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tes" sheetId="1" r:id="rId4"/>
    <sheet state="visible" name="Scaler" sheetId="2" r:id="rId5"/>
    <sheet state="visible" name="RunTime" sheetId="3" r:id="rId6"/>
    <sheet state="visible" name="F0" sheetId="4" r:id="rId7"/>
    <sheet state="visible" name="Scaler_Graph" sheetId="5" r:id="rId8"/>
    <sheet state="visible" name="PPAC Efficiency" sheetId="6" r:id="rId9"/>
    <sheet state="visible" name="Beamline_Setting" sheetId="7" r:id="rId10"/>
    <sheet state="visible" name="CS_PID" sheetId="8" r:id="rId11"/>
    <sheet state="visible" name="CS_VS_LEBT" sheetId="9" r:id="rId12"/>
    <sheet state="visible" name="CS_PID_Pivot" sheetId="10" r:id="rId13"/>
    <sheet state="visible" name="CSBeam_PID" sheetId="11" r:id="rId14"/>
    <sheet state="visible" name="Charts" sheetId="12" r:id="rId15"/>
    <sheet state="visible" name="Rate_PID" sheetId="13" r:id="rId16"/>
    <sheet state="visible" name="RateTarget_PID" sheetId="14" r:id="rId17"/>
    <sheet state="visible" name="CS_MDIS" sheetId="15" r:id="rId18"/>
    <sheet state="visible" name="CS_MDIS_Pivot" sheetId="16" r:id="rId19"/>
    <sheet state="visible" name="Rate_MDIS" sheetId="17" r:id="rId20"/>
    <sheet state="visible" name="SSDVsPla" sheetId="18" r:id="rId21"/>
  </sheets>
  <definedNames/>
  <calcPr/>
  <pivotCaches>
    <pivotCache cacheId="0" r:id="rId22"/>
    <pivotCache cacheId="1" r:id="rId23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80">
      <text>
        <t xml:space="preserve">Due to very small amount of 22O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80">
      <text>
        <t xml:space="preserve">Due to very small amount of 22O</t>
      </text>
    </comment>
  </commentList>
</comments>
</file>

<file path=xl/sharedStrings.xml><?xml version="1.0" encoding="utf-8"?>
<sst xmlns="http://schemas.openxmlformats.org/spreadsheetml/2006/main" count="1280" uniqueCount="220">
  <si>
    <t>Notes for Analysis\</t>
  </si>
  <si>
    <t>run</t>
  </si>
  <si>
    <t>ts</t>
  </si>
  <si>
    <t>ppac</t>
  </si>
  <si>
    <t>ppac_rate</t>
  </si>
  <si>
    <t>f2pl</t>
  </si>
  <si>
    <t>f2pl_rate</t>
  </si>
  <si>
    <t>f3pl</t>
  </si>
  <si>
    <t>f3pl_rate</t>
  </si>
  <si>
    <t>hwtriga</t>
  </si>
  <si>
    <t>hwtriga_rate</t>
  </si>
  <si>
    <t>hwtrigb</t>
  </si>
  <si>
    <t>hwtrigb_rate</t>
  </si>
  <si>
    <t>refp</t>
  </si>
  <si>
    <t>refp_rate</t>
  </si>
  <si>
    <t>reft</t>
  </si>
  <si>
    <t>reft_rate</t>
  </si>
  <si>
    <t>livetime</t>
  </si>
  <si>
    <t>Run</t>
  </si>
  <si>
    <t>start_time</t>
  </si>
  <si>
    <t>stop_time</t>
  </si>
  <si>
    <t>LEBT_mean (mA)</t>
  </si>
  <si>
    <t>LEBT_integral (mA x sec)</t>
  </si>
  <si>
    <t>LEBT_std (mA)</t>
  </si>
  <si>
    <t>LEBT_integral_std (mA x sec)</t>
  </si>
  <si>
    <t>time_difference</t>
  </si>
  <si>
    <t>diff_with_ts</t>
  </si>
  <si>
    <t>LEBT_integral_ts (mA x sec)</t>
  </si>
  <si>
    <t>LEBT_integral_ts_1K</t>
  </si>
  <si>
    <t>1K_!M _Conv</t>
  </si>
  <si>
    <t>error</t>
  </si>
  <si>
    <t>일자</t>
  </si>
  <si>
    <t>시간</t>
  </si>
  <si>
    <t>Ratio (%)</t>
  </si>
  <si>
    <t>Run0</t>
  </si>
  <si>
    <t>Run1</t>
  </si>
  <si>
    <t>메모</t>
  </si>
  <si>
    <t>2025.07.15이라고 되어있지만, 16일 빔정보 들어가있음</t>
  </si>
  <si>
    <t>10:00, 14:34경 사진이 있으나 16:06과 비슷한 분포로 같이 취급</t>
  </si>
  <si>
    <t>8.13 10:22경 분포, 8.14 10:04경의 분포가 8.12 16:06와 비슷하여 이것으로 진행</t>
  </si>
  <si>
    <t>8.22, 8.23 데이터는 모두 8.14 저녁 분포와 비슷한 것으로 판단</t>
  </si>
  <si>
    <t>Using Run 162 ~167</t>
  </si>
  <si>
    <t>HV</t>
  </si>
  <si>
    <t>14C</t>
  </si>
  <si>
    <t>16N</t>
  </si>
  <si>
    <t>18O</t>
  </si>
  <si>
    <t>20F</t>
  </si>
  <si>
    <t>Based on the events filtered by dE(SSD)-TOF(F2PP-F3PP) cut</t>
  </si>
  <si>
    <t>Using Runs for O20 Mom Dis.</t>
  </si>
  <si>
    <t>C</t>
  </si>
  <si>
    <t>N</t>
  </si>
  <si>
    <t>O</t>
  </si>
  <si>
    <t>F</t>
  </si>
  <si>
    <t>Ne</t>
  </si>
  <si>
    <t>Na</t>
  </si>
  <si>
    <t>Attenuation</t>
  </si>
  <si>
    <t>Brho [Tm]</t>
  </si>
  <si>
    <t>Beam Dump</t>
  </si>
  <si>
    <t>F1 slit [mm]</t>
  </si>
  <si>
    <t>F2 up slit [mm]</t>
  </si>
  <si>
    <t>F2 down slit [mm]</t>
  </si>
  <si>
    <t>F3 up slit [mm]</t>
  </si>
  <si>
    <t>F3 down slit [mm]</t>
  </si>
  <si>
    <t>Group</t>
  </si>
  <si>
    <t>Setting</t>
  </si>
  <si>
    <t>Runs</t>
  </si>
  <si>
    <t>D1</t>
  </si>
  <si>
    <t>D2</t>
  </si>
  <si>
    <t>F2F3</t>
  </si>
  <si>
    <t>d/R</t>
  </si>
  <si>
    <t>L</t>
  </si>
  <si>
    <t>R</t>
  </si>
  <si>
    <t>xL</t>
  </si>
  <si>
    <t>xR</t>
  </si>
  <si>
    <t>yU</t>
  </si>
  <si>
    <t>yD</t>
  </si>
  <si>
    <t>Cross Section</t>
  </si>
  <si>
    <t>251-254</t>
  </si>
  <si>
    <t>19O</t>
  </si>
  <si>
    <t>259-299</t>
  </si>
  <si>
    <t>20O</t>
  </si>
  <si>
    <t>304-310</t>
  </si>
  <si>
    <t>21O</t>
  </si>
  <si>
    <t>316-347</t>
  </si>
  <si>
    <t>22O</t>
  </si>
  <si>
    <t>348-404</t>
  </si>
  <si>
    <t>24Ne</t>
  </si>
  <si>
    <t>410-415</t>
  </si>
  <si>
    <t>25Ne</t>
  </si>
  <si>
    <t>420-422</t>
  </si>
  <si>
    <t>26Ne</t>
  </si>
  <si>
    <t>425-440</t>
  </si>
  <si>
    <t>Momentum Distribution 20O</t>
  </si>
  <si>
    <t>643-648</t>
  </si>
  <si>
    <t>639-642</t>
  </si>
  <si>
    <t>620-625</t>
  </si>
  <si>
    <t>651-655</t>
  </si>
  <si>
    <t>615-617</t>
  </si>
  <si>
    <t>660-661</t>
  </si>
  <si>
    <t>610-612</t>
  </si>
  <si>
    <t>601-604</t>
  </si>
  <si>
    <t>605-607</t>
  </si>
  <si>
    <t>590-598</t>
  </si>
  <si>
    <t>Momentum Distribution 24Ne</t>
  </si>
  <si>
    <t>775-779</t>
  </si>
  <si>
    <t>763-765</t>
  </si>
  <si>
    <t>780-781</t>
  </si>
  <si>
    <t>754-759</t>
  </si>
  <si>
    <t>782-785</t>
  </si>
  <si>
    <t>750-752</t>
  </si>
  <si>
    <t>786-787</t>
  </si>
  <si>
    <t>746-748</t>
  </si>
  <si>
    <t>738-740</t>
  </si>
  <si>
    <t>706-708</t>
  </si>
  <si>
    <t>713-719</t>
  </si>
  <si>
    <t>720-725</t>
  </si>
  <si>
    <t>726-730</t>
  </si>
  <si>
    <t>731-733</t>
  </si>
  <si>
    <t>734-737</t>
  </si>
  <si>
    <t>Target</t>
  </si>
  <si>
    <t>13C</t>
  </si>
  <si>
    <t>15C</t>
  </si>
  <si>
    <t>16C</t>
  </si>
  <si>
    <t>17C</t>
  </si>
  <si>
    <t>15N</t>
  </si>
  <si>
    <t>17N</t>
  </si>
  <si>
    <t>18N</t>
  </si>
  <si>
    <t>19N</t>
  </si>
  <si>
    <t>20N</t>
  </si>
  <si>
    <t>17O</t>
  </si>
  <si>
    <t>19F</t>
  </si>
  <si>
    <t>21F</t>
  </si>
  <si>
    <t>22F</t>
  </si>
  <si>
    <t>23F</t>
  </si>
  <si>
    <t>24F</t>
  </si>
  <si>
    <t>21Ne</t>
  </si>
  <si>
    <t>22Ne</t>
  </si>
  <si>
    <t>23Ne</t>
  </si>
  <si>
    <t>23Na</t>
  </si>
  <si>
    <t>24Na</t>
  </si>
  <si>
    <t>25Na</t>
  </si>
  <si>
    <t>26Na</t>
  </si>
  <si>
    <t>27Na</t>
  </si>
  <si>
    <t>28Na</t>
  </si>
  <si>
    <t>26Mg</t>
  </si>
  <si>
    <t>27Mg</t>
  </si>
  <si>
    <t>28Mg</t>
  </si>
  <si>
    <t>29Mg</t>
  </si>
  <si>
    <t>30Mg</t>
  </si>
  <si>
    <t>29Al</t>
  </si>
  <si>
    <t>30Al</t>
  </si>
  <si>
    <t>31Al</t>
  </si>
  <si>
    <t>LEBT</t>
  </si>
  <si>
    <t>13C의 SUM</t>
  </si>
  <si>
    <t>14C의 SUM</t>
  </si>
  <si>
    <t>15C의 SUM</t>
  </si>
  <si>
    <t>16C의 SUM</t>
  </si>
  <si>
    <t>17C의 SUM</t>
  </si>
  <si>
    <t>15N의 SUM</t>
  </si>
  <si>
    <t>16N의 SUM</t>
  </si>
  <si>
    <t>17N의 SUM</t>
  </si>
  <si>
    <t>18N의 SUM</t>
  </si>
  <si>
    <t>19N의 SUM</t>
  </si>
  <si>
    <t>20N의 SUM</t>
  </si>
  <si>
    <t>17O의 SUM</t>
  </si>
  <si>
    <t>18O의 SUM</t>
  </si>
  <si>
    <t>19O의 SUM</t>
  </si>
  <si>
    <t>20O의 SUM</t>
  </si>
  <si>
    <t>21O의 SUM</t>
  </si>
  <si>
    <t>22O의 SUM</t>
  </si>
  <si>
    <t>19F의 SUM</t>
  </si>
  <si>
    <t>20F의 SUM</t>
  </si>
  <si>
    <t>21F의 SUM</t>
  </si>
  <si>
    <t>22F의 SUM</t>
  </si>
  <si>
    <t>23F의 SUM</t>
  </si>
  <si>
    <t>24F의 SUM</t>
  </si>
  <si>
    <t>24Ne의 SUM</t>
  </si>
  <si>
    <t>25Ne의 SUM</t>
  </si>
  <si>
    <t>26Ne의 SUM</t>
  </si>
  <si>
    <t>23Na의 SUM</t>
  </si>
  <si>
    <t>24Na의 SUM</t>
  </si>
  <si>
    <t>25Na의 SUM</t>
  </si>
  <si>
    <t>26Na의 SUM</t>
  </si>
  <si>
    <t>27Na의 SUM</t>
  </si>
  <si>
    <t>28Na의 SUM</t>
  </si>
  <si>
    <t>26Mg의 SUM</t>
  </si>
  <si>
    <t>27Mg의 SUM</t>
  </si>
  <si>
    <t>28Mg의 SUM</t>
  </si>
  <si>
    <t>29Mg의 SUM</t>
  </si>
  <si>
    <t>30Mg의 SUM</t>
  </si>
  <si>
    <t>29Al의 SUM</t>
  </si>
  <si>
    <t>30Al의 SUM</t>
  </si>
  <si>
    <t>31Al의 SUM</t>
  </si>
  <si>
    <t>총계</t>
  </si>
  <si>
    <t>Run \ A</t>
  </si>
  <si>
    <t>17</t>
  </si>
  <si>
    <t>18</t>
  </si>
  <si>
    <t>19</t>
  </si>
  <si>
    <t>20</t>
  </si>
  <si>
    <t>21</t>
  </si>
  <si>
    <t>22</t>
  </si>
  <si>
    <t>18O Runs</t>
  </si>
  <si>
    <t>19O Runs</t>
  </si>
  <si>
    <t>20O Runs</t>
  </si>
  <si>
    <t>21O Runs</t>
  </si>
  <si>
    <t>22O Runs</t>
  </si>
  <si>
    <t>Center</t>
  </si>
  <si>
    <t>Using Run 570 ~ 571</t>
  </si>
  <si>
    <t>PID vs MDIS</t>
  </si>
  <si>
    <t>1열</t>
  </si>
  <si>
    <t>Plastic</t>
  </si>
  <si>
    <t>SSD</t>
  </si>
  <si>
    <t>Ratio</t>
  </si>
  <si>
    <t>Rate/beam Pla</t>
  </si>
  <si>
    <t>Rate/beam SSD</t>
  </si>
  <si>
    <t>Total Time</t>
  </si>
  <si>
    <t>Beam Intensity</t>
  </si>
  <si>
    <t>Time</t>
  </si>
  <si>
    <t>Trig rate</t>
  </si>
  <si>
    <t>Trig rate = beam rate?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</si>
</sst>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-dd h:mm:ss"/>
    <numFmt numFmtId="165" formatCode="yyyy. M. d"/>
    <numFmt numFmtId="166" formatCode="0.0000000"/>
    <numFmt numFmtId="167" formatCode="0.0000"/>
  </numFmts>
  <fonts count="30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theme="1"/>
      <name val="Arial"/>
      <scheme val="minor"/>
    </font>
    <font>
      <b/>
      <sz val="12.0"/>
      <color rgb="FFE6B8AF"/>
      <name val="Arial"/>
      <scheme val="minor"/>
    </font>
    <font>
      <sz val="12.0"/>
      <color rgb="FF000000"/>
      <name val="Arial"/>
      <scheme val="minor"/>
    </font>
    <font>
      <b/>
      <sz val="12.0"/>
      <color rgb="FF980000"/>
      <name val="Arial"/>
      <scheme val="minor"/>
    </font>
    <font>
      <sz val="12.0"/>
      <color rgb="FF000000"/>
      <name val="&quot;맑은 고딕&quot;"/>
    </font>
    <font>
      <b/>
      <sz val="12.0"/>
      <color rgb="FF980000"/>
      <name val="&quot;맑은 고딕&quot;"/>
    </font>
    <font>
      <b/>
      <sz val="11.0"/>
      <color rgb="FFFFFFFF"/>
      <name val="Arial"/>
    </font>
    <font>
      <b/>
      <sz val="11.0"/>
      <color rgb="FFF4CCCC"/>
      <name val="Arial"/>
    </font>
    <font>
      <b/>
      <sz val="11.0"/>
      <color rgb="FF000000"/>
      <name val="Arial"/>
    </font>
    <font>
      <sz val="11.0"/>
      <color rgb="FF000000"/>
      <name val="Arial"/>
    </font>
    <font>
      <b/>
      <sz val="11.0"/>
      <color rgb="FF980000"/>
      <name val="Arial"/>
    </font>
    <font>
      <b/>
      <color rgb="FF980000"/>
      <name val="Arial"/>
      <scheme val="minor"/>
    </font>
    <font>
      <b/>
      <sz val="11.0"/>
      <color theme="1"/>
      <name val="&quot;맑은 고딕&quot;"/>
    </font>
    <font>
      <sz val="11.0"/>
      <color rgb="FF000000"/>
      <name val="&quot;맑은 고딕&quot;"/>
    </font>
    <font>
      <b/>
      <sz val="11.0"/>
      <color rgb="FF000000"/>
      <name val="&quot;맑은 고딕&quot;"/>
    </font>
    <font>
      <b/>
      <sz val="12.0"/>
      <color theme="1"/>
      <name val="Arial"/>
      <scheme val="minor"/>
    </font>
    <font>
      <sz val="12.0"/>
      <color theme="1"/>
      <name val="&quot;맑은 고딕&quot;"/>
    </font>
    <font>
      <i/>
      <sz val="13.0"/>
      <color theme="1"/>
      <name val="Arial"/>
      <scheme val="minor"/>
    </font>
    <font>
      <b/>
      <sz val="11.0"/>
      <color theme="1"/>
      <name val="Arial"/>
    </font>
    <font>
      <b/>
      <color theme="1"/>
      <name val="Arial"/>
    </font>
    <font/>
    <font>
      <color theme="1"/>
      <name val="Arial"/>
    </font>
    <font>
      <b/>
      <color theme="1"/>
      <name val="Arial"/>
      <scheme val="minor"/>
    </font>
    <font>
      <b/>
      <color rgb="FFFFFFFF"/>
      <name val="Arial"/>
      <scheme val="minor"/>
    </font>
    <font>
      <sz val="12.0"/>
      <color rgb="FFFFFFFF"/>
      <name val="&quot;맑은 고딕&quot;"/>
    </font>
    <font>
      <b/>
      <sz val="17.0"/>
      <color theme="1"/>
      <name val="Arial"/>
      <scheme val="minor"/>
    </font>
    <font>
      <b/>
      <color rgb="FF000000"/>
      <name val="Arial"/>
      <scheme val="minor"/>
    </font>
    <font>
      <color rgb="FF000000"/>
      <name val="Arial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D4D4D4"/>
        <bgColor rgb="FFD4D4D4"/>
      </patternFill>
    </fill>
    <fill>
      <patternFill patternType="solid">
        <fgColor rgb="FFD0E0E3"/>
        <bgColor rgb="FFD0E0E3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F3F3F3"/>
        <bgColor rgb="FFF3F3F3"/>
      </patternFill>
    </fill>
  </fills>
  <borders count="114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  <border>
      <left style="thin">
        <color rgb="FF284E3F"/>
      </left>
      <right style="thin">
        <color rgb="FFD4D4D4"/>
      </right>
      <top style="thin">
        <color rgb="FFD4D4D4"/>
      </top>
      <bottom style="thin">
        <color rgb="FFD4D4D4"/>
      </bottom>
    </border>
    <border>
      <left style="thin">
        <color rgb="FF284E3F"/>
      </left>
      <right style="thin">
        <color rgb="FFD4D4D4"/>
      </right>
      <top style="thin">
        <color rgb="FFD4D4D4"/>
      </top>
      <bottom style="thin">
        <color rgb="FF284E3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356854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E6B8AF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E6B8AF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F4CCCC"/>
      </top>
      <bottom style="thin">
        <color rgb="FF000000"/>
      </bottom>
    </border>
    <border>
      <left style="thin">
        <color rgb="FF000000"/>
      </left>
      <right style="thin">
        <color rgb="FFF4CCCC"/>
      </right>
      <top style="thin">
        <color rgb="FFF4CCCC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F4CCCC"/>
      </top>
      <bottom style="thin">
        <color rgb="FF000000"/>
      </bottom>
    </border>
    <border>
      <left style="thin">
        <color rgb="FF000000"/>
      </left>
      <right style="thin">
        <color rgb="FFF4CCCC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F4CCCC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FCE5CD"/>
      </top>
      <bottom style="thin">
        <color rgb="FF000000"/>
      </bottom>
    </border>
    <border>
      <left style="thin">
        <color rgb="FF000000"/>
      </left>
      <right style="thin">
        <color rgb="FFFCE5CD"/>
      </right>
      <top style="thin">
        <color rgb="FFFCE5CD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FCE5CD"/>
      </top>
      <bottom style="thin">
        <color rgb="FF000000"/>
      </bottom>
    </border>
    <border>
      <left style="thin">
        <color rgb="FF000000"/>
      </left>
      <right style="thin">
        <color rgb="FFFCE5CD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CE5CD"/>
      </bottom>
    </border>
    <border>
      <left style="thin">
        <color rgb="FF000000"/>
      </left>
      <right style="thin">
        <color rgb="FFFCE5CD"/>
      </right>
      <top style="thin">
        <color rgb="FF000000"/>
      </top>
      <bottom style="thin">
        <color rgb="FFFCE5CD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FCE5CD"/>
      </bottom>
    </border>
    <border>
      <left style="thin">
        <color rgb="FF000000"/>
      </left>
      <right style="thin">
        <color rgb="FFFFF2CC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FFF2CC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FFF2CC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D9EAD3"/>
      </top>
      <bottom style="thin">
        <color rgb="FF000000"/>
      </bottom>
    </border>
    <border>
      <left style="thin">
        <color rgb="FF000000"/>
      </left>
      <right style="thin">
        <color rgb="FFD9EAD3"/>
      </right>
      <top style="thin">
        <color rgb="FFD9EAD3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D9EAD3"/>
      </top>
      <bottom style="thin">
        <color rgb="FF000000"/>
      </bottom>
    </border>
    <border>
      <left style="thin">
        <color rgb="FF000000"/>
      </left>
      <right style="thin">
        <color rgb="FFD9EAD3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EAD3"/>
      </bottom>
    </border>
    <border>
      <left style="thin">
        <color rgb="FF000000"/>
      </left>
      <right style="thin">
        <color rgb="FFD9EAD3"/>
      </right>
      <top style="thin">
        <color rgb="FF000000"/>
      </top>
      <bottom style="thin">
        <color rgb="FFD9EAD3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EAD3"/>
      </bottom>
    </border>
    <border>
      <left style="thin">
        <color rgb="FF000000"/>
      </left>
      <right style="thin">
        <color rgb="FFD0E0E3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D0E0E3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D0E0E3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9DAF8"/>
      </top>
      <bottom style="thin">
        <color rgb="FF000000"/>
      </bottom>
    </border>
    <border>
      <left style="thin">
        <color rgb="FF000000"/>
      </left>
      <right style="thin">
        <color rgb="FFC9DAF8"/>
      </right>
      <top style="thin">
        <color rgb="FFC9DAF8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C9DAF8"/>
      </top>
      <bottom style="thin">
        <color rgb="FF000000"/>
      </bottom>
    </border>
    <border>
      <left style="thin">
        <color rgb="FF000000"/>
      </left>
      <right style="thin">
        <color rgb="FFC9DAF8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9DAF8"/>
      </bottom>
    </border>
    <border>
      <left style="thin">
        <color rgb="FF000000"/>
      </left>
      <right style="thin">
        <color rgb="FFC9DAF8"/>
      </right>
      <top style="thin">
        <color rgb="FF000000"/>
      </top>
      <bottom style="thin">
        <color rgb="FFC9DAF8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C9DAF8"/>
      </bottom>
    </border>
    <border>
      <left style="thin">
        <color rgb="FF000000"/>
      </left>
      <right style="thin">
        <color rgb="FFCFE2F3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CFE2F3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CFE2F3"/>
      </right>
      <top style="thin">
        <color rgb="FF000000"/>
      </top>
      <bottom style="medium">
        <color rgb="FF000000"/>
      </bottom>
    </border>
    <border>
      <left style="medium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284E3F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284E3F"/>
      </right>
      <top style="thin">
        <color rgb="FFFFFFFF"/>
      </top>
      <bottom style="thin">
        <color rgb="FF284E3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4CCCC"/>
      </bottom>
    </border>
    <border>
      <left style="thin">
        <color rgb="FF000000"/>
      </left>
      <right style="thin">
        <color rgb="FFF4CCCC"/>
      </right>
      <top style="thin">
        <color rgb="FF000000"/>
      </top>
      <bottom style="thin">
        <color rgb="FFF4CCCC"/>
      </bottom>
    </border>
    <border>
      <left style="thin">
        <color rgb="FF000000"/>
      </left>
      <right style="thin">
        <color rgb="FFFCE5CD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FCE5CD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FFF2CC"/>
      </top>
      <bottom style="thin">
        <color rgb="FF000000"/>
      </bottom>
    </border>
    <border>
      <left style="thin">
        <color rgb="FF000000"/>
      </left>
      <right style="thin">
        <color rgb="FFFFF2CC"/>
      </right>
      <top style="thin">
        <color rgb="FFFFF2CC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2CC"/>
      </bottom>
    </border>
    <border>
      <left style="thin">
        <color rgb="FF000000"/>
      </left>
      <right style="thin">
        <color rgb="FFFFF2CC"/>
      </right>
      <top style="thin">
        <color rgb="FF000000"/>
      </top>
      <bottom style="thin">
        <color rgb="FFFFF2CC"/>
      </bottom>
    </border>
    <border>
      <left style="thin">
        <color rgb="FF000000"/>
      </left>
      <right style="thin">
        <color rgb="FFD9EAD3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D9EAD3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D0E0E3"/>
      </top>
      <bottom style="thin">
        <color rgb="FF000000"/>
      </bottom>
    </border>
    <border>
      <left style="thin">
        <color rgb="FF000000"/>
      </left>
      <right style="thin">
        <color rgb="FFD0E0E3"/>
      </right>
      <top style="thin">
        <color rgb="FFD0E0E3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0E0E3"/>
      </bottom>
    </border>
    <border>
      <left style="thin">
        <color rgb="FF000000"/>
      </left>
      <right style="thin">
        <color rgb="FFD0E0E3"/>
      </right>
      <top style="thin">
        <color rgb="FF000000"/>
      </top>
      <bottom style="thin">
        <color rgb="FFD0E0E3"/>
      </bottom>
    </border>
    <border>
      <left style="thin">
        <color rgb="FF000000"/>
      </left>
      <right style="thin">
        <color rgb="FFC9DAF8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C9DAF8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FE2F3"/>
      </top>
      <bottom style="thin">
        <color rgb="FF000000"/>
      </bottom>
    </border>
    <border>
      <left style="thin">
        <color rgb="FF000000"/>
      </left>
      <right style="thin">
        <color rgb="FFCFE2F3"/>
      </right>
      <top style="thin">
        <color rgb="FFCFE2F3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FE2F3"/>
      </bottom>
    </border>
    <border>
      <left style="thin">
        <color rgb="FF000000"/>
      </left>
      <right style="thin">
        <color rgb="FFCFE2F3"/>
      </right>
      <top style="thin">
        <color rgb="FF000000"/>
      </top>
      <bottom style="thin">
        <color rgb="FFCFE2F3"/>
      </bottom>
    </border>
    <border>
      <left style="thin">
        <color rgb="FF000000"/>
      </left>
      <right style="thin">
        <color rgb="FFD9D2E9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D9D2E9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D9D2E9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EAD1DC"/>
      </top>
      <bottom style="thin">
        <color rgb="FF000000"/>
      </bottom>
    </border>
    <border>
      <left style="thin">
        <color rgb="FF000000"/>
      </left>
      <right style="thin">
        <color rgb="FFEAD1DC"/>
      </right>
      <top style="thin">
        <color rgb="FFEAD1DC"/>
      </top>
      <bottom style="thin">
        <color rgb="FF000000"/>
      </bottom>
    </border>
    <border>
      <left style="thin">
        <color rgb="FF000000"/>
      </left>
      <right style="thin">
        <color rgb="FFEAD1DC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EAD1DC"/>
      </bottom>
    </border>
    <border>
      <left style="thin">
        <color rgb="FF000000"/>
      </left>
      <right style="thin">
        <color rgb="FFEAD1DC"/>
      </right>
      <top style="thin">
        <color rgb="FF000000"/>
      </top>
      <bottom style="thin">
        <color rgb="FFEAD1DC"/>
      </bottom>
    </border>
    <border>
      <left style="thin">
        <color rgb="FF000000"/>
      </left>
      <right style="thin">
        <color rgb="FFF3F3F3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F3F3F3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F3F3F3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5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center" readingOrder="0" shrinkToFit="0" vertical="center" wrapText="0"/>
    </xf>
    <xf borderId="2" fillId="0" fontId="3" numFmtId="0" xfId="0" applyAlignment="1" applyBorder="1" applyFont="1">
      <alignment horizontal="center" readingOrder="0" shrinkToFit="0" vertical="center" wrapText="0"/>
    </xf>
    <xf borderId="2" fillId="0" fontId="2" numFmtId="0" xfId="0" applyAlignment="1" applyBorder="1" applyFont="1">
      <alignment horizontal="center" readingOrder="0" shrinkToFit="0" vertical="center" wrapText="0"/>
    </xf>
    <xf borderId="3" fillId="0" fontId="2" numFmtId="0" xfId="0" applyAlignment="1" applyBorder="1" applyFont="1">
      <alignment horizontal="center" readingOrder="0" shrinkToFit="0" vertical="center" wrapText="0"/>
    </xf>
    <xf borderId="4" fillId="0" fontId="4" numFmtId="0" xfId="0" applyAlignment="1" applyBorder="1" applyFont="1">
      <alignment horizontal="right" readingOrder="0" shrinkToFit="0" vertical="center" wrapText="0"/>
    </xf>
    <xf borderId="5" fillId="0" fontId="5" numFmtId="0" xfId="0" applyAlignment="1" applyBorder="1" applyFont="1">
      <alignment horizontal="right" readingOrder="0" shrinkToFit="0" vertical="center" wrapText="0"/>
    </xf>
    <xf borderId="5" fillId="0" fontId="4" numFmtId="0" xfId="0" applyAlignment="1" applyBorder="1" applyFont="1">
      <alignment horizontal="right" readingOrder="0" shrinkToFit="0" vertical="center" wrapText="0"/>
    </xf>
    <xf borderId="6" fillId="0" fontId="4" numFmtId="0" xfId="0" applyAlignment="1" applyBorder="1" applyFont="1">
      <alignment horizontal="right" readingOrder="0" shrinkToFit="0" vertical="center" wrapText="0"/>
    </xf>
    <xf borderId="7" fillId="0" fontId="4" numFmtId="0" xfId="0" applyAlignment="1" applyBorder="1" applyFont="1">
      <alignment horizontal="right" readingOrder="0" shrinkToFit="0" vertical="center" wrapText="0"/>
    </xf>
    <xf borderId="8" fillId="0" fontId="5" numFmtId="0" xfId="0" applyAlignment="1" applyBorder="1" applyFont="1">
      <alignment horizontal="right" readingOrder="0" shrinkToFit="0" vertical="center" wrapText="0"/>
    </xf>
    <xf borderId="8" fillId="0" fontId="4" numFmtId="0" xfId="0" applyAlignment="1" applyBorder="1" applyFont="1">
      <alignment horizontal="right" readingOrder="0" shrinkToFit="0" vertical="center" wrapText="0"/>
    </xf>
    <xf borderId="9" fillId="0" fontId="4" numFmtId="0" xfId="0" applyAlignment="1" applyBorder="1" applyFont="1">
      <alignment horizontal="right" readingOrder="0" shrinkToFit="0" vertical="center" wrapText="0"/>
    </xf>
    <xf borderId="4" fillId="0" fontId="2" numFmtId="0" xfId="0" applyAlignment="1" applyBorder="1" applyFont="1">
      <alignment readingOrder="0" shrinkToFit="0" vertical="center" wrapText="0"/>
    </xf>
    <xf borderId="5" fillId="0" fontId="5" numFmtId="0" xfId="0" applyAlignment="1" applyBorder="1" applyFont="1">
      <alignment readingOrder="0" shrinkToFit="0" vertical="center" wrapText="0"/>
    </xf>
    <xf borderId="5" fillId="0" fontId="2" numFmtId="0" xfId="0" applyAlignment="1" applyBorder="1" applyFont="1">
      <alignment readingOrder="0" shrinkToFit="0" vertical="center" wrapText="0"/>
    </xf>
    <xf borderId="6" fillId="0" fontId="2" numFmtId="0" xfId="0" applyAlignment="1" applyBorder="1" applyFont="1">
      <alignment readingOrder="0" shrinkToFit="0" vertical="center" wrapText="0"/>
    </xf>
    <xf borderId="7" fillId="0" fontId="2" numFmtId="0" xfId="0" applyAlignment="1" applyBorder="1" applyFont="1">
      <alignment readingOrder="0" shrinkToFit="0" vertical="center" wrapText="0"/>
    </xf>
    <xf borderId="8" fillId="0" fontId="5" numFmtId="0" xfId="0" applyAlignment="1" applyBorder="1" applyFont="1">
      <alignment readingOrder="0" shrinkToFit="0" vertical="center" wrapText="0"/>
    </xf>
    <xf borderId="8" fillId="0" fontId="2" numFmtId="0" xfId="0" applyAlignment="1" applyBorder="1" applyFont="1">
      <alignment readingOrder="0" shrinkToFit="0" vertical="center" wrapText="0"/>
    </xf>
    <xf borderId="9" fillId="0" fontId="2" numFmtId="0" xfId="0" applyAlignment="1" applyBorder="1" applyFont="1">
      <alignment readingOrder="0" shrinkToFit="0" vertical="center" wrapText="0"/>
    </xf>
    <xf borderId="10" fillId="0" fontId="2" numFmtId="0" xfId="0" applyAlignment="1" applyBorder="1" applyFont="1">
      <alignment readingOrder="0" shrinkToFit="0" vertical="center" wrapText="0"/>
    </xf>
    <xf borderId="11" fillId="0" fontId="5" numFmtId="0" xfId="0" applyAlignment="1" applyBorder="1" applyFont="1">
      <alignment readingOrder="0" shrinkToFit="0" vertical="center" wrapText="0"/>
    </xf>
    <xf borderId="11" fillId="0" fontId="2" numFmtId="0" xfId="0" applyAlignment="1" applyBorder="1" applyFont="1">
      <alignment readingOrder="0" shrinkToFit="0" vertical="center" wrapText="0"/>
    </xf>
    <xf borderId="12" fillId="0" fontId="2" numFmtId="0" xfId="0" applyAlignment="1" applyBorder="1" applyFont="1">
      <alignment readingOrder="0" shrinkToFit="0" vertical="center" wrapText="0"/>
    </xf>
    <xf borderId="0" fillId="0" fontId="6" numFmtId="0" xfId="0" applyAlignment="1" applyFont="1">
      <alignment horizontal="right" readingOrder="0" shrinkToFit="0" wrapText="0"/>
    </xf>
    <xf borderId="0" fillId="0" fontId="7" numFmtId="0" xfId="0" applyAlignment="1" applyFont="1">
      <alignment horizontal="right" readingOrder="0" shrinkToFit="0" wrapText="0"/>
    </xf>
    <xf borderId="1" fillId="2" fontId="8" numFmtId="0" xfId="0" applyAlignment="1" applyBorder="1" applyFill="1" applyFont="1">
      <alignment horizontal="center" readingOrder="0" shrinkToFit="0" vertical="center" wrapText="0"/>
    </xf>
    <xf borderId="2" fillId="2" fontId="8" numFmtId="0" xfId="0" applyAlignment="1" applyBorder="1" applyFont="1">
      <alignment horizontal="center" readingOrder="0" shrinkToFit="0" vertical="center" wrapText="0"/>
    </xf>
    <xf borderId="2" fillId="2" fontId="9" numFmtId="0" xfId="0" applyAlignment="1" applyBorder="1" applyFont="1">
      <alignment horizontal="center" readingOrder="0" shrinkToFit="0" vertical="center" wrapText="0"/>
    </xf>
    <xf borderId="2" fillId="2" fontId="8" numFmtId="11" xfId="0" applyAlignment="1" applyBorder="1" applyFont="1" applyNumberFormat="1">
      <alignment horizontal="center" readingOrder="0" shrinkToFit="0" vertical="center" wrapText="0"/>
    </xf>
    <xf borderId="2" fillId="2" fontId="8" numFmtId="0" xfId="0" applyAlignment="1" applyBorder="1" applyFont="1">
      <alignment horizontal="center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13" fillId="3" fontId="10" numFmtId="0" xfId="0" applyAlignment="1" applyBorder="1" applyFill="1" applyFont="1">
      <alignment horizontal="center" readingOrder="0" shrinkToFit="0" vertical="center" wrapText="0"/>
    </xf>
    <xf borderId="5" fillId="0" fontId="11" numFmtId="164" xfId="0" applyAlignment="1" applyBorder="1" applyFont="1" applyNumberFormat="1">
      <alignment horizontal="center" readingOrder="0" shrinkToFit="0" vertical="center" wrapText="0"/>
    </xf>
    <xf borderId="5" fillId="0" fontId="12" numFmtId="11" xfId="0" applyAlignment="1" applyBorder="1" applyFont="1" applyNumberFormat="1">
      <alignment horizontal="center" readingOrder="0" shrinkToFit="0" vertical="center" wrapText="0"/>
    </xf>
    <xf borderId="5" fillId="0" fontId="11" numFmtId="11" xfId="0" applyAlignment="1" applyBorder="1" applyFont="1" applyNumberFormat="1">
      <alignment horizontal="center" readingOrder="0" shrinkToFit="0" vertical="center" wrapText="0"/>
    </xf>
    <xf borderId="5" fillId="0" fontId="11" numFmtId="0" xfId="0" applyAlignment="1" applyBorder="1" applyFont="1">
      <alignment horizontal="center" readingOrder="0" shrinkToFit="0" vertical="center" wrapText="0"/>
    </xf>
    <xf borderId="5" fillId="0" fontId="1" numFmtId="0" xfId="0" applyAlignment="1" applyBorder="1" applyFont="1">
      <alignment shrinkToFit="0" vertical="center" wrapText="0"/>
    </xf>
    <xf borderId="6" fillId="0" fontId="1" numFmtId="0" xfId="0" applyAlignment="1" applyBorder="1" applyFont="1">
      <alignment shrinkToFit="0" vertical="center" wrapText="0"/>
    </xf>
    <xf borderId="8" fillId="0" fontId="11" numFmtId="164" xfId="0" applyAlignment="1" applyBorder="1" applyFont="1" applyNumberFormat="1">
      <alignment horizontal="center" readingOrder="0" shrinkToFit="0" vertical="center" wrapText="0"/>
    </xf>
    <xf borderId="8" fillId="0" fontId="12" numFmtId="11" xfId="0" applyAlignment="1" applyBorder="1" applyFont="1" applyNumberFormat="1">
      <alignment horizontal="center" readingOrder="0" shrinkToFit="0" vertical="center" wrapText="0"/>
    </xf>
    <xf borderId="8" fillId="0" fontId="11" numFmtId="11" xfId="0" applyAlignment="1" applyBorder="1" applyFont="1" applyNumberFormat="1">
      <alignment horizontal="center" readingOrder="0" shrinkToFit="0" vertical="center" wrapText="0"/>
    </xf>
    <xf borderId="8" fillId="0" fontId="11" numFmtId="0" xfId="0" applyAlignment="1" applyBorder="1" applyFont="1">
      <alignment horizontal="center" readingOrder="0" shrinkToFit="0" vertical="center" wrapText="0"/>
    </xf>
    <xf borderId="8" fillId="0" fontId="1" numFmtId="0" xfId="0" applyAlignment="1" applyBorder="1" applyFont="1">
      <alignment shrinkToFit="0" vertical="center" wrapText="0"/>
    </xf>
    <xf borderId="9" fillId="0" fontId="1" numFmtId="0" xfId="0" applyAlignment="1" applyBorder="1" applyFont="1">
      <alignment shrinkToFit="0" vertical="center" wrapText="0"/>
    </xf>
    <xf borderId="8" fillId="0" fontId="1" numFmtId="11" xfId="0" applyAlignment="1" applyBorder="1" applyFont="1" applyNumberFormat="1">
      <alignment shrinkToFit="0" vertical="center" wrapText="0"/>
    </xf>
    <xf borderId="9" fillId="0" fontId="1" numFmtId="11" xfId="0" applyAlignment="1" applyBorder="1" applyFont="1" applyNumberFormat="1">
      <alignment shrinkToFit="0" vertical="center" wrapText="0"/>
    </xf>
    <xf borderId="5" fillId="0" fontId="1" numFmtId="11" xfId="0" applyAlignment="1" applyBorder="1" applyFont="1" applyNumberFormat="1">
      <alignment shrinkToFit="0" vertical="center" wrapText="0"/>
    </xf>
    <xf borderId="6" fillId="0" fontId="1" numFmtId="11" xfId="0" applyAlignment="1" applyBorder="1" applyFont="1" applyNumberFormat="1">
      <alignment shrinkToFit="0" vertical="center" wrapText="0"/>
    </xf>
    <xf borderId="14" fillId="3" fontId="10" numFmtId="0" xfId="0" applyAlignment="1" applyBorder="1" applyFont="1">
      <alignment horizontal="center" readingOrder="0" shrinkToFit="0" vertical="center" wrapText="0"/>
    </xf>
    <xf borderId="11" fillId="0" fontId="11" numFmtId="164" xfId="0" applyAlignment="1" applyBorder="1" applyFont="1" applyNumberFormat="1">
      <alignment horizontal="center" readingOrder="0" shrinkToFit="0" vertical="center" wrapText="0"/>
    </xf>
    <xf borderId="11" fillId="0" fontId="12" numFmtId="11" xfId="0" applyAlignment="1" applyBorder="1" applyFont="1" applyNumberFormat="1">
      <alignment horizontal="center" readingOrder="0" shrinkToFit="0" vertical="center" wrapText="0"/>
    </xf>
    <xf borderId="11" fillId="0" fontId="11" numFmtId="11" xfId="0" applyAlignment="1" applyBorder="1" applyFont="1" applyNumberFormat="1">
      <alignment horizontal="center" readingOrder="0" shrinkToFit="0" vertical="center" wrapText="0"/>
    </xf>
    <xf borderId="11" fillId="0" fontId="11" numFmtId="0" xfId="0" applyAlignment="1" applyBorder="1" applyFont="1">
      <alignment horizontal="center" readingOrder="0" shrinkToFit="0" vertical="center" wrapText="0"/>
    </xf>
    <xf borderId="11" fillId="0" fontId="1" numFmtId="11" xfId="0" applyAlignment="1" applyBorder="1" applyFont="1" applyNumberFormat="1">
      <alignment shrinkToFit="0" vertical="center" wrapText="0"/>
    </xf>
    <xf borderId="12" fillId="0" fontId="1" numFmtId="11" xfId="0" applyAlignment="1" applyBorder="1" applyFont="1" applyNumberFormat="1">
      <alignment shrinkToFit="0" vertical="center" wrapText="0"/>
    </xf>
    <xf borderId="0" fillId="0" fontId="13" numFmtId="0" xfId="0" applyFont="1"/>
    <xf borderId="0" fillId="0" fontId="1" numFmtId="11" xfId="0" applyFont="1" applyNumberFormat="1"/>
    <xf borderId="1" fillId="0" fontId="14" numFmtId="0" xfId="0" applyAlignment="1" applyBorder="1" applyFont="1">
      <alignment horizontal="left" readingOrder="0" shrinkToFit="0" vertical="center" wrapText="0"/>
    </xf>
    <xf borderId="2" fillId="0" fontId="14" numFmtId="0" xfId="0" applyAlignment="1" applyBorder="1" applyFont="1">
      <alignment horizontal="left" readingOrder="0" shrinkToFit="0" vertical="center" wrapText="0"/>
    </xf>
    <xf borderId="2" fillId="0" fontId="14" numFmtId="49" xfId="0" applyAlignment="1" applyBorder="1" applyFont="1" applyNumberFormat="1">
      <alignment horizontal="left" readingOrder="0" shrinkToFit="0" vertical="center" wrapText="0"/>
    </xf>
    <xf borderId="3" fillId="0" fontId="14" numFmtId="0" xfId="0" applyAlignment="1" applyBorder="1" applyFont="1">
      <alignment horizontal="left" readingOrder="0" shrinkToFit="0" vertical="center" wrapText="0"/>
    </xf>
    <xf borderId="4" fillId="0" fontId="15" numFmtId="165" xfId="0" applyAlignment="1" applyBorder="1" applyFont="1" applyNumberFormat="1">
      <alignment readingOrder="0" shrinkToFit="0" vertical="center" wrapText="0"/>
    </xf>
    <xf borderId="5" fillId="0" fontId="15" numFmtId="20" xfId="0" applyAlignment="1" applyBorder="1" applyFont="1" applyNumberFormat="1">
      <alignment readingOrder="0" shrinkToFit="0" vertical="center" wrapText="0"/>
    </xf>
    <xf borderId="5" fillId="0" fontId="15" numFmtId="10" xfId="0" applyAlignment="1" applyBorder="1" applyFont="1" applyNumberFormat="1">
      <alignment readingOrder="0" shrinkToFit="0" vertical="center" wrapText="0"/>
    </xf>
    <xf borderId="5" fillId="0" fontId="15" numFmtId="0" xfId="0" applyAlignment="1" applyBorder="1" applyFont="1">
      <alignment readingOrder="0" shrinkToFit="0" vertical="center" wrapText="0"/>
    </xf>
    <xf borderId="6" fillId="0" fontId="15" numFmtId="0" xfId="0" applyAlignment="1" applyBorder="1" applyFont="1">
      <alignment readingOrder="0" shrinkToFit="0" vertical="center" wrapText="0"/>
    </xf>
    <xf borderId="7" fillId="0" fontId="15" numFmtId="165" xfId="0" applyAlignment="1" applyBorder="1" applyFont="1" applyNumberFormat="1">
      <alignment readingOrder="0" shrinkToFit="0" vertical="center" wrapText="0"/>
    </xf>
    <xf borderId="8" fillId="0" fontId="15" numFmtId="20" xfId="0" applyAlignment="1" applyBorder="1" applyFont="1" applyNumberFormat="1">
      <alignment readingOrder="0" shrinkToFit="0" vertical="center" wrapText="0"/>
    </xf>
    <xf borderId="8" fillId="0" fontId="15" numFmtId="10" xfId="0" applyAlignment="1" applyBorder="1" applyFont="1" applyNumberFormat="1">
      <alignment readingOrder="0" shrinkToFit="0" vertical="center" wrapText="0"/>
    </xf>
    <xf borderId="8" fillId="0" fontId="15" numFmtId="0" xfId="0" applyAlignment="1" applyBorder="1" applyFont="1">
      <alignment readingOrder="0" shrinkToFit="0" vertical="center" wrapText="0"/>
    </xf>
    <xf borderId="9" fillId="0" fontId="15" numFmtId="0" xfId="0" applyAlignment="1" applyBorder="1" applyFont="1">
      <alignment shrinkToFit="0" vertical="center" wrapText="0"/>
    </xf>
    <xf borderId="6" fillId="0" fontId="15" numFmtId="0" xfId="0" applyAlignment="1" applyBorder="1" applyFont="1">
      <alignment shrinkToFit="0" vertical="center" wrapText="0"/>
    </xf>
    <xf borderId="6" fillId="0" fontId="16" numFmtId="0" xfId="0" applyAlignment="1" applyBorder="1" applyFont="1">
      <alignment readingOrder="0" shrinkToFit="0" vertical="center" wrapText="0"/>
    </xf>
    <xf borderId="9" fillId="0" fontId="15" numFmtId="0" xfId="0" applyAlignment="1" applyBorder="1" applyFont="1">
      <alignment readingOrder="0" shrinkToFit="0" vertical="center" wrapText="0"/>
    </xf>
    <xf borderId="10" fillId="0" fontId="15" numFmtId="165" xfId="0" applyAlignment="1" applyBorder="1" applyFont="1" applyNumberFormat="1">
      <alignment readingOrder="0" shrinkToFit="0" vertical="center" wrapText="0"/>
    </xf>
    <xf borderId="11" fillId="0" fontId="15" numFmtId="20" xfId="0" applyAlignment="1" applyBorder="1" applyFont="1" applyNumberFormat="1">
      <alignment readingOrder="0" shrinkToFit="0" vertical="center" wrapText="0"/>
    </xf>
    <xf borderId="11" fillId="0" fontId="15" numFmtId="10" xfId="0" applyAlignment="1" applyBorder="1" applyFont="1" applyNumberFormat="1">
      <alignment readingOrder="0" shrinkToFit="0" vertical="center" wrapText="0"/>
    </xf>
    <xf borderId="11" fillId="0" fontId="15" numFmtId="0" xfId="0" applyAlignment="1" applyBorder="1" applyFont="1">
      <alignment readingOrder="0" shrinkToFit="0" vertical="center" wrapText="0"/>
    </xf>
    <xf borderId="12" fillId="0" fontId="15" numFmtId="0" xfId="0" applyAlignment="1" applyBorder="1" applyFont="1">
      <alignment readingOrder="0" shrinkToFit="0" vertical="center" wrapText="0"/>
    </xf>
    <xf borderId="0" fillId="0" fontId="17" numFmtId="0" xfId="0" applyAlignment="1" applyFont="1">
      <alignment horizontal="center" readingOrder="0" vertical="center"/>
    </xf>
    <xf borderId="1" fillId="0" fontId="18" numFmtId="0" xfId="0" applyAlignment="1" applyBorder="1" applyFont="1">
      <alignment horizontal="left" readingOrder="0" shrinkToFit="0" vertical="center" wrapText="0"/>
    </xf>
    <xf borderId="2" fillId="0" fontId="18" numFmtId="0" xfId="0" applyAlignment="1" applyBorder="1" applyFont="1">
      <alignment horizontal="left" readingOrder="0" shrinkToFit="0" vertical="center" wrapText="0"/>
    </xf>
    <xf borderId="3" fillId="0" fontId="18" numFmtId="0" xfId="0" applyAlignment="1" applyBorder="1" applyFont="1">
      <alignment horizontal="left" readingOrder="0" shrinkToFit="0" vertical="center" wrapText="0"/>
    </xf>
    <xf borderId="4" fillId="0" fontId="6" numFmtId="0" xfId="0" applyAlignment="1" applyBorder="1" applyFont="1">
      <alignment horizontal="right" readingOrder="0" shrinkToFit="0" vertical="center" wrapText="0"/>
    </xf>
    <xf borderId="5" fillId="0" fontId="6" numFmtId="0" xfId="0" applyAlignment="1" applyBorder="1" applyFont="1">
      <alignment horizontal="right" readingOrder="0" shrinkToFit="0" vertical="center" wrapText="0"/>
    </xf>
    <xf borderId="6" fillId="0" fontId="6" numFmtId="0" xfId="0" applyAlignment="1" applyBorder="1" applyFont="1">
      <alignment horizontal="right" readingOrder="0" shrinkToFit="0" vertical="center" wrapText="0"/>
    </xf>
    <xf borderId="7" fillId="0" fontId="6" numFmtId="0" xfId="0" applyAlignment="1" applyBorder="1" applyFont="1">
      <alignment horizontal="right" readingOrder="0" shrinkToFit="0" vertical="center" wrapText="0"/>
    </xf>
    <xf borderId="8" fillId="0" fontId="6" numFmtId="0" xfId="0" applyAlignment="1" applyBorder="1" applyFont="1">
      <alignment horizontal="right" readingOrder="0" shrinkToFit="0" vertical="center" wrapText="0"/>
    </xf>
    <xf borderId="9" fillId="0" fontId="6" numFmtId="0" xfId="0" applyAlignment="1" applyBorder="1" applyFont="1">
      <alignment horizontal="right" readingOrder="0" shrinkToFit="0" vertical="center" wrapText="0"/>
    </xf>
    <xf borderId="15" fillId="0" fontId="6" numFmtId="0" xfId="0" applyAlignment="1" applyBorder="1" applyFont="1">
      <alignment horizontal="right" readingOrder="0" shrinkToFit="0" vertical="center" wrapText="0"/>
    </xf>
    <xf borderId="16" fillId="0" fontId="6" numFmtId="0" xfId="0" applyAlignment="1" applyBorder="1" applyFont="1">
      <alignment horizontal="right" readingOrder="0" shrinkToFit="0" vertical="center" wrapText="0"/>
    </xf>
    <xf borderId="17" fillId="0" fontId="6" numFmtId="0" xfId="0" applyAlignment="1" applyBorder="1" applyFont="1">
      <alignment horizontal="right" readingOrder="0" shrinkToFit="0" vertical="center" wrapText="0"/>
    </xf>
    <xf borderId="0" fillId="0" fontId="19" numFmtId="0" xfId="0" applyAlignment="1" applyFont="1">
      <alignment horizontal="center" readingOrder="0" vertical="center"/>
    </xf>
    <xf borderId="18" fillId="4" fontId="20" numFmtId="0" xfId="0" applyAlignment="1" applyBorder="1" applyFill="1" applyFont="1">
      <alignment horizontal="center" shrinkToFit="0" vertical="center" wrapText="1"/>
    </xf>
    <xf borderId="0" fillId="4" fontId="20" numFmtId="0" xfId="0" applyAlignment="1" applyFont="1">
      <alignment horizontal="center" vertical="center"/>
    </xf>
    <xf borderId="19" fillId="4" fontId="20" numFmtId="0" xfId="0" applyAlignment="1" applyBorder="1" applyFont="1">
      <alignment horizontal="center" vertical="center"/>
    </xf>
    <xf borderId="20" fillId="4" fontId="21" numFmtId="0" xfId="0" applyAlignment="1" applyBorder="1" applyFont="1">
      <alignment horizontal="center" readingOrder="0" shrinkToFit="0" vertical="center" wrapText="1"/>
    </xf>
    <xf borderId="18" fillId="0" fontId="22" numFmtId="0" xfId="0" applyBorder="1" applyFont="1"/>
    <xf borderId="21" fillId="4" fontId="21" numFmtId="0" xfId="0" applyAlignment="1" applyBorder="1" applyFont="1">
      <alignment horizontal="center" shrinkToFit="0" vertical="center" wrapText="1"/>
    </xf>
    <xf borderId="22" fillId="4" fontId="21" numFmtId="0" xfId="0" applyAlignment="1" applyBorder="1" applyFont="1">
      <alignment horizontal="center" vertical="center"/>
    </xf>
    <xf borderId="23" fillId="4" fontId="21" numFmtId="0" xfId="0" applyAlignment="1" applyBorder="1" applyFont="1">
      <alignment horizontal="center" readingOrder="0" vertical="center"/>
    </xf>
    <xf borderId="21" fillId="0" fontId="22" numFmtId="0" xfId="0" applyBorder="1" applyFont="1"/>
    <xf borderId="24" fillId="4" fontId="21" numFmtId="0" xfId="0" applyAlignment="1" applyBorder="1" applyFont="1">
      <alignment horizontal="center" vertical="center"/>
    </xf>
    <xf borderId="25" fillId="0" fontId="1" numFmtId="0" xfId="0" applyAlignment="1" applyBorder="1" applyFont="1">
      <alignment horizontal="center" readingOrder="0" shrinkToFit="0" vertical="center" wrapText="1"/>
    </xf>
    <xf borderId="26" fillId="0" fontId="1" numFmtId="0" xfId="0" applyAlignment="1" applyBorder="1" applyFont="1">
      <alignment horizontal="center" readingOrder="0" vertical="center"/>
    </xf>
    <xf borderId="26" fillId="0" fontId="23" numFmtId="0" xfId="0" applyAlignment="1" applyBorder="1" applyFont="1">
      <alignment horizontal="center" readingOrder="0" vertical="center"/>
    </xf>
    <xf borderId="26" fillId="0" fontId="23" numFmtId="0" xfId="0" applyAlignment="1" applyBorder="1" applyFont="1">
      <alignment horizontal="center" vertical="center"/>
    </xf>
    <xf borderId="20" fillId="0" fontId="22" numFmtId="0" xfId="0" applyBorder="1" applyFont="1"/>
    <xf borderId="26" fillId="0" fontId="23" numFmtId="0" xfId="0" applyAlignment="1" applyBorder="1" applyFont="1">
      <alignment horizontal="center" vertical="bottom"/>
    </xf>
    <xf borderId="25" fillId="0" fontId="1" numFmtId="0" xfId="0" applyAlignment="1" applyBorder="1" applyFont="1">
      <alignment horizontal="center" readingOrder="0" vertical="center"/>
    </xf>
    <xf borderId="25" fillId="0" fontId="23" numFmtId="0" xfId="0" applyAlignment="1" applyBorder="1" applyFont="1">
      <alignment horizontal="center" vertical="bottom"/>
    </xf>
    <xf borderId="27" fillId="0" fontId="1" numFmtId="0" xfId="0" applyAlignment="1" applyBorder="1" applyFont="1">
      <alignment horizontal="center" readingOrder="0" shrinkToFit="0" vertical="center" wrapText="1"/>
    </xf>
    <xf borderId="28" fillId="0" fontId="1" numFmtId="0" xfId="0" applyAlignment="1" applyBorder="1" applyFont="1">
      <alignment horizontal="center" readingOrder="0" vertical="center"/>
    </xf>
    <xf borderId="28" fillId="0" fontId="23" numFmtId="0" xfId="0" applyAlignment="1" applyBorder="1" applyFont="1">
      <alignment horizontal="center" vertical="center"/>
    </xf>
    <xf borderId="29" fillId="0" fontId="22" numFmtId="0" xfId="0" applyBorder="1" applyFont="1"/>
    <xf borderId="30" fillId="0" fontId="1" numFmtId="0" xfId="0" applyAlignment="1" applyBorder="1" applyFont="1">
      <alignment horizontal="center" readingOrder="0" vertical="center"/>
    </xf>
    <xf borderId="30" fillId="0" fontId="23" numFmtId="0" xfId="0" applyAlignment="1" applyBorder="1" applyFont="1">
      <alignment horizontal="center" vertical="center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vertical="center"/>
    </xf>
    <xf borderId="21" fillId="0" fontId="23" numFmtId="0" xfId="0" applyAlignment="1" applyBorder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26" fillId="0" fontId="24" numFmtId="0" xfId="0" applyAlignment="1" applyBorder="1" applyFont="1">
      <alignment horizontal="center" readingOrder="0" shrinkToFit="0" vertical="center" wrapText="0"/>
    </xf>
    <xf borderId="31" fillId="0" fontId="24" numFmtId="0" xfId="0" applyAlignment="1" applyBorder="1" applyFont="1">
      <alignment horizontal="center" readingOrder="0" shrinkToFit="0" vertical="center" wrapText="0"/>
    </xf>
    <xf borderId="32" fillId="0" fontId="24" numFmtId="0" xfId="0" applyAlignment="1" applyBorder="1" applyFont="1">
      <alignment horizontal="center" readingOrder="0" shrinkToFit="0" vertical="center" wrapText="0"/>
    </xf>
    <xf borderId="26" fillId="5" fontId="24" numFmtId="0" xfId="0" applyAlignment="1" applyBorder="1" applyFill="1" applyFont="1">
      <alignment horizontal="center" readingOrder="0" shrinkToFit="0" vertical="center" wrapText="0"/>
    </xf>
    <xf borderId="33" fillId="5" fontId="24" numFmtId="0" xfId="0" applyAlignment="1" applyBorder="1" applyFont="1">
      <alignment horizontal="center" readingOrder="0" shrinkToFit="0" vertical="center" wrapText="0"/>
    </xf>
    <xf borderId="26" fillId="5" fontId="1" numFmtId="0" xfId="0" applyAlignment="1" applyBorder="1" applyFont="1">
      <alignment horizontal="center" readingOrder="0" shrinkToFit="0" vertical="center" wrapText="0"/>
    </xf>
    <xf borderId="32" fillId="5" fontId="1" numFmtId="0" xfId="0" applyAlignment="1" applyBorder="1" applyFont="1">
      <alignment horizontal="center" readingOrder="0" shrinkToFit="0" vertical="center" wrapText="0"/>
    </xf>
    <xf borderId="30" fillId="5" fontId="24" numFmtId="0" xfId="0" applyAlignment="1" applyBorder="1" applyFont="1">
      <alignment horizontal="center" readingOrder="0" shrinkToFit="0" vertical="center" wrapText="0"/>
    </xf>
    <xf borderId="34" fillId="5" fontId="24" numFmtId="0" xfId="0" applyAlignment="1" applyBorder="1" applyFont="1">
      <alignment horizontal="center" readingOrder="0" shrinkToFit="0" vertical="center" wrapText="0"/>
    </xf>
    <xf borderId="30" fillId="5" fontId="1" numFmtId="0" xfId="0" applyAlignment="1" applyBorder="1" applyFont="1">
      <alignment horizontal="center" readingOrder="0" shrinkToFit="0" vertical="center" wrapText="0"/>
    </xf>
    <xf borderId="35" fillId="5" fontId="1" numFmtId="0" xfId="0" applyAlignment="1" applyBorder="1" applyFont="1">
      <alignment horizontal="center" readingOrder="0" shrinkToFit="0" vertical="center" wrapText="0"/>
    </xf>
    <xf borderId="36" fillId="6" fontId="24" numFmtId="0" xfId="0" applyAlignment="1" applyBorder="1" applyFill="1" applyFont="1">
      <alignment horizontal="center" readingOrder="0" shrinkToFit="0" vertical="center" wrapText="0"/>
    </xf>
    <xf borderId="37" fillId="6" fontId="24" numFmtId="0" xfId="0" applyAlignment="1" applyBorder="1" applyFont="1">
      <alignment horizontal="center" readingOrder="0" shrinkToFit="0" vertical="center" wrapText="0"/>
    </xf>
    <xf borderId="36" fillId="6" fontId="1" numFmtId="0" xfId="0" applyAlignment="1" applyBorder="1" applyFont="1">
      <alignment horizontal="center" readingOrder="0" shrinkToFit="0" vertical="center" wrapText="0"/>
    </xf>
    <xf borderId="38" fillId="6" fontId="1" numFmtId="0" xfId="0" applyAlignment="1" applyBorder="1" applyFont="1">
      <alignment horizontal="center" readingOrder="0" shrinkToFit="0" vertical="center" wrapText="0"/>
    </xf>
    <xf borderId="26" fillId="6" fontId="24" numFmtId="0" xfId="0" applyAlignment="1" applyBorder="1" applyFont="1">
      <alignment horizontal="center" readingOrder="0" shrinkToFit="0" vertical="center" wrapText="0"/>
    </xf>
    <xf borderId="39" fillId="6" fontId="24" numFmtId="0" xfId="0" applyAlignment="1" applyBorder="1" applyFont="1">
      <alignment horizontal="center" readingOrder="0" shrinkToFit="0" vertical="center" wrapText="0"/>
    </xf>
    <xf borderId="26" fillId="6" fontId="1" numFmtId="0" xfId="0" applyAlignment="1" applyBorder="1" applyFont="1">
      <alignment horizontal="center" readingOrder="0" shrinkToFit="0" vertical="center" wrapText="0"/>
    </xf>
    <xf borderId="32" fillId="6" fontId="1" numFmtId="0" xfId="0" applyAlignment="1" applyBorder="1" applyFont="1">
      <alignment horizontal="center" readingOrder="0" shrinkToFit="0" vertical="center" wrapText="0"/>
    </xf>
    <xf borderId="30" fillId="6" fontId="24" numFmtId="0" xfId="0" applyAlignment="1" applyBorder="1" applyFont="1">
      <alignment horizontal="center" readingOrder="0" shrinkToFit="0" vertical="center" wrapText="0"/>
    </xf>
    <xf borderId="40" fillId="6" fontId="24" numFmtId="0" xfId="0" applyAlignment="1" applyBorder="1" applyFont="1">
      <alignment horizontal="center" readingOrder="0" shrinkToFit="0" vertical="center" wrapText="0"/>
    </xf>
    <xf borderId="30" fillId="6" fontId="1" numFmtId="0" xfId="0" applyAlignment="1" applyBorder="1" applyFont="1">
      <alignment horizontal="center" readingOrder="0" shrinkToFit="0" vertical="center" wrapText="0"/>
    </xf>
    <xf borderId="35" fillId="6" fontId="1" numFmtId="0" xfId="0" applyAlignment="1" applyBorder="1" applyFont="1">
      <alignment horizontal="center" readingOrder="0" shrinkToFit="0" vertical="center" wrapText="0"/>
    </xf>
    <xf borderId="41" fillId="7" fontId="24" numFmtId="0" xfId="0" applyAlignment="1" applyBorder="1" applyFill="1" applyFont="1">
      <alignment horizontal="center" readingOrder="0" shrinkToFit="0" vertical="center" wrapText="0"/>
    </xf>
    <xf borderId="42" fillId="7" fontId="24" numFmtId="0" xfId="0" applyAlignment="1" applyBorder="1" applyFont="1">
      <alignment horizontal="center" readingOrder="0" shrinkToFit="0" vertical="center" wrapText="0"/>
    </xf>
    <xf borderId="41" fillId="7" fontId="1" numFmtId="0" xfId="0" applyAlignment="1" applyBorder="1" applyFont="1">
      <alignment horizontal="center" readingOrder="0" shrinkToFit="0" vertical="center" wrapText="0"/>
    </xf>
    <xf borderId="43" fillId="7" fontId="1" numFmtId="0" xfId="0" applyAlignment="1" applyBorder="1" applyFont="1">
      <alignment horizontal="center" readingOrder="0" shrinkToFit="0" vertical="center" wrapText="0"/>
    </xf>
    <xf borderId="26" fillId="7" fontId="24" numFmtId="0" xfId="0" applyAlignment="1" applyBorder="1" applyFont="1">
      <alignment horizontal="center" readingOrder="0" shrinkToFit="0" vertical="center" wrapText="0"/>
    </xf>
    <xf borderId="44" fillId="7" fontId="24" numFmtId="0" xfId="0" applyAlignment="1" applyBorder="1" applyFont="1">
      <alignment horizontal="center" readingOrder="0" shrinkToFit="0" vertical="center" wrapText="0"/>
    </xf>
    <xf borderId="26" fillId="7" fontId="1" numFmtId="0" xfId="0" applyAlignment="1" applyBorder="1" applyFont="1">
      <alignment horizontal="center" readingOrder="0" shrinkToFit="0" vertical="center" wrapText="0"/>
    </xf>
    <xf borderId="32" fillId="7" fontId="1" numFmtId="0" xfId="0" applyAlignment="1" applyBorder="1" applyFont="1">
      <alignment horizontal="center" readingOrder="0" shrinkToFit="0" vertical="center" wrapText="0"/>
    </xf>
    <xf borderId="45" fillId="7" fontId="24" numFmtId="0" xfId="0" applyAlignment="1" applyBorder="1" applyFont="1">
      <alignment horizontal="center" readingOrder="0" shrinkToFit="0" vertical="center" wrapText="0"/>
    </xf>
    <xf borderId="46" fillId="7" fontId="24" numFmtId="0" xfId="0" applyAlignment="1" applyBorder="1" applyFont="1">
      <alignment horizontal="center" readingOrder="0" shrinkToFit="0" vertical="center" wrapText="0"/>
    </xf>
    <xf borderId="45" fillId="7" fontId="1" numFmtId="0" xfId="0" applyAlignment="1" applyBorder="1" applyFont="1">
      <alignment horizontal="center" readingOrder="0" shrinkToFit="0" vertical="center" wrapText="0"/>
    </xf>
    <xf borderId="47" fillId="7" fontId="1" numFmtId="0" xfId="0" applyAlignment="1" applyBorder="1" applyFont="1">
      <alignment horizontal="center" readingOrder="0" shrinkToFit="0" vertical="center" wrapText="0"/>
    </xf>
    <xf borderId="28" fillId="8" fontId="24" numFmtId="0" xfId="0" applyAlignment="1" applyBorder="1" applyFill="1" applyFont="1">
      <alignment horizontal="center" readingOrder="0" shrinkToFit="0" vertical="center" wrapText="0"/>
    </xf>
    <xf borderId="48" fillId="8" fontId="24" numFmtId="0" xfId="0" applyAlignment="1" applyBorder="1" applyFont="1">
      <alignment horizontal="center" readingOrder="0" shrinkToFit="0" vertical="center" wrapText="0"/>
    </xf>
    <xf borderId="28" fillId="8" fontId="1" numFmtId="0" xfId="0" applyAlignment="1" applyBorder="1" applyFont="1">
      <alignment horizontal="center" readingOrder="0" shrinkToFit="0" vertical="center" wrapText="0"/>
    </xf>
    <xf borderId="49" fillId="8" fontId="1" numFmtId="0" xfId="0" applyAlignment="1" applyBorder="1" applyFont="1">
      <alignment horizontal="center" readingOrder="0" shrinkToFit="0" vertical="center" wrapText="0"/>
    </xf>
    <xf borderId="26" fillId="8" fontId="24" numFmtId="0" xfId="0" applyAlignment="1" applyBorder="1" applyFont="1">
      <alignment horizontal="center" readingOrder="0" shrinkToFit="0" vertical="center" wrapText="0"/>
    </xf>
    <xf borderId="50" fillId="8" fontId="24" numFmtId="0" xfId="0" applyAlignment="1" applyBorder="1" applyFont="1">
      <alignment horizontal="center" readingOrder="0" shrinkToFit="0" vertical="center" wrapText="0"/>
    </xf>
    <xf borderId="26" fillId="8" fontId="1" numFmtId="0" xfId="0" applyAlignment="1" applyBorder="1" applyFont="1">
      <alignment horizontal="center" readingOrder="0" shrinkToFit="0" vertical="center" wrapText="0"/>
    </xf>
    <xf borderId="32" fillId="8" fontId="1" numFmtId="0" xfId="0" applyAlignment="1" applyBorder="1" applyFont="1">
      <alignment horizontal="center" readingOrder="0" shrinkToFit="0" vertical="center" wrapText="0"/>
    </xf>
    <xf borderId="30" fillId="8" fontId="24" numFmtId="0" xfId="0" applyAlignment="1" applyBorder="1" applyFont="1">
      <alignment horizontal="center" readingOrder="0" shrinkToFit="0" vertical="center" wrapText="0"/>
    </xf>
    <xf borderId="51" fillId="8" fontId="24" numFmtId="0" xfId="0" applyAlignment="1" applyBorder="1" applyFont="1">
      <alignment horizontal="center" readingOrder="0" shrinkToFit="0" vertical="center" wrapText="0"/>
    </xf>
    <xf borderId="30" fillId="8" fontId="1" numFmtId="0" xfId="0" applyAlignment="1" applyBorder="1" applyFont="1">
      <alignment horizontal="center" readingOrder="0" shrinkToFit="0" vertical="center" wrapText="0"/>
    </xf>
    <xf borderId="35" fillId="8" fontId="1" numFmtId="0" xfId="0" applyAlignment="1" applyBorder="1" applyFont="1">
      <alignment horizontal="center" readingOrder="0" shrinkToFit="0" vertical="center" wrapText="0"/>
    </xf>
    <xf borderId="52" fillId="9" fontId="24" numFmtId="0" xfId="0" applyAlignment="1" applyBorder="1" applyFill="1" applyFont="1">
      <alignment horizontal="center" readingOrder="0" shrinkToFit="0" vertical="center" wrapText="0"/>
    </xf>
    <xf borderId="53" fillId="9" fontId="24" numFmtId="0" xfId="0" applyAlignment="1" applyBorder="1" applyFont="1">
      <alignment horizontal="center" readingOrder="0" shrinkToFit="0" vertical="center" wrapText="0"/>
    </xf>
    <xf borderId="52" fillId="9" fontId="1" numFmtId="0" xfId="0" applyAlignment="1" applyBorder="1" applyFont="1">
      <alignment horizontal="center" readingOrder="0" shrinkToFit="0" vertical="center" wrapText="0"/>
    </xf>
    <xf borderId="54" fillId="9" fontId="1" numFmtId="0" xfId="0" applyAlignment="1" applyBorder="1" applyFont="1">
      <alignment horizontal="center" readingOrder="0" shrinkToFit="0" vertical="center" wrapText="0"/>
    </xf>
    <xf borderId="26" fillId="9" fontId="24" numFmtId="0" xfId="0" applyAlignment="1" applyBorder="1" applyFont="1">
      <alignment horizontal="center" readingOrder="0" shrinkToFit="0" vertical="center" wrapText="0"/>
    </xf>
    <xf borderId="55" fillId="9" fontId="24" numFmtId="0" xfId="0" applyAlignment="1" applyBorder="1" applyFont="1">
      <alignment horizontal="center" readingOrder="0" shrinkToFit="0" vertical="center" wrapText="0"/>
    </xf>
    <xf borderId="26" fillId="9" fontId="1" numFmtId="0" xfId="0" applyAlignment="1" applyBorder="1" applyFont="1">
      <alignment horizontal="center" readingOrder="0" shrinkToFit="0" vertical="center" wrapText="0"/>
    </xf>
    <xf borderId="32" fillId="9" fontId="1" numFmtId="0" xfId="0" applyAlignment="1" applyBorder="1" applyFont="1">
      <alignment horizontal="center" readingOrder="0" shrinkToFit="0" vertical="center" wrapText="0"/>
    </xf>
    <xf borderId="56" fillId="9" fontId="24" numFmtId="0" xfId="0" applyAlignment="1" applyBorder="1" applyFont="1">
      <alignment horizontal="center" readingOrder="0" shrinkToFit="0" vertical="center" wrapText="0"/>
    </xf>
    <xf borderId="57" fillId="9" fontId="24" numFmtId="0" xfId="0" applyAlignment="1" applyBorder="1" applyFont="1">
      <alignment horizontal="center" readingOrder="0" shrinkToFit="0" vertical="center" wrapText="0"/>
    </xf>
    <xf borderId="56" fillId="9" fontId="1" numFmtId="0" xfId="0" applyAlignment="1" applyBorder="1" applyFont="1">
      <alignment horizontal="center" readingOrder="0" shrinkToFit="0" vertical="center" wrapText="0"/>
    </xf>
    <xf borderId="58" fillId="9" fontId="1" numFmtId="0" xfId="0" applyAlignment="1" applyBorder="1" applyFont="1">
      <alignment horizontal="center" readingOrder="0" shrinkToFit="0" vertical="center" wrapText="0"/>
    </xf>
    <xf borderId="28" fillId="4" fontId="24" numFmtId="0" xfId="0" applyAlignment="1" applyBorder="1" applyFont="1">
      <alignment horizontal="center" readingOrder="0" shrinkToFit="0" vertical="center" wrapText="0"/>
    </xf>
    <xf borderId="59" fillId="4" fontId="24" numFmtId="0" xfId="0" applyAlignment="1" applyBorder="1" applyFont="1">
      <alignment horizontal="center" readingOrder="0" shrinkToFit="0" vertical="center" wrapText="0"/>
    </xf>
    <xf borderId="28" fillId="4" fontId="1" numFmtId="0" xfId="0" applyAlignment="1" applyBorder="1" applyFont="1">
      <alignment horizontal="center" readingOrder="0" shrinkToFit="0" vertical="center" wrapText="0"/>
    </xf>
    <xf borderId="49" fillId="4" fontId="1" numFmtId="0" xfId="0" applyAlignment="1" applyBorder="1" applyFont="1">
      <alignment horizontal="center" readingOrder="0" shrinkToFit="0" vertical="center" wrapText="0"/>
    </xf>
    <xf borderId="26" fillId="4" fontId="24" numFmtId="0" xfId="0" applyAlignment="1" applyBorder="1" applyFont="1">
      <alignment horizontal="center" readingOrder="0" shrinkToFit="0" vertical="center" wrapText="0"/>
    </xf>
    <xf borderId="60" fillId="4" fontId="24" numFmtId="0" xfId="0" applyAlignment="1" applyBorder="1" applyFont="1">
      <alignment horizontal="center" readingOrder="0" shrinkToFit="0" vertical="center" wrapText="0"/>
    </xf>
    <xf borderId="26" fillId="4" fontId="1" numFmtId="0" xfId="0" applyAlignment="1" applyBorder="1" applyFont="1">
      <alignment horizontal="center" readingOrder="0" shrinkToFit="0" vertical="center" wrapText="0"/>
    </xf>
    <xf borderId="32" fillId="4" fontId="1" numFmtId="0" xfId="0" applyAlignment="1" applyBorder="1" applyFont="1">
      <alignment horizontal="center" readingOrder="0" shrinkToFit="0" vertical="center" wrapText="0"/>
    </xf>
    <xf borderId="30" fillId="4" fontId="24" numFmtId="0" xfId="0" applyAlignment="1" applyBorder="1" applyFont="1">
      <alignment horizontal="center" readingOrder="0" shrinkToFit="0" vertical="center" wrapText="0"/>
    </xf>
    <xf borderId="61" fillId="4" fontId="24" numFmtId="0" xfId="0" applyAlignment="1" applyBorder="1" applyFont="1">
      <alignment horizontal="center" readingOrder="0" shrinkToFit="0" vertical="center" wrapText="0"/>
    </xf>
    <xf borderId="30" fillId="4" fontId="1" numFmtId="0" xfId="0" applyAlignment="1" applyBorder="1" applyFont="1">
      <alignment horizontal="center" readingOrder="0" shrinkToFit="0" vertical="center" wrapText="0"/>
    </xf>
    <xf borderId="35" fillId="4" fontId="1" numFmtId="0" xfId="0" applyAlignment="1" applyBorder="1" applyFont="1">
      <alignment horizontal="center" readingOrder="0" shrinkToFit="0" vertical="center" wrapText="0"/>
    </xf>
    <xf borderId="62" fillId="10" fontId="24" numFmtId="0" xfId="0" applyAlignment="1" applyBorder="1" applyFill="1" applyFont="1">
      <alignment horizontal="center" readingOrder="0" shrinkToFit="0" vertical="center" wrapText="0"/>
    </xf>
    <xf borderId="63" fillId="10" fontId="24" numFmtId="0" xfId="0" applyAlignment="1" applyBorder="1" applyFont="1">
      <alignment horizontal="center" readingOrder="0" shrinkToFit="0" vertical="center" wrapText="0"/>
    </xf>
    <xf borderId="62" fillId="10" fontId="1" numFmtId="0" xfId="0" applyAlignment="1" applyBorder="1" applyFont="1">
      <alignment horizontal="center" readingOrder="0" shrinkToFit="0" vertical="center" wrapText="0"/>
    </xf>
    <xf borderId="64" fillId="10" fontId="1" numFmtId="0" xfId="0" applyAlignment="1" applyBorder="1" applyFont="1">
      <alignment horizontal="center" readingOrder="0" shrinkToFit="0" vertical="center" wrapText="0"/>
    </xf>
    <xf borderId="26" fillId="10" fontId="24" numFmtId="0" xfId="0" applyAlignment="1" applyBorder="1" applyFont="1">
      <alignment horizontal="center" readingOrder="0" shrinkToFit="0" vertical="center" wrapText="0"/>
    </xf>
    <xf borderId="65" fillId="10" fontId="24" numFmtId="0" xfId="0" applyAlignment="1" applyBorder="1" applyFont="1">
      <alignment horizontal="center" readingOrder="0" shrinkToFit="0" vertical="center" wrapText="0"/>
    </xf>
    <xf borderId="26" fillId="10" fontId="1" numFmtId="0" xfId="0" applyAlignment="1" applyBorder="1" applyFont="1">
      <alignment horizontal="center" readingOrder="0" shrinkToFit="0" vertical="center" wrapText="0"/>
    </xf>
    <xf borderId="32" fillId="10" fontId="1" numFmtId="0" xfId="0" applyAlignment="1" applyBorder="1" applyFont="1">
      <alignment horizontal="center" readingOrder="0" shrinkToFit="0" vertical="center" wrapText="0"/>
    </xf>
    <xf borderId="66" fillId="10" fontId="24" numFmtId="0" xfId="0" applyAlignment="1" applyBorder="1" applyFont="1">
      <alignment horizontal="center" readingOrder="0" shrinkToFit="0" vertical="center" wrapText="0"/>
    </xf>
    <xf borderId="67" fillId="10" fontId="24" numFmtId="0" xfId="0" applyAlignment="1" applyBorder="1" applyFont="1">
      <alignment horizontal="center" readingOrder="0" shrinkToFit="0" vertical="center" wrapText="0"/>
    </xf>
    <xf borderId="66" fillId="10" fontId="1" numFmtId="0" xfId="0" applyAlignment="1" applyBorder="1" applyFont="1">
      <alignment horizontal="center" readingOrder="0" shrinkToFit="0" vertical="center" wrapText="0"/>
    </xf>
    <xf borderId="68" fillId="10" fontId="1" numFmtId="0" xfId="0" applyAlignment="1" applyBorder="1" applyFont="1">
      <alignment horizontal="center" readingOrder="0" shrinkToFit="0" vertical="center" wrapText="0"/>
    </xf>
    <xf borderId="28" fillId="11" fontId="24" numFmtId="0" xfId="0" applyAlignment="1" applyBorder="1" applyFill="1" applyFont="1">
      <alignment horizontal="center" readingOrder="0" shrinkToFit="0" vertical="center" wrapText="0"/>
    </xf>
    <xf borderId="69" fillId="11" fontId="24" numFmtId="0" xfId="0" applyAlignment="1" applyBorder="1" applyFont="1">
      <alignment horizontal="center" readingOrder="0" shrinkToFit="0" vertical="center" wrapText="0"/>
    </xf>
    <xf borderId="28" fillId="11" fontId="1" numFmtId="0" xfId="0" applyAlignment="1" applyBorder="1" applyFont="1">
      <alignment horizontal="center" readingOrder="0" shrinkToFit="0" vertical="center" wrapText="0"/>
    </xf>
    <xf borderId="49" fillId="11" fontId="1" numFmtId="0" xfId="0" applyAlignment="1" applyBorder="1" applyFont="1">
      <alignment horizontal="center" readingOrder="0" shrinkToFit="0" vertical="center" wrapText="0"/>
    </xf>
    <xf borderId="26" fillId="11" fontId="24" numFmtId="0" xfId="0" applyAlignment="1" applyBorder="1" applyFont="1">
      <alignment horizontal="center" readingOrder="0" shrinkToFit="0" vertical="center" wrapText="0"/>
    </xf>
    <xf borderId="70" fillId="11" fontId="24" numFmtId="0" xfId="0" applyAlignment="1" applyBorder="1" applyFont="1">
      <alignment horizontal="center" readingOrder="0" shrinkToFit="0" vertical="center" wrapText="0"/>
    </xf>
    <xf borderId="26" fillId="11" fontId="1" numFmtId="0" xfId="0" applyAlignment="1" applyBorder="1" applyFont="1">
      <alignment horizontal="center" readingOrder="0" shrinkToFit="0" vertical="center" wrapText="0"/>
    </xf>
    <xf borderId="32" fillId="11" fontId="1" numFmtId="0" xfId="0" applyAlignment="1" applyBorder="1" applyFont="1">
      <alignment horizontal="center" readingOrder="0" shrinkToFit="0" vertical="center" wrapText="0"/>
    </xf>
    <xf borderId="30" fillId="11" fontId="24" numFmtId="0" xfId="0" applyAlignment="1" applyBorder="1" applyFont="1">
      <alignment horizontal="center" readingOrder="0" shrinkToFit="0" vertical="center" wrapText="0"/>
    </xf>
    <xf borderId="71" fillId="11" fontId="24" numFmtId="0" xfId="0" applyAlignment="1" applyBorder="1" applyFont="1">
      <alignment horizontal="center" readingOrder="0" shrinkToFit="0" vertical="center" wrapText="0"/>
    </xf>
    <xf borderId="30" fillId="11" fontId="1" numFmtId="0" xfId="0" applyAlignment="1" applyBorder="1" applyFont="1">
      <alignment horizontal="center" readingOrder="0" shrinkToFit="0" vertical="center" wrapText="0"/>
    </xf>
    <xf borderId="35" fillId="11" fontId="1" numFmtId="0" xfId="0" applyAlignment="1" applyBorder="1" applyFont="1">
      <alignment horizontal="center" readingOrder="0" shrinkToFit="0" vertical="center" wrapText="0"/>
    </xf>
    <xf borderId="0" fillId="0" fontId="24" numFmtId="0" xfId="0" applyFont="1"/>
    <xf borderId="72" fillId="0" fontId="1" numFmtId="0" xfId="0" applyBorder="1" applyFont="1"/>
    <xf borderId="26" fillId="0" fontId="24" numFmtId="0" xfId="0" applyAlignment="1" applyBorder="1" applyFont="1">
      <alignment horizontal="center" readingOrder="0"/>
    </xf>
    <xf borderId="73" fillId="0" fontId="24" numFmtId="0" xfId="0" applyAlignment="1" applyBorder="1" applyFont="1">
      <alignment horizontal="center" readingOrder="0"/>
    </xf>
    <xf borderId="0" fillId="0" fontId="24" numFmtId="0" xfId="0" applyAlignment="1" applyFont="1">
      <alignment horizontal="center" readingOrder="0"/>
    </xf>
    <xf borderId="26" fillId="5" fontId="24" numFmtId="0" xfId="0" applyAlignment="1" applyBorder="1" applyFont="1">
      <alignment horizontal="center" readingOrder="0"/>
    </xf>
    <xf borderId="73" fillId="5" fontId="24" numFmtId="0" xfId="0" applyAlignment="1" applyBorder="1" applyFont="1">
      <alignment horizontal="center" readingOrder="0"/>
    </xf>
    <xf borderId="26" fillId="5" fontId="1" numFmtId="11" xfId="0" applyAlignment="1" applyBorder="1" applyFont="1" applyNumberFormat="1">
      <alignment horizontal="center" readingOrder="0"/>
    </xf>
    <xf borderId="26" fillId="5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/>
    </xf>
    <xf borderId="21" fillId="6" fontId="24" numFmtId="0" xfId="0" applyAlignment="1" applyBorder="1" applyFont="1">
      <alignment horizontal="center" readingOrder="0"/>
    </xf>
    <xf borderId="23" fillId="6" fontId="24" numFmtId="0" xfId="0" applyAlignment="1" applyBorder="1" applyFont="1">
      <alignment horizontal="center" readingOrder="0"/>
    </xf>
    <xf borderId="21" fillId="6" fontId="1" numFmtId="11" xfId="0" applyAlignment="1" applyBorder="1" applyFont="1" applyNumberFormat="1">
      <alignment horizontal="center" readingOrder="0"/>
    </xf>
    <xf borderId="21" fillId="6" fontId="1" numFmtId="0" xfId="0" applyAlignment="1" applyBorder="1" applyFont="1">
      <alignment horizontal="center" readingOrder="0"/>
    </xf>
    <xf borderId="21" fillId="7" fontId="24" numFmtId="0" xfId="0" applyAlignment="1" applyBorder="1" applyFont="1">
      <alignment horizontal="center" readingOrder="0"/>
    </xf>
    <xf borderId="23" fillId="7" fontId="24" numFmtId="0" xfId="0" applyAlignment="1" applyBorder="1" applyFont="1">
      <alignment horizontal="center" readingOrder="0"/>
    </xf>
    <xf borderId="21" fillId="7" fontId="1" numFmtId="11" xfId="0" applyAlignment="1" applyBorder="1" applyFont="1" applyNumberFormat="1">
      <alignment horizontal="center" readingOrder="0"/>
    </xf>
    <xf borderId="21" fillId="7" fontId="1" numFmtId="0" xfId="0" applyAlignment="1" applyBorder="1" applyFont="1">
      <alignment horizontal="center" readingOrder="0"/>
    </xf>
    <xf borderId="21" fillId="0" fontId="1" numFmtId="0" xfId="0" applyAlignment="1" applyBorder="1" applyFont="1">
      <alignment horizontal="center" readingOrder="0"/>
    </xf>
    <xf borderId="28" fillId="8" fontId="24" numFmtId="0" xfId="0" applyAlignment="1" applyBorder="1" applyFont="1">
      <alignment horizontal="center" readingOrder="0"/>
    </xf>
    <xf borderId="74" fillId="8" fontId="24" numFmtId="0" xfId="0" applyAlignment="1" applyBorder="1" applyFont="1">
      <alignment horizontal="center" readingOrder="0"/>
    </xf>
    <xf borderId="28" fillId="8" fontId="1" numFmtId="11" xfId="0" applyAlignment="1" applyBorder="1" applyFont="1" applyNumberFormat="1">
      <alignment horizontal="center" readingOrder="0"/>
    </xf>
    <xf borderId="26" fillId="8" fontId="1" numFmtId="0" xfId="0" applyAlignment="1" applyBorder="1" applyFont="1">
      <alignment horizontal="center" readingOrder="0"/>
    </xf>
    <xf borderId="21" fillId="9" fontId="24" numFmtId="0" xfId="0" applyAlignment="1" applyBorder="1" applyFont="1">
      <alignment horizontal="center" readingOrder="0"/>
    </xf>
    <xf borderId="23" fillId="9" fontId="24" numFmtId="0" xfId="0" applyAlignment="1" applyBorder="1" applyFont="1">
      <alignment horizontal="center" readingOrder="0"/>
    </xf>
    <xf borderId="21" fillId="9" fontId="1" numFmtId="11" xfId="0" applyAlignment="1" applyBorder="1" applyFont="1" applyNumberFormat="1">
      <alignment horizontal="center" readingOrder="0"/>
    </xf>
    <xf borderId="21" fillId="9" fontId="1" numFmtId="0" xfId="0" applyAlignment="1" applyBorder="1" applyFont="1">
      <alignment horizontal="center" readingOrder="0"/>
    </xf>
    <xf borderId="28" fillId="4" fontId="24" numFmtId="0" xfId="0" applyAlignment="1" applyBorder="1" applyFont="1">
      <alignment horizontal="center" readingOrder="0"/>
    </xf>
    <xf borderId="74" fillId="4" fontId="24" numFmtId="0" xfId="0" applyAlignment="1" applyBorder="1" applyFont="1">
      <alignment horizontal="center" readingOrder="0"/>
    </xf>
    <xf borderId="28" fillId="4" fontId="1" numFmtId="11" xfId="0" applyAlignment="1" applyBorder="1" applyFont="1" applyNumberFormat="1">
      <alignment horizontal="center" readingOrder="0"/>
    </xf>
    <xf borderId="26" fillId="4" fontId="1" numFmtId="0" xfId="0" applyAlignment="1" applyBorder="1" applyFont="1">
      <alignment horizontal="center" readingOrder="0"/>
    </xf>
    <xf borderId="21" fillId="10" fontId="24" numFmtId="0" xfId="0" applyAlignment="1" applyBorder="1" applyFont="1">
      <alignment horizontal="center" readingOrder="0"/>
    </xf>
    <xf borderId="23" fillId="10" fontId="24" numFmtId="0" xfId="0" applyAlignment="1" applyBorder="1" applyFont="1">
      <alignment horizontal="center" readingOrder="0"/>
    </xf>
    <xf borderId="21" fillId="10" fontId="1" numFmtId="11" xfId="0" applyAlignment="1" applyBorder="1" applyFont="1" applyNumberFormat="1">
      <alignment horizontal="center" readingOrder="0"/>
    </xf>
    <xf borderId="21" fillId="10" fontId="1" numFmtId="0" xfId="0" applyAlignment="1" applyBorder="1" applyFont="1">
      <alignment horizontal="center" readingOrder="0"/>
    </xf>
    <xf borderId="28" fillId="11" fontId="24" numFmtId="0" xfId="0" applyAlignment="1" applyBorder="1" applyFont="1">
      <alignment horizontal="center" readingOrder="0"/>
    </xf>
    <xf borderId="74" fillId="11" fontId="24" numFmtId="0" xfId="0" applyAlignment="1" applyBorder="1" applyFont="1">
      <alignment horizontal="center" readingOrder="0"/>
    </xf>
    <xf borderId="28" fillId="11" fontId="1" numFmtId="11" xfId="0" applyAlignment="1" applyBorder="1" applyFont="1" applyNumberFormat="1">
      <alignment horizontal="center" readingOrder="0"/>
    </xf>
    <xf borderId="26" fillId="11" fontId="1" numFmtId="0" xfId="0" applyAlignment="1" applyBorder="1" applyFont="1">
      <alignment horizontal="center" readingOrder="0"/>
    </xf>
    <xf borderId="26" fillId="6" fontId="24" numFmtId="0" xfId="0" applyAlignment="1" applyBorder="1" applyFont="1">
      <alignment horizontal="center" readingOrder="0"/>
    </xf>
    <xf borderId="73" fillId="6" fontId="24" numFmtId="0" xfId="0" applyAlignment="1" applyBorder="1" applyFont="1">
      <alignment horizontal="center" readingOrder="0"/>
    </xf>
    <xf borderId="26" fillId="6" fontId="1" numFmtId="11" xfId="0" applyAlignment="1" applyBorder="1" applyFont="1" applyNumberFormat="1">
      <alignment horizontal="center" readingOrder="0"/>
    </xf>
    <xf borderId="26" fillId="7" fontId="24" numFmtId="0" xfId="0" applyAlignment="1" applyBorder="1" applyFont="1">
      <alignment horizontal="center" readingOrder="0"/>
    </xf>
    <xf borderId="73" fillId="7" fontId="24" numFmtId="0" xfId="0" applyAlignment="1" applyBorder="1" applyFont="1">
      <alignment horizontal="center" readingOrder="0"/>
    </xf>
    <xf borderId="26" fillId="7" fontId="1" numFmtId="11" xfId="0" applyAlignment="1" applyBorder="1" applyFont="1" applyNumberFormat="1">
      <alignment horizontal="center" readingOrder="0"/>
    </xf>
    <xf borderId="26" fillId="8" fontId="24" numFmtId="0" xfId="0" applyAlignment="1" applyBorder="1" applyFont="1">
      <alignment horizontal="center" readingOrder="0"/>
    </xf>
    <xf borderId="73" fillId="8" fontId="24" numFmtId="0" xfId="0" applyAlignment="1" applyBorder="1" applyFont="1">
      <alignment horizontal="center" readingOrder="0"/>
    </xf>
    <xf borderId="26" fillId="8" fontId="1" numFmtId="11" xfId="0" applyAlignment="1" applyBorder="1" applyFont="1" applyNumberFormat="1">
      <alignment horizontal="center" readingOrder="0"/>
    </xf>
    <xf borderId="26" fillId="9" fontId="24" numFmtId="0" xfId="0" applyAlignment="1" applyBorder="1" applyFont="1">
      <alignment horizontal="center" readingOrder="0"/>
    </xf>
    <xf borderId="73" fillId="9" fontId="24" numFmtId="0" xfId="0" applyAlignment="1" applyBorder="1" applyFont="1">
      <alignment horizontal="center" readingOrder="0"/>
    </xf>
    <xf borderId="26" fillId="9" fontId="1" numFmtId="11" xfId="0" applyAlignment="1" applyBorder="1" applyFont="1" applyNumberFormat="1">
      <alignment horizontal="center" readingOrder="0"/>
    </xf>
    <xf borderId="26" fillId="4" fontId="24" numFmtId="0" xfId="0" applyAlignment="1" applyBorder="1" applyFont="1">
      <alignment horizontal="center" readingOrder="0"/>
    </xf>
    <xf borderId="73" fillId="4" fontId="24" numFmtId="0" xfId="0" applyAlignment="1" applyBorder="1" applyFont="1">
      <alignment horizontal="center" readingOrder="0"/>
    </xf>
    <xf borderId="26" fillId="4" fontId="1" numFmtId="11" xfId="0" applyAlignment="1" applyBorder="1" applyFont="1" applyNumberFormat="1">
      <alignment horizontal="center" readingOrder="0"/>
    </xf>
    <xf borderId="26" fillId="10" fontId="24" numFmtId="0" xfId="0" applyAlignment="1" applyBorder="1" applyFont="1">
      <alignment horizontal="center" readingOrder="0"/>
    </xf>
    <xf borderId="73" fillId="10" fontId="24" numFmtId="0" xfId="0" applyAlignment="1" applyBorder="1" applyFont="1">
      <alignment horizontal="center" readingOrder="0"/>
    </xf>
    <xf borderId="26" fillId="10" fontId="1" numFmtId="11" xfId="0" applyAlignment="1" applyBorder="1" applyFont="1" applyNumberFormat="1">
      <alignment horizontal="center" readingOrder="0"/>
    </xf>
    <xf borderId="26" fillId="11" fontId="24" numFmtId="0" xfId="0" applyAlignment="1" applyBorder="1" applyFont="1">
      <alignment horizontal="center" readingOrder="0"/>
    </xf>
    <xf borderId="73" fillId="11" fontId="24" numFmtId="0" xfId="0" applyAlignment="1" applyBorder="1" applyFont="1">
      <alignment horizontal="center" readingOrder="0"/>
    </xf>
    <xf borderId="26" fillId="11" fontId="1" numFmtId="11" xfId="0" applyAlignment="1" applyBorder="1" applyFont="1" applyNumberFormat="1">
      <alignment horizontal="center" readingOrder="0"/>
    </xf>
    <xf borderId="25" fillId="10" fontId="24" numFmtId="0" xfId="0" applyAlignment="1" applyBorder="1" applyFont="1">
      <alignment horizontal="center" readingOrder="0"/>
    </xf>
    <xf borderId="75" fillId="10" fontId="24" numFmtId="0" xfId="0" applyAlignment="1" applyBorder="1" applyFont="1">
      <alignment horizontal="center" readingOrder="0"/>
    </xf>
    <xf borderId="25" fillId="10" fontId="1" numFmtId="11" xfId="0" applyAlignment="1" applyBorder="1" applyFont="1" applyNumberFormat="1">
      <alignment horizontal="center" readingOrder="0"/>
    </xf>
    <xf borderId="25" fillId="5" fontId="24" numFmtId="0" xfId="0" applyAlignment="1" applyBorder="1" applyFont="1">
      <alignment horizontal="center" readingOrder="0"/>
    </xf>
    <xf borderId="75" fillId="5" fontId="24" numFmtId="0" xfId="0" applyAlignment="1" applyBorder="1" applyFont="1">
      <alignment horizontal="center" readingOrder="0"/>
    </xf>
    <xf borderId="25" fillId="5" fontId="1" numFmtId="11" xfId="0" applyAlignment="1" applyBorder="1" applyFont="1" applyNumberFormat="1">
      <alignment horizontal="center" readingOrder="0"/>
    </xf>
    <xf borderId="76" fillId="6" fontId="24" numFmtId="0" xfId="0" applyAlignment="1" applyBorder="1" applyFont="1">
      <alignment horizontal="center" readingOrder="0"/>
    </xf>
    <xf borderId="30" fillId="4" fontId="24" numFmtId="0" xfId="0" applyAlignment="1" applyBorder="1" applyFont="1">
      <alignment horizontal="center" readingOrder="0"/>
    </xf>
    <xf borderId="77" fillId="4" fontId="24" numFmtId="0" xfId="0" applyAlignment="1" applyBorder="1" applyFont="1">
      <alignment horizontal="center" readingOrder="0"/>
    </xf>
    <xf borderId="30" fillId="4" fontId="1" numFmtId="11" xfId="0" applyAlignment="1" applyBorder="1" applyFont="1" applyNumberFormat="1">
      <alignment horizontal="center" readingOrder="0"/>
    </xf>
    <xf borderId="25" fillId="7" fontId="24" numFmtId="0" xfId="0" applyAlignment="1" applyBorder="1" applyFont="1">
      <alignment horizontal="center" readingOrder="0"/>
    </xf>
    <xf borderId="75" fillId="7" fontId="24" numFmtId="0" xfId="0" applyAlignment="1" applyBorder="1" applyFont="1">
      <alignment horizontal="center" readingOrder="0"/>
    </xf>
    <xf borderId="25" fillId="7" fontId="1" numFmtId="11" xfId="0" applyAlignment="1" applyBorder="1" applyFont="1" applyNumberFormat="1">
      <alignment horizontal="center" readingOrder="0"/>
    </xf>
    <xf borderId="30" fillId="11" fontId="24" numFmtId="0" xfId="0" applyAlignment="1" applyBorder="1" applyFont="1">
      <alignment horizontal="center" readingOrder="0"/>
    </xf>
    <xf borderId="77" fillId="11" fontId="24" numFmtId="0" xfId="0" applyAlignment="1" applyBorder="1" applyFont="1">
      <alignment horizontal="center" readingOrder="0"/>
    </xf>
    <xf borderId="30" fillId="11" fontId="1" numFmtId="11" xfId="0" applyAlignment="1" applyBorder="1" applyFont="1" applyNumberFormat="1">
      <alignment horizontal="center" readingOrder="0"/>
    </xf>
    <xf borderId="30" fillId="8" fontId="24" numFmtId="0" xfId="0" applyAlignment="1" applyBorder="1" applyFont="1">
      <alignment horizontal="center" readingOrder="0"/>
    </xf>
    <xf borderId="77" fillId="8" fontId="24" numFmtId="0" xfId="0" applyAlignment="1" applyBorder="1" applyFont="1">
      <alignment horizontal="center" readingOrder="0"/>
    </xf>
    <xf borderId="30" fillId="8" fontId="1" numFmtId="11" xfId="0" applyAlignment="1" applyBorder="1" applyFont="1" applyNumberFormat="1">
      <alignment horizontal="center" readingOrder="0"/>
    </xf>
    <xf borderId="78" fillId="6" fontId="24" numFmtId="0" xfId="0" applyAlignment="1" applyBorder="1" applyFont="1">
      <alignment horizontal="center" readingOrder="0"/>
    </xf>
    <xf borderId="77" fillId="6" fontId="24" numFmtId="0" xfId="0" applyAlignment="1" applyBorder="1" applyFont="1">
      <alignment horizontal="center" readingOrder="0"/>
    </xf>
    <xf borderId="30" fillId="6" fontId="1" numFmtId="11" xfId="0" applyAlignment="1" applyBorder="1" applyFont="1" applyNumberFormat="1">
      <alignment horizontal="center" readingOrder="0"/>
    </xf>
    <xf borderId="25" fillId="9" fontId="24" numFmtId="0" xfId="0" applyAlignment="1" applyBorder="1" applyFont="1">
      <alignment horizontal="center" readingOrder="0"/>
    </xf>
    <xf borderId="75" fillId="9" fontId="24" numFmtId="0" xfId="0" applyAlignment="1" applyBorder="1" applyFont="1">
      <alignment horizontal="center" readingOrder="0"/>
    </xf>
    <xf borderId="25" fillId="9" fontId="1" numFmtId="11" xfId="0" applyAlignment="1" applyBorder="1" applyFont="1" applyNumberFormat="1">
      <alignment horizontal="center" readingOrder="0"/>
    </xf>
    <xf borderId="0" fillId="0" fontId="1" numFmtId="0" xfId="0" applyFont="1"/>
    <xf borderId="26" fillId="5" fontId="1" numFmtId="11" xfId="0" applyAlignment="1" applyBorder="1" applyFont="1" applyNumberFormat="1">
      <alignment horizontal="center" readingOrder="0" shrinkToFit="0" vertical="center" wrapText="0"/>
    </xf>
    <xf borderId="30" fillId="5" fontId="1" numFmtId="11" xfId="0" applyAlignment="1" applyBorder="1" applyFont="1" applyNumberFormat="1">
      <alignment horizontal="center" readingOrder="0" shrinkToFit="0" vertical="center" wrapText="0"/>
    </xf>
    <xf borderId="36" fillId="6" fontId="1" numFmtId="11" xfId="0" applyAlignment="1" applyBorder="1" applyFont="1" applyNumberFormat="1">
      <alignment horizontal="center" readingOrder="0" shrinkToFit="0" vertical="center" wrapText="0"/>
    </xf>
    <xf borderId="26" fillId="6" fontId="1" numFmtId="11" xfId="0" applyAlignment="1" applyBorder="1" applyFont="1" applyNumberFormat="1">
      <alignment horizontal="center" readingOrder="0" shrinkToFit="0" vertical="center" wrapText="0"/>
    </xf>
    <xf borderId="30" fillId="6" fontId="1" numFmtId="11" xfId="0" applyAlignment="1" applyBorder="1" applyFont="1" applyNumberFormat="1">
      <alignment horizontal="center" readingOrder="0" shrinkToFit="0" vertical="center" wrapText="0"/>
    </xf>
    <xf borderId="41" fillId="7" fontId="1" numFmtId="11" xfId="0" applyAlignment="1" applyBorder="1" applyFont="1" applyNumberFormat="1">
      <alignment horizontal="center" readingOrder="0" shrinkToFit="0" vertical="center" wrapText="0"/>
    </xf>
    <xf borderId="26" fillId="7" fontId="1" numFmtId="11" xfId="0" applyAlignment="1" applyBorder="1" applyFont="1" applyNumberFormat="1">
      <alignment horizontal="center" readingOrder="0" shrinkToFit="0" vertical="center" wrapText="0"/>
    </xf>
    <xf borderId="45" fillId="7" fontId="1" numFmtId="11" xfId="0" applyAlignment="1" applyBorder="1" applyFont="1" applyNumberFormat="1">
      <alignment horizontal="center" readingOrder="0" shrinkToFit="0" vertical="center" wrapText="0"/>
    </xf>
    <xf borderId="28" fillId="8" fontId="1" numFmtId="11" xfId="0" applyAlignment="1" applyBorder="1" applyFont="1" applyNumberFormat="1">
      <alignment horizontal="center" readingOrder="0" shrinkToFit="0" vertical="center" wrapText="0"/>
    </xf>
    <xf borderId="26" fillId="8" fontId="1" numFmtId="11" xfId="0" applyAlignment="1" applyBorder="1" applyFont="1" applyNumberFormat="1">
      <alignment horizontal="center" readingOrder="0" shrinkToFit="0" vertical="center" wrapText="0"/>
    </xf>
    <xf borderId="30" fillId="8" fontId="1" numFmtId="11" xfId="0" applyAlignment="1" applyBorder="1" applyFont="1" applyNumberFormat="1">
      <alignment horizontal="center" readingOrder="0" shrinkToFit="0" vertical="center" wrapText="0"/>
    </xf>
    <xf borderId="52" fillId="9" fontId="1" numFmtId="11" xfId="0" applyAlignment="1" applyBorder="1" applyFont="1" applyNumberFormat="1">
      <alignment horizontal="center" readingOrder="0" shrinkToFit="0" vertical="center" wrapText="0"/>
    </xf>
    <xf borderId="26" fillId="9" fontId="1" numFmtId="11" xfId="0" applyAlignment="1" applyBorder="1" applyFont="1" applyNumberFormat="1">
      <alignment horizontal="center" readingOrder="0" shrinkToFit="0" vertical="center" wrapText="0"/>
    </xf>
    <xf borderId="56" fillId="9" fontId="1" numFmtId="11" xfId="0" applyAlignment="1" applyBorder="1" applyFont="1" applyNumberFormat="1">
      <alignment horizontal="center" readingOrder="0" shrinkToFit="0" vertical="center" wrapText="0"/>
    </xf>
    <xf borderId="28" fillId="4" fontId="1" numFmtId="11" xfId="0" applyAlignment="1" applyBorder="1" applyFont="1" applyNumberFormat="1">
      <alignment horizontal="center" readingOrder="0" shrinkToFit="0" vertical="center" wrapText="0"/>
    </xf>
    <xf borderId="26" fillId="4" fontId="1" numFmtId="11" xfId="0" applyAlignment="1" applyBorder="1" applyFont="1" applyNumberFormat="1">
      <alignment horizontal="center" readingOrder="0" shrinkToFit="0" vertical="center" wrapText="0"/>
    </xf>
    <xf borderId="30" fillId="4" fontId="1" numFmtId="11" xfId="0" applyAlignment="1" applyBorder="1" applyFont="1" applyNumberFormat="1">
      <alignment horizontal="center" readingOrder="0" shrinkToFit="0" vertical="center" wrapText="0"/>
    </xf>
    <xf borderId="62" fillId="10" fontId="1" numFmtId="11" xfId="0" applyAlignment="1" applyBorder="1" applyFont="1" applyNumberFormat="1">
      <alignment horizontal="center" readingOrder="0" shrinkToFit="0" vertical="center" wrapText="0"/>
    </xf>
    <xf borderId="26" fillId="10" fontId="1" numFmtId="11" xfId="0" applyAlignment="1" applyBorder="1" applyFont="1" applyNumberFormat="1">
      <alignment horizontal="center" readingOrder="0" shrinkToFit="0" vertical="center" wrapText="0"/>
    </xf>
    <xf borderId="66" fillId="10" fontId="1" numFmtId="11" xfId="0" applyAlignment="1" applyBorder="1" applyFont="1" applyNumberFormat="1">
      <alignment horizontal="center" readingOrder="0" shrinkToFit="0" vertical="center" wrapText="0"/>
    </xf>
    <xf borderId="28" fillId="11" fontId="1" numFmtId="11" xfId="0" applyAlignment="1" applyBorder="1" applyFont="1" applyNumberFormat="1">
      <alignment horizontal="center" readingOrder="0" shrinkToFit="0" vertical="center" wrapText="0"/>
    </xf>
    <xf borderId="26" fillId="11" fontId="1" numFmtId="11" xfId="0" applyAlignment="1" applyBorder="1" applyFont="1" applyNumberFormat="1">
      <alignment horizontal="center" readingOrder="0" shrinkToFit="0" vertical="center" wrapText="0"/>
    </xf>
    <xf borderId="30" fillId="11" fontId="1" numFmtId="11" xfId="0" applyAlignment="1" applyBorder="1" applyFont="1" applyNumberFormat="1">
      <alignment horizontal="center" readingOrder="0" shrinkToFit="0" vertical="center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79" fillId="0" fontId="1" numFmtId="0" xfId="0" applyAlignment="1" applyBorder="1" applyFont="1">
      <alignment horizontal="left"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shrinkToFit="0" vertical="center" wrapText="0"/>
    </xf>
    <xf borderId="6" fillId="0" fontId="1" numFmtId="0" xfId="0" applyAlignment="1" applyBorder="1" applyFont="1">
      <alignment shrinkToFit="0" vertical="center" wrapText="0"/>
    </xf>
    <xf borderId="80" fillId="0" fontId="1" numFmtId="0" xfId="0" applyAlignment="1" applyBorder="1" applyFon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shrinkToFit="0" vertical="center" wrapText="0"/>
    </xf>
    <xf borderId="9" fillId="0" fontId="1" numFmtId="0" xfId="0" applyAlignment="1" applyBorder="1" applyFont="1">
      <alignment shrinkToFit="0" vertical="center" wrapText="0"/>
    </xf>
    <xf borderId="81" fillId="0" fontId="1" numFmtId="0" xfId="0" applyAlignment="1" applyBorder="1" applyFont="1">
      <alignment readingOrder="0" shrinkToFit="0" vertical="center" wrapText="0"/>
    </xf>
    <xf borderId="10" fillId="0" fontId="1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shrinkToFit="0" vertical="center" wrapText="0"/>
    </xf>
    <xf borderId="12" fillId="0" fontId="1" numFmtId="0" xfId="0" applyAlignment="1" applyBorder="1" applyFont="1">
      <alignment shrinkToFit="0" vertical="center" wrapText="0"/>
    </xf>
    <xf borderId="82" fillId="0" fontId="1" numFmtId="0" xfId="0" applyAlignment="1" applyBorder="1" applyFont="1">
      <alignment readingOrder="0" shrinkToFit="0" vertical="center" wrapText="0"/>
    </xf>
    <xf borderId="26" fillId="0" fontId="24" numFmtId="49" xfId="0" applyAlignment="1" applyBorder="1" applyFont="1" applyNumberFormat="1">
      <alignment horizontal="center" readingOrder="0" shrinkToFit="0" vertical="center" wrapText="0"/>
    </xf>
    <xf borderId="26" fillId="5" fontId="1" numFmtId="166" xfId="0" applyAlignment="1" applyBorder="1" applyFont="1" applyNumberFormat="1">
      <alignment readingOrder="0" shrinkToFit="0" vertical="center" wrapText="0"/>
    </xf>
    <xf borderId="30" fillId="5" fontId="1" numFmtId="166" xfId="0" applyAlignment="1" applyBorder="1" applyFont="1" applyNumberFormat="1">
      <alignment readingOrder="0" shrinkToFit="0" vertical="center" wrapText="0"/>
    </xf>
    <xf borderId="36" fillId="6" fontId="1" numFmtId="166" xfId="0" applyAlignment="1" applyBorder="1" applyFont="1" applyNumberFormat="1">
      <alignment readingOrder="0" shrinkToFit="0" vertical="center" wrapText="0"/>
    </xf>
    <xf borderId="26" fillId="6" fontId="1" numFmtId="166" xfId="0" applyAlignment="1" applyBorder="1" applyFont="1" applyNumberFormat="1">
      <alignment readingOrder="0" shrinkToFit="0" vertical="center" wrapText="0"/>
    </xf>
    <xf borderId="30" fillId="6" fontId="1" numFmtId="166" xfId="0" applyAlignment="1" applyBorder="1" applyFont="1" applyNumberFormat="1">
      <alignment readingOrder="0" shrinkToFit="0" vertical="center" wrapText="0"/>
    </xf>
    <xf borderId="41" fillId="7" fontId="1" numFmtId="166" xfId="0" applyAlignment="1" applyBorder="1" applyFont="1" applyNumberFormat="1">
      <alignment readingOrder="0" shrinkToFit="0" vertical="center" wrapText="0"/>
    </xf>
    <xf borderId="26" fillId="7" fontId="1" numFmtId="166" xfId="0" applyAlignment="1" applyBorder="1" applyFont="1" applyNumberFormat="1">
      <alignment readingOrder="0" shrinkToFit="0" vertical="center" wrapText="0"/>
    </xf>
    <xf borderId="45" fillId="7" fontId="1" numFmtId="166" xfId="0" applyAlignment="1" applyBorder="1" applyFont="1" applyNumberFormat="1">
      <alignment readingOrder="0" shrinkToFit="0" vertical="center" wrapText="0"/>
    </xf>
    <xf borderId="28" fillId="8" fontId="1" numFmtId="166" xfId="0" applyAlignment="1" applyBorder="1" applyFont="1" applyNumberFormat="1">
      <alignment readingOrder="0" shrinkToFit="0" vertical="center" wrapText="0"/>
    </xf>
    <xf borderId="26" fillId="8" fontId="1" numFmtId="166" xfId="0" applyAlignment="1" applyBorder="1" applyFont="1" applyNumberFormat="1">
      <alignment readingOrder="0" shrinkToFit="0" vertical="center" wrapText="0"/>
    </xf>
    <xf borderId="30" fillId="8" fontId="1" numFmtId="166" xfId="0" applyAlignment="1" applyBorder="1" applyFont="1" applyNumberFormat="1">
      <alignment readingOrder="0" shrinkToFit="0" vertical="center" wrapText="0"/>
    </xf>
    <xf borderId="52" fillId="9" fontId="1" numFmtId="166" xfId="0" applyAlignment="1" applyBorder="1" applyFont="1" applyNumberFormat="1">
      <alignment readingOrder="0" shrinkToFit="0" vertical="center" wrapText="0"/>
    </xf>
    <xf borderId="26" fillId="9" fontId="1" numFmtId="166" xfId="0" applyAlignment="1" applyBorder="1" applyFont="1" applyNumberFormat="1">
      <alignment readingOrder="0" shrinkToFit="0" vertical="center" wrapText="0"/>
    </xf>
    <xf borderId="56" fillId="9" fontId="1" numFmtId="166" xfId="0" applyAlignment="1" applyBorder="1" applyFont="1" applyNumberFormat="1">
      <alignment readingOrder="0" shrinkToFit="0" vertical="center" wrapText="0"/>
    </xf>
    <xf borderId="28" fillId="4" fontId="1" numFmtId="166" xfId="0" applyAlignment="1" applyBorder="1" applyFont="1" applyNumberFormat="1">
      <alignment readingOrder="0" shrinkToFit="0" vertical="center" wrapText="0"/>
    </xf>
    <xf borderId="26" fillId="4" fontId="1" numFmtId="166" xfId="0" applyAlignment="1" applyBorder="1" applyFont="1" applyNumberFormat="1">
      <alignment readingOrder="0" shrinkToFit="0" vertical="center" wrapText="0"/>
    </xf>
    <xf borderId="30" fillId="4" fontId="1" numFmtId="166" xfId="0" applyAlignment="1" applyBorder="1" applyFont="1" applyNumberFormat="1">
      <alignment readingOrder="0" shrinkToFit="0" vertical="center" wrapText="0"/>
    </xf>
    <xf borderId="62" fillId="10" fontId="1" numFmtId="166" xfId="0" applyAlignment="1" applyBorder="1" applyFont="1" applyNumberFormat="1">
      <alignment readingOrder="0" shrinkToFit="0" vertical="center" wrapText="0"/>
    </xf>
    <xf borderId="26" fillId="10" fontId="1" numFmtId="166" xfId="0" applyAlignment="1" applyBorder="1" applyFont="1" applyNumberFormat="1">
      <alignment readingOrder="0" shrinkToFit="0" vertical="center" wrapText="0"/>
    </xf>
    <xf borderId="66" fillId="10" fontId="1" numFmtId="166" xfId="0" applyAlignment="1" applyBorder="1" applyFont="1" applyNumberFormat="1">
      <alignment readingOrder="0" shrinkToFit="0" vertical="center" wrapText="0"/>
    </xf>
    <xf borderId="28" fillId="11" fontId="1" numFmtId="166" xfId="0" applyAlignment="1" applyBorder="1" applyFont="1" applyNumberFormat="1">
      <alignment readingOrder="0" shrinkToFit="0" vertical="center" wrapText="0"/>
    </xf>
    <xf borderId="26" fillId="11" fontId="1" numFmtId="166" xfId="0" applyAlignment="1" applyBorder="1" applyFont="1" applyNumberFormat="1">
      <alignment readingOrder="0" shrinkToFit="0" vertical="center" wrapText="0"/>
    </xf>
    <xf borderId="30" fillId="11" fontId="1" numFmtId="166" xfId="0" applyAlignment="1" applyBorder="1" applyFont="1" applyNumberFormat="1">
      <alignment readingOrder="0" shrinkToFit="0" vertical="center" wrapText="0"/>
    </xf>
    <xf borderId="4" fillId="11" fontId="24" numFmtId="0" xfId="0" applyAlignment="1" applyBorder="1" applyFont="1">
      <alignment horizontal="center" readingOrder="0" shrinkToFit="0" vertical="center" wrapText="0"/>
    </xf>
    <xf borderId="5" fillId="11" fontId="24" numFmtId="0" xfId="0" applyAlignment="1" applyBorder="1" applyFont="1">
      <alignment horizontal="center" readingOrder="0" shrinkToFit="0" vertical="center" wrapText="0"/>
    </xf>
    <xf borderId="5" fillId="11" fontId="1" numFmtId="166" xfId="0" applyAlignment="1" applyBorder="1" applyFont="1" applyNumberFormat="1">
      <alignment readingOrder="0" shrinkToFit="0" vertical="center" wrapText="0"/>
    </xf>
    <xf borderId="6" fillId="11" fontId="1" numFmtId="166" xfId="0" applyAlignment="1" applyBorder="1" applyFont="1" applyNumberFormat="1">
      <alignment readingOrder="0" shrinkToFit="0" vertical="center" wrapText="0"/>
    </xf>
    <xf borderId="7" fillId="11" fontId="24" numFmtId="0" xfId="0" applyAlignment="1" applyBorder="1" applyFont="1">
      <alignment horizontal="center" readingOrder="0" shrinkToFit="0" vertical="center" wrapText="0"/>
    </xf>
    <xf borderId="8" fillId="11" fontId="24" numFmtId="0" xfId="0" applyAlignment="1" applyBorder="1" applyFont="1">
      <alignment horizontal="center" readingOrder="0" shrinkToFit="0" vertical="center" wrapText="0"/>
    </xf>
    <xf borderId="8" fillId="11" fontId="1" numFmtId="166" xfId="0" applyAlignment="1" applyBorder="1" applyFont="1" applyNumberFormat="1">
      <alignment readingOrder="0" shrinkToFit="0" vertical="center" wrapText="0"/>
    </xf>
    <xf borderId="9" fillId="11" fontId="1" numFmtId="166" xfId="0" applyAlignment="1" applyBorder="1" applyFont="1" applyNumberFormat="1">
      <alignment readingOrder="0" shrinkToFit="0" vertical="center" wrapText="0"/>
    </xf>
    <xf borderId="15" fillId="11" fontId="24" numFmtId="0" xfId="0" applyAlignment="1" applyBorder="1" applyFont="1">
      <alignment horizontal="center" readingOrder="0" shrinkToFit="0" vertical="center" wrapText="0"/>
    </xf>
    <xf borderId="16" fillId="11" fontId="24" numFmtId="0" xfId="0" applyAlignment="1" applyBorder="1" applyFont="1">
      <alignment horizontal="center" readingOrder="0" shrinkToFit="0" vertical="center" wrapText="0"/>
    </xf>
    <xf borderId="16" fillId="11" fontId="1" numFmtId="166" xfId="0" applyAlignment="1" applyBorder="1" applyFont="1" applyNumberFormat="1">
      <alignment readingOrder="0" shrinkToFit="0" vertical="center" wrapText="0"/>
    </xf>
    <xf borderId="17" fillId="11" fontId="1" numFmtId="166" xfId="0" applyAlignment="1" applyBorder="1" applyFont="1" applyNumberFormat="1">
      <alignment readingOrder="0" shrinkToFit="0" vertical="center" wrapText="0"/>
    </xf>
    <xf borderId="26" fillId="0" fontId="25" numFmtId="0" xfId="0" applyAlignment="1" applyBorder="1" applyFont="1">
      <alignment horizontal="center" readingOrder="0" shrinkToFit="0" vertical="center" wrapText="0"/>
    </xf>
    <xf borderId="2" fillId="0" fontId="26" numFmtId="0" xfId="0" applyAlignment="1" applyBorder="1" applyFont="1">
      <alignment horizontal="center" readingOrder="0" shrinkToFit="0" vertical="center" wrapText="0"/>
    </xf>
    <xf borderId="2" fillId="0" fontId="26" numFmtId="0" xfId="0" applyAlignment="1" applyBorder="1" applyFont="1">
      <alignment horizontal="left" readingOrder="0" shrinkToFit="0" vertical="center" wrapText="0"/>
    </xf>
    <xf borderId="3" fillId="0" fontId="26" numFmtId="0" xfId="0" applyAlignment="1" applyBorder="1" applyFont="1">
      <alignment horizontal="left" readingOrder="0" shrinkToFit="0" vertical="center" wrapText="0"/>
    </xf>
    <xf borderId="33" fillId="5" fontId="6" numFmtId="0" xfId="0" applyAlignment="1" applyBorder="1" applyFont="1">
      <alignment horizontal="center" readingOrder="0" shrinkToFit="0" vertical="center" wrapText="0"/>
    </xf>
    <xf borderId="26" fillId="5" fontId="6" numFmtId="0" xfId="0" applyAlignment="1" applyBorder="1" applyFont="1">
      <alignment horizontal="right" readingOrder="0" shrinkToFit="0" vertical="center" wrapText="0"/>
    </xf>
    <xf borderId="34" fillId="5" fontId="6" numFmtId="0" xfId="0" applyAlignment="1" applyBorder="1" applyFont="1">
      <alignment horizontal="center" readingOrder="0" shrinkToFit="0" vertical="center" wrapText="0"/>
    </xf>
    <xf borderId="30" fillId="5" fontId="6" numFmtId="0" xfId="0" applyAlignment="1" applyBorder="1" applyFont="1">
      <alignment horizontal="right" readingOrder="0" shrinkToFit="0" vertical="center" wrapText="0"/>
    </xf>
    <xf borderId="37" fillId="6" fontId="6" numFmtId="0" xfId="0" applyAlignment="1" applyBorder="1" applyFont="1">
      <alignment horizontal="center" readingOrder="0" shrinkToFit="0" vertical="center" wrapText="0"/>
    </xf>
    <xf borderId="36" fillId="6" fontId="6" numFmtId="0" xfId="0" applyAlignment="1" applyBorder="1" applyFont="1">
      <alignment horizontal="right" readingOrder="0" shrinkToFit="0" vertical="center" wrapText="0"/>
    </xf>
    <xf borderId="39" fillId="6" fontId="6" numFmtId="0" xfId="0" applyAlignment="1" applyBorder="1" applyFont="1">
      <alignment horizontal="center" readingOrder="0" shrinkToFit="0" vertical="center" wrapText="0"/>
    </xf>
    <xf borderId="26" fillId="6" fontId="6" numFmtId="0" xfId="0" applyAlignment="1" applyBorder="1" applyFont="1">
      <alignment horizontal="right" readingOrder="0" shrinkToFit="0" vertical="center" wrapText="0"/>
    </xf>
    <xf borderId="83" fillId="6" fontId="24" numFmtId="0" xfId="0" applyAlignment="1" applyBorder="1" applyFont="1">
      <alignment horizontal="center" readingOrder="0" shrinkToFit="0" vertical="center" wrapText="0"/>
    </xf>
    <xf borderId="84" fillId="6" fontId="6" numFmtId="0" xfId="0" applyAlignment="1" applyBorder="1" applyFont="1">
      <alignment horizontal="center" readingOrder="0" shrinkToFit="0" vertical="center" wrapText="0"/>
    </xf>
    <xf borderId="83" fillId="6" fontId="6" numFmtId="0" xfId="0" applyAlignment="1" applyBorder="1" applyFont="1">
      <alignment horizontal="right" readingOrder="0" shrinkToFit="0" vertical="center" wrapText="0"/>
    </xf>
    <xf borderId="28" fillId="7" fontId="24" numFmtId="0" xfId="0" applyAlignment="1" applyBorder="1" applyFont="1">
      <alignment horizontal="center" readingOrder="0" shrinkToFit="0" vertical="center" wrapText="0"/>
    </xf>
    <xf borderId="85" fillId="7" fontId="6" numFmtId="0" xfId="0" applyAlignment="1" applyBorder="1" applyFont="1">
      <alignment horizontal="center" readingOrder="0" shrinkToFit="0" vertical="center" wrapText="0"/>
    </xf>
    <xf borderId="28" fillId="7" fontId="6" numFmtId="0" xfId="0" applyAlignment="1" applyBorder="1" applyFont="1">
      <alignment horizontal="right" readingOrder="0" shrinkToFit="0" vertical="center" wrapText="0"/>
    </xf>
    <xf borderId="44" fillId="7" fontId="6" numFmtId="0" xfId="0" applyAlignment="1" applyBorder="1" applyFont="1">
      <alignment horizontal="center" readingOrder="0" shrinkToFit="0" vertical="center" wrapText="0"/>
    </xf>
    <xf borderId="26" fillId="7" fontId="6" numFmtId="0" xfId="0" applyAlignment="1" applyBorder="1" applyFont="1">
      <alignment horizontal="right" readingOrder="0" shrinkToFit="0" vertical="center" wrapText="0"/>
    </xf>
    <xf borderId="30" fillId="7" fontId="24" numFmtId="0" xfId="0" applyAlignment="1" applyBorder="1" applyFont="1">
      <alignment horizontal="center" readingOrder="0" shrinkToFit="0" vertical="center" wrapText="0"/>
    </xf>
    <xf borderId="86" fillId="7" fontId="6" numFmtId="0" xfId="0" applyAlignment="1" applyBorder="1" applyFont="1">
      <alignment horizontal="center" readingOrder="0" shrinkToFit="0" vertical="center" wrapText="0"/>
    </xf>
    <xf borderId="30" fillId="7" fontId="6" numFmtId="0" xfId="0" applyAlignment="1" applyBorder="1" applyFont="1">
      <alignment horizontal="right" readingOrder="0" shrinkToFit="0" vertical="center" wrapText="0"/>
    </xf>
    <xf borderId="87" fillId="8" fontId="24" numFmtId="0" xfId="0" applyAlignment="1" applyBorder="1" applyFont="1">
      <alignment horizontal="center" readingOrder="0" shrinkToFit="0" vertical="center" wrapText="0"/>
    </xf>
    <xf borderId="88" fillId="8" fontId="6" numFmtId="0" xfId="0" applyAlignment="1" applyBorder="1" applyFont="1">
      <alignment horizontal="center" readingOrder="0" shrinkToFit="0" vertical="center" wrapText="0"/>
    </xf>
    <xf borderId="87" fillId="8" fontId="6" numFmtId="0" xfId="0" applyAlignment="1" applyBorder="1" applyFont="1">
      <alignment horizontal="right" readingOrder="0" shrinkToFit="0" vertical="center" wrapText="0"/>
    </xf>
    <xf borderId="50" fillId="8" fontId="6" numFmtId="0" xfId="0" applyAlignment="1" applyBorder="1" applyFont="1">
      <alignment horizontal="center" readingOrder="0" shrinkToFit="0" vertical="center" wrapText="0"/>
    </xf>
    <xf borderId="26" fillId="8" fontId="6" numFmtId="0" xfId="0" applyAlignment="1" applyBorder="1" applyFont="1">
      <alignment horizontal="right" readingOrder="0" shrinkToFit="0" vertical="center" wrapText="0"/>
    </xf>
    <xf borderId="89" fillId="8" fontId="24" numFmtId="0" xfId="0" applyAlignment="1" applyBorder="1" applyFont="1">
      <alignment horizontal="center" readingOrder="0" shrinkToFit="0" vertical="center" wrapText="0"/>
    </xf>
    <xf borderId="90" fillId="8" fontId="6" numFmtId="0" xfId="0" applyAlignment="1" applyBorder="1" applyFont="1">
      <alignment horizontal="center" readingOrder="0" shrinkToFit="0" vertical="center" wrapText="0"/>
    </xf>
    <xf borderId="89" fillId="8" fontId="6" numFmtId="0" xfId="0" applyAlignment="1" applyBorder="1" applyFont="1">
      <alignment horizontal="right" readingOrder="0" shrinkToFit="0" vertical="center" wrapText="0"/>
    </xf>
    <xf borderId="28" fillId="9" fontId="24" numFmtId="0" xfId="0" applyAlignment="1" applyBorder="1" applyFont="1">
      <alignment horizontal="center" readingOrder="0" shrinkToFit="0" vertical="center" wrapText="0"/>
    </xf>
    <xf borderId="91" fillId="9" fontId="6" numFmtId="0" xfId="0" applyAlignment="1" applyBorder="1" applyFont="1">
      <alignment horizontal="center" readingOrder="0" shrinkToFit="0" vertical="center" wrapText="0"/>
    </xf>
    <xf borderId="28" fillId="9" fontId="6" numFmtId="0" xfId="0" applyAlignment="1" applyBorder="1" applyFont="1">
      <alignment horizontal="right" readingOrder="0" shrinkToFit="0" vertical="center" wrapText="0"/>
    </xf>
    <xf borderId="55" fillId="9" fontId="6" numFmtId="0" xfId="0" applyAlignment="1" applyBorder="1" applyFont="1">
      <alignment horizontal="center" readingOrder="0" shrinkToFit="0" vertical="center" wrapText="0"/>
    </xf>
    <xf borderId="26" fillId="9" fontId="6" numFmtId="0" xfId="0" applyAlignment="1" applyBorder="1" applyFont="1">
      <alignment horizontal="right" readingOrder="0" shrinkToFit="0" vertical="center" wrapText="0"/>
    </xf>
    <xf borderId="30" fillId="9" fontId="24" numFmtId="0" xfId="0" applyAlignment="1" applyBorder="1" applyFont="1">
      <alignment horizontal="center" readingOrder="0" shrinkToFit="0" vertical="center" wrapText="0"/>
    </xf>
    <xf borderId="92" fillId="9" fontId="6" numFmtId="0" xfId="0" applyAlignment="1" applyBorder="1" applyFont="1">
      <alignment horizontal="center" readingOrder="0" shrinkToFit="0" vertical="center" wrapText="0"/>
    </xf>
    <xf borderId="30" fillId="9" fontId="6" numFmtId="0" xfId="0" applyAlignment="1" applyBorder="1" applyFont="1">
      <alignment horizontal="right" readingOrder="0" shrinkToFit="0" vertical="center" wrapText="0"/>
    </xf>
    <xf borderId="93" fillId="4" fontId="24" numFmtId="0" xfId="0" applyAlignment="1" applyBorder="1" applyFont="1">
      <alignment horizontal="center" readingOrder="0" shrinkToFit="0" vertical="center" wrapText="0"/>
    </xf>
    <xf borderId="94" fillId="4" fontId="6" numFmtId="0" xfId="0" applyAlignment="1" applyBorder="1" applyFont="1">
      <alignment horizontal="center" readingOrder="0" shrinkToFit="0" vertical="center" wrapText="0"/>
    </xf>
    <xf borderId="93" fillId="4" fontId="6" numFmtId="0" xfId="0" applyAlignment="1" applyBorder="1" applyFont="1">
      <alignment horizontal="right" readingOrder="0" shrinkToFit="0" vertical="center" wrapText="0"/>
    </xf>
    <xf borderId="60" fillId="4" fontId="6" numFmtId="0" xfId="0" applyAlignment="1" applyBorder="1" applyFont="1">
      <alignment horizontal="center" readingOrder="0" shrinkToFit="0" vertical="center" wrapText="0"/>
    </xf>
    <xf borderId="26" fillId="4" fontId="6" numFmtId="0" xfId="0" applyAlignment="1" applyBorder="1" applyFont="1">
      <alignment horizontal="right" readingOrder="0" shrinkToFit="0" vertical="center" wrapText="0"/>
    </xf>
    <xf borderId="95" fillId="4" fontId="24" numFmtId="0" xfId="0" applyAlignment="1" applyBorder="1" applyFont="1">
      <alignment horizontal="center" readingOrder="0" shrinkToFit="0" vertical="center" wrapText="0"/>
    </xf>
    <xf borderId="96" fillId="4" fontId="6" numFmtId="0" xfId="0" applyAlignment="1" applyBorder="1" applyFont="1">
      <alignment horizontal="center" readingOrder="0" shrinkToFit="0" vertical="center" wrapText="0"/>
    </xf>
    <xf borderId="95" fillId="4" fontId="6" numFmtId="0" xfId="0" applyAlignment="1" applyBorder="1" applyFont="1">
      <alignment horizontal="right" readingOrder="0" shrinkToFit="0" vertical="center" wrapText="0"/>
    </xf>
    <xf borderId="28" fillId="10" fontId="24" numFmtId="0" xfId="0" applyAlignment="1" applyBorder="1" applyFont="1">
      <alignment horizontal="center" readingOrder="0" shrinkToFit="0" vertical="center" wrapText="0"/>
    </xf>
    <xf borderId="97" fillId="10" fontId="6" numFmtId="0" xfId="0" applyAlignment="1" applyBorder="1" applyFont="1">
      <alignment horizontal="center" readingOrder="0" shrinkToFit="0" vertical="center" wrapText="0"/>
    </xf>
    <xf borderId="28" fillId="10" fontId="6" numFmtId="0" xfId="0" applyAlignment="1" applyBorder="1" applyFont="1">
      <alignment horizontal="right" readingOrder="0" shrinkToFit="0" vertical="center" wrapText="0"/>
    </xf>
    <xf borderId="30" fillId="10" fontId="24" numFmtId="0" xfId="0" applyAlignment="1" applyBorder="1" applyFont="1">
      <alignment horizontal="center" readingOrder="0" shrinkToFit="0" vertical="center" wrapText="0"/>
    </xf>
    <xf borderId="98" fillId="10" fontId="6" numFmtId="0" xfId="0" applyAlignment="1" applyBorder="1" applyFont="1">
      <alignment horizontal="center" readingOrder="0" shrinkToFit="0" vertical="center" wrapText="0"/>
    </xf>
    <xf borderId="30" fillId="10" fontId="6" numFmtId="0" xfId="0" applyAlignment="1" applyBorder="1" applyFont="1">
      <alignment horizontal="right" readingOrder="0" shrinkToFit="0" vertical="center" wrapText="0"/>
    </xf>
    <xf borderId="99" fillId="11" fontId="24" numFmtId="0" xfId="0" applyAlignment="1" applyBorder="1" applyFont="1">
      <alignment horizontal="center" readingOrder="0" shrinkToFit="0" vertical="center" wrapText="0"/>
    </xf>
    <xf borderId="100" fillId="11" fontId="6" numFmtId="0" xfId="0" applyAlignment="1" applyBorder="1" applyFont="1">
      <alignment horizontal="center" readingOrder="0" shrinkToFit="0" vertical="center" wrapText="0"/>
    </xf>
    <xf borderId="99" fillId="11" fontId="6" numFmtId="0" xfId="0" applyAlignment="1" applyBorder="1" applyFont="1">
      <alignment horizontal="right" readingOrder="0" shrinkToFit="0" vertical="center" wrapText="0"/>
    </xf>
    <xf borderId="70" fillId="11" fontId="6" numFmtId="0" xfId="0" applyAlignment="1" applyBorder="1" applyFont="1">
      <alignment horizontal="center" readingOrder="0" shrinkToFit="0" vertical="center" wrapText="0"/>
    </xf>
    <xf borderId="26" fillId="11" fontId="6" numFmtId="0" xfId="0" applyAlignment="1" applyBorder="1" applyFont="1">
      <alignment horizontal="right" readingOrder="0" shrinkToFit="0" vertical="center" wrapText="0"/>
    </xf>
    <xf borderId="101" fillId="11" fontId="24" numFmtId="0" xfId="0" applyAlignment="1" applyBorder="1" applyFont="1">
      <alignment horizontal="center" readingOrder="0" shrinkToFit="0" vertical="center" wrapText="0"/>
    </xf>
    <xf borderId="102" fillId="11" fontId="6" numFmtId="0" xfId="0" applyAlignment="1" applyBorder="1" applyFont="1">
      <alignment horizontal="center" readingOrder="0" shrinkToFit="0" vertical="center" wrapText="0"/>
    </xf>
    <xf borderId="101" fillId="11" fontId="6" numFmtId="0" xfId="0" applyAlignment="1" applyBorder="1" applyFont="1">
      <alignment horizontal="right" readingOrder="0" shrinkToFit="0" vertical="center" wrapText="0"/>
    </xf>
    <xf borderId="28" fillId="12" fontId="24" numFmtId="0" xfId="0" applyAlignment="1" applyBorder="1" applyFill="1" applyFont="1">
      <alignment horizontal="center" readingOrder="0" shrinkToFit="0" vertical="center" wrapText="0"/>
    </xf>
    <xf borderId="103" fillId="12" fontId="6" numFmtId="0" xfId="0" applyAlignment="1" applyBorder="1" applyFont="1">
      <alignment horizontal="center" readingOrder="0" shrinkToFit="0" vertical="center" wrapText="0"/>
    </xf>
    <xf borderId="28" fillId="12" fontId="6" numFmtId="0" xfId="0" applyAlignment="1" applyBorder="1" applyFont="1">
      <alignment horizontal="right" readingOrder="0" shrinkToFit="0" vertical="center" wrapText="0"/>
    </xf>
    <xf borderId="26" fillId="12" fontId="24" numFmtId="0" xfId="0" applyAlignment="1" applyBorder="1" applyFont="1">
      <alignment horizontal="center" readingOrder="0" shrinkToFit="0" vertical="center" wrapText="0"/>
    </xf>
    <xf borderId="104" fillId="12" fontId="6" numFmtId="0" xfId="0" applyAlignment="1" applyBorder="1" applyFont="1">
      <alignment horizontal="center" readingOrder="0" shrinkToFit="0" vertical="center" wrapText="0"/>
    </xf>
    <xf borderId="26" fillId="12" fontId="6" numFmtId="0" xfId="0" applyAlignment="1" applyBorder="1" applyFont="1">
      <alignment horizontal="right" readingOrder="0" shrinkToFit="0" vertical="center" wrapText="0"/>
    </xf>
    <xf borderId="30" fillId="12" fontId="24" numFmtId="0" xfId="0" applyAlignment="1" applyBorder="1" applyFont="1">
      <alignment horizontal="center" readingOrder="0" shrinkToFit="0" vertical="center" wrapText="0"/>
    </xf>
    <xf borderId="105" fillId="12" fontId="6" numFmtId="0" xfId="0" applyAlignment="1" applyBorder="1" applyFont="1">
      <alignment horizontal="center" readingOrder="0" shrinkToFit="0" vertical="center" wrapText="0"/>
    </xf>
    <xf borderId="30" fillId="12" fontId="6" numFmtId="0" xfId="0" applyAlignment="1" applyBorder="1" applyFont="1">
      <alignment horizontal="right" readingOrder="0" shrinkToFit="0" vertical="center" wrapText="0"/>
    </xf>
    <xf borderId="106" fillId="13" fontId="24" numFmtId="0" xfId="0" applyAlignment="1" applyBorder="1" applyFill="1" applyFont="1">
      <alignment horizontal="center" readingOrder="0" shrinkToFit="0" vertical="center" wrapText="0"/>
    </xf>
    <xf borderId="107" fillId="13" fontId="6" numFmtId="0" xfId="0" applyAlignment="1" applyBorder="1" applyFont="1">
      <alignment horizontal="center" readingOrder="0" shrinkToFit="0" vertical="center" wrapText="0"/>
    </xf>
    <xf borderId="106" fillId="13" fontId="6" numFmtId="0" xfId="0" applyAlignment="1" applyBorder="1" applyFont="1">
      <alignment horizontal="right" readingOrder="0" shrinkToFit="0" vertical="center" wrapText="0"/>
    </xf>
    <xf borderId="26" fillId="13" fontId="24" numFmtId="0" xfId="0" applyAlignment="1" applyBorder="1" applyFont="1">
      <alignment horizontal="center" readingOrder="0" shrinkToFit="0" vertical="center" wrapText="0"/>
    </xf>
    <xf borderId="108" fillId="13" fontId="6" numFmtId="0" xfId="0" applyAlignment="1" applyBorder="1" applyFont="1">
      <alignment horizontal="center" readingOrder="0" shrinkToFit="0" vertical="center" wrapText="0"/>
    </xf>
    <xf borderId="26" fillId="13" fontId="6" numFmtId="0" xfId="0" applyAlignment="1" applyBorder="1" applyFont="1">
      <alignment horizontal="right" readingOrder="0" shrinkToFit="0" vertical="center" wrapText="0"/>
    </xf>
    <xf borderId="109" fillId="13" fontId="24" numFmtId="0" xfId="0" applyAlignment="1" applyBorder="1" applyFont="1">
      <alignment horizontal="center" readingOrder="0" shrinkToFit="0" vertical="center" wrapText="0"/>
    </xf>
    <xf borderId="110" fillId="13" fontId="6" numFmtId="0" xfId="0" applyAlignment="1" applyBorder="1" applyFont="1">
      <alignment horizontal="center" readingOrder="0" shrinkToFit="0" vertical="center" wrapText="0"/>
    </xf>
    <xf borderId="109" fillId="13" fontId="6" numFmtId="0" xfId="0" applyAlignment="1" applyBorder="1" applyFont="1">
      <alignment horizontal="right" readingOrder="0" shrinkToFit="0" vertical="center" wrapText="0"/>
    </xf>
    <xf borderId="28" fillId="14" fontId="24" numFmtId="0" xfId="0" applyAlignment="1" applyBorder="1" applyFill="1" applyFont="1">
      <alignment horizontal="center" readingOrder="0" shrinkToFit="0" vertical="center" wrapText="0"/>
    </xf>
    <xf borderId="111" fillId="14" fontId="6" numFmtId="0" xfId="0" applyAlignment="1" applyBorder="1" applyFont="1">
      <alignment horizontal="center" readingOrder="0" shrinkToFit="0" vertical="center" wrapText="0"/>
    </xf>
    <xf borderId="28" fillId="14" fontId="6" numFmtId="0" xfId="0" applyAlignment="1" applyBorder="1" applyFont="1">
      <alignment horizontal="right" readingOrder="0" shrinkToFit="0" vertical="center" wrapText="0"/>
    </xf>
    <xf borderId="26" fillId="14" fontId="24" numFmtId="0" xfId="0" applyAlignment="1" applyBorder="1" applyFont="1">
      <alignment horizontal="center" readingOrder="0" shrinkToFit="0" vertical="center" wrapText="0"/>
    </xf>
    <xf borderId="112" fillId="14" fontId="6" numFmtId="0" xfId="0" applyAlignment="1" applyBorder="1" applyFont="1">
      <alignment horizontal="center" readingOrder="0" shrinkToFit="0" vertical="center" wrapText="0"/>
    </xf>
    <xf borderId="26" fillId="14" fontId="6" numFmtId="0" xfId="0" applyAlignment="1" applyBorder="1" applyFont="1">
      <alignment horizontal="right" readingOrder="0" shrinkToFit="0" vertical="center" wrapText="0"/>
    </xf>
    <xf borderId="30" fillId="14" fontId="24" numFmtId="0" xfId="0" applyAlignment="1" applyBorder="1" applyFont="1">
      <alignment horizontal="center" readingOrder="0" shrinkToFit="0" vertical="center" wrapText="0"/>
    </xf>
    <xf borderId="113" fillId="14" fontId="6" numFmtId="0" xfId="0" applyAlignment="1" applyBorder="1" applyFont="1">
      <alignment horizontal="center" readingOrder="0" shrinkToFit="0" vertical="center" wrapText="0"/>
    </xf>
    <xf borderId="30" fillId="14" fontId="6" numFmtId="0" xfId="0" applyAlignment="1" applyBorder="1" applyFont="1">
      <alignment horizontal="right" readingOrder="0" shrinkToFit="0" vertical="center" wrapText="0"/>
    </xf>
    <xf borderId="2" fillId="0" fontId="26" numFmtId="49" xfId="0" applyAlignment="1" applyBorder="1" applyFont="1" applyNumberFormat="1">
      <alignment horizontal="left" readingOrder="0" shrinkToFit="0" vertical="center" wrapText="0"/>
    </xf>
    <xf borderId="3" fillId="0" fontId="26" numFmtId="49" xfId="0" applyAlignment="1" applyBorder="1" applyFont="1" applyNumberFormat="1">
      <alignment horizontal="left" readingOrder="0" shrinkToFit="0" vertical="center" wrapText="0"/>
    </xf>
    <xf borderId="26" fillId="5" fontId="6" numFmtId="167" xfId="0" applyAlignment="1" applyBorder="1" applyFont="1" applyNumberFormat="1">
      <alignment readingOrder="0" shrinkToFit="0" vertical="center" wrapText="0"/>
    </xf>
    <xf borderId="30" fillId="5" fontId="6" numFmtId="167" xfId="0" applyAlignment="1" applyBorder="1" applyFont="1" applyNumberFormat="1">
      <alignment readingOrder="0" shrinkToFit="0" vertical="center" wrapText="0"/>
    </xf>
    <xf borderId="36" fillId="6" fontId="6" numFmtId="167" xfId="0" applyAlignment="1" applyBorder="1" applyFont="1" applyNumberFormat="1">
      <alignment readingOrder="0" shrinkToFit="0" vertical="center" wrapText="0"/>
    </xf>
    <xf borderId="26" fillId="6" fontId="6" numFmtId="167" xfId="0" applyAlignment="1" applyBorder="1" applyFont="1" applyNumberFormat="1">
      <alignment readingOrder="0" shrinkToFit="0" vertical="center" wrapText="0"/>
    </xf>
    <xf borderId="83" fillId="6" fontId="6" numFmtId="167" xfId="0" applyAlignment="1" applyBorder="1" applyFont="1" applyNumberFormat="1">
      <alignment readingOrder="0" shrinkToFit="0" vertical="center" wrapText="0"/>
    </xf>
    <xf borderId="28" fillId="7" fontId="6" numFmtId="167" xfId="0" applyAlignment="1" applyBorder="1" applyFont="1" applyNumberFormat="1">
      <alignment readingOrder="0" shrinkToFit="0" vertical="center" wrapText="0"/>
    </xf>
    <xf borderId="26" fillId="7" fontId="6" numFmtId="167" xfId="0" applyAlignment="1" applyBorder="1" applyFont="1" applyNumberFormat="1">
      <alignment readingOrder="0" shrinkToFit="0" vertical="center" wrapText="0"/>
    </xf>
    <xf borderId="30" fillId="7" fontId="6" numFmtId="167" xfId="0" applyAlignment="1" applyBorder="1" applyFont="1" applyNumberFormat="1">
      <alignment readingOrder="0" shrinkToFit="0" vertical="center" wrapText="0"/>
    </xf>
    <xf borderId="87" fillId="8" fontId="6" numFmtId="167" xfId="0" applyAlignment="1" applyBorder="1" applyFont="1" applyNumberFormat="1">
      <alignment readingOrder="0" shrinkToFit="0" vertical="center" wrapText="0"/>
    </xf>
    <xf borderId="26" fillId="8" fontId="6" numFmtId="167" xfId="0" applyAlignment="1" applyBorder="1" applyFont="1" applyNumberFormat="1">
      <alignment readingOrder="0" shrinkToFit="0" vertical="center" wrapText="0"/>
    </xf>
    <xf borderId="89" fillId="8" fontId="6" numFmtId="167" xfId="0" applyAlignment="1" applyBorder="1" applyFont="1" applyNumberFormat="1">
      <alignment readingOrder="0" shrinkToFit="0" vertical="center" wrapText="0"/>
    </xf>
    <xf borderId="28" fillId="9" fontId="6" numFmtId="167" xfId="0" applyAlignment="1" applyBorder="1" applyFont="1" applyNumberFormat="1">
      <alignment readingOrder="0" shrinkToFit="0" vertical="center" wrapText="0"/>
    </xf>
    <xf borderId="26" fillId="9" fontId="6" numFmtId="167" xfId="0" applyAlignment="1" applyBorder="1" applyFont="1" applyNumberFormat="1">
      <alignment readingOrder="0" shrinkToFit="0" vertical="center" wrapText="0"/>
    </xf>
    <xf borderId="30" fillId="9" fontId="6" numFmtId="167" xfId="0" applyAlignment="1" applyBorder="1" applyFont="1" applyNumberFormat="1">
      <alignment readingOrder="0" shrinkToFit="0" vertical="center" wrapText="0"/>
    </xf>
    <xf borderId="93" fillId="4" fontId="6" numFmtId="167" xfId="0" applyAlignment="1" applyBorder="1" applyFont="1" applyNumberFormat="1">
      <alignment readingOrder="0" shrinkToFit="0" vertical="center" wrapText="0"/>
    </xf>
    <xf borderId="26" fillId="4" fontId="6" numFmtId="167" xfId="0" applyAlignment="1" applyBorder="1" applyFont="1" applyNumberFormat="1">
      <alignment readingOrder="0" shrinkToFit="0" vertical="center" wrapText="0"/>
    </xf>
    <xf borderId="95" fillId="4" fontId="6" numFmtId="167" xfId="0" applyAlignment="1" applyBorder="1" applyFont="1" applyNumberFormat="1">
      <alignment readingOrder="0" shrinkToFit="0" vertical="center" wrapText="0"/>
    </xf>
    <xf borderId="28" fillId="10" fontId="6" numFmtId="167" xfId="0" applyAlignment="1" applyBorder="1" applyFont="1" applyNumberFormat="1">
      <alignment readingOrder="0" shrinkToFit="0" vertical="center" wrapText="0"/>
    </xf>
    <xf borderId="30" fillId="10" fontId="6" numFmtId="167" xfId="0" applyAlignment="1" applyBorder="1" applyFont="1" applyNumberFormat="1">
      <alignment readingOrder="0" shrinkToFit="0" vertical="center" wrapText="0"/>
    </xf>
    <xf borderId="99" fillId="11" fontId="6" numFmtId="167" xfId="0" applyAlignment="1" applyBorder="1" applyFont="1" applyNumberFormat="1">
      <alignment readingOrder="0" shrinkToFit="0" vertical="center" wrapText="0"/>
    </xf>
    <xf borderId="26" fillId="11" fontId="6" numFmtId="167" xfId="0" applyAlignment="1" applyBorder="1" applyFont="1" applyNumberFormat="1">
      <alignment readingOrder="0" shrinkToFit="0" vertical="center" wrapText="0"/>
    </xf>
    <xf borderId="101" fillId="11" fontId="6" numFmtId="167" xfId="0" applyAlignment="1" applyBorder="1" applyFont="1" applyNumberFormat="1">
      <alignment readingOrder="0" shrinkToFit="0" vertical="center" wrapText="0"/>
    </xf>
    <xf borderId="28" fillId="12" fontId="6" numFmtId="167" xfId="0" applyAlignment="1" applyBorder="1" applyFont="1" applyNumberFormat="1">
      <alignment readingOrder="0" shrinkToFit="0" vertical="center" wrapText="0"/>
    </xf>
    <xf borderId="26" fillId="12" fontId="6" numFmtId="167" xfId="0" applyAlignment="1" applyBorder="1" applyFont="1" applyNumberFormat="1">
      <alignment readingOrder="0" shrinkToFit="0" vertical="center" wrapText="0"/>
    </xf>
    <xf borderId="30" fillId="12" fontId="6" numFmtId="167" xfId="0" applyAlignment="1" applyBorder="1" applyFont="1" applyNumberFormat="1">
      <alignment readingOrder="0" shrinkToFit="0" vertical="center" wrapText="0"/>
    </xf>
    <xf borderId="106" fillId="13" fontId="6" numFmtId="167" xfId="0" applyAlignment="1" applyBorder="1" applyFont="1" applyNumberFormat="1">
      <alignment readingOrder="0" shrinkToFit="0" vertical="center" wrapText="0"/>
    </xf>
    <xf borderId="26" fillId="13" fontId="6" numFmtId="167" xfId="0" applyAlignment="1" applyBorder="1" applyFont="1" applyNumberFormat="1">
      <alignment readingOrder="0" shrinkToFit="0" vertical="center" wrapText="0"/>
    </xf>
    <xf borderId="109" fillId="13" fontId="6" numFmtId="167" xfId="0" applyAlignment="1" applyBorder="1" applyFont="1" applyNumberFormat="1">
      <alignment readingOrder="0" shrinkToFit="0" vertical="center" wrapText="0"/>
    </xf>
    <xf borderId="28" fillId="14" fontId="6" numFmtId="167" xfId="0" applyAlignment="1" applyBorder="1" applyFont="1" applyNumberFormat="1">
      <alignment readingOrder="0" shrinkToFit="0" vertical="center" wrapText="0"/>
    </xf>
    <xf borderId="26" fillId="14" fontId="6" numFmtId="167" xfId="0" applyAlignment="1" applyBorder="1" applyFont="1" applyNumberFormat="1">
      <alignment readingOrder="0" shrinkToFit="0" vertical="center" wrapText="0"/>
    </xf>
    <xf borderId="30" fillId="14" fontId="6" numFmtId="167" xfId="0" applyAlignment="1" applyBorder="1" applyFont="1" applyNumberFormat="1">
      <alignment readingOrder="0" shrinkToFit="0" vertical="center" wrapText="0"/>
    </xf>
    <xf borderId="0" fillId="0" fontId="27" numFmtId="0" xfId="0" applyAlignment="1" applyFont="1">
      <alignment horizontal="center" readingOrder="0" vertical="center"/>
    </xf>
    <xf borderId="1" fillId="0" fontId="18" numFmtId="0" xfId="0" applyAlignment="1" applyBorder="1" applyFont="1">
      <alignment horizontal="left" readingOrder="0" shrinkToFit="0" vertical="center" wrapText="0"/>
    </xf>
    <xf borderId="3" fillId="0" fontId="2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4" fillId="0" fontId="6" numFmtId="0" xfId="0" applyAlignment="1" applyBorder="1" applyFont="1">
      <alignment readingOrder="0" shrinkToFit="0" vertical="center" wrapText="0"/>
    </xf>
    <xf borderId="5" fillId="0" fontId="6" numFmtId="0" xfId="0" applyAlignment="1" applyBorder="1" applyFont="1">
      <alignment readingOrder="0" shrinkToFit="0" vertical="center" wrapText="0"/>
    </xf>
    <xf borderId="6" fillId="0" fontId="2" numFmtId="0" xfId="0" applyAlignment="1" applyBorder="1" applyFont="1">
      <alignment shrinkToFit="0" vertical="center" wrapText="0"/>
    </xf>
    <xf borderId="5" fillId="12" fontId="6" numFmtId="0" xfId="0" applyAlignment="1" applyBorder="1" applyFont="1">
      <alignment horizontal="right" readingOrder="0" shrinkToFit="0" vertical="center" wrapText="0"/>
    </xf>
    <xf borderId="5" fillId="0" fontId="6" numFmtId="0" xfId="0" applyAlignment="1" applyBorder="1" applyFont="1">
      <alignment shrinkToFit="0" vertical="center" wrapText="0"/>
    </xf>
    <xf borderId="7" fillId="0" fontId="6" numFmtId="0" xfId="0" applyAlignment="1" applyBorder="1" applyFont="1">
      <alignment readingOrder="0" shrinkToFit="0" vertical="center" wrapText="0"/>
    </xf>
    <xf borderId="8" fillId="0" fontId="6" numFmtId="0" xfId="0" applyAlignment="1" applyBorder="1" applyFont="1">
      <alignment readingOrder="0" shrinkToFit="0" vertical="center" wrapText="0"/>
    </xf>
    <xf borderId="9" fillId="0" fontId="2" numFmtId="0" xfId="0" applyAlignment="1" applyBorder="1" applyFont="1">
      <alignment shrinkToFit="0" vertical="center" wrapText="0"/>
    </xf>
    <xf borderId="8" fillId="12" fontId="6" numFmtId="0" xfId="0" applyAlignment="1" applyBorder="1" applyFont="1">
      <alignment horizontal="right" readingOrder="0" shrinkToFit="0" vertical="center" wrapText="0"/>
    </xf>
    <xf borderId="8" fillId="0" fontId="6" numFmtId="0" xfId="0" applyAlignment="1" applyBorder="1" applyFont="1">
      <alignment shrinkToFit="0" vertical="center" wrapText="0"/>
    </xf>
    <xf borderId="10" fillId="0" fontId="6" numFmtId="0" xfId="0" applyAlignment="1" applyBorder="1" applyFont="1">
      <alignment readingOrder="0" shrinkToFit="0" vertical="center" wrapText="0"/>
    </xf>
    <xf borderId="11" fillId="0" fontId="6" numFmtId="0" xfId="0" applyAlignment="1" applyBorder="1" applyFont="1">
      <alignment readingOrder="0" shrinkToFit="0" vertical="center" wrapText="0"/>
    </xf>
    <xf borderId="12" fillId="0" fontId="2" numFmtId="0" xfId="0" applyAlignment="1" applyBorder="1" applyFont="1">
      <alignment shrinkToFit="0" vertical="center" wrapText="0"/>
    </xf>
    <xf borderId="11" fillId="12" fontId="6" numFmtId="0" xfId="0" applyAlignment="1" applyBorder="1" applyFont="1">
      <alignment horizontal="right" readingOrder="0" shrinkToFit="0" vertical="center" wrapText="0"/>
    </xf>
    <xf borderId="11" fillId="0" fontId="6" numFmtId="0" xfId="0" applyAlignment="1" applyBorder="1" applyFont="1">
      <alignment shrinkToFit="0" vertical="center" wrapText="0"/>
    </xf>
    <xf borderId="0" fillId="0" fontId="24" numFmtId="0" xfId="0" applyAlignment="1" applyFont="1">
      <alignment readingOrder="0"/>
    </xf>
    <xf borderId="26" fillId="7" fontId="1" numFmtId="0" xfId="0" applyAlignment="1" applyBorder="1" applyFont="1">
      <alignment horizontal="center" readingOrder="0"/>
    </xf>
    <xf borderId="25" fillId="7" fontId="1" numFmtId="0" xfId="0" applyAlignment="1" applyBorder="1" applyFont="1">
      <alignment horizontal="center" readingOrder="0"/>
    </xf>
    <xf borderId="0" fillId="7" fontId="24" numFmtId="0" xfId="0" applyAlignment="1" applyFont="1">
      <alignment horizontal="center" readingOrder="0"/>
    </xf>
    <xf borderId="0" fillId="7" fontId="1" numFmtId="0" xfId="0" applyAlignment="1" applyFont="1">
      <alignment horizontal="center" readingOrder="0"/>
    </xf>
    <xf borderId="0" fillId="7" fontId="1" numFmtId="0" xfId="0" applyAlignment="1" applyFont="1">
      <alignment horizontal="center"/>
    </xf>
    <xf borderId="26" fillId="0" fontId="28" numFmtId="0" xfId="0" applyAlignment="1" applyBorder="1" applyFont="1">
      <alignment horizontal="center" readingOrder="0"/>
    </xf>
    <xf borderId="0" fillId="0" fontId="6" numFmtId="0" xfId="0" applyAlignment="1" applyFont="1">
      <alignment horizontal="center" readingOrder="0" shrinkToFit="0" wrapText="0"/>
    </xf>
    <xf borderId="0" fillId="0" fontId="6" numFmtId="0" xfId="0" applyAlignment="1" applyFont="1">
      <alignment readingOrder="0" shrinkToFit="0" wrapText="0"/>
    </xf>
    <xf borderId="0" fillId="0" fontId="29" numFmtId="0" xfId="0" applyFont="1"/>
    <xf borderId="28" fillId="12" fontId="24" numFmtId="0" xfId="0" applyAlignment="1" applyBorder="1" applyFont="1">
      <alignment horizontal="center" readingOrder="0"/>
    </xf>
    <xf borderId="74" fillId="12" fontId="6" numFmtId="0" xfId="0" applyAlignment="1" applyBorder="1" applyFont="1">
      <alignment horizontal="center" readingOrder="0" shrinkToFit="0" wrapText="0"/>
    </xf>
    <xf borderId="28" fillId="12" fontId="6" numFmtId="0" xfId="0" applyAlignment="1" applyBorder="1" applyFont="1">
      <alignment horizontal="right" readingOrder="0" shrinkToFit="0" wrapText="0"/>
    </xf>
    <xf borderId="26" fillId="12" fontId="24" numFmtId="0" xfId="0" applyAlignment="1" applyBorder="1" applyFont="1">
      <alignment horizontal="center" readingOrder="0"/>
    </xf>
    <xf borderId="73" fillId="12" fontId="6" numFmtId="0" xfId="0" applyAlignment="1" applyBorder="1" applyFont="1">
      <alignment horizontal="center" readingOrder="0" shrinkToFit="0" wrapText="0"/>
    </xf>
    <xf borderId="26" fillId="12" fontId="6" numFmtId="0" xfId="0" applyAlignment="1" applyBorder="1" applyFont="1">
      <alignment horizontal="right" readingOrder="0" shrinkToFit="0" wrapText="0"/>
    </xf>
    <xf borderId="0" fillId="12" fontId="24" numFmtId="0" xfId="0" applyAlignment="1" applyFont="1">
      <alignment horizontal="center" readingOrder="0"/>
    </xf>
    <xf borderId="0" fillId="12" fontId="6" numFmtId="0" xfId="0" applyAlignment="1" applyFont="1">
      <alignment horizontal="center" readingOrder="0" shrinkToFit="0" wrapText="0"/>
    </xf>
    <xf borderId="0" fillId="12" fontId="6" numFmtId="0" xfId="0" applyAlignment="1" applyFont="1">
      <alignment horizontal="right" readingOrder="0" shrinkToFit="0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7">
    <tableStyle count="3" pivot="0" name="Scaler-style">
      <tableStyleElement dxfId="1" type="headerRow"/>
      <tableStyleElement dxfId="2" type="firstRowStripe"/>
      <tableStyleElement dxfId="3" type="secondRowStripe"/>
    </tableStyle>
    <tableStyle count="3" pivot="0" name="RunTime-style">
      <tableStyleElement dxfId="1" type="headerRow"/>
      <tableStyleElement dxfId="2" type="firstRowStripe"/>
      <tableStyleElement dxfId="3" type="secondRowStripe"/>
    </tableStyle>
    <tableStyle count="3" pivot="0" name="F0-style">
      <tableStyleElement dxfId="1" type="headerRow"/>
      <tableStyleElement dxfId="2" type="firstRowStripe"/>
      <tableStyleElement dxfId="3" type="secondRowStripe"/>
    </tableStyle>
    <tableStyle count="3" pivot="0" name="PPAC Efficiency-style">
      <tableStyleElement dxfId="1" type="headerRow"/>
      <tableStyleElement dxfId="2" type="firstRowStripe"/>
      <tableStyleElement dxfId="3" type="secondRowStripe"/>
    </tableStyle>
    <tableStyle count="3" pivot="0" name="PPAC Efficiency-style 2">
      <tableStyleElement dxfId="1" type="headerRow"/>
      <tableStyleElement dxfId="2" type="firstRowStripe"/>
      <tableStyleElement dxfId="3" type="secondRowStripe"/>
    </tableStyle>
    <tableStyle count="3" pivot="0" name="CS_PID-style">
      <tableStyleElement dxfId="1" type="headerRow"/>
      <tableStyleElement dxfId="2" type="firstRowStripe"/>
      <tableStyleElement dxfId="3" type="secondRowStripe"/>
    </tableStyle>
    <tableStyle count="3" pivot="0" name="CSBeam_PID-style">
      <tableStyleElement dxfId="1" type="headerRow"/>
      <tableStyleElement dxfId="2" type="firstRowStripe"/>
      <tableStyleElement dxfId="3" type="secondRowStripe"/>
    </tableStyle>
    <tableStyle count="3" pivot="0" name="Charts-style">
      <tableStyleElement dxfId="1" type="headerRow"/>
      <tableStyleElement dxfId="2" type="firstRowStripe"/>
      <tableStyleElement dxfId="3" type="secondRowStripe"/>
    </tableStyle>
    <tableStyle count="3" pivot="0" name="Charts-style 2">
      <tableStyleElement dxfId="1" type="headerRow"/>
      <tableStyleElement dxfId="2" type="firstRowStripe"/>
      <tableStyleElement dxfId="3" type="secondRowStripe"/>
    </tableStyle>
    <tableStyle count="3" pivot="0" name="Rate_PID-style">
      <tableStyleElement dxfId="1" type="headerRow"/>
      <tableStyleElement dxfId="2" type="firstRowStripe"/>
      <tableStyleElement dxfId="3" type="secondRowStripe"/>
    </tableStyle>
    <tableStyle count="3" pivot="0" name="RateTarget_PID-style">
      <tableStyleElement dxfId="1" type="headerRow"/>
      <tableStyleElement dxfId="2" type="firstRowStripe"/>
      <tableStyleElement dxfId="3" type="secondRowStripe"/>
    </tableStyle>
    <tableStyle count="3" pivot="0" name="CS_MDIS-style">
      <tableStyleElement dxfId="1" type="headerRow"/>
      <tableStyleElement dxfId="2" type="firstRowStripe"/>
      <tableStyleElement dxfId="3" type="secondRowStripe"/>
    </tableStyle>
    <tableStyle count="3" pivot="0" name="Rate_MDIS-style">
      <tableStyleElement dxfId="1" type="headerRow"/>
      <tableStyleElement dxfId="2" type="firstRowStripe"/>
      <tableStyleElement dxfId="3" type="secondRowStripe"/>
    </tableStyle>
    <tableStyle count="3" pivot="0" name="SSDVsPla-style">
      <tableStyleElement dxfId="1" type="headerRow"/>
      <tableStyleElement dxfId="2" type="firstRowStripe"/>
      <tableStyleElement dxfId="3" type="secondRowStripe"/>
    </tableStyle>
    <tableStyle count="3" pivot="0" name="SSDVsPla-style 2">
      <tableStyleElement dxfId="1" type="headerRow"/>
      <tableStyleElement dxfId="2" type="firstRowStripe"/>
      <tableStyleElement dxfId="3" type="secondRowStripe"/>
    </tableStyle>
    <tableStyle count="2" pivot="0" name="SSDVsPla-style 3">
      <tableStyleElement dxfId="3" type="firstRowStripe"/>
      <tableStyleElement dxfId="2" type="secondRowStripe"/>
    </tableStyle>
    <tableStyle count="2" pivot="0" name="SSDVsPla-style 4">
      <tableStyleElement dxfId="3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pivotCacheDefinition" Target="pivotCache/pivotCacheDefinition1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23" Type="http://schemas.openxmlformats.org/officeDocument/2006/relationships/pivotCacheDefinition" Target="pivotCache/pivotCacheDefinition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Live time vs Trigger Rate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Scaler!$Q$1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Scaler!$J$2:$J$1148</c:f>
            </c:numRef>
          </c:xVal>
          <c:yVal>
            <c:numRef>
              <c:f>Scaler!$Q$2:$Q$1148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6657135"/>
        <c:axId val="867161913"/>
      </c:scatterChart>
      <c:valAx>
        <c:axId val="171665713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Trigger Rate (Hz)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7161913"/>
      </c:valAx>
      <c:valAx>
        <c:axId val="8671619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Live Time</a:t>
                </a:r>
              </a:p>
            </c:rich>
          </c:tx>
          <c:layout>
            <c:manualLayout>
              <c:xMode val="edge"/>
              <c:yMode val="edge"/>
              <c:x val="0.02459086993970715"/>
              <c:y val="0.12011091652072386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665713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14C, 16N, 18O, 20F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'PPAC Efficiency'!$B$3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'PPAC Efficiency'!$A$4:$A$9</c:f>
            </c:strRef>
          </c:cat>
          <c:val>
            <c:numRef>
              <c:f>'PPAC Efficiency'!$B$4:$B$9</c:f>
              <c:numCache/>
            </c:numRef>
          </c:val>
          <c:smooth val="1"/>
        </c:ser>
        <c:ser>
          <c:idx val="1"/>
          <c:order val="1"/>
          <c:tx>
            <c:strRef>
              <c:f>'PPAC Efficiency'!$C$3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7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'PPAC Efficiency'!$A$4:$A$9</c:f>
            </c:strRef>
          </c:cat>
          <c:val>
            <c:numRef>
              <c:f>'PPAC Efficiency'!$C$4:$C$9</c:f>
              <c:numCache/>
            </c:numRef>
          </c:val>
          <c:smooth val="1"/>
        </c:ser>
        <c:ser>
          <c:idx val="2"/>
          <c:order val="2"/>
          <c:tx>
            <c:strRef>
              <c:f>'PPAC Efficiency'!$D$3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circle"/>
            <c:size val="7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cat>
            <c:strRef>
              <c:f>'PPAC Efficiency'!$A$4:$A$9</c:f>
            </c:strRef>
          </c:cat>
          <c:val>
            <c:numRef>
              <c:f>'PPAC Efficiency'!$D$4:$D$9</c:f>
              <c:numCache/>
            </c:numRef>
          </c:val>
          <c:smooth val="1"/>
        </c:ser>
        <c:ser>
          <c:idx val="3"/>
          <c:order val="3"/>
          <c:tx>
            <c:strRef>
              <c:f>'PPAC Efficiency'!$E$3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circle"/>
            <c:size val="7"/>
            <c:spPr>
              <a:solidFill>
                <a:srgbClr val="34A853"/>
              </a:solidFill>
              <a:ln cmpd="sng">
                <a:solidFill>
                  <a:srgbClr val="34A853"/>
                </a:solidFill>
              </a:ln>
            </c:spPr>
          </c:marker>
          <c:cat>
            <c:strRef>
              <c:f>'PPAC Efficiency'!$A$4:$A$9</c:f>
            </c:strRef>
          </c:cat>
          <c:val>
            <c:numRef>
              <c:f>'PPAC Efficiency'!$E$4:$E$9</c:f>
              <c:numCache/>
            </c:numRef>
          </c:val>
          <c:smooth val="1"/>
        </c:ser>
        <c:axId val="571115282"/>
        <c:axId val="9917585"/>
      </c:lineChart>
      <c:catAx>
        <c:axId val="5711152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HV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17585"/>
      </c:catAx>
      <c:valAx>
        <c:axId val="9917585"/>
        <c:scaling>
          <c:orientation val="minMax"/>
          <c:max val="1.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11152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'PPAC Efficiency'!$B$18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'PPAC Efficiency'!$A$19:$A$22</c:f>
            </c:strRef>
          </c:cat>
          <c:val>
            <c:numRef>
              <c:f>'PPAC Efficiency'!$B$19:$B$22</c:f>
              <c:numCache/>
            </c:numRef>
          </c:val>
          <c:smooth val="1"/>
        </c:ser>
        <c:ser>
          <c:idx val="1"/>
          <c:order val="1"/>
          <c:tx>
            <c:strRef>
              <c:f>'PPAC Efficiency'!$C$18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7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'PPAC Efficiency'!$A$19:$A$22</c:f>
            </c:strRef>
          </c:cat>
          <c:val>
            <c:numRef>
              <c:f>'PPAC Efficiency'!$C$19:$C$22</c:f>
              <c:numCache/>
            </c:numRef>
          </c:val>
          <c:smooth val="1"/>
        </c:ser>
        <c:ser>
          <c:idx val="2"/>
          <c:order val="2"/>
          <c:tx>
            <c:strRef>
              <c:f>'PPAC Efficiency'!$D$18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circle"/>
            <c:size val="7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cat>
            <c:strRef>
              <c:f>'PPAC Efficiency'!$A$19:$A$22</c:f>
            </c:strRef>
          </c:cat>
          <c:val>
            <c:numRef>
              <c:f>'PPAC Efficiency'!$D$19:$D$22</c:f>
              <c:numCache/>
            </c:numRef>
          </c:val>
          <c:smooth val="1"/>
        </c:ser>
        <c:ser>
          <c:idx val="3"/>
          <c:order val="3"/>
          <c:tx>
            <c:strRef>
              <c:f>'PPAC Efficiency'!$E$18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circle"/>
            <c:size val="7"/>
            <c:spPr>
              <a:solidFill>
                <a:srgbClr val="34A853"/>
              </a:solidFill>
              <a:ln cmpd="sng">
                <a:solidFill>
                  <a:srgbClr val="34A853"/>
                </a:solidFill>
              </a:ln>
            </c:spPr>
          </c:marker>
          <c:cat>
            <c:strRef>
              <c:f>'PPAC Efficiency'!$A$19:$A$22</c:f>
            </c:strRef>
          </c:cat>
          <c:val>
            <c:numRef>
              <c:f>'PPAC Efficiency'!$E$19:$E$22</c:f>
              <c:numCache/>
            </c:numRef>
          </c:val>
          <c:smooth val="1"/>
        </c:ser>
        <c:ser>
          <c:idx val="4"/>
          <c:order val="4"/>
          <c:tx>
            <c:strRef>
              <c:f>'PPAC Efficiency'!$F$18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circle"/>
            <c:size val="7"/>
            <c:spPr>
              <a:solidFill>
                <a:srgbClr val="FF6D01"/>
              </a:solidFill>
              <a:ln cmpd="sng">
                <a:solidFill>
                  <a:srgbClr val="FF6D01"/>
                </a:solidFill>
              </a:ln>
            </c:spPr>
          </c:marker>
          <c:cat>
            <c:strRef>
              <c:f>'PPAC Efficiency'!$A$19:$A$22</c:f>
            </c:strRef>
          </c:cat>
          <c:val>
            <c:numRef>
              <c:f>'PPAC Efficiency'!$F$19:$F$22</c:f>
              <c:numCache/>
            </c:numRef>
          </c:val>
          <c:smooth val="1"/>
        </c:ser>
        <c:ser>
          <c:idx val="5"/>
          <c:order val="5"/>
          <c:tx>
            <c:strRef>
              <c:f>'PPAC Efficiency'!$G$18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circle"/>
            <c:size val="7"/>
            <c:spPr>
              <a:solidFill>
                <a:srgbClr val="46BDC6"/>
              </a:solidFill>
              <a:ln cmpd="sng">
                <a:solidFill>
                  <a:srgbClr val="46BDC6"/>
                </a:solidFill>
              </a:ln>
            </c:spPr>
          </c:marker>
          <c:cat>
            <c:strRef>
              <c:f>'PPAC Efficiency'!$A$19:$A$22</c:f>
            </c:strRef>
          </c:cat>
          <c:val>
            <c:numRef>
              <c:f>'PPAC Efficiency'!$G$19:$G$22</c:f>
              <c:numCache/>
            </c:numRef>
          </c:val>
          <c:smooth val="1"/>
        </c:ser>
        <c:axId val="1328006398"/>
        <c:axId val="1939928923"/>
      </c:lineChart>
      <c:catAx>
        <c:axId val="13280063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9928923"/>
      </c:catAx>
      <c:valAx>
        <c:axId val="1939928923"/>
        <c:scaling>
          <c:orientation val="minMax"/>
          <c:max val="1.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800639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18O Runs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CSBeam_PID!$N$1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CSBeam_PID!$B$2:$B$5</c:f>
            </c:strRef>
          </c:cat>
          <c:val>
            <c:numRef>
              <c:f>CSBeam_PID!$N$2:$N$5</c:f>
              <c:numCache/>
            </c:numRef>
          </c:val>
          <c:smooth val="0"/>
        </c:ser>
        <c:ser>
          <c:idx val="1"/>
          <c:order val="1"/>
          <c:tx>
            <c:strRef>
              <c:f>CSBeam_PID!$O$1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CSBeam_PID!$B$2:$B$5</c:f>
            </c:strRef>
          </c:cat>
          <c:val>
            <c:numRef>
              <c:f>CSBeam_PID!$O$2:$O$5</c:f>
              <c:numCache/>
            </c:numRef>
          </c:val>
          <c:smooth val="0"/>
        </c:ser>
        <c:ser>
          <c:idx val="2"/>
          <c:order val="2"/>
          <c:tx>
            <c:strRef>
              <c:f>CSBeam_PID!$P$1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CSBeam_PID!$B$2:$B$5</c:f>
            </c:strRef>
          </c:cat>
          <c:val>
            <c:numRef>
              <c:f>CSBeam_PID!$P$2:$P$5</c:f>
              <c:numCache/>
            </c:numRef>
          </c:val>
          <c:smooth val="0"/>
        </c:ser>
        <c:axId val="1641882521"/>
        <c:axId val="631730298"/>
      </c:lineChart>
      <c:catAx>
        <c:axId val="16418825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1730298"/>
      </c:catAx>
      <c:valAx>
        <c:axId val="6317302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18825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19O Runs</a:t>
            </a:r>
          </a:p>
        </c:rich>
      </c:tx>
      <c:overlay val="0"/>
    </c:title>
    <c:plotArea>
      <c:layout/>
      <c:lineChart>
        <c:ser>
          <c:idx val="0"/>
          <c:order val="0"/>
          <c:tx>
            <c:v>18O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CSBeam_PID!$B$6:$B$42</c:f>
            </c:strRef>
          </c:cat>
          <c:val>
            <c:numRef>
              <c:f>CSBeam_PID!$O$6:$O$42</c:f>
              <c:numCache/>
            </c:numRef>
          </c:val>
          <c:smooth val="0"/>
        </c:ser>
        <c:ser>
          <c:idx val="1"/>
          <c:order val="1"/>
          <c:tx>
            <c:v>19O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CSBeam_PID!$B$6:$B$42</c:f>
            </c:strRef>
          </c:cat>
          <c:val>
            <c:numRef>
              <c:f>CSBeam_PID!$P$6:$P$42</c:f>
              <c:numCache/>
            </c:numRef>
          </c:val>
          <c:smooth val="0"/>
        </c:ser>
        <c:ser>
          <c:idx val="2"/>
          <c:order val="2"/>
          <c:tx>
            <c:v>20O</c:v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CSBeam_PID!$B$6:$B$42</c:f>
            </c:strRef>
          </c:cat>
          <c:val>
            <c:numRef>
              <c:f>CSBeam_PID!$Q$6:$Q$42</c:f>
              <c:numCache/>
            </c:numRef>
          </c:val>
          <c:smooth val="0"/>
        </c:ser>
        <c:ser>
          <c:idx val="3"/>
          <c:order val="3"/>
          <c:tx>
            <c:v>20F</c:v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CSBeam_PID!$B$6:$B$42</c:f>
            </c:strRef>
          </c:cat>
          <c:val>
            <c:numRef>
              <c:f>CSBeam_PID!$U$6:$U$42</c:f>
              <c:numCache/>
            </c:numRef>
          </c:val>
          <c:smooth val="0"/>
        </c:ser>
        <c:ser>
          <c:idx val="4"/>
          <c:order val="4"/>
          <c:tx>
            <c:v>21F</c:v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CSBeam_PID!$B$6:$B$42</c:f>
            </c:strRef>
          </c:cat>
          <c:val>
            <c:numRef>
              <c:f>CSBeam_PID!$V$6:$V$42</c:f>
              <c:numCache/>
            </c:numRef>
          </c:val>
          <c:smooth val="0"/>
        </c:ser>
        <c:axId val="1183176595"/>
        <c:axId val="1679489479"/>
      </c:lineChart>
      <c:catAx>
        <c:axId val="11831765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9489479"/>
      </c:catAx>
      <c:valAx>
        <c:axId val="16794894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31765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20O Runs</a:t>
            </a:r>
          </a:p>
        </c:rich>
      </c:tx>
      <c:overlay val="0"/>
    </c:title>
    <c:plotArea>
      <c:layout/>
      <c:lineChart>
        <c:ser>
          <c:idx val="0"/>
          <c:order val="0"/>
          <c:tx>
            <c:v>18O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CSBeam_PID!$B$43:$B$49</c:f>
            </c:strRef>
          </c:cat>
          <c:val>
            <c:numRef>
              <c:f>CSBeam_PID!$O$43:$O$49</c:f>
              <c:numCache/>
            </c:numRef>
          </c:val>
          <c:smooth val="0"/>
        </c:ser>
        <c:ser>
          <c:idx val="1"/>
          <c:order val="1"/>
          <c:tx>
            <c:v>19O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CSBeam_PID!$B$43:$B$49</c:f>
            </c:strRef>
          </c:cat>
          <c:val>
            <c:numRef>
              <c:f>CSBeam_PID!$P$43:$P$49</c:f>
              <c:numCache/>
            </c:numRef>
          </c:val>
          <c:smooth val="0"/>
        </c:ser>
        <c:ser>
          <c:idx val="2"/>
          <c:order val="2"/>
          <c:tx>
            <c:v>20O</c:v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CSBeam_PID!$B$43:$B$49</c:f>
            </c:strRef>
          </c:cat>
          <c:val>
            <c:numRef>
              <c:f>CSBeam_PID!$Q$43:$Q$49</c:f>
              <c:numCache/>
            </c:numRef>
          </c:val>
          <c:smooth val="0"/>
        </c:ser>
        <c:ser>
          <c:idx val="3"/>
          <c:order val="3"/>
          <c:tx>
            <c:v>21F</c:v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CSBeam_PID!$B$43:$B$49</c:f>
            </c:strRef>
          </c:cat>
          <c:val>
            <c:numRef>
              <c:f>CSBeam_PID!$V$43:$V$49</c:f>
              <c:numCache/>
            </c:numRef>
          </c:val>
          <c:smooth val="0"/>
        </c:ser>
        <c:ser>
          <c:idx val="4"/>
          <c:order val="4"/>
          <c:tx>
            <c:v>22F</c:v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CSBeam_PID!$B$43:$B$49</c:f>
            </c:strRef>
          </c:cat>
          <c:val>
            <c:numRef>
              <c:f>CSBeam_PID!$W$43:$W$49</c:f>
              <c:numCache/>
            </c:numRef>
          </c:val>
          <c:smooth val="0"/>
        </c:ser>
        <c:axId val="559823451"/>
        <c:axId val="794443683"/>
      </c:lineChart>
      <c:catAx>
        <c:axId val="5598234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4443683"/>
      </c:catAx>
      <c:valAx>
        <c:axId val="7944436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982345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21O Runs</a:t>
            </a:r>
          </a:p>
        </c:rich>
      </c:tx>
      <c:overlay val="0"/>
    </c:title>
    <c:plotArea>
      <c:layout/>
      <c:lineChart>
        <c:ser>
          <c:idx val="0"/>
          <c:order val="0"/>
          <c:tx>
            <c:v>19O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CSBeam_PID!$B$50:$B$79</c:f>
            </c:strRef>
          </c:cat>
          <c:val>
            <c:numRef>
              <c:f>CSBeam_PID!$P$50:$P$79</c:f>
              <c:numCache/>
            </c:numRef>
          </c:val>
          <c:smooth val="0"/>
        </c:ser>
        <c:ser>
          <c:idx val="1"/>
          <c:order val="1"/>
          <c:tx>
            <c:v>20O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CSBeam_PID!$B$50:$B$79</c:f>
            </c:strRef>
          </c:cat>
          <c:val>
            <c:numRef>
              <c:f>CSBeam_PID!$Q$50:$Q$79</c:f>
              <c:numCache/>
            </c:numRef>
          </c:val>
          <c:smooth val="0"/>
        </c:ser>
        <c:ser>
          <c:idx val="2"/>
          <c:order val="2"/>
          <c:tx>
            <c:v>21O</c:v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CSBeam_PID!$B$50:$B$79</c:f>
            </c:strRef>
          </c:cat>
          <c:val>
            <c:numRef>
              <c:f>CSBeam_PID!$R$50:$R$79</c:f>
              <c:numCache/>
            </c:numRef>
          </c:val>
          <c:smooth val="0"/>
        </c:ser>
        <c:ser>
          <c:idx val="3"/>
          <c:order val="3"/>
          <c:tx>
            <c:v>22F</c:v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CSBeam_PID!$B$50:$B$79</c:f>
            </c:strRef>
          </c:cat>
          <c:val>
            <c:numRef>
              <c:f>CSBeam_PID!$W$50:$W$79</c:f>
              <c:numCache/>
            </c:numRef>
          </c:val>
          <c:smooth val="0"/>
        </c:ser>
        <c:ser>
          <c:idx val="4"/>
          <c:order val="4"/>
          <c:tx>
            <c:v>23F</c:v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CSBeam_PID!$B$50:$B$79</c:f>
            </c:strRef>
          </c:cat>
          <c:val>
            <c:numRef>
              <c:f>CSBeam_PID!$X$50:$X$79</c:f>
              <c:numCache/>
            </c:numRef>
          </c:val>
          <c:smooth val="0"/>
        </c:ser>
        <c:axId val="467814716"/>
        <c:axId val="574841081"/>
      </c:lineChart>
      <c:catAx>
        <c:axId val="4678147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4841081"/>
      </c:catAx>
      <c:valAx>
        <c:axId val="5748410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781471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Oxygen isotope production for 18O runs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Charts!$A$2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Charts!$B$1:$G$1</c:f>
            </c:strRef>
          </c:cat>
          <c:val>
            <c:numRef>
              <c:f>Charts!$B$2:$G$2</c:f>
              <c:numCache/>
            </c:numRef>
          </c:val>
          <c:smooth val="0"/>
        </c:ser>
        <c:axId val="1129545300"/>
        <c:axId val="169200650"/>
      </c:lineChart>
      <c:catAx>
        <c:axId val="11295453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200650"/>
      </c:catAx>
      <c:valAx>
        <c:axId val="1692006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Yield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95453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Oxygen isotope production for 19O runs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Charts!$A$3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Charts!$B$1:$G$1</c:f>
            </c:strRef>
          </c:cat>
          <c:val>
            <c:numRef>
              <c:f>Charts!$B$3:$G$3</c:f>
              <c:numCache/>
            </c:numRef>
          </c:val>
          <c:smooth val="0"/>
        </c:ser>
        <c:axId val="1534439154"/>
        <c:axId val="852956309"/>
      </c:lineChart>
      <c:catAx>
        <c:axId val="15344391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2956309"/>
      </c:catAx>
      <c:valAx>
        <c:axId val="8529563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Yield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44391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Oxygen isotope production for 20O runs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Charts!$B$4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Charts!$B$1:$G$1</c:f>
            </c:strRef>
          </c:cat>
          <c:val>
            <c:numRef>
              <c:f>Charts!$C$4:$G$4</c:f>
              <c:numCache/>
            </c:numRef>
          </c:val>
          <c:smooth val="0"/>
        </c:ser>
        <c:axId val="473203499"/>
        <c:axId val="607710274"/>
      </c:lineChart>
      <c:catAx>
        <c:axId val="4732034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7710274"/>
      </c:catAx>
      <c:valAx>
        <c:axId val="6077102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Yield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320349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Oxygen isotope production for 21O runs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Charts!$B$5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Charts!$B$1:$G$1</c:f>
            </c:strRef>
          </c:cat>
          <c:val>
            <c:numRef>
              <c:f>Charts!$C$5:$G$5</c:f>
              <c:numCache/>
            </c:numRef>
          </c:val>
          <c:smooth val="0"/>
        </c:ser>
        <c:axId val="1276961744"/>
        <c:axId val="291477139"/>
      </c:lineChart>
      <c:catAx>
        <c:axId val="12769617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1477139"/>
      </c:catAx>
      <c:valAx>
        <c:axId val="2914771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Yield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696174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Oxygen isotope production for 22O runs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Charts!$B$6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Charts!$B$1:$G$1</c:f>
            </c:strRef>
          </c:cat>
          <c:val>
            <c:numRef>
              <c:f>Charts!$C$6:$G$6</c:f>
              <c:numCache/>
            </c:numRef>
          </c:val>
          <c:smooth val="0"/>
        </c:ser>
        <c:axId val="2031665750"/>
        <c:axId val="980530611"/>
      </c:lineChart>
      <c:catAx>
        <c:axId val="20316657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0530611"/>
      </c:catAx>
      <c:valAx>
        <c:axId val="9805306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Yield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166575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Relationship Id="rId4" Type="http://schemas.openxmlformats.org/officeDocument/2006/relationships/chart" Target="../charts/chart7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Relationship Id="rId3" Type="http://schemas.openxmlformats.org/officeDocument/2006/relationships/chart" Target="../charts/chart10.xml"/><Relationship Id="rId4" Type="http://schemas.openxmlformats.org/officeDocument/2006/relationships/chart" Target="../charts/chart11.xml"/><Relationship Id="rId5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238125</xdr:rowOff>
    </xdr:from>
    <xdr:ext cx="11058525" cy="5438775"/>
    <xdr:graphicFrame>
      <xdr:nvGraphicFramePr>
        <xdr:cNvPr id="1" name="Chart 1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438150</xdr:colOff>
      <xdr:row>0</xdr:row>
      <xdr:rowOff>161925</xdr:rowOff>
    </xdr:from>
    <xdr:ext cx="5715000" cy="3533775"/>
    <xdr:graphicFrame>
      <xdr:nvGraphicFramePr>
        <xdr:cNvPr id="2" name="Chart 2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314325</xdr:colOff>
      <xdr:row>16</xdr:row>
      <xdr:rowOff>180975</xdr:rowOff>
    </xdr:from>
    <xdr:ext cx="5715000" cy="3533775"/>
    <xdr:graphicFrame>
      <xdr:nvGraphicFramePr>
        <xdr:cNvPr id="3" name="Chart 3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495300</xdr:colOff>
      <xdr:row>0</xdr:row>
      <xdr:rowOff>0</xdr:rowOff>
    </xdr:from>
    <xdr:ext cx="5715000" cy="3533775"/>
    <xdr:graphicFrame>
      <xdr:nvGraphicFramePr>
        <xdr:cNvPr id="4" name="Chart 4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647700</xdr:colOff>
      <xdr:row>0</xdr:row>
      <xdr:rowOff>0</xdr:rowOff>
    </xdr:from>
    <xdr:ext cx="5715000" cy="3533775"/>
    <xdr:graphicFrame>
      <xdr:nvGraphicFramePr>
        <xdr:cNvPr id="5" name="Chart 5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171450</xdr:colOff>
      <xdr:row>14</xdr:row>
      <xdr:rowOff>95250</xdr:rowOff>
    </xdr:from>
    <xdr:ext cx="5715000" cy="3533775"/>
    <xdr:graphicFrame>
      <xdr:nvGraphicFramePr>
        <xdr:cNvPr id="6" name="Chart 6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11</xdr:col>
      <xdr:colOff>66675</xdr:colOff>
      <xdr:row>14</xdr:row>
      <xdr:rowOff>95250</xdr:rowOff>
    </xdr:from>
    <xdr:ext cx="5715000" cy="3533775"/>
    <xdr:graphicFrame>
      <xdr:nvGraphicFramePr>
        <xdr:cNvPr id="7" name="Chart 7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542925</xdr:colOff>
      <xdr:row>6</xdr:row>
      <xdr:rowOff>190500</xdr:rowOff>
    </xdr:from>
    <xdr:ext cx="5715000" cy="3533775"/>
    <xdr:graphicFrame>
      <xdr:nvGraphicFramePr>
        <xdr:cNvPr id="8" name="Chart 8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542925</xdr:colOff>
      <xdr:row>26</xdr:row>
      <xdr:rowOff>66675</xdr:rowOff>
    </xdr:from>
    <xdr:ext cx="5715000" cy="3533775"/>
    <xdr:graphicFrame>
      <xdr:nvGraphicFramePr>
        <xdr:cNvPr id="9" name="Chart 9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952500</xdr:colOff>
      <xdr:row>6</xdr:row>
      <xdr:rowOff>190500</xdr:rowOff>
    </xdr:from>
    <xdr:ext cx="5715000" cy="3533775"/>
    <xdr:graphicFrame>
      <xdr:nvGraphicFramePr>
        <xdr:cNvPr id="10" name="Chart 10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</xdr:col>
      <xdr:colOff>952500</xdr:colOff>
      <xdr:row>26</xdr:row>
      <xdr:rowOff>66675</xdr:rowOff>
    </xdr:from>
    <xdr:ext cx="5715000" cy="3533775"/>
    <xdr:graphicFrame>
      <xdr:nvGraphicFramePr>
        <xdr:cNvPr id="11" name="Chart 11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13</xdr:col>
      <xdr:colOff>104775</xdr:colOff>
      <xdr:row>6</xdr:row>
      <xdr:rowOff>190500</xdr:rowOff>
    </xdr:from>
    <xdr:ext cx="5715000" cy="3533775"/>
    <xdr:graphicFrame>
      <xdr:nvGraphicFramePr>
        <xdr:cNvPr id="12" name="Chart 12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S151" sheet="CS_PID"/>
  </cacheSource>
  <cacheFields>
    <cacheField name="Target" numFmtId="0">
      <sharedItems>
        <s v="18O"/>
        <s v="19O"/>
        <s v="20O"/>
        <s v="21O"/>
        <s v="22O"/>
        <s v="24Ne"/>
        <s v="25Ne"/>
        <s v="26Ne"/>
      </sharedItems>
    </cacheField>
    <cacheField name="Run" numFmtId="0">
      <sharedItems containsSemiMixedTypes="0" containsString="0" containsNumber="1" containsInteger="1">
        <n v="251.0"/>
        <n v="252.0"/>
        <n v="253.0"/>
        <n v="254.0"/>
        <n v="259.0"/>
        <n v="260.0"/>
        <n v="261.0"/>
        <n v="262.0"/>
        <n v="263.0"/>
        <n v="264.0"/>
        <n v="265.0"/>
        <n v="266.0"/>
        <n v="267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9.0"/>
        <n v="290.0"/>
        <n v="291.0"/>
        <n v="292.0"/>
        <n v="293.0"/>
        <n v="294.0"/>
        <n v="295.0"/>
        <n v="296.0"/>
        <n v="297.0"/>
        <n v="298.0"/>
        <n v="299.0"/>
        <n v="304.0"/>
        <n v="305.0"/>
        <n v="306.0"/>
        <n v="307.0"/>
        <n v="308.0"/>
        <n v="309.0"/>
        <n v="310.0"/>
        <n v="316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7.0"/>
        <n v="223.0"/>
        <n v="224.0"/>
        <n v="225.0"/>
        <n v="226.0"/>
        <n v="348.0"/>
        <n v="349.0"/>
        <n v="350.0"/>
        <n v="351.0"/>
        <n v="352.0"/>
        <n v="361.0"/>
        <n v="362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8.0"/>
        <n v="399.0"/>
        <n v="400.0"/>
        <n v="402.0"/>
        <n v="403.0"/>
        <n v="404.0"/>
        <n v="410.0"/>
        <n v="411.0"/>
        <n v="412.0"/>
        <n v="413.0"/>
        <n v="415.0"/>
        <n v="420.0"/>
        <n v="421.0"/>
        <n v="422.0"/>
        <n v="425.0"/>
        <n v="426.0"/>
        <n v="427.0"/>
        <n v="428.0"/>
        <n v="429.0"/>
        <n v="430.0"/>
        <n v="431.0"/>
        <n v="433.0"/>
        <n v="434.0"/>
        <n v="435.0"/>
        <n v="436.0"/>
        <n v="437.0"/>
        <n v="438.0"/>
        <n v="439.0"/>
        <n v="440.0"/>
      </sharedItems>
    </cacheField>
    <cacheField name="13C" numFmtId="0">
      <sharedItems containsSemiMixedTypes="0" containsString="0" containsNumber="1" containsInteger="1">
        <n v="11.0"/>
        <n v="58.0"/>
        <n v="35.0"/>
        <n v="59.0"/>
        <n v="0.0"/>
        <n v="1.0"/>
        <n v="2.0"/>
        <n v="7.0"/>
        <n v="5.0"/>
        <n v="3.0"/>
      </sharedItems>
    </cacheField>
    <cacheField name="14C" numFmtId="0">
      <sharedItems containsSemiMixedTypes="0" containsString="0" containsNumber="1" containsInteger="1">
        <n v="40.0"/>
        <n v="211.0"/>
        <n v="122.0"/>
        <n v="196.0"/>
        <n v="15.0"/>
        <n v="29.0"/>
        <n v="41.0"/>
        <n v="23.0"/>
        <n v="25.0"/>
        <n v="39.0"/>
        <n v="12.0"/>
        <n v="20.0"/>
        <n v="9.0"/>
        <n v="5.0"/>
        <n v="4.0"/>
        <n v="14.0"/>
        <n v="19.0"/>
        <n v="8.0"/>
        <n v="2.0"/>
        <n v="7.0"/>
        <n v="34.0"/>
        <n v="36.0"/>
        <n v="22.0"/>
        <n v="24.0"/>
        <n v="16.0"/>
        <n v="0.0"/>
        <n v="6.0"/>
        <n v="155.0"/>
        <n v="326.0"/>
        <n v="286.0"/>
        <n v="27.0"/>
        <n v="63.0"/>
        <n v="82.0"/>
        <n v="3.0"/>
        <n v="1.0"/>
      </sharedItems>
    </cacheField>
    <cacheField name="15C" numFmtId="0">
      <sharedItems containsSemiMixedTypes="0" containsString="0" containsNumber="1" containsInteger="1">
        <n v="5.0"/>
        <n v="20.0"/>
        <n v="14.0"/>
        <n v="24.0"/>
        <n v="8.0"/>
        <n v="13.0"/>
        <n v="10.0"/>
        <n v="17.0"/>
        <n v="1.0"/>
        <n v="3.0"/>
        <n v="6.0"/>
        <n v="0.0"/>
        <n v="4.0"/>
        <n v="2.0"/>
        <n v="191.0"/>
        <n v="409.0"/>
        <n v="363.0"/>
        <n v="28.0"/>
        <n v="30.0"/>
        <n v="82.0"/>
        <n v="127.0"/>
        <n v="19.0"/>
        <n v="26.0"/>
        <n v="18.0"/>
        <n v="11.0"/>
        <n v="12.0"/>
        <n v="34.0"/>
        <n v="21.0"/>
        <n v="16.0"/>
        <n v="25.0"/>
        <n v="7.0"/>
      </sharedItems>
    </cacheField>
    <cacheField name="16C" numFmtId="0">
      <sharedItems containsSemiMixedTypes="0" containsString="0" containsNumber="1" containsInteger="1">
        <n v="0.0"/>
        <n v="1.0"/>
        <n v="2.0"/>
        <n v="3.0"/>
        <n v="71.0"/>
        <n v="152.0"/>
        <n v="138.0"/>
        <n v="10.0"/>
        <n v="6.0"/>
        <n v="24.0"/>
        <n v="23.0"/>
        <n v="18.0"/>
        <n v="45.0"/>
        <n v="13.0"/>
        <n v="8.0"/>
        <n v="17.0"/>
        <n v="9.0"/>
        <n v="37.0"/>
        <n v="32.0"/>
        <n v="14.0"/>
        <n v="91.0"/>
        <n v="12.0"/>
        <n v="25.0"/>
        <n v="16.0"/>
        <n v="7.0"/>
        <n v="5.0"/>
        <n v="29.0"/>
        <n v="20.0"/>
        <n v="21.0"/>
        <n v="19.0"/>
        <n v="4.0"/>
        <n v="15.0"/>
        <n v="11.0"/>
      </sharedItems>
    </cacheField>
    <cacheField name="17C" numFmtId="0">
      <sharedItems containsSemiMixedTypes="0" containsString="0" containsNumber="1" containsInteger="1">
        <n v="0.0"/>
        <n v="1.0"/>
        <n v="2.0"/>
        <n v="3.0"/>
        <n v="4.0"/>
      </sharedItems>
    </cacheField>
    <cacheField name="15N" numFmtId="0">
      <sharedItems containsSemiMixedTypes="0" containsString="0" containsNumber="1" containsInteger="1">
        <n v="14.0"/>
        <n v="94.0"/>
        <n v="56.0"/>
        <n v="102.0"/>
        <n v="2.0"/>
        <n v="3.0"/>
        <n v="1.0"/>
        <n v="0.0"/>
        <n v="5.0"/>
        <n v="6.0"/>
        <n v="4.0"/>
      </sharedItems>
    </cacheField>
    <cacheField name="16N" numFmtId="0">
      <sharedItems containsSemiMixedTypes="0" containsString="0" containsNumber="1" containsInteger="1">
        <n v="44.0"/>
        <n v="173.0"/>
        <n v="131.0"/>
        <n v="205.0"/>
        <n v="10.0"/>
        <n v="19.0"/>
        <n v="33.0"/>
        <n v="20.0"/>
        <n v="15.0"/>
        <n v="8.0"/>
        <n v="16.0"/>
        <n v="17.0"/>
        <n v="2.0"/>
        <n v="4.0"/>
        <n v="18.0"/>
        <n v="11.0"/>
        <n v="26.0"/>
        <n v="5.0"/>
        <n v="3.0"/>
        <n v="6.0"/>
        <n v="27.0"/>
        <n v="1.0"/>
        <n v="29.0"/>
        <n v="0.0"/>
        <n v="85.0"/>
        <n v="178.0"/>
        <n v="151.0"/>
        <n v="31.0"/>
        <n v="38.0"/>
      </sharedItems>
    </cacheField>
    <cacheField name="17N" numFmtId="0">
      <sharedItems containsSemiMixedTypes="0" containsString="0" containsNumber="1" containsInteger="1">
        <n v="10.0"/>
        <n v="78.0"/>
        <n v="42.0"/>
        <n v="72.0"/>
        <n v="21.0"/>
        <n v="52.0"/>
        <n v="75.0"/>
        <n v="24.0"/>
        <n v="40.0"/>
        <n v="55.0"/>
        <n v="11.0"/>
        <n v="34.0"/>
        <n v="45.0"/>
        <n v="25.0"/>
        <n v="7.0"/>
        <n v="22.0"/>
        <n v="46.0"/>
        <n v="31.0"/>
        <n v="41.0"/>
        <n v="9.0"/>
        <n v="14.0"/>
        <n v="6.0"/>
        <n v="64.0"/>
        <n v="3.0"/>
        <n v="63.0"/>
        <n v="15.0"/>
        <n v="17.0"/>
        <n v="576.0"/>
        <n v="1178.0"/>
        <n v="1036.0"/>
        <n v="113.0"/>
        <n v="53.0"/>
        <n v="244.0"/>
        <n v="311.0"/>
        <n v="58.0"/>
        <n v="89.0"/>
        <n v="5.0"/>
        <n v="38.0"/>
        <n v="30.0"/>
        <n v="19.0"/>
        <n v="18.0"/>
        <n v="62.0"/>
        <n v="91.0"/>
        <n v="43.0"/>
        <n v="161.0"/>
        <n v="54.0"/>
        <n v="67.0"/>
        <n v="33.0"/>
        <n v="44.0"/>
        <n v="73.0"/>
        <n v="71.0"/>
        <n v="39.0"/>
        <n v="1.0"/>
        <n v="0.0"/>
        <n v="4.0"/>
        <n v="2.0"/>
      </sharedItems>
    </cacheField>
    <cacheField name="18N" numFmtId="0">
      <sharedItems containsSemiMixedTypes="0" containsString="0" containsNumber="1" containsInteger="1">
        <n v="0.0"/>
        <n v="1.0"/>
        <n v="2.0"/>
        <n v="5.0"/>
        <n v="6.0"/>
        <n v="3.0"/>
        <n v="4.0"/>
        <n v="188.0"/>
        <n v="409.0"/>
        <n v="330.0"/>
        <n v="52.0"/>
        <n v="29.0"/>
        <n v="80.0"/>
        <n v="95.0"/>
        <n v="51.0"/>
        <n v="104.0"/>
        <n v="66.0"/>
        <n v="33.0"/>
        <n v="40.0"/>
        <n v="25.0"/>
        <n v="18.0"/>
        <n v="49.0"/>
        <n v="89.0"/>
        <n v="37.0"/>
        <n v="203.0"/>
        <n v="8.0"/>
        <n v="42.0"/>
        <n v="53.0"/>
        <n v="46.0"/>
        <n v="64.0"/>
        <n v="15.0"/>
        <n v="71.0"/>
        <n v="97.0"/>
        <n v="56.0"/>
        <n v="20.0"/>
        <n v="47.0"/>
        <n v="58.0"/>
        <n v="9.0"/>
        <n v="19.0"/>
        <n v="13.0"/>
        <n v="16.0"/>
        <n v="7.0"/>
        <n v="21.0"/>
        <n v="11.0"/>
        <n v="10.0"/>
      </sharedItems>
    </cacheField>
    <cacheField name="19N" numFmtId="0">
      <sharedItems containsSemiMixedTypes="0" containsString="0" containsNumber="1" containsInteger="1">
        <n v="0.0"/>
        <n v="1.0"/>
        <n v="15.0"/>
        <n v="19.0"/>
        <n v="24.0"/>
        <n v="4.0"/>
        <n v="2.0"/>
        <n v="5.0"/>
        <n v="9.0"/>
        <n v="8.0"/>
        <n v="27.0"/>
        <n v="22.0"/>
        <n v="6.0"/>
        <n v="13.0"/>
        <n v="17.0"/>
        <n v="57.0"/>
        <n v="23.0"/>
        <n v="18.0"/>
        <n v="25.0"/>
        <n v="3.0"/>
        <n v="20.0"/>
        <n v="14.0"/>
        <n v="16.0"/>
        <n v="11.0"/>
        <n v="12.0"/>
        <n v="7.0"/>
        <n v="10.0"/>
      </sharedItems>
    </cacheField>
    <cacheField name="20N" numFmtId="0">
      <sharedItems containsSemiMixedTypes="0" containsString="0" containsNumber="1" containsInteger="1">
        <n v="0.0"/>
        <n v="1.0"/>
        <n v="2.0"/>
        <n v="3.0"/>
      </sharedItems>
    </cacheField>
    <cacheField name="17O" numFmtId="0">
      <sharedItems containsSemiMixedTypes="0" containsString="0" containsNumber="1" containsInteger="1">
        <n v="6.0"/>
        <n v="42.0"/>
        <n v="22.0"/>
        <n v="31.0"/>
        <n v="2.0"/>
        <n v="0.0"/>
        <n v="3.0"/>
        <n v="1.0"/>
      </sharedItems>
    </cacheField>
    <cacheField name="18O" numFmtId="0">
      <sharedItems containsSemiMixedTypes="0" containsString="0" containsNumber="1" containsInteger="1">
        <n v="76.0"/>
        <n v="393.0"/>
        <n v="237.0"/>
        <n v="377.0"/>
        <n v="22.0"/>
        <n v="37.0"/>
        <n v="75.0"/>
        <n v="36.0"/>
        <n v="48.0"/>
        <n v="46.0"/>
        <n v="16.0"/>
        <n v="7.0"/>
        <n v="5.0"/>
        <n v="18.0"/>
        <n v="34.0"/>
        <n v="44.0"/>
        <n v="42.0"/>
        <n v="9.0"/>
        <n v="11.0"/>
        <n v="4.0"/>
        <n v="10.0"/>
        <n v="61.0"/>
        <n v="2.0"/>
        <n v="57.0"/>
        <n v="12.0"/>
        <n v="58.0"/>
        <n v="24.0"/>
        <n v="49.0"/>
        <n v="138.0"/>
        <n v="142.0"/>
        <n v="14.0"/>
        <n v="43.0"/>
        <n v="0.0"/>
        <n v="1.0"/>
        <n v="3.0"/>
      </sharedItems>
    </cacheField>
    <cacheField name="19O" numFmtId="0">
      <sharedItems containsSemiMixedTypes="0" containsString="0" containsNumber="1" containsInteger="1">
        <n v="11.0"/>
        <n v="54.0"/>
        <n v="38.0"/>
        <n v="71.0"/>
        <n v="45.0"/>
        <n v="62.0"/>
        <n v="101.0"/>
        <n v="57.0"/>
        <n v="44.0"/>
        <n v="83.0"/>
        <n v="17.0"/>
        <n v="49.0"/>
        <n v="76.0"/>
        <n v="25.0"/>
        <n v="15.0"/>
        <n v="23.0"/>
        <n v="34.0"/>
        <n v="40.0"/>
        <n v="12.0"/>
        <n v="19.0"/>
        <n v="8.0"/>
        <n v="79.0"/>
        <n v="7.0"/>
        <n v="78.0"/>
        <n v="9.0"/>
        <n v="5.0"/>
        <n v="10.0"/>
        <n v="592.0"/>
        <n v="1193.0"/>
        <n v="1076.0"/>
        <n v="130.0"/>
        <n v="68.0"/>
        <n v="256.0"/>
        <n v="354.0"/>
        <n v="33.0"/>
        <n v="56.0"/>
        <n v="3.0"/>
        <n v="13.0"/>
        <n v="21.0"/>
        <n v="22.0"/>
        <n v="14.0"/>
        <n v="42.0"/>
        <n v="51.0"/>
        <n v="98.0"/>
        <n v="24.0"/>
        <n v="29.0"/>
        <n v="46.0"/>
        <n v="35.0"/>
        <n v="41.0"/>
        <n v="0.0"/>
        <n v="2.0"/>
        <n v="1.0"/>
        <n v="4.0"/>
      </sharedItems>
    </cacheField>
    <cacheField name="20O" numFmtId="0">
      <sharedItems containsSemiMixedTypes="0" containsString="0" containsNumber="1" containsInteger="1">
        <n v="1.0"/>
        <n v="2.0"/>
        <n v="0.0"/>
        <n v="7.0"/>
        <n v="8.0"/>
        <n v="13.0"/>
        <n v="3.0"/>
        <n v="5.0"/>
        <n v="12.0"/>
        <n v="6.0"/>
        <n v="4.0"/>
        <n v="9.0"/>
        <n v="14.0"/>
        <n v="527.0"/>
        <n v="1059.0"/>
        <n v="866.0"/>
        <n v="107.0"/>
        <n v="61.0"/>
        <n v="202.0"/>
        <n v="289.0"/>
        <n v="134.0"/>
        <n v="179.0"/>
        <n v="126.0"/>
        <n v="55.0"/>
        <n v="75.0"/>
        <n v="58.0"/>
        <n v="51.0"/>
        <n v="17.0"/>
        <n v="73.0"/>
        <n v="117.0"/>
        <n v="167.0"/>
        <n v="177.0"/>
        <n v="76.0"/>
        <n v="437.0"/>
        <n v="32.0"/>
        <n v="122.0"/>
        <n v="102.0"/>
        <n v="148.0"/>
        <n v="110.0"/>
        <n v="120.0"/>
        <n v="38.0"/>
        <n v="27.0"/>
        <n v="227.0"/>
        <n v="129.0"/>
        <n v="127.0"/>
        <n v="52.0"/>
        <n v="95.0"/>
        <n v="10.0"/>
        <n v="11.0"/>
      </sharedItems>
    </cacheField>
    <cacheField name="21O" numFmtId="0">
      <sharedItems containsSemiMixedTypes="0" containsString="0" containsNumber="1" containsInteger="1">
        <n v="0.0"/>
        <n v="1.0"/>
        <n v="18.0"/>
        <n v="34.0"/>
        <n v="25.0"/>
        <n v="4.0"/>
        <n v="2.0"/>
        <n v="8.0"/>
        <n v="32.0"/>
        <n v="56.0"/>
        <n v="19.0"/>
        <n v="24.0"/>
        <n v="21.0"/>
        <n v="11.0"/>
        <n v="3.0"/>
        <n v="35.0"/>
        <n v="49.0"/>
        <n v="22.0"/>
        <n v="119.0"/>
        <n v="9.0"/>
        <n v="33.0"/>
        <n v="37.0"/>
        <n v="30.0"/>
        <n v="10.0"/>
        <n v="52.0"/>
        <n v="38.0"/>
        <n v="23.0"/>
        <n v="14.0"/>
        <n v="17.0"/>
        <n v="6.0"/>
        <n v="7.0"/>
        <n v="13.0"/>
        <n v="5.0"/>
        <n v="12.0"/>
        <n v="15.0"/>
      </sharedItems>
    </cacheField>
    <cacheField name="22O" numFmtId="0">
      <sharedItems containsSemiMixedTypes="0" containsString="0" containsNumber="1" containsInteger="1">
        <n v="0.0"/>
        <n v="1.0"/>
        <n v="2.0"/>
        <n v="3.0"/>
        <n v="5.0"/>
      </sharedItems>
    </cacheField>
    <cacheField name="19F" numFmtId="0">
      <sharedItems containsSemiMixedTypes="0" containsString="0" containsNumber="1" containsInteger="1">
        <n v="5.0"/>
        <n v="28.0"/>
        <n v="16.0"/>
        <n v="21.0"/>
        <n v="0.0"/>
        <n v="2.0"/>
        <n v="1.0"/>
      </sharedItems>
    </cacheField>
    <cacheField name="20F" numFmtId="0">
      <sharedItems containsSemiMixedTypes="0" containsString="0" containsNumber="1" containsInteger="1">
        <n v="37.0"/>
        <n v="181.0"/>
        <n v="123.0"/>
        <n v="207.0"/>
        <n v="39.0"/>
        <n v="36.0"/>
        <n v="68.0"/>
        <n v="33.0"/>
        <n v="20.0"/>
        <n v="52.0"/>
        <n v="16.0"/>
        <n v="31.0"/>
        <n v="53.0"/>
        <n v="18.0"/>
        <n v="15.0"/>
        <n v="3.0"/>
        <n v="9.0"/>
        <n v="19.0"/>
        <n v="38.0"/>
        <n v="23.0"/>
        <n v="25.0"/>
        <n v="7.0"/>
        <n v="6.0"/>
        <n v="4.0"/>
        <n v="10.0"/>
        <n v="11.0"/>
        <n v="44.0"/>
        <n v="2.0"/>
        <n v="49.0"/>
        <n v="35.0"/>
        <n v="41.0"/>
        <n v="14.0"/>
        <n v="27.0"/>
        <n v="45.0"/>
        <n v="5.0"/>
        <n v="8.0"/>
        <n v="0.0"/>
        <n v="1.0"/>
      </sharedItems>
    </cacheField>
    <cacheField name="21F" numFmtId="0">
      <sharedItems containsSemiMixedTypes="0" containsString="0" containsNumber="1" containsInteger="1">
        <n v="7.0"/>
        <n v="27.0"/>
        <n v="13.0"/>
        <n v="53.0"/>
        <n v="79.0"/>
        <n v="156.0"/>
        <n v="61.0"/>
        <n v="59.0"/>
        <n v="120.0"/>
        <n v="25.0"/>
        <n v="55.0"/>
        <n v="76.0"/>
        <n v="29.0"/>
        <n v="18.0"/>
        <n v="15.0"/>
        <n v="20.0"/>
        <n v="36.0"/>
        <n v="65.0"/>
        <n v="47.0"/>
        <n v="57.0"/>
        <n v="21.0"/>
        <n v="10.0"/>
        <n v="9.0"/>
        <n v="16.0"/>
        <n v="19.0"/>
        <n v="96.0"/>
        <n v="8.0"/>
        <n v="11.0"/>
        <n v="104.0"/>
        <n v="91.0"/>
        <n v="28.0"/>
        <n v="69.0"/>
        <n v="4.0"/>
        <n v="26.0"/>
        <n v="613.0"/>
        <n v="1218.0"/>
        <n v="1120.0"/>
        <n v="137.0"/>
        <n v="255.0"/>
        <n v="391.0"/>
        <n v="17.0"/>
        <n v="1.0"/>
        <n v="12.0"/>
        <n v="6.0"/>
        <n v="23.0"/>
        <n v="5.0"/>
        <n v="2.0"/>
        <n v="14.0"/>
        <n v="34.0"/>
        <n v="0.0"/>
        <n v="3.0"/>
      </sharedItems>
    </cacheField>
    <cacheField name="22F" numFmtId="0">
      <sharedItems containsSemiMixedTypes="0" containsString="0" containsNumber="1" containsInteger="1">
        <n v="0.0"/>
        <n v="1.0"/>
        <n v="4.0"/>
        <n v="9.0"/>
        <n v="2.0"/>
        <n v="3.0"/>
        <n v="5.0"/>
        <n v="349.0"/>
        <n v="709.0"/>
        <n v="606.0"/>
        <n v="66.0"/>
        <n v="45.0"/>
        <n v="173.0"/>
        <n v="195.0"/>
        <n v="111.0"/>
        <n v="194.0"/>
        <n v="14.0"/>
        <n v="89.0"/>
        <n v="61.0"/>
        <n v="81.0"/>
        <n v="62.0"/>
        <n v="50.0"/>
        <n v="15.0"/>
        <n v="59.0"/>
        <n v="93.0"/>
        <n v="148.0"/>
        <n v="147.0"/>
        <n v="382.0"/>
        <n v="40.0"/>
        <n v="130.0"/>
        <n v="71.0"/>
        <n v="134.0"/>
        <n v="78.0"/>
        <n v="121.0"/>
        <n v="46.0"/>
        <n v="23.0"/>
        <n v="131.0"/>
        <n v="170.0"/>
        <n v="102.0"/>
        <n v="41.0"/>
        <n v="96.0"/>
        <n v="84.0"/>
        <n v="7.0"/>
        <n v="8.0"/>
        <n v="16.0"/>
      </sharedItems>
    </cacheField>
    <cacheField name="23F" numFmtId="0">
      <sharedItems containsSemiMixedTypes="0" containsString="0" containsNumber="1" containsInteger="1">
        <n v="0.0"/>
        <n v="12.0"/>
        <n v="34.0"/>
        <n v="22.0"/>
        <n v="3.0"/>
        <n v="4.0"/>
        <n v="7.0"/>
        <n v="8.0"/>
        <n v="71.0"/>
        <n v="116.0"/>
        <n v="6.0"/>
        <n v="66.0"/>
        <n v="37.0"/>
        <n v="50.0"/>
        <n v="27.0"/>
        <n v="26.0"/>
        <n v="48.0"/>
        <n v="74.0"/>
        <n v="78.0"/>
        <n v="29.0"/>
        <n v="226.0"/>
        <n v="13.0"/>
        <n v="63.0"/>
        <n v="41.0"/>
        <n v="79.0"/>
        <n v="43.0"/>
        <n v="62.0"/>
        <n v="20.0"/>
        <n v="10.0"/>
        <n v="77.0"/>
        <n v="96.0"/>
        <n v="57.0"/>
        <n v="24.0"/>
        <n v="68.0"/>
        <n v="46.0"/>
        <n v="19.0"/>
        <n v="9.0"/>
        <n v="2.0"/>
        <n v="5.0"/>
        <n v="11.0"/>
        <n v="17.0"/>
        <n v="1.0"/>
        <n v="16.0"/>
        <n v="23.0"/>
        <n v="18.0"/>
      </sharedItems>
    </cacheField>
    <cacheField name="24F" numFmtId="0">
      <sharedItems containsSemiMixedTypes="0" containsString="0" containsNumber="1" containsInteger="1">
        <n v="0.0"/>
        <n v="1.0"/>
        <n v="2.0"/>
        <n v="8.0"/>
        <n v="7.0"/>
        <n v="3.0"/>
        <n v="4.0"/>
        <n v="11.0"/>
      </sharedItems>
    </cacheField>
    <cacheField name="21Ne" numFmtId="0">
      <sharedItems containsSemiMixedTypes="0" containsString="0" containsNumber="1" containsInteger="1">
        <n v="3.0"/>
        <n v="6.0"/>
        <n v="12.0"/>
        <n v="10.0"/>
        <n v="0.0"/>
        <n v="2.0"/>
        <n v="1.0"/>
      </sharedItems>
    </cacheField>
    <cacheField name="22Ne" numFmtId="0">
      <sharedItems containsSemiMixedTypes="0" containsString="0" containsNumber="1" containsInteger="1">
        <n v="8.0"/>
        <n v="23.0"/>
        <n v="24.0"/>
        <n v="37.0"/>
        <n v="14.0"/>
        <n v="26.0"/>
        <n v="43.0"/>
        <n v="25.0"/>
        <n v="18.0"/>
        <n v="29.0"/>
        <n v="11.0"/>
        <n v="22.0"/>
        <n v="12.0"/>
        <n v="9.0"/>
        <n v="5.0"/>
        <n v="13.0"/>
        <n v="4.0"/>
        <n v="3.0"/>
        <n v="1.0"/>
        <n v="21.0"/>
        <n v="2.0"/>
        <n v="6.0"/>
        <n v="0.0"/>
        <n v="10.0"/>
        <n v="7.0"/>
        <n v="28.0"/>
      </sharedItems>
    </cacheField>
    <cacheField name="23Ne" numFmtId="0">
      <sharedItems containsSemiMixedTypes="0" containsString="0" containsNumber="1" containsInteger="1">
        <n v="0.0"/>
        <n v="1.0"/>
        <n v="2.0"/>
        <n v="7.0"/>
        <n v="16.0"/>
        <n v="29.0"/>
        <n v="12.0"/>
        <n v="11.0"/>
        <n v="19.0"/>
        <n v="6.0"/>
        <n v="9.0"/>
        <n v="4.0"/>
        <n v="13.0"/>
        <n v="3.0"/>
        <n v="10.0"/>
        <n v="20.0"/>
        <n v="140.0"/>
        <n v="389.0"/>
        <n v="327.0"/>
        <n v="46.0"/>
        <n v="25.0"/>
        <n v="67.0"/>
        <n v="105.0"/>
        <n v="5.0"/>
        <n v="8.0"/>
      </sharedItems>
    </cacheField>
    <cacheField name="24Ne" numFmtId="0">
      <sharedItems containsSemiMixedTypes="0" containsString="0" containsNumber="1" containsInteger="1">
        <n v="0.0"/>
        <n v="2.0"/>
        <n v="1.0"/>
        <n v="160.0"/>
        <n v="341.0"/>
        <n v="277.0"/>
        <n v="27.0"/>
        <n v="25.0"/>
        <n v="84.0"/>
        <n v="87.0"/>
        <n v="131.0"/>
        <n v="10.0"/>
        <n v="80.0"/>
        <n v="53.0"/>
        <n v="55.0"/>
        <n v="49.0"/>
        <n v="39.0"/>
        <n v="4.0"/>
        <n v="40.0"/>
        <n v="88.0"/>
        <n v="120.0"/>
        <n v="133.0"/>
        <n v="61.0"/>
        <n v="301.0"/>
        <n v="21.0"/>
        <n v="98.0"/>
        <n v="70.0"/>
        <n v="134.0"/>
        <n v="68.0"/>
        <n v="29.0"/>
        <n v="23.0"/>
        <n v="144.0"/>
        <n v="145.0"/>
        <n v="89.0"/>
        <n v="108.0"/>
        <n v="31.0"/>
        <n v="3.0"/>
        <n v="16.0"/>
        <n v="32.0"/>
        <n v="7.0"/>
        <n v="9.0"/>
        <n v="45.0"/>
        <n v="48.0"/>
        <n v="5.0"/>
        <n v="6.0"/>
      </sharedItems>
    </cacheField>
    <cacheField name="25Ne" numFmtId="0">
      <sharedItems containsSemiMixedTypes="0" containsString="0" containsNumber="1" containsInteger="1">
        <n v="0.0"/>
        <n v="1.0"/>
        <n v="3.0"/>
        <n v="26.0"/>
        <n v="49.0"/>
        <n v="5.0"/>
        <n v="11.0"/>
        <n v="15.0"/>
        <n v="17.0"/>
        <n v="18.0"/>
        <n v="12.0"/>
        <n v="42.0"/>
        <n v="34.0"/>
        <n v="14.0"/>
        <n v="57.0"/>
        <n v="7.0"/>
        <n v="23.0"/>
        <n v="19.0"/>
        <n v="25.0"/>
        <n v="16.0"/>
        <n v="24.0"/>
        <n v="8.0"/>
        <n v="2.0"/>
        <n v="29.0"/>
        <n v="10.0"/>
        <n v="4.0"/>
        <n v="9.0"/>
        <n v="37.0"/>
        <n v="47.0"/>
        <n v="13.0"/>
        <n v="6.0"/>
      </sharedItems>
    </cacheField>
    <cacheField name="26Ne" numFmtId="0">
      <sharedItems containsSemiMixedTypes="0" containsString="0" containsNumber="1" containsInteger="1">
        <n v="0.0"/>
        <n v="1.0"/>
        <n v="2.0"/>
        <n v="3.0"/>
        <n v="4.0"/>
        <n v="5.0"/>
      </sharedItems>
    </cacheField>
    <cacheField name="23Na" numFmtId="0">
      <sharedItems containsSemiMixedTypes="0" containsString="0" containsNumber="1" containsInteger="1">
        <n v="1.0"/>
        <n v="3.0"/>
        <n v="0.0"/>
        <n v="4.0"/>
      </sharedItems>
    </cacheField>
    <cacheField name="24Na" numFmtId="0">
      <sharedItems containsSemiMixedTypes="0" containsString="0" containsNumber="1" containsInteger="1">
        <n v="0.0"/>
        <n v="3.0"/>
        <n v="4.0"/>
        <n v="2.0"/>
        <n v="6.0"/>
        <n v="9.0"/>
        <n v="1.0"/>
        <n v="8.0"/>
        <n v="5.0"/>
        <n v="7.0"/>
      </sharedItems>
    </cacheField>
    <cacheField name="25Na" numFmtId="0">
      <sharedItems containsSemiMixedTypes="0" containsString="0" containsNumber="1" containsInteger="1">
        <n v="0.0"/>
        <n v="3.0"/>
        <n v="1.0"/>
        <n v="2.0"/>
        <n v="74.0"/>
        <n v="131.0"/>
        <n v="115.0"/>
        <n v="12.0"/>
        <n v="8.0"/>
        <n v="35.0"/>
        <n v="34.0"/>
        <n v="7.0"/>
        <n v="5.0"/>
        <n v="4.0"/>
        <n v="9.0"/>
        <n v="6.0"/>
        <n v="20.0"/>
        <n v="13.0"/>
      </sharedItems>
    </cacheField>
    <cacheField name="26Na" numFmtId="0">
      <sharedItems containsSemiMixedTypes="0" containsString="0" containsNumber="1" containsInteger="1">
        <n v="0.0"/>
        <n v="17.0"/>
        <n v="44.0"/>
        <n v="18.0"/>
        <n v="3.0"/>
        <n v="2.0"/>
        <n v="11.0"/>
        <n v="49.0"/>
        <n v="74.0"/>
        <n v="6.0"/>
        <n v="30.0"/>
        <n v="20.0"/>
        <n v="12.0"/>
        <n v="16.0"/>
        <n v="7.0"/>
        <n v="40.0"/>
        <n v="63.0"/>
        <n v="124.0"/>
        <n v="10.0"/>
        <n v="38.0"/>
        <n v="22.0"/>
        <n v="24.0"/>
        <n v="35.0"/>
        <n v="62.0"/>
        <n v="75.0"/>
        <n v="37.0"/>
        <n v="15.0"/>
        <n v="1.0"/>
        <n v="5.0"/>
        <n v="21.0"/>
        <n v="43.0"/>
        <n v="27.0"/>
        <n v="23.0"/>
        <n v="83.0"/>
        <n v="100.0"/>
      </sharedItems>
    </cacheField>
    <cacheField name="27Na" numFmtId="0">
      <sharedItems containsSemiMixedTypes="0" containsString="0" containsNumber="1" containsInteger="1">
        <n v="0.0"/>
        <n v="1.0"/>
        <n v="2.0"/>
        <n v="25.0"/>
        <n v="37.0"/>
        <n v="3.0"/>
        <n v="12.0"/>
        <n v="11.0"/>
        <n v="13.0"/>
        <n v="9.0"/>
        <n v="5.0"/>
        <n v="19.0"/>
        <n v="34.0"/>
        <n v="22.0"/>
        <n v="56.0"/>
        <n v="18.0"/>
        <n v="27.0"/>
        <n v="16.0"/>
        <n v="7.0"/>
        <n v="24.0"/>
        <n v="49.0"/>
        <n v="4.0"/>
        <n v="6.0"/>
        <n v="79.0"/>
        <n v="93.0"/>
        <n v="20.0"/>
        <n v="10.0"/>
        <n v="45.0"/>
        <n v="8.0"/>
      </sharedItems>
    </cacheField>
    <cacheField name="28Na" numFmtId="0">
      <sharedItems containsSemiMixedTypes="0" containsString="0" containsNumber="1" containsInteger="1">
        <n v="0.0"/>
        <n v="1.0"/>
        <n v="2.0"/>
        <n v="3.0"/>
        <n v="4.0"/>
        <n v="8.0"/>
        <n v="9.0"/>
        <n v="5.0"/>
      </sharedItems>
    </cacheField>
    <cacheField name="26Mg" numFmtId="0">
      <sharedItems containsSemiMixedTypes="0" containsString="0" containsNumber="1" containsInteger="1">
        <n v="0.0"/>
        <n v="1.0"/>
        <n v="2.0"/>
        <n v="3.0"/>
      </sharedItems>
    </cacheField>
    <cacheField name="27Mg" numFmtId="0">
      <sharedItems containsSemiMixedTypes="0" containsString="0" containsNumber="1" containsInteger="1">
        <n v="0.0"/>
        <n v="5.0"/>
        <n v="15.0"/>
        <n v="13.0"/>
        <n v="1.0"/>
        <n v="2.0"/>
        <n v="3.0"/>
        <n v="4.0"/>
        <n v="39.0"/>
        <n v="29.0"/>
      </sharedItems>
    </cacheField>
    <cacheField name="28Mg" numFmtId="0">
      <sharedItems containsSemiMixedTypes="0" containsString="0" containsNumber="1" containsInteger="1">
        <n v="0.0"/>
        <n v="1.0"/>
        <n v="5.0"/>
        <n v="24.0"/>
        <n v="38.0"/>
        <n v="2.0"/>
        <n v="20.0"/>
        <n v="12.0"/>
        <n v="13.0"/>
        <n v="15.0"/>
        <n v="8.0"/>
        <n v="6.0"/>
        <n v="11.0"/>
        <n v="17.0"/>
        <n v="32.0"/>
        <n v="30.0"/>
        <n v="100.0"/>
        <n v="10.0"/>
        <n v="31.0"/>
        <n v="27.0"/>
        <n v="28.0"/>
        <n v="4.0"/>
        <n v="25.0"/>
        <n v="49.0"/>
        <n v="23.0"/>
        <n v="9.0"/>
        <n v="18.0"/>
        <n v="19.0"/>
        <n v="79.0"/>
        <n v="55.0"/>
        <n v="39.0"/>
        <n v="137.0"/>
        <n v="156.0"/>
      </sharedItems>
    </cacheField>
    <cacheField name="29Mg" numFmtId="0">
      <sharedItems containsSemiMixedTypes="0" containsString="0" containsNumber="1" containsInteger="1">
        <n v="0.0"/>
        <n v="1.0"/>
        <n v="10.0"/>
        <n v="5.0"/>
        <n v="2.0"/>
        <n v="3.0"/>
        <n v="4.0"/>
        <n v="12.0"/>
        <n v="6.0"/>
        <n v="14.0"/>
        <n v="46.0"/>
        <n v="50.0"/>
        <n v="16.0"/>
        <n v="17.0"/>
        <n v="11.0"/>
        <n v="21.0"/>
        <n v="41.0"/>
        <n v="13.0"/>
        <n v="7.0"/>
        <n v="19.0"/>
        <n v="20.0"/>
      </sharedItems>
    </cacheField>
    <cacheField name="30Mg" numFmtId="0">
      <sharedItems containsSemiMixedTypes="0" containsString="0" containsNumber="1" containsInteger="1">
        <n v="0.0"/>
        <n v="1.0"/>
        <n v="2.0"/>
        <n v="5.0"/>
        <n v="11.0"/>
        <n v="6.0"/>
        <n v="9.0"/>
        <n v="7.0"/>
        <n v="28.0"/>
        <n v="8.0"/>
        <n v="14.0"/>
      </sharedItems>
    </cacheField>
    <cacheField name="29Al" numFmtId="0">
      <sharedItems containsSemiMixedTypes="0" containsString="0" containsNumber="1" containsInteger="1">
        <n v="0.0"/>
        <n v="1.0"/>
        <n v="2.0"/>
        <n v="3.0"/>
        <n v="19.0"/>
        <n v="65.0"/>
        <n v="38.0"/>
        <n v="9.0"/>
      </sharedItems>
    </cacheField>
    <cacheField name="30Al" numFmtId="0">
      <sharedItems containsSemiMixedTypes="0" containsString="0" containsNumber="1" containsInteger="1">
        <n v="0.0"/>
        <n v="4.0"/>
        <n v="1.0"/>
        <n v="2.0"/>
        <n v="3.0"/>
        <n v="6.0"/>
        <n v="9.0"/>
        <n v="13.0"/>
        <n v="14.0"/>
        <n v="10.0"/>
        <n v="35.0"/>
        <n v="47.0"/>
      </sharedItems>
    </cacheField>
    <cacheField name="31Al" numFmtId="0">
      <sharedItems containsSemiMixedTypes="0" containsString="0" containsNumber="1" containsInteger="1">
        <n v="0.0"/>
        <n v="1.0"/>
        <n v="2.0"/>
        <n v="10.0"/>
        <n v="38.0"/>
        <n v="49.0"/>
        <n v="12.0"/>
        <n v="28.0"/>
        <n v="23.0"/>
        <n v="21.0"/>
        <n v="13.0"/>
        <n v="18.0"/>
        <n v="57.0"/>
        <n v="11.0"/>
        <n v="8.0"/>
        <n v="24.0"/>
        <n v="17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K48" sheet="CS_MDIS"/>
  </cacheSource>
  <cacheFields>
    <cacheField name="Center" numFmtId="0">
      <sharedItems containsSemiMixedTypes="0" containsString="0" containsNumber="1" containsInteger="1">
        <n v="-14.0"/>
        <n v="-12.0"/>
        <n v="-10.0"/>
        <n v="-8.0"/>
        <n v="-7.0"/>
        <n v="-6.0"/>
        <n v="-5.0"/>
        <n v="-4.0"/>
        <n v="0.0"/>
        <n v="4.0"/>
        <n v="7.0"/>
      </sharedItems>
    </cacheField>
    <cacheField name="Run" numFmtId="0">
      <sharedItems containsSemiMixedTypes="0" containsString="0" containsNumber="1" containsInteger="1">
        <n v="656.0"/>
        <n v="657.0"/>
        <n v="643.0"/>
        <n v="644.0"/>
        <n v="645.0"/>
        <n v="646.0"/>
        <n v="647.0"/>
        <n v="648.0"/>
        <n v="639.0"/>
        <n v="640.0"/>
        <n v="641.0"/>
        <n v="642.0"/>
        <n v="620.0"/>
        <n v="621.0"/>
        <n v="622.0"/>
        <n v="623.0"/>
        <n v="625.0"/>
        <n v="651.0"/>
        <n v="652.0"/>
        <n v="653.0"/>
        <n v="655.0"/>
        <n v="615.0"/>
        <n v="616.0"/>
        <n v="617.0"/>
        <n v="660.0"/>
        <n v="661.0"/>
        <n v="610.0"/>
        <n v="611.0"/>
        <n v="612.0"/>
        <n v="601.0"/>
        <n v="602.0"/>
        <n v="603.0"/>
        <n v="604.0"/>
        <n v="632.0"/>
        <n v="636.0"/>
        <n v="637.0"/>
        <n v="638.0"/>
        <n v="605.0"/>
        <n v="606.0"/>
        <n v="607.0"/>
        <n v="590.0"/>
        <n v="592.0"/>
        <n v="593.0"/>
        <n v="594.0"/>
        <n v="595.0"/>
        <n v="596.0"/>
        <n v="598.0"/>
      </sharedItems>
    </cacheField>
    <cacheField name="21F" numFmtId="0">
      <sharedItems containsSemiMixedTypes="0" containsString="0" containsNumber="1" containsInteger="1">
        <n v="54.0"/>
        <n v="75.0"/>
        <n v="150.0"/>
        <n v="450.0"/>
        <n v="299.0"/>
        <n v="288.0"/>
        <n v="423.0"/>
        <n v="251.0"/>
        <n v="509.0"/>
        <n v="180.0"/>
        <n v="610.0"/>
        <n v="929.0"/>
        <n v="3291.0"/>
        <n v="2234.0"/>
        <n v="1764.0"/>
        <n v="1463.0"/>
        <n v="1789.0"/>
        <n v="732.0"/>
        <n v="1646.0"/>
        <n v="2109.0"/>
        <n v="1266.0"/>
        <n v="1457.0"/>
        <n v="3285.0"/>
        <n v="5626.0"/>
        <n v="3363.0"/>
        <n v="1132.0"/>
        <n v="2452.0"/>
        <n v="3869.0"/>
        <n v="4498.0"/>
        <n v="692.0"/>
        <n v="753.0"/>
        <n v="3824.0"/>
        <n v="4456.0"/>
        <n v="2120.0"/>
        <n v="1392.0"/>
        <n v="116.0"/>
        <n v="5481.0"/>
        <n v="341.0"/>
        <n v="575.0"/>
        <n v="1230.0"/>
        <n v="36.0"/>
        <n v="30.0"/>
        <n v="139.0"/>
        <n v="97.0"/>
        <n v="77.0"/>
        <n v="207.0"/>
      </sharedItems>
    </cacheField>
    <cacheField name="22F" numFmtId="0">
      <sharedItems containsSemiMixedTypes="0" containsString="0" containsNumber="1" containsInteger="1">
        <n v="14.0"/>
        <n v="4.0"/>
        <n v="9.0"/>
        <n v="40.0"/>
        <n v="24.0"/>
        <n v="17.0"/>
        <n v="27.0"/>
        <n v="21.0"/>
        <n v="41.0"/>
        <n v="16.0"/>
        <n v="60.0"/>
        <n v="78.0"/>
        <n v="305.0"/>
        <n v="229.0"/>
        <n v="181.0"/>
        <n v="127.0"/>
        <n v="175.0"/>
        <n v="77.0"/>
        <n v="225.0"/>
        <n v="135.0"/>
        <n v="174.0"/>
        <n v="394.0"/>
        <n v="619.0"/>
        <n v="491.0"/>
        <n v="146.0"/>
        <n v="380.0"/>
        <n v="604.0"/>
        <n v="702.0"/>
        <n v="354.0"/>
        <n v="352.0"/>
        <n v="1893.0"/>
        <n v="2194.0"/>
        <n v="1035.0"/>
        <n v="700.0"/>
        <n v="51.0"/>
        <n v="2569.0"/>
        <n v="191.0"/>
        <n v="319.0"/>
        <n v="667.0"/>
        <n v="46.0"/>
        <n v="52.0"/>
        <n v="23.0"/>
        <n v="142.0"/>
        <n v="92.0"/>
        <n v="70.0"/>
        <n v="171.0"/>
      </sharedItems>
    </cacheField>
    <cacheField name="23F" numFmtId="0">
      <sharedItems containsSemiMixedTypes="0" containsString="0" containsNumber="1" containsInteger="1">
        <n v="0.0"/>
        <n v="1.0"/>
        <n v="2.0"/>
        <n v="4.0"/>
        <n v="3.0"/>
        <n v="7.0"/>
        <n v="6.0"/>
        <n v="12.0"/>
        <n v="9.0"/>
        <n v="16.0"/>
        <n v="21.0"/>
        <n v="106.0"/>
        <n v="166.0"/>
        <n v="62.0"/>
        <n v="36.0"/>
        <n v="174.0"/>
        <n v="13.0"/>
        <n v="19.0"/>
        <n v="40.0"/>
        <n v="17.0"/>
        <n v="8.0"/>
      </sharedItems>
    </cacheField>
    <cacheField name="17N" numFmtId="0">
      <sharedItems containsSemiMixedTypes="0" containsString="0" containsNumber="1" containsInteger="1">
        <n v="0.0"/>
        <n v="1.0"/>
        <n v="17.0"/>
        <n v="15.0"/>
        <n v="10.0"/>
        <n v="12.0"/>
        <n v="13.0"/>
        <n v="22.0"/>
        <n v="36.0"/>
        <n v="18.0"/>
        <n v="63.0"/>
        <n v="147.0"/>
        <n v="251.0"/>
        <n v="185.0"/>
        <n v="61.0"/>
        <n v="452.0"/>
        <n v="556.0"/>
        <n v="860.0"/>
        <n v="424.0"/>
        <n v="496.0"/>
        <n v="2423.0"/>
        <n v="2873.0"/>
        <n v="1885.0"/>
        <n v="1155.0"/>
        <n v="77.0"/>
        <n v="3494.0"/>
        <n v="2464.0"/>
        <n v="3733.0"/>
        <n v="8354.0"/>
        <n v="1285.0"/>
        <n v="1505.0"/>
        <n v="767.0"/>
        <n v="3472.0"/>
        <n v="2373.0"/>
        <n v="1734.0"/>
        <n v="4673.0"/>
      </sharedItems>
    </cacheField>
    <cacheField name="18N" numFmtId="0">
      <sharedItems containsSemiMixedTypes="0" containsString="0" containsNumber="1" containsInteger="1">
        <n v="0.0"/>
        <n v="1.0"/>
        <n v="10.0"/>
        <n v="9.0"/>
        <n v="6.0"/>
        <n v="3.0"/>
        <n v="18.0"/>
        <n v="22.0"/>
        <n v="53.0"/>
        <n v="85.0"/>
        <n v="37.0"/>
        <n v="15.0"/>
        <n v="104.0"/>
        <n v="140.0"/>
        <n v="188.0"/>
        <n v="182.0"/>
        <n v="185.0"/>
        <n v="1016.0"/>
        <n v="1157.0"/>
        <n v="638.0"/>
        <n v="450.0"/>
        <n v="21.0"/>
        <n v="1380.0"/>
        <n v="513.0"/>
        <n v="864.0"/>
        <n v="1849.0"/>
        <n v="368.0"/>
        <n v="417.0"/>
        <n v="247.0"/>
        <n v="970.0"/>
        <n v="709.0"/>
        <n v="488.0"/>
        <n v="1474.0"/>
      </sharedItems>
    </cacheField>
    <cacheField name="19N" numFmtId="0">
      <sharedItems containsSemiMixedTypes="0" containsString="0" containsNumber="1" containsInteger="1">
        <n v="0.0"/>
        <n v="1.0"/>
        <n v="2.0"/>
        <n v="5.0"/>
        <n v="7.0"/>
        <n v="6.0"/>
        <n v="70.0"/>
        <n v="55.0"/>
        <n v="35.0"/>
        <n v="14.0"/>
        <n v="3.0"/>
        <n v="78.0"/>
        <n v="25.0"/>
        <n v="53.0"/>
        <n v="95.0"/>
        <n v="34.0"/>
        <n v="12.0"/>
        <n v="90.0"/>
        <n v="61.0"/>
        <n v="40.0"/>
        <n v="109.0"/>
      </sharedItems>
    </cacheField>
    <cacheField name="19O" numFmtId="0">
      <sharedItems containsSemiMixedTypes="0" containsString="0" containsNumber="1" containsInteger="1">
        <n v="2.0"/>
        <n v="1.0"/>
        <n v="9.0"/>
        <n v="13.0"/>
        <n v="18.0"/>
        <n v="19.0"/>
        <n v="7.0"/>
        <n v="52.0"/>
        <n v="16.0"/>
        <n v="59.0"/>
        <n v="80.0"/>
        <n v="597.0"/>
        <n v="390.0"/>
        <n v="325.0"/>
        <n v="265.0"/>
        <n v="354.0"/>
        <n v="165.0"/>
        <n v="386.0"/>
        <n v="504.0"/>
        <n v="317.0"/>
        <n v="534.0"/>
        <n v="1337.0"/>
        <n v="2438.0"/>
        <n v="1382.0"/>
        <n v="444.0"/>
        <n v="1837.0"/>
        <n v="2387.0"/>
        <n v="3238.0"/>
        <n v="491.0"/>
        <n v="559.0"/>
        <n v="2697.0"/>
        <n v="3220.0"/>
        <n v="1790.0"/>
        <n v="1159.0"/>
        <n v="78.0"/>
        <n v="3814.0"/>
        <n v="1051.0"/>
        <n v="1567.0"/>
        <n v="3572.0"/>
        <n v="269.0"/>
        <n v="332.0"/>
        <n v="187.0"/>
        <n v="847.0"/>
        <n v="604.0"/>
        <n v="391.0"/>
        <n v="1042.0"/>
      </sharedItems>
    </cacheField>
    <cacheField name="20O" numFmtId="0">
      <sharedItems containsSemiMixedTypes="0" containsString="0" containsNumber="1" containsInteger="1">
        <n v="3.0"/>
        <n v="2.0"/>
        <n v="7.0"/>
        <n v="8.0"/>
        <n v="6.0"/>
        <n v="4.0"/>
        <n v="16.0"/>
        <n v="23.0"/>
        <n v="34.0"/>
        <n v="146.0"/>
        <n v="107.0"/>
        <n v="80.0"/>
        <n v="72.0"/>
        <n v="95.0"/>
        <n v="46.0"/>
        <n v="113.0"/>
        <n v="86.0"/>
        <n v="128.0"/>
        <n v="293.0"/>
        <n v="545.0"/>
        <n v="321.0"/>
        <n v="127.0"/>
        <n v="461.0"/>
        <n v="637.0"/>
        <n v="775.0"/>
        <n v="460.0"/>
        <n v="527.0"/>
        <n v="2619.0"/>
        <n v="3089.0"/>
        <n v="1541.0"/>
        <n v="1007.0"/>
        <n v="90.0"/>
        <n v="3652.0"/>
        <n v="604.0"/>
        <n v="1017.0"/>
        <n v="2329.0"/>
        <n v="262.0"/>
        <n v="310.0"/>
        <n v="148.0"/>
        <n v="705.0"/>
        <n v="528.0"/>
        <n v="388.0"/>
        <n v="1004.0"/>
      </sharedItems>
    </cacheField>
    <cacheField name="21O" numFmtId="0">
      <sharedItems containsSemiMixedTypes="0" containsString="0" containsNumber="1" containsInteger="1">
        <n v="0.0"/>
        <n v="1.0"/>
        <n v="2.0"/>
        <n v="5.0"/>
        <n v="4.0"/>
        <n v="6.0"/>
        <n v="7.0"/>
        <n v="18.0"/>
        <n v="23.0"/>
        <n v="97.0"/>
        <n v="124.0"/>
        <n v="65.0"/>
        <n v="46.0"/>
        <n v="147.0"/>
        <n v="25.0"/>
        <n v="32.0"/>
        <n v="91.0"/>
        <n v="8.0"/>
        <n v="17.0"/>
        <n v="40.0"/>
        <n v="31.0"/>
        <n v="19.0"/>
        <n v="51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CS_PID_Pivot" cacheId="0" dataCaption="" compact="0" compactData="0">
  <location ref="A1:AO10" firstHeaderRow="0" firstDataRow="2" firstDataCol="0"/>
  <pivotFields>
    <pivotField name="Target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t="default"/>
      </items>
    </pivotField>
    <pivotField name="Ru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name="13C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14C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15C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16C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17C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15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16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17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t="default"/>
      </items>
    </pivotField>
    <pivotField name="18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19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20N" dataField="1" compact="0" outline="0" multipleItemSelectionAllowed="1" showAll="0">
      <items>
        <item x="0"/>
        <item x="1"/>
        <item x="2"/>
        <item x="3"/>
        <item t="default"/>
      </items>
    </pivotField>
    <pivotField name="17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18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19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20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21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22O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19F" dataField="1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20F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21F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22F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23F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24F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21N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22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23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24N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25N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26Ne" dataField="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23Na" dataField="1" compact="0" outline="0" multipleItemSelectionAllowed="1" showAll="0">
      <items>
        <item x="0"/>
        <item x="1"/>
        <item x="2"/>
        <item x="3"/>
        <item t="default"/>
      </items>
    </pivotField>
    <pivotField name="24Na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25Na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26Na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27Na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28Na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26Mg" dataField="1" compact="0" outline="0" multipleItemSelectionAllowed="1" showAll="0">
      <items>
        <item x="0"/>
        <item x="1"/>
        <item x="2"/>
        <item x="3"/>
        <item t="default"/>
      </items>
    </pivotField>
    <pivotField name="27Mg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28Mg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29Mg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30Mg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29Al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30Al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31Al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</pivotFields>
  <rowFields>
    <field x="0"/>
  </rowFields>
  <colFields>
    <field x="-2"/>
  </colFields>
  <dataFields>
    <dataField name="SUM of 13C" fld="2" baseField="0"/>
    <dataField name="SUM of 14C" fld="3" baseField="0"/>
    <dataField name="SUM of 15C" fld="4" baseField="0"/>
    <dataField name="SUM of 16C" fld="5" baseField="0"/>
    <dataField name="SUM of 17C" fld="6" baseField="0"/>
    <dataField name="SUM of 15N" fld="7" baseField="0"/>
    <dataField name="SUM of 16N" fld="8" baseField="0"/>
    <dataField name="SUM of 17N" fld="9" baseField="0"/>
    <dataField name="SUM of 18N" fld="10" baseField="0"/>
    <dataField name="SUM of 19N" fld="11" baseField="0"/>
    <dataField name="SUM of 20N" fld="12" baseField="0"/>
    <dataField name="SUM of 17O" fld="13" baseField="0"/>
    <dataField name="SUM of 18O" fld="14" baseField="0"/>
    <dataField name="SUM of 19O" fld="15" baseField="0"/>
    <dataField name="SUM of 20O" fld="16" baseField="0"/>
    <dataField name="SUM of 21O" fld="17" baseField="0"/>
    <dataField name="SUM of 22O" fld="18" baseField="0"/>
    <dataField name="SUM of 19F" fld="19" baseField="0"/>
    <dataField name="SUM of 20F" fld="20" baseField="0"/>
    <dataField name="SUM of 21F" fld="21" baseField="0"/>
    <dataField name="SUM of 22F" fld="22" baseField="0"/>
    <dataField name="SUM of 23F" fld="23" baseField="0"/>
    <dataField name="SUM of 24F" fld="24" baseField="0"/>
    <dataField name="SUM of 24Ne" fld="28" baseField="0"/>
    <dataField name="SUM of 25Ne" fld="29" baseField="0"/>
    <dataField name="SUM of 26Ne" fld="30" baseField="0"/>
    <dataField name="SUM of 23Na" fld="31" baseField="0"/>
    <dataField name="SUM of 24Na" fld="32" baseField="0"/>
    <dataField name="SUM of 25Na" fld="33" baseField="0"/>
    <dataField name="SUM of 26Na" fld="34" baseField="0"/>
    <dataField name="SUM of 27Na" fld="35" baseField="0"/>
    <dataField name="SUM of 28Na" fld="36" baseField="0"/>
    <dataField name="SUM of 26Mg" fld="37" baseField="0"/>
    <dataField name="SUM of 27Mg" fld="38" baseField="0"/>
    <dataField name="SUM of 28Mg" fld="39" baseField="0"/>
    <dataField name="SUM of 29Mg" fld="40" baseField="0"/>
    <dataField name="SUM of 30Mg" fld="41" baseField="0"/>
    <dataField name="SUM of 29Al" fld="42" baseField="0"/>
    <dataField name="SUM of 30Al" fld="43" baseField="0"/>
    <dataField name="SUM of 31Al" fld="44" baseField="0"/>
  </dataFields>
</pivotTableDefinition>
</file>

<file path=xl/pivotTables/pivotTable2.xml><?xml version="1.0" encoding="utf-8"?>
<pivotTableDefinition xmlns="http://schemas.openxmlformats.org/spreadsheetml/2006/main" name="CS_MDIS_Pivot" cacheId="1" dataCaption="" compact="0" compactData="0">
  <location ref="A1:J13" firstHeaderRow="0" firstDataRow="2" firstDataCol="0"/>
  <pivotFields>
    <pivotField name="Center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Ru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21F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22F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23F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17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18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19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19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20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21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</pivotFields>
  <rowFields>
    <field x="0"/>
  </rowFields>
  <colFields>
    <field x="-2"/>
  </colFields>
  <dataFields>
    <dataField name="SUM of 17N" fld="5" baseField="0"/>
    <dataField name="SUM of 18N" fld="6" baseField="0"/>
    <dataField name="SUM of 19N" fld="7" baseField="0"/>
    <dataField name="SUM of 19O" fld="8" baseField="0"/>
    <dataField name="SUM of 20O" fld="9" baseField="0"/>
    <dataField name="SUM of 21O" fld="10" baseField="0"/>
    <dataField name="SUM of 21F" fld="2" baseField="0"/>
    <dataField name="SUM of 22F" fld="3" baseField="0"/>
    <dataField name="SUM of 23F" fld="4" baseField="0"/>
  </dataFields>
</pivotTableDefinition>
</file>

<file path=xl/tables/table1.xml><?xml version="1.0" encoding="utf-8"?>
<table xmlns="http://schemas.openxmlformats.org/spreadsheetml/2006/main" ref="A1:Q272" displayName="표2" name="표2" id="1">
  <tableColumns count="17">
    <tableColumn name="run" id="1"/>
    <tableColumn name="ts" id="2"/>
    <tableColumn name="ppac" id="3"/>
    <tableColumn name="ppac_rate" id="4"/>
    <tableColumn name="f2pl" id="5"/>
    <tableColumn name="f2pl_rate" id="6"/>
    <tableColumn name="f3pl" id="7"/>
    <tableColumn name="f3pl_rate" id="8"/>
    <tableColumn name="hwtriga" id="9"/>
    <tableColumn name="hwtriga_rate" id="10"/>
    <tableColumn name="hwtrigb" id="11"/>
    <tableColumn name="hwtrigb_rate" id="12"/>
    <tableColumn name="refp" id="13"/>
    <tableColumn name="refp_rate" id="14"/>
    <tableColumn name="reft" id="15"/>
    <tableColumn name="reft_rate" id="16"/>
    <tableColumn name="livetime" id="17"/>
  </tableColumns>
  <tableStyleInfo name="Scaler-style" showColumnStripes="0" showFirstColumn="1" showLastColumn="1" showRowStripes="1"/>
</table>
</file>

<file path=xl/tables/table2.xml><?xml version="1.0" encoding="utf-8"?>
<table xmlns="http://schemas.openxmlformats.org/spreadsheetml/2006/main" ref="A1:K678" displayName="LEBT" name="LEBT" id="2">
  <tableColumns count="11">
    <tableColumn name="Run" id="1"/>
    <tableColumn name="start_time" id="2"/>
    <tableColumn name="stop_time" id="3"/>
    <tableColumn name="LEBT_mean (mA)" id="4"/>
    <tableColumn name="LEBT_integral (mA x sec)" id="5"/>
    <tableColumn name="LEBT_std (mA)" id="6"/>
    <tableColumn name="LEBT_integral_std (mA x sec)" id="7"/>
    <tableColumn name="time_difference" id="8"/>
    <tableColumn name="diff_with_ts" id="9"/>
    <tableColumn name="LEBT_integral_ts (mA x sec)" id="10"/>
    <tableColumn name="LEBT_integral_ts_1K" id="11"/>
  </tableColumns>
  <tableStyleInfo name="RunTime-style" showColumnStripes="0" showFirstColumn="1" showLastColumn="1" showRowStripes="1"/>
</table>
</file>

<file path=xl/tables/table3.xml><?xml version="1.0" encoding="utf-8"?>
<table xmlns="http://schemas.openxmlformats.org/spreadsheetml/2006/main" ref="A1:F10" displayName="F0Ratio" name="F0Ratio" id="3">
  <tableColumns count="6">
    <tableColumn name="일자" id="1"/>
    <tableColumn name="시간" id="2"/>
    <tableColumn name="Ratio (%)" id="3"/>
    <tableColumn name="Run0" id="4"/>
    <tableColumn name="Run1" id="5"/>
    <tableColumn name="메모" id="6"/>
  </tableColumns>
  <tableStyleInfo name="F0-style" showColumnStripes="0" showFirstColumn="1" showLastColumn="1" showRowStripes="1"/>
</table>
</file>

<file path=xl/tables/table4.xml><?xml version="1.0" encoding="utf-8"?>
<table xmlns="http://schemas.openxmlformats.org/spreadsheetml/2006/main" ref="A3:E9" displayName="F1UpPPACEff_1" name="F1UpPPACEff_1" id="4">
  <tableColumns count="5">
    <tableColumn name="HV" id="1"/>
    <tableColumn name="14C" id="2"/>
    <tableColumn name="16N" id="3"/>
    <tableColumn name="18O" id="4"/>
    <tableColumn name="20F" id="5"/>
  </tableColumns>
  <tableStyleInfo name="PPAC Efficiency-style" showColumnStripes="0" showFirstColumn="1" showLastColumn="1" showRowStripes="1"/>
</table>
</file>

<file path=xl/tables/table5.xml><?xml version="1.0" encoding="utf-8"?>
<table xmlns="http://schemas.openxmlformats.org/spreadsheetml/2006/main" ref="A18:G22" displayName="F1UpPPACEff_2" name="F1UpPPACEff_2" id="5">
  <tableColumns count="7">
    <tableColumn name="HV" id="1"/>
    <tableColumn name="C" id="2"/>
    <tableColumn name="N" id="3"/>
    <tableColumn name="O" id="4"/>
    <tableColumn name="F" id="5"/>
    <tableColumn name="Ne" id="6"/>
    <tableColumn name="Na" id="7"/>
  </tableColumns>
  <tableStyleInfo name="PPAC Efficiency-style 2" showColumnStripes="0" showFirstColumn="1" showLastColumn="1" showRowStripes="1"/>
</table>
</file>

<file path=xl/tables/table6.xml><?xml version="1.0" encoding="utf-8"?>
<table xmlns="http://schemas.openxmlformats.org/spreadsheetml/2006/main" ref="A1:AS151" displayName="표1" name="표1" id="6">
  <tableColumns count="45">
    <tableColumn name="Target" id="1"/>
    <tableColumn name="Run" id="2"/>
    <tableColumn name="13C" id="3"/>
    <tableColumn name="14C" id="4"/>
    <tableColumn name="15C" id="5"/>
    <tableColumn name="16C" id="6"/>
    <tableColumn name="17C" id="7"/>
    <tableColumn name="15N" id="8"/>
    <tableColumn name="16N" id="9"/>
    <tableColumn name="17N" id="10"/>
    <tableColumn name="18N" id="11"/>
    <tableColumn name="19N" id="12"/>
    <tableColumn name="20N" id="13"/>
    <tableColumn name="17O" id="14"/>
    <tableColumn name="18O" id="15"/>
    <tableColumn name="19O" id="16"/>
    <tableColumn name="20O" id="17"/>
    <tableColumn name="21O" id="18"/>
    <tableColumn name="22O" id="19"/>
    <tableColumn name="19F" id="20"/>
    <tableColumn name="20F" id="21"/>
    <tableColumn name="21F" id="22"/>
    <tableColumn name="22F" id="23"/>
    <tableColumn name="23F" id="24"/>
    <tableColumn name="24F" id="25"/>
    <tableColumn name="21Ne" id="26"/>
    <tableColumn name="22Ne" id="27"/>
    <tableColumn name="23Ne" id="28"/>
    <tableColumn name="24Ne" id="29"/>
    <tableColumn name="25Ne" id="30"/>
    <tableColumn name="26Ne" id="31"/>
    <tableColumn name="23Na" id="32"/>
    <tableColumn name="24Na" id="33"/>
    <tableColumn name="25Na" id="34"/>
    <tableColumn name="26Na" id="35"/>
    <tableColumn name="27Na" id="36"/>
    <tableColumn name="28Na" id="37"/>
    <tableColumn name="26Mg" id="38"/>
    <tableColumn name="27Mg" id="39"/>
    <tableColumn name="28Mg" id="40"/>
    <tableColumn name="29Mg" id="41"/>
    <tableColumn name="30Mg" id="42"/>
    <tableColumn name="29Al" id="43"/>
    <tableColumn name="30Al" id="44"/>
    <tableColumn name="31Al" id="45"/>
  </tableColumns>
  <tableStyleInfo name="CS_PID-style" showColumnStripes="0" showFirstColumn="1" showLastColumn="1" showRowStripes="1"/>
</table>
</file>

<file path=xl/tables/table7.xml><?xml version="1.0" encoding="utf-8"?>
<table xmlns="http://schemas.openxmlformats.org/spreadsheetml/2006/main" ref="A1:AS151" displayName="CS_Beam_PID" name="CS_Beam_PID" id="7">
  <tableColumns count="45">
    <tableColumn name="Target" id="1"/>
    <tableColumn name="Run" id="2"/>
    <tableColumn name="13C" id="3"/>
    <tableColumn name="14C" id="4"/>
    <tableColumn name="15C" id="5"/>
    <tableColumn name="16C" id="6"/>
    <tableColumn name="17C" id="7"/>
    <tableColumn name="15N" id="8"/>
    <tableColumn name="16N" id="9"/>
    <tableColumn name="17N" id="10"/>
    <tableColumn name="18N" id="11"/>
    <tableColumn name="19N" id="12"/>
    <tableColumn name="20N" id="13"/>
    <tableColumn name="17O" id="14"/>
    <tableColumn name="18O" id="15"/>
    <tableColumn name="19O" id="16"/>
    <tableColumn name="20O" id="17"/>
    <tableColumn name="21O" id="18"/>
    <tableColumn name="22O" id="19"/>
    <tableColumn name="19F" id="20"/>
    <tableColumn name="20F" id="21"/>
    <tableColumn name="21F" id="22"/>
    <tableColumn name="22F" id="23"/>
    <tableColumn name="23F" id="24"/>
    <tableColumn name="24F" id="25"/>
    <tableColumn name="21Ne" id="26"/>
    <tableColumn name="22Ne" id="27"/>
    <tableColumn name="23Ne" id="28"/>
    <tableColumn name="24Ne" id="29"/>
    <tableColumn name="25Ne" id="30"/>
    <tableColumn name="26Ne" id="31"/>
    <tableColumn name="23Na" id="32"/>
    <tableColumn name="24Na" id="33"/>
    <tableColumn name="25Na" id="34"/>
    <tableColumn name="26Na" id="35"/>
    <tableColumn name="27Na" id="36"/>
    <tableColumn name="28Na" id="37"/>
    <tableColumn name="26Mg" id="38"/>
    <tableColumn name="27Mg" id="39"/>
    <tableColumn name="28Mg" id="40"/>
    <tableColumn name="29Mg" id="41"/>
    <tableColumn name="30Mg" id="42"/>
    <tableColumn name="29Al" id="43"/>
    <tableColumn name="30Al" id="44"/>
    <tableColumn name="31Al" id="45"/>
  </tableColumns>
  <tableStyleInfo name="CSBeam_PID-style" showColumnStripes="0" showFirstColumn="1" showLastColumn="1" showRowStripes="1"/>
</table>
</file>

<file path=xl/tables/table8.xml><?xml version="1.0" encoding="utf-8"?>
<table xmlns="http://schemas.openxmlformats.org/spreadsheetml/2006/main" ref="A1:G6" displayName="Oxygen" name="Oxygen" id="8">
  <tableColumns count="7">
    <tableColumn name="Run \ A" id="1"/>
    <tableColumn name="17" id="2"/>
    <tableColumn name="18" id="3"/>
    <tableColumn name="19" id="4"/>
    <tableColumn name="20" id="5"/>
    <tableColumn name="21" id="6"/>
    <tableColumn name="22" id="7"/>
  </tableColumns>
  <tableStyleInfo name="Charts-style" showColumnStripes="0" showFirstColumn="1" showLastColumn="1" showRowStripes="1"/>
</table>
</file>

<file path=xl/tables/table9.xml><?xml version="1.0" encoding="utf-8"?>
<table xmlns="http://schemas.openxmlformats.org/spreadsheetml/2006/main" ref="I1:I6" displayName="표3" name="표3" id="9">
  <tableColumns count="1">
    <tableColumn name="Run \ A" id="1"/>
  </tableColumns>
  <tableStyleInfo name="Charts-style 2" showColumnStripes="0" showFirstColumn="1" showLastColumn="1" showRowStripes="1"/>
</table>
</file>

<file path=xl/tables/table10.xml><?xml version="1.0" encoding="utf-8"?>
<table xmlns="http://schemas.openxmlformats.org/spreadsheetml/2006/main" ref="A1:AS989" displayName="표4" name="표4" id="10">
  <tableColumns count="45">
    <tableColumn name="Target" id="1"/>
    <tableColumn name="Run" id="2"/>
    <tableColumn name="13C" id="3"/>
    <tableColumn name="14C" id="4"/>
    <tableColumn name="15C" id="5"/>
    <tableColumn name="16C" id="6"/>
    <tableColumn name="17C" id="7"/>
    <tableColumn name="15N" id="8"/>
    <tableColumn name="16N" id="9"/>
    <tableColumn name="17N" id="10"/>
    <tableColumn name="18N" id="11"/>
    <tableColumn name="19N" id="12"/>
    <tableColumn name="20N" id="13"/>
    <tableColumn name="17O" id="14"/>
    <tableColumn name="18O" id="15"/>
    <tableColumn name="19O" id="16"/>
    <tableColumn name="20O" id="17"/>
    <tableColumn name="21O" id="18"/>
    <tableColumn name="22O" id="19"/>
    <tableColumn name="19F" id="20"/>
    <tableColumn name="20F" id="21"/>
    <tableColumn name="21F" id="22"/>
    <tableColumn name="22F" id="23"/>
    <tableColumn name="23F" id="24"/>
    <tableColumn name="24F" id="25"/>
    <tableColumn name="21Ne" id="26"/>
    <tableColumn name="22Ne" id="27"/>
    <tableColumn name="23Ne" id="28"/>
    <tableColumn name="24Ne" id="29"/>
    <tableColumn name="25Ne" id="30"/>
    <tableColumn name="26Ne" id="31"/>
    <tableColumn name="23Na" id="32"/>
    <tableColumn name="24Na" id="33"/>
    <tableColumn name="25Na" id="34"/>
    <tableColumn name="26Na" id="35"/>
    <tableColumn name="27Na" id="36"/>
    <tableColumn name="28Na" id="37"/>
    <tableColumn name="26Mg" id="38"/>
    <tableColumn name="27Mg" id="39"/>
    <tableColumn name="28Mg" id="40"/>
    <tableColumn name="29Mg" id="41"/>
    <tableColumn name="30Mg" id="42"/>
    <tableColumn name="29Al" id="43"/>
    <tableColumn name="30Al" id="44"/>
    <tableColumn name="31Al" id="45"/>
  </tableColumns>
  <tableStyleInfo name="Rate_PID-style" showColumnStripes="0" showFirstColumn="1" showLastColumn="1" showRowStripes="1"/>
</table>
</file>

<file path=xl/tables/table11.xml><?xml version="1.0" encoding="utf-8"?>
<table xmlns="http://schemas.openxmlformats.org/spreadsheetml/2006/main" ref="A1:AS151" displayName="표5" name="표5" id="11">
  <tableColumns count="45">
    <tableColumn name="Target" id="1"/>
    <tableColumn name="Run" id="2"/>
    <tableColumn name="13C" id="3"/>
    <tableColumn name="14C" id="4"/>
    <tableColumn name="15C" id="5"/>
    <tableColumn name="16C" id="6"/>
    <tableColumn name="17C" id="7"/>
    <tableColumn name="15N" id="8"/>
    <tableColumn name="16N" id="9"/>
    <tableColumn name="17N" id="10"/>
    <tableColumn name="18N" id="11"/>
    <tableColumn name="19N" id="12"/>
    <tableColumn name="20N" id="13"/>
    <tableColumn name="17O" id="14"/>
    <tableColumn name="18O" id="15"/>
    <tableColumn name="19O" id="16"/>
    <tableColumn name="20O" id="17"/>
    <tableColumn name="21O" id="18"/>
    <tableColumn name="22O" id="19"/>
    <tableColumn name="19F" id="20"/>
    <tableColumn name="20F" id="21"/>
    <tableColumn name="21F" id="22"/>
    <tableColumn name="22F" id="23"/>
    <tableColumn name="23F" id="24"/>
    <tableColumn name="24F" id="25"/>
    <tableColumn name="21Ne" id="26"/>
    <tableColumn name="22Ne" id="27"/>
    <tableColumn name="23Ne" id="28"/>
    <tableColumn name="24Ne" id="29"/>
    <tableColumn name="25Ne" id="30"/>
    <tableColumn name="26Ne" id="31"/>
    <tableColumn name="23Na" id="32"/>
    <tableColumn name="24Na" id="33"/>
    <tableColumn name="25Na" id="34"/>
    <tableColumn name="26Na" id="35"/>
    <tableColumn name="27Na" id="36"/>
    <tableColumn name="28Na" id="37"/>
    <tableColumn name="26Mg" id="38"/>
    <tableColumn name="27Mg" id="39"/>
    <tableColumn name="28Mg" id="40"/>
    <tableColumn name="29Mg" id="41"/>
    <tableColumn name="30Mg" id="42"/>
    <tableColumn name="29Al" id="43"/>
    <tableColumn name="30Al" id="44"/>
    <tableColumn name="31Al" id="45"/>
  </tableColumns>
  <tableStyleInfo name="RateTarget_PID-style" showColumnStripes="0" showFirstColumn="1" showLastColumn="1" showRowStripes="1"/>
</table>
</file>

<file path=xl/tables/table12.xml><?xml version="1.0" encoding="utf-8"?>
<table xmlns="http://schemas.openxmlformats.org/spreadsheetml/2006/main" ref="A1:K48" displayName="Count_MDIS" name="Count_MDIS" id="12">
  <tableColumns count="11">
    <tableColumn name="Center" id="1"/>
    <tableColumn name="Run" id="2"/>
    <tableColumn name="21F" id="3"/>
    <tableColumn name="22F" id="4"/>
    <tableColumn name="23F" id="5"/>
    <tableColumn name="17N" id="6"/>
    <tableColumn name="18N" id="7"/>
    <tableColumn name="19N" id="8"/>
    <tableColumn name="19O" id="9"/>
    <tableColumn name="20O" id="10"/>
    <tableColumn name="21O" id="11"/>
  </tableColumns>
  <tableStyleInfo name="CS_MDIS-style" showColumnStripes="0" showFirstColumn="1" showLastColumn="1" showRowStripes="1"/>
</table>
</file>

<file path=xl/tables/table13.xml><?xml version="1.0" encoding="utf-8"?>
<table xmlns="http://schemas.openxmlformats.org/spreadsheetml/2006/main" ref="A1:K48" displayName="Rate_MDIS" name="Rate_MDIS" id="13">
  <tableColumns count="11">
    <tableColumn name="Center" id="1"/>
    <tableColumn name="Run" id="2"/>
    <tableColumn name="21F" id="3"/>
    <tableColumn name="22F" id="4"/>
    <tableColumn name="23F" id="5"/>
    <tableColumn name="17N" id="6"/>
    <tableColumn name="18N" id="7"/>
    <tableColumn name="19N" id="8"/>
    <tableColumn name="19O" id="9"/>
    <tableColumn name="20O" id="10"/>
    <tableColumn name="21O" id="11"/>
  </tableColumns>
  <tableStyleInfo name="Rate_MDIS-style" showColumnStripes="0" showFirstColumn="1" showLastColumn="1" showRowStripes="1"/>
</table>
</file>

<file path=xl/tables/table14.xml><?xml version="1.0" encoding="utf-8"?>
<table xmlns="http://schemas.openxmlformats.org/spreadsheetml/2006/main" ref="B5:E14" displayName="표6" name="표6" id="14">
  <tableColumns count="4">
    <tableColumn name="1열" id="1"/>
    <tableColumn name="Plastic" id="2"/>
    <tableColumn name="SSD" id="3"/>
    <tableColumn name="Ratio" id="4"/>
  </tableColumns>
  <tableStyleInfo name="SSDVsPla-style" showColumnStripes="0" showFirstColumn="1" showLastColumn="1" showRowStripes="1"/>
</table>
</file>

<file path=xl/tables/table15.xml><?xml version="1.0" encoding="utf-8"?>
<table xmlns="http://schemas.openxmlformats.org/spreadsheetml/2006/main" ref="G5:L14" displayName="표7" name="표7" id="15">
  <tableColumns count="6">
    <tableColumn name="1열" id="1"/>
    <tableColumn name="Plastic" id="2"/>
    <tableColumn name="SSD" id="3"/>
    <tableColumn name="Rate/beam Pla" id="4"/>
    <tableColumn name="Rate/beam SSD" id="5"/>
    <tableColumn name="Ratio" id="6"/>
  </tableColumns>
  <tableStyleInfo name="SSDVsPla-style 2" showColumnStripes="0" showFirstColumn="1" showLastColumn="1" showRowStripes="1"/>
</table>
</file>

<file path=xl/tables/table16.xml><?xml version="1.0" encoding="utf-8"?>
<table xmlns="http://schemas.openxmlformats.org/spreadsheetml/2006/main" headerRowCount="0" ref="A22:K30" displayName="Table_1" name="Table_1" id="16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SSDVsPla-style 3" showColumnStripes="0" showFirstColumn="1" showLastColumn="1" showRowStripes="1"/>
</table>
</file>

<file path=xl/tables/table17.xml><?xml version="1.0" encoding="utf-8"?>
<table xmlns="http://schemas.openxmlformats.org/spreadsheetml/2006/main" headerRowCount="0" ref="A33:K38" displayName="Table_2" name="Table_2" id="17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SSDVsPla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6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7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4" Type="http://schemas.openxmlformats.org/officeDocument/2006/relationships/table" Target="../tables/table8.xml"/><Relationship Id="rId5" Type="http://schemas.openxmlformats.org/officeDocument/2006/relationships/table" Target="../tables/table9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0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4.xml"/><Relationship Id="rId3" Type="http://schemas.openxmlformats.org/officeDocument/2006/relationships/vmlDrawing" Target="../drawings/vmlDrawing2.vml"/><Relationship Id="rId5" Type="http://schemas.openxmlformats.org/officeDocument/2006/relationships/table" Target="../tables/table11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2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13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9" Type="http://schemas.openxmlformats.org/officeDocument/2006/relationships/table" Target="../tables/table17.xml"/><Relationship Id="rId6" Type="http://schemas.openxmlformats.org/officeDocument/2006/relationships/table" Target="../tables/table14.xml"/><Relationship Id="rId7" Type="http://schemas.openxmlformats.org/officeDocument/2006/relationships/table" Target="../tables/table15.xml"/><Relationship Id="rId8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2.88"/>
    <col customWidth="1" min="4" max="4" width="15.0"/>
    <col customWidth="1" min="6" max="6" width="13.88"/>
    <col customWidth="1" min="8" max="8" width="13.88"/>
    <col customWidth="1" min="10" max="10" width="17.38"/>
    <col customWidth="1" min="11" max="11" width="12.75"/>
    <col customWidth="1" min="12" max="12" width="17.5"/>
    <col customWidth="1" min="14" max="14" width="14.0"/>
    <col customWidth="1" min="16" max="17" width="13.5"/>
  </cols>
  <sheetData>
    <row r="1">
      <c r="A1" s="2" t="s">
        <v>1</v>
      </c>
      <c r="B1" s="3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5" t="s">
        <v>17</v>
      </c>
    </row>
    <row r="2">
      <c r="A2" s="6">
        <v>223.0</v>
      </c>
      <c r="B2" s="7">
        <v>555.96592373</v>
      </c>
      <c r="C2" s="8">
        <v>1722301.0</v>
      </c>
      <c r="D2" s="8">
        <v>3097.85353110314</v>
      </c>
      <c r="E2" s="8">
        <v>20.0</v>
      </c>
      <c r="F2" s="8">
        <v>0.0359734277702114</v>
      </c>
      <c r="G2" s="8">
        <v>617.0</v>
      </c>
      <c r="H2" s="8">
        <v>1.10978024671102</v>
      </c>
      <c r="I2" s="8">
        <v>2737.0</v>
      </c>
      <c r="J2" s="8">
        <v>4.92296359035343</v>
      </c>
      <c r="K2" s="8">
        <v>2820.0</v>
      </c>
      <c r="L2" s="8">
        <v>5.0722533155998</v>
      </c>
      <c r="M2" s="8">
        <v>0.0</v>
      </c>
      <c r="N2" s="8">
        <v>0.0</v>
      </c>
      <c r="O2" s="8">
        <v>556.0</v>
      </c>
      <c r="P2" s="8">
        <v>1.00006129201188</v>
      </c>
      <c r="Q2" s="9">
        <f t="shared" ref="Q2:Q272" si="1">I2/K2</f>
        <v>0.9705673759</v>
      </c>
    </row>
    <row r="3">
      <c r="A3" s="10">
        <v>224.0</v>
      </c>
      <c r="B3" s="11">
        <v>444.45302392</v>
      </c>
      <c r="C3" s="12">
        <v>1397599.0</v>
      </c>
      <c r="D3" s="12">
        <v>3144.53704842283</v>
      </c>
      <c r="E3" s="12">
        <v>20.0</v>
      </c>
      <c r="F3" s="12">
        <v>0.0449991313448684</v>
      </c>
      <c r="G3" s="12">
        <v>501.0</v>
      </c>
      <c r="H3" s="12">
        <v>1.12722824018895</v>
      </c>
      <c r="I3" s="12">
        <v>2154.0</v>
      </c>
      <c r="J3" s="12">
        <v>4.84640644584232</v>
      </c>
      <c r="K3" s="12">
        <v>2232.0</v>
      </c>
      <c r="L3" s="12">
        <v>5.02190305808731</v>
      </c>
      <c r="M3" s="12">
        <v>0.0</v>
      </c>
      <c r="N3" s="12">
        <v>0.0</v>
      </c>
      <c r="O3" s="12">
        <v>444.0</v>
      </c>
      <c r="P3" s="12">
        <v>0.998980715856078</v>
      </c>
      <c r="Q3" s="13">
        <f t="shared" si="1"/>
        <v>0.9650537634</v>
      </c>
    </row>
    <row r="4">
      <c r="A4" s="6">
        <v>225.0</v>
      </c>
      <c r="B4" s="7">
        <v>51.90880436</v>
      </c>
      <c r="C4" s="8">
        <v>145403.0</v>
      </c>
      <c r="D4" s="8">
        <v>2801.12404422948</v>
      </c>
      <c r="E4" s="8">
        <v>2.0</v>
      </c>
      <c r="F4" s="8">
        <v>0.0385291093612852</v>
      </c>
      <c r="G4" s="8">
        <v>46.0</v>
      </c>
      <c r="H4" s="8">
        <v>0.886169515309561</v>
      </c>
      <c r="I4" s="8">
        <v>230.0</v>
      </c>
      <c r="J4" s="8">
        <v>4.4308475765478</v>
      </c>
      <c r="K4" s="8">
        <v>234.0</v>
      </c>
      <c r="L4" s="8">
        <v>4.50790579527037</v>
      </c>
      <c r="M4" s="8">
        <v>0.0</v>
      </c>
      <c r="N4" s="8">
        <v>0.0</v>
      </c>
      <c r="O4" s="8">
        <v>52.0</v>
      </c>
      <c r="P4" s="8">
        <v>1.00175684339342</v>
      </c>
      <c r="Q4" s="9">
        <f t="shared" si="1"/>
        <v>0.9829059829</v>
      </c>
    </row>
    <row r="5">
      <c r="A5" s="10">
        <v>226.0</v>
      </c>
      <c r="B5" s="11">
        <v>1001.92430036</v>
      </c>
      <c r="C5" s="12">
        <v>3235930.0</v>
      </c>
      <c r="D5" s="12">
        <v>3229.7150581509</v>
      </c>
      <c r="E5" s="12">
        <v>32.0</v>
      </c>
      <c r="F5" s="12">
        <v>0.0319385406547203</v>
      </c>
      <c r="G5" s="12">
        <v>1093.0</v>
      </c>
      <c r="H5" s="12">
        <v>1.09090077923779</v>
      </c>
      <c r="I5" s="12">
        <v>4973.0</v>
      </c>
      <c r="J5" s="12">
        <v>4.96344883362262</v>
      </c>
      <c r="K5" s="12">
        <v>5155.0</v>
      </c>
      <c r="L5" s="12">
        <v>5.14509928359634</v>
      </c>
      <c r="M5" s="12">
        <v>0.0</v>
      </c>
      <c r="N5" s="12">
        <v>0.0</v>
      </c>
      <c r="O5" s="12">
        <v>1002.0</v>
      </c>
      <c r="P5" s="12">
        <v>1.00007555425093</v>
      </c>
      <c r="Q5" s="13">
        <f t="shared" si="1"/>
        <v>0.9646944714</v>
      </c>
    </row>
    <row r="6">
      <c r="A6" s="6">
        <v>251.0</v>
      </c>
      <c r="B6" s="7">
        <v>171.644824</v>
      </c>
      <c r="C6" s="8">
        <v>215518.0</v>
      </c>
      <c r="D6" s="8">
        <v>1255.60442</v>
      </c>
      <c r="E6" s="8">
        <v>4.0</v>
      </c>
      <c r="F6" s="8">
        <v>0.02330394</v>
      </c>
      <c r="G6" s="8">
        <v>394.0</v>
      </c>
      <c r="H6" s="8">
        <v>2.29543769</v>
      </c>
      <c r="I6" s="8">
        <v>1532.0</v>
      </c>
      <c r="J6" s="8">
        <v>8.92540748</v>
      </c>
      <c r="K6" s="8">
        <v>1618.0</v>
      </c>
      <c r="L6" s="8">
        <v>9.4264421</v>
      </c>
      <c r="M6" s="8">
        <v>0.0</v>
      </c>
      <c r="N6" s="8">
        <v>0.0</v>
      </c>
      <c r="O6" s="8">
        <v>171.0</v>
      </c>
      <c r="P6" s="8">
        <v>0.99624326</v>
      </c>
      <c r="Q6" s="9">
        <f t="shared" si="1"/>
        <v>0.9468479604</v>
      </c>
    </row>
    <row r="7">
      <c r="A7" s="10">
        <v>252.0</v>
      </c>
      <c r="B7" s="11">
        <v>964.127241</v>
      </c>
      <c r="C7" s="12">
        <v>1135702.0</v>
      </c>
      <c r="D7" s="12">
        <v>1177.95863</v>
      </c>
      <c r="E7" s="12">
        <v>30.0</v>
      </c>
      <c r="F7" s="12">
        <v>0.03111622</v>
      </c>
      <c r="G7" s="12">
        <v>1948.0</v>
      </c>
      <c r="H7" s="12">
        <v>2.0204802</v>
      </c>
      <c r="I7" s="12">
        <v>7738.0</v>
      </c>
      <c r="J7" s="12">
        <v>8.02591159</v>
      </c>
      <c r="K7" s="12">
        <v>8175.0</v>
      </c>
      <c r="L7" s="12">
        <v>8.47917126</v>
      </c>
      <c r="M7" s="12">
        <v>0.0</v>
      </c>
      <c r="N7" s="12">
        <v>0.0</v>
      </c>
      <c r="O7" s="12">
        <v>964.0</v>
      </c>
      <c r="P7" s="12">
        <v>0.99986802</v>
      </c>
      <c r="Q7" s="13">
        <f t="shared" si="1"/>
        <v>0.9465443425</v>
      </c>
    </row>
    <row r="8">
      <c r="A8" s="6">
        <v>253.0</v>
      </c>
      <c r="B8" s="7">
        <v>581.737077</v>
      </c>
      <c r="C8" s="8">
        <v>699110.0</v>
      </c>
      <c r="D8" s="8">
        <v>1201.76284</v>
      </c>
      <c r="E8" s="8">
        <v>20.0</v>
      </c>
      <c r="F8" s="8">
        <v>0.03437979</v>
      </c>
      <c r="G8" s="8">
        <v>1213.0</v>
      </c>
      <c r="H8" s="8">
        <v>2.08513441</v>
      </c>
      <c r="I8" s="8">
        <v>4918.0</v>
      </c>
      <c r="J8" s="8">
        <v>8.45399097</v>
      </c>
      <c r="K8" s="8">
        <v>5162.0</v>
      </c>
      <c r="L8" s="8">
        <v>8.87342444</v>
      </c>
      <c r="M8" s="8">
        <v>0.0</v>
      </c>
      <c r="N8" s="8">
        <v>0.0</v>
      </c>
      <c r="O8" s="8">
        <v>582.0</v>
      </c>
      <c r="P8" s="8">
        <v>1.00045196</v>
      </c>
      <c r="Q8" s="9">
        <f t="shared" si="1"/>
        <v>0.9527314994</v>
      </c>
    </row>
    <row r="9">
      <c r="A9" s="10">
        <v>254.0</v>
      </c>
      <c r="B9" s="11">
        <v>905.699251</v>
      </c>
      <c r="C9" s="12">
        <v>1268858.0</v>
      </c>
      <c r="D9" s="12">
        <v>1400.97057</v>
      </c>
      <c r="E9" s="12">
        <v>26.0</v>
      </c>
      <c r="F9" s="12">
        <v>0.0287071</v>
      </c>
      <c r="G9" s="12">
        <v>2029.0</v>
      </c>
      <c r="H9" s="12">
        <v>2.24025801</v>
      </c>
      <c r="I9" s="12">
        <v>8468.0</v>
      </c>
      <c r="J9" s="12">
        <v>9.34968202</v>
      </c>
      <c r="K9" s="12">
        <v>8965.0</v>
      </c>
      <c r="L9" s="12">
        <v>9.89842929</v>
      </c>
      <c r="M9" s="12">
        <v>0.0</v>
      </c>
      <c r="N9" s="12">
        <v>0.0</v>
      </c>
      <c r="O9" s="12">
        <v>905.0</v>
      </c>
      <c r="P9" s="12">
        <v>0.99922794</v>
      </c>
      <c r="Q9" s="13">
        <f t="shared" si="1"/>
        <v>0.9445621863</v>
      </c>
    </row>
    <row r="10">
      <c r="A10" s="6">
        <v>259.0</v>
      </c>
      <c r="B10" s="7">
        <v>383.490358</v>
      </c>
      <c r="C10" s="8">
        <v>201055.0</v>
      </c>
      <c r="D10" s="8">
        <v>524.276545</v>
      </c>
      <c r="E10" s="8">
        <v>6.0</v>
      </c>
      <c r="F10" s="8">
        <v>0.01564576</v>
      </c>
      <c r="G10" s="8">
        <v>380.0</v>
      </c>
      <c r="H10" s="8">
        <v>0.99089845</v>
      </c>
      <c r="I10" s="8">
        <v>1414.0</v>
      </c>
      <c r="J10" s="8">
        <v>3.68718527</v>
      </c>
      <c r="K10" s="8">
        <v>1450.0</v>
      </c>
      <c r="L10" s="8">
        <v>3.78105986</v>
      </c>
      <c r="M10" s="8">
        <v>0.0</v>
      </c>
      <c r="N10" s="8">
        <v>0.0</v>
      </c>
      <c r="O10" s="8">
        <v>384.0</v>
      </c>
      <c r="P10" s="8">
        <v>1.00132896</v>
      </c>
      <c r="Q10" s="9">
        <f t="shared" si="1"/>
        <v>0.9751724138</v>
      </c>
    </row>
    <row r="11">
      <c r="A11" s="10">
        <v>260.0</v>
      </c>
      <c r="B11" s="11">
        <v>711.229681</v>
      </c>
      <c r="C11" s="12">
        <v>371380.0</v>
      </c>
      <c r="D11" s="12">
        <v>522.166059</v>
      </c>
      <c r="E11" s="12">
        <v>28.0</v>
      </c>
      <c r="F11" s="12">
        <v>0.03936844</v>
      </c>
      <c r="G11" s="12">
        <v>607.0</v>
      </c>
      <c r="H11" s="12">
        <v>0.85345145</v>
      </c>
      <c r="I11" s="12">
        <v>2492.0</v>
      </c>
      <c r="J11" s="12">
        <v>3.50379078</v>
      </c>
      <c r="K11" s="12">
        <v>2537.0</v>
      </c>
      <c r="L11" s="12">
        <v>3.56706148</v>
      </c>
      <c r="M11" s="12">
        <v>0.0</v>
      </c>
      <c r="N11" s="12">
        <v>0.0</v>
      </c>
      <c r="O11" s="12">
        <v>711.0</v>
      </c>
      <c r="P11" s="12">
        <v>0.99967706</v>
      </c>
      <c r="Q11" s="13">
        <f t="shared" si="1"/>
        <v>0.9822625148</v>
      </c>
    </row>
    <row r="12">
      <c r="A12" s="6">
        <v>261.0</v>
      </c>
      <c r="B12" s="7">
        <v>1198.72363</v>
      </c>
      <c r="C12" s="8">
        <v>603245.0</v>
      </c>
      <c r="D12" s="8">
        <v>503.239431</v>
      </c>
      <c r="E12" s="8">
        <v>38.0</v>
      </c>
      <c r="F12" s="8">
        <v>0.03170038</v>
      </c>
      <c r="G12" s="8">
        <v>1047.0</v>
      </c>
      <c r="H12" s="8">
        <v>0.87342901</v>
      </c>
      <c r="I12" s="8">
        <v>4310.0</v>
      </c>
      <c r="J12" s="8">
        <v>3.59549097</v>
      </c>
      <c r="K12" s="8">
        <v>4397.0</v>
      </c>
      <c r="L12" s="8">
        <v>3.66806816</v>
      </c>
      <c r="M12" s="8">
        <v>0.0</v>
      </c>
      <c r="N12" s="8">
        <v>0.0</v>
      </c>
      <c r="O12" s="8">
        <v>1199.0</v>
      </c>
      <c r="P12" s="8">
        <v>1.00023055</v>
      </c>
      <c r="Q12" s="9">
        <f t="shared" si="1"/>
        <v>0.9802137821</v>
      </c>
    </row>
    <row r="13">
      <c r="A13" s="10">
        <v>262.0</v>
      </c>
      <c r="B13" s="11">
        <v>506.837137</v>
      </c>
      <c r="C13" s="12">
        <v>265263.0</v>
      </c>
      <c r="D13" s="12">
        <v>523.369305</v>
      </c>
      <c r="E13" s="12">
        <v>12.0</v>
      </c>
      <c r="F13" s="12">
        <v>0.02367624</v>
      </c>
      <c r="G13" s="12">
        <v>488.0</v>
      </c>
      <c r="H13" s="12">
        <v>0.96283394</v>
      </c>
      <c r="I13" s="12">
        <v>1801.0</v>
      </c>
      <c r="J13" s="12">
        <v>3.5534097</v>
      </c>
      <c r="K13" s="12">
        <v>1840.0</v>
      </c>
      <c r="L13" s="12">
        <v>3.6303575</v>
      </c>
      <c r="M13" s="12">
        <v>0.0</v>
      </c>
      <c r="N13" s="12">
        <v>0.0</v>
      </c>
      <c r="O13" s="12">
        <v>507.0</v>
      </c>
      <c r="P13" s="12">
        <v>1.00032133</v>
      </c>
      <c r="Q13" s="13">
        <f t="shared" si="1"/>
        <v>0.9788043478</v>
      </c>
    </row>
    <row r="14">
      <c r="A14" s="6">
        <v>263.0</v>
      </c>
      <c r="B14" s="7">
        <v>531.00926</v>
      </c>
      <c r="C14" s="8">
        <v>269790.0</v>
      </c>
      <c r="D14" s="8">
        <v>508.070236</v>
      </c>
      <c r="E14" s="8">
        <v>18.0</v>
      </c>
      <c r="F14" s="8">
        <v>0.03389771</v>
      </c>
      <c r="G14" s="8">
        <v>493.0</v>
      </c>
      <c r="H14" s="8">
        <v>0.92842072</v>
      </c>
      <c r="I14" s="8">
        <v>1919.0</v>
      </c>
      <c r="J14" s="8">
        <v>3.61387295</v>
      </c>
      <c r="K14" s="8">
        <v>1969.0</v>
      </c>
      <c r="L14" s="8">
        <v>3.70803327</v>
      </c>
      <c r="M14" s="8">
        <v>0.0</v>
      </c>
      <c r="N14" s="8">
        <v>0.0</v>
      </c>
      <c r="O14" s="8">
        <v>531.0</v>
      </c>
      <c r="P14" s="8">
        <v>0.99998256</v>
      </c>
      <c r="Q14" s="9">
        <f t="shared" si="1"/>
        <v>0.9746063992</v>
      </c>
    </row>
    <row r="15">
      <c r="A15" s="10">
        <v>264.0</v>
      </c>
      <c r="B15" s="11">
        <v>879.077653</v>
      </c>
      <c r="C15" s="12">
        <v>441385.0</v>
      </c>
      <c r="D15" s="12">
        <v>502.100126</v>
      </c>
      <c r="E15" s="12">
        <v>30.0</v>
      </c>
      <c r="F15" s="12">
        <v>0.03412668</v>
      </c>
      <c r="G15" s="12">
        <v>775.0</v>
      </c>
      <c r="H15" s="12">
        <v>0.88160585</v>
      </c>
      <c r="I15" s="12">
        <v>2984.0</v>
      </c>
      <c r="J15" s="12">
        <v>3.39446691</v>
      </c>
      <c r="K15" s="12">
        <v>3045.0</v>
      </c>
      <c r="L15" s="12">
        <v>3.46385782</v>
      </c>
      <c r="M15" s="12">
        <v>0.0</v>
      </c>
      <c r="N15" s="12">
        <v>0.0</v>
      </c>
      <c r="O15" s="12">
        <v>879.0</v>
      </c>
      <c r="P15" s="12">
        <v>0.99991167</v>
      </c>
      <c r="Q15" s="13">
        <f t="shared" si="1"/>
        <v>0.9799671593</v>
      </c>
    </row>
    <row r="16">
      <c r="A16" s="6">
        <v>265.0</v>
      </c>
      <c r="B16" s="7">
        <v>204.669178</v>
      </c>
      <c r="C16" s="8">
        <v>103620.0</v>
      </c>
      <c r="D16" s="8">
        <v>506.280434</v>
      </c>
      <c r="E16" s="8">
        <v>4.0</v>
      </c>
      <c r="F16" s="8">
        <v>0.01954373</v>
      </c>
      <c r="G16" s="8">
        <v>200.0</v>
      </c>
      <c r="H16" s="8">
        <v>0.97718671</v>
      </c>
      <c r="I16" s="8">
        <v>695.0</v>
      </c>
      <c r="J16" s="8">
        <v>3.39572381</v>
      </c>
      <c r="K16" s="8">
        <v>717.0</v>
      </c>
      <c r="L16" s="8">
        <v>3.50321435</v>
      </c>
      <c r="M16" s="8">
        <v>0.0</v>
      </c>
      <c r="N16" s="8">
        <v>0.0</v>
      </c>
      <c r="O16" s="8">
        <v>205.0</v>
      </c>
      <c r="P16" s="8">
        <v>1.00161638</v>
      </c>
      <c r="Q16" s="9">
        <f t="shared" si="1"/>
        <v>0.9693165969</v>
      </c>
    </row>
    <row r="17">
      <c r="A17" s="10">
        <v>266.0</v>
      </c>
      <c r="B17" s="11">
        <v>489.384333</v>
      </c>
      <c r="C17" s="12">
        <v>248011.0</v>
      </c>
      <c r="D17" s="12">
        <v>506.78165</v>
      </c>
      <c r="E17" s="12">
        <v>18.0</v>
      </c>
      <c r="F17" s="12">
        <v>0.03678091</v>
      </c>
      <c r="G17" s="12">
        <v>454.0</v>
      </c>
      <c r="H17" s="12">
        <v>0.92769623</v>
      </c>
      <c r="I17" s="12">
        <v>1703.0</v>
      </c>
      <c r="J17" s="12">
        <v>3.47988255</v>
      </c>
      <c r="K17" s="12">
        <v>1734.0</v>
      </c>
      <c r="L17" s="12">
        <v>3.54322744</v>
      </c>
      <c r="M17" s="12">
        <v>0.0</v>
      </c>
      <c r="N17" s="12">
        <v>0.0</v>
      </c>
      <c r="O17" s="12">
        <v>490.0</v>
      </c>
      <c r="P17" s="12">
        <v>1.00125804</v>
      </c>
      <c r="Q17" s="13">
        <f t="shared" si="1"/>
        <v>0.9821222607</v>
      </c>
    </row>
    <row r="18">
      <c r="A18" s="6">
        <v>267.0</v>
      </c>
      <c r="B18" s="7">
        <v>746.380967</v>
      </c>
      <c r="C18" s="8">
        <v>374189.0</v>
      </c>
      <c r="D18" s="8">
        <v>501.33781</v>
      </c>
      <c r="E18" s="8">
        <v>20.0</v>
      </c>
      <c r="F18" s="8">
        <v>0.02679597</v>
      </c>
      <c r="G18" s="8">
        <v>655.0</v>
      </c>
      <c r="H18" s="8">
        <v>0.87756793</v>
      </c>
      <c r="I18" s="8">
        <v>2458.0</v>
      </c>
      <c r="J18" s="8">
        <v>3.29322438</v>
      </c>
      <c r="K18" s="8">
        <v>2510.0</v>
      </c>
      <c r="L18" s="8">
        <v>3.3628939</v>
      </c>
      <c r="M18" s="8">
        <v>0.0</v>
      </c>
      <c r="N18" s="8">
        <v>0.0</v>
      </c>
      <c r="O18" s="8">
        <v>746.0</v>
      </c>
      <c r="P18" s="8">
        <v>0.99948958</v>
      </c>
      <c r="Q18" s="9">
        <f t="shared" si="1"/>
        <v>0.9792828685</v>
      </c>
    </row>
    <row r="19">
      <c r="A19" s="10">
        <v>271.0</v>
      </c>
      <c r="B19" s="11">
        <v>212.893246</v>
      </c>
      <c r="C19" s="12">
        <v>133302.0</v>
      </c>
      <c r="D19" s="12">
        <v>626.144804</v>
      </c>
      <c r="E19" s="12">
        <v>16.0</v>
      </c>
      <c r="F19" s="12">
        <v>0.07515504</v>
      </c>
      <c r="G19" s="12">
        <v>272.0</v>
      </c>
      <c r="H19" s="12">
        <v>1.27763565</v>
      </c>
      <c r="I19" s="12">
        <v>893.0</v>
      </c>
      <c r="J19" s="12">
        <v>4.19459056</v>
      </c>
      <c r="K19" s="12">
        <v>917.0</v>
      </c>
      <c r="L19" s="12">
        <v>4.30732311</v>
      </c>
      <c r="M19" s="12">
        <v>0.0</v>
      </c>
      <c r="N19" s="12">
        <v>0.0</v>
      </c>
      <c r="O19" s="12">
        <v>213.0</v>
      </c>
      <c r="P19" s="12">
        <v>1.00050144</v>
      </c>
      <c r="Q19" s="13">
        <f t="shared" si="1"/>
        <v>0.973827699</v>
      </c>
    </row>
    <row r="20">
      <c r="A20" s="6">
        <v>272.0</v>
      </c>
      <c r="B20" s="7">
        <v>169.995486</v>
      </c>
      <c r="C20" s="8">
        <v>100423.0</v>
      </c>
      <c r="D20" s="8">
        <v>590.739214</v>
      </c>
      <c r="E20" s="8">
        <v>8.0</v>
      </c>
      <c r="F20" s="8">
        <v>0.04706007</v>
      </c>
      <c r="G20" s="8">
        <v>180.0</v>
      </c>
      <c r="H20" s="8">
        <v>1.05885164</v>
      </c>
      <c r="I20" s="8">
        <v>644.0</v>
      </c>
      <c r="J20" s="8">
        <v>3.78833588</v>
      </c>
      <c r="K20" s="8">
        <v>662.0</v>
      </c>
      <c r="L20" s="8">
        <v>3.89422104</v>
      </c>
      <c r="M20" s="8">
        <v>0.0</v>
      </c>
      <c r="N20" s="8">
        <v>0.0</v>
      </c>
      <c r="O20" s="8">
        <v>170.0</v>
      </c>
      <c r="P20" s="8">
        <v>1.00002655</v>
      </c>
      <c r="Q20" s="9">
        <f t="shared" si="1"/>
        <v>0.9728096677</v>
      </c>
    </row>
    <row r="21">
      <c r="A21" s="10">
        <v>273.0</v>
      </c>
      <c r="B21" s="11">
        <v>129.549989</v>
      </c>
      <c r="C21" s="12">
        <v>73286.0</v>
      </c>
      <c r="D21" s="12">
        <v>565.696691</v>
      </c>
      <c r="E21" s="12">
        <v>6.0</v>
      </c>
      <c r="F21" s="12">
        <v>0.04631417</v>
      </c>
      <c r="G21" s="12">
        <v>107.0</v>
      </c>
      <c r="H21" s="12">
        <v>0.825936</v>
      </c>
      <c r="I21" s="12">
        <v>476.0</v>
      </c>
      <c r="J21" s="12">
        <v>3.67425736</v>
      </c>
      <c r="K21" s="12">
        <v>486.0</v>
      </c>
      <c r="L21" s="12">
        <v>3.75144764</v>
      </c>
      <c r="M21" s="12">
        <v>0.0</v>
      </c>
      <c r="N21" s="12">
        <v>0.0</v>
      </c>
      <c r="O21" s="12">
        <v>129.0</v>
      </c>
      <c r="P21" s="12">
        <v>0.99575462</v>
      </c>
      <c r="Q21" s="13">
        <f t="shared" si="1"/>
        <v>0.9794238683</v>
      </c>
    </row>
    <row r="22">
      <c r="A22" s="6">
        <v>274.0</v>
      </c>
      <c r="B22" s="7">
        <v>186.247941</v>
      </c>
      <c r="C22" s="8">
        <v>104861.0</v>
      </c>
      <c r="D22" s="8">
        <v>563.018304</v>
      </c>
      <c r="E22" s="8">
        <v>6.0</v>
      </c>
      <c r="F22" s="8">
        <v>0.03221512</v>
      </c>
      <c r="G22" s="8">
        <v>177.0</v>
      </c>
      <c r="H22" s="8">
        <v>0.95034608</v>
      </c>
      <c r="I22" s="8">
        <v>752.0</v>
      </c>
      <c r="J22" s="8">
        <v>4.03762853</v>
      </c>
      <c r="K22" s="8">
        <v>768.0</v>
      </c>
      <c r="L22" s="8">
        <v>4.12353552</v>
      </c>
      <c r="M22" s="8">
        <v>0.0</v>
      </c>
      <c r="N22" s="8">
        <v>0.0</v>
      </c>
      <c r="O22" s="8">
        <v>186.0</v>
      </c>
      <c r="P22" s="8">
        <v>0.99866876</v>
      </c>
      <c r="Q22" s="9">
        <f t="shared" si="1"/>
        <v>0.9791666667</v>
      </c>
    </row>
    <row r="23">
      <c r="A23" s="10">
        <v>275.0</v>
      </c>
      <c r="B23" s="11">
        <v>393.838904</v>
      </c>
      <c r="C23" s="12">
        <v>217408.0</v>
      </c>
      <c r="D23" s="12">
        <v>552.022662</v>
      </c>
      <c r="E23" s="12">
        <v>12.0</v>
      </c>
      <c r="F23" s="12">
        <v>0.03046931</v>
      </c>
      <c r="G23" s="12">
        <v>381.0</v>
      </c>
      <c r="H23" s="12">
        <v>0.96740062</v>
      </c>
      <c r="I23" s="12">
        <v>1473.0</v>
      </c>
      <c r="J23" s="12">
        <v>3.74010791</v>
      </c>
      <c r="K23" s="12">
        <v>1497.0</v>
      </c>
      <c r="L23" s="12">
        <v>3.80104653</v>
      </c>
      <c r="M23" s="12">
        <v>0.0</v>
      </c>
      <c r="N23" s="12">
        <v>0.0</v>
      </c>
      <c r="O23" s="12">
        <v>394.0</v>
      </c>
      <c r="P23" s="12">
        <v>1.00040904</v>
      </c>
      <c r="Q23" s="13">
        <f t="shared" si="1"/>
        <v>0.9839679359</v>
      </c>
    </row>
    <row r="24">
      <c r="A24" s="6">
        <v>276.0</v>
      </c>
      <c r="B24" s="7">
        <v>594.436244</v>
      </c>
      <c r="C24" s="8">
        <v>318970.0</v>
      </c>
      <c r="D24" s="8">
        <v>536.592449</v>
      </c>
      <c r="E24" s="8">
        <v>22.0</v>
      </c>
      <c r="F24" s="8">
        <v>0.03700986</v>
      </c>
      <c r="G24" s="8">
        <v>558.0</v>
      </c>
      <c r="H24" s="8">
        <v>0.93870454</v>
      </c>
      <c r="I24" s="8">
        <v>2236.0</v>
      </c>
      <c r="J24" s="8">
        <v>3.76154722</v>
      </c>
      <c r="K24" s="8">
        <v>2278.0</v>
      </c>
      <c r="L24" s="8">
        <v>3.8322024</v>
      </c>
      <c r="M24" s="8">
        <v>0.0</v>
      </c>
      <c r="N24" s="8">
        <v>0.0</v>
      </c>
      <c r="O24" s="8">
        <v>594.0</v>
      </c>
      <c r="P24" s="8">
        <v>0.99926612</v>
      </c>
      <c r="Q24" s="9">
        <f t="shared" si="1"/>
        <v>0.9815627744</v>
      </c>
    </row>
    <row r="25">
      <c r="A25" s="10">
        <v>277.0</v>
      </c>
      <c r="B25" s="11">
        <v>418.189932</v>
      </c>
      <c r="C25" s="12">
        <v>218227.0</v>
      </c>
      <c r="D25" s="12">
        <v>521.837049</v>
      </c>
      <c r="E25" s="12">
        <v>18.0</v>
      </c>
      <c r="F25" s="12">
        <v>0.04304264</v>
      </c>
      <c r="G25" s="12">
        <v>380.0</v>
      </c>
      <c r="H25" s="12">
        <v>0.90867802</v>
      </c>
      <c r="I25" s="12">
        <v>1467.0</v>
      </c>
      <c r="J25" s="12">
        <v>3.50797541</v>
      </c>
      <c r="K25" s="12">
        <v>1490.0</v>
      </c>
      <c r="L25" s="12">
        <v>3.56297434</v>
      </c>
      <c r="M25" s="12">
        <v>0.0</v>
      </c>
      <c r="N25" s="12">
        <v>0.0</v>
      </c>
      <c r="O25" s="12">
        <v>418.0</v>
      </c>
      <c r="P25" s="12">
        <v>0.99954582</v>
      </c>
      <c r="Q25" s="13">
        <f t="shared" si="1"/>
        <v>0.9845637584</v>
      </c>
    </row>
    <row r="26">
      <c r="A26" s="6">
        <v>278.0</v>
      </c>
      <c r="B26" s="7">
        <v>546.43679</v>
      </c>
      <c r="C26" s="8">
        <v>296256.0</v>
      </c>
      <c r="D26" s="8">
        <v>542.159689</v>
      </c>
      <c r="E26" s="8">
        <v>20.0</v>
      </c>
      <c r="F26" s="8">
        <v>0.03660076</v>
      </c>
      <c r="G26" s="8">
        <v>480.0</v>
      </c>
      <c r="H26" s="8">
        <v>0.87841816</v>
      </c>
      <c r="I26" s="8">
        <v>1967.0</v>
      </c>
      <c r="J26" s="8">
        <v>3.59968442</v>
      </c>
      <c r="K26" s="8">
        <v>2008.0</v>
      </c>
      <c r="L26" s="8">
        <v>3.67471597</v>
      </c>
      <c r="M26" s="8">
        <v>0.0</v>
      </c>
      <c r="N26" s="8">
        <v>0.0</v>
      </c>
      <c r="O26" s="8">
        <v>546.0</v>
      </c>
      <c r="P26" s="8">
        <v>0.99920066</v>
      </c>
      <c r="Q26" s="9">
        <f t="shared" si="1"/>
        <v>0.9795816733</v>
      </c>
    </row>
    <row r="27">
      <c r="A27" s="10">
        <v>279.0</v>
      </c>
      <c r="B27" s="11">
        <v>111.146894</v>
      </c>
      <c r="C27" s="12">
        <v>59712.0</v>
      </c>
      <c r="D27" s="12">
        <v>537.234984</v>
      </c>
      <c r="E27" s="12">
        <v>0.0</v>
      </c>
      <c r="F27" s="12">
        <v>0.0</v>
      </c>
      <c r="G27" s="12">
        <v>115.0</v>
      </c>
      <c r="H27" s="12">
        <v>1.03466679</v>
      </c>
      <c r="I27" s="12">
        <v>409.0</v>
      </c>
      <c r="J27" s="12">
        <v>3.67981492</v>
      </c>
      <c r="K27" s="12">
        <v>423.0</v>
      </c>
      <c r="L27" s="12">
        <v>3.80577436</v>
      </c>
      <c r="M27" s="12">
        <v>0.0</v>
      </c>
      <c r="N27" s="12">
        <v>0.0</v>
      </c>
      <c r="O27" s="12">
        <v>111.0</v>
      </c>
      <c r="P27" s="12">
        <v>0.99867838</v>
      </c>
      <c r="Q27" s="13">
        <f t="shared" si="1"/>
        <v>0.9669030733</v>
      </c>
    </row>
    <row r="28">
      <c r="A28" s="6">
        <v>280.0</v>
      </c>
      <c r="B28" s="7">
        <v>154.243308</v>
      </c>
      <c r="C28" s="8">
        <v>85323.0</v>
      </c>
      <c r="D28" s="8">
        <v>553.171488</v>
      </c>
      <c r="E28" s="8">
        <v>6.0</v>
      </c>
      <c r="F28" s="8">
        <v>0.03889958</v>
      </c>
      <c r="G28" s="8">
        <v>149.0</v>
      </c>
      <c r="H28" s="8">
        <v>0.96600625</v>
      </c>
      <c r="I28" s="8">
        <v>541.0</v>
      </c>
      <c r="J28" s="8">
        <v>3.50744553</v>
      </c>
      <c r="K28" s="8">
        <v>551.0</v>
      </c>
      <c r="L28" s="8">
        <v>3.57227816</v>
      </c>
      <c r="M28" s="8">
        <v>0.0</v>
      </c>
      <c r="N28" s="8">
        <v>0.0</v>
      </c>
      <c r="O28" s="8">
        <v>155.0</v>
      </c>
      <c r="P28" s="8">
        <v>1.00490584</v>
      </c>
      <c r="Q28" s="9">
        <f t="shared" si="1"/>
        <v>0.9818511797</v>
      </c>
    </row>
    <row r="29">
      <c r="A29" s="10">
        <v>281.0</v>
      </c>
      <c r="B29" s="11">
        <v>124.393194</v>
      </c>
      <c r="C29" s="12">
        <v>64966.0</v>
      </c>
      <c r="D29" s="12">
        <v>522.2633</v>
      </c>
      <c r="E29" s="12">
        <v>0.0</v>
      </c>
      <c r="F29" s="12">
        <v>0.0</v>
      </c>
      <c r="G29" s="12">
        <v>117.0</v>
      </c>
      <c r="H29" s="12">
        <v>0.94056593</v>
      </c>
      <c r="I29" s="12">
        <v>416.0</v>
      </c>
      <c r="J29" s="12">
        <v>3.34423441</v>
      </c>
      <c r="K29" s="12">
        <v>433.0</v>
      </c>
      <c r="L29" s="12">
        <v>3.48089784</v>
      </c>
      <c r="M29" s="12">
        <v>0.0</v>
      </c>
      <c r="N29" s="12">
        <v>0.0</v>
      </c>
      <c r="O29" s="12">
        <v>124.0</v>
      </c>
      <c r="P29" s="12">
        <v>0.9968391</v>
      </c>
      <c r="Q29" s="13">
        <f t="shared" si="1"/>
        <v>0.96073903</v>
      </c>
    </row>
    <row r="30">
      <c r="A30" s="6">
        <v>282.0</v>
      </c>
      <c r="B30" s="7">
        <v>53.9028778</v>
      </c>
      <c r="C30" s="8">
        <v>28206.0</v>
      </c>
      <c r="D30" s="8">
        <v>523.274474</v>
      </c>
      <c r="E30" s="8">
        <v>4.0</v>
      </c>
      <c r="F30" s="8">
        <v>0.07420754</v>
      </c>
      <c r="G30" s="8">
        <v>57.0</v>
      </c>
      <c r="H30" s="8">
        <v>1.05745746</v>
      </c>
      <c r="I30" s="8">
        <v>207.0</v>
      </c>
      <c r="J30" s="8">
        <v>3.84024024</v>
      </c>
      <c r="K30" s="8">
        <v>212.0</v>
      </c>
      <c r="L30" s="8">
        <v>3.93299966</v>
      </c>
      <c r="M30" s="8">
        <v>0.0</v>
      </c>
      <c r="N30" s="8">
        <v>0.0</v>
      </c>
      <c r="O30" s="8">
        <v>54.0</v>
      </c>
      <c r="P30" s="8">
        <v>1.0018018</v>
      </c>
      <c r="Q30" s="9">
        <f t="shared" si="1"/>
        <v>0.9764150943</v>
      </c>
    </row>
    <row r="31">
      <c r="A31" s="10">
        <v>283.0</v>
      </c>
      <c r="B31" s="11">
        <v>153.129934</v>
      </c>
      <c r="C31" s="12">
        <v>80892.0</v>
      </c>
      <c r="D31" s="12">
        <v>528.257264</v>
      </c>
      <c r="E31" s="12">
        <v>8.0</v>
      </c>
      <c r="F31" s="12">
        <v>0.05224321</v>
      </c>
      <c r="G31" s="12">
        <v>149.0</v>
      </c>
      <c r="H31" s="12">
        <v>0.97302987</v>
      </c>
      <c r="I31" s="12">
        <v>553.0</v>
      </c>
      <c r="J31" s="12">
        <v>3.6113122</v>
      </c>
      <c r="K31" s="12">
        <v>566.0</v>
      </c>
      <c r="L31" s="12">
        <v>3.69620743</v>
      </c>
      <c r="M31" s="12">
        <v>0.0</v>
      </c>
      <c r="N31" s="12">
        <v>0.0</v>
      </c>
      <c r="O31" s="12">
        <v>153.0</v>
      </c>
      <c r="P31" s="12">
        <v>0.99915148</v>
      </c>
      <c r="Q31" s="13">
        <f t="shared" si="1"/>
        <v>0.9770318021</v>
      </c>
    </row>
    <row r="32">
      <c r="A32" s="6">
        <v>284.0</v>
      </c>
      <c r="B32" s="7">
        <v>177.644849</v>
      </c>
      <c r="C32" s="8">
        <v>90901.0</v>
      </c>
      <c r="D32" s="8">
        <v>511.700737</v>
      </c>
      <c r="E32" s="8">
        <v>6.0</v>
      </c>
      <c r="F32" s="8">
        <v>0.03377525</v>
      </c>
      <c r="G32" s="8">
        <v>162.0</v>
      </c>
      <c r="H32" s="8">
        <v>0.91193188</v>
      </c>
      <c r="I32" s="8">
        <v>605.0</v>
      </c>
      <c r="J32" s="8">
        <v>3.40567151</v>
      </c>
      <c r="K32" s="8">
        <v>616.0</v>
      </c>
      <c r="L32" s="8">
        <v>3.46759281</v>
      </c>
      <c r="M32" s="8">
        <v>0.0</v>
      </c>
      <c r="N32" s="8">
        <v>0.0</v>
      </c>
      <c r="O32" s="8">
        <v>178.0</v>
      </c>
      <c r="P32" s="8">
        <v>1.00199922</v>
      </c>
      <c r="Q32" s="9">
        <f t="shared" si="1"/>
        <v>0.9821428571</v>
      </c>
    </row>
    <row r="33">
      <c r="A33" s="10">
        <v>285.0</v>
      </c>
      <c r="B33" s="11">
        <v>751.231339</v>
      </c>
      <c r="C33" s="12">
        <v>388512.0</v>
      </c>
      <c r="D33" s="12">
        <v>517.166923</v>
      </c>
      <c r="E33" s="12">
        <v>20.0</v>
      </c>
      <c r="F33" s="12">
        <v>0.02662296</v>
      </c>
      <c r="G33" s="12">
        <v>707.0</v>
      </c>
      <c r="H33" s="12">
        <v>0.94112155</v>
      </c>
      <c r="I33" s="12">
        <v>2622.0</v>
      </c>
      <c r="J33" s="12">
        <v>3.49026973</v>
      </c>
      <c r="K33" s="12">
        <v>2687.0</v>
      </c>
      <c r="L33" s="12">
        <v>3.57679434</v>
      </c>
      <c r="M33" s="12">
        <v>0.0</v>
      </c>
      <c r="N33" s="12">
        <v>0.0</v>
      </c>
      <c r="O33" s="12">
        <v>751.0</v>
      </c>
      <c r="P33" s="12">
        <v>0.99969205</v>
      </c>
      <c r="Q33" s="13">
        <f t="shared" si="1"/>
        <v>0.9758094529</v>
      </c>
    </row>
    <row r="34">
      <c r="A34" s="6">
        <v>286.0</v>
      </c>
      <c r="B34" s="7">
        <v>77.248794</v>
      </c>
      <c r="C34" s="8">
        <v>38475.0</v>
      </c>
      <c r="D34" s="8">
        <v>498.066028</v>
      </c>
      <c r="E34" s="8">
        <v>8.0</v>
      </c>
      <c r="F34" s="8">
        <v>0.10356149</v>
      </c>
      <c r="G34" s="8">
        <v>62.0</v>
      </c>
      <c r="H34" s="8">
        <v>0.80260153</v>
      </c>
      <c r="I34" s="8">
        <v>280.0</v>
      </c>
      <c r="J34" s="8">
        <v>3.62465206</v>
      </c>
      <c r="K34" s="8">
        <v>292.0</v>
      </c>
      <c r="L34" s="8">
        <v>3.77999429</v>
      </c>
      <c r="M34" s="8">
        <v>0.0</v>
      </c>
      <c r="N34" s="8">
        <v>0.0</v>
      </c>
      <c r="O34" s="8">
        <v>77.0</v>
      </c>
      <c r="P34" s="8">
        <v>0.99677932</v>
      </c>
      <c r="Q34" s="9">
        <f t="shared" si="1"/>
        <v>0.9589041096</v>
      </c>
    </row>
    <row r="35">
      <c r="A35" s="10">
        <v>287.0</v>
      </c>
      <c r="B35" s="11">
        <v>70.1027616</v>
      </c>
      <c r="C35" s="12">
        <v>33065.0</v>
      </c>
      <c r="D35" s="12">
        <v>471.664728</v>
      </c>
      <c r="E35" s="12">
        <v>2.0</v>
      </c>
      <c r="F35" s="12">
        <v>0.02852955</v>
      </c>
      <c r="G35" s="12">
        <v>58.0</v>
      </c>
      <c r="H35" s="12">
        <v>0.82735685</v>
      </c>
      <c r="I35" s="12">
        <v>204.0</v>
      </c>
      <c r="J35" s="12">
        <v>2.91001375</v>
      </c>
      <c r="K35" s="12">
        <v>206.0</v>
      </c>
      <c r="L35" s="12">
        <v>2.93854329</v>
      </c>
      <c r="M35" s="12">
        <v>0.0</v>
      </c>
      <c r="N35" s="12">
        <v>0.0</v>
      </c>
      <c r="O35" s="12">
        <v>71.0</v>
      </c>
      <c r="P35" s="12">
        <v>1.0127989</v>
      </c>
      <c r="Q35" s="13">
        <f t="shared" si="1"/>
        <v>0.9902912621</v>
      </c>
    </row>
    <row r="36">
      <c r="A36" s="6">
        <v>288.0</v>
      </c>
      <c r="B36" s="7">
        <v>4.64984683</v>
      </c>
      <c r="C36" s="8">
        <v>2363.0</v>
      </c>
      <c r="D36" s="8">
        <v>508.188783</v>
      </c>
      <c r="E36" s="8">
        <v>0.0</v>
      </c>
      <c r="F36" s="8">
        <v>0.0</v>
      </c>
      <c r="G36" s="8">
        <v>4.0</v>
      </c>
      <c r="H36" s="8">
        <v>0.86024339</v>
      </c>
      <c r="I36" s="8">
        <v>15.0</v>
      </c>
      <c r="J36" s="8">
        <v>3.22591271</v>
      </c>
      <c r="K36" s="8">
        <v>15.0</v>
      </c>
      <c r="L36" s="8">
        <v>3.22591271</v>
      </c>
      <c r="M36" s="8">
        <v>0.0</v>
      </c>
      <c r="N36" s="8">
        <v>0.0</v>
      </c>
      <c r="O36" s="8">
        <v>5.0</v>
      </c>
      <c r="P36" s="8">
        <v>1.07530424</v>
      </c>
      <c r="Q36" s="9">
        <f t="shared" si="1"/>
        <v>1</v>
      </c>
    </row>
    <row r="37">
      <c r="A37" s="10">
        <v>289.0</v>
      </c>
      <c r="B37" s="11">
        <v>828.925424</v>
      </c>
      <c r="C37" s="12">
        <v>419953.0</v>
      </c>
      <c r="D37" s="12">
        <v>506.62338</v>
      </c>
      <c r="E37" s="12">
        <v>18.0</v>
      </c>
      <c r="F37" s="12">
        <v>0.02171486</v>
      </c>
      <c r="G37" s="12">
        <v>739.0</v>
      </c>
      <c r="H37" s="12">
        <v>0.89151566</v>
      </c>
      <c r="I37" s="12">
        <v>2871.0</v>
      </c>
      <c r="J37" s="12">
        <v>3.46352026</v>
      </c>
      <c r="K37" s="12">
        <v>2938.0</v>
      </c>
      <c r="L37" s="12">
        <v>3.5443478</v>
      </c>
      <c r="M37" s="12">
        <v>0.0</v>
      </c>
      <c r="N37" s="12">
        <v>0.0</v>
      </c>
      <c r="O37" s="12">
        <v>829.0</v>
      </c>
      <c r="P37" s="12">
        <v>1.00008997</v>
      </c>
      <c r="Q37" s="13">
        <f t="shared" si="1"/>
        <v>0.977195371</v>
      </c>
    </row>
    <row r="38">
      <c r="A38" s="6">
        <v>290.0</v>
      </c>
      <c r="B38" s="7">
        <v>692.978146</v>
      </c>
      <c r="C38" s="8">
        <v>347935.0</v>
      </c>
      <c r="D38" s="8">
        <v>502.08654</v>
      </c>
      <c r="E38" s="8">
        <v>16.0</v>
      </c>
      <c r="F38" s="8">
        <v>0.02308875</v>
      </c>
      <c r="G38" s="8">
        <v>639.0</v>
      </c>
      <c r="H38" s="8">
        <v>0.922107</v>
      </c>
      <c r="I38" s="8">
        <v>2469.0</v>
      </c>
      <c r="J38" s="8">
        <v>3.56288292</v>
      </c>
      <c r="K38" s="8">
        <v>2536.0</v>
      </c>
      <c r="L38" s="8">
        <v>3.65956706</v>
      </c>
      <c r="M38" s="8">
        <v>0.0</v>
      </c>
      <c r="N38" s="8">
        <v>0.0</v>
      </c>
      <c r="O38" s="8">
        <v>693.0</v>
      </c>
      <c r="P38" s="8">
        <v>1.00003154</v>
      </c>
      <c r="Q38" s="9">
        <f t="shared" si="1"/>
        <v>0.9735804416</v>
      </c>
    </row>
    <row r="39">
      <c r="A39" s="10">
        <v>291.0</v>
      </c>
      <c r="B39" s="11">
        <v>94.4467422</v>
      </c>
      <c r="C39" s="12">
        <v>45819.0</v>
      </c>
      <c r="D39" s="12">
        <v>485.13055</v>
      </c>
      <c r="E39" s="12">
        <v>6.0</v>
      </c>
      <c r="F39" s="12">
        <v>0.06352787</v>
      </c>
      <c r="G39" s="12">
        <v>78.0</v>
      </c>
      <c r="H39" s="12">
        <v>0.82586226</v>
      </c>
      <c r="I39" s="12">
        <v>331.0</v>
      </c>
      <c r="J39" s="12">
        <v>3.50462062</v>
      </c>
      <c r="K39" s="12">
        <v>338.0</v>
      </c>
      <c r="L39" s="12">
        <v>3.57873646</v>
      </c>
      <c r="M39" s="12">
        <v>0.0</v>
      </c>
      <c r="N39" s="12">
        <v>0.0</v>
      </c>
      <c r="O39" s="12">
        <v>94.0</v>
      </c>
      <c r="P39" s="12">
        <v>0.9952699</v>
      </c>
      <c r="Q39" s="13">
        <f t="shared" si="1"/>
        <v>0.9792899408</v>
      </c>
    </row>
    <row r="40">
      <c r="A40" s="6">
        <v>292.0</v>
      </c>
      <c r="B40" s="7">
        <v>213.398175</v>
      </c>
      <c r="C40" s="8">
        <v>110120.0</v>
      </c>
      <c r="D40" s="8">
        <v>516.030656</v>
      </c>
      <c r="E40" s="8">
        <v>14.0</v>
      </c>
      <c r="F40" s="8">
        <v>0.06560506</v>
      </c>
      <c r="G40" s="8">
        <v>185.0</v>
      </c>
      <c r="H40" s="8">
        <v>0.866924</v>
      </c>
      <c r="I40" s="8">
        <v>698.0</v>
      </c>
      <c r="J40" s="8">
        <v>3.27088084</v>
      </c>
      <c r="K40" s="8">
        <v>717.0</v>
      </c>
      <c r="L40" s="8">
        <v>3.35991627</v>
      </c>
      <c r="M40" s="8">
        <v>0.0</v>
      </c>
      <c r="N40" s="8">
        <v>0.0</v>
      </c>
      <c r="O40" s="8">
        <v>213.0</v>
      </c>
      <c r="P40" s="8">
        <v>0.99813412</v>
      </c>
      <c r="Q40" s="9">
        <f t="shared" si="1"/>
        <v>0.9735006974</v>
      </c>
    </row>
    <row r="41">
      <c r="A41" s="10">
        <v>293.0</v>
      </c>
      <c r="B41" s="11">
        <v>732.110534</v>
      </c>
      <c r="C41" s="12">
        <v>353270.0</v>
      </c>
      <c r="D41" s="12">
        <v>482.536426</v>
      </c>
      <c r="E41" s="12">
        <v>26.0</v>
      </c>
      <c r="F41" s="12">
        <v>0.03551376</v>
      </c>
      <c r="G41" s="12">
        <v>630.0</v>
      </c>
      <c r="H41" s="12">
        <v>0.8605258</v>
      </c>
      <c r="I41" s="12">
        <v>2410.0</v>
      </c>
      <c r="J41" s="12">
        <v>3.29185265</v>
      </c>
      <c r="K41" s="12">
        <v>2449.0</v>
      </c>
      <c r="L41" s="12">
        <v>3.34512329</v>
      </c>
      <c r="M41" s="12">
        <v>0.0</v>
      </c>
      <c r="N41" s="12">
        <v>0.0</v>
      </c>
      <c r="O41" s="12">
        <v>732.0</v>
      </c>
      <c r="P41" s="12">
        <v>0.99984902</v>
      </c>
      <c r="Q41" s="13">
        <f t="shared" si="1"/>
        <v>0.9840751327</v>
      </c>
    </row>
    <row r="42">
      <c r="A42" s="6">
        <v>294.0</v>
      </c>
      <c r="B42" s="7">
        <v>132.635824</v>
      </c>
      <c r="C42" s="8">
        <v>57175.0</v>
      </c>
      <c r="D42" s="8">
        <v>431.067552</v>
      </c>
      <c r="E42" s="8">
        <v>6.0</v>
      </c>
      <c r="F42" s="8">
        <v>0.04523665</v>
      </c>
      <c r="G42" s="8">
        <v>114.0</v>
      </c>
      <c r="H42" s="8">
        <v>0.8594963</v>
      </c>
      <c r="I42" s="8">
        <v>418.0</v>
      </c>
      <c r="J42" s="8">
        <v>3.15148643</v>
      </c>
      <c r="K42" s="8">
        <v>425.0</v>
      </c>
      <c r="L42" s="8">
        <v>3.20426252</v>
      </c>
      <c r="M42" s="8">
        <v>0.0</v>
      </c>
      <c r="N42" s="8">
        <v>0.0</v>
      </c>
      <c r="O42" s="8">
        <v>132.0</v>
      </c>
      <c r="P42" s="8">
        <v>0.99520624</v>
      </c>
      <c r="Q42" s="9">
        <f t="shared" si="1"/>
        <v>0.9835294118</v>
      </c>
    </row>
    <row r="43">
      <c r="A43" s="10">
        <v>295.0</v>
      </c>
      <c r="B43" s="11">
        <v>251.141771</v>
      </c>
      <c r="C43" s="12">
        <v>120233.0</v>
      </c>
      <c r="D43" s="12">
        <v>478.745529</v>
      </c>
      <c r="E43" s="12">
        <v>8.0</v>
      </c>
      <c r="F43" s="12">
        <v>0.03185452</v>
      </c>
      <c r="G43" s="12">
        <v>195.0</v>
      </c>
      <c r="H43" s="12">
        <v>0.77645387</v>
      </c>
      <c r="I43" s="12">
        <v>826.0</v>
      </c>
      <c r="J43" s="12">
        <v>3.28897896</v>
      </c>
      <c r="K43" s="12">
        <v>836.0</v>
      </c>
      <c r="L43" s="12">
        <v>3.3287971</v>
      </c>
      <c r="M43" s="12">
        <v>0.0</v>
      </c>
      <c r="N43" s="12">
        <v>0.0</v>
      </c>
      <c r="O43" s="12">
        <v>251.0</v>
      </c>
      <c r="P43" s="12">
        <v>0.99943549</v>
      </c>
      <c r="Q43" s="13">
        <f t="shared" si="1"/>
        <v>0.9880382775</v>
      </c>
    </row>
    <row r="44">
      <c r="A44" s="6">
        <v>296.0</v>
      </c>
      <c r="B44" s="7">
        <v>38.8462007</v>
      </c>
      <c r="C44" s="8">
        <v>18303.0</v>
      </c>
      <c r="D44" s="8">
        <v>471.165769</v>
      </c>
      <c r="E44" s="8">
        <v>2.0</v>
      </c>
      <c r="F44" s="8">
        <v>0.05148509</v>
      </c>
      <c r="G44" s="8">
        <v>39.0</v>
      </c>
      <c r="H44" s="8">
        <v>1.00395919</v>
      </c>
      <c r="I44" s="8">
        <v>140.0</v>
      </c>
      <c r="J44" s="8">
        <v>3.60395605</v>
      </c>
      <c r="K44" s="8">
        <v>140.0</v>
      </c>
      <c r="L44" s="8">
        <v>3.60395605</v>
      </c>
      <c r="M44" s="8">
        <v>0.0</v>
      </c>
      <c r="N44" s="8">
        <v>0.0</v>
      </c>
      <c r="O44" s="8">
        <v>39.0</v>
      </c>
      <c r="P44" s="8">
        <v>1.00395919</v>
      </c>
      <c r="Q44" s="9">
        <f t="shared" si="1"/>
        <v>1</v>
      </c>
    </row>
    <row r="45">
      <c r="A45" s="10">
        <v>297.0</v>
      </c>
      <c r="B45" s="11">
        <v>62.0479583</v>
      </c>
      <c r="C45" s="12">
        <v>30495.0</v>
      </c>
      <c r="D45" s="12">
        <v>491.474673</v>
      </c>
      <c r="E45" s="12">
        <v>2.0</v>
      </c>
      <c r="F45" s="12">
        <v>0.03223313</v>
      </c>
      <c r="G45" s="12">
        <v>63.0</v>
      </c>
      <c r="H45" s="12">
        <v>1.01534364</v>
      </c>
      <c r="I45" s="12">
        <v>198.0</v>
      </c>
      <c r="J45" s="12">
        <v>3.19108002</v>
      </c>
      <c r="K45" s="12">
        <v>201.0</v>
      </c>
      <c r="L45" s="12">
        <v>3.23942972</v>
      </c>
      <c r="M45" s="12">
        <v>0.0</v>
      </c>
      <c r="N45" s="12">
        <v>0.0</v>
      </c>
      <c r="O45" s="12">
        <v>62.0</v>
      </c>
      <c r="P45" s="12">
        <v>0.99922708</v>
      </c>
      <c r="Q45" s="13">
        <f t="shared" si="1"/>
        <v>0.9850746269</v>
      </c>
    </row>
    <row r="46">
      <c r="A46" s="6">
        <v>298.0</v>
      </c>
      <c r="B46" s="7">
        <v>207.161477</v>
      </c>
      <c r="C46" s="8">
        <v>96454.0</v>
      </c>
      <c r="D46" s="8">
        <v>465.598149</v>
      </c>
      <c r="E46" s="8">
        <v>6.0</v>
      </c>
      <c r="F46" s="8">
        <v>0.02896291</v>
      </c>
      <c r="G46" s="8">
        <v>159.0</v>
      </c>
      <c r="H46" s="8">
        <v>0.76751722</v>
      </c>
      <c r="I46" s="8">
        <v>689.0</v>
      </c>
      <c r="J46" s="8">
        <v>3.32590794</v>
      </c>
      <c r="K46" s="8">
        <v>704.0</v>
      </c>
      <c r="L46" s="8">
        <v>3.39831522</v>
      </c>
      <c r="M46" s="8">
        <v>0.0</v>
      </c>
      <c r="N46" s="8">
        <v>0.0</v>
      </c>
      <c r="O46" s="8">
        <v>207.0</v>
      </c>
      <c r="P46" s="8">
        <v>0.99922053</v>
      </c>
      <c r="Q46" s="9">
        <f t="shared" si="1"/>
        <v>0.9786931818</v>
      </c>
    </row>
    <row r="47">
      <c r="A47" s="10">
        <v>299.0</v>
      </c>
      <c r="B47" s="11">
        <v>264.045878</v>
      </c>
      <c r="C47" s="12">
        <v>135491.0</v>
      </c>
      <c r="D47" s="12">
        <v>513.134311</v>
      </c>
      <c r="E47" s="12">
        <v>6.0</v>
      </c>
      <c r="F47" s="12">
        <v>0.02272332</v>
      </c>
      <c r="G47" s="12">
        <v>229.0</v>
      </c>
      <c r="H47" s="12">
        <v>0.86727353</v>
      </c>
      <c r="I47" s="12">
        <v>940.0</v>
      </c>
      <c r="J47" s="12">
        <v>3.5599874</v>
      </c>
      <c r="K47" s="12">
        <v>971.0</v>
      </c>
      <c r="L47" s="12">
        <v>3.67739124</v>
      </c>
      <c r="M47" s="12">
        <v>0.0</v>
      </c>
      <c r="N47" s="12">
        <v>0.0</v>
      </c>
      <c r="O47" s="12">
        <v>264.0</v>
      </c>
      <c r="P47" s="12">
        <v>0.99982625</v>
      </c>
      <c r="Q47" s="13">
        <f t="shared" si="1"/>
        <v>0.9680741504</v>
      </c>
    </row>
    <row r="48">
      <c r="A48" s="6">
        <v>304.0</v>
      </c>
      <c r="B48" s="7">
        <v>558.048022</v>
      </c>
      <c r="C48" s="8">
        <v>5415080.0</v>
      </c>
      <c r="D48" s="8">
        <v>9703.60935</v>
      </c>
      <c r="E48" s="8">
        <v>18.0</v>
      </c>
      <c r="F48" s="8">
        <v>0.03225529</v>
      </c>
      <c r="G48" s="8">
        <v>8665.0</v>
      </c>
      <c r="H48" s="8">
        <v>15.5273375</v>
      </c>
      <c r="I48" s="8">
        <v>34315.0</v>
      </c>
      <c r="J48" s="8">
        <v>61.4911238</v>
      </c>
      <c r="K48" s="8">
        <v>53619.0</v>
      </c>
      <c r="L48" s="8">
        <v>96.0831289</v>
      </c>
      <c r="M48" s="8">
        <v>0.0</v>
      </c>
      <c r="N48" s="8">
        <v>0.0</v>
      </c>
      <c r="O48" s="8">
        <v>558.0</v>
      </c>
      <c r="P48" s="8">
        <v>0.99991395</v>
      </c>
      <c r="Q48" s="9">
        <f t="shared" si="1"/>
        <v>0.6399783659</v>
      </c>
    </row>
    <row r="49">
      <c r="A49" s="10">
        <v>305.0</v>
      </c>
      <c r="B49" s="11">
        <v>1103.57246</v>
      </c>
      <c r="C49" s="12">
        <v>1.1811371E7</v>
      </c>
      <c r="D49" s="12">
        <v>10702.8505</v>
      </c>
      <c r="E49" s="12">
        <v>36.0</v>
      </c>
      <c r="F49" s="12">
        <v>0.03262133</v>
      </c>
      <c r="G49" s="12">
        <v>19170.0</v>
      </c>
      <c r="H49" s="12">
        <v>17.3708576</v>
      </c>
      <c r="I49" s="12">
        <v>73207.0</v>
      </c>
      <c r="J49" s="12">
        <v>66.3363782</v>
      </c>
      <c r="K49" s="12">
        <v>117085.0</v>
      </c>
      <c r="L49" s="12">
        <v>106.096341</v>
      </c>
      <c r="M49" s="12">
        <v>0.0</v>
      </c>
      <c r="N49" s="12">
        <v>0.0</v>
      </c>
      <c r="O49" s="12">
        <v>1103.0</v>
      </c>
      <c r="P49" s="12">
        <v>0.99948127</v>
      </c>
      <c r="Q49" s="13">
        <f t="shared" si="1"/>
        <v>0.6252466157</v>
      </c>
    </row>
    <row r="50">
      <c r="A50" s="6">
        <v>306.0</v>
      </c>
      <c r="B50" s="7">
        <v>976.975705</v>
      </c>
      <c r="C50" s="8">
        <v>1.0205833E7</v>
      </c>
      <c r="D50" s="8">
        <v>10446.3529</v>
      </c>
      <c r="E50" s="8">
        <v>28.0</v>
      </c>
      <c r="F50" s="8">
        <v>0.02865987</v>
      </c>
      <c r="G50" s="8">
        <v>16466.0</v>
      </c>
      <c r="H50" s="8">
        <v>16.8540527</v>
      </c>
      <c r="I50" s="8">
        <v>63165.0</v>
      </c>
      <c r="J50" s="8">
        <v>64.6536037</v>
      </c>
      <c r="K50" s="8">
        <v>101052.0</v>
      </c>
      <c r="L50" s="8">
        <v>103.433483</v>
      </c>
      <c r="M50" s="8">
        <v>0.0</v>
      </c>
      <c r="N50" s="8">
        <v>0.0</v>
      </c>
      <c r="O50" s="8">
        <v>977.0</v>
      </c>
      <c r="P50" s="8">
        <v>1.00002487</v>
      </c>
      <c r="Q50" s="9">
        <f t="shared" si="1"/>
        <v>0.6250742192</v>
      </c>
    </row>
    <row r="51">
      <c r="A51" s="10">
        <v>307.0</v>
      </c>
      <c r="B51" s="11">
        <v>108.997437</v>
      </c>
      <c r="C51" s="12">
        <v>1177471.0</v>
      </c>
      <c r="D51" s="12">
        <v>10802.7402</v>
      </c>
      <c r="E51" s="12">
        <v>4.0</v>
      </c>
      <c r="F51" s="12">
        <v>0.03669811</v>
      </c>
      <c r="G51" s="12">
        <v>1906.0</v>
      </c>
      <c r="H51" s="12">
        <v>17.4866497</v>
      </c>
      <c r="I51" s="12">
        <v>7287.0</v>
      </c>
      <c r="J51" s="12">
        <v>66.8547829</v>
      </c>
      <c r="K51" s="12">
        <v>11647.0</v>
      </c>
      <c r="L51" s="12">
        <v>106.855723</v>
      </c>
      <c r="M51" s="12">
        <v>0.0</v>
      </c>
      <c r="N51" s="12">
        <v>0.0</v>
      </c>
      <c r="O51" s="12">
        <v>109.0</v>
      </c>
      <c r="P51" s="12">
        <v>1.00002351</v>
      </c>
      <c r="Q51" s="13">
        <f t="shared" si="1"/>
        <v>0.625654675</v>
      </c>
    </row>
    <row r="52">
      <c r="A52" s="6">
        <v>308.0</v>
      </c>
      <c r="B52" s="7">
        <v>69.272944</v>
      </c>
      <c r="C52" s="8">
        <v>628041.0</v>
      </c>
      <c r="D52" s="8">
        <v>9066.18029</v>
      </c>
      <c r="E52" s="8">
        <v>0.0</v>
      </c>
      <c r="F52" s="8">
        <v>0.0</v>
      </c>
      <c r="G52" s="8">
        <v>1054.0</v>
      </c>
      <c r="H52" s="8">
        <v>15.2151755</v>
      </c>
      <c r="I52" s="8">
        <v>3900.0</v>
      </c>
      <c r="J52" s="8">
        <v>56.2990364</v>
      </c>
      <c r="K52" s="8">
        <v>6193.0</v>
      </c>
      <c r="L52" s="8">
        <v>89.3999827</v>
      </c>
      <c r="M52" s="8">
        <v>0.0</v>
      </c>
      <c r="N52" s="8">
        <v>0.0</v>
      </c>
      <c r="O52" s="8">
        <v>70.0</v>
      </c>
      <c r="P52" s="8">
        <v>1.01049553</v>
      </c>
      <c r="Q52" s="9">
        <f t="shared" si="1"/>
        <v>0.6297432585</v>
      </c>
    </row>
    <row r="53">
      <c r="A53" s="10">
        <v>309.0</v>
      </c>
      <c r="B53" s="11">
        <v>224.945171</v>
      </c>
      <c r="C53" s="12">
        <v>2426716.0</v>
      </c>
      <c r="D53" s="12">
        <v>10788.0333</v>
      </c>
      <c r="E53" s="12">
        <v>12.0</v>
      </c>
      <c r="F53" s="12">
        <v>0.05334633</v>
      </c>
      <c r="G53" s="12">
        <v>3958.0</v>
      </c>
      <c r="H53" s="12">
        <v>17.5953989</v>
      </c>
      <c r="I53" s="12">
        <v>15061.0</v>
      </c>
      <c r="J53" s="12">
        <v>66.9540936</v>
      </c>
      <c r="K53" s="12">
        <v>24270.0</v>
      </c>
      <c r="L53" s="12">
        <v>107.892959</v>
      </c>
      <c r="M53" s="12">
        <v>0.0</v>
      </c>
      <c r="N53" s="12">
        <v>0.0</v>
      </c>
      <c r="O53" s="12">
        <v>225.0</v>
      </c>
      <c r="P53" s="12">
        <v>1.00024375</v>
      </c>
      <c r="Q53" s="13">
        <f t="shared" si="1"/>
        <v>0.6205603626</v>
      </c>
    </row>
    <row r="54">
      <c r="A54" s="6">
        <v>310.0</v>
      </c>
      <c r="B54" s="7">
        <v>316.646105</v>
      </c>
      <c r="C54" s="8">
        <v>3296007.0</v>
      </c>
      <c r="D54" s="8">
        <v>10409.119</v>
      </c>
      <c r="E54" s="8">
        <v>20.0</v>
      </c>
      <c r="F54" s="8">
        <v>0.063162</v>
      </c>
      <c r="G54" s="8">
        <v>5300.0</v>
      </c>
      <c r="H54" s="8">
        <v>16.7379289</v>
      </c>
      <c r="I54" s="8">
        <v>20142.0</v>
      </c>
      <c r="J54" s="8">
        <v>63.6104461</v>
      </c>
      <c r="K54" s="8">
        <v>32698.0</v>
      </c>
      <c r="L54" s="8">
        <v>103.263547</v>
      </c>
      <c r="M54" s="8">
        <v>0.0</v>
      </c>
      <c r="N54" s="8">
        <v>0.0</v>
      </c>
      <c r="O54" s="8">
        <v>317.0</v>
      </c>
      <c r="P54" s="8">
        <v>1.00111764</v>
      </c>
      <c r="Q54" s="9">
        <f t="shared" si="1"/>
        <v>0.6160009787</v>
      </c>
    </row>
    <row r="55">
      <c r="A55" s="10">
        <v>316.0</v>
      </c>
      <c r="B55" s="11">
        <v>631.687235</v>
      </c>
      <c r="C55" s="12">
        <v>4299665.0</v>
      </c>
      <c r="D55" s="12">
        <v>6806.63588</v>
      </c>
      <c r="E55" s="12">
        <v>24.0</v>
      </c>
      <c r="F55" s="12">
        <v>0.03799349</v>
      </c>
      <c r="G55" s="12">
        <v>2112.0</v>
      </c>
      <c r="H55" s="12">
        <v>3.34342675</v>
      </c>
      <c r="I55" s="12">
        <v>11757.0</v>
      </c>
      <c r="J55" s="12">
        <v>18.6120588</v>
      </c>
      <c r="K55" s="12">
        <v>13299.0</v>
      </c>
      <c r="L55" s="12">
        <v>21.0531403</v>
      </c>
      <c r="M55" s="12">
        <v>0.0</v>
      </c>
      <c r="N55" s="12">
        <v>0.0</v>
      </c>
      <c r="O55" s="12">
        <v>631.0</v>
      </c>
      <c r="P55" s="12">
        <v>0.99891206</v>
      </c>
      <c r="Q55" s="13">
        <f t="shared" si="1"/>
        <v>0.8840514324</v>
      </c>
    </row>
    <row r="56">
      <c r="A56" s="6">
        <v>318.0</v>
      </c>
      <c r="B56" s="7">
        <v>993.275663</v>
      </c>
      <c r="C56" s="8">
        <v>6408516.0</v>
      </c>
      <c r="D56" s="8">
        <v>6451.90075</v>
      </c>
      <c r="E56" s="8">
        <v>44.0</v>
      </c>
      <c r="F56" s="8">
        <v>0.04429787</v>
      </c>
      <c r="G56" s="8">
        <v>3251.0</v>
      </c>
      <c r="H56" s="8">
        <v>3.27300881</v>
      </c>
      <c r="I56" s="8">
        <v>17772.0</v>
      </c>
      <c r="J56" s="8">
        <v>17.8923139</v>
      </c>
      <c r="K56" s="8">
        <v>20072.0</v>
      </c>
      <c r="L56" s="8">
        <v>20.2078846</v>
      </c>
      <c r="M56" s="8">
        <v>0.0</v>
      </c>
      <c r="N56" s="8">
        <v>0.0</v>
      </c>
      <c r="O56" s="8">
        <v>994.0</v>
      </c>
      <c r="P56" s="8">
        <v>1.00072924</v>
      </c>
      <c r="Q56" s="9">
        <f t="shared" si="1"/>
        <v>0.8854125149</v>
      </c>
    </row>
    <row r="57">
      <c r="A57" s="10">
        <v>319.0</v>
      </c>
      <c r="B57" s="11">
        <v>81.420934</v>
      </c>
      <c r="C57" s="12">
        <v>436614.0</v>
      </c>
      <c r="D57" s="12">
        <v>5362.42927</v>
      </c>
      <c r="E57" s="12">
        <v>0.0</v>
      </c>
      <c r="F57" s="12">
        <v>0.0</v>
      </c>
      <c r="G57" s="12">
        <v>217.0</v>
      </c>
      <c r="H57" s="12">
        <v>2.66516225</v>
      </c>
      <c r="I57" s="12">
        <v>1204.0</v>
      </c>
      <c r="J57" s="12">
        <v>14.7873519</v>
      </c>
      <c r="K57" s="12">
        <v>1345.0</v>
      </c>
      <c r="L57" s="12">
        <v>16.5190932</v>
      </c>
      <c r="M57" s="12">
        <v>0.0</v>
      </c>
      <c r="N57" s="12">
        <v>0.0</v>
      </c>
      <c r="O57" s="12">
        <v>81.0</v>
      </c>
      <c r="P57" s="12">
        <v>0.99483015</v>
      </c>
      <c r="Q57" s="13">
        <f t="shared" si="1"/>
        <v>0.8951672862</v>
      </c>
    </row>
    <row r="58">
      <c r="A58" s="6">
        <v>320.0</v>
      </c>
      <c r="B58" s="7">
        <v>507.985652</v>
      </c>
      <c r="C58" s="8">
        <v>3366720.0</v>
      </c>
      <c r="D58" s="8">
        <v>6627.58876</v>
      </c>
      <c r="E58" s="8">
        <v>16.0</v>
      </c>
      <c r="F58" s="8">
        <v>0.03149695</v>
      </c>
      <c r="G58" s="8">
        <v>1642.0</v>
      </c>
      <c r="H58" s="8">
        <v>3.23237476</v>
      </c>
      <c r="I58" s="8">
        <v>9193.0</v>
      </c>
      <c r="J58" s="8">
        <v>18.0969678</v>
      </c>
      <c r="K58" s="8">
        <v>10395.0</v>
      </c>
      <c r="L58" s="8">
        <v>20.4631764</v>
      </c>
      <c r="M58" s="8">
        <v>0.0</v>
      </c>
      <c r="N58" s="8">
        <v>0.0</v>
      </c>
      <c r="O58" s="8">
        <v>508.0</v>
      </c>
      <c r="P58" s="8">
        <v>1.00002824</v>
      </c>
      <c r="Q58" s="9">
        <f t="shared" si="1"/>
        <v>0.8843674844</v>
      </c>
    </row>
    <row r="59">
      <c r="A59" s="10">
        <v>321.0</v>
      </c>
      <c r="B59" s="11">
        <v>314.938145</v>
      </c>
      <c r="C59" s="12">
        <v>1995516.0</v>
      </c>
      <c r="D59" s="12">
        <v>6336.21563</v>
      </c>
      <c r="E59" s="12">
        <v>8.0</v>
      </c>
      <c r="F59" s="12">
        <v>0.02540181</v>
      </c>
      <c r="G59" s="12">
        <v>1051.0</v>
      </c>
      <c r="H59" s="12">
        <v>3.33716324</v>
      </c>
      <c r="I59" s="12">
        <v>5518.0</v>
      </c>
      <c r="J59" s="12">
        <v>17.5209008</v>
      </c>
      <c r="K59" s="12">
        <v>6199.0</v>
      </c>
      <c r="L59" s="12">
        <v>19.6832302</v>
      </c>
      <c r="M59" s="12">
        <v>0.0</v>
      </c>
      <c r="N59" s="12">
        <v>0.0</v>
      </c>
      <c r="O59" s="12">
        <v>314.0</v>
      </c>
      <c r="P59" s="12">
        <v>0.99702118</v>
      </c>
      <c r="Q59" s="13">
        <f t="shared" si="1"/>
        <v>0.8901435715</v>
      </c>
    </row>
    <row r="60">
      <c r="A60" s="6">
        <v>322.0</v>
      </c>
      <c r="B60" s="7">
        <v>384.040489</v>
      </c>
      <c r="C60" s="8">
        <v>2611473.0</v>
      </c>
      <c r="D60" s="8">
        <v>6799.99395</v>
      </c>
      <c r="E60" s="8">
        <v>18.0</v>
      </c>
      <c r="F60" s="8">
        <v>0.04687006</v>
      </c>
      <c r="G60" s="8">
        <v>1308.0</v>
      </c>
      <c r="H60" s="8">
        <v>3.40589088</v>
      </c>
      <c r="I60" s="8">
        <v>7205.0</v>
      </c>
      <c r="J60" s="8">
        <v>18.7610427</v>
      </c>
      <c r="K60" s="8">
        <v>8186.0</v>
      </c>
      <c r="L60" s="8">
        <v>21.3154608</v>
      </c>
      <c r="M60" s="8">
        <v>0.0</v>
      </c>
      <c r="N60" s="8">
        <v>0.0</v>
      </c>
      <c r="O60" s="8">
        <v>384.0</v>
      </c>
      <c r="P60" s="8">
        <v>0.99989457</v>
      </c>
      <c r="Q60" s="9">
        <f t="shared" si="1"/>
        <v>0.8801612509</v>
      </c>
    </row>
    <row r="61">
      <c r="A61" s="10">
        <v>323.0</v>
      </c>
      <c r="B61" s="11">
        <v>310.690846</v>
      </c>
      <c r="C61" s="12">
        <v>2012375.0</v>
      </c>
      <c r="D61" s="12">
        <v>6477.09782</v>
      </c>
      <c r="E61" s="12">
        <v>6.0</v>
      </c>
      <c r="F61" s="12">
        <v>0.0193118</v>
      </c>
      <c r="G61" s="12">
        <v>994.0</v>
      </c>
      <c r="H61" s="12">
        <v>3.19932181</v>
      </c>
      <c r="I61" s="12">
        <v>5612.0</v>
      </c>
      <c r="J61" s="12">
        <v>18.0629718</v>
      </c>
      <c r="K61" s="12">
        <v>6301.0</v>
      </c>
      <c r="L61" s="12">
        <v>20.2806104</v>
      </c>
      <c r="M61" s="12">
        <v>0.0</v>
      </c>
      <c r="N61" s="12">
        <v>0.0</v>
      </c>
      <c r="O61" s="12">
        <v>310.0</v>
      </c>
      <c r="P61" s="12">
        <v>0.99777642</v>
      </c>
      <c r="Q61" s="13">
        <f t="shared" si="1"/>
        <v>0.8906522774</v>
      </c>
    </row>
    <row r="62">
      <c r="A62" s="6">
        <v>324.0</v>
      </c>
      <c r="B62" s="7">
        <v>210.446204</v>
      </c>
      <c r="C62" s="8">
        <v>1479203.0</v>
      </c>
      <c r="D62" s="8">
        <v>7028.88898</v>
      </c>
      <c r="E62" s="8">
        <v>6.0</v>
      </c>
      <c r="F62" s="8">
        <v>0.02851085</v>
      </c>
      <c r="G62" s="8">
        <v>746.0</v>
      </c>
      <c r="H62" s="8">
        <v>3.54484893</v>
      </c>
      <c r="I62" s="8">
        <v>4031.0</v>
      </c>
      <c r="J62" s="8">
        <v>19.1545389</v>
      </c>
      <c r="K62" s="8">
        <v>4565.0</v>
      </c>
      <c r="L62" s="8">
        <v>21.6920045</v>
      </c>
      <c r="M62" s="8">
        <v>0.0</v>
      </c>
      <c r="N62" s="8">
        <v>0.0</v>
      </c>
      <c r="O62" s="8">
        <v>210.0</v>
      </c>
      <c r="P62" s="8">
        <v>0.99787973</v>
      </c>
      <c r="Q62" s="9">
        <f t="shared" si="1"/>
        <v>0.8830230011</v>
      </c>
    </row>
    <row r="63">
      <c r="A63" s="10">
        <v>325.0</v>
      </c>
      <c r="B63" s="11">
        <v>81.0976612</v>
      </c>
      <c r="C63" s="12">
        <v>550998.0</v>
      </c>
      <c r="D63" s="12">
        <v>6794.25265</v>
      </c>
      <c r="E63" s="12">
        <v>2.0</v>
      </c>
      <c r="F63" s="12">
        <v>0.02466162</v>
      </c>
      <c r="G63" s="12">
        <v>261.0</v>
      </c>
      <c r="H63" s="12">
        <v>3.21834189</v>
      </c>
      <c r="I63" s="12">
        <v>1216.0</v>
      </c>
      <c r="J63" s="12">
        <v>14.9942672</v>
      </c>
      <c r="K63" s="12">
        <v>1641.0</v>
      </c>
      <c r="L63" s="12">
        <v>20.2348622</v>
      </c>
      <c r="M63" s="12">
        <v>0.0</v>
      </c>
      <c r="N63" s="12">
        <v>0.0</v>
      </c>
      <c r="O63" s="12">
        <v>69.0</v>
      </c>
      <c r="P63" s="12">
        <v>0.85082602</v>
      </c>
      <c r="Q63" s="13">
        <f t="shared" si="1"/>
        <v>0.7410115783</v>
      </c>
    </row>
    <row r="64">
      <c r="A64" s="6">
        <v>326.0</v>
      </c>
      <c r="B64" s="7">
        <v>284.693119</v>
      </c>
      <c r="C64" s="8">
        <v>1833055.0</v>
      </c>
      <c r="D64" s="8">
        <v>6438.70496</v>
      </c>
      <c r="E64" s="8">
        <v>20.0</v>
      </c>
      <c r="F64" s="8">
        <v>0.07025108</v>
      </c>
      <c r="G64" s="8">
        <v>896.0</v>
      </c>
      <c r="H64" s="8">
        <v>3.14724852</v>
      </c>
      <c r="I64" s="8">
        <v>5120.0</v>
      </c>
      <c r="J64" s="8">
        <v>17.9842773</v>
      </c>
      <c r="K64" s="8">
        <v>5766.0</v>
      </c>
      <c r="L64" s="8">
        <v>20.2533873</v>
      </c>
      <c r="M64" s="8">
        <v>0.0</v>
      </c>
      <c r="N64" s="8">
        <v>0.0</v>
      </c>
      <c r="O64" s="8">
        <v>284.0</v>
      </c>
      <c r="P64" s="8">
        <v>0.99756538</v>
      </c>
      <c r="Q64" s="9">
        <f t="shared" si="1"/>
        <v>0.8879639265</v>
      </c>
    </row>
    <row r="65">
      <c r="A65" s="10">
        <v>327.0</v>
      </c>
      <c r="B65" s="11">
        <v>486.240033</v>
      </c>
      <c r="C65" s="12">
        <v>3258342.0</v>
      </c>
      <c r="D65" s="12">
        <v>6701.09777</v>
      </c>
      <c r="E65" s="12">
        <v>20.0</v>
      </c>
      <c r="F65" s="12">
        <v>0.04113195</v>
      </c>
      <c r="G65" s="12">
        <v>1677.0</v>
      </c>
      <c r="H65" s="12">
        <v>3.44891388</v>
      </c>
      <c r="I65" s="12">
        <v>9093.0</v>
      </c>
      <c r="J65" s="12">
        <v>18.7006404</v>
      </c>
      <c r="K65" s="12">
        <v>10292.0</v>
      </c>
      <c r="L65" s="12">
        <v>21.1665007</v>
      </c>
      <c r="M65" s="12">
        <v>0.0</v>
      </c>
      <c r="N65" s="12">
        <v>0.0</v>
      </c>
      <c r="O65" s="12">
        <v>486.0</v>
      </c>
      <c r="P65" s="12">
        <v>0.99950635</v>
      </c>
      <c r="Q65" s="13">
        <f t="shared" si="1"/>
        <v>0.8835017489</v>
      </c>
    </row>
    <row r="66">
      <c r="A66" s="6">
        <v>328.0</v>
      </c>
      <c r="B66" s="7">
        <v>749.781387</v>
      </c>
      <c r="C66" s="8">
        <v>5007235.0</v>
      </c>
      <c r="D66" s="8">
        <v>6678.25994</v>
      </c>
      <c r="E66" s="8">
        <v>36.0</v>
      </c>
      <c r="F66" s="8">
        <v>0.048014</v>
      </c>
      <c r="G66" s="8">
        <v>2498.0</v>
      </c>
      <c r="H66" s="8">
        <v>3.33163779</v>
      </c>
      <c r="I66" s="8">
        <v>13776.0</v>
      </c>
      <c r="J66" s="8">
        <v>18.3733555</v>
      </c>
      <c r="K66" s="8">
        <v>15635.0</v>
      </c>
      <c r="L66" s="8">
        <v>20.8527449</v>
      </c>
      <c r="M66" s="8">
        <v>0.0</v>
      </c>
      <c r="N66" s="8">
        <v>0.0</v>
      </c>
      <c r="O66" s="8">
        <v>750.0</v>
      </c>
      <c r="P66" s="8">
        <v>1.00029157</v>
      </c>
      <c r="Q66" s="9">
        <f t="shared" si="1"/>
        <v>0.8811000959</v>
      </c>
    </row>
    <row r="67">
      <c r="A67" s="10">
        <v>329.0</v>
      </c>
      <c r="B67" s="11">
        <v>778.174652</v>
      </c>
      <c r="C67" s="12">
        <v>5045970.0</v>
      </c>
      <c r="D67" s="12">
        <v>6484.36696</v>
      </c>
      <c r="E67" s="12">
        <v>30.0</v>
      </c>
      <c r="F67" s="12">
        <v>0.03855176</v>
      </c>
      <c r="G67" s="12">
        <v>2553.0</v>
      </c>
      <c r="H67" s="12">
        <v>3.28075451</v>
      </c>
      <c r="I67" s="12">
        <v>14210.0</v>
      </c>
      <c r="J67" s="12">
        <v>18.2606822</v>
      </c>
      <c r="K67" s="12">
        <v>15950.0</v>
      </c>
      <c r="L67" s="12">
        <v>20.4966841</v>
      </c>
      <c r="M67" s="12">
        <v>0.0</v>
      </c>
      <c r="N67" s="12">
        <v>0.0</v>
      </c>
      <c r="O67" s="12">
        <v>778.0</v>
      </c>
      <c r="P67" s="12">
        <v>0.99977556</v>
      </c>
      <c r="Q67" s="13">
        <f t="shared" si="1"/>
        <v>0.8909090909</v>
      </c>
    </row>
    <row r="68">
      <c r="A68" s="6">
        <v>330.0</v>
      </c>
      <c r="B68" s="7">
        <v>310.527906</v>
      </c>
      <c r="C68" s="8">
        <v>2027574.0</v>
      </c>
      <c r="D68" s="8">
        <v>6529.44216</v>
      </c>
      <c r="E68" s="8">
        <v>10.0</v>
      </c>
      <c r="F68" s="8">
        <v>0.03220322</v>
      </c>
      <c r="G68" s="8">
        <v>1026.0</v>
      </c>
      <c r="H68" s="8">
        <v>3.30405088</v>
      </c>
      <c r="I68" s="8">
        <v>5554.0</v>
      </c>
      <c r="J68" s="8">
        <v>17.8856711</v>
      </c>
      <c r="K68" s="8">
        <v>6238.0</v>
      </c>
      <c r="L68" s="8">
        <v>20.0883717</v>
      </c>
      <c r="M68" s="8">
        <v>0.0</v>
      </c>
      <c r="N68" s="8">
        <v>0.0</v>
      </c>
      <c r="O68" s="8">
        <v>311.0</v>
      </c>
      <c r="P68" s="8">
        <v>1.0015203</v>
      </c>
      <c r="Q68" s="9">
        <f t="shared" si="1"/>
        <v>0.890349471</v>
      </c>
    </row>
    <row r="69">
      <c r="A69" s="10">
        <v>331.0</v>
      </c>
      <c r="B69" s="11">
        <v>2032.29775</v>
      </c>
      <c r="C69" s="12">
        <v>1.309583E7</v>
      </c>
      <c r="D69" s="12">
        <v>6443.854</v>
      </c>
      <c r="E69" s="12">
        <v>52.0</v>
      </c>
      <c r="F69" s="12">
        <v>0.0255868</v>
      </c>
      <c r="G69" s="12">
        <v>6404.0</v>
      </c>
      <c r="H69" s="12">
        <v>3.15111307</v>
      </c>
      <c r="I69" s="12">
        <v>36197.0</v>
      </c>
      <c r="J69" s="12">
        <v>17.8108744</v>
      </c>
      <c r="K69" s="12">
        <v>40652.0</v>
      </c>
      <c r="L69" s="12">
        <v>20.0029745</v>
      </c>
      <c r="M69" s="12">
        <v>0.0</v>
      </c>
      <c r="N69" s="12">
        <v>0.0</v>
      </c>
      <c r="O69" s="12">
        <v>2033.0</v>
      </c>
      <c r="P69" s="12">
        <v>1.00034554</v>
      </c>
      <c r="Q69" s="13">
        <f t="shared" si="1"/>
        <v>0.8904112959</v>
      </c>
    </row>
    <row r="70">
      <c r="A70" s="6">
        <v>332.0</v>
      </c>
      <c r="B70" s="7">
        <v>155.496079</v>
      </c>
      <c r="C70" s="8">
        <v>930944.0</v>
      </c>
      <c r="D70" s="8">
        <v>5986.92908</v>
      </c>
      <c r="E70" s="8">
        <v>4.0</v>
      </c>
      <c r="F70" s="8">
        <v>0.02572412</v>
      </c>
      <c r="G70" s="8">
        <v>455.0</v>
      </c>
      <c r="H70" s="8">
        <v>2.92611879</v>
      </c>
      <c r="I70" s="8">
        <v>2700.0</v>
      </c>
      <c r="J70" s="8">
        <v>17.3637818</v>
      </c>
      <c r="K70" s="8">
        <v>3004.0</v>
      </c>
      <c r="L70" s="8">
        <v>19.3188151</v>
      </c>
      <c r="M70" s="8">
        <v>0.0</v>
      </c>
      <c r="N70" s="8">
        <v>0.0</v>
      </c>
      <c r="O70" s="8">
        <v>156.0</v>
      </c>
      <c r="P70" s="8">
        <v>1.00324073</v>
      </c>
      <c r="Q70" s="9">
        <f t="shared" si="1"/>
        <v>0.8988015979</v>
      </c>
    </row>
    <row r="71">
      <c r="A71" s="10">
        <v>333.0</v>
      </c>
      <c r="B71" s="11">
        <v>600.037803</v>
      </c>
      <c r="C71" s="12">
        <v>3633554.0</v>
      </c>
      <c r="D71" s="12">
        <v>6055.54181</v>
      </c>
      <c r="E71" s="12">
        <v>30.0</v>
      </c>
      <c r="F71" s="12">
        <v>0.04999685</v>
      </c>
      <c r="G71" s="12">
        <v>1757.0</v>
      </c>
      <c r="H71" s="12">
        <v>2.92814885</v>
      </c>
      <c r="I71" s="12">
        <v>9989.0</v>
      </c>
      <c r="J71" s="12">
        <v>16.6472845</v>
      </c>
      <c r="K71" s="12">
        <v>11099.0</v>
      </c>
      <c r="L71" s="12">
        <v>18.4971679</v>
      </c>
      <c r="M71" s="12">
        <v>0.0</v>
      </c>
      <c r="N71" s="12">
        <v>0.0</v>
      </c>
      <c r="O71" s="12">
        <v>600.0</v>
      </c>
      <c r="P71" s="12">
        <v>0.999937</v>
      </c>
      <c r="Q71" s="13">
        <f t="shared" si="1"/>
        <v>0.8999909902</v>
      </c>
    </row>
    <row r="72">
      <c r="A72" s="6">
        <v>334.0</v>
      </c>
      <c r="B72" s="7">
        <v>440.659694</v>
      </c>
      <c r="C72" s="8">
        <v>2771411.0</v>
      </c>
      <c r="D72" s="8">
        <v>6289.23189</v>
      </c>
      <c r="E72" s="8">
        <v>18.0</v>
      </c>
      <c r="F72" s="8">
        <v>0.04084785</v>
      </c>
      <c r="G72" s="8">
        <v>1375.0</v>
      </c>
      <c r="H72" s="8">
        <v>3.12032169</v>
      </c>
      <c r="I72" s="8">
        <v>7620.0</v>
      </c>
      <c r="J72" s="8">
        <v>17.2922555</v>
      </c>
      <c r="K72" s="8">
        <v>8505.0</v>
      </c>
      <c r="L72" s="8">
        <v>19.300608</v>
      </c>
      <c r="M72" s="8">
        <v>0.0</v>
      </c>
      <c r="N72" s="8">
        <v>0.0</v>
      </c>
      <c r="O72" s="8">
        <v>441.0</v>
      </c>
      <c r="P72" s="8">
        <v>1.00077227</v>
      </c>
      <c r="Q72" s="9">
        <f t="shared" si="1"/>
        <v>0.8959435626</v>
      </c>
    </row>
    <row r="73">
      <c r="A73" s="10">
        <v>335.0</v>
      </c>
      <c r="B73" s="11">
        <v>766.83137</v>
      </c>
      <c r="C73" s="12">
        <v>4849319.0</v>
      </c>
      <c r="D73" s="12">
        <v>6323.84014</v>
      </c>
      <c r="E73" s="12">
        <v>32.0</v>
      </c>
      <c r="F73" s="12">
        <v>0.04173017</v>
      </c>
      <c r="G73" s="12">
        <v>2261.0</v>
      </c>
      <c r="H73" s="12">
        <v>2.94849701</v>
      </c>
      <c r="I73" s="12">
        <v>13164.0</v>
      </c>
      <c r="J73" s="12">
        <v>17.1667468</v>
      </c>
      <c r="K73" s="12">
        <v>14718.0</v>
      </c>
      <c r="L73" s="12">
        <v>19.193268</v>
      </c>
      <c r="M73" s="12">
        <v>0.0</v>
      </c>
      <c r="N73" s="12">
        <v>0.0</v>
      </c>
      <c r="O73" s="12">
        <v>767.0</v>
      </c>
      <c r="P73" s="12">
        <v>1.0002199</v>
      </c>
      <c r="Q73" s="13">
        <f t="shared" si="1"/>
        <v>0.894415002</v>
      </c>
    </row>
    <row r="74">
      <c r="A74" s="6">
        <v>336.0</v>
      </c>
      <c r="B74" s="7">
        <v>455.33848</v>
      </c>
      <c r="C74" s="8">
        <v>2859193.0</v>
      </c>
      <c r="D74" s="8">
        <v>6279.26943</v>
      </c>
      <c r="E74" s="8">
        <v>22.0</v>
      </c>
      <c r="F74" s="8">
        <v>0.04831571</v>
      </c>
      <c r="G74" s="8">
        <v>1432.0</v>
      </c>
      <c r="H74" s="8">
        <v>3.14491321</v>
      </c>
      <c r="I74" s="8">
        <v>7699.0</v>
      </c>
      <c r="J74" s="8">
        <v>16.9083008</v>
      </c>
      <c r="K74" s="8">
        <v>8637.0</v>
      </c>
      <c r="L74" s="8">
        <v>18.9683068</v>
      </c>
      <c r="M74" s="8">
        <v>0.0</v>
      </c>
      <c r="N74" s="8">
        <v>0.0</v>
      </c>
      <c r="O74" s="8">
        <v>455.0</v>
      </c>
      <c r="P74" s="8">
        <v>0.99925664</v>
      </c>
      <c r="Q74" s="9">
        <f t="shared" si="1"/>
        <v>0.891397476</v>
      </c>
    </row>
    <row r="75">
      <c r="A75" s="10">
        <v>337.0</v>
      </c>
      <c r="B75" s="11">
        <v>599.588464</v>
      </c>
      <c r="C75" s="12">
        <v>3834551.0</v>
      </c>
      <c r="D75" s="12">
        <v>6395.30483</v>
      </c>
      <c r="E75" s="12">
        <v>18.0</v>
      </c>
      <c r="F75" s="12">
        <v>0.03002059</v>
      </c>
      <c r="G75" s="12">
        <v>1913.0</v>
      </c>
      <c r="H75" s="12">
        <v>3.19052169</v>
      </c>
      <c r="I75" s="12">
        <v>10302.0</v>
      </c>
      <c r="J75" s="12">
        <v>17.1817849</v>
      </c>
      <c r="K75" s="12">
        <v>11433.0</v>
      </c>
      <c r="L75" s="12">
        <v>19.0680787</v>
      </c>
      <c r="M75" s="12">
        <v>0.0</v>
      </c>
      <c r="N75" s="12">
        <v>0.0</v>
      </c>
      <c r="O75" s="12">
        <v>600.0</v>
      </c>
      <c r="P75" s="12">
        <v>1.00068636</v>
      </c>
      <c r="Q75" s="13">
        <f t="shared" si="1"/>
        <v>0.9010758331</v>
      </c>
    </row>
    <row r="76">
      <c r="A76" s="6">
        <v>338.0</v>
      </c>
      <c r="B76" s="7">
        <v>214.998923</v>
      </c>
      <c r="C76" s="8">
        <v>1344749.0</v>
      </c>
      <c r="D76" s="8">
        <v>6254.67785</v>
      </c>
      <c r="E76" s="8">
        <v>8.0</v>
      </c>
      <c r="F76" s="8">
        <v>0.03720949</v>
      </c>
      <c r="G76" s="8">
        <v>647.0</v>
      </c>
      <c r="H76" s="8">
        <v>3.00931741</v>
      </c>
      <c r="I76" s="8">
        <v>3674.0</v>
      </c>
      <c r="J76" s="8">
        <v>17.0884577</v>
      </c>
      <c r="K76" s="8">
        <v>4112.0</v>
      </c>
      <c r="L76" s="8">
        <v>19.1256772</v>
      </c>
      <c r="M76" s="8">
        <v>0.0</v>
      </c>
      <c r="N76" s="8">
        <v>0.0</v>
      </c>
      <c r="O76" s="8">
        <v>215.0</v>
      </c>
      <c r="P76" s="8">
        <v>1.00000501</v>
      </c>
      <c r="Q76" s="9">
        <f t="shared" si="1"/>
        <v>0.8934824903</v>
      </c>
    </row>
    <row r="77">
      <c r="A77" s="10">
        <v>339.0</v>
      </c>
      <c r="B77" s="11">
        <v>114.448133</v>
      </c>
      <c r="C77" s="12">
        <v>748212.0</v>
      </c>
      <c r="D77" s="12">
        <v>6537.56403</v>
      </c>
      <c r="E77" s="12">
        <v>6.0</v>
      </c>
      <c r="F77" s="12">
        <v>0.05242549</v>
      </c>
      <c r="G77" s="12">
        <v>366.0</v>
      </c>
      <c r="H77" s="12">
        <v>3.19795517</v>
      </c>
      <c r="I77" s="12">
        <v>1973.0</v>
      </c>
      <c r="J77" s="12">
        <v>17.2392501</v>
      </c>
      <c r="K77" s="12">
        <v>2215.0</v>
      </c>
      <c r="L77" s="12">
        <v>19.3537451</v>
      </c>
      <c r="M77" s="12">
        <v>0.0</v>
      </c>
      <c r="N77" s="12">
        <v>0.0</v>
      </c>
      <c r="O77" s="12">
        <v>114.0</v>
      </c>
      <c r="P77" s="12">
        <v>0.9960844</v>
      </c>
      <c r="Q77" s="13">
        <f t="shared" si="1"/>
        <v>0.890744921</v>
      </c>
    </row>
    <row r="78">
      <c r="A78" s="6">
        <v>340.0</v>
      </c>
      <c r="B78" s="7">
        <v>779.331359</v>
      </c>
      <c r="C78" s="8">
        <v>4894946.0</v>
      </c>
      <c r="D78" s="8">
        <v>6280.95603</v>
      </c>
      <c r="E78" s="8">
        <v>22.0</v>
      </c>
      <c r="F78" s="8">
        <v>0.02822933</v>
      </c>
      <c r="G78" s="8">
        <v>2477.0</v>
      </c>
      <c r="H78" s="8">
        <v>3.17836562</v>
      </c>
      <c r="I78" s="8">
        <v>13463.0</v>
      </c>
      <c r="J78" s="8">
        <v>17.2750651</v>
      </c>
      <c r="K78" s="8">
        <v>15149.0</v>
      </c>
      <c r="L78" s="8">
        <v>19.4384581</v>
      </c>
      <c r="M78" s="8">
        <v>0.0</v>
      </c>
      <c r="N78" s="8">
        <v>0.0</v>
      </c>
      <c r="O78" s="8">
        <v>779.0</v>
      </c>
      <c r="P78" s="8">
        <v>0.99957482</v>
      </c>
      <c r="Q78" s="9">
        <f t="shared" si="1"/>
        <v>0.8887055251</v>
      </c>
    </row>
    <row r="79">
      <c r="A79" s="10">
        <v>341.0</v>
      </c>
      <c r="B79" s="11">
        <v>1010.12743</v>
      </c>
      <c r="C79" s="12">
        <v>6335843.0</v>
      </c>
      <c r="D79" s="12">
        <v>6272.3205</v>
      </c>
      <c r="E79" s="12">
        <v>32.0</v>
      </c>
      <c r="F79" s="12">
        <v>0.03167917</v>
      </c>
      <c r="G79" s="12">
        <v>3203.0</v>
      </c>
      <c r="H79" s="12">
        <v>3.17088705</v>
      </c>
      <c r="I79" s="12">
        <v>17442.0</v>
      </c>
      <c r="J79" s="12">
        <v>17.2671283</v>
      </c>
      <c r="K79" s="12">
        <v>19548.0</v>
      </c>
      <c r="L79" s="12">
        <v>19.3520138</v>
      </c>
      <c r="M79" s="12">
        <v>0.0</v>
      </c>
      <c r="N79" s="12">
        <v>0.0</v>
      </c>
      <c r="O79" s="12">
        <v>1010.0</v>
      </c>
      <c r="P79" s="12">
        <v>0.99987384</v>
      </c>
      <c r="Q79" s="13">
        <f t="shared" si="1"/>
        <v>0.8922651934</v>
      </c>
    </row>
    <row r="80">
      <c r="A80" s="6">
        <v>342.0</v>
      </c>
      <c r="B80" s="7">
        <v>610.999337</v>
      </c>
      <c r="C80" s="8">
        <v>3827137.0</v>
      </c>
      <c r="D80" s="8">
        <v>6263.73348</v>
      </c>
      <c r="E80" s="8">
        <v>14.0</v>
      </c>
      <c r="F80" s="8">
        <v>0.02291328</v>
      </c>
      <c r="G80" s="8">
        <v>1867.0</v>
      </c>
      <c r="H80" s="8">
        <v>3.0556498</v>
      </c>
      <c r="I80" s="8">
        <v>10707.0</v>
      </c>
      <c r="J80" s="8">
        <v>17.5237506</v>
      </c>
      <c r="K80" s="8">
        <v>11977.0</v>
      </c>
      <c r="L80" s="8">
        <v>19.6023126</v>
      </c>
      <c r="M80" s="8">
        <v>0.0</v>
      </c>
      <c r="N80" s="8">
        <v>0.0</v>
      </c>
      <c r="O80" s="8">
        <v>611.0</v>
      </c>
      <c r="P80" s="8">
        <v>1.00000109</v>
      </c>
      <c r="Q80" s="9">
        <f t="shared" si="1"/>
        <v>0.8939634299</v>
      </c>
    </row>
    <row r="81">
      <c r="A81" s="10">
        <v>343.0</v>
      </c>
      <c r="B81" s="11">
        <v>612.832924</v>
      </c>
      <c r="C81" s="12">
        <v>3905862.0</v>
      </c>
      <c r="D81" s="12">
        <v>6373.45326</v>
      </c>
      <c r="E81" s="12">
        <v>32.0</v>
      </c>
      <c r="F81" s="12">
        <v>0.05221652</v>
      </c>
      <c r="G81" s="12">
        <v>1943.0</v>
      </c>
      <c r="H81" s="12">
        <v>3.17052156</v>
      </c>
      <c r="I81" s="12">
        <v>10731.0</v>
      </c>
      <c r="J81" s="12">
        <v>17.5104822</v>
      </c>
      <c r="K81" s="12">
        <v>12012.0</v>
      </c>
      <c r="L81" s="12">
        <v>19.6007746</v>
      </c>
      <c r="M81" s="12">
        <v>0.0</v>
      </c>
      <c r="N81" s="12">
        <v>0.0</v>
      </c>
      <c r="O81" s="12">
        <v>613.0</v>
      </c>
      <c r="P81" s="12">
        <v>1.00027263</v>
      </c>
      <c r="Q81" s="13">
        <f t="shared" si="1"/>
        <v>0.8933566434</v>
      </c>
    </row>
    <row r="82">
      <c r="A82" s="6">
        <v>344.0</v>
      </c>
      <c r="B82" s="7">
        <v>228.891494</v>
      </c>
      <c r="C82" s="8">
        <v>1360736.0</v>
      </c>
      <c r="D82" s="8">
        <v>5944.89544</v>
      </c>
      <c r="E82" s="8">
        <v>6.0</v>
      </c>
      <c r="F82" s="8">
        <v>0.02621329</v>
      </c>
      <c r="G82" s="8">
        <v>672.0</v>
      </c>
      <c r="H82" s="8">
        <v>2.93588891</v>
      </c>
      <c r="I82" s="8">
        <v>3691.0</v>
      </c>
      <c r="J82" s="8">
        <v>16.1255446</v>
      </c>
      <c r="K82" s="8">
        <v>4136.0</v>
      </c>
      <c r="L82" s="8">
        <v>18.0696972</v>
      </c>
      <c r="M82" s="8">
        <v>0.0</v>
      </c>
      <c r="N82" s="8">
        <v>0.0</v>
      </c>
      <c r="O82" s="8">
        <v>229.0</v>
      </c>
      <c r="P82" s="8">
        <v>1.00047405</v>
      </c>
      <c r="Q82" s="9">
        <f t="shared" si="1"/>
        <v>0.8924081238</v>
      </c>
    </row>
    <row r="83">
      <c r="A83" s="10">
        <v>345.0</v>
      </c>
      <c r="B83" s="11">
        <v>587.982093</v>
      </c>
      <c r="C83" s="12">
        <v>3618972.0</v>
      </c>
      <c r="D83" s="12">
        <v>6154.90172</v>
      </c>
      <c r="E83" s="12">
        <v>24.0</v>
      </c>
      <c r="F83" s="12">
        <v>0.04081757</v>
      </c>
      <c r="G83" s="12">
        <v>1832.0</v>
      </c>
      <c r="H83" s="12">
        <v>3.11574114</v>
      </c>
      <c r="I83" s="12">
        <v>10131.0</v>
      </c>
      <c r="J83" s="12">
        <v>17.2301165</v>
      </c>
      <c r="K83" s="12">
        <v>11283.0</v>
      </c>
      <c r="L83" s="12">
        <v>19.1893599</v>
      </c>
      <c r="M83" s="12">
        <v>0.0</v>
      </c>
      <c r="N83" s="12">
        <v>0.0</v>
      </c>
      <c r="O83" s="12">
        <v>588.0</v>
      </c>
      <c r="P83" s="12">
        <v>1.00003045</v>
      </c>
      <c r="Q83" s="13">
        <f t="shared" si="1"/>
        <v>0.8978994948</v>
      </c>
    </row>
    <row r="84">
      <c r="A84" s="6">
        <v>347.0</v>
      </c>
      <c r="B84" s="7">
        <v>478.740665</v>
      </c>
      <c r="C84" s="8">
        <v>2915380.0</v>
      </c>
      <c r="D84" s="8">
        <v>6089.68532</v>
      </c>
      <c r="E84" s="8">
        <v>22.0</v>
      </c>
      <c r="F84" s="8">
        <v>0.0459539</v>
      </c>
      <c r="G84" s="8">
        <v>1449.0</v>
      </c>
      <c r="H84" s="8">
        <v>3.02669087</v>
      </c>
      <c r="I84" s="8">
        <v>8229.0</v>
      </c>
      <c r="J84" s="8">
        <v>17.1888469</v>
      </c>
      <c r="K84" s="8">
        <v>9103.0</v>
      </c>
      <c r="L84" s="8">
        <v>19.01447</v>
      </c>
      <c r="M84" s="8">
        <v>0.0</v>
      </c>
      <c r="N84" s="8">
        <v>0.0</v>
      </c>
      <c r="O84" s="8">
        <v>479.0</v>
      </c>
      <c r="P84" s="8">
        <v>1.0005417</v>
      </c>
      <c r="Q84" s="9">
        <f t="shared" si="1"/>
        <v>0.9039876964</v>
      </c>
    </row>
    <row r="85">
      <c r="A85" s="10">
        <v>223.0</v>
      </c>
      <c r="B85" s="11">
        <v>555.965924</v>
      </c>
      <c r="C85" s="12">
        <v>1722301.0</v>
      </c>
      <c r="D85" s="12">
        <v>3097.85353</v>
      </c>
      <c r="E85" s="12">
        <v>20.0</v>
      </c>
      <c r="F85" s="12">
        <v>0.03597343</v>
      </c>
      <c r="G85" s="12">
        <v>617.0</v>
      </c>
      <c r="H85" s="12">
        <v>1.10978025</v>
      </c>
      <c r="I85" s="12">
        <v>2737.0</v>
      </c>
      <c r="J85" s="12">
        <v>4.92296359</v>
      </c>
      <c r="K85" s="12">
        <v>2820.0</v>
      </c>
      <c r="L85" s="12">
        <v>5.07225332</v>
      </c>
      <c r="M85" s="12">
        <v>0.0</v>
      </c>
      <c r="N85" s="12">
        <v>0.0</v>
      </c>
      <c r="O85" s="12">
        <v>556.0</v>
      </c>
      <c r="P85" s="12">
        <v>1.00006129</v>
      </c>
      <c r="Q85" s="13">
        <f t="shared" si="1"/>
        <v>0.9705673759</v>
      </c>
    </row>
    <row r="86">
      <c r="A86" s="6">
        <v>224.0</v>
      </c>
      <c r="B86" s="7">
        <v>444.453024</v>
      </c>
      <c r="C86" s="8">
        <v>1397599.0</v>
      </c>
      <c r="D86" s="8">
        <v>3144.53705</v>
      </c>
      <c r="E86" s="8">
        <v>20.0</v>
      </c>
      <c r="F86" s="8">
        <v>0.04499913</v>
      </c>
      <c r="G86" s="8">
        <v>501.0</v>
      </c>
      <c r="H86" s="8">
        <v>1.12722824</v>
      </c>
      <c r="I86" s="8">
        <v>2154.0</v>
      </c>
      <c r="J86" s="8">
        <v>4.84640645</v>
      </c>
      <c r="K86" s="8">
        <v>2232.0</v>
      </c>
      <c r="L86" s="8">
        <v>5.02190306</v>
      </c>
      <c r="M86" s="8">
        <v>0.0</v>
      </c>
      <c r="N86" s="8">
        <v>0.0</v>
      </c>
      <c r="O86" s="8">
        <v>444.0</v>
      </c>
      <c r="P86" s="8">
        <v>0.99898072</v>
      </c>
      <c r="Q86" s="9">
        <f t="shared" si="1"/>
        <v>0.9650537634</v>
      </c>
    </row>
    <row r="87">
      <c r="A87" s="10">
        <v>225.0</v>
      </c>
      <c r="B87" s="11">
        <v>51.9088044</v>
      </c>
      <c r="C87" s="12">
        <v>145403.0</v>
      </c>
      <c r="D87" s="12">
        <v>2801.12404</v>
      </c>
      <c r="E87" s="12">
        <v>2.0</v>
      </c>
      <c r="F87" s="12">
        <v>0.03852911</v>
      </c>
      <c r="G87" s="12">
        <v>46.0</v>
      </c>
      <c r="H87" s="12">
        <v>0.88616952</v>
      </c>
      <c r="I87" s="12">
        <v>230.0</v>
      </c>
      <c r="J87" s="12">
        <v>4.43084758</v>
      </c>
      <c r="K87" s="12">
        <v>234.0</v>
      </c>
      <c r="L87" s="12">
        <v>4.5079058</v>
      </c>
      <c r="M87" s="12">
        <v>0.0</v>
      </c>
      <c r="N87" s="12">
        <v>0.0</v>
      </c>
      <c r="O87" s="12">
        <v>52.0</v>
      </c>
      <c r="P87" s="12">
        <v>1.00175684</v>
      </c>
      <c r="Q87" s="13">
        <f t="shared" si="1"/>
        <v>0.9829059829</v>
      </c>
    </row>
    <row r="88">
      <c r="A88" s="6">
        <v>226.0</v>
      </c>
      <c r="B88" s="7">
        <v>1001.9243</v>
      </c>
      <c r="C88" s="8">
        <v>3235930.0</v>
      </c>
      <c r="D88" s="8">
        <v>3229.71506</v>
      </c>
      <c r="E88" s="8">
        <v>32.0</v>
      </c>
      <c r="F88" s="8">
        <v>0.03193854</v>
      </c>
      <c r="G88" s="8">
        <v>1093.0</v>
      </c>
      <c r="H88" s="8">
        <v>1.09090078</v>
      </c>
      <c r="I88" s="8">
        <v>4973.0</v>
      </c>
      <c r="J88" s="8">
        <v>4.96344883</v>
      </c>
      <c r="K88" s="8">
        <v>5155.0</v>
      </c>
      <c r="L88" s="8">
        <v>5.14509928</v>
      </c>
      <c r="M88" s="8">
        <v>0.0</v>
      </c>
      <c r="N88" s="8">
        <v>0.0</v>
      </c>
      <c r="O88" s="8">
        <v>1002.0</v>
      </c>
      <c r="P88" s="8">
        <v>1.00007555</v>
      </c>
      <c r="Q88" s="9">
        <f t="shared" si="1"/>
        <v>0.9646944714</v>
      </c>
    </row>
    <row r="89">
      <c r="A89" s="10">
        <v>348.0</v>
      </c>
      <c r="B89" s="11">
        <v>343.191926</v>
      </c>
      <c r="C89" s="12">
        <v>956096.0</v>
      </c>
      <c r="D89" s="12">
        <v>2785.89304</v>
      </c>
      <c r="E89" s="12">
        <v>16.0</v>
      </c>
      <c r="F89" s="12">
        <v>0.04662114</v>
      </c>
      <c r="G89" s="12">
        <v>353.0</v>
      </c>
      <c r="H89" s="12">
        <v>1.02857898</v>
      </c>
      <c r="I89" s="12">
        <v>1819.0</v>
      </c>
      <c r="J89" s="12">
        <v>5.30024124</v>
      </c>
      <c r="K89" s="12">
        <v>1870.0</v>
      </c>
      <c r="L89" s="12">
        <v>5.44884613</v>
      </c>
      <c r="M89" s="12">
        <v>0.0</v>
      </c>
      <c r="N89" s="12">
        <v>0.0</v>
      </c>
      <c r="O89" s="12">
        <v>343.0</v>
      </c>
      <c r="P89" s="12">
        <v>0.99944076</v>
      </c>
      <c r="Q89" s="13">
        <f t="shared" si="1"/>
        <v>0.9727272727</v>
      </c>
    </row>
    <row r="90">
      <c r="A90" s="6">
        <v>349.0</v>
      </c>
      <c r="B90" s="7">
        <v>223.442167</v>
      </c>
      <c r="C90" s="8">
        <v>615212.0</v>
      </c>
      <c r="D90" s="8">
        <v>2753.33885</v>
      </c>
      <c r="E90" s="8">
        <v>8.0</v>
      </c>
      <c r="F90" s="8">
        <v>0.03580345</v>
      </c>
      <c r="G90" s="8">
        <v>206.0</v>
      </c>
      <c r="H90" s="8">
        <v>0.92193878</v>
      </c>
      <c r="I90" s="8">
        <v>1086.0</v>
      </c>
      <c r="J90" s="8">
        <v>4.86031805</v>
      </c>
      <c r="K90" s="8">
        <v>1133.0</v>
      </c>
      <c r="L90" s="8">
        <v>5.07066331</v>
      </c>
      <c r="M90" s="8">
        <v>0.0</v>
      </c>
      <c r="N90" s="8">
        <v>0.0</v>
      </c>
      <c r="O90" s="8">
        <v>223.0</v>
      </c>
      <c r="P90" s="8">
        <v>0.99802111</v>
      </c>
      <c r="Q90" s="9">
        <f t="shared" si="1"/>
        <v>0.9585172109</v>
      </c>
    </row>
    <row r="91">
      <c r="A91" s="10">
        <v>350.0</v>
      </c>
      <c r="B91" s="11">
        <v>746.081441</v>
      </c>
      <c r="C91" s="12">
        <v>2111644.0</v>
      </c>
      <c r="D91" s="12">
        <v>2830.313</v>
      </c>
      <c r="E91" s="12">
        <v>18.0</v>
      </c>
      <c r="F91" s="12">
        <v>0.02412605</v>
      </c>
      <c r="G91" s="12">
        <v>738.0</v>
      </c>
      <c r="H91" s="12">
        <v>0.98916815</v>
      </c>
      <c r="I91" s="12">
        <v>3808.0</v>
      </c>
      <c r="J91" s="12">
        <v>5.10400043</v>
      </c>
      <c r="K91" s="12">
        <v>3926.0</v>
      </c>
      <c r="L91" s="12">
        <v>5.26216011</v>
      </c>
      <c r="M91" s="12">
        <v>0.0</v>
      </c>
      <c r="N91" s="12">
        <v>0.0</v>
      </c>
      <c r="O91" s="12">
        <v>746.0</v>
      </c>
      <c r="P91" s="12">
        <v>0.99989084</v>
      </c>
      <c r="Q91" s="13">
        <f t="shared" si="1"/>
        <v>0.9699439633</v>
      </c>
    </row>
    <row r="92">
      <c r="A92" s="6">
        <v>351.0</v>
      </c>
      <c r="B92" s="7">
        <v>59.5447891</v>
      </c>
      <c r="C92" s="8">
        <v>169611.0</v>
      </c>
      <c r="D92" s="8">
        <v>2848.46084</v>
      </c>
      <c r="E92" s="8">
        <v>4.0</v>
      </c>
      <c r="F92" s="8">
        <v>0.06717632</v>
      </c>
      <c r="G92" s="8">
        <v>65.0</v>
      </c>
      <c r="H92" s="8">
        <v>1.09161525</v>
      </c>
      <c r="I92" s="8">
        <v>296.0</v>
      </c>
      <c r="J92" s="8">
        <v>4.97104792</v>
      </c>
      <c r="K92" s="8">
        <v>304.0</v>
      </c>
      <c r="L92" s="8">
        <v>5.10540057</v>
      </c>
      <c r="M92" s="8">
        <v>0.0</v>
      </c>
      <c r="N92" s="8">
        <v>0.0</v>
      </c>
      <c r="O92" s="8">
        <v>60.0</v>
      </c>
      <c r="P92" s="8">
        <v>1.00764485</v>
      </c>
      <c r="Q92" s="9">
        <f t="shared" si="1"/>
        <v>0.9736842105</v>
      </c>
    </row>
    <row r="93">
      <c r="A93" s="10">
        <v>352.0</v>
      </c>
      <c r="B93" s="11">
        <v>766.529727</v>
      </c>
      <c r="C93" s="12">
        <v>2129337.0</v>
      </c>
      <c r="D93" s="12">
        <v>2777.89227</v>
      </c>
      <c r="E93" s="12">
        <v>38.0</v>
      </c>
      <c r="F93" s="12">
        <v>0.04957407</v>
      </c>
      <c r="G93" s="12">
        <v>794.0</v>
      </c>
      <c r="H93" s="12">
        <v>1.03583719</v>
      </c>
      <c r="I93" s="12">
        <v>3852.0</v>
      </c>
      <c r="J93" s="12">
        <v>5.02524542</v>
      </c>
      <c r="K93" s="12">
        <v>3955.0</v>
      </c>
      <c r="L93" s="12">
        <v>5.15961725</v>
      </c>
      <c r="M93" s="12">
        <v>0.0</v>
      </c>
      <c r="N93" s="12">
        <v>0.0</v>
      </c>
      <c r="O93" s="12">
        <v>767.0</v>
      </c>
      <c r="P93" s="12">
        <v>1.00061351</v>
      </c>
      <c r="Q93" s="13">
        <f t="shared" si="1"/>
        <v>0.9739570164</v>
      </c>
    </row>
    <row r="94">
      <c r="A94" s="6">
        <v>361.0</v>
      </c>
      <c r="B94" s="7">
        <v>628.184387</v>
      </c>
      <c r="C94" s="8">
        <v>1694721.0</v>
      </c>
      <c r="D94" s="8">
        <v>2697.80822</v>
      </c>
      <c r="E94" s="8">
        <v>24.0</v>
      </c>
      <c r="F94" s="8">
        <v>0.03820534</v>
      </c>
      <c r="G94" s="8">
        <v>621.0</v>
      </c>
      <c r="H94" s="8">
        <v>0.98856325</v>
      </c>
      <c r="I94" s="8">
        <v>3105.0</v>
      </c>
      <c r="J94" s="8">
        <v>4.94281626</v>
      </c>
      <c r="K94" s="8">
        <v>3210.0</v>
      </c>
      <c r="L94" s="8">
        <v>5.10996464</v>
      </c>
      <c r="M94" s="8">
        <v>0.0</v>
      </c>
      <c r="N94" s="8">
        <v>0.0</v>
      </c>
      <c r="O94" s="8">
        <v>628.0</v>
      </c>
      <c r="P94" s="8">
        <v>0.99970648</v>
      </c>
      <c r="Q94" s="9">
        <f t="shared" si="1"/>
        <v>0.9672897196</v>
      </c>
    </row>
    <row r="95">
      <c r="A95" s="10">
        <v>362.0</v>
      </c>
      <c r="B95" s="11">
        <v>341.478274</v>
      </c>
      <c r="C95" s="12">
        <v>924924.0</v>
      </c>
      <c r="D95" s="12">
        <v>2708.58813</v>
      </c>
      <c r="E95" s="12">
        <v>12.0</v>
      </c>
      <c r="F95" s="12">
        <v>0.03514133</v>
      </c>
      <c r="G95" s="12">
        <v>356.0</v>
      </c>
      <c r="H95" s="12">
        <v>1.04252606</v>
      </c>
      <c r="I95" s="12">
        <v>1713.0</v>
      </c>
      <c r="J95" s="12">
        <v>5.01642457</v>
      </c>
      <c r="K95" s="12">
        <v>1764.0</v>
      </c>
      <c r="L95" s="12">
        <v>5.16577521</v>
      </c>
      <c r="M95" s="12">
        <v>0.0</v>
      </c>
      <c r="N95" s="12">
        <v>0.0</v>
      </c>
      <c r="O95" s="12">
        <v>341.0</v>
      </c>
      <c r="P95" s="12">
        <v>0.9985994</v>
      </c>
      <c r="Q95" s="13">
        <f t="shared" si="1"/>
        <v>0.9710884354</v>
      </c>
    </row>
    <row r="96">
      <c r="A96" s="6">
        <v>364.0</v>
      </c>
      <c r="B96" s="7">
        <v>308.191626</v>
      </c>
      <c r="C96" s="8">
        <v>999967.0</v>
      </c>
      <c r="D96" s="8">
        <v>3244.62742</v>
      </c>
      <c r="E96" s="8">
        <v>16.0</v>
      </c>
      <c r="F96" s="8">
        <v>0.05191575</v>
      </c>
      <c r="G96" s="8">
        <v>375.0</v>
      </c>
      <c r="H96" s="8">
        <v>1.21677544</v>
      </c>
      <c r="I96" s="8">
        <v>1895.0</v>
      </c>
      <c r="J96" s="8">
        <v>6.14877187</v>
      </c>
      <c r="K96" s="8">
        <v>1966.0</v>
      </c>
      <c r="L96" s="8">
        <v>6.37914802</v>
      </c>
      <c r="M96" s="8">
        <v>0.0</v>
      </c>
      <c r="N96" s="8">
        <v>0.0</v>
      </c>
      <c r="O96" s="8">
        <v>308.0</v>
      </c>
      <c r="P96" s="8">
        <v>0.99937822</v>
      </c>
      <c r="Q96" s="9">
        <f t="shared" si="1"/>
        <v>0.9638860631</v>
      </c>
    </row>
    <row r="97">
      <c r="A97" s="10">
        <v>365.0</v>
      </c>
      <c r="B97" s="11">
        <v>270.193266</v>
      </c>
      <c r="C97" s="12">
        <v>918264.0</v>
      </c>
      <c r="D97" s="12">
        <v>3398.5451</v>
      </c>
      <c r="E97" s="12">
        <v>4.0</v>
      </c>
      <c r="F97" s="12">
        <v>0.01480422</v>
      </c>
      <c r="G97" s="12">
        <v>337.0</v>
      </c>
      <c r="H97" s="12">
        <v>1.24725536</v>
      </c>
      <c r="I97" s="12">
        <v>1672.0</v>
      </c>
      <c r="J97" s="12">
        <v>6.1881631</v>
      </c>
      <c r="K97" s="12">
        <v>1731.0</v>
      </c>
      <c r="L97" s="12">
        <v>6.40652532</v>
      </c>
      <c r="M97" s="12">
        <v>0.0</v>
      </c>
      <c r="N97" s="12">
        <v>0.0</v>
      </c>
      <c r="O97" s="12">
        <v>270.0</v>
      </c>
      <c r="P97" s="12">
        <v>0.99928471</v>
      </c>
      <c r="Q97" s="13">
        <f t="shared" si="1"/>
        <v>0.9659156557</v>
      </c>
    </row>
    <row r="98">
      <c r="A98" s="6">
        <v>366.0</v>
      </c>
      <c r="B98" s="7">
        <v>644.686666</v>
      </c>
      <c r="C98" s="8">
        <v>2172492.0</v>
      </c>
      <c r="D98" s="8">
        <v>3369.84168</v>
      </c>
      <c r="E98" s="8">
        <v>20.0</v>
      </c>
      <c r="F98" s="8">
        <v>0.03102282</v>
      </c>
      <c r="G98" s="8">
        <v>790.0</v>
      </c>
      <c r="H98" s="8">
        <v>1.22540149</v>
      </c>
      <c r="I98" s="8">
        <v>3918.0</v>
      </c>
      <c r="J98" s="8">
        <v>6.07737092</v>
      </c>
      <c r="K98" s="8">
        <v>4074.0</v>
      </c>
      <c r="L98" s="8">
        <v>6.31934894</v>
      </c>
      <c r="M98" s="8">
        <v>0.0</v>
      </c>
      <c r="N98" s="8">
        <v>0.0</v>
      </c>
      <c r="O98" s="8">
        <v>645.0</v>
      </c>
      <c r="P98" s="8">
        <v>1.00048603</v>
      </c>
      <c r="Q98" s="9">
        <f t="shared" si="1"/>
        <v>0.9617083947</v>
      </c>
    </row>
    <row r="99">
      <c r="A99" s="10">
        <v>367.0</v>
      </c>
      <c r="B99" s="11">
        <v>443.84218</v>
      </c>
      <c r="C99" s="12">
        <v>1440000.0</v>
      </c>
      <c r="D99" s="12">
        <v>3244.39646</v>
      </c>
      <c r="E99" s="12">
        <v>16.0</v>
      </c>
      <c r="F99" s="12">
        <v>0.03604885</v>
      </c>
      <c r="G99" s="12">
        <v>520.0</v>
      </c>
      <c r="H99" s="12">
        <v>1.17158761</v>
      </c>
      <c r="I99" s="12">
        <v>2577.0</v>
      </c>
      <c r="J99" s="12">
        <v>5.80611784</v>
      </c>
      <c r="K99" s="12">
        <v>2667.0</v>
      </c>
      <c r="L99" s="12">
        <v>6.00889262</v>
      </c>
      <c r="M99" s="12">
        <v>0.0</v>
      </c>
      <c r="N99" s="12">
        <v>0.0</v>
      </c>
      <c r="O99" s="12">
        <v>444.0</v>
      </c>
      <c r="P99" s="12">
        <v>1.00035558</v>
      </c>
      <c r="Q99" s="13">
        <f t="shared" si="1"/>
        <v>0.9662542182</v>
      </c>
    </row>
    <row r="100">
      <c r="A100" s="6">
        <v>368.0</v>
      </c>
      <c r="B100" s="7">
        <v>688.835217</v>
      </c>
      <c r="C100" s="8">
        <v>2255826.0</v>
      </c>
      <c r="D100" s="8">
        <v>3274.84127</v>
      </c>
      <c r="E100" s="8">
        <v>24.0</v>
      </c>
      <c r="F100" s="8">
        <v>0.03484142</v>
      </c>
      <c r="G100" s="8">
        <v>770.0</v>
      </c>
      <c r="H100" s="8">
        <v>1.11782903</v>
      </c>
      <c r="I100" s="8">
        <v>4114.0</v>
      </c>
      <c r="J100" s="8">
        <v>5.9724008</v>
      </c>
      <c r="K100" s="8">
        <v>4250.0</v>
      </c>
      <c r="L100" s="8">
        <v>6.16983553</v>
      </c>
      <c r="M100" s="8">
        <v>0.0</v>
      </c>
      <c r="N100" s="8">
        <v>0.0</v>
      </c>
      <c r="O100" s="8">
        <v>689.0</v>
      </c>
      <c r="P100" s="8">
        <v>1.00023922</v>
      </c>
      <c r="Q100" s="9">
        <f t="shared" si="1"/>
        <v>0.968</v>
      </c>
    </row>
    <row r="101">
      <c r="A101" s="10">
        <v>369.0</v>
      </c>
      <c r="B101" s="11">
        <v>66.6966342</v>
      </c>
      <c r="C101" s="12">
        <v>214030.0</v>
      </c>
      <c r="D101" s="12">
        <v>3209.00751</v>
      </c>
      <c r="E101" s="12">
        <v>2.0</v>
      </c>
      <c r="F101" s="12">
        <v>0.02998652</v>
      </c>
      <c r="G101" s="12">
        <v>73.0</v>
      </c>
      <c r="H101" s="12">
        <v>1.09450801</v>
      </c>
      <c r="I101" s="12">
        <v>406.0</v>
      </c>
      <c r="J101" s="12">
        <v>6.0872637</v>
      </c>
      <c r="K101" s="12">
        <v>422.0</v>
      </c>
      <c r="L101" s="12">
        <v>6.32715587</v>
      </c>
      <c r="M101" s="12">
        <v>0.0</v>
      </c>
      <c r="N101" s="12">
        <v>0.0</v>
      </c>
      <c r="O101" s="12">
        <v>66.0</v>
      </c>
      <c r="P101" s="12">
        <v>0.98955518</v>
      </c>
      <c r="Q101" s="13">
        <f t="shared" si="1"/>
        <v>0.9620853081</v>
      </c>
    </row>
    <row r="102">
      <c r="A102" s="6">
        <v>370.0</v>
      </c>
      <c r="B102" s="7">
        <v>30.1462237</v>
      </c>
      <c r="C102" s="8">
        <v>97965.0</v>
      </c>
      <c r="D102" s="8">
        <v>3249.66075</v>
      </c>
      <c r="E102" s="8">
        <v>0.0</v>
      </c>
      <c r="F102" s="8">
        <v>0.0</v>
      </c>
      <c r="G102" s="8">
        <v>29.0</v>
      </c>
      <c r="H102" s="8">
        <v>0.96197787</v>
      </c>
      <c r="I102" s="8">
        <v>190.0</v>
      </c>
      <c r="J102" s="8">
        <v>6.30261362</v>
      </c>
      <c r="K102" s="8">
        <v>200.0</v>
      </c>
      <c r="L102" s="8">
        <v>6.63433012</v>
      </c>
      <c r="M102" s="8">
        <v>0.0</v>
      </c>
      <c r="N102" s="8">
        <v>0.0</v>
      </c>
      <c r="O102" s="8">
        <v>30.0</v>
      </c>
      <c r="P102" s="8">
        <v>0.99514952</v>
      </c>
      <c r="Q102" s="9">
        <f t="shared" si="1"/>
        <v>0.95</v>
      </c>
    </row>
    <row r="103">
      <c r="A103" s="10">
        <v>371.0</v>
      </c>
      <c r="B103" s="11">
        <v>71.5977417</v>
      </c>
      <c r="C103" s="12">
        <v>241709.0</v>
      </c>
      <c r="D103" s="12">
        <v>3375.9305</v>
      </c>
      <c r="E103" s="12">
        <v>2.0</v>
      </c>
      <c r="F103" s="12">
        <v>0.02793384</v>
      </c>
      <c r="G103" s="12">
        <v>80.0</v>
      </c>
      <c r="H103" s="12">
        <v>1.11735368</v>
      </c>
      <c r="I103" s="12">
        <v>490.0</v>
      </c>
      <c r="J103" s="12">
        <v>6.84379128</v>
      </c>
      <c r="K103" s="12">
        <v>501.0</v>
      </c>
      <c r="L103" s="12">
        <v>6.99742741</v>
      </c>
      <c r="M103" s="12">
        <v>0.0</v>
      </c>
      <c r="N103" s="12">
        <v>0.0</v>
      </c>
      <c r="O103" s="12">
        <v>72.0</v>
      </c>
      <c r="P103" s="12">
        <v>1.00561831</v>
      </c>
      <c r="Q103" s="13">
        <f t="shared" si="1"/>
        <v>0.9780439122</v>
      </c>
    </row>
    <row r="104">
      <c r="A104" s="6">
        <v>372.0</v>
      </c>
      <c r="B104" s="7">
        <v>68.602363</v>
      </c>
      <c r="C104" s="8">
        <v>219712.0</v>
      </c>
      <c r="D104" s="8">
        <v>3202.68851</v>
      </c>
      <c r="E104" s="8">
        <v>2.0</v>
      </c>
      <c r="F104" s="8">
        <v>0.02915351</v>
      </c>
      <c r="G104" s="8">
        <v>73.0</v>
      </c>
      <c r="H104" s="8">
        <v>1.06410329</v>
      </c>
      <c r="I104" s="8">
        <v>396.0</v>
      </c>
      <c r="J104" s="8">
        <v>5.77239591</v>
      </c>
      <c r="K104" s="8">
        <v>410.0</v>
      </c>
      <c r="L104" s="8">
        <v>5.97647052</v>
      </c>
      <c r="M104" s="8">
        <v>0.0</v>
      </c>
      <c r="N104" s="8">
        <v>0.0</v>
      </c>
      <c r="O104" s="8">
        <v>69.0</v>
      </c>
      <c r="P104" s="8">
        <v>1.00579626</v>
      </c>
      <c r="Q104" s="9">
        <f t="shared" si="1"/>
        <v>0.9658536585</v>
      </c>
    </row>
    <row r="105">
      <c r="A105" s="10">
        <v>373.0</v>
      </c>
      <c r="B105" s="11">
        <v>182.694908</v>
      </c>
      <c r="C105" s="12">
        <v>585806.0</v>
      </c>
      <c r="D105" s="12">
        <v>3206.47142</v>
      </c>
      <c r="E105" s="12">
        <v>2.0</v>
      </c>
      <c r="F105" s="12">
        <v>0.01094721</v>
      </c>
      <c r="G105" s="12">
        <v>202.0</v>
      </c>
      <c r="H105" s="12">
        <v>1.10566847</v>
      </c>
      <c r="I105" s="12">
        <v>1080.0</v>
      </c>
      <c r="J105" s="12">
        <v>5.91149482</v>
      </c>
      <c r="K105" s="12">
        <v>1123.0</v>
      </c>
      <c r="L105" s="12">
        <v>6.14685989</v>
      </c>
      <c r="M105" s="12">
        <v>0.0</v>
      </c>
      <c r="N105" s="12">
        <v>0.0</v>
      </c>
      <c r="O105" s="12">
        <v>182.0</v>
      </c>
      <c r="P105" s="12">
        <v>0.99619635</v>
      </c>
      <c r="Q105" s="13">
        <f t="shared" si="1"/>
        <v>0.9617097061</v>
      </c>
    </row>
    <row r="106">
      <c r="A106" s="6">
        <v>374.0</v>
      </c>
      <c r="B106" s="7">
        <v>558.183889</v>
      </c>
      <c r="C106" s="8">
        <v>1751459.0</v>
      </c>
      <c r="D106" s="8">
        <v>3137.78136</v>
      </c>
      <c r="E106" s="8">
        <v>30.0</v>
      </c>
      <c r="F106" s="8">
        <v>0.05374573</v>
      </c>
      <c r="G106" s="8">
        <v>637.0</v>
      </c>
      <c r="H106" s="8">
        <v>1.14120098</v>
      </c>
      <c r="I106" s="8">
        <v>3290.0</v>
      </c>
      <c r="J106" s="8">
        <v>5.89411494</v>
      </c>
      <c r="K106" s="8">
        <v>3419.0</v>
      </c>
      <c r="L106" s="8">
        <v>6.12522157</v>
      </c>
      <c r="M106" s="8">
        <v>0.0</v>
      </c>
      <c r="N106" s="8">
        <v>0.0</v>
      </c>
      <c r="O106" s="8">
        <v>559.0</v>
      </c>
      <c r="P106" s="8">
        <v>1.00146208</v>
      </c>
      <c r="Q106" s="9">
        <f t="shared" si="1"/>
        <v>0.9622696695</v>
      </c>
    </row>
    <row r="107">
      <c r="A107" s="10">
        <v>375.0</v>
      </c>
      <c r="B107" s="11">
        <v>145.344908</v>
      </c>
      <c r="C107" s="12">
        <v>444555.0</v>
      </c>
      <c r="D107" s="12">
        <v>3058.62109</v>
      </c>
      <c r="E107" s="12">
        <v>14.0</v>
      </c>
      <c r="F107" s="12">
        <v>0.0963226</v>
      </c>
      <c r="G107" s="12">
        <v>182.0</v>
      </c>
      <c r="H107" s="12">
        <v>1.25219385</v>
      </c>
      <c r="I107" s="12">
        <v>865.0</v>
      </c>
      <c r="J107" s="12">
        <v>5.9513609</v>
      </c>
      <c r="K107" s="12">
        <v>888.0</v>
      </c>
      <c r="L107" s="12">
        <v>6.10960518</v>
      </c>
      <c r="M107" s="12">
        <v>0.0</v>
      </c>
      <c r="N107" s="12">
        <v>0.0</v>
      </c>
      <c r="O107" s="12">
        <v>145.0</v>
      </c>
      <c r="P107" s="12">
        <v>0.99762697</v>
      </c>
      <c r="Q107" s="13">
        <f t="shared" si="1"/>
        <v>0.9740990991</v>
      </c>
    </row>
    <row r="108">
      <c r="A108" s="6">
        <v>376.0</v>
      </c>
      <c r="B108" s="7">
        <v>640.182993</v>
      </c>
      <c r="C108" s="8">
        <v>1959116.0</v>
      </c>
      <c r="D108" s="8">
        <v>3060.24374</v>
      </c>
      <c r="E108" s="8">
        <v>26.0</v>
      </c>
      <c r="F108" s="8">
        <v>0.04061339</v>
      </c>
      <c r="G108" s="8">
        <v>748.0</v>
      </c>
      <c r="H108" s="8">
        <v>1.16841592</v>
      </c>
      <c r="I108" s="8">
        <v>3697.0</v>
      </c>
      <c r="J108" s="8">
        <v>5.7749113</v>
      </c>
      <c r="K108" s="8">
        <v>3820.0</v>
      </c>
      <c r="L108" s="8">
        <v>5.96704386</v>
      </c>
      <c r="M108" s="8">
        <v>0.0</v>
      </c>
      <c r="N108" s="8">
        <v>0.0</v>
      </c>
      <c r="O108" s="8">
        <v>640.0</v>
      </c>
      <c r="P108" s="8">
        <v>0.99971415</v>
      </c>
      <c r="Q108" s="9">
        <f t="shared" si="1"/>
        <v>0.9678010471</v>
      </c>
    </row>
    <row r="109">
      <c r="A109" s="10">
        <v>378.0</v>
      </c>
      <c r="B109" s="11">
        <v>107.598502</v>
      </c>
      <c r="C109" s="12">
        <v>336309.0</v>
      </c>
      <c r="D109" s="12">
        <v>3125.59184</v>
      </c>
      <c r="E109" s="12">
        <v>6.0</v>
      </c>
      <c r="F109" s="12">
        <v>0.05576286</v>
      </c>
      <c r="G109" s="12">
        <v>129.0</v>
      </c>
      <c r="H109" s="12">
        <v>1.19890145</v>
      </c>
      <c r="I109" s="12">
        <v>626.0</v>
      </c>
      <c r="J109" s="12">
        <v>5.81792487</v>
      </c>
      <c r="K109" s="12">
        <v>641.0</v>
      </c>
      <c r="L109" s="12">
        <v>5.95733201</v>
      </c>
      <c r="M109" s="12">
        <v>0.0</v>
      </c>
      <c r="N109" s="12">
        <v>0.0</v>
      </c>
      <c r="O109" s="12">
        <v>108.0</v>
      </c>
      <c r="P109" s="12">
        <v>1.00373145</v>
      </c>
      <c r="Q109" s="13">
        <f t="shared" si="1"/>
        <v>0.976599064</v>
      </c>
    </row>
    <row r="110">
      <c r="A110" s="6">
        <v>379.0</v>
      </c>
      <c r="B110" s="7">
        <v>152.197715</v>
      </c>
      <c r="C110" s="8">
        <v>479517.0</v>
      </c>
      <c r="D110" s="8">
        <v>3150.61891</v>
      </c>
      <c r="E110" s="8">
        <v>12.0</v>
      </c>
      <c r="F110" s="8">
        <v>0.07884481</v>
      </c>
      <c r="G110" s="8">
        <v>145.0</v>
      </c>
      <c r="H110" s="8">
        <v>0.95270812</v>
      </c>
      <c r="I110" s="8">
        <v>952.0</v>
      </c>
      <c r="J110" s="8">
        <v>6.25502162</v>
      </c>
      <c r="K110" s="8">
        <v>989.0</v>
      </c>
      <c r="L110" s="8">
        <v>6.49812645</v>
      </c>
      <c r="M110" s="8">
        <v>0.0</v>
      </c>
      <c r="N110" s="8">
        <v>0.0</v>
      </c>
      <c r="O110" s="8">
        <v>152.0</v>
      </c>
      <c r="P110" s="8">
        <v>0.99870093</v>
      </c>
      <c r="Q110" s="9">
        <f t="shared" si="1"/>
        <v>0.9625884732</v>
      </c>
    </row>
    <row r="111">
      <c r="A111" s="10">
        <v>380.0</v>
      </c>
      <c r="B111" s="11">
        <v>101.646353</v>
      </c>
      <c r="C111" s="12">
        <v>287896.0</v>
      </c>
      <c r="D111" s="12">
        <v>2832.32984</v>
      </c>
      <c r="E111" s="12">
        <v>4.0</v>
      </c>
      <c r="F111" s="12">
        <v>0.03935212</v>
      </c>
      <c r="G111" s="12">
        <v>102.0</v>
      </c>
      <c r="H111" s="12">
        <v>1.00347919</v>
      </c>
      <c r="I111" s="12">
        <v>572.0</v>
      </c>
      <c r="J111" s="12">
        <v>5.62735387</v>
      </c>
      <c r="K111" s="12">
        <v>592.0</v>
      </c>
      <c r="L111" s="12">
        <v>5.8241145</v>
      </c>
      <c r="M111" s="12">
        <v>0.0</v>
      </c>
      <c r="N111" s="12">
        <v>0.0</v>
      </c>
      <c r="O111" s="12">
        <v>102.0</v>
      </c>
      <c r="P111" s="12">
        <v>1.00347919</v>
      </c>
      <c r="Q111" s="13">
        <f t="shared" si="1"/>
        <v>0.9662162162</v>
      </c>
    </row>
    <row r="112">
      <c r="A112" s="6">
        <v>381.0</v>
      </c>
      <c r="B112" s="7">
        <v>106.198315</v>
      </c>
      <c r="C112" s="8">
        <v>322433.0</v>
      </c>
      <c r="D112" s="8">
        <v>3036.14044</v>
      </c>
      <c r="E112" s="8">
        <v>4.0</v>
      </c>
      <c r="F112" s="8">
        <v>0.03766538</v>
      </c>
      <c r="G112" s="8">
        <v>120.0</v>
      </c>
      <c r="H112" s="8">
        <v>1.12996143</v>
      </c>
      <c r="I112" s="8">
        <v>592.0</v>
      </c>
      <c r="J112" s="8">
        <v>5.57447637</v>
      </c>
      <c r="K112" s="8">
        <v>606.0</v>
      </c>
      <c r="L112" s="8">
        <v>5.7063052</v>
      </c>
      <c r="M112" s="8">
        <v>0.0</v>
      </c>
      <c r="N112" s="8">
        <v>0.0</v>
      </c>
      <c r="O112" s="8">
        <v>106.0</v>
      </c>
      <c r="P112" s="8">
        <v>0.99813259</v>
      </c>
      <c r="Q112" s="9">
        <f t="shared" si="1"/>
        <v>0.9768976898</v>
      </c>
    </row>
    <row r="113">
      <c r="A113" s="10">
        <v>382.0</v>
      </c>
      <c r="B113" s="11">
        <v>105.676667</v>
      </c>
      <c r="C113" s="12">
        <v>284753.0</v>
      </c>
      <c r="D113" s="12">
        <v>2694.56832</v>
      </c>
      <c r="E113" s="12">
        <v>4.0</v>
      </c>
      <c r="F113" s="12">
        <v>0.03785131</v>
      </c>
      <c r="G113" s="12">
        <v>111.0</v>
      </c>
      <c r="H113" s="12">
        <v>1.05037377</v>
      </c>
      <c r="I113" s="12">
        <v>545.0</v>
      </c>
      <c r="J113" s="12">
        <v>5.15724061</v>
      </c>
      <c r="K113" s="12">
        <v>563.0</v>
      </c>
      <c r="L113" s="12">
        <v>5.32757149</v>
      </c>
      <c r="M113" s="12">
        <v>0.0</v>
      </c>
      <c r="N113" s="12">
        <v>0.0</v>
      </c>
      <c r="O113" s="12">
        <v>106.0</v>
      </c>
      <c r="P113" s="12">
        <v>1.00305964</v>
      </c>
      <c r="Q113" s="13">
        <f t="shared" si="1"/>
        <v>0.9680284192</v>
      </c>
    </row>
    <row r="114">
      <c r="A114" s="6">
        <v>383.0</v>
      </c>
      <c r="B114" s="7">
        <v>644.733871</v>
      </c>
      <c r="C114" s="8">
        <v>1931475.0</v>
      </c>
      <c r="D114" s="8">
        <v>2995.77095</v>
      </c>
      <c r="E114" s="8">
        <v>22.0</v>
      </c>
      <c r="F114" s="8">
        <v>0.03412261</v>
      </c>
      <c r="G114" s="8">
        <v>698.0</v>
      </c>
      <c r="H114" s="8">
        <v>1.08261723</v>
      </c>
      <c r="I114" s="8">
        <v>3579.0</v>
      </c>
      <c r="J114" s="8">
        <v>5.55112762</v>
      </c>
      <c r="K114" s="8">
        <v>3704.0</v>
      </c>
      <c r="L114" s="8">
        <v>5.74500607</v>
      </c>
      <c r="M114" s="8">
        <v>0.0</v>
      </c>
      <c r="N114" s="8">
        <v>0.0</v>
      </c>
      <c r="O114" s="8">
        <v>645.0</v>
      </c>
      <c r="P114" s="8">
        <v>1.00041277</v>
      </c>
      <c r="Q114" s="9">
        <f t="shared" si="1"/>
        <v>0.9662526998</v>
      </c>
    </row>
    <row r="115">
      <c r="A115" s="10">
        <v>384.0</v>
      </c>
      <c r="B115" s="11">
        <v>28.3479744</v>
      </c>
      <c r="C115" s="12">
        <v>77662.0</v>
      </c>
      <c r="D115" s="12">
        <v>2739.5961</v>
      </c>
      <c r="E115" s="12">
        <v>2.0</v>
      </c>
      <c r="F115" s="12">
        <v>0.07055178</v>
      </c>
      <c r="G115" s="12">
        <v>33.0</v>
      </c>
      <c r="H115" s="12">
        <v>1.16410434</v>
      </c>
      <c r="I115" s="12">
        <v>145.0</v>
      </c>
      <c r="J115" s="12">
        <v>5.11500392</v>
      </c>
      <c r="K115" s="12">
        <v>152.0</v>
      </c>
      <c r="L115" s="12">
        <v>5.36193514</v>
      </c>
      <c r="M115" s="12">
        <v>0.0</v>
      </c>
      <c r="N115" s="12">
        <v>0.0</v>
      </c>
      <c r="O115" s="12">
        <v>28.0</v>
      </c>
      <c r="P115" s="12">
        <v>0.98772489</v>
      </c>
      <c r="Q115" s="13">
        <f t="shared" si="1"/>
        <v>0.9539473684</v>
      </c>
    </row>
    <row r="116">
      <c r="A116" s="6">
        <v>385.0</v>
      </c>
      <c r="B116" s="7">
        <v>473.142572</v>
      </c>
      <c r="C116" s="8">
        <v>1404548.0</v>
      </c>
      <c r="D116" s="8">
        <v>2968.5513</v>
      </c>
      <c r="E116" s="8">
        <v>30.0</v>
      </c>
      <c r="F116" s="8">
        <v>0.06340584</v>
      </c>
      <c r="G116" s="8">
        <v>502.0</v>
      </c>
      <c r="H116" s="8">
        <v>1.06099098</v>
      </c>
      <c r="I116" s="8">
        <v>2497.0</v>
      </c>
      <c r="J116" s="8">
        <v>5.27747902</v>
      </c>
      <c r="K116" s="8">
        <v>2583.0</v>
      </c>
      <c r="L116" s="8">
        <v>5.45924242</v>
      </c>
      <c r="M116" s="8">
        <v>0.0</v>
      </c>
      <c r="N116" s="8">
        <v>0.0</v>
      </c>
      <c r="O116" s="8">
        <v>473.0</v>
      </c>
      <c r="P116" s="8">
        <v>0.99969867</v>
      </c>
      <c r="Q116" s="9">
        <f t="shared" si="1"/>
        <v>0.9667053813</v>
      </c>
    </row>
    <row r="117">
      <c r="A117" s="10">
        <v>386.0</v>
      </c>
      <c r="B117" s="11">
        <v>870.155101</v>
      </c>
      <c r="C117" s="12">
        <v>2511614.0</v>
      </c>
      <c r="D117" s="12">
        <v>2886.39806</v>
      </c>
      <c r="E117" s="12">
        <v>30.0</v>
      </c>
      <c r="F117" s="12">
        <v>0.03447661</v>
      </c>
      <c r="G117" s="12">
        <v>926.0</v>
      </c>
      <c r="H117" s="12">
        <v>1.0641781</v>
      </c>
      <c r="I117" s="12">
        <v>4682.0</v>
      </c>
      <c r="J117" s="12">
        <v>5.38064995</v>
      </c>
      <c r="K117" s="12">
        <v>4818.0</v>
      </c>
      <c r="L117" s="12">
        <v>5.53694392</v>
      </c>
      <c r="M117" s="12">
        <v>0.0</v>
      </c>
      <c r="N117" s="12">
        <v>0.0</v>
      </c>
      <c r="O117" s="12">
        <v>871.0</v>
      </c>
      <c r="P117" s="12">
        <v>1.00097097</v>
      </c>
      <c r="Q117" s="13">
        <f t="shared" si="1"/>
        <v>0.9717725197</v>
      </c>
    </row>
    <row r="118">
      <c r="A118" s="6">
        <v>387.0</v>
      </c>
      <c r="B118" s="7">
        <v>411.146044</v>
      </c>
      <c r="C118" s="8">
        <v>1226202.0</v>
      </c>
      <c r="D118" s="8">
        <v>2982.4001</v>
      </c>
      <c r="E118" s="8">
        <v>26.0</v>
      </c>
      <c r="F118" s="8">
        <v>0.06323787</v>
      </c>
      <c r="G118" s="8">
        <v>423.0</v>
      </c>
      <c r="H118" s="8">
        <v>1.0288315</v>
      </c>
      <c r="I118" s="8">
        <v>2188.0</v>
      </c>
      <c r="J118" s="8">
        <v>5.32170997</v>
      </c>
      <c r="K118" s="8">
        <v>2261.0</v>
      </c>
      <c r="L118" s="8">
        <v>5.49926245</v>
      </c>
      <c r="M118" s="8">
        <v>0.0</v>
      </c>
      <c r="N118" s="8">
        <v>0.0</v>
      </c>
      <c r="O118" s="8">
        <v>411.0</v>
      </c>
      <c r="P118" s="8">
        <v>0.99964479</v>
      </c>
      <c r="Q118" s="9">
        <f t="shared" si="1"/>
        <v>0.9677134011</v>
      </c>
    </row>
    <row r="119">
      <c r="A119" s="10">
        <v>388.0</v>
      </c>
      <c r="B119" s="11">
        <v>283.643314</v>
      </c>
      <c r="C119" s="12">
        <v>816046.0</v>
      </c>
      <c r="D119" s="12">
        <v>2877.01476</v>
      </c>
      <c r="E119" s="12">
        <v>4.0</v>
      </c>
      <c r="F119" s="12">
        <v>0.01410222</v>
      </c>
      <c r="G119" s="12">
        <v>311.0</v>
      </c>
      <c r="H119" s="12">
        <v>1.09644749</v>
      </c>
      <c r="I119" s="12">
        <v>1406.0</v>
      </c>
      <c r="J119" s="12">
        <v>4.95692981</v>
      </c>
      <c r="K119" s="12">
        <v>1434.0</v>
      </c>
      <c r="L119" s="12">
        <v>5.05564534</v>
      </c>
      <c r="M119" s="12">
        <v>0.0</v>
      </c>
      <c r="N119" s="12">
        <v>0.0</v>
      </c>
      <c r="O119" s="12">
        <v>284.0</v>
      </c>
      <c r="P119" s="12">
        <v>1.00125752</v>
      </c>
      <c r="Q119" s="13">
        <f t="shared" si="1"/>
        <v>0.980474198</v>
      </c>
    </row>
    <row r="120">
      <c r="A120" s="6">
        <v>389.0</v>
      </c>
      <c r="B120" s="7">
        <v>57.6209226</v>
      </c>
      <c r="C120" s="8">
        <v>160622.0</v>
      </c>
      <c r="D120" s="8">
        <v>2787.56384</v>
      </c>
      <c r="E120" s="8">
        <v>4.0</v>
      </c>
      <c r="F120" s="8">
        <v>0.06941923</v>
      </c>
      <c r="G120" s="8">
        <v>52.0</v>
      </c>
      <c r="H120" s="8">
        <v>0.90244997</v>
      </c>
      <c r="I120" s="8">
        <v>311.0</v>
      </c>
      <c r="J120" s="8">
        <v>5.39734503</v>
      </c>
      <c r="K120" s="8">
        <v>318.0</v>
      </c>
      <c r="L120" s="8">
        <v>5.51882868</v>
      </c>
      <c r="M120" s="8">
        <v>0.0</v>
      </c>
      <c r="N120" s="8">
        <v>0.0</v>
      </c>
      <c r="O120" s="8">
        <v>58.0</v>
      </c>
      <c r="P120" s="8">
        <v>1.00657882</v>
      </c>
      <c r="Q120" s="9">
        <f t="shared" si="1"/>
        <v>0.9779874214</v>
      </c>
    </row>
    <row r="121">
      <c r="A121" s="10">
        <v>390.0</v>
      </c>
      <c r="B121" s="11">
        <v>257.220014</v>
      </c>
      <c r="C121" s="12">
        <v>721230.0</v>
      </c>
      <c r="D121" s="12">
        <v>2803.942</v>
      </c>
      <c r="E121" s="12">
        <v>6.0</v>
      </c>
      <c r="F121" s="12">
        <v>0.02332633</v>
      </c>
      <c r="G121" s="12">
        <v>252.0</v>
      </c>
      <c r="H121" s="12">
        <v>0.97970603</v>
      </c>
      <c r="I121" s="12">
        <v>1252.0</v>
      </c>
      <c r="J121" s="12">
        <v>4.86742839</v>
      </c>
      <c r="K121" s="12">
        <v>1296.0</v>
      </c>
      <c r="L121" s="12">
        <v>5.03848818</v>
      </c>
      <c r="M121" s="12">
        <v>0.0</v>
      </c>
      <c r="N121" s="12">
        <v>0.0</v>
      </c>
      <c r="O121" s="12">
        <v>258.0</v>
      </c>
      <c r="P121" s="12">
        <v>1.00303237</v>
      </c>
      <c r="Q121" s="13">
        <f t="shared" si="1"/>
        <v>0.9660493827</v>
      </c>
    </row>
    <row r="122">
      <c r="A122" s="6">
        <v>391.0</v>
      </c>
      <c r="B122" s="7">
        <v>752.477899</v>
      </c>
      <c r="C122" s="8">
        <v>2222777.0</v>
      </c>
      <c r="D122" s="8">
        <v>2953.94324</v>
      </c>
      <c r="E122" s="8">
        <v>24.0</v>
      </c>
      <c r="F122" s="8">
        <v>0.03189462</v>
      </c>
      <c r="G122" s="8">
        <v>795.0</v>
      </c>
      <c r="H122" s="8">
        <v>1.05650944</v>
      </c>
      <c r="I122" s="8">
        <v>3952.0</v>
      </c>
      <c r="J122" s="8">
        <v>5.2519815</v>
      </c>
      <c r="K122" s="8">
        <v>4082.0</v>
      </c>
      <c r="L122" s="8">
        <v>5.42474405</v>
      </c>
      <c r="M122" s="8">
        <v>0.0</v>
      </c>
      <c r="N122" s="8">
        <v>0.0</v>
      </c>
      <c r="O122" s="8">
        <v>752.0</v>
      </c>
      <c r="P122" s="8">
        <v>0.9993649</v>
      </c>
      <c r="Q122" s="9">
        <f t="shared" si="1"/>
        <v>0.9681528662</v>
      </c>
    </row>
    <row r="123">
      <c r="A123" s="10">
        <v>392.0</v>
      </c>
      <c r="B123" s="11">
        <v>123.827315</v>
      </c>
      <c r="C123" s="12">
        <v>330987.0</v>
      </c>
      <c r="D123" s="12">
        <v>2672.97243</v>
      </c>
      <c r="E123" s="12">
        <v>8.0</v>
      </c>
      <c r="F123" s="12">
        <v>0.0646061</v>
      </c>
      <c r="G123" s="12">
        <v>116.0</v>
      </c>
      <c r="H123" s="12">
        <v>0.93678846</v>
      </c>
      <c r="I123" s="12">
        <v>570.0</v>
      </c>
      <c r="J123" s="12">
        <v>4.60318467</v>
      </c>
      <c r="K123" s="12">
        <v>586.0</v>
      </c>
      <c r="L123" s="12">
        <v>4.73239688</v>
      </c>
      <c r="M123" s="12">
        <v>0.0</v>
      </c>
      <c r="N123" s="12">
        <v>0.0</v>
      </c>
      <c r="O123" s="12">
        <v>124.0</v>
      </c>
      <c r="P123" s="12">
        <v>1.00139456</v>
      </c>
      <c r="Q123" s="13">
        <f t="shared" si="1"/>
        <v>0.9726962457</v>
      </c>
    </row>
    <row r="124">
      <c r="A124" s="6">
        <v>393.0</v>
      </c>
      <c r="B124" s="7">
        <v>31.5999923</v>
      </c>
      <c r="C124" s="8">
        <v>90231.0</v>
      </c>
      <c r="D124" s="8">
        <v>2855.41209</v>
      </c>
      <c r="E124" s="8">
        <v>2.0</v>
      </c>
      <c r="F124" s="8">
        <v>0.06329115</v>
      </c>
      <c r="G124" s="8">
        <v>39.0</v>
      </c>
      <c r="H124" s="8">
        <v>1.23417751</v>
      </c>
      <c r="I124" s="8">
        <v>153.0</v>
      </c>
      <c r="J124" s="8">
        <v>4.84177333</v>
      </c>
      <c r="K124" s="8">
        <v>161.0</v>
      </c>
      <c r="L124" s="8">
        <v>5.09493795</v>
      </c>
      <c r="M124" s="8">
        <v>0.0</v>
      </c>
      <c r="N124" s="8">
        <v>0.0</v>
      </c>
      <c r="O124" s="8">
        <v>32.0</v>
      </c>
      <c r="P124" s="8">
        <v>1.01265847</v>
      </c>
      <c r="Q124" s="9">
        <f t="shared" si="1"/>
        <v>0.950310559</v>
      </c>
    </row>
    <row r="125">
      <c r="A125" s="10">
        <v>394.0</v>
      </c>
      <c r="B125" s="11">
        <v>760.683813</v>
      </c>
      <c r="C125" s="12">
        <v>2164442.0</v>
      </c>
      <c r="D125" s="12">
        <v>2845.38985</v>
      </c>
      <c r="E125" s="12">
        <v>22.0</v>
      </c>
      <c r="F125" s="12">
        <v>0.02892135</v>
      </c>
      <c r="G125" s="12">
        <v>803.0</v>
      </c>
      <c r="H125" s="12">
        <v>1.05562914</v>
      </c>
      <c r="I125" s="12">
        <v>3825.0</v>
      </c>
      <c r="J125" s="12">
        <v>5.02837044</v>
      </c>
      <c r="K125" s="12">
        <v>3944.0</v>
      </c>
      <c r="L125" s="12">
        <v>5.18480863</v>
      </c>
      <c r="M125" s="12">
        <v>0.0</v>
      </c>
      <c r="N125" s="12">
        <v>0.0</v>
      </c>
      <c r="O125" s="12">
        <v>761.0</v>
      </c>
      <c r="P125" s="12">
        <v>1.00041566</v>
      </c>
      <c r="Q125" s="13">
        <f t="shared" si="1"/>
        <v>0.9698275862</v>
      </c>
    </row>
    <row r="126">
      <c r="A126" s="6">
        <v>395.0</v>
      </c>
      <c r="B126" s="7">
        <v>4.90025059</v>
      </c>
      <c r="C126" s="8">
        <v>13895.0</v>
      </c>
      <c r="D126" s="8">
        <v>2835.56927</v>
      </c>
      <c r="E126" s="8">
        <v>0.0</v>
      </c>
      <c r="F126" s="8">
        <v>0.0</v>
      </c>
      <c r="G126" s="8">
        <v>4.0</v>
      </c>
      <c r="H126" s="8">
        <v>0.81628479</v>
      </c>
      <c r="I126" s="8">
        <v>18.0</v>
      </c>
      <c r="J126" s="8">
        <v>3.67328153</v>
      </c>
      <c r="K126" s="8">
        <v>21.0</v>
      </c>
      <c r="L126" s="8">
        <v>4.28549512</v>
      </c>
      <c r="M126" s="8">
        <v>0.0</v>
      </c>
      <c r="N126" s="8">
        <v>0.0</v>
      </c>
      <c r="O126" s="8">
        <v>5.0</v>
      </c>
      <c r="P126" s="8">
        <v>1.02035598</v>
      </c>
      <c r="Q126" s="9">
        <f t="shared" si="1"/>
        <v>0.8571428571</v>
      </c>
    </row>
    <row r="127">
      <c r="A127" s="10">
        <v>396.0</v>
      </c>
      <c r="B127" s="11">
        <v>413.64174</v>
      </c>
      <c r="C127" s="12">
        <v>1133837.0</v>
      </c>
      <c r="D127" s="12">
        <v>2741.10877</v>
      </c>
      <c r="E127" s="12">
        <v>16.0</v>
      </c>
      <c r="F127" s="12">
        <v>0.03868082</v>
      </c>
      <c r="G127" s="12">
        <v>420.0</v>
      </c>
      <c r="H127" s="12">
        <v>1.01537142</v>
      </c>
      <c r="I127" s="12">
        <v>2071.0</v>
      </c>
      <c r="J127" s="12">
        <v>5.00674811</v>
      </c>
      <c r="K127" s="12">
        <v>2149.0</v>
      </c>
      <c r="L127" s="12">
        <v>5.19531709</v>
      </c>
      <c r="M127" s="12">
        <v>0.0</v>
      </c>
      <c r="N127" s="12">
        <v>0.0</v>
      </c>
      <c r="O127" s="12">
        <v>414.0</v>
      </c>
      <c r="P127" s="12">
        <v>1.00086611</v>
      </c>
      <c r="Q127" s="13">
        <f t="shared" si="1"/>
        <v>0.9637040484</v>
      </c>
    </row>
    <row r="128">
      <c r="A128" s="6">
        <v>398.0</v>
      </c>
      <c r="B128" s="7">
        <v>519.388384</v>
      </c>
      <c r="C128" s="8">
        <v>1479596.0</v>
      </c>
      <c r="D128" s="8">
        <v>2848.72755</v>
      </c>
      <c r="E128" s="8">
        <v>16.0</v>
      </c>
      <c r="F128" s="8">
        <v>0.03080546</v>
      </c>
      <c r="G128" s="8">
        <v>557.0</v>
      </c>
      <c r="H128" s="8">
        <v>1.0724152</v>
      </c>
      <c r="I128" s="8">
        <v>2744.0</v>
      </c>
      <c r="J128" s="8">
        <v>5.28313702</v>
      </c>
      <c r="K128" s="8">
        <v>2845.0</v>
      </c>
      <c r="L128" s="8">
        <v>5.47759651</v>
      </c>
      <c r="M128" s="8">
        <v>0.0</v>
      </c>
      <c r="N128" s="8">
        <v>0.0</v>
      </c>
      <c r="O128" s="8">
        <v>519.0</v>
      </c>
      <c r="P128" s="8">
        <v>0.99925223</v>
      </c>
      <c r="Q128" s="9">
        <f t="shared" si="1"/>
        <v>0.9644991213</v>
      </c>
    </row>
    <row r="129">
      <c r="A129" s="10">
        <v>399.0</v>
      </c>
      <c r="B129" s="11">
        <v>321.740536</v>
      </c>
      <c r="C129" s="12">
        <v>883970.0</v>
      </c>
      <c r="D129" s="12">
        <v>2747.46232</v>
      </c>
      <c r="E129" s="12">
        <v>10.0</v>
      </c>
      <c r="F129" s="12">
        <v>0.03108095</v>
      </c>
      <c r="G129" s="12">
        <v>358.0</v>
      </c>
      <c r="H129" s="12">
        <v>1.11269784</v>
      </c>
      <c r="I129" s="12">
        <v>1665.0</v>
      </c>
      <c r="J129" s="12">
        <v>5.17497738</v>
      </c>
      <c r="K129" s="12">
        <v>1721.0</v>
      </c>
      <c r="L129" s="12">
        <v>5.34903068</v>
      </c>
      <c r="M129" s="12">
        <v>0.0</v>
      </c>
      <c r="N129" s="12">
        <v>0.0</v>
      </c>
      <c r="O129" s="12">
        <v>322.0</v>
      </c>
      <c r="P129" s="12">
        <v>1.00080644</v>
      </c>
      <c r="Q129" s="13">
        <f t="shared" si="1"/>
        <v>0.9674607786</v>
      </c>
    </row>
    <row r="130">
      <c r="A130" s="6">
        <v>400.0</v>
      </c>
      <c r="B130" s="7">
        <v>252.171981</v>
      </c>
      <c r="C130" s="8">
        <v>697190.0</v>
      </c>
      <c r="D130" s="8">
        <v>2764.74014</v>
      </c>
      <c r="E130" s="8">
        <v>2.0</v>
      </c>
      <c r="F130" s="8">
        <v>0.0079311</v>
      </c>
      <c r="G130" s="8">
        <v>233.0</v>
      </c>
      <c r="H130" s="8">
        <v>0.92397259</v>
      </c>
      <c r="I130" s="8">
        <v>1258.0</v>
      </c>
      <c r="J130" s="8">
        <v>4.9886589</v>
      </c>
      <c r="K130" s="8">
        <v>1304.0</v>
      </c>
      <c r="L130" s="8">
        <v>5.17107409</v>
      </c>
      <c r="M130" s="8">
        <v>0.0</v>
      </c>
      <c r="N130" s="8">
        <v>0.0</v>
      </c>
      <c r="O130" s="8">
        <v>252.0</v>
      </c>
      <c r="P130" s="8">
        <v>0.999318</v>
      </c>
      <c r="Q130" s="9">
        <f t="shared" si="1"/>
        <v>0.9647239264</v>
      </c>
    </row>
    <row r="131">
      <c r="A131" s="10">
        <v>402.0</v>
      </c>
      <c r="B131" s="11">
        <v>205.044268</v>
      </c>
      <c r="C131" s="12">
        <v>567421.0</v>
      </c>
      <c r="D131" s="12">
        <v>2767.30974</v>
      </c>
      <c r="E131" s="12">
        <v>4.0</v>
      </c>
      <c r="F131" s="12">
        <v>0.01950798</v>
      </c>
      <c r="G131" s="12">
        <v>232.0</v>
      </c>
      <c r="H131" s="12">
        <v>1.13146299</v>
      </c>
      <c r="I131" s="12">
        <v>1006.0</v>
      </c>
      <c r="J131" s="12">
        <v>4.9062576</v>
      </c>
      <c r="K131" s="12">
        <v>1038.0</v>
      </c>
      <c r="L131" s="12">
        <v>5.06232146</v>
      </c>
      <c r="M131" s="12">
        <v>0.0</v>
      </c>
      <c r="N131" s="12">
        <v>0.0</v>
      </c>
      <c r="O131" s="12">
        <v>205.0</v>
      </c>
      <c r="P131" s="12">
        <v>0.9997841</v>
      </c>
      <c r="Q131" s="13">
        <f t="shared" si="1"/>
        <v>0.9691714836</v>
      </c>
    </row>
    <row r="132">
      <c r="A132" s="6">
        <v>403.0</v>
      </c>
      <c r="B132" s="7">
        <v>289.269896</v>
      </c>
      <c r="C132" s="8">
        <v>838161.0</v>
      </c>
      <c r="D132" s="8">
        <v>2897.5051</v>
      </c>
      <c r="E132" s="8">
        <v>10.0</v>
      </c>
      <c r="F132" s="8">
        <v>0.03456979</v>
      </c>
      <c r="G132" s="8">
        <v>311.0</v>
      </c>
      <c r="H132" s="8">
        <v>1.07512052</v>
      </c>
      <c r="I132" s="8">
        <v>1524.0</v>
      </c>
      <c r="J132" s="8">
        <v>5.26843622</v>
      </c>
      <c r="K132" s="8">
        <v>1587.0</v>
      </c>
      <c r="L132" s="8">
        <v>5.48622591</v>
      </c>
      <c r="M132" s="8">
        <v>0.0</v>
      </c>
      <c r="N132" s="8">
        <v>0.0</v>
      </c>
      <c r="O132" s="8">
        <v>289.0</v>
      </c>
      <c r="P132" s="8">
        <v>0.99906697</v>
      </c>
      <c r="Q132" s="9">
        <f t="shared" si="1"/>
        <v>0.9603024575</v>
      </c>
    </row>
    <row r="133">
      <c r="A133" s="10">
        <v>404.0</v>
      </c>
      <c r="B133" s="11">
        <v>1051.37686</v>
      </c>
      <c r="C133" s="12">
        <v>2951898.0</v>
      </c>
      <c r="D133" s="12">
        <v>2807.64977</v>
      </c>
      <c r="E133" s="12">
        <v>50.0</v>
      </c>
      <c r="F133" s="12">
        <v>0.04755669</v>
      </c>
      <c r="G133" s="12">
        <v>1143.0</v>
      </c>
      <c r="H133" s="12">
        <v>1.08714586</v>
      </c>
      <c r="I133" s="12">
        <v>5566.0</v>
      </c>
      <c r="J133" s="12">
        <v>5.29401036</v>
      </c>
      <c r="K133" s="12">
        <v>5768.0</v>
      </c>
      <c r="L133" s="12">
        <v>5.48613938</v>
      </c>
      <c r="M133" s="12">
        <v>0.0</v>
      </c>
      <c r="N133" s="12">
        <v>0.0</v>
      </c>
      <c r="O133" s="12">
        <v>1052.0</v>
      </c>
      <c r="P133" s="12">
        <v>1.00059269</v>
      </c>
      <c r="Q133" s="13">
        <f t="shared" si="1"/>
        <v>0.9649791956</v>
      </c>
    </row>
    <row r="134">
      <c r="A134" s="6">
        <v>410.0</v>
      </c>
      <c r="B134" s="7">
        <v>173.95965</v>
      </c>
      <c r="C134" s="8">
        <v>351399.0</v>
      </c>
      <c r="D134" s="8">
        <v>2020.00291</v>
      </c>
      <c r="E134" s="8">
        <v>4.0</v>
      </c>
      <c r="F134" s="8">
        <v>0.02299384</v>
      </c>
      <c r="G134" s="8">
        <v>89.0</v>
      </c>
      <c r="H134" s="8">
        <v>0.51161289</v>
      </c>
      <c r="I134" s="8">
        <v>221.0</v>
      </c>
      <c r="J134" s="8">
        <v>1.27040954</v>
      </c>
      <c r="K134" s="8">
        <v>224.0</v>
      </c>
      <c r="L134" s="8">
        <v>1.28765492</v>
      </c>
      <c r="M134" s="8">
        <v>0.0</v>
      </c>
      <c r="N134" s="8">
        <v>0.0</v>
      </c>
      <c r="O134" s="8">
        <v>174.0</v>
      </c>
      <c r="P134" s="8">
        <v>1.00023195</v>
      </c>
      <c r="Q134" s="9">
        <f t="shared" si="1"/>
        <v>0.9866071429</v>
      </c>
    </row>
    <row r="135">
      <c r="A135" s="10">
        <v>411.0</v>
      </c>
      <c r="B135" s="11">
        <v>768.328999</v>
      </c>
      <c r="C135" s="12">
        <v>1739322.0</v>
      </c>
      <c r="D135" s="12">
        <v>2263.77242</v>
      </c>
      <c r="E135" s="12">
        <v>12.0</v>
      </c>
      <c r="F135" s="12">
        <v>0.01561831</v>
      </c>
      <c r="G135" s="12">
        <v>362.0</v>
      </c>
      <c r="H135" s="12">
        <v>0.47115233</v>
      </c>
      <c r="I135" s="12">
        <v>1185.0</v>
      </c>
      <c r="J135" s="12">
        <v>1.54230805</v>
      </c>
      <c r="K135" s="12">
        <v>1194.0</v>
      </c>
      <c r="L135" s="12">
        <v>1.55402178</v>
      </c>
      <c r="M135" s="12">
        <v>0.0</v>
      </c>
      <c r="N135" s="12">
        <v>0.0</v>
      </c>
      <c r="O135" s="12">
        <v>768.0</v>
      </c>
      <c r="P135" s="12">
        <v>0.9995718</v>
      </c>
      <c r="Q135" s="13">
        <f t="shared" si="1"/>
        <v>0.9924623116</v>
      </c>
    </row>
    <row r="136">
      <c r="A136" s="6">
        <v>412.0</v>
      </c>
      <c r="B136" s="7">
        <v>1735.10146</v>
      </c>
      <c r="C136" s="8">
        <v>4604648.0</v>
      </c>
      <c r="D136" s="8">
        <v>2653.8206</v>
      </c>
      <c r="E136" s="8">
        <v>78.0</v>
      </c>
      <c r="F136" s="8">
        <v>0.04495414</v>
      </c>
      <c r="G136" s="8">
        <v>908.0</v>
      </c>
      <c r="H136" s="8">
        <v>0.52331234</v>
      </c>
      <c r="I136" s="8">
        <v>2791.0</v>
      </c>
      <c r="J136" s="8">
        <v>1.60855147</v>
      </c>
      <c r="K136" s="8">
        <v>2816.0</v>
      </c>
      <c r="L136" s="8">
        <v>1.62295985</v>
      </c>
      <c r="M136" s="8">
        <v>0.0</v>
      </c>
      <c r="N136" s="8">
        <v>0.0</v>
      </c>
      <c r="O136" s="8">
        <v>1735.0</v>
      </c>
      <c r="P136" s="8">
        <v>0.99994152</v>
      </c>
      <c r="Q136" s="9">
        <f t="shared" si="1"/>
        <v>0.9911221591</v>
      </c>
    </row>
    <row r="137">
      <c r="A137" s="10">
        <v>413.0</v>
      </c>
      <c r="B137" s="11">
        <v>1357.01676</v>
      </c>
      <c r="C137" s="12">
        <v>3440183.0</v>
      </c>
      <c r="D137" s="12">
        <v>2535.10723</v>
      </c>
      <c r="E137" s="12">
        <v>44.0</v>
      </c>
      <c r="F137" s="12">
        <v>0.03242407</v>
      </c>
      <c r="G137" s="12">
        <v>725.0</v>
      </c>
      <c r="H137" s="12">
        <v>0.53426017</v>
      </c>
      <c r="I137" s="12">
        <v>2100.0</v>
      </c>
      <c r="J137" s="12">
        <v>1.5475122</v>
      </c>
      <c r="K137" s="12">
        <v>2120.0</v>
      </c>
      <c r="L137" s="12">
        <v>1.56225042</v>
      </c>
      <c r="M137" s="12">
        <v>0.0</v>
      </c>
      <c r="N137" s="12">
        <v>0.0</v>
      </c>
      <c r="O137" s="12">
        <v>1357.0</v>
      </c>
      <c r="P137" s="12">
        <v>0.99998765</v>
      </c>
      <c r="Q137" s="13">
        <f t="shared" si="1"/>
        <v>0.9905660377</v>
      </c>
    </row>
    <row r="138">
      <c r="A138" s="6">
        <v>415.0</v>
      </c>
      <c r="B138" s="7">
        <v>288.39314</v>
      </c>
      <c r="C138" s="8">
        <v>710648.0</v>
      </c>
      <c r="D138" s="8">
        <v>2464.16402</v>
      </c>
      <c r="E138" s="8">
        <v>6.0</v>
      </c>
      <c r="F138" s="8">
        <v>0.02080493</v>
      </c>
      <c r="G138" s="8">
        <v>171.0</v>
      </c>
      <c r="H138" s="8">
        <v>0.5929406</v>
      </c>
      <c r="I138" s="8">
        <v>457.0</v>
      </c>
      <c r="J138" s="8">
        <v>1.58464241</v>
      </c>
      <c r="K138" s="8">
        <v>463.0</v>
      </c>
      <c r="L138" s="8">
        <v>1.60544734</v>
      </c>
      <c r="M138" s="8">
        <v>0.0</v>
      </c>
      <c r="N138" s="8">
        <v>0.0</v>
      </c>
      <c r="O138" s="8">
        <v>288.0</v>
      </c>
      <c r="P138" s="8">
        <v>0.99863679</v>
      </c>
      <c r="Q138" s="9">
        <f t="shared" si="1"/>
        <v>0.9870410367</v>
      </c>
    </row>
    <row r="139">
      <c r="A139" s="10">
        <v>420.0</v>
      </c>
      <c r="B139" s="11">
        <v>189.595869</v>
      </c>
      <c r="C139" s="12">
        <v>2126586.0</v>
      </c>
      <c r="D139" s="12">
        <v>11216.4153</v>
      </c>
      <c r="E139" s="12">
        <v>8.0</v>
      </c>
      <c r="F139" s="12">
        <v>0.04219501</v>
      </c>
      <c r="G139" s="12">
        <v>414.0</v>
      </c>
      <c r="H139" s="12">
        <v>2.18359188</v>
      </c>
      <c r="I139" s="12">
        <v>1921.0</v>
      </c>
      <c r="J139" s="12">
        <v>10.1320773</v>
      </c>
      <c r="K139" s="12">
        <v>2037.0</v>
      </c>
      <c r="L139" s="12">
        <v>10.743905</v>
      </c>
      <c r="M139" s="12">
        <v>0.0</v>
      </c>
      <c r="N139" s="12">
        <v>0.0</v>
      </c>
      <c r="O139" s="12">
        <v>190.0</v>
      </c>
      <c r="P139" s="12">
        <v>1.00213154</v>
      </c>
      <c r="Q139" s="13">
        <f t="shared" si="1"/>
        <v>0.9430535101</v>
      </c>
    </row>
    <row r="140">
      <c r="A140" s="6">
        <v>421.0</v>
      </c>
      <c r="B140" s="7">
        <v>776.377805</v>
      </c>
      <c r="C140" s="8">
        <v>8339247.0</v>
      </c>
      <c r="D140" s="8">
        <v>10741.2228</v>
      </c>
      <c r="E140" s="8">
        <v>16.0</v>
      </c>
      <c r="F140" s="8">
        <v>0.02060852</v>
      </c>
      <c r="G140" s="8">
        <v>1617.0</v>
      </c>
      <c r="H140" s="8">
        <v>2.08274888</v>
      </c>
      <c r="I140" s="8">
        <v>7395.0</v>
      </c>
      <c r="J140" s="8">
        <v>9.52500182</v>
      </c>
      <c r="K140" s="8">
        <v>7809.0</v>
      </c>
      <c r="L140" s="8">
        <v>10.0582474</v>
      </c>
      <c r="M140" s="8">
        <v>0.0</v>
      </c>
      <c r="N140" s="8">
        <v>0.0</v>
      </c>
      <c r="O140" s="8">
        <v>777.0</v>
      </c>
      <c r="P140" s="8">
        <v>1.00080141</v>
      </c>
      <c r="Q140" s="9">
        <f t="shared" si="1"/>
        <v>0.9469842489</v>
      </c>
    </row>
    <row r="141">
      <c r="A141" s="10">
        <v>422.0</v>
      </c>
      <c r="B141" s="11">
        <v>910.926182</v>
      </c>
      <c r="C141" s="12">
        <v>9917321.0</v>
      </c>
      <c r="D141" s="12">
        <v>10887.0743</v>
      </c>
      <c r="E141" s="12">
        <v>32.0</v>
      </c>
      <c r="F141" s="12">
        <v>0.03512908</v>
      </c>
      <c r="G141" s="12">
        <v>1899.0</v>
      </c>
      <c r="H141" s="12">
        <v>2.08469142</v>
      </c>
      <c r="I141" s="12">
        <v>8980.0</v>
      </c>
      <c r="J141" s="12">
        <v>9.85809847</v>
      </c>
      <c r="K141" s="12">
        <v>9481.0</v>
      </c>
      <c r="L141" s="12">
        <v>10.4080881</v>
      </c>
      <c r="M141" s="12">
        <v>0.0</v>
      </c>
      <c r="N141" s="12">
        <v>0.0</v>
      </c>
      <c r="O141" s="12">
        <v>911.0</v>
      </c>
      <c r="P141" s="12">
        <v>1.00008104</v>
      </c>
      <c r="Q141" s="13">
        <f t="shared" si="1"/>
        <v>0.9471574728</v>
      </c>
    </row>
    <row r="142">
      <c r="A142" s="6">
        <v>425.0</v>
      </c>
      <c r="B142" s="7">
        <v>371.056155</v>
      </c>
      <c r="C142" s="8">
        <v>2959015.0</v>
      </c>
      <c r="D142" s="8">
        <v>7974.57463</v>
      </c>
      <c r="E142" s="8">
        <v>6.0</v>
      </c>
      <c r="F142" s="8">
        <v>0.01617006</v>
      </c>
      <c r="G142" s="8">
        <v>786.0</v>
      </c>
      <c r="H142" s="8">
        <v>2.11827776</v>
      </c>
      <c r="I142" s="8">
        <v>2863.0</v>
      </c>
      <c r="J142" s="8">
        <v>7.71581326</v>
      </c>
      <c r="K142" s="8">
        <v>3029.0</v>
      </c>
      <c r="L142" s="8">
        <v>8.1631849</v>
      </c>
      <c r="M142" s="8">
        <v>0.0</v>
      </c>
      <c r="N142" s="8">
        <v>0.0</v>
      </c>
      <c r="O142" s="8">
        <v>371.0</v>
      </c>
      <c r="P142" s="8">
        <v>0.99984866</v>
      </c>
      <c r="Q142" s="9">
        <f t="shared" si="1"/>
        <v>0.9451964345</v>
      </c>
    </row>
    <row r="143">
      <c r="A143" s="10">
        <v>426.0</v>
      </c>
      <c r="B143" s="11">
        <v>1072.27344</v>
      </c>
      <c r="C143" s="12">
        <v>8451179.0</v>
      </c>
      <c r="D143" s="12">
        <v>7881.55212</v>
      </c>
      <c r="E143" s="12">
        <v>32.0</v>
      </c>
      <c r="F143" s="12">
        <v>0.02984313</v>
      </c>
      <c r="G143" s="12">
        <v>2176.0</v>
      </c>
      <c r="H143" s="12">
        <v>2.02933312</v>
      </c>
      <c r="I143" s="12">
        <v>8239.0</v>
      </c>
      <c r="J143" s="12">
        <v>7.68367443</v>
      </c>
      <c r="K143" s="12">
        <v>8623.0</v>
      </c>
      <c r="L143" s="12">
        <v>8.04179203</v>
      </c>
      <c r="M143" s="12">
        <v>0.0</v>
      </c>
      <c r="N143" s="12">
        <v>0.0</v>
      </c>
      <c r="O143" s="12">
        <v>1072.0</v>
      </c>
      <c r="P143" s="12">
        <v>0.99974499</v>
      </c>
      <c r="Q143" s="13">
        <f t="shared" si="1"/>
        <v>0.9554679346</v>
      </c>
    </row>
    <row r="144">
      <c r="A144" s="6">
        <v>427.0</v>
      </c>
      <c r="B144" s="7">
        <v>987.47464</v>
      </c>
      <c r="C144" s="8">
        <v>7614965.0</v>
      </c>
      <c r="D144" s="8">
        <v>7711.55501</v>
      </c>
      <c r="E144" s="8">
        <v>24.0</v>
      </c>
      <c r="F144" s="8">
        <v>0.02430442</v>
      </c>
      <c r="G144" s="8">
        <v>2008.0</v>
      </c>
      <c r="H144" s="8">
        <v>2.03346994</v>
      </c>
      <c r="I144" s="8">
        <v>7520.0</v>
      </c>
      <c r="J144" s="8">
        <v>7.61538545</v>
      </c>
      <c r="K144" s="8">
        <v>7843.0</v>
      </c>
      <c r="L144" s="8">
        <v>7.94248246</v>
      </c>
      <c r="M144" s="8">
        <v>0.0</v>
      </c>
      <c r="N144" s="8">
        <v>0.0</v>
      </c>
      <c r="O144" s="8">
        <v>987.0</v>
      </c>
      <c r="P144" s="8">
        <v>0.99951934</v>
      </c>
      <c r="Q144" s="9">
        <f t="shared" si="1"/>
        <v>0.9588167793</v>
      </c>
    </row>
    <row r="145">
      <c r="A145" s="10">
        <v>428.0</v>
      </c>
      <c r="B145" s="11">
        <v>780.327833</v>
      </c>
      <c r="C145" s="12">
        <v>6049355.0</v>
      </c>
      <c r="D145" s="12">
        <v>7752.32504</v>
      </c>
      <c r="E145" s="12">
        <v>32.0</v>
      </c>
      <c r="F145" s="12">
        <v>0.04100841</v>
      </c>
      <c r="G145" s="12">
        <v>1631.0</v>
      </c>
      <c r="H145" s="12">
        <v>2.09014715</v>
      </c>
      <c r="I145" s="12">
        <v>5979.0</v>
      </c>
      <c r="J145" s="12">
        <v>7.66216422</v>
      </c>
      <c r="K145" s="12">
        <v>6265.0</v>
      </c>
      <c r="L145" s="12">
        <v>8.02867684</v>
      </c>
      <c r="M145" s="12">
        <v>0.0</v>
      </c>
      <c r="N145" s="12">
        <v>0.0</v>
      </c>
      <c r="O145" s="12">
        <v>780.0</v>
      </c>
      <c r="P145" s="12">
        <v>0.99957988</v>
      </c>
      <c r="Q145" s="13">
        <f t="shared" si="1"/>
        <v>0.9543495611</v>
      </c>
    </row>
    <row r="146">
      <c r="A146" s="6">
        <v>429.0</v>
      </c>
      <c r="B146" s="7">
        <v>646.983212</v>
      </c>
      <c r="C146" s="8">
        <v>5262569.0</v>
      </c>
      <c r="D146" s="8">
        <v>8134.01168</v>
      </c>
      <c r="E146" s="8">
        <v>34.0</v>
      </c>
      <c r="F146" s="8">
        <v>0.0525516</v>
      </c>
      <c r="G146" s="8">
        <v>1365.0</v>
      </c>
      <c r="H146" s="8">
        <v>2.10979199</v>
      </c>
      <c r="I146" s="8">
        <v>5031.0</v>
      </c>
      <c r="J146" s="8">
        <v>7.77609049</v>
      </c>
      <c r="K146" s="8">
        <v>5282.0</v>
      </c>
      <c r="L146" s="8">
        <v>8.16404492</v>
      </c>
      <c r="M146" s="8">
        <v>0.0</v>
      </c>
      <c r="N146" s="8">
        <v>0.0</v>
      </c>
      <c r="O146" s="8">
        <v>647.0</v>
      </c>
      <c r="P146" s="8">
        <v>1.00002595</v>
      </c>
      <c r="Q146" s="9">
        <f t="shared" si="1"/>
        <v>0.9524801212</v>
      </c>
    </row>
    <row r="147">
      <c r="A147" s="10">
        <v>430.0</v>
      </c>
      <c r="B147" s="11">
        <v>782.330772</v>
      </c>
      <c r="C147" s="12">
        <v>6292888.0</v>
      </c>
      <c r="D147" s="12">
        <v>8043.76899</v>
      </c>
      <c r="E147" s="12">
        <v>22.0</v>
      </c>
      <c r="F147" s="12">
        <v>0.0281211</v>
      </c>
      <c r="G147" s="12">
        <v>1648.0</v>
      </c>
      <c r="H147" s="12">
        <v>2.10652586</v>
      </c>
      <c r="I147" s="12">
        <v>6119.0</v>
      </c>
      <c r="J147" s="12">
        <v>7.82149983</v>
      </c>
      <c r="K147" s="12">
        <v>6415.0</v>
      </c>
      <c r="L147" s="12">
        <v>8.19985642</v>
      </c>
      <c r="M147" s="12">
        <v>0.0</v>
      </c>
      <c r="N147" s="12">
        <v>0.0</v>
      </c>
      <c r="O147" s="12">
        <v>783.0</v>
      </c>
      <c r="P147" s="12">
        <v>1.00085543</v>
      </c>
      <c r="Q147" s="13">
        <f t="shared" si="1"/>
        <v>0.953858145</v>
      </c>
    </row>
    <row r="148">
      <c r="A148" s="6">
        <v>431.0</v>
      </c>
      <c r="B148" s="7">
        <v>2458.78791</v>
      </c>
      <c r="C148" s="8">
        <v>1.9101593E7</v>
      </c>
      <c r="D148" s="8">
        <v>7768.703</v>
      </c>
      <c r="E148" s="8">
        <v>86.0</v>
      </c>
      <c r="F148" s="8">
        <v>0.03497658</v>
      </c>
      <c r="G148" s="8">
        <v>5011.0</v>
      </c>
      <c r="H148" s="8">
        <v>2.03799603</v>
      </c>
      <c r="I148" s="8">
        <v>18615.0</v>
      </c>
      <c r="J148" s="8">
        <v>7.57080346</v>
      </c>
      <c r="K148" s="8">
        <v>19477.0</v>
      </c>
      <c r="L148" s="8">
        <v>7.9213827</v>
      </c>
      <c r="M148" s="8">
        <v>0.0</v>
      </c>
      <c r="N148" s="8">
        <v>0.0</v>
      </c>
      <c r="O148" s="8">
        <v>2459.0</v>
      </c>
      <c r="P148" s="8">
        <v>1.00008626</v>
      </c>
      <c r="Q148" s="9">
        <f t="shared" si="1"/>
        <v>0.9557426708</v>
      </c>
    </row>
    <row r="149">
      <c r="A149" s="10">
        <v>433.0</v>
      </c>
      <c r="B149" s="11">
        <v>273.391894</v>
      </c>
      <c r="C149" s="12">
        <v>2274421.0</v>
      </c>
      <c r="D149" s="12">
        <v>8319.27007</v>
      </c>
      <c r="E149" s="12">
        <v>8.0</v>
      </c>
      <c r="F149" s="12">
        <v>0.02926202</v>
      </c>
      <c r="G149" s="12">
        <v>617.0</v>
      </c>
      <c r="H149" s="12">
        <v>2.25683356</v>
      </c>
      <c r="I149" s="12">
        <v>2099.0</v>
      </c>
      <c r="J149" s="12">
        <v>7.67762339</v>
      </c>
      <c r="K149" s="12">
        <v>2204.0</v>
      </c>
      <c r="L149" s="12">
        <v>8.06168745</v>
      </c>
      <c r="M149" s="12">
        <v>0.0</v>
      </c>
      <c r="N149" s="12">
        <v>0.0</v>
      </c>
      <c r="O149" s="12">
        <v>273.0</v>
      </c>
      <c r="P149" s="12">
        <v>0.99856655</v>
      </c>
      <c r="Q149" s="13">
        <f t="shared" si="1"/>
        <v>0.9523593466</v>
      </c>
    </row>
    <row r="150">
      <c r="A150" s="6">
        <v>434.0</v>
      </c>
      <c r="B150" s="7">
        <v>367.190378</v>
      </c>
      <c r="C150" s="8">
        <v>2732319.0</v>
      </c>
      <c r="D150" s="8">
        <v>7441.15086</v>
      </c>
      <c r="E150" s="8">
        <v>14.0</v>
      </c>
      <c r="F150" s="8">
        <v>0.03812736</v>
      </c>
      <c r="G150" s="8">
        <v>728.0</v>
      </c>
      <c r="H150" s="8">
        <v>1.98262276</v>
      </c>
      <c r="I150" s="8">
        <v>2620.0</v>
      </c>
      <c r="J150" s="8">
        <v>7.13526322</v>
      </c>
      <c r="K150" s="8">
        <v>2731.0</v>
      </c>
      <c r="L150" s="8">
        <v>7.43755872</v>
      </c>
      <c r="M150" s="8">
        <v>0.0</v>
      </c>
      <c r="N150" s="8">
        <v>0.0</v>
      </c>
      <c r="O150" s="8">
        <v>367.0</v>
      </c>
      <c r="P150" s="8">
        <v>0.99948153</v>
      </c>
      <c r="Q150" s="9">
        <f t="shared" si="1"/>
        <v>0.9593555474</v>
      </c>
    </row>
    <row r="151">
      <c r="A151" s="10">
        <v>435.0</v>
      </c>
      <c r="B151" s="11">
        <v>989.372209</v>
      </c>
      <c r="C151" s="12">
        <v>7413847.0</v>
      </c>
      <c r="D151" s="12">
        <v>7493.4862</v>
      </c>
      <c r="E151" s="12">
        <v>42.0</v>
      </c>
      <c r="F151" s="12">
        <v>0.04245116</v>
      </c>
      <c r="G151" s="12">
        <v>1966.0</v>
      </c>
      <c r="H151" s="12">
        <v>1.98711868</v>
      </c>
      <c r="I151" s="12">
        <v>7214.0</v>
      </c>
      <c r="J151" s="12">
        <v>7.29149246</v>
      </c>
      <c r="K151" s="12">
        <v>7526.0</v>
      </c>
      <c r="L151" s="12">
        <v>7.60684395</v>
      </c>
      <c r="M151" s="12">
        <v>0.0</v>
      </c>
      <c r="N151" s="12">
        <v>0.0</v>
      </c>
      <c r="O151" s="12">
        <v>989.0</v>
      </c>
      <c r="P151" s="12">
        <v>0.99962379</v>
      </c>
      <c r="Q151" s="13">
        <f t="shared" si="1"/>
        <v>0.9585437151</v>
      </c>
    </row>
    <row r="152">
      <c r="A152" s="6">
        <v>436.0</v>
      </c>
      <c r="B152" s="7">
        <v>47.5456257</v>
      </c>
      <c r="C152" s="8">
        <v>372021.0</v>
      </c>
      <c r="D152" s="8">
        <v>7824.5053</v>
      </c>
      <c r="E152" s="8">
        <v>6.0</v>
      </c>
      <c r="F152" s="8">
        <v>0.12619457</v>
      </c>
      <c r="G152" s="8">
        <v>104.0</v>
      </c>
      <c r="H152" s="8">
        <v>2.18737262</v>
      </c>
      <c r="I152" s="8">
        <v>363.0</v>
      </c>
      <c r="J152" s="8">
        <v>7.63477175</v>
      </c>
      <c r="K152" s="8">
        <v>380.0</v>
      </c>
      <c r="L152" s="8">
        <v>7.99232305</v>
      </c>
      <c r="M152" s="8">
        <v>0.0</v>
      </c>
      <c r="N152" s="8">
        <v>0.0</v>
      </c>
      <c r="O152" s="8">
        <v>48.0</v>
      </c>
      <c r="P152" s="8">
        <v>1.0095566</v>
      </c>
      <c r="Q152" s="9">
        <f t="shared" si="1"/>
        <v>0.9552631579</v>
      </c>
    </row>
    <row r="153">
      <c r="A153" s="10">
        <v>437.0</v>
      </c>
      <c r="B153" s="11">
        <v>462.840033</v>
      </c>
      <c r="C153" s="12">
        <v>3528365.0</v>
      </c>
      <c r="D153" s="12">
        <v>7623.29261</v>
      </c>
      <c r="E153" s="12">
        <v>12.0</v>
      </c>
      <c r="F153" s="12">
        <v>0.02592688</v>
      </c>
      <c r="G153" s="12">
        <v>942.0</v>
      </c>
      <c r="H153" s="12">
        <v>2.03526042</v>
      </c>
      <c r="I153" s="12">
        <v>3438.0</v>
      </c>
      <c r="J153" s="12">
        <v>7.42805237</v>
      </c>
      <c r="K153" s="12">
        <v>3602.0</v>
      </c>
      <c r="L153" s="12">
        <v>7.78238646</v>
      </c>
      <c r="M153" s="12">
        <v>0.0</v>
      </c>
      <c r="N153" s="12">
        <v>0.0</v>
      </c>
      <c r="O153" s="12">
        <v>463.0</v>
      </c>
      <c r="P153" s="12">
        <v>1.00034562</v>
      </c>
      <c r="Q153" s="13">
        <f t="shared" si="1"/>
        <v>0.954469739</v>
      </c>
    </row>
    <row r="154">
      <c r="A154" s="6">
        <v>438.0</v>
      </c>
      <c r="B154" s="7">
        <v>566.288469</v>
      </c>
      <c r="C154" s="8">
        <v>4218834.0</v>
      </c>
      <c r="D154" s="8">
        <v>7449.97335</v>
      </c>
      <c r="E154" s="8">
        <v>10.0</v>
      </c>
      <c r="F154" s="8">
        <v>0.01765884</v>
      </c>
      <c r="G154" s="8">
        <v>1103.0</v>
      </c>
      <c r="H154" s="8">
        <v>1.94777055</v>
      </c>
      <c r="I154" s="8">
        <v>4212.0</v>
      </c>
      <c r="J154" s="8">
        <v>7.43790529</v>
      </c>
      <c r="K154" s="8">
        <v>4392.0</v>
      </c>
      <c r="L154" s="8">
        <v>7.75576449</v>
      </c>
      <c r="M154" s="8">
        <v>0.0</v>
      </c>
      <c r="N154" s="8">
        <v>0.0</v>
      </c>
      <c r="O154" s="8">
        <v>566.0</v>
      </c>
      <c r="P154" s="8">
        <v>0.9994906</v>
      </c>
      <c r="Q154" s="9">
        <f t="shared" si="1"/>
        <v>0.9590163934</v>
      </c>
    </row>
    <row r="155">
      <c r="A155" s="10">
        <v>439.0</v>
      </c>
      <c r="B155" s="11">
        <v>1001.02498</v>
      </c>
      <c r="C155" s="12">
        <v>7654474.0</v>
      </c>
      <c r="D155" s="12">
        <v>7646.63635</v>
      </c>
      <c r="E155" s="12">
        <v>37.0</v>
      </c>
      <c r="F155" s="12">
        <v>0.03696211</v>
      </c>
      <c r="G155" s="12">
        <v>1971.0</v>
      </c>
      <c r="H155" s="12">
        <v>1.96898183</v>
      </c>
      <c r="I155" s="12">
        <v>7430.0</v>
      </c>
      <c r="J155" s="12">
        <v>7.4223922</v>
      </c>
      <c r="K155" s="12">
        <v>7786.0</v>
      </c>
      <c r="L155" s="12">
        <v>7.77802768</v>
      </c>
      <c r="M155" s="12">
        <v>0.0</v>
      </c>
      <c r="N155" s="12">
        <v>0.0</v>
      </c>
      <c r="O155" s="12">
        <v>1001.0</v>
      </c>
      <c r="P155" s="12">
        <v>0.99997505</v>
      </c>
      <c r="Q155" s="13">
        <f t="shared" si="1"/>
        <v>0.9542769073</v>
      </c>
    </row>
    <row r="156">
      <c r="A156" s="6">
        <v>440.0</v>
      </c>
      <c r="B156" s="7">
        <v>963.272614</v>
      </c>
      <c r="C156" s="8">
        <v>7349069.0</v>
      </c>
      <c r="D156" s="8">
        <v>7629.27222</v>
      </c>
      <c r="E156" s="8">
        <v>22.0</v>
      </c>
      <c r="F156" s="8">
        <v>0.02283881</v>
      </c>
      <c r="G156" s="8">
        <v>1810.0</v>
      </c>
      <c r="H156" s="8">
        <v>1.87901117</v>
      </c>
      <c r="I156" s="8">
        <v>7104.0</v>
      </c>
      <c r="J156" s="8">
        <v>7.3748593</v>
      </c>
      <c r="K156" s="8">
        <v>7388.0</v>
      </c>
      <c r="L156" s="8">
        <v>7.66968757</v>
      </c>
      <c r="M156" s="8">
        <v>0.0</v>
      </c>
      <c r="N156" s="8">
        <v>0.0</v>
      </c>
      <c r="O156" s="8">
        <v>963.0</v>
      </c>
      <c r="P156" s="8">
        <v>0.99971699</v>
      </c>
      <c r="Q156" s="9">
        <f t="shared" si="1"/>
        <v>0.9615592853</v>
      </c>
    </row>
    <row r="157">
      <c r="A157" s="10">
        <v>569.0</v>
      </c>
      <c r="B157" s="11">
        <v>186.846738</v>
      </c>
      <c r="C157" s="12">
        <v>2568544.0</v>
      </c>
      <c r="D157" s="12">
        <v>13746.7961</v>
      </c>
      <c r="E157" s="12">
        <v>0.0</v>
      </c>
      <c r="F157" s="12">
        <v>0.0</v>
      </c>
      <c r="G157" s="12">
        <v>4727.0</v>
      </c>
      <c r="H157" s="12">
        <v>25.2988093</v>
      </c>
      <c r="I157" s="12">
        <v>15707.0</v>
      </c>
      <c r="J157" s="12">
        <v>84.0635495</v>
      </c>
      <c r="K157" s="12">
        <v>28863.0</v>
      </c>
      <c r="L157" s="12">
        <v>154.474198</v>
      </c>
      <c r="M157" s="12">
        <v>1.0</v>
      </c>
      <c r="N157" s="12">
        <v>0.00535198</v>
      </c>
      <c r="O157" s="12">
        <v>187.0</v>
      </c>
      <c r="P157" s="12">
        <v>1.00082026</v>
      </c>
      <c r="Q157" s="13">
        <f t="shared" si="1"/>
        <v>0.5441915255</v>
      </c>
    </row>
    <row r="158">
      <c r="A158" s="6">
        <v>570.0</v>
      </c>
      <c r="B158" s="7">
        <v>160.588784</v>
      </c>
      <c r="C158" s="8">
        <v>2549050.0</v>
      </c>
      <c r="D158" s="8">
        <v>15873.1509</v>
      </c>
      <c r="E158" s="8">
        <v>0.0</v>
      </c>
      <c r="F158" s="8">
        <v>0.0</v>
      </c>
      <c r="G158" s="8">
        <v>4401.0</v>
      </c>
      <c r="H158" s="8">
        <v>27.4054008</v>
      </c>
      <c r="I158" s="8">
        <v>14479.0</v>
      </c>
      <c r="J158" s="8">
        <v>90.1619628</v>
      </c>
      <c r="K158" s="8">
        <v>26812.0</v>
      </c>
      <c r="L158" s="8">
        <v>166.960601</v>
      </c>
      <c r="M158" s="8">
        <v>1.0</v>
      </c>
      <c r="N158" s="8">
        <v>0.00622708</v>
      </c>
      <c r="O158" s="8">
        <v>161.0</v>
      </c>
      <c r="P158" s="8">
        <v>1.00256067</v>
      </c>
      <c r="Q158" s="9">
        <f t="shared" si="1"/>
        <v>0.5400193943</v>
      </c>
    </row>
    <row r="159">
      <c r="A159" s="10">
        <v>571.0</v>
      </c>
      <c r="B159" s="11">
        <v>331.945335</v>
      </c>
      <c r="C159" s="12">
        <v>5230740.0</v>
      </c>
      <c r="D159" s="12">
        <v>15757.8355</v>
      </c>
      <c r="E159" s="12">
        <v>0.0</v>
      </c>
      <c r="F159" s="12">
        <v>0.0</v>
      </c>
      <c r="G159" s="12">
        <v>8984.0</v>
      </c>
      <c r="H159" s="12">
        <v>27.0646972</v>
      </c>
      <c r="I159" s="12">
        <v>28810.0</v>
      </c>
      <c r="J159" s="12">
        <v>86.7913989</v>
      </c>
      <c r="K159" s="12">
        <v>54214.0</v>
      </c>
      <c r="L159" s="12">
        <v>163.322072</v>
      </c>
      <c r="M159" s="12">
        <v>1.0</v>
      </c>
      <c r="N159" s="12">
        <v>0.00301254</v>
      </c>
      <c r="O159" s="12">
        <v>332.0</v>
      </c>
      <c r="P159" s="12">
        <v>1.00016468</v>
      </c>
      <c r="Q159" s="13">
        <f t="shared" si="1"/>
        <v>0.5314125503</v>
      </c>
    </row>
    <row r="160">
      <c r="A160" s="14">
        <v>590.0</v>
      </c>
      <c r="B160" s="15">
        <v>277.890186</v>
      </c>
      <c r="C160" s="16">
        <v>1368711.0</v>
      </c>
      <c r="D160" s="16">
        <v>4925.36645</v>
      </c>
      <c r="E160" s="16">
        <v>0.0</v>
      </c>
      <c r="F160" s="16">
        <v>0.0</v>
      </c>
      <c r="G160" s="16">
        <v>13943.0</v>
      </c>
      <c r="H160" s="16">
        <v>50.1744959</v>
      </c>
      <c r="I160" s="16">
        <v>7714.0</v>
      </c>
      <c r="J160" s="16">
        <v>27.7591667</v>
      </c>
      <c r="K160" s="16">
        <v>8701.0</v>
      </c>
      <c r="L160" s="16">
        <v>31.3109294</v>
      </c>
      <c r="M160" s="16">
        <v>1.0</v>
      </c>
      <c r="N160" s="16">
        <v>0.00359854</v>
      </c>
      <c r="O160" s="16">
        <v>277.0</v>
      </c>
      <c r="P160" s="16">
        <v>0.99679663</v>
      </c>
      <c r="Q160" s="17">
        <f t="shared" si="1"/>
        <v>0.8865647627</v>
      </c>
    </row>
    <row r="161">
      <c r="A161" s="18">
        <v>592.0</v>
      </c>
      <c r="B161" s="19">
        <v>326.108558</v>
      </c>
      <c r="C161" s="20">
        <v>1632986.0</v>
      </c>
      <c r="D161" s="20">
        <v>5007.49201</v>
      </c>
      <c r="E161" s="20">
        <v>0.0</v>
      </c>
      <c r="F161" s="20">
        <v>0.0</v>
      </c>
      <c r="G161" s="20">
        <v>16831.0</v>
      </c>
      <c r="H161" s="20">
        <v>51.6116476</v>
      </c>
      <c r="I161" s="20">
        <v>9315.0</v>
      </c>
      <c r="J161" s="20">
        <v>28.5641078</v>
      </c>
      <c r="K161" s="20">
        <v>10540.0</v>
      </c>
      <c r="L161" s="20">
        <v>32.3205256</v>
      </c>
      <c r="M161" s="20">
        <v>1.0</v>
      </c>
      <c r="N161" s="20">
        <v>0.00306646</v>
      </c>
      <c r="O161" s="20">
        <v>326.0</v>
      </c>
      <c r="P161" s="20">
        <v>0.99966711</v>
      </c>
      <c r="Q161" s="21">
        <f t="shared" si="1"/>
        <v>0.8837760911</v>
      </c>
    </row>
    <row r="162">
      <c r="A162" s="14">
        <v>593.0</v>
      </c>
      <c r="B162" s="15">
        <v>179.520625</v>
      </c>
      <c r="C162" s="16">
        <v>891765.0</v>
      </c>
      <c r="D162" s="16">
        <v>4967.47936</v>
      </c>
      <c r="E162" s="16">
        <v>0.0</v>
      </c>
      <c r="F162" s="16">
        <v>0.0</v>
      </c>
      <c r="G162" s="16">
        <v>8987.0</v>
      </c>
      <c r="H162" s="16">
        <v>50.0611001</v>
      </c>
      <c r="I162" s="16">
        <v>4992.0</v>
      </c>
      <c r="J162" s="16">
        <v>27.8073898</v>
      </c>
      <c r="K162" s="16">
        <v>5679.0</v>
      </c>
      <c r="L162" s="16">
        <v>31.6342481</v>
      </c>
      <c r="M162" s="16">
        <v>1.0</v>
      </c>
      <c r="N162" s="16">
        <v>0.00557039</v>
      </c>
      <c r="O162" s="16">
        <v>179.0</v>
      </c>
      <c r="P162" s="16">
        <v>0.99709991</v>
      </c>
      <c r="Q162" s="17">
        <f t="shared" si="1"/>
        <v>0.8790279979</v>
      </c>
    </row>
    <row r="163">
      <c r="A163" s="18">
        <v>594.0</v>
      </c>
      <c r="B163" s="19">
        <v>757.0</v>
      </c>
      <c r="C163" s="20">
        <v>3897180.0</v>
      </c>
      <c r="D163" s="20">
        <v>5148.19022</v>
      </c>
      <c r="E163" s="20">
        <v>0.0</v>
      </c>
      <c r="F163" s="20">
        <v>0.0</v>
      </c>
      <c r="G163" s="20">
        <v>40108.0</v>
      </c>
      <c r="H163" s="20">
        <v>52.9828269</v>
      </c>
      <c r="I163" s="20">
        <v>21928.0</v>
      </c>
      <c r="J163" s="20">
        <v>28.9669749</v>
      </c>
      <c r="K163" s="20">
        <v>24873.0</v>
      </c>
      <c r="L163" s="20">
        <v>32.8573316</v>
      </c>
      <c r="M163" s="20">
        <v>1.0</v>
      </c>
      <c r="N163" s="20">
        <v>0.001321</v>
      </c>
      <c r="O163" s="20">
        <v>757.0</v>
      </c>
      <c r="P163" s="20">
        <v>1.0</v>
      </c>
      <c r="Q163" s="21">
        <f t="shared" si="1"/>
        <v>0.8815985205</v>
      </c>
    </row>
    <row r="164">
      <c r="A164" s="14">
        <v>595.0</v>
      </c>
      <c r="B164" s="15">
        <v>522.851034</v>
      </c>
      <c r="C164" s="16">
        <v>2755972.0</v>
      </c>
      <c r="D164" s="16">
        <v>5271.04629</v>
      </c>
      <c r="E164" s="16">
        <v>0.0</v>
      </c>
      <c r="F164" s="16">
        <v>0.0</v>
      </c>
      <c r="G164" s="16">
        <v>27881.0</v>
      </c>
      <c r="H164" s="16">
        <v>53.32494</v>
      </c>
      <c r="I164" s="16">
        <v>15208.0</v>
      </c>
      <c r="J164" s="16">
        <v>29.0866787</v>
      </c>
      <c r="K164" s="16">
        <v>17437.0</v>
      </c>
      <c r="L164" s="16">
        <v>33.3498432</v>
      </c>
      <c r="M164" s="16">
        <v>1.0</v>
      </c>
      <c r="N164" s="16">
        <v>0.00191259</v>
      </c>
      <c r="O164" s="16">
        <v>522.0</v>
      </c>
      <c r="P164" s="16">
        <v>0.99837232</v>
      </c>
      <c r="Q164" s="17">
        <f t="shared" si="1"/>
        <v>0.8721683776</v>
      </c>
    </row>
    <row r="165">
      <c r="A165" s="18">
        <v>596.0</v>
      </c>
      <c r="B165" s="19">
        <v>382.668123</v>
      </c>
      <c r="C165" s="20">
        <v>2028120.0</v>
      </c>
      <c r="D165" s="20">
        <v>5299.94499</v>
      </c>
      <c r="E165" s="20">
        <v>0.0</v>
      </c>
      <c r="F165" s="20">
        <v>0.0</v>
      </c>
      <c r="G165" s="20">
        <v>20118.0</v>
      </c>
      <c r="H165" s="20">
        <v>52.5729707</v>
      </c>
      <c r="I165" s="20">
        <v>11018.0</v>
      </c>
      <c r="J165" s="20">
        <v>28.7925734</v>
      </c>
      <c r="K165" s="20">
        <v>12509.0</v>
      </c>
      <c r="L165" s="20">
        <v>32.6889</v>
      </c>
      <c r="M165" s="20">
        <v>1.0</v>
      </c>
      <c r="N165" s="20">
        <v>0.00261323</v>
      </c>
      <c r="O165" s="20">
        <v>383.0</v>
      </c>
      <c r="P165" s="20">
        <v>1.00086727</v>
      </c>
      <c r="Q165" s="21">
        <f t="shared" si="1"/>
        <v>0.8808058198</v>
      </c>
    </row>
    <row r="166">
      <c r="A166" s="14">
        <v>598.0</v>
      </c>
      <c r="B166" s="15">
        <v>1051.6827</v>
      </c>
      <c r="C166" s="16">
        <v>5579459.0</v>
      </c>
      <c r="D166" s="16">
        <v>5305.26842</v>
      </c>
      <c r="E166" s="16">
        <v>0.0</v>
      </c>
      <c r="F166" s="16">
        <v>0.0</v>
      </c>
      <c r="G166" s="16">
        <v>56119.0</v>
      </c>
      <c r="H166" s="16">
        <v>53.3611518</v>
      </c>
      <c r="I166" s="16">
        <v>30484.0</v>
      </c>
      <c r="J166" s="16">
        <v>28.985929</v>
      </c>
      <c r="K166" s="16">
        <v>34943.0</v>
      </c>
      <c r="L166" s="16">
        <v>33.225801</v>
      </c>
      <c r="M166" s="16">
        <v>1.0</v>
      </c>
      <c r="N166" s="16">
        <v>9.5086E-4</v>
      </c>
      <c r="O166" s="16">
        <v>1052.0</v>
      </c>
      <c r="P166" s="16">
        <v>1.00030171</v>
      </c>
      <c r="Q166" s="17">
        <f t="shared" si="1"/>
        <v>0.8723921816</v>
      </c>
    </row>
    <row r="167">
      <c r="A167" s="18">
        <v>601.0</v>
      </c>
      <c r="B167" s="19">
        <v>159.784499</v>
      </c>
      <c r="C167" s="20">
        <v>2606920.0</v>
      </c>
      <c r="D167" s="20">
        <v>16315.2247</v>
      </c>
      <c r="E167" s="20">
        <v>0.0</v>
      </c>
      <c r="F167" s="20">
        <v>0.0</v>
      </c>
      <c r="G167" s="20">
        <v>6135.0</v>
      </c>
      <c r="H167" s="20">
        <v>38.3954641</v>
      </c>
      <c r="I167" s="20">
        <v>4715.0</v>
      </c>
      <c r="J167" s="20">
        <v>29.5084944</v>
      </c>
      <c r="K167" s="20">
        <v>5441.0</v>
      </c>
      <c r="L167" s="20">
        <v>34.0521142</v>
      </c>
      <c r="M167" s="20">
        <v>1.0</v>
      </c>
      <c r="N167" s="20">
        <v>0.00625843</v>
      </c>
      <c r="O167" s="20">
        <v>160.0</v>
      </c>
      <c r="P167" s="20">
        <v>1.0013487</v>
      </c>
      <c r="Q167" s="21">
        <f t="shared" si="1"/>
        <v>0.8665686455</v>
      </c>
    </row>
    <row r="168">
      <c r="A168" s="14">
        <v>602.0</v>
      </c>
      <c r="B168" s="15">
        <v>187.191283</v>
      </c>
      <c r="C168" s="16">
        <v>2779670.0</v>
      </c>
      <c r="D168" s="16">
        <v>14849.356</v>
      </c>
      <c r="E168" s="16">
        <v>0.0</v>
      </c>
      <c r="F168" s="16">
        <v>0.0</v>
      </c>
      <c r="G168" s="16">
        <v>6719.0</v>
      </c>
      <c r="H168" s="16">
        <v>35.8937654</v>
      </c>
      <c r="I168" s="16">
        <v>5162.0</v>
      </c>
      <c r="J168" s="16">
        <v>27.5760704</v>
      </c>
      <c r="K168" s="16">
        <v>5844.0</v>
      </c>
      <c r="L168" s="16">
        <v>31.2194024</v>
      </c>
      <c r="M168" s="16">
        <v>1.0</v>
      </c>
      <c r="N168" s="16">
        <v>0.00534213</v>
      </c>
      <c r="O168" s="16">
        <v>188.0</v>
      </c>
      <c r="P168" s="16">
        <v>1.00432027</v>
      </c>
      <c r="Q168" s="17">
        <f t="shared" si="1"/>
        <v>0.8832991102</v>
      </c>
    </row>
    <row r="169">
      <c r="A169" s="18">
        <v>603.0</v>
      </c>
      <c r="B169" s="19">
        <v>848.348544</v>
      </c>
      <c r="C169" s="20">
        <v>1.4075236E7</v>
      </c>
      <c r="D169" s="20">
        <v>16591.3363</v>
      </c>
      <c r="E169" s="20">
        <v>0.0</v>
      </c>
      <c r="F169" s="20">
        <v>0.0</v>
      </c>
      <c r="G169" s="20">
        <v>33553.0</v>
      </c>
      <c r="H169" s="20">
        <v>39.5509608</v>
      </c>
      <c r="I169" s="20">
        <v>25472.0</v>
      </c>
      <c r="J169" s="20">
        <v>30.0253948</v>
      </c>
      <c r="K169" s="20">
        <v>29512.0</v>
      </c>
      <c r="L169" s="20">
        <v>34.7875884</v>
      </c>
      <c r="M169" s="20">
        <v>1.0</v>
      </c>
      <c r="N169" s="20">
        <v>0.00117876</v>
      </c>
      <c r="O169" s="20">
        <v>839.0</v>
      </c>
      <c r="P169" s="20">
        <v>0.9889803</v>
      </c>
      <c r="Q169" s="21">
        <f t="shared" si="1"/>
        <v>0.8631065329</v>
      </c>
    </row>
    <row r="170">
      <c r="A170" s="14">
        <v>604.0</v>
      </c>
      <c r="B170" s="15">
        <v>989.623971</v>
      </c>
      <c r="C170" s="16">
        <v>1.6251496E7</v>
      </c>
      <c r="D170" s="16">
        <v>16421.89</v>
      </c>
      <c r="E170" s="16">
        <v>0.0</v>
      </c>
      <c r="F170" s="16">
        <v>0.0</v>
      </c>
      <c r="G170" s="16">
        <v>39231.0</v>
      </c>
      <c r="H170" s="16">
        <v>39.64233</v>
      </c>
      <c r="I170" s="16">
        <v>30069.0</v>
      </c>
      <c r="J170" s="16">
        <v>30.384268</v>
      </c>
      <c r="K170" s="16">
        <v>34547.0</v>
      </c>
      <c r="L170" s="16">
        <v>34.9092191</v>
      </c>
      <c r="M170" s="16">
        <v>1.0</v>
      </c>
      <c r="N170" s="16">
        <v>0.00101048</v>
      </c>
      <c r="O170" s="16">
        <v>990.0</v>
      </c>
      <c r="P170" s="16">
        <v>1.00037997</v>
      </c>
      <c r="Q170" s="17">
        <f t="shared" si="1"/>
        <v>0.870379483</v>
      </c>
    </row>
    <row r="171">
      <c r="A171" s="18">
        <v>605.0</v>
      </c>
      <c r="B171" s="19">
        <v>338.264377</v>
      </c>
      <c r="C171" s="20">
        <v>2570204.0</v>
      </c>
      <c r="D171" s="20">
        <v>7598.21068</v>
      </c>
      <c r="E171" s="20">
        <v>0.0</v>
      </c>
      <c r="F171" s="20">
        <v>0.0</v>
      </c>
      <c r="G171" s="20">
        <v>17747.0</v>
      </c>
      <c r="H171" s="20">
        <v>52.4648802</v>
      </c>
      <c r="I171" s="20">
        <v>11989.0</v>
      </c>
      <c r="J171" s="20">
        <v>35.4426917</v>
      </c>
      <c r="K171" s="20">
        <v>14531.0</v>
      </c>
      <c r="L171" s="20">
        <v>42.9575238</v>
      </c>
      <c r="M171" s="20">
        <v>1.0</v>
      </c>
      <c r="N171" s="20">
        <v>0.00295627</v>
      </c>
      <c r="O171" s="20">
        <v>339.0</v>
      </c>
      <c r="P171" s="20">
        <v>1.0021747</v>
      </c>
      <c r="Q171" s="21">
        <f t="shared" si="1"/>
        <v>0.825063657</v>
      </c>
    </row>
    <row r="172">
      <c r="A172" s="14">
        <v>606.0</v>
      </c>
      <c r="B172" s="15">
        <v>519.625635</v>
      </c>
      <c r="C172" s="16">
        <v>4023911.0</v>
      </c>
      <c r="D172" s="16">
        <v>7743.86544</v>
      </c>
      <c r="E172" s="16">
        <v>0.0</v>
      </c>
      <c r="F172" s="16">
        <v>0.0</v>
      </c>
      <c r="G172" s="16">
        <v>27520.0</v>
      </c>
      <c r="H172" s="16">
        <v>52.9612054</v>
      </c>
      <c r="I172" s="16">
        <v>18770.0</v>
      </c>
      <c r="J172" s="16">
        <v>36.1221594</v>
      </c>
      <c r="K172" s="16">
        <v>22530.0</v>
      </c>
      <c r="L172" s="16">
        <v>43.358138</v>
      </c>
      <c r="M172" s="16">
        <v>1.0</v>
      </c>
      <c r="N172" s="16">
        <v>0.00192446</v>
      </c>
      <c r="O172" s="16">
        <v>520.0</v>
      </c>
      <c r="P172" s="16">
        <v>1.00072045</v>
      </c>
      <c r="Q172" s="17">
        <f t="shared" si="1"/>
        <v>0.833111407</v>
      </c>
    </row>
    <row r="173">
      <c r="A173" s="18">
        <v>607.0</v>
      </c>
      <c r="B173" s="19">
        <v>1156.2907</v>
      </c>
      <c r="C173" s="20">
        <v>8782470.0</v>
      </c>
      <c r="D173" s="20">
        <v>7595.38236</v>
      </c>
      <c r="E173" s="20">
        <v>0.0</v>
      </c>
      <c r="F173" s="20">
        <v>0.0</v>
      </c>
      <c r="G173" s="20">
        <v>61247.0</v>
      </c>
      <c r="H173" s="20">
        <v>52.9685138</v>
      </c>
      <c r="I173" s="20">
        <v>41894.0</v>
      </c>
      <c r="J173" s="20">
        <v>36.2313733</v>
      </c>
      <c r="K173" s="20">
        <v>50252.0</v>
      </c>
      <c r="L173" s="20">
        <v>43.4596594</v>
      </c>
      <c r="M173" s="20">
        <v>1.0</v>
      </c>
      <c r="N173" s="20">
        <v>8.6483E-4</v>
      </c>
      <c r="O173" s="20">
        <v>1157.0</v>
      </c>
      <c r="P173" s="20">
        <v>1.00061343</v>
      </c>
      <c r="Q173" s="21">
        <f t="shared" si="1"/>
        <v>0.8336782616</v>
      </c>
    </row>
    <row r="174">
      <c r="A174" s="14">
        <v>610.0</v>
      </c>
      <c r="B174" s="15">
        <v>423.003741</v>
      </c>
      <c r="C174" s="16">
        <v>7442872.0</v>
      </c>
      <c r="D174" s="16">
        <v>17595.2864</v>
      </c>
      <c r="E174" s="16">
        <v>0.0</v>
      </c>
      <c r="F174" s="16">
        <v>0.0</v>
      </c>
      <c r="G174" s="16">
        <v>11944.0</v>
      </c>
      <c r="H174" s="16">
        <v>28.2361569</v>
      </c>
      <c r="I174" s="16">
        <v>10339.0</v>
      </c>
      <c r="J174" s="16">
        <v>24.4418642</v>
      </c>
      <c r="K174" s="16">
        <v>11374.0</v>
      </c>
      <c r="L174" s="16">
        <v>26.8886511</v>
      </c>
      <c r="M174" s="16">
        <v>1.0</v>
      </c>
      <c r="N174" s="16">
        <v>0.00236405</v>
      </c>
      <c r="O174" s="16">
        <v>423.0</v>
      </c>
      <c r="P174" s="16">
        <v>0.99999115</v>
      </c>
      <c r="Q174" s="17">
        <f t="shared" si="1"/>
        <v>0.9090029893</v>
      </c>
    </row>
    <row r="175">
      <c r="A175" s="18">
        <v>611.0</v>
      </c>
      <c r="B175" s="19">
        <v>739.769442</v>
      </c>
      <c r="C175" s="20">
        <v>1.3414246E7</v>
      </c>
      <c r="D175" s="20">
        <v>18133.0091</v>
      </c>
      <c r="E175" s="20">
        <v>0.0</v>
      </c>
      <c r="F175" s="20">
        <v>0.0</v>
      </c>
      <c r="G175" s="20">
        <v>17298.0</v>
      </c>
      <c r="H175" s="20">
        <v>23.382961</v>
      </c>
      <c r="I175" s="20">
        <v>15429.0</v>
      </c>
      <c r="J175" s="20">
        <v>20.8564981</v>
      </c>
      <c r="K175" s="20">
        <v>16511.0</v>
      </c>
      <c r="L175" s="20">
        <v>22.319116</v>
      </c>
      <c r="M175" s="20">
        <v>1.0</v>
      </c>
      <c r="N175" s="20">
        <v>0.00135177</v>
      </c>
      <c r="O175" s="20">
        <v>740.0</v>
      </c>
      <c r="P175" s="20">
        <v>1.00031166</v>
      </c>
      <c r="Q175" s="21">
        <f t="shared" si="1"/>
        <v>0.9344679305</v>
      </c>
    </row>
    <row r="176">
      <c r="A176" s="14">
        <v>612.0</v>
      </c>
      <c r="B176" s="15">
        <v>760.539033</v>
      </c>
      <c r="C176" s="16">
        <v>1.3552455E7</v>
      </c>
      <c r="D176" s="16">
        <v>17819.539</v>
      </c>
      <c r="E176" s="16">
        <v>0.0</v>
      </c>
      <c r="F176" s="16">
        <v>0.0</v>
      </c>
      <c r="G176" s="16">
        <v>21501.0</v>
      </c>
      <c r="H176" s="16">
        <v>28.2707383</v>
      </c>
      <c r="I176" s="16">
        <v>18578.0</v>
      </c>
      <c r="J176" s="16">
        <v>24.4274116</v>
      </c>
      <c r="K176" s="16">
        <v>20446.0</v>
      </c>
      <c r="L176" s="16">
        <v>26.8835643</v>
      </c>
      <c r="M176" s="16">
        <v>1.0</v>
      </c>
      <c r="N176" s="16">
        <v>0.00131486</v>
      </c>
      <c r="O176" s="16">
        <v>761.0</v>
      </c>
      <c r="P176" s="16">
        <v>1.00060611</v>
      </c>
      <c r="Q176" s="17">
        <f t="shared" si="1"/>
        <v>0.9086373863</v>
      </c>
    </row>
    <row r="177">
      <c r="A177" s="18">
        <v>615.0</v>
      </c>
      <c r="B177" s="19">
        <v>281.597886</v>
      </c>
      <c r="C177" s="20">
        <v>5412442.0</v>
      </c>
      <c r="D177" s="20">
        <v>19220.4639</v>
      </c>
      <c r="E177" s="20">
        <v>0.0</v>
      </c>
      <c r="F177" s="20">
        <v>0.0</v>
      </c>
      <c r="G177" s="20">
        <v>5911.0</v>
      </c>
      <c r="H177" s="20">
        <v>20.9909246</v>
      </c>
      <c r="I177" s="20">
        <v>5387.0</v>
      </c>
      <c r="J177" s="20">
        <v>19.1301152</v>
      </c>
      <c r="K177" s="20">
        <v>5661.0</v>
      </c>
      <c r="L177" s="20">
        <v>20.1031338</v>
      </c>
      <c r="M177" s="20">
        <v>1.0</v>
      </c>
      <c r="N177" s="20">
        <v>0.00355116</v>
      </c>
      <c r="O177" s="20">
        <v>282.0</v>
      </c>
      <c r="P177" s="20">
        <v>1.00142797</v>
      </c>
      <c r="Q177" s="21">
        <f t="shared" si="1"/>
        <v>0.9515986575</v>
      </c>
    </row>
    <row r="178">
      <c r="A178" s="14">
        <v>616.0</v>
      </c>
      <c r="B178" s="15">
        <v>632.208615</v>
      </c>
      <c r="C178" s="16">
        <v>1.2390423E7</v>
      </c>
      <c r="D178" s="16">
        <v>19598.6304</v>
      </c>
      <c r="E178" s="16">
        <v>0.0</v>
      </c>
      <c r="F178" s="16">
        <v>0.0</v>
      </c>
      <c r="G178" s="16">
        <v>13772.0</v>
      </c>
      <c r="H178" s="16">
        <v>21.7839486</v>
      </c>
      <c r="I178" s="16">
        <v>12434.0</v>
      </c>
      <c r="J178" s="16">
        <v>19.6675586</v>
      </c>
      <c r="K178" s="16">
        <v>13106.0</v>
      </c>
      <c r="L178" s="16">
        <v>20.7304989</v>
      </c>
      <c r="M178" s="16">
        <v>1.0</v>
      </c>
      <c r="N178" s="16">
        <v>0.00158176</v>
      </c>
      <c r="O178" s="16">
        <v>632.0</v>
      </c>
      <c r="P178" s="16">
        <v>0.99967002</v>
      </c>
      <c r="Q178" s="17">
        <f t="shared" si="1"/>
        <v>0.9487257745</v>
      </c>
    </row>
    <row r="179">
      <c r="A179" s="18">
        <v>617.0</v>
      </c>
      <c r="B179" s="19">
        <v>1078.12571</v>
      </c>
      <c r="C179" s="20">
        <v>2.1331198E7</v>
      </c>
      <c r="D179" s="20">
        <v>19785.446</v>
      </c>
      <c r="E179" s="20">
        <v>0.0</v>
      </c>
      <c r="F179" s="20">
        <v>0.0</v>
      </c>
      <c r="G179" s="20">
        <v>23881.0</v>
      </c>
      <c r="H179" s="20">
        <v>22.1504781</v>
      </c>
      <c r="I179" s="20">
        <v>21423.0</v>
      </c>
      <c r="J179" s="20">
        <v>19.8705956</v>
      </c>
      <c r="K179" s="20">
        <v>22741.0</v>
      </c>
      <c r="L179" s="20">
        <v>21.0930875</v>
      </c>
      <c r="M179" s="20">
        <v>1.0</v>
      </c>
      <c r="N179" s="20">
        <v>9.2754E-4</v>
      </c>
      <c r="O179" s="20">
        <v>1078.0</v>
      </c>
      <c r="P179" s="20">
        <v>0.9998834</v>
      </c>
      <c r="Q179" s="21">
        <f t="shared" si="1"/>
        <v>0.942043006</v>
      </c>
    </row>
    <row r="180">
      <c r="A180" s="14">
        <v>620.0</v>
      </c>
      <c r="B180" s="15">
        <v>948.000453</v>
      </c>
      <c r="C180" s="16">
        <v>2.559778E7</v>
      </c>
      <c r="D180" s="16">
        <v>27001.8647</v>
      </c>
      <c r="E180" s="16">
        <v>0.0</v>
      </c>
      <c r="F180" s="16">
        <v>0.0</v>
      </c>
      <c r="G180" s="16">
        <v>27344.0</v>
      </c>
      <c r="H180" s="16">
        <v>28.8438681</v>
      </c>
      <c r="I180" s="16">
        <v>23742.0</v>
      </c>
      <c r="J180" s="16">
        <v>25.0442918</v>
      </c>
      <c r="K180" s="16">
        <v>26324.0</v>
      </c>
      <c r="L180" s="16">
        <v>27.7679192</v>
      </c>
      <c r="M180" s="16">
        <v>1.0</v>
      </c>
      <c r="N180" s="16">
        <v>0.00105485</v>
      </c>
      <c r="O180" s="16">
        <v>948.0</v>
      </c>
      <c r="P180" s="16">
        <v>0.99999952</v>
      </c>
      <c r="Q180" s="17">
        <f t="shared" si="1"/>
        <v>0.9019146026</v>
      </c>
    </row>
    <row r="181">
      <c r="A181" s="18">
        <v>621.0</v>
      </c>
      <c r="B181" s="19">
        <v>655.278519</v>
      </c>
      <c r="C181" s="20">
        <v>1.7634089E7</v>
      </c>
      <c r="D181" s="20">
        <v>26910.8303</v>
      </c>
      <c r="E181" s="20">
        <v>0.0</v>
      </c>
      <c r="F181" s="20">
        <v>0.0</v>
      </c>
      <c r="G181" s="20">
        <v>19017.0</v>
      </c>
      <c r="H181" s="20">
        <v>29.0212474</v>
      </c>
      <c r="I181" s="20">
        <v>16570.0</v>
      </c>
      <c r="J181" s="20">
        <v>25.2869574</v>
      </c>
      <c r="K181" s="20">
        <v>18319.0</v>
      </c>
      <c r="L181" s="20">
        <v>27.9560515</v>
      </c>
      <c r="M181" s="20">
        <v>1.0</v>
      </c>
      <c r="N181" s="20">
        <v>0.00152607</v>
      </c>
      <c r="O181" s="20">
        <v>655.0</v>
      </c>
      <c r="P181" s="20">
        <v>0.99957496</v>
      </c>
      <c r="Q181" s="21">
        <f t="shared" si="1"/>
        <v>0.9045253562</v>
      </c>
    </row>
    <row r="182">
      <c r="A182" s="14">
        <v>622.0</v>
      </c>
      <c r="B182" s="15">
        <v>506.694853</v>
      </c>
      <c r="C182" s="16">
        <v>1.3560232E7</v>
      </c>
      <c r="D182" s="16">
        <v>26762.127</v>
      </c>
      <c r="E182" s="16">
        <v>0.0</v>
      </c>
      <c r="F182" s="16">
        <v>0.0</v>
      </c>
      <c r="G182" s="16">
        <v>14310.0</v>
      </c>
      <c r="H182" s="16">
        <v>28.2418499</v>
      </c>
      <c r="I182" s="16">
        <v>12478.0</v>
      </c>
      <c r="J182" s="16">
        <v>24.6262616</v>
      </c>
      <c r="K182" s="16">
        <v>13769.0</v>
      </c>
      <c r="L182" s="16">
        <v>27.1741461</v>
      </c>
      <c r="M182" s="16">
        <v>1.0</v>
      </c>
      <c r="N182" s="16">
        <v>0.00197357</v>
      </c>
      <c r="O182" s="16">
        <v>507.0</v>
      </c>
      <c r="P182" s="16">
        <v>1.00060223</v>
      </c>
      <c r="Q182" s="17">
        <f t="shared" si="1"/>
        <v>0.906238652</v>
      </c>
    </row>
    <row r="183">
      <c r="A183" s="18">
        <v>623.0</v>
      </c>
      <c r="B183" s="19">
        <v>416.659766</v>
      </c>
      <c r="C183" s="20">
        <v>1.1169343E7</v>
      </c>
      <c r="D183" s="20">
        <v>26806.8672</v>
      </c>
      <c r="E183" s="20">
        <v>0.0</v>
      </c>
      <c r="F183" s="20">
        <v>0.0</v>
      </c>
      <c r="G183" s="20">
        <v>11778.0</v>
      </c>
      <c r="H183" s="20">
        <v>28.2676681</v>
      </c>
      <c r="I183" s="20">
        <v>10237.0</v>
      </c>
      <c r="J183" s="20">
        <v>24.5692069</v>
      </c>
      <c r="K183" s="20">
        <v>11342.0</v>
      </c>
      <c r="L183" s="20">
        <v>27.2212508</v>
      </c>
      <c r="M183" s="20">
        <v>1.0</v>
      </c>
      <c r="N183" s="20">
        <v>0.00240004</v>
      </c>
      <c r="O183" s="20">
        <v>417.0</v>
      </c>
      <c r="P183" s="20">
        <v>1.00081657</v>
      </c>
      <c r="Q183" s="21">
        <f t="shared" si="1"/>
        <v>0.9025745019</v>
      </c>
    </row>
    <row r="184">
      <c r="A184" s="14">
        <v>625.0</v>
      </c>
      <c r="B184" s="15">
        <v>533.175899</v>
      </c>
      <c r="C184" s="16">
        <v>1.4258947E7</v>
      </c>
      <c r="D184" s="16">
        <v>26743.42</v>
      </c>
      <c r="E184" s="16">
        <v>0.0</v>
      </c>
      <c r="F184" s="16">
        <v>0.0</v>
      </c>
      <c r="G184" s="16">
        <v>15064.0</v>
      </c>
      <c r="H184" s="16">
        <v>28.2533401</v>
      </c>
      <c r="I184" s="16">
        <v>13221.0</v>
      </c>
      <c r="J184" s="16">
        <v>24.7966947</v>
      </c>
      <c r="K184" s="16">
        <v>14534.0</v>
      </c>
      <c r="L184" s="16">
        <v>27.2592966</v>
      </c>
      <c r="M184" s="16">
        <v>1.0</v>
      </c>
      <c r="N184" s="16">
        <v>0.00187555</v>
      </c>
      <c r="O184" s="16">
        <v>533.0</v>
      </c>
      <c r="P184" s="16">
        <v>0.99967009</v>
      </c>
      <c r="Q184" s="17">
        <f t="shared" si="1"/>
        <v>0.9096601073</v>
      </c>
    </row>
    <row r="185">
      <c r="A185" s="18">
        <v>632.0</v>
      </c>
      <c r="B185" s="19">
        <v>586.022737</v>
      </c>
      <c r="C185" s="20">
        <v>4956884.0</v>
      </c>
      <c r="D185" s="20">
        <v>8458.51823</v>
      </c>
      <c r="E185" s="20">
        <v>0.0</v>
      </c>
      <c r="F185" s="20">
        <v>0.0</v>
      </c>
      <c r="G185" s="20">
        <v>18101.0</v>
      </c>
      <c r="H185" s="20">
        <v>30.8878801</v>
      </c>
      <c r="I185" s="20">
        <v>14209.0</v>
      </c>
      <c r="J185" s="20">
        <v>24.2464995</v>
      </c>
      <c r="K185" s="20">
        <v>15650.0</v>
      </c>
      <c r="L185" s="20">
        <v>26.7054485</v>
      </c>
      <c r="M185" s="20">
        <v>1.0</v>
      </c>
      <c r="N185" s="20">
        <v>0.00170642</v>
      </c>
      <c r="O185" s="20">
        <v>586.0</v>
      </c>
      <c r="P185" s="20">
        <v>0.9999612</v>
      </c>
      <c r="Q185" s="21">
        <f t="shared" si="1"/>
        <v>0.9079233227</v>
      </c>
    </row>
    <row r="186">
      <c r="A186" s="14">
        <v>636.0</v>
      </c>
      <c r="B186" s="15">
        <v>376.758548</v>
      </c>
      <c r="C186" s="16">
        <v>3100732.0</v>
      </c>
      <c r="D186" s="16">
        <v>8230.02428</v>
      </c>
      <c r="E186" s="16">
        <v>0.0</v>
      </c>
      <c r="F186" s="16">
        <v>0.0</v>
      </c>
      <c r="G186" s="16">
        <v>11445.0</v>
      </c>
      <c r="H186" s="16">
        <v>30.3775456</v>
      </c>
      <c r="I186" s="16">
        <v>9148.0</v>
      </c>
      <c r="J186" s="16">
        <v>24.2808028</v>
      </c>
      <c r="K186" s="16">
        <v>9979.0</v>
      </c>
      <c r="L186" s="16">
        <v>26.4864594</v>
      </c>
      <c r="M186" s="16">
        <v>1.0</v>
      </c>
      <c r="N186" s="16">
        <v>0.00265422</v>
      </c>
      <c r="O186" s="16">
        <v>377.0</v>
      </c>
      <c r="P186" s="16">
        <v>1.00064087</v>
      </c>
      <c r="Q186" s="17">
        <f t="shared" si="1"/>
        <v>0.9167251228</v>
      </c>
    </row>
    <row r="187">
      <c r="A187" s="18">
        <v>637.0</v>
      </c>
      <c r="B187" s="19">
        <v>34.8244182</v>
      </c>
      <c r="C187" s="20">
        <v>415954.0</v>
      </c>
      <c r="D187" s="20">
        <v>11944.3201</v>
      </c>
      <c r="E187" s="20">
        <v>0.0</v>
      </c>
      <c r="F187" s="20">
        <v>0.0</v>
      </c>
      <c r="G187" s="20">
        <v>965.0</v>
      </c>
      <c r="H187" s="20">
        <v>27.7104414</v>
      </c>
      <c r="I187" s="20">
        <v>771.0</v>
      </c>
      <c r="J187" s="20">
        <v>22.1396376</v>
      </c>
      <c r="K187" s="20">
        <v>845.0</v>
      </c>
      <c r="L187" s="20">
        <v>24.2645834</v>
      </c>
      <c r="M187" s="20">
        <v>1.0</v>
      </c>
      <c r="N187" s="20">
        <v>0.02871548</v>
      </c>
      <c r="O187" s="20">
        <v>35.0</v>
      </c>
      <c r="P187" s="20">
        <v>1.00504192</v>
      </c>
      <c r="Q187" s="21">
        <f t="shared" si="1"/>
        <v>0.9124260355</v>
      </c>
    </row>
    <row r="188">
      <c r="A188" s="14">
        <v>638.0</v>
      </c>
      <c r="B188" s="15">
        <v>1171.52763</v>
      </c>
      <c r="C188" s="16">
        <v>1.918531E7</v>
      </c>
      <c r="D188" s="16">
        <v>16376.3189</v>
      </c>
      <c r="E188" s="16">
        <v>0.0</v>
      </c>
      <c r="F188" s="16">
        <v>0.0</v>
      </c>
      <c r="G188" s="16">
        <v>47020.0</v>
      </c>
      <c r="H188" s="16">
        <v>40.1356305</v>
      </c>
      <c r="I188" s="16">
        <v>35878.0</v>
      </c>
      <c r="J188" s="16">
        <v>30.6249713</v>
      </c>
      <c r="K188" s="16">
        <v>41399.0</v>
      </c>
      <c r="L188" s="16">
        <v>35.3376216</v>
      </c>
      <c r="M188" s="16">
        <v>1.0</v>
      </c>
      <c r="N188" s="16">
        <v>8.5359E-4</v>
      </c>
      <c r="O188" s="16">
        <v>1172.0</v>
      </c>
      <c r="P188" s="16">
        <v>1.00040321</v>
      </c>
      <c r="Q188" s="17">
        <f t="shared" si="1"/>
        <v>0.8666392908</v>
      </c>
    </row>
    <row r="189">
      <c r="A189" s="18">
        <v>639.0</v>
      </c>
      <c r="B189" s="19">
        <v>473.674862</v>
      </c>
      <c r="C189" s="20">
        <v>1.2136873E7</v>
      </c>
      <c r="D189" s="20">
        <v>25622.7931</v>
      </c>
      <c r="E189" s="20">
        <v>0.0</v>
      </c>
      <c r="F189" s="20">
        <v>0.0</v>
      </c>
      <c r="G189" s="20">
        <v>4599.0</v>
      </c>
      <c r="H189" s="20">
        <v>9.70919162</v>
      </c>
      <c r="I189" s="20">
        <v>4589.0</v>
      </c>
      <c r="J189" s="20">
        <v>9.6880801</v>
      </c>
      <c r="K189" s="20">
        <v>4335.0</v>
      </c>
      <c r="L189" s="20">
        <v>9.15184729</v>
      </c>
      <c r="M189" s="20">
        <v>1.0</v>
      </c>
      <c r="N189" s="20">
        <v>0.00211115</v>
      </c>
      <c r="O189" s="20">
        <v>474.0</v>
      </c>
      <c r="P189" s="20">
        <v>1.00068642</v>
      </c>
      <c r="Q189" s="21">
        <f t="shared" si="1"/>
        <v>1.058592849</v>
      </c>
    </row>
    <row r="190">
      <c r="A190" s="14">
        <v>640.0</v>
      </c>
      <c r="B190" s="15">
        <v>164.687524</v>
      </c>
      <c r="C190" s="16">
        <v>4065726.0</v>
      </c>
      <c r="D190" s="16">
        <v>24687.5167</v>
      </c>
      <c r="E190" s="16">
        <v>0.0</v>
      </c>
      <c r="F190" s="16">
        <v>0.0</v>
      </c>
      <c r="G190" s="16">
        <v>1577.0</v>
      </c>
      <c r="H190" s="16">
        <v>9.57571017</v>
      </c>
      <c r="I190" s="16">
        <v>1589.0</v>
      </c>
      <c r="J190" s="16">
        <v>9.64857543</v>
      </c>
      <c r="K190" s="16">
        <v>1495.0</v>
      </c>
      <c r="L190" s="16">
        <v>9.07779753</v>
      </c>
      <c r="M190" s="16">
        <v>1.0</v>
      </c>
      <c r="N190" s="16">
        <v>0.00607211</v>
      </c>
      <c r="O190" s="16">
        <v>165.0</v>
      </c>
      <c r="P190" s="16">
        <v>1.00189739</v>
      </c>
      <c r="Q190" s="17">
        <f t="shared" si="1"/>
        <v>1.062876254</v>
      </c>
    </row>
    <row r="191">
      <c r="A191" s="18">
        <v>641.0</v>
      </c>
      <c r="B191" s="19">
        <v>524.296199</v>
      </c>
      <c r="C191" s="20">
        <v>1.3447496E7</v>
      </c>
      <c r="D191" s="20">
        <v>25648.662</v>
      </c>
      <c r="E191" s="20">
        <v>0.0</v>
      </c>
      <c r="F191" s="20">
        <v>0.0</v>
      </c>
      <c r="G191" s="20">
        <v>5193.0</v>
      </c>
      <c r="H191" s="20">
        <v>9.90470655</v>
      </c>
      <c r="I191" s="20">
        <v>5223.0</v>
      </c>
      <c r="J191" s="20">
        <v>9.96192612</v>
      </c>
      <c r="K191" s="20">
        <v>4955.0</v>
      </c>
      <c r="L191" s="20">
        <v>9.45076468</v>
      </c>
      <c r="M191" s="20">
        <v>1.0</v>
      </c>
      <c r="N191" s="20">
        <v>0.00190732</v>
      </c>
      <c r="O191" s="20">
        <v>525.0</v>
      </c>
      <c r="P191" s="20">
        <v>1.00134237</v>
      </c>
      <c r="Q191" s="21">
        <f t="shared" si="1"/>
        <v>1.054086781</v>
      </c>
    </row>
    <row r="192">
      <c r="A192" s="14">
        <v>642.0</v>
      </c>
      <c r="B192" s="15">
        <v>845.058705</v>
      </c>
      <c r="C192" s="16">
        <v>2.1486448E7</v>
      </c>
      <c r="D192" s="16">
        <v>25425.9827</v>
      </c>
      <c r="E192" s="16">
        <v>0.0</v>
      </c>
      <c r="F192" s="16">
        <v>0.0</v>
      </c>
      <c r="G192" s="16">
        <v>8071.0</v>
      </c>
      <c r="H192" s="16">
        <v>9.55081576</v>
      </c>
      <c r="I192" s="16">
        <v>8114.0</v>
      </c>
      <c r="J192" s="16">
        <v>9.6016998</v>
      </c>
      <c r="K192" s="16">
        <v>7610.0</v>
      </c>
      <c r="L192" s="16">
        <v>9.00529153</v>
      </c>
      <c r="M192" s="16">
        <v>1.0</v>
      </c>
      <c r="N192" s="16">
        <v>0.00118335</v>
      </c>
      <c r="O192" s="16">
        <v>845.0</v>
      </c>
      <c r="P192" s="16">
        <v>0.99993053</v>
      </c>
      <c r="Q192" s="17">
        <f t="shared" si="1"/>
        <v>1.066228647</v>
      </c>
    </row>
    <row r="193">
      <c r="A193" s="18">
        <v>643.0</v>
      </c>
      <c r="B193" s="19">
        <v>234.906208</v>
      </c>
      <c r="C193" s="20">
        <v>6050324.0</v>
      </c>
      <c r="D193" s="20">
        <v>25756.3393</v>
      </c>
      <c r="E193" s="20">
        <v>0.0</v>
      </c>
      <c r="F193" s="20">
        <v>0.0</v>
      </c>
      <c r="G193" s="20">
        <v>2438.0</v>
      </c>
      <c r="H193" s="20">
        <v>10.3786103</v>
      </c>
      <c r="I193" s="20">
        <v>2442.0</v>
      </c>
      <c r="J193" s="20">
        <v>10.3956384</v>
      </c>
      <c r="K193" s="20">
        <v>2324.0</v>
      </c>
      <c r="L193" s="20">
        <v>9.89331025</v>
      </c>
      <c r="M193" s="20">
        <v>1.0</v>
      </c>
      <c r="N193" s="20">
        <v>0.00425702</v>
      </c>
      <c r="O193" s="20">
        <v>235.0</v>
      </c>
      <c r="P193" s="20">
        <v>1.00039927</v>
      </c>
      <c r="Q193" s="21">
        <f t="shared" si="1"/>
        <v>1.050774527</v>
      </c>
    </row>
    <row r="194">
      <c r="A194" s="14">
        <v>644.0</v>
      </c>
      <c r="B194" s="15">
        <v>705.615481</v>
      </c>
      <c r="C194" s="16">
        <v>1.8839478E7</v>
      </c>
      <c r="D194" s="16">
        <v>26699.3547</v>
      </c>
      <c r="E194" s="16">
        <v>0.0</v>
      </c>
      <c r="F194" s="16">
        <v>0.0</v>
      </c>
      <c r="G194" s="16">
        <v>7660.0</v>
      </c>
      <c r="H194" s="16">
        <v>10.8557709</v>
      </c>
      <c r="I194" s="16">
        <v>7657.0</v>
      </c>
      <c r="J194" s="16">
        <v>10.8515193</v>
      </c>
      <c r="K194" s="16">
        <v>7325.0</v>
      </c>
      <c r="L194" s="16">
        <v>10.3810081</v>
      </c>
      <c r="M194" s="16">
        <v>1.0</v>
      </c>
      <c r="N194" s="16">
        <v>0.0014172</v>
      </c>
      <c r="O194" s="16">
        <v>706.0</v>
      </c>
      <c r="P194" s="16">
        <v>1.00054494</v>
      </c>
      <c r="Q194" s="17">
        <f t="shared" si="1"/>
        <v>1.045324232</v>
      </c>
    </row>
    <row r="195">
      <c r="A195" s="18">
        <v>645.0</v>
      </c>
      <c r="B195" s="19">
        <v>509.0</v>
      </c>
      <c r="C195" s="20">
        <v>1.3597449E7</v>
      </c>
      <c r="D195" s="20">
        <v>26714.0452</v>
      </c>
      <c r="E195" s="20">
        <v>0.0</v>
      </c>
      <c r="F195" s="20">
        <v>0.0</v>
      </c>
      <c r="G195" s="20">
        <v>5572.0</v>
      </c>
      <c r="H195" s="20">
        <v>10.9469548</v>
      </c>
      <c r="I195" s="20">
        <v>5538.0</v>
      </c>
      <c r="J195" s="20">
        <v>10.8801572</v>
      </c>
      <c r="K195" s="20">
        <v>5322.0</v>
      </c>
      <c r="L195" s="20">
        <v>10.4557957</v>
      </c>
      <c r="M195" s="20">
        <v>1.0</v>
      </c>
      <c r="N195" s="20">
        <v>0.00196464</v>
      </c>
      <c r="O195" s="20">
        <v>509.0</v>
      </c>
      <c r="P195" s="20">
        <v>1.0</v>
      </c>
      <c r="Q195" s="21">
        <f t="shared" si="1"/>
        <v>1.040586246</v>
      </c>
    </row>
    <row r="196">
      <c r="A196" s="14">
        <v>646.0</v>
      </c>
      <c r="B196" s="15">
        <v>446.0</v>
      </c>
      <c r="C196" s="16">
        <v>1.1923896E7</v>
      </c>
      <c r="D196" s="16">
        <v>26735.1928</v>
      </c>
      <c r="E196" s="16">
        <v>0.0</v>
      </c>
      <c r="F196" s="16">
        <v>0.0</v>
      </c>
      <c r="G196" s="16">
        <v>4825.0</v>
      </c>
      <c r="H196" s="16">
        <v>10.8183857</v>
      </c>
      <c r="I196" s="16">
        <v>4792.0</v>
      </c>
      <c r="J196" s="16">
        <v>10.7443946</v>
      </c>
      <c r="K196" s="16">
        <v>4595.0</v>
      </c>
      <c r="L196" s="16">
        <v>10.3026906</v>
      </c>
      <c r="M196" s="16">
        <v>1.0</v>
      </c>
      <c r="N196" s="16">
        <v>0.00224215</v>
      </c>
      <c r="O196" s="16">
        <v>446.0</v>
      </c>
      <c r="P196" s="16">
        <v>1.0</v>
      </c>
      <c r="Q196" s="17">
        <f t="shared" si="1"/>
        <v>1.042872688</v>
      </c>
    </row>
    <row r="197">
      <c r="A197" s="18">
        <v>647.0</v>
      </c>
      <c r="B197" s="19">
        <v>733.86242</v>
      </c>
      <c r="C197" s="20">
        <v>1.9760608E7</v>
      </c>
      <c r="D197" s="20">
        <v>26926.8564</v>
      </c>
      <c r="E197" s="20">
        <v>0.0</v>
      </c>
      <c r="F197" s="20">
        <v>0.0</v>
      </c>
      <c r="G197" s="20">
        <v>8066.0</v>
      </c>
      <c r="H197" s="20">
        <v>10.991161</v>
      </c>
      <c r="I197" s="20">
        <v>8014.0</v>
      </c>
      <c r="J197" s="20">
        <v>10.920303</v>
      </c>
      <c r="K197" s="20">
        <v>7689.0</v>
      </c>
      <c r="L197" s="20">
        <v>10.4774407</v>
      </c>
      <c r="M197" s="20">
        <v>1.0</v>
      </c>
      <c r="N197" s="20">
        <v>0.00136265</v>
      </c>
      <c r="O197" s="20">
        <v>734.0</v>
      </c>
      <c r="P197" s="20">
        <v>1.00018747</v>
      </c>
      <c r="Q197" s="21">
        <f t="shared" si="1"/>
        <v>1.042268175</v>
      </c>
    </row>
    <row r="198">
      <c r="A198" s="14">
        <v>648.0</v>
      </c>
      <c r="B198" s="15">
        <v>427.687576</v>
      </c>
      <c r="C198" s="16">
        <v>1.1250021E7</v>
      </c>
      <c r="D198" s="16">
        <v>26304.2969</v>
      </c>
      <c r="E198" s="16">
        <v>0.0</v>
      </c>
      <c r="F198" s="16">
        <v>0.0</v>
      </c>
      <c r="G198" s="16">
        <v>4573.0</v>
      </c>
      <c r="H198" s="16">
        <v>10.6923845</v>
      </c>
      <c r="I198" s="16">
        <v>4547.0</v>
      </c>
      <c r="J198" s="16">
        <v>10.6315924</v>
      </c>
      <c r="K198" s="16">
        <v>4381.0</v>
      </c>
      <c r="L198" s="16">
        <v>10.2434586</v>
      </c>
      <c r="M198" s="16">
        <v>1.0</v>
      </c>
      <c r="N198" s="16">
        <v>0.00233816</v>
      </c>
      <c r="O198" s="16">
        <v>428.0</v>
      </c>
      <c r="P198" s="16">
        <v>1.0007305</v>
      </c>
      <c r="Q198" s="17">
        <f t="shared" si="1"/>
        <v>1.037890892</v>
      </c>
    </row>
    <row r="199">
      <c r="A199" s="18">
        <v>651.0</v>
      </c>
      <c r="B199" s="19">
        <v>141.769119</v>
      </c>
      <c r="C199" s="20">
        <v>3499467.0</v>
      </c>
      <c r="D199" s="20">
        <v>24684.2686</v>
      </c>
      <c r="E199" s="20">
        <v>0.0</v>
      </c>
      <c r="F199" s="20">
        <v>0.0</v>
      </c>
      <c r="G199" s="20">
        <v>5177.0</v>
      </c>
      <c r="H199" s="20">
        <v>36.5171206</v>
      </c>
      <c r="I199" s="20">
        <v>4320.0</v>
      </c>
      <c r="J199" s="20">
        <v>30.4720805</v>
      </c>
      <c r="K199" s="20">
        <v>4980.0</v>
      </c>
      <c r="L199" s="20">
        <v>35.1275373</v>
      </c>
      <c r="M199" s="20">
        <v>1.0</v>
      </c>
      <c r="N199" s="20">
        <v>0.00705372</v>
      </c>
      <c r="O199" s="20">
        <v>142.0</v>
      </c>
      <c r="P199" s="20">
        <v>1.00162857</v>
      </c>
      <c r="Q199" s="21">
        <f t="shared" si="1"/>
        <v>0.8674698795</v>
      </c>
    </row>
    <row r="200">
      <c r="A200" s="14">
        <v>652.0</v>
      </c>
      <c r="B200" s="15">
        <v>317.1774</v>
      </c>
      <c r="C200" s="16">
        <v>8158146.0</v>
      </c>
      <c r="D200" s="16">
        <v>25721.0822</v>
      </c>
      <c r="E200" s="16">
        <v>0.0</v>
      </c>
      <c r="F200" s="16">
        <v>0.0</v>
      </c>
      <c r="G200" s="16">
        <v>11867.0</v>
      </c>
      <c r="H200" s="16">
        <v>37.4143933</v>
      </c>
      <c r="I200" s="16">
        <v>9870.0</v>
      </c>
      <c r="J200" s="16">
        <v>31.1182322</v>
      </c>
      <c r="K200" s="16">
        <v>11455.0</v>
      </c>
      <c r="L200" s="16">
        <v>36.1154357</v>
      </c>
      <c r="M200" s="16">
        <v>1.0</v>
      </c>
      <c r="N200" s="16">
        <v>0.00315281</v>
      </c>
      <c r="O200" s="16">
        <v>317.0</v>
      </c>
      <c r="P200" s="16">
        <v>0.99944069</v>
      </c>
      <c r="Q200" s="17">
        <f t="shared" si="1"/>
        <v>0.8616324749</v>
      </c>
    </row>
    <row r="201">
      <c r="A201" s="18">
        <v>653.0</v>
      </c>
      <c r="B201" s="19">
        <v>401.642347</v>
      </c>
      <c r="C201" s="20">
        <v>1.0369429E7</v>
      </c>
      <c r="D201" s="20">
        <v>25817.569</v>
      </c>
      <c r="E201" s="20">
        <v>0.0</v>
      </c>
      <c r="F201" s="20">
        <v>0.0</v>
      </c>
      <c r="G201" s="20">
        <v>14936.0</v>
      </c>
      <c r="H201" s="20">
        <v>37.1873138</v>
      </c>
      <c r="I201" s="20">
        <v>12466.0</v>
      </c>
      <c r="J201" s="20">
        <v>31.0375639</v>
      </c>
      <c r="K201" s="20">
        <v>14395.0</v>
      </c>
      <c r="L201" s="20">
        <v>35.8403443</v>
      </c>
      <c r="M201" s="20">
        <v>1.0</v>
      </c>
      <c r="N201" s="20">
        <v>0.00248978</v>
      </c>
      <c r="O201" s="20">
        <v>402.0</v>
      </c>
      <c r="P201" s="20">
        <v>1.00089048</v>
      </c>
      <c r="Q201" s="21">
        <f t="shared" si="1"/>
        <v>0.8659951372</v>
      </c>
    </row>
    <row r="202">
      <c r="A202" s="14">
        <v>655.0</v>
      </c>
      <c r="B202" s="15">
        <v>255.904118</v>
      </c>
      <c r="C202" s="16">
        <v>6475177.0</v>
      </c>
      <c r="D202" s="16">
        <v>25303.1372</v>
      </c>
      <c r="E202" s="16">
        <v>0.0</v>
      </c>
      <c r="F202" s="16">
        <v>0.0</v>
      </c>
      <c r="G202" s="16">
        <v>9231.0</v>
      </c>
      <c r="H202" s="16">
        <v>36.0721042</v>
      </c>
      <c r="I202" s="16">
        <v>7756.0</v>
      </c>
      <c r="J202" s="16">
        <v>30.3082266</v>
      </c>
      <c r="K202" s="16">
        <v>8874.0</v>
      </c>
      <c r="L202" s="16">
        <v>34.6770504</v>
      </c>
      <c r="M202" s="16">
        <v>1.0</v>
      </c>
      <c r="N202" s="16">
        <v>0.00390771</v>
      </c>
      <c r="O202" s="16">
        <v>256.0</v>
      </c>
      <c r="P202" s="16">
        <v>1.00037468</v>
      </c>
      <c r="Q202" s="17">
        <f t="shared" si="1"/>
        <v>0.8740139734</v>
      </c>
    </row>
    <row r="203">
      <c r="A203" s="18">
        <v>656.0</v>
      </c>
      <c r="B203" s="19">
        <v>462.831204</v>
      </c>
      <c r="C203" s="20">
        <v>1.1494087E7</v>
      </c>
      <c r="D203" s="20">
        <v>24834.2958</v>
      </c>
      <c r="E203" s="20">
        <v>0.0</v>
      </c>
      <c r="F203" s="20">
        <v>0.0</v>
      </c>
      <c r="G203" s="20">
        <v>2742.0</v>
      </c>
      <c r="H203" s="20">
        <v>5.92440609</v>
      </c>
      <c r="I203" s="20">
        <v>2988.0</v>
      </c>
      <c r="J203" s="20">
        <v>6.45591735</v>
      </c>
      <c r="K203" s="20">
        <v>2603.0</v>
      </c>
      <c r="L203" s="20">
        <v>5.62408061</v>
      </c>
      <c r="M203" s="20">
        <v>1.0</v>
      </c>
      <c r="N203" s="20">
        <v>0.00216061</v>
      </c>
      <c r="O203" s="20">
        <v>463.0</v>
      </c>
      <c r="P203" s="20">
        <v>1.0003647</v>
      </c>
      <c r="Q203" s="21">
        <f t="shared" si="1"/>
        <v>1.147906262</v>
      </c>
    </row>
    <row r="204">
      <c r="A204" s="14">
        <v>657.0</v>
      </c>
      <c r="B204" s="15">
        <v>400.540214</v>
      </c>
      <c r="C204" s="16">
        <v>1.0051891E7</v>
      </c>
      <c r="D204" s="16">
        <v>25095.8347</v>
      </c>
      <c r="E204" s="16">
        <v>0.0</v>
      </c>
      <c r="F204" s="16">
        <v>0.0</v>
      </c>
      <c r="G204" s="16">
        <v>2462.0</v>
      </c>
      <c r="H204" s="16">
        <v>6.14669866</v>
      </c>
      <c r="I204" s="16">
        <v>2647.0</v>
      </c>
      <c r="J204" s="16">
        <v>6.60857488</v>
      </c>
      <c r="K204" s="16">
        <v>2321.0</v>
      </c>
      <c r="L204" s="16">
        <v>5.79467408</v>
      </c>
      <c r="M204" s="16">
        <v>1.0</v>
      </c>
      <c r="N204" s="16">
        <v>0.00249663</v>
      </c>
      <c r="O204" s="16">
        <v>401.0</v>
      </c>
      <c r="P204" s="16">
        <v>1.00114791</v>
      </c>
      <c r="Q204" s="17">
        <f t="shared" si="1"/>
        <v>1.1404567</v>
      </c>
    </row>
    <row r="205">
      <c r="A205" s="18">
        <v>660.0</v>
      </c>
      <c r="B205" s="19">
        <v>553.822253</v>
      </c>
      <c r="C205" s="20">
        <v>1.3029144E7</v>
      </c>
      <c r="D205" s="20">
        <v>23525.8586</v>
      </c>
      <c r="E205" s="20">
        <v>0.0</v>
      </c>
      <c r="F205" s="20">
        <v>0.0</v>
      </c>
      <c r="G205" s="20">
        <v>21852.0</v>
      </c>
      <c r="H205" s="20">
        <v>39.4567027</v>
      </c>
      <c r="I205" s="20">
        <v>17932.0</v>
      </c>
      <c r="J205" s="20">
        <v>32.3786195</v>
      </c>
      <c r="K205" s="20">
        <v>20939.0</v>
      </c>
      <c r="L205" s="20">
        <v>37.8081593</v>
      </c>
      <c r="M205" s="20">
        <v>1.0</v>
      </c>
      <c r="N205" s="20">
        <v>0.00180563</v>
      </c>
      <c r="O205" s="20">
        <v>554.0</v>
      </c>
      <c r="P205" s="20">
        <v>1.00032095</v>
      </c>
      <c r="Q205" s="21">
        <f t="shared" si="1"/>
        <v>0.8563923779</v>
      </c>
    </row>
    <row r="206">
      <c r="A206" s="14">
        <v>661.0</v>
      </c>
      <c r="B206" s="15">
        <v>174.316655</v>
      </c>
      <c r="C206" s="16">
        <v>4077875.0</v>
      </c>
      <c r="D206" s="16">
        <v>23393.4904</v>
      </c>
      <c r="E206" s="16">
        <v>0.0</v>
      </c>
      <c r="F206" s="16">
        <v>0.0</v>
      </c>
      <c r="G206" s="16">
        <v>6920.0</v>
      </c>
      <c r="H206" s="16">
        <v>39.6978704</v>
      </c>
      <c r="I206" s="16">
        <v>5618.0</v>
      </c>
      <c r="J206" s="16">
        <v>32.2287046</v>
      </c>
      <c r="K206" s="16">
        <v>6641.0</v>
      </c>
      <c r="L206" s="16">
        <v>38.0973349</v>
      </c>
      <c r="M206" s="16">
        <v>1.0</v>
      </c>
      <c r="N206" s="16">
        <v>0.00573669</v>
      </c>
      <c r="O206" s="16">
        <v>174.0</v>
      </c>
      <c r="P206" s="16">
        <v>0.99818345</v>
      </c>
      <c r="Q206" s="17">
        <f t="shared" si="1"/>
        <v>0.8459569342</v>
      </c>
    </row>
    <row r="207">
      <c r="A207" s="18">
        <v>706.0</v>
      </c>
      <c r="B207" s="19">
        <v>614.285116</v>
      </c>
      <c r="C207" s="20">
        <v>1.2815346E7</v>
      </c>
      <c r="D207" s="20">
        <v>20862.2115</v>
      </c>
      <c r="E207" s="20">
        <v>4.292857331E9</v>
      </c>
      <c r="F207" s="20">
        <v>6988379.21</v>
      </c>
      <c r="G207" s="20">
        <v>4556.0</v>
      </c>
      <c r="H207" s="20">
        <v>7.41675141</v>
      </c>
      <c r="I207" s="20">
        <v>3941.0</v>
      </c>
      <c r="J207" s="20">
        <v>6.41558765</v>
      </c>
      <c r="K207" s="20">
        <v>4048.0</v>
      </c>
      <c r="L207" s="20">
        <v>6.58977386</v>
      </c>
      <c r="M207" s="20">
        <v>1.0</v>
      </c>
      <c r="N207" s="20">
        <v>0.00162791</v>
      </c>
      <c r="O207" s="20">
        <v>615.0</v>
      </c>
      <c r="P207" s="20">
        <v>1.00116377</v>
      </c>
      <c r="Q207" s="21">
        <f t="shared" si="1"/>
        <v>0.9735671937</v>
      </c>
    </row>
    <row r="208">
      <c r="A208" s="14">
        <v>707.0</v>
      </c>
      <c r="B208" s="15">
        <v>98.1006918</v>
      </c>
      <c r="C208" s="16">
        <v>1907352.0</v>
      </c>
      <c r="D208" s="16">
        <v>19442.7987</v>
      </c>
      <c r="E208" s="16">
        <v>4.277451499E9</v>
      </c>
      <c r="F208" s="16">
        <v>4.36026639E7</v>
      </c>
      <c r="G208" s="16">
        <v>686.0</v>
      </c>
      <c r="H208" s="16">
        <v>6.99281511</v>
      </c>
      <c r="I208" s="16">
        <v>592.0</v>
      </c>
      <c r="J208" s="16">
        <v>6.03461595</v>
      </c>
      <c r="K208" s="16">
        <v>612.0</v>
      </c>
      <c r="L208" s="16">
        <v>6.23848811</v>
      </c>
      <c r="M208" s="16">
        <v>1.0</v>
      </c>
      <c r="N208" s="16">
        <v>0.01019361</v>
      </c>
      <c r="O208" s="16">
        <v>98.0</v>
      </c>
      <c r="P208" s="16">
        <v>0.99897359</v>
      </c>
      <c r="Q208" s="17">
        <f t="shared" si="1"/>
        <v>0.9673202614</v>
      </c>
    </row>
    <row r="209">
      <c r="A209" s="18">
        <v>708.0</v>
      </c>
      <c r="B209" s="19">
        <v>306.345991</v>
      </c>
      <c r="C209" s="20">
        <v>6372594.0</v>
      </c>
      <c r="D209" s="20">
        <v>20801.95</v>
      </c>
      <c r="E209" s="20">
        <v>4.289113273E9</v>
      </c>
      <c r="F209" s="20">
        <v>1.40008794E7</v>
      </c>
      <c r="G209" s="20">
        <v>2290.0</v>
      </c>
      <c r="H209" s="20">
        <v>7.47520798</v>
      </c>
      <c r="I209" s="20">
        <v>1973.0</v>
      </c>
      <c r="J209" s="20">
        <v>6.44043028</v>
      </c>
      <c r="K209" s="20">
        <v>2039.0</v>
      </c>
      <c r="L209" s="20">
        <v>6.65587296</v>
      </c>
      <c r="M209" s="20">
        <v>1.0</v>
      </c>
      <c r="N209" s="20">
        <v>0.00326428</v>
      </c>
      <c r="O209" s="20">
        <v>307.0</v>
      </c>
      <c r="P209" s="20">
        <v>1.00213487</v>
      </c>
      <c r="Q209" s="21">
        <f t="shared" si="1"/>
        <v>0.9676311918</v>
      </c>
    </row>
    <row r="210">
      <c r="A210" s="14">
        <v>713.0</v>
      </c>
      <c r="B210" s="15">
        <v>404.886137</v>
      </c>
      <c r="C210" s="16">
        <v>8838129.0</v>
      </c>
      <c r="D210" s="16">
        <v>21828.6777</v>
      </c>
      <c r="E210" s="16">
        <v>4.290331755E9</v>
      </c>
      <c r="F210" s="16">
        <v>1.05963908E7</v>
      </c>
      <c r="G210" s="16">
        <v>3240.0</v>
      </c>
      <c r="H210" s="16">
        <v>8.00224978</v>
      </c>
      <c r="I210" s="16">
        <v>2735.0</v>
      </c>
      <c r="J210" s="16">
        <v>6.75498554</v>
      </c>
      <c r="K210" s="16">
        <v>2837.0</v>
      </c>
      <c r="L210" s="16">
        <v>7.00690822</v>
      </c>
      <c r="M210" s="16">
        <v>1.0</v>
      </c>
      <c r="N210" s="16">
        <v>0.00246983</v>
      </c>
      <c r="O210" s="16">
        <v>405.0</v>
      </c>
      <c r="P210" s="16">
        <v>1.00028122</v>
      </c>
      <c r="Q210" s="17">
        <f t="shared" si="1"/>
        <v>0.964046528</v>
      </c>
    </row>
    <row r="211">
      <c r="A211" s="18">
        <v>714.0</v>
      </c>
      <c r="B211" s="19">
        <v>247.544007</v>
      </c>
      <c r="C211" s="20">
        <v>5326222.0</v>
      </c>
      <c r="D211" s="20">
        <v>21516.2632</v>
      </c>
      <c r="E211" s="20">
        <v>4.291544979E9</v>
      </c>
      <c r="F211" s="20">
        <v>1.73364931E7</v>
      </c>
      <c r="G211" s="20">
        <v>1945.0</v>
      </c>
      <c r="H211" s="20">
        <v>7.8571888</v>
      </c>
      <c r="I211" s="20">
        <v>1616.0</v>
      </c>
      <c r="J211" s="20">
        <v>6.52813219</v>
      </c>
      <c r="K211" s="20">
        <v>1688.0</v>
      </c>
      <c r="L211" s="20">
        <v>6.81898956</v>
      </c>
      <c r="M211" s="20">
        <v>1.0</v>
      </c>
      <c r="N211" s="20">
        <v>0.00403969</v>
      </c>
      <c r="O211" s="20">
        <v>247.0</v>
      </c>
      <c r="P211" s="20">
        <v>0.99780238</v>
      </c>
      <c r="Q211" s="21">
        <f t="shared" si="1"/>
        <v>0.9573459716</v>
      </c>
    </row>
    <row r="212">
      <c r="A212" s="14">
        <v>715.0</v>
      </c>
      <c r="B212" s="15">
        <v>162.89443</v>
      </c>
      <c r="C212" s="16">
        <v>3503659.0</v>
      </c>
      <c r="D212" s="16">
        <v>21508.771</v>
      </c>
      <c r="E212" s="16">
        <v>4.287556772E9</v>
      </c>
      <c r="F212" s="16">
        <v>2.63210766E7</v>
      </c>
      <c r="G212" s="16">
        <v>1305.0</v>
      </c>
      <c r="H212" s="16">
        <v>8.01132365</v>
      </c>
      <c r="I212" s="16">
        <v>1085.0</v>
      </c>
      <c r="J212" s="16">
        <v>6.66075568</v>
      </c>
      <c r="K212" s="16">
        <v>1137.0</v>
      </c>
      <c r="L212" s="16">
        <v>6.97998083</v>
      </c>
      <c r="M212" s="16">
        <v>1.0</v>
      </c>
      <c r="N212" s="16">
        <v>0.00613895</v>
      </c>
      <c r="O212" s="16">
        <v>163.0</v>
      </c>
      <c r="P212" s="16">
        <v>1.00064809</v>
      </c>
      <c r="Q212" s="17">
        <f t="shared" si="1"/>
        <v>0.9542656113</v>
      </c>
    </row>
    <row r="213">
      <c r="A213" s="18">
        <v>716.0</v>
      </c>
      <c r="B213" s="19">
        <v>336.541914</v>
      </c>
      <c r="C213" s="20">
        <v>7385354.0</v>
      </c>
      <c r="D213" s="20">
        <v>21944.8267</v>
      </c>
      <c r="E213" s="20">
        <v>4.29350799E9</v>
      </c>
      <c r="F213" s="20">
        <v>1.27577214E7</v>
      </c>
      <c r="G213" s="20">
        <v>2627.0</v>
      </c>
      <c r="H213" s="20">
        <v>7.80586277</v>
      </c>
      <c r="I213" s="20">
        <v>2180.0</v>
      </c>
      <c r="J213" s="20">
        <v>6.47764783</v>
      </c>
      <c r="K213" s="20">
        <v>2260.0</v>
      </c>
      <c r="L213" s="20">
        <v>6.71535968</v>
      </c>
      <c r="M213" s="20">
        <v>1.0</v>
      </c>
      <c r="N213" s="20">
        <v>0.0029714</v>
      </c>
      <c r="O213" s="20">
        <v>337.0</v>
      </c>
      <c r="P213" s="20">
        <v>1.00136116</v>
      </c>
      <c r="Q213" s="21">
        <f t="shared" si="1"/>
        <v>0.9646017699</v>
      </c>
    </row>
    <row r="214">
      <c r="A214" s="14">
        <v>717.0</v>
      </c>
      <c r="B214" s="15">
        <v>321.788124</v>
      </c>
      <c r="C214" s="16">
        <v>6929666.0</v>
      </c>
      <c r="D214" s="16">
        <v>21534.8718</v>
      </c>
      <c r="E214" s="16">
        <v>4.292351379E9</v>
      </c>
      <c r="F214" s="16">
        <v>1.33390609E7</v>
      </c>
      <c r="G214" s="16">
        <v>2448.0</v>
      </c>
      <c r="H214" s="16">
        <v>7.6074902</v>
      </c>
      <c r="I214" s="16">
        <v>2041.0</v>
      </c>
      <c r="J214" s="16">
        <v>6.3426828</v>
      </c>
      <c r="K214" s="16">
        <v>2118.0</v>
      </c>
      <c r="L214" s="16">
        <v>6.58197069</v>
      </c>
      <c r="M214" s="16">
        <v>1.0</v>
      </c>
      <c r="N214" s="16">
        <v>0.00310763</v>
      </c>
      <c r="O214" s="16">
        <v>322.0</v>
      </c>
      <c r="P214" s="16">
        <v>1.00065843</v>
      </c>
      <c r="Q214" s="17">
        <f t="shared" si="1"/>
        <v>0.9636449481</v>
      </c>
    </row>
    <row r="215">
      <c r="A215" s="18">
        <v>718.0</v>
      </c>
      <c r="B215" s="19">
        <v>181.199726</v>
      </c>
      <c r="C215" s="20">
        <v>3966677.0</v>
      </c>
      <c r="D215" s="20">
        <v>21891.1866</v>
      </c>
      <c r="E215" s="20">
        <v>4.285807196E9</v>
      </c>
      <c r="F215" s="20">
        <v>2.36523934E7</v>
      </c>
      <c r="G215" s="20">
        <v>1485.0</v>
      </c>
      <c r="H215" s="20">
        <v>8.19537665</v>
      </c>
      <c r="I215" s="20">
        <v>1218.0</v>
      </c>
      <c r="J215" s="20">
        <v>6.72186449</v>
      </c>
      <c r="K215" s="20">
        <v>1277.0</v>
      </c>
      <c r="L215" s="20">
        <v>7.04747204</v>
      </c>
      <c r="M215" s="20">
        <v>1.0</v>
      </c>
      <c r="N215" s="20">
        <v>0.00551877</v>
      </c>
      <c r="O215" s="20">
        <v>181.0</v>
      </c>
      <c r="P215" s="20">
        <v>0.99889776</v>
      </c>
      <c r="Q215" s="21">
        <f t="shared" si="1"/>
        <v>0.953797964</v>
      </c>
    </row>
    <row r="216">
      <c r="A216" s="14">
        <v>719.0</v>
      </c>
      <c r="B216" s="15">
        <v>257.297411</v>
      </c>
      <c r="C216" s="16">
        <v>5353728.0</v>
      </c>
      <c r="D216" s="16">
        <v>20807.5471</v>
      </c>
      <c r="E216" s="16">
        <v>4.287477497E9</v>
      </c>
      <c r="F216" s="16">
        <v>1.66635081E7</v>
      </c>
      <c r="G216" s="16">
        <v>1914.0</v>
      </c>
      <c r="H216" s="16">
        <v>7.43886225</v>
      </c>
      <c r="I216" s="16">
        <v>1602.0</v>
      </c>
      <c r="J216" s="16">
        <v>6.22625775</v>
      </c>
      <c r="K216" s="16">
        <v>1663.0</v>
      </c>
      <c r="L216" s="16">
        <v>6.46333747</v>
      </c>
      <c r="M216" s="16">
        <v>1.0</v>
      </c>
      <c r="N216" s="16">
        <v>0.00388655</v>
      </c>
      <c r="O216" s="16">
        <v>258.0</v>
      </c>
      <c r="P216" s="16">
        <v>1.00273065</v>
      </c>
      <c r="Q216" s="17">
        <f t="shared" si="1"/>
        <v>0.9633193025</v>
      </c>
    </row>
    <row r="217">
      <c r="A217" s="18">
        <v>720.0</v>
      </c>
      <c r="B217" s="19">
        <v>514.289824</v>
      </c>
      <c r="C217" s="20">
        <v>1.1309679E7</v>
      </c>
      <c r="D217" s="20">
        <v>21990.8668</v>
      </c>
      <c r="E217" s="20">
        <v>4.292170478E9</v>
      </c>
      <c r="F217" s="20">
        <v>8345820.35</v>
      </c>
      <c r="G217" s="20">
        <v>4304.0</v>
      </c>
      <c r="H217" s="20">
        <v>8.36882201</v>
      </c>
      <c r="I217" s="20">
        <v>3512.0</v>
      </c>
      <c r="J217" s="20">
        <v>6.82883432</v>
      </c>
      <c r="K217" s="20">
        <v>3657.0</v>
      </c>
      <c r="L217" s="20">
        <v>7.11077651</v>
      </c>
      <c r="M217" s="20">
        <v>1.0</v>
      </c>
      <c r="N217" s="20">
        <v>0.00194443</v>
      </c>
      <c r="O217" s="20">
        <v>514.0</v>
      </c>
      <c r="P217" s="20">
        <v>0.99943646</v>
      </c>
      <c r="Q217" s="21">
        <f t="shared" si="1"/>
        <v>0.9603500137</v>
      </c>
    </row>
    <row r="218">
      <c r="A218" s="14">
        <v>721.0</v>
      </c>
      <c r="B218" s="15">
        <v>194.143004</v>
      </c>
      <c r="C218" s="16">
        <v>4482737.0</v>
      </c>
      <c r="D218" s="16">
        <v>23089.8714</v>
      </c>
      <c r="E218" s="16">
        <v>4.292230357E9</v>
      </c>
      <c r="F218" s="16">
        <v>2.21086018E7</v>
      </c>
      <c r="G218" s="16">
        <v>1699.0</v>
      </c>
      <c r="H218" s="16">
        <v>8.75128109</v>
      </c>
      <c r="I218" s="16">
        <v>1375.0</v>
      </c>
      <c r="J218" s="16">
        <v>7.08240818</v>
      </c>
      <c r="K218" s="16">
        <v>1429.0</v>
      </c>
      <c r="L218" s="16">
        <v>7.36055367</v>
      </c>
      <c r="M218" s="16">
        <v>1.0</v>
      </c>
      <c r="N218" s="16">
        <v>0.00515084</v>
      </c>
      <c r="O218" s="16">
        <v>194.0</v>
      </c>
      <c r="P218" s="16">
        <v>0.99926341</v>
      </c>
      <c r="Q218" s="17">
        <f t="shared" si="1"/>
        <v>0.9622113366</v>
      </c>
    </row>
    <row r="219">
      <c r="A219" s="18">
        <v>722.0</v>
      </c>
      <c r="B219" s="19">
        <v>381.492819</v>
      </c>
      <c r="C219" s="20">
        <v>8666714.0</v>
      </c>
      <c r="D219" s="20">
        <v>22717.8955</v>
      </c>
      <c r="E219" s="20">
        <v>4.293832658E9</v>
      </c>
      <c r="F219" s="20">
        <v>1.12553433E7</v>
      </c>
      <c r="G219" s="20">
        <v>3301.0</v>
      </c>
      <c r="H219" s="20">
        <v>8.65284964</v>
      </c>
      <c r="I219" s="20">
        <v>2673.0</v>
      </c>
      <c r="J219" s="20">
        <v>7.00668497</v>
      </c>
      <c r="K219" s="20">
        <v>2779.0</v>
      </c>
      <c r="L219" s="20">
        <v>7.28454079</v>
      </c>
      <c r="M219" s="20">
        <v>1.0</v>
      </c>
      <c r="N219" s="20">
        <v>0.00262128</v>
      </c>
      <c r="O219" s="20">
        <v>382.0</v>
      </c>
      <c r="P219" s="20">
        <v>1.00132946</v>
      </c>
      <c r="Q219" s="21">
        <f t="shared" si="1"/>
        <v>0.961856783</v>
      </c>
    </row>
    <row r="220">
      <c r="A220" s="14">
        <v>723.0</v>
      </c>
      <c r="B220" s="15">
        <v>50.5959128</v>
      </c>
      <c r="C220" s="16">
        <v>1130105.0</v>
      </c>
      <c r="D220" s="16">
        <v>22335.8951</v>
      </c>
      <c r="E220" s="16">
        <v>4.282650603E9</v>
      </c>
      <c r="F220" s="16">
        <v>8.46442008E7</v>
      </c>
      <c r="G220" s="16">
        <v>443.0</v>
      </c>
      <c r="H220" s="16">
        <v>8.75564795</v>
      </c>
      <c r="I220" s="16">
        <v>363.0</v>
      </c>
      <c r="J220" s="16">
        <v>7.17449256</v>
      </c>
      <c r="K220" s="16">
        <v>377.0</v>
      </c>
      <c r="L220" s="16">
        <v>7.45119475</v>
      </c>
      <c r="M220" s="16">
        <v>1.0</v>
      </c>
      <c r="N220" s="16">
        <v>0.01976444</v>
      </c>
      <c r="O220" s="16">
        <v>50.0</v>
      </c>
      <c r="P220" s="16">
        <v>0.98822212</v>
      </c>
      <c r="Q220" s="17">
        <f t="shared" si="1"/>
        <v>0.9628647215</v>
      </c>
    </row>
    <row r="221">
      <c r="A221" s="18">
        <v>724.0</v>
      </c>
      <c r="B221" s="19">
        <v>498.037813</v>
      </c>
      <c r="C221" s="20">
        <v>1.1125605E7</v>
      </c>
      <c r="D221" s="20">
        <v>22338.8761</v>
      </c>
      <c r="E221" s="20">
        <v>4.294164623E9</v>
      </c>
      <c r="F221" s="20">
        <v>8622165.85</v>
      </c>
      <c r="G221" s="20">
        <v>4112.0</v>
      </c>
      <c r="H221" s="20">
        <v>8.2564012</v>
      </c>
      <c r="I221" s="20">
        <v>3356.0</v>
      </c>
      <c r="J221" s="20">
        <v>6.73844417</v>
      </c>
      <c r="K221" s="20">
        <v>3493.0</v>
      </c>
      <c r="L221" s="20">
        <v>7.01352369</v>
      </c>
      <c r="M221" s="20">
        <v>1.0</v>
      </c>
      <c r="N221" s="20">
        <v>0.00200788</v>
      </c>
      <c r="O221" s="20">
        <v>498.0</v>
      </c>
      <c r="P221" s="20">
        <v>0.99992408</v>
      </c>
      <c r="Q221" s="21">
        <f t="shared" si="1"/>
        <v>0.9607787003</v>
      </c>
    </row>
    <row r="222">
      <c r="A222" s="14">
        <v>725.0</v>
      </c>
      <c r="B222" s="15">
        <v>836.280278</v>
      </c>
      <c r="C222" s="16">
        <v>1.8822471E7</v>
      </c>
      <c r="D222" s="16">
        <v>22507.3716</v>
      </c>
      <c r="E222" s="16">
        <v>4.293881851E9</v>
      </c>
      <c r="F222" s="16">
        <v>5134500.92</v>
      </c>
      <c r="G222" s="16">
        <v>6988.0</v>
      </c>
      <c r="H222" s="16">
        <v>8.35605022</v>
      </c>
      <c r="I222" s="16">
        <v>5627.0</v>
      </c>
      <c r="J222" s="16">
        <v>6.72860541</v>
      </c>
      <c r="K222" s="16">
        <v>5871.0</v>
      </c>
      <c r="L222" s="16">
        <v>7.02037362</v>
      </c>
      <c r="M222" s="16">
        <v>1.0</v>
      </c>
      <c r="N222" s="16">
        <v>0.00119577</v>
      </c>
      <c r="O222" s="16">
        <v>837.0</v>
      </c>
      <c r="P222" s="16">
        <v>1.00086062</v>
      </c>
      <c r="Q222" s="17">
        <f t="shared" si="1"/>
        <v>0.9584397888</v>
      </c>
    </row>
    <row r="223">
      <c r="A223" s="18">
        <v>726.0</v>
      </c>
      <c r="B223" s="19">
        <v>152.44708</v>
      </c>
      <c r="C223" s="20">
        <v>3008333.0</v>
      </c>
      <c r="D223" s="20">
        <v>19733.6216</v>
      </c>
      <c r="E223" s="20">
        <v>4.284982426E9</v>
      </c>
      <c r="F223" s="20">
        <v>2.81079993E7</v>
      </c>
      <c r="G223" s="20">
        <v>1457.0</v>
      </c>
      <c r="H223" s="20">
        <v>9.55741493</v>
      </c>
      <c r="I223" s="20">
        <v>1138.0</v>
      </c>
      <c r="J223" s="20">
        <v>7.46488551</v>
      </c>
      <c r="K223" s="20">
        <v>1185.0</v>
      </c>
      <c r="L223" s="20">
        <v>7.77318922</v>
      </c>
      <c r="M223" s="20">
        <v>1.0</v>
      </c>
      <c r="N223" s="20">
        <v>0.00655965</v>
      </c>
      <c r="O223" s="20">
        <v>152.0</v>
      </c>
      <c r="P223" s="20">
        <v>0.99706731</v>
      </c>
      <c r="Q223" s="21">
        <f t="shared" si="1"/>
        <v>0.9603375527</v>
      </c>
    </row>
    <row r="224">
      <c r="A224" s="14">
        <v>727.0</v>
      </c>
      <c r="B224" s="15">
        <v>514.637465</v>
      </c>
      <c r="C224" s="16">
        <v>9920998.0</v>
      </c>
      <c r="D224" s="16">
        <v>19277.6443</v>
      </c>
      <c r="E224" s="16">
        <v>4.293771498E9</v>
      </c>
      <c r="F224" s="16">
        <v>8343293.66</v>
      </c>
      <c r="G224" s="16">
        <v>4947.0</v>
      </c>
      <c r="H224" s="16">
        <v>9.61259205</v>
      </c>
      <c r="I224" s="16">
        <v>3919.0</v>
      </c>
      <c r="J224" s="16">
        <v>7.61506938</v>
      </c>
      <c r="K224" s="16">
        <v>4078.0</v>
      </c>
      <c r="L224" s="16">
        <v>7.92402474</v>
      </c>
      <c r="M224" s="16">
        <v>1.0</v>
      </c>
      <c r="N224" s="16">
        <v>0.00194312</v>
      </c>
      <c r="O224" s="16">
        <v>515.0</v>
      </c>
      <c r="P224" s="16">
        <v>1.00070445</v>
      </c>
      <c r="Q224" s="17">
        <f t="shared" si="1"/>
        <v>0.9610102992</v>
      </c>
    </row>
    <row r="225">
      <c r="A225" s="18">
        <v>728.0</v>
      </c>
      <c r="B225" s="19">
        <v>365.340984</v>
      </c>
      <c r="C225" s="20">
        <v>7095306.0</v>
      </c>
      <c r="D225" s="20">
        <v>19421.0513</v>
      </c>
      <c r="E225" s="20">
        <v>4.292192151E9</v>
      </c>
      <c r="F225" s="20">
        <v>1.17484551E7</v>
      </c>
      <c r="G225" s="20">
        <v>3424.0</v>
      </c>
      <c r="H225" s="20">
        <v>9.37206651</v>
      </c>
      <c r="I225" s="20">
        <v>2687.0</v>
      </c>
      <c r="J225" s="20">
        <v>7.35477299</v>
      </c>
      <c r="K225" s="20">
        <v>2815.0</v>
      </c>
      <c r="L225" s="20">
        <v>7.70513061</v>
      </c>
      <c r="M225" s="20">
        <v>1.0</v>
      </c>
      <c r="N225" s="20">
        <v>0.00273717</v>
      </c>
      <c r="O225" s="20">
        <v>365.0</v>
      </c>
      <c r="P225" s="20">
        <v>0.99906667</v>
      </c>
      <c r="Q225" s="21">
        <f t="shared" si="1"/>
        <v>0.9545293073</v>
      </c>
    </row>
    <row r="226">
      <c r="A226" s="14">
        <v>729.0</v>
      </c>
      <c r="B226" s="15">
        <v>238.497801</v>
      </c>
      <c r="C226" s="16">
        <v>4667282.0</v>
      </c>
      <c r="D226" s="16">
        <v>19569.497</v>
      </c>
      <c r="E226" s="16">
        <v>4.292447215E9</v>
      </c>
      <c r="F226" s="16">
        <v>1.79978482E7</v>
      </c>
      <c r="G226" s="16">
        <v>2253.0</v>
      </c>
      <c r="H226" s="16">
        <v>9.44662797</v>
      </c>
      <c r="I226" s="16">
        <v>1757.0</v>
      </c>
      <c r="J226" s="16">
        <v>7.36694423</v>
      </c>
      <c r="K226" s="16">
        <v>1837.0</v>
      </c>
      <c r="L226" s="16">
        <v>7.70237709</v>
      </c>
      <c r="M226" s="16">
        <v>1.0</v>
      </c>
      <c r="N226" s="16">
        <v>0.00419291</v>
      </c>
      <c r="O226" s="16">
        <v>238.0</v>
      </c>
      <c r="P226" s="16">
        <v>0.99791276</v>
      </c>
      <c r="Q226" s="17">
        <f t="shared" si="1"/>
        <v>0.9564507349</v>
      </c>
    </row>
    <row r="227">
      <c r="A227" s="18">
        <v>730.0</v>
      </c>
      <c r="B227" s="19">
        <v>267.39461</v>
      </c>
      <c r="C227" s="20">
        <v>5189935.0</v>
      </c>
      <c r="D227" s="20">
        <v>19409.2731</v>
      </c>
      <c r="E227" s="20">
        <v>4.292449264E9</v>
      </c>
      <c r="F227" s="20">
        <v>1.60528639E7</v>
      </c>
      <c r="G227" s="20">
        <v>2518.0</v>
      </c>
      <c r="H227" s="20">
        <v>9.41679417</v>
      </c>
      <c r="I227" s="20">
        <v>1967.0</v>
      </c>
      <c r="J227" s="20">
        <v>7.35616923</v>
      </c>
      <c r="K227" s="20">
        <v>2055.0</v>
      </c>
      <c r="L227" s="20">
        <v>7.68527086</v>
      </c>
      <c r="M227" s="20">
        <v>1.0</v>
      </c>
      <c r="N227" s="20">
        <v>0.00373979</v>
      </c>
      <c r="O227" s="20">
        <v>268.0</v>
      </c>
      <c r="P227" s="20">
        <v>1.00226403</v>
      </c>
      <c r="Q227" s="21">
        <f t="shared" si="1"/>
        <v>0.9571776156</v>
      </c>
    </row>
    <row r="228">
      <c r="A228" s="14">
        <v>731.0</v>
      </c>
      <c r="B228" s="15">
        <v>650.03318</v>
      </c>
      <c r="C228" s="16">
        <v>9022903.0</v>
      </c>
      <c r="D228" s="16">
        <v>13880.6807</v>
      </c>
      <c r="E228" s="16">
        <v>4.294124057E9</v>
      </c>
      <c r="F228" s="16">
        <v>6606007.49</v>
      </c>
      <c r="G228" s="16">
        <v>6565.0</v>
      </c>
      <c r="H228" s="16">
        <v>10.0994845</v>
      </c>
      <c r="I228" s="16">
        <v>4889.0</v>
      </c>
      <c r="J228" s="16">
        <v>7.52115454</v>
      </c>
      <c r="K228" s="16">
        <v>5084.0</v>
      </c>
      <c r="L228" s="16">
        <v>7.82113922</v>
      </c>
      <c r="M228" s="16">
        <v>1.0</v>
      </c>
      <c r="N228" s="16">
        <v>0.00153838</v>
      </c>
      <c r="O228" s="16">
        <v>650.0</v>
      </c>
      <c r="P228" s="16">
        <v>0.99994896</v>
      </c>
      <c r="Q228" s="17">
        <f t="shared" si="1"/>
        <v>0.9616443745</v>
      </c>
    </row>
    <row r="229">
      <c r="A229" s="18">
        <v>732.0</v>
      </c>
      <c r="B229" s="19">
        <v>499.486272</v>
      </c>
      <c r="C229" s="20">
        <v>6911114.0</v>
      </c>
      <c r="D229" s="20">
        <v>13836.4443</v>
      </c>
      <c r="E229" s="20">
        <v>4.29465725E9</v>
      </c>
      <c r="F229" s="20">
        <v>8598148.72</v>
      </c>
      <c r="G229" s="20">
        <v>5069.0</v>
      </c>
      <c r="H229" s="20">
        <v>10.1484271</v>
      </c>
      <c r="I229" s="20">
        <v>3743.0</v>
      </c>
      <c r="J229" s="20">
        <v>7.49369945</v>
      </c>
      <c r="K229" s="20">
        <v>3905.0</v>
      </c>
      <c r="L229" s="20">
        <v>7.81803269</v>
      </c>
      <c r="M229" s="20">
        <v>1.0</v>
      </c>
      <c r="N229" s="20">
        <v>0.00200206</v>
      </c>
      <c r="O229" s="20">
        <v>499.0</v>
      </c>
      <c r="P229" s="20">
        <v>0.99902646</v>
      </c>
      <c r="Q229" s="21">
        <f t="shared" si="1"/>
        <v>0.9585147247</v>
      </c>
    </row>
    <row r="230">
      <c r="A230" s="14">
        <v>733.0</v>
      </c>
      <c r="B230" s="15">
        <v>1123.16907</v>
      </c>
      <c r="C230" s="16">
        <v>1.5761917E7</v>
      </c>
      <c r="D230" s="16">
        <v>14033.4322</v>
      </c>
      <c r="E230" s="16">
        <v>4.29458883E9</v>
      </c>
      <c r="F230" s="16">
        <v>3823635.24</v>
      </c>
      <c r="G230" s="16">
        <v>11404.0</v>
      </c>
      <c r="H230" s="16">
        <v>10.1534135</v>
      </c>
      <c r="I230" s="16">
        <v>8487.0</v>
      </c>
      <c r="J230" s="16">
        <v>7.55629784</v>
      </c>
      <c r="K230" s="16">
        <v>8861.0</v>
      </c>
      <c r="L230" s="16">
        <v>7.88928422</v>
      </c>
      <c r="M230" s="16">
        <v>1.0</v>
      </c>
      <c r="N230" s="16">
        <v>8.9034E-4</v>
      </c>
      <c r="O230" s="16">
        <v>1123.0</v>
      </c>
      <c r="P230" s="16">
        <v>0.99984947</v>
      </c>
      <c r="Q230" s="17">
        <f t="shared" si="1"/>
        <v>0.9577925742</v>
      </c>
    </row>
    <row r="231">
      <c r="A231" s="18">
        <v>734.0</v>
      </c>
      <c r="B231" s="19">
        <v>243.594241</v>
      </c>
      <c r="C231" s="20">
        <v>626189.0</v>
      </c>
      <c r="D231" s="20">
        <v>2570.62318</v>
      </c>
      <c r="E231" s="20">
        <v>4.288940446E9</v>
      </c>
      <c r="F231" s="20">
        <v>1.76069042E7</v>
      </c>
      <c r="G231" s="20">
        <v>1268.0</v>
      </c>
      <c r="H231" s="20">
        <v>5.20537759</v>
      </c>
      <c r="I231" s="20">
        <v>903.0</v>
      </c>
      <c r="J231" s="20">
        <v>3.7069842</v>
      </c>
      <c r="K231" s="20">
        <v>921.0</v>
      </c>
      <c r="L231" s="20">
        <v>3.78087757</v>
      </c>
      <c r="M231" s="20">
        <v>1.0</v>
      </c>
      <c r="N231" s="20">
        <v>0.00410519</v>
      </c>
      <c r="O231" s="20">
        <v>244.0</v>
      </c>
      <c r="P231" s="20">
        <v>1.00166572</v>
      </c>
      <c r="Q231" s="21">
        <f t="shared" si="1"/>
        <v>0.9804560261</v>
      </c>
    </row>
    <row r="232">
      <c r="A232" s="14">
        <v>735.0</v>
      </c>
      <c r="B232" s="15">
        <v>112.448075</v>
      </c>
      <c r="C232" s="16">
        <v>294229.0</v>
      </c>
      <c r="D232" s="16">
        <v>2616.57658</v>
      </c>
      <c r="E232" s="16">
        <v>4.231651423E9</v>
      </c>
      <c r="F232" s="16">
        <v>3.76320485E7</v>
      </c>
      <c r="G232" s="16">
        <v>618.0</v>
      </c>
      <c r="H232" s="16">
        <v>5.49586997</v>
      </c>
      <c r="I232" s="16">
        <v>439.0</v>
      </c>
      <c r="J232" s="16">
        <v>3.90402414</v>
      </c>
      <c r="K232" s="16">
        <v>450.0</v>
      </c>
      <c r="L232" s="16">
        <v>4.00184707</v>
      </c>
      <c r="M232" s="16">
        <v>1.0</v>
      </c>
      <c r="N232" s="16">
        <v>0.00889299</v>
      </c>
      <c r="O232" s="16">
        <v>113.0</v>
      </c>
      <c r="P232" s="16">
        <v>1.00490826</v>
      </c>
      <c r="Q232" s="17">
        <f t="shared" si="1"/>
        <v>0.9755555556</v>
      </c>
    </row>
    <row r="233">
      <c r="A233" s="18">
        <v>736.0</v>
      </c>
      <c r="B233" s="19">
        <v>317.840172</v>
      </c>
      <c r="C233" s="20">
        <v>837937.0</v>
      </c>
      <c r="D233" s="20">
        <v>2636.34705</v>
      </c>
      <c r="E233" s="20">
        <v>4.291316758E9</v>
      </c>
      <c r="F233" s="20">
        <v>1.35014927E7</v>
      </c>
      <c r="G233" s="20">
        <v>1817.0</v>
      </c>
      <c r="H233" s="20">
        <v>5.71670972</v>
      </c>
      <c r="I233" s="20">
        <v>1306.0</v>
      </c>
      <c r="J233" s="20">
        <v>4.10898343</v>
      </c>
      <c r="K233" s="20">
        <v>1332.0</v>
      </c>
      <c r="L233" s="20">
        <v>4.19078555</v>
      </c>
      <c r="M233" s="20">
        <v>1.0</v>
      </c>
      <c r="N233" s="20">
        <v>0.00314624</v>
      </c>
      <c r="O233" s="20">
        <v>318.0</v>
      </c>
      <c r="P233" s="20">
        <v>1.00050286</v>
      </c>
      <c r="Q233" s="21">
        <f t="shared" si="1"/>
        <v>0.9804804805</v>
      </c>
    </row>
    <row r="234">
      <c r="A234" s="14">
        <v>737.0</v>
      </c>
      <c r="B234" s="15">
        <v>775.878889</v>
      </c>
      <c r="C234" s="16">
        <v>1982026.0</v>
      </c>
      <c r="D234" s="16">
        <v>2554.55591</v>
      </c>
      <c r="E234" s="16">
        <v>4.29273387E9</v>
      </c>
      <c r="F234" s="16">
        <v>5532737.05</v>
      </c>
      <c r="G234" s="16">
        <v>4270.0</v>
      </c>
      <c r="H234" s="16">
        <v>5.50343625</v>
      </c>
      <c r="I234" s="16">
        <v>3039.0</v>
      </c>
      <c r="J234" s="16">
        <v>3.91684842</v>
      </c>
      <c r="K234" s="16">
        <v>3101.0</v>
      </c>
      <c r="L234" s="16">
        <v>3.9967578</v>
      </c>
      <c r="M234" s="16">
        <v>1.0</v>
      </c>
      <c r="N234" s="16">
        <v>0.00128886</v>
      </c>
      <c r="O234" s="16">
        <v>776.0</v>
      </c>
      <c r="P234" s="16">
        <v>1.0001561</v>
      </c>
      <c r="Q234" s="17">
        <f t="shared" si="1"/>
        <v>0.9800064495</v>
      </c>
    </row>
    <row r="235">
      <c r="A235" s="18">
        <v>738.0</v>
      </c>
      <c r="B235" s="19">
        <v>435.587073</v>
      </c>
      <c r="C235" s="20">
        <v>1.0150422E7</v>
      </c>
      <c r="D235" s="20">
        <v>23302.8541</v>
      </c>
      <c r="E235" s="20">
        <v>4.290741584E9</v>
      </c>
      <c r="F235" s="20">
        <v>9850479.63</v>
      </c>
      <c r="G235" s="20">
        <v>3147.0</v>
      </c>
      <c r="H235" s="20">
        <v>7.22473232</v>
      </c>
      <c r="I235" s="20">
        <v>2751.0</v>
      </c>
      <c r="J235" s="20">
        <v>6.31561443</v>
      </c>
      <c r="K235" s="20">
        <v>2859.0</v>
      </c>
      <c r="L235" s="20">
        <v>6.56355567</v>
      </c>
      <c r="M235" s="20">
        <v>1.0</v>
      </c>
      <c r="N235" s="20">
        <v>0.00229575</v>
      </c>
      <c r="O235" s="20">
        <v>436.0</v>
      </c>
      <c r="P235" s="20">
        <v>1.00094798</v>
      </c>
      <c r="Q235" s="21">
        <f t="shared" si="1"/>
        <v>0.962224554</v>
      </c>
    </row>
    <row r="236">
      <c r="A236" s="14">
        <v>739.0</v>
      </c>
      <c r="B236" s="15">
        <v>991.97633</v>
      </c>
      <c r="C236" s="16">
        <v>2.2729556E7</v>
      </c>
      <c r="D236" s="16">
        <v>22913.4056</v>
      </c>
      <c r="E236" s="16">
        <v>4.294823385E9</v>
      </c>
      <c r="F236" s="16">
        <v>4329562.36</v>
      </c>
      <c r="G236" s="16">
        <v>7130.0</v>
      </c>
      <c r="H236" s="16">
        <v>7.1876715</v>
      </c>
      <c r="I236" s="16">
        <v>6295.0</v>
      </c>
      <c r="J236" s="16">
        <v>6.34591755</v>
      </c>
      <c r="K236" s="16">
        <v>6527.0</v>
      </c>
      <c r="L236" s="16">
        <v>6.5797941</v>
      </c>
      <c r="M236" s="16">
        <v>1.0</v>
      </c>
      <c r="N236" s="16">
        <v>0.00100809</v>
      </c>
      <c r="O236" s="16">
        <v>992.0</v>
      </c>
      <c r="P236" s="16">
        <v>1.00002386</v>
      </c>
      <c r="Q236" s="17">
        <f t="shared" si="1"/>
        <v>0.9644553394</v>
      </c>
    </row>
    <row r="237">
      <c r="A237" s="18">
        <v>740.0</v>
      </c>
      <c r="B237" s="19">
        <v>600.335033</v>
      </c>
      <c r="C237" s="20">
        <v>1.3811026E7</v>
      </c>
      <c r="D237" s="20">
        <v>23005.5307</v>
      </c>
      <c r="E237" s="20">
        <v>4.290163117E9</v>
      </c>
      <c r="F237" s="20">
        <v>7146281.47</v>
      </c>
      <c r="G237" s="20">
        <v>4345.0</v>
      </c>
      <c r="H237" s="20">
        <v>7.23762527</v>
      </c>
      <c r="I237" s="20">
        <v>3796.0</v>
      </c>
      <c r="J237" s="20">
        <v>6.32313591</v>
      </c>
      <c r="K237" s="20">
        <v>3933.0</v>
      </c>
      <c r="L237" s="20">
        <v>6.55134181</v>
      </c>
      <c r="M237" s="20">
        <v>1.0</v>
      </c>
      <c r="N237" s="20">
        <v>0.00166574</v>
      </c>
      <c r="O237" s="20">
        <v>600.0</v>
      </c>
      <c r="P237" s="20">
        <v>0.99944192</v>
      </c>
      <c r="Q237" s="21">
        <f t="shared" si="1"/>
        <v>0.9651665395</v>
      </c>
    </row>
    <row r="238">
      <c r="A238" s="14">
        <v>746.0</v>
      </c>
      <c r="B238" s="15">
        <v>791.080018</v>
      </c>
      <c r="C238" s="16">
        <v>1.858628E7</v>
      </c>
      <c r="D238" s="16">
        <v>23494.8167</v>
      </c>
      <c r="E238" s="16">
        <v>4.292252652E9</v>
      </c>
      <c r="F238" s="16">
        <v>5425813.52</v>
      </c>
      <c r="G238" s="16">
        <v>4559.0</v>
      </c>
      <c r="H238" s="16">
        <v>5.7630074</v>
      </c>
      <c r="I238" s="16">
        <v>4143.0</v>
      </c>
      <c r="J238" s="16">
        <v>5.23714404</v>
      </c>
      <c r="K238" s="16">
        <v>4248.0</v>
      </c>
      <c r="L238" s="16">
        <v>5.36987398</v>
      </c>
      <c r="M238" s="16">
        <v>1.0</v>
      </c>
      <c r="N238" s="16">
        <v>0.00126409</v>
      </c>
      <c r="O238" s="16">
        <v>791.0</v>
      </c>
      <c r="P238" s="16">
        <v>0.99989885</v>
      </c>
      <c r="Q238" s="17">
        <f t="shared" si="1"/>
        <v>0.9752824859</v>
      </c>
    </row>
    <row r="239">
      <c r="A239" s="18">
        <v>748.0</v>
      </c>
      <c r="B239" s="19">
        <v>498.988005</v>
      </c>
      <c r="C239" s="20">
        <v>1.1736029E7</v>
      </c>
      <c r="D239" s="20">
        <v>23519.6615</v>
      </c>
      <c r="E239" s="20">
        <v>4.291766857E9</v>
      </c>
      <c r="F239" s="20">
        <v>8600941.93</v>
      </c>
      <c r="G239" s="20">
        <v>2975.0</v>
      </c>
      <c r="H239" s="20">
        <v>5.96206716</v>
      </c>
      <c r="I239" s="20">
        <v>2679.0</v>
      </c>
      <c r="J239" s="20">
        <v>5.36886653</v>
      </c>
      <c r="K239" s="20">
        <v>2765.0</v>
      </c>
      <c r="L239" s="20">
        <v>5.54121536</v>
      </c>
      <c r="M239" s="20">
        <v>1.0</v>
      </c>
      <c r="N239" s="20">
        <v>0.00200406</v>
      </c>
      <c r="O239" s="20">
        <v>499.0</v>
      </c>
      <c r="P239" s="20">
        <v>1.00002404</v>
      </c>
      <c r="Q239" s="21">
        <f t="shared" si="1"/>
        <v>0.9688969259</v>
      </c>
    </row>
    <row r="240">
      <c r="A240" s="14">
        <v>750.0</v>
      </c>
      <c r="B240" s="15">
        <v>362.439665</v>
      </c>
      <c r="C240" s="16">
        <v>9019069.0</v>
      </c>
      <c r="D240" s="16">
        <v>24884.3321</v>
      </c>
      <c r="E240" s="16">
        <v>4.294235137E9</v>
      </c>
      <c r="F240" s="16">
        <v>1.18481379E7</v>
      </c>
      <c r="G240" s="16">
        <v>2244.0</v>
      </c>
      <c r="H240" s="16">
        <v>6.19137532</v>
      </c>
      <c r="I240" s="16">
        <v>2104.0</v>
      </c>
      <c r="J240" s="16">
        <v>5.80510414</v>
      </c>
      <c r="K240" s="16">
        <v>2154.0</v>
      </c>
      <c r="L240" s="16">
        <v>5.94305813</v>
      </c>
      <c r="M240" s="16">
        <v>1.0</v>
      </c>
      <c r="N240" s="16">
        <v>0.00275908</v>
      </c>
      <c r="O240" s="16">
        <v>363.0</v>
      </c>
      <c r="P240" s="16">
        <v>1.00154601</v>
      </c>
      <c r="Q240" s="17">
        <f t="shared" si="1"/>
        <v>0.9767873723</v>
      </c>
    </row>
    <row r="241">
      <c r="A241" s="18">
        <v>751.0</v>
      </c>
      <c r="B241" s="19">
        <v>317.388299</v>
      </c>
      <c r="C241" s="20">
        <v>8056525.0</v>
      </c>
      <c r="D241" s="20">
        <v>25383.8123</v>
      </c>
      <c r="E241" s="20">
        <v>4.287397689E9</v>
      </c>
      <c r="F241" s="20">
        <v>1.35083672E7</v>
      </c>
      <c r="G241" s="20">
        <v>2058.0</v>
      </c>
      <c r="H241" s="20">
        <v>6.48417098</v>
      </c>
      <c r="I241" s="20">
        <v>1897.0</v>
      </c>
      <c r="J241" s="20">
        <v>5.97690591</v>
      </c>
      <c r="K241" s="20">
        <v>1971.0</v>
      </c>
      <c r="L241" s="20">
        <v>6.2100588</v>
      </c>
      <c r="M241" s="20">
        <v>1.0</v>
      </c>
      <c r="N241" s="20">
        <v>0.00315071</v>
      </c>
      <c r="O241" s="20">
        <v>318.0</v>
      </c>
      <c r="P241" s="20">
        <v>1.00192729</v>
      </c>
      <c r="Q241" s="21">
        <f t="shared" si="1"/>
        <v>0.9624556063</v>
      </c>
    </row>
    <row r="242">
      <c r="A242" s="14">
        <v>752.0</v>
      </c>
      <c r="B242" s="15">
        <v>654.284773</v>
      </c>
      <c r="C242" s="16">
        <v>1.6552237E7</v>
      </c>
      <c r="D242" s="16">
        <v>25298.2152</v>
      </c>
      <c r="E242" s="16">
        <v>4.292602678E9</v>
      </c>
      <c r="F242" s="16">
        <v>6560755.89</v>
      </c>
      <c r="G242" s="16">
        <v>4026.0</v>
      </c>
      <c r="H242" s="16">
        <v>6.15328397</v>
      </c>
      <c r="I242" s="16">
        <v>3718.0</v>
      </c>
      <c r="J242" s="16">
        <v>5.68254093</v>
      </c>
      <c r="K242" s="16">
        <v>3841.0</v>
      </c>
      <c r="L242" s="16">
        <v>5.87053247</v>
      </c>
      <c r="M242" s="16">
        <v>1.0</v>
      </c>
      <c r="N242" s="16">
        <v>0.00152839</v>
      </c>
      <c r="O242" s="16">
        <v>655.0</v>
      </c>
      <c r="P242" s="16">
        <v>1.00109314</v>
      </c>
      <c r="Q242" s="17">
        <f t="shared" si="1"/>
        <v>0.9679770893</v>
      </c>
    </row>
    <row r="243">
      <c r="A243" s="18">
        <v>754.0</v>
      </c>
      <c r="B243" s="19">
        <v>82.2972286</v>
      </c>
      <c r="C243" s="20">
        <v>2035814.0</v>
      </c>
      <c r="D243" s="20">
        <v>24737.3336</v>
      </c>
      <c r="E243" s="20">
        <v>4.28951668E9</v>
      </c>
      <c r="F243" s="20">
        <v>5.21222495E7</v>
      </c>
      <c r="G243" s="20">
        <v>780.0</v>
      </c>
      <c r="H243" s="20">
        <v>9.47784043</v>
      </c>
      <c r="I243" s="20">
        <v>729.0</v>
      </c>
      <c r="J243" s="20">
        <v>8.85813548</v>
      </c>
      <c r="K243" s="20">
        <v>766.0</v>
      </c>
      <c r="L243" s="20">
        <v>9.30772534</v>
      </c>
      <c r="M243" s="20">
        <v>1.0</v>
      </c>
      <c r="N243" s="20">
        <v>0.01215108</v>
      </c>
      <c r="O243" s="20">
        <v>83.0</v>
      </c>
      <c r="P243" s="20">
        <v>1.00853943</v>
      </c>
      <c r="Q243" s="21">
        <f t="shared" si="1"/>
        <v>0.9516971279</v>
      </c>
    </row>
    <row r="244">
      <c r="A244" s="14">
        <v>755.0</v>
      </c>
      <c r="B244" s="15">
        <v>697.179747</v>
      </c>
      <c r="C244" s="16">
        <v>1.7063753E7</v>
      </c>
      <c r="D244" s="16">
        <v>24475.3997</v>
      </c>
      <c r="E244" s="16">
        <v>4.29458569E9</v>
      </c>
      <c r="F244" s="16">
        <v>6159940.4</v>
      </c>
      <c r="G244" s="16">
        <v>6222.0</v>
      </c>
      <c r="H244" s="16">
        <v>8.92452775</v>
      </c>
      <c r="I244" s="16">
        <v>5785.0</v>
      </c>
      <c r="J244" s="16">
        <v>8.29771666</v>
      </c>
      <c r="K244" s="16">
        <v>6072.0</v>
      </c>
      <c r="L244" s="16">
        <v>8.7093752</v>
      </c>
      <c r="M244" s="16">
        <v>1.0</v>
      </c>
      <c r="N244" s="16">
        <v>0.00143435</v>
      </c>
      <c r="O244" s="16">
        <v>697.0</v>
      </c>
      <c r="P244" s="16">
        <v>0.99974218</v>
      </c>
      <c r="Q244" s="17">
        <f t="shared" si="1"/>
        <v>0.9527338603</v>
      </c>
    </row>
    <row r="245">
      <c r="A245" s="18">
        <v>756.0</v>
      </c>
      <c r="B245" s="19">
        <v>273.392666</v>
      </c>
      <c r="C245" s="20">
        <v>6356188.0</v>
      </c>
      <c r="D245" s="20">
        <v>23249.2996</v>
      </c>
      <c r="E245" s="20">
        <v>4.294791611E9</v>
      </c>
      <c r="F245" s="20">
        <v>1.57092422E7</v>
      </c>
      <c r="G245" s="20">
        <v>2366.0</v>
      </c>
      <c r="H245" s="20">
        <v>8.65421899</v>
      </c>
      <c r="I245" s="20">
        <v>2201.0</v>
      </c>
      <c r="J245" s="20">
        <v>8.05069146</v>
      </c>
      <c r="K245" s="20">
        <v>2318.0</v>
      </c>
      <c r="L245" s="20">
        <v>8.47864734</v>
      </c>
      <c r="M245" s="20">
        <v>1.0</v>
      </c>
      <c r="N245" s="20">
        <v>0.00365774</v>
      </c>
      <c r="O245" s="20">
        <v>273.0</v>
      </c>
      <c r="P245" s="20">
        <v>0.99856373</v>
      </c>
      <c r="Q245" s="21">
        <f t="shared" si="1"/>
        <v>0.949525453</v>
      </c>
    </row>
    <row r="246">
      <c r="A246" s="14">
        <v>757.0</v>
      </c>
      <c r="B246" s="15">
        <v>62.6517435</v>
      </c>
      <c r="C246" s="16">
        <v>1451809.0</v>
      </c>
      <c r="D246" s="16">
        <v>23172.6831</v>
      </c>
      <c r="E246" s="16">
        <v>4.28356562E9</v>
      </c>
      <c r="F246" s="16">
        <v>6.83710521E7</v>
      </c>
      <c r="G246" s="16">
        <v>502.0</v>
      </c>
      <c r="H246" s="16">
        <v>8.01254637</v>
      </c>
      <c r="I246" s="16">
        <v>468.0</v>
      </c>
      <c r="J246" s="16">
        <v>7.46986394</v>
      </c>
      <c r="K246" s="16">
        <v>488.0</v>
      </c>
      <c r="L246" s="16">
        <v>7.7890889</v>
      </c>
      <c r="M246" s="16">
        <v>1.0</v>
      </c>
      <c r="N246" s="16">
        <v>0.01596125</v>
      </c>
      <c r="O246" s="16">
        <v>62.0</v>
      </c>
      <c r="P246" s="16">
        <v>0.98959736</v>
      </c>
      <c r="Q246" s="17">
        <f t="shared" si="1"/>
        <v>0.9590163934</v>
      </c>
    </row>
    <row r="247">
      <c r="A247" s="18">
        <v>758.0</v>
      </c>
      <c r="B247" s="19">
        <v>165.196008</v>
      </c>
      <c r="C247" s="20">
        <v>3855580.0</v>
      </c>
      <c r="D247" s="20">
        <v>23339.4259</v>
      </c>
      <c r="E247" s="20">
        <v>4.289914418E9</v>
      </c>
      <c r="F247" s="20">
        <v>2.59686324E7</v>
      </c>
      <c r="G247" s="20">
        <v>1348.0</v>
      </c>
      <c r="H247" s="20">
        <v>8.16000346</v>
      </c>
      <c r="I247" s="20">
        <v>1269.0</v>
      </c>
      <c r="J247" s="20">
        <v>7.68178367</v>
      </c>
      <c r="K247" s="20">
        <v>1321.0</v>
      </c>
      <c r="L247" s="20">
        <v>7.99656125</v>
      </c>
      <c r="M247" s="20">
        <v>1.0</v>
      </c>
      <c r="N247" s="20">
        <v>0.00605342</v>
      </c>
      <c r="O247" s="20">
        <v>165.0</v>
      </c>
      <c r="P247" s="20">
        <v>0.99881348</v>
      </c>
      <c r="Q247" s="21">
        <f t="shared" si="1"/>
        <v>0.9606358819</v>
      </c>
    </row>
    <row r="248">
      <c r="A248" s="14">
        <v>759.0</v>
      </c>
      <c r="B248" s="15">
        <v>154.692581</v>
      </c>
      <c r="C248" s="16">
        <v>3762825.0</v>
      </c>
      <c r="D248" s="16">
        <v>24324.5343</v>
      </c>
      <c r="E248" s="16">
        <v>4.288763137E9</v>
      </c>
      <c r="F248" s="16">
        <v>2.77244267E7</v>
      </c>
      <c r="G248" s="16">
        <v>1363.0</v>
      </c>
      <c r="H248" s="16">
        <v>8.8110237</v>
      </c>
      <c r="I248" s="16">
        <v>1279.0</v>
      </c>
      <c r="J248" s="16">
        <v>8.26801123</v>
      </c>
      <c r="K248" s="16">
        <v>1327.0</v>
      </c>
      <c r="L248" s="16">
        <v>8.57830407</v>
      </c>
      <c r="M248" s="16">
        <v>1.0</v>
      </c>
      <c r="N248" s="16">
        <v>0.00646443</v>
      </c>
      <c r="O248" s="16">
        <v>155.0</v>
      </c>
      <c r="P248" s="16">
        <v>1.00198729</v>
      </c>
      <c r="Q248" s="17">
        <f t="shared" si="1"/>
        <v>0.9638281839</v>
      </c>
    </row>
    <row r="249">
      <c r="A249" s="18">
        <v>763.0</v>
      </c>
      <c r="B249" s="19">
        <v>253.292348</v>
      </c>
      <c r="C249" s="20">
        <v>5908312.0</v>
      </c>
      <c r="D249" s="20">
        <v>23326.058</v>
      </c>
      <c r="E249" s="20">
        <v>4.292829535E9</v>
      </c>
      <c r="F249" s="20">
        <v>1.69481217E7</v>
      </c>
      <c r="G249" s="20">
        <v>2099.0</v>
      </c>
      <c r="H249" s="20">
        <v>8.28686699</v>
      </c>
      <c r="I249" s="20">
        <v>1973.0</v>
      </c>
      <c r="J249" s="20">
        <v>7.78941809</v>
      </c>
      <c r="K249" s="20">
        <v>2071.0</v>
      </c>
      <c r="L249" s="20">
        <v>8.17632279</v>
      </c>
      <c r="M249" s="20">
        <v>1.0</v>
      </c>
      <c r="N249" s="20">
        <v>0.00394801</v>
      </c>
      <c r="O249" s="20">
        <v>253.0</v>
      </c>
      <c r="P249" s="20">
        <v>0.99884581</v>
      </c>
      <c r="Q249" s="21">
        <f t="shared" si="1"/>
        <v>0.9526798648</v>
      </c>
    </row>
    <row r="250">
      <c r="A250" s="14">
        <v>764.0</v>
      </c>
      <c r="B250" s="15">
        <v>303.342686</v>
      </c>
      <c r="C250" s="16">
        <v>7028655.0</v>
      </c>
      <c r="D250" s="16">
        <v>23170.6757</v>
      </c>
      <c r="E250" s="16">
        <v>4.290189173E9</v>
      </c>
      <c r="F250" s="16">
        <v>1.41430447E7</v>
      </c>
      <c r="G250" s="16">
        <v>2508.0</v>
      </c>
      <c r="H250" s="16">
        <v>8.26787695</v>
      </c>
      <c r="I250" s="16">
        <v>2353.0</v>
      </c>
      <c r="J250" s="16">
        <v>7.7569037</v>
      </c>
      <c r="K250" s="16">
        <v>2472.0</v>
      </c>
      <c r="L250" s="16">
        <v>8.14919929</v>
      </c>
      <c r="M250" s="16">
        <v>1.0</v>
      </c>
      <c r="N250" s="16">
        <v>0.0032966</v>
      </c>
      <c r="O250" s="16">
        <v>304.0</v>
      </c>
      <c r="P250" s="16">
        <v>1.0021669</v>
      </c>
      <c r="Q250" s="17">
        <f t="shared" si="1"/>
        <v>0.9518608414</v>
      </c>
    </row>
    <row r="251">
      <c r="A251" s="18">
        <v>765.0</v>
      </c>
      <c r="B251" s="19">
        <v>71.7999148</v>
      </c>
      <c r="C251" s="20">
        <v>1746144.0</v>
      </c>
      <c r="D251" s="20">
        <v>24319.5832</v>
      </c>
      <c r="E251" s="20">
        <v>4.269038745E9</v>
      </c>
      <c r="F251" s="20">
        <v>5.94574347E7</v>
      </c>
      <c r="G251" s="20">
        <v>635.0</v>
      </c>
      <c r="H251" s="20">
        <v>8.84402164</v>
      </c>
      <c r="I251" s="20">
        <v>608.0</v>
      </c>
      <c r="J251" s="20">
        <v>8.46797662</v>
      </c>
      <c r="K251" s="20">
        <v>632.0</v>
      </c>
      <c r="L251" s="20">
        <v>8.80223886</v>
      </c>
      <c r="M251" s="20">
        <v>1.0</v>
      </c>
      <c r="N251" s="20">
        <v>0.01392759</v>
      </c>
      <c r="O251" s="20">
        <v>72.0</v>
      </c>
      <c r="P251" s="20">
        <v>1.00278671</v>
      </c>
      <c r="Q251" s="21">
        <f t="shared" si="1"/>
        <v>0.9620253165</v>
      </c>
    </row>
    <row r="252">
      <c r="A252" s="14">
        <v>767.0</v>
      </c>
      <c r="B252" s="15">
        <v>121.299045</v>
      </c>
      <c r="C252" s="16">
        <v>4355.0</v>
      </c>
      <c r="D252" s="16">
        <v>35.9030032</v>
      </c>
      <c r="E252" s="16">
        <v>4.290687623E9</v>
      </c>
      <c r="F252" s="16">
        <v>3.53728063E7</v>
      </c>
      <c r="G252" s="16">
        <v>1012.0</v>
      </c>
      <c r="H252" s="16">
        <v>8.34301705</v>
      </c>
      <c r="I252" s="16">
        <v>949.0</v>
      </c>
      <c r="J252" s="16">
        <v>7.82363951</v>
      </c>
      <c r="K252" s="16">
        <v>990.0</v>
      </c>
      <c r="L252" s="16">
        <v>8.16164711</v>
      </c>
      <c r="M252" s="16">
        <v>1.0</v>
      </c>
      <c r="N252" s="16">
        <v>0.00824409</v>
      </c>
      <c r="O252" s="16">
        <v>122.0</v>
      </c>
      <c r="P252" s="16">
        <v>1.00577874</v>
      </c>
      <c r="Q252" s="17">
        <f t="shared" si="1"/>
        <v>0.9585858586</v>
      </c>
    </row>
    <row r="253">
      <c r="A253" s="18">
        <v>769.0</v>
      </c>
      <c r="B253" s="19">
        <v>355.78883</v>
      </c>
      <c r="C253" s="20">
        <v>12255.0</v>
      </c>
      <c r="D253" s="20">
        <v>34.4445889</v>
      </c>
      <c r="E253" s="20">
        <v>4.291703614E9</v>
      </c>
      <c r="F253" s="20">
        <v>1.20625024E7</v>
      </c>
      <c r="G253" s="20">
        <v>2974.0</v>
      </c>
      <c r="H253" s="20">
        <v>8.35889085</v>
      </c>
      <c r="I253" s="20">
        <v>2790.0</v>
      </c>
      <c r="J253" s="20">
        <v>7.84173015</v>
      </c>
      <c r="K253" s="20">
        <v>2922.0</v>
      </c>
      <c r="L253" s="20">
        <v>8.21273674</v>
      </c>
      <c r="M253" s="20">
        <v>1.0</v>
      </c>
      <c r="N253" s="20">
        <v>0.00281066</v>
      </c>
      <c r="O253" s="20">
        <v>356.0</v>
      </c>
      <c r="P253" s="20">
        <v>1.00059352</v>
      </c>
      <c r="Q253" s="21">
        <f t="shared" si="1"/>
        <v>0.954825462</v>
      </c>
    </row>
    <row r="254">
      <c r="A254" s="14">
        <v>770.0</v>
      </c>
      <c r="B254" s="15">
        <v>199.648122</v>
      </c>
      <c r="C254" s="16">
        <v>27080.0</v>
      </c>
      <c r="D254" s="16">
        <v>135.638641</v>
      </c>
      <c r="E254" s="16">
        <v>4.294151592E9</v>
      </c>
      <c r="F254" s="16">
        <v>2.15086E7</v>
      </c>
      <c r="G254" s="16">
        <v>6394.0</v>
      </c>
      <c r="H254" s="16">
        <v>32.0263468</v>
      </c>
      <c r="I254" s="16">
        <v>5354.0</v>
      </c>
      <c r="J254" s="16">
        <v>26.8171819</v>
      </c>
      <c r="K254" s="16">
        <v>6334.0</v>
      </c>
      <c r="L254" s="16">
        <v>31.7258181</v>
      </c>
      <c r="M254" s="16">
        <v>1.0</v>
      </c>
      <c r="N254" s="16">
        <v>0.00500881</v>
      </c>
      <c r="O254" s="16">
        <v>199.0</v>
      </c>
      <c r="P254" s="16">
        <v>0.99675368</v>
      </c>
      <c r="Q254" s="17">
        <f t="shared" si="1"/>
        <v>0.8452794443</v>
      </c>
    </row>
    <row r="255">
      <c r="A255" s="18">
        <v>771.0</v>
      </c>
      <c r="B255" s="19">
        <v>1410.05953</v>
      </c>
      <c r="C255" s="20">
        <v>195944.0</v>
      </c>
      <c r="D255" s="20">
        <v>138.961508</v>
      </c>
      <c r="E255" s="20">
        <v>4.294295899E9</v>
      </c>
      <c r="F255" s="20">
        <v>3045471.34</v>
      </c>
      <c r="G255" s="20">
        <v>45431.0</v>
      </c>
      <c r="H255" s="20">
        <v>32.219207</v>
      </c>
      <c r="I255" s="20">
        <v>38505.0</v>
      </c>
      <c r="J255" s="20">
        <v>27.3073576</v>
      </c>
      <c r="K255" s="20">
        <v>45092.0</v>
      </c>
      <c r="L255" s="20">
        <v>31.9787916</v>
      </c>
      <c r="M255" s="20">
        <v>1.0</v>
      </c>
      <c r="N255" s="20">
        <v>7.0919E-4</v>
      </c>
      <c r="O255" s="20">
        <v>1411.0</v>
      </c>
      <c r="P255" s="20">
        <v>1.00066697</v>
      </c>
      <c r="Q255" s="21">
        <f t="shared" si="1"/>
        <v>0.8539208729</v>
      </c>
    </row>
    <row r="256">
      <c r="A256" s="14">
        <v>773.0</v>
      </c>
      <c r="B256" s="15">
        <v>298.1463</v>
      </c>
      <c r="C256" s="16">
        <v>94599.0</v>
      </c>
      <c r="D256" s="16">
        <v>317.290538</v>
      </c>
      <c r="E256" s="16">
        <v>4.294042673E9</v>
      </c>
      <c r="F256" s="16">
        <v>1.44024684E7</v>
      </c>
      <c r="G256" s="16">
        <v>21334.0</v>
      </c>
      <c r="H256" s="16">
        <v>71.5554745</v>
      </c>
      <c r="I256" s="16">
        <v>15582.0</v>
      </c>
      <c r="J256" s="16">
        <v>52.2629326</v>
      </c>
      <c r="K256" s="16">
        <v>21256.0</v>
      </c>
      <c r="L256" s="16">
        <v>71.293858</v>
      </c>
      <c r="M256" s="16">
        <v>1.0</v>
      </c>
      <c r="N256" s="16">
        <v>0.00335406</v>
      </c>
      <c r="O256" s="16">
        <v>298.0</v>
      </c>
      <c r="P256" s="16">
        <v>0.9995093</v>
      </c>
      <c r="Q256" s="17">
        <f t="shared" si="1"/>
        <v>0.7330636056</v>
      </c>
    </row>
    <row r="257">
      <c r="A257" s="18">
        <v>774.0</v>
      </c>
      <c r="B257" s="19">
        <v>355.995382</v>
      </c>
      <c r="C257" s="20">
        <v>103800.0</v>
      </c>
      <c r="D257" s="20">
        <v>291.576816</v>
      </c>
      <c r="E257" s="20">
        <v>4.294068171E9</v>
      </c>
      <c r="F257" s="20">
        <v>1.20621457E7</v>
      </c>
      <c r="G257" s="20">
        <v>23764.0</v>
      </c>
      <c r="H257" s="20">
        <v>66.753675</v>
      </c>
      <c r="I257" s="20">
        <v>17439.0</v>
      </c>
      <c r="J257" s="20">
        <v>48.9865906</v>
      </c>
      <c r="K257" s="20">
        <v>23672.0</v>
      </c>
      <c r="L257" s="20">
        <v>66.4952447</v>
      </c>
      <c r="M257" s="20">
        <v>1.0</v>
      </c>
      <c r="N257" s="20">
        <v>0.00280903</v>
      </c>
      <c r="O257" s="20">
        <v>356.0</v>
      </c>
      <c r="P257" s="20">
        <v>1.00001297</v>
      </c>
      <c r="Q257" s="21">
        <f t="shared" si="1"/>
        <v>0.7366931396</v>
      </c>
    </row>
    <row r="258">
      <c r="A258" s="14">
        <v>775.0</v>
      </c>
      <c r="B258" s="15">
        <v>397.543015</v>
      </c>
      <c r="C258" s="16">
        <v>9509586.0</v>
      </c>
      <c r="D258" s="16">
        <v>23920.8982</v>
      </c>
      <c r="E258" s="16">
        <v>4.294272591E9</v>
      </c>
      <c r="F258" s="16">
        <v>1.08020325E7</v>
      </c>
      <c r="G258" s="16">
        <v>4302.0</v>
      </c>
      <c r="H258" s="16">
        <v>10.8214705</v>
      </c>
      <c r="I258" s="16">
        <v>4026.0</v>
      </c>
      <c r="J258" s="16">
        <v>10.127206</v>
      </c>
      <c r="K258" s="16">
        <v>4272.0</v>
      </c>
      <c r="L258" s="16">
        <v>10.7460069</v>
      </c>
      <c r="M258" s="16">
        <v>1.0</v>
      </c>
      <c r="N258" s="16">
        <v>0.00251545</v>
      </c>
      <c r="O258" s="16">
        <v>398.0</v>
      </c>
      <c r="P258" s="16">
        <v>1.00114952</v>
      </c>
      <c r="Q258" s="17">
        <f t="shared" si="1"/>
        <v>0.9424157303</v>
      </c>
    </row>
    <row r="259">
      <c r="A259" s="18">
        <v>776.0</v>
      </c>
      <c r="B259" s="19">
        <v>1172.37171</v>
      </c>
      <c r="C259" s="20">
        <v>2.7999746E7</v>
      </c>
      <c r="D259" s="20">
        <v>23882.9936</v>
      </c>
      <c r="E259" s="20">
        <v>4.293533742E9</v>
      </c>
      <c r="F259" s="20">
        <v>3662263.18</v>
      </c>
      <c r="G259" s="20">
        <v>12850.0</v>
      </c>
      <c r="H259" s="20">
        <v>10.9606876</v>
      </c>
      <c r="I259" s="20">
        <v>12019.0</v>
      </c>
      <c r="J259" s="20">
        <v>10.251868</v>
      </c>
      <c r="K259" s="20">
        <v>12752.0</v>
      </c>
      <c r="L259" s="20">
        <v>10.8770963</v>
      </c>
      <c r="M259" s="20">
        <v>1.0</v>
      </c>
      <c r="N259" s="20">
        <v>8.5297E-4</v>
      </c>
      <c r="O259" s="20">
        <v>1172.0</v>
      </c>
      <c r="P259" s="20">
        <v>0.99968294</v>
      </c>
      <c r="Q259" s="21">
        <f t="shared" si="1"/>
        <v>0.9425188206</v>
      </c>
    </row>
    <row r="260">
      <c r="A260" s="14">
        <v>777.0</v>
      </c>
      <c r="B260" s="15">
        <v>75.0483974</v>
      </c>
      <c r="C260" s="16">
        <v>1734715.0</v>
      </c>
      <c r="D260" s="16">
        <v>23114.6175</v>
      </c>
      <c r="E260" s="16">
        <v>4.287936751E9</v>
      </c>
      <c r="F260" s="16">
        <v>5.71356205E7</v>
      </c>
      <c r="G260" s="16">
        <v>754.0</v>
      </c>
      <c r="H260" s="16">
        <v>10.0468501</v>
      </c>
      <c r="I260" s="16">
        <v>699.0</v>
      </c>
      <c r="J260" s="16">
        <v>9.31398969</v>
      </c>
      <c r="K260" s="16">
        <v>747.0</v>
      </c>
      <c r="L260" s="16">
        <v>9.95357697</v>
      </c>
      <c r="M260" s="16">
        <v>1.0</v>
      </c>
      <c r="N260" s="16">
        <v>0.01332473</v>
      </c>
      <c r="O260" s="16">
        <v>75.0</v>
      </c>
      <c r="P260" s="16">
        <v>0.99935512</v>
      </c>
      <c r="Q260" s="17">
        <f t="shared" si="1"/>
        <v>0.9357429719</v>
      </c>
    </row>
    <row r="261">
      <c r="A261" s="18">
        <v>778.0</v>
      </c>
      <c r="B261" s="19">
        <v>148.195796</v>
      </c>
      <c r="C261" s="20">
        <v>3440290.0</v>
      </c>
      <c r="D261" s="20">
        <v>23214.4912</v>
      </c>
      <c r="E261" s="20">
        <v>4.290105932E9</v>
      </c>
      <c r="F261" s="20">
        <v>2.89489045E7</v>
      </c>
      <c r="G261" s="20">
        <v>1566.0</v>
      </c>
      <c r="H261" s="20">
        <v>10.5671014</v>
      </c>
      <c r="I261" s="20">
        <v>1474.0</v>
      </c>
      <c r="J261" s="20">
        <v>9.94630106</v>
      </c>
      <c r="K261" s="20">
        <v>1557.0</v>
      </c>
      <c r="L261" s="20">
        <v>10.5063709</v>
      </c>
      <c r="M261" s="20">
        <v>1.0</v>
      </c>
      <c r="N261" s="20">
        <v>0.00674783</v>
      </c>
      <c r="O261" s="20">
        <v>148.0</v>
      </c>
      <c r="P261" s="20">
        <v>0.9986788</v>
      </c>
      <c r="Q261" s="21">
        <f t="shared" si="1"/>
        <v>0.9466923571</v>
      </c>
    </row>
    <row r="262">
      <c r="A262" s="14">
        <v>779.0</v>
      </c>
      <c r="B262" s="15">
        <v>832.929578</v>
      </c>
      <c r="C262" s="16">
        <v>1.8809896E7</v>
      </c>
      <c r="D262" s="16">
        <v>22582.8167</v>
      </c>
      <c r="E262" s="16">
        <v>4.292699166E9</v>
      </c>
      <c r="F262" s="16">
        <v>5153736.02</v>
      </c>
      <c r="G262" s="16">
        <v>8114.0</v>
      </c>
      <c r="H262" s="16">
        <v>9.74151983</v>
      </c>
      <c r="I262" s="16">
        <v>7675.0</v>
      </c>
      <c r="J262" s="16">
        <v>9.21446447</v>
      </c>
      <c r="K262" s="16">
        <v>8033.0</v>
      </c>
      <c r="L262" s="16">
        <v>9.64427271</v>
      </c>
      <c r="M262" s="16">
        <v>1.0</v>
      </c>
      <c r="N262" s="16">
        <v>0.00120058</v>
      </c>
      <c r="O262" s="16">
        <v>833.0</v>
      </c>
      <c r="P262" s="16">
        <v>1.00008455</v>
      </c>
      <c r="Q262" s="17">
        <f t="shared" si="1"/>
        <v>0.9554338354</v>
      </c>
    </row>
    <row r="263">
      <c r="A263" s="18">
        <v>780.0</v>
      </c>
      <c r="B263" s="19">
        <v>700.28194</v>
      </c>
      <c r="C263" s="20">
        <v>1.7952711E7</v>
      </c>
      <c r="D263" s="20">
        <v>25636.4044</v>
      </c>
      <c r="E263" s="20">
        <v>4.293869701E9</v>
      </c>
      <c r="F263" s="20">
        <v>6131629.93</v>
      </c>
      <c r="G263" s="20">
        <v>7500.0</v>
      </c>
      <c r="H263" s="20">
        <v>10.709972</v>
      </c>
      <c r="I263" s="20">
        <v>6967.0</v>
      </c>
      <c r="J263" s="20">
        <v>9.94885003</v>
      </c>
      <c r="K263" s="20">
        <v>7355.0</v>
      </c>
      <c r="L263" s="20">
        <v>10.5029126</v>
      </c>
      <c r="M263" s="20">
        <v>1.0</v>
      </c>
      <c r="N263" s="20">
        <v>0.001428</v>
      </c>
      <c r="O263" s="20">
        <v>700.0</v>
      </c>
      <c r="P263" s="20">
        <v>0.99959739</v>
      </c>
      <c r="Q263" s="21">
        <f t="shared" si="1"/>
        <v>0.9472467709</v>
      </c>
    </row>
    <row r="264">
      <c r="A264" s="14">
        <v>781.0</v>
      </c>
      <c r="B264" s="15">
        <v>245.791775</v>
      </c>
      <c r="C264" s="16">
        <v>6317897.0</v>
      </c>
      <c r="D264" s="16">
        <v>25704.2653</v>
      </c>
      <c r="E264" s="16">
        <v>4.288190775E9</v>
      </c>
      <c r="F264" s="16">
        <v>1.74464372E7</v>
      </c>
      <c r="G264" s="16">
        <v>2643.0</v>
      </c>
      <c r="H264" s="16">
        <v>10.7530043</v>
      </c>
      <c r="I264" s="16">
        <v>2471.0</v>
      </c>
      <c r="J264" s="16">
        <v>10.0532249</v>
      </c>
      <c r="K264" s="16">
        <v>2600.0</v>
      </c>
      <c r="L264" s="16">
        <v>10.5780594</v>
      </c>
      <c r="M264" s="16">
        <v>1.0</v>
      </c>
      <c r="N264" s="16">
        <v>0.00406848</v>
      </c>
      <c r="O264" s="16">
        <v>246.0</v>
      </c>
      <c r="P264" s="16">
        <v>1.00084716</v>
      </c>
      <c r="Q264" s="17">
        <f t="shared" si="1"/>
        <v>0.9503846154</v>
      </c>
    </row>
    <row r="265">
      <c r="A265" s="18">
        <v>782.0</v>
      </c>
      <c r="B265" s="19">
        <v>481.337257</v>
      </c>
      <c r="C265" s="20">
        <v>1.1942778E7</v>
      </c>
      <c r="D265" s="20">
        <v>24811.6634</v>
      </c>
      <c r="E265" s="20">
        <v>4.29301984E9</v>
      </c>
      <c r="F265" s="20">
        <v>8918943.59</v>
      </c>
      <c r="G265" s="20">
        <v>3682.0</v>
      </c>
      <c r="H265" s="20">
        <v>7.64952214</v>
      </c>
      <c r="I265" s="20">
        <v>3421.0</v>
      </c>
      <c r="J265" s="20">
        <v>7.10728279</v>
      </c>
      <c r="K265" s="20">
        <v>3552.0</v>
      </c>
      <c r="L265" s="20">
        <v>7.37944124</v>
      </c>
      <c r="M265" s="20">
        <v>1.0</v>
      </c>
      <c r="N265" s="20">
        <v>0.00207755</v>
      </c>
      <c r="O265" s="20">
        <v>481.0</v>
      </c>
      <c r="P265" s="20">
        <v>0.99929933</v>
      </c>
      <c r="Q265" s="21">
        <f t="shared" si="1"/>
        <v>0.9631193694</v>
      </c>
    </row>
    <row r="266">
      <c r="A266" s="14">
        <v>783.0</v>
      </c>
      <c r="B266" s="15">
        <v>70.2988944</v>
      </c>
      <c r="C266" s="16">
        <v>1776070.0</v>
      </c>
      <c r="D266" s="16">
        <v>25264.551</v>
      </c>
      <c r="E266" s="16">
        <v>4.287547285E9</v>
      </c>
      <c r="F266" s="16">
        <v>6.0990252E7</v>
      </c>
      <c r="G266" s="16">
        <v>561.0</v>
      </c>
      <c r="H266" s="16">
        <v>7.98021086</v>
      </c>
      <c r="I266" s="16">
        <v>534.0</v>
      </c>
      <c r="J266" s="16">
        <v>7.59613654</v>
      </c>
      <c r="K266" s="16">
        <v>554.0</v>
      </c>
      <c r="L266" s="16">
        <v>7.88063603</v>
      </c>
      <c r="M266" s="16">
        <v>1.0</v>
      </c>
      <c r="N266" s="16">
        <v>0.01422497</v>
      </c>
      <c r="O266" s="16">
        <v>71.0</v>
      </c>
      <c r="P266" s="16">
        <v>1.00997321</v>
      </c>
      <c r="Q266" s="17">
        <f t="shared" si="1"/>
        <v>0.963898917</v>
      </c>
    </row>
    <row r="267">
      <c r="A267" s="18">
        <v>784.0</v>
      </c>
      <c r="B267" s="19">
        <v>41.445757</v>
      </c>
      <c r="C267" s="20">
        <v>945903.0</v>
      </c>
      <c r="D267" s="20">
        <v>22822.674</v>
      </c>
      <c r="E267" s="20">
        <v>4.28233775E9</v>
      </c>
      <c r="F267" s="20">
        <v>1.03323912E8</v>
      </c>
      <c r="G267" s="20">
        <v>270.0</v>
      </c>
      <c r="H267" s="20">
        <v>6.51453899</v>
      </c>
      <c r="I267" s="20">
        <v>249.0</v>
      </c>
      <c r="J267" s="20">
        <v>6.00785263</v>
      </c>
      <c r="K267" s="20">
        <v>260.0</v>
      </c>
      <c r="L267" s="20">
        <v>6.27325977</v>
      </c>
      <c r="M267" s="20">
        <v>1.0</v>
      </c>
      <c r="N267" s="20">
        <v>0.02412792</v>
      </c>
      <c r="O267" s="20">
        <v>41.0</v>
      </c>
      <c r="P267" s="20">
        <v>0.98924481</v>
      </c>
      <c r="Q267" s="21">
        <f t="shared" si="1"/>
        <v>0.9576923077</v>
      </c>
    </row>
    <row r="268">
      <c r="A268" s="14">
        <v>785.0</v>
      </c>
      <c r="B268" s="15">
        <v>667.736549</v>
      </c>
      <c r="C268" s="16">
        <v>1.6463753E7</v>
      </c>
      <c r="D268" s="16">
        <v>24656.0609</v>
      </c>
      <c r="E268" s="16">
        <v>4.293895414E9</v>
      </c>
      <c r="F268" s="16">
        <v>6430523.27</v>
      </c>
      <c r="G268" s="16">
        <v>5108.0</v>
      </c>
      <c r="H268" s="16">
        <v>7.64972354</v>
      </c>
      <c r="I268" s="16">
        <v>4729.0</v>
      </c>
      <c r="J268" s="16">
        <v>7.08213442</v>
      </c>
      <c r="K268" s="16">
        <v>4932.0</v>
      </c>
      <c r="L268" s="16">
        <v>7.38614654</v>
      </c>
      <c r="M268" s="16">
        <v>1.0</v>
      </c>
      <c r="N268" s="16">
        <v>0.0014976</v>
      </c>
      <c r="O268" s="16">
        <v>667.0</v>
      </c>
      <c r="P268" s="16">
        <v>0.99889695</v>
      </c>
      <c r="Q268" s="17">
        <f t="shared" si="1"/>
        <v>0.9588402271</v>
      </c>
    </row>
    <row r="269">
      <c r="A269" s="18">
        <v>786.0</v>
      </c>
      <c r="B269" s="19">
        <v>445.087517</v>
      </c>
      <c r="C269" s="20">
        <v>9861518.0</v>
      </c>
      <c r="D269" s="20">
        <v>22156.3572</v>
      </c>
      <c r="E269" s="20">
        <v>4.292945668E9</v>
      </c>
      <c r="F269" s="20">
        <v>9645172.04</v>
      </c>
      <c r="G269" s="20">
        <v>2126.0</v>
      </c>
      <c r="H269" s="20">
        <v>4.7765887</v>
      </c>
      <c r="I269" s="20">
        <v>1936.0</v>
      </c>
      <c r="J269" s="20">
        <v>4.34970636</v>
      </c>
      <c r="K269" s="20">
        <v>1985.0</v>
      </c>
      <c r="L269" s="20">
        <v>4.45979706</v>
      </c>
      <c r="M269" s="20">
        <v>1.0</v>
      </c>
      <c r="N269" s="20">
        <v>0.00224675</v>
      </c>
      <c r="O269" s="20">
        <v>446.0</v>
      </c>
      <c r="P269" s="20">
        <v>1.00205012</v>
      </c>
      <c r="Q269" s="21">
        <f t="shared" si="1"/>
        <v>0.9753148615</v>
      </c>
    </row>
    <row r="270">
      <c r="A270" s="14">
        <v>787.0</v>
      </c>
      <c r="B270" s="15">
        <v>274.945174</v>
      </c>
      <c r="C270" s="16">
        <v>6259795.0</v>
      </c>
      <c r="D270" s="16">
        <v>22767.43</v>
      </c>
      <c r="E270" s="16">
        <v>4.276063393E9</v>
      </c>
      <c r="F270" s="16">
        <v>1.55524221E7</v>
      </c>
      <c r="G270" s="16">
        <v>1276.0</v>
      </c>
      <c r="H270" s="16">
        <v>4.64092524</v>
      </c>
      <c r="I270" s="16">
        <v>1184.0</v>
      </c>
      <c r="J270" s="16">
        <v>4.30631308</v>
      </c>
      <c r="K270" s="16">
        <v>1209.0</v>
      </c>
      <c r="L270" s="16">
        <v>4.3972403</v>
      </c>
      <c r="M270" s="16">
        <v>1.0</v>
      </c>
      <c r="N270" s="16">
        <v>0.00363709</v>
      </c>
      <c r="O270" s="16">
        <v>275.0</v>
      </c>
      <c r="P270" s="16">
        <v>1.00019941</v>
      </c>
      <c r="Q270" s="17">
        <f t="shared" si="1"/>
        <v>0.9793217535</v>
      </c>
    </row>
    <row r="271">
      <c r="A271" s="18">
        <v>788.0</v>
      </c>
      <c r="B271" s="19">
        <v>78.6002695</v>
      </c>
      <c r="C271" s="20">
        <v>1885349.0</v>
      </c>
      <c r="D271" s="20">
        <v>23986.5463</v>
      </c>
      <c r="E271" s="20">
        <v>4.252501341E9</v>
      </c>
      <c r="F271" s="20">
        <v>5.4102885E7</v>
      </c>
      <c r="G271" s="20">
        <v>449.0</v>
      </c>
      <c r="H271" s="20">
        <v>5.71244861</v>
      </c>
      <c r="I271" s="20">
        <v>418.0</v>
      </c>
      <c r="J271" s="20">
        <v>5.31804793</v>
      </c>
      <c r="K271" s="20">
        <v>432.0</v>
      </c>
      <c r="L271" s="20">
        <v>5.49616436</v>
      </c>
      <c r="M271" s="20">
        <v>1.0</v>
      </c>
      <c r="N271" s="20">
        <v>0.0127226</v>
      </c>
      <c r="O271" s="20">
        <v>78.0</v>
      </c>
      <c r="P271" s="20">
        <v>0.99236301</v>
      </c>
      <c r="Q271" s="21">
        <f t="shared" si="1"/>
        <v>0.9675925926</v>
      </c>
    </row>
    <row r="272">
      <c r="A272" s="22">
        <v>789.0</v>
      </c>
      <c r="B272" s="23">
        <v>386.287267</v>
      </c>
      <c r="C272" s="24">
        <v>9639440.0</v>
      </c>
      <c r="D272" s="24">
        <v>24954.0713</v>
      </c>
      <c r="E272" s="24">
        <v>4.291619977E9</v>
      </c>
      <c r="F272" s="24">
        <v>1.11099183E7</v>
      </c>
      <c r="G272" s="24">
        <v>2438.0</v>
      </c>
      <c r="H272" s="24">
        <v>6.31136516</v>
      </c>
      <c r="I272" s="24">
        <v>2241.0</v>
      </c>
      <c r="J272" s="24">
        <v>5.80138201</v>
      </c>
      <c r="K272" s="24">
        <v>2320.0</v>
      </c>
      <c r="L272" s="24">
        <v>6.00589302</v>
      </c>
      <c r="M272" s="24">
        <v>1.0</v>
      </c>
      <c r="N272" s="24">
        <v>0.00258875</v>
      </c>
      <c r="O272" s="24">
        <v>386.0</v>
      </c>
      <c r="P272" s="24">
        <v>0.99925634</v>
      </c>
      <c r="Q272" s="25">
        <f t="shared" si="1"/>
        <v>0.9659482759</v>
      </c>
    </row>
    <row r="273">
      <c r="A273" s="26"/>
      <c r="B273" s="27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</row>
    <row r="274">
      <c r="A274" s="26"/>
      <c r="B274" s="27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</row>
    <row r="275">
      <c r="A275" s="26"/>
      <c r="B275" s="27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</row>
    <row r="276">
      <c r="A276" s="26"/>
      <c r="B276" s="27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</row>
    <row r="277">
      <c r="A277" s="26"/>
      <c r="B277" s="27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</row>
    <row r="278">
      <c r="A278" s="26"/>
      <c r="B278" s="27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</row>
    <row r="279">
      <c r="A279" s="26"/>
      <c r="B279" s="27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</row>
    <row r="280">
      <c r="A280" s="26"/>
      <c r="B280" s="27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</row>
    <row r="281">
      <c r="A281" s="26"/>
      <c r="B281" s="27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</row>
    <row r="282">
      <c r="A282" s="26"/>
      <c r="B282" s="27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</row>
    <row r="283">
      <c r="A283" s="26"/>
      <c r="B283" s="27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</row>
    <row r="284">
      <c r="A284" s="26"/>
      <c r="B284" s="27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</row>
    <row r="285">
      <c r="A285" s="26"/>
      <c r="B285" s="27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</row>
    <row r="286">
      <c r="A286" s="26"/>
      <c r="B286" s="27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</row>
    <row r="287">
      <c r="A287" s="26"/>
      <c r="B287" s="27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</row>
    <row r="288">
      <c r="A288" s="26"/>
      <c r="B288" s="27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</row>
    <row r="289">
      <c r="A289" s="26"/>
      <c r="B289" s="27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</row>
    <row r="290">
      <c r="A290" s="26"/>
      <c r="B290" s="27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</row>
    <row r="291">
      <c r="A291" s="26"/>
      <c r="B291" s="27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</row>
    <row r="292">
      <c r="A292" s="26"/>
      <c r="B292" s="27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</row>
    <row r="293">
      <c r="A293" s="26"/>
      <c r="B293" s="27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</row>
    <row r="294">
      <c r="A294" s="26"/>
      <c r="B294" s="27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</row>
    <row r="295">
      <c r="A295" s="26"/>
      <c r="B295" s="27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</row>
    <row r="296">
      <c r="A296" s="26"/>
      <c r="B296" s="27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</row>
    <row r="297">
      <c r="A297" s="26"/>
      <c r="B297" s="27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</row>
    <row r="298">
      <c r="A298" s="26"/>
      <c r="B298" s="27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</row>
    <row r="299">
      <c r="A299" s="26"/>
      <c r="B299" s="27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</row>
    <row r="300">
      <c r="A300" s="26"/>
      <c r="B300" s="27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</row>
    <row r="301">
      <c r="A301" s="26"/>
      <c r="B301" s="27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</row>
    <row r="302">
      <c r="A302" s="26"/>
      <c r="B302" s="27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</row>
    <row r="303">
      <c r="A303" s="26"/>
      <c r="B303" s="27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</row>
    <row r="304">
      <c r="A304" s="26"/>
      <c r="B304" s="27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</row>
    <row r="305">
      <c r="A305" s="26"/>
      <c r="B305" s="27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</row>
    <row r="306">
      <c r="A306" s="26"/>
      <c r="B306" s="27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</row>
    <row r="307">
      <c r="A307" s="26"/>
      <c r="B307" s="27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</row>
    <row r="308">
      <c r="A308" s="26"/>
      <c r="B308" s="27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</row>
    <row r="309">
      <c r="A309" s="26"/>
      <c r="B309" s="27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</row>
    <row r="310">
      <c r="A310" s="26"/>
      <c r="B310" s="27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</row>
    <row r="311">
      <c r="A311" s="26"/>
      <c r="B311" s="27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</row>
    <row r="312">
      <c r="A312" s="26"/>
      <c r="B312" s="27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</row>
    <row r="313">
      <c r="A313" s="26"/>
      <c r="B313" s="27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</row>
    <row r="314">
      <c r="A314" s="26"/>
      <c r="B314" s="27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</row>
    <row r="315">
      <c r="A315" s="26"/>
      <c r="B315" s="27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</row>
    <row r="316">
      <c r="A316" s="26"/>
      <c r="B316" s="27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</row>
    <row r="317">
      <c r="A317" s="26"/>
      <c r="B317" s="27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</row>
    <row r="318">
      <c r="A318" s="26"/>
      <c r="B318" s="27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</row>
    <row r="319">
      <c r="A319" s="26"/>
      <c r="B319" s="27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</row>
    <row r="320">
      <c r="A320" s="26"/>
      <c r="B320" s="27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</row>
    <row r="321">
      <c r="A321" s="26"/>
      <c r="B321" s="27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</row>
    <row r="322">
      <c r="A322" s="26"/>
      <c r="B322" s="27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</row>
    <row r="323">
      <c r="A323" s="26"/>
      <c r="B323" s="27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</row>
    <row r="324">
      <c r="A324" s="26"/>
      <c r="B324" s="27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</row>
    <row r="325">
      <c r="A325" s="26"/>
      <c r="B325" s="27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</row>
    <row r="326">
      <c r="A326" s="26"/>
      <c r="B326" s="27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</row>
    <row r="327">
      <c r="A327" s="26"/>
      <c r="B327" s="27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</row>
    <row r="328">
      <c r="A328" s="26"/>
      <c r="B328" s="27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</row>
    <row r="329">
      <c r="A329" s="26"/>
      <c r="B329" s="27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</row>
    <row r="330">
      <c r="A330" s="26"/>
      <c r="B330" s="27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</row>
    <row r="331">
      <c r="A331" s="26"/>
      <c r="B331" s="27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</row>
    <row r="332">
      <c r="A332" s="26"/>
      <c r="B332" s="27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</row>
    <row r="333">
      <c r="A333" s="26"/>
      <c r="B333" s="27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</row>
    <row r="334">
      <c r="A334" s="26"/>
      <c r="B334" s="27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</row>
    <row r="335">
      <c r="A335" s="26"/>
      <c r="B335" s="27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</row>
    <row r="336">
      <c r="A336" s="26"/>
      <c r="B336" s="27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</row>
    <row r="337">
      <c r="A337" s="26"/>
      <c r="B337" s="27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</row>
    <row r="338">
      <c r="A338" s="26"/>
      <c r="B338" s="27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</row>
    <row r="339">
      <c r="A339" s="26"/>
      <c r="B339" s="27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</row>
    <row r="340">
      <c r="A340" s="26"/>
      <c r="B340" s="27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</row>
    <row r="341">
      <c r="A341" s="26"/>
      <c r="B341" s="27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</row>
    <row r="342">
      <c r="A342" s="26"/>
      <c r="B342" s="27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</row>
    <row r="343">
      <c r="A343" s="26"/>
      <c r="B343" s="27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</row>
    <row r="344">
      <c r="A344" s="26"/>
      <c r="B344" s="27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</row>
    <row r="345">
      <c r="A345" s="26"/>
      <c r="B345" s="27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</row>
    <row r="346">
      <c r="A346" s="26"/>
      <c r="B346" s="27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</row>
    <row r="347">
      <c r="A347" s="26"/>
      <c r="B347" s="27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</row>
    <row r="348">
      <c r="A348" s="26"/>
      <c r="B348" s="27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</row>
    <row r="349">
      <c r="A349" s="26"/>
      <c r="B349" s="27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</row>
    <row r="350">
      <c r="A350" s="26"/>
      <c r="B350" s="27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</row>
    <row r="351">
      <c r="A351" s="26"/>
      <c r="B351" s="27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</row>
    <row r="352">
      <c r="A352" s="26"/>
      <c r="B352" s="27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</row>
    <row r="353">
      <c r="A353" s="26"/>
      <c r="B353" s="27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</row>
    <row r="354">
      <c r="A354" s="26"/>
      <c r="B354" s="27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</row>
    <row r="355">
      <c r="A355" s="26"/>
      <c r="B355" s="27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</row>
    <row r="356">
      <c r="A356" s="26"/>
      <c r="B356" s="27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</row>
    <row r="357">
      <c r="A357" s="26"/>
      <c r="B357" s="27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</row>
    <row r="358">
      <c r="A358" s="26"/>
      <c r="B358" s="27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</row>
    <row r="359">
      <c r="A359" s="26"/>
      <c r="B359" s="27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</row>
    <row r="360">
      <c r="A360" s="26"/>
      <c r="B360" s="27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</row>
    <row r="361">
      <c r="A361" s="26"/>
      <c r="B361" s="27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</row>
    <row r="362">
      <c r="A362" s="26"/>
      <c r="B362" s="27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</row>
    <row r="363">
      <c r="A363" s="26"/>
      <c r="B363" s="27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</row>
    <row r="364">
      <c r="A364" s="26"/>
      <c r="B364" s="27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</row>
    <row r="365">
      <c r="A365" s="26"/>
      <c r="B365" s="27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</row>
    <row r="366">
      <c r="A366" s="26"/>
      <c r="B366" s="27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</row>
    <row r="367">
      <c r="A367" s="26"/>
      <c r="B367" s="27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</row>
    <row r="368">
      <c r="A368" s="26"/>
      <c r="B368" s="27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</row>
    <row r="369">
      <c r="A369" s="26"/>
      <c r="B369" s="27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</row>
    <row r="370">
      <c r="A370" s="26"/>
      <c r="B370" s="27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</row>
    <row r="371">
      <c r="A371" s="26"/>
      <c r="B371" s="27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</row>
    <row r="372">
      <c r="A372" s="26"/>
      <c r="B372" s="27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</row>
    <row r="373">
      <c r="A373" s="26"/>
      <c r="B373" s="27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</row>
    <row r="374">
      <c r="A374" s="26"/>
      <c r="B374" s="27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</row>
    <row r="375">
      <c r="A375" s="26"/>
      <c r="B375" s="27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</row>
    <row r="376">
      <c r="A376" s="26"/>
      <c r="B376" s="27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</row>
    <row r="377">
      <c r="A377" s="26"/>
      <c r="B377" s="27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</row>
    <row r="378">
      <c r="A378" s="26"/>
      <c r="B378" s="27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</row>
    <row r="379">
      <c r="A379" s="26"/>
      <c r="B379" s="27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</row>
    <row r="380">
      <c r="A380" s="26"/>
      <c r="B380" s="27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</row>
    <row r="381">
      <c r="A381" s="26"/>
      <c r="B381" s="27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</row>
    <row r="382">
      <c r="A382" s="26"/>
      <c r="B382" s="27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</row>
    <row r="383">
      <c r="A383" s="26"/>
      <c r="B383" s="27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</row>
    <row r="384">
      <c r="A384" s="26"/>
      <c r="B384" s="27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</row>
    <row r="385">
      <c r="A385" s="26"/>
      <c r="B385" s="27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</row>
    <row r="386">
      <c r="A386" s="26"/>
      <c r="B386" s="27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</row>
    <row r="387">
      <c r="A387" s="26"/>
      <c r="B387" s="27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</row>
    <row r="388">
      <c r="A388" s="26"/>
      <c r="B388" s="27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</row>
    <row r="389">
      <c r="A389" s="26"/>
      <c r="B389" s="27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</row>
    <row r="390">
      <c r="A390" s="26"/>
      <c r="B390" s="27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</row>
    <row r="391">
      <c r="A391" s="26"/>
      <c r="B391" s="27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</row>
    <row r="392">
      <c r="A392" s="26"/>
      <c r="B392" s="27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</row>
    <row r="393">
      <c r="A393" s="26"/>
      <c r="B393" s="27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</row>
    <row r="394">
      <c r="A394" s="26"/>
      <c r="B394" s="27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</row>
    <row r="395">
      <c r="A395" s="26"/>
      <c r="B395" s="27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</row>
    <row r="396">
      <c r="A396" s="26"/>
      <c r="B396" s="27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</row>
    <row r="397">
      <c r="A397" s="26"/>
      <c r="B397" s="27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</row>
    <row r="398">
      <c r="A398" s="26"/>
      <c r="B398" s="27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</row>
    <row r="399">
      <c r="A399" s="26"/>
      <c r="B399" s="27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</row>
    <row r="400">
      <c r="A400" s="26"/>
      <c r="B400" s="27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</row>
    <row r="401">
      <c r="A401" s="26"/>
      <c r="B401" s="27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</row>
    <row r="402">
      <c r="A402" s="26"/>
      <c r="B402" s="27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</row>
    <row r="403">
      <c r="A403" s="26"/>
      <c r="B403" s="27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</row>
    <row r="404">
      <c r="A404" s="26"/>
      <c r="B404" s="27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</row>
    <row r="405">
      <c r="A405" s="26"/>
      <c r="B405" s="27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</row>
    <row r="406">
      <c r="A406" s="26"/>
      <c r="B406" s="27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</row>
    <row r="407">
      <c r="A407" s="26"/>
      <c r="B407" s="27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</row>
    <row r="408">
      <c r="A408" s="26"/>
      <c r="B408" s="27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</row>
    <row r="409">
      <c r="A409" s="26"/>
      <c r="B409" s="27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</row>
    <row r="410">
      <c r="A410" s="26"/>
      <c r="B410" s="27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</row>
    <row r="411">
      <c r="A411" s="26"/>
      <c r="B411" s="27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</row>
    <row r="412">
      <c r="A412" s="26"/>
      <c r="B412" s="27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</row>
    <row r="413">
      <c r="A413" s="26"/>
      <c r="B413" s="27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</row>
    <row r="414">
      <c r="A414" s="26"/>
      <c r="B414" s="27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</row>
    <row r="415">
      <c r="A415" s="26"/>
      <c r="B415" s="27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</row>
    <row r="416">
      <c r="A416" s="26"/>
      <c r="B416" s="27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</row>
    <row r="417">
      <c r="A417" s="26"/>
      <c r="B417" s="27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</row>
    <row r="418">
      <c r="A418" s="26"/>
      <c r="B418" s="27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</row>
    <row r="419">
      <c r="A419" s="26"/>
      <c r="B419" s="27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</row>
    <row r="420">
      <c r="A420" s="26"/>
      <c r="B420" s="27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</row>
    <row r="421">
      <c r="A421" s="26"/>
      <c r="B421" s="27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</row>
    <row r="422">
      <c r="A422" s="26"/>
      <c r="B422" s="27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</row>
    <row r="423">
      <c r="A423" s="26"/>
      <c r="B423" s="27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</row>
    <row r="424">
      <c r="A424" s="26"/>
      <c r="B424" s="27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</row>
    <row r="425">
      <c r="A425" s="26"/>
      <c r="B425" s="27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</row>
    <row r="426">
      <c r="A426" s="26"/>
      <c r="B426" s="27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</row>
    <row r="427">
      <c r="A427" s="26"/>
      <c r="B427" s="27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</row>
    <row r="428">
      <c r="A428" s="26"/>
      <c r="B428" s="27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</row>
    <row r="429">
      <c r="A429" s="26"/>
      <c r="B429" s="27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</row>
    <row r="430">
      <c r="A430" s="26"/>
      <c r="B430" s="27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</row>
    <row r="431">
      <c r="A431" s="26"/>
      <c r="B431" s="27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</row>
    <row r="432">
      <c r="A432" s="26"/>
      <c r="B432" s="27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</row>
    <row r="433">
      <c r="A433" s="26"/>
      <c r="B433" s="27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</row>
    <row r="434">
      <c r="A434" s="26"/>
      <c r="B434" s="27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</row>
    <row r="435">
      <c r="A435" s="26"/>
      <c r="B435" s="27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</row>
    <row r="436">
      <c r="A436" s="26"/>
      <c r="B436" s="27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</row>
    <row r="437">
      <c r="A437" s="26"/>
      <c r="B437" s="27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</row>
    <row r="438">
      <c r="A438" s="26"/>
      <c r="B438" s="27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</row>
    <row r="439">
      <c r="A439" s="26"/>
      <c r="B439" s="27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</row>
    <row r="440">
      <c r="A440" s="26"/>
      <c r="B440" s="27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</row>
    <row r="441">
      <c r="A441" s="26"/>
      <c r="B441" s="27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</row>
    <row r="442">
      <c r="A442" s="26"/>
      <c r="B442" s="27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</row>
    <row r="443">
      <c r="A443" s="26"/>
      <c r="B443" s="27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</row>
    <row r="444">
      <c r="A444" s="26"/>
      <c r="B444" s="27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</row>
    <row r="445">
      <c r="A445" s="26"/>
      <c r="B445" s="27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</row>
    <row r="446">
      <c r="A446" s="26"/>
      <c r="B446" s="27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</row>
    <row r="447">
      <c r="A447" s="26"/>
      <c r="B447" s="27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</row>
    <row r="448">
      <c r="A448" s="26"/>
      <c r="B448" s="27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</row>
    <row r="449">
      <c r="A449" s="26"/>
      <c r="B449" s="27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</row>
    <row r="450">
      <c r="A450" s="26"/>
      <c r="B450" s="27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</row>
    <row r="451">
      <c r="A451" s="26"/>
      <c r="B451" s="27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</row>
    <row r="452">
      <c r="A452" s="26"/>
      <c r="B452" s="27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</row>
    <row r="453">
      <c r="A453" s="26"/>
      <c r="B453" s="27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</row>
    <row r="454">
      <c r="A454" s="26"/>
      <c r="B454" s="27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</row>
    <row r="455">
      <c r="A455" s="26"/>
      <c r="B455" s="27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</row>
    <row r="456">
      <c r="A456" s="26"/>
      <c r="B456" s="27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</row>
    <row r="457">
      <c r="A457" s="26"/>
      <c r="B457" s="27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</row>
    <row r="458">
      <c r="A458" s="26"/>
      <c r="B458" s="27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</row>
    <row r="459">
      <c r="A459" s="26"/>
      <c r="B459" s="27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</row>
    <row r="460">
      <c r="A460" s="26"/>
      <c r="B460" s="27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</row>
    <row r="461">
      <c r="A461" s="26"/>
      <c r="B461" s="27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</row>
    <row r="462">
      <c r="A462" s="26"/>
      <c r="B462" s="27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</row>
    <row r="463">
      <c r="A463" s="26"/>
      <c r="B463" s="27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</row>
    <row r="464">
      <c r="A464" s="26"/>
      <c r="B464" s="27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</row>
    <row r="465">
      <c r="A465" s="26"/>
      <c r="B465" s="27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</row>
    <row r="466">
      <c r="A466" s="26"/>
      <c r="B466" s="27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</row>
    <row r="467">
      <c r="A467" s="26"/>
      <c r="B467" s="27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</row>
    <row r="468">
      <c r="A468" s="26"/>
      <c r="B468" s="27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</row>
    <row r="469">
      <c r="A469" s="26"/>
      <c r="B469" s="27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</row>
    <row r="470">
      <c r="A470" s="26"/>
      <c r="B470" s="27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</row>
    <row r="471">
      <c r="A471" s="26"/>
      <c r="B471" s="27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</row>
    <row r="472">
      <c r="A472" s="26"/>
      <c r="B472" s="27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</row>
    <row r="473">
      <c r="A473" s="26"/>
      <c r="B473" s="27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</row>
    <row r="474">
      <c r="A474" s="26"/>
      <c r="B474" s="27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</row>
    <row r="475">
      <c r="A475" s="26"/>
      <c r="B475" s="27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</row>
    <row r="476">
      <c r="A476" s="26"/>
      <c r="B476" s="27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</row>
    <row r="477">
      <c r="A477" s="26"/>
      <c r="B477" s="27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</row>
    <row r="478">
      <c r="A478" s="26"/>
      <c r="B478" s="27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</row>
    <row r="479">
      <c r="A479" s="26"/>
      <c r="B479" s="27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</row>
    <row r="480">
      <c r="A480" s="26"/>
      <c r="B480" s="27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</row>
    <row r="481">
      <c r="A481" s="26"/>
      <c r="B481" s="27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</row>
    <row r="482">
      <c r="A482" s="26"/>
      <c r="B482" s="27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</row>
    <row r="483">
      <c r="A483" s="26"/>
      <c r="B483" s="27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</row>
    <row r="484">
      <c r="A484" s="26"/>
      <c r="B484" s="27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</row>
    <row r="485">
      <c r="A485" s="26"/>
      <c r="B485" s="27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</row>
    <row r="486">
      <c r="A486" s="26"/>
      <c r="B486" s="27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</row>
    <row r="487">
      <c r="A487" s="26"/>
      <c r="B487" s="27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</row>
    <row r="488">
      <c r="A488" s="26"/>
      <c r="B488" s="27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</row>
    <row r="489">
      <c r="A489" s="26"/>
      <c r="B489" s="27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</row>
    <row r="490">
      <c r="A490" s="26"/>
      <c r="B490" s="27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</row>
    <row r="491">
      <c r="A491" s="26"/>
      <c r="B491" s="27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</row>
    <row r="492">
      <c r="A492" s="26"/>
      <c r="B492" s="27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</row>
    <row r="493">
      <c r="A493" s="26"/>
      <c r="B493" s="27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</row>
    <row r="494">
      <c r="A494" s="26"/>
      <c r="B494" s="27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</row>
    <row r="495">
      <c r="A495" s="26"/>
      <c r="B495" s="27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</row>
    <row r="496">
      <c r="A496" s="26"/>
      <c r="B496" s="27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</row>
    <row r="497">
      <c r="A497" s="26"/>
      <c r="B497" s="27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</row>
    <row r="498">
      <c r="A498" s="26"/>
      <c r="B498" s="27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</row>
    <row r="499">
      <c r="A499" s="26"/>
      <c r="B499" s="27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</row>
    <row r="500">
      <c r="A500" s="26"/>
      <c r="B500" s="27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</row>
    <row r="501">
      <c r="A501" s="26"/>
      <c r="B501" s="27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</row>
    <row r="502">
      <c r="A502" s="26"/>
      <c r="B502" s="27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</row>
    <row r="503">
      <c r="A503" s="26"/>
      <c r="B503" s="27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</row>
    <row r="504">
      <c r="A504" s="26"/>
      <c r="B504" s="27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</row>
    <row r="505">
      <c r="A505" s="26"/>
      <c r="B505" s="27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</row>
    <row r="506">
      <c r="A506" s="26"/>
      <c r="B506" s="27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</row>
    <row r="507">
      <c r="A507" s="26"/>
      <c r="B507" s="27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</row>
    <row r="508">
      <c r="A508" s="26"/>
      <c r="B508" s="27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</row>
    <row r="509">
      <c r="A509" s="26"/>
      <c r="B509" s="27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</row>
    <row r="510">
      <c r="A510" s="26"/>
      <c r="B510" s="27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</row>
    <row r="511">
      <c r="A511" s="26"/>
      <c r="B511" s="27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</row>
    <row r="512">
      <c r="A512" s="26"/>
      <c r="B512" s="27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</row>
    <row r="513">
      <c r="A513" s="26"/>
      <c r="B513" s="27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</row>
    <row r="514">
      <c r="A514" s="26"/>
      <c r="B514" s="27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</row>
    <row r="515">
      <c r="A515" s="26"/>
      <c r="B515" s="27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</row>
    <row r="516">
      <c r="A516" s="26"/>
      <c r="B516" s="27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</row>
    <row r="517">
      <c r="A517" s="26"/>
      <c r="B517" s="27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</row>
    <row r="518">
      <c r="A518" s="26"/>
      <c r="B518" s="27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</row>
    <row r="519">
      <c r="A519" s="26"/>
      <c r="B519" s="27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</row>
    <row r="520">
      <c r="A520" s="26"/>
      <c r="B520" s="27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</row>
    <row r="521">
      <c r="A521" s="26"/>
      <c r="B521" s="27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</row>
    <row r="522">
      <c r="A522" s="26"/>
      <c r="B522" s="27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</row>
    <row r="523">
      <c r="A523" s="26"/>
      <c r="B523" s="27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</row>
    <row r="524">
      <c r="A524" s="26"/>
      <c r="B524" s="27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</row>
    <row r="525">
      <c r="A525" s="26"/>
      <c r="B525" s="27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</row>
    <row r="526">
      <c r="A526" s="26"/>
      <c r="B526" s="27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</row>
    <row r="527">
      <c r="A527" s="26"/>
      <c r="B527" s="27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</row>
    <row r="528">
      <c r="A528" s="26"/>
      <c r="B528" s="27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</row>
    <row r="529">
      <c r="A529" s="26"/>
      <c r="B529" s="27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</row>
    <row r="530">
      <c r="A530" s="26"/>
      <c r="B530" s="27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</row>
    <row r="531">
      <c r="A531" s="26"/>
      <c r="B531" s="27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</row>
    <row r="532">
      <c r="A532" s="26"/>
      <c r="B532" s="27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</row>
    <row r="533">
      <c r="A533" s="26"/>
      <c r="B533" s="27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</row>
    <row r="534">
      <c r="A534" s="26"/>
      <c r="B534" s="27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</row>
    <row r="535">
      <c r="A535" s="26"/>
      <c r="B535" s="27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</row>
    <row r="536">
      <c r="A536" s="26"/>
      <c r="B536" s="27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</row>
    <row r="537">
      <c r="A537" s="26"/>
      <c r="B537" s="27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</row>
    <row r="538">
      <c r="A538" s="26"/>
      <c r="B538" s="27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</row>
    <row r="539">
      <c r="A539" s="26"/>
      <c r="B539" s="27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</row>
    <row r="540">
      <c r="A540" s="26"/>
      <c r="B540" s="27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</row>
    <row r="541">
      <c r="A541" s="26"/>
      <c r="B541" s="27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</row>
    <row r="542">
      <c r="A542" s="26"/>
      <c r="B542" s="27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</row>
    <row r="543">
      <c r="A543" s="26"/>
      <c r="B543" s="27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</row>
    <row r="544">
      <c r="A544" s="26"/>
      <c r="B544" s="27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</row>
    <row r="545">
      <c r="A545" s="26"/>
      <c r="B545" s="27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</row>
    <row r="546">
      <c r="A546" s="26"/>
      <c r="B546" s="27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</row>
    <row r="547">
      <c r="A547" s="26"/>
      <c r="B547" s="27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</row>
    <row r="548">
      <c r="A548" s="26"/>
      <c r="B548" s="27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</row>
    <row r="549">
      <c r="A549" s="26"/>
      <c r="B549" s="27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</row>
    <row r="550">
      <c r="A550" s="26"/>
      <c r="B550" s="27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</row>
    <row r="551">
      <c r="A551" s="26"/>
      <c r="B551" s="27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</row>
    <row r="552">
      <c r="A552" s="26"/>
      <c r="B552" s="27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</row>
    <row r="553">
      <c r="A553" s="26"/>
      <c r="B553" s="27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</row>
    <row r="554">
      <c r="A554" s="26"/>
      <c r="B554" s="27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</row>
    <row r="555">
      <c r="A555" s="26"/>
      <c r="B555" s="27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</row>
    <row r="556">
      <c r="A556" s="26"/>
      <c r="B556" s="27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</row>
    <row r="557">
      <c r="A557" s="26"/>
      <c r="B557" s="27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</row>
    <row r="558">
      <c r="A558" s="26"/>
      <c r="B558" s="27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</row>
    <row r="559">
      <c r="A559" s="26"/>
      <c r="B559" s="27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</row>
    <row r="560">
      <c r="A560" s="26"/>
      <c r="B560" s="27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</row>
    <row r="561">
      <c r="A561" s="26"/>
      <c r="B561" s="27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</row>
    <row r="562">
      <c r="A562" s="26"/>
      <c r="B562" s="27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</row>
    <row r="563">
      <c r="A563" s="26"/>
      <c r="B563" s="27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</row>
    <row r="564">
      <c r="A564" s="26"/>
      <c r="B564" s="27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</row>
    <row r="565">
      <c r="A565" s="26"/>
      <c r="B565" s="27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</row>
    <row r="566">
      <c r="A566" s="26"/>
      <c r="B566" s="27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</row>
    <row r="567">
      <c r="A567" s="26"/>
      <c r="B567" s="27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</row>
    <row r="568">
      <c r="A568" s="26"/>
      <c r="B568" s="27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</row>
    <row r="569">
      <c r="A569" s="26"/>
      <c r="B569" s="27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</row>
    <row r="570">
      <c r="A570" s="26"/>
      <c r="B570" s="27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</row>
    <row r="571">
      <c r="A571" s="26"/>
      <c r="B571" s="27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</row>
    <row r="572">
      <c r="A572" s="26"/>
      <c r="B572" s="27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</row>
    <row r="573">
      <c r="A573" s="26"/>
      <c r="B573" s="27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</row>
    <row r="574">
      <c r="A574" s="26"/>
      <c r="B574" s="27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</row>
    <row r="575">
      <c r="A575" s="26"/>
      <c r="B575" s="27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</row>
    <row r="576">
      <c r="A576" s="26"/>
      <c r="B576" s="27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</row>
    <row r="577">
      <c r="A577" s="26"/>
      <c r="B577" s="27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</row>
    <row r="578">
      <c r="A578" s="26"/>
      <c r="B578" s="27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</row>
    <row r="579">
      <c r="A579" s="26"/>
      <c r="B579" s="27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</row>
    <row r="580">
      <c r="A580" s="26"/>
      <c r="B580" s="27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</row>
    <row r="581">
      <c r="A581" s="26"/>
      <c r="B581" s="27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</row>
    <row r="582">
      <c r="A582" s="26"/>
      <c r="B582" s="27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</row>
    <row r="583">
      <c r="A583" s="26"/>
      <c r="B583" s="27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</row>
    <row r="584">
      <c r="A584" s="26"/>
      <c r="B584" s="27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</row>
    <row r="585">
      <c r="A585" s="26"/>
      <c r="B585" s="27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</row>
    <row r="586">
      <c r="A586" s="26"/>
      <c r="B586" s="27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</row>
    <row r="587">
      <c r="A587" s="26"/>
      <c r="B587" s="27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</row>
    <row r="588">
      <c r="A588" s="26"/>
      <c r="B588" s="27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</row>
    <row r="589">
      <c r="A589" s="26"/>
      <c r="B589" s="27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</row>
    <row r="590">
      <c r="A590" s="26"/>
      <c r="B590" s="27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</row>
    <row r="591">
      <c r="A591" s="26"/>
      <c r="B591" s="27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</row>
    <row r="592">
      <c r="A592" s="26"/>
      <c r="B592" s="27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</row>
    <row r="593">
      <c r="A593" s="26"/>
      <c r="B593" s="27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</row>
    <row r="594">
      <c r="A594" s="26"/>
      <c r="B594" s="27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</row>
    <row r="595">
      <c r="A595" s="26"/>
      <c r="B595" s="27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</row>
    <row r="596">
      <c r="A596" s="26"/>
      <c r="B596" s="27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</row>
    <row r="597">
      <c r="A597" s="26"/>
      <c r="B597" s="27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</row>
    <row r="598">
      <c r="A598" s="26"/>
      <c r="B598" s="27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</row>
    <row r="599">
      <c r="A599" s="26"/>
      <c r="B599" s="27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</row>
    <row r="600">
      <c r="A600" s="26"/>
      <c r="B600" s="27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</row>
    <row r="601">
      <c r="A601" s="26"/>
      <c r="B601" s="27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</row>
    <row r="602">
      <c r="A602" s="26"/>
      <c r="B602" s="27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</row>
    <row r="603">
      <c r="A603" s="26"/>
      <c r="B603" s="27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</row>
    <row r="604">
      <c r="A604" s="26"/>
      <c r="B604" s="27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</row>
    <row r="605">
      <c r="A605" s="26"/>
      <c r="B605" s="27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</row>
    <row r="606">
      <c r="A606" s="26"/>
      <c r="B606" s="27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</row>
    <row r="607">
      <c r="A607" s="26"/>
      <c r="B607" s="27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</row>
    <row r="608">
      <c r="A608" s="26"/>
      <c r="B608" s="27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</row>
    <row r="609">
      <c r="A609" s="26"/>
      <c r="B609" s="27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</row>
    <row r="610">
      <c r="A610" s="26"/>
      <c r="B610" s="27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</row>
    <row r="611">
      <c r="A611" s="26"/>
      <c r="B611" s="27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</row>
    <row r="612">
      <c r="A612" s="26"/>
      <c r="B612" s="27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</row>
    <row r="613">
      <c r="A613" s="26"/>
      <c r="B613" s="27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</row>
    <row r="614">
      <c r="A614" s="26"/>
      <c r="B614" s="27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</row>
    <row r="615">
      <c r="A615" s="26"/>
      <c r="B615" s="27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</row>
    <row r="616">
      <c r="A616" s="26"/>
      <c r="B616" s="27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</row>
    <row r="617">
      <c r="A617" s="26"/>
      <c r="B617" s="27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</row>
    <row r="618">
      <c r="A618" s="26"/>
      <c r="B618" s="27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</row>
    <row r="619">
      <c r="A619" s="26"/>
      <c r="B619" s="27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</row>
    <row r="620">
      <c r="A620" s="26"/>
      <c r="B620" s="27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</row>
    <row r="621">
      <c r="A621" s="26"/>
      <c r="B621" s="27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</row>
    <row r="622">
      <c r="A622" s="26"/>
      <c r="B622" s="27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</row>
    <row r="623">
      <c r="A623" s="26"/>
      <c r="B623" s="27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</row>
    <row r="624">
      <c r="A624" s="26"/>
      <c r="B624" s="27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</row>
    <row r="625">
      <c r="A625" s="26"/>
      <c r="B625" s="27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</row>
    <row r="626">
      <c r="A626" s="26"/>
      <c r="B626" s="27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</row>
    <row r="627">
      <c r="A627" s="26"/>
      <c r="B627" s="27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</row>
    <row r="628">
      <c r="A628" s="26"/>
      <c r="B628" s="27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</row>
    <row r="629">
      <c r="A629" s="26"/>
      <c r="B629" s="27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</row>
    <row r="630">
      <c r="A630" s="26"/>
      <c r="B630" s="27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</row>
    <row r="631">
      <c r="A631" s="26"/>
      <c r="B631" s="27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</row>
    <row r="632">
      <c r="A632" s="26"/>
      <c r="B632" s="27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</row>
    <row r="633">
      <c r="A633" s="26"/>
      <c r="B633" s="27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</row>
    <row r="634">
      <c r="A634" s="26"/>
      <c r="B634" s="27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</row>
    <row r="635">
      <c r="A635" s="26"/>
      <c r="B635" s="27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</row>
    <row r="636">
      <c r="A636" s="26"/>
      <c r="B636" s="27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</row>
    <row r="637">
      <c r="A637" s="26"/>
      <c r="B637" s="27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</row>
    <row r="638">
      <c r="A638" s="26"/>
      <c r="B638" s="27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</row>
    <row r="639">
      <c r="A639" s="26"/>
      <c r="B639" s="27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</row>
    <row r="640">
      <c r="A640" s="26"/>
      <c r="B640" s="27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</row>
    <row r="641">
      <c r="A641" s="26"/>
      <c r="B641" s="27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</row>
    <row r="642">
      <c r="A642" s="26"/>
      <c r="B642" s="27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</row>
    <row r="643">
      <c r="A643" s="26"/>
      <c r="B643" s="27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</row>
    <row r="644">
      <c r="A644" s="26"/>
      <c r="B644" s="27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</row>
    <row r="645">
      <c r="A645" s="26"/>
      <c r="B645" s="27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</row>
    <row r="646">
      <c r="A646" s="26"/>
      <c r="B646" s="27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</row>
    <row r="647">
      <c r="A647" s="26"/>
      <c r="B647" s="27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</row>
    <row r="648">
      <c r="A648" s="26"/>
      <c r="B648" s="27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</row>
    <row r="649">
      <c r="A649" s="26"/>
      <c r="B649" s="27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</row>
    <row r="650">
      <c r="A650" s="26"/>
      <c r="B650" s="27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</row>
    <row r="651">
      <c r="A651" s="26"/>
      <c r="B651" s="27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</row>
    <row r="652">
      <c r="A652" s="26"/>
      <c r="B652" s="27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</row>
    <row r="653">
      <c r="A653" s="26"/>
      <c r="B653" s="27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</row>
    <row r="654">
      <c r="A654" s="26"/>
      <c r="B654" s="27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</row>
    <row r="655">
      <c r="A655" s="26"/>
      <c r="B655" s="27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</row>
    <row r="656">
      <c r="A656" s="26"/>
      <c r="B656" s="27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</row>
    <row r="657">
      <c r="A657" s="26"/>
      <c r="B657" s="27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</row>
    <row r="658">
      <c r="A658" s="26"/>
      <c r="B658" s="27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</row>
    <row r="659">
      <c r="A659" s="26"/>
      <c r="B659" s="27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</row>
    <row r="660">
      <c r="A660" s="26"/>
      <c r="B660" s="27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</row>
    <row r="661">
      <c r="A661" s="26"/>
      <c r="B661" s="27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</row>
    <row r="662">
      <c r="A662" s="26"/>
      <c r="B662" s="27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</row>
    <row r="663">
      <c r="A663" s="26"/>
      <c r="B663" s="27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</row>
    <row r="664">
      <c r="A664" s="26"/>
      <c r="B664" s="27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</row>
    <row r="665">
      <c r="A665" s="26"/>
      <c r="B665" s="27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</row>
    <row r="666">
      <c r="A666" s="26"/>
      <c r="B666" s="27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</row>
    <row r="667">
      <c r="A667" s="26"/>
      <c r="B667" s="27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</row>
    <row r="668">
      <c r="A668" s="26"/>
      <c r="B668" s="27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</row>
    <row r="669">
      <c r="A669" s="26"/>
      <c r="B669" s="27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</row>
    <row r="670">
      <c r="A670" s="26"/>
      <c r="B670" s="27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</row>
    <row r="671">
      <c r="A671" s="26"/>
      <c r="B671" s="27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</row>
    <row r="672">
      <c r="A672" s="26"/>
      <c r="B672" s="27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</row>
    <row r="673">
      <c r="A673" s="26"/>
      <c r="B673" s="27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</row>
    <row r="674">
      <c r="A674" s="26"/>
      <c r="B674" s="27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</row>
    <row r="675">
      <c r="A675" s="26"/>
      <c r="B675" s="27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</row>
    <row r="676">
      <c r="A676" s="26"/>
      <c r="B676" s="27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</row>
    <row r="677">
      <c r="A677" s="26"/>
      <c r="B677" s="27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</row>
    <row r="678">
      <c r="A678" s="26"/>
      <c r="B678" s="27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</row>
    <row r="679">
      <c r="A679" s="26"/>
      <c r="B679" s="27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</row>
    <row r="680">
      <c r="A680" s="26"/>
      <c r="B680" s="27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</row>
    <row r="681">
      <c r="A681" s="26"/>
      <c r="B681" s="27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</row>
    <row r="682">
      <c r="A682" s="26"/>
      <c r="B682" s="27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</row>
    <row r="683">
      <c r="A683" s="26"/>
      <c r="B683" s="27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</row>
    <row r="684">
      <c r="A684" s="26"/>
      <c r="B684" s="27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</row>
    <row r="685">
      <c r="A685" s="26"/>
      <c r="B685" s="27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</row>
    <row r="686">
      <c r="A686" s="26"/>
      <c r="B686" s="27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</row>
    <row r="687">
      <c r="A687" s="26"/>
      <c r="B687" s="27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</row>
    <row r="688">
      <c r="A688" s="26"/>
      <c r="B688" s="27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</row>
    <row r="689">
      <c r="A689" s="26"/>
      <c r="B689" s="27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</row>
    <row r="690">
      <c r="A690" s="26"/>
      <c r="B690" s="27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</row>
    <row r="691">
      <c r="A691" s="26"/>
      <c r="B691" s="27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</row>
    <row r="692">
      <c r="A692" s="26"/>
      <c r="B692" s="27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</row>
    <row r="693">
      <c r="A693" s="26"/>
      <c r="B693" s="27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</row>
    <row r="694">
      <c r="A694" s="26"/>
      <c r="B694" s="27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</row>
    <row r="695">
      <c r="A695" s="26"/>
      <c r="B695" s="27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</row>
    <row r="696">
      <c r="A696" s="26"/>
      <c r="B696" s="27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</row>
    <row r="697">
      <c r="A697" s="26"/>
      <c r="B697" s="27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</row>
    <row r="698">
      <c r="A698" s="26"/>
      <c r="B698" s="27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</row>
    <row r="699">
      <c r="A699" s="26"/>
      <c r="B699" s="27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</row>
    <row r="700">
      <c r="A700" s="26"/>
      <c r="B700" s="27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</row>
    <row r="701">
      <c r="A701" s="26"/>
      <c r="B701" s="27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</row>
    <row r="702">
      <c r="A702" s="26"/>
      <c r="B702" s="27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</row>
    <row r="703">
      <c r="A703" s="26"/>
      <c r="B703" s="27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</row>
    <row r="704">
      <c r="A704" s="26"/>
      <c r="B704" s="27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</row>
    <row r="705">
      <c r="A705" s="26"/>
      <c r="B705" s="27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</row>
    <row r="706">
      <c r="A706" s="26"/>
      <c r="B706" s="27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</row>
    <row r="707">
      <c r="A707" s="26"/>
      <c r="B707" s="27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</row>
    <row r="708">
      <c r="A708" s="26"/>
      <c r="B708" s="27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</row>
    <row r="709">
      <c r="A709" s="26"/>
      <c r="B709" s="27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</row>
    <row r="710">
      <c r="A710" s="26"/>
      <c r="B710" s="27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</row>
    <row r="711">
      <c r="A711" s="26"/>
      <c r="B711" s="27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</row>
    <row r="712">
      <c r="A712" s="26"/>
      <c r="B712" s="27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</row>
    <row r="713">
      <c r="A713" s="26"/>
      <c r="B713" s="27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</row>
    <row r="714">
      <c r="A714" s="26"/>
      <c r="B714" s="27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</row>
    <row r="715">
      <c r="A715" s="26"/>
      <c r="B715" s="27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</row>
    <row r="716">
      <c r="A716" s="26"/>
      <c r="B716" s="27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</row>
    <row r="717">
      <c r="A717" s="26"/>
      <c r="B717" s="27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</row>
    <row r="718">
      <c r="A718" s="26"/>
      <c r="B718" s="27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</row>
    <row r="719">
      <c r="A719" s="26"/>
      <c r="B719" s="27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</row>
    <row r="720">
      <c r="A720" s="26"/>
      <c r="B720" s="27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</row>
    <row r="721">
      <c r="A721" s="26"/>
      <c r="B721" s="27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</row>
    <row r="722">
      <c r="A722" s="26"/>
      <c r="B722" s="27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</row>
    <row r="723">
      <c r="A723" s="26"/>
      <c r="B723" s="27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</row>
    <row r="724">
      <c r="A724" s="26"/>
      <c r="B724" s="27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</row>
    <row r="725">
      <c r="A725" s="26"/>
      <c r="B725" s="27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</row>
    <row r="726">
      <c r="A726" s="26"/>
      <c r="B726" s="27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</row>
    <row r="727">
      <c r="A727" s="26"/>
      <c r="B727" s="27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</row>
    <row r="728">
      <c r="A728" s="26"/>
      <c r="B728" s="27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</row>
    <row r="729">
      <c r="A729" s="26"/>
      <c r="B729" s="27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</row>
    <row r="730">
      <c r="A730" s="26"/>
      <c r="B730" s="27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</row>
    <row r="731">
      <c r="A731" s="26"/>
      <c r="B731" s="27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</row>
    <row r="732">
      <c r="A732" s="26"/>
      <c r="B732" s="27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</row>
    <row r="733">
      <c r="A733" s="26"/>
      <c r="B733" s="27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</row>
    <row r="734">
      <c r="A734" s="26"/>
      <c r="B734" s="27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</row>
    <row r="735">
      <c r="A735" s="26"/>
      <c r="B735" s="27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</row>
    <row r="736">
      <c r="A736" s="26"/>
      <c r="B736" s="27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</row>
    <row r="737">
      <c r="A737" s="26"/>
      <c r="B737" s="27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</row>
    <row r="738">
      <c r="A738" s="26"/>
      <c r="B738" s="27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</row>
    <row r="739">
      <c r="A739" s="26"/>
      <c r="B739" s="27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</row>
    <row r="740">
      <c r="A740" s="26"/>
      <c r="B740" s="27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</row>
    <row r="741">
      <c r="A741" s="26"/>
      <c r="B741" s="27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</row>
    <row r="742">
      <c r="A742" s="26"/>
      <c r="B742" s="27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</row>
    <row r="743">
      <c r="A743" s="26"/>
      <c r="B743" s="27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</row>
    <row r="744">
      <c r="A744" s="26"/>
      <c r="B744" s="27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</row>
    <row r="745">
      <c r="A745" s="26"/>
      <c r="B745" s="27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</row>
    <row r="746">
      <c r="A746" s="26"/>
      <c r="B746" s="27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</row>
    <row r="747">
      <c r="A747" s="26"/>
      <c r="B747" s="27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</row>
    <row r="748">
      <c r="A748" s="26"/>
      <c r="B748" s="27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</row>
    <row r="749">
      <c r="A749" s="26"/>
      <c r="B749" s="27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</row>
    <row r="750">
      <c r="A750" s="26"/>
      <c r="B750" s="27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</row>
    <row r="751">
      <c r="A751" s="26"/>
      <c r="B751" s="27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</row>
    <row r="752">
      <c r="A752" s="26"/>
      <c r="B752" s="27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</row>
    <row r="753">
      <c r="A753" s="26"/>
      <c r="B753" s="27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</row>
    <row r="754">
      <c r="A754" s="26"/>
      <c r="B754" s="27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</row>
    <row r="755">
      <c r="A755" s="26"/>
      <c r="B755" s="27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</row>
    <row r="756">
      <c r="A756" s="26"/>
      <c r="B756" s="27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</row>
    <row r="757">
      <c r="A757" s="26"/>
      <c r="B757" s="27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</row>
    <row r="758">
      <c r="A758" s="26"/>
      <c r="B758" s="27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</row>
    <row r="759">
      <c r="A759" s="26"/>
      <c r="B759" s="27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</row>
    <row r="760">
      <c r="A760" s="26"/>
      <c r="B760" s="27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</row>
    <row r="761">
      <c r="A761" s="26"/>
      <c r="B761" s="27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</row>
    <row r="762">
      <c r="A762" s="26"/>
      <c r="B762" s="27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</row>
    <row r="763">
      <c r="A763" s="26"/>
      <c r="B763" s="27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</row>
    <row r="764">
      <c r="A764" s="26"/>
      <c r="B764" s="27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</row>
    <row r="765">
      <c r="A765" s="26"/>
      <c r="B765" s="27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</row>
    <row r="766">
      <c r="A766" s="26"/>
      <c r="B766" s="27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</row>
    <row r="767">
      <c r="A767" s="26"/>
      <c r="B767" s="27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</row>
    <row r="768">
      <c r="A768" s="26"/>
      <c r="B768" s="27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</row>
    <row r="769">
      <c r="A769" s="26"/>
      <c r="B769" s="27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</row>
    <row r="770">
      <c r="A770" s="26"/>
      <c r="B770" s="27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</row>
    <row r="771">
      <c r="A771" s="26"/>
      <c r="B771" s="27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</row>
    <row r="772">
      <c r="A772" s="26"/>
      <c r="B772" s="27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</row>
    <row r="773">
      <c r="A773" s="26"/>
      <c r="B773" s="27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</row>
    <row r="774">
      <c r="A774" s="26"/>
      <c r="B774" s="27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</row>
    <row r="775">
      <c r="A775" s="26"/>
      <c r="B775" s="27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</row>
    <row r="776">
      <c r="A776" s="26"/>
      <c r="B776" s="27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</row>
    <row r="777">
      <c r="A777" s="26"/>
      <c r="B777" s="27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</row>
    <row r="778">
      <c r="A778" s="26"/>
      <c r="B778" s="27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</row>
    <row r="779">
      <c r="A779" s="26"/>
      <c r="B779" s="27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</row>
    <row r="780">
      <c r="A780" s="26"/>
      <c r="B780" s="27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</row>
    <row r="781">
      <c r="A781" s="26"/>
      <c r="B781" s="27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</row>
    <row r="782">
      <c r="A782" s="26"/>
      <c r="B782" s="27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</row>
    <row r="783">
      <c r="A783" s="26"/>
      <c r="B783" s="27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</row>
    <row r="784">
      <c r="A784" s="26"/>
      <c r="B784" s="27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</row>
    <row r="785">
      <c r="A785" s="26"/>
      <c r="B785" s="27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</row>
    <row r="786">
      <c r="A786" s="26"/>
      <c r="B786" s="27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</row>
    <row r="787">
      <c r="A787" s="26"/>
      <c r="B787" s="27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</row>
    <row r="788">
      <c r="A788" s="26"/>
      <c r="B788" s="27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</row>
    <row r="789">
      <c r="A789" s="26"/>
      <c r="B789" s="27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</row>
    <row r="790">
      <c r="A790" s="26"/>
      <c r="B790" s="27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</row>
    <row r="791">
      <c r="A791" s="26"/>
      <c r="B791" s="27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</row>
    <row r="792">
      <c r="A792" s="26"/>
      <c r="B792" s="27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</row>
    <row r="793">
      <c r="A793" s="26"/>
      <c r="B793" s="27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</row>
    <row r="794">
      <c r="A794" s="26"/>
      <c r="B794" s="27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</row>
    <row r="795">
      <c r="A795" s="26"/>
      <c r="B795" s="27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</row>
    <row r="796">
      <c r="A796" s="26"/>
      <c r="B796" s="27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</row>
    <row r="797">
      <c r="A797" s="26"/>
      <c r="B797" s="27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</row>
    <row r="798">
      <c r="A798" s="26"/>
      <c r="B798" s="27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</row>
    <row r="799">
      <c r="A799" s="26"/>
      <c r="B799" s="27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</row>
    <row r="800">
      <c r="A800" s="26"/>
      <c r="B800" s="27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</row>
    <row r="801">
      <c r="A801" s="26"/>
      <c r="B801" s="27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</row>
    <row r="802">
      <c r="A802" s="26"/>
      <c r="B802" s="27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</row>
    <row r="803">
      <c r="A803" s="26"/>
      <c r="B803" s="27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</row>
    <row r="804">
      <c r="A804" s="26"/>
      <c r="B804" s="27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</row>
    <row r="805">
      <c r="A805" s="26"/>
      <c r="B805" s="27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</row>
    <row r="806">
      <c r="A806" s="26"/>
      <c r="B806" s="27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</row>
    <row r="807">
      <c r="A807" s="26"/>
      <c r="B807" s="27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</row>
    <row r="808">
      <c r="A808" s="26"/>
      <c r="B808" s="27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</row>
    <row r="809">
      <c r="A809" s="26"/>
      <c r="B809" s="27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</row>
    <row r="810">
      <c r="A810" s="26"/>
      <c r="B810" s="27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</row>
    <row r="811">
      <c r="A811" s="26"/>
      <c r="B811" s="27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</row>
    <row r="812">
      <c r="A812" s="26"/>
      <c r="B812" s="27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</row>
    <row r="813">
      <c r="A813" s="26"/>
      <c r="B813" s="27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</row>
    <row r="814">
      <c r="A814" s="26"/>
      <c r="B814" s="27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</row>
    <row r="815">
      <c r="A815" s="26"/>
      <c r="B815" s="27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</row>
    <row r="816">
      <c r="A816" s="26"/>
      <c r="B816" s="27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</row>
    <row r="817">
      <c r="A817" s="26"/>
      <c r="B817" s="27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</row>
    <row r="818">
      <c r="A818" s="26"/>
      <c r="B818" s="27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</row>
    <row r="819">
      <c r="A819" s="26"/>
      <c r="B819" s="27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</row>
    <row r="820">
      <c r="A820" s="26"/>
      <c r="B820" s="27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</row>
    <row r="821">
      <c r="A821" s="26"/>
      <c r="B821" s="27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</row>
    <row r="822">
      <c r="A822" s="26"/>
      <c r="B822" s="27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</row>
    <row r="823">
      <c r="A823" s="26"/>
      <c r="B823" s="27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</row>
    <row r="824">
      <c r="A824" s="26"/>
      <c r="B824" s="27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</row>
    <row r="825">
      <c r="A825" s="26"/>
      <c r="B825" s="27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</row>
    <row r="826">
      <c r="A826" s="26"/>
      <c r="B826" s="27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</row>
    <row r="827">
      <c r="A827" s="26"/>
      <c r="B827" s="27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</row>
    <row r="828">
      <c r="A828" s="26"/>
      <c r="B828" s="27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</row>
    <row r="829">
      <c r="A829" s="26"/>
      <c r="B829" s="27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</row>
    <row r="830">
      <c r="A830" s="26"/>
      <c r="B830" s="27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</row>
    <row r="831">
      <c r="A831" s="26"/>
      <c r="B831" s="27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</row>
    <row r="832">
      <c r="A832" s="26"/>
      <c r="B832" s="27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</row>
    <row r="833">
      <c r="A833" s="26"/>
      <c r="B833" s="27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</row>
    <row r="834">
      <c r="A834" s="26"/>
      <c r="B834" s="27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</row>
    <row r="835">
      <c r="A835" s="26"/>
      <c r="B835" s="27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</row>
    <row r="836">
      <c r="A836" s="26"/>
      <c r="B836" s="27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</row>
    <row r="837">
      <c r="A837" s="26"/>
      <c r="B837" s="27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</row>
    <row r="838">
      <c r="A838" s="26"/>
      <c r="B838" s="27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</row>
    <row r="839">
      <c r="A839" s="26"/>
      <c r="B839" s="27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</row>
    <row r="840">
      <c r="A840" s="26"/>
      <c r="B840" s="27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</row>
    <row r="841">
      <c r="A841" s="26"/>
      <c r="B841" s="27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</row>
    <row r="842">
      <c r="A842" s="26"/>
      <c r="B842" s="27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</row>
    <row r="843">
      <c r="A843" s="26"/>
      <c r="B843" s="27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</row>
    <row r="844">
      <c r="A844" s="26"/>
      <c r="B844" s="27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</row>
    <row r="845">
      <c r="A845" s="26"/>
      <c r="B845" s="27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</row>
    <row r="846">
      <c r="A846" s="26"/>
      <c r="B846" s="27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</row>
    <row r="847">
      <c r="A847" s="26"/>
      <c r="B847" s="27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</row>
    <row r="848">
      <c r="A848" s="26"/>
      <c r="B848" s="27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</row>
    <row r="849">
      <c r="A849" s="26"/>
      <c r="B849" s="27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</row>
    <row r="850">
      <c r="A850" s="26"/>
      <c r="B850" s="27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</row>
    <row r="851">
      <c r="A851" s="26"/>
      <c r="B851" s="27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</row>
    <row r="852">
      <c r="A852" s="26"/>
      <c r="B852" s="27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</row>
    <row r="853">
      <c r="A853" s="26"/>
      <c r="B853" s="27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</row>
    <row r="854">
      <c r="A854" s="26"/>
      <c r="B854" s="27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</row>
    <row r="855">
      <c r="A855" s="26"/>
      <c r="B855" s="27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</row>
    <row r="856">
      <c r="A856" s="26"/>
      <c r="B856" s="27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</row>
    <row r="857">
      <c r="A857" s="26"/>
      <c r="B857" s="27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</row>
    <row r="858">
      <c r="A858" s="26"/>
      <c r="B858" s="27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</row>
    <row r="859">
      <c r="A859" s="26"/>
      <c r="B859" s="27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</row>
    <row r="860">
      <c r="A860" s="26"/>
      <c r="B860" s="27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</row>
    <row r="861">
      <c r="A861" s="26"/>
      <c r="B861" s="27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</row>
    <row r="862">
      <c r="A862" s="26"/>
      <c r="B862" s="27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</row>
    <row r="863">
      <c r="A863" s="26"/>
      <c r="B863" s="27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</row>
    <row r="864">
      <c r="A864" s="26"/>
      <c r="B864" s="27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</row>
    <row r="865">
      <c r="A865" s="26"/>
      <c r="B865" s="27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</row>
    <row r="866">
      <c r="A866" s="26"/>
      <c r="B866" s="27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</row>
    <row r="867">
      <c r="A867" s="26"/>
      <c r="B867" s="27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</row>
    <row r="868">
      <c r="A868" s="26"/>
      <c r="B868" s="27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</row>
    <row r="869">
      <c r="A869" s="26"/>
      <c r="B869" s="27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</row>
    <row r="870">
      <c r="A870" s="26"/>
      <c r="B870" s="27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</row>
    <row r="871">
      <c r="A871" s="26"/>
      <c r="B871" s="27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</row>
    <row r="872">
      <c r="A872" s="26"/>
      <c r="B872" s="27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</row>
    <row r="873">
      <c r="A873" s="26"/>
      <c r="B873" s="27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</row>
    <row r="874">
      <c r="A874" s="26"/>
      <c r="B874" s="27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</row>
    <row r="875">
      <c r="A875" s="26"/>
      <c r="B875" s="27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</row>
    <row r="876">
      <c r="A876" s="26"/>
      <c r="B876" s="27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</row>
    <row r="877">
      <c r="A877" s="26"/>
      <c r="B877" s="27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</row>
    <row r="878">
      <c r="A878" s="26"/>
      <c r="B878" s="27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</row>
    <row r="879">
      <c r="A879" s="26"/>
      <c r="B879" s="27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</row>
    <row r="880">
      <c r="A880" s="26"/>
      <c r="B880" s="27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</row>
    <row r="881">
      <c r="A881" s="26"/>
      <c r="B881" s="27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</row>
    <row r="882">
      <c r="A882" s="26"/>
      <c r="B882" s="27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</row>
    <row r="883">
      <c r="A883" s="26"/>
      <c r="B883" s="27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</row>
    <row r="884">
      <c r="A884" s="26"/>
      <c r="B884" s="27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</row>
    <row r="885">
      <c r="A885" s="26"/>
      <c r="B885" s="27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</row>
    <row r="886">
      <c r="A886" s="26"/>
      <c r="B886" s="27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</row>
    <row r="887">
      <c r="A887" s="26"/>
      <c r="B887" s="27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</row>
    <row r="888">
      <c r="A888" s="26"/>
      <c r="B888" s="27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</row>
    <row r="889">
      <c r="A889" s="26"/>
      <c r="B889" s="27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</row>
    <row r="890">
      <c r="A890" s="26"/>
      <c r="B890" s="27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</row>
    <row r="891">
      <c r="A891" s="26"/>
      <c r="B891" s="27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</row>
    <row r="892">
      <c r="A892" s="26"/>
      <c r="B892" s="27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</row>
    <row r="893">
      <c r="A893" s="26"/>
      <c r="B893" s="27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</row>
    <row r="894">
      <c r="A894" s="26"/>
      <c r="B894" s="27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</row>
    <row r="895">
      <c r="A895" s="26"/>
      <c r="B895" s="27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</row>
    <row r="896">
      <c r="A896" s="26"/>
      <c r="B896" s="27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</row>
    <row r="897">
      <c r="A897" s="26"/>
      <c r="B897" s="27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</row>
    <row r="898">
      <c r="A898" s="26"/>
      <c r="B898" s="27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</row>
    <row r="899">
      <c r="A899" s="26"/>
      <c r="B899" s="27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</row>
    <row r="900">
      <c r="A900" s="26"/>
      <c r="B900" s="27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</row>
    <row r="901">
      <c r="A901" s="26"/>
      <c r="B901" s="27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</row>
    <row r="902">
      <c r="A902" s="26"/>
      <c r="B902" s="27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</row>
    <row r="903">
      <c r="A903" s="26"/>
      <c r="B903" s="27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</row>
    <row r="904">
      <c r="A904" s="26"/>
      <c r="B904" s="27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</row>
    <row r="905">
      <c r="A905" s="26"/>
      <c r="B905" s="27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</row>
    <row r="906">
      <c r="A906" s="26"/>
      <c r="B906" s="27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</row>
    <row r="907">
      <c r="A907" s="26"/>
      <c r="B907" s="27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</row>
    <row r="908">
      <c r="A908" s="26"/>
      <c r="B908" s="27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</row>
    <row r="909">
      <c r="A909" s="26"/>
      <c r="B909" s="27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</row>
    <row r="910">
      <c r="A910" s="26"/>
      <c r="B910" s="27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</row>
    <row r="911">
      <c r="A911" s="26"/>
      <c r="B911" s="27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</row>
    <row r="912">
      <c r="A912" s="26"/>
      <c r="B912" s="27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</row>
    <row r="913">
      <c r="A913" s="26"/>
      <c r="B913" s="27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</row>
    <row r="914">
      <c r="A914" s="26"/>
      <c r="B914" s="27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</row>
    <row r="915">
      <c r="A915" s="26"/>
      <c r="B915" s="27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</row>
    <row r="916">
      <c r="A916" s="26"/>
      <c r="B916" s="27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</row>
    <row r="917">
      <c r="A917" s="26"/>
      <c r="B917" s="27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</row>
    <row r="918">
      <c r="A918" s="26"/>
      <c r="B918" s="27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</row>
    <row r="919">
      <c r="A919" s="26"/>
      <c r="B919" s="27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</row>
    <row r="920">
      <c r="A920" s="26"/>
      <c r="B920" s="27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</row>
    <row r="921">
      <c r="A921" s="26"/>
      <c r="B921" s="27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</row>
    <row r="922">
      <c r="A922" s="26"/>
      <c r="B922" s="27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</row>
    <row r="923">
      <c r="A923" s="26"/>
      <c r="B923" s="27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</row>
    <row r="924">
      <c r="A924" s="26"/>
      <c r="B924" s="27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</row>
    <row r="925">
      <c r="A925" s="26"/>
      <c r="B925" s="27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</row>
    <row r="926">
      <c r="A926" s="26"/>
      <c r="B926" s="27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</row>
    <row r="927">
      <c r="A927" s="26"/>
      <c r="B927" s="27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</row>
    <row r="928">
      <c r="A928" s="26"/>
      <c r="B928" s="27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</row>
    <row r="929">
      <c r="A929" s="26"/>
      <c r="B929" s="27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</row>
    <row r="930">
      <c r="A930" s="26"/>
      <c r="B930" s="27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</row>
    <row r="931">
      <c r="A931" s="26"/>
      <c r="B931" s="27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</row>
    <row r="932">
      <c r="A932" s="26"/>
      <c r="B932" s="27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</row>
    <row r="933">
      <c r="A933" s="26"/>
      <c r="B933" s="27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</row>
    <row r="934">
      <c r="A934" s="26"/>
      <c r="B934" s="27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</row>
    <row r="935">
      <c r="A935" s="26"/>
      <c r="B935" s="27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</row>
    <row r="936">
      <c r="A936" s="26"/>
      <c r="B936" s="27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</row>
    <row r="937">
      <c r="A937" s="26"/>
      <c r="B937" s="27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</row>
    <row r="938">
      <c r="A938" s="26"/>
      <c r="B938" s="27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</row>
    <row r="939">
      <c r="A939" s="26"/>
      <c r="B939" s="27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</row>
    <row r="940">
      <c r="A940" s="26"/>
      <c r="B940" s="27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</row>
    <row r="941">
      <c r="A941" s="26"/>
      <c r="B941" s="27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</row>
    <row r="942">
      <c r="A942" s="26"/>
      <c r="B942" s="27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</row>
    <row r="943">
      <c r="A943" s="26"/>
      <c r="B943" s="27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</row>
    <row r="944">
      <c r="A944" s="26"/>
      <c r="B944" s="27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</row>
    <row r="945">
      <c r="A945" s="26"/>
      <c r="B945" s="27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</row>
    <row r="946">
      <c r="A946" s="26"/>
      <c r="B946" s="27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</row>
    <row r="947">
      <c r="A947" s="26"/>
      <c r="B947" s="27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</row>
    <row r="948">
      <c r="A948" s="26"/>
      <c r="B948" s="27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</row>
    <row r="949">
      <c r="A949" s="26"/>
      <c r="B949" s="27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</row>
    <row r="950">
      <c r="A950" s="26"/>
      <c r="B950" s="27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</row>
    <row r="951">
      <c r="A951" s="26"/>
      <c r="B951" s="27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</row>
    <row r="952">
      <c r="A952" s="26"/>
      <c r="B952" s="27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</row>
    <row r="953">
      <c r="A953" s="26"/>
      <c r="B953" s="27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</row>
    <row r="954">
      <c r="A954" s="26"/>
      <c r="B954" s="27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</row>
    <row r="955">
      <c r="A955" s="26"/>
      <c r="B955" s="27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</row>
    <row r="956">
      <c r="A956" s="26"/>
      <c r="B956" s="27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</row>
    <row r="957">
      <c r="A957" s="26"/>
      <c r="B957" s="27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</row>
    <row r="958">
      <c r="A958" s="26"/>
      <c r="B958" s="27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</row>
    <row r="959">
      <c r="A959" s="26"/>
      <c r="B959" s="27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</row>
    <row r="960">
      <c r="A960" s="26"/>
      <c r="B960" s="27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</row>
    <row r="961">
      <c r="A961" s="26"/>
      <c r="B961" s="27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</row>
    <row r="962">
      <c r="A962" s="26"/>
      <c r="B962" s="27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</row>
    <row r="963">
      <c r="A963" s="26"/>
      <c r="B963" s="27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</row>
    <row r="964">
      <c r="A964" s="26"/>
      <c r="B964" s="27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</row>
    <row r="965">
      <c r="A965" s="26"/>
      <c r="B965" s="27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</row>
    <row r="966">
      <c r="A966" s="26"/>
      <c r="B966" s="27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</row>
    <row r="967">
      <c r="A967" s="26"/>
      <c r="B967" s="27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</row>
    <row r="968">
      <c r="A968" s="26"/>
      <c r="B968" s="27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</row>
    <row r="969">
      <c r="A969" s="26"/>
      <c r="B969" s="27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</row>
    <row r="970">
      <c r="A970" s="26"/>
      <c r="B970" s="27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</row>
    <row r="971">
      <c r="A971" s="26"/>
      <c r="B971" s="27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</row>
    <row r="972">
      <c r="A972" s="26"/>
      <c r="B972" s="27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</row>
    <row r="973">
      <c r="A973" s="26"/>
      <c r="B973" s="27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</row>
    <row r="974">
      <c r="A974" s="26"/>
      <c r="B974" s="27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</row>
    <row r="975">
      <c r="A975" s="26"/>
      <c r="B975" s="27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</row>
    <row r="976">
      <c r="A976" s="26"/>
      <c r="B976" s="27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</row>
    <row r="977">
      <c r="A977" s="26"/>
      <c r="B977" s="27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</row>
    <row r="978">
      <c r="A978" s="26"/>
      <c r="B978" s="27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</row>
    <row r="979">
      <c r="A979" s="26"/>
      <c r="B979" s="27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</row>
    <row r="980">
      <c r="A980" s="26"/>
      <c r="B980" s="27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</row>
    <row r="981">
      <c r="A981" s="26"/>
      <c r="B981" s="27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</row>
    <row r="982">
      <c r="A982" s="26"/>
      <c r="B982" s="27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</row>
    <row r="983">
      <c r="A983" s="26"/>
      <c r="B983" s="27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</row>
    <row r="984">
      <c r="A984" s="26"/>
      <c r="B984" s="27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</row>
    <row r="985">
      <c r="A985" s="26"/>
      <c r="B985" s="27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</row>
    <row r="986">
      <c r="A986" s="26"/>
      <c r="B986" s="27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</row>
    <row r="987">
      <c r="A987" s="26"/>
      <c r="B987" s="27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</row>
    <row r="988">
      <c r="A988" s="26"/>
      <c r="B988" s="27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</row>
    <row r="989">
      <c r="A989" s="26"/>
      <c r="B989" s="27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</row>
    <row r="990">
      <c r="A990" s="26"/>
      <c r="B990" s="27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</row>
    <row r="991">
      <c r="A991" s="26"/>
      <c r="B991" s="27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</row>
    <row r="992">
      <c r="A992" s="26"/>
      <c r="B992" s="27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</row>
    <row r="993">
      <c r="A993" s="26"/>
      <c r="B993" s="27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</row>
    <row r="994">
      <c r="A994" s="26"/>
      <c r="B994" s="27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</row>
    <row r="995">
      <c r="A995" s="26"/>
      <c r="B995" s="27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</row>
    <row r="996">
      <c r="A996" s="26"/>
      <c r="B996" s="27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</row>
    <row r="997">
      <c r="A997" s="26"/>
      <c r="B997" s="27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</row>
    <row r="998">
      <c r="A998" s="26"/>
      <c r="B998" s="27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</row>
    <row r="999">
      <c r="A999" s="26"/>
      <c r="B999" s="27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</row>
    <row r="1000">
      <c r="A1000" s="26"/>
      <c r="B1000" s="27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</row>
    <row r="1001">
      <c r="A1001" s="26"/>
      <c r="B1001" s="27"/>
      <c r="C1001" s="26"/>
      <c r="D1001" s="26"/>
      <c r="E1001" s="26"/>
      <c r="F1001" s="26"/>
      <c r="G1001" s="26"/>
      <c r="H1001" s="26"/>
      <c r="I1001" s="26"/>
      <c r="J1001" s="26"/>
      <c r="K1001" s="26"/>
      <c r="L1001" s="26"/>
      <c r="M1001" s="26"/>
      <c r="N1001" s="26"/>
      <c r="O1001" s="26"/>
      <c r="P1001" s="26"/>
      <c r="Q1001" s="26"/>
    </row>
    <row r="1002">
      <c r="A1002" s="26"/>
      <c r="B1002" s="27"/>
      <c r="C1002" s="26"/>
      <c r="D1002" s="26"/>
      <c r="E1002" s="26"/>
      <c r="F1002" s="26"/>
      <c r="G1002" s="26"/>
      <c r="H1002" s="26"/>
      <c r="I1002" s="26"/>
      <c r="J1002" s="26"/>
      <c r="K1002" s="26"/>
      <c r="L1002" s="26"/>
      <c r="M1002" s="26"/>
      <c r="N1002" s="26"/>
      <c r="O1002" s="26"/>
      <c r="P1002" s="26"/>
      <c r="Q1002" s="26"/>
    </row>
    <row r="1003">
      <c r="A1003" s="26"/>
      <c r="B1003" s="27"/>
      <c r="C1003" s="26"/>
      <c r="D1003" s="26"/>
      <c r="E1003" s="26"/>
      <c r="F1003" s="26"/>
      <c r="G1003" s="26"/>
      <c r="H1003" s="26"/>
      <c r="I1003" s="26"/>
      <c r="J1003" s="26"/>
      <c r="K1003" s="26"/>
      <c r="L1003" s="26"/>
      <c r="M1003" s="26"/>
      <c r="N1003" s="26"/>
      <c r="O1003" s="26"/>
      <c r="P1003" s="26"/>
      <c r="Q1003" s="26"/>
    </row>
    <row r="1004">
      <c r="A1004" s="26"/>
      <c r="B1004" s="27"/>
      <c r="C1004" s="26"/>
      <c r="D1004" s="26"/>
      <c r="E1004" s="26"/>
      <c r="F1004" s="26"/>
      <c r="G1004" s="26"/>
      <c r="H1004" s="26"/>
      <c r="I1004" s="26"/>
      <c r="J1004" s="26"/>
      <c r="K1004" s="26"/>
      <c r="L1004" s="26"/>
      <c r="M1004" s="26"/>
      <c r="N1004" s="26"/>
      <c r="O1004" s="26"/>
      <c r="P1004" s="26"/>
      <c r="Q1004" s="26"/>
    </row>
    <row r="1005">
      <c r="A1005" s="26"/>
      <c r="B1005" s="27"/>
      <c r="C1005" s="26"/>
      <c r="D1005" s="26"/>
      <c r="E1005" s="26"/>
      <c r="F1005" s="26"/>
      <c r="G1005" s="26"/>
      <c r="H1005" s="26"/>
      <c r="I1005" s="26"/>
      <c r="J1005" s="26"/>
      <c r="K1005" s="26"/>
      <c r="L1005" s="26"/>
      <c r="M1005" s="26"/>
      <c r="N1005" s="26"/>
      <c r="O1005" s="26"/>
      <c r="P1005" s="26"/>
      <c r="Q1005" s="26"/>
    </row>
    <row r="1006">
      <c r="A1006" s="26"/>
      <c r="B1006" s="27"/>
      <c r="C1006" s="26"/>
      <c r="D1006" s="26"/>
      <c r="E1006" s="26"/>
      <c r="F1006" s="26"/>
      <c r="G1006" s="26"/>
      <c r="H1006" s="26"/>
      <c r="I1006" s="26"/>
      <c r="J1006" s="26"/>
      <c r="K1006" s="26"/>
      <c r="L1006" s="26"/>
      <c r="M1006" s="26"/>
      <c r="N1006" s="26"/>
      <c r="O1006" s="26"/>
      <c r="P1006" s="26"/>
      <c r="Q1006" s="26"/>
    </row>
    <row r="1007">
      <c r="A1007" s="26"/>
      <c r="B1007" s="27"/>
      <c r="C1007" s="26"/>
      <c r="D1007" s="26"/>
      <c r="E1007" s="26"/>
      <c r="F1007" s="26"/>
      <c r="G1007" s="26"/>
      <c r="H1007" s="26"/>
      <c r="I1007" s="26"/>
      <c r="J1007" s="26"/>
      <c r="K1007" s="26"/>
      <c r="L1007" s="26"/>
      <c r="M1007" s="26"/>
      <c r="N1007" s="26"/>
      <c r="O1007" s="26"/>
      <c r="P1007" s="26"/>
      <c r="Q1007" s="26"/>
    </row>
    <row r="1008">
      <c r="A1008" s="26"/>
      <c r="B1008" s="27"/>
      <c r="C1008" s="26"/>
      <c r="D1008" s="26"/>
      <c r="E1008" s="26"/>
      <c r="F1008" s="26"/>
      <c r="G1008" s="26"/>
      <c r="H1008" s="26"/>
      <c r="I1008" s="26"/>
      <c r="J1008" s="26"/>
      <c r="K1008" s="26"/>
      <c r="L1008" s="26"/>
      <c r="M1008" s="26"/>
      <c r="N1008" s="26"/>
      <c r="O1008" s="26"/>
      <c r="P1008" s="26"/>
      <c r="Q1008" s="26"/>
    </row>
    <row r="1009">
      <c r="A1009" s="26"/>
      <c r="B1009" s="27"/>
      <c r="C1009" s="26"/>
      <c r="D1009" s="26"/>
      <c r="E1009" s="26"/>
      <c r="F1009" s="26"/>
      <c r="G1009" s="26"/>
      <c r="H1009" s="26"/>
      <c r="I1009" s="26"/>
      <c r="J1009" s="26"/>
      <c r="K1009" s="26"/>
      <c r="L1009" s="26"/>
      <c r="M1009" s="26"/>
      <c r="N1009" s="26"/>
      <c r="O1009" s="26"/>
      <c r="P1009" s="26"/>
      <c r="Q1009" s="26"/>
    </row>
    <row r="1010">
      <c r="A1010" s="26"/>
      <c r="B1010" s="27"/>
      <c r="C1010" s="26"/>
      <c r="D1010" s="26"/>
      <c r="E1010" s="26"/>
      <c r="F1010" s="26"/>
      <c r="G1010" s="26"/>
      <c r="H1010" s="26"/>
      <c r="I1010" s="26"/>
      <c r="J1010" s="26"/>
      <c r="K1010" s="26"/>
      <c r="L1010" s="26"/>
      <c r="M1010" s="26"/>
      <c r="N1010" s="26"/>
      <c r="O1010" s="26"/>
      <c r="P1010" s="26"/>
      <c r="Q1010" s="26"/>
    </row>
    <row r="1011">
      <c r="A1011" s="26"/>
      <c r="B1011" s="27"/>
      <c r="C1011" s="26"/>
      <c r="D1011" s="26"/>
      <c r="E1011" s="26"/>
      <c r="F1011" s="26"/>
      <c r="G1011" s="26"/>
      <c r="H1011" s="26"/>
      <c r="I1011" s="26"/>
      <c r="J1011" s="26"/>
      <c r="K1011" s="26"/>
      <c r="L1011" s="26"/>
      <c r="M1011" s="26"/>
      <c r="N1011" s="26"/>
      <c r="O1011" s="26"/>
      <c r="P1011" s="26"/>
      <c r="Q1011" s="26"/>
    </row>
    <row r="1012">
      <c r="A1012" s="26"/>
      <c r="B1012" s="27"/>
      <c r="C1012" s="26"/>
      <c r="D1012" s="26"/>
      <c r="E1012" s="26"/>
      <c r="F1012" s="26"/>
      <c r="G1012" s="26"/>
      <c r="H1012" s="26"/>
      <c r="I1012" s="26"/>
      <c r="J1012" s="26"/>
      <c r="K1012" s="26"/>
      <c r="L1012" s="26"/>
      <c r="M1012" s="26"/>
      <c r="N1012" s="26"/>
      <c r="O1012" s="26"/>
      <c r="P1012" s="26"/>
      <c r="Q1012" s="26"/>
    </row>
    <row r="1013">
      <c r="A1013" s="26"/>
      <c r="B1013" s="27"/>
      <c r="C1013" s="26"/>
      <c r="D1013" s="26"/>
      <c r="E1013" s="26"/>
      <c r="F1013" s="26"/>
      <c r="G1013" s="26"/>
      <c r="H1013" s="26"/>
      <c r="I1013" s="26"/>
      <c r="J1013" s="26"/>
      <c r="K1013" s="26"/>
      <c r="L1013" s="26"/>
      <c r="M1013" s="26"/>
      <c r="N1013" s="26"/>
      <c r="O1013" s="26"/>
      <c r="P1013" s="26"/>
      <c r="Q1013" s="26"/>
    </row>
    <row r="1014">
      <c r="A1014" s="26"/>
      <c r="B1014" s="27"/>
      <c r="C1014" s="26"/>
      <c r="D1014" s="26"/>
      <c r="E1014" s="26"/>
      <c r="F1014" s="26"/>
      <c r="G1014" s="26"/>
      <c r="H1014" s="26"/>
      <c r="I1014" s="26"/>
      <c r="J1014" s="26"/>
      <c r="K1014" s="26"/>
      <c r="L1014" s="26"/>
      <c r="M1014" s="26"/>
      <c r="N1014" s="26"/>
      <c r="O1014" s="26"/>
      <c r="P1014" s="26"/>
      <c r="Q1014" s="26"/>
    </row>
    <row r="1015">
      <c r="A1015" s="26"/>
      <c r="B1015" s="27"/>
      <c r="C1015" s="26"/>
      <c r="D1015" s="26"/>
      <c r="E1015" s="26"/>
      <c r="F1015" s="26"/>
      <c r="G1015" s="26"/>
      <c r="H1015" s="26"/>
      <c r="I1015" s="26"/>
      <c r="J1015" s="26"/>
      <c r="K1015" s="26"/>
      <c r="L1015" s="26"/>
      <c r="M1015" s="26"/>
      <c r="N1015" s="26"/>
      <c r="O1015" s="26"/>
      <c r="P1015" s="26"/>
      <c r="Q1015" s="26"/>
    </row>
    <row r="1016">
      <c r="A1016" s="26"/>
      <c r="B1016" s="27"/>
      <c r="C1016" s="26"/>
      <c r="D1016" s="26"/>
      <c r="E1016" s="26"/>
      <c r="F1016" s="26"/>
      <c r="G1016" s="26"/>
      <c r="H1016" s="26"/>
      <c r="I1016" s="26"/>
      <c r="J1016" s="26"/>
      <c r="K1016" s="26"/>
      <c r="L1016" s="26"/>
      <c r="M1016" s="26"/>
      <c r="N1016" s="26"/>
      <c r="O1016" s="26"/>
      <c r="P1016" s="26"/>
      <c r="Q1016" s="26"/>
    </row>
    <row r="1017">
      <c r="A1017" s="26"/>
      <c r="B1017" s="27"/>
      <c r="C1017" s="26"/>
      <c r="D1017" s="26"/>
      <c r="E1017" s="26"/>
      <c r="F1017" s="26"/>
      <c r="G1017" s="26"/>
      <c r="H1017" s="26"/>
      <c r="I1017" s="26"/>
      <c r="J1017" s="26"/>
      <c r="K1017" s="26"/>
      <c r="L1017" s="26"/>
      <c r="M1017" s="26"/>
      <c r="N1017" s="26"/>
      <c r="O1017" s="26"/>
      <c r="P1017" s="26"/>
      <c r="Q1017" s="26"/>
    </row>
    <row r="1018">
      <c r="A1018" s="26"/>
      <c r="B1018" s="27"/>
      <c r="C1018" s="26"/>
      <c r="D1018" s="26"/>
      <c r="E1018" s="26"/>
      <c r="F1018" s="26"/>
      <c r="G1018" s="26"/>
      <c r="H1018" s="26"/>
      <c r="I1018" s="26"/>
      <c r="J1018" s="26"/>
      <c r="K1018" s="26"/>
      <c r="L1018" s="26"/>
      <c r="M1018" s="26"/>
      <c r="N1018" s="26"/>
      <c r="O1018" s="26"/>
      <c r="P1018" s="26"/>
      <c r="Q1018" s="26"/>
    </row>
    <row r="1019">
      <c r="A1019" s="26"/>
      <c r="B1019" s="27"/>
      <c r="C1019" s="26"/>
      <c r="D1019" s="26"/>
      <c r="E1019" s="26"/>
      <c r="F1019" s="26"/>
      <c r="G1019" s="26"/>
      <c r="H1019" s="26"/>
      <c r="I1019" s="26"/>
      <c r="J1019" s="26"/>
      <c r="K1019" s="26"/>
      <c r="L1019" s="26"/>
      <c r="M1019" s="26"/>
      <c r="N1019" s="26"/>
      <c r="O1019" s="26"/>
      <c r="P1019" s="26"/>
      <c r="Q1019" s="26"/>
    </row>
    <row r="1020">
      <c r="A1020" s="26"/>
      <c r="B1020" s="27"/>
      <c r="C1020" s="26"/>
      <c r="D1020" s="26"/>
      <c r="E1020" s="26"/>
      <c r="F1020" s="26"/>
      <c r="G1020" s="26"/>
      <c r="H1020" s="26"/>
      <c r="I1020" s="26"/>
      <c r="J1020" s="26"/>
      <c r="K1020" s="26"/>
      <c r="L1020" s="26"/>
      <c r="M1020" s="26"/>
      <c r="N1020" s="26"/>
      <c r="O1020" s="26"/>
      <c r="P1020" s="26"/>
      <c r="Q1020" s="26"/>
    </row>
    <row r="1021">
      <c r="A1021" s="26"/>
      <c r="B1021" s="27"/>
      <c r="C1021" s="26"/>
      <c r="D1021" s="26"/>
      <c r="E1021" s="26"/>
      <c r="F1021" s="26"/>
      <c r="G1021" s="26"/>
      <c r="H1021" s="26"/>
      <c r="I1021" s="26"/>
      <c r="J1021" s="26"/>
      <c r="K1021" s="26"/>
      <c r="L1021" s="26"/>
      <c r="M1021" s="26"/>
      <c r="N1021" s="26"/>
      <c r="O1021" s="26"/>
      <c r="P1021" s="26"/>
      <c r="Q1021" s="26"/>
    </row>
    <row r="1022">
      <c r="A1022" s="26"/>
      <c r="B1022" s="27"/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26"/>
      <c r="P1022" s="26"/>
      <c r="Q1022" s="26"/>
    </row>
    <row r="1023">
      <c r="A1023" s="26"/>
      <c r="B1023" s="27"/>
      <c r="C1023" s="26"/>
      <c r="D1023" s="26"/>
      <c r="E1023" s="26"/>
      <c r="F1023" s="26"/>
      <c r="G1023" s="26"/>
      <c r="H1023" s="26"/>
      <c r="I1023" s="26"/>
      <c r="J1023" s="26"/>
      <c r="K1023" s="26"/>
      <c r="L1023" s="26"/>
      <c r="M1023" s="26"/>
      <c r="N1023" s="26"/>
      <c r="O1023" s="26"/>
      <c r="P1023" s="26"/>
      <c r="Q1023" s="26"/>
    </row>
    <row r="1024">
      <c r="A1024" s="26"/>
      <c r="B1024" s="27"/>
      <c r="C1024" s="26"/>
      <c r="D1024" s="26"/>
      <c r="E1024" s="26"/>
      <c r="F1024" s="26"/>
      <c r="G1024" s="26"/>
      <c r="H1024" s="26"/>
      <c r="I1024" s="26"/>
      <c r="J1024" s="26"/>
      <c r="K1024" s="26"/>
      <c r="L1024" s="26"/>
      <c r="M1024" s="26"/>
      <c r="N1024" s="26"/>
      <c r="O1024" s="26"/>
      <c r="P1024" s="26"/>
      <c r="Q1024" s="26"/>
    </row>
    <row r="1025">
      <c r="A1025" s="26"/>
      <c r="B1025" s="27"/>
      <c r="C1025" s="26"/>
      <c r="D1025" s="26"/>
      <c r="E1025" s="26"/>
      <c r="F1025" s="26"/>
      <c r="G1025" s="26"/>
      <c r="H1025" s="26"/>
      <c r="I1025" s="26"/>
      <c r="J1025" s="26"/>
      <c r="K1025" s="26"/>
      <c r="L1025" s="26"/>
      <c r="M1025" s="26"/>
      <c r="N1025" s="26"/>
      <c r="O1025" s="26"/>
      <c r="P1025" s="26"/>
      <c r="Q1025" s="26"/>
    </row>
    <row r="1026">
      <c r="A1026" s="26"/>
      <c r="B1026" s="27"/>
      <c r="C1026" s="26"/>
      <c r="D1026" s="26"/>
      <c r="E1026" s="26"/>
      <c r="F1026" s="26"/>
      <c r="G1026" s="26"/>
      <c r="H1026" s="26"/>
      <c r="I1026" s="26"/>
      <c r="J1026" s="26"/>
      <c r="K1026" s="26"/>
      <c r="L1026" s="26"/>
      <c r="M1026" s="26"/>
      <c r="N1026" s="26"/>
      <c r="O1026" s="26"/>
      <c r="P1026" s="26"/>
      <c r="Q1026" s="26"/>
    </row>
    <row r="1027">
      <c r="A1027" s="26"/>
      <c r="B1027" s="27"/>
      <c r="C1027" s="26"/>
      <c r="D1027" s="26"/>
      <c r="E1027" s="26"/>
      <c r="F1027" s="26"/>
      <c r="G1027" s="26"/>
      <c r="H1027" s="26"/>
      <c r="I1027" s="26"/>
      <c r="J1027" s="26"/>
      <c r="K1027" s="26"/>
      <c r="L1027" s="26"/>
      <c r="M1027" s="26"/>
      <c r="N1027" s="26"/>
      <c r="O1027" s="26"/>
      <c r="P1027" s="26"/>
      <c r="Q1027" s="26"/>
    </row>
    <row r="1028">
      <c r="A1028" s="26"/>
      <c r="B1028" s="27"/>
      <c r="C1028" s="26"/>
      <c r="D1028" s="26"/>
      <c r="E1028" s="26"/>
      <c r="F1028" s="26"/>
      <c r="G1028" s="26"/>
      <c r="H1028" s="26"/>
      <c r="I1028" s="26"/>
      <c r="J1028" s="26"/>
      <c r="K1028" s="26"/>
      <c r="L1028" s="26"/>
      <c r="M1028" s="26"/>
      <c r="N1028" s="26"/>
      <c r="O1028" s="26"/>
      <c r="P1028" s="26"/>
      <c r="Q1028" s="26"/>
    </row>
    <row r="1029">
      <c r="A1029" s="26"/>
      <c r="B1029" s="27"/>
      <c r="C1029" s="26"/>
      <c r="D1029" s="26"/>
      <c r="E1029" s="26"/>
      <c r="F1029" s="26"/>
      <c r="G1029" s="26"/>
      <c r="H1029" s="26"/>
      <c r="I1029" s="26"/>
      <c r="J1029" s="26"/>
      <c r="K1029" s="26"/>
      <c r="L1029" s="26"/>
      <c r="M1029" s="26"/>
      <c r="N1029" s="26"/>
      <c r="O1029" s="26"/>
      <c r="P1029" s="26"/>
      <c r="Q1029" s="26"/>
    </row>
    <row r="1030">
      <c r="A1030" s="26"/>
      <c r="B1030" s="27"/>
      <c r="C1030" s="26"/>
      <c r="D1030" s="26"/>
      <c r="E1030" s="26"/>
      <c r="F1030" s="26"/>
      <c r="G1030" s="26"/>
      <c r="H1030" s="26"/>
      <c r="I1030" s="26"/>
      <c r="J1030" s="26"/>
      <c r="K1030" s="26"/>
      <c r="L1030" s="26"/>
      <c r="M1030" s="26"/>
      <c r="N1030" s="26"/>
      <c r="O1030" s="26"/>
      <c r="P1030" s="26"/>
      <c r="Q1030" s="26"/>
    </row>
    <row r="1031">
      <c r="A1031" s="26"/>
      <c r="B1031" s="27"/>
      <c r="C1031" s="26"/>
      <c r="D1031" s="26"/>
      <c r="E1031" s="26"/>
      <c r="F1031" s="26"/>
      <c r="G1031" s="26"/>
      <c r="H1031" s="26"/>
      <c r="I1031" s="26"/>
      <c r="J1031" s="26"/>
      <c r="K1031" s="26"/>
      <c r="L1031" s="26"/>
      <c r="M1031" s="26"/>
      <c r="N1031" s="26"/>
      <c r="O1031" s="26"/>
      <c r="P1031" s="26"/>
      <c r="Q1031" s="26"/>
    </row>
    <row r="1032">
      <c r="A1032" s="26"/>
      <c r="B1032" s="27"/>
      <c r="C1032" s="26"/>
      <c r="D1032" s="26"/>
      <c r="E1032" s="26"/>
      <c r="F1032" s="26"/>
      <c r="G1032" s="26"/>
      <c r="H1032" s="26"/>
      <c r="I1032" s="26"/>
      <c r="J1032" s="26"/>
      <c r="K1032" s="26"/>
      <c r="L1032" s="26"/>
      <c r="M1032" s="26"/>
      <c r="N1032" s="26"/>
      <c r="O1032" s="26"/>
      <c r="P1032" s="26"/>
      <c r="Q1032" s="26"/>
    </row>
    <row r="1033">
      <c r="A1033" s="26"/>
      <c r="B1033" s="27"/>
      <c r="C1033" s="26"/>
      <c r="D1033" s="26"/>
      <c r="E1033" s="26"/>
      <c r="F1033" s="26"/>
      <c r="G1033" s="26"/>
      <c r="H1033" s="26"/>
      <c r="I1033" s="26"/>
      <c r="J1033" s="26"/>
      <c r="K1033" s="26"/>
      <c r="L1033" s="26"/>
      <c r="M1033" s="26"/>
      <c r="N1033" s="26"/>
      <c r="O1033" s="26"/>
      <c r="P1033" s="26"/>
      <c r="Q1033" s="26"/>
    </row>
    <row r="1034">
      <c r="A1034" s="26"/>
      <c r="B1034" s="27"/>
      <c r="C1034" s="26"/>
      <c r="D1034" s="26"/>
      <c r="E1034" s="26"/>
      <c r="F1034" s="26"/>
      <c r="G1034" s="26"/>
      <c r="H1034" s="26"/>
      <c r="I1034" s="26"/>
      <c r="J1034" s="26"/>
      <c r="K1034" s="26"/>
      <c r="L1034" s="26"/>
      <c r="M1034" s="26"/>
      <c r="N1034" s="26"/>
      <c r="O1034" s="26"/>
      <c r="P1034" s="26"/>
      <c r="Q1034" s="26"/>
    </row>
    <row r="1035">
      <c r="A1035" s="26"/>
      <c r="B1035" s="27"/>
      <c r="C1035" s="26"/>
      <c r="D1035" s="26"/>
      <c r="E1035" s="26"/>
      <c r="F1035" s="26"/>
      <c r="G1035" s="26"/>
      <c r="H1035" s="26"/>
      <c r="I1035" s="26"/>
      <c r="J1035" s="26"/>
      <c r="K1035" s="26"/>
      <c r="L1035" s="26"/>
      <c r="M1035" s="26"/>
      <c r="N1035" s="26"/>
      <c r="O1035" s="26"/>
      <c r="P1035" s="26"/>
      <c r="Q1035" s="26"/>
    </row>
    <row r="1036">
      <c r="A1036" s="26"/>
      <c r="B1036" s="27"/>
      <c r="C1036" s="26"/>
      <c r="D1036" s="26"/>
      <c r="E1036" s="26"/>
      <c r="F1036" s="26"/>
      <c r="G1036" s="26"/>
      <c r="H1036" s="26"/>
      <c r="I1036" s="26"/>
      <c r="J1036" s="26"/>
      <c r="K1036" s="26"/>
      <c r="L1036" s="26"/>
      <c r="M1036" s="26"/>
      <c r="N1036" s="26"/>
      <c r="O1036" s="26"/>
      <c r="P1036" s="26"/>
      <c r="Q1036" s="26"/>
    </row>
    <row r="1037">
      <c r="A1037" s="26"/>
      <c r="B1037" s="27"/>
      <c r="C1037" s="26"/>
      <c r="D1037" s="26"/>
      <c r="E1037" s="26"/>
      <c r="F1037" s="26"/>
      <c r="G1037" s="26"/>
      <c r="H1037" s="26"/>
      <c r="I1037" s="26"/>
      <c r="J1037" s="26"/>
      <c r="K1037" s="26"/>
      <c r="L1037" s="26"/>
      <c r="M1037" s="26"/>
      <c r="N1037" s="26"/>
      <c r="O1037" s="26"/>
      <c r="P1037" s="26"/>
      <c r="Q1037" s="26"/>
    </row>
    <row r="1038">
      <c r="A1038" s="26"/>
      <c r="B1038" s="27"/>
      <c r="C1038" s="26"/>
      <c r="D1038" s="26"/>
      <c r="E1038" s="26"/>
      <c r="F1038" s="26"/>
      <c r="G1038" s="26"/>
      <c r="H1038" s="26"/>
      <c r="I1038" s="26"/>
      <c r="J1038" s="26"/>
      <c r="K1038" s="26"/>
      <c r="L1038" s="26"/>
      <c r="M1038" s="26"/>
      <c r="N1038" s="26"/>
      <c r="O1038" s="26"/>
      <c r="P1038" s="26"/>
      <c r="Q1038" s="26"/>
    </row>
    <row r="1039">
      <c r="A1039" s="26"/>
      <c r="B1039" s="27"/>
      <c r="C1039" s="26"/>
      <c r="D1039" s="26"/>
      <c r="E1039" s="26"/>
      <c r="F1039" s="26"/>
      <c r="G1039" s="26"/>
      <c r="H1039" s="26"/>
      <c r="I1039" s="26"/>
      <c r="J1039" s="26"/>
      <c r="K1039" s="26"/>
      <c r="L1039" s="26"/>
      <c r="M1039" s="26"/>
      <c r="N1039" s="26"/>
      <c r="O1039" s="26"/>
      <c r="P1039" s="26"/>
      <c r="Q1039" s="26"/>
    </row>
    <row r="1040">
      <c r="A1040" s="26"/>
      <c r="B1040" s="27"/>
      <c r="C1040" s="26"/>
      <c r="D1040" s="26"/>
      <c r="E1040" s="26"/>
      <c r="F1040" s="26"/>
      <c r="G1040" s="26"/>
      <c r="H1040" s="26"/>
      <c r="I1040" s="26"/>
      <c r="J1040" s="26"/>
      <c r="K1040" s="26"/>
      <c r="L1040" s="26"/>
      <c r="M1040" s="26"/>
      <c r="N1040" s="26"/>
      <c r="O1040" s="26"/>
      <c r="P1040" s="26"/>
      <c r="Q1040" s="26"/>
    </row>
    <row r="1041">
      <c r="A1041" s="26"/>
      <c r="B1041" s="27"/>
      <c r="C1041" s="26"/>
      <c r="D1041" s="26"/>
      <c r="E1041" s="26"/>
      <c r="F1041" s="26"/>
      <c r="G1041" s="26"/>
      <c r="H1041" s="26"/>
      <c r="I1041" s="26"/>
      <c r="J1041" s="26"/>
      <c r="K1041" s="26"/>
      <c r="L1041" s="26"/>
      <c r="M1041" s="26"/>
      <c r="N1041" s="26"/>
      <c r="O1041" s="26"/>
      <c r="P1041" s="26"/>
      <c r="Q1041" s="26"/>
    </row>
    <row r="1042">
      <c r="A1042" s="26"/>
      <c r="B1042" s="27"/>
      <c r="C1042" s="26"/>
      <c r="D1042" s="26"/>
      <c r="E1042" s="26"/>
      <c r="F1042" s="26"/>
      <c r="G1042" s="26"/>
      <c r="H1042" s="26"/>
      <c r="I1042" s="26"/>
      <c r="J1042" s="26"/>
      <c r="K1042" s="26"/>
      <c r="L1042" s="26"/>
      <c r="M1042" s="26"/>
      <c r="N1042" s="26"/>
      <c r="O1042" s="26"/>
      <c r="P1042" s="26"/>
      <c r="Q1042" s="26"/>
    </row>
    <row r="1043">
      <c r="A1043" s="26"/>
      <c r="B1043" s="27"/>
      <c r="C1043" s="26"/>
      <c r="D1043" s="26"/>
      <c r="E1043" s="26"/>
      <c r="F1043" s="26"/>
      <c r="G1043" s="26"/>
      <c r="H1043" s="26"/>
      <c r="I1043" s="26"/>
      <c r="J1043" s="26"/>
      <c r="K1043" s="26"/>
      <c r="L1043" s="26"/>
      <c r="M1043" s="26"/>
      <c r="N1043" s="26"/>
      <c r="O1043" s="26"/>
      <c r="P1043" s="26"/>
      <c r="Q1043" s="26"/>
    </row>
    <row r="1044">
      <c r="A1044" s="26"/>
      <c r="B1044" s="27"/>
      <c r="C1044" s="26"/>
      <c r="D1044" s="26"/>
      <c r="E1044" s="26"/>
      <c r="F1044" s="26"/>
      <c r="G1044" s="26"/>
      <c r="H1044" s="26"/>
      <c r="I1044" s="26"/>
      <c r="J1044" s="26"/>
      <c r="K1044" s="26"/>
      <c r="L1044" s="26"/>
      <c r="M1044" s="26"/>
      <c r="N1044" s="26"/>
      <c r="O1044" s="26"/>
      <c r="P1044" s="26"/>
      <c r="Q1044" s="26"/>
    </row>
    <row r="1045">
      <c r="A1045" s="26"/>
      <c r="B1045" s="27"/>
      <c r="C1045" s="26"/>
      <c r="D1045" s="26"/>
      <c r="E1045" s="26"/>
      <c r="F1045" s="26"/>
      <c r="G1045" s="26"/>
      <c r="H1045" s="26"/>
      <c r="I1045" s="26"/>
      <c r="J1045" s="26"/>
      <c r="K1045" s="26"/>
      <c r="L1045" s="26"/>
      <c r="M1045" s="26"/>
      <c r="N1045" s="26"/>
      <c r="O1045" s="26"/>
      <c r="P1045" s="26"/>
      <c r="Q1045" s="26"/>
    </row>
    <row r="1046">
      <c r="A1046" s="26"/>
      <c r="B1046" s="27"/>
      <c r="C1046" s="26"/>
      <c r="D1046" s="26"/>
      <c r="E1046" s="26"/>
      <c r="F1046" s="26"/>
      <c r="G1046" s="26"/>
      <c r="H1046" s="26"/>
      <c r="I1046" s="26"/>
      <c r="J1046" s="26"/>
      <c r="K1046" s="26"/>
      <c r="L1046" s="26"/>
      <c r="M1046" s="26"/>
      <c r="N1046" s="26"/>
      <c r="O1046" s="26"/>
      <c r="P1046" s="26"/>
      <c r="Q1046" s="26"/>
    </row>
    <row r="1047">
      <c r="A1047" s="26"/>
      <c r="B1047" s="27"/>
      <c r="C1047" s="26"/>
      <c r="D1047" s="26"/>
      <c r="E1047" s="26"/>
      <c r="F1047" s="26"/>
      <c r="G1047" s="26"/>
      <c r="H1047" s="26"/>
      <c r="I1047" s="26"/>
      <c r="J1047" s="26"/>
      <c r="K1047" s="26"/>
      <c r="L1047" s="26"/>
      <c r="M1047" s="26"/>
      <c r="N1047" s="26"/>
      <c r="O1047" s="26"/>
      <c r="P1047" s="26"/>
      <c r="Q1047" s="26"/>
    </row>
    <row r="1048">
      <c r="A1048" s="26"/>
      <c r="B1048" s="27"/>
      <c r="C1048" s="26"/>
      <c r="D1048" s="26"/>
      <c r="E1048" s="26"/>
      <c r="F1048" s="26"/>
      <c r="G1048" s="26"/>
      <c r="H1048" s="26"/>
      <c r="I1048" s="26"/>
      <c r="J1048" s="26"/>
      <c r="K1048" s="26"/>
      <c r="L1048" s="26"/>
      <c r="M1048" s="26"/>
      <c r="N1048" s="26"/>
      <c r="O1048" s="26"/>
      <c r="P1048" s="26"/>
      <c r="Q1048" s="26"/>
    </row>
    <row r="1049">
      <c r="A1049" s="26"/>
      <c r="B1049" s="27"/>
      <c r="C1049" s="26"/>
      <c r="D1049" s="26"/>
      <c r="E1049" s="26"/>
      <c r="F1049" s="26"/>
      <c r="G1049" s="26"/>
      <c r="H1049" s="26"/>
      <c r="I1049" s="26"/>
      <c r="J1049" s="26"/>
      <c r="K1049" s="26"/>
      <c r="L1049" s="26"/>
      <c r="M1049" s="26"/>
      <c r="N1049" s="26"/>
      <c r="O1049" s="26"/>
      <c r="P1049" s="26"/>
      <c r="Q1049" s="26"/>
    </row>
    <row r="1050">
      <c r="A1050" s="26"/>
      <c r="B1050" s="27"/>
      <c r="C1050" s="26"/>
      <c r="D1050" s="26"/>
      <c r="E1050" s="26"/>
      <c r="F1050" s="26"/>
      <c r="G1050" s="26"/>
      <c r="H1050" s="26"/>
      <c r="I1050" s="26"/>
      <c r="J1050" s="26"/>
      <c r="K1050" s="26"/>
      <c r="L1050" s="26"/>
      <c r="M1050" s="26"/>
      <c r="N1050" s="26"/>
      <c r="O1050" s="26"/>
      <c r="P1050" s="26"/>
      <c r="Q1050" s="26"/>
    </row>
    <row r="1051">
      <c r="A1051" s="26"/>
      <c r="B1051" s="27"/>
      <c r="C1051" s="26"/>
      <c r="D1051" s="26"/>
      <c r="E1051" s="26"/>
      <c r="F1051" s="26"/>
      <c r="G1051" s="26"/>
      <c r="H1051" s="26"/>
      <c r="I1051" s="26"/>
      <c r="J1051" s="26"/>
      <c r="K1051" s="26"/>
      <c r="L1051" s="26"/>
      <c r="M1051" s="26"/>
      <c r="N1051" s="26"/>
      <c r="O1051" s="26"/>
      <c r="P1051" s="26"/>
      <c r="Q1051" s="26"/>
    </row>
    <row r="1052">
      <c r="A1052" s="26"/>
      <c r="B1052" s="27"/>
      <c r="C1052" s="26"/>
      <c r="D1052" s="26"/>
      <c r="E1052" s="26"/>
      <c r="F1052" s="26"/>
      <c r="G1052" s="26"/>
      <c r="H1052" s="26"/>
      <c r="I1052" s="26"/>
      <c r="J1052" s="26"/>
      <c r="K1052" s="26"/>
      <c r="L1052" s="26"/>
      <c r="M1052" s="26"/>
      <c r="N1052" s="26"/>
      <c r="O1052" s="26"/>
      <c r="P1052" s="26"/>
      <c r="Q1052" s="26"/>
    </row>
    <row r="1053">
      <c r="A1053" s="26"/>
      <c r="B1053" s="27"/>
      <c r="C1053" s="26"/>
      <c r="D1053" s="26"/>
      <c r="E1053" s="26"/>
      <c r="F1053" s="26"/>
      <c r="G1053" s="26"/>
      <c r="H1053" s="26"/>
      <c r="I1053" s="26"/>
      <c r="J1053" s="26"/>
      <c r="K1053" s="26"/>
      <c r="L1053" s="26"/>
      <c r="M1053" s="26"/>
      <c r="N1053" s="26"/>
      <c r="O1053" s="26"/>
      <c r="P1053" s="26"/>
      <c r="Q1053" s="26"/>
    </row>
    <row r="1054">
      <c r="A1054" s="26"/>
      <c r="B1054" s="27"/>
      <c r="C1054" s="26"/>
      <c r="D1054" s="26"/>
      <c r="E1054" s="26"/>
      <c r="F1054" s="26"/>
      <c r="G1054" s="26"/>
      <c r="H1054" s="26"/>
      <c r="I1054" s="26"/>
      <c r="J1054" s="26"/>
      <c r="K1054" s="26"/>
      <c r="L1054" s="26"/>
      <c r="M1054" s="26"/>
      <c r="N1054" s="26"/>
      <c r="O1054" s="26"/>
      <c r="P1054" s="26"/>
      <c r="Q1054" s="26"/>
    </row>
    <row r="1055">
      <c r="A1055" s="26"/>
      <c r="B1055" s="27"/>
      <c r="C1055" s="26"/>
      <c r="D1055" s="26"/>
      <c r="E1055" s="26"/>
      <c r="F1055" s="26"/>
      <c r="G1055" s="26"/>
      <c r="H1055" s="26"/>
      <c r="I1055" s="26"/>
      <c r="J1055" s="26"/>
      <c r="K1055" s="26"/>
      <c r="L1055" s="26"/>
      <c r="M1055" s="26"/>
      <c r="N1055" s="26"/>
      <c r="O1055" s="26"/>
      <c r="P1055" s="26"/>
      <c r="Q1055" s="26"/>
    </row>
    <row r="1056">
      <c r="A1056" s="26"/>
      <c r="B1056" s="27"/>
      <c r="C1056" s="26"/>
      <c r="D1056" s="26"/>
      <c r="E1056" s="26"/>
      <c r="F1056" s="26"/>
      <c r="G1056" s="26"/>
      <c r="H1056" s="26"/>
      <c r="I1056" s="26"/>
      <c r="J1056" s="26"/>
      <c r="K1056" s="26"/>
      <c r="L1056" s="26"/>
      <c r="M1056" s="26"/>
      <c r="N1056" s="26"/>
      <c r="O1056" s="26"/>
      <c r="P1056" s="26"/>
      <c r="Q1056" s="26"/>
    </row>
    <row r="1057">
      <c r="A1057" s="26"/>
      <c r="B1057" s="27"/>
      <c r="C1057" s="26"/>
      <c r="D1057" s="26"/>
      <c r="E1057" s="26"/>
      <c r="F1057" s="26"/>
      <c r="G1057" s="26"/>
      <c r="H1057" s="26"/>
      <c r="I1057" s="26"/>
      <c r="J1057" s="26"/>
      <c r="K1057" s="26"/>
      <c r="L1057" s="26"/>
      <c r="M1057" s="26"/>
      <c r="N1057" s="26"/>
      <c r="O1057" s="26"/>
      <c r="P1057" s="26"/>
      <c r="Q1057" s="26"/>
    </row>
    <row r="1058">
      <c r="A1058" s="26"/>
      <c r="B1058" s="27"/>
      <c r="C1058" s="26"/>
      <c r="D1058" s="26"/>
      <c r="E1058" s="26"/>
      <c r="F1058" s="26"/>
      <c r="G1058" s="26"/>
      <c r="H1058" s="26"/>
      <c r="I1058" s="26"/>
      <c r="J1058" s="26"/>
      <c r="K1058" s="26"/>
      <c r="L1058" s="26"/>
      <c r="M1058" s="26"/>
      <c r="N1058" s="26"/>
      <c r="O1058" s="26"/>
      <c r="P1058" s="26"/>
      <c r="Q1058" s="26"/>
    </row>
    <row r="1059">
      <c r="A1059" s="26"/>
      <c r="B1059" s="27"/>
      <c r="C1059" s="26"/>
      <c r="D1059" s="26"/>
      <c r="E1059" s="26"/>
      <c r="F1059" s="26"/>
      <c r="G1059" s="26"/>
      <c r="H1059" s="26"/>
      <c r="I1059" s="26"/>
      <c r="J1059" s="26"/>
      <c r="K1059" s="26"/>
      <c r="L1059" s="26"/>
      <c r="M1059" s="26"/>
      <c r="N1059" s="26"/>
      <c r="O1059" s="26"/>
      <c r="P1059" s="26"/>
      <c r="Q1059" s="26"/>
    </row>
    <row r="1060">
      <c r="A1060" s="26"/>
      <c r="B1060" s="27"/>
      <c r="C1060" s="26"/>
      <c r="D1060" s="26"/>
      <c r="E1060" s="26"/>
      <c r="F1060" s="26"/>
      <c r="G1060" s="26"/>
      <c r="H1060" s="26"/>
      <c r="I1060" s="26"/>
      <c r="J1060" s="26"/>
      <c r="K1060" s="26"/>
      <c r="L1060" s="26"/>
      <c r="M1060" s="26"/>
      <c r="N1060" s="26"/>
      <c r="O1060" s="26"/>
      <c r="P1060" s="26"/>
      <c r="Q1060" s="26"/>
    </row>
    <row r="1061">
      <c r="A1061" s="26"/>
      <c r="B1061" s="27"/>
      <c r="C1061" s="26"/>
      <c r="D1061" s="26"/>
      <c r="E1061" s="26"/>
      <c r="F1061" s="26"/>
      <c r="G1061" s="26"/>
      <c r="H1061" s="26"/>
      <c r="I1061" s="26"/>
      <c r="J1061" s="26"/>
      <c r="K1061" s="26"/>
      <c r="L1061" s="26"/>
      <c r="M1061" s="26"/>
      <c r="N1061" s="26"/>
      <c r="O1061" s="26"/>
      <c r="P1061" s="26"/>
      <c r="Q1061" s="26"/>
    </row>
    <row r="1062">
      <c r="A1062" s="26"/>
      <c r="B1062" s="27"/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26"/>
      <c r="P1062" s="26"/>
      <c r="Q1062" s="26"/>
    </row>
    <row r="1063">
      <c r="A1063" s="26"/>
      <c r="B1063" s="27"/>
      <c r="C1063" s="26"/>
      <c r="D1063" s="26"/>
      <c r="E1063" s="26"/>
      <c r="F1063" s="26"/>
      <c r="G1063" s="26"/>
      <c r="H1063" s="26"/>
      <c r="I1063" s="26"/>
      <c r="J1063" s="26"/>
      <c r="K1063" s="26"/>
      <c r="L1063" s="26"/>
      <c r="M1063" s="26"/>
      <c r="N1063" s="26"/>
      <c r="O1063" s="26"/>
      <c r="P1063" s="26"/>
      <c r="Q1063" s="26"/>
    </row>
    <row r="1064">
      <c r="A1064" s="26"/>
      <c r="B1064" s="27"/>
      <c r="C1064" s="26"/>
      <c r="D1064" s="26"/>
      <c r="E1064" s="26"/>
      <c r="F1064" s="26"/>
      <c r="G1064" s="26"/>
      <c r="H1064" s="26"/>
      <c r="I1064" s="26"/>
      <c r="J1064" s="26"/>
      <c r="K1064" s="26"/>
      <c r="L1064" s="26"/>
      <c r="M1064" s="26"/>
      <c r="N1064" s="26"/>
      <c r="O1064" s="26"/>
      <c r="P1064" s="26"/>
      <c r="Q1064" s="26"/>
    </row>
    <row r="1065">
      <c r="A1065" s="26"/>
      <c r="B1065" s="27"/>
      <c r="C1065" s="26"/>
      <c r="D1065" s="26"/>
      <c r="E1065" s="26"/>
      <c r="F1065" s="26"/>
      <c r="G1065" s="26"/>
      <c r="H1065" s="26"/>
      <c r="I1065" s="26"/>
      <c r="J1065" s="26"/>
      <c r="K1065" s="26"/>
      <c r="L1065" s="26"/>
      <c r="M1065" s="26"/>
      <c r="N1065" s="26"/>
      <c r="O1065" s="26"/>
      <c r="P1065" s="26"/>
      <c r="Q1065" s="26"/>
    </row>
    <row r="1066">
      <c r="A1066" s="26"/>
      <c r="B1066" s="27"/>
      <c r="C1066" s="26"/>
      <c r="D1066" s="26"/>
      <c r="E1066" s="26"/>
      <c r="F1066" s="26"/>
      <c r="G1066" s="26"/>
      <c r="H1066" s="26"/>
      <c r="I1066" s="26"/>
      <c r="J1066" s="26"/>
      <c r="K1066" s="26"/>
      <c r="L1066" s="26"/>
      <c r="M1066" s="26"/>
      <c r="N1066" s="26"/>
      <c r="O1066" s="26"/>
      <c r="P1066" s="26"/>
      <c r="Q1066" s="26"/>
    </row>
    <row r="1067">
      <c r="A1067" s="26"/>
      <c r="B1067" s="27"/>
      <c r="C1067" s="26"/>
      <c r="D1067" s="26"/>
      <c r="E1067" s="26"/>
      <c r="F1067" s="26"/>
      <c r="G1067" s="26"/>
      <c r="H1067" s="26"/>
      <c r="I1067" s="26"/>
      <c r="J1067" s="26"/>
      <c r="K1067" s="26"/>
      <c r="L1067" s="26"/>
      <c r="M1067" s="26"/>
      <c r="N1067" s="26"/>
      <c r="O1067" s="26"/>
      <c r="P1067" s="26"/>
      <c r="Q1067" s="26"/>
    </row>
    <row r="1068">
      <c r="A1068" s="26"/>
      <c r="B1068" s="27"/>
      <c r="C1068" s="26"/>
      <c r="D1068" s="26"/>
      <c r="E1068" s="26"/>
      <c r="F1068" s="26"/>
      <c r="G1068" s="26"/>
      <c r="H1068" s="26"/>
      <c r="I1068" s="26"/>
      <c r="J1068" s="26"/>
      <c r="K1068" s="26"/>
      <c r="L1068" s="26"/>
      <c r="M1068" s="26"/>
      <c r="N1068" s="26"/>
      <c r="O1068" s="26"/>
      <c r="P1068" s="26"/>
      <c r="Q1068" s="26"/>
    </row>
    <row r="1069">
      <c r="A1069" s="26"/>
      <c r="B1069" s="27"/>
      <c r="C1069" s="26"/>
      <c r="D1069" s="26"/>
      <c r="E1069" s="26"/>
      <c r="F1069" s="26"/>
      <c r="G1069" s="26"/>
      <c r="H1069" s="26"/>
      <c r="I1069" s="26"/>
      <c r="J1069" s="26"/>
      <c r="K1069" s="26"/>
      <c r="L1069" s="26"/>
      <c r="M1069" s="26"/>
      <c r="N1069" s="26"/>
      <c r="O1069" s="26"/>
      <c r="P1069" s="26"/>
      <c r="Q1069" s="26"/>
    </row>
    <row r="1070">
      <c r="A1070" s="26"/>
      <c r="B1070" s="27"/>
      <c r="C1070" s="26"/>
      <c r="D1070" s="26"/>
      <c r="E1070" s="26"/>
      <c r="F1070" s="26"/>
      <c r="G1070" s="26"/>
      <c r="H1070" s="26"/>
      <c r="I1070" s="26"/>
      <c r="J1070" s="26"/>
      <c r="K1070" s="26"/>
      <c r="L1070" s="26"/>
      <c r="M1070" s="26"/>
      <c r="N1070" s="26"/>
      <c r="O1070" s="26"/>
      <c r="P1070" s="26"/>
      <c r="Q1070" s="26"/>
    </row>
    <row r="1071">
      <c r="A1071" s="26"/>
      <c r="B1071" s="27"/>
      <c r="C1071" s="26"/>
      <c r="D1071" s="26"/>
      <c r="E1071" s="26"/>
      <c r="F1071" s="26"/>
      <c r="G1071" s="26"/>
      <c r="H1071" s="26"/>
      <c r="I1071" s="26"/>
      <c r="J1071" s="26"/>
      <c r="K1071" s="26"/>
      <c r="L1071" s="26"/>
      <c r="M1071" s="26"/>
      <c r="N1071" s="26"/>
      <c r="O1071" s="26"/>
      <c r="P1071" s="26"/>
      <c r="Q1071" s="26"/>
    </row>
    <row r="1072">
      <c r="A1072" s="26"/>
      <c r="B1072" s="27"/>
      <c r="C1072" s="26"/>
      <c r="D1072" s="26"/>
      <c r="E1072" s="26"/>
      <c r="F1072" s="26"/>
      <c r="G1072" s="26"/>
      <c r="H1072" s="26"/>
      <c r="I1072" s="26"/>
      <c r="J1072" s="26"/>
      <c r="K1072" s="26"/>
      <c r="L1072" s="26"/>
      <c r="M1072" s="26"/>
      <c r="N1072" s="26"/>
      <c r="O1072" s="26"/>
      <c r="P1072" s="26"/>
      <c r="Q1072" s="26"/>
    </row>
    <row r="1073">
      <c r="A1073" s="26"/>
      <c r="B1073" s="27"/>
      <c r="C1073" s="26"/>
      <c r="D1073" s="26"/>
      <c r="E1073" s="26"/>
      <c r="F1073" s="26"/>
      <c r="G1073" s="26"/>
      <c r="H1073" s="26"/>
      <c r="I1073" s="26"/>
      <c r="J1073" s="26"/>
      <c r="K1073" s="26"/>
      <c r="L1073" s="26"/>
      <c r="M1073" s="26"/>
      <c r="N1073" s="26"/>
      <c r="O1073" s="26"/>
      <c r="P1073" s="26"/>
      <c r="Q1073" s="26"/>
    </row>
    <row r="1074">
      <c r="A1074" s="26"/>
      <c r="B1074" s="27"/>
      <c r="C1074" s="26"/>
      <c r="D1074" s="26"/>
      <c r="E1074" s="26"/>
      <c r="F1074" s="26"/>
      <c r="G1074" s="26"/>
      <c r="H1074" s="26"/>
      <c r="I1074" s="26"/>
      <c r="J1074" s="26"/>
      <c r="K1074" s="26"/>
      <c r="L1074" s="26"/>
      <c r="M1074" s="26"/>
      <c r="N1074" s="26"/>
      <c r="O1074" s="26"/>
      <c r="P1074" s="26"/>
      <c r="Q1074" s="26"/>
    </row>
    <row r="1075">
      <c r="A1075" s="26"/>
      <c r="B1075" s="27"/>
      <c r="C1075" s="26"/>
      <c r="D1075" s="26"/>
      <c r="E1075" s="26"/>
      <c r="F1075" s="26"/>
      <c r="G1075" s="26"/>
      <c r="H1075" s="26"/>
      <c r="I1075" s="26"/>
      <c r="J1075" s="26"/>
      <c r="K1075" s="26"/>
      <c r="L1075" s="26"/>
      <c r="M1075" s="26"/>
      <c r="N1075" s="26"/>
      <c r="O1075" s="26"/>
      <c r="P1075" s="26"/>
      <c r="Q1075" s="26"/>
    </row>
    <row r="1076">
      <c r="A1076" s="26"/>
      <c r="B1076" s="27"/>
      <c r="C1076" s="26"/>
      <c r="D1076" s="26"/>
      <c r="E1076" s="26"/>
      <c r="F1076" s="26"/>
      <c r="G1076" s="26"/>
      <c r="H1076" s="26"/>
      <c r="I1076" s="26"/>
      <c r="J1076" s="26"/>
      <c r="K1076" s="26"/>
      <c r="L1076" s="26"/>
      <c r="M1076" s="26"/>
      <c r="N1076" s="26"/>
      <c r="O1076" s="26"/>
      <c r="P1076" s="26"/>
      <c r="Q1076" s="26"/>
    </row>
    <row r="1077">
      <c r="A1077" s="26"/>
      <c r="B1077" s="27"/>
      <c r="C1077" s="26"/>
      <c r="D1077" s="26"/>
      <c r="E1077" s="26"/>
      <c r="F1077" s="26"/>
      <c r="G1077" s="26"/>
      <c r="H1077" s="26"/>
      <c r="I1077" s="26"/>
      <c r="J1077" s="26"/>
      <c r="K1077" s="26"/>
      <c r="L1077" s="26"/>
      <c r="M1077" s="26"/>
      <c r="N1077" s="26"/>
      <c r="O1077" s="26"/>
      <c r="P1077" s="26"/>
      <c r="Q1077" s="26"/>
    </row>
    <row r="1078">
      <c r="A1078" s="26"/>
      <c r="B1078" s="27"/>
      <c r="C1078" s="26"/>
      <c r="D1078" s="26"/>
      <c r="E1078" s="26"/>
      <c r="F1078" s="26"/>
      <c r="G1078" s="26"/>
      <c r="H1078" s="26"/>
      <c r="I1078" s="26"/>
      <c r="J1078" s="26"/>
      <c r="K1078" s="26"/>
      <c r="L1078" s="26"/>
      <c r="M1078" s="26"/>
      <c r="N1078" s="26"/>
      <c r="O1078" s="26"/>
      <c r="P1078" s="26"/>
      <c r="Q1078" s="26"/>
    </row>
    <row r="1079">
      <c r="A1079" s="26"/>
      <c r="B1079" s="27"/>
      <c r="C1079" s="26"/>
      <c r="D1079" s="26"/>
      <c r="E1079" s="26"/>
      <c r="F1079" s="26"/>
      <c r="G1079" s="26"/>
      <c r="H1079" s="26"/>
      <c r="I1079" s="26"/>
      <c r="J1079" s="26"/>
      <c r="K1079" s="26"/>
      <c r="L1079" s="26"/>
      <c r="M1079" s="26"/>
      <c r="N1079" s="26"/>
      <c r="O1079" s="26"/>
      <c r="P1079" s="26"/>
      <c r="Q1079" s="26"/>
    </row>
    <row r="1080">
      <c r="A1080" s="26"/>
      <c r="B1080" s="27"/>
      <c r="C1080" s="26"/>
      <c r="D1080" s="26"/>
      <c r="E1080" s="26"/>
      <c r="F1080" s="26"/>
      <c r="G1080" s="26"/>
      <c r="H1080" s="26"/>
      <c r="I1080" s="26"/>
      <c r="J1080" s="26"/>
      <c r="K1080" s="26"/>
      <c r="L1080" s="26"/>
      <c r="M1080" s="26"/>
      <c r="N1080" s="26"/>
      <c r="O1080" s="26"/>
      <c r="P1080" s="26"/>
      <c r="Q1080" s="26"/>
    </row>
    <row r="1081">
      <c r="A1081" s="26"/>
      <c r="B1081" s="27"/>
      <c r="C1081" s="26"/>
      <c r="D1081" s="26"/>
      <c r="E1081" s="26"/>
      <c r="F1081" s="26"/>
      <c r="G1081" s="26"/>
      <c r="H1081" s="26"/>
      <c r="I1081" s="26"/>
      <c r="J1081" s="26"/>
      <c r="K1081" s="26"/>
      <c r="L1081" s="26"/>
      <c r="M1081" s="26"/>
      <c r="N1081" s="26"/>
      <c r="O1081" s="26"/>
      <c r="P1081" s="26"/>
      <c r="Q1081" s="26"/>
    </row>
    <row r="1082">
      <c r="A1082" s="26"/>
      <c r="B1082" s="27"/>
      <c r="C1082" s="26"/>
      <c r="D1082" s="26"/>
      <c r="E1082" s="26"/>
      <c r="F1082" s="26"/>
      <c r="G1082" s="26"/>
      <c r="H1082" s="26"/>
      <c r="I1082" s="26"/>
      <c r="J1082" s="26"/>
      <c r="K1082" s="26"/>
      <c r="L1082" s="26"/>
      <c r="M1082" s="26"/>
      <c r="N1082" s="26"/>
      <c r="O1082" s="26"/>
      <c r="P1082" s="26"/>
      <c r="Q1082" s="26"/>
    </row>
    <row r="1083">
      <c r="A1083" s="26"/>
      <c r="B1083" s="27"/>
      <c r="C1083" s="26"/>
      <c r="D1083" s="26"/>
      <c r="E1083" s="26"/>
      <c r="F1083" s="26"/>
      <c r="G1083" s="26"/>
      <c r="H1083" s="26"/>
      <c r="I1083" s="26"/>
      <c r="J1083" s="26"/>
      <c r="K1083" s="26"/>
      <c r="L1083" s="26"/>
      <c r="M1083" s="26"/>
      <c r="N1083" s="26"/>
      <c r="O1083" s="26"/>
      <c r="P1083" s="26"/>
      <c r="Q1083" s="26"/>
    </row>
    <row r="1084">
      <c r="A1084" s="26"/>
      <c r="B1084" s="27"/>
      <c r="C1084" s="26"/>
      <c r="D1084" s="26"/>
      <c r="E1084" s="26"/>
      <c r="F1084" s="26"/>
      <c r="G1084" s="26"/>
      <c r="H1084" s="26"/>
      <c r="I1084" s="26"/>
      <c r="J1084" s="26"/>
      <c r="K1084" s="26"/>
      <c r="L1084" s="26"/>
      <c r="M1084" s="26"/>
      <c r="N1084" s="26"/>
      <c r="O1084" s="26"/>
      <c r="P1084" s="26"/>
      <c r="Q1084" s="26"/>
    </row>
    <row r="1085">
      <c r="A1085" s="26"/>
      <c r="B1085" s="27"/>
      <c r="C1085" s="26"/>
      <c r="D1085" s="26"/>
      <c r="E1085" s="26"/>
      <c r="F1085" s="26"/>
      <c r="G1085" s="26"/>
      <c r="H1085" s="26"/>
      <c r="I1085" s="26"/>
      <c r="J1085" s="26"/>
      <c r="K1085" s="26"/>
      <c r="L1085" s="26"/>
      <c r="M1085" s="26"/>
      <c r="N1085" s="26"/>
      <c r="O1085" s="26"/>
      <c r="P1085" s="26"/>
      <c r="Q1085" s="26"/>
    </row>
    <row r="1086">
      <c r="A1086" s="26"/>
      <c r="B1086" s="27"/>
      <c r="C1086" s="26"/>
      <c r="D1086" s="26"/>
      <c r="E1086" s="26"/>
      <c r="F1086" s="26"/>
      <c r="G1086" s="26"/>
      <c r="H1086" s="26"/>
      <c r="I1086" s="26"/>
      <c r="J1086" s="26"/>
      <c r="K1086" s="26"/>
      <c r="L1086" s="26"/>
      <c r="M1086" s="26"/>
      <c r="N1086" s="26"/>
      <c r="O1086" s="26"/>
      <c r="P1086" s="26"/>
      <c r="Q1086" s="26"/>
    </row>
    <row r="1087">
      <c r="A1087" s="26"/>
      <c r="B1087" s="27"/>
      <c r="C1087" s="26"/>
      <c r="D1087" s="26"/>
      <c r="E1087" s="26"/>
      <c r="F1087" s="26"/>
      <c r="G1087" s="26"/>
      <c r="H1087" s="26"/>
      <c r="I1087" s="26"/>
      <c r="J1087" s="26"/>
      <c r="K1087" s="26"/>
      <c r="L1087" s="26"/>
      <c r="M1087" s="26"/>
      <c r="N1087" s="26"/>
      <c r="O1087" s="26"/>
      <c r="P1087" s="26"/>
      <c r="Q1087" s="26"/>
    </row>
    <row r="1088">
      <c r="A1088" s="26"/>
      <c r="B1088" s="27"/>
      <c r="C1088" s="26"/>
      <c r="D1088" s="26"/>
      <c r="E1088" s="26"/>
      <c r="F1088" s="26"/>
      <c r="G1088" s="26"/>
      <c r="H1088" s="26"/>
      <c r="I1088" s="26"/>
      <c r="J1088" s="26"/>
      <c r="K1088" s="26"/>
      <c r="L1088" s="26"/>
      <c r="M1088" s="26"/>
      <c r="N1088" s="26"/>
      <c r="O1088" s="26"/>
      <c r="P1088" s="26"/>
      <c r="Q1088" s="26"/>
    </row>
    <row r="1089">
      <c r="A1089" s="26"/>
      <c r="B1089" s="27"/>
      <c r="C1089" s="26"/>
      <c r="D1089" s="26"/>
      <c r="E1089" s="26"/>
      <c r="F1089" s="26"/>
      <c r="G1089" s="26"/>
      <c r="H1089" s="26"/>
      <c r="I1089" s="26"/>
      <c r="J1089" s="26"/>
      <c r="K1089" s="26"/>
      <c r="L1089" s="26"/>
      <c r="M1089" s="26"/>
      <c r="N1089" s="26"/>
      <c r="O1089" s="26"/>
      <c r="P1089" s="26"/>
      <c r="Q1089" s="26"/>
    </row>
    <row r="1090">
      <c r="A1090" s="26"/>
      <c r="B1090" s="27"/>
      <c r="C1090" s="26"/>
      <c r="D1090" s="26"/>
      <c r="E1090" s="26"/>
      <c r="F1090" s="26"/>
      <c r="G1090" s="26"/>
      <c r="H1090" s="26"/>
      <c r="I1090" s="26"/>
      <c r="J1090" s="26"/>
      <c r="K1090" s="26"/>
      <c r="L1090" s="26"/>
      <c r="M1090" s="26"/>
      <c r="N1090" s="26"/>
      <c r="O1090" s="26"/>
      <c r="P1090" s="26"/>
      <c r="Q1090" s="26"/>
    </row>
    <row r="1091">
      <c r="A1091" s="26"/>
      <c r="B1091" s="27"/>
      <c r="C1091" s="26"/>
      <c r="D1091" s="26"/>
      <c r="E1091" s="26"/>
      <c r="F1091" s="26"/>
      <c r="G1091" s="26"/>
      <c r="H1091" s="26"/>
      <c r="I1091" s="26"/>
      <c r="J1091" s="26"/>
      <c r="K1091" s="26"/>
      <c r="L1091" s="26"/>
      <c r="M1091" s="26"/>
      <c r="N1091" s="26"/>
      <c r="O1091" s="26"/>
      <c r="P1091" s="26"/>
      <c r="Q1091" s="26"/>
    </row>
    <row r="1092">
      <c r="A1092" s="26"/>
      <c r="B1092" s="27"/>
      <c r="C1092" s="26"/>
      <c r="D1092" s="26"/>
      <c r="E1092" s="26"/>
      <c r="F1092" s="26"/>
      <c r="G1092" s="26"/>
      <c r="H1092" s="26"/>
      <c r="I1092" s="26"/>
      <c r="J1092" s="26"/>
      <c r="K1092" s="26"/>
      <c r="L1092" s="26"/>
      <c r="M1092" s="26"/>
      <c r="N1092" s="26"/>
      <c r="O1092" s="26"/>
      <c r="P1092" s="26"/>
      <c r="Q1092" s="26"/>
    </row>
    <row r="1093">
      <c r="A1093" s="26"/>
      <c r="B1093" s="27"/>
      <c r="C1093" s="26"/>
      <c r="D1093" s="26"/>
      <c r="E1093" s="26"/>
      <c r="F1093" s="26"/>
      <c r="G1093" s="26"/>
      <c r="H1093" s="26"/>
      <c r="I1093" s="26"/>
      <c r="J1093" s="26"/>
      <c r="K1093" s="26"/>
      <c r="L1093" s="26"/>
      <c r="M1093" s="26"/>
      <c r="N1093" s="26"/>
      <c r="O1093" s="26"/>
      <c r="P1093" s="26"/>
      <c r="Q1093" s="26"/>
    </row>
    <row r="1094">
      <c r="A1094" s="26"/>
      <c r="B1094" s="27"/>
      <c r="C1094" s="26"/>
      <c r="D1094" s="26"/>
      <c r="E1094" s="26"/>
      <c r="F1094" s="26"/>
      <c r="G1094" s="26"/>
      <c r="H1094" s="26"/>
      <c r="I1094" s="26"/>
      <c r="J1094" s="26"/>
      <c r="K1094" s="26"/>
      <c r="L1094" s="26"/>
      <c r="M1094" s="26"/>
      <c r="N1094" s="26"/>
      <c r="O1094" s="26"/>
      <c r="P1094" s="26"/>
      <c r="Q1094" s="26"/>
    </row>
    <row r="1095">
      <c r="A1095" s="26"/>
      <c r="B1095" s="27"/>
      <c r="C1095" s="26"/>
      <c r="D1095" s="26"/>
      <c r="E1095" s="26"/>
      <c r="F1095" s="26"/>
      <c r="G1095" s="26"/>
      <c r="H1095" s="26"/>
      <c r="I1095" s="26"/>
      <c r="J1095" s="26"/>
      <c r="K1095" s="26"/>
      <c r="L1095" s="26"/>
      <c r="M1095" s="26"/>
      <c r="N1095" s="26"/>
      <c r="O1095" s="26"/>
      <c r="P1095" s="26"/>
      <c r="Q1095" s="26"/>
    </row>
    <row r="1096">
      <c r="A1096" s="26"/>
      <c r="B1096" s="27"/>
      <c r="C1096" s="26"/>
      <c r="D1096" s="26"/>
      <c r="E1096" s="26"/>
      <c r="F1096" s="26"/>
      <c r="G1096" s="26"/>
      <c r="H1096" s="26"/>
      <c r="I1096" s="26"/>
      <c r="J1096" s="26"/>
      <c r="K1096" s="26"/>
      <c r="L1096" s="26"/>
      <c r="M1096" s="26"/>
      <c r="N1096" s="26"/>
      <c r="O1096" s="26"/>
      <c r="P1096" s="26"/>
      <c r="Q1096" s="26"/>
    </row>
    <row r="1097">
      <c r="A1097" s="26"/>
      <c r="B1097" s="27"/>
      <c r="C1097" s="26"/>
      <c r="D1097" s="26"/>
      <c r="E1097" s="26"/>
      <c r="F1097" s="26"/>
      <c r="G1097" s="26"/>
      <c r="H1097" s="26"/>
      <c r="I1097" s="26"/>
      <c r="J1097" s="26"/>
      <c r="K1097" s="26"/>
      <c r="L1097" s="26"/>
      <c r="M1097" s="26"/>
      <c r="N1097" s="26"/>
      <c r="O1097" s="26"/>
      <c r="P1097" s="26"/>
      <c r="Q1097" s="26"/>
    </row>
    <row r="1098">
      <c r="A1098" s="26"/>
      <c r="B1098" s="27"/>
      <c r="C1098" s="26"/>
      <c r="D1098" s="26"/>
      <c r="E1098" s="26"/>
      <c r="F1098" s="26"/>
      <c r="G1098" s="26"/>
      <c r="H1098" s="26"/>
      <c r="I1098" s="26"/>
      <c r="J1098" s="26"/>
      <c r="K1098" s="26"/>
      <c r="L1098" s="26"/>
      <c r="M1098" s="26"/>
      <c r="N1098" s="26"/>
      <c r="O1098" s="26"/>
      <c r="P1098" s="26"/>
      <c r="Q1098" s="26"/>
    </row>
    <row r="1099">
      <c r="A1099" s="26"/>
      <c r="B1099" s="27"/>
      <c r="C1099" s="26"/>
      <c r="D1099" s="26"/>
      <c r="E1099" s="26"/>
      <c r="F1099" s="26"/>
      <c r="G1099" s="26"/>
      <c r="H1099" s="26"/>
      <c r="I1099" s="26"/>
      <c r="J1099" s="26"/>
      <c r="K1099" s="26"/>
      <c r="L1099" s="26"/>
      <c r="M1099" s="26"/>
      <c r="N1099" s="26"/>
      <c r="O1099" s="26"/>
      <c r="P1099" s="26"/>
      <c r="Q1099" s="26"/>
    </row>
    <row r="1100">
      <c r="A1100" s="26"/>
      <c r="B1100" s="27"/>
      <c r="C1100" s="26"/>
      <c r="D1100" s="26"/>
      <c r="E1100" s="26"/>
      <c r="F1100" s="26"/>
      <c r="G1100" s="26"/>
      <c r="H1100" s="26"/>
      <c r="I1100" s="26"/>
      <c r="J1100" s="26"/>
      <c r="K1100" s="26"/>
      <c r="L1100" s="26"/>
      <c r="M1100" s="26"/>
      <c r="N1100" s="26"/>
      <c r="O1100" s="26"/>
      <c r="P1100" s="26"/>
      <c r="Q1100" s="26"/>
    </row>
    <row r="1101">
      <c r="A1101" s="26"/>
      <c r="B1101" s="27"/>
      <c r="C1101" s="26"/>
      <c r="D1101" s="26"/>
      <c r="E1101" s="26"/>
      <c r="F1101" s="26"/>
      <c r="G1101" s="26"/>
      <c r="H1101" s="26"/>
      <c r="I1101" s="26"/>
      <c r="J1101" s="26"/>
      <c r="K1101" s="26"/>
      <c r="L1101" s="26"/>
      <c r="M1101" s="26"/>
      <c r="N1101" s="26"/>
      <c r="O1101" s="26"/>
      <c r="P1101" s="26"/>
      <c r="Q1101" s="26"/>
    </row>
    <row r="1102">
      <c r="A1102" s="26"/>
      <c r="B1102" s="27"/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26"/>
      <c r="P1102" s="26"/>
      <c r="Q1102" s="26"/>
    </row>
    <row r="1103">
      <c r="A1103" s="26"/>
      <c r="B1103" s="27"/>
      <c r="C1103" s="26"/>
      <c r="D1103" s="26"/>
      <c r="E1103" s="26"/>
      <c r="F1103" s="26"/>
      <c r="G1103" s="26"/>
      <c r="H1103" s="26"/>
      <c r="I1103" s="26"/>
      <c r="J1103" s="26"/>
      <c r="K1103" s="26"/>
      <c r="L1103" s="26"/>
      <c r="M1103" s="26"/>
      <c r="N1103" s="26"/>
      <c r="O1103" s="26"/>
      <c r="P1103" s="26"/>
      <c r="Q1103" s="26"/>
    </row>
    <row r="1104">
      <c r="A1104" s="26"/>
      <c r="B1104" s="27"/>
      <c r="C1104" s="26"/>
      <c r="D1104" s="26"/>
      <c r="E1104" s="26"/>
      <c r="F1104" s="26"/>
      <c r="G1104" s="26"/>
      <c r="H1104" s="26"/>
      <c r="I1104" s="26"/>
      <c r="J1104" s="26"/>
      <c r="K1104" s="26"/>
      <c r="L1104" s="26"/>
      <c r="M1104" s="26"/>
      <c r="N1104" s="26"/>
      <c r="O1104" s="26"/>
      <c r="P1104" s="26"/>
      <c r="Q1104" s="26"/>
    </row>
    <row r="1105">
      <c r="A1105" s="26"/>
      <c r="B1105" s="27"/>
      <c r="C1105" s="26"/>
      <c r="D1105" s="26"/>
      <c r="E1105" s="26"/>
      <c r="F1105" s="26"/>
      <c r="G1105" s="26"/>
      <c r="H1105" s="26"/>
      <c r="I1105" s="26"/>
      <c r="J1105" s="26"/>
      <c r="K1105" s="26"/>
      <c r="L1105" s="26"/>
      <c r="M1105" s="26"/>
      <c r="N1105" s="26"/>
      <c r="O1105" s="26"/>
      <c r="P1105" s="26"/>
      <c r="Q1105" s="26"/>
    </row>
    <row r="1106">
      <c r="A1106" s="26"/>
      <c r="B1106" s="27"/>
      <c r="C1106" s="26"/>
      <c r="D1106" s="26"/>
      <c r="E1106" s="26"/>
      <c r="F1106" s="26"/>
      <c r="G1106" s="26"/>
      <c r="H1106" s="26"/>
      <c r="I1106" s="26"/>
      <c r="J1106" s="26"/>
      <c r="K1106" s="26"/>
      <c r="L1106" s="26"/>
      <c r="M1106" s="26"/>
      <c r="N1106" s="26"/>
      <c r="O1106" s="26"/>
      <c r="P1106" s="26"/>
      <c r="Q1106" s="26"/>
    </row>
    <row r="1107">
      <c r="A1107" s="26"/>
      <c r="B1107" s="27"/>
      <c r="C1107" s="26"/>
      <c r="D1107" s="26"/>
      <c r="E1107" s="26"/>
      <c r="F1107" s="26"/>
      <c r="G1107" s="26"/>
      <c r="H1107" s="26"/>
      <c r="I1107" s="26"/>
      <c r="J1107" s="26"/>
      <c r="K1107" s="26"/>
      <c r="L1107" s="26"/>
      <c r="M1107" s="26"/>
      <c r="N1107" s="26"/>
      <c r="O1107" s="26"/>
      <c r="P1107" s="26"/>
      <c r="Q1107" s="26"/>
    </row>
    <row r="1108">
      <c r="A1108" s="26"/>
      <c r="B1108" s="27"/>
      <c r="C1108" s="26"/>
      <c r="D1108" s="26"/>
      <c r="E1108" s="26"/>
      <c r="F1108" s="26"/>
      <c r="G1108" s="26"/>
      <c r="H1108" s="26"/>
      <c r="I1108" s="26"/>
      <c r="J1108" s="26"/>
      <c r="K1108" s="26"/>
      <c r="L1108" s="26"/>
      <c r="M1108" s="26"/>
      <c r="N1108" s="26"/>
      <c r="O1108" s="26"/>
      <c r="P1108" s="26"/>
      <c r="Q1108" s="26"/>
    </row>
    <row r="1109">
      <c r="A1109" s="26"/>
      <c r="B1109" s="27"/>
      <c r="C1109" s="26"/>
      <c r="D1109" s="26"/>
      <c r="E1109" s="26"/>
      <c r="F1109" s="26"/>
      <c r="G1109" s="26"/>
      <c r="H1109" s="26"/>
      <c r="I1109" s="26"/>
      <c r="J1109" s="26"/>
      <c r="K1109" s="26"/>
      <c r="L1109" s="26"/>
      <c r="M1109" s="26"/>
      <c r="N1109" s="26"/>
      <c r="O1109" s="26"/>
      <c r="P1109" s="26"/>
      <c r="Q1109" s="26"/>
    </row>
    <row r="1110">
      <c r="A1110" s="26"/>
      <c r="B1110" s="27"/>
      <c r="C1110" s="26"/>
      <c r="D1110" s="26"/>
      <c r="E1110" s="26"/>
      <c r="F1110" s="26"/>
      <c r="G1110" s="26"/>
      <c r="H1110" s="26"/>
      <c r="I1110" s="26"/>
      <c r="J1110" s="26"/>
      <c r="K1110" s="26"/>
      <c r="L1110" s="26"/>
      <c r="M1110" s="26"/>
      <c r="N1110" s="26"/>
      <c r="O1110" s="26"/>
      <c r="P1110" s="26"/>
      <c r="Q1110" s="26"/>
    </row>
    <row r="1111">
      <c r="A1111" s="26"/>
      <c r="B1111" s="27"/>
      <c r="C1111" s="26"/>
      <c r="D1111" s="26"/>
      <c r="E1111" s="26"/>
      <c r="F1111" s="26"/>
      <c r="G1111" s="26"/>
      <c r="H1111" s="26"/>
      <c r="I1111" s="26"/>
      <c r="J1111" s="26"/>
      <c r="K1111" s="26"/>
      <c r="L1111" s="26"/>
      <c r="M1111" s="26"/>
      <c r="N1111" s="26"/>
      <c r="O1111" s="26"/>
      <c r="P1111" s="26"/>
      <c r="Q1111" s="26"/>
    </row>
    <row r="1112">
      <c r="A1112" s="26"/>
      <c r="B1112" s="27"/>
      <c r="C1112" s="26"/>
      <c r="D1112" s="26"/>
      <c r="E1112" s="26"/>
      <c r="F1112" s="26"/>
      <c r="G1112" s="26"/>
      <c r="H1112" s="26"/>
      <c r="I1112" s="26"/>
      <c r="J1112" s="26"/>
      <c r="K1112" s="26"/>
      <c r="L1112" s="26"/>
      <c r="M1112" s="26"/>
      <c r="N1112" s="26"/>
      <c r="O1112" s="26"/>
      <c r="P1112" s="26"/>
      <c r="Q1112" s="26"/>
    </row>
    <row r="1113">
      <c r="A1113" s="26"/>
      <c r="B1113" s="27"/>
      <c r="C1113" s="26"/>
      <c r="D1113" s="26"/>
      <c r="E1113" s="26"/>
      <c r="F1113" s="26"/>
      <c r="G1113" s="26"/>
      <c r="H1113" s="26"/>
      <c r="I1113" s="26"/>
      <c r="J1113" s="26"/>
      <c r="K1113" s="26"/>
      <c r="L1113" s="26"/>
      <c r="M1113" s="26"/>
      <c r="N1113" s="26"/>
      <c r="O1113" s="26"/>
      <c r="P1113" s="26"/>
      <c r="Q1113" s="26"/>
    </row>
    <row r="1114">
      <c r="A1114" s="26"/>
      <c r="B1114" s="27"/>
      <c r="C1114" s="26"/>
      <c r="D1114" s="26"/>
      <c r="E1114" s="26"/>
      <c r="F1114" s="26"/>
      <c r="G1114" s="26"/>
      <c r="H1114" s="26"/>
      <c r="I1114" s="26"/>
      <c r="J1114" s="26"/>
      <c r="K1114" s="26"/>
      <c r="L1114" s="26"/>
      <c r="M1114" s="26"/>
      <c r="N1114" s="26"/>
      <c r="O1114" s="26"/>
      <c r="P1114" s="26"/>
      <c r="Q1114" s="26"/>
    </row>
    <row r="1115">
      <c r="A1115" s="26"/>
      <c r="B1115" s="27"/>
      <c r="C1115" s="26"/>
      <c r="D1115" s="26"/>
      <c r="E1115" s="26"/>
      <c r="F1115" s="26"/>
      <c r="G1115" s="26"/>
      <c r="H1115" s="26"/>
      <c r="I1115" s="26"/>
      <c r="J1115" s="26"/>
      <c r="K1115" s="26"/>
      <c r="L1115" s="26"/>
      <c r="M1115" s="26"/>
      <c r="N1115" s="26"/>
      <c r="O1115" s="26"/>
      <c r="P1115" s="26"/>
      <c r="Q1115" s="26"/>
    </row>
    <row r="1116">
      <c r="A1116" s="26"/>
      <c r="B1116" s="27"/>
      <c r="C1116" s="26"/>
      <c r="D1116" s="26"/>
      <c r="E1116" s="26"/>
      <c r="F1116" s="26"/>
      <c r="G1116" s="26"/>
      <c r="H1116" s="26"/>
      <c r="I1116" s="26"/>
      <c r="J1116" s="26"/>
      <c r="K1116" s="26"/>
      <c r="L1116" s="26"/>
      <c r="M1116" s="26"/>
      <c r="N1116" s="26"/>
      <c r="O1116" s="26"/>
      <c r="P1116" s="26"/>
      <c r="Q1116" s="26"/>
    </row>
    <row r="1117">
      <c r="A1117" s="26"/>
      <c r="B1117" s="27"/>
      <c r="C1117" s="26"/>
      <c r="D1117" s="26"/>
      <c r="E1117" s="26"/>
      <c r="F1117" s="26"/>
      <c r="G1117" s="26"/>
      <c r="H1117" s="26"/>
      <c r="I1117" s="26"/>
      <c r="J1117" s="26"/>
      <c r="K1117" s="26"/>
      <c r="L1117" s="26"/>
      <c r="M1117" s="26"/>
      <c r="N1117" s="26"/>
      <c r="O1117" s="26"/>
      <c r="P1117" s="26"/>
      <c r="Q1117" s="26"/>
    </row>
    <row r="1118">
      <c r="A1118" s="26"/>
      <c r="B1118" s="27"/>
      <c r="C1118" s="26"/>
      <c r="D1118" s="26"/>
      <c r="E1118" s="26"/>
      <c r="F1118" s="26"/>
      <c r="G1118" s="26"/>
      <c r="H1118" s="26"/>
      <c r="I1118" s="26"/>
      <c r="J1118" s="26"/>
      <c r="K1118" s="26"/>
      <c r="L1118" s="26"/>
      <c r="M1118" s="26"/>
      <c r="N1118" s="26"/>
      <c r="O1118" s="26"/>
      <c r="P1118" s="26"/>
      <c r="Q1118" s="26"/>
    </row>
    <row r="1119">
      <c r="A1119" s="26"/>
      <c r="B1119" s="27"/>
      <c r="C1119" s="26"/>
      <c r="D1119" s="26"/>
      <c r="E1119" s="26"/>
      <c r="F1119" s="26"/>
      <c r="G1119" s="26"/>
      <c r="H1119" s="26"/>
      <c r="I1119" s="26"/>
      <c r="J1119" s="26"/>
      <c r="K1119" s="26"/>
      <c r="L1119" s="26"/>
      <c r="M1119" s="26"/>
      <c r="N1119" s="26"/>
      <c r="O1119" s="26"/>
      <c r="P1119" s="26"/>
      <c r="Q1119" s="26"/>
    </row>
    <row r="1120">
      <c r="A1120" s="26"/>
      <c r="B1120" s="27"/>
      <c r="C1120" s="26"/>
      <c r="D1120" s="26"/>
      <c r="E1120" s="26"/>
      <c r="F1120" s="26"/>
      <c r="G1120" s="26"/>
      <c r="H1120" s="26"/>
      <c r="I1120" s="26"/>
      <c r="J1120" s="26"/>
      <c r="K1120" s="26"/>
      <c r="L1120" s="26"/>
      <c r="M1120" s="26"/>
      <c r="N1120" s="26"/>
      <c r="O1120" s="26"/>
      <c r="P1120" s="26"/>
      <c r="Q1120" s="26"/>
    </row>
    <row r="1121">
      <c r="A1121" s="26"/>
      <c r="B1121" s="27"/>
      <c r="C1121" s="26"/>
      <c r="D1121" s="26"/>
      <c r="E1121" s="26"/>
      <c r="F1121" s="26"/>
      <c r="G1121" s="26"/>
      <c r="H1121" s="26"/>
      <c r="I1121" s="26"/>
      <c r="J1121" s="26"/>
      <c r="K1121" s="26"/>
      <c r="L1121" s="26"/>
      <c r="M1121" s="26"/>
      <c r="N1121" s="26"/>
      <c r="O1121" s="26"/>
      <c r="P1121" s="26"/>
      <c r="Q1121" s="26"/>
    </row>
    <row r="1122">
      <c r="A1122" s="26"/>
      <c r="B1122" s="27"/>
      <c r="C1122" s="26"/>
      <c r="D1122" s="26"/>
      <c r="E1122" s="26"/>
      <c r="F1122" s="26"/>
      <c r="G1122" s="26"/>
      <c r="H1122" s="26"/>
      <c r="I1122" s="26"/>
      <c r="J1122" s="26"/>
      <c r="K1122" s="26"/>
      <c r="L1122" s="26"/>
      <c r="M1122" s="26"/>
      <c r="N1122" s="26"/>
      <c r="O1122" s="26"/>
      <c r="P1122" s="26"/>
      <c r="Q1122" s="26"/>
    </row>
    <row r="1123">
      <c r="A1123" s="26"/>
      <c r="B1123" s="27"/>
      <c r="C1123" s="26"/>
      <c r="D1123" s="26"/>
      <c r="E1123" s="26"/>
      <c r="F1123" s="26"/>
      <c r="G1123" s="26"/>
      <c r="H1123" s="26"/>
      <c r="I1123" s="26"/>
      <c r="J1123" s="26"/>
      <c r="K1123" s="26"/>
      <c r="L1123" s="26"/>
      <c r="M1123" s="26"/>
      <c r="N1123" s="26"/>
      <c r="O1123" s="26"/>
      <c r="P1123" s="26"/>
      <c r="Q1123" s="26"/>
    </row>
    <row r="1124">
      <c r="A1124" s="26"/>
      <c r="B1124" s="27"/>
      <c r="C1124" s="26"/>
      <c r="D1124" s="26"/>
      <c r="E1124" s="26"/>
      <c r="F1124" s="26"/>
      <c r="G1124" s="26"/>
      <c r="H1124" s="26"/>
      <c r="I1124" s="26"/>
      <c r="J1124" s="26"/>
      <c r="K1124" s="26"/>
      <c r="L1124" s="26"/>
      <c r="M1124" s="26"/>
      <c r="N1124" s="26"/>
      <c r="O1124" s="26"/>
      <c r="P1124" s="26"/>
      <c r="Q1124" s="26"/>
    </row>
    <row r="1125">
      <c r="A1125" s="26"/>
      <c r="B1125" s="27"/>
      <c r="C1125" s="26"/>
      <c r="D1125" s="26"/>
      <c r="E1125" s="26"/>
      <c r="F1125" s="26"/>
      <c r="G1125" s="26"/>
      <c r="H1125" s="26"/>
      <c r="I1125" s="26"/>
      <c r="J1125" s="26"/>
      <c r="K1125" s="26"/>
      <c r="L1125" s="26"/>
      <c r="M1125" s="26"/>
      <c r="N1125" s="26"/>
      <c r="O1125" s="26"/>
      <c r="P1125" s="26"/>
      <c r="Q1125" s="26"/>
    </row>
    <row r="1126">
      <c r="A1126" s="26"/>
      <c r="B1126" s="27"/>
      <c r="C1126" s="26"/>
      <c r="D1126" s="26"/>
      <c r="E1126" s="26"/>
      <c r="F1126" s="26"/>
      <c r="G1126" s="26"/>
      <c r="H1126" s="26"/>
      <c r="I1126" s="26"/>
      <c r="J1126" s="26"/>
      <c r="K1126" s="26"/>
      <c r="L1126" s="26"/>
      <c r="M1126" s="26"/>
      <c r="N1126" s="26"/>
      <c r="O1126" s="26"/>
      <c r="P1126" s="26"/>
      <c r="Q1126" s="26"/>
    </row>
    <row r="1127">
      <c r="A1127" s="26"/>
      <c r="B1127" s="27"/>
      <c r="C1127" s="26"/>
      <c r="D1127" s="26"/>
      <c r="E1127" s="26"/>
      <c r="F1127" s="26"/>
      <c r="G1127" s="26"/>
      <c r="H1127" s="26"/>
      <c r="I1127" s="26"/>
      <c r="J1127" s="26"/>
      <c r="K1127" s="26"/>
      <c r="L1127" s="26"/>
      <c r="M1127" s="26"/>
      <c r="N1127" s="26"/>
      <c r="O1127" s="26"/>
      <c r="P1127" s="26"/>
      <c r="Q1127" s="26"/>
    </row>
    <row r="1128">
      <c r="A1128" s="26"/>
      <c r="B1128" s="27"/>
      <c r="C1128" s="26"/>
      <c r="D1128" s="26"/>
      <c r="E1128" s="26"/>
      <c r="F1128" s="26"/>
      <c r="G1128" s="26"/>
      <c r="H1128" s="26"/>
      <c r="I1128" s="26"/>
      <c r="J1128" s="26"/>
      <c r="K1128" s="26"/>
      <c r="L1128" s="26"/>
      <c r="M1128" s="26"/>
      <c r="N1128" s="26"/>
      <c r="O1128" s="26"/>
      <c r="P1128" s="26"/>
      <c r="Q1128" s="26"/>
    </row>
    <row r="1129">
      <c r="A1129" s="26"/>
      <c r="B1129" s="27"/>
      <c r="C1129" s="26"/>
      <c r="D1129" s="26"/>
      <c r="E1129" s="26"/>
      <c r="F1129" s="26"/>
      <c r="G1129" s="26"/>
      <c r="H1129" s="26"/>
      <c r="I1129" s="26"/>
      <c r="J1129" s="26"/>
      <c r="K1129" s="26"/>
      <c r="L1129" s="26"/>
      <c r="M1129" s="26"/>
      <c r="N1129" s="26"/>
      <c r="O1129" s="26"/>
      <c r="P1129" s="26"/>
      <c r="Q1129" s="26"/>
    </row>
    <row r="1130">
      <c r="A1130" s="26"/>
      <c r="B1130" s="27"/>
      <c r="C1130" s="26"/>
      <c r="D1130" s="26"/>
      <c r="E1130" s="26"/>
      <c r="F1130" s="26"/>
      <c r="G1130" s="26"/>
      <c r="H1130" s="26"/>
      <c r="I1130" s="26"/>
      <c r="J1130" s="26"/>
      <c r="K1130" s="26"/>
      <c r="L1130" s="26"/>
      <c r="M1130" s="26"/>
      <c r="N1130" s="26"/>
      <c r="O1130" s="26"/>
      <c r="P1130" s="26"/>
      <c r="Q1130" s="26"/>
    </row>
    <row r="1131">
      <c r="A1131" s="26"/>
      <c r="B1131" s="27"/>
      <c r="C1131" s="26"/>
      <c r="D1131" s="26"/>
      <c r="E1131" s="26"/>
      <c r="F1131" s="26"/>
      <c r="G1131" s="26"/>
      <c r="H1131" s="26"/>
      <c r="I1131" s="26"/>
      <c r="J1131" s="26"/>
      <c r="K1131" s="26"/>
      <c r="L1131" s="26"/>
      <c r="M1131" s="26"/>
      <c r="N1131" s="26"/>
      <c r="O1131" s="26"/>
      <c r="P1131" s="26"/>
      <c r="Q1131" s="26"/>
    </row>
    <row r="1132">
      <c r="A1132" s="26"/>
      <c r="B1132" s="27"/>
      <c r="C1132" s="26"/>
      <c r="D1132" s="26"/>
      <c r="E1132" s="26"/>
      <c r="F1132" s="26"/>
      <c r="G1132" s="26"/>
      <c r="H1132" s="26"/>
      <c r="I1132" s="26"/>
      <c r="J1132" s="26"/>
      <c r="K1132" s="26"/>
      <c r="L1132" s="26"/>
      <c r="M1132" s="26"/>
      <c r="N1132" s="26"/>
      <c r="O1132" s="26"/>
      <c r="P1132" s="26"/>
      <c r="Q1132" s="26"/>
    </row>
    <row r="1133">
      <c r="A1133" s="26"/>
      <c r="B1133" s="27"/>
      <c r="C1133" s="26"/>
      <c r="D1133" s="26"/>
      <c r="E1133" s="26"/>
      <c r="F1133" s="26"/>
      <c r="G1133" s="26"/>
      <c r="H1133" s="26"/>
      <c r="I1133" s="26"/>
      <c r="J1133" s="26"/>
      <c r="K1133" s="26"/>
      <c r="L1133" s="26"/>
      <c r="M1133" s="26"/>
      <c r="N1133" s="26"/>
      <c r="O1133" s="26"/>
      <c r="P1133" s="26"/>
      <c r="Q1133" s="26"/>
    </row>
    <row r="1134">
      <c r="A1134" s="26"/>
      <c r="B1134" s="27"/>
      <c r="C1134" s="26"/>
      <c r="D1134" s="26"/>
      <c r="E1134" s="26"/>
      <c r="F1134" s="26"/>
      <c r="G1134" s="26"/>
      <c r="H1134" s="26"/>
      <c r="I1134" s="26"/>
      <c r="J1134" s="26"/>
      <c r="K1134" s="26"/>
      <c r="L1134" s="26"/>
      <c r="M1134" s="26"/>
      <c r="N1134" s="26"/>
      <c r="O1134" s="26"/>
      <c r="P1134" s="26"/>
      <c r="Q1134" s="26"/>
    </row>
    <row r="1135">
      <c r="A1135" s="26"/>
      <c r="B1135" s="27"/>
      <c r="C1135" s="26"/>
      <c r="D1135" s="26"/>
      <c r="E1135" s="26"/>
      <c r="F1135" s="26"/>
      <c r="G1135" s="26"/>
      <c r="H1135" s="26"/>
      <c r="I1135" s="26"/>
      <c r="J1135" s="26"/>
      <c r="K1135" s="26"/>
      <c r="L1135" s="26"/>
      <c r="M1135" s="26"/>
      <c r="N1135" s="26"/>
      <c r="O1135" s="26"/>
      <c r="P1135" s="26"/>
      <c r="Q1135" s="26"/>
    </row>
    <row r="1136">
      <c r="A1136" s="26"/>
      <c r="B1136" s="27"/>
      <c r="C1136" s="26"/>
      <c r="D1136" s="26"/>
      <c r="E1136" s="26"/>
      <c r="F1136" s="26"/>
      <c r="G1136" s="26"/>
      <c r="H1136" s="26"/>
      <c r="I1136" s="26"/>
      <c r="J1136" s="26"/>
      <c r="K1136" s="26"/>
      <c r="L1136" s="26"/>
      <c r="M1136" s="26"/>
      <c r="N1136" s="26"/>
      <c r="O1136" s="26"/>
      <c r="P1136" s="26"/>
      <c r="Q1136" s="26"/>
    </row>
    <row r="1137">
      <c r="A1137" s="26"/>
      <c r="B1137" s="27"/>
      <c r="C1137" s="26"/>
      <c r="D1137" s="26"/>
      <c r="E1137" s="26"/>
      <c r="F1137" s="26"/>
      <c r="G1137" s="26"/>
      <c r="H1137" s="26"/>
      <c r="I1137" s="26"/>
      <c r="J1137" s="26"/>
      <c r="K1137" s="26"/>
      <c r="L1137" s="26"/>
      <c r="M1137" s="26"/>
      <c r="N1137" s="26"/>
      <c r="O1137" s="26"/>
      <c r="P1137" s="26"/>
      <c r="Q1137" s="26"/>
    </row>
    <row r="1138">
      <c r="A1138" s="26"/>
      <c r="B1138" s="27"/>
      <c r="C1138" s="26"/>
      <c r="D1138" s="26"/>
      <c r="E1138" s="26"/>
      <c r="F1138" s="26"/>
      <c r="G1138" s="26"/>
      <c r="H1138" s="26"/>
      <c r="I1138" s="26"/>
      <c r="J1138" s="26"/>
      <c r="K1138" s="26"/>
      <c r="L1138" s="26"/>
      <c r="M1138" s="26"/>
      <c r="N1138" s="26"/>
      <c r="O1138" s="26"/>
      <c r="P1138" s="26"/>
      <c r="Q1138" s="26"/>
    </row>
    <row r="1139">
      <c r="A1139" s="26"/>
      <c r="B1139" s="27"/>
      <c r="C1139" s="26"/>
      <c r="D1139" s="26"/>
      <c r="E1139" s="26"/>
      <c r="F1139" s="26"/>
      <c r="G1139" s="26"/>
      <c r="H1139" s="26"/>
      <c r="I1139" s="26"/>
      <c r="J1139" s="26"/>
      <c r="K1139" s="26"/>
      <c r="L1139" s="26"/>
      <c r="M1139" s="26"/>
      <c r="N1139" s="26"/>
      <c r="O1139" s="26"/>
      <c r="P1139" s="26"/>
      <c r="Q1139" s="26"/>
    </row>
    <row r="1140">
      <c r="A1140" s="26"/>
      <c r="B1140" s="27"/>
      <c r="C1140" s="26"/>
      <c r="D1140" s="26"/>
      <c r="E1140" s="26"/>
      <c r="F1140" s="26"/>
      <c r="G1140" s="26"/>
      <c r="H1140" s="26"/>
      <c r="I1140" s="26"/>
      <c r="J1140" s="26"/>
      <c r="K1140" s="26"/>
      <c r="L1140" s="26"/>
      <c r="M1140" s="26"/>
      <c r="N1140" s="26"/>
      <c r="O1140" s="26"/>
      <c r="P1140" s="26"/>
      <c r="Q1140" s="26"/>
    </row>
    <row r="1141">
      <c r="A1141" s="26"/>
      <c r="B1141" s="27"/>
      <c r="C1141" s="26"/>
      <c r="D1141" s="26"/>
      <c r="E1141" s="26"/>
      <c r="F1141" s="26"/>
      <c r="G1141" s="26"/>
      <c r="H1141" s="26"/>
      <c r="I1141" s="26"/>
      <c r="J1141" s="26"/>
      <c r="K1141" s="26"/>
      <c r="L1141" s="26"/>
      <c r="M1141" s="26"/>
      <c r="N1141" s="26"/>
      <c r="O1141" s="26"/>
      <c r="P1141" s="26"/>
      <c r="Q1141" s="26"/>
    </row>
    <row r="1142">
      <c r="A1142" s="26"/>
      <c r="B1142" s="27"/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26"/>
      <c r="P1142" s="26"/>
      <c r="Q1142" s="26"/>
    </row>
    <row r="1143">
      <c r="A1143" s="26"/>
      <c r="B1143" s="27"/>
      <c r="C1143" s="26"/>
      <c r="D1143" s="26"/>
      <c r="E1143" s="26"/>
      <c r="F1143" s="26"/>
      <c r="G1143" s="26"/>
      <c r="H1143" s="26"/>
      <c r="I1143" s="26"/>
      <c r="J1143" s="26"/>
      <c r="K1143" s="26"/>
      <c r="L1143" s="26"/>
      <c r="M1143" s="26"/>
      <c r="N1143" s="26"/>
      <c r="O1143" s="26"/>
      <c r="P1143" s="26"/>
      <c r="Q1143" s="26"/>
    </row>
    <row r="1144">
      <c r="A1144" s="26"/>
      <c r="B1144" s="27"/>
      <c r="C1144" s="26"/>
      <c r="D1144" s="26"/>
      <c r="E1144" s="26"/>
      <c r="F1144" s="26"/>
      <c r="G1144" s="26"/>
      <c r="H1144" s="26"/>
      <c r="I1144" s="26"/>
      <c r="J1144" s="26"/>
      <c r="K1144" s="26"/>
      <c r="L1144" s="26"/>
      <c r="M1144" s="26"/>
      <c r="N1144" s="26"/>
      <c r="O1144" s="26"/>
      <c r="P1144" s="26"/>
      <c r="Q1144" s="26"/>
    </row>
    <row r="1145">
      <c r="A1145" s="26"/>
      <c r="B1145" s="27"/>
      <c r="C1145" s="26"/>
      <c r="D1145" s="26"/>
      <c r="E1145" s="26"/>
      <c r="F1145" s="26"/>
      <c r="G1145" s="26"/>
      <c r="H1145" s="26"/>
      <c r="I1145" s="26"/>
      <c r="J1145" s="26"/>
      <c r="K1145" s="26"/>
      <c r="L1145" s="26"/>
      <c r="M1145" s="26"/>
      <c r="N1145" s="26"/>
      <c r="O1145" s="26"/>
      <c r="P1145" s="26"/>
      <c r="Q1145" s="26"/>
    </row>
    <row r="1146">
      <c r="A1146" s="26"/>
      <c r="B1146" s="27"/>
      <c r="C1146" s="26"/>
      <c r="D1146" s="26"/>
      <c r="E1146" s="26"/>
      <c r="F1146" s="26"/>
      <c r="G1146" s="26"/>
      <c r="H1146" s="26"/>
      <c r="I1146" s="26"/>
      <c r="J1146" s="26"/>
      <c r="K1146" s="26"/>
      <c r="L1146" s="26"/>
      <c r="M1146" s="26"/>
      <c r="N1146" s="26"/>
      <c r="O1146" s="26"/>
      <c r="P1146" s="26"/>
      <c r="Q1146" s="26"/>
    </row>
    <row r="1147">
      <c r="A1147" s="26"/>
      <c r="B1147" s="27"/>
      <c r="C1147" s="26"/>
      <c r="D1147" s="26"/>
      <c r="E1147" s="26"/>
      <c r="F1147" s="26"/>
      <c r="G1147" s="26"/>
      <c r="H1147" s="26"/>
      <c r="I1147" s="26"/>
      <c r="J1147" s="26"/>
      <c r="K1147" s="26"/>
      <c r="L1147" s="26"/>
      <c r="M1147" s="26"/>
      <c r="N1147" s="26"/>
      <c r="O1147" s="26"/>
      <c r="P1147" s="26"/>
      <c r="Q1147" s="26"/>
    </row>
    <row r="1148">
      <c r="A1148" s="26"/>
      <c r="B1148" s="27"/>
      <c r="C1148" s="26"/>
      <c r="D1148" s="26"/>
      <c r="E1148" s="26"/>
      <c r="F1148" s="26"/>
      <c r="G1148" s="26"/>
      <c r="H1148" s="26"/>
      <c r="I1148" s="26"/>
      <c r="J1148" s="26"/>
      <c r="K1148" s="26"/>
      <c r="L1148" s="26"/>
      <c r="M1148" s="26"/>
      <c r="N1148" s="26"/>
      <c r="O1148" s="26"/>
      <c r="P1148" s="26"/>
      <c r="Q1148" s="26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13"/>
    <col customWidth="1" min="2" max="3" width="19.0"/>
    <col customWidth="1" min="4" max="4" width="21.0"/>
    <col customWidth="1" min="5" max="5" width="26.75"/>
    <col customWidth="1" min="6" max="7" width="21.0"/>
    <col customWidth="1" min="8" max="8" width="16.75"/>
    <col customWidth="1" min="9" max="9" width="9.25"/>
    <col customWidth="1" min="10" max="10" width="16.25"/>
    <col customWidth="1" min="11" max="11" width="16.75"/>
    <col customWidth="1" min="14" max="14" width="16.75"/>
    <col customWidth="1" min="15" max="15" width="13.38"/>
    <col customWidth="1" min="16" max="16" width="13.13"/>
    <col customWidth="1" min="17" max="17" width="66.5"/>
  </cols>
  <sheetData>
    <row r="1">
      <c r="A1" s="28" t="s">
        <v>18</v>
      </c>
      <c r="B1" s="29" t="s">
        <v>19</v>
      </c>
      <c r="C1" s="29" t="s">
        <v>20</v>
      </c>
      <c r="D1" s="30" t="s">
        <v>21</v>
      </c>
      <c r="E1" s="31" t="s">
        <v>22</v>
      </c>
      <c r="F1" s="29" t="s">
        <v>23</v>
      </c>
      <c r="G1" s="31" t="s">
        <v>24</v>
      </c>
      <c r="H1" s="32" t="s">
        <v>25</v>
      </c>
      <c r="I1" s="32" t="s">
        <v>26</v>
      </c>
      <c r="J1" s="33" t="s">
        <v>27</v>
      </c>
      <c r="K1" s="34" t="s">
        <v>28</v>
      </c>
    </row>
    <row r="2">
      <c r="A2" s="35">
        <v>1.0</v>
      </c>
      <c r="B2" s="36">
        <v>45482.41515046296</v>
      </c>
      <c r="C2" s="36">
        <v>45482.42212962963</v>
      </c>
      <c r="D2" s="37">
        <v>4.40656418522893E-5</v>
      </c>
      <c r="E2" s="38">
        <v>0.0265715820369304</v>
      </c>
      <c r="F2" s="38">
        <v>2.41174386695168E-8</v>
      </c>
      <c r="G2" s="38">
        <v>1.45428155177186E-5</v>
      </c>
      <c r="H2" s="39">
        <f t="shared" ref="H2:H678" si="1">(C2-B2)*1440*60</f>
        <v>603.0000001</v>
      </c>
      <c r="I2" s="39" t="str">
        <f>IFNA(VLOOKUP(A2,표2[#ALL],2, FALSE), "")</f>
        <v/>
      </c>
      <c r="J2" s="40" t="str">
        <f t="shared" ref="J2:J678" si="2">IF(I2 ="","",D2*I2)</f>
        <v/>
      </c>
      <c r="K2" s="41" t="str">
        <f t="shared" ref="K2:K678" si="3">IF(J2="","",J2*$L$14)</f>
        <v/>
      </c>
    </row>
    <row r="3">
      <c r="A3" s="35">
        <v>2.0</v>
      </c>
      <c r="B3" s="42">
        <v>45482.42221064815</v>
      </c>
      <c r="C3" s="42">
        <v>45482.42667824074</v>
      </c>
      <c r="D3" s="43">
        <v>4.28945909094787E-5</v>
      </c>
      <c r="E3" s="44">
        <v>0.0165573120910588</v>
      </c>
      <c r="F3" s="44">
        <v>3.17398724384615E-7</v>
      </c>
      <c r="G3" s="44">
        <v>1.22515907612461E-4</v>
      </c>
      <c r="H3" s="45">
        <f t="shared" si="1"/>
        <v>386.0000003</v>
      </c>
      <c r="I3" s="45" t="str">
        <f>IFNA(VLOOKUP(A3,표2[#ALL],2, FALSE), "")</f>
        <v/>
      </c>
      <c r="J3" s="46" t="str">
        <f t="shared" si="2"/>
        <v/>
      </c>
      <c r="K3" s="47" t="str">
        <f t="shared" si="3"/>
        <v/>
      </c>
    </row>
    <row r="4">
      <c r="A4" s="35">
        <v>3.0</v>
      </c>
      <c r="B4" s="36">
        <v>45482.42802083334</v>
      </c>
      <c r="C4" s="36">
        <v>45482.436574074076</v>
      </c>
      <c r="D4" s="37">
        <v>4.25274183716351E-5</v>
      </c>
      <c r="E4" s="38">
        <v>0.0314277621766383</v>
      </c>
      <c r="F4" s="38">
        <v>2.39825455003342E-7</v>
      </c>
      <c r="G4" s="38">
        <v>1.7723101124747E-4</v>
      </c>
      <c r="H4" s="39">
        <f t="shared" si="1"/>
        <v>738.9999999</v>
      </c>
      <c r="I4" s="39" t="str">
        <f>IFNA(VLOOKUP(A4,표2[#ALL],2, FALSE), "")</f>
        <v/>
      </c>
      <c r="J4" s="40" t="str">
        <f t="shared" si="2"/>
        <v/>
      </c>
      <c r="K4" s="41" t="str">
        <f t="shared" si="3"/>
        <v/>
      </c>
    </row>
    <row r="5">
      <c r="A5" s="35">
        <v>4.0</v>
      </c>
      <c r="B5" s="42">
        <v>45482.438113425924</v>
      </c>
      <c r="C5" s="42">
        <v>45482.45532407407</v>
      </c>
      <c r="D5" s="43">
        <v>4.29598965606399E-5</v>
      </c>
      <c r="E5" s="44">
        <v>0.0638813661856715</v>
      </c>
      <c r="F5" s="44">
        <v>9.00226606014289E-8</v>
      </c>
      <c r="G5" s="44">
        <v>1.33863696314325E-4</v>
      </c>
      <c r="H5" s="45">
        <f t="shared" si="1"/>
        <v>1487</v>
      </c>
      <c r="I5" s="45" t="str">
        <f>IFNA(VLOOKUP(A5,표2[#ALL],2, FALSE), "")</f>
        <v/>
      </c>
      <c r="J5" s="46" t="str">
        <f t="shared" si="2"/>
        <v/>
      </c>
      <c r="K5" s="47" t="str">
        <f t="shared" si="3"/>
        <v/>
      </c>
    </row>
    <row r="6">
      <c r="A6" s="35">
        <v>6.0</v>
      </c>
      <c r="B6" s="36">
        <v>45482.45736111111</v>
      </c>
      <c r="C6" s="36">
        <v>45482.459756944445</v>
      </c>
      <c r="D6" s="37">
        <v>4.30646444534346E-5</v>
      </c>
      <c r="E6" s="38">
        <v>0.00891438140186096</v>
      </c>
      <c r="F6" s="38">
        <v>3.69721572953872E-8</v>
      </c>
      <c r="G6" s="38">
        <v>7.65323656014514E-6</v>
      </c>
      <c r="H6" s="39">
        <f t="shared" si="1"/>
        <v>207</v>
      </c>
      <c r="I6" s="39" t="str">
        <f>IFNA(VLOOKUP(A6,표2[#ALL],2, FALSE), "")</f>
        <v/>
      </c>
      <c r="J6" s="40" t="str">
        <f t="shared" si="2"/>
        <v/>
      </c>
      <c r="K6" s="41" t="str">
        <f t="shared" si="3"/>
        <v/>
      </c>
    </row>
    <row r="7">
      <c r="A7" s="35">
        <v>7.0</v>
      </c>
      <c r="B7" s="42">
        <v>45482.460868055554</v>
      </c>
      <c r="C7" s="42">
        <v>45482.46241898148</v>
      </c>
      <c r="D7" s="43">
        <v>4.06747994607431E-5</v>
      </c>
      <c r="E7" s="44">
        <v>0.00545042312773958</v>
      </c>
      <c r="F7" s="44">
        <v>8.2756277775966E-7</v>
      </c>
      <c r="G7" s="44">
        <v>1.10893412219794E-4</v>
      </c>
      <c r="H7" s="45">
        <f t="shared" si="1"/>
        <v>133.9999999</v>
      </c>
      <c r="I7" s="45" t="str">
        <f>IFNA(VLOOKUP(A7,표2[#ALL],2, FALSE), "")</f>
        <v/>
      </c>
      <c r="J7" s="46" t="str">
        <f t="shared" si="2"/>
        <v/>
      </c>
      <c r="K7" s="47" t="str">
        <f t="shared" si="3"/>
        <v/>
      </c>
    </row>
    <row r="8">
      <c r="A8" s="35">
        <v>8.0</v>
      </c>
      <c r="B8" s="36">
        <v>45482.463692129626</v>
      </c>
      <c r="C8" s="36">
        <v>45482.46988425926</v>
      </c>
      <c r="D8" s="37">
        <v>4.19794522576217E-5</v>
      </c>
      <c r="E8" s="38">
        <v>0.0224590069578276</v>
      </c>
      <c r="F8" s="38">
        <v>2.50593396980935E-7</v>
      </c>
      <c r="G8" s="38">
        <v>1.340674673848E-4</v>
      </c>
      <c r="H8" s="39">
        <f t="shared" si="1"/>
        <v>535.0000006</v>
      </c>
      <c r="I8" s="39" t="str">
        <f>IFNA(VLOOKUP(A8,표2[#ALL],2, FALSE), "")</f>
        <v/>
      </c>
      <c r="J8" s="40" t="str">
        <f t="shared" si="2"/>
        <v/>
      </c>
      <c r="K8" s="41" t="str">
        <f t="shared" si="3"/>
        <v/>
      </c>
    </row>
    <row r="9">
      <c r="A9" s="35">
        <v>9.0</v>
      </c>
      <c r="B9" s="42">
        <v>45482.472592592596</v>
      </c>
      <c r="C9" s="42">
        <v>45482.47783564815</v>
      </c>
      <c r="D9" s="43">
        <v>4.18174187004422E-5</v>
      </c>
      <c r="E9" s="44">
        <v>0.0189432906713003</v>
      </c>
      <c r="F9" s="44">
        <v>2.82445366407465E-7</v>
      </c>
      <c r="G9" s="44">
        <v>1.27947750982582E-4</v>
      </c>
      <c r="H9" s="45">
        <f t="shared" si="1"/>
        <v>452.9999997</v>
      </c>
      <c r="I9" s="45" t="str">
        <f>IFNA(VLOOKUP(A9,표2[#ALL],2, FALSE), "")</f>
        <v/>
      </c>
      <c r="J9" s="46" t="str">
        <f t="shared" si="2"/>
        <v/>
      </c>
      <c r="K9" s="47" t="str">
        <f t="shared" si="3"/>
        <v/>
      </c>
    </row>
    <row r="10">
      <c r="A10" s="35">
        <v>10.0</v>
      </c>
      <c r="B10" s="36">
        <v>45482.47918981482</v>
      </c>
      <c r="C10" s="36">
        <v>45482.479375</v>
      </c>
      <c r="D10" s="37">
        <v>1.94136888066378E-5</v>
      </c>
      <c r="E10" s="38">
        <v>3.10619020906205E-4</v>
      </c>
      <c r="F10" s="38">
        <v>5.400061445287E-6</v>
      </c>
      <c r="G10" s="38">
        <v>8.64009831245921E-5</v>
      </c>
      <c r="H10" s="39">
        <f t="shared" si="1"/>
        <v>15.99999997</v>
      </c>
      <c r="I10" s="39" t="str">
        <f>IFNA(VLOOKUP(A10,표2[#ALL],2, FALSE), "")</f>
        <v/>
      </c>
      <c r="J10" s="40" t="str">
        <f t="shared" si="2"/>
        <v/>
      </c>
      <c r="K10" s="41" t="str">
        <f t="shared" si="3"/>
        <v/>
      </c>
    </row>
    <row r="11">
      <c r="A11" s="35">
        <v>11.0</v>
      </c>
      <c r="B11" s="42">
        <v>45482.48060185185</v>
      </c>
      <c r="C11" s="42">
        <v>45482.483761574076</v>
      </c>
      <c r="D11" s="43">
        <v>4.11964459755074E-5</v>
      </c>
      <c r="E11" s="44">
        <v>0.0112466297513135</v>
      </c>
      <c r="F11" s="44">
        <v>4.61592546872262E-7</v>
      </c>
      <c r="G11" s="44">
        <v>1.26014765296128E-4</v>
      </c>
      <c r="H11" s="45">
        <f t="shared" si="1"/>
        <v>273.0000003</v>
      </c>
      <c r="I11" s="45" t="str">
        <f>IFNA(VLOOKUP(A11,표2[#ALL],2, FALSE), "")</f>
        <v/>
      </c>
      <c r="J11" s="46" t="str">
        <f t="shared" si="2"/>
        <v/>
      </c>
      <c r="K11" s="47" t="str">
        <f t="shared" si="3"/>
        <v/>
      </c>
    </row>
    <row r="12">
      <c r="A12" s="35">
        <v>12.0</v>
      </c>
      <c r="B12" s="36">
        <v>45482.48409722222</v>
      </c>
      <c r="C12" s="36">
        <v>45482.48428240741</v>
      </c>
      <c r="D12" s="37">
        <v>6.52284189474973E-6</v>
      </c>
      <c r="E12" s="38">
        <v>1.04365470315996E-4</v>
      </c>
      <c r="F12" s="38">
        <v>4.03884960655877E-6</v>
      </c>
      <c r="G12" s="38">
        <v>6.46215937049403E-5</v>
      </c>
      <c r="H12" s="39">
        <f t="shared" si="1"/>
        <v>15.99999997</v>
      </c>
      <c r="I12" s="39" t="str">
        <f>IFNA(VLOOKUP(A12,표2[#ALL],2, FALSE), "")</f>
        <v/>
      </c>
      <c r="J12" s="40" t="str">
        <f t="shared" si="2"/>
        <v/>
      </c>
      <c r="K12" s="41" t="str">
        <f t="shared" si="3"/>
        <v/>
      </c>
    </row>
    <row r="13">
      <c r="A13" s="35">
        <v>13.0</v>
      </c>
      <c r="B13" s="42">
        <v>45482.48502314815</v>
      </c>
      <c r="C13" s="42">
        <v>45482.48548611111</v>
      </c>
      <c r="D13" s="43">
        <v>3.24272762971479E-5</v>
      </c>
      <c r="E13" s="44">
        <v>0.00129709105188592</v>
      </c>
      <c r="F13" s="44">
        <v>2.89755713537066E-6</v>
      </c>
      <c r="G13" s="44">
        <v>1.15902285414827E-4</v>
      </c>
      <c r="H13" s="45">
        <f t="shared" si="1"/>
        <v>39.99999992</v>
      </c>
      <c r="I13" s="45" t="str">
        <f>IFNA(VLOOKUP(A13,표2[#ALL],2, FALSE), "")</f>
        <v/>
      </c>
      <c r="J13" s="46" t="str">
        <f t="shared" si="2"/>
        <v/>
      </c>
      <c r="K13" s="47" t="str">
        <f t="shared" si="3"/>
        <v/>
      </c>
      <c r="L13" s="1" t="s">
        <v>29</v>
      </c>
      <c r="M13" s="1" t="s">
        <v>30</v>
      </c>
    </row>
    <row r="14">
      <c r="A14" s="35">
        <v>14.0</v>
      </c>
      <c r="B14" s="36">
        <v>45482.486354166664</v>
      </c>
      <c r="C14" s="36">
        <v>45482.49015046296</v>
      </c>
      <c r="D14" s="37">
        <v>4.26165161223273E-5</v>
      </c>
      <c r="E14" s="38">
        <v>0.0139782172881234</v>
      </c>
      <c r="F14" s="38">
        <v>2.78044148859418E-8</v>
      </c>
      <c r="G14" s="38">
        <v>9.1198480825889E-6</v>
      </c>
      <c r="H14" s="39">
        <f t="shared" si="1"/>
        <v>328</v>
      </c>
      <c r="I14" s="39" t="str">
        <f>IFNA(VLOOKUP(A14,표2[#ALL],2, FALSE), "")</f>
        <v/>
      </c>
      <c r="J14" s="40" t="str">
        <f t="shared" si="2"/>
        <v/>
      </c>
      <c r="K14" s="41" t="str">
        <f t="shared" si="3"/>
        <v/>
      </c>
      <c r="L14" s="1">
        <v>0.8241</v>
      </c>
      <c r="M14" s="1">
        <v>0.0135</v>
      </c>
    </row>
    <row r="15">
      <c r="A15" s="35">
        <v>15.0</v>
      </c>
      <c r="B15" s="42">
        <v>45482.491435185184</v>
      </c>
      <c r="C15" s="42">
        <v>45482.49523148148</v>
      </c>
      <c r="D15" s="43">
        <v>4.24316526406475E-5</v>
      </c>
      <c r="E15" s="44">
        <v>0.0139175820661324</v>
      </c>
      <c r="F15" s="44">
        <v>2.9181944903427E-8</v>
      </c>
      <c r="G15" s="44">
        <v>9.57167792832406E-6</v>
      </c>
      <c r="H15" s="45">
        <f t="shared" si="1"/>
        <v>328</v>
      </c>
      <c r="I15" s="45" t="str">
        <f>IFNA(VLOOKUP(A15,표2[#ALL],2, FALSE), "")</f>
        <v/>
      </c>
      <c r="J15" s="46" t="str">
        <f t="shared" si="2"/>
        <v/>
      </c>
      <c r="K15" s="47" t="str">
        <f t="shared" si="3"/>
        <v/>
      </c>
    </row>
    <row r="16">
      <c r="A16" s="35">
        <v>16.0</v>
      </c>
      <c r="B16" s="36">
        <v>45482.49679398148</v>
      </c>
      <c r="C16" s="36">
        <v>45482.49731481481</v>
      </c>
      <c r="D16" s="37">
        <v>4.2317132380728E-5</v>
      </c>
      <c r="E16" s="38">
        <v>0.00190427095713276</v>
      </c>
      <c r="F16" s="38">
        <v>6.67227854325005E-8</v>
      </c>
      <c r="G16" s="38">
        <v>3.00252534446252E-6</v>
      </c>
      <c r="H16" s="39">
        <f t="shared" si="1"/>
        <v>44.99999983</v>
      </c>
      <c r="I16" s="39" t="str">
        <f>IFNA(VLOOKUP(A16,표2[#ALL],2, FALSE), "")</f>
        <v/>
      </c>
      <c r="J16" s="40" t="str">
        <f t="shared" si="2"/>
        <v/>
      </c>
      <c r="K16" s="41" t="str">
        <f t="shared" si="3"/>
        <v/>
      </c>
    </row>
    <row r="17">
      <c r="A17" s="35">
        <v>17.0</v>
      </c>
      <c r="B17" s="42">
        <v>45482.49759259259</v>
      </c>
      <c r="C17" s="42">
        <v>45482.49986111111</v>
      </c>
      <c r="D17" s="43">
        <v>1.90200089416902E-5</v>
      </c>
      <c r="E17" s="44">
        <v>0.00372792175257127</v>
      </c>
      <c r="F17" s="44">
        <v>1.5410136193209E-6</v>
      </c>
      <c r="G17" s="44">
        <v>3.02038669386897E-4</v>
      </c>
      <c r="H17" s="45">
        <f t="shared" si="1"/>
        <v>195.9999999</v>
      </c>
      <c r="I17" s="45" t="str">
        <f>IFNA(VLOOKUP(A17,표2[#ALL],2, FALSE), "")</f>
        <v/>
      </c>
      <c r="J17" s="46" t="str">
        <f t="shared" si="2"/>
        <v/>
      </c>
      <c r="K17" s="47" t="str">
        <f t="shared" si="3"/>
        <v/>
      </c>
    </row>
    <row r="18">
      <c r="A18" s="35">
        <v>18.0</v>
      </c>
      <c r="B18" s="36">
        <v>45482.50158564815</v>
      </c>
      <c r="C18" s="36">
        <v>45482.50549768518</v>
      </c>
      <c r="D18" s="37">
        <v>4.23434268282545E-5</v>
      </c>
      <c r="E18" s="38">
        <v>0.01431207826795</v>
      </c>
      <c r="F18" s="38">
        <v>2.62331091050173E-8</v>
      </c>
      <c r="G18" s="38">
        <v>8.86679087749584E-6</v>
      </c>
      <c r="H18" s="39">
        <f t="shared" si="1"/>
        <v>337.9999998</v>
      </c>
      <c r="I18" s="39" t="str">
        <f>IFNA(VLOOKUP(A18,표2[#ALL],2, FALSE), "")</f>
        <v/>
      </c>
      <c r="J18" s="40" t="str">
        <f t="shared" si="2"/>
        <v/>
      </c>
      <c r="K18" s="41" t="str">
        <f t="shared" si="3"/>
        <v/>
      </c>
    </row>
    <row r="19">
      <c r="A19" s="35">
        <v>19.0</v>
      </c>
      <c r="B19" s="42">
        <v>45482.505833333336</v>
      </c>
      <c r="C19" s="42">
        <v>45482.50680555555</v>
      </c>
      <c r="D19" s="43">
        <v>3.70126401108342E-5</v>
      </c>
      <c r="E19" s="44">
        <v>0.00310906176931007</v>
      </c>
      <c r="F19" s="44">
        <v>1.56885796568949E-6</v>
      </c>
      <c r="G19" s="44">
        <v>1.31784069117917E-4</v>
      </c>
      <c r="H19" s="45">
        <f t="shared" si="1"/>
        <v>83.99999952</v>
      </c>
      <c r="I19" s="45" t="str">
        <f>IFNA(VLOOKUP(A19,표2[#ALL],2, FALSE), "")</f>
        <v/>
      </c>
      <c r="J19" s="46" t="str">
        <f t="shared" si="2"/>
        <v/>
      </c>
      <c r="K19" s="47" t="str">
        <f t="shared" si="3"/>
        <v/>
      </c>
    </row>
    <row r="20">
      <c r="A20" s="35">
        <v>20.0</v>
      </c>
      <c r="B20" s="36">
        <v>45482.508310185185</v>
      </c>
      <c r="C20" s="36">
        <v>45482.509247685186</v>
      </c>
      <c r="D20" s="37">
        <v>4.22150966032622E-5</v>
      </c>
      <c r="E20" s="38">
        <v>0.00341942282486424</v>
      </c>
      <c r="F20" s="38">
        <v>5.14308205269896E-8</v>
      </c>
      <c r="G20" s="38">
        <v>4.16589646268616E-6</v>
      </c>
      <c r="H20" s="39">
        <f t="shared" si="1"/>
        <v>81.00000008</v>
      </c>
      <c r="I20" s="39" t="str">
        <f>IFNA(VLOOKUP(A20,표2[#ALL],2, FALSE), "")</f>
        <v/>
      </c>
      <c r="J20" s="40" t="str">
        <f t="shared" si="2"/>
        <v/>
      </c>
      <c r="K20" s="41" t="str">
        <f t="shared" si="3"/>
        <v/>
      </c>
    </row>
    <row r="21">
      <c r="A21" s="35">
        <v>21.0</v>
      </c>
      <c r="B21" s="42">
        <v>45482.50952546296</v>
      </c>
      <c r="C21" s="42">
        <v>45482.512650462966</v>
      </c>
      <c r="D21" s="43">
        <v>4.21321351310859E-5</v>
      </c>
      <c r="E21" s="44">
        <v>0.0113756764853932</v>
      </c>
      <c r="F21" s="44">
        <v>2.84598850106613E-8</v>
      </c>
      <c r="G21" s="44">
        <v>7.68416895287856E-6</v>
      </c>
      <c r="H21" s="45">
        <f t="shared" si="1"/>
        <v>270.0000003</v>
      </c>
      <c r="I21" s="45" t="str">
        <f>IFNA(VLOOKUP(A21,표2[#ALL],2, FALSE), "")</f>
        <v/>
      </c>
      <c r="J21" s="46" t="str">
        <f t="shared" si="2"/>
        <v/>
      </c>
      <c r="K21" s="47" t="str">
        <f t="shared" si="3"/>
        <v/>
      </c>
    </row>
    <row r="22">
      <c r="A22" s="35">
        <v>22.0</v>
      </c>
      <c r="B22" s="36">
        <v>45482.51349537037</v>
      </c>
      <c r="C22" s="36">
        <v>45482.51511574074</v>
      </c>
      <c r="D22" s="37">
        <v>4.21450443947519E-5</v>
      </c>
      <c r="E22" s="38">
        <v>0.00590030621526527</v>
      </c>
      <c r="F22" s="38">
        <v>4.01818465881626E-8</v>
      </c>
      <c r="G22" s="38">
        <v>5.62545852234277E-6</v>
      </c>
      <c r="H22" s="39">
        <f t="shared" si="1"/>
        <v>140</v>
      </c>
      <c r="I22" s="39" t="str">
        <f>IFNA(VLOOKUP(A22,표2[#ALL],2, FALSE), "")</f>
        <v/>
      </c>
      <c r="J22" s="40" t="str">
        <f t="shared" si="2"/>
        <v/>
      </c>
      <c r="K22" s="41" t="str">
        <f t="shared" si="3"/>
        <v/>
      </c>
    </row>
    <row r="23">
      <c r="A23" s="35">
        <v>23.0</v>
      </c>
      <c r="B23" s="42">
        <v>45482.516597222224</v>
      </c>
      <c r="C23" s="42">
        <v>45482.518912037034</v>
      </c>
      <c r="D23" s="43">
        <v>4.23082290189755E-5</v>
      </c>
      <c r="E23" s="44">
        <v>0.0084616458037951</v>
      </c>
      <c r="F23" s="44">
        <v>3.34972978843552E-8</v>
      </c>
      <c r="G23" s="44">
        <v>6.69945957687103E-6</v>
      </c>
      <c r="H23" s="45">
        <f t="shared" si="1"/>
        <v>199.9999996</v>
      </c>
      <c r="I23" s="45" t="str">
        <f>IFNA(VLOOKUP(A23,표2[#ALL],2, FALSE), "")</f>
        <v/>
      </c>
      <c r="J23" s="46" t="str">
        <f t="shared" si="2"/>
        <v/>
      </c>
      <c r="K23" s="47" t="str">
        <f t="shared" si="3"/>
        <v/>
      </c>
    </row>
    <row r="24">
      <c r="A24" s="35">
        <v>24.0</v>
      </c>
      <c r="B24" s="36">
        <v>45482.52133101852</v>
      </c>
      <c r="C24" s="36">
        <v>45482.522256944445</v>
      </c>
      <c r="D24" s="37">
        <v>4.21133813634628E-5</v>
      </c>
      <c r="E24" s="38">
        <v>0.00336907050907702</v>
      </c>
      <c r="F24" s="38">
        <v>5.82889844009593E-8</v>
      </c>
      <c r="G24" s="38">
        <v>4.66311875207674E-6</v>
      </c>
      <c r="H24" s="39">
        <f t="shared" si="1"/>
        <v>79.99999984</v>
      </c>
      <c r="I24" s="39" t="str">
        <f>IFNA(VLOOKUP(A24,표2[#ALL],2, FALSE), "")</f>
        <v/>
      </c>
      <c r="J24" s="40" t="str">
        <f t="shared" si="2"/>
        <v/>
      </c>
      <c r="K24" s="41" t="str">
        <f t="shared" si="3"/>
        <v/>
      </c>
    </row>
    <row r="25">
      <c r="A25" s="35">
        <v>25.0</v>
      </c>
      <c r="B25" s="42">
        <v>45482.522835648146</v>
      </c>
      <c r="C25" s="42">
        <v>45482.52357638889</v>
      </c>
      <c r="D25" s="43">
        <v>4.19981175304675E-5</v>
      </c>
      <c r="E25" s="44">
        <v>0.00268787952194992</v>
      </c>
      <c r="F25" s="44">
        <v>6.00281736502638E-8</v>
      </c>
      <c r="G25" s="44">
        <v>3.84180311361688E-6</v>
      </c>
      <c r="H25" s="45">
        <f t="shared" si="1"/>
        <v>64.0000005</v>
      </c>
      <c r="I25" s="45" t="str">
        <f>IFNA(VLOOKUP(A25,표2[#ALL],2, FALSE), "")</f>
        <v/>
      </c>
      <c r="J25" s="46" t="str">
        <f t="shared" si="2"/>
        <v/>
      </c>
      <c r="K25" s="47" t="str">
        <f t="shared" si="3"/>
        <v/>
      </c>
    </row>
    <row r="26">
      <c r="A26" s="35">
        <v>26.0</v>
      </c>
      <c r="B26" s="36">
        <v>45482.52408564815</v>
      </c>
      <c r="C26" s="36">
        <v>45482.52457175926</v>
      </c>
      <c r="D26" s="37">
        <v>2.74875071912483E-5</v>
      </c>
      <c r="E26" s="38">
        <v>0.00115447530203243</v>
      </c>
      <c r="F26" s="38">
        <v>3.16672262315251E-6</v>
      </c>
      <c r="G26" s="38">
        <v>1.33002350172405E-4</v>
      </c>
      <c r="H26" s="39">
        <f t="shared" si="1"/>
        <v>42.00000039</v>
      </c>
      <c r="I26" s="39" t="str">
        <f>IFNA(VLOOKUP(A26,표2[#ALL],2, FALSE), "")</f>
        <v/>
      </c>
      <c r="J26" s="40" t="str">
        <f t="shared" si="2"/>
        <v/>
      </c>
      <c r="K26" s="41" t="str">
        <f t="shared" si="3"/>
        <v/>
      </c>
    </row>
    <row r="27">
      <c r="A27" s="35">
        <v>27.0</v>
      </c>
      <c r="B27" s="42">
        <v>45482.525868055556</v>
      </c>
      <c r="C27" s="42">
        <v>45482.530752314815</v>
      </c>
      <c r="D27" s="43">
        <v>4.20892189146802E-5</v>
      </c>
      <c r="E27" s="44">
        <v>0.0177616503819951</v>
      </c>
      <c r="F27" s="44">
        <v>2.24899718699402E-8</v>
      </c>
      <c r="G27" s="44">
        <v>9.49076812911475E-6</v>
      </c>
      <c r="H27" s="45">
        <f t="shared" si="1"/>
        <v>422</v>
      </c>
      <c r="I27" s="45" t="str">
        <f>IFNA(VLOOKUP(A27,표2[#ALL],2, FALSE), "")</f>
        <v/>
      </c>
      <c r="J27" s="46" t="str">
        <f t="shared" si="2"/>
        <v/>
      </c>
      <c r="K27" s="47" t="str">
        <f t="shared" si="3"/>
        <v/>
      </c>
    </row>
    <row r="28">
      <c r="A28" s="35">
        <v>28.0</v>
      </c>
      <c r="B28" s="36">
        <v>45482.53163194445</v>
      </c>
      <c r="C28" s="36">
        <v>45482.532997685186</v>
      </c>
      <c r="D28" s="37">
        <v>3.91701407049856E-5</v>
      </c>
      <c r="E28" s="38">
        <v>0.0046220766031883</v>
      </c>
      <c r="F28" s="38">
        <v>9.79508179668254E-7</v>
      </c>
      <c r="G28" s="38">
        <v>1.15581965200854E-4</v>
      </c>
      <c r="H28" s="39">
        <f t="shared" si="1"/>
        <v>117.9999999</v>
      </c>
      <c r="I28" s="39" t="str">
        <f>IFNA(VLOOKUP(A28,표2[#ALL],2, FALSE), "")</f>
        <v/>
      </c>
      <c r="J28" s="40" t="str">
        <f t="shared" si="2"/>
        <v/>
      </c>
      <c r="K28" s="41" t="str">
        <f t="shared" si="3"/>
        <v/>
      </c>
    </row>
    <row r="29">
      <c r="A29" s="35">
        <v>29.0</v>
      </c>
      <c r="B29" s="42">
        <v>45482.534212962964</v>
      </c>
      <c r="C29" s="42">
        <v>45482.53729166667</v>
      </c>
      <c r="D29" s="43">
        <v>4.05955506693191E-5</v>
      </c>
      <c r="E29" s="44">
        <v>0.0107984164780389</v>
      </c>
      <c r="F29" s="44">
        <v>4.65107371582892E-7</v>
      </c>
      <c r="G29" s="44">
        <v>1.23718560841049E-4</v>
      </c>
      <c r="H29" s="45">
        <f t="shared" si="1"/>
        <v>265.9999999</v>
      </c>
      <c r="I29" s="45" t="str">
        <f>IFNA(VLOOKUP(A29,표2[#ALL],2, FALSE), "")</f>
        <v/>
      </c>
      <c r="J29" s="46" t="str">
        <f t="shared" si="2"/>
        <v/>
      </c>
      <c r="K29" s="47" t="str">
        <f t="shared" si="3"/>
        <v/>
      </c>
    </row>
    <row r="30">
      <c r="A30" s="35">
        <v>30.0</v>
      </c>
      <c r="B30" s="36">
        <v>45482.53773148148</v>
      </c>
      <c r="C30" s="36">
        <v>45482.53842592592</v>
      </c>
      <c r="D30" s="37">
        <v>4.19787325762382E-5</v>
      </c>
      <c r="E30" s="38">
        <v>0.00251872395457429</v>
      </c>
      <c r="F30" s="38">
        <v>6.78099515185102E-8</v>
      </c>
      <c r="G30" s="38">
        <v>4.06859709111061E-6</v>
      </c>
      <c r="H30" s="39">
        <f t="shared" si="1"/>
        <v>59.99999957</v>
      </c>
      <c r="I30" s="39" t="str">
        <f>IFNA(VLOOKUP(A30,표2[#ALL],2, FALSE), "")</f>
        <v/>
      </c>
      <c r="J30" s="40" t="str">
        <f t="shared" si="2"/>
        <v/>
      </c>
      <c r="K30" s="41" t="str">
        <f t="shared" si="3"/>
        <v/>
      </c>
    </row>
    <row r="31">
      <c r="A31" s="35">
        <v>31.0</v>
      </c>
      <c r="B31" s="42">
        <v>45482.54509259259</v>
      </c>
      <c r="C31" s="42">
        <v>45482.54549768518</v>
      </c>
      <c r="D31" s="43">
        <v>2.80709765804445E-5</v>
      </c>
      <c r="E31" s="44">
        <v>9.82484180315559E-4</v>
      </c>
      <c r="F31" s="44">
        <v>3.38663144487584E-6</v>
      </c>
      <c r="G31" s="44">
        <v>1.18532100570654E-4</v>
      </c>
      <c r="H31" s="45">
        <f t="shared" si="1"/>
        <v>35.00000001</v>
      </c>
      <c r="I31" s="45" t="str">
        <f>IFNA(VLOOKUP(A31,표2[#ALL],2, FALSE), "")</f>
        <v/>
      </c>
      <c r="J31" s="46" t="str">
        <f t="shared" si="2"/>
        <v/>
      </c>
      <c r="K31" s="47" t="str">
        <f t="shared" si="3"/>
        <v/>
      </c>
    </row>
    <row r="32">
      <c r="A32" s="35">
        <v>32.0</v>
      </c>
      <c r="B32" s="36">
        <v>45482.54688657408</v>
      </c>
      <c r="C32" s="36">
        <v>45482.54789351852</v>
      </c>
      <c r="D32" s="37">
        <v>3.79051314010506E-5</v>
      </c>
      <c r="E32" s="38">
        <v>0.00329774643189141</v>
      </c>
      <c r="F32" s="38">
        <v>1.30006930371079E-6</v>
      </c>
      <c r="G32" s="38">
        <v>1.13106029422839E-4</v>
      </c>
      <c r="H32" s="39">
        <f t="shared" si="1"/>
        <v>86.99999959</v>
      </c>
      <c r="I32" s="39" t="str">
        <f>IFNA(VLOOKUP(A32,표2[#ALL],2, FALSE), "")</f>
        <v/>
      </c>
      <c r="J32" s="40" t="str">
        <f t="shared" si="2"/>
        <v/>
      </c>
      <c r="K32" s="41" t="str">
        <f t="shared" si="3"/>
        <v/>
      </c>
    </row>
    <row r="33">
      <c r="A33" s="35">
        <v>33.0</v>
      </c>
      <c r="B33" s="42">
        <v>45482.54950231482</v>
      </c>
      <c r="C33" s="42">
        <v>45482.55420138889</v>
      </c>
      <c r="D33" s="43">
        <v>4.08742325005216E-5</v>
      </c>
      <c r="E33" s="44">
        <v>0.0165949383952118</v>
      </c>
      <c r="F33" s="44">
        <v>3.05888001492452E-7</v>
      </c>
      <c r="G33" s="44">
        <v>1.24190528605935E-4</v>
      </c>
      <c r="H33" s="45">
        <f t="shared" si="1"/>
        <v>406</v>
      </c>
      <c r="I33" s="45" t="str">
        <f>IFNA(VLOOKUP(A33,표2[#ALL],2, FALSE), "")</f>
        <v/>
      </c>
      <c r="J33" s="46" t="str">
        <f t="shared" si="2"/>
        <v/>
      </c>
      <c r="K33" s="47" t="str">
        <f t="shared" si="3"/>
        <v/>
      </c>
    </row>
    <row r="34">
      <c r="A34" s="35">
        <v>34.0</v>
      </c>
      <c r="B34" s="36">
        <v>45482.55483796296</v>
      </c>
      <c r="C34" s="36">
        <v>45482.55650462963</v>
      </c>
      <c r="D34" s="37">
        <v>3.85941353378137E-5</v>
      </c>
      <c r="E34" s="38">
        <v>0.00555755548864517</v>
      </c>
      <c r="F34" s="38">
        <v>9.18826092397832E-7</v>
      </c>
      <c r="G34" s="38">
        <v>1.32310957305288E-4</v>
      </c>
      <c r="H34" s="39">
        <f t="shared" si="1"/>
        <v>144.0000003</v>
      </c>
      <c r="I34" s="39" t="str">
        <f>IFNA(VLOOKUP(A34,표2[#ALL],2, FALSE), "")</f>
        <v/>
      </c>
      <c r="J34" s="40" t="str">
        <f t="shared" si="2"/>
        <v/>
      </c>
      <c r="K34" s="41" t="str">
        <f t="shared" si="3"/>
        <v/>
      </c>
    </row>
    <row r="35">
      <c r="A35" s="35">
        <v>35.0</v>
      </c>
      <c r="B35" s="42">
        <v>45482.55773148148</v>
      </c>
      <c r="C35" s="42">
        <v>45482.56349537037</v>
      </c>
      <c r="D35" s="43">
        <v>4.16762572628769E-5</v>
      </c>
      <c r="E35" s="44">
        <v>0.0207547761169127</v>
      </c>
      <c r="F35" s="44">
        <v>2.17402239535067E-8</v>
      </c>
      <c r="G35" s="44">
        <v>1.08266315288463E-5</v>
      </c>
      <c r="H35" s="45">
        <f t="shared" si="1"/>
        <v>498.0000001</v>
      </c>
      <c r="I35" s="45" t="str">
        <f>IFNA(VLOOKUP(A35,표2[#ALL],2, FALSE), "")</f>
        <v/>
      </c>
      <c r="J35" s="46" t="str">
        <f t="shared" si="2"/>
        <v/>
      </c>
      <c r="K35" s="47" t="str">
        <f t="shared" si="3"/>
        <v/>
      </c>
    </row>
    <row r="36">
      <c r="A36" s="35">
        <v>36.0</v>
      </c>
      <c r="B36" s="36">
        <v>45482.563622685186</v>
      </c>
      <c r="C36" s="36">
        <v>45482.564884259256</v>
      </c>
      <c r="D36" s="37">
        <v>3.89639131103056E-5</v>
      </c>
      <c r="E36" s="38">
        <v>0.00424706652902332</v>
      </c>
      <c r="F36" s="38">
        <v>9.80324789692299E-7</v>
      </c>
      <c r="G36" s="38">
        <v>1.06855402076461E-4</v>
      </c>
      <c r="H36" s="39">
        <f t="shared" si="1"/>
        <v>108.9999997</v>
      </c>
      <c r="I36" s="39" t="str">
        <f>IFNA(VLOOKUP(A36,표2[#ALL],2, FALSE), "")</f>
        <v/>
      </c>
      <c r="J36" s="40" t="str">
        <f t="shared" si="2"/>
        <v/>
      </c>
      <c r="K36" s="41" t="str">
        <f t="shared" si="3"/>
        <v/>
      </c>
    </row>
    <row r="37">
      <c r="A37" s="35">
        <v>37.0</v>
      </c>
      <c r="B37" s="42">
        <v>45482.56670138889</v>
      </c>
      <c r="C37" s="42">
        <v>45482.570763888885</v>
      </c>
      <c r="D37" s="43">
        <v>4.16214482584388E-5</v>
      </c>
      <c r="E37" s="44">
        <v>0.014609128338712</v>
      </c>
      <c r="F37" s="44">
        <v>2.55289929789388E-8</v>
      </c>
      <c r="G37" s="44">
        <v>8.9606765356075E-6</v>
      </c>
      <c r="H37" s="45">
        <f t="shared" si="1"/>
        <v>350.9999997</v>
      </c>
      <c r="I37" s="45" t="str">
        <f>IFNA(VLOOKUP(A37,표2[#ALL],2, FALSE), "")</f>
        <v/>
      </c>
      <c r="J37" s="46" t="str">
        <f t="shared" si="2"/>
        <v/>
      </c>
      <c r="K37" s="47" t="str">
        <f t="shared" si="3"/>
        <v/>
      </c>
    </row>
    <row r="38">
      <c r="A38" s="35">
        <v>38.0</v>
      </c>
      <c r="B38" s="36">
        <v>45482.571284722224</v>
      </c>
      <c r="C38" s="36">
        <v>45482.57387731481</v>
      </c>
      <c r="D38" s="37">
        <v>4.0235514935189E-5</v>
      </c>
      <c r="E38" s="38">
        <v>0.00901275534548234</v>
      </c>
      <c r="F38" s="38">
        <v>4.91459292571711E-7</v>
      </c>
      <c r="G38" s="38">
        <v>1.10086881536063E-4</v>
      </c>
      <c r="H38" s="39">
        <f t="shared" si="1"/>
        <v>223.9999996</v>
      </c>
      <c r="I38" s="39" t="str">
        <f>IFNA(VLOOKUP(A38,표2[#ALL],2, FALSE), "")</f>
        <v/>
      </c>
      <c r="J38" s="40" t="str">
        <f t="shared" si="2"/>
        <v/>
      </c>
      <c r="K38" s="41" t="str">
        <f t="shared" si="3"/>
        <v/>
      </c>
    </row>
    <row r="39">
      <c r="A39" s="35">
        <v>39.0</v>
      </c>
      <c r="B39" s="42">
        <v>45482.575150462966</v>
      </c>
      <c r="C39" s="42">
        <v>45482.575891203705</v>
      </c>
      <c r="D39" s="43">
        <v>4.15836030540589E-5</v>
      </c>
      <c r="E39" s="44">
        <v>0.00266135059545977</v>
      </c>
      <c r="F39" s="44">
        <v>6.51489293921962E-8</v>
      </c>
      <c r="G39" s="44">
        <v>4.16953148110055E-6</v>
      </c>
      <c r="H39" s="45">
        <f t="shared" si="1"/>
        <v>63.99999987</v>
      </c>
      <c r="I39" s="45" t="str">
        <f>IFNA(VLOOKUP(A39,표2[#ALL],2, FALSE), "")</f>
        <v/>
      </c>
      <c r="J39" s="46" t="str">
        <f t="shared" si="2"/>
        <v/>
      </c>
      <c r="K39" s="47" t="str">
        <f t="shared" si="3"/>
        <v/>
      </c>
    </row>
    <row r="40">
      <c r="A40" s="35">
        <v>40.0</v>
      </c>
      <c r="B40" s="36">
        <v>45482.57612268518</v>
      </c>
      <c r="C40" s="36">
        <v>45482.577835648146</v>
      </c>
      <c r="D40" s="37">
        <v>4.15366005731917E-5</v>
      </c>
      <c r="E40" s="38">
        <v>0.00614741688483237</v>
      </c>
      <c r="F40" s="38">
        <v>3.83490061110933E-8</v>
      </c>
      <c r="G40" s="38">
        <v>5.67565290444181E-6</v>
      </c>
      <c r="H40" s="39">
        <f t="shared" si="1"/>
        <v>148</v>
      </c>
      <c r="I40" s="39" t="str">
        <f>IFNA(VLOOKUP(A40,표2[#ALL],2, FALSE), "")</f>
        <v/>
      </c>
      <c r="J40" s="40" t="str">
        <f t="shared" si="2"/>
        <v/>
      </c>
      <c r="K40" s="41" t="str">
        <f t="shared" si="3"/>
        <v/>
      </c>
    </row>
    <row r="41">
      <c r="A41" s="35">
        <v>41.0</v>
      </c>
      <c r="B41" s="42">
        <v>45482.57842592592</v>
      </c>
      <c r="C41" s="42">
        <v>45482.57959490741</v>
      </c>
      <c r="D41" s="43">
        <v>4.15457065356126E-5</v>
      </c>
      <c r="E41" s="44">
        <v>0.00419611636009687</v>
      </c>
      <c r="F41" s="44">
        <v>4.83849623026115E-8</v>
      </c>
      <c r="G41" s="44">
        <v>4.88688119256376E-6</v>
      </c>
      <c r="H41" s="45">
        <f t="shared" si="1"/>
        <v>101.0000004</v>
      </c>
      <c r="I41" s="45" t="str">
        <f>IFNA(VLOOKUP(A41,표2[#ALL],2, FALSE), "")</f>
        <v/>
      </c>
      <c r="J41" s="46" t="str">
        <f t="shared" si="2"/>
        <v/>
      </c>
      <c r="K41" s="47" t="str">
        <f t="shared" si="3"/>
        <v/>
      </c>
    </row>
    <row r="42">
      <c r="A42" s="35">
        <v>42.0</v>
      </c>
      <c r="B42" s="36">
        <v>45482.58</v>
      </c>
      <c r="C42" s="36">
        <v>45482.58142361111</v>
      </c>
      <c r="D42" s="37">
        <v>4.15480258251116E-5</v>
      </c>
      <c r="E42" s="38">
        <v>0.00511040717648873</v>
      </c>
      <c r="F42" s="38">
        <v>4.42325660519466E-8</v>
      </c>
      <c r="G42" s="38">
        <v>5.44060562438943E-6</v>
      </c>
      <c r="H42" s="39">
        <f t="shared" si="1"/>
        <v>122.9999998</v>
      </c>
      <c r="I42" s="39" t="str">
        <f>IFNA(VLOOKUP(A42,표2[#ALL],2, FALSE), "")</f>
        <v/>
      </c>
      <c r="J42" s="40" t="str">
        <f t="shared" si="2"/>
        <v/>
      </c>
      <c r="K42" s="41" t="str">
        <f t="shared" si="3"/>
        <v/>
      </c>
    </row>
    <row r="43">
      <c r="A43" s="35">
        <v>43.0</v>
      </c>
      <c r="B43" s="42">
        <v>45482.58184027778</v>
      </c>
      <c r="C43" s="42">
        <v>45482.58267361111</v>
      </c>
      <c r="D43" s="43">
        <v>4.15023683805445E-5</v>
      </c>
      <c r="E43" s="44">
        <v>0.0029881705233992</v>
      </c>
      <c r="F43" s="44">
        <v>5.98311987207903E-8</v>
      </c>
      <c r="G43" s="44">
        <v>4.3078463078969E-6</v>
      </c>
      <c r="H43" s="45">
        <f t="shared" si="1"/>
        <v>71.99999986</v>
      </c>
      <c r="I43" s="45" t="str">
        <f>IFNA(VLOOKUP(A43,표2[#ALL],2, FALSE), "")</f>
        <v/>
      </c>
      <c r="J43" s="46" t="str">
        <f t="shared" si="2"/>
        <v/>
      </c>
      <c r="K43" s="47" t="str">
        <f t="shared" si="3"/>
        <v/>
      </c>
    </row>
    <row r="44">
      <c r="A44" s="35">
        <v>44.0</v>
      </c>
      <c r="B44" s="36">
        <v>45482.58311342593</v>
      </c>
      <c r="C44" s="36">
        <v>45482.58392361111</v>
      </c>
      <c r="D44" s="37">
        <v>4.13983035288605E-5</v>
      </c>
      <c r="E44" s="38">
        <v>0.00289788124702023</v>
      </c>
      <c r="F44" s="38">
        <v>5.49387968560418E-8</v>
      </c>
      <c r="G44" s="38">
        <v>3.84571577992293E-6</v>
      </c>
      <c r="H44" s="39">
        <f t="shared" si="1"/>
        <v>70.00000002</v>
      </c>
      <c r="I44" s="39" t="str">
        <f>IFNA(VLOOKUP(A44,표2[#ALL],2, FALSE), "")</f>
        <v/>
      </c>
      <c r="J44" s="40" t="str">
        <f t="shared" si="2"/>
        <v/>
      </c>
      <c r="K44" s="41" t="str">
        <f t="shared" si="3"/>
        <v/>
      </c>
    </row>
    <row r="45">
      <c r="A45" s="35">
        <v>45.0</v>
      </c>
      <c r="B45" s="42">
        <v>45482.584340277775</v>
      </c>
      <c r="C45" s="42">
        <v>45482.58495370371</v>
      </c>
      <c r="D45" s="43">
        <v>3.48034899418035E-5</v>
      </c>
      <c r="E45" s="44">
        <v>0.00184458496691558</v>
      </c>
      <c r="F45" s="44">
        <v>2.0891093714999E-6</v>
      </c>
      <c r="G45" s="44">
        <v>1.10722796689495E-4</v>
      </c>
      <c r="H45" s="45">
        <f t="shared" si="1"/>
        <v>53.00000045</v>
      </c>
      <c r="I45" s="45" t="str">
        <f>IFNA(VLOOKUP(A45,표2[#ALL],2, FALSE), "")</f>
        <v/>
      </c>
      <c r="J45" s="46" t="str">
        <f t="shared" si="2"/>
        <v/>
      </c>
      <c r="K45" s="47" t="str">
        <f t="shared" si="3"/>
        <v/>
      </c>
    </row>
    <row r="46">
      <c r="A46" s="35">
        <v>46.0</v>
      </c>
      <c r="B46" s="36">
        <v>45482.58657407408</v>
      </c>
      <c r="C46" s="36">
        <v>45482.597708333335</v>
      </c>
      <c r="D46" s="37">
        <v>4.14428848401353E-5</v>
      </c>
      <c r="E46" s="38">
        <v>0.0398680552162102</v>
      </c>
      <c r="F46" s="38">
        <v>1.50538393908307E-8</v>
      </c>
      <c r="G46" s="38">
        <v>1.44817934939791E-5</v>
      </c>
      <c r="H46" s="39">
        <f t="shared" si="1"/>
        <v>961.9999998</v>
      </c>
      <c r="I46" s="39" t="str">
        <f>IFNA(VLOOKUP(A46,표2[#ALL],2, FALSE), "")</f>
        <v/>
      </c>
      <c r="J46" s="40" t="str">
        <f t="shared" si="2"/>
        <v/>
      </c>
      <c r="K46" s="41" t="str">
        <f t="shared" si="3"/>
        <v/>
      </c>
    </row>
    <row r="47">
      <c r="A47" s="35">
        <v>47.0</v>
      </c>
      <c r="B47" s="42">
        <v>45482.59983796296</v>
      </c>
      <c r="C47" s="42">
        <v>45482.60078703704</v>
      </c>
      <c r="D47" s="43">
        <v>2.27554181678127E-5</v>
      </c>
      <c r="E47" s="44">
        <v>0.00186594428976064</v>
      </c>
      <c r="F47" s="44">
        <v>2.30765998814883E-6</v>
      </c>
      <c r="G47" s="44">
        <v>1.89228119028204E-4</v>
      </c>
      <c r="H47" s="45">
        <f t="shared" si="1"/>
        <v>82.00000031</v>
      </c>
      <c r="I47" s="45" t="str">
        <f>IFNA(VLOOKUP(A47,표2[#ALL],2, FALSE), "")</f>
        <v/>
      </c>
      <c r="J47" s="46" t="str">
        <f t="shared" si="2"/>
        <v/>
      </c>
      <c r="K47" s="47" t="str">
        <f t="shared" si="3"/>
        <v/>
      </c>
    </row>
    <row r="48">
      <c r="A48" s="35">
        <v>48.0</v>
      </c>
      <c r="B48" s="36">
        <v>45482.601377314815</v>
      </c>
      <c r="C48" s="36">
        <v>45482.6040625</v>
      </c>
      <c r="D48" s="37">
        <v>4.15123495341926E-5</v>
      </c>
      <c r="E48" s="38">
        <v>0.00963086509193267</v>
      </c>
      <c r="F48" s="38">
        <v>3.05940428673422E-8</v>
      </c>
      <c r="G48" s="38">
        <v>7.09781794522338E-6</v>
      </c>
      <c r="H48" s="39">
        <f t="shared" si="1"/>
        <v>232.0000002</v>
      </c>
      <c r="I48" s="39" t="str">
        <f>IFNA(VLOOKUP(A48,표2[#ALL],2, FALSE), "")</f>
        <v/>
      </c>
      <c r="J48" s="40" t="str">
        <f t="shared" si="2"/>
        <v/>
      </c>
      <c r="K48" s="41" t="str">
        <f t="shared" si="3"/>
        <v/>
      </c>
    </row>
    <row r="49">
      <c r="A49" s="35">
        <v>49.0</v>
      </c>
      <c r="B49" s="42">
        <v>45482.60563657407</v>
      </c>
      <c r="C49" s="42">
        <v>45482.61048611111</v>
      </c>
      <c r="D49" s="43">
        <v>4.13821256168067E-5</v>
      </c>
      <c r="E49" s="44">
        <v>0.017339110633442</v>
      </c>
      <c r="F49" s="44">
        <v>2.42353133183971E-8</v>
      </c>
      <c r="G49" s="44">
        <v>1.01545962804084E-5</v>
      </c>
      <c r="H49" s="45">
        <f t="shared" si="1"/>
        <v>418.9999999</v>
      </c>
      <c r="I49" s="45" t="str">
        <f>IFNA(VLOOKUP(A49,표2[#ALL],2, FALSE), "")</f>
        <v/>
      </c>
      <c r="J49" s="46" t="str">
        <f t="shared" si="2"/>
        <v/>
      </c>
      <c r="K49" s="47" t="str">
        <f t="shared" si="3"/>
        <v/>
      </c>
    </row>
    <row r="50">
      <c r="A50" s="35">
        <v>50.0</v>
      </c>
      <c r="B50" s="36">
        <v>45482.61740740741</v>
      </c>
      <c r="C50" s="36">
        <v>45482.620891203704</v>
      </c>
      <c r="D50" s="37">
        <v>4.12458165445688E-5</v>
      </c>
      <c r="E50" s="38">
        <v>0.0124149907799152</v>
      </c>
      <c r="F50" s="38">
        <v>2.72157427978126E-8</v>
      </c>
      <c r="G50" s="38">
        <v>8.1919385821416E-6</v>
      </c>
      <c r="H50" s="39">
        <f t="shared" si="1"/>
        <v>301</v>
      </c>
      <c r="I50" s="39" t="str">
        <f>IFNA(VLOOKUP(A50,표2[#ALL],2, FALSE), "")</f>
        <v/>
      </c>
      <c r="J50" s="40" t="str">
        <f t="shared" si="2"/>
        <v/>
      </c>
      <c r="K50" s="41" t="str">
        <f t="shared" si="3"/>
        <v/>
      </c>
    </row>
    <row r="51">
      <c r="A51" s="35">
        <v>51.0</v>
      </c>
      <c r="B51" s="42">
        <v>45482.62125</v>
      </c>
      <c r="C51" s="42">
        <v>45482.62527777778</v>
      </c>
      <c r="D51" s="43">
        <v>4.0116202485434E-5</v>
      </c>
      <c r="E51" s="44">
        <v>0.013960438464931</v>
      </c>
      <c r="F51" s="44">
        <v>3.54534661661014E-7</v>
      </c>
      <c r="G51" s="44">
        <v>1.23378062258033E-4</v>
      </c>
      <c r="H51" s="45">
        <f t="shared" si="1"/>
        <v>348.0000003</v>
      </c>
      <c r="I51" s="45" t="str">
        <f>IFNA(VLOOKUP(A51,표2[#ALL],2, FALSE), "")</f>
        <v/>
      </c>
      <c r="J51" s="46" t="str">
        <f t="shared" si="2"/>
        <v/>
      </c>
      <c r="K51" s="47" t="str">
        <f t="shared" si="3"/>
        <v/>
      </c>
    </row>
    <row r="52">
      <c r="A52" s="35">
        <v>52.0</v>
      </c>
      <c r="B52" s="36">
        <v>45482.6277662037</v>
      </c>
      <c r="C52" s="36">
        <v>45482.62819444444</v>
      </c>
      <c r="D52" s="37">
        <v>2.86950431275245E-5</v>
      </c>
      <c r="E52" s="38">
        <v>0.00106171659571841</v>
      </c>
      <c r="F52" s="38">
        <v>3.16424498226277E-6</v>
      </c>
      <c r="G52" s="38">
        <v>1.17077064343723E-4</v>
      </c>
      <c r="H52" s="39">
        <f t="shared" si="1"/>
        <v>36.99999985</v>
      </c>
      <c r="I52" s="39" t="str">
        <f>IFNA(VLOOKUP(A52,표2[#ALL],2, FALSE), "")</f>
        <v/>
      </c>
      <c r="J52" s="40" t="str">
        <f t="shared" si="2"/>
        <v/>
      </c>
      <c r="K52" s="41" t="str">
        <f t="shared" si="3"/>
        <v/>
      </c>
    </row>
    <row r="53">
      <c r="A53" s="35">
        <v>53.0</v>
      </c>
      <c r="B53" s="42">
        <v>45482.62981481481</v>
      </c>
      <c r="C53" s="42">
        <v>45482.63552083333</v>
      </c>
      <c r="D53" s="43">
        <v>4.04540060950997E-5</v>
      </c>
      <c r="E53" s="44">
        <v>0.0199438250048842</v>
      </c>
      <c r="F53" s="44">
        <v>2.49403775140477E-7</v>
      </c>
      <c r="G53" s="44">
        <v>1.22956061144255E-4</v>
      </c>
      <c r="H53" s="45">
        <f t="shared" si="1"/>
        <v>493.0000002</v>
      </c>
      <c r="I53" s="45" t="str">
        <f>IFNA(VLOOKUP(A53,표2[#ALL],2, FALSE), "")</f>
        <v/>
      </c>
      <c r="J53" s="46" t="str">
        <f t="shared" si="2"/>
        <v/>
      </c>
      <c r="K53" s="47" t="str">
        <f t="shared" si="3"/>
        <v/>
      </c>
    </row>
    <row r="54">
      <c r="A54" s="35">
        <v>54.0</v>
      </c>
      <c r="B54" s="36">
        <v>45482.63662037037</v>
      </c>
      <c r="C54" s="36">
        <v>45482.63731481481</v>
      </c>
      <c r="D54" s="37">
        <v>4.1181050333031E-5</v>
      </c>
      <c r="E54" s="38">
        <v>0.00247086301998186</v>
      </c>
      <c r="F54" s="38">
        <v>6.06160975543375E-8</v>
      </c>
      <c r="G54" s="38">
        <v>3.63696585326025E-6</v>
      </c>
      <c r="H54" s="39">
        <f t="shared" si="1"/>
        <v>59.99999957</v>
      </c>
      <c r="I54" s="39" t="str">
        <f>IFNA(VLOOKUP(A54,표2[#ALL],2, FALSE), "")</f>
        <v/>
      </c>
      <c r="J54" s="40" t="str">
        <f t="shared" si="2"/>
        <v/>
      </c>
      <c r="K54" s="41" t="str">
        <f t="shared" si="3"/>
        <v/>
      </c>
    </row>
    <row r="55">
      <c r="A55" s="35">
        <v>55.0</v>
      </c>
      <c r="B55" s="42">
        <v>45482.63949074074</v>
      </c>
      <c r="C55" s="42">
        <v>45482.64292824074</v>
      </c>
      <c r="D55" s="43">
        <v>4.12067541995412E-5</v>
      </c>
      <c r="E55" s="44">
        <v>0.0122384059972637</v>
      </c>
      <c r="F55" s="44">
        <v>2.66321162286674E-8</v>
      </c>
      <c r="G55" s="44">
        <v>7.9097385199142E-6</v>
      </c>
      <c r="H55" s="45">
        <f t="shared" si="1"/>
        <v>297.0000003</v>
      </c>
      <c r="I55" s="45" t="str">
        <f>IFNA(VLOOKUP(A55,표2[#ALL],2, FALSE), "")</f>
        <v/>
      </c>
      <c r="J55" s="46" t="str">
        <f t="shared" si="2"/>
        <v/>
      </c>
      <c r="K55" s="47" t="str">
        <f t="shared" si="3"/>
        <v/>
      </c>
    </row>
    <row r="56">
      <c r="A56" s="35">
        <v>56.0</v>
      </c>
      <c r="B56" s="36">
        <v>45482.643796296295</v>
      </c>
      <c r="C56" s="36">
        <v>45482.64476851852</v>
      </c>
      <c r="D56" s="37">
        <v>3.0490851215319E-5</v>
      </c>
      <c r="E56" s="38">
        <v>0.0025612315020868</v>
      </c>
      <c r="F56" s="38">
        <v>1.99264342041745E-6</v>
      </c>
      <c r="G56" s="38">
        <v>1.67382047315066E-4</v>
      </c>
      <c r="H56" s="39">
        <f t="shared" si="1"/>
        <v>84.00000015</v>
      </c>
      <c r="I56" s="39" t="str">
        <f>IFNA(VLOOKUP(A56,표2[#ALL],2, FALSE), "")</f>
        <v/>
      </c>
      <c r="J56" s="40" t="str">
        <f t="shared" si="2"/>
        <v/>
      </c>
      <c r="K56" s="41" t="str">
        <f t="shared" si="3"/>
        <v/>
      </c>
    </row>
    <row r="57">
      <c r="A57" s="35">
        <v>57.0</v>
      </c>
      <c r="B57" s="42">
        <v>45482.646828703706</v>
      </c>
      <c r="C57" s="42">
        <v>45482.655335648145</v>
      </c>
      <c r="D57" s="43">
        <v>4.11958690009428E-5</v>
      </c>
      <c r="E57" s="44">
        <v>0.030278963715693</v>
      </c>
      <c r="F57" s="44">
        <v>1.70829958142167E-8</v>
      </c>
      <c r="G57" s="44">
        <v>1.25560019234493E-5</v>
      </c>
      <c r="H57" s="45">
        <f t="shared" si="1"/>
        <v>734.9999996</v>
      </c>
      <c r="I57" s="45" t="str">
        <f>IFNA(VLOOKUP(A57,표2[#ALL],2, FALSE), "")</f>
        <v/>
      </c>
      <c r="J57" s="46" t="str">
        <f t="shared" si="2"/>
        <v/>
      </c>
      <c r="K57" s="47" t="str">
        <f t="shared" si="3"/>
        <v/>
      </c>
    </row>
    <row r="58">
      <c r="A58" s="35">
        <v>58.0</v>
      </c>
      <c r="B58" s="36">
        <v>45482.65791666666</v>
      </c>
      <c r="C58" s="36">
        <v>45482.66207175926</v>
      </c>
      <c r="D58" s="37">
        <v>4.11179319387168E-5</v>
      </c>
      <c r="E58" s="38">
        <v>0.0147613375659993</v>
      </c>
      <c r="F58" s="38">
        <v>2.83427939895158E-8</v>
      </c>
      <c r="G58" s="38">
        <v>1.01750630422362E-5</v>
      </c>
      <c r="H58" s="39">
        <f t="shared" si="1"/>
        <v>359.0000003</v>
      </c>
      <c r="I58" s="39" t="str">
        <f>IFNA(VLOOKUP(A58,표2[#ALL],2, FALSE), "")</f>
        <v/>
      </c>
      <c r="J58" s="40" t="str">
        <f t="shared" si="2"/>
        <v/>
      </c>
      <c r="K58" s="41" t="str">
        <f t="shared" si="3"/>
        <v/>
      </c>
    </row>
    <row r="59">
      <c r="A59" s="35">
        <v>59.0</v>
      </c>
      <c r="B59" s="42">
        <v>45482.663611111115</v>
      </c>
      <c r="C59" s="42">
        <v>45482.66427083333</v>
      </c>
      <c r="D59" s="43">
        <v>4.10764643950451E-5</v>
      </c>
      <c r="E59" s="44">
        <v>0.00234135847051757</v>
      </c>
      <c r="F59" s="44">
        <v>7.36302779102679E-8</v>
      </c>
      <c r="G59" s="44">
        <v>4.19692584088527E-6</v>
      </c>
      <c r="H59" s="45">
        <f t="shared" si="1"/>
        <v>56.99999949</v>
      </c>
      <c r="I59" s="45" t="str">
        <f>IFNA(VLOOKUP(A59,표2[#ALL],2, FALSE), "")</f>
        <v/>
      </c>
      <c r="J59" s="46" t="str">
        <f t="shared" si="2"/>
        <v/>
      </c>
      <c r="K59" s="47" t="str">
        <f t="shared" si="3"/>
        <v/>
      </c>
    </row>
    <row r="60">
      <c r="A60" s="35">
        <v>60.0</v>
      </c>
      <c r="B60" s="36">
        <v>45482.66511574074</v>
      </c>
      <c r="C60" s="36">
        <v>45482.66648148148</v>
      </c>
      <c r="D60" s="37">
        <v>3.85081425875677E-5</v>
      </c>
      <c r="E60" s="38">
        <v>0.00454396082533299</v>
      </c>
      <c r="F60" s="38">
        <v>9.38791371239829E-7</v>
      </c>
      <c r="G60" s="38">
        <v>1.107773818063E-4</v>
      </c>
      <c r="H60" s="39">
        <f t="shared" si="1"/>
        <v>117.9999999</v>
      </c>
      <c r="I60" s="39" t="str">
        <f>IFNA(VLOOKUP(A60,표2[#ALL],2, FALSE), "")</f>
        <v/>
      </c>
      <c r="J60" s="40" t="str">
        <f t="shared" si="2"/>
        <v/>
      </c>
      <c r="K60" s="41" t="str">
        <f t="shared" si="3"/>
        <v/>
      </c>
    </row>
    <row r="61">
      <c r="A61" s="35">
        <v>61.0</v>
      </c>
      <c r="B61" s="42">
        <v>45482.66856481481</v>
      </c>
      <c r="C61" s="42">
        <v>45482.67267361111</v>
      </c>
      <c r="D61" s="43">
        <v>4.11167876150387E-5</v>
      </c>
      <c r="E61" s="44">
        <v>0.0145964596033387</v>
      </c>
      <c r="F61" s="44">
        <v>2.9851305524828E-8</v>
      </c>
      <c r="G61" s="44">
        <v>1.05972134613139E-5</v>
      </c>
      <c r="H61" s="45">
        <f t="shared" si="1"/>
        <v>355</v>
      </c>
      <c r="I61" s="45" t="str">
        <f>IFNA(VLOOKUP(A61,표2[#ALL],2, FALSE), "")</f>
        <v/>
      </c>
      <c r="J61" s="46" t="str">
        <f t="shared" si="2"/>
        <v/>
      </c>
      <c r="K61" s="47" t="str">
        <f t="shared" si="3"/>
        <v/>
      </c>
    </row>
    <row r="62">
      <c r="A62" s="35">
        <v>62.0</v>
      </c>
      <c r="B62" s="36">
        <v>45482.6727662037</v>
      </c>
      <c r="C62" s="36">
        <v>45482.67599537037</v>
      </c>
      <c r="D62" s="37">
        <v>4.11659024791461E-5</v>
      </c>
      <c r="E62" s="38">
        <v>0.0114852867916818</v>
      </c>
      <c r="F62" s="38">
        <v>3.00119549755156E-8</v>
      </c>
      <c r="G62" s="38">
        <v>8.37333543816885E-6</v>
      </c>
      <c r="H62" s="39">
        <f t="shared" si="1"/>
        <v>279.0000005</v>
      </c>
      <c r="I62" s="39" t="str">
        <f>IFNA(VLOOKUP(A62,표2[#ALL],2, FALSE), "")</f>
        <v/>
      </c>
      <c r="J62" s="40" t="str">
        <f t="shared" si="2"/>
        <v/>
      </c>
      <c r="K62" s="41" t="str">
        <f t="shared" si="3"/>
        <v/>
      </c>
    </row>
    <row r="63">
      <c r="A63" s="35">
        <v>63.0</v>
      </c>
      <c r="B63" s="42">
        <v>45482.676875</v>
      </c>
      <c r="C63" s="42">
        <v>45482.678877314815</v>
      </c>
      <c r="D63" s="43">
        <v>3.94354524771747E-5</v>
      </c>
      <c r="E63" s="44">
        <v>0.00682233327855122</v>
      </c>
      <c r="F63" s="44">
        <v>6.20579073853127E-7</v>
      </c>
      <c r="G63" s="44">
        <v>1.07360179776591E-4</v>
      </c>
      <c r="H63" s="45">
        <f t="shared" si="1"/>
        <v>173.0000002</v>
      </c>
      <c r="I63" s="45" t="str">
        <f>IFNA(VLOOKUP(A63,표2[#ALL],2, FALSE), "")</f>
        <v/>
      </c>
      <c r="J63" s="46" t="str">
        <f t="shared" si="2"/>
        <v/>
      </c>
      <c r="K63" s="47" t="str">
        <f t="shared" si="3"/>
        <v/>
      </c>
    </row>
    <row r="64">
      <c r="A64" s="35">
        <v>64.0</v>
      </c>
      <c r="B64" s="36">
        <v>45482.68009259259</v>
      </c>
      <c r="C64" s="36">
        <v>45482.681342592594</v>
      </c>
      <c r="D64" s="37">
        <v>3.67660781624761E-5</v>
      </c>
      <c r="E64" s="38">
        <v>0.00397073644154742</v>
      </c>
      <c r="F64" s="38">
        <v>1.23216080249904E-6</v>
      </c>
      <c r="G64" s="38">
        <v>1.33073366669897E-4</v>
      </c>
      <c r="H64" s="39">
        <f t="shared" si="1"/>
        <v>108.0000001</v>
      </c>
      <c r="I64" s="39" t="str">
        <f>IFNA(VLOOKUP(A64,표2[#ALL],2, FALSE), "")</f>
        <v/>
      </c>
      <c r="J64" s="40" t="str">
        <f t="shared" si="2"/>
        <v/>
      </c>
      <c r="K64" s="41" t="str">
        <f t="shared" si="3"/>
        <v/>
      </c>
    </row>
    <row r="65">
      <c r="A65" s="35">
        <v>65.0</v>
      </c>
      <c r="B65" s="42">
        <v>45482.68177083333</v>
      </c>
      <c r="C65" s="42">
        <v>45482.68581018518</v>
      </c>
      <c r="D65" s="43">
        <v>4.11335824827807E-5</v>
      </c>
      <c r="E65" s="44">
        <v>0.0143556202864905</v>
      </c>
      <c r="F65" s="44">
        <v>2.7090226565438E-8</v>
      </c>
      <c r="G65" s="44">
        <v>9.45448907133785E-6</v>
      </c>
      <c r="H65" s="45">
        <f t="shared" si="1"/>
        <v>348.9999999</v>
      </c>
      <c r="I65" s="45" t="str">
        <f>IFNA(VLOOKUP(A65,표2[#ALL],2, FALSE), "")</f>
        <v/>
      </c>
      <c r="J65" s="46" t="str">
        <f t="shared" si="2"/>
        <v/>
      </c>
      <c r="K65" s="47" t="str">
        <f t="shared" si="3"/>
        <v/>
      </c>
    </row>
    <row r="66">
      <c r="A66" s="35">
        <v>66.0</v>
      </c>
      <c r="B66" s="36">
        <v>45482.68587962963</v>
      </c>
      <c r="C66" s="36">
        <v>45482.68601851852</v>
      </c>
      <c r="D66" s="37">
        <v>8.35963857446711E-6</v>
      </c>
      <c r="E66" s="38">
        <v>1.00315662893605E-4</v>
      </c>
      <c r="F66" s="38">
        <v>4.91263764781608E-6</v>
      </c>
      <c r="G66" s="38">
        <v>5.8951651773793E-5</v>
      </c>
      <c r="H66" s="39">
        <f t="shared" si="1"/>
        <v>12.00000029</v>
      </c>
      <c r="I66" s="39" t="str">
        <f>IFNA(VLOOKUP(A66,표2[#ALL],2, FALSE), "")</f>
        <v/>
      </c>
      <c r="J66" s="40" t="str">
        <f t="shared" si="2"/>
        <v/>
      </c>
      <c r="K66" s="41" t="str">
        <f t="shared" si="3"/>
        <v/>
      </c>
    </row>
    <row r="67">
      <c r="A67" s="35">
        <v>67.0</v>
      </c>
      <c r="B67" s="42">
        <v>45482.68753472222</v>
      </c>
      <c r="C67" s="42">
        <v>45482.69106481481</v>
      </c>
      <c r="D67" s="43">
        <v>4.10670891564931E-5</v>
      </c>
      <c r="E67" s="44">
        <v>0.0125254621927304</v>
      </c>
      <c r="F67" s="44">
        <v>3.26259778912448E-8</v>
      </c>
      <c r="G67" s="44">
        <v>9.95092325682967E-6</v>
      </c>
      <c r="H67" s="45">
        <f t="shared" si="1"/>
        <v>304.9999996</v>
      </c>
      <c r="I67" s="45" t="str">
        <f>IFNA(VLOOKUP(A67,표2[#ALL],2, FALSE), "")</f>
        <v/>
      </c>
      <c r="J67" s="46" t="str">
        <f t="shared" si="2"/>
        <v/>
      </c>
      <c r="K67" s="47" t="str">
        <f t="shared" si="3"/>
        <v/>
      </c>
    </row>
    <row r="68">
      <c r="A68" s="35">
        <v>68.0</v>
      </c>
      <c r="B68" s="36">
        <v>45482.69331018518</v>
      </c>
      <c r="C68" s="36">
        <v>45482.69943287037</v>
      </c>
      <c r="D68" s="37">
        <v>4.10857462292614E-5</v>
      </c>
      <c r="E68" s="38">
        <v>0.0217343597552793</v>
      </c>
      <c r="F68" s="38">
        <v>2.36080659399955E-8</v>
      </c>
      <c r="G68" s="38">
        <v>1.24886668822576E-5</v>
      </c>
      <c r="H68" s="39">
        <f t="shared" si="1"/>
        <v>529.0000004</v>
      </c>
      <c r="I68" s="39" t="str">
        <f>IFNA(VLOOKUP(A68,표2[#ALL],2, FALSE), "")</f>
        <v/>
      </c>
      <c r="J68" s="40" t="str">
        <f t="shared" si="2"/>
        <v/>
      </c>
      <c r="K68" s="41" t="str">
        <f t="shared" si="3"/>
        <v/>
      </c>
    </row>
    <row r="69">
      <c r="A69" s="35">
        <v>69.0</v>
      </c>
      <c r="B69" s="42">
        <v>45482.70798611111</v>
      </c>
      <c r="C69" s="42">
        <v>45482.721712962964</v>
      </c>
      <c r="D69" s="43">
        <v>4.07561657064819E-5</v>
      </c>
      <c r="E69" s="44">
        <v>0.0483368125278875</v>
      </c>
      <c r="F69" s="44">
        <v>7.79474730834956E-8</v>
      </c>
      <c r="G69" s="44">
        <v>9.24457030770257E-5</v>
      </c>
      <c r="H69" s="45">
        <f t="shared" si="1"/>
        <v>1186</v>
      </c>
      <c r="I69" s="45" t="str">
        <f>IFNA(VLOOKUP(A69,표2[#ALL],2, FALSE), "")</f>
        <v/>
      </c>
      <c r="J69" s="46" t="str">
        <f t="shared" si="2"/>
        <v/>
      </c>
      <c r="K69" s="47" t="str">
        <f t="shared" si="3"/>
        <v/>
      </c>
    </row>
    <row r="70">
      <c r="A70" s="35">
        <v>70.0</v>
      </c>
      <c r="B70" s="36">
        <v>45482.72975694444</v>
      </c>
      <c r="C70" s="36">
        <v>45482.73400462963</v>
      </c>
      <c r="D70" s="37">
        <v>3.76682850497843E-5</v>
      </c>
      <c r="E70" s="38">
        <v>0.0138242606132708</v>
      </c>
      <c r="F70" s="38">
        <v>4.66377531425827E-7</v>
      </c>
      <c r="G70" s="38">
        <v>1.71160554033279E-4</v>
      </c>
      <c r="H70" s="39">
        <f t="shared" si="1"/>
        <v>367.0000003</v>
      </c>
      <c r="I70" s="39" t="str">
        <f>IFNA(VLOOKUP(A70,표2[#ALL],2, FALSE), "")</f>
        <v/>
      </c>
      <c r="J70" s="40" t="str">
        <f t="shared" si="2"/>
        <v/>
      </c>
      <c r="K70" s="41" t="str">
        <f t="shared" si="3"/>
        <v/>
      </c>
    </row>
    <row r="71">
      <c r="A71" s="35">
        <v>71.0</v>
      </c>
      <c r="B71" s="42">
        <v>45482.73563657407</v>
      </c>
      <c r="C71" s="42">
        <v>45482.73719907407</v>
      </c>
      <c r="D71" s="43">
        <v>3.81371940935793E-5</v>
      </c>
      <c r="E71" s="44">
        <v>0.0051485212026332</v>
      </c>
      <c r="F71" s="44">
        <v>6.920892162332E-7</v>
      </c>
      <c r="G71" s="44">
        <v>9.3432044191482E-5</v>
      </c>
      <c r="H71" s="45">
        <f t="shared" si="1"/>
        <v>135.0000001</v>
      </c>
      <c r="I71" s="45" t="str">
        <f>IFNA(VLOOKUP(A71,표2[#ALL],2, FALSE), "")</f>
        <v/>
      </c>
      <c r="J71" s="46" t="str">
        <f t="shared" si="2"/>
        <v/>
      </c>
      <c r="K71" s="47" t="str">
        <f t="shared" si="3"/>
        <v/>
      </c>
    </row>
    <row r="72">
      <c r="A72" s="35">
        <v>72.0</v>
      </c>
      <c r="B72" s="36">
        <v>45482.7377662037</v>
      </c>
      <c r="C72" s="36">
        <v>45482.74592592593</v>
      </c>
      <c r="D72" s="37">
        <v>3.93870475246499E-5</v>
      </c>
      <c r="E72" s="38">
        <v>0.0277678685048782</v>
      </c>
      <c r="F72" s="38">
        <v>1.65984849229688E-7</v>
      </c>
      <c r="G72" s="38">
        <v>1.1701931870693E-4</v>
      </c>
      <c r="H72" s="39">
        <f t="shared" si="1"/>
        <v>705.0000001</v>
      </c>
      <c r="I72" s="39" t="str">
        <f>IFNA(VLOOKUP(A72,표2[#ALL],2, FALSE), "")</f>
        <v/>
      </c>
      <c r="J72" s="40" t="str">
        <f t="shared" si="2"/>
        <v/>
      </c>
      <c r="K72" s="41" t="str">
        <f t="shared" si="3"/>
        <v/>
      </c>
    </row>
    <row r="73">
      <c r="A73" s="35">
        <v>73.0</v>
      </c>
      <c r="B73" s="42">
        <v>45482.74729166667</v>
      </c>
      <c r="C73" s="42">
        <v>45482.74967592592</v>
      </c>
      <c r="D73" s="43">
        <v>3.80828993890398E-5</v>
      </c>
      <c r="E73" s="44">
        <v>0.00784507727414219</v>
      </c>
      <c r="F73" s="44">
        <v>6.28648476926897E-7</v>
      </c>
      <c r="G73" s="44">
        <v>1.29501586246941E-4</v>
      </c>
      <c r="H73" s="45">
        <f t="shared" si="1"/>
        <v>205.9999997</v>
      </c>
      <c r="I73" s="45" t="str">
        <f>IFNA(VLOOKUP(A73,표2[#ALL],2, FALSE), "")</f>
        <v/>
      </c>
      <c r="J73" s="46" t="str">
        <f t="shared" si="2"/>
        <v/>
      </c>
      <c r="K73" s="47" t="str">
        <f t="shared" si="3"/>
        <v/>
      </c>
    </row>
    <row r="74">
      <c r="A74" s="35">
        <v>74.0</v>
      </c>
      <c r="B74" s="36">
        <v>45483.57975694445</v>
      </c>
      <c r="C74" s="36">
        <v>45483.58354166667</v>
      </c>
      <c r="D74" s="37">
        <v>3.82396413008574E-5</v>
      </c>
      <c r="E74" s="38">
        <v>0.0125043627053804</v>
      </c>
      <c r="F74" s="38">
        <v>3.35533009342133E-7</v>
      </c>
      <c r="G74" s="38">
        <v>1.09719294054877E-4</v>
      </c>
      <c r="H74" s="39">
        <f t="shared" si="1"/>
        <v>326.9999997</v>
      </c>
      <c r="I74" s="39" t="str">
        <f>IFNA(VLOOKUP(A74,표2[#ALL],2, FALSE), "")</f>
        <v/>
      </c>
      <c r="J74" s="40" t="str">
        <f t="shared" si="2"/>
        <v/>
      </c>
      <c r="K74" s="41" t="str">
        <f t="shared" si="3"/>
        <v/>
      </c>
    </row>
    <row r="75">
      <c r="A75" s="35">
        <v>75.0</v>
      </c>
      <c r="B75" s="42">
        <v>45483.585324074076</v>
      </c>
      <c r="C75" s="42">
        <v>45483.60204861111</v>
      </c>
      <c r="D75" s="43">
        <v>3.89296042940229E-5</v>
      </c>
      <c r="E75" s="44">
        <v>0.0562532782048631</v>
      </c>
      <c r="F75" s="44">
        <v>8.70842287884256E-8</v>
      </c>
      <c r="G75" s="44">
        <v>1.25836710599275E-4</v>
      </c>
      <c r="H75" s="45">
        <f t="shared" si="1"/>
        <v>1445</v>
      </c>
      <c r="I75" s="45" t="str">
        <f>IFNA(VLOOKUP(A75,표2[#ALL],2, FALSE), "")</f>
        <v/>
      </c>
      <c r="J75" s="46" t="str">
        <f t="shared" si="2"/>
        <v/>
      </c>
      <c r="K75" s="47" t="str">
        <f t="shared" si="3"/>
        <v/>
      </c>
    </row>
    <row r="76">
      <c r="A76" s="35">
        <v>76.0</v>
      </c>
      <c r="B76" s="36">
        <v>45483.60361111111</v>
      </c>
      <c r="C76" s="36">
        <v>45483.612337962964</v>
      </c>
      <c r="D76" s="37">
        <v>3.94242966243768E-5</v>
      </c>
      <c r="E76" s="38">
        <v>0.0297259196547801</v>
      </c>
      <c r="F76" s="38">
        <v>1.6020543713417E-7</v>
      </c>
      <c r="G76" s="38">
        <v>1.20794899599164E-4</v>
      </c>
      <c r="H76" s="39">
        <f t="shared" si="1"/>
        <v>754.0000002</v>
      </c>
      <c r="I76" s="39" t="str">
        <f>IFNA(VLOOKUP(A76,표2[#ALL],2, FALSE), "")</f>
        <v/>
      </c>
      <c r="J76" s="40" t="str">
        <f t="shared" si="2"/>
        <v/>
      </c>
      <c r="K76" s="41" t="str">
        <f t="shared" si="3"/>
        <v/>
      </c>
    </row>
    <row r="77">
      <c r="A77" s="35">
        <v>77.0</v>
      </c>
      <c r="B77" s="42">
        <v>45483.6244212963</v>
      </c>
      <c r="C77" s="42">
        <v>45483.628287037034</v>
      </c>
      <c r="D77" s="43">
        <v>3.95310985746253E-5</v>
      </c>
      <c r="E77" s="44">
        <v>0.0132033869239249</v>
      </c>
      <c r="F77" s="44">
        <v>3.30255698607841E-7</v>
      </c>
      <c r="G77" s="44">
        <v>1.10305403335019E-4</v>
      </c>
      <c r="H77" s="45">
        <f t="shared" si="1"/>
        <v>333.9999995</v>
      </c>
      <c r="I77" s="45" t="str">
        <f>IFNA(VLOOKUP(A77,표2[#ALL],2, FALSE), "")</f>
        <v/>
      </c>
      <c r="J77" s="46" t="str">
        <f t="shared" si="2"/>
        <v/>
      </c>
      <c r="K77" s="47" t="str">
        <f t="shared" si="3"/>
        <v/>
      </c>
    </row>
    <row r="78">
      <c r="A78" s="35">
        <v>78.0</v>
      </c>
      <c r="B78" s="36">
        <v>45483.63002314815</v>
      </c>
      <c r="C78" s="36">
        <v>45483.63690972222</v>
      </c>
      <c r="D78" s="37">
        <v>3.88467340407247E-5</v>
      </c>
      <c r="E78" s="38">
        <v>0.0231138067542312</v>
      </c>
      <c r="F78" s="38">
        <v>1.74801407445225E-7</v>
      </c>
      <c r="G78" s="38">
        <v>1.04006837429909E-4</v>
      </c>
      <c r="H78" s="39">
        <f t="shared" si="1"/>
        <v>594.9999995</v>
      </c>
      <c r="I78" s="39" t="str">
        <f>IFNA(VLOOKUP(A78,표2[#ALL],2, FALSE), "")</f>
        <v/>
      </c>
      <c r="J78" s="40" t="str">
        <f t="shared" si="2"/>
        <v/>
      </c>
      <c r="K78" s="41" t="str">
        <f t="shared" si="3"/>
        <v/>
      </c>
    </row>
    <row r="79">
      <c r="A79" s="35">
        <v>79.0</v>
      </c>
      <c r="B79" s="42">
        <v>45483.64129629629</v>
      </c>
      <c r="C79" s="42">
        <v>45483.65020833333</v>
      </c>
      <c r="D79" s="43">
        <v>4.00534162657688E-5</v>
      </c>
      <c r="E79" s="44">
        <v>0.030841130524642</v>
      </c>
      <c r="F79" s="44">
        <v>1.39172195428236E-7</v>
      </c>
      <c r="G79" s="44">
        <v>1.07162590479742E-4</v>
      </c>
      <c r="H79" s="45">
        <f t="shared" si="1"/>
        <v>770.0000002</v>
      </c>
      <c r="I79" s="45" t="str">
        <f>IFNA(VLOOKUP(A79,표2[#ALL],2, FALSE), "")</f>
        <v/>
      </c>
      <c r="J79" s="46" t="str">
        <f t="shared" si="2"/>
        <v/>
      </c>
      <c r="K79" s="47" t="str">
        <f t="shared" si="3"/>
        <v/>
      </c>
    </row>
    <row r="80">
      <c r="A80" s="35">
        <v>80.0</v>
      </c>
      <c r="B80" s="36">
        <v>45483.65251157407</v>
      </c>
      <c r="C80" s="36">
        <v>45483.65833333333</v>
      </c>
      <c r="D80" s="37">
        <v>3.98161098210359E-5</v>
      </c>
      <c r="E80" s="38">
        <v>0.0200275032399811</v>
      </c>
      <c r="F80" s="38">
        <v>2.10433735406379E-7</v>
      </c>
      <c r="G80" s="38">
        <v>1.05848168909409E-4</v>
      </c>
      <c r="H80" s="39">
        <f t="shared" si="1"/>
        <v>503</v>
      </c>
      <c r="I80" s="39" t="str">
        <f>IFNA(VLOOKUP(A80,표2[#ALL],2, FALSE), "")</f>
        <v/>
      </c>
      <c r="J80" s="40" t="str">
        <f t="shared" si="2"/>
        <v/>
      </c>
      <c r="K80" s="41" t="str">
        <f t="shared" si="3"/>
        <v/>
      </c>
    </row>
    <row r="81">
      <c r="A81" s="35">
        <v>81.0</v>
      </c>
      <c r="B81" s="42">
        <v>45483.65956018519</v>
      </c>
      <c r="C81" s="42">
        <v>45483.669756944444</v>
      </c>
      <c r="D81" s="43">
        <v>3.80530136911823E-5</v>
      </c>
      <c r="E81" s="44">
        <v>0.0335247050619316</v>
      </c>
      <c r="F81" s="44">
        <v>3.21018093829761E-7</v>
      </c>
      <c r="G81" s="44">
        <v>2.82816940664019E-4</v>
      </c>
      <c r="H81" s="45">
        <f t="shared" si="1"/>
        <v>880.9999997</v>
      </c>
      <c r="I81" s="45" t="str">
        <f>IFNA(VLOOKUP(A81,표2[#ALL],2, FALSE), "")</f>
        <v/>
      </c>
      <c r="J81" s="46" t="str">
        <f t="shared" si="2"/>
        <v/>
      </c>
      <c r="K81" s="47" t="str">
        <f t="shared" si="3"/>
        <v/>
      </c>
    </row>
    <row r="82">
      <c r="A82" s="35">
        <v>82.0</v>
      </c>
      <c r="B82" s="36">
        <v>45483.671006944445</v>
      </c>
      <c r="C82" s="36">
        <v>45483.68200231482</v>
      </c>
      <c r="D82" s="37">
        <v>4.00012054817936E-5</v>
      </c>
      <c r="E82" s="38">
        <v>0.0380011452077039</v>
      </c>
      <c r="F82" s="38">
        <v>1.12323848065805E-7</v>
      </c>
      <c r="G82" s="38">
        <v>1.06707655662515E-4</v>
      </c>
      <c r="H82" s="39">
        <f t="shared" si="1"/>
        <v>950.0000002</v>
      </c>
      <c r="I82" s="39" t="str">
        <f>IFNA(VLOOKUP(A82,표2[#ALL],2, FALSE), "")</f>
        <v/>
      </c>
      <c r="J82" s="40" t="str">
        <f t="shared" si="2"/>
        <v/>
      </c>
      <c r="K82" s="41" t="str">
        <f t="shared" si="3"/>
        <v/>
      </c>
    </row>
    <row r="83">
      <c r="A83" s="35">
        <v>83.0</v>
      </c>
      <c r="B83" s="42">
        <v>45483.68471064815</v>
      </c>
      <c r="C83" s="42">
        <v>45483.685069444444</v>
      </c>
      <c r="D83" s="43">
        <v>2.77795625532739E-5</v>
      </c>
      <c r="E83" s="44">
        <v>8.61166439151491E-4</v>
      </c>
      <c r="F83" s="44">
        <v>3.3629653463947E-6</v>
      </c>
      <c r="G83" s="44">
        <v>1.04251925738236E-4</v>
      </c>
      <c r="H83" s="45">
        <f t="shared" si="1"/>
        <v>30.9999997</v>
      </c>
      <c r="I83" s="45" t="str">
        <f>IFNA(VLOOKUP(A83,표2[#ALL],2, FALSE), "")</f>
        <v/>
      </c>
      <c r="J83" s="46" t="str">
        <f t="shared" si="2"/>
        <v/>
      </c>
      <c r="K83" s="47" t="str">
        <f t="shared" si="3"/>
        <v/>
      </c>
    </row>
    <row r="84">
      <c r="A84" s="35">
        <v>84.0</v>
      </c>
      <c r="B84" s="36">
        <v>45483.68634259259</v>
      </c>
      <c r="C84" s="36">
        <v>45483.6925</v>
      </c>
      <c r="D84" s="37">
        <v>3.93933078547903E-5</v>
      </c>
      <c r="E84" s="38">
        <v>0.0209572397787485</v>
      </c>
      <c r="F84" s="38">
        <v>2.43020919308095E-7</v>
      </c>
      <c r="G84" s="38">
        <v>1.29287129071907E-4</v>
      </c>
      <c r="H84" s="39">
        <f t="shared" si="1"/>
        <v>531.9999999</v>
      </c>
      <c r="I84" s="39" t="str">
        <f>IFNA(VLOOKUP(A84,표2[#ALL],2, FALSE), "")</f>
        <v/>
      </c>
      <c r="J84" s="40" t="str">
        <f t="shared" si="2"/>
        <v/>
      </c>
      <c r="K84" s="41" t="str">
        <f t="shared" si="3"/>
        <v/>
      </c>
    </row>
    <row r="85">
      <c r="A85" s="35">
        <v>85.0</v>
      </c>
      <c r="B85" s="42">
        <v>45483.69708333333</v>
      </c>
      <c r="C85" s="42">
        <v>45483.70408564815</v>
      </c>
      <c r="D85" s="43">
        <v>3.96971066776191E-5</v>
      </c>
      <c r="E85" s="44">
        <v>0.0240167495399595</v>
      </c>
      <c r="F85" s="44">
        <v>1.88454221309335E-7</v>
      </c>
      <c r="G85" s="44">
        <v>1.14014803892147E-4</v>
      </c>
      <c r="H85" s="45">
        <f t="shared" si="1"/>
        <v>605</v>
      </c>
      <c r="I85" s="45" t="str">
        <f>IFNA(VLOOKUP(A85,표2[#ALL],2, FALSE), "")</f>
        <v/>
      </c>
      <c r="J85" s="46" t="str">
        <f t="shared" si="2"/>
        <v/>
      </c>
      <c r="K85" s="47" t="str">
        <f t="shared" si="3"/>
        <v/>
      </c>
    </row>
    <row r="86">
      <c r="A86" s="35">
        <v>86.0</v>
      </c>
      <c r="B86" s="36">
        <v>45483.70685185185</v>
      </c>
      <c r="C86" s="36">
        <v>45483.7103125</v>
      </c>
      <c r="D86" s="37">
        <v>3.83282053961618E-5</v>
      </c>
      <c r="E86" s="38">
        <v>0.0114601334134524</v>
      </c>
      <c r="F86" s="38">
        <v>4.91879000267865E-7</v>
      </c>
      <c r="G86" s="38">
        <v>1.47071821080092E-4</v>
      </c>
      <c r="H86" s="39">
        <f t="shared" si="1"/>
        <v>299.0000001</v>
      </c>
      <c r="I86" s="39" t="str">
        <f>IFNA(VLOOKUP(A86,표2[#ALL],2, FALSE), "")</f>
        <v/>
      </c>
      <c r="J86" s="40" t="str">
        <f t="shared" si="2"/>
        <v/>
      </c>
      <c r="K86" s="41" t="str">
        <f t="shared" si="3"/>
        <v/>
      </c>
    </row>
    <row r="87">
      <c r="A87" s="35">
        <v>87.0</v>
      </c>
      <c r="B87" s="42">
        <v>45483.71199074074</v>
      </c>
      <c r="C87" s="42">
        <v>45483.716782407406</v>
      </c>
      <c r="D87" s="43">
        <v>4.0240876598519E-5</v>
      </c>
      <c r="E87" s="44">
        <v>0.0166597229117869</v>
      </c>
      <c r="F87" s="44">
        <v>2.33090778438154E-8</v>
      </c>
      <c r="G87" s="44">
        <v>9.64995822733958E-6</v>
      </c>
      <c r="H87" s="45">
        <f t="shared" si="1"/>
        <v>414</v>
      </c>
      <c r="I87" s="45" t="str">
        <f>IFNA(VLOOKUP(A87,표2[#ALL],2, FALSE), "")</f>
        <v/>
      </c>
      <c r="J87" s="46" t="str">
        <f t="shared" si="2"/>
        <v/>
      </c>
      <c r="K87" s="47" t="str">
        <f t="shared" si="3"/>
        <v/>
      </c>
    </row>
    <row r="88">
      <c r="A88" s="35">
        <v>88.0</v>
      </c>
      <c r="B88" s="36">
        <v>45483.7196875</v>
      </c>
      <c r="C88" s="36">
        <v>45483.721134259256</v>
      </c>
      <c r="D88" s="37">
        <v>4.02621145304533E-5</v>
      </c>
      <c r="E88" s="38">
        <v>0.00503276431630666</v>
      </c>
      <c r="F88" s="38">
        <v>4.17936707205965E-8</v>
      </c>
      <c r="G88" s="38">
        <v>5.22420884007456E-6</v>
      </c>
      <c r="H88" s="39">
        <f t="shared" si="1"/>
        <v>124.9999997</v>
      </c>
      <c r="I88" s="39" t="str">
        <f>IFNA(VLOOKUP(A88,표2[#ALL],2, FALSE), "")</f>
        <v/>
      </c>
      <c r="J88" s="40" t="str">
        <f t="shared" si="2"/>
        <v/>
      </c>
      <c r="K88" s="41" t="str">
        <f t="shared" si="3"/>
        <v/>
      </c>
    </row>
    <row r="89">
      <c r="A89" s="35">
        <v>89.0</v>
      </c>
      <c r="B89" s="42">
        <v>45483.722395833334</v>
      </c>
      <c r="C89" s="42">
        <v>45483.72488425926</v>
      </c>
      <c r="D89" s="43">
        <v>4.01641875332031E-5</v>
      </c>
      <c r="E89" s="44">
        <v>0.00863530031963866</v>
      </c>
      <c r="F89" s="44">
        <v>3.21451976011115E-8</v>
      </c>
      <c r="G89" s="44">
        <v>6.91121748423896E-6</v>
      </c>
      <c r="H89" s="45">
        <f t="shared" si="1"/>
        <v>215</v>
      </c>
      <c r="I89" s="45" t="str">
        <f>IFNA(VLOOKUP(A89,표2[#ALL],2, FALSE), "")</f>
        <v/>
      </c>
      <c r="J89" s="46" t="str">
        <f t="shared" si="2"/>
        <v/>
      </c>
      <c r="K89" s="47" t="str">
        <f t="shared" si="3"/>
        <v/>
      </c>
    </row>
    <row r="90">
      <c r="A90" s="35">
        <v>90.0</v>
      </c>
      <c r="B90" s="36">
        <v>45483.72920138889</v>
      </c>
      <c r="C90" s="36">
        <v>45483.73061342593</v>
      </c>
      <c r="D90" s="37">
        <v>3.72637596195567E-5</v>
      </c>
      <c r="E90" s="38">
        <v>0.00454617867358592</v>
      </c>
      <c r="F90" s="38">
        <v>9.41766785573318E-7</v>
      </c>
      <c r="G90" s="38">
        <v>1.14895547839945E-4</v>
      </c>
      <c r="H90" s="39">
        <f t="shared" si="1"/>
        <v>122.0000002</v>
      </c>
      <c r="I90" s="39" t="str">
        <f>IFNA(VLOOKUP(A90,표2[#ALL],2, FALSE), "")</f>
        <v/>
      </c>
      <c r="J90" s="40" t="str">
        <f t="shared" si="2"/>
        <v/>
      </c>
      <c r="K90" s="41" t="str">
        <f t="shared" si="3"/>
        <v/>
      </c>
    </row>
    <row r="91">
      <c r="A91" s="35">
        <v>91.0</v>
      </c>
      <c r="B91" s="42">
        <v>45483.73101851852</v>
      </c>
      <c r="C91" s="42">
        <v>45483.731574074074</v>
      </c>
      <c r="D91" s="43">
        <v>4.01183331605658E-5</v>
      </c>
      <c r="E91" s="44">
        <v>0.00192567999170716</v>
      </c>
      <c r="F91" s="44">
        <v>6.81613839810866E-8</v>
      </c>
      <c r="G91" s="44">
        <v>3.27174643109216E-6</v>
      </c>
      <c r="H91" s="45">
        <f t="shared" si="1"/>
        <v>47.99999991</v>
      </c>
      <c r="I91" s="45" t="str">
        <f>IFNA(VLOOKUP(A91,표2[#ALL],2, FALSE), "")</f>
        <v/>
      </c>
      <c r="J91" s="46" t="str">
        <f t="shared" si="2"/>
        <v/>
      </c>
      <c r="K91" s="47" t="str">
        <f t="shared" si="3"/>
        <v/>
      </c>
    </row>
    <row r="92">
      <c r="A92" s="35">
        <v>92.0</v>
      </c>
      <c r="B92" s="36">
        <v>45483.73302083334</v>
      </c>
      <c r="C92" s="36">
        <v>45483.73478009259</v>
      </c>
      <c r="D92" s="37">
        <v>3.80338737783154E-5</v>
      </c>
      <c r="E92" s="38">
        <v>0.00578114881430393</v>
      </c>
      <c r="F92" s="38">
        <v>7.28527462277308E-7</v>
      </c>
      <c r="G92" s="38">
        <v>1.10736174266151E-4</v>
      </c>
      <c r="H92" s="39">
        <f t="shared" si="1"/>
        <v>151.9999997</v>
      </c>
      <c r="I92" s="39" t="str">
        <f>IFNA(VLOOKUP(A92,표2[#ALL],2, FALSE), "")</f>
        <v/>
      </c>
      <c r="J92" s="40" t="str">
        <f t="shared" si="2"/>
        <v/>
      </c>
      <c r="K92" s="41" t="str">
        <f t="shared" si="3"/>
        <v/>
      </c>
    </row>
    <row r="93">
      <c r="A93" s="35">
        <v>93.0</v>
      </c>
      <c r="B93" s="42">
        <v>45483.73621527778</v>
      </c>
      <c r="C93" s="42">
        <v>45483.737916666665</v>
      </c>
      <c r="D93" s="43">
        <v>4.01208041188909E-5</v>
      </c>
      <c r="E93" s="44">
        <v>0.00589775820547697</v>
      </c>
      <c r="F93" s="44">
        <v>4.37781008606768E-8</v>
      </c>
      <c r="G93" s="44">
        <v>6.43538082651949E-6</v>
      </c>
      <c r="H93" s="45">
        <f t="shared" si="1"/>
        <v>146.9999998</v>
      </c>
      <c r="I93" s="45" t="str">
        <f>IFNA(VLOOKUP(A93,표2[#ALL],2, FALSE), "")</f>
        <v/>
      </c>
      <c r="J93" s="46" t="str">
        <f t="shared" si="2"/>
        <v/>
      </c>
      <c r="K93" s="47" t="str">
        <f t="shared" si="3"/>
        <v/>
      </c>
    </row>
    <row r="94">
      <c r="A94" s="35">
        <v>94.0</v>
      </c>
      <c r="B94" s="36">
        <v>45483.738125</v>
      </c>
      <c r="C94" s="36">
        <v>45483.740960648145</v>
      </c>
      <c r="D94" s="37">
        <v>4.01816366427381E-5</v>
      </c>
      <c r="E94" s="38">
        <v>0.00984450097747083</v>
      </c>
      <c r="F94" s="38">
        <v>2.96549340639071E-8</v>
      </c>
      <c r="G94" s="38">
        <v>7.26545884565725E-6</v>
      </c>
      <c r="H94" s="39">
        <f t="shared" si="1"/>
        <v>244.9999994</v>
      </c>
      <c r="I94" s="39" t="str">
        <f>IFNA(VLOOKUP(A94,표2[#ALL],2, FALSE), "")</f>
        <v/>
      </c>
      <c r="J94" s="40" t="str">
        <f t="shared" si="2"/>
        <v/>
      </c>
      <c r="K94" s="41" t="str">
        <f t="shared" si="3"/>
        <v/>
      </c>
    </row>
    <row r="95">
      <c r="A95" s="35">
        <v>95.0</v>
      </c>
      <c r="B95" s="42">
        <v>45483.74385416666</v>
      </c>
      <c r="C95" s="42">
        <v>45483.75561342593</v>
      </c>
      <c r="D95" s="43">
        <v>3.97434047004073E-5</v>
      </c>
      <c r="E95" s="44">
        <v>0.0403792991756138</v>
      </c>
      <c r="F95" s="44">
        <v>1.2528561176116E-7</v>
      </c>
      <c r="G95" s="44">
        <v>1.27290181549339E-4</v>
      </c>
      <c r="H95" s="45">
        <f t="shared" si="1"/>
        <v>1016.000001</v>
      </c>
      <c r="I95" s="45" t="str">
        <f>IFNA(VLOOKUP(A95,표2[#ALL],2, FALSE), "")</f>
        <v/>
      </c>
      <c r="J95" s="46" t="str">
        <f t="shared" si="2"/>
        <v/>
      </c>
      <c r="K95" s="47" t="str">
        <f t="shared" si="3"/>
        <v/>
      </c>
    </row>
    <row r="96">
      <c r="A96" s="35">
        <v>96.0</v>
      </c>
      <c r="B96" s="36">
        <v>45484.41395833333</v>
      </c>
      <c r="C96" s="36">
        <v>45484.42335648148</v>
      </c>
      <c r="D96" s="37">
        <v>4.04830743026064E-5</v>
      </c>
      <c r="E96" s="38">
        <v>0.0328722563337164</v>
      </c>
      <c r="F96" s="38">
        <v>1.43684400530722E-7</v>
      </c>
      <c r="G96" s="38">
        <v>1.16671733230946E-4</v>
      </c>
      <c r="H96" s="39">
        <f t="shared" si="1"/>
        <v>812</v>
      </c>
      <c r="I96" s="39" t="str">
        <f>IFNA(VLOOKUP(A96,표2[#ALL],2, FALSE), "")</f>
        <v/>
      </c>
      <c r="J96" s="40" t="str">
        <f t="shared" si="2"/>
        <v/>
      </c>
      <c r="K96" s="41" t="str">
        <f t="shared" si="3"/>
        <v/>
      </c>
    </row>
    <row r="97">
      <c r="A97" s="35">
        <v>97.0</v>
      </c>
      <c r="B97" s="42">
        <v>45484.42482638889</v>
      </c>
      <c r="C97" s="42">
        <v>45484.42759259259</v>
      </c>
      <c r="D97" s="43">
        <v>3.97456699503551E-5</v>
      </c>
      <c r="E97" s="44">
        <v>0.00949921511813486</v>
      </c>
      <c r="F97" s="44">
        <v>4.47103585215356E-7</v>
      </c>
      <c r="G97" s="44">
        <v>1.0685775686647E-4</v>
      </c>
      <c r="H97" s="45">
        <f t="shared" si="1"/>
        <v>238.9999999</v>
      </c>
      <c r="I97" s="45" t="str">
        <f>IFNA(VLOOKUP(A97,표2[#ALL],2, FALSE), "")</f>
        <v/>
      </c>
      <c r="J97" s="46" t="str">
        <f t="shared" si="2"/>
        <v/>
      </c>
      <c r="K97" s="47" t="str">
        <f t="shared" si="3"/>
        <v/>
      </c>
    </row>
    <row r="98">
      <c r="A98" s="35">
        <v>98.0</v>
      </c>
      <c r="B98" s="36">
        <v>45484.42831018518</v>
      </c>
      <c r="C98" s="36">
        <v>45484.43337962963</v>
      </c>
      <c r="D98" s="37">
        <v>4.00542028797186E-5</v>
      </c>
      <c r="E98" s="38">
        <v>0.0175437408613167</v>
      </c>
      <c r="F98" s="38">
        <v>2.52295686398214E-7</v>
      </c>
      <c r="G98" s="38">
        <v>1.10505510642418E-4</v>
      </c>
      <c r="H98" s="39">
        <f t="shared" si="1"/>
        <v>437.9999999</v>
      </c>
      <c r="I98" s="39" t="str">
        <f>IFNA(VLOOKUP(A98,표2[#ALL],2, FALSE), "")</f>
        <v/>
      </c>
      <c r="J98" s="40" t="str">
        <f t="shared" si="2"/>
        <v/>
      </c>
      <c r="K98" s="41" t="str">
        <f t="shared" si="3"/>
        <v/>
      </c>
    </row>
    <row r="99">
      <c r="A99" s="35">
        <v>99.0</v>
      </c>
      <c r="B99" s="42">
        <v>45484.43475694444</v>
      </c>
      <c r="C99" s="42">
        <v>45484.439305555556</v>
      </c>
      <c r="D99" s="43">
        <v>4.05220808078753E-5</v>
      </c>
      <c r="E99" s="44">
        <v>0.015925177757495</v>
      </c>
      <c r="F99" s="44">
        <v>2.55192745849184E-8</v>
      </c>
      <c r="G99" s="44">
        <v>1.00290749118729E-5</v>
      </c>
      <c r="H99" s="45">
        <f t="shared" si="1"/>
        <v>393.0000001</v>
      </c>
      <c r="I99" s="45" t="str">
        <f>IFNA(VLOOKUP(A99,표2[#ALL],2, FALSE), "")</f>
        <v/>
      </c>
      <c r="J99" s="46" t="str">
        <f t="shared" si="2"/>
        <v/>
      </c>
      <c r="K99" s="47" t="str">
        <f t="shared" si="3"/>
        <v/>
      </c>
    </row>
    <row r="100">
      <c r="A100" s="35">
        <v>100.0</v>
      </c>
      <c r="B100" s="36">
        <v>45484.44144675926</v>
      </c>
      <c r="C100" s="36">
        <v>45484.44474537037</v>
      </c>
      <c r="D100" s="37">
        <v>2.15130383741051E-5</v>
      </c>
      <c r="E100" s="38">
        <v>0.00613121593661995</v>
      </c>
      <c r="F100" s="38">
        <v>1.221674691548E-6</v>
      </c>
      <c r="G100" s="38">
        <v>3.48177287091179E-4</v>
      </c>
      <c r="H100" s="39">
        <f t="shared" si="1"/>
        <v>285</v>
      </c>
      <c r="I100" s="39" t="str">
        <f>IFNA(VLOOKUP(A100,표2[#ALL],2, FALSE), "")</f>
        <v/>
      </c>
      <c r="J100" s="40" t="str">
        <f t="shared" si="2"/>
        <v/>
      </c>
      <c r="K100" s="41" t="str">
        <f t="shared" si="3"/>
        <v/>
      </c>
    </row>
    <row r="101">
      <c r="A101" s="35">
        <v>101.0</v>
      </c>
      <c r="B101" s="42">
        <v>45484.445868055554</v>
      </c>
      <c r="C101" s="42">
        <v>45484.45</v>
      </c>
      <c r="D101" s="43">
        <v>3.95579355404921E-5</v>
      </c>
      <c r="E101" s="44">
        <v>0.0141221829879557</v>
      </c>
      <c r="F101" s="44">
        <v>3.16488880742317E-7</v>
      </c>
      <c r="G101" s="44">
        <v>1.12986530425007E-4</v>
      </c>
      <c r="H101" s="45">
        <f t="shared" si="1"/>
        <v>356.9999998</v>
      </c>
      <c r="I101" s="45" t="str">
        <f>IFNA(VLOOKUP(A101,표2[#ALL],2, FALSE), "")</f>
        <v/>
      </c>
      <c r="J101" s="46" t="str">
        <f t="shared" si="2"/>
        <v/>
      </c>
      <c r="K101" s="47" t="str">
        <f t="shared" si="3"/>
        <v/>
      </c>
    </row>
    <row r="102">
      <c r="A102" s="35">
        <v>102.0</v>
      </c>
      <c r="B102" s="36">
        <v>45484.453101851854</v>
      </c>
      <c r="C102" s="36">
        <v>45484.46910879629</v>
      </c>
      <c r="D102" s="37">
        <v>3.99112751274233E-5</v>
      </c>
      <c r="E102" s="38">
        <v>0.0551972935012264</v>
      </c>
      <c r="F102" s="38">
        <v>1.01492247584581E-7</v>
      </c>
      <c r="G102" s="38">
        <v>1.40363778409475E-4</v>
      </c>
      <c r="H102" s="39">
        <f t="shared" si="1"/>
        <v>1383</v>
      </c>
      <c r="I102" s="39" t="str">
        <f>IFNA(VLOOKUP(A102,표2[#ALL],2, FALSE), "")</f>
        <v/>
      </c>
      <c r="J102" s="40" t="str">
        <f t="shared" si="2"/>
        <v/>
      </c>
      <c r="K102" s="41" t="str">
        <f t="shared" si="3"/>
        <v/>
      </c>
    </row>
    <row r="103">
      <c r="A103" s="35">
        <v>103.0</v>
      </c>
      <c r="B103" s="42">
        <v>45484.47083333333</v>
      </c>
      <c r="C103" s="42">
        <v>45484.472407407404</v>
      </c>
      <c r="D103" s="43">
        <v>4.01342695828258E-5</v>
      </c>
      <c r="E103" s="44">
        <v>0.00545826066326431</v>
      </c>
      <c r="F103" s="44">
        <v>4.42465647745837E-8</v>
      </c>
      <c r="G103" s="44">
        <v>6.01753280934339E-6</v>
      </c>
      <c r="H103" s="45">
        <f t="shared" si="1"/>
        <v>135.9999997</v>
      </c>
      <c r="I103" s="45" t="str">
        <f>IFNA(VLOOKUP(A103,표2[#ALL],2, FALSE), "")</f>
        <v/>
      </c>
      <c r="J103" s="46" t="str">
        <f t="shared" si="2"/>
        <v/>
      </c>
      <c r="K103" s="47" t="str">
        <f t="shared" si="3"/>
        <v/>
      </c>
    </row>
    <row r="104">
      <c r="A104" s="35">
        <v>104.0</v>
      </c>
      <c r="B104" s="36">
        <v>45484.475636574076</v>
      </c>
      <c r="C104" s="36">
        <v>45484.48174768518</v>
      </c>
      <c r="D104" s="37">
        <v>3.95395403207821E-5</v>
      </c>
      <c r="E104" s="38">
        <v>0.020876877289373</v>
      </c>
      <c r="F104" s="38">
        <v>1.85584410910746E-7</v>
      </c>
      <c r="G104" s="38">
        <v>9.7988568960874E-5</v>
      </c>
      <c r="H104" s="39">
        <f t="shared" si="1"/>
        <v>527.9999996</v>
      </c>
      <c r="I104" s="39" t="str">
        <f>IFNA(VLOOKUP(A104,표2[#ALL],2, FALSE), "")</f>
        <v/>
      </c>
      <c r="J104" s="40" t="str">
        <f t="shared" si="2"/>
        <v/>
      </c>
      <c r="K104" s="41" t="str">
        <f t="shared" si="3"/>
        <v/>
      </c>
    </row>
    <row r="105">
      <c r="A105" s="35">
        <v>105.0</v>
      </c>
      <c r="B105" s="42">
        <v>45484.484976851854</v>
      </c>
      <c r="C105" s="42">
        <v>45484.49659722222</v>
      </c>
      <c r="D105" s="43">
        <v>3.94424457269058E-5</v>
      </c>
      <c r="E105" s="44">
        <v>0.0396002155098134</v>
      </c>
      <c r="F105" s="44">
        <v>1.21302427921492E-7</v>
      </c>
      <c r="G105" s="44">
        <v>1.21787637633178E-4</v>
      </c>
      <c r="H105" s="45">
        <f t="shared" si="1"/>
        <v>1004</v>
      </c>
      <c r="I105" s="45" t="str">
        <f>IFNA(VLOOKUP(A105,표2[#ALL],2, FALSE), "")</f>
        <v/>
      </c>
      <c r="J105" s="46" t="str">
        <f t="shared" si="2"/>
        <v/>
      </c>
      <c r="K105" s="47" t="str">
        <f t="shared" si="3"/>
        <v/>
      </c>
    </row>
    <row r="106">
      <c r="A106" s="35">
        <v>106.0</v>
      </c>
      <c r="B106" s="36">
        <v>45484.49878472222</v>
      </c>
      <c r="C106" s="36">
        <v>45484.49935185185</v>
      </c>
      <c r="D106" s="37">
        <v>2.8711774153347E-5</v>
      </c>
      <c r="E106" s="38">
        <v>0.001406876933514</v>
      </c>
      <c r="F106" s="38">
        <v>2.55650880736491E-6</v>
      </c>
      <c r="G106" s="38">
        <v>1.25268931560881E-4</v>
      </c>
      <c r="H106" s="39">
        <f t="shared" si="1"/>
        <v>49.00000014</v>
      </c>
      <c r="I106" s="39" t="str">
        <f>IFNA(VLOOKUP(A106,표2[#ALL],2, FALSE), "")</f>
        <v/>
      </c>
      <c r="J106" s="40" t="str">
        <f t="shared" si="2"/>
        <v/>
      </c>
      <c r="K106" s="41" t="str">
        <f t="shared" si="3"/>
        <v/>
      </c>
    </row>
    <row r="107">
      <c r="A107" s="35">
        <v>107.0</v>
      </c>
      <c r="B107" s="42">
        <v>45484.50797453704</v>
      </c>
      <c r="C107" s="42">
        <v>45484.518113425926</v>
      </c>
      <c r="D107" s="43">
        <v>3.93155829460245E-5</v>
      </c>
      <c r="E107" s="44">
        <v>0.0344404506607174</v>
      </c>
      <c r="F107" s="44">
        <v>1.20349597036839E-7</v>
      </c>
      <c r="G107" s="44">
        <v>1.05426247004271E-4</v>
      </c>
      <c r="H107" s="45">
        <f t="shared" si="1"/>
        <v>875.9999998</v>
      </c>
      <c r="I107" s="45" t="str">
        <f>IFNA(VLOOKUP(A107,표2[#ALL],2, FALSE), "")</f>
        <v/>
      </c>
      <c r="J107" s="46" t="str">
        <f t="shared" si="2"/>
        <v/>
      </c>
      <c r="K107" s="47" t="str">
        <f t="shared" si="3"/>
        <v/>
      </c>
    </row>
    <row r="108">
      <c r="A108" s="35">
        <v>108.0</v>
      </c>
      <c r="B108" s="36">
        <v>45484.52045138889</v>
      </c>
      <c r="C108" s="36">
        <v>45484.52457175926</v>
      </c>
      <c r="D108" s="37">
        <v>3.82728438549763E-5</v>
      </c>
      <c r="E108" s="38">
        <v>0.0136251324123716</v>
      </c>
      <c r="F108" s="38">
        <v>3.61078004512799E-7</v>
      </c>
      <c r="G108" s="38">
        <v>1.28543769606556E-4</v>
      </c>
      <c r="H108" s="39">
        <f t="shared" si="1"/>
        <v>356.0000002</v>
      </c>
      <c r="I108" s="39" t="str">
        <f>IFNA(VLOOKUP(A108,표2[#ALL],2, FALSE), "")</f>
        <v/>
      </c>
      <c r="J108" s="40" t="str">
        <f t="shared" si="2"/>
        <v/>
      </c>
      <c r="K108" s="41" t="str">
        <f t="shared" si="3"/>
        <v/>
      </c>
    </row>
    <row r="109">
      <c r="A109" s="35">
        <v>109.0</v>
      </c>
      <c r="B109" s="42">
        <v>45484.525983796295</v>
      </c>
      <c r="C109" s="42">
        <v>45484.526342592595</v>
      </c>
      <c r="D109" s="43">
        <v>2.95654623932904E-5</v>
      </c>
      <c r="E109" s="44">
        <v>9.16529334192003E-4</v>
      </c>
      <c r="F109" s="44">
        <v>3.06225455579067E-6</v>
      </c>
      <c r="G109" s="44">
        <v>9.49298912295108E-5</v>
      </c>
      <c r="H109" s="45">
        <f t="shared" si="1"/>
        <v>31.00000033</v>
      </c>
      <c r="I109" s="45" t="str">
        <f>IFNA(VLOOKUP(A109,표2[#ALL],2, FALSE), "")</f>
        <v/>
      </c>
      <c r="J109" s="46" t="str">
        <f t="shared" si="2"/>
        <v/>
      </c>
      <c r="K109" s="47" t="str">
        <f t="shared" si="3"/>
        <v/>
      </c>
    </row>
    <row r="110">
      <c r="A110" s="35">
        <v>110.0</v>
      </c>
      <c r="B110" s="36">
        <v>45484.5275</v>
      </c>
      <c r="C110" s="36">
        <v>45484.52819444444</v>
      </c>
      <c r="D110" s="37">
        <v>3.42644080441359E-5</v>
      </c>
      <c r="E110" s="38">
        <v>0.00205586448264816</v>
      </c>
      <c r="F110" s="38">
        <v>1.72142052638898E-6</v>
      </c>
      <c r="G110" s="38">
        <v>1.03285231583339E-4</v>
      </c>
      <c r="H110" s="39">
        <f t="shared" si="1"/>
        <v>60.0000002</v>
      </c>
      <c r="I110" s="39" t="str">
        <f>IFNA(VLOOKUP(A110,표2[#ALL],2, FALSE), "")</f>
        <v/>
      </c>
      <c r="J110" s="40" t="str">
        <f t="shared" si="2"/>
        <v/>
      </c>
      <c r="K110" s="41" t="str">
        <f t="shared" si="3"/>
        <v/>
      </c>
    </row>
    <row r="111">
      <c r="A111" s="35">
        <v>111.0</v>
      </c>
      <c r="B111" s="42">
        <v>45484.53807870371</v>
      </c>
      <c r="C111" s="42">
        <v>45484.53894675926</v>
      </c>
      <c r="D111" s="43">
        <v>3.5192900234437E-5</v>
      </c>
      <c r="E111" s="44">
        <v>0.00263946751758278</v>
      </c>
      <c r="F111" s="44">
        <v>1.41056805257312E-6</v>
      </c>
      <c r="G111" s="44">
        <v>1.05792603942984E-4</v>
      </c>
      <c r="H111" s="45">
        <f t="shared" si="1"/>
        <v>74.99999993</v>
      </c>
      <c r="I111" s="45" t="str">
        <f>IFNA(VLOOKUP(A111,표2[#ALL],2, FALSE), "")</f>
        <v/>
      </c>
      <c r="J111" s="46" t="str">
        <f t="shared" si="2"/>
        <v/>
      </c>
      <c r="K111" s="47" t="str">
        <f t="shared" si="3"/>
        <v/>
      </c>
    </row>
    <row r="112">
      <c r="A112" s="35">
        <v>112.0</v>
      </c>
      <c r="B112" s="36">
        <v>45484.54142361111</v>
      </c>
      <c r="C112" s="36">
        <v>45484.54572916667</v>
      </c>
      <c r="D112" s="37">
        <v>3.83077979225517E-5</v>
      </c>
      <c r="E112" s="38">
        <v>0.0142505008271892</v>
      </c>
      <c r="F112" s="38">
        <v>3.12013909020764E-7</v>
      </c>
      <c r="G112" s="38">
        <v>1.16069174155724E-4</v>
      </c>
      <c r="H112" s="39">
        <f t="shared" si="1"/>
        <v>372.0000002</v>
      </c>
      <c r="I112" s="39" t="str">
        <f>IFNA(VLOOKUP(A112,표2[#ALL],2, FALSE), "")</f>
        <v/>
      </c>
      <c r="J112" s="40" t="str">
        <f t="shared" si="2"/>
        <v/>
      </c>
      <c r="K112" s="41" t="str">
        <f t="shared" si="3"/>
        <v/>
      </c>
    </row>
    <row r="113">
      <c r="A113" s="35">
        <v>113.0</v>
      </c>
      <c r="B113" s="42">
        <v>45484.54783564815</v>
      </c>
      <c r="C113" s="42">
        <v>45484.559328703705</v>
      </c>
      <c r="D113" s="43">
        <v>3.87845338211858E-5</v>
      </c>
      <c r="E113" s="44">
        <v>0.0385130420844375</v>
      </c>
      <c r="F113" s="44">
        <v>1.26423052934746E-7</v>
      </c>
      <c r="G113" s="44">
        <v>1.25538091564203E-4</v>
      </c>
      <c r="H113" s="45">
        <f t="shared" si="1"/>
        <v>993.0000002</v>
      </c>
      <c r="I113" s="45" t="str">
        <f>IFNA(VLOOKUP(A113,표2[#ALL],2, FALSE), "")</f>
        <v/>
      </c>
      <c r="J113" s="46" t="str">
        <f t="shared" si="2"/>
        <v/>
      </c>
      <c r="K113" s="47" t="str">
        <f t="shared" si="3"/>
        <v/>
      </c>
    </row>
    <row r="114">
      <c r="A114" s="35">
        <v>114.0</v>
      </c>
      <c r="B114" s="36">
        <v>45484.562523148146</v>
      </c>
      <c r="C114" s="36">
        <v>45484.571018518516</v>
      </c>
      <c r="D114" s="37">
        <v>3.87291464438919E-5</v>
      </c>
      <c r="E114" s="38">
        <v>0.0284271934898166</v>
      </c>
      <c r="F114" s="38">
        <v>1.58192795747387E-7</v>
      </c>
      <c r="G114" s="38">
        <v>1.16113512078582E-4</v>
      </c>
      <c r="H114" s="39">
        <f t="shared" si="1"/>
        <v>734</v>
      </c>
      <c r="I114" s="39" t="str">
        <f>IFNA(VLOOKUP(A114,표2[#ALL],2, FALSE), "")</f>
        <v/>
      </c>
      <c r="J114" s="40" t="str">
        <f t="shared" si="2"/>
        <v/>
      </c>
      <c r="K114" s="41" t="str">
        <f t="shared" si="3"/>
        <v/>
      </c>
    </row>
    <row r="115">
      <c r="A115" s="35">
        <v>115.0</v>
      </c>
      <c r="B115" s="42">
        <v>45484.57320601852</v>
      </c>
      <c r="C115" s="42">
        <v>45484.57775462963</v>
      </c>
      <c r="D115" s="43">
        <v>3.82906105070497E-5</v>
      </c>
      <c r="E115" s="44">
        <v>0.0150482099292705</v>
      </c>
      <c r="F115" s="44">
        <v>2.96519009356562E-7</v>
      </c>
      <c r="G115" s="44">
        <v>1.16531970677129E-4</v>
      </c>
      <c r="H115" s="45">
        <f t="shared" si="1"/>
        <v>393.0000001</v>
      </c>
      <c r="I115" s="45" t="str">
        <f>IFNA(VLOOKUP(A115,표2[#ALL],2, FALSE), "")</f>
        <v/>
      </c>
      <c r="J115" s="46" t="str">
        <f t="shared" si="2"/>
        <v/>
      </c>
      <c r="K115" s="47" t="str">
        <f t="shared" si="3"/>
        <v/>
      </c>
    </row>
    <row r="116">
      <c r="A116" s="35">
        <v>116.0</v>
      </c>
      <c r="B116" s="36">
        <v>45484.5796875</v>
      </c>
      <c r="C116" s="36">
        <v>45484.584965277776</v>
      </c>
      <c r="D116" s="37">
        <v>3.90108502950367E-5</v>
      </c>
      <c r="E116" s="38">
        <v>0.0177889477345367</v>
      </c>
      <c r="F116" s="38">
        <v>2.16654500424087E-8</v>
      </c>
      <c r="G116" s="38">
        <v>9.87944521933839E-6</v>
      </c>
      <c r="H116" s="39">
        <f t="shared" si="1"/>
        <v>455.9999997</v>
      </c>
      <c r="I116" s="39" t="str">
        <f>IFNA(VLOOKUP(A116,표2[#ALL],2, FALSE), "")</f>
        <v/>
      </c>
      <c r="J116" s="40" t="str">
        <f t="shared" si="2"/>
        <v/>
      </c>
      <c r="K116" s="41" t="str">
        <f t="shared" si="3"/>
        <v/>
      </c>
    </row>
    <row r="117">
      <c r="A117" s="35">
        <v>117.0</v>
      </c>
      <c r="B117" s="42">
        <v>45484.58607638889</v>
      </c>
      <c r="C117" s="42">
        <v>45484.592453703706</v>
      </c>
      <c r="D117" s="43">
        <v>3.84832295004072E-5</v>
      </c>
      <c r="E117" s="44">
        <v>0.0212042594547243</v>
      </c>
      <c r="F117" s="44">
        <v>1.99882039584639E-7</v>
      </c>
      <c r="G117" s="44">
        <v>1.10135003811136E-4</v>
      </c>
      <c r="H117" s="45">
        <f t="shared" si="1"/>
        <v>550.9999999</v>
      </c>
      <c r="I117" s="45" t="str">
        <f>IFNA(VLOOKUP(A117,표2[#ALL],2, FALSE), "")</f>
        <v/>
      </c>
      <c r="J117" s="46" t="str">
        <f t="shared" si="2"/>
        <v/>
      </c>
      <c r="K117" s="47" t="str">
        <f t="shared" si="3"/>
        <v/>
      </c>
    </row>
    <row r="118">
      <c r="A118" s="35">
        <v>118.0</v>
      </c>
      <c r="B118" s="36">
        <v>45484.59439814815</v>
      </c>
      <c r="C118" s="36">
        <v>45484.60512731481</v>
      </c>
      <c r="D118" s="37">
        <v>3.87761839602608E-5</v>
      </c>
      <c r="E118" s="38">
        <v>0.0359455225311617</v>
      </c>
      <c r="F118" s="38">
        <v>1.17105725527472E-7</v>
      </c>
      <c r="G118" s="38">
        <v>1.08557007563967E-4</v>
      </c>
      <c r="H118" s="39">
        <f t="shared" si="1"/>
        <v>926.9999998</v>
      </c>
      <c r="I118" s="39" t="str">
        <f>IFNA(VLOOKUP(A118,표2[#ALL],2, FALSE), "")</f>
        <v/>
      </c>
      <c r="J118" s="40" t="str">
        <f t="shared" si="2"/>
        <v/>
      </c>
      <c r="K118" s="41" t="str">
        <f t="shared" si="3"/>
        <v/>
      </c>
    </row>
    <row r="119">
      <c r="A119" s="35">
        <v>119.0</v>
      </c>
      <c r="B119" s="42">
        <v>45484.60680555556</v>
      </c>
      <c r="C119" s="42">
        <v>45484.61512731481</v>
      </c>
      <c r="D119" s="43">
        <v>3.86623311598868E-5</v>
      </c>
      <c r="E119" s="44">
        <v>0.0277982161039586</v>
      </c>
      <c r="F119" s="44">
        <v>1.54221219588004E-7</v>
      </c>
      <c r="G119" s="44">
        <v>1.10885056883775E-4</v>
      </c>
      <c r="H119" s="45">
        <f t="shared" si="1"/>
        <v>718.9999996</v>
      </c>
      <c r="I119" s="45" t="str">
        <f>IFNA(VLOOKUP(A119,표2[#ALL],2, FALSE), "")</f>
        <v/>
      </c>
      <c r="J119" s="46" t="str">
        <f t="shared" si="2"/>
        <v/>
      </c>
      <c r="K119" s="47" t="str">
        <f t="shared" si="3"/>
        <v/>
      </c>
    </row>
    <row r="120">
      <c r="A120" s="35">
        <v>120.0</v>
      </c>
      <c r="B120" s="36">
        <v>45484.61699074074</v>
      </c>
      <c r="C120" s="36">
        <v>45484.62469907408</v>
      </c>
      <c r="D120" s="37">
        <v>3.90399977181046E-5</v>
      </c>
      <c r="E120" s="38">
        <v>0.0260006384802577</v>
      </c>
      <c r="F120" s="38">
        <v>1.87356723019653E-8</v>
      </c>
      <c r="G120" s="38">
        <v>1.24779577531089E-5</v>
      </c>
      <c r="H120" s="39">
        <f t="shared" si="1"/>
        <v>666.0000004</v>
      </c>
      <c r="I120" s="39" t="str">
        <f>IFNA(VLOOKUP(A120,표2[#ALL],2, FALSE), "")</f>
        <v/>
      </c>
      <c r="J120" s="40" t="str">
        <f t="shared" si="2"/>
        <v/>
      </c>
      <c r="K120" s="41" t="str">
        <f t="shared" si="3"/>
        <v/>
      </c>
    </row>
    <row r="121">
      <c r="A121" s="35">
        <v>121.0</v>
      </c>
      <c r="B121" s="42">
        <v>45484.62787037037</v>
      </c>
      <c r="C121" s="42">
        <v>45484.63050925926</v>
      </c>
      <c r="D121" s="43">
        <v>3.49894883204045E-5</v>
      </c>
      <c r="E121" s="44">
        <v>0.00797760333705223</v>
      </c>
      <c r="F121" s="44">
        <v>7.94322473230266E-7</v>
      </c>
      <c r="G121" s="44">
        <v>1.81105523896501E-4</v>
      </c>
      <c r="H121" s="45">
        <f t="shared" si="1"/>
        <v>227.9999999</v>
      </c>
      <c r="I121" s="45" t="str">
        <f>IFNA(VLOOKUP(A121,표2[#ALL],2, FALSE), "")</f>
        <v/>
      </c>
      <c r="J121" s="46" t="str">
        <f t="shared" si="2"/>
        <v/>
      </c>
      <c r="K121" s="47" t="str">
        <f t="shared" si="3"/>
        <v/>
      </c>
    </row>
    <row r="122">
      <c r="A122" s="35">
        <v>122.0</v>
      </c>
      <c r="B122" s="36">
        <v>45484.63071759259</v>
      </c>
      <c r="C122" s="36">
        <v>45484.63159722222</v>
      </c>
      <c r="D122" s="37">
        <v>3.88966460942818E-5</v>
      </c>
      <c r="E122" s="38">
        <v>0.00295614510316542</v>
      </c>
      <c r="F122" s="38">
        <v>6.11369791401019E-8</v>
      </c>
      <c r="G122" s="38">
        <v>4.64641041464774E-6</v>
      </c>
      <c r="H122" s="39">
        <f t="shared" si="1"/>
        <v>76.00000016</v>
      </c>
      <c r="I122" s="39" t="str">
        <f>IFNA(VLOOKUP(A122,표2[#ALL],2, FALSE), "")</f>
        <v/>
      </c>
      <c r="J122" s="40" t="str">
        <f t="shared" si="2"/>
        <v/>
      </c>
      <c r="K122" s="41" t="str">
        <f t="shared" si="3"/>
        <v/>
      </c>
    </row>
    <row r="123">
      <c r="A123" s="35">
        <v>123.0</v>
      </c>
      <c r="B123" s="42">
        <v>45484.63228009259</v>
      </c>
      <c r="C123" s="42">
        <v>45484.644421296296</v>
      </c>
      <c r="D123" s="43">
        <v>3.88632847591819E-5</v>
      </c>
      <c r="E123" s="44">
        <v>0.0407675857123819</v>
      </c>
      <c r="F123" s="44">
        <v>1.52100655123451E-8</v>
      </c>
      <c r="G123" s="44">
        <v>1.595535872245E-5</v>
      </c>
      <c r="H123" s="45">
        <f t="shared" si="1"/>
        <v>1049</v>
      </c>
      <c r="I123" s="45" t="str">
        <f>IFNA(VLOOKUP(A123,표2[#ALL],2, FALSE), "")</f>
        <v/>
      </c>
      <c r="J123" s="46" t="str">
        <f t="shared" si="2"/>
        <v/>
      </c>
      <c r="K123" s="47" t="str">
        <f t="shared" si="3"/>
        <v/>
      </c>
    </row>
    <row r="124">
      <c r="A124" s="35">
        <v>124.0</v>
      </c>
      <c r="B124" s="36">
        <v>45484.65188657407</v>
      </c>
      <c r="C124" s="36">
        <v>45484.65869212963</v>
      </c>
      <c r="D124" s="37">
        <v>3.5698649665719E-5</v>
      </c>
      <c r="E124" s="38">
        <v>0.0209908060034428</v>
      </c>
      <c r="F124" s="38">
        <v>4.43274632701127E-7</v>
      </c>
      <c r="G124" s="38">
        <v>2.60645484028262E-4</v>
      </c>
      <c r="H124" s="39">
        <f t="shared" si="1"/>
        <v>588.0000004</v>
      </c>
      <c r="I124" s="39" t="str">
        <f>IFNA(VLOOKUP(A124,표2[#ALL],2, FALSE), "")</f>
        <v/>
      </c>
      <c r="J124" s="40" t="str">
        <f t="shared" si="2"/>
        <v/>
      </c>
      <c r="K124" s="41" t="str">
        <f t="shared" si="3"/>
        <v/>
      </c>
    </row>
    <row r="125">
      <c r="A125" s="35">
        <v>125.0</v>
      </c>
      <c r="B125" s="42">
        <v>45484.65891203703</v>
      </c>
      <c r="C125" s="42">
        <v>45484.66354166667</v>
      </c>
      <c r="D125" s="43">
        <v>3.78737183495475E-5</v>
      </c>
      <c r="E125" s="44">
        <v>0.015149487339819</v>
      </c>
      <c r="F125" s="44">
        <v>3.05180451244189E-7</v>
      </c>
      <c r="G125" s="44">
        <v>1.22072180497676E-4</v>
      </c>
      <c r="H125" s="45">
        <f t="shared" si="1"/>
        <v>400.0000005</v>
      </c>
      <c r="I125" s="45" t="str">
        <f>IFNA(VLOOKUP(A125,표2[#ALL],2, FALSE), "")</f>
        <v/>
      </c>
      <c r="J125" s="46" t="str">
        <f t="shared" si="2"/>
        <v/>
      </c>
      <c r="K125" s="47" t="str">
        <f t="shared" si="3"/>
        <v/>
      </c>
    </row>
    <row r="126">
      <c r="A126" s="35">
        <v>126.0</v>
      </c>
      <c r="B126" s="36">
        <v>45484.667129629626</v>
      </c>
      <c r="C126" s="36">
        <v>45484.67349537037</v>
      </c>
      <c r="D126" s="37">
        <v>3.87526860834738E-5</v>
      </c>
      <c r="E126" s="38">
        <v>0.0213139773459106</v>
      </c>
      <c r="F126" s="38">
        <v>2.19513157828003E-8</v>
      </c>
      <c r="G126" s="38">
        <v>1.20732236805401E-5</v>
      </c>
      <c r="H126" s="39">
        <f t="shared" si="1"/>
        <v>550.0000003</v>
      </c>
      <c r="I126" s="39" t="str">
        <f>IFNA(VLOOKUP(A126,표2[#ALL],2, FALSE), "")</f>
        <v/>
      </c>
      <c r="J126" s="40" t="str">
        <f t="shared" si="2"/>
        <v/>
      </c>
      <c r="K126" s="41" t="str">
        <f t="shared" si="3"/>
        <v/>
      </c>
    </row>
    <row r="127">
      <c r="A127" s="35">
        <v>127.0</v>
      </c>
      <c r="B127" s="42">
        <v>45484.67563657407</v>
      </c>
      <c r="C127" s="42">
        <v>45484.67665509259</v>
      </c>
      <c r="D127" s="43">
        <v>3.25043567015985E-5</v>
      </c>
      <c r="E127" s="44">
        <v>0.00286038338974067</v>
      </c>
      <c r="F127" s="44">
        <v>1.52805406428293E-6</v>
      </c>
      <c r="G127" s="44">
        <v>1.34468757656898E-4</v>
      </c>
      <c r="H127" s="45">
        <f t="shared" si="1"/>
        <v>87.99999983</v>
      </c>
      <c r="I127" s="45" t="str">
        <f>IFNA(VLOOKUP(A127,표2[#ALL],2, FALSE), "")</f>
        <v/>
      </c>
      <c r="J127" s="46" t="str">
        <f t="shared" si="2"/>
        <v/>
      </c>
      <c r="K127" s="47" t="str">
        <f t="shared" si="3"/>
        <v/>
      </c>
    </row>
    <row r="128">
      <c r="A128" s="35">
        <v>128.0</v>
      </c>
      <c r="B128" s="36">
        <v>45484.68204861111</v>
      </c>
      <c r="C128" s="36">
        <v>45484.68579861111</v>
      </c>
      <c r="D128" s="37">
        <v>3.89411837625841E-5</v>
      </c>
      <c r="E128" s="38">
        <v>0.0126169435390773</v>
      </c>
      <c r="F128" s="38">
        <v>3.55701609393667E-8</v>
      </c>
      <c r="G128" s="38">
        <v>1.15247321443548E-5</v>
      </c>
      <c r="H128" s="39">
        <f t="shared" si="1"/>
        <v>324.0000003</v>
      </c>
      <c r="I128" s="39" t="str">
        <f>IFNA(VLOOKUP(A128,표2[#ALL],2, FALSE), "")</f>
        <v/>
      </c>
      <c r="J128" s="40" t="str">
        <f t="shared" si="2"/>
        <v/>
      </c>
      <c r="K128" s="41" t="str">
        <f t="shared" si="3"/>
        <v/>
      </c>
    </row>
    <row r="129">
      <c r="A129" s="35">
        <v>129.0</v>
      </c>
      <c r="B129" s="42">
        <v>45484.68828703704</v>
      </c>
      <c r="C129" s="42">
        <v>45484.72283564815</v>
      </c>
      <c r="D129" s="43">
        <v>2.99753971253935E-5</v>
      </c>
      <c r="E129" s="44">
        <v>0.0894765604192997</v>
      </c>
      <c r="F129" s="44">
        <v>3.05164438213598E-7</v>
      </c>
      <c r="G129" s="44">
        <v>9.10915848067591E-4</v>
      </c>
      <c r="H129" s="45">
        <f t="shared" si="1"/>
        <v>2985</v>
      </c>
      <c r="I129" s="45" t="str">
        <f>IFNA(VLOOKUP(A129,표2[#ALL],2, FALSE), "")</f>
        <v/>
      </c>
      <c r="J129" s="46" t="str">
        <f t="shared" si="2"/>
        <v/>
      </c>
      <c r="K129" s="47" t="str">
        <f t="shared" si="3"/>
        <v/>
      </c>
    </row>
    <row r="130">
      <c r="A130" s="35">
        <v>130.0</v>
      </c>
      <c r="B130" s="36">
        <v>45484.72798611111</v>
      </c>
      <c r="C130" s="36">
        <v>45484.73131944444</v>
      </c>
      <c r="D130" s="37">
        <v>3.73665191190928E-5</v>
      </c>
      <c r="E130" s="38">
        <v>0.0107615575062987</v>
      </c>
      <c r="F130" s="38">
        <v>3.5158548759379E-7</v>
      </c>
      <c r="G130" s="38">
        <v>1.01256620427012E-4</v>
      </c>
      <c r="H130" s="39">
        <f t="shared" si="1"/>
        <v>288.0000001</v>
      </c>
      <c r="I130" s="39" t="str">
        <f>IFNA(VLOOKUP(A130,표2[#ALL],2, FALSE), "")</f>
        <v/>
      </c>
      <c r="J130" s="40" t="str">
        <f t="shared" si="2"/>
        <v/>
      </c>
      <c r="K130" s="41" t="str">
        <f t="shared" si="3"/>
        <v/>
      </c>
    </row>
    <row r="131">
      <c r="A131" s="35">
        <v>131.0</v>
      </c>
      <c r="B131" s="42">
        <v>45484.73263888889</v>
      </c>
      <c r="C131" s="42">
        <v>45484.74355324074</v>
      </c>
      <c r="D131" s="43">
        <v>3.85181715305158E-5</v>
      </c>
      <c r="E131" s="44">
        <v>0.0363226357532764</v>
      </c>
      <c r="F131" s="44">
        <v>1.23119877527711E-7</v>
      </c>
      <c r="G131" s="44">
        <v>1.16102044508632E-4</v>
      </c>
      <c r="H131" s="45">
        <f t="shared" si="1"/>
        <v>942.9999998</v>
      </c>
      <c r="I131" s="45" t="str">
        <f>IFNA(VLOOKUP(A131,표2[#ALL],2, FALSE), "")</f>
        <v/>
      </c>
      <c r="J131" s="46" t="str">
        <f t="shared" si="2"/>
        <v/>
      </c>
      <c r="K131" s="47" t="str">
        <f t="shared" si="3"/>
        <v/>
      </c>
    </row>
    <row r="132">
      <c r="A132" s="35">
        <v>132.0</v>
      </c>
      <c r="B132" s="36">
        <v>45484.74537037037</v>
      </c>
      <c r="C132" s="36">
        <v>45484.75005787037</v>
      </c>
      <c r="D132" s="37">
        <v>3.83154521611254E-5</v>
      </c>
      <c r="E132" s="38">
        <v>0.0155177581252558</v>
      </c>
      <c r="F132" s="38">
        <v>2.54284480906672E-7</v>
      </c>
      <c r="G132" s="38">
        <v>1.02985214767202E-4</v>
      </c>
      <c r="H132" s="39">
        <f t="shared" si="1"/>
        <v>404.9999997</v>
      </c>
      <c r="I132" s="39" t="str">
        <f>IFNA(VLOOKUP(A132,표2[#ALL],2, FALSE), "")</f>
        <v/>
      </c>
      <c r="J132" s="40" t="str">
        <f t="shared" si="2"/>
        <v/>
      </c>
      <c r="K132" s="41" t="str">
        <f t="shared" si="3"/>
        <v/>
      </c>
    </row>
    <row r="133">
      <c r="A133" s="35">
        <v>133.0</v>
      </c>
      <c r="B133" s="42">
        <v>45485.41626157407</v>
      </c>
      <c r="C133" s="42">
        <v>45485.42670138889</v>
      </c>
      <c r="D133" s="43">
        <v>3.89033929024126E-5</v>
      </c>
      <c r="E133" s="44">
        <v>0.0350908603979761</v>
      </c>
      <c r="F133" s="44">
        <v>1.15143055616137E-7</v>
      </c>
      <c r="G133" s="44">
        <v>1.03859036165756E-4</v>
      </c>
      <c r="H133" s="45">
        <f t="shared" si="1"/>
        <v>902.0000003</v>
      </c>
      <c r="I133" s="45" t="str">
        <f>IFNA(VLOOKUP(A133,표2[#ALL],2, FALSE), "")</f>
        <v/>
      </c>
      <c r="J133" s="46" t="str">
        <f t="shared" si="2"/>
        <v/>
      </c>
      <c r="K133" s="47" t="str">
        <f t="shared" si="3"/>
        <v/>
      </c>
    </row>
    <row r="134">
      <c r="A134" s="35">
        <v>134.0</v>
      </c>
      <c r="B134" s="36">
        <v>45485.430185185185</v>
      </c>
      <c r="C134" s="36">
        <v>45485.436956018515</v>
      </c>
      <c r="D134" s="37">
        <v>3.87905018994727E-5</v>
      </c>
      <c r="E134" s="38">
        <v>0.0226924436111915</v>
      </c>
      <c r="F134" s="38">
        <v>1.75968269438986E-7</v>
      </c>
      <c r="G134" s="38">
        <v>1.02941437621807E-4</v>
      </c>
      <c r="H134" s="39">
        <f t="shared" si="1"/>
        <v>584.9999997</v>
      </c>
      <c r="I134" s="39" t="str">
        <f>IFNA(VLOOKUP(A134,표2[#ALL],2, FALSE), "")</f>
        <v/>
      </c>
      <c r="J134" s="40" t="str">
        <f t="shared" si="2"/>
        <v/>
      </c>
      <c r="K134" s="41" t="str">
        <f t="shared" si="3"/>
        <v/>
      </c>
    </row>
    <row r="135">
      <c r="A135" s="35">
        <v>135.0</v>
      </c>
      <c r="B135" s="42">
        <v>45485.447060185186</v>
      </c>
      <c r="C135" s="42">
        <v>45485.45458333333</v>
      </c>
      <c r="D135" s="43">
        <v>3.86445300010149E-5</v>
      </c>
      <c r="E135" s="44">
        <v>0.0251189445006597</v>
      </c>
      <c r="F135" s="44">
        <v>1.70432068572718E-7</v>
      </c>
      <c r="G135" s="44">
        <v>1.10780844572267E-4</v>
      </c>
      <c r="H135" s="45">
        <f t="shared" si="1"/>
        <v>649.9999998</v>
      </c>
      <c r="I135" s="45" t="str">
        <f>IFNA(VLOOKUP(A135,표2[#ALL],2, FALSE), "")</f>
        <v/>
      </c>
      <c r="J135" s="46" t="str">
        <f t="shared" si="2"/>
        <v/>
      </c>
      <c r="K135" s="47" t="str">
        <f t="shared" si="3"/>
        <v/>
      </c>
    </row>
    <row r="136">
      <c r="A136" s="35">
        <v>136.0</v>
      </c>
      <c r="B136" s="36">
        <v>45485.45993055555</v>
      </c>
      <c r="C136" s="36">
        <v>45485.46891203704</v>
      </c>
      <c r="D136" s="37">
        <v>3.83674029902798E-5</v>
      </c>
      <c r="E136" s="38">
        <v>0.0297731047204572</v>
      </c>
      <c r="F136" s="38">
        <v>1.33869890195098E-7</v>
      </c>
      <c r="G136" s="38">
        <v>1.03883034791396E-4</v>
      </c>
      <c r="H136" s="39">
        <f t="shared" si="1"/>
        <v>776.0000004</v>
      </c>
      <c r="I136" s="39" t="str">
        <f>IFNA(VLOOKUP(A136,표2[#ALL],2, FALSE), "")</f>
        <v/>
      </c>
      <c r="J136" s="40" t="str">
        <f t="shared" si="2"/>
        <v/>
      </c>
      <c r="K136" s="41" t="str">
        <f t="shared" si="3"/>
        <v/>
      </c>
    </row>
    <row r="137">
      <c r="A137" s="35">
        <v>137.0</v>
      </c>
      <c r="B137" s="42">
        <v>45485.4731712963</v>
      </c>
      <c r="C137" s="42">
        <v>45485.474131944444</v>
      </c>
      <c r="D137" s="43">
        <v>3.11364113324084E-5</v>
      </c>
      <c r="E137" s="44">
        <v>0.0025843221405899</v>
      </c>
      <c r="F137" s="44">
        <v>1.73213636040821E-6</v>
      </c>
      <c r="G137" s="44">
        <v>1.43767317913881E-4</v>
      </c>
      <c r="H137" s="45">
        <f t="shared" si="1"/>
        <v>82.99999991</v>
      </c>
      <c r="I137" s="45" t="str">
        <f>IFNA(VLOOKUP(A137,표2[#ALL],2, FALSE), "")</f>
        <v/>
      </c>
      <c r="J137" s="46" t="str">
        <f t="shared" si="2"/>
        <v/>
      </c>
      <c r="K137" s="47" t="str">
        <f t="shared" si="3"/>
        <v/>
      </c>
    </row>
    <row r="138">
      <c r="A138" s="35">
        <v>138.0</v>
      </c>
      <c r="B138" s="36">
        <v>45485.47630787037</v>
      </c>
      <c r="C138" s="36">
        <v>45485.47667824074</v>
      </c>
      <c r="D138" s="37">
        <v>2.86560175506904E-5</v>
      </c>
      <c r="E138" s="38">
        <v>9.16992561622094E-4</v>
      </c>
      <c r="F138" s="38">
        <v>2.94447313984915E-6</v>
      </c>
      <c r="G138" s="38">
        <v>9.4223140475173E-5</v>
      </c>
      <c r="H138" s="39">
        <f t="shared" si="1"/>
        <v>31.99999994</v>
      </c>
      <c r="I138" s="39" t="str">
        <f>IFNA(VLOOKUP(A138,표2[#ALL],2, FALSE), "")</f>
        <v/>
      </c>
      <c r="J138" s="40" t="str">
        <f t="shared" si="2"/>
        <v/>
      </c>
      <c r="K138" s="41" t="str">
        <f t="shared" si="3"/>
        <v/>
      </c>
    </row>
    <row r="139">
      <c r="A139" s="35">
        <v>139.0</v>
      </c>
      <c r="B139" s="42">
        <v>45485.478159722225</v>
      </c>
      <c r="C139" s="42">
        <v>45485.478483796294</v>
      </c>
      <c r="D139" s="43">
        <v>2.55764098920224E-5</v>
      </c>
      <c r="E139" s="44">
        <v>7.16139476976628E-4</v>
      </c>
      <c r="F139" s="44">
        <v>3.52377541830456E-6</v>
      </c>
      <c r="G139" s="44">
        <v>9.86657117125276E-5</v>
      </c>
      <c r="H139" s="45">
        <f t="shared" si="1"/>
        <v>27.99999963</v>
      </c>
      <c r="I139" s="45" t="str">
        <f>IFNA(VLOOKUP(A139,표2[#ALL],2, FALSE), "")</f>
        <v/>
      </c>
      <c r="J139" s="46" t="str">
        <f t="shared" si="2"/>
        <v/>
      </c>
      <c r="K139" s="47" t="str">
        <f t="shared" si="3"/>
        <v/>
      </c>
    </row>
    <row r="140">
      <c r="A140" s="35">
        <v>140.0</v>
      </c>
      <c r="B140" s="36">
        <v>45485.47980324074</v>
      </c>
      <c r="C140" s="36">
        <v>45485.47997685185</v>
      </c>
      <c r="D140" s="37">
        <v>9.60655204856417E-6</v>
      </c>
      <c r="E140" s="38">
        <v>1.44098280728463E-4</v>
      </c>
      <c r="F140" s="38">
        <v>4.36154587943173E-6</v>
      </c>
      <c r="G140" s="38">
        <v>6.54231881914759E-5</v>
      </c>
      <c r="H140" s="39">
        <f t="shared" si="1"/>
        <v>14.99999973</v>
      </c>
      <c r="I140" s="39" t="str">
        <f>IFNA(VLOOKUP(A140,표2[#ALL],2, FALSE), "")</f>
        <v/>
      </c>
      <c r="J140" s="40" t="str">
        <f t="shared" si="2"/>
        <v/>
      </c>
      <c r="K140" s="41" t="str">
        <f t="shared" si="3"/>
        <v/>
      </c>
    </row>
    <row r="141">
      <c r="A141" s="35">
        <v>141.0</v>
      </c>
      <c r="B141" s="42">
        <v>45485.48479166667</v>
      </c>
      <c r="C141" s="42">
        <v>45485.48517361111</v>
      </c>
      <c r="D141" s="43">
        <v>2.91780023247066E-5</v>
      </c>
      <c r="E141" s="44">
        <v>9.62874076715317E-4</v>
      </c>
      <c r="F141" s="44">
        <v>2.85835813369872E-6</v>
      </c>
      <c r="G141" s="44">
        <v>9.43258184120578E-5</v>
      </c>
      <c r="H141" s="45">
        <f t="shared" si="1"/>
        <v>32.99999954</v>
      </c>
      <c r="I141" s="45" t="str">
        <f>IFNA(VLOOKUP(A141,표2[#ALL],2, FALSE), "")</f>
        <v/>
      </c>
      <c r="J141" s="46" t="str">
        <f t="shared" si="2"/>
        <v/>
      </c>
      <c r="K141" s="47" t="str">
        <f t="shared" si="3"/>
        <v/>
      </c>
    </row>
    <row r="142">
      <c r="A142" s="35">
        <v>142.0</v>
      </c>
      <c r="B142" s="36">
        <v>45485.48756944444</v>
      </c>
      <c r="C142" s="36">
        <v>45485.488020833334</v>
      </c>
      <c r="D142" s="37">
        <v>3.18007502671447E-5</v>
      </c>
      <c r="E142" s="38">
        <v>0.00124022926041864</v>
      </c>
      <c r="F142" s="38">
        <v>2.38974505123485E-6</v>
      </c>
      <c r="G142" s="38">
        <v>9.32000569981593E-5</v>
      </c>
      <c r="H142" s="39">
        <f t="shared" si="1"/>
        <v>39.00000032</v>
      </c>
      <c r="I142" s="39" t="str">
        <f>IFNA(VLOOKUP(A142,표2[#ALL],2, FALSE), "")</f>
        <v/>
      </c>
      <c r="J142" s="40" t="str">
        <f t="shared" si="2"/>
        <v/>
      </c>
      <c r="K142" s="41" t="str">
        <f t="shared" si="3"/>
        <v/>
      </c>
    </row>
    <row r="143">
      <c r="A143" s="35">
        <v>143.0</v>
      </c>
      <c r="B143" s="42">
        <v>45485.490324074075</v>
      </c>
      <c r="C143" s="42">
        <v>45485.4912962963</v>
      </c>
      <c r="D143" s="43">
        <v>3.54690896105252E-5</v>
      </c>
      <c r="E143" s="44">
        <v>0.00297940352728411</v>
      </c>
      <c r="F143" s="44">
        <v>1.09364103262947E-6</v>
      </c>
      <c r="G143" s="44">
        <v>9.18658467408752E-5</v>
      </c>
      <c r="H143" s="45">
        <f t="shared" si="1"/>
        <v>84.00000015</v>
      </c>
      <c r="I143" s="45" t="str">
        <f>IFNA(VLOOKUP(A143,표2[#ALL],2, FALSE), "")</f>
        <v/>
      </c>
      <c r="J143" s="46" t="str">
        <f t="shared" si="2"/>
        <v/>
      </c>
      <c r="K143" s="47" t="str">
        <f t="shared" si="3"/>
        <v/>
      </c>
    </row>
    <row r="144">
      <c r="A144" s="35">
        <v>144.0</v>
      </c>
      <c r="B144" s="36">
        <v>45485.49232638889</v>
      </c>
      <c r="C144" s="36">
        <v>45485.49337962963</v>
      </c>
      <c r="D144" s="37">
        <v>3.57042972358914E-5</v>
      </c>
      <c r="E144" s="38">
        <v>0.00324909104846612</v>
      </c>
      <c r="F144" s="38">
        <v>1.01455677533034E-6</v>
      </c>
      <c r="G144" s="38">
        <v>9.2324666555061E-5</v>
      </c>
      <c r="H144" s="39">
        <f t="shared" si="1"/>
        <v>90.9999999</v>
      </c>
      <c r="I144" s="39" t="str">
        <f>IFNA(VLOOKUP(A144,표2[#ALL],2, FALSE), "")</f>
        <v/>
      </c>
      <c r="J144" s="40" t="str">
        <f t="shared" si="2"/>
        <v/>
      </c>
      <c r="K144" s="41" t="str">
        <f t="shared" si="3"/>
        <v/>
      </c>
    </row>
    <row r="145">
      <c r="A145" s="35">
        <v>145.0</v>
      </c>
      <c r="B145" s="42">
        <v>45485.49451388889</v>
      </c>
      <c r="C145" s="42">
        <v>45485.49532407407</v>
      </c>
      <c r="D145" s="43">
        <v>3.36217968703666E-5</v>
      </c>
      <c r="E145" s="44">
        <v>0.00235352578092567</v>
      </c>
      <c r="F145" s="44">
        <v>1.56462095570372E-6</v>
      </c>
      <c r="G145" s="44">
        <v>1.09523466899261E-4</v>
      </c>
      <c r="H145" s="45">
        <f t="shared" si="1"/>
        <v>70.00000002</v>
      </c>
      <c r="I145" s="45" t="str">
        <f>IFNA(VLOOKUP(A145,표2[#ALL],2, FALSE), "")</f>
        <v/>
      </c>
      <c r="J145" s="46" t="str">
        <f t="shared" si="2"/>
        <v/>
      </c>
      <c r="K145" s="47" t="str">
        <f t="shared" si="3"/>
        <v/>
      </c>
    </row>
    <row r="146">
      <c r="A146" s="35">
        <v>146.0</v>
      </c>
      <c r="B146" s="36">
        <v>45485.49711805556</v>
      </c>
      <c r="C146" s="36">
        <v>45485.49753472222</v>
      </c>
      <c r="D146" s="37">
        <v>3.09194335569654E-5</v>
      </c>
      <c r="E146" s="38">
        <v>0.00111309960805076</v>
      </c>
      <c r="F146" s="38">
        <v>2.55100415463087E-6</v>
      </c>
      <c r="G146" s="38">
        <v>9.18361495667115E-5</v>
      </c>
      <c r="H146" s="39">
        <f t="shared" si="1"/>
        <v>35.99999961</v>
      </c>
      <c r="I146" s="39" t="str">
        <f>IFNA(VLOOKUP(A146,표2[#ALL],2, FALSE), "")</f>
        <v/>
      </c>
      <c r="J146" s="40" t="str">
        <f t="shared" si="2"/>
        <v/>
      </c>
      <c r="K146" s="41" t="str">
        <f t="shared" si="3"/>
        <v/>
      </c>
    </row>
    <row r="147">
      <c r="A147" s="35">
        <v>147.0</v>
      </c>
      <c r="B147" s="42">
        <v>45485.498611111114</v>
      </c>
      <c r="C147" s="42">
        <v>45485.50974537037</v>
      </c>
      <c r="D147" s="43">
        <v>3.78272406701057E-5</v>
      </c>
      <c r="E147" s="44">
        <v>0.0363898055246417</v>
      </c>
      <c r="F147" s="44">
        <v>1.14882179676505E-7</v>
      </c>
      <c r="G147" s="44">
        <v>1.10516656848797E-4</v>
      </c>
      <c r="H147" s="45">
        <f t="shared" si="1"/>
        <v>961.9999998</v>
      </c>
      <c r="I147" s="45" t="str">
        <f>IFNA(VLOOKUP(A147,표2[#ALL],2, FALSE), "")</f>
        <v/>
      </c>
      <c r="J147" s="46" t="str">
        <f t="shared" si="2"/>
        <v/>
      </c>
      <c r="K147" s="47" t="str">
        <f t="shared" si="3"/>
        <v/>
      </c>
    </row>
    <row r="148">
      <c r="A148" s="35">
        <v>148.0</v>
      </c>
      <c r="B148" s="36">
        <v>45485.51219907407</v>
      </c>
      <c r="C148" s="36">
        <v>45485.52042824074</v>
      </c>
      <c r="D148" s="37">
        <v>3.68491244454617E-5</v>
      </c>
      <c r="E148" s="38">
        <v>0.0261997274807233</v>
      </c>
      <c r="F148" s="38">
        <v>2.35113432437233E-7</v>
      </c>
      <c r="G148" s="38">
        <v>1.67165650462873E-4</v>
      </c>
      <c r="H148" s="39">
        <f t="shared" si="1"/>
        <v>711.0000002</v>
      </c>
      <c r="I148" s="39" t="str">
        <f>IFNA(VLOOKUP(A148,표2[#ALL],2, FALSE), "")</f>
        <v/>
      </c>
      <c r="J148" s="40" t="str">
        <f t="shared" si="2"/>
        <v/>
      </c>
      <c r="K148" s="41" t="str">
        <f t="shared" si="3"/>
        <v/>
      </c>
    </row>
    <row r="149">
      <c r="A149" s="35">
        <v>149.0</v>
      </c>
      <c r="B149" s="42">
        <v>45485.5234375</v>
      </c>
      <c r="C149" s="42">
        <v>45485.52429398148</v>
      </c>
      <c r="D149" s="43">
        <v>3.35129603347737E-5</v>
      </c>
      <c r="E149" s="44">
        <v>0.00247995906477325</v>
      </c>
      <c r="F149" s="44">
        <v>1.45116305209293E-6</v>
      </c>
      <c r="G149" s="44">
        <v>1.07386065854877E-4</v>
      </c>
      <c r="H149" s="45">
        <f t="shared" si="1"/>
        <v>73.9999997</v>
      </c>
      <c r="I149" s="45" t="str">
        <f>IFNA(VLOOKUP(A149,표2[#ALL],2, FALSE), "")</f>
        <v/>
      </c>
      <c r="J149" s="46" t="str">
        <f t="shared" si="2"/>
        <v/>
      </c>
      <c r="K149" s="47" t="str">
        <f t="shared" si="3"/>
        <v/>
      </c>
    </row>
    <row r="150">
      <c r="A150" s="35">
        <v>150.0</v>
      </c>
      <c r="B150" s="36">
        <v>45485.52690972222</v>
      </c>
      <c r="C150" s="36">
        <v>45485.53193287037</v>
      </c>
      <c r="D150" s="37">
        <v>3.68162599379617E-5</v>
      </c>
      <c r="E150" s="38">
        <v>0.0159782568130754</v>
      </c>
      <c r="F150" s="38">
        <v>2.71587346555388E-7</v>
      </c>
      <c r="G150" s="38">
        <v>1.17868908405038E-4</v>
      </c>
      <c r="H150" s="39">
        <f t="shared" si="1"/>
        <v>434.0000002</v>
      </c>
      <c r="I150" s="39" t="str">
        <f>IFNA(VLOOKUP(A150,표2[#ALL],2, FALSE), "")</f>
        <v/>
      </c>
      <c r="J150" s="40" t="str">
        <f t="shared" si="2"/>
        <v/>
      </c>
      <c r="K150" s="41" t="str">
        <f t="shared" si="3"/>
        <v/>
      </c>
    </row>
    <row r="151">
      <c r="A151" s="35">
        <v>151.0</v>
      </c>
      <c r="B151" s="42">
        <v>45485.536458333336</v>
      </c>
      <c r="C151" s="42">
        <v>45485.53666666667</v>
      </c>
      <c r="D151" s="43">
        <v>1.6496439951386E-5</v>
      </c>
      <c r="E151" s="44">
        <v>2.96935919124947E-4</v>
      </c>
      <c r="F151" s="44">
        <v>4.40513024815258E-6</v>
      </c>
      <c r="G151" s="44">
        <v>7.92923444667464E-5</v>
      </c>
      <c r="H151" s="45">
        <f t="shared" si="1"/>
        <v>17.99999981</v>
      </c>
      <c r="I151" s="45" t="str">
        <f>IFNA(VLOOKUP(A151,표2[#ALL],2, FALSE), "")</f>
        <v/>
      </c>
      <c r="J151" s="46" t="str">
        <f t="shared" si="2"/>
        <v/>
      </c>
      <c r="K151" s="47" t="str">
        <f t="shared" si="3"/>
        <v/>
      </c>
    </row>
    <row r="152">
      <c r="A152" s="35">
        <v>152.0</v>
      </c>
      <c r="B152" s="36">
        <v>45485.53716435185</v>
      </c>
      <c r="C152" s="36">
        <v>45485.55778935185</v>
      </c>
      <c r="D152" s="37">
        <v>3.71480063638823E-5</v>
      </c>
      <c r="E152" s="38">
        <v>0.0661977473404383</v>
      </c>
      <c r="F152" s="38">
        <v>6.86607447039247E-8</v>
      </c>
      <c r="G152" s="38">
        <v>1.22353447062394E-4</v>
      </c>
      <c r="H152" s="39">
        <f t="shared" si="1"/>
        <v>1782</v>
      </c>
      <c r="I152" s="39" t="str">
        <f>IFNA(VLOOKUP(A152,표2[#ALL],2, FALSE), "")</f>
        <v/>
      </c>
      <c r="J152" s="40" t="str">
        <f t="shared" si="2"/>
        <v/>
      </c>
      <c r="K152" s="41" t="str">
        <f t="shared" si="3"/>
        <v/>
      </c>
    </row>
    <row r="153">
      <c r="A153" s="35">
        <v>153.0</v>
      </c>
      <c r="B153" s="42">
        <v>45485.56077546296</v>
      </c>
      <c r="C153" s="42">
        <v>45485.56685185185</v>
      </c>
      <c r="D153" s="43">
        <v>3.67504004521234E-5</v>
      </c>
      <c r="E153" s="44">
        <v>0.0192939602373648</v>
      </c>
      <c r="F153" s="44">
        <v>1.89366991453114E-7</v>
      </c>
      <c r="G153" s="44">
        <v>9.94176705128847E-5</v>
      </c>
      <c r="H153" s="45">
        <f t="shared" si="1"/>
        <v>525.0000001</v>
      </c>
      <c r="I153" s="45" t="str">
        <f>IFNA(VLOOKUP(A153,표2[#ALL],2, FALSE), "")</f>
        <v/>
      </c>
      <c r="J153" s="46" t="str">
        <f t="shared" si="2"/>
        <v/>
      </c>
      <c r="K153" s="47" t="str">
        <f t="shared" si="3"/>
        <v/>
      </c>
    </row>
    <row r="154">
      <c r="A154" s="35">
        <v>154.0</v>
      </c>
      <c r="B154" s="36">
        <v>45485.56872685185</v>
      </c>
      <c r="C154" s="36">
        <v>45485.56916666667</v>
      </c>
      <c r="D154" s="37">
        <v>2.94824055874884E-5</v>
      </c>
      <c r="E154" s="38">
        <v>0.00112033141232456</v>
      </c>
      <c r="F154" s="38">
        <v>2.43569427625195E-6</v>
      </c>
      <c r="G154" s="38">
        <v>9.2556382497574E-5</v>
      </c>
      <c r="H154" s="39">
        <f t="shared" si="1"/>
        <v>38.00000008</v>
      </c>
      <c r="I154" s="39" t="str">
        <f>IFNA(VLOOKUP(A154,표2[#ALL],2, FALSE), "")</f>
        <v/>
      </c>
      <c r="J154" s="40" t="str">
        <f t="shared" si="2"/>
        <v/>
      </c>
      <c r="K154" s="41" t="str">
        <f t="shared" si="3"/>
        <v/>
      </c>
    </row>
    <row r="155">
      <c r="A155" s="35">
        <v>155.0</v>
      </c>
      <c r="B155" s="42">
        <v>45485.57084490741</v>
      </c>
      <c r="C155" s="42">
        <v>45485.571238425924</v>
      </c>
      <c r="D155" s="43">
        <v>2.92725142266805E-5</v>
      </c>
      <c r="E155" s="44">
        <v>9.95265483707136E-4</v>
      </c>
      <c r="F155" s="44">
        <v>2.59355538229675E-6</v>
      </c>
      <c r="G155" s="44">
        <v>8.81808829980896E-5</v>
      </c>
      <c r="H155" s="45">
        <f t="shared" si="1"/>
        <v>33.99999978</v>
      </c>
      <c r="I155" s="45" t="str">
        <f>IFNA(VLOOKUP(A155,표2[#ALL],2, FALSE), "")</f>
        <v/>
      </c>
      <c r="J155" s="46" t="str">
        <f t="shared" si="2"/>
        <v/>
      </c>
      <c r="K155" s="47" t="str">
        <f t="shared" si="3"/>
        <v/>
      </c>
    </row>
    <row r="156">
      <c r="A156" s="35">
        <v>156.0</v>
      </c>
      <c r="B156" s="36">
        <v>45485.572800925926</v>
      </c>
      <c r="C156" s="36">
        <v>45485.577731481484</v>
      </c>
      <c r="D156" s="37">
        <v>3.62563828441685E-5</v>
      </c>
      <c r="E156" s="38">
        <v>0.0154452190916158</v>
      </c>
      <c r="F156" s="38">
        <v>2.44628425116967E-7</v>
      </c>
      <c r="G156" s="38">
        <v>1.04211709099828E-4</v>
      </c>
      <c r="H156" s="39">
        <f t="shared" si="1"/>
        <v>426.0000003</v>
      </c>
      <c r="I156" s="39" t="str">
        <f>IFNA(VLOOKUP(A156,표2[#ALL],2, FALSE), "")</f>
        <v/>
      </c>
      <c r="J156" s="40" t="str">
        <f t="shared" si="2"/>
        <v/>
      </c>
      <c r="K156" s="41" t="str">
        <f t="shared" si="3"/>
        <v/>
      </c>
    </row>
    <row r="157">
      <c r="A157" s="35">
        <v>157.0</v>
      </c>
      <c r="B157" s="42">
        <v>45485.57991898148</v>
      </c>
      <c r="C157" s="42">
        <v>45485.58392361111</v>
      </c>
      <c r="D157" s="43">
        <v>3.58471259908532E-5</v>
      </c>
      <c r="E157" s="44">
        <v>0.0124031055928352</v>
      </c>
      <c r="F157" s="44">
        <v>2.82703667123718E-7</v>
      </c>
      <c r="G157" s="44">
        <v>9.78154688248066E-5</v>
      </c>
      <c r="H157" s="45">
        <f t="shared" si="1"/>
        <v>346.0000004</v>
      </c>
      <c r="I157" s="45" t="str">
        <f>IFNA(VLOOKUP(A157,표2[#ALL],2, FALSE), "")</f>
        <v/>
      </c>
      <c r="J157" s="46" t="str">
        <f t="shared" si="2"/>
        <v/>
      </c>
      <c r="K157" s="47" t="str">
        <f t="shared" si="3"/>
        <v/>
      </c>
    </row>
    <row r="158">
      <c r="A158" s="35">
        <v>158.0</v>
      </c>
      <c r="B158" s="36">
        <v>45485.58550925926</v>
      </c>
      <c r="C158" s="36">
        <v>45485.58583333333</v>
      </c>
      <c r="D158" s="37">
        <v>3.27171898640439E-5</v>
      </c>
      <c r="E158" s="38">
        <v>9.16081316193231E-4</v>
      </c>
      <c r="F158" s="38">
        <v>2.09819814777182E-6</v>
      </c>
      <c r="G158" s="38">
        <v>5.87495481376109E-5</v>
      </c>
      <c r="H158" s="39">
        <f t="shared" si="1"/>
        <v>27.99999963</v>
      </c>
      <c r="I158" s="39" t="str">
        <f>IFNA(VLOOKUP(A158,표2[#ALL],2, FALSE), "")</f>
        <v/>
      </c>
      <c r="J158" s="40" t="str">
        <f t="shared" si="2"/>
        <v/>
      </c>
      <c r="K158" s="41" t="str">
        <f t="shared" si="3"/>
        <v/>
      </c>
    </row>
    <row r="159">
      <c r="A159" s="35">
        <v>159.0</v>
      </c>
      <c r="B159" s="42">
        <v>45485.58883101852</v>
      </c>
      <c r="C159" s="42">
        <v>45485.59171296296</v>
      </c>
      <c r="D159" s="43">
        <v>3.67431996058586E-5</v>
      </c>
      <c r="E159" s="44">
        <v>0.00914905670185879</v>
      </c>
      <c r="F159" s="44">
        <v>4.37443345187156E-8</v>
      </c>
      <c r="G159" s="44">
        <v>1.08923392951602E-5</v>
      </c>
      <c r="H159" s="45">
        <f t="shared" si="1"/>
        <v>248.9999997</v>
      </c>
      <c r="I159" s="45" t="str">
        <f>IFNA(VLOOKUP(A159,표2[#ALL],2, FALSE), "")</f>
        <v/>
      </c>
      <c r="J159" s="46" t="str">
        <f t="shared" si="2"/>
        <v/>
      </c>
      <c r="K159" s="47" t="str">
        <f t="shared" si="3"/>
        <v/>
      </c>
    </row>
    <row r="160">
      <c r="A160" s="35">
        <v>160.0</v>
      </c>
      <c r="B160" s="36">
        <v>45485.5925</v>
      </c>
      <c r="C160" s="36">
        <v>45485.595601851855</v>
      </c>
      <c r="D160" s="37">
        <v>3.55080133039623E-5</v>
      </c>
      <c r="E160" s="38">
        <v>0.0095161475654619</v>
      </c>
      <c r="F160" s="38">
        <v>4.0615325701248E-7</v>
      </c>
      <c r="G160" s="38">
        <v>1.08849072879345E-4</v>
      </c>
      <c r="H160" s="39">
        <f t="shared" si="1"/>
        <v>268.0000004</v>
      </c>
      <c r="I160" s="39" t="str">
        <f>IFNA(VLOOKUP(A160,표2[#ALL],2, FALSE), "")</f>
        <v/>
      </c>
      <c r="J160" s="40" t="str">
        <f t="shared" si="2"/>
        <v/>
      </c>
      <c r="K160" s="41" t="str">
        <f t="shared" si="3"/>
        <v/>
      </c>
    </row>
    <row r="161">
      <c r="A161" s="35">
        <v>161.0</v>
      </c>
      <c r="B161" s="42">
        <v>45485.59799768519</v>
      </c>
      <c r="C161" s="42">
        <v>45485.59923611111</v>
      </c>
      <c r="D161" s="43">
        <v>3.6428452863067E-5</v>
      </c>
      <c r="E161" s="44">
        <v>0.00389784445634817</v>
      </c>
      <c r="F161" s="44">
        <v>6.37741785821038E-8</v>
      </c>
      <c r="G161" s="44">
        <v>6.8238371082851E-6</v>
      </c>
      <c r="H161" s="45">
        <f t="shared" si="1"/>
        <v>106.9999999</v>
      </c>
      <c r="I161" s="45" t="str">
        <f>IFNA(VLOOKUP(A161,표2[#ALL],2, FALSE), "")</f>
        <v/>
      </c>
      <c r="J161" s="46" t="str">
        <f t="shared" si="2"/>
        <v/>
      </c>
      <c r="K161" s="47" t="str">
        <f t="shared" si="3"/>
        <v/>
      </c>
    </row>
    <row r="162">
      <c r="A162" s="35">
        <v>162.0</v>
      </c>
      <c r="B162" s="36">
        <v>45485.60759259259</v>
      </c>
      <c r="C162" s="36">
        <v>45485.61200231482</v>
      </c>
      <c r="D162" s="37">
        <v>3.56749797601742E-5</v>
      </c>
      <c r="E162" s="38">
        <v>0.0135921672886264</v>
      </c>
      <c r="F162" s="38">
        <v>2.87746336451913E-7</v>
      </c>
      <c r="G162" s="38">
        <v>1.09631354188179E-4</v>
      </c>
      <c r="H162" s="39">
        <f t="shared" si="1"/>
        <v>381.0000004</v>
      </c>
      <c r="I162" s="39" t="str">
        <f>IFNA(VLOOKUP(A162,표2[#ALL],2, FALSE), "")</f>
        <v/>
      </c>
      <c r="J162" s="40" t="str">
        <f t="shared" si="2"/>
        <v/>
      </c>
      <c r="K162" s="41" t="str">
        <f t="shared" si="3"/>
        <v/>
      </c>
    </row>
    <row r="163">
      <c r="A163" s="35">
        <v>163.0</v>
      </c>
      <c r="B163" s="42">
        <v>45485.61467592593</v>
      </c>
      <c r="C163" s="42">
        <v>45485.619259259256</v>
      </c>
      <c r="D163" s="43">
        <v>3.60155766021454E-5</v>
      </c>
      <c r="E163" s="44">
        <v>0.0142621683344496</v>
      </c>
      <c r="F163" s="44">
        <v>3.06472412125372E-8</v>
      </c>
      <c r="G163" s="44">
        <v>1.21363075201647E-5</v>
      </c>
      <c r="H163" s="45">
        <f t="shared" si="1"/>
        <v>395.9999995</v>
      </c>
      <c r="I163" s="45" t="str">
        <f>IFNA(VLOOKUP(A163,표2[#ALL],2, FALSE), "")</f>
        <v/>
      </c>
      <c r="J163" s="46" t="str">
        <f t="shared" si="2"/>
        <v/>
      </c>
      <c r="K163" s="47" t="str">
        <f t="shared" si="3"/>
        <v/>
      </c>
    </row>
    <row r="164">
      <c r="A164" s="35">
        <v>164.0</v>
      </c>
      <c r="B164" s="36">
        <v>45485.61993055556</v>
      </c>
      <c r="C164" s="36">
        <v>45485.62530092592</v>
      </c>
      <c r="D164" s="37">
        <v>3.61870731205265E-5</v>
      </c>
      <c r="E164" s="38">
        <v>0.0167908019279243</v>
      </c>
      <c r="F164" s="38">
        <v>2.80673004332554E-8</v>
      </c>
      <c r="G164" s="38">
        <v>1.30232274010305E-5</v>
      </c>
      <c r="H164" s="39">
        <f t="shared" si="1"/>
        <v>463.9999997</v>
      </c>
      <c r="I164" s="39" t="str">
        <f>IFNA(VLOOKUP(A164,표2[#ALL],2, FALSE), "")</f>
        <v/>
      </c>
      <c r="J164" s="40" t="str">
        <f t="shared" si="2"/>
        <v/>
      </c>
      <c r="K164" s="41" t="str">
        <f t="shared" si="3"/>
        <v/>
      </c>
    </row>
    <row r="165">
      <c r="A165" s="35">
        <v>165.0</v>
      </c>
      <c r="B165" s="42">
        <v>45485.62585648148</v>
      </c>
      <c r="C165" s="42">
        <v>45485.628657407404</v>
      </c>
      <c r="D165" s="43">
        <v>3.48913093324722E-5</v>
      </c>
      <c r="E165" s="44">
        <v>0.00844369685845828</v>
      </c>
      <c r="F165" s="44">
        <v>4.67661202564845E-7</v>
      </c>
      <c r="G165" s="44">
        <v>1.13174011020692E-4</v>
      </c>
      <c r="H165" s="45">
        <f t="shared" si="1"/>
        <v>242</v>
      </c>
      <c r="I165" s="45" t="str">
        <f>IFNA(VLOOKUP(A165,표2[#ALL],2, FALSE), "")</f>
        <v/>
      </c>
      <c r="J165" s="46" t="str">
        <f t="shared" si="2"/>
        <v/>
      </c>
      <c r="K165" s="47" t="str">
        <f t="shared" si="3"/>
        <v/>
      </c>
    </row>
    <row r="166">
      <c r="A166" s="35">
        <v>166.0</v>
      </c>
      <c r="B166" s="36">
        <v>45485.630011574074</v>
      </c>
      <c r="C166" s="36">
        <v>45485.633784722224</v>
      </c>
      <c r="D166" s="37">
        <v>3.5829685295159E-5</v>
      </c>
      <c r="E166" s="38">
        <v>0.0116804774062219</v>
      </c>
      <c r="F166" s="38">
        <v>3.17715254124114E-8</v>
      </c>
      <c r="G166" s="38">
        <v>1.03575172844461E-5</v>
      </c>
      <c r="H166" s="39">
        <f t="shared" si="1"/>
        <v>326.0000001</v>
      </c>
      <c r="I166" s="39" t="str">
        <f>IFNA(VLOOKUP(A166,표2[#ALL],2, FALSE), "")</f>
        <v/>
      </c>
      <c r="J166" s="40" t="str">
        <f t="shared" si="2"/>
        <v/>
      </c>
      <c r="K166" s="41" t="str">
        <f t="shared" si="3"/>
        <v/>
      </c>
    </row>
    <row r="167">
      <c r="A167" s="35">
        <v>167.0</v>
      </c>
      <c r="B167" s="42">
        <v>45485.63568287037</v>
      </c>
      <c r="C167" s="42">
        <v>45485.63853009259</v>
      </c>
      <c r="D167" s="43">
        <v>3.47284714949271E-5</v>
      </c>
      <c r="E167" s="44">
        <v>0.00854320398775208</v>
      </c>
      <c r="F167" s="44">
        <v>3.96197623067204E-7</v>
      </c>
      <c r="G167" s="44">
        <v>9.74646152745323E-5</v>
      </c>
      <c r="H167" s="45">
        <f t="shared" si="1"/>
        <v>245.9999997</v>
      </c>
      <c r="I167" s="45" t="str">
        <f>IFNA(VLOOKUP(A167,표2[#ALL],2, FALSE), "")</f>
        <v/>
      </c>
      <c r="J167" s="46" t="str">
        <f t="shared" si="2"/>
        <v/>
      </c>
      <c r="K167" s="47" t="str">
        <f t="shared" si="3"/>
        <v/>
      </c>
    </row>
    <row r="168">
      <c r="A168" s="35">
        <v>168.0</v>
      </c>
      <c r="B168" s="36">
        <v>45485.640497685185</v>
      </c>
      <c r="C168" s="36">
        <v>45485.64399305556</v>
      </c>
      <c r="D168" s="37">
        <v>3.60429993026928E-5</v>
      </c>
      <c r="E168" s="38">
        <v>0.0108849857894132</v>
      </c>
      <c r="F168" s="38">
        <v>3.46997727981871E-8</v>
      </c>
      <c r="G168" s="38">
        <v>1.04793313850525E-5</v>
      </c>
      <c r="H168" s="39">
        <f t="shared" si="1"/>
        <v>302.0000002</v>
      </c>
      <c r="I168" s="39" t="str">
        <f>IFNA(VLOOKUP(A168,표2[#ALL],2, FALSE), "")</f>
        <v/>
      </c>
      <c r="J168" s="40" t="str">
        <f t="shared" si="2"/>
        <v/>
      </c>
      <c r="K168" s="41" t="str">
        <f t="shared" si="3"/>
        <v/>
      </c>
    </row>
    <row r="169">
      <c r="A169" s="35">
        <v>169.0</v>
      </c>
      <c r="B169" s="42">
        <v>45485.648368055554</v>
      </c>
      <c r="C169" s="42">
        <v>45485.651504629626</v>
      </c>
      <c r="D169" s="43">
        <v>3.58553846594043E-5</v>
      </c>
      <c r="E169" s="44">
        <v>0.00971680924269856</v>
      </c>
      <c r="F169" s="44">
        <v>3.81160546686954E-8</v>
      </c>
      <c r="G169" s="44">
        <v>1.03294508152164E-5</v>
      </c>
      <c r="H169" s="45">
        <f t="shared" si="1"/>
        <v>270.9999999</v>
      </c>
      <c r="I169" s="45" t="str">
        <f>IFNA(VLOOKUP(A169,표2[#ALL],2, FALSE), "")</f>
        <v/>
      </c>
      <c r="J169" s="46" t="str">
        <f t="shared" si="2"/>
        <v/>
      </c>
      <c r="K169" s="47" t="str">
        <f t="shared" si="3"/>
        <v/>
      </c>
    </row>
    <row r="170">
      <c r="A170" s="35">
        <v>170.0</v>
      </c>
      <c r="B170" s="36">
        <v>45485.65157407407</v>
      </c>
      <c r="C170" s="36">
        <v>45485.65765046296</v>
      </c>
      <c r="D170" s="37">
        <v>3.52282359913124E-5</v>
      </c>
      <c r="E170" s="38">
        <v>0.018494823895439</v>
      </c>
      <c r="F170" s="38">
        <v>1.96235937294159E-7</v>
      </c>
      <c r="G170" s="38">
        <v>1.03023867079434E-4</v>
      </c>
      <c r="H170" s="39">
        <f t="shared" si="1"/>
        <v>525.0000001</v>
      </c>
      <c r="I170" s="39" t="str">
        <f>IFNA(VLOOKUP(A170,표2[#ALL],2, FALSE), "")</f>
        <v/>
      </c>
      <c r="J170" s="40" t="str">
        <f t="shared" si="2"/>
        <v/>
      </c>
      <c r="K170" s="41" t="str">
        <f t="shared" si="3"/>
        <v/>
      </c>
    </row>
    <row r="171">
      <c r="A171" s="35">
        <v>171.0</v>
      </c>
      <c r="B171" s="42">
        <v>45485.659780092596</v>
      </c>
      <c r="C171" s="42">
        <v>45485.667766203704</v>
      </c>
      <c r="D171" s="43">
        <v>3.54239353971349E-5</v>
      </c>
      <c r="E171" s="44">
        <v>0.0244425154240231</v>
      </c>
      <c r="F171" s="44">
        <v>1.47637467504666E-7</v>
      </c>
      <c r="G171" s="44">
        <v>1.0186985257822E-4</v>
      </c>
      <c r="H171" s="45">
        <f t="shared" si="1"/>
        <v>689.9999997</v>
      </c>
      <c r="I171" s="45" t="str">
        <f>IFNA(VLOOKUP(A171,표2[#ALL],2, FALSE), "")</f>
        <v/>
      </c>
      <c r="J171" s="46" t="str">
        <f t="shared" si="2"/>
        <v/>
      </c>
      <c r="K171" s="47" t="str">
        <f t="shared" si="3"/>
        <v/>
      </c>
    </row>
    <row r="172">
      <c r="A172" s="35">
        <v>172.0</v>
      </c>
      <c r="B172" s="36">
        <v>45485.6696875</v>
      </c>
      <c r="C172" s="36">
        <v>45485.6753125</v>
      </c>
      <c r="D172" s="37">
        <v>3.50192406832657E-5</v>
      </c>
      <c r="E172" s="38">
        <v>0.0170193509720671</v>
      </c>
      <c r="F172" s="38">
        <v>1.80917964679089E-7</v>
      </c>
      <c r="G172" s="38">
        <v>8.79261308340375E-5</v>
      </c>
      <c r="H172" s="39">
        <f t="shared" si="1"/>
        <v>486.0000005</v>
      </c>
      <c r="I172" s="39" t="str">
        <f>IFNA(VLOOKUP(A172,표2[#ALL],2, FALSE), "")</f>
        <v/>
      </c>
      <c r="J172" s="40" t="str">
        <f t="shared" si="2"/>
        <v/>
      </c>
      <c r="K172" s="41" t="str">
        <f t="shared" si="3"/>
        <v/>
      </c>
    </row>
    <row r="173">
      <c r="A173" s="35">
        <v>173.0</v>
      </c>
      <c r="B173" s="42">
        <v>45485.679398148146</v>
      </c>
      <c r="C173" s="42">
        <v>45485.682337962964</v>
      </c>
      <c r="D173" s="43">
        <v>3.44696720852041E-5</v>
      </c>
      <c r="E173" s="44">
        <v>0.00875529670964183</v>
      </c>
      <c r="F173" s="44">
        <v>3.9211346128719E-7</v>
      </c>
      <c r="G173" s="44">
        <v>9.95968191669462E-5</v>
      </c>
      <c r="H173" s="45">
        <f t="shared" si="1"/>
        <v>254.0000003</v>
      </c>
      <c r="I173" s="45" t="str">
        <f>IFNA(VLOOKUP(A173,표2[#ALL],2, FALSE), "")</f>
        <v/>
      </c>
      <c r="J173" s="46" t="str">
        <f t="shared" si="2"/>
        <v/>
      </c>
      <c r="K173" s="47" t="str">
        <f t="shared" si="3"/>
        <v/>
      </c>
    </row>
    <row r="174">
      <c r="A174" s="35">
        <v>174.0</v>
      </c>
      <c r="B174" s="36">
        <v>45485.68444444444</v>
      </c>
      <c r="C174" s="36">
        <v>45485.68571759259</v>
      </c>
      <c r="D174" s="37">
        <v>3.5680722080198E-5</v>
      </c>
      <c r="E174" s="38">
        <v>0.00392487942882178</v>
      </c>
      <c r="F174" s="38">
        <v>5.4662512767219E-8</v>
      </c>
      <c r="G174" s="38">
        <v>6.01287640439409E-6</v>
      </c>
      <c r="H174" s="39">
        <f t="shared" si="1"/>
        <v>109.9999999</v>
      </c>
      <c r="I174" s="39" t="str">
        <f>IFNA(VLOOKUP(A174,표2[#ALL],2, FALSE), "")</f>
        <v/>
      </c>
      <c r="J174" s="40" t="str">
        <f t="shared" si="2"/>
        <v/>
      </c>
      <c r="K174" s="41" t="str">
        <f t="shared" si="3"/>
        <v/>
      </c>
    </row>
    <row r="175">
      <c r="A175" s="35">
        <v>175.0</v>
      </c>
      <c r="B175" s="42">
        <v>45485.69100694444</v>
      </c>
      <c r="C175" s="42">
        <v>45485.69393518518</v>
      </c>
      <c r="D175" s="43">
        <v>3.39852085464168E-5</v>
      </c>
      <c r="E175" s="44">
        <v>0.00859825776224346</v>
      </c>
      <c r="F175" s="44">
        <v>3.85585531677014E-7</v>
      </c>
      <c r="G175" s="44">
        <v>9.75531395142845E-5</v>
      </c>
      <c r="H175" s="45">
        <f t="shared" si="1"/>
        <v>253</v>
      </c>
      <c r="I175" s="45" t="str">
        <f>IFNA(VLOOKUP(A175,표2[#ALL],2, FALSE), "")</f>
        <v/>
      </c>
      <c r="J175" s="46" t="str">
        <f t="shared" si="2"/>
        <v/>
      </c>
      <c r="K175" s="47" t="str">
        <f t="shared" si="3"/>
        <v/>
      </c>
    </row>
    <row r="176">
      <c r="A176" s="35">
        <v>176.0</v>
      </c>
      <c r="B176" s="36">
        <v>45485.6959375</v>
      </c>
      <c r="C176" s="36">
        <v>45485.700277777774</v>
      </c>
      <c r="D176" s="37">
        <v>3.50617608954679E-5</v>
      </c>
      <c r="E176" s="38">
        <v>0.0131481603358005</v>
      </c>
      <c r="F176" s="38">
        <v>2.5281002695105E-8</v>
      </c>
      <c r="G176" s="38">
        <v>9.48037601066438E-6</v>
      </c>
      <c r="H176" s="39">
        <f t="shared" si="1"/>
        <v>374.9999997</v>
      </c>
      <c r="I176" s="39" t="str">
        <f>IFNA(VLOOKUP(A176,표2[#ALL],2, FALSE), "")</f>
        <v/>
      </c>
      <c r="J176" s="40" t="str">
        <f t="shared" si="2"/>
        <v/>
      </c>
      <c r="K176" s="41" t="str">
        <f t="shared" si="3"/>
        <v/>
      </c>
    </row>
    <row r="177">
      <c r="A177" s="35">
        <v>177.0</v>
      </c>
      <c r="B177" s="42">
        <v>45485.70856481481</v>
      </c>
      <c r="C177" s="42">
        <v>45485.715474537035</v>
      </c>
      <c r="D177" s="43">
        <v>3.49085244662223E-5</v>
      </c>
      <c r="E177" s="44">
        <v>0.0208403891063347</v>
      </c>
      <c r="F177" s="44">
        <v>1.57869413126112E-7</v>
      </c>
      <c r="G177" s="44">
        <v>9.42480396362889E-5</v>
      </c>
      <c r="H177" s="45">
        <f t="shared" si="1"/>
        <v>597</v>
      </c>
      <c r="I177" s="45" t="str">
        <f>IFNA(VLOOKUP(A177,표2[#ALL],2, FALSE), "")</f>
        <v/>
      </c>
      <c r="J177" s="46" t="str">
        <f t="shared" si="2"/>
        <v/>
      </c>
      <c r="K177" s="47" t="str">
        <f t="shared" si="3"/>
        <v/>
      </c>
    </row>
    <row r="178">
      <c r="A178" s="35">
        <v>178.0</v>
      </c>
      <c r="B178" s="36">
        <v>45485.719351851854</v>
      </c>
      <c r="C178" s="36">
        <v>45485.72248842593</v>
      </c>
      <c r="D178" s="37">
        <v>3.46656879834326E-5</v>
      </c>
      <c r="E178" s="38">
        <v>0.00939440144351022</v>
      </c>
      <c r="F178" s="38">
        <v>3.6837953231613E-7</v>
      </c>
      <c r="G178" s="38">
        <v>9.98308532576711E-5</v>
      </c>
      <c r="H178" s="39">
        <f t="shared" si="1"/>
        <v>270.9999999</v>
      </c>
      <c r="I178" s="39" t="str">
        <f>IFNA(VLOOKUP(A178,표2[#ALL],2, FALSE), "")</f>
        <v/>
      </c>
      <c r="J178" s="40" t="str">
        <f t="shared" si="2"/>
        <v/>
      </c>
      <c r="K178" s="41" t="str">
        <f t="shared" si="3"/>
        <v/>
      </c>
    </row>
    <row r="179">
      <c r="A179" s="35">
        <v>179.0</v>
      </c>
      <c r="B179" s="42">
        <v>45485.7247337963</v>
      </c>
      <c r="C179" s="42">
        <v>45485.735810185186</v>
      </c>
      <c r="D179" s="43">
        <v>3.49036783489318E-5</v>
      </c>
      <c r="E179" s="44">
        <v>0.0334028201799278</v>
      </c>
      <c r="F179" s="44">
        <v>1.09188043057964E-7</v>
      </c>
      <c r="G179" s="44">
        <v>1.04492957206471E-4</v>
      </c>
      <c r="H179" s="45">
        <f t="shared" si="1"/>
        <v>956.9999999</v>
      </c>
      <c r="I179" s="45" t="str">
        <f>IFNA(VLOOKUP(A179,표2[#ALL],2, FALSE), "")</f>
        <v/>
      </c>
      <c r="J179" s="46" t="str">
        <f t="shared" si="2"/>
        <v/>
      </c>
      <c r="K179" s="47" t="str">
        <f t="shared" si="3"/>
        <v/>
      </c>
    </row>
    <row r="180">
      <c r="A180" s="35">
        <v>180.0</v>
      </c>
      <c r="B180" s="36">
        <v>45485.7425</v>
      </c>
      <c r="C180" s="36">
        <v>45485.75083333333</v>
      </c>
      <c r="D180" s="37">
        <v>3.52166858644985E-5</v>
      </c>
      <c r="E180" s="38">
        <v>0.0253560138224389</v>
      </c>
      <c r="F180" s="38">
        <v>1.57260530317959E-7</v>
      </c>
      <c r="G180" s="38">
        <v>1.13227581828931E-4</v>
      </c>
      <c r="H180" s="39">
        <f t="shared" si="1"/>
        <v>719.9999998</v>
      </c>
      <c r="I180" s="39" t="str">
        <f>IFNA(VLOOKUP(A180,표2[#ALL],2, FALSE), "")</f>
        <v/>
      </c>
      <c r="J180" s="40" t="str">
        <f t="shared" si="2"/>
        <v/>
      </c>
      <c r="K180" s="41" t="str">
        <f t="shared" si="3"/>
        <v/>
      </c>
    </row>
    <row r="181">
      <c r="A181" s="35">
        <v>181.0</v>
      </c>
      <c r="B181" s="42">
        <v>45488.414722222224</v>
      </c>
      <c r="C181" s="42">
        <v>45488.41548611111</v>
      </c>
      <c r="D181" s="43">
        <v>3.66390511817903E-5</v>
      </c>
      <c r="E181" s="44">
        <v>0.00241817737799816</v>
      </c>
      <c r="F181" s="44">
        <v>1.78865267454814E-6</v>
      </c>
      <c r="G181" s="44">
        <v>1.18051076520178E-4</v>
      </c>
      <c r="H181" s="45">
        <f t="shared" si="1"/>
        <v>65.99999971</v>
      </c>
      <c r="I181" s="45" t="str">
        <f>IFNA(VLOOKUP(A181,표2[#ALL],2, FALSE), "")</f>
        <v/>
      </c>
      <c r="J181" s="46" t="str">
        <f t="shared" si="2"/>
        <v/>
      </c>
      <c r="K181" s="47" t="str">
        <f t="shared" si="3"/>
        <v/>
      </c>
    </row>
    <row r="182">
      <c r="A182" s="35">
        <v>182.0</v>
      </c>
      <c r="B182" s="36">
        <v>45488.41652777778</v>
      </c>
      <c r="C182" s="36">
        <v>45488.42728009259</v>
      </c>
      <c r="D182" s="37">
        <v>4.11309768560156E-5</v>
      </c>
      <c r="E182" s="38">
        <v>0.0382106774992385</v>
      </c>
      <c r="F182" s="38">
        <v>1.00634298840748E-7</v>
      </c>
      <c r="G182" s="38">
        <v>9.34892636230552E-5</v>
      </c>
      <c r="H182" s="39">
        <f t="shared" si="1"/>
        <v>928.9999997</v>
      </c>
      <c r="I182" s="39" t="str">
        <f>IFNA(VLOOKUP(A182,표2[#ALL],2, FALSE), "")</f>
        <v/>
      </c>
      <c r="J182" s="40" t="str">
        <f t="shared" si="2"/>
        <v/>
      </c>
      <c r="K182" s="41" t="str">
        <f t="shared" si="3"/>
        <v/>
      </c>
    </row>
    <row r="183">
      <c r="A183" s="35">
        <v>183.0</v>
      </c>
      <c r="B183" s="42">
        <v>45488.42858796296</v>
      </c>
      <c r="C183" s="42">
        <v>45488.43350694444</v>
      </c>
      <c r="D183" s="43">
        <v>4.02289469942429E-5</v>
      </c>
      <c r="E183" s="44">
        <v>0.0170973024725532</v>
      </c>
      <c r="F183" s="44">
        <v>2.45919120217818E-8</v>
      </c>
      <c r="G183" s="44">
        <v>1.04515626092573E-5</v>
      </c>
      <c r="H183" s="45">
        <f t="shared" si="1"/>
        <v>425</v>
      </c>
      <c r="I183" s="45" t="str">
        <f>IFNA(VLOOKUP(A183,표2[#ALL],2, FALSE), "")</f>
        <v/>
      </c>
      <c r="J183" s="46" t="str">
        <f t="shared" si="2"/>
        <v/>
      </c>
      <c r="K183" s="47" t="str">
        <f t="shared" si="3"/>
        <v/>
      </c>
    </row>
    <row r="184">
      <c r="A184" s="35">
        <v>184.0</v>
      </c>
      <c r="B184" s="36">
        <v>45488.43375</v>
      </c>
      <c r="C184" s="36">
        <v>45488.43686342592</v>
      </c>
      <c r="D184" s="37">
        <v>3.99306557494493E-5</v>
      </c>
      <c r="E184" s="38">
        <v>0.0107413463966019</v>
      </c>
      <c r="F184" s="38">
        <v>3.4362288411844E-8</v>
      </c>
      <c r="G184" s="38">
        <v>9.24345558278603E-6</v>
      </c>
      <c r="H184" s="39">
        <f t="shared" si="1"/>
        <v>269</v>
      </c>
      <c r="I184" s="39" t="str">
        <f>IFNA(VLOOKUP(A184,표2[#ALL],2, FALSE), "")</f>
        <v/>
      </c>
      <c r="J184" s="40" t="str">
        <f t="shared" si="2"/>
        <v/>
      </c>
      <c r="K184" s="41" t="str">
        <f t="shared" si="3"/>
        <v/>
      </c>
    </row>
    <row r="185">
      <c r="A185" s="35">
        <v>185.0</v>
      </c>
      <c r="B185" s="42">
        <v>45488.441296296296</v>
      </c>
      <c r="C185" s="42">
        <v>45488.453564814816</v>
      </c>
      <c r="D185" s="43">
        <v>3.92639937886889E-5</v>
      </c>
      <c r="E185" s="44">
        <v>0.0416198334160103</v>
      </c>
      <c r="F185" s="44">
        <v>1.07483518106915E-7</v>
      </c>
      <c r="G185" s="44">
        <v>1.1393252919333E-4</v>
      </c>
      <c r="H185" s="45">
        <f t="shared" si="1"/>
        <v>1060</v>
      </c>
      <c r="I185" s="45" t="str">
        <f>IFNA(VLOOKUP(A185,표2[#ALL],2, FALSE), "")</f>
        <v/>
      </c>
      <c r="J185" s="46" t="str">
        <f t="shared" si="2"/>
        <v/>
      </c>
      <c r="K185" s="47" t="str">
        <f t="shared" si="3"/>
        <v/>
      </c>
    </row>
    <row r="186">
      <c r="A186" s="35">
        <v>186.0</v>
      </c>
      <c r="B186" s="36">
        <v>45488.45590277778</v>
      </c>
      <c r="C186" s="36">
        <v>45488.465104166666</v>
      </c>
      <c r="D186" s="37">
        <v>3.87516070732081E-5</v>
      </c>
      <c r="E186" s="38">
        <v>0.0308075276232005</v>
      </c>
      <c r="F186" s="38">
        <v>1.52261924639526E-7</v>
      </c>
      <c r="G186" s="38">
        <v>1.21048230088423E-4</v>
      </c>
      <c r="H186" s="39">
        <f t="shared" si="1"/>
        <v>794.9999998</v>
      </c>
      <c r="I186" s="39" t="str">
        <f>IFNA(VLOOKUP(A186,표2[#ALL],2, FALSE), "")</f>
        <v/>
      </c>
      <c r="J186" s="40" t="str">
        <f t="shared" si="2"/>
        <v/>
      </c>
      <c r="K186" s="41" t="str">
        <f t="shared" si="3"/>
        <v/>
      </c>
    </row>
    <row r="187">
      <c r="A187" s="35">
        <v>187.0</v>
      </c>
      <c r="B187" s="42">
        <v>45488.46892361111</v>
      </c>
      <c r="C187" s="42">
        <v>45488.475277777776</v>
      </c>
      <c r="D187" s="43">
        <v>3.84880718266565E-5</v>
      </c>
      <c r="E187" s="44">
        <v>0.0211299514328344</v>
      </c>
      <c r="F187" s="44">
        <v>1.89504368214271E-7</v>
      </c>
      <c r="G187" s="44">
        <v>1.04037898149635E-4</v>
      </c>
      <c r="H187" s="45">
        <f t="shared" si="1"/>
        <v>549.0000001</v>
      </c>
      <c r="I187" s="45" t="str">
        <f>IFNA(VLOOKUP(A187,표2[#ALL],2, FALSE), "")</f>
        <v/>
      </c>
      <c r="J187" s="46" t="str">
        <f t="shared" si="2"/>
        <v/>
      </c>
      <c r="K187" s="47" t="str">
        <f t="shared" si="3"/>
        <v/>
      </c>
    </row>
    <row r="188">
      <c r="A188" s="35">
        <v>188.0</v>
      </c>
      <c r="B188" s="36">
        <v>45488.47760416667</v>
      </c>
      <c r="C188" s="36">
        <v>45488.48777777778</v>
      </c>
      <c r="D188" s="37">
        <v>3.84512761536773E-5</v>
      </c>
      <c r="E188" s="38">
        <v>0.0337986717390823</v>
      </c>
      <c r="F188" s="38">
        <v>1.18658133327198E-7</v>
      </c>
      <c r="G188" s="38">
        <v>1.04300499194607E-4</v>
      </c>
      <c r="H188" s="39">
        <f t="shared" si="1"/>
        <v>878.9999999</v>
      </c>
      <c r="I188" s="39" t="str">
        <f>IFNA(VLOOKUP(A188,표2[#ALL],2, FALSE), "")</f>
        <v/>
      </c>
      <c r="J188" s="40" t="str">
        <f t="shared" si="2"/>
        <v/>
      </c>
      <c r="K188" s="41" t="str">
        <f t="shared" si="3"/>
        <v/>
      </c>
    </row>
    <row r="189">
      <c r="A189" s="35">
        <v>189.0</v>
      </c>
      <c r="B189" s="42">
        <v>45488.48909722222</v>
      </c>
      <c r="C189" s="42">
        <v>45488.49964120371</v>
      </c>
      <c r="D189" s="43">
        <v>3.81096036436751E-5</v>
      </c>
      <c r="E189" s="44">
        <v>0.0347178489193881</v>
      </c>
      <c r="F189" s="44">
        <v>1.06198815522769E-7</v>
      </c>
      <c r="G189" s="44">
        <v>9.67471209412425E-5</v>
      </c>
      <c r="H189" s="45">
        <f t="shared" si="1"/>
        <v>911.0000005</v>
      </c>
      <c r="I189" s="45" t="str">
        <f>IFNA(VLOOKUP(A189,표2[#ALL],2, FALSE), "")</f>
        <v/>
      </c>
      <c r="J189" s="46" t="str">
        <f t="shared" si="2"/>
        <v/>
      </c>
      <c r="K189" s="47" t="str">
        <f t="shared" si="3"/>
        <v/>
      </c>
    </row>
    <row r="190">
      <c r="A190" s="35">
        <v>190.0</v>
      </c>
      <c r="B190" s="36">
        <v>45488.501064814816</v>
      </c>
      <c r="C190" s="36">
        <v>45488.52447916667</v>
      </c>
      <c r="D190" s="37">
        <v>3.76927177626119E-5</v>
      </c>
      <c r="E190" s="38">
        <v>0.0762523680337639</v>
      </c>
      <c r="F190" s="38">
        <v>5.22847692850582E-8</v>
      </c>
      <c r="G190" s="38">
        <v>1.05772088263673E-4</v>
      </c>
      <c r="H190" s="39">
        <f t="shared" si="1"/>
        <v>2023</v>
      </c>
      <c r="I190" s="39" t="str">
        <f>IFNA(VLOOKUP(A190,표2[#ALL],2, FALSE), "")</f>
        <v/>
      </c>
      <c r="J190" s="40" t="str">
        <f t="shared" si="2"/>
        <v/>
      </c>
      <c r="K190" s="41" t="str">
        <f t="shared" si="3"/>
        <v/>
      </c>
    </row>
    <row r="191">
      <c r="A191" s="35">
        <v>191.0</v>
      </c>
      <c r="B191" s="42">
        <v>45488.52663194444</v>
      </c>
      <c r="C191" s="42">
        <v>45488.53565972222</v>
      </c>
      <c r="D191" s="43">
        <v>3.71761504747994E-5</v>
      </c>
      <c r="E191" s="44">
        <v>0.0289973973703436</v>
      </c>
      <c r="F191" s="44">
        <v>1.10086165252135E-7</v>
      </c>
      <c r="G191" s="44">
        <v>8.58672088966654E-5</v>
      </c>
      <c r="H191" s="45">
        <f t="shared" si="1"/>
        <v>780</v>
      </c>
      <c r="I191" s="45" t="str">
        <f>IFNA(VLOOKUP(A191,표2[#ALL],2, FALSE), "")</f>
        <v/>
      </c>
      <c r="J191" s="46" t="str">
        <f t="shared" si="2"/>
        <v/>
      </c>
      <c r="K191" s="47" t="str">
        <f t="shared" si="3"/>
        <v/>
      </c>
    </row>
    <row r="192">
      <c r="A192" s="35">
        <v>192.0</v>
      </c>
      <c r="B192" s="36">
        <v>45488.72628472222</v>
      </c>
      <c r="C192" s="36">
        <v>45488.73005787037</v>
      </c>
      <c r="D192" s="37">
        <v>4.01728883985577E-5</v>
      </c>
      <c r="E192" s="38">
        <v>0.0130963616179298</v>
      </c>
      <c r="F192" s="38">
        <v>3.56211347682779E-7</v>
      </c>
      <c r="G192" s="38">
        <v>1.16124899344586E-4</v>
      </c>
      <c r="H192" s="39">
        <f t="shared" si="1"/>
        <v>326.0000001</v>
      </c>
      <c r="I192" s="39" t="str">
        <f>IFNA(VLOOKUP(A192,표2[#ALL],2, FALSE), "")</f>
        <v/>
      </c>
      <c r="J192" s="40" t="str">
        <f t="shared" si="2"/>
        <v/>
      </c>
      <c r="K192" s="41" t="str">
        <f t="shared" si="3"/>
        <v/>
      </c>
    </row>
    <row r="193">
      <c r="A193" s="35">
        <v>193.0</v>
      </c>
      <c r="B193" s="42">
        <v>45488.73231481481</v>
      </c>
      <c r="C193" s="42">
        <v>45488.74462962963</v>
      </c>
      <c r="D193" s="43">
        <v>4.08209794280373E-5</v>
      </c>
      <c r="E193" s="44">
        <v>0.0434335221114317</v>
      </c>
      <c r="F193" s="44">
        <v>1.03647631857411E-7</v>
      </c>
      <c r="G193" s="44">
        <v>1.10281080296285E-4</v>
      </c>
      <c r="H193" s="45">
        <f t="shared" si="1"/>
        <v>1064</v>
      </c>
      <c r="I193" s="45" t="str">
        <f>IFNA(VLOOKUP(A193,표2[#ALL],2, FALSE), "")</f>
        <v/>
      </c>
      <c r="J193" s="46" t="str">
        <f t="shared" si="2"/>
        <v/>
      </c>
      <c r="K193" s="47" t="str">
        <f t="shared" si="3"/>
        <v/>
      </c>
    </row>
    <row r="194">
      <c r="A194" s="35">
        <v>194.0</v>
      </c>
      <c r="B194" s="36">
        <v>45488.74616898148</v>
      </c>
      <c r="C194" s="36">
        <v>45488.75755787037</v>
      </c>
      <c r="D194" s="37">
        <v>4.08280019857416E-5</v>
      </c>
      <c r="E194" s="38">
        <v>0.0401747539539697</v>
      </c>
      <c r="F194" s="38">
        <v>1.11545792396977E-7</v>
      </c>
      <c r="G194" s="38">
        <v>1.09761059718626E-4</v>
      </c>
      <c r="H194" s="39">
        <f t="shared" si="1"/>
        <v>983.9999999</v>
      </c>
      <c r="I194" s="39" t="str">
        <f>IFNA(VLOOKUP(A194,표2[#ALL],2, FALSE), "")</f>
        <v/>
      </c>
      <c r="J194" s="40" t="str">
        <f t="shared" si="2"/>
        <v/>
      </c>
      <c r="K194" s="41" t="str">
        <f t="shared" si="3"/>
        <v/>
      </c>
    </row>
    <row r="195">
      <c r="A195" s="35">
        <v>195.0</v>
      </c>
      <c r="B195" s="42">
        <v>45489.50130787037</v>
      </c>
      <c r="C195" s="42">
        <v>45489.505833333336</v>
      </c>
      <c r="D195" s="43">
        <v>3.65716941806928E-5</v>
      </c>
      <c r="E195" s="44">
        <v>0.0142995324246509</v>
      </c>
      <c r="F195" s="44">
        <v>2.57317641125489E-8</v>
      </c>
      <c r="G195" s="44">
        <v>1.00611197680066E-5</v>
      </c>
      <c r="H195" s="45">
        <f t="shared" si="1"/>
        <v>391.0000002</v>
      </c>
      <c r="I195" s="45" t="str">
        <f>IFNA(VLOOKUP(A195,표2[#ALL],2, FALSE), "")</f>
        <v/>
      </c>
      <c r="J195" s="46" t="str">
        <f t="shared" si="2"/>
        <v/>
      </c>
      <c r="K195" s="47" t="str">
        <f t="shared" si="3"/>
        <v/>
      </c>
    </row>
    <row r="196">
      <c r="A196" s="35">
        <v>196.0</v>
      </c>
      <c r="B196" s="36">
        <v>45489.50592592593</v>
      </c>
      <c r="C196" s="36">
        <v>45489.51050925926</v>
      </c>
      <c r="D196" s="37">
        <v>3.56555849468191E-5</v>
      </c>
      <c r="E196" s="38">
        <v>0.0141196116389404</v>
      </c>
      <c r="F196" s="38">
        <v>3.12083611740017E-7</v>
      </c>
      <c r="G196" s="38">
        <v>1.23585110249047E-4</v>
      </c>
      <c r="H196" s="39">
        <f t="shared" si="1"/>
        <v>395.9999995</v>
      </c>
      <c r="I196" s="39" t="str">
        <f>IFNA(VLOOKUP(A196,표2[#ALL],2, FALSE), "")</f>
        <v/>
      </c>
      <c r="J196" s="40" t="str">
        <f t="shared" si="2"/>
        <v/>
      </c>
      <c r="K196" s="41" t="str">
        <f t="shared" si="3"/>
        <v/>
      </c>
    </row>
    <row r="197">
      <c r="A197" s="35">
        <v>197.0</v>
      </c>
      <c r="B197" s="42">
        <v>45489.52210648148</v>
      </c>
      <c r="C197" s="42">
        <v>45489.53582175926</v>
      </c>
      <c r="D197" s="43">
        <v>3.86673636823302E-5</v>
      </c>
      <c r="E197" s="44">
        <v>0.0458208259635613</v>
      </c>
      <c r="F197" s="44">
        <v>1.14688755413073E-7</v>
      </c>
      <c r="G197" s="44">
        <v>1.35906175164491E-4</v>
      </c>
      <c r="H197" s="45">
        <f t="shared" si="1"/>
        <v>1185</v>
      </c>
      <c r="I197" s="45" t="str">
        <f>IFNA(VLOOKUP(A197,표2[#ALL],2, FALSE), "")</f>
        <v/>
      </c>
      <c r="J197" s="46" t="str">
        <f t="shared" si="2"/>
        <v/>
      </c>
      <c r="K197" s="47" t="str">
        <f t="shared" si="3"/>
        <v/>
      </c>
    </row>
    <row r="198">
      <c r="A198" s="35">
        <v>198.0</v>
      </c>
      <c r="B198" s="36">
        <v>45489.53679398148</v>
      </c>
      <c r="C198" s="36">
        <v>45489.54840277778</v>
      </c>
      <c r="D198" s="37">
        <v>4.05182859125949E-5</v>
      </c>
      <c r="E198" s="38">
        <v>0.0406398407703327</v>
      </c>
      <c r="F198" s="38">
        <v>1.16458327739944E-7</v>
      </c>
      <c r="G198" s="38">
        <v>1.16807702723164E-4</v>
      </c>
      <c r="H198" s="39">
        <f t="shared" si="1"/>
        <v>1003</v>
      </c>
      <c r="I198" s="39" t="str">
        <f>IFNA(VLOOKUP(A198,표2[#ALL],2, FALSE), "")</f>
        <v/>
      </c>
      <c r="J198" s="40" t="str">
        <f t="shared" si="2"/>
        <v/>
      </c>
      <c r="K198" s="41" t="str">
        <f t="shared" si="3"/>
        <v/>
      </c>
    </row>
    <row r="199">
      <c r="A199" s="35">
        <v>199.0</v>
      </c>
      <c r="B199" s="42">
        <v>45489.550104166665</v>
      </c>
      <c r="C199" s="42">
        <v>45489.55719907407</v>
      </c>
      <c r="D199" s="43">
        <v>4.05145486273175E-5</v>
      </c>
      <c r="E199" s="44">
        <v>0.0248354183085456</v>
      </c>
      <c r="F199" s="44">
        <v>1.9102339752876E-8</v>
      </c>
      <c r="G199" s="44">
        <v>1.1709734268513E-5</v>
      </c>
      <c r="H199" s="45">
        <f t="shared" si="1"/>
        <v>613</v>
      </c>
      <c r="I199" s="45" t="str">
        <f>IFNA(VLOOKUP(A199,표2[#ALL],2, FALSE), "")</f>
        <v/>
      </c>
      <c r="J199" s="46" t="str">
        <f t="shared" si="2"/>
        <v/>
      </c>
      <c r="K199" s="47" t="str">
        <f t="shared" si="3"/>
        <v/>
      </c>
    </row>
    <row r="200">
      <c r="A200" s="35">
        <v>200.0</v>
      </c>
      <c r="B200" s="36">
        <v>45489.56199074074</v>
      </c>
      <c r="C200" s="36">
        <v>45489.566770833335</v>
      </c>
      <c r="D200" s="37">
        <v>3.97876647075632E-5</v>
      </c>
      <c r="E200" s="38">
        <v>0.0164323055242236</v>
      </c>
      <c r="F200" s="38">
        <v>2.5815013524389E-7</v>
      </c>
      <c r="G200" s="38">
        <v>1.06616005855727E-4</v>
      </c>
      <c r="H200" s="39">
        <f t="shared" si="1"/>
        <v>413.0000004</v>
      </c>
      <c r="I200" s="39" t="str">
        <f>IFNA(VLOOKUP(A200,표2[#ALL],2, FALSE), "")</f>
        <v/>
      </c>
      <c r="J200" s="40" t="str">
        <f t="shared" si="2"/>
        <v/>
      </c>
      <c r="K200" s="41" t="str">
        <f t="shared" si="3"/>
        <v/>
      </c>
    </row>
    <row r="201">
      <c r="A201" s="35">
        <v>201.0</v>
      </c>
      <c r="B201" s="42">
        <v>45489.56818287037</v>
      </c>
      <c r="C201" s="42">
        <v>45489.569548611114</v>
      </c>
      <c r="D201" s="43">
        <v>4.04862963060615E-5</v>
      </c>
      <c r="E201" s="44">
        <v>0.00477738296411526</v>
      </c>
      <c r="F201" s="44">
        <v>4.55018839983155E-8</v>
      </c>
      <c r="G201" s="44">
        <v>5.36922231180122E-6</v>
      </c>
      <c r="H201" s="45">
        <f t="shared" si="1"/>
        <v>118.0000006</v>
      </c>
      <c r="I201" s="45" t="str">
        <f>IFNA(VLOOKUP(A201,표2[#ALL],2, FALSE), "")</f>
        <v/>
      </c>
      <c r="J201" s="46" t="str">
        <f t="shared" si="2"/>
        <v/>
      </c>
      <c r="K201" s="47" t="str">
        <f t="shared" si="3"/>
        <v/>
      </c>
    </row>
    <row r="202">
      <c r="A202" s="35">
        <v>202.0</v>
      </c>
      <c r="B202" s="36">
        <v>45489.575902777775</v>
      </c>
      <c r="C202" s="36">
        <v>45489.57923611111</v>
      </c>
      <c r="D202" s="37">
        <v>4.05795375448541E-5</v>
      </c>
      <c r="E202" s="38">
        <v>0.011686906812918</v>
      </c>
      <c r="F202" s="38">
        <v>2.76768986481919E-8</v>
      </c>
      <c r="G202" s="38">
        <v>7.97094681067927E-6</v>
      </c>
      <c r="H202" s="39">
        <f t="shared" si="1"/>
        <v>288.0000001</v>
      </c>
      <c r="I202" s="39" t="str">
        <f>IFNA(VLOOKUP(A202,표2[#ALL],2, FALSE), "")</f>
        <v/>
      </c>
      <c r="J202" s="40" t="str">
        <f t="shared" si="2"/>
        <v/>
      </c>
      <c r="K202" s="41" t="str">
        <f t="shared" si="3"/>
        <v/>
      </c>
    </row>
    <row r="203">
      <c r="A203" s="35">
        <v>203.0</v>
      </c>
      <c r="B203" s="42">
        <v>45489.579363425924</v>
      </c>
      <c r="C203" s="42">
        <v>45489.58090277778</v>
      </c>
      <c r="D203" s="43">
        <v>3.84523085102486E-5</v>
      </c>
      <c r="E203" s="44">
        <v>0.00511415703186306</v>
      </c>
      <c r="F203" s="44">
        <v>7.94212326028358E-7</v>
      </c>
      <c r="G203" s="44">
        <v>1.05630239361772E-4</v>
      </c>
      <c r="H203" s="45">
        <f t="shared" si="1"/>
        <v>133.0000003</v>
      </c>
      <c r="I203" s="45" t="str">
        <f>IFNA(VLOOKUP(A203,표2[#ALL],2, FALSE), "")</f>
        <v/>
      </c>
      <c r="J203" s="46" t="str">
        <f t="shared" si="2"/>
        <v/>
      </c>
      <c r="K203" s="47" t="str">
        <f t="shared" si="3"/>
        <v/>
      </c>
    </row>
    <row r="204">
      <c r="A204" s="35">
        <v>204.0</v>
      </c>
      <c r="B204" s="36">
        <v>45489.58721064815</v>
      </c>
      <c r="C204" s="36">
        <v>45489.59212962963</v>
      </c>
      <c r="D204" s="37">
        <v>3.92878971185661E-5</v>
      </c>
      <c r="E204" s="38">
        <v>0.0166973562753906</v>
      </c>
      <c r="F204" s="38">
        <v>3.11414480912717E-7</v>
      </c>
      <c r="G204" s="38">
        <v>1.32351154387905E-4</v>
      </c>
      <c r="H204" s="39">
        <f t="shared" si="1"/>
        <v>425</v>
      </c>
      <c r="I204" s="39" t="str">
        <f>IFNA(VLOOKUP(A204,표2[#ALL],2, FALSE), "")</f>
        <v/>
      </c>
      <c r="J204" s="40" t="str">
        <f t="shared" si="2"/>
        <v/>
      </c>
      <c r="K204" s="41" t="str">
        <f t="shared" si="3"/>
        <v/>
      </c>
    </row>
    <row r="205">
      <c r="A205" s="35">
        <v>205.0</v>
      </c>
      <c r="B205" s="42">
        <v>45489.59364583333</v>
      </c>
      <c r="C205" s="42">
        <v>45489.597453703704</v>
      </c>
      <c r="D205" s="43">
        <v>4.03438925292083E-5</v>
      </c>
      <c r="E205" s="44">
        <v>0.0132731406421095</v>
      </c>
      <c r="F205" s="44">
        <v>2.76066238779253E-8</v>
      </c>
      <c r="G205" s="44">
        <v>9.08257925583742E-6</v>
      </c>
      <c r="H205" s="45">
        <f t="shared" si="1"/>
        <v>329.0000002</v>
      </c>
      <c r="I205" s="45" t="str">
        <f>IFNA(VLOOKUP(A205,표2[#ALL],2, FALSE), "")</f>
        <v/>
      </c>
      <c r="J205" s="46" t="str">
        <f t="shared" si="2"/>
        <v/>
      </c>
      <c r="K205" s="47" t="str">
        <f t="shared" si="3"/>
        <v/>
      </c>
    </row>
    <row r="206">
      <c r="A206" s="35">
        <v>206.0</v>
      </c>
      <c r="B206" s="36">
        <v>45489.60172453704</v>
      </c>
      <c r="C206" s="36">
        <v>45489.60768518518</v>
      </c>
      <c r="D206" s="37">
        <v>3.98397582947225E-5</v>
      </c>
      <c r="E206" s="38">
        <v>0.0205174755217821</v>
      </c>
      <c r="F206" s="38">
        <v>2.07504937024596E-7</v>
      </c>
      <c r="G206" s="38">
        <v>1.06865042567667E-4</v>
      </c>
      <c r="H206" s="39">
        <f t="shared" si="1"/>
        <v>514.9999997</v>
      </c>
      <c r="I206" s="39" t="str">
        <f>IFNA(VLOOKUP(A206,표2[#ALL],2, FALSE), "")</f>
        <v/>
      </c>
      <c r="J206" s="40" t="str">
        <f t="shared" si="2"/>
        <v/>
      </c>
      <c r="K206" s="41" t="str">
        <f t="shared" si="3"/>
        <v/>
      </c>
    </row>
    <row r="207">
      <c r="A207" s="35">
        <v>207.0</v>
      </c>
      <c r="B207" s="42">
        <v>45489.609918981485</v>
      </c>
      <c r="C207" s="42">
        <v>45489.6141087963</v>
      </c>
      <c r="D207" s="43">
        <v>3.94027420782766E-5</v>
      </c>
      <c r="E207" s="44">
        <v>0.0142637926323361</v>
      </c>
      <c r="F207" s="44">
        <v>3.12270199450423E-7</v>
      </c>
      <c r="G207" s="44">
        <v>1.13041812201053E-4</v>
      </c>
      <c r="H207" s="45">
        <f t="shared" si="1"/>
        <v>361.9999998</v>
      </c>
      <c r="I207" s="45" t="str">
        <f>IFNA(VLOOKUP(A207,표2[#ALL],2, FALSE), "")</f>
        <v/>
      </c>
      <c r="J207" s="46" t="str">
        <f t="shared" si="2"/>
        <v/>
      </c>
      <c r="K207" s="47" t="str">
        <f t="shared" si="3"/>
        <v/>
      </c>
    </row>
    <row r="208">
      <c r="A208" s="35">
        <v>208.0</v>
      </c>
      <c r="B208" s="36">
        <v>45489.61636574074</v>
      </c>
      <c r="C208" s="36">
        <v>45489.62060185185</v>
      </c>
      <c r="D208" s="37">
        <v>3.89731512186685E-5</v>
      </c>
      <c r="E208" s="38">
        <v>0.0142641733460327</v>
      </c>
      <c r="F208" s="38">
        <v>3.61191391960073E-7</v>
      </c>
      <c r="G208" s="38">
        <v>1.32196049457387E-4</v>
      </c>
      <c r="H208" s="39">
        <f t="shared" si="1"/>
        <v>366.0000001</v>
      </c>
      <c r="I208" s="39" t="str">
        <f>IFNA(VLOOKUP(A208,표2[#ALL],2, FALSE), "")</f>
        <v/>
      </c>
      <c r="J208" s="40" t="str">
        <f t="shared" si="2"/>
        <v/>
      </c>
      <c r="K208" s="41" t="str">
        <f t="shared" si="3"/>
        <v/>
      </c>
    </row>
    <row r="209">
      <c r="A209" s="35">
        <v>209.0</v>
      </c>
      <c r="B209" s="42">
        <v>45489.62283564815</v>
      </c>
      <c r="C209" s="42">
        <v>45489.62466435185</v>
      </c>
      <c r="D209" s="43">
        <v>3.69291581693017E-5</v>
      </c>
      <c r="E209" s="44">
        <v>0.00583480699074967</v>
      </c>
      <c r="F209" s="44">
        <v>8.89495978226319E-7</v>
      </c>
      <c r="G209" s="44">
        <v>1.40540364559758E-4</v>
      </c>
      <c r="H209" s="45">
        <f t="shared" si="1"/>
        <v>157.9999998</v>
      </c>
      <c r="I209" s="45" t="str">
        <f>IFNA(VLOOKUP(A209,표2[#ALL],2, FALSE), "")</f>
        <v/>
      </c>
      <c r="J209" s="46" t="str">
        <f t="shared" si="2"/>
        <v/>
      </c>
      <c r="K209" s="47" t="str">
        <f t="shared" si="3"/>
        <v/>
      </c>
    </row>
    <row r="210">
      <c r="A210" s="35">
        <v>210.0</v>
      </c>
      <c r="B210" s="36">
        <v>45489.627916666665</v>
      </c>
      <c r="C210" s="36">
        <v>45489.62888888889</v>
      </c>
      <c r="D210" s="37">
        <v>3.56827669266291E-5</v>
      </c>
      <c r="E210" s="38">
        <v>0.00299735242183685</v>
      </c>
      <c r="F210" s="38">
        <v>1.42681221122499E-6</v>
      </c>
      <c r="G210" s="38">
        <v>1.19852225742899E-4</v>
      </c>
      <c r="H210" s="39">
        <f t="shared" si="1"/>
        <v>84.00000015</v>
      </c>
      <c r="I210" s="39" t="str">
        <f>IFNA(VLOOKUP(A210,표2[#ALL],2, FALSE), "")</f>
        <v/>
      </c>
      <c r="J210" s="40" t="str">
        <f t="shared" si="2"/>
        <v/>
      </c>
      <c r="K210" s="41" t="str">
        <f t="shared" si="3"/>
        <v/>
      </c>
    </row>
    <row r="211">
      <c r="A211" s="35">
        <v>211.0</v>
      </c>
      <c r="B211" s="42">
        <v>45489.62980324074</v>
      </c>
      <c r="C211" s="42">
        <v>45489.64289351852</v>
      </c>
      <c r="D211" s="43">
        <v>3.97992541130075E-5</v>
      </c>
      <c r="E211" s="44">
        <v>0.0450129564018115</v>
      </c>
      <c r="F211" s="44">
        <v>1.01524737039594E-7</v>
      </c>
      <c r="G211" s="44">
        <v>1.14824477591781E-4</v>
      </c>
      <c r="H211" s="45">
        <f t="shared" si="1"/>
        <v>1131</v>
      </c>
      <c r="I211" s="45" t="str">
        <f>IFNA(VLOOKUP(A211,표2[#ALL],2, FALSE), "")</f>
        <v/>
      </c>
      <c r="J211" s="46" t="str">
        <f t="shared" si="2"/>
        <v/>
      </c>
      <c r="K211" s="47" t="str">
        <f t="shared" si="3"/>
        <v/>
      </c>
    </row>
    <row r="212">
      <c r="A212" s="35">
        <v>212.0</v>
      </c>
      <c r="B212" s="36">
        <v>45489.644479166665</v>
      </c>
      <c r="C212" s="36">
        <v>45489.65084490741</v>
      </c>
      <c r="D212" s="37">
        <v>3.95903356827049E-5</v>
      </c>
      <c r="E212" s="38">
        <v>0.0217746846254877</v>
      </c>
      <c r="F212" s="38">
        <v>1.91782355955817E-7</v>
      </c>
      <c r="G212" s="38">
        <v>1.05480295775699E-4</v>
      </c>
      <c r="H212" s="39">
        <f t="shared" si="1"/>
        <v>550.0000003</v>
      </c>
      <c r="I212" s="39" t="str">
        <f>IFNA(VLOOKUP(A212,표2[#ALL],2, FALSE), "")</f>
        <v/>
      </c>
      <c r="J212" s="40" t="str">
        <f t="shared" si="2"/>
        <v/>
      </c>
      <c r="K212" s="41" t="str">
        <f t="shared" si="3"/>
        <v/>
      </c>
    </row>
    <row r="213">
      <c r="A213" s="35">
        <v>213.0</v>
      </c>
      <c r="B213" s="42">
        <v>45489.651724537034</v>
      </c>
      <c r="C213" s="42">
        <v>45489.65361111111</v>
      </c>
      <c r="D213" s="43">
        <v>3.81713659109921E-5</v>
      </c>
      <c r="E213" s="44">
        <v>0.00622193264349171</v>
      </c>
      <c r="F213" s="44">
        <v>6.47823303351328E-7</v>
      </c>
      <c r="G213" s="44">
        <v>1.05595198446266E-4</v>
      </c>
      <c r="H213" s="45">
        <f t="shared" si="1"/>
        <v>163.0000004</v>
      </c>
      <c r="I213" s="45" t="str">
        <f>IFNA(VLOOKUP(A213,표2[#ALL],2, FALSE), "")</f>
        <v/>
      </c>
      <c r="J213" s="46" t="str">
        <f t="shared" si="2"/>
        <v/>
      </c>
      <c r="K213" s="47" t="str">
        <f t="shared" si="3"/>
        <v/>
      </c>
    </row>
    <row r="214">
      <c r="A214" s="35">
        <v>214.0</v>
      </c>
      <c r="B214" s="36">
        <v>45489.65728009259</v>
      </c>
      <c r="C214" s="36">
        <v>45489.66454861111</v>
      </c>
      <c r="D214" s="37">
        <v>3.95690555607903E-5</v>
      </c>
      <c r="E214" s="38">
        <v>0.0248493668921763</v>
      </c>
      <c r="F214" s="38">
        <v>1.67056889421047E-7</v>
      </c>
      <c r="G214" s="38">
        <v>1.04911726556418E-4</v>
      </c>
      <c r="H214" s="39">
        <f t="shared" si="1"/>
        <v>627.9999997</v>
      </c>
      <c r="I214" s="39" t="str">
        <f>IFNA(VLOOKUP(A214,표2[#ALL],2, FALSE), "")</f>
        <v/>
      </c>
      <c r="J214" s="40" t="str">
        <f t="shared" si="2"/>
        <v/>
      </c>
      <c r="K214" s="41" t="str">
        <f t="shared" si="3"/>
        <v/>
      </c>
    </row>
    <row r="215">
      <c r="A215" s="35">
        <v>215.0</v>
      </c>
      <c r="B215" s="42">
        <v>45489.66658564815</v>
      </c>
      <c r="C215" s="42">
        <v>45489.671215277776</v>
      </c>
      <c r="D215" s="43">
        <v>3.88079741215022E-5</v>
      </c>
      <c r="E215" s="44">
        <v>0.0155231896486009</v>
      </c>
      <c r="F215" s="44">
        <v>3.21221839253391E-7</v>
      </c>
      <c r="G215" s="44">
        <v>1.28488735701356E-4</v>
      </c>
      <c r="H215" s="45">
        <f t="shared" si="1"/>
        <v>399.9999998</v>
      </c>
      <c r="I215" s="45" t="str">
        <f>IFNA(VLOOKUP(A215,표2[#ALL],2, FALSE), "")</f>
        <v/>
      </c>
      <c r="J215" s="46" t="str">
        <f t="shared" si="2"/>
        <v/>
      </c>
      <c r="K215" s="47" t="str">
        <f t="shared" si="3"/>
        <v/>
      </c>
    </row>
    <row r="216">
      <c r="A216" s="35">
        <v>216.0</v>
      </c>
      <c r="B216" s="36">
        <v>45489.67403935185</v>
      </c>
      <c r="C216" s="36">
        <v>45489.67532407407</v>
      </c>
      <c r="D216" s="37">
        <v>3.62040835168837E-5</v>
      </c>
      <c r="E216" s="38">
        <v>0.00401865327037409</v>
      </c>
      <c r="F216" s="38">
        <v>1.10043420774336E-6</v>
      </c>
      <c r="G216" s="38">
        <v>1.22148197059514E-4</v>
      </c>
      <c r="H216" s="39">
        <f t="shared" si="1"/>
        <v>111.0000002</v>
      </c>
      <c r="I216" s="39" t="str">
        <f>IFNA(VLOOKUP(A216,표2[#ALL],2, FALSE), "")</f>
        <v/>
      </c>
      <c r="J216" s="40" t="str">
        <f t="shared" si="2"/>
        <v/>
      </c>
      <c r="K216" s="41" t="str">
        <f t="shared" si="3"/>
        <v/>
      </c>
    </row>
    <row r="217">
      <c r="A217" s="35">
        <v>217.0</v>
      </c>
      <c r="B217" s="42">
        <v>45489.67623842593</v>
      </c>
      <c r="C217" s="42">
        <v>45489.6866087963</v>
      </c>
      <c r="D217" s="43">
        <v>3.97679712826288E-5</v>
      </c>
      <c r="E217" s="44">
        <v>0.0356321022692354</v>
      </c>
      <c r="F217" s="44">
        <v>1.73774508526584E-8</v>
      </c>
      <c r="G217" s="44">
        <v>1.55701959639819E-5</v>
      </c>
      <c r="H217" s="45">
        <f t="shared" si="1"/>
        <v>896.0000001</v>
      </c>
      <c r="I217" s="45" t="str">
        <f>IFNA(VLOOKUP(A217,표2[#ALL],2, FALSE), "")</f>
        <v/>
      </c>
      <c r="J217" s="46" t="str">
        <f t="shared" si="2"/>
        <v/>
      </c>
      <c r="K217" s="47" t="str">
        <f t="shared" si="3"/>
        <v/>
      </c>
    </row>
    <row r="218">
      <c r="A218" s="35">
        <v>218.0</v>
      </c>
      <c r="B218" s="36">
        <v>45489.69101851852</v>
      </c>
      <c r="C218" s="36">
        <v>45489.69490740741</v>
      </c>
      <c r="D218" s="37">
        <v>3.87568141294634E-5</v>
      </c>
      <c r="E218" s="38">
        <v>0.0130222895474997</v>
      </c>
      <c r="F218" s="38">
        <v>3.50374959773673E-7</v>
      </c>
      <c r="G218" s="38">
        <v>1.17725986483954E-4</v>
      </c>
      <c r="H218" s="39">
        <f t="shared" si="1"/>
        <v>336</v>
      </c>
      <c r="I218" s="39" t="str">
        <f>IFNA(VLOOKUP(A218,표2[#ALL],2, FALSE), "")</f>
        <v/>
      </c>
      <c r="J218" s="40" t="str">
        <f t="shared" si="2"/>
        <v/>
      </c>
      <c r="K218" s="41" t="str">
        <f t="shared" si="3"/>
        <v/>
      </c>
    </row>
    <row r="219">
      <c r="A219" s="35">
        <v>219.0</v>
      </c>
      <c r="B219" s="42">
        <v>45489.69616898148</v>
      </c>
      <c r="C219" s="42">
        <v>45489.69795138889</v>
      </c>
      <c r="D219" s="43">
        <v>3.9638737125124E-5</v>
      </c>
      <c r="E219" s="44">
        <v>0.0061043655172691</v>
      </c>
      <c r="F219" s="44">
        <v>4.22636784916257E-8</v>
      </c>
      <c r="G219" s="44">
        <v>6.50860648771036E-6</v>
      </c>
      <c r="H219" s="45">
        <f t="shared" si="1"/>
        <v>154.0000002</v>
      </c>
      <c r="I219" s="45" t="str">
        <f>IFNA(VLOOKUP(A219,표2[#ALL],2, FALSE), "")</f>
        <v/>
      </c>
      <c r="J219" s="46" t="str">
        <f t="shared" si="2"/>
        <v/>
      </c>
      <c r="K219" s="47" t="str">
        <f t="shared" si="3"/>
        <v/>
      </c>
    </row>
    <row r="220">
      <c r="A220" s="35">
        <v>220.0</v>
      </c>
      <c r="B220" s="36">
        <v>45489.733923611115</v>
      </c>
      <c r="C220" s="36">
        <v>45489.73449074074</v>
      </c>
      <c r="D220" s="37">
        <v>3.9637367128363E-5</v>
      </c>
      <c r="E220" s="38">
        <v>0.00194223098928979</v>
      </c>
      <c r="F220" s="38">
        <v>9.91892921641615E-8</v>
      </c>
      <c r="G220" s="38">
        <v>4.86027531604391E-6</v>
      </c>
      <c r="H220" s="39">
        <f t="shared" si="1"/>
        <v>48.99999951</v>
      </c>
      <c r="I220" s="39" t="str">
        <f>IFNA(VLOOKUP(A220,표2[#ALL],2, FALSE), "")</f>
        <v/>
      </c>
      <c r="J220" s="40" t="str">
        <f t="shared" si="2"/>
        <v/>
      </c>
      <c r="K220" s="41" t="str">
        <f t="shared" si="3"/>
        <v/>
      </c>
    </row>
    <row r="221">
      <c r="A221" s="35">
        <v>221.0</v>
      </c>
      <c r="B221" s="42">
        <v>45489.734664351854</v>
      </c>
      <c r="C221" s="42">
        <v>45489.741956018515</v>
      </c>
      <c r="D221" s="43">
        <v>3.88390536958876E-5</v>
      </c>
      <c r="E221" s="44">
        <v>0.0244686038284092</v>
      </c>
      <c r="F221" s="44">
        <v>1.86574731378685E-7</v>
      </c>
      <c r="G221" s="44">
        <v>1.17542080768571E-4</v>
      </c>
      <c r="H221" s="45">
        <f t="shared" si="1"/>
        <v>629.9999995</v>
      </c>
      <c r="I221" s="45" t="str">
        <f>IFNA(VLOOKUP(A221,표2[#ALL],2, FALSE), "")</f>
        <v/>
      </c>
      <c r="J221" s="46" t="str">
        <f t="shared" si="2"/>
        <v/>
      </c>
      <c r="K221" s="47" t="str">
        <f t="shared" si="3"/>
        <v/>
      </c>
    </row>
    <row r="222">
      <c r="A222" s="35">
        <v>222.0</v>
      </c>
      <c r="B222" s="36">
        <v>45489.74321759259</v>
      </c>
      <c r="C222" s="36">
        <v>45489.756886574076</v>
      </c>
      <c r="D222" s="37">
        <v>3.91618426505227E-5</v>
      </c>
      <c r="E222" s="38">
        <v>0.0462501361702673</v>
      </c>
      <c r="F222" s="38">
        <v>9.49620204418518E-8</v>
      </c>
      <c r="G222" s="38">
        <v>1.12150146141827E-4</v>
      </c>
      <c r="H222" s="39">
        <f t="shared" si="1"/>
        <v>1181</v>
      </c>
      <c r="I222" s="39" t="str">
        <f>IFNA(VLOOKUP(A222,표2[#ALL],2, FALSE), "")</f>
        <v/>
      </c>
      <c r="J222" s="40" t="str">
        <f t="shared" si="2"/>
        <v/>
      </c>
      <c r="K222" s="41" t="str">
        <f t="shared" si="3"/>
        <v/>
      </c>
    </row>
    <row r="223">
      <c r="A223" s="35">
        <v>223.0</v>
      </c>
      <c r="B223" s="42">
        <v>45490.41349537037</v>
      </c>
      <c r="C223" s="42">
        <v>45490.420115740744</v>
      </c>
      <c r="D223" s="43">
        <v>3.54469380574394E-5</v>
      </c>
      <c r="E223" s="44">
        <v>0.0202756485688553</v>
      </c>
      <c r="F223" s="44">
        <v>3.92445855694126E-7</v>
      </c>
      <c r="G223" s="44">
        <v>2.2447902945704E-4</v>
      </c>
      <c r="H223" s="45">
        <f t="shared" si="1"/>
        <v>572.0000004</v>
      </c>
      <c r="I223" s="45">
        <f>IFNA(VLOOKUP(A223,표2[#ALL],2, FALSE), "")</f>
        <v>555.9659237</v>
      </c>
      <c r="J223" s="48">
        <f t="shared" si="2"/>
        <v>0.01970728966</v>
      </c>
      <c r="K223" s="49">
        <f t="shared" si="3"/>
        <v>0.01624077741</v>
      </c>
    </row>
    <row r="224">
      <c r="A224" s="35">
        <v>224.0</v>
      </c>
      <c r="B224" s="36">
        <v>45490.421261574076</v>
      </c>
      <c r="C224" s="36">
        <v>45490.42653935185</v>
      </c>
      <c r="D224" s="37">
        <v>3.64880546469857E-5</v>
      </c>
      <c r="E224" s="38">
        <v>0.0166385529190255</v>
      </c>
      <c r="F224" s="38">
        <v>2.95198753778716E-7</v>
      </c>
      <c r="G224" s="38">
        <v>1.34610631723094E-4</v>
      </c>
      <c r="H224" s="39">
        <f t="shared" si="1"/>
        <v>455.9999997</v>
      </c>
      <c r="I224" s="39">
        <f>IFNA(VLOOKUP(A224,표2[#ALL],2, FALSE), "")</f>
        <v>444.4530239</v>
      </c>
      <c r="J224" s="50">
        <f t="shared" si="2"/>
        <v>0.01621722622</v>
      </c>
      <c r="K224" s="51">
        <f t="shared" si="3"/>
        <v>0.01336461613</v>
      </c>
    </row>
    <row r="225">
      <c r="A225" s="35">
        <v>225.0</v>
      </c>
      <c r="B225" s="42">
        <v>45490.42828703704</v>
      </c>
      <c r="C225" s="42">
        <v>45490.42901620371</v>
      </c>
      <c r="D225" s="43">
        <v>3.32004481343418E-5</v>
      </c>
      <c r="E225" s="44">
        <v>0.00209162823246354</v>
      </c>
      <c r="F225" s="44">
        <v>1.55876686474623E-6</v>
      </c>
      <c r="G225" s="44">
        <v>9.82023124790124E-5</v>
      </c>
      <c r="H225" s="45">
        <f t="shared" si="1"/>
        <v>63.00000027</v>
      </c>
      <c r="I225" s="45">
        <f>IFNA(VLOOKUP(A225,표2[#ALL],2, FALSE), "")</f>
        <v>51.90880436</v>
      </c>
      <c r="J225" s="48">
        <f t="shared" si="2"/>
        <v>0.001723395567</v>
      </c>
      <c r="K225" s="49">
        <f t="shared" si="3"/>
        <v>0.001420250287</v>
      </c>
    </row>
    <row r="226">
      <c r="A226" s="35">
        <v>226.0</v>
      </c>
      <c r="B226" s="36">
        <v>45490.43042824074</v>
      </c>
      <c r="C226" s="36">
        <v>45490.44226851852</v>
      </c>
      <c r="D226" s="37">
        <v>3.70329150663339E-5</v>
      </c>
      <c r="E226" s="38">
        <v>0.0378846721128596</v>
      </c>
      <c r="F226" s="38">
        <v>1.18567481125988E-7</v>
      </c>
      <c r="G226" s="38">
        <v>1.21294533191886E-4</v>
      </c>
      <c r="H226" s="39">
        <f t="shared" si="1"/>
        <v>1023</v>
      </c>
      <c r="I226" s="39">
        <f>IFNA(VLOOKUP(A226,표2[#ALL],2, FALSE), "")</f>
        <v>1001.9243</v>
      </c>
      <c r="J226" s="50">
        <f t="shared" si="2"/>
        <v>0.03710417752</v>
      </c>
      <c r="K226" s="51">
        <f t="shared" si="3"/>
        <v>0.03057755269</v>
      </c>
    </row>
    <row r="227">
      <c r="A227" s="35">
        <v>227.0</v>
      </c>
      <c r="B227" s="42">
        <v>45490.45322916667</v>
      </c>
      <c r="C227" s="42">
        <v>45490.46612268518</v>
      </c>
      <c r="D227" s="43">
        <v>3.8709414698462E-5</v>
      </c>
      <c r="E227" s="44">
        <v>0.0431222879740867</v>
      </c>
      <c r="F227" s="44">
        <v>2.20187821198399E-8</v>
      </c>
      <c r="G227" s="44">
        <v>2.45289232815017E-5</v>
      </c>
      <c r="H227" s="45">
        <f t="shared" si="1"/>
        <v>1114</v>
      </c>
      <c r="I227" s="45" t="str">
        <f>IFNA(VLOOKUP(A227,표2[#ALL],2, FALSE), "")</f>
        <v/>
      </c>
      <c r="J227" s="46" t="str">
        <f t="shared" si="2"/>
        <v/>
      </c>
      <c r="K227" s="47" t="str">
        <f t="shared" si="3"/>
        <v/>
      </c>
    </row>
    <row r="228">
      <c r="A228" s="35">
        <v>228.0</v>
      </c>
      <c r="B228" s="36">
        <v>45490.46891203704</v>
      </c>
      <c r="C228" s="36">
        <v>45490.469409722224</v>
      </c>
      <c r="D228" s="37">
        <v>3.16363038549645E-5</v>
      </c>
      <c r="E228" s="38">
        <v>0.00136036106576347</v>
      </c>
      <c r="F228" s="38">
        <v>2.30472237227695E-6</v>
      </c>
      <c r="G228" s="38">
        <v>9.91030620079086E-5</v>
      </c>
      <c r="H228" s="39">
        <f t="shared" si="1"/>
        <v>42.99999999</v>
      </c>
      <c r="I228" s="39" t="str">
        <f>IFNA(VLOOKUP(A228,표2[#ALL],2, FALSE), "")</f>
        <v/>
      </c>
      <c r="J228" s="40" t="str">
        <f t="shared" si="2"/>
        <v/>
      </c>
      <c r="K228" s="41" t="str">
        <f t="shared" si="3"/>
        <v/>
      </c>
    </row>
    <row r="229">
      <c r="A229" s="35">
        <v>229.0</v>
      </c>
      <c r="B229" s="42">
        <v>45490.4708912037</v>
      </c>
      <c r="C229" s="42">
        <v>45490.47409722222</v>
      </c>
      <c r="D229" s="43">
        <v>3.86786797841321E-5</v>
      </c>
      <c r="E229" s="44">
        <v>0.0107139943002046</v>
      </c>
      <c r="F229" s="44">
        <v>4.00249847339923E-8</v>
      </c>
      <c r="G229" s="44">
        <v>1.10869207713159E-5</v>
      </c>
      <c r="H229" s="45">
        <f t="shared" si="1"/>
        <v>277</v>
      </c>
      <c r="I229" s="45" t="str">
        <f>IFNA(VLOOKUP(A229,표2[#ALL],2, FALSE), "")</f>
        <v/>
      </c>
      <c r="J229" s="46" t="str">
        <f t="shared" si="2"/>
        <v/>
      </c>
      <c r="K229" s="47" t="str">
        <f t="shared" si="3"/>
        <v/>
      </c>
    </row>
    <row r="230">
      <c r="A230" s="35">
        <v>230.0</v>
      </c>
      <c r="B230" s="36">
        <v>45490.48311342593</v>
      </c>
      <c r="C230" s="36">
        <v>45490.48511574074</v>
      </c>
      <c r="D230" s="37">
        <v>3.55922418224653E-5</v>
      </c>
      <c r="E230" s="38">
        <v>0.00615745783528649</v>
      </c>
      <c r="F230" s="38">
        <v>7.26613105248533E-7</v>
      </c>
      <c r="G230" s="38">
        <v>1.25704067207996E-4</v>
      </c>
      <c r="H230" s="39">
        <f t="shared" si="1"/>
        <v>172.9999996</v>
      </c>
      <c r="I230" s="39" t="str">
        <f>IFNA(VLOOKUP(A230,표2[#ALL],2, FALSE), "")</f>
        <v/>
      </c>
      <c r="J230" s="40" t="str">
        <f t="shared" si="2"/>
        <v/>
      </c>
      <c r="K230" s="41" t="str">
        <f t="shared" si="3"/>
        <v/>
      </c>
    </row>
    <row r="231">
      <c r="A231" s="35">
        <v>231.0</v>
      </c>
      <c r="B231" s="42">
        <v>45490.48962962963</v>
      </c>
      <c r="C231" s="42">
        <v>45490.491423611114</v>
      </c>
      <c r="D231" s="43">
        <v>3.81825349841498E-5</v>
      </c>
      <c r="E231" s="44">
        <v>0.00591829292254322</v>
      </c>
      <c r="F231" s="44">
        <v>5.00132314349577E-8</v>
      </c>
      <c r="G231" s="44">
        <v>7.75205087241845E-6</v>
      </c>
      <c r="H231" s="45">
        <f t="shared" si="1"/>
        <v>155.0000004</v>
      </c>
      <c r="I231" s="45" t="str">
        <f>IFNA(VLOOKUP(A231,표2[#ALL],2, FALSE), "")</f>
        <v/>
      </c>
      <c r="J231" s="46" t="str">
        <f t="shared" si="2"/>
        <v/>
      </c>
      <c r="K231" s="47" t="str">
        <f t="shared" si="3"/>
        <v/>
      </c>
    </row>
    <row r="232">
      <c r="A232" s="35">
        <v>232.0</v>
      </c>
      <c r="B232" s="36">
        <v>45490.49230324074</v>
      </c>
      <c r="C232" s="36">
        <v>45490.49322916667</v>
      </c>
      <c r="D232" s="37">
        <v>3.78263616349893E-5</v>
      </c>
      <c r="E232" s="38">
        <v>0.00302610893079914</v>
      </c>
      <c r="F232" s="38">
        <v>6.36073910210966E-8</v>
      </c>
      <c r="G232" s="38">
        <v>5.08859128168773E-6</v>
      </c>
      <c r="H232" s="39">
        <f t="shared" si="1"/>
        <v>80.00000047</v>
      </c>
      <c r="I232" s="39" t="str">
        <f>IFNA(VLOOKUP(A232,표2[#ALL],2, FALSE), "")</f>
        <v/>
      </c>
      <c r="J232" s="40" t="str">
        <f t="shared" si="2"/>
        <v/>
      </c>
      <c r="K232" s="41" t="str">
        <f t="shared" si="3"/>
        <v/>
      </c>
    </row>
    <row r="233">
      <c r="A233" s="35">
        <v>233.0</v>
      </c>
      <c r="B233" s="42">
        <v>45490.49476851852</v>
      </c>
      <c r="C233" s="42">
        <v>45490.49946759259</v>
      </c>
      <c r="D233" s="43">
        <v>1.08611034867017E-5</v>
      </c>
      <c r="E233" s="44">
        <v>0.00440960801560091</v>
      </c>
      <c r="F233" s="44">
        <v>8.89038400577742E-7</v>
      </c>
      <c r="G233" s="44">
        <v>3.60949590634563E-4</v>
      </c>
      <c r="H233" s="45">
        <f t="shared" si="1"/>
        <v>406</v>
      </c>
      <c r="I233" s="45" t="str">
        <f>IFNA(VLOOKUP(A233,표2[#ALL],2, FALSE), "")</f>
        <v/>
      </c>
      <c r="J233" s="46" t="str">
        <f t="shared" si="2"/>
        <v/>
      </c>
      <c r="K233" s="47" t="str">
        <f t="shared" si="3"/>
        <v/>
      </c>
    </row>
    <row r="234">
      <c r="A234" s="35">
        <v>234.0</v>
      </c>
      <c r="B234" s="36">
        <v>45490.49983796296</v>
      </c>
      <c r="C234" s="36">
        <v>45490.50035879629</v>
      </c>
      <c r="D234" s="37">
        <v>3.81320456965217E-5</v>
      </c>
      <c r="E234" s="38">
        <v>0.00171594205634348</v>
      </c>
      <c r="F234" s="38">
        <v>9.13554946250647E-8</v>
      </c>
      <c r="G234" s="38">
        <v>4.11099725812791E-6</v>
      </c>
      <c r="H234" s="39">
        <f t="shared" si="1"/>
        <v>44.99999983</v>
      </c>
      <c r="I234" s="39" t="str">
        <f>IFNA(VLOOKUP(A234,표2[#ALL],2, FALSE), "")</f>
        <v/>
      </c>
      <c r="J234" s="40" t="str">
        <f t="shared" si="2"/>
        <v/>
      </c>
      <c r="K234" s="41" t="str">
        <f t="shared" si="3"/>
        <v/>
      </c>
    </row>
    <row r="235">
      <c r="A235" s="35">
        <v>235.0</v>
      </c>
      <c r="B235" s="42">
        <v>45490.50063657408</v>
      </c>
      <c r="C235" s="42">
        <v>45490.50524305556</v>
      </c>
      <c r="D235" s="43">
        <v>3.80762190775121E-5</v>
      </c>
      <c r="E235" s="44">
        <v>0.0151543351928498</v>
      </c>
      <c r="F235" s="44">
        <v>3.07208106662638E-8</v>
      </c>
      <c r="G235" s="44">
        <v>1.2226882645173E-5</v>
      </c>
      <c r="H235" s="45">
        <f t="shared" si="1"/>
        <v>398</v>
      </c>
      <c r="I235" s="45" t="str">
        <f>IFNA(VLOOKUP(A235,표2[#ALL],2, FALSE), "")</f>
        <v/>
      </c>
      <c r="J235" s="46" t="str">
        <f t="shared" si="2"/>
        <v/>
      </c>
      <c r="K235" s="47" t="str">
        <f t="shared" si="3"/>
        <v/>
      </c>
    </row>
    <row r="236">
      <c r="A236" s="35">
        <v>236.0</v>
      </c>
      <c r="B236" s="36">
        <v>45490.50670138889</v>
      </c>
      <c r="C236" s="36">
        <v>45490.50894675926</v>
      </c>
      <c r="D236" s="37">
        <v>3.80227553961412E-5</v>
      </c>
      <c r="E236" s="38">
        <v>0.00737641454685139</v>
      </c>
      <c r="F236" s="38">
        <v>4.73153373340394E-8</v>
      </c>
      <c r="G236" s="38">
        <v>9.17917544280363E-6</v>
      </c>
      <c r="H236" s="39">
        <f t="shared" si="1"/>
        <v>194.0000001</v>
      </c>
      <c r="I236" s="39" t="str">
        <f>IFNA(VLOOKUP(A236,표2[#ALL],2, FALSE), "")</f>
        <v/>
      </c>
      <c r="J236" s="40" t="str">
        <f t="shared" si="2"/>
        <v/>
      </c>
      <c r="K236" s="41" t="str">
        <f t="shared" si="3"/>
        <v/>
      </c>
    </row>
    <row r="237">
      <c r="A237" s="35">
        <v>237.0</v>
      </c>
      <c r="B237" s="42">
        <v>45490.509421296294</v>
      </c>
      <c r="C237" s="42">
        <v>45490.50959490741</v>
      </c>
      <c r="D237" s="43">
        <v>-8.73633710935569E-7</v>
      </c>
      <c r="E237" s="44">
        <v>-1.31045056640335E-5</v>
      </c>
      <c r="F237" s="44">
        <v>6.64211056236837E-8</v>
      </c>
      <c r="G237" s="44">
        <v>9.96316584355255E-7</v>
      </c>
      <c r="H237" s="45">
        <f t="shared" si="1"/>
        <v>15.00000036</v>
      </c>
      <c r="I237" s="45" t="str">
        <f>IFNA(VLOOKUP(A237,표2[#ALL],2, FALSE), "")</f>
        <v/>
      </c>
      <c r="J237" s="46" t="str">
        <f t="shared" si="2"/>
        <v/>
      </c>
      <c r="K237" s="47" t="str">
        <f t="shared" si="3"/>
        <v/>
      </c>
    </row>
    <row r="238">
      <c r="A238" s="35">
        <v>238.0</v>
      </c>
      <c r="B238" s="36">
        <v>45490.51097222222</v>
      </c>
      <c r="C238" s="36">
        <v>45490.516076388885</v>
      </c>
      <c r="D238" s="37">
        <v>3.76954552573902E-5</v>
      </c>
      <c r="E238" s="38">
        <v>0.0166236957685091</v>
      </c>
      <c r="F238" s="38">
        <v>2.8820554498777E-8</v>
      </c>
      <c r="G238" s="38">
        <v>1.27098645339607E-5</v>
      </c>
      <c r="H238" s="39">
        <f t="shared" si="1"/>
        <v>441</v>
      </c>
      <c r="I238" s="39" t="str">
        <f>IFNA(VLOOKUP(A238,표2[#ALL],2, FALSE), "")</f>
        <v/>
      </c>
      <c r="J238" s="40" t="str">
        <f t="shared" si="2"/>
        <v/>
      </c>
      <c r="K238" s="41" t="str">
        <f t="shared" si="3"/>
        <v/>
      </c>
    </row>
    <row r="239">
      <c r="A239" s="35">
        <v>239.0</v>
      </c>
      <c r="B239" s="42">
        <v>45490.51730324074</v>
      </c>
      <c r="C239" s="42">
        <v>45490.51770833333</v>
      </c>
      <c r="D239" s="43">
        <v>3.76690474124336E-5</v>
      </c>
      <c r="E239" s="44">
        <v>0.00131841665943518</v>
      </c>
      <c r="F239" s="44">
        <v>8.52173077872104E-8</v>
      </c>
      <c r="G239" s="44">
        <v>2.98260577255236E-6</v>
      </c>
      <c r="H239" s="45">
        <f t="shared" si="1"/>
        <v>35.00000001</v>
      </c>
      <c r="I239" s="45" t="str">
        <f>IFNA(VLOOKUP(A239,표2[#ALL],2, FALSE), "")</f>
        <v/>
      </c>
      <c r="J239" s="46" t="str">
        <f t="shared" si="2"/>
        <v/>
      </c>
      <c r="K239" s="47" t="str">
        <f t="shared" si="3"/>
        <v/>
      </c>
    </row>
    <row r="240">
      <c r="A240" s="35">
        <v>240.0</v>
      </c>
      <c r="B240" s="36">
        <v>45490.52137731481</v>
      </c>
      <c r="C240" s="36">
        <v>45490.52222222222</v>
      </c>
      <c r="D240" s="37">
        <v>3.77874171069322E-5</v>
      </c>
      <c r="E240" s="38">
        <v>0.00275848144880605</v>
      </c>
      <c r="F240" s="38">
        <v>7.33436548168246E-8</v>
      </c>
      <c r="G240" s="38">
        <v>5.3540868016282E-6</v>
      </c>
      <c r="H240" s="39">
        <f t="shared" si="1"/>
        <v>73.00000009</v>
      </c>
      <c r="I240" s="39" t="str">
        <f>IFNA(VLOOKUP(A240,표2[#ALL],2, FALSE), "")</f>
        <v/>
      </c>
      <c r="J240" s="40" t="str">
        <f t="shared" si="2"/>
        <v/>
      </c>
      <c r="K240" s="41" t="str">
        <f t="shared" si="3"/>
        <v/>
      </c>
    </row>
    <row r="241">
      <c r="A241" s="35">
        <v>241.0</v>
      </c>
      <c r="B241" s="42">
        <v>45490.522372685184</v>
      </c>
      <c r="C241" s="42">
        <v>45490.52707175926</v>
      </c>
      <c r="D241" s="43">
        <v>3.70846332919896E-5</v>
      </c>
      <c r="E241" s="44">
        <v>0.0150563611165478</v>
      </c>
      <c r="F241" s="44">
        <v>2.42797539744142E-7</v>
      </c>
      <c r="G241" s="44">
        <v>9.85758011361218E-5</v>
      </c>
      <c r="H241" s="45">
        <f t="shared" si="1"/>
        <v>406</v>
      </c>
      <c r="I241" s="45" t="str">
        <f>IFNA(VLOOKUP(A241,표2[#ALL],2, FALSE), "")</f>
        <v/>
      </c>
      <c r="J241" s="46" t="str">
        <f t="shared" si="2"/>
        <v/>
      </c>
      <c r="K241" s="47" t="str">
        <f t="shared" si="3"/>
        <v/>
      </c>
    </row>
    <row r="242">
      <c r="A242" s="35">
        <v>242.0</v>
      </c>
      <c r="B242" s="36">
        <v>45490.533159722225</v>
      </c>
      <c r="C242" s="36">
        <v>45490.533842592595</v>
      </c>
      <c r="D242" s="37">
        <v>3.34184061635978E-5</v>
      </c>
      <c r="E242" s="38">
        <v>0.00197168596365227</v>
      </c>
      <c r="F242" s="38">
        <v>1.59516465849375E-6</v>
      </c>
      <c r="G242" s="38">
        <v>9.41147148511311E-5</v>
      </c>
      <c r="H242" s="39">
        <f t="shared" si="1"/>
        <v>58.99999996</v>
      </c>
      <c r="I242" s="39" t="str">
        <f>IFNA(VLOOKUP(A242,표2[#ALL],2, FALSE), "")</f>
        <v/>
      </c>
      <c r="J242" s="40" t="str">
        <f t="shared" si="2"/>
        <v/>
      </c>
      <c r="K242" s="41" t="str">
        <f t="shared" si="3"/>
        <v/>
      </c>
    </row>
    <row r="243">
      <c r="A243" s="35">
        <v>243.0</v>
      </c>
      <c r="B243" s="42">
        <v>45490.53568287037</v>
      </c>
      <c r="C243" s="42">
        <v>45490.54039351852</v>
      </c>
      <c r="D243" s="43">
        <v>3.67431589640236E-5</v>
      </c>
      <c r="E243" s="44">
        <v>0.0149544656983576</v>
      </c>
      <c r="F243" s="44">
        <v>2.56894624901102E-7</v>
      </c>
      <c r="G243" s="44">
        <v>1.04556112334748E-4</v>
      </c>
      <c r="H243" s="45">
        <f t="shared" si="1"/>
        <v>406.9999996</v>
      </c>
      <c r="I243" s="45" t="str">
        <f>IFNA(VLOOKUP(A243,표2[#ALL],2, FALSE), "")</f>
        <v/>
      </c>
      <c r="J243" s="46" t="str">
        <f t="shared" si="2"/>
        <v/>
      </c>
      <c r="K243" s="47" t="str">
        <f t="shared" si="3"/>
        <v/>
      </c>
    </row>
    <row r="244">
      <c r="A244" s="35">
        <v>244.0</v>
      </c>
      <c r="B244" s="36">
        <v>45490.54640046296</v>
      </c>
      <c r="C244" s="36">
        <v>45490.547627314816</v>
      </c>
      <c r="D244" s="37">
        <v>3.77014242707839E-5</v>
      </c>
      <c r="E244" s="38">
        <v>0.0039963509727031</v>
      </c>
      <c r="F244" s="38">
        <v>5.96396779969163E-8</v>
      </c>
      <c r="G244" s="38">
        <v>6.32180586767313E-6</v>
      </c>
      <c r="H244" s="39">
        <f t="shared" si="1"/>
        <v>106.0000003</v>
      </c>
      <c r="I244" s="39" t="str">
        <f>IFNA(VLOOKUP(A244,표2[#ALL],2, FALSE), "")</f>
        <v/>
      </c>
      <c r="J244" s="40" t="str">
        <f t="shared" si="2"/>
        <v/>
      </c>
      <c r="K244" s="41" t="str">
        <f t="shared" si="3"/>
        <v/>
      </c>
    </row>
    <row r="245">
      <c r="A245" s="35">
        <v>245.0</v>
      </c>
      <c r="B245" s="42">
        <v>45490.55302083334</v>
      </c>
      <c r="C245" s="42">
        <v>45490.55452546296</v>
      </c>
      <c r="D245" s="43">
        <v>3.725188108146E-5</v>
      </c>
      <c r="E245" s="44">
        <v>0.0048427445405898</v>
      </c>
      <c r="F245" s="44">
        <v>5.42790312723165E-8</v>
      </c>
      <c r="G245" s="44">
        <v>7.05627406540115E-6</v>
      </c>
      <c r="H245" s="45">
        <f t="shared" si="1"/>
        <v>129.9999996</v>
      </c>
      <c r="I245" s="45" t="str">
        <f>IFNA(VLOOKUP(A245,표2[#ALL],2, FALSE), "")</f>
        <v/>
      </c>
      <c r="J245" s="46" t="str">
        <f t="shared" si="2"/>
        <v/>
      </c>
      <c r="K245" s="47" t="str">
        <f t="shared" si="3"/>
        <v/>
      </c>
    </row>
    <row r="246">
      <c r="A246" s="35">
        <v>246.0</v>
      </c>
      <c r="B246" s="36">
        <v>45490.554618055554</v>
      </c>
      <c r="C246" s="36">
        <v>45490.565150462964</v>
      </c>
      <c r="D246" s="37">
        <v>3.73250873623443E-5</v>
      </c>
      <c r="E246" s="38">
        <v>0.0339658294997333</v>
      </c>
      <c r="F246" s="38">
        <v>1.9302183724862E-8</v>
      </c>
      <c r="G246" s="38">
        <v>1.75649871896244E-5</v>
      </c>
      <c r="H246" s="39">
        <f t="shared" si="1"/>
        <v>910.0000002</v>
      </c>
      <c r="I246" s="39" t="str">
        <f>IFNA(VLOOKUP(A246,표2[#ALL],2, FALSE), "")</f>
        <v/>
      </c>
      <c r="J246" s="40" t="str">
        <f t="shared" si="2"/>
        <v/>
      </c>
      <c r="K246" s="41" t="str">
        <f t="shared" si="3"/>
        <v/>
      </c>
    </row>
    <row r="247">
      <c r="A247" s="35">
        <v>247.0</v>
      </c>
      <c r="B247" s="42">
        <v>45490.56626157407</v>
      </c>
      <c r="C247" s="42">
        <v>45490.56643518519</v>
      </c>
      <c r="D247" s="43">
        <v>1.34793930303845E-5</v>
      </c>
      <c r="E247" s="44">
        <v>2.02190895455767E-4</v>
      </c>
      <c r="F247" s="44">
        <v>4.75387696237216E-6</v>
      </c>
      <c r="G247" s="44">
        <v>7.13081544355825E-5</v>
      </c>
      <c r="H247" s="45">
        <f t="shared" si="1"/>
        <v>15.00000036</v>
      </c>
      <c r="I247" s="45" t="str">
        <f>IFNA(VLOOKUP(A247,표2[#ALL],2, FALSE), "")</f>
        <v/>
      </c>
      <c r="J247" s="46" t="str">
        <f t="shared" si="2"/>
        <v/>
      </c>
      <c r="K247" s="47" t="str">
        <f t="shared" si="3"/>
        <v/>
      </c>
    </row>
    <row r="248">
      <c r="A248" s="35">
        <v>248.0</v>
      </c>
      <c r="B248" s="36">
        <v>45490.56829861111</v>
      </c>
      <c r="C248" s="36">
        <v>45490.57040509259</v>
      </c>
      <c r="D248" s="37">
        <v>3.70870293581361E-5</v>
      </c>
      <c r="E248" s="38">
        <v>0.00674983934318078</v>
      </c>
      <c r="F248" s="38">
        <v>4.34676042209592E-8</v>
      </c>
      <c r="G248" s="38">
        <v>7.91110396821458E-6</v>
      </c>
      <c r="H248" s="39">
        <f t="shared" si="1"/>
        <v>181.9999998</v>
      </c>
      <c r="I248" s="39" t="str">
        <f>IFNA(VLOOKUP(A248,표2[#ALL],2, FALSE), "")</f>
        <v/>
      </c>
      <c r="J248" s="40" t="str">
        <f t="shared" si="2"/>
        <v/>
      </c>
      <c r="K248" s="41" t="str">
        <f t="shared" si="3"/>
        <v/>
      </c>
    </row>
    <row r="249">
      <c r="A249" s="35">
        <v>249.0</v>
      </c>
      <c r="B249" s="42">
        <v>45490.572222222225</v>
      </c>
      <c r="C249" s="42">
        <v>45490.57445601852</v>
      </c>
      <c r="D249" s="43">
        <v>3.70846421892657E-5</v>
      </c>
      <c r="E249" s="44">
        <v>0.00715733594252828</v>
      </c>
      <c r="F249" s="44">
        <v>4.23264903547535E-8</v>
      </c>
      <c r="G249" s="44">
        <v>8.16901263846742E-6</v>
      </c>
      <c r="H249" s="45">
        <f t="shared" si="1"/>
        <v>192.9999999</v>
      </c>
      <c r="I249" s="45" t="str">
        <f>IFNA(VLOOKUP(A249,표2[#ALL],2, FALSE), "")</f>
        <v/>
      </c>
      <c r="J249" s="46" t="str">
        <f t="shared" si="2"/>
        <v/>
      </c>
      <c r="K249" s="47" t="str">
        <f t="shared" si="3"/>
        <v/>
      </c>
    </row>
    <row r="250">
      <c r="A250" s="35">
        <v>250.0</v>
      </c>
      <c r="B250" s="36">
        <v>45490.575532407405</v>
      </c>
      <c r="C250" s="36">
        <v>45490.579351851855</v>
      </c>
      <c r="D250" s="37">
        <v>3.72224160461754E-5</v>
      </c>
      <c r="E250" s="38">
        <v>0.0122833972952379</v>
      </c>
      <c r="F250" s="38">
        <v>3.06675426864484E-8</v>
      </c>
      <c r="G250" s="38">
        <v>1.0120289086528E-5</v>
      </c>
      <c r="H250" s="39">
        <f t="shared" si="1"/>
        <v>330.0000004</v>
      </c>
      <c r="I250" s="39" t="str">
        <f>IFNA(VLOOKUP(A250,표2[#ALL],2, FALSE), "")</f>
        <v/>
      </c>
      <c r="J250" s="40" t="str">
        <f t="shared" si="2"/>
        <v/>
      </c>
      <c r="K250" s="41" t="str">
        <f t="shared" si="3"/>
        <v/>
      </c>
    </row>
    <row r="251">
      <c r="A251" s="35">
        <v>251.0</v>
      </c>
      <c r="B251" s="42">
        <v>45490.58608796296</v>
      </c>
      <c r="C251" s="42">
        <v>45490.58828703704</v>
      </c>
      <c r="D251" s="43">
        <v>3.56428862957472E-5</v>
      </c>
      <c r="E251" s="44">
        <v>0.00677214839619197</v>
      </c>
      <c r="F251" s="44">
        <v>5.4620780284906E-7</v>
      </c>
      <c r="G251" s="44">
        <v>1.03779482541321E-4</v>
      </c>
      <c r="H251" s="45">
        <f t="shared" si="1"/>
        <v>190.0000004</v>
      </c>
      <c r="I251" s="45">
        <f>IFNA(VLOOKUP(A251,표2[#ALL],2, FALSE), "")</f>
        <v>171.644824</v>
      </c>
      <c r="J251" s="48">
        <f t="shared" si="2"/>
        <v>0.006117916945</v>
      </c>
      <c r="K251" s="49">
        <f t="shared" si="3"/>
        <v>0.005041775354</v>
      </c>
    </row>
    <row r="252">
      <c r="A252" s="35">
        <v>252.0</v>
      </c>
      <c r="B252" s="36">
        <v>45490.589849537035</v>
      </c>
      <c r="C252" s="36">
        <v>45490.60123842592</v>
      </c>
      <c r="D252" s="37">
        <v>3.63380449000665E-5</v>
      </c>
      <c r="E252" s="38">
        <v>0.0357566361816655</v>
      </c>
      <c r="F252" s="38">
        <v>1.16463728385584E-7</v>
      </c>
      <c r="G252" s="38">
        <v>1.14600308731415E-4</v>
      </c>
      <c r="H252" s="39">
        <f t="shared" si="1"/>
        <v>983.9999999</v>
      </c>
      <c r="I252" s="39">
        <f>IFNA(VLOOKUP(A252,표2[#ALL],2, FALSE), "")</f>
        <v>964.127241</v>
      </c>
      <c r="J252" s="50">
        <f t="shared" si="2"/>
        <v>0.03503449897</v>
      </c>
      <c r="K252" s="51">
        <f t="shared" si="3"/>
        <v>0.0288719306</v>
      </c>
    </row>
    <row r="253">
      <c r="A253" s="35">
        <v>253.0</v>
      </c>
      <c r="B253" s="42">
        <v>45490.60357638889</v>
      </c>
      <c r="C253" s="42">
        <v>45490.61050925926</v>
      </c>
      <c r="D253" s="43">
        <v>3.60218895348477E-5</v>
      </c>
      <c r="E253" s="44">
        <v>0.0215771118313738</v>
      </c>
      <c r="F253" s="44">
        <v>1.71181899592041E-7</v>
      </c>
      <c r="G253" s="44">
        <v>1.02537957855632E-4</v>
      </c>
      <c r="H253" s="45">
        <f t="shared" si="1"/>
        <v>599.0000005</v>
      </c>
      <c r="I253" s="45">
        <f>IFNA(VLOOKUP(A253,표2[#ALL],2, FALSE), "")</f>
        <v>581.737077</v>
      </c>
      <c r="J253" s="48">
        <f t="shared" si="2"/>
        <v>0.02095526873</v>
      </c>
      <c r="K253" s="49">
        <f t="shared" si="3"/>
        <v>0.01726923696</v>
      </c>
    </row>
    <row r="254">
      <c r="A254" s="35">
        <v>254.0</v>
      </c>
      <c r="B254" s="36">
        <v>45490.62096064815</v>
      </c>
      <c r="C254" s="36">
        <v>45490.63159722222</v>
      </c>
      <c r="D254" s="37">
        <v>4.0790480278346E-5</v>
      </c>
      <c r="E254" s="38">
        <v>0.0374864513757999</v>
      </c>
      <c r="F254" s="38">
        <v>1.14470743684647E-7</v>
      </c>
      <c r="G254" s="38">
        <v>1.0519861344619E-4</v>
      </c>
      <c r="H254" s="39">
        <f t="shared" si="1"/>
        <v>918.9999998</v>
      </c>
      <c r="I254" s="39">
        <f>IFNA(VLOOKUP(A254,표2[#ALL],2, FALSE), "")</f>
        <v>905.699251</v>
      </c>
      <c r="J254" s="50">
        <f t="shared" si="2"/>
        <v>0.03694390744</v>
      </c>
      <c r="K254" s="51">
        <f t="shared" si="3"/>
        <v>0.03044547412</v>
      </c>
    </row>
    <row r="255">
      <c r="A255" s="35">
        <v>255.0</v>
      </c>
      <c r="B255" s="42">
        <v>45490.639652777776</v>
      </c>
      <c r="C255" s="42">
        <v>45490.64543981481</v>
      </c>
      <c r="D255" s="43">
        <v>2.83451142769635E-5</v>
      </c>
      <c r="E255" s="44">
        <v>0.0141725571384817</v>
      </c>
      <c r="F255" s="44">
        <v>8.4005870040049E-7</v>
      </c>
      <c r="G255" s="44">
        <v>4.20029350200245E-4</v>
      </c>
      <c r="H255" s="45">
        <f t="shared" si="1"/>
        <v>500</v>
      </c>
      <c r="I255" s="45" t="str">
        <f>IFNA(VLOOKUP(A255,표2[#ALL],2, FALSE), "")</f>
        <v/>
      </c>
      <c r="J255" s="46" t="str">
        <f t="shared" si="2"/>
        <v/>
      </c>
      <c r="K255" s="47" t="str">
        <f t="shared" si="3"/>
        <v/>
      </c>
    </row>
    <row r="256">
      <c r="A256" s="35">
        <v>256.0</v>
      </c>
      <c r="B256" s="36">
        <v>45490.64556712963</v>
      </c>
      <c r="C256" s="36">
        <v>45490.65164351852</v>
      </c>
      <c r="D256" s="37">
        <v>4.01185827312519E-5</v>
      </c>
      <c r="E256" s="38">
        <v>0.0210622559339072</v>
      </c>
      <c r="F256" s="38">
        <v>2.0496971567537E-7</v>
      </c>
      <c r="G256" s="38">
        <v>1.07609100729569E-4</v>
      </c>
      <c r="H256" s="39">
        <f t="shared" si="1"/>
        <v>525.0000001</v>
      </c>
      <c r="I256" s="39" t="str">
        <f>IFNA(VLOOKUP(A256,표2[#ALL],2, FALSE), "")</f>
        <v/>
      </c>
      <c r="J256" s="40" t="str">
        <f t="shared" si="2"/>
        <v/>
      </c>
      <c r="K256" s="41" t="str">
        <f t="shared" si="3"/>
        <v/>
      </c>
    </row>
    <row r="257">
      <c r="A257" s="35">
        <v>257.0</v>
      </c>
      <c r="B257" s="42">
        <v>45490.653645833336</v>
      </c>
      <c r="C257" s="42">
        <v>45490.655590277776</v>
      </c>
      <c r="D257" s="43">
        <v>4.06097359157841E-5</v>
      </c>
      <c r="E257" s="44">
        <v>0.00682243563385172</v>
      </c>
      <c r="F257" s="44">
        <v>3.57643351613963E-8</v>
      </c>
      <c r="G257" s="44">
        <v>6.00840830711457E-6</v>
      </c>
      <c r="H257" s="45">
        <f t="shared" si="1"/>
        <v>167.9999997</v>
      </c>
      <c r="I257" s="45" t="str">
        <f>IFNA(VLOOKUP(A257,표2[#ALL],2, FALSE), "")</f>
        <v/>
      </c>
      <c r="J257" s="46" t="str">
        <f t="shared" si="2"/>
        <v/>
      </c>
      <c r="K257" s="47" t="str">
        <f t="shared" si="3"/>
        <v/>
      </c>
    </row>
    <row r="258">
      <c r="A258" s="35">
        <v>258.0</v>
      </c>
      <c r="B258" s="36">
        <v>45490.65831018519</v>
      </c>
      <c r="C258" s="36">
        <v>45490.663518518515</v>
      </c>
      <c r="D258" s="37">
        <v>3.9516996936034E-5</v>
      </c>
      <c r="E258" s="38">
        <v>0.0177826486212153</v>
      </c>
      <c r="F258" s="38">
        <v>3.09131728554899E-7</v>
      </c>
      <c r="G258" s="38">
        <v>1.39109277849704E-4</v>
      </c>
      <c r="H258" s="39">
        <f t="shared" si="1"/>
        <v>449.9999996</v>
      </c>
      <c r="I258" s="39" t="str">
        <f>IFNA(VLOOKUP(A258,표2[#ALL],2, FALSE), "")</f>
        <v/>
      </c>
      <c r="J258" s="40" t="str">
        <f t="shared" si="2"/>
        <v/>
      </c>
      <c r="K258" s="41" t="str">
        <f t="shared" si="3"/>
        <v/>
      </c>
    </row>
    <row r="259">
      <c r="A259" s="35">
        <v>259.0</v>
      </c>
      <c r="B259" s="42">
        <v>45490.66667824074</v>
      </c>
      <c r="C259" s="42">
        <v>45490.67130787037</v>
      </c>
      <c r="D259" s="43">
        <v>3.98830441881546E-5</v>
      </c>
      <c r="E259" s="44">
        <v>0.0159532176752619</v>
      </c>
      <c r="F259" s="44">
        <v>2.70942664143587E-7</v>
      </c>
      <c r="G259" s="44">
        <v>1.08377065657435E-4</v>
      </c>
      <c r="H259" s="45">
        <f t="shared" si="1"/>
        <v>399.9999998</v>
      </c>
      <c r="I259" s="45">
        <f>IFNA(VLOOKUP(A259,표2[#ALL],2, FALSE), "")</f>
        <v>383.490358</v>
      </c>
      <c r="J259" s="48">
        <f t="shared" si="2"/>
        <v>0.01529476289</v>
      </c>
      <c r="K259" s="49">
        <f t="shared" si="3"/>
        <v>0.0126044141</v>
      </c>
    </row>
    <row r="260">
      <c r="A260" s="35">
        <v>260.0</v>
      </c>
      <c r="B260" s="36">
        <v>45490.673125</v>
      </c>
      <c r="C260" s="36">
        <v>45490.68157407407</v>
      </c>
      <c r="D260" s="37">
        <v>4.0107395184093E-5</v>
      </c>
      <c r="E260" s="38">
        <v>0.0292783984843879</v>
      </c>
      <c r="F260" s="38">
        <v>1.5735866913502E-7</v>
      </c>
      <c r="G260" s="38">
        <v>1.14871828468565E-4</v>
      </c>
      <c r="H260" s="39">
        <f t="shared" si="1"/>
        <v>729.9999997</v>
      </c>
      <c r="I260" s="39">
        <f>IFNA(VLOOKUP(A260,표2[#ALL],2, FALSE), "")</f>
        <v>711.229681</v>
      </c>
      <c r="J260" s="50">
        <f t="shared" si="2"/>
        <v>0.02852556988</v>
      </c>
      <c r="K260" s="51">
        <f t="shared" si="3"/>
        <v>0.02350792214</v>
      </c>
    </row>
    <row r="261">
      <c r="A261" s="35">
        <v>261.0</v>
      </c>
      <c r="B261" s="42">
        <v>45490.683020833334</v>
      </c>
      <c r="C261" s="42">
        <v>45490.69710648148</v>
      </c>
      <c r="D261" s="43">
        <v>4.02266323580951E-5</v>
      </c>
      <c r="E261" s="44">
        <v>0.0489558115798017</v>
      </c>
      <c r="F261" s="44">
        <v>8.94845481983432E-8</v>
      </c>
      <c r="G261" s="44">
        <v>1.08902695157384E-4</v>
      </c>
      <c r="H261" s="45">
        <f t="shared" si="1"/>
        <v>1217</v>
      </c>
      <c r="I261" s="45">
        <f>IFNA(VLOOKUP(A261,표2[#ALL],2, FALSE), "")</f>
        <v>1198.72363</v>
      </c>
      <c r="J261" s="48">
        <f t="shared" si="2"/>
        <v>0.04822061476</v>
      </c>
      <c r="K261" s="49">
        <f t="shared" si="3"/>
        <v>0.03973860863</v>
      </c>
    </row>
    <row r="262">
      <c r="A262" s="35">
        <v>262.0</v>
      </c>
      <c r="B262" s="36">
        <v>45490.70416666667</v>
      </c>
      <c r="C262" s="36">
        <v>45490.71025462963</v>
      </c>
      <c r="D262" s="37">
        <v>3.98706247889572E-5</v>
      </c>
      <c r="E262" s="38">
        <v>0.0209719486389915</v>
      </c>
      <c r="F262" s="38">
        <v>2.03942701640935E-7</v>
      </c>
      <c r="G262" s="38">
        <v>1.07273861063132E-4</v>
      </c>
      <c r="H262" s="39">
        <f t="shared" si="1"/>
        <v>525.9999997</v>
      </c>
      <c r="I262" s="39">
        <f>IFNA(VLOOKUP(A262,표2[#ALL],2, FALSE), "")</f>
        <v>506.837137</v>
      </c>
      <c r="J262" s="50">
        <f t="shared" si="2"/>
        <v>0.02020791332</v>
      </c>
      <c r="K262" s="51">
        <f t="shared" si="3"/>
        <v>0.01665334137</v>
      </c>
    </row>
    <row r="263">
      <c r="A263" s="35">
        <v>263.0</v>
      </c>
      <c r="B263" s="42">
        <v>45490.71076388889</v>
      </c>
      <c r="C263" s="42">
        <v>45490.71706018518</v>
      </c>
      <c r="D263" s="43">
        <v>3.98443186955501E-5</v>
      </c>
      <c r="E263" s="44">
        <v>0.0216753093703793</v>
      </c>
      <c r="F263" s="44">
        <v>1.84342696734996E-7</v>
      </c>
      <c r="G263" s="44">
        <v>1.00282427023838E-4</v>
      </c>
      <c r="H263" s="45">
        <f t="shared" si="1"/>
        <v>543.9999996</v>
      </c>
      <c r="I263" s="45">
        <f>IFNA(VLOOKUP(A263,표2[#ALL],2, FALSE), "")</f>
        <v>531.00926</v>
      </c>
      <c r="J263" s="48">
        <f t="shared" si="2"/>
        <v>0.02115770219</v>
      </c>
      <c r="K263" s="49">
        <f t="shared" si="3"/>
        <v>0.01743606237</v>
      </c>
    </row>
    <row r="264">
      <c r="A264" s="35">
        <v>264.0</v>
      </c>
      <c r="B264" s="36">
        <v>45490.71853009259</v>
      </c>
      <c r="C264" s="36">
        <v>45490.728900462964</v>
      </c>
      <c r="D264" s="37">
        <v>4.01251772271016E-5</v>
      </c>
      <c r="E264" s="38">
        <v>0.0359521587954831</v>
      </c>
      <c r="F264" s="38">
        <v>1.1193492038618E-7</v>
      </c>
      <c r="G264" s="38">
        <v>1.00293688666017E-4</v>
      </c>
      <c r="H264" s="39">
        <f t="shared" si="1"/>
        <v>896.0000001</v>
      </c>
      <c r="I264" s="39">
        <f>IFNA(VLOOKUP(A264,표2[#ALL],2, FALSE), "")</f>
        <v>879.077653</v>
      </c>
      <c r="J264" s="50">
        <f t="shared" si="2"/>
        <v>0.03527314662</v>
      </c>
      <c r="K264" s="51">
        <f t="shared" si="3"/>
        <v>0.02906860013</v>
      </c>
    </row>
    <row r="265">
      <c r="A265" s="35">
        <v>265.0</v>
      </c>
      <c r="B265" s="42">
        <v>45490.7309837963</v>
      </c>
      <c r="C265" s="42">
        <v>45490.73355324074</v>
      </c>
      <c r="D265" s="43">
        <v>3.89881650374758E-5</v>
      </c>
      <c r="E265" s="44">
        <v>0.00865537263831964</v>
      </c>
      <c r="F265" s="44">
        <v>5.04885446510357E-7</v>
      </c>
      <c r="G265" s="44">
        <v>1.12084569125299E-4</v>
      </c>
      <c r="H265" s="45">
        <f t="shared" si="1"/>
        <v>221.9999997</v>
      </c>
      <c r="I265" s="45">
        <f>IFNA(VLOOKUP(A265,표2[#ALL],2, FALSE), "")</f>
        <v>204.669178</v>
      </c>
      <c r="J265" s="48">
        <f t="shared" si="2"/>
        <v>0.00797967569</v>
      </c>
      <c r="K265" s="49">
        <f t="shared" si="3"/>
        <v>0.006576050736</v>
      </c>
    </row>
    <row r="266">
      <c r="A266" s="35">
        <v>266.0</v>
      </c>
      <c r="B266" s="36">
        <v>45490.734085648146</v>
      </c>
      <c r="C266" s="36">
        <v>45490.739965277775</v>
      </c>
      <c r="D266" s="37">
        <v>3.97095559532146E-5</v>
      </c>
      <c r="E266" s="38">
        <v>0.020172454424233</v>
      </c>
      <c r="F266" s="38">
        <v>2.10726191090309E-7</v>
      </c>
      <c r="G266" s="38">
        <v>1.07048905073877E-4</v>
      </c>
      <c r="H266" s="39">
        <f t="shared" si="1"/>
        <v>507.9999999</v>
      </c>
      <c r="I266" s="39">
        <f>IFNA(VLOOKUP(A266,표2[#ALL],2, FALSE), "")</f>
        <v>489.384333</v>
      </c>
      <c r="J266" s="50">
        <f t="shared" si="2"/>
        <v>0.01943323455</v>
      </c>
      <c r="K266" s="51">
        <f t="shared" si="3"/>
        <v>0.0160149286</v>
      </c>
    </row>
    <row r="267">
      <c r="A267" s="35">
        <v>267.0</v>
      </c>
      <c r="B267" s="42">
        <v>45490.741111111114</v>
      </c>
      <c r="C267" s="42">
        <v>45490.75005787037</v>
      </c>
      <c r="D267" s="43">
        <v>3.93103834703703E-5</v>
      </c>
      <c r="E267" s="44">
        <v>0.0303869264225962</v>
      </c>
      <c r="F267" s="44">
        <v>2.13653854591359E-7</v>
      </c>
      <c r="G267" s="44">
        <v>1.6515442959912E-4</v>
      </c>
      <c r="H267" s="45">
        <f t="shared" si="1"/>
        <v>772.9999996</v>
      </c>
      <c r="I267" s="45">
        <f>IFNA(VLOOKUP(A267,표2[#ALL],2, FALSE), "")</f>
        <v>746.380967</v>
      </c>
      <c r="J267" s="48">
        <f t="shared" si="2"/>
        <v>0.02934052203</v>
      </c>
      <c r="K267" s="49">
        <f t="shared" si="3"/>
        <v>0.0241795242</v>
      </c>
    </row>
    <row r="268">
      <c r="A268" s="35">
        <v>268.0</v>
      </c>
      <c r="B268" s="36">
        <v>45490.75157407407</v>
      </c>
      <c r="C268" s="36">
        <v>45490.753067129626</v>
      </c>
      <c r="D268" s="37">
        <v>3.74384389303079E-5</v>
      </c>
      <c r="E268" s="38">
        <v>0.00482955862200972</v>
      </c>
      <c r="F268" s="38">
        <v>9.04500864732077E-7</v>
      </c>
      <c r="G268" s="38">
        <v>1.16680611550438E-4</v>
      </c>
      <c r="H268" s="39">
        <f t="shared" si="1"/>
        <v>129</v>
      </c>
      <c r="I268" s="39" t="str">
        <f>IFNA(VLOOKUP(A268,표2[#ALL],2, FALSE), "")</f>
        <v/>
      </c>
      <c r="J268" s="40" t="str">
        <f t="shared" si="2"/>
        <v/>
      </c>
      <c r="K268" s="41" t="str">
        <f t="shared" si="3"/>
        <v/>
      </c>
    </row>
    <row r="269">
      <c r="A269" s="35">
        <v>269.0</v>
      </c>
      <c r="B269" s="42">
        <v>45491.41809027778</v>
      </c>
      <c r="C269" s="42">
        <v>45491.418807870374</v>
      </c>
      <c r="D269" s="43">
        <v>3.06386345570822E-5</v>
      </c>
      <c r="E269" s="44">
        <v>0.0018995953425391</v>
      </c>
      <c r="F269" s="44">
        <v>2.18791641291107E-6</v>
      </c>
      <c r="G269" s="44">
        <v>1.35650817600486E-4</v>
      </c>
      <c r="H269" s="45">
        <f t="shared" si="1"/>
        <v>62.00000003</v>
      </c>
      <c r="I269" s="45" t="str">
        <f>IFNA(VLOOKUP(A269,표2[#ALL],2, FALSE), "")</f>
        <v/>
      </c>
      <c r="J269" s="46" t="str">
        <f t="shared" si="2"/>
        <v/>
      </c>
      <c r="K269" s="47" t="str">
        <f t="shared" si="3"/>
        <v/>
      </c>
    </row>
    <row r="270">
      <c r="A270" s="35">
        <v>270.0</v>
      </c>
      <c r="B270" s="36">
        <v>45491.423263888886</v>
      </c>
      <c r="C270" s="36">
        <v>45491.42435185185</v>
      </c>
      <c r="D270" s="37">
        <v>3.98253862718224E-5</v>
      </c>
      <c r="E270" s="38">
        <v>0.0037435863095513</v>
      </c>
      <c r="F270" s="38">
        <v>7.24533803095103E-8</v>
      </c>
      <c r="G270" s="38">
        <v>6.81061774909397E-6</v>
      </c>
      <c r="H270" s="39">
        <f t="shared" si="1"/>
        <v>93.99999997</v>
      </c>
      <c r="I270" s="39" t="str">
        <f>IFNA(VLOOKUP(A270,표2[#ALL],2, FALSE), "")</f>
        <v/>
      </c>
      <c r="J270" s="40" t="str">
        <f t="shared" si="2"/>
        <v/>
      </c>
      <c r="K270" s="41" t="str">
        <f t="shared" si="3"/>
        <v/>
      </c>
    </row>
    <row r="271">
      <c r="A271" s="35">
        <v>271.0</v>
      </c>
      <c r="B271" s="42">
        <v>45491.42445601852</v>
      </c>
      <c r="C271" s="42">
        <v>45491.427094907405</v>
      </c>
      <c r="D271" s="43">
        <v>3.88935871726087E-5</v>
      </c>
      <c r="E271" s="44">
        <v>0.00886773787535478</v>
      </c>
      <c r="F271" s="44">
        <v>3.87871121204695E-7</v>
      </c>
      <c r="G271" s="44">
        <v>8.84346156346705E-5</v>
      </c>
      <c r="H271" s="45">
        <f t="shared" si="1"/>
        <v>227.9999999</v>
      </c>
      <c r="I271" s="45">
        <f>IFNA(VLOOKUP(A271,표2[#ALL],2, FALSE), "")</f>
        <v>212.893246</v>
      </c>
      <c r="J271" s="48">
        <f t="shared" si="2"/>
        <v>0.008280182022</v>
      </c>
      <c r="K271" s="49">
        <f t="shared" si="3"/>
        <v>0.006823698004</v>
      </c>
    </row>
    <row r="272">
      <c r="A272" s="35">
        <v>272.0</v>
      </c>
      <c r="B272" s="36">
        <v>45491.429074074076</v>
      </c>
      <c r="C272" s="36">
        <v>45491.43126157407</v>
      </c>
      <c r="D272" s="37">
        <v>3.78182048190481E-5</v>
      </c>
      <c r="E272" s="38">
        <v>0.0071476407108001</v>
      </c>
      <c r="F272" s="38">
        <v>5.94233198609007E-7</v>
      </c>
      <c r="G272" s="38">
        <v>1.12310074537102E-4</v>
      </c>
      <c r="H272" s="39">
        <f t="shared" si="1"/>
        <v>188.9999995</v>
      </c>
      <c r="I272" s="39">
        <f>IFNA(VLOOKUP(A272,표2[#ALL],2, FALSE), "")</f>
        <v>169.995486</v>
      </c>
      <c r="J272" s="50">
        <f t="shared" si="2"/>
        <v>0.006428924108</v>
      </c>
      <c r="K272" s="51">
        <f t="shared" si="3"/>
        <v>0.005298076357</v>
      </c>
    </row>
    <row r="273">
      <c r="A273" s="35">
        <v>273.0</v>
      </c>
      <c r="B273" s="42">
        <v>45491.43446759259</v>
      </c>
      <c r="C273" s="42">
        <v>45491.43618055555</v>
      </c>
      <c r="D273" s="43">
        <v>3.73707762360673E-5</v>
      </c>
      <c r="E273" s="44">
        <v>0.00553087488293796</v>
      </c>
      <c r="F273" s="44">
        <v>6.91176830231919E-7</v>
      </c>
      <c r="G273" s="44">
        <v>1.02294170874324E-4</v>
      </c>
      <c r="H273" s="45">
        <f t="shared" si="1"/>
        <v>148</v>
      </c>
      <c r="I273" s="45">
        <f>IFNA(VLOOKUP(A273,표2[#ALL],2, FALSE), "")</f>
        <v>129.549989</v>
      </c>
      <c r="J273" s="48">
        <f t="shared" si="2"/>
        <v>0.00484138365</v>
      </c>
      <c r="K273" s="49">
        <f t="shared" si="3"/>
        <v>0.003989784266</v>
      </c>
    </row>
    <row r="274">
      <c r="A274" s="35">
        <v>274.0</v>
      </c>
      <c r="B274" s="36">
        <v>45491.436747685184</v>
      </c>
      <c r="C274" s="36">
        <v>45491.43912037037</v>
      </c>
      <c r="D274" s="37">
        <v>3.81918402822119E-5</v>
      </c>
      <c r="E274" s="38">
        <v>0.00782932725785344</v>
      </c>
      <c r="F274" s="38">
        <v>5.08198699280474E-7</v>
      </c>
      <c r="G274" s="38">
        <v>1.04180733352497E-4</v>
      </c>
      <c r="H274" s="39">
        <f t="shared" si="1"/>
        <v>205.0000001</v>
      </c>
      <c r="I274" s="39">
        <f>IFNA(VLOOKUP(A274,표2[#ALL],2, FALSE), "")</f>
        <v>186.247941</v>
      </c>
      <c r="J274" s="50">
        <f t="shared" si="2"/>
        <v>0.007113151616</v>
      </c>
      <c r="K274" s="51">
        <f t="shared" si="3"/>
        <v>0.005861948246</v>
      </c>
    </row>
    <row r="275">
      <c r="A275" s="35">
        <v>275.0</v>
      </c>
      <c r="B275" s="42">
        <v>45491.439722222225</v>
      </c>
      <c r="C275" s="42">
        <v>45491.44449074074</v>
      </c>
      <c r="D275" s="43">
        <v>3.86527078981348E-5</v>
      </c>
      <c r="E275" s="44">
        <v>0.0159249156540315</v>
      </c>
      <c r="F275" s="44">
        <v>2.70959831551466E-7</v>
      </c>
      <c r="G275" s="44">
        <v>1.11635450599204E-4</v>
      </c>
      <c r="H275" s="45">
        <f t="shared" si="1"/>
        <v>411.9999995</v>
      </c>
      <c r="I275" s="45">
        <f>IFNA(VLOOKUP(A275,표2[#ALL],2, FALSE), "")</f>
        <v>393.838904</v>
      </c>
      <c r="J275" s="48">
        <f t="shared" si="2"/>
        <v>0.01522294012</v>
      </c>
      <c r="K275" s="49">
        <f t="shared" si="3"/>
        <v>0.01254522495</v>
      </c>
    </row>
    <row r="276">
      <c r="A276" s="35">
        <v>276.0</v>
      </c>
      <c r="B276" s="36">
        <v>45491.44571759259</v>
      </c>
      <c r="C276" s="36">
        <v>45491.45280092592</v>
      </c>
      <c r="D276" s="37">
        <v>3.88605261128827E-5</v>
      </c>
      <c r="E276" s="38">
        <v>0.0237826419810842</v>
      </c>
      <c r="F276" s="38">
        <v>1.64042948083198E-7</v>
      </c>
      <c r="G276" s="38">
        <v>1.00394284226917E-4</v>
      </c>
      <c r="H276" s="39">
        <f t="shared" si="1"/>
        <v>611.9999997</v>
      </c>
      <c r="I276" s="39">
        <f>IFNA(VLOOKUP(A276,표2[#ALL],2, FALSE), "")</f>
        <v>594.436244</v>
      </c>
      <c r="J276" s="50">
        <f t="shared" si="2"/>
        <v>0.02310010518</v>
      </c>
      <c r="K276" s="51">
        <f t="shared" si="3"/>
        <v>0.01903679668</v>
      </c>
    </row>
    <row r="277">
      <c r="A277" s="35">
        <v>277.0</v>
      </c>
      <c r="B277" s="42">
        <v>45491.45408564815</v>
      </c>
      <c r="C277" s="42">
        <v>45491.45914351852</v>
      </c>
      <c r="D277" s="43">
        <v>3.8321942110826E-5</v>
      </c>
      <c r="E277" s="44">
        <v>0.016746688702431</v>
      </c>
      <c r="F277" s="44">
        <v>2.5307948741788E-7</v>
      </c>
      <c r="G277" s="44">
        <v>1.10595736001614E-4</v>
      </c>
      <c r="H277" s="45">
        <f t="shared" si="1"/>
        <v>437.0000003</v>
      </c>
      <c r="I277" s="45">
        <f>IFNA(VLOOKUP(A277,표2[#ALL],2, FALSE), "")</f>
        <v>418.189932</v>
      </c>
      <c r="J277" s="48">
        <f t="shared" si="2"/>
        <v>0.01602585037</v>
      </c>
      <c r="K277" s="49">
        <f t="shared" si="3"/>
        <v>0.01320690329</v>
      </c>
    </row>
    <row r="278">
      <c r="A278" s="35">
        <v>278.0</v>
      </c>
      <c r="B278" s="36">
        <v>45491.45983796296</v>
      </c>
      <c r="C278" s="36">
        <v>45491.46638888889</v>
      </c>
      <c r="D278" s="37">
        <v>3.84280606916939E-5</v>
      </c>
      <c r="E278" s="38">
        <v>0.0217502823514987</v>
      </c>
      <c r="F278" s="38">
        <v>1.95957453077336E-7</v>
      </c>
      <c r="G278" s="38">
        <v>1.10911918441772E-4</v>
      </c>
      <c r="H278" s="39">
        <f t="shared" si="1"/>
        <v>566.0000003</v>
      </c>
      <c r="I278" s="39">
        <f>IFNA(VLOOKUP(A278,표2[#ALL],2, FALSE), "")</f>
        <v>546.43679</v>
      </c>
      <c r="J278" s="50">
        <f t="shared" si="2"/>
        <v>0.02099850613</v>
      </c>
      <c r="K278" s="51">
        <f t="shared" si="3"/>
        <v>0.0173048689</v>
      </c>
    </row>
    <row r="279">
      <c r="A279" s="35">
        <v>279.0</v>
      </c>
      <c r="B279" s="42">
        <v>45491.466875</v>
      </c>
      <c r="C279" s="42">
        <v>45491.468356481484</v>
      </c>
      <c r="D279" s="43">
        <v>3.66807554365327E-5</v>
      </c>
      <c r="E279" s="44">
        <v>0.00469513669587619</v>
      </c>
      <c r="F279" s="44">
        <v>7.80601597900406E-7</v>
      </c>
      <c r="G279" s="44">
        <v>9.9917004531252E-5</v>
      </c>
      <c r="H279" s="45">
        <f t="shared" si="1"/>
        <v>128.0000004</v>
      </c>
      <c r="I279" s="45">
        <f>IFNA(VLOOKUP(A279,표2[#ALL],2, FALSE), "")</f>
        <v>111.146894</v>
      </c>
      <c r="J279" s="48">
        <f t="shared" si="2"/>
        <v>0.004076952036</v>
      </c>
      <c r="K279" s="49">
        <f t="shared" si="3"/>
        <v>0.003359816173</v>
      </c>
    </row>
    <row r="280">
      <c r="A280" s="35">
        <v>280.0</v>
      </c>
      <c r="B280" s="36">
        <v>45491.468935185185</v>
      </c>
      <c r="C280" s="36">
        <v>45491.470925925925</v>
      </c>
      <c r="D280" s="37">
        <v>3.68328400912877E-5</v>
      </c>
      <c r="E280" s="38">
        <v>0.00633524849570148</v>
      </c>
      <c r="F280" s="38">
        <v>6.23692470274716E-7</v>
      </c>
      <c r="G280" s="38">
        <v>1.07275104887251E-4</v>
      </c>
      <c r="H280" s="39">
        <f t="shared" si="1"/>
        <v>172</v>
      </c>
      <c r="I280" s="39">
        <f>IFNA(VLOOKUP(A280,표2[#ALL],2, FALSE), "")</f>
        <v>154.243308</v>
      </c>
      <c r="J280" s="50">
        <f t="shared" si="2"/>
        <v>0.005681219099</v>
      </c>
      <c r="K280" s="51">
        <f t="shared" si="3"/>
        <v>0.004681892659</v>
      </c>
    </row>
    <row r="281">
      <c r="A281" s="35">
        <v>281.0</v>
      </c>
      <c r="B281" s="42">
        <v>45491.471921296295</v>
      </c>
      <c r="C281" s="42">
        <v>45491.47357638889</v>
      </c>
      <c r="D281" s="43">
        <v>3.71830122988369E-5</v>
      </c>
      <c r="E281" s="44">
        <v>0.00531717075873367</v>
      </c>
      <c r="F281" s="44">
        <v>6.58558066286767E-7</v>
      </c>
      <c r="G281" s="44">
        <v>9.41738034790077E-5</v>
      </c>
      <c r="H281" s="45">
        <f t="shared" si="1"/>
        <v>143.0000001</v>
      </c>
      <c r="I281" s="45">
        <f>IFNA(VLOOKUP(A281,표2[#ALL],2, FALSE), "")</f>
        <v>124.393194</v>
      </c>
      <c r="J281" s="48">
        <f t="shared" si="2"/>
        <v>0.004625313662</v>
      </c>
      <c r="K281" s="49">
        <f t="shared" si="3"/>
        <v>0.003811720989</v>
      </c>
    </row>
    <row r="282">
      <c r="A282" s="35">
        <v>282.0</v>
      </c>
      <c r="B282" s="36">
        <v>45491.474375</v>
      </c>
      <c r="C282" s="36">
        <v>45491.47523148148</v>
      </c>
      <c r="D282" s="37">
        <v>3.41932137106427E-5</v>
      </c>
      <c r="E282" s="38">
        <v>0.00253029781458756</v>
      </c>
      <c r="F282" s="38">
        <v>1.48035345340633E-6</v>
      </c>
      <c r="G282" s="38">
        <v>1.09546155552069E-4</v>
      </c>
      <c r="H282" s="39">
        <f t="shared" si="1"/>
        <v>74.00000033</v>
      </c>
      <c r="I282" s="39">
        <f>IFNA(VLOOKUP(A282,표2[#ALL],2, FALSE), "")</f>
        <v>53.9028778</v>
      </c>
      <c r="J282" s="50">
        <f t="shared" si="2"/>
        <v>0.00184311262</v>
      </c>
      <c r="K282" s="51">
        <f t="shared" si="3"/>
        <v>0.00151890911</v>
      </c>
    </row>
    <row r="283">
      <c r="A283" s="35">
        <v>283.0</v>
      </c>
      <c r="B283" s="42">
        <v>45491.475694444445</v>
      </c>
      <c r="C283" s="42">
        <v>45491.47759259259</v>
      </c>
      <c r="D283" s="43">
        <v>3.67019895705817E-5</v>
      </c>
      <c r="E283" s="44">
        <v>0.00601912628957541</v>
      </c>
      <c r="F283" s="44">
        <v>6.52151119338881E-7</v>
      </c>
      <c r="G283" s="44">
        <v>1.06952783571577E-4</v>
      </c>
      <c r="H283" s="45">
        <f t="shared" si="1"/>
        <v>164</v>
      </c>
      <c r="I283" s="45">
        <f>IFNA(VLOOKUP(A283,표2[#ALL],2, FALSE), "")</f>
        <v>153.129934</v>
      </c>
      <c r="J283" s="48">
        <f t="shared" si="2"/>
        <v>0.005620173241</v>
      </c>
      <c r="K283" s="49">
        <f t="shared" si="3"/>
        <v>0.004631584768</v>
      </c>
    </row>
    <row r="284">
      <c r="A284" s="35">
        <v>284.0</v>
      </c>
      <c r="B284" s="36">
        <v>45491.47920138889</v>
      </c>
      <c r="C284" s="36">
        <v>45491.481458333335</v>
      </c>
      <c r="D284" s="37">
        <v>3.70522438767708E-5</v>
      </c>
      <c r="E284" s="38">
        <v>0.00722518755597031</v>
      </c>
      <c r="F284" s="38">
        <v>5.14900553097687E-7</v>
      </c>
      <c r="G284" s="38">
        <v>1.00405607854049E-4</v>
      </c>
      <c r="H284" s="39">
        <f t="shared" si="1"/>
        <v>195.0000003</v>
      </c>
      <c r="I284" s="39">
        <f>IFNA(VLOOKUP(A284,표2[#ALL],2, FALSE), "")</f>
        <v>177.644849</v>
      </c>
      <c r="J284" s="50">
        <f t="shared" si="2"/>
        <v>0.006582140269</v>
      </c>
      <c r="K284" s="51">
        <f t="shared" si="3"/>
        <v>0.005424341795</v>
      </c>
    </row>
    <row r="285">
      <c r="A285" s="35">
        <v>285.0</v>
      </c>
      <c r="B285" s="42">
        <v>45491.4828125</v>
      </c>
      <c r="C285" s="42">
        <v>45491.49172453704</v>
      </c>
      <c r="D285" s="43">
        <v>3.80745297441686E-5</v>
      </c>
      <c r="E285" s="44">
        <v>0.0293173879030098</v>
      </c>
      <c r="F285" s="44">
        <v>1.51124142702228E-7</v>
      </c>
      <c r="G285" s="44">
        <v>1.16365589880716E-4</v>
      </c>
      <c r="H285" s="45">
        <f t="shared" si="1"/>
        <v>770.0000002</v>
      </c>
      <c r="I285" s="45">
        <f>IFNA(VLOOKUP(A285,표2[#ALL],2, FALSE), "")</f>
        <v>751.231339</v>
      </c>
      <c r="J285" s="48">
        <f t="shared" si="2"/>
        <v>0.02860277996</v>
      </c>
      <c r="K285" s="49">
        <f t="shared" si="3"/>
        <v>0.02357155097</v>
      </c>
    </row>
    <row r="286">
      <c r="A286" s="35">
        <v>286.0</v>
      </c>
      <c r="B286" s="36">
        <v>45491.49313657408</v>
      </c>
      <c r="C286" s="36">
        <v>45491.49423611111</v>
      </c>
      <c r="D286" s="37">
        <v>3.53497743171946E-5</v>
      </c>
      <c r="E286" s="38">
        <v>0.00335822856013349</v>
      </c>
      <c r="F286" s="38">
        <v>1.09582388802316E-6</v>
      </c>
      <c r="G286" s="38">
        <v>1.04103269362201E-4</v>
      </c>
      <c r="H286" s="39">
        <f t="shared" si="1"/>
        <v>94.99999958</v>
      </c>
      <c r="I286" s="39">
        <f>IFNA(VLOOKUP(A286,표2[#ALL],2, FALSE), "")</f>
        <v>77.248794</v>
      </c>
      <c r="J286" s="50">
        <f t="shared" si="2"/>
        <v>0.002730727434</v>
      </c>
      <c r="K286" s="51">
        <f t="shared" si="3"/>
        <v>0.002250392479</v>
      </c>
    </row>
    <row r="287">
      <c r="A287" s="35">
        <v>287.0</v>
      </c>
      <c r="B287" s="42">
        <v>45491.49561342593</v>
      </c>
      <c r="C287" s="42">
        <v>45491.4965625</v>
      </c>
      <c r="D287" s="43">
        <v>3.47864135955336E-5</v>
      </c>
      <c r="E287" s="44">
        <v>0.00285248591483376</v>
      </c>
      <c r="F287" s="44">
        <v>1.26666842390329E-6</v>
      </c>
      <c r="G287" s="44">
        <v>1.0386681076007E-4</v>
      </c>
      <c r="H287" s="45">
        <f t="shared" si="1"/>
        <v>81.99999968</v>
      </c>
      <c r="I287" s="45">
        <f>IFNA(VLOOKUP(A287,표2[#ALL],2, FALSE), "")</f>
        <v>70.1027616</v>
      </c>
      <c r="J287" s="48">
        <f t="shared" si="2"/>
        <v>0.002438623659</v>
      </c>
      <c r="K287" s="49">
        <f t="shared" si="3"/>
        <v>0.002009669758</v>
      </c>
    </row>
    <row r="288">
      <c r="A288" s="35">
        <v>288.0</v>
      </c>
      <c r="B288" s="36">
        <v>45491.49747685185</v>
      </c>
      <c r="C288" s="36">
        <v>45491.49774305556</v>
      </c>
      <c r="D288" s="37">
        <v>2.50315041105065E-5</v>
      </c>
      <c r="E288" s="38">
        <v>5.7572459454165E-4</v>
      </c>
      <c r="F288" s="38">
        <v>3.87122618379504E-6</v>
      </c>
      <c r="G288" s="38">
        <v>8.90382022272859E-5</v>
      </c>
      <c r="H288" s="39">
        <f t="shared" si="1"/>
        <v>23.00000035</v>
      </c>
      <c r="I288" s="39">
        <f>IFNA(VLOOKUP(A288,표2[#ALL],2, FALSE), "")</f>
        <v>4.64984683</v>
      </c>
      <c r="J288" s="50">
        <f t="shared" si="2"/>
        <v>0.00011639266</v>
      </c>
      <c r="K288" s="51">
        <f t="shared" si="3"/>
        <v>0.00009591919114</v>
      </c>
    </row>
    <row r="289">
      <c r="A289" s="35">
        <v>289.0</v>
      </c>
      <c r="B289" s="42">
        <v>45491.498761574076</v>
      </c>
      <c r="C289" s="42">
        <v>45491.508564814816</v>
      </c>
      <c r="D289" s="43">
        <v>3.8025980358131E-5</v>
      </c>
      <c r="E289" s="44">
        <v>0.0322080053633369</v>
      </c>
      <c r="F289" s="44">
        <v>1.14150653243371E-7</v>
      </c>
      <c r="G289" s="44">
        <v>9.6685603297135E-5</v>
      </c>
      <c r="H289" s="45">
        <f t="shared" si="1"/>
        <v>847</v>
      </c>
      <c r="I289" s="45">
        <f>IFNA(VLOOKUP(A289,표2[#ALL],2, FALSE), "")</f>
        <v>828.925424</v>
      </c>
      <c r="J289" s="48">
        <f t="shared" si="2"/>
        <v>0.03152070189</v>
      </c>
      <c r="K289" s="49">
        <f t="shared" si="3"/>
        <v>0.02597621043</v>
      </c>
    </row>
    <row r="290">
      <c r="A290" s="35">
        <v>290.0</v>
      </c>
      <c r="B290" s="36">
        <v>45491.510775462964</v>
      </c>
      <c r="C290" s="36">
        <v>45491.5190162037</v>
      </c>
      <c r="D290" s="37">
        <v>3.77292763341826E-5</v>
      </c>
      <c r="E290" s="38">
        <v>0.026863244749938</v>
      </c>
      <c r="F290" s="38">
        <v>1.31640983248212E-7</v>
      </c>
      <c r="G290" s="38">
        <v>9.37283800727266E-5</v>
      </c>
      <c r="H290" s="39">
        <f t="shared" si="1"/>
        <v>711.9999998</v>
      </c>
      <c r="I290" s="39">
        <f>IFNA(VLOOKUP(A290,표2[#ALL],2, FALSE), "")</f>
        <v>692.978146</v>
      </c>
      <c r="J290" s="50">
        <f t="shared" si="2"/>
        <v>0.02614556396</v>
      </c>
      <c r="K290" s="51">
        <f t="shared" si="3"/>
        <v>0.02154655926</v>
      </c>
    </row>
    <row r="291">
      <c r="A291" s="35">
        <v>291.0</v>
      </c>
      <c r="B291" s="42">
        <v>45491.5209837963</v>
      </c>
      <c r="C291" s="42">
        <v>45491.52230324074</v>
      </c>
      <c r="D291" s="43">
        <v>3.49580772946725E-5</v>
      </c>
      <c r="E291" s="44">
        <v>0.00398522081159266</v>
      </c>
      <c r="F291" s="44">
        <v>9.56814614577029E-7</v>
      </c>
      <c r="G291" s="44">
        <v>1.09076866061781E-4</v>
      </c>
      <c r="H291" s="45">
        <f t="shared" si="1"/>
        <v>113.9999996</v>
      </c>
      <c r="I291" s="45">
        <f>IFNA(VLOOKUP(A291,표2[#ALL],2, FALSE), "")</f>
        <v>94.4467422</v>
      </c>
      <c r="J291" s="48">
        <f t="shared" si="2"/>
        <v>0.003301676514</v>
      </c>
      <c r="K291" s="49">
        <f t="shared" si="3"/>
        <v>0.002720911615</v>
      </c>
    </row>
    <row r="292">
      <c r="A292" s="35">
        <v>292.0</v>
      </c>
      <c r="B292" s="36">
        <v>45491.5228125</v>
      </c>
      <c r="C292" s="36">
        <v>45491.52549768519</v>
      </c>
      <c r="D292" s="37">
        <v>3.64673576581218E-5</v>
      </c>
      <c r="E292" s="38">
        <v>0.00846042697668426</v>
      </c>
      <c r="F292" s="38">
        <v>4.47662644775803E-7</v>
      </c>
      <c r="G292" s="38">
        <v>1.03857733587986E-4</v>
      </c>
      <c r="H292" s="39">
        <f t="shared" si="1"/>
        <v>232.0000002</v>
      </c>
      <c r="I292" s="39">
        <f>IFNA(VLOOKUP(A292,표2[#ALL],2, FALSE), "")</f>
        <v>213.398175</v>
      </c>
      <c r="J292" s="50">
        <f t="shared" si="2"/>
        <v>0.007782067571</v>
      </c>
      <c r="K292" s="51">
        <f t="shared" si="3"/>
        <v>0.006413201886</v>
      </c>
    </row>
    <row r="293">
      <c r="A293" s="35">
        <v>293.0</v>
      </c>
      <c r="B293" s="42">
        <v>45491.53039351852</v>
      </c>
      <c r="C293" s="42">
        <v>45491.53905092592</v>
      </c>
      <c r="D293" s="43">
        <v>3.73793280793927E-5</v>
      </c>
      <c r="E293" s="44">
        <v>0.0279597374033857</v>
      </c>
      <c r="F293" s="44">
        <v>1.33827360541809E-7</v>
      </c>
      <c r="G293" s="44">
        <v>1.00102865685273E-4</v>
      </c>
      <c r="H293" s="45">
        <f t="shared" si="1"/>
        <v>747.9999995</v>
      </c>
      <c r="I293" s="45">
        <f>IFNA(VLOOKUP(A293,표2[#ALL],2, FALSE), "")</f>
        <v>732.110534</v>
      </c>
      <c r="J293" s="48">
        <f t="shared" si="2"/>
        <v>0.02736579984</v>
      </c>
      <c r="K293" s="49">
        <f t="shared" si="3"/>
        <v>0.02255215565</v>
      </c>
    </row>
    <row r="294">
      <c r="A294" s="35">
        <v>294.0</v>
      </c>
      <c r="B294" s="36">
        <v>45491.54131944444</v>
      </c>
      <c r="C294" s="36">
        <v>45491.54300925926</v>
      </c>
      <c r="D294" s="37">
        <v>3.53401519029658E-5</v>
      </c>
      <c r="E294" s="38">
        <v>0.00515966217783301</v>
      </c>
      <c r="F294" s="38">
        <v>7.28635015835552E-7</v>
      </c>
      <c r="G294" s="38">
        <v>1.06380712311991E-4</v>
      </c>
      <c r="H294" s="39">
        <f t="shared" si="1"/>
        <v>146.0000002</v>
      </c>
      <c r="I294" s="39">
        <f>IFNA(VLOOKUP(A294,표2[#ALL],2, FALSE), "")</f>
        <v>132.635824</v>
      </c>
      <c r="J294" s="50">
        <f t="shared" si="2"/>
        <v>0.004687370168</v>
      </c>
      <c r="K294" s="51">
        <f t="shared" si="3"/>
        <v>0.003862861755</v>
      </c>
    </row>
    <row r="295">
      <c r="A295" s="35">
        <v>295.0</v>
      </c>
      <c r="B295" s="42">
        <v>45491.543854166666</v>
      </c>
      <c r="C295" s="42">
        <v>45491.54699074074</v>
      </c>
      <c r="D295" s="43">
        <v>3.6600883664804E-5</v>
      </c>
      <c r="E295" s="44">
        <v>0.00991883947316188</v>
      </c>
      <c r="F295" s="44">
        <v>3.95966217741373E-7</v>
      </c>
      <c r="G295" s="44">
        <v>1.07306845007912E-4</v>
      </c>
      <c r="H295" s="45">
        <f t="shared" si="1"/>
        <v>270.9999999</v>
      </c>
      <c r="I295" s="45">
        <f>IFNA(VLOOKUP(A295,표2[#ALL],2, FALSE), "")</f>
        <v>251.141771</v>
      </c>
      <c r="J295" s="48">
        <f t="shared" si="2"/>
        <v>0.009192010744</v>
      </c>
      <c r="K295" s="49">
        <f t="shared" si="3"/>
        <v>0.007575136054</v>
      </c>
    </row>
    <row r="296">
      <c r="A296" s="35">
        <v>296.0</v>
      </c>
      <c r="B296" s="36">
        <v>45491.54783564815</v>
      </c>
      <c r="C296" s="36">
        <v>45491.54850694445</v>
      </c>
      <c r="D296" s="37">
        <v>3.26644719876154E-5</v>
      </c>
      <c r="E296" s="38">
        <v>0.00189453937528169</v>
      </c>
      <c r="F296" s="38">
        <v>1.70439646469745E-6</v>
      </c>
      <c r="G296" s="38">
        <v>9.88549949524518E-5</v>
      </c>
      <c r="H296" s="39">
        <f t="shared" si="1"/>
        <v>58.00000036</v>
      </c>
      <c r="I296" s="39">
        <f>IFNA(VLOOKUP(A296,표2[#ALL],2, FALSE), "")</f>
        <v>38.8462007</v>
      </c>
      <c r="J296" s="50">
        <f t="shared" si="2"/>
        <v>0.001268890635</v>
      </c>
      <c r="K296" s="51">
        <f t="shared" si="3"/>
        <v>0.001045692772</v>
      </c>
    </row>
    <row r="297">
      <c r="A297" s="35">
        <v>297.0</v>
      </c>
      <c r="B297" s="42">
        <v>45491.54908564815</v>
      </c>
      <c r="C297" s="42">
        <v>45491.55002314815</v>
      </c>
      <c r="D297" s="43">
        <v>3.39676254978836E-5</v>
      </c>
      <c r="E297" s="44">
        <v>0.00275137766532857</v>
      </c>
      <c r="F297" s="44">
        <v>1.23212381832702E-6</v>
      </c>
      <c r="G297" s="44">
        <v>9.98020292844884E-5</v>
      </c>
      <c r="H297" s="45">
        <f t="shared" si="1"/>
        <v>81.00000008</v>
      </c>
      <c r="I297" s="45">
        <f>IFNA(VLOOKUP(A297,표2[#ALL],2, FALSE), "")</f>
        <v>62.0479583</v>
      </c>
      <c r="J297" s="48">
        <f t="shared" si="2"/>
        <v>0.00210762181</v>
      </c>
      <c r="K297" s="49">
        <f t="shared" si="3"/>
        <v>0.001736891134</v>
      </c>
    </row>
    <row r="298">
      <c r="A298" s="35">
        <v>298.0</v>
      </c>
      <c r="B298" s="36">
        <v>45491.550532407404</v>
      </c>
      <c r="C298" s="36">
        <v>45491.55305555555</v>
      </c>
      <c r="D298" s="37">
        <v>3.65436599004539E-5</v>
      </c>
      <c r="E298" s="38">
        <v>0.00796651785829896</v>
      </c>
      <c r="F298" s="38">
        <v>3.98916141208505E-7</v>
      </c>
      <c r="G298" s="38">
        <v>8.69637187834541E-5</v>
      </c>
      <c r="H298" s="39">
        <f t="shared" si="1"/>
        <v>218</v>
      </c>
      <c r="I298" s="39">
        <f>IFNA(VLOOKUP(A298,표2[#ALL],2, FALSE), "")</f>
        <v>207.161477</v>
      </c>
      <c r="J298" s="50">
        <f t="shared" si="2"/>
        <v>0.00757043856</v>
      </c>
      <c r="K298" s="51">
        <f t="shared" si="3"/>
        <v>0.006238798417</v>
      </c>
    </row>
    <row r="299">
      <c r="A299" s="35">
        <v>299.0</v>
      </c>
      <c r="B299" s="42">
        <v>45491.55511574074</v>
      </c>
      <c r="C299" s="42">
        <v>45491.55837962963</v>
      </c>
      <c r="D299" s="43">
        <v>3.64711972775445E-5</v>
      </c>
      <c r="E299" s="44">
        <v>0.0102848776322675</v>
      </c>
      <c r="F299" s="44">
        <v>3.23686544351841E-7</v>
      </c>
      <c r="G299" s="44">
        <v>9.12796055072191E-5</v>
      </c>
      <c r="H299" s="45">
        <f t="shared" si="1"/>
        <v>281.9999999</v>
      </c>
      <c r="I299" s="45">
        <f>IFNA(VLOOKUP(A299,표2[#ALL],2, FALSE), "")</f>
        <v>264.045878</v>
      </c>
      <c r="J299" s="48">
        <f t="shared" si="2"/>
        <v>0.009630069307</v>
      </c>
      <c r="K299" s="49">
        <f t="shared" si="3"/>
        <v>0.007936140116</v>
      </c>
    </row>
    <row r="300">
      <c r="A300" s="35">
        <v>300.0</v>
      </c>
      <c r="B300" s="36">
        <v>45491.56565972222</v>
      </c>
      <c r="C300" s="36">
        <v>45491.571863425925</v>
      </c>
      <c r="D300" s="37">
        <v>3.73882575849632E-5</v>
      </c>
      <c r="E300" s="38">
        <v>0.0200401060655403</v>
      </c>
      <c r="F300" s="38">
        <v>2.61740025442508E-8</v>
      </c>
      <c r="G300" s="38">
        <v>1.40292653637184E-5</v>
      </c>
      <c r="H300" s="39">
        <f t="shared" si="1"/>
        <v>536.0000002</v>
      </c>
      <c r="I300" s="39" t="str">
        <f>IFNA(VLOOKUP(A300,표2[#ALL],2, FALSE), "")</f>
        <v/>
      </c>
      <c r="J300" s="40" t="str">
        <f t="shared" si="2"/>
        <v/>
      </c>
      <c r="K300" s="41" t="str">
        <f t="shared" si="3"/>
        <v/>
      </c>
    </row>
    <row r="301">
      <c r="A301" s="35">
        <v>301.0</v>
      </c>
      <c r="B301" s="42">
        <v>45491.57604166667</v>
      </c>
      <c r="C301" s="42">
        <v>45491.58741898148</v>
      </c>
      <c r="D301" s="43">
        <v>3.71458648318285E-5</v>
      </c>
      <c r="E301" s="44">
        <v>0.0365143851296874</v>
      </c>
      <c r="F301" s="44">
        <v>1.90186088385984E-8</v>
      </c>
      <c r="G301" s="44">
        <v>1.86952924883422E-5</v>
      </c>
      <c r="H301" s="45">
        <f t="shared" si="1"/>
        <v>982.9999997</v>
      </c>
      <c r="I301" s="45" t="str">
        <f>IFNA(VLOOKUP(A301,표2[#ALL],2, FALSE), "")</f>
        <v/>
      </c>
      <c r="J301" s="46" t="str">
        <f t="shared" si="2"/>
        <v/>
      </c>
      <c r="K301" s="47" t="str">
        <f t="shared" si="3"/>
        <v/>
      </c>
    </row>
    <row r="302">
      <c r="A302" s="35">
        <v>302.0</v>
      </c>
      <c r="B302" s="36">
        <v>45491.59265046296</v>
      </c>
      <c r="C302" s="36">
        <v>45491.59668981482</v>
      </c>
      <c r="D302" s="37">
        <v>4.23416689886242E-5</v>
      </c>
      <c r="E302" s="38">
        <v>0.0147772424770299</v>
      </c>
      <c r="F302" s="38">
        <v>2.66245401789739E-8</v>
      </c>
      <c r="G302" s="38">
        <v>9.2919645224619E-6</v>
      </c>
      <c r="H302" s="39">
        <f t="shared" si="1"/>
        <v>349.0000005</v>
      </c>
      <c r="I302" s="39" t="str">
        <f>IFNA(VLOOKUP(A302,표2[#ALL],2, FALSE), "")</f>
        <v/>
      </c>
      <c r="J302" s="40" t="str">
        <f t="shared" si="2"/>
        <v/>
      </c>
      <c r="K302" s="41" t="str">
        <f t="shared" si="3"/>
        <v/>
      </c>
    </row>
    <row r="303">
      <c r="A303" s="35">
        <v>303.0</v>
      </c>
      <c r="B303" s="42">
        <v>45491.599953703706</v>
      </c>
      <c r="C303" s="42">
        <v>45491.603738425925</v>
      </c>
      <c r="D303" s="43">
        <v>3.67733883659459E-5</v>
      </c>
      <c r="E303" s="44">
        <v>0.0120248979956643</v>
      </c>
      <c r="F303" s="44">
        <v>3.22320605362935E-8</v>
      </c>
      <c r="G303" s="44">
        <v>1.0539883795368E-5</v>
      </c>
      <c r="H303" s="45">
        <f t="shared" si="1"/>
        <v>326.9999997</v>
      </c>
      <c r="I303" s="45" t="str">
        <f>IFNA(VLOOKUP(A303,표2[#ALL],2, FALSE), "")</f>
        <v/>
      </c>
      <c r="J303" s="46" t="str">
        <f t="shared" si="2"/>
        <v/>
      </c>
      <c r="K303" s="47" t="str">
        <f t="shared" si="3"/>
        <v/>
      </c>
    </row>
    <row r="304">
      <c r="A304" s="35">
        <v>304.0</v>
      </c>
      <c r="B304" s="36">
        <v>45491.61310185185</v>
      </c>
      <c r="C304" s="36">
        <v>45491.6196875</v>
      </c>
      <c r="D304" s="37">
        <v>3.71049838544268E-5</v>
      </c>
      <c r="E304" s="38">
        <v>0.0211127358131689</v>
      </c>
      <c r="F304" s="38">
        <v>1.78382609140334E-7</v>
      </c>
      <c r="G304" s="38">
        <v>1.0149970460085E-4</v>
      </c>
      <c r="H304" s="39">
        <f t="shared" si="1"/>
        <v>569.0000004</v>
      </c>
      <c r="I304" s="39">
        <f>IFNA(VLOOKUP(A304,표2[#ALL],2, FALSE), "")</f>
        <v>558.048022</v>
      </c>
      <c r="J304" s="50">
        <f t="shared" si="2"/>
        <v>0.02070636285</v>
      </c>
      <c r="K304" s="51">
        <f t="shared" si="3"/>
        <v>0.01706411362</v>
      </c>
    </row>
    <row r="305">
      <c r="A305" s="35">
        <v>305.0</v>
      </c>
      <c r="B305" s="42">
        <v>45491.620208333334</v>
      </c>
      <c r="C305" s="42">
        <v>45491.63317129629</v>
      </c>
      <c r="D305" s="43">
        <v>4.13473761271121E-5</v>
      </c>
      <c r="E305" s="44">
        <v>0.0463090612623655</v>
      </c>
      <c r="F305" s="44">
        <v>9.85514522073693E-8</v>
      </c>
      <c r="G305" s="44">
        <v>1.10377626472254E-4</v>
      </c>
      <c r="H305" s="45">
        <f t="shared" si="1"/>
        <v>1120</v>
      </c>
      <c r="I305" s="45">
        <f>IFNA(VLOOKUP(A305,표2[#ALL],2, FALSE), "")</f>
        <v>1103.57246</v>
      </c>
      <c r="J305" s="48">
        <f t="shared" si="2"/>
        <v>0.04562982559</v>
      </c>
      <c r="K305" s="49">
        <f t="shared" si="3"/>
        <v>0.03760353927</v>
      </c>
    </row>
    <row r="306">
      <c r="A306" s="35">
        <v>306.0</v>
      </c>
      <c r="B306" s="36">
        <v>45491.63453703704</v>
      </c>
      <c r="C306" s="36">
        <v>45491.64604166667</v>
      </c>
      <c r="D306" s="37">
        <v>4.09925750869147E-5</v>
      </c>
      <c r="E306" s="38">
        <v>0.0407466196363932</v>
      </c>
      <c r="F306" s="38">
        <v>1.17766642386177E-7</v>
      </c>
      <c r="G306" s="38">
        <v>1.1706004253186E-4</v>
      </c>
      <c r="H306" s="39">
        <f t="shared" si="1"/>
        <v>993.9999998</v>
      </c>
      <c r="I306" s="39">
        <f>IFNA(VLOOKUP(A306,표2[#ALL],2, FALSE), "")</f>
        <v>976.975705</v>
      </c>
      <c r="J306" s="50">
        <f t="shared" si="2"/>
        <v>0.04004874995</v>
      </c>
      <c r="K306" s="51">
        <f t="shared" si="3"/>
        <v>0.03300417483</v>
      </c>
    </row>
    <row r="307">
      <c r="A307" s="35">
        <v>307.0</v>
      </c>
      <c r="B307" s="42">
        <v>45491.64693287037</v>
      </c>
      <c r="C307" s="42">
        <v>45491.6483912037</v>
      </c>
      <c r="D307" s="43">
        <v>3.91542760027582E-5</v>
      </c>
      <c r="E307" s="44">
        <v>0.00493343877634753</v>
      </c>
      <c r="F307" s="44">
        <v>8.70438732751125E-7</v>
      </c>
      <c r="G307" s="44">
        <v>1.09675280326642E-4</v>
      </c>
      <c r="H307" s="45">
        <f t="shared" si="1"/>
        <v>125.9999999</v>
      </c>
      <c r="I307" s="45">
        <f>IFNA(VLOOKUP(A307,표2[#ALL],2, FALSE), "")</f>
        <v>108.997437</v>
      </c>
      <c r="J307" s="48">
        <f t="shared" si="2"/>
        <v>0.004267715732</v>
      </c>
      <c r="K307" s="49">
        <f t="shared" si="3"/>
        <v>0.003517024535</v>
      </c>
    </row>
    <row r="308">
      <c r="A308" s="35">
        <v>308.0</v>
      </c>
      <c r="B308" s="36">
        <v>45491.64931712963</v>
      </c>
      <c r="C308" s="36">
        <v>45491.65023148148</v>
      </c>
      <c r="D308" s="37">
        <v>3.79567567564753E-5</v>
      </c>
      <c r="E308" s="38">
        <v>0.00299858378376155</v>
      </c>
      <c r="F308" s="38">
        <v>1.32541850250483E-6</v>
      </c>
      <c r="G308" s="38">
        <v>1.04708061697882E-4</v>
      </c>
      <c r="H308" s="39">
        <f t="shared" si="1"/>
        <v>78.99999961</v>
      </c>
      <c r="I308" s="39">
        <f>IFNA(VLOOKUP(A308,표2[#ALL],2, FALSE), "")</f>
        <v>69.272944</v>
      </c>
      <c r="J308" s="50">
        <f t="shared" si="2"/>
        <v>0.002629376285</v>
      </c>
      <c r="K308" s="51">
        <f t="shared" si="3"/>
        <v>0.002166868997</v>
      </c>
    </row>
    <row r="309">
      <c r="A309" s="35">
        <v>309.0</v>
      </c>
      <c r="B309" s="42">
        <v>45491.650659722225</v>
      </c>
      <c r="C309" s="42">
        <v>45491.65347222222</v>
      </c>
      <c r="D309" s="43">
        <v>4.00220249198515E-5</v>
      </c>
      <c r="E309" s="44">
        <v>0.00972535205552391</v>
      </c>
      <c r="F309" s="44">
        <v>4.7649525612175E-7</v>
      </c>
      <c r="G309" s="44">
        <v>1.15788347237585E-4</v>
      </c>
      <c r="H309" s="45">
        <f t="shared" si="1"/>
        <v>242.9999996</v>
      </c>
      <c r="I309" s="45">
        <f>IFNA(VLOOKUP(A309,표2[#ALL],2, FALSE), "")</f>
        <v>224.945171</v>
      </c>
      <c r="J309" s="48">
        <f t="shared" si="2"/>
        <v>0.009002761239</v>
      </c>
      <c r="K309" s="49">
        <f t="shared" si="3"/>
        <v>0.007419175537</v>
      </c>
    </row>
    <row r="310">
      <c r="A310" s="35">
        <v>310.0</v>
      </c>
      <c r="B310" s="36">
        <v>45491.654027777775</v>
      </c>
      <c r="C310" s="36">
        <v>45491.65789351852</v>
      </c>
      <c r="D310" s="37">
        <v>4.0704526709501E-5</v>
      </c>
      <c r="E310" s="38">
        <v>0.0135953119209733</v>
      </c>
      <c r="F310" s="38">
        <v>3.22139869031976E-7</v>
      </c>
      <c r="G310" s="38">
        <v>1.0759471625668E-4</v>
      </c>
      <c r="H310" s="39">
        <f t="shared" si="1"/>
        <v>334.0000001</v>
      </c>
      <c r="I310" s="39">
        <f>IFNA(VLOOKUP(A310,표2[#ALL],2, FALSE), "")</f>
        <v>316.646105</v>
      </c>
      <c r="J310" s="50">
        <f t="shared" si="2"/>
        <v>0.01288892984</v>
      </c>
      <c r="K310" s="51">
        <f t="shared" si="3"/>
        <v>0.01062176708</v>
      </c>
    </row>
    <row r="311">
      <c r="A311" s="35">
        <v>311.0</v>
      </c>
      <c r="B311" s="42">
        <v>45491.66496527778</v>
      </c>
      <c r="C311" s="42">
        <v>45491.6675</v>
      </c>
      <c r="D311" s="43">
        <v>3.92934955983766E-5</v>
      </c>
      <c r="E311" s="44">
        <v>0.00860527553604447</v>
      </c>
      <c r="F311" s="44">
        <v>6.07668911998391E-7</v>
      </c>
      <c r="G311" s="44">
        <v>1.33079491727648E-4</v>
      </c>
      <c r="H311" s="45">
        <f t="shared" si="1"/>
        <v>219.0000003</v>
      </c>
      <c r="I311" s="45" t="str">
        <f>IFNA(VLOOKUP(A311,표2[#ALL],2, FALSE), "")</f>
        <v/>
      </c>
      <c r="J311" s="46" t="str">
        <f t="shared" si="2"/>
        <v/>
      </c>
      <c r="K311" s="47" t="str">
        <f t="shared" si="3"/>
        <v/>
      </c>
    </row>
    <row r="312">
      <c r="A312" s="35">
        <v>312.0</v>
      </c>
      <c r="B312" s="36">
        <v>45491.66881944444</v>
      </c>
      <c r="C312" s="36">
        <v>45491.67042824074</v>
      </c>
      <c r="D312" s="37">
        <v>4.14358945248332E-5</v>
      </c>
      <c r="E312" s="38">
        <v>0.00575958933895181</v>
      </c>
      <c r="F312" s="38">
        <v>3.7635664880971E-8</v>
      </c>
      <c r="G312" s="38">
        <v>5.23135741845497E-6</v>
      </c>
      <c r="H312" s="39">
        <f t="shared" si="1"/>
        <v>138.9999998</v>
      </c>
      <c r="I312" s="39" t="str">
        <f>IFNA(VLOOKUP(A312,표2[#ALL],2, FALSE), "")</f>
        <v/>
      </c>
      <c r="J312" s="40" t="str">
        <f t="shared" si="2"/>
        <v/>
      </c>
      <c r="K312" s="41" t="str">
        <f t="shared" si="3"/>
        <v/>
      </c>
    </row>
    <row r="313">
      <c r="A313" s="35">
        <v>313.0</v>
      </c>
      <c r="B313" s="42">
        <v>45491.67296296296</v>
      </c>
      <c r="C313" s="42">
        <v>45491.67438657407</v>
      </c>
      <c r="D313" s="43">
        <v>3.91798518963245E-5</v>
      </c>
      <c r="E313" s="44">
        <v>0.00481912178324791</v>
      </c>
      <c r="F313" s="44">
        <v>8.66172138117222E-7</v>
      </c>
      <c r="G313" s="44">
        <v>1.06539172988418E-4</v>
      </c>
      <c r="H313" s="45">
        <f t="shared" si="1"/>
        <v>122.9999998</v>
      </c>
      <c r="I313" s="45" t="str">
        <f>IFNA(VLOOKUP(A313,표2[#ALL],2, FALSE), "")</f>
        <v/>
      </c>
      <c r="J313" s="46" t="str">
        <f t="shared" si="2"/>
        <v/>
      </c>
      <c r="K313" s="47" t="str">
        <f t="shared" si="3"/>
        <v/>
      </c>
    </row>
    <row r="314">
      <c r="A314" s="35">
        <v>314.0</v>
      </c>
      <c r="B314" s="36">
        <v>45491.67482638889</v>
      </c>
      <c r="C314" s="36">
        <v>45491.67697916667</v>
      </c>
      <c r="D314" s="37">
        <v>4.13181250164611E-5</v>
      </c>
      <c r="E314" s="38">
        <v>0.00768517125306177</v>
      </c>
      <c r="F314" s="38">
        <v>3.7938731746773E-8</v>
      </c>
      <c r="G314" s="38">
        <v>7.05660410489977E-6</v>
      </c>
      <c r="H314" s="39">
        <f t="shared" si="1"/>
        <v>186.0000001</v>
      </c>
      <c r="I314" s="39" t="str">
        <f>IFNA(VLOOKUP(A314,표2[#ALL],2, FALSE), "")</f>
        <v/>
      </c>
      <c r="J314" s="40" t="str">
        <f t="shared" si="2"/>
        <v/>
      </c>
      <c r="K314" s="41" t="str">
        <f t="shared" si="3"/>
        <v/>
      </c>
    </row>
    <row r="315">
      <c r="A315" s="35">
        <v>315.0</v>
      </c>
      <c r="B315" s="42">
        <v>45491.677349537036</v>
      </c>
      <c r="C315" s="42">
        <v>45491.694189814814</v>
      </c>
      <c r="D315" s="43">
        <v>3.62395273525707E-5</v>
      </c>
      <c r="E315" s="44">
        <v>0.0527285122979904</v>
      </c>
      <c r="F315" s="44">
        <v>3.59679854245879E-7</v>
      </c>
      <c r="G315" s="44">
        <v>5.23334187927754E-4</v>
      </c>
      <c r="H315" s="45">
        <f t="shared" si="1"/>
        <v>1455</v>
      </c>
      <c r="I315" s="45" t="str">
        <f>IFNA(VLOOKUP(A315,표2[#ALL],2, FALSE), "")</f>
        <v/>
      </c>
      <c r="J315" s="46" t="str">
        <f t="shared" si="2"/>
        <v/>
      </c>
      <c r="K315" s="47" t="str">
        <f t="shared" si="3"/>
        <v/>
      </c>
    </row>
    <row r="316">
      <c r="A316" s="35">
        <v>316.0</v>
      </c>
      <c r="B316" s="36">
        <v>45491.69762731482</v>
      </c>
      <c r="C316" s="36">
        <v>45491.70515046296</v>
      </c>
      <c r="D316" s="37">
        <v>4.10235983849298E-5</v>
      </c>
      <c r="E316" s="38">
        <v>0.0266653389502044</v>
      </c>
      <c r="F316" s="38">
        <v>1.80304538712009E-7</v>
      </c>
      <c r="G316" s="38">
        <v>1.17197950162806E-4</v>
      </c>
      <c r="H316" s="39">
        <f t="shared" si="1"/>
        <v>649.9999998</v>
      </c>
      <c r="I316" s="39">
        <f>IFNA(VLOOKUP(A316,표2[#ALL],2, FALSE), "")</f>
        <v>631.687235</v>
      </c>
      <c r="J316" s="50">
        <f t="shared" si="2"/>
        <v>0.02591408343</v>
      </c>
      <c r="K316" s="51">
        <f t="shared" si="3"/>
        <v>0.02135579616</v>
      </c>
    </row>
    <row r="317">
      <c r="A317" s="35">
        <v>317.0</v>
      </c>
      <c r="B317" s="42">
        <v>45491.70686342593</v>
      </c>
      <c r="C317" s="42">
        <v>45491.71530092593</v>
      </c>
      <c r="D317" s="43">
        <v>4.12289749755775E-5</v>
      </c>
      <c r="E317" s="44">
        <v>0.030055922757196</v>
      </c>
      <c r="F317" s="44">
        <v>1.80263985061903E-7</v>
      </c>
      <c r="G317" s="44">
        <v>1.31412445110128E-4</v>
      </c>
      <c r="H317" s="45">
        <f t="shared" si="1"/>
        <v>729.0000001</v>
      </c>
      <c r="I317" s="45" t="str">
        <f>IFNA(VLOOKUP(A317,표2[#ALL],2, FALSE), "")</f>
        <v/>
      </c>
      <c r="J317" s="46" t="str">
        <f t="shared" si="2"/>
        <v/>
      </c>
      <c r="K317" s="47" t="str">
        <f t="shared" si="3"/>
        <v/>
      </c>
    </row>
    <row r="318">
      <c r="A318" s="35">
        <v>318.0</v>
      </c>
      <c r="B318" s="36">
        <v>45491.716840277775</v>
      </c>
      <c r="C318" s="36">
        <v>45491.72855324074</v>
      </c>
      <c r="D318" s="37">
        <v>4.12942020103496E-5</v>
      </c>
      <c r="E318" s="38">
        <v>0.0417897324344738</v>
      </c>
      <c r="F318" s="38">
        <v>1.22924933240548E-7</v>
      </c>
      <c r="G318" s="38">
        <v>1.24400032439434E-4</v>
      </c>
      <c r="H318" s="39">
        <f t="shared" si="1"/>
        <v>1012</v>
      </c>
      <c r="I318" s="39">
        <f>IFNA(VLOOKUP(A318,표2[#ALL],2, FALSE), "")</f>
        <v>993.275663</v>
      </c>
      <c r="J318" s="50">
        <f t="shared" si="2"/>
        <v>0.04101652588</v>
      </c>
      <c r="K318" s="51">
        <f t="shared" si="3"/>
        <v>0.03380171898</v>
      </c>
    </row>
    <row r="319">
      <c r="A319" s="35">
        <v>319.0</v>
      </c>
      <c r="B319" s="42">
        <v>45491.73173611111</v>
      </c>
      <c r="C319" s="42">
        <v>45491.73390046296</v>
      </c>
      <c r="D319" s="43">
        <v>3.82266060945167E-5</v>
      </c>
      <c r="E319" s="44">
        <v>0.00714837533967463</v>
      </c>
      <c r="F319" s="44">
        <v>8.56251049347719E-7</v>
      </c>
      <c r="G319" s="44">
        <v>1.60118946228023E-4</v>
      </c>
      <c r="H319" s="45">
        <f t="shared" si="1"/>
        <v>186.9999997</v>
      </c>
      <c r="I319" s="45">
        <f>IFNA(VLOOKUP(A319,표2[#ALL],2, FALSE), "")</f>
        <v>81.420934</v>
      </c>
      <c r="J319" s="48">
        <f t="shared" si="2"/>
        <v>0.003112445972</v>
      </c>
      <c r="K319" s="49">
        <f t="shared" si="3"/>
        <v>0.002564966725</v>
      </c>
    </row>
    <row r="320">
      <c r="A320" s="35">
        <v>320.0</v>
      </c>
      <c r="B320" s="36">
        <v>45491.7365162037</v>
      </c>
      <c r="C320" s="36">
        <v>45491.74260416667</v>
      </c>
      <c r="D320" s="37">
        <v>4.10868069643744E-5</v>
      </c>
      <c r="E320" s="38">
        <v>0.0216116604632609</v>
      </c>
      <c r="F320" s="38">
        <v>2.23547734248729E-7</v>
      </c>
      <c r="G320" s="38">
        <v>1.17586108214831E-4</v>
      </c>
      <c r="H320" s="39">
        <f t="shared" si="1"/>
        <v>526.0000004</v>
      </c>
      <c r="I320" s="39">
        <f>IFNA(VLOOKUP(A320,표2[#ALL],2, FALSE), "")</f>
        <v>507.985652</v>
      </c>
      <c r="J320" s="50">
        <f t="shared" si="2"/>
        <v>0.02087150842</v>
      </c>
      <c r="K320" s="51">
        <f t="shared" si="3"/>
        <v>0.01720021009</v>
      </c>
    </row>
    <row r="321">
      <c r="A321" s="35">
        <v>321.0</v>
      </c>
      <c r="B321" s="42">
        <v>45491.74333333333</v>
      </c>
      <c r="C321" s="42">
        <v>45491.747199074074</v>
      </c>
      <c r="D321" s="43">
        <v>4.05759359270818E-5</v>
      </c>
      <c r="E321" s="44">
        <v>0.0135523625996453</v>
      </c>
      <c r="F321" s="44">
        <v>3.68290376972366E-7</v>
      </c>
      <c r="G321" s="44">
        <v>1.2300898590877E-4</v>
      </c>
      <c r="H321" s="45">
        <f t="shared" si="1"/>
        <v>334.0000001</v>
      </c>
      <c r="I321" s="45">
        <f>IFNA(VLOOKUP(A321,표2[#ALL],2, FALSE), "")</f>
        <v>314.938145</v>
      </c>
      <c r="J321" s="48">
        <f t="shared" si="2"/>
        <v>0.01277890999</v>
      </c>
      <c r="K321" s="49">
        <f t="shared" si="3"/>
        <v>0.01053109972</v>
      </c>
    </row>
    <row r="322">
      <c r="A322" s="35">
        <v>322.0</v>
      </c>
      <c r="B322" s="36">
        <v>45491.750231481485</v>
      </c>
      <c r="C322" s="36">
        <v>45491.754895833335</v>
      </c>
      <c r="D322" s="37">
        <v>4.06708150250596E-5</v>
      </c>
      <c r="E322" s="38">
        <v>0.016390338455099</v>
      </c>
      <c r="F322" s="38">
        <v>3.22231163129713E-7</v>
      </c>
      <c r="G322" s="38">
        <v>1.29859158741274E-4</v>
      </c>
      <c r="H322" s="39">
        <f t="shared" si="1"/>
        <v>402.9999999</v>
      </c>
      <c r="I322" s="39">
        <f>IFNA(VLOOKUP(A322,표2[#ALL],2, FALSE), "")</f>
        <v>384.040489</v>
      </c>
      <c r="J322" s="50">
        <f t="shared" si="2"/>
        <v>0.01561923969</v>
      </c>
      <c r="K322" s="51">
        <f t="shared" si="3"/>
        <v>0.01287181543</v>
      </c>
    </row>
    <row r="323">
      <c r="A323" s="35">
        <v>323.0</v>
      </c>
      <c r="B323" s="42">
        <v>45492.44634259259</v>
      </c>
      <c r="C323" s="42">
        <v>45492.45013888889</v>
      </c>
      <c r="D323" s="43">
        <v>3.89666823680232E-5</v>
      </c>
      <c r="E323" s="44">
        <v>0.0127810718167116</v>
      </c>
      <c r="F323" s="44">
        <v>3.39637166492009E-7</v>
      </c>
      <c r="G323" s="44">
        <v>1.11400990609379E-4</v>
      </c>
      <c r="H323" s="45">
        <f t="shared" si="1"/>
        <v>328</v>
      </c>
      <c r="I323" s="45">
        <f>IFNA(VLOOKUP(A323,표2[#ALL],2, FALSE), "")</f>
        <v>310.690846</v>
      </c>
      <c r="J323" s="48">
        <f t="shared" si="2"/>
        <v>0.01210659151</v>
      </c>
      <c r="K323" s="49">
        <f t="shared" si="3"/>
        <v>0.009977042064</v>
      </c>
    </row>
    <row r="324">
      <c r="A324" s="35">
        <v>324.0</v>
      </c>
      <c r="B324" s="36">
        <v>45492.4516087963</v>
      </c>
      <c r="C324" s="36">
        <v>45492.454247685186</v>
      </c>
      <c r="D324" s="37">
        <v>3.88342115319771E-5</v>
      </c>
      <c r="E324" s="38">
        <v>0.00885420022929079</v>
      </c>
      <c r="F324" s="38">
        <v>4.35906979333336E-7</v>
      </c>
      <c r="G324" s="38">
        <v>9.93867912880005E-5</v>
      </c>
      <c r="H324" s="39">
        <f t="shared" si="1"/>
        <v>227.9999999</v>
      </c>
      <c r="I324" s="39">
        <f>IFNA(VLOOKUP(A324,표2[#ALL],2, FALSE), "")</f>
        <v>210.446204</v>
      </c>
      <c r="J324" s="50">
        <f t="shared" si="2"/>
        <v>0.008172512402</v>
      </c>
      <c r="K324" s="51">
        <f t="shared" si="3"/>
        <v>0.006734967471</v>
      </c>
    </row>
    <row r="325">
      <c r="A325" s="35">
        <v>325.0</v>
      </c>
      <c r="B325" s="42">
        <v>45492.45479166666</v>
      </c>
      <c r="C325" s="42">
        <v>45492.45578703703</v>
      </c>
      <c r="D325" s="43">
        <v>3.68843729348817E-5</v>
      </c>
      <c r="E325" s="44">
        <v>0.00317205607239982</v>
      </c>
      <c r="F325" s="44">
        <v>1.19882371353936E-6</v>
      </c>
      <c r="G325" s="44">
        <v>1.03098839364385E-4</v>
      </c>
      <c r="H325" s="45">
        <f t="shared" si="1"/>
        <v>85.99999999</v>
      </c>
      <c r="I325" s="45">
        <f>IFNA(VLOOKUP(A325,표2[#ALL],2, FALSE), "")</f>
        <v>81.0976612</v>
      </c>
      <c r="J325" s="48">
        <f t="shared" si="2"/>
        <v>0.00299123638</v>
      </c>
      <c r="K325" s="49">
        <f t="shared" si="3"/>
        <v>0.002465077901</v>
      </c>
    </row>
    <row r="326">
      <c r="A326" s="35">
        <v>326.0</v>
      </c>
      <c r="B326" s="36">
        <v>45492.45693287037</v>
      </c>
      <c r="C326" s="36">
        <v>45492.46041666667</v>
      </c>
      <c r="D326" s="37">
        <v>3.90085528933596E-5</v>
      </c>
      <c r="E326" s="38">
        <v>0.0117415744209012</v>
      </c>
      <c r="F326" s="38">
        <v>3.51155218098303E-7</v>
      </c>
      <c r="G326" s="38">
        <v>1.05697720647589E-4</v>
      </c>
      <c r="H326" s="39">
        <f t="shared" si="1"/>
        <v>301</v>
      </c>
      <c r="I326" s="39">
        <f>IFNA(VLOOKUP(A326,표2[#ALL],2, FALSE), "")</f>
        <v>284.693119</v>
      </c>
      <c r="J326" s="50">
        <f t="shared" si="2"/>
        <v>0.01110546659</v>
      </c>
      <c r="K326" s="51">
        <f t="shared" si="3"/>
        <v>0.009152015018</v>
      </c>
    </row>
    <row r="327">
      <c r="A327" s="35">
        <v>327.0</v>
      </c>
      <c r="B327" s="42">
        <v>45492.460960648146</v>
      </c>
      <c r="C327" s="42">
        <v>45492.46679398148</v>
      </c>
      <c r="D327" s="43">
        <v>3.91299650944942E-5</v>
      </c>
      <c r="E327" s="44">
        <v>0.0197215024076251</v>
      </c>
      <c r="F327" s="44">
        <v>2.24186333065474E-7</v>
      </c>
      <c r="G327" s="44">
        <v>1.12989911864999E-4</v>
      </c>
      <c r="H327" s="45">
        <f t="shared" si="1"/>
        <v>504.0000003</v>
      </c>
      <c r="I327" s="45">
        <f>IFNA(VLOOKUP(A327,표2[#ALL],2, FALSE), "")</f>
        <v>486.240033</v>
      </c>
      <c r="J327" s="48">
        <f t="shared" si="2"/>
        <v>0.01902655552</v>
      </c>
      <c r="K327" s="49">
        <f t="shared" si="3"/>
        <v>0.0156797844</v>
      </c>
    </row>
    <row r="328">
      <c r="A328" s="35">
        <v>328.0</v>
      </c>
      <c r="B328" s="36">
        <v>45492.46815972222</v>
      </c>
      <c r="C328" s="36">
        <v>45492.477013888885</v>
      </c>
      <c r="D328" s="37">
        <v>3.94346793290886E-5</v>
      </c>
      <c r="E328" s="38">
        <v>0.0301675296867527</v>
      </c>
      <c r="F328" s="38">
        <v>1.30157744061436E-7</v>
      </c>
      <c r="G328" s="38">
        <v>9.95706742069982E-5</v>
      </c>
      <c r="H328" s="39">
        <f t="shared" si="1"/>
        <v>764.9999997</v>
      </c>
      <c r="I328" s="39">
        <f>IFNA(VLOOKUP(A328,표2[#ALL],2, FALSE), "")</f>
        <v>749.781387</v>
      </c>
      <c r="J328" s="50">
        <f t="shared" si="2"/>
        <v>0.02956738856</v>
      </c>
      <c r="K328" s="51">
        <f t="shared" si="3"/>
        <v>0.02436648491</v>
      </c>
    </row>
    <row r="329">
      <c r="A329" s="35">
        <v>329.0</v>
      </c>
      <c r="B329" s="42">
        <v>45492.479733796295</v>
      </c>
      <c r="C329" s="42">
        <v>45492.488854166666</v>
      </c>
      <c r="D329" s="43">
        <v>3.94121578936266E-5</v>
      </c>
      <c r="E329" s="44">
        <v>0.0310567804201778</v>
      </c>
      <c r="F329" s="44">
        <v>1.32678604968125E-7</v>
      </c>
      <c r="G329" s="44">
        <v>1.04550740714882E-4</v>
      </c>
      <c r="H329" s="45">
        <f t="shared" si="1"/>
        <v>788</v>
      </c>
      <c r="I329" s="45">
        <f>IFNA(VLOOKUP(A329,표2[#ALL],2, FALSE), "")</f>
        <v>778.174652</v>
      </c>
      <c r="J329" s="48">
        <f t="shared" si="2"/>
        <v>0.03066954225</v>
      </c>
      <c r="K329" s="49">
        <f t="shared" si="3"/>
        <v>0.02527476977</v>
      </c>
    </row>
    <row r="330">
      <c r="A330" s="35">
        <v>330.0</v>
      </c>
      <c r="B330" s="36">
        <v>45492.4903587963</v>
      </c>
      <c r="C330" s="36">
        <v>45492.494097222225</v>
      </c>
      <c r="D330" s="37">
        <v>3.8873462206083E-5</v>
      </c>
      <c r="E330" s="38">
        <v>0.0125561282925648</v>
      </c>
      <c r="F330" s="38">
        <v>3.00044274431719E-7</v>
      </c>
      <c r="G330" s="38">
        <v>9.69143006414454E-5</v>
      </c>
      <c r="H330" s="39">
        <f t="shared" si="1"/>
        <v>323.0000001</v>
      </c>
      <c r="I330" s="39">
        <f>IFNA(VLOOKUP(A330,표2[#ALL],2, FALSE), "")</f>
        <v>310.527906</v>
      </c>
      <c r="J330" s="50">
        <f t="shared" si="2"/>
        <v>0.01207129482</v>
      </c>
      <c r="K330" s="51">
        <f t="shared" si="3"/>
        <v>0.009947954059</v>
      </c>
    </row>
    <row r="331">
      <c r="A331" s="35">
        <v>331.0</v>
      </c>
      <c r="B331" s="42">
        <v>45492.49555555556</v>
      </c>
      <c r="C331" s="42">
        <v>45492.519282407404</v>
      </c>
      <c r="D331" s="43">
        <v>3.92033782303226E-5</v>
      </c>
      <c r="E331" s="44">
        <v>0.0803669253721614</v>
      </c>
      <c r="F331" s="44">
        <v>5.64566198915727E-8</v>
      </c>
      <c r="G331" s="44">
        <v>1.15736070777724E-4</v>
      </c>
      <c r="H331" s="45">
        <f t="shared" si="1"/>
        <v>2050</v>
      </c>
      <c r="I331" s="45">
        <f>IFNA(VLOOKUP(A331,표2[#ALL],2, FALSE), "")</f>
        <v>2032.29775</v>
      </c>
      <c r="J331" s="48">
        <f t="shared" si="2"/>
        <v>0.07967293737</v>
      </c>
      <c r="K331" s="49">
        <f t="shared" si="3"/>
        <v>0.06565846769</v>
      </c>
    </row>
    <row r="332">
      <c r="A332" s="35">
        <v>332.0</v>
      </c>
      <c r="B332" s="36">
        <v>45492.52344907408</v>
      </c>
      <c r="C332" s="36">
        <v>45492.52537037037</v>
      </c>
      <c r="D332" s="37">
        <v>3.91148463104426E-5</v>
      </c>
      <c r="E332" s="38">
        <v>0.00649306448753347</v>
      </c>
      <c r="F332" s="38">
        <v>5.900519920991E-8</v>
      </c>
      <c r="G332" s="38">
        <v>9.79486306884505E-6</v>
      </c>
      <c r="H332" s="39">
        <f t="shared" si="1"/>
        <v>165.9999998</v>
      </c>
      <c r="I332" s="39">
        <f>IFNA(VLOOKUP(A332,표2[#ALL],2, FALSE), "")</f>
        <v>155.496079</v>
      </c>
      <c r="J332" s="50">
        <f t="shared" si="2"/>
        <v>0.006082205232</v>
      </c>
      <c r="K332" s="51">
        <f t="shared" si="3"/>
        <v>0.005012345332</v>
      </c>
    </row>
    <row r="333">
      <c r="A333" s="35">
        <v>333.0</v>
      </c>
      <c r="B333" s="42">
        <v>45492.52553240741</v>
      </c>
      <c r="C333" s="42">
        <v>45492.53267361111</v>
      </c>
      <c r="D333" s="43">
        <v>3.83296627150536E-5</v>
      </c>
      <c r="E333" s="44">
        <v>0.0236494018951881</v>
      </c>
      <c r="F333" s="44">
        <v>1.68401720144346E-7</v>
      </c>
      <c r="G333" s="44">
        <v>1.03903861329062E-4</v>
      </c>
      <c r="H333" s="45">
        <f t="shared" si="1"/>
        <v>616.9999996</v>
      </c>
      <c r="I333" s="45">
        <f>IFNA(VLOOKUP(A333,표2[#ALL],2, FALSE), "")</f>
        <v>600.037803</v>
      </c>
      <c r="J333" s="48">
        <f t="shared" si="2"/>
        <v>0.02299924661</v>
      </c>
      <c r="K333" s="49">
        <f t="shared" si="3"/>
        <v>0.01895367913</v>
      </c>
    </row>
    <row r="334">
      <c r="A334" s="35">
        <v>334.0</v>
      </c>
      <c r="B334" s="36">
        <v>45492.534212962964</v>
      </c>
      <c r="C334" s="36">
        <v>45492.539456018516</v>
      </c>
      <c r="D334" s="37">
        <v>3.80256675311623E-5</v>
      </c>
      <c r="E334" s="38">
        <v>0.0172256273916165</v>
      </c>
      <c r="F334" s="38">
        <v>2.42931300801932E-7</v>
      </c>
      <c r="G334" s="38">
        <v>1.10047879263275E-4</v>
      </c>
      <c r="H334" s="39">
        <f t="shared" si="1"/>
        <v>452.9999997</v>
      </c>
      <c r="I334" s="39">
        <f>IFNA(VLOOKUP(A334,표2[#ALL],2, FALSE), "")</f>
        <v>440.659694</v>
      </c>
      <c r="J334" s="50">
        <f t="shared" si="2"/>
        <v>0.01675637902</v>
      </c>
      <c r="K334" s="51">
        <f t="shared" si="3"/>
        <v>0.01380893195</v>
      </c>
    </row>
    <row r="335">
      <c r="A335" s="35">
        <v>335.0</v>
      </c>
      <c r="B335" s="42">
        <v>45492.54077546296</v>
      </c>
      <c r="C335" s="42">
        <v>45492.549849537034</v>
      </c>
      <c r="D335" s="43">
        <v>3.81279640258457E-5</v>
      </c>
      <c r="E335" s="44">
        <v>0.029892323796263</v>
      </c>
      <c r="F335" s="44">
        <v>1.40334705809973E-7</v>
      </c>
      <c r="G335" s="44">
        <v>1.10022409355019E-4</v>
      </c>
      <c r="H335" s="45">
        <f t="shared" si="1"/>
        <v>783.9999997</v>
      </c>
      <c r="I335" s="45">
        <f>IFNA(VLOOKUP(A335,표2[#ALL],2, FALSE), "")</f>
        <v>766.83137</v>
      </c>
      <c r="J335" s="48">
        <f t="shared" si="2"/>
        <v>0.02923771889</v>
      </c>
      <c r="K335" s="49">
        <f t="shared" si="3"/>
        <v>0.02409480414</v>
      </c>
    </row>
    <row r="336">
      <c r="A336" s="35">
        <v>336.0</v>
      </c>
      <c r="B336" s="36">
        <v>45492.55119212963</v>
      </c>
      <c r="C336" s="36">
        <v>45492.556655092594</v>
      </c>
      <c r="D336" s="37">
        <v>3.79848406411781E-5</v>
      </c>
      <c r="E336" s="38">
        <v>0.0179288447826361</v>
      </c>
      <c r="F336" s="38">
        <v>2.00962366256729E-7</v>
      </c>
      <c r="G336" s="38">
        <v>9.4854236873176E-5</v>
      </c>
      <c r="H336" s="39">
        <f t="shared" si="1"/>
        <v>472.0000003</v>
      </c>
      <c r="I336" s="39">
        <f>IFNA(VLOOKUP(A336,표2[#ALL],2, FALSE), "")</f>
        <v>455.33848</v>
      </c>
      <c r="J336" s="50">
        <f t="shared" si="2"/>
        <v>0.0172959596</v>
      </c>
      <c r="K336" s="51">
        <f t="shared" si="3"/>
        <v>0.01425360031</v>
      </c>
    </row>
    <row r="337">
      <c r="A337" s="35">
        <v>337.0</v>
      </c>
      <c r="B337" s="42">
        <v>45492.559166666666</v>
      </c>
      <c r="C337" s="42">
        <v>45492.566296296296</v>
      </c>
      <c r="D337" s="43">
        <v>3.78225146263243E-5</v>
      </c>
      <c r="E337" s="44">
        <v>0.0232986690098158</v>
      </c>
      <c r="F337" s="44">
        <v>1.64862635051511E-7</v>
      </c>
      <c r="G337" s="44">
        <v>1.01555383191731E-4</v>
      </c>
      <c r="H337" s="45">
        <f t="shared" si="1"/>
        <v>616</v>
      </c>
      <c r="I337" s="45">
        <f>IFNA(VLOOKUP(A337,표2[#ALL],2, FALSE), "")</f>
        <v>599.588464</v>
      </c>
      <c r="J337" s="48">
        <f t="shared" si="2"/>
        <v>0.02267794345</v>
      </c>
      <c r="K337" s="49">
        <f t="shared" si="3"/>
        <v>0.0186888932</v>
      </c>
    </row>
    <row r="338">
      <c r="A338" s="35">
        <v>338.0</v>
      </c>
      <c r="B338" s="36">
        <v>45492.574537037035</v>
      </c>
      <c r="C338" s="36">
        <v>45492.57722222222</v>
      </c>
      <c r="D338" s="37">
        <v>3.68349266619009E-5</v>
      </c>
      <c r="E338" s="38">
        <v>0.00854570298556101</v>
      </c>
      <c r="F338" s="38">
        <v>4.27398153905052E-7</v>
      </c>
      <c r="G338" s="38">
        <v>9.91563717059722E-5</v>
      </c>
      <c r="H338" s="39">
        <f t="shared" si="1"/>
        <v>232.0000002</v>
      </c>
      <c r="I338" s="39">
        <f>IFNA(VLOOKUP(A338,표2[#ALL],2, FALSE), "")</f>
        <v>214.998923</v>
      </c>
      <c r="J338" s="50">
        <f t="shared" si="2"/>
        <v>0.007919469561</v>
      </c>
      <c r="K338" s="51">
        <f t="shared" si="3"/>
        <v>0.006526434865</v>
      </c>
    </row>
    <row r="339">
      <c r="A339" s="35">
        <v>339.0</v>
      </c>
      <c r="B339" s="42">
        <v>45492.577581018515</v>
      </c>
      <c r="C339" s="42">
        <v>45492.57914351852</v>
      </c>
      <c r="D339" s="43">
        <v>3.51957853626964E-5</v>
      </c>
      <c r="E339" s="44">
        <v>0.00475143102396401</v>
      </c>
      <c r="F339" s="44">
        <v>8.49980095827106E-7</v>
      </c>
      <c r="G339" s="44">
        <v>1.14747312936659E-4</v>
      </c>
      <c r="H339" s="45">
        <f t="shared" si="1"/>
        <v>135.0000001</v>
      </c>
      <c r="I339" s="45">
        <f>IFNA(VLOOKUP(A339,표2[#ALL],2, FALSE), "")</f>
        <v>114.448133</v>
      </c>
      <c r="J339" s="48">
        <f t="shared" si="2"/>
        <v>0.004028091924</v>
      </c>
      <c r="K339" s="49">
        <f t="shared" si="3"/>
        <v>0.003319550555</v>
      </c>
    </row>
    <row r="340">
      <c r="A340" s="35">
        <v>340.0</v>
      </c>
      <c r="B340" s="36">
        <v>45492.58005787037</v>
      </c>
      <c r="C340" s="36">
        <v>45492.58928240741</v>
      </c>
      <c r="D340" s="37">
        <v>3.75817450015259E-5</v>
      </c>
      <c r="E340" s="38">
        <v>0.0299526507662162</v>
      </c>
      <c r="F340" s="38">
        <v>1.35504280629221E-7</v>
      </c>
      <c r="G340" s="38">
        <v>1.07996911661489E-4</v>
      </c>
      <c r="H340" s="39">
        <f t="shared" si="1"/>
        <v>797.0000002</v>
      </c>
      <c r="I340" s="39">
        <f>IFNA(VLOOKUP(A340,표2[#ALL],2, FALSE), "")</f>
        <v>779.331359</v>
      </c>
      <c r="J340" s="50">
        <f t="shared" si="2"/>
        <v>0.02928863241</v>
      </c>
      <c r="K340" s="51">
        <f t="shared" si="3"/>
        <v>0.02413676197</v>
      </c>
    </row>
    <row r="341">
      <c r="A341" s="35">
        <v>341.0</v>
      </c>
      <c r="B341" s="42">
        <v>45492.59174768518</v>
      </c>
      <c r="C341" s="42">
        <v>45492.603680555556</v>
      </c>
      <c r="D341" s="43">
        <v>3.75981395709219E-5</v>
      </c>
      <c r="E341" s="44">
        <v>0.0387636818976205</v>
      </c>
      <c r="F341" s="44">
        <v>1.23727130196405E-7</v>
      </c>
      <c r="G341" s="44">
        <v>1.27562671232494E-4</v>
      </c>
      <c r="H341" s="45">
        <f t="shared" si="1"/>
        <v>1031</v>
      </c>
      <c r="I341" s="45">
        <f>IFNA(VLOOKUP(A341,표2[#ALL],2, FALSE), "")</f>
        <v>1010.12743</v>
      </c>
      <c r="J341" s="48">
        <f t="shared" si="2"/>
        <v>0.0379789121</v>
      </c>
      <c r="K341" s="49">
        <f t="shared" si="3"/>
        <v>0.03129842146</v>
      </c>
    </row>
    <row r="342">
      <c r="A342" s="35">
        <v>342.0</v>
      </c>
      <c r="B342" s="36">
        <v>45492.60628472222</v>
      </c>
      <c r="C342" s="36">
        <v>45492.61349537037</v>
      </c>
      <c r="D342" s="37">
        <v>3.73026414859421E-5</v>
      </c>
      <c r="E342" s="38">
        <v>0.0232395456457419</v>
      </c>
      <c r="F342" s="38">
        <v>1.62006662960356E-7</v>
      </c>
      <c r="G342" s="38">
        <v>1.00930151024302E-4</v>
      </c>
      <c r="H342" s="39">
        <f t="shared" si="1"/>
        <v>623.0000004</v>
      </c>
      <c r="I342" s="39">
        <f>IFNA(VLOOKUP(A342,표2[#ALL],2, FALSE), "")</f>
        <v>610.999337</v>
      </c>
      <c r="J342" s="50">
        <f t="shared" si="2"/>
        <v>0.02279188922</v>
      </c>
      <c r="K342" s="51">
        <f t="shared" si="3"/>
        <v>0.0187827959</v>
      </c>
    </row>
    <row r="343">
      <c r="A343" s="35">
        <v>343.0</v>
      </c>
      <c r="B343" s="42">
        <v>45492.61467592593</v>
      </c>
      <c r="C343" s="42">
        <v>45492.621979166666</v>
      </c>
      <c r="D343" s="43">
        <v>3.71213136088347E-5</v>
      </c>
      <c r="E343" s="44">
        <v>0.0234235488871747</v>
      </c>
      <c r="F343" s="44">
        <v>1.69840415892688E-7</v>
      </c>
      <c r="G343" s="44">
        <v>1.07169302428286E-4</v>
      </c>
      <c r="H343" s="45">
        <f t="shared" si="1"/>
        <v>630.9999998</v>
      </c>
      <c r="I343" s="45">
        <f>IFNA(VLOOKUP(A343,표2[#ALL],2, FALSE), "")</f>
        <v>612.832924</v>
      </c>
      <c r="J343" s="48">
        <f t="shared" si="2"/>
        <v>0.02274916316</v>
      </c>
      <c r="K343" s="49">
        <f t="shared" si="3"/>
        <v>0.01874758536</v>
      </c>
    </row>
    <row r="344">
      <c r="A344" s="35">
        <v>344.0</v>
      </c>
      <c r="B344" s="36">
        <v>45492.62668981482</v>
      </c>
      <c r="C344" s="36">
        <v>45492.629537037035</v>
      </c>
      <c r="D344" s="37">
        <v>3.6588172773224E-5</v>
      </c>
      <c r="E344" s="38">
        <v>0.00900069050221312</v>
      </c>
      <c r="F344" s="38">
        <v>3.75243978819336E-7</v>
      </c>
      <c r="G344" s="38">
        <v>9.23100187895567E-5</v>
      </c>
      <c r="H344" s="39">
        <f t="shared" si="1"/>
        <v>245.9999997</v>
      </c>
      <c r="I344" s="39">
        <f>IFNA(VLOOKUP(A344,표2[#ALL],2, FALSE), "")</f>
        <v>228.891494</v>
      </c>
      <c r="J344" s="50">
        <f t="shared" si="2"/>
        <v>0.008374721529</v>
      </c>
      <c r="K344" s="51">
        <f t="shared" si="3"/>
        <v>0.006901608012</v>
      </c>
    </row>
    <row r="345">
      <c r="A345" s="35">
        <v>345.0</v>
      </c>
      <c r="B345" s="42">
        <v>45492.631157407406</v>
      </c>
      <c r="C345" s="42">
        <v>45492.63818287037</v>
      </c>
      <c r="D345" s="43">
        <v>3.69418049682951E-5</v>
      </c>
      <c r="E345" s="44">
        <v>0.0224236756157551</v>
      </c>
      <c r="F345" s="44">
        <v>1.84808715282481E-7</v>
      </c>
      <c r="G345" s="44">
        <v>1.12178890176466E-4</v>
      </c>
      <c r="H345" s="45">
        <f t="shared" si="1"/>
        <v>606.9999998</v>
      </c>
      <c r="I345" s="45">
        <f>IFNA(VLOOKUP(A345,표2[#ALL],2, FALSE), "")</f>
        <v>587.982093</v>
      </c>
      <c r="J345" s="48">
        <f t="shared" si="2"/>
        <v>0.0217211198</v>
      </c>
      <c r="K345" s="49">
        <f t="shared" si="3"/>
        <v>0.01790037483</v>
      </c>
    </row>
    <row r="346">
      <c r="A346" s="35">
        <v>346.0</v>
      </c>
      <c r="B346" s="36">
        <v>45492.63964120371</v>
      </c>
      <c r="C346" s="36">
        <v>45492.63983796296</v>
      </c>
      <c r="D346" s="37">
        <v>1.79088553276901E-5</v>
      </c>
      <c r="E346" s="38">
        <v>3.04450540570732E-4</v>
      </c>
      <c r="F346" s="38">
        <v>4.60755360467004E-6</v>
      </c>
      <c r="G346" s="38">
        <v>7.83284112793907E-5</v>
      </c>
      <c r="H346" s="39">
        <f t="shared" si="1"/>
        <v>16.99999957</v>
      </c>
      <c r="I346" s="39" t="str">
        <f>IFNA(VLOOKUP(A346,표2[#ALL],2, FALSE), "")</f>
        <v/>
      </c>
      <c r="J346" s="40" t="str">
        <f t="shared" si="2"/>
        <v/>
      </c>
      <c r="K346" s="41" t="str">
        <f t="shared" si="3"/>
        <v/>
      </c>
    </row>
    <row r="347">
      <c r="A347" s="35">
        <v>347.0</v>
      </c>
      <c r="B347" s="42">
        <v>45492.641284722224</v>
      </c>
      <c r="C347" s="42">
        <v>45492.64701388889</v>
      </c>
      <c r="D347" s="43">
        <v>3.68850843379466E-5</v>
      </c>
      <c r="E347" s="44">
        <v>0.0182581167472836</v>
      </c>
      <c r="F347" s="44">
        <v>1.98615377187531E-7</v>
      </c>
      <c r="G347" s="44">
        <v>9.83146117078279E-5</v>
      </c>
      <c r="H347" s="45">
        <f t="shared" si="1"/>
        <v>495</v>
      </c>
      <c r="I347" s="45">
        <f>IFNA(VLOOKUP(A347,표2[#ALL],2, FALSE), "")</f>
        <v>478.740665</v>
      </c>
      <c r="J347" s="48">
        <f t="shared" si="2"/>
        <v>0.0176583898</v>
      </c>
      <c r="K347" s="49">
        <f t="shared" si="3"/>
        <v>0.01455227904</v>
      </c>
    </row>
    <row r="348">
      <c r="A348" s="35">
        <v>348.0</v>
      </c>
      <c r="B348" s="36">
        <v>45492.654814814814</v>
      </c>
      <c r="C348" s="36">
        <v>45492.65903935185</v>
      </c>
      <c r="D348" s="37">
        <v>3.63422213562945E-5</v>
      </c>
      <c r="E348" s="38">
        <v>0.0132649107950475</v>
      </c>
      <c r="F348" s="38">
        <v>3.51378363429632E-7</v>
      </c>
      <c r="G348" s="38">
        <v>1.28253102651816E-4</v>
      </c>
      <c r="H348" s="39">
        <f t="shared" si="1"/>
        <v>364.9999998</v>
      </c>
      <c r="I348" s="39">
        <f>IFNA(VLOOKUP(A348,표2[#ALL],2, FALSE), "")</f>
        <v>343.191926</v>
      </c>
      <c r="J348" s="50">
        <f t="shared" si="2"/>
        <v>0.01247235694</v>
      </c>
      <c r="K348" s="51">
        <f t="shared" si="3"/>
        <v>0.01027846936</v>
      </c>
    </row>
    <row r="349">
      <c r="A349" s="35">
        <v>349.0</v>
      </c>
      <c r="B349" s="42">
        <v>45492.660462962966</v>
      </c>
      <c r="C349" s="42">
        <v>45492.66327546296</v>
      </c>
      <c r="D349" s="43">
        <v>3.60654663640729E-5</v>
      </c>
      <c r="E349" s="44">
        <v>0.00876390832646973</v>
      </c>
      <c r="F349" s="44">
        <v>4.54576163651462E-7</v>
      </c>
      <c r="G349" s="44">
        <v>1.10462007767305E-4</v>
      </c>
      <c r="H349" s="45">
        <f t="shared" si="1"/>
        <v>242.9999996</v>
      </c>
      <c r="I349" s="45">
        <f>IFNA(VLOOKUP(A349,표2[#ALL],2, FALSE), "")</f>
        <v>223.442167</v>
      </c>
      <c r="J349" s="48">
        <f t="shared" si="2"/>
        <v>0.008058545958</v>
      </c>
      <c r="K349" s="49">
        <f t="shared" si="3"/>
        <v>0.006641047724</v>
      </c>
    </row>
    <row r="350">
      <c r="A350" s="35">
        <v>350.0</v>
      </c>
      <c r="B350" s="36">
        <v>45492.663622685184</v>
      </c>
      <c r="C350" s="36">
        <v>45492.67246527778</v>
      </c>
      <c r="D350" s="37">
        <v>3.67564021227767E-5</v>
      </c>
      <c r="E350" s="38">
        <v>0.0280818912218014</v>
      </c>
      <c r="F350" s="38">
        <v>1.30549003364986E-7</v>
      </c>
      <c r="G350" s="38">
        <v>9.97394385708495E-5</v>
      </c>
      <c r="H350" s="39">
        <f t="shared" si="1"/>
        <v>764.0000001</v>
      </c>
      <c r="I350" s="39">
        <f>IFNA(VLOOKUP(A350,표2[#ALL],2, FALSE), "")</f>
        <v>746.081441</v>
      </c>
      <c r="J350" s="50">
        <f t="shared" si="2"/>
        <v>0.02742326946</v>
      </c>
      <c r="K350" s="51">
        <f t="shared" si="3"/>
        <v>0.02259951636</v>
      </c>
    </row>
    <row r="351">
      <c r="A351" s="35">
        <v>351.0</v>
      </c>
      <c r="B351" s="42">
        <v>45492.67344907407</v>
      </c>
      <c r="C351" s="42">
        <v>45492.67435185185</v>
      </c>
      <c r="D351" s="43">
        <v>3.33537124747217E-5</v>
      </c>
      <c r="E351" s="44">
        <v>0.00260158957302829</v>
      </c>
      <c r="F351" s="44">
        <v>1.27367826255947E-6</v>
      </c>
      <c r="G351" s="44">
        <v>9.93469044796387E-5</v>
      </c>
      <c r="H351" s="45">
        <f t="shared" si="1"/>
        <v>78</v>
      </c>
      <c r="I351" s="45">
        <f>IFNA(VLOOKUP(A351,표2[#ALL],2, FALSE), "")</f>
        <v>59.5447891</v>
      </c>
      <c r="J351" s="48">
        <f t="shared" si="2"/>
        <v>0.001986039775</v>
      </c>
      <c r="K351" s="49">
        <f t="shared" si="3"/>
        <v>0.001636695379</v>
      </c>
    </row>
    <row r="352">
      <c r="A352" s="35">
        <v>352.0</v>
      </c>
      <c r="B352" s="36">
        <v>45492.67505787037</v>
      </c>
      <c r="C352" s="36">
        <v>45492.68414351852</v>
      </c>
      <c r="D352" s="37">
        <v>3.66955693611334E-5</v>
      </c>
      <c r="E352" s="38">
        <v>0.0288060219484897</v>
      </c>
      <c r="F352" s="38">
        <v>1.26075669798714E-7</v>
      </c>
      <c r="G352" s="38">
        <v>9.89694007919904E-5</v>
      </c>
      <c r="H352" s="39">
        <f t="shared" si="1"/>
        <v>784.9999999</v>
      </c>
      <c r="I352" s="39">
        <f>IFNA(VLOOKUP(A352,표2[#ALL],2, FALSE), "")</f>
        <v>766.529727</v>
      </c>
      <c r="J352" s="50">
        <f t="shared" si="2"/>
        <v>0.02812824476</v>
      </c>
      <c r="K352" s="51">
        <f t="shared" si="3"/>
        <v>0.02318048651</v>
      </c>
    </row>
    <row r="353">
      <c r="A353" s="35">
        <v>353.0</v>
      </c>
      <c r="B353" s="42">
        <v>45492.68902777778</v>
      </c>
      <c r="C353" s="42">
        <v>45492.689571759256</v>
      </c>
      <c r="D353" s="43">
        <v>3.69113304190864E-5</v>
      </c>
      <c r="E353" s="44">
        <v>0.00173483252969706</v>
      </c>
      <c r="F353" s="44">
        <v>9.68612910534133E-8</v>
      </c>
      <c r="G353" s="44">
        <v>4.55248067951042E-6</v>
      </c>
      <c r="H353" s="45">
        <f t="shared" si="1"/>
        <v>46.99999967</v>
      </c>
      <c r="I353" s="45" t="str">
        <f>IFNA(VLOOKUP(A353,표2[#ALL],2, FALSE), "")</f>
        <v/>
      </c>
      <c r="J353" s="46" t="str">
        <f t="shared" si="2"/>
        <v/>
      </c>
      <c r="K353" s="47" t="str">
        <f t="shared" si="3"/>
        <v/>
      </c>
    </row>
    <row r="354">
      <c r="A354" s="35">
        <v>354.0</v>
      </c>
      <c r="B354" s="36">
        <v>45492.689780092594</v>
      </c>
      <c r="C354" s="36">
        <v>45492.694444444445</v>
      </c>
      <c r="D354" s="37">
        <v>3.62940561693292E-5</v>
      </c>
      <c r="E354" s="38">
        <v>0.0146265046362396</v>
      </c>
      <c r="F354" s="38">
        <v>2.59613324539874E-7</v>
      </c>
      <c r="G354" s="38">
        <v>1.04624169789569E-4</v>
      </c>
      <c r="H354" s="39">
        <f t="shared" si="1"/>
        <v>402.9999999</v>
      </c>
      <c r="I354" s="39" t="str">
        <f>IFNA(VLOOKUP(A354,표2[#ALL],2, FALSE), "")</f>
        <v/>
      </c>
      <c r="J354" s="40" t="str">
        <f t="shared" si="2"/>
        <v/>
      </c>
      <c r="K354" s="41" t="str">
        <f t="shared" si="3"/>
        <v/>
      </c>
    </row>
    <row r="355">
      <c r="A355" s="35">
        <v>355.0</v>
      </c>
      <c r="B355" s="42">
        <v>45492.69540509259</v>
      </c>
      <c r="C355" s="42">
        <v>45492.706608796296</v>
      </c>
      <c r="D355" s="43">
        <v>3.99497808079322E-5</v>
      </c>
      <c r="E355" s="44">
        <v>0.0386713878220783</v>
      </c>
      <c r="F355" s="44">
        <v>1.27643220217944E-7</v>
      </c>
      <c r="G355" s="44">
        <v>1.2355863717097E-4</v>
      </c>
      <c r="H355" s="45">
        <f t="shared" si="1"/>
        <v>968</v>
      </c>
      <c r="I355" s="45" t="str">
        <f>IFNA(VLOOKUP(A355,표2[#ALL],2, FALSE), "")</f>
        <v/>
      </c>
      <c r="J355" s="46" t="str">
        <f t="shared" si="2"/>
        <v/>
      </c>
      <c r="K355" s="47" t="str">
        <f t="shared" si="3"/>
        <v/>
      </c>
    </row>
    <row r="356">
      <c r="A356" s="35">
        <v>356.0</v>
      </c>
      <c r="B356" s="36">
        <v>45492.714004629626</v>
      </c>
      <c r="C356" s="36">
        <v>45492.71630787037</v>
      </c>
      <c r="D356" s="37">
        <v>3.55542219024908E-5</v>
      </c>
      <c r="E356" s="38">
        <v>0.00707529015859566</v>
      </c>
      <c r="F356" s="38">
        <v>5.31131864945883E-7</v>
      </c>
      <c r="G356" s="38">
        <v>1.05695241124231E-4</v>
      </c>
      <c r="H356" s="39">
        <f t="shared" si="1"/>
        <v>199</v>
      </c>
      <c r="I356" s="39" t="str">
        <f>IFNA(VLOOKUP(A356,표2[#ALL],2, FALSE), "")</f>
        <v/>
      </c>
      <c r="J356" s="40" t="str">
        <f t="shared" si="2"/>
        <v/>
      </c>
      <c r="K356" s="41" t="str">
        <f t="shared" si="3"/>
        <v/>
      </c>
    </row>
    <row r="357">
      <c r="A357" s="35">
        <v>357.0</v>
      </c>
      <c r="B357" s="42">
        <v>45492.71770833333</v>
      </c>
      <c r="C357" s="42">
        <v>45492.72012731482</v>
      </c>
      <c r="D357" s="43">
        <v>3.56897497621163E-5</v>
      </c>
      <c r="E357" s="44">
        <v>0.00745915770028231</v>
      </c>
      <c r="F357" s="44">
        <v>5.1947550058759E-7</v>
      </c>
      <c r="G357" s="44">
        <v>1.08570379622806E-4</v>
      </c>
      <c r="H357" s="45">
        <f t="shared" si="1"/>
        <v>209.0000005</v>
      </c>
      <c r="I357" s="45" t="str">
        <f>IFNA(VLOOKUP(A357,표2[#ALL],2, FALSE), "")</f>
        <v/>
      </c>
      <c r="J357" s="46" t="str">
        <f t="shared" si="2"/>
        <v/>
      </c>
      <c r="K357" s="47" t="str">
        <f t="shared" si="3"/>
        <v/>
      </c>
    </row>
    <row r="358">
      <c r="A358" s="35">
        <v>358.0</v>
      </c>
      <c r="B358" s="36">
        <v>45492.72127314815</v>
      </c>
      <c r="C358" s="36">
        <v>45492.72236111111</v>
      </c>
      <c r="D358" s="37">
        <v>3.38586125327932E-5</v>
      </c>
      <c r="E358" s="38">
        <v>0.00318270957808256</v>
      </c>
      <c r="F358" s="38">
        <v>1.08911996706912E-6</v>
      </c>
      <c r="G358" s="38">
        <v>1.02377276904498E-4</v>
      </c>
      <c r="H358" s="39">
        <f t="shared" si="1"/>
        <v>93.99999997</v>
      </c>
      <c r="I358" s="39" t="str">
        <f>IFNA(VLOOKUP(A358,표2[#ALL],2, FALSE), "")</f>
        <v/>
      </c>
      <c r="J358" s="40" t="str">
        <f t="shared" si="2"/>
        <v/>
      </c>
      <c r="K358" s="41" t="str">
        <f t="shared" si="3"/>
        <v/>
      </c>
    </row>
    <row r="359">
      <c r="A359" s="35">
        <v>359.0</v>
      </c>
      <c r="B359" s="42">
        <v>45492.72310185185</v>
      </c>
      <c r="C359" s="42">
        <v>45492.72390046297</v>
      </c>
      <c r="D359" s="43">
        <v>3.30140898303677E-5</v>
      </c>
      <c r="E359" s="44">
        <v>0.00227797219829537</v>
      </c>
      <c r="F359" s="44">
        <v>1.43412397000653E-6</v>
      </c>
      <c r="G359" s="44">
        <v>9.89545539304507E-5</v>
      </c>
      <c r="H359" s="45">
        <f t="shared" si="1"/>
        <v>69.00000041</v>
      </c>
      <c r="I359" s="45" t="str">
        <f>IFNA(VLOOKUP(A359,표2[#ALL],2, FALSE), "")</f>
        <v/>
      </c>
      <c r="J359" s="46" t="str">
        <f t="shared" si="2"/>
        <v/>
      </c>
      <c r="K359" s="47" t="str">
        <f t="shared" si="3"/>
        <v/>
      </c>
    </row>
    <row r="360">
      <c r="A360" s="35">
        <v>360.0</v>
      </c>
      <c r="B360" s="36">
        <v>45492.72493055555</v>
      </c>
      <c r="C360" s="36">
        <v>45492.72900462963</v>
      </c>
      <c r="D360" s="37">
        <v>3.71480995105494E-5</v>
      </c>
      <c r="E360" s="38">
        <v>0.0130761310277134</v>
      </c>
      <c r="F360" s="38">
        <v>3.47076532383028E-8</v>
      </c>
      <c r="G360" s="38">
        <v>1.22170939398826E-5</v>
      </c>
      <c r="H360" s="39">
        <f t="shared" si="1"/>
        <v>352.0000006</v>
      </c>
      <c r="I360" s="39" t="str">
        <f>IFNA(VLOOKUP(A360,표2[#ALL],2, FALSE), "")</f>
        <v/>
      </c>
      <c r="J360" s="40" t="str">
        <f t="shared" si="2"/>
        <v/>
      </c>
      <c r="K360" s="41" t="str">
        <f t="shared" si="3"/>
        <v/>
      </c>
    </row>
    <row r="361">
      <c r="A361" s="35">
        <v>361.0</v>
      </c>
      <c r="B361" s="42">
        <v>45492.73494212963</v>
      </c>
      <c r="C361" s="42">
        <v>45492.742430555554</v>
      </c>
      <c r="D361" s="43">
        <v>3.68730997445223E-5</v>
      </c>
      <c r="E361" s="44">
        <v>0.0238568955347059</v>
      </c>
      <c r="F361" s="44">
        <v>1.53394655700791E-7</v>
      </c>
      <c r="G361" s="44">
        <v>9.92463422384115E-5</v>
      </c>
      <c r="H361" s="45">
        <f t="shared" si="1"/>
        <v>646.9999997</v>
      </c>
      <c r="I361" s="45">
        <f>IFNA(VLOOKUP(A361,표2[#ALL],2, FALSE), "")</f>
        <v>628.184387</v>
      </c>
      <c r="J361" s="48">
        <f t="shared" si="2"/>
        <v>0.02316310556</v>
      </c>
      <c r="K361" s="49">
        <f t="shared" si="3"/>
        <v>0.01908871529</v>
      </c>
    </row>
    <row r="362">
      <c r="A362" s="35">
        <v>362.0</v>
      </c>
      <c r="B362" s="36">
        <v>45492.744525462964</v>
      </c>
      <c r="C362" s="36">
        <v>45492.74866898148</v>
      </c>
      <c r="D362" s="37">
        <v>3.65205789180034E-5</v>
      </c>
      <c r="E362" s="38">
        <v>0.0130743672526452</v>
      </c>
      <c r="F362" s="38">
        <v>2.73862693506788E-7</v>
      </c>
      <c r="G362" s="38">
        <v>9.80428442754302E-5</v>
      </c>
      <c r="H362" s="39">
        <f t="shared" si="1"/>
        <v>358.0000001</v>
      </c>
      <c r="I362" s="39">
        <f>IFNA(VLOOKUP(A362,표2[#ALL],2, FALSE), "")</f>
        <v>341.478274</v>
      </c>
      <c r="J362" s="50">
        <f t="shared" si="2"/>
        <v>0.01247098425</v>
      </c>
      <c r="K362" s="51">
        <f t="shared" si="3"/>
        <v>0.01027733812</v>
      </c>
    </row>
    <row r="363">
      <c r="A363" s="35">
        <v>363.0</v>
      </c>
      <c r="B363" s="42">
        <v>45495.46346064815</v>
      </c>
      <c r="C363" s="42">
        <v>45495.46364583333</v>
      </c>
      <c r="D363" s="43">
        <v>6.76591978287308E-6</v>
      </c>
      <c r="E363" s="44">
        <v>1.08254716525969E-4</v>
      </c>
      <c r="F363" s="44">
        <v>4.0605270328794E-6</v>
      </c>
      <c r="G363" s="44">
        <v>6.49684325260705E-5</v>
      </c>
      <c r="H363" s="45">
        <f t="shared" si="1"/>
        <v>15.99999997</v>
      </c>
      <c r="I363" s="45" t="str">
        <f>IFNA(VLOOKUP(A363,표2[#ALL],2, FALSE), "")</f>
        <v/>
      </c>
      <c r="J363" s="46" t="str">
        <f t="shared" si="2"/>
        <v/>
      </c>
      <c r="K363" s="47" t="str">
        <f t="shared" si="3"/>
        <v/>
      </c>
    </row>
    <row r="364">
      <c r="A364" s="35">
        <v>364.0</v>
      </c>
      <c r="B364" s="36">
        <v>45495.464108796295</v>
      </c>
      <c r="C364" s="36">
        <v>45495.467881944445</v>
      </c>
      <c r="D364" s="37">
        <v>3.88938841337494E-5</v>
      </c>
      <c r="E364" s="38">
        <v>0.0126794062276023</v>
      </c>
      <c r="F364" s="38">
        <v>3.21842882815005E-7</v>
      </c>
      <c r="G364" s="38">
        <v>1.04920779797691E-4</v>
      </c>
      <c r="H364" s="39">
        <f t="shared" si="1"/>
        <v>326.0000001</v>
      </c>
      <c r="I364" s="39">
        <f>IFNA(VLOOKUP(A364,표2[#ALL],2, FALSE), "")</f>
        <v>308.191626</v>
      </c>
      <c r="J364" s="50">
        <f t="shared" si="2"/>
        <v>0.01198676939</v>
      </c>
      <c r="K364" s="51">
        <f t="shared" si="3"/>
        <v>0.009878296656</v>
      </c>
    </row>
    <row r="365">
      <c r="A365" s="35">
        <v>365.0</v>
      </c>
      <c r="B365" s="42">
        <v>45495.469502314816</v>
      </c>
      <c r="C365" s="42">
        <v>45495.472858796296</v>
      </c>
      <c r="D365" s="43">
        <v>3.86857776391185E-5</v>
      </c>
      <c r="E365" s="44">
        <v>0.0112188755153444</v>
      </c>
      <c r="F365" s="44">
        <v>4.14575532309862E-7</v>
      </c>
      <c r="G365" s="44">
        <v>1.2022690436986E-4</v>
      </c>
      <c r="H365" s="45">
        <f t="shared" si="1"/>
        <v>289.9999999</v>
      </c>
      <c r="I365" s="45">
        <f>IFNA(VLOOKUP(A365,표2[#ALL],2, FALSE), "")</f>
        <v>270.193266</v>
      </c>
      <c r="J365" s="48">
        <f t="shared" si="2"/>
        <v>0.01045263661</v>
      </c>
      <c r="K365" s="49">
        <f t="shared" si="3"/>
        <v>0.008614017829</v>
      </c>
    </row>
    <row r="366">
      <c r="A366" s="35">
        <v>366.0</v>
      </c>
      <c r="B366" s="36">
        <v>45495.47435185185</v>
      </c>
      <c r="C366" s="36">
        <v>45495.48202546296</v>
      </c>
      <c r="D366" s="37">
        <v>3.93593254199371E-5</v>
      </c>
      <c r="E366" s="38">
        <v>0.0260952327534183</v>
      </c>
      <c r="F366" s="38">
        <v>1.6331909811092E-7</v>
      </c>
      <c r="G366" s="38">
        <v>1.0828056204754E-4</v>
      </c>
      <c r="H366" s="39">
        <f t="shared" si="1"/>
        <v>662.9999997</v>
      </c>
      <c r="I366" s="39">
        <f>IFNA(VLOOKUP(A366,표2[#ALL],2, FALSE), "")</f>
        <v>644.686666</v>
      </c>
      <c r="J366" s="50">
        <f t="shared" si="2"/>
        <v>0.02537443228</v>
      </c>
      <c r="K366" s="51">
        <f t="shared" si="3"/>
        <v>0.02091106964</v>
      </c>
    </row>
    <row r="367">
      <c r="A367" s="35">
        <v>367.0</v>
      </c>
      <c r="B367" s="42">
        <v>45495.483981481484</v>
      </c>
      <c r="C367" s="42">
        <v>45495.489282407405</v>
      </c>
      <c r="D367" s="43">
        <v>3.89370045294349E-5</v>
      </c>
      <c r="E367" s="44">
        <v>0.0178331480744812</v>
      </c>
      <c r="F367" s="44">
        <v>2.5940999839466E-7</v>
      </c>
      <c r="G367" s="44">
        <v>1.18809779264754E-4</v>
      </c>
      <c r="H367" s="45">
        <f t="shared" si="1"/>
        <v>457.9999996</v>
      </c>
      <c r="I367" s="45">
        <f>IFNA(VLOOKUP(A367,표2[#ALL],2, FALSE), "")</f>
        <v>443.84218</v>
      </c>
      <c r="J367" s="48">
        <f t="shared" si="2"/>
        <v>0.01728188497</v>
      </c>
      <c r="K367" s="49">
        <f t="shared" si="3"/>
        <v>0.01424200141</v>
      </c>
    </row>
    <row r="368">
      <c r="A368" s="35">
        <v>368.0</v>
      </c>
      <c r="B368" s="36">
        <v>45495.49321759259</v>
      </c>
      <c r="C368" s="36">
        <v>45495.50141203704</v>
      </c>
      <c r="D368" s="37">
        <v>3.9425638090518E-5</v>
      </c>
      <c r="E368" s="38">
        <v>0.0279133517680868</v>
      </c>
      <c r="F368" s="38">
        <v>1.61150129924685E-7</v>
      </c>
      <c r="G368" s="38">
        <v>1.14094291986677E-4</v>
      </c>
      <c r="H368" s="39">
        <f t="shared" si="1"/>
        <v>708.0000002</v>
      </c>
      <c r="I368" s="39">
        <f>IFNA(VLOOKUP(A368,표2[#ALL],2, FALSE), "")</f>
        <v>688.835217</v>
      </c>
      <c r="J368" s="50">
        <f t="shared" si="2"/>
        <v>0.02715776797</v>
      </c>
      <c r="K368" s="51">
        <f t="shared" si="3"/>
        <v>0.02238071658</v>
      </c>
    </row>
    <row r="369">
      <c r="A369" s="35">
        <v>369.0</v>
      </c>
      <c r="B369" s="42">
        <v>45495.5053587963</v>
      </c>
      <c r="C369" s="42">
        <v>45495.50635416667</v>
      </c>
      <c r="D369" s="43">
        <v>3.55707159280584E-5</v>
      </c>
      <c r="E369" s="44">
        <v>0.00305908156981302</v>
      </c>
      <c r="F369" s="44">
        <v>1.32884722027483E-6</v>
      </c>
      <c r="G369" s="44">
        <v>1.14280860943636E-4</v>
      </c>
      <c r="H369" s="45">
        <f t="shared" si="1"/>
        <v>85.99999999</v>
      </c>
      <c r="I369" s="45">
        <f>IFNA(VLOOKUP(A369,표2[#ALL],2, FALSE), "")</f>
        <v>66.6966342</v>
      </c>
      <c r="J369" s="48">
        <f t="shared" si="2"/>
        <v>0.002372447028</v>
      </c>
      <c r="K369" s="49">
        <f t="shared" si="3"/>
        <v>0.001955133596</v>
      </c>
    </row>
    <row r="370">
      <c r="A370" s="35">
        <v>370.0</v>
      </c>
      <c r="B370" s="36">
        <v>45495.50792824074</v>
      </c>
      <c r="C370" s="36">
        <v>45495.50848379629</v>
      </c>
      <c r="D370" s="37">
        <v>3.38050986831868E-5</v>
      </c>
      <c r="E370" s="38">
        <v>0.00162264473679297</v>
      </c>
      <c r="F370" s="38">
        <v>2.01802933282602E-6</v>
      </c>
      <c r="G370" s="38">
        <v>9.68654079756491E-5</v>
      </c>
      <c r="H370" s="39">
        <f t="shared" si="1"/>
        <v>47.99999991</v>
      </c>
      <c r="I370" s="39">
        <f>IFNA(VLOOKUP(A370,표2[#ALL],2, FALSE), "")</f>
        <v>30.1462237</v>
      </c>
      <c r="J370" s="50">
        <f t="shared" si="2"/>
        <v>0.001019096067</v>
      </c>
      <c r="K370" s="51">
        <f t="shared" si="3"/>
        <v>0.0008398370689</v>
      </c>
    </row>
    <row r="371">
      <c r="A371" s="35">
        <v>371.0</v>
      </c>
      <c r="B371" s="42">
        <v>45495.509039351855</v>
      </c>
      <c r="C371" s="42">
        <v>45495.51006944444</v>
      </c>
      <c r="D371" s="43">
        <v>3.6635408373271E-5</v>
      </c>
      <c r="E371" s="44">
        <v>0.00326055134522112</v>
      </c>
      <c r="F371" s="44">
        <v>1.14034290295985E-6</v>
      </c>
      <c r="G371" s="44">
        <v>1.01490518363426E-4</v>
      </c>
      <c r="H371" s="45">
        <f t="shared" si="1"/>
        <v>88.99999943</v>
      </c>
      <c r="I371" s="45">
        <f>IFNA(VLOOKUP(A371,표2[#ALL],2, FALSE), "")</f>
        <v>71.5977417</v>
      </c>
      <c r="J371" s="48">
        <f t="shared" si="2"/>
        <v>0.002623012506</v>
      </c>
      <c r="K371" s="49">
        <f t="shared" si="3"/>
        <v>0.002161624606</v>
      </c>
    </row>
    <row r="372">
      <c r="A372" s="35">
        <v>372.0</v>
      </c>
      <c r="B372" s="36">
        <v>45495.51342592593</v>
      </c>
      <c r="C372" s="36">
        <v>45495.51449074074</v>
      </c>
      <c r="D372" s="37">
        <v>3.45394819329168E-5</v>
      </c>
      <c r="E372" s="38">
        <v>0.00317763233782835</v>
      </c>
      <c r="F372" s="38">
        <v>1.41871016798406E-6</v>
      </c>
      <c r="G372" s="38">
        <v>1.30521335454534E-4</v>
      </c>
      <c r="H372" s="39">
        <f t="shared" si="1"/>
        <v>91.9999995</v>
      </c>
      <c r="I372" s="39">
        <f>IFNA(VLOOKUP(A372,표2[#ALL],2, FALSE), "")</f>
        <v>68.602363</v>
      </c>
      <c r="J372" s="50">
        <f t="shared" si="2"/>
        <v>0.002369490077</v>
      </c>
      <c r="K372" s="51">
        <f t="shared" si="3"/>
        <v>0.001952696773</v>
      </c>
    </row>
    <row r="373">
      <c r="A373" s="35">
        <v>373.0</v>
      </c>
      <c r="B373" s="42">
        <v>45495.51604166667</v>
      </c>
      <c r="C373" s="42">
        <v>45495.51836805556</v>
      </c>
      <c r="D373" s="43">
        <v>3.84036740588139E-5</v>
      </c>
      <c r="E373" s="44">
        <v>0.0077191384858216</v>
      </c>
      <c r="F373" s="44">
        <v>4.98724878488242E-7</v>
      </c>
      <c r="G373" s="44">
        <v>1.00243700576137E-4</v>
      </c>
      <c r="H373" s="45">
        <f t="shared" si="1"/>
        <v>200.9999998</v>
      </c>
      <c r="I373" s="45">
        <f>IFNA(VLOOKUP(A373,표2[#ALL],2, FALSE), "")</f>
        <v>182.694908</v>
      </c>
      <c r="J373" s="48">
        <f t="shared" si="2"/>
        <v>0.007016155699</v>
      </c>
      <c r="K373" s="49">
        <f t="shared" si="3"/>
        <v>0.005782013912</v>
      </c>
    </row>
    <row r="374">
      <c r="A374" s="35">
        <v>374.0</v>
      </c>
      <c r="B374" s="36">
        <v>45495.51969907407</v>
      </c>
      <c r="C374" s="36">
        <v>45495.526400462964</v>
      </c>
      <c r="D374" s="37">
        <v>3.90533447872771E-5</v>
      </c>
      <c r="E374" s="38">
        <v>0.0226118866318334</v>
      </c>
      <c r="F374" s="38">
        <v>2.07575351979614E-7</v>
      </c>
      <c r="G374" s="38">
        <v>1.20186128796197E-4</v>
      </c>
      <c r="H374" s="39">
        <f t="shared" si="1"/>
        <v>579.0000002</v>
      </c>
      <c r="I374" s="39">
        <f>IFNA(VLOOKUP(A374,표2[#ALL],2, FALSE), "")</f>
        <v>558.183889</v>
      </c>
      <c r="J374" s="50">
        <f t="shared" si="2"/>
        <v>0.02179894787</v>
      </c>
      <c r="K374" s="51">
        <f t="shared" si="3"/>
        <v>0.01796451294</v>
      </c>
    </row>
    <row r="375">
      <c r="A375" s="35">
        <v>375.0</v>
      </c>
      <c r="B375" s="42">
        <v>45495.52762731481</v>
      </c>
      <c r="C375" s="42">
        <v>45495.52953703704</v>
      </c>
      <c r="D375" s="43">
        <v>3.76091042338211E-5</v>
      </c>
      <c r="E375" s="44">
        <v>0.00620550219858048</v>
      </c>
      <c r="F375" s="44">
        <v>6.68622156517129E-7</v>
      </c>
      <c r="G375" s="44">
        <v>1.10322655825326E-4</v>
      </c>
      <c r="H375" s="45">
        <f t="shared" si="1"/>
        <v>165.0000002</v>
      </c>
      <c r="I375" s="45">
        <f>IFNA(VLOOKUP(A375,표2[#ALL],2, FALSE), "")</f>
        <v>145.344908</v>
      </c>
      <c r="J375" s="48">
        <f t="shared" si="2"/>
        <v>0.005466291795</v>
      </c>
      <c r="K375" s="49">
        <f t="shared" si="3"/>
        <v>0.004504771068</v>
      </c>
    </row>
    <row r="376">
      <c r="A376" s="35">
        <v>376.0</v>
      </c>
      <c r="B376" s="36">
        <v>45495.530023148145</v>
      </c>
      <c r="C376" s="36">
        <v>45495.53765046296</v>
      </c>
      <c r="D376" s="37">
        <v>3.91378924797513E-5</v>
      </c>
      <c r="E376" s="38">
        <v>0.0257918711441561</v>
      </c>
      <c r="F376" s="38">
        <v>1.7123042373756E-7</v>
      </c>
      <c r="G376" s="38">
        <v>1.12840849243052E-4</v>
      </c>
      <c r="H376" s="39">
        <f t="shared" si="1"/>
        <v>659</v>
      </c>
      <c r="I376" s="39">
        <f>IFNA(VLOOKUP(A376,표2[#ALL],2, FALSE), "")</f>
        <v>640.182993</v>
      </c>
      <c r="J376" s="50">
        <f t="shared" si="2"/>
        <v>0.02505541315</v>
      </c>
      <c r="K376" s="51">
        <f t="shared" si="3"/>
        <v>0.02064816597</v>
      </c>
    </row>
    <row r="377">
      <c r="A377" s="35">
        <v>377.0</v>
      </c>
      <c r="B377" s="42">
        <v>45495.547326388885</v>
      </c>
      <c r="C377" s="42">
        <v>45495.547488425924</v>
      </c>
      <c r="D377" s="43">
        <v>3.91350324999947E-5</v>
      </c>
      <c r="E377" s="44">
        <v>5.47890454999926E-4</v>
      </c>
      <c r="F377" s="44">
        <v>1.15680154852061E-7</v>
      </c>
      <c r="G377" s="44">
        <v>1.61952216792886E-6</v>
      </c>
      <c r="H377" s="45">
        <f t="shared" si="1"/>
        <v>14.00000013</v>
      </c>
      <c r="I377" s="45" t="str">
        <f>IFNA(VLOOKUP(A377,표2[#ALL],2, FALSE), "")</f>
        <v/>
      </c>
      <c r="J377" s="46" t="str">
        <f t="shared" si="2"/>
        <v/>
      </c>
      <c r="K377" s="47" t="str">
        <f t="shared" si="3"/>
        <v/>
      </c>
    </row>
    <row r="378">
      <c r="A378" s="35">
        <v>378.0</v>
      </c>
      <c r="B378" s="36">
        <v>45495.547638888886</v>
      </c>
      <c r="C378" s="36">
        <v>45495.549097222225</v>
      </c>
      <c r="D378" s="37">
        <v>3.66888245906756E-5</v>
      </c>
      <c r="E378" s="38">
        <v>0.00462279189842512</v>
      </c>
      <c r="F378" s="38">
        <v>8.55071735602831E-7</v>
      </c>
      <c r="G378" s="38">
        <v>1.07739038685957E-4</v>
      </c>
      <c r="H378" s="39">
        <f t="shared" si="1"/>
        <v>126.0000005</v>
      </c>
      <c r="I378" s="39">
        <f>IFNA(VLOOKUP(A378,표2[#ALL],2, FALSE), "")</f>
        <v>107.598502</v>
      </c>
      <c r="J378" s="50">
        <f t="shared" si="2"/>
        <v>0.003947662566</v>
      </c>
      <c r="K378" s="51">
        <f t="shared" si="3"/>
        <v>0.003253268721</v>
      </c>
    </row>
    <row r="379">
      <c r="A379" s="35">
        <v>379.0</v>
      </c>
      <c r="B379" s="42">
        <v>45495.54981481482</v>
      </c>
      <c r="C379" s="42">
        <v>45495.55180555556</v>
      </c>
      <c r="D379" s="43">
        <v>3.74416369023991E-5</v>
      </c>
      <c r="E379" s="44">
        <v>0.00643996154721264</v>
      </c>
      <c r="F379" s="44">
        <v>6.45737850505018E-7</v>
      </c>
      <c r="G379" s="44">
        <v>1.11066910286863E-4</v>
      </c>
      <c r="H379" s="45">
        <f t="shared" si="1"/>
        <v>172</v>
      </c>
      <c r="I379" s="45">
        <f>IFNA(VLOOKUP(A379,표2[#ALL],2, FALSE), "")</f>
        <v>152.197715</v>
      </c>
      <c r="J379" s="48">
        <f t="shared" si="2"/>
        <v>0.005698531582</v>
      </c>
      <c r="K379" s="49">
        <f t="shared" si="3"/>
        <v>0.004696159877</v>
      </c>
    </row>
    <row r="380">
      <c r="A380" s="35">
        <v>380.0</v>
      </c>
      <c r="B380" s="36">
        <v>45495.55351851852</v>
      </c>
      <c r="C380" s="36">
        <v>45495.55488425926</v>
      </c>
      <c r="D380" s="37">
        <v>3.72551839159369E-5</v>
      </c>
      <c r="E380" s="38">
        <v>0.00439611170208056</v>
      </c>
      <c r="F380" s="38">
        <v>7.97568626814954E-7</v>
      </c>
      <c r="G380" s="38">
        <v>9.41130979641645E-5</v>
      </c>
      <c r="H380" s="39">
        <f t="shared" si="1"/>
        <v>117.9999999</v>
      </c>
      <c r="I380" s="39">
        <f>IFNA(VLOOKUP(A380,표2[#ALL],2, FALSE), "")</f>
        <v>101.646353</v>
      </c>
      <c r="J380" s="50">
        <f t="shared" si="2"/>
        <v>0.003786853575</v>
      </c>
      <c r="K380" s="51">
        <f t="shared" si="3"/>
        <v>0.003120746031</v>
      </c>
    </row>
    <row r="381">
      <c r="A381" s="35">
        <v>381.0</v>
      </c>
      <c r="B381" s="42">
        <v>45495.555439814816</v>
      </c>
      <c r="C381" s="42">
        <v>45495.556875</v>
      </c>
      <c r="D381" s="43">
        <v>3.66894455557835E-5</v>
      </c>
      <c r="E381" s="44">
        <v>0.00454949124891716</v>
      </c>
      <c r="F381" s="44">
        <v>8.1647297778835E-7</v>
      </c>
      <c r="G381" s="44">
        <v>1.01242649245755E-4</v>
      </c>
      <c r="H381" s="45">
        <f t="shared" si="1"/>
        <v>124.0000001</v>
      </c>
      <c r="I381" s="45">
        <f>IFNA(VLOOKUP(A381,표2[#ALL],2, FALSE), "")</f>
        <v>106.198315</v>
      </c>
      <c r="J381" s="48">
        <f t="shared" si="2"/>
        <v>0.003896357296</v>
      </c>
      <c r="K381" s="49">
        <f t="shared" si="3"/>
        <v>0.003210988048</v>
      </c>
    </row>
    <row r="382">
      <c r="A382" s="35">
        <v>382.0</v>
      </c>
      <c r="B382" s="36">
        <v>45495.56837962963</v>
      </c>
      <c r="C382" s="36">
        <v>45495.569756944446</v>
      </c>
      <c r="D382" s="37">
        <v>3.59343496340444E-5</v>
      </c>
      <c r="E382" s="38">
        <v>0.00427618760645128</v>
      </c>
      <c r="F382" s="38">
        <v>8.88599809505701E-7</v>
      </c>
      <c r="G382" s="38">
        <v>1.05743377331178E-4</v>
      </c>
      <c r="H382" s="39">
        <f t="shared" si="1"/>
        <v>119.0000002</v>
      </c>
      <c r="I382" s="39">
        <f>IFNA(VLOOKUP(A382,표2[#ALL],2, FALSE), "")</f>
        <v>105.676667</v>
      </c>
      <c r="J382" s="50">
        <f t="shared" si="2"/>
        <v>0.0037974223</v>
      </c>
      <c r="K382" s="51">
        <f t="shared" si="3"/>
        <v>0.003129455718</v>
      </c>
    </row>
    <row r="383">
      <c r="A383" s="35">
        <v>383.0</v>
      </c>
      <c r="B383" s="42">
        <v>45495.57616898148</v>
      </c>
      <c r="C383" s="42">
        <v>45495.58384259259</v>
      </c>
      <c r="D383" s="43">
        <v>3.81824819177755E-5</v>
      </c>
      <c r="E383" s="44">
        <v>0.0253149855114851</v>
      </c>
      <c r="F383" s="44">
        <v>1.57720515897946E-7</v>
      </c>
      <c r="G383" s="44">
        <v>1.04568702040338E-4</v>
      </c>
      <c r="H383" s="45">
        <f t="shared" si="1"/>
        <v>662.9999997</v>
      </c>
      <c r="I383" s="45">
        <f>IFNA(VLOOKUP(A383,표2[#ALL],2, FALSE), "")</f>
        <v>644.733871</v>
      </c>
      <c r="J383" s="48">
        <f t="shared" si="2"/>
        <v>0.02461753937</v>
      </c>
      <c r="K383" s="49">
        <f t="shared" si="3"/>
        <v>0.0202873142</v>
      </c>
    </row>
    <row r="384">
      <c r="A384" s="35">
        <v>384.0</v>
      </c>
      <c r="B384" s="36">
        <v>45495.584398148145</v>
      </c>
      <c r="C384" s="36">
        <v>45495.58494212963</v>
      </c>
      <c r="D384" s="37">
        <v>3.28407236563262E-5</v>
      </c>
      <c r="E384" s="38">
        <v>0.00154351401184733</v>
      </c>
      <c r="F384" s="38">
        <v>2.02426786947223E-6</v>
      </c>
      <c r="G384" s="38">
        <v>9.51405898651946E-5</v>
      </c>
      <c r="H384" s="39">
        <f t="shared" si="1"/>
        <v>47.0000003</v>
      </c>
      <c r="I384" s="39">
        <f>IFNA(VLOOKUP(A384,표2[#ALL],2, FALSE), "")</f>
        <v>28.3479744</v>
      </c>
      <c r="J384" s="50">
        <f t="shared" si="2"/>
        <v>0.0009309679935</v>
      </c>
      <c r="K384" s="51">
        <f t="shared" si="3"/>
        <v>0.0007672107234</v>
      </c>
    </row>
    <row r="385">
      <c r="A385" s="35">
        <v>385.0</v>
      </c>
      <c r="B385" s="42">
        <v>45495.58597222222</v>
      </c>
      <c r="C385" s="42">
        <v>45495.591631944444</v>
      </c>
      <c r="D385" s="43">
        <v>3.84411976328923E-5</v>
      </c>
      <c r="E385" s="44">
        <v>0.0187977456424843</v>
      </c>
      <c r="F385" s="44">
        <v>1.62164344702095E-7</v>
      </c>
      <c r="G385" s="44">
        <v>7.92983645593245E-5</v>
      </c>
      <c r="H385" s="45">
        <f t="shared" si="1"/>
        <v>488.9999999</v>
      </c>
      <c r="I385" s="45">
        <f>IFNA(VLOOKUP(A385,표2[#ALL],2, FALSE), "")</f>
        <v>473.142572</v>
      </c>
      <c r="J385" s="48">
        <f t="shared" si="2"/>
        <v>0.01818816712</v>
      </c>
      <c r="K385" s="49">
        <f t="shared" si="3"/>
        <v>0.01498886852</v>
      </c>
    </row>
    <row r="386">
      <c r="A386" s="35">
        <v>386.0</v>
      </c>
      <c r="B386" s="36">
        <v>45495.59266203704</v>
      </c>
      <c r="C386" s="36">
        <v>45495.60287037037</v>
      </c>
      <c r="D386" s="37">
        <v>3.81145834647659E-5</v>
      </c>
      <c r="E386" s="38">
        <v>0.0336170626159235</v>
      </c>
      <c r="F386" s="38">
        <v>1.18806954740352E-7</v>
      </c>
      <c r="G386" s="38">
        <v>1.04787734080991E-4</v>
      </c>
      <c r="H386" s="39">
        <f t="shared" si="1"/>
        <v>882</v>
      </c>
      <c r="I386" s="39">
        <f>IFNA(VLOOKUP(A386,표2[#ALL],2, FALSE), "")</f>
        <v>870.155101</v>
      </c>
      <c r="J386" s="50">
        <f t="shared" si="2"/>
        <v>0.03316559922</v>
      </c>
      <c r="K386" s="51">
        <f t="shared" si="3"/>
        <v>0.02733177032</v>
      </c>
    </row>
    <row r="387">
      <c r="A387" s="35">
        <v>387.0</v>
      </c>
      <c r="B387" s="42">
        <v>45495.605775462966</v>
      </c>
      <c r="C387" s="42">
        <v>45495.61078703704</v>
      </c>
      <c r="D387" s="43">
        <v>3.72324575271315E-5</v>
      </c>
      <c r="E387" s="44">
        <v>0.0161216541092479</v>
      </c>
      <c r="F387" s="44">
        <v>2.90435206454716E-7</v>
      </c>
      <c r="G387" s="44">
        <v>1.25758444394892E-4</v>
      </c>
      <c r="H387" s="45">
        <f t="shared" si="1"/>
        <v>433</v>
      </c>
      <c r="I387" s="45">
        <f>IFNA(VLOOKUP(A387,표2[#ALL],2, FALSE), "")</f>
        <v>411.146044</v>
      </c>
      <c r="J387" s="48">
        <f t="shared" si="2"/>
        <v>0.01530797762</v>
      </c>
      <c r="K387" s="49">
        <f t="shared" si="3"/>
        <v>0.01261530436</v>
      </c>
    </row>
    <row r="388">
      <c r="A388" s="35">
        <v>388.0</v>
      </c>
      <c r="B388" s="36">
        <v>45495.61168981482</v>
      </c>
      <c r="C388" s="36">
        <v>45495.61518518518</v>
      </c>
      <c r="D388" s="37">
        <v>3.70248807721786E-5</v>
      </c>
      <c r="E388" s="38">
        <v>0.0111815139931979</v>
      </c>
      <c r="F388" s="38">
        <v>3.32356986111599E-7</v>
      </c>
      <c r="G388" s="38">
        <v>1.00371809805703E-4</v>
      </c>
      <c r="H388" s="39">
        <f t="shared" si="1"/>
        <v>301.9999996</v>
      </c>
      <c r="I388" s="39">
        <f>IFNA(VLOOKUP(A388,표2[#ALL],2, FALSE), "")</f>
        <v>283.643314</v>
      </c>
      <c r="J388" s="50">
        <f t="shared" si="2"/>
        <v>0.01050185988</v>
      </c>
      <c r="K388" s="51">
        <f t="shared" si="3"/>
        <v>0.008654582729</v>
      </c>
    </row>
    <row r="389">
      <c r="A389" s="35">
        <v>389.0</v>
      </c>
      <c r="B389" s="42">
        <v>45495.617002314815</v>
      </c>
      <c r="C389" s="42">
        <v>45495.617847222224</v>
      </c>
      <c r="D389" s="43">
        <v>3.31520914656197E-5</v>
      </c>
      <c r="E389" s="44">
        <v>0.00242010267699024</v>
      </c>
      <c r="F389" s="44">
        <v>1.46499020742374E-6</v>
      </c>
      <c r="G389" s="44">
        <v>1.06944285141933E-4</v>
      </c>
      <c r="H389" s="45">
        <f t="shared" si="1"/>
        <v>73.00000009</v>
      </c>
      <c r="I389" s="45">
        <f>IFNA(VLOOKUP(A389,표2[#ALL],2, FALSE), "")</f>
        <v>57.6209226</v>
      </c>
      <c r="J389" s="48">
        <f t="shared" si="2"/>
        <v>0.001910254096</v>
      </c>
      <c r="K389" s="49">
        <f t="shared" si="3"/>
        <v>0.001574240401</v>
      </c>
    </row>
    <row r="390">
      <c r="A390" s="35">
        <v>390.0</v>
      </c>
      <c r="B390" s="36">
        <v>45495.61935185185</v>
      </c>
      <c r="C390" s="36">
        <v>45495.62253472222</v>
      </c>
      <c r="D390" s="37">
        <v>3.66905392060873E-5</v>
      </c>
      <c r="E390" s="38">
        <v>0.010089898281674</v>
      </c>
      <c r="F390" s="38">
        <v>3.76810355974457E-7</v>
      </c>
      <c r="G390" s="38">
        <v>1.03622847892976E-4</v>
      </c>
      <c r="H390" s="39">
        <f t="shared" si="1"/>
        <v>275.0000002</v>
      </c>
      <c r="I390" s="39">
        <f>IFNA(VLOOKUP(A390,표2[#ALL],2, FALSE), "")</f>
        <v>257.220014</v>
      </c>
      <c r="J390" s="50">
        <f t="shared" si="2"/>
        <v>0.009437541008</v>
      </c>
      <c r="K390" s="51">
        <f t="shared" si="3"/>
        <v>0.007777477545</v>
      </c>
    </row>
    <row r="391">
      <c r="A391" s="35">
        <v>391.0</v>
      </c>
      <c r="B391" s="42">
        <v>45495.62415509259</v>
      </c>
      <c r="C391" s="42">
        <v>45495.633055555554</v>
      </c>
      <c r="D391" s="43">
        <v>3.73284242777676E-5</v>
      </c>
      <c r="E391" s="44">
        <v>0.0287055582696033</v>
      </c>
      <c r="F391" s="44">
        <v>1.19866932546579E-7</v>
      </c>
      <c r="G391" s="44">
        <v>9.21776711283191E-5</v>
      </c>
      <c r="H391" s="45">
        <f t="shared" si="1"/>
        <v>769</v>
      </c>
      <c r="I391" s="45">
        <f>IFNA(VLOOKUP(A391,표2[#ALL],2, FALSE), "")</f>
        <v>752.477899</v>
      </c>
      <c r="J391" s="48">
        <f t="shared" si="2"/>
        <v>0.02808881427</v>
      </c>
      <c r="K391" s="49">
        <f t="shared" si="3"/>
        <v>0.02314799184</v>
      </c>
    </row>
    <row r="392">
      <c r="A392" s="35">
        <v>392.0</v>
      </c>
      <c r="B392" s="36">
        <v>45495.634409722225</v>
      </c>
      <c r="C392" s="36">
        <v>45495.63601851852</v>
      </c>
      <c r="D392" s="37">
        <v>3.56106408644217E-5</v>
      </c>
      <c r="E392" s="38">
        <v>0.00494987908015461</v>
      </c>
      <c r="F392" s="38">
        <v>7.0297623255642E-7</v>
      </c>
      <c r="G392" s="38">
        <v>9.77136963253423E-5</v>
      </c>
      <c r="H392" s="39">
        <f t="shared" si="1"/>
        <v>138.9999998</v>
      </c>
      <c r="I392" s="39">
        <f>IFNA(VLOOKUP(A392,표2[#ALL],2, FALSE), "")</f>
        <v>123.827315</v>
      </c>
      <c r="J392" s="50">
        <f t="shared" si="2"/>
        <v>0.004409570044</v>
      </c>
      <c r="K392" s="51">
        <f t="shared" si="3"/>
        <v>0.003633926673</v>
      </c>
    </row>
    <row r="393">
      <c r="A393" s="35">
        <v>393.0</v>
      </c>
      <c r="B393" s="42">
        <v>45495.637557870374</v>
      </c>
      <c r="C393" s="42">
        <v>45495.63815972222</v>
      </c>
      <c r="D393" s="43">
        <v>3.13346179558339E-5</v>
      </c>
      <c r="E393" s="44">
        <v>0.00162940013370336</v>
      </c>
      <c r="F393" s="44">
        <v>1.95319436238785E-6</v>
      </c>
      <c r="G393" s="44">
        <v>1.01566106844168E-4</v>
      </c>
      <c r="H393" s="45">
        <f t="shared" si="1"/>
        <v>51.99999958</v>
      </c>
      <c r="I393" s="45">
        <f>IFNA(VLOOKUP(A393,표2[#ALL],2, FALSE), "")</f>
        <v>31.5999923</v>
      </c>
      <c r="J393" s="48">
        <f t="shared" si="2"/>
        <v>0.0009901736861</v>
      </c>
      <c r="K393" s="49">
        <f t="shared" si="3"/>
        <v>0.0008160021347</v>
      </c>
    </row>
    <row r="394">
      <c r="A394" s="35">
        <v>394.0</v>
      </c>
      <c r="B394" s="36">
        <v>45495.638773148145</v>
      </c>
      <c r="C394" s="36">
        <v>45495.64778935185</v>
      </c>
      <c r="D394" s="37">
        <v>3.71823454622056E-5</v>
      </c>
      <c r="E394" s="38">
        <v>0.0289650471150582</v>
      </c>
      <c r="F394" s="38">
        <v>1.29602381265529E-7</v>
      </c>
      <c r="G394" s="38">
        <v>1.00960255005847E-4</v>
      </c>
      <c r="H394" s="39">
        <f t="shared" si="1"/>
        <v>779.0000004</v>
      </c>
      <c r="I394" s="39">
        <f>IFNA(VLOOKUP(A394,표2[#ALL],2, FALSE), "")</f>
        <v>760.683813</v>
      </c>
      <c r="J394" s="50">
        <f t="shared" si="2"/>
        <v>0.02828400832</v>
      </c>
      <c r="K394" s="51">
        <f t="shared" si="3"/>
        <v>0.02330885126</v>
      </c>
    </row>
    <row r="395">
      <c r="A395" s="35">
        <v>395.0</v>
      </c>
      <c r="B395" s="42">
        <v>45495.64979166666</v>
      </c>
      <c r="C395" s="42">
        <v>45495.65005787037</v>
      </c>
      <c r="D395" s="43">
        <v>2.69865344907559E-5</v>
      </c>
      <c r="E395" s="44">
        <v>6.20690293287386E-4</v>
      </c>
      <c r="F395" s="44">
        <v>3.49793500048973E-6</v>
      </c>
      <c r="G395" s="44">
        <v>8.04525050112637E-5</v>
      </c>
      <c r="H395" s="45">
        <f t="shared" si="1"/>
        <v>23.00000035</v>
      </c>
      <c r="I395" s="45">
        <f>IFNA(VLOOKUP(A395,표2[#ALL],2, FALSE), "")</f>
        <v>4.90025059</v>
      </c>
      <c r="J395" s="48">
        <f t="shared" si="2"/>
        <v>0.0001322407816</v>
      </c>
      <c r="K395" s="49">
        <f t="shared" si="3"/>
        <v>0.0001089796281</v>
      </c>
    </row>
    <row r="396">
      <c r="A396" s="35">
        <v>396.0</v>
      </c>
      <c r="B396" s="36">
        <v>45495.65038194445</v>
      </c>
      <c r="C396" s="36">
        <v>45495.655381944445</v>
      </c>
      <c r="D396" s="37">
        <v>3.6882938634015E-5</v>
      </c>
      <c r="E396" s="38">
        <v>0.0159334294898945</v>
      </c>
      <c r="F396" s="38">
        <v>2.3188477170161E-7</v>
      </c>
      <c r="G396" s="38">
        <v>1.00174221375096E-4</v>
      </c>
      <c r="H396" s="39">
        <f t="shared" si="1"/>
        <v>431.9999998</v>
      </c>
      <c r="I396" s="39">
        <f>IFNA(VLOOKUP(A396,표2[#ALL],2, FALSE), "")</f>
        <v>413.64174</v>
      </c>
      <c r="J396" s="50">
        <f t="shared" si="2"/>
        <v>0.01525632291</v>
      </c>
      <c r="K396" s="51">
        <f t="shared" si="3"/>
        <v>0.01257273571</v>
      </c>
    </row>
    <row r="397">
      <c r="A397" s="35">
        <v>397.0</v>
      </c>
      <c r="B397" s="42">
        <v>45495.656331018516</v>
      </c>
      <c r="C397" s="42">
        <v>45495.656493055554</v>
      </c>
      <c r="D397" s="43">
        <v>3.70871752295462E-5</v>
      </c>
      <c r="E397" s="44">
        <v>5.19220453213647E-4</v>
      </c>
      <c r="F397" s="44">
        <v>1.49897875238776E-7</v>
      </c>
      <c r="G397" s="44">
        <v>2.09857025334286E-6</v>
      </c>
      <c r="H397" s="45">
        <f t="shared" si="1"/>
        <v>14.00000013</v>
      </c>
      <c r="I397" s="45" t="str">
        <f>IFNA(VLOOKUP(A397,표2[#ALL],2, FALSE), "")</f>
        <v/>
      </c>
      <c r="J397" s="46" t="str">
        <f t="shared" si="2"/>
        <v/>
      </c>
      <c r="K397" s="47" t="str">
        <f t="shared" si="3"/>
        <v/>
      </c>
    </row>
    <row r="398">
      <c r="A398" s="35">
        <v>398.0</v>
      </c>
      <c r="B398" s="36">
        <v>45495.65752314815</v>
      </c>
      <c r="C398" s="36">
        <v>45495.663773148146</v>
      </c>
      <c r="D398" s="37">
        <v>3.64197511821061E-5</v>
      </c>
      <c r="E398" s="38">
        <v>0.0196666656383373</v>
      </c>
      <c r="F398" s="38">
        <v>1.9399026961755E-7</v>
      </c>
      <c r="G398" s="38">
        <v>1.04754745593477E-4</v>
      </c>
      <c r="H398" s="39">
        <f t="shared" si="1"/>
        <v>539.9999999</v>
      </c>
      <c r="I398" s="39">
        <f>IFNA(VLOOKUP(A398,표2[#ALL],2, FALSE), "")</f>
        <v>519.388384</v>
      </c>
      <c r="J398" s="50">
        <f t="shared" si="2"/>
        <v>0.01891599571</v>
      </c>
      <c r="K398" s="51">
        <f t="shared" si="3"/>
        <v>0.01558867207</v>
      </c>
    </row>
    <row r="399">
      <c r="A399" s="35">
        <v>399.0</v>
      </c>
      <c r="B399" s="42">
        <v>45495.665289351855</v>
      </c>
      <c r="C399" s="42">
        <v>45495.66920138889</v>
      </c>
      <c r="D399" s="43">
        <v>3.65742146681127E-5</v>
      </c>
      <c r="E399" s="44">
        <v>0.0123620845578221</v>
      </c>
      <c r="F399" s="44">
        <v>2.72661046334383E-7</v>
      </c>
      <c r="G399" s="44">
        <v>9.21594336610214E-5</v>
      </c>
      <c r="H399" s="45">
        <f t="shared" si="1"/>
        <v>337.9999998</v>
      </c>
      <c r="I399" s="45">
        <f>IFNA(VLOOKUP(A399,표2[#ALL],2, FALSE), "")</f>
        <v>321.740536</v>
      </c>
      <c r="J399" s="48">
        <f t="shared" si="2"/>
        <v>0.01176740743</v>
      </c>
      <c r="K399" s="49">
        <f t="shared" si="3"/>
        <v>0.009697520464</v>
      </c>
    </row>
    <row r="400">
      <c r="A400" s="35">
        <v>400.0</v>
      </c>
      <c r="B400" s="36">
        <v>45495.67616898148</v>
      </c>
      <c r="C400" s="36">
        <v>45495.67921296296</v>
      </c>
      <c r="D400" s="37">
        <v>3.64729927686583E-5</v>
      </c>
      <c r="E400" s="38">
        <v>0.00959239709815712</v>
      </c>
      <c r="F400" s="38">
        <v>3.57963289026803E-7</v>
      </c>
      <c r="G400" s="38">
        <v>9.41443450140492E-5</v>
      </c>
      <c r="H400" s="39">
        <f t="shared" si="1"/>
        <v>262.9999999</v>
      </c>
      <c r="I400" s="39">
        <f>IFNA(VLOOKUP(A400,표2[#ALL],2, FALSE), "")</f>
        <v>252.171981</v>
      </c>
      <c r="J400" s="50">
        <f t="shared" si="2"/>
        <v>0.009197466839</v>
      </c>
      <c r="K400" s="51">
        <f t="shared" si="3"/>
        <v>0.007579632422</v>
      </c>
    </row>
    <row r="401">
      <c r="A401" s="35">
        <v>401.0</v>
      </c>
      <c r="B401" s="42">
        <v>45495.68054398148</v>
      </c>
      <c r="C401" s="42">
        <v>45495.682291666664</v>
      </c>
      <c r="D401" s="43">
        <v>3.73885632754458E-5</v>
      </c>
      <c r="E401" s="44">
        <v>0.00564567305459232</v>
      </c>
      <c r="F401" s="44">
        <v>4.46027915768862E-8</v>
      </c>
      <c r="G401" s="44">
        <v>6.73502152810981E-6</v>
      </c>
      <c r="H401" s="45">
        <f t="shared" si="1"/>
        <v>151.0000001</v>
      </c>
      <c r="I401" s="45" t="str">
        <f>IFNA(VLOOKUP(A401,표2[#ALL],2, FALSE), "")</f>
        <v/>
      </c>
      <c r="J401" s="46" t="str">
        <f t="shared" si="2"/>
        <v/>
      </c>
      <c r="K401" s="47" t="str">
        <f t="shared" si="3"/>
        <v/>
      </c>
    </row>
    <row r="402">
      <c r="A402" s="35">
        <v>402.0</v>
      </c>
      <c r="B402" s="36">
        <v>45495.68912037037</v>
      </c>
      <c r="C402" s="36">
        <v>45495.69170138889</v>
      </c>
      <c r="D402" s="37">
        <v>3.64039585861602E-5</v>
      </c>
      <c r="E402" s="38">
        <v>0.00811808276471373</v>
      </c>
      <c r="F402" s="38">
        <v>4.43428677146228E-7</v>
      </c>
      <c r="G402" s="38">
        <v>9.88845950036089E-5</v>
      </c>
      <c r="H402" s="39">
        <f t="shared" si="1"/>
        <v>223</v>
      </c>
      <c r="I402" s="39">
        <f>IFNA(VLOOKUP(A402,표2[#ALL],2, FALSE), "")</f>
        <v>205.044268</v>
      </c>
      <c r="J402" s="50">
        <f t="shared" si="2"/>
        <v>0.007464423041</v>
      </c>
      <c r="K402" s="51">
        <f t="shared" si="3"/>
        <v>0.006151431028</v>
      </c>
    </row>
    <row r="403">
      <c r="A403" s="35">
        <v>403.0</v>
      </c>
      <c r="B403" s="42">
        <v>45495.69633101852</v>
      </c>
      <c r="C403" s="42">
        <v>45495.69988425926</v>
      </c>
      <c r="D403" s="43">
        <v>3.63745180579929E-5</v>
      </c>
      <c r="E403" s="44">
        <v>0.0111669770438038</v>
      </c>
      <c r="F403" s="44">
        <v>3.37171124757025E-7</v>
      </c>
      <c r="G403" s="44">
        <v>1.03511535300407E-4</v>
      </c>
      <c r="H403" s="45">
        <f t="shared" si="1"/>
        <v>307.0000001</v>
      </c>
      <c r="I403" s="45">
        <f>IFNA(VLOOKUP(A403,표2[#ALL],2, FALSE), "")</f>
        <v>289.269896</v>
      </c>
      <c r="J403" s="48">
        <f t="shared" si="2"/>
        <v>0.01052205306</v>
      </c>
      <c r="K403" s="49">
        <f t="shared" si="3"/>
        <v>0.008671223923</v>
      </c>
    </row>
    <row r="404">
      <c r="A404" s="35">
        <v>404.0</v>
      </c>
      <c r="B404" s="36">
        <v>45495.70172453704</v>
      </c>
      <c r="C404" s="36">
        <v>45495.714108796295</v>
      </c>
      <c r="D404" s="37">
        <v>3.69215523062352E-5</v>
      </c>
      <c r="E404" s="38">
        <v>0.0395060609676716</v>
      </c>
      <c r="F404" s="38">
        <v>1.03958592106443E-7</v>
      </c>
      <c r="G404" s="38">
        <v>1.11235693553895E-4</v>
      </c>
      <c r="H404" s="39">
        <f t="shared" si="1"/>
        <v>1070</v>
      </c>
      <c r="I404" s="39">
        <f>IFNA(VLOOKUP(A404,표2[#ALL],2, FALSE), "")</f>
        <v>1051.37686</v>
      </c>
      <c r="J404" s="50">
        <f t="shared" si="2"/>
        <v>0.03881846573</v>
      </c>
      <c r="K404" s="51">
        <f t="shared" si="3"/>
        <v>0.03199029761</v>
      </c>
    </row>
    <row r="405">
      <c r="A405" s="35">
        <v>405.0</v>
      </c>
      <c r="B405" s="42">
        <v>45495.7171875</v>
      </c>
      <c r="C405" s="42">
        <v>45495.7187962963</v>
      </c>
      <c r="D405" s="43">
        <v>3.70816619187184E-5</v>
      </c>
      <c r="E405" s="44">
        <v>0.00515435100670185</v>
      </c>
      <c r="F405" s="44">
        <v>4.44922853940091E-8</v>
      </c>
      <c r="G405" s="44">
        <v>6.18442766976726E-6</v>
      </c>
      <c r="H405" s="45">
        <f t="shared" si="1"/>
        <v>139.0000004</v>
      </c>
      <c r="I405" s="45" t="str">
        <f>IFNA(VLOOKUP(A405,표2[#ALL],2, FALSE), "")</f>
        <v/>
      </c>
      <c r="J405" s="46" t="str">
        <f t="shared" si="2"/>
        <v/>
      </c>
      <c r="K405" s="47" t="str">
        <f t="shared" si="3"/>
        <v/>
      </c>
    </row>
    <row r="406">
      <c r="A406" s="35">
        <v>406.0</v>
      </c>
      <c r="B406" s="36">
        <v>45495.71886574074</v>
      </c>
      <c r="C406" s="36">
        <v>45495.725590277776</v>
      </c>
      <c r="D406" s="37">
        <v>3.42748747142493E-5</v>
      </c>
      <c r="E406" s="38">
        <v>0.0199137022089788</v>
      </c>
      <c r="F406" s="38">
        <v>4.17303980479784E-7</v>
      </c>
      <c r="G406" s="38">
        <v>2.42453612658754E-4</v>
      </c>
      <c r="H406" s="39">
        <f t="shared" si="1"/>
        <v>581</v>
      </c>
      <c r="I406" s="39" t="str">
        <f>IFNA(VLOOKUP(A406,표2[#ALL],2, FALSE), "")</f>
        <v/>
      </c>
      <c r="J406" s="40" t="str">
        <f t="shared" si="2"/>
        <v/>
      </c>
      <c r="K406" s="41" t="str">
        <f t="shared" si="3"/>
        <v/>
      </c>
    </row>
    <row r="407">
      <c r="A407" s="35">
        <v>407.0</v>
      </c>
      <c r="B407" s="42">
        <v>45495.72587962963</v>
      </c>
      <c r="C407" s="42">
        <v>45495.72681712963</v>
      </c>
      <c r="D407" s="43">
        <v>1.21043736264729E-5</v>
      </c>
      <c r="E407" s="44">
        <v>9.80454263744303E-4</v>
      </c>
      <c r="F407" s="44">
        <v>2.0166109750659E-6</v>
      </c>
      <c r="G407" s="44">
        <v>1.63345488980338E-4</v>
      </c>
      <c r="H407" s="45">
        <f t="shared" si="1"/>
        <v>81.00000008</v>
      </c>
      <c r="I407" s="45" t="str">
        <f>IFNA(VLOOKUP(A407,표2[#ALL],2, FALSE), "")</f>
        <v/>
      </c>
      <c r="J407" s="46" t="str">
        <f t="shared" si="2"/>
        <v/>
      </c>
      <c r="K407" s="47" t="str">
        <f t="shared" si="3"/>
        <v/>
      </c>
    </row>
    <row r="408">
      <c r="A408" s="35">
        <v>408.0</v>
      </c>
      <c r="B408" s="36">
        <v>45495.727002314816</v>
      </c>
      <c r="C408" s="36">
        <v>45495.733773148146</v>
      </c>
      <c r="D408" s="37">
        <v>3.10796181075632E-5</v>
      </c>
      <c r="E408" s="38">
        <v>0.0181815765929245</v>
      </c>
      <c r="F408" s="38">
        <v>5.799048986469E-7</v>
      </c>
      <c r="G408" s="38">
        <v>3.39244365708437E-4</v>
      </c>
      <c r="H408" s="39">
        <f t="shared" si="1"/>
        <v>584.9999997</v>
      </c>
      <c r="I408" s="39" t="str">
        <f>IFNA(VLOOKUP(A408,표2[#ALL],2, FALSE), "")</f>
        <v/>
      </c>
      <c r="J408" s="40" t="str">
        <f t="shared" si="2"/>
        <v/>
      </c>
      <c r="K408" s="41" t="str">
        <f t="shared" si="3"/>
        <v/>
      </c>
    </row>
    <row r="409">
      <c r="A409" s="35">
        <v>409.0</v>
      </c>
      <c r="B409" s="42">
        <v>45495.73428240741</v>
      </c>
      <c r="C409" s="42">
        <v>45495.734826388885</v>
      </c>
      <c r="D409" s="43">
        <v>3.70067795664288E-5</v>
      </c>
      <c r="E409" s="44">
        <v>0.00173931863962215</v>
      </c>
      <c r="F409" s="44">
        <v>7.97741630930733E-8</v>
      </c>
      <c r="G409" s="44">
        <v>3.74938566537445E-6</v>
      </c>
      <c r="H409" s="45">
        <f t="shared" si="1"/>
        <v>46.99999967</v>
      </c>
      <c r="I409" s="45" t="str">
        <f>IFNA(VLOOKUP(A409,표2[#ALL],2, FALSE), "")</f>
        <v/>
      </c>
      <c r="J409" s="46" t="str">
        <f t="shared" si="2"/>
        <v/>
      </c>
      <c r="K409" s="47" t="str">
        <f t="shared" si="3"/>
        <v/>
      </c>
    </row>
    <row r="410">
      <c r="A410" s="35">
        <v>410.0</v>
      </c>
      <c r="B410" s="36">
        <v>45495.73689814815</v>
      </c>
      <c r="C410" s="36">
        <v>45495.7390625</v>
      </c>
      <c r="D410" s="37">
        <v>3.58795593973676E-5</v>
      </c>
      <c r="E410" s="38">
        <v>0.00670947760730773</v>
      </c>
      <c r="F410" s="38">
        <v>4.80901922976671E-7</v>
      </c>
      <c r="G410" s="38">
        <v>8.99286595966375E-5</v>
      </c>
      <c r="H410" s="39">
        <f t="shared" si="1"/>
        <v>186.9999997</v>
      </c>
      <c r="I410" s="39">
        <f>IFNA(VLOOKUP(A410,표2[#ALL],2, FALSE), "")</f>
        <v>173.95965</v>
      </c>
      <c r="J410" s="50">
        <f t="shared" si="2"/>
        <v>0.006241595595</v>
      </c>
      <c r="K410" s="51">
        <f t="shared" si="3"/>
        <v>0.00514369893</v>
      </c>
    </row>
    <row r="411">
      <c r="A411" s="35">
        <v>411.0</v>
      </c>
      <c r="B411" s="42">
        <v>45495.742789351854</v>
      </c>
      <c r="C411" s="42">
        <v>45495.751851851855</v>
      </c>
      <c r="D411" s="43">
        <v>4.00871413864482E-5</v>
      </c>
      <c r="E411" s="44">
        <v>0.0313882317055889</v>
      </c>
      <c r="F411" s="44">
        <v>1.17699670244226E-7</v>
      </c>
      <c r="G411" s="44">
        <v>9.2158841801229E-5</v>
      </c>
      <c r="H411" s="45">
        <f t="shared" si="1"/>
        <v>783.0000001</v>
      </c>
      <c r="I411" s="45">
        <f>IFNA(VLOOKUP(A411,표2[#ALL],2, FALSE), "")</f>
        <v>768.328999</v>
      </c>
      <c r="J411" s="48">
        <f t="shared" si="2"/>
        <v>0.03080011321</v>
      </c>
      <c r="K411" s="49">
        <f t="shared" si="3"/>
        <v>0.0253823733</v>
      </c>
    </row>
    <row r="412">
      <c r="A412" s="35">
        <v>412.0</v>
      </c>
      <c r="B412" s="36">
        <v>45496.42091435185</v>
      </c>
      <c r="C412" s="36">
        <v>45496.44112268519</v>
      </c>
      <c r="D412" s="37">
        <v>4.08444029098822E-5</v>
      </c>
      <c r="E412" s="38">
        <v>0.0713143274806543</v>
      </c>
      <c r="F412" s="38">
        <v>6.00678448806912E-8</v>
      </c>
      <c r="G412" s="38">
        <v>1.04878457161687E-4</v>
      </c>
      <c r="H412" s="39">
        <f t="shared" si="1"/>
        <v>1746</v>
      </c>
      <c r="I412" s="39">
        <f>IFNA(VLOOKUP(A412,표2[#ALL],2, FALSE), "")</f>
        <v>1735.10146</v>
      </c>
      <c r="J412" s="50">
        <f t="shared" si="2"/>
        <v>0.07086918312</v>
      </c>
      <c r="K412" s="51">
        <f t="shared" si="3"/>
        <v>0.05840329381</v>
      </c>
    </row>
    <row r="413">
      <c r="A413" s="35">
        <v>413.0</v>
      </c>
      <c r="B413" s="42">
        <v>45496.442245370374</v>
      </c>
      <c r="C413" s="42">
        <v>45496.45822916667</v>
      </c>
      <c r="D413" s="43">
        <v>4.08458035005211E-5</v>
      </c>
      <c r="E413" s="44">
        <v>0.0564080546342197</v>
      </c>
      <c r="F413" s="44">
        <v>9.08255700456804E-8</v>
      </c>
      <c r="G413" s="44">
        <v>1.25430112233085E-4</v>
      </c>
      <c r="H413" s="45">
        <f t="shared" si="1"/>
        <v>1381</v>
      </c>
      <c r="I413" s="45">
        <f>IFNA(VLOOKUP(A413,표2[#ALL],2, FALSE), "")</f>
        <v>1357.01676</v>
      </c>
      <c r="J413" s="48">
        <f t="shared" si="2"/>
        <v>0.05542843993</v>
      </c>
      <c r="K413" s="49">
        <f t="shared" si="3"/>
        <v>0.04567857734</v>
      </c>
    </row>
    <row r="414">
      <c r="A414" s="35">
        <v>414.0</v>
      </c>
      <c r="B414" s="36">
        <v>45496.460277777776</v>
      </c>
      <c r="C414" s="36">
        <v>45496.46145833333</v>
      </c>
      <c r="D414" s="37">
        <v>4.0940719226853E-5</v>
      </c>
      <c r="E414" s="38">
        <v>0.00417595336113901</v>
      </c>
      <c r="F414" s="38">
        <v>4.86899365418729E-8</v>
      </c>
      <c r="G414" s="38">
        <v>4.96637352727104E-6</v>
      </c>
      <c r="H414" s="39">
        <f t="shared" si="1"/>
        <v>102</v>
      </c>
      <c r="I414" s="39" t="str">
        <f>IFNA(VLOOKUP(A414,표2[#ALL],2, FALSE), "")</f>
        <v/>
      </c>
      <c r="J414" s="40" t="str">
        <f t="shared" si="2"/>
        <v/>
      </c>
      <c r="K414" s="41" t="str">
        <f t="shared" si="3"/>
        <v/>
      </c>
    </row>
    <row r="415">
      <c r="A415" s="35">
        <v>415.0</v>
      </c>
      <c r="B415" s="42">
        <v>45496.46262731482</v>
      </c>
      <c r="C415" s="42">
        <v>45496.466203703705</v>
      </c>
      <c r="D415" s="43">
        <v>4.01182677106253E-5</v>
      </c>
      <c r="E415" s="44">
        <v>0.0123965447225832</v>
      </c>
      <c r="F415" s="44">
        <v>3.49715382734955E-7</v>
      </c>
      <c r="G415" s="44">
        <v>1.08062053265101E-4</v>
      </c>
      <c r="H415" s="45">
        <f t="shared" si="1"/>
        <v>308.9999999</v>
      </c>
      <c r="I415" s="45">
        <f>IFNA(VLOOKUP(A415,표2[#ALL],2, FALSE), "")</f>
        <v>288.39314</v>
      </c>
      <c r="J415" s="48">
        <f t="shared" si="2"/>
        <v>0.0115698332</v>
      </c>
      <c r="K415" s="49">
        <f t="shared" si="3"/>
        <v>0.009534699537</v>
      </c>
    </row>
    <row r="416">
      <c r="A416" s="35">
        <v>416.0</v>
      </c>
      <c r="B416" s="36">
        <v>45496.47006944445</v>
      </c>
      <c r="C416" s="36">
        <v>45496.47582175926</v>
      </c>
      <c r="D416" s="37">
        <v>3.83398194123817E-5</v>
      </c>
      <c r="E416" s="38">
        <v>0.0190548902479537</v>
      </c>
      <c r="F416" s="38">
        <v>4.57955376934792E-7</v>
      </c>
      <c r="G416" s="38">
        <v>2.27603822336592E-4</v>
      </c>
      <c r="H416" s="39">
        <f t="shared" si="1"/>
        <v>496.9999999</v>
      </c>
      <c r="I416" s="39" t="str">
        <f>IFNA(VLOOKUP(A416,표2[#ALL],2, FALSE), "")</f>
        <v/>
      </c>
      <c r="J416" s="40" t="str">
        <f t="shared" si="2"/>
        <v/>
      </c>
      <c r="K416" s="41" t="str">
        <f t="shared" si="3"/>
        <v/>
      </c>
    </row>
    <row r="417">
      <c r="A417" s="35">
        <v>417.0</v>
      </c>
      <c r="B417" s="42">
        <v>45496.47902777778</v>
      </c>
      <c r="C417" s="42">
        <v>45496.48289351852</v>
      </c>
      <c r="D417" s="43">
        <v>2.08436468056984E-5</v>
      </c>
      <c r="E417" s="44">
        <v>0.00696177803310326</v>
      </c>
      <c r="F417" s="44">
        <v>1.1393272992345E-6</v>
      </c>
      <c r="G417" s="44">
        <v>3.80535317944323E-4</v>
      </c>
      <c r="H417" s="45">
        <f t="shared" si="1"/>
        <v>334.0000001</v>
      </c>
      <c r="I417" s="45" t="str">
        <f>IFNA(VLOOKUP(A417,표2[#ALL],2, FALSE), "")</f>
        <v/>
      </c>
      <c r="J417" s="46" t="str">
        <f t="shared" si="2"/>
        <v/>
      </c>
      <c r="K417" s="47" t="str">
        <f t="shared" si="3"/>
        <v/>
      </c>
    </row>
    <row r="418">
      <c r="A418" s="35">
        <v>418.0</v>
      </c>
      <c r="B418" s="36">
        <v>45496.48533564815</v>
      </c>
      <c r="C418" s="36">
        <v>45496.48677083333</v>
      </c>
      <c r="D418" s="37">
        <v>4.05969304747196E-5</v>
      </c>
      <c r="E418" s="38">
        <v>0.00503401937886523</v>
      </c>
      <c r="F418" s="38">
        <v>6.10626112098088E-8</v>
      </c>
      <c r="G418" s="38">
        <v>7.5717637900163E-6</v>
      </c>
      <c r="H418" s="39">
        <f t="shared" si="1"/>
        <v>124.0000001</v>
      </c>
      <c r="I418" s="39" t="str">
        <f>IFNA(VLOOKUP(A418,표2[#ALL],2, FALSE), "")</f>
        <v/>
      </c>
      <c r="J418" s="40" t="str">
        <f t="shared" si="2"/>
        <v/>
      </c>
      <c r="K418" s="41" t="str">
        <f t="shared" si="3"/>
        <v/>
      </c>
    </row>
    <row r="419">
      <c r="A419" s="35">
        <v>419.0</v>
      </c>
      <c r="B419" s="42">
        <v>45496.48930555556</v>
      </c>
      <c r="C419" s="42">
        <v>45496.49625</v>
      </c>
      <c r="D419" s="43">
        <v>3.13130958094413E-5</v>
      </c>
      <c r="E419" s="44">
        <v>0.0187878574856648</v>
      </c>
      <c r="F419" s="44">
        <v>7.02116288765149E-7</v>
      </c>
      <c r="G419" s="44">
        <v>4.21269773259089E-4</v>
      </c>
      <c r="H419" s="45">
        <f t="shared" si="1"/>
        <v>599.9999994</v>
      </c>
      <c r="I419" s="45" t="str">
        <f>IFNA(VLOOKUP(A419,표2[#ALL],2, FALSE), "")</f>
        <v/>
      </c>
      <c r="J419" s="46" t="str">
        <f t="shared" si="2"/>
        <v/>
      </c>
      <c r="K419" s="47" t="str">
        <f t="shared" si="3"/>
        <v/>
      </c>
    </row>
    <row r="420">
      <c r="A420" s="35">
        <v>420.0</v>
      </c>
      <c r="B420" s="36">
        <v>45496.49659722222</v>
      </c>
      <c r="C420" s="36">
        <v>45496.49899305555</v>
      </c>
      <c r="D420" s="37">
        <v>3.95154146012419E-5</v>
      </c>
      <c r="E420" s="38">
        <v>0.00817969082245708</v>
      </c>
      <c r="F420" s="38">
        <v>4.81305476204457E-7</v>
      </c>
      <c r="G420" s="38">
        <v>9.96302335743227E-5</v>
      </c>
      <c r="H420" s="39">
        <f t="shared" si="1"/>
        <v>207</v>
      </c>
      <c r="I420" s="39">
        <f>IFNA(VLOOKUP(A420,표2[#ALL],2, FALSE), "")</f>
        <v>189.595869</v>
      </c>
      <c r="J420" s="50">
        <f t="shared" si="2"/>
        <v>0.00749195937</v>
      </c>
      <c r="K420" s="51">
        <f t="shared" si="3"/>
        <v>0.006174123717</v>
      </c>
    </row>
    <row r="421">
      <c r="A421" s="35">
        <v>421.0</v>
      </c>
      <c r="B421" s="42">
        <v>45496.500023148146</v>
      </c>
      <c r="C421" s="42">
        <v>45496.50921296296</v>
      </c>
      <c r="D421" s="43">
        <v>4.05172183140371E-5</v>
      </c>
      <c r="E421" s="44">
        <v>0.0321706713413455</v>
      </c>
      <c r="F421" s="44">
        <v>1.46913592901404E-7</v>
      </c>
      <c r="G421" s="44">
        <v>1.16649392763714E-4</v>
      </c>
      <c r="H421" s="45">
        <f t="shared" si="1"/>
        <v>794.0000002</v>
      </c>
      <c r="I421" s="45">
        <f>IFNA(VLOOKUP(A421,표2[#ALL],2, FALSE), "")</f>
        <v>776.377805</v>
      </c>
      <c r="J421" s="48">
        <f t="shared" si="2"/>
        <v>0.03145666902</v>
      </c>
      <c r="K421" s="49">
        <f t="shared" si="3"/>
        <v>0.02592344094</v>
      </c>
    </row>
    <row r="422">
      <c r="A422" s="35">
        <v>422.0</v>
      </c>
      <c r="B422" s="36">
        <v>45496.51068287037</v>
      </c>
      <c r="C422" s="36">
        <v>45496.52141203704</v>
      </c>
      <c r="D422" s="37">
        <v>4.04447021950973E-5</v>
      </c>
      <c r="E422" s="38">
        <v>0.0374922389348552</v>
      </c>
      <c r="F422" s="38">
        <v>1.16270379340308E-7</v>
      </c>
      <c r="G422" s="38">
        <v>1.07782641648465E-4</v>
      </c>
      <c r="H422" s="39">
        <f t="shared" si="1"/>
        <v>926.9999998</v>
      </c>
      <c r="I422" s="39">
        <f>IFNA(VLOOKUP(A422,표2[#ALL],2, FALSE), "")</f>
        <v>910.926182</v>
      </c>
      <c r="J422" s="50">
        <f t="shared" si="2"/>
        <v>0.03684213815</v>
      </c>
      <c r="K422" s="51">
        <f t="shared" si="3"/>
        <v>0.03036160605</v>
      </c>
    </row>
    <row r="423">
      <c r="A423" s="35">
        <v>423.0</v>
      </c>
      <c r="B423" s="42">
        <v>45496.52481481482</v>
      </c>
      <c r="C423" s="42">
        <v>45496.525196759256</v>
      </c>
      <c r="D423" s="43">
        <v>4.07523563622351E-5</v>
      </c>
      <c r="E423" s="44">
        <v>0.00134482775995376</v>
      </c>
      <c r="F423" s="44">
        <v>8.99912474734198E-8</v>
      </c>
      <c r="G423" s="44">
        <v>2.96971116662285E-6</v>
      </c>
      <c r="H423" s="45">
        <f t="shared" si="1"/>
        <v>32.99999954</v>
      </c>
      <c r="I423" s="45" t="str">
        <f>IFNA(VLOOKUP(A423,표2[#ALL],2, FALSE), "")</f>
        <v/>
      </c>
      <c r="J423" s="46" t="str">
        <f t="shared" si="2"/>
        <v/>
      </c>
      <c r="K423" s="47" t="str">
        <f t="shared" si="3"/>
        <v/>
      </c>
    </row>
    <row r="424">
      <c r="A424" s="35">
        <v>424.0</v>
      </c>
      <c r="B424" s="36">
        <v>45496.525358796294</v>
      </c>
      <c r="C424" s="36">
        <v>45496.527719907404</v>
      </c>
      <c r="D424" s="37">
        <v>4.0239294488929E-5</v>
      </c>
      <c r="E424" s="38">
        <v>0.00820881607574152</v>
      </c>
      <c r="F424" s="38">
        <v>5.03956572096069E-8</v>
      </c>
      <c r="G424" s="38">
        <v>1.02807140707598E-5</v>
      </c>
      <c r="H424" s="39">
        <f t="shared" si="1"/>
        <v>203.9999999</v>
      </c>
      <c r="I424" s="39" t="str">
        <f>IFNA(VLOOKUP(A424,표2[#ALL],2, FALSE), "")</f>
        <v/>
      </c>
      <c r="J424" s="40" t="str">
        <f t="shared" si="2"/>
        <v/>
      </c>
      <c r="K424" s="41" t="str">
        <f t="shared" si="3"/>
        <v/>
      </c>
    </row>
    <row r="425">
      <c r="A425" s="35">
        <v>425.0</v>
      </c>
      <c r="B425" s="42">
        <v>45496.52789351852</v>
      </c>
      <c r="C425" s="42">
        <v>45496.53234953704</v>
      </c>
      <c r="D425" s="43">
        <v>3.97455904289083E-5</v>
      </c>
      <c r="E425" s="44">
        <v>0.0153020523151297</v>
      </c>
      <c r="F425" s="44">
        <v>2.96990546836286E-7</v>
      </c>
      <c r="G425" s="44">
        <v>1.1434136053197E-4</v>
      </c>
      <c r="H425" s="45">
        <f t="shared" si="1"/>
        <v>385.0000001</v>
      </c>
      <c r="I425" s="45">
        <f>IFNA(VLOOKUP(A425,표2[#ALL],2, FALSE), "")</f>
        <v>371.056155</v>
      </c>
      <c r="J425" s="48">
        <f t="shared" si="2"/>
        <v>0.01474784596</v>
      </c>
      <c r="K425" s="49">
        <f t="shared" si="3"/>
        <v>0.01215369986</v>
      </c>
    </row>
    <row r="426">
      <c r="A426" s="35">
        <v>426.0</v>
      </c>
      <c r="B426" s="36">
        <v>45496.534108796295</v>
      </c>
      <c r="C426" s="36">
        <v>45496.54670138889</v>
      </c>
      <c r="D426" s="37">
        <v>4.00493347642378E-5</v>
      </c>
      <c r="E426" s="38">
        <v>0.0435736762234907</v>
      </c>
      <c r="F426" s="38">
        <v>9.07353959991495E-8</v>
      </c>
      <c r="G426" s="38">
        <v>9.87201108470746E-5</v>
      </c>
      <c r="H426" s="39">
        <f t="shared" si="1"/>
        <v>1088</v>
      </c>
      <c r="I426" s="39">
        <f>IFNA(VLOOKUP(A426,표2[#ALL],2, FALSE), "")</f>
        <v>1072.27344</v>
      </c>
      <c r="J426" s="50">
        <f t="shared" si="2"/>
        <v>0.04294383796</v>
      </c>
      <c r="K426" s="51">
        <f t="shared" si="3"/>
        <v>0.03539001686</v>
      </c>
    </row>
    <row r="427">
      <c r="A427" s="35">
        <v>427.0</v>
      </c>
      <c r="B427" s="42">
        <v>45496.547997685186</v>
      </c>
      <c r="C427" s="42">
        <v>45496.55961805556</v>
      </c>
      <c r="D427" s="43">
        <v>4.00232106831089E-5</v>
      </c>
      <c r="E427" s="44">
        <v>0.0401833035258414</v>
      </c>
      <c r="F427" s="44">
        <v>9.98746469791849E-8</v>
      </c>
      <c r="G427" s="44">
        <v>1.00274145567102E-4</v>
      </c>
      <c r="H427" s="45">
        <f t="shared" si="1"/>
        <v>1004</v>
      </c>
      <c r="I427" s="45">
        <f>IFNA(VLOOKUP(A427,표2[#ALL],2, FALSE), "")</f>
        <v>987.47464</v>
      </c>
      <c r="J427" s="48">
        <f t="shared" si="2"/>
        <v>0.03952190556</v>
      </c>
      <c r="K427" s="49">
        <f t="shared" si="3"/>
        <v>0.03257000237</v>
      </c>
    </row>
    <row r="428">
      <c r="A428" s="35">
        <v>428.0</v>
      </c>
      <c r="B428" s="36">
        <v>45496.561261574076</v>
      </c>
      <c r="C428" s="36">
        <v>45496.57050925926</v>
      </c>
      <c r="D428" s="37">
        <v>4.02059408114632E-5</v>
      </c>
      <c r="E428" s="38">
        <v>0.0321245467083591</v>
      </c>
      <c r="F428" s="38">
        <v>1.45076751982111E-7</v>
      </c>
      <c r="G428" s="38">
        <v>1.15916324833706E-4</v>
      </c>
      <c r="H428" s="39">
        <f t="shared" si="1"/>
        <v>799.0000001</v>
      </c>
      <c r="I428" s="39">
        <f>IFNA(VLOOKUP(A428,표2[#ALL],2, FALSE), "")</f>
        <v>780.327833</v>
      </c>
      <c r="J428" s="50">
        <f t="shared" si="2"/>
        <v>0.03137381467</v>
      </c>
      <c r="K428" s="51">
        <f t="shared" si="3"/>
        <v>0.02585516067</v>
      </c>
    </row>
    <row r="429">
      <c r="A429" s="35">
        <v>429.0</v>
      </c>
      <c r="B429" s="42">
        <v>45496.57175925926</v>
      </c>
      <c r="C429" s="42">
        <v>45496.57946759259</v>
      </c>
      <c r="D429" s="43">
        <v>4.07937935239579E-5</v>
      </c>
      <c r="E429" s="44">
        <v>0.027168666486956</v>
      </c>
      <c r="F429" s="44">
        <v>1.8149040535431E-7</v>
      </c>
      <c r="G429" s="44">
        <v>1.20872609965971E-4</v>
      </c>
      <c r="H429" s="45">
        <f t="shared" si="1"/>
        <v>665.9999998</v>
      </c>
      <c r="I429" s="45">
        <f>IFNA(VLOOKUP(A429,표2[#ALL],2, FALSE), "")</f>
        <v>646.983212</v>
      </c>
      <c r="J429" s="48">
        <f t="shared" si="2"/>
        <v>0.02639289956</v>
      </c>
      <c r="K429" s="49">
        <f t="shared" si="3"/>
        <v>0.02175038853</v>
      </c>
    </row>
    <row r="430">
      <c r="A430" s="35">
        <v>430.0</v>
      </c>
      <c r="B430" s="36">
        <v>45496.582407407404</v>
      </c>
      <c r="C430" s="36">
        <v>45496.59159722222</v>
      </c>
      <c r="D430" s="37">
        <v>4.0561214465267E-5</v>
      </c>
      <c r="E430" s="38">
        <v>0.032205604285422</v>
      </c>
      <c r="F430" s="38">
        <v>1.30014540198921E-7</v>
      </c>
      <c r="G430" s="38">
        <v>1.03231544917943E-4</v>
      </c>
      <c r="H430" s="39">
        <f t="shared" si="1"/>
        <v>794.0000002</v>
      </c>
      <c r="I430" s="39">
        <f>IFNA(VLOOKUP(A430,표2[#ALL],2, FALSE), "")</f>
        <v>782.330772</v>
      </c>
      <c r="J430" s="50">
        <f t="shared" si="2"/>
        <v>0.03173228623</v>
      </c>
      <c r="K430" s="51">
        <f t="shared" si="3"/>
        <v>0.02615057708</v>
      </c>
    </row>
    <row r="431">
      <c r="A431" s="35">
        <v>431.0</v>
      </c>
      <c r="B431" s="42">
        <v>45496.59505787037</v>
      </c>
      <c r="C431" s="42">
        <v>45496.62372685185</v>
      </c>
      <c r="D431" s="43">
        <v>4.02756200788105E-5</v>
      </c>
      <c r="E431" s="44">
        <v>0.0997627109352135</v>
      </c>
      <c r="F431" s="44">
        <v>5.26897966743678E-8</v>
      </c>
      <c r="G431" s="44">
        <v>1.30512626362409E-4</v>
      </c>
      <c r="H431" s="45">
        <f t="shared" si="1"/>
        <v>2477</v>
      </c>
      <c r="I431" s="45">
        <f>IFNA(VLOOKUP(A431,표2[#ALL],2, FALSE), "")</f>
        <v>2458.78791</v>
      </c>
      <c r="J431" s="48">
        <f t="shared" si="2"/>
        <v>0.09902920772</v>
      </c>
      <c r="K431" s="49">
        <f t="shared" si="3"/>
        <v>0.08160997008</v>
      </c>
    </row>
    <row r="432">
      <c r="A432" s="35">
        <v>432.0</v>
      </c>
      <c r="B432" s="36">
        <v>45496.62613425926</v>
      </c>
      <c r="C432" s="36">
        <v>45496.62677083333</v>
      </c>
      <c r="D432" s="37">
        <v>2.07555476796887E-5</v>
      </c>
      <c r="E432" s="38">
        <v>0.00114155512238288</v>
      </c>
      <c r="F432" s="38">
        <v>2.76641594293664E-6</v>
      </c>
      <c r="G432" s="38">
        <v>1.52152876861515E-4</v>
      </c>
      <c r="H432" s="39">
        <f t="shared" si="1"/>
        <v>54.99999966</v>
      </c>
      <c r="I432" s="39" t="str">
        <f>IFNA(VLOOKUP(A432,표2[#ALL],2, FALSE), "")</f>
        <v/>
      </c>
      <c r="J432" s="40" t="str">
        <f t="shared" si="2"/>
        <v/>
      </c>
      <c r="K432" s="41" t="str">
        <f t="shared" si="3"/>
        <v/>
      </c>
    </row>
    <row r="433">
      <c r="A433" s="35">
        <v>433.0</v>
      </c>
      <c r="B433" s="42">
        <v>45496.69016203703</v>
      </c>
      <c r="C433" s="42">
        <v>45496.69354166667</v>
      </c>
      <c r="D433" s="43">
        <v>4.18908552749451E-5</v>
      </c>
      <c r="E433" s="44">
        <v>0.012232129740284</v>
      </c>
      <c r="F433" s="44">
        <v>4.02665027404859E-7</v>
      </c>
      <c r="G433" s="44">
        <v>1.17578188002219E-4</v>
      </c>
      <c r="H433" s="45">
        <f t="shared" si="1"/>
        <v>292.0000004</v>
      </c>
      <c r="I433" s="45">
        <f>IFNA(VLOOKUP(A433,표2[#ALL],2, FALSE), "")</f>
        <v>273.391894</v>
      </c>
      <c r="J433" s="48">
        <f t="shared" si="2"/>
        <v>0.01145262026</v>
      </c>
      <c r="K433" s="49">
        <f t="shared" si="3"/>
        <v>0.00943810436</v>
      </c>
    </row>
    <row r="434">
      <c r="A434" s="35">
        <v>434.0</v>
      </c>
      <c r="B434" s="36">
        <v>45496.69403935185</v>
      </c>
      <c r="C434" s="36">
        <v>45496.69849537037</v>
      </c>
      <c r="D434" s="37">
        <v>4.1209778497867E-5</v>
      </c>
      <c r="E434" s="38">
        <v>0.0158657647216788</v>
      </c>
      <c r="F434" s="38">
        <v>2.68954081184468E-7</v>
      </c>
      <c r="G434" s="38">
        <v>1.0354732125602E-4</v>
      </c>
      <c r="H434" s="39">
        <f t="shared" si="1"/>
        <v>385.0000001</v>
      </c>
      <c r="I434" s="39">
        <f>IFNA(VLOOKUP(A434,표2[#ALL],2, FALSE), "")</f>
        <v>367.190378</v>
      </c>
      <c r="J434" s="50">
        <f t="shared" si="2"/>
        <v>0.01513183414</v>
      </c>
      <c r="K434" s="51">
        <f t="shared" si="3"/>
        <v>0.01247014452</v>
      </c>
    </row>
    <row r="435">
      <c r="A435" s="35">
        <v>435.0</v>
      </c>
      <c r="B435" s="42">
        <v>45496.69993055556</v>
      </c>
      <c r="C435" s="42">
        <v>45496.71152777778</v>
      </c>
      <c r="D435" s="43">
        <v>4.1159309715494E-5</v>
      </c>
      <c r="E435" s="44">
        <v>0.041241628334925</v>
      </c>
      <c r="F435" s="44">
        <v>1.19189881577074E-7</v>
      </c>
      <c r="G435" s="44">
        <v>1.19428261340228E-4</v>
      </c>
      <c r="H435" s="45">
        <f t="shared" si="1"/>
        <v>1002</v>
      </c>
      <c r="I435" s="45">
        <f>IFNA(VLOOKUP(A435,표2[#ALL],2, FALSE), "")</f>
        <v>989.372209</v>
      </c>
      <c r="J435" s="48">
        <f t="shared" si="2"/>
        <v>0.04072187717</v>
      </c>
      <c r="K435" s="49">
        <f t="shared" si="3"/>
        <v>0.03355889898</v>
      </c>
    </row>
    <row r="436">
      <c r="A436" s="35">
        <v>436.0</v>
      </c>
      <c r="B436" s="36">
        <v>45496.71299768519</v>
      </c>
      <c r="C436" s="36">
        <v>45496.71375</v>
      </c>
      <c r="D436" s="37">
        <v>3.68369390973765E-5</v>
      </c>
      <c r="E436" s="38">
        <v>0.00239440104132947</v>
      </c>
      <c r="F436" s="38">
        <v>1.72018108867679E-6</v>
      </c>
      <c r="G436" s="38">
        <v>1.11811770763992E-4</v>
      </c>
      <c r="H436" s="39">
        <f t="shared" si="1"/>
        <v>65.00000011</v>
      </c>
      <c r="I436" s="39">
        <f>IFNA(VLOOKUP(A436,표2[#ALL],2, FALSE), "")</f>
        <v>47.5456257</v>
      </c>
      <c r="J436" s="50">
        <f t="shared" si="2"/>
        <v>0.001751435318</v>
      </c>
      <c r="K436" s="51">
        <f t="shared" si="3"/>
        <v>0.001443357846</v>
      </c>
    </row>
    <row r="437">
      <c r="A437" s="35">
        <v>437.0</v>
      </c>
      <c r="B437" s="42">
        <v>45496.71399305556</v>
      </c>
      <c r="C437" s="42">
        <v>45496.719560185185</v>
      </c>
      <c r="D437" s="43">
        <v>4.1115719920117E-5</v>
      </c>
      <c r="E437" s="44">
        <v>0.0197766612815763</v>
      </c>
      <c r="F437" s="44">
        <v>2.31240613773889E-7</v>
      </c>
      <c r="G437" s="44">
        <v>1.11226735225241E-4</v>
      </c>
      <c r="H437" s="45">
        <f t="shared" si="1"/>
        <v>480.9999999</v>
      </c>
      <c r="I437" s="45">
        <f>IFNA(VLOOKUP(A437,표2[#ALL],2, FALSE), "")</f>
        <v>462.840033</v>
      </c>
      <c r="J437" s="48">
        <f t="shared" si="2"/>
        <v>0.01903000116</v>
      </c>
      <c r="K437" s="49">
        <f t="shared" si="3"/>
        <v>0.01568262396</v>
      </c>
    </row>
    <row r="438">
      <c r="A438" s="35">
        <v>438.0</v>
      </c>
      <c r="B438" s="36">
        <v>45496.720821759256</v>
      </c>
      <c r="C438" s="36">
        <v>45496.72754629629</v>
      </c>
      <c r="D438" s="37">
        <v>4.13881067770082E-5</v>
      </c>
      <c r="E438" s="38">
        <v>0.0240464900374418</v>
      </c>
      <c r="F438" s="38">
        <v>1.45662876983229E-7</v>
      </c>
      <c r="G438" s="38">
        <v>8.46301315272562E-5</v>
      </c>
      <c r="H438" s="39">
        <f t="shared" si="1"/>
        <v>581</v>
      </c>
      <c r="I438" s="39">
        <f>IFNA(VLOOKUP(A438,표2[#ALL],2, FALSE), "")</f>
        <v>566.288469</v>
      </c>
      <c r="J438" s="50">
        <f t="shared" si="2"/>
        <v>0.02343760762</v>
      </c>
      <c r="K438" s="51">
        <f t="shared" si="3"/>
        <v>0.01931493244</v>
      </c>
    </row>
    <row r="439">
      <c r="A439" s="35">
        <v>439.0</v>
      </c>
      <c r="B439" s="42">
        <v>45496.72856481482</v>
      </c>
      <c r="C439" s="42">
        <v>45496.740381944444</v>
      </c>
      <c r="D439" s="43">
        <v>4.09598120118063E-5</v>
      </c>
      <c r="E439" s="44">
        <v>0.0418199680640543</v>
      </c>
      <c r="F439" s="44">
        <v>1.22636755697787E-7</v>
      </c>
      <c r="G439" s="44">
        <v>1.2521212756744E-4</v>
      </c>
      <c r="H439" s="45">
        <f t="shared" si="1"/>
        <v>1021</v>
      </c>
      <c r="I439" s="45">
        <f>IFNA(VLOOKUP(A439,표2[#ALL],2, FALSE), "")</f>
        <v>1001.02498</v>
      </c>
      <c r="J439" s="48">
        <f t="shared" si="2"/>
        <v>0.041001795</v>
      </c>
      <c r="K439" s="49">
        <f t="shared" si="3"/>
        <v>0.03378957926</v>
      </c>
    </row>
    <row r="440">
      <c r="A440" s="35">
        <v>440.0</v>
      </c>
      <c r="B440" s="36">
        <v>45496.7422337963</v>
      </c>
      <c r="C440" s="36">
        <v>45496.75368055556</v>
      </c>
      <c r="D440" s="37">
        <v>4.07333783421074E-5</v>
      </c>
      <c r="E440" s="38">
        <v>0.0402853111803442</v>
      </c>
      <c r="F440" s="38">
        <v>1.62869030839308E-7</v>
      </c>
      <c r="G440" s="38">
        <v>1.61077471500075E-4</v>
      </c>
      <c r="H440" s="39">
        <f t="shared" si="1"/>
        <v>988.9999999</v>
      </c>
      <c r="I440" s="39">
        <f>IFNA(VLOOKUP(A440,표2[#ALL],2, FALSE), "")</f>
        <v>963.272614</v>
      </c>
      <c r="J440" s="50">
        <f t="shared" si="2"/>
        <v>0.03923734783</v>
      </c>
      <c r="K440" s="51">
        <f t="shared" si="3"/>
        <v>0.03233549835</v>
      </c>
    </row>
    <row r="441">
      <c r="A441" s="35">
        <v>524.0</v>
      </c>
      <c r="B441" s="42">
        <v>45516.42652777778</v>
      </c>
      <c r="C441" s="42">
        <v>45516.427256944444</v>
      </c>
      <c r="D441" s="43">
        <v>3.76566495883109E-5</v>
      </c>
      <c r="E441" s="44">
        <v>0.00237236892406358</v>
      </c>
      <c r="F441" s="44">
        <v>5.27107028977898E-8</v>
      </c>
      <c r="G441" s="44">
        <v>3.32077428256076E-6</v>
      </c>
      <c r="H441" s="45">
        <f t="shared" si="1"/>
        <v>62.99999964</v>
      </c>
      <c r="I441" s="45" t="str">
        <f>IFNA(VLOOKUP(A441,표2[#ALL],2, FALSE), "")</f>
        <v/>
      </c>
      <c r="J441" s="46" t="str">
        <f t="shared" si="2"/>
        <v/>
      </c>
      <c r="K441" s="47" t="str">
        <f t="shared" si="3"/>
        <v/>
      </c>
    </row>
    <row r="442">
      <c r="A442" s="35">
        <v>525.0</v>
      </c>
      <c r="B442" s="36">
        <v>45516.42737268518</v>
      </c>
      <c r="C442" s="36">
        <v>45516.42855324074</v>
      </c>
      <c r="D442" s="37">
        <v>3.73933291479679E-5</v>
      </c>
      <c r="E442" s="38">
        <v>0.00381411957309272</v>
      </c>
      <c r="F442" s="38">
        <v>4.50961972242412E-8</v>
      </c>
      <c r="G442" s="38">
        <v>4.5998121168726E-6</v>
      </c>
      <c r="H442" s="39">
        <f t="shared" si="1"/>
        <v>102</v>
      </c>
      <c r="I442" s="39" t="str">
        <f>IFNA(VLOOKUP(A442,표2[#ALL],2, FALSE), "")</f>
        <v/>
      </c>
      <c r="J442" s="40" t="str">
        <f t="shared" si="2"/>
        <v/>
      </c>
      <c r="K442" s="41" t="str">
        <f t="shared" si="3"/>
        <v/>
      </c>
    </row>
    <row r="443">
      <c r="A443" s="35">
        <v>526.0</v>
      </c>
      <c r="B443" s="42">
        <v>45516.42870370371</v>
      </c>
      <c r="C443" s="42">
        <v>45516.43158564815</v>
      </c>
      <c r="D443" s="43">
        <v>3.73276717347633E-5</v>
      </c>
      <c r="E443" s="44">
        <v>0.00929459026195607</v>
      </c>
      <c r="F443" s="44">
        <v>2.57904973183902E-8</v>
      </c>
      <c r="G443" s="44">
        <v>6.42183383227917E-6</v>
      </c>
      <c r="H443" s="45">
        <f t="shared" si="1"/>
        <v>248.9999997</v>
      </c>
      <c r="I443" s="45" t="str">
        <f>IFNA(VLOOKUP(A443,표2[#ALL],2, FALSE), "")</f>
        <v/>
      </c>
      <c r="J443" s="46" t="str">
        <f t="shared" si="2"/>
        <v/>
      </c>
      <c r="K443" s="47" t="str">
        <f t="shared" si="3"/>
        <v/>
      </c>
    </row>
    <row r="444">
      <c r="A444" s="35">
        <v>527.0</v>
      </c>
      <c r="B444" s="36">
        <v>45516.43170138889</v>
      </c>
      <c r="C444" s="36">
        <v>45516.4328125</v>
      </c>
      <c r="D444" s="37">
        <v>3.41559572462385E-5</v>
      </c>
      <c r="E444" s="38">
        <v>0.0032789718956389</v>
      </c>
      <c r="F444" s="38">
        <v>1.05924854157397E-6</v>
      </c>
      <c r="G444" s="38">
        <v>1.01687859991101E-4</v>
      </c>
      <c r="H444" s="39">
        <f t="shared" si="1"/>
        <v>96.00000044</v>
      </c>
      <c r="I444" s="39" t="str">
        <f>IFNA(VLOOKUP(A444,표2[#ALL],2, FALSE), "")</f>
        <v/>
      </c>
      <c r="J444" s="40" t="str">
        <f t="shared" si="2"/>
        <v/>
      </c>
      <c r="K444" s="41" t="str">
        <f t="shared" si="3"/>
        <v/>
      </c>
    </row>
    <row r="445">
      <c r="A445" s="35">
        <v>528.0</v>
      </c>
      <c r="B445" s="42">
        <v>45516.43480324074</v>
      </c>
      <c r="C445" s="42">
        <v>45516.442511574074</v>
      </c>
      <c r="D445" s="43">
        <v>3.73643205043167E-5</v>
      </c>
      <c r="E445" s="44">
        <v>0.0248846374558749</v>
      </c>
      <c r="F445" s="44">
        <v>1.53575088575645E-7</v>
      </c>
      <c r="G445" s="44">
        <v>1.02281008991379E-4</v>
      </c>
      <c r="H445" s="45">
        <f t="shared" si="1"/>
        <v>665.9999998</v>
      </c>
      <c r="I445" s="45" t="str">
        <f>IFNA(VLOOKUP(A445,표2[#ALL],2, FALSE), "")</f>
        <v/>
      </c>
      <c r="J445" s="46" t="str">
        <f t="shared" si="2"/>
        <v/>
      </c>
      <c r="K445" s="47" t="str">
        <f t="shared" si="3"/>
        <v/>
      </c>
    </row>
    <row r="446">
      <c r="A446" s="35">
        <v>529.0</v>
      </c>
      <c r="B446" s="36">
        <v>45516.44496527778</v>
      </c>
      <c r="C446" s="36">
        <v>45516.445763888885</v>
      </c>
      <c r="D446" s="37">
        <v>3.3194207728039E-5</v>
      </c>
      <c r="E446" s="38">
        <v>0.00229040033323469</v>
      </c>
      <c r="F446" s="38">
        <v>1.54555629383839E-6</v>
      </c>
      <c r="G446" s="38">
        <v>1.06643384274849E-4</v>
      </c>
      <c r="H446" s="39">
        <f t="shared" si="1"/>
        <v>68.99999978</v>
      </c>
      <c r="I446" s="39" t="str">
        <f>IFNA(VLOOKUP(A446,표2[#ALL],2, FALSE), "")</f>
        <v/>
      </c>
      <c r="J446" s="40" t="str">
        <f t="shared" si="2"/>
        <v/>
      </c>
      <c r="K446" s="41" t="str">
        <f t="shared" si="3"/>
        <v/>
      </c>
    </row>
    <row r="447">
      <c r="A447" s="35">
        <v>530.0</v>
      </c>
      <c r="B447" s="42">
        <v>45516.4477662037</v>
      </c>
      <c r="C447" s="42">
        <v>45516.45112268518</v>
      </c>
      <c r="D447" s="43">
        <v>3.67199829892971E-5</v>
      </c>
      <c r="E447" s="44">
        <v>0.0106487950668962</v>
      </c>
      <c r="F447" s="44">
        <v>3.89672123670648E-7</v>
      </c>
      <c r="G447" s="44">
        <v>1.13004915864488E-4</v>
      </c>
      <c r="H447" s="45">
        <f t="shared" si="1"/>
        <v>289.9999999</v>
      </c>
      <c r="I447" s="45" t="str">
        <f>IFNA(VLOOKUP(A447,표2[#ALL],2, FALSE), "")</f>
        <v/>
      </c>
      <c r="J447" s="46" t="str">
        <f t="shared" si="2"/>
        <v/>
      </c>
      <c r="K447" s="47" t="str">
        <f t="shared" si="3"/>
        <v/>
      </c>
    </row>
    <row r="448">
      <c r="A448" s="35">
        <v>531.0</v>
      </c>
      <c r="B448" s="36">
        <v>45516.452372685184</v>
      </c>
      <c r="C448" s="36">
        <v>45516.461122685185</v>
      </c>
      <c r="D448" s="37">
        <v>3.74610509340696E-5</v>
      </c>
      <c r="E448" s="38">
        <v>0.0283205545061566</v>
      </c>
      <c r="F448" s="38">
        <v>1.42337529607104E-7</v>
      </c>
      <c r="G448" s="38">
        <v>1.07607172382971E-4</v>
      </c>
      <c r="H448" s="39">
        <f t="shared" si="1"/>
        <v>756.0000001</v>
      </c>
      <c r="I448" s="39" t="str">
        <f>IFNA(VLOOKUP(A448,표2[#ALL],2, FALSE), "")</f>
        <v/>
      </c>
      <c r="J448" s="40" t="str">
        <f t="shared" si="2"/>
        <v/>
      </c>
      <c r="K448" s="41" t="str">
        <f t="shared" si="3"/>
        <v/>
      </c>
    </row>
    <row r="449">
      <c r="A449" s="35">
        <v>532.0</v>
      </c>
      <c r="B449" s="42">
        <v>45516.46282407407</v>
      </c>
      <c r="C449" s="42">
        <v>45516.468622685185</v>
      </c>
      <c r="D449" s="43">
        <v>3.72334053280185E-5</v>
      </c>
      <c r="E449" s="44">
        <v>0.0186539360693373</v>
      </c>
      <c r="F449" s="44">
        <v>2.16248214104407E-7</v>
      </c>
      <c r="G449" s="44">
        <v>1.08340355266308E-4</v>
      </c>
      <c r="H449" s="45">
        <f t="shared" si="1"/>
        <v>501.0000002</v>
      </c>
      <c r="I449" s="45" t="str">
        <f>IFNA(VLOOKUP(A449,표2[#ALL],2, FALSE), "")</f>
        <v/>
      </c>
      <c r="J449" s="46" t="str">
        <f t="shared" si="2"/>
        <v/>
      </c>
      <c r="K449" s="47" t="str">
        <f t="shared" si="3"/>
        <v/>
      </c>
    </row>
    <row r="450">
      <c r="A450" s="35">
        <v>533.0</v>
      </c>
      <c r="B450" s="36">
        <v>45516.47087962963</v>
      </c>
      <c r="C450" s="36">
        <v>45516.476689814815</v>
      </c>
      <c r="D450" s="37">
        <v>3.70269292741986E-5</v>
      </c>
      <c r="E450" s="38">
        <v>0.0185875184956477</v>
      </c>
      <c r="F450" s="38">
        <v>2.1369940904604E-7</v>
      </c>
      <c r="G450" s="38">
        <v>1.07277103341112E-4</v>
      </c>
      <c r="H450" s="39">
        <f t="shared" si="1"/>
        <v>501.9999998</v>
      </c>
      <c r="I450" s="39" t="str">
        <f>IFNA(VLOOKUP(A450,표2[#ALL],2, FALSE), "")</f>
        <v/>
      </c>
      <c r="J450" s="40" t="str">
        <f t="shared" si="2"/>
        <v/>
      </c>
      <c r="K450" s="41" t="str">
        <f t="shared" si="3"/>
        <v/>
      </c>
    </row>
    <row r="451">
      <c r="A451" s="35">
        <v>534.0</v>
      </c>
      <c r="B451" s="42">
        <v>45516.48458333333</v>
      </c>
      <c r="C451" s="42">
        <v>45516.48504629629</v>
      </c>
      <c r="D451" s="43">
        <v>3.73960430378219E-5</v>
      </c>
      <c r="E451" s="44">
        <v>0.00149584172151288</v>
      </c>
      <c r="F451" s="44">
        <v>7.73242821200001E-8</v>
      </c>
      <c r="G451" s="44">
        <v>3.0929712848E-6</v>
      </c>
      <c r="H451" s="45">
        <f t="shared" si="1"/>
        <v>39.99999992</v>
      </c>
      <c r="I451" s="45" t="str">
        <f>IFNA(VLOOKUP(A451,표2[#ALL],2, FALSE), "")</f>
        <v/>
      </c>
      <c r="J451" s="46" t="str">
        <f t="shared" si="2"/>
        <v/>
      </c>
      <c r="K451" s="47" t="str">
        <f t="shared" si="3"/>
        <v/>
      </c>
    </row>
    <row r="452">
      <c r="A452" s="35">
        <v>535.0</v>
      </c>
      <c r="B452" s="36">
        <v>45516.485138888886</v>
      </c>
      <c r="C452" s="36">
        <v>45516.488020833334</v>
      </c>
      <c r="D452" s="37">
        <v>3.75088309462426E-5</v>
      </c>
      <c r="E452" s="38">
        <v>0.0093396989056144</v>
      </c>
      <c r="F452" s="38">
        <v>2.992538118652E-8</v>
      </c>
      <c r="G452" s="38">
        <v>7.45141991544347E-6</v>
      </c>
      <c r="H452" s="39">
        <f t="shared" si="1"/>
        <v>249.0000004</v>
      </c>
      <c r="I452" s="39" t="str">
        <f>IFNA(VLOOKUP(A452,표2[#ALL],2, FALSE), "")</f>
        <v/>
      </c>
      <c r="J452" s="40" t="str">
        <f t="shared" si="2"/>
        <v/>
      </c>
      <c r="K452" s="41" t="str">
        <f t="shared" si="3"/>
        <v/>
      </c>
    </row>
    <row r="453">
      <c r="A453" s="35">
        <v>536.0</v>
      </c>
      <c r="B453" s="42">
        <v>45516.48988425926</v>
      </c>
      <c r="C453" s="42">
        <v>45516.49267361111</v>
      </c>
      <c r="D453" s="43">
        <v>3.74103677277538E-5</v>
      </c>
      <c r="E453" s="44">
        <v>0.00901589862238866</v>
      </c>
      <c r="F453" s="44">
        <v>3.22639872950333E-8</v>
      </c>
      <c r="G453" s="44">
        <v>7.77562093810301E-6</v>
      </c>
      <c r="H453" s="45">
        <f t="shared" si="1"/>
        <v>240.9999998</v>
      </c>
      <c r="I453" s="45" t="str">
        <f>IFNA(VLOOKUP(A453,표2[#ALL],2, FALSE), "")</f>
        <v/>
      </c>
      <c r="J453" s="46" t="str">
        <f t="shared" si="2"/>
        <v/>
      </c>
      <c r="K453" s="47" t="str">
        <f t="shared" si="3"/>
        <v/>
      </c>
    </row>
    <row r="454">
      <c r="A454" s="35">
        <v>537.0</v>
      </c>
      <c r="B454" s="36">
        <v>45516.492731481485</v>
      </c>
      <c r="C454" s="36">
        <v>45516.49851851852</v>
      </c>
      <c r="D454" s="37">
        <v>3.68031512242818E-5</v>
      </c>
      <c r="E454" s="38">
        <v>0.0184015756121409</v>
      </c>
      <c r="F454" s="38">
        <v>1.98691258014734E-7</v>
      </c>
      <c r="G454" s="38">
        <v>9.93456290073671E-5</v>
      </c>
      <c r="H454" s="39">
        <f t="shared" si="1"/>
        <v>500</v>
      </c>
      <c r="I454" s="39" t="str">
        <f>IFNA(VLOOKUP(A454,표2[#ALL],2, FALSE), "")</f>
        <v/>
      </c>
      <c r="J454" s="40" t="str">
        <f t="shared" si="2"/>
        <v/>
      </c>
      <c r="K454" s="41" t="str">
        <f t="shared" si="3"/>
        <v/>
      </c>
    </row>
    <row r="455">
      <c r="A455" s="35">
        <v>538.0</v>
      </c>
      <c r="B455" s="42">
        <v>45516.49965277778</v>
      </c>
      <c r="C455" s="42">
        <v>45516.500243055554</v>
      </c>
      <c r="D455" s="43">
        <v>3.15066721957556E-5</v>
      </c>
      <c r="E455" s="44">
        <v>0.00160684028198354</v>
      </c>
      <c r="F455" s="44">
        <v>1.92708851630535E-6</v>
      </c>
      <c r="G455" s="44">
        <v>9.82815143315731E-5</v>
      </c>
      <c r="H455" s="45">
        <f t="shared" si="1"/>
        <v>50.99999998</v>
      </c>
      <c r="I455" s="45" t="str">
        <f>IFNA(VLOOKUP(A455,표2[#ALL],2, FALSE), "")</f>
        <v/>
      </c>
      <c r="J455" s="46" t="str">
        <f t="shared" si="2"/>
        <v/>
      </c>
      <c r="K455" s="47" t="str">
        <f t="shared" si="3"/>
        <v/>
      </c>
    </row>
    <row r="456">
      <c r="A456" s="35">
        <v>539.0</v>
      </c>
      <c r="B456" s="36">
        <v>45516.50082175926</v>
      </c>
      <c r="C456" s="36">
        <v>45516.50612268518</v>
      </c>
      <c r="D456" s="37">
        <v>3.63164719196795E-5</v>
      </c>
      <c r="E456" s="38">
        <v>0.0166329441392132</v>
      </c>
      <c r="F456" s="38">
        <v>2.66742176600131E-7</v>
      </c>
      <c r="G456" s="38">
        <v>1.2216791688286E-4</v>
      </c>
      <c r="H456" s="39">
        <f t="shared" si="1"/>
        <v>457.9999996</v>
      </c>
      <c r="I456" s="39" t="str">
        <f>IFNA(VLOOKUP(A456,표2[#ALL],2, FALSE), "")</f>
        <v/>
      </c>
      <c r="J456" s="40" t="str">
        <f t="shared" si="2"/>
        <v/>
      </c>
      <c r="K456" s="41" t="str">
        <f t="shared" si="3"/>
        <v/>
      </c>
    </row>
    <row r="457">
      <c r="A457" s="35">
        <v>540.0</v>
      </c>
      <c r="B457" s="42">
        <v>45516.50787037037</v>
      </c>
      <c r="C457" s="42">
        <v>45516.513194444444</v>
      </c>
      <c r="D457" s="43">
        <v>3.64657762045256E-5</v>
      </c>
      <c r="E457" s="44">
        <v>0.0167742570540818</v>
      </c>
      <c r="F457" s="44">
        <v>2.41139568912392E-7</v>
      </c>
      <c r="G457" s="44">
        <v>1.10924201699701E-4</v>
      </c>
      <c r="H457" s="45">
        <f t="shared" si="1"/>
        <v>460</v>
      </c>
      <c r="I457" s="45" t="str">
        <f>IFNA(VLOOKUP(A457,표2[#ALL],2, FALSE), "")</f>
        <v/>
      </c>
      <c r="J457" s="46" t="str">
        <f t="shared" si="2"/>
        <v/>
      </c>
      <c r="K457" s="47" t="str">
        <f t="shared" si="3"/>
        <v/>
      </c>
    </row>
    <row r="458">
      <c r="A458" s="35">
        <v>542.0</v>
      </c>
      <c r="B458" s="36">
        <v>45516.51511574074</v>
      </c>
      <c r="C458" s="36">
        <v>45516.521631944444</v>
      </c>
      <c r="D458" s="37">
        <v>3.66351688722526E-5</v>
      </c>
      <c r="E458" s="38">
        <v>0.0206256000750782</v>
      </c>
      <c r="F458" s="38">
        <v>1.97767567230609E-7</v>
      </c>
      <c r="G458" s="38">
        <v>1.11343140350833E-4</v>
      </c>
      <c r="H458" s="39">
        <f t="shared" si="1"/>
        <v>563.0000002</v>
      </c>
      <c r="I458" s="39" t="str">
        <f>IFNA(VLOOKUP(A458,표2[#ALL],2, FALSE), "")</f>
        <v/>
      </c>
      <c r="J458" s="40" t="str">
        <f t="shared" si="2"/>
        <v/>
      </c>
      <c r="K458" s="41" t="str">
        <f t="shared" si="3"/>
        <v/>
      </c>
    </row>
    <row r="459">
      <c r="A459" s="35">
        <v>543.0</v>
      </c>
      <c r="B459" s="42">
        <v>45516.529131944444</v>
      </c>
      <c r="C459" s="42">
        <v>45516.530856481484</v>
      </c>
      <c r="D459" s="43">
        <v>2.77155449308427E-5</v>
      </c>
      <c r="E459" s="44">
        <v>0.00412961619469556</v>
      </c>
      <c r="F459" s="44">
        <v>1.34345587384139E-6</v>
      </c>
      <c r="G459" s="44">
        <v>2.00174925202368E-4</v>
      </c>
      <c r="H459" s="45">
        <f t="shared" si="1"/>
        <v>149.0000003</v>
      </c>
      <c r="I459" s="45" t="str">
        <f>IFNA(VLOOKUP(A459,표2[#ALL],2, FALSE), "")</f>
        <v/>
      </c>
      <c r="J459" s="46" t="str">
        <f t="shared" si="2"/>
        <v/>
      </c>
      <c r="K459" s="47" t="str">
        <f t="shared" si="3"/>
        <v/>
      </c>
    </row>
    <row r="460">
      <c r="A460" s="35">
        <v>544.0</v>
      </c>
      <c r="B460" s="36">
        <v>45516.531493055554</v>
      </c>
      <c r="C460" s="36">
        <v>45516.53207175926</v>
      </c>
      <c r="D460" s="37">
        <v>3.70023947154601E-5</v>
      </c>
      <c r="E460" s="38">
        <v>0.00185011973577301</v>
      </c>
      <c r="F460" s="38">
        <v>6.52954307727103E-8</v>
      </c>
      <c r="G460" s="38">
        <v>3.26477153863551E-6</v>
      </c>
      <c r="H460" s="39">
        <f t="shared" si="1"/>
        <v>50.00000037</v>
      </c>
      <c r="I460" s="39" t="str">
        <f>IFNA(VLOOKUP(A460,표2[#ALL],2, FALSE), "")</f>
        <v/>
      </c>
      <c r="J460" s="40" t="str">
        <f t="shared" si="2"/>
        <v/>
      </c>
      <c r="K460" s="41" t="str">
        <f t="shared" si="3"/>
        <v/>
      </c>
    </row>
    <row r="461">
      <c r="A461" s="35">
        <v>545.0</v>
      </c>
      <c r="B461" s="42">
        <v>45516.5321412037</v>
      </c>
      <c r="C461" s="42">
        <v>45516.533541666664</v>
      </c>
      <c r="D461" s="43">
        <v>3.70784902753078E-5</v>
      </c>
      <c r="E461" s="44">
        <v>0.00448649732331225</v>
      </c>
      <c r="F461" s="44">
        <v>4.08485683217106E-8</v>
      </c>
      <c r="G461" s="44">
        <v>4.94267676692699E-6</v>
      </c>
      <c r="H461" s="45">
        <f t="shared" si="1"/>
        <v>121</v>
      </c>
      <c r="I461" s="45" t="str">
        <f>IFNA(VLOOKUP(A461,표2[#ALL],2, FALSE), "")</f>
        <v/>
      </c>
      <c r="J461" s="46" t="str">
        <f t="shared" si="2"/>
        <v/>
      </c>
      <c r="K461" s="47" t="str">
        <f t="shared" si="3"/>
        <v/>
      </c>
    </row>
    <row r="462">
      <c r="A462" s="35">
        <v>546.0</v>
      </c>
      <c r="B462" s="36">
        <v>45516.53364583333</v>
      </c>
      <c r="C462" s="36">
        <v>45516.537465277775</v>
      </c>
      <c r="D462" s="37">
        <v>3.59336244896534E-5</v>
      </c>
      <c r="E462" s="38">
        <v>0.0118580960815856</v>
      </c>
      <c r="F462" s="38">
        <v>3.5278770635936E-7</v>
      </c>
      <c r="G462" s="38">
        <v>1.16419943098589E-4</v>
      </c>
      <c r="H462" s="39">
        <f t="shared" si="1"/>
        <v>329.9999998</v>
      </c>
      <c r="I462" s="39" t="str">
        <f>IFNA(VLOOKUP(A462,표2[#ALL],2, FALSE), "")</f>
        <v/>
      </c>
      <c r="J462" s="40" t="str">
        <f t="shared" si="2"/>
        <v/>
      </c>
      <c r="K462" s="41" t="str">
        <f t="shared" si="3"/>
        <v/>
      </c>
    </row>
    <row r="463">
      <c r="A463" s="35">
        <v>547.0</v>
      </c>
      <c r="B463" s="42">
        <v>45516.539976851855</v>
      </c>
      <c r="C463" s="42">
        <v>45516.54443287037</v>
      </c>
      <c r="D463" s="43">
        <v>3.62683789572367E-5</v>
      </c>
      <c r="E463" s="44">
        <v>0.0139633258985361</v>
      </c>
      <c r="F463" s="44">
        <v>2.8543994490704E-7</v>
      </c>
      <c r="G463" s="44">
        <v>1.0989437878921E-4</v>
      </c>
      <c r="H463" s="45">
        <f t="shared" si="1"/>
        <v>384.9999995</v>
      </c>
      <c r="I463" s="45" t="str">
        <f>IFNA(VLOOKUP(A463,표2[#ALL],2, FALSE), "")</f>
        <v/>
      </c>
      <c r="J463" s="46" t="str">
        <f t="shared" si="2"/>
        <v/>
      </c>
      <c r="K463" s="47" t="str">
        <f t="shared" si="3"/>
        <v/>
      </c>
    </row>
    <row r="464">
      <c r="A464" s="35">
        <v>548.0</v>
      </c>
      <c r="B464" s="36">
        <v>45516.54604166667</v>
      </c>
      <c r="C464" s="36">
        <v>45516.548854166664</v>
      </c>
      <c r="D464" s="37">
        <v>3.58493253879904E-5</v>
      </c>
      <c r="E464" s="38">
        <v>0.00871138606928166</v>
      </c>
      <c r="F464" s="38">
        <v>3.97862173542872E-7</v>
      </c>
      <c r="G464" s="38">
        <v>9.66805081709178E-5</v>
      </c>
      <c r="H464" s="39">
        <f t="shared" si="1"/>
        <v>242.9999996</v>
      </c>
      <c r="I464" s="39" t="str">
        <f>IFNA(VLOOKUP(A464,표2[#ALL],2, FALSE), "")</f>
        <v/>
      </c>
      <c r="J464" s="40" t="str">
        <f t="shared" si="2"/>
        <v/>
      </c>
      <c r="K464" s="41" t="str">
        <f t="shared" si="3"/>
        <v/>
      </c>
    </row>
    <row r="465">
      <c r="A465" s="35">
        <v>549.0</v>
      </c>
      <c r="B465" s="42">
        <v>45516.54966435185</v>
      </c>
      <c r="C465" s="42">
        <v>45516.55111111111</v>
      </c>
      <c r="D465" s="43">
        <v>3.3690295467928E-5</v>
      </c>
      <c r="E465" s="44">
        <v>0.00421128693349101</v>
      </c>
      <c r="F465" s="44">
        <v>9.81455268515506E-7</v>
      </c>
      <c r="G465" s="44">
        <v>1.22681908564438E-4</v>
      </c>
      <c r="H465" s="45">
        <f t="shared" si="1"/>
        <v>125.0000003</v>
      </c>
      <c r="I465" s="45" t="str">
        <f>IFNA(VLOOKUP(A465,표2[#ALL],2, FALSE), "")</f>
        <v/>
      </c>
      <c r="J465" s="46" t="str">
        <f t="shared" si="2"/>
        <v/>
      </c>
      <c r="K465" s="47" t="str">
        <f t="shared" si="3"/>
        <v/>
      </c>
    </row>
    <row r="466">
      <c r="A466" s="35">
        <v>550.0</v>
      </c>
      <c r="B466" s="36">
        <v>45516.553194444445</v>
      </c>
      <c r="C466" s="36">
        <v>45516.557905092595</v>
      </c>
      <c r="D466" s="37">
        <v>3.63245249885274E-5</v>
      </c>
      <c r="E466" s="38">
        <v>0.0147840816703306</v>
      </c>
      <c r="F466" s="38">
        <v>2.87204672321095E-7</v>
      </c>
      <c r="G466" s="38">
        <v>1.16892301634686E-4</v>
      </c>
      <c r="H466" s="39">
        <f t="shared" si="1"/>
        <v>407.0000002</v>
      </c>
      <c r="I466" s="39" t="str">
        <f>IFNA(VLOOKUP(A466,표2[#ALL],2, FALSE), "")</f>
        <v/>
      </c>
      <c r="J466" s="40" t="str">
        <f t="shared" si="2"/>
        <v/>
      </c>
      <c r="K466" s="41" t="str">
        <f t="shared" si="3"/>
        <v/>
      </c>
    </row>
    <row r="467">
      <c r="A467" s="35">
        <v>551.0</v>
      </c>
      <c r="B467" s="42">
        <v>45516.55950231481</v>
      </c>
      <c r="C467" s="42">
        <v>45516.57005787037</v>
      </c>
      <c r="D467" s="43">
        <v>3.73132160917237E-5</v>
      </c>
      <c r="E467" s="44">
        <v>0.034029653075652</v>
      </c>
      <c r="F467" s="44">
        <v>1.32324840182048E-7</v>
      </c>
      <c r="G467" s="44">
        <v>1.20680254246028E-4</v>
      </c>
      <c r="H467" s="45">
        <f t="shared" si="1"/>
        <v>912.0000001</v>
      </c>
      <c r="I467" s="45" t="str">
        <f>IFNA(VLOOKUP(A467,표2[#ALL],2, FALSE), "")</f>
        <v/>
      </c>
      <c r="J467" s="46" t="str">
        <f t="shared" si="2"/>
        <v/>
      </c>
      <c r="K467" s="47" t="str">
        <f t="shared" si="3"/>
        <v/>
      </c>
    </row>
    <row r="468">
      <c r="A468" s="35">
        <v>552.0</v>
      </c>
      <c r="B468" s="36">
        <v>45516.571967592594</v>
      </c>
      <c r="C468" s="36">
        <v>45516.57326388889</v>
      </c>
      <c r="D468" s="37">
        <v>3.78331209639239E-5</v>
      </c>
      <c r="E468" s="38">
        <v>0.00423730954795948</v>
      </c>
      <c r="F468" s="38">
        <v>7.45489398189295E-8</v>
      </c>
      <c r="G468" s="38">
        <v>8.3494812597201E-6</v>
      </c>
      <c r="H468" s="39">
        <f t="shared" si="1"/>
        <v>111.9999998</v>
      </c>
      <c r="I468" s="39" t="str">
        <f>IFNA(VLOOKUP(A468,표2[#ALL],2, FALSE), "")</f>
        <v/>
      </c>
      <c r="J468" s="40" t="str">
        <f t="shared" si="2"/>
        <v/>
      </c>
      <c r="K468" s="41" t="str">
        <f t="shared" si="3"/>
        <v/>
      </c>
    </row>
    <row r="469">
      <c r="A469" s="35">
        <v>553.0</v>
      </c>
      <c r="B469" s="42">
        <v>45516.57335648148</v>
      </c>
      <c r="C469" s="42">
        <v>45516.577835648146</v>
      </c>
      <c r="D469" s="43">
        <v>3.71077948488573E-5</v>
      </c>
      <c r="E469" s="44">
        <v>0.0143607166065078</v>
      </c>
      <c r="F469" s="44">
        <v>3.10545877465768E-7</v>
      </c>
      <c r="G469" s="44">
        <v>1.20181254579252E-4</v>
      </c>
      <c r="H469" s="45">
        <f t="shared" si="1"/>
        <v>386.9999999</v>
      </c>
      <c r="I469" s="45" t="str">
        <f>IFNA(VLOOKUP(A469,표2[#ALL],2, FALSE), "")</f>
        <v/>
      </c>
      <c r="J469" s="46" t="str">
        <f t="shared" si="2"/>
        <v/>
      </c>
      <c r="K469" s="47" t="str">
        <f t="shared" si="3"/>
        <v/>
      </c>
    </row>
    <row r="470">
      <c r="A470" s="35">
        <v>554.0</v>
      </c>
      <c r="B470" s="36">
        <v>45516.57990740741</v>
      </c>
      <c r="C470" s="36">
        <v>45516.58241898148</v>
      </c>
      <c r="D470" s="37">
        <v>3.58787824395403E-5</v>
      </c>
      <c r="E470" s="38">
        <v>0.00778569578938025</v>
      </c>
      <c r="F470" s="38">
        <v>5.88291859597917E-7</v>
      </c>
      <c r="G470" s="38">
        <v>1.27659333532748E-4</v>
      </c>
      <c r="H470" s="39">
        <f t="shared" si="1"/>
        <v>216.9999998</v>
      </c>
      <c r="I470" s="39" t="str">
        <f>IFNA(VLOOKUP(A470,표2[#ALL],2, FALSE), "")</f>
        <v/>
      </c>
      <c r="J470" s="40" t="str">
        <f t="shared" si="2"/>
        <v/>
      </c>
      <c r="K470" s="41" t="str">
        <f t="shared" si="3"/>
        <v/>
      </c>
    </row>
    <row r="471">
      <c r="A471" s="35">
        <v>555.0</v>
      </c>
      <c r="B471" s="42">
        <v>45516.58310185185</v>
      </c>
      <c r="C471" s="42">
        <v>45516.58440972222</v>
      </c>
      <c r="D471" s="43">
        <v>3.51972131919852E-5</v>
      </c>
      <c r="E471" s="44">
        <v>0.00397728509069433</v>
      </c>
      <c r="F471" s="44">
        <v>9.78605702798406E-7</v>
      </c>
      <c r="G471" s="44">
        <v>1.1058244441622E-4</v>
      </c>
      <c r="H471" s="45">
        <f t="shared" si="1"/>
        <v>113</v>
      </c>
      <c r="I471" s="45" t="str">
        <f>IFNA(VLOOKUP(A471,표2[#ALL],2, FALSE), "")</f>
        <v/>
      </c>
      <c r="J471" s="46" t="str">
        <f t="shared" si="2"/>
        <v/>
      </c>
      <c r="K471" s="47" t="str">
        <f t="shared" si="3"/>
        <v/>
      </c>
    </row>
    <row r="472">
      <c r="A472" s="35">
        <v>556.0</v>
      </c>
      <c r="B472" s="36">
        <v>45516.5858912037</v>
      </c>
      <c r="C472" s="36">
        <v>45516.593125</v>
      </c>
      <c r="D472" s="37">
        <v>3.72760720734888E-5</v>
      </c>
      <c r="E472" s="38">
        <v>0.0232975450459305</v>
      </c>
      <c r="F472" s="38">
        <v>1.61337087925949E-7</v>
      </c>
      <c r="G472" s="38">
        <v>1.00835679953718E-4</v>
      </c>
      <c r="H472" s="39">
        <f t="shared" si="1"/>
        <v>625.0000003</v>
      </c>
      <c r="I472" s="39" t="str">
        <f>IFNA(VLOOKUP(A472,표2[#ALL],2, FALSE), "")</f>
        <v/>
      </c>
      <c r="J472" s="40" t="str">
        <f t="shared" si="2"/>
        <v/>
      </c>
      <c r="K472" s="41" t="str">
        <f t="shared" si="3"/>
        <v/>
      </c>
    </row>
    <row r="473">
      <c r="A473" s="35">
        <v>557.0</v>
      </c>
      <c r="B473" s="42">
        <v>45516.60902777778</v>
      </c>
      <c r="C473" s="42">
        <v>45516.62184027778</v>
      </c>
      <c r="D473" s="43">
        <v>1.20908120362371E-5</v>
      </c>
      <c r="E473" s="44">
        <v>0.0133845289241145</v>
      </c>
      <c r="F473" s="44">
        <v>5.67717995534416E-7</v>
      </c>
      <c r="G473" s="44">
        <v>6.28463821056599E-4</v>
      </c>
      <c r="H473" s="45">
        <f t="shared" si="1"/>
        <v>1107</v>
      </c>
      <c r="I473" s="45" t="str">
        <f>IFNA(VLOOKUP(A473,표2[#ALL],2, FALSE), "")</f>
        <v/>
      </c>
      <c r="J473" s="46" t="str">
        <f t="shared" si="2"/>
        <v/>
      </c>
      <c r="K473" s="47" t="str">
        <f t="shared" si="3"/>
        <v/>
      </c>
    </row>
    <row r="474">
      <c r="A474" s="35">
        <v>558.0</v>
      </c>
      <c r="B474" s="36">
        <v>45516.62195601852</v>
      </c>
      <c r="C474" s="36">
        <v>45516.62333333334</v>
      </c>
      <c r="D474" s="37">
        <v>3.90102517469317E-5</v>
      </c>
      <c r="E474" s="38">
        <v>0.00464221995788487</v>
      </c>
      <c r="F474" s="38">
        <v>6.15440454536853E-8</v>
      </c>
      <c r="G474" s="38">
        <v>7.32374140898855E-6</v>
      </c>
      <c r="H474" s="39">
        <f t="shared" si="1"/>
        <v>119.0000002</v>
      </c>
      <c r="I474" s="39" t="str">
        <f>IFNA(VLOOKUP(A474,표2[#ALL],2, FALSE), "")</f>
        <v/>
      </c>
      <c r="J474" s="40" t="str">
        <f t="shared" si="2"/>
        <v/>
      </c>
      <c r="K474" s="41" t="str">
        <f t="shared" si="3"/>
        <v/>
      </c>
    </row>
    <row r="475">
      <c r="A475" s="35">
        <v>559.0</v>
      </c>
      <c r="B475" s="42">
        <v>45516.63321759259</v>
      </c>
      <c r="C475" s="42">
        <v>45516.63415509259</v>
      </c>
      <c r="D475" s="43">
        <v>3.85736439887464E-5</v>
      </c>
      <c r="E475" s="44">
        <v>0.00312446516308846</v>
      </c>
      <c r="F475" s="44">
        <v>8.09874032611174E-8</v>
      </c>
      <c r="G475" s="44">
        <v>6.55997966415051E-6</v>
      </c>
      <c r="H475" s="45">
        <f t="shared" si="1"/>
        <v>81.00000008</v>
      </c>
      <c r="I475" s="45" t="str">
        <f>IFNA(VLOOKUP(A475,표2[#ALL],2, FALSE), "")</f>
        <v/>
      </c>
      <c r="J475" s="46" t="str">
        <f t="shared" si="2"/>
        <v/>
      </c>
      <c r="K475" s="47" t="str">
        <f t="shared" si="3"/>
        <v/>
      </c>
    </row>
    <row r="476">
      <c r="A476" s="35">
        <v>560.0</v>
      </c>
      <c r="B476" s="36">
        <v>45516.63425925926</v>
      </c>
      <c r="C476" s="36">
        <v>45516.636030092595</v>
      </c>
      <c r="D476" s="37">
        <v>3.84888473623547E-5</v>
      </c>
      <c r="E476" s="38">
        <v>0.00588879364644027</v>
      </c>
      <c r="F476" s="38">
        <v>5.59716689362476E-8</v>
      </c>
      <c r="G476" s="38">
        <v>8.56366534724589E-6</v>
      </c>
      <c r="H476" s="39">
        <f t="shared" si="1"/>
        <v>152.9999999</v>
      </c>
      <c r="I476" s="39" t="str">
        <f>IFNA(VLOOKUP(A476,표2[#ALL],2, FALSE), "")</f>
        <v/>
      </c>
      <c r="J476" s="40" t="str">
        <f t="shared" si="2"/>
        <v/>
      </c>
      <c r="K476" s="41" t="str">
        <f t="shared" si="3"/>
        <v/>
      </c>
    </row>
    <row r="477">
      <c r="A477" s="35">
        <v>561.0</v>
      </c>
      <c r="B477" s="42">
        <v>45516.63892361111</v>
      </c>
      <c r="C477" s="42">
        <v>45516.63989583333</v>
      </c>
      <c r="D477" s="43">
        <v>3.84489053718072E-5</v>
      </c>
      <c r="E477" s="44">
        <v>0.0032297080512318</v>
      </c>
      <c r="F477" s="44">
        <v>6.41542417330095E-8</v>
      </c>
      <c r="G477" s="44">
        <v>5.38895630557279E-6</v>
      </c>
      <c r="H477" s="45">
        <f t="shared" si="1"/>
        <v>83.99999952</v>
      </c>
      <c r="I477" s="45" t="str">
        <f>IFNA(VLOOKUP(A477,표2[#ALL],2, FALSE), "")</f>
        <v/>
      </c>
      <c r="J477" s="46" t="str">
        <f t="shared" si="2"/>
        <v/>
      </c>
      <c r="K477" s="47" t="str">
        <f t="shared" si="3"/>
        <v/>
      </c>
    </row>
    <row r="478">
      <c r="A478" s="35">
        <v>562.0</v>
      </c>
      <c r="B478" s="36">
        <v>45516.64357638889</v>
      </c>
      <c r="C478" s="36">
        <v>45516.64460648148</v>
      </c>
      <c r="D478" s="37">
        <v>3.84538344290246E-5</v>
      </c>
      <c r="E478" s="38">
        <v>0.00342239126418319</v>
      </c>
      <c r="F478" s="38">
        <v>6.9909257094455E-8</v>
      </c>
      <c r="G478" s="38">
        <v>6.22192388140649E-6</v>
      </c>
      <c r="H478" s="39">
        <f t="shared" si="1"/>
        <v>89.00000006</v>
      </c>
      <c r="I478" s="39" t="str">
        <f>IFNA(VLOOKUP(A478,표2[#ALL],2, FALSE), "")</f>
        <v/>
      </c>
      <c r="J478" s="40" t="str">
        <f t="shared" si="2"/>
        <v/>
      </c>
      <c r="K478" s="41" t="str">
        <f t="shared" si="3"/>
        <v/>
      </c>
    </row>
    <row r="479">
      <c r="A479" s="35">
        <v>563.0</v>
      </c>
      <c r="B479" s="42">
        <v>45516.647199074076</v>
      </c>
      <c r="C479" s="42">
        <v>45516.64813657408</v>
      </c>
      <c r="D479" s="43">
        <v>3.82546381315492E-5</v>
      </c>
      <c r="E479" s="44">
        <v>0.00309862568865548</v>
      </c>
      <c r="F479" s="44">
        <v>5.6403287255104E-8</v>
      </c>
      <c r="G479" s="44">
        <v>4.56866626766343E-6</v>
      </c>
      <c r="H479" s="45">
        <f t="shared" si="1"/>
        <v>81.00000008</v>
      </c>
      <c r="I479" s="45" t="str">
        <f>IFNA(VLOOKUP(A479,표2[#ALL],2, FALSE), "")</f>
        <v/>
      </c>
      <c r="J479" s="46" t="str">
        <f t="shared" si="2"/>
        <v/>
      </c>
      <c r="K479" s="47" t="str">
        <f t="shared" si="3"/>
        <v/>
      </c>
    </row>
    <row r="480">
      <c r="A480" s="35">
        <v>564.0</v>
      </c>
      <c r="B480" s="36">
        <v>45516.65070601852</v>
      </c>
      <c r="C480" s="36">
        <v>45516.653865740744</v>
      </c>
      <c r="D480" s="37">
        <v>3.8362441661534E-5</v>
      </c>
      <c r="E480" s="38">
        <v>0.0104729465735988</v>
      </c>
      <c r="F480" s="38">
        <v>4.02189377224641E-8</v>
      </c>
      <c r="G480" s="38">
        <v>1.09797699982327E-5</v>
      </c>
      <c r="H480" s="39">
        <f t="shared" si="1"/>
        <v>273.0000003</v>
      </c>
      <c r="I480" s="39" t="str">
        <f>IFNA(VLOOKUP(A480,표2[#ALL],2, FALSE), "")</f>
        <v/>
      </c>
      <c r="J480" s="40" t="str">
        <f t="shared" si="2"/>
        <v/>
      </c>
      <c r="K480" s="41" t="str">
        <f t="shared" si="3"/>
        <v/>
      </c>
    </row>
    <row r="481">
      <c r="A481" s="35">
        <v>565.0</v>
      </c>
      <c r="B481" s="42">
        <v>45516.65393518518</v>
      </c>
      <c r="C481" s="42">
        <v>45516.65409722222</v>
      </c>
      <c r="D481" s="43">
        <v>3.80273152530905E-5</v>
      </c>
      <c r="E481" s="44">
        <v>5.32382413543267E-4</v>
      </c>
      <c r="F481" s="44">
        <v>1.64343020911988E-7</v>
      </c>
      <c r="G481" s="44">
        <v>2.30080229276783E-6</v>
      </c>
      <c r="H481" s="45">
        <f t="shared" si="1"/>
        <v>14.00000013</v>
      </c>
      <c r="I481" s="45" t="str">
        <f>IFNA(VLOOKUP(A481,표2[#ALL],2, FALSE), "")</f>
        <v/>
      </c>
      <c r="J481" s="46" t="str">
        <f t="shared" si="2"/>
        <v/>
      </c>
      <c r="K481" s="47" t="str">
        <f t="shared" si="3"/>
        <v/>
      </c>
    </row>
    <row r="482">
      <c r="A482" s="35">
        <v>566.0</v>
      </c>
      <c r="B482" s="36">
        <v>45516.65420138889</v>
      </c>
      <c r="C482" s="36">
        <v>45516.65452546296</v>
      </c>
      <c r="D482" s="37">
        <v>9.88334653495434E-6</v>
      </c>
      <c r="E482" s="38">
        <v>2.76733702978722E-4</v>
      </c>
      <c r="F482" s="38">
        <v>3.2734825484883E-6</v>
      </c>
      <c r="G482" s="38">
        <v>9.16575113576723E-5</v>
      </c>
      <c r="H482" s="39">
        <f t="shared" si="1"/>
        <v>27.99999963</v>
      </c>
      <c r="I482" s="39" t="str">
        <f>IFNA(VLOOKUP(A482,표2[#ALL],2, FALSE), "")</f>
        <v/>
      </c>
      <c r="J482" s="40" t="str">
        <f t="shared" si="2"/>
        <v/>
      </c>
      <c r="K482" s="41" t="str">
        <f t="shared" si="3"/>
        <v/>
      </c>
    </row>
    <row r="483">
      <c r="A483" s="35">
        <v>567.0</v>
      </c>
      <c r="B483" s="42">
        <v>45516.65524305555</v>
      </c>
      <c r="C483" s="42">
        <v>45516.65628472222</v>
      </c>
      <c r="D483" s="43">
        <v>3.82564707192377E-5</v>
      </c>
      <c r="E483" s="44">
        <v>0.00344308236473139</v>
      </c>
      <c r="F483" s="44">
        <v>7.43695466320645E-8</v>
      </c>
      <c r="G483" s="44">
        <v>6.6932591968858E-6</v>
      </c>
      <c r="H483" s="45">
        <f t="shared" si="1"/>
        <v>90.00000029</v>
      </c>
      <c r="I483" s="45" t="str">
        <f>IFNA(VLOOKUP(A483,표2[#ALL],2, FALSE), "")</f>
        <v/>
      </c>
      <c r="J483" s="46" t="str">
        <f t="shared" si="2"/>
        <v/>
      </c>
      <c r="K483" s="47" t="str">
        <f t="shared" si="3"/>
        <v/>
      </c>
    </row>
    <row r="484">
      <c r="A484" s="35">
        <v>568.0</v>
      </c>
      <c r="B484" s="36">
        <v>45516.67207175926</v>
      </c>
      <c r="C484" s="36">
        <v>45516.67239583333</v>
      </c>
      <c r="D484" s="37">
        <v>1.64432600402097E-5</v>
      </c>
      <c r="E484" s="38">
        <v>4.60411281125873E-4</v>
      </c>
      <c r="F484" s="38">
        <v>3.64343302608826E-6</v>
      </c>
      <c r="G484" s="38">
        <v>1.02016124730471E-4</v>
      </c>
      <c r="H484" s="39">
        <f t="shared" si="1"/>
        <v>27.99999963</v>
      </c>
      <c r="I484" s="39" t="str">
        <f>IFNA(VLOOKUP(A484,표2[#ALL],2, FALSE), "")</f>
        <v/>
      </c>
      <c r="J484" s="40" t="str">
        <f t="shared" si="2"/>
        <v/>
      </c>
      <c r="K484" s="41" t="str">
        <f t="shared" si="3"/>
        <v/>
      </c>
    </row>
    <row r="485">
      <c r="A485" s="35">
        <v>569.0</v>
      </c>
      <c r="B485" s="42">
        <v>45516.67386574074</v>
      </c>
      <c r="C485" s="42">
        <v>45516.676145833335</v>
      </c>
      <c r="D485" s="43">
        <v>3.78750973969315E-5</v>
      </c>
      <c r="E485" s="44">
        <v>0.0074613941871955</v>
      </c>
      <c r="F485" s="44">
        <v>4.57244487337212E-8</v>
      </c>
      <c r="G485" s="44">
        <v>9.00771640054307E-6</v>
      </c>
      <c r="H485" s="45">
        <f t="shared" si="1"/>
        <v>197.0000002</v>
      </c>
      <c r="I485" s="45">
        <f>IFNA(VLOOKUP(A485,표2[#ALL],2, FALSE), "")</f>
        <v>186.846738</v>
      </c>
      <c r="J485" s="48">
        <f t="shared" si="2"/>
        <v>0.0070768384</v>
      </c>
      <c r="K485" s="49">
        <f t="shared" si="3"/>
        <v>0.005832022525</v>
      </c>
    </row>
    <row r="486">
      <c r="A486" s="35">
        <v>570.0</v>
      </c>
      <c r="B486" s="36">
        <v>45516.67634259259</v>
      </c>
      <c r="C486" s="36">
        <v>45516.67831018518</v>
      </c>
      <c r="D486" s="37">
        <v>3.59939595250128E-5</v>
      </c>
      <c r="E486" s="38">
        <v>0.00611897311925217</v>
      </c>
      <c r="F486" s="38">
        <v>6.16924664411736E-7</v>
      </c>
      <c r="G486" s="38">
        <v>1.04877192949995E-4</v>
      </c>
      <c r="H486" s="39">
        <f t="shared" si="1"/>
        <v>170.0000001</v>
      </c>
      <c r="I486" s="39">
        <f>IFNA(VLOOKUP(A486,표2[#ALL],2, FALSE), "")</f>
        <v>160.588784</v>
      </c>
      <c r="J486" s="50">
        <f t="shared" si="2"/>
        <v>0.005780226191</v>
      </c>
      <c r="K486" s="51">
        <f t="shared" si="3"/>
        <v>0.004763484404</v>
      </c>
    </row>
    <row r="487">
      <c r="A487" s="35">
        <v>571.0</v>
      </c>
      <c r="B487" s="42">
        <v>45516.67912037037</v>
      </c>
      <c r="C487" s="42">
        <v>45516.68309027778</v>
      </c>
      <c r="D487" s="43">
        <v>3.66889551240711E-5</v>
      </c>
      <c r="E487" s="44">
        <v>0.0125843116075564</v>
      </c>
      <c r="F487" s="44">
        <v>3.11594578057802E-7</v>
      </c>
      <c r="G487" s="44">
        <v>1.06876940273826E-4</v>
      </c>
      <c r="H487" s="45">
        <f t="shared" si="1"/>
        <v>343.0000003</v>
      </c>
      <c r="I487" s="45">
        <f>IFNA(VLOOKUP(A487,표2[#ALL],2, FALSE), "")</f>
        <v>331.945335</v>
      </c>
      <c r="J487" s="48">
        <f t="shared" si="2"/>
        <v>0.0121787275</v>
      </c>
      <c r="K487" s="49">
        <f t="shared" si="3"/>
        <v>0.01003648933</v>
      </c>
    </row>
    <row r="488">
      <c r="A488" s="35">
        <v>572.0</v>
      </c>
      <c r="B488" s="36">
        <v>45516.68523148148</v>
      </c>
      <c r="C488" s="36">
        <v>45516.68912037037</v>
      </c>
      <c r="D488" s="37">
        <v>3.66821649706926E-5</v>
      </c>
      <c r="E488" s="38">
        <v>0.0123252074301527</v>
      </c>
      <c r="F488" s="38">
        <v>3.17671592359773E-7</v>
      </c>
      <c r="G488" s="38">
        <v>1.06737655032884E-4</v>
      </c>
      <c r="H488" s="39">
        <f t="shared" si="1"/>
        <v>336</v>
      </c>
      <c r="I488" s="39" t="str">
        <f>IFNA(VLOOKUP(A488,표2[#ALL],2, FALSE), "")</f>
        <v/>
      </c>
      <c r="J488" s="40" t="str">
        <f t="shared" si="2"/>
        <v/>
      </c>
      <c r="K488" s="41" t="str">
        <f t="shared" si="3"/>
        <v/>
      </c>
    </row>
    <row r="489">
      <c r="A489" s="35">
        <v>573.0</v>
      </c>
      <c r="B489" s="42">
        <v>45516.689930555556</v>
      </c>
      <c r="C489" s="42">
        <v>45516.695127314815</v>
      </c>
      <c r="D489" s="43">
        <v>3.67758877448081E-5</v>
      </c>
      <c r="E489" s="44">
        <v>0.0165123735974188</v>
      </c>
      <c r="F489" s="44">
        <v>2.65917875007737E-7</v>
      </c>
      <c r="G489" s="44">
        <v>1.19397125878474E-4</v>
      </c>
      <c r="H489" s="45">
        <f t="shared" si="1"/>
        <v>449</v>
      </c>
      <c r="I489" s="45" t="str">
        <f>IFNA(VLOOKUP(A489,표2[#ALL],2, FALSE), "")</f>
        <v/>
      </c>
      <c r="J489" s="46" t="str">
        <f t="shared" si="2"/>
        <v/>
      </c>
      <c r="K489" s="47" t="str">
        <f t="shared" si="3"/>
        <v/>
      </c>
    </row>
    <row r="490">
      <c r="A490" s="35">
        <v>574.0</v>
      </c>
      <c r="B490" s="36">
        <v>45516.696909722225</v>
      </c>
      <c r="C490" s="36">
        <v>45516.70978009259</v>
      </c>
      <c r="D490" s="37">
        <v>3.7156325994568E-5</v>
      </c>
      <c r="E490" s="38">
        <v>0.0413178345059596</v>
      </c>
      <c r="F490" s="38">
        <v>1.0226915999573E-7</v>
      </c>
      <c r="G490" s="38">
        <v>1.13723305915251E-4</v>
      </c>
      <c r="H490" s="39">
        <f t="shared" si="1"/>
        <v>1112</v>
      </c>
      <c r="I490" s="39" t="str">
        <f>IFNA(VLOOKUP(A490,표2[#ALL],2, FALSE), "")</f>
        <v/>
      </c>
      <c r="J490" s="40" t="str">
        <f t="shared" si="2"/>
        <v/>
      </c>
      <c r="K490" s="41" t="str">
        <f t="shared" si="3"/>
        <v/>
      </c>
    </row>
    <row r="491">
      <c r="A491" s="35">
        <v>575.0</v>
      </c>
      <c r="B491" s="42">
        <v>45516.712013888886</v>
      </c>
      <c r="C491" s="42">
        <v>45516.71604166667</v>
      </c>
      <c r="D491" s="43">
        <v>3.74418863888677E-5</v>
      </c>
      <c r="E491" s="44">
        <v>0.0130297764633259</v>
      </c>
      <c r="F491" s="44">
        <v>3.11881254762637E-8</v>
      </c>
      <c r="G491" s="44">
        <v>1.08534676657398E-5</v>
      </c>
      <c r="H491" s="45">
        <f t="shared" si="1"/>
        <v>348.0000003</v>
      </c>
      <c r="I491" s="45" t="str">
        <f>IFNA(VLOOKUP(A491,표2[#ALL],2, FALSE), "")</f>
        <v/>
      </c>
      <c r="J491" s="46" t="str">
        <f t="shared" si="2"/>
        <v/>
      </c>
      <c r="K491" s="47" t="str">
        <f t="shared" si="3"/>
        <v/>
      </c>
    </row>
    <row r="492">
      <c r="A492" s="35">
        <v>576.0</v>
      </c>
      <c r="B492" s="36">
        <v>45516.726631944446</v>
      </c>
      <c r="C492" s="36">
        <v>45516.73241898148</v>
      </c>
      <c r="D492" s="37">
        <v>3.64283412979007E-5</v>
      </c>
      <c r="E492" s="38">
        <v>0.0182141706489504</v>
      </c>
      <c r="F492" s="38">
        <v>2.11969102522469E-7</v>
      </c>
      <c r="G492" s="38">
        <v>1.05984551261235E-4</v>
      </c>
      <c r="H492" s="39">
        <f t="shared" si="1"/>
        <v>500</v>
      </c>
      <c r="I492" s="39" t="str">
        <f>IFNA(VLOOKUP(A492,표2[#ALL],2, FALSE), "")</f>
        <v/>
      </c>
      <c r="J492" s="40" t="str">
        <f t="shared" si="2"/>
        <v/>
      </c>
      <c r="K492" s="41" t="str">
        <f t="shared" si="3"/>
        <v/>
      </c>
    </row>
    <row r="493">
      <c r="A493" s="35">
        <v>577.0</v>
      </c>
      <c r="B493" s="42">
        <v>45516.734293981484</v>
      </c>
      <c r="C493" s="42">
        <v>45516.73863425926</v>
      </c>
      <c r="D493" s="43">
        <v>3.61471587151217E-5</v>
      </c>
      <c r="E493" s="44">
        <v>0.0135551845181706</v>
      </c>
      <c r="F493" s="44">
        <v>2.97018418442934E-7</v>
      </c>
      <c r="G493" s="44">
        <v>1.113819069161E-4</v>
      </c>
      <c r="H493" s="45">
        <f t="shared" si="1"/>
        <v>374.9999997</v>
      </c>
      <c r="I493" s="45" t="str">
        <f>IFNA(VLOOKUP(A493,표2[#ALL],2, FALSE), "")</f>
        <v/>
      </c>
      <c r="J493" s="46" t="str">
        <f t="shared" si="2"/>
        <v/>
      </c>
      <c r="K493" s="47" t="str">
        <f t="shared" si="3"/>
        <v/>
      </c>
    </row>
    <row r="494">
      <c r="A494" s="35">
        <v>578.0</v>
      </c>
      <c r="B494" s="36">
        <v>45516.73982638889</v>
      </c>
      <c r="C494" s="36">
        <v>45516.74783564815</v>
      </c>
      <c r="D494" s="37">
        <v>3.63609623502861E-5</v>
      </c>
      <c r="E494" s="38">
        <v>0.025161785946398</v>
      </c>
      <c r="F494" s="38">
        <v>1.60044027996969E-7</v>
      </c>
      <c r="G494" s="38">
        <v>1.10750467373903E-4</v>
      </c>
      <c r="H494" s="39">
        <f t="shared" si="1"/>
        <v>692.0000002</v>
      </c>
      <c r="I494" s="39" t="str">
        <f>IFNA(VLOOKUP(A494,표2[#ALL],2, FALSE), "")</f>
        <v/>
      </c>
      <c r="J494" s="40" t="str">
        <f t="shared" si="2"/>
        <v/>
      </c>
      <c r="K494" s="41" t="str">
        <f t="shared" si="3"/>
        <v/>
      </c>
    </row>
    <row r="495">
      <c r="A495" s="35">
        <v>579.0</v>
      </c>
      <c r="B495" s="42">
        <v>45516.74851851852</v>
      </c>
      <c r="C495" s="42">
        <v>45516.75533564815</v>
      </c>
      <c r="D495" s="43">
        <v>3.60517201497436E-5</v>
      </c>
      <c r="E495" s="44">
        <v>0.021234463168199</v>
      </c>
      <c r="F495" s="44">
        <v>1.87110517100107E-7</v>
      </c>
      <c r="G495" s="44">
        <v>1.10208094571963E-4</v>
      </c>
      <c r="H495" s="45">
        <f t="shared" si="1"/>
        <v>589</v>
      </c>
      <c r="I495" s="45" t="str">
        <f>IFNA(VLOOKUP(A495,표2[#ALL],2, FALSE), "")</f>
        <v/>
      </c>
      <c r="J495" s="46" t="str">
        <f t="shared" si="2"/>
        <v/>
      </c>
      <c r="K495" s="47" t="str">
        <f t="shared" si="3"/>
        <v/>
      </c>
    </row>
    <row r="496">
      <c r="A496" s="35">
        <v>582.0</v>
      </c>
      <c r="B496" s="36">
        <v>45517.43381944444</v>
      </c>
      <c r="C496" s="36">
        <v>45517.43650462963</v>
      </c>
      <c r="D496" s="37">
        <v>3.60372962816062E-5</v>
      </c>
      <c r="E496" s="38">
        <v>0.00836065273733263</v>
      </c>
      <c r="F496" s="38">
        <v>5.06488912299786E-7</v>
      </c>
      <c r="G496" s="38">
        <v>1.1750542765355E-4</v>
      </c>
      <c r="H496" s="39">
        <f t="shared" si="1"/>
        <v>232.0000002</v>
      </c>
      <c r="I496" s="39" t="str">
        <f>IFNA(VLOOKUP(A496,표2[#ALL],2, FALSE), "")</f>
        <v/>
      </c>
      <c r="J496" s="40" t="str">
        <f t="shared" si="2"/>
        <v/>
      </c>
      <c r="K496" s="41" t="str">
        <f t="shared" si="3"/>
        <v/>
      </c>
    </row>
    <row r="497">
      <c r="A497" s="35">
        <v>583.0</v>
      </c>
      <c r="B497" s="42">
        <v>45517.4396412037</v>
      </c>
      <c r="C497" s="42">
        <v>45517.4447337963</v>
      </c>
      <c r="D497" s="43">
        <v>3.6663504249449E-5</v>
      </c>
      <c r="E497" s="44">
        <v>0.0161319418697576</v>
      </c>
      <c r="F497" s="44">
        <v>2.56636931947305E-7</v>
      </c>
      <c r="G497" s="44">
        <v>1.12920250056814E-4</v>
      </c>
      <c r="H497" s="45">
        <f t="shared" si="1"/>
        <v>440.0000004</v>
      </c>
      <c r="I497" s="45" t="str">
        <f>IFNA(VLOOKUP(A497,표2[#ALL],2, FALSE), "")</f>
        <v/>
      </c>
      <c r="J497" s="46" t="str">
        <f t="shared" si="2"/>
        <v/>
      </c>
      <c r="K497" s="47" t="str">
        <f t="shared" si="3"/>
        <v/>
      </c>
    </row>
    <row r="498">
      <c r="A498" s="35">
        <v>584.0</v>
      </c>
      <c r="B498" s="36">
        <v>45517.44590277778</v>
      </c>
      <c r="C498" s="36">
        <v>45517.44936342593</v>
      </c>
      <c r="D498" s="37">
        <v>3.65176003595701E-5</v>
      </c>
      <c r="E498" s="38">
        <v>0.0109187625075115</v>
      </c>
      <c r="F498" s="38">
        <v>3.77447224946556E-7</v>
      </c>
      <c r="G498" s="38">
        <v>1.1285672025902E-4</v>
      </c>
      <c r="H498" s="39">
        <f t="shared" si="1"/>
        <v>299.0000001</v>
      </c>
      <c r="I498" s="39" t="str">
        <f>IFNA(VLOOKUP(A498,표2[#ALL],2, FALSE), "")</f>
        <v/>
      </c>
      <c r="J498" s="40" t="str">
        <f t="shared" si="2"/>
        <v/>
      </c>
      <c r="K498" s="41" t="str">
        <f t="shared" si="3"/>
        <v/>
      </c>
    </row>
    <row r="499">
      <c r="A499" s="35">
        <v>585.0</v>
      </c>
      <c r="B499" s="42">
        <v>45517.45118055555</v>
      </c>
      <c r="C499" s="42">
        <v>45517.451377314814</v>
      </c>
      <c r="D499" s="43">
        <v>-1.05075761477901E-6</v>
      </c>
      <c r="E499" s="44">
        <v>-1.78628794512432E-5</v>
      </c>
      <c r="F499" s="44">
        <v>1.00755828385104E-7</v>
      </c>
      <c r="G499" s="44">
        <v>1.71284908254677E-6</v>
      </c>
      <c r="H499" s="45">
        <f t="shared" si="1"/>
        <v>17.0000002</v>
      </c>
      <c r="I499" s="45" t="str">
        <f>IFNA(VLOOKUP(A499,표2[#ALL],2, FALSE), "")</f>
        <v/>
      </c>
      <c r="J499" s="46" t="str">
        <f t="shared" si="2"/>
        <v/>
      </c>
      <c r="K499" s="47" t="str">
        <f t="shared" si="3"/>
        <v/>
      </c>
    </row>
    <row r="500">
      <c r="A500" s="35">
        <v>586.0</v>
      </c>
      <c r="B500" s="36">
        <v>45517.454884259256</v>
      </c>
      <c r="C500" s="36">
        <v>45517.45914351852</v>
      </c>
      <c r="D500" s="37">
        <v>3.66037025603447E-5</v>
      </c>
      <c r="E500" s="38">
        <v>0.0134701625422068</v>
      </c>
      <c r="F500" s="38">
        <v>3.21494291331937E-7</v>
      </c>
      <c r="G500" s="38">
        <v>1.18309899210153E-4</v>
      </c>
      <c r="H500" s="39">
        <f t="shared" si="1"/>
        <v>368.0000005</v>
      </c>
      <c r="I500" s="39" t="str">
        <f>IFNA(VLOOKUP(A500,표2[#ALL],2, FALSE), "")</f>
        <v/>
      </c>
      <c r="J500" s="40" t="str">
        <f t="shared" si="2"/>
        <v/>
      </c>
      <c r="K500" s="41" t="str">
        <f t="shared" si="3"/>
        <v/>
      </c>
    </row>
    <row r="501">
      <c r="A501" s="35">
        <v>587.0</v>
      </c>
      <c r="B501" s="42">
        <v>45517.46377314815</v>
      </c>
      <c r="C501" s="42">
        <v>45517.46603009259</v>
      </c>
      <c r="D501" s="43">
        <v>3.7811490131686E-5</v>
      </c>
      <c r="E501" s="44">
        <v>0.00737324057567877</v>
      </c>
      <c r="F501" s="44">
        <v>5.31498497185779E-8</v>
      </c>
      <c r="G501" s="44">
        <v>1.03642206951227E-5</v>
      </c>
      <c r="H501" s="45">
        <f t="shared" si="1"/>
        <v>194.9999997</v>
      </c>
      <c r="I501" s="45" t="str">
        <f>IFNA(VLOOKUP(A501,표2[#ALL],2, FALSE), "")</f>
        <v/>
      </c>
      <c r="J501" s="46" t="str">
        <f t="shared" si="2"/>
        <v/>
      </c>
      <c r="K501" s="47" t="str">
        <f t="shared" si="3"/>
        <v/>
      </c>
    </row>
    <row r="502">
      <c r="A502" s="35">
        <v>588.0</v>
      </c>
      <c r="B502" s="36">
        <v>45517.46833333333</v>
      </c>
      <c r="C502" s="36">
        <v>45517.47474537037</v>
      </c>
      <c r="D502" s="37">
        <v>3.89488888819244E-5</v>
      </c>
      <c r="E502" s="38">
        <v>0.0215776844405861</v>
      </c>
      <c r="F502" s="38">
        <v>2.18019175223168E-8</v>
      </c>
      <c r="G502" s="38">
        <v>1.20782623073635E-5</v>
      </c>
      <c r="H502" s="39">
        <f t="shared" si="1"/>
        <v>554</v>
      </c>
      <c r="I502" s="39" t="str">
        <f>IFNA(VLOOKUP(A502,표2[#ALL],2, FALSE), "")</f>
        <v/>
      </c>
      <c r="J502" s="40" t="str">
        <f t="shared" si="2"/>
        <v/>
      </c>
      <c r="K502" s="41" t="str">
        <f t="shared" si="3"/>
        <v/>
      </c>
    </row>
    <row r="503">
      <c r="A503" s="35">
        <v>589.0</v>
      </c>
      <c r="B503" s="42">
        <v>45517.47636574074</v>
      </c>
      <c r="C503" s="42">
        <v>45517.47730324074</v>
      </c>
      <c r="D503" s="43">
        <v>3.7257216481585E-5</v>
      </c>
      <c r="E503" s="44">
        <v>0.00301783453500839</v>
      </c>
      <c r="F503" s="44">
        <v>4.69783274546961E-7</v>
      </c>
      <c r="G503" s="44">
        <v>3.80524452383038E-5</v>
      </c>
      <c r="H503" s="45">
        <f t="shared" si="1"/>
        <v>81.00000008</v>
      </c>
      <c r="I503" s="45" t="str">
        <f>IFNA(VLOOKUP(A503,표2[#ALL],2, FALSE), "")</f>
        <v/>
      </c>
      <c r="J503" s="46" t="str">
        <f t="shared" si="2"/>
        <v/>
      </c>
      <c r="K503" s="47" t="str">
        <f t="shared" si="3"/>
        <v/>
      </c>
    </row>
    <row r="504">
      <c r="A504" s="35">
        <v>590.0</v>
      </c>
      <c r="B504" s="36">
        <v>45517.479583333334</v>
      </c>
      <c r="C504" s="36">
        <v>45517.48291666667</v>
      </c>
      <c r="D504" s="37">
        <v>3.60072946200342E-5</v>
      </c>
      <c r="E504" s="38">
        <v>0.0103701008505698</v>
      </c>
      <c r="F504" s="38">
        <v>4.26025280016987E-7</v>
      </c>
      <c r="G504" s="38">
        <v>1.22695280644892E-4</v>
      </c>
      <c r="H504" s="39">
        <f t="shared" si="1"/>
        <v>288.0000001</v>
      </c>
      <c r="I504" s="39">
        <f>IFNA(VLOOKUP(A504,표2[#ALL],2, FALSE), "")</f>
        <v>277.890186</v>
      </c>
      <c r="J504" s="50">
        <f t="shared" si="2"/>
        <v>0.0100060738</v>
      </c>
      <c r="K504" s="51">
        <f t="shared" si="3"/>
        <v>0.008246005418</v>
      </c>
    </row>
    <row r="505">
      <c r="A505" s="35">
        <v>591.0</v>
      </c>
      <c r="B505" s="42">
        <v>45517.486342592594</v>
      </c>
      <c r="C505" s="42">
        <v>45517.48650462963</v>
      </c>
      <c r="D505" s="43">
        <v>1.28567501341846E-5</v>
      </c>
      <c r="E505" s="44">
        <v>1.79994501878585E-4</v>
      </c>
      <c r="F505" s="44">
        <v>5.00893783852487E-6</v>
      </c>
      <c r="G505" s="44">
        <v>7.01251297393482E-5</v>
      </c>
      <c r="H505" s="45">
        <f t="shared" si="1"/>
        <v>14.00000013</v>
      </c>
      <c r="I505" s="45" t="str">
        <f>IFNA(VLOOKUP(A505,표2[#ALL],2, FALSE), "")</f>
        <v/>
      </c>
      <c r="J505" s="46" t="str">
        <f t="shared" si="2"/>
        <v/>
      </c>
      <c r="K505" s="47" t="str">
        <f t="shared" si="3"/>
        <v/>
      </c>
    </row>
    <row r="506">
      <c r="A506" s="35">
        <v>592.0</v>
      </c>
      <c r="B506" s="36">
        <v>45517.48773148148</v>
      </c>
      <c r="C506" s="36">
        <v>45517.49162037037</v>
      </c>
      <c r="D506" s="37">
        <v>3.64434189969495E-5</v>
      </c>
      <c r="E506" s="38">
        <v>0.012244988782975</v>
      </c>
      <c r="F506" s="38">
        <v>3.34190488588504E-7</v>
      </c>
      <c r="G506" s="38">
        <v>1.12288004165737E-4</v>
      </c>
      <c r="H506" s="39">
        <f t="shared" si="1"/>
        <v>336</v>
      </c>
      <c r="I506" s="39">
        <f>IFNA(VLOOKUP(A506,표2[#ALL],2, FALSE), "")</f>
        <v>326.108558</v>
      </c>
      <c r="J506" s="50">
        <f t="shared" si="2"/>
        <v>0.01188451082</v>
      </c>
      <c r="K506" s="51">
        <f t="shared" si="3"/>
        <v>0.009794025365</v>
      </c>
    </row>
    <row r="507">
      <c r="A507" s="35">
        <v>593.0</v>
      </c>
      <c r="B507" s="42">
        <v>45517.49266203704</v>
      </c>
      <c r="C507" s="42">
        <v>45517.49486111111</v>
      </c>
      <c r="D507" s="43">
        <v>3.60055110135643E-5</v>
      </c>
      <c r="E507" s="44">
        <v>0.00684104709257722</v>
      </c>
      <c r="F507" s="44">
        <v>5.53719038435558E-7</v>
      </c>
      <c r="G507" s="44">
        <v>1.05206617302756E-4</v>
      </c>
      <c r="H507" s="45">
        <f t="shared" si="1"/>
        <v>189.9999998</v>
      </c>
      <c r="I507" s="45">
        <f>IFNA(VLOOKUP(A507,표2[#ALL],2, FALSE), "")</f>
        <v>179.520625</v>
      </c>
      <c r="J507" s="48">
        <f t="shared" si="2"/>
        <v>0.006463731841</v>
      </c>
      <c r="K507" s="49">
        <f t="shared" si="3"/>
        <v>0.00532676141</v>
      </c>
    </row>
    <row r="508">
      <c r="A508" s="35">
        <v>594.0</v>
      </c>
      <c r="B508" s="36">
        <v>45517.496145833335</v>
      </c>
      <c r="C508" s="36">
        <v>45517.50502314815</v>
      </c>
      <c r="D508" s="37">
        <v>3.76786123804796E-5</v>
      </c>
      <c r="E508" s="38">
        <v>0.0288994956958279</v>
      </c>
      <c r="F508" s="38">
        <v>1.5143246982482E-7</v>
      </c>
      <c r="G508" s="38">
        <v>1.16148704355637E-4</v>
      </c>
      <c r="H508" s="39">
        <f t="shared" si="1"/>
        <v>767.0000001</v>
      </c>
      <c r="I508" s="39">
        <f>IFNA(VLOOKUP(A508,표2[#ALL],2, FALSE), "")</f>
        <v>757</v>
      </c>
      <c r="J508" s="50">
        <f t="shared" si="2"/>
        <v>0.02852270957</v>
      </c>
      <c r="K508" s="51">
        <f t="shared" si="3"/>
        <v>0.02350556496</v>
      </c>
    </row>
    <row r="509">
      <c r="A509" s="35">
        <v>595.0</v>
      </c>
      <c r="B509" s="42">
        <v>45517.506423611114</v>
      </c>
      <c r="C509" s="42">
        <v>45517.51259259259</v>
      </c>
      <c r="D509" s="43">
        <v>3.80483263016004E-5</v>
      </c>
      <c r="E509" s="44">
        <v>0.020279757918753</v>
      </c>
      <c r="F509" s="44">
        <v>2.18204713971725E-7</v>
      </c>
      <c r="G509" s="44">
        <v>1.1630311254693E-4</v>
      </c>
      <c r="H509" s="45">
        <f t="shared" si="1"/>
        <v>532.9999995</v>
      </c>
      <c r="I509" s="45">
        <f>IFNA(VLOOKUP(A509,표2[#ALL],2, FALSE), "")</f>
        <v>522.851034</v>
      </c>
      <c r="J509" s="48">
        <f t="shared" si="2"/>
        <v>0.01989360675</v>
      </c>
      <c r="K509" s="49">
        <f t="shared" si="3"/>
        <v>0.01639432132</v>
      </c>
    </row>
    <row r="510">
      <c r="A510" s="35">
        <v>596.0</v>
      </c>
      <c r="B510" s="36">
        <v>45517.5141087963</v>
      </c>
      <c r="C510" s="36">
        <v>45517.51865740741</v>
      </c>
      <c r="D510" s="37">
        <v>3.7806625915958E-5</v>
      </c>
      <c r="E510" s="38">
        <v>0.0148580039849715</v>
      </c>
      <c r="F510" s="38">
        <v>2.93997473800727E-7</v>
      </c>
      <c r="G510" s="38">
        <v>1.15541007203686E-4</v>
      </c>
      <c r="H510" s="39">
        <f t="shared" si="1"/>
        <v>393.0000001</v>
      </c>
      <c r="I510" s="39">
        <f>IFNA(VLOOKUP(A510,표2[#ALL],2, FALSE), "")</f>
        <v>382.668123</v>
      </c>
      <c r="J510" s="50">
        <f t="shared" si="2"/>
        <v>0.01446739058</v>
      </c>
      <c r="K510" s="51">
        <f t="shared" si="3"/>
        <v>0.01192257657</v>
      </c>
    </row>
    <row r="511">
      <c r="A511" s="35">
        <v>597.0</v>
      </c>
      <c r="B511" s="42">
        <v>45517.519537037035</v>
      </c>
      <c r="C511" s="42">
        <v>45517.5196875</v>
      </c>
      <c r="D511" s="43">
        <v>-9.55110211771362E-7</v>
      </c>
      <c r="E511" s="44">
        <v>-1.24164327530277E-5</v>
      </c>
      <c r="F511" s="44">
        <v>8.2989899513991E-8</v>
      </c>
      <c r="G511" s="44">
        <v>1.07886869368188E-6</v>
      </c>
      <c r="H511" s="45">
        <f t="shared" si="1"/>
        <v>12.9999999</v>
      </c>
      <c r="I511" s="45" t="str">
        <f>IFNA(VLOOKUP(A511,표2[#ALL],2, FALSE), "")</f>
        <v/>
      </c>
      <c r="J511" s="46" t="str">
        <f t="shared" si="2"/>
        <v/>
      </c>
      <c r="K511" s="47" t="str">
        <f t="shared" si="3"/>
        <v/>
      </c>
    </row>
    <row r="512">
      <c r="A512" s="35">
        <v>598.0</v>
      </c>
      <c r="B512" s="36">
        <v>45517.520833333336</v>
      </c>
      <c r="C512" s="36">
        <v>45517.53313657407</v>
      </c>
      <c r="D512" s="37">
        <v>3.79095415793542E-5</v>
      </c>
      <c r="E512" s="38">
        <v>0.0402978426988535</v>
      </c>
      <c r="F512" s="38">
        <v>1.0567893697726E-7</v>
      </c>
      <c r="G512" s="38">
        <v>1.12336710006827E-4</v>
      </c>
      <c r="H512" s="39">
        <f t="shared" si="1"/>
        <v>1063</v>
      </c>
      <c r="I512" s="39">
        <f>IFNA(VLOOKUP(A512,표2[#ALL],2, FALSE), "")</f>
        <v>1051.6827</v>
      </c>
      <c r="J512" s="50">
        <f t="shared" si="2"/>
        <v>0.03986880904</v>
      </c>
      <c r="K512" s="51">
        <f t="shared" si="3"/>
        <v>0.03285588553</v>
      </c>
    </row>
    <row r="513">
      <c r="A513" s="35">
        <v>599.0</v>
      </c>
      <c r="B513" s="42">
        <v>45517.537986111114</v>
      </c>
      <c r="C513" s="42">
        <v>45517.54180555556</v>
      </c>
      <c r="D513" s="43">
        <v>3.69313791922637E-5</v>
      </c>
      <c r="E513" s="44">
        <v>0.012187355133447</v>
      </c>
      <c r="F513" s="44">
        <v>3.42111176920337E-7</v>
      </c>
      <c r="G513" s="44">
        <v>1.12896688383711E-4</v>
      </c>
      <c r="H513" s="45">
        <f t="shared" si="1"/>
        <v>329.9999998</v>
      </c>
      <c r="I513" s="45" t="str">
        <f>IFNA(VLOOKUP(A513,표2[#ALL],2, FALSE), "")</f>
        <v/>
      </c>
      <c r="J513" s="46" t="str">
        <f t="shared" si="2"/>
        <v/>
      </c>
      <c r="K513" s="47" t="str">
        <f t="shared" si="3"/>
        <v/>
      </c>
    </row>
    <row r="514">
      <c r="A514" s="35">
        <v>600.0</v>
      </c>
      <c r="B514" s="36">
        <v>45517.54347222222</v>
      </c>
      <c r="C514" s="36">
        <v>45517.54537037037</v>
      </c>
      <c r="D514" s="37">
        <v>3.79397396972846E-5</v>
      </c>
      <c r="E514" s="38">
        <v>0.00622211731035467</v>
      </c>
      <c r="F514" s="38">
        <v>5.24085077610407E-8</v>
      </c>
      <c r="G514" s="38">
        <v>8.59499527281068E-6</v>
      </c>
      <c r="H514" s="39">
        <f t="shared" si="1"/>
        <v>164</v>
      </c>
      <c r="I514" s="39" t="str">
        <f>IFNA(VLOOKUP(A514,표2[#ALL],2, FALSE), "")</f>
        <v/>
      </c>
      <c r="J514" s="40" t="str">
        <f t="shared" si="2"/>
        <v/>
      </c>
      <c r="K514" s="41" t="str">
        <f t="shared" si="3"/>
        <v/>
      </c>
    </row>
    <row r="515">
      <c r="A515" s="35">
        <v>601.0</v>
      </c>
      <c r="B515" s="42">
        <v>45517.54545138889</v>
      </c>
      <c r="C515" s="42">
        <v>45517.547418981485</v>
      </c>
      <c r="D515" s="43">
        <v>3.61126273479922E-5</v>
      </c>
      <c r="E515" s="44">
        <v>0.00613914664915867</v>
      </c>
      <c r="F515" s="44">
        <v>6.58002575241033E-7</v>
      </c>
      <c r="G515" s="44">
        <v>1.11860437790976E-4</v>
      </c>
      <c r="H515" s="45">
        <f t="shared" si="1"/>
        <v>170.0000001</v>
      </c>
      <c r="I515" s="45">
        <f>IFNA(VLOOKUP(A515,표2[#ALL],2, FALSE), "")</f>
        <v>159.784499</v>
      </c>
      <c r="J515" s="48">
        <f t="shared" si="2"/>
        <v>0.005770238068</v>
      </c>
      <c r="K515" s="49">
        <f t="shared" si="3"/>
        <v>0.004755253192</v>
      </c>
    </row>
    <row r="516">
      <c r="A516" s="35">
        <v>602.0</v>
      </c>
      <c r="B516" s="36">
        <v>45517.54886574074</v>
      </c>
      <c r="C516" s="36">
        <v>45517.551145833335</v>
      </c>
      <c r="D516" s="37">
        <v>3.44431550020723E-5</v>
      </c>
      <c r="E516" s="38">
        <v>0.00678530153540825</v>
      </c>
      <c r="F516" s="38">
        <v>7.55371089025656E-7</v>
      </c>
      <c r="G516" s="38">
        <v>1.48808104538054E-4</v>
      </c>
      <c r="H516" s="39">
        <f t="shared" si="1"/>
        <v>197.0000002</v>
      </c>
      <c r="I516" s="39">
        <f>IFNA(VLOOKUP(A516,표2[#ALL],2, FALSE), "")</f>
        <v>187.191283</v>
      </c>
      <c r="J516" s="50">
        <f t="shared" si="2"/>
        <v>0.006447458375</v>
      </c>
      <c r="K516" s="51">
        <f t="shared" si="3"/>
        <v>0.005313350447</v>
      </c>
    </row>
    <row r="517">
      <c r="A517" s="35">
        <v>603.0</v>
      </c>
      <c r="B517" s="42">
        <v>45517.55263888889</v>
      </c>
      <c r="C517" s="42">
        <v>45517.56246527778</v>
      </c>
      <c r="D517" s="43">
        <v>3.76475901961185E-5</v>
      </c>
      <c r="E517" s="44">
        <v>0.0319628040765046</v>
      </c>
      <c r="F517" s="44">
        <v>1.20999214637281E-7</v>
      </c>
      <c r="G517" s="44">
        <v>1.02728333227051E-4</v>
      </c>
      <c r="H517" s="45">
        <f t="shared" si="1"/>
        <v>848.9999998</v>
      </c>
      <c r="I517" s="45">
        <f>IFNA(VLOOKUP(A517,표2[#ALL],2, FALSE), "")</f>
        <v>848.348544</v>
      </c>
      <c r="J517" s="48">
        <f t="shared" si="2"/>
        <v>0.03193827833</v>
      </c>
      <c r="K517" s="49">
        <f t="shared" si="3"/>
        <v>0.02632033517</v>
      </c>
    </row>
    <row r="518">
      <c r="A518" s="35">
        <v>604.0</v>
      </c>
      <c r="B518" s="36">
        <v>45517.5637037037</v>
      </c>
      <c r="C518" s="36">
        <v>45517.575277777774</v>
      </c>
      <c r="D518" s="37">
        <v>3.72686773884762E-5</v>
      </c>
      <c r="E518" s="38">
        <v>0.0372686773884762</v>
      </c>
      <c r="F518" s="38">
        <v>1.14584667584499E-7</v>
      </c>
      <c r="G518" s="38">
        <v>1.14584667584499E-4</v>
      </c>
      <c r="H518" s="39">
        <f t="shared" si="1"/>
        <v>999.9999999</v>
      </c>
      <c r="I518" s="39">
        <f>IFNA(VLOOKUP(A518,표2[#ALL],2, FALSE), "")</f>
        <v>989.623971</v>
      </c>
      <c r="J518" s="50">
        <f t="shared" si="2"/>
        <v>0.03688197651</v>
      </c>
      <c r="K518" s="51">
        <f t="shared" si="3"/>
        <v>0.03039443684</v>
      </c>
    </row>
    <row r="519">
      <c r="A519" s="35">
        <v>605.0</v>
      </c>
      <c r="B519" s="42">
        <v>45517.58099537037</v>
      </c>
      <c r="C519" s="42">
        <v>45517.58503472222</v>
      </c>
      <c r="D519" s="43">
        <v>3.65226233221249E-5</v>
      </c>
      <c r="E519" s="44">
        <v>0.0127463955394216</v>
      </c>
      <c r="F519" s="44">
        <v>3.38887391249547E-7</v>
      </c>
      <c r="G519" s="44">
        <v>1.18271699546092E-4</v>
      </c>
      <c r="H519" s="45">
        <f t="shared" si="1"/>
        <v>348.9999999</v>
      </c>
      <c r="I519" s="45">
        <f>IFNA(VLOOKUP(A519,표2[#ALL],2, FALSE), "")</f>
        <v>338.264377</v>
      </c>
      <c r="J519" s="48">
        <f t="shared" si="2"/>
        <v>0.01235430242</v>
      </c>
      <c r="K519" s="49">
        <f t="shared" si="3"/>
        <v>0.01018118063</v>
      </c>
    </row>
    <row r="520">
      <c r="A520" s="35">
        <v>606.0</v>
      </c>
      <c r="B520" s="36">
        <v>45517.58605324074</v>
      </c>
      <c r="C520" s="36">
        <v>45517.5921875</v>
      </c>
      <c r="D520" s="37">
        <v>3.69774351612772E-5</v>
      </c>
      <c r="E520" s="38">
        <v>0.0195980406354769</v>
      </c>
      <c r="F520" s="38">
        <v>1.75706753041221E-7</v>
      </c>
      <c r="G520" s="38">
        <v>9.31245791118473E-5</v>
      </c>
      <c r="H520" s="39">
        <f t="shared" si="1"/>
        <v>530.0000001</v>
      </c>
      <c r="I520" s="39">
        <f>IFNA(VLOOKUP(A520,표2[#ALL],2, FALSE), "")</f>
        <v>519.625635</v>
      </c>
      <c r="J520" s="50">
        <f t="shared" si="2"/>
        <v>0.01921442323</v>
      </c>
      <c r="K520" s="51">
        <f t="shared" si="3"/>
        <v>0.01583460618</v>
      </c>
    </row>
    <row r="521">
      <c r="A521" s="35">
        <v>607.0</v>
      </c>
      <c r="B521" s="42">
        <v>45517.593148148146</v>
      </c>
      <c r="C521" s="42">
        <v>45517.60664351852</v>
      </c>
      <c r="D521" s="43">
        <v>3.67724260015768E-5</v>
      </c>
      <c r="E521" s="44">
        <v>0.0428766487178385</v>
      </c>
      <c r="F521" s="44">
        <v>1.07117542251777E-7</v>
      </c>
      <c r="G521" s="44">
        <v>1.24899054265572E-4</v>
      </c>
      <c r="H521" s="45">
        <f t="shared" si="1"/>
        <v>1166</v>
      </c>
      <c r="I521" s="45">
        <f>IFNA(VLOOKUP(A521,표2[#ALL],2, FALSE), "")</f>
        <v>1156.2907</v>
      </c>
      <c r="J521" s="48">
        <f t="shared" si="2"/>
        <v>0.0425196142</v>
      </c>
      <c r="K521" s="49">
        <f t="shared" si="3"/>
        <v>0.03504041406</v>
      </c>
    </row>
    <row r="522">
      <c r="A522" s="35">
        <v>608.0</v>
      </c>
      <c r="B522" s="36">
        <v>45517.61219907407</v>
      </c>
      <c r="C522" s="36">
        <v>45517.61622685185</v>
      </c>
      <c r="D522" s="37">
        <v>3.71342621087425E-5</v>
      </c>
      <c r="E522" s="38">
        <v>0.0129227232138424</v>
      </c>
      <c r="F522" s="38">
        <v>3.82534724025806E-8</v>
      </c>
      <c r="G522" s="38">
        <v>1.33122083960981E-5</v>
      </c>
      <c r="H522" s="39">
        <f t="shared" si="1"/>
        <v>348.0000003</v>
      </c>
      <c r="I522" s="39" t="str">
        <f>IFNA(VLOOKUP(A522,표2[#ALL],2, FALSE), "")</f>
        <v/>
      </c>
      <c r="J522" s="40" t="str">
        <f t="shared" si="2"/>
        <v/>
      </c>
      <c r="K522" s="41" t="str">
        <f t="shared" si="3"/>
        <v/>
      </c>
    </row>
    <row r="523">
      <c r="A523" s="35">
        <v>609.0</v>
      </c>
      <c r="B523" s="42">
        <v>45517.61965277778</v>
      </c>
      <c r="C523" s="42">
        <v>45517.62328703704</v>
      </c>
      <c r="D523" s="43">
        <v>1.69959641811654E-5</v>
      </c>
      <c r="E523" s="44">
        <v>0.00533673275288593</v>
      </c>
      <c r="F523" s="44">
        <v>1.06365042756823E-6</v>
      </c>
      <c r="G523" s="44">
        <v>3.33986234256423E-4</v>
      </c>
      <c r="H523" s="45">
        <f t="shared" si="1"/>
        <v>313.9999999</v>
      </c>
      <c r="I523" s="45" t="str">
        <f>IFNA(VLOOKUP(A523,표2[#ALL],2, FALSE), "")</f>
        <v/>
      </c>
      <c r="J523" s="46" t="str">
        <f t="shared" si="2"/>
        <v/>
      </c>
      <c r="K523" s="47" t="str">
        <f t="shared" si="3"/>
        <v/>
      </c>
    </row>
    <row r="524">
      <c r="A524" s="35">
        <v>610.0</v>
      </c>
      <c r="B524" s="36">
        <v>45517.62337962963</v>
      </c>
      <c r="C524" s="36">
        <v>45517.6283912037</v>
      </c>
      <c r="D524" s="37">
        <v>3.63753503666615E-5</v>
      </c>
      <c r="E524" s="38">
        <v>0.0157505267087644</v>
      </c>
      <c r="F524" s="38">
        <v>2.42671223097684E-7</v>
      </c>
      <c r="G524" s="38">
        <v>1.05076639601297E-4</v>
      </c>
      <c r="H524" s="39">
        <f t="shared" si="1"/>
        <v>433</v>
      </c>
      <c r="I524" s="39">
        <f>IFNA(VLOOKUP(A524,표2[#ALL],2, FALSE), "")</f>
        <v>423.003741</v>
      </c>
      <c r="J524" s="50">
        <f t="shared" si="2"/>
        <v>0.01538690929</v>
      </c>
      <c r="K524" s="51">
        <f t="shared" si="3"/>
        <v>0.01268035194</v>
      </c>
    </row>
    <row r="525">
      <c r="A525" s="35">
        <v>611.0</v>
      </c>
      <c r="B525" s="42">
        <v>45517.62998842593</v>
      </c>
      <c r="C525" s="42">
        <v>45517.63868055555</v>
      </c>
      <c r="D525" s="43">
        <v>3.60736077499388E-5</v>
      </c>
      <c r="E525" s="44">
        <v>0.027091279420204</v>
      </c>
      <c r="F525" s="44">
        <v>1.37942815118597E-7</v>
      </c>
      <c r="G525" s="44">
        <v>1.03595054154067E-4</v>
      </c>
      <c r="H525" s="45">
        <f t="shared" si="1"/>
        <v>750.9999995</v>
      </c>
      <c r="I525" s="45">
        <f>IFNA(VLOOKUP(A525,표2[#ALL],2, FALSE), "")</f>
        <v>739.769442</v>
      </c>
      <c r="J525" s="48">
        <f t="shared" si="2"/>
        <v>0.02668615268</v>
      </c>
      <c r="K525" s="49">
        <f t="shared" si="3"/>
        <v>0.02199205842</v>
      </c>
    </row>
    <row r="526">
      <c r="A526" s="35">
        <v>612.0</v>
      </c>
      <c r="B526" s="36">
        <v>45517.63967592592</v>
      </c>
      <c r="C526" s="36">
        <v>45517.64861111111</v>
      </c>
      <c r="D526" s="37">
        <v>3.61616573984427E-5</v>
      </c>
      <c r="E526" s="38">
        <v>0.0279167995115977</v>
      </c>
      <c r="F526" s="38">
        <v>1.36491138209245E-7</v>
      </c>
      <c r="G526" s="38">
        <v>1.05371158697537E-4</v>
      </c>
      <c r="H526" s="39">
        <f t="shared" si="1"/>
        <v>772</v>
      </c>
      <c r="I526" s="39">
        <f>IFNA(VLOOKUP(A526,표2[#ALL],2, FALSE), "")</f>
        <v>760.539033</v>
      </c>
      <c r="J526" s="50">
        <f t="shared" si="2"/>
        <v>0.02750235195</v>
      </c>
      <c r="K526" s="51">
        <f t="shared" si="3"/>
        <v>0.02266468824</v>
      </c>
    </row>
    <row r="527">
      <c r="A527" s="35">
        <v>613.0</v>
      </c>
      <c r="B527" s="42">
        <v>45517.65621527778</v>
      </c>
      <c r="C527" s="42">
        <v>45517.65895833333</v>
      </c>
      <c r="D527" s="43">
        <v>3.10081858332872E-5</v>
      </c>
      <c r="E527" s="44">
        <v>0.00734894004248906</v>
      </c>
      <c r="F527" s="44">
        <v>8.57203302370924E-7</v>
      </c>
      <c r="G527" s="44">
        <v>2.03157182661909E-4</v>
      </c>
      <c r="H527" s="45">
        <f t="shared" si="1"/>
        <v>237.0000001</v>
      </c>
      <c r="I527" s="45" t="str">
        <f>IFNA(VLOOKUP(A527,표2[#ALL],2, FALSE), "")</f>
        <v/>
      </c>
      <c r="J527" s="46" t="str">
        <f t="shared" si="2"/>
        <v/>
      </c>
      <c r="K527" s="47" t="str">
        <f t="shared" si="3"/>
        <v/>
      </c>
    </row>
    <row r="528">
      <c r="A528" s="35">
        <v>614.0</v>
      </c>
      <c r="B528" s="36">
        <v>45517.65997685185</v>
      </c>
      <c r="C528" s="36">
        <v>45517.66510416667</v>
      </c>
      <c r="D528" s="37">
        <v>3.63532170565053E-5</v>
      </c>
      <c r="E528" s="38">
        <v>0.0161044751560318</v>
      </c>
      <c r="F528" s="38">
        <v>3.11162759669655E-8</v>
      </c>
      <c r="G528" s="38">
        <v>1.37845102533657E-5</v>
      </c>
      <c r="H528" s="39">
        <f t="shared" si="1"/>
        <v>443.0000005</v>
      </c>
      <c r="I528" s="39" t="str">
        <f>IFNA(VLOOKUP(A528,표2[#ALL],2, FALSE), "")</f>
        <v/>
      </c>
      <c r="J528" s="40" t="str">
        <f t="shared" si="2"/>
        <v/>
      </c>
      <c r="K528" s="41" t="str">
        <f t="shared" si="3"/>
        <v/>
      </c>
    </row>
    <row r="529">
      <c r="A529" s="35">
        <v>615.0</v>
      </c>
      <c r="B529" s="42">
        <v>45517.66523148148</v>
      </c>
      <c r="C529" s="42">
        <v>45517.66861111111</v>
      </c>
      <c r="D529" s="43">
        <v>3.55174629805119E-5</v>
      </c>
      <c r="E529" s="44">
        <v>0.0103710991903095</v>
      </c>
      <c r="F529" s="44">
        <v>3.48927893645502E-7</v>
      </c>
      <c r="G529" s="44">
        <v>1.01886944944487E-4</v>
      </c>
      <c r="H529" s="45">
        <f t="shared" si="1"/>
        <v>292.0000004</v>
      </c>
      <c r="I529" s="45">
        <f>IFNA(VLOOKUP(A529,표2[#ALL],2, FALSE), "")</f>
        <v>281.597886</v>
      </c>
      <c r="J529" s="48">
        <f t="shared" si="2"/>
        <v>0.01000164249</v>
      </c>
      <c r="K529" s="49">
        <f t="shared" si="3"/>
        <v>0.008242353577</v>
      </c>
    </row>
    <row r="530">
      <c r="A530" s="35">
        <v>616.0</v>
      </c>
      <c r="B530" s="36">
        <v>45517.66981481481</v>
      </c>
      <c r="C530" s="36">
        <v>45517.677256944444</v>
      </c>
      <c r="D530" s="37">
        <v>3.571658719875E-5</v>
      </c>
      <c r="E530" s="38">
        <v>0.0229657655687963</v>
      </c>
      <c r="F530" s="38">
        <v>1.59895962245148E-7</v>
      </c>
      <c r="G530" s="38">
        <v>1.0281310372363E-4</v>
      </c>
      <c r="H530" s="39">
        <f t="shared" si="1"/>
        <v>643.0000001</v>
      </c>
      <c r="I530" s="39">
        <f>IFNA(VLOOKUP(A530,표2[#ALL],2, FALSE), "")</f>
        <v>632.208615</v>
      </c>
      <c r="J530" s="50">
        <f t="shared" si="2"/>
        <v>0.02258033413</v>
      </c>
      <c r="K530" s="51">
        <f t="shared" si="3"/>
        <v>0.01860845335</v>
      </c>
    </row>
    <row r="531">
      <c r="A531" s="35">
        <v>617.0</v>
      </c>
      <c r="B531" s="42">
        <v>45517.67820601852</v>
      </c>
      <c r="C531" s="42">
        <v>45517.69081018519</v>
      </c>
      <c r="D531" s="43">
        <v>3.59650073388506E-5</v>
      </c>
      <c r="E531" s="44">
        <v>0.0391658929920083</v>
      </c>
      <c r="F531" s="44">
        <v>1.01812015459913E-7</v>
      </c>
      <c r="G531" s="44">
        <v>1.10873284835846E-4</v>
      </c>
      <c r="H531" s="45">
        <f t="shared" si="1"/>
        <v>1089</v>
      </c>
      <c r="I531" s="45">
        <f>IFNA(VLOOKUP(A531,표2[#ALL],2, FALSE), "")</f>
        <v>1078.12571</v>
      </c>
      <c r="J531" s="48">
        <f t="shared" si="2"/>
        <v>0.03877479907</v>
      </c>
      <c r="K531" s="49">
        <f t="shared" si="3"/>
        <v>0.03195431192</v>
      </c>
    </row>
    <row r="532">
      <c r="A532" s="35">
        <v>618.0</v>
      </c>
      <c r="B532" s="36">
        <v>45517.69869212963</v>
      </c>
      <c r="C532" s="36">
        <v>45517.69966435185</v>
      </c>
      <c r="D532" s="37">
        <v>3.16665349841729E-5</v>
      </c>
      <c r="E532" s="38">
        <v>0.00265998893867052</v>
      </c>
      <c r="F532" s="38">
        <v>1.27820056603771E-6</v>
      </c>
      <c r="G532" s="38">
        <v>1.07368847547168E-4</v>
      </c>
      <c r="H532" s="39">
        <f t="shared" si="1"/>
        <v>84.00000015</v>
      </c>
      <c r="I532" s="39" t="str">
        <f>IFNA(VLOOKUP(A532,표2[#ALL],2, FALSE), "")</f>
        <v/>
      </c>
      <c r="J532" s="40" t="str">
        <f t="shared" si="2"/>
        <v/>
      </c>
      <c r="K532" s="41" t="str">
        <f t="shared" si="3"/>
        <v/>
      </c>
    </row>
    <row r="533">
      <c r="A533" s="35">
        <v>619.0</v>
      </c>
      <c r="B533" s="42">
        <v>45517.70768518518</v>
      </c>
      <c r="C533" s="42">
        <v>45517.711747685185</v>
      </c>
      <c r="D533" s="43">
        <v>3.5862092469881E-5</v>
      </c>
      <c r="E533" s="44">
        <v>0.0125875944569282</v>
      </c>
      <c r="F533" s="44">
        <v>2.8880854108219E-8</v>
      </c>
      <c r="G533" s="44">
        <v>1.01371797919849E-5</v>
      </c>
      <c r="H533" s="45">
        <f t="shared" si="1"/>
        <v>351.0000003</v>
      </c>
      <c r="I533" s="45" t="str">
        <f>IFNA(VLOOKUP(A533,표2[#ALL],2, FALSE), "")</f>
        <v/>
      </c>
      <c r="J533" s="46" t="str">
        <f t="shared" si="2"/>
        <v/>
      </c>
      <c r="K533" s="47" t="str">
        <f t="shared" si="3"/>
        <v/>
      </c>
    </row>
    <row r="534">
      <c r="A534" s="35">
        <v>620.0</v>
      </c>
      <c r="B534" s="36">
        <v>45517.711863425924</v>
      </c>
      <c r="C534" s="36">
        <v>45517.72295138889</v>
      </c>
      <c r="D534" s="37">
        <v>3.56919914738757E-5</v>
      </c>
      <c r="E534" s="38">
        <v>0.034192927831973</v>
      </c>
      <c r="F534" s="38">
        <v>1.20492171899018E-7</v>
      </c>
      <c r="G534" s="38">
        <v>1.15431500679259E-4</v>
      </c>
      <c r="H534" s="39">
        <f t="shared" si="1"/>
        <v>958.0000001</v>
      </c>
      <c r="I534" s="39">
        <f>IFNA(VLOOKUP(A534,표2[#ALL],2, FALSE), "")</f>
        <v>948.000453</v>
      </c>
      <c r="J534" s="50">
        <f t="shared" si="2"/>
        <v>0.03383602409</v>
      </c>
      <c r="K534" s="51">
        <f t="shared" si="3"/>
        <v>0.02788426745</v>
      </c>
    </row>
    <row r="535">
      <c r="A535" s="35">
        <v>621.0</v>
      </c>
      <c r="B535" s="42">
        <v>45517.72505787037</v>
      </c>
      <c r="C535" s="42">
        <v>45517.732766203706</v>
      </c>
      <c r="D535" s="43">
        <v>3.55265432707293E-5</v>
      </c>
      <c r="E535" s="44">
        <v>0.0236606778183057</v>
      </c>
      <c r="F535" s="44">
        <v>1.72306812002929E-7</v>
      </c>
      <c r="G535" s="44">
        <v>1.1475633679395E-4</v>
      </c>
      <c r="H535" s="45">
        <f t="shared" si="1"/>
        <v>666.0000004</v>
      </c>
      <c r="I535" s="45">
        <f>IFNA(VLOOKUP(A535,표2[#ALL],2, FALSE), "")</f>
        <v>655.278519</v>
      </c>
      <c r="J535" s="48">
        <f t="shared" si="2"/>
        <v>0.02327978066</v>
      </c>
      <c r="K535" s="49">
        <f t="shared" si="3"/>
        <v>0.01918486724</v>
      </c>
    </row>
    <row r="536">
      <c r="A536" s="35">
        <v>622.0</v>
      </c>
      <c r="B536" s="36">
        <v>45517.733819444446</v>
      </c>
      <c r="C536" s="36">
        <v>45517.739803240744</v>
      </c>
      <c r="D536" s="37">
        <v>3.50357215922244E-5</v>
      </c>
      <c r="E536" s="38">
        <v>0.01811346806318</v>
      </c>
      <c r="F536" s="38">
        <v>2.18314631826732E-7</v>
      </c>
      <c r="G536" s="38">
        <v>1.12868664654421E-4</v>
      </c>
      <c r="H536" s="39">
        <f t="shared" si="1"/>
        <v>517.0000002</v>
      </c>
      <c r="I536" s="39">
        <f>IFNA(VLOOKUP(A536,표2[#ALL],2, FALSE), "")</f>
        <v>506.694853</v>
      </c>
      <c r="J536" s="50">
        <f t="shared" si="2"/>
        <v>0.0177524198</v>
      </c>
      <c r="K536" s="51">
        <f t="shared" si="3"/>
        <v>0.01462976916</v>
      </c>
    </row>
    <row r="537">
      <c r="A537" s="35">
        <v>623.0</v>
      </c>
      <c r="B537" s="42">
        <v>45517.74074074074</v>
      </c>
      <c r="C537" s="42">
        <v>45517.74568287037</v>
      </c>
      <c r="D537" s="43">
        <v>3.5123312023109E-5</v>
      </c>
      <c r="E537" s="44">
        <v>0.0149976542338676</v>
      </c>
      <c r="F537" s="44">
        <v>2.51383854235418E-7</v>
      </c>
      <c r="G537" s="44">
        <v>1.07340905758524E-4</v>
      </c>
      <c r="H537" s="45">
        <f t="shared" si="1"/>
        <v>427.0000005</v>
      </c>
      <c r="I537" s="45">
        <f>IFNA(VLOOKUP(A537,표2[#ALL],2, FALSE), "")</f>
        <v>416.659766</v>
      </c>
      <c r="J537" s="48">
        <f t="shared" si="2"/>
        <v>0.01463447097</v>
      </c>
      <c r="K537" s="49">
        <f t="shared" si="3"/>
        <v>0.01206026753</v>
      </c>
    </row>
    <row r="538">
      <c r="A538" s="35">
        <v>624.0</v>
      </c>
      <c r="B538" s="36">
        <v>45517.746469907404</v>
      </c>
      <c r="C538" s="36">
        <v>45517.74664351852</v>
      </c>
      <c r="D538" s="37">
        <v>1.35041033637219E-5</v>
      </c>
      <c r="E538" s="38">
        <v>2.02561550455828E-4</v>
      </c>
      <c r="F538" s="38">
        <v>4.72644263107999E-6</v>
      </c>
      <c r="G538" s="38">
        <v>7.08966394661998E-5</v>
      </c>
      <c r="H538" s="39">
        <f t="shared" si="1"/>
        <v>15.00000036</v>
      </c>
      <c r="I538" s="39" t="str">
        <f>IFNA(VLOOKUP(A538,표2[#ALL],2, FALSE), "")</f>
        <v/>
      </c>
      <c r="J538" s="40" t="str">
        <f t="shared" si="2"/>
        <v/>
      </c>
      <c r="K538" s="41" t="str">
        <f t="shared" si="3"/>
        <v/>
      </c>
    </row>
    <row r="539">
      <c r="A539" s="35">
        <v>625.0</v>
      </c>
      <c r="B539" s="42">
        <v>45517.74699074074</v>
      </c>
      <c r="C539" s="42">
        <v>45517.753287037034</v>
      </c>
      <c r="D539" s="43">
        <v>3.48719476471022E-5</v>
      </c>
      <c r="E539" s="44">
        <v>0.0189703395200236</v>
      </c>
      <c r="F539" s="44">
        <v>2.05891098931917E-7</v>
      </c>
      <c r="G539" s="44">
        <v>1.12004757818963E-4</v>
      </c>
      <c r="H539" s="45">
        <f t="shared" si="1"/>
        <v>543.9999996</v>
      </c>
      <c r="I539" s="45">
        <f>IFNA(VLOOKUP(A539,표2[#ALL],2, FALSE), "")</f>
        <v>533.175899</v>
      </c>
      <c r="J539" s="48">
        <f t="shared" si="2"/>
        <v>0.01859288204</v>
      </c>
      <c r="K539" s="49">
        <f t="shared" si="3"/>
        <v>0.01532239409</v>
      </c>
    </row>
    <row r="540">
      <c r="A540" s="35">
        <v>626.0</v>
      </c>
      <c r="B540" s="36">
        <v>45518.42959490741</v>
      </c>
      <c r="C540" s="36">
        <v>45518.434386574074</v>
      </c>
      <c r="D540" s="37">
        <v>2.01043268464962E-5</v>
      </c>
      <c r="E540" s="38">
        <v>0.00832319131444942</v>
      </c>
      <c r="F540" s="38">
        <v>9.36419425000399E-7</v>
      </c>
      <c r="G540" s="38">
        <v>3.87677641950165E-4</v>
      </c>
      <c r="H540" s="39">
        <f t="shared" si="1"/>
        <v>414</v>
      </c>
      <c r="I540" s="39" t="str">
        <f>IFNA(VLOOKUP(A540,표2[#ALL],2, FALSE), "")</f>
        <v/>
      </c>
      <c r="J540" s="40" t="str">
        <f t="shared" si="2"/>
        <v/>
      </c>
      <c r="K540" s="41" t="str">
        <f t="shared" si="3"/>
        <v/>
      </c>
    </row>
    <row r="541">
      <c r="A541" s="35">
        <v>627.0</v>
      </c>
      <c r="B541" s="42">
        <v>45518.43456018518</v>
      </c>
      <c r="C541" s="42">
        <v>45518.44311342593</v>
      </c>
      <c r="D541" s="43">
        <v>3.67752085258324E-5</v>
      </c>
      <c r="E541" s="44">
        <v>0.0271768791005902</v>
      </c>
      <c r="F541" s="44">
        <v>1.67391647132889E-7</v>
      </c>
      <c r="G541" s="44">
        <v>1.23702427231205E-4</v>
      </c>
      <c r="H541" s="45">
        <f t="shared" si="1"/>
        <v>739.0000005</v>
      </c>
      <c r="I541" s="45" t="str">
        <f>IFNA(VLOOKUP(A541,표2[#ALL],2, FALSE), "")</f>
        <v/>
      </c>
      <c r="J541" s="46" t="str">
        <f t="shared" si="2"/>
        <v/>
      </c>
      <c r="K541" s="47" t="str">
        <f t="shared" si="3"/>
        <v/>
      </c>
    </row>
    <row r="542">
      <c r="A542" s="35">
        <v>628.0</v>
      </c>
      <c r="B542" s="36">
        <v>45518.44511574074</v>
      </c>
      <c r="C542" s="36">
        <v>45518.45046296297</v>
      </c>
      <c r="D542" s="37">
        <v>3.65922384514096E-5</v>
      </c>
      <c r="E542" s="38">
        <v>0.0169056141645512</v>
      </c>
      <c r="F542" s="38">
        <v>2.56779398122217E-7</v>
      </c>
      <c r="G542" s="38">
        <v>1.18632081932464E-4</v>
      </c>
      <c r="H542" s="39">
        <f t="shared" si="1"/>
        <v>462.0000005</v>
      </c>
      <c r="I542" s="39" t="str">
        <f>IFNA(VLOOKUP(A542,표2[#ALL],2, FALSE), "")</f>
        <v/>
      </c>
      <c r="J542" s="40" t="str">
        <f t="shared" si="2"/>
        <v/>
      </c>
      <c r="K542" s="41" t="str">
        <f t="shared" si="3"/>
        <v/>
      </c>
    </row>
    <row r="543">
      <c r="A543" s="35">
        <v>629.0</v>
      </c>
      <c r="B543" s="42">
        <v>45518.45292824074</v>
      </c>
      <c r="C543" s="42">
        <v>45518.458657407406</v>
      </c>
      <c r="D543" s="43">
        <v>3.69045986808432E-5</v>
      </c>
      <c r="E543" s="44">
        <v>0.0182677763470174</v>
      </c>
      <c r="F543" s="44">
        <v>2.28239940360681E-7</v>
      </c>
      <c r="G543" s="44">
        <v>1.12978770478537E-4</v>
      </c>
      <c r="H543" s="45">
        <f t="shared" si="1"/>
        <v>495</v>
      </c>
      <c r="I543" s="45" t="str">
        <f>IFNA(VLOOKUP(A543,표2[#ALL],2, FALSE), "")</f>
        <v/>
      </c>
      <c r="J543" s="46" t="str">
        <f t="shared" si="2"/>
        <v/>
      </c>
      <c r="K543" s="47" t="str">
        <f t="shared" si="3"/>
        <v/>
      </c>
    </row>
    <row r="544">
      <c r="A544" s="35">
        <v>630.0</v>
      </c>
      <c r="B544" s="36">
        <v>45518.461851851855</v>
      </c>
      <c r="C544" s="36">
        <v>45518.47509259259</v>
      </c>
      <c r="D544" s="37">
        <v>3.78069899721719E-5</v>
      </c>
      <c r="E544" s="38">
        <v>0.0432511965281646</v>
      </c>
      <c r="F544" s="38">
        <v>1.02221484557676E-7</v>
      </c>
      <c r="G544" s="38">
        <v>1.16941378333982E-4</v>
      </c>
      <c r="H544" s="39">
        <f t="shared" si="1"/>
        <v>1144</v>
      </c>
      <c r="I544" s="39" t="str">
        <f>IFNA(VLOOKUP(A544,표2[#ALL],2, FALSE), "")</f>
        <v/>
      </c>
      <c r="J544" s="40" t="str">
        <f t="shared" si="2"/>
        <v/>
      </c>
      <c r="K544" s="41" t="str">
        <f t="shared" si="3"/>
        <v/>
      </c>
    </row>
    <row r="545">
      <c r="A545" s="35">
        <v>631.0</v>
      </c>
      <c r="B545" s="42">
        <v>45518.47944444444</v>
      </c>
      <c r="C545" s="42">
        <v>45518.4796412037</v>
      </c>
      <c r="D545" s="43">
        <v>3.90384501104613E-5</v>
      </c>
      <c r="E545" s="44">
        <v>6.63653651877842E-4</v>
      </c>
      <c r="F545" s="44">
        <v>1.19823851103591E-7</v>
      </c>
      <c r="G545" s="44">
        <v>2.03700546876105E-6</v>
      </c>
      <c r="H545" s="45">
        <f t="shared" si="1"/>
        <v>17.0000002</v>
      </c>
      <c r="I545" s="45" t="str">
        <f>IFNA(VLOOKUP(A545,표2[#ALL],2, FALSE), "")</f>
        <v/>
      </c>
      <c r="J545" s="46" t="str">
        <f t="shared" si="2"/>
        <v/>
      </c>
      <c r="K545" s="47" t="str">
        <f t="shared" si="3"/>
        <v/>
      </c>
    </row>
    <row r="546">
      <c r="A546" s="35">
        <v>632.0</v>
      </c>
      <c r="B546" s="36">
        <v>45518.479849537034</v>
      </c>
      <c r="C546" s="36">
        <v>45518.48674768519</v>
      </c>
      <c r="D546" s="37">
        <v>3.844033030149E-5</v>
      </c>
      <c r="E546" s="38">
        <v>0.022910436859688</v>
      </c>
      <c r="F546" s="38">
        <v>1.61783909970214E-7</v>
      </c>
      <c r="G546" s="38">
        <v>9.64232103422477E-5</v>
      </c>
      <c r="H546" s="39">
        <f t="shared" si="1"/>
        <v>596.0000004</v>
      </c>
      <c r="I546" s="39">
        <f>IFNA(VLOOKUP(A546,표2[#ALL],2, FALSE), "")</f>
        <v>586.022737</v>
      </c>
      <c r="J546" s="50">
        <f t="shared" si="2"/>
        <v>0.02252690757</v>
      </c>
      <c r="K546" s="51">
        <f t="shared" si="3"/>
        <v>0.01856442453</v>
      </c>
    </row>
    <row r="547">
      <c r="A547" s="35">
        <v>633.0</v>
      </c>
      <c r="B547" s="42">
        <v>45518.48924768518</v>
      </c>
      <c r="C547" s="42">
        <v>45518.49084490741</v>
      </c>
      <c r="D547" s="43">
        <v>3.89771659542151E-5</v>
      </c>
      <c r="E547" s="44">
        <v>0.00537884890168169</v>
      </c>
      <c r="F547" s="44">
        <v>5.05934052263104E-8</v>
      </c>
      <c r="G547" s="44">
        <v>6.98188992123084E-6</v>
      </c>
      <c r="H547" s="45">
        <f t="shared" si="1"/>
        <v>138.0000002</v>
      </c>
      <c r="I547" s="45" t="str">
        <f>IFNA(VLOOKUP(A547,표2[#ALL],2, FALSE), "")</f>
        <v/>
      </c>
      <c r="J547" s="46" t="str">
        <f t="shared" si="2"/>
        <v/>
      </c>
      <c r="K547" s="47" t="str">
        <f t="shared" si="3"/>
        <v/>
      </c>
    </row>
    <row r="548">
      <c r="A548" s="35">
        <v>635.0</v>
      </c>
      <c r="B548" s="36">
        <v>45518.493310185186</v>
      </c>
      <c r="C548" s="36">
        <v>45518.493576388886</v>
      </c>
      <c r="D548" s="37">
        <v>2.56149950324675E-5</v>
      </c>
      <c r="E548" s="38">
        <v>5.89144885746753E-4</v>
      </c>
      <c r="F548" s="38">
        <v>3.91639661705317E-6</v>
      </c>
      <c r="G548" s="38">
        <v>9.0077122192223E-5</v>
      </c>
      <c r="H548" s="39">
        <f t="shared" si="1"/>
        <v>22.99999972</v>
      </c>
      <c r="I548" s="39" t="str">
        <f>IFNA(VLOOKUP(A548,표2[#ALL],2, FALSE), "")</f>
        <v/>
      </c>
      <c r="J548" s="40" t="str">
        <f t="shared" si="2"/>
        <v/>
      </c>
      <c r="K548" s="41" t="str">
        <f t="shared" si="3"/>
        <v/>
      </c>
    </row>
    <row r="549">
      <c r="A549" s="35">
        <v>636.0</v>
      </c>
      <c r="B549" s="42">
        <v>45518.4949537037</v>
      </c>
      <c r="C549" s="42">
        <v>45518.499444444446</v>
      </c>
      <c r="D549" s="43">
        <v>3.79109717700217E-5</v>
      </c>
      <c r="E549" s="44">
        <v>0.0147094570467684</v>
      </c>
      <c r="F549" s="44">
        <v>2.96896249130313E-7</v>
      </c>
      <c r="G549" s="44">
        <v>1.15195744662561E-4</v>
      </c>
      <c r="H549" s="45">
        <f t="shared" si="1"/>
        <v>388.0000002</v>
      </c>
      <c r="I549" s="45">
        <f>IFNA(VLOOKUP(A549,표2[#ALL],2, FALSE), "")</f>
        <v>376.758548</v>
      </c>
      <c r="J549" s="48">
        <f t="shared" si="2"/>
        <v>0.01428328268</v>
      </c>
      <c r="K549" s="49">
        <f t="shared" si="3"/>
        <v>0.01177085325</v>
      </c>
    </row>
    <row r="550">
      <c r="A550" s="35">
        <v>637.0</v>
      </c>
      <c r="B550" s="36">
        <v>45518.50188657407</v>
      </c>
      <c r="C550" s="36">
        <v>45518.50240740741</v>
      </c>
      <c r="D550" s="37">
        <v>3.22962050165439E-5</v>
      </c>
      <c r="E550" s="38">
        <v>0.00145332922574448</v>
      </c>
      <c r="F550" s="38">
        <v>2.2276003004073E-6</v>
      </c>
      <c r="G550" s="38">
        <v>1.00242013518328E-4</v>
      </c>
      <c r="H550" s="39">
        <f t="shared" si="1"/>
        <v>45.00000046</v>
      </c>
      <c r="I550" s="39">
        <f>IFNA(VLOOKUP(A550,표2[#ALL],2, FALSE), "")</f>
        <v>34.8244182</v>
      </c>
      <c r="J550" s="50">
        <f t="shared" si="2"/>
        <v>0.00112469655</v>
      </c>
      <c r="K550" s="51">
        <f t="shared" si="3"/>
        <v>0.0009268624267</v>
      </c>
    </row>
    <row r="551">
      <c r="A551" s="35">
        <v>638.0</v>
      </c>
      <c r="B551" s="42">
        <v>45518.503287037034</v>
      </c>
      <c r="C551" s="42">
        <v>45518.51696759259</v>
      </c>
      <c r="D551" s="43">
        <v>3.79346521442573E-5</v>
      </c>
      <c r="E551" s="44">
        <v>0.0448387588345122</v>
      </c>
      <c r="F551" s="44">
        <v>1.14140109785684E-7</v>
      </c>
      <c r="G551" s="44">
        <v>1.34913609766678E-4</v>
      </c>
      <c r="H551" s="45">
        <f t="shared" si="1"/>
        <v>1182</v>
      </c>
      <c r="I551" s="45">
        <f>IFNA(VLOOKUP(A551,표2[#ALL],2, FALSE), "")</f>
        <v>1171.52763</v>
      </c>
      <c r="J551" s="48">
        <f t="shared" si="2"/>
        <v>0.04444149312</v>
      </c>
      <c r="K551" s="49">
        <f t="shared" si="3"/>
        <v>0.03662423448</v>
      </c>
    </row>
    <row r="552">
      <c r="A552" s="35">
        <v>639.0</v>
      </c>
      <c r="B552" s="36">
        <v>45518.524872685186</v>
      </c>
      <c r="C552" s="36">
        <v>45518.53046296296</v>
      </c>
      <c r="D552" s="37">
        <v>3.77063725843611E-5</v>
      </c>
      <c r="E552" s="38">
        <v>0.0182121779582464</v>
      </c>
      <c r="F552" s="38">
        <v>2.10358856793506E-7</v>
      </c>
      <c r="G552" s="38">
        <v>1.01603327831263E-4</v>
      </c>
      <c r="H552" s="39">
        <f t="shared" si="1"/>
        <v>482.9999998</v>
      </c>
      <c r="I552" s="39">
        <f>IFNA(VLOOKUP(A552,표2[#ALL],2, FALSE), "")</f>
        <v>473.674862</v>
      </c>
      <c r="J552" s="50">
        <f t="shared" si="2"/>
        <v>0.01786056083</v>
      </c>
      <c r="K552" s="51">
        <f t="shared" si="3"/>
        <v>0.01471888818</v>
      </c>
    </row>
    <row r="553">
      <c r="A553" s="35">
        <v>640.0</v>
      </c>
      <c r="B553" s="42">
        <v>45518.53208333333</v>
      </c>
      <c r="C553" s="42">
        <v>45518.53412037037</v>
      </c>
      <c r="D553" s="43">
        <v>3.60205398089229E-5</v>
      </c>
      <c r="E553" s="44">
        <v>0.00633961500637043</v>
      </c>
      <c r="F553" s="44">
        <v>6.76963974262533E-7</v>
      </c>
      <c r="G553" s="44">
        <v>1.19145659470206E-4</v>
      </c>
      <c r="H553" s="45">
        <f t="shared" si="1"/>
        <v>176.0000003</v>
      </c>
      <c r="I553" s="45">
        <f>IFNA(VLOOKUP(A553,표2[#ALL],2, FALSE), "")</f>
        <v>164.687524</v>
      </c>
      <c r="J553" s="48">
        <f t="shared" si="2"/>
        <v>0.005932133514</v>
      </c>
      <c r="K553" s="49">
        <f t="shared" si="3"/>
        <v>0.004888671229</v>
      </c>
    </row>
    <row r="554">
      <c r="A554" s="35">
        <v>641.0</v>
      </c>
      <c r="B554" s="36">
        <v>45518.53450231482</v>
      </c>
      <c r="C554" s="36">
        <v>45518.54068287037</v>
      </c>
      <c r="D554" s="37">
        <v>3.74640881704835E-5</v>
      </c>
      <c r="E554" s="38">
        <v>0.0200058230830382</v>
      </c>
      <c r="F554" s="38">
        <v>2.02518649319416E-7</v>
      </c>
      <c r="G554" s="38">
        <v>1.08144958736568E-4</v>
      </c>
      <c r="H554" s="39">
        <f t="shared" si="1"/>
        <v>533.9999997</v>
      </c>
      <c r="I554" s="39">
        <f>IFNA(VLOOKUP(A554,표2[#ALL],2, FALSE), "")</f>
        <v>524.296199</v>
      </c>
      <c r="J554" s="50">
        <f t="shared" si="2"/>
        <v>0.01964227903</v>
      </c>
      <c r="K554" s="51">
        <f t="shared" si="3"/>
        <v>0.01618720215</v>
      </c>
    </row>
    <row r="555">
      <c r="A555" s="35">
        <v>642.0</v>
      </c>
      <c r="B555" s="42">
        <v>45518.54221064815</v>
      </c>
      <c r="C555" s="42">
        <v>45518.55211805556</v>
      </c>
      <c r="D555" s="43">
        <v>3.70948960182399E-5</v>
      </c>
      <c r="E555" s="44">
        <v>0.0317532309916133</v>
      </c>
      <c r="F555" s="44">
        <v>1.60062740014272E-7</v>
      </c>
      <c r="G555" s="44">
        <v>1.37013705452217E-4</v>
      </c>
      <c r="H555" s="45">
        <f t="shared" si="1"/>
        <v>856.0000002</v>
      </c>
      <c r="I555" s="45">
        <f>IFNA(VLOOKUP(A555,표2[#ALL],2, FALSE), "")</f>
        <v>845.058705</v>
      </c>
      <c r="J555" s="48">
        <f t="shared" si="2"/>
        <v>0.03134736479</v>
      </c>
      <c r="K555" s="49">
        <f t="shared" si="3"/>
        <v>0.02583336332</v>
      </c>
    </row>
    <row r="556">
      <c r="A556" s="35">
        <v>643.0</v>
      </c>
      <c r="B556" s="36">
        <v>45518.56199074074</v>
      </c>
      <c r="C556" s="36">
        <v>45518.564837962964</v>
      </c>
      <c r="D556" s="37">
        <v>3.56227041327303E-5</v>
      </c>
      <c r="E556" s="38">
        <v>0.00876318521665165</v>
      </c>
      <c r="F556" s="38">
        <v>5.18571492795453E-7</v>
      </c>
      <c r="G556" s="38">
        <v>1.27568587227681E-4</v>
      </c>
      <c r="H556" s="39">
        <f t="shared" si="1"/>
        <v>246.0000003</v>
      </c>
      <c r="I556" s="39">
        <f>IFNA(VLOOKUP(A556,표2[#ALL],2, FALSE), "")</f>
        <v>234.906208</v>
      </c>
      <c r="J556" s="50">
        <f t="shared" si="2"/>
        <v>0.008367994347</v>
      </c>
      <c r="K556" s="51">
        <f t="shared" si="3"/>
        <v>0.006896064141</v>
      </c>
    </row>
    <row r="557">
      <c r="A557" s="35">
        <v>644.0</v>
      </c>
      <c r="B557" s="42">
        <v>45518.56686342593</v>
      </c>
      <c r="C557" s="42">
        <v>45518.575150462966</v>
      </c>
      <c r="D557" s="43">
        <v>3.68061960181015E-5</v>
      </c>
      <c r="E557" s="44">
        <v>0.0263532363489607</v>
      </c>
      <c r="F557" s="44">
        <v>1.65667375432809E-7</v>
      </c>
      <c r="G557" s="44">
        <v>1.18617840809891E-4</v>
      </c>
      <c r="H557" s="45">
        <f t="shared" si="1"/>
        <v>716.0000002</v>
      </c>
      <c r="I557" s="45">
        <f>IFNA(VLOOKUP(A557,표2[#ALL],2, FALSE), "")</f>
        <v>705.615481</v>
      </c>
      <c r="J557" s="48">
        <f t="shared" si="2"/>
        <v>0.02597102171</v>
      </c>
      <c r="K557" s="49">
        <f t="shared" si="3"/>
        <v>0.02140271899</v>
      </c>
    </row>
    <row r="558">
      <c r="A558" s="35">
        <v>645.0</v>
      </c>
      <c r="B558" s="36">
        <v>45518.57604166667</v>
      </c>
      <c r="C558" s="36">
        <v>45518.58204861111</v>
      </c>
      <c r="D558" s="37">
        <v>3.65101808091604E-5</v>
      </c>
      <c r="E558" s="38">
        <v>0.0189487838399543</v>
      </c>
      <c r="F558" s="38">
        <v>2.1490339057818E-7</v>
      </c>
      <c r="G558" s="38">
        <v>1.11534859710075E-4</v>
      </c>
      <c r="H558" s="39">
        <f t="shared" si="1"/>
        <v>519</v>
      </c>
      <c r="I558" s="39">
        <f>IFNA(VLOOKUP(A558,표2[#ALL],2, FALSE), "")</f>
        <v>509</v>
      </c>
      <c r="J558" s="50">
        <f t="shared" si="2"/>
        <v>0.01858368203</v>
      </c>
      <c r="K558" s="51">
        <f t="shared" si="3"/>
        <v>0.01531481236</v>
      </c>
    </row>
    <row r="559">
      <c r="A559" s="35">
        <v>646.0</v>
      </c>
      <c r="B559" s="42">
        <v>45518.582604166666</v>
      </c>
      <c r="C559" s="42">
        <v>45518.58788194445</v>
      </c>
      <c r="D559" s="43">
        <v>3.62759634576458E-5</v>
      </c>
      <c r="E559" s="44">
        <v>0.0165418393366865</v>
      </c>
      <c r="F559" s="44">
        <v>2.29668568058467E-7</v>
      </c>
      <c r="G559" s="44">
        <v>1.04728867034661E-4</v>
      </c>
      <c r="H559" s="45">
        <f t="shared" si="1"/>
        <v>456.0000004</v>
      </c>
      <c r="I559" s="45">
        <f>IFNA(VLOOKUP(A559,표2[#ALL],2, FALSE), "")</f>
        <v>446</v>
      </c>
      <c r="J559" s="48">
        <f t="shared" si="2"/>
        <v>0.0161790797</v>
      </c>
      <c r="K559" s="49">
        <f t="shared" si="3"/>
        <v>0.01333317958</v>
      </c>
    </row>
    <row r="560">
      <c r="A560" s="35">
        <v>647.0</v>
      </c>
      <c r="B560" s="36">
        <v>45518.58907407407</v>
      </c>
      <c r="C560" s="36">
        <v>45518.59769675926</v>
      </c>
      <c r="D560" s="37">
        <v>3.66857464133466E-5</v>
      </c>
      <c r="E560" s="38">
        <v>0.0273308810779432</v>
      </c>
      <c r="F560" s="38">
        <v>1.4325097193374E-7</v>
      </c>
      <c r="G560" s="38">
        <v>1.06721974090636E-4</v>
      </c>
      <c r="H560" s="39">
        <f t="shared" si="1"/>
        <v>745</v>
      </c>
      <c r="I560" s="39">
        <f>IFNA(VLOOKUP(A560,표2[#ALL],2, FALSE), "")</f>
        <v>733.86242</v>
      </c>
      <c r="J560" s="50">
        <f t="shared" si="2"/>
        <v>0.02692229064</v>
      </c>
      <c r="K560" s="51">
        <f t="shared" si="3"/>
        <v>0.02218665972</v>
      </c>
    </row>
    <row r="561">
      <c r="A561" s="35">
        <v>648.0</v>
      </c>
      <c r="B561" s="42">
        <v>45518.59931712963</v>
      </c>
      <c r="C561" s="42">
        <v>45518.604375</v>
      </c>
      <c r="D561" s="43">
        <v>3.60864175150291E-5</v>
      </c>
      <c r="E561" s="44">
        <v>0.0157697644540677</v>
      </c>
      <c r="F561" s="44">
        <v>2.66300559612432E-7</v>
      </c>
      <c r="G561" s="44">
        <v>1.16373344550633E-4</v>
      </c>
      <c r="H561" s="45">
        <f t="shared" si="1"/>
        <v>437.0000003</v>
      </c>
      <c r="I561" s="45">
        <f>IFNA(VLOOKUP(A561,표2[#ALL],2, FALSE), "")</f>
        <v>427.687576</v>
      </c>
      <c r="J561" s="48">
        <f t="shared" si="2"/>
        <v>0.01543371243</v>
      </c>
      <c r="K561" s="49">
        <f t="shared" si="3"/>
        <v>0.01271892242</v>
      </c>
    </row>
    <row r="562">
      <c r="A562" s="35">
        <v>649.0</v>
      </c>
      <c r="B562" s="36">
        <v>45518.61130787037</v>
      </c>
      <c r="C562" s="36">
        <v>45518.61295138889</v>
      </c>
      <c r="D562" s="37">
        <v>3.38404546038747E-5</v>
      </c>
      <c r="E562" s="38">
        <v>0.0048053445537502</v>
      </c>
      <c r="F562" s="38">
        <v>8.26769352798343E-7</v>
      </c>
      <c r="G562" s="38">
        <v>1.17401248097365E-4</v>
      </c>
      <c r="H562" s="39">
        <f t="shared" si="1"/>
        <v>141.9999999</v>
      </c>
      <c r="I562" s="39" t="str">
        <f>IFNA(VLOOKUP(A562,표2[#ALL],2, FALSE), "")</f>
        <v/>
      </c>
      <c r="J562" s="40" t="str">
        <f t="shared" si="2"/>
        <v/>
      </c>
      <c r="K562" s="41" t="str">
        <f t="shared" si="3"/>
        <v/>
      </c>
    </row>
    <row r="563">
      <c r="A563" s="35">
        <v>650.0</v>
      </c>
      <c r="B563" s="42">
        <v>45518.614375</v>
      </c>
      <c r="C563" s="42">
        <v>45518.614803240744</v>
      </c>
      <c r="D563" s="43">
        <v>2.89056825465928E-5</v>
      </c>
      <c r="E563" s="44">
        <v>0.00106951025422394</v>
      </c>
      <c r="F563" s="44">
        <v>2.4825707206835E-6</v>
      </c>
      <c r="G563" s="44">
        <v>9.18551166652894E-5</v>
      </c>
      <c r="H563" s="45">
        <f t="shared" si="1"/>
        <v>37.00000048</v>
      </c>
      <c r="I563" s="45" t="str">
        <f>IFNA(VLOOKUP(A563,표2[#ALL],2, FALSE), "")</f>
        <v/>
      </c>
      <c r="J563" s="46" t="str">
        <f t="shared" si="2"/>
        <v/>
      </c>
      <c r="K563" s="47" t="str">
        <f t="shared" si="3"/>
        <v/>
      </c>
    </row>
    <row r="564">
      <c r="A564" s="35">
        <v>651.0</v>
      </c>
      <c r="B564" s="36">
        <v>45518.615798611114</v>
      </c>
      <c r="C564" s="36">
        <v>45518.61754629629</v>
      </c>
      <c r="D564" s="37">
        <v>3.46612056234044E-5</v>
      </c>
      <c r="E564" s="38">
        <v>0.00523384204913407</v>
      </c>
      <c r="F564" s="38">
        <v>6.70193579850232E-7</v>
      </c>
      <c r="G564" s="38">
        <v>1.01199230557385E-4</v>
      </c>
      <c r="H564" s="39">
        <f t="shared" si="1"/>
        <v>150.9999995</v>
      </c>
      <c r="I564" s="39">
        <f>IFNA(VLOOKUP(A564,표2[#ALL],2, FALSE), "")</f>
        <v>141.769119</v>
      </c>
      <c r="J564" s="50">
        <f t="shared" si="2"/>
        <v>0.004913888585</v>
      </c>
      <c r="K564" s="51">
        <f t="shared" si="3"/>
        <v>0.004049535583</v>
      </c>
    </row>
    <row r="565">
      <c r="A565" s="35">
        <v>652.0</v>
      </c>
      <c r="B565" s="42">
        <v>45518.61900462963</v>
      </c>
      <c r="C565" s="42">
        <v>45518.62280092593</v>
      </c>
      <c r="D565" s="43">
        <v>3.58414239015181E-5</v>
      </c>
      <c r="E565" s="44">
        <v>0.0117559870396979</v>
      </c>
      <c r="F565" s="44">
        <v>3.3468039778459E-7</v>
      </c>
      <c r="G565" s="44">
        <v>1.09775170473345E-4</v>
      </c>
      <c r="H565" s="45">
        <f t="shared" si="1"/>
        <v>328</v>
      </c>
      <c r="I565" s="45">
        <f>IFNA(VLOOKUP(A565,표2[#ALL],2, FALSE), "")</f>
        <v>317.1774</v>
      </c>
      <c r="J565" s="48">
        <f t="shared" si="2"/>
        <v>0.01136808965</v>
      </c>
      <c r="K565" s="49">
        <f t="shared" si="3"/>
        <v>0.009368442677</v>
      </c>
    </row>
    <row r="566">
      <c r="A566" s="35">
        <v>653.0</v>
      </c>
      <c r="B566" s="36">
        <v>45518.62447916667</v>
      </c>
      <c r="C566" s="36">
        <v>45518.62923611111</v>
      </c>
      <c r="D566" s="37">
        <v>3.59016045871582E-5</v>
      </c>
      <c r="E566" s="38">
        <v>0.014755559485322</v>
      </c>
      <c r="F566" s="38">
        <v>2.69292668212664E-7</v>
      </c>
      <c r="G566" s="38">
        <v>1.10679286635405E-4</v>
      </c>
      <c r="H566" s="39">
        <f t="shared" si="1"/>
        <v>410.9999999</v>
      </c>
      <c r="I566" s="39">
        <f>IFNA(VLOOKUP(A566,표2[#ALL],2, FALSE), "")</f>
        <v>401.642347</v>
      </c>
      <c r="J566" s="50">
        <f t="shared" si="2"/>
        <v>0.01441960473</v>
      </c>
      <c r="K566" s="51">
        <f t="shared" si="3"/>
        <v>0.01188319626</v>
      </c>
    </row>
    <row r="567">
      <c r="A567" s="35">
        <v>654.0</v>
      </c>
      <c r="B567" s="42">
        <v>45518.631053240744</v>
      </c>
      <c r="C567" s="42">
        <v>45518.63123842593</v>
      </c>
      <c r="D567" s="43">
        <v>1.88496075796857E-5</v>
      </c>
      <c r="E567" s="44">
        <v>3.01593721274971E-4</v>
      </c>
      <c r="F567" s="44">
        <v>4.68094424101042E-6</v>
      </c>
      <c r="G567" s="44">
        <v>7.48951078561667E-5</v>
      </c>
      <c r="H567" s="45">
        <f t="shared" si="1"/>
        <v>15.99999997</v>
      </c>
      <c r="I567" s="45" t="str">
        <f>IFNA(VLOOKUP(A567,표2[#ALL],2, FALSE), "")</f>
        <v/>
      </c>
      <c r="J567" s="46" t="str">
        <f t="shared" si="2"/>
        <v/>
      </c>
      <c r="K567" s="47" t="str">
        <f t="shared" si="3"/>
        <v/>
      </c>
    </row>
    <row r="568">
      <c r="A568" s="35">
        <v>655.0</v>
      </c>
      <c r="B568" s="36">
        <v>45518.631886574076</v>
      </c>
      <c r="C568" s="36">
        <v>45518.63497685185</v>
      </c>
      <c r="D568" s="37">
        <v>3.56622375615451E-5</v>
      </c>
      <c r="E568" s="38">
        <v>0.00952181742893253</v>
      </c>
      <c r="F568" s="38">
        <v>3.85627135923981E-7</v>
      </c>
      <c r="G568" s="38">
        <v>1.02962445291703E-4</v>
      </c>
      <c r="H568" s="39">
        <f t="shared" si="1"/>
        <v>266.9999996</v>
      </c>
      <c r="I568" s="39">
        <f>IFNA(VLOOKUP(A568,표2[#ALL],2, FALSE), "")</f>
        <v>255.904118</v>
      </c>
      <c r="J568" s="50">
        <f t="shared" si="2"/>
        <v>0.009126113449</v>
      </c>
      <c r="K568" s="51">
        <f t="shared" si="3"/>
        <v>0.007520830093</v>
      </c>
    </row>
    <row r="569">
      <c r="A569" s="35">
        <v>656.0</v>
      </c>
      <c r="B569" s="42">
        <v>45518.64402777778</v>
      </c>
      <c r="C569" s="42">
        <v>45518.649502314816</v>
      </c>
      <c r="D569" s="43">
        <v>3.5905750980218E-5</v>
      </c>
      <c r="E569" s="44">
        <v>0.0169834202136431</v>
      </c>
      <c r="F569" s="44">
        <v>1.73800189483042E-7</v>
      </c>
      <c r="G569" s="44">
        <v>8.22074896254788E-5</v>
      </c>
      <c r="H569" s="45">
        <f t="shared" si="1"/>
        <v>472.9999999</v>
      </c>
      <c r="I569" s="45">
        <f>IFNA(VLOOKUP(A569,표2[#ALL],2, FALSE), "")</f>
        <v>462.831204</v>
      </c>
      <c r="J569" s="48">
        <f t="shared" si="2"/>
        <v>0.01661830196</v>
      </c>
      <c r="K569" s="49">
        <f t="shared" si="3"/>
        <v>0.01369514264</v>
      </c>
    </row>
    <row r="570">
      <c r="A570" s="35">
        <v>657.0</v>
      </c>
      <c r="B570" s="36">
        <v>45518.65083333333</v>
      </c>
      <c r="C570" s="36">
        <v>45518.655590277776</v>
      </c>
      <c r="D570" s="37">
        <v>3.61833430703554E-5</v>
      </c>
      <c r="E570" s="38">
        <v>0.0148713540019161</v>
      </c>
      <c r="F570" s="38">
        <v>2.97136684861003E-8</v>
      </c>
      <c r="G570" s="38">
        <v>1.22123177477872E-5</v>
      </c>
      <c r="H570" s="39">
        <f t="shared" si="1"/>
        <v>410.9999999</v>
      </c>
      <c r="I570" s="39">
        <f>IFNA(VLOOKUP(A570,표2[#ALL],2, FALSE), "")</f>
        <v>400.540214</v>
      </c>
      <c r="J570" s="50">
        <f t="shared" si="2"/>
        <v>0.01449288398</v>
      </c>
      <c r="K570" s="51">
        <f t="shared" si="3"/>
        <v>0.01194358569</v>
      </c>
    </row>
    <row r="571">
      <c r="A571" s="35">
        <v>658.0</v>
      </c>
      <c r="B571" s="42">
        <v>45518.65834490741</v>
      </c>
      <c r="C571" s="42">
        <v>45518.65891203703</v>
      </c>
      <c r="D571" s="43">
        <v>-9.13953592658124E-7</v>
      </c>
      <c r="E571" s="44">
        <v>-4.47837260402481E-5</v>
      </c>
      <c r="F571" s="44">
        <v>4.97355240334679E-8</v>
      </c>
      <c r="G571" s="44">
        <v>2.43704067763993E-6</v>
      </c>
      <c r="H571" s="45">
        <f t="shared" si="1"/>
        <v>48.99999951</v>
      </c>
      <c r="I571" s="45" t="str">
        <f>IFNA(VLOOKUP(A571,표2[#ALL],2, FALSE), "")</f>
        <v/>
      </c>
      <c r="J571" s="46" t="str">
        <f t="shared" si="2"/>
        <v/>
      </c>
      <c r="K571" s="47" t="str">
        <f t="shared" si="3"/>
        <v/>
      </c>
    </row>
    <row r="572">
      <c r="A572" s="35">
        <v>659.0</v>
      </c>
      <c r="B572" s="36">
        <v>45518.66038194444</v>
      </c>
      <c r="C572" s="36">
        <v>45518.6606712963</v>
      </c>
      <c r="D572" s="37">
        <v>3.6474953715053E-5</v>
      </c>
      <c r="E572" s="38">
        <v>9.11873842876324E-4</v>
      </c>
      <c r="F572" s="38">
        <v>9.38588271909687E-8</v>
      </c>
      <c r="G572" s="38">
        <v>2.34647067977422E-6</v>
      </c>
      <c r="H572" s="39">
        <f t="shared" si="1"/>
        <v>25.00000019</v>
      </c>
      <c r="I572" s="39" t="str">
        <f>IFNA(VLOOKUP(A572,표2[#ALL],2, FALSE), "")</f>
        <v/>
      </c>
      <c r="J572" s="40" t="str">
        <f t="shared" si="2"/>
        <v/>
      </c>
      <c r="K572" s="41" t="str">
        <f t="shared" si="3"/>
        <v/>
      </c>
    </row>
    <row r="573">
      <c r="A573" s="35">
        <v>660.0</v>
      </c>
      <c r="B573" s="42">
        <v>45518.6615625</v>
      </c>
      <c r="C573" s="42">
        <v>45518.66810185185</v>
      </c>
      <c r="D573" s="43">
        <v>3.50383826394961E-5</v>
      </c>
      <c r="E573" s="44">
        <v>0.0197966861913153</v>
      </c>
      <c r="F573" s="44">
        <v>2.84549910380209E-7</v>
      </c>
      <c r="G573" s="44">
        <v>1.60770699364818E-4</v>
      </c>
      <c r="H573" s="45">
        <f t="shared" si="1"/>
        <v>565.0000001</v>
      </c>
      <c r="I573" s="45">
        <f>IFNA(VLOOKUP(A573,표2[#ALL],2, FALSE), "")</f>
        <v>553.822253</v>
      </c>
      <c r="J573" s="48">
        <f t="shared" si="2"/>
        <v>0.01940503601</v>
      </c>
      <c r="K573" s="49">
        <f t="shared" si="3"/>
        <v>0.01599169018</v>
      </c>
    </row>
    <row r="574">
      <c r="A574" s="35">
        <v>661.0</v>
      </c>
      <c r="B574" s="36">
        <v>45518.681296296294</v>
      </c>
      <c r="C574" s="36">
        <v>45518.6834375</v>
      </c>
      <c r="D574" s="37">
        <v>3.4331381075118E-5</v>
      </c>
      <c r="E574" s="38">
        <v>0.00635130549889683</v>
      </c>
      <c r="F574" s="38">
        <v>5.74020206731392E-7</v>
      </c>
      <c r="G574" s="38">
        <v>1.06193738245308E-4</v>
      </c>
      <c r="H574" s="39">
        <f t="shared" si="1"/>
        <v>185.0000005</v>
      </c>
      <c r="I574" s="39">
        <f>IFNA(VLOOKUP(A574,표2[#ALL],2, FALSE), "")</f>
        <v>174.316655</v>
      </c>
      <c r="J574" s="50">
        <f t="shared" si="2"/>
        <v>0.005984531511</v>
      </c>
      <c r="K574" s="51">
        <f t="shared" si="3"/>
        <v>0.004931852418</v>
      </c>
    </row>
    <row r="575">
      <c r="A575" s="35">
        <v>662.0</v>
      </c>
      <c r="B575" s="42">
        <v>45518.69414351852</v>
      </c>
      <c r="C575" s="42">
        <v>45518.69489583333</v>
      </c>
      <c r="D575" s="43">
        <v>3.58303273270669E-5</v>
      </c>
      <c r="E575" s="44">
        <v>0.00232897127625935</v>
      </c>
      <c r="F575" s="44">
        <v>6.2914888054366E-8</v>
      </c>
      <c r="G575" s="44">
        <v>4.08946772353379E-6</v>
      </c>
      <c r="H575" s="45">
        <f t="shared" si="1"/>
        <v>64.99999948</v>
      </c>
      <c r="I575" s="45" t="str">
        <f>IFNA(VLOOKUP(A575,표2[#ALL],2, FALSE), "")</f>
        <v/>
      </c>
      <c r="J575" s="46" t="str">
        <f t="shared" si="2"/>
        <v/>
      </c>
      <c r="K575" s="47" t="str">
        <f t="shared" si="3"/>
        <v/>
      </c>
    </row>
    <row r="576">
      <c r="A576" s="35">
        <v>663.0</v>
      </c>
      <c r="B576" s="36">
        <v>45518.707650462966</v>
      </c>
      <c r="C576" s="36">
        <v>45518.70784722222</v>
      </c>
      <c r="D576" s="37">
        <v>3.58061002497202E-5</v>
      </c>
      <c r="E576" s="38">
        <v>6.08703704245243E-4</v>
      </c>
      <c r="F576" s="38">
        <v>7.53052598796255E-8</v>
      </c>
      <c r="G576" s="38">
        <v>1.28018941795363E-6</v>
      </c>
      <c r="H576" s="39">
        <f t="shared" si="1"/>
        <v>16.99999957</v>
      </c>
      <c r="I576" s="39" t="str">
        <f>IFNA(VLOOKUP(A576,표2[#ALL],2, FALSE), "")</f>
        <v/>
      </c>
      <c r="J576" s="40" t="str">
        <f t="shared" si="2"/>
        <v/>
      </c>
      <c r="K576" s="41" t="str">
        <f t="shared" si="3"/>
        <v/>
      </c>
    </row>
    <row r="577">
      <c r="A577" s="35">
        <v>664.0</v>
      </c>
      <c r="B577" s="42">
        <v>45518.70827546297</v>
      </c>
      <c r="C577" s="42">
        <v>45518.71121527778</v>
      </c>
      <c r="D577" s="43">
        <v>3.58908307046628E-5</v>
      </c>
      <c r="E577" s="44">
        <v>0.00911627099898435</v>
      </c>
      <c r="F577" s="44">
        <v>3.34451893831691E-8</v>
      </c>
      <c r="G577" s="44">
        <v>8.49507810332494E-6</v>
      </c>
      <c r="H577" s="45">
        <f t="shared" si="1"/>
        <v>253.9999997</v>
      </c>
      <c r="I577" s="45" t="str">
        <f>IFNA(VLOOKUP(A577,표2[#ALL],2, FALSE), "")</f>
        <v/>
      </c>
      <c r="J577" s="46" t="str">
        <f t="shared" si="2"/>
        <v/>
      </c>
      <c r="K577" s="47" t="str">
        <f t="shared" si="3"/>
        <v/>
      </c>
    </row>
    <row r="578">
      <c r="A578" s="35">
        <v>665.0</v>
      </c>
      <c r="B578" s="36">
        <v>45518.71134259259</v>
      </c>
      <c r="C578" s="36">
        <v>45518.712060185186</v>
      </c>
      <c r="D578" s="37">
        <v>3.58503592054062E-5</v>
      </c>
      <c r="E578" s="38">
        <v>0.00222272227073519</v>
      </c>
      <c r="F578" s="38">
        <v>7.29933018476634E-8</v>
      </c>
      <c r="G578" s="38">
        <v>4.52558471455513E-6</v>
      </c>
      <c r="H578" s="39">
        <f t="shared" si="1"/>
        <v>62.00000003</v>
      </c>
      <c r="I578" s="39" t="str">
        <f>IFNA(VLOOKUP(A578,표2[#ALL],2, FALSE), "")</f>
        <v/>
      </c>
      <c r="J578" s="40" t="str">
        <f t="shared" si="2"/>
        <v/>
      </c>
      <c r="K578" s="41" t="str">
        <f t="shared" si="3"/>
        <v/>
      </c>
    </row>
    <row r="579">
      <c r="A579" s="35">
        <v>666.0</v>
      </c>
      <c r="B579" s="42">
        <v>45518.715775462966</v>
      </c>
      <c r="C579" s="42">
        <v>45518.72039351852</v>
      </c>
      <c r="D579" s="43">
        <v>3.56837635113136E-5</v>
      </c>
      <c r="E579" s="44">
        <v>0.0142378216410141</v>
      </c>
      <c r="F579" s="44">
        <v>3.14304562312119E-8</v>
      </c>
      <c r="G579" s="44">
        <v>1.25407520362535E-5</v>
      </c>
      <c r="H579" s="45">
        <f t="shared" si="1"/>
        <v>398.9999996</v>
      </c>
      <c r="I579" s="45" t="str">
        <f>IFNA(VLOOKUP(A579,표2[#ALL],2, FALSE), "")</f>
        <v/>
      </c>
      <c r="J579" s="46" t="str">
        <f t="shared" si="2"/>
        <v/>
      </c>
      <c r="K579" s="47" t="str">
        <f t="shared" si="3"/>
        <v/>
      </c>
    </row>
    <row r="580">
      <c r="A580" s="35">
        <v>667.0</v>
      </c>
      <c r="B580" s="36">
        <v>45518.72077546296</v>
      </c>
      <c r="C580" s="36">
        <v>45518.721967592595</v>
      </c>
      <c r="D580" s="37">
        <v>3.23031231813826E-5</v>
      </c>
      <c r="E580" s="38">
        <v>0.00332722168768241</v>
      </c>
      <c r="F580" s="38">
        <v>1.05192777334677E-6</v>
      </c>
      <c r="G580" s="38">
        <v>1.08348560654717E-4</v>
      </c>
      <c r="H580" s="39">
        <f t="shared" si="1"/>
        <v>103.0000002</v>
      </c>
      <c r="I580" s="39" t="str">
        <f>IFNA(VLOOKUP(A580,표2[#ALL],2, FALSE), "")</f>
        <v/>
      </c>
      <c r="J580" s="40" t="str">
        <f t="shared" si="2"/>
        <v/>
      </c>
      <c r="K580" s="41" t="str">
        <f t="shared" si="3"/>
        <v/>
      </c>
    </row>
    <row r="581">
      <c r="A581" s="35">
        <v>668.0</v>
      </c>
      <c r="B581" s="42">
        <v>45518.72305555556</v>
      </c>
      <c r="C581" s="42">
        <v>45518.7274537037</v>
      </c>
      <c r="D581" s="43">
        <v>3.56281727180468E-5</v>
      </c>
      <c r="E581" s="44">
        <v>0.0135387056328578</v>
      </c>
      <c r="F581" s="44">
        <v>2.92937232973096E-8</v>
      </c>
      <c r="G581" s="44">
        <v>1.11316148529776E-5</v>
      </c>
      <c r="H581" s="45">
        <f t="shared" si="1"/>
        <v>379.9999996</v>
      </c>
      <c r="I581" s="45" t="str">
        <f>IFNA(VLOOKUP(A581,표2[#ALL],2, FALSE), "")</f>
        <v/>
      </c>
      <c r="J581" s="46" t="str">
        <f t="shared" si="2"/>
        <v/>
      </c>
      <c r="K581" s="47" t="str">
        <f t="shared" si="3"/>
        <v/>
      </c>
    </row>
    <row r="582">
      <c r="A582" s="35">
        <v>669.0</v>
      </c>
      <c r="B582" s="36">
        <v>45518.728425925925</v>
      </c>
      <c r="C582" s="36">
        <v>45518.73173611111</v>
      </c>
      <c r="D582" s="37">
        <v>3.29863889744382E-5</v>
      </c>
      <c r="E582" s="38">
        <v>0.00943410724668932</v>
      </c>
      <c r="F582" s="38">
        <v>5.5297613471603E-7</v>
      </c>
      <c r="G582" s="38">
        <v>1.58151174528785E-4</v>
      </c>
      <c r="H582" s="39">
        <f t="shared" si="1"/>
        <v>286.0000002</v>
      </c>
      <c r="I582" s="39" t="str">
        <f>IFNA(VLOOKUP(A582,표2[#ALL],2, FALSE), "")</f>
        <v/>
      </c>
      <c r="J582" s="40" t="str">
        <f t="shared" si="2"/>
        <v/>
      </c>
      <c r="K582" s="41" t="str">
        <f t="shared" si="3"/>
        <v/>
      </c>
    </row>
    <row r="583">
      <c r="A583" s="35">
        <v>670.0</v>
      </c>
      <c r="B583" s="42">
        <v>45518.73349537037</v>
      </c>
      <c r="C583" s="42">
        <v>45518.73479166667</v>
      </c>
      <c r="D583" s="43">
        <v>3.5919005877051E-5</v>
      </c>
      <c r="E583" s="44">
        <v>0.00402292865822972</v>
      </c>
      <c r="F583" s="44">
        <v>5.05691881784335E-8</v>
      </c>
      <c r="G583" s="44">
        <v>5.66374907598455E-6</v>
      </c>
      <c r="H583" s="45">
        <f t="shared" si="1"/>
        <v>112.0000004</v>
      </c>
      <c r="I583" s="45" t="str">
        <f>IFNA(VLOOKUP(A583,표2[#ALL],2, FALSE), "")</f>
        <v/>
      </c>
      <c r="J583" s="46" t="str">
        <f t="shared" si="2"/>
        <v/>
      </c>
      <c r="K583" s="47" t="str">
        <f t="shared" si="3"/>
        <v/>
      </c>
    </row>
    <row r="584">
      <c r="A584" s="35">
        <v>671.0</v>
      </c>
      <c r="B584" s="36">
        <v>45518.74329861111</v>
      </c>
      <c r="C584" s="36">
        <v>45518.74768518518</v>
      </c>
      <c r="D584" s="37">
        <v>3.55954225371931E-5</v>
      </c>
      <c r="E584" s="38">
        <v>0.0134906651415962</v>
      </c>
      <c r="F584" s="38">
        <v>2.94524231572185E-8</v>
      </c>
      <c r="G584" s="38">
        <v>1.11624683765858E-5</v>
      </c>
      <c r="H584" s="39">
        <f t="shared" si="1"/>
        <v>379</v>
      </c>
      <c r="I584" s="39" t="str">
        <f>IFNA(VLOOKUP(A584,표2[#ALL],2, FALSE), "")</f>
        <v/>
      </c>
      <c r="J584" s="40" t="str">
        <f t="shared" si="2"/>
        <v/>
      </c>
      <c r="K584" s="41" t="str">
        <f t="shared" si="3"/>
        <v/>
      </c>
    </row>
    <row r="585">
      <c r="A585" s="35">
        <v>672.0</v>
      </c>
      <c r="B585" s="42">
        <v>45518.748460648145</v>
      </c>
      <c r="C585" s="42">
        <v>45518.75119212963</v>
      </c>
      <c r="D585" s="43">
        <v>3.57136144081435E-5</v>
      </c>
      <c r="E585" s="44">
        <v>0.00842841300032188</v>
      </c>
      <c r="F585" s="44">
        <v>3.70536579171965E-8</v>
      </c>
      <c r="G585" s="44">
        <v>8.74466326845837E-6</v>
      </c>
      <c r="H585" s="45">
        <f t="shared" si="1"/>
        <v>236.0000005</v>
      </c>
      <c r="I585" s="45" t="str">
        <f>IFNA(VLOOKUP(A585,표2[#ALL],2, FALSE), "")</f>
        <v/>
      </c>
      <c r="J585" s="46" t="str">
        <f t="shared" si="2"/>
        <v/>
      </c>
      <c r="K585" s="47" t="str">
        <f t="shared" si="3"/>
        <v/>
      </c>
    </row>
    <row r="586">
      <c r="A586" s="35">
        <v>673.0</v>
      </c>
      <c r="B586" s="36">
        <v>45518.75137731482</v>
      </c>
      <c r="C586" s="36">
        <v>45518.75163194445</v>
      </c>
      <c r="D586" s="37">
        <v>3.55684962626057E-5</v>
      </c>
      <c r="E586" s="38">
        <v>7.82506917777326E-4</v>
      </c>
      <c r="F586" s="38">
        <v>9.9050169494234E-8</v>
      </c>
      <c r="G586" s="38">
        <v>2.17910372887315E-6</v>
      </c>
      <c r="H586" s="39">
        <f t="shared" si="1"/>
        <v>22.00000011</v>
      </c>
      <c r="I586" s="39" t="str">
        <f>IFNA(VLOOKUP(A586,표2[#ALL],2, FALSE), "")</f>
        <v/>
      </c>
      <c r="J586" s="40" t="str">
        <f t="shared" si="2"/>
        <v/>
      </c>
      <c r="K586" s="41" t="str">
        <f t="shared" si="3"/>
        <v/>
      </c>
    </row>
    <row r="587">
      <c r="A587" s="35">
        <v>674.0</v>
      </c>
      <c r="B587" s="42">
        <v>45518.75446759259</v>
      </c>
      <c r="C587" s="42">
        <v>45518.75518518518</v>
      </c>
      <c r="D587" s="43">
        <v>3.58399697493036E-5</v>
      </c>
      <c r="E587" s="44">
        <v>0.00222207812445683</v>
      </c>
      <c r="F587" s="44">
        <v>8.47010907116394E-8</v>
      </c>
      <c r="G587" s="44">
        <v>5.25146762412164E-6</v>
      </c>
      <c r="H587" s="45">
        <f t="shared" si="1"/>
        <v>62.00000003</v>
      </c>
      <c r="I587" s="45" t="str">
        <f>IFNA(VLOOKUP(A587,표2[#ALL],2, FALSE), "")</f>
        <v/>
      </c>
      <c r="J587" s="46" t="str">
        <f t="shared" si="2"/>
        <v/>
      </c>
      <c r="K587" s="47" t="str">
        <f t="shared" si="3"/>
        <v/>
      </c>
    </row>
    <row r="588">
      <c r="A588" s="35">
        <v>675.0</v>
      </c>
      <c r="B588" s="36">
        <v>45518.75581018518</v>
      </c>
      <c r="C588" s="36">
        <v>45518.756203703706</v>
      </c>
      <c r="D588" s="37">
        <v>3.54988187418917E-5</v>
      </c>
      <c r="E588" s="38">
        <v>0.00120695983722432</v>
      </c>
      <c r="F588" s="38">
        <v>8.48448380527368E-8</v>
      </c>
      <c r="G588" s="38">
        <v>2.88472449379305E-6</v>
      </c>
      <c r="H588" s="39">
        <f t="shared" si="1"/>
        <v>34.0000004</v>
      </c>
      <c r="I588" s="39" t="str">
        <f>IFNA(VLOOKUP(A588,표2[#ALL],2, FALSE), "")</f>
        <v/>
      </c>
      <c r="J588" s="40" t="str">
        <f t="shared" si="2"/>
        <v/>
      </c>
      <c r="K588" s="41" t="str">
        <f t="shared" si="3"/>
        <v/>
      </c>
    </row>
    <row r="589">
      <c r="A589" s="35">
        <v>700.0</v>
      </c>
      <c r="B589" s="42">
        <v>45526.44525462963</v>
      </c>
      <c r="C589" s="42">
        <v>45526.45111111111</v>
      </c>
      <c r="D589" s="43">
        <v>3.57472933674288E-5</v>
      </c>
      <c r="E589" s="44">
        <v>0.018088130443919</v>
      </c>
      <c r="F589" s="44">
        <v>1.77372888698875E-7</v>
      </c>
      <c r="G589" s="44">
        <v>8.97506816816309E-5</v>
      </c>
      <c r="H589" s="45">
        <f t="shared" si="1"/>
        <v>506.0000001</v>
      </c>
      <c r="I589" s="45" t="str">
        <f>IFNA(VLOOKUP(A589,표2[#ALL],2, FALSE), "")</f>
        <v/>
      </c>
      <c r="J589" s="46" t="str">
        <f t="shared" si="2"/>
        <v/>
      </c>
      <c r="K589" s="47" t="str">
        <f t="shared" si="3"/>
        <v/>
      </c>
    </row>
    <row r="590">
      <c r="A590" s="35">
        <v>701.0</v>
      </c>
      <c r="B590" s="36">
        <v>45526.472395833334</v>
      </c>
      <c r="C590" s="36">
        <v>45526.47486111111</v>
      </c>
      <c r="D590" s="37">
        <v>3.74491343516421E-5</v>
      </c>
      <c r="E590" s="38">
        <v>0.00797666561689976</v>
      </c>
      <c r="F590" s="38">
        <v>3.13712281518794E-8</v>
      </c>
      <c r="G590" s="38">
        <v>6.68207159635032E-6</v>
      </c>
      <c r="H590" s="39">
        <f t="shared" si="1"/>
        <v>213.0000001</v>
      </c>
      <c r="I590" s="39" t="str">
        <f>IFNA(VLOOKUP(A590,표2[#ALL],2, FALSE), "")</f>
        <v/>
      </c>
      <c r="J590" s="40" t="str">
        <f t="shared" si="2"/>
        <v/>
      </c>
      <c r="K590" s="41" t="str">
        <f t="shared" si="3"/>
        <v/>
      </c>
    </row>
    <row r="591">
      <c r="A591" s="35">
        <v>702.0</v>
      </c>
      <c r="B591" s="42">
        <v>45526.47862268519</v>
      </c>
      <c r="C591" s="42">
        <v>45526.47902777778</v>
      </c>
      <c r="D591" s="43">
        <v>1.85190043012012E-5</v>
      </c>
      <c r="E591" s="44">
        <v>6.48165150542043E-4</v>
      </c>
      <c r="F591" s="44">
        <v>3.19011257636147E-6</v>
      </c>
      <c r="G591" s="44">
        <v>1.11653940172652E-4</v>
      </c>
      <c r="H591" s="45">
        <f t="shared" si="1"/>
        <v>35.00000001</v>
      </c>
      <c r="I591" s="45" t="str">
        <f>IFNA(VLOOKUP(A591,표2[#ALL],2, FALSE), "")</f>
        <v/>
      </c>
      <c r="J591" s="46" t="str">
        <f t="shared" si="2"/>
        <v/>
      </c>
      <c r="K591" s="47" t="str">
        <f t="shared" si="3"/>
        <v/>
      </c>
    </row>
    <row r="592">
      <c r="A592" s="35">
        <v>703.0</v>
      </c>
      <c r="B592" s="36">
        <v>45526.47994212963</v>
      </c>
      <c r="C592" s="36">
        <v>45526.48086805556</v>
      </c>
      <c r="D592" s="37">
        <v>3.7489969871451E-5</v>
      </c>
      <c r="E592" s="38">
        <v>0.00299919758971608</v>
      </c>
      <c r="F592" s="38">
        <v>4.81967705636524E-8</v>
      </c>
      <c r="G592" s="38">
        <v>3.8557416450922E-6</v>
      </c>
      <c r="H592" s="39">
        <f t="shared" si="1"/>
        <v>80.00000047</v>
      </c>
      <c r="I592" s="39" t="str">
        <f>IFNA(VLOOKUP(A592,표2[#ALL],2, FALSE), "")</f>
        <v/>
      </c>
      <c r="J592" s="40" t="str">
        <f t="shared" si="2"/>
        <v/>
      </c>
      <c r="K592" s="41" t="str">
        <f t="shared" si="3"/>
        <v/>
      </c>
    </row>
    <row r="593">
      <c r="A593" s="35">
        <v>704.0</v>
      </c>
      <c r="B593" s="42">
        <v>45526.48111111111</v>
      </c>
      <c r="C593" s="42">
        <v>45526.49265046296</v>
      </c>
      <c r="D593" s="43">
        <v>3.70575273261757E-5</v>
      </c>
      <c r="E593" s="44">
        <v>0.0369463547441972</v>
      </c>
      <c r="F593" s="44">
        <v>1.13011197233494E-7</v>
      </c>
      <c r="G593" s="44">
        <v>1.12672163641793E-4</v>
      </c>
      <c r="H593" s="45">
        <f t="shared" si="1"/>
        <v>996.9999998</v>
      </c>
      <c r="I593" s="45" t="str">
        <f>IFNA(VLOOKUP(A593,표2[#ALL],2, FALSE), "")</f>
        <v/>
      </c>
      <c r="J593" s="46" t="str">
        <f t="shared" si="2"/>
        <v/>
      </c>
      <c r="K593" s="47" t="str">
        <f t="shared" si="3"/>
        <v/>
      </c>
    </row>
    <row r="594">
      <c r="A594" s="35">
        <v>705.0</v>
      </c>
      <c r="B594" s="36">
        <v>45526.49427083333</v>
      </c>
      <c r="C594" s="36">
        <v>45526.4953125</v>
      </c>
      <c r="D594" s="37">
        <v>3.71539265658068E-5</v>
      </c>
      <c r="E594" s="38">
        <v>0.00334385339092262</v>
      </c>
      <c r="F594" s="38">
        <v>4.26285473379325E-8</v>
      </c>
      <c r="G594" s="38">
        <v>3.83656926041393E-6</v>
      </c>
      <c r="H594" s="39">
        <f t="shared" si="1"/>
        <v>90.00000029</v>
      </c>
      <c r="I594" s="39" t="str">
        <f>IFNA(VLOOKUP(A594,표2[#ALL],2, FALSE), "")</f>
        <v/>
      </c>
      <c r="J594" s="40" t="str">
        <f t="shared" si="2"/>
        <v/>
      </c>
      <c r="K594" s="41" t="str">
        <f t="shared" si="3"/>
        <v/>
      </c>
    </row>
    <row r="595">
      <c r="A595" s="35">
        <v>706.0</v>
      </c>
      <c r="B595" s="42">
        <v>45526.504479166666</v>
      </c>
      <c r="C595" s="42">
        <v>45526.511770833335</v>
      </c>
      <c r="D595" s="43">
        <v>3.69520167382867E-5</v>
      </c>
      <c r="E595" s="44">
        <v>0.0232797705451206</v>
      </c>
      <c r="F595" s="44">
        <v>1.46512353441921E-7</v>
      </c>
      <c r="G595" s="44">
        <v>9.23027826684104E-5</v>
      </c>
      <c r="H595" s="45">
        <f t="shared" si="1"/>
        <v>630.0000002</v>
      </c>
      <c r="I595" s="45">
        <f>IFNA(VLOOKUP(A595,표2[#ALL],2, FALSE), "")</f>
        <v>614.285116</v>
      </c>
      <c r="J595" s="48">
        <f t="shared" si="2"/>
        <v>0.02269907389</v>
      </c>
      <c r="K595" s="49">
        <f t="shared" si="3"/>
        <v>0.01870630679</v>
      </c>
    </row>
    <row r="596">
      <c r="A596" s="35">
        <v>707.0</v>
      </c>
      <c r="B596" s="36">
        <v>45526.513449074075</v>
      </c>
      <c r="C596" s="36">
        <v>45526.51478009259</v>
      </c>
      <c r="D596" s="37">
        <v>3.50771500624776E-5</v>
      </c>
      <c r="E596" s="38">
        <v>0.00403387225718492</v>
      </c>
      <c r="F596" s="38">
        <v>8.37868840950372E-7</v>
      </c>
      <c r="G596" s="38">
        <v>9.63549167092927E-5</v>
      </c>
      <c r="H596" s="39">
        <f t="shared" si="1"/>
        <v>114.9999999</v>
      </c>
      <c r="I596" s="39">
        <f>IFNA(VLOOKUP(A596,표2[#ALL],2, FALSE), "")</f>
        <v>98.1006918</v>
      </c>
      <c r="J596" s="50">
        <f t="shared" si="2"/>
        <v>0.003441092688</v>
      </c>
      <c r="K596" s="51">
        <f t="shared" si="3"/>
        <v>0.002835804484</v>
      </c>
    </row>
    <row r="597">
      <c r="A597" s="35">
        <v>708.0</v>
      </c>
      <c r="B597" s="42">
        <v>45526.515393518515</v>
      </c>
      <c r="C597" s="42">
        <v>45526.51914351852</v>
      </c>
      <c r="D597" s="43">
        <v>3.66359406969623E-5</v>
      </c>
      <c r="E597" s="44">
        <v>0.0118700447858158</v>
      </c>
      <c r="F597" s="44">
        <v>2.82455714055377E-7</v>
      </c>
      <c r="G597" s="44">
        <v>9.15156513539422E-5</v>
      </c>
      <c r="H597" s="45">
        <f t="shared" si="1"/>
        <v>324.0000003</v>
      </c>
      <c r="I597" s="45">
        <f>IFNA(VLOOKUP(A597,표2[#ALL],2, FALSE), "")</f>
        <v>306.345991</v>
      </c>
      <c r="J597" s="48">
        <f t="shared" si="2"/>
        <v>0.01122327356</v>
      </c>
      <c r="K597" s="49">
        <f t="shared" si="3"/>
        <v>0.00924909974</v>
      </c>
    </row>
    <row r="598">
      <c r="A598" s="35">
        <v>709.0</v>
      </c>
      <c r="B598" s="36">
        <v>45526.520625</v>
      </c>
      <c r="C598" s="36">
        <v>45526.521006944444</v>
      </c>
      <c r="D598" s="37">
        <v>3.72792329338359E-5</v>
      </c>
      <c r="E598" s="38">
        <v>0.00123021468681658</v>
      </c>
      <c r="F598" s="38">
        <v>9.56960165288712E-8</v>
      </c>
      <c r="G598" s="38">
        <v>3.15796854545275E-6</v>
      </c>
      <c r="H598" s="39">
        <f t="shared" si="1"/>
        <v>33.00000017</v>
      </c>
      <c r="I598" s="39" t="str">
        <f>IFNA(VLOOKUP(A598,표2[#ALL],2, FALSE), "")</f>
        <v/>
      </c>
      <c r="J598" s="40" t="str">
        <f t="shared" si="2"/>
        <v/>
      </c>
      <c r="K598" s="41" t="str">
        <f t="shared" si="3"/>
        <v/>
      </c>
    </row>
    <row r="599">
      <c r="A599" s="35">
        <v>710.0</v>
      </c>
      <c r="B599" s="42">
        <v>45526.52471064815</v>
      </c>
      <c r="C599" s="42">
        <v>45526.52488425926</v>
      </c>
      <c r="D599" s="43">
        <v>3.51902352462956E-6</v>
      </c>
      <c r="E599" s="44">
        <v>5.27853528694434E-5</v>
      </c>
      <c r="F599" s="44">
        <v>3.20311653170309E-6</v>
      </c>
      <c r="G599" s="44">
        <v>4.80467479755464E-5</v>
      </c>
      <c r="H599" s="45">
        <f t="shared" si="1"/>
        <v>15.00000036</v>
      </c>
      <c r="I599" s="45" t="str">
        <f>IFNA(VLOOKUP(A599,표2[#ALL],2, FALSE), "")</f>
        <v/>
      </c>
      <c r="J599" s="46" t="str">
        <f t="shared" si="2"/>
        <v/>
      </c>
      <c r="K599" s="47" t="str">
        <f t="shared" si="3"/>
        <v/>
      </c>
    </row>
    <row r="600">
      <c r="A600" s="35">
        <v>711.0</v>
      </c>
      <c r="B600" s="36">
        <v>45526.52599537037</v>
      </c>
      <c r="C600" s="36">
        <v>45526.531226851854</v>
      </c>
      <c r="D600" s="37">
        <v>3.73763672346706E-5</v>
      </c>
      <c r="E600" s="38">
        <v>0.0168941179900711</v>
      </c>
      <c r="F600" s="38">
        <v>2.66627500392628E-8</v>
      </c>
      <c r="G600" s="38">
        <v>1.20515630177468E-5</v>
      </c>
      <c r="H600" s="39">
        <f t="shared" si="1"/>
        <v>452</v>
      </c>
      <c r="I600" s="39" t="str">
        <f>IFNA(VLOOKUP(A600,표2[#ALL],2, FALSE), "")</f>
        <v/>
      </c>
      <c r="J600" s="40" t="str">
        <f t="shared" si="2"/>
        <v/>
      </c>
      <c r="K600" s="41" t="str">
        <f t="shared" si="3"/>
        <v/>
      </c>
    </row>
    <row r="601">
      <c r="A601" s="35">
        <v>712.0</v>
      </c>
      <c r="B601" s="42">
        <v>45526.533530092594</v>
      </c>
      <c r="C601" s="42">
        <v>45526.53797453704</v>
      </c>
      <c r="D601" s="43">
        <v>3.73716749572533E-5</v>
      </c>
      <c r="E601" s="44">
        <v>0.0143507231835853</v>
      </c>
      <c r="F601" s="44">
        <v>3.02545825421483E-8</v>
      </c>
      <c r="G601" s="44">
        <v>1.16177596961849E-5</v>
      </c>
      <c r="H601" s="45">
        <f t="shared" si="1"/>
        <v>383.9999999</v>
      </c>
      <c r="I601" s="45" t="str">
        <f>IFNA(VLOOKUP(A601,표2[#ALL],2, FALSE), "")</f>
        <v/>
      </c>
      <c r="J601" s="46" t="str">
        <f t="shared" si="2"/>
        <v/>
      </c>
      <c r="K601" s="47" t="str">
        <f t="shared" si="3"/>
        <v/>
      </c>
    </row>
    <row r="602">
      <c r="A602" s="35">
        <v>713.0</v>
      </c>
      <c r="B602" s="36">
        <v>45526.53804398148</v>
      </c>
      <c r="C602" s="36">
        <v>45526.54293981481</v>
      </c>
      <c r="D602" s="37">
        <v>3.67716968736811E-5</v>
      </c>
      <c r="E602" s="38">
        <v>0.0155544277775671</v>
      </c>
      <c r="F602" s="38">
        <v>2.38046780454E-7</v>
      </c>
      <c r="G602" s="38">
        <v>1.00693788132042E-4</v>
      </c>
      <c r="H602" s="39">
        <f t="shared" si="1"/>
        <v>422.9999996</v>
      </c>
      <c r="I602" s="39">
        <f>IFNA(VLOOKUP(A602,표2[#ALL],2, FALSE), "")</f>
        <v>404.886137</v>
      </c>
      <c r="J602" s="50">
        <f t="shared" si="2"/>
        <v>0.0148883503</v>
      </c>
      <c r="K602" s="51">
        <f t="shared" si="3"/>
        <v>0.01226948948</v>
      </c>
    </row>
    <row r="603">
      <c r="A603" s="35">
        <v>714.0</v>
      </c>
      <c r="B603" s="42">
        <v>45526.54775462963</v>
      </c>
      <c r="C603" s="42">
        <v>45526.55081018519</v>
      </c>
      <c r="D603" s="43">
        <v>3.62640065930315E-5</v>
      </c>
      <c r="E603" s="44">
        <v>0.00957369774056031</v>
      </c>
      <c r="F603" s="44">
        <v>3.59203077556316E-7</v>
      </c>
      <c r="G603" s="44">
        <v>9.48296124748675E-5</v>
      </c>
      <c r="H603" s="45">
        <f t="shared" si="1"/>
        <v>264.0000001</v>
      </c>
      <c r="I603" s="45">
        <f>IFNA(VLOOKUP(A603,표2[#ALL],2, FALSE), "")</f>
        <v>247.544007</v>
      </c>
      <c r="J603" s="48">
        <f t="shared" si="2"/>
        <v>0.008976937502</v>
      </c>
      <c r="K603" s="49">
        <f t="shared" si="3"/>
        <v>0.007397894195</v>
      </c>
    </row>
    <row r="604">
      <c r="A604" s="35">
        <v>715.0</v>
      </c>
      <c r="B604" s="36">
        <v>45526.55217592593</v>
      </c>
      <c r="C604" s="36">
        <v>45526.55427083333</v>
      </c>
      <c r="D604" s="37">
        <v>3.60369556224283E-5</v>
      </c>
      <c r="E604" s="38">
        <v>0.00652268896765953</v>
      </c>
      <c r="F604" s="38">
        <v>5.02646561836562E-7</v>
      </c>
      <c r="G604" s="38">
        <v>9.09790276924178E-5</v>
      </c>
      <c r="H604" s="39">
        <f t="shared" si="1"/>
        <v>180.9999996</v>
      </c>
      <c r="I604" s="39">
        <f>IFNA(VLOOKUP(A604,표2[#ALL],2, FALSE), "")</f>
        <v>162.89443</v>
      </c>
      <c r="J604" s="50">
        <f t="shared" si="2"/>
        <v>0.005870219345</v>
      </c>
      <c r="K604" s="51">
        <f t="shared" si="3"/>
        <v>0.004837647762</v>
      </c>
    </row>
    <row r="605">
      <c r="A605" s="35">
        <v>716.0</v>
      </c>
      <c r="B605" s="42">
        <v>45526.555081018516</v>
      </c>
      <c r="C605" s="42">
        <v>45526.55918981481</v>
      </c>
      <c r="D605" s="43">
        <v>3.64049754989355E-5</v>
      </c>
      <c r="E605" s="44">
        <v>0.0129237663021221</v>
      </c>
      <c r="F605" s="44">
        <v>2.90717155040934E-7</v>
      </c>
      <c r="G605" s="44">
        <v>1.03204590039531E-4</v>
      </c>
      <c r="H605" s="45">
        <f t="shared" si="1"/>
        <v>355</v>
      </c>
      <c r="I605" s="45">
        <f>IFNA(VLOOKUP(A605,표2[#ALL],2, FALSE), "")</f>
        <v>336.541914</v>
      </c>
      <c r="J605" s="48">
        <f t="shared" si="2"/>
        <v>0.01225180013</v>
      </c>
      <c r="K605" s="49">
        <f t="shared" si="3"/>
        <v>0.01009670849</v>
      </c>
    </row>
    <row r="606">
      <c r="A606" s="35">
        <v>717.0</v>
      </c>
      <c r="B606" s="36">
        <v>45526.560381944444</v>
      </c>
      <c r="C606" s="36">
        <v>45526.56431712963</v>
      </c>
      <c r="D606" s="37">
        <v>3.64551406227927E-5</v>
      </c>
      <c r="E606" s="38">
        <v>0.0123947478117495</v>
      </c>
      <c r="F606" s="38">
        <v>2.88660864016872E-7</v>
      </c>
      <c r="G606" s="38">
        <v>9.81446937657366E-5</v>
      </c>
      <c r="H606" s="39">
        <f t="shared" si="1"/>
        <v>340.0000003</v>
      </c>
      <c r="I606" s="39">
        <f>IFNA(VLOOKUP(A606,표2[#ALL],2, FALSE), "")</f>
        <v>321.788124</v>
      </c>
      <c r="J606" s="50">
        <f t="shared" si="2"/>
        <v>0.01173083131</v>
      </c>
      <c r="K606" s="51">
        <f t="shared" si="3"/>
        <v>0.009667378084</v>
      </c>
    </row>
    <row r="607">
      <c r="A607" s="35">
        <v>718.0</v>
      </c>
      <c r="B607" s="42">
        <v>45526.564930555556</v>
      </c>
      <c r="C607" s="42">
        <v>45526.56722222222</v>
      </c>
      <c r="D607" s="43">
        <v>3.55602491973595E-5</v>
      </c>
      <c r="E607" s="44">
        <v>0.00704092934107717</v>
      </c>
      <c r="F607" s="44">
        <v>4.87063967858339E-7</v>
      </c>
      <c r="G607" s="44">
        <v>9.64386656359512E-5</v>
      </c>
      <c r="H607" s="45">
        <f t="shared" si="1"/>
        <v>197.9999998</v>
      </c>
      <c r="I607" s="45">
        <f>IFNA(VLOOKUP(A607,표2[#ALL],2, FALSE), "")</f>
        <v>181.199726</v>
      </c>
      <c r="J607" s="48">
        <f t="shared" si="2"/>
        <v>0.006443507411</v>
      </c>
      <c r="K607" s="49">
        <f t="shared" si="3"/>
        <v>0.005310094457</v>
      </c>
    </row>
    <row r="608">
      <c r="A608" s="35">
        <v>719.0</v>
      </c>
      <c r="B608" s="36">
        <v>45526.56894675926</v>
      </c>
      <c r="C608" s="36">
        <v>45526.57215277778</v>
      </c>
      <c r="D608" s="37">
        <v>3.59883986268865E-5</v>
      </c>
      <c r="E608" s="38">
        <v>0.00996878641964756</v>
      </c>
      <c r="F608" s="38">
        <v>3.9876261313443E-7</v>
      </c>
      <c r="G608" s="38">
        <v>1.10457243838237E-4</v>
      </c>
      <c r="H608" s="39">
        <f t="shared" si="1"/>
        <v>277</v>
      </c>
      <c r="I608" s="39">
        <f>IFNA(VLOOKUP(A608,표2[#ALL],2, FALSE), "")</f>
        <v>257.297411</v>
      </c>
      <c r="J608" s="50">
        <f t="shared" si="2"/>
        <v>0.009259721793</v>
      </c>
      <c r="K608" s="51">
        <f t="shared" si="3"/>
        <v>0.007630936729</v>
      </c>
    </row>
    <row r="609">
      <c r="A609" s="35">
        <v>720.0</v>
      </c>
      <c r="B609" s="42">
        <v>45526.5746875</v>
      </c>
      <c r="C609" s="42">
        <v>45526.58085648148</v>
      </c>
      <c r="D609" s="43">
        <v>3.65497452727937E-5</v>
      </c>
      <c r="E609" s="44">
        <v>0.019481014230399</v>
      </c>
      <c r="F609" s="44">
        <v>1.84325204418338E-7</v>
      </c>
      <c r="G609" s="44">
        <v>9.82453339549744E-5</v>
      </c>
      <c r="H609" s="45">
        <f t="shared" si="1"/>
        <v>533.0000001</v>
      </c>
      <c r="I609" s="45">
        <f>IFNA(VLOOKUP(A609,표2[#ALL],2, FALSE), "")</f>
        <v>514.289824</v>
      </c>
      <c r="J609" s="48">
        <f t="shared" si="2"/>
        <v>0.01879716206</v>
      </c>
      <c r="K609" s="49">
        <f t="shared" si="3"/>
        <v>0.01549074126</v>
      </c>
    </row>
    <row r="610">
      <c r="A610" s="35">
        <v>721.0</v>
      </c>
      <c r="B610" s="36">
        <v>45526.58201388889</v>
      </c>
      <c r="C610" s="36">
        <v>45526.58449074074</v>
      </c>
      <c r="D610" s="37">
        <v>3.52184171003544E-5</v>
      </c>
      <c r="E610" s="38">
        <v>0.00753674125947584</v>
      </c>
      <c r="F610" s="38">
        <v>5.10536017639416E-7</v>
      </c>
      <c r="G610" s="38">
        <v>1.09254707774835E-4</v>
      </c>
      <c r="H610" s="39">
        <f t="shared" si="1"/>
        <v>213.9999997</v>
      </c>
      <c r="I610" s="39">
        <f>IFNA(VLOOKUP(A610,표2[#ALL],2, FALSE), "")</f>
        <v>194.143004</v>
      </c>
      <c r="J610" s="50">
        <f t="shared" si="2"/>
        <v>0.006837409292</v>
      </c>
      <c r="K610" s="51">
        <f t="shared" si="3"/>
        <v>0.005634708998</v>
      </c>
    </row>
    <row r="611">
      <c r="A611" s="35">
        <v>722.0</v>
      </c>
      <c r="B611" s="42">
        <v>45526.588113425925</v>
      </c>
      <c r="C611" s="42">
        <v>45526.59273148148</v>
      </c>
      <c r="D611" s="43">
        <v>3.61752799054824E-5</v>
      </c>
      <c r="E611" s="44">
        <v>0.0144339366822875</v>
      </c>
      <c r="F611" s="44">
        <v>2.4763084105121E-7</v>
      </c>
      <c r="G611" s="44">
        <v>9.88047055794326E-5</v>
      </c>
      <c r="H611" s="45">
        <f t="shared" si="1"/>
        <v>399.0000002</v>
      </c>
      <c r="I611" s="45">
        <f>IFNA(VLOOKUP(A611,표2[#ALL],2, FALSE), "")</f>
        <v>381.492819</v>
      </c>
      <c r="J611" s="48">
        <f t="shared" si="2"/>
        <v>0.01380060951</v>
      </c>
      <c r="K611" s="49">
        <f t="shared" si="3"/>
        <v>0.0113730823</v>
      </c>
    </row>
    <row r="612">
      <c r="A612" s="35">
        <v>723.0</v>
      </c>
      <c r="B612" s="36">
        <v>45526.593935185185</v>
      </c>
      <c r="C612" s="36">
        <v>45526.594722222224</v>
      </c>
      <c r="D612" s="37">
        <v>3.29847515436804E-5</v>
      </c>
      <c r="E612" s="38">
        <v>0.00224296310497027</v>
      </c>
      <c r="F612" s="38">
        <v>1.34968323490081E-6</v>
      </c>
      <c r="G612" s="38">
        <v>9.1778459973255E-5</v>
      </c>
      <c r="H612" s="39">
        <f t="shared" si="1"/>
        <v>68.00000018</v>
      </c>
      <c r="I612" s="39">
        <f>IFNA(VLOOKUP(A612,표2[#ALL],2, FALSE), "")</f>
        <v>50.5959128</v>
      </c>
      <c r="J612" s="50">
        <f t="shared" si="2"/>
        <v>0.001668893613</v>
      </c>
      <c r="K612" s="51">
        <f t="shared" si="3"/>
        <v>0.001375335226</v>
      </c>
    </row>
    <row r="613">
      <c r="A613" s="35">
        <v>724.0</v>
      </c>
      <c r="B613" s="42">
        <v>45526.595289351855</v>
      </c>
      <c r="C613" s="42">
        <v>45526.60126157408</v>
      </c>
      <c r="D613" s="43">
        <v>3.60401938562983E-5</v>
      </c>
      <c r="E613" s="44">
        <v>0.0185967400298499</v>
      </c>
      <c r="F613" s="44">
        <v>1.91933104080193E-7</v>
      </c>
      <c r="G613" s="44">
        <v>9.90374817053795E-5</v>
      </c>
      <c r="H613" s="45">
        <f t="shared" si="1"/>
        <v>515.9999999</v>
      </c>
      <c r="I613" s="45">
        <f>IFNA(VLOOKUP(A613,표2[#ALL],2, FALSE), "")</f>
        <v>498.037813</v>
      </c>
      <c r="J613" s="48">
        <f t="shared" si="2"/>
        <v>0.01794937933</v>
      </c>
      <c r="K613" s="49">
        <f t="shared" si="3"/>
        <v>0.0147920835</v>
      </c>
    </row>
    <row r="614">
      <c r="A614" s="35">
        <v>725.0</v>
      </c>
      <c r="B614" s="36">
        <v>45526.60230324074</v>
      </c>
      <c r="C614" s="36">
        <v>45526.612175925926</v>
      </c>
      <c r="D614" s="37">
        <v>3.6362542239802E-5</v>
      </c>
      <c r="E614" s="38">
        <v>0.0310172485305511</v>
      </c>
      <c r="F614" s="38">
        <v>1.09540104327783E-7</v>
      </c>
      <c r="G614" s="38">
        <v>9.34377089915985E-5</v>
      </c>
      <c r="H614" s="39">
        <f t="shared" si="1"/>
        <v>853.0000001</v>
      </c>
      <c r="I614" s="39">
        <f>IFNA(VLOOKUP(A614,표2[#ALL],2, FALSE), "")</f>
        <v>836.280278</v>
      </c>
      <c r="J614" s="50">
        <f t="shared" si="2"/>
        <v>0.03040927693</v>
      </c>
      <c r="K614" s="51">
        <f t="shared" si="3"/>
        <v>0.02506028512</v>
      </c>
    </row>
    <row r="615">
      <c r="A615" s="35">
        <v>726.0</v>
      </c>
      <c r="B615" s="42">
        <v>45526.614849537036</v>
      </c>
      <c r="C615" s="42">
        <v>45526.61680555555</v>
      </c>
      <c r="D615" s="43">
        <v>3.48913304648008E-5</v>
      </c>
      <c r="E615" s="44">
        <v>0.00589663484855133</v>
      </c>
      <c r="F615" s="44">
        <v>5.49700871695056E-7</v>
      </c>
      <c r="G615" s="44">
        <v>9.28994473164645E-5</v>
      </c>
      <c r="H615" s="45">
        <f t="shared" si="1"/>
        <v>168.9999999</v>
      </c>
      <c r="I615" s="45">
        <f>IFNA(VLOOKUP(A615,표2[#ALL],2, FALSE), "")</f>
        <v>152.44708</v>
      </c>
      <c r="J615" s="48">
        <f t="shared" si="2"/>
        <v>0.005319081447</v>
      </c>
      <c r="K615" s="49">
        <f t="shared" si="3"/>
        <v>0.00438345502</v>
      </c>
    </row>
    <row r="616">
      <c r="A616" s="35">
        <v>727.0</v>
      </c>
      <c r="B616" s="36">
        <v>45526.61798611111</v>
      </c>
      <c r="C616" s="36">
        <v>45526.624131944445</v>
      </c>
      <c r="D616" s="37">
        <v>3.59270941062556E-5</v>
      </c>
      <c r="E616" s="38">
        <v>0.0190772869704217</v>
      </c>
      <c r="F616" s="38">
        <v>1.70627058261373E-7</v>
      </c>
      <c r="G616" s="38">
        <v>9.06029679367893E-5</v>
      </c>
      <c r="H616" s="39">
        <f t="shared" si="1"/>
        <v>531.0000003</v>
      </c>
      <c r="I616" s="39">
        <f>IFNA(VLOOKUP(A616,표2[#ALL],2, FALSE), "")</f>
        <v>514.637465</v>
      </c>
      <c r="J616" s="50">
        <f t="shared" si="2"/>
        <v>0.01848942864</v>
      </c>
      <c r="K616" s="51">
        <f t="shared" si="3"/>
        <v>0.01523713814</v>
      </c>
    </row>
    <row r="617">
      <c r="A617" s="35">
        <v>728.0</v>
      </c>
      <c r="B617" s="42">
        <v>45526.627905092595</v>
      </c>
      <c r="C617" s="42">
        <v>45526.63238425926</v>
      </c>
      <c r="D617" s="43">
        <v>3.53764646320074E-5</v>
      </c>
      <c r="E617" s="44">
        <v>0.0136906918125868</v>
      </c>
      <c r="F617" s="44">
        <v>3.22615861153762E-7</v>
      </c>
      <c r="G617" s="44">
        <v>1.24852338266506E-4</v>
      </c>
      <c r="H617" s="45">
        <f t="shared" si="1"/>
        <v>386.9999999</v>
      </c>
      <c r="I617" s="45">
        <f>IFNA(VLOOKUP(A617,표2[#ALL],2, FALSE), "")</f>
        <v>365.340984</v>
      </c>
      <c r="J617" s="48">
        <f t="shared" si="2"/>
        <v>0.0129244724</v>
      </c>
      <c r="K617" s="49">
        <f t="shared" si="3"/>
        <v>0.0106510577</v>
      </c>
    </row>
    <row r="618">
      <c r="A618" s="35">
        <v>729.0</v>
      </c>
      <c r="B618" s="36">
        <v>45526.63434027778</v>
      </c>
      <c r="C618" s="36">
        <v>45526.63730324074</v>
      </c>
      <c r="D618" s="37">
        <v>3.47929721508338E-5</v>
      </c>
      <c r="E618" s="38">
        <v>0.00890700087061346</v>
      </c>
      <c r="F618" s="38">
        <v>3.93325310445546E-7</v>
      </c>
      <c r="G618" s="38">
        <v>1.0069127947406E-4</v>
      </c>
      <c r="H618" s="39">
        <f t="shared" si="1"/>
        <v>256.0000001</v>
      </c>
      <c r="I618" s="39">
        <f>IFNA(VLOOKUP(A618,표2[#ALL],2, FALSE), "")</f>
        <v>238.497801</v>
      </c>
      <c r="J618" s="50">
        <f t="shared" si="2"/>
        <v>0.008298047348</v>
      </c>
      <c r="K618" s="51">
        <f t="shared" si="3"/>
        <v>0.00683842082</v>
      </c>
    </row>
    <row r="619">
      <c r="A619" s="35">
        <v>730.0</v>
      </c>
      <c r="B619" s="42">
        <v>45526.638090277775</v>
      </c>
      <c r="C619" s="42">
        <v>45526.64142361111</v>
      </c>
      <c r="D619" s="43">
        <v>3.47352268031443E-5</v>
      </c>
      <c r="E619" s="44">
        <v>0.0100037453193056</v>
      </c>
      <c r="F619" s="44">
        <v>4.10449736107446E-7</v>
      </c>
      <c r="G619" s="44">
        <v>1.18209523998944E-4</v>
      </c>
      <c r="H619" s="45">
        <f t="shared" si="1"/>
        <v>288.0000001</v>
      </c>
      <c r="I619" s="45">
        <f>IFNA(VLOOKUP(A619,표2[#ALL],2, FALSE), "")</f>
        <v>267.39461</v>
      </c>
      <c r="J619" s="48">
        <f t="shared" si="2"/>
        <v>0.009288012424</v>
      </c>
      <c r="K619" s="49">
        <f t="shared" si="3"/>
        <v>0.007654251039</v>
      </c>
    </row>
    <row r="620">
      <c r="A620" s="35">
        <v>731.0</v>
      </c>
      <c r="B620" s="36">
        <v>45526.645208333335</v>
      </c>
      <c r="C620" s="36">
        <v>45526.652962962966</v>
      </c>
      <c r="D620" s="37">
        <v>3.55626185411206E-5</v>
      </c>
      <c r="E620" s="38">
        <v>0.0238269544225508</v>
      </c>
      <c r="F620" s="38">
        <v>1.66543771877153E-7</v>
      </c>
      <c r="G620" s="38">
        <v>1.11584327157693E-4</v>
      </c>
      <c r="H620" s="39">
        <f t="shared" si="1"/>
        <v>670.0000001</v>
      </c>
      <c r="I620" s="39">
        <f>IFNA(VLOOKUP(A620,표2[#ALL],2, FALSE), "")</f>
        <v>650.03318</v>
      </c>
      <c r="J620" s="50">
        <f t="shared" si="2"/>
        <v>0.02311688202</v>
      </c>
      <c r="K620" s="51">
        <f t="shared" si="3"/>
        <v>0.01905062247</v>
      </c>
    </row>
    <row r="621">
      <c r="A621" s="35">
        <v>732.0</v>
      </c>
      <c r="B621" s="42">
        <v>45526.65707175926</v>
      </c>
      <c r="C621" s="42">
        <v>45526.663125</v>
      </c>
      <c r="D621" s="43">
        <v>3.49184159243166E-5</v>
      </c>
      <c r="E621" s="44">
        <v>0.0182623315284176</v>
      </c>
      <c r="F621" s="44">
        <v>2.45753973854057E-7</v>
      </c>
      <c r="G621" s="44">
        <v>1.28529328325672E-4</v>
      </c>
      <c r="H621" s="45">
        <f t="shared" si="1"/>
        <v>522.9999997</v>
      </c>
      <c r="I621" s="45">
        <f>IFNA(VLOOKUP(A621,표2[#ALL],2, FALSE), "")</f>
        <v>499.486272</v>
      </c>
      <c r="J621" s="48">
        <f t="shared" si="2"/>
        <v>0.01744126939</v>
      </c>
      <c r="K621" s="49">
        <f t="shared" si="3"/>
        <v>0.01437335011</v>
      </c>
    </row>
    <row r="622">
      <c r="A622" s="35">
        <v>733.0</v>
      </c>
      <c r="B622" s="36">
        <v>45526.66459490741</v>
      </c>
      <c r="C622" s="36">
        <v>45526.67774305555</v>
      </c>
      <c r="D622" s="37">
        <v>3.55724732295704E-5</v>
      </c>
      <c r="E622" s="38">
        <v>0.040410329588792</v>
      </c>
      <c r="F622" s="38">
        <v>5.93633851054557E-8</v>
      </c>
      <c r="G622" s="38">
        <v>6.74368054797976E-5</v>
      </c>
      <c r="H622" s="39">
        <f t="shared" si="1"/>
        <v>1136</v>
      </c>
      <c r="I622" s="39">
        <f>IFNA(VLOOKUP(A622,표2[#ALL],2, FALSE), "")</f>
        <v>1123.16907</v>
      </c>
      <c r="J622" s="50">
        <f t="shared" si="2"/>
        <v>0.03995390167</v>
      </c>
      <c r="K622" s="51">
        <f t="shared" si="3"/>
        <v>0.03292601037</v>
      </c>
    </row>
    <row r="623">
      <c r="A623" s="35">
        <v>734.0</v>
      </c>
      <c r="B623" s="42">
        <v>45526.6796875</v>
      </c>
      <c r="C623" s="42">
        <v>45526.68268518519</v>
      </c>
      <c r="D623" s="43">
        <v>3.48770838643886E-5</v>
      </c>
      <c r="E623" s="44">
        <v>0.00903316472087665</v>
      </c>
      <c r="F623" s="44">
        <v>3.07311185964284E-7</v>
      </c>
      <c r="G623" s="44">
        <v>7.95935971647496E-5</v>
      </c>
      <c r="H623" s="45">
        <f t="shared" si="1"/>
        <v>259.0000002</v>
      </c>
      <c r="I623" s="45">
        <f>IFNA(VLOOKUP(A623,표2[#ALL],2, FALSE), "")</f>
        <v>243.594241</v>
      </c>
      <c r="J623" s="48">
        <f t="shared" si="2"/>
        <v>0.008495856772</v>
      </c>
      <c r="K623" s="49">
        <f t="shared" si="3"/>
        <v>0.007001435566</v>
      </c>
    </row>
    <row r="624">
      <c r="A624" s="35">
        <v>735.0</v>
      </c>
      <c r="B624" s="36">
        <v>45526.68699074074</v>
      </c>
      <c r="C624" s="36">
        <v>45526.68849537037</v>
      </c>
      <c r="D624" s="37">
        <v>3.33937763201682E-5</v>
      </c>
      <c r="E624" s="38">
        <v>0.00434119092162186</v>
      </c>
      <c r="F624" s="38">
        <v>7.52374069113137E-7</v>
      </c>
      <c r="G624" s="38">
        <v>9.78086289847078E-5</v>
      </c>
      <c r="H624" s="39">
        <f t="shared" si="1"/>
        <v>130.0000002</v>
      </c>
      <c r="I624" s="39">
        <f>IFNA(VLOOKUP(A624,표2[#ALL],2, FALSE), "")</f>
        <v>112.448075</v>
      </c>
      <c r="J624" s="50">
        <f t="shared" si="2"/>
        <v>0.003755065864</v>
      </c>
      <c r="K624" s="51">
        <f t="shared" si="3"/>
        <v>0.003094549779</v>
      </c>
    </row>
    <row r="625">
      <c r="A625" s="35">
        <v>736.0</v>
      </c>
      <c r="B625" s="42">
        <v>45526.68891203704</v>
      </c>
      <c r="C625" s="42">
        <v>45526.69280092593</v>
      </c>
      <c r="D625" s="43">
        <v>3.44287361004482E-5</v>
      </c>
      <c r="E625" s="44">
        <v>0.0115680553297506</v>
      </c>
      <c r="F625" s="44">
        <v>3.04683459058321E-7</v>
      </c>
      <c r="G625" s="44">
        <v>1.02373642243596E-4</v>
      </c>
      <c r="H625" s="45">
        <f t="shared" si="1"/>
        <v>336</v>
      </c>
      <c r="I625" s="45">
        <f>IFNA(VLOOKUP(A625,표2[#ALL],2, FALSE), "")</f>
        <v>317.840172</v>
      </c>
      <c r="J625" s="48">
        <f t="shared" si="2"/>
        <v>0.0109428354</v>
      </c>
      <c r="K625" s="49">
        <f t="shared" si="3"/>
        <v>0.009017990656</v>
      </c>
    </row>
    <row r="626">
      <c r="A626" s="35">
        <v>737.0</v>
      </c>
      <c r="B626" s="36">
        <v>45526.69378472222</v>
      </c>
      <c r="C626" s="36">
        <v>45526.70297453704</v>
      </c>
      <c r="D626" s="37">
        <v>3.50059919641987E-5</v>
      </c>
      <c r="E626" s="38">
        <v>0.0277947576195738</v>
      </c>
      <c r="F626" s="38">
        <v>1.20893506105464E-7</v>
      </c>
      <c r="G626" s="38">
        <v>9.59894438477384E-5</v>
      </c>
      <c r="H626" s="39">
        <f t="shared" si="1"/>
        <v>794.0000002</v>
      </c>
      <c r="I626" s="39">
        <f>IFNA(VLOOKUP(A626,표2[#ALL],2, FALSE), "")</f>
        <v>775.878889</v>
      </c>
      <c r="J626" s="50">
        <f t="shared" si="2"/>
        <v>0.02716041015</v>
      </c>
      <c r="K626" s="51">
        <f t="shared" si="3"/>
        <v>0.02238289401</v>
      </c>
    </row>
    <row r="627">
      <c r="A627" s="35">
        <v>738.0</v>
      </c>
      <c r="B627" s="42">
        <v>45526.70741898148</v>
      </c>
      <c r="C627" s="42">
        <v>45526.712685185186</v>
      </c>
      <c r="D627" s="43">
        <v>3.43192758802212E-5</v>
      </c>
      <c r="E627" s="44">
        <v>0.0156152705255007</v>
      </c>
      <c r="F627" s="44">
        <v>2.43625760482788E-7</v>
      </c>
      <c r="G627" s="44">
        <v>1.10849721019669E-4</v>
      </c>
      <c r="H627" s="45">
        <f t="shared" si="1"/>
        <v>455.0000001</v>
      </c>
      <c r="I627" s="45">
        <f>IFNA(VLOOKUP(A627,표2[#ALL],2, FALSE), "")</f>
        <v>435.587073</v>
      </c>
      <c r="J627" s="48">
        <f t="shared" si="2"/>
        <v>0.01494903293</v>
      </c>
      <c r="K627" s="49">
        <f t="shared" si="3"/>
        <v>0.01231949804</v>
      </c>
    </row>
    <row r="628">
      <c r="A628" s="35">
        <v>739.0</v>
      </c>
      <c r="B628" s="36">
        <v>45526.73122685185</v>
      </c>
      <c r="C628" s="36">
        <v>45526.742939814816</v>
      </c>
      <c r="D628" s="37">
        <v>3.44126730508892E-5</v>
      </c>
      <c r="E628" s="38">
        <v>0.0348256251274999</v>
      </c>
      <c r="F628" s="38">
        <v>1.04343772960415E-7</v>
      </c>
      <c r="G628" s="38">
        <v>1.0559589823594E-4</v>
      </c>
      <c r="H628" s="39">
        <f t="shared" si="1"/>
        <v>1012</v>
      </c>
      <c r="I628" s="39">
        <f>IFNA(VLOOKUP(A628,표2[#ALL],2, FALSE), "")</f>
        <v>991.97633</v>
      </c>
      <c r="J628" s="50">
        <f t="shared" si="2"/>
        <v>0.03413655712</v>
      </c>
      <c r="K628" s="51">
        <f t="shared" si="3"/>
        <v>0.02813193672</v>
      </c>
    </row>
    <row r="629">
      <c r="A629" s="35">
        <v>740.0</v>
      </c>
      <c r="B629" s="42">
        <v>45526.74428240741</v>
      </c>
      <c r="C629" s="42">
        <v>45526.751493055555</v>
      </c>
      <c r="D629" s="43">
        <v>3.42052876811355E-5</v>
      </c>
      <c r="E629" s="44">
        <v>0.0213098942253474</v>
      </c>
      <c r="F629" s="44">
        <v>1.94911084695464E-7</v>
      </c>
      <c r="G629" s="44">
        <v>1.21429605765274E-4</v>
      </c>
      <c r="H629" s="45">
        <f t="shared" si="1"/>
        <v>622.9999998</v>
      </c>
      <c r="I629" s="45">
        <f>IFNA(VLOOKUP(A629,표2[#ALL],2, FALSE), "")</f>
        <v>600.335033</v>
      </c>
      <c r="J629" s="48">
        <f t="shared" si="2"/>
        <v>0.02053463251</v>
      </c>
      <c r="K629" s="49">
        <f t="shared" si="3"/>
        <v>0.01692259065</v>
      </c>
    </row>
    <row r="630">
      <c r="A630" s="35">
        <v>741.0</v>
      </c>
      <c r="B630" s="36">
        <v>45527.43071759259</v>
      </c>
      <c r="C630" s="36">
        <v>45527.43232638889</v>
      </c>
      <c r="D630" s="37">
        <v>3.44454139790022E-5</v>
      </c>
      <c r="E630" s="38">
        <v>0.00478791254308131</v>
      </c>
      <c r="F630" s="38">
        <v>6.44299061003837E-7</v>
      </c>
      <c r="G630" s="38">
        <v>8.95575694795333E-5</v>
      </c>
      <c r="H630" s="39">
        <f t="shared" si="1"/>
        <v>138.9999998</v>
      </c>
      <c r="I630" s="39" t="str">
        <f>IFNA(VLOOKUP(A630,표2[#ALL],2, FALSE), "")</f>
        <v/>
      </c>
      <c r="J630" s="40" t="str">
        <f t="shared" si="2"/>
        <v/>
      </c>
      <c r="K630" s="41" t="str">
        <f t="shared" si="3"/>
        <v/>
      </c>
    </row>
    <row r="631">
      <c r="A631" s="35">
        <v>742.0</v>
      </c>
      <c r="B631" s="42">
        <v>45527.43377314815</v>
      </c>
      <c r="C631" s="42">
        <v>45527.43462962963</v>
      </c>
      <c r="D631" s="43">
        <v>3.1967816548842E-5</v>
      </c>
      <c r="E631" s="44">
        <v>0.00236561842461431</v>
      </c>
      <c r="F631" s="44">
        <v>1.40338018156376E-6</v>
      </c>
      <c r="G631" s="44">
        <v>1.03850133435718E-4</v>
      </c>
      <c r="H631" s="45">
        <f t="shared" si="1"/>
        <v>73.9999997</v>
      </c>
      <c r="I631" s="45" t="str">
        <f>IFNA(VLOOKUP(A631,표2[#ALL],2, FALSE), "")</f>
        <v/>
      </c>
      <c r="J631" s="46" t="str">
        <f t="shared" si="2"/>
        <v/>
      </c>
      <c r="K631" s="47" t="str">
        <f t="shared" si="3"/>
        <v/>
      </c>
    </row>
    <row r="632">
      <c r="A632" s="35">
        <v>743.0</v>
      </c>
      <c r="B632" s="36">
        <v>45527.435902777775</v>
      </c>
      <c r="C632" s="36">
        <v>45527.44094907407</v>
      </c>
      <c r="D632" s="37">
        <v>3.64267932693271E-5</v>
      </c>
      <c r="E632" s="38">
        <v>0.0158820818654266</v>
      </c>
      <c r="F632" s="38">
        <v>2.26589243786927E-8</v>
      </c>
      <c r="G632" s="38">
        <v>9.87929102911002E-6</v>
      </c>
      <c r="H632" s="39">
        <f t="shared" si="1"/>
        <v>436.0000001</v>
      </c>
      <c r="I632" s="39" t="str">
        <f>IFNA(VLOOKUP(A632,표2[#ALL],2, FALSE), "")</f>
        <v/>
      </c>
      <c r="J632" s="40" t="str">
        <f t="shared" si="2"/>
        <v/>
      </c>
      <c r="K632" s="41" t="str">
        <f t="shared" si="3"/>
        <v/>
      </c>
    </row>
    <row r="633">
      <c r="A633" s="35">
        <v>744.0</v>
      </c>
      <c r="B633" s="42">
        <v>45527.45009259259</v>
      </c>
      <c r="C633" s="42">
        <v>45527.45380787037</v>
      </c>
      <c r="D633" s="43">
        <v>3.60244797389135E-5</v>
      </c>
      <c r="E633" s="44">
        <v>0.0115638579961912</v>
      </c>
      <c r="F633" s="44">
        <v>2.28289767450946E-7</v>
      </c>
      <c r="G633" s="44">
        <v>7.32810153517537E-5</v>
      </c>
      <c r="H633" s="45">
        <f t="shared" si="1"/>
        <v>321.0000002</v>
      </c>
      <c r="I633" s="45" t="str">
        <f>IFNA(VLOOKUP(A633,표2[#ALL],2, FALSE), "")</f>
        <v/>
      </c>
      <c r="J633" s="46" t="str">
        <f t="shared" si="2"/>
        <v/>
      </c>
      <c r="K633" s="47" t="str">
        <f t="shared" si="3"/>
        <v/>
      </c>
    </row>
    <row r="634">
      <c r="A634" s="35">
        <v>745.0</v>
      </c>
      <c r="B634" s="36">
        <v>45527.4603587963</v>
      </c>
      <c r="C634" s="36">
        <v>45527.464467592596</v>
      </c>
      <c r="D634" s="37">
        <v>3.56609532410562E-5</v>
      </c>
      <c r="E634" s="38">
        <v>0.0126596384005749</v>
      </c>
      <c r="F634" s="38">
        <v>2.90226337693042E-7</v>
      </c>
      <c r="G634" s="38">
        <v>1.0303034988103E-4</v>
      </c>
      <c r="H634" s="39">
        <f t="shared" si="1"/>
        <v>355</v>
      </c>
      <c r="I634" s="39" t="str">
        <f>IFNA(VLOOKUP(A634,표2[#ALL],2, FALSE), "")</f>
        <v/>
      </c>
      <c r="J634" s="40" t="str">
        <f t="shared" si="2"/>
        <v/>
      </c>
      <c r="K634" s="41" t="str">
        <f t="shared" si="3"/>
        <v/>
      </c>
    </row>
    <row r="635">
      <c r="A635" s="35">
        <v>746.0</v>
      </c>
      <c r="B635" s="42">
        <v>45527.46821759259</v>
      </c>
      <c r="C635" s="42">
        <v>45527.47758101852</v>
      </c>
      <c r="D635" s="43">
        <v>3.61509509515253E-5</v>
      </c>
      <c r="E635" s="44">
        <v>0.029246119319784</v>
      </c>
      <c r="F635" s="44">
        <v>1.20258258602221E-7</v>
      </c>
      <c r="G635" s="44">
        <v>9.72889312091966E-5</v>
      </c>
      <c r="H635" s="45">
        <f t="shared" si="1"/>
        <v>808.9999999</v>
      </c>
      <c r="I635" s="45">
        <f>IFNA(VLOOKUP(A635,표2[#ALL],2, FALSE), "")</f>
        <v>791.080018</v>
      </c>
      <c r="J635" s="48">
        <f t="shared" si="2"/>
        <v>0.02859829493</v>
      </c>
      <c r="K635" s="49">
        <f t="shared" si="3"/>
        <v>0.02356785485</v>
      </c>
    </row>
    <row r="636">
      <c r="A636" s="35">
        <v>747.0</v>
      </c>
      <c r="B636" s="36">
        <v>45527.47980324074</v>
      </c>
      <c r="C636" s="36">
        <v>45527.47991898148</v>
      </c>
      <c r="D636" s="37">
        <v>3.76035010454244E-5</v>
      </c>
      <c r="E636" s="38">
        <v>3.76035010454244E-4</v>
      </c>
      <c r="F636" s="38">
        <v>1.22149833751712E-7</v>
      </c>
      <c r="G636" s="38">
        <v>1.22149833751712E-6</v>
      </c>
      <c r="H636" s="39">
        <f t="shared" si="1"/>
        <v>9.999999823</v>
      </c>
      <c r="I636" s="39" t="str">
        <f>IFNA(VLOOKUP(A636,표2[#ALL],2, FALSE), "")</f>
        <v/>
      </c>
      <c r="J636" s="40" t="str">
        <f t="shared" si="2"/>
        <v/>
      </c>
      <c r="K636" s="41" t="str">
        <f t="shared" si="3"/>
        <v/>
      </c>
    </row>
    <row r="637">
      <c r="A637" s="35">
        <v>748.0</v>
      </c>
      <c r="B637" s="42">
        <v>45527.480046296296</v>
      </c>
      <c r="C637" s="42">
        <v>45527.486030092594</v>
      </c>
      <c r="D637" s="43">
        <v>3.66588029893166E-5</v>
      </c>
      <c r="E637" s="44">
        <v>0.0189526011454767</v>
      </c>
      <c r="F637" s="44">
        <v>1.90476734486218E-7</v>
      </c>
      <c r="G637" s="44">
        <v>9.84764717293745E-5</v>
      </c>
      <c r="H637" s="45">
        <f t="shared" si="1"/>
        <v>517.0000002</v>
      </c>
      <c r="I637" s="45">
        <f>IFNA(VLOOKUP(A637,표2[#ALL],2, FALSE), "")</f>
        <v>498.988005</v>
      </c>
      <c r="J637" s="48">
        <f t="shared" si="2"/>
        <v>0.01829230297</v>
      </c>
      <c r="K637" s="49">
        <f t="shared" si="3"/>
        <v>0.01507468688</v>
      </c>
    </row>
    <row r="638">
      <c r="A638" s="35">
        <v>749.0</v>
      </c>
      <c r="B638" s="36">
        <v>45527.491736111115</v>
      </c>
      <c r="C638" s="36">
        <v>45527.49190972222</v>
      </c>
      <c r="D638" s="37">
        <v>8.16700802847523E-6</v>
      </c>
      <c r="E638" s="38">
        <v>1.22505120427128E-4</v>
      </c>
      <c r="F638" s="38">
        <v>4.06538769742817E-6</v>
      </c>
      <c r="G638" s="38">
        <v>6.09808154614226E-5</v>
      </c>
      <c r="H638" s="39">
        <f t="shared" si="1"/>
        <v>14.99999973</v>
      </c>
      <c r="I638" s="39" t="str">
        <f>IFNA(VLOOKUP(A638,표2[#ALL],2, FALSE), "")</f>
        <v/>
      </c>
      <c r="J638" s="40" t="str">
        <f t="shared" si="2"/>
        <v/>
      </c>
      <c r="K638" s="41" t="str">
        <f t="shared" si="3"/>
        <v/>
      </c>
    </row>
    <row r="639">
      <c r="A639" s="35">
        <v>750.0</v>
      </c>
      <c r="B639" s="42">
        <v>45527.49568287037</v>
      </c>
      <c r="C639" s="42">
        <v>45527.500081018516</v>
      </c>
      <c r="D639" s="43">
        <v>3.58725615164666E-5</v>
      </c>
      <c r="E639" s="44">
        <v>0.0136315733762573</v>
      </c>
      <c r="F639" s="44">
        <v>2.5809722676313E-7</v>
      </c>
      <c r="G639" s="44">
        <v>9.80769461699893E-5</v>
      </c>
      <c r="H639" s="45">
        <f t="shared" si="1"/>
        <v>379.9999996</v>
      </c>
      <c r="I639" s="45">
        <f>IFNA(VLOOKUP(A639,표2[#ALL],2, FALSE), "")</f>
        <v>362.439665</v>
      </c>
      <c r="J639" s="48">
        <f t="shared" si="2"/>
        <v>0.01300163918</v>
      </c>
      <c r="K639" s="49">
        <f t="shared" si="3"/>
        <v>0.01071465085</v>
      </c>
    </row>
    <row r="640">
      <c r="A640" s="35">
        <v>751.0</v>
      </c>
      <c r="B640" s="36">
        <v>45527.501655092594</v>
      </c>
      <c r="C640" s="36">
        <v>45527.505532407406</v>
      </c>
      <c r="D640" s="37">
        <v>3.57601054811485E-5</v>
      </c>
      <c r="E640" s="38">
        <v>0.0119796353361847</v>
      </c>
      <c r="F640" s="38">
        <v>2.87011841215867E-7</v>
      </c>
      <c r="G640" s="38">
        <v>9.61489668073155E-5</v>
      </c>
      <c r="H640" s="39">
        <f t="shared" si="1"/>
        <v>334.9999997</v>
      </c>
      <c r="I640" s="39">
        <f>IFNA(VLOOKUP(A640,표2[#ALL],2, FALSE), "")</f>
        <v>317.388299</v>
      </c>
      <c r="J640" s="50">
        <f t="shared" si="2"/>
        <v>0.01134983905</v>
      </c>
      <c r="K640" s="51">
        <f t="shared" si="3"/>
        <v>0.009353402362</v>
      </c>
    </row>
    <row r="641">
      <c r="A641" s="35">
        <v>752.0</v>
      </c>
      <c r="B641" s="42">
        <v>45527.50672453704</v>
      </c>
      <c r="C641" s="42">
        <v>45527.51451388889</v>
      </c>
      <c r="D641" s="43">
        <v>3.66739741211394E-5</v>
      </c>
      <c r="E641" s="44">
        <v>0.0246815845835268</v>
      </c>
      <c r="F641" s="44">
        <v>1.47019162872442E-7</v>
      </c>
      <c r="G641" s="44">
        <v>9.89438966131532E-5</v>
      </c>
      <c r="H641" s="45">
        <f t="shared" si="1"/>
        <v>673.0000002</v>
      </c>
      <c r="I641" s="45">
        <f>IFNA(VLOOKUP(A641,표2[#ALL],2, FALSE), "")</f>
        <v>654.284773</v>
      </c>
      <c r="J641" s="48">
        <f t="shared" si="2"/>
        <v>0.02399522283</v>
      </c>
      <c r="K641" s="49">
        <f t="shared" si="3"/>
        <v>0.01977446314</v>
      </c>
    </row>
    <row r="642">
      <c r="A642" s="35">
        <v>753.0</v>
      </c>
      <c r="B642" s="36">
        <v>45527.519467592596</v>
      </c>
      <c r="C642" s="36">
        <v>45527.51974537037</v>
      </c>
      <c r="D642" s="37">
        <v>2.64152011438765E-5</v>
      </c>
      <c r="E642" s="38">
        <v>6.33964827453037E-4</v>
      </c>
      <c r="F642" s="38">
        <v>3.50279006474383E-6</v>
      </c>
      <c r="G642" s="38">
        <v>8.40669615538518E-5</v>
      </c>
      <c r="H642" s="39">
        <f t="shared" si="1"/>
        <v>23.99999995</v>
      </c>
      <c r="I642" s="39" t="str">
        <f>IFNA(VLOOKUP(A642,표2[#ALL],2, FALSE), "")</f>
        <v/>
      </c>
      <c r="J642" s="40" t="str">
        <f t="shared" si="2"/>
        <v/>
      </c>
      <c r="K642" s="41" t="str">
        <f t="shared" si="3"/>
        <v/>
      </c>
    </row>
    <row r="643">
      <c r="A643" s="35">
        <v>754.0</v>
      </c>
      <c r="B643" s="42">
        <v>45527.52013888889</v>
      </c>
      <c r="C643" s="42">
        <v>45527.5212962963</v>
      </c>
      <c r="D643" s="43">
        <v>3.46905476982723E-5</v>
      </c>
      <c r="E643" s="44">
        <v>0.00346905476982723</v>
      </c>
      <c r="F643" s="44">
        <v>9.49941591307806E-7</v>
      </c>
      <c r="G643" s="44">
        <v>9.49941591307806E-5</v>
      </c>
      <c r="H643" s="45">
        <f t="shared" si="1"/>
        <v>100.0000001</v>
      </c>
      <c r="I643" s="45">
        <f>IFNA(VLOOKUP(A643,표2[#ALL],2, FALSE), "")</f>
        <v>82.2972286</v>
      </c>
      <c r="J643" s="48">
        <f t="shared" si="2"/>
        <v>0.002854935934</v>
      </c>
      <c r="K643" s="49">
        <f t="shared" si="3"/>
        <v>0.002352752703</v>
      </c>
    </row>
    <row r="644">
      <c r="A644" s="35">
        <v>755.0</v>
      </c>
      <c r="B644" s="36">
        <v>45527.52407407408</v>
      </c>
      <c r="C644" s="36">
        <v>45527.53233796296</v>
      </c>
      <c r="D644" s="37">
        <v>3.67344172694003E-5</v>
      </c>
      <c r="E644" s="38">
        <v>0.0262283739303518</v>
      </c>
      <c r="F644" s="38">
        <v>1.44365104385614E-7</v>
      </c>
      <c r="G644" s="38">
        <v>1.03076684531328E-4</v>
      </c>
      <c r="H644" s="39">
        <f t="shared" si="1"/>
        <v>713.9999997</v>
      </c>
      <c r="I644" s="39">
        <f>IFNA(VLOOKUP(A644,표2[#ALL],2, FALSE), "")</f>
        <v>697.179747</v>
      </c>
      <c r="J644" s="50">
        <f t="shared" si="2"/>
        <v>0.02561049174</v>
      </c>
      <c r="K644" s="51">
        <f t="shared" si="3"/>
        <v>0.02110560624</v>
      </c>
    </row>
    <row r="645">
      <c r="A645" s="35">
        <v>756.0</v>
      </c>
      <c r="B645" s="42">
        <v>45527.53506944444</v>
      </c>
      <c r="C645" s="42">
        <v>45527.5384375</v>
      </c>
      <c r="D645" s="43">
        <v>3.63291057920935E-5</v>
      </c>
      <c r="E645" s="44">
        <v>0.0105717697854992</v>
      </c>
      <c r="F645" s="44">
        <v>3.34674986943857E-7</v>
      </c>
      <c r="G645" s="44">
        <v>9.73904212006625E-5</v>
      </c>
      <c r="H645" s="45">
        <f t="shared" si="1"/>
        <v>291.0000001</v>
      </c>
      <c r="I645" s="45">
        <f>IFNA(VLOOKUP(A645,표2[#ALL],2, FALSE), "")</f>
        <v>273.392666</v>
      </c>
      <c r="J645" s="48">
        <f t="shared" si="2"/>
        <v>0.009932111086</v>
      </c>
      <c r="K645" s="49">
        <f t="shared" si="3"/>
        <v>0.008185052746</v>
      </c>
    </row>
    <row r="646">
      <c r="A646" s="35">
        <v>757.0</v>
      </c>
      <c r="B646" s="36">
        <v>45527.538981481484</v>
      </c>
      <c r="C646" s="36">
        <v>45527.53989583333</v>
      </c>
      <c r="D646" s="37">
        <v>3.46950361542708E-5</v>
      </c>
      <c r="E646" s="38">
        <v>0.0027409078561874</v>
      </c>
      <c r="F646" s="38">
        <v>1.05229428895915E-6</v>
      </c>
      <c r="G646" s="38">
        <v>8.31312488277725E-5</v>
      </c>
      <c r="H646" s="39">
        <f t="shared" si="1"/>
        <v>78.99999961</v>
      </c>
      <c r="I646" s="39">
        <f>IFNA(VLOOKUP(A646,표2[#ALL],2, FALSE), "")</f>
        <v>62.6517435</v>
      </c>
      <c r="J646" s="50">
        <f t="shared" si="2"/>
        <v>0.002173704506</v>
      </c>
      <c r="K646" s="51">
        <f t="shared" si="3"/>
        <v>0.001791349883</v>
      </c>
    </row>
    <row r="647">
      <c r="A647" s="35">
        <v>758.0</v>
      </c>
      <c r="B647" s="42">
        <v>45527.54108796296</v>
      </c>
      <c r="C647" s="42">
        <v>45527.543217592596</v>
      </c>
      <c r="D647" s="43">
        <v>3.5678671048791E-5</v>
      </c>
      <c r="E647" s="44">
        <v>0.00656487547297754</v>
      </c>
      <c r="F647" s="44">
        <v>5.65505088487524E-7</v>
      </c>
      <c r="G647" s="44">
        <v>1.04052936281704E-4</v>
      </c>
      <c r="H647" s="45">
        <f t="shared" si="1"/>
        <v>184.0000003</v>
      </c>
      <c r="I647" s="45">
        <f>IFNA(VLOOKUP(A647,표2[#ALL],2, FALSE), "")</f>
        <v>165.196008</v>
      </c>
      <c r="J647" s="48">
        <f t="shared" si="2"/>
        <v>0.005893974028</v>
      </c>
      <c r="K647" s="49">
        <f t="shared" si="3"/>
        <v>0.004857223996</v>
      </c>
    </row>
    <row r="648">
      <c r="A648" s="35">
        <v>759.0</v>
      </c>
      <c r="B648" s="36">
        <v>45527.543703703705</v>
      </c>
      <c r="C648" s="36">
        <v>45527.545694444445</v>
      </c>
      <c r="D648" s="37">
        <v>3.55460348046041E-5</v>
      </c>
      <c r="E648" s="38">
        <v>0.0061139179863919</v>
      </c>
      <c r="F648" s="38">
        <v>5.6278691931382E-7</v>
      </c>
      <c r="G648" s="38">
        <v>9.67993501219771E-5</v>
      </c>
      <c r="H648" s="39">
        <f t="shared" si="1"/>
        <v>172</v>
      </c>
      <c r="I648" s="39">
        <f>IFNA(VLOOKUP(A648,표2[#ALL],2, FALSE), "")</f>
        <v>154.692581</v>
      </c>
      <c r="J648" s="50">
        <f t="shared" si="2"/>
        <v>0.005498707868</v>
      </c>
      <c r="K648" s="51">
        <f t="shared" si="3"/>
        <v>0.004531485154</v>
      </c>
    </row>
    <row r="649">
      <c r="A649" s="35">
        <v>760.0</v>
      </c>
      <c r="B649" s="42">
        <v>45527.547581018516</v>
      </c>
      <c r="C649" s="42">
        <v>45527.5477662037</v>
      </c>
      <c r="D649" s="43">
        <v>-8.50446858324696E-7</v>
      </c>
      <c r="E649" s="44">
        <v>-1.36071497331951E-5</v>
      </c>
      <c r="F649" s="44">
        <v>8.20714144235812E-8</v>
      </c>
      <c r="G649" s="44">
        <v>1.3131426307773E-6</v>
      </c>
      <c r="H649" s="45">
        <f t="shared" si="1"/>
        <v>15.99999997</v>
      </c>
      <c r="I649" s="45" t="str">
        <f>IFNA(VLOOKUP(A649,표2[#ALL],2, FALSE), "")</f>
        <v/>
      </c>
      <c r="J649" s="46" t="str">
        <f t="shared" si="2"/>
        <v/>
      </c>
      <c r="K649" s="47" t="str">
        <f t="shared" si="3"/>
        <v/>
      </c>
    </row>
    <row r="650">
      <c r="A650" s="35">
        <v>761.0</v>
      </c>
      <c r="B650" s="36">
        <v>45527.54802083333</v>
      </c>
      <c r="C650" s="36">
        <v>45527.54851851852</v>
      </c>
      <c r="D650" s="37">
        <v>3.10679175215874E-5</v>
      </c>
      <c r="E650" s="38">
        <v>0.00133592045342826</v>
      </c>
      <c r="F650" s="38">
        <v>2.11255483580661E-6</v>
      </c>
      <c r="G650" s="38">
        <v>9.08398579396843E-5</v>
      </c>
      <c r="H650" s="39">
        <f t="shared" si="1"/>
        <v>42.99999999</v>
      </c>
      <c r="I650" s="39" t="str">
        <f>IFNA(VLOOKUP(A650,표2[#ALL],2, FALSE), "")</f>
        <v/>
      </c>
      <c r="J650" s="40" t="str">
        <f t="shared" si="2"/>
        <v/>
      </c>
      <c r="K650" s="41" t="str">
        <f t="shared" si="3"/>
        <v/>
      </c>
    </row>
    <row r="651">
      <c r="A651" s="35">
        <v>762.0</v>
      </c>
      <c r="B651" s="42">
        <v>45527.54891203704</v>
      </c>
      <c r="C651" s="42">
        <v>45527.54966435185</v>
      </c>
      <c r="D651" s="43">
        <v>3.35734588986133E-5</v>
      </c>
      <c r="E651" s="44">
        <v>0.00218227482840987</v>
      </c>
      <c r="F651" s="44">
        <v>1.34891871106157E-6</v>
      </c>
      <c r="G651" s="44">
        <v>8.76797162190023E-5</v>
      </c>
      <c r="H651" s="45">
        <f t="shared" si="1"/>
        <v>64.99999948</v>
      </c>
      <c r="I651" s="45" t="str">
        <f>IFNA(VLOOKUP(A651,표2[#ALL],2, FALSE), "")</f>
        <v/>
      </c>
      <c r="J651" s="46" t="str">
        <f t="shared" si="2"/>
        <v/>
      </c>
      <c r="K651" s="47" t="str">
        <f t="shared" si="3"/>
        <v/>
      </c>
    </row>
    <row r="652">
      <c r="A652" s="35">
        <v>763.0</v>
      </c>
      <c r="B652" s="36">
        <v>45527.55280092593</v>
      </c>
      <c r="C652" s="36">
        <v>45527.5559375</v>
      </c>
      <c r="D652" s="37">
        <v>3.6211364331467E-5</v>
      </c>
      <c r="E652" s="38">
        <v>0.00981327973382755</v>
      </c>
      <c r="F652" s="38">
        <v>3.6201287990764E-7</v>
      </c>
      <c r="G652" s="38">
        <v>9.81054904549704E-5</v>
      </c>
      <c r="H652" s="39">
        <f t="shared" si="1"/>
        <v>270.9999999</v>
      </c>
      <c r="I652" s="39">
        <f>IFNA(VLOOKUP(A652,표2[#ALL],2, FALSE), "")</f>
        <v>253.292348</v>
      </c>
      <c r="J652" s="50">
        <f t="shared" si="2"/>
        <v>0.009172061496</v>
      </c>
      <c r="K652" s="51">
        <f t="shared" si="3"/>
        <v>0.007558695879</v>
      </c>
    </row>
    <row r="653">
      <c r="A653" s="35">
        <v>764.0</v>
      </c>
      <c r="B653" s="42">
        <v>45527.55841435185</v>
      </c>
      <c r="C653" s="42">
        <v>45527.56212962963</v>
      </c>
      <c r="D653" s="43">
        <v>3.61006717792353E-5</v>
      </c>
      <c r="E653" s="44">
        <v>0.0115883156411345</v>
      </c>
      <c r="F653" s="44">
        <v>3.05197642389888E-7</v>
      </c>
      <c r="G653" s="44">
        <v>9.79684432071542E-5</v>
      </c>
      <c r="H653" s="45">
        <f t="shared" si="1"/>
        <v>321.0000002</v>
      </c>
      <c r="I653" s="45">
        <f>IFNA(VLOOKUP(A653,표2[#ALL],2, FALSE), "")</f>
        <v>303.342686</v>
      </c>
      <c r="J653" s="48">
        <f t="shared" si="2"/>
        <v>0.01095087474</v>
      </c>
      <c r="K653" s="49">
        <f t="shared" si="3"/>
        <v>0.009024615876</v>
      </c>
    </row>
    <row r="654">
      <c r="A654" s="35">
        <v>765.0</v>
      </c>
      <c r="B654" s="36">
        <v>45527.56375</v>
      </c>
      <c r="C654" s="36">
        <v>45527.56469907407</v>
      </c>
      <c r="D654" s="37">
        <v>3.68190454648105E-5</v>
      </c>
      <c r="E654" s="38">
        <v>0.00301916172811446</v>
      </c>
      <c r="F654" s="38">
        <v>6.97617683597955E-8</v>
      </c>
      <c r="G654" s="38">
        <v>5.72046500550323E-6</v>
      </c>
      <c r="H654" s="39">
        <f t="shared" si="1"/>
        <v>81.99999968</v>
      </c>
      <c r="I654" s="39">
        <f>IFNA(VLOOKUP(A654,표2[#ALL],2, FALSE), "")</f>
        <v>71.7999148</v>
      </c>
      <c r="J654" s="50">
        <f t="shared" si="2"/>
        <v>0.002643604327</v>
      </c>
      <c r="K654" s="51">
        <f t="shared" si="3"/>
        <v>0.002178594326</v>
      </c>
    </row>
    <row r="655">
      <c r="A655" s="35">
        <v>766.0</v>
      </c>
      <c r="B655" s="42">
        <v>45527.57375</v>
      </c>
      <c r="C655" s="42">
        <v>45527.57400462963</v>
      </c>
      <c r="D655" s="43">
        <v>2.22554060960456E-5</v>
      </c>
      <c r="E655" s="44">
        <v>4.89618934113004E-4</v>
      </c>
      <c r="F655" s="44">
        <v>3.80186701288189E-6</v>
      </c>
      <c r="G655" s="44">
        <v>8.36410742834016E-5</v>
      </c>
      <c r="H655" s="45">
        <f t="shared" si="1"/>
        <v>21.99999948</v>
      </c>
      <c r="I655" s="45" t="str">
        <f>IFNA(VLOOKUP(A655,표2[#ALL],2, FALSE), "")</f>
        <v/>
      </c>
      <c r="J655" s="46" t="str">
        <f t="shared" si="2"/>
        <v/>
      </c>
      <c r="K655" s="47" t="str">
        <f t="shared" si="3"/>
        <v/>
      </c>
    </row>
    <row r="656">
      <c r="A656" s="35">
        <v>767.0</v>
      </c>
      <c r="B656" s="36">
        <v>45527.576273148145</v>
      </c>
      <c r="C656" s="36">
        <v>45527.577881944446</v>
      </c>
      <c r="D656" s="37">
        <v>3.47791517164681E-5</v>
      </c>
      <c r="E656" s="38">
        <v>0.00483430208858906</v>
      </c>
      <c r="F656" s="38">
        <v>6.87611125239461E-7</v>
      </c>
      <c r="G656" s="38">
        <v>9.55779464082851E-5</v>
      </c>
      <c r="H656" s="39">
        <f t="shared" si="1"/>
        <v>139.0000004</v>
      </c>
      <c r="I656" s="39">
        <f>IFNA(VLOOKUP(A656,표2[#ALL],2, FALSE), "")</f>
        <v>121.299045</v>
      </c>
      <c r="J656" s="50">
        <f t="shared" si="2"/>
        <v>0.004218677889</v>
      </c>
      <c r="K656" s="51">
        <f t="shared" si="3"/>
        <v>0.003476612448</v>
      </c>
    </row>
    <row r="657">
      <c r="A657" s="35">
        <v>768.0</v>
      </c>
      <c r="B657" s="42">
        <v>45527.57894675926</v>
      </c>
      <c r="C657" s="42">
        <v>45527.57945601852</v>
      </c>
      <c r="D657" s="43">
        <v>3.06777054268317E-5</v>
      </c>
      <c r="E657" s="44">
        <v>0.00134981903878059</v>
      </c>
      <c r="F657" s="44">
        <v>2.04010002897375E-6</v>
      </c>
      <c r="G657" s="44">
        <v>8.9764401274845E-5</v>
      </c>
      <c r="H657" s="45">
        <f t="shared" si="1"/>
        <v>43.9999996</v>
      </c>
      <c r="I657" s="45" t="str">
        <f>IFNA(VLOOKUP(A657,표2[#ALL],2, FALSE), "")</f>
        <v/>
      </c>
      <c r="J657" s="46" t="str">
        <f t="shared" si="2"/>
        <v/>
      </c>
      <c r="K657" s="47" t="str">
        <f t="shared" si="3"/>
        <v/>
      </c>
    </row>
    <row r="658">
      <c r="A658" s="35">
        <v>769.0</v>
      </c>
      <c r="B658" s="36">
        <v>45527.58150462963</v>
      </c>
      <c r="C658" s="36">
        <v>45527.58584490741</v>
      </c>
      <c r="D658" s="37">
        <v>3.58046309450701E-5</v>
      </c>
      <c r="E658" s="38">
        <v>0.0134267366044013</v>
      </c>
      <c r="F658" s="38">
        <v>2.91973592058674E-7</v>
      </c>
      <c r="G658" s="38">
        <v>1.09490097022003E-4</v>
      </c>
      <c r="H658" s="39">
        <f t="shared" si="1"/>
        <v>375.0000003</v>
      </c>
      <c r="I658" s="39">
        <f>IFNA(VLOOKUP(A658,표2[#ALL],2, FALSE), "")</f>
        <v>355.78883</v>
      </c>
      <c r="J658" s="50">
        <f t="shared" si="2"/>
        <v>0.01273888775</v>
      </c>
      <c r="K658" s="51">
        <f t="shared" si="3"/>
        <v>0.0104981174</v>
      </c>
    </row>
    <row r="659">
      <c r="A659" s="35">
        <v>770.0</v>
      </c>
      <c r="B659" s="42">
        <v>45527.58803240741</v>
      </c>
      <c r="C659" s="42">
        <v>45527.59054398148</v>
      </c>
      <c r="D659" s="43">
        <v>3.52192842334262E-5</v>
      </c>
      <c r="E659" s="44">
        <v>0.00764258467865349</v>
      </c>
      <c r="F659" s="44">
        <v>4.45203919795286E-7</v>
      </c>
      <c r="G659" s="44">
        <v>9.6609250595577E-5</v>
      </c>
      <c r="H659" s="45">
        <f t="shared" si="1"/>
        <v>216.9999998</v>
      </c>
      <c r="I659" s="45">
        <f>IFNA(VLOOKUP(A659,표2[#ALL],2, FALSE), "")</f>
        <v>199.648122</v>
      </c>
      <c r="J659" s="48">
        <f t="shared" si="2"/>
        <v>0.007031463955</v>
      </c>
      <c r="K659" s="49">
        <f t="shared" si="3"/>
        <v>0.005794629446</v>
      </c>
    </row>
    <row r="660">
      <c r="A660" s="35">
        <v>771.0</v>
      </c>
      <c r="B660" s="36">
        <v>45527.59181712963</v>
      </c>
      <c r="C660" s="36">
        <v>45527.60837962963</v>
      </c>
      <c r="D660" s="37">
        <v>3.59406885599099E-5</v>
      </c>
      <c r="E660" s="38">
        <v>0.0514311253292311</v>
      </c>
      <c r="F660" s="38">
        <v>8.2720339968829E-8</v>
      </c>
      <c r="G660" s="38">
        <v>1.18372806495394E-4</v>
      </c>
      <c r="H660" s="39">
        <f t="shared" si="1"/>
        <v>1431</v>
      </c>
      <c r="I660" s="39">
        <f>IFNA(VLOOKUP(A660,표2[#ALL],2, FALSE), "")</f>
        <v>1410.05953</v>
      </c>
      <c r="J660" s="50">
        <f t="shared" si="2"/>
        <v>0.05067851042</v>
      </c>
      <c r="K660" s="51">
        <f t="shared" si="3"/>
        <v>0.04176416044</v>
      </c>
    </row>
    <row r="661">
      <c r="A661" s="35">
        <v>772.0</v>
      </c>
      <c r="B661" s="42">
        <v>45527.61677083333</v>
      </c>
      <c r="C661" s="42">
        <v>45527.61708333333</v>
      </c>
      <c r="D661" s="43">
        <v>1.76610419924591E-5</v>
      </c>
      <c r="E661" s="44">
        <v>4.76848133796396E-4</v>
      </c>
      <c r="F661" s="44">
        <v>3.52807236482934E-6</v>
      </c>
      <c r="G661" s="44">
        <v>9.52579538503921E-5</v>
      </c>
      <c r="H661" s="45">
        <f t="shared" si="1"/>
        <v>27.00000003</v>
      </c>
      <c r="I661" s="45" t="str">
        <f>IFNA(VLOOKUP(A661,표2[#ALL],2, FALSE), "")</f>
        <v/>
      </c>
      <c r="J661" s="46" t="str">
        <f t="shared" si="2"/>
        <v/>
      </c>
      <c r="K661" s="47" t="str">
        <f t="shared" si="3"/>
        <v/>
      </c>
    </row>
    <row r="662">
      <c r="A662" s="35">
        <v>773.0</v>
      </c>
      <c r="B662" s="36">
        <v>45527.61865740741</v>
      </c>
      <c r="C662" s="36">
        <v>45527.62236111111</v>
      </c>
      <c r="D662" s="37">
        <v>3.47250612623419E-5</v>
      </c>
      <c r="E662" s="38">
        <v>0.0111120196039494</v>
      </c>
      <c r="F662" s="38">
        <v>3.75604318621196E-7</v>
      </c>
      <c r="G662" s="38">
        <v>1.20193381958783E-4</v>
      </c>
      <c r="H662" s="39">
        <f t="shared" si="1"/>
        <v>320</v>
      </c>
      <c r="I662" s="39">
        <f>IFNA(VLOOKUP(A662,표2[#ALL],2, FALSE), "")</f>
        <v>298.1463</v>
      </c>
      <c r="J662" s="50">
        <f t="shared" si="2"/>
        <v>0.01035314853</v>
      </c>
      <c r="K662" s="51">
        <f t="shared" si="3"/>
        <v>0.008532029706</v>
      </c>
    </row>
    <row r="663">
      <c r="A663" s="35">
        <v>774.0</v>
      </c>
      <c r="B663" s="42">
        <v>45527.634108796294</v>
      </c>
      <c r="C663" s="42">
        <v>45527.63841435185</v>
      </c>
      <c r="D663" s="43">
        <v>3.46360186434067E-5</v>
      </c>
      <c r="E663" s="44">
        <v>0.0128845989353473</v>
      </c>
      <c r="F663" s="44">
        <v>3.02595522102562E-7</v>
      </c>
      <c r="G663" s="44">
        <v>1.12565534222153E-4</v>
      </c>
      <c r="H663" s="45">
        <f t="shared" si="1"/>
        <v>372.0000002</v>
      </c>
      <c r="I663" s="45">
        <f>IFNA(VLOOKUP(A663,표2[#ALL],2, FALSE), "")</f>
        <v>355.995382</v>
      </c>
      <c r="J663" s="48">
        <f t="shared" si="2"/>
        <v>0.01233026269</v>
      </c>
      <c r="K663" s="49">
        <f t="shared" si="3"/>
        <v>0.01016136948</v>
      </c>
    </row>
    <row r="664">
      <c r="A664" s="35">
        <v>775.0</v>
      </c>
      <c r="B664" s="36">
        <v>45527.64775462963</v>
      </c>
      <c r="C664" s="36">
        <v>45527.65256944444</v>
      </c>
      <c r="D664" s="37">
        <v>3.47329060787801E-5</v>
      </c>
      <c r="E664" s="38">
        <v>0.0144488889287725</v>
      </c>
      <c r="F664" s="38">
        <v>2.34314224758192E-7</v>
      </c>
      <c r="G664" s="38">
        <v>9.74747174994079E-5</v>
      </c>
      <c r="H664" s="39">
        <f t="shared" si="1"/>
        <v>415.9999998</v>
      </c>
      <c r="I664" s="39">
        <f>IFNA(VLOOKUP(A664,표2[#ALL],2, FALSE), "")</f>
        <v>397.543015</v>
      </c>
      <c r="J664" s="50">
        <f t="shared" si="2"/>
        <v>0.0138078242</v>
      </c>
      <c r="K664" s="51">
        <f t="shared" si="3"/>
        <v>0.01137902793</v>
      </c>
    </row>
    <row r="665">
      <c r="A665" s="35">
        <v>776.0</v>
      </c>
      <c r="B665" s="42">
        <v>45527.65408564815</v>
      </c>
      <c r="C665" s="42">
        <v>45527.66792824074</v>
      </c>
      <c r="D665" s="43">
        <v>3.51863249889088E-5</v>
      </c>
      <c r="E665" s="44">
        <v>0.0420828446867349</v>
      </c>
      <c r="F665" s="44">
        <v>1.13122004721758E-7</v>
      </c>
      <c r="G665" s="44">
        <v>1.35293917647222E-4</v>
      </c>
      <c r="H665" s="45">
        <f t="shared" si="1"/>
        <v>1196</v>
      </c>
      <c r="I665" s="45">
        <f>IFNA(VLOOKUP(A665,표2[#ALL],2, FALSE), "")</f>
        <v>1172.37171</v>
      </c>
      <c r="J665" s="48">
        <f t="shared" si="2"/>
        <v>0.041251452</v>
      </c>
      <c r="K665" s="49">
        <f t="shared" si="3"/>
        <v>0.03399532159</v>
      </c>
    </row>
    <row r="666">
      <c r="A666" s="35">
        <v>777.0</v>
      </c>
      <c r="B666" s="36">
        <v>45527.66916666667</v>
      </c>
      <c r="C666" s="36">
        <v>45527.67015046296</v>
      </c>
      <c r="D666" s="37">
        <v>3.51331254388705E-5</v>
      </c>
      <c r="E666" s="38">
        <v>0.00298631566230399</v>
      </c>
      <c r="F666" s="38">
        <v>7.91437885569912E-8</v>
      </c>
      <c r="G666" s="38">
        <v>6.72722202734425E-6</v>
      </c>
      <c r="H666" s="39">
        <f t="shared" si="1"/>
        <v>84.99999975</v>
      </c>
      <c r="I666" s="39">
        <f>IFNA(VLOOKUP(A666,표2[#ALL],2, FALSE), "")</f>
        <v>75.0483974</v>
      </c>
      <c r="J666" s="50">
        <f t="shared" si="2"/>
        <v>0.00263668476</v>
      </c>
      <c r="K666" s="51">
        <f t="shared" si="3"/>
        <v>0.002172891911</v>
      </c>
    </row>
    <row r="667">
      <c r="A667" s="35">
        <v>778.0</v>
      </c>
      <c r="B667" s="42">
        <v>45527.67151620371</v>
      </c>
      <c r="C667" s="42">
        <v>45527.6734375</v>
      </c>
      <c r="D667" s="43">
        <v>3.37285122569271E-5</v>
      </c>
      <c r="E667" s="44">
        <v>0.00559893303464991</v>
      </c>
      <c r="F667" s="44">
        <v>5.87261011939976E-7</v>
      </c>
      <c r="G667" s="44">
        <v>9.74853279820361E-5</v>
      </c>
      <c r="H667" s="45">
        <f t="shared" si="1"/>
        <v>165.9999998</v>
      </c>
      <c r="I667" s="45">
        <f>IFNA(VLOOKUP(A667,표2[#ALL],2, FALSE), "")</f>
        <v>148.195796</v>
      </c>
      <c r="J667" s="48">
        <f t="shared" si="2"/>
        <v>0.004998423722</v>
      </c>
      <c r="K667" s="49">
        <f t="shared" si="3"/>
        <v>0.004119200989</v>
      </c>
    </row>
    <row r="668">
      <c r="A668" s="35">
        <v>779.0</v>
      </c>
      <c r="B668" s="36">
        <v>45527.67525462963</v>
      </c>
      <c r="C668" s="36">
        <v>45527.685</v>
      </c>
      <c r="D668" s="37">
        <v>3.5474595829713E-5</v>
      </c>
      <c r="E668" s="38">
        <v>0.0298696096886183</v>
      </c>
      <c r="F668" s="38">
        <v>2.6976997570211E-8</v>
      </c>
      <c r="G668" s="38">
        <v>2.27146319541177E-5</v>
      </c>
      <c r="H668" s="39">
        <f t="shared" si="1"/>
        <v>842.0000001</v>
      </c>
      <c r="I668" s="39">
        <f>IFNA(VLOOKUP(A668,표2[#ALL],2, FALSE), "")</f>
        <v>832.929578</v>
      </c>
      <c r="J668" s="50">
        <f t="shared" si="2"/>
        <v>0.02954784013</v>
      </c>
      <c r="K668" s="51">
        <f t="shared" si="3"/>
        <v>0.02435037505</v>
      </c>
    </row>
    <row r="669">
      <c r="A669" s="35">
        <v>780.0</v>
      </c>
      <c r="B669" s="42">
        <v>45527.68819444445</v>
      </c>
      <c r="C669" s="42">
        <v>45527.696493055555</v>
      </c>
      <c r="D669" s="43">
        <v>3.47156698400176E-5</v>
      </c>
      <c r="E669" s="44">
        <v>0.0248911352752926</v>
      </c>
      <c r="F669" s="44">
        <v>1.32473515033754E-7</v>
      </c>
      <c r="G669" s="44">
        <v>9.49835102792016E-5</v>
      </c>
      <c r="H669" s="45">
        <f t="shared" si="1"/>
        <v>716.9999998</v>
      </c>
      <c r="I669" s="45">
        <f>IFNA(VLOOKUP(A669,표2[#ALL],2, FALSE), "")</f>
        <v>700.28194</v>
      </c>
      <c r="J669" s="48">
        <f t="shared" si="2"/>
        <v>0.02431075662</v>
      </c>
      <c r="K669" s="49">
        <f t="shared" si="3"/>
        <v>0.02003449453</v>
      </c>
    </row>
    <row r="670">
      <c r="A670" s="35">
        <v>781.0</v>
      </c>
      <c r="B670" s="36">
        <v>45527.69900462963</v>
      </c>
      <c r="C670" s="36">
        <v>45527.702060185184</v>
      </c>
      <c r="D670" s="37">
        <v>3.3992444660466E-5</v>
      </c>
      <c r="E670" s="38">
        <v>0.00897400539036303</v>
      </c>
      <c r="F670" s="38">
        <v>3.74234090860344E-7</v>
      </c>
      <c r="G670" s="38">
        <v>9.87977999871309E-5</v>
      </c>
      <c r="H670" s="39">
        <f t="shared" si="1"/>
        <v>264.0000001</v>
      </c>
      <c r="I670" s="39">
        <f>IFNA(VLOOKUP(A670,표2[#ALL],2, FALSE), "")</f>
        <v>245.791775</v>
      </c>
      <c r="J670" s="50">
        <f t="shared" si="2"/>
        <v>0.00835506331</v>
      </c>
      <c r="K670" s="51">
        <f t="shared" si="3"/>
        <v>0.006885407674</v>
      </c>
    </row>
    <row r="671">
      <c r="A671" s="35">
        <v>782.0</v>
      </c>
      <c r="B671" s="42">
        <v>45527.70767361111</v>
      </c>
      <c r="C671" s="42">
        <v>45527.71344907407</v>
      </c>
      <c r="D671" s="43">
        <v>3.4207524550195E-5</v>
      </c>
      <c r="E671" s="44">
        <v>0.0170695547505473</v>
      </c>
      <c r="F671" s="44">
        <v>1.85171720311406E-7</v>
      </c>
      <c r="G671" s="44">
        <v>9.24006884353917E-5</v>
      </c>
      <c r="H671" s="45">
        <f t="shared" si="1"/>
        <v>498.9999997</v>
      </c>
      <c r="I671" s="45">
        <f>IFNA(VLOOKUP(A671,표2[#ALL],2, FALSE), "")</f>
        <v>481.337257</v>
      </c>
      <c r="J671" s="48">
        <f t="shared" si="2"/>
        <v>0.01646535604</v>
      </c>
      <c r="K671" s="49">
        <f t="shared" si="3"/>
        <v>0.01356909991</v>
      </c>
    </row>
    <row r="672">
      <c r="A672" s="35">
        <v>783.0</v>
      </c>
      <c r="B672" s="36">
        <v>45527.71482638889</v>
      </c>
      <c r="C672" s="36">
        <v>45527.715844907405</v>
      </c>
      <c r="D672" s="37">
        <v>3.23747792806394E-5</v>
      </c>
      <c r="E672" s="38">
        <v>0.00284898057669626</v>
      </c>
      <c r="F672" s="38">
        <v>1.02217680185831E-6</v>
      </c>
      <c r="G672" s="38">
        <v>8.99515585635313E-5</v>
      </c>
      <c r="H672" s="39">
        <f t="shared" si="1"/>
        <v>87.99999983</v>
      </c>
      <c r="I672" s="39">
        <f>IFNA(VLOOKUP(A672,표2[#ALL],2, FALSE), "")</f>
        <v>70.2988944</v>
      </c>
      <c r="J672" s="50">
        <f t="shared" si="2"/>
        <v>0.00227591119</v>
      </c>
      <c r="K672" s="51">
        <f t="shared" si="3"/>
        <v>0.001875578412</v>
      </c>
    </row>
    <row r="673">
      <c r="A673" s="35">
        <v>784.0</v>
      </c>
      <c r="B673" s="42">
        <v>45527.71743055555</v>
      </c>
      <c r="C673" s="42">
        <v>45527.718125</v>
      </c>
      <c r="D673" s="43">
        <v>2.98298917429518E-5</v>
      </c>
      <c r="E673" s="44">
        <v>0.00178979350457711</v>
      </c>
      <c r="F673" s="44">
        <v>1.61844961415383E-6</v>
      </c>
      <c r="G673" s="44">
        <v>9.71069768492296E-5</v>
      </c>
      <c r="H673" s="45">
        <f t="shared" si="1"/>
        <v>60.0000002</v>
      </c>
      <c r="I673" s="45">
        <f>IFNA(VLOOKUP(A673,표2[#ALL],2, FALSE), "")</f>
        <v>41.445757</v>
      </c>
      <c r="J673" s="48">
        <f t="shared" si="2"/>
        <v>0.001236322445</v>
      </c>
      <c r="K673" s="49">
        <f t="shared" si="3"/>
        <v>0.001018853327</v>
      </c>
    </row>
    <row r="674">
      <c r="A674" s="35">
        <v>785.0</v>
      </c>
      <c r="B674" s="36">
        <v>45527.7190625</v>
      </c>
      <c r="C674" s="36">
        <v>45527.727013888885</v>
      </c>
      <c r="D674" s="37">
        <v>3.44100534586979E-5</v>
      </c>
      <c r="E674" s="38">
        <v>0.0236397067261255</v>
      </c>
      <c r="F674" s="38">
        <v>1.45318485873103E-7</v>
      </c>
      <c r="G674" s="38">
        <v>9.98337997948219E-5</v>
      </c>
      <c r="H674" s="39">
        <f t="shared" si="1"/>
        <v>686.9999997</v>
      </c>
      <c r="I674" s="39">
        <f>IFNA(VLOOKUP(A674,표2[#ALL],2, FALSE), "")</f>
        <v>667.736549</v>
      </c>
      <c r="J674" s="50">
        <f t="shared" si="2"/>
        <v>0.02297685035</v>
      </c>
      <c r="K674" s="51">
        <f t="shared" si="3"/>
        <v>0.01893522237</v>
      </c>
    </row>
    <row r="675">
      <c r="A675" s="35">
        <v>786.0</v>
      </c>
      <c r="B675" s="42">
        <v>45527.730532407404</v>
      </c>
      <c r="C675" s="42">
        <v>45527.73587962963</v>
      </c>
      <c r="D675" s="43">
        <v>3.45390990691016E-5</v>
      </c>
      <c r="E675" s="44">
        <v>0.015957063769925</v>
      </c>
      <c r="F675" s="44">
        <v>1.71463396700748E-7</v>
      </c>
      <c r="G675" s="44">
        <v>7.92160892757454E-5</v>
      </c>
      <c r="H675" s="45">
        <f t="shared" si="1"/>
        <v>462.0000005</v>
      </c>
      <c r="I675" s="45">
        <f>IFNA(VLOOKUP(A675,표2[#ALL],2, FALSE), "")</f>
        <v>445.087517</v>
      </c>
      <c r="J675" s="48">
        <f t="shared" si="2"/>
        <v>0.01537292184</v>
      </c>
      <c r="K675" s="49">
        <f t="shared" si="3"/>
        <v>0.01266882489</v>
      </c>
    </row>
    <row r="676">
      <c r="A676" s="35">
        <v>787.0</v>
      </c>
      <c r="B676" s="36">
        <v>45527.736921296295</v>
      </c>
      <c r="C676" s="36">
        <v>45527.740324074075</v>
      </c>
      <c r="D676" s="37">
        <v>3.37814205126779E-5</v>
      </c>
      <c r="E676" s="38">
        <v>0.0099317376307273</v>
      </c>
      <c r="F676" s="38">
        <v>3.30126684196961E-7</v>
      </c>
      <c r="G676" s="38">
        <v>9.70572451539065E-5</v>
      </c>
      <c r="H676" s="39">
        <f t="shared" si="1"/>
        <v>294.0000002</v>
      </c>
      <c r="I676" s="39">
        <f>IFNA(VLOOKUP(A676,표2[#ALL],2, FALSE), "")</f>
        <v>274.945174</v>
      </c>
      <c r="J676" s="50">
        <f t="shared" si="2"/>
        <v>0.009288038541</v>
      </c>
      <c r="K676" s="51">
        <f t="shared" si="3"/>
        <v>0.007654272561</v>
      </c>
    </row>
    <row r="677">
      <c r="A677" s="35">
        <v>788.0</v>
      </c>
      <c r="B677" s="42">
        <v>45527.741435185184</v>
      </c>
      <c r="C677" s="42">
        <v>45527.742581018516</v>
      </c>
      <c r="D677" s="43">
        <v>3.07415570612483E-5</v>
      </c>
      <c r="E677" s="44">
        <v>0.00304341414906358</v>
      </c>
      <c r="F677" s="44">
        <v>1.0410895646218E-6</v>
      </c>
      <c r="G677" s="44">
        <v>1.03067866897558E-4</v>
      </c>
      <c r="H677" s="45">
        <f t="shared" si="1"/>
        <v>98.99999988</v>
      </c>
      <c r="I677" s="45">
        <f>IFNA(VLOOKUP(A677,표2[#ALL],2, FALSE), "")</f>
        <v>78.6002695</v>
      </c>
      <c r="J677" s="48">
        <f t="shared" si="2"/>
        <v>0.00241629467</v>
      </c>
      <c r="K677" s="49">
        <f t="shared" si="3"/>
        <v>0.001991268437</v>
      </c>
    </row>
    <row r="678">
      <c r="A678" s="52">
        <v>789.0</v>
      </c>
      <c r="B678" s="53">
        <v>45527.74521990741</v>
      </c>
      <c r="C678" s="53">
        <v>45527.74988425926</v>
      </c>
      <c r="D678" s="54">
        <v>3.41864803661081E-5</v>
      </c>
      <c r="E678" s="55">
        <v>0.0137771515875416</v>
      </c>
      <c r="F678" s="55">
        <v>2.12689552366635E-7</v>
      </c>
      <c r="G678" s="55">
        <v>8.57138896037541E-5</v>
      </c>
      <c r="H678" s="56">
        <f t="shared" si="1"/>
        <v>402.9999999</v>
      </c>
      <c r="I678" s="56">
        <f>IFNA(VLOOKUP(A678,표2[#ALL],2, FALSE), "")</f>
        <v>386.287267</v>
      </c>
      <c r="J678" s="57">
        <f t="shared" si="2"/>
        <v>0.01320580207</v>
      </c>
      <c r="K678" s="58">
        <f t="shared" si="3"/>
        <v>0.01088290149</v>
      </c>
    </row>
    <row r="679">
      <c r="D679" s="59"/>
      <c r="E679" s="60"/>
      <c r="G679" s="60"/>
    </row>
    <row r="680">
      <c r="D680" s="59"/>
      <c r="E680" s="60"/>
      <c r="G680" s="60"/>
    </row>
    <row r="681">
      <c r="D681" s="59"/>
      <c r="E681" s="60"/>
      <c r="G681" s="60"/>
    </row>
    <row r="682">
      <c r="D682" s="59"/>
      <c r="E682" s="60"/>
      <c r="G682" s="60"/>
    </row>
    <row r="683">
      <c r="D683" s="59"/>
      <c r="E683" s="60"/>
      <c r="G683" s="60"/>
    </row>
    <row r="684">
      <c r="D684" s="59"/>
      <c r="E684" s="60"/>
      <c r="G684" s="60"/>
    </row>
    <row r="685">
      <c r="D685" s="59"/>
      <c r="E685" s="60"/>
      <c r="G685" s="60"/>
    </row>
    <row r="686">
      <c r="D686" s="59"/>
      <c r="E686" s="60"/>
      <c r="G686" s="60"/>
    </row>
    <row r="687">
      <c r="D687" s="59"/>
      <c r="E687" s="60"/>
      <c r="G687" s="60"/>
    </row>
    <row r="688">
      <c r="D688" s="59"/>
      <c r="E688" s="60"/>
      <c r="G688" s="60"/>
    </row>
    <row r="689">
      <c r="D689" s="59"/>
      <c r="E689" s="60"/>
      <c r="G689" s="60"/>
    </row>
    <row r="690">
      <c r="D690" s="59"/>
      <c r="E690" s="60"/>
      <c r="G690" s="60"/>
    </row>
    <row r="691">
      <c r="D691" s="59"/>
      <c r="E691" s="60"/>
      <c r="G691" s="60"/>
    </row>
    <row r="692">
      <c r="D692" s="59"/>
      <c r="E692" s="60"/>
      <c r="G692" s="60"/>
    </row>
    <row r="693">
      <c r="D693" s="59"/>
      <c r="E693" s="60"/>
      <c r="G693" s="60"/>
    </row>
    <row r="694">
      <c r="D694" s="59"/>
      <c r="E694" s="60"/>
      <c r="G694" s="60"/>
    </row>
    <row r="695">
      <c r="D695" s="59"/>
      <c r="E695" s="60"/>
      <c r="G695" s="60"/>
    </row>
    <row r="696">
      <c r="D696" s="59"/>
      <c r="E696" s="60"/>
      <c r="G696" s="60"/>
    </row>
    <row r="697">
      <c r="D697" s="59"/>
      <c r="E697" s="60"/>
      <c r="G697" s="60"/>
    </row>
    <row r="698">
      <c r="D698" s="59"/>
      <c r="E698" s="60"/>
      <c r="G698" s="60"/>
    </row>
    <row r="699">
      <c r="D699" s="59"/>
      <c r="E699" s="60"/>
      <c r="G699" s="60"/>
    </row>
    <row r="700">
      <c r="D700" s="59"/>
      <c r="E700" s="60"/>
      <c r="G700" s="60"/>
    </row>
    <row r="701">
      <c r="D701" s="59"/>
      <c r="E701" s="60"/>
      <c r="G701" s="60"/>
    </row>
    <row r="702">
      <c r="D702" s="59"/>
      <c r="E702" s="60"/>
      <c r="G702" s="60"/>
    </row>
    <row r="703">
      <c r="D703" s="59"/>
      <c r="E703" s="60"/>
      <c r="G703" s="60"/>
    </row>
    <row r="704">
      <c r="D704" s="59"/>
      <c r="E704" s="60"/>
      <c r="G704" s="60"/>
    </row>
    <row r="705">
      <c r="D705" s="59"/>
      <c r="E705" s="60"/>
      <c r="G705" s="60"/>
    </row>
    <row r="706">
      <c r="D706" s="59"/>
      <c r="E706" s="60"/>
      <c r="G706" s="60"/>
    </row>
    <row r="707">
      <c r="D707" s="59"/>
      <c r="E707" s="60"/>
      <c r="G707" s="60"/>
    </row>
    <row r="708">
      <c r="D708" s="59"/>
      <c r="E708" s="60"/>
      <c r="G708" s="60"/>
    </row>
    <row r="709">
      <c r="D709" s="59"/>
      <c r="E709" s="60"/>
      <c r="G709" s="60"/>
    </row>
    <row r="710">
      <c r="D710" s="59"/>
      <c r="E710" s="60"/>
      <c r="G710" s="60"/>
    </row>
    <row r="711">
      <c r="D711" s="59"/>
      <c r="E711" s="60"/>
      <c r="G711" s="60"/>
    </row>
    <row r="712">
      <c r="D712" s="59"/>
      <c r="E712" s="60"/>
      <c r="G712" s="60"/>
    </row>
    <row r="713">
      <c r="D713" s="59"/>
      <c r="E713" s="60"/>
      <c r="G713" s="60"/>
    </row>
    <row r="714">
      <c r="D714" s="59"/>
      <c r="E714" s="60"/>
      <c r="G714" s="60"/>
    </row>
    <row r="715">
      <c r="D715" s="59"/>
      <c r="E715" s="60"/>
      <c r="G715" s="60"/>
    </row>
    <row r="716">
      <c r="D716" s="59"/>
      <c r="E716" s="60"/>
      <c r="G716" s="60"/>
    </row>
    <row r="717">
      <c r="D717" s="59"/>
      <c r="E717" s="60"/>
      <c r="G717" s="60"/>
    </row>
    <row r="718">
      <c r="D718" s="59"/>
      <c r="E718" s="60"/>
      <c r="G718" s="60"/>
    </row>
    <row r="719">
      <c r="D719" s="59"/>
      <c r="E719" s="60"/>
      <c r="G719" s="60"/>
    </row>
    <row r="720">
      <c r="D720" s="59"/>
      <c r="E720" s="60"/>
      <c r="G720" s="60"/>
    </row>
    <row r="721">
      <c r="D721" s="59"/>
      <c r="E721" s="60"/>
      <c r="G721" s="60"/>
    </row>
    <row r="722">
      <c r="D722" s="59"/>
      <c r="E722" s="60"/>
      <c r="G722" s="60"/>
    </row>
    <row r="723">
      <c r="D723" s="59"/>
      <c r="E723" s="60"/>
      <c r="G723" s="60"/>
    </row>
    <row r="724">
      <c r="D724" s="59"/>
      <c r="E724" s="60"/>
      <c r="G724" s="60"/>
    </row>
    <row r="725">
      <c r="D725" s="59"/>
      <c r="E725" s="60"/>
      <c r="G725" s="60"/>
    </row>
    <row r="726">
      <c r="D726" s="59"/>
      <c r="E726" s="60"/>
      <c r="G726" s="60"/>
    </row>
    <row r="727">
      <c r="D727" s="59"/>
      <c r="E727" s="60"/>
      <c r="G727" s="60"/>
    </row>
    <row r="728">
      <c r="D728" s="59"/>
      <c r="E728" s="60"/>
      <c r="G728" s="60"/>
    </row>
    <row r="729">
      <c r="D729" s="59"/>
      <c r="E729" s="60"/>
      <c r="G729" s="60"/>
    </row>
    <row r="730">
      <c r="D730" s="59"/>
      <c r="E730" s="60"/>
      <c r="G730" s="60"/>
    </row>
    <row r="731">
      <c r="D731" s="59"/>
      <c r="E731" s="60"/>
      <c r="G731" s="60"/>
    </row>
    <row r="732">
      <c r="D732" s="59"/>
      <c r="E732" s="60"/>
      <c r="G732" s="60"/>
    </row>
    <row r="733">
      <c r="D733" s="59"/>
      <c r="E733" s="60"/>
      <c r="G733" s="60"/>
    </row>
    <row r="734">
      <c r="D734" s="59"/>
      <c r="E734" s="60"/>
      <c r="G734" s="60"/>
    </row>
    <row r="735">
      <c r="D735" s="59"/>
      <c r="E735" s="60"/>
      <c r="G735" s="60"/>
    </row>
    <row r="736">
      <c r="D736" s="59"/>
      <c r="E736" s="60"/>
      <c r="G736" s="60"/>
    </row>
    <row r="737">
      <c r="D737" s="59"/>
      <c r="E737" s="60"/>
      <c r="G737" s="60"/>
    </row>
    <row r="738">
      <c r="D738" s="59"/>
      <c r="E738" s="60"/>
      <c r="G738" s="60"/>
    </row>
    <row r="739">
      <c r="D739" s="59"/>
      <c r="E739" s="60"/>
      <c r="G739" s="60"/>
    </row>
    <row r="740">
      <c r="D740" s="59"/>
      <c r="E740" s="60"/>
      <c r="G740" s="60"/>
    </row>
    <row r="741">
      <c r="D741" s="59"/>
      <c r="E741" s="60"/>
      <c r="G741" s="60"/>
    </row>
    <row r="742">
      <c r="D742" s="59"/>
      <c r="E742" s="60"/>
      <c r="G742" s="60"/>
    </row>
    <row r="743">
      <c r="D743" s="59"/>
      <c r="E743" s="60"/>
      <c r="G743" s="60"/>
    </row>
    <row r="744">
      <c r="D744" s="59"/>
      <c r="E744" s="60"/>
      <c r="G744" s="60"/>
    </row>
    <row r="745">
      <c r="D745" s="59"/>
      <c r="E745" s="60"/>
      <c r="G745" s="60"/>
    </row>
    <row r="746">
      <c r="D746" s="59"/>
      <c r="E746" s="60"/>
      <c r="G746" s="60"/>
    </row>
    <row r="747">
      <c r="D747" s="59"/>
      <c r="E747" s="60"/>
      <c r="G747" s="60"/>
    </row>
    <row r="748">
      <c r="D748" s="59"/>
      <c r="E748" s="60"/>
      <c r="G748" s="60"/>
    </row>
    <row r="749">
      <c r="D749" s="59"/>
      <c r="E749" s="60"/>
      <c r="G749" s="60"/>
    </row>
    <row r="750">
      <c r="D750" s="59"/>
      <c r="E750" s="60"/>
      <c r="G750" s="60"/>
    </row>
    <row r="751">
      <c r="D751" s="59"/>
      <c r="E751" s="60"/>
      <c r="G751" s="60"/>
    </row>
    <row r="752">
      <c r="D752" s="59"/>
      <c r="E752" s="60"/>
      <c r="G752" s="60"/>
    </row>
    <row r="753">
      <c r="D753" s="59"/>
      <c r="E753" s="60"/>
      <c r="G753" s="60"/>
    </row>
    <row r="754">
      <c r="D754" s="59"/>
      <c r="E754" s="60"/>
      <c r="G754" s="60"/>
    </row>
    <row r="755">
      <c r="D755" s="59"/>
      <c r="E755" s="60"/>
      <c r="G755" s="60"/>
    </row>
    <row r="756">
      <c r="D756" s="59"/>
      <c r="E756" s="60"/>
      <c r="G756" s="60"/>
    </row>
    <row r="757">
      <c r="D757" s="59"/>
      <c r="E757" s="60"/>
      <c r="G757" s="60"/>
    </row>
    <row r="758">
      <c r="D758" s="59"/>
      <c r="E758" s="60"/>
      <c r="G758" s="60"/>
    </row>
    <row r="759">
      <c r="D759" s="59"/>
      <c r="E759" s="60"/>
      <c r="G759" s="60"/>
    </row>
    <row r="760">
      <c r="D760" s="59"/>
      <c r="E760" s="60"/>
      <c r="G760" s="60"/>
    </row>
    <row r="761">
      <c r="D761" s="59"/>
      <c r="E761" s="60"/>
      <c r="G761" s="60"/>
    </row>
    <row r="762">
      <c r="D762" s="59"/>
      <c r="E762" s="60"/>
      <c r="G762" s="60"/>
    </row>
    <row r="763">
      <c r="D763" s="59"/>
      <c r="E763" s="60"/>
      <c r="G763" s="60"/>
    </row>
    <row r="764">
      <c r="D764" s="59"/>
      <c r="E764" s="60"/>
      <c r="G764" s="60"/>
    </row>
    <row r="765">
      <c r="D765" s="59"/>
      <c r="E765" s="60"/>
      <c r="G765" s="60"/>
    </row>
    <row r="766">
      <c r="D766" s="59"/>
      <c r="E766" s="60"/>
      <c r="G766" s="60"/>
    </row>
    <row r="767">
      <c r="D767" s="59"/>
      <c r="E767" s="60"/>
      <c r="G767" s="60"/>
    </row>
    <row r="768">
      <c r="D768" s="59"/>
      <c r="E768" s="60"/>
      <c r="G768" s="60"/>
    </row>
    <row r="769">
      <c r="D769" s="59"/>
      <c r="E769" s="60"/>
      <c r="G769" s="60"/>
    </row>
    <row r="770">
      <c r="D770" s="59"/>
      <c r="E770" s="60"/>
      <c r="G770" s="60"/>
    </row>
    <row r="771">
      <c r="D771" s="59"/>
      <c r="E771" s="60"/>
      <c r="G771" s="60"/>
    </row>
    <row r="772">
      <c r="D772" s="59"/>
      <c r="E772" s="60"/>
      <c r="G772" s="60"/>
    </row>
    <row r="773">
      <c r="D773" s="59"/>
      <c r="E773" s="60"/>
      <c r="G773" s="60"/>
    </row>
    <row r="774">
      <c r="D774" s="59"/>
      <c r="E774" s="60"/>
      <c r="G774" s="60"/>
    </row>
    <row r="775">
      <c r="D775" s="59"/>
      <c r="E775" s="60"/>
      <c r="G775" s="60"/>
    </row>
    <row r="776">
      <c r="D776" s="59"/>
      <c r="E776" s="60"/>
      <c r="G776" s="60"/>
    </row>
    <row r="777">
      <c r="D777" s="59"/>
      <c r="E777" s="60"/>
      <c r="G777" s="60"/>
    </row>
    <row r="778">
      <c r="D778" s="59"/>
      <c r="E778" s="60"/>
      <c r="G778" s="60"/>
    </row>
    <row r="779">
      <c r="D779" s="59"/>
      <c r="E779" s="60"/>
      <c r="G779" s="60"/>
    </row>
    <row r="780">
      <c r="D780" s="59"/>
      <c r="E780" s="60"/>
      <c r="G780" s="60"/>
    </row>
    <row r="781">
      <c r="D781" s="59"/>
      <c r="E781" s="60"/>
      <c r="G781" s="60"/>
    </row>
    <row r="782">
      <c r="D782" s="59"/>
      <c r="E782" s="60"/>
      <c r="G782" s="60"/>
    </row>
    <row r="783">
      <c r="D783" s="59"/>
      <c r="E783" s="60"/>
      <c r="G783" s="60"/>
    </row>
    <row r="784">
      <c r="D784" s="59"/>
      <c r="E784" s="60"/>
      <c r="G784" s="60"/>
    </row>
    <row r="785">
      <c r="D785" s="59"/>
      <c r="E785" s="60"/>
      <c r="G785" s="60"/>
    </row>
    <row r="786">
      <c r="D786" s="59"/>
      <c r="E786" s="60"/>
      <c r="G786" s="60"/>
    </row>
    <row r="787">
      <c r="D787" s="59"/>
      <c r="E787" s="60"/>
      <c r="G787" s="60"/>
    </row>
    <row r="788">
      <c r="D788" s="59"/>
      <c r="E788" s="60"/>
      <c r="G788" s="60"/>
    </row>
    <row r="789">
      <c r="D789" s="59"/>
      <c r="E789" s="60"/>
      <c r="G789" s="60"/>
    </row>
    <row r="790">
      <c r="D790" s="59"/>
      <c r="E790" s="60"/>
      <c r="G790" s="60"/>
    </row>
    <row r="791">
      <c r="D791" s="59"/>
      <c r="E791" s="60"/>
      <c r="G791" s="60"/>
    </row>
    <row r="792">
      <c r="D792" s="59"/>
      <c r="E792" s="60"/>
      <c r="G792" s="60"/>
    </row>
    <row r="793">
      <c r="D793" s="59"/>
      <c r="E793" s="60"/>
      <c r="G793" s="60"/>
    </row>
    <row r="794">
      <c r="D794" s="59"/>
      <c r="E794" s="60"/>
      <c r="G794" s="60"/>
    </row>
    <row r="795">
      <c r="D795" s="59"/>
      <c r="E795" s="60"/>
      <c r="G795" s="60"/>
    </row>
    <row r="796">
      <c r="D796" s="59"/>
      <c r="E796" s="60"/>
      <c r="G796" s="60"/>
    </row>
    <row r="797">
      <c r="D797" s="59"/>
      <c r="E797" s="60"/>
      <c r="G797" s="60"/>
    </row>
    <row r="798">
      <c r="D798" s="59"/>
      <c r="E798" s="60"/>
      <c r="G798" s="60"/>
    </row>
    <row r="799">
      <c r="D799" s="59"/>
      <c r="E799" s="60"/>
      <c r="G799" s="60"/>
    </row>
    <row r="800">
      <c r="D800" s="59"/>
      <c r="E800" s="60"/>
      <c r="G800" s="60"/>
    </row>
    <row r="801">
      <c r="D801" s="59"/>
      <c r="E801" s="60"/>
      <c r="G801" s="60"/>
    </row>
    <row r="802">
      <c r="D802" s="59"/>
      <c r="E802" s="60"/>
      <c r="G802" s="60"/>
    </row>
    <row r="803">
      <c r="D803" s="59"/>
      <c r="E803" s="60"/>
      <c r="G803" s="60"/>
    </row>
    <row r="804">
      <c r="D804" s="59"/>
      <c r="E804" s="60"/>
      <c r="G804" s="60"/>
    </row>
    <row r="805">
      <c r="D805" s="59"/>
      <c r="E805" s="60"/>
      <c r="G805" s="60"/>
    </row>
    <row r="806">
      <c r="D806" s="59"/>
      <c r="E806" s="60"/>
      <c r="G806" s="60"/>
    </row>
    <row r="807">
      <c r="D807" s="59"/>
      <c r="E807" s="60"/>
      <c r="G807" s="60"/>
    </row>
    <row r="808">
      <c r="D808" s="59"/>
      <c r="E808" s="60"/>
      <c r="G808" s="60"/>
    </row>
    <row r="809">
      <c r="D809" s="59"/>
      <c r="E809" s="60"/>
      <c r="G809" s="60"/>
    </row>
    <row r="810">
      <c r="D810" s="59"/>
      <c r="E810" s="60"/>
      <c r="G810" s="60"/>
    </row>
    <row r="811">
      <c r="D811" s="59"/>
      <c r="E811" s="60"/>
      <c r="G811" s="60"/>
    </row>
    <row r="812">
      <c r="D812" s="59"/>
      <c r="E812" s="60"/>
      <c r="G812" s="60"/>
    </row>
    <row r="813">
      <c r="D813" s="59"/>
      <c r="E813" s="60"/>
      <c r="G813" s="60"/>
    </row>
    <row r="814">
      <c r="D814" s="59"/>
      <c r="E814" s="60"/>
      <c r="G814" s="60"/>
    </row>
    <row r="815">
      <c r="D815" s="59"/>
      <c r="E815" s="60"/>
      <c r="G815" s="60"/>
    </row>
    <row r="816">
      <c r="D816" s="59"/>
      <c r="E816" s="60"/>
      <c r="G816" s="60"/>
    </row>
    <row r="817">
      <c r="D817" s="59"/>
      <c r="E817" s="60"/>
      <c r="G817" s="60"/>
    </row>
    <row r="818">
      <c r="D818" s="59"/>
      <c r="E818" s="60"/>
      <c r="G818" s="60"/>
    </row>
    <row r="819">
      <c r="D819" s="59"/>
      <c r="E819" s="60"/>
      <c r="G819" s="60"/>
    </row>
    <row r="820">
      <c r="D820" s="59"/>
      <c r="E820" s="60"/>
      <c r="G820" s="60"/>
    </row>
    <row r="821">
      <c r="D821" s="59"/>
      <c r="E821" s="60"/>
      <c r="G821" s="60"/>
    </row>
    <row r="822">
      <c r="D822" s="59"/>
      <c r="E822" s="60"/>
      <c r="G822" s="60"/>
    </row>
    <row r="823">
      <c r="D823" s="59"/>
      <c r="E823" s="60"/>
      <c r="G823" s="60"/>
    </row>
    <row r="824">
      <c r="D824" s="59"/>
      <c r="E824" s="60"/>
      <c r="G824" s="60"/>
    </row>
    <row r="825">
      <c r="D825" s="59"/>
      <c r="E825" s="60"/>
      <c r="G825" s="60"/>
    </row>
    <row r="826">
      <c r="D826" s="59"/>
      <c r="E826" s="60"/>
      <c r="G826" s="60"/>
    </row>
    <row r="827">
      <c r="D827" s="59"/>
      <c r="E827" s="60"/>
      <c r="G827" s="60"/>
    </row>
    <row r="828">
      <c r="D828" s="59"/>
      <c r="E828" s="60"/>
      <c r="G828" s="60"/>
    </row>
    <row r="829">
      <c r="D829" s="59"/>
      <c r="E829" s="60"/>
      <c r="G829" s="60"/>
    </row>
    <row r="830">
      <c r="D830" s="59"/>
      <c r="E830" s="60"/>
      <c r="G830" s="60"/>
    </row>
    <row r="831">
      <c r="D831" s="59"/>
      <c r="E831" s="60"/>
      <c r="G831" s="60"/>
    </row>
    <row r="832">
      <c r="D832" s="59"/>
      <c r="E832" s="60"/>
      <c r="G832" s="60"/>
    </row>
    <row r="833">
      <c r="D833" s="59"/>
      <c r="E833" s="60"/>
      <c r="G833" s="60"/>
    </row>
    <row r="834">
      <c r="D834" s="59"/>
      <c r="E834" s="60"/>
      <c r="G834" s="60"/>
    </row>
    <row r="835">
      <c r="D835" s="59"/>
      <c r="E835" s="60"/>
      <c r="G835" s="60"/>
    </row>
    <row r="836">
      <c r="D836" s="59"/>
      <c r="E836" s="60"/>
      <c r="G836" s="60"/>
    </row>
    <row r="837">
      <c r="D837" s="59"/>
      <c r="E837" s="60"/>
      <c r="G837" s="60"/>
    </row>
    <row r="838">
      <c r="D838" s="59"/>
      <c r="E838" s="60"/>
      <c r="G838" s="60"/>
    </row>
    <row r="839">
      <c r="D839" s="59"/>
      <c r="E839" s="60"/>
      <c r="G839" s="60"/>
    </row>
    <row r="840">
      <c r="D840" s="59"/>
      <c r="E840" s="60"/>
      <c r="G840" s="60"/>
    </row>
    <row r="841">
      <c r="D841" s="59"/>
      <c r="E841" s="60"/>
      <c r="G841" s="60"/>
    </row>
    <row r="842">
      <c r="D842" s="59"/>
      <c r="E842" s="60"/>
      <c r="G842" s="60"/>
    </row>
    <row r="843">
      <c r="D843" s="59"/>
      <c r="E843" s="60"/>
      <c r="G843" s="60"/>
    </row>
    <row r="844">
      <c r="D844" s="59"/>
      <c r="E844" s="60"/>
      <c r="G844" s="60"/>
    </row>
    <row r="845">
      <c r="D845" s="59"/>
      <c r="E845" s="60"/>
      <c r="G845" s="60"/>
    </row>
    <row r="846">
      <c r="D846" s="59"/>
      <c r="E846" s="60"/>
      <c r="G846" s="60"/>
    </row>
    <row r="847">
      <c r="D847" s="59"/>
      <c r="E847" s="60"/>
      <c r="G847" s="60"/>
    </row>
    <row r="848">
      <c r="D848" s="59"/>
      <c r="E848" s="60"/>
      <c r="G848" s="60"/>
    </row>
    <row r="849">
      <c r="D849" s="59"/>
      <c r="E849" s="60"/>
      <c r="G849" s="60"/>
    </row>
    <row r="850">
      <c r="D850" s="59"/>
      <c r="E850" s="60"/>
      <c r="G850" s="60"/>
    </row>
    <row r="851">
      <c r="D851" s="59"/>
      <c r="E851" s="60"/>
      <c r="G851" s="60"/>
    </row>
    <row r="852">
      <c r="D852" s="59"/>
      <c r="E852" s="60"/>
      <c r="G852" s="60"/>
    </row>
    <row r="853">
      <c r="D853" s="59"/>
      <c r="E853" s="60"/>
      <c r="G853" s="60"/>
    </row>
    <row r="854">
      <c r="D854" s="59"/>
      <c r="E854" s="60"/>
      <c r="G854" s="60"/>
    </row>
    <row r="855">
      <c r="D855" s="59"/>
      <c r="E855" s="60"/>
      <c r="G855" s="60"/>
    </row>
    <row r="856">
      <c r="D856" s="59"/>
      <c r="E856" s="60"/>
      <c r="G856" s="60"/>
    </row>
    <row r="857">
      <c r="D857" s="59"/>
      <c r="E857" s="60"/>
      <c r="G857" s="60"/>
    </row>
    <row r="858">
      <c r="D858" s="59"/>
      <c r="E858" s="60"/>
      <c r="G858" s="60"/>
    </row>
    <row r="859">
      <c r="D859" s="59"/>
      <c r="E859" s="60"/>
      <c r="G859" s="60"/>
    </row>
    <row r="860">
      <c r="D860" s="59"/>
      <c r="E860" s="60"/>
      <c r="G860" s="60"/>
    </row>
    <row r="861">
      <c r="D861" s="59"/>
      <c r="E861" s="60"/>
      <c r="G861" s="60"/>
    </row>
    <row r="862">
      <c r="D862" s="59"/>
      <c r="E862" s="60"/>
      <c r="G862" s="60"/>
    </row>
    <row r="863">
      <c r="D863" s="59"/>
      <c r="E863" s="60"/>
      <c r="G863" s="60"/>
    </row>
    <row r="864">
      <c r="D864" s="59"/>
      <c r="E864" s="60"/>
      <c r="G864" s="60"/>
    </row>
    <row r="865">
      <c r="D865" s="59"/>
      <c r="E865" s="60"/>
      <c r="G865" s="60"/>
    </row>
    <row r="866">
      <c r="D866" s="59"/>
      <c r="E866" s="60"/>
      <c r="G866" s="60"/>
    </row>
    <row r="867">
      <c r="D867" s="59"/>
      <c r="E867" s="60"/>
      <c r="G867" s="60"/>
    </row>
    <row r="868">
      <c r="D868" s="59"/>
      <c r="E868" s="60"/>
      <c r="G868" s="60"/>
    </row>
    <row r="869">
      <c r="D869" s="59"/>
      <c r="E869" s="60"/>
      <c r="G869" s="60"/>
    </row>
    <row r="870">
      <c r="D870" s="59"/>
      <c r="E870" s="60"/>
      <c r="G870" s="60"/>
    </row>
    <row r="871">
      <c r="D871" s="59"/>
      <c r="E871" s="60"/>
      <c r="G871" s="60"/>
    </row>
    <row r="872">
      <c r="D872" s="59"/>
      <c r="E872" s="60"/>
      <c r="G872" s="60"/>
    </row>
    <row r="873">
      <c r="D873" s="59"/>
      <c r="E873" s="60"/>
      <c r="G873" s="60"/>
    </row>
    <row r="874">
      <c r="D874" s="59"/>
      <c r="E874" s="60"/>
      <c r="G874" s="60"/>
    </row>
    <row r="875">
      <c r="D875" s="59"/>
      <c r="E875" s="60"/>
      <c r="G875" s="60"/>
    </row>
    <row r="876">
      <c r="D876" s="59"/>
      <c r="E876" s="60"/>
      <c r="G876" s="60"/>
    </row>
    <row r="877">
      <c r="D877" s="59"/>
      <c r="E877" s="60"/>
      <c r="G877" s="60"/>
    </row>
    <row r="878">
      <c r="D878" s="59"/>
      <c r="E878" s="60"/>
      <c r="G878" s="60"/>
    </row>
    <row r="879">
      <c r="D879" s="59"/>
      <c r="E879" s="60"/>
      <c r="G879" s="60"/>
    </row>
    <row r="880">
      <c r="D880" s="59"/>
      <c r="E880" s="60"/>
      <c r="G880" s="60"/>
    </row>
    <row r="881">
      <c r="D881" s="59"/>
      <c r="E881" s="60"/>
      <c r="G881" s="60"/>
    </row>
    <row r="882">
      <c r="D882" s="59"/>
      <c r="E882" s="60"/>
      <c r="G882" s="60"/>
    </row>
    <row r="883">
      <c r="D883" s="59"/>
      <c r="E883" s="60"/>
      <c r="G883" s="60"/>
    </row>
    <row r="884">
      <c r="D884" s="59"/>
      <c r="E884" s="60"/>
      <c r="G884" s="60"/>
    </row>
    <row r="885">
      <c r="D885" s="59"/>
      <c r="E885" s="60"/>
      <c r="G885" s="60"/>
    </row>
    <row r="886">
      <c r="D886" s="59"/>
      <c r="E886" s="60"/>
      <c r="G886" s="60"/>
    </row>
    <row r="887">
      <c r="D887" s="59"/>
      <c r="E887" s="60"/>
      <c r="G887" s="60"/>
    </row>
    <row r="888">
      <c r="D888" s="59"/>
      <c r="E888" s="60"/>
      <c r="G888" s="60"/>
    </row>
    <row r="889">
      <c r="D889" s="59"/>
      <c r="E889" s="60"/>
      <c r="G889" s="60"/>
    </row>
    <row r="890">
      <c r="D890" s="59"/>
      <c r="E890" s="60"/>
      <c r="G890" s="60"/>
    </row>
    <row r="891">
      <c r="D891" s="59"/>
      <c r="E891" s="60"/>
      <c r="G891" s="60"/>
    </row>
    <row r="892">
      <c r="D892" s="59"/>
      <c r="E892" s="60"/>
      <c r="G892" s="60"/>
    </row>
    <row r="893">
      <c r="D893" s="59"/>
      <c r="E893" s="60"/>
      <c r="G893" s="60"/>
    </row>
    <row r="894">
      <c r="D894" s="59"/>
      <c r="E894" s="60"/>
      <c r="G894" s="60"/>
    </row>
    <row r="895">
      <c r="D895" s="59"/>
      <c r="E895" s="60"/>
      <c r="G895" s="60"/>
    </row>
    <row r="896">
      <c r="D896" s="59"/>
      <c r="E896" s="60"/>
      <c r="G896" s="60"/>
    </row>
    <row r="897">
      <c r="D897" s="59"/>
      <c r="E897" s="60"/>
      <c r="G897" s="60"/>
    </row>
    <row r="898">
      <c r="D898" s="59"/>
      <c r="E898" s="60"/>
      <c r="G898" s="60"/>
    </row>
    <row r="899">
      <c r="D899" s="59"/>
      <c r="E899" s="60"/>
      <c r="G899" s="60"/>
    </row>
    <row r="900">
      <c r="D900" s="59"/>
      <c r="E900" s="60"/>
      <c r="G900" s="60"/>
    </row>
    <row r="901">
      <c r="D901" s="59"/>
      <c r="E901" s="60"/>
      <c r="G901" s="60"/>
    </row>
    <row r="902">
      <c r="D902" s="59"/>
      <c r="E902" s="60"/>
      <c r="G902" s="60"/>
    </row>
    <row r="903">
      <c r="D903" s="59"/>
      <c r="E903" s="60"/>
      <c r="G903" s="60"/>
    </row>
    <row r="904">
      <c r="D904" s="59"/>
      <c r="E904" s="60"/>
      <c r="G904" s="60"/>
    </row>
    <row r="905">
      <c r="D905" s="59"/>
      <c r="E905" s="60"/>
      <c r="G905" s="60"/>
    </row>
    <row r="906">
      <c r="D906" s="59"/>
      <c r="E906" s="60"/>
      <c r="G906" s="60"/>
    </row>
    <row r="907">
      <c r="D907" s="59"/>
      <c r="E907" s="60"/>
      <c r="G907" s="60"/>
    </row>
    <row r="908">
      <c r="D908" s="59"/>
      <c r="E908" s="60"/>
      <c r="G908" s="60"/>
    </row>
    <row r="909">
      <c r="D909" s="59"/>
      <c r="E909" s="60"/>
      <c r="G909" s="60"/>
    </row>
    <row r="910">
      <c r="D910" s="59"/>
      <c r="E910" s="60"/>
      <c r="G910" s="60"/>
    </row>
    <row r="911">
      <c r="D911" s="59"/>
      <c r="E911" s="60"/>
      <c r="G911" s="60"/>
    </row>
    <row r="912">
      <c r="D912" s="59"/>
      <c r="E912" s="60"/>
      <c r="G912" s="60"/>
    </row>
    <row r="913">
      <c r="D913" s="59"/>
      <c r="E913" s="60"/>
      <c r="G913" s="60"/>
    </row>
    <row r="914">
      <c r="D914" s="59"/>
      <c r="E914" s="60"/>
      <c r="G914" s="60"/>
    </row>
    <row r="915">
      <c r="D915" s="59"/>
      <c r="E915" s="60"/>
      <c r="G915" s="60"/>
    </row>
    <row r="916">
      <c r="D916" s="59"/>
      <c r="E916" s="60"/>
      <c r="G916" s="60"/>
    </row>
    <row r="917">
      <c r="D917" s="59"/>
      <c r="E917" s="60"/>
      <c r="G917" s="60"/>
    </row>
    <row r="918">
      <c r="D918" s="59"/>
      <c r="E918" s="60"/>
      <c r="G918" s="60"/>
    </row>
    <row r="919">
      <c r="D919" s="59"/>
      <c r="E919" s="60"/>
      <c r="G919" s="60"/>
    </row>
    <row r="920">
      <c r="D920" s="59"/>
      <c r="E920" s="60"/>
      <c r="G920" s="60"/>
    </row>
    <row r="921">
      <c r="D921" s="59"/>
      <c r="E921" s="60"/>
      <c r="G921" s="60"/>
    </row>
    <row r="922">
      <c r="D922" s="59"/>
      <c r="E922" s="60"/>
      <c r="G922" s="60"/>
    </row>
    <row r="923">
      <c r="D923" s="59"/>
      <c r="E923" s="60"/>
      <c r="G923" s="60"/>
    </row>
    <row r="924">
      <c r="D924" s="59"/>
      <c r="E924" s="60"/>
      <c r="G924" s="60"/>
    </row>
    <row r="925">
      <c r="D925" s="59"/>
      <c r="E925" s="60"/>
      <c r="G925" s="60"/>
    </row>
    <row r="926">
      <c r="D926" s="59"/>
      <c r="E926" s="60"/>
      <c r="G926" s="60"/>
    </row>
    <row r="927">
      <c r="D927" s="59"/>
      <c r="E927" s="60"/>
      <c r="G927" s="60"/>
    </row>
    <row r="928">
      <c r="D928" s="59"/>
      <c r="E928" s="60"/>
      <c r="G928" s="60"/>
    </row>
    <row r="929">
      <c r="D929" s="59"/>
      <c r="E929" s="60"/>
      <c r="G929" s="60"/>
    </row>
    <row r="930">
      <c r="D930" s="59"/>
      <c r="E930" s="60"/>
      <c r="G930" s="60"/>
    </row>
    <row r="931">
      <c r="D931" s="59"/>
      <c r="E931" s="60"/>
      <c r="G931" s="60"/>
    </row>
    <row r="932">
      <c r="D932" s="59"/>
      <c r="E932" s="60"/>
      <c r="G932" s="60"/>
    </row>
    <row r="933">
      <c r="D933" s="59"/>
      <c r="E933" s="60"/>
      <c r="G933" s="60"/>
    </row>
    <row r="934">
      <c r="D934" s="59"/>
      <c r="E934" s="60"/>
      <c r="G934" s="60"/>
    </row>
    <row r="935">
      <c r="D935" s="59"/>
      <c r="E935" s="60"/>
      <c r="G935" s="60"/>
    </row>
    <row r="936">
      <c r="D936" s="59"/>
      <c r="E936" s="60"/>
      <c r="G936" s="60"/>
    </row>
    <row r="937">
      <c r="D937" s="59"/>
      <c r="E937" s="60"/>
      <c r="G937" s="60"/>
    </row>
    <row r="938">
      <c r="D938" s="59"/>
      <c r="E938" s="60"/>
      <c r="G938" s="60"/>
    </row>
    <row r="939">
      <c r="D939" s="59"/>
      <c r="E939" s="60"/>
      <c r="G939" s="60"/>
    </row>
    <row r="940">
      <c r="D940" s="59"/>
      <c r="E940" s="60"/>
      <c r="G940" s="60"/>
    </row>
    <row r="941">
      <c r="D941" s="59"/>
      <c r="E941" s="60"/>
      <c r="G941" s="60"/>
    </row>
    <row r="942">
      <c r="D942" s="59"/>
      <c r="E942" s="60"/>
      <c r="G942" s="60"/>
    </row>
    <row r="943">
      <c r="D943" s="59"/>
      <c r="E943" s="60"/>
      <c r="G943" s="60"/>
    </row>
    <row r="944">
      <c r="D944" s="59"/>
      <c r="E944" s="60"/>
      <c r="G944" s="60"/>
    </row>
    <row r="945">
      <c r="D945" s="59"/>
      <c r="E945" s="60"/>
      <c r="G945" s="60"/>
    </row>
    <row r="946">
      <c r="D946" s="59"/>
      <c r="E946" s="60"/>
      <c r="G946" s="60"/>
    </row>
    <row r="947">
      <c r="D947" s="59"/>
      <c r="E947" s="60"/>
      <c r="G947" s="60"/>
    </row>
    <row r="948">
      <c r="D948" s="59"/>
      <c r="E948" s="60"/>
      <c r="G948" s="60"/>
    </row>
    <row r="949">
      <c r="D949" s="59"/>
      <c r="E949" s="60"/>
      <c r="G949" s="60"/>
    </row>
    <row r="950">
      <c r="D950" s="59"/>
      <c r="E950" s="60"/>
      <c r="G950" s="60"/>
    </row>
    <row r="951">
      <c r="D951" s="59"/>
      <c r="E951" s="60"/>
      <c r="G951" s="60"/>
    </row>
    <row r="952">
      <c r="D952" s="59"/>
      <c r="E952" s="60"/>
      <c r="G952" s="60"/>
    </row>
    <row r="953">
      <c r="D953" s="59"/>
      <c r="E953" s="60"/>
      <c r="G953" s="60"/>
    </row>
    <row r="954">
      <c r="D954" s="59"/>
      <c r="E954" s="60"/>
      <c r="G954" s="60"/>
    </row>
    <row r="955">
      <c r="D955" s="59"/>
      <c r="E955" s="60"/>
      <c r="G955" s="60"/>
    </row>
    <row r="956">
      <c r="D956" s="59"/>
      <c r="E956" s="60"/>
      <c r="G956" s="60"/>
    </row>
    <row r="957">
      <c r="D957" s="59"/>
      <c r="E957" s="60"/>
      <c r="G957" s="60"/>
    </row>
    <row r="958">
      <c r="D958" s="59"/>
      <c r="E958" s="60"/>
      <c r="G958" s="60"/>
    </row>
    <row r="959">
      <c r="D959" s="59"/>
      <c r="E959" s="60"/>
      <c r="G959" s="60"/>
    </row>
    <row r="960">
      <c r="D960" s="59"/>
      <c r="E960" s="60"/>
      <c r="G960" s="60"/>
    </row>
    <row r="961">
      <c r="D961" s="59"/>
      <c r="E961" s="60"/>
      <c r="G961" s="60"/>
    </row>
    <row r="962">
      <c r="D962" s="59"/>
      <c r="E962" s="60"/>
      <c r="G962" s="60"/>
    </row>
    <row r="963">
      <c r="D963" s="59"/>
      <c r="E963" s="60"/>
      <c r="G963" s="60"/>
    </row>
    <row r="964">
      <c r="D964" s="59"/>
      <c r="E964" s="60"/>
      <c r="G964" s="60"/>
    </row>
    <row r="965">
      <c r="D965" s="59"/>
      <c r="E965" s="60"/>
      <c r="G965" s="60"/>
    </row>
    <row r="966">
      <c r="D966" s="59"/>
      <c r="E966" s="60"/>
      <c r="G966" s="60"/>
    </row>
    <row r="967">
      <c r="D967" s="59"/>
      <c r="E967" s="60"/>
      <c r="G967" s="60"/>
    </row>
    <row r="968">
      <c r="D968" s="59"/>
      <c r="E968" s="60"/>
      <c r="G968" s="60"/>
    </row>
    <row r="969">
      <c r="D969" s="59"/>
      <c r="E969" s="60"/>
      <c r="G969" s="60"/>
    </row>
    <row r="970">
      <c r="D970" s="59"/>
      <c r="E970" s="60"/>
      <c r="G970" s="60"/>
    </row>
    <row r="971">
      <c r="D971" s="59"/>
      <c r="E971" s="60"/>
      <c r="G971" s="60"/>
    </row>
    <row r="972">
      <c r="D972" s="59"/>
      <c r="E972" s="60"/>
      <c r="G972" s="60"/>
    </row>
    <row r="973">
      <c r="D973" s="59"/>
      <c r="E973" s="60"/>
      <c r="G973" s="60"/>
    </row>
    <row r="974">
      <c r="D974" s="59"/>
      <c r="E974" s="60"/>
      <c r="G974" s="60"/>
    </row>
    <row r="975">
      <c r="D975" s="59"/>
      <c r="E975" s="60"/>
      <c r="G975" s="60"/>
    </row>
    <row r="976">
      <c r="D976" s="59"/>
      <c r="E976" s="60"/>
      <c r="G976" s="60"/>
    </row>
    <row r="977">
      <c r="D977" s="59"/>
      <c r="E977" s="60"/>
      <c r="G977" s="60"/>
    </row>
    <row r="978">
      <c r="D978" s="59"/>
      <c r="E978" s="60"/>
      <c r="G978" s="60"/>
    </row>
    <row r="979">
      <c r="D979" s="59"/>
      <c r="E979" s="60"/>
      <c r="G979" s="60"/>
    </row>
    <row r="980">
      <c r="D980" s="59"/>
      <c r="E980" s="60"/>
      <c r="G980" s="60"/>
    </row>
    <row r="981">
      <c r="D981" s="59"/>
      <c r="E981" s="60"/>
      <c r="G981" s="60"/>
    </row>
    <row r="982">
      <c r="D982" s="59"/>
      <c r="E982" s="60"/>
      <c r="G982" s="60"/>
    </row>
    <row r="983">
      <c r="D983" s="59"/>
      <c r="E983" s="60"/>
      <c r="G983" s="60"/>
    </row>
    <row r="984">
      <c r="D984" s="59"/>
      <c r="E984" s="60"/>
      <c r="G984" s="60"/>
    </row>
    <row r="985">
      <c r="D985" s="59"/>
      <c r="E985" s="60"/>
      <c r="G985" s="60"/>
    </row>
    <row r="986">
      <c r="D986" s="59"/>
      <c r="E986" s="60"/>
      <c r="G986" s="60"/>
    </row>
    <row r="987">
      <c r="D987" s="59"/>
      <c r="E987" s="60"/>
      <c r="G987" s="60"/>
    </row>
    <row r="988">
      <c r="D988" s="59"/>
      <c r="E988" s="60"/>
      <c r="G988" s="60"/>
    </row>
    <row r="989">
      <c r="D989" s="59"/>
      <c r="E989" s="60"/>
      <c r="G989" s="60"/>
    </row>
    <row r="990">
      <c r="D990" s="59"/>
      <c r="E990" s="60"/>
      <c r="G990" s="60"/>
    </row>
    <row r="991">
      <c r="D991" s="59"/>
      <c r="E991" s="60"/>
      <c r="G991" s="60"/>
    </row>
    <row r="992">
      <c r="D992" s="59"/>
      <c r="E992" s="60"/>
      <c r="G992" s="60"/>
    </row>
    <row r="993">
      <c r="D993" s="59"/>
      <c r="E993" s="60"/>
      <c r="G993" s="60"/>
    </row>
    <row r="994">
      <c r="D994" s="59"/>
      <c r="E994" s="60"/>
      <c r="G994" s="60"/>
    </row>
    <row r="995">
      <c r="D995" s="59"/>
      <c r="E995" s="60"/>
      <c r="G995" s="60"/>
    </row>
    <row r="996">
      <c r="D996" s="59"/>
      <c r="E996" s="60"/>
      <c r="G996" s="60"/>
    </row>
    <row r="997">
      <c r="D997" s="59"/>
      <c r="E997" s="60"/>
      <c r="G997" s="60"/>
    </row>
    <row r="998">
      <c r="D998" s="59"/>
      <c r="E998" s="60"/>
      <c r="G998" s="60"/>
    </row>
    <row r="999">
      <c r="D999" s="59"/>
      <c r="E999" s="60"/>
      <c r="G999" s="60"/>
    </row>
    <row r="1000">
      <c r="D1000" s="59"/>
      <c r="E1000" s="60"/>
      <c r="G1000" s="60"/>
    </row>
  </sheetData>
  <dataValidations>
    <dataValidation type="custom" allowBlank="1" showDropDown="1" sqref="B2:C678">
      <formula1>OR(NOT(ISERROR(DATEVALUE(B2))), AND(ISNUMBER(B2), LEFT(CELL("format", B2))="D"))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63.38"/>
  </cols>
  <sheetData>
    <row r="1">
      <c r="A1" s="61" t="s">
        <v>31</v>
      </c>
      <c r="B1" s="62" t="s">
        <v>32</v>
      </c>
      <c r="C1" s="62" t="s">
        <v>33</v>
      </c>
      <c r="D1" s="63" t="s">
        <v>34</v>
      </c>
      <c r="E1" s="63" t="s">
        <v>35</v>
      </c>
      <c r="F1" s="64" t="s">
        <v>36</v>
      </c>
    </row>
    <row r="2">
      <c r="A2" s="65">
        <v>45853.0</v>
      </c>
      <c r="B2" s="66">
        <v>0.7298611111111111</v>
      </c>
      <c r="C2" s="67">
        <v>0.919</v>
      </c>
      <c r="D2" s="68"/>
      <c r="E2" s="68"/>
      <c r="F2" s="69" t="s">
        <v>37</v>
      </c>
    </row>
    <row r="3">
      <c r="A3" s="70">
        <v>45854.0</v>
      </c>
      <c r="B3" s="71">
        <v>0.7298611111111111</v>
      </c>
      <c r="C3" s="72">
        <v>0.919</v>
      </c>
      <c r="D3" s="73">
        <v>220.0</v>
      </c>
      <c r="E3" s="73">
        <v>222.0</v>
      </c>
      <c r="F3" s="74"/>
    </row>
    <row r="4">
      <c r="A4" s="65">
        <v>45855.0</v>
      </c>
      <c r="B4" s="66">
        <v>0.41041666666666665</v>
      </c>
      <c r="C4" s="67">
        <v>0.895</v>
      </c>
      <c r="D4" s="68">
        <v>223.0</v>
      </c>
      <c r="E4" s="68">
        <v>268.0</v>
      </c>
      <c r="F4" s="75"/>
    </row>
    <row r="5">
      <c r="A5" s="70">
        <v>45856.0</v>
      </c>
      <c r="B5" s="71">
        <v>0.4125</v>
      </c>
      <c r="C5" s="72">
        <v>0.94</v>
      </c>
      <c r="D5" s="73">
        <v>269.0</v>
      </c>
      <c r="E5" s="73">
        <v>322.0</v>
      </c>
      <c r="F5" s="74"/>
    </row>
    <row r="6">
      <c r="A6" s="65">
        <v>45860.0</v>
      </c>
      <c r="B6" s="66">
        <v>0.46319444444444446</v>
      </c>
      <c r="C6" s="67">
        <v>0.945</v>
      </c>
      <c r="D6" s="68">
        <v>363.0</v>
      </c>
      <c r="E6" s="68">
        <v>432.0</v>
      </c>
      <c r="F6" s="75"/>
    </row>
    <row r="7">
      <c r="A7" s="70">
        <v>45861.0</v>
      </c>
      <c r="B7" s="71">
        <v>0.6888888888888889</v>
      </c>
      <c r="C7" s="72">
        <v>0.804</v>
      </c>
      <c r="D7" s="73">
        <v>433.0</v>
      </c>
      <c r="E7" s="73">
        <v>440.0</v>
      </c>
      <c r="F7" s="74"/>
    </row>
    <row r="8">
      <c r="A8" s="65">
        <v>45881.0</v>
      </c>
      <c r="B8" s="66">
        <v>0.6708333333333333</v>
      </c>
      <c r="C8" s="67">
        <v>0.783</v>
      </c>
      <c r="D8" s="68">
        <v>524.0</v>
      </c>
      <c r="E8" s="68">
        <v>581.0</v>
      </c>
      <c r="F8" s="76" t="s">
        <v>38</v>
      </c>
    </row>
    <row r="9">
      <c r="A9" s="70">
        <v>45882.0</v>
      </c>
      <c r="B9" s="71">
        <v>0.6708333333333333</v>
      </c>
      <c r="C9" s="72">
        <v>0.783</v>
      </c>
      <c r="D9" s="73">
        <v>582.0</v>
      </c>
      <c r="E9" s="73">
        <v>675.0</v>
      </c>
      <c r="F9" s="77" t="s">
        <v>39</v>
      </c>
    </row>
    <row r="10">
      <c r="A10" s="78">
        <v>45883.0</v>
      </c>
      <c r="B10" s="79">
        <v>0.7048611111111112</v>
      </c>
      <c r="C10" s="80">
        <v>0.798</v>
      </c>
      <c r="D10" s="81">
        <v>700.0</v>
      </c>
      <c r="E10" s="81">
        <v>789.0</v>
      </c>
      <c r="F10" s="82" t="s">
        <v>40</v>
      </c>
    </row>
  </sheetData>
  <dataValidations>
    <dataValidation type="custom" allowBlank="1" showDropDown="1" sqref="B2:B10">
      <formula1>OR(TIMEVALUE(TEXT(B2, "hh:mm:ss"))=B2, AND(ISNUMBER(B2), LEFT(CELL("format", B2))="D"))</formula1>
    </dataValidation>
    <dataValidation type="custom" allowBlank="1" showDropDown="1" sqref="A2:A10">
      <formula1>OR(NOT(ISERROR(DATEVALUE(A2))), AND(ISNUMBER(A2), LEFT(CELL("format", A2))="D"))</formula1>
    </dataValidation>
    <dataValidation type="custom" allowBlank="1" showDropDown="1" sqref="C2:C10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C2" s="83" t="s">
        <v>41</v>
      </c>
    </row>
    <row r="3">
      <c r="A3" s="84" t="s">
        <v>42</v>
      </c>
      <c r="B3" s="85" t="s">
        <v>43</v>
      </c>
      <c r="C3" s="85" t="s">
        <v>44</v>
      </c>
      <c r="D3" s="85" t="s">
        <v>45</v>
      </c>
      <c r="E3" s="86" t="s">
        <v>46</v>
      </c>
    </row>
    <row r="4">
      <c r="A4" s="87">
        <v>565.0</v>
      </c>
      <c r="B4" s="88">
        <v>0.632911</v>
      </c>
      <c r="C4" s="88">
        <v>0.870192</v>
      </c>
      <c r="D4" s="88">
        <v>0.977384</v>
      </c>
      <c r="E4" s="89">
        <v>0.998031</v>
      </c>
    </row>
    <row r="5">
      <c r="A5" s="90">
        <v>575.0</v>
      </c>
      <c r="B5" s="91">
        <v>0.812425</v>
      </c>
      <c r="C5" s="91">
        <v>0.96129</v>
      </c>
      <c r="D5" s="91">
        <v>0.994094</v>
      </c>
      <c r="E5" s="92">
        <v>0.998165</v>
      </c>
    </row>
    <row r="6">
      <c r="A6" s="87">
        <v>585.0</v>
      </c>
      <c r="B6" s="88">
        <v>0.891505</v>
      </c>
      <c r="C6" s="88">
        <v>0.990014</v>
      </c>
      <c r="D6" s="88">
        <v>0.998415</v>
      </c>
      <c r="E6" s="89">
        <v>1.0</v>
      </c>
    </row>
    <row r="7">
      <c r="A7" s="90">
        <v>595.0</v>
      </c>
      <c r="B7" s="91">
        <v>0.958904</v>
      </c>
      <c r="C7" s="91">
        <v>1.0</v>
      </c>
      <c r="D7" s="91">
        <v>0.996694</v>
      </c>
      <c r="E7" s="92">
        <v>1.0</v>
      </c>
    </row>
    <row r="8">
      <c r="A8" s="87">
        <v>600.0</v>
      </c>
      <c r="B8" s="88">
        <v>0.970346</v>
      </c>
      <c r="C8" s="88">
        <v>0.997904</v>
      </c>
      <c r="D8" s="88">
        <v>0.997608</v>
      </c>
      <c r="E8" s="89">
        <v>0.997375</v>
      </c>
    </row>
    <row r="9">
      <c r="A9" s="93">
        <v>605.0</v>
      </c>
      <c r="B9" s="94">
        <v>0.977413</v>
      </c>
      <c r="C9" s="94">
        <v>0.994652</v>
      </c>
      <c r="D9" s="94">
        <v>0.995283</v>
      </c>
      <c r="E9" s="95">
        <v>1.0</v>
      </c>
    </row>
    <row r="11">
      <c r="A11" s="96" t="s">
        <v>47</v>
      </c>
    </row>
    <row r="17">
      <c r="C17" s="83" t="s">
        <v>48</v>
      </c>
    </row>
    <row r="18">
      <c r="A18" s="84" t="s">
        <v>42</v>
      </c>
      <c r="B18" s="85" t="s">
        <v>49</v>
      </c>
      <c r="C18" s="85" t="s">
        <v>50</v>
      </c>
      <c r="D18" s="85" t="s">
        <v>51</v>
      </c>
      <c r="E18" s="85" t="s">
        <v>52</v>
      </c>
      <c r="F18" s="85" t="s">
        <v>53</v>
      </c>
      <c r="G18" s="86" t="s">
        <v>54</v>
      </c>
    </row>
    <row r="19">
      <c r="A19" s="87">
        <v>550.0</v>
      </c>
      <c r="B19" s="88">
        <v>0.0</v>
      </c>
      <c r="C19" s="88">
        <v>0.0</v>
      </c>
      <c r="D19" s="88">
        <v>0.823786</v>
      </c>
      <c r="E19" s="88">
        <v>0.889265</v>
      </c>
      <c r="F19" s="88">
        <v>0.943161</v>
      </c>
      <c r="G19" s="89">
        <v>0.970549</v>
      </c>
    </row>
    <row r="20">
      <c r="A20" s="90">
        <v>575.0</v>
      </c>
      <c r="B20" s="91">
        <v>0.0</v>
      </c>
      <c r="C20" s="91">
        <v>0.0</v>
      </c>
      <c r="D20" s="91">
        <v>0.943331</v>
      </c>
      <c r="E20" s="91">
        <v>0.967769</v>
      </c>
      <c r="F20" s="91">
        <v>0.978241</v>
      </c>
      <c r="G20" s="92">
        <v>0.982507</v>
      </c>
    </row>
    <row r="21">
      <c r="A21" s="87">
        <v>585.0</v>
      </c>
      <c r="B21" s="88">
        <v>0.0</v>
      </c>
      <c r="C21" s="88">
        <v>0.889729</v>
      </c>
      <c r="D21" s="88">
        <v>0.948202</v>
      </c>
      <c r="E21" s="88">
        <v>0.968272</v>
      </c>
      <c r="F21" s="88">
        <v>0.984033</v>
      </c>
      <c r="G21" s="89">
        <v>0.982857</v>
      </c>
    </row>
    <row r="22">
      <c r="A22" s="93">
        <v>595.0</v>
      </c>
      <c r="B22" s="94">
        <v>0.881641</v>
      </c>
      <c r="C22" s="94">
        <v>0.943014</v>
      </c>
      <c r="D22" s="94">
        <v>0.979005</v>
      </c>
      <c r="E22" s="94">
        <v>0.992705</v>
      </c>
      <c r="F22" s="94">
        <v>0.992012</v>
      </c>
      <c r="G22" s="95">
        <v>0.0</v>
      </c>
    </row>
  </sheetData>
  <mergeCells count="3">
    <mergeCell ref="C2:E2"/>
    <mergeCell ref="A11:E12"/>
    <mergeCell ref="C17:G17"/>
  </mergeCells>
  <drawing r:id="rId1"/>
  <tableParts count="2">
    <tablePart r:id="rId4"/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8.63"/>
    <col customWidth="1" min="3" max="30" width="7.38"/>
  </cols>
  <sheetData>
    <row r="1">
      <c r="A1" s="97"/>
      <c r="B1" s="98"/>
      <c r="C1" s="99"/>
      <c r="D1" s="100" t="s">
        <v>55</v>
      </c>
      <c r="E1" s="98" t="s">
        <v>56</v>
      </c>
      <c r="I1" s="98" t="s">
        <v>57</v>
      </c>
      <c r="J1" s="101"/>
      <c r="K1" s="98" t="s">
        <v>58</v>
      </c>
      <c r="N1" s="101"/>
      <c r="O1" s="98" t="s">
        <v>59</v>
      </c>
      <c r="R1" s="101"/>
      <c r="S1" s="98" t="s">
        <v>60</v>
      </c>
      <c r="V1" s="101"/>
      <c r="W1" s="98" t="s">
        <v>61</v>
      </c>
      <c r="Z1" s="101"/>
      <c r="AA1" s="98" t="s">
        <v>62</v>
      </c>
      <c r="AD1" s="101"/>
    </row>
    <row r="2">
      <c r="A2" s="102" t="s">
        <v>63</v>
      </c>
      <c r="B2" s="103" t="s">
        <v>64</v>
      </c>
      <c r="C2" s="104" t="s">
        <v>65</v>
      </c>
      <c r="D2" s="105"/>
      <c r="E2" s="103" t="s">
        <v>66</v>
      </c>
      <c r="F2" s="106" t="s">
        <v>67</v>
      </c>
      <c r="G2" s="103" t="s">
        <v>68</v>
      </c>
      <c r="H2" s="106" t="s">
        <v>69</v>
      </c>
      <c r="I2" s="103" t="s">
        <v>70</v>
      </c>
      <c r="J2" s="106" t="s">
        <v>71</v>
      </c>
      <c r="K2" s="103" t="s">
        <v>72</v>
      </c>
      <c r="L2" s="103" t="s">
        <v>73</v>
      </c>
      <c r="M2" s="103" t="s">
        <v>74</v>
      </c>
      <c r="N2" s="106" t="s">
        <v>75</v>
      </c>
      <c r="O2" s="103" t="s">
        <v>72</v>
      </c>
      <c r="P2" s="103" t="s">
        <v>73</v>
      </c>
      <c r="Q2" s="103" t="s">
        <v>74</v>
      </c>
      <c r="R2" s="106" t="s">
        <v>75</v>
      </c>
      <c r="S2" s="103" t="s">
        <v>72</v>
      </c>
      <c r="T2" s="103" t="s">
        <v>73</v>
      </c>
      <c r="U2" s="103" t="s">
        <v>74</v>
      </c>
      <c r="V2" s="106" t="s">
        <v>75</v>
      </c>
      <c r="W2" s="103" t="s">
        <v>72</v>
      </c>
      <c r="X2" s="103" t="s">
        <v>73</v>
      </c>
      <c r="Y2" s="103" t="s">
        <v>74</v>
      </c>
      <c r="Z2" s="106" t="s">
        <v>75</v>
      </c>
      <c r="AA2" s="103" t="s">
        <v>72</v>
      </c>
      <c r="AB2" s="103" t="s">
        <v>73</v>
      </c>
      <c r="AC2" s="103" t="s">
        <v>74</v>
      </c>
      <c r="AD2" s="106" t="s">
        <v>75</v>
      </c>
    </row>
    <row r="3">
      <c r="A3" s="107" t="s">
        <v>76</v>
      </c>
      <c r="B3" s="108" t="s">
        <v>45</v>
      </c>
      <c r="C3" s="108" t="s">
        <v>77</v>
      </c>
      <c r="D3" s="109">
        <v>-4.0</v>
      </c>
      <c r="E3" s="110">
        <v>1.3258</v>
      </c>
      <c r="F3" s="110">
        <v>1.304</v>
      </c>
      <c r="G3" s="110">
        <v>1.3009</v>
      </c>
      <c r="H3" s="110">
        <v>0.049</v>
      </c>
      <c r="I3" s="110">
        <v>210.0</v>
      </c>
      <c r="J3" s="110">
        <v>210.0</v>
      </c>
      <c r="K3" s="110">
        <v>190.0</v>
      </c>
      <c r="L3" s="110">
        <v>190.0</v>
      </c>
      <c r="M3" s="110">
        <v>85.0</v>
      </c>
      <c r="N3" s="110">
        <v>85.0</v>
      </c>
      <c r="O3" s="110">
        <v>45.0</v>
      </c>
      <c r="P3" s="110">
        <v>45.0</v>
      </c>
      <c r="Q3" s="110">
        <v>45.0</v>
      </c>
      <c r="R3" s="110">
        <v>45.0</v>
      </c>
      <c r="S3" s="110">
        <v>45.0</v>
      </c>
      <c r="T3" s="110">
        <v>45.0</v>
      </c>
      <c r="U3" s="110">
        <v>45.0</v>
      </c>
      <c r="V3" s="110">
        <v>45.0</v>
      </c>
      <c r="W3" s="110">
        <v>45.0</v>
      </c>
      <c r="X3" s="110">
        <v>45.0</v>
      </c>
      <c r="Y3" s="110">
        <v>45.0</v>
      </c>
      <c r="Z3" s="110">
        <v>45.0</v>
      </c>
      <c r="AA3" s="110">
        <v>45.0</v>
      </c>
      <c r="AB3" s="110">
        <v>45.0</v>
      </c>
      <c r="AC3" s="110">
        <v>45.0</v>
      </c>
      <c r="AD3" s="110">
        <v>45.0</v>
      </c>
    </row>
    <row r="4">
      <c r="A4" s="111"/>
      <c r="B4" s="108" t="s">
        <v>78</v>
      </c>
      <c r="C4" s="108" t="s">
        <v>79</v>
      </c>
      <c r="D4" s="108">
        <v>-4.0</v>
      </c>
      <c r="E4" s="112">
        <v>1.352</v>
      </c>
      <c r="F4" s="112">
        <v>1.331</v>
      </c>
      <c r="G4" s="112">
        <v>1.3248</v>
      </c>
      <c r="H4" s="112">
        <v>0.052</v>
      </c>
      <c r="I4" s="112">
        <v>210.0</v>
      </c>
      <c r="J4" s="112">
        <v>210.0</v>
      </c>
      <c r="K4" s="112">
        <v>190.0</v>
      </c>
      <c r="L4" s="112">
        <v>190.0</v>
      </c>
      <c r="M4" s="112">
        <v>85.0</v>
      </c>
      <c r="N4" s="112">
        <v>85.0</v>
      </c>
      <c r="O4" s="112">
        <v>45.0</v>
      </c>
      <c r="P4" s="112">
        <v>45.0</v>
      </c>
      <c r="Q4" s="112">
        <v>45.0</v>
      </c>
      <c r="R4" s="112">
        <v>45.0</v>
      </c>
      <c r="S4" s="112">
        <v>45.0</v>
      </c>
      <c r="T4" s="112">
        <v>45.0</v>
      </c>
      <c r="U4" s="112">
        <v>45.0</v>
      </c>
      <c r="V4" s="112">
        <v>45.0</v>
      </c>
      <c r="W4" s="112">
        <v>45.0</v>
      </c>
      <c r="X4" s="112">
        <v>45.0</v>
      </c>
      <c r="Y4" s="112">
        <v>45.0</v>
      </c>
      <c r="Z4" s="112">
        <v>45.0</v>
      </c>
      <c r="AA4" s="112">
        <v>45.0</v>
      </c>
      <c r="AB4" s="112">
        <v>45.0</v>
      </c>
      <c r="AC4" s="112">
        <v>45.0</v>
      </c>
      <c r="AD4" s="112">
        <v>45.0</v>
      </c>
    </row>
    <row r="5">
      <c r="A5" s="111"/>
      <c r="B5" s="108" t="s">
        <v>80</v>
      </c>
      <c r="C5" s="108" t="s">
        <v>81</v>
      </c>
      <c r="D5" s="108">
        <v>-2.0</v>
      </c>
      <c r="E5" s="112">
        <v>1.4092</v>
      </c>
      <c r="F5" s="112">
        <v>1.3876</v>
      </c>
      <c r="G5" s="112">
        <v>1.3812</v>
      </c>
      <c r="H5" s="112">
        <v>0.051</v>
      </c>
      <c r="I5" s="112">
        <v>210.0</v>
      </c>
      <c r="J5" s="112">
        <v>210.0</v>
      </c>
      <c r="K5" s="112">
        <v>190.0</v>
      </c>
      <c r="L5" s="112">
        <v>190.0</v>
      </c>
      <c r="M5" s="112">
        <v>85.0</v>
      </c>
      <c r="N5" s="112">
        <v>85.0</v>
      </c>
      <c r="O5" s="112">
        <v>45.0</v>
      </c>
      <c r="P5" s="112">
        <v>45.0</v>
      </c>
      <c r="Q5" s="112">
        <v>45.0</v>
      </c>
      <c r="R5" s="112">
        <v>45.0</v>
      </c>
      <c r="S5" s="112">
        <v>45.0</v>
      </c>
      <c r="T5" s="112">
        <v>45.0</v>
      </c>
      <c r="U5" s="112">
        <v>45.0</v>
      </c>
      <c r="V5" s="112">
        <v>45.0</v>
      </c>
      <c r="W5" s="112">
        <v>45.0</v>
      </c>
      <c r="X5" s="112">
        <v>45.0</v>
      </c>
      <c r="Y5" s="112">
        <v>45.0</v>
      </c>
      <c r="Z5" s="112">
        <v>45.0</v>
      </c>
      <c r="AA5" s="112">
        <v>45.0</v>
      </c>
      <c r="AB5" s="112">
        <v>45.0</v>
      </c>
      <c r="AC5" s="112">
        <v>45.0</v>
      </c>
      <c r="AD5" s="112">
        <v>45.0</v>
      </c>
    </row>
    <row r="6">
      <c r="A6" s="111"/>
      <c r="B6" s="108" t="s">
        <v>82</v>
      </c>
      <c r="C6" s="108" t="s">
        <v>83</v>
      </c>
      <c r="D6" s="108">
        <v>-2.0</v>
      </c>
      <c r="E6" s="112">
        <v>1.4291</v>
      </c>
      <c r="F6" s="112">
        <v>1.4045</v>
      </c>
      <c r="G6" s="112">
        <v>1.3964</v>
      </c>
      <c r="H6" s="112">
        <v>0.055</v>
      </c>
      <c r="I6" s="112">
        <v>210.0</v>
      </c>
      <c r="J6" s="112">
        <v>210.0</v>
      </c>
      <c r="K6" s="112">
        <v>190.0</v>
      </c>
      <c r="L6" s="112">
        <v>190.0</v>
      </c>
      <c r="M6" s="112">
        <v>85.0</v>
      </c>
      <c r="N6" s="112">
        <v>85.0</v>
      </c>
      <c r="O6" s="112">
        <v>45.0</v>
      </c>
      <c r="P6" s="112">
        <v>45.0</v>
      </c>
      <c r="Q6" s="112">
        <v>45.0</v>
      </c>
      <c r="R6" s="112">
        <v>45.0</v>
      </c>
      <c r="S6" s="112">
        <v>45.0</v>
      </c>
      <c r="T6" s="112">
        <v>45.0</v>
      </c>
      <c r="U6" s="112">
        <v>45.0</v>
      </c>
      <c r="V6" s="112">
        <v>45.0</v>
      </c>
      <c r="W6" s="112">
        <v>45.0</v>
      </c>
      <c r="X6" s="112">
        <v>45.0</v>
      </c>
      <c r="Y6" s="112">
        <v>45.0</v>
      </c>
      <c r="Z6" s="112">
        <v>45.0</v>
      </c>
      <c r="AA6" s="112">
        <v>45.0</v>
      </c>
      <c r="AB6" s="112">
        <v>45.0</v>
      </c>
      <c r="AC6" s="112">
        <v>45.0</v>
      </c>
      <c r="AD6" s="112">
        <v>45.0</v>
      </c>
    </row>
    <row r="7">
      <c r="A7" s="111"/>
      <c r="B7" s="108" t="s">
        <v>84</v>
      </c>
      <c r="C7" s="108" t="s">
        <v>85</v>
      </c>
      <c r="D7" s="108">
        <v>-2.0</v>
      </c>
      <c r="E7" s="112">
        <v>1.4969</v>
      </c>
      <c r="F7" s="112">
        <v>1.4728</v>
      </c>
      <c r="G7" s="112">
        <v>1.4662</v>
      </c>
      <c r="H7" s="112">
        <v>0.052</v>
      </c>
      <c r="I7" s="112">
        <v>210.0</v>
      </c>
      <c r="J7" s="112">
        <v>210.0</v>
      </c>
      <c r="K7" s="112">
        <v>190.0</v>
      </c>
      <c r="L7" s="112">
        <v>190.0</v>
      </c>
      <c r="M7" s="112">
        <v>85.0</v>
      </c>
      <c r="N7" s="112">
        <v>85.0</v>
      </c>
      <c r="O7" s="112">
        <v>45.0</v>
      </c>
      <c r="P7" s="112">
        <v>45.0</v>
      </c>
      <c r="Q7" s="112">
        <v>45.0</v>
      </c>
      <c r="R7" s="112">
        <v>45.0</v>
      </c>
      <c r="S7" s="112">
        <v>45.0</v>
      </c>
      <c r="T7" s="112">
        <v>45.0</v>
      </c>
      <c r="U7" s="112">
        <v>45.0</v>
      </c>
      <c r="V7" s="112">
        <v>45.0</v>
      </c>
      <c r="W7" s="112">
        <v>45.0</v>
      </c>
      <c r="X7" s="112">
        <v>45.0</v>
      </c>
      <c r="Y7" s="112">
        <v>45.0</v>
      </c>
      <c r="Z7" s="112">
        <v>45.0</v>
      </c>
      <c r="AA7" s="112">
        <v>45.0</v>
      </c>
      <c r="AB7" s="112">
        <v>45.0</v>
      </c>
      <c r="AC7" s="112">
        <v>45.0</v>
      </c>
      <c r="AD7" s="112">
        <v>45.0</v>
      </c>
    </row>
    <row r="8">
      <c r="A8" s="111"/>
      <c r="B8" s="108" t="s">
        <v>86</v>
      </c>
      <c r="C8" s="108" t="s">
        <v>87</v>
      </c>
      <c r="D8" s="108">
        <v>-4.0</v>
      </c>
      <c r="E8" s="112">
        <v>1.3076</v>
      </c>
      <c r="F8" s="112">
        <v>1.2777</v>
      </c>
      <c r="G8" s="112">
        <v>1.2677</v>
      </c>
      <c r="H8" s="112">
        <v>0.072</v>
      </c>
      <c r="I8" s="112">
        <v>210.0</v>
      </c>
      <c r="J8" s="112">
        <v>210.0</v>
      </c>
      <c r="K8" s="112">
        <v>190.0</v>
      </c>
      <c r="L8" s="112">
        <v>190.0</v>
      </c>
      <c r="M8" s="112">
        <v>85.0</v>
      </c>
      <c r="N8" s="112">
        <v>85.0</v>
      </c>
      <c r="O8" s="112">
        <v>45.0</v>
      </c>
      <c r="P8" s="112">
        <v>45.0</v>
      </c>
      <c r="Q8" s="112">
        <v>45.0</v>
      </c>
      <c r="R8" s="112">
        <v>45.0</v>
      </c>
      <c r="S8" s="112">
        <v>45.0</v>
      </c>
      <c r="T8" s="112">
        <v>45.0</v>
      </c>
      <c r="U8" s="112">
        <v>45.0</v>
      </c>
      <c r="V8" s="112">
        <v>45.0</v>
      </c>
      <c r="W8" s="112">
        <v>45.0</v>
      </c>
      <c r="X8" s="112">
        <v>45.0</v>
      </c>
      <c r="Y8" s="112">
        <v>45.0</v>
      </c>
      <c r="Z8" s="112">
        <v>45.0</v>
      </c>
      <c r="AA8" s="112">
        <v>45.0</v>
      </c>
      <c r="AB8" s="112">
        <v>45.0</v>
      </c>
      <c r="AC8" s="112">
        <v>45.0</v>
      </c>
      <c r="AD8" s="112">
        <v>45.0</v>
      </c>
    </row>
    <row r="9">
      <c r="A9" s="111"/>
      <c r="B9" s="108" t="s">
        <v>88</v>
      </c>
      <c r="C9" s="108" t="s">
        <v>89</v>
      </c>
      <c r="D9" s="108">
        <v>-2.0</v>
      </c>
      <c r="E9" s="112">
        <v>1.3655</v>
      </c>
      <c r="F9" s="112">
        <v>1.3359</v>
      </c>
      <c r="G9" s="112">
        <v>1.326</v>
      </c>
      <c r="H9" s="112">
        <v>0.069</v>
      </c>
      <c r="I9" s="112">
        <v>210.0</v>
      </c>
      <c r="J9" s="112">
        <v>210.0</v>
      </c>
      <c r="K9" s="112">
        <v>84.0</v>
      </c>
      <c r="L9" s="112">
        <v>80.0</v>
      </c>
      <c r="M9" s="112">
        <v>20.0</v>
      </c>
      <c r="N9" s="112">
        <v>30.0</v>
      </c>
      <c r="O9" s="112">
        <v>45.0</v>
      </c>
      <c r="P9" s="112">
        <v>45.0</v>
      </c>
      <c r="Q9" s="112">
        <v>45.0</v>
      </c>
      <c r="R9" s="112">
        <v>45.0</v>
      </c>
      <c r="S9" s="112">
        <v>45.0</v>
      </c>
      <c r="T9" s="112">
        <v>45.0</v>
      </c>
      <c r="U9" s="112">
        <v>45.0</v>
      </c>
      <c r="V9" s="112">
        <v>45.0</v>
      </c>
      <c r="W9" s="112">
        <v>45.0</v>
      </c>
      <c r="X9" s="112">
        <v>45.0</v>
      </c>
      <c r="Y9" s="112">
        <v>45.0</v>
      </c>
      <c r="Z9" s="112">
        <v>45.0</v>
      </c>
      <c r="AA9" s="112">
        <v>45.0</v>
      </c>
      <c r="AB9" s="112">
        <v>45.0</v>
      </c>
      <c r="AC9" s="112">
        <v>45.0</v>
      </c>
      <c r="AD9" s="112">
        <v>45.0</v>
      </c>
    </row>
    <row r="10">
      <c r="A10" s="105"/>
      <c r="B10" s="113" t="s">
        <v>90</v>
      </c>
      <c r="C10" s="113" t="s">
        <v>91</v>
      </c>
      <c r="D10" s="113">
        <v>-2.0</v>
      </c>
      <c r="E10" s="114">
        <v>1.4208</v>
      </c>
      <c r="F10" s="114">
        <v>1.3912</v>
      </c>
      <c r="G10" s="114">
        <v>1.3814</v>
      </c>
      <c r="H10" s="114">
        <v>0.066</v>
      </c>
      <c r="I10" s="114">
        <v>210.0</v>
      </c>
      <c r="J10" s="114">
        <v>210.0</v>
      </c>
      <c r="K10" s="114">
        <v>190.0</v>
      </c>
      <c r="L10" s="114">
        <v>190.0</v>
      </c>
      <c r="M10" s="114">
        <v>85.0</v>
      </c>
      <c r="N10" s="114">
        <v>85.0</v>
      </c>
      <c r="O10" s="114">
        <v>45.0</v>
      </c>
      <c r="P10" s="114">
        <v>45.0</v>
      </c>
      <c r="Q10" s="114">
        <v>45.0</v>
      </c>
      <c r="R10" s="114">
        <v>45.0</v>
      </c>
      <c r="S10" s="114">
        <v>45.0</v>
      </c>
      <c r="T10" s="114">
        <v>45.0</v>
      </c>
      <c r="U10" s="114">
        <v>45.0</v>
      </c>
      <c r="V10" s="114">
        <v>45.0</v>
      </c>
      <c r="W10" s="114">
        <v>45.0</v>
      </c>
      <c r="X10" s="114">
        <v>45.0</v>
      </c>
      <c r="Y10" s="114">
        <v>45.0</v>
      </c>
      <c r="Z10" s="114">
        <v>45.0</v>
      </c>
      <c r="AA10" s="114">
        <v>45.0</v>
      </c>
      <c r="AB10" s="114">
        <v>45.0</v>
      </c>
      <c r="AC10" s="114">
        <v>45.0</v>
      </c>
      <c r="AD10" s="114">
        <v>45.0</v>
      </c>
    </row>
    <row r="11">
      <c r="A11" s="115" t="s">
        <v>92</v>
      </c>
      <c r="B11" s="116">
        <v>-12.0</v>
      </c>
      <c r="C11" s="116" t="s">
        <v>93</v>
      </c>
      <c r="D11" s="116">
        <v>-2.0</v>
      </c>
      <c r="E11" s="117">
        <v>1.2384</v>
      </c>
      <c r="F11" s="117">
        <v>1.2075</v>
      </c>
      <c r="G11" s="117">
        <v>1.1971</v>
      </c>
      <c r="H11" s="117">
        <v>0.079</v>
      </c>
      <c r="I11" s="117">
        <v>210.0</v>
      </c>
      <c r="J11" s="117">
        <v>210.0</v>
      </c>
      <c r="K11" s="117">
        <v>5.0</v>
      </c>
      <c r="L11" s="117">
        <v>1.0</v>
      </c>
      <c r="M11" s="117">
        <v>85.0</v>
      </c>
      <c r="N11" s="117">
        <v>85.0</v>
      </c>
      <c r="O11" s="117">
        <v>45.0</v>
      </c>
      <c r="P11" s="117">
        <v>45.0</v>
      </c>
      <c r="Q11" s="117">
        <v>45.0</v>
      </c>
      <c r="R11" s="117">
        <v>45.0</v>
      </c>
      <c r="S11" s="117">
        <v>45.0</v>
      </c>
      <c r="T11" s="117">
        <v>45.0</v>
      </c>
      <c r="U11" s="117">
        <v>45.0</v>
      </c>
      <c r="V11" s="117">
        <v>45.0</v>
      </c>
      <c r="W11" s="117">
        <v>45.0</v>
      </c>
      <c r="X11" s="117">
        <v>45.0</v>
      </c>
      <c r="Y11" s="117">
        <v>45.0</v>
      </c>
      <c r="Z11" s="117">
        <v>45.0</v>
      </c>
      <c r="AA11" s="117">
        <v>45.0</v>
      </c>
      <c r="AB11" s="117">
        <v>45.0</v>
      </c>
      <c r="AC11" s="117">
        <v>45.0</v>
      </c>
      <c r="AD11" s="117">
        <v>45.0</v>
      </c>
    </row>
    <row r="12">
      <c r="A12" s="111"/>
      <c r="B12" s="108">
        <v>-10.0</v>
      </c>
      <c r="C12" s="108" t="s">
        <v>94</v>
      </c>
      <c r="D12" s="108">
        <v>-2.0</v>
      </c>
      <c r="E12" s="110">
        <v>1.2666</v>
      </c>
      <c r="F12" s="110">
        <v>1.2374</v>
      </c>
      <c r="G12" s="110">
        <v>1.2277</v>
      </c>
      <c r="H12" s="110">
        <v>0.073</v>
      </c>
      <c r="I12" s="110">
        <v>210.0</v>
      </c>
      <c r="J12" s="110">
        <v>210.0</v>
      </c>
      <c r="K12" s="110">
        <v>6.5</v>
      </c>
      <c r="L12" s="110">
        <v>2.5</v>
      </c>
      <c r="M12" s="110">
        <v>85.0</v>
      </c>
      <c r="N12" s="110">
        <v>85.0</v>
      </c>
      <c r="O12" s="110">
        <v>45.0</v>
      </c>
      <c r="P12" s="110">
        <v>45.0</v>
      </c>
      <c r="Q12" s="110">
        <v>45.0</v>
      </c>
      <c r="R12" s="110">
        <v>45.0</v>
      </c>
      <c r="S12" s="110">
        <v>45.0</v>
      </c>
      <c r="T12" s="110">
        <v>45.0</v>
      </c>
      <c r="U12" s="110">
        <v>45.0</v>
      </c>
      <c r="V12" s="110">
        <v>45.0</v>
      </c>
      <c r="W12" s="110">
        <v>45.0</v>
      </c>
      <c r="X12" s="110">
        <v>45.0</v>
      </c>
      <c r="Y12" s="110">
        <v>45.0</v>
      </c>
      <c r="Z12" s="110">
        <v>45.0</v>
      </c>
      <c r="AA12" s="110">
        <v>45.0</v>
      </c>
      <c r="AB12" s="110">
        <v>45.0</v>
      </c>
      <c r="AC12" s="110">
        <v>45.0</v>
      </c>
      <c r="AD12" s="108">
        <v>45.0</v>
      </c>
    </row>
    <row r="13">
      <c r="A13" s="111"/>
      <c r="B13" s="108">
        <v>-8.0</v>
      </c>
      <c r="C13" s="108" t="s">
        <v>95</v>
      </c>
      <c r="D13" s="108">
        <v>-2.0</v>
      </c>
      <c r="E13" s="110">
        <v>1.2947</v>
      </c>
      <c r="F13" s="110">
        <v>1.2672</v>
      </c>
      <c r="G13" s="110">
        <v>1.2581</v>
      </c>
      <c r="H13" s="110">
        <v>0.068</v>
      </c>
      <c r="I13" s="110">
        <v>210.0</v>
      </c>
      <c r="J13" s="110">
        <v>210.0</v>
      </c>
      <c r="K13" s="110">
        <v>23.0</v>
      </c>
      <c r="L13" s="110">
        <v>19.0</v>
      </c>
      <c r="M13" s="110">
        <v>85.0</v>
      </c>
      <c r="N13" s="110">
        <v>85.0</v>
      </c>
      <c r="O13" s="110">
        <v>45.0</v>
      </c>
      <c r="P13" s="110">
        <v>45.0</v>
      </c>
      <c r="Q13" s="110">
        <v>45.0</v>
      </c>
      <c r="R13" s="110">
        <v>45.0</v>
      </c>
      <c r="S13" s="110">
        <v>45.0</v>
      </c>
      <c r="T13" s="110">
        <v>45.0</v>
      </c>
      <c r="U13" s="110">
        <v>45.0</v>
      </c>
      <c r="V13" s="110">
        <v>45.0</v>
      </c>
      <c r="W13" s="110">
        <v>45.0</v>
      </c>
      <c r="X13" s="110">
        <v>45.0</v>
      </c>
      <c r="Y13" s="110">
        <v>45.0</v>
      </c>
      <c r="Z13" s="110">
        <v>45.0</v>
      </c>
      <c r="AA13" s="110">
        <v>45.0</v>
      </c>
      <c r="AB13" s="110">
        <v>45.0</v>
      </c>
      <c r="AC13" s="110">
        <v>45.0</v>
      </c>
      <c r="AD13" s="110">
        <v>45.0</v>
      </c>
    </row>
    <row r="14">
      <c r="A14" s="111"/>
      <c r="B14" s="108">
        <v>-7.0</v>
      </c>
      <c r="C14" s="108" t="s">
        <v>96</v>
      </c>
      <c r="D14" s="108">
        <v>-2.0</v>
      </c>
      <c r="E14" s="110">
        <v>1.3088</v>
      </c>
      <c r="F14" s="110">
        <v>1.2821</v>
      </c>
      <c r="G14" s="110">
        <v>1.2732</v>
      </c>
      <c r="H14" s="110">
        <v>0.065</v>
      </c>
      <c r="I14" s="110">
        <v>210.0</v>
      </c>
      <c r="J14" s="110">
        <v>210.0</v>
      </c>
      <c r="K14" s="110">
        <v>35.0</v>
      </c>
      <c r="L14" s="110">
        <v>31.0</v>
      </c>
      <c r="M14" s="110">
        <v>85.0</v>
      </c>
      <c r="N14" s="110">
        <v>85.0</v>
      </c>
      <c r="O14" s="110">
        <v>45.0</v>
      </c>
      <c r="P14" s="110">
        <v>45.0</v>
      </c>
      <c r="Q14" s="110">
        <v>45.0</v>
      </c>
      <c r="R14" s="110">
        <v>45.0</v>
      </c>
      <c r="S14" s="110">
        <v>45.0</v>
      </c>
      <c r="T14" s="110">
        <v>45.0</v>
      </c>
      <c r="U14" s="110">
        <v>45.0</v>
      </c>
      <c r="V14" s="110">
        <v>45.0</v>
      </c>
      <c r="W14" s="110">
        <v>45.0</v>
      </c>
      <c r="X14" s="110">
        <v>45.0</v>
      </c>
      <c r="Y14" s="110">
        <v>45.0</v>
      </c>
      <c r="Z14" s="110">
        <v>45.0</v>
      </c>
      <c r="AA14" s="110">
        <v>45.0</v>
      </c>
      <c r="AB14" s="110">
        <v>45.0</v>
      </c>
      <c r="AC14" s="110">
        <v>45.0</v>
      </c>
      <c r="AD14" s="110">
        <v>45.0</v>
      </c>
    </row>
    <row r="15">
      <c r="A15" s="111"/>
      <c r="B15" s="108">
        <v>-6.0</v>
      </c>
      <c r="C15" s="108" t="s">
        <v>97</v>
      </c>
      <c r="D15" s="108">
        <v>-2.0</v>
      </c>
      <c r="E15" s="110">
        <v>1.3229</v>
      </c>
      <c r="F15" s="110">
        <v>1.2968</v>
      </c>
      <c r="G15" s="110">
        <v>1.2882</v>
      </c>
      <c r="H15" s="110">
        <v>0.063</v>
      </c>
      <c r="I15" s="110">
        <v>210.0</v>
      </c>
      <c r="J15" s="110">
        <v>210.0</v>
      </c>
      <c r="K15" s="110">
        <v>25.0</v>
      </c>
      <c r="L15" s="110">
        <v>21.0</v>
      </c>
      <c r="M15" s="110">
        <v>85.0</v>
      </c>
      <c r="N15" s="110">
        <v>85.0</v>
      </c>
      <c r="O15" s="110">
        <v>45.0</v>
      </c>
      <c r="P15" s="110">
        <v>45.0</v>
      </c>
      <c r="Q15" s="110">
        <v>45.0</v>
      </c>
      <c r="R15" s="110">
        <v>45.0</v>
      </c>
      <c r="S15" s="110">
        <v>45.0</v>
      </c>
      <c r="T15" s="110">
        <v>45.0</v>
      </c>
      <c r="U15" s="110">
        <v>45.0</v>
      </c>
      <c r="V15" s="110">
        <v>45.0</v>
      </c>
      <c r="W15" s="110">
        <v>45.0</v>
      </c>
      <c r="X15" s="110">
        <v>45.0</v>
      </c>
      <c r="Y15" s="110">
        <v>45.0</v>
      </c>
      <c r="Z15" s="110">
        <v>45.0</v>
      </c>
      <c r="AA15" s="110">
        <v>45.0</v>
      </c>
      <c r="AB15" s="110">
        <v>45.0</v>
      </c>
      <c r="AC15" s="110">
        <v>45.0</v>
      </c>
      <c r="AD15" s="110">
        <v>45.0</v>
      </c>
    </row>
    <row r="16">
      <c r="A16" s="111"/>
      <c r="B16" s="108">
        <v>-5.0</v>
      </c>
      <c r="C16" s="108" t="s">
        <v>98</v>
      </c>
      <c r="D16" s="108">
        <v>-2.0</v>
      </c>
      <c r="E16" s="110">
        <v>1.3369</v>
      </c>
      <c r="F16" s="110">
        <v>1.3116</v>
      </c>
      <c r="G16" s="110">
        <v>1.3032</v>
      </c>
      <c r="H16" s="110">
        <v>0.061</v>
      </c>
      <c r="I16" s="110">
        <v>210.0</v>
      </c>
      <c r="J16" s="110">
        <v>210.0</v>
      </c>
      <c r="K16" s="110">
        <v>55.0</v>
      </c>
      <c r="L16" s="110">
        <v>51.0</v>
      </c>
      <c r="M16" s="110">
        <v>85.0</v>
      </c>
      <c r="N16" s="110">
        <v>85.0</v>
      </c>
      <c r="O16" s="110">
        <v>45.0</v>
      </c>
      <c r="P16" s="110">
        <v>45.0</v>
      </c>
      <c r="Q16" s="110">
        <v>45.0</v>
      </c>
      <c r="R16" s="110">
        <v>45.0</v>
      </c>
      <c r="S16" s="110">
        <v>45.0</v>
      </c>
      <c r="T16" s="110">
        <v>45.0</v>
      </c>
      <c r="U16" s="110">
        <v>45.0</v>
      </c>
      <c r="V16" s="110">
        <v>45.0</v>
      </c>
      <c r="W16" s="110">
        <v>45.0</v>
      </c>
      <c r="X16" s="110">
        <v>45.0</v>
      </c>
      <c r="Y16" s="110">
        <v>45.0</v>
      </c>
      <c r="Z16" s="110">
        <v>45.0</v>
      </c>
      <c r="AA16" s="110">
        <v>45.0</v>
      </c>
      <c r="AB16" s="110">
        <v>45.0</v>
      </c>
      <c r="AC16" s="110">
        <v>45.0</v>
      </c>
      <c r="AD16" s="110">
        <v>45.0</v>
      </c>
    </row>
    <row r="17">
      <c r="A17" s="111"/>
      <c r="B17" s="108">
        <v>-4.0</v>
      </c>
      <c r="C17" s="108" t="s">
        <v>99</v>
      </c>
      <c r="D17" s="108">
        <v>-2.0</v>
      </c>
      <c r="E17" s="110">
        <v>1.351</v>
      </c>
      <c r="F17" s="110">
        <v>1.3264</v>
      </c>
      <c r="G17" s="110">
        <v>1.3183</v>
      </c>
      <c r="H17" s="110">
        <v>0.059</v>
      </c>
      <c r="I17" s="110">
        <v>210.0</v>
      </c>
      <c r="J17" s="110">
        <v>210.0</v>
      </c>
      <c r="K17" s="110">
        <v>45.0</v>
      </c>
      <c r="L17" s="110">
        <v>41.0</v>
      </c>
      <c r="M17" s="110">
        <v>85.0</v>
      </c>
      <c r="N17" s="110">
        <v>85.0</v>
      </c>
      <c r="O17" s="110">
        <v>45.0</v>
      </c>
      <c r="P17" s="110">
        <v>45.0</v>
      </c>
      <c r="Q17" s="110">
        <v>45.0</v>
      </c>
      <c r="R17" s="110">
        <v>45.0</v>
      </c>
      <c r="S17" s="110">
        <v>45.0</v>
      </c>
      <c r="T17" s="110">
        <v>45.0</v>
      </c>
      <c r="U17" s="110">
        <v>45.0</v>
      </c>
      <c r="V17" s="110">
        <v>45.0</v>
      </c>
      <c r="W17" s="110">
        <v>45.0</v>
      </c>
      <c r="X17" s="110">
        <v>45.0</v>
      </c>
      <c r="Y17" s="110">
        <v>45.0</v>
      </c>
      <c r="Z17" s="110">
        <v>45.0</v>
      </c>
      <c r="AA17" s="110">
        <v>45.0</v>
      </c>
      <c r="AB17" s="110">
        <v>45.0</v>
      </c>
      <c r="AC17" s="110">
        <v>45.0</v>
      </c>
      <c r="AD17" s="110">
        <v>45.0</v>
      </c>
    </row>
    <row r="18">
      <c r="A18" s="111"/>
      <c r="B18" s="108">
        <v>0.0</v>
      </c>
      <c r="C18" s="108" t="s">
        <v>100</v>
      </c>
      <c r="D18" s="108">
        <v>-2.0</v>
      </c>
      <c r="E18" s="110">
        <v>1.4073</v>
      </c>
      <c r="F18" s="110">
        <v>1.3837</v>
      </c>
      <c r="G18" s="110">
        <v>1.3812</v>
      </c>
      <c r="H18" s="110">
        <v>0.051</v>
      </c>
      <c r="I18" s="110">
        <v>210.0</v>
      </c>
      <c r="J18" s="110">
        <v>210.0</v>
      </c>
      <c r="K18" s="110">
        <v>190.0</v>
      </c>
      <c r="L18" s="110">
        <v>190.0</v>
      </c>
      <c r="M18" s="110">
        <v>85.0</v>
      </c>
      <c r="N18" s="110">
        <v>85.0</v>
      </c>
      <c r="O18" s="110">
        <v>45.0</v>
      </c>
      <c r="P18" s="110">
        <v>45.0</v>
      </c>
      <c r="Q18" s="110">
        <v>45.0</v>
      </c>
      <c r="R18" s="110">
        <v>45.0</v>
      </c>
      <c r="S18" s="110">
        <v>45.0</v>
      </c>
      <c r="T18" s="110">
        <v>45.0</v>
      </c>
      <c r="U18" s="110">
        <v>45.0</v>
      </c>
      <c r="V18" s="110">
        <v>45.0</v>
      </c>
      <c r="W18" s="110">
        <v>45.0</v>
      </c>
      <c r="X18" s="110">
        <v>45.0</v>
      </c>
      <c r="Y18" s="110">
        <v>45.0</v>
      </c>
      <c r="Z18" s="110">
        <v>45.0</v>
      </c>
      <c r="AA18" s="110">
        <v>45.0</v>
      </c>
      <c r="AB18" s="110">
        <v>45.0</v>
      </c>
      <c r="AC18" s="110">
        <v>45.0</v>
      </c>
      <c r="AD18" s="110">
        <v>45.0</v>
      </c>
    </row>
    <row r="19">
      <c r="A19" s="111"/>
      <c r="B19" s="108">
        <v>4.0</v>
      </c>
      <c r="C19" s="108" t="s">
        <v>101</v>
      </c>
      <c r="D19" s="108">
        <v>-2.0</v>
      </c>
      <c r="E19" s="110">
        <v>1.4636</v>
      </c>
      <c r="F19" s="110">
        <v>1.4436</v>
      </c>
      <c r="G19" s="110">
        <v>1.4371</v>
      </c>
      <c r="H19" s="110">
        <v>0.045</v>
      </c>
      <c r="I19" s="110">
        <v>210.0</v>
      </c>
      <c r="J19" s="110">
        <v>210.0</v>
      </c>
      <c r="K19" s="110">
        <v>190.0</v>
      </c>
      <c r="L19" s="110">
        <v>190.0</v>
      </c>
      <c r="M19" s="110">
        <v>85.0</v>
      </c>
      <c r="N19" s="110">
        <v>85.0</v>
      </c>
      <c r="O19" s="110">
        <v>45.0</v>
      </c>
      <c r="P19" s="110">
        <v>45.0</v>
      </c>
      <c r="Q19" s="110">
        <v>45.0</v>
      </c>
      <c r="R19" s="110">
        <v>45.0</v>
      </c>
      <c r="S19" s="110">
        <v>45.0</v>
      </c>
      <c r="T19" s="110">
        <v>45.0</v>
      </c>
      <c r="U19" s="110">
        <v>45.0</v>
      </c>
      <c r="V19" s="110">
        <v>45.0</v>
      </c>
      <c r="W19" s="110">
        <v>45.0</v>
      </c>
      <c r="X19" s="110">
        <v>45.0</v>
      </c>
      <c r="Y19" s="110">
        <v>45.0</v>
      </c>
      <c r="Z19" s="110">
        <v>45.0</v>
      </c>
      <c r="AA19" s="110">
        <v>45.0</v>
      </c>
      <c r="AB19" s="110">
        <v>45.0</v>
      </c>
      <c r="AC19" s="110">
        <v>45.0</v>
      </c>
      <c r="AD19" s="110">
        <v>45.0</v>
      </c>
    </row>
    <row r="20">
      <c r="A20" s="118"/>
      <c r="B20" s="119">
        <v>7.0</v>
      </c>
      <c r="C20" s="119" t="s">
        <v>102</v>
      </c>
      <c r="D20" s="119">
        <v>-2.0</v>
      </c>
      <c r="E20" s="120">
        <v>1.5065</v>
      </c>
      <c r="F20" s="120">
        <v>1.4872</v>
      </c>
      <c r="G20" s="120">
        <v>1.4812</v>
      </c>
      <c r="H20" s="120">
        <v>0.041</v>
      </c>
      <c r="I20" s="120">
        <v>210.0</v>
      </c>
      <c r="J20" s="120">
        <v>210.0</v>
      </c>
      <c r="K20" s="120">
        <v>190.0</v>
      </c>
      <c r="L20" s="120">
        <v>190.0</v>
      </c>
      <c r="M20" s="120">
        <v>85.0</v>
      </c>
      <c r="N20" s="120">
        <v>85.0</v>
      </c>
      <c r="O20" s="120">
        <v>45.0</v>
      </c>
      <c r="P20" s="120">
        <v>45.0</v>
      </c>
      <c r="Q20" s="120">
        <v>45.0</v>
      </c>
      <c r="R20" s="120">
        <v>45.0</v>
      </c>
      <c r="S20" s="120">
        <v>45.0</v>
      </c>
      <c r="T20" s="120">
        <v>45.0</v>
      </c>
      <c r="U20" s="120">
        <v>45.0</v>
      </c>
      <c r="V20" s="120">
        <v>45.0</v>
      </c>
      <c r="W20" s="120">
        <v>45.0</v>
      </c>
      <c r="X20" s="120">
        <v>45.0</v>
      </c>
      <c r="Y20" s="120">
        <v>45.0</v>
      </c>
      <c r="Z20" s="120">
        <v>45.0</v>
      </c>
      <c r="AA20" s="120">
        <v>45.0</v>
      </c>
      <c r="AB20" s="120">
        <v>45.0</v>
      </c>
      <c r="AC20" s="120">
        <v>45.0</v>
      </c>
      <c r="AD20" s="120">
        <v>45.0</v>
      </c>
    </row>
    <row r="21">
      <c r="A21" s="121" t="s">
        <v>103</v>
      </c>
      <c r="B21" s="122">
        <v>-10.0</v>
      </c>
      <c r="C21" s="122" t="s">
        <v>104</v>
      </c>
      <c r="D21" s="122">
        <v>-2.0</v>
      </c>
      <c r="E21" s="123">
        <v>1.1768</v>
      </c>
      <c r="F21" s="123">
        <v>1.1374</v>
      </c>
      <c r="G21" s="123">
        <v>1.124</v>
      </c>
      <c r="H21" s="123">
        <v>0.101</v>
      </c>
      <c r="I21" s="123">
        <v>210.0</v>
      </c>
      <c r="J21" s="123">
        <v>210.0</v>
      </c>
      <c r="K21" s="123">
        <v>1.0</v>
      </c>
      <c r="L21" s="123">
        <v>0.0</v>
      </c>
      <c r="M21" s="123">
        <v>85.0</v>
      </c>
      <c r="N21" s="123">
        <v>85.0</v>
      </c>
      <c r="O21" s="123">
        <v>45.0</v>
      </c>
      <c r="P21" s="123">
        <v>45.0</v>
      </c>
      <c r="Q21" s="123">
        <v>45.0</v>
      </c>
      <c r="R21" s="123">
        <v>45.0</v>
      </c>
      <c r="S21" s="123">
        <v>45.0</v>
      </c>
      <c r="T21" s="123">
        <v>45.0</v>
      </c>
      <c r="U21" s="123">
        <v>45.0</v>
      </c>
      <c r="V21" s="123">
        <v>45.0</v>
      </c>
      <c r="W21" s="123">
        <v>45.0</v>
      </c>
      <c r="X21" s="123">
        <v>45.0</v>
      </c>
      <c r="Y21" s="123">
        <v>45.0</v>
      </c>
      <c r="Z21" s="123">
        <v>45.0</v>
      </c>
      <c r="AA21" s="123">
        <v>45.0</v>
      </c>
      <c r="AB21" s="123">
        <v>45.0</v>
      </c>
      <c r="AC21" s="123">
        <v>45.0</v>
      </c>
      <c r="AD21" s="123">
        <v>45.0</v>
      </c>
    </row>
    <row r="22">
      <c r="A22" s="111"/>
      <c r="B22" s="108">
        <v>-8.0</v>
      </c>
      <c r="C22" s="108" t="s">
        <v>105</v>
      </c>
      <c r="D22" s="108">
        <v>-2.0</v>
      </c>
      <c r="E22" s="110">
        <v>1.203</v>
      </c>
      <c r="F22" s="110">
        <v>1.1659</v>
      </c>
      <c r="G22" s="110">
        <v>1.1534</v>
      </c>
      <c r="H22" s="110">
        <v>0.094</v>
      </c>
      <c r="I22" s="110">
        <v>210.0</v>
      </c>
      <c r="J22" s="110">
        <v>210.0</v>
      </c>
      <c r="K22" s="110">
        <v>2.0</v>
      </c>
      <c r="L22" s="110">
        <v>0.0</v>
      </c>
      <c r="M22" s="110">
        <v>85.0</v>
      </c>
      <c r="N22" s="110">
        <v>85.0</v>
      </c>
      <c r="O22" s="110">
        <v>45.0</v>
      </c>
      <c r="P22" s="110">
        <v>45.0</v>
      </c>
      <c r="Q22" s="110">
        <v>45.0</v>
      </c>
      <c r="R22" s="110">
        <v>45.0</v>
      </c>
      <c r="S22" s="110">
        <v>45.0</v>
      </c>
      <c r="T22" s="110">
        <v>45.0</v>
      </c>
      <c r="U22" s="110">
        <v>45.0</v>
      </c>
      <c r="V22" s="110">
        <v>45.0</v>
      </c>
      <c r="W22" s="110">
        <v>45.0</v>
      </c>
      <c r="X22" s="110">
        <v>45.0</v>
      </c>
      <c r="Y22" s="110">
        <v>45.0</v>
      </c>
      <c r="Z22" s="110">
        <v>45.0</v>
      </c>
      <c r="AA22" s="110">
        <v>45.0</v>
      </c>
      <c r="AB22" s="110">
        <v>45.0</v>
      </c>
      <c r="AC22" s="110">
        <v>45.0</v>
      </c>
      <c r="AD22" s="110">
        <v>45.0</v>
      </c>
    </row>
    <row r="23">
      <c r="A23" s="111"/>
      <c r="B23" s="108">
        <v>-7.0</v>
      </c>
      <c r="C23" s="108" t="s">
        <v>106</v>
      </c>
      <c r="D23" s="108">
        <v>-2.0</v>
      </c>
      <c r="E23" s="110">
        <v>1.2161</v>
      </c>
      <c r="F23" s="110">
        <v>1.18</v>
      </c>
      <c r="G23" s="110">
        <v>1.1679</v>
      </c>
      <c r="H23" s="110">
        <v>0.091</v>
      </c>
      <c r="I23" s="110">
        <v>210.0</v>
      </c>
      <c r="J23" s="110">
        <v>210.0</v>
      </c>
      <c r="K23" s="110">
        <v>4.0</v>
      </c>
      <c r="L23" s="110">
        <v>0.0</v>
      </c>
      <c r="M23" s="110">
        <v>85.0</v>
      </c>
      <c r="N23" s="110">
        <v>85.0</v>
      </c>
      <c r="O23" s="110">
        <v>45.0</v>
      </c>
      <c r="P23" s="110">
        <v>45.0</v>
      </c>
      <c r="Q23" s="110">
        <v>45.0</v>
      </c>
      <c r="R23" s="110">
        <v>45.0</v>
      </c>
      <c r="S23" s="110">
        <v>45.0</v>
      </c>
      <c r="T23" s="110">
        <v>45.0</v>
      </c>
      <c r="U23" s="110">
        <v>45.0</v>
      </c>
      <c r="V23" s="110">
        <v>45.0</v>
      </c>
      <c r="W23" s="110">
        <v>45.0</v>
      </c>
      <c r="X23" s="110">
        <v>45.0</v>
      </c>
      <c r="Y23" s="110">
        <v>45.0</v>
      </c>
      <c r="Z23" s="110">
        <v>45.0</v>
      </c>
      <c r="AA23" s="110">
        <v>45.0</v>
      </c>
      <c r="AB23" s="110">
        <v>45.0</v>
      </c>
      <c r="AC23" s="110">
        <v>45.0</v>
      </c>
      <c r="AD23" s="110">
        <v>45.0</v>
      </c>
    </row>
    <row r="24">
      <c r="A24" s="111"/>
      <c r="B24" s="108">
        <v>-6.0</v>
      </c>
      <c r="C24" s="108" t="s">
        <v>107</v>
      </c>
      <c r="D24" s="108">
        <v>-2.0</v>
      </c>
      <c r="E24" s="110">
        <v>1.2291</v>
      </c>
      <c r="F24" s="110">
        <v>1.194</v>
      </c>
      <c r="G24" s="110">
        <v>1.1823</v>
      </c>
      <c r="H24" s="110">
        <v>0.088</v>
      </c>
      <c r="I24" s="110">
        <v>210.0</v>
      </c>
      <c r="J24" s="110">
        <v>210.0</v>
      </c>
      <c r="K24" s="110">
        <v>4.5</v>
      </c>
      <c r="L24" s="110">
        <v>0.5</v>
      </c>
      <c r="M24" s="110">
        <v>85.0</v>
      </c>
      <c r="N24" s="110">
        <v>85.0</v>
      </c>
      <c r="O24" s="110">
        <v>45.0</v>
      </c>
      <c r="P24" s="110">
        <v>45.0</v>
      </c>
      <c r="Q24" s="110">
        <v>45.0</v>
      </c>
      <c r="R24" s="110">
        <v>45.0</v>
      </c>
      <c r="S24" s="110">
        <v>45.0</v>
      </c>
      <c r="T24" s="110">
        <v>45.0</v>
      </c>
      <c r="U24" s="110">
        <v>45.0</v>
      </c>
      <c r="V24" s="110">
        <v>45.0</v>
      </c>
      <c r="W24" s="110">
        <v>45.0</v>
      </c>
      <c r="X24" s="110">
        <v>45.0</v>
      </c>
      <c r="Y24" s="110">
        <v>45.0</v>
      </c>
      <c r="Z24" s="110">
        <v>45.0</v>
      </c>
      <c r="AA24" s="110">
        <v>45.0</v>
      </c>
      <c r="AB24" s="110">
        <v>45.0</v>
      </c>
      <c r="AC24" s="110">
        <v>45.0</v>
      </c>
      <c r="AD24" s="110">
        <v>45.0</v>
      </c>
    </row>
    <row r="25">
      <c r="A25" s="111"/>
      <c r="B25" s="108">
        <v>-5.0</v>
      </c>
      <c r="C25" s="108" t="s">
        <v>108</v>
      </c>
      <c r="D25" s="108">
        <v>-2.0</v>
      </c>
      <c r="E25" s="110">
        <v>1.2422</v>
      </c>
      <c r="F25" s="110">
        <v>1.2081</v>
      </c>
      <c r="G25" s="110">
        <v>1.1966</v>
      </c>
      <c r="H25" s="110">
        <v>0.085</v>
      </c>
      <c r="I25" s="110">
        <v>210.0</v>
      </c>
      <c r="J25" s="110">
        <v>210.0</v>
      </c>
      <c r="K25" s="110">
        <v>5.5</v>
      </c>
      <c r="L25" s="110">
        <v>1.5</v>
      </c>
      <c r="M25" s="110">
        <v>85.0</v>
      </c>
      <c r="N25" s="110">
        <v>85.0</v>
      </c>
      <c r="O25" s="110">
        <v>45.0</v>
      </c>
      <c r="P25" s="110">
        <v>45.0</v>
      </c>
      <c r="Q25" s="110">
        <v>45.0</v>
      </c>
      <c r="R25" s="110">
        <v>45.0</v>
      </c>
      <c r="S25" s="110">
        <v>45.0</v>
      </c>
      <c r="T25" s="110">
        <v>45.0</v>
      </c>
      <c r="U25" s="110">
        <v>45.0</v>
      </c>
      <c r="V25" s="110">
        <v>45.0</v>
      </c>
      <c r="W25" s="110">
        <v>45.0</v>
      </c>
      <c r="X25" s="110">
        <v>45.0</v>
      </c>
      <c r="Y25" s="110">
        <v>45.0</v>
      </c>
      <c r="Z25" s="110">
        <v>45.0</v>
      </c>
      <c r="AA25" s="110">
        <v>45.0</v>
      </c>
      <c r="AB25" s="110">
        <v>45.0</v>
      </c>
      <c r="AC25" s="110">
        <v>45.0</v>
      </c>
      <c r="AD25" s="110">
        <v>45.0</v>
      </c>
    </row>
    <row r="26">
      <c r="A26" s="111"/>
      <c r="B26" s="108">
        <v>-4.0</v>
      </c>
      <c r="C26" s="108" t="s">
        <v>109</v>
      </c>
      <c r="D26" s="108">
        <v>-2.0</v>
      </c>
      <c r="E26" s="110">
        <v>1.2553</v>
      </c>
      <c r="F26" s="110">
        <v>1.2221</v>
      </c>
      <c r="G26" s="110">
        <v>1.2109</v>
      </c>
      <c r="H26" s="110">
        <v>0.082</v>
      </c>
      <c r="I26" s="110">
        <v>210.0</v>
      </c>
      <c r="J26" s="110">
        <v>210.0</v>
      </c>
      <c r="K26" s="110">
        <v>6.2</v>
      </c>
      <c r="L26" s="110">
        <v>2.2</v>
      </c>
      <c r="M26" s="110">
        <v>85.0</v>
      </c>
      <c r="N26" s="110">
        <v>85.0</v>
      </c>
      <c r="O26" s="110">
        <v>45.0</v>
      </c>
      <c r="P26" s="110">
        <v>45.0</v>
      </c>
      <c r="Q26" s="110">
        <v>45.0</v>
      </c>
      <c r="R26" s="110">
        <v>45.0</v>
      </c>
      <c r="S26" s="110">
        <v>45.0</v>
      </c>
      <c r="T26" s="110">
        <v>45.0</v>
      </c>
      <c r="U26" s="110">
        <v>45.0</v>
      </c>
      <c r="V26" s="110">
        <v>45.0</v>
      </c>
      <c r="W26" s="110">
        <v>45.0</v>
      </c>
      <c r="X26" s="110">
        <v>45.0</v>
      </c>
      <c r="Y26" s="110">
        <v>45.0</v>
      </c>
      <c r="Z26" s="110">
        <v>45.0</v>
      </c>
      <c r="AA26" s="110">
        <v>45.0</v>
      </c>
      <c r="AB26" s="110">
        <v>45.0</v>
      </c>
      <c r="AC26" s="110">
        <v>45.0</v>
      </c>
      <c r="AD26" s="110">
        <v>45.0</v>
      </c>
    </row>
    <row r="27">
      <c r="A27" s="111"/>
      <c r="B27" s="108">
        <v>-3.0</v>
      </c>
      <c r="C27" s="108" t="s">
        <v>110</v>
      </c>
      <c r="D27" s="108">
        <v>-2.0</v>
      </c>
      <c r="E27" s="110">
        <v>1.2684</v>
      </c>
      <c r="F27" s="110">
        <v>1.236</v>
      </c>
      <c r="G27" s="110">
        <v>1.2252</v>
      </c>
      <c r="H27" s="110">
        <v>0.079</v>
      </c>
      <c r="I27" s="110">
        <v>210.0</v>
      </c>
      <c r="J27" s="110">
        <v>210.0</v>
      </c>
      <c r="K27" s="110">
        <v>7.0</v>
      </c>
      <c r="L27" s="110">
        <v>3.0</v>
      </c>
      <c r="M27" s="110">
        <v>85.0</v>
      </c>
      <c r="N27" s="110">
        <v>85.0</v>
      </c>
      <c r="O27" s="110">
        <v>45.0</v>
      </c>
      <c r="P27" s="110">
        <v>45.0</v>
      </c>
      <c r="Q27" s="110">
        <v>45.0</v>
      </c>
      <c r="R27" s="110">
        <v>45.0</v>
      </c>
      <c r="S27" s="110">
        <v>45.0</v>
      </c>
      <c r="T27" s="110">
        <v>45.0</v>
      </c>
      <c r="U27" s="110">
        <v>45.0</v>
      </c>
      <c r="V27" s="110">
        <v>45.0</v>
      </c>
      <c r="W27" s="110">
        <v>45.0</v>
      </c>
      <c r="X27" s="110">
        <v>45.0</v>
      </c>
      <c r="Y27" s="110">
        <v>45.0</v>
      </c>
      <c r="Z27" s="110">
        <v>45.0</v>
      </c>
      <c r="AA27" s="110">
        <v>45.0</v>
      </c>
      <c r="AB27" s="110">
        <v>45.0</v>
      </c>
      <c r="AC27" s="110">
        <v>45.0</v>
      </c>
      <c r="AD27" s="110">
        <v>45.0</v>
      </c>
    </row>
    <row r="28">
      <c r="A28" s="111"/>
      <c r="B28" s="108">
        <v>-2.0</v>
      </c>
      <c r="C28" s="108" t="s">
        <v>111</v>
      </c>
      <c r="D28" s="108">
        <v>-2.0</v>
      </c>
      <c r="E28" s="110">
        <v>1.2814</v>
      </c>
      <c r="F28" s="110">
        <v>1.2499</v>
      </c>
      <c r="G28" s="110">
        <v>1.2394</v>
      </c>
      <c r="H28" s="110">
        <v>0.077</v>
      </c>
      <c r="I28" s="110">
        <v>210.0</v>
      </c>
      <c r="J28" s="110">
        <v>210.0</v>
      </c>
      <c r="K28" s="110">
        <v>11.0</v>
      </c>
      <c r="L28" s="110">
        <v>7.0</v>
      </c>
      <c r="M28" s="110">
        <v>85.0</v>
      </c>
      <c r="N28" s="110">
        <v>85.0</v>
      </c>
      <c r="O28" s="110">
        <v>45.0</v>
      </c>
      <c r="P28" s="110">
        <v>45.0</v>
      </c>
      <c r="Q28" s="110">
        <v>45.0</v>
      </c>
      <c r="R28" s="110">
        <v>45.0</v>
      </c>
      <c r="S28" s="110">
        <v>45.0</v>
      </c>
      <c r="T28" s="110">
        <v>45.0</v>
      </c>
      <c r="U28" s="110">
        <v>45.0</v>
      </c>
      <c r="V28" s="110">
        <v>45.0</v>
      </c>
      <c r="W28" s="110">
        <v>45.0</v>
      </c>
      <c r="X28" s="110">
        <v>45.0</v>
      </c>
      <c r="Y28" s="110">
        <v>45.0</v>
      </c>
      <c r="Z28" s="110">
        <v>45.0</v>
      </c>
      <c r="AA28" s="110">
        <v>45.0</v>
      </c>
      <c r="AB28" s="110">
        <v>45.0</v>
      </c>
      <c r="AC28" s="110">
        <v>45.0</v>
      </c>
      <c r="AD28" s="110">
        <v>45.0</v>
      </c>
    </row>
    <row r="29">
      <c r="A29" s="111"/>
      <c r="B29" s="108">
        <v>-1.0</v>
      </c>
      <c r="C29" s="108" t="s">
        <v>112</v>
      </c>
      <c r="D29" s="108">
        <v>-2.0</v>
      </c>
      <c r="E29" s="110">
        <v>1.2945</v>
      </c>
      <c r="F29" s="110">
        <v>1.2638</v>
      </c>
      <c r="G29" s="110">
        <v>1.2536</v>
      </c>
      <c r="H29" s="110">
        <v>0.074</v>
      </c>
      <c r="I29" s="110">
        <v>210.0</v>
      </c>
      <c r="J29" s="110">
        <v>210.0</v>
      </c>
      <c r="K29" s="110">
        <v>19.0</v>
      </c>
      <c r="L29" s="110">
        <v>15.0</v>
      </c>
      <c r="M29" s="110">
        <v>85.0</v>
      </c>
      <c r="N29" s="110">
        <v>85.0</v>
      </c>
      <c r="O29" s="110">
        <v>45.0</v>
      </c>
      <c r="P29" s="110">
        <v>45.0</v>
      </c>
      <c r="Q29" s="110">
        <v>45.0</v>
      </c>
      <c r="R29" s="110">
        <v>45.0</v>
      </c>
      <c r="S29" s="110">
        <v>45.0</v>
      </c>
      <c r="T29" s="110">
        <v>45.0</v>
      </c>
      <c r="U29" s="110">
        <v>45.0</v>
      </c>
      <c r="V29" s="110">
        <v>45.0</v>
      </c>
      <c r="W29" s="110">
        <v>45.0</v>
      </c>
      <c r="X29" s="110">
        <v>45.0</v>
      </c>
      <c r="Y29" s="110">
        <v>45.0</v>
      </c>
      <c r="Z29" s="110">
        <v>45.0</v>
      </c>
      <c r="AA29" s="110">
        <v>45.0</v>
      </c>
      <c r="AB29" s="110">
        <v>45.0</v>
      </c>
      <c r="AC29" s="110">
        <v>45.0</v>
      </c>
      <c r="AD29" s="110">
        <v>45.0</v>
      </c>
    </row>
    <row r="30">
      <c r="A30" s="111"/>
      <c r="B30" s="108">
        <v>0.0</v>
      </c>
      <c r="C30" s="108" t="s">
        <v>113</v>
      </c>
      <c r="D30" s="108">
        <v>-2.0</v>
      </c>
      <c r="E30" s="110">
        <v>1.3076</v>
      </c>
      <c r="F30" s="110">
        <v>1.2777</v>
      </c>
      <c r="G30" s="110">
        <v>1.2677</v>
      </c>
      <c r="H30" s="110">
        <v>0.072</v>
      </c>
      <c r="I30" s="110">
        <v>210.0</v>
      </c>
      <c r="J30" s="110">
        <v>210.0</v>
      </c>
      <c r="K30" s="110">
        <v>25.0</v>
      </c>
      <c r="L30" s="110">
        <v>21.0</v>
      </c>
      <c r="M30" s="110">
        <v>85.0</v>
      </c>
      <c r="N30" s="110">
        <v>85.0</v>
      </c>
      <c r="O30" s="110">
        <v>45.0</v>
      </c>
      <c r="P30" s="110">
        <v>45.0</v>
      </c>
      <c r="Q30" s="110">
        <v>45.0</v>
      </c>
      <c r="R30" s="110">
        <v>45.0</v>
      </c>
      <c r="S30" s="110">
        <v>45.0</v>
      </c>
      <c r="T30" s="110">
        <v>45.0</v>
      </c>
      <c r="U30" s="110">
        <v>45.0</v>
      </c>
      <c r="V30" s="110">
        <v>45.0</v>
      </c>
      <c r="W30" s="110">
        <v>45.0</v>
      </c>
      <c r="X30" s="110">
        <v>45.0</v>
      </c>
      <c r="Y30" s="110">
        <v>45.0</v>
      </c>
      <c r="Z30" s="110">
        <v>45.0</v>
      </c>
      <c r="AA30" s="110">
        <v>45.0</v>
      </c>
      <c r="AB30" s="110">
        <v>45.0</v>
      </c>
      <c r="AC30" s="110">
        <v>45.0</v>
      </c>
      <c r="AD30" s="110">
        <v>45.0</v>
      </c>
    </row>
    <row r="31">
      <c r="A31" s="111"/>
      <c r="B31" s="108">
        <v>1.0</v>
      </c>
      <c r="C31" s="108" t="s">
        <v>114</v>
      </c>
      <c r="D31" s="108">
        <v>-2.0</v>
      </c>
      <c r="E31" s="110">
        <v>1.3207</v>
      </c>
      <c r="F31" s="110">
        <v>1.2915</v>
      </c>
      <c r="G31" s="110">
        <v>1.2819</v>
      </c>
      <c r="H31" s="110">
        <v>0.07</v>
      </c>
      <c r="I31" s="110">
        <v>210.0</v>
      </c>
      <c r="J31" s="110">
        <v>210.0</v>
      </c>
      <c r="K31" s="110">
        <v>37.0</v>
      </c>
      <c r="L31" s="110">
        <v>33.0</v>
      </c>
      <c r="M31" s="110">
        <v>85.0</v>
      </c>
      <c r="N31" s="110">
        <v>85.0</v>
      </c>
      <c r="O31" s="110">
        <v>45.0</v>
      </c>
      <c r="P31" s="110">
        <v>45.0</v>
      </c>
      <c r="Q31" s="110">
        <v>45.0</v>
      </c>
      <c r="R31" s="110">
        <v>45.0</v>
      </c>
      <c r="S31" s="110">
        <v>45.0</v>
      </c>
      <c r="T31" s="110">
        <v>45.0</v>
      </c>
      <c r="U31" s="110">
        <v>45.0</v>
      </c>
      <c r="V31" s="110">
        <v>45.0</v>
      </c>
      <c r="W31" s="110">
        <v>45.0</v>
      </c>
      <c r="X31" s="110">
        <v>45.0</v>
      </c>
      <c r="Y31" s="110">
        <v>45.0</v>
      </c>
      <c r="Z31" s="110">
        <v>45.0</v>
      </c>
      <c r="AA31" s="110">
        <v>45.0</v>
      </c>
      <c r="AB31" s="110">
        <v>45.0</v>
      </c>
      <c r="AC31" s="110">
        <v>45.0</v>
      </c>
      <c r="AD31" s="110">
        <v>45.0</v>
      </c>
    </row>
    <row r="32">
      <c r="A32" s="111"/>
      <c r="B32" s="108">
        <v>2.0</v>
      </c>
      <c r="C32" s="108" t="s">
        <v>115</v>
      </c>
      <c r="D32" s="108">
        <v>-2.0</v>
      </c>
      <c r="E32" s="110">
        <v>1.3337</v>
      </c>
      <c r="F32" s="110">
        <v>1.3053</v>
      </c>
      <c r="G32" s="110">
        <v>1.2959</v>
      </c>
      <c r="H32" s="110">
        <v>0.068</v>
      </c>
      <c r="I32" s="110">
        <v>210.0</v>
      </c>
      <c r="J32" s="110">
        <v>210.0</v>
      </c>
      <c r="K32" s="110">
        <v>49.0</v>
      </c>
      <c r="L32" s="110">
        <v>45.0</v>
      </c>
      <c r="M32" s="110">
        <v>85.0</v>
      </c>
      <c r="N32" s="110">
        <v>85.0</v>
      </c>
      <c r="O32" s="110">
        <v>45.0</v>
      </c>
      <c r="P32" s="110">
        <v>45.0</v>
      </c>
      <c r="Q32" s="110">
        <v>45.0</v>
      </c>
      <c r="R32" s="110">
        <v>45.0</v>
      </c>
      <c r="S32" s="110">
        <v>45.0</v>
      </c>
      <c r="T32" s="110">
        <v>45.0</v>
      </c>
      <c r="U32" s="110">
        <v>45.0</v>
      </c>
      <c r="V32" s="110">
        <v>45.0</v>
      </c>
      <c r="W32" s="110">
        <v>45.0</v>
      </c>
      <c r="X32" s="110">
        <v>45.0</v>
      </c>
      <c r="Y32" s="110">
        <v>45.0</v>
      </c>
      <c r="Z32" s="110">
        <v>45.0</v>
      </c>
      <c r="AA32" s="110">
        <v>45.0</v>
      </c>
      <c r="AB32" s="110">
        <v>45.0</v>
      </c>
      <c r="AC32" s="110">
        <v>45.0</v>
      </c>
      <c r="AD32" s="110">
        <v>45.0</v>
      </c>
    </row>
    <row r="33">
      <c r="A33" s="111"/>
      <c r="B33" s="108">
        <v>4.0</v>
      </c>
      <c r="C33" s="108" t="s">
        <v>116</v>
      </c>
      <c r="D33" s="108">
        <v>-2.0</v>
      </c>
      <c r="E33" s="110">
        <v>1.3599</v>
      </c>
      <c r="F33" s="110">
        <v>1.3329</v>
      </c>
      <c r="G33" s="110">
        <v>1.3239</v>
      </c>
      <c r="H33" s="110">
        <v>0.063</v>
      </c>
      <c r="I33" s="110">
        <v>210.0</v>
      </c>
      <c r="J33" s="110">
        <v>210.0</v>
      </c>
      <c r="K33" s="110">
        <v>86.0</v>
      </c>
      <c r="L33" s="110">
        <v>82.0</v>
      </c>
      <c r="M33" s="110">
        <v>85.0</v>
      </c>
      <c r="N33" s="110">
        <v>85.0</v>
      </c>
      <c r="O33" s="110">
        <v>45.0</v>
      </c>
      <c r="P33" s="110">
        <v>45.0</v>
      </c>
      <c r="Q33" s="110">
        <v>45.0</v>
      </c>
      <c r="R33" s="110">
        <v>45.0</v>
      </c>
      <c r="S33" s="110">
        <v>45.0</v>
      </c>
      <c r="T33" s="110">
        <v>45.0</v>
      </c>
      <c r="U33" s="110">
        <v>45.0</v>
      </c>
      <c r="V33" s="110">
        <v>45.0</v>
      </c>
      <c r="W33" s="110">
        <v>45.0</v>
      </c>
      <c r="X33" s="110">
        <v>45.0</v>
      </c>
      <c r="Y33" s="110">
        <v>45.0</v>
      </c>
      <c r="Z33" s="110">
        <v>45.0</v>
      </c>
      <c r="AA33" s="110">
        <v>45.0</v>
      </c>
      <c r="AB33" s="110">
        <v>45.0</v>
      </c>
      <c r="AC33" s="110">
        <v>45.0</v>
      </c>
      <c r="AD33" s="110">
        <v>45.0</v>
      </c>
    </row>
    <row r="34">
      <c r="A34" s="111"/>
      <c r="B34" s="108">
        <v>6.0</v>
      </c>
      <c r="C34" s="108" t="s">
        <v>117</v>
      </c>
      <c r="D34" s="108">
        <v>-2.0</v>
      </c>
      <c r="E34" s="110">
        <v>1.3861</v>
      </c>
      <c r="F34" s="110">
        <v>1.3604</v>
      </c>
      <c r="G34" s="110">
        <v>1.3519</v>
      </c>
      <c r="H34" s="110">
        <v>0.06</v>
      </c>
      <c r="I34" s="110">
        <v>210.0</v>
      </c>
      <c r="J34" s="110">
        <v>210.0</v>
      </c>
      <c r="K34" s="110">
        <v>128.0</v>
      </c>
      <c r="L34" s="110">
        <v>124.0</v>
      </c>
      <c r="M34" s="110">
        <v>85.0</v>
      </c>
      <c r="N34" s="110">
        <v>85.0</v>
      </c>
      <c r="O34" s="110">
        <v>45.0</v>
      </c>
      <c r="P34" s="110">
        <v>45.0</v>
      </c>
      <c r="Q34" s="110">
        <v>45.0</v>
      </c>
      <c r="R34" s="110">
        <v>45.0</v>
      </c>
      <c r="S34" s="110">
        <v>45.0</v>
      </c>
      <c r="T34" s="110">
        <v>45.0</v>
      </c>
      <c r="U34" s="110">
        <v>45.0</v>
      </c>
      <c r="V34" s="110">
        <v>45.0</v>
      </c>
      <c r="W34" s="110">
        <v>45.0</v>
      </c>
      <c r="X34" s="110">
        <v>45.0</v>
      </c>
      <c r="Y34" s="110">
        <v>45.0</v>
      </c>
      <c r="Z34" s="110">
        <v>45.0</v>
      </c>
      <c r="AA34" s="110">
        <v>45.0</v>
      </c>
      <c r="AB34" s="110">
        <v>45.0</v>
      </c>
      <c r="AC34" s="110">
        <v>45.0</v>
      </c>
      <c r="AD34" s="110">
        <v>45.0</v>
      </c>
    </row>
    <row r="35">
      <c r="A35" s="105"/>
      <c r="B35" s="108">
        <v>10.0</v>
      </c>
      <c r="C35" s="108" t="s">
        <v>118</v>
      </c>
      <c r="D35" s="108">
        <v>-2.0</v>
      </c>
      <c r="E35" s="110">
        <v>1.4384</v>
      </c>
      <c r="F35" s="110">
        <v>1.415</v>
      </c>
      <c r="G35" s="110">
        <v>1.4073</v>
      </c>
      <c r="H35" s="110">
        <v>0.053</v>
      </c>
      <c r="I35" s="110">
        <v>210.0</v>
      </c>
      <c r="J35" s="110">
        <v>210.0</v>
      </c>
      <c r="K35" s="110">
        <v>128.0</v>
      </c>
      <c r="L35" s="110">
        <v>124.0</v>
      </c>
      <c r="M35" s="110">
        <v>85.0</v>
      </c>
      <c r="N35" s="110">
        <v>85.0</v>
      </c>
      <c r="O35" s="110">
        <v>45.0</v>
      </c>
      <c r="P35" s="110">
        <v>45.0</v>
      </c>
      <c r="Q35" s="110">
        <v>45.0</v>
      </c>
      <c r="R35" s="110">
        <v>45.0</v>
      </c>
      <c r="S35" s="110">
        <v>45.0</v>
      </c>
      <c r="T35" s="110">
        <v>45.0</v>
      </c>
      <c r="U35" s="110">
        <v>45.0</v>
      </c>
      <c r="V35" s="110">
        <v>45.0</v>
      </c>
      <c r="W35" s="110">
        <v>45.0</v>
      </c>
      <c r="X35" s="110">
        <v>45.0</v>
      </c>
      <c r="Y35" s="110">
        <v>45.0</v>
      </c>
      <c r="Z35" s="110">
        <v>45.0</v>
      </c>
      <c r="AA35" s="110">
        <v>45.0</v>
      </c>
      <c r="AB35" s="110">
        <v>45.0</v>
      </c>
      <c r="AC35" s="110">
        <v>45.0</v>
      </c>
      <c r="AD35" s="110">
        <v>45.0</v>
      </c>
    </row>
    <row r="36">
      <c r="A36" s="124"/>
      <c r="B36" s="125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125"/>
      <c r="N36" s="125"/>
      <c r="O36" s="125"/>
      <c r="P36" s="125"/>
      <c r="Q36" s="125"/>
      <c r="R36" s="125"/>
      <c r="S36" s="125"/>
      <c r="T36" s="125"/>
      <c r="U36" s="125"/>
      <c r="V36" s="125"/>
      <c r="W36" s="125"/>
      <c r="X36" s="125"/>
      <c r="Y36" s="125"/>
      <c r="Z36" s="125"/>
      <c r="AA36" s="125"/>
      <c r="AB36" s="125"/>
      <c r="AC36" s="125"/>
      <c r="AD36" s="125"/>
    </row>
    <row r="37">
      <c r="A37" s="124"/>
      <c r="B37" s="125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125"/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  <c r="Z37" s="125"/>
      <c r="AA37" s="125"/>
      <c r="AB37" s="125"/>
      <c r="AC37" s="125"/>
      <c r="AD37" s="125"/>
    </row>
    <row r="38">
      <c r="A38" s="124"/>
      <c r="B38" s="125"/>
      <c r="C38" s="125"/>
      <c r="D38" s="125"/>
      <c r="E38" s="125"/>
      <c r="F38" s="125"/>
      <c r="G38" s="125"/>
      <c r="H38" s="125"/>
      <c r="I38" s="125"/>
      <c r="J38" s="125"/>
      <c r="K38" s="125"/>
      <c r="L38" s="125"/>
      <c r="M38" s="125"/>
      <c r="N38" s="125"/>
      <c r="O38" s="125"/>
      <c r="P38" s="125"/>
      <c r="Q38" s="125"/>
      <c r="R38" s="125"/>
      <c r="S38" s="125"/>
      <c r="T38" s="125"/>
      <c r="U38" s="125"/>
      <c r="V38" s="125"/>
      <c r="W38" s="125"/>
      <c r="X38" s="125"/>
      <c r="Y38" s="125"/>
      <c r="Z38" s="125"/>
      <c r="AA38" s="125"/>
      <c r="AB38" s="125"/>
      <c r="AC38" s="125"/>
      <c r="AD38" s="125"/>
    </row>
    <row r="39">
      <c r="A39" s="124"/>
      <c r="B39" s="125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125"/>
      <c r="N39" s="125"/>
      <c r="O39" s="125"/>
      <c r="P39" s="125"/>
      <c r="Q39" s="125"/>
      <c r="R39" s="125"/>
      <c r="S39" s="125"/>
      <c r="T39" s="125"/>
      <c r="U39" s="125"/>
      <c r="V39" s="125"/>
      <c r="W39" s="125"/>
      <c r="X39" s="125"/>
      <c r="Y39" s="125"/>
      <c r="Z39" s="125"/>
      <c r="AA39" s="125"/>
      <c r="AB39" s="125"/>
      <c r="AC39" s="125"/>
      <c r="AD39" s="125"/>
    </row>
    <row r="40">
      <c r="A40" s="124"/>
      <c r="B40" s="125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125"/>
      <c r="N40" s="125"/>
      <c r="O40" s="125"/>
      <c r="P40" s="125"/>
      <c r="Q40" s="125"/>
      <c r="R40" s="125"/>
      <c r="S40" s="125"/>
      <c r="T40" s="125"/>
      <c r="U40" s="125"/>
      <c r="V40" s="125"/>
      <c r="W40" s="125"/>
      <c r="X40" s="125"/>
      <c r="Y40" s="125"/>
      <c r="Z40" s="125"/>
      <c r="AA40" s="125"/>
      <c r="AB40" s="125"/>
      <c r="AC40" s="125"/>
      <c r="AD40" s="125"/>
    </row>
    <row r="41">
      <c r="A41" s="124"/>
      <c r="B41" s="125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125"/>
      <c r="Q41" s="125"/>
      <c r="R41" s="125"/>
      <c r="S41" s="125"/>
      <c r="T41" s="125"/>
      <c r="U41" s="125"/>
      <c r="V41" s="125"/>
      <c r="W41" s="125"/>
      <c r="X41" s="125"/>
      <c r="Y41" s="125"/>
      <c r="Z41" s="125"/>
      <c r="AA41" s="125"/>
      <c r="AB41" s="125"/>
      <c r="AC41" s="125"/>
      <c r="AD41" s="125"/>
    </row>
    <row r="42">
      <c r="A42" s="124"/>
      <c r="B42" s="125"/>
      <c r="C42" s="125"/>
      <c r="D42" s="125"/>
      <c r="E42" s="125"/>
      <c r="F42" s="125"/>
      <c r="G42" s="125"/>
      <c r="H42" s="125"/>
      <c r="I42" s="125"/>
      <c r="J42" s="125"/>
      <c r="K42" s="125"/>
      <c r="L42" s="125"/>
      <c r="M42" s="125"/>
      <c r="N42" s="125"/>
      <c r="O42" s="125"/>
      <c r="P42" s="125"/>
      <c r="Q42" s="125"/>
      <c r="R42" s="125"/>
      <c r="S42" s="125"/>
      <c r="T42" s="125"/>
      <c r="U42" s="125"/>
      <c r="V42" s="125"/>
      <c r="W42" s="125"/>
      <c r="X42" s="125"/>
      <c r="Y42" s="125"/>
      <c r="Z42" s="125"/>
      <c r="AA42" s="125"/>
      <c r="AB42" s="125"/>
      <c r="AC42" s="125"/>
      <c r="AD42" s="125"/>
    </row>
    <row r="43">
      <c r="A43" s="124"/>
      <c r="B43" s="125"/>
      <c r="C43" s="125"/>
      <c r="D43" s="125"/>
      <c r="E43" s="125"/>
      <c r="F43" s="125"/>
      <c r="G43" s="125"/>
      <c r="H43" s="125"/>
      <c r="I43" s="125"/>
      <c r="J43" s="125"/>
      <c r="K43" s="125"/>
      <c r="L43" s="125"/>
      <c r="M43" s="125"/>
      <c r="N43" s="125"/>
      <c r="O43" s="125"/>
      <c r="P43" s="125"/>
      <c r="Q43" s="125"/>
      <c r="R43" s="125"/>
      <c r="S43" s="125"/>
      <c r="T43" s="125"/>
      <c r="U43" s="125"/>
      <c r="V43" s="125"/>
      <c r="W43" s="125"/>
      <c r="X43" s="125"/>
      <c r="Y43" s="125"/>
      <c r="Z43" s="125"/>
      <c r="AA43" s="125"/>
      <c r="AB43" s="125"/>
      <c r="AC43" s="125"/>
      <c r="AD43" s="125"/>
    </row>
    <row r="44">
      <c r="A44" s="124"/>
      <c r="B44" s="125"/>
      <c r="C44" s="125"/>
      <c r="D44" s="125"/>
      <c r="E44" s="125"/>
      <c r="F44" s="125"/>
      <c r="G44" s="125"/>
      <c r="H44" s="125"/>
      <c r="I44" s="125"/>
      <c r="J44" s="125"/>
      <c r="K44" s="125"/>
      <c r="L44" s="125"/>
      <c r="M44" s="125"/>
      <c r="N44" s="125"/>
      <c r="O44" s="125"/>
      <c r="P44" s="125"/>
      <c r="Q44" s="125"/>
      <c r="R44" s="125"/>
      <c r="S44" s="125"/>
      <c r="T44" s="125"/>
      <c r="U44" s="125"/>
      <c r="V44" s="125"/>
      <c r="W44" s="125"/>
      <c r="X44" s="125"/>
      <c r="Y44" s="125"/>
      <c r="Z44" s="125"/>
      <c r="AA44" s="125"/>
      <c r="AB44" s="125"/>
      <c r="AC44" s="125"/>
      <c r="AD44" s="125"/>
    </row>
    <row r="45">
      <c r="A45" s="124"/>
      <c r="B45" s="125"/>
      <c r="C45" s="125"/>
      <c r="D45" s="125"/>
      <c r="E45" s="125"/>
      <c r="F45" s="125"/>
      <c r="G45" s="125"/>
      <c r="H45" s="125"/>
      <c r="I45" s="125"/>
      <c r="J45" s="125"/>
      <c r="K45" s="125"/>
      <c r="L45" s="125"/>
      <c r="M45" s="125"/>
      <c r="N45" s="125"/>
      <c r="O45" s="125"/>
      <c r="P45" s="125"/>
      <c r="Q45" s="125"/>
      <c r="R45" s="125"/>
      <c r="S45" s="125"/>
      <c r="T45" s="125"/>
      <c r="U45" s="125"/>
      <c r="V45" s="125"/>
      <c r="W45" s="125"/>
      <c r="X45" s="125"/>
      <c r="Y45" s="125"/>
      <c r="Z45" s="125"/>
      <c r="AA45" s="125"/>
      <c r="AB45" s="125"/>
      <c r="AC45" s="125"/>
      <c r="AD45" s="125"/>
    </row>
    <row r="46">
      <c r="A46" s="124"/>
      <c r="B46" s="125"/>
      <c r="C46" s="125"/>
      <c r="D46" s="125"/>
      <c r="E46" s="125"/>
      <c r="F46" s="125"/>
      <c r="G46" s="125"/>
      <c r="H46" s="125"/>
      <c r="I46" s="125"/>
      <c r="J46" s="125"/>
      <c r="K46" s="125"/>
      <c r="L46" s="125"/>
      <c r="M46" s="125"/>
      <c r="N46" s="125"/>
      <c r="O46" s="125"/>
      <c r="P46" s="125"/>
      <c r="Q46" s="125"/>
      <c r="R46" s="125"/>
      <c r="S46" s="125"/>
      <c r="T46" s="125"/>
      <c r="U46" s="125"/>
      <c r="V46" s="125"/>
      <c r="W46" s="125"/>
      <c r="X46" s="125"/>
      <c r="Y46" s="125"/>
      <c r="Z46" s="125"/>
      <c r="AA46" s="125"/>
      <c r="AB46" s="125"/>
      <c r="AC46" s="125"/>
      <c r="AD46" s="125"/>
    </row>
    <row r="47">
      <c r="A47" s="124"/>
      <c r="B47" s="125"/>
      <c r="C47" s="125"/>
      <c r="D47" s="125"/>
      <c r="E47" s="125"/>
      <c r="F47" s="125"/>
      <c r="G47" s="125"/>
      <c r="H47" s="125"/>
      <c r="I47" s="125"/>
      <c r="J47" s="125"/>
      <c r="K47" s="125"/>
      <c r="L47" s="125"/>
      <c r="M47" s="125"/>
      <c r="N47" s="125"/>
      <c r="O47" s="125"/>
      <c r="P47" s="125"/>
      <c r="Q47" s="125"/>
      <c r="R47" s="125"/>
      <c r="S47" s="125"/>
      <c r="T47" s="125"/>
      <c r="U47" s="125"/>
      <c r="V47" s="125"/>
      <c r="W47" s="125"/>
      <c r="X47" s="125"/>
      <c r="Y47" s="125"/>
      <c r="Z47" s="125"/>
      <c r="AA47" s="125"/>
      <c r="AB47" s="125"/>
      <c r="AC47" s="125"/>
      <c r="AD47" s="125"/>
    </row>
    <row r="48">
      <c r="A48" s="124"/>
      <c r="B48" s="125"/>
      <c r="C48" s="125"/>
      <c r="D48" s="125"/>
      <c r="E48" s="125"/>
      <c r="F48" s="125"/>
      <c r="G48" s="125"/>
      <c r="H48" s="125"/>
      <c r="I48" s="125"/>
      <c r="J48" s="125"/>
      <c r="K48" s="125"/>
      <c r="L48" s="125"/>
      <c r="M48" s="125"/>
      <c r="N48" s="125"/>
      <c r="O48" s="125"/>
      <c r="P48" s="125"/>
      <c r="Q48" s="125"/>
      <c r="R48" s="125"/>
      <c r="S48" s="125"/>
      <c r="T48" s="125"/>
      <c r="U48" s="125"/>
      <c r="V48" s="125"/>
      <c r="W48" s="125"/>
      <c r="X48" s="125"/>
      <c r="Y48" s="125"/>
      <c r="Z48" s="125"/>
      <c r="AA48" s="125"/>
      <c r="AB48" s="125"/>
      <c r="AC48" s="125"/>
      <c r="AD48" s="125"/>
    </row>
    <row r="49">
      <c r="A49" s="124"/>
      <c r="B49" s="125"/>
      <c r="C49" s="125"/>
      <c r="D49" s="125"/>
      <c r="E49" s="125"/>
      <c r="F49" s="125"/>
      <c r="G49" s="125"/>
      <c r="H49" s="125"/>
      <c r="I49" s="125"/>
      <c r="J49" s="125"/>
      <c r="K49" s="125"/>
      <c r="L49" s="125"/>
      <c r="M49" s="125"/>
      <c r="N49" s="125"/>
      <c r="O49" s="125"/>
      <c r="P49" s="125"/>
      <c r="Q49" s="125"/>
      <c r="R49" s="125"/>
      <c r="S49" s="125"/>
      <c r="T49" s="125"/>
      <c r="U49" s="125"/>
      <c r="V49" s="125"/>
      <c r="W49" s="125"/>
      <c r="X49" s="125"/>
      <c r="Y49" s="125"/>
      <c r="Z49" s="125"/>
      <c r="AA49" s="125"/>
      <c r="AB49" s="125"/>
      <c r="AC49" s="125"/>
      <c r="AD49" s="125"/>
    </row>
    <row r="50">
      <c r="A50" s="124"/>
      <c r="B50" s="125"/>
      <c r="C50" s="125"/>
      <c r="D50" s="125"/>
      <c r="E50" s="125"/>
      <c r="F50" s="125"/>
      <c r="G50" s="125"/>
      <c r="H50" s="125"/>
      <c r="I50" s="125"/>
      <c r="J50" s="125"/>
      <c r="K50" s="125"/>
      <c r="L50" s="125"/>
      <c r="M50" s="125"/>
      <c r="N50" s="125"/>
      <c r="O50" s="125"/>
      <c r="P50" s="125"/>
      <c r="Q50" s="125"/>
      <c r="R50" s="125"/>
      <c r="S50" s="125"/>
      <c r="T50" s="125"/>
      <c r="U50" s="125"/>
      <c r="V50" s="125"/>
      <c r="W50" s="125"/>
      <c r="X50" s="125"/>
      <c r="Y50" s="125"/>
      <c r="Z50" s="125"/>
      <c r="AA50" s="125"/>
      <c r="AB50" s="125"/>
      <c r="AC50" s="125"/>
      <c r="AD50" s="125"/>
    </row>
    <row r="51">
      <c r="A51" s="124"/>
      <c r="B51" s="125"/>
      <c r="C51" s="125"/>
      <c r="D51" s="125"/>
      <c r="E51" s="125"/>
      <c r="F51" s="125"/>
      <c r="G51" s="125"/>
      <c r="H51" s="125"/>
      <c r="I51" s="125"/>
      <c r="J51" s="125"/>
      <c r="K51" s="125"/>
      <c r="L51" s="125"/>
      <c r="M51" s="125"/>
      <c r="N51" s="125"/>
      <c r="O51" s="125"/>
      <c r="P51" s="125"/>
      <c r="Q51" s="125"/>
      <c r="R51" s="125"/>
      <c r="S51" s="125"/>
      <c r="T51" s="125"/>
      <c r="U51" s="125"/>
      <c r="V51" s="125"/>
      <c r="W51" s="125"/>
      <c r="X51" s="125"/>
      <c r="Y51" s="125"/>
      <c r="Z51" s="125"/>
      <c r="AA51" s="125"/>
      <c r="AB51" s="125"/>
      <c r="AC51" s="125"/>
      <c r="AD51" s="125"/>
    </row>
    <row r="52">
      <c r="A52" s="124"/>
      <c r="B52" s="125"/>
      <c r="C52" s="125"/>
      <c r="D52" s="125"/>
      <c r="E52" s="125"/>
      <c r="F52" s="125"/>
      <c r="G52" s="125"/>
      <c r="H52" s="125"/>
      <c r="I52" s="125"/>
      <c r="J52" s="125"/>
      <c r="K52" s="125"/>
      <c r="L52" s="125"/>
      <c r="M52" s="125"/>
      <c r="N52" s="125"/>
      <c r="O52" s="125"/>
      <c r="P52" s="125"/>
      <c r="Q52" s="125"/>
      <c r="R52" s="125"/>
      <c r="S52" s="125"/>
      <c r="T52" s="125"/>
      <c r="U52" s="125"/>
      <c r="V52" s="125"/>
      <c r="W52" s="125"/>
      <c r="X52" s="125"/>
      <c r="Y52" s="125"/>
      <c r="Z52" s="125"/>
      <c r="AA52" s="125"/>
      <c r="AB52" s="125"/>
      <c r="AC52" s="125"/>
      <c r="AD52" s="125"/>
    </row>
    <row r="53">
      <c r="A53" s="124"/>
      <c r="B53" s="125"/>
      <c r="C53" s="125"/>
      <c r="D53" s="125"/>
      <c r="E53" s="125"/>
      <c r="F53" s="125"/>
      <c r="G53" s="125"/>
      <c r="H53" s="125"/>
      <c r="I53" s="125"/>
      <c r="J53" s="125"/>
      <c r="K53" s="125"/>
      <c r="L53" s="125"/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</row>
    <row r="54">
      <c r="A54" s="124"/>
      <c r="B54" s="125"/>
      <c r="C54" s="125"/>
      <c r="D54" s="125"/>
      <c r="E54" s="125"/>
      <c r="F54" s="125"/>
      <c r="G54" s="125"/>
      <c r="H54" s="125"/>
      <c r="I54" s="125"/>
      <c r="J54" s="125"/>
      <c r="K54" s="125"/>
      <c r="L54" s="125"/>
      <c r="M54" s="125"/>
      <c r="N54" s="125"/>
      <c r="O54" s="125"/>
      <c r="P54" s="125"/>
      <c r="Q54" s="125"/>
      <c r="R54" s="125"/>
      <c r="S54" s="125"/>
      <c r="T54" s="125"/>
      <c r="U54" s="125"/>
      <c r="V54" s="125"/>
      <c r="W54" s="125"/>
      <c r="X54" s="125"/>
      <c r="Y54" s="125"/>
      <c r="Z54" s="125"/>
      <c r="AA54" s="125"/>
      <c r="AB54" s="125"/>
      <c r="AC54" s="125"/>
      <c r="AD54" s="125"/>
    </row>
    <row r="55">
      <c r="A55" s="124"/>
      <c r="B55" s="125"/>
      <c r="C55" s="125"/>
      <c r="D55" s="125"/>
      <c r="E55" s="125"/>
      <c r="F55" s="125"/>
      <c r="G55" s="125"/>
      <c r="H55" s="125"/>
      <c r="I55" s="125"/>
      <c r="J55" s="125"/>
      <c r="K55" s="125"/>
      <c r="L55" s="125"/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</row>
    <row r="56">
      <c r="A56" s="124"/>
      <c r="B56" s="125"/>
      <c r="C56" s="125"/>
      <c r="D56" s="125"/>
      <c r="E56" s="125"/>
      <c r="F56" s="125"/>
      <c r="G56" s="125"/>
      <c r="H56" s="125"/>
      <c r="I56" s="125"/>
      <c r="J56" s="125"/>
      <c r="K56" s="125"/>
      <c r="L56" s="125"/>
      <c r="M56" s="125"/>
      <c r="N56" s="125"/>
      <c r="O56" s="125"/>
      <c r="P56" s="125"/>
      <c r="Q56" s="125"/>
      <c r="R56" s="125"/>
      <c r="S56" s="125"/>
      <c r="T56" s="125"/>
      <c r="U56" s="125"/>
      <c r="V56" s="125"/>
      <c r="W56" s="125"/>
      <c r="X56" s="125"/>
      <c r="Y56" s="125"/>
      <c r="Z56" s="125"/>
      <c r="AA56" s="125"/>
      <c r="AB56" s="125"/>
      <c r="AC56" s="125"/>
      <c r="AD56" s="125"/>
    </row>
    <row r="57">
      <c r="A57" s="124"/>
      <c r="B57" s="125"/>
      <c r="C57" s="125"/>
      <c r="D57" s="125"/>
      <c r="E57" s="125"/>
      <c r="F57" s="125"/>
      <c r="G57" s="125"/>
      <c r="H57" s="125"/>
      <c r="I57" s="125"/>
      <c r="J57" s="125"/>
      <c r="K57" s="125"/>
      <c r="L57" s="125"/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</row>
    <row r="58">
      <c r="A58" s="124"/>
      <c r="B58" s="125"/>
      <c r="C58" s="125"/>
      <c r="D58" s="125"/>
      <c r="E58" s="125"/>
      <c r="F58" s="125"/>
      <c r="G58" s="125"/>
      <c r="H58" s="125"/>
      <c r="I58" s="125"/>
      <c r="J58" s="125"/>
      <c r="K58" s="125"/>
      <c r="L58" s="125"/>
      <c r="M58" s="125"/>
      <c r="N58" s="125"/>
      <c r="O58" s="125"/>
      <c r="P58" s="125"/>
      <c r="Q58" s="125"/>
      <c r="R58" s="125"/>
      <c r="S58" s="125"/>
      <c r="T58" s="125"/>
      <c r="U58" s="125"/>
      <c r="V58" s="125"/>
      <c r="W58" s="125"/>
      <c r="X58" s="125"/>
      <c r="Y58" s="125"/>
      <c r="Z58" s="125"/>
      <c r="AA58" s="125"/>
      <c r="AB58" s="125"/>
      <c r="AC58" s="125"/>
      <c r="AD58" s="125"/>
    </row>
    <row r="59">
      <c r="A59" s="124"/>
      <c r="B59" s="125"/>
      <c r="C59" s="125"/>
      <c r="D59" s="125"/>
      <c r="E59" s="125"/>
      <c r="F59" s="125"/>
      <c r="G59" s="125"/>
      <c r="H59" s="125"/>
      <c r="I59" s="125"/>
      <c r="J59" s="125"/>
      <c r="K59" s="125"/>
      <c r="L59" s="125"/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</row>
    <row r="60">
      <c r="A60" s="124"/>
      <c r="B60" s="125"/>
      <c r="C60" s="125"/>
      <c r="D60" s="125"/>
      <c r="E60" s="125"/>
      <c r="F60" s="125"/>
      <c r="G60" s="125"/>
      <c r="H60" s="125"/>
      <c r="I60" s="125"/>
      <c r="J60" s="125"/>
      <c r="K60" s="125"/>
      <c r="L60" s="125"/>
      <c r="M60" s="125"/>
      <c r="N60" s="125"/>
      <c r="O60" s="125"/>
      <c r="P60" s="125"/>
      <c r="Q60" s="125"/>
      <c r="R60" s="125"/>
      <c r="S60" s="125"/>
      <c r="T60" s="125"/>
      <c r="U60" s="125"/>
      <c r="V60" s="125"/>
      <c r="W60" s="125"/>
      <c r="X60" s="125"/>
      <c r="Y60" s="125"/>
      <c r="Z60" s="125"/>
      <c r="AA60" s="125"/>
      <c r="AB60" s="125"/>
      <c r="AC60" s="125"/>
      <c r="AD60" s="125"/>
    </row>
    <row r="61">
      <c r="A61" s="124"/>
      <c r="B61" s="125"/>
      <c r="C61" s="125"/>
      <c r="D61" s="125"/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  <c r="AA61" s="125"/>
      <c r="AB61" s="125"/>
      <c r="AC61" s="125"/>
      <c r="AD61" s="125"/>
    </row>
    <row r="62">
      <c r="A62" s="124"/>
      <c r="B62" s="125"/>
      <c r="C62" s="125"/>
      <c r="D62" s="125"/>
      <c r="E62" s="125"/>
      <c r="F62" s="125"/>
      <c r="G62" s="125"/>
      <c r="H62" s="125"/>
      <c r="I62" s="125"/>
      <c r="J62" s="125"/>
      <c r="K62" s="125"/>
      <c r="L62" s="125"/>
      <c r="M62" s="125"/>
      <c r="N62" s="125"/>
      <c r="O62" s="125"/>
      <c r="P62" s="125"/>
      <c r="Q62" s="125"/>
      <c r="R62" s="125"/>
      <c r="S62" s="125"/>
      <c r="T62" s="125"/>
      <c r="U62" s="125"/>
      <c r="V62" s="125"/>
      <c r="W62" s="125"/>
      <c r="X62" s="125"/>
      <c r="Y62" s="125"/>
      <c r="Z62" s="125"/>
      <c r="AA62" s="125"/>
      <c r="AB62" s="125"/>
      <c r="AC62" s="125"/>
      <c r="AD62" s="125"/>
    </row>
    <row r="63">
      <c r="A63" s="124"/>
      <c r="B63" s="125"/>
      <c r="C63" s="125"/>
      <c r="D63" s="125"/>
      <c r="E63" s="125"/>
      <c r="F63" s="125"/>
      <c r="G63" s="125"/>
      <c r="H63" s="125"/>
      <c r="I63" s="125"/>
      <c r="J63" s="125"/>
      <c r="K63" s="125"/>
      <c r="L63" s="125"/>
      <c r="M63" s="125"/>
      <c r="N63" s="125"/>
      <c r="O63" s="125"/>
      <c r="P63" s="125"/>
      <c r="Q63" s="125"/>
      <c r="R63" s="125"/>
      <c r="S63" s="125"/>
      <c r="T63" s="125"/>
      <c r="U63" s="125"/>
      <c r="V63" s="125"/>
      <c r="W63" s="125"/>
      <c r="X63" s="125"/>
      <c r="Y63" s="125"/>
      <c r="Z63" s="125"/>
      <c r="AA63" s="125"/>
      <c r="AB63" s="125"/>
      <c r="AC63" s="125"/>
      <c r="AD63" s="125"/>
    </row>
    <row r="64">
      <c r="A64" s="124"/>
      <c r="B64" s="125"/>
      <c r="C64" s="125"/>
      <c r="D64" s="125"/>
      <c r="E64" s="125"/>
      <c r="F64" s="125"/>
      <c r="G64" s="125"/>
      <c r="H64" s="125"/>
      <c r="I64" s="125"/>
      <c r="J64" s="125"/>
      <c r="K64" s="125"/>
      <c r="L64" s="125"/>
      <c r="M64" s="125"/>
      <c r="N64" s="125"/>
      <c r="O64" s="125"/>
      <c r="P64" s="125"/>
      <c r="Q64" s="125"/>
      <c r="R64" s="125"/>
      <c r="S64" s="125"/>
      <c r="T64" s="125"/>
      <c r="U64" s="125"/>
      <c r="V64" s="125"/>
      <c r="W64" s="125"/>
      <c r="X64" s="125"/>
      <c r="Y64" s="125"/>
      <c r="Z64" s="125"/>
      <c r="AA64" s="125"/>
      <c r="AB64" s="125"/>
      <c r="AC64" s="125"/>
      <c r="AD64" s="125"/>
    </row>
    <row r="65">
      <c r="A65" s="124"/>
      <c r="B65" s="125"/>
      <c r="C65" s="125"/>
      <c r="D65" s="125"/>
      <c r="E65" s="125"/>
      <c r="F65" s="125"/>
      <c r="G65" s="125"/>
      <c r="H65" s="125"/>
      <c r="I65" s="125"/>
      <c r="J65" s="125"/>
      <c r="K65" s="125"/>
      <c r="L65" s="125"/>
      <c r="M65" s="125"/>
      <c r="N65" s="125"/>
      <c r="O65" s="125"/>
      <c r="P65" s="125"/>
      <c r="Q65" s="125"/>
      <c r="R65" s="125"/>
      <c r="S65" s="125"/>
      <c r="T65" s="125"/>
      <c r="U65" s="125"/>
      <c r="V65" s="125"/>
      <c r="W65" s="125"/>
      <c r="X65" s="125"/>
      <c r="Y65" s="125"/>
      <c r="Z65" s="125"/>
      <c r="AA65" s="125"/>
      <c r="AB65" s="125"/>
      <c r="AC65" s="125"/>
      <c r="AD65" s="125"/>
    </row>
    <row r="66">
      <c r="A66" s="124"/>
      <c r="B66" s="125"/>
      <c r="C66" s="125"/>
      <c r="D66" s="125"/>
      <c r="E66" s="125"/>
      <c r="F66" s="125"/>
      <c r="G66" s="125"/>
      <c r="H66" s="125"/>
      <c r="I66" s="125"/>
      <c r="J66" s="125"/>
      <c r="K66" s="125"/>
      <c r="L66" s="125"/>
      <c r="M66" s="125"/>
      <c r="N66" s="125"/>
      <c r="O66" s="125"/>
      <c r="P66" s="125"/>
      <c r="Q66" s="125"/>
      <c r="R66" s="125"/>
      <c r="S66" s="125"/>
      <c r="T66" s="125"/>
      <c r="U66" s="125"/>
      <c r="V66" s="125"/>
      <c r="W66" s="125"/>
      <c r="X66" s="125"/>
      <c r="Y66" s="125"/>
      <c r="Z66" s="125"/>
      <c r="AA66" s="125"/>
      <c r="AB66" s="125"/>
      <c r="AC66" s="125"/>
      <c r="AD66" s="125"/>
    </row>
    <row r="67">
      <c r="A67" s="124"/>
      <c r="B67" s="125"/>
      <c r="C67" s="125"/>
      <c r="D67" s="125"/>
      <c r="E67" s="125"/>
      <c r="F67" s="125"/>
      <c r="G67" s="125"/>
      <c r="H67" s="125"/>
      <c r="I67" s="125"/>
      <c r="J67" s="125"/>
      <c r="K67" s="125"/>
      <c r="L67" s="125"/>
      <c r="M67" s="125"/>
      <c r="N67" s="125"/>
      <c r="O67" s="125"/>
      <c r="P67" s="125"/>
      <c r="Q67" s="125"/>
      <c r="R67" s="125"/>
      <c r="S67" s="125"/>
      <c r="T67" s="125"/>
      <c r="U67" s="125"/>
      <c r="V67" s="125"/>
      <c r="W67" s="125"/>
      <c r="X67" s="125"/>
      <c r="Y67" s="125"/>
      <c r="Z67" s="125"/>
      <c r="AA67" s="125"/>
      <c r="AB67" s="125"/>
      <c r="AC67" s="125"/>
      <c r="AD67" s="125"/>
    </row>
    <row r="68">
      <c r="A68" s="124"/>
      <c r="B68" s="125"/>
      <c r="C68" s="125"/>
      <c r="D68" s="125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125"/>
      <c r="Q68" s="125"/>
      <c r="R68" s="125"/>
      <c r="S68" s="125"/>
      <c r="T68" s="125"/>
      <c r="U68" s="125"/>
      <c r="V68" s="125"/>
      <c r="W68" s="125"/>
      <c r="X68" s="125"/>
      <c r="Y68" s="125"/>
      <c r="Z68" s="125"/>
      <c r="AA68" s="125"/>
      <c r="AB68" s="125"/>
      <c r="AC68" s="125"/>
      <c r="AD68" s="125"/>
    </row>
    <row r="69">
      <c r="A69" s="124"/>
      <c r="B69" s="125"/>
      <c r="C69" s="125"/>
      <c r="D69" s="125"/>
      <c r="E69" s="125"/>
      <c r="F69" s="125"/>
      <c r="G69" s="125"/>
      <c r="H69" s="125"/>
      <c r="I69" s="125"/>
      <c r="J69" s="125"/>
      <c r="K69" s="125"/>
      <c r="L69" s="125"/>
      <c r="M69" s="125"/>
      <c r="N69" s="125"/>
      <c r="O69" s="125"/>
      <c r="P69" s="125"/>
      <c r="Q69" s="125"/>
      <c r="R69" s="125"/>
      <c r="S69" s="125"/>
      <c r="T69" s="125"/>
      <c r="U69" s="125"/>
      <c r="V69" s="125"/>
      <c r="W69" s="125"/>
      <c r="X69" s="125"/>
      <c r="Y69" s="125"/>
      <c r="Z69" s="125"/>
      <c r="AA69" s="125"/>
      <c r="AB69" s="125"/>
      <c r="AC69" s="125"/>
      <c r="AD69" s="125"/>
    </row>
    <row r="70">
      <c r="A70" s="124"/>
      <c r="B70" s="125"/>
      <c r="C70" s="125"/>
      <c r="D70" s="125"/>
      <c r="E70" s="125"/>
      <c r="F70" s="125"/>
      <c r="G70" s="125"/>
      <c r="H70" s="125"/>
      <c r="I70" s="125"/>
      <c r="J70" s="125"/>
      <c r="K70" s="125"/>
      <c r="L70" s="125"/>
      <c r="M70" s="125"/>
      <c r="N70" s="125"/>
      <c r="O70" s="125"/>
      <c r="P70" s="125"/>
      <c r="Q70" s="125"/>
      <c r="R70" s="125"/>
      <c r="S70" s="125"/>
      <c r="T70" s="125"/>
      <c r="U70" s="125"/>
      <c r="V70" s="125"/>
      <c r="W70" s="125"/>
      <c r="X70" s="125"/>
      <c r="Y70" s="125"/>
      <c r="Z70" s="125"/>
      <c r="AA70" s="125"/>
      <c r="AB70" s="125"/>
      <c r="AC70" s="125"/>
      <c r="AD70" s="125"/>
    </row>
    <row r="71">
      <c r="A71" s="124"/>
      <c r="B71" s="125"/>
      <c r="C71" s="125"/>
      <c r="D71" s="125"/>
      <c r="E71" s="125"/>
      <c r="F71" s="125"/>
      <c r="G71" s="125"/>
      <c r="H71" s="125"/>
      <c r="I71" s="125"/>
      <c r="J71" s="125"/>
      <c r="K71" s="125"/>
      <c r="L71" s="125"/>
      <c r="M71" s="125"/>
      <c r="N71" s="125"/>
      <c r="O71" s="125"/>
      <c r="P71" s="125"/>
      <c r="Q71" s="125"/>
      <c r="R71" s="125"/>
      <c r="S71" s="125"/>
      <c r="T71" s="125"/>
      <c r="U71" s="125"/>
      <c r="V71" s="125"/>
      <c r="W71" s="125"/>
      <c r="X71" s="125"/>
      <c r="Y71" s="125"/>
      <c r="Z71" s="125"/>
      <c r="AA71" s="125"/>
      <c r="AB71" s="125"/>
      <c r="AC71" s="125"/>
      <c r="AD71" s="125"/>
    </row>
    <row r="72">
      <c r="A72" s="124"/>
      <c r="B72" s="125"/>
      <c r="C72" s="125"/>
      <c r="D72" s="125"/>
      <c r="E72" s="125"/>
      <c r="F72" s="125"/>
      <c r="G72" s="125"/>
      <c r="H72" s="125"/>
      <c r="I72" s="125"/>
      <c r="J72" s="125"/>
      <c r="K72" s="125"/>
      <c r="L72" s="125"/>
      <c r="M72" s="125"/>
      <c r="N72" s="125"/>
      <c r="O72" s="125"/>
      <c r="P72" s="125"/>
      <c r="Q72" s="125"/>
      <c r="R72" s="125"/>
      <c r="S72" s="125"/>
      <c r="T72" s="125"/>
      <c r="U72" s="125"/>
      <c r="V72" s="125"/>
      <c r="W72" s="125"/>
      <c r="X72" s="125"/>
      <c r="Y72" s="125"/>
      <c r="Z72" s="125"/>
      <c r="AA72" s="125"/>
      <c r="AB72" s="125"/>
      <c r="AC72" s="125"/>
      <c r="AD72" s="125"/>
    </row>
    <row r="73">
      <c r="A73" s="124"/>
      <c r="B73" s="125"/>
      <c r="C73" s="125"/>
      <c r="D73" s="125"/>
      <c r="E73" s="125"/>
      <c r="F73" s="125"/>
      <c r="G73" s="125"/>
      <c r="H73" s="125"/>
      <c r="I73" s="125"/>
      <c r="J73" s="125"/>
      <c r="K73" s="125"/>
      <c r="L73" s="125"/>
      <c r="M73" s="125"/>
      <c r="N73" s="125"/>
      <c r="O73" s="125"/>
      <c r="P73" s="125"/>
      <c r="Q73" s="125"/>
      <c r="R73" s="125"/>
      <c r="S73" s="125"/>
      <c r="T73" s="125"/>
      <c r="U73" s="125"/>
      <c r="V73" s="125"/>
      <c r="W73" s="125"/>
      <c r="X73" s="125"/>
      <c r="Y73" s="125"/>
      <c r="Z73" s="125"/>
      <c r="AA73" s="125"/>
      <c r="AB73" s="125"/>
      <c r="AC73" s="125"/>
      <c r="AD73" s="125"/>
    </row>
    <row r="74">
      <c r="A74" s="124"/>
      <c r="B74" s="125"/>
      <c r="C74" s="125"/>
      <c r="D74" s="125"/>
      <c r="E74" s="125"/>
      <c r="F74" s="125"/>
      <c r="G74" s="125"/>
      <c r="H74" s="125"/>
      <c r="I74" s="125"/>
      <c r="J74" s="125"/>
      <c r="K74" s="125"/>
      <c r="L74" s="125"/>
      <c r="M74" s="125"/>
      <c r="N74" s="125"/>
      <c r="O74" s="125"/>
      <c r="P74" s="125"/>
      <c r="Q74" s="125"/>
      <c r="R74" s="125"/>
      <c r="S74" s="125"/>
      <c r="T74" s="125"/>
      <c r="U74" s="125"/>
      <c r="V74" s="125"/>
      <c r="W74" s="125"/>
      <c r="X74" s="125"/>
      <c r="Y74" s="125"/>
      <c r="Z74" s="125"/>
      <c r="AA74" s="125"/>
      <c r="AB74" s="125"/>
      <c r="AC74" s="125"/>
      <c r="AD74" s="125"/>
    </row>
    <row r="75">
      <c r="A75" s="124"/>
      <c r="B75" s="125"/>
      <c r="C75" s="125"/>
      <c r="D75" s="125"/>
      <c r="E75" s="125"/>
      <c r="F75" s="125"/>
      <c r="G75" s="125"/>
      <c r="H75" s="125"/>
      <c r="I75" s="125"/>
      <c r="J75" s="125"/>
      <c r="K75" s="125"/>
      <c r="L75" s="125"/>
      <c r="M75" s="125"/>
      <c r="N75" s="125"/>
      <c r="O75" s="125"/>
      <c r="P75" s="125"/>
      <c r="Q75" s="125"/>
      <c r="R75" s="125"/>
      <c r="S75" s="125"/>
      <c r="T75" s="125"/>
      <c r="U75" s="125"/>
      <c r="V75" s="125"/>
      <c r="W75" s="125"/>
      <c r="X75" s="125"/>
      <c r="Y75" s="125"/>
      <c r="Z75" s="125"/>
      <c r="AA75" s="125"/>
      <c r="AB75" s="125"/>
      <c r="AC75" s="125"/>
      <c r="AD75" s="125"/>
    </row>
    <row r="76">
      <c r="A76" s="124"/>
      <c r="B76" s="125"/>
      <c r="C76" s="125"/>
      <c r="D76" s="125"/>
      <c r="E76" s="125"/>
      <c r="F76" s="125"/>
      <c r="G76" s="125"/>
      <c r="H76" s="125"/>
      <c r="I76" s="125"/>
      <c r="J76" s="125"/>
      <c r="K76" s="125"/>
      <c r="L76" s="125"/>
      <c r="M76" s="125"/>
      <c r="N76" s="125"/>
      <c r="O76" s="125"/>
      <c r="P76" s="125"/>
      <c r="Q76" s="125"/>
      <c r="R76" s="125"/>
      <c r="S76" s="125"/>
      <c r="T76" s="125"/>
      <c r="U76" s="125"/>
      <c r="V76" s="125"/>
      <c r="W76" s="125"/>
      <c r="X76" s="125"/>
      <c r="Y76" s="125"/>
      <c r="Z76" s="125"/>
      <c r="AA76" s="125"/>
      <c r="AB76" s="125"/>
      <c r="AC76" s="125"/>
      <c r="AD76" s="125"/>
    </row>
    <row r="77">
      <c r="A77" s="124"/>
      <c r="B77" s="125"/>
      <c r="C77" s="125"/>
      <c r="D77" s="125"/>
      <c r="E77" s="125"/>
      <c r="F77" s="125"/>
      <c r="G77" s="125"/>
      <c r="H77" s="125"/>
      <c r="I77" s="125"/>
      <c r="J77" s="125"/>
      <c r="K77" s="125"/>
      <c r="L77" s="125"/>
      <c r="M77" s="125"/>
      <c r="N77" s="125"/>
      <c r="O77" s="125"/>
      <c r="P77" s="125"/>
      <c r="Q77" s="125"/>
      <c r="R77" s="125"/>
      <c r="S77" s="125"/>
      <c r="T77" s="125"/>
      <c r="U77" s="125"/>
      <c r="V77" s="125"/>
      <c r="W77" s="125"/>
      <c r="X77" s="125"/>
      <c r="Y77" s="125"/>
      <c r="Z77" s="125"/>
      <c r="AA77" s="125"/>
      <c r="AB77" s="125"/>
      <c r="AC77" s="125"/>
      <c r="AD77" s="125"/>
    </row>
    <row r="78">
      <c r="A78" s="124"/>
      <c r="B78" s="125"/>
      <c r="C78" s="125"/>
      <c r="D78" s="125"/>
      <c r="E78" s="125"/>
      <c r="F78" s="125"/>
      <c r="G78" s="125"/>
      <c r="H78" s="125"/>
      <c r="I78" s="125"/>
      <c r="J78" s="125"/>
      <c r="K78" s="125"/>
      <c r="L78" s="125"/>
      <c r="M78" s="125"/>
      <c r="N78" s="125"/>
      <c r="O78" s="125"/>
      <c r="P78" s="125"/>
      <c r="Q78" s="125"/>
      <c r="R78" s="125"/>
      <c r="S78" s="125"/>
      <c r="T78" s="125"/>
      <c r="U78" s="125"/>
      <c r="V78" s="125"/>
      <c r="W78" s="125"/>
      <c r="X78" s="125"/>
      <c r="Y78" s="125"/>
      <c r="Z78" s="125"/>
      <c r="AA78" s="125"/>
      <c r="AB78" s="125"/>
      <c r="AC78" s="125"/>
      <c r="AD78" s="125"/>
    </row>
    <row r="79">
      <c r="A79" s="124"/>
      <c r="B79" s="125"/>
      <c r="C79" s="125"/>
      <c r="D79" s="125"/>
      <c r="E79" s="125"/>
      <c r="F79" s="125"/>
      <c r="G79" s="125"/>
      <c r="H79" s="125"/>
      <c r="I79" s="125"/>
      <c r="J79" s="125"/>
      <c r="K79" s="125"/>
      <c r="L79" s="125"/>
      <c r="M79" s="125"/>
      <c r="N79" s="125"/>
      <c r="O79" s="125"/>
      <c r="P79" s="125"/>
      <c r="Q79" s="125"/>
      <c r="R79" s="125"/>
      <c r="S79" s="125"/>
      <c r="T79" s="125"/>
      <c r="U79" s="125"/>
      <c r="V79" s="125"/>
      <c r="W79" s="125"/>
      <c r="X79" s="125"/>
      <c r="Y79" s="125"/>
      <c r="Z79" s="125"/>
      <c r="AA79" s="125"/>
      <c r="AB79" s="125"/>
      <c r="AC79" s="125"/>
      <c r="AD79" s="125"/>
    </row>
    <row r="80">
      <c r="A80" s="124"/>
      <c r="B80" s="125"/>
      <c r="C80" s="125"/>
      <c r="D80" s="125"/>
      <c r="E80" s="125"/>
      <c r="F80" s="125"/>
      <c r="G80" s="125"/>
      <c r="H80" s="125"/>
      <c r="I80" s="125"/>
      <c r="J80" s="125"/>
      <c r="K80" s="125"/>
      <c r="L80" s="125"/>
      <c r="M80" s="125"/>
      <c r="N80" s="125"/>
      <c r="O80" s="125"/>
      <c r="P80" s="125"/>
      <c r="Q80" s="125"/>
      <c r="R80" s="125"/>
      <c r="S80" s="125"/>
      <c r="T80" s="125"/>
      <c r="U80" s="125"/>
      <c r="V80" s="125"/>
      <c r="W80" s="125"/>
      <c r="X80" s="125"/>
      <c r="Y80" s="125"/>
      <c r="Z80" s="125"/>
      <c r="AA80" s="125"/>
      <c r="AB80" s="125"/>
      <c r="AC80" s="125"/>
      <c r="AD80" s="125"/>
    </row>
    <row r="81">
      <c r="A81" s="124"/>
      <c r="B81" s="125"/>
      <c r="C81" s="125"/>
      <c r="D81" s="125"/>
      <c r="E81" s="125"/>
      <c r="F81" s="125"/>
      <c r="G81" s="125"/>
      <c r="H81" s="125"/>
      <c r="I81" s="125"/>
      <c r="J81" s="125"/>
      <c r="K81" s="125"/>
      <c r="L81" s="125"/>
      <c r="M81" s="125"/>
      <c r="N81" s="125"/>
      <c r="O81" s="125"/>
      <c r="P81" s="125"/>
      <c r="Q81" s="125"/>
      <c r="R81" s="125"/>
      <c r="S81" s="125"/>
      <c r="T81" s="125"/>
      <c r="U81" s="125"/>
      <c r="V81" s="125"/>
      <c r="W81" s="125"/>
      <c r="X81" s="125"/>
      <c r="Y81" s="125"/>
      <c r="Z81" s="125"/>
      <c r="AA81" s="125"/>
      <c r="AB81" s="125"/>
      <c r="AC81" s="125"/>
      <c r="AD81" s="125"/>
    </row>
    <row r="82">
      <c r="A82" s="124"/>
      <c r="B82" s="125"/>
      <c r="C82" s="125"/>
      <c r="D82" s="125"/>
      <c r="E82" s="125"/>
      <c r="F82" s="125"/>
      <c r="G82" s="125"/>
      <c r="H82" s="125"/>
      <c r="I82" s="125"/>
      <c r="J82" s="125"/>
      <c r="K82" s="125"/>
      <c r="L82" s="125"/>
      <c r="M82" s="125"/>
      <c r="N82" s="125"/>
      <c r="O82" s="125"/>
      <c r="P82" s="125"/>
      <c r="Q82" s="125"/>
      <c r="R82" s="125"/>
      <c r="S82" s="125"/>
      <c r="T82" s="125"/>
      <c r="U82" s="125"/>
      <c r="V82" s="125"/>
      <c r="W82" s="125"/>
      <c r="X82" s="125"/>
      <c r="Y82" s="125"/>
      <c r="Z82" s="125"/>
      <c r="AA82" s="125"/>
      <c r="AB82" s="125"/>
      <c r="AC82" s="125"/>
      <c r="AD82" s="125"/>
    </row>
    <row r="83">
      <c r="A83" s="124"/>
      <c r="B83" s="125"/>
      <c r="C83" s="125"/>
      <c r="D83" s="125"/>
      <c r="E83" s="125"/>
      <c r="F83" s="125"/>
      <c r="G83" s="125"/>
      <c r="H83" s="125"/>
      <c r="I83" s="125"/>
      <c r="J83" s="125"/>
      <c r="K83" s="125"/>
      <c r="L83" s="125"/>
      <c r="M83" s="125"/>
      <c r="N83" s="125"/>
      <c r="O83" s="125"/>
      <c r="P83" s="125"/>
      <c r="Q83" s="125"/>
      <c r="R83" s="125"/>
      <c r="S83" s="125"/>
      <c r="T83" s="125"/>
      <c r="U83" s="125"/>
      <c r="V83" s="125"/>
      <c r="W83" s="125"/>
      <c r="X83" s="125"/>
      <c r="Y83" s="125"/>
      <c r="Z83" s="125"/>
      <c r="AA83" s="125"/>
      <c r="AB83" s="125"/>
      <c r="AC83" s="125"/>
      <c r="AD83" s="125"/>
    </row>
    <row r="84">
      <c r="A84" s="124"/>
      <c r="B84" s="125"/>
      <c r="C84" s="125"/>
      <c r="D84" s="125"/>
      <c r="E84" s="125"/>
      <c r="F84" s="125"/>
      <c r="G84" s="125"/>
      <c r="H84" s="125"/>
      <c r="I84" s="125"/>
      <c r="J84" s="125"/>
      <c r="K84" s="125"/>
      <c r="L84" s="125"/>
      <c r="M84" s="125"/>
      <c r="N84" s="125"/>
      <c r="O84" s="125"/>
      <c r="P84" s="125"/>
      <c r="Q84" s="125"/>
      <c r="R84" s="125"/>
      <c r="S84" s="125"/>
      <c r="T84" s="125"/>
      <c r="U84" s="125"/>
      <c r="V84" s="125"/>
      <c r="W84" s="125"/>
      <c r="X84" s="125"/>
      <c r="Y84" s="125"/>
      <c r="Z84" s="125"/>
      <c r="AA84" s="125"/>
      <c r="AB84" s="125"/>
      <c r="AC84" s="125"/>
      <c r="AD84" s="125"/>
    </row>
    <row r="85">
      <c r="A85" s="124"/>
      <c r="B85" s="125"/>
      <c r="C85" s="125"/>
      <c r="D85" s="125"/>
      <c r="E85" s="125"/>
      <c r="F85" s="125"/>
      <c r="G85" s="125"/>
      <c r="H85" s="125"/>
      <c r="I85" s="125"/>
      <c r="J85" s="125"/>
      <c r="K85" s="125"/>
      <c r="L85" s="125"/>
      <c r="M85" s="125"/>
      <c r="N85" s="125"/>
      <c r="O85" s="125"/>
      <c r="P85" s="125"/>
      <c r="Q85" s="125"/>
      <c r="R85" s="125"/>
      <c r="S85" s="125"/>
      <c r="T85" s="125"/>
      <c r="U85" s="125"/>
      <c r="V85" s="125"/>
      <c r="W85" s="125"/>
      <c r="X85" s="125"/>
      <c r="Y85" s="125"/>
      <c r="Z85" s="125"/>
      <c r="AA85" s="125"/>
      <c r="AB85" s="125"/>
      <c r="AC85" s="125"/>
      <c r="AD85" s="125"/>
    </row>
    <row r="86">
      <c r="A86" s="124"/>
      <c r="B86" s="125"/>
      <c r="C86" s="125"/>
      <c r="D86" s="125"/>
      <c r="E86" s="125"/>
      <c r="F86" s="125"/>
      <c r="G86" s="125"/>
      <c r="H86" s="125"/>
      <c r="I86" s="125"/>
      <c r="J86" s="125"/>
      <c r="K86" s="125"/>
      <c r="L86" s="125"/>
      <c r="M86" s="125"/>
      <c r="N86" s="125"/>
      <c r="O86" s="125"/>
      <c r="P86" s="125"/>
      <c r="Q86" s="125"/>
      <c r="R86" s="125"/>
      <c r="S86" s="125"/>
      <c r="T86" s="125"/>
      <c r="U86" s="125"/>
      <c r="V86" s="125"/>
      <c r="W86" s="125"/>
      <c r="X86" s="125"/>
      <c r="Y86" s="125"/>
      <c r="Z86" s="125"/>
      <c r="AA86" s="125"/>
      <c r="AB86" s="125"/>
      <c r="AC86" s="125"/>
      <c r="AD86" s="125"/>
    </row>
    <row r="87">
      <c r="A87" s="124"/>
      <c r="B87" s="125"/>
      <c r="C87" s="125"/>
      <c r="D87" s="125"/>
      <c r="E87" s="125"/>
      <c r="F87" s="125"/>
      <c r="G87" s="125"/>
      <c r="H87" s="125"/>
      <c r="I87" s="125"/>
      <c r="J87" s="125"/>
      <c r="K87" s="125"/>
      <c r="L87" s="125"/>
      <c r="M87" s="125"/>
      <c r="N87" s="125"/>
      <c r="O87" s="125"/>
      <c r="P87" s="125"/>
      <c r="Q87" s="125"/>
      <c r="R87" s="125"/>
      <c r="S87" s="125"/>
      <c r="T87" s="125"/>
      <c r="U87" s="125"/>
      <c r="V87" s="125"/>
      <c r="W87" s="125"/>
      <c r="X87" s="125"/>
      <c r="Y87" s="125"/>
      <c r="Z87" s="125"/>
      <c r="AA87" s="125"/>
      <c r="AB87" s="125"/>
      <c r="AC87" s="125"/>
      <c r="AD87" s="125"/>
    </row>
    <row r="88">
      <c r="A88" s="124"/>
      <c r="B88" s="125"/>
      <c r="C88" s="125"/>
      <c r="D88" s="125"/>
      <c r="E88" s="125"/>
      <c r="F88" s="125"/>
      <c r="G88" s="125"/>
      <c r="H88" s="125"/>
      <c r="I88" s="125"/>
      <c r="J88" s="125"/>
      <c r="K88" s="125"/>
      <c r="L88" s="125"/>
      <c r="M88" s="125"/>
      <c r="N88" s="125"/>
      <c r="O88" s="125"/>
      <c r="P88" s="125"/>
      <c r="Q88" s="125"/>
      <c r="R88" s="125"/>
      <c r="S88" s="125"/>
      <c r="T88" s="125"/>
      <c r="U88" s="125"/>
      <c r="V88" s="125"/>
      <c r="W88" s="125"/>
      <c r="X88" s="125"/>
      <c r="Y88" s="125"/>
      <c r="Z88" s="125"/>
      <c r="AA88" s="125"/>
      <c r="AB88" s="125"/>
      <c r="AC88" s="125"/>
      <c r="AD88" s="125"/>
    </row>
    <row r="89">
      <c r="A89" s="124"/>
      <c r="B89" s="125"/>
      <c r="C89" s="125"/>
      <c r="D89" s="125"/>
      <c r="E89" s="125"/>
      <c r="F89" s="125"/>
      <c r="G89" s="125"/>
      <c r="H89" s="125"/>
      <c r="I89" s="125"/>
      <c r="J89" s="125"/>
      <c r="K89" s="125"/>
      <c r="L89" s="125"/>
      <c r="M89" s="125"/>
      <c r="N89" s="125"/>
      <c r="O89" s="125"/>
      <c r="P89" s="125"/>
      <c r="Q89" s="125"/>
      <c r="R89" s="125"/>
      <c r="S89" s="125"/>
      <c r="T89" s="125"/>
      <c r="U89" s="125"/>
      <c r="V89" s="125"/>
      <c r="W89" s="125"/>
      <c r="X89" s="125"/>
      <c r="Y89" s="125"/>
      <c r="Z89" s="125"/>
      <c r="AA89" s="125"/>
      <c r="AB89" s="125"/>
      <c r="AC89" s="125"/>
      <c r="AD89" s="125"/>
    </row>
    <row r="90">
      <c r="A90" s="124"/>
      <c r="B90" s="125"/>
      <c r="C90" s="125"/>
      <c r="D90" s="125"/>
      <c r="E90" s="125"/>
      <c r="F90" s="125"/>
      <c r="G90" s="125"/>
      <c r="H90" s="125"/>
      <c r="I90" s="125"/>
      <c r="J90" s="125"/>
      <c r="K90" s="125"/>
      <c r="L90" s="125"/>
      <c r="M90" s="125"/>
      <c r="N90" s="125"/>
      <c r="O90" s="125"/>
      <c r="P90" s="125"/>
      <c r="Q90" s="125"/>
      <c r="R90" s="125"/>
      <c r="S90" s="125"/>
      <c r="T90" s="125"/>
      <c r="U90" s="125"/>
      <c r="V90" s="125"/>
      <c r="W90" s="125"/>
      <c r="X90" s="125"/>
      <c r="Y90" s="125"/>
      <c r="Z90" s="125"/>
      <c r="AA90" s="125"/>
      <c r="AB90" s="125"/>
      <c r="AC90" s="125"/>
      <c r="AD90" s="125"/>
    </row>
    <row r="91">
      <c r="A91" s="124"/>
      <c r="B91" s="125"/>
      <c r="C91" s="125"/>
      <c r="D91" s="125"/>
      <c r="E91" s="125"/>
      <c r="F91" s="125"/>
      <c r="G91" s="125"/>
      <c r="H91" s="125"/>
      <c r="I91" s="125"/>
      <c r="J91" s="125"/>
      <c r="K91" s="125"/>
      <c r="L91" s="125"/>
      <c r="M91" s="125"/>
      <c r="N91" s="125"/>
      <c r="O91" s="125"/>
      <c r="P91" s="125"/>
      <c r="Q91" s="125"/>
      <c r="R91" s="125"/>
      <c r="S91" s="125"/>
      <c r="T91" s="125"/>
      <c r="U91" s="125"/>
      <c r="V91" s="125"/>
      <c r="W91" s="125"/>
      <c r="X91" s="125"/>
      <c r="Y91" s="125"/>
      <c r="Z91" s="125"/>
      <c r="AA91" s="125"/>
      <c r="AB91" s="125"/>
      <c r="AC91" s="125"/>
      <c r="AD91" s="125"/>
    </row>
    <row r="92">
      <c r="A92" s="124"/>
      <c r="B92" s="125"/>
      <c r="C92" s="125"/>
      <c r="D92" s="125"/>
      <c r="E92" s="125"/>
      <c r="F92" s="125"/>
      <c r="G92" s="125"/>
      <c r="H92" s="125"/>
      <c r="I92" s="125"/>
      <c r="J92" s="125"/>
      <c r="K92" s="125"/>
      <c r="L92" s="125"/>
      <c r="M92" s="125"/>
      <c r="N92" s="125"/>
      <c r="O92" s="125"/>
      <c r="P92" s="125"/>
      <c r="Q92" s="125"/>
      <c r="R92" s="125"/>
      <c r="S92" s="125"/>
      <c r="T92" s="125"/>
      <c r="U92" s="125"/>
      <c r="V92" s="125"/>
      <c r="W92" s="125"/>
      <c r="X92" s="125"/>
      <c r="Y92" s="125"/>
      <c r="Z92" s="125"/>
      <c r="AA92" s="125"/>
      <c r="AB92" s="125"/>
      <c r="AC92" s="125"/>
      <c r="AD92" s="125"/>
    </row>
    <row r="93">
      <c r="A93" s="124"/>
      <c r="B93" s="125"/>
      <c r="C93" s="125"/>
      <c r="D93" s="125"/>
      <c r="E93" s="125"/>
      <c r="F93" s="125"/>
      <c r="G93" s="125"/>
      <c r="H93" s="125"/>
      <c r="I93" s="125"/>
      <c r="J93" s="125"/>
      <c r="K93" s="125"/>
      <c r="L93" s="125"/>
      <c r="M93" s="125"/>
      <c r="N93" s="125"/>
      <c r="O93" s="125"/>
      <c r="P93" s="125"/>
      <c r="Q93" s="125"/>
      <c r="R93" s="125"/>
      <c r="S93" s="125"/>
      <c r="T93" s="125"/>
      <c r="U93" s="125"/>
      <c r="V93" s="125"/>
      <c r="W93" s="125"/>
      <c r="X93" s="125"/>
      <c r="Y93" s="125"/>
      <c r="Z93" s="125"/>
      <c r="AA93" s="125"/>
      <c r="AB93" s="125"/>
      <c r="AC93" s="125"/>
      <c r="AD93" s="125"/>
    </row>
    <row r="94">
      <c r="A94" s="124"/>
      <c r="B94" s="125"/>
      <c r="C94" s="125"/>
      <c r="D94" s="125"/>
      <c r="E94" s="125"/>
      <c r="F94" s="125"/>
      <c r="G94" s="125"/>
      <c r="H94" s="125"/>
      <c r="I94" s="125"/>
      <c r="J94" s="125"/>
      <c r="K94" s="125"/>
      <c r="L94" s="125"/>
      <c r="M94" s="125"/>
      <c r="N94" s="125"/>
      <c r="O94" s="125"/>
      <c r="P94" s="125"/>
      <c r="Q94" s="125"/>
      <c r="R94" s="125"/>
      <c r="S94" s="125"/>
      <c r="T94" s="125"/>
      <c r="U94" s="125"/>
      <c r="V94" s="125"/>
      <c r="W94" s="125"/>
      <c r="X94" s="125"/>
      <c r="Y94" s="125"/>
      <c r="Z94" s="125"/>
      <c r="AA94" s="125"/>
      <c r="AB94" s="125"/>
      <c r="AC94" s="125"/>
      <c r="AD94" s="125"/>
    </row>
    <row r="95">
      <c r="A95" s="124"/>
      <c r="B95" s="125"/>
      <c r="C95" s="125"/>
      <c r="D95" s="125"/>
      <c r="E95" s="125"/>
      <c r="F95" s="125"/>
      <c r="G95" s="125"/>
      <c r="H95" s="125"/>
      <c r="I95" s="125"/>
      <c r="J95" s="125"/>
      <c r="K95" s="125"/>
      <c r="L95" s="125"/>
      <c r="M95" s="125"/>
      <c r="N95" s="125"/>
      <c r="O95" s="125"/>
      <c r="P95" s="125"/>
      <c r="Q95" s="125"/>
      <c r="R95" s="125"/>
      <c r="S95" s="125"/>
      <c r="T95" s="125"/>
      <c r="U95" s="125"/>
      <c r="V95" s="125"/>
      <c r="W95" s="125"/>
      <c r="X95" s="125"/>
      <c r="Y95" s="125"/>
      <c r="Z95" s="125"/>
      <c r="AA95" s="125"/>
      <c r="AB95" s="125"/>
      <c r="AC95" s="125"/>
      <c r="AD95" s="125"/>
    </row>
    <row r="96">
      <c r="A96" s="124"/>
      <c r="B96" s="125"/>
      <c r="C96" s="125"/>
      <c r="D96" s="125"/>
      <c r="E96" s="125"/>
      <c r="F96" s="125"/>
      <c r="G96" s="125"/>
      <c r="H96" s="125"/>
      <c r="I96" s="125"/>
      <c r="J96" s="125"/>
      <c r="K96" s="125"/>
      <c r="L96" s="125"/>
      <c r="M96" s="125"/>
      <c r="N96" s="125"/>
      <c r="O96" s="125"/>
      <c r="P96" s="125"/>
      <c r="Q96" s="125"/>
      <c r="R96" s="125"/>
      <c r="S96" s="125"/>
      <c r="T96" s="125"/>
      <c r="U96" s="125"/>
      <c r="V96" s="125"/>
      <c r="W96" s="125"/>
      <c r="X96" s="125"/>
      <c r="Y96" s="125"/>
      <c r="Z96" s="125"/>
      <c r="AA96" s="125"/>
      <c r="AB96" s="125"/>
      <c r="AC96" s="125"/>
      <c r="AD96" s="125"/>
    </row>
    <row r="97">
      <c r="A97" s="124"/>
      <c r="B97" s="125"/>
      <c r="C97" s="125"/>
      <c r="D97" s="125"/>
      <c r="E97" s="125"/>
      <c r="F97" s="125"/>
      <c r="G97" s="125"/>
      <c r="H97" s="125"/>
      <c r="I97" s="125"/>
      <c r="J97" s="125"/>
      <c r="K97" s="125"/>
      <c r="L97" s="125"/>
      <c r="M97" s="125"/>
      <c r="N97" s="125"/>
      <c r="O97" s="125"/>
      <c r="P97" s="125"/>
      <c r="Q97" s="125"/>
      <c r="R97" s="125"/>
      <c r="S97" s="125"/>
      <c r="T97" s="125"/>
      <c r="U97" s="125"/>
      <c r="V97" s="125"/>
      <c r="W97" s="125"/>
      <c r="X97" s="125"/>
      <c r="Y97" s="125"/>
      <c r="Z97" s="125"/>
      <c r="AA97" s="125"/>
      <c r="AB97" s="125"/>
      <c r="AC97" s="125"/>
      <c r="AD97" s="125"/>
    </row>
    <row r="98">
      <c r="A98" s="124"/>
      <c r="B98" s="125"/>
      <c r="C98" s="125"/>
      <c r="D98" s="125"/>
      <c r="E98" s="125"/>
      <c r="F98" s="125"/>
      <c r="G98" s="125"/>
      <c r="H98" s="125"/>
      <c r="I98" s="125"/>
      <c r="J98" s="125"/>
      <c r="K98" s="125"/>
      <c r="L98" s="125"/>
      <c r="M98" s="125"/>
      <c r="N98" s="125"/>
      <c r="O98" s="125"/>
      <c r="P98" s="125"/>
      <c r="Q98" s="125"/>
      <c r="R98" s="125"/>
      <c r="S98" s="125"/>
      <c r="T98" s="125"/>
      <c r="U98" s="125"/>
      <c r="V98" s="125"/>
      <c r="W98" s="125"/>
      <c r="X98" s="125"/>
      <c r="Y98" s="125"/>
      <c r="Z98" s="125"/>
      <c r="AA98" s="125"/>
      <c r="AB98" s="125"/>
      <c r="AC98" s="125"/>
      <c r="AD98" s="125"/>
    </row>
    <row r="99">
      <c r="A99" s="124"/>
      <c r="B99" s="125"/>
      <c r="C99" s="125"/>
      <c r="D99" s="125"/>
      <c r="E99" s="125"/>
      <c r="F99" s="125"/>
      <c r="G99" s="125"/>
      <c r="H99" s="125"/>
      <c r="I99" s="125"/>
      <c r="J99" s="125"/>
      <c r="K99" s="125"/>
      <c r="L99" s="125"/>
      <c r="M99" s="125"/>
      <c r="N99" s="125"/>
      <c r="O99" s="125"/>
      <c r="P99" s="125"/>
      <c r="Q99" s="125"/>
      <c r="R99" s="125"/>
      <c r="S99" s="125"/>
      <c r="T99" s="125"/>
      <c r="U99" s="125"/>
      <c r="V99" s="125"/>
      <c r="W99" s="125"/>
      <c r="X99" s="125"/>
      <c r="Y99" s="125"/>
      <c r="Z99" s="125"/>
      <c r="AA99" s="125"/>
      <c r="AB99" s="125"/>
      <c r="AC99" s="125"/>
      <c r="AD99" s="125"/>
    </row>
    <row r="100">
      <c r="A100" s="124"/>
      <c r="B100" s="125"/>
      <c r="C100" s="125"/>
      <c r="D100" s="125"/>
      <c r="E100" s="125"/>
      <c r="F100" s="125"/>
      <c r="G100" s="125"/>
      <c r="H100" s="125"/>
      <c r="I100" s="125"/>
      <c r="J100" s="125"/>
      <c r="K100" s="125"/>
      <c r="L100" s="125"/>
      <c r="M100" s="125"/>
      <c r="N100" s="125"/>
      <c r="O100" s="125"/>
      <c r="P100" s="125"/>
      <c r="Q100" s="125"/>
      <c r="R100" s="125"/>
      <c r="S100" s="125"/>
      <c r="T100" s="125"/>
      <c r="U100" s="125"/>
      <c r="V100" s="125"/>
      <c r="W100" s="125"/>
      <c r="X100" s="125"/>
      <c r="Y100" s="125"/>
      <c r="Z100" s="125"/>
      <c r="AA100" s="125"/>
      <c r="AB100" s="125"/>
      <c r="AC100" s="125"/>
      <c r="AD100" s="125"/>
    </row>
    <row r="101">
      <c r="A101" s="124"/>
      <c r="B101" s="125"/>
      <c r="C101" s="125"/>
      <c r="D101" s="125"/>
      <c r="E101" s="125"/>
      <c r="F101" s="125"/>
      <c r="G101" s="125"/>
      <c r="H101" s="125"/>
      <c r="I101" s="125"/>
      <c r="J101" s="125"/>
      <c r="K101" s="125"/>
      <c r="L101" s="125"/>
      <c r="M101" s="125"/>
      <c r="N101" s="125"/>
      <c r="O101" s="125"/>
      <c r="P101" s="125"/>
      <c r="Q101" s="125"/>
      <c r="R101" s="125"/>
      <c r="S101" s="125"/>
      <c r="T101" s="125"/>
      <c r="U101" s="125"/>
      <c r="V101" s="125"/>
      <c r="W101" s="125"/>
      <c r="X101" s="125"/>
      <c r="Y101" s="125"/>
      <c r="Z101" s="125"/>
      <c r="AA101" s="125"/>
      <c r="AB101" s="125"/>
      <c r="AC101" s="125"/>
      <c r="AD101" s="125"/>
    </row>
    <row r="102">
      <c r="A102" s="124"/>
      <c r="B102" s="125"/>
      <c r="C102" s="125"/>
      <c r="D102" s="125"/>
      <c r="E102" s="125"/>
      <c r="F102" s="125"/>
      <c r="G102" s="125"/>
      <c r="H102" s="125"/>
      <c r="I102" s="125"/>
      <c r="J102" s="125"/>
      <c r="K102" s="125"/>
      <c r="L102" s="125"/>
      <c r="M102" s="125"/>
      <c r="N102" s="125"/>
      <c r="O102" s="125"/>
      <c r="P102" s="125"/>
      <c r="Q102" s="125"/>
      <c r="R102" s="125"/>
      <c r="S102" s="125"/>
      <c r="T102" s="125"/>
      <c r="U102" s="125"/>
      <c r="V102" s="125"/>
      <c r="W102" s="125"/>
      <c r="X102" s="125"/>
      <c r="Y102" s="125"/>
      <c r="Z102" s="125"/>
      <c r="AA102" s="125"/>
      <c r="AB102" s="125"/>
      <c r="AC102" s="125"/>
      <c r="AD102" s="125"/>
    </row>
    <row r="103">
      <c r="A103" s="124"/>
      <c r="B103" s="125"/>
      <c r="C103" s="125"/>
      <c r="D103" s="125"/>
      <c r="E103" s="125"/>
      <c r="F103" s="125"/>
      <c r="G103" s="125"/>
      <c r="H103" s="125"/>
      <c r="I103" s="125"/>
      <c r="J103" s="125"/>
      <c r="K103" s="125"/>
      <c r="L103" s="125"/>
      <c r="M103" s="125"/>
      <c r="N103" s="125"/>
      <c r="O103" s="125"/>
      <c r="P103" s="125"/>
      <c r="Q103" s="125"/>
      <c r="R103" s="125"/>
      <c r="S103" s="125"/>
      <c r="T103" s="125"/>
      <c r="U103" s="125"/>
      <c r="V103" s="125"/>
      <c r="W103" s="125"/>
      <c r="X103" s="125"/>
      <c r="Y103" s="125"/>
      <c r="Z103" s="125"/>
      <c r="AA103" s="125"/>
      <c r="AB103" s="125"/>
      <c r="AC103" s="125"/>
      <c r="AD103" s="125"/>
    </row>
    <row r="104">
      <c r="A104" s="124"/>
      <c r="B104" s="125"/>
      <c r="C104" s="125"/>
      <c r="D104" s="125"/>
      <c r="E104" s="125"/>
      <c r="F104" s="125"/>
      <c r="G104" s="125"/>
      <c r="H104" s="125"/>
      <c r="I104" s="125"/>
      <c r="J104" s="125"/>
      <c r="K104" s="125"/>
      <c r="L104" s="125"/>
      <c r="M104" s="125"/>
      <c r="N104" s="125"/>
      <c r="O104" s="125"/>
      <c r="P104" s="125"/>
      <c r="Q104" s="125"/>
      <c r="R104" s="125"/>
      <c r="S104" s="125"/>
      <c r="T104" s="125"/>
      <c r="U104" s="125"/>
      <c r="V104" s="125"/>
      <c r="W104" s="125"/>
      <c r="X104" s="125"/>
      <c r="Y104" s="125"/>
      <c r="Z104" s="125"/>
      <c r="AA104" s="125"/>
      <c r="AB104" s="125"/>
      <c r="AC104" s="125"/>
      <c r="AD104" s="125"/>
    </row>
    <row r="105">
      <c r="A105" s="124"/>
      <c r="B105" s="125"/>
      <c r="C105" s="125"/>
      <c r="D105" s="125"/>
      <c r="E105" s="125"/>
      <c r="F105" s="125"/>
      <c r="G105" s="125"/>
      <c r="H105" s="125"/>
      <c r="I105" s="125"/>
      <c r="J105" s="125"/>
      <c r="K105" s="125"/>
      <c r="L105" s="125"/>
      <c r="M105" s="125"/>
      <c r="N105" s="125"/>
      <c r="O105" s="125"/>
      <c r="P105" s="125"/>
      <c r="Q105" s="125"/>
      <c r="R105" s="125"/>
      <c r="S105" s="125"/>
      <c r="T105" s="125"/>
      <c r="U105" s="125"/>
      <c r="V105" s="125"/>
      <c r="W105" s="125"/>
      <c r="X105" s="125"/>
      <c r="Y105" s="125"/>
      <c r="Z105" s="125"/>
      <c r="AA105" s="125"/>
      <c r="AB105" s="125"/>
      <c r="AC105" s="125"/>
      <c r="AD105" s="125"/>
    </row>
    <row r="106">
      <c r="A106" s="124"/>
      <c r="B106" s="125"/>
      <c r="C106" s="125"/>
      <c r="D106" s="125"/>
      <c r="E106" s="125"/>
      <c r="F106" s="125"/>
      <c r="G106" s="125"/>
      <c r="H106" s="125"/>
      <c r="I106" s="125"/>
      <c r="J106" s="125"/>
      <c r="K106" s="125"/>
      <c r="L106" s="125"/>
      <c r="M106" s="125"/>
      <c r="N106" s="125"/>
      <c r="O106" s="125"/>
      <c r="P106" s="125"/>
      <c r="Q106" s="125"/>
      <c r="R106" s="125"/>
      <c r="S106" s="125"/>
      <c r="T106" s="125"/>
      <c r="U106" s="125"/>
      <c r="V106" s="125"/>
      <c r="W106" s="125"/>
      <c r="X106" s="125"/>
      <c r="Y106" s="125"/>
      <c r="Z106" s="125"/>
      <c r="AA106" s="125"/>
      <c r="AB106" s="125"/>
      <c r="AC106" s="125"/>
      <c r="AD106" s="125"/>
    </row>
    <row r="107">
      <c r="A107" s="124"/>
      <c r="B107" s="125"/>
      <c r="C107" s="125"/>
      <c r="D107" s="125"/>
      <c r="E107" s="125"/>
      <c r="F107" s="125"/>
      <c r="G107" s="125"/>
      <c r="H107" s="125"/>
      <c r="I107" s="125"/>
      <c r="J107" s="125"/>
      <c r="K107" s="125"/>
      <c r="L107" s="125"/>
      <c r="M107" s="125"/>
      <c r="N107" s="125"/>
      <c r="O107" s="125"/>
      <c r="P107" s="125"/>
      <c r="Q107" s="125"/>
      <c r="R107" s="125"/>
      <c r="S107" s="125"/>
      <c r="T107" s="125"/>
      <c r="U107" s="125"/>
      <c r="V107" s="125"/>
      <c r="W107" s="125"/>
      <c r="X107" s="125"/>
      <c r="Y107" s="125"/>
      <c r="Z107" s="125"/>
      <c r="AA107" s="125"/>
      <c r="AB107" s="125"/>
      <c r="AC107" s="125"/>
      <c r="AD107" s="125"/>
    </row>
    <row r="108">
      <c r="A108" s="124"/>
      <c r="B108" s="125"/>
      <c r="C108" s="125"/>
      <c r="D108" s="125"/>
      <c r="E108" s="125"/>
      <c r="F108" s="125"/>
      <c r="G108" s="125"/>
      <c r="H108" s="125"/>
      <c r="I108" s="125"/>
      <c r="J108" s="125"/>
      <c r="K108" s="125"/>
      <c r="L108" s="125"/>
      <c r="M108" s="125"/>
      <c r="N108" s="125"/>
      <c r="O108" s="125"/>
      <c r="P108" s="125"/>
      <c r="Q108" s="125"/>
      <c r="R108" s="125"/>
      <c r="S108" s="125"/>
      <c r="T108" s="125"/>
      <c r="U108" s="125"/>
      <c r="V108" s="125"/>
      <c r="W108" s="125"/>
      <c r="X108" s="125"/>
      <c r="Y108" s="125"/>
      <c r="Z108" s="125"/>
      <c r="AA108" s="125"/>
      <c r="AB108" s="125"/>
      <c r="AC108" s="125"/>
      <c r="AD108" s="125"/>
    </row>
    <row r="109">
      <c r="A109" s="124"/>
      <c r="B109" s="125"/>
      <c r="C109" s="125"/>
      <c r="D109" s="125"/>
      <c r="E109" s="125"/>
      <c r="F109" s="125"/>
      <c r="G109" s="125"/>
      <c r="H109" s="125"/>
      <c r="I109" s="125"/>
      <c r="J109" s="125"/>
      <c r="K109" s="125"/>
      <c r="L109" s="125"/>
      <c r="M109" s="125"/>
      <c r="N109" s="125"/>
      <c r="O109" s="125"/>
      <c r="P109" s="125"/>
      <c r="Q109" s="125"/>
      <c r="R109" s="125"/>
      <c r="S109" s="125"/>
      <c r="T109" s="125"/>
      <c r="U109" s="125"/>
      <c r="V109" s="125"/>
      <c r="W109" s="125"/>
      <c r="X109" s="125"/>
      <c r="Y109" s="125"/>
      <c r="Z109" s="125"/>
      <c r="AA109" s="125"/>
      <c r="AB109" s="125"/>
      <c r="AC109" s="125"/>
      <c r="AD109" s="125"/>
    </row>
    <row r="110">
      <c r="A110" s="124"/>
      <c r="B110" s="125"/>
      <c r="C110" s="125"/>
      <c r="D110" s="125"/>
      <c r="E110" s="125"/>
      <c r="F110" s="125"/>
      <c r="G110" s="125"/>
      <c r="H110" s="125"/>
      <c r="I110" s="125"/>
      <c r="J110" s="125"/>
      <c r="K110" s="125"/>
      <c r="L110" s="125"/>
      <c r="M110" s="125"/>
      <c r="N110" s="125"/>
      <c r="O110" s="125"/>
      <c r="P110" s="125"/>
      <c r="Q110" s="125"/>
      <c r="R110" s="125"/>
      <c r="S110" s="125"/>
      <c r="T110" s="125"/>
      <c r="U110" s="125"/>
      <c r="V110" s="125"/>
      <c r="W110" s="125"/>
      <c r="X110" s="125"/>
      <c r="Y110" s="125"/>
      <c r="Z110" s="125"/>
      <c r="AA110" s="125"/>
      <c r="AB110" s="125"/>
      <c r="AC110" s="125"/>
      <c r="AD110" s="125"/>
    </row>
    <row r="111">
      <c r="A111" s="124"/>
      <c r="B111" s="125"/>
      <c r="C111" s="125"/>
      <c r="D111" s="125"/>
      <c r="E111" s="125"/>
      <c r="F111" s="125"/>
      <c r="G111" s="125"/>
      <c r="H111" s="125"/>
      <c r="I111" s="125"/>
      <c r="J111" s="125"/>
      <c r="K111" s="125"/>
      <c r="L111" s="125"/>
      <c r="M111" s="125"/>
      <c r="N111" s="125"/>
      <c r="O111" s="125"/>
      <c r="P111" s="125"/>
      <c r="Q111" s="125"/>
      <c r="R111" s="125"/>
      <c r="S111" s="125"/>
      <c r="T111" s="125"/>
      <c r="U111" s="125"/>
      <c r="V111" s="125"/>
      <c r="W111" s="125"/>
      <c r="X111" s="125"/>
      <c r="Y111" s="125"/>
      <c r="Z111" s="125"/>
      <c r="AA111" s="125"/>
      <c r="AB111" s="125"/>
      <c r="AC111" s="125"/>
      <c r="AD111" s="125"/>
    </row>
    <row r="112">
      <c r="A112" s="124"/>
      <c r="B112" s="125"/>
      <c r="C112" s="125"/>
      <c r="D112" s="125"/>
      <c r="E112" s="125"/>
      <c r="F112" s="125"/>
      <c r="G112" s="125"/>
      <c r="H112" s="125"/>
      <c r="I112" s="125"/>
      <c r="J112" s="125"/>
      <c r="K112" s="125"/>
      <c r="L112" s="125"/>
      <c r="M112" s="125"/>
      <c r="N112" s="125"/>
      <c r="O112" s="125"/>
      <c r="P112" s="125"/>
      <c r="Q112" s="125"/>
      <c r="R112" s="125"/>
      <c r="S112" s="125"/>
      <c r="T112" s="125"/>
      <c r="U112" s="125"/>
      <c r="V112" s="125"/>
      <c r="W112" s="125"/>
      <c r="X112" s="125"/>
      <c r="Y112" s="125"/>
      <c r="Z112" s="125"/>
      <c r="AA112" s="125"/>
      <c r="AB112" s="125"/>
      <c r="AC112" s="125"/>
      <c r="AD112" s="125"/>
    </row>
    <row r="113">
      <c r="A113" s="124"/>
      <c r="B113" s="125"/>
      <c r="C113" s="125"/>
      <c r="D113" s="125"/>
      <c r="E113" s="125"/>
      <c r="F113" s="125"/>
      <c r="G113" s="125"/>
      <c r="H113" s="125"/>
      <c r="I113" s="125"/>
      <c r="J113" s="125"/>
      <c r="K113" s="125"/>
      <c r="L113" s="125"/>
      <c r="M113" s="125"/>
      <c r="N113" s="125"/>
      <c r="O113" s="125"/>
      <c r="P113" s="125"/>
      <c r="Q113" s="125"/>
      <c r="R113" s="125"/>
      <c r="S113" s="125"/>
      <c r="T113" s="125"/>
      <c r="U113" s="125"/>
      <c r="V113" s="125"/>
      <c r="W113" s="125"/>
      <c r="X113" s="125"/>
      <c r="Y113" s="125"/>
      <c r="Z113" s="125"/>
      <c r="AA113" s="125"/>
      <c r="AB113" s="125"/>
      <c r="AC113" s="125"/>
      <c r="AD113" s="125"/>
    </row>
    <row r="114">
      <c r="A114" s="124"/>
      <c r="B114" s="125"/>
      <c r="C114" s="125"/>
      <c r="D114" s="125"/>
      <c r="E114" s="125"/>
      <c r="F114" s="125"/>
      <c r="G114" s="125"/>
      <c r="H114" s="125"/>
      <c r="I114" s="125"/>
      <c r="J114" s="125"/>
      <c r="K114" s="125"/>
      <c r="L114" s="125"/>
      <c r="M114" s="125"/>
      <c r="N114" s="125"/>
      <c r="O114" s="125"/>
      <c r="P114" s="125"/>
      <c r="Q114" s="125"/>
      <c r="R114" s="125"/>
      <c r="S114" s="125"/>
      <c r="T114" s="125"/>
      <c r="U114" s="125"/>
      <c r="V114" s="125"/>
      <c r="W114" s="125"/>
      <c r="X114" s="125"/>
      <c r="Y114" s="125"/>
      <c r="Z114" s="125"/>
      <c r="AA114" s="125"/>
      <c r="AB114" s="125"/>
      <c r="AC114" s="125"/>
      <c r="AD114" s="125"/>
    </row>
    <row r="115">
      <c r="A115" s="124"/>
      <c r="B115" s="125"/>
      <c r="C115" s="125"/>
      <c r="D115" s="125"/>
      <c r="E115" s="125"/>
      <c r="F115" s="125"/>
      <c r="G115" s="125"/>
      <c r="H115" s="125"/>
      <c r="I115" s="125"/>
      <c r="J115" s="125"/>
      <c r="K115" s="125"/>
      <c r="L115" s="125"/>
      <c r="M115" s="125"/>
      <c r="N115" s="125"/>
      <c r="O115" s="125"/>
      <c r="P115" s="125"/>
      <c r="Q115" s="125"/>
      <c r="R115" s="125"/>
      <c r="S115" s="125"/>
      <c r="T115" s="125"/>
      <c r="U115" s="125"/>
      <c r="V115" s="125"/>
      <c r="W115" s="125"/>
      <c r="X115" s="125"/>
      <c r="Y115" s="125"/>
      <c r="Z115" s="125"/>
      <c r="AA115" s="125"/>
      <c r="AB115" s="125"/>
      <c r="AC115" s="125"/>
      <c r="AD115" s="125"/>
    </row>
    <row r="116">
      <c r="A116" s="124"/>
      <c r="B116" s="125"/>
      <c r="C116" s="125"/>
      <c r="D116" s="125"/>
      <c r="E116" s="125"/>
      <c r="F116" s="125"/>
      <c r="G116" s="125"/>
      <c r="H116" s="125"/>
      <c r="I116" s="125"/>
      <c r="J116" s="125"/>
      <c r="K116" s="125"/>
      <c r="L116" s="125"/>
      <c r="M116" s="125"/>
      <c r="N116" s="125"/>
      <c r="O116" s="125"/>
      <c r="P116" s="125"/>
      <c r="Q116" s="125"/>
      <c r="R116" s="125"/>
      <c r="S116" s="125"/>
      <c r="T116" s="125"/>
      <c r="U116" s="125"/>
      <c r="V116" s="125"/>
      <c r="W116" s="125"/>
      <c r="X116" s="125"/>
      <c r="Y116" s="125"/>
      <c r="Z116" s="125"/>
      <c r="AA116" s="125"/>
      <c r="AB116" s="125"/>
      <c r="AC116" s="125"/>
      <c r="AD116" s="125"/>
    </row>
    <row r="117">
      <c r="A117" s="124"/>
      <c r="B117" s="125"/>
      <c r="C117" s="125"/>
      <c r="D117" s="125"/>
      <c r="E117" s="125"/>
      <c r="F117" s="125"/>
      <c r="G117" s="125"/>
      <c r="H117" s="125"/>
      <c r="I117" s="125"/>
      <c r="J117" s="125"/>
      <c r="K117" s="125"/>
      <c r="L117" s="125"/>
      <c r="M117" s="125"/>
      <c r="N117" s="125"/>
      <c r="O117" s="125"/>
      <c r="P117" s="125"/>
      <c r="Q117" s="125"/>
      <c r="R117" s="125"/>
      <c r="S117" s="125"/>
      <c r="T117" s="125"/>
      <c r="U117" s="125"/>
      <c r="V117" s="125"/>
      <c r="W117" s="125"/>
      <c r="X117" s="125"/>
      <c r="Y117" s="125"/>
      <c r="Z117" s="125"/>
      <c r="AA117" s="125"/>
      <c r="AB117" s="125"/>
      <c r="AC117" s="125"/>
      <c r="AD117" s="125"/>
    </row>
    <row r="118">
      <c r="A118" s="124"/>
      <c r="B118" s="125"/>
      <c r="C118" s="125"/>
      <c r="D118" s="125"/>
      <c r="E118" s="125"/>
      <c r="F118" s="125"/>
      <c r="G118" s="125"/>
      <c r="H118" s="125"/>
      <c r="I118" s="125"/>
      <c r="J118" s="125"/>
      <c r="K118" s="125"/>
      <c r="L118" s="125"/>
      <c r="M118" s="125"/>
      <c r="N118" s="125"/>
      <c r="O118" s="125"/>
      <c r="P118" s="125"/>
      <c r="Q118" s="125"/>
      <c r="R118" s="125"/>
      <c r="S118" s="125"/>
      <c r="T118" s="125"/>
      <c r="U118" s="125"/>
      <c r="V118" s="125"/>
      <c r="W118" s="125"/>
      <c r="X118" s="125"/>
      <c r="Y118" s="125"/>
      <c r="Z118" s="125"/>
      <c r="AA118" s="125"/>
      <c r="AB118" s="125"/>
      <c r="AC118" s="125"/>
      <c r="AD118" s="125"/>
    </row>
    <row r="119">
      <c r="A119" s="124"/>
      <c r="B119" s="125"/>
      <c r="C119" s="125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</row>
    <row r="120">
      <c r="A120" s="124"/>
      <c r="B120" s="125"/>
      <c r="C120" s="125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</row>
    <row r="121">
      <c r="A121" s="124"/>
      <c r="B121" s="125"/>
      <c r="C121" s="125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</row>
    <row r="122">
      <c r="A122" s="124"/>
      <c r="B122" s="125"/>
      <c r="C122" s="125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</row>
    <row r="123">
      <c r="A123" s="124"/>
      <c r="B123" s="125"/>
      <c r="C123" s="125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</row>
    <row r="124">
      <c r="A124" s="124"/>
      <c r="B124" s="125"/>
      <c r="C124" s="125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</row>
    <row r="125">
      <c r="A125" s="124"/>
      <c r="B125" s="125"/>
      <c r="C125" s="125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</row>
    <row r="126">
      <c r="A126" s="124"/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</row>
    <row r="127">
      <c r="A127" s="124"/>
      <c r="B127" s="125"/>
      <c r="C127" s="125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</row>
    <row r="128">
      <c r="A128" s="124"/>
      <c r="B128" s="125"/>
      <c r="C128" s="125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</row>
    <row r="129">
      <c r="A129" s="124"/>
      <c r="B129" s="125"/>
      <c r="C129" s="125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</row>
    <row r="130">
      <c r="A130" s="124"/>
      <c r="B130" s="125"/>
      <c r="C130" s="125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</row>
    <row r="131">
      <c r="A131" s="124"/>
      <c r="B131" s="125"/>
      <c r="C131" s="125"/>
      <c r="D131" s="125"/>
      <c r="E131" s="125"/>
      <c r="F131" s="125"/>
      <c r="G131" s="125"/>
      <c r="H131" s="125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125"/>
      <c r="U131" s="125"/>
      <c r="V131" s="125"/>
      <c r="W131" s="125"/>
      <c r="X131" s="125"/>
      <c r="Y131" s="125"/>
      <c r="Z131" s="125"/>
      <c r="AA131" s="125"/>
      <c r="AB131" s="125"/>
      <c r="AC131" s="125"/>
      <c r="AD131" s="125"/>
    </row>
    <row r="132">
      <c r="A132" s="124"/>
      <c r="B132" s="125"/>
      <c r="C132" s="125"/>
      <c r="D132" s="125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  <c r="Z132" s="125"/>
      <c r="AA132" s="125"/>
      <c r="AB132" s="125"/>
      <c r="AC132" s="125"/>
      <c r="AD132" s="125"/>
    </row>
    <row r="133">
      <c r="A133" s="124"/>
      <c r="B133" s="125"/>
      <c r="C133" s="125"/>
      <c r="D133" s="125"/>
      <c r="E133" s="125"/>
      <c r="F133" s="125"/>
      <c r="G133" s="125"/>
      <c r="H133" s="125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  <c r="Y133" s="125"/>
      <c r="Z133" s="125"/>
      <c r="AA133" s="125"/>
      <c r="AB133" s="125"/>
      <c r="AC133" s="125"/>
      <c r="AD133" s="125"/>
    </row>
    <row r="134">
      <c r="A134" s="124"/>
      <c r="B134" s="125"/>
      <c r="C134" s="125"/>
      <c r="D134" s="125"/>
      <c r="E134" s="125"/>
      <c r="F134" s="125"/>
      <c r="G134" s="125"/>
      <c r="H134" s="125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  <c r="AA134" s="125"/>
      <c r="AB134" s="125"/>
      <c r="AC134" s="125"/>
      <c r="AD134" s="125"/>
    </row>
    <row r="135">
      <c r="A135" s="124"/>
      <c r="B135" s="125"/>
      <c r="C135" s="125"/>
      <c r="D135" s="125"/>
      <c r="E135" s="125"/>
      <c r="F135" s="125"/>
      <c r="G135" s="125"/>
      <c r="H135" s="125"/>
      <c r="I135" s="125"/>
      <c r="J135" s="125"/>
      <c r="K135" s="125"/>
      <c r="L135" s="125"/>
      <c r="M135" s="125"/>
      <c r="N135" s="125"/>
      <c r="O135" s="125"/>
      <c r="P135" s="125"/>
      <c r="Q135" s="125"/>
      <c r="R135" s="125"/>
      <c r="S135" s="125"/>
      <c r="T135" s="125"/>
      <c r="U135" s="125"/>
      <c r="V135" s="125"/>
      <c r="W135" s="125"/>
      <c r="X135" s="125"/>
      <c r="Y135" s="125"/>
      <c r="Z135" s="125"/>
      <c r="AA135" s="125"/>
      <c r="AB135" s="125"/>
      <c r="AC135" s="125"/>
      <c r="AD135" s="125"/>
    </row>
    <row r="136">
      <c r="A136" s="124"/>
      <c r="B136" s="125"/>
      <c r="C136" s="125"/>
      <c r="D136" s="125"/>
      <c r="E136" s="125"/>
      <c r="F136" s="125"/>
      <c r="G136" s="125"/>
      <c r="H136" s="125"/>
      <c r="I136" s="125"/>
      <c r="J136" s="125"/>
      <c r="K136" s="125"/>
      <c r="L136" s="125"/>
      <c r="M136" s="125"/>
      <c r="N136" s="125"/>
      <c r="O136" s="125"/>
      <c r="P136" s="125"/>
      <c r="Q136" s="125"/>
      <c r="R136" s="125"/>
      <c r="S136" s="125"/>
      <c r="T136" s="125"/>
      <c r="U136" s="125"/>
      <c r="V136" s="125"/>
      <c r="W136" s="125"/>
      <c r="X136" s="125"/>
      <c r="Y136" s="125"/>
      <c r="Z136" s="125"/>
      <c r="AA136" s="125"/>
      <c r="AB136" s="125"/>
      <c r="AC136" s="125"/>
      <c r="AD136" s="125"/>
    </row>
    <row r="137">
      <c r="A137" s="124"/>
      <c r="B137" s="125"/>
      <c r="C137" s="125"/>
      <c r="D137" s="125"/>
      <c r="E137" s="125"/>
      <c r="F137" s="125"/>
      <c r="G137" s="125"/>
      <c r="H137" s="125"/>
      <c r="I137" s="125"/>
      <c r="J137" s="125"/>
      <c r="K137" s="125"/>
      <c r="L137" s="125"/>
      <c r="M137" s="125"/>
      <c r="N137" s="125"/>
      <c r="O137" s="125"/>
      <c r="P137" s="125"/>
      <c r="Q137" s="125"/>
      <c r="R137" s="125"/>
      <c r="S137" s="125"/>
      <c r="T137" s="125"/>
      <c r="U137" s="125"/>
      <c r="V137" s="125"/>
      <c r="W137" s="125"/>
      <c r="X137" s="125"/>
      <c r="Y137" s="125"/>
      <c r="Z137" s="125"/>
      <c r="AA137" s="125"/>
      <c r="AB137" s="125"/>
      <c r="AC137" s="125"/>
      <c r="AD137" s="125"/>
    </row>
    <row r="138">
      <c r="A138" s="124"/>
      <c r="B138" s="125"/>
      <c r="C138" s="125"/>
      <c r="D138" s="125"/>
      <c r="E138" s="125"/>
      <c r="F138" s="125"/>
      <c r="G138" s="125"/>
      <c r="H138" s="125"/>
      <c r="I138" s="125"/>
      <c r="J138" s="125"/>
      <c r="K138" s="125"/>
      <c r="L138" s="125"/>
      <c r="M138" s="125"/>
      <c r="N138" s="125"/>
      <c r="O138" s="125"/>
      <c r="P138" s="125"/>
      <c r="Q138" s="125"/>
      <c r="R138" s="125"/>
      <c r="S138" s="125"/>
      <c r="T138" s="125"/>
      <c r="U138" s="125"/>
      <c r="V138" s="125"/>
      <c r="W138" s="125"/>
      <c r="X138" s="125"/>
      <c r="Y138" s="125"/>
      <c r="Z138" s="125"/>
      <c r="AA138" s="125"/>
      <c r="AB138" s="125"/>
      <c r="AC138" s="125"/>
      <c r="AD138" s="125"/>
    </row>
    <row r="139">
      <c r="A139" s="124"/>
      <c r="B139" s="125"/>
      <c r="C139" s="125"/>
      <c r="D139" s="125"/>
      <c r="E139" s="125"/>
      <c r="F139" s="125"/>
      <c r="G139" s="125"/>
      <c r="H139" s="125"/>
      <c r="I139" s="125"/>
      <c r="J139" s="125"/>
      <c r="K139" s="125"/>
      <c r="L139" s="125"/>
      <c r="M139" s="125"/>
      <c r="N139" s="125"/>
      <c r="O139" s="125"/>
      <c r="P139" s="125"/>
      <c r="Q139" s="125"/>
      <c r="R139" s="125"/>
      <c r="S139" s="125"/>
      <c r="T139" s="125"/>
      <c r="U139" s="125"/>
      <c r="V139" s="125"/>
      <c r="W139" s="125"/>
      <c r="X139" s="125"/>
      <c r="Y139" s="125"/>
      <c r="Z139" s="125"/>
      <c r="AA139" s="125"/>
      <c r="AB139" s="125"/>
      <c r="AC139" s="125"/>
      <c r="AD139" s="125"/>
    </row>
    <row r="140">
      <c r="A140" s="124"/>
      <c r="B140" s="125"/>
      <c r="C140" s="125"/>
      <c r="D140" s="125"/>
      <c r="E140" s="125"/>
      <c r="F140" s="125"/>
      <c r="G140" s="125"/>
      <c r="H140" s="125"/>
      <c r="I140" s="125"/>
      <c r="J140" s="125"/>
      <c r="K140" s="125"/>
      <c r="L140" s="125"/>
      <c r="M140" s="125"/>
      <c r="N140" s="125"/>
      <c r="O140" s="125"/>
      <c r="P140" s="125"/>
      <c r="Q140" s="125"/>
      <c r="R140" s="125"/>
      <c r="S140" s="125"/>
      <c r="T140" s="125"/>
      <c r="U140" s="125"/>
      <c r="V140" s="125"/>
      <c r="W140" s="125"/>
      <c r="X140" s="125"/>
      <c r="Y140" s="125"/>
      <c r="Z140" s="125"/>
      <c r="AA140" s="125"/>
      <c r="AB140" s="125"/>
      <c r="AC140" s="125"/>
      <c r="AD140" s="125"/>
    </row>
    <row r="141">
      <c r="A141" s="124"/>
      <c r="B141" s="125"/>
      <c r="C141" s="125"/>
      <c r="D141" s="125"/>
      <c r="E141" s="125"/>
      <c r="F141" s="125"/>
      <c r="G141" s="125"/>
      <c r="H141" s="125"/>
      <c r="I141" s="125"/>
      <c r="J141" s="125"/>
      <c r="K141" s="125"/>
      <c r="L141" s="125"/>
      <c r="M141" s="125"/>
      <c r="N141" s="125"/>
      <c r="O141" s="125"/>
      <c r="P141" s="125"/>
      <c r="Q141" s="125"/>
      <c r="R141" s="125"/>
      <c r="S141" s="125"/>
      <c r="T141" s="125"/>
      <c r="U141" s="125"/>
      <c r="V141" s="125"/>
      <c r="W141" s="125"/>
      <c r="X141" s="125"/>
      <c r="Y141" s="125"/>
      <c r="Z141" s="125"/>
      <c r="AA141" s="125"/>
      <c r="AB141" s="125"/>
      <c r="AC141" s="125"/>
      <c r="AD141" s="125"/>
    </row>
    <row r="142">
      <c r="A142" s="124"/>
      <c r="B142" s="125"/>
      <c r="C142" s="125"/>
      <c r="D142" s="125"/>
      <c r="E142" s="125"/>
      <c r="F142" s="125"/>
      <c r="G142" s="125"/>
      <c r="H142" s="125"/>
      <c r="I142" s="125"/>
      <c r="J142" s="125"/>
      <c r="K142" s="125"/>
      <c r="L142" s="125"/>
      <c r="M142" s="125"/>
      <c r="N142" s="125"/>
      <c r="O142" s="125"/>
      <c r="P142" s="125"/>
      <c r="Q142" s="125"/>
      <c r="R142" s="125"/>
      <c r="S142" s="125"/>
      <c r="T142" s="125"/>
      <c r="U142" s="125"/>
      <c r="V142" s="125"/>
      <c r="W142" s="125"/>
      <c r="X142" s="125"/>
      <c r="Y142" s="125"/>
      <c r="Z142" s="125"/>
      <c r="AA142" s="125"/>
      <c r="AB142" s="125"/>
      <c r="AC142" s="125"/>
      <c r="AD142" s="125"/>
    </row>
    <row r="143">
      <c r="A143" s="124"/>
      <c r="B143" s="125"/>
      <c r="C143" s="125"/>
      <c r="D143" s="125"/>
      <c r="E143" s="125"/>
      <c r="F143" s="125"/>
      <c r="G143" s="125"/>
      <c r="H143" s="125"/>
      <c r="I143" s="125"/>
      <c r="J143" s="125"/>
      <c r="K143" s="125"/>
      <c r="L143" s="125"/>
      <c r="M143" s="125"/>
      <c r="N143" s="125"/>
      <c r="O143" s="125"/>
      <c r="P143" s="125"/>
      <c r="Q143" s="125"/>
      <c r="R143" s="125"/>
      <c r="S143" s="125"/>
      <c r="T143" s="125"/>
      <c r="U143" s="125"/>
      <c r="V143" s="125"/>
      <c r="W143" s="125"/>
      <c r="X143" s="125"/>
      <c r="Y143" s="125"/>
      <c r="Z143" s="125"/>
      <c r="AA143" s="125"/>
      <c r="AB143" s="125"/>
      <c r="AC143" s="125"/>
      <c r="AD143" s="125"/>
    </row>
    <row r="144">
      <c r="A144" s="124"/>
      <c r="B144" s="125"/>
      <c r="C144" s="125"/>
      <c r="D144" s="125"/>
      <c r="E144" s="125"/>
      <c r="F144" s="125"/>
      <c r="G144" s="125"/>
      <c r="H144" s="125"/>
      <c r="I144" s="125"/>
      <c r="J144" s="125"/>
      <c r="K144" s="125"/>
      <c r="L144" s="125"/>
      <c r="M144" s="125"/>
      <c r="N144" s="125"/>
      <c r="O144" s="125"/>
      <c r="P144" s="125"/>
      <c r="Q144" s="125"/>
      <c r="R144" s="125"/>
      <c r="S144" s="125"/>
      <c r="T144" s="125"/>
      <c r="U144" s="125"/>
      <c r="V144" s="125"/>
      <c r="W144" s="125"/>
      <c r="X144" s="125"/>
      <c r="Y144" s="125"/>
      <c r="Z144" s="125"/>
      <c r="AA144" s="125"/>
      <c r="AB144" s="125"/>
      <c r="AC144" s="125"/>
      <c r="AD144" s="125"/>
    </row>
    <row r="145">
      <c r="A145" s="124"/>
      <c r="B145" s="125"/>
      <c r="C145" s="125"/>
      <c r="D145" s="125"/>
      <c r="E145" s="125"/>
      <c r="F145" s="125"/>
      <c r="G145" s="125"/>
      <c r="H145" s="125"/>
      <c r="I145" s="125"/>
      <c r="J145" s="125"/>
      <c r="K145" s="125"/>
      <c r="L145" s="125"/>
      <c r="M145" s="125"/>
      <c r="N145" s="125"/>
      <c r="O145" s="125"/>
      <c r="P145" s="125"/>
      <c r="Q145" s="125"/>
      <c r="R145" s="125"/>
      <c r="S145" s="125"/>
      <c r="T145" s="125"/>
      <c r="U145" s="125"/>
      <c r="V145" s="125"/>
      <c r="W145" s="125"/>
      <c r="X145" s="125"/>
      <c r="Y145" s="125"/>
      <c r="Z145" s="125"/>
      <c r="AA145" s="125"/>
      <c r="AB145" s="125"/>
      <c r="AC145" s="125"/>
      <c r="AD145" s="125"/>
    </row>
    <row r="146">
      <c r="A146" s="124"/>
      <c r="B146" s="125"/>
      <c r="C146" s="125"/>
      <c r="D146" s="125"/>
      <c r="E146" s="125"/>
      <c r="F146" s="125"/>
      <c r="G146" s="125"/>
      <c r="H146" s="125"/>
      <c r="I146" s="125"/>
      <c r="J146" s="125"/>
      <c r="K146" s="125"/>
      <c r="L146" s="125"/>
      <c r="M146" s="125"/>
      <c r="N146" s="125"/>
      <c r="O146" s="125"/>
      <c r="P146" s="125"/>
      <c r="Q146" s="125"/>
      <c r="R146" s="125"/>
      <c r="S146" s="125"/>
      <c r="T146" s="125"/>
      <c r="U146" s="125"/>
      <c r="V146" s="125"/>
      <c r="W146" s="125"/>
      <c r="X146" s="125"/>
      <c r="Y146" s="125"/>
      <c r="Z146" s="125"/>
      <c r="AA146" s="125"/>
      <c r="AB146" s="125"/>
      <c r="AC146" s="125"/>
      <c r="AD146" s="125"/>
    </row>
    <row r="147">
      <c r="A147" s="124"/>
      <c r="B147" s="125"/>
      <c r="C147" s="125"/>
      <c r="D147" s="125"/>
      <c r="E147" s="125"/>
      <c r="F147" s="125"/>
      <c r="G147" s="125"/>
      <c r="H147" s="125"/>
      <c r="I147" s="125"/>
      <c r="J147" s="125"/>
      <c r="K147" s="125"/>
      <c r="L147" s="125"/>
      <c r="M147" s="125"/>
      <c r="N147" s="125"/>
      <c r="O147" s="125"/>
      <c r="P147" s="125"/>
      <c r="Q147" s="125"/>
      <c r="R147" s="125"/>
      <c r="S147" s="125"/>
      <c r="T147" s="125"/>
      <c r="U147" s="125"/>
      <c r="V147" s="125"/>
      <c r="W147" s="125"/>
      <c r="X147" s="125"/>
      <c r="Y147" s="125"/>
      <c r="Z147" s="125"/>
      <c r="AA147" s="125"/>
      <c r="AB147" s="125"/>
      <c r="AC147" s="125"/>
      <c r="AD147" s="125"/>
    </row>
    <row r="148">
      <c r="A148" s="124"/>
      <c r="B148" s="125"/>
      <c r="C148" s="125"/>
      <c r="D148" s="125"/>
      <c r="E148" s="125"/>
      <c r="F148" s="125"/>
      <c r="G148" s="125"/>
      <c r="H148" s="125"/>
      <c r="I148" s="125"/>
      <c r="J148" s="125"/>
      <c r="K148" s="125"/>
      <c r="L148" s="125"/>
      <c r="M148" s="125"/>
      <c r="N148" s="125"/>
      <c r="O148" s="125"/>
      <c r="P148" s="125"/>
      <c r="Q148" s="125"/>
      <c r="R148" s="125"/>
      <c r="S148" s="125"/>
      <c r="T148" s="125"/>
      <c r="U148" s="125"/>
      <c r="V148" s="125"/>
      <c r="W148" s="125"/>
      <c r="X148" s="125"/>
      <c r="Y148" s="125"/>
      <c r="Z148" s="125"/>
      <c r="AA148" s="125"/>
      <c r="AB148" s="125"/>
      <c r="AC148" s="125"/>
      <c r="AD148" s="125"/>
    </row>
    <row r="149">
      <c r="A149" s="124"/>
      <c r="B149" s="125"/>
      <c r="C149" s="125"/>
      <c r="D149" s="125"/>
      <c r="E149" s="125"/>
      <c r="F149" s="125"/>
      <c r="G149" s="125"/>
      <c r="H149" s="125"/>
      <c r="I149" s="125"/>
      <c r="J149" s="125"/>
      <c r="K149" s="125"/>
      <c r="L149" s="125"/>
      <c r="M149" s="125"/>
      <c r="N149" s="125"/>
      <c r="O149" s="125"/>
      <c r="P149" s="125"/>
      <c r="Q149" s="125"/>
      <c r="R149" s="125"/>
      <c r="S149" s="125"/>
      <c r="T149" s="125"/>
      <c r="U149" s="125"/>
      <c r="V149" s="125"/>
      <c r="W149" s="125"/>
      <c r="X149" s="125"/>
      <c r="Y149" s="125"/>
      <c r="Z149" s="125"/>
      <c r="AA149" s="125"/>
      <c r="AB149" s="125"/>
      <c r="AC149" s="125"/>
      <c r="AD149" s="125"/>
    </row>
    <row r="150">
      <c r="A150" s="124"/>
      <c r="B150" s="125"/>
      <c r="C150" s="125"/>
      <c r="D150" s="125"/>
      <c r="E150" s="125"/>
      <c r="F150" s="125"/>
      <c r="G150" s="125"/>
      <c r="H150" s="125"/>
      <c r="I150" s="125"/>
      <c r="J150" s="125"/>
      <c r="K150" s="125"/>
      <c r="L150" s="125"/>
      <c r="M150" s="125"/>
      <c r="N150" s="125"/>
      <c r="O150" s="125"/>
      <c r="P150" s="125"/>
      <c r="Q150" s="125"/>
      <c r="R150" s="125"/>
      <c r="S150" s="125"/>
      <c r="T150" s="125"/>
      <c r="U150" s="125"/>
      <c r="V150" s="125"/>
      <c r="W150" s="125"/>
      <c r="X150" s="125"/>
      <c r="Y150" s="125"/>
      <c r="Z150" s="125"/>
      <c r="AA150" s="125"/>
      <c r="AB150" s="125"/>
      <c r="AC150" s="125"/>
      <c r="AD150" s="125"/>
    </row>
    <row r="151">
      <c r="A151" s="124"/>
      <c r="B151" s="125"/>
      <c r="C151" s="125"/>
      <c r="D151" s="125"/>
      <c r="E151" s="125"/>
      <c r="F151" s="125"/>
      <c r="G151" s="125"/>
      <c r="H151" s="125"/>
      <c r="I151" s="125"/>
      <c r="J151" s="125"/>
      <c r="K151" s="125"/>
      <c r="L151" s="125"/>
      <c r="M151" s="125"/>
      <c r="N151" s="125"/>
      <c r="O151" s="125"/>
      <c r="P151" s="125"/>
      <c r="Q151" s="125"/>
      <c r="R151" s="125"/>
      <c r="S151" s="125"/>
      <c r="T151" s="125"/>
      <c r="U151" s="125"/>
      <c r="V151" s="125"/>
      <c r="W151" s="125"/>
      <c r="X151" s="125"/>
      <c r="Y151" s="125"/>
      <c r="Z151" s="125"/>
      <c r="AA151" s="125"/>
      <c r="AB151" s="125"/>
      <c r="AC151" s="125"/>
      <c r="AD151" s="125"/>
    </row>
    <row r="152">
      <c r="A152" s="124"/>
      <c r="B152" s="125"/>
      <c r="C152" s="125"/>
      <c r="D152" s="125"/>
      <c r="E152" s="125"/>
      <c r="F152" s="125"/>
      <c r="G152" s="125"/>
      <c r="H152" s="125"/>
      <c r="I152" s="125"/>
      <c r="J152" s="125"/>
      <c r="K152" s="125"/>
      <c r="L152" s="125"/>
      <c r="M152" s="125"/>
      <c r="N152" s="125"/>
      <c r="O152" s="125"/>
      <c r="P152" s="125"/>
      <c r="Q152" s="125"/>
      <c r="R152" s="125"/>
      <c r="S152" s="125"/>
      <c r="T152" s="125"/>
      <c r="U152" s="125"/>
      <c r="V152" s="125"/>
      <c r="W152" s="125"/>
      <c r="X152" s="125"/>
      <c r="Y152" s="125"/>
      <c r="Z152" s="125"/>
      <c r="AA152" s="125"/>
      <c r="AB152" s="125"/>
      <c r="AC152" s="125"/>
      <c r="AD152" s="125"/>
    </row>
    <row r="153">
      <c r="A153" s="124"/>
      <c r="B153" s="125"/>
      <c r="C153" s="125"/>
      <c r="D153" s="125"/>
      <c r="E153" s="125"/>
      <c r="F153" s="125"/>
      <c r="G153" s="125"/>
      <c r="H153" s="125"/>
      <c r="I153" s="125"/>
      <c r="J153" s="125"/>
      <c r="K153" s="125"/>
      <c r="L153" s="125"/>
      <c r="M153" s="125"/>
      <c r="N153" s="125"/>
      <c r="O153" s="125"/>
      <c r="P153" s="125"/>
      <c r="Q153" s="125"/>
      <c r="R153" s="125"/>
      <c r="S153" s="125"/>
      <c r="T153" s="125"/>
      <c r="U153" s="125"/>
      <c r="V153" s="125"/>
      <c r="W153" s="125"/>
      <c r="X153" s="125"/>
      <c r="Y153" s="125"/>
      <c r="Z153" s="125"/>
      <c r="AA153" s="125"/>
      <c r="AB153" s="125"/>
      <c r="AC153" s="125"/>
      <c r="AD153" s="125"/>
    </row>
    <row r="154">
      <c r="A154" s="124"/>
      <c r="B154" s="125"/>
      <c r="C154" s="125"/>
      <c r="D154" s="125"/>
      <c r="E154" s="125"/>
      <c r="F154" s="125"/>
      <c r="G154" s="125"/>
      <c r="H154" s="125"/>
      <c r="I154" s="125"/>
      <c r="J154" s="125"/>
      <c r="K154" s="125"/>
      <c r="L154" s="125"/>
      <c r="M154" s="125"/>
      <c r="N154" s="125"/>
      <c r="O154" s="125"/>
      <c r="P154" s="125"/>
      <c r="Q154" s="125"/>
      <c r="R154" s="125"/>
      <c r="S154" s="125"/>
      <c r="T154" s="125"/>
      <c r="U154" s="125"/>
      <c r="V154" s="125"/>
      <c r="W154" s="125"/>
      <c r="X154" s="125"/>
      <c r="Y154" s="125"/>
      <c r="Z154" s="125"/>
      <c r="AA154" s="125"/>
      <c r="AB154" s="125"/>
      <c r="AC154" s="125"/>
      <c r="AD154" s="125"/>
    </row>
    <row r="155">
      <c r="A155" s="124"/>
      <c r="B155" s="125"/>
      <c r="C155" s="125"/>
      <c r="D155" s="125"/>
      <c r="E155" s="125"/>
      <c r="F155" s="125"/>
      <c r="G155" s="125"/>
      <c r="H155" s="125"/>
      <c r="I155" s="125"/>
      <c r="J155" s="125"/>
      <c r="K155" s="125"/>
      <c r="L155" s="125"/>
      <c r="M155" s="125"/>
      <c r="N155" s="125"/>
      <c r="O155" s="125"/>
      <c r="P155" s="125"/>
      <c r="Q155" s="125"/>
      <c r="R155" s="125"/>
      <c r="S155" s="125"/>
      <c r="T155" s="125"/>
      <c r="U155" s="125"/>
      <c r="V155" s="125"/>
      <c r="W155" s="125"/>
      <c r="X155" s="125"/>
      <c r="Y155" s="125"/>
      <c r="Z155" s="125"/>
      <c r="AA155" s="125"/>
      <c r="AB155" s="125"/>
      <c r="AC155" s="125"/>
      <c r="AD155" s="125"/>
    </row>
    <row r="156">
      <c r="A156" s="124"/>
      <c r="B156" s="125"/>
      <c r="C156" s="125"/>
      <c r="D156" s="125"/>
      <c r="E156" s="125"/>
      <c r="F156" s="125"/>
      <c r="G156" s="125"/>
      <c r="H156" s="125"/>
      <c r="I156" s="125"/>
      <c r="J156" s="125"/>
      <c r="K156" s="125"/>
      <c r="L156" s="125"/>
      <c r="M156" s="125"/>
      <c r="N156" s="125"/>
      <c r="O156" s="125"/>
      <c r="P156" s="125"/>
      <c r="Q156" s="125"/>
      <c r="R156" s="125"/>
      <c r="S156" s="125"/>
      <c r="T156" s="125"/>
      <c r="U156" s="125"/>
      <c r="V156" s="125"/>
      <c r="W156" s="125"/>
      <c r="X156" s="125"/>
      <c r="Y156" s="125"/>
      <c r="Z156" s="125"/>
      <c r="AA156" s="125"/>
      <c r="AB156" s="125"/>
      <c r="AC156" s="125"/>
      <c r="AD156" s="125"/>
    </row>
    <row r="157">
      <c r="A157" s="124"/>
      <c r="B157" s="125"/>
      <c r="C157" s="125"/>
      <c r="D157" s="125"/>
      <c r="E157" s="125"/>
      <c r="F157" s="125"/>
      <c r="G157" s="125"/>
      <c r="H157" s="125"/>
      <c r="I157" s="125"/>
      <c r="J157" s="125"/>
      <c r="K157" s="125"/>
      <c r="L157" s="125"/>
      <c r="M157" s="125"/>
      <c r="N157" s="125"/>
      <c r="O157" s="125"/>
      <c r="P157" s="125"/>
      <c r="Q157" s="125"/>
      <c r="R157" s="125"/>
      <c r="S157" s="125"/>
      <c r="T157" s="125"/>
      <c r="U157" s="125"/>
      <c r="V157" s="125"/>
      <c r="W157" s="125"/>
      <c r="X157" s="125"/>
      <c r="Y157" s="125"/>
      <c r="Z157" s="125"/>
      <c r="AA157" s="125"/>
      <c r="AB157" s="125"/>
      <c r="AC157" s="125"/>
      <c r="AD157" s="125"/>
    </row>
    <row r="158">
      <c r="A158" s="124"/>
      <c r="B158" s="125"/>
      <c r="C158" s="125"/>
      <c r="D158" s="125"/>
      <c r="E158" s="125"/>
      <c r="F158" s="125"/>
      <c r="G158" s="125"/>
      <c r="H158" s="125"/>
      <c r="I158" s="125"/>
      <c r="J158" s="125"/>
      <c r="K158" s="125"/>
      <c r="L158" s="125"/>
      <c r="M158" s="125"/>
      <c r="N158" s="125"/>
      <c r="O158" s="125"/>
      <c r="P158" s="125"/>
      <c r="Q158" s="125"/>
      <c r="R158" s="125"/>
      <c r="S158" s="125"/>
      <c r="T158" s="125"/>
      <c r="U158" s="125"/>
      <c r="V158" s="125"/>
      <c r="W158" s="125"/>
      <c r="X158" s="125"/>
      <c r="Y158" s="125"/>
      <c r="Z158" s="125"/>
      <c r="AA158" s="125"/>
      <c r="AB158" s="125"/>
      <c r="AC158" s="125"/>
      <c r="AD158" s="125"/>
    </row>
    <row r="159">
      <c r="A159" s="124"/>
      <c r="B159" s="125"/>
      <c r="C159" s="125"/>
      <c r="D159" s="125"/>
      <c r="E159" s="125"/>
      <c r="F159" s="125"/>
      <c r="G159" s="125"/>
      <c r="H159" s="125"/>
      <c r="I159" s="125"/>
      <c r="J159" s="125"/>
      <c r="K159" s="125"/>
      <c r="L159" s="125"/>
      <c r="M159" s="125"/>
      <c r="N159" s="125"/>
      <c r="O159" s="125"/>
      <c r="P159" s="125"/>
      <c r="Q159" s="125"/>
      <c r="R159" s="125"/>
      <c r="S159" s="125"/>
      <c r="T159" s="125"/>
      <c r="U159" s="125"/>
      <c r="V159" s="125"/>
      <c r="W159" s="125"/>
      <c r="X159" s="125"/>
      <c r="Y159" s="125"/>
      <c r="Z159" s="125"/>
      <c r="AA159" s="125"/>
      <c r="AB159" s="125"/>
      <c r="AC159" s="125"/>
      <c r="AD159" s="125"/>
    </row>
    <row r="160">
      <c r="A160" s="124"/>
      <c r="B160" s="125"/>
      <c r="C160" s="125"/>
      <c r="D160" s="125"/>
      <c r="E160" s="125"/>
      <c r="F160" s="125"/>
      <c r="G160" s="125"/>
      <c r="H160" s="125"/>
      <c r="I160" s="125"/>
      <c r="J160" s="125"/>
      <c r="K160" s="125"/>
      <c r="L160" s="125"/>
      <c r="M160" s="125"/>
      <c r="N160" s="125"/>
      <c r="O160" s="125"/>
      <c r="P160" s="125"/>
      <c r="Q160" s="125"/>
      <c r="R160" s="125"/>
      <c r="S160" s="125"/>
      <c r="T160" s="125"/>
      <c r="U160" s="125"/>
      <c r="V160" s="125"/>
      <c r="W160" s="125"/>
      <c r="X160" s="125"/>
      <c r="Y160" s="125"/>
      <c r="Z160" s="125"/>
      <c r="AA160" s="125"/>
      <c r="AB160" s="125"/>
      <c r="AC160" s="125"/>
      <c r="AD160" s="125"/>
    </row>
    <row r="161">
      <c r="A161" s="124"/>
      <c r="B161" s="125"/>
      <c r="C161" s="125"/>
      <c r="D161" s="125"/>
      <c r="E161" s="125"/>
      <c r="F161" s="125"/>
      <c r="G161" s="125"/>
      <c r="H161" s="125"/>
      <c r="I161" s="125"/>
      <c r="J161" s="125"/>
      <c r="K161" s="125"/>
      <c r="L161" s="125"/>
      <c r="M161" s="125"/>
      <c r="N161" s="125"/>
      <c r="O161" s="125"/>
      <c r="P161" s="125"/>
      <c r="Q161" s="125"/>
      <c r="R161" s="125"/>
      <c r="S161" s="125"/>
      <c r="T161" s="125"/>
      <c r="U161" s="125"/>
      <c r="V161" s="125"/>
      <c r="W161" s="125"/>
      <c r="X161" s="125"/>
      <c r="Y161" s="125"/>
      <c r="Z161" s="125"/>
      <c r="AA161" s="125"/>
      <c r="AB161" s="125"/>
      <c r="AC161" s="125"/>
      <c r="AD161" s="125"/>
    </row>
    <row r="162">
      <c r="A162" s="124"/>
      <c r="B162" s="125"/>
      <c r="C162" s="125"/>
      <c r="D162" s="125"/>
      <c r="E162" s="125"/>
      <c r="F162" s="125"/>
      <c r="G162" s="125"/>
      <c r="H162" s="125"/>
      <c r="I162" s="125"/>
      <c r="J162" s="125"/>
      <c r="K162" s="125"/>
      <c r="L162" s="125"/>
      <c r="M162" s="125"/>
      <c r="N162" s="125"/>
      <c r="O162" s="125"/>
      <c r="P162" s="125"/>
      <c r="Q162" s="125"/>
      <c r="R162" s="125"/>
      <c r="S162" s="125"/>
      <c r="T162" s="125"/>
      <c r="U162" s="125"/>
      <c r="V162" s="125"/>
      <c r="W162" s="125"/>
      <c r="X162" s="125"/>
      <c r="Y162" s="125"/>
      <c r="Z162" s="125"/>
      <c r="AA162" s="125"/>
      <c r="AB162" s="125"/>
      <c r="AC162" s="125"/>
      <c r="AD162" s="125"/>
    </row>
    <row r="163">
      <c r="A163" s="124"/>
      <c r="B163" s="125"/>
      <c r="C163" s="125"/>
      <c r="D163" s="125"/>
      <c r="E163" s="125"/>
      <c r="F163" s="125"/>
      <c r="G163" s="125"/>
      <c r="H163" s="125"/>
      <c r="I163" s="125"/>
      <c r="J163" s="125"/>
      <c r="K163" s="125"/>
      <c r="L163" s="125"/>
      <c r="M163" s="125"/>
      <c r="N163" s="125"/>
      <c r="O163" s="125"/>
      <c r="P163" s="125"/>
      <c r="Q163" s="125"/>
      <c r="R163" s="125"/>
      <c r="S163" s="125"/>
      <c r="T163" s="125"/>
      <c r="U163" s="125"/>
      <c r="V163" s="125"/>
      <c r="W163" s="125"/>
      <c r="X163" s="125"/>
      <c r="Y163" s="125"/>
      <c r="Z163" s="125"/>
      <c r="AA163" s="125"/>
      <c r="AB163" s="125"/>
      <c r="AC163" s="125"/>
      <c r="AD163" s="125"/>
    </row>
    <row r="164">
      <c r="A164" s="124"/>
      <c r="B164" s="125"/>
      <c r="C164" s="125"/>
      <c r="D164" s="125"/>
      <c r="E164" s="125"/>
      <c r="F164" s="125"/>
      <c r="G164" s="125"/>
      <c r="H164" s="125"/>
      <c r="I164" s="125"/>
      <c r="J164" s="125"/>
      <c r="K164" s="125"/>
      <c r="L164" s="125"/>
      <c r="M164" s="125"/>
      <c r="N164" s="125"/>
      <c r="O164" s="125"/>
      <c r="P164" s="125"/>
      <c r="Q164" s="125"/>
      <c r="R164" s="125"/>
      <c r="S164" s="125"/>
      <c r="T164" s="125"/>
      <c r="U164" s="125"/>
      <c r="V164" s="125"/>
      <c r="W164" s="125"/>
      <c r="X164" s="125"/>
      <c r="Y164" s="125"/>
      <c r="Z164" s="125"/>
      <c r="AA164" s="125"/>
      <c r="AB164" s="125"/>
      <c r="AC164" s="125"/>
      <c r="AD164" s="125"/>
    </row>
    <row r="165">
      <c r="A165" s="124"/>
      <c r="B165" s="125"/>
      <c r="C165" s="125"/>
      <c r="D165" s="125"/>
      <c r="E165" s="125"/>
      <c r="F165" s="125"/>
      <c r="G165" s="125"/>
      <c r="H165" s="125"/>
      <c r="I165" s="125"/>
      <c r="J165" s="125"/>
      <c r="K165" s="125"/>
      <c r="L165" s="125"/>
      <c r="M165" s="125"/>
      <c r="N165" s="125"/>
      <c r="O165" s="125"/>
      <c r="P165" s="125"/>
      <c r="Q165" s="125"/>
      <c r="R165" s="125"/>
      <c r="S165" s="125"/>
      <c r="T165" s="125"/>
      <c r="U165" s="125"/>
      <c r="V165" s="125"/>
      <c r="W165" s="125"/>
      <c r="X165" s="125"/>
      <c r="Y165" s="125"/>
      <c r="Z165" s="125"/>
      <c r="AA165" s="125"/>
      <c r="AB165" s="125"/>
      <c r="AC165" s="125"/>
      <c r="AD165" s="125"/>
    </row>
    <row r="166">
      <c r="A166" s="124"/>
      <c r="B166" s="125"/>
      <c r="C166" s="125"/>
      <c r="D166" s="125"/>
      <c r="E166" s="125"/>
      <c r="F166" s="125"/>
      <c r="G166" s="125"/>
      <c r="H166" s="125"/>
      <c r="I166" s="125"/>
      <c r="J166" s="125"/>
      <c r="K166" s="125"/>
      <c r="L166" s="125"/>
      <c r="M166" s="125"/>
      <c r="N166" s="125"/>
      <c r="O166" s="125"/>
      <c r="P166" s="125"/>
      <c r="Q166" s="125"/>
      <c r="R166" s="125"/>
      <c r="S166" s="125"/>
      <c r="T166" s="125"/>
      <c r="U166" s="125"/>
      <c r="V166" s="125"/>
      <c r="W166" s="125"/>
      <c r="X166" s="125"/>
      <c r="Y166" s="125"/>
      <c r="Z166" s="125"/>
      <c r="AA166" s="125"/>
      <c r="AB166" s="125"/>
      <c r="AC166" s="125"/>
      <c r="AD166" s="125"/>
    </row>
    <row r="167">
      <c r="A167" s="124"/>
      <c r="B167" s="125"/>
      <c r="C167" s="125"/>
      <c r="D167" s="125"/>
      <c r="E167" s="125"/>
      <c r="F167" s="125"/>
      <c r="G167" s="125"/>
      <c r="H167" s="125"/>
      <c r="I167" s="125"/>
      <c r="J167" s="125"/>
      <c r="K167" s="125"/>
      <c r="L167" s="125"/>
      <c r="M167" s="125"/>
      <c r="N167" s="125"/>
      <c r="O167" s="125"/>
      <c r="P167" s="125"/>
      <c r="Q167" s="125"/>
      <c r="R167" s="125"/>
      <c r="S167" s="125"/>
      <c r="T167" s="125"/>
      <c r="U167" s="125"/>
      <c r="V167" s="125"/>
      <c r="W167" s="125"/>
      <c r="X167" s="125"/>
      <c r="Y167" s="125"/>
      <c r="Z167" s="125"/>
      <c r="AA167" s="125"/>
      <c r="AB167" s="125"/>
      <c r="AC167" s="125"/>
      <c r="AD167" s="125"/>
    </row>
    <row r="168">
      <c r="A168" s="124"/>
      <c r="B168" s="125"/>
      <c r="C168" s="125"/>
      <c r="D168" s="125"/>
      <c r="E168" s="125"/>
      <c r="F168" s="125"/>
      <c r="G168" s="125"/>
      <c r="H168" s="125"/>
      <c r="I168" s="125"/>
      <c r="J168" s="125"/>
      <c r="K168" s="125"/>
      <c r="L168" s="125"/>
      <c r="M168" s="125"/>
      <c r="N168" s="125"/>
      <c r="O168" s="125"/>
      <c r="P168" s="125"/>
      <c r="Q168" s="125"/>
      <c r="R168" s="125"/>
      <c r="S168" s="125"/>
      <c r="T168" s="125"/>
      <c r="U168" s="125"/>
      <c r="V168" s="125"/>
      <c r="W168" s="125"/>
      <c r="X168" s="125"/>
      <c r="Y168" s="125"/>
      <c r="Z168" s="125"/>
      <c r="AA168" s="125"/>
      <c r="AB168" s="125"/>
      <c r="AC168" s="125"/>
      <c r="AD168" s="125"/>
    </row>
    <row r="169">
      <c r="A169" s="124"/>
      <c r="B169" s="125"/>
      <c r="C169" s="125"/>
      <c r="D169" s="125"/>
      <c r="E169" s="125"/>
      <c r="F169" s="125"/>
      <c r="G169" s="125"/>
      <c r="H169" s="125"/>
      <c r="I169" s="125"/>
      <c r="J169" s="125"/>
      <c r="K169" s="125"/>
      <c r="L169" s="125"/>
      <c r="M169" s="125"/>
      <c r="N169" s="125"/>
      <c r="O169" s="125"/>
      <c r="P169" s="125"/>
      <c r="Q169" s="125"/>
      <c r="R169" s="125"/>
      <c r="S169" s="125"/>
      <c r="T169" s="125"/>
      <c r="U169" s="125"/>
      <c r="V169" s="125"/>
      <c r="W169" s="125"/>
      <c r="X169" s="125"/>
      <c r="Y169" s="125"/>
      <c r="Z169" s="125"/>
      <c r="AA169" s="125"/>
      <c r="AB169" s="125"/>
      <c r="AC169" s="125"/>
      <c r="AD169" s="125"/>
    </row>
    <row r="170">
      <c r="A170" s="124"/>
      <c r="B170" s="125"/>
      <c r="C170" s="125"/>
      <c r="D170" s="125"/>
      <c r="E170" s="125"/>
      <c r="F170" s="125"/>
      <c r="G170" s="125"/>
      <c r="H170" s="125"/>
      <c r="I170" s="125"/>
      <c r="J170" s="125"/>
      <c r="K170" s="125"/>
      <c r="L170" s="125"/>
      <c r="M170" s="125"/>
      <c r="N170" s="125"/>
      <c r="O170" s="125"/>
      <c r="P170" s="125"/>
      <c r="Q170" s="125"/>
      <c r="R170" s="125"/>
      <c r="S170" s="125"/>
      <c r="T170" s="125"/>
      <c r="U170" s="125"/>
      <c r="V170" s="125"/>
      <c r="W170" s="125"/>
      <c r="X170" s="125"/>
      <c r="Y170" s="125"/>
      <c r="Z170" s="125"/>
      <c r="AA170" s="125"/>
      <c r="AB170" s="125"/>
      <c r="AC170" s="125"/>
      <c r="AD170" s="125"/>
    </row>
    <row r="171">
      <c r="A171" s="124"/>
      <c r="B171" s="125"/>
      <c r="C171" s="125"/>
      <c r="D171" s="125"/>
      <c r="E171" s="125"/>
      <c r="F171" s="125"/>
      <c r="G171" s="125"/>
      <c r="H171" s="125"/>
      <c r="I171" s="125"/>
      <c r="J171" s="125"/>
      <c r="K171" s="125"/>
      <c r="L171" s="125"/>
      <c r="M171" s="125"/>
      <c r="N171" s="125"/>
      <c r="O171" s="125"/>
      <c r="P171" s="125"/>
      <c r="Q171" s="125"/>
      <c r="R171" s="125"/>
      <c r="S171" s="125"/>
      <c r="T171" s="125"/>
      <c r="U171" s="125"/>
      <c r="V171" s="125"/>
      <c r="W171" s="125"/>
      <c r="X171" s="125"/>
      <c r="Y171" s="125"/>
      <c r="Z171" s="125"/>
      <c r="AA171" s="125"/>
      <c r="AB171" s="125"/>
      <c r="AC171" s="125"/>
      <c r="AD171" s="125"/>
    </row>
    <row r="172">
      <c r="A172" s="124"/>
      <c r="B172" s="125"/>
      <c r="C172" s="125"/>
      <c r="D172" s="125"/>
      <c r="E172" s="125"/>
      <c r="F172" s="125"/>
      <c r="G172" s="125"/>
      <c r="H172" s="125"/>
      <c r="I172" s="125"/>
      <c r="J172" s="125"/>
      <c r="K172" s="125"/>
      <c r="L172" s="125"/>
      <c r="M172" s="125"/>
      <c r="N172" s="125"/>
      <c r="O172" s="125"/>
      <c r="P172" s="125"/>
      <c r="Q172" s="125"/>
      <c r="R172" s="125"/>
      <c r="S172" s="125"/>
      <c r="T172" s="125"/>
      <c r="U172" s="125"/>
      <c r="V172" s="125"/>
      <c r="W172" s="125"/>
      <c r="X172" s="125"/>
      <c r="Y172" s="125"/>
      <c r="Z172" s="125"/>
      <c r="AA172" s="125"/>
      <c r="AB172" s="125"/>
      <c r="AC172" s="125"/>
      <c r="AD172" s="125"/>
    </row>
    <row r="173">
      <c r="A173" s="124"/>
      <c r="B173" s="125"/>
      <c r="C173" s="125"/>
      <c r="D173" s="125"/>
      <c r="E173" s="125"/>
      <c r="F173" s="125"/>
      <c r="G173" s="125"/>
      <c r="H173" s="125"/>
      <c r="I173" s="125"/>
      <c r="J173" s="125"/>
      <c r="K173" s="125"/>
      <c r="L173" s="125"/>
      <c r="M173" s="125"/>
      <c r="N173" s="125"/>
      <c r="O173" s="125"/>
      <c r="P173" s="125"/>
      <c r="Q173" s="125"/>
      <c r="R173" s="125"/>
      <c r="S173" s="125"/>
      <c r="T173" s="125"/>
      <c r="U173" s="125"/>
      <c r="V173" s="125"/>
      <c r="W173" s="125"/>
      <c r="X173" s="125"/>
      <c r="Y173" s="125"/>
      <c r="Z173" s="125"/>
      <c r="AA173" s="125"/>
      <c r="AB173" s="125"/>
      <c r="AC173" s="125"/>
      <c r="AD173" s="125"/>
    </row>
    <row r="174">
      <c r="A174" s="124"/>
      <c r="B174" s="125"/>
      <c r="C174" s="125"/>
      <c r="D174" s="125"/>
      <c r="E174" s="125"/>
      <c r="F174" s="125"/>
      <c r="G174" s="125"/>
      <c r="H174" s="125"/>
      <c r="I174" s="125"/>
      <c r="J174" s="125"/>
      <c r="K174" s="125"/>
      <c r="L174" s="125"/>
      <c r="M174" s="125"/>
      <c r="N174" s="125"/>
      <c r="O174" s="125"/>
      <c r="P174" s="125"/>
      <c r="Q174" s="125"/>
      <c r="R174" s="125"/>
      <c r="S174" s="125"/>
      <c r="T174" s="125"/>
      <c r="U174" s="125"/>
      <c r="V174" s="125"/>
      <c r="W174" s="125"/>
      <c r="X174" s="125"/>
      <c r="Y174" s="125"/>
      <c r="Z174" s="125"/>
      <c r="AA174" s="125"/>
      <c r="AB174" s="125"/>
      <c r="AC174" s="125"/>
      <c r="AD174" s="125"/>
    </row>
    <row r="175">
      <c r="A175" s="124"/>
      <c r="B175" s="125"/>
      <c r="C175" s="125"/>
      <c r="D175" s="125"/>
      <c r="E175" s="125"/>
      <c r="F175" s="125"/>
      <c r="G175" s="125"/>
      <c r="H175" s="125"/>
      <c r="I175" s="125"/>
      <c r="J175" s="125"/>
      <c r="K175" s="125"/>
      <c r="L175" s="125"/>
      <c r="M175" s="125"/>
      <c r="N175" s="125"/>
      <c r="O175" s="125"/>
      <c r="P175" s="125"/>
      <c r="Q175" s="125"/>
      <c r="R175" s="125"/>
      <c r="S175" s="125"/>
      <c r="T175" s="125"/>
      <c r="U175" s="125"/>
      <c r="V175" s="125"/>
      <c r="W175" s="125"/>
      <c r="X175" s="125"/>
      <c r="Y175" s="125"/>
      <c r="Z175" s="125"/>
      <c r="AA175" s="125"/>
      <c r="AB175" s="125"/>
      <c r="AC175" s="125"/>
      <c r="AD175" s="125"/>
    </row>
    <row r="176">
      <c r="A176" s="124"/>
      <c r="B176" s="125"/>
      <c r="C176" s="125"/>
      <c r="D176" s="125"/>
      <c r="E176" s="125"/>
      <c r="F176" s="125"/>
      <c r="G176" s="125"/>
      <c r="H176" s="125"/>
      <c r="I176" s="125"/>
      <c r="J176" s="125"/>
      <c r="K176" s="125"/>
      <c r="L176" s="125"/>
      <c r="M176" s="125"/>
      <c r="N176" s="125"/>
      <c r="O176" s="125"/>
      <c r="P176" s="125"/>
      <c r="Q176" s="125"/>
      <c r="R176" s="125"/>
      <c r="S176" s="125"/>
      <c r="T176" s="125"/>
      <c r="U176" s="125"/>
      <c r="V176" s="125"/>
      <c r="W176" s="125"/>
      <c r="X176" s="125"/>
      <c r="Y176" s="125"/>
      <c r="Z176" s="125"/>
      <c r="AA176" s="125"/>
      <c r="AB176" s="125"/>
      <c r="AC176" s="125"/>
      <c r="AD176" s="125"/>
    </row>
    <row r="177">
      <c r="A177" s="124"/>
      <c r="B177" s="125"/>
      <c r="C177" s="125"/>
      <c r="D177" s="125"/>
      <c r="E177" s="125"/>
      <c r="F177" s="125"/>
      <c r="G177" s="125"/>
      <c r="H177" s="125"/>
      <c r="I177" s="125"/>
      <c r="J177" s="125"/>
      <c r="K177" s="125"/>
      <c r="L177" s="125"/>
      <c r="M177" s="125"/>
      <c r="N177" s="125"/>
      <c r="O177" s="125"/>
      <c r="P177" s="125"/>
      <c r="Q177" s="125"/>
      <c r="R177" s="125"/>
      <c r="S177" s="125"/>
      <c r="T177" s="125"/>
      <c r="U177" s="125"/>
      <c r="V177" s="125"/>
      <c r="W177" s="125"/>
      <c r="X177" s="125"/>
      <c r="Y177" s="125"/>
      <c r="Z177" s="125"/>
      <c r="AA177" s="125"/>
      <c r="AB177" s="125"/>
      <c r="AC177" s="125"/>
      <c r="AD177" s="125"/>
    </row>
    <row r="178">
      <c r="A178" s="124"/>
      <c r="B178" s="125"/>
      <c r="C178" s="125"/>
      <c r="D178" s="125"/>
      <c r="E178" s="125"/>
      <c r="F178" s="125"/>
      <c r="G178" s="125"/>
      <c r="H178" s="125"/>
      <c r="I178" s="125"/>
      <c r="J178" s="125"/>
      <c r="K178" s="125"/>
      <c r="L178" s="125"/>
      <c r="M178" s="125"/>
      <c r="N178" s="125"/>
      <c r="O178" s="125"/>
      <c r="P178" s="125"/>
      <c r="Q178" s="125"/>
      <c r="R178" s="125"/>
      <c r="S178" s="125"/>
      <c r="T178" s="125"/>
      <c r="U178" s="125"/>
      <c r="V178" s="125"/>
      <c r="W178" s="125"/>
      <c r="X178" s="125"/>
      <c r="Y178" s="125"/>
      <c r="Z178" s="125"/>
      <c r="AA178" s="125"/>
      <c r="AB178" s="125"/>
      <c r="AC178" s="125"/>
      <c r="AD178" s="125"/>
    </row>
    <row r="179">
      <c r="A179" s="124"/>
      <c r="B179" s="125"/>
      <c r="C179" s="125"/>
      <c r="D179" s="125"/>
      <c r="E179" s="125"/>
      <c r="F179" s="125"/>
      <c r="G179" s="125"/>
      <c r="H179" s="125"/>
      <c r="I179" s="125"/>
      <c r="J179" s="125"/>
      <c r="K179" s="125"/>
      <c r="L179" s="125"/>
      <c r="M179" s="125"/>
      <c r="N179" s="125"/>
      <c r="O179" s="125"/>
      <c r="P179" s="125"/>
      <c r="Q179" s="125"/>
      <c r="R179" s="125"/>
      <c r="S179" s="125"/>
      <c r="T179" s="125"/>
      <c r="U179" s="125"/>
      <c r="V179" s="125"/>
      <c r="W179" s="125"/>
      <c r="X179" s="125"/>
      <c r="Y179" s="125"/>
      <c r="Z179" s="125"/>
      <c r="AA179" s="125"/>
      <c r="AB179" s="125"/>
      <c r="AC179" s="125"/>
      <c r="AD179" s="125"/>
    </row>
    <row r="180">
      <c r="A180" s="124"/>
      <c r="B180" s="125"/>
      <c r="C180" s="125"/>
      <c r="D180" s="125"/>
      <c r="E180" s="125"/>
      <c r="F180" s="125"/>
      <c r="G180" s="125"/>
      <c r="H180" s="125"/>
      <c r="I180" s="125"/>
      <c r="J180" s="125"/>
      <c r="K180" s="125"/>
      <c r="L180" s="125"/>
      <c r="M180" s="125"/>
      <c r="N180" s="125"/>
      <c r="O180" s="125"/>
      <c r="P180" s="125"/>
      <c r="Q180" s="125"/>
      <c r="R180" s="125"/>
      <c r="S180" s="125"/>
      <c r="T180" s="125"/>
      <c r="U180" s="125"/>
      <c r="V180" s="125"/>
      <c r="W180" s="125"/>
      <c r="X180" s="125"/>
      <c r="Y180" s="125"/>
      <c r="Z180" s="125"/>
      <c r="AA180" s="125"/>
      <c r="AB180" s="125"/>
      <c r="AC180" s="125"/>
      <c r="AD180" s="125"/>
    </row>
    <row r="181">
      <c r="A181" s="124"/>
      <c r="B181" s="125"/>
      <c r="C181" s="125"/>
      <c r="D181" s="125"/>
      <c r="E181" s="125"/>
      <c r="F181" s="125"/>
      <c r="G181" s="125"/>
      <c r="H181" s="125"/>
      <c r="I181" s="125"/>
      <c r="J181" s="125"/>
      <c r="K181" s="125"/>
      <c r="L181" s="125"/>
      <c r="M181" s="125"/>
      <c r="N181" s="125"/>
      <c r="O181" s="125"/>
      <c r="P181" s="125"/>
      <c r="Q181" s="125"/>
      <c r="R181" s="125"/>
      <c r="S181" s="125"/>
      <c r="T181" s="125"/>
      <c r="U181" s="125"/>
      <c r="V181" s="125"/>
      <c r="W181" s="125"/>
      <c r="X181" s="125"/>
      <c r="Y181" s="125"/>
      <c r="Z181" s="125"/>
      <c r="AA181" s="125"/>
      <c r="AB181" s="125"/>
      <c r="AC181" s="125"/>
      <c r="AD181" s="125"/>
    </row>
    <row r="182">
      <c r="A182" s="124"/>
      <c r="B182" s="125"/>
      <c r="C182" s="125"/>
      <c r="D182" s="125"/>
      <c r="E182" s="125"/>
      <c r="F182" s="125"/>
      <c r="G182" s="125"/>
      <c r="H182" s="125"/>
      <c r="I182" s="125"/>
      <c r="J182" s="125"/>
      <c r="K182" s="125"/>
      <c r="L182" s="125"/>
      <c r="M182" s="125"/>
      <c r="N182" s="125"/>
      <c r="O182" s="125"/>
      <c r="P182" s="125"/>
      <c r="Q182" s="125"/>
      <c r="R182" s="125"/>
      <c r="S182" s="125"/>
      <c r="T182" s="125"/>
      <c r="U182" s="125"/>
      <c r="V182" s="125"/>
      <c r="W182" s="125"/>
      <c r="X182" s="125"/>
      <c r="Y182" s="125"/>
      <c r="Z182" s="125"/>
      <c r="AA182" s="125"/>
      <c r="AB182" s="125"/>
      <c r="AC182" s="125"/>
      <c r="AD182" s="125"/>
    </row>
    <row r="183">
      <c r="A183" s="124"/>
      <c r="B183" s="125"/>
      <c r="C183" s="125"/>
      <c r="D183" s="125"/>
      <c r="E183" s="125"/>
      <c r="F183" s="125"/>
      <c r="G183" s="125"/>
      <c r="H183" s="125"/>
      <c r="I183" s="125"/>
      <c r="J183" s="125"/>
      <c r="K183" s="125"/>
      <c r="L183" s="125"/>
      <c r="M183" s="125"/>
      <c r="N183" s="125"/>
      <c r="O183" s="125"/>
      <c r="P183" s="125"/>
      <c r="Q183" s="125"/>
      <c r="R183" s="125"/>
      <c r="S183" s="125"/>
      <c r="T183" s="125"/>
      <c r="U183" s="125"/>
      <c r="V183" s="125"/>
      <c r="W183" s="125"/>
      <c r="X183" s="125"/>
      <c r="Y183" s="125"/>
      <c r="Z183" s="125"/>
      <c r="AA183" s="125"/>
      <c r="AB183" s="125"/>
      <c r="AC183" s="125"/>
      <c r="AD183" s="125"/>
    </row>
    <row r="184">
      <c r="A184" s="124"/>
      <c r="B184" s="125"/>
      <c r="C184" s="125"/>
      <c r="D184" s="125"/>
      <c r="E184" s="125"/>
      <c r="F184" s="125"/>
      <c r="G184" s="125"/>
      <c r="H184" s="125"/>
      <c r="I184" s="125"/>
      <c r="J184" s="125"/>
      <c r="K184" s="125"/>
      <c r="L184" s="125"/>
      <c r="M184" s="125"/>
      <c r="N184" s="125"/>
      <c r="O184" s="125"/>
      <c r="P184" s="125"/>
      <c r="Q184" s="125"/>
      <c r="R184" s="125"/>
      <c r="S184" s="125"/>
      <c r="T184" s="125"/>
      <c r="U184" s="125"/>
      <c r="V184" s="125"/>
      <c r="W184" s="125"/>
      <c r="X184" s="125"/>
      <c r="Y184" s="125"/>
      <c r="Z184" s="125"/>
      <c r="AA184" s="125"/>
      <c r="AB184" s="125"/>
      <c r="AC184" s="125"/>
      <c r="AD184" s="125"/>
    </row>
    <row r="185">
      <c r="A185" s="124"/>
      <c r="B185" s="125"/>
      <c r="C185" s="125"/>
      <c r="D185" s="125"/>
      <c r="E185" s="125"/>
      <c r="F185" s="125"/>
      <c r="G185" s="125"/>
      <c r="H185" s="125"/>
      <c r="I185" s="125"/>
      <c r="J185" s="125"/>
      <c r="K185" s="125"/>
      <c r="L185" s="125"/>
      <c r="M185" s="125"/>
      <c r="N185" s="125"/>
      <c r="O185" s="125"/>
      <c r="P185" s="125"/>
      <c r="Q185" s="125"/>
      <c r="R185" s="125"/>
      <c r="S185" s="125"/>
      <c r="T185" s="125"/>
      <c r="U185" s="125"/>
      <c r="V185" s="125"/>
      <c r="W185" s="125"/>
      <c r="X185" s="125"/>
      <c r="Y185" s="125"/>
      <c r="Z185" s="125"/>
      <c r="AA185" s="125"/>
      <c r="AB185" s="125"/>
      <c r="AC185" s="125"/>
      <c r="AD185" s="125"/>
    </row>
    <row r="186">
      <c r="A186" s="124"/>
      <c r="B186" s="125"/>
      <c r="C186" s="125"/>
      <c r="D186" s="125"/>
      <c r="E186" s="125"/>
      <c r="F186" s="125"/>
      <c r="G186" s="125"/>
      <c r="H186" s="125"/>
      <c r="I186" s="125"/>
      <c r="J186" s="125"/>
      <c r="K186" s="125"/>
      <c r="L186" s="125"/>
      <c r="M186" s="125"/>
      <c r="N186" s="125"/>
      <c r="O186" s="125"/>
      <c r="P186" s="125"/>
      <c r="Q186" s="125"/>
      <c r="R186" s="125"/>
      <c r="S186" s="125"/>
      <c r="T186" s="125"/>
      <c r="U186" s="125"/>
      <c r="V186" s="125"/>
      <c r="W186" s="125"/>
      <c r="X186" s="125"/>
      <c r="Y186" s="125"/>
      <c r="Z186" s="125"/>
      <c r="AA186" s="125"/>
      <c r="AB186" s="125"/>
      <c r="AC186" s="125"/>
      <c r="AD186" s="125"/>
    </row>
    <row r="187">
      <c r="A187" s="124"/>
      <c r="B187" s="125"/>
      <c r="C187" s="125"/>
      <c r="D187" s="125"/>
      <c r="E187" s="125"/>
      <c r="F187" s="125"/>
      <c r="G187" s="125"/>
      <c r="H187" s="125"/>
      <c r="I187" s="125"/>
      <c r="J187" s="125"/>
      <c r="K187" s="125"/>
      <c r="L187" s="125"/>
      <c r="M187" s="125"/>
      <c r="N187" s="125"/>
      <c r="O187" s="125"/>
      <c r="P187" s="125"/>
      <c r="Q187" s="125"/>
      <c r="R187" s="125"/>
      <c r="S187" s="125"/>
      <c r="T187" s="125"/>
      <c r="U187" s="125"/>
      <c r="V187" s="125"/>
      <c r="W187" s="125"/>
      <c r="X187" s="125"/>
      <c r="Y187" s="125"/>
      <c r="Z187" s="125"/>
      <c r="AA187" s="125"/>
      <c r="AB187" s="125"/>
      <c r="AC187" s="125"/>
      <c r="AD187" s="125"/>
    </row>
    <row r="188">
      <c r="A188" s="124"/>
      <c r="B188" s="125"/>
      <c r="C188" s="125"/>
      <c r="D188" s="125"/>
      <c r="E188" s="125"/>
      <c r="F188" s="125"/>
      <c r="G188" s="125"/>
      <c r="H188" s="125"/>
      <c r="I188" s="125"/>
      <c r="J188" s="125"/>
      <c r="K188" s="125"/>
      <c r="L188" s="125"/>
      <c r="M188" s="125"/>
      <c r="N188" s="125"/>
      <c r="O188" s="125"/>
      <c r="P188" s="125"/>
      <c r="Q188" s="125"/>
      <c r="R188" s="125"/>
      <c r="S188" s="125"/>
      <c r="T188" s="125"/>
      <c r="U188" s="125"/>
      <c r="V188" s="125"/>
      <c r="W188" s="125"/>
      <c r="X188" s="125"/>
      <c r="Y188" s="125"/>
      <c r="Z188" s="125"/>
      <c r="AA188" s="125"/>
      <c r="AB188" s="125"/>
      <c r="AC188" s="125"/>
      <c r="AD188" s="125"/>
    </row>
    <row r="189">
      <c r="A189" s="124"/>
      <c r="B189" s="125"/>
      <c r="C189" s="125"/>
      <c r="D189" s="125"/>
      <c r="E189" s="125"/>
      <c r="F189" s="125"/>
      <c r="G189" s="125"/>
      <c r="H189" s="125"/>
      <c r="I189" s="125"/>
      <c r="J189" s="125"/>
      <c r="K189" s="125"/>
      <c r="L189" s="125"/>
      <c r="M189" s="125"/>
      <c r="N189" s="125"/>
      <c r="O189" s="125"/>
      <c r="P189" s="125"/>
      <c r="Q189" s="125"/>
      <c r="R189" s="125"/>
      <c r="S189" s="125"/>
      <c r="T189" s="125"/>
      <c r="U189" s="125"/>
      <c r="V189" s="125"/>
      <c r="W189" s="125"/>
      <c r="X189" s="125"/>
      <c r="Y189" s="125"/>
      <c r="Z189" s="125"/>
      <c r="AA189" s="125"/>
      <c r="AB189" s="125"/>
      <c r="AC189" s="125"/>
      <c r="AD189" s="125"/>
    </row>
    <row r="190">
      <c r="A190" s="124"/>
      <c r="B190" s="125"/>
      <c r="C190" s="125"/>
      <c r="D190" s="125"/>
      <c r="E190" s="125"/>
      <c r="F190" s="125"/>
      <c r="G190" s="125"/>
      <c r="H190" s="125"/>
      <c r="I190" s="125"/>
      <c r="J190" s="125"/>
      <c r="K190" s="125"/>
      <c r="L190" s="125"/>
      <c r="M190" s="125"/>
      <c r="N190" s="125"/>
      <c r="O190" s="125"/>
      <c r="P190" s="125"/>
      <c r="Q190" s="125"/>
      <c r="R190" s="125"/>
      <c r="S190" s="125"/>
      <c r="T190" s="125"/>
      <c r="U190" s="125"/>
      <c r="V190" s="125"/>
      <c r="W190" s="125"/>
      <c r="X190" s="125"/>
      <c r="Y190" s="125"/>
      <c r="Z190" s="125"/>
      <c r="AA190" s="125"/>
      <c r="AB190" s="125"/>
      <c r="AC190" s="125"/>
      <c r="AD190" s="125"/>
    </row>
    <row r="191">
      <c r="A191" s="124"/>
      <c r="B191" s="125"/>
      <c r="C191" s="125"/>
      <c r="D191" s="125"/>
      <c r="E191" s="125"/>
      <c r="F191" s="125"/>
      <c r="G191" s="125"/>
      <c r="H191" s="125"/>
      <c r="I191" s="125"/>
      <c r="J191" s="125"/>
      <c r="K191" s="125"/>
      <c r="L191" s="125"/>
      <c r="M191" s="125"/>
      <c r="N191" s="125"/>
      <c r="O191" s="125"/>
      <c r="P191" s="125"/>
      <c r="Q191" s="125"/>
      <c r="R191" s="125"/>
      <c r="S191" s="125"/>
      <c r="T191" s="125"/>
      <c r="U191" s="125"/>
      <c r="V191" s="125"/>
      <c r="W191" s="125"/>
      <c r="X191" s="125"/>
      <c r="Y191" s="125"/>
      <c r="Z191" s="125"/>
      <c r="AA191" s="125"/>
      <c r="AB191" s="125"/>
      <c r="AC191" s="125"/>
      <c r="AD191" s="125"/>
    </row>
    <row r="192">
      <c r="A192" s="124"/>
      <c r="B192" s="125"/>
      <c r="C192" s="125"/>
      <c r="D192" s="125"/>
      <c r="E192" s="125"/>
      <c r="F192" s="125"/>
      <c r="G192" s="125"/>
      <c r="H192" s="125"/>
      <c r="I192" s="125"/>
      <c r="J192" s="125"/>
      <c r="K192" s="125"/>
      <c r="L192" s="125"/>
      <c r="M192" s="125"/>
      <c r="N192" s="125"/>
      <c r="O192" s="125"/>
      <c r="P192" s="125"/>
      <c r="Q192" s="125"/>
      <c r="R192" s="125"/>
      <c r="S192" s="125"/>
      <c r="T192" s="125"/>
      <c r="U192" s="125"/>
      <c r="V192" s="125"/>
      <c r="W192" s="125"/>
      <c r="X192" s="125"/>
      <c r="Y192" s="125"/>
      <c r="Z192" s="125"/>
      <c r="AA192" s="125"/>
      <c r="AB192" s="125"/>
      <c r="AC192" s="125"/>
      <c r="AD192" s="125"/>
    </row>
    <row r="193">
      <c r="A193" s="124"/>
      <c r="B193" s="125"/>
      <c r="C193" s="125"/>
      <c r="D193" s="125"/>
      <c r="E193" s="125"/>
      <c r="F193" s="125"/>
      <c r="G193" s="125"/>
      <c r="H193" s="125"/>
      <c r="I193" s="125"/>
      <c r="J193" s="125"/>
      <c r="K193" s="125"/>
      <c r="L193" s="125"/>
      <c r="M193" s="125"/>
      <c r="N193" s="125"/>
      <c r="O193" s="125"/>
      <c r="P193" s="125"/>
      <c r="Q193" s="125"/>
      <c r="R193" s="125"/>
      <c r="S193" s="125"/>
      <c r="T193" s="125"/>
      <c r="U193" s="125"/>
      <c r="V193" s="125"/>
      <c r="W193" s="125"/>
      <c r="X193" s="125"/>
      <c r="Y193" s="125"/>
      <c r="Z193" s="125"/>
      <c r="AA193" s="125"/>
      <c r="AB193" s="125"/>
      <c r="AC193" s="125"/>
      <c r="AD193" s="125"/>
    </row>
    <row r="194">
      <c r="A194" s="124"/>
      <c r="B194" s="125"/>
      <c r="C194" s="125"/>
      <c r="D194" s="125"/>
      <c r="E194" s="125"/>
      <c r="F194" s="125"/>
      <c r="G194" s="125"/>
      <c r="H194" s="125"/>
      <c r="I194" s="125"/>
      <c r="J194" s="125"/>
      <c r="K194" s="125"/>
      <c r="L194" s="125"/>
      <c r="M194" s="125"/>
      <c r="N194" s="125"/>
      <c r="O194" s="125"/>
      <c r="P194" s="125"/>
      <c r="Q194" s="125"/>
      <c r="R194" s="125"/>
      <c r="S194" s="125"/>
      <c r="T194" s="125"/>
      <c r="U194" s="125"/>
      <c r="V194" s="125"/>
      <c r="W194" s="125"/>
      <c r="X194" s="125"/>
      <c r="Y194" s="125"/>
      <c r="Z194" s="125"/>
      <c r="AA194" s="125"/>
      <c r="AB194" s="125"/>
      <c r="AC194" s="125"/>
      <c r="AD194" s="125"/>
    </row>
    <row r="195">
      <c r="A195" s="124"/>
      <c r="B195" s="125"/>
      <c r="C195" s="125"/>
      <c r="D195" s="125"/>
      <c r="E195" s="125"/>
      <c r="F195" s="125"/>
      <c r="G195" s="125"/>
      <c r="H195" s="125"/>
      <c r="I195" s="125"/>
      <c r="J195" s="125"/>
      <c r="K195" s="125"/>
      <c r="L195" s="125"/>
      <c r="M195" s="125"/>
      <c r="N195" s="125"/>
      <c r="O195" s="125"/>
      <c r="P195" s="125"/>
      <c r="Q195" s="125"/>
      <c r="R195" s="125"/>
      <c r="S195" s="125"/>
      <c r="T195" s="125"/>
      <c r="U195" s="125"/>
      <c r="V195" s="125"/>
      <c r="W195" s="125"/>
      <c r="X195" s="125"/>
      <c r="Y195" s="125"/>
      <c r="Z195" s="125"/>
      <c r="AA195" s="125"/>
      <c r="AB195" s="125"/>
      <c r="AC195" s="125"/>
      <c r="AD195" s="125"/>
    </row>
    <row r="196">
      <c r="A196" s="124"/>
      <c r="B196" s="125"/>
      <c r="C196" s="125"/>
      <c r="D196" s="125"/>
      <c r="E196" s="125"/>
      <c r="F196" s="125"/>
      <c r="G196" s="125"/>
      <c r="H196" s="125"/>
      <c r="I196" s="125"/>
      <c r="J196" s="125"/>
      <c r="K196" s="125"/>
      <c r="L196" s="125"/>
      <c r="M196" s="125"/>
      <c r="N196" s="125"/>
      <c r="O196" s="125"/>
      <c r="P196" s="125"/>
      <c r="Q196" s="125"/>
      <c r="R196" s="125"/>
      <c r="S196" s="125"/>
      <c r="T196" s="125"/>
      <c r="U196" s="125"/>
      <c r="V196" s="125"/>
      <c r="W196" s="125"/>
      <c r="X196" s="125"/>
      <c r="Y196" s="125"/>
      <c r="Z196" s="125"/>
      <c r="AA196" s="125"/>
      <c r="AB196" s="125"/>
      <c r="AC196" s="125"/>
      <c r="AD196" s="125"/>
    </row>
    <row r="197">
      <c r="A197" s="124"/>
      <c r="B197" s="125"/>
      <c r="C197" s="125"/>
      <c r="D197" s="125"/>
      <c r="E197" s="125"/>
      <c r="F197" s="125"/>
      <c r="G197" s="125"/>
      <c r="H197" s="125"/>
      <c r="I197" s="125"/>
      <c r="J197" s="125"/>
      <c r="K197" s="125"/>
      <c r="L197" s="125"/>
      <c r="M197" s="125"/>
      <c r="N197" s="125"/>
      <c r="O197" s="125"/>
      <c r="P197" s="125"/>
      <c r="Q197" s="125"/>
      <c r="R197" s="125"/>
      <c r="S197" s="125"/>
      <c r="T197" s="125"/>
      <c r="U197" s="125"/>
      <c r="V197" s="125"/>
      <c r="W197" s="125"/>
      <c r="X197" s="125"/>
      <c r="Y197" s="125"/>
      <c r="Z197" s="125"/>
      <c r="AA197" s="125"/>
      <c r="AB197" s="125"/>
      <c r="AC197" s="125"/>
      <c r="AD197" s="125"/>
    </row>
    <row r="198">
      <c r="A198" s="124"/>
      <c r="B198" s="125"/>
      <c r="C198" s="125"/>
      <c r="D198" s="125"/>
      <c r="E198" s="125"/>
      <c r="F198" s="125"/>
      <c r="G198" s="125"/>
      <c r="H198" s="125"/>
      <c r="I198" s="125"/>
      <c r="J198" s="125"/>
      <c r="K198" s="125"/>
      <c r="L198" s="125"/>
      <c r="M198" s="125"/>
      <c r="N198" s="125"/>
      <c r="O198" s="125"/>
      <c r="P198" s="125"/>
      <c r="Q198" s="125"/>
      <c r="R198" s="125"/>
      <c r="S198" s="125"/>
      <c r="T198" s="125"/>
      <c r="U198" s="125"/>
      <c r="V198" s="125"/>
      <c r="W198" s="125"/>
      <c r="X198" s="125"/>
      <c r="Y198" s="125"/>
      <c r="Z198" s="125"/>
      <c r="AA198" s="125"/>
      <c r="AB198" s="125"/>
      <c r="AC198" s="125"/>
      <c r="AD198" s="125"/>
    </row>
    <row r="199">
      <c r="A199" s="124"/>
      <c r="B199" s="125"/>
      <c r="C199" s="125"/>
      <c r="D199" s="125"/>
      <c r="E199" s="125"/>
      <c r="F199" s="125"/>
      <c r="G199" s="125"/>
      <c r="H199" s="125"/>
      <c r="I199" s="125"/>
      <c r="J199" s="125"/>
      <c r="K199" s="125"/>
      <c r="L199" s="125"/>
      <c r="M199" s="125"/>
      <c r="N199" s="125"/>
      <c r="O199" s="125"/>
      <c r="P199" s="125"/>
      <c r="Q199" s="125"/>
      <c r="R199" s="125"/>
      <c r="S199" s="125"/>
      <c r="T199" s="125"/>
      <c r="U199" s="125"/>
      <c r="V199" s="125"/>
      <c r="W199" s="125"/>
      <c r="X199" s="125"/>
      <c r="Y199" s="125"/>
      <c r="Z199" s="125"/>
      <c r="AA199" s="125"/>
      <c r="AB199" s="125"/>
      <c r="AC199" s="125"/>
      <c r="AD199" s="125"/>
    </row>
    <row r="200">
      <c r="A200" s="124"/>
      <c r="B200" s="125"/>
      <c r="C200" s="125"/>
      <c r="D200" s="125"/>
      <c r="E200" s="125"/>
      <c r="F200" s="125"/>
      <c r="G200" s="125"/>
      <c r="H200" s="125"/>
      <c r="I200" s="125"/>
      <c r="J200" s="125"/>
      <c r="K200" s="125"/>
      <c r="L200" s="125"/>
      <c r="M200" s="125"/>
      <c r="N200" s="125"/>
      <c r="O200" s="125"/>
      <c r="P200" s="125"/>
      <c r="Q200" s="125"/>
      <c r="R200" s="125"/>
      <c r="S200" s="125"/>
      <c r="T200" s="125"/>
      <c r="U200" s="125"/>
      <c r="V200" s="125"/>
      <c r="W200" s="125"/>
      <c r="X200" s="125"/>
      <c r="Y200" s="125"/>
      <c r="Z200" s="125"/>
      <c r="AA200" s="125"/>
      <c r="AB200" s="125"/>
      <c r="AC200" s="125"/>
      <c r="AD200" s="125"/>
    </row>
    <row r="201">
      <c r="A201" s="124"/>
      <c r="B201" s="125"/>
      <c r="C201" s="125"/>
      <c r="D201" s="125"/>
      <c r="E201" s="125"/>
      <c r="F201" s="125"/>
      <c r="G201" s="125"/>
      <c r="H201" s="125"/>
      <c r="I201" s="125"/>
      <c r="J201" s="125"/>
      <c r="K201" s="125"/>
      <c r="L201" s="125"/>
      <c r="M201" s="125"/>
      <c r="N201" s="125"/>
      <c r="O201" s="125"/>
      <c r="P201" s="125"/>
      <c r="Q201" s="125"/>
      <c r="R201" s="125"/>
      <c r="S201" s="125"/>
      <c r="T201" s="125"/>
      <c r="U201" s="125"/>
      <c r="V201" s="125"/>
      <c r="W201" s="125"/>
      <c r="X201" s="125"/>
      <c r="Y201" s="125"/>
      <c r="Z201" s="125"/>
      <c r="AA201" s="125"/>
      <c r="AB201" s="125"/>
      <c r="AC201" s="125"/>
      <c r="AD201" s="125"/>
    </row>
    <row r="202">
      <c r="A202" s="124"/>
      <c r="B202" s="125"/>
      <c r="C202" s="125"/>
      <c r="D202" s="125"/>
      <c r="E202" s="125"/>
      <c r="F202" s="125"/>
      <c r="G202" s="125"/>
      <c r="H202" s="125"/>
      <c r="I202" s="125"/>
      <c r="J202" s="125"/>
      <c r="K202" s="125"/>
      <c r="L202" s="125"/>
      <c r="M202" s="125"/>
      <c r="N202" s="125"/>
      <c r="O202" s="125"/>
      <c r="P202" s="125"/>
      <c r="Q202" s="125"/>
      <c r="R202" s="125"/>
      <c r="S202" s="125"/>
      <c r="T202" s="125"/>
      <c r="U202" s="125"/>
      <c r="V202" s="125"/>
      <c r="W202" s="125"/>
      <c r="X202" s="125"/>
      <c r="Y202" s="125"/>
      <c r="Z202" s="125"/>
      <c r="AA202" s="125"/>
      <c r="AB202" s="125"/>
      <c r="AC202" s="125"/>
      <c r="AD202" s="125"/>
    </row>
    <row r="203">
      <c r="A203" s="124"/>
      <c r="B203" s="125"/>
      <c r="C203" s="125"/>
      <c r="D203" s="125"/>
      <c r="E203" s="125"/>
      <c r="F203" s="125"/>
      <c r="G203" s="125"/>
      <c r="H203" s="125"/>
      <c r="I203" s="125"/>
      <c r="J203" s="125"/>
      <c r="K203" s="125"/>
      <c r="L203" s="125"/>
      <c r="M203" s="125"/>
      <c r="N203" s="125"/>
      <c r="O203" s="125"/>
      <c r="P203" s="125"/>
      <c r="Q203" s="125"/>
      <c r="R203" s="125"/>
      <c r="S203" s="125"/>
      <c r="T203" s="125"/>
      <c r="U203" s="125"/>
      <c r="V203" s="125"/>
      <c r="W203" s="125"/>
      <c r="X203" s="125"/>
      <c r="Y203" s="125"/>
      <c r="Z203" s="125"/>
      <c r="AA203" s="125"/>
      <c r="AB203" s="125"/>
      <c r="AC203" s="125"/>
      <c r="AD203" s="125"/>
    </row>
    <row r="204">
      <c r="A204" s="124"/>
      <c r="B204" s="125"/>
      <c r="C204" s="125"/>
      <c r="D204" s="125"/>
      <c r="E204" s="125"/>
      <c r="F204" s="125"/>
      <c r="G204" s="125"/>
      <c r="H204" s="125"/>
      <c r="I204" s="125"/>
      <c r="J204" s="125"/>
      <c r="K204" s="125"/>
      <c r="L204" s="125"/>
      <c r="M204" s="125"/>
      <c r="N204" s="125"/>
      <c r="O204" s="125"/>
      <c r="P204" s="125"/>
      <c r="Q204" s="125"/>
      <c r="R204" s="125"/>
      <c r="S204" s="125"/>
      <c r="T204" s="125"/>
      <c r="U204" s="125"/>
      <c r="V204" s="125"/>
      <c r="W204" s="125"/>
      <c r="X204" s="125"/>
      <c r="Y204" s="125"/>
      <c r="Z204" s="125"/>
      <c r="AA204" s="125"/>
      <c r="AB204" s="125"/>
      <c r="AC204" s="125"/>
      <c r="AD204" s="125"/>
    </row>
    <row r="205">
      <c r="A205" s="124"/>
      <c r="B205" s="125"/>
      <c r="C205" s="125"/>
      <c r="D205" s="125"/>
      <c r="E205" s="125"/>
      <c r="F205" s="125"/>
      <c r="G205" s="125"/>
      <c r="H205" s="125"/>
      <c r="I205" s="125"/>
      <c r="J205" s="125"/>
      <c r="K205" s="125"/>
      <c r="L205" s="125"/>
      <c r="M205" s="125"/>
      <c r="N205" s="125"/>
      <c r="O205" s="125"/>
      <c r="P205" s="125"/>
      <c r="Q205" s="125"/>
      <c r="R205" s="125"/>
      <c r="S205" s="125"/>
      <c r="T205" s="125"/>
      <c r="U205" s="125"/>
      <c r="V205" s="125"/>
      <c r="W205" s="125"/>
      <c r="X205" s="125"/>
      <c r="Y205" s="125"/>
      <c r="Z205" s="125"/>
      <c r="AA205" s="125"/>
      <c r="AB205" s="125"/>
      <c r="AC205" s="125"/>
      <c r="AD205" s="125"/>
    </row>
    <row r="206">
      <c r="A206" s="124"/>
      <c r="B206" s="125"/>
      <c r="C206" s="125"/>
      <c r="D206" s="125"/>
      <c r="E206" s="125"/>
      <c r="F206" s="125"/>
      <c r="G206" s="125"/>
      <c r="H206" s="125"/>
      <c r="I206" s="125"/>
      <c r="J206" s="125"/>
      <c r="K206" s="125"/>
      <c r="L206" s="125"/>
      <c r="M206" s="125"/>
      <c r="N206" s="125"/>
      <c r="O206" s="125"/>
      <c r="P206" s="125"/>
      <c r="Q206" s="125"/>
      <c r="R206" s="125"/>
      <c r="S206" s="125"/>
      <c r="T206" s="125"/>
      <c r="U206" s="125"/>
      <c r="V206" s="125"/>
      <c r="W206" s="125"/>
      <c r="X206" s="125"/>
      <c r="Y206" s="125"/>
      <c r="Z206" s="125"/>
      <c r="AA206" s="125"/>
      <c r="AB206" s="125"/>
      <c r="AC206" s="125"/>
      <c r="AD206" s="125"/>
    </row>
    <row r="207">
      <c r="A207" s="124"/>
      <c r="B207" s="125"/>
      <c r="C207" s="125"/>
      <c r="D207" s="125"/>
      <c r="E207" s="125"/>
      <c r="F207" s="125"/>
      <c r="G207" s="125"/>
      <c r="H207" s="125"/>
      <c r="I207" s="125"/>
      <c r="J207" s="125"/>
      <c r="K207" s="125"/>
      <c r="L207" s="125"/>
      <c r="M207" s="125"/>
      <c r="N207" s="125"/>
      <c r="O207" s="125"/>
      <c r="P207" s="125"/>
      <c r="Q207" s="125"/>
      <c r="R207" s="125"/>
      <c r="S207" s="125"/>
      <c r="T207" s="125"/>
      <c r="U207" s="125"/>
      <c r="V207" s="125"/>
      <c r="W207" s="125"/>
      <c r="X207" s="125"/>
      <c r="Y207" s="125"/>
      <c r="Z207" s="125"/>
      <c r="AA207" s="125"/>
      <c r="AB207" s="125"/>
      <c r="AC207" s="125"/>
      <c r="AD207" s="125"/>
    </row>
    <row r="208">
      <c r="A208" s="124"/>
      <c r="B208" s="125"/>
      <c r="C208" s="125"/>
      <c r="D208" s="125"/>
      <c r="E208" s="125"/>
      <c r="F208" s="125"/>
      <c r="G208" s="125"/>
      <c r="H208" s="125"/>
      <c r="I208" s="125"/>
      <c r="J208" s="125"/>
      <c r="K208" s="125"/>
      <c r="L208" s="125"/>
      <c r="M208" s="125"/>
      <c r="N208" s="125"/>
      <c r="O208" s="125"/>
      <c r="P208" s="125"/>
      <c r="Q208" s="125"/>
      <c r="R208" s="125"/>
      <c r="S208" s="125"/>
      <c r="T208" s="125"/>
      <c r="U208" s="125"/>
      <c r="V208" s="125"/>
      <c r="W208" s="125"/>
      <c r="X208" s="125"/>
      <c r="Y208" s="125"/>
      <c r="Z208" s="125"/>
      <c r="AA208" s="125"/>
      <c r="AB208" s="125"/>
      <c r="AC208" s="125"/>
      <c r="AD208" s="125"/>
    </row>
    <row r="209">
      <c r="A209" s="124"/>
      <c r="B209" s="125"/>
      <c r="C209" s="125"/>
      <c r="D209" s="125"/>
      <c r="E209" s="125"/>
      <c r="F209" s="125"/>
      <c r="G209" s="125"/>
      <c r="H209" s="125"/>
      <c r="I209" s="125"/>
      <c r="J209" s="125"/>
      <c r="K209" s="125"/>
      <c r="L209" s="125"/>
      <c r="M209" s="125"/>
      <c r="N209" s="125"/>
      <c r="O209" s="125"/>
      <c r="P209" s="125"/>
      <c r="Q209" s="125"/>
      <c r="R209" s="125"/>
      <c r="S209" s="125"/>
      <c r="T209" s="125"/>
      <c r="U209" s="125"/>
      <c r="V209" s="125"/>
      <c r="W209" s="125"/>
      <c r="X209" s="125"/>
      <c r="Y209" s="125"/>
      <c r="Z209" s="125"/>
      <c r="AA209" s="125"/>
      <c r="AB209" s="125"/>
      <c r="AC209" s="125"/>
      <c r="AD209" s="125"/>
    </row>
    <row r="210">
      <c r="A210" s="124"/>
      <c r="B210" s="125"/>
      <c r="C210" s="125"/>
      <c r="D210" s="125"/>
      <c r="E210" s="125"/>
      <c r="F210" s="125"/>
      <c r="G210" s="125"/>
      <c r="H210" s="125"/>
      <c r="I210" s="125"/>
      <c r="J210" s="125"/>
      <c r="K210" s="125"/>
      <c r="L210" s="125"/>
      <c r="M210" s="125"/>
      <c r="N210" s="125"/>
      <c r="O210" s="125"/>
      <c r="P210" s="125"/>
      <c r="Q210" s="125"/>
      <c r="R210" s="125"/>
      <c r="S210" s="125"/>
      <c r="T210" s="125"/>
      <c r="U210" s="125"/>
      <c r="V210" s="125"/>
      <c r="W210" s="125"/>
      <c r="X210" s="125"/>
      <c r="Y210" s="125"/>
      <c r="Z210" s="125"/>
      <c r="AA210" s="125"/>
      <c r="AB210" s="125"/>
      <c r="AC210" s="125"/>
      <c r="AD210" s="125"/>
    </row>
    <row r="211">
      <c r="A211" s="124"/>
      <c r="B211" s="125"/>
      <c r="C211" s="125"/>
      <c r="D211" s="125"/>
      <c r="E211" s="125"/>
      <c r="F211" s="125"/>
      <c r="G211" s="125"/>
      <c r="H211" s="125"/>
      <c r="I211" s="125"/>
      <c r="J211" s="125"/>
      <c r="K211" s="125"/>
      <c r="L211" s="125"/>
      <c r="M211" s="125"/>
      <c r="N211" s="125"/>
      <c r="O211" s="125"/>
      <c r="P211" s="125"/>
      <c r="Q211" s="125"/>
      <c r="R211" s="125"/>
      <c r="S211" s="125"/>
      <c r="T211" s="125"/>
      <c r="U211" s="125"/>
      <c r="V211" s="125"/>
      <c r="W211" s="125"/>
      <c r="X211" s="125"/>
      <c r="Y211" s="125"/>
      <c r="Z211" s="125"/>
      <c r="AA211" s="125"/>
      <c r="AB211" s="125"/>
      <c r="AC211" s="125"/>
      <c r="AD211" s="125"/>
    </row>
    <row r="212">
      <c r="A212" s="124"/>
      <c r="B212" s="125"/>
      <c r="C212" s="125"/>
      <c r="D212" s="125"/>
      <c r="E212" s="125"/>
      <c r="F212" s="125"/>
      <c r="G212" s="125"/>
      <c r="H212" s="125"/>
      <c r="I212" s="125"/>
      <c r="J212" s="125"/>
      <c r="K212" s="125"/>
      <c r="L212" s="125"/>
      <c r="M212" s="125"/>
      <c r="N212" s="125"/>
      <c r="O212" s="125"/>
      <c r="P212" s="125"/>
      <c r="Q212" s="125"/>
      <c r="R212" s="125"/>
      <c r="S212" s="125"/>
      <c r="T212" s="125"/>
      <c r="U212" s="125"/>
      <c r="V212" s="125"/>
      <c r="W212" s="125"/>
      <c r="X212" s="125"/>
      <c r="Y212" s="125"/>
      <c r="Z212" s="125"/>
      <c r="AA212" s="125"/>
      <c r="AB212" s="125"/>
      <c r="AC212" s="125"/>
      <c r="AD212" s="125"/>
    </row>
    <row r="213">
      <c r="A213" s="124"/>
      <c r="B213" s="125"/>
      <c r="C213" s="125"/>
      <c r="D213" s="125"/>
      <c r="E213" s="125"/>
      <c r="F213" s="125"/>
      <c r="G213" s="125"/>
      <c r="H213" s="125"/>
      <c r="I213" s="125"/>
      <c r="J213" s="125"/>
      <c r="K213" s="125"/>
      <c r="L213" s="125"/>
      <c r="M213" s="125"/>
      <c r="N213" s="125"/>
      <c r="O213" s="125"/>
      <c r="P213" s="125"/>
      <c r="Q213" s="125"/>
      <c r="R213" s="125"/>
      <c r="S213" s="125"/>
      <c r="T213" s="125"/>
      <c r="U213" s="125"/>
      <c r="V213" s="125"/>
      <c r="W213" s="125"/>
      <c r="X213" s="125"/>
      <c r="Y213" s="125"/>
      <c r="Z213" s="125"/>
      <c r="AA213" s="125"/>
      <c r="AB213" s="125"/>
      <c r="AC213" s="125"/>
      <c r="AD213" s="125"/>
    </row>
    <row r="214">
      <c r="A214" s="124"/>
      <c r="B214" s="125"/>
      <c r="C214" s="125"/>
      <c r="D214" s="125"/>
      <c r="E214" s="125"/>
      <c r="F214" s="125"/>
      <c r="G214" s="125"/>
      <c r="H214" s="125"/>
      <c r="I214" s="125"/>
      <c r="J214" s="125"/>
      <c r="K214" s="125"/>
      <c r="L214" s="125"/>
      <c r="M214" s="125"/>
      <c r="N214" s="125"/>
      <c r="O214" s="125"/>
      <c r="P214" s="125"/>
      <c r="Q214" s="125"/>
      <c r="R214" s="125"/>
      <c r="S214" s="125"/>
      <c r="T214" s="125"/>
      <c r="U214" s="125"/>
      <c r="V214" s="125"/>
      <c r="W214" s="125"/>
      <c r="X214" s="125"/>
      <c r="Y214" s="125"/>
      <c r="Z214" s="125"/>
      <c r="AA214" s="125"/>
      <c r="AB214" s="125"/>
      <c r="AC214" s="125"/>
      <c r="AD214" s="125"/>
    </row>
    <row r="215">
      <c r="A215" s="124"/>
      <c r="B215" s="125"/>
      <c r="C215" s="125"/>
      <c r="D215" s="125"/>
      <c r="E215" s="125"/>
      <c r="F215" s="125"/>
      <c r="G215" s="125"/>
      <c r="H215" s="125"/>
      <c r="I215" s="125"/>
      <c r="J215" s="125"/>
      <c r="K215" s="125"/>
      <c r="L215" s="125"/>
      <c r="M215" s="125"/>
      <c r="N215" s="125"/>
      <c r="O215" s="125"/>
      <c r="P215" s="125"/>
      <c r="Q215" s="125"/>
      <c r="R215" s="125"/>
      <c r="S215" s="125"/>
      <c r="T215" s="125"/>
      <c r="U215" s="125"/>
      <c r="V215" s="125"/>
      <c r="W215" s="125"/>
      <c r="X215" s="125"/>
      <c r="Y215" s="125"/>
      <c r="Z215" s="125"/>
      <c r="AA215" s="125"/>
      <c r="AB215" s="125"/>
      <c r="AC215" s="125"/>
      <c r="AD215" s="125"/>
    </row>
    <row r="216">
      <c r="A216" s="124"/>
      <c r="B216" s="125"/>
      <c r="C216" s="125"/>
      <c r="D216" s="125"/>
      <c r="E216" s="125"/>
      <c r="F216" s="125"/>
      <c r="G216" s="125"/>
      <c r="H216" s="125"/>
      <c r="I216" s="125"/>
      <c r="J216" s="125"/>
      <c r="K216" s="125"/>
      <c r="L216" s="125"/>
      <c r="M216" s="125"/>
      <c r="N216" s="125"/>
      <c r="O216" s="125"/>
      <c r="P216" s="125"/>
      <c r="Q216" s="125"/>
      <c r="R216" s="125"/>
      <c r="S216" s="125"/>
      <c r="T216" s="125"/>
      <c r="U216" s="125"/>
      <c r="V216" s="125"/>
      <c r="W216" s="125"/>
      <c r="X216" s="125"/>
      <c r="Y216" s="125"/>
      <c r="Z216" s="125"/>
      <c r="AA216" s="125"/>
      <c r="AB216" s="125"/>
      <c r="AC216" s="125"/>
      <c r="AD216" s="125"/>
    </row>
    <row r="217">
      <c r="A217" s="124"/>
      <c r="B217" s="125"/>
      <c r="C217" s="125"/>
      <c r="D217" s="125"/>
      <c r="E217" s="125"/>
      <c r="F217" s="125"/>
      <c r="G217" s="125"/>
      <c r="H217" s="125"/>
      <c r="I217" s="125"/>
      <c r="J217" s="125"/>
      <c r="K217" s="125"/>
      <c r="L217" s="125"/>
      <c r="M217" s="125"/>
      <c r="N217" s="125"/>
      <c r="O217" s="125"/>
      <c r="P217" s="125"/>
      <c r="Q217" s="125"/>
      <c r="R217" s="125"/>
      <c r="S217" s="125"/>
      <c r="T217" s="125"/>
      <c r="U217" s="125"/>
      <c r="V217" s="125"/>
      <c r="W217" s="125"/>
      <c r="X217" s="125"/>
      <c r="Y217" s="125"/>
      <c r="Z217" s="125"/>
      <c r="AA217" s="125"/>
      <c r="AB217" s="125"/>
      <c r="AC217" s="125"/>
      <c r="AD217" s="125"/>
    </row>
    <row r="218">
      <c r="A218" s="124"/>
      <c r="B218" s="125"/>
      <c r="C218" s="125"/>
      <c r="D218" s="125"/>
      <c r="E218" s="125"/>
      <c r="F218" s="125"/>
      <c r="G218" s="125"/>
      <c r="H218" s="125"/>
      <c r="I218" s="125"/>
      <c r="J218" s="125"/>
      <c r="K218" s="125"/>
      <c r="L218" s="125"/>
      <c r="M218" s="125"/>
      <c r="N218" s="125"/>
      <c r="O218" s="125"/>
      <c r="P218" s="125"/>
      <c r="Q218" s="125"/>
      <c r="R218" s="125"/>
      <c r="S218" s="125"/>
      <c r="T218" s="125"/>
      <c r="U218" s="125"/>
      <c r="V218" s="125"/>
      <c r="W218" s="125"/>
      <c r="X218" s="125"/>
      <c r="Y218" s="125"/>
      <c r="Z218" s="125"/>
      <c r="AA218" s="125"/>
      <c r="AB218" s="125"/>
      <c r="AC218" s="125"/>
      <c r="AD218" s="125"/>
    </row>
    <row r="219">
      <c r="A219" s="124"/>
      <c r="B219" s="125"/>
      <c r="C219" s="125"/>
      <c r="D219" s="125"/>
      <c r="E219" s="125"/>
      <c r="F219" s="125"/>
      <c r="G219" s="125"/>
      <c r="H219" s="125"/>
      <c r="I219" s="125"/>
      <c r="J219" s="125"/>
      <c r="K219" s="125"/>
      <c r="L219" s="125"/>
      <c r="M219" s="125"/>
      <c r="N219" s="125"/>
      <c r="O219" s="125"/>
      <c r="P219" s="125"/>
      <c r="Q219" s="125"/>
      <c r="R219" s="125"/>
      <c r="S219" s="125"/>
      <c r="T219" s="125"/>
      <c r="U219" s="125"/>
      <c r="V219" s="125"/>
      <c r="W219" s="125"/>
      <c r="X219" s="125"/>
      <c r="Y219" s="125"/>
      <c r="Z219" s="125"/>
      <c r="AA219" s="125"/>
      <c r="AB219" s="125"/>
      <c r="AC219" s="125"/>
      <c r="AD219" s="125"/>
    </row>
    <row r="220">
      <c r="A220" s="124"/>
      <c r="B220" s="125"/>
      <c r="C220" s="125"/>
      <c r="D220" s="125"/>
      <c r="E220" s="125"/>
      <c r="F220" s="125"/>
      <c r="G220" s="125"/>
      <c r="H220" s="125"/>
      <c r="I220" s="125"/>
      <c r="J220" s="125"/>
      <c r="K220" s="125"/>
      <c r="L220" s="125"/>
      <c r="M220" s="125"/>
      <c r="N220" s="125"/>
      <c r="O220" s="125"/>
      <c r="P220" s="125"/>
      <c r="Q220" s="125"/>
      <c r="R220" s="125"/>
      <c r="S220" s="125"/>
      <c r="T220" s="125"/>
      <c r="U220" s="125"/>
      <c r="V220" s="125"/>
      <c r="W220" s="125"/>
      <c r="X220" s="125"/>
      <c r="Y220" s="125"/>
      <c r="Z220" s="125"/>
      <c r="AA220" s="125"/>
      <c r="AB220" s="125"/>
      <c r="AC220" s="125"/>
      <c r="AD220" s="125"/>
    </row>
    <row r="221">
      <c r="A221" s="124"/>
      <c r="B221" s="125"/>
      <c r="C221" s="125"/>
      <c r="D221" s="125"/>
      <c r="E221" s="125"/>
      <c r="F221" s="125"/>
      <c r="G221" s="125"/>
      <c r="H221" s="125"/>
      <c r="I221" s="125"/>
      <c r="J221" s="125"/>
      <c r="K221" s="125"/>
      <c r="L221" s="125"/>
      <c r="M221" s="125"/>
      <c r="N221" s="125"/>
      <c r="O221" s="125"/>
      <c r="P221" s="125"/>
      <c r="Q221" s="125"/>
      <c r="R221" s="125"/>
      <c r="S221" s="125"/>
      <c r="T221" s="125"/>
      <c r="U221" s="125"/>
      <c r="V221" s="125"/>
      <c r="W221" s="125"/>
      <c r="X221" s="125"/>
      <c r="Y221" s="125"/>
      <c r="Z221" s="125"/>
      <c r="AA221" s="125"/>
      <c r="AB221" s="125"/>
      <c r="AC221" s="125"/>
      <c r="AD221" s="125"/>
    </row>
    <row r="222">
      <c r="A222" s="124"/>
      <c r="B222" s="125"/>
      <c r="C222" s="125"/>
      <c r="D222" s="125"/>
      <c r="E222" s="125"/>
      <c r="F222" s="125"/>
      <c r="G222" s="125"/>
      <c r="H222" s="125"/>
      <c r="I222" s="125"/>
      <c r="J222" s="125"/>
      <c r="K222" s="125"/>
      <c r="L222" s="125"/>
      <c r="M222" s="125"/>
      <c r="N222" s="125"/>
      <c r="O222" s="125"/>
      <c r="P222" s="125"/>
      <c r="Q222" s="125"/>
      <c r="R222" s="125"/>
      <c r="S222" s="125"/>
      <c r="T222" s="125"/>
      <c r="U222" s="125"/>
      <c r="V222" s="125"/>
      <c r="W222" s="125"/>
      <c r="X222" s="125"/>
      <c r="Y222" s="125"/>
      <c r="Z222" s="125"/>
      <c r="AA222" s="125"/>
      <c r="AB222" s="125"/>
      <c r="AC222" s="125"/>
      <c r="AD222" s="125"/>
    </row>
    <row r="223">
      <c r="A223" s="124"/>
      <c r="B223" s="125"/>
      <c r="C223" s="125"/>
      <c r="D223" s="125"/>
      <c r="E223" s="125"/>
      <c r="F223" s="125"/>
      <c r="G223" s="125"/>
      <c r="H223" s="125"/>
      <c r="I223" s="125"/>
      <c r="J223" s="125"/>
      <c r="K223" s="125"/>
      <c r="L223" s="125"/>
      <c r="M223" s="125"/>
      <c r="N223" s="125"/>
      <c r="O223" s="125"/>
      <c r="P223" s="125"/>
      <c r="Q223" s="125"/>
      <c r="R223" s="125"/>
      <c r="S223" s="125"/>
      <c r="T223" s="125"/>
      <c r="U223" s="125"/>
      <c r="V223" s="125"/>
      <c r="W223" s="125"/>
      <c r="X223" s="125"/>
      <c r="Y223" s="125"/>
      <c r="Z223" s="125"/>
      <c r="AA223" s="125"/>
      <c r="AB223" s="125"/>
      <c r="AC223" s="125"/>
      <c r="AD223" s="125"/>
    </row>
    <row r="224">
      <c r="A224" s="124"/>
      <c r="B224" s="125"/>
      <c r="C224" s="125"/>
      <c r="D224" s="125"/>
      <c r="E224" s="125"/>
      <c r="F224" s="125"/>
      <c r="G224" s="125"/>
      <c r="H224" s="125"/>
      <c r="I224" s="125"/>
      <c r="J224" s="125"/>
      <c r="K224" s="125"/>
      <c r="L224" s="125"/>
      <c r="M224" s="125"/>
      <c r="N224" s="125"/>
      <c r="O224" s="125"/>
      <c r="P224" s="125"/>
      <c r="Q224" s="125"/>
      <c r="R224" s="125"/>
      <c r="S224" s="125"/>
      <c r="T224" s="125"/>
      <c r="U224" s="125"/>
      <c r="V224" s="125"/>
      <c r="W224" s="125"/>
      <c r="X224" s="125"/>
      <c r="Y224" s="125"/>
      <c r="Z224" s="125"/>
      <c r="AA224" s="125"/>
      <c r="AB224" s="125"/>
      <c r="AC224" s="125"/>
      <c r="AD224" s="125"/>
    </row>
    <row r="225">
      <c r="A225" s="124"/>
      <c r="B225" s="125"/>
      <c r="C225" s="125"/>
      <c r="D225" s="125"/>
      <c r="E225" s="125"/>
      <c r="F225" s="125"/>
      <c r="G225" s="125"/>
      <c r="H225" s="125"/>
      <c r="I225" s="125"/>
      <c r="J225" s="125"/>
      <c r="K225" s="125"/>
      <c r="L225" s="125"/>
      <c r="M225" s="125"/>
      <c r="N225" s="125"/>
      <c r="O225" s="125"/>
      <c r="P225" s="125"/>
      <c r="Q225" s="125"/>
      <c r="R225" s="125"/>
      <c r="S225" s="125"/>
      <c r="T225" s="125"/>
      <c r="U225" s="125"/>
      <c r="V225" s="125"/>
      <c r="W225" s="125"/>
      <c r="X225" s="125"/>
      <c r="Y225" s="125"/>
      <c r="Z225" s="125"/>
      <c r="AA225" s="125"/>
      <c r="AB225" s="125"/>
      <c r="AC225" s="125"/>
      <c r="AD225" s="125"/>
    </row>
    <row r="226">
      <c r="A226" s="124"/>
      <c r="B226" s="125"/>
      <c r="C226" s="125"/>
      <c r="D226" s="125"/>
      <c r="E226" s="125"/>
      <c r="F226" s="125"/>
      <c r="G226" s="125"/>
      <c r="H226" s="125"/>
      <c r="I226" s="125"/>
      <c r="J226" s="125"/>
      <c r="K226" s="125"/>
      <c r="L226" s="125"/>
      <c r="M226" s="125"/>
      <c r="N226" s="125"/>
      <c r="O226" s="125"/>
      <c r="P226" s="125"/>
      <c r="Q226" s="125"/>
      <c r="R226" s="125"/>
      <c r="S226" s="125"/>
      <c r="T226" s="125"/>
      <c r="U226" s="125"/>
      <c r="V226" s="125"/>
      <c r="W226" s="125"/>
      <c r="X226" s="125"/>
      <c r="Y226" s="125"/>
      <c r="Z226" s="125"/>
      <c r="AA226" s="125"/>
      <c r="AB226" s="125"/>
      <c r="AC226" s="125"/>
      <c r="AD226" s="125"/>
    </row>
    <row r="227">
      <c r="A227" s="124"/>
      <c r="B227" s="125"/>
      <c r="C227" s="125"/>
      <c r="D227" s="125"/>
      <c r="E227" s="125"/>
      <c r="F227" s="125"/>
      <c r="G227" s="125"/>
      <c r="H227" s="125"/>
      <c r="I227" s="125"/>
      <c r="J227" s="125"/>
      <c r="K227" s="125"/>
      <c r="L227" s="125"/>
      <c r="M227" s="125"/>
      <c r="N227" s="125"/>
      <c r="O227" s="125"/>
      <c r="P227" s="125"/>
      <c r="Q227" s="125"/>
      <c r="R227" s="125"/>
      <c r="S227" s="125"/>
      <c r="T227" s="125"/>
      <c r="U227" s="125"/>
      <c r="V227" s="125"/>
      <c r="W227" s="125"/>
      <c r="X227" s="125"/>
      <c r="Y227" s="125"/>
      <c r="Z227" s="125"/>
      <c r="AA227" s="125"/>
      <c r="AB227" s="125"/>
      <c r="AC227" s="125"/>
      <c r="AD227" s="125"/>
    </row>
    <row r="228">
      <c r="A228" s="124"/>
      <c r="B228" s="125"/>
      <c r="C228" s="125"/>
      <c r="D228" s="125"/>
      <c r="E228" s="125"/>
      <c r="F228" s="125"/>
      <c r="G228" s="125"/>
      <c r="H228" s="125"/>
      <c r="I228" s="125"/>
      <c r="J228" s="125"/>
      <c r="K228" s="125"/>
      <c r="L228" s="125"/>
      <c r="M228" s="125"/>
      <c r="N228" s="125"/>
      <c r="O228" s="125"/>
      <c r="P228" s="125"/>
      <c r="Q228" s="125"/>
      <c r="R228" s="125"/>
      <c r="S228" s="125"/>
      <c r="T228" s="125"/>
      <c r="U228" s="125"/>
      <c r="V228" s="125"/>
      <c r="W228" s="125"/>
      <c r="X228" s="125"/>
      <c r="Y228" s="125"/>
      <c r="Z228" s="125"/>
      <c r="AA228" s="125"/>
      <c r="AB228" s="125"/>
      <c r="AC228" s="125"/>
      <c r="AD228" s="125"/>
    </row>
    <row r="229">
      <c r="A229" s="124"/>
      <c r="B229" s="125"/>
      <c r="C229" s="125"/>
      <c r="D229" s="125"/>
      <c r="E229" s="125"/>
      <c r="F229" s="125"/>
      <c r="G229" s="125"/>
      <c r="H229" s="125"/>
      <c r="I229" s="125"/>
      <c r="J229" s="125"/>
      <c r="K229" s="125"/>
      <c r="L229" s="125"/>
      <c r="M229" s="125"/>
      <c r="N229" s="125"/>
      <c r="O229" s="125"/>
      <c r="P229" s="125"/>
      <c r="Q229" s="125"/>
      <c r="R229" s="125"/>
      <c r="S229" s="125"/>
      <c r="T229" s="125"/>
      <c r="U229" s="125"/>
      <c r="V229" s="125"/>
      <c r="W229" s="125"/>
      <c r="X229" s="125"/>
      <c r="Y229" s="125"/>
      <c r="Z229" s="125"/>
      <c r="AA229" s="125"/>
      <c r="AB229" s="125"/>
      <c r="AC229" s="125"/>
      <c r="AD229" s="125"/>
    </row>
    <row r="230">
      <c r="A230" s="124"/>
      <c r="B230" s="125"/>
      <c r="C230" s="125"/>
      <c r="D230" s="125"/>
      <c r="E230" s="125"/>
      <c r="F230" s="125"/>
      <c r="G230" s="125"/>
      <c r="H230" s="125"/>
      <c r="I230" s="125"/>
      <c r="J230" s="125"/>
      <c r="K230" s="125"/>
      <c r="L230" s="125"/>
      <c r="M230" s="125"/>
      <c r="N230" s="125"/>
      <c r="O230" s="125"/>
      <c r="P230" s="125"/>
      <c r="Q230" s="125"/>
      <c r="R230" s="125"/>
      <c r="S230" s="125"/>
      <c r="T230" s="125"/>
      <c r="U230" s="125"/>
      <c r="V230" s="125"/>
      <c r="W230" s="125"/>
      <c r="X230" s="125"/>
      <c r="Y230" s="125"/>
      <c r="Z230" s="125"/>
      <c r="AA230" s="125"/>
      <c r="AB230" s="125"/>
      <c r="AC230" s="125"/>
      <c r="AD230" s="125"/>
    </row>
    <row r="231">
      <c r="A231" s="124"/>
      <c r="B231" s="125"/>
      <c r="C231" s="125"/>
      <c r="D231" s="125"/>
      <c r="E231" s="125"/>
      <c r="F231" s="125"/>
      <c r="G231" s="125"/>
      <c r="H231" s="125"/>
      <c r="I231" s="125"/>
      <c r="J231" s="125"/>
      <c r="K231" s="125"/>
      <c r="L231" s="125"/>
      <c r="M231" s="125"/>
      <c r="N231" s="125"/>
      <c r="O231" s="125"/>
      <c r="P231" s="125"/>
      <c r="Q231" s="125"/>
      <c r="R231" s="125"/>
      <c r="S231" s="125"/>
      <c r="T231" s="125"/>
      <c r="U231" s="125"/>
      <c r="V231" s="125"/>
      <c r="W231" s="125"/>
      <c r="X231" s="125"/>
      <c r="Y231" s="125"/>
      <c r="Z231" s="125"/>
      <c r="AA231" s="125"/>
      <c r="AB231" s="125"/>
      <c r="AC231" s="125"/>
      <c r="AD231" s="125"/>
    </row>
    <row r="232">
      <c r="A232" s="124"/>
      <c r="B232" s="125"/>
      <c r="C232" s="125"/>
      <c r="D232" s="125"/>
      <c r="E232" s="125"/>
      <c r="F232" s="125"/>
      <c r="G232" s="125"/>
      <c r="H232" s="125"/>
      <c r="I232" s="125"/>
      <c r="J232" s="125"/>
      <c r="K232" s="125"/>
      <c r="L232" s="125"/>
      <c r="M232" s="125"/>
      <c r="N232" s="125"/>
      <c r="O232" s="125"/>
      <c r="P232" s="125"/>
      <c r="Q232" s="125"/>
      <c r="R232" s="125"/>
      <c r="S232" s="125"/>
      <c r="T232" s="125"/>
      <c r="U232" s="125"/>
      <c r="V232" s="125"/>
      <c r="W232" s="125"/>
      <c r="X232" s="125"/>
      <c r="Y232" s="125"/>
      <c r="Z232" s="125"/>
      <c r="AA232" s="125"/>
      <c r="AB232" s="125"/>
      <c r="AC232" s="125"/>
      <c r="AD232" s="125"/>
    </row>
    <row r="233">
      <c r="A233" s="124"/>
      <c r="B233" s="125"/>
      <c r="C233" s="125"/>
      <c r="D233" s="125"/>
      <c r="E233" s="125"/>
      <c r="F233" s="125"/>
      <c r="G233" s="125"/>
      <c r="H233" s="125"/>
      <c r="I233" s="125"/>
      <c r="J233" s="125"/>
      <c r="K233" s="125"/>
      <c r="L233" s="125"/>
      <c r="M233" s="125"/>
      <c r="N233" s="125"/>
      <c r="O233" s="125"/>
      <c r="P233" s="125"/>
      <c r="Q233" s="125"/>
      <c r="R233" s="125"/>
      <c r="S233" s="125"/>
      <c r="T233" s="125"/>
      <c r="U233" s="125"/>
      <c r="V233" s="125"/>
      <c r="W233" s="125"/>
      <c r="X233" s="125"/>
      <c r="Y233" s="125"/>
      <c r="Z233" s="125"/>
      <c r="AA233" s="125"/>
      <c r="AB233" s="125"/>
      <c r="AC233" s="125"/>
      <c r="AD233" s="125"/>
    </row>
    <row r="234">
      <c r="A234" s="124"/>
      <c r="B234" s="125"/>
      <c r="C234" s="125"/>
      <c r="D234" s="125"/>
      <c r="E234" s="125"/>
      <c r="F234" s="125"/>
      <c r="G234" s="125"/>
      <c r="H234" s="125"/>
      <c r="I234" s="125"/>
      <c r="J234" s="125"/>
      <c r="K234" s="125"/>
      <c r="L234" s="125"/>
      <c r="M234" s="125"/>
      <c r="N234" s="125"/>
      <c r="O234" s="125"/>
      <c r="P234" s="125"/>
      <c r="Q234" s="125"/>
      <c r="R234" s="125"/>
      <c r="S234" s="125"/>
      <c r="T234" s="125"/>
      <c r="U234" s="125"/>
      <c r="V234" s="125"/>
      <c r="W234" s="125"/>
      <c r="X234" s="125"/>
      <c r="Y234" s="125"/>
      <c r="Z234" s="125"/>
      <c r="AA234" s="125"/>
      <c r="AB234" s="125"/>
      <c r="AC234" s="125"/>
      <c r="AD234" s="125"/>
    </row>
    <row r="235">
      <c r="A235" s="124"/>
      <c r="B235" s="125"/>
      <c r="C235" s="125"/>
      <c r="D235" s="125"/>
      <c r="E235" s="125"/>
      <c r="F235" s="125"/>
      <c r="G235" s="125"/>
      <c r="H235" s="125"/>
      <c r="I235" s="125"/>
      <c r="J235" s="125"/>
      <c r="K235" s="125"/>
      <c r="L235" s="125"/>
      <c r="M235" s="125"/>
      <c r="N235" s="125"/>
      <c r="O235" s="125"/>
      <c r="P235" s="125"/>
      <c r="Q235" s="125"/>
      <c r="R235" s="125"/>
      <c r="S235" s="125"/>
      <c r="T235" s="125"/>
      <c r="U235" s="125"/>
      <c r="V235" s="125"/>
      <c r="W235" s="125"/>
      <c r="X235" s="125"/>
      <c r="Y235" s="125"/>
      <c r="Z235" s="125"/>
      <c r="AA235" s="125"/>
      <c r="AB235" s="125"/>
      <c r="AC235" s="125"/>
      <c r="AD235" s="125"/>
    </row>
    <row r="236">
      <c r="A236" s="124"/>
      <c r="B236" s="125"/>
      <c r="C236" s="125"/>
      <c r="D236" s="125"/>
      <c r="E236" s="125"/>
      <c r="F236" s="125"/>
      <c r="G236" s="125"/>
      <c r="H236" s="125"/>
      <c r="I236" s="125"/>
      <c r="J236" s="125"/>
      <c r="K236" s="125"/>
      <c r="L236" s="125"/>
      <c r="M236" s="125"/>
      <c r="N236" s="125"/>
      <c r="O236" s="125"/>
      <c r="P236" s="125"/>
      <c r="Q236" s="125"/>
      <c r="R236" s="125"/>
      <c r="S236" s="125"/>
      <c r="T236" s="125"/>
      <c r="U236" s="125"/>
      <c r="V236" s="125"/>
      <c r="W236" s="125"/>
      <c r="X236" s="125"/>
      <c r="Y236" s="125"/>
      <c r="Z236" s="125"/>
      <c r="AA236" s="125"/>
      <c r="AB236" s="125"/>
      <c r="AC236" s="125"/>
      <c r="AD236" s="125"/>
    </row>
    <row r="237">
      <c r="A237" s="124"/>
      <c r="B237" s="125"/>
      <c r="C237" s="125"/>
      <c r="D237" s="125"/>
      <c r="E237" s="125"/>
      <c r="F237" s="125"/>
      <c r="G237" s="125"/>
      <c r="H237" s="125"/>
      <c r="I237" s="125"/>
      <c r="J237" s="125"/>
      <c r="K237" s="125"/>
      <c r="L237" s="125"/>
      <c r="M237" s="125"/>
      <c r="N237" s="125"/>
      <c r="O237" s="125"/>
      <c r="P237" s="125"/>
      <c r="Q237" s="125"/>
      <c r="R237" s="125"/>
      <c r="S237" s="125"/>
      <c r="T237" s="125"/>
      <c r="U237" s="125"/>
      <c r="V237" s="125"/>
      <c r="W237" s="125"/>
      <c r="X237" s="125"/>
      <c r="Y237" s="125"/>
      <c r="Z237" s="125"/>
      <c r="AA237" s="125"/>
      <c r="AB237" s="125"/>
      <c r="AC237" s="125"/>
      <c r="AD237" s="125"/>
    </row>
    <row r="238">
      <c r="A238" s="124"/>
      <c r="B238" s="125"/>
      <c r="C238" s="125"/>
      <c r="D238" s="125"/>
      <c r="E238" s="125"/>
      <c r="F238" s="125"/>
      <c r="G238" s="125"/>
      <c r="H238" s="125"/>
      <c r="I238" s="125"/>
      <c r="J238" s="125"/>
      <c r="K238" s="125"/>
      <c r="L238" s="125"/>
      <c r="M238" s="125"/>
      <c r="N238" s="125"/>
      <c r="O238" s="125"/>
      <c r="P238" s="125"/>
      <c r="Q238" s="125"/>
      <c r="R238" s="125"/>
      <c r="S238" s="125"/>
      <c r="T238" s="125"/>
      <c r="U238" s="125"/>
      <c r="V238" s="125"/>
      <c r="W238" s="125"/>
      <c r="X238" s="125"/>
      <c r="Y238" s="125"/>
      <c r="Z238" s="125"/>
      <c r="AA238" s="125"/>
      <c r="AB238" s="125"/>
      <c r="AC238" s="125"/>
      <c r="AD238" s="125"/>
    </row>
    <row r="239">
      <c r="A239" s="124"/>
      <c r="B239" s="125"/>
      <c r="C239" s="125"/>
      <c r="D239" s="125"/>
      <c r="E239" s="125"/>
      <c r="F239" s="125"/>
      <c r="G239" s="125"/>
      <c r="H239" s="125"/>
      <c r="I239" s="125"/>
      <c r="J239" s="125"/>
      <c r="K239" s="125"/>
      <c r="L239" s="125"/>
      <c r="M239" s="125"/>
      <c r="N239" s="125"/>
      <c r="O239" s="125"/>
      <c r="P239" s="125"/>
      <c r="Q239" s="125"/>
      <c r="R239" s="125"/>
      <c r="S239" s="125"/>
      <c r="T239" s="125"/>
      <c r="U239" s="125"/>
      <c r="V239" s="125"/>
      <c r="W239" s="125"/>
      <c r="X239" s="125"/>
      <c r="Y239" s="125"/>
      <c r="Z239" s="125"/>
      <c r="AA239" s="125"/>
      <c r="AB239" s="125"/>
      <c r="AC239" s="125"/>
      <c r="AD239" s="125"/>
    </row>
    <row r="240">
      <c r="A240" s="124"/>
      <c r="B240" s="125"/>
      <c r="C240" s="125"/>
      <c r="D240" s="125"/>
      <c r="E240" s="125"/>
      <c r="F240" s="125"/>
      <c r="G240" s="125"/>
      <c r="H240" s="125"/>
      <c r="I240" s="125"/>
      <c r="J240" s="125"/>
      <c r="K240" s="125"/>
      <c r="L240" s="125"/>
      <c r="M240" s="125"/>
      <c r="N240" s="125"/>
      <c r="O240" s="125"/>
      <c r="P240" s="125"/>
      <c r="Q240" s="125"/>
      <c r="R240" s="125"/>
      <c r="S240" s="125"/>
      <c r="T240" s="125"/>
      <c r="U240" s="125"/>
      <c r="V240" s="125"/>
      <c r="W240" s="125"/>
      <c r="X240" s="125"/>
      <c r="Y240" s="125"/>
      <c r="Z240" s="125"/>
      <c r="AA240" s="125"/>
      <c r="AB240" s="125"/>
      <c r="AC240" s="125"/>
      <c r="AD240" s="125"/>
    </row>
    <row r="241">
      <c r="A241" s="124"/>
      <c r="B241" s="125"/>
      <c r="C241" s="125"/>
      <c r="D241" s="125"/>
      <c r="E241" s="125"/>
      <c r="F241" s="125"/>
      <c r="G241" s="125"/>
      <c r="H241" s="125"/>
      <c r="I241" s="125"/>
      <c r="J241" s="125"/>
      <c r="K241" s="125"/>
      <c r="L241" s="125"/>
      <c r="M241" s="125"/>
      <c r="N241" s="125"/>
      <c r="O241" s="125"/>
      <c r="P241" s="125"/>
      <c r="Q241" s="125"/>
      <c r="R241" s="125"/>
      <c r="S241" s="125"/>
      <c r="T241" s="125"/>
      <c r="U241" s="125"/>
      <c r="V241" s="125"/>
      <c r="W241" s="125"/>
      <c r="X241" s="125"/>
      <c r="Y241" s="125"/>
      <c r="Z241" s="125"/>
      <c r="AA241" s="125"/>
      <c r="AB241" s="125"/>
      <c r="AC241" s="125"/>
      <c r="AD241" s="125"/>
    </row>
    <row r="242">
      <c r="A242" s="124"/>
      <c r="B242" s="125"/>
      <c r="C242" s="125"/>
      <c r="D242" s="125"/>
      <c r="E242" s="125"/>
      <c r="F242" s="125"/>
      <c r="G242" s="125"/>
      <c r="H242" s="125"/>
      <c r="I242" s="125"/>
      <c r="J242" s="125"/>
      <c r="K242" s="125"/>
      <c r="L242" s="125"/>
      <c r="M242" s="125"/>
      <c r="N242" s="125"/>
      <c r="O242" s="125"/>
      <c r="P242" s="125"/>
      <c r="Q242" s="125"/>
      <c r="R242" s="125"/>
      <c r="S242" s="125"/>
      <c r="T242" s="125"/>
      <c r="U242" s="125"/>
      <c r="V242" s="125"/>
      <c r="W242" s="125"/>
      <c r="X242" s="125"/>
      <c r="Y242" s="125"/>
      <c r="Z242" s="125"/>
      <c r="AA242" s="125"/>
      <c r="AB242" s="125"/>
      <c r="AC242" s="125"/>
      <c r="AD242" s="125"/>
    </row>
    <row r="243">
      <c r="A243" s="124"/>
      <c r="B243" s="125"/>
      <c r="C243" s="125"/>
      <c r="D243" s="125"/>
      <c r="E243" s="125"/>
      <c r="F243" s="125"/>
      <c r="G243" s="125"/>
      <c r="H243" s="125"/>
      <c r="I243" s="125"/>
      <c r="J243" s="125"/>
      <c r="K243" s="125"/>
      <c r="L243" s="125"/>
      <c r="M243" s="125"/>
      <c r="N243" s="125"/>
      <c r="O243" s="125"/>
      <c r="P243" s="125"/>
      <c r="Q243" s="125"/>
      <c r="R243" s="125"/>
      <c r="S243" s="125"/>
      <c r="T243" s="125"/>
      <c r="U243" s="125"/>
      <c r="V243" s="125"/>
      <c r="W243" s="125"/>
      <c r="X243" s="125"/>
      <c r="Y243" s="125"/>
      <c r="Z243" s="125"/>
      <c r="AA243" s="125"/>
      <c r="AB243" s="125"/>
      <c r="AC243" s="125"/>
      <c r="AD243" s="125"/>
    </row>
    <row r="244">
      <c r="A244" s="124"/>
      <c r="B244" s="125"/>
      <c r="C244" s="125"/>
      <c r="D244" s="125"/>
      <c r="E244" s="125"/>
      <c r="F244" s="125"/>
      <c r="G244" s="125"/>
      <c r="H244" s="125"/>
      <c r="I244" s="125"/>
      <c r="J244" s="125"/>
      <c r="K244" s="125"/>
      <c r="L244" s="125"/>
      <c r="M244" s="125"/>
      <c r="N244" s="125"/>
      <c r="O244" s="125"/>
      <c r="P244" s="125"/>
      <c r="Q244" s="125"/>
      <c r="R244" s="125"/>
      <c r="S244" s="125"/>
      <c r="T244" s="125"/>
      <c r="U244" s="125"/>
      <c r="V244" s="125"/>
      <c r="W244" s="125"/>
      <c r="X244" s="125"/>
      <c r="Y244" s="125"/>
      <c r="Z244" s="125"/>
      <c r="AA244" s="125"/>
      <c r="AB244" s="125"/>
      <c r="AC244" s="125"/>
      <c r="AD244" s="125"/>
    </row>
    <row r="245">
      <c r="A245" s="124"/>
      <c r="B245" s="125"/>
      <c r="C245" s="125"/>
      <c r="D245" s="125"/>
      <c r="E245" s="125"/>
      <c r="F245" s="125"/>
      <c r="G245" s="125"/>
      <c r="H245" s="125"/>
      <c r="I245" s="125"/>
      <c r="J245" s="125"/>
      <c r="K245" s="125"/>
      <c r="L245" s="125"/>
      <c r="M245" s="125"/>
      <c r="N245" s="125"/>
      <c r="O245" s="125"/>
      <c r="P245" s="125"/>
      <c r="Q245" s="125"/>
      <c r="R245" s="125"/>
      <c r="S245" s="125"/>
      <c r="T245" s="125"/>
      <c r="U245" s="125"/>
      <c r="V245" s="125"/>
      <c r="W245" s="125"/>
      <c r="X245" s="125"/>
      <c r="Y245" s="125"/>
      <c r="Z245" s="125"/>
      <c r="AA245" s="125"/>
      <c r="AB245" s="125"/>
      <c r="AC245" s="125"/>
      <c r="AD245" s="125"/>
    </row>
    <row r="246">
      <c r="A246" s="124"/>
      <c r="B246" s="125"/>
      <c r="C246" s="125"/>
      <c r="D246" s="125"/>
      <c r="E246" s="125"/>
      <c r="F246" s="125"/>
      <c r="G246" s="125"/>
      <c r="H246" s="125"/>
      <c r="I246" s="125"/>
      <c r="J246" s="125"/>
      <c r="K246" s="125"/>
      <c r="L246" s="125"/>
      <c r="M246" s="125"/>
      <c r="N246" s="125"/>
      <c r="O246" s="125"/>
      <c r="P246" s="125"/>
      <c r="Q246" s="125"/>
      <c r="R246" s="125"/>
      <c r="S246" s="125"/>
      <c r="T246" s="125"/>
      <c r="U246" s="125"/>
      <c r="V246" s="125"/>
      <c r="W246" s="125"/>
      <c r="X246" s="125"/>
      <c r="Y246" s="125"/>
      <c r="Z246" s="125"/>
      <c r="AA246" s="125"/>
      <c r="AB246" s="125"/>
      <c r="AC246" s="125"/>
      <c r="AD246" s="125"/>
    </row>
    <row r="247">
      <c r="A247" s="124"/>
      <c r="B247" s="125"/>
      <c r="C247" s="125"/>
      <c r="D247" s="125"/>
      <c r="E247" s="125"/>
      <c r="F247" s="125"/>
      <c r="G247" s="125"/>
      <c r="H247" s="125"/>
      <c r="I247" s="125"/>
      <c r="J247" s="125"/>
      <c r="K247" s="125"/>
      <c r="L247" s="125"/>
      <c r="M247" s="125"/>
      <c r="N247" s="125"/>
      <c r="O247" s="125"/>
      <c r="P247" s="125"/>
      <c r="Q247" s="125"/>
      <c r="R247" s="125"/>
      <c r="S247" s="125"/>
      <c r="T247" s="125"/>
      <c r="U247" s="125"/>
      <c r="V247" s="125"/>
      <c r="W247" s="125"/>
      <c r="X247" s="125"/>
      <c r="Y247" s="125"/>
      <c r="Z247" s="125"/>
      <c r="AA247" s="125"/>
      <c r="AB247" s="125"/>
      <c r="AC247" s="125"/>
      <c r="AD247" s="125"/>
    </row>
    <row r="248">
      <c r="A248" s="124"/>
      <c r="B248" s="125"/>
      <c r="C248" s="125"/>
      <c r="D248" s="125"/>
      <c r="E248" s="125"/>
      <c r="F248" s="125"/>
      <c r="G248" s="125"/>
      <c r="H248" s="125"/>
      <c r="I248" s="125"/>
      <c r="J248" s="125"/>
      <c r="K248" s="125"/>
      <c r="L248" s="125"/>
      <c r="M248" s="125"/>
      <c r="N248" s="125"/>
      <c r="O248" s="125"/>
      <c r="P248" s="125"/>
      <c r="Q248" s="125"/>
      <c r="R248" s="125"/>
      <c r="S248" s="125"/>
      <c r="T248" s="125"/>
      <c r="U248" s="125"/>
      <c r="V248" s="125"/>
      <c r="W248" s="125"/>
      <c r="X248" s="125"/>
      <c r="Y248" s="125"/>
      <c r="Z248" s="125"/>
      <c r="AA248" s="125"/>
      <c r="AB248" s="125"/>
      <c r="AC248" s="125"/>
      <c r="AD248" s="125"/>
    </row>
    <row r="249">
      <c r="A249" s="124"/>
      <c r="B249" s="125"/>
      <c r="C249" s="125"/>
      <c r="D249" s="125"/>
      <c r="E249" s="125"/>
      <c r="F249" s="125"/>
      <c r="G249" s="125"/>
      <c r="H249" s="125"/>
      <c r="I249" s="125"/>
      <c r="J249" s="125"/>
      <c r="K249" s="125"/>
      <c r="L249" s="125"/>
      <c r="M249" s="125"/>
      <c r="N249" s="125"/>
      <c r="O249" s="125"/>
      <c r="P249" s="125"/>
      <c r="Q249" s="125"/>
      <c r="R249" s="125"/>
      <c r="S249" s="125"/>
      <c r="T249" s="125"/>
      <c r="U249" s="125"/>
      <c r="V249" s="125"/>
      <c r="W249" s="125"/>
      <c r="X249" s="125"/>
      <c r="Y249" s="125"/>
      <c r="Z249" s="125"/>
      <c r="AA249" s="125"/>
      <c r="AB249" s="125"/>
      <c r="AC249" s="125"/>
      <c r="AD249" s="125"/>
    </row>
    <row r="250">
      <c r="A250" s="124"/>
      <c r="B250" s="125"/>
      <c r="C250" s="125"/>
      <c r="D250" s="125"/>
      <c r="E250" s="125"/>
      <c r="F250" s="125"/>
      <c r="G250" s="125"/>
      <c r="H250" s="125"/>
      <c r="I250" s="125"/>
      <c r="J250" s="125"/>
      <c r="K250" s="125"/>
      <c r="L250" s="125"/>
      <c r="M250" s="125"/>
      <c r="N250" s="125"/>
      <c r="O250" s="125"/>
      <c r="P250" s="125"/>
      <c r="Q250" s="125"/>
      <c r="R250" s="125"/>
      <c r="S250" s="125"/>
      <c r="T250" s="125"/>
      <c r="U250" s="125"/>
      <c r="V250" s="125"/>
      <c r="W250" s="125"/>
      <c r="X250" s="125"/>
      <c r="Y250" s="125"/>
      <c r="Z250" s="125"/>
      <c r="AA250" s="125"/>
      <c r="AB250" s="125"/>
      <c r="AC250" s="125"/>
      <c r="AD250" s="125"/>
    </row>
    <row r="251">
      <c r="A251" s="124"/>
      <c r="B251" s="125"/>
      <c r="C251" s="125"/>
      <c r="D251" s="125"/>
      <c r="E251" s="125"/>
      <c r="F251" s="125"/>
      <c r="G251" s="125"/>
      <c r="H251" s="125"/>
      <c r="I251" s="125"/>
      <c r="J251" s="125"/>
      <c r="K251" s="125"/>
      <c r="L251" s="125"/>
      <c r="M251" s="125"/>
      <c r="N251" s="125"/>
      <c r="O251" s="125"/>
      <c r="P251" s="125"/>
      <c r="Q251" s="125"/>
      <c r="R251" s="125"/>
      <c r="S251" s="125"/>
      <c r="T251" s="125"/>
      <c r="U251" s="125"/>
      <c r="V251" s="125"/>
      <c r="W251" s="125"/>
      <c r="X251" s="125"/>
      <c r="Y251" s="125"/>
      <c r="Z251" s="125"/>
      <c r="AA251" s="125"/>
      <c r="AB251" s="125"/>
      <c r="AC251" s="125"/>
      <c r="AD251" s="125"/>
    </row>
    <row r="252">
      <c r="A252" s="124"/>
      <c r="B252" s="125"/>
      <c r="C252" s="125"/>
      <c r="D252" s="125"/>
      <c r="E252" s="125"/>
      <c r="F252" s="125"/>
      <c r="G252" s="125"/>
      <c r="H252" s="125"/>
      <c r="I252" s="125"/>
      <c r="J252" s="125"/>
      <c r="K252" s="125"/>
      <c r="L252" s="125"/>
      <c r="M252" s="125"/>
      <c r="N252" s="125"/>
      <c r="O252" s="125"/>
      <c r="P252" s="125"/>
      <c r="Q252" s="125"/>
      <c r="R252" s="125"/>
      <c r="S252" s="125"/>
      <c r="T252" s="125"/>
      <c r="U252" s="125"/>
      <c r="V252" s="125"/>
      <c r="W252" s="125"/>
      <c r="X252" s="125"/>
      <c r="Y252" s="125"/>
      <c r="Z252" s="125"/>
      <c r="AA252" s="125"/>
      <c r="AB252" s="125"/>
      <c r="AC252" s="125"/>
      <c r="AD252" s="125"/>
    </row>
    <row r="253">
      <c r="A253" s="124"/>
      <c r="B253" s="125"/>
      <c r="C253" s="125"/>
      <c r="D253" s="125"/>
      <c r="E253" s="125"/>
      <c r="F253" s="125"/>
      <c r="G253" s="125"/>
      <c r="H253" s="125"/>
      <c r="I253" s="125"/>
      <c r="J253" s="125"/>
      <c r="K253" s="125"/>
      <c r="L253" s="125"/>
      <c r="M253" s="125"/>
      <c r="N253" s="125"/>
      <c r="O253" s="125"/>
      <c r="P253" s="125"/>
      <c r="Q253" s="125"/>
      <c r="R253" s="125"/>
      <c r="S253" s="125"/>
      <c r="T253" s="125"/>
      <c r="U253" s="125"/>
      <c r="V253" s="125"/>
      <c r="W253" s="125"/>
      <c r="X253" s="125"/>
      <c r="Y253" s="125"/>
      <c r="Z253" s="125"/>
      <c r="AA253" s="125"/>
      <c r="AB253" s="125"/>
      <c r="AC253" s="125"/>
      <c r="AD253" s="125"/>
    </row>
    <row r="254">
      <c r="A254" s="124"/>
      <c r="B254" s="125"/>
      <c r="C254" s="125"/>
      <c r="D254" s="125"/>
      <c r="E254" s="125"/>
      <c r="F254" s="125"/>
      <c r="G254" s="125"/>
      <c r="H254" s="125"/>
      <c r="I254" s="125"/>
      <c r="J254" s="125"/>
      <c r="K254" s="125"/>
      <c r="L254" s="125"/>
      <c r="M254" s="125"/>
      <c r="N254" s="125"/>
      <c r="O254" s="125"/>
      <c r="P254" s="125"/>
      <c r="Q254" s="125"/>
      <c r="R254" s="125"/>
      <c r="S254" s="125"/>
      <c r="T254" s="125"/>
      <c r="U254" s="125"/>
      <c r="V254" s="125"/>
      <c r="W254" s="125"/>
      <c r="X254" s="125"/>
      <c r="Y254" s="125"/>
      <c r="Z254" s="125"/>
      <c r="AA254" s="125"/>
      <c r="AB254" s="125"/>
      <c r="AC254" s="125"/>
      <c r="AD254" s="125"/>
    </row>
    <row r="255">
      <c r="A255" s="124"/>
      <c r="B255" s="125"/>
      <c r="C255" s="125"/>
      <c r="D255" s="125"/>
      <c r="E255" s="125"/>
      <c r="F255" s="125"/>
      <c r="G255" s="125"/>
      <c r="H255" s="125"/>
      <c r="I255" s="125"/>
      <c r="J255" s="125"/>
      <c r="K255" s="125"/>
      <c r="L255" s="125"/>
      <c r="M255" s="125"/>
      <c r="N255" s="125"/>
      <c r="O255" s="125"/>
      <c r="P255" s="125"/>
      <c r="Q255" s="125"/>
      <c r="R255" s="125"/>
      <c r="S255" s="125"/>
      <c r="T255" s="125"/>
      <c r="U255" s="125"/>
      <c r="V255" s="125"/>
      <c r="W255" s="125"/>
      <c r="X255" s="125"/>
      <c r="Y255" s="125"/>
      <c r="Z255" s="125"/>
      <c r="AA255" s="125"/>
      <c r="AB255" s="125"/>
      <c r="AC255" s="125"/>
      <c r="AD255" s="125"/>
    </row>
    <row r="256">
      <c r="A256" s="124"/>
      <c r="B256" s="125"/>
      <c r="C256" s="125"/>
      <c r="D256" s="125"/>
      <c r="E256" s="125"/>
      <c r="F256" s="125"/>
      <c r="G256" s="125"/>
      <c r="H256" s="125"/>
      <c r="I256" s="125"/>
      <c r="J256" s="125"/>
      <c r="K256" s="125"/>
      <c r="L256" s="125"/>
      <c r="M256" s="125"/>
      <c r="N256" s="125"/>
      <c r="O256" s="125"/>
      <c r="P256" s="125"/>
      <c r="Q256" s="125"/>
      <c r="R256" s="125"/>
      <c r="S256" s="125"/>
      <c r="T256" s="125"/>
      <c r="U256" s="125"/>
      <c r="V256" s="125"/>
      <c r="W256" s="125"/>
      <c r="X256" s="125"/>
      <c r="Y256" s="125"/>
      <c r="Z256" s="125"/>
      <c r="AA256" s="125"/>
      <c r="AB256" s="125"/>
      <c r="AC256" s="125"/>
      <c r="AD256" s="125"/>
    </row>
    <row r="257">
      <c r="A257" s="124"/>
      <c r="B257" s="125"/>
      <c r="C257" s="125"/>
      <c r="D257" s="125"/>
      <c r="E257" s="125"/>
      <c r="F257" s="125"/>
      <c r="G257" s="125"/>
      <c r="H257" s="125"/>
      <c r="I257" s="125"/>
      <c r="J257" s="125"/>
      <c r="K257" s="125"/>
      <c r="L257" s="125"/>
      <c r="M257" s="125"/>
      <c r="N257" s="125"/>
      <c r="O257" s="125"/>
      <c r="P257" s="125"/>
      <c r="Q257" s="125"/>
      <c r="R257" s="125"/>
      <c r="S257" s="125"/>
      <c r="T257" s="125"/>
      <c r="U257" s="125"/>
      <c r="V257" s="125"/>
      <c r="W257" s="125"/>
      <c r="X257" s="125"/>
      <c r="Y257" s="125"/>
      <c r="Z257" s="125"/>
      <c r="AA257" s="125"/>
      <c r="AB257" s="125"/>
      <c r="AC257" s="125"/>
      <c r="AD257" s="125"/>
    </row>
    <row r="258">
      <c r="A258" s="124"/>
      <c r="B258" s="125"/>
      <c r="C258" s="125"/>
      <c r="D258" s="125"/>
      <c r="E258" s="125"/>
      <c r="F258" s="125"/>
      <c r="G258" s="125"/>
      <c r="H258" s="125"/>
      <c r="I258" s="125"/>
      <c r="J258" s="125"/>
      <c r="K258" s="125"/>
      <c r="L258" s="125"/>
      <c r="M258" s="125"/>
      <c r="N258" s="125"/>
      <c r="O258" s="125"/>
      <c r="P258" s="125"/>
      <c r="Q258" s="125"/>
      <c r="R258" s="125"/>
      <c r="S258" s="125"/>
      <c r="T258" s="125"/>
      <c r="U258" s="125"/>
      <c r="V258" s="125"/>
      <c r="W258" s="125"/>
      <c r="X258" s="125"/>
      <c r="Y258" s="125"/>
      <c r="Z258" s="125"/>
      <c r="AA258" s="125"/>
      <c r="AB258" s="125"/>
      <c r="AC258" s="125"/>
      <c r="AD258" s="125"/>
    </row>
    <row r="259">
      <c r="A259" s="124"/>
      <c r="B259" s="125"/>
      <c r="C259" s="125"/>
      <c r="D259" s="125"/>
      <c r="E259" s="125"/>
      <c r="F259" s="125"/>
      <c r="G259" s="125"/>
      <c r="H259" s="125"/>
      <c r="I259" s="125"/>
      <c r="J259" s="125"/>
      <c r="K259" s="125"/>
      <c r="L259" s="125"/>
      <c r="M259" s="125"/>
      <c r="N259" s="125"/>
      <c r="O259" s="125"/>
      <c r="P259" s="125"/>
      <c r="Q259" s="125"/>
      <c r="R259" s="125"/>
      <c r="S259" s="125"/>
      <c r="T259" s="125"/>
      <c r="U259" s="125"/>
      <c r="V259" s="125"/>
      <c r="W259" s="125"/>
      <c r="X259" s="125"/>
      <c r="Y259" s="125"/>
      <c r="Z259" s="125"/>
      <c r="AA259" s="125"/>
      <c r="AB259" s="125"/>
      <c r="AC259" s="125"/>
      <c r="AD259" s="125"/>
    </row>
    <row r="260">
      <c r="A260" s="124"/>
      <c r="B260" s="125"/>
      <c r="C260" s="125"/>
      <c r="D260" s="125"/>
      <c r="E260" s="125"/>
      <c r="F260" s="125"/>
      <c r="G260" s="125"/>
      <c r="H260" s="125"/>
      <c r="I260" s="125"/>
      <c r="J260" s="125"/>
      <c r="K260" s="125"/>
      <c r="L260" s="125"/>
      <c r="M260" s="125"/>
      <c r="N260" s="125"/>
      <c r="O260" s="125"/>
      <c r="P260" s="125"/>
      <c r="Q260" s="125"/>
      <c r="R260" s="125"/>
      <c r="S260" s="125"/>
      <c r="T260" s="125"/>
      <c r="U260" s="125"/>
      <c r="V260" s="125"/>
      <c r="W260" s="125"/>
      <c r="X260" s="125"/>
      <c r="Y260" s="125"/>
      <c r="Z260" s="125"/>
      <c r="AA260" s="125"/>
      <c r="AB260" s="125"/>
      <c r="AC260" s="125"/>
      <c r="AD260" s="125"/>
    </row>
    <row r="261">
      <c r="A261" s="124"/>
      <c r="B261" s="125"/>
      <c r="C261" s="125"/>
      <c r="D261" s="125"/>
      <c r="E261" s="125"/>
      <c r="F261" s="125"/>
      <c r="G261" s="125"/>
      <c r="H261" s="125"/>
      <c r="I261" s="125"/>
      <c r="J261" s="125"/>
      <c r="K261" s="125"/>
      <c r="L261" s="125"/>
      <c r="M261" s="125"/>
      <c r="N261" s="125"/>
      <c r="O261" s="125"/>
      <c r="P261" s="125"/>
      <c r="Q261" s="125"/>
      <c r="R261" s="125"/>
      <c r="S261" s="125"/>
      <c r="T261" s="125"/>
      <c r="U261" s="125"/>
      <c r="V261" s="125"/>
      <c r="W261" s="125"/>
      <c r="X261" s="125"/>
      <c r="Y261" s="125"/>
      <c r="Z261" s="125"/>
      <c r="AA261" s="125"/>
      <c r="AB261" s="125"/>
      <c r="AC261" s="125"/>
      <c r="AD261" s="125"/>
    </row>
    <row r="262">
      <c r="A262" s="124"/>
      <c r="B262" s="125"/>
      <c r="C262" s="125"/>
      <c r="D262" s="125"/>
      <c r="E262" s="125"/>
      <c r="F262" s="125"/>
      <c r="G262" s="125"/>
      <c r="H262" s="125"/>
      <c r="I262" s="125"/>
      <c r="J262" s="125"/>
      <c r="K262" s="125"/>
      <c r="L262" s="125"/>
      <c r="M262" s="125"/>
      <c r="N262" s="125"/>
      <c r="O262" s="125"/>
      <c r="P262" s="125"/>
      <c r="Q262" s="125"/>
      <c r="R262" s="125"/>
      <c r="S262" s="125"/>
      <c r="T262" s="125"/>
      <c r="U262" s="125"/>
      <c r="V262" s="125"/>
      <c r="W262" s="125"/>
      <c r="X262" s="125"/>
      <c r="Y262" s="125"/>
      <c r="Z262" s="125"/>
      <c r="AA262" s="125"/>
      <c r="AB262" s="125"/>
      <c r="AC262" s="125"/>
      <c r="AD262" s="125"/>
    </row>
    <row r="263">
      <c r="A263" s="124"/>
      <c r="B263" s="125"/>
      <c r="C263" s="125"/>
      <c r="D263" s="125"/>
      <c r="E263" s="125"/>
      <c r="F263" s="125"/>
      <c r="G263" s="125"/>
      <c r="H263" s="125"/>
      <c r="I263" s="125"/>
      <c r="J263" s="125"/>
      <c r="K263" s="125"/>
      <c r="L263" s="125"/>
      <c r="M263" s="125"/>
      <c r="N263" s="125"/>
      <c r="O263" s="125"/>
      <c r="P263" s="125"/>
      <c r="Q263" s="125"/>
      <c r="R263" s="125"/>
      <c r="S263" s="125"/>
      <c r="T263" s="125"/>
      <c r="U263" s="125"/>
      <c r="V263" s="125"/>
      <c r="W263" s="125"/>
      <c r="X263" s="125"/>
      <c r="Y263" s="125"/>
      <c r="Z263" s="125"/>
      <c r="AA263" s="125"/>
      <c r="AB263" s="125"/>
      <c r="AC263" s="125"/>
      <c r="AD263" s="125"/>
    </row>
    <row r="264">
      <c r="A264" s="124"/>
      <c r="B264" s="125"/>
      <c r="C264" s="125"/>
      <c r="D264" s="125"/>
      <c r="E264" s="125"/>
      <c r="F264" s="125"/>
      <c r="G264" s="125"/>
      <c r="H264" s="125"/>
      <c r="I264" s="125"/>
      <c r="J264" s="125"/>
      <c r="K264" s="125"/>
      <c r="L264" s="125"/>
      <c r="M264" s="125"/>
      <c r="N264" s="125"/>
      <c r="O264" s="125"/>
      <c r="P264" s="125"/>
      <c r="Q264" s="125"/>
      <c r="R264" s="125"/>
      <c r="S264" s="125"/>
      <c r="T264" s="125"/>
      <c r="U264" s="125"/>
      <c r="V264" s="125"/>
      <c r="W264" s="125"/>
      <c r="X264" s="125"/>
      <c r="Y264" s="125"/>
      <c r="Z264" s="125"/>
      <c r="AA264" s="125"/>
      <c r="AB264" s="125"/>
      <c r="AC264" s="125"/>
      <c r="AD264" s="125"/>
    </row>
    <row r="265">
      <c r="A265" s="124"/>
      <c r="B265" s="125"/>
      <c r="C265" s="125"/>
      <c r="D265" s="125"/>
      <c r="E265" s="125"/>
      <c r="F265" s="125"/>
      <c r="G265" s="125"/>
      <c r="H265" s="125"/>
      <c r="I265" s="125"/>
      <c r="J265" s="125"/>
      <c r="K265" s="125"/>
      <c r="L265" s="125"/>
      <c r="M265" s="125"/>
      <c r="N265" s="125"/>
      <c r="O265" s="125"/>
      <c r="P265" s="125"/>
      <c r="Q265" s="125"/>
      <c r="R265" s="125"/>
      <c r="S265" s="125"/>
      <c r="T265" s="125"/>
      <c r="U265" s="125"/>
      <c r="V265" s="125"/>
      <c r="W265" s="125"/>
      <c r="X265" s="125"/>
      <c r="Y265" s="125"/>
      <c r="Z265" s="125"/>
      <c r="AA265" s="125"/>
      <c r="AB265" s="125"/>
      <c r="AC265" s="125"/>
      <c r="AD265" s="125"/>
    </row>
    <row r="266">
      <c r="A266" s="124"/>
      <c r="B266" s="125"/>
      <c r="C266" s="125"/>
      <c r="D266" s="125"/>
      <c r="E266" s="125"/>
      <c r="F266" s="125"/>
      <c r="G266" s="125"/>
      <c r="H266" s="125"/>
      <c r="I266" s="125"/>
      <c r="J266" s="125"/>
      <c r="K266" s="125"/>
      <c r="L266" s="125"/>
      <c r="M266" s="125"/>
      <c r="N266" s="125"/>
      <c r="O266" s="125"/>
      <c r="P266" s="125"/>
      <c r="Q266" s="125"/>
      <c r="R266" s="125"/>
      <c r="S266" s="125"/>
      <c r="T266" s="125"/>
      <c r="U266" s="125"/>
      <c r="V266" s="125"/>
      <c r="W266" s="125"/>
      <c r="X266" s="125"/>
      <c r="Y266" s="125"/>
      <c r="Z266" s="125"/>
      <c r="AA266" s="125"/>
      <c r="AB266" s="125"/>
      <c r="AC266" s="125"/>
      <c r="AD266" s="125"/>
    </row>
    <row r="267">
      <c r="A267" s="124"/>
      <c r="B267" s="125"/>
      <c r="C267" s="125"/>
      <c r="D267" s="125"/>
      <c r="E267" s="125"/>
      <c r="F267" s="125"/>
      <c r="G267" s="125"/>
      <c r="H267" s="125"/>
      <c r="I267" s="125"/>
      <c r="J267" s="125"/>
      <c r="K267" s="125"/>
      <c r="L267" s="125"/>
      <c r="M267" s="125"/>
      <c r="N267" s="125"/>
      <c r="O267" s="125"/>
      <c r="P267" s="125"/>
      <c r="Q267" s="125"/>
      <c r="R267" s="125"/>
      <c r="S267" s="125"/>
      <c r="T267" s="125"/>
      <c r="U267" s="125"/>
      <c r="V267" s="125"/>
      <c r="W267" s="125"/>
      <c r="X267" s="125"/>
      <c r="Y267" s="125"/>
      <c r="Z267" s="125"/>
      <c r="AA267" s="125"/>
      <c r="AB267" s="125"/>
      <c r="AC267" s="125"/>
      <c r="AD267" s="125"/>
    </row>
    <row r="268">
      <c r="A268" s="124"/>
      <c r="B268" s="125"/>
      <c r="C268" s="125"/>
      <c r="D268" s="125"/>
      <c r="E268" s="125"/>
      <c r="F268" s="125"/>
      <c r="G268" s="125"/>
      <c r="H268" s="125"/>
      <c r="I268" s="125"/>
      <c r="J268" s="125"/>
      <c r="K268" s="125"/>
      <c r="L268" s="125"/>
      <c r="M268" s="125"/>
      <c r="N268" s="125"/>
      <c r="O268" s="125"/>
      <c r="P268" s="125"/>
      <c r="Q268" s="125"/>
      <c r="R268" s="125"/>
      <c r="S268" s="125"/>
      <c r="T268" s="125"/>
      <c r="U268" s="125"/>
      <c r="V268" s="125"/>
      <c r="W268" s="125"/>
      <c r="X268" s="125"/>
      <c r="Y268" s="125"/>
      <c r="Z268" s="125"/>
      <c r="AA268" s="125"/>
      <c r="AB268" s="125"/>
      <c r="AC268" s="125"/>
      <c r="AD268" s="125"/>
    </row>
    <row r="269">
      <c r="A269" s="124"/>
      <c r="B269" s="125"/>
      <c r="C269" s="125"/>
      <c r="D269" s="125"/>
      <c r="E269" s="125"/>
      <c r="F269" s="125"/>
      <c r="G269" s="125"/>
      <c r="H269" s="125"/>
      <c r="I269" s="125"/>
      <c r="J269" s="125"/>
      <c r="K269" s="125"/>
      <c r="L269" s="125"/>
      <c r="M269" s="125"/>
      <c r="N269" s="125"/>
      <c r="O269" s="125"/>
      <c r="P269" s="125"/>
      <c r="Q269" s="125"/>
      <c r="R269" s="125"/>
      <c r="S269" s="125"/>
      <c r="T269" s="125"/>
      <c r="U269" s="125"/>
      <c r="V269" s="125"/>
      <c r="W269" s="125"/>
      <c r="X269" s="125"/>
      <c r="Y269" s="125"/>
      <c r="Z269" s="125"/>
      <c r="AA269" s="125"/>
      <c r="AB269" s="125"/>
      <c r="AC269" s="125"/>
      <c r="AD269" s="125"/>
    </row>
    <row r="270">
      <c r="A270" s="124"/>
      <c r="B270" s="125"/>
      <c r="C270" s="125"/>
      <c r="D270" s="125"/>
      <c r="E270" s="125"/>
      <c r="F270" s="125"/>
      <c r="G270" s="125"/>
      <c r="H270" s="125"/>
      <c r="I270" s="125"/>
      <c r="J270" s="125"/>
      <c r="K270" s="125"/>
      <c r="L270" s="125"/>
      <c r="M270" s="125"/>
      <c r="N270" s="125"/>
      <c r="O270" s="125"/>
      <c r="P270" s="125"/>
      <c r="Q270" s="125"/>
      <c r="R270" s="125"/>
      <c r="S270" s="125"/>
      <c r="T270" s="125"/>
      <c r="U270" s="125"/>
      <c r="V270" s="125"/>
      <c r="W270" s="125"/>
      <c r="X270" s="125"/>
      <c r="Y270" s="125"/>
      <c r="Z270" s="125"/>
      <c r="AA270" s="125"/>
      <c r="AB270" s="125"/>
      <c r="AC270" s="125"/>
      <c r="AD270" s="125"/>
    </row>
    <row r="271">
      <c r="A271" s="124"/>
      <c r="B271" s="125"/>
      <c r="C271" s="125"/>
      <c r="D271" s="125"/>
      <c r="E271" s="125"/>
      <c r="F271" s="125"/>
      <c r="G271" s="125"/>
      <c r="H271" s="125"/>
      <c r="I271" s="125"/>
      <c r="J271" s="125"/>
      <c r="K271" s="125"/>
      <c r="L271" s="125"/>
      <c r="M271" s="125"/>
      <c r="N271" s="125"/>
      <c r="O271" s="125"/>
      <c r="P271" s="125"/>
      <c r="Q271" s="125"/>
      <c r="R271" s="125"/>
      <c r="S271" s="125"/>
      <c r="T271" s="125"/>
      <c r="U271" s="125"/>
      <c r="V271" s="125"/>
      <c r="W271" s="125"/>
      <c r="X271" s="125"/>
      <c r="Y271" s="125"/>
      <c r="Z271" s="125"/>
      <c r="AA271" s="125"/>
      <c r="AB271" s="125"/>
      <c r="AC271" s="125"/>
      <c r="AD271" s="125"/>
    </row>
    <row r="272">
      <c r="A272" s="124"/>
      <c r="B272" s="125"/>
      <c r="C272" s="125"/>
      <c r="D272" s="125"/>
      <c r="E272" s="125"/>
      <c r="F272" s="125"/>
      <c r="G272" s="125"/>
      <c r="H272" s="125"/>
      <c r="I272" s="125"/>
      <c r="J272" s="125"/>
      <c r="K272" s="125"/>
      <c r="L272" s="125"/>
      <c r="M272" s="125"/>
      <c r="N272" s="125"/>
      <c r="O272" s="125"/>
      <c r="P272" s="125"/>
      <c r="Q272" s="125"/>
      <c r="R272" s="125"/>
      <c r="S272" s="125"/>
      <c r="T272" s="125"/>
      <c r="U272" s="125"/>
      <c r="V272" s="125"/>
      <c r="W272" s="125"/>
      <c r="X272" s="125"/>
      <c r="Y272" s="125"/>
      <c r="Z272" s="125"/>
      <c r="AA272" s="125"/>
      <c r="AB272" s="125"/>
      <c r="AC272" s="125"/>
      <c r="AD272" s="125"/>
    </row>
    <row r="273">
      <c r="A273" s="124"/>
      <c r="B273" s="125"/>
      <c r="C273" s="125"/>
      <c r="D273" s="125"/>
      <c r="E273" s="125"/>
      <c r="F273" s="125"/>
      <c r="G273" s="125"/>
      <c r="H273" s="125"/>
      <c r="I273" s="125"/>
      <c r="J273" s="125"/>
      <c r="K273" s="125"/>
      <c r="L273" s="125"/>
      <c r="M273" s="125"/>
      <c r="N273" s="125"/>
      <c r="O273" s="125"/>
      <c r="P273" s="125"/>
      <c r="Q273" s="125"/>
      <c r="R273" s="125"/>
      <c r="S273" s="125"/>
      <c r="T273" s="125"/>
      <c r="U273" s="125"/>
      <c r="V273" s="125"/>
      <c r="W273" s="125"/>
      <c r="X273" s="125"/>
      <c r="Y273" s="125"/>
      <c r="Z273" s="125"/>
      <c r="AA273" s="125"/>
      <c r="AB273" s="125"/>
      <c r="AC273" s="125"/>
      <c r="AD273" s="125"/>
    </row>
    <row r="274">
      <c r="A274" s="124"/>
      <c r="B274" s="125"/>
      <c r="C274" s="125"/>
      <c r="D274" s="125"/>
      <c r="E274" s="125"/>
      <c r="F274" s="125"/>
      <c r="G274" s="125"/>
      <c r="H274" s="125"/>
      <c r="I274" s="125"/>
      <c r="J274" s="125"/>
      <c r="K274" s="125"/>
      <c r="L274" s="125"/>
      <c r="M274" s="125"/>
      <c r="N274" s="125"/>
      <c r="O274" s="125"/>
      <c r="P274" s="125"/>
      <c r="Q274" s="125"/>
      <c r="R274" s="125"/>
      <c r="S274" s="125"/>
      <c r="T274" s="125"/>
      <c r="U274" s="125"/>
      <c r="V274" s="125"/>
      <c r="W274" s="125"/>
      <c r="X274" s="125"/>
      <c r="Y274" s="125"/>
      <c r="Z274" s="125"/>
      <c r="AA274" s="125"/>
      <c r="AB274" s="125"/>
      <c r="AC274" s="125"/>
      <c r="AD274" s="125"/>
    </row>
    <row r="275">
      <c r="A275" s="124"/>
      <c r="B275" s="125"/>
      <c r="C275" s="125"/>
      <c r="D275" s="125"/>
      <c r="E275" s="125"/>
      <c r="F275" s="125"/>
      <c r="G275" s="125"/>
      <c r="H275" s="125"/>
      <c r="I275" s="125"/>
      <c r="J275" s="125"/>
      <c r="K275" s="125"/>
      <c r="L275" s="125"/>
      <c r="M275" s="125"/>
      <c r="N275" s="125"/>
      <c r="O275" s="125"/>
      <c r="P275" s="125"/>
      <c r="Q275" s="125"/>
      <c r="R275" s="125"/>
      <c r="S275" s="125"/>
      <c r="T275" s="125"/>
      <c r="U275" s="125"/>
      <c r="V275" s="125"/>
      <c r="W275" s="125"/>
      <c r="X275" s="125"/>
      <c r="Y275" s="125"/>
      <c r="Z275" s="125"/>
      <c r="AA275" s="125"/>
      <c r="AB275" s="125"/>
      <c r="AC275" s="125"/>
      <c r="AD275" s="125"/>
    </row>
    <row r="276">
      <c r="A276" s="124"/>
      <c r="B276" s="125"/>
      <c r="C276" s="125"/>
      <c r="D276" s="125"/>
      <c r="E276" s="125"/>
      <c r="F276" s="125"/>
      <c r="G276" s="125"/>
      <c r="H276" s="125"/>
      <c r="I276" s="125"/>
      <c r="J276" s="125"/>
      <c r="K276" s="125"/>
      <c r="L276" s="125"/>
      <c r="M276" s="125"/>
      <c r="N276" s="125"/>
      <c r="O276" s="125"/>
      <c r="P276" s="125"/>
      <c r="Q276" s="125"/>
      <c r="R276" s="125"/>
      <c r="S276" s="125"/>
      <c r="T276" s="125"/>
      <c r="U276" s="125"/>
      <c r="V276" s="125"/>
      <c r="W276" s="125"/>
      <c r="X276" s="125"/>
      <c r="Y276" s="125"/>
      <c r="Z276" s="125"/>
      <c r="AA276" s="125"/>
      <c r="AB276" s="125"/>
      <c r="AC276" s="125"/>
      <c r="AD276" s="125"/>
    </row>
    <row r="277">
      <c r="A277" s="124"/>
      <c r="B277" s="125"/>
      <c r="C277" s="125"/>
      <c r="D277" s="125"/>
      <c r="E277" s="125"/>
      <c r="F277" s="125"/>
      <c r="G277" s="125"/>
      <c r="H277" s="125"/>
      <c r="I277" s="125"/>
      <c r="J277" s="125"/>
      <c r="K277" s="125"/>
      <c r="L277" s="125"/>
      <c r="M277" s="125"/>
      <c r="N277" s="125"/>
      <c r="O277" s="125"/>
      <c r="P277" s="125"/>
      <c r="Q277" s="125"/>
      <c r="R277" s="125"/>
      <c r="S277" s="125"/>
      <c r="T277" s="125"/>
      <c r="U277" s="125"/>
      <c r="V277" s="125"/>
      <c r="W277" s="125"/>
      <c r="X277" s="125"/>
      <c r="Y277" s="125"/>
      <c r="Z277" s="125"/>
      <c r="AA277" s="125"/>
      <c r="AB277" s="125"/>
      <c r="AC277" s="125"/>
      <c r="AD277" s="125"/>
    </row>
    <row r="278">
      <c r="A278" s="124"/>
      <c r="B278" s="125"/>
      <c r="C278" s="125"/>
      <c r="D278" s="125"/>
      <c r="E278" s="125"/>
      <c r="F278" s="125"/>
      <c r="G278" s="125"/>
      <c r="H278" s="125"/>
      <c r="I278" s="125"/>
      <c r="J278" s="125"/>
      <c r="K278" s="125"/>
      <c r="L278" s="125"/>
      <c r="M278" s="125"/>
      <c r="N278" s="125"/>
      <c r="O278" s="125"/>
      <c r="P278" s="125"/>
      <c r="Q278" s="125"/>
      <c r="R278" s="125"/>
      <c r="S278" s="125"/>
      <c r="T278" s="125"/>
      <c r="U278" s="125"/>
      <c r="V278" s="125"/>
      <c r="W278" s="125"/>
      <c r="X278" s="125"/>
      <c r="Y278" s="125"/>
      <c r="Z278" s="125"/>
      <c r="AA278" s="125"/>
      <c r="AB278" s="125"/>
      <c r="AC278" s="125"/>
      <c r="AD278" s="125"/>
    </row>
    <row r="279">
      <c r="A279" s="124"/>
      <c r="B279" s="125"/>
      <c r="C279" s="125"/>
      <c r="D279" s="125"/>
      <c r="E279" s="125"/>
      <c r="F279" s="125"/>
      <c r="G279" s="125"/>
      <c r="H279" s="125"/>
      <c r="I279" s="125"/>
      <c r="J279" s="125"/>
      <c r="K279" s="125"/>
      <c r="L279" s="125"/>
      <c r="M279" s="125"/>
      <c r="N279" s="125"/>
      <c r="O279" s="125"/>
      <c r="P279" s="125"/>
      <c r="Q279" s="125"/>
      <c r="R279" s="125"/>
      <c r="S279" s="125"/>
      <c r="T279" s="125"/>
      <c r="U279" s="125"/>
      <c r="V279" s="125"/>
      <c r="W279" s="125"/>
      <c r="X279" s="125"/>
      <c r="Y279" s="125"/>
      <c r="Z279" s="125"/>
      <c r="AA279" s="125"/>
      <c r="AB279" s="125"/>
      <c r="AC279" s="125"/>
      <c r="AD279" s="125"/>
    </row>
    <row r="280">
      <c r="A280" s="124"/>
      <c r="B280" s="125"/>
      <c r="C280" s="125"/>
      <c r="D280" s="125"/>
      <c r="E280" s="125"/>
      <c r="F280" s="125"/>
      <c r="G280" s="125"/>
      <c r="H280" s="125"/>
      <c r="I280" s="125"/>
      <c r="J280" s="125"/>
      <c r="K280" s="125"/>
      <c r="L280" s="125"/>
      <c r="M280" s="125"/>
      <c r="N280" s="125"/>
      <c r="O280" s="125"/>
      <c r="P280" s="125"/>
      <c r="Q280" s="125"/>
      <c r="R280" s="125"/>
      <c r="S280" s="125"/>
      <c r="T280" s="125"/>
      <c r="U280" s="125"/>
      <c r="V280" s="125"/>
      <c r="W280" s="125"/>
      <c r="X280" s="125"/>
      <c r="Y280" s="125"/>
      <c r="Z280" s="125"/>
      <c r="AA280" s="125"/>
      <c r="AB280" s="125"/>
      <c r="AC280" s="125"/>
      <c r="AD280" s="125"/>
    </row>
    <row r="281">
      <c r="A281" s="124"/>
      <c r="B281" s="125"/>
      <c r="C281" s="125"/>
      <c r="D281" s="125"/>
      <c r="E281" s="125"/>
      <c r="F281" s="125"/>
      <c r="G281" s="125"/>
      <c r="H281" s="125"/>
      <c r="I281" s="125"/>
      <c r="J281" s="125"/>
      <c r="K281" s="125"/>
      <c r="L281" s="125"/>
      <c r="M281" s="125"/>
      <c r="N281" s="125"/>
      <c r="O281" s="125"/>
      <c r="P281" s="125"/>
      <c r="Q281" s="125"/>
      <c r="R281" s="125"/>
      <c r="S281" s="125"/>
      <c r="T281" s="125"/>
      <c r="U281" s="125"/>
      <c r="V281" s="125"/>
      <c r="W281" s="125"/>
      <c r="X281" s="125"/>
      <c r="Y281" s="125"/>
      <c r="Z281" s="125"/>
      <c r="AA281" s="125"/>
      <c r="AB281" s="125"/>
      <c r="AC281" s="125"/>
      <c r="AD281" s="125"/>
    </row>
    <row r="282">
      <c r="A282" s="124"/>
      <c r="B282" s="125"/>
      <c r="C282" s="125"/>
      <c r="D282" s="125"/>
      <c r="E282" s="125"/>
      <c r="F282" s="125"/>
      <c r="G282" s="125"/>
      <c r="H282" s="125"/>
      <c r="I282" s="125"/>
      <c r="J282" s="125"/>
      <c r="K282" s="125"/>
      <c r="L282" s="125"/>
      <c r="M282" s="125"/>
      <c r="N282" s="125"/>
      <c r="O282" s="125"/>
      <c r="P282" s="125"/>
      <c r="Q282" s="125"/>
      <c r="R282" s="125"/>
      <c r="S282" s="125"/>
      <c r="T282" s="125"/>
      <c r="U282" s="125"/>
      <c r="V282" s="125"/>
      <c r="W282" s="125"/>
      <c r="X282" s="125"/>
      <c r="Y282" s="125"/>
      <c r="Z282" s="125"/>
      <c r="AA282" s="125"/>
      <c r="AB282" s="125"/>
      <c r="AC282" s="125"/>
      <c r="AD282" s="125"/>
    </row>
    <row r="283">
      <c r="A283" s="124"/>
      <c r="B283" s="125"/>
      <c r="C283" s="125"/>
      <c r="D283" s="125"/>
      <c r="E283" s="125"/>
      <c r="F283" s="125"/>
      <c r="G283" s="125"/>
      <c r="H283" s="125"/>
      <c r="I283" s="125"/>
      <c r="J283" s="125"/>
      <c r="K283" s="125"/>
      <c r="L283" s="125"/>
      <c r="M283" s="125"/>
      <c r="N283" s="125"/>
      <c r="O283" s="125"/>
      <c r="P283" s="125"/>
      <c r="Q283" s="125"/>
      <c r="R283" s="125"/>
      <c r="S283" s="125"/>
      <c r="T283" s="125"/>
      <c r="U283" s="125"/>
      <c r="V283" s="125"/>
      <c r="W283" s="125"/>
      <c r="X283" s="125"/>
      <c r="Y283" s="125"/>
      <c r="Z283" s="125"/>
      <c r="AA283" s="125"/>
      <c r="AB283" s="125"/>
      <c r="AC283" s="125"/>
      <c r="AD283" s="125"/>
    </row>
    <row r="284">
      <c r="A284" s="124"/>
      <c r="B284" s="125"/>
      <c r="C284" s="125"/>
      <c r="D284" s="125"/>
      <c r="E284" s="125"/>
      <c r="F284" s="125"/>
      <c r="G284" s="125"/>
      <c r="H284" s="125"/>
      <c r="I284" s="125"/>
      <c r="J284" s="125"/>
      <c r="K284" s="125"/>
      <c r="L284" s="125"/>
      <c r="M284" s="125"/>
      <c r="N284" s="125"/>
      <c r="O284" s="125"/>
      <c r="P284" s="125"/>
      <c r="Q284" s="125"/>
      <c r="R284" s="125"/>
      <c r="S284" s="125"/>
      <c r="T284" s="125"/>
      <c r="U284" s="125"/>
      <c r="V284" s="125"/>
      <c r="W284" s="125"/>
      <c r="X284" s="125"/>
      <c r="Y284" s="125"/>
      <c r="Z284" s="125"/>
      <c r="AA284" s="125"/>
      <c r="AB284" s="125"/>
      <c r="AC284" s="125"/>
      <c r="AD284" s="125"/>
    </row>
    <row r="285">
      <c r="A285" s="124"/>
      <c r="B285" s="125"/>
      <c r="C285" s="125"/>
      <c r="D285" s="125"/>
      <c r="E285" s="125"/>
      <c r="F285" s="125"/>
      <c r="G285" s="125"/>
      <c r="H285" s="125"/>
      <c r="I285" s="125"/>
      <c r="J285" s="125"/>
      <c r="K285" s="125"/>
      <c r="L285" s="125"/>
      <c r="M285" s="125"/>
      <c r="N285" s="125"/>
      <c r="O285" s="125"/>
      <c r="P285" s="125"/>
      <c r="Q285" s="125"/>
      <c r="R285" s="125"/>
      <c r="S285" s="125"/>
      <c r="T285" s="125"/>
      <c r="U285" s="125"/>
      <c r="V285" s="125"/>
      <c r="W285" s="125"/>
      <c r="X285" s="125"/>
      <c r="Y285" s="125"/>
      <c r="Z285" s="125"/>
      <c r="AA285" s="125"/>
      <c r="AB285" s="125"/>
      <c r="AC285" s="125"/>
      <c r="AD285" s="125"/>
    </row>
    <row r="286">
      <c r="A286" s="124"/>
      <c r="B286" s="125"/>
      <c r="C286" s="125"/>
      <c r="D286" s="125"/>
      <c r="E286" s="125"/>
      <c r="F286" s="125"/>
      <c r="G286" s="125"/>
      <c r="H286" s="125"/>
      <c r="I286" s="125"/>
      <c r="J286" s="125"/>
      <c r="K286" s="125"/>
      <c r="L286" s="125"/>
      <c r="M286" s="125"/>
      <c r="N286" s="125"/>
      <c r="O286" s="125"/>
      <c r="P286" s="125"/>
      <c r="Q286" s="125"/>
      <c r="R286" s="125"/>
      <c r="S286" s="125"/>
      <c r="T286" s="125"/>
      <c r="U286" s="125"/>
      <c r="V286" s="125"/>
      <c r="W286" s="125"/>
      <c r="X286" s="125"/>
      <c r="Y286" s="125"/>
      <c r="Z286" s="125"/>
      <c r="AA286" s="125"/>
      <c r="AB286" s="125"/>
      <c r="AC286" s="125"/>
      <c r="AD286" s="125"/>
    </row>
    <row r="287">
      <c r="A287" s="124"/>
      <c r="B287" s="125"/>
      <c r="C287" s="125"/>
      <c r="D287" s="125"/>
      <c r="E287" s="125"/>
      <c r="F287" s="125"/>
      <c r="G287" s="125"/>
      <c r="H287" s="125"/>
      <c r="I287" s="125"/>
      <c r="J287" s="125"/>
      <c r="K287" s="125"/>
      <c r="L287" s="125"/>
      <c r="M287" s="125"/>
      <c r="N287" s="125"/>
      <c r="O287" s="125"/>
      <c r="P287" s="125"/>
      <c r="Q287" s="125"/>
      <c r="R287" s="125"/>
      <c r="S287" s="125"/>
      <c r="T287" s="125"/>
      <c r="U287" s="125"/>
      <c r="V287" s="125"/>
      <c r="W287" s="125"/>
      <c r="X287" s="125"/>
      <c r="Y287" s="125"/>
      <c r="Z287" s="125"/>
      <c r="AA287" s="125"/>
      <c r="AB287" s="125"/>
      <c r="AC287" s="125"/>
      <c r="AD287" s="125"/>
    </row>
    <row r="288">
      <c r="A288" s="124"/>
      <c r="B288" s="125"/>
      <c r="C288" s="125"/>
      <c r="D288" s="125"/>
      <c r="E288" s="125"/>
      <c r="F288" s="125"/>
      <c r="G288" s="125"/>
      <c r="H288" s="125"/>
      <c r="I288" s="125"/>
      <c r="J288" s="125"/>
      <c r="K288" s="125"/>
      <c r="L288" s="125"/>
      <c r="M288" s="125"/>
      <c r="N288" s="125"/>
      <c r="O288" s="125"/>
      <c r="P288" s="125"/>
      <c r="Q288" s="125"/>
      <c r="R288" s="125"/>
      <c r="S288" s="125"/>
      <c r="T288" s="125"/>
      <c r="U288" s="125"/>
      <c r="V288" s="125"/>
      <c r="W288" s="125"/>
      <c r="X288" s="125"/>
      <c r="Y288" s="125"/>
      <c r="Z288" s="125"/>
      <c r="AA288" s="125"/>
      <c r="AB288" s="125"/>
      <c r="AC288" s="125"/>
      <c r="AD288" s="125"/>
    </row>
    <row r="289">
      <c r="A289" s="124"/>
      <c r="B289" s="125"/>
      <c r="C289" s="125"/>
      <c r="D289" s="125"/>
      <c r="E289" s="125"/>
      <c r="F289" s="125"/>
      <c r="G289" s="125"/>
      <c r="H289" s="125"/>
      <c r="I289" s="125"/>
      <c r="J289" s="125"/>
      <c r="K289" s="125"/>
      <c r="L289" s="125"/>
      <c r="M289" s="125"/>
      <c r="N289" s="125"/>
      <c r="O289" s="125"/>
      <c r="P289" s="125"/>
      <c r="Q289" s="125"/>
      <c r="R289" s="125"/>
      <c r="S289" s="125"/>
      <c r="T289" s="125"/>
      <c r="U289" s="125"/>
      <c r="V289" s="125"/>
      <c r="W289" s="125"/>
      <c r="X289" s="125"/>
      <c r="Y289" s="125"/>
      <c r="Z289" s="125"/>
      <c r="AA289" s="125"/>
      <c r="AB289" s="125"/>
      <c r="AC289" s="125"/>
      <c r="AD289" s="125"/>
    </row>
    <row r="290">
      <c r="A290" s="124"/>
      <c r="B290" s="125"/>
      <c r="C290" s="125"/>
      <c r="D290" s="125"/>
      <c r="E290" s="125"/>
      <c r="F290" s="125"/>
      <c r="G290" s="125"/>
      <c r="H290" s="125"/>
      <c r="I290" s="125"/>
      <c r="J290" s="125"/>
      <c r="K290" s="125"/>
      <c r="L290" s="125"/>
      <c r="M290" s="125"/>
      <c r="N290" s="125"/>
      <c r="O290" s="125"/>
      <c r="P290" s="125"/>
      <c r="Q290" s="125"/>
      <c r="R290" s="125"/>
      <c r="S290" s="125"/>
      <c r="T290" s="125"/>
      <c r="U290" s="125"/>
      <c r="V290" s="125"/>
      <c r="W290" s="125"/>
      <c r="X290" s="125"/>
      <c r="Y290" s="125"/>
      <c r="Z290" s="125"/>
      <c r="AA290" s="125"/>
      <c r="AB290" s="125"/>
      <c r="AC290" s="125"/>
      <c r="AD290" s="125"/>
    </row>
    <row r="291">
      <c r="A291" s="124"/>
      <c r="B291" s="125"/>
      <c r="C291" s="125"/>
      <c r="D291" s="125"/>
      <c r="E291" s="125"/>
      <c r="F291" s="125"/>
      <c r="G291" s="125"/>
      <c r="H291" s="125"/>
      <c r="I291" s="125"/>
      <c r="J291" s="125"/>
      <c r="K291" s="125"/>
      <c r="L291" s="125"/>
      <c r="M291" s="125"/>
      <c r="N291" s="125"/>
      <c r="O291" s="125"/>
      <c r="P291" s="125"/>
      <c r="Q291" s="125"/>
      <c r="R291" s="125"/>
      <c r="S291" s="125"/>
      <c r="T291" s="125"/>
      <c r="U291" s="125"/>
      <c r="V291" s="125"/>
      <c r="W291" s="125"/>
      <c r="X291" s="125"/>
      <c r="Y291" s="125"/>
      <c r="Z291" s="125"/>
      <c r="AA291" s="125"/>
      <c r="AB291" s="125"/>
      <c r="AC291" s="125"/>
      <c r="AD291" s="125"/>
    </row>
    <row r="292">
      <c r="A292" s="124"/>
      <c r="B292" s="125"/>
      <c r="C292" s="125"/>
      <c r="D292" s="125"/>
      <c r="E292" s="125"/>
      <c r="F292" s="125"/>
      <c r="G292" s="125"/>
      <c r="H292" s="125"/>
      <c r="I292" s="125"/>
      <c r="J292" s="125"/>
      <c r="K292" s="125"/>
      <c r="L292" s="125"/>
      <c r="M292" s="125"/>
      <c r="N292" s="125"/>
      <c r="O292" s="125"/>
      <c r="P292" s="125"/>
      <c r="Q292" s="125"/>
      <c r="R292" s="125"/>
      <c r="S292" s="125"/>
      <c r="T292" s="125"/>
      <c r="U292" s="125"/>
      <c r="V292" s="125"/>
      <c r="W292" s="125"/>
      <c r="X292" s="125"/>
      <c r="Y292" s="125"/>
      <c r="Z292" s="125"/>
      <c r="AA292" s="125"/>
      <c r="AB292" s="125"/>
      <c r="AC292" s="125"/>
      <c r="AD292" s="125"/>
    </row>
    <row r="293">
      <c r="A293" s="124"/>
      <c r="B293" s="125"/>
      <c r="C293" s="125"/>
      <c r="D293" s="125"/>
      <c r="E293" s="125"/>
      <c r="F293" s="125"/>
      <c r="G293" s="125"/>
      <c r="H293" s="125"/>
      <c r="I293" s="125"/>
      <c r="J293" s="125"/>
      <c r="K293" s="125"/>
      <c r="L293" s="125"/>
      <c r="M293" s="125"/>
      <c r="N293" s="125"/>
      <c r="O293" s="125"/>
      <c r="P293" s="125"/>
      <c r="Q293" s="125"/>
      <c r="R293" s="125"/>
      <c r="S293" s="125"/>
      <c r="T293" s="125"/>
      <c r="U293" s="125"/>
      <c r="V293" s="125"/>
      <c r="W293" s="125"/>
      <c r="X293" s="125"/>
      <c r="Y293" s="125"/>
      <c r="Z293" s="125"/>
      <c r="AA293" s="125"/>
      <c r="AB293" s="125"/>
      <c r="AC293" s="125"/>
      <c r="AD293" s="125"/>
    </row>
    <row r="294">
      <c r="A294" s="124"/>
      <c r="B294" s="125"/>
      <c r="C294" s="125"/>
      <c r="D294" s="125"/>
      <c r="E294" s="125"/>
      <c r="F294" s="125"/>
      <c r="G294" s="125"/>
      <c r="H294" s="125"/>
      <c r="I294" s="125"/>
      <c r="J294" s="125"/>
      <c r="K294" s="125"/>
      <c r="L294" s="125"/>
      <c r="M294" s="125"/>
      <c r="N294" s="125"/>
      <c r="O294" s="125"/>
      <c r="P294" s="125"/>
      <c r="Q294" s="125"/>
      <c r="R294" s="125"/>
      <c r="S294" s="125"/>
      <c r="T294" s="125"/>
      <c r="U294" s="125"/>
      <c r="V294" s="125"/>
      <c r="W294" s="125"/>
      <c r="X294" s="125"/>
      <c r="Y294" s="125"/>
      <c r="Z294" s="125"/>
      <c r="AA294" s="125"/>
      <c r="AB294" s="125"/>
      <c r="AC294" s="125"/>
      <c r="AD294" s="125"/>
    </row>
    <row r="295">
      <c r="A295" s="124"/>
      <c r="B295" s="125"/>
      <c r="C295" s="125"/>
      <c r="D295" s="125"/>
      <c r="E295" s="125"/>
      <c r="F295" s="125"/>
      <c r="G295" s="125"/>
      <c r="H295" s="125"/>
      <c r="I295" s="125"/>
      <c r="J295" s="125"/>
      <c r="K295" s="125"/>
      <c r="L295" s="125"/>
      <c r="M295" s="125"/>
      <c r="N295" s="125"/>
      <c r="O295" s="125"/>
      <c r="P295" s="125"/>
      <c r="Q295" s="125"/>
      <c r="R295" s="125"/>
      <c r="S295" s="125"/>
      <c r="T295" s="125"/>
      <c r="U295" s="125"/>
      <c r="V295" s="125"/>
      <c r="W295" s="125"/>
      <c r="X295" s="125"/>
      <c r="Y295" s="125"/>
      <c r="Z295" s="125"/>
      <c r="AA295" s="125"/>
      <c r="AB295" s="125"/>
      <c r="AC295" s="125"/>
      <c r="AD295" s="125"/>
    </row>
    <row r="296">
      <c r="A296" s="124"/>
      <c r="B296" s="125"/>
      <c r="C296" s="125"/>
      <c r="D296" s="125"/>
      <c r="E296" s="125"/>
      <c r="F296" s="125"/>
      <c r="G296" s="125"/>
      <c r="H296" s="125"/>
      <c r="I296" s="125"/>
      <c r="J296" s="125"/>
      <c r="K296" s="125"/>
      <c r="L296" s="125"/>
      <c r="M296" s="125"/>
      <c r="N296" s="125"/>
      <c r="O296" s="125"/>
      <c r="P296" s="125"/>
      <c r="Q296" s="125"/>
      <c r="R296" s="125"/>
      <c r="S296" s="125"/>
      <c r="T296" s="125"/>
      <c r="U296" s="125"/>
      <c r="V296" s="125"/>
      <c r="W296" s="125"/>
      <c r="X296" s="125"/>
      <c r="Y296" s="125"/>
      <c r="Z296" s="125"/>
      <c r="AA296" s="125"/>
      <c r="AB296" s="125"/>
      <c r="AC296" s="125"/>
      <c r="AD296" s="125"/>
    </row>
    <row r="297">
      <c r="A297" s="124"/>
      <c r="B297" s="125"/>
      <c r="C297" s="125"/>
      <c r="D297" s="125"/>
      <c r="E297" s="125"/>
      <c r="F297" s="125"/>
      <c r="G297" s="125"/>
      <c r="H297" s="125"/>
      <c r="I297" s="125"/>
      <c r="J297" s="125"/>
      <c r="K297" s="125"/>
      <c r="L297" s="125"/>
      <c r="M297" s="125"/>
      <c r="N297" s="125"/>
      <c r="O297" s="125"/>
      <c r="P297" s="125"/>
      <c r="Q297" s="125"/>
      <c r="R297" s="125"/>
      <c r="S297" s="125"/>
      <c r="T297" s="125"/>
      <c r="U297" s="125"/>
      <c r="V297" s="125"/>
      <c r="W297" s="125"/>
      <c r="X297" s="125"/>
      <c r="Y297" s="125"/>
      <c r="Z297" s="125"/>
      <c r="AA297" s="125"/>
      <c r="AB297" s="125"/>
      <c r="AC297" s="125"/>
      <c r="AD297" s="125"/>
    </row>
    <row r="298">
      <c r="A298" s="124"/>
      <c r="B298" s="125"/>
      <c r="C298" s="125"/>
      <c r="D298" s="125"/>
      <c r="E298" s="125"/>
      <c r="F298" s="125"/>
      <c r="G298" s="125"/>
      <c r="H298" s="125"/>
      <c r="I298" s="125"/>
      <c r="J298" s="125"/>
      <c r="K298" s="125"/>
      <c r="L298" s="125"/>
      <c r="M298" s="125"/>
      <c r="N298" s="125"/>
      <c r="O298" s="125"/>
      <c r="P298" s="125"/>
      <c r="Q298" s="125"/>
      <c r="R298" s="125"/>
      <c r="S298" s="125"/>
      <c r="T298" s="125"/>
      <c r="U298" s="125"/>
      <c r="V298" s="125"/>
      <c r="W298" s="125"/>
      <c r="X298" s="125"/>
      <c r="Y298" s="125"/>
      <c r="Z298" s="125"/>
      <c r="AA298" s="125"/>
      <c r="AB298" s="125"/>
      <c r="AC298" s="125"/>
      <c r="AD298" s="125"/>
    </row>
    <row r="299">
      <c r="A299" s="124"/>
      <c r="B299" s="125"/>
      <c r="C299" s="125"/>
      <c r="D299" s="125"/>
      <c r="E299" s="125"/>
      <c r="F299" s="125"/>
      <c r="G299" s="125"/>
      <c r="H299" s="125"/>
      <c r="I299" s="125"/>
      <c r="J299" s="125"/>
      <c r="K299" s="125"/>
      <c r="L299" s="125"/>
      <c r="M299" s="125"/>
      <c r="N299" s="125"/>
      <c r="O299" s="125"/>
      <c r="P299" s="125"/>
      <c r="Q299" s="125"/>
      <c r="R299" s="125"/>
      <c r="S299" s="125"/>
      <c r="T299" s="125"/>
      <c r="U299" s="125"/>
      <c r="V299" s="125"/>
      <c r="W299" s="125"/>
      <c r="X299" s="125"/>
      <c r="Y299" s="125"/>
      <c r="Z299" s="125"/>
      <c r="AA299" s="125"/>
      <c r="AB299" s="125"/>
      <c r="AC299" s="125"/>
      <c r="AD299" s="125"/>
    </row>
    <row r="300">
      <c r="A300" s="124"/>
      <c r="B300" s="125"/>
      <c r="C300" s="125"/>
      <c r="D300" s="125"/>
      <c r="E300" s="125"/>
      <c r="F300" s="125"/>
      <c r="G300" s="125"/>
      <c r="H300" s="125"/>
      <c r="I300" s="125"/>
      <c r="J300" s="125"/>
      <c r="K300" s="125"/>
      <c r="L300" s="125"/>
      <c r="M300" s="125"/>
      <c r="N300" s="125"/>
      <c r="O300" s="125"/>
      <c r="P300" s="125"/>
      <c r="Q300" s="125"/>
      <c r="R300" s="125"/>
      <c r="S300" s="125"/>
      <c r="T300" s="125"/>
      <c r="U300" s="125"/>
      <c r="V300" s="125"/>
      <c r="W300" s="125"/>
      <c r="X300" s="125"/>
      <c r="Y300" s="125"/>
      <c r="Z300" s="125"/>
      <c r="AA300" s="125"/>
      <c r="AB300" s="125"/>
      <c r="AC300" s="125"/>
      <c r="AD300" s="125"/>
    </row>
    <row r="301">
      <c r="A301" s="124"/>
      <c r="B301" s="125"/>
      <c r="C301" s="125"/>
      <c r="D301" s="125"/>
      <c r="E301" s="125"/>
      <c r="F301" s="125"/>
      <c r="G301" s="125"/>
      <c r="H301" s="125"/>
      <c r="I301" s="125"/>
      <c r="J301" s="125"/>
      <c r="K301" s="125"/>
      <c r="L301" s="125"/>
      <c r="M301" s="125"/>
      <c r="N301" s="125"/>
      <c r="O301" s="125"/>
      <c r="P301" s="125"/>
      <c r="Q301" s="125"/>
      <c r="R301" s="125"/>
      <c r="S301" s="125"/>
      <c r="T301" s="125"/>
      <c r="U301" s="125"/>
      <c r="V301" s="125"/>
      <c r="W301" s="125"/>
      <c r="X301" s="125"/>
      <c r="Y301" s="125"/>
      <c r="Z301" s="125"/>
      <c r="AA301" s="125"/>
      <c r="AB301" s="125"/>
      <c r="AC301" s="125"/>
      <c r="AD301" s="125"/>
    </row>
    <row r="302">
      <c r="A302" s="124"/>
      <c r="B302" s="125"/>
      <c r="C302" s="125"/>
      <c r="D302" s="125"/>
      <c r="E302" s="125"/>
      <c r="F302" s="125"/>
      <c r="G302" s="125"/>
      <c r="H302" s="125"/>
      <c r="I302" s="125"/>
      <c r="J302" s="125"/>
      <c r="K302" s="125"/>
      <c r="L302" s="125"/>
      <c r="M302" s="125"/>
      <c r="N302" s="125"/>
      <c r="O302" s="125"/>
      <c r="P302" s="125"/>
      <c r="Q302" s="125"/>
      <c r="R302" s="125"/>
      <c r="S302" s="125"/>
      <c r="T302" s="125"/>
      <c r="U302" s="125"/>
      <c r="V302" s="125"/>
      <c r="W302" s="125"/>
      <c r="X302" s="125"/>
      <c r="Y302" s="125"/>
      <c r="Z302" s="125"/>
      <c r="AA302" s="125"/>
      <c r="AB302" s="125"/>
      <c r="AC302" s="125"/>
      <c r="AD302" s="125"/>
    </row>
    <row r="303">
      <c r="A303" s="124"/>
      <c r="B303" s="125"/>
      <c r="C303" s="125"/>
      <c r="D303" s="125"/>
      <c r="E303" s="125"/>
      <c r="F303" s="125"/>
      <c r="G303" s="125"/>
      <c r="H303" s="125"/>
      <c r="I303" s="125"/>
      <c r="J303" s="125"/>
      <c r="K303" s="125"/>
      <c r="L303" s="125"/>
      <c r="M303" s="125"/>
      <c r="N303" s="125"/>
      <c r="O303" s="125"/>
      <c r="P303" s="125"/>
      <c r="Q303" s="125"/>
      <c r="R303" s="125"/>
      <c r="S303" s="125"/>
      <c r="T303" s="125"/>
      <c r="U303" s="125"/>
      <c r="V303" s="125"/>
      <c r="W303" s="125"/>
      <c r="X303" s="125"/>
      <c r="Y303" s="125"/>
      <c r="Z303" s="125"/>
      <c r="AA303" s="125"/>
      <c r="AB303" s="125"/>
      <c r="AC303" s="125"/>
      <c r="AD303" s="125"/>
    </row>
    <row r="304">
      <c r="A304" s="124"/>
      <c r="B304" s="125"/>
      <c r="C304" s="125"/>
      <c r="D304" s="125"/>
      <c r="E304" s="125"/>
      <c r="F304" s="125"/>
      <c r="G304" s="125"/>
      <c r="H304" s="125"/>
      <c r="I304" s="125"/>
      <c r="J304" s="125"/>
      <c r="K304" s="125"/>
      <c r="L304" s="125"/>
      <c r="M304" s="125"/>
      <c r="N304" s="125"/>
      <c r="O304" s="125"/>
      <c r="P304" s="125"/>
      <c r="Q304" s="125"/>
      <c r="R304" s="125"/>
      <c r="S304" s="125"/>
      <c r="T304" s="125"/>
      <c r="U304" s="125"/>
      <c r="V304" s="125"/>
      <c r="W304" s="125"/>
      <c r="X304" s="125"/>
      <c r="Y304" s="125"/>
      <c r="Z304" s="125"/>
      <c r="AA304" s="125"/>
      <c r="AB304" s="125"/>
      <c r="AC304" s="125"/>
      <c r="AD304" s="125"/>
    </row>
    <row r="305">
      <c r="A305" s="124"/>
      <c r="B305" s="125"/>
      <c r="C305" s="125"/>
      <c r="D305" s="125"/>
      <c r="E305" s="125"/>
      <c r="F305" s="125"/>
      <c r="G305" s="125"/>
      <c r="H305" s="125"/>
      <c r="I305" s="125"/>
      <c r="J305" s="125"/>
      <c r="K305" s="125"/>
      <c r="L305" s="125"/>
      <c r="M305" s="125"/>
      <c r="N305" s="125"/>
      <c r="O305" s="125"/>
      <c r="P305" s="125"/>
      <c r="Q305" s="125"/>
      <c r="R305" s="125"/>
      <c r="S305" s="125"/>
      <c r="T305" s="125"/>
      <c r="U305" s="125"/>
      <c r="V305" s="125"/>
      <c r="W305" s="125"/>
      <c r="X305" s="125"/>
      <c r="Y305" s="125"/>
      <c r="Z305" s="125"/>
      <c r="AA305" s="125"/>
      <c r="AB305" s="125"/>
      <c r="AC305" s="125"/>
      <c r="AD305" s="125"/>
    </row>
    <row r="306">
      <c r="A306" s="124"/>
      <c r="B306" s="125"/>
      <c r="C306" s="125"/>
      <c r="D306" s="125"/>
      <c r="E306" s="125"/>
      <c r="F306" s="125"/>
      <c r="G306" s="125"/>
      <c r="H306" s="125"/>
      <c r="I306" s="125"/>
      <c r="J306" s="125"/>
      <c r="K306" s="125"/>
      <c r="L306" s="125"/>
      <c r="M306" s="125"/>
      <c r="N306" s="125"/>
      <c r="O306" s="125"/>
      <c r="P306" s="125"/>
      <c r="Q306" s="125"/>
      <c r="R306" s="125"/>
      <c r="S306" s="125"/>
      <c r="T306" s="125"/>
      <c r="U306" s="125"/>
      <c r="V306" s="125"/>
      <c r="W306" s="125"/>
      <c r="X306" s="125"/>
      <c r="Y306" s="125"/>
      <c r="Z306" s="125"/>
      <c r="AA306" s="125"/>
      <c r="AB306" s="125"/>
      <c r="AC306" s="125"/>
      <c r="AD306" s="125"/>
    </row>
    <row r="307">
      <c r="A307" s="124"/>
      <c r="B307" s="125"/>
      <c r="C307" s="125"/>
      <c r="D307" s="125"/>
      <c r="E307" s="125"/>
      <c r="F307" s="125"/>
      <c r="G307" s="125"/>
      <c r="H307" s="125"/>
      <c r="I307" s="125"/>
      <c r="J307" s="125"/>
      <c r="K307" s="125"/>
      <c r="L307" s="125"/>
      <c r="M307" s="125"/>
      <c r="N307" s="125"/>
      <c r="O307" s="125"/>
      <c r="P307" s="125"/>
      <c r="Q307" s="125"/>
      <c r="R307" s="125"/>
      <c r="S307" s="125"/>
      <c r="T307" s="125"/>
      <c r="U307" s="125"/>
      <c r="V307" s="125"/>
      <c r="W307" s="125"/>
      <c r="X307" s="125"/>
      <c r="Y307" s="125"/>
      <c r="Z307" s="125"/>
      <c r="AA307" s="125"/>
      <c r="AB307" s="125"/>
      <c r="AC307" s="125"/>
      <c r="AD307" s="125"/>
    </row>
    <row r="308">
      <c r="A308" s="124"/>
      <c r="B308" s="125"/>
      <c r="C308" s="125"/>
      <c r="D308" s="125"/>
      <c r="E308" s="125"/>
      <c r="F308" s="125"/>
      <c r="G308" s="125"/>
      <c r="H308" s="125"/>
      <c r="I308" s="125"/>
      <c r="J308" s="125"/>
      <c r="K308" s="125"/>
      <c r="L308" s="125"/>
      <c r="M308" s="125"/>
      <c r="N308" s="125"/>
      <c r="O308" s="125"/>
      <c r="P308" s="125"/>
      <c r="Q308" s="125"/>
      <c r="R308" s="125"/>
      <c r="S308" s="125"/>
      <c r="T308" s="125"/>
      <c r="U308" s="125"/>
      <c r="V308" s="125"/>
      <c r="W308" s="125"/>
      <c r="X308" s="125"/>
      <c r="Y308" s="125"/>
      <c r="Z308" s="125"/>
      <c r="AA308" s="125"/>
      <c r="AB308" s="125"/>
      <c r="AC308" s="125"/>
      <c r="AD308" s="125"/>
    </row>
    <row r="309">
      <c r="A309" s="124"/>
      <c r="B309" s="125"/>
      <c r="C309" s="125"/>
      <c r="D309" s="125"/>
      <c r="E309" s="125"/>
      <c r="F309" s="125"/>
      <c r="G309" s="125"/>
      <c r="H309" s="125"/>
      <c r="I309" s="125"/>
      <c r="J309" s="125"/>
      <c r="K309" s="125"/>
      <c r="L309" s="125"/>
      <c r="M309" s="125"/>
      <c r="N309" s="125"/>
      <c r="O309" s="125"/>
      <c r="P309" s="125"/>
      <c r="Q309" s="125"/>
      <c r="R309" s="125"/>
      <c r="S309" s="125"/>
      <c r="T309" s="125"/>
      <c r="U309" s="125"/>
      <c r="V309" s="125"/>
      <c r="W309" s="125"/>
      <c r="X309" s="125"/>
      <c r="Y309" s="125"/>
      <c r="Z309" s="125"/>
      <c r="AA309" s="125"/>
      <c r="AB309" s="125"/>
      <c r="AC309" s="125"/>
      <c r="AD309" s="125"/>
    </row>
    <row r="310">
      <c r="A310" s="124"/>
      <c r="B310" s="125"/>
      <c r="C310" s="125"/>
      <c r="D310" s="125"/>
      <c r="E310" s="125"/>
      <c r="F310" s="125"/>
      <c r="G310" s="125"/>
      <c r="H310" s="125"/>
      <c r="I310" s="125"/>
      <c r="J310" s="125"/>
      <c r="K310" s="125"/>
      <c r="L310" s="125"/>
      <c r="M310" s="125"/>
      <c r="N310" s="125"/>
      <c r="O310" s="125"/>
      <c r="P310" s="125"/>
      <c r="Q310" s="125"/>
      <c r="R310" s="125"/>
      <c r="S310" s="125"/>
      <c r="T310" s="125"/>
      <c r="U310" s="125"/>
      <c r="V310" s="125"/>
      <c r="W310" s="125"/>
      <c r="X310" s="125"/>
      <c r="Y310" s="125"/>
      <c r="Z310" s="125"/>
      <c r="AA310" s="125"/>
      <c r="AB310" s="125"/>
      <c r="AC310" s="125"/>
      <c r="AD310" s="125"/>
    </row>
    <row r="311">
      <c r="A311" s="124"/>
      <c r="B311" s="125"/>
      <c r="C311" s="125"/>
      <c r="D311" s="125"/>
      <c r="E311" s="125"/>
      <c r="F311" s="125"/>
      <c r="G311" s="125"/>
      <c r="H311" s="125"/>
      <c r="I311" s="125"/>
      <c r="J311" s="125"/>
      <c r="K311" s="125"/>
      <c r="L311" s="125"/>
      <c r="M311" s="125"/>
      <c r="N311" s="125"/>
      <c r="O311" s="125"/>
      <c r="P311" s="125"/>
      <c r="Q311" s="125"/>
      <c r="R311" s="125"/>
      <c r="S311" s="125"/>
      <c r="T311" s="125"/>
      <c r="U311" s="125"/>
      <c r="V311" s="125"/>
      <c r="W311" s="125"/>
      <c r="X311" s="125"/>
      <c r="Y311" s="125"/>
      <c r="Z311" s="125"/>
      <c r="AA311" s="125"/>
      <c r="AB311" s="125"/>
      <c r="AC311" s="125"/>
      <c r="AD311" s="125"/>
    </row>
    <row r="312">
      <c r="A312" s="124"/>
      <c r="B312" s="125"/>
      <c r="C312" s="125"/>
      <c r="D312" s="125"/>
      <c r="E312" s="125"/>
      <c r="F312" s="125"/>
      <c r="G312" s="125"/>
      <c r="H312" s="125"/>
      <c r="I312" s="125"/>
      <c r="J312" s="125"/>
      <c r="K312" s="125"/>
      <c r="L312" s="125"/>
      <c r="M312" s="125"/>
      <c r="N312" s="125"/>
      <c r="O312" s="125"/>
      <c r="P312" s="125"/>
      <c r="Q312" s="125"/>
      <c r="R312" s="125"/>
      <c r="S312" s="125"/>
      <c r="T312" s="125"/>
      <c r="U312" s="125"/>
      <c r="V312" s="125"/>
      <c r="W312" s="125"/>
      <c r="X312" s="125"/>
      <c r="Y312" s="125"/>
      <c r="Z312" s="125"/>
      <c r="AA312" s="125"/>
      <c r="AB312" s="125"/>
      <c r="AC312" s="125"/>
      <c r="AD312" s="125"/>
    </row>
    <row r="313">
      <c r="A313" s="124"/>
      <c r="B313" s="125"/>
      <c r="C313" s="125"/>
      <c r="D313" s="125"/>
      <c r="E313" s="125"/>
      <c r="F313" s="125"/>
      <c r="G313" s="125"/>
      <c r="H313" s="125"/>
      <c r="I313" s="125"/>
      <c r="J313" s="125"/>
      <c r="K313" s="125"/>
      <c r="L313" s="125"/>
      <c r="M313" s="125"/>
      <c r="N313" s="125"/>
      <c r="O313" s="125"/>
      <c r="P313" s="125"/>
      <c r="Q313" s="125"/>
      <c r="R313" s="125"/>
      <c r="S313" s="125"/>
      <c r="T313" s="125"/>
      <c r="U313" s="125"/>
      <c r="V313" s="125"/>
      <c r="W313" s="125"/>
      <c r="X313" s="125"/>
      <c r="Y313" s="125"/>
      <c r="Z313" s="125"/>
      <c r="AA313" s="125"/>
      <c r="AB313" s="125"/>
      <c r="AC313" s="125"/>
      <c r="AD313" s="125"/>
    </row>
    <row r="314">
      <c r="A314" s="124"/>
      <c r="B314" s="125"/>
      <c r="C314" s="125"/>
      <c r="D314" s="125"/>
      <c r="E314" s="125"/>
      <c r="F314" s="125"/>
      <c r="G314" s="125"/>
      <c r="H314" s="125"/>
      <c r="I314" s="125"/>
      <c r="J314" s="125"/>
      <c r="K314" s="125"/>
      <c r="L314" s="125"/>
      <c r="M314" s="125"/>
      <c r="N314" s="125"/>
      <c r="O314" s="125"/>
      <c r="P314" s="125"/>
      <c r="Q314" s="125"/>
      <c r="R314" s="125"/>
      <c r="S314" s="125"/>
      <c r="T314" s="125"/>
      <c r="U314" s="125"/>
      <c r="V314" s="125"/>
      <c r="W314" s="125"/>
      <c r="X314" s="125"/>
      <c r="Y314" s="125"/>
      <c r="Z314" s="125"/>
      <c r="AA314" s="125"/>
      <c r="AB314" s="125"/>
      <c r="AC314" s="125"/>
      <c r="AD314" s="125"/>
    </row>
    <row r="315">
      <c r="A315" s="124"/>
      <c r="B315" s="125"/>
      <c r="C315" s="125"/>
      <c r="D315" s="125"/>
      <c r="E315" s="125"/>
      <c r="F315" s="125"/>
      <c r="G315" s="125"/>
      <c r="H315" s="125"/>
      <c r="I315" s="125"/>
      <c r="J315" s="125"/>
      <c r="K315" s="125"/>
      <c r="L315" s="125"/>
      <c r="M315" s="125"/>
      <c r="N315" s="125"/>
      <c r="O315" s="125"/>
      <c r="P315" s="125"/>
      <c r="Q315" s="125"/>
      <c r="R315" s="125"/>
      <c r="S315" s="125"/>
      <c r="T315" s="125"/>
      <c r="U315" s="125"/>
      <c r="V315" s="125"/>
      <c r="W315" s="125"/>
      <c r="X315" s="125"/>
      <c r="Y315" s="125"/>
      <c r="Z315" s="125"/>
      <c r="AA315" s="125"/>
      <c r="AB315" s="125"/>
      <c r="AC315" s="125"/>
      <c r="AD315" s="125"/>
    </row>
    <row r="316">
      <c r="A316" s="124"/>
      <c r="B316" s="125"/>
      <c r="C316" s="125"/>
      <c r="D316" s="125"/>
      <c r="E316" s="125"/>
      <c r="F316" s="125"/>
      <c r="G316" s="125"/>
      <c r="H316" s="125"/>
      <c r="I316" s="125"/>
      <c r="J316" s="125"/>
      <c r="K316" s="125"/>
      <c r="L316" s="125"/>
      <c r="M316" s="125"/>
      <c r="N316" s="125"/>
      <c r="O316" s="125"/>
      <c r="P316" s="125"/>
      <c r="Q316" s="125"/>
      <c r="R316" s="125"/>
      <c r="S316" s="125"/>
      <c r="T316" s="125"/>
      <c r="U316" s="125"/>
      <c r="V316" s="125"/>
      <c r="W316" s="125"/>
      <c r="X316" s="125"/>
      <c r="Y316" s="125"/>
      <c r="Z316" s="125"/>
      <c r="AA316" s="125"/>
      <c r="AB316" s="125"/>
      <c r="AC316" s="125"/>
      <c r="AD316" s="125"/>
    </row>
    <row r="317">
      <c r="A317" s="124"/>
      <c r="B317" s="125"/>
      <c r="C317" s="125"/>
      <c r="D317" s="125"/>
      <c r="E317" s="125"/>
      <c r="F317" s="125"/>
      <c r="G317" s="125"/>
      <c r="H317" s="125"/>
      <c r="I317" s="125"/>
      <c r="J317" s="125"/>
      <c r="K317" s="125"/>
      <c r="L317" s="125"/>
      <c r="M317" s="125"/>
      <c r="N317" s="125"/>
      <c r="O317" s="125"/>
      <c r="P317" s="125"/>
      <c r="Q317" s="125"/>
      <c r="R317" s="125"/>
      <c r="S317" s="125"/>
      <c r="T317" s="125"/>
      <c r="U317" s="125"/>
      <c r="V317" s="125"/>
      <c r="W317" s="125"/>
      <c r="X317" s="125"/>
      <c r="Y317" s="125"/>
      <c r="Z317" s="125"/>
      <c r="AA317" s="125"/>
      <c r="AB317" s="125"/>
      <c r="AC317" s="125"/>
      <c r="AD317" s="125"/>
    </row>
    <row r="318">
      <c r="A318" s="124"/>
      <c r="B318" s="125"/>
      <c r="C318" s="125"/>
      <c r="D318" s="125"/>
      <c r="E318" s="125"/>
      <c r="F318" s="125"/>
      <c r="G318" s="125"/>
      <c r="H318" s="125"/>
      <c r="I318" s="125"/>
      <c r="J318" s="125"/>
      <c r="K318" s="125"/>
      <c r="L318" s="125"/>
      <c r="M318" s="125"/>
      <c r="N318" s="125"/>
      <c r="O318" s="125"/>
      <c r="P318" s="125"/>
      <c r="Q318" s="125"/>
      <c r="R318" s="125"/>
      <c r="S318" s="125"/>
      <c r="T318" s="125"/>
      <c r="U318" s="125"/>
      <c r="V318" s="125"/>
      <c r="W318" s="125"/>
      <c r="X318" s="125"/>
      <c r="Y318" s="125"/>
      <c r="Z318" s="125"/>
      <c r="AA318" s="125"/>
      <c r="AB318" s="125"/>
      <c r="AC318" s="125"/>
      <c r="AD318" s="125"/>
    </row>
    <row r="319">
      <c r="A319" s="124"/>
      <c r="B319" s="125"/>
      <c r="C319" s="125"/>
      <c r="D319" s="125"/>
      <c r="E319" s="125"/>
      <c r="F319" s="125"/>
      <c r="G319" s="125"/>
      <c r="H319" s="125"/>
      <c r="I319" s="125"/>
      <c r="J319" s="125"/>
      <c r="K319" s="125"/>
      <c r="L319" s="125"/>
      <c r="M319" s="125"/>
      <c r="N319" s="125"/>
      <c r="O319" s="125"/>
      <c r="P319" s="125"/>
      <c r="Q319" s="125"/>
      <c r="R319" s="125"/>
      <c r="S319" s="125"/>
      <c r="T319" s="125"/>
      <c r="U319" s="125"/>
      <c r="V319" s="125"/>
      <c r="W319" s="125"/>
      <c r="X319" s="125"/>
      <c r="Y319" s="125"/>
      <c r="Z319" s="125"/>
      <c r="AA319" s="125"/>
      <c r="AB319" s="125"/>
      <c r="AC319" s="125"/>
      <c r="AD319" s="125"/>
    </row>
    <row r="320">
      <c r="A320" s="124"/>
      <c r="B320" s="125"/>
      <c r="C320" s="125"/>
      <c r="D320" s="125"/>
      <c r="E320" s="125"/>
      <c r="F320" s="125"/>
      <c r="G320" s="125"/>
      <c r="H320" s="125"/>
      <c r="I320" s="125"/>
      <c r="J320" s="125"/>
      <c r="K320" s="125"/>
      <c r="L320" s="125"/>
      <c r="M320" s="125"/>
      <c r="N320" s="125"/>
      <c r="O320" s="125"/>
      <c r="P320" s="125"/>
      <c r="Q320" s="125"/>
      <c r="R320" s="125"/>
      <c r="S320" s="125"/>
      <c r="T320" s="125"/>
      <c r="U320" s="125"/>
      <c r="V320" s="125"/>
      <c r="W320" s="125"/>
      <c r="X320" s="125"/>
      <c r="Y320" s="125"/>
      <c r="Z320" s="125"/>
      <c r="AA320" s="125"/>
      <c r="AB320" s="125"/>
      <c r="AC320" s="125"/>
      <c r="AD320" s="125"/>
    </row>
    <row r="321">
      <c r="A321" s="124"/>
      <c r="B321" s="125"/>
      <c r="C321" s="125"/>
      <c r="D321" s="125"/>
      <c r="E321" s="125"/>
      <c r="F321" s="125"/>
      <c r="G321" s="125"/>
      <c r="H321" s="125"/>
      <c r="I321" s="125"/>
      <c r="J321" s="125"/>
      <c r="K321" s="125"/>
      <c r="L321" s="125"/>
      <c r="M321" s="125"/>
      <c r="N321" s="125"/>
      <c r="O321" s="125"/>
      <c r="P321" s="125"/>
      <c r="Q321" s="125"/>
      <c r="R321" s="125"/>
      <c r="S321" s="125"/>
      <c r="T321" s="125"/>
      <c r="U321" s="125"/>
      <c r="V321" s="125"/>
      <c r="W321" s="125"/>
      <c r="X321" s="125"/>
      <c r="Y321" s="125"/>
      <c r="Z321" s="125"/>
      <c r="AA321" s="125"/>
      <c r="AB321" s="125"/>
      <c r="AC321" s="125"/>
      <c r="AD321" s="125"/>
    </row>
    <row r="322">
      <c r="A322" s="124"/>
      <c r="B322" s="125"/>
      <c r="C322" s="125"/>
      <c r="D322" s="125"/>
      <c r="E322" s="125"/>
      <c r="F322" s="125"/>
      <c r="G322" s="125"/>
      <c r="H322" s="125"/>
      <c r="I322" s="125"/>
      <c r="J322" s="125"/>
      <c r="K322" s="125"/>
      <c r="L322" s="125"/>
      <c r="M322" s="125"/>
      <c r="N322" s="125"/>
      <c r="O322" s="125"/>
      <c r="P322" s="125"/>
      <c r="Q322" s="125"/>
      <c r="R322" s="125"/>
      <c r="S322" s="125"/>
      <c r="T322" s="125"/>
      <c r="U322" s="125"/>
      <c r="V322" s="125"/>
      <c r="W322" s="125"/>
      <c r="X322" s="125"/>
      <c r="Y322" s="125"/>
      <c r="Z322" s="125"/>
      <c r="AA322" s="125"/>
      <c r="AB322" s="125"/>
      <c r="AC322" s="125"/>
      <c r="AD322" s="125"/>
    </row>
    <row r="323">
      <c r="A323" s="124"/>
      <c r="B323" s="125"/>
      <c r="C323" s="125"/>
      <c r="D323" s="125"/>
      <c r="E323" s="125"/>
      <c r="F323" s="125"/>
      <c r="G323" s="125"/>
      <c r="H323" s="125"/>
      <c r="I323" s="125"/>
      <c r="J323" s="125"/>
      <c r="K323" s="125"/>
      <c r="L323" s="125"/>
      <c r="M323" s="125"/>
      <c r="N323" s="125"/>
      <c r="O323" s="125"/>
      <c r="P323" s="125"/>
      <c r="Q323" s="125"/>
      <c r="R323" s="125"/>
      <c r="S323" s="125"/>
      <c r="T323" s="125"/>
      <c r="U323" s="125"/>
      <c r="V323" s="125"/>
      <c r="W323" s="125"/>
      <c r="X323" s="125"/>
      <c r="Y323" s="125"/>
      <c r="Z323" s="125"/>
      <c r="AA323" s="125"/>
      <c r="AB323" s="125"/>
      <c r="AC323" s="125"/>
      <c r="AD323" s="125"/>
    </row>
    <row r="324">
      <c r="A324" s="124"/>
      <c r="B324" s="125"/>
      <c r="C324" s="125"/>
      <c r="D324" s="125"/>
      <c r="E324" s="125"/>
      <c r="F324" s="125"/>
      <c r="G324" s="125"/>
      <c r="H324" s="125"/>
      <c r="I324" s="125"/>
      <c r="J324" s="125"/>
      <c r="K324" s="125"/>
      <c r="L324" s="125"/>
      <c r="M324" s="125"/>
      <c r="N324" s="125"/>
      <c r="O324" s="125"/>
      <c r="P324" s="125"/>
      <c r="Q324" s="125"/>
      <c r="R324" s="125"/>
      <c r="S324" s="125"/>
      <c r="T324" s="125"/>
      <c r="U324" s="125"/>
      <c r="V324" s="125"/>
      <c r="W324" s="125"/>
      <c r="X324" s="125"/>
      <c r="Y324" s="125"/>
      <c r="Z324" s="125"/>
      <c r="AA324" s="125"/>
      <c r="AB324" s="125"/>
      <c r="AC324" s="125"/>
      <c r="AD324" s="125"/>
    </row>
    <row r="325">
      <c r="A325" s="124"/>
      <c r="B325" s="125"/>
      <c r="C325" s="125"/>
      <c r="D325" s="125"/>
      <c r="E325" s="125"/>
      <c r="F325" s="125"/>
      <c r="G325" s="125"/>
      <c r="H325" s="125"/>
      <c r="I325" s="125"/>
      <c r="J325" s="125"/>
      <c r="K325" s="125"/>
      <c r="L325" s="125"/>
      <c r="M325" s="125"/>
      <c r="N325" s="125"/>
      <c r="O325" s="125"/>
      <c r="P325" s="125"/>
      <c r="Q325" s="125"/>
      <c r="R325" s="125"/>
      <c r="S325" s="125"/>
      <c r="T325" s="125"/>
      <c r="U325" s="125"/>
      <c r="V325" s="125"/>
      <c r="W325" s="125"/>
      <c r="X325" s="125"/>
      <c r="Y325" s="125"/>
      <c r="Z325" s="125"/>
      <c r="AA325" s="125"/>
      <c r="AB325" s="125"/>
      <c r="AC325" s="125"/>
      <c r="AD325" s="125"/>
    </row>
    <row r="326">
      <c r="A326" s="124"/>
      <c r="B326" s="125"/>
      <c r="C326" s="125"/>
      <c r="D326" s="125"/>
      <c r="E326" s="125"/>
      <c r="F326" s="125"/>
      <c r="G326" s="125"/>
      <c r="H326" s="125"/>
      <c r="I326" s="125"/>
      <c r="J326" s="125"/>
      <c r="K326" s="125"/>
      <c r="L326" s="125"/>
      <c r="M326" s="125"/>
      <c r="N326" s="125"/>
      <c r="O326" s="125"/>
      <c r="P326" s="125"/>
      <c r="Q326" s="125"/>
      <c r="R326" s="125"/>
      <c r="S326" s="125"/>
      <c r="T326" s="125"/>
      <c r="U326" s="125"/>
      <c r="V326" s="125"/>
      <c r="W326" s="125"/>
      <c r="X326" s="125"/>
      <c r="Y326" s="125"/>
      <c r="Z326" s="125"/>
      <c r="AA326" s="125"/>
      <c r="AB326" s="125"/>
      <c r="AC326" s="125"/>
      <c r="AD326" s="125"/>
    </row>
    <row r="327">
      <c r="A327" s="124"/>
      <c r="B327" s="125"/>
      <c r="C327" s="125"/>
      <c r="D327" s="125"/>
      <c r="E327" s="125"/>
      <c r="F327" s="125"/>
      <c r="G327" s="125"/>
      <c r="H327" s="125"/>
      <c r="I327" s="125"/>
      <c r="J327" s="125"/>
      <c r="K327" s="125"/>
      <c r="L327" s="125"/>
      <c r="M327" s="125"/>
      <c r="N327" s="125"/>
      <c r="O327" s="125"/>
      <c r="P327" s="125"/>
      <c r="Q327" s="125"/>
      <c r="R327" s="125"/>
      <c r="S327" s="125"/>
      <c r="T327" s="125"/>
      <c r="U327" s="125"/>
      <c r="V327" s="125"/>
      <c r="W327" s="125"/>
      <c r="X327" s="125"/>
      <c r="Y327" s="125"/>
      <c r="Z327" s="125"/>
      <c r="AA327" s="125"/>
      <c r="AB327" s="125"/>
      <c r="AC327" s="125"/>
      <c r="AD327" s="125"/>
    </row>
    <row r="328">
      <c r="A328" s="124"/>
      <c r="B328" s="125"/>
      <c r="C328" s="125"/>
      <c r="D328" s="125"/>
      <c r="E328" s="125"/>
      <c r="F328" s="125"/>
      <c r="G328" s="125"/>
      <c r="H328" s="125"/>
      <c r="I328" s="125"/>
      <c r="J328" s="125"/>
      <c r="K328" s="125"/>
      <c r="L328" s="125"/>
      <c r="M328" s="125"/>
      <c r="N328" s="125"/>
      <c r="O328" s="125"/>
      <c r="P328" s="125"/>
      <c r="Q328" s="125"/>
      <c r="R328" s="125"/>
      <c r="S328" s="125"/>
      <c r="T328" s="125"/>
      <c r="U328" s="125"/>
      <c r="V328" s="125"/>
      <c r="W328" s="125"/>
      <c r="X328" s="125"/>
      <c r="Y328" s="125"/>
      <c r="Z328" s="125"/>
      <c r="AA328" s="125"/>
      <c r="AB328" s="125"/>
      <c r="AC328" s="125"/>
      <c r="AD328" s="125"/>
    </row>
    <row r="329">
      <c r="A329" s="124"/>
      <c r="B329" s="125"/>
      <c r="C329" s="125"/>
      <c r="D329" s="125"/>
      <c r="E329" s="125"/>
      <c r="F329" s="125"/>
      <c r="G329" s="125"/>
      <c r="H329" s="125"/>
      <c r="I329" s="125"/>
      <c r="J329" s="125"/>
      <c r="K329" s="125"/>
      <c r="L329" s="125"/>
      <c r="M329" s="125"/>
      <c r="N329" s="125"/>
      <c r="O329" s="125"/>
      <c r="P329" s="125"/>
      <c r="Q329" s="125"/>
      <c r="R329" s="125"/>
      <c r="S329" s="125"/>
      <c r="T329" s="125"/>
      <c r="U329" s="125"/>
      <c r="V329" s="125"/>
      <c r="W329" s="125"/>
      <c r="X329" s="125"/>
      <c r="Y329" s="125"/>
      <c r="Z329" s="125"/>
      <c r="AA329" s="125"/>
      <c r="AB329" s="125"/>
      <c r="AC329" s="125"/>
      <c r="AD329" s="125"/>
    </row>
    <row r="330">
      <c r="A330" s="124"/>
      <c r="B330" s="125"/>
      <c r="C330" s="125"/>
      <c r="D330" s="125"/>
      <c r="E330" s="125"/>
      <c r="F330" s="125"/>
      <c r="G330" s="125"/>
      <c r="H330" s="125"/>
      <c r="I330" s="125"/>
      <c r="J330" s="125"/>
      <c r="K330" s="125"/>
      <c r="L330" s="125"/>
      <c r="M330" s="125"/>
      <c r="N330" s="125"/>
      <c r="O330" s="125"/>
      <c r="P330" s="125"/>
      <c r="Q330" s="125"/>
      <c r="R330" s="125"/>
      <c r="S330" s="125"/>
      <c r="T330" s="125"/>
      <c r="U330" s="125"/>
      <c r="V330" s="125"/>
      <c r="W330" s="125"/>
      <c r="X330" s="125"/>
      <c r="Y330" s="125"/>
      <c r="Z330" s="125"/>
      <c r="AA330" s="125"/>
      <c r="AB330" s="125"/>
      <c r="AC330" s="125"/>
      <c r="AD330" s="125"/>
    </row>
    <row r="331">
      <c r="A331" s="124"/>
      <c r="B331" s="125"/>
      <c r="C331" s="125"/>
      <c r="D331" s="125"/>
      <c r="E331" s="125"/>
      <c r="F331" s="125"/>
      <c r="G331" s="125"/>
      <c r="H331" s="125"/>
      <c r="I331" s="125"/>
      <c r="J331" s="125"/>
      <c r="K331" s="125"/>
      <c r="L331" s="125"/>
      <c r="M331" s="125"/>
      <c r="N331" s="125"/>
      <c r="O331" s="125"/>
      <c r="P331" s="125"/>
      <c r="Q331" s="125"/>
      <c r="R331" s="125"/>
      <c r="S331" s="125"/>
      <c r="T331" s="125"/>
      <c r="U331" s="125"/>
      <c r="V331" s="125"/>
      <c r="W331" s="125"/>
      <c r="X331" s="125"/>
      <c r="Y331" s="125"/>
      <c r="Z331" s="125"/>
      <c r="AA331" s="125"/>
      <c r="AB331" s="125"/>
      <c r="AC331" s="125"/>
      <c r="AD331" s="125"/>
    </row>
    <row r="332">
      <c r="A332" s="124"/>
      <c r="B332" s="125"/>
      <c r="C332" s="125"/>
      <c r="D332" s="125"/>
      <c r="E332" s="125"/>
      <c r="F332" s="125"/>
      <c r="G332" s="125"/>
      <c r="H332" s="125"/>
      <c r="I332" s="125"/>
      <c r="J332" s="125"/>
      <c r="K332" s="125"/>
      <c r="L332" s="125"/>
      <c r="M332" s="125"/>
      <c r="N332" s="125"/>
      <c r="O332" s="125"/>
      <c r="P332" s="125"/>
      <c r="Q332" s="125"/>
      <c r="R332" s="125"/>
      <c r="S332" s="125"/>
      <c r="T332" s="125"/>
      <c r="U332" s="125"/>
      <c r="V332" s="125"/>
      <c r="W332" s="125"/>
      <c r="X332" s="125"/>
      <c r="Y332" s="125"/>
      <c r="Z332" s="125"/>
      <c r="AA332" s="125"/>
      <c r="AB332" s="125"/>
      <c r="AC332" s="125"/>
      <c r="AD332" s="125"/>
    </row>
    <row r="333">
      <c r="A333" s="124"/>
      <c r="B333" s="125"/>
      <c r="C333" s="125"/>
      <c r="D333" s="125"/>
      <c r="E333" s="125"/>
      <c r="F333" s="125"/>
      <c r="G333" s="125"/>
      <c r="H333" s="125"/>
      <c r="I333" s="125"/>
      <c r="J333" s="125"/>
      <c r="K333" s="125"/>
      <c r="L333" s="125"/>
      <c r="M333" s="125"/>
      <c r="N333" s="125"/>
      <c r="O333" s="125"/>
      <c r="P333" s="125"/>
      <c r="Q333" s="125"/>
      <c r="R333" s="125"/>
      <c r="S333" s="125"/>
      <c r="T333" s="125"/>
      <c r="U333" s="125"/>
      <c r="V333" s="125"/>
      <c r="W333" s="125"/>
      <c r="X333" s="125"/>
      <c r="Y333" s="125"/>
      <c r="Z333" s="125"/>
      <c r="AA333" s="125"/>
      <c r="AB333" s="125"/>
      <c r="AC333" s="125"/>
      <c r="AD333" s="125"/>
    </row>
    <row r="334">
      <c r="A334" s="124"/>
      <c r="B334" s="125"/>
      <c r="C334" s="125"/>
      <c r="D334" s="125"/>
      <c r="E334" s="125"/>
      <c r="F334" s="125"/>
      <c r="G334" s="125"/>
      <c r="H334" s="125"/>
      <c r="I334" s="125"/>
      <c r="J334" s="125"/>
      <c r="K334" s="125"/>
      <c r="L334" s="125"/>
      <c r="M334" s="125"/>
      <c r="N334" s="125"/>
      <c r="O334" s="125"/>
      <c r="P334" s="125"/>
      <c r="Q334" s="125"/>
      <c r="R334" s="125"/>
      <c r="S334" s="125"/>
      <c r="T334" s="125"/>
      <c r="U334" s="125"/>
      <c r="V334" s="125"/>
      <c r="W334" s="125"/>
      <c r="X334" s="125"/>
      <c r="Y334" s="125"/>
      <c r="Z334" s="125"/>
      <c r="AA334" s="125"/>
      <c r="AB334" s="125"/>
      <c r="AC334" s="125"/>
      <c r="AD334" s="125"/>
    </row>
    <row r="335">
      <c r="A335" s="124"/>
      <c r="B335" s="125"/>
      <c r="C335" s="125"/>
      <c r="D335" s="125"/>
      <c r="E335" s="125"/>
      <c r="F335" s="125"/>
      <c r="G335" s="125"/>
      <c r="H335" s="125"/>
      <c r="I335" s="125"/>
      <c r="J335" s="125"/>
      <c r="K335" s="125"/>
      <c r="L335" s="125"/>
      <c r="M335" s="125"/>
      <c r="N335" s="125"/>
      <c r="O335" s="125"/>
      <c r="P335" s="125"/>
      <c r="Q335" s="125"/>
      <c r="R335" s="125"/>
      <c r="S335" s="125"/>
      <c r="T335" s="125"/>
      <c r="U335" s="125"/>
      <c r="V335" s="125"/>
      <c r="W335" s="125"/>
      <c r="X335" s="125"/>
      <c r="Y335" s="125"/>
      <c r="Z335" s="125"/>
      <c r="AA335" s="125"/>
      <c r="AB335" s="125"/>
      <c r="AC335" s="125"/>
      <c r="AD335" s="125"/>
    </row>
    <row r="336">
      <c r="A336" s="124"/>
      <c r="B336" s="125"/>
      <c r="C336" s="125"/>
      <c r="D336" s="125"/>
      <c r="E336" s="125"/>
      <c r="F336" s="125"/>
      <c r="G336" s="125"/>
      <c r="H336" s="125"/>
      <c r="I336" s="125"/>
      <c r="J336" s="125"/>
      <c r="K336" s="125"/>
      <c r="L336" s="125"/>
      <c r="M336" s="125"/>
      <c r="N336" s="125"/>
      <c r="O336" s="125"/>
      <c r="P336" s="125"/>
      <c r="Q336" s="125"/>
      <c r="R336" s="125"/>
      <c r="S336" s="125"/>
      <c r="T336" s="125"/>
      <c r="U336" s="125"/>
      <c r="V336" s="125"/>
      <c r="W336" s="125"/>
      <c r="X336" s="125"/>
      <c r="Y336" s="125"/>
      <c r="Z336" s="125"/>
      <c r="AA336" s="125"/>
      <c r="AB336" s="125"/>
      <c r="AC336" s="125"/>
      <c r="AD336" s="125"/>
    </row>
    <row r="337">
      <c r="A337" s="124"/>
      <c r="B337" s="125"/>
      <c r="C337" s="125"/>
      <c r="D337" s="125"/>
      <c r="E337" s="125"/>
      <c r="F337" s="125"/>
      <c r="G337" s="125"/>
      <c r="H337" s="125"/>
      <c r="I337" s="125"/>
      <c r="J337" s="125"/>
      <c r="K337" s="125"/>
      <c r="L337" s="125"/>
      <c r="M337" s="125"/>
      <c r="N337" s="125"/>
      <c r="O337" s="125"/>
      <c r="P337" s="125"/>
      <c r="Q337" s="125"/>
      <c r="R337" s="125"/>
      <c r="S337" s="125"/>
      <c r="T337" s="125"/>
      <c r="U337" s="125"/>
      <c r="V337" s="125"/>
      <c r="W337" s="125"/>
      <c r="X337" s="125"/>
      <c r="Y337" s="125"/>
      <c r="Z337" s="125"/>
      <c r="AA337" s="125"/>
      <c r="AB337" s="125"/>
      <c r="AC337" s="125"/>
      <c r="AD337" s="125"/>
    </row>
    <row r="338">
      <c r="A338" s="124"/>
      <c r="B338" s="125"/>
      <c r="C338" s="125"/>
      <c r="D338" s="125"/>
      <c r="E338" s="125"/>
      <c r="F338" s="125"/>
      <c r="G338" s="125"/>
      <c r="H338" s="125"/>
      <c r="I338" s="125"/>
      <c r="J338" s="125"/>
      <c r="K338" s="125"/>
      <c r="L338" s="125"/>
      <c r="M338" s="125"/>
      <c r="N338" s="125"/>
      <c r="O338" s="125"/>
      <c r="P338" s="125"/>
      <c r="Q338" s="125"/>
      <c r="R338" s="125"/>
      <c r="S338" s="125"/>
      <c r="T338" s="125"/>
      <c r="U338" s="125"/>
      <c r="V338" s="125"/>
      <c r="W338" s="125"/>
      <c r="X338" s="125"/>
      <c r="Y338" s="125"/>
      <c r="Z338" s="125"/>
      <c r="AA338" s="125"/>
      <c r="AB338" s="125"/>
      <c r="AC338" s="125"/>
      <c r="AD338" s="125"/>
    </row>
    <row r="339">
      <c r="A339" s="124"/>
      <c r="B339" s="125"/>
      <c r="C339" s="125"/>
      <c r="D339" s="125"/>
      <c r="E339" s="125"/>
      <c r="F339" s="125"/>
      <c r="G339" s="125"/>
      <c r="H339" s="125"/>
      <c r="I339" s="125"/>
      <c r="J339" s="125"/>
      <c r="K339" s="125"/>
      <c r="L339" s="125"/>
      <c r="M339" s="125"/>
      <c r="N339" s="125"/>
      <c r="O339" s="125"/>
      <c r="P339" s="125"/>
      <c r="Q339" s="125"/>
      <c r="R339" s="125"/>
      <c r="S339" s="125"/>
      <c r="T339" s="125"/>
      <c r="U339" s="125"/>
      <c r="V339" s="125"/>
      <c r="W339" s="125"/>
      <c r="X339" s="125"/>
      <c r="Y339" s="125"/>
      <c r="Z339" s="125"/>
      <c r="AA339" s="125"/>
      <c r="AB339" s="125"/>
      <c r="AC339" s="125"/>
      <c r="AD339" s="125"/>
    </row>
    <row r="340">
      <c r="A340" s="124"/>
      <c r="B340" s="125"/>
      <c r="C340" s="125"/>
      <c r="D340" s="125"/>
      <c r="E340" s="125"/>
      <c r="F340" s="125"/>
      <c r="G340" s="125"/>
      <c r="H340" s="125"/>
      <c r="I340" s="125"/>
      <c r="J340" s="125"/>
      <c r="K340" s="125"/>
      <c r="L340" s="125"/>
      <c r="M340" s="125"/>
      <c r="N340" s="125"/>
      <c r="O340" s="125"/>
      <c r="P340" s="125"/>
      <c r="Q340" s="125"/>
      <c r="R340" s="125"/>
      <c r="S340" s="125"/>
      <c r="T340" s="125"/>
      <c r="U340" s="125"/>
      <c r="V340" s="125"/>
      <c r="W340" s="125"/>
      <c r="X340" s="125"/>
      <c r="Y340" s="125"/>
      <c r="Z340" s="125"/>
      <c r="AA340" s="125"/>
      <c r="AB340" s="125"/>
      <c r="AC340" s="125"/>
      <c r="AD340" s="125"/>
    </row>
    <row r="341">
      <c r="A341" s="124"/>
      <c r="B341" s="125"/>
      <c r="C341" s="125"/>
      <c r="D341" s="125"/>
      <c r="E341" s="125"/>
      <c r="F341" s="125"/>
      <c r="G341" s="125"/>
      <c r="H341" s="125"/>
      <c r="I341" s="125"/>
      <c r="J341" s="125"/>
      <c r="K341" s="125"/>
      <c r="L341" s="125"/>
      <c r="M341" s="125"/>
      <c r="N341" s="125"/>
      <c r="O341" s="125"/>
      <c r="P341" s="125"/>
      <c r="Q341" s="125"/>
      <c r="R341" s="125"/>
      <c r="S341" s="125"/>
      <c r="T341" s="125"/>
      <c r="U341" s="125"/>
      <c r="V341" s="125"/>
      <c r="W341" s="125"/>
      <c r="X341" s="125"/>
      <c r="Y341" s="125"/>
      <c r="Z341" s="125"/>
      <c r="AA341" s="125"/>
      <c r="AB341" s="125"/>
      <c r="AC341" s="125"/>
      <c r="AD341" s="125"/>
    </row>
    <row r="342">
      <c r="A342" s="124"/>
      <c r="B342" s="125"/>
      <c r="C342" s="125"/>
      <c r="D342" s="125"/>
      <c r="E342" s="125"/>
      <c r="F342" s="125"/>
      <c r="G342" s="125"/>
      <c r="H342" s="125"/>
      <c r="I342" s="125"/>
      <c r="J342" s="125"/>
      <c r="K342" s="125"/>
      <c r="L342" s="125"/>
      <c r="M342" s="125"/>
      <c r="N342" s="125"/>
      <c r="O342" s="125"/>
      <c r="P342" s="125"/>
      <c r="Q342" s="125"/>
      <c r="R342" s="125"/>
      <c r="S342" s="125"/>
      <c r="T342" s="125"/>
      <c r="U342" s="125"/>
      <c r="V342" s="125"/>
      <c r="W342" s="125"/>
      <c r="X342" s="125"/>
      <c r="Y342" s="125"/>
      <c r="Z342" s="125"/>
      <c r="AA342" s="125"/>
      <c r="AB342" s="125"/>
      <c r="AC342" s="125"/>
      <c r="AD342" s="125"/>
    </row>
    <row r="343">
      <c r="A343" s="124"/>
      <c r="B343" s="125"/>
      <c r="C343" s="125"/>
      <c r="D343" s="125"/>
      <c r="E343" s="125"/>
      <c r="F343" s="125"/>
      <c r="G343" s="125"/>
      <c r="H343" s="125"/>
      <c r="I343" s="125"/>
      <c r="J343" s="125"/>
      <c r="K343" s="125"/>
      <c r="L343" s="125"/>
      <c r="M343" s="125"/>
      <c r="N343" s="125"/>
      <c r="O343" s="125"/>
      <c r="P343" s="125"/>
      <c r="Q343" s="125"/>
      <c r="R343" s="125"/>
      <c r="S343" s="125"/>
      <c r="T343" s="125"/>
      <c r="U343" s="125"/>
      <c r="V343" s="125"/>
      <c r="W343" s="125"/>
      <c r="X343" s="125"/>
      <c r="Y343" s="125"/>
      <c r="Z343" s="125"/>
      <c r="AA343" s="125"/>
      <c r="AB343" s="125"/>
      <c r="AC343" s="125"/>
      <c r="AD343" s="125"/>
    </row>
    <row r="344">
      <c r="A344" s="124"/>
      <c r="B344" s="125"/>
      <c r="C344" s="125"/>
      <c r="D344" s="125"/>
      <c r="E344" s="125"/>
      <c r="F344" s="125"/>
      <c r="G344" s="125"/>
      <c r="H344" s="125"/>
      <c r="I344" s="125"/>
      <c r="J344" s="125"/>
      <c r="K344" s="125"/>
      <c r="L344" s="125"/>
      <c r="M344" s="125"/>
      <c r="N344" s="125"/>
      <c r="O344" s="125"/>
      <c r="P344" s="125"/>
      <c r="Q344" s="125"/>
      <c r="R344" s="125"/>
      <c r="S344" s="125"/>
      <c r="T344" s="125"/>
      <c r="U344" s="125"/>
      <c r="V344" s="125"/>
      <c r="W344" s="125"/>
      <c r="X344" s="125"/>
      <c r="Y344" s="125"/>
      <c r="Z344" s="125"/>
      <c r="AA344" s="125"/>
      <c r="AB344" s="125"/>
      <c r="AC344" s="125"/>
      <c r="AD344" s="125"/>
    </row>
    <row r="345">
      <c r="A345" s="124"/>
      <c r="B345" s="125"/>
      <c r="C345" s="125"/>
      <c r="D345" s="125"/>
      <c r="E345" s="125"/>
      <c r="F345" s="125"/>
      <c r="G345" s="125"/>
      <c r="H345" s="125"/>
      <c r="I345" s="125"/>
      <c r="J345" s="125"/>
      <c r="K345" s="125"/>
      <c r="L345" s="125"/>
      <c r="M345" s="125"/>
      <c r="N345" s="125"/>
      <c r="O345" s="125"/>
      <c r="P345" s="125"/>
      <c r="Q345" s="125"/>
      <c r="R345" s="125"/>
      <c r="S345" s="125"/>
      <c r="T345" s="125"/>
      <c r="U345" s="125"/>
      <c r="V345" s="125"/>
      <c r="W345" s="125"/>
      <c r="X345" s="125"/>
      <c r="Y345" s="125"/>
      <c r="Z345" s="125"/>
      <c r="AA345" s="125"/>
      <c r="AB345" s="125"/>
      <c r="AC345" s="125"/>
      <c r="AD345" s="125"/>
    </row>
    <row r="346">
      <c r="A346" s="124"/>
      <c r="B346" s="125"/>
      <c r="C346" s="125"/>
      <c r="D346" s="125"/>
      <c r="E346" s="125"/>
      <c r="F346" s="125"/>
      <c r="G346" s="125"/>
      <c r="H346" s="125"/>
      <c r="I346" s="125"/>
      <c r="J346" s="125"/>
      <c r="K346" s="125"/>
      <c r="L346" s="125"/>
      <c r="M346" s="125"/>
      <c r="N346" s="125"/>
      <c r="O346" s="125"/>
      <c r="P346" s="125"/>
      <c r="Q346" s="125"/>
      <c r="R346" s="125"/>
      <c r="S346" s="125"/>
      <c r="T346" s="125"/>
      <c r="U346" s="125"/>
      <c r="V346" s="125"/>
      <c r="W346" s="125"/>
      <c r="X346" s="125"/>
      <c r="Y346" s="125"/>
      <c r="Z346" s="125"/>
      <c r="AA346" s="125"/>
      <c r="AB346" s="125"/>
      <c r="AC346" s="125"/>
      <c r="AD346" s="125"/>
    </row>
    <row r="347">
      <c r="A347" s="124"/>
      <c r="B347" s="125"/>
      <c r="C347" s="125"/>
      <c r="D347" s="125"/>
      <c r="E347" s="125"/>
      <c r="F347" s="125"/>
      <c r="G347" s="125"/>
      <c r="H347" s="125"/>
      <c r="I347" s="125"/>
      <c r="J347" s="125"/>
      <c r="K347" s="125"/>
      <c r="L347" s="125"/>
      <c r="M347" s="125"/>
      <c r="N347" s="125"/>
      <c r="O347" s="125"/>
      <c r="P347" s="125"/>
      <c r="Q347" s="125"/>
      <c r="R347" s="125"/>
      <c r="S347" s="125"/>
      <c r="T347" s="125"/>
      <c r="U347" s="125"/>
      <c r="V347" s="125"/>
      <c r="W347" s="125"/>
      <c r="X347" s="125"/>
      <c r="Y347" s="125"/>
      <c r="Z347" s="125"/>
      <c r="AA347" s="125"/>
      <c r="AB347" s="125"/>
      <c r="AC347" s="125"/>
      <c r="AD347" s="125"/>
    </row>
    <row r="348">
      <c r="A348" s="124"/>
      <c r="B348" s="125"/>
      <c r="C348" s="125"/>
      <c r="D348" s="125"/>
      <c r="E348" s="125"/>
      <c r="F348" s="125"/>
      <c r="G348" s="125"/>
      <c r="H348" s="125"/>
      <c r="I348" s="125"/>
      <c r="J348" s="125"/>
      <c r="K348" s="125"/>
      <c r="L348" s="125"/>
      <c r="M348" s="125"/>
      <c r="N348" s="125"/>
      <c r="O348" s="125"/>
      <c r="P348" s="125"/>
      <c r="Q348" s="125"/>
      <c r="R348" s="125"/>
      <c r="S348" s="125"/>
      <c r="T348" s="125"/>
      <c r="U348" s="125"/>
      <c r="V348" s="125"/>
      <c r="W348" s="125"/>
      <c r="X348" s="125"/>
      <c r="Y348" s="125"/>
      <c r="Z348" s="125"/>
      <c r="AA348" s="125"/>
      <c r="AB348" s="125"/>
      <c r="AC348" s="125"/>
      <c r="AD348" s="125"/>
    </row>
    <row r="349">
      <c r="A349" s="124"/>
      <c r="B349" s="125"/>
      <c r="C349" s="125"/>
      <c r="D349" s="125"/>
      <c r="E349" s="125"/>
      <c r="F349" s="125"/>
      <c r="G349" s="125"/>
      <c r="H349" s="125"/>
      <c r="I349" s="125"/>
      <c r="J349" s="125"/>
      <c r="K349" s="125"/>
      <c r="L349" s="125"/>
      <c r="M349" s="125"/>
      <c r="N349" s="125"/>
      <c r="O349" s="125"/>
      <c r="P349" s="125"/>
      <c r="Q349" s="125"/>
      <c r="R349" s="125"/>
      <c r="S349" s="125"/>
      <c r="T349" s="125"/>
      <c r="U349" s="125"/>
      <c r="V349" s="125"/>
      <c r="W349" s="125"/>
      <c r="X349" s="125"/>
      <c r="Y349" s="125"/>
      <c r="Z349" s="125"/>
      <c r="AA349" s="125"/>
      <c r="AB349" s="125"/>
      <c r="AC349" s="125"/>
      <c r="AD349" s="125"/>
    </row>
    <row r="350">
      <c r="A350" s="124"/>
      <c r="B350" s="125"/>
      <c r="C350" s="125"/>
      <c r="D350" s="125"/>
      <c r="E350" s="125"/>
      <c r="F350" s="125"/>
      <c r="G350" s="125"/>
      <c r="H350" s="125"/>
      <c r="I350" s="125"/>
      <c r="J350" s="125"/>
      <c r="K350" s="125"/>
      <c r="L350" s="125"/>
      <c r="M350" s="125"/>
      <c r="N350" s="125"/>
      <c r="O350" s="125"/>
      <c r="P350" s="125"/>
      <c r="Q350" s="125"/>
      <c r="R350" s="125"/>
      <c r="S350" s="125"/>
      <c r="T350" s="125"/>
      <c r="U350" s="125"/>
      <c r="V350" s="125"/>
      <c r="W350" s="125"/>
      <c r="X350" s="125"/>
      <c r="Y350" s="125"/>
      <c r="Z350" s="125"/>
      <c r="AA350" s="125"/>
      <c r="AB350" s="125"/>
      <c r="AC350" s="125"/>
      <c r="AD350" s="125"/>
    </row>
    <row r="351">
      <c r="A351" s="124"/>
      <c r="B351" s="125"/>
      <c r="C351" s="125"/>
      <c r="D351" s="125"/>
      <c r="E351" s="125"/>
      <c r="F351" s="125"/>
      <c r="G351" s="125"/>
      <c r="H351" s="125"/>
      <c r="I351" s="125"/>
      <c r="J351" s="125"/>
      <c r="K351" s="125"/>
      <c r="L351" s="125"/>
      <c r="M351" s="125"/>
      <c r="N351" s="125"/>
      <c r="O351" s="125"/>
      <c r="P351" s="125"/>
      <c r="Q351" s="125"/>
      <c r="R351" s="125"/>
      <c r="S351" s="125"/>
      <c r="T351" s="125"/>
      <c r="U351" s="125"/>
      <c r="V351" s="125"/>
      <c r="W351" s="125"/>
      <c r="X351" s="125"/>
      <c r="Y351" s="125"/>
      <c r="Z351" s="125"/>
      <c r="AA351" s="125"/>
      <c r="AB351" s="125"/>
      <c r="AC351" s="125"/>
      <c r="AD351" s="125"/>
    </row>
    <row r="352">
      <c r="A352" s="124"/>
      <c r="B352" s="125"/>
      <c r="C352" s="125"/>
      <c r="D352" s="125"/>
      <c r="E352" s="125"/>
      <c r="F352" s="125"/>
      <c r="G352" s="125"/>
      <c r="H352" s="125"/>
      <c r="I352" s="125"/>
      <c r="J352" s="125"/>
      <c r="K352" s="125"/>
      <c r="L352" s="125"/>
      <c r="M352" s="125"/>
      <c r="N352" s="125"/>
      <c r="O352" s="125"/>
      <c r="P352" s="125"/>
      <c r="Q352" s="125"/>
      <c r="R352" s="125"/>
      <c r="S352" s="125"/>
      <c r="T352" s="125"/>
      <c r="U352" s="125"/>
      <c r="V352" s="125"/>
      <c r="W352" s="125"/>
      <c r="X352" s="125"/>
      <c r="Y352" s="125"/>
      <c r="Z352" s="125"/>
      <c r="AA352" s="125"/>
      <c r="AB352" s="125"/>
      <c r="AC352" s="125"/>
      <c r="AD352" s="125"/>
    </row>
    <row r="353">
      <c r="A353" s="124"/>
      <c r="B353" s="125"/>
      <c r="C353" s="125"/>
      <c r="D353" s="125"/>
      <c r="E353" s="125"/>
      <c r="F353" s="125"/>
      <c r="G353" s="125"/>
      <c r="H353" s="125"/>
      <c r="I353" s="125"/>
      <c r="J353" s="125"/>
      <c r="K353" s="125"/>
      <c r="L353" s="125"/>
      <c r="M353" s="125"/>
      <c r="N353" s="125"/>
      <c r="O353" s="125"/>
      <c r="P353" s="125"/>
      <c r="Q353" s="125"/>
      <c r="R353" s="125"/>
      <c r="S353" s="125"/>
      <c r="T353" s="125"/>
      <c r="U353" s="125"/>
      <c r="V353" s="125"/>
      <c r="W353" s="125"/>
      <c r="X353" s="125"/>
      <c r="Y353" s="125"/>
      <c r="Z353" s="125"/>
      <c r="AA353" s="125"/>
      <c r="AB353" s="125"/>
      <c r="AC353" s="125"/>
      <c r="AD353" s="125"/>
    </row>
    <row r="354">
      <c r="A354" s="124"/>
      <c r="B354" s="125"/>
      <c r="C354" s="125"/>
      <c r="D354" s="125"/>
      <c r="E354" s="125"/>
      <c r="F354" s="125"/>
      <c r="G354" s="125"/>
      <c r="H354" s="125"/>
      <c r="I354" s="125"/>
      <c r="J354" s="125"/>
      <c r="K354" s="125"/>
      <c r="L354" s="125"/>
      <c r="M354" s="125"/>
      <c r="N354" s="125"/>
      <c r="O354" s="125"/>
      <c r="P354" s="125"/>
      <c r="Q354" s="125"/>
      <c r="R354" s="125"/>
      <c r="S354" s="125"/>
      <c r="T354" s="125"/>
      <c r="U354" s="125"/>
      <c r="V354" s="125"/>
      <c r="W354" s="125"/>
      <c r="X354" s="125"/>
      <c r="Y354" s="125"/>
      <c r="Z354" s="125"/>
      <c r="AA354" s="125"/>
      <c r="AB354" s="125"/>
      <c r="AC354" s="125"/>
      <c r="AD354" s="125"/>
    </row>
    <row r="355">
      <c r="A355" s="124"/>
      <c r="B355" s="125"/>
      <c r="C355" s="125"/>
      <c r="D355" s="125"/>
      <c r="E355" s="125"/>
      <c r="F355" s="125"/>
      <c r="G355" s="125"/>
      <c r="H355" s="125"/>
      <c r="I355" s="125"/>
      <c r="J355" s="125"/>
      <c r="K355" s="125"/>
      <c r="L355" s="125"/>
      <c r="M355" s="125"/>
      <c r="N355" s="125"/>
      <c r="O355" s="125"/>
      <c r="P355" s="125"/>
      <c r="Q355" s="125"/>
      <c r="R355" s="125"/>
      <c r="S355" s="125"/>
      <c r="T355" s="125"/>
      <c r="U355" s="125"/>
      <c r="V355" s="125"/>
      <c r="W355" s="125"/>
      <c r="X355" s="125"/>
      <c r="Y355" s="125"/>
      <c r="Z355" s="125"/>
      <c r="AA355" s="125"/>
      <c r="AB355" s="125"/>
      <c r="AC355" s="125"/>
      <c r="AD355" s="125"/>
    </row>
    <row r="356">
      <c r="A356" s="124"/>
      <c r="B356" s="125"/>
      <c r="C356" s="125"/>
      <c r="D356" s="125"/>
      <c r="E356" s="125"/>
      <c r="F356" s="125"/>
      <c r="G356" s="125"/>
      <c r="H356" s="125"/>
      <c r="I356" s="125"/>
      <c r="J356" s="125"/>
      <c r="K356" s="125"/>
      <c r="L356" s="125"/>
      <c r="M356" s="125"/>
      <c r="N356" s="125"/>
      <c r="O356" s="125"/>
      <c r="P356" s="125"/>
      <c r="Q356" s="125"/>
      <c r="R356" s="125"/>
      <c r="S356" s="125"/>
      <c r="T356" s="125"/>
      <c r="U356" s="125"/>
      <c r="V356" s="125"/>
      <c r="W356" s="125"/>
      <c r="X356" s="125"/>
      <c r="Y356" s="125"/>
      <c r="Z356" s="125"/>
      <c r="AA356" s="125"/>
      <c r="AB356" s="125"/>
      <c r="AC356" s="125"/>
      <c r="AD356" s="125"/>
    </row>
    <row r="357">
      <c r="A357" s="124"/>
      <c r="B357" s="125"/>
      <c r="C357" s="125"/>
      <c r="D357" s="125"/>
      <c r="E357" s="125"/>
      <c r="F357" s="125"/>
      <c r="G357" s="125"/>
      <c r="H357" s="125"/>
      <c r="I357" s="125"/>
      <c r="J357" s="125"/>
      <c r="K357" s="125"/>
      <c r="L357" s="125"/>
      <c r="M357" s="125"/>
      <c r="N357" s="125"/>
      <c r="O357" s="125"/>
      <c r="P357" s="125"/>
      <c r="Q357" s="125"/>
      <c r="R357" s="125"/>
      <c r="S357" s="125"/>
      <c r="T357" s="125"/>
      <c r="U357" s="125"/>
      <c r="V357" s="125"/>
      <c r="W357" s="125"/>
      <c r="X357" s="125"/>
      <c r="Y357" s="125"/>
      <c r="Z357" s="125"/>
      <c r="AA357" s="125"/>
      <c r="AB357" s="125"/>
      <c r="AC357" s="125"/>
      <c r="AD357" s="125"/>
    </row>
    <row r="358">
      <c r="A358" s="124"/>
      <c r="B358" s="125"/>
      <c r="C358" s="125"/>
      <c r="D358" s="125"/>
      <c r="E358" s="125"/>
      <c r="F358" s="125"/>
      <c r="G358" s="125"/>
      <c r="H358" s="125"/>
      <c r="I358" s="125"/>
      <c r="J358" s="125"/>
      <c r="K358" s="125"/>
      <c r="L358" s="125"/>
      <c r="M358" s="125"/>
      <c r="N358" s="125"/>
      <c r="O358" s="125"/>
      <c r="P358" s="125"/>
      <c r="Q358" s="125"/>
      <c r="R358" s="125"/>
      <c r="S358" s="125"/>
      <c r="T358" s="125"/>
      <c r="U358" s="125"/>
      <c r="V358" s="125"/>
      <c r="W358" s="125"/>
      <c r="X358" s="125"/>
      <c r="Y358" s="125"/>
      <c r="Z358" s="125"/>
      <c r="AA358" s="125"/>
      <c r="AB358" s="125"/>
      <c r="AC358" s="125"/>
      <c r="AD358" s="125"/>
    </row>
    <row r="359">
      <c r="A359" s="124"/>
      <c r="B359" s="125"/>
      <c r="C359" s="125"/>
      <c r="D359" s="125"/>
      <c r="E359" s="125"/>
      <c r="F359" s="125"/>
      <c r="G359" s="125"/>
      <c r="H359" s="125"/>
      <c r="I359" s="125"/>
      <c r="J359" s="125"/>
      <c r="K359" s="125"/>
      <c r="L359" s="125"/>
      <c r="M359" s="125"/>
      <c r="N359" s="125"/>
      <c r="O359" s="125"/>
      <c r="P359" s="125"/>
      <c r="Q359" s="125"/>
      <c r="R359" s="125"/>
      <c r="S359" s="125"/>
      <c r="T359" s="125"/>
      <c r="U359" s="125"/>
      <c r="V359" s="125"/>
      <c r="W359" s="125"/>
      <c r="X359" s="125"/>
      <c r="Y359" s="125"/>
      <c r="Z359" s="125"/>
      <c r="AA359" s="125"/>
      <c r="AB359" s="125"/>
      <c r="AC359" s="125"/>
      <c r="AD359" s="125"/>
    </row>
    <row r="360">
      <c r="A360" s="124"/>
      <c r="B360" s="125"/>
      <c r="C360" s="125"/>
      <c r="D360" s="125"/>
      <c r="E360" s="125"/>
      <c r="F360" s="125"/>
      <c r="G360" s="125"/>
      <c r="H360" s="125"/>
      <c r="I360" s="125"/>
      <c r="J360" s="125"/>
      <c r="K360" s="125"/>
      <c r="L360" s="125"/>
      <c r="M360" s="125"/>
      <c r="N360" s="125"/>
      <c r="O360" s="125"/>
      <c r="P360" s="125"/>
      <c r="Q360" s="125"/>
      <c r="R360" s="125"/>
      <c r="S360" s="125"/>
      <c r="T360" s="125"/>
      <c r="U360" s="125"/>
      <c r="V360" s="125"/>
      <c r="W360" s="125"/>
      <c r="X360" s="125"/>
      <c r="Y360" s="125"/>
      <c r="Z360" s="125"/>
      <c r="AA360" s="125"/>
      <c r="AB360" s="125"/>
      <c r="AC360" s="125"/>
      <c r="AD360" s="125"/>
    </row>
    <row r="361">
      <c r="A361" s="124"/>
      <c r="B361" s="125"/>
      <c r="C361" s="125"/>
      <c r="D361" s="125"/>
      <c r="E361" s="125"/>
      <c r="F361" s="125"/>
      <c r="G361" s="125"/>
      <c r="H361" s="125"/>
      <c r="I361" s="125"/>
      <c r="J361" s="125"/>
      <c r="K361" s="125"/>
      <c r="L361" s="125"/>
      <c r="M361" s="125"/>
      <c r="N361" s="125"/>
      <c r="O361" s="125"/>
      <c r="P361" s="125"/>
      <c r="Q361" s="125"/>
      <c r="R361" s="125"/>
      <c r="S361" s="125"/>
      <c r="T361" s="125"/>
      <c r="U361" s="125"/>
      <c r="V361" s="125"/>
      <c r="W361" s="125"/>
      <c r="X361" s="125"/>
      <c r="Y361" s="125"/>
      <c r="Z361" s="125"/>
      <c r="AA361" s="125"/>
      <c r="AB361" s="125"/>
      <c r="AC361" s="125"/>
      <c r="AD361" s="125"/>
    </row>
    <row r="362">
      <c r="A362" s="124"/>
      <c r="B362" s="125"/>
      <c r="C362" s="125"/>
      <c r="D362" s="125"/>
      <c r="E362" s="125"/>
      <c r="F362" s="125"/>
      <c r="G362" s="125"/>
      <c r="H362" s="125"/>
      <c r="I362" s="125"/>
      <c r="J362" s="125"/>
      <c r="K362" s="125"/>
      <c r="L362" s="125"/>
      <c r="M362" s="125"/>
      <c r="N362" s="125"/>
      <c r="O362" s="125"/>
      <c r="P362" s="125"/>
      <c r="Q362" s="125"/>
      <c r="R362" s="125"/>
      <c r="S362" s="125"/>
      <c r="T362" s="125"/>
      <c r="U362" s="125"/>
      <c r="V362" s="125"/>
      <c r="W362" s="125"/>
      <c r="X362" s="125"/>
      <c r="Y362" s="125"/>
      <c r="Z362" s="125"/>
      <c r="AA362" s="125"/>
      <c r="AB362" s="125"/>
      <c r="AC362" s="125"/>
      <c r="AD362" s="125"/>
    </row>
    <row r="363">
      <c r="A363" s="124"/>
      <c r="B363" s="125"/>
      <c r="C363" s="125"/>
      <c r="D363" s="125"/>
      <c r="E363" s="125"/>
      <c r="F363" s="125"/>
      <c r="G363" s="125"/>
      <c r="H363" s="125"/>
      <c r="I363" s="125"/>
      <c r="J363" s="125"/>
      <c r="K363" s="125"/>
      <c r="L363" s="125"/>
      <c r="M363" s="125"/>
      <c r="N363" s="125"/>
      <c r="O363" s="125"/>
      <c r="P363" s="125"/>
      <c r="Q363" s="125"/>
      <c r="R363" s="125"/>
      <c r="S363" s="125"/>
      <c r="T363" s="125"/>
      <c r="U363" s="125"/>
      <c r="V363" s="125"/>
      <c r="W363" s="125"/>
      <c r="X363" s="125"/>
      <c r="Y363" s="125"/>
      <c r="Z363" s="125"/>
      <c r="AA363" s="125"/>
      <c r="AB363" s="125"/>
      <c r="AC363" s="125"/>
      <c r="AD363" s="125"/>
    </row>
    <row r="364">
      <c r="A364" s="124"/>
      <c r="B364" s="125"/>
      <c r="C364" s="125"/>
      <c r="D364" s="125"/>
      <c r="E364" s="125"/>
      <c r="F364" s="125"/>
      <c r="G364" s="125"/>
      <c r="H364" s="125"/>
      <c r="I364" s="125"/>
      <c r="J364" s="125"/>
      <c r="K364" s="125"/>
      <c r="L364" s="125"/>
      <c r="M364" s="125"/>
      <c r="N364" s="125"/>
      <c r="O364" s="125"/>
      <c r="P364" s="125"/>
      <c r="Q364" s="125"/>
      <c r="R364" s="125"/>
      <c r="S364" s="125"/>
      <c r="T364" s="125"/>
      <c r="U364" s="125"/>
      <c r="V364" s="125"/>
      <c r="W364" s="125"/>
      <c r="X364" s="125"/>
      <c r="Y364" s="125"/>
      <c r="Z364" s="125"/>
      <c r="AA364" s="125"/>
      <c r="AB364" s="125"/>
      <c r="AC364" s="125"/>
      <c r="AD364" s="125"/>
    </row>
    <row r="365">
      <c r="A365" s="124"/>
      <c r="B365" s="125"/>
      <c r="C365" s="125"/>
      <c r="D365" s="125"/>
      <c r="E365" s="125"/>
      <c r="F365" s="125"/>
      <c r="G365" s="125"/>
      <c r="H365" s="125"/>
      <c r="I365" s="125"/>
      <c r="J365" s="125"/>
      <c r="K365" s="125"/>
      <c r="L365" s="125"/>
      <c r="M365" s="125"/>
      <c r="N365" s="125"/>
      <c r="O365" s="125"/>
      <c r="P365" s="125"/>
      <c r="Q365" s="125"/>
      <c r="R365" s="125"/>
      <c r="S365" s="125"/>
      <c r="T365" s="125"/>
      <c r="U365" s="125"/>
      <c r="V365" s="125"/>
      <c r="W365" s="125"/>
      <c r="X365" s="125"/>
      <c r="Y365" s="125"/>
      <c r="Z365" s="125"/>
      <c r="AA365" s="125"/>
      <c r="AB365" s="125"/>
      <c r="AC365" s="125"/>
      <c r="AD365" s="125"/>
    </row>
    <row r="366">
      <c r="A366" s="124"/>
      <c r="B366" s="125"/>
      <c r="C366" s="125"/>
      <c r="D366" s="125"/>
      <c r="E366" s="125"/>
      <c r="F366" s="125"/>
      <c r="G366" s="125"/>
      <c r="H366" s="125"/>
      <c r="I366" s="125"/>
      <c r="J366" s="125"/>
      <c r="K366" s="125"/>
      <c r="L366" s="125"/>
      <c r="M366" s="125"/>
      <c r="N366" s="125"/>
      <c r="O366" s="125"/>
      <c r="P366" s="125"/>
      <c r="Q366" s="125"/>
      <c r="R366" s="125"/>
      <c r="S366" s="125"/>
      <c r="T366" s="125"/>
      <c r="U366" s="125"/>
      <c r="V366" s="125"/>
      <c r="W366" s="125"/>
      <c r="X366" s="125"/>
      <c r="Y366" s="125"/>
      <c r="Z366" s="125"/>
      <c r="AA366" s="125"/>
      <c r="AB366" s="125"/>
      <c r="AC366" s="125"/>
      <c r="AD366" s="125"/>
    </row>
    <row r="367">
      <c r="A367" s="124"/>
      <c r="B367" s="125"/>
      <c r="C367" s="125"/>
      <c r="D367" s="125"/>
      <c r="E367" s="125"/>
      <c r="F367" s="125"/>
      <c r="G367" s="125"/>
      <c r="H367" s="125"/>
      <c r="I367" s="125"/>
      <c r="J367" s="125"/>
      <c r="K367" s="125"/>
      <c r="L367" s="125"/>
      <c r="M367" s="125"/>
      <c r="N367" s="125"/>
      <c r="O367" s="125"/>
      <c r="P367" s="125"/>
      <c r="Q367" s="125"/>
      <c r="R367" s="125"/>
      <c r="S367" s="125"/>
      <c r="T367" s="125"/>
      <c r="U367" s="125"/>
      <c r="V367" s="125"/>
      <c r="W367" s="125"/>
      <c r="X367" s="125"/>
      <c r="Y367" s="125"/>
      <c r="Z367" s="125"/>
      <c r="AA367" s="125"/>
      <c r="AB367" s="125"/>
      <c r="AC367" s="125"/>
      <c r="AD367" s="125"/>
    </row>
    <row r="368">
      <c r="A368" s="124"/>
      <c r="B368" s="125"/>
      <c r="C368" s="125"/>
      <c r="D368" s="125"/>
      <c r="E368" s="125"/>
      <c r="F368" s="125"/>
      <c r="G368" s="125"/>
      <c r="H368" s="125"/>
      <c r="I368" s="125"/>
      <c r="J368" s="125"/>
      <c r="K368" s="125"/>
      <c r="L368" s="125"/>
      <c r="M368" s="125"/>
      <c r="N368" s="125"/>
      <c r="O368" s="125"/>
      <c r="P368" s="125"/>
      <c r="Q368" s="125"/>
      <c r="R368" s="125"/>
      <c r="S368" s="125"/>
      <c r="T368" s="125"/>
      <c r="U368" s="125"/>
      <c r="V368" s="125"/>
      <c r="W368" s="125"/>
      <c r="X368" s="125"/>
      <c r="Y368" s="125"/>
      <c r="Z368" s="125"/>
      <c r="AA368" s="125"/>
      <c r="AB368" s="125"/>
      <c r="AC368" s="125"/>
      <c r="AD368" s="125"/>
    </row>
    <row r="369">
      <c r="A369" s="124"/>
      <c r="B369" s="125"/>
      <c r="C369" s="125"/>
      <c r="D369" s="125"/>
      <c r="E369" s="125"/>
      <c r="F369" s="125"/>
      <c r="G369" s="125"/>
      <c r="H369" s="125"/>
      <c r="I369" s="125"/>
      <c r="J369" s="125"/>
      <c r="K369" s="125"/>
      <c r="L369" s="125"/>
      <c r="M369" s="125"/>
      <c r="N369" s="125"/>
      <c r="O369" s="125"/>
      <c r="P369" s="125"/>
      <c r="Q369" s="125"/>
      <c r="R369" s="125"/>
      <c r="S369" s="125"/>
      <c r="T369" s="125"/>
      <c r="U369" s="125"/>
      <c r="V369" s="125"/>
      <c r="W369" s="125"/>
      <c r="X369" s="125"/>
      <c r="Y369" s="125"/>
      <c r="Z369" s="125"/>
      <c r="AA369" s="125"/>
      <c r="AB369" s="125"/>
      <c r="AC369" s="125"/>
      <c r="AD369" s="125"/>
    </row>
    <row r="370">
      <c r="A370" s="124"/>
      <c r="B370" s="125"/>
      <c r="C370" s="125"/>
      <c r="D370" s="125"/>
      <c r="E370" s="125"/>
      <c r="F370" s="125"/>
      <c r="G370" s="125"/>
      <c r="H370" s="125"/>
      <c r="I370" s="125"/>
      <c r="J370" s="125"/>
      <c r="K370" s="125"/>
      <c r="L370" s="125"/>
      <c r="M370" s="125"/>
      <c r="N370" s="125"/>
      <c r="O370" s="125"/>
      <c r="P370" s="125"/>
      <c r="Q370" s="125"/>
      <c r="R370" s="125"/>
      <c r="S370" s="125"/>
      <c r="T370" s="125"/>
      <c r="U370" s="125"/>
      <c r="V370" s="125"/>
      <c r="W370" s="125"/>
      <c r="X370" s="125"/>
      <c r="Y370" s="125"/>
      <c r="Z370" s="125"/>
      <c r="AA370" s="125"/>
      <c r="AB370" s="125"/>
      <c r="AC370" s="125"/>
      <c r="AD370" s="125"/>
    </row>
    <row r="371">
      <c r="A371" s="124"/>
      <c r="B371" s="125"/>
      <c r="C371" s="125"/>
      <c r="D371" s="125"/>
      <c r="E371" s="125"/>
      <c r="F371" s="125"/>
      <c r="G371" s="125"/>
      <c r="H371" s="125"/>
      <c r="I371" s="125"/>
      <c r="J371" s="125"/>
      <c r="K371" s="125"/>
      <c r="L371" s="125"/>
      <c r="M371" s="125"/>
      <c r="N371" s="125"/>
      <c r="O371" s="125"/>
      <c r="P371" s="125"/>
      <c r="Q371" s="125"/>
      <c r="R371" s="125"/>
      <c r="S371" s="125"/>
      <c r="T371" s="125"/>
      <c r="U371" s="125"/>
      <c r="V371" s="125"/>
      <c r="W371" s="125"/>
      <c r="X371" s="125"/>
      <c r="Y371" s="125"/>
      <c r="Z371" s="125"/>
      <c r="AA371" s="125"/>
      <c r="AB371" s="125"/>
      <c r="AC371" s="125"/>
      <c r="AD371" s="125"/>
    </row>
    <row r="372">
      <c r="A372" s="124"/>
      <c r="B372" s="125"/>
      <c r="C372" s="125"/>
      <c r="D372" s="125"/>
      <c r="E372" s="125"/>
      <c r="F372" s="125"/>
      <c r="G372" s="125"/>
      <c r="H372" s="125"/>
      <c r="I372" s="125"/>
      <c r="J372" s="125"/>
      <c r="K372" s="125"/>
      <c r="L372" s="125"/>
      <c r="M372" s="125"/>
      <c r="N372" s="125"/>
      <c r="O372" s="125"/>
      <c r="P372" s="125"/>
      <c r="Q372" s="125"/>
      <c r="R372" s="125"/>
      <c r="S372" s="125"/>
      <c r="T372" s="125"/>
      <c r="U372" s="125"/>
      <c r="V372" s="125"/>
      <c r="W372" s="125"/>
      <c r="X372" s="125"/>
      <c r="Y372" s="125"/>
      <c r="Z372" s="125"/>
      <c r="AA372" s="125"/>
      <c r="AB372" s="125"/>
      <c r="AC372" s="125"/>
      <c r="AD372" s="125"/>
    </row>
    <row r="373">
      <c r="A373" s="124"/>
      <c r="B373" s="125"/>
      <c r="C373" s="125"/>
      <c r="D373" s="125"/>
      <c r="E373" s="125"/>
      <c r="F373" s="125"/>
      <c r="G373" s="125"/>
      <c r="H373" s="125"/>
      <c r="I373" s="125"/>
      <c r="J373" s="125"/>
      <c r="K373" s="125"/>
      <c r="L373" s="125"/>
      <c r="M373" s="125"/>
      <c r="N373" s="125"/>
      <c r="O373" s="125"/>
      <c r="P373" s="125"/>
      <c r="Q373" s="125"/>
      <c r="R373" s="125"/>
      <c r="S373" s="125"/>
      <c r="T373" s="125"/>
      <c r="U373" s="125"/>
      <c r="V373" s="125"/>
      <c r="W373" s="125"/>
      <c r="X373" s="125"/>
      <c r="Y373" s="125"/>
      <c r="Z373" s="125"/>
      <c r="AA373" s="125"/>
      <c r="AB373" s="125"/>
      <c r="AC373" s="125"/>
      <c r="AD373" s="125"/>
    </row>
    <row r="374">
      <c r="A374" s="124"/>
      <c r="B374" s="125"/>
      <c r="C374" s="125"/>
      <c r="D374" s="125"/>
      <c r="E374" s="125"/>
      <c r="F374" s="125"/>
      <c r="G374" s="125"/>
      <c r="H374" s="125"/>
      <c r="I374" s="125"/>
      <c r="J374" s="125"/>
      <c r="K374" s="125"/>
      <c r="L374" s="125"/>
      <c r="M374" s="125"/>
      <c r="N374" s="125"/>
      <c r="O374" s="125"/>
      <c r="P374" s="125"/>
      <c r="Q374" s="125"/>
      <c r="R374" s="125"/>
      <c r="S374" s="125"/>
      <c r="T374" s="125"/>
      <c r="U374" s="125"/>
      <c r="V374" s="125"/>
      <c r="W374" s="125"/>
      <c r="X374" s="125"/>
      <c r="Y374" s="125"/>
      <c r="Z374" s="125"/>
      <c r="AA374" s="125"/>
      <c r="AB374" s="125"/>
      <c r="AC374" s="125"/>
      <c r="AD374" s="125"/>
    </row>
    <row r="375">
      <c r="A375" s="124"/>
      <c r="B375" s="125"/>
      <c r="C375" s="125"/>
      <c r="D375" s="125"/>
      <c r="E375" s="125"/>
      <c r="F375" s="125"/>
      <c r="G375" s="125"/>
      <c r="H375" s="125"/>
      <c r="I375" s="125"/>
      <c r="J375" s="125"/>
      <c r="K375" s="125"/>
      <c r="L375" s="125"/>
      <c r="M375" s="125"/>
      <c r="N375" s="125"/>
      <c r="O375" s="125"/>
      <c r="P375" s="125"/>
      <c r="Q375" s="125"/>
      <c r="R375" s="125"/>
      <c r="S375" s="125"/>
      <c r="T375" s="125"/>
      <c r="U375" s="125"/>
      <c r="V375" s="125"/>
      <c r="W375" s="125"/>
      <c r="X375" s="125"/>
      <c r="Y375" s="125"/>
      <c r="Z375" s="125"/>
      <c r="AA375" s="125"/>
      <c r="AB375" s="125"/>
      <c r="AC375" s="125"/>
      <c r="AD375" s="125"/>
    </row>
    <row r="376">
      <c r="A376" s="124"/>
      <c r="B376" s="125"/>
      <c r="C376" s="125"/>
      <c r="D376" s="125"/>
      <c r="E376" s="125"/>
      <c r="F376" s="125"/>
      <c r="G376" s="125"/>
      <c r="H376" s="125"/>
      <c r="I376" s="125"/>
      <c r="J376" s="125"/>
      <c r="K376" s="125"/>
      <c r="L376" s="125"/>
      <c r="M376" s="125"/>
      <c r="N376" s="125"/>
      <c r="O376" s="125"/>
      <c r="P376" s="125"/>
      <c r="Q376" s="125"/>
      <c r="R376" s="125"/>
      <c r="S376" s="125"/>
      <c r="T376" s="125"/>
      <c r="U376" s="125"/>
      <c r="V376" s="125"/>
      <c r="W376" s="125"/>
      <c r="X376" s="125"/>
      <c r="Y376" s="125"/>
      <c r="Z376" s="125"/>
      <c r="AA376" s="125"/>
      <c r="AB376" s="125"/>
      <c r="AC376" s="125"/>
      <c r="AD376" s="125"/>
    </row>
    <row r="377">
      <c r="A377" s="124"/>
      <c r="B377" s="125"/>
      <c r="C377" s="125"/>
      <c r="D377" s="125"/>
      <c r="E377" s="125"/>
      <c r="F377" s="125"/>
      <c r="G377" s="125"/>
      <c r="H377" s="125"/>
      <c r="I377" s="125"/>
      <c r="J377" s="125"/>
      <c r="K377" s="125"/>
      <c r="L377" s="125"/>
      <c r="M377" s="125"/>
      <c r="N377" s="125"/>
      <c r="O377" s="125"/>
      <c r="P377" s="125"/>
      <c r="Q377" s="125"/>
      <c r="R377" s="125"/>
      <c r="S377" s="125"/>
      <c r="T377" s="125"/>
      <c r="U377" s="125"/>
      <c r="V377" s="125"/>
      <c r="W377" s="125"/>
      <c r="X377" s="125"/>
      <c r="Y377" s="125"/>
      <c r="Z377" s="125"/>
      <c r="AA377" s="125"/>
      <c r="AB377" s="125"/>
      <c r="AC377" s="125"/>
      <c r="AD377" s="125"/>
    </row>
    <row r="378">
      <c r="A378" s="124"/>
      <c r="B378" s="125"/>
      <c r="C378" s="125"/>
      <c r="D378" s="125"/>
      <c r="E378" s="125"/>
      <c r="F378" s="125"/>
      <c r="G378" s="125"/>
      <c r="H378" s="125"/>
      <c r="I378" s="125"/>
      <c r="J378" s="125"/>
      <c r="K378" s="125"/>
      <c r="L378" s="125"/>
      <c r="M378" s="125"/>
      <c r="N378" s="125"/>
      <c r="O378" s="125"/>
      <c r="P378" s="125"/>
      <c r="Q378" s="125"/>
      <c r="R378" s="125"/>
      <c r="S378" s="125"/>
      <c r="T378" s="125"/>
      <c r="U378" s="125"/>
      <c r="V378" s="125"/>
      <c r="W378" s="125"/>
      <c r="X378" s="125"/>
      <c r="Y378" s="125"/>
      <c r="Z378" s="125"/>
      <c r="AA378" s="125"/>
      <c r="AB378" s="125"/>
      <c r="AC378" s="125"/>
      <c r="AD378" s="125"/>
    </row>
    <row r="379">
      <c r="A379" s="124"/>
      <c r="B379" s="125"/>
      <c r="C379" s="125"/>
      <c r="D379" s="125"/>
      <c r="E379" s="125"/>
      <c r="F379" s="125"/>
      <c r="G379" s="125"/>
      <c r="H379" s="125"/>
      <c r="I379" s="125"/>
      <c r="J379" s="125"/>
      <c r="K379" s="125"/>
      <c r="L379" s="125"/>
      <c r="M379" s="125"/>
      <c r="N379" s="125"/>
      <c r="O379" s="125"/>
      <c r="P379" s="125"/>
      <c r="Q379" s="125"/>
      <c r="R379" s="125"/>
      <c r="S379" s="125"/>
      <c r="T379" s="125"/>
      <c r="U379" s="125"/>
      <c r="V379" s="125"/>
      <c r="W379" s="125"/>
      <c r="X379" s="125"/>
      <c r="Y379" s="125"/>
      <c r="Z379" s="125"/>
      <c r="AA379" s="125"/>
      <c r="AB379" s="125"/>
      <c r="AC379" s="125"/>
      <c r="AD379" s="125"/>
    </row>
    <row r="380">
      <c r="A380" s="124"/>
      <c r="B380" s="125"/>
      <c r="C380" s="125"/>
      <c r="D380" s="125"/>
      <c r="E380" s="125"/>
      <c r="F380" s="125"/>
      <c r="G380" s="125"/>
      <c r="H380" s="125"/>
      <c r="I380" s="125"/>
      <c r="J380" s="125"/>
      <c r="K380" s="125"/>
      <c r="L380" s="125"/>
      <c r="M380" s="125"/>
      <c r="N380" s="125"/>
      <c r="O380" s="125"/>
      <c r="P380" s="125"/>
      <c r="Q380" s="125"/>
      <c r="R380" s="125"/>
      <c r="S380" s="125"/>
      <c r="T380" s="125"/>
      <c r="U380" s="125"/>
      <c r="V380" s="125"/>
      <c r="W380" s="125"/>
      <c r="X380" s="125"/>
      <c r="Y380" s="125"/>
      <c r="Z380" s="125"/>
      <c r="AA380" s="125"/>
      <c r="AB380" s="125"/>
      <c r="AC380" s="125"/>
      <c r="AD380" s="125"/>
    </row>
    <row r="381">
      <c r="A381" s="124"/>
      <c r="B381" s="125"/>
      <c r="C381" s="125"/>
      <c r="D381" s="125"/>
      <c r="E381" s="125"/>
      <c r="F381" s="125"/>
      <c r="G381" s="125"/>
      <c r="H381" s="125"/>
      <c r="I381" s="125"/>
      <c r="J381" s="125"/>
      <c r="K381" s="125"/>
      <c r="L381" s="125"/>
      <c r="M381" s="125"/>
      <c r="N381" s="125"/>
      <c r="O381" s="125"/>
      <c r="P381" s="125"/>
      <c r="Q381" s="125"/>
      <c r="R381" s="125"/>
      <c r="S381" s="125"/>
      <c r="T381" s="125"/>
      <c r="U381" s="125"/>
      <c r="V381" s="125"/>
      <c r="W381" s="125"/>
      <c r="X381" s="125"/>
      <c r="Y381" s="125"/>
      <c r="Z381" s="125"/>
      <c r="AA381" s="125"/>
      <c r="AB381" s="125"/>
      <c r="AC381" s="125"/>
      <c r="AD381" s="125"/>
    </row>
    <row r="382">
      <c r="A382" s="124"/>
      <c r="B382" s="125"/>
      <c r="C382" s="125"/>
      <c r="D382" s="125"/>
      <c r="E382" s="125"/>
      <c r="F382" s="125"/>
      <c r="G382" s="125"/>
      <c r="H382" s="125"/>
      <c r="I382" s="125"/>
      <c r="J382" s="125"/>
      <c r="K382" s="125"/>
      <c r="L382" s="125"/>
      <c r="M382" s="125"/>
      <c r="N382" s="125"/>
      <c r="O382" s="125"/>
      <c r="P382" s="125"/>
      <c r="Q382" s="125"/>
      <c r="R382" s="125"/>
      <c r="S382" s="125"/>
      <c r="T382" s="125"/>
      <c r="U382" s="125"/>
      <c r="V382" s="125"/>
      <c r="W382" s="125"/>
      <c r="X382" s="125"/>
      <c r="Y382" s="125"/>
      <c r="Z382" s="125"/>
      <c r="AA382" s="125"/>
      <c r="AB382" s="125"/>
      <c r="AC382" s="125"/>
      <c r="AD382" s="125"/>
    </row>
    <row r="383">
      <c r="A383" s="124"/>
      <c r="B383" s="125"/>
      <c r="C383" s="125"/>
      <c r="D383" s="125"/>
      <c r="E383" s="125"/>
      <c r="F383" s="125"/>
      <c r="G383" s="125"/>
      <c r="H383" s="125"/>
      <c r="I383" s="125"/>
      <c r="J383" s="125"/>
      <c r="K383" s="125"/>
      <c r="L383" s="125"/>
      <c r="M383" s="125"/>
      <c r="N383" s="125"/>
      <c r="O383" s="125"/>
      <c r="P383" s="125"/>
      <c r="Q383" s="125"/>
      <c r="R383" s="125"/>
      <c r="S383" s="125"/>
      <c r="T383" s="125"/>
      <c r="U383" s="125"/>
      <c r="V383" s="125"/>
      <c r="W383" s="125"/>
      <c r="X383" s="125"/>
      <c r="Y383" s="125"/>
      <c r="Z383" s="125"/>
      <c r="AA383" s="125"/>
      <c r="AB383" s="125"/>
      <c r="AC383" s="125"/>
      <c r="AD383" s="125"/>
    </row>
    <row r="384">
      <c r="A384" s="124"/>
      <c r="B384" s="125"/>
      <c r="C384" s="125"/>
      <c r="D384" s="125"/>
      <c r="E384" s="125"/>
      <c r="F384" s="125"/>
      <c r="G384" s="125"/>
      <c r="H384" s="125"/>
      <c r="I384" s="125"/>
      <c r="J384" s="125"/>
      <c r="K384" s="125"/>
      <c r="L384" s="125"/>
      <c r="M384" s="125"/>
      <c r="N384" s="125"/>
      <c r="O384" s="125"/>
      <c r="P384" s="125"/>
      <c r="Q384" s="125"/>
      <c r="R384" s="125"/>
      <c r="S384" s="125"/>
      <c r="T384" s="125"/>
      <c r="U384" s="125"/>
      <c r="V384" s="125"/>
      <c r="W384" s="125"/>
      <c r="X384" s="125"/>
      <c r="Y384" s="125"/>
      <c r="Z384" s="125"/>
      <c r="AA384" s="125"/>
      <c r="AB384" s="125"/>
      <c r="AC384" s="125"/>
      <c r="AD384" s="125"/>
    </row>
    <row r="385">
      <c r="A385" s="124"/>
      <c r="B385" s="125"/>
      <c r="C385" s="125"/>
      <c r="D385" s="125"/>
      <c r="E385" s="125"/>
      <c r="F385" s="125"/>
      <c r="G385" s="125"/>
      <c r="H385" s="125"/>
      <c r="I385" s="125"/>
      <c r="J385" s="125"/>
      <c r="K385" s="125"/>
      <c r="L385" s="125"/>
      <c r="M385" s="125"/>
      <c r="N385" s="125"/>
      <c r="O385" s="125"/>
      <c r="P385" s="125"/>
      <c r="Q385" s="125"/>
      <c r="R385" s="125"/>
      <c r="S385" s="125"/>
      <c r="T385" s="125"/>
      <c r="U385" s="125"/>
      <c r="V385" s="125"/>
      <c r="W385" s="125"/>
      <c r="X385" s="125"/>
      <c r="Y385" s="125"/>
      <c r="Z385" s="125"/>
      <c r="AA385" s="125"/>
      <c r="AB385" s="125"/>
      <c r="AC385" s="125"/>
      <c r="AD385" s="125"/>
    </row>
    <row r="386">
      <c r="A386" s="124"/>
      <c r="B386" s="125"/>
      <c r="C386" s="125"/>
      <c r="D386" s="125"/>
      <c r="E386" s="125"/>
      <c r="F386" s="125"/>
      <c r="G386" s="125"/>
      <c r="H386" s="125"/>
      <c r="I386" s="125"/>
      <c r="J386" s="125"/>
      <c r="K386" s="125"/>
      <c r="L386" s="125"/>
      <c r="M386" s="125"/>
      <c r="N386" s="125"/>
      <c r="O386" s="125"/>
      <c r="P386" s="125"/>
      <c r="Q386" s="125"/>
      <c r="R386" s="125"/>
      <c r="S386" s="125"/>
      <c r="T386" s="125"/>
      <c r="U386" s="125"/>
      <c r="V386" s="125"/>
      <c r="W386" s="125"/>
      <c r="X386" s="125"/>
      <c r="Y386" s="125"/>
      <c r="Z386" s="125"/>
      <c r="AA386" s="125"/>
      <c r="AB386" s="125"/>
      <c r="AC386" s="125"/>
      <c r="AD386" s="125"/>
    </row>
    <row r="387">
      <c r="A387" s="124"/>
      <c r="B387" s="125"/>
      <c r="C387" s="125"/>
      <c r="D387" s="125"/>
      <c r="E387" s="125"/>
      <c r="F387" s="125"/>
      <c r="G387" s="125"/>
      <c r="H387" s="125"/>
      <c r="I387" s="125"/>
      <c r="J387" s="125"/>
      <c r="K387" s="125"/>
      <c r="L387" s="125"/>
      <c r="M387" s="125"/>
      <c r="N387" s="125"/>
      <c r="O387" s="125"/>
      <c r="P387" s="125"/>
      <c r="Q387" s="125"/>
      <c r="R387" s="125"/>
      <c r="S387" s="125"/>
      <c r="T387" s="125"/>
      <c r="U387" s="125"/>
      <c r="V387" s="125"/>
      <c r="W387" s="125"/>
      <c r="X387" s="125"/>
      <c r="Y387" s="125"/>
      <c r="Z387" s="125"/>
      <c r="AA387" s="125"/>
      <c r="AB387" s="125"/>
      <c r="AC387" s="125"/>
      <c r="AD387" s="125"/>
    </row>
    <row r="388">
      <c r="A388" s="124"/>
      <c r="B388" s="125"/>
      <c r="C388" s="125"/>
      <c r="D388" s="125"/>
      <c r="E388" s="125"/>
      <c r="F388" s="125"/>
      <c r="G388" s="125"/>
      <c r="H388" s="125"/>
      <c r="I388" s="125"/>
      <c r="J388" s="125"/>
      <c r="K388" s="125"/>
      <c r="L388" s="125"/>
      <c r="M388" s="125"/>
      <c r="N388" s="125"/>
      <c r="O388" s="125"/>
      <c r="P388" s="125"/>
      <c r="Q388" s="125"/>
      <c r="R388" s="125"/>
      <c r="S388" s="125"/>
      <c r="T388" s="125"/>
      <c r="U388" s="125"/>
      <c r="V388" s="125"/>
      <c r="W388" s="125"/>
      <c r="X388" s="125"/>
      <c r="Y388" s="125"/>
      <c r="Z388" s="125"/>
      <c r="AA388" s="125"/>
      <c r="AB388" s="125"/>
      <c r="AC388" s="125"/>
      <c r="AD388" s="125"/>
    </row>
    <row r="389">
      <c r="A389" s="124"/>
      <c r="B389" s="125"/>
      <c r="C389" s="125"/>
      <c r="D389" s="125"/>
      <c r="E389" s="125"/>
      <c r="F389" s="125"/>
      <c r="G389" s="125"/>
      <c r="H389" s="125"/>
      <c r="I389" s="125"/>
      <c r="J389" s="125"/>
      <c r="K389" s="125"/>
      <c r="L389" s="125"/>
      <c r="M389" s="125"/>
      <c r="N389" s="125"/>
      <c r="O389" s="125"/>
      <c r="P389" s="125"/>
      <c r="Q389" s="125"/>
      <c r="R389" s="125"/>
      <c r="S389" s="125"/>
      <c r="T389" s="125"/>
      <c r="U389" s="125"/>
      <c r="V389" s="125"/>
      <c r="W389" s="125"/>
      <c r="X389" s="125"/>
      <c r="Y389" s="125"/>
      <c r="Z389" s="125"/>
      <c r="AA389" s="125"/>
      <c r="AB389" s="125"/>
      <c r="AC389" s="125"/>
      <c r="AD389" s="125"/>
    </row>
    <row r="390">
      <c r="A390" s="124"/>
      <c r="B390" s="125"/>
      <c r="C390" s="125"/>
      <c r="D390" s="125"/>
      <c r="E390" s="125"/>
      <c r="F390" s="125"/>
      <c r="G390" s="125"/>
      <c r="H390" s="125"/>
      <c r="I390" s="125"/>
      <c r="J390" s="125"/>
      <c r="K390" s="125"/>
      <c r="L390" s="125"/>
      <c r="M390" s="125"/>
      <c r="N390" s="125"/>
      <c r="O390" s="125"/>
      <c r="P390" s="125"/>
      <c r="Q390" s="125"/>
      <c r="R390" s="125"/>
      <c r="S390" s="125"/>
      <c r="T390" s="125"/>
      <c r="U390" s="125"/>
      <c r="V390" s="125"/>
      <c r="W390" s="125"/>
      <c r="X390" s="125"/>
      <c r="Y390" s="125"/>
      <c r="Z390" s="125"/>
      <c r="AA390" s="125"/>
      <c r="AB390" s="125"/>
      <c r="AC390" s="125"/>
      <c r="AD390" s="125"/>
    </row>
    <row r="391">
      <c r="A391" s="124"/>
      <c r="B391" s="125"/>
      <c r="C391" s="125"/>
      <c r="D391" s="125"/>
      <c r="E391" s="125"/>
      <c r="F391" s="125"/>
      <c r="G391" s="125"/>
      <c r="H391" s="125"/>
      <c r="I391" s="125"/>
      <c r="J391" s="125"/>
      <c r="K391" s="125"/>
      <c r="L391" s="125"/>
      <c r="M391" s="125"/>
      <c r="N391" s="125"/>
      <c r="O391" s="125"/>
      <c r="P391" s="125"/>
      <c r="Q391" s="125"/>
      <c r="R391" s="125"/>
      <c r="S391" s="125"/>
      <c r="T391" s="125"/>
      <c r="U391" s="125"/>
      <c r="V391" s="125"/>
      <c r="W391" s="125"/>
      <c r="X391" s="125"/>
      <c r="Y391" s="125"/>
      <c r="Z391" s="125"/>
      <c r="AA391" s="125"/>
      <c r="AB391" s="125"/>
      <c r="AC391" s="125"/>
      <c r="AD391" s="125"/>
    </row>
    <row r="392">
      <c r="A392" s="124"/>
      <c r="B392" s="125"/>
      <c r="C392" s="125"/>
      <c r="D392" s="125"/>
      <c r="E392" s="125"/>
      <c r="F392" s="125"/>
      <c r="G392" s="125"/>
      <c r="H392" s="125"/>
      <c r="I392" s="125"/>
      <c r="J392" s="125"/>
      <c r="K392" s="125"/>
      <c r="L392" s="125"/>
      <c r="M392" s="125"/>
      <c r="N392" s="125"/>
      <c r="O392" s="125"/>
      <c r="P392" s="125"/>
      <c r="Q392" s="125"/>
      <c r="R392" s="125"/>
      <c r="S392" s="125"/>
      <c r="T392" s="125"/>
      <c r="U392" s="125"/>
      <c r="V392" s="125"/>
      <c r="W392" s="125"/>
      <c r="X392" s="125"/>
      <c r="Y392" s="125"/>
      <c r="Z392" s="125"/>
      <c r="AA392" s="125"/>
      <c r="AB392" s="125"/>
      <c r="AC392" s="125"/>
      <c r="AD392" s="125"/>
    </row>
    <row r="393">
      <c r="A393" s="124"/>
      <c r="B393" s="125"/>
      <c r="C393" s="125"/>
      <c r="D393" s="125"/>
      <c r="E393" s="125"/>
      <c r="F393" s="125"/>
      <c r="G393" s="125"/>
      <c r="H393" s="125"/>
      <c r="I393" s="125"/>
      <c r="J393" s="125"/>
      <c r="K393" s="125"/>
      <c r="L393" s="125"/>
      <c r="M393" s="125"/>
      <c r="N393" s="125"/>
      <c r="O393" s="125"/>
      <c r="P393" s="125"/>
      <c r="Q393" s="125"/>
      <c r="R393" s="125"/>
      <c r="S393" s="125"/>
      <c r="T393" s="125"/>
      <c r="U393" s="125"/>
      <c r="V393" s="125"/>
      <c r="W393" s="125"/>
      <c r="X393" s="125"/>
      <c r="Y393" s="125"/>
      <c r="Z393" s="125"/>
      <c r="AA393" s="125"/>
      <c r="AB393" s="125"/>
      <c r="AC393" s="125"/>
      <c r="AD393" s="125"/>
    </row>
    <row r="394">
      <c r="A394" s="124"/>
      <c r="B394" s="125"/>
      <c r="C394" s="125"/>
      <c r="D394" s="125"/>
      <c r="E394" s="125"/>
      <c r="F394" s="125"/>
      <c r="G394" s="125"/>
      <c r="H394" s="125"/>
      <c r="I394" s="125"/>
      <c r="J394" s="125"/>
      <c r="K394" s="125"/>
      <c r="L394" s="125"/>
      <c r="M394" s="125"/>
      <c r="N394" s="125"/>
      <c r="O394" s="125"/>
      <c r="P394" s="125"/>
      <c r="Q394" s="125"/>
      <c r="R394" s="125"/>
      <c r="S394" s="125"/>
      <c r="T394" s="125"/>
      <c r="U394" s="125"/>
      <c r="V394" s="125"/>
      <c r="W394" s="125"/>
      <c r="X394" s="125"/>
      <c r="Y394" s="125"/>
      <c r="Z394" s="125"/>
      <c r="AA394" s="125"/>
      <c r="AB394" s="125"/>
      <c r="AC394" s="125"/>
      <c r="AD394" s="125"/>
    </row>
    <row r="395">
      <c r="A395" s="124"/>
      <c r="B395" s="125"/>
      <c r="C395" s="125"/>
      <c r="D395" s="125"/>
      <c r="E395" s="125"/>
      <c r="F395" s="125"/>
      <c r="G395" s="125"/>
      <c r="H395" s="125"/>
      <c r="I395" s="125"/>
      <c r="J395" s="125"/>
      <c r="K395" s="125"/>
      <c r="L395" s="125"/>
      <c r="M395" s="125"/>
      <c r="N395" s="125"/>
      <c r="O395" s="125"/>
      <c r="P395" s="125"/>
      <c r="Q395" s="125"/>
      <c r="R395" s="125"/>
      <c r="S395" s="125"/>
      <c r="T395" s="125"/>
      <c r="U395" s="125"/>
      <c r="V395" s="125"/>
      <c r="W395" s="125"/>
      <c r="X395" s="125"/>
      <c r="Y395" s="125"/>
      <c r="Z395" s="125"/>
      <c r="AA395" s="125"/>
      <c r="AB395" s="125"/>
      <c r="AC395" s="125"/>
      <c r="AD395" s="125"/>
    </row>
    <row r="396">
      <c r="A396" s="124"/>
      <c r="B396" s="125"/>
      <c r="C396" s="125"/>
      <c r="D396" s="125"/>
      <c r="E396" s="125"/>
      <c r="F396" s="125"/>
      <c r="G396" s="125"/>
      <c r="H396" s="125"/>
      <c r="I396" s="125"/>
      <c r="J396" s="125"/>
      <c r="K396" s="125"/>
      <c r="L396" s="125"/>
      <c r="M396" s="125"/>
      <c r="N396" s="125"/>
      <c r="O396" s="125"/>
      <c r="P396" s="125"/>
      <c r="Q396" s="125"/>
      <c r="R396" s="125"/>
      <c r="S396" s="125"/>
      <c r="T396" s="125"/>
      <c r="U396" s="125"/>
      <c r="V396" s="125"/>
      <c r="W396" s="125"/>
      <c r="X396" s="125"/>
      <c r="Y396" s="125"/>
      <c r="Z396" s="125"/>
      <c r="AA396" s="125"/>
      <c r="AB396" s="125"/>
      <c r="AC396" s="125"/>
      <c r="AD396" s="125"/>
    </row>
    <row r="397">
      <c r="A397" s="124"/>
      <c r="B397" s="125"/>
      <c r="C397" s="125"/>
      <c r="D397" s="125"/>
      <c r="E397" s="125"/>
      <c r="F397" s="125"/>
      <c r="G397" s="125"/>
      <c r="H397" s="125"/>
      <c r="I397" s="125"/>
      <c r="J397" s="125"/>
      <c r="K397" s="125"/>
      <c r="L397" s="125"/>
      <c r="M397" s="125"/>
      <c r="N397" s="125"/>
      <c r="O397" s="125"/>
      <c r="P397" s="125"/>
      <c r="Q397" s="125"/>
      <c r="R397" s="125"/>
      <c r="S397" s="125"/>
      <c r="T397" s="125"/>
      <c r="U397" s="125"/>
      <c r="V397" s="125"/>
      <c r="W397" s="125"/>
      <c r="X397" s="125"/>
      <c r="Y397" s="125"/>
      <c r="Z397" s="125"/>
      <c r="AA397" s="125"/>
      <c r="AB397" s="125"/>
      <c r="AC397" s="125"/>
      <c r="AD397" s="125"/>
    </row>
    <row r="398">
      <c r="A398" s="124"/>
      <c r="B398" s="125"/>
      <c r="C398" s="125"/>
      <c r="D398" s="125"/>
      <c r="E398" s="125"/>
      <c r="F398" s="125"/>
      <c r="G398" s="125"/>
      <c r="H398" s="125"/>
      <c r="I398" s="125"/>
      <c r="J398" s="125"/>
      <c r="K398" s="125"/>
      <c r="L398" s="125"/>
      <c r="M398" s="125"/>
      <c r="N398" s="125"/>
      <c r="O398" s="125"/>
      <c r="P398" s="125"/>
      <c r="Q398" s="125"/>
      <c r="R398" s="125"/>
      <c r="S398" s="125"/>
      <c r="T398" s="125"/>
      <c r="U398" s="125"/>
      <c r="V398" s="125"/>
      <c r="W398" s="125"/>
      <c r="X398" s="125"/>
      <c r="Y398" s="125"/>
      <c r="Z398" s="125"/>
      <c r="AA398" s="125"/>
      <c r="AB398" s="125"/>
      <c r="AC398" s="125"/>
      <c r="AD398" s="125"/>
    </row>
    <row r="399">
      <c r="A399" s="124"/>
      <c r="B399" s="125"/>
      <c r="C399" s="125"/>
      <c r="D399" s="125"/>
      <c r="E399" s="125"/>
      <c r="F399" s="125"/>
      <c r="G399" s="125"/>
      <c r="H399" s="125"/>
      <c r="I399" s="125"/>
      <c r="J399" s="125"/>
      <c r="K399" s="125"/>
      <c r="L399" s="125"/>
      <c r="M399" s="125"/>
      <c r="N399" s="125"/>
      <c r="O399" s="125"/>
      <c r="P399" s="125"/>
      <c r="Q399" s="125"/>
      <c r="R399" s="125"/>
      <c r="S399" s="125"/>
      <c r="T399" s="125"/>
      <c r="U399" s="125"/>
      <c r="V399" s="125"/>
      <c r="W399" s="125"/>
      <c r="X399" s="125"/>
      <c r="Y399" s="125"/>
      <c r="Z399" s="125"/>
      <c r="AA399" s="125"/>
      <c r="AB399" s="125"/>
      <c r="AC399" s="125"/>
      <c r="AD399" s="125"/>
    </row>
    <row r="400">
      <c r="A400" s="124"/>
      <c r="B400" s="125"/>
      <c r="C400" s="125"/>
      <c r="D400" s="125"/>
      <c r="E400" s="125"/>
      <c r="F400" s="125"/>
      <c r="G400" s="125"/>
      <c r="H400" s="125"/>
      <c r="I400" s="125"/>
      <c r="J400" s="125"/>
      <c r="K400" s="125"/>
      <c r="L400" s="125"/>
      <c r="M400" s="125"/>
      <c r="N400" s="125"/>
      <c r="O400" s="125"/>
      <c r="P400" s="125"/>
      <c r="Q400" s="125"/>
      <c r="R400" s="125"/>
      <c r="S400" s="125"/>
      <c r="T400" s="125"/>
      <c r="U400" s="125"/>
      <c r="V400" s="125"/>
      <c r="W400" s="125"/>
      <c r="X400" s="125"/>
      <c r="Y400" s="125"/>
      <c r="Z400" s="125"/>
      <c r="AA400" s="125"/>
      <c r="AB400" s="125"/>
      <c r="AC400" s="125"/>
      <c r="AD400" s="125"/>
    </row>
    <row r="401">
      <c r="A401" s="124"/>
      <c r="B401" s="125"/>
      <c r="C401" s="125"/>
      <c r="D401" s="125"/>
      <c r="E401" s="125"/>
      <c r="F401" s="125"/>
      <c r="G401" s="125"/>
      <c r="H401" s="125"/>
      <c r="I401" s="125"/>
      <c r="J401" s="125"/>
      <c r="K401" s="125"/>
      <c r="L401" s="125"/>
      <c r="M401" s="125"/>
      <c r="N401" s="125"/>
      <c r="O401" s="125"/>
      <c r="P401" s="125"/>
      <c r="Q401" s="125"/>
      <c r="R401" s="125"/>
      <c r="S401" s="125"/>
      <c r="T401" s="125"/>
      <c r="U401" s="125"/>
      <c r="V401" s="125"/>
      <c r="W401" s="125"/>
      <c r="X401" s="125"/>
      <c r="Y401" s="125"/>
      <c r="Z401" s="125"/>
      <c r="AA401" s="125"/>
      <c r="AB401" s="125"/>
      <c r="AC401" s="125"/>
      <c r="AD401" s="125"/>
    </row>
    <row r="402">
      <c r="A402" s="124"/>
      <c r="B402" s="125"/>
      <c r="C402" s="125"/>
      <c r="D402" s="125"/>
      <c r="E402" s="125"/>
      <c r="F402" s="125"/>
      <c r="G402" s="125"/>
      <c r="H402" s="125"/>
      <c r="I402" s="125"/>
      <c r="J402" s="125"/>
      <c r="K402" s="125"/>
      <c r="L402" s="125"/>
      <c r="M402" s="125"/>
      <c r="N402" s="125"/>
      <c r="O402" s="125"/>
      <c r="P402" s="125"/>
      <c r="Q402" s="125"/>
      <c r="R402" s="125"/>
      <c r="S402" s="125"/>
      <c r="T402" s="125"/>
      <c r="U402" s="125"/>
      <c r="V402" s="125"/>
      <c r="W402" s="125"/>
      <c r="X402" s="125"/>
      <c r="Y402" s="125"/>
      <c r="Z402" s="125"/>
      <c r="AA402" s="125"/>
      <c r="AB402" s="125"/>
      <c r="AC402" s="125"/>
      <c r="AD402" s="125"/>
    </row>
    <row r="403">
      <c r="A403" s="124"/>
      <c r="B403" s="125"/>
      <c r="C403" s="125"/>
      <c r="D403" s="125"/>
      <c r="E403" s="125"/>
      <c r="F403" s="125"/>
      <c r="G403" s="125"/>
      <c r="H403" s="125"/>
      <c r="I403" s="125"/>
      <c r="J403" s="125"/>
      <c r="K403" s="125"/>
      <c r="L403" s="125"/>
      <c r="M403" s="125"/>
      <c r="N403" s="125"/>
      <c r="O403" s="125"/>
      <c r="P403" s="125"/>
      <c r="Q403" s="125"/>
      <c r="R403" s="125"/>
      <c r="S403" s="125"/>
      <c r="T403" s="125"/>
      <c r="U403" s="125"/>
      <c r="V403" s="125"/>
      <c r="W403" s="125"/>
      <c r="X403" s="125"/>
      <c r="Y403" s="125"/>
      <c r="Z403" s="125"/>
      <c r="AA403" s="125"/>
      <c r="AB403" s="125"/>
      <c r="AC403" s="125"/>
      <c r="AD403" s="125"/>
    </row>
    <row r="404">
      <c r="A404" s="124"/>
      <c r="B404" s="125"/>
      <c r="C404" s="125"/>
      <c r="D404" s="125"/>
      <c r="E404" s="125"/>
      <c r="F404" s="125"/>
      <c r="G404" s="125"/>
      <c r="H404" s="125"/>
      <c r="I404" s="125"/>
      <c r="J404" s="125"/>
      <c r="K404" s="125"/>
      <c r="L404" s="125"/>
      <c r="M404" s="125"/>
      <c r="N404" s="125"/>
      <c r="O404" s="125"/>
      <c r="P404" s="125"/>
      <c r="Q404" s="125"/>
      <c r="R404" s="125"/>
      <c r="S404" s="125"/>
      <c r="T404" s="125"/>
      <c r="U404" s="125"/>
      <c r="V404" s="125"/>
      <c r="W404" s="125"/>
      <c r="X404" s="125"/>
      <c r="Y404" s="125"/>
      <c r="Z404" s="125"/>
      <c r="AA404" s="125"/>
      <c r="AB404" s="125"/>
      <c r="AC404" s="125"/>
      <c r="AD404" s="125"/>
    </row>
    <row r="405">
      <c r="A405" s="124"/>
      <c r="B405" s="125"/>
      <c r="C405" s="125"/>
      <c r="D405" s="125"/>
      <c r="E405" s="125"/>
      <c r="F405" s="125"/>
      <c r="G405" s="125"/>
      <c r="H405" s="125"/>
      <c r="I405" s="125"/>
      <c r="J405" s="125"/>
      <c r="K405" s="125"/>
      <c r="L405" s="125"/>
      <c r="M405" s="125"/>
      <c r="N405" s="125"/>
      <c r="O405" s="125"/>
      <c r="P405" s="125"/>
      <c r="Q405" s="125"/>
      <c r="R405" s="125"/>
      <c r="S405" s="125"/>
      <c r="T405" s="125"/>
      <c r="U405" s="125"/>
      <c r="V405" s="125"/>
      <c r="W405" s="125"/>
      <c r="X405" s="125"/>
      <c r="Y405" s="125"/>
      <c r="Z405" s="125"/>
      <c r="AA405" s="125"/>
      <c r="AB405" s="125"/>
      <c r="AC405" s="125"/>
      <c r="AD405" s="125"/>
    </row>
    <row r="406">
      <c r="A406" s="124"/>
      <c r="B406" s="125"/>
      <c r="C406" s="125"/>
      <c r="D406" s="125"/>
      <c r="E406" s="125"/>
      <c r="F406" s="125"/>
      <c r="G406" s="125"/>
      <c r="H406" s="125"/>
      <c r="I406" s="125"/>
      <c r="J406" s="125"/>
      <c r="K406" s="125"/>
      <c r="L406" s="125"/>
      <c r="M406" s="125"/>
      <c r="N406" s="125"/>
      <c r="O406" s="125"/>
      <c r="P406" s="125"/>
      <c r="Q406" s="125"/>
      <c r="R406" s="125"/>
      <c r="S406" s="125"/>
      <c r="T406" s="125"/>
      <c r="U406" s="125"/>
      <c r="V406" s="125"/>
      <c r="W406" s="125"/>
      <c r="X406" s="125"/>
      <c r="Y406" s="125"/>
      <c r="Z406" s="125"/>
      <c r="AA406" s="125"/>
      <c r="AB406" s="125"/>
      <c r="AC406" s="125"/>
      <c r="AD406" s="125"/>
    </row>
    <row r="407">
      <c r="A407" s="124"/>
      <c r="B407" s="125"/>
      <c r="C407" s="125"/>
      <c r="D407" s="125"/>
      <c r="E407" s="125"/>
      <c r="F407" s="125"/>
      <c r="G407" s="125"/>
      <c r="H407" s="125"/>
      <c r="I407" s="125"/>
      <c r="J407" s="125"/>
      <c r="K407" s="125"/>
      <c r="L407" s="125"/>
      <c r="M407" s="125"/>
      <c r="N407" s="125"/>
      <c r="O407" s="125"/>
      <c r="P407" s="125"/>
      <c r="Q407" s="125"/>
      <c r="R407" s="125"/>
      <c r="S407" s="125"/>
      <c r="T407" s="125"/>
      <c r="U407" s="125"/>
      <c r="V407" s="125"/>
      <c r="W407" s="125"/>
      <c r="X407" s="125"/>
      <c r="Y407" s="125"/>
      <c r="Z407" s="125"/>
      <c r="AA407" s="125"/>
      <c r="AB407" s="125"/>
      <c r="AC407" s="125"/>
      <c r="AD407" s="125"/>
    </row>
    <row r="408">
      <c r="A408" s="124"/>
      <c r="B408" s="125"/>
      <c r="C408" s="125"/>
      <c r="D408" s="125"/>
      <c r="E408" s="125"/>
      <c r="F408" s="125"/>
      <c r="G408" s="125"/>
      <c r="H408" s="125"/>
      <c r="I408" s="125"/>
      <c r="J408" s="125"/>
      <c r="K408" s="125"/>
      <c r="L408" s="125"/>
      <c r="M408" s="125"/>
      <c r="N408" s="125"/>
      <c r="O408" s="125"/>
      <c r="P408" s="125"/>
      <c r="Q408" s="125"/>
      <c r="R408" s="125"/>
      <c r="S408" s="125"/>
      <c r="T408" s="125"/>
      <c r="U408" s="125"/>
      <c r="V408" s="125"/>
      <c r="W408" s="125"/>
      <c r="X408" s="125"/>
      <c r="Y408" s="125"/>
      <c r="Z408" s="125"/>
      <c r="AA408" s="125"/>
      <c r="AB408" s="125"/>
      <c r="AC408" s="125"/>
      <c r="AD408" s="125"/>
    </row>
    <row r="409">
      <c r="A409" s="124"/>
      <c r="B409" s="125"/>
      <c r="C409" s="125"/>
      <c r="D409" s="125"/>
      <c r="E409" s="125"/>
      <c r="F409" s="125"/>
      <c r="G409" s="125"/>
      <c r="H409" s="125"/>
      <c r="I409" s="125"/>
      <c r="J409" s="125"/>
      <c r="K409" s="125"/>
      <c r="L409" s="125"/>
      <c r="M409" s="125"/>
      <c r="N409" s="125"/>
      <c r="O409" s="125"/>
      <c r="P409" s="125"/>
      <c r="Q409" s="125"/>
      <c r="R409" s="125"/>
      <c r="S409" s="125"/>
      <c r="T409" s="125"/>
      <c r="U409" s="125"/>
      <c r="V409" s="125"/>
      <c r="W409" s="125"/>
      <c r="X409" s="125"/>
      <c r="Y409" s="125"/>
      <c r="Z409" s="125"/>
      <c r="AA409" s="125"/>
      <c r="AB409" s="125"/>
      <c r="AC409" s="125"/>
      <c r="AD409" s="125"/>
    </row>
    <row r="410">
      <c r="A410" s="124"/>
      <c r="B410" s="125"/>
      <c r="C410" s="125"/>
      <c r="D410" s="125"/>
      <c r="E410" s="125"/>
      <c r="F410" s="125"/>
      <c r="G410" s="125"/>
      <c r="H410" s="125"/>
      <c r="I410" s="125"/>
      <c r="J410" s="125"/>
      <c r="K410" s="125"/>
      <c r="L410" s="125"/>
      <c r="M410" s="125"/>
      <c r="N410" s="125"/>
      <c r="O410" s="125"/>
      <c r="P410" s="125"/>
      <c r="Q410" s="125"/>
      <c r="R410" s="125"/>
      <c r="S410" s="125"/>
      <c r="T410" s="125"/>
      <c r="U410" s="125"/>
      <c r="V410" s="125"/>
      <c r="W410" s="125"/>
      <c r="X410" s="125"/>
      <c r="Y410" s="125"/>
      <c r="Z410" s="125"/>
      <c r="AA410" s="125"/>
      <c r="AB410" s="125"/>
      <c r="AC410" s="125"/>
      <c r="AD410" s="125"/>
    </row>
    <row r="411">
      <c r="A411" s="124"/>
      <c r="B411" s="125"/>
      <c r="C411" s="125"/>
      <c r="D411" s="125"/>
      <c r="E411" s="125"/>
      <c r="F411" s="125"/>
      <c r="G411" s="125"/>
      <c r="H411" s="125"/>
      <c r="I411" s="125"/>
      <c r="J411" s="125"/>
      <c r="K411" s="125"/>
      <c r="L411" s="125"/>
      <c r="M411" s="125"/>
      <c r="N411" s="125"/>
      <c r="O411" s="125"/>
      <c r="P411" s="125"/>
      <c r="Q411" s="125"/>
      <c r="R411" s="125"/>
      <c r="S411" s="125"/>
      <c r="T411" s="125"/>
      <c r="U411" s="125"/>
      <c r="V411" s="125"/>
      <c r="W411" s="125"/>
      <c r="X411" s="125"/>
      <c r="Y411" s="125"/>
      <c r="Z411" s="125"/>
      <c r="AA411" s="125"/>
      <c r="AB411" s="125"/>
      <c r="AC411" s="125"/>
      <c r="AD411" s="125"/>
    </row>
    <row r="412">
      <c r="A412" s="124"/>
      <c r="B412" s="125"/>
      <c r="C412" s="125"/>
      <c r="D412" s="125"/>
      <c r="E412" s="125"/>
      <c r="F412" s="125"/>
      <c r="G412" s="125"/>
      <c r="H412" s="125"/>
      <c r="I412" s="125"/>
      <c r="J412" s="125"/>
      <c r="K412" s="125"/>
      <c r="L412" s="125"/>
      <c r="M412" s="125"/>
      <c r="N412" s="125"/>
      <c r="O412" s="125"/>
      <c r="P412" s="125"/>
      <c r="Q412" s="125"/>
      <c r="R412" s="125"/>
      <c r="S412" s="125"/>
      <c r="T412" s="125"/>
      <c r="U412" s="125"/>
      <c r="V412" s="125"/>
      <c r="W412" s="125"/>
      <c r="X412" s="125"/>
      <c r="Y412" s="125"/>
      <c r="Z412" s="125"/>
      <c r="AA412" s="125"/>
      <c r="AB412" s="125"/>
      <c r="AC412" s="125"/>
      <c r="AD412" s="125"/>
    </row>
    <row r="413">
      <c r="A413" s="124"/>
      <c r="B413" s="125"/>
      <c r="C413" s="125"/>
      <c r="D413" s="125"/>
      <c r="E413" s="125"/>
      <c r="F413" s="125"/>
      <c r="G413" s="125"/>
      <c r="H413" s="125"/>
      <c r="I413" s="125"/>
      <c r="J413" s="125"/>
      <c r="K413" s="125"/>
      <c r="L413" s="125"/>
      <c r="M413" s="125"/>
      <c r="N413" s="125"/>
      <c r="O413" s="125"/>
      <c r="P413" s="125"/>
      <c r="Q413" s="125"/>
      <c r="R413" s="125"/>
      <c r="S413" s="125"/>
      <c r="T413" s="125"/>
      <c r="U413" s="125"/>
      <c r="V413" s="125"/>
      <c r="W413" s="125"/>
      <c r="X413" s="125"/>
      <c r="Y413" s="125"/>
      <c r="Z413" s="125"/>
      <c r="AA413" s="125"/>
      <c r="AB413" s="125"/>
      <c r="AC413" s="125"/>
      <c r="AD413" s="125"/>
    </row>
    <row r="414">
      <c r="A414" s="124"/>
      <c r="B414" s="125"/>
      <c r="C414" s="125"/>
      <c r="D414" s="125"/>
      <c r="E414" s="125"/>
      <c r="F414" s="125"/>
      <c r="G414" s="125"/>
      <c r="H414" s="125"/>
      <c r="I414" s="125"/>
      <c r="J414" s="125"/>
      <c r="K414" s="125"/>
      <c r="L414" s="125"/>
      <c r="M414" s="125"/>
      <c r="N414" s="125"/>
      <c r="O414" s="125"/>
      <c r="P414" s="125"/>
      <c r="Q414" s="125"/>
      <c r="R414" s="125"/>
      <c r="S414" s="125"/>
      <c r="T414" s="125"/>
      <c r="U414" s="125"/>
      <c r="V414" s="125"/>
      <c r="W414" s="125"/>
      <c r="X414" s="125"/>
      <c r="Y414" s="125"/>
      <c r="Z414" s="125"/>
      <c r="AA414" s="125"/>
      <c r="AB414" s="125"/>
      <c r="AC414" s="125"/>
      <c r="AD414" s="125"/>
    </row>
    <row r="415">
      <c r="A415" s="124"/>
      <c r="B415" s="125"/>
      <c r="C415" s="125"/>
      <c r="D415" s="125"/>
      <c r="E415" s="125"/>
      <c r="F415" s="125"/>
      <c r="G415" s="125"/>
      <c r="H415" s="125"/>
      <c r="I415" s="125"/>
      <c r="J415" s="125"/>
      <c r="K415" s="125"/>
      <c r="L415" s="125"/>
      <c r="M415" s="125"/>
      <c r="N415" s="125"/>
      <c r="O415" s="125"/>
      <c r="P415" s="125"/>
      <c r="Q415" s="125"/>
      <c r="R415" s="125"/>
      <c r="S415" s="125"/>
      <c r="T415" s="125"/>
      <c r="U415" s="125"/>
      <c r="V415" s="125"/>
      <c r="W415" s="125"/>
      <c r="X415" s="125"/>
      <c r="Y415" s="125"/>
      <c r="Z415" s="125"/>
      <c r="AA415" s="125"/>
      <c r="AB415" s="125"/>
      <c r="AC415" s="125"/>
      <c r="AD415" s="125"/>
    </row>
    <row r="416">
      <c r="A416" s="124"/>
      <c r="B416" s="125"/>
      <c r="C416" s="125"/>
      <c r="D416" s="125"/>
      <c r="E416" s="125"/>
      <c r="F416" s="125"/>
      <c r="G416" s="125"/>
      <c r="H416" s="125"/>
      <c r="I416" s="125"/>
      <c r="J416" s="125"/>
      <c r="K416" s="125"/>
      <c r="L416" s="125"/>
      <c r="M416" s="125"/>
      <c r="N416" s="125"/>
      <c r="O416" s="125"/>
      <c r="P416" s="125"/>
      <c r="Q416" s="125"/>
      <c r="R416" s="125"/>
      <c r="S416" s="125"/>
      <c r="T416" s="125"/>
      <c r="U416" s="125"/>
      <c r="V416" s="125"/>
      <c r="W416" s="125"/>
      <c r="X416" s="125"/>
      <c r="Y416" s="125"/>
      <c r="Z416" s="125"/>
      <c r="AA416" s="125"/>
      <c r="AB416" s="125"/>
      <c r="AC416" s="125"/>
      <c r="AD416" s="125"/>
    </row>
    <row r="417">
      <c r="A417" s="124"/>
      <c r="B417" s="125"/>
      <c r="C417" s="125"/>
      <c r="D417" s="125"/>
      <c r="E417" s="125"/>
      <c r="F417" s="125"/>
      <c r="G417" s="125"/>
      <c r="H417" s="125"/>
      <c r="I417" s="125"/>
      <c r="J417" s="125"/>
      <c r="K417" s="125"/>
      <c r="L417" s="125"/>
      <c r="M417" s="125"/>
      <c r="N417" s="125"/>
      <c r="O417" s="125"/>
      <c r="P417" s="125"/>
      <c r="Q417" s="125"/>
      <c r="R417" s="125"/>
      <c r="S417" s="125"/>
      <c r="T417" s="125"/>
      <c r="U417" s="125"/>
      <c r="V417" s="125"/>
      <c r="W417" s="125"/>
      <c r="X417" s="125"/>
      <c r="Y417" s="125"/>
      <c r="Z417" s="125"/>
      <c r="AA417" s="125"/>
      <c r="AB417" s="125"/>
      <c r="AC417" s="125"/>
      <c r="AD417" s="125"/>
    </row>
    <row r="418">
      <c r="A418" s="124"/>
      <c r="B418" s="125"/>
      <c r="C418" s="125"/>
      <c r="D418" s="125"/>
      <c r="E418" s="125"/>
      <c r="F418" s="125"/>
      <c r="G418" s="125"/>
      <c r="H418" s="125"/>
      <c r="I418" s="125"/>
      <c r="J418" s="125"/>
      <c r="K418" s="125"/>
      <c r="L418" s="125"/>
      <c r="M418" s="125"/>
      <c r="N418" s="125"/>
      <c r="O418" s="125"/>
      <c r="P418" s="125"/>
      <c r="Q418" s="125"/>
      <c r="R418" s="125"/>
      <c r="S418" s="125"/>
      <c r="T418" s="125"/>
      <c r="U418" s="125"/>
      <c r="V418" s="125"/>
      <c r="W418" s="125"/>
      <c r="X418" s="125"/>
      <c r="Y418" s="125"/>
      <c r="Z418" s="125"/>
      <c r="AA418" s="125"/>
      <c r="AB418" s="125"/>
      <c r="AC418" s="125"/>
      <c r="AD418" s="125"/>
    </row>
    <row r="419">
      <c r="A419" s="124"/>
      <c r="B419" s="125"/>
      <c r="C419" s="125"/>
      <c r="D419" s="125"/>
      <c r="E419" s="125"/>
      <c r="F419" s="125"/>
      <c r="G419" s="125"/>
      <c r="H419" s="125"/>
      <c r="I419" s="125"/>
      <c r="J419" s="125"/>
      <c r="K419" s="125"/>
      <c r="L419" s="125"/>
      <c r="M419" s="125"/>
      <c r="N419" s="125"/>
      <c r="O419" s="125"/>
      <c r="P419" s="125"/>
      <c r="Q419" s="125"/>
      <c r="R419" s="125"/>
      <c r="S419" s="125"/>
      <c r="T419" s="125"/>
      <c r="U419" s="125"/>
      <c r="V419" s="125"/>
      <c r="W419" s="125"/>
      <c r="X419" s="125"/>
      <c r="Y419" s="125"/>
      <c r="Z419" s="125"/>
      <c r="AA419" s="125"/>
      <c r="AB419" s="125"/>
      <c r="AC419" s="125"/>
      <c r="AD419" s="125"/>
    </row>
    <row r="420">
      <c r="A420" s="124"/>
      <c r="B420" s="125"/>
      <c r="C420" s="125"/>
      <c r="D420" s="125"/>
      <c r="E420" s="125"/>
      <c r="F420" s="125"/>
      <c r="G420" s="125"/>
      <c r="H420" s="125"/>
      <c r="I420" s="125"/>
      <c r="J420" s="125"/>
      <c r="K420" s="125"/>
      <c r="L420" s="125"/>
      <c r="M420" s="125"/>
      <c r="N420" s="125"/>
      <c r="O420" s="125"/>
      <c r="P420" s="125"/>
      <c r="Q420" s="125"/>
      <c r="R420" s="125"/>
      <c r="S420" s="125"/>
      <c r="T420" s="125"/>
      <c r="U420" s="125"/>
      <c r="V420" s="125"/>
      <c r="W420" s="125"/>
      <c r="X420" s="125"/>
      <c r="Y420" s="125"/>
      <c r="Z420" s="125"/>
      <c r="AA420" s="125"/>
      <c r="AB420" s="125"/>
      <c r="AC420" s="125"/>
      <c r="AD420" s="125"/>
    </row>
    <row r="421">
      <c r="A421" s="124"/>
      <c r="B421" s="125"/>
      <c r="C421" s="125"/>
      <c r="D421" s="125"/>
      <c r="E421" s="125"/>
      <c r="F421" s="125"/>
      <c r="G421" s="125"/>
      <c r="H421" s="125"/>
      <c r="I421" s="125"/>
      <c r="J421" s="125"/>
      <c r="K421" s="125"/>
      <c r="L421" s="125"/>
      <c r="M421" s="125"/>
      <c r="N421" s="125"/>
      <c r="O421" s="125"/>
      <c r="P421" s="125"/>
      <c r="Q421" s="125"/>
      <c r="R421" s="125"/>
      <c r="S421" s="125"/>
      <c r="T421" s="125"/>
      <c r="U421" s="125"/>
      <c r="V421" s="125"/>
      <c r="W421" s="125"/>
      <c r="X421" s="125"/>
      <c r="Y421" s="125"/>
      <c r="Z421" s="125"/>
      <c r="AA421" s="125"/>
      <c r="AB421" s="125"/>
      <c r="AC421" s="125"/>
      <c r="AD421" s="125"/>
    </row>
    <row r="422">
      <c r="A422" s="124"/>
      <c r="B422" s="125"/>
      <c r="C422" s="125"/>
      <c r="D422" s="125"/>
      <c r="E422" s="125"/>
      <c r="F422" s="125"/>
      <c r="G422" s="125"/>
      <c r="H422" s="125"/>
      <c r="I422" s="125"/>
      <c r="J422" s="125"/>
      <c r="K422" s="125"/>
      <c r="L422" s="125"/>
      <c r="M422" s="125"/>
      <c r="N422" s="125"/>
      <c r="O422" s="125"/>
      <c r="P422" s="125"/>
      <c r="Q422" s="125"/>
      <c r="R422" s="125"/>
      <c r="S422" s="125"/>
      <c r="T422" s="125"/>
      <c r="U422" s="125"/>
      <c r="V422" s="125"/>
      <c r="W422" s="125"/>
      <c r="X422" s="125"/>
      <c r="Y422" s="125"/>
      <c r="Z422" s="125"/>
      <c r="AA422" s="125"/>
      <c r="AB422" s="125"/>
      <c r="AC422" s="125"/>
      <c r="AD422" s="125"/>
    </row>
    <row r="423">
      <c r="A423" s="124"/>
      <c r="B423" s="125"/>
      <c r="C423" s="125"/>
      <c r="D423" s="125"/>
      <c r="E423" s="125"/>
      <c r="F423" s="125"/>
      <c r="G423" s="125"/>
      <c r="H423" s="125"/>
      <c r="I423" s="125"/>
      <c r="J423" s="125"/>
      <c r="K423" s="125"/>
      <c r="L423" s="125"/>
      <c r="M423" s="125"/>
      <c r="N423" s="125"/>
      <c r="O423" s="125"/>
      <c r="P423" s="125"/>
      <c r="Q423" s="125"/>
      <c r="R423" s="125"/>
      <c r="S423" s="125"/>
      <c r="T423" s="125"/>
      <c r="U423" s="125"/>
      <c r="V423" s="125"/>
      <c r="W423" s="125"/>
      <c r="X423" s="125"/>
      <c r="Y423" s="125"/>
      <c r="Z423" s="125"/>
      <c r="AA423" s="125"/>
      <c r="AB423" s="125"/>
      <c r="AC423" s="125"/>
      <c r="AD423" s="125"/>
    </row>
    <row r="424">
      <c r="A424" s="124"/>
      <c r="B424" s="125"/>
      <c r="C424" s="125"/>
      <c r="D424" s="125"/>
      <c r="E424" s="125"/>
      <c r="F424" s="125"/>
      <c r="G424" s="125"/>
      <c r="H424" s="125"/>
      <c r="I424" s="125"/>
      <c r="J424" s="125"/>
      <c r="K424" s="125"/>
      <c r="L424" s="125"/>
      <c r="M424" s="125"/>
      <c r="N424" s="125"/>
      <c r="O424" s="125"/>
      <c r="P424" s="125"/>
      <c r="Q424" s="125"/>
      <c r="R424" s="125"/>
      <c r="S424" s="125"/>
      <c r="T424" s="125"/>
      <c r="U424" s="125"/>
      <c r="V424" s="125"/>
      <c r="W424" s="125"/>
      <c r="X424" s="125"/>
      <c r="Y424" s="125"/>
      <c r="Z424" s="125"/>
      <c r="AA424" s="125"/>
      <c r="AB424" s="125"/>
      <c r="AC424" s="125"/>
      <c r="AD424" s="125"/>
    </row>
    <row r="425">
      <c r="A425" s="124"/>
      <c r="B425" s="125"/>
      <c r="C425" s="125"/>
      <c r="D425" s="125"/>
      <c r="E425" s="125"/>
      <c r="F425" s="125"/>
      <c r="G425" s="125"/>
      <c r="H425" s="125"/>
      <c r="I425" s="125"/>
      <c r="J425" s="125"/>
      <c r="K425" s="125"/>
      <c r="L425" s="125"/>
      <c r="M425" s="125"/>
      <c r="N425" s="125"/>
      <c r="O425" s="125"/>
      <c r="P425" s="125"/>
      <c r="Q425" s="125"/>
      <c r="R425" s="125"/>
      <c r="S425" s="125"/>
      <c r="T425" s="125"/>
      <c r="U425" s="125"/>
      <c r="V425" s="125"/>
      <c r="W425" s="125"/>
      <c r="X425" s="125"/>
      <c r="Y425" s="125"/>
      <c r="Z425" s="125"/>
      <c r="AA425" s="125"/>
      <c r="AB425" s="125"/>
      <c r="AC425" s="125"/>
      <c r="AD425" s="125"/>
    </row>
    <row r="426">
      <c r="A426" s="124"/>
      <c r="B426" s="125"/>
      <c r="C426" s="125"/>
      <c r="D426" s="125"/>
      <c r="E426" s="125"/>
      <c r="F426" s="125"/>
      <c r="G426" s="125"/>
      <c r="H426" s="125"/>
      <c r="I426" s="125"/>
      <c r="J426" s="125"/>
      <c r="K426" s="125"/>
      <c r="L426" s="125"/>
      <c r="M426" s="125"/>
      <c r="N426" s="125"/>
      <c r="O426" s="125"/>
      <c r="P426" s="125"/>
      <c r="Q426" s="125"/>
      <c r="R426" s="125"/>
      <c r="S426" s="125"/>
      <c r="T426" s="125"/>
      <c r="U426" s="125"/>
      <c r="V426" s="125"/>
      <c r="W426" s="125"/>
      <c r="X426" s="125"/>
      <c r="Y426" s="125"/>
      <c r="Z426" s="125"/>
      <c r="AA426" s="125"/>
      <c r="AB426" s="125"/>
      <c r="AC426" s="125"/>
      <c r="AD426" s="125"/>
    </row>
    <row r="427">
      <c r="A427" s="124"/>
      <c r="B427" s="125"/>
      <c r="C427" s="125"/>
      <c r="D427" s="125"/>
      <c r="E427" s="125"/>
      <c r="F427" s="125"/>
      <c r="G427" s="125"/>
      <c r="H427" s="125"/>
      <c r="I427" s="125"/>
      <c r="J427" s="125"/>
      <c r="K427" s="125"/>
      <c r="L427" s="125"/>
      <c r="M427" s="125"/>
      <c r="N427" s="125"/>
      <c r="O427" s="125"/>
      <c r="P427" s="125"/>
      <c r="Q427" s="125"/>
      <c r="R427" s="125"/>
      <c r="S427" s="125"/>
      <c r="T427" s="125"/>
      <c r="U427" s="125"/>
      <c r="V427" s="125"/>
      <c r="W427" s="125"/>
      <c r="X427" s="125"/>
      <c r="Y427" s="125"/>
      <c r="Z427" s="125"/>
      <c r="AA427" s="125"/>
      <c r="AB427" s="125"/>
      <c r="AC427" s="125"/>
      <c r="AD427" s="125"/>
    </row>
    <row r="428">
      <c r="A428" s="124"/>
      <c r="B428" s="125"/>
      <c r="C428" s="125"/>
      <c r="D428" s="125"/>
      <c r="E428" s="125"/>
      <c r="F428" s="125"/>
      <c r="G428" s="125"/>
      <c r="H428" s="125"/>
      <c r="I428" s="125"/>
      <c r="J428" s="125"/>
      <c r="K428" s="125"/>
      <c r="L428" s="125"/>
      <c r="M428" s="125"/>
      <c r="N428" s="125"/>
      <c r="O428" s="125"/>
      <c r="P428" s="125"/>
      <c r="Q428" s="125"/>
      <c r="R428" s="125"/>
      <c r="S428" s="125"/>
      <c r="T428" s="125"/>
      <c r="U428" s="125"/>
      <c r="V428" s="125"/>
      <c r="W428" s="125"/>
      <c r="X428" s="125"/>
      <c r="Y428" s="125"/>
      <c r="Z428" s="125"/>
      <c r="AA428" s="125"/>
      <c r="AB428" s="125"/>
      <c r="AC428" s="125"/>
      <c r="AD428" s="125"/>
    </row>
    <row r="429">
      <c r="A429" s="124"/>
      <c r="B429" s="125"/>
      <c r="C429" s="125"/>
      <c r="D429" s="125"/>
      <c r="E429" s="125"/>
      <c r="F429" s="125"/>
      <c r="G429" s="125"/>
      <c r="H429" s="125"/>
      <c r="I429" s="125"/>
      <c r="J429" s="125"/>
      <c r="K429" s="125"/>
      <c r="L429" s="125"/>
      <c r="M429" s="125"/>
      <c r="N429" s="125"/>
      <c r="O429" s="125"/>
      <c r="P429" s="125"/>
      <c r="Q429" s="125"/>
      <c r="R429" s="125"/>
      <c r="S429" s="125"/>
      <c r="T429" s="125"/>
      <c r="U429" s="125"/>
      <c r="V429" s="125"/>
      <c r="W429" s="125"/>
      <c r="X429" s="125"/>
      <c r="Y429" s="125"/>
      <c r="Z429" s="125"/>
      <c r="AA429" s="125"/>
      <c r="AB429" s="125"/>
      <c r="AC429" s="125"/>
      <c r="AD429" s="125"/>
    </row>
    <row r="430">
      <c r="A430" s="124"/>
      <c r="B430" s="125"/>
      <c r="C430" s="125"/>
      <c r="D430" s="125"/>
      <c r="E430" s="125"/>
      <c r="F430" s="125"/>
      <c r="G430" s="125"/>
      <c r="H430" s="125"/>
      <c r="I430" s="125"/>
      <c r="J430" s="125"/>
      <c r="K430" s="125"/>
      <c r="L430" s="125"/>
      <c r="M430" s="125"/>
      <c r="N430" s="125"/>
      <c r="O430" s="125"/>
      <c r="P430" s="125"/>
      <c r="Q430" s="125"/>
      <c r="R430" s="125"/>
      <c r="S430" s="125"/>
      <c r="T430" s="125"/>
      <c r="U430" s="125"/>
      <c r="V430" s="125"/>
      <c r="W430" s="125"/>
      <c r="X430" s="125"/>
      <c r="Y430" s="125"/>
      <c r="Z430" s="125"/>
      <c r="AA430" s="125"/>
      <c r="AB430" s="125"/>
      <c r="AC430" s="125"/>
      <c r="AD430" s="125"/>
    </row>
    <row r="431">
      <c r="A431" s="124"/>
      <c r="B431" s="125"/>
      <c r="C431" s="125"/>
      <c r="D431" s="125"/>
      <c r="E431" s="125"/>
      <c r="F431" s="125"/>
      <c r="G431" s="125"/>
      <c r="H431" s="125"/>
      <c r="I431" s="125"/>
      <c r="J431" s="125"/>
      <c r="K431" s="125"/>
      <c r="L431" s="125"/>
      <c r="M431" s="125"/>
      <c r="N431" s="125"/>
      <c r="O431" s="125"/>
      <c r="P431" s="125"/>
      <c r="Q431" s="125"/>
      <c r="R431" s="125"/>
      <c r="S431" s="125"/>
      <c r="T431" s="125"/>
      <c r="U431" s="125"/>
      <c r="V431" s="125"/>
      <c r="W431" s="125"/>
      <c r="X431" s="125"/>
      <c r="Y431" s="125"/>
      <c r="Z431" s="125"/>
      <c r="AA431" s="125"/>
      <c r="AB431" s="125"/>
      <c r="AC431" s="125"/>
      <c r="AD431" s="125"/>
    </row>
    <row r="432">
      <c r="A432" s="124"/>
      <c r="B432" s="125"/>
      <c r="C432" s="125"/>
      <c r="D432" s="125"/>
      <c r="E432" s="125"/>
      <c r="F432" s="125"/>
      <c r="G432" s="125"/>
      <c r="H432" s="125"/>
      <c r="I432" s="125"/>
      <c r="J432" s="125"/>
      <c r="K432" s="125"/>
      <c r="L432" s="125"/>
      <c r="M432" s="125"/>
      <c r="N432" s="125"/>
      <c r="O432" s="125"/>
      <c r="P432" s="125"/>
      <c r="Q432" s="125"/>
      <c r="R432" s="125"/>
      <c r="S432" s="125"/>
      <c r="T432" s="125"/>
      <c r="U432" s="125"/>
      <c r="V432" s="125"/>
      <c r="W432" s="125"/>
      <c r="X432" s="125"/>
      <c r="Y432" s="125"/>
      <c r="Z432" s="125"/>
      <c r="AA432" s="125"/>
      <c r="AB432" s="125"/>
      <c r="AC432" s="125"/>
      <c r="AD432" s="125"/>
    </row>
    <row r="433">
      <c r="A433" s="124"/>
      <c r="B433" s="125"/>
      <c r="C433" s="125"/>
      <c r="D433" s="125"/>
      <c r="E433" s="125"/>
      <c r="F433" s="125"/>
      <c r="G433" s="125"/>
      <c r="H433" s="125"/>
      <c r="I433" s="125"/>
      <c r="J433" s="125"/>
      <c r="K433" s="125"/>
      <c r="L433" s="125"/>
      <c r="M433" s="125"/>
      <c r="N433" s="125"/>
      <c r="O433" s="125"/>
      <c r="P433" s="125"/>
      <c r="Q433" s="125"/>
      <c r="R433" s="125"/>
      <c r="S433" s="125"/>
      <c r="T433" s="125"/>
      <c r="U433" s="125"/>
      <c r="V433" s="125"/>
      <c r="W433" s="125"/>
      <c r="X433" s="125"/>
      <c r="Y433" s="125"/>
      <c r="Z433" s="125"/>
      <c r="AA433" s="125"/>
      <c r="AB433" s="125"/>
      <c r="AC433" s="125"/>
      <c r="AD433" s="125"/>
    </row>
    <row r="434">
      <c r="A434" s="124"/>
      <c r="B434" s="125"/>
      <c r="C434" s="125"/>
      <c r="D434" s="125"/>
      <c r="E434" s="125"/>
      <c r="F434" s="125"/>
      <c r="G434" s="125"/>
      <c r="H434" s="125"/>
      <c r="I434" s="125"/>
      <c r="J434" s="125"/>
      <c r="K434" s="125"/>
      <c r="L434" s="125"/>
      <c r="M434" s="125"/>
      <c r="N434" s="125"/>
      <c r="O434" s="125"/>
      <c r="P434" s="125"/>
      <c r="Q434" s="125"/>
      <c r="R434" s="125"/>
      <c r="S434" s="125"/>
      <c r="T434" s="125"/>
      <c r="U434" s="125"/>
      <c r="V434" s="125"/>
      <c r="W434" s="125"/>
      <c r="X434" s="125"/>
      <c r="Y434" s="125"/>
      <c r="Z434" s="125"/>
      <c r="AA434" s="125"/>
      <c r="AB434" s="125"/>
      <c r="AC434" s="125"/>
      <c r="AD434" s="125"/>
    </row>
    <row r="435">
      <c r="A435" s="124"/>
      <c r="B435" s="125"/>
      <c r="C435" s="125"/>
      <c r="D435" s="125"/>
      <c r="E435" s="125"/>
      <c r="F435" s="125"/>
      <c r="G435" s="125"/>
      <c r="H435" s="125"/>
      <c r="I435" s="125"/>
      <c r="J435" s="125"/>
      <c r="K435" s="125"/>
      <c r="L435" s="125"/>
      <c r="M435" s="125"/>
      <c r="N435" s="125"/>
      <c r="O435" s="125"/>
      <c r="P435" s="125"/>
      <c r="Q435" s="125"/>
      <c r="R435" s="125"/>
      <c r="S435" s="125"/>
      <c r="T435" s="125"/>
      <c r="U435" s="125"/>
      <c r="V435" s="125"/>
      <c r="W435" s="125"/>
      <c r="X435" s="125"/>
      <c r="Y435" s="125"/>
      <c r="Z435" s="125"/>
      <c r="AA435" s="125"/>
      <c r="AB435" s="125"/>
      <c r="AC435" s="125"/>
      <c r="AD435" s="125"/>
    </row>
    <row r="436">
      <c r="A436" s="124"/>
      <c r="B436" s="125"/>
      <c r="C436" s="125"/>
      <c r="D436" s="125"/>
      <c r="E436" s="125"/>
      <c r="F436" s="125"/>
      <c r="G436" s="125"/>
      <c r="H436" s="125"/>
      <c r="I436" s="125"/>
      <c r="J436" s="125"/>
      <c r="K436" s="125"/>
      <c r="L436" s="125"/>
      <c r="M436" s="125"/>
      <c r="N436" s="125"/>
      <c r="O436" s="125"/>
      <c r="P436" s="125"/>
      <c r="Q436" s="125"/>
      <c r="R436" s="125"/>
      <c r="S436" s="125"/>
      <c r="T436" s="125"/>
      <c r="U436" s="125"/>
      <c r="V436" s="125"/>
      <c r="W436" s="125"/>
      <c r="X436" s="125"/>
      <c r="Y436" s="125"/>
      <c r="Z436" s="125"/>
      <c r="AA436" s="125"/>
      <c r="AB436" s="125"/>
      <c r="AC436" s="125"/>
      <c r="AD436" s="125"/>
    </row>
    <row r="437">
      <c r="A437" s="124"/>
      <c r="B437" s="125"/>
      <c r="C437" s="125"/>
      <c r="D437" s="125"/>
      <c r="E437" s="125"/>
      <c r="F437" s="125"/>
      <c r="G437" s="125"/>
      <c r="H437" s="125"/>
      <c r="I437" s="125"/>
      <c r="J437" s="125"/>
      <c r="K437" s="125"/>
      <c r="L437" s="125"/>
      <c r="M437" s="125"/>
      <c r="N437" s="125"/>
      <c r="O437" s="125"/>
      <c r="P437" s="125"/>
      <c r="Q437" s="125"/>
      <c r="R437" s="125"/>
      <c r="S437" s="125"/>
      <c r="T437" s="125"/>
      <c r="U437" s="125"/>
      <c r="V437" s="125"/>
      <c r="W437" s="125"/>
      <c r="X437" s="125"/>
      <c r="Y437" s="125"/>
      <c r="Z437" s="125"/>
      <c r="AA437" s="125"/>
      <c r="AB437" s="125"/>
      <c r="AC437" s="125"/>
      <c r="AD437" s="125"/>
    </row>
    <row r="438">
      <c r="A438" s="124"/>
      <c r="B438" s="125"/>
      <c r="C438" s="125"/>
      <c r="D438" s="125"/>
      <c r="E438" s="125"/>
      <c r="F438" s="125"/>
      <c r="G438" s="125"/>
      <c r="H438" s="125"/>
      <c r="I438" s="125"/>
      <c r="J438" s="125"/>
      <c r="K438" s="125"/>
      <c r="L438" s="125"/>
      <c r="M438" s="125"/>
      <c r="N438" s="125"/>
      <c r="O438" s="125"/>
      <c r="P438" s="125"/>
      <c r="Q438" s="125"/>
      <c r="R438" s="125"/>
      <c r="S438" s="125"/>
      <c r="T438" s="125"/>
      <c r="U438" s="125"/>
      <c r="V438" s="125"/>
      <c r="W438" s="125"/>
      <c r="X438" s="125"/>
      <c r="Y438" s="125"/>
      <c r="Z438" s="125"/>
      <c r="AA438" s="125"/>
      <c r="AB438" s="125"/>
      <c r="AC438" s="125"/>
      <c r="AD438" s="125"/>
    </row>
    <row r="439">
      <c r="A439" s="124"/>
      <c r="B439" s="125"/>
      <c r="C439" s="125"/>
      <c r="D439" s="125"/>
      <c r="E439" s="125"/>
      <c r="F439" s="125"/>
      <c r="G439" s="125"/>
      <c r="H439" s="125"/>
      <c r="I439" s="125"/>
      <c r="J439" s="125"/>
      <c r="K439" s="125"/>
      <c r="L439" s="125"/>
      <c r="M439" s="125"/>
      <c r="N439" s="125"/>
      <c r="O439" s="125"/>
      <c r="P439" s="125"/>
      <c r="Q439" s="125"/>
      <c r="R439" s="125"/>
      <c r="S439" s="125"/>
      <c r="T439" s="125"/>
      <c r="U439" s="125"/>
      <c r="V439" s="125"/>
      <c r="W439" s="125"/>
      <c r="X439" s="125"/>
      <c r="Y439" s="125"/>
      <c r="Z439" s="125"/>
      <c r="AA439" s="125"/>
      <c r="AB439" s="125"/>
      <c r="AC439" s="125"/>
      <c r="AD439" s="125"/>
    </row>
    <row r="440">
      <c r="A440" s="124"/>
      <c r="B440" s="125"/>
      <c r="C440" s="125"/>
      <c r="D440" s="125"/>
      <c r="E440" s="125"/>
      <c r="F440" s="125"/>
      <c r="G440" s="125"/>
      <c r="H440" s="125"/>
      <c r="I440" s="125"/>
      <c r="J440" s="125"/>
      <c r="K440" s="125"/>
      <c r="L440" s="125"/>
      <c r="M440" s="125"/>
      <c r="N440" s="125"/>
      <c r="O440" s="125"/>
      <c r="P440" s="125"/>
      <c r="Q440" s="125"/>
      <c r="R440" s="125"/>
      <c r="S440" s="125"/>
      <c r="T440" s="125"/>
      <c r="U440" s="125"/>
      <c r="V440" s="125"/>
      <c r="W440" s="125"/>
      <c r="X440" s="125"/>
      <c r="Y440" s="125"/>
      <c r="Z440" s="125"/>
      <c r="AA440" s="125"/>
      <c r="AB440" s="125"/>
      <c r="AC440" s="125"/>
      <c r="AD440" s="125"/>
    </row>
    <row r="441">
      <c r="A441" s="124"/>
      <c r="B441" s="125"/>
      <c r="C441" s="125"/>
      <c r="D441" s="125"/>
      <c r="E441" s="125"/>
      <c r="F441" s="125"/>
      <c r="G441" s="125"/>
      <c r="H441" s="125"/>
      <c r="I441" s="125"/>
      <c r="J441" s="125"/>
      <c r="K441" s="125"/>
      <c r="L441" s="125"/>
      <c r="M441" s="125"/>
      <c r="N441" s="125"/>
      <c r="O441" s="125"/>
      <c r="P441" s="125"/>
      <c r="Q441" s="125"/>
      <c r="R441" s="125"/>
      <c r="S441" s="125"/>
      <c r="T441" s="125"/>
      <c r="U441" s="125"/>
      <c r="V441" s="125"/>
      <c r="W441" s="125"/>
      <c r="X441" s="125"/>
      <c r="Y441" s="125"/>
      <c r="Z441" s="125"/>
      <c r="AA441" s="125"/>
      <c r="AB441" s="125"/>
      <c r="AC441" s="125"/>
      <c r="AD441" s="125"/>
    </row>
    <row r="442">
      <c r="A442" s="124"/>
      <c r="B442" s="125"/>
      <c r="C442" s="125"/>
      <c r="D442" s="125"/>
      <c r="E442" s="125"/>
      <c r="F442" s="125"/>
      <c r="G442" s="125"/>
      <c r="H442" s="125"/>
      <c r="I442" s="125"/>
      <c r="J442" s="125"/>
      <c r="K442" s="125"/>
      <c r="L442" s="125"/>
      <c r="M442" s="125"/>
      <c r="N442" s="125"/>
      <c r="O442" s="125"/>
      <c r="P442" s="125"/>
      <c r="Q442" s="125"/>
      <c r="R442" s="125"/>
      <c r="S442" s="125"/>
      <c r="T442" s="125"/>
      <c r="U442" s="125"/>
      <c r="V442" s="125"/>
      <c r="W442" s="125"/>
      <c r="X442" s="125"/>
      <c r="Y442" s="125"/>
      <c r="Z442" s="125"/>
      <c r="AA442" s="125"/>
      <c r="AB442" s="125"/>
      <c r="AC442" s="125"/>
      <c r="AD442" s="125"/>
    </row>
    <row r="443">
      <c r="A443" s="124"/>
      <c r="B443" s="125"/>
      <c r="C443" s="125"/>
      <c r="D443" s="125"/>
      <c r="E443" s="125"/>
      <c r="F443" s="125"/>
      <c r="G443" s="125"/>
      <c r="H443" s="125"/>
      <c r="I443" s="125"/>
      <c r="J443" s="125"/>
      <c r="K443" s="125"/>
      <c r="L443" s="125"/>
      <c r="M443" s="125"/>
      <c r="N443" s="125"/>
      <c r="O443" s="125"/>
      <c r="P443" s="125"/>
      <c r="Q443" s="125"/>
      <c r="R443" s="125"/>
      <c r="S443" s="125"/>
      <c r="T443" s="125"/>
      <c r="U443" s="125"/>
      <c r="V443" s="125"/>
      <c r="W443" s="125"/>
      <c r="X443" s="125"/>
      <c r="Y443" s="125"/>
      <c r="Z443" s="125"/>
      <c r="AA443" s="125"/>
      <c r="AB443" s="125"/>
      <c r="AC443" s="125"/>
      <c r="AD443" s="125"/>
    </row>
    <row r="444">
      <c r="A444" s="124"/>
      <c r="B444" s="125"/>
      <c r="C444" s="125"/>
      <c r="D444" s="125"/>
      <c r="E444" s="125"/>
      <c r="F444" s="125"/>
      <c r="G444" s="125"/>
      <c r="H444" s="125"/>
      <c r="I444" s="125"/>
      <c r="J444" s="125"/>
      <c r="K444" s="125"/>
      <c r="L444" s="125"/>
      <c r="M444" s="125"/>
      <c r="N444" s="125"/>
      <c r="O444" s="125"/>
      <c r="P444" s="125"/>
      <c r="Q444" s="125"/>
      <c r="R444" s="125"/>
      <c r="S444" s="125"/>
      <c r="T444" s="125"/>
      <c r="U444" s="125"/>
      <c r="V444" s="125"/>
      <c r="W444" s="125"/>
      <c r="X444" s="125"/>
      <c r="Y444" s="125"/>
      <c r="Z444" s="125"/>
      <c r="AA444" s="125"/>
      <c r="AB444" s="125"/>
      <c r="AC444" s="125"/>
      <c r="AD444" s="125"/>
    </row>
    <row r="445">
      <c r="A445" s="124"/>
      <c r="B445" s="125"/>
      <c r="C445" s="125"/>
      <c r="D445" s="125"/>
      <c r="E445" s="125"/>
      <c r="F445" s="125"/>
      <c r="G445" s="125"/>
      <c r="H445" s="125"/>
      <c r="I445" s="125"/>
      <c r="J445" s="125"/>
      <c r="K445" s="125"/>
      <c r="L445" s="125"/>
      <c r="M445" s="125"/>
      <c r="N445" s="125"/>
      <c r="O445" s="125"/>
      <c r="P445" s="125"/>
      <c r="Q445" s="125"/>
      <c r="R445" s="125"/>
      <c r="S445" s="125"/>
      <c r="T445" s="125"/>
      <c r="U445" s="125"/>
      <c r="V445" s="125"/>
      <c r="W445" s="125"/>
      <c r="X445" s="125"/>
      <c r="Y445" s="125"/>
      <c r="Z445" s="125"/>
      <c r="AA445" s="125"/>
      <c r="AB445" s="125"/>
      <c r="AC445" s="125"/>
      <c r="AD445" s="125"/>
    </row>
    <row r="446">
      <c r="A446" s="124"/>
      <c r="B446" s="125"/>
      <c r="C446" s="125"/>
      <c r="D446" s="125"/>
      <c r="E446" s="125"/>
      <c r="F446" s="125"/>
      <c r="G446" s="125"/>
      <c r="H446" s="125"/>
      <c r="I446" s="125"/>
      <c r="J446" s="125"/>
      <c r="K446" s="125"/>
      <c r="L446" s="125"/>
      <c r="M446" s="125"/>
      <c r="N446" s="125"/>
      <c r="O446" s="125"/>
      <c r="P446" s="125"/>
      <c r="Q446" s="125"/>
      <c r="R446" s="125"/>
      <c r="S446" s="125"/>
      <c r="T446" s="125"/>
      <c r="U446" s="125"/>
      <c r="V446" s="125"/>
      <c r="W446" s="125"/>
      <c r="X446" s="125"/>
      <c r="Y446" s="125"/>
      <c r="Z446" s="125"/>
      <c r="AA446" s="125"/>
      <c r="AB446" s="125"/>
      <c r="AC446" s="125"/>
      <c r="AD446" s="125"/>
    </row>
    <row r="447">
      <c r="A447" s="124"/>
      <c r="B447" s="125"/>
      <c r="C447" s="125"/>
      <c r="D447" s="125"/>
      <c r="E447" s="125"/>
      <c r="F447" s="125"/>
      <c r="G447" s="125"/>
      <c r="H447" s="125"/>
      <c r="I447" s="125"/>
      <c r="J447" s="125"/>
      <c r="K447" s="125"/>
      <c r="L447" s="125"/>
      <c r="M447" s="125"/>
      <c r="N447" s="125"/>
      <c r="O447" s="125"/>
      <c r="P447" s="125"/>
      <c r="Q447" s="125"/>
      <c r="R447" s="125"/>
      <c r="S447" s="125"/>
      <c r="T447" s="125"/>
      <c r="U447" s="125"/>
      <c r="V447" s="125"/>
      <c r="W447" s="125"/>
      <c r="X447" s="125"/>
      <c r="Y447" s="125"/>
      <c r="Z447" s="125"/>
      <c r="AA447" s="125"/>
      <c r="AB447" s="125"/>
      <c r="AC447" s="125"/>
      <c r="AD447" s="125"/>
    </row>
    <row r="448">
      <c r="A448" s="124"/>
      <c r="B448" s="125"/>
      <c r="C448" s="125"/>
      <c r="D448" s="125"/>
      <c r="E448" s="125"/>
      <c r="F448" s="125"/>
      <c r="G448" s="125"/>
      <c r="H448" s="125"/>
      <c r="I448" s="125"/>
      <c r="J448" s="125"/>
      <c r="K448" s="125"/>
      <c r="L448" s="125"/>
      <c r="M448" s="125"/>
      <c r="N448" s="125"/>
      <c r="O448" s="125"/>
      <c r="P448" s="125"/>
      <c r="Q448" s="125"/>
      <c r="R448" s="125"/>
      <c r="S448" s="125"/>
      <c r="T448" s="125"/>
      <c r="U448" s="125"/>
      <c r="V448" s="125"/>
      <c r="W448" s="125"/>
      <c r="X448" s="125"/>
      <c r="Y448" s="125"/>
      <c r="Z448" s="125"/>
      <c r="AA448" s="125"/>
      <c r="AB448" s="125"/>
      <c r="AC448" s="125"/>
      <c r="AD448" s="125"/>
    </row>
    <row r="449">
      <c r="A449" s="124"/>
      <c r="B449" s="125"/>
      <c r="C449" s="125"/>
      <c r="D449" s="125"/>
      <c r="E449" s="125"/>
      <c r="F449" s="125"/>
      <c r="G449" s="125"/>
      <c r="H449" s="125"/>
      <c r="I449" s="125"/>
      <c r="J449" s="125"/>
      <c r="K449" s="125"/>
      <c r="L449" s="125"/>
      <c r="M449" s="125"/>
      <c r="N449" s="125"/>
      <c r="O449" s="125"/>
      <c r="P449" s="125"/>
      <c r="Q449" s="125"/>
      <c r="R449" s="125"/>
      <c r="S449" s="125"/>
      <c r="T449" s="125"/>
      <c r="U449" s="125"/>
      <c r="V449" s="125"/>
      <c r="W449" s="125"/>
      <c r="X449" s="125"/>
      <c r="Y449" s="125"/>
      <c r="Z449" s="125"/>
      <c r="AA449" s="125"/>
      <c r="AB449" s="125"/>
      <c r="AC449" s="125"/>
      <c r="AD449" s="125"/>
    </row>
    <row r="450">
      <c r="A450" s="124"/>
      <c r="B450" s="125"/>
      <c r="C450" s="125"/>
      <c r="D450" s="125"/>
      <c r="E450" s="125"/>
      <c r="F450" s="125"/>
      <c r="G450" s="125"/>
      <c r="H450" s="125"/>
      <c r="I450" s="125"/>
      <c r="J450" s="125"/>
      <c r="K450" s="125"/>
      <c r="L450" s="125"/>
      <c r="M450" s="125"/>
      <c r="N450" s="125"/>
      <c r="O450" s="125"/>
      <c r="P450" s="125"/>
      <c r="Q450" s="125"/>
      <c r="R450" s="125"/>
      <c r="S450" s="125"/>
      <c r="T450" s="125"/>
      <c r="U450" s="125"/>
      <c r="V450" s="125"/>
      <c r="W450" s="125"/>
      <c r="X450" s="125"/>
      <c r="Y450" s="125"/>
      <c r="Z450" s="125"/>
      <c r="AA450" s="125"/>
      <c r="AB450" s="125"/>
      <c r="AC450" s="125"/>
      <c r="AD450" s="125"/>
    </row>
    <row r="451">
      <c r="A451" s="124"/>
      <c r="B451" s="125"/>
      <c r="C451" s="125"/>
      <c r="D451" s="125"/>
      <c r="E451" s="125"/>
      <c r="F451" s="125"/>
      <c r="G451" s="125"/>
      <c r="H451" s="125"/>
      <c r="I451" s="125"/>
      <c r="J451" s="125"/>
      <c r="K451" s="125"/>
      <c r="L451" s="125"/>
      <c r="M451" s="125"/>
      <c r="N451" s="125"/>
      <c r="O451" s="125"/>
      <c r="P451" s="125"/>
      <c r="Q451" s="125"/>
      <c r="R451" s="125"/>
      <c r="S451" s="125"/>
      <c r="T451" s="125"/>
      <c r="U451" s="125"/>
      <c r="V451" s="125"/>
      <c r="W451" s="125"/>
      <c r="X451" s="125"/>
      <c r="Y451" s="125"/>
      <c r="Z451" s="125"/>
      <c r="AA451" s="125"/>
      <c r="AB451" s="125"/>
      <c r="AC451" s="125"/>
      <c r="AD451" s="125"/>
    </row>
    <row r="452">
      <c r="A452" s="124"/>
      <c r="B452" s="125"/>
      <c r="C452" s="125"/>
      <c r="D452" s="125"/>
      <c r="E452" s="125"/>
      <c r="F452" s="125"/>
      <c r="G452" s="125"/>
      <c r="H452" s="125"/>
      <c r="I452" s="125"/>
      <c r="J452" s="125"/>
      <c r="K452" s="125"/>
      <c r="L452" s="125"/>
      <c r="M452" s="125"/>
      <c r="N452" s="125"/>
      <c r="O452" s="125"/>
      <c r="P452" s="125"/>
      <c r="Q452" s="125"/>
      <c r="R452" s="125"/>
      <c r="S452" s="125"/>
      <c r="T452" s="125"/>
      <c r="U452" s="125"/>
      <c r="V452" s="125"/>
      <c r="W452" s="125"/>
      <c r="X452" s="125"/>
      <c r="Y452" s="125"/>
      <c r="Z452" s="125"/>
      <c r="AA452" s="125"/>
      <c r="AB452" s="125"/>
      <c r="AC452" s="125"/>
      <c r="AD452" s="125"/>
    </row>
    <row r="453">
      <c r="A453" s="124"/>
      <c r="B453" s="125"/>
      <c r="C453" s="125"/>
      <c r="D453" s="125"/>
      <c r="E453" s="125"/>
      <c r="F453" s="125"/>
      <c r="G453" s="125"/>
      <c r="H453" s="125"/>
      <c r="I453" s="125"/>
      <c r="J453" s="125"/>
      <c r="K453" s="125"/>
      <c r="L453" s="125"/>
      <c r="M453" s="125"/>
      <c r="N453" s="125"/>
      <c r="O453" s="125"/>
      <c r="P453" s="125"/>
      <c r="Q453" s="125"/>
      <c r="R453" s="125"/>
      <c r="S453" s="125"/>
      <c r="T453" s="125"/>
      <c r="U453" s="125"/>
      <c r="V453" s="125"/>
      <c r="W453" s="125"/>
      <c r="X453" s="125"/>
      <c r="Y453" s="125"/>
      <c r="Z453" s="125"/>
      <c r="AA453" s="125"/>
      <c r="AB453" s="125"/>
      <c r="AC453" s="125"/>
      <c r="AD453" s="125"/>
    </row>
    <row r="454">
      <c r="A454" s="124"/>
      <c r="B454" s="125"/>
      <c r="C454" s="125"/>
      <c r="D454" s="125"/>
      <c r="E454" s="125"/>
      <c r="F454" s="125"/>
      <c r="G454" s="125"/>
      <c r="H454" s="125"/>
      <c r="I454" s="125"/>
      <c r="J454" s="125"/>
      <c r="K454" s="125"/>
      <c r="L454" s="125"/>
      <c r="M454" s="125"/>
      <c r="N454" s="125"/>
      <c r="O454" s="125"/>
      <c r="P454" s="125"/>
      <c r="Q454" s="125"/>
      <c r="R454" s="125"/>
      <c r="S454" s="125"/>
      <c r="T454" s="125"/>
      <c r="U454" s="125"/>
      <c r="V454" s="125"/>
      <c r="W454" s="125"/>
      <c r="X454" s="125"/>
      <c r="Y454" s="125"/>
      <c r="Z454" s="125"/>
      <c r="AA454" s="125"/>
      <c r="AB454" s="125"/>
      <c r="AC454" s="125"/>
      <c r="AD454" s="125"/>
    </row>
    <row r="455">
      <c r="A455" s="124"/>
      <c r="B455" s="125"/>
      <c r="C455" s="125"/>
      <c r="D455" s="125"/>
      <c r="E455" s="125"/>
      <c r="F455" s="125"/>
      <c r="G455" s="125"/>
      <c r="H455" s="125"/>
      <c r="I455" s="125"/>
      <c r="J455" s="125"/>
      <c r="K455" s="125"/>
      <c r="L455" s="125"/>
      <c r="M455" s="125"/>
      <c r="N455" s="125"/>
      <c r="O455" s="125"/>
      <c r="P455" s="125"/>
      <c r="Q455" s="125"/>
      <c r="R455" s="125"/>
      <c r="S455" s="125"/>
      <c r="T455" s="125"/>
      <c r="U455" s="125"/>
      <c r="V455" s="125"/>
      <c r="W455" s="125"/>
      <c r="X455" s="125"/>
      <c r="Y455" s="125"/>
      <c r="Z455" s="125"/>
      <c r="AA455" s="125"/>
      <c r="AB455" s="125"/>
      <c r="AC455" s="125"/>
      <c r="AD455" s="125"/>
    </row>
    <row r="456">
      <c r="A456" s="124"/>
      <c r="B456" s="125"/>
      <c r="C456" s="125"/>
      <c r="D456" s="125"/>
      <c r="E456" s="125"/>
      <c r="F456" s="125"/>
      <c r="G456" s="125"/>
      <c r="H456" s="125"/>
      <c r="I456" s="125"/>
      <c r="J456" s="125"/>
      <c r="K456" s="125"/>
      <c r="L456" s="125"/>
      <c r="M456" s="125"/>
      <c r="N456" s="125"/>
      <c r="O456" s="125"/>
      <c r="P456" s="125"/>
      <c r="Q456" s="125"/>
      <c r="R456" s="125"/>
      <c r="S456" s="125"/>
      <c r="T456" s="125"/>
      <c r="U456" s="125"/>
      <c r="V456" s="125"/>
      <c r="W456" s="125"/>
      <c r="X456" s="125"/>
      <c r="Y456" s="125"/>
      <c r="Z456" s="125"/>
      <c r="AA456" s="125"/>
      <c r="AB456" s="125"/>
      <c r="AC456" s="125"/>
      <c r="AD456" s="125"/>
    </row>
    <row r="457">
      <c r="A457" s="124"/>
      <c r="B457" s="125"/>
      <c r="C457" s="125"/>
      <c r="D457" s="125"/>
      <c r="E457" s="125"/>
      <c r="F457" s="125"/>
      <c r="G457" s="125"/>
      <c r="H457" s="125"/>
      <c r="I457" s="125"/>
      <c r="J457" s="125"/>
      <c r="K457" s="125"/>
      <c r="L457" s="125"/>
      <c r="M457" s="125"/>
      <c r="N457" s="125"/>
      <c r="O457" s="125"/>
      <c r="P457" s="125"/>
      <c r="Q457" s="125"/>
      <c r="R457" s="125"/>
      <c r="S457" s="125"/>
      <c r="T457" s="125"/>
      <c r="U457" s="125"/>
      <c r="V457" s="125"/>
      <c r="W457" s="125"/>
      <c r="X457" s="125"/>
      <c r="Y457" s="125"/>
      <c r="Z457" s="125"/>
      <c r="AA457" s="125"/>
      <c r="AB457" s="125"/>
      <c r="AC457" s="125"/>
      <c r="AD457" s="125"/>
    </row>
    <row r="458">
      <c r="A458" s="124"/>
      <c r="B458" s="125"/>
      <c r="C458" s="125"/>
      <c r="D458" s="125"/>
      <c r="E458" s="125"/>
      <c r="F458" s="125"/>
      <c r="G458" s="125"/>
      <c r="H458" s="125"/>
      <c r="I458" s="125"/>
      <c r="J458" s="125"/>
      <c r="K458" s="125"/>
      <c r="L458" s="125"/>
      <c r="M458" s="125"/>
      <c r="N458" s="125"/>
      <c r="O458" s="125"/>
      <c r="P458" s="125"/>
      <c r="Q458" s="125"/>
      <c r="R458" s="125"/>
      <c r="S458" s="125"/>
      <c r="T458" s="125"/>
      <c r="U458" s="125"/>
      <c r="V458" s="125"/>
      <c r="W458" s="125"/>
      <c r="X458" s="125"/>
      <c r="Y458" s="125"/>
      <c r="Z458" s="125"/>
      <c r="AA458" s="125"/>
      <c r="AB458" s="125"/>
      <c r="AC458" s="125"/>
      <c r="AD458" s="125"/>
    </row>
    <row r="459">
      <c r="A459" s="124"/>
      <c r="B459" s="125"/>
      <c r="C459" s="125"/>
      <c r="D459" s="125"/>
      <c r="E459" s="125"/>
      <c r="F459" s="125"/>
      <c r="G459" s="125"/>
      <c r="H459" s="125"/>
      <c r="I459" s="125"/>
      <c r="J459" s="125"/>
      <c r="K459" s="125"/>
      <c r="L459" s="125"/>
      <c r="M459" s="125"/>
      <c r="N459" s="125"/>
      <c r="O459" s="125"/>
      <c r="P459" s="125"/>
      <c r="Q459" s="125"/>
      <c r="R459" s="125"/>
      <c r="S459" s="125"/>
      <c r="T459" s="125"/>
      <c r="U459" s="125"/>
      <c r="V459" s="125"/>
      <c r="W459" s="125"/>
      <c r="X459" s="125"/>
      <c r="Y459" s="125"/>
      <c r="Z459" s="125"/>
      <c r="AA459" s="125"/>
      <c r="AB459" s="125"/>
      <c r="AC459" s="125"/>
      <c r="AD459" s="125"/>
    </row>
    <row r="460">
      <c r="A460" s="124"/>
      <c r="B460" s="125"/>
      <c r="C460" s="125"/>
      <c r="D460" s="125"/>
      <c r="E460" s="125"/>
      <c r="F460" s="125"/>
      <c r="G460" s="125"/>
      <c r="H460" s="125"/>
      <c r="I460" s="125"/>
      <c r="J460" s="125"/>
      <c r="K460" s="125"/>
      <c r="L460" s="125"/>
      <c r="M460" s="125"/>
      <c r="N460" s="125"/>
      <c r="O460" s="125"/>
      <c r="P460" s="125"/>
      <c r="Q460" s="125"/>
      <c r="R460" s="125"/>
      <c r="S460" s="125"/>
      <c r="T460" s="125"/>
      <c r="U460" s="125"/>
      <c r="V460" s="125"/>
      <c r="W460" s="125"/>
      <c r="X460" s="125"/>
      <c r="Y460" s="125"/>
      <c r="Z460" s="125"/>
      <c r="AA460" s="125"/>
      <c r="AB460" s="125"/>
      <c r="AC460" s="125"/>
      <c r="AD460" s="125"/>
    </row>
    <row r="461">
      <c r="A461" s="124"/>
      <c r="B461" s="125"/>
      <c r="C461" s="125"/>
      <c r="D461" s="125"/>
      <c r="E461" s="125"/>
      <c r="F461" s="125"/>
      <c r="G461" s="125"/>
      <c r="H461" s="125"/>
      <c r="I461" s="125"/>
      <c r="J461" s="125"/>
      <c r="K461" s="125"/>
      <c r="L461" s="125"/>
      <c r="M461" s="125"/>
      <c r="N461" s="125"/>
      <c r="O461" s="125"/>
      <c r="P461" s="125"/>
      <c r="Q461" s="125"/>
      <c r="R461" s="125"/>
      <c r="S461" s="125"/>
      <c r="T461" s="125"/>
      <c r="U461" s="125"/>
      <c r="V461" s="125"/>
      <c r="W461" s="125"/>
      <c r="X461" s="125"/>
      <c r="Y461" s="125"/>
      <c r="Z461" s="125"/>
      <c r="AA461" s="125"/>
      <c r="AB461" s="125"/>
      <c r="AC461" s="125"/>
      <c r="AD461" s="125"/>
    </row>
    <row r="462">
      <c r="A462" s="124"/>
      <c r="B462" s="125"/>
      <c r="C462" s="125"/>
      <c r="D462" s="125"/>
      <c r="E462" s="125"/>
      <c r="F462" s="125"/>
      <c r="G462" s="125"/>
      <c r="H462" s="125"/>
      <c r="I462" s="125"/>
      <c r="J462" s="125"/>
      <c r="K462" s="125"/>
      <c r="L462" s="125"/>
      <c r="M462" s="125"/>
      <c r="N462" s="125"/>
      <c r="O462" s="125"/>
      <c r="P462" s="125"/>
      <c r="Q462" s="125"/>
      <c r="R462" s="125"/>
      <c r="S462" s="125"/>
      <c r="T462" s="125"/>
      <c r="U462" s="125"/>
      <c r="V462" s="125"/>
      <c r="W462" s="125"/>
      <c r="X462" s="125"/>
      <c r="Y462" s="125"/>
      <c r="Z462" s="125"/>
      <c r="AA462" s="125"/>
      <c r="AB462" s="125"/>
      <c r="AC462" s="125"/>
      <c r="AD462" s="125"/>
    </row>
    <row r="463">
      <c r="A463" s="124"/>
      <c r="B463" s="125"/>
      <c r="C463" s="125"/>
      <c r="D463" s="125"/>
      <c r="E463" s="125"/>
      <c r="F463" s="125"/>
      <c r="G463" s="125"/>
      <c r="H463" s="125"/>
      <c r="I463" s="125"/>
      <c r="J463" s="125"/>
      <c r="K463" s="125"/>
      <c r="L463" s="125"/>
      <c r="M463" s="125"/>
      <c r="N463" s="125"/>
      <c r="O463" s="125"/>
      <c r="P463" s="125"/>
      <c r="Q463" s="125"/>
      <c r="R463" s="125"/>
      <c r="S463" s="125"/>
      <c r="T463" s="125"/>
      <c r="U463" s="125"/>
      <c r="V463" s="125"/>
      <c r="W463" s="125"/>
      <c r="X463" s="125"/>
      <c r="Y463" s="125"/>
      <c r="Z463" s="125"/>
      <c r="AA463" s="125"/>
      <c r="AB463" s="125"/>
      <c r="AC463" s="125"/>
      <c r="AD463" s="125"/>
    </row>
    <row r="464">
      <c r="A464" s="124"/>
      <c r="B464" s="125"/>
      <c r="C464" s="125"/>
      <c r="D464" s="125"/>
      <c r="E464" s="125"/>
      <c r="F464" s="125"/>
      <c r="G464" s="125"/>
      <c r="H464" s="125"/>
      <c r="I464" s="125"/>
      <c r="J464" s="125"/>
      <c r="K464" s="125"/>
      <c r="L464" s="125"/>
      <c r="M464" s="125"/>
      <c r="N464" s="125"/>
      <c r="O464" s="125"/>
      <c r="P464" s="125"/>
      <c r="Q464" s="125"/>
      <c r="R464" s="125"/>
      <c r="S464" s="125"/>
      <c r="T464" s="125"/>
      <c r="U464" s="125"/>
      <c r="V464" s="125"/>
      <c r="W464" s="125"/>
      <c r="X464" s="125"/>
      <c r="Y464" s="125"/>
      <c r="Z464" s="125"/>
      <c r="AA464" s="125"/>
      <c r="AB464" s="125"/>
      <c r="AC464" s="125"/>
      <c r="AD464" s="125"/>
    </row>
    <row r="465">
      <c r="A465" s="124"/>
      <c r="B465" s="125"/>
      <c r="C465" s="125"/>
      <c r="D465" s="125"/>
      <c r="E465" s="125"/>
      <c r="F465" s="125"/>
      <c r="G465" s="125"/>
      <c r="H465" s="125"/>
      <c r="I465" s="125"/>
      <c r="J465" s="125"/>
      <c r="K465" s="125"/>
      <c r="L465" s="125"/>
      <c r="M465" s="125"/>
      <c r="N465" s="125"/>
      <c r="O465" s="125"/>
      <c r="P465" s="125"/>
      <c r="Q465" s="125"/>
      <c r="R465" s="125"/>
      <c r="S465" s="125"/>
      <c r="T465" s="125"/>
      <c r="U465" s="125"/>
      <c r="V465" s="125"/>
      <c r="W465" s="125"/>
      <c r="X465" s="125"/>
      <c r="Y465" s="125"/>
      <c r="Z465" s="125"/>
      <c r="AA465" s="125"/>
      <c r="AB465" s="125"/>
      <c r="AC465" s="125"/>
      <c r="AD465" s="125"/>
    </row>
    <row r="466">
      <c r="A466" s="124"/>
      <c r="B466" s="125"/>
      <c r="C466" s="125"/>
      <c r="D466" s="125"/>
      <c r="E466" s="125"/>
      <c r="F466" s="125"/>
      <c r="G466" s="125"/>
      <c r="H466" s="125"/>
      <c r="I466" s="125"/>
      <c r="J466" s="125"/>
      <c r="K466" s="125"/>
      <c r="L466" s="125"/>
      <c r="M466" s="125"/>
      <c r="N466" s="125"/>
      <c r="O466" s="125"/>
      <c r="P466" s="125"/>
      <c r="Q466" s="125"/>
      <c r="R466" s="125"/>
      <c r="S466" s="125"/>
      <c r="T466" s="125"/>
      <c r="U466" s="125"/>
      <c r="V466" s="125"/>
      <c r="W466" s="125"/>
      <c r="X466" s="125"/>
      <c r="Y466" s="125"/>
      <c r="Z466" s="125"/>
      <c r="AA466" s="125"/>
      <c r="AB466" s="125"/>
      <c r="AC466" s="125"/>
      <c r="AD466" s="125"/>
    </row>
    <row r="467">
      <c r="A467" s="124"/>
      <c r="B467" s="125"/>
      <c r="C467" s="125"/>
      <c r="D467" s="125"/>
      <c r="E467" s="125"/>
      <c r="F467" s="125"/>
      <c r="G467" s="125"/>
      <c r="H467" s="125"/>
      <c r="I467" s="125"/>
      <c r="J467" s="125"/>
      <c r="K467" s="125"/>
      <c r="L467" s="125"/>
      <c r="M467" s="125"/>
      <c r="N467" s="125"/>
      <c r="O467" s="125"/>
      <c r="P467" s="125"/>
      <c r="Q467" s="125"/>
      <c r="R467" s="125"/>
      <c r="S467" s="125"/>
      <c r="T467" s="125"/>
      <c r="U467" s="125"/>
      <c r="V467" s="125"/>
      <c r="W467" s="125"/>
      <c r="X467" s="125"/>
      <c r="Y467" s="125"/>
      <c r="Z467" s="125"/>
      <c r="AA467" s="125"/>
      <c r="AB467" s="125"/>
      <c r="AC467" s="125"/>
      <c r="AD467" s="125"/>
    </row>
    <row r="468">
      <c r="A468" s="124"/>
      <c r="B468" s="125"/>
      <c r="C468" s="125"/>
      <c r="D468" s="125"/>
      <c r="E468" s="125"/>
      <c r="F468" s="125"/>
      <c r="G468" s="125"/>
      <c r="H468" s="125"/>
      <c r="I468" s="125"/>
      <c r="J468" s="125"/>
      <c r="K468" s="125"/>
      <c r="L468" s="125"/>
      <c r="M468" s="125"/>
      <c r="N468" s="125"/>
      <c r="O468" s="125"/>
      <c r="P468" s="125"/>
      <c r="Q468" s="125"/>
      <c r="R468" s="125"/>
      <c r="S468" s="125"/>
      <c r="T468" s="125"/>
      <c r="U468" s="125"/>
      <c r="V468" s="125"/>
      <c r="W468" s="125"/>
      <c r="X468" s="125"/>
      <c r="Y468" s="125"/>
      <c r="Z468" s="125"/>
      <c r="AA468" s="125"/>
      <c r="AB468" s="125"/>
      <c r="AC468" s="125"/>
      <c r="AD468" s="125"/>
    </row>
    <row r="469">
      <c r="A469" s="124"/>
      <c r="B469" s="125"/>
      <c r="C469" s="125"/>
      <c r="D469" s="125"/>
      <c r="E469" s="125"/>
      <c r="F469" s="125"/>
      <c r="G469" s="125"/>
      <c r="H469" s="125"/>
      <c r="I469" s="125"/>
      <c r="J469" s="125"/>
      <c r="K469" s="125"/>
      <c r="L469" s="125"/>
      <c r="M469" s="125"/>
      <c r="N469" s="125"/>
      <c r="O469" s="125"/>
      <c r="P469" s="125"/>
      <c r="Q469" s="125"/>
      <c r="R469" s="125"/>
      <c r="S469" s="125"/>
      <c r="T469" s="125"/>
      <c r="U469" s="125"/>
      <c r="V469" s="125"/>
      <c r="W469" s="125"/>
      <c r="X469" s="125"/>
      <c r="Y469" s="125"/>
      <c r="Z469" s="125"/>
      <c r="AA469" s="125"/>
      <c r="AB469" s="125"/>
      <c r="AC469" s="125"/>
      <c r="AD469" s="125"/>
    </row>
    <row r="470">
      <c r="A470" s="124"/>
      <c r="B470" s="125"/>
      <c r="C470" s="125"/>
      <c r="D470" s="125"/>
      <c r="E470" s="125"/>
      <c r="F470" s="125"/>
      <c r="G470" s="125"/>
      <c r="H470" s="125"/>
      <c r="I470" s="125"/>
      <c r="J470" s="125"/>
      <c r="K470" s="125"/>
      <c r="L470" s="125"/>
      <c r="M470" s="125"/>
      <c r="N470" s="125"/>
      <c r="O470" s="125"/>
      <c r="P470" s="125"/>
      <c r="Q470" s="125"/>
      <c r="R470" s="125"/>
      <c r="S470" s="125"/>
      <c r="T470" s="125"/>
      <c r="U470" s="125"/>
      <c r="V470" s="125"/>
      <c r="W470" s="125"/>
      <c r="X470" s="125"/>
      <c r="Y470" s="125"/>
      <c r="Z470" s="125"/>
      <c r="AA470" s="125"/>
      <c r="AB470" s="125"/>
      <c r="AC470" s="125"/>
      <c r="AD470" s="125"/>
    </row>
    <row r="471">
      <c r="A471" s="124"/>
      <c r="B471" s="125"/>
      <c r="C471" s="125"/>
      <c r="D471" s="125"/>
      <c r="E471" s="125"/>
      <c r="F471" s="125"/>
      <c r="G471" s="125"/>
      <c r="H471" s="125"/>
      <c r="I471" s="125"/>
      <c r="J471" s="125"/>
      <c r="K471" s="125"/>
      <c r="L471" s="125"/>
      <c r="M471" s="125"/>
      <c r="N471" s="125"/>
      <c r="O471" s="125"/>
      <c r="P471" s="125"/>
      <c r="Q471" s="125"/>
      <c r="R471" s="125"/>
      <c r="S471" s="125"/>
      <c r="T471" s="125"/>
      <c r="U471" s="125"/>
      <c r="V471" s="125"/>
      <c r="W471" s="125"/>
      <c r="X471" s="125"/>
      <c r="Y471" s="125"/>
      <c r="Z471" s="125"/>
      <c r="AA471" s="125"/>
      <c r="AB471" s="125"/>
      <c r="AC471" s="125"/>
      <c r="AD471" s="125"/>
    </row>
    <row r="472">
      <c r="A472" s="124"/>
      <c r="B472" s="125"/>
      <c r="C472" s="125"/>
      <c r="D472" s="125"/>
      <c r="E472" s="125"/>
      <c r="F472" s="125"/>
      <c r="G472" s="125"/>
      <c r="H472" s="125"/>
      <c r="I472" s="125"/>
      <c r="J472" s="125"/>
      <c r="K472" s="125"/>
      <c r="L472" s="125"/>
      <c r="M472" s="125"/>
      <c r="N472" s="125"/>
      <c r="O472" s="125"/>
      <c r="P472" s="125"/>
      <c r="Q472" s="125"/>
      <c r="R472" s="125"/>
      <c r="S472" s="125"/>
      <c r="T472" s="125"/>
      <c r="U472" s="125"/>
      <c r="V472" s="125"/>
      <c r="W472" s="125"/>
      <c r="X472" s="125"/>
      <c r="Y472" s="125"/>
      <c r="Z472" s="125"/>
      <c r="AA472" s="125"/>
      <c r="AB472" s="125"/>
      <c r="AC472" s="125"/>
      <c r="AD472" s="125"/>
    </row>
    <row r="473">
      <c r="A473" s="124"/>
      <c r="B473" s="125"/>
      <c r="C473" s="125"/>
      <c r="D473" s="125"/>
      <c r="E473" s="125"/>
      <c r="F473" s="125"/>
      <c r="G473" s="125"/>
      <c r="H473" s="125"/>
      <c r="I473" s="125"/>
      <c r="J473" s="125"/>
      <c r="K473" s="125"/>
      <c r="L473" s="125"/>
      <c r="M473" s="125"/>
      <c r="N473" s="125"/>
      <c r="O473" s="125"/>
      <c r="P473" s="125"/>
      <c r="Q473" s="125"/>
      <c r="R473" s="125"/>
      <c r="S473" s="125"/>
      <c r="T473" s="125"/>
      <c r="U473" s="125"/>
      <c r="V473" s="125"/>
      <c r="W473" s="125"/>
      <c r="X473" s="125"/>
      <c r="Y473" s="125"/>
      <c r="Z473" s="125"/>
      <c r="AA473" s="125"/>
      <c r="AB473" s="125"/>
      <c r="AC473" s="125"/>
      <c r="AD473" s="125"/>
    </row>
    <row r="474">
      <c r="A474" s="124"/>
      <c r="B474" s="125"/>
      <c r="C474" s="125"/>
      <c r="D474" s="125"/>
      <c r="E474" s="125"/>
      <c r="F474" s="125"/>
      <c r="G474" s="125"/>
      <c r="H474" s="125"/>
      <c r="I474" s="125"/>
      <c r="J474" s="125"/>
      <c r="K474" s="125"/>
      <c r="L474" s="125"/>
      <c r="M474" s="125"/>
      <c r="N474" s="125"/>
      <c r="O474" s="125"/>
      <c r="P474" s="125"/>
      <c r="Q474" s="125"/>
      <c r="R474" s="125"/>
      <c r="S474" s="125"/>
      <c r="T474" s="125"/>
      <c r="U474" s="125"/>
      <c r="V474" s="125"/>
      <c r="W474" s="125"/>
      <c r="X474" s="125"/>
      <c r="Y474" s="125"/>
      <c r="Z474" s="125"/>
      <c r="AA474" s="125"/>
      <c r="AB474" s="125"/>
      <c r="AC474" s="125"/>
      <c r="AD474" s="125"/>
    </row>
    <row r="475">
      <c r="A475" s="124"/>
      <c r="B475" s="125"/>
      <c r="C475" s="125"/>
      <c r="D475" s="125"/>
      <c r="E475" s="125"/>
      <c r="F475" s="125"/>
      <c r="G475" s="125"/>
      <c r="H475" s="125"/>
      <c r="I475" s="125"/>
      <c r="J475" s="125"/>
      <c r="K475" s="125"/>
      <c r="L475" s="125"/>
      <c r="M475" s="125"/>
      <c r="N475" s="125"/>
      <c r="O475" s="125"/>
      <c r="P475" s="125"/>
      <c r="Q475" s="125"/>
      <c r="R475" s="125"/>
      <c r="S475" s="125"/>
      <c r="T475" s="125"/>
      <c r="U475" s="125"/>
      <c r="V475" s="125"/>
      <c r="W475" s="125"/>
      <c r="X475" s="125"/>
      <c r="Y475" s="125"/>
      <c r="Z475" s="125"/>
      <c r="AA475" s="125"/>
      <c r="AB475" s="125"/>
      <c r="AC475" s="125"/>
      <c r="AD475" s="125"/>
    </row>
    <row r="476">
      <c r="A476" s="124"/>
      <c r="B476" s="125"/>
      <c r="C476" s="125"/>
      <c r="D476" s="125"/>
      <c r="E476" s="125"/>
      <c r="F476" s="125"/>
      <c r="G476" s="125"/>
      <c r="H476" s="125"/>
      <c r="I476" s="125"/>
      <c r="J476" s="125"/>
      <c r="K476" s="125"/>
      <c r="L476" s="125"/>
      <c r="M476" s="125"/>
      <c r="N476" s="125"/>
      <c r="O476" s="125"/>
      <c r="P476" s="125"/>
      <c r="Q476" s="125"/>
      <c r="R476" s="125"/>
      <c r="S476" s="125"/>
      <c r="T476" s="125"/>
      <c r="U476" s="125"/>
      <c r="V476" s="125"/>
      <c r="W476" s="125"/>
      <c r="X476" s="125"/>
      <c r="Y476" s="125"/>
      <c r="Z476" s="125"/>
      <c r="AA476" s="125"/>
      <c r="AB476" s="125"/>
      <c r="AC476" s="125"/>
      <c r="AD476" s="125"/>
    </row>
    <row r="477">
      <c r="A477" s="124"/>
      <c r="B477" s="125"/>
      <c r="C477" s="125"/>
      <c r="D477" s="125"/>
      <c r="E477" s="125"/>
      <c r="F477" s="125"/>
      <c r="G477" s="125"/>
      <c r="H477" s="125"/>
      <c r="I477" s="125"/>
      <c r="J477" s="125"/>
      <c r="K477" s="125"/>
      <c r="L477" s="125"/>
      <c r="M477" s="125"/>
      <c r="N477" s="125"/>
      <c r="O477" s="125"/>
      <c r="P477" s="125"/>
      <c r="Q477" s="125"/>
      <c r="R477" s="125"/>
      <c r="S477" s="125"/>
      <c r="T477" s="125"/>
      <c r="U477" s="125"/>
      <c r="V477" s="125"/>
      <c r="W477" s="125"/>
      <c r="X477" s="125"/>
      <c r="Y477" s="125"/>
      <c r="Z477" s="125"/>
      <c r="AA477" s="125"/>
      <c r="AB477" s="125"/>
      <c r="AC477" s="125"/>
      <c r="AD477" s="125"/>
    </row>
    <row r="478">
      <c r="A478" s="124"/>
      <c r="B478" s="125"/>
      <c r="C478" s="125"/>
      <c r="D478" s="125"/>
      <c r="E478" s="125"/>
      <c r="F478" s="125"/>
      <c r="G478" s="125"/>
      <c r="H478" s="125"/>
      <c r="I478" s="125"/>
      <c r="J478" s="125"/>
      <c r="K478" s="125"/>
      <c r="L478" s="125"/>
      <c r="M478" s="125"/>
      <c r="N478" s="125"/>
      <c r="O478" s="125"/>
      <c r="P478" s="125"/>
      <c r="Q478" s="125"/>
      <c r="R478" s="125"/>
      <c r="S478" s="125"/>
      <c r="T478" s="125"/>
      <c r="U478" s="125"/>
      <c r="V478" s="125"/>
      <c r="W478" s="125"/>
      <c r="X478" s="125"/>
      <c r="Y478" s="125"/>
      <c r="Z478" s="125"/>
      <c r="AA478" s="125"/>
      <c r="AB478" s="125"/>
      <c r="AC478" s="125"/>
      <c r="AD478" s="125"/>
    </row>
    <row r="479">
      <c r="A479" s="124"/>
      <c r="B479" s="125"/>
      <c r="C479" s="125"/>
      <c r="D479" s="125"/>
      <c r="E479" s="125"/>
      <c r="F479" s="125"/>
      <c r="G479" s="125"/>
      <c r="H479" s="125"/>
      <c r="I479" s="125"/>
      <c r="J479" s="125"/>
      <c r="K479" s="125"/>
      <c r="L479" s="125"/>
      <c r="M479" s="125"/>
      <c r="N479" s="125"/>
      <c r="O479" s="125"/>
      <c r="P479" s="125"/>
      <c r="Q479" s="125"/>
      <c r="R479" s="125"/>
      <c r="S479" s="125"/>
      <c r="T479" s="125"/>
      <c r="U479" s="125"/>
      <c r="V479" s="125"/>
      <c r="W479" s="125"/>
      <c r="X479" s="125"/>
      <c r="Y479" s="125"/>
      <c r="Z479" s="125"/>
      <c r="AA479" s="125"/>
      <c r="AB479" s="125"/>
      <c r="AC479" s="125"/>
      <c r="AD479" s="125"/>
    </row>
    <row r="480">
      <c r="A480" s="124"/>
      <c r="B480" s="125"/>
      <c r="C480" s="125"/>
      <c r="D480" s="125"/>
      <c r="E480" s="125"/>
      <c r="F480" s="125"/>
      <c r="G480" s="125"/>
      <c r="H480" s="125"/>
      <c r="I480" s="125"/>
      <c r="J480" s="125"/>
      <c r="K480" s="125"/>
      <c r="L480" s="125"/>
      <c r="M480" s="125"/>
      <c r="N480" s="125"/>
      <c r="O480" s="125"/>
      <c r="P480" s="125"/>
      <c r="Q480" s="125"/>
      <c r="R480" s="125"/>
      <c r="S480" s="125"/>
      <c r="T480" s="125"/>
      <c r="U480" s="125"/>
      <c r="V480" s="125"/>
      <c r="W480" s="125"/>
      <c r="X480" s="125"/>
      <c r="Y480" s="125"/>
      <c r="Z480" s="125"/>
      <c r="AA480" s="125"/>
      <c r="AB480" s="125"/>
      <c r="AC480" s="125"/>
      <c r="AD480" s="125"/>
    </row>
    <row r="481">
      <c r="A481" s="124"/>
      <c r="B481" s="125"/>
      <c r="C481" s="125"/>
      <c r="D481" s="125"/>
      <c r="E481" s="125"/>
      <c r="F481" s="125"/>
      <c r="G481" s="125"/>
      <c r="H481" s="125"/>
      <c r="I481" s="125"/>
      <c r="J481" s="125"/>
      <c r="K481" s="125"/>
      <c r="L481" s="125"/>
      <c r="M481" s="125"/>
      <c r="N481" s="125"/>
      <c r="O481" s="125"/>
      <c r="P481" s="125"/>
      <c r="Q481" s="125"/>
      <c r="R481" s="125"/>
      <c r="S481" s="125"/>
      <c r="T481" s="125"/>
      <c r="U481" s="125"/>
      <c r="V481" s="125"/>
      <c r="W481" s="125"/>
      <c r="X481" s="125"/>
      <c r="Y481" s="125"/>
      <c r="Z481" s="125"/>
      <c r="AA481" s="125"/>
      <c r="AB481" s="125"/>
      <c r="AC481" s="125"/>
      <c r="AD481" s="125"/>
    </row>
    <row r="482">
      <c r="A482" s="124"/>
      <c r="B482" s="125"/>
      <c r="C482" s="125"/>
      <c r="D482" s="125"/>
      <c r="E482" s="125"/>
      <c r="F482" s="125"/>
      <c r="G482" s="125"/>
      <c r="H482" s="125"/>
      <c r="I482" s="125"/>
      <c r="J482" s="125"/>
      <c r="K482" s="125"/>
      <c r="L482" s="125"/>
      <c r="M482" s="125"/>
      <c r="N482" s="125"/>
      <c r="O482" s="125"/>
      <c r="P482" s="125"/>
      <c r="Q482" s="125"/>
      <c r="R482" s="125"/>
      <c r="S482" s="125"/>
      <c r="T482" s="125"/>
      <c r="U482" s="125"/>
      <c r="V482" s="125"/>
      <c r="W482" s="125"/>
      <c r="X482" s="125"/>
      <c r="Y482" s="125"/>
      <c r="Z482" s="125"/>
      <c r="AA482" s="125"/>
      <c r="AB482" s="125"/>
      <c r="AC482" s="125"/>
      <c r="AD482" s="125"/>
    </row>
    <row r="483">
      <c r="A483" s="124"/>
      <c r="B483" s="125"/>
      <c r="C483" s="125"/>
      <c r="D483" s="125"/>
      <c r="E483" s="125"/>
      <c r="F483" s="125"/>
      <c r="G483" s="125"/>
      <c r="H483" s="125"/>
      <c r="I483" s="125"/>
      <c r="J483" s="125"/>
      <c r="K483" s="125"/>
      <c r="L483" s="125"/>
      <c r="M483" s="125"/>
      <c r="N483" s="125"/>
      <c r="O483" s="125"/>
      <c r="P483" s="125"/>
      <c r="Q483" s="125"/>
      <c r="R483" s="125"/>
      <c r="S483" s="125"/>
      <c r="T483" s="125"/>
      <c r="U483" s="125"/>
      <c r="V483" s="125"/>
      <c r="W483" s="125"/>
      <c r="X483" s="125"/>
      <c r="Y483" s="125"/>
      <c r="Z483" s="125"/>
      <c r="AA483" s="125"/>
      <c r="AB483" s="125"/>
      <c r="AC483" s="125"/>
      <c r="AD483" s="125"/>
    </row>
    <row r="484">
      <c r="A484" s="124"/>
      <c r="B484" s="125"/>
      <c r="C484" s="125"/>
      <c r="D484" s="125"/>
      <c r="E484" s="125"/>
      <c r="F484" s="125"/>
      <c r="G484" s="125"/>
      <c r="H484" s="125"/>
      <c r="I484" s="125"/>
      <c r="J484" s="125"/>
      <c r="K484" s="125"/>
      <c r="L484" s="125"/>
      <c r="M484" s="125"/>
      <c r="N484" s="125"/>
      <c r="O484" s="125"/>
      <c r="P484" s="125"/>
      <c r="Q484" s="125"/>
      <c r="R484" s="125"/>
      <c r="S484" s="125"/>
      <c r="T484" s="125"/>
      <c r="U484" s="125"/>
      <c r="V484" s="125"/>
      <c r="W484" s="125"/>
      <c r="X484" s="125"/>
      <c r="Y484" s="125"/>
      <c r="Z484" s="125"/>
      <c r="AA484" s="125"/>
      <c r="AB484" s="125"/>
      <c r="AC484" s="125"/>
      <c r="AD484" s="125"/>
    </row>
    <row r="485">
      <c r="A485" s="124"/>
      <c r="B485" s="125"/>
      <c r="C485" s="125"/>
      <c r="D485" s="125"/>
      <c r="E485" s="125"/>
      <c r="F485" s="125"/>
      <c r="G485" s="125"/>
      <c r="H485" s="125"/>
      <c r="I485" s="125"/>
      <c r="J485" s="125"/>
      <c r="K485" s="125"/>
      <c r="L485" s="125"/>
      <c r="M485" s="125"/>
      <c r="N485" s="125"/>
      <c r="O485" s="125"/>
      <c r="P485" s="125"/>
      <c r="Q485" s="125"/>
      <c r="R485" s="125"/>
      <c r="S485" s="125"/>
      <c r="T485" s="125"/>
      <c r="U485" s="125"/>
      <c r="V485" s="125"/>
      <c r="W485" s="125"/>
      <c r="X485" s="125"/>
      <c r="Y485" s="125"/>
      <c r="Z485" s="125"/>
      <c r="AA485" s="125"/>
      <c r="AB485" s="125"/>
      <c r="AC485" s="125"/>
      <c r="AD485" s="125"/>
    </row>
    <row r="486">
      <c r="A486" s="124"/>
      <c r="B486" s="125"/>
      <c r="C486" s="125"/>
      <c r="D486" s="125"/>
      <c r="E486" s="125"/>
      <c r="F486" s="125"/>
      <c r="G486" s="125"/>
      <c r="H486" s="125"/>
      <c r="I486" s="125"/>
      <c r="J486" s="125"/>
      <c r="K486" s="125"/>
      <c r="L486" s="125"/>
      <c r="M486" s="125"/>
      <c r="N486" s="125"/>
      <c r="O486" s="125"/>
      <c r="P486" s="125"/>
      <c r="Q486" s="125"/>
      <c r="R486" s="125"/>
      <c r="S486" s="125"/>
      <c r="T486" s="125"/>
      <c r="U486" s="125"/>
      <c r="V486" s="125"/>
      <c r="W486" s="125"/>
      <c r="X486" s="125"/>
      <c r="Y486" s="125"/>
      <c r="Z486" s="125"/>
      <c r="AA486" s="125"/>
      <c r="AB486" s="125"/>
      <c r="AC486" s="125"/>
      <c r="AD486" s="125"/>
    </row>
    <row r="487">
      <c r="A487" s="124"/>
      <c r="B487" s="125"/>
      <c r="C487" s="125"/>
      <c r="D487" s="125"/>
      <c r="E487" s="125"/>
      <c r="F487" s="125"/>
      <c r="G487" s="125"/>
      <c r="H487" s="125"/>
      <c r="I487" s="125"/>
      <c r="J487" s="125"/>
      <c r="K487" s="125"/>
      <c r="L487" s="125"/>
      <c r="M487" s="125"/>
      <c r="N487" s="125"/>
      <c r="O487" s="125"/>
      <c r="P487" s="125"/>
      <c r="Q487" s="125"/>
      <c r="R487" s="125"/>
      <c r="S487" s="125"/>
      <c r="T487" s="125"/>
      <c r="U487" s="125"/>
      <c r="V487" s="125"/>
      <c r="W487" s="125"/>
      <c r="X487" s="125"/>
      <c r="Y487" s="125"/>
      <c r="Z487" s="125"/>
      <c r="AA487" s="125"/>
      <c r="AB487" s="125"/>
      <c r="AC487" s="125"/>
      <c r="AD487" s="125"/>
    </row>
    <row r="488">
      <c r="A488" s="124"/>
      <c r="B488" s="125"/>
      <c r="C488" s="125"/>
      <c r="D488" s="125"/>
      <c r="E488" s="125"/>
      <c r="F488" s="125"/>
      <c r="G488" s="125"/>
      <c r="H488" s="125"/>
      <c r="I488" s="125"/>
      <c r="J488" s="125"/>
      <c r="K488" s="125"/>
      <c r="L488" s="125"/>
      <c r="M488" s="125"/>
      <c r="N488" s="125"/>
      <c r="O488" s="125"/>
      <c r="P488" s="125"/>
      <c r="Q488" s="125"/>
      <c r="R488" s="125"/>
      <c r="S488" s="125"/>
      <c r="T488" s="125"/>
      <c r="U488" s="125"/>
      <c r="V488" s="125"/>
      <c r="W488" s="125"/>
      <c r="X488" s="125"/>
      <c r="Y488" s="125"/>
      <c r="Z488" s="125"/>
      <c r="AA488" s="125"/>
      <c r="AB488" s="125"/>
      <c r="AC488" s="125"/>
      <c r="AD488" s="125"/>
    </row>
    <row r="489">
      <c r="A489" s="124"/>
      <c r="B489" s="125"/>
      <c r="C489" s="125"/>
      <c r="D489" s="125"/>
      <c r="E489" s="125"/>
      <c r="F489" s="125"/>
      <c r="G489" s="125"/>
      <c r="H489" s="125"/>
      <c r="I489" s="125"/>
      <c r="J489" s="125"/>
      <c r="K489" s="125"/>
      <c r="L489" s="125"/>
      <c r="M489" s="125"/>
      <c r="N489" s="125"/>
      <c r="O489" s="125"/>
      <c r="P489" s="125"/>
      <c r="Q489" s="125"/>
      <c r="R489" s="125"/>
      <c r="S489" s="125"/>
      <c r="T489" s="125"/>
      <c r="U489" s="125"/>
      <c r="V489" s="125"/>
      <c r="W489" s="125"/>
      <c r="X489" s="125"/>
      <c r="Y489" s="125"/>
      <c r="Z489" s="125"/>
      <c r="AA489" s="125"/>
      <c r="AB489" s="125"/>
      <c r="AC489" s="125"/>
      <c r="AD489" s="125"/>
    </row>
    <row r="490">
      <c r="A490" s="124"/>
      <c r="B490" s="125"/>
      <c r="C490" s="125"/>
      <c r="D490" s="125"/>
      <c r="E490" s="125"/>
      <c r="F490" s="125"/>
      <c r="G490" s="125"/>
      <c r="H490" s="125"/>
      <c r="I490" s="125"/>
      <c r="J490" s="125"/>
      <c r="K490" s="125"/>
      <c r="L490" s="125"/>
      <c r="M490" s="125"/>
      <c r="N490" s="125"/>
      <c r="O490" s="125"/>
      <c r="P490" s="125"/>
      <c r="Q490" s="125"/>
      <c r="R490" s="125"/>
      <c r="S490" s="125"/>
      <c r="T490" s="125"/>
      <c r="U490" s="125"/>
      <c r="V490" s="125"/>
      <c r="W490" s="125"/>
      <c r="X490" s="125"/>
      <c r="Y490" s="125"/>
      <c r="Z490" s="125"/>
      <c r="AA490" s="125"/>
      <c r="AB490" s="125"/>
      <c r="AC490" s="125"/>
      <c r="AD490" s="125"/>
    </row>
    <row r="491">
      <c r="A491" s="124"/>
      <c r="B491" s="125"/>
      <c r="C491" s="125"/>
      <c r="D491" s="125"/>
      <c r="E491" s="125"/>
      <c r="F491" s="125"/>
      <c r="G491" s="125"/>
      <c r="H491" s="125"/>
      <c r="I491" s="125"/>
      <c r="J491" s="125"/>
      <c r="K491" s="125"/>
      <c r="L491" s="125"/>
      <c r="M491" s="125"/>
      <c r="N491" s="125"/>
      <c r="O491" s="125"/>
      <c r="P491" s="125"/>
      <c r="Q491" s="125"/>
      <c r="R491" s="125"/>
      <c r="S491" s="125"/>
      <c r="T491" s="125"/>
      <c r="U491" s="125"/>
      <c r="V491" s="125"/>
      <c r="W491" s="125"/>
      <c r="X491" s="125"/>
      <c r="Y491" s="125"/>
      <c r="Z491" s="125"/>
      <c r="AA491" s="125"/>
      <c r="AB491" s="125"/>
      <c r="AC491" s="125"/>
      <c r="AD491" s="125"/>
    </row>
    <row r="492">
      <c r="A492" s="124"/>
      <c r="B492" s="125"/>
      <c r="C492" s="125"/>
      <c r="D492" s="125"/>
      <c r="E492" s="125"/>
      <c r="F492" s="125"/>
      <c r="G492" s="125"/>
      <c r="H492" s="125"/>
      <c r="I492" s="125"/>
      <c r="J492" s="125"/>
      <c r="K492" s="125"/>
      <c r="L492" s="125"/>
      <c r="M492" s="125"/>
      <c r="N492" s="125"/>
      <c r="O492" s="125"/>
      <c r="P492" s="125"/>
      <c r="Q492" s="125"/>
      <c r="R492" s="125"/>
      <c r="S492" s="125"/>
      <c r="T492" s="125"/>
      <c r="U492" s="125"/>
      <c r="V492" s="125"/>
      <c r="W492" s="125"/>
      <c r="X492" s="125"/>
      <c r="Y492" s="125"/>
      <c r="Z492" s="125"/>
      <c r="AA492" s="125"/>
      <c r="AB492" s="125"/>
      <c r="AC492" s="125"/>
      <c r="AD492" s="125"/>
    </row>
    <row r="493">
      <c r="A493" s="124"/>
      <c r="B493" s="125"/>
      <c r="C493" s="125"/>
      <c r="D493" s="125"/>
      <c r="E493" s="125"/>
      <c r="F493" s="125"/>
      <c r="G493" s="125"/>
      <c r="H493" s="125"/>
      <c r="I493" s="125"/>
      <c r="J493" s="125"/>
      <c r="K493" s="125"/>
      <c r="L493" s="125"/>
      <c r="M493" s="125"/>
      <c r="N493" s="125"/>
      <c r="O493" s="125"/>
      <c r="P493" s="125"/>
      <c r="Q493" s="125"/>
      <c r="R493" s="125"/>
      <c r="S493" s="125"/>
      <c r="T493" s="125"/>
      <c r="U493" s="125"/>
      <c r="V493" s="125"/>
      <c r="W493" s="125"/>
      <c r="X493" s="125"/>
      <c r="Y493" s="125"/>
      <c r="Z493" s="125"/>
      <c r="AA493" s="125"/>
      <c r="AB493" s="125"/>
      <c r="AC493" s="125"/>
      <c r="AD493" s="125"/>
    </row>
    <row r="494">
      <c r="A494" s="124"/>
      <c r="B494" s="125"/>
      <c r="C494" s="125"/>
      <c r="D494" s="125"/>
      <c r="E494" s="125"/>
      <c r="F494" s="125"/>
      <c r="G494" s="125"/>
      <c r="H494" s="125"/>
      <c r="I494" s="125"/>
      <c r="J494" s="125"/>
      <c r="K494" s="125"/>
      <c r="L494" s="125"/>
      <c r="M494" s="125"/>
      <c r="N494" s="125"/>
      <c r="O494" s="125"/>
      <c r="P494" s="125"/>
      <c r="Q494" s="125"/>
      <c r="R494" s="125"/>
      <c r="S494" s="125"/>
      <c r="T494" s="125"/>
      <c r="U494" s="125"/>
      <c r="V494" s="125"/>
      <c r="W494" s="125"/>
      <c r="X494" s="125"/>
      <c r="Y494" s="125"/>
      <c r="Z494" s="125"/>
      <c r="AA494" s="125"/>
      <c r="AB494" s="125"/>
      <c r="AC494" s="125"/>
      <c r="AD494" s="125"/>
    </row>
    <row r="495">
      <c r="A495" s="124"/>
      <c r="B495" s="125"/>
      <c r="C495" s="125"/>
      <c r="D495" s="125"/>
      <c r="E495" s="125"/>
      <c r="F495" s="125"/>
      <c r="G495" s="125"/>
      <c r="H495" s="125"/>
      <c r="I495" s="125"/>
      <c r="J495" s="125"/>
      <c r="K495" s="125"/>
      <c r="L495" s="125"/>
      <c r="M495" s="125"/>
      <c r="N495" s="125"/>
      <c r="O495" s="125"/>
      <c r="P495" s="125"/>
      <c r="Q495" s="125"/>
      <c r="R495" s="125"/>
      <c r="S495" s="125"/>
      <c r="T495" s="125"/>
      <c r="U495" s="125"/>
      <c r="V495" s="125"/>
      <c r="W495" s="125"/>
      <c r="X495" s="125"/>
      <c r="Y495" s="125"/>
      <c r="Z495" s="125"/>
      <c r="AA495" s="125"/>
      <c r="AB495" s="125"/>
      <c r="AC495" s="125"/>
      <c r="AD495" s="125"/>
    </row>
    <row r="496">
      <c r="A496" s="124"/>
      <c r="B496" s="125"/>
      <c r="C496" s="125"/>
      <c r="D496" s="125"/>
      <c r="E496" s="125"/>
      <c r="F496" s="125"/>
      <c r="G496" s="125"/>
      <c r="H496" s="125"/>
      <c r="I496" s="125"/>
      <c r="J496" s="125"/>
      <c r="K496" s="125"/>
      <c r="L496" s="125"/>
      <c r="M496" s="125"/>
      <c r="N496" s="125"/>
      <c r="O496" s="125"/>
      <c r="P496" s="125"/>
      <c r="Q496" s="125"/>
      <c r="R496" s="125"/>
      <c r="S496" s="125"/>
      <c r="T496" s="125"/>
      <c r="U496" s="125"/>
      <c r="V496" s="125"/>
      <c r="W496" s="125"/>
      <c r="X496" s="125"/>
      <c r="Y496" s="125"/>
      <c r="Z496" s="125"/>
      <c r="AA496" s="125"/>
      <c r="AB496" s="125"/>
      <c r="AC496" s="125"/>
      <c r="AD496" s="125"/>
    </row>
    <row r="497">
      <c r="A497" s="124"/>
      <c r="B497" s="125"/>
      <c r="C497" s="125"/>
      <c r="D497" s="125"/>
      <c r="E497" s="125"/>
      <c r="F497" s="125"/>
      <c r="G497" s="125"/>
      <c r="H497" s="125"/>
      <c r="I497" s="125"/>
      <c r="J497" s="125"/>
      <c r="K497" s="125"/>
      <c r="L497" s="125"/>
      <c r="M497" s="125"/>
      <c r="N497" s="125"/>
      <c r="O497" s="125"/>
      <c r="P497" s="125"/>
      <c r="Q497" s="125"/>
      <c r="R497" s="125"/>
      <c r="S497" s="125"/>
      <c r="T497" s="125"/>
      <c r="U497" s="125"/>
      <c r="V497" s="125"/>
      <c r="W497" s="125"/>
      <c r="X497" s="125"/>
      <c r="Y497" s="125"/>
      <c r="Z497" s="125"/>
      <c r="AA497" s="125"/>
      <c r="AB497" s="125"/>
      <c r="AC497" s="125"/>
      <c r="AD497" s="125"/>
    </row>
    <row r="498">
      <c r="A498" s="124"/>
      <c r="B498" s="125"/>
      <c r="C498" s="125"/>
      <c r="D498" s="125"/>
      <c r="E498" s="125"/>
      <c r="F498" s="125"/>
      <c r="G498" s="125"/>
      <c r="H498" s="125"/>
      <c r="I498" s="125"/>
      <c r="J498" s="125"/>
      <c r="K498" s="125"/>
      <c r="L498" s="125"/>
      <c r="M498" s="125"/>
      <c r="N498" s="125"/>
      <c r="O498" s="125"/>
      <c r="P498" s="125"/>
      <c r="Q498" s="125"/>
      <c r="R498" s="125"/>
      <c r="S498" s="125"/>
      <c r="T498" s="125"/>
      <c r="U498" s="125"/>
      <c r="V498" s="125"/>
      <c r="W498" s="125"/>
      <c r="X498" s="125"/>
      <c r="Y498" s="125"/>
      <c r="Z498" s="125"/>
      <c r="AA498" s="125"/>
      <c r="AB498" s="125"/>
      <c r="AC498" s="125"/>
      <c r="AD498" s="125"/>
    </row>
    <row r="499">
      <c r="A499" s="124"/>
      <c r="B499" s="125"/>
      <c r="C499" s="125"/>
      <c r="D499" s="125"/>
      <c r="E499" s="125"/>
      <c r="F499" s="125"/>
      <c r="G499" s="125"/>
      <c r="H499" s="125"/>
      <c r="I499" s="125"/>
      <c r="J499" s="125"/>
      <c r="K499" s="125"/>
      <c r="L499" s="125"/>
      <c r="M499" s="125"/>
      <c r="N499" s="125"/>
      <c r="O499" s="125"/>
      <c r="P499" s="125"/>
      <c r="Q499" s="125"/>
      <c r="R499" s="125"/>
      <c r="S499" s="125"/>
      <c r="T499" s="125"/>
      <c r="U499" s="125"/>
      <c r="V499" s="125"/>
      <c r="W499" s="125"/>
      <c r="X499" s="125"/>
      <c r="Y499" s="125"/>
      <c r="Z499" s="125"/>
      <c r="AA499" s="125"/>
      <c r="AB499" s="125"/>
      <c r="AC499" s="125"/>
      <c r="AD499" s="125"/>
    </row>
    <row r="500">
      <c r="A500" s="124"/>
      <c r="B500" s="125"/>
      <c r="C500" s="125"/>
      <c r="D500" s="125"/>
      <c r="E500" s="125"/>
      <c r="F500" s="125"/>
      <c r="G500" s="125"/>
      <c r="H500" s="125"/>
      <c r="I500" s="125"/>
      <c r="J500" s="125"/>
      <c r="K500" s="125"/>
      <c r="L500" s="125"/>
      <c r="M500" s="125"/>
      <c r="N500" s="125"/>
      <c r="O500" s="125"/>
      <c r="P500" s="125"/>
      <c r="Q500" s="125"/>
      <c r="R500" s="125"/>
      <c r="S500" s="125"/>
      <c r="T500" s="125"/>
      <c r="U500" s="125"/>
      <c r="V500" s="125"/>
      <c r="W500" s="125"/>
      <c r="X500" s="125"/>
      <c r="Y500" s="125"/>
      <c r="Z500" s="125"/>
      <c r="AA500" s="125"/>
      <c r="AB500" s="125"/>
      <c r="AC500" s="125"/>
      <c r="AD500" s="125"/>
    </row>
    <row r="501">
      <c r="A501" s="124"/>
      <c r="B501" s="125"/>
      <c r="C501" s="125"/>
      <c r="D501" s="125"/>
      <c r="E501" s="125"/>
      <c r="F501" s="125"/>
      <c r="G501" s="125"/>
      <c r="H501" s="125"/>
      <c r="I501" s="125"/>
      <c r="J501" s="125"/>
      <c r="K501" s="125"/>
      <c r="L501" s="125"/>
      <c r="M501" s="125"/>
      <c r="N501" s="125"/>
      <c r="O501" s="125"/>
      <c r="P501" s="125"/>
      <c r="Q501" s="125"/>
      <c r="R501" s="125"/>
      <c r="S501" s="125"/>
      <c r="T501" s="125"/>
      <c r="U501" s="125"/>
      <c r="V501" s="125"/>
      <c r="W501" s="125"/>
      <c r="X501" s="125"/>
      <c r="Y501" s="125"/>
      <c r="Z501" s="125"/>
      <c r="AA501" s="125"/>
      <c r="AB501" s="125"/>
      <c r="AC501" s="125"/>
      <c r="AD501" s="125"/>
    </row>
    <row r="502">
      <c r="A502" s="124"/>
      <c r="B502" s="125"/>
      <c r="C502" s="125"/>
      <c r="D502" s="125"/>
      <c r="E502" s="125"/>
      <c r="F502" s="125"/>
      <c r="G502" s="125"/>
      <c r="H502" s="125"/>
      <c r="I502" s="125"/>
      <c r="J502" s="125"/>
      <c r="K502" s="125"/>
      <c r="L502" s="125"/>
      <c r="M502" s="125"/>
      <c r="N502" s="125"/>
      <c r="O502" s="125"/>
      <c r="P502" s="125"/>
      <c r="Q502" s="125"/>
      <c r="R502" s="125"/>
      <c r="S502" s="125"/>
      <c r="T502" s="125"/>
      <c r="U502" s="125"/>
      <c r="V502" s="125"/>
      <c r="W502" s="125"/>
      <c r="X502" s="125"/>
      <c r="Y502" s="125"/>
      <c r="Z502" s="125"/>
      <c r="AA502" s="125"/>
      <c r="AB502" s="125"/>
      <c r="AC502" s="125"/>
      <c r="AD502" s="125"/>
    </row>
    <row r="503">
      <c r="A503" s="124"/>
      <c r="B503" s="125"/>
      <c r="C503" s="125"/>
      <c r="D503" s="125"/>
      <c r="E503" s="125"/>
      <c r="F503" s="125"/>
      <c r="G503" s="125"/>
      <c r="H503" s="125"/>
      <c r="I503" s="125"/>
      <c r="J503" s="125"/>
      <c r="K503" s="125"/>
      <c r="L503" s="125"/>
      <c r="M503" s="125"/>
      <c r="N503" s="125"/>
      <c r="O503" s="125"/>
      <c r="P503" s="125"/>
      <c r="Q503" s="125"/>
      <c r="R503" s="125"/>
      <c r="S503" s="125"/>
      <c r="T503" s="125"/>
      <c r="U503" s="125"/>
      <c r="V503" s="125"/>
      <c r="W503" s="125"/>
      <c r="X503" s="125"/>
      <c r="Y503" s="125"/>
      <c r="Z503" s="125"/>
      <c r="AA503" s="125"/>
      <c r="AB503" s="125"/>
      <c r="AC503" s="125"/>
      <c r="AD503" s="125"/>
    </row>
    <row r="504">
      <c r="A504" s="124"/>
      <c r="B504" s="125"/>
      <c r="C504" s="125"/>
      <c r="D504" s="125"/>
      <c r="E504" s="125"/>
      <c r="F504" s="125"/>
      <c r="G504" s="125"/>
      <c r="H504" s="125"/>
      <c r="I504" s="125"/>
      <c r="J504" s="125"/>
      <c r="K504" s="125"/>
      <c r="L504" s="125"/>
      <c r="M504" s="125"/>
      <c r="N504" s="125"/>
      <c r="O504" s="125"/>
      <c r="P504" s="125"/>
      <c r="Q504" s="125"/>
      <c r="R504" s="125"/>
      <c r="S504" s="125"/>
      <c r="T504" s="125"/>
      <c r="U504" s="125"/>
      <c r="V504" s="125"/>
      <c r="W504" s="125"/>
      <c r="X504" s="125"/>
      <c r="Y504" s="125"/>
      <c r="Z504" s="125"/>
      <c r="AA504" s="125"/>
      <c r="AB504" s="125"/>
      <c r="AC504" s="125"/>
      <c r="AD504" s="125"/>
    </row>
    <row r="505">
      <c r="A505" s="124"/>
      <c r="B505" s="125"/>
      <c r="C505" s="125"/>
      <c r="D505" s="125"/>
      <c r="E505" s="125"/>
      <c r="F505" s="125"/>
      <c r="G505" s="125"/>
      <c r="H505" s="125"/>
      <c r="I505" s="125"/>
      <c r="J505" s="125"/>
      <c r="K505" s="125"/>
      <c r="L505" s="125"/>
      <c r="M505" s="125"/>
      <c r="N505" s="125"/>
      <c r="O505" s="125"/>
      <c r="P505" s="125"/>
      <c r="Q505" s="125"/>
      <c r="R505" s="125"/>
      <c r="S505" s="125"/>
      <c r="T505" s="125"/>
      <c r="U505" s="125"/>
      <c r="V505" s="125"/>
      <c r="W505" s="125"/>
      <c r="X505" s="125"/>
      <c r="Y505" s="125"/>
      <c r="Z505" s="125"/>
      <c r="AA505" s="125"/>
      <c r="AB505" s="125"/>
      <c r="AC505" s="125"/>
      <c r="AD505" s="125"/>
    </row>
    <row r="506">
      <c r="A506" s="124"/>
      <c r="B506" s="125"/>
      <c r="C506" s="125"/>
      <c r="D506" s="125"/>
      <c r="E506" s="125"/>
      <c r="F506" s="125"/>
      <c r="G506" s="125"/>
      <c r="H506" s="125"/>
      <c r="I506" s="125"/>
      <c r="J506" s="125"/>
      <c r="K506" s="125"/>
      <c r="L506" s="125"/>
      <c r="M506" s="125"/>
      <c r="N506" s="125"/>
      <c r="O506" s="125"/>
      <c r="P506" s="125"/>
      <c r="Q506" s="125"/>
      <c r="R506" s="125"/>
      <c r="S506" s="125"/>
      <c r="T506" s="125"/>
      <c r="U506" s="125"/>
      <c r="V506" s="125"/>
      <c r="W506" s="125"/>
      <c r="X506" s="125"/>
      <c r="Y506" s="125"/>
      <c r="Z506" s="125"/>
      <c r="AA506" s="125"/>
      <c r="AB506" s="125"/>
      <c r="AC506" s="125"/>
      <c r="AD506" s="125"/>
    </row>
    <row r="507">
      <c r="A507" s="124"/>
      <c r="B507" s="125"/>
      <c r="C507" s="125"/>
      <c r="D507" s="125"/>
      <c r="E507" s="125"/>
      <c r="F507" s="125"/>
      <c r="G507" s="125"/>
      <c r="H507" s="125"/>
      <c r="I507" s="125"/>
      <c r="J507" s="125"/>
      <c r="K507" s="125"/>
      <c r="L507" s="125"/>
      <c r="M507" s="125"/>
      <c r="N507" s="125"/>
      <c r="O507" s="125"/>
      <c r="P507" s="125"/>
      <c r="Q507" s="125"/>
      <c r="R507" s="125"/>
      <c r="S507" s="125"/>
      <c r="T507" s="125"/>
      <c r="U507" s="125"/>
      <c r="V507" s="125"/>
      <c r="W507" s="125"/>
      <c r="X507" s="125"/>
      <c r="Y507" s="125"/>
      <c r="Z507" s="125"/>
      <c r="AA507" s="125"/>
      <c r="AB507" s="125"/>
      <c r="AC507" s="125"/>
      <c r="AD507" s="125"/>
    </row>
    <row r="508">
      <c r="A508" s="124"/>
      <c r="B508" s="125"/>
      <c r="C508" s="125"/>
      <c r="D508" s="125"/>
      <c r="E508" s="125"/>
      <c r="F508" s="125"/>
      <c r="G508" s="125"/>
      <c r="H508" s="125"/>
      <c r="I508" s="125"/>
      <c r="J508" s="125"/>
      <c r="K508" s="125"/>
      <c r="L508" s="125"/>
      <c r="M508" s="125"/>
      <c r="N508" s="125"/>
      <c r="O508" s="125"/>
      <c r="P508" s="125"/>
      <c r="Q508" s="125"/>
      <c r="R508" s="125"/>
      <c r="S508" s="125"/>
      <c r="T508" s="125"/>
      <c r="U508" s="125"/>
      <c r="V508" s="125"/>
      <c r="W508" s="125"/>
      <c r="X508" s="125"/>
      <c r="Y508" s="125"/>
      <c r="Z508" s="125"/>
      <c r="AA508" s="125"/>
      <c r="AB508" s="125"/>
      <c r="AC508" s="125"/>
      <c r="AD508" s="125"/>
    </row>
    <row r="509">
      <c r="A509" s="124"/>
      <c r="B509" s="125"/>
      <c r="C509" s="125"/>
      <c r="D509" s="125"/>
      <c r="E509" s="125"/>
      <c r="F509" s="125"/>
      <c r="G509" s="125"/>
      <c r="H509" s="125"/>
      <c r="I509" s="125"/>
      <c r="J509" s="125"/>
      <c r="K509" s="125"/>
      <c r="L509" s="125"/>
      <c r="M509" s="125"/>
      <c r="N509" s="125"/>
      <c r="O509" s="125"/>
      <c r="P509" s="125"/>
      <c r="Q509" s="125"/>
      <c r="R509" s="125"/>
      <c r="S509" s="125"/>
      <c r="T509" s="125"/>
      <c r="U509" s="125"/>
      <c r="V509" s="125"/>
      <c r="W509" s="125"/>
      <c r="X509" s="125"/>
      <c r="Y509" s="125"/>
      <c r="Z509" s="125"/>
      <c r="AA509" s="125"/>
      <c r="AB509" s="125"/>
      <c r="AC509" s="125"/>
      <c r="AD509" s="125"/>
    </row>
    <row r="510">
      <c r="A510" s="124"/>
      <c r="B510" s="125"/>
      <c r="C510" s="125"/>
      <c r="D510" s="125"/>
      <c r="E510" s="125"/>
      <c r="F510" s="125"/>
      <c r="G510" s="125"/>
      <c r="H510" s="125"/>
      <c r="I510" s="125"/>
      <c r="J510" s="125"/>
      <c r="K510" s="125"/>
      <c r="L510" s="125"/>
      <c r="M510" s="125"/>
      <c r="N510" s="125"/>
      <c r="O510" s="125"/>
      <c r="P510" s="125"/>
      <c r="Q510" s="125"/>
      <c r="R510" s="125"/>
      <c r="S510" s="125"/>
      <c r="T510" s="125"/>
      <c r="U510" s="125"/>
      <c r="V510" s="125"/>
      <c r="W510" s="125"/>
      <c r="X510" s="125"/>
      <c r="Y510" s="125"/>
      <c r="Z510" s="125"/>
      <c r="AA510" s="125"/>
      <c r="AB510" s="125"/>
      <c r="AC510" s="125"/>
      <c r="AD510" s="125"/>
    </row>
    <row r="511">
      <c r="A511" s="124"/>
      <c r="B511" s="125"/>
      <c r="C511" s="125"/>
      <c r="D511" s="125"/>
      <c r="E511" s="125"/>
      <c r="F511" s="125"/>
      <c r="G511" s="125"/>
      <c r="H511" s="125"/>
      <c r="I511" s="125"/>
      <c r="J511" s="125"/>
      <c r="K511" s="125"/>
      <c r="L511" s="125"/>
      <c r="M511" s="125"/>
      <c r="N511" s="125"/>
      <c r="O511" s="125"/>
      <c r="P511" s="125"/>
      <c r="Q511" s="125"/>
      <c r="R511" s="125"/>
      <c r="S511" s="125"/>
      <c r="T511" s="125"/>
      <c r="U511" s="125"/>
      <c r="V511" s="125"/>
      <c r="W511" s="125"/>
      <c r="X511" s="125"/>
      <c r="Y511" s="125"/>
      <c r="Z511" s="125"/>
      <c r="AA511" s="125"/>
      <c r="AB511" s="125"/>
      <c r="AC511" s="125"/>
      <c r="AD511" s="125"/>
    </row>
    <row r="512">
      <c r="A512" s="124"/>
      <c r="B512" s="125"/>
      <c r="C512" s="125"/>
      <c r="D512" s="125"/>
      <c r="E512" s="125"/>
      <c r="F512" s="125"/>
      <c r="G512" s="125"/>
      <c r="H512" s="125"/>
      <c r="I512" s="125"/>
      <c r="J512" s="125"/>
      <c r="K512" s="125"/>
      <c r="L512" s="125"/>
      <c r="M512" s="125"/>
      <c r="N512" s="125"/>
      <c r="O512" s="125"/>
      <c r="P512" s="125"/>
      <c r="Q512" s="125"/>
      <c r="R512" s="125"/>
      <c r="S512" s="125"/>
      <c r="T512" s="125"/>
      <c r="U512" s="125"/>
      <c r="V512" s="125"/>
      <c r="W512" s="125"/>
      <c r="X512" s="125"/>
      <c r="Y512" s="125"/>
      <c r="Z512" s="125"/>
      <c r="AA512" s="125"/>
      <c r="AB512" s="125"/>
      <c r="AC512" s="125"/>
      <c r="AD512" s="125"/>
    </row>
    <row r="513">
      <c r="A513" s="124"/>
      <c r="B513" s="125"/>
      <c r="C513" s="125"/>
      <c r="D513" s="125"/>
      <c r="E513" s="125"/>
      <c r="F513" s="125"/>
      <c r="G513" s="125"/>
      <c r="H513" s="125"/>
      <c r="I513" s="125"/>
      <c r="J513" s="125"/>
      <c r="K513" s="125"/>
      <c r="L513" s="125"/>
      <c r="M513" s="125"/>
      <c r="N513" s="125"/>
      <c r="O513" s="125"/>
      <c r="P513" s="125"/>
      <c r="Q513" s="125"/>
      <c r="R513" s="125"/>
      <c r="S513" s="125"/>
      <c r="T513" s="125"/>
      <c r="U513" s="125"/>
      <c r="V513" s="125"/>
      <c r="W513" s="125"/>
      <c r="X513" s="125"/>
      <c r="Y513" s="125"/>
      <c r="Z513" s="125"/>
      <c r="AA513" s="125"/>
      <c r="AB513" s="125"/>
      <c r="AC513" s="125"/>
      <c r="AD513" s="125"/>
    </row>
    <row r="514">
      <c r="A514" s="124"/>
      <c r="B514" s="125"/>
      <c r="C514" s="125"/>
      <c r="D514" s="125"/>
      <c r="E514" s="125"/>
      <c r="F514" s="125"/>
      <c r="G514" s="125"/>
      <c r="H514" s="125"/>
      <c r="I514" s="125"/>
      <c r="J514" s="125"/>
      <c r="K514" s="125"/>
      <c r="L514" s="125"/>
      <c r="M514" s="125"/>
      <c r="N514" s="125"/>
      <c r="O514" s="125"/>
      <c r="P514" s="125"/>
      <c r="Q514" s="125"/>
      <c r="R514" s="125"/>
      <c r="S514" s="125"/>
      <c r="T514" s="125"/>
      <c r="U514" s="125"/>
      <c r="V514" s="125"/>
      <c r="W514" s="125"/>
      <c r="X514" s="125"/>
      <c r="Y514" s="125"/>
      <c r="Z514" s="125"/>
      <c r="AA514" s="125"/>
      <c r="AB514" s="125"/>
      <c r="AC514" s="125"/>
      <c r="AD514" s="125"/>
    </row>
    <row r="515">
      <c r="A515" s="124"/>
      <c r="B515" s="125"/>
      <c r="C515" s="125"/>
      <c r="D515" s="125"/>
      <c r="E515" s="125"/>
      <c r="F515" s="125"/>
      <c r="G515" s="125"/>
      <c r="H515" s="125"/>
      <c r="I515" s="125"/>
      <c r="J515" s="125"/>
      <c r="K515" s="125"/>
      <c r="L515" s="125"/>
      <c r="M515" s="125"/>
      <c r="N515" s="125"/>
      <c r="O515" s="125"/>
      <c r="P515" s="125"/>
      <c r="Q515" s="125"/>
      <c r="R515" s="125"/>
      <c r="S515" s="125"/>
      <c r="T515" s="125"/>
      <c r="U515" s="125"/>
      <c r="V515" s="125"/>
      <c r="W515" s="125"/>
      <c r="X515" s="125"/>
      <c r="Y515" s="125"/>
      <c r="Z515" s="125"/>
      <c r="AA515" s="125"/>
      <c r="AB515" s="125"/>
      <c r="AC515" s="125"/>
      <c r="AD515" s="125"/>
    </row>
    <row r="516">
      <c r="A516" s="124"/>
      <c r="B516" s="125"/>
      <c r="C516" s="125"/>
      <c r="D516" s="125"/>
      <c r="E516" s="125"/>
      <c r="F516" s="125"/>
      <c r="G516" s="125"/>
      <c r="H516" s="125"/>
      <c r="I516" s="125"/>
      <c r="J516" s="125"/>
      <c r="K516" s="125"/>
      <c r="L516" s="125"/>
      <c r="M516" s="125"/>
      <c r="N516" s="125"/>
      <c r="O516" s="125"/>
      <c r="P516" s="125"/>
      <c r="Q516" s="125"/>
      <c r="R516" s="125"/>
      <c r="S516" s="125"/>
      <c r="T516" s="125"/>
      <c r="U516" s="125"/>
      <c r="V516" s="125"/>
      <c r="W516" s="125"/>
      <c r="X516" s="125"/>
      <c r="Y516" s="125"/>
      <c r="Z516" s="125"/>
      <c r="AA516" s="125"/>
      <c r="AB516" s="125"/>
      <c r="AC516" s="125"/>
      <c r="AD516" s="125"/>
    </row>
    <row r="517">
      <c r="A517" s="124"/>
      <c r="B517" s="125"/>
      <c r="C517" s="125"/>
      <c r="D517" s="125"/>
      <c r="E517" s="125"/>
      <c r="F517" s="125"/>
      <c r="G517" s="125"/>
      <c r="H517" s="125"/>
      <c r="I517" s="125"/>
      <c r="J517" s="125"/>
      <c r="K517" s="125"/>
      <c r="L517" s="125"/>
      <c r="M517" s="125"/>
      <c r="N517" s="125"/>
      <c r="O517" s="125"/>
      <c r="P517" s="125"/>
      <c r="Q517" s="125"/>
      <c r="R517" s="125"/>
      <c r="S517" s="125"/>
      <c r="T517" s="125"/>
      <c r="U517" s="125"/>
      <c r="V517" s="125"/>
      <c r="W517" s="125"/>
      <c r="X517" s="125"/>
      <c r="Y517" s="125"/>
      <c r="Z517" s="125"/>
      <c r="AA517" s="125"/>
      <c r="AB517" s="125"/>
      <c r="AC517" s="125"/>
      <c r="AD517" s="125"/>
    </row>
    <row r="518">
      <c r="A518" s="124"/>
      <c r="B518" s="125"/>
      <c r="C518" s="125"/>
      <c r="D518" s="125"/>
      <c r="E518" s="125"/>
      <c r="F518" s="125"/>
      <c r="G518" s="125"/>
      <c r="H518" s="125"/>
      <c r="I518" s="125"/>
      <c r="J518" s="125"/>
      <c r="K518" s="125"/>
      <c r="L518" s="125"/>
      <c r="M518" s="125"/>
      <c r="N518" s="125"/>
      <c r="O518" s="125"/>
      <c r="P518" s="125"/>
      <c r="Q518" s="125"/>
      <c r="R518" s="125"/>
      <c r="S518" s="125"/>
      <c r="T518" s="125"/>
      <c r="U518" s="125"/>
      <c r="V518" s="125"/>
      <c r="W518" s="125"/>
      <c r="X518" s="125"/>
      <c r="Y518" s="125"/>
      <c r="Z518" s="125"/>
      <c r="AA518" s="125"/>
      <c r="AB518" s="125"/>
      <c r="AC518" s="125"/>
      <c r="AD518" s="125"/>
    </row>
    <row r="519">
      <c r="A519" s="124"/>
      <c r="B519" s="125"/>
      <c r="C519" s="125"/>
      <c r="D519" s="125"/>
      <c r="E519" s="125"/>
      <c r="F519" s="125"/>
      <c r="G519" s="125"/>
      <c r="H519" s="125"/>
      <c r="I519" s="125"/>
      <c r="J519" s="125"/>
      <c r="K519" s="125"/>
      <c r="L519" s="125"/>
      <c r="M519" s="125"/>
      <c r="N519" s="125"/>
      <c r="O519" s="125"/>
      <c r="P519" s="125"/>
      <c r="Q519" s="125"/>
      <c r="R519" s="125"/>
      <c r="S519" s="125"/>
      <c r="T519" s="125"/>
      <c r="U519" s="125"/>
      <c r="V519" s="125"/>
      <c r="W519" s="125"/>
      <c r="X519" s="125"/>
      <c r="Y519" s="125"/>
      <c r="Z519" s="125"/>
      <c r="AA519" s="125"/>
      <c r="AB519" s="125"/>
      <c r="AC519" s="125"/>
      <c r="AD519" s="125"/>
    </row>
    <row r="520">
      <c r="A520" s="124"/>
      <c r="B520" s="125"/>
      <c r="C520" s="125"/>
      <c r="D520" s="125"/>
      <c r="E520" s="125"/>
      <c r="F520" s="125"/>
      <c r="G520" s="125"/>
      <c r="H520" s="125"/>
      <c r="I520" s="125"/>
      <c r="J520" s="125"/>
      <c r="K520" s="125"/>
      <c r="L520" s="125"/>
      <c r="M520" s="125"/>
      <c r="N520" s="125"/>
      <c r="O520" s="125"/>
      <c r="P520" s="125"/>
      <c r="Q520" s="125"/>
      <c r="R520" s="125"/>
      <c r="S520" s="125"/>
      <c r="T520" s="125"/>
      <c r="U520" s="125"/>
      <c r="V520" s="125"/>
      <c r="W520" s="125"/>
      <c r="X520" s="125"/>
      <c r="Y520" s="125"/>
      <c r="Z520" s="125"/>
      <c r="AA520" s="125"/>
      <c r="AB520" s="125"/>
      <c r="AC520" s="125"/>
      <c r="AD520" s="125"/>
    </row>
    <row r="521">
      <c r="A521" s="124"/>
      <c r="B521" s="125"/>
      <c r="C521" s="125"/>
      <c r="D521" s="125"/>
      <c r="E521" s="125"/>
      <c r="F521" s="125"/>
      <c r="G521" s="125"/>
      <c r="H521" s="125"/>
      <c r="I521" s="125"/>
      <c r="J521" s="125"/>
      <c r="K521" s="125"/>
      <c r="L521" s="125"/>
      <c r="M521" s="125"/>
      <c r="N521" s="125"/>
      <c r="O521" s="125"/>
      <c r="P521" s="125"/>
      <c r="Q521" s="125"/>
      <c r="R521" s="125"/>
      <c r="S521" s="125"/>
      <c r="T521" s="125"/>
      <c r="U521" s="125"/>
      <c r="V521" s="125"/>
      <c r="W521" s="125"/>
      <c r="X521" s="125"/>
      <c r="Y521" s="125"/>
      <c r="Z521" s="125"/>
      <c r="AA521" s="125"/>
      <c r="AB521" s="125"/>
      <c r="AC521" s="125"/>
      <c r="AD521" s="125"/>
    </row>
    <row r="522">
      <c r="A522" s="124"/>
      <c r="B522" s="125"/>
      <c r="C522" s="125"/>
      <c r="D522" s="125"/>
      <c r="E522" s="125"/>
      <c r="F522" s="125"/>
      <c r="G522" s="125"/>
      <c r="H522" s="125"/>
      <c r="I522" s="125"/>
      <c r="J522" s="125"/>
      <c r="K522" s="125"/>
      <c r="L522" s="125"/>
      <c r="M522" s="125"/>
      <c r="N522" s="125"/>
      <c r="O522" s="125"/>
      <c r="P522" s="125"/>
      <c r="Q522" s="125"/>
      <c r="R522" s="125"/>
      <c r="S522" s="125"/>
      <c r="T522" s="125"/>
      <c r="U522" s="125"/>
      <c r="V522" s="125"/>
      <c r="W522" s="125"/>
      <c r="X522" s="125"/>
      <c r="Y522" s="125"/>
      <c r="Z522" s="125"/>
      <c r="AA522" s="125"/>
      <c r="AB522" s="125"/>
      <c r="AC522" s="125"/>
      <c r="AD522" s="125"/>
    </row>
    <row r="523">
      <c r="A523" s="124"/>
      <c r="B523" s="125"/>
      <c r="C523" s="125"/>
      <c r="D523" s="125"/>
      <c r="E523" s="125"/>
      <c r="F523" s="125"/>
      <c r="G523" s="125"/>
      <c r="H523" s="125"/>
      <c r="I523" s="125"/>
      <c r="J523" s="125"/>
      <c r="K523" s="125"/>
      <c r="L523" s="125"/>
      <c r="M523" s="125"/>
      <c r="N523" s="125"/>
      <c r="O523" s="125"/>
      <c r="P523" s="125"/>
      <c r="Q523" s="125"/>
      <c r="R523" s="125"/>
      <c r="S523" s="125"/>
      <c r="T523" s="125"/>
      <c r="U523" s="125"/>
      <c r="V523" s="125"/>
      <c r="W523" s="125"/>
      <c r="X523" s="125"/>
      <c r="Y523" s="125"/>
      <c r="Z523" s="125"/>
      <c r="AA523" s="125"/>
      <c r="AB523" s="125"/>
      <c r="AC523" s="125"/>
      <c r="AD523" s="125"/>
    </row>
    <row r="524">
      <c r="A524" s="124"/>
      <c r="B524" s="125"/>
      <c r="C524" s="125"/>
      <c r="D524" s="125"/>
      <c r="E524" s="125"/>
      <c r="F524" s="125"/>
      <c r="G524" s="125"/>
      <c r="H524" s="125"/>
      <c r="I524" s="125"/>
      <c r="J524" s="125"/>
      <c r="K524" s="125"/>
      <c r="L524" s="125"/>
      <c r="M524" s="125"/>
      <c r="N524" s="125"/>
      <c r="O524" s="125"/>
      <c r="P524" s="125"/>
      <c r="Q524" s="125"/>
      <c r="R524" s="125"/>
      <c r="S524" s="125"/>
      <c r="T524" s="125"/>
      <c r="U524" s="125"/>
      <c r="V524" s="125"/>
      <c r="W524" s="125"/>
      <c r="X524" s="125"/>
      <c r="Y524" s="125"/>
      <c r="Z524" s="125"/>
      <c r="AA524" s="125"/>
      <c r="AB524" s="125"/>
      <c r="AC524" s="125"/>
      <c r="AD524" s="125"/>
    </row>
    <row r="525">
      <c r="A525" s="124"/>
      <c r="B525" s="125"/>
      <c r="C525" s="125"/>
      <c r="D525" s="125"/>
      <c r="E525" s="125"/>
      <c r="F525" s="125"/>
      <c r="G525" s="125"/>
      <c r="H525" s="125"/>
      <c r="I525" s="125"/>
      <c r="J525" s="125"/>
      <c r="K525" s="125"/>
      <c r="L525" s="125"/>
      <c r="M525" s="125"/>
      <c r="N525" s="125"/>
      <c r="O525" s="125"/>
      <c r="P525" s="125"/>
      <c r="Q525" s="125"/>
      <c r="R525" s="125"/>
      <c r="S525" s="125"/>
      <c r="T525" s="125"/>
      <c r="U525" s="125"/>
      <c r="V525" s="125"/>
      <c r="W525" s="125"/>
      <c r="X525" s="125"/>
      <c r="Y525" s="125"/>
      <c r="Z525" s="125"/>
      <c r="AA525" s="125"/>
      <c r="AB525" s="125"/>
      <c r="AC525" s="125"/>
      <c r="AD525" s="125"/>
    </row>
    <row r="526">
      <c r="A526" s="124"/>
      <c r="B526" s="125"/>
      <c r="C526" s="125"/>
      <c r="D526" s="125"/>
      <c r="E526" s="125"/>
      <c r="F526" s="125"/>
      <c r="G526" s="125"/>
      <c r="H526" s="125"/>
      <c r="I526" s="125"/>
      <c r="J526" s="125"/>
      <c r="K526" s="125"/>
      <c r="L526" s="125"/>
      <c r="M526" s="125"/>
      <c r="N526" s="125"/>
      <c r="O526" s="125"/>
      <c r="P526" s="125"/>
      <c r="Q526" s="125"/>
      <c r="R526" s="125"/>
      <c r="S526" s="125"/>
      <c r="T526" s="125"/>
      <c r="U526" s="125"/>
      <c r="V526" s="125"/>
      <c r="W526" s="125"/>
      <c r="X526" s="125"/>
      <c r="Y526" s="125"/>
      <c r="Z526" s="125"/>
      <c r="AA526" s="125"/>
      <c r="AB526" s="125"/>
      <c r="AC526" s="125"/>
      <c r="AD526" s="125"/>
    </row>
    <row r="527">
      <c r="A527" s="124"/>
      <c r="B527" s="125"/>
      <c r="C527" s="125"/>
      <c r="D527" s="125"/>
      <c r="E527" s="125"/>
      <c r="F527" s="125"/>
      <c r="G527" s="125"/>
      <c r="H527" s="125"/>
      <c r="I527" s="125"/>
      <c r="J527" s="125"/>
      <c r="K527" s="125"/>
      <c r="L527" s="125"/>
      <c r="M527" s="125"/>
      <c r="N527" s="125"/>
      <c r="O527" s="125"/>
      <c r="P527" s="125"/>
      <c r="Q527" s="125"/>
      <c r="R527" s="125"/>
      <c r="S527" s="125"/>
      <c r="T527" s="125"/>
      <c r="U527" s="125"/>
      <c r="V527" s="125"/>
      <c r="W527" s="125"/>
      <c r="X527" s="125"/>
      <c r="Y527" s="125"/>
      <c r="Z527" s="125"/>
      <c r="AA527" s="125"/>
      <c r="AB527" s="125"/>
      <c r="AC527" s="125"/>
      <c r="AD527" s="125"/>
    </row>
    <row r="528">
      <c r="A528" s="124"/>
      <c r="B528" s="125"/>
      <c r="C528" s="125"/>
      <c r="D528" s="125"/>
      <c r="E528" s="125"/>
      <c r="F528" s="125"/>
      <c r="G528" s="125"/>
      <c r="H528" s="125"/>
      <c r="I528" s="125"/>
      <c r="J528" s="125"/>
      <c r="K528" s="125"/>
      <c r="L528" s="125"/>
      <c r="M528" s="125"/>
      <c r="N528" s="125"/>
      <c r="O528" s="125"/>
      <c r="P528" s="125"/>
      <c r="Q528" s="125"/>
      <c r="R528" s="125"/>
      <c r="S528" s="125"/>
      <c r="T528" s="125"/>
      <c r="U528" s="125"/>
      <c r="V528" s="125"/>
      <c r="W528" s="125"/>
      <c r="X528" s="125"/>
      <c r="Y528" s="125"/>
      <c r="Z528" s="125"/>
      <c r="AA528" s="125"/>
      <c r="AB528" s="125"/>
      <c r="AC528" s="125"/>
      <c r="AD528" s="125"/>
    </row>
    <row r="529">
      <c r="A529" s="124"/>
      <c r="B529" s="125"/>
      <c r="C529" s="125"/>
      <c r="D529" s="125"/>
      <c r="E529" s="125"/>
      <c r="F529" s="125"/>
      <c r="G529" s="125"/>
      <c r="H529" s="125"/>
      <c r="I529" s="125"/>
      <c r="J529" s="125"/>
      <c r="K529" s="125"/>
      <c r="L529" s="125"/>
      <c r="M529" s="125"/>
      <c r="N529" s="125"/>
      <c r="O529" s="125"/>
      <c r="P529" s="125"/>
      <c r="Q529" s="125"/>
      <c r="R529" s="125"/>
      <c r="S529" s="125"/>
      <c r="T529" s="125"/>
      <c r="U529" s="125"/>
      <c r="V529" s="125"/>
      <c r="W529" s="125"/>
      <c r="X529" s="125"/>
      <c r="Y529" s="125"/>
      <c r="Z529" s="125"/>
      <c r="AA529" s="125"/>
      <c r="AB529" s="125"/>
      <c r="AC529" s="125"/>
      <c r="AD529" s="125"/>
    </row>
    <row r="530">
      <c r="A530" s="124"/>
      <c r="B530" s="125"/>
      <c r="C530" s="125"/>
      <c r="D530" s="125"/>
      <c r="E530" s="125"/>
      <c r="F530" s="125"/>
      <c r="G530" s="125"/>
      <c r="H530" s="125"/>
      <c r="I530" s="125"/>
      <c r="J530" s="125"/>
      <c r="K530" s="125"/>
      <c r="L530" s="125"/>
      <c r="M530" s="125"/>
      <c r="N530" s="125"/>
      <c r="O530" s="125"/>
      <c r="P530" s="125"/>
      <c r="Q530" s="125"/>
      <c r="R530" s="125"/>
      <c r="S530" s="125"/>
      <c r="T530" s="125"/>
      <c r="U530" s="125"/>
      <c r="V530" s="125"/>
      <c r="W530" s="125"/>
      <c r="X530" s="125"/>
      <c r="Y530" s="125"/>
      <c r="Z530" s="125"/>
      <c r="AA530" s="125"/>
      <c r="AB530" s="125"/>
      <c r="AC530" s="125"/>
      <c r="AD530" s="125"/>
    </row>
    <row r="531">
      <c r="A531" s="124"/>
      <c r="B531" s="125"/>
      <c r="C531" s="125"/>
      <c r="D531" s="125"/>
      <c r="E531" s="125"/>
      <c r="F531" s="125"/>
      <c r="G531" s="125"/>
      <c r="H531" s="125"/>
      <c r="I531" s="125"/>
      <c r="J531" s="125"/>
      <c r="K531" s="125"/>
      <c r="L531" s="125"/>
      <c r="M531" s="125"/>
      <c r="N531" s="125"/>
      <c r="O531" s="125"/>
      <c r="P531" s="125"/>
      <c r="Q531" s="125"/>
      <c r="R531" s="125"/>
      <c r="S531" s="125"/>
      <c r="T531" s="125"/>
      <c r="U531" s="125"/>
      <c r="V531" s="125"/>
      <c r="W531" s="125"/>
      <c r="X531" s="125"/>
      <c r="Y531" s="125"/>
      <c r="Z531" s="125"/>
      <c r="AA531" s="125"/>
      <c r="AB531" s="125"/>
      <c r="AC531" s="125"/>
      <c r="AD531" s="125"/>
    </row>
    <row r="532">
      <c r="A532" s="124"/>
      <c r="B532" s="125"/>
      <c r="C532" s="125"/>
      <c r="D532" s="125"/>
      <c r="E532" s="125"/>
      <c r="F532" s="125"/>
      <c r="G532" s="125"/>
      <c r="H532" s="125"/>
      <c r="I532" s="125"/>
      <c r="J532" s="125"/>
      <c r="K532" s="125"/>
      <c r="L532" s="125"/>
      <c r="M532" s="125"/>
      <c r="N532" s="125"/>
      <c r="O532" s="125"/>
      <c r="P532" s="125"/>
      <c r="Q532" s="125"/>
      <c r="R532" s="125"/>
      <c r="S532" s="125"/>
      <c r="T532" s="125"/>
      <c r="U532" s="125"/>
      <c r="V532" s="125"/>
      <c r="W532" s="125"/>
      <c r="X532" s="125"/>
      <c r="Y532" s="125"/>
      <c r="Z532" s="125"/>
      <c r="AA532" s="125"/>
      <c r="AB532" s="125"/>
      <c r="AC532" s="125"/>
      <c r="AD532" s="125"/>
    </row>
    <row r="533">
      <c r="A533" s="124"/>
      <c r="B533" s="125"/>
      <c r="C533" s="125"/>
      <c r="D533" s="125"/>
      <c r="E533" s="125"/>
      <c r="F533" s="125"/>
      <c r="G533" s="125"/>
      <c r="H533" s="125"/>
      <c r="I533" s="125"/>
      <c r="J533" s="125"/>
      <c r="K533" s="125"/>
      <c r="L533" s="125"/>
      <c r="M533" s="125"/>
      <c r="N533" s="125"/>
      <c r="O533" s="125"/>
      <c r="P533" s="125"/>
      <c r="Q533" s="125"/>
      <c r="R533" s="125"/>
      <c r="S533" s="125"/>
      <c r="T533" s="125"/>
      <c r="U533" s="125"/>
      <c r="V533" s="125"/>
      <c r="W533" s="125"/>
      <c r="X533" s="125"/>
      <c r="Y533" s="125"/>
      <c r="Z533" s="125"/>
      <c r="AA533" s="125"/>
      <c r="AB533" s="125"/>
      <c r="AC533" s="125"/>
      <c r="AD533" s="125"/>
    </row>
    <row r="534">
      <c r="A534" s="124"/>
      <c r="B534" s="125"/>
      <c r="C534" s="125"/>
      <c r="D534" s="125"/>
      <c r="E534" s="125"/>
      <c r="F534" s="125"/>
      <c r="G534" s="125"/>
      <c r="H534" s="125"/>
      <c r="I534" s="125"/>
      <c r="J534" s="125"/>
      <c r="K534" s="125"/>
      <c r="L534" s="125"/>
      <c r="M534" s="125"/>
      <c r="N534" s="125"/>
      <c r="O534" s="125"/>
      <c r="P534" s="125"/>
      <c r="Q534" s="125"/>
      <c r="R534" s="125"/>
      <c r="S534" s="125"/>
      <c r="T534" s="125"/>
      <c r="U534" s="125"/>
      <c r="V534" s="125"/>
      <c r="W534" s="125"/>
      <c r="X534" s="125"/>
      <c r="Y534" s="125"/>
      <c r="Z534" s="125"/>
      <c r="AA534" s="125"/>
      <c r="AB534" s="125"/>
      <c r="AC534" s="125"/>
      <c r="AD534" s="125"/>
    </row>
    <row r="535">
      <c r="A535" s="124"/>
      <c r="B535" s="125"/>
      <c r="C535" s="125"/>
      <c r="D535" s="125"/>
      <c r="E535" s="125"/>
      <c r="F535" s="125"/>
      <c r="G535" s="125"/>
      <c r="H535" s="125"/>
      <c r="I535" s="125"/>
      <c r="J535" s="125"/>
      <c r="K535" s="125"/>
      <c r="L535" s="125"/>
      <c r="M535" s="125"/>
      <c r="N535" s="125"/>
      <c r="O535" s="125"/>
      <c r="P535" s="125"/>
      <c r="Q535" s="125"/>
      <c r="R535" s="125"/>
      <c r="S535" s="125"/>
      <c r="T535" s="125"/>
      <c r="U535" s="125"/>
      <c r="V535" s="125"/>
      <c r="W535" s="125"/>
      <c r="X535" s="125"/>
      <c r="Y535" s="125"/>
      <c r="Z535" s="125"/>
      <c r="AA535" s="125"/>
      <c r="AB535" s="125"/>
      <c r="AC535" s="125"/>
      <c r="AD535" s="125"/>
    </row>
    <row r="536">
      <c r="A536" s="124"/>
      <c r="B536" s="125"/>
      <c r="C536" s="125"/>
      <c r="D536" s="125"/>
      <c r="E536" s="125"/>
      <c r="F536" s="125"/>
      <c r="G536" s="125"/>
      <c r="H536" s="125"/>
      <c r="I536" s="125"/>
      <c r="J536" s="125"/>
      <c r="K536" s="125"/>
      <c r="L536" s="125"/>
      <c r="M536" s="125"/>
      <c r="N536" s="125"/>
      <c r="O536" s="125"/>
      <c r="P536" s="125"/>
      <c r="Q536" s="125"/>
      <c r="R536" s="125"/>
      <c r="S536" s="125"/>
      <c r="T536" s="125"/>
      <c r="U536" s="125"/>
      <c r="V536" s="125"/>
      <c r="W536" s="125"/>
      <c r="X536" s="125"/>
      <c r="Y536" s="125"/>
      <c r="Z536" s="125"/>
      <c r="AA536" s="125"/>
      <c r="AB536" s="125"/>
      <c r="AC536" s="125"/>
      <c r="AD536" s="125"/>
    </row>
    <row r="537">
      <c r="A537" s="124"/>
      <c r="B537" s="125"/>
      <c r="C537" s="125"/>
      <c r="D537" s="125"/>
      <c r="E537" s="125"/>
      <c r="F537" s="125"/>
      <c r="G537" s="125"/>
      <c r="H537" s="125"/>
      <c r="I537" s="125"/>
      <c r="J537" s="125"/>
      <c r="K537" s="125"/>
      <c r="L537" s="125"/>
      <c r="M537" s="125"/>
      <c r="N537" s="125"/>
      <c r="O537" s="125"/>
      <c r="P537" s="125"/>
      <c r="Q537" s="125"/>
      <c r="R537" s="125"/>
      <c r="S537" s="125"/>
      <c r="T537" s="125"/>
      <c r="U537" s="125"/>
      <c r="V537" s="125"/>
      <c r="W537" s="125"/>
      <c r="X537" s="125"/>
      <c r="Y537" s="125"/>
      <c r="Z537" s="125"/>
      <c r="AA537" s="125"/>
      <c r="AB537" s="125"/>
      <c r="AC537" s="125"/>
      <c r="AD537" s="125"/>
    </row>
    <row r="538">
      <c r="A538" s="124"/>
      <c r="B538" s="125"/>
      <c r="C538" s="125"/>
      <c r="D538" s="125"/>
      <c r="E538" s="125"/>
      <c r="F538" s="125"/>
      <c r="G538" s="125"/>
      <c r="H538" s="125"/>
      <c r="I538" s="125"/>
      <c r="J538" s="125"/>
      <c r="K538" s="125"/>
      <c r="L538" s="125"/>
      <c r="M538" s="125"/>
      <c r="N538" s="125"/>
      <c r="O538" s="125"/>
      <c r="P538" s="125"/>
      <c r="Q538" s="125"/>
      <c r="R538" s="125"/>
      <c r="S538" s="125"/>
      <c r="T538" s="125"/>
      <c r="U538" s="125"/>
      <c r="V538" s="125"/>
      <c r="W538" s="125"/>
      <c r="X538" s="125"/>
      <c r="Y538" s="125"/>
      <c r="Z538" s="125"/>
      <c r="AA538" s="125"/>
      <c r="AB538" s="125"/>
      <c r="AC538" s="125"/>
      <c r="AD538" s="125"/>
    </row>
    <row r="539">
      <c r="A539" s="124"/>
      <c r="B539" s="125"/>
      <c r="C539" s="125"/>
      <c r="D539" s="125"/>
      <c r="E539" s="125"/>
      <c r="F539" s="125"/>
      <c r="G539" s="125"/>
      <c r="H539" s="125"/>
      <c r="I539" s="125"/>
      <c r="J539" s="125"/>
      <c r="K539" s="125"/>
      <c r="L539" s="125"/>
      <c r="M539" s="125"/>
      <c r="N539" s="125"/>
      <c r="O539" s="125"/>
      <c r="P539" s="125"/>
      <c r="Q539" s="125"/>
      <c r="R539" s="125"/>
      <c r="S539" s="125"/>
      <c r="T539" s="125"/>
      <c r="U539" s="125"/>
      <c r="V539" s="125"/>
      <c r="W539" s="125"/>
      <c r="X539" s="125"/>
      <c r="Y539" s="125"/>
      <c r="Z539" s="125"/>
      <c r="AA539" s="125"/>
      <c r="AB539" s="125"/>
      <c r="AC539" s="125"/>
      <c r="AD539" s="125"/>
    </row>
    <row r="540">
      <c r="A540" s="124"/>
      <c r="B540" s="125"/>
      <c r="C540" s="125"/>
      <c r="D540" s="125"/>
      <c r="E540" s="125"/>
      <c r="F540" s="125"/>
      <c r="G540" s="125"/>
      <c r="H540" s="125"/>
      <c r="I540" s="125"/>
      <c r="J540" s="125"/>
      <c r="K540" s="125"/>
      <c r="L540" s="125"/>
      <c r="M540" s="125"/>
      <c r="N540" s="125"/>
      <c r="O540" s="125"/>
      <c r="P540" s="125"/>
      <c r="Q540" s="125"/>
      <c r="R540" s="125"/>
      <c r="S540" s="125"/>
      <c r="T540" s="125"/>
      <c r="U540" s="125"/>
      <c r="V540" s="125"/>
      <c r="W540" s="125"/>
      <c r="X540" s="125"/>
      <c r="Y540" s="125"/>
      <c r="Z540" s="125"/>
      <c r="AA540" s="125"/>
      <c r="AB540" s="125"/>
      <c r="AC540" s="125"/>
      <c r="AD540" s="125"/>
    </row>
    <row r="541">
      <c r="A541" s="124"/>
      <c r="B541" s="125"/>
      <c r="C541" s="125"/>
      <c r="D541" s="125"/>
      <c r="E541" s="125"/>
      <c r="F541" s="125"/>
      <c r="G541" s="125"/>
      <c r="H541" s="125"/>
      <c r="I541" s="125"/>
      <c r="J541" s="125"/>
      <c r="K541" s="125"/>
      <c r="L541" s="125"/>
      <c r="M541" s="125"/>
      <c r="N541" s="125"/>
      <c r="O541" s="125"/>
      <c r="P541" s="125"/>
      <c r="Q541" s="125"/>
      <c r="R541" s="125"/>
      <c r="S541" s="125"/>
      <c r="T541" s="125"/>
      <c r="U541" s="125"/>
      <c r="V541" s="125"/>
      <c r="W541" s="125"/>
      <c r="X541" s="125"/>
      <c r="Y541" s="125"/>
      <c r="Z541" s="125"/>
      <c r="AA541" s="125"/>
      <c r="AB541" s="125"/>
      <c r="AC541" s="125"/>
      <c r="AD541" s="125"/>
    </row>
    <row r="542">
      <c r="A542" s="124"/>
      <c r="B542" s="125"/>
      <c r="C542" s="125"/>
      <c r="D542" s="125"/>
      <c r="E542" s="125"/>
      <c r="F542" s="125"/>
      <c r="G542" s="125"/>
      <c r="H542" s="125"/>
      <c r="I542" s="125"/>
      <c r="J542" s="125"/>
      <c r="K542" s="125"/>
      <c r="L542" s="125"/>
      <c r="M542" s="125"/>
      <c r="N542" s="125"/>
      <c r="O542" s="125"/>
      <c r="P542" s="125"/>
      <c r="Q542" s="125"/>
      <c r="R542" s="125"/>
      <c r="S542" s="125"/>
      <c r="T542" s="125"/>
      <c r="U542" s="125"/>
      <c r="V542" s="125"/>
      <c r="W542" s="125"/>
      <c r="X542" s="125"/>
      <c r="Y542" s="125"/>
      <c r="Z542" s="125"/>
      <c r="AA542" s="125"/>
      <c r="AB542" s="125"/>
      <c r="AC542" s="125"/>
      <c r="AD542" s="125"/>
    </row>
    <row r="543">
      <c r="A543" s="124"/>
      <c r="B543" s="125"/>
      <c r="C543" s="125"/>
      <c r="D543" s="125"/>
      <c r="E543" s="125"/>
      <c r="F543" s="125"/>
      <c r="G543" s="125"/>
      <c r="H543" s="125"/>
      <c r="I543" s="125"/>
      <c r="J543" s="125"/>
      <c r="K543" s="125"/>
      <c r="L543" s="125"/>
      <c r="M543" s="125"/>
      <c r="N543" s="125"/>
      <c r="O543" s="125"/>
      <c r="P543" s="125"/>
      <c r="Q543" s="125"/>
      <c r="R543" s="125"/>
      <c r="S543" s="125"/>
      <c r="T543" s="125"/>
      <c r="U543" s="125"/>
      <c r="V543" s="125"/>
      <c r="W543" s="125"/>
      <c r="X543" s="125"/>
      <c r="Y543" s="125"/>
      <c r="Z543" s="125"/>
      <c r="AA543" s="125"/>
      <c r="AB543" s="125"/>
      <c r="AC543" s="125"/>
      <c r="AD543" s="125"/>
    </row>
    <row r="544">
      <c r="A544" s="124"/>
      <c r="B544" s="125"/>
      <c r="C544" s="125"/>
      <c r="D544" s="125"/>
      <c r="E544" s="125"/>
      <c r="F544" s="125"/>
      <c r="G544" s="125"/>
      <c r="H544" s="125"/>
      <c r="I544" s="125"/>
      <c r="J544" s="125"/>
      <c r="K544" s="125"/>
      <c r="L544" s="125"/>
      <c r="M544" s="125"/>
      <c r="N544" s="125"/>
      <c r="O544" s="125"/>
      <c r="P544" s="125"/>
      <c r="Q544" s="125"/>
      <c r="R544" s="125"/>
      <c r="S544" s="125"/>
      <c r="T544" s="125"/>
      <c r="U544" s="125"/>
      <c r="V544" s="125"/>
      <c r="W544" s="125"/>
      <c r="X544" s="125"/>
      <c r="Y544" s="125"/>
      <c r="Z544" s="125"/>
      <c r="AA544" s="125"/>
      <c r="AB544" s="125"/>
      <c r="AC544" s="125"/>
      <c r="AD544" s="125"/>
    </row>
    <row r="545">
      <c r="A545" s="124"/>
      <c r="B545" s="125"/>
      <c r="C545" s="125"/>
      <c r="D545" s="125"/>
      <c r="E545" s="125"/>
      <c r="F545" s="125"/>
      <c r="G545" s="125"/>
      <c r="H545" s="125"/>
      <c r="I545" s="125"/>
      <c r="J545" s="125"/>
      <c r="K545" s="125"/>
      <c r="L545" s="125"/>
      <c r="M545" s="125"/>
      <c r="N545" s="125"/>
      <c r="O545" s="125"/>
      <c r="P545" s="125"/>
      <c r="Q545" s="125"/>
      <c r="R545" s="125"/>
      <c r="S545" s="125"/>
      <c r="T545" s="125"/>
      <c r="U545" s="125"/>
      <c r="V545" s="125"/>
      <c r="W545" s="125"/>
      <c r="X545" s="125"/>
      <c r="Y545" s="125"/>
      <c r="Z545" s="125"/>
      <c r="AA545" s="125"/>
      <c r="AB545" s="125"/>
      <c r="AC545" s="125"/>
      <c r="AD545" s="125"/>
    </row>
    <row r="546">
      <c r="A546" s="124"/>
      <c r="B546" s="125"/>
      <c r="C546" s="125"/>
      <c r="D546" s="125"/>
      <c r="E546" s="125"/>
      <c r="F546" s="125"/>
      <c r="G546" s="125"/>
      <c r="H546" s="125"/>
      <c r="I546" s="125"/>
      <c r="J546" s="125"/>
      <c r="K546" s="125"/>
      <c r="L546" s="125"/>
      <c r="M546" s="125"/>
      <c r="N546" s="125"/>
      <c r="O546" s="125"/>
      <c r="P546" s="125"/>
      <c r="Q546" s="125"/>
      <c r="R546" s="125"/>
      <c r="S546" s="125"/>
      <c r="T546" s="125"/>
      <c r="U546" s="125"/>
      <c r="V546" s="125"/>
      <c r="W546" s="125"/>
      <c r="X546" s="125"/>
      <c r="Y546" s="125"/>
      <c r="Z546" s="125"/>
      <c r="AA546" s="125"/>
      <c r="AB546" s="125"/>
      <c r="AC546" s="125"/>
      <c r="AD546" s="125"/>
    </row>
    <row r="547">
      <c r="A547" s="124"/>
      <c r="B547" s="125"/>
      <c r="C547" s="125"/>
      <c r="D547" s="125"/>
      <c r="E547" s="125"/>
      <c r="F547" s="125"/>
      <c r="G547" s="125"/>
      <c r="H547" s="125"/>
      <c r="I547" s="125"/>
      <c r="J547" s="125"/>
      <c r="K547" s="125"/>
      <c r="L547" s="125"/>
      <c r="M547" s="125"/>
      <c r="N547" s="125"/>
      <c r="O547" s="125"/>
      <c r="P547" s="125"/>
      <c r="Q547" s="125"/>
      <c r="R547" s="125"/>
      <c r="S547" s="125"/>
      <c r="T547" s="125"/>
      <c r="U547" s="125"/>
      <c r="V547" s="125"/>
      <c r="W547" s="125"/>
      <c r="X547" s="125"/>
      <c r="Y547" s="125"/>
      <c r="Z547" s="125"/>
      <c r="AA547" s="125"/>
      <c r="AB547" s="125"/>
      <c r="AC547" s="125"/>
      <c r="AD547" s="125"/>
    </row>
    <row r="548">
      <c r="A548" s="124"/>
      <c r="B548" s="125"/>
      <c r="C548" s="125"/>
      <c r="D548" s="125"/>
      <c r="E548" s="125"/>
      <c r="F548" s="125"/>
      <c r="G548" s="125"/>
      <c r="H548" s="125"/>
      <c r="I548" s="125"/>
      <c r="J548" s="125"/>
      <c r="K548" s="125"/>
      <c r="L548" s="125"/>
      <c r="M548" s="125"/>
      <c r="N548" s="125"/>
      <c r="O548" s="125"/>
      <c r="P548" s="125"/>
      <c r="Q548" s="125"/>
      <c r="R548" s="125"/>
      <c r="S548" s="125"/>
      <c r="T548" s="125"/>
      <c r="U548" s="125"/>
      <c r="V548" s="125"/>
      <c r="W548" s="125"/>
      <c r="X548" s="125"/>
      <c r="Y548" s="125"/>
      <c r="Z548" s="125"/>
      <c r="AA548" s="125"/>
      <c r="AB548" s="125"/>
      <c r="AC548" s="125"/>
      <c r="AD548" s="125"/>
    </row>
    <row r="549">
      <c r="A549" s="124"/>
      <c r="B549" s="125"/>
      <c r="C549" s="125"/>
      <c r="D549" s="125"/>
      <c r="E549" s="125"/>
      <c r="F549" s="125"/>
      <c r="G549" s="125"/>
      <c r="H549" s="125"/>
      <c r="I549" s="125"/>
      <c r="J549" s="125"/>
      <c r="K549" s="125"/>
      <c r="L549" s="125"/>
      <c r="M549" s="125"/>
      <c r="N549" s="125"/>
      <c r="O549" s="125"/>
      <c r="P549" s="125"/>
      <c r="Q549" s="125"/>
      <c r="R549" s="125"/>
      <c r="S549" s="125"/>
      <c r="T549" s="125"/>
      <c r="U549" s="125"/>
      <c r="V549" s="125"/>
      <c r="W549" s="125"/>
      <c r="X549" s="125"/>
      <c r="Y549" s="125"/>
      <c r="Z549" s="125"/>
      <c r="AA549" s="125"/>
      <c r="AB549" s="125"/>
      <c r="AC549" s="125"/>
      <c r="AD549" s="125"/>
    </row>
    <row r="550">
      <c r="A550" s="124"/>
      <c r="B550" s="125"/>
      <c r="C550" s="125"/>
      <c r="D550" s="125"/>
      <c r="E550" s="125"/>
      <c r="F550" s="125"/>
      <c r="G550" s="125"/>
      <c r="H550" s="125"/>
      <c r="I550" s="125"/>
      <c r="J550" s="125"/>
      <c r="K550" s="125"/>
      <c r="L550" s="125"/>
      <c r="M550" s="125"/>
      <c r="N550" s="125"/>
      <c r="O550" s="125"/>
      <c r="P550" s="125"/>
      <c r="Q550" s="125"/>
      <c r="R550" s="125"/>
      <c r="S550" s="125"/>
      <c r="T550" s="125"/>
      <c r="U550" s="125"/>
      <c r="V550" s="125"/>
      <c r="W550" s="125"/>
      <c r="X550" s="125"/>
      <c r="Y550" s="125"/>
      <c r="Z550" s="125"/>
      <c r="AA550" s="125"/>
      <c r="AB550" s="125"/>
      <c r="AC550" s="125"/>
      <c r="AD550" s="125"/>
    </row>
    <row r="551">
      <c r="A551" s="124"/>
      <c r="B551" s="125"/>
      <c r="C551" s="125"/>
      <c r="D551" s="125"/>
      <c r="E551" s="125"/>
      <c r="F551" s="125"/>
      <c r="G551" s="125"/>
      <c r="H551" s="125"/>
      <c r="I551" s="125"/>
      <c r="J551" s="125"/>
      <c r="K551" s="125"/>
      <c r="L551" s="125"/>
      <c r="M551" s="125"/>
      <c r="N551" s="125"/>
      <c r="O551" s="125"/>
      <c r="P551" s="125"/>
      <c r="Q551" s="125"/>
      <c r="R551" s="125"/>
      <c r="S551" s="125"/>
      <c r="T551" s="125"/>
      <c r="U551" s="125"/>
      <c r="V551" s="125"/>
      <c r="W551" s="125"/>
      <c r="X551" s="125"/>
      <c r="Y551" s="125"/>
      <c r="Z551" s="125"/>
      <c r="AA551" s="125"/>
      <c r="AB551" s="125"/>
      <c r="AC551" s="125"/>
      <c r="AD551" s="125"/>
    </row>
    <row r="552">
      <c r="A552" s="124"/>
      <c r="B552" s="125"/>
      <c r="C552" s="125"/>
      <c r="D552" s="125"/>
      <c r="E552" s="125"/>
      <c r="F552" s="125"/>
      <c r="G552" s="125"/>
      <c r="H552" s="125"/>
      <c r="I552" s="125"/>
      <c r="J552" s="125"/>
      <c r="K552" s="125"/>
      <c r="L552" s="125"/>
      <c r="M552" s="125"/>
      <c r="N552" s="125"/>
      <c r="O552" s="125"/>
      <c r="P552" s="125"/>
      <c r="Q552" s="125"/>
      <c r="R552" s="125"/>
      <c r="S552" s="125"/>
      <c r="T552" s="125"/>
      <c r="U552" s="125"/>
      <c r="V552" s="125"/>
      <c r="W552" s="125"/>
      <c r="X552" s="125"/>
      <c r="Y552" s="125"/>
      <c r="Z552" s="125"/>
      <c r="AA552" s="125"/>
      <c r="AB552" s="125"/>
      <c r="AC552" s="125"/>
      <c r="AD552" s="125"/>
    </row>
    <row r="553">
      <c r="A553" s="124"/>
      <c r="B553" s="125"/>
      <c r="C553" s="125"/>
      <c r="D553" s="125"/>
      <c r="E553" s="125"/>
      <c r="F553" s="125"/>
      <c r="G553" s="125"/>
      <c r="H553" s="125"/>
      <c r="I553" s="125"/>
      <c r="J553" s="125"/>
      <c r="K553" s="125"/>
      <c r="L553" s="125"/>
      <c r="M553" s="125"/>
      <c r="N553" s="125"/>
      <c r="O553" s="125"/>
      <c r="P553" s="125"/>
      <c r="Q553" s="125"/>
      <c r="R553" s="125"/>
      <c r="S553" s="125"/>
      <c r="T553" s="125"/>
      <c r="U553" s="125"/>
      <c r="V553" s="125"/>
      <c r="W553" s="125"/>
      <c r="X553" s="125"/>
      <c r="Y553" s="125"/>
      <c r="Z553" s="125"/>
      <c r="AA553" s="125"/>
      <c r="AB553" s="125"/>
      <c r="AC553" s="125"/>
      <c r="AD553" s="125"/>
    </row>
    <row r="554">
      <c r="A554" s="124"/>
      <c r="B554" s="125"/>
      <c r="C554" s="125"/>
      <c r="D554" s="125"/>
      <c r="E554" s="125"/>
      <c r="F554" s="125"/>
      <c r="G554" s="125"/>
      <c r="H554" s="125"/>
      <c r="I554" s="125"/>
      <c r="J554" s="125"/>
      <c r="K554" s="125"/>
      <c r="L554" s="125"/>
      <c r="M554" s="125"/>
      <c r="N554" s="125"/>
      <c r="O554" s="125"/>
      <c r="P554" s="125"/>
      <c r="Q554" s="125"/>
      <c r="R554" s="125"/>
      <c r="S554" s="125"/>
      <c r="T554" s="125"/>
      <c r="U554" s="125"/>
      <c r="V554" s="125"/>
      <c r="W554" s="125"/>
      <c r="X554" s="125"/>
      <c r="Y554" s="125"/>
      <c r="Z554" s="125"/>
      <c r="AA554" s="125"/>
      <c r="AB554" s="125"/>
      <c r="AC554" s="125"/>
      <c r="AD554" s="125"/>
    </row>
    <row r="555">
      <c r="A555" s="124"/>
      <c r="B555" s="125"/>
      <c r="C555" s="125"/>
      <c r="D555" s="125"/>
      <c r="E555" s="125"/>
      <c r="F555" s="125"/>
      <c r="G555" s="125"/>
      <c r="H555" s="125"/>
      <c r="I555" s="125"/>
      <c r="J555" s="125"/>
      <c r="K555" s="125"/>
      <c r="L555" s="125"/>
      <c r="M555" s="125"/>
      <c r="N555" s="125"/>
      <c r="O555" s="125"/>
      <c r="P555" s="125"/>
      <c r="Q555" s="125"/>
      <c r="R555" s="125"/>
      <c r="S555" s="125"/>
      <c r="T555" s="125"/>
      <c r="U555" s="125"/>
      <c r="V555" s="125"/>
      <c r="W555" s="125"/>
      <c r="X555" s="125"/>
      <c r="Y555" s="125"/>
      <c r="Z555" s="125"/>
      <c r="AA555" s="125"/>
      <c r="AB555" s="125"/>
      <c r="AC555" s="125"/>
      <c r="AD555" s="125"/>
    </row>
    <row r="556">
      <c r="A556" s="124"/>
      <c r="B556" s="125"/>
      <c r="C556" s="125"/>
      <c r="D556" s="125"/>
      <c r="E556" s="125"/>
      <c r="F556" s="125"/>
      <c r="G556" s="125"/>
      <c r="H556" s="125"/>
      <c r="I556" s="125"/>
      <c r="J556" s="125"/>
      <c r="K556" s="125"/>
      <c r="L556" s="125"/>
      <c r="M556" s="125"/>
      <c r="N556" s="125"/>
      <c r="O556" s="125"/>
      <c r="P556" s="125"/>
      <c r="Q556" s="125"/>
      <c r="R556" s="125"/>
      <c r="S556" s="125"/>
      <c r="T556" s="125"/>
      <c r="U556" s="125"/>
      <c r="V556" s="125"/>
      <c r="W556" s="125"/>
      <c r="X556" s="125"/>
      <c r="Y556" s="125"/>
      <c r="Z556" s="125"/>
      <c r="AA556" s="125"/>
      <c r="AB556" s="125"/>
      <c r="AC556" s="125"/>
      <c r="AD556" s="125"/>
    </row>
    <row r="557">
      <c r="A557" s="124"/>
      <c r="B557" s="125"/>
      <c r="C557" s="125"/>
      <c r="D557" s="125"/>
      <c r="E557" s="125"/>
      <c r="F557" s="125"/>
      <c r="G557" s="125"/>
      <c r="H557" s="125"/>
      <c r="I557" s="125"/>
      <c r="J557" s="125"/>
      <c r="K557" s="125"/>
      <c r="L557" s="125"/>
      <c r="M557" s="125"/>
      <c r="N557" s="125"/>
      <c r="O557" s="125"/>
      <c r="P557" s="125"/>
      <c r="Q557" s="125"/>
      <c r="R557" s="125"/>
      <c r="S557" s="125"/>
      <c r="T557" s="125"/>
      <c r="U557" s="125"/>
      <c r="V557" s="125"/>
      <c r="W557" s="125"/>
      <c r="X557" s="125"/>
      <c r="Y557" s="125"/>
      <c r="Z557" s="125"/>
      <c r="AA557" s="125"/>
      <c r="AB557" s="125"/>
      <c r="AC557" s="125"/>
      <c r="AD557" s="125"/>
    </row>
    <row r="558">
      <c r="A558" s="124"/>
      <c r="B558" s="125"/>
      <c r="C558" s="125"/>
      <c r="D558" s="125"/>
      <c r="E558" s="125"/>
      <c r="F558" s="125"/>
      <c r="G558" s="125"/>
      <c r="H558" s="125"/>
      <c r="I558" s="125"/>
      <c r="J558" s="125"/>
      <c r="K558" s="125"/>
      <c r="L558" s="125"/>
      <c r="M558" s="125"/>
      <c r="N558" s="125"/>
      <c r="O558" s="125"/>
      <c r="P558" s="125"/>
      <c r="Q558" s="125"/>
      <c r="R558" s="125"/>
      <c r="S558" s="125"/>
      <c r="T558" s="125"/>
      <c r="U558" s="125"/>
      <c r="V558" s="125"/>
      <c r="W558" s="125"/>
      <c r="X558" s="125"/>
      <c r="Y558" s="125"/>
      <c r="Z558" s="125"/>
      <c r="AA558" s="125"/>
      <c r="AB558" s="125"/>
      <c r="AC558" s="125"/>
      <c r="AD558" s="125"/>
    </row>
    <row r="559">
      <c r="A559" s="124"/>
      <c r="B559" s="125"/>
      <c r="C559" s="125"/>
      <c r="D559" s="125"/>
      <c r="E559" s="125"/>
      <c r="F559" s="125"/>
      <c r="G559" s="125"/>
      <c r="H559" s="125"/>
      <c r="I559" s="125"/>
      <c r="J559" s="125"/>
      <c r="K559" s="125"/>
      <c r="L559" s="125"/>
      <c r="M559" s="125"/>
      <c r="N559" s="125"/>
      <c r="O559" s="125"/>
      <c r="P559" s="125"/>
      <c r="Q559" s="125"/>
      <c r="R559" s="125"/>
      <c r="S559" s="125"/>
      <c r="T559" s="125"/>
      <c r="U559" s="125"/>
      <c r="V559" s="125"/>
      <c r="W559" s="125"/>
      <c r="X559" s="125"/>
      <c r="Y559" s="125"/>
      <c r="Z559" s="125"/>
      <c r="AA559" s="125"/>
      <c r="AB559" s="125"/>
      <c r="AC559" s="125"/>
      <c r="AD559" s="125"/>
    </row>
    <row r="560">
      <c r="A560" s="124"/>
      <c r="B560" s="125"/>
      <c r="C560" s="125"/>
      <c r="D560" s="125"/>
      <c r="E560" s="125"/>
      <c r="F560" s="125"/>
      <c r="G560" s="125"/>
      <c r="H560" s="125"/>
      <c r="I560" s="125"/>
      <c r="J560" s="125"/>
      <c r="K560" s="125"/>
      <c r="L560" s="125"/>
      <c r="M560" s="125"/>
      <c r="N560" s="125"/>
      <c r="O560" s="125"/>
      <c r="P560" s="125"/>
      <c r="Q560" s="125"/>
      <c r="R560" s="125"/>
      <c r="S560" s="125"/>
      <c r="T560" s="125"/>
      <c r="U560" s="125"/>
      <c r="V560" s="125"/>
      <c r="W560" s="125"/>
      <c r="X560" s="125"/>
      <c r="Y560" s="125"/>
      <c r="Z560" s="125"/>
      <c r="AA560" s="125"/>
      <c r="AB560" s="125"/>
      <c r="AC560" s="125"/>
      <c r="AD560" s="125"/>
    </row>
    <row r="561">
      <c r="A561" s="124"/>
      <c r="B561" s="125"/>
      <c r="C561" s="125"/>
      <c r="D561" s="125"/>
      <c r="E561" s="125"/>
      <c r="F561" s="125"/>
      <c r="G561" s="125"/>
      <c r="H561" s="125"/>
      <c r="I561" s="125"/>
      <c r="J561" s="125"/>
      <c r="K561" s="125"/>
      <c r="L561" s="125"/>
      <c r="M561" s="125"/>
      <c r="N561" s="125"/>
      <c r="O561" s="125"/>
      <c r="P561" s="125"/>
      <c r="Q561" s="125"/>
      <c r="R561" s="125"/>
      <c r="S561" s="125"/>
      <c r="T561" s="125"/>
      <c r="U561" s="125"/>
      <c r="V561" s="125"/>
      <c r="W561" s="125"/>
      <c r="X561" s="125"/>
      <c r="Y561" s="125"/>
      <c r="Z561" s="125"/>
      <c r="AA561" s="125"/>
      <c r="AB561" s="125"/>
      <c r="AC561" s="125"/>
      <c r="AD561" s="125"/>
    </row>
    <row r="562">
      <c r="A562" s="124"/>
      <c r="B562" s="125"/>
      <c r="C562" s="125"/>
      <c r="D562" s="125"/>
      <c r="E562" s="125"/>
      <c r="F562" s="125"/>
      <c r="G562" s="125"/>
      <c r="H562" s="125"/>
      <c r="I562" s="125"/>
      <c r="J562" s="125"/>
      <c r="K562" s="125"/>
      <c r="L562" s="125"/>
      <c r="M562" s="125"/>
      <c r="N562" s="125"/>
      <c r="O562" s="125"/>
      <c r="P562" s="125"/>
      <c r="Q562" s="125"/>
      <c r="R562" s="125"/>
      <c r="S562" s="125"/>
      <c r="T562" s="125"/>
      <c r="U562" s="125"/>
      <c r="V562" s="125"/>
      <c r="W562" s="125"/>
      <c r="X562" s="125"/>
      <c r="Y562" s="125"/>
      <c r="Z562" s="125"/>
      <c r="AA562" s="125"/>
      <c r="AB562" s="125"/>
      <c r="AC562" s="125"/>
      <c r="AD562" s="125"/>
    </row>
    <row r="563">
      <c r="A563" s="124"/>
      <c r="B563" s="125"/>
      <c r="C563" s="125"/>
      <c r="D563" s="125"/>
      <c r="E563" s="125"/>
      <c r="F563" s="125"/>
      <c r="G563" s="125"/>
      <c r="H563" s="125"/>
      <c r="I563" s="125"/>
      <c r="J563" s="125"/>
      <c r="K563" s="125"/>
      <c r="L563" s="125"/>
      <c r="M563" s="125"/>
      <c r="N563" s="125"/>
      <c r="O563" s="125"/>
      <c r="P563" s="125"/>
      <c r="Q563" s="125"/>
      <c r="R563" s="125"/>
      <c r="S563" s="125"/>
      <c r="T563" s="125"/>
      <c r="U563" s="125"/>
      <c r="V563" s="125"/>
      <c r="W563" s="125"/>
      <c r="X563" s="125"/>
      <c r="Y563" s="125"/>
      <c r="Z563" s="125"/>
      <c r="AA563" s="125"/>
      <c r="AB563" s="125"/>
      <c r="AC563" s="125"/>
      <c r="AD563" s="125"/>
    </row>
    <row r="564">
      <c r="A564" s="124"/>
      <c r="B564" s="125"/>
      <c r="C564" s="125"/>
      <c r="D564" s="125"/>
      <c r="E564" s="125"/>
      <c r="F564" s="125"/>
      <c r="G564" s="125"/>
      <c r="H564" s="125"/>
      <c r="I564" s="125"/>
      <c r="J564" s="125"/>
      <c r="K564" s="125"/>
      <c r="L564" s="125"/>
      <c r="M564" s="125"/>
      <c r="N564" s="125"/>
      <c r="O564" s="125"/>
      <c r="P564" s="125"/>
      <c r="Q564" s="125"/>
      <c r="R564" s="125"/>
      <c r="S564" s="125"/>
      <c r="T564" s="125"/>
      <c r="U564" s="125"/>
      <c r="V564" s="125"/>
      <c r="W564" s="125"/>
      <c r="X564" s="125"/>
      <c r="Y564" s="125"/>
      <c r="Z564" s="125"/>
      <c r="AA564" s="125"/>
      <c r="AB564" s="125"/>
      <c r="AC564" s="125"/>
      <c r="AD564" s="125"/>
    </row>
    <row r="565">
      <c r="A565" s="124"/>
      <c r="B565" s="125"/>
      <c r="C565" s="125"/>
      <c r="D565" s="125"/>
      <c r="E565" s="125"/>
      <c r="F565" s="125"/>
      <c r="G565" s="125"/>
      <c r="H565" s="125"/>
      <c r="I565" s="125"/>
      <c r="J565" s="125"/>
      <c r="K565" s="125"/>
      <c r="L565" s="125"/>
      <c r="M565" s="125"/>
      <c r="N565" s="125"/>
      <c r="O565" s="125"/>
      <c r="P565" s="125"/>
      <c r="Q565" s="125"/>
      <c r="R565" s="125"/>
      <c r="S565" s="125"/>
      <c r="T565" s="125"/>
      <c r="U565" s="125"/>
      <c r="V565" s="125"/>
      <c r="W565" s="125"/>
      <c r="X565" s="125"/>
      <c r="Y565" s="125"/>
      <c r="Z565" s="125"/>
      <c r="AA565" s="125"/>
      <c r="AB565" s="125"/>
      <c r="AC565" s="125"/>
      <c r="AD565" s="125"/>
    </row>
    <row r="566">
      <c r="A566" s="124"/>
      <c r="B566" s="125"/>
      <c r="C566" s="125"/>
      <c r="D566" s="125"/>
      <c r="E566" s="125"/>
      <c r="F566" s="125"/>
      <c r="G566" s="125"/>
      <c r="H566" s="125"/>
      <c r="I566" s="125"/>
      <c r="J566" s="125"/>
      <c r="K566" s="125"/>
      <c r="L566" s="125"/>
      <c r="M566" s="125"/>
      <c r="N566" s="125"/>
      <c r="O566" s="125"/>
      <c r="P566" s="125"/>
      <c r="Q566" s="125"/>
      <c r="R566" s="125"/>
      <c r="S566" s="125"/>
      <c r="T566" s="125"/>
      <c r="U566" s="125"/>
      <c r="V566" s="125"/>
      <c r="W566" s="125"/>
      <c r="X566" s="125"/>
      <c r="Y566" s="125"/>
      <c r="Z566" s="125"/>
      <c r="AA566" s="125"/>
      <c r="AB566" s="125"/>
      <c r="AC566" s="125"/>
      <c r="AD566" s="125"/>
    </row>
    <row r="567">
      <c r="A567" s="124"/>
      <c r="B567" s="125"/>
      <c r="C567" s="125"/>
      <c r="D567" s="125"/>
      <c r="E567" s="125"/>
      <c r="F567" s="125"/>
      <c r="G567" s="125"/>
      <c r="H567" s="125"/>
      <c r="I567" s="125"/>
      <c r="J567" s="125"/>
      <c r="K567" s="125"/>
      <c r="L567" s="125"/>
      <c r="M567" s="125"/>
      <c r="N567" s="125"/>
      <c r="O567" s="125"/>
      <c r="P567" s="125"/>
      <c r="Q567" s="125"/>
      <c r="R567" s="125"/>
      <c r="S567" s="125"/>
      <c r="T567" s="125"/>
      <c r="U567" s="125"/>
      <c r="V567" s="125"/>
      <c r="W567" s="125"/>
      <c r="X567" s="125"/>
      <c r="Y567" s="125"/>
      <c r="Z567" s="125"/>
      <c r="AA567" s="125"/>
      <c r="AB567" s="125"/>
      <c r="AC567" s="125"/>
      <c r="AD567" s="125"/>
    </row>
    <row r="568">
      <c r="A568" s="124"/>
      <c r="B568" s="125"/>
      <c r="C568" s="125"/>
      <c r="D568" s="125"/>
      <c r="E568" s="125"/>
      <c r="F568" s="125"/>
      <c r="G568" s="125"/>
      <c r="H568" s="125"/>
      <c r="I568" s="125"/>
      <c r="J568" s="125"/>
      <c r="K568" s="125"/>
      <c r="L568" s="125"/>
      <c r="M568" s="125"/>
      <c r="N568" s="125"/>
      <c r="O568" s="125"/>
      <c r="P568" s="125"/>
      <c r="Q568" s="125"/>
      <c r="R568" s="125"/>
      <c r="S568" s="125"/>
      <c r="T568" s="125"/>
      <c r="U568" s="125"/>
      <c r="V568" s="125"/>
      <c r="W568" s="125"/>
      <c r="X568" s="125"/>
      <c r="Y568" s="125"/>
      <c r="Z568" s="125"/>
      <c r="AA568" s="125"/>
      <c r="AB568" s="125"/>
      <c r="AC568" s="125"/>
      <c r="AD568" s="125"/>
    </row>
    <row r="569">
      <c r="A569" s="124"/>
      <c r="B569" s="125"/>
      <c r="C569" s="125"/>
      <c r="D569" s="125"/>
      <c r="E569" s="125"/>
      <c r="F569" s="125"/>
      <c r="G569" s="125"/>
      <c r="H569" s="125"/>
      <c r="I569" s="125"/>
      <c r="J569" s="125"/>
      <c r="K569" s="125"/>
      <c r="L569" s="125"/>
      <c r="M569" s="125"/>
      <c r="N569" s="125"/>
      <c r="O569" s="125"/>
      <c r="P569" s="125"/>
      <c r="Q569" s="125"/>
      <c r="R569" s="125"/>
      <c r="S569" s="125"/>
      <c r="T569" s="125"/>
      <c r="U569" s="125"/>
      <c r="V569" s="125"/>
      <c r="W569" s="125"/>
      <c r="X569" s="125"/>
      <c r="Y569" s="125"/>
      <c r="Z569" s="125"/>
      <c r="AA569" s="125"/>
      <c r="AB569" s="125"/>
      <c r="AC569" s="125"/>
      <c r="AD569" s="125"/>
    </row>
    <row r="570">
      <c r="A570" s="124"/>
      <c r="B570" s="125"/>
      <c r="C570" s="125"/>
      <c r="D570" s="125"/>
      <c r="E570" s="125"/>
      <c r="F570" s="125"/>
      <c r="G570" s="125"/>
      <c r="H570" s="125"/>
      <c r="I570" s="125"/>
      <c r="J570" s="125"/>
      <c r="K570" s="125"/>
      <c r="L570" s="125"/>
      <c r="M570" s="125"/>
      <c r="N570" s="125"/>
      <c r="O570" s="125"/>
      <c r="P570" s="125"/>
      <c r="Q570" s="125"/>
      <c r="R570" s="125"/>
      <c r="S570" s="125"/>
      <c r="T570" s="125"/>
      <c r="U570" s="125"/>
      <c r="V570" s="125"/>
      <c r="W570" s="125"/>
      <c r="X570" s="125"/>
      <c r="Y570" s="125"/>
      <c r="Z570" s="125"/>
      <c r="AA570" s="125"/>
      <c r="AB570" s="125"/>
      <c r="AC570" s="125"/>
      <c r="AD570" s="125"/>
    </row>
    <row r="571">
      <c r="A571" s="124"/>
      <c r="B571" s="125"/>
      <c r="C571" s="125"/>
      <c r="D571" s="125"/>
      <c r="E571" s="125"/>
      <c r="F571" s="125"/>
      <c r="G571" s="125"/>
      <c r="H571" s="125"/>
      <c r="I571" s="125"/>
      <c r="J571" s="125"/>
      <c r="K571" s="125"/>
      <c r="L571" s="125"/>
      <c r="M571" s="125"/>
      <c r="N571" s="125"/>
      <c r="O571" s="125"/>
      <c r="P571" s="125"/>
      <c r="Q571" s="125"/>
      <c r="R571" s="125"/>
      <c r="S571" s="125"/>
      <c r="T571" s="125"/>
      <c r="U571" s="125"/>
      <c r="V571" s="125"/>
      <c r="W571" s="125"/>
      <c r="X571" s="125"/>
      <c r="Y571" s="125"/>
      <c r="Z571" s="125"/>
      <c r="AA571" s="125"/>
      <c r="AB571" s="125"/>
      <c r="AC571" s="125"/>
      <c r="AD571" s="125"/>
    </row>
    <row r="572">
      <c r="A572" s="124"/>
      <c r="B572" s="125"/>
      <c r="C572" s="125"/>
      <c r="D572" s="125"/>
      <c r="E572" s="125"/>
      <c r="F572" s="125"/>
      <c r="G572" s="125"/>
      <c r="H572" s="125"/>
      <c r="I572" s="125"/>
      <c r="J572" s="125"/>
      <c r="K572" s="125"/>
      <c r="L572" s="125"/>
      <c r="M572" s="125"/>
      <c r="N572" s="125"/>
      <c r="O572" s="125"/>
      <c r="P572" s="125"/>
      <c r="Q572" s="125"/>
      <c r="R572" s="125"/>
      <c r="S572" s="125"/>
      <c r="T572" s="125"/>
      <c r="U572" s="125"/>
      <c r="V572" s="125"/>
      <c r="W572" s="125"/>
      <c r="X572" s="125"/>
      <c r="Y572" s="125"/>
      <c r="Z572" s="125"/>
      <c r="AA572" s="125"/>
      <c r="AB572" s="125"/>
      <c r="AC572" s="125"/>
      <c r="AD572" s="125"/>
    </row>
    <row r="573">
      <c r="A573" s="124"/>
      <c r="B573" s="125"/>
      <c r="C573" s="125"/>
      <c r="D573" s="125"/>
      <c r="E573" s="125"/>
      <c r="F573" s="125"/>
      <c r="G573" s="125"/>
      <c r="H573" s="125"/>
      <c r="I573" s="125"/>
      <c r="J573" s="125"/>
      <c r="K573" s="125"/>
      <c r="L573" s="125"/>
      <c r="M573" s="125"/>
      <c r="N573" s="125"/>
      <c r="O573" s="125"/>
      <c r="P573" s="125"/>
      <c r="Q573" s="125"/>
      <c r="R573" s="125"/>
      <c r="S573" s="125"/>
      <c r="T573" s="125"/>
      <c r="U573" s="125"/>
      <c r="V573" s="125"/>
      <c r="W573" s="125"/>
      <c r="X573" s="125"/>
      <c r="Y573" s="125"/>
      <c r="Z573" s="125"/>
      <c r="AA573" s="125"/>
      <c r="AB573" s="125"/>
      <c r="AC573" s="125"/>
      <c r="AD573" s="125"/>
    </row>
    <row r="574">
      <c r="A574" s="124"/>
      <c r="B574" s="125"/>
      <c r="C574" s="125"/>
      <c r="D574" s="125"/>
      <c r="E574" s="125"/>
      <c r="F574" s="125"/>
      <c r="G574" s="125"/>
      <c r="H574" s="125"/>
      <c r="I574" s="125"/>
      <c r="J574" s="125"/>
      <c r="K574" s="125"/>
      <c r="L574" s="125"/>
      <c r="M574" s="125"/>
      <c r="N574" s="125"/>
      <c r="O574" s="125"/>
      <c r="P574" s="125"/>
      <c r="Q574" s="125"/>
      <c r="R574" s="125"/>
      <c r="S574" s="125"/>
      <c r="T574" s="125"/>
      <c r="U574" s="125"/>
      <c r="V574" s="125"/>
      <c r="W574" s="125"/>
      <c r="X574" s="125"/>
      <c r="Y574" s="125"/>
      <c r="Z574" s="125"/>
      <c r="AA574" s="125"/>
      <c r="AB574" s="125"/>
      <c r="AC574" s="125"/>
      <c r="AD574" s="125"/>
    </row>
    <row r="575">
      <c r="A575" s="124"/>
      <c r="B575" s="125"/>
      <c r="C575" s="125"/>
      <c r="D575" s="125"/>
      <c r="E575" s="125"/>
      <c r="F575" s="125"/>
      <c r="G575" s="125"/>
      <c r="H575" s="125"/>
      <c r="I575" s="125"/>
      <c r="J575" s="125"/>
      <c r="K575" s="125"/>
      <c r="L575" s="125"/>
      <c r="M575" s="125"/>
      <c r="N575" s="125"/>
      <c r="O575" s="125"/>
      <c r="P575" s="125"/>
      <c r="Q575" s="125"/>
      <c r="R575" s="125"/>
      <c r="S575" s="125"/>
      <c r="T575" s="125"/>
      <c r="U575" s="125"/>
      <c r="V575" s="125"/>
      <c r="W575" s="125"/>
      <c r="X575" s="125"/>
      <c r="Y575" s="125"/>
      <c r="Z575" s="125"/>
      <c r="AA575" s="125"/>
      <c r="AB575" s="125"/>
      <c r="AC575" s="125"/>
      <c r="AD575" s="125"/>
    </row>
    <row r="576">
      <c r="A576" s="124"/>
      <c r="B576" s="125"/>
      <c r="C576" s="125"/>
      <c r="D576" s="125"/>
      <c r="E576" s="125"/>
      <c r="F576" s="125"/>
      <c r="G576" s="125"/>
      <c r="H576" s="125"/>
      <c r="I576" s="125"/>
      <c r="J576" s="125"/>
      <c r="K576" s="125"/>
      <c r="L576" s="125"/>
      <c r="M576" s="125"/>
      <c r="N576" s="125"/>
      <c r="O576" s="125"/>
      <c r="P576" s="125"/>
      <c r="Q576" s="125"/>
      <c r="R576" s="125"/>
      <c r="S576" s="125"/>
      <c r="T576" s="125"/>
      <c r="U576" s="125"/>
      <c r="V576" s="125"/>
      <c r="W576" s="125"/>
      <c r="X576" s="125"/>
      <c r="Y576" s="125"/>
      <c r="Z576" s="125"/>
      <c r="AA576" s="125"/>
      <c r="AB576" s="125"/>
      <c r="AC576" s="125"/>
      <c r="AD576" s="125"/>
    </row>
    <row r="577">
      <c r="A577" s="124"/>
      <c r="B577" s="125"/>
      <c r="C577" s="125"/>
      <c r="D577" s="125"/>
      <c r="E577" s="125"/>
      <c r="F577" s="125"/>
      <c r="G577" s="125"/>
      <c r="H577" s="125"/>
      <c r="I577" s="125"/>
      <c r="J577" s="125"/>
      <c r="K577" s="125"/>
      <c r="L577" s="125"/>
      <c r="M577" s="125"/>
      <c r="N577" s="125"/>
      <c r="O577" s="125"/>
      <c r="P577" s="125"/>
      <c r="Q577" s="125"/>
      <c r="R577" s="125"/>
      <c r="S577" s="125"/>
      <c r="T577" s="125"/>
      <c r="U577" s="125"/>
      <c r="V577" s="125"/>
      <c r="W577" s="125"/>
      <c r="X577" s="125"/>
      <c r="Y577" s="125"/>
      <c r="Z577" s="125"/>
      <c r="AA577" s="125"/>
      <c r="AB577" s="125"/>
      <c r="AC577" s="125"/>
      <c r="AD577" s="125"/>
    </row>
    <row r="578">
      <c r="A578" s="124"/>
      <c r="B578" s="125"/>
      <c r="C578" s="125"/>
      <c r="D578" s="125"/>
      <c r="E578" s="125"/>
      <c r="F578" s="125"/>
      <c r="G578" s="125"/>
      <c r="H578" s="125"/>
      <c r="I578" s="125"/>
      <c r="J578" s="125"/>
      <c r="K578" s="125"/>
      <c r="L578" s="125"/>
      <c r="M578" s="125"/>
      <c r="N578" s="125"/>
      <c r="O578" s="125"/>
      <c r="P578" s="125"/>
      <c r="Q578" s="125"/>
      <c r="R578" s="125"/>
      <c r="S578" s="125"/>
      <c r="T578" s="125"/>
      <c r="U578" s="125"/>
      <c r="V578" s="125"/>
      <c r="W578" s="125"/>
      <c r="X578" s="125"/>
      <c r="Y578" s="125"/>
      <c r="Z578" s="125"/>
      <c r="AA578" s="125"/>
      <c r="AB578" s="125"/>
      <c r="AC578" s="125"/>
      <c r="AD578" s="125"/>
    </row>
    <row r="579">
      <c r="A579" s="124"/>
      <c r="B579" s="125"/>
      <c r="C579" s="125"/>
      <c r="D579" s="125"/>
      <c r="E579" s="125"/>
      <c r="F579" s="125"/>
      <c r="G579" s="125"/>
      <c r="H579" s="125"/>
      <c r="I579" s="125"/>
      <c r="J579" s="125"/>
      <c r="K579" s="125"/>
      <c r="L579" s="125"/>
      <c r="M579" s="125"/>
      <c r="N579" s="125"/>
      <c r="O579" s="125"/>
      <c r="P579" s="125"/>
      <c r="Q579" s="125"/>
      <c r="R579" s="125"/>
      <c r="S579" s="125"/>
      <c r="T579" s="125"/>
      <c r="U579" s="125"/>
      <c r="V579" s="125"/>
      <c r="W579" s="125"/>
      <c r="X579" s="125"/>
      <c r="Y579" s="125"/>
      <c r="Z579" s="125"/>
      <c r="AA579" s="125"/>
      <c r="AB579" s="125"/>
      <c r="AC579" s="125"/>
      <c r="AD579" s="125"/>
    </row>
    <row r="580">
      <c r="A580" s="124"/>
      <c r="B580" s="125"/>
      <c r="C580" s="125"/>
      <c r="D580" s="125"/>
      <c r="E580" s="125"/>
      <c r="F580" s="125"/>
      <c r="G580" s="125"/>
      <c r="H580" s="125"/>
      <c r="I580" s="125"/>
      <c r="J580" s="125"/>
      <c r="K580" s="125"/>
      <c r="L580" s="125"/>
      <c r="M580" s="125"/>
      <c r="N580" s="125"/>
      <c r="O580" s="125"/>
      <c r="P580" s="125"/>
      <c r="Q580" s="125"/>
      <c r="R580" s="125"/>
      <c r="S580" s="125"/>
      <c r="T580" s="125"/>
      <c r="U580" s="125"/>
      <c r="V580" s="125"/>
      <c r="W580" s="125"/>
      <c r="X580" s="125"/>
      <c r="Y580" s="125"/>
      <c r="Z580" s="125"/>
      <c r="AA580" s="125"/>
      <c r="AB580" s="125"/>
      <c r="AC580" s="125"/>
      <c r="AD580" s="125"/>
    </row>
    <row r="581">
      <c r="A581" s="124"/>
      <c r="B581" s="125"/>
      <c r="C581" s="125"/>
      <c r="D581" s="125"/>
      <c r="E581" s="125"/>
      <c r="F581" s="125"/>
      <c r="G581" s="125"/>
      <c r="H581" s="125"/>
      <c r="I581" s="125"/>
      <c r="J581" s="125"/>
      <c r="K581" s="125"/>
      <c r="L581" s="125"/>
      <c r="M581" s="125"/>
      <c r="N581" s="125"/>
      <c r="O581" s="125"/>
      <c r="P581" s="125"/>
      <c r="Q581" s="125"/>
      <c r="R581" s="125"/>
      <c r="S581" s="125"/>
      <c r="T581" s="125"/>
      <c r="U581" s="125"/>
      <c r="V581" s="125"/>
      <c r="W581" s="125"/>
      <c r="X581" s="125"/>
      <c r="Y581" s="125"/>
      <c r="Z581" s="125"/>
      <c r="AA581" s="125"/>
      <c r="AB581" s="125"/>
      <c r="AC581" s="125"/>
      <c r="AD581" s="125"/>
    </row>
    <row r="582">
      <c r="A582" s="124"/>
      <c r="B582" s="125"/>
      <c r="C582" s="125"/>
      <c r="D582" s="125"/>
      <c r="E582" s="125"/>
      <c r="F582" s="125"/>
      <c r="G582" s="125"/>
      <c r="H582" s="125"/>
      <c r="I582" s="125"/>
      <c r="J582" s="125"/>
      <c r="K582" s="125"/>
      <c r="L582" s="125"/>
      <c r="M582" s="125"/>
      <c r="N582" s="125"/>
      <c r="O582" s="125"/>
      <c r="P582" s="125"/>
      <c r="Q582" s="125"/>
      <c r="R582" s="125"/>
      <c r="S582" s="125"/>
      <c r="T582" s="125"/>
      <c r="U582" s="125"/>
      <c r="V582" s="125"/>
      <c r="W582" s="125"/>
      <c r="X582" s="125"/>
      <c r="Y582" s="125"/>
      <c r="Z582" s="125"/>
      <c r="AA582" s="125"/>
      <c r="AB582" s="125"/>
      <c r="AC582" s="125"/>
      <c r="AD582" s="125"/>
    </row>
    <row r="583">
      <c r="A583" s="124"/>
      <c r="B583" s="125"/>
      <c r="C583" s="125"/>
      <c r="D583" s="125"/>
      <c r="E583" s="125"/>
      <c r="F583" s="125"/>
      <c r="G583" s="125"/>
      <c r="H583" s="125"/>
      <c r="I583" s="125"/>
      <c r="J583" s="125"/>
      <c r="K583" s="125"/>
      <c r="L583" s="125"/>
      <c r="M583" s="125"/>
      <c r="N583" s="125"/>
      <c r="O583" s="125"/>
      <c r="P583" s="125"/>
      <c r="Q583" s="125"/>
      <c r="R583" s="125"/>
      <c r="S583" s="125"/>
      <c r="T583" s="125"/>
      <c r="U583" s="125"/>
      <c r="V583" s="125"/>
      <c r="W583" s="125"/>
      <c r="X583" s="125"/>
      <c r="Y583" s="125"/>
      <c r="Z583" s="125"/>
      <c r="AA583" s="125"/>
      <c r="AB583" s="125"/>
      <c r="AC583" s="125"/>
      <c r="AD583" s="125"/>
    </row>
    <row r="584">
      <c r="A584" s="124"/>
      <c r="B584" s="125"/>
      <c r="C584" s="125"/>
      <c r="D584" s="125"/>
      <c r="E584" s="125"/>
      <c r="F584" s="125"/>
      <c r="G584" s="125"/>
      <c r="H584" s="125"/>
      <c r="I584" s="125"/>
      <c r="J584" s="125"/>
      <c r="K584" s="125"/>
      <c r="L584" s="125"/>
      <c r="M584" s="125"/>
      <c r="N584" s="125"/>
      <c r="O584" s="125"/>
      <c r="P584" s="125"/>
      <c r="Q584" s="125"/>
      <c r="R584" s="125"/>
      <c r="S584" s="125"/>
      <c r="T584" s="125"/>
      <c r="U584" s="125"/>
      <c r="V584" s="125"/>
      <c r="W584" s="125"/>
      <c r="X584" s="125"/>
      <c r="Y584" s="125"/>
      <c r="Z584" s="125"/>
      <c r="AA584" s="125"/>
      <c r="AB584" s="125"/>
      <c r="AC584" s="125"/>
      <c r="AD584" s="125"/>
    </row>
    <row r="585">
      <c r="A585" s="124"/>
      <c r="B585" s="125"/>
      <c r="C585" s="125"/>
      <c r="D585" s="125"/>
      <c r="E585" s="125"/>
      <c r="F585" s="125"/>
      <c r="G585" s="125"/>
      <c r="H585" s="125"/>
      <c r="I585" s="125"/>
      <c r="J585" s="125"/>
      <c r="K585" s="125"/>
      <c r="L585" s="125"/>
      <c r="M585" s="125"/>
      <c r="N585" s="125"/>
      <c r="O585" s="125"/>
      <c r="P585" s="125"/>
      <c r="Q585" s="125"/>
      <c r="R585" s="125"/>
      <c r="S585" s="125"/>
      <c r="T585" s="125"/>
      <c r="U585" s="125"/>
      <c r="V585" s="125"/>
      <c r="W585" s="125"/>
      <c r="X585" s="125"/>
      <c r="Y585" s="125"/>
      <c r="Z585" s="125"/>
      <c r="AA585" s="125"/>
      <c r="AB585" s="125"/>
      <c r="AC585" s="125"/>
      <c r="AD585" s="125"/>
    </row>
    <row r="586">
      <c r="A586" s="124"/>
      <c r="B586" s="125"/>
      <c r="C586" s="125"/>
      <c r="D586" s="125"/>
      <c r="E586" s="125"/>
      <c r="F586" s="125"/>
      <c r="G586" s="125"/>
      <c r="H586" s="125"/>
      <c r="I586" s="125"/>
      <c r="J586" s="125"/>
      <c r="K586" s="125"/>
      <c r="L586" s="125"/>
      <c r="M586" s="125"/>
      <c r="N586" s="125"/>
      <c r="O586" s="125"/>
      <c r="P586" s="125"/>
      <c r="Q586" s="125"/>
      <c r="R586" s="125"/>
      <c r="S586" s="125"/>
      <c r="T586" s="125"/>
      <c r="U586" s="125"/>
      <c r="V586" s="125"/>
      <c r="W586" s="125"/>
      <c r="X586" s="125"/>
      <c r="Y586" s="125"/>
      <c r="Z586" s="125"/>
      <c r="AA586" s="125"/>
      <c r="AB586" s="125"/>
      <c r="AC586" s="125"/>
      <c r="AD586" s="125"/>
    </row>
    <row r="587">
      <c r="A587" s="124"/>
      <c r="B587" s="125"/>
      <c r="C587" s="125"/>
      <c r="D587" s="125"/>
      <c r="E587" s="125"/>
      <c r="F587" s="125"/>
      <c r="G587" s="125"/>
      <c r="H587" s="125"/>
      <c r="I587" s="125"/>
      <c r="J587" s="125"/>
      <c r="K587" s="125"/>
      <c r="L587" s="125"/>
      <c r="M587" s="125"/>
      <c r="N587" s="125"/>
      <c r="O587" s="125"/>
      <c r="P587" s="125"/>
      <c r="Q587" s="125"/>
      <c r="R587" s="125"/>
      <c r="S587" s="125"/>
      <c r="T587" s="125"/>
      <c r="U587" s="125"/>
      <c r="V587" s="125"/>
      <c r="W587" s="125"/>
      <c r="X587" s="125"/>
      <c r="Y587" s="125"/>
      <c r="Z587" s="125"/>
      <c r="AA587" s="125"/>
      <c r="AB587" s="125"/>
      <c r="AC587" s="125"/>
      <c r="AD587" s="125"/>
    </row>
    <row r="588">
      <c r="A588" s="124"/>
      <c r="B588" s="125"/>
      <c r="C588" s="125"/>
      <c r="D588" s="125"/>
      <c r="E588" s="125"/>
      <c r="F588" s="125"/>
      <c r="G588" s="125"/>
      <c r="H588" s="125"/>
      <c r="I588" s="125"/>
      <c r="J588" s="125"/>
      <c r="K588" s="125"/>
      <c r="L588" s="125"/>
      <c r="M588" s="125"/>
      <c r="N588" s="125"/>
      <c r="O588" s="125"/>
      <c r="P588" s="125"/>
      <c r="Q588" s="125"/>
      <c r="R588" s="125"/>
      <c r="S588" s="125"/>
      <c r="T588" s="125"/>
      <c r="U588" s="125"/>
      <c r="V588" s="125"/>
      <c r="W588" s="125"/>
      <c r="X588" s="125"/>
      <c r="Y588" s="125"/>
      <c r="Z588" s="125"/>
      <c r="AA588" s="125"/>
      <c r="AB588" s="125"/>
      <c r="AC588" s="125"/>
      <c r="AD588" s="125"/>
    </row>
    <row r="589">
      <c r="A589" s="124"/>
      <c r="B589" s="125"/>
      <c r="C589" s="125"/>
      <c r="D589" s="125"/>
      <c r="E589" s="125"/>
      <c r="F589" s="125"/>
      <c r="G589" s="125"/>
      <c r="H589" s="125"/>
      <c r="I589" s="125"/>
      <c r="J589" s="125"/>
      <c r="K589" s="125"/>
      <c r="L589" s="125"/>
      <c r="M589" s="125"/>
      <c r="N589" s="125"/>
      <c r="O589" s="125"/>
      <c r="P589" s="125"/>
      <c r="Q589" s="125"/>
      <c r="R589" s="125"/>
      <c r="S589" s="125"/>
      <c r="T589" s="125"/>
      <c r="U589" s="125"/>
      <c r="V589" s="125"/>
      <c r="W589" s="125"/>
      <c r="X589" s="125"/>
      <c r="Y589" s="125"/>
      <c r="Z589" s="125"/>
      <c r="AA589" s="125"/>
      <c r="AB589" s="125"/>
      <c r="AC589" s="125"/>
      <c r="AD589" s="125"/>
    </row>
    <row r="590">
      <c r="A590" s="124"/>
      <c r="B590" s="125"/>
      <c r="C590" s="125"/>
      <c r="D590" s="125"/>
      <c r="E590" s="125"/>
      <c r="F590" s="125"/>
      <c r="G590" s="125"/>
      <c r="H590" s="125"/>
      <c r="I590" s="125"/>
      <c r="J590" s="125"/>
      <c r="K590" s="125"/>
      <c r="L590" s="125"/>
      <c r="M590" s="125"/>
      <c r="N590" s="125"/>
      <c r="O590" s="125"/>
      <c r="P590" s="125"/>
      <c r="Q590" s="125"/>
      <c r="R590" s="125"/>
      <c r="S590" s="125"/>
      <c r="T590" s="125"/>
      <c r="U590" s="125"/>
      <c r="V590" s="125"/>
      <c r="W590" s="125"/>
      <c r="X590" s="125"/>
      <c r="Y590" s="125"/>
      <c r="Z590" s="125"/>
      <c r="AA590" s="125"/>
      <c r="AB590" s="125"/>
      <c r="AC590" s="125"/>
      <c r="AD590" s="125"/>
    </row>
    <row r="591">
      <c r="A591" s="124"/>
      <c r="B591" s="125"/>
      <c r="C591" s="125"/>
      <c r="D591" s="125"/>
      <c r="E591" s="125"/>
      <c r="F591" s="125"/>
      <c r="G591" s="125"/>
      <c r="H591" s="125"/>
      <c r="I591" s="125"/>
      <c r="J591" s="125"/>
      <c r="K591" s="125"/>
      <c r="L591" s="125"/>
      <c r="M591" s="125"/>
      <c r="N591" s="125"/>
      <c r="O591" s="125"/>
      <c r="P591" s="125"/>
      <c r="Q591" s="125"/>
      <c r="R591" s="125"/>
      <c r="S591" s="125"/>
      <c r="T591" s="125"/>
      <c r="U591" s="125"/>
      <c r="V591" s="125"/>
      <c r="W591" s="125"/>
      <c r="X591" s="125"/>
      <c r="Y591" s="125"/>
      <c r="Z591" s="125"/>
      <c r="AA591" s="125"/>
      <c r="AB591" s="125"/>
      <c r="AC591" s="125"/>
      <c r="AD591" s="125"/>
    </row>
    <row r="592">
      <c r="A592" s="124"/>
      <c r="B592" s="125"/>
      <c r="C592" s="125"/>
      <c r="D592" s="125"/>
      <c r="E592" s="125"/>
      <c r="F592" s="125"/>
      <c r="G592" s="125"/>
      <c r="H592" s="125"/>
      <c r="I592" s="125"/>
      <c r="J592" s="125"/>
      <c r="K592" s="125"/>
      <c r="L592" s="125"/>
      <c r="M592" s="125"/>
      <c r="N592" s="125"/>
      <c r="O592" s="125"/>
      <c r="P592" s="125"/>
      <c r="Q592" s="125"/>
      <c r="R592" s="125"/>
      <c r="S592" s="125"/>
      <c r="T592" s="125"/>
      <c r="U592" s="125"/>
      <c r="V592" s="125"/>
      <c r="W592" s="125"/>
      <c r="X592" s="125"/>
      <c r="Y592" s="125"/>
      <c r="Z592" s="125"/>
      <c r="AA592" s="125"/>
      <c r="AB592" s="125"/>
      <c r="AC592" s="125"/>
      <c r="AD592" s="125"/>
    </row>
    <row r="593">
      <c r="A593" s="124"/>
      <c r="B593" s="125"/>
      <c r="C593" s="125"/>
      <c r="D593" s="125"/>
      <c r="E593" s="125"/>
      <c r="F593" s="125"/>
      <c r="G593" s="125"/>
      <c r="H593" s="125"/>
      <c r="I593" s="125"/>
      <c r="J593" s="125"/>
      <c r="K593" s="125"/>
      <c r="L593" s="125"/>
      <c r="M593" s="125"/>
      <c r="N593" s="125"/>
      <c r="O593" s="125"/>
      <c r="P593" s="125"/>
      <c r="Q593" s="125"/>
      <c r="R593" s="125"/>
      <c r="S593" s="125"/>
      <c r="T593" s="125"/>
      <c r="U593" s="125"/>
      <c r="V593" s="125"/>
      <c r="W593" s="125"/>
      <c r="X593" s="125"/>
      <c r="Y593" s="125"/>
      <c r="Z593" s="125"/>
      <c r="AA593" s="125"/>
      <c r="AB593" s="125"/>
      <c r="AC593" s="125"/>
      <c r="AD593" s="125"/>
    </row>
    <row r="594">
      <c r="A594" s="124"/>
      <c r="B594" s="125"/>
      <c r="C594" s="125"/>
      <c r="D594" s="125"/>
      <c r="E594" s="125"/>
      <c r="F594" s="125"/>
      <c r="G594" s="125"/>
      <c r="H594" s="125"/>
      <c r="I594" s="125"/>
      <c r="J594" s="125"/>
      <c r="K594" s="125"/>
      <c r="L594" s="125"/>
      <c r="M594" s="125"/>
      <c r="N594" s="125"/>
      <c r="O594" s="125"/>
      <c r="P594" s="125"/>
      <c r="Q594" s="125"/>
      <c r="R594" s="125"/>
      <c r="S594" s="125"/>
      <c r="T594" s="125"/>
      <c r="U594" s="125"/>
      <c r="V594" s="125"/>
      <c r="W594" s="125"/>
      <c r="X594" s="125"/>
      <c r="Y594" s="125"/>
      <c r="Z594" s="125"/>
      <c r="AA594" s="125"/>
      <c r="AB594" s="125"/>
      <c r="AC594" s="125"/>
      <c r="AD594" s="125"/>
    </row>
    <row r="595">
      <c r="A595" s="124"/>
      <c r="B595" s="125"/>
      <c r="C595" s="125"/>
      <c r="D595" s="125"/>
      <c r="E595" s="125"/>
      <c r="F595" s="125"/>
      <c r="G595" s="125"/>
      <c r="H595" s="125"/>
      <c r="I595" s="125"/>
      <c r="J595" s="125"/>
      <c r="K595" s="125"/>
      <c r="L595" s="125"/>
      <c r="M595" s="125"/>
      <c r="N595" s="125"/>
      <c r="O595" s="125"/>
      <c r="P595" s="125"/>
      <c r="Q595" s="125"/>
      <c r="R595" s="125"/>
      <c r="S595" s="125"/>
      <c r="T595" s="125"/>
      <c r="U595" s="125"/>
      <c r="V595" s="125"/>
      <c r="W595" s="125"/>
      <c r="X595" s="125"/>
      <c r="Y595" s="125"/>
      <c r="Z595" s="125"/>
      <c r="AA595" s="125"/>
      <c r="AB595" s="125"/>
      <c r="AC595" s="125"/>
      <c r="AD595" s="125"/>
    </row>
    <row r="596">
      <c r="A596" s="124"/>
      <c r="B596" s="125"/>
      <c r="C596" s="125"/>
      <c r="D596" s="125"/>
      <c r="E596" s="125"/>
      <c r="F596" s="125"/>
      <c r="G596" s="125"/>
      <c r="H596" s="125"/>
      <c r="I596" s="125"/>
      <c r="J596" s="125"/>
      <c r="K596" s="125"/>
      <c r="L596" s="125"/>
      <c r="M596" s="125"/>
      <c r="N596" s="125"/>
      <c r="O596" s="125"/>
      <c r="P596" s="125"/>
      <c r="Q596" s="125"/>
      <c r="R596" s="125"/>
      <c r="S596" s="125"/>
      <c r="T596" s="125"/>
      <c r="U596" s="125"/>
      <c r="V596" s="125"/>
      <c r="W596" s="125"/>
      <c r="X596" s="125"/>
      <c r="Y596" s="125"/>
      <c r="Z596" s="125"/>
      <c r="AA596" s="125"/>
      <c r="AB596" s="125"/>
      <c r="AC596" s="125"/>
      <c r="AD596" s="125"/>
    </row>
    <row r="597">
      <c r="A597" s="124"/>
      <c r="B597" s="125"/>
      <c r="C597" s="125"/>
      <c r="D597" s="125"/>
      <c r="E597" s="125"/>
      <c r="F597" s="125"/>
      <c r="G597" s="125"/>
      <c r="H597" s="125"/>
      <c r="I597" s="125"/>
      <c r="J597" s="125"/>
      <c r="K597" s="125"/>
      <c r="L597" s="125"/>
      <c r="M597" s="125"/>
      <c r="N597" s="125"/>
      <c r="O597" s="125"/>
      <c r="P597" s="125"/>
      <c r="Q597" s="125"/>
      <c r="R597" s="125"/>
      <c r="S597" s="125"/>
      <c r="T597" s="125"/>
      <c r="U597" s="125"/>
      <c r="V597" s="125"/>
      <c r="W597" s="125"/>
      <c r="X597" s="125"/>
      <c r="Y597" s="125"/>
      <c r="Z597" s="125"/>
      <c r="AA597" s="125"/>
      <c r="AB597" s="125"/>
      <c r="AC597" s="125"/>
      <c r="AD597" s="125"/>
    </row>
    <row r="598">
      <c r="A598" s="124"/>
      <c r="B598" s="125"/>
      <c r="C598" s="125"/>
      <c r="D598" s="125"/>
      <c r="E598" s="125"/>
      <c r="F598" s="125"/>
      <c r="G598" s="125"/>
      <c r="H598" s="125"/>
      <c r="I598" s="125"/>
      <c r="J598" s="125"/>
      <c r="K598" s="125"/>
      <c r="L598" s="125"/>
      <c r="M598" s="125"/>
      <c r="N598" s="125"/>
      <c r="O598" s="125"/>
      <c r="P598" s="125"/>
      <c r="Q598" s="125"/>
      <c r="R598" s="125"/>
      <c r="S598" s="125"/>
      <c r="T598" s="125"/>
      <c r="U598" s="125"/>
      <c r="V598" s="125"/>
      <c r="W598" s="125"/>
      <c r="X598" s="125"/>
      <c r="Y598" s="125"/>
      <c r="Z598" s="125"/>
      <c r="AA598" s="125"/>
      <c r="AB598" s="125"/>
      <c r="AC598" s="125"/>
      <c r="AD598" s="125"/>
    </row>
    <row r="599">
      <c r="A599" s="124"/>
      <c r="B599" s="125"/>
      <c r="C599" s="125"/>
      <c r="D599" s="125"/>
      <c r="E599" s="125"/>
      <c r="F599" s="125"/>
      <c r="G599" s="125"/>
      <c r="H599" s="125"/>
      <c r="I599" s="125"/>
      <c r="J599" s="125"/>
      <c r="K599" s="125"/>
      <c r="L599" s="125"/>
      <c r="M599" s="125"/>
      <c r="N599" s="125"/>
      <c r="O599" s="125"/>
      <c r="P599" s="125"/>
      <c r="Q599" s="125"/>
      <c r="R599" s="125"/>
      <c r="S599" s="125"/>
      <c r="T599" s="125"/>
      <c r="U599" s="125"/>
      <c r="V599" s="125"/>
      <c r="W599" s="125"/>
      <c r="X599" s="125"/>
      <c r="Y599" s="125"/>
      <c r="Z599" s="125"/>
      <c r="AA599" s="125"/>
      <c r="AB599" s="125"/>
      <c r="AC599" s="125"/>
      <c r="AD599" s="125"/>
    </row>
    <row r="600">
      <c r="A600" s="124"/>
      <c r="B600" s="125"/>
      <c r="C600" s="125"/>
      <c r="D600" s="125"/>
      <c r="E600" s="125"/>
      <c r="F600" s="125"/>
      <c r="G600" s="125"/>
      <c r="H600" s="125"/>
      <c r="I600" s="125"/>
      <c r="J600" s="125"/>
      <c r="K600" s="125"/>
      <c r="L600" s="125"/>
      <c r="M600" s="125"/>
      <c r="N600" s="125"/>
      <c r="O600" s="125"/>
      <c r="P600" s="125"/>
      <c r="Q600" s="125"/>
      <c r="R600" s="125"/>
      <c r="S600" s="125"/>
      <c r="T600" s="125"/>
      <c r="U600" s="125"/>
      <c r="V600" s="125"/>
      <c r="W600" s="125"/>
      <c r="X600" s="125"/>
      <c r="Y600" s="125"/>
      <c r="Z600" s="125"/>
      <c r="AA600" s="125"/>
      <c r="AB600" s="125"/>
      <c r="AC600" s="125"/>
      <c r="AD600" s="125"/>
    </row>
    <row r="601">
      <c r="A601" s="124"/>
      <c r="B601" s="125"/>
      <c r="C601" s="125"/>
      <c r="D601" s="125"/>
      <c r="E601" s="125"/>
      <c r="F601" s="125"/>
      <c r="G601" s="125"/>
      <c r="H601" s="125"/>
      <c r="I601" s="125"/>
      <c r="J601" s="125"/>
      <c r="K601" s="125"/>
      <c r="L601" s="125"/>
      <c r="M601" s="125"/>
      <c r="N601" s="125"/>
      <c r="O601" s="125"/>
      <c r="P601" s="125"/>
      <c r="Q601" s="125"/>
      <c r="R601" s="125"/>
      <c r="S601" s="125"/>
      <c r="T601" s="125"/>
      <c r="U601" s="125"/>
      <c r="V601" s="125"/>
      <c r="W601" s="125"/>
      <c r="X601" s="125"/>
      <c r="Y601" s="125"/>
      <c r="Z601" s="125"/>
      <c r="AA601" s="125"/>
      <c r="AB601" s="125"/>
      <c r="AC601" s="125"/>
      <c r="AD601" s="125"/>
    </row>
    <row r="602">
      <c r="A602" s="124"/>
      <c r="B602" s="125"/>
      <c r="C602" s="125"/>
      <c r="D602" s="125"/>
      <c r="E602" s="125"/>
      <c r="F602" s="125"/>
      <c r="G602" s="125"/>
      <c r="H602" s="125"/>
      <c r="I602" s="125"/>
      <c r="J602" s="125"/>
      <c r="K602" s="125"/>
      <c r="L602" s="125"/>
      <c r="M602" s="125"/>
      <c r="N602" s="125"/>
      <c r="O602" s="125"/>
      <c r="P602" s="125"/>
      <c r="Q602" s="125"/>
      <c r="R602" s="125"/>
      <c r="S602" s="125"/>
      <c r="T602" s="125"/>
      <c r="U602" s="125"/>
      <c r="V602" s="125"/>
      <c r="W602" s="125"/>
      <c r="X602" s="125"/>
      <c r="Y602" s="125"/>
      <c r="Z602" s="125"/>
      <c r="AA602" s="125"/>
      <c r="AB602" s="125"/>
      <c r="AC602" s="125"/>
      <c r="AD602" s="125"/>
    </row>
    <row r="603">
      <c r="A603" s="124"/>
      <c r="B603" s="125"/>
      <c r="C603" s="125"/>
      <c r="D603" s="125"/>
      <c r="E603" s="125"/>
      <c r="F603" s="125"/>
      <c r="G603" s="125"/>
      <c r="H603" s="125"/>
      <c r="I603" s="125"/>
      <c r="J603" s="125"/>
      <c r="K603" s="125"/>
      <c r="L603" s="125"/>
      <c r="M603" s="125"/>
      <c r="N603" s="125"/>
      <c r="O603" s="125"/>
      <c r="P603" s="125"/>
      <c r="Q603" s="125"/>
      <c r="R603" s="125"/>
      <c r="S603" s="125"/>
      <c r="T603" s="125"/>
      <c r="U603" s="125"/>
      <c r="V603" s="125"/>
      <c r="W603" s="125"/>
      <c r="X603" s="125"/>
      <c r="Y603" s="125"/>
      <c r="Z603" s="125"/>
      <c r="AA603" s="125"/>
      <c r="AB603" s="125"/>
      <c r="AC603" s="125"/>
      <c r="AD603" s="125"/>
    </row>
    <row r="604">
      <c r="A604" s="124"/>
      <c r="B604" s="125"/>
      <c r="C604" s="125"/>
      <c r="D604" s="125"/>
      <c r="E604" s="125"/>
      <c r="F604" s="125"/>
      <c r="G604" s="125"/>
      <c r="H604" s="125"/>
      <c r="I604" s="125"/>
      <c r="J604" s="125"/>
      <c r="K604" s="125"/>
      <c r="L604" s="125"/>
      <c r="M604" s="125"/>
      <c r="N604" s="125"/>
      <c r="O604" s="125"/>
      <c r="P604" s="125"/>
      <c r="Q604" s="125"/>
      <c r="R604" s="125"/>
      <c r="S604" s="125"/>
      <c r="T604" s="125"/>
      <c r="U604" s="125"/>
      <c r="V604" s="125"/>
      <c r="W604" s="125"/>
      <c r="X604" s="125"/>
      <c r="Y604" s="125"/>
      <c r="Z604" s="125"/>
      <c r="AA604" s="125"/>
      <c r="AB604" s="125"/>
      <c r="AC604" s="125"/>
      <c r="AD604" s="125"/>
    </row>
    <row r="605">
      <c r="A605" s="124"/>
      <c r="B605" s="125"/>
      <c r="C605" s="125"/>
      <c r="D605" s="125"/>
      <c r="E605" s="125"/>
      <c r="F605" s="125"/>
      <c r="G605" s="125"/>
      <c r="H605" s="125"/>
      <c r="I605" s="125"/>
      <c r="J605" s="125"/>
      <c r="K605" s="125"/>
      <c r="L605" s="125"/>
      <c r="M605" s="125"/>
      <c r="N605" s="125"/>
      <c r="O605" s="125"/>
      <c r="P605" s="125"/>
      <c r="Q605" s="125"/>
      <c r="R605" s="125"/>
      <c r="S605" s="125"/>
      <c r="T605" s="125"/>
      <c r="U605" s="125"/>
      <c r="V605" s="125"/>
      <c r="W605" s="125"/>
      <c r="X605" s="125"/>
      <c r="Y605" s="125"/>
      <c r="Z605" s="125"/>
      <c r="AA605" s="125"/>
      <c r="AB605" s="125"/>
      <c r="AC605" s="125"/>
      <c r="AD605" s="125"/>
    </row>
    <row r="606">
      <c r="A606" s="124"/>
      <c r="B606" s="125"/>
      <c r="C606" s="125"/>
      <c r="D606" s="125"/>
      <c r="E606" s="125"/>
      <c r="F606" s="125"/>
      <c r="G606" s="125"/>
      <c r="H606" s="125"/>
      <c r="I606" s="125"/>
      <c r="J606" s="125"/>
      <c r="K606" s="125"/>
      <c r="L606" s="125"/>
      <c r="M606" s="125"/>
      <c r="N606" s="125"/>
      <c r="O606" s="125"/>
      <c r="P606" s="125"/>
      <c r="Q606" s="125"/>
      <c r="R606" s="125"/>
      <c r="S606" s="125"/>
      <c r="T606" s="125"/>
      <c r="U606" s="125"/>
      <c r="V606" s="125"/>
      <c r="W606" s="125"/>
      <c r="X606" s="125"/>
      <c r="Y606" s="125"/>
      <c r="Z606" s="125"/>
      <c r="AA606" s="125"/>
      <c r="AB606" s="125"/>
      <c r="AC606" s="125"/>
      <c r="AD606" s="125"/>
    </row>
    <row r="607">
      <c r="A607" s="124"/>
      <c r="B607" s="125"/>
      <c r="C607" s="125"/>
      <c r="D607" s="125"/>
      <c r="E607" s="125"/>
      <c r="F607" s="125"/>
      <c r="G607" s="125"/>
      <c r="H607" s="125"/>
      <c r="I607" s="125"/>
      <c r="J607" s="125"/>
      <c r="K607" s="125"/>
      <c r="L607" s="125"/>
      <c r="M607" s="125"/>
      <c r="N607" s="125"/>
      <c r="O607" s="125"/>
      <c r="P607" s="125"/>
      <c r="Q607" s="125"/>
      <c r="R607" s="125"/>
      <c r="S607" s="125"/>
      <c r="T607" s="125"/>
      <c r="U607" s="125"/>
      <c r="V607" s="125"/>
      <c r="W607" s="125"/>
      <c r="X607" s="125"/>
      <c r="Y607" s="125"/>
      <c r="Z607" s="125"/>
      <c r="AA607" s="125"/>
      <c r="AB607" s="125"/>
      <c r="AC607" s="125"/>
      <c r="AD607" s="125"/>
    </row>
    <row r="608">
      <c r="A608" s="124"/>
      <c r="B608" s="125"/>
      <c r="C608" s="125"/>
      <c r="D608" s="125"/>
      <c r="E608" s="125"/>
      <c r="F608" s="125"/>
      <c r="G608" s="125"/>
      <c r="H608" s="125"/>
      <c r="I608" s="125"/>
      <c r="J608" s="125"/>
      <c r="K608" s="125"/>
      <c r="L608" s="125"/>
      <c r="M608" s="125"/>
      <c r="N608" s="125"/>
      <c r="O608" s="125"/>
      <c r="P608" s="125"/>
      <c r="Q608" s="125"/>
      <c r="R608" s="125"/>
      <c r="S608" s="125"/>
      <c r="T608" s="125"/>
      <c r="U608" s="125"/>
      <c r="V608" s="125"/>
      <c r="W608" s="125"/>
      <c r="X608" s="125"/>
      <c r="Y608" s="125"/>
      <c r="Z608" s="125"/>
      <c r="AA608" s="125"/>
      <c r="AB608" s="125"/>
      <c r="AC608" s="125"/>
      <c r="AD608" s="125"/>
    </row>
    <row r="609">
      <c r="A609" s="124"/>
      <c r="B609" s="125"/>
      <c r="C609" s="125"/>
      <c r="D609" s="125"/>
      <c r="E609" s="125"/>
      <c r="F609" s="125"/>
      <c r="G609" s="125"/>
      <c r="H609" s="125"/>
      <c r="I609" s="125"/>
      <c r="J609" s="125"/>
      <c r="K609" s="125"/>
      <c r="L609" s="125"/>
      <c r="M609" s="125"/>
      <c r="N609" s="125"/>
      <c r="O609" s="125"/>
      <c r="P609" s="125"/>
      <c r="Q609" s="125"/>
      <c r="R609" s="125"/>
      <c r="S609" s="125"/>
      <c r="T609" s="125"/>
      <c r="U609" s="125"/>
      <c r="V609" s="125"/>
      <c r="W609" s="125"/>
      <c r="X609" s="125"/>
      <c r="Y609" s="125"/>
      <c r="Z609" s="125"/>
      <c r="AA609" s="125"/>
      <c r="AB609" s="125"/>
      <c r="AC609" s="125"/>
      <c r="AD609" s="125"/>
    </row>
    <row r="610">
      <c r="A610" s="124"/>
      <c r="B610" s="125"/>
      <c r="C610" s="125"/>
      <c r="D610" s="125"/>
      <c r="E610" s="125"/>
      <c r="F610" s="125"/>
      <c r="G610" s="125"/>
      <c r="H610" s="125"/>
      <c r="I610" s="125"/>
      <c r="J610" s="125"/>
      <c r="K610" s="125"/>
      <c r="L610" s="125"/>
      <c r="M610" s="125"/>
      <c r="N610" s="125"/>
      <c r="O610" s="125"/>
      <c r="P610" s="125"/>
      <c r="Q610" s="125"/>
      <c r="R610" s="125"/>
      <c r="S610" s="125"/>
      <c r="T610" s="125"/>
      <c r="U610" s="125"/>
      <c r="V610" s="125"/>
      <c r="W610" s="125"/>
      <c r="X610" s="125"/>
      <c r="Y610" s="125"/>
      <c r="Z610" s="125"/>
      <c r="AA610" s="125"/>
      <c r="AB610" s="125"/>
      <c r="AC610" s="125"/>
      <c r="AD610" s="125"/>
    </row>
    <row r="611">
      <c r="A611" s="124"/>
      <c r="B611" s="125"/>
      <c r="C611" s="125"/>
      <c r="D611" s="125"/>
      <c r="E611" s="125"/>
      <c r="F611" s="125"/>
      <c r="G611" s="125"/>
      <c r="H611" s="125"/>
      <c r="I611" s="125"/>
      <c r="J611" s="125"/>
      <c r="K611" s="125"/>
      <c r="L611" s="125"/>
      <c r="M611" s="125"/>
      <c r="N611" s="125"/>
      <c r="O611" s="125"/>
      <c r="P611" s="125"/>
      <c r="Q611" s="125"/>
      <c r="R611" s="125"/>
      <c r="S611" s="125"/>
      <c r="T611" s="125"/>
      <c r="U611" s="125"/>
      <c r="V611" s="125"/>
      <c r="W611" s="125"/>
      <c r="X611" s="125"/>
      <c r="Y611" s="125"/>
      <c r="Z611" s="125"/>
      <c r="AA611" s="125"/>
      <c r="AB611" s="125"/>
      <c r="AC611" s="125"/>
      <c r="AD611" s="125"/>
    </row>
    <row r="612">
      <c r="A612" s="124"/>
      <c r="B612" s="125"/>
      <c r="C612" s="125"/>
      <c r="D612" s="125"/>
      <c r="E612" s="125"/>
      <c r="F612" s="125"/>
      <c r="G612" s="125"/>
      <c r="H612" s="125"/>
      <c r="I612" s="125"/>
      <c r="J612" s="125"/>
      <c r="K612" s="125"/>
      <c r="L612" s="125"/>
      <c r="M612" s="125"/>
      <c r="N612" s="125"/>
      <c r="O612" s="125"/>
      <c r="P612" s="125"/>
      <c r="Q612" s="125"/>
      <c r="R612" s="125"/>
      <c r="S612" s="125"/>
      <c r="T612" s="125"/>
      <c r="U612" s="125"/>
      <c r="V612" s="125"/>
      <c r="W612" s="125"/>
      <c r="X612" s="125"/>
      <c r="Y612" s="125"/>
      <c r="Z612" s="125"/>
      <c r="AA612" s="125"/>
      <c r="AB612" s="125"/>
      <c r="AC612" s="125"/>
      <c r="AD612" s="125"/>
    </row>
    <row r="613">
      <c r="A613" s="124"/>
      <c r="B613" s="125"/>
      <c r="C613" s="125"/>
      <c r="D613" s="125"/>
      <c r="E613" s="125"/>
      <c r="F613" s="125"/>
      <c r="G613" s="125"/>
      <c r="H613" s="125"/>
      <c r="I613" s="125"/>
      <c r="J613" s="125"/>
      <c r="K613" s="125"/>
      <c r="L613" s="125"/>
      <c r="M613" s="125"/>
      <c r="N613" s="125"/>
      <c r="O613" s="125"/>
      <c r="P613" s="125"/>
      <c r="Q613" s="125"/>
      <c r="R613" s="125"/>
      <c r="S613" s="125"/>
      <c r="T613" s="125"/>
      <c r="U613" s="125"/>
      <c r="V613" s="125"/>
      <c r="W613" s="125"/>
      <c r="X613" s="125"/>
      <c r="Y613" s="125"/>
      <c r="Z613" s="125"/>
      <c r="AA613" s="125"/>
      <c r="AB613" s="125"/>
      <c r="AC613" s="125"/>
      <c r="AD613" s="125"/>
    </row>
    <row r="614">
      <c r="A614" s="124"/>
      <c r="B614" s="125"/>
      <c r="C614" s="125"/>
      <c r="D614" s="125"/>
      <c r="E614" s="125"/>
      <c r="F614" s="125"/>
      <c r="G614" s="125"/>
      <c r="H614" s="125"/>
      <c r="I614" s="125"/>
      <c r="J614" s="125"/>
      <c r="K614" s="125"/>
      <c r="L614" s="125"/>
      <c r="M614" s="125"/>
      <c r="N614" s="125"/>
      <c r="O614" s="125"/>
      <c r="P614" s="125"/>
      <c r="Q614" s="125"/>
      <c r="R614" s="125"/>
      <c r="S614" s="125"/>
      <c r="T614" s="125"/>
      <c r="U614" s="125"/>
      <c r="V614" s="125"/>
      <c r="W614" s="125"/>
      <c r="X614" s="125"/>
      <c r="Y614" s="125"/>
      <c r="Z614" s="125"/>
      <c r="AA614" s="125"/>
      <c r="AB614" s="125"/>
      <c r="AC614" s="125"/>
      <c r="AD614" s="125"/>
    </row>
    <row r="615">
      <c r="A615" s="124"/>
      <c r="B615" s="125"/>
      <c r="C615" s="125"/>
      <c r="D615" s="125"/>
      <c r="E615" s="125"/>
      <c r="F615" s="125"/>
      <c r="G615" s="125"/>
      <c r="H615" s="125"/>
      <c r="I615" s="125"/>
      <c r="J615" s="125"/>
      <c r="K615" s="125"/>
      <c r="L615" s="125"/>
      <c r="M615" s="125"/>
      <c r="N615" s="125"/>
      <c r="O615" s="125"/>
      <c r="P615" s="125"/>
      <c r="Q615" s="125"/>
      <c r="R615" s="125"/>
      <c r="S615" s="125"/>
      <c r="T615" s="125"/>
      <c r="U615" s="125"/>
      <c r="V615" s="125"/>
      <c r="W615" s="125"/>
      <c r="X615" s="125"/>
      <c r="Y615" s="125"/>
      <c r="Z615" s="125"/>
      <c r="AA615" s="125"/>
      <c r="AB615" s="125"/>
      <c r="AC615" s="125"/>
      <c r="AD615" s="125"/>
    </row>
    <row r="616">
      <c r="A616" s="124"/>
      <c r="B616" s="125"/>
      <c r="C616" s="125"/>
      <c r="D616" s="125"/>
      <c r="E616" s="125"/>
      <c r="F616" s="125"/>
      <c r="G616" s="125"/>
      <c r="H616" s="125"/>
      <c r="I616" s="125"/>
      <c r="J616" s="125"/>
      <c r="K616" s="125"/>
      <c r="L616" s="125"/>
      <c r="M616" s="125"/>
      <c r="N616" s="125"/>
      <c r="O616" s="125"/>
      <c r="P616" s="125"/>
      <c r="Q616" s="125"/>
      <c r="R616" s="125"/>
      <c r="S616" s="125"/>
      <c r="T616" s="125"/>
      <c r="U616" s="125"/>
      <c r="V616" s="125"/>
      <c r="W616" s="125"/>
      <c r="X616" s="125"/>
      <c r="Y616" s="125"/>
      <c r="Z616" s="125"/>
      <c r="AA616" s="125"/>
      <c r="AB616" s="125"/>
      <c r="AC616" s="125"/>
      <c r="AD616" s="125"/>
    </row>
    <row r="617">
      <c r="A617" s="124"/>
      <c r="B617" s="125"/>
      <c r="C617" s="125"/>
      <c r="D617" s="125"/>
      <c r="E617" s="125"/>
      <c r="F617" s="125"/>
      <c r="G617" s="125"/>
      <c r="H617" s="125"/>
      <c r="I617" s="125"/>
      <c r="J617" s="125"/>
      <c r="K617" s="125"/>
      <c r="L617" s="125"/>
      <c r="M617" s="125"/>
      <c r="N617" s="125"/>
      <c r="O617" s="125"/>
      <c r="P617" s="125"/>
      <c r="Q617" s="125"/>
      <c r="R617" s="125"/>
      <c r="S617" s="125"/>
      <c r="T617" s="125"/>
      <c r="U617" s="125"/>
      <c r="V617" s="125"/>
      <c r="W617" s="125"/>
      <c r="X617" s="125"/>
      <c r="Y617" s="125"/>
      <c r="Z617" s="125"/>
      <c r="AA617" s="125"/>
      <c r="AB617" s="125"/>
      <c r="AC617" s="125"/>
      <c r="AD617" s="125"/>
    </row>
    <row r="618">
      <c r="A618" s="124"/>
      <c r="B618" s="125"/>
      <c r="C618" s="125"/>
      <c r="D618" s="125"/>
      <c r="E618" s="125"/>
      <c r="F618" s="125"/>
      <c r="G618" s="125"/>
      <c r="H618" s="125"/>
      <c r="I618" s="125"/>
      <c r="J618" s="125"/>
      <c r="K618" s="125"/>
      <c r="L618" s="125"/>
      <c r="M618" s="125"/>
      <c r="N618" s="125"/>
      <c r="O618" s="125"/>
      <c r="P618" s="125"/>
      <c r="Q618" s="125"/>
      <c r="R618" s="125"/>
      <c r="S618" s="125"/>
      <c r="T618" s="125"/>
      <c r="U618" s="125"/>
      <c r="V618" s="125"/>
      <c r="W618" s="125"/>
      <c r="X618" s="125"/>
      <c r="Y618" s="125"/>
      <c r="Z618" s="125"/>
      <c r="AA618" s="125"/>
      <c r="AB618" s="125"/>
      <c r="AC618" s="125"/>
      <c r="AD618" s="125"/>
    </row>
    <row r="619">
      <c r="A619" s="124"/>
      <c r="B619" s="125"/>
      <c r="C619" s="125"/>
      <c r="D619" s="125"/>
      <c r="E619" s="125"/>
      <c r="F619" s="125"/>
      <c r="G619" s="125"/>
      <c r="H619" s="125"/>
      <c r="I619" s="125"/>
      <c r="J619" s="125"/>
      <c r="K619" s="125"/>
      <c r="L619" s="125"/>
      <c r="M619" s="125"/>
      <c r="N619" s="125"/>
      <c r="O619" s="125"/>
      <c r="P619" s="125"/>
      <c r="Q619" s="125"/>
      <c r="R619" s="125"/>
      <c r="S619" s="125"/>
      <c r="T619" s="125"/>
      <c r="U619" s="125"/>
      <c r="V619" s="125"/>
      <c r="W619" s="125"/>
      <c r="X619" s="125"/>
      <c r="Y619" s="125"/>
      <c r="Z619" s="125"/>
      <c r="AA619" s="125"/>
      <c r="AB619" s="125"/>
      <c r="AC619" s="125"/>
      <c r="AD619" s="125"/>
    </row>
    <row r="620">
      <c r="A620" s="124"/>
      <c r="B620" s="125"/>
      <c r="C620" s="125"/>
      <c r="D620" s="125"/>
      <c r="E620" s="125"/>
      <c r="F620" s="125"/>
      <c r="G620" s="125"/>
      <c r="H620" s="125"/>
      <c r="I620" s="125"/>
      <c r="J620" s="125"/>
      <c r="K620" s="125"/>
      <c r="L620" s="125"/>
      <c r="M620" s="125"/>
      <c r="N620" s="125"/>
      <c r="O620" s="125"/>
      <c r="P620" s="125"/>
      <c r="Q620" s="125"/>
      <c r="R620" s="125"/>
      <c r="S620" s="125"/>
      <c r="T620" s="125"/>
      <c r="U620" s="125"/>
      <c r="V620" s="125"/>
      <c r="W620" s="125"/>
      <c r="X620" s="125"/>
      <c r="Y620" s="125"/>
      <c r="Z620" s="125"/>
      <c r="AA620" s="125"/>
      <c r="AB620" s="125"/>
      <c r="AC620" s="125"/>
      <c r="AD620" s="125"/>
    </row>
    <row r="621">
      <c r="A621" s="124"/>
      <c r="B621" s="125"/>
      <c r="C621" s="125"/>
      <c r="D621" s="125"/>
      <c r="E621" s="125"/>
      <c r="F621" s="125"/>
      <c r="G621" s="125"/>
      <c r="H621" s="125"/>
      <c r="I621" s="125"/>
      <c r="J621" s="125"/>
      <c r="K621" s="125"/>
      <c r="L621" s="125"/>
      <c r="M621" s="125"/>
      <c r="N621" s="125"/>
      <c r="O621" s="125"/>
      <c r="P621" s="125"/>
      <c r="Q621" s="125"/>
      <c r="R621" s="125"/>
      <c r="S621" s="125"/>
      <c r="T621" s="125"/>
      <c r="U621" s="125"/>
      <c r="V621" s="125"/>
      <c r="W621" s="125"/>
      <c r="X621" s="125"/>
      <c r="Y621" s="125"/>
      <c r="Z621" s="125"/>
      <c r="AA621" s="125"/>
      <c r="AB621" s="125"/>
      <c r="AC621" s="125"/>
      <c r="AD621" s="125"/>
    </row>
    <row r="622">
      <c r="A622" s="124"/>
      <c r="B622" s="125"/>
      <c r="C622" s="125"/>
      <c r="D622" s="125"/>
      <c r="E622" s="125"/>
      <c r="F622" s="125"/>
      <c r="G622" s="125"/>
      <c r="H622" s="125"/>
      <c r="I622" s="125"/>
      <c r="J622" s="125"/>
      <c r="K622" s="125"/>
      <c r="L622" s="125"/>
      <c r="M622" s="125"/>
      <c r="N622" s="125"/>
      <c r="O622" s="125"/>
      <c r="P622" s="125"/>
      <c r="Q622" s="125"/>
      <c r="R622" s="125"/>
      <c r="S622" s="125"/>
      <c r="T622" s="125"/>
      <c r="U622" s="125"/>
      <c r="V622" s="125"/>
      <c r="W622" s="125"/>
      <c r="X622" s="125"/>
      <c r="Y622" s="125"/>
      <c r="Z622" s="125"/>
      <c r="AA622" s="125"/>
      <c r="AB622" s="125"/>
      <c r="AC622" s="125"/>
      <c r="AD622" s="125"/>
    </row>
    <row r="623">
      <c r="A623" s="124"/>
      <c r="B623" s="125"/>
      <c r="C623" s="125"/>
      <c r="D623" s="125"/>
      <c r="E623" s="125"/>
      <c r="F623" s="125"/>
      <c r="G623" s="125"/>
      <c r="H623" s="125"/>
      <c r="I623" s="125"/>
      <c r="J623" s="125"/>
      <c r="K623" s="125"/>
      <c r="L623" s="125"/>
      <c r="M623" s="125"/>
      <c r="N623" s="125"/>
      <c r="O623" s="125"/>
      <c r="P623" s="125"/>
      <c r="Q623" s="125"/>
      <c r="R623" s="125"/>
      <c r="S623" s="125"/>
      <c r="T623" s="125"/>
      <c r="U623" s="125"/>
      <c r="V623" s="125"/>
      <c r="W623" s="125"/>
      <c r="X623" s="125"/>
      <c r="Y623" s="125"/>
      <c r="Z623" s="125"/>
      <c r="AA623" s="125"/>
      <c r="AB623" s="125"/>
      <c r="AC623" s="125"/>
      <c r="AD623" s="125"/>
    </row>
    <row r="624">
      <c r="A624" s="124"/>
      <c r="B624" s="125"/>
      <c r="C624" s="125"/>
      <c r="D624" s="125"/>
      <c r="E624" s="125"/>
      <c r="F624" s="125"/>
      <c r="G624" s="125"/>
      <c r="H624" s="125"/>
      <c r="I624" s="125"/>
      <c r="J624" s="125"/>
      <c r="K624" s="125"/>
      <c r="L624" s="125"/>
      <c r="M624" s="125"/>
      <c r="N624" s="125"/>
      <c r="O624" s="125"/>
      <c r="P624" s="125"/>
      <c r="Q624" s="125"/>
      <c r="R624" s="125"/>
      <c r="S624" s="125"/>
      <c r="T624" s="125"/>
      <c r="U624" s="125"/>
      <c r="V624" s="125"/>
      <c r="W624" s="125"/>
      <c r="X624" s="125"/>
      <c r="Y624" s="125"/>
      <c r="Z624" s="125"/>
      <c r="AA624" s="125"/>
      <c r="AB624" s="125"/>
      <c r="AC624" s="125"/>
      <c r="AD624" s="125"/>
    </row>
    <row r="625">
      <c r="A625" s="124"/>
      <c r="B625" s="125"/>
      <c r="C625" s="125"/>
      <c r="D625" s="125"/>
      <c r="E625" s="125"/>
      <c r="F625" s="125"/>
      <c r="G625" s="125"/>
      <c r="H625" s="125"/>
      <c r="I625" s="125"/>
      <c r="J625" s="125"/>
      <c r="K625" s="125"/>
      <c r="L625" s="125"/>
      <c r="M625" s="125"/>
      <c r="N625" s="125"/>
      <c r="O625" s="125"/>
      <c r="P625" s="125"/>
      <c r="Q625" s="125"/>
      <c r="R625" s="125"/>
      <c r="S625" s="125"/>
      <c r="T625" s="125"/>
      <c r="U625" s="125"/>
      <c r="V625" s="125"/>
      <c r="W625" s="125"/>
      <c r="X625" s="125"/>
      <c r="Y625" s="125"/>
      <c r="Z625" s="125"/>
      <c r="AA625" s="125"/>
      <c r="AB625" s="125"/>
      <c r="AC625" s="125"/>
      <c r="AD625" s="125"/>
    </row>
    <row r="626">
      <c r="A626" s="124"/>
      <c r="B626" s="125"/>
      <c r="C626" s="125"/>
      <c r="D626" s="125"/>
      <c r="E626" s="125"/>
      <c r="F626" s="125"/>
      <c r="G626" s="125"/>
      <c r="H626" s="125"/>
      <c r="I626" s="125"/>
      <c r="J626" s="125"/>
      <c r="K626" s="125"/>
      <c r="L626" s="125"/>
      <c r="M626" s="125"/>
      <c r="N626" s="125"/>
      <c r="O626" s="125"/>
      <c r="P626" s="125"/>
      <c r="Q626" s="125"/>
      <c r="R626" s="125"/>
      <c r="S626" s="125"/>
      <c r="T626" s="125"/>
      <c r="U626" s="125"/>
      <c r="V626" s="125"/>
      <c r="W626" s="125"/>
      <c r="X626" s="125"/>
      <c r="Y626" s="125"/>
      <c r="Z626" s="125"/>
      <c r="AA626" s="125"/>
      <c r="AB626" s="125"/>
      <c r="AC626" s="125"/>
      <c r="AD626" s="125"/>
    </row>
    <row r="627">
      <c r="A627" s="124"/>
      <c r="B627" s="125"/>
      <c r="C627" s="125"/>
      <c r="D627" s="125"/>
      <c r="E627" s="125"/>
      <c r="F627" s="125"/>
      <c r="G627" s="125"/>
      <c r="H627" s="125"/>
      <c r="I627" s="125"/>
      <c r="J627" s="125"/>
      <c r="K627" s="125"/>
      <c r="L627" s="125"/>
      <c r="M627" s="125"/>
      <c r="N627" s="125"/>
      <c r="O627" s="125"/>
      <c r="P627" s="125"/>
      <c r="Q627" s="125"/>
      <c r="R627" s="125"/>
      <c r="S627" s="125"/>
      <c r="T627" s="125"/>
      <c r="U627" s="125"/>
      <c r="V627" s="125"/>
      <c r="W627" s="125"/>
      <c r="X627" s="125"/>
      <c r="Y627" s="125"/>
      <c r="Z627" s="125"/>
      <c r="AA627" s="125"/>
      <c r="AB627" s="125"/>
      <c r="AC627" s="125"/>
      <c r="AD627" s="125"/>
    </row>
    <row r="628">
      <c r="A628" s="124"/>
      <c r="B628" s="125"/>
      <c r="C628" s="125"/>
      <c r="D628" s="125"/>
      <c r="E628" s="125"/>
      <c r="F628" s="125"/>
      <c r="G628" s="125"/>
      <c r="H628" s="125"/>
      <c r="I628" s="125"/>
      <c r="J628" s="125"/>
      <c r="K628" s="125"/>
      <c r="L628" s="125"/>
      <c r="M628" s="125"/>
      <c r="N628" s="125"/>
      <c r="O628" s="125"/>
      <c r="P628" s="125"/>
      <c r="Q628" s="125"/>
      <c r="R628" s="125"/>
      <c r="S628" s="125"/>
      <c r="T628" s="125"/>
      <c r="U628" s="125"/>
      <c r="V628" s="125"/>
      <c r="W628" s="125"/>
      <c r="X628" s="125"/>
      <c r="Y628" s="125"/>
      <c r="Z628" s="125"/>
      <c r="AA628" s="125"/>
      <c r="AB628" s="125"/>
      <c r="AC628" s="125"/>
      <c r="AD628" s="125"/>
    </row>
    <row r="629">
      <c r="A629" s="124"/>
      <c r="B629" s="125"/>
      <c r="C629" s="125"/>
      <c r="D629" s="125"/>
      <c r="E629" s="125"/>
      <c r="F629" s="125"/>
      <c r="G629" s="125"/>
      <c r="H629" s="125"/>
      <c r="I629" s="125"/>
      <c r="J629" s="125"/>
      <c r="K629" s="125"/>
      <c r="L629" s="125"/>
      <c r="M629" s="125"/>
      <c r="N629" s="125"/>
      <c r="O629" s="125"/>
      <c r="P629" s="125"/>
      <c r="Q629" s="125"/>
      <c r="R629" s="125"/>
      <c r="S629" s="125"/>
      <c r="T629" s="125"/>
      <c r="U629" s="125"/>
      <c r="V629" s="125"/>
      <c r="W629" s="125"/>
      <c r="X629" s="125"/>
      <c r="Y629" s="125"/>
      <c r="Z629" s="125"/>
      <c r="AA629" s="125"/>
      <c r="AB629" s="125"/>
      <c r="AC629" s="125"/>
      <c r="AD629" s="125"/>
    </row>
    <row r="630">
      <c r="A630" s="124"/>
      <c r="B630" s="125"/>
      <c r="C630" s="125"/>
      <c r="D630" s="125"/>
      <c r="E630" s="125"/>
      <c r="F630" s="125"/>
      <c r="G630" s="125"/>
      <c r="H630" s="125"/>
      <c r="I630" s="125"/>
      <c r="J630" s="125"/>
      <c r="K630" s="125"/>
      <c r="L630" s="125"/>
      <c r="M630" s="125"/>
      <c r="N630" s="125"/>
      <c r="O630" s="125"/>
      <c r="P630" s="125"/>
      <c r="Q630" s="125"/>
      <c r="R630" s="125"/>
      <c r="S630" s="125"/>
      <c r="T630" s="125"/>
      <c r="U630" s="125"/>
      <c r="V630" s="125"/>
      <c r="W630" s="125"/>
      <c r="X630" s="125"/>
      <c r="Y630" s="125"/>
      <c r="Z630" s="125"/>
      <c r="AA630" s="125"/>
      <c r="AB630" s="125"/>
      <c r="AC630" s="125"/>
      <c r="AD630" s="125"/>
    </row>
    <row r="631">
      <c r="A631" s="124"/>
      <c r="B631" s="125"/>
      <c r="C631" s="125"/>
      <c r="D631" s="125"/>
      <c r="E631" s="125"/>
      <c r="F631" s="125"/>
      <c r="G631" s="125"/>
      <c r="H631" s="125"/>
      <c r="I631" s="125"/>
      <c r="J631" s="125"/>
      <c r="K631" s="125"/>
      <c r="L631" s="125"/>
      <c r="M631" s="125"/>
      <c r="N631" s="125"/>
      <c r="O631" s="125"/>
      <c r="P631" s="125"/>
      <c r="Q631" s="125"/>
      <c r="R631" s="125"/>
      <c r="S631" s="125"/>
      <c r="T631" s="125"/>
      <c r="U631" s="125"/>
      <c r="V631" s="125"/>
      <c r="W631" s="125"/>
      <c r="X631" s="125"/>
      <c r="Y631" s="125"/>
      <c r="Z631" s="125"/>
      <c r="AA631" s="125"/>
      <c r="AB631" s="125"/>
      <c r="AC631" s="125"/>
      <c r="AD631" s="125"/>
    </row>
    <row r="632">
      <c r="A632" s="124"/>
      <c r="B632" s="125"/>
      <c r="C632" s="125"/>
      <c r="D632" s="125"/>
      <c r="E632" s="125"/>
      <c r="F632" s="125"/>
      <c r="G632" s="125"/>
      <c r="H632" s="125"/>
      <c r="I632" s="125"/>
      <c r="J632" s="125"/>
      <c r="K632" s="125"/>
      <c r="L632" s="125"/>
      <c r="M632" s="125"/>
      <c r="N632" s="125"/>
      <c r="O632" s="125"/>
      <c r="P632" s="125"/>
      <c r="Q632" s="125"/>
      <c r="R632" s="125"/>
      <c r="S632" s="125"/>
      <c r="T632" s="125"/>
      <c r="U632" s="125"/>
      <c r="V632" s="125"/>
      <c r="W632" s="125"/>
      <c r="X632" s="125"/>
      <c r="Y632" s="125"/>
      <c r="Z632" s="125"/>
      <c r="AA632" s="125"/>
      <c r="AB632" s="125"/>
      <c r="AC632" s="125"/>
      <c r="AD632" s="125"/>
    </row>
    <row r="633">
      <c r="A633" s="124"/>
      <c r="B633" s="125"/>
      <c r="C633" s="125"/>
      <c r="D633" s="125"/>
      <c r="E633" s="125"/>
      <c r="F633" s="125"/>
      <c r="G633" s="125"/>
      <c r="H633" s="125"/>
      <c r="I633" s="125"/>
      <c r="J633" s="125"/>
      <c r="K633" s="125"/>
      <c r="L633" s="125"/>
      <c r="M633" s="125"/>
      <c r="N633" s="125"/>
      <c r="O633" s="125"/>
      <c r="P633" s="125"/>
      <c r="Q633" s="125"/>
      <c r="R633" s="125"/>
      <c r="S633" s="125"/>
      <c r="T633" s="125"/>
      <c r="U633" s="125"/>
      <c r="V633" s="125"/>
      <c r="W633" s="125"/>
      <c r="X633" s="125"/>
      <c r="Y633" s="125"/>
      <c r="Z633" s="125"/>
      <c r="AA633" s="125"/>
      <c r="AB633" s="125"/>
      <c r="AC633" s="125"/>
      <c r="AD633" s="125"/>
    </row>
    <row r="634">
      <c r="A634" s="124"/>
      <c r="B634" s="125"/>
      <c r="C634" s="125"/>
      <c r="D634" s="125"/>
      <c r="E634" s="125"/>
      <c r="F634" s="125"/>
      <c r="G634" s="125"/>
      <c r="H634" s="125"/>
      <c r="I634" s="125"/>
      <c r="J634" s="125"/>
      <c r="K634" s="125"/>
      <c r="L634" s="125"/>
      <c r="M634" s="125"/>
      <c r="N634" s="125"/>
      <c r="O634" s="125"/>
      <c r="P634" s="125"/>
      <c r="Q634" s="125"/>
      <c r="R634" s="125"/>
      <c r="S634" s="125"/>
      <c r="T634" s="125"/>
      <c r="U634" s="125"/>
      <c r="V634" s="125"/>
      <c r="W634" s="125"/>
      <c r="X634" s="125"/>
      <c r="Y634" s="125"/>
      <c r="Z634" s="125"/>
      <c r="AA634" s="125"/>
      <c r="AB634" s="125"/>
      <c r="AC634" s="125"/>
      <c r="AD634" s="125"/>
    </row>
    <row r="635">
      <c r="A635" s="124"/>
      <c r="B635" s="125"/>
      <c r="C635" s="125"/>
      <c r="D635" s="125"/>
      <c r="E635" s="125"/>
      <c r="F635" s="125"/>
      <c r="G635" s="125"/>
      <c r="H635" s="125"/>
      <c r="I635" s="125"/>
      <c r="J635" s="125"/>
      <c r="K635" s="125"/>
      <c r="L635" s="125"/>
      <c r="M635" s="125"/>
      <c r="N635" s="125"/>
      <c r="O635" s="125"/>
      <c r="P635" s="125"/>
      <c r="Q635" s="125"/>
      <c r="R635" s="125"/>
      <c r="S635" s="125"/>
      <c r="T635" s="125"/>
      <c r="U635" s="125"/>
      <c r="V635" s="125"/>
      <c r="W635" s="125"/>
      <c r="X635" s="125"/>
      <c r="Y635" s="125"/>
      <c r="Z635" s="125"/>
      <c r="AA635" s="125"/>
      <c r="AB635" s="125"/>
      <c r="AC635" s="125"/>
      <c r="AD635" s="125"/>
    </row>
    <row r="636">
      <c r="A636" s="124"/>
      <c r="B636" s="125"/>
      <c r="C636" s="125"/>
      <c r="D636" s="125"/>
      <c r="E636" s="125"/>
      <c r="F636" s="125"/>
      <c r="G636" s="125"/>
      <c r="H636" s="125"/>
      <c r="I636" s="125"/>
      <c r="J636" s="125"/>
      <c r="K636" s="125"/>
      <c r="L636" s="125"/>
      <c r="M636" s="125"/>
      <c r="N636" s="125"/>
      <c r="O636" s="125"/>
      <c r="P636" s="125"/>
      <c r="Q636" s="125"/>
      <c r="R636" s="125"/>
      <c r="S636" s="125"/>
      <c r="T636" s="125"/>
      <c r="U636" s="125"/>
      <c r="V636" s="125"/>
      <c r="W636" s="125"/>
      <c r="X636" s="125"/>
      <c r="Y636" s="125"/>
      <c r="Z636" s="125"/>
      <c r="AA636" s="125"/>
      <c r="AB636" s="125"/>
      <c r="AC636" s="125"/>
      <c r="AD636" s="125"/>
    </row>
    <row r="637">
      <c r="A637" s="124"/>
      <c r="B637" s="125"/>
      <c r="C637" s="125"/>
      <c r="D637" s="125"/>
      <c r="E637" s="125"/>
      <c r="F637" s="125"/>
      <c r="G637" s="125"/>
      <c r="H637" s="125"/>
      <c r="I637" s="125"/>
      <c r="J637" s="125"/>
      <c r="K637" s="125"/>
      <c r="L637" s="125"/>
      <c r="M637" s="125"/>
      <c r="N637" s="125"/>
      <c r="O637" s="125"/>
      <c r="P637" s="125"/>
      <c r="Q637" s="125"/>
      <c r="R637" s="125"/>
      <c r="S637" s="125"/>
      <c r="T637" s="125"/>
      <c r="U637" s="125"/>
      <c r="V637" s="125"/>
      <c r="W637" s="125"/>
      <c r="X637" s="125"/>
      <c r="Y637" s="125"/>
      <c r="Z637" s="125"/>
      <c r="AA637" s="125"/>
      <c r="AB637" s="125"/>
      <c r="AC637" s="125"/>
      <c r="AD637" s="125"/>
    </row>
    <row r="638">
      <c r="A638" s="124"/>
      <c r="B638" s="125"/>
      <c r="C638" s="125"/>
      <c r="D638" s="125"/>
      <c r="E638" s="125"/>
      <c r="F638" s="125"/>
      <c r="G638" s="125"/>
      <c r="H638" s="125"/>
      <c r="I638" s="125"/>
      <c r="J638" s="125"/>
      <c r="K638" s="125"/>
      <c r="L638" s="125"/>
      <c r="M638" s="125"/>
      <c r="N638" s="125"/>
      <c r="O638" s="125"/>
      <c r="P638" s="125"/>
      <c r="Q638" s="125"/>
      <c r="R638" s="125"/>
      <c r="S638" s="125"/>
      <c r="T638" s="125"/>
      <c r="U638" s="125"/>
      <c r="V638" s="125"/>
      <c r="W638" s="125"/>
      <c r="X638" s="125"/>
      <c r="Y638" s="125"/>
      <c r="Z638" s="125"/>
      <c r="AA638" s="125"/>
      <c r="AB638" s="125"/>
      <c r="AC638" s="125"/>
      <c r="AD638" s="125"/>
    </row>
    <row r="639">
      <c r="A639" s="124"/>
      <c r="B639" s="125"/>
      <c r="C639" s="125"/>
      <c r="D639" s="125"/>
      <c r="E639" s="125"/>
      <c r="F639" s="125"/>
      <c r="G639" s="125"/>
      <c r="H639" s="125"/>
      <c r="I639" s="125"/>
      <c r="J639" s="125"/>
      <c r="K639" s="125"/>
      <c r="L639" s="125"/>
      <c r="M639" s="125"/>
      <c r="N639" s="125"/>
      <c r="O639" s="125"/>
      <c r="P639" s="125"/>
      <c r="Q639" s="125"/>
      <c r="R639" s="125"/>
      <c r="S639" s="125"/>
      <c r="T639" s="125"/>
      <c r="U639" s="125"/>
      <c r="V639" s="125"/>
      <c r="W639" s="125"/>
      <c r="X639" s="125"/>
      <c r="Y639" s="125"/>
      <c r="Z639" s="125"/>
      <c r="AA639" s="125"/>
      <c r="AB639" s="125"/>
      <c r="AC639" s="125"/>
      <c r="AD639" s="125"/>
    </row>
    <row r="640">
      <c r="A640" s="124"/>
      <c r="B640" s="125"/>
      <c r="C640" s="125"/>
      <c r="D640" s="125"/>
      <c r="E640" s="125"/>
      <c r="F640" s="125"/>
      <c r="G640" s="125"/>
      <c r="H640" s="125"/>
      <c r="I640" s="125"/>
      <c r="J640" s="125"/>
      <c r="K640" s="125"/>
      <c r="L640" s="125"/>
      <c r="M640" s="125"/>
      <c r="N640" s="125"/>
      <c r="O640" s="125"/>
      <c r="P640" s="125"/>
      <c r="Q640" s="125"/>
      <c r="R640" s="125"/>
      <c r="S640" s="125"/>
      <c r="T640" s="125"/>
      <c r="U640" s="125"/>
      <c r="V640" s="125"/>
      <c r="W640" s="125"/>
      <c r="X640" s="125"/>
      <c r="Y640" s="125"/>
      <c r="Z640" s="125"/>
      <c r="AA640" s="125"/>
      <c r="AB640" s="125"/>
      <c r="AC640" s="125"/>
      <c r="AD640" s="125"/>
    </row>
    <row r="641">
      <c r="A641" s="124"/>
      <c r="B641" s="125"/>
      <c r="C641" s="125"/>
      <c r="D641" s="125"/>
      <c r="E641" s="125"/>
      <c r="F641" s="125"/>
      <c r="G641" s="125"/>
      <c r="H641" s="125"/>
      <c r="I641" s="125"/>
      <c r="J641" s="125"/>
      <c r="K641" s="125"/>
      <c r="L641" s="125"/>
      <c r="M641" s="125"/>
      <c r="N641" s="125"/>
      <c r="O641" s="125"/>
      <c r="P641" s="125"/>
      <c r="Q641" s="125"/>
      <c r="R641" s="125"/>
      <c r="S641" s="125"/>
      <c r="T641" s="125"/>
      <c r="U641" s="125"/>
      <c r="V641" s="125"/>
      <c r="W641" s="125"/>
      <c r="X641" s="125"/>
      <c r="Y641" s="125"/>
      <c r="Z641" s="125"/>
      <c r="AA641" s="125"/>
      <c r="AB641" s="125"/>
      <c r="AC641" s="125"/>
      <c r="AD641" s="125"/>
    </row>
    <row r="642">
      <c r="A642" s="124"/>
      <c r="B642" s="125"/>
      <c r="C642" s="125"/>
      <c r="D642" s="125"/>
      <c r="E642" s="125"/>
      <c r="F642" s="125"/>
      <c r="G642" s="125"/>
      <c r="H642" s="125"/>
      <c r="I642" s="125"/>
      <c r="J642" s="125"/>
      <c r="K642" s="125"/>
      <c r="L642" s="125"/>
      <c r="M642" s="125"/>
      <c r="N642" s="125"/>
      <c r="O642" s="125"/>
      <c r="P642" s="125"/>
      <c r="Q642" s="125"/>
      <c r="R642" s="125"/>
      <c r="S642" s="125"/>
      <c r="T642" s="125"/>
      <c r="U642" s="125"/>
      <c r="V642" s="125"/>
      <c r="W642" s="125"/>
      <c r="X642" s="125"/>
      <c r="Y642" s="125"/>
      <c r="Z642" s="125"/>
      <c r="AA642" s="125"/>
      <c r="AB642" s="125"/>
      <c r="AC642" s="125"/>
      <c r="AD642" s="125"/>
    </row>
    <row r="643">
      <c r="A643" s="124"/>
      <c r="B643" s="125"/>
      <c r="C643" s="125"/>
      <c r="D643" s="125"/>
      <c r="E643" s="125"/>
      <c r="F643" s="125"/>
      <c r="G643" s="125"/>
      <c r="H643" s="125"/>
      <c r="I643" s="125"/>
      <c r="J643" s="125"/>
      <c r="K643" s="125"/>
      <c r="L643" s="125"/>
      <c r="M643" s="125"/>
      <c r="N643" s="125"/>
      <c r="O643" s="125"/>
      <c r="P643" s="125"/>
      <c r="Q643" s="125"/>
      <c r="R643" s="125"/>
      <c r="S643" s="125"/>
      <c r="T643" s="125"/>
      <c r="U643" s="125"/>
      <c r="V643" s="125"/>
      <c r="W643" s="125"/>
      <c r="X643" s="125"/>
      <c r="Y643" s="125"/>
      <c r="Z643" s="125"/>
      <c r="AA643" s="125"/>
      <c r="AB643" s="125"/>
      <c r="AC643" s="125"/>
      <c r="AD643" s="125"/>
    </row>
    <row r="644">
      <c r="A644" s="124"/>
      <c r="B644" s="125"/>
      <c r="C644" s="125"/>
      <c r="D644" s="125"/>
      <c r="E644" s="125"/>
      <c r="F644" s="125"/>
      <c r="G644" s="125"/>
      <c r="H644" s="125"/>
      <c r="I644" s="125"/>
      <c r="J644" s="125"/>
      <c r="K644" s="125"/>
      <c r="L644" s="125"/>
      <c r="M644" s="125"/>
      <c r="N644" s="125"/>
      <c r="O644" s="125"/>
      <c r="P644" s="125"/>
      <c r="Q644" s="125"/>
      <c r="R644" s="125"/>
      <c r="S644" s="125"/>
      <c r="T644" s="125"/>
      <c r="U644" s="125"/>
      <c r="V644" s="125"/>
      <c r="W644" s="125"/>
      <c r="X644" s="125"/>
      <c r="Y644" s="125"/>
      <c r="Z644" s="125"/>
      <c r="AA644" s="125"/>
      <c r="AB644" s="125"/>
      <c r="AC644" s="125"/>
      <c r="AD644" s="125"/>
    </row>
    <row r="645">
      <c r="A645" s="124"/>
      <c r="B645" s="125"/>
      <c r="C645" s="125"/>
      <c r="D645" s="125"/>
      <c r="E645" s="125"/>
      <c r="F645" s="125"/>
      <c r="G645" s="125"/>
      <c r="H645" s="125"/>
      <c r="I645" s="125"/>
      <c r="J645" s="125"/>
      <c r="K645" s="125"/>
      <c r="L645" s="125"/>
      <c r="M645" s="125"/>
      <c r="N645" s="125"/>
      <c r="O645" s="125"/>
      <c r="P645" s="125"/>
      <c r="Q645" s="125"/>
      <c r="R645" s="125"/>
      <c r="S645" s="125"/>
      <c r="T645" s="125"/>
      <c r="U645" s="125"/>
      <c r="V645" s="125"/>
      <c r="W645" s="125"/>
      <c r="X645" s="125"/>
      <c r="Y645" s="125"/>
      <c r="Z645" s="125"/>
      <c r="AA645" s="125"/>
      <c r="AB645" s="125"/>
      <c r="AC645" s="125"/>
      <c r="AD645" s="125"/>
    </row>
    <row r="646">
      <c r="A646" s="124"/>
      <c r="B646" s="125"/>
      <c r="C646" s="125"/>
      <c r="D646" s="125"/>
      <c r="E646" s="125"/>
      <c r="F646" s="125"/>
      <c r="G646" s="125"/>
      <c r="H646" s="125"/>
      <c r="I646" s="125"/>
      <c r="J646" s="125"/>
      <c r="K646" s="125"/>
      <c r="L646" s="125"/>
      <c r="M646" s="125"/>
      <c r="N646" s="125"/>
      <c r="O646" s="125"/>
      <c r="P646" s="125"/>
      <c r="Q646" s="125"/>
      <c r="R646" s="125"/>
      <c r="S646" s="125"/>
      <c r="T646" s="125"/>
      <c r="U646" s="125"/>
      <c r="V646" s="125"/>
      <c r="W646" s="125"/>
      <c r="X646" s="125"/>
      <c r="Y646" s="125"/>
      <c r="Z646" s="125"/>
      <c r="AA646" s="125"/>
      <c r="AB646" s="125"/>
      <c r="AC646" s="125"/>
      <c r="AD646" s="125"/>
    </row>
    <row r="647">
      <c r="A647" s="124"/>
      <c r="B647" s="125"/>
      <c r="C647" s="125"/>
      <c r="D647" s="125"/>
      <c r="E647" s="125"/>
      <c r="F647" s="125"/>
      <c r="G647" s="125"/>
      <c r="H647" s="125"/>
      <c r="I647" s="125"/>
      <c r="J647" s="125"/>
      <c r="K647" s="125"/>
      <c r="L647" s="125"/>
      <c r="M647" s="125"/>
      <c r="N647" s="125"/>
      <c r="O647" s="125"/>
      <c r="P647" s="125"/>
      <c r="Q647" s="125"/>
      <c r="R647" s="125"/>
      <c r="S647" s="125"/>
      <c r="T647" s="125"/>
      <c r="U647" s="125"/>
      <c r="V647" s="125"/>
      <c r="W647" s="125"/>
      <c r="X647" s="125"/>
      <c r="Y647" s="125"/>
      <c r="Z647" s="125"/>
      <c r="AA647" s="125"/>
      <c r="AB647" s="125"/>
      <c r="AC647" s="125"/>
      <c r="AD647" s="125"/>
    </row>
    <row r="648">
      <c r="A648" s="124"/>
      <c r="B648" s="125"/>
      <c r="C648" s="125"/>
      <c r="D648" s="125"/>
      <c r="E648" s="125"/>
      <c r="F648" s="125"/>
      <c r="G648" s="125"/>
      <c r="H648" s="125"/>
      <c r="I648" s="125"/>
      <c r="J648" s="125"/>
      <c r="K648" s="125"/>
      <c r="L648" s="125"/>
      <c r="M648" s="125"/>
      <c r="N648" s="125"/>
      <c r="O648" s="125"/>
      <c r="P648" s="125"/>
      <c r="Q648" s="125"/>
      <c r="R648" s="125"/>
      <c r="S648" s="125"/>
      <c r="T648" s="125"/>
      <c r="U648" s="125"/>
      <c r="V648" s="125"/>
      <c r="W648" s="125"/>
      <c r="X648" s="125"/>
      <c r="Y648" s="125"/>
      <c r="Z648" s="125"/>
      <c r="AA648" s="125"/>
      <c r="AB648" s="125"/>
      <c r="AC648" s="125"/>
      <c r="AD648" s="125"/>
    </row>
    <row r="649">
      <c r="A649" s="124"/>
      <c r="B649" s="125"/>
      <c r="C649" s="125"/>
      <c r="D649" s="125"/>
      <c r="E649" s="125"/>
      <c r="F649" s="125"/>
      <c r="G649" s="125"/>
      <c r="H649" s="125"/>
      <c r="I649" s="125"/>
      <c r="J649" s="125"/>
      <c r="K649" s="125"/>
      <c r="L649" s="125"/>
      <c r="M649" s="125"/>
      <c r="N649" s="125"/>
      <c r="O649" s="125"/>
      <c r="P649" s="125"/>
      <c r="Q649" s="125"/>
      <c r="R649" s="125"/>
      <c r="S649" s="125"/>
      <c r="T649" s="125"/>
      <c r="U649" s="125"/>
      <c r="V649" s="125"/>
      <c r="W649" s="125"/>
      <c r="X649" s="125"/>
      <c r="Y649" s="125"/>
      <c r="Z649" s="125"/>
      <c r="AA649" s="125"/>
      <c r="AB649" s="125"/>
      <c r="AC649" s="125"/>
      <c r="AD649" s="125"/>
    </row>
    <row r="650">
      <c r="A650" s="124"/>
      <c r="B650" s="125"/>
      <c r="C650" s="125"/>
      <c r="D650" s="125"/>
      <c r="E650" s="125"/>
      <c r="F650" s="125"/>
      <c r="G650" s="125"/>
      <c r="H650" s="125"/>
      <c r="I650" s="125"/>
      <c r="J650" s="125"/>
      <c r="K650" s="125"/>
      <c r="L650" s="125"/>
      <c r="M650" s="125"/>
      <c r="N650" s="125"/>
      <c r="O650" s="125"/>
      <c r="P650" s="125"/>
      <c r="Q650" s="125"/>
      <c r="R650" s="125"/>
      <c r="S650" s="125"/>
      <c r="T650" s="125"/>
      <c r="U650" s="125"/>
      <c r="V650" s="125"/>
      <c r="W650" s="125"/>
      <c r="X650" s="125"/>
      <c r="Y650" s="125"/>
      <c r="Z650" s="125"/>
      <c r="AA650" s="125"/>
      <c r="AB650" s="125"/>
      <c r="AC650" s="125"/>
      <c r="AD650" s="125"/>
    </row>
    <row r="651">
      <c r="A651" s="124"/>
      <c r="B651" s="125"/>
      <c r="C651" s="125"/>
      <c r="D651" s="125"/>
      <c r="E651" s="125"/>
      <c r="F651" s="125"/>
      <c r="G651" s="125"/>
      <c r="H651" s="125"/>
      <c r="I651" s="125"/>
      <c r="J651" s="125"/>
      <c r="K651" s="125"/>
      <c r="L651" s="125"/>
      <c r="M651" s="125"/>
      <c r="N651" s="125"/>
      <c r="O651" s="125"/>
      <c r="P651" s="125"/>
      <c r="Q651" s="125"/>
      <c r="R651" s="125"/>
      <c r="S651" s="125"/>
      <c r="T651" s="125"/>
      <c r="U651" s="125"/>
      <c r="V651" s="125"/>
      <c r="W651" s="125"/>
      <c r="X651" s="125"/>
      <c r="Y651" s="125"/>
      <c r="Z651" s="125"/>
      <c r="AA651" s="125"/>
      <c r="AB651" s="125"/>
      <c r="AC651" s="125"/>
      <c r="AD651" s="125"/>
    </row>
    <row r="652">
      <c r="A652" s="124"/>
      <c r="B652" s="125"/>
      <c r="C652" s="125"/>
      <c r="D652" s="125"/>
      <c r="E652" s="125"/>
      <c r="F652" s="125"/>
      <c r="G652" s="125"/>
      <c r="H652" s="125"/>
      <c r="I652" s="125"/>
      <c r="J652" s="125"/>
      <c r="K652" s="125"/>
      <c r="L652" s="125"/>
      <c r="M652" s="125"/>
      <c r="N652" s="125"/>
      <c r="O652" s="125"/>
      <c r="P652" s="125"/>
      <c r="Q652" s="125"/>
      <c r="R652" s="125"/>
      <c r="S652" s="125"/>
      <c r="T652" s="125"/>
      <c r="U652" s="125"/>
      <c r="V652" s="125"/>
      <c r="W652" s="125"/>
      <c r="X652" s="125"/>
      <c r="Y652" s="125"/>
      <c r="Z652" s="125"/>
      <c r="AA652" s="125"/>
      <c r="AB652" s="125"/>
      <c r="AC652" s="125"/>
      <c r="AD652" s="125"/>
    </row>
    <row r="653">
      <c r="A653" s="124"/>
      <c r="B653" s="125"/>
      <c r="C653" s="125"/>
      <c r="D653" s="125"/>
      <c r="E653" s="125"/>
      <c r="F653" s="125"/>
      <c r="G653" s="125"/>
      <c r="H653" s="125"/>
      <c r="I653" s="125"/>
      <c r="J653" s="125"/>
      <c r="K653" s="125"/>
      <c r="L653" s="125"/>
      <c r="M653" s="125"/>
      <c r="N653" s="125"/>
      <c r="O653" s="125"/>
      <c r="P653" s="125"/>
      <c r="Q653" s="125"/>
      <c r="R653" s="125"/>
      <c r="S653" s="125"/>
      <c r="T653" s="125"/>
      <c r="U653" s="125"/>
      <c r="V653" s="125"/>
      <c r="W653" s="125"/>
      <c r="X653" s="125"/>
      <c r="Y653" s="125"/>
      <c r="Z653" s="125"/>
      <c r="AA653" s="125"/>
      <c r="AB653" s="125"/>
      <c r="AC653" s="125"/>
      <c r="AD653" s="125"/>
    </row>
    <row r="654">
      <c r="A654" s="124"/>
      <c r="B654" s="125"/>
      <c r="C654" s="125"/>
      <c r="D654" s="125"/>
      <c r="E654" s="125"/>
      <c r="F654" s="125"/>
      <c r="G654" s="125"/>
      <c r="H654" s="125"/>
      <c r="I654" s="125"/>
      <c r="J654" s="125"/>
      <c r="K654" s="125"/>
      <c r="L654" s="125"/>
      <c r="M654" s="125"/>
      <c r="N654" s="125"/>
      <c r="O654" s="125"/>
      <c r="P654" s="125"/>
      <c r="Q654" s="125"/>
      <c r="R654" s="125"/>
      <c r="S654" s="125"/>
      <c r="T654" s="125"/>
      <c r="U654" s="125"/>
      <c r="V654" s="125"/>
      <c r="W654" s="125"/>
      <c r="X654" s="125"/>
      <c r="Y654" s="125"/>
      <c r="Z654" s="125"/>
      <c r="AA654" s="125"/>
      <c r="AB654" s="125"/>
      <c r="AC654" s="125"/>
      <c r="AD654" s="125"/>
    </row>
    <row r="655">
      <c r="A655" s="124"/>
      <c r="B655" s="125"/>
      <c r="C655" s="125"/>
      <c r="D655" s="125"/>
      <c r="E655" s="125"/>
      <c r="F655" s="125"/>
      <c r="G655" s="125"/>
      <c r="H655" s="125"/>
      <c r="I655" s="125"/>
      <c r="J655" s="125"/>
      <c r="K655" s="125"/>
      <c r="L655" s="125"/>
      <c r="M655" s="125"/>
      <c r="N655" s="125"/>
      <c r="O655" s="125"/>
      <c r="P655" s="125"/>
      <c r="Q655" s="125"/>
      <c r="R655" s="125"/>
      <c r="S655" s="125"/>
      <c r="T655" s="125"/>
      <c r="U655" s="125"/>
      <c r="V655" s="125"/>
      <c r="W655" s="125"/>
      <c r="X655" s="125"/>
      <c r="Y655" s="125"/>
      <c r="Z655" s="125"/>
      <c r="AA655" s="125"/>
      <c r="AB655" s="125"/>
      <c r="AC655" s="125"/>
      <c r="AD655" s="125"/>
    </row>
    <row r="656">
      <c r="A656" s="124"/>
      <c r="B656" s="125"/>
      <c r="C656" s="125"/>
      <c r="D656" s="125"/>
      <c r="E656" s="125"/>
      <c r="F656" s="125"/>
      <c r="G656" s="125"/>
      <c r="H656" s="125"/>
      <c r="I656" s="125"/>
      <c r="J656" s="125"/>
      <c r="K656" s="125"/>
      <c r="L656" s="125"/>
      <c r="M656" s="125"/>
      <c r="N656" s="125"/>
      <c r="O656" s="125"/>
      <c r="P656" s="125"/>
      <c r="Q656" s="125"/>
      <c r="R656" s="125"/>
      <c r="S656" s="125"/>
      <c r="T656" s="125"/>
      <c r="U656" s="125"/>
      <c r="V656" s="125"/>
      <c r="W656" s="125"/>
      <c r="X656" s="125"/>
      <c r="Y656" s="125"/>
      <c r="Z656" s="125"/>
      <c r="AA656" s="125"/>
      <c r="AB656" s="125"/>
      <c r="AC656" s="125"/>
      <c r="AD656" s="125"/>
    </row>
    <row r="657">
      <c r="A657" s="124"/>
      <c r="B657" s="125"/>
      <c r="C657" s="125"/>
      <c r="D657" s="125"/>
      <c r="E657" s="125"/>
      <c r="F657" s="125"/>
      <c r="G657" s="125"/>
      <c r="H657" s="125"/>
      <c r="I657" s="125"/>
      <c r="J657" s="125"/>
      <c r="K657" s="125"/>
      <c r="L657" s="125"/>
      <c r="M657" s="125"/>
      <c r="N657" s="125"/>
      <c r="O657" s="125"/>
      <c r="P657" s="125"/>
      <c r="Q657" s="125"/>
      <c r="R657" s="125"/>
      <c r="S657" s="125"/>
      <c r="T657" s="125"/>
      <c r="U657" s="125"/>
      <c r="V657" s="125"/>
      <c r="W657" s="125"/>
      <c r="X657" s="125"/>
      <c r="Y657" s="125"/>
      <c r="Z657" s="125"/>
      <c r="AA657" s="125"/>
      <c r="AB657" s="125"/>
      <c r="AC657" s="125"/>
      <c r="AD657" s="125"/>
    </row>
    <row r="658">
      <c r="A658" s="124"/>
      <c r="B658" s="125"/>
      <c r="C658" s="125"/>
      <c r="D658" s="125"/>
      <c r="E658" s="125"/>
      <c r="F658" s="125"/>
      <c r="G658" s="125"/>
      <c r="H658" s="125"/>
      <c r="I658" s="125"/>
      <c r="J658" s="125"/>
      <c r="K658" s="125"/>
      <c r="L658" s="125"/>
      <c r="M658" s="125"/>
      <c r="N658" s="125"/>
      <c r="O658" s="125"/>
      <c r="P658" s="125"/>
      <c r="Q658" s="125"/>
      <c r="R658" s="125"/>
      <c r="S658" s="125"/>
      <c r="T658" s="125"/>
      <c r="U658" s="125"/>
      <c r="V658" s="125"/>
      <c r="W658" s="125"/>
      <c r="X658" s="125"/>
      <c r="Y658" s="125"/>
      <c r="Z658" s="125"/>
      <c r="AA658" s="125"/>
      <c r="AB658" s="125"/>
      <c r="AC658" s="125"/>
      <c r="AD658" s="125"/>
    </row>
    <row r="659">
      <c r="A659" s="124"/>
      <c r="B659" s="125"/>
      <c r="C659" s="125"/>
      <c r="D659" s="125"/>
      <c r="E659" s="125"/>
      <c r="F659" s="125"/>
      <c r="G659" s="125"/>
      <c r="H659" s="125"/>
      <c r="I659" s="125"/>
      <c r="J659" s="125"/>
      <c r="K659" s="125"/>
      <c r="L659" s="125"/>
      <c r="M659" s="125"/>
      <c r="N659" s="125"/>
      <c r="O659" s="125"/>
      <c r="P659" s="125"/>
      <c r="Q659" s="125"/>
      <c r="R659" s="125"/>
      <c r="S659" s="125"/>
      <c r="T659" s="125"/>
      <c r="U659" s="125"/>
      <c r="V659" s="125"/>
      <c r="W659" s="125"/>
      <c r="X659" s="125"/>
      <c r="Y659" s="125"/>
      <c r="Z659" s="125"/>
      <c r="AA659" s="125"/>
      <c r="AB659" s="125"/>
      <c r="AC659" s="125"/>
      <c r="AD659" s="125"/>
    </row>
    <row r="660">
      <c r="A660" s="124"/>
      <c r="B660" s="125"/>
      <c r="C660" s="125"/>
      <c r="D660" s="125"/>
      <c r="E660" s="125"/>
      <c r="F660" s="125"/>
      <c r="G660" s="125"/>
      <c r="H660" s="125"/>
      <c r="I660" s="125"/>
      <c r="J660" s="125"/>
      <c r="K660" s="125"/>
      <c r="L660" s="125"/>
      <c r="M660" s="125"/>
      <c r="N660" s="125"/>
      <c r="O660" s="125"/>
      <c r="P660" s="125"/>
      <c r="Q660" s="125"/>
      <c r="R660" s="125"/>
      <c r="S660" s="125"/>
      <c r="T660" s="125"/>
      <c r="U660" s="125"/>
      <c r="V660" s="125"/>
      <c r="W660" s="125"/>
      <c r="X660" s="125"/>
      <c r="Y660" s="125"/>
      <c r="Z660" s="125"/>
      <c r="AA660" s="125"/>
      <c r="AB660" s="125"/>
      <c r="AC660" s="125"/>
      <c r="AD660" s="125"/>
    </row>
    <row r="661">
      <c r="A661" s="124"/>
      <c r="B661" s="125"/>
      <c r="C661" s="125"/>
      <c r="D661" s="125"/>
      <c r="E661" s="125"/>
      <c r="F661" s="125"/>
      <c r="G661" s="125"/>
      <c r="H661" s="125"/>
      <c r="I661" s="125"/>
      <c r="J661" s="125"/>
      <c r="K661" s="125"/>
      <c r="L661" s="125"/>
      <c r="M661" s="125"/>
      <c r="N661" s="125"/>
      <c r="O661" s="125"/>
      <c r="P661" s="125"/>
      <c r="Q661" s="125"/>
      <c r="R661" s="125"/>
      <c r="S661" s="125"/>
      <c r="T661" s="125"/>
      <c r="U661" s="125"/>
      <c r="V661" s="125"/>
      <c r="W661" s="125"/>
      <c r="X661" s="125"/>
      <c r="Y661" s="125"/>
      <c r="Z661" s="125"/>
      <c r="AA661" s="125"/>
      <c r="AB661" s="125"/>
      <c r="AC661" s="125"/>
      <c r="AD661" s="125"/>
    </row>
    <row r="662">
      <c r="A662" s="124"/>
      <c r="B662" s="125"/>
      <c r="C662" s="125"/>
      <c r="D662" s="125"/>
      <c r="E662" s="125"/>
      <c r="F662" s="125"/>
      <c r="G662" s="125"/>
      <c r="H662" s="125"/>
      <c r="I662" s="125"/>
      <c r="J662" s="125"/>
      <c r="K662" s="125"/>
      <c r="L662" s="125"/>
      <c r="M662" s="125"/>
      <c r="N662" s="125"/>
      <c r="O662" s="125"/>
      <c r="P662" s="125"/>
      <c r="Q662" s="125"/>
      <c r="R662" s="125"/>
      <c r="S662" s="125"/>
      <c r="T662" s="125"/>
      <c r="U662" s="125"/>
      <c r="V662" s="125"/>
      <c r="W662" s="125"/>
      <c r="X662" s="125"/>
      <c r="Y662" s="125"/>
      <c r="Z662" s="125"/>
      <c r="AA662" s="125"/>
      <c r="AB662" s="125"/>
      <c r="AC662" s="125"/>
      <c r="AD662" s="125"/>
    </row>
    <row r="663">
      <c r="A663" s="124"/>
      <c r="B663" s="125"/>
      <c r="C663" s="125"/>
      <c r="D663" s="125"/>
      <c r="E663" s="125"/>
      <c r="F663" s="125"/>
      <c r="G663" s="125"/>
      <c r="H663" s="125"/>
      <c r="I663" s="125"/>
      <c r="J663" s="125"/>
      <c r="K663" s="125"/>
      <c r="L663" s="125"/>
      <c r="M663" s="125"/>
      <c r="N663" s="125"/>
      <c r="O663" s="125"/>
      <c r="P663" s="125"/>
      <c r="Q663" s="125"/>
      <c r="R663" s="125"/>
      <c r="S663" s="125"/>
      <c r="T663" s="125"/>
      <c r="U663" s="125"/>
      <c r="V663" s="125"/>
      <c r="W663" s="125"/>
      <c r="X663" s="125"/>
      <c r="Y663" s="125"/>
      <c r="Z663" s="125"/>
      <c r="AA663" s="125"/>
      <c r="AB663" s="125"/>
      <c r="AC663" s="125"/>
      <c r="AD663" s="125"/>
    </row>
    <row r="664">
      <c r="A664" s="124"/>
      <c r="B664" s="125"/>
      <c r="C664" s="125"/>
      <c r="D664" s="125"/>
      <c r="E664" s="125"/>
      <c r="F664" s="125"/>
      <c r="G664" s="125"/>
      <c r="H664" s="125"/>
      <c r="I664" s="125"/>
      <c r="J664" s="125"/>
      <c r="K664" s="125"/>
      <c r="L664" s="125"/>
      <c r="M664" s="125"/>
      <c r="N664" s="125"/>
      <c r="O664" s="125"/>
      <c r="P664" s="125"/>
      <c r="Q664" s="125"/>
      <c r="R664" s="125"/>
      <c r="S664" s="125"/>
      <c r="T664" s="125"/>
      <c r="U664" s="125"/>
      <c r="V664" s="125"/>
      <c r="W664" s="125"/>
      <c r="X664" s="125"/>
      <c r="Y664" s="125"/>
      <c r="Z664" s="125"/>
      <c r="AA664" s="125"/>
      <c r="AB664" s="125"/>
      <c r="AC664" s="125"/>
      <c r="AD664" s="125"/>
    </row>
    <row r="665">
      <c r="A665" s="124"/>
      <c r="B665" s="125"/>
      <c r="C665" s="125"/>
      <c r="D665" s="125"/>
      <c r="E665" s="125"/>
      <c r="F665" s="125"/>
      <c r="G665" s="125"/>
      <c r="H665" s="125"/>
      <c r="I665" s="125"/>
      <c r="J665" s="125"/>
      <c r="K665" s="125"/>
      <c r="L665" s="125"/>
      <c r="M665" s="125"/>
      <c r="N665" s="125"/>
      <c r="O665" s="125"/>
      <c r="P665" s="125"/>
      <c r="Q665" s="125"/>
      <c r="R665" s="125"/>
      <c r="S665" s="125"/>
      <c r="T665" s="125"/>
      <c r="U665" s="125"/>
      <c r="V665" s="125"/>
      <c r="W665" s="125"/>
      <c r="X665" s="125"/>
      <c r="Y665" s="125"/>
      <c r="Z665" s="125"/>
      <c r="AA665" s="125"/>
      <c r="AB665" s="125"/>
      <c r="AC665" s="125"/>
      <c r="AD665" s="125"/>
    </row>
    <row r="666">
      <c r="A666" s="124"/>
      <c r="B666" s="125"/>
      <c r="C666" s="125"/>
      <c r="D666" s="125"/>
      <c r="E666" s="125"/>
      <c r="F666" s="125"/>
      <c r="G666" s="125"/>
      <c r="H666" s="125"/>
      <c r="I666" s="125"/>
      <c r="J666" s="125"/>
      <c r="K666" s="125"/>
      <c r="L666" s="125"/>
      <c r="M666" s="125"/>
      <c r="N666" s="125"/>
      <c r="O666" s="125"/>
      <c r="P666" s="125"/>
      <c r="Q666" s="125"/>
      <c r="R666" s="125"/>
      <c r="S666" s="125"/>
      <c r="T666" s="125"/>
      <c r="U666" s="125"/>
      <c r="V666" s="125"/>
      <c r="W666" s="125"/>
      <c r="X666" s="125"/>
      <c r="Y666" s="125"/>
      <c r="Z666" s="125"/>
      <c r="AA666" s="125"/>
      <c r="AB666" s="125"/>
      <c r="AC666" s="125"/>
      <c r="AD666" s="125"/>
    </row>
    <row r="667">
      <c r="A667" s="124"/>
      <c r="B667" s="125"/>
      <c r="C667" s="125"/>
      <c r="D667" s="125"/>
      <c r="E667" s="125"/>
      <c r="F667" s="125"/>
      <c r="G667" s="125"/>
      <c r="H667" s="125"/>
      <c r="I667" s="125"/>
      <c r="J667" s="125"/>
      <c r="K667" s="125"/>
      <c r="L667" s="125"/>
      <c r="M667" s="125"/>
      <c r="N667" s="125"/>
      <c r="O667" s="125"/>
      <c r="P667" s="125"/>
      <c r="Q667" s="125"/>
      <c r="R667" s="125"/>
      <c r="S667" s="125"/>
      <c r="T667" s="125"/>
      <c r="U667" s="125"/>
      <c r="V667" s="125"/>
      <c r="W667" s="125"/>
      <c r="X667" s="125"/>
      <c r="Y667" s="125"/>
      <c r="Z667" s="125"/>
      <c r="AA667" s="125"/>
      <c r="AB667" s="125"/>
      <c r="AC667" s="125"/>
      <c r="AD667" s="125"/>
    </row>
    <row r="668">
      <c r="A668" s="124"/>
      <c r="B668" s="125"/>
      <c r="C668" s="125"/>
      <c r="D668" s="125"/>
      <c r="E668" s="125"/>
      <c r="F668" s="125"/>
      <c r="G668" s="125"/>
      <c r="H668" s="125"/>
      <c r="I668" s="125"/>
      <c r="J668" s="125"/>
      <c r="K668" s="125"/>
      <c r="L668" s="125"/>
      <c r="M668" s="125"/>
      <c r="N668" s="125"/>
      <c r="O668" s="125"/>
      <c r="P668" s="125"/>
      <c r="Q668" s="125"/>
      <c r="R668" s="125"/>
      <c r="S668" s="125"/>
      <c r="T668" s="125"/>
      <c r="U668" s="125"/>
      <c r="V668" s="125"/>
      <c r="W668" s="125"/>
      <c r="X668" s="125"/>
      <c r="Y668" s="125"/>
      <c r="Z668" s="125"/>
      <c r="AA668" s="125"/>
      <c r="AB668" s="125"/>
      <c r="AC668" s="125"/>
      <c r="AD668" s="125"/>
    </row>
    <row r="669">
      <c r="A669" s="124"/>
      <c r="B669" s="125"/>
      <c r="C669" s="125"/>
      <c r="D669" s="125"/>
      <c r="E669" s="125"/>
      <c r="F669" s="125"/>
      <c r="G669" s="125"/>
      <c r="H669" s="125"/>
      <c r="I669" s="125"/>
      <c r="J669" s="125"/>
      <c r="K669" s="125"/>
      <c r="L669" s="125"/>
      <c r="M669" s="125"/>
      <c r="N669" s="125"/>
      <c r="O669" s="125"/>
      <c r="P669" s="125"/>
      <c r="Q669" s="125"/>
      <c r="R669" s="125"/>
      <c r="S669" s="125"/>
      <c r="T669" s="125"/>
      <c r="U669" s="125"/>
      <c r="V669" s="125"/>
      <c r="W669" s="125"/>
      <c r="X669" s="125"/>
      <c r="Y669" s="125"/>
      <c r="Z669" s="125"/>
      <c r="AA669" s="125"/>
      <c r="AB669" s="125"/>
      <c r="AC669" s="125"/>
      <c r="AD669" s="125"/>
    </row>
    <row r="670">
      <c r="A670" s="124"/>
      <c r="B670" s="125"/>
      <c r="C670" s="125"/>
      <c r="D670" s="125"/>
      <c r="E670" s="125"/>
      <c r="F670" s="125"/>
      <c r="G670" s="125"/>
      <c r="H670" s="125"/>
      <c r="I670" s="125"/>
      <c r="J670" s="125"/>
      <c r="K670" s="125"/>
      <c r="L670" s="125"/>
      <c r="M670" s="125"/>
      <c r="N670" s="125"/>
      <c r="O670" s="125"/>
      <c r="P670" s="125"/>
      <c r="Q670" s="125"/>
      <c r="R670" s="125"/>
      <c r="S670" s="125"/>
      <c r="T670" s="125"/>
      <c r="U670" s="125"/>
      <c r="V670" s="125"/>
      <c r="W670" s="125"/>
      <c r="X670" s="125"/>
      <c r="Y670" s="125"/>
      <c r="Z670" s="125"/>
      <c r="AA670" s="125"/>
      <c r="AB670" s="125"/>
      <c r="AC670" s="125"/>
      <c r="AD670" s="125"/>
    </row>
    <row r="671">
      <c r="A671" s="124"/>
      <c r="B671" s="125"/>
      <c r="C671" s="125"/>
      <c r="D671" s="125"/>
      <c r="E671" s="125"/>
      <c r="F671" s="125"/>
      <c r="G671" s="125"/>
      <c r="H671" s="125"/>
      <c r="I671" s="125"/>
      <c r="J671" s="125"/>
      <c r="K671" s="125"/>
      <c r="L671" s="125"/>
      <c r="M671" s="125"/>
      <c r="N671" s="125"/>
      <c r="O671" s="125"/>
      <c r="P671" s="125"/>
      <c r="Q671" s="125"/>
      <c r="R671" s="125"/>
      <c r="S671" s="125"/>
      <c r="T671" s="125"/>
      <c r="U671" s="125"/>
      <c r="V671" s="125"/>
      <c r="W671" s="125"/>
      <c r="X671" s="125"/>
      <c r="Y671" s="125"/>
      <c r="Z671" s="125"/>
      <c r="AA671" s="125"/>
      <c r="AB671" s="125"/>
      <c r="AC671" s="125"/>
      <c r="AD671" s="125"/>
    </row>
    <row r="672">
      <c r="A672" s="124"/>
      <c r="B672" s="125"/>
      <c r="C672" s="125"/>
      <c r="D672" s="125"/>
      <c r="E672" s="125"/>
      <c r="F672" s="125"/>
      <c r="G672" s="125"/>
      <c r="H672" s="125"/>
      <c r="I672" s="125"/>
      <c r="J672" s="125"/>
      <c r="K672" s="125"/>
      <c r="L672" s="125"/>
      <c r="M672" s="125"/>
      <c r="N672" s="125"/>
      <c r="O672" s="125"/>
      <c r="P672" s="125"/>
      <c r="Q672" s="125"/>
      <c r="R672" s="125"/>
      <c r="S672" s="125"/>
      <c r="T672" s="125"/>
      <c r="U672" s="125"/>
      <c r="V672" s="125"/>
      <c r="W672" s="125"/>
      <c r="X672" s="125"/>
      <c r="Y672" s="125"/>
      <c r="Z672" s="125"/>
      <c r="AA672" s="125"/>
      <c r="AB672" s="125"/>
      <c r="AC672" s="125"/>
      <c r="AD672" s="125"/>
    </row>
    <row r="673">
      <c r="A673" s="124"/>
      <c r="B673" s="125"/>
      <c r="C673" s="125"/>
      <c r="D673" s="125"/>
      <c r="E673" s="125"/>
      <c r="F673" s="125"/>
      <c r="G673" s="125"/>
      <c r="H673" s="125"/>
      <c r="I673" s="125"/>
      <c r="J673" s="125"/>
      <c r="K673" s="125"/>
      <c r="L673" s="125"/>
      <c r="M673" s="125"/>
      <c r="N673" s="125"/>
      <c r="O673" s="125"/>
      <c r="P673" s="125"/>
      <c r="Q673" s="125"/>
      <c r="R673" s="125"/>
      <c r="S673" s="125"/>
      <c r="T673" s="125"/>
      <c r="U673" s="125"/>
      <c r="V673" s="125"/>
      <c r="W673" s="125"/>
      <c r="X673" s="125"/>
      <c r="Y673" s="125"/>
      <c r="Z673" s="125"/>
      <c r="AA673" s="125"/>
      <c r="AB673" s="125"/>
      <c r="AC673" s="125"/>
      <c r="AD673" s="125"/>
    </row>
    <row r="674">
      <c r="A674" s="124"/>
      <c r="B674" s="125"/>
      <c r="C674" s="125"/>
      <c r="D674" s="125"/>
      <c r="E674" s="125"/>
      <c r="F674" s="125"/>
      <c r="G674" s="125"/>
      <c r="H674" s="125"/>
      <c r="I674" s="125"/>
      <c r="J674" s="125"/>
      <c r="K674" s="125"/>
      <c r="L674" s="125"/>
      <c r="M674" s="125"/>
      <c r="N674" s="125"/>
      <c r="O674" s="125"/>
      <c r="P674" s="125"/>
      <c r="Q674" s="125"/>
      <c r="R674" s="125"/>
      <c r="S674" s="125"/>
      <c r="T674" s="125"/>
      <c r="U674" s="125"/>
      <c r="V674" s="125"/>
      <c r="W674" s="125"/>
      <c r="X674" s="125"/>
      <c r="Y674" s="125"/>
      <c r="Z674" s="125"/>
      <c r="AA674" s="125"/>
      <c r="AB674" s="125"/>
      <c r="AC674" s="125"/>
      <c r="AD674" s="125"/>
    </row>
    <row r="675">
      <c r="A675" s="124"/>
      <c r="B675" s="125"/>
      <c r="C675" s="125"/>
      <c r="D675" s="125"/>
      <c r="E675" s="125"/>
      <c r="F675" s="125"/>
      <c r="G675" s="125"/>
      <c r="H675" s="125"/>
      <c r="I675" s="125"/>
      <c r="J675" s="125"/>
      <c r="K675" s="125"/>
      <c r="L675" s="125"/>
      <c r="M675" s="125"/>
      <c r="N675" s="125"/>
      <c r="O675" s="125"/>
      <c r="P675" s="125"/>
      <c r="Q675" s="125"/>
      <c r="R675" s="125"/>
      <c r="S675" s="125"/>
      <c r="T675" s="125"/>
      <c r="U675" s="125"/>
      <c r="V675" s="125"/>
      <c r="W675" s="125"/>
      <c r="X675" s="125"/>
      <c r="Y675" s="125"/>
      <c r="Z675" s="125"/>
      <c r="AA675" s="125"/>
      <c r="AB675" s="125"/>
      <c r="AC675" s="125"/>
      <c r="AD675" s="125"/>
    </row>
    <row r="676">
      <c r="A676" s="124"/>
      <c r="B676" s="125"/>
      <c r="C676" s="125"/>
      <c r="D676" s="125"/>
      <c r="E676" s="125"/>
      <c r="F676" s="125"/>
      <c r="G676" s="125"/>
      <c r="H676" s="125"/>
      <c r="I676" s="125"/>
      <c r="J676" s="125"/>
      <c r="K676" s="125"/>
      <c r="L676" s="125"/>
      <c r="M676" s="125"/>
      <c r="N676" s="125"/>
      <c r="O676" s="125"/>
      <c r="P676" s="125"/>
      <c r="Q676" s="125"/>
      <c r="R676" s="125"/>
      <c r="S676" s="125"/>
      <c r="T676" s="125"/>
      <c r="U676" s="125"/>
      <c r="V676" s="125"/>
      <c r="W676" s="125"/>
      <c r="X676" s="125"/>
      <c r="Y676" s="125"/>
      <c r="Z676" s="125"/>
      <c r="AA676" s="125"/>
      <c r="AB676" s="125"/>
      <c r="AC676" s="125"/>
      <c r="AD676" s="125"/>
    </row>
    <row r="677">
      <c r="A677" s="124"/>
      <c r="B677" s="125"/>
      <c r="C677" s="125"/>
      <c r="D677" s="125"/>
      <c r="E677" s="125"/>
      <c r="F677" s="125"/>
      <c r="G677" s="125"/>
      <c r="H677" s="125"/>
      <c r="I677" s="125"/>
      <c r="J677" s="125"/>
      <c r="K677" s="125"/>
      <c r="L677" s="125"/>
      <c r="M677" s="125"/>
      <c r="N677" s="125"/>
      <c r="O677" s="125"/>
      <c r="P677" s="125"/>
      <c r="Q677" s="125"/>
      <c r="R677" s="125"/>
      <c r="S677" s="125"/>
      <c r="T677" s="125"/>
      <c r="U677" s="125"/>
      <c r="V677" s="125"/>
      <c r="W677" s="125"/>
      <c r="X677" s="125"/>
      <c r="Y677" s="125"/>
      <c r="Z677" s="125"/>
      <c r="AA677" s="125"/>
      <c r="AB677" s="125"/>
      <c r="AC677" s="125"/>
      <c r="AD677" s="125"/>
    </row>
    <row r="678">
      <c r="A678" s="124"/>
      <c r="B678" s="125"/>
      <c r="C678" s="125"/>
      <c r="D678" s="125"/>
      <c r="E678" s="125"/>
      <c r="F678" s="125"/>
      <c r="G678" s="125"/>
      <c r="H678" s="125"/>
      <c r="I678" s="125"/>
      <c r="J678" s="125"/>
      <c r="K678" s="125"/>
      <c r="L678" s="125"/>
      <c r="M678" s="125"/>
      <c r="N678" s="125"/>
      <c r="O678" s="125"/>
      <c r="P678" s="125"/>
      <c r="Q678" s="125"/>
      <c r="R678" s="125"/>
      <c r="S678" s="125"/>
      <c r="T678" s="125"/>
      <c r="U678" s="125"/>
      <c r="V678" s="125"/>
      <c r="W678" s="125"/>
      <c r="X678" s="125"/>
      <c r="Y678" s="125"/>
      <c r="Z678" s="125"/>
      <c r="AA678" s="125"/>
      <c r="AB678" s="125"/>
      <c r="AC678" s="125"/>
      <c r="AD678" s="125"/>
    </row>
    <row r="679">
      <c r="A679" s="124"/>
      <c r="B679" s="125"/>
      <c r="C679" s="125"/>
      <c r="D679" s="125"/>
      <c r="E679" s="125"/>
      <c r="F679" s="125"/>
      <c r="G679" s="125"/>
      <c r="H679" s="125"/>
      <c r="I679" s="125"/>
      <c r="J679" s="125"/>
      <c r="K679" s="125"/>
      <c r="L679" s="125"/>
      <c r="M679" s="125"/>
      <c r="N679" s="125"/>
      <c r="O679" s="125"/>
      <c r="P679" s="125"/>
      <c r="Q679" s="125"/>
      <c r="R679" s="125"/>
      <c r="S679" s="125"/>
      <c r="T679" s="125"/>
      <c r="U679" s="125"/>
      <c r="V679" s="125"/>
      <c r="W679" s="125"/>
      <c r="X679" s="125"/>
      <c r="Y679" s="125"/>
      <c r="Z679" s="125"/>
      <c r="AA679" s="125"/>
      <c r="AB679" s="125"/>
      <c r="AC679" s="125"/>
      <c r="AD679" s="125"/>
    </row>
    <row r="680">
      <c r="A680" s="124"/>
      <c r="B680" s="125"/>
      <c r="C680" s="125"/>
      <c r="D680" s="125"/>
      <c r="E680" s="125"/>
      <c r="F680" s="125"/>
      <c r="G680" s="125"/>
      <c r="H680" s="125"/>
      <c r="I680" s="125"/>
      <c r="J680" s="125"/>
      <c r="K680" s="125"/>
      <c r="L680" s="125"/>
      <c r="M680" s="125"/>
      <c r="N680" s="125"/>
      <c r="O680" s="125"/>
      <c r="P680" s="125"/>
      <c r="Q680" s="125"/>
      <c r="R680" s="125"/>
      <c r="S680" s="125"/>
      <c r="T680" s="125"/>
      <c r="U680" s="125"/>
      <c r="V680" s="125"/>
      <c r="W680" s="125"/>
      <c r="X680" s="125"/>
      <c r="Y680" s="125"/>
      <c r="Z680" s="125"/>
      <c r="AA680" s="125"/>
      <c r="AB680" s="125"/>
      <c r="AC680" s="125"/>
      <c r="AD680" s="125"/>
    </row>
    <row r="681">
      <c r="A681" s="124"/>
      <c r="B681" s="125"/>
      <c r="C681" s="125"/>
      <c r="D681" s="125"/>
      <c r="E681" s="125"/>
      <c r="F681" s="125"/>
      <c r="G681" s="125"/>
      <c r="H681" s="125"/>
      <c r="I681" s="125"/>
      <c r="J681" s="125"/>
      <c r="K681" s="125"/>
      <c r="L681" s="125"/>
      <c r="M681" s="125"/>
      <c r="N681" s="125"/>
      <c r="O681" s="125"/>
      <c r="P681" s="125"/>
      <c r="Q681" s="125"/>
      <c r="R681" s="125"/>
      <c r="S681" s="125"/>
      <c r="T681" s="125"/>
      <c r="U681" s="125"/>
      <c r="V681" s="125"/>
      <c r="W681" s="125"/>
      <c r="X681" s="125"/>
      <c r="Y681" s="125"/>
      <c r="Z681" s="125"/>
      <c r="AA681" s="125"/>
      <c r="AB681" s="125"/>
      <c r="AC681" s="125"/>
      <c r="AD681" s="125"/>
    </row>
    <row r="682">
      <c r="A682" s="124"/>
      <c r="B682" s="125"/>
      <c r="C682" s="125"/>
      <c r="D682" s="125"/>
      <c r="E682" s="125"/>
      <c r="F682" s="125"/>
      <c r="G682" s="125"/>
      <c r="H682" s="125"/>
      <c r="I682" s="125"/>
      <c r="J682" s="125"/>
      <c r="K682" s="125"/>
      <c r="L682" s="125"/>
      <c r="M682" s="125"/>
      <c r="N682" s="125"/>
      <c r="O682" s="125"/>
      <c r="P682" s="125"/>
      <c r="Q682" s="125"/>
      <c r="R682" s="125"/>
      <c r="S682" s="125"/>
      <c r="T682" s="125"/>
      <c r="U682" s="125"/>
      <c r="V682" s="125"/>
      <c r="W682" s="125"/>
      <c r="X682" s="125"/>
      <c r="Y682" s="125"/>
      <c r="Z682" s="125"/>
      <c r="AA682" s="125"/>
      <c r="AB682" s="125"/>
      <c r="AC682" s="125"/>
      <c r="AD682" s="125"/>
    </row>
    <row r="683">
      <c r="A683" s="124"/>
      <c r="B683" s="125"/>
      <c r="C683" s="125"/>
      <c r="D683" s="125"/>
      <c r="E683" s="125"/>
      <c r="F683" s="125"/>
      <c r="G683" s="125"/>
      <c r="H683" s="125"/>
      <c r="I683" s="125"/>
      <c r="J683" s="125"/>
      <c r="K683" s="125"/>
      <c r="L683" s="125"/>
      <c r="M683" s="125"/>
      <c r="N683" s="125"/>
      <c r="O683" s="125"/>
      <c r="P683" s="125"/>
      <c r="Q683" s="125"/>
      <c r="R683" s="125"/>
      <c r="S683" s="125"/>
      <c r="T683" s="125"/>
      <c r="U683" s="125"/>
      <c r="V683" s="125"/>
      <c r="W683" s="125"/>
      <c r="X683" s="125"/>
      <c r="Y683" s="125"/>
      <c r="Z683" s="125"/>
      <c r="AA683" s="125"/>
      <c r="AB683" s="125"/>
      <c r="AC683" s="125"/>
      <c r="AD683" s="125"/>
    </row>
    <row r="684">
      <c r="A684" s="124"/>
      <c r="B684" s="125"/>
      <c r="C684" s="125"/>
      <c r="D684" s="125"/>
      <c r="E684" s="125"/>
      <c r="F684" s="125"/>
      <c r="G684" s="125"/>
      <c r="H684" s="125"/>
      <c r="I684" s="125"/>
      <c r="J684" s="125"/>
      <c r="K684" s="125"/>
      <c r="L684" s="125"/>
      <c r="M684" s="125"/>
      <c r="N684" s="125"/>
      <c r="O684" s="125"/>
      <c r="P684" s="125"/>
      <c r="Q684" s="125"/>
      <c r="R684" s="125"/>
      <c r="S684" s="125"/>
      <c r="T684" s="125"/>
      <c r="U684" s="125"/>
      <c r="V684" s="125"/>
      <c r="W684" s="125"/>
      <c r="X684" s="125"/>
      <c r="Y684" s="125"/>
      <c r="Z684" s="125"/>
      <c r="AA684" s="125"/>
      <c r="AB684" s="125"/>
      <c r="AC684" s="125"/>
      <c r="AD684" s="125"/>
    </row>
    <row r="685">
      <c r="A685" s="124"/>
      <c r="B685" s="125"/>
      <c r="C685" s="125"/>
      <c r="D685" s="125"/>
      <c r="E685" s="125"/>
      <c r="F685" s="125"/>
      <c r="G685" s="125"/>
      <c r="H685" s="125"/>
      <c r="I685" s="125"/>
      <c r="J685" s="125"/>
      <c r="K685" s="125"/>
      <c r="L685" s="125"/>
      <c r="M685" s="125"/>
      <c r="N685" s="125"/>
      <c r="O685" s="125"/>
      <c r="P685" s="125"/>
      <c r="Q685" s="125"/>
      <c r="R685" s="125"/>
      <c r="S685" s="125"/>
      <c r="T685" s="125"/>
      <c r="U685" s="125"/>
      <c r="V685" s="125"/>
      <c r="W685" s="125"/>
      <c r="X685" s="125"/>
      <c r="Y685" s="125"/>
      <c r="Z685" s="125"/>
      <c r="AA685" s="125"/>
      <c r="AB685" s="125"/>
      <c r="AC685" s="125"/>
      <c r="AD685" s="125"/>
    </row>
    <row r="686">
      <c r="A686" s="124"/>
      <c r="B686" s="125"/>
      <c r="C686" s="125"/>
      <c r="D686" s="125"/>
      <c r="E686" s="125"/>
      <c r="F686" s="125"/>
      <c r="G686" s="125"/>
      <c r="H686" s="125"/>
      <c r="I686" s="125"/>
      <c r="J686" s="125"/>
      <c r="K686" s="125"/>
      <c r="L686" s="125"/>
      <c r="M686" s="125"/>
      <c r="N686" s="125"/>
      <c r="O686" s="125"/>
      <c r="P686" s="125"/>
      <c r="Q686" s="125"/>
      <c r="R686" s="125"/>
      <c r="S686" s="125"/>
      <c r="T686" s="125"/>
      <c r="U686" s="125"/>
      <c r="V686" s="125"/>
      <c r="W686" s="125"/>
      <c r="X686" s="125"/>
      <c r="Y686" s="125"/>
      <c r="Z686" s="125"/>
      <c r="AA686" s="125"/>
      <c r="AB686" s="125"/>
      <c r="AC686" s="125"/>
      <c r="AD686" s="125"/>
    </row>
    <row r="687">
      <c r="A687" s="124"/>
      <c r="B687" s="125"/>
      <c r="C687" s="125"/>
      <c r="D687" s="125"/>
      <c r="E687" s="125"/>
      <c r="F687" s="125"/>
      <c r="G687" s="125"/>
      <c r="H687" s="125"/>
      <c r="I687" s="125"/>
      <c r="J687" s="125"/>
      <c r="K687" s="125"/>
      <c r="L687" s="125"/>
      <c r="M687" s="125"/>
      <c r="N687" s="125"/>
      <c r="O687" s="125"/>
      <c r="P687" s="125"/>
      <c r="Q687" s="125"/>
      <c r="R687" s="125"/>
      <c r="S687" s="125"/>
      <c r="T687" s="125"/>
      <c r="U687" s="125"/>
      <c r="V687" s="125"/>
      <c r="W687" s="125"/>
      <c r="X687" s="125"/>
      <c r="Y687" s="125"/>
      <c r="Z687" s="125"/>
      <c r="AA687" s="125"/>
      <c r="AB687" s="125"/>
      <c r="AC687" s="125"/>
      <c r="AD687" s="125"/>
    </row>
    <row r="688">
      <c r="A688" s="124"/>
      <c r="B688" s="125"/>
      <c r="C688" s="125"/>
      <c r="D688" s="125"/>
      <c r="E688" s="125"/>
      <c r="F688" s="125"/>
      <c r="G688" s="125"/>
      <c r="H688" s="125"/>
      <c r="I688" s="125"/>
      <c r="J688" s="125"/>
      <c r="K688" s="125"/>
      <c r="L688" s="125"/>
      <c r="M688" s="125"/>
      <c r="N688" s="125"/>
      <c r="O688" s="125"/>
      <c r="P688" s="125"/>
      <c r="Q688" s="125"/>
      <c r="R688" s="125"/>
      <c r="S688" s="125"/>
      <c r="T688" s="125"/>
      <c r="U688" s="125"/>
      <c r="V688" s="125"/>
      <c r="W688" s="125"/>
      <c r="X688" s="125"/>
      <c r="Y688" s="125"/>
      <c r="Z688" s="125"/>
      <c r="AA688" s="125"/>
      <c r="AB688" s="125"/>
      <c r="AC688" s="125"/>
      <c r="AD688" s="125"/>
    </row>
    <row r="689">
      <c r="A689" s="124"/>
      <c r="B689" s="125"/>
      <c r="C689" s="125"/>
      <c r="D689" s="125"/>
      <c r="E689" s="125"/>
      <c r="F689" s="125"/>
      <c r="G689" s="125"/>
      <c r="H689" s="125"/>
      <c r="I689" s="125"/>
      <c r="J689" s="125"/>
      <c r="K689" s="125"/>
      <c r="L689" s="125"/>
      <c r="M689" s="125"/>
      <c r="N689" s="125"/>
      <c r="O689" s="125"/>
      <c r="P689" s="125"/>
      <c r="Q689" s="125"/>
      <c r="R689" s="125"/>
      <c r="S689" s="125"/>
      <c r="T689" s="125"/>
      <c r="U689" s="125"/>
      <c r="V689" s="125"/>
      <c r="W689" s="125"/>
      <c r="X689" s="125"/>
      <c r="Y689" s="125"/>
      <c r="Z689" s="125"/>
      <c r="AA689" s="125"/>
      <c r="AB689" s="125"/>
      <c r="AC689" s="125"/>
      <c r="AD689" s="125"/>
    </row>
    <row r="690">
      <c r="A690" s="124"/>
      <c r="B690" s="125"/>
      <c r="C690" s="125"/>
      <c r="D690" s="125"/>
      <c r="E690" s="125"/>
      <c r="F690" s="125"/>
      <c r="G690" s="125"/>
      <c r="H690" s="125"/>
      <c r="I690" s="125"/>
      <c r="J690" s="125"/>
      <c r="K690" s="125"/>
      <c r="L690" s="125"/>
      <c r="M690" s="125"/>
      <c r="N690" s="125"/>
      <c r="O690" s="125"/>
      <c r="P690" s="125"/>
      <c r="Q690" s="125"/>
      <c r="R690" s="125"/>
      <c r="S690" s="125"/>
      <c r="T690" s="125"/>
      <c r="U690" s="125"/>
      <c r="V690" s="125"/>
      <c r="W690" s="125"/>
      <c r="X690" s="125"/>
      <c r="Y690" s="125"/>
      <c r="Z690" s="125"/>
      <c r="AA690" s="125"/>
      <c r="AB690" s="125"/>
      <c r="AC690" s="125"/>
      <c r="AD690" s="125"/>
    </row>
    <row r="691">
      <c r="A691" s="124"/>
      <c r="B691" s="125"/>
      <c r="C691" s="125"/>
      <c r="D691" s="125"/>
      <c r="E691" s="125"/>
      <c r="F691" s="125"/>
      <c r="G691" s="125"/>
      <c r="H691" s="125"/>
      <c r="I691" s="125"/>
      <c r="J691" s="125"/>
      <c r="K691" s="125"/>
      <c r="L691" s="125"/>
      <c r="M691" s="125"/>
      <c r="N691" s="125"/>
      <c r="O691" s="125"/>
      <c r="P691" s="125"/>
      <c r="Q691" s="125"/>
      <c r="R691" s="125"/>
      <c r="S691" s="125"/>
      <c r="T691" s="125"/>
      <c r="U691" s="125"/>
      <c r="V691" s="125"/>
      <c r="W691" s="125"/>
      <c r="X691" s="125"/>
      <c r="Y691" s="125"/>
      <c r="Z691" s="125"/>
      <c r="AA691" s="125"/>
      <c r="AB691" s="125"/>
      <c r="AC691" s="125"/>
      <c r="AD691" s="125"/>
    </row>
    <row r="692">
      <c r="A692" s="124"/>
      <c r="B692" s="125"/>
      <c r="C692" s="125"/>
      <c r="D692" s="125"/>
      <c r="E692" s="125"/>
      <c r="F692" s="125"/>
      <c r="G692" s="125"/>
      <c r="H692" s="125"/>
      <c r="I692" s="125"/>
      <c r="J692" s="125"/>
      <c r="K692" s="125"/>
      <c r="L692" s="125"/>
      <c r="M692" s="125"/>
      <c r="N692" s="125"/>
      <c r="O692" s="125"/>
      <c r="P692" s="125"/>
      <c r="Q692" s="125"/>
      <c r="R692" s="125"/>
      <c r="S692" s="125"/>
      <c r="T692" s="125"/>
      <c r="U692" s="125"/>
      <c r="V692" s="125"/>
      <c r="W692" s="125"/>
      <c r="X692" s="125"/>
      <c r="Y692" s="125"/>
      <c r="Z692" s="125"/>
      <c r="AA692" s="125"/>
      <c r="AB692" s="125"/>
      <c r="AC692" s="125"/>
      <c r="AD692" s="125"/>
    </row>
    <row r="693">
      <c r="A693" s="124"/>
      <c r="B693" s="125"/>
      <c r="C693" s="125"/>
      <c r="D693" s="125"/>
      <c r="E693" s="125"/>
      <c r="F693" s="125"/>
      <c r="G693" s="125"/>
      <c r="H693" s="125"/>
      <c r="I693" s="125"/>
      <c r="J693" s="125"/>
      <c r="K693" s="125"/>
      <c r="L693" s="125"/>
      <c r="M693" s="125"/>
      <c r="N693" s="125"/>
      <c r="O693" s="125"/>
      <c r="P693" s="125"/>
      <c r="Q693" s="125"/>
      <c r="R693" s="125"/>
      <c r="S693" s="125"/>
      <c r="T693" s="125"/>
      <c r="U693" s="125"/>
      <c r="V693" s="125"/>
      <c r="W693" s="125"/>
      <c r="X693" s="125"/>
      <c r="Y693" s="125"/>
      <c r="Z693" s="125"/>
      <c r="AA693" s="125"/>
      <c r="AB693" s="125"/>
      <c r="AC693" s="125"/>
      <c r="AD693" s="125"/>
    </row>
    <row r="694">
      <c r="A694" s="124"/>
      <c r="B694" s="125"/>
      <c r="C694" s="125"/>
      <c r="D694" s="125"/>
      <c r="E694" s="125"/>
      <c r="F694" s="125"/>
      <c r="G694" s="125"/>
      <c r="H694" s="125"/>
      <c r="I694" s="125"/>
      <c r="J694" s="125"/>
      <c r="K694" s="125"/>
      <c r="L694" s="125"/>
      <c r="M694" s="125"/>
      <c r="N694" s="125"/>
      <c r="O694" s="125"/>
      <c r="P694" s="125"/>
      <c r="Q694" s="125"/>
      <c r="R694" s="125"/>
      <c r="S694" s="125"/>
      <c r="T694" s="125"/>
      <c r="U694" s="125"/>
      <c r="V694" s="125"/>
      <c r="W694" s="125"/>
      <c r="X694" s="125"/>
      <c r="Y694" s="125"/>
      <c r="Z694" s="125"/>
      <c r="AA694" s="125"/>
      <c r="AB694" s="125"/>
      <c r="AC694" s="125"/>
      <c r="AD694" s="125"/>
    </row>
    <row r="695">
      <c r="A695" s="124"/>
      <c r="B695" s="125"/>
      <c r="C695" s="125"/>
      <c r="D695" s="125"/>
      <c r="E695" s="125"/>
      <c r="F695" s="125"/>
      <c r="G695" s="125"/>
      <c r="H695" s="125"/>
      <c r="I695" s="125"/>
      <c r="J695" s="125"/>
      <c r="K695" s="125"/>
      <c r="L695" s="125"/>
      <c r="M695" s="125"/>
      <c r="N695" s="125"/>
      <c r="O695" s="125"/>
      <c r="P695" s="125"/>
      <c r="Q695" s="125"/>
      <c r="R695" s="125"/>
      <c r="S695" s="125"/>
      <c r="T695" s="125"/>
      <c r="U695" s="125"/>
      <c r="V695" s="125"/>
      <c r="W695" s="125"/>
      <c r="X695" s="125"/>
      <c r="Y695" s="125"/>
      <c r="Z695" s="125"/>
      <c r="AA695" s="125"/>
      <c r="AB695" s="125"/>
      <c r="AC695" s="125"/>
      <c r="AD695" s="125"/>
    </row>
    <row r="696">
      <c r="A696" s="124"/>
      <c r="B696" s="125"/>
      <c r="C696" s="125"/>
      <c r="D696" s="125"/>
      <c r="E696" s="125"/>
      <c r="F696" s="125"/>
      <c r="G696" s="125"/>
      <c r="H696" s="125"/>
      <c r="I696" s="125"/>
      <c r="J696" s="125"/>
      <c r="K696" s="125"/>
      <c r="L696" s="125"/>
      <c r="M696" s="125"/>
      <c r="N696" s="125"/>
      <c r="O696" s="125"/>
      <c r="P696" s="125"/>
      <c r="Q696" s="125"/>
      <c r="R696" s="125"/>
      <c r="S696" s="125"/>
      <c r="T696" s="125"/>
      <c r="U696" s="125"/>
      <c r="V696" s="125"/>
      <c r="W696" s="125"/>
      <c r="X696" s="125"/>
      <c r="Y696" s="125"/>
      <c r="Z696" s="125"/>
      <c r="AA696" s="125"/>
      <c r="AB696" s="125"/>
      <c r="AC696" s="125"/>
      <c r="AD696" s="125"/>
    </row>
    <row r="697">
      <c r="A697" s="124"/>
      <c r="B697" s="125"/>
      <c r="C697" s="125"/>
      <c r="D697" s="125"/>
      <c r="E697" s="125"/>
      <c r="F697" s="125"/>
      <c r="G697" s="125"/>
      <c r="H697" s="125"/>
      <c r="I697" s="125"/>
      <c r="J697" s="125"/>
      <c r="K697" s="125"/>
      <c r="L697" s="125"/>
      <c r="M697" s="125"/>
      <c r="N697" s="125"/>
      <c r="O697" s="125"/>
      <c r="P697" s="125"/>
      <c r="Q697" s="125"/>
      <c r="R697" s="125"/>
      <c r="S697" s="125"/>
      <c r="T697" s="125"/>
      <c r="U697" s="125"/>
      <c r="V697" s="125"/>
      <c r="W697" s="125"/>
      <c r="X697" s="125"/>
      <c r="Y697" s="125"/>
      <c r="Z697" s="125"/>
      <c r="AA697" s="125"/>
      <c r="AB697" s="125"/>
      <c r="AC697" s="125"/>
      <c r="AD697" s="125"/>
    </row>
    <row r="698">
      <c r="A698" s="124"/>
      <c r="B698" s="125"/>
      <c r="C698" s="125"/>
      <c r="D698" s="125"/>
      <c r="E698" s="125"/>
      <c r="F698" s="125"/>
      <c r="G698" s="125"/>
      <c r="H698" s="125"/>
      <c r="I698" s="125"/>
      <c r="J698" s="125"/>
      <c r="K698" s="125"/>
      <c r="L698" s="125"/>
      <c r="M698" s="125"/>
      <c r="N698" s="125"/>
      <c r="O698" s="125"/>
      <c r="P698" s="125"/>
      <c r="Q698" s="125"/>
      <c r="R698" s="125"/>
      <c r="S698" s="125"/>
      <c r="T698" s="125"/>
      <c r="U698" s="125"/>
      <c r="V698" s="125"/>
      <c r="W698" s="125"/>
      <c r="X698" s="125"/>
      <c r="Y698" s="125"/>
      <c r="Z698" s="125"/>
      <c r="AA698" s="125"/>
      <c r="AB698" s="125"/>
      <c r="AC698" s="125"/>
      <c r="AD698" s="125"/>
    </row>
    <row r="699">
      <c r="A699" s="124"/>
      <c r="B699" s="125"/>
      <c r="C699" s="125"/>
      <c r="D699" s="125"/>
      <c r="E699" s="125"/>
      <c r="F699" s="125"/>
      <c r="G699" s="125"/>
      <c r="H699" s="125"/>
      <c r="I699" s="125"/>
      <c r="J699" s="125"/>
      <c r="K699" s="125"/>
      <c r="L699" s="125"/>
      <c r="M699" s="125"/>
      <c r="N699" s="125"/>
      <c r="O699" s="125"/>
      <c r="P699" s="125"/>
      <c r="Q699" s="125"/>
      <c r="R699" s="125"/>
      <c r="S699" s="125"/>
      <c r="T699" s="125"/>
      <c r="U699" s="125"/>
      <c r="V699" s="125"/>
      <c r="W699" s="125"/>
      <c r="X699" s="125"/>
      <c r="Y699" s="125"/>
      <c r="Z699" s="125"/>
      <c r="AA699" s="125"/>
      <c r="AB699" s="125"/>
      <c r="AC699" s="125"/>
      <c r="AD699" s="125"/>
    </row>
    <row r="700">
      <c r="A700" s="124"/>
      <c r="B700" s="125"/>
      <c r="C700" s="125"/>
      <c r="D700" s="125"/>
      <c r="E700" s="125"/>
      <c r="F700" s="125"/>
      <c r="G700" s="125"/>
      <c r="H700" s="125"/>
      <c r="I700" s="125"/>
      <c r="J700" s="125"/>
      <c r="K700" s="125"/>
      <c r="L700" s="125"/>
      <c r="M700" s="125"/>
      <c r="N700" s="125"/>
      <c r="O700" s="125"/>
      <c r="P700" s="125"/>
      <c r="Q700" s="125"/>
      <c r="R700" s="125"/>
      <c r="S700" s="125"/>
      <c r="T700" s="125"/>
      <c r="U700" s="125"/>
      <c r="V700" s="125"/>
      <c r="W700" s="125"/>
      <c r="X700" s="125"/>
      <c r="Y700" s="125"/>
      <c r="Z700" s="125"/>
      <c r="AA700" s="125"/>
      <c r="AB700" s="125"/>
      <c r="AC700" s="125"/>
      <c r="AD700" s="125"/>
    </row>
    <row r="701">
      <c r="A701" s="124"/>
      <c r="B701" s="125"/>
      <c r="C701" s="125"/>
      <c r="D701" s="125"/>
      <c r="E701" s="125"/>
      <c r="F701" s="125"/>
      <c r="G701" s="125"/>
      <c r="H701" s="125"/>
      <c r="I701" s="125"/>
      <c r="J701" s="125"/>
      <c r="K701" s="125"/>
      <c r="L701" s="125"/>
      <c r="M701" s="125"/>
      <c r="N701" s="125"/>
      <c r="O701" s="125"/>
      <c r="P701" s="125"/>
      <c r="Q701" s="125"/>
      <c r="R701" s="125"/>
      <c r="S701" s="125"/>
      <c r="T701" s="125"/>
      <c r="U701" s="125"/>
      <c r="V701" s="125"/>
      <c r="W701" s="125"/>
      <c r="X701" s="125"/>
      <c r="Y701" s="125"/>
      <c r="Z701" s="125"/>
      <c r="AA701" s="125"/>
      <c r="AB701" s="125"/>
      <c r="AC701" s="125"/>
      <c r="AD701" s="125"/>
    </row>
    <row r="702">
      <c r="A702" s="124"/>
      <c r="B702" s="125"/>
      <c r="C702" s="125"/>
      <c r="D702" s="125"/>
      <c r="E702" s="125"/>
      <c r="F702" s="125"/>
      <c r="G702" s="125"/>
      <c r="H702" s="125"/>
      <c r="I702" s="125"/>
      <c r="J702" s="125"/>
      <c r="K702" s="125"/>
      <c r="L702" s="125"/>
      <c r="M702" s="125"/>
      <c r="N702" s="125"/>
      <c r="O702" s="125"/>
      <c r="P702" s="125"/>
      <c r="Q702" s="125"/>
      <c r="R702" s="125"/>
      <c r="S702" s="125"/>
      <c r="T702" s="125"/>
      <c r="U702" s="125"/>
      <c r="V702" s="125"/>
      <c r="W702" s="125"/>
      <c r="X702" s="125"/>
      <c r="Y702" s="125"/>
      <c r="Z702" s="125"/>
      <c r="AA702" s="125"/>
      <c r="AB702" s="125"/>
      <c r="AC702" s="125"/>
      <c r="AD702" s="125"/>
    </row>
    <row r="703">
      <c r="A703" s="124"/>
      <c r="B703" s="125"/>
      <c r="C703" s="125"/>
      <c r="D703" s="125"/>
      <c r="E703" s="125"/>
      <c r="F703" s="125"/>
      <c r="G703" s="125"/>
      <c r="H703" s="125"/>
      <c r="I703" s="125"/>
      <c r="J703" s="125"/>
      <c r="K703" s="125"/>
      <c r="L703" s="125"/>
      <c r="M703" s="125"/>
      <c r="N703" s="125"/>
      <c r="O703" s="125"/>
      <c r="P703" s="125"/>
      <c r="Q703" s="125"/>
      <c r="R703" s="125"/>
      <c r="S703" s="125"/>
      <c r="T703" s="125"/>
      <c r="U703" s="125"/>
      <c r="V703" s="125"/>
      <c r="W703" s="125"/>
      <c r="X703" s="125"/>
      <c r="Y703" s="125"/>
      <c r="Z703" s="125"/>
      <c r="AA703" s="125"/>
      <c r="AB703" s="125"/>
      <c r="AC703" s="125"/>
      <c r="AD703" s="125"/>
    </row>
    <row r="704">
      <c r="A704" s="124"/>
      <c r="B704" s="125"/>
      <c r="C704" s="125"/>
      <c r="D704" s="125"/>
      <c r="E704" s="125"/>
      <c r="F704" s="125"/>
      <c r="G704" s="125"/>
      <c r="H704" s="125"/>
      <c r="I704" s="125"/>
      <c r="J704" s="125"/>
      <c r="K704" s="125"/>
      <c r="L704" s="125"/>
      <c r="M704" s="125"/>
      <c r="N704" s="125"/>
      <c r="O704" s="125"/>
      <c r="P704" s="125"/>
      <c r="Q704" s="125"/>
      <c r="R704" s="125"/>
      <c r="S704" s="125"/>
      <c r="T704" s="125"/>
      <c r="U704" s="125"/>
      <c r="V704" s="125"/>
      <c r="W704" s="125"/>
      <c r="X704" s="125"/>
      <c r="Y704" s="125"/>
      <c r="Z704" s="125"/>
      <c r="AA704" s="125"/>
      <c r="AB704" s="125"/>
      <c r="AC704" s="125"/>
      <c r="AD704" s="125"/>
    </row>
    <row r="705">
      <c r="A705" s="124"/>
      <c r="B705" s="125"/>
      <c r="C705" s="125"/>
      <c r="D705" s="125"/>
      <c r="E705" s="125"/>
      <c r="F705" s="125"/>
      <c r="G705" s="125"/>
      <c r="H705" s="125"/>
      <c r="I705" s="125"/>
      <c r="J705" s="125"/>
      <c r="K705" s="125"/>
      <c r="L705" s="125"/>
      <c r="M705" s="125"/>
      <c r="N705" s="125"/>
      <c r="O705" s="125"/>
      <c r="P705" s="125"/>
      <c r="Q705" s="125"/>
      <c r="R705" s="125"/>
      <c r="S705" s="125"/>
      <c r="T705" s="125"/>
      <c r="U705" s="125"/>
      <c r="V705" s="125"/>
      <c r="W705" s="125"/>
      <c r="X705" s="125"/>
      <c r="Y705" s="125"/>
      <c r="Z705" s="125"/>
      <c r="AA705" s="125"/>
      <c r="AB705" s="125"/>
      <c r="AC705" s="125"/>
      <c r="AD705" s="125"/>
    </row>
    <row r="706">
      <c r="A706" s="124"/>
      <c r="B706" s="125"/>
      <c r="C706" s="125"/>
      <c r="D706" s="125"/>
      <c r="E706" s="125"/>
      <c r="F706" s="125"/>
      <c r="G706" s="125"/>
      <c r="H706" s="125"/>
      <c r="I706" s="125"/>
      <c r="J706" s="125"/>
      <c r="K706" s="125"/>
      <c r="L706" s="125"/>
      <c r="M706" s="125"/>
      <c r="N706" s="125"/>
      <c r="O706" s="125"/>
      <c r="P706" s="125"/>
      <c r="Q706" s="125"/>
      <c r="R706" s="125"/>
      <c r="S706" s="125"/>
      <c r="T706" s="125"/>
      <c r="U706" s="125"/>
      <c r="V706" s="125"/>
      <c r="W706" s="125"/>
      <c r="X706" s="125"/>
      <c r="Y706" s="125"/>
      <c r="Z706" s="125"/>
      <c r="AA706" s="125"/>
      <c r="AB706" s="125"/>
      <c r="AC706" s="125"/>
      <c r="AD706" s="125"/>
    </row>
    <row r="707">
      <c r="A707" s="124"/>
      <c r="B707" s="125"/>
      <c r="C707" s="125"/>
      <c r="D707" s="125"/>
      <c r="E707" s="125"/>
      <c r="F707" s="125"/>
      <c r="G707" s="125"/>
      <c r="H707" s="125"/>
      <c r="I707" s="125"/>
      <c r="J707" s="125"/>
      <c r="K707" s="125"/>
      <c r="L707" s="125"/>
      <c r="M707" s="125"/>
      <c r="N707" s="125"/>
      <c r="O707" s="125"/>
      <c r="P707" s="125"/>
      <c r="Q707" s="125"/>
      <c r="R707" s="125"/>
      <c r="S707" s="125"/>
      <c r="T707" s="125"/>
      <c r="U707" s="125"/>
      <c r="V707" s="125"/>
      <c r="W707" s="125"/>
      <c r="X707" s="125"/>
      <c r="Y707" s="125"/>
      <c r="Z707" s="125"/>
      <c r="AA707" s="125"/>
      <c r="AB707" s="125"/>
      <c r="AC707" s="125"/>
      <c r="AD707" s="125"/>
    </row>
    <row r="708">
      <c r="A708" s="124"/>
      <c r="B708" s="125"/>
      <c r="C708" s="125"/>
      <c r="D708" s="125"/>
      <c r="E708" s="125"/>
      <c r="F708" s="125"/>
      <c r="G708" s="125"/>
      <c r="H708" s="125"/>
      <c r="I708" s="125"/>
      <c r="J708" s="125"/>
      <c r="K708" s="125"/>
      <c r="L708" s="125"/>
      <c r="M708" s="125"/>
      <c r="N708" s="125"/>
      <c r="O708" s="125"/>
      <c r="P708" s="125"/>
      <c r="Q708" s="125"/>
      <c r="R708" s="125"/>
      <c r="S708" s="125"/>
      <c r="T708" s="125"/>
      <c r="U708" s="125"/>
      <c r="V708" s="125"/>
      <c r="W708" s="125"/>
      <c r="X708" s="125"/>
      <c r="Y708" s="125"/>
      <c r="Z708" s="125"/>
      <c r="AA708" s="125"/>
      <c r="AB708" s="125"/>
      <c r="AC708" s="125"/>
      <c r="AD708" s="125"/>
    </row>
    <row r="709">
      <c r="A709" s="124"/>
      <c r="B709" s="125"/>
      <c r="C709" s="125"/>
      <c r="D709" s="125"/>
      <c r="E709" s="125"/>
      <c r="F709" s="125"/>
      <c r="G709" s="125"/>
      <c r="H709" s="125"/>
      <c r="I709" s="125"/>
      <c r="J709" s="125"/>
      <c r="K709" s="125"/>
      <c r="L709" s="125"/>
      <c r="M709" s="125"/>
      <c r="N709" s="125"/>
      <c r="O709" s="125"/>
      <c r="P709" s="125"/>
      <c r="Q709" s="125"/>
      <c r="R709" s="125"/>
      <c r="S709" s="125"/>
      <c r="T709" s="125"/>
      <c r="U709" s="125"/>
      <c r="V709" s="125"/>
      <c r="W709" s="125"/>
      <c r="X709" s="125"/>
      <c r="Y709" s="125"/>
      <c r="Z709" s="125"/>
      <c r="AA709" s="125"/>
      <c r="AB709" s="125"/>
      <c r="AC709" s="125"/>
      <c r="AD709" s="125"/>
    </row>
    <row r="710">
      <c r="A710" s="124"/>
      <c r="B710" s="125"/>
      <c r="C710" s="125"/>
      <c r="D710" s="125"/>
      <c r="E710" s="125"/>
      <c r="F710" s="125"/>
      <c r="G710" s="125"/>
      <c r="H710" s="125"/>
      <c r="I710" s="125"/>
      <c r="J710" s="125"/>
      <c r="K710" s="125"/>
      <c r="L710" s="125"/>
      <c r="M710" s="125"/>
      <c r="N710" s="125"/>
      <c r="O710" s="125"/>
      <c r="P710" s="125"/>
      <c r="Q710" s="125"/>
      <c r="R710" s="125"/>
      <c r="S710" s="125"/>
      <c r="T710" s="125"/>
      <c r="U710" s="125"/>
      <c r="V710" s="125"/>
      <c r="W710" s="125"/>
      <c r="X710" s="125"/>
      <c r="Y710" s="125"/>
      <c r="Z710" s="125"/>
      <c r="AA710" s="125"/>
      <c r="AB710" s="125"/>
      <c r="AC710" s="125"/>
      <c r="AD710" s="125"/>
    </row>
    <row r="711">
      <c r="A711" s="124"/>
      <c r="B711" s="125"/>
      <c r="C711" s="125"/>
      <c r="D711" s="125"/>
      <c r="E711" s="125"/>
      <c r="F711" s="125"/>
      <c r="G711" s="125"/>
      <c r="H711" s="125"/>
      <c r="I711" s="125"/>
      <c r="J711" s="125"/>
      <c r="K711" s="125"/>
      <c r="L711" s="125"/>
      <c r="M711" s="125"/>
      <c r="N711" s="125"/>
      <c r="O711" s="125"/>
      <c r="P711" s="125"/>
      <c r="Q711" s="125"/>
      <c r="R711" s="125"/>
      <c r="S711" s="125"/>
      <c r="T711" s="125"/>
      <c r="U711" s="125"/>
      <c r="V711" s="125"/>
      <c r="W711" s="125"/>
      <c r="X711" s="125"/>
      <c r="Y711" s="125"/>
      <c r="Z711" s="125"/>
      <c r="AA711" s="125"/>
      <c r="AB711" s="125"/>
      <c r="AC711" s="125"/>
      <c r="AD711" s="125"/>
    </row>
    <row r="712">
      <c r="A712" s="124"/>
      <c r="B712" s="125"/>
      <c r="C712" s="125"/>
      <c r="D712" s="125"/>
      <c r="E712" s="125"/>
      <c r="F712" s="125"/>
      <c r="G712" s="125"/>
      <c r="H712" s="125"/>
      <c r="I712" s="125"/>
      <c r="J712" s="125"/>
      <c r="K712" s="125"/>
      <c r="L712" s="125"/>
      <c r="M712" s="125"/>
      <c r="N712" s="125"/>
      <c r="O712" s="125"/>
      <c r="P712" s="125"/>
      <c r="Q712" s="125"/>
      <c r="R712" s="125"/>
      <c r="S712" s="125"/>
      <c r="T712" s="125"/>
      <c r="U712" s="125"/>
      <c r="V712" s="125"/>
      <c r="W712" s="125"/>
      <c r="X712" s="125"/>
      <c r="Y712" s="125"/>
      <c r="Z712" s="125"/>
      <c r="AA712" s="125"/>
      <c r="AB712" s="125"/>
      <c r="AC712" s="125"/>
      <c r="AD712" s="125"/>
    </row>
    <row r="713">
      <c r="A713" s="124"/>
      <c r="B713" s="125"/>
      <c r="C713" s="125"/>
      <c r="D713" s="125"/>
      <c r="E713" s="125"/>
      <c r="F713" s="125"/>
      <c r="G713" s="125"/>
      <c r="H713" s="125"/>
      <c r="I713" s="125"/>
      <c r="J713" s="125"/>
      <c r="K713" s="125"/>
      <c r="L713" s="125"/>
      <c r="M713" s="125"/>
      <c r="N713" s="125"/>
      <c r="O713" s="125"/>
      <c r="P713" s="125"/>
      <c r="Q713" s="125"/>
      <c r="R713" s="125"/>
      <c r="S713" s="125"/>
      <c r="T713" s="125"/>
      <c r="U713" s="125"/>
      <c r="V713" s="125"/>
      <c r="W713" s="125"/>
      <c r="X713" s="125"/>
      <c r="Y713" s="125"/>
      <c r="Z713" s="125"/>
      <c r="AA713" s="125"/>
      <c r="AB713" s="125"/>
      <c r="AC713" s="125"/>
      <c r="AD713" s="125"/>
    </row>
    <row r="714">
      <c r="A714" s="124"/>
      <c r="B714" s="125"/>
      <c r="C714" s="125"/>
      <c r="D714" s="125"/>
      <c r="E714" s="125"/>
      <c r="F714" s="125"/>
      <c r="G714" s="125"/>
      <c r="H714" s="125"/>
      <c r="I714" s="125"/>
      <c r="J714" s="125"/>
      <c r="K714" s="125"/>
      <c r="L714" s="125"/>
      <c r="M714" s="125"/>
      <c r="N714" s="125"/>
      <c r="O714" s="125"/>
      <c r="P714" s="125"/>
      <c r="Q714" s="125"/>
      <c r="R714" s="125"/>
      <c r="S714" s="125"/>
      <c r="T714" s="125"/>
      <c r="U714" s="125"/>
      <c r="V714" s="125"/>
      <c r="W714" s="125"/>
      <c r="X714" s="125"/>
      <c r="Y714" s="125"/>
      <c r="Z714" s="125"/>
      <c r="AA714" s="125"/>
      <c r="AB714" s="125"/>
      <c r="AC714" s="125"/>
      <c r="AD714" s="125"/>
    </row>
    <row r="715">
      <c r="A715" s="124"/>
      <c r="B715" s="125"/>
      <c r="C715" s="125"/>
      <c r="D715" s="125"/>
      <c r="E715" s="125"/>
      <c r="F715" s="125"/>
      <c r="G715" s="125"/>
      <c r="H715" s="125"/>
      <c r="I715" s="125"/>
      <c r="J715" s="125"/>
      <c r="K715" s="125"/>
      <c r="L715" s="125"/>
      <c r="M715" s="125"/>
      <c r="N715" s="125"/>
      <c r="O715" s="125"/>
      <c r="P715" s="125"/>
      <c r="Q715" s="125"/>
      <c r="R715" s="125"/>
      <c r="S715" s="125"/>
      <c r="T715" s="125"/>
      <c r="U715" s="125"/>
      <c r="V715" s="125"/>
      <c r="W715" s="125"/>
      <c r="X715" s="125"/>
      <c r="Y715" s="125"/>
      <c r="Z715" s="125"/>
      <c r="AA715" s="125"/>
      <c r="AB715" s="125"/>
      <c r="AC715" s="125"/>
      <c r="AD715" s="125"/>
    </row>
    <row r="716">
      <c r="A716" s="124"/>
      <c r="B716" s="125"/>
      <c r="C716" s="125"/>
      <c r="D716" s="125"/>
      <c r="E716" s="125"/>
      <c r="F716" s="125"/>
      <c r="G716" s="125"/>
      <c r="H716" s="125"/>
      <c r="I716" s="125"/>
      <c r="J716" s="125"/>
      <c r="K716" s="125"/>
      <c r="L716" s="125"/>
      <c r="M716" s="125"/>
      <c r="N716" s="125"/>
      <c r="O716" s="125"/>
      <c r="P716" s="125"/>
      <c r="Q716" s="125"/>
      <c r="R716" s="125"/>
      <c r="S716" s="125"/>
      <c r="T716" s="125"/>
      <c r="U716" s="125"/>
      <c r="V716" s="125"/>
      <c r="W716" s="125"/>
      <c r="X716" s="125"/>
      <c r="Y716" s="125"/>
      <c r="Z716" s="125"/>
      <c r="AA716" s="125"/>
      <c r="AB716" s="125"/>
      <c r="AC716" s="125"/>
      <c r="AD716" s="125"/>
    </row>
    <row r="717">
      <c r="A717" s="124"/>
      <c r="B717" s="125"/>
      <c r="C717" s="125"/>
      <c r="D717" s="125"/>
      <c r="E717" s="125"/>
      <c r="F717" s="125"/>
      <c r="G717" s="125"/>
      <c r="H717" s="125"/>
      <c r="I717" s="125"/>
      <c r="J717" s="125"/>
      <c r="K717" s="125"/>
      <c r="L717" s="125"/>
      <c r="M717" s="125"/>
      <c r="N717" s="125"/>
      <c r="O717" s="125"/>
      <c r="P717" s="125"/>
      <c r="Q717" s="125"/>
      <c r="R717" s="125"/>
      <c r="S717" s="125"/>
      <c r="T717" s="125"/>
      <c r="U717" s="125"/>
      <c r="V717" s="125"/>
      <c r="W717" s="125"/>
      <c r="X717" s="125"/>
      <c r="Y717" s="125"/>
      <c r="Z717" s="125"/>
      <c r="AA717" s="125"/>
      <c r="AB717" s="125"/>
      <c r="AC717" s="125"/>
      <c r="AD717" s="125"/>
    </row>
    <row r="718">
      <c r="A718" s="124"/>
      <c r="B718" s="125"/>
      <c r="C718" s="125"/>
      <c r="D718" s="125"/>
      <c r="E718" s="125"/>
      <c r="F718" s="125"/>
      <c r="G718" s="125"/>
      <c r="H718" s="125"/>
      <c r="I718" s="125"/>
      <c r="J718" s="125"/>
      <c r="K718" s="125"/>
      <c r="L718" s="125"/>
      <c r="M718" s="125"/>
      <c r="N718" s="125"/>
      <c r="O718" s="125"/>
      <c r="P718" s="125"/>
      <c r="Q718" s="125"/>
      <c r="R718" s="125"/>
      <c r="S718" s="125"/>
      <c r="T718" s="125"/>
      <c r="U718" s="125"/>
      <c r="V718" s="125"/>
      <c r="W718" s="125"/>
      <c r="X718" s="125"/>
      <c r="Y718" s="125"/>
      <c r="Z718" s="125"/>
      <c r="AA718" s="125"/>
      <c r="AB718" s="125"/>
      <c r="AC718" s="125"/>
      <c r="AD718" s="125"/>
    </row>
    <row r="719">
      <c r="A719" s="124"/>
      <c r="B719" s="125"/>
      <c r="C719" s="125"/>
      <c r="D719" s="125"/>
      <c r="E719" s="125"/>
      <c r="F719" s="125"/>
      <c r="G719" s="125"/>
      <c r="H719" s="125"/>
      <c r="I719" s="125"/>
      <c r="J719" s="125"/>
      <c r="K719" s="125"/>
      <c r="L719" s="125"/>
      <c r="M719" s="125"/>
      <c r="N719" s="125"/>
      <c r="O719" s="125"/>
      <c r="P719" s="125"/>
      <c r="Q719" s="125"/>
      <c r="R719" s="125"/>
      <c r="S719" s="125"/>
      <c r="T719" s="125"/>
      <c r="U719" s="125"/>
      <c r="V719" s="125"/>
      <c r="W719" s="125"/>
      <c r="X719" s="125"/>
      <c r="Y719" s="125"/>
      <c r="Z719" s="125"/>
      <c r="AA719" s="125"/>
      <c r="AB719" s="125"/>
      <c r="AC719" s="125"/>
      <c r="AD719" s="125"/>
    </row>
    <row r="720">
      <c r="A720" s="124"/>
      <c r="B720" s="125"/>
      <c r="C720" s="125"/>
      <c r="D720" s="125"/>
      <c r="E720" s="125"/>
      <c r="F720" s="125"/>
      <c r="G720" s="125"/>
      <c r="H720" s="125"/>
      <c r="I720" s="125"/>
      <c r="J720" s="125"/>
      <c r="K720" s="125"/>
      <c r="L720" s="125"/>
      <c r="M720" s="125"/>
      <c r="N720" s="125"/>
      <c r="O720" s="125"/>
      <c r="P720" s="125"/>
      <c r="Q720" s="125"/>
      <c r="R720" s="125"/>
      <c r="S720" s="125"/>
      <c r="T720" s="125"/>
      <c r="U720" s="125"/>
      <c r="V720" s="125"/>
      <c r="W720" s="125"/>
      <c r="X720" s="125"/>
      <c r="Y720" s="125"/>
      <c r="Z720" s="125"/>
      <c r="AA720" s="125"/>
      <c r="AB720" s="125"/>
      <c r="AC720" s="125"/>
      <c r="AD720" s="125"/>
    </row>
    <row r="721">
      <c r="A721" s="124"/>
      <c r="B721" s="125"/>
      <c r="C721" s="125"/>
      <c r="D721" s="125"/>
      <c r="E721" s="125"/>
      <c r="F721" s="125"/>
      <c r="G721" s="125"/>
      <c r="H721" s="125"/>
      <c r="I721" s="125"/>
      <c r="J721" s="125"/>
      <c r="K721" s="125"/>
      <c r="L721" s="125"/>
      <c r="M721" s="125"/>
      <c r="N721" s="125"/>
      <c r="O721" s="125"/>
      <c r="P721" s="125"/>
      <c r="Q721" s="125"/>
      <c r="R721" s="125"/>
      <c r="S721" s="125"/>
      <c r="T721" s="125"/>
      <c r="U721" s="125"/>
      <c r="V721" s="125"/>
      <c r="W721" s="125"/>
      <c r="X721" s="125"/>
      <c r="Y721" s="125"/>
      <c r="Z721" s="125"/>
      <c r="AA721" s="125"/>
      <c r="AB721" s="125"/>
      <c r="AC721" s="125"/>
      <c r="AD721" s="125"/>
    </row>
    <row r="722">
      <c r="A722" s="124"/>
      <c r="B722" s="125"/>
      <c r="C722" s="125"/>
      <c r="D722" s="125"/>
      <c r="E722" s="125"/>
      <c r="F722" s="125"/>
      <c r="G722" s="125"/>
      <c r="H722" s="125"/>
      <c r="I722" s="125"/>
      <c r="J722" s="125"/>
      <c r="K722" s="125"/>
      <c r="L722" s="125"/>
      <c r="M722" s="125"/>
      <c r="N722" s="125"/>
      <c r="O722" s="125"/>
      <c r="P722" s="125"/>
      <c r="Q722" s="125"/>
      <c r="R722" s="125"/>
      <c r="S722" s="125"/>
      <c r="T722" s="125"/>
      <c r="U722" s="125"/>
      <c r="V722" s="125"/>
      <c r="W722" s="125"/>
      <c r="X722" s="125"/>
      <c r="Y722" s="125"/>
      <c r="Z722" s="125"/>
      <c r="AA722" s="125"/>
      <c r="AB722" s="125"/>
      <c r="AC722" s="125"/>
      <c r="AD722" s="125"/>
    </row>
    <row r="723">
      <c r="A723" s="124"/>
      <c r="B723" s="125"/>
      <c r="C723" s="125"/>
      <c r="D723" s="125"/>
      <c r="E723" s="125"/>
      <c r="F723" s="125"/>
      <c r="G723" s="125"/>
      <c r="H723" s="125"/>
      <c r="I723" s="125"/>
      <c r="J723" s="125"/>
      <c r="K723" s="125"/>
      <c r="L723" s="125"/>
      <c r="M723" s="125"/>
      <c r="N723" s="125"/>
      <c r="O723" s="125"/>
      <c r="P723" s="125"/>
      <c r="Q723" s="125"/>
      <c r="R723" s="125"/>
      <c r="S723" s="125"/>
      <c r="T723" s="125"/>
      <c r="U723" s="125"/>
      <c r="V723" s="125"/>
      <c r="W723" s="125"/>
      <c r="X723" s="125"/>
      <c r="Y723" s="125"/>
      <c r="Z723" s="125"/>
      <c r="AA723" s="125"/>
      <c r="AB723" s="125"/>
      <c r="AC723" s="125"/>
      <c r="AD723" s="125"/>
    </row>
    <row r="724">
      <c r="A724" s="124"/>
      <c r="B724" s="125"/>
      <c r="C724" s="125"/>
      <c r="D724" s="125"/>
      <c r="E724" s="125"/>
      <c r="F724" s="125"/>
      <c r="G724" s="125"/>
      <c r="H724" s="125"/>
      <c r="I724" s="125"/>
      <c r="J724" s="125"/>
      <c r="K724" s="125"/>
      <c r="L724" s="125"/>
      <c r="M724" s="125"/>
      <c r="N724" s="125"/>
      <c r="O724" s="125"/>
      <c r="P724" s="125"/>
      <c r="Q724" s="125"/>
      <c r="R724" s="125"/>
      <c r="S724" s="125"/>
      <c r="T724" s="125"/>
      <c r="U724" s="125"/>
      <c r="V724" s="125"/>
      <c r="W724" s="125"/>
      <c r="X724" s="125"/>
      <c r="Y724" s="125"/>
      <c r="Z724" s="125"/>
      <c r="AA724" s="125"/>
      <c r="AB724" s="125"/>
      <c r="AC724" s="125"/>
      <c r="AD724" s="125"/>
    </row>
    <row r="725">
      <c r="A725" s="124"/>
      <c r="B725" s="125"/>
      <c r="C725" s="125"/>
      <c r="D725" s="125"/>
      <c r="E725" s="125"/>
      <c r="F725" s="125"/>
      <c r="G725" s="125"/>
      <c r="H725" s="125"/>
      <c r="I725" s="125"/>
      <c r="J725" s="125"/>
      <c r="K725" s="125"/>
      <c r="L725" s="125"/>
      <c r="M725" s="125"/>
      <c r="N725" s="125"/>
      <c r="O725" s="125"/>
      <c r="P725" s="125"/>
      <c r="Q725" s="125"/>
      <c r="R725" s="125"/>
      <c r="S725" s="125"/>
      <c r="T725" s="125"/>
      <c r="U725" s="125"/>
      <c r="V725" s="125"/>
      <c r="W725" s="125"/>
      <c r="X725" s="125"/>
      <c r="Y725" s="125"/>
      <c r="Z725" s="125"/>
      <c r="AA725" s="125"/>
      <c r="AB725" s="125"/>
      <c r="AC725" s="125"/>
      <c r="AD725" s="125"/>
    </row>
    <row r="726">
      <c r="A726" s="124"/>
      <c r="B726" s="125"/>
      <c r="C726" s="125"/>
      <c r="D726" s="125"/>
      <c r="E726" s="125"/>
      <c r="F726" s="125"/>
      <c r="G726" s="125"/>
      <c r="H726" s="125"/>
      <c r="I726" s="125"/>
      <c r="J726" s="125"/>
      <c r="K726" s="125"/>
      <c r="L726" s="125"/>
      <c r="M726" s="125"/>
      <c r="N726" s="125"/>
      <c r="O726" s="125"/>
      <c r="P726" s="125"/>
      <c r="Q726" s="125"/>
      <c r="R726" s="125"/>
      <c r="S726" s="125"/>
      <c r="T726" s="125"/>
      <c r="U726" s="125"/>
      <c r="V726" s="125"/>
      <c r="W726" s="125"/>
      <c r="X726" s="125"/>
      <c r="Y726" s="125"/>
      <c r="Z726" s="125"/>
      <c r="AA726" s="125"/>
      <c r="AB726" s="125"/>
      <c r="AC726" s="125"/>
      <c r="AD726" s="125"/>
    </row>
    <row r="727">
      <c r="A727" s="124"/>
      <c r="B727" s="125"/>
      <c r="C727" s="125"/>
      <c r="D727" s="125"/>
      <c r="E727" s="125"/>
      <c r="F727" s="125"/>
      <c r="G727" s="125"/>
      <c r="H727" s="125"/>
      <c r="I727" s="125"/>
      <c r="J727" s="125"/>
      <c r="K727" s="125"/>
      <c r="L727" s="125"/>
      <c r="M727" s="125"/>
      <c r="N727" s="125"/>
      <c r="O727" s="125"/>
      <c r="P727" s="125"/>
      <c r="Q727" s="125"/>
      <c r="R727" s="125"/>
      <c r="S727" s="125"/>
      <c r="T727" s="125"/>
      <c r="U727" s="125"/>
      <c r="V727" s="125"/>
      <c r="W727" s="125"/>
      <c r="X727" s="125"/>
      <c r="Y727" s="125"/>
      <c r="Z727" s="125"/>
      <c r="AA727" s="125"/>
      <c r="AB727" s="125"/>
      <c r="AC727" s="125"/>
      <c r="AD727" s="125"/>
    </row>
    <row r="728">
      <c r="A728" s="124"/>
      <c r="B728" s="125"/>
      <c r="C728" s="125"/>
      <c r="D728" s="125"/>
      <c r="E728" s="125"/>
      <c r="F728" s="125"/>
      <c r="G728" s="125"/>
      <c r="H728" s="125"/>
      <c r="I728" s="125"/>
      <c r="J728" s="125"/>
      <c r="K728" s="125"/>
      <c r="L728" s="125"/>
      <c r="M728" s="125"/>
      <c r="N728" s="125"/>
      <c r="O728" s="125"/>
      <c r="P728" s="125"/>
      <c r="Q728" s="125"/>
      <c r="R728" s="125"/>
      <c r="S728" s="125"/>
      <c r="T728" s="125"/>
      <c r="U728" s="125"/>
      <c r="V728" s="125"/>
      <c r="W728" s="125"/>
      <c r="X728" s="125"/>
      <c r="Y728" s="125"/>
      <c r="Z728" s="125"/>
      <c r="AA728" s="125"/>
      <c r="AB728" s="125"/>
      <c r="AC728" s="125"/>
      <c r="AD728" s="125"/>
    </row>
    <row r="729">
      <c r="A729" s="124"/>
      <c r="B729" s="125"/>
      <c r="C729" s="125"/>
      <c r="D729" s="125"/>
      <c r="E729" s="125"/>
      <c r="F729" s="125"/>
      <c r="G729" s="125"/>
      <c r="H729" s="125"/>
      <c r="I729" s="125"/>
      <c r="J729" s="125"/>
      <c r="K729" s="125"/>
      <c r="L729" s="125"/>
      <c r="M729" s="125"/>
      <c r="N729" s="125"/>
      <c r="O729" s="125"/>
      <c r="P729" s="125"/>
      <c r="Q729" s="125"/>
      <c r="R729" s="125"/>
      <c r="S729" s="125"/>
      <c r="T729" s="125"/>
      <c r="U729" s="125"/>
      <c r="V729" s="125"/>
      <c r="W729" s="125"/>
      <c r="X729" s="125"/>
      <c r="Y729" s="125"/>
      <c r="Z729" s="125"/>
      <c r="AA729" s="125"/>
      <c r="AB729" s="125"/>
      <c r="AC729" s="125"/>
      <c r="AD729" s="125"/>
    </row>
    <row r="730">
      <c r="A730" s="124"/>
      <c r="B730" s="125"/>
      <c r="C730" s="125"/>
      <c r="D730" s="125"/>
      <c r="E730" s="125"/>
      <c r="F730" s="125"/>
      <c r="G730" s="125"/>
      <c r="H730" s="125"/>
      <c r="I730" s="125"/>
      <c r="J730" s="125"/>
      <c r="K730" s="125"/>
      <c r="L730" s="125"/>
      <c r="M730" s="125"/>
      <c r="N730" s="125"/>
      <c r="O730" s="125"/>
      <c r="P730" s="125"/>
      <c r="Q730" s="125"/>
      <c r="R730" s="125"/>
      <c r="S730" s="125"/>
      <c r="T730" s="125"/>
      <c r="U730" s="125"/>
      <c r="V730" s="125"/>
      <c r="W730" s="125"/>
      <c r="X730" s="125"/>
      <c r="Y730" s="125"/>
      <c r="Z730" s="125"/>
      <c r="AA730" s="125"/>
      <c r="AB730" s="125"/>
      <c r="AC730" s="125"/>
      <c r="AD730" s="125"/>
    </row>
    <row r="731">
      <c r="A731" s="124"/>
      <c r="B731" s="125"/>
      <c r="C731" s="125"/>
      <c r="D731" s="125"/>
      <c r="E731" s="125"/>
      <c r="F731" s="125"/>
      <c r="G731" s="125"/>
      <c r="H731" s="125"/>
      <c r="I731" s="125"/>
      <c r="J731" s="125"/>
      <c r="K731" s="125"/>
      <c r="L731" s="125"/>
      <c r="M731" s="125"/>
      <c r="N731" s="125"/>
      <c r="O731" s="125"/>
      <c r="P731" s="125"/>
      <c r="Q731" s="125"/>
      <c r="R731" s="125"/>
      <c r="S731" s="125"/>
      <c r="T731" s="125"/>
      <c r="U731" s="125"/>
      <c r="V731" s="125"/>
      <c r="W731" s="125"/>
      <c r="X731" s="125"/>
      <c r="Y731" s="125"/>
      <c r="Z731" s="125"/>
      <c r="AA731" s="125"/>
      <c r="AB731" s="125"/>
      <c r="AC731" s="125"/>
      <c r="AD731" s="125"/>
    </row>
    <row r="732">
      <c r="A732" s="124"/>
      <c r="B732" s="125"/>
      <c r="C732" s="125"/>
      <c r="D732" s="125"/>
      <c r="E732" s="125"/>
      <c r="F732" s="125"/>
      <c r="G732" s="125"/>
      <c r="H732" s="125"/>
      <c r="I732" s="125"/>
      <c r="J732" s="125"/>
      <c r="K732" s="125"/>
      <c r="L732" s="125"/>
      <c r="M732" s="125"/>
      <c r="N732" s="125"/>
      <c r="O732" s="125"/>
      <c r="P732" s="125"/>
      <c r="Q732" s="125"/>
      <c r="R732" s="125"/>
      <c r="S732" s="125"/>
      <c r="T732" s="125"/>
      <c r="U732" s="125"/>
      <c r="V732" s="125"/>
      <c r="W732" s="125"/>
      <c r="X732" s="125"/>
      <c r="Y732" s="125"/>
      <c r="Z732" s="125"/>
      <c r="AA732" s="125"/>
      <c r="AB732" s="125"/>
      <c r="AC732" s="125"/>
      <c r="AD732" s="125"/>
    </row>
    <row r="733">
      <c r="A733" s="124"/>
      <c r="B733" s="125"/>
      <c r="C733" s="125"/>
      <c r="D733" s="125"/>
      <c r="E733" s="125"/>
      <c r="F733" s="125"/>
      <c r="G733" s="125"/>
      <c r="H733" s="125"/>
      <c r="I733" s="125"/>
      <c r="J733" s="125"/>
      <c r="K733" s="125"/>
      <c r="L733" s="125"/>
      <c r="M733" s="125"/>
      <c r="N733" s="125"/>
      <c r="O733" s="125"/>
      <c r="P733" s="125"/>
      <c r="Q733" s="125"/>
      <c r="R733" s="125"/>
      <c r="S733" s="125"/>
      <c r="T733" s="125"/>
      <c r="U733" s="125"/>
      <c r="V733" s="125"/>
      <c r="W733" s="125"/>
      <c r="X733" s="125"/>
      <c r="Y733" s="125"/>
      <c r="Z733" s="125"/>
      <c r="AA733" s="125"/>
      <c r="AB733" s="125"/>
      <c r="AC733" s="125"/>
      <c r="AD733" s="125"/>
    </row>
    <row r="734">
      <c r="A734" s="124"/>
      <c r="B734" s="125"/>
      <c r="C734" s="125"/>
      <c r="D734" s="125"/>
      <c r="E734" s="125"/>
      <c r="F734" s="125"/>
      <c r="G734" s="125"/>
      <c r="H734" s="125"/>
      <c r="I734" s="125"/>
      <c r="J734" s="125"/>
      <c r="K734" s="125"/>
      <c r="L734" s="125"/>
      <c r="M734" s="125"/>
      <c r="N734" s="125"/>
      <c r="O734" s="125"/>
      <c r="P734" s="125"/>
      <c r="Q734" s="125"/>
      <c r="R734" s="125"/>
      <c r="S734" s="125"/>
      <c r="T734" s="125"/>
      <c r="U734" s="125"/>
      <c r="V734" s="125"/>
      <c r="W734" s="125"/>
      <c r="X734" s="125"/>
      <c r="Y734" s="125"/>
      <c r="Z734" s="125"/>
      <c r="AA734" s="125"/>
      <c r="AB734" s="125"/>
      <c r="AC734" s="125"/>
      <c r="AD734" s="125"/>
    </row>
    <row r="735">
      <c r="A735" s="124"/>
      <c r="B735" s="125"/>
      <c r="C735" s="125"/>
      <c r="D735" s="125"/>
      <c r="E735" s="125"/>
      <c r="F735" s="125"/>
      <c r="G735" s="125"/>
      <c r="H735" s="125"/>
      <c r="I735" s="125"/>
      <c r="J735" s="125"/>
      <c r="K735" s="125"/>
      <c r="L735" s="125"/>
      <c r="M735" s="125"/>
      <c r="N735" s="125"/>
      <c r="O735" s="125"/>
      <c r="P735" s="125"/>
      <c r="Q735" s="125"/>
      <c r="R735" s="125"/>
      <c r="S735" s="125"/>
      <c r="T735" s="125"/>
      <c r="U735" s="125"/>
      <c r="V735" s="125"/>
      <c r="W735" s="125"/>
      <c r="X735" s="125"/>
      <c r="Y735" s="125"/>
      <c r="Z735" s="125"/>
      <c r="AA735" s="125"/>
      <c r="AB735" s="125"/>
      <c r="AC735" s="125"/>
      <c r="AD735" s="125"/>
    </row>
    <row r="736">
      <c r="A736" s="124"/>
      <c r="B736" s="125"/>
      <c r="C736" s="125"/>
      <c r="D736" s="125"/>
      <c r="E736" s="125"/>
      <c r="F736" s="125"/>
      <c r="G736" s="125"/>
      <c r="H736" s="125"/>
      <c r="I736" s="125"/>
      <c r="J736" s="125"/>
      <c r="K736" s="125"/>
      <c r="L736" s="125"/>
      <c r="M736" s="125"/>
      <c r="N736" s="125"/>
      <c r="O736" s="125"/>
      <c r="P736" s="125"/>
      <c r="Q736" s="125"/>
      <c r="R736" s="125"/>
      <c r="S736" s="125"/>
      <c r="T736" s="125"/>
      <c r="U736" s="125"/>
      <c r="V736" s="125"/>
      <c r="W736" s="125"/>
      <c r="X736" s="125"/>
      <c r="Y736" s="125"/>
      <c r="Z736" s="125"/>
      <c r="AA736" s="125"/>
      <c r="AB736" s="125"/>
      <c r="AC736" s="125"/>
      <c r="AD736" s="125"/>
    </row>
    <row r="737">
      <c r="A737" s="124"/>
      <c r="B737" s="125"/>
      <c r="C737" s="125"/>
      <c r="D737" s="125"/>
      <c r="E737" s="125"/>
      <c r="F737" s="125"/>
      <c r="G737" s="125"/>
      <c r="H737" s="125"/>
      <c r="I737" s="125"/>
      <c r="J737" s="125"/>
      <c r="K737" s="125"/>
      <c r="L737" s="125"/>
      <c r="M737" s="125"/>
      <c r="N737" s="125"/>
      <c r="O737" s="125"/>
      <c r="P737" s="125"/>
      <c r="Q737" s="125"/>
      <c r="R737" s="125"/>
      <c r="S737" s="125"/>
      <c r="T737" s="125"/>
      <c r="U737" s="125"/>
      <c r="V737" s="125"/>
      <c r="W737" s="125"/>
      <c r="X737" s="125"/>
      <c r="Y737" s="125"/>
      <c r="Z737" s="125"/>
      <c r="AA737" s="125"/>
      <c r="AB737" s="125"/>
      <c r="AC737" s="125"/>
      <c r="AD737" s="125"/>
    </row>
    <row r="738">
      <c r="A738" s="124"/>
      <c r="B738" s="125"/>
      <c r="C738" s="125"/>
      <c r="D738" s="125"/>
      <c r="E738" s="125"/>
      <c r="F738" s="125"/>
      <c r="G738" s="125"/>
      <c r="H738" s="125"/>
      <c r="I738" s="125"/>
      <c r="J738" s="125"/>
      <c r="K738" s="125"/>
      <c r="L738" s="125"/>
      <c r="M738" s="125"/>
      <c r="N738" s="125"/>
      <c r="O738" s="125"/>
      <c r="P738" s="125"/>
      <c r="Q738" s="125"/>
      <c r="R738" s="125"/>
      <c r="S738" s="125"/>
      <c r="T738" s="125"/>
      <c r="U738" s="125"/>
      <c r="V738" s="125"/>
      <c r="W738" s="125"/>
      <c r="X738" s="125"/>
      <c r="Y738" s="125"/>
      <c r="Z738" s="125"/>
      <c r="AA738" s="125"/>
      <c r="AB738" s="125"/>
      <c r="AC738" s="125"/>
      <c r="AD738" s="125"/>
    </row>
    <row r="739">
      <c r="A739" s="124"/>
      <c r="B739" s="125"/>
      <c r="C739" s="125"/>
      <c r="D739" s="125"/>
      <c r="E739" s="125"/>
      <c r="F739" s="125"/>
      <c r="G739" s="125"/>
      <c r="H739" s="125"/>
      <c r="I739" s="125"/>
      <c r="J739" s="125"/>
      <c r="K739" s="125"/>
      <c r="L739" s="125"/>
      <c r="M739" s="125"/>
      <c r="N739" s="125"/>
      <c r="O739" s="125"/>
      <c r="P739" s="125"/>
      <c r="Q739" s="125"/>
      <c r="R739" s="125"/>
      <c r="S739" s="125"/>
      <c r="T739" s="125"/>
      <c r="U739" s="125"/>
      <c r="V739" s="125"/>
      <c r="W739" s="125"/>
      <c r="X739" s="125"/>
      <c r="Y739" s="125"/>
      <c r="Z739" s="125"/>
      <c r="AA739" s="125"/>
      <c r="AB739" s="125"/>
      <c r="AC739" s="125"/>
      <c r="AD739" s="125"/>
    </row>
    <row r="740">
      <c r="A740" s="124"/>
      <c r="B740" s="125"/>
      <c r="C740" s="125"/>
      <c r="D740" s="125"/>
      <c r="E740" s="125"/>
      <c r="F740" s="125"/>
      <c r="G740" s="125"/>
      <c r="H740" s="125"/>
      <c r="I740" s="125"/>
      <c r="J740" s="125"/>
      <c r="K740" s="125"/>
      <c r="L740" s="125"/>
      <c r="M740" s="125"/>
      <c r="N740" s="125"/>
      <c r="O740" s="125"/>
      <c r="P740" s="125"/>
      <c r="Q740" s="125"/>
      <c r="R740" s="125"/>
      <c r="S740" s="125"/>
      <c r="T740" s="125"/>
      <c r="U740" s="125"/>
      <c r="V740" s="125"/>
      <c r="W740" s="125"/>
      <c r="X740" s="125"/>
      <c r="Y740" s="125"/>
      <c r="Z740" s="125"/>
      <c r="AA740" s="125"/>
      <c r="AB740" s="125"/>
      <c r="AC740" s="125"/>
      <c r="AD740" s="125"/>
    </row>
    <row r="741">
      <c r="A741" s="124"/>
      <c r="B741" s="125"/>
      <c r="C741" s="125"/>
      <c r="D741" s="125"/>
      <c r="E741" s="125"/>
      <c r="F741" s="125"/>
      <c r="G741" s="125"/>
      <c r="H741" s="125"/>
      <c r="I741" s="125"/>
      <c r="J741" s="125"/>
      <c r="K741" s="125"/>
      <c r="L741" s="125"/>
      <c r="M741" s="125"/>
      <c r="N741" s="125"/>
      <c r="O741" s="125"/>
      <c r="P741" s="125"/>
      <c r="Q741" s="125"/>
      <c r="R741" s="125"/>
      <c r="S741" s="125"/>
      <c r="T741" s="125"/>
      <c r="U741" s="125"/>
      <c r="V741" s="125"/>
      <c r="W741" s="125"/>
      <c r="X741" s="125"/>
      <c r="Y741" s="125"/>
      <c r="Z741" s="125"/>
      <c r="AA741" s="125"/>
      <c r="AB741" s="125"/>
      <c r="AC741" s="125"/>
      <c r="AD741" s="125"/>
    </row>
    <row r="742">
      <c r="A742" s="124"/>
      <c r="B742" s="125"/>
      <c r="C742" s="125"/>
      <c r="D742" s="125"/>
      <c r="E742" s="125"/>
      <c r="F742" s="125"/>
      <c r="G742" s="125"/>
      <c r="H742" s="125"/>
      <c r="I742" s="125"/>
      <c r="J742" s="125"/>
      <c r="K742" s="125"/>
      <c r="L742" s="125"/>
      <c r="M742" s="125"/>
      <c r="N742" s="125"/>
      <c r="O742" s="125"/>
      <c r="P742" s="125"/>
      <c r="Q742" s="125"/>
      <c r="R742" s="125"/>
      <c r="S742" s="125"/>
      <c r="T742" s="125"/>
      <c r="U742" s="125"/>
      <c r="V742" s="125"/>
      <c r="W742" s="125"/>
      <c r="X742" s="125"/>
      <c r="Y742" s="125"/>
      <c r="Z742" s="125"/>
      <c r="AA742" s="125"/>
      <c r="AB742" s="125"/>
      <c r="AC742" s="125"/>
      <c r="AD742" s="125"/>
    </row>
    <row r="743">
      <c r="A743" s="124"/>
      <c r="B743" s="125"/>
      <c r="C743" s="125"/>
      <c r="D743" s="125"/>
      <c r="E743" s="125"/>
      <c r="F743" s="125"/>
      <c r="G743" s="125"/>
      <c r="H743" s="125"/>
      <c r="I743" s="125"/>
      <c r="J743" s="125"/>
      <c r="K743" s="125"/>
      <c r="L743" s="125"/>
      <c r="M743" s="125"/>
      <c r="N743" s="125"/>
      <c r="O743" s="125"/>
      <c r="P743" s="125"/>
      <c r="Q743" s="125"/>
      <c r="R743" s="125"/>
      <c r="S743" s="125"/>
      <c r="T743" s="125"/>
      <c r="U743" s="125"/>
      <c r="V743" s="125"/>
      <c r="W743" s="125"/>
      <c r="X743" s="125"/>
      <c r="Y743" s="125"/>
      <c r="Z743" s="125"/>
      <c r="AA743" s="125"/>
      <c r="AB743" s="125"/>
      <c r="AC743" s="125"/>
      <c r="AD743" s="125"/>
    </row>
    <row r="744">
      <c r="A744" s="124"/>
      <c r="B744" s="125"/>
      <c r="C744" s="125"/>
      <c r="D744" s="125"/>
      <c r="E744" s="125"/>
      <c r="F744" s="125"/>
      <c r="G744" s="125"/>
      <c r="H744" s="125"/>
      <c r="I744" s="125"/>
      <c r="J744" s="125"/>
      <c r="K744" s="125"/>
      <c r="L744" s="125"/>
      <c r="M744" s="125"/>
      <c r="N744" s="125"/>
      <c r="O744" s="125"/>
      <c r="P744" s="125"/>
      <c r="Q744" s="125"/>
      <c r="R744" s="125"/>
      <c r="S744" s="125"/>
      <c r="T744" s="125"/>
      <c r="U744" s="125"/>
      <c r="V744" s="125"/>
      <c r="W744" s="125"/>
      <c r="X744" s="125"/>
      <c r="Y744" s="125"/>
      <c r="Z744" s="125"/>
      <c r="AA744" s="125"/>
      <c r="AB744" s="125"/>
      <c r="AC744" s="125"/>
      <c r="AD744" s="125"/>
    </row>
    <row r="745">
      <c r="A745" s="124"/>
      <c r="B745" s="125"/>
      <c r="C745" s="125"/>
      <c r="D745" s="125"/>
      <c r="E745" s="125"/>
      <c r="F745" s="125"/>
      <c r="G745" s="125"/>
      <c r="H745" s="125"/>
      <c r="I745" s="125"/>
      <c r="J745" s="125"/>
      <c r="K745" s="125"/>
      <c r="L745" s="125"/>
      <c r="M745" s="125"/>
      <c r="N745" s="125"/>
      <c r="O745" s="125"/>
      <c r="P745" s="125"/>
      <c r="Q745" s="125"/>
      <c r="R745" s="125"/>
      <c r="S745" s="125"/>
      <c r="T745" s="125"/>
      <c r="U745" s="125"/>
      <c r="V745" s="125"/>
      <c r="W745" s="125"/>
      <c r="X745" s="125"/>
      <c r="Y745" s="125"/>
      <c r="Z745" s="125"/>
      <c r="AA745" s="125"/>
      <c r="AB745" s="125"/>
      <c r="AC745" s="125"/>
      <c r="AD745" s="125"/>
    </row>
    <row r="746">
      <c r="A746" s="124"/>
      <c r="B746" s="125"/>
      <c r="C746" s="125"/>
      <c r="D746" s="125"/>
      <c r="E746" s="125"/>
      <c r="F746" s="125"/>
      <c r="G746" s="125"/>
      <c r="H746" s="125"/>
      <c r="I746" s="125"/>
      <c r="J746" s="125"/>
      <c r="K746" s="125"/>
      <c r="L746" s="125"/>
      <c r="M746" s="125"/>
      <c r="N746" s="125"/>
      <c r="O746" s="125"/>
      <c r="P746" s="125"/>
      <c r="Q746" s="125"/>
      <c r="R746" s="125"/>
      <c r="S746" s="125"/>
      <c r="T746" s="125"/>
      <c r="U746" s="125"/>
      <c r="V746" s="125"/>
      <c r="W746" s="125"/>
      <c r="X746" s="125"/>
      <c r="Y746" s="125"/>
      <c r="Z746" s="125"/>
      <c r="AA746" s="125"/>
      <c r="AB746" s="125"/>
      <c r="AC746" s="125"/>
      <c r="AD746" s="125"/>
    </row>
    <row r="747">
      <c r="A747" s="124"/>
      <c r="B747" s="125"/>
      <c r="C747" s="125"/>
      <c r="D747" s="125"/>
      <c r="E747" s="125"/>
      <c r="F747" s="125"/>
      <c r="G747" s="125"/>
      <c r="H747" s="125"/>
      <c r="I747" s="125"/>
      <c r="J747" s="125"/>
      <c r="K747" s="125"/>
      <c r="L747" s="125"/>
      <c r="M747" s="125"/>
      <c r="N747" s="125"/>
      <c r="O747" s="125"/>
      <c r="P747" s="125"/>
      <c r="Q747" s="125"/>
      <c r="R747" s="125"/>
      <c r="S747" s="125"/>
      <c r="T747" s="125"/>
      <c r="U747" s="125"/>
      <c r="V747" s="125"/>
      <c r="W747" s="125"/>
      <c r="X747" s="125"/>
      <c r="Y747" s="125"/>
      <c r="Z747" s="125"/>
      <c r="AA747" s="125"/>
      <c r="AB747" s="125"/>
      <c r="AC747" s="125"/>
      <c r="AD747" s="125"/>
    </row>
    <row r="748">
      <c r="A748" s="124"/>
      <c r="B748" s="125"/>
      <c r="C748" s="125"/>
      <c r="D748" s="125"/>
      <c r="E748" s="125"/>
      <c r="F748" s="125"/>
      <c r="G748" s="125"/>
      <c r="H748" s="125"/>
      <c r="I748" s="125"/>
      <c r="J748" s="125"/>
      <c r="K748" s="125"/>
      <c r="L748" s="125"/>
      <c r="M748" s="125"/>
      <c r="N748" s="125"/>
      <c r="O748" s="125"/>
      <c r="P748" s="125"/>
      <c r="Q748" s="125"/>
      <c r="R748" s="125"/>
      <c r="S748" s="125"/>
      <c r="T748" s="125"/>
      <c r="U748" s="125"/>
      <c r="V748" s="125"/>
      <c r="W748" s="125"/>
      <c r="X748" s="125"/>
      <c r="Y748" s="125"/>
      <c r="Z748" s="125"/>
      <c r="AA748" s="125"/>
      <c r="AB748" s="125"/>
      <c r="AC748" s="125"/>
      <c r="AD748" s="125"/>
    </row>
    <row r="749">
      <c r="A749" s="124"/>
      <c r="B749" s="125"/>
      <c r="C749" s="125"/>
      <c r="D749" s="125"/>
      <c r="E749" s="125"/>
      <c r="F749" s="125"/>
      <c r="G749" s="125"/>
      <c r="H749" s="125"/>
      <c r="I749" s="125"/>
      <c r="J749" s="125"/>
      <c r="K749" s="125"/>
      <c r="L749" s="125"/>
      <c r="M749" s="125"/>
      <c r="N749" s="125"/>
      <c r="O749" s="125"/>
      <c r="P749" s="125"/>
      <c r="Q749" s="125"/>
      <c r="R749" s="125"/>
      <c r="S749" s="125"/>
      <c r="T749" s="125"/>
      <c r="U749" s="125"/>
      <c r="V749" s="125"/>
      <c r="W749" s="125"/>
      <c r="X749" s="125"/>
      <c r="Y749" s="125"/>
      <c r="Z749" s="125"/>
      <c r="AA749" s="125"/>
      <c r="AB749" s="125"/>
      <c r="AC749" s="125"/>
      <c r="AD749" s="125"/>
    </row>
    <row r="750">
      <c r="A750" s="124"/>
      <c r="B750" s="125"/>
      <c r="C750" s="125"/>
      <c r="D750" s="125"/>
      <c r="E750" s="125"/>
      <c r="F750" s="125"/>
      <c r="G750" s="125"/>
      <c r="H750" s="125"/>
      <c r="I750" s="125"/>
      <c r="J750" s="125"/>
      <c r="K750" s="125"/>
      <c r="L750" s="125"/>
      <c r="M750" s="125"/>
      <c r="N750" s="125"/>
      <c r="O750" s="125"/>
      <c r="P750" s="125"/>
      <c r="Q750" s="125"/>
      <c r="R750" s="125"/>
      <c r="S750" s="125"/>
      <c r="T750" s="125"/>
      <c r="U750" s="125"/>
      <c r="V750" s="125"/>
      <c r="W750" s="125"/>
      <c r="X750" s="125"/>
      <c r="Y750" s="125"/>
      <c r="Z750" s="125"/>
      <c r="AA750" s="125"/>
      <c r="AB750" s="125"/>
      <c r="AC750" s="125"/>
      <c r="AD750" s="125"/>
    </row>
    <row r="751">
      <c r="A751" s="124"/>
      <c r="B751" s="125"/>
      <c r="C751" s="125"/>
      <c r="D751" s="125"/>
      <c r="E751" s="125"/>
      <c r="F751" s="125"/>
      <c r="G751" s="125"/>
      <c r="H751" s="125"/>
      <c r="I751" s="125"/>
      <c r="J751" s="125"/>
      <c r="K751" s="125"/>
      <c r="L751" s="125"/>
      <c r="M751" s="125"/>
      <c r="N751" s="125"/>
      <c r="O751" s="125"/>
      <c r="P751" s="125"/>
      <c r="Q751" s="125"/>
      <c r="R751" s="125"/>
      <c r="S751" s="125"/>
      <c r="T751" s="125"/>
      <c r="U751" s="125"/>
      <c r="V751" s="125"/>
      <c r="W751" s="125"/>
      <c r="X751" s="125"/>
      <c r="Y751" s="125"/>
      <c r="Z751" s="125"/>
      <c r="AA751" s="125"/>
      <c r="AB751" s="125"/>
      <c r="AC751" s="125"/>
      <c r="AD751" s="125"/>
    </row>
    <row r="752">
      <c r="A752" s="124"/>
      <c r="B752" s="125"/>
      <c r="C752" s="125"/>
      <c r="D752" s="125"/>
      <c r="E752" s="125"/>
      <c r="F752" s="125"/>
      <c r="G752" s="125"/>
      <c r="H752" s="125"/>
      <c r="I752" s="125"/>
      <c r="J752" s="125"/>
      <c r="K752" s="125"/>
      <c r="L752" s="125"/>
      <c r="M752" s="125"/>
      <c r="N752" s="125"/>
      <c r="O752" s="125"/>
      <c r="P752" s="125"/>
      <c r="Q752" s="125"/>
      <c r="R752" s="125"/>
      <c r="S752" s="125"/>
      <c r="T752" s="125"/>
      <c r="U752" s="125"/>
      <c r="V752" s="125"/>
      <c r="W752" s="125"/>
      <c r="X752" s="125"/>
      <c r="Y752" s="125"/>
      <c r="Z752" s="125"/>
      <c r="AA752" s="125"/>
      <c r="AB752" s="125"/>
      <c r="AC752" s="125"/>
      <c r="AD752" s="125"/>
    </row>
    <row r="753">
      <c r="A753" s="124"/>
      <c r="B753" s="125"/>
      <c r="C753" s="125"/>
      <c r="D753" s="125"/>
      <c r="E753" s="125"/>
      <c r="F753" s="125"/>
      <c r="G753" s="125"/>
      <c r="H753" s="125"/>
      <c r="I753" s="125"/>
      <c r="J753" s="125"/>
      <c r="K753" s="125"/>
      <c r="L753" s="125"/>
      <c r="M753" s="125"/>
      <c r="N753" s="125"/>
      <c r="O753" s="125"/>
      <c r="P753" s="125"/>
      <c r="Q753" s="125"/>
      <c r="R753" s="125"/>
      <c r="S753" s="125"/>
      <c r="T753" s="125"/>
      <c r="U753" s="125"/>
      <c r="V753" s="125"/>
      <c r="W753" s="125"/>
      <c r="X753" s="125"/>
      <c r="Y753" s="125"/>
      <c r="Z753" s="125"/>
      <c r="AA753" s="125"/>
      <c r="AB753" s="125"/>
      <c r="AC753" s="125"/>
      <c r="AD753" s="125"/>
    </row>
    <row r="754">
      <c r="A754" s="124"/>
      <c r="B754" s="125"/>
      <c r="C754" s="125"/>
      <c r="D754" s="125"/>
      <c r="E754" s="125"/>
      <c r="F754" s="125"/>
      <c r="G754" s="125"/>
      <c r="H754" s="125"/>
      <c r="I754" s="125"/>
      <c r="J754" s="125"/>
      <c r="K754" s="125"/>
      <c r="L754" s="125"/>
      <c r="M754" s="125"/>
      <c r="N754" s="125"/>
      <c r="O754" s="125"/>
      <c r="P754" s="125"/>
      <c r="Q754" s="125"/>
      <c r="R754" s="125"/>
      <c r="S754" s="125"/>
      <c r="T754" s="125"/>
      <c r="U754" s="125"/>
      <c r="V754" s="125"/>
      <c r="W754" s="125"/>
      <c r="X754" s="125"/>
      <c r="Y754" s="125"/>
      <c r="Z754" s="125"/>
      <c r="AA754" s="125"/>
      <c r="AB754" s="125"/>
      <c r="AC754" s="125"/>
      <c r="AD754" s="125"/>
    </row>
    <row r="755">
      <c r="A755" s="124"/>
      <c r="B755" s="125"/>
      <c r="C755" s="125"/>
      <c r="D755" s="125"/>
      <c r="E755" s="125"/>
      <c r="F755" s="125"/>
      <c r="G755" s="125"/>
      <c r="H755" s="125"/>
      <c r="I755" s="125"/>
      <c r="J755" s="125"/>
      <c r="K755" s="125"/>
      <c r="L755" s="125"/>
      <c r="M755" s="125"/>
      <c r="N755" s="125"/>
      <c r="O755" s="125"/>
      <c r="P755" s="125"/>
      <c r="Q755" s="125"/>
      <c r="R755" s="125"/>
      <c r="S755" s="125"/>
      <c r="T755" s="125"/>
      <c r="U755" s="125"/>
      <c r="V755" s="125"/>
      <c r="W755" s="125"/>
      <c r="X755" s="125"/>
      <c r="Y755" s="125"/>
      <c r="Z755" s="125"/>
      <c r="AA755" s="125"/>
      <c r="AB755" s="125"/>
      <c r="AC755" s="125"/>
      <c r="AD755" s="125"/>
    </row>
    <row r="756">
      <c r="A756" s="124"/>
      <c r="B756" s="125"/>
      <c r="C756" s="125"/>
      <c r="D756" s="125"/>
      <c r="E756" s="125"/>
      <c r="F756" s="125"/>
      <c r="G756" s="125"/>
      <c r="H756" s="125"/>
      <c r="I756" s="125"/>
      <c r="J756" s="125"/>
      <c r="K756" s="125"/>
      <c r="L756" s="125"/>
      <c r="M756" s="125"/>
      <c r="N756" s="125"/>
      <c r="O756" s="125"/>
      <c r="P756" s="125"/>
      <c r="Q756" s="125"/>
      <c r="R756" s="125"/>
      <c r="S756" s="125"/>
      <c r="T756" s="125"/>
      <c r="U756" s="125"/>
      <c r="V756" s="125"/>
      <c r="W756" s="125"/>
      <c r="X756" s="125"/>
      <c r="Y756" s="125"/>
      <c r="Z756" s="125"/>
      <c r="AA756" s="125"/>
      <c r="AB756" s="125"/>
      <c r="AC756" s="125"/>
      <c r="AD756" s="125"/>
    </row>
    <row r="757">
      <c r="A757" s="124"/>
      <c r="B757" s="125"/>
      <c r="C757" s="125"/>
      <c r="D757" s="125"/>
      <c r="E757" s="125"/>
      <c r="F757" s="125"/>
      <c r="G757" s="125"/>
      <c r="H757" s="125"/>
      <c r="I757" s="125"/>
      <c r="J757" s="125"/>
      <c r="K757" s="125"/>
      <c r="L757" s="125"/>
      <c r="M757" s="125"/>
      <c r="N757" s="125"/>
      <c r="O757" s="125"/>
      <c r="P757" s="125"/>
      <c r="Q757" s="125"/>
      <c r="R757" s="125"/>
      <c r="S757" s="125"/>
      <c r="T757" s="125"/>
      <c r="U757" s="125"/>
      <c r="V757" s="125"/>
      <c r="W757" s="125"/>
      <c r="X757" s="125"/>
      <c r="Y757" s="125"/>
      <c r="Z757" s="125"/>
      <c r="AA757" s="125"/>
      <c r="AB757" s="125"/>
      <c r="AC757" s="125"/>
      <c r="AD757" s="125"/>
    </row>
    <row r="758">
      <c r="A758" s="124"/>
      <c r="B758" s="125"/>
      <c r="C758" s="125"/>
      <c r="D758" s="125"/>
      <c r="E758" s="125"/>
      <c r="F758" s="125"/>
      <c r="G758" s="125"/>
      <c r="H758" s="125"/>
      <c r="I758" s="125"/>
      <c r="J758" s="125"/>
      <c r="K758" s="125"/>
      <c r="L758" s="125"/>
      <c r="M758" s="125"/>
      <c r="N758" s="125"/>
      <c r="O758" s="125"/>
      <c r="P758" s="125"/>
      <c r="Q758" s="125"/>
      <c r="R758" s="125"/>
      <c r="S758" s="125"/>
      <c r="T758" s="125"/>
      <c r="U758" s="125"/>
      <c r="V758" s="125"/>
      <c r="W758" s="125"/>
      <c r="X758" s="125"/>
      <c r="Y758" s="125"/>
      <c r="Z758" s="125"/>
      <c r="AA758" s="125"/>
      <c r="AB758" s="125"/>
      <c r="AC758" s="125"/>
      <c r="AD758" s="125"/>
    </row>
    <row r="759">
      <c r="A759" s="124"/>
      <c r="B759" s="125"/>
      <c r="C759" s="125"/>
      <c r="D759" s="125"/>
      <c r="E759" s="125"/>
      <c r="F759" s="125"/>
      <c r="G759" s="125"/>
      <c r="H759" s="125"/>
      <c r="I759" s="125"/>
      <c r="J759" s="125"/>
      <c r="K759" s="125"/>
      <c r="L759" s="125"/>
      <c r="M759" s="125"/>
      <c r="N759" s="125"/>
      <c r="O759" s="125"/>
      <c r="P759" s="125"/>
      <c r="Q759" s="125"/>
      <c r="R759" s="125"/>
      <c r="S759" s="125"/>
      <c r="T759" s="125"/>
      <c r="U759" s="125"/>
      <c r="V759" s="125"/>
      <c r="W759" s="125"/>
      <c r="X759" s="125"/>
      <c r="Y759" s="125"/>
      <c r="Z759" s="125"/>
      <c r="AA759" s="125"/>
      <c r="AB759" s="125"/>
      <c r="AC759" s="125"/>
      <c r="AD759" s="125"/>
    </row>
    <row r="760">
      <c r="A760" s="124"/>
      <c r="B760" s="125"/>
      <c r="C760" s="125"/>
      <c r="D760" s="125"/>
      <c r="E760" s="125"/>
      <c r="F760" s="125"/>
      <c r="G760" s="125"/>
      <c r="H760" s="125"/>
      <c r="I760" s="125"/>
      <c r="J760" s="125"/>
      <c r="K760" s="125"/>
      <c r="L760" s="125"/>
      <c r="M760" s="125"/>
      <c r="N760" s="125"/>
      <c r="O760" s="125"/>
      <c r="P760" s="125"/>
      <c r="Q760" s="125"/>
      <c r="R760" s="125"/>
      <c r="S760" s="125"/>
      <c r="T760" s="125"/>
      <c r="U760" s="125"/>
      <c r="V760" s="125"/>
      <c r="W760" s="125"/>
      <c r="X760" s="125"/>
      <c r="Y760" s="125"/>
      <c r="Z760" s="125"/>
      <c r="AA760" s="125"/>
      <c r="AB760" s="125"/>
      <c r="AC760" s="125"/>
      <c r="AD760" s="125"/>
    </row>
    <row r="761">
      <c r="A761" s="124"/>
      <c r="B761" s="125"/>
      <c r="C761" s="125"/>
      <c r="D761" s="125"/>
      <c r="E761" s="125"/>
      <c r="F761" s="125"/>
      <c r="G761" s="125"/>
      <c r="H761" s="125"/>
      <c r="I761" s="125"/>
      <c r="J761" s="125"/>
      <c r="K761" s="125"/>
      <c r="L761" s="125"/>
      <c r="M761" s="125"/>
      <c r="N761" s="125"/>
      <c r="O761" s="125"/>
      <c r="P761" s="125"/>
      <c r="Q761" s="125"/>
      <c r="R761" s="125"/>
      <c r="S761" s="125"/>
      <c r="T761" s="125"/>
      <c r="U761" s="125"/>
      <c r="V761" s="125"/>
      <c r="W761" s="125"/>
      <c r="X761" s="125"/>
      <c r="Y761" s="125"/>
      <c r="Z761" s="125"/>
      <c r="AA761" s="125"/>
      <c r="AB761" s="125"/>
      <c r="AC761" s="125"/>
      <c r="AD761" s="125"/>
    </row>
    <row r="762">
      <c r="A762" s="124"/>
      <c r="B762" s="125"/>
      <c r="C762" s="125"/>
      <c r="D762" s="125"/>
      <c r="E762" s="125"/>
      <c r="F762" s="125"/>
      <c r="G762" s="125"/>
      <c r="H762" s="125"/>
      <c r="I762" s="125"/>
      <c r="J762" s="125"/>
      <c r="K762" s="125"/>
      <c r="L762" s="125"/>
      <c r="M762" s="125"/>
      <c r="N762" s="125"/>
      <c r="O762" s="125"/>
      <c r="P762" s="125"/>
      <c r="Q762" s="125"/>
      <c r="R762" s="125"/>
      <c r="S762" s="125"/>
      <c r="T762" s="125"/>
      <c r="U762" s="125"/>
      <c r="V762" s="125"/>
      <c r="W762" s="125"/>
      <c r="X762" s="125"/>
      <c r="Y762" s="125"/>
      <c r="Z762" s="125"/>
      <c r="AA762" s="125"/>
      <c r="AB762" s="125"/>
      <c r="AC762" s="125"/>
      <c r="AD762" s="125"/>
    </row>
    <row r="763">
      <c r="A763" s="124"/>
      <c r="B763" s="125"/>
      <c r="C763" s="125"/>
      <c r="D763" s="125"/>
      <c r="E763" s="125"/>
      <c r="F763" s="125"/>
      <c r="G763" s="125"/>
      <c r="H763" s="125"/>
      <c r="I763" s="125"/>
      <c r="J763" s="125"/>
      <c r="K763" s="125"/>
      <c r="L763" s="125"/>
      <c r="M763" s="125"/>
      <c r="N763" s="125"/>
      <c r="O763" s="125"/>
      <c r="P763" s="125"/>
      <c r="Q763" s="125"/>
      <c r="R763" s="125"/>
      <c r="S763" s="125"/>
      <c r="T763" s="125"/>
      <c r="U763" s="125"/>
      <c r="V763" s="125"/>
      <c r="W763" s="125"/>
      <c r="X763" s="125"/>
      <c r="Y763" s="125"/>
      <c r="Z763" s="125"/>
      <c r="AA763" s="125"/>
      <c r="AB763" s="125"/>
      <c r="AC763" s="125"/>
      <c r="AD763" s="125"/>
    </row>
    <row r="764">
      <c r="A764" s="124"/>
      <c r="B764" s="125"/>
      <c r="C764" s="125"/>
      <c r="D764" s="125"/>
      <c r="E764" s="125"/>
      <c r="F764" s="125"/>
      <c r="G764" s="125"/>
      <c r="H764" s="125"/>
      <c r="I764" s="125"/>
      <c r="J764" s="125"/>
      <c r="K764" s="125"/>
      <c r="L764" s="125"/>
      <c r="M764" s="125"/>
      <c r="N764" s="125"/>
      <c r="O764" s="125"/>
      <c r="P764" s="125"/>
      <c r="Q764" s="125"/>
      <c r="R764" s="125"/>
      <c r="S764" s="125"/>
      <c r="T764" s="125"/>
      <c r="U764" s="125"/>
      <c r="V764" s="125"/>
      <c r="W764" s="125"/>
      <c r="X764" s="125"/>
      <c r="Y764" s="125"/>
      <c r="Z764" s="125"/>
      <c r="AA764" s="125"/>
      <c r="AB764" s="125"/>
      <c r="AC764" s="125"/>
      <c r="AD764" s="125"/>
    </row>
    <row r="765">
      <c r="A765" s="124"/>
      <c r="B765" s="125"/>
      <c r="C765" s="125"/>
      <c r="D765" s="125"/>
      <c r="E765" s="125"/>
      <c r="F765" s="125"/>
      <c r="G765" s="125"/>
      <c r="H765" s="125"/>
      <c r="I765" s="125"/>
      <c r="J765" s="125"/>
      <c r="K765" s="125"/>
      <c r="L765" s="125"/>
      <c r="M765" s="125"/>
      <c r="N765" s="125"/>
      <c r="O765" s="125"/>
      <c r="P765" s="125"/>
      <c r="Q765" s="125"/>
      <c r="R765" s="125"/>
      <c r="S765" s="125"/>
      <c r="T765" s="125"/>
      <c r="U765" s="125"/>
      <c r="V765" s="125"/>
      <c r="W765" s="125"/>
      <c r="X765" s="125"/>
      <c r="Y765" s="125"/>
      <c r="Z765" s="125"/>
      <c r="AA765" s="125"/>
      <c r="AB765" s="125"/>
      <c r="AC765" s="125"/>
      <c r="AD765" s="125"/>
    </row>
    <row r="766">
      <c r="A766" s="124"/>
      <c r="B766" s="125"/>
      <c r="C766" s="125"/>
      <c r="D766" s="125"/>
      <c r="E766" s="125"/>
      <c r="F766" s="125"/>
      <c r="G766" s="125"/>
      <c r="H766" s="125"/>
      <c r="I766" s="125"/>
      <c r="J766" s="125"/>
      <c r="K766" s="125"/>
      <c r="L766" s="125"/>
      <c r="M766" s="125"/>
      <c r="N766" s="125"/>
      <c r="O766" s="125"/>
      <c r="P766" s="125"/>
      <c r="Q766" s="125"/>
      <c r="R766" s="125"/>
      <c r="S766" s="125"/>
      <c r="T766" s="125"/>
      <c r="U766" s="125"/>
      <c r="V766" s="125"/>
      <c r="W766" s="125"/>
      <c r="X766" s="125"/>
      <c r="Y766" s="125"/>
      <c r="Z766" s="125"/>
      <c r="AA766" s="125"/>
      <c r="AB766" s="125"/>
      <c r="AC766" s="125"/>
      <c r="AD766" s="125"/>
    </row>
    <row r="767">
      <c r="A767" s="124"/>
      <c r="B767" s="125"/>
      <c r="C767" s="125"/>
      <c r="D767" s="125"/>
      <c r="E767" s="125"/>
      <c r="F767" s="125"/>
      <c r="G767" s="125"/>
      <c r="H767" s="125"/>
      <c r="I767" s="125"/>
      <c r="J767" s="125"/>
      <c r="K767" s="125"/>
      <c r="L767" s="125"/>
      <c r="M767" s="125"/>
      <c r="N767" s="125"/>
      <c r="O767" s="125"/>
      <c r="P767" s="125"/>
      <c r="Q767" s="125"/>
      <c r="R767" s="125"/>
      <c r="S767" s="125"/>
      <c r="T767" s="125"/>
      <c r="U767" s="125"/>
      <c r="V767" s="125"/>
      <c r="W767" s="125"/>
      <c r="X767" s="125"/>
      <c r="Y767" s="125"/>
      <c r="Z767" s="125"/>
      <c r="AA767" s="125"/>
      <c r="AB767" s="125"/>
      <c r="AC767" s="125"/>
      <c r="AD767" s="125"/>
    </row>
    <row r="768">
      <c r="A768" s="124"/>
      <c r="B768" s="125"/>
      <c r="C768" s="125"/>
      <c r="D768" s="125"/>
      <c r="E768" s="125"/>
      <c r="F768" s="125"/>
      <c r="G768" s="125"/>
      <c r="H768" s="125"/>
      <c r="I768" s="125"/>
      <c r="J768" s="125"/>
      <c r="K768" s="125"/>
      <c r="L768" s="125"/>
      <c r="M768" s="125"/>
      <c r="N768" s="125"/>
      <c r="O768" s="125"/>
      <c r="P768" s="125"/>
      <c r="Q768" s="125"/>
      <c r="R768" s="125"/>
      <c r="S768" s="125"/>
      <c r="T768" s="125"/>
      <c r="U768" s="125"/>
      <c r="V768" s="125"/>
      <c r="W768" s="125"/>
      <c r="X768" s="125"/>
      <c r="Y768" s="125"/>
      <c r="Z768" s="125"/>
      <c r="AA768" s="125"/>
      <c r="AB768" s="125"/>
      <c r="AC768" s="125"/>
      <c r="AD768" s="125"/>
    </row>
    <row r="769">
      <c r="A769" s="124"/>
      <c r="B769" s="125"/>
      <c r="C769" s="125"/>
      <c r="D769" s="125"/>
      <c r="E769" s="125"/>
      <c r="F769" s="125"/>
      <c r="G769" s="125"/>
      <c r="H769" s="125"/>
      <c r="I769" s="125"/>
      <c r="J769" s="125"/>
      <c r="K769" s="125"/>
      <c r="L769" s="125"/>
      <c r="M769" s="125"/>
      <c r="N769" s="125"/>
      <c r="O769" s="125"/>
      <c r="P769" s="125"/>
      <c r="Q769" s="125"/>
      <c r="R769" s="125"/>
      <c r="S769" s="125"/>
      <c r="T769" s="125"/>
      <c r="U769" s="125"/>
      <c r="V769" s="125"/>
      <c r="W769" s="125"/>
      <c r="X769" s="125"/>
      <c r="Y769" s="125"/>
      <c r="Z769" s="125"/>
      <c r="AA769" s="125"/>
      <c r="AB769" s="125"/>
      <c r="AC769" s="125"/>
      <c r="AD769" s="125"/>
    </row>
    <row r="770">
      <c r="A770" s="124"/>
      <c r="B770" s="125"/>
      <c r="C770" s="125"/>
      <c r="D770" s="125"/>
      <c r="E770" s="125"/>
      <c r="F770" s="125"/>
      <c r="G770" s="125"/>
      <c r="H770" s="125"/>
      <c r="I770" s="125"/>
      <c r="J770" s="125"/>
      <c r="K770" s="125"/>
      <c r="L770" s="125"/>
      <c r="M770" s="125"/>
      <c r="N770" s="125"/>
      <c r="O770" s="125"/>
      <c r="P770" s="125"/>
      <c r="Q770" s="125"/>
      <c r="R770" s="125"/>
      <c r="S770" s="125"/>
      <c r="T770" s="125"/>
      <c r="U770" s="125"/>
      <c r="V770" s="125"/>
      <c r="W770" s="125"/>
      <c r="X770" s="125"/>
      <c r="Y770" s="125"/>
      <c r="Z770" s="125"/>
      <c r="AA770" s="125"/>
      <c r="AB770" s="125"/>
      <c r="AC770" s="125"/>
      <c r="AD770" s="125"/>
    </row>
    <row r="771">
      <c r="A771" s="124"/>
      <c r="B771" s="125"/>
      <c r="C771" s="125"/>
      <c r="D771" s="125"/>
      <c r="E771" s="125"/>
      <c r="F771" s="125"/>
      <c r="G771" s="125"/>
      <c r="H771" s="125"/>
      <c r="I771" s="125"/>
      <c r="J771" s="125"/>
      <c r="K771" s="125"/>
      <c r="L771" s="125"/>
      <c r="M771" s="125"/>
      <c r="N771" s="125"/>
      <c r="O771" s="125"/>
      <c r="P771" s="125"/>
      <c r="Q771" s="125"/>
      <c r="R771" s="125"/>
      <c r="S771" s="125"/>
      <c r="T771" s="125"/>
      <c r="U771" s="125"/>
      <c r="V771" s="125"/>
      <c r="W771" s="125"/>
      <c r="X771" s="125"/>
      <c r="Y771" s="125"/>
      <c r="Z771" s="125"/>
      <c r="AA771" s="125"/>
      <c r="AB771" s="125"/>
      <c r="AC771" s="125"/>
      <c r="AD771" s="125"/>
    </row>
    <row r="772">
      <c r="A772" s="124"/>
      <c r="B772" s="125"/>
      <c r="C772" s="125"/>
      <c r="D772" s="125"/>
      <c r="E772" s="125"/>
      <c r="F772" s="125"/>
      <c r="G772" s="125"/>
      <c r="H772" s="125"/>
      <c r="I772" s="125"/>
      <c r="J772" s="125"/>
      <c r="K772" s="125"/>
      <c r="L772" s="125"/>
      <c r="M772" s="125"/>
      <c r="N772" s="125"/>
      <c r="O772" s="125"/>
      <c r="P772" s="125"/>
      <c r="Q772" s="125"/>
      <c r="R772" s="125"/>
      <c r="S772" s="125"/>
      <c r="T772" s="125"/>
      <c r="U772" s="125"/>
      <c r="V772" s="125"/>
      <c r="W772" s="125"/>
      <c r="X772" s="125"/>
      <c r="Y772" s="125"/>
      <c r="Z772" s="125"/>
      <c r="AA772" s="125"/>
      <c r="AB772" s="125"/>
      <c r="AC772" s="125"/>
      <c r="AD772" s="125"/>
    </row>
    <row r="773">
      <c r="A773" s="124"/>
      <c r="B773" s="125"/>
      <c r="C773" s="125"/>
      <c r="D773" s="125"/>
      <c r="E773" s="125"/>
      <c r="F773" s="125"/>
      <c r="G773" s="125"/>
      <c r="H773" s="125"/>
      <c r="I773" s="125"/>
      <c r="J773" s="125"/>
      <c r="K773" s="125"/>
      <c r="L773" s="125"/>
      <c r="M773" s="125"/>
      <c r="N773" s="125"/>
      <c r="O773" s="125"/>
      <c r="P773" s="125"/>
      <c r="Q773" s="125"/>
      <c r="R773" s="125"/>
      <c r="S773" s="125"/>
      <c r="T773" s="125"/>
      <c r="U773" s="125"/>
      <c r="V773" s="125"/>
      <c r="W773" s="125"/>
      <c r="X773" s="125"/>
      <c r="Y773" s="125"/>
      <c r="Z773" s="125"/>
      <c r="AA773" s="125"/>
      <c r="AB773" s="125"/>
      <c r="AC773" s="125"/>
      <c r="AD773" s="125"/>
    </row>
    <row r="774">
      <c r="A774" s="124"/>
      <c r="B774" s="125"/>
      <c r="C774" s="125"/>
      <c r="D774" s="125"/>
      <c r="E774" s="125"/>
      <c r="F774" s="125"/>
      <c r="G774" s="125"/>
      <c r="H774" s="125"/>
      <c r="I774" s="125"/>
      <c r="J774" s="125"/>
      <c r="K774" s="125"/>
      <c r="L774" s="125"/>
      <c r="M774" s="125"/>
      <c r="N774" s="125"/>
      <c r="O774" s="125"/>
      <c r="P774" s="125"/>
      <c r="Q774" s="125"/>
      <c r="R774" s="125"/>
      <c r="S774" s="125"/>
      <c r="T774" s="125"/>
      <c r="U774" s="125"/>
      <c r="V774" s="125"/>
      <c r="W774" s="125"/>
      <c r="X774" s="125"/>
      <c r="Y774" s="125"/>
      <c r="Z774" s="125"/>
      <c r="AA774" s="125"/>
      <c r="AB774" s="125"/>
      <c r="AC774" s="125"/>
      <c r="AD774" s="125"/>
    </row>
    <row r="775">
      <c r="A775" s="124"/>
      <c r="B775" s="125"/>
      <c r="C775" s="125"/>
      <c r="D775" s="125"/>
      <c r="E775" s="125"/>
      <c r="F775" s="125"/>
      <c r="G775" s="125"/>
      <c r="H775" s="125"/>
      <c r="I775" s="125"/>
      <c r="J775" s="125"/>
      <c r="K775" s="125"/>
      <c r="L775" s="125"/>
      <c r="M775" s="125"/>
      <c r="N775" s="125"/>
      <c r="O775" s="125"/>
      <c r="P775" s="125"/>
      <c r="Q775" s="125"/>
      <c r="R775" s="125"/>
      <c r="S775" s="125"/>
      <c r="T775" s="125"/>
      <c r="U775" s="125"/>
      <c r="V775" s="125"/>
      <c r="W775" s="125"/>
      <c r="X775" s="125"/>
      <c r="Y775" s="125"/>
      <c r="Z775" s="125"/>
      <c r="AA775" s="125"/>
      <c r="AB775" s="125"/>
      <c r="AC775" s="125"/>
      <c r="AD775" s="125"/>
    </row>
    <row r="776">
      <c r="A776" s="124"/>
      <c r="B776" s="125"/>
      <c r="C776" s="125"/>
      <c r="D776" s="125"/>
      <c r="E776" s="125"/>
      <c r="F776" s="125"/>
      <c r="G776" s="125"/>
      <c r="H776" s="125"/>
      <c r="I776" s="125"/>
      <c r="J776" s="125"/>
      <c r="K776" s="125"/>
      <c r="L776" s="125"/>
      <c r="M776" s="125"/>
      <c r="N776" s="125"/>
      <c r="O776" s="125"/>
      <c r="P776" s="125"/>
      <c r="Q776" s="125"/>
      <c r="R776" s="125"/>
      <c r="S776" s="125"/>
      <c r="T776" s="125"/>
      <c r="U776" s="125"/>
      <c r="V776" s="125"/>
      <c r="W776" s="125"/>
      <c r="X776" s="125"/>
      <c r="Y776" s="125"/>
      <c r="Z776" s="125"/>
      <c r="AA776" s="125"/>
      <c r="AB776" s="125"/>
      <c r="AC776" s="125"/>
      <c r="AD776" s="125"/>
    </row>
    <row r="777">
      <c r="A777" s="124"/>
      <c r="B777" s="125"/>
      <c r="C777" s="125"/>
      <c r="D777" s="125"/>
      <c r="E777" s="125"/>
      <c r="F777" s="125"/>
      <c r="G777" s="125"/>
      <c r="H777" s="125"/>
      <c r="I777" s="125"/>
      <c r="J777" s="125"/>
      <c r="K777" s="125"/>
      <c r="L777" s="125"/>
      <c r="M777" s="125"/>
      <c r="N777" s="125"/>
      <c r="O777" s="125"/>
      <c r="P777" s="125"/>
      <c r="Q777" s="125"/>
      <c r="R777" s="125"/>
      <c r="S777" s="125"/>
      <c r="T777" s="125"/>
      <c r="U777" s="125"/>
      <c r="V777" s="125"/>
      <c r="W777" s="125"/>
      <c r="X777" s="125"/>
      <c r="Y777" s="125"/>
      <c r="Z777" s="125"/>
      <c r="AA777" s="125"/>
      <c r="AB777" s="125"/>
      <c r="AC777" s="125"/>
      <c r="AD777" s="125"/>
    </row>
    <row r="778">
      <c r="A778" s="124"/>
      <c r="B778" s="125"/>
      <c r="C778" s="125"/>
      <c r="D778" s="125"/>
      <c r="E778" s="125"/>
      <c r="F778" s="125"/>
      <c r="G778" s="125"/>
      <c r="H778" s="125"/>
      <c r="I778" s="125"/>
      <c r="J778" s="125"/>
      <c r="K778" s="125"/>
      <c r="L778" s="125"/>
      <c r="M778" s="125"/>
      <c r="N778" s="125"/>
      <c r="O778" s="125"/>
      <c r="P778" s="125"/>
      <c r="Q778" s="125"/>
      <c r="R778" s="125"/>
      <c r="S778" s="125"/>
      <c r="T778" s="125"/>
      <c r="U778" s="125"/>
      <c r="V778" s="125"/>
      <c r="W778" s="125"/>
      <c r="X778" s="125"/>
      <c r="Y778" s="125"/>
      <c r="Z778" s="125"/>
      <c r="AA778" s="125"/>
      <c r="AB778" s="125"/>
      <c r="AC778" s="125"/>
      <c r="AD778" s="125"/>
    </row>
    <row r="779">
      <c r="A779" s="124"/>
      <c r="B779" s="125"/>
      <c r="C779" s="125"/>
      <c r="D779" s="125"/>
      <c r="E779" s="125"/>
      <c r="F779" s="125"/>
      <c r="G779" s="125"/>
      <c r="H779" s="125"/>
      <c r="I779" s="125"/>
      <c r="J779" s="125"/>
      <c r="K779" s="125"/>
      <c r="L779" s="125"/>
      <c r="M779" s="125"/>
      <c r="N779" s="125"/>
      <c r="O779" s="125"/>
      <c r="P779" s="125"/>
      <c r="Q779" s="125"/>
      <c r="R779" s="125"/>
      <c r="S779" s="125"/>
      <c r="T779" s="125"/>
      <c r="U779" s="125"/>
      <c r="V779" s="125"/>
      <c r="W779" s="125"/>
      <c r="X779" s="125"/>
      <c r="Y779" s="125"/>
      <c r="Z779" s="125"/>
      <c r="AA779" s="125"/>
      <c r="AB779" s="125"/>
      <c r="AC779" s="125"/>
      <c r="AD779" s="125"/>
    </row>
    <row r="780">
      <c r="A780" s="124"/>
      <c r="B780" s="125"/>
      <c r="C780" s="125"/>
      <c r="D780" s="125"/>
      <c r="E780" s="125"/>
      <c r="F780" s="125"/>
      <c r="G780" s="125"/>
      <c r="H780" s="125"/>
      <c r="I780" s="125"/>
      <c r="J780" s="125"/>
      <c r="K780" s="125"/>
      <c r="L780" s="125"/>
      <c r="M780" s="125"/>
      <c r="N780" s="125"/>
      <c r="O780" s="125"/>
      <c r="P780" s="125"/>
      <c r="Q780" s="125"/>
      <c r="R780" s="125"/>
      <c r="S780" s="125"/>
      <c r="T780" s="125"/>
      <c r="U780" s="125"/>
      <c r="V780" s="125"/>
      <c r="W780" s="125"/>
      <c r="X780" s="125"/>
      <c r="Y780" s="125"/>
      <c r="Z780" s="125"/>
      <c r="AA780" s="125"/>
      <c r="AB780" s="125"/>
      <c r="AC780" s="125"/>
      <c r="AD780" s="125"/>
    </row>
    <row r="781">
      <c r="A781" s="124"/>
      <c r="B781" s="125"/>
      <c r="C781" s="125"/>
      <c r="D781" s="125"/>
      <c r="E781" s="125"/>
      <c r="F781" s="125"/>
      <c r="G781" s="125"/>
      <c r="H781" s="125"/>
      <c r="I781" s="125"/>
      <c r="J781" s="125"/>
      <c r="K781" s="125"/>
      <c r="L781" s="125"/>
      <c r="M781" s="125"/>
      <c r="N781" s="125"/>
      <c r="O781" s="125"/>
      <c r="P781" s="125"/>
      <c r="Q781" s="125"/>
      <c r="R781" s="125"/>
      <c r="S781" s="125"/>
      <c r="T781" s="125"/>
      <c r="U781" s="125"/>
      <c r="V781" s="125"/>
      <c r="W781" s="125"/>
      <c r="X781" s="125"/>
      <c r="Y781" s="125"/>
      <c r="Z781" s="125"/>
      <c r="AA781" s="125"/>
      <c r="AB781" s="125"/>
      <c r="AC781" s="125"/>
      <c r="AD781" s="125"/>
    </row>
    <row r="782">
      <c r="A782" s="124"/>
      <c r="B782" s="125"/>
      <c r="C782" s="125"/>
      <c r="D782" s="125"/>
      <c r="E782" s="125"/>
      <c r="F782" s="125"/>
      <c r="G782" s="125"/>
      <c r="H782" s="125"/>
      <c r="I782" s="125"/>
      <c r="J782" s="125"/>
      <c r="K782" s="125"/>
      <c r="L782" s="125"/>
      <c r="M782" s="125"/>
      <c r="N782" s="125"/>
      <c r="O782" s="125"/>
      <c r="P782" s="125"/>
      <c r="Q782" s="125"/>
      <c r="R782" s="125"/>
      <c r="S782" s="125"/>
      <c r="T782" s="125"/>
      <c r="U782" s="125"/>
      <c r="V782" s="125"/>
      <c r="W782" s="125"/>
      <c r="X782" s="125"/>
      <c r="Y782" s="125"/>
      <c r="Z782" s="125"/>
      <c r="AA782" s="125"/>
      <c r="AB782" s="125"/>
      <c r="AC782" s="125"/>
      <c r="AD782" s="125"/>
    </row>
    <row r="783">
      <c r="A783" s="124"/>
      <c r="B783" s="125"/>
      <c r="C783" s="125"/>
      <c r="D783" s="125"/>
      <c r="E783" s="125"/>
      <c r="F783" s="125"/>
      <c r="G783" s="125"/>
      <c r="H783" s="125"/>
      <c r="I783" s="125"/>
      <c r="J783" s="125"/>
      <c r="K783" s="125"/>
      <c r="L783" s="125"/>
      <c r="M783" s="125"/>
      <c r="N783" s="125"/>
      <c r="O783" s="125"/>
      <c r="P783" s="125"/>
      <c r="Q783" s="125"/>
      <c r="R783" s="125"/>
      <c r="S783" s="125"/>
      <c r="T783" s="125"/>
      <c r="U783" s="125"/>
      <c r="V783" s="125"/>
      <c r="W783" s="125"/>
      <c r="X783" s="125"/>
      <c r="Y783" s="125"/>
      <c r="Z783" s="125"/>
      <c r="AA783" s="125"/>
      <c r="AB783" s="125"/>
      <c r="AC783" s="125"/>
      <c r="AD783" s="125"/>
    </row>
    <row r="784">
      <c r="A784" s="124"/>
      <c r="B784" s="125"/>
      <c r="C784" s="125"/>
      <c r="D784" s="125"/>
      <c r="E784" s="125"/>
      <c r="F784" s="125"/>
      <c r="G784" s="125"/>
      <c r="H784" s="125"/>
      <c r="I784" s="125"/>
      <c r="J784" s="125"/>
      <c r="K784" s="125"/>
      <c r="L784" s="125"/>
      <c r="M784" s="125"/>
      <c r="N784" s="125"/>
      <c r="O784" s="125"/>
      <c r="P784" s="125"/>
      <c r="Q784" s="125"/>
      <c r="R784" s="125"/>
      <c r="S784" s="125"/>
      <c r="T784" s="125"/>
      <c r="U784" s="125"/>
      <c r="V784" s="125"/>
      <c r="W784" s="125"/>
      <c r="X784" s="125"/>
      <c r="Y784" s="125"/>
      <c r="Z784" s="125"/>
      <c r="AA784" s="125"/>
      <c r="AB784" s="125"/>
      <c r="AC784" s="125"/>
      <c r="AD784" s="125"/>
    </row>
    <row r="785">
      <c r="A785" s="124"/>
      <c r="B785" s="125"/>
      <c r="C785" s="125"/>
      <c r="D785" s="125"/>
      <c r="E785" s="125"/>
      <c r="F785" s="125"/>
      <c r="G785" s="125"/>
      <c r="H785" s="125"/>
      <c r="I785" s="125"/>
      <c r="J785" s="125"/>
      <c r="K785" s="125"/>
      <c r="L785" s="125"/>
      <c r="M785" s="125"/>
      <c r="N785" s="125"/>
      <c r="O785" s="125"/>
      <c r="P785" s="125"/>
      <c r="Q785" s="125"/>
      <c r="R785" s="125"/>
      <c r="S785" s="125"/>
      <c r="T785" s="125"/>
      <c r="U785" s="125"/>
      <c r="V785" s="125"/>
      <c r="W785" s="125"/>
      <c r="X785" s="125"/>
      <c r="Y785" s="125"/>
      <c r="Z785" s="125"/>
      <c r="AA785" s="125"/>
      <c r="AB785" s="125"/>
      <c r="AC785" s="125"/>
      <c r="AD785" s="125"/>
    </row>
    <row r="786">
      <c r="A786" s="124"/>
      <c r="B786" s="125"/>
      <c r="C786" s="125"/>
      <c r="D786" s="125"/>
      <c r="E786" s="125"/>
      <c r="F786" s="125"/>
      <c r="G786" s="125"/>
      <c r="H786" s="125"/>
      <c r="I786" s="125"/>
      <c r="J786" s="125"/>
      <c r="K786" s="125"/>
      <c r="L786" s="125"/>
      <c r="M786" s="125"/>
      <c r="N786" s="125"/>
      <c r="O786" s="125"/>
      <c r="P786" s="125"/>
      <c r="Q786" s="125"/>
      <c r="R786" s="125"/>
      <c r="S786" s="125"/>
      <c r="T786" s="125"/>
      <c r="U786" s="125"/>
      <c r="V786" s="125"/>
      <c r="W786" s="125"/>
      <c r="X786" s="125"/>
      <c r="Y786" s="125"/>
      <c r="Z786" s="125"/>
      <c r="AA786" s="125"/>
      <c r="AB786" s="125"/>
      <c r="AC786" s="125"/>
      <c r="AD786" s="125"/>
    </row>
    <row r="787">
      <c r="A787" s="124"/>
      <c r="B787" s="125"/>
      <c r="C787" s="125"/>
      <c r="D787" s="125"/>
      <c r="E787" s="125"/>
      <c r="F787" s="125"/>
      <c r="G787" s="125"/>
      <c r="H787" s="125"/>
      <c r="I787" s="125"/>
      <c r="J787" s="125"/>
      <c r="K787" s="125"/>
      <c r="L787" s="125"/>
      <c r="M787" s="125"/>
      <c r="N787" s="125"/>
      <c r="O787" s="125"/>
      <c r="P787" s="125"/>
      <c r="Q787" s="125"/>
      <c r="R787" s="125"/>
      <c r="S787" s="125"/>
      <c r="T787" s="125"/>
      <c r="U787" s="125"/>
      <c r="V787" s="125"/>
      <c r="W787" s="125"/>
      <c r="X787" s="125"/>
      <c r="Y787" s="125"/>
      <c r="Z787" s="125"/>
      <c r="AA787" s="125"/>
      <c r="AB787" s="125"/>
      <c r="AC787" s="125"/>
      <c r="AD787" s="125"/>
    </row>
    <row r="788">
      <c r="A788" s="124"/>
      <c r="B788" s="125"/>
      <c r="C788" s="125"/>
      <c r="D788" s="125"/>
      <c r="E788" s="125"/>
      <c r="F788" s="125"/>
      <c r="G788" s="125"/>
      <c r="H788" s="125"/>
      <c r="I788" s="125"/>
      <c r="J788" s="125"/>
      <c r="K788" s="125"/>
      <c r="L788" s="125"/>
      <c r="M788" s="125"/>
      <c r="N788" s="125"/>
      <c r="O788" s="125"/>
      <c r="P788" s="125"/>
      <c r="Q788" s="125"/>
      <c r="R788" s="125"/>
      <c r="S788" s="125"/>
      <c r="T788" s="125"/>
      <c r="U788" s="125"/>
      <c r="V788" s="125"/>
      <c r="W788" s="125"/>
      <c r="X788" s="125"/>
      <c r="Y788" s="125"/>
      <c r="Z788" s="125"/>
      <c r="AA788" s="125"/>
      <c r="AB788" s="125"/>
      <c r="AC788" s="125"/>
      <c r="AD788" s="125"/>
    </row>
    <row r="789">
      <c r="A789" s="124"/>
      <c r="B789" s="125"/>
      <c r="C789" s="125"/>
      <c r="D789" s="125"/>
      <c r="E789" s="125"/>
      <c r="F789" s="125"/>
      <c r="G789" s="125"/>
      <c r="H789" s="125"/>
      <c r="I789" s="125"/>
      <c r="J789" s="125"/>
      <c r="K789" s="125"/>
      <c r="L789" s="125"/>
      <c r="M789" s="125"/>
      <c r="N789" s="125"/>
      <c r="O789" s="125"/>
      <c r="P789" s="125"/>
      <c r="Q789" s="125"/>
      <c r="R789" s="125"/>
      <c r="S789" s="125"/>
      <c r="T789" s="125"/>
      <c r="U789" s="125"/>
      <c r="V789" s="125"/>
      <c r="W789" s="125"/>
      <c r="X789" s="125"/>
      <c r="Y789" s="125"/>
      <c r="Z789" s="125"/>
      <c r="AA789" s="125"/>
      <c r="AB789" s="125"/>
      <c r="AC789" s="125"/>
      <c r="AD789" s="125"/>
    </row>
    <row r="790">
      <c r="A790" s="124"/>
      <c r="B790" s="125"/>
      <c r="C790" s="125"/>
      <c r="D790" s="125"/>
      <c r="E790" s="125"/>
      <c r="F790" s="125"/>
      <c r="G790" s="125"/>
      <c r="H790" s="125"/>
      <c r="I790" s="125"/>
      <c r="J790" s="125"/>
      <c r="K790" s="125"/>
      <c r="L790" s="125"/>
      <c r="M790" s="125"/>
      <c r="N790" s="125"/>
      <c r="O790" s="125"/>
      <c r="P790" s="125"/>
      <c r="Q790" s="125"/>
      <c r="R790" s="125"/>
      <c r="S790" s="125"/>
      <c r="T790" s="125"/>
      <c r="U790" s="125"/>
      <c r="V790" s="125"/>
      <c r="W790" s="125"/>
      <c r="X790" s="125"/>
      <c r="Y790" s="125"/>
      <c r="Z790" s="125"/>
      <c r="AA790" s="125"/>
      <c r="AB790" s="125"/>
      <c r="AC790" s="125"/>
      <c r="AD790" s="125"/>
    </row>
    <row r="791">
      <c r="A791" s="124"/>
      <c r="B791" s="125"/>
      <c r="C791" s="125"/>
      <c r="D791" s="125"/>
      <c r="E791" s="125"/>
      <c r="F791" s="125"/>
      <c r="G791" s="125"/>
      <c r="H791" s="125"/>
      <c r="I791" s="125"/>
      <c r="J791" s="125"/>
      <c r="K791" s="125"/>
      <c r="L791" s="125"/>
      <c r="M791" s="125"/>
      <c r="N791" s="125"/>
      <c r="O791" s="125"/>
      <c r="P791" s="125"/>
      <c r="Q791" s="125"/>
      <c r="R791" s="125"/>
      <c r="S791" s="125"/>
      <c r="T791" s="125"/>
      <c r="U791" s="125"/>
      <c r="V791" s="125"/>
      <c r="W791" s="125"/>
      <c r="X791" s="125"/>
      <c r="Y791" s="125"/>
      <c r="Z791" s="125"/>
      <c r="AA791" s="125"/>
      <c r="AB791" s="125"/>
      <c r="AC791" s="125"/>
      <c r="AD791" s="125"/>
    </row>
    <row r="792">
      <c r="A792" s="124"/>
      <c r="B792" s="125"/>
      <c r="C792" s="125"/>
      <c r="D792" s="125"/>
      <c r="E792" s="125"/>
      <c r="F792" s="125"/>
      <c r="G792" s="125"/>
      <c r="H792" s="125"/>
      <c r="I792" s="125"/>
      <c r="J792" s="125"/>
      <c r="K792" s="125"/>
      <c r="L792" s="125"/>
      <c r="M792" s="125"/>
      <c r="N792" s="125"/>
      <c r="O792" s="125"/>
      <c r="P792" s="125"/>
      <c r="Q792" s="125"/>
      <c r="R792" s="125"/>
      <c r="S792" s="125"/>
      <c r="T792" s="125"/>
      <c r="U792" s="125"/>
      <c r="V792" s="125"/>
      <c r="W792" s="125"/>
      <c r="X792" s="125"/>
      <c r="Y792" s="125"/>
      <c r="Z792" s="125"/>
      <c r="AA792" s="125"/>
      <c r="AB792" s="125"/>
      <c r="AC792" s="125"/>
      <c r="AD792" s="125"/>
    </row>
    <row r="793">
      <c r="A793" s="124"/>
      <c r="B793" s="125"/>
      <c r="C793" s="125"/>
      <c r="D793" s="125"/>
      <c r="E793" s="125"/>
      <c r="F793" s="125"/>
      <c r="G793" s="125"/>
      <c r="H793" s="125"/>
      <c r="I793" s="125"/>
      <c r="J793" s="125"/>
      <c r="K793" s="125"/>
      <c r="L793" s="125"/>
      <c r="M793" s="125"/>
      <c r="N793" s="125"/>
      <c r="O793" s="125"/>
      <c r="P793" s="125"/>
      <c r="Q793" s="125"/>
      <c r="R793" s="125"/>
      <c r="S793" s="125"/>
      <c r="T793" s="125"/>
      <c r="U793" s="125"/>
      <c r="V793" s="125"/>
      <c r="W793" s="125"/>
      <c r="X793" s="125"/>
      <c r="Y793" s="125"/>
      <c r="Z793" s="125"/>
      <c r="AA793" s="125"/>
      <c r="AB793" s="125"/>
      <c r="AC793" s="125"/>
      <c r="AD793" s="125"/>
    </row>
    <row r="794">
      <c r="A794" s="124"/>
      <c r="B794" s="125"/>
      <c r="C794" s="125"/>
      <c r="D794" s="125"/>
      <c r="E794" s="125"/>
      <c r="F794" s="125"/>
      <c r="G794" s="125"/>
      <c r="H794" s="125"/>
      <c r="I794" s="125"/>
      <c r="J794" s="125"/>
      <c r="K794" s="125"/>
      <c r="L794" s="125"/>
      <c r="M794" s="125"/>
      <c r="N794" s="125"/>
      <c r="O794" s="125"/>
      <c r="P794" s="125"/>
      <c r="Q794" s="125"/>
      <c r="R794" s="125"/>
      <c r="S794" s="125"/>
      <c r="T794" s="125"/>
      <c r="U794" s="125"/>
      <c r="V794" s="125"/>
      <c r="W794" s="125"/>
      <c r="X794" s="125"/>
      <c r="Y794" s="125"/>
      <c r="Z794" s="125"/>
      <c r="AA794" s="125"/>
      <c r="AB794" s="125"/>
      <c r="AC794" s="125"/>
      <c r="AD794" s="125"/>
    </row>
    <row r="795">
      <c r="A795" s="124"/>
      <c r="B795" s="125"/>
      <c r="C795" s="125"/>
      <c r="D795" s="125"/>
      <c r="E795" s="125"/>
      <c r="F795" s="125"/>
      <c r="G795" s="125"/>
      <c r="H795" s="125"/>
      <c r="I795" s="125"/>
      <c r="J795" s="125"/>
      <c r="K795" s="125"/>
      <c r="L795" s="125"/>
      <c r="M795" s="125"/>
      <c r="N795" s="125"/>
      <c r="O795" s="125"/>
      <c r="P795" s="125"/>
      <c r="Q795" s="125"/>
      <c r="R795" s="125"/>
      <c r="S795" s="125"/>
      <c r="T795" s="125"/>
      <c r="U795" s="125"/>
      <c r="V795" s="125"/>
      <c r="W795" s="125"/>
      <c r="X795" s="125"/>
      <c r="Y795" s="125"/>
      <c r="Z795" s="125"/>
      <c r="AA795" s="125"/>
      <c r="AB795" s="125"/>
      <c r="AC795" s="125"/>
      <c r="AD795" s="125"/>
    </row>
    <row r="796">
      <c r="A796" s="124"/>
      <c r="B796" s="125"/>
      <c r="C796" s="125"/>
      <c r="D796" s="125"/>
      <c r="E796" s="125"/>
      <c r="F796" s="125"/>
      <c r="G796" s="125"/>
      <c r="H796" s="125"/>
      <c r="I796" s="125"/>
      <c r="J796" s="125"/>
      <c r="K796" s="125"/>
      <c r="L796" s="125"/>
      <c r="M796" s="125"/>
      <c r="N796" s="125"/>
      <c r="O796" s="125"/>
      <c r="P796" s="125"/>
      <c r="Q796" s="125"/>
      <c r="R796" s="125"/>
      <c r="S796" s="125"/>
      <c r="T796" s="125"/>
      <c r="U796" s="125"/>
      <c r="V796" s="125"/>
      <c r="W796" s="125"/>
      <c r="X796" s="125"/>
      <c r="Y796" s="125"/>
      <c r="Z796" s="125"/>
      <c r="AA796" s="125"/>
      <c r="AB796" s="125"/>
      <c r="AC796" s="125"/>
      <c r="AD796" s="125"/>
    </row>
    <row r="797">
      <c r="A797" s="124"/>
      <c r="B797" s="125"/>
      <c r="C797" s="125"/>
      <c r="D797" s="125"/>
      <c r="E797" s="125"/>
      <c r="F797" s="125"/>
      <c r="G797" s="125"/>
      <c r="H797" s="125"/>
      <c r="I797" s="125"/>
      <c r="J797" s="125"/>
      <c r="K797" s="125"/>
      <c r="L797" s="125"/>
      <c r="M797" s="125"/>
      <c r="N797" s="125"/>
      <c r="O797" s="125"/>
      <c r="P797" s="125"/>
      <c r="Q797" s="125"/>
      <c r="R797" s="125"/>
      <c r="S797" s="125"/>
      <c r="T797" s="125"/>
      <c r="U797" s="125"/>
      <c r="V797" s="125"/>
      <c r="W797" s="125"/>
      <c r="X797" s="125"/>
      <c r="Y797" s="125"/>
      <c r="Z797" s="125"/>
      <c r="AA797" s="125"/>
      <c r="AB797" s="125"/>
      <c r="AC797" s="125"/>
      <c r="AD797" s="125"/>
    </row>
    <row r="798">
      <c r="A798" s="124"/>
      <c r="B798" s="125"/>
      <c r="C798" s="125"/>
      <c r="D798" s="125"/>
      <c r="E798" s="125"/>
      <c r="F798" s="125"/>
      <c r="G798" s="125"/>
      <c r="H798" s="125"/>
      <c r="I798" s="125"/>
      <c r="J798" s="125"/>
      <c r="K798" s="125"/>
      <c r="L798" s="125"/>
      <c r="M798" s="125"/>
      <c r="N798" s="125"/>
      <c r="O798" s="125"/>
      <c r="P798" s="125"/>
      <c r="Q798" s="125"/>
      <c r="R798" s="125"/>
      <c r="S798" s="125"/>
      <c r="T798" s="125"/>
      <c r="U798" s="125"/>
      <c r="V798" s="125"/>
      <c r="W798" s="125"/>
      <c r="X798" s="125"/>
      <c r="Y798" s="125"/>
      <c r="Z798" s="125"/>
      <c r="AA798" s="125"/>
      <c r="AB798" s="125"/>
      <c r="AC798" s="125"/>
      <c r="AD798" s="125"/>
    </row>
    <row r="799">
      <c r="A799" s="124"/>
      <c r="B799" s="125"/>
      <c r="C799" s="125"/>
      <c r="D799" s="125"/>
      <c r="E799" s="125"/>
      <c r="F799" s="125"/>
      <c r="G799" s="125"/>
      <c r="H799" s="125"/>
      <c r="I799" s="125"/>
      <c r="J799" s="125"/>
      <c r="K799" s="125"/>
      <c r="L799" s="125"/>
      <c r="M799" s="125"/>
      <c r="N799" s="125"/>
      <c r="O799" s="125"/>
      <c r="P799" s="125"/>
      <c r="Q799" s="125"/>
      <c r="R799" s="125"/>
      <c r="S799" s="125"/>
      <c r="T799" s="125"/>
      <c r="U799" s="125"/>
      <c r="V799" s="125"/>
      <c r="W799" s="125"/>
      <c r="X799" s="125"/>
      <c r="Y799" s="125"/>
      <c r="Z799" s="125"/>
      <c r="AA799" s="125"/>
      <c r="AB799" s="125"/>
      <c r="AC799" s="125"/>
      <c r="AD799" s="125"/>
    </row>
    <row r="800">
      <c r="A800" s="124"/>
      <c r="B800" s="125"/>
      <c r="C800" s="125"/>
      <c r="D800" s="125"/>
      <c r="E800" s="125"/>
      <c r="F800" s="125"/>
      <c r="G800" s="125"/>
      <c r="H800" s="125"/>
      <c r="I800" s="125"/>
      <c r="J800" s="125"/>
      <c r="K800" s="125"/>
      <c r="L800" s="125"/>
      <c r="M800" s="125"/>
      <c r="N800" s="125"/>
      <c r="O800" s="125"/>
      <c r="P800" s="125"/>
      <c r="Q800" s="125"/>
      <c r="R800" s="125"/>
      <c r="S800" s="125"/>
      <c r="T800" s="125"/>
      <c r="U800" s="125"/>
      <c r="V800" s="125"/>
      <c r="W800" s="125"/>
      <c r="X800" s="125"/>
      <c r="Y800" s="125"/>
      <c r="Z800" s="125"/>
      <c r="AA800" s="125"/>
      <c r="AB800" s="125"/>
      <c r="AC800" s="125"/>
      <c r="AD800" s="125"/>
    </row>
    <row r="801">
      <c r="A801" s="124"/>
      <c r="B801" s="125"/>
      <c r="C801" s="125"/>
      <c r="D801" s="125"/>
      <c r="E801" s="125"/>
      <c r="F801" s="125"/>
      <c r="G801" s="125"/>
      <c r="H801" s="125"/>
      <c r="I801" s="125"/>
      <c r="J801" s="125"/>
      <c r="K801" s="125"/>
      <c r="L801" s="125"/>
      <c r="M801" s="125"/>
      <c r="N801" s="125"/>
      <c r="O801" s="125"/>
      <c r="P801" s="125"/>
      <c r="Q801" s="125"/>
      <c r="R801" s="125"/>
      <c r="S801" s="125"/>
      <c r="T801" s="125"/>
      <c r="U801" s="125"/>
      <c r="V801" s="125"/>
      <c r="W801" s="125"/>
      <c r="X801" s="125"/>
      <c r="Y801" s="125"/>
      <c r="Z801" s="125"/>
      <c r="AA801" s="125"/>
      <c r="AB801" s="125"/>
      <c r="AC801" s="125"/>
      <c r="AD801" s="125"/>
    </row>
    <row r="802">
      <c r="A802" s="124"/>
      <c r="B802" s="125"/>
      <c r="C802" s="125"/>
      <c r="D802" s="125"/>
      <c r="E802" s="125"/>
      <c r="F802" s="125"/>
      <c r="G802" s="125"/>
      <c r="H802" s="125"/>
      <c r="I802" s="125"/>
      <c r="J802" s="125"/>
      <c r="K802" s="125"/>
      <c r="L802" s="125"/>
      <c r="M802" s="125"/>
      <c r="N802" s="125"/>
      <c r="O802" s="125"/>
      <c r="P802" s="125"/>
      <c r="Q802" s="125"/>
      <c r="R802" s="125"/>
      <c r="S802" s="125"/>
      <c r="T802" s="125"/>
      <c r="U802" s="125"/>
      <c r="V802" s="125"/>
      <c r="W802" s="125"/>
      <c r="X802" s="125"/>
      <c r="Y802" s="125"/>
      <c r="Z802" s="125"/>
      <c r="AA802" s="125"/>
      <c r="AB802" s="125"/>
      <c r="AC802" s="125"/>
      <c r="AD802" s="125"/>
    </row>
    <row r="803">
      <c r="A803" s="124"/>
      <c r="B803" s="125"/>
      <c r="C803" s="125"/>
      <c r="D803" s="125"/>
      <c r="E803" s="125"/>
      <c r="F803" s="125"/>
      <c r="G803" s="125"/>
      <c r="H803" s="125"/>
      <c r="I803" s="125"/>
      <c r="J803" s="125"/>
      <c r="K803" s="125"/>
      <c r="L803" s="125"/>
      <c r="M803" s="125"/>
      <c r="N803" s="125"/>
      <c r="O803" s="125"/>
      <c r="P803" s="125"/>
      <c r="Q803" s="125"/>
      <c r="R803" s="125"/>
      <c r="S803" s="125"/>
      <c r="T803" s="125"/>
      <c r="U803" s="125"/>
      <c r="V803" s="125"/>
      <c r="W803" s="125"/>
      <c r="X803" s="125"/>
      <c r="Y803" s="125"/>
      <c r="Z803" s="125"/>
      <c r="AA803" s="125"/>
      <c r="AB803" s="125"/>
      <c r="AC803" s="125"/>
      <c r="AD803" s="125"/>
    </row>
    <row r="804">
      <c r="A804" s="124"/>
      <c r="B804" s="125"/>
      <c r="C804" s="125"/>
      <c r="D804" s="125"/>
      <c r="E804" s="125"/>
      <c r="F804" s="125"/>
      <c r="G804" s="125"/>
      <c r="H804" s="125"/>
      <c r="I804" s="125"/>
      <c r="J804" s="125"/>
      <c r="K804" s="125"/>
      <c r="L804" s="125"/>
      <c r="M804" s="125"/>
      <c r="N804" s="125"/>
      <c r="O804" s="125"/>
      <c r="P804" s="125"/>
      <c r="Q804" s="125"/>
      <c r="R804" s="125"/>
      <c r="S804" s="125"/>
      <c r="T804" s="125"/>
      <c r="U804" s="125"/>
      <c r="V804" s="125"/>
      <c r="W804" s="125"/>
      <c r="X804" s="125"/>
      <c r="Y804" s="125"/>
      <c r="Z804" s="125"/>
      <c r="AA804" s="125"/>
      <c r="AB804" s="125"/>
      <c r="AC804" s="125"/>
      <c r="AD804" s="125"/>
    </row>
    <row r="805">
      <c r="A805" s="124"/>
      <c r="B805" s="125"/>
      <c r="C805" s="125"/>
      <c r="D805" s="125"/>
      <c r="E805" s="125"/>
      <c r="F805" s="125"/>
      <c r="G805" s="125"/>
      <c r="H805" s="125"/>
      <c r="I805" s="125"/>
      <c r="J805" s="125"/>
      <c r="K805" s="125"/>
      <c r="L805" s="125"/>
      <c r="M805" s="125"/>
      <c r="N805" s="125"/>
      <c r="O805" s="125"/>
      <c r="P805" s="125"/>
      <c r="Q805" s="125"/>
      <c r="R805" s="125"/>
      <c r="S805" s="125"/>
      <c r="T805" s="125"/>
      <c r="U805" s="125"/>
      <c r="V805" s="125"/>
      <c r="W805" s="125"/>
      <c r="X805" s="125"/>
      <c r="Y805" s="125"/>
      <c r="Z805" s="125"/>
      <c r="AA805" s="125"/>
      <c r="AB805" s="125"/>
      <c r="AC805" s="125"/>
      <c r="AD805" s="125"/>
    </row>
    <row r="806">
      <c r="A806" s="124"/>
      <c r="B806" s="125"/>
      <c r="C806" s="125"/>
      <c r="D806" s="125"/>
      <c r="E806" s="125"/>
      <c r="F806" s="125"/>
      <c r="G806" s="125"/>
      <c r="H806" s="125"/>
      <c r="I806" s="125"/>
      <c r="J806" s="125"/>
      <c r="K806" s="125"/>
      <c r="L806" s="125"/>
      <c r="M806" s="125"/>
      <c r="N806" s="125"/>
      <c r="O806" s="125"/>
      <c r="P806" s="125"/>
      <c r="Q806" s="125"/>
      <c r="R806" s="125"/>
      <c r="S806" s="125"/>
      <c r="T806" s="125"/>
      <c r="U806" s="125"/>
      <c r="V806" s="125"/>
      <c r="W806" s="125"/>
      <c r="X806" s="125"/>
      <c r="Y806" s="125"/>
      <c r="Z806" s="125"/>
      <c r="AA806" s="125"/>
      <c r="AB806" s="125"/>
      <c r="AC806" s="125"/>
      <c r="AD806" s="125"/>
    </row>
    <row r="807">
      <c r="A807" s="124"/>
      <c r="B807" s="125"/>
      <c r="C807" s="125"/>
      <c r="D807" s="125"/>
      <c r="E807" s="125"/>
      <c r="F807" s="125"/>
      <c r="G807" s="125"/>
      <c r="H807" s="125"/>
      <c r="I807" s="125"/>
      <c r="J807" s="125"/>
      <c r="K807" s="125"/>
      <c r="L807" s="125"/>
      <c r="M807" s="125"/>
      <c r="N807" s="125"/>
      <c r="O807" s="125"/>
      <c r="P807" s="125"/>
      <c r="Q807" s="125"/>
      <c r="R807" s="125"/>
      <c r="S807" s="125"/>
      <c r="T807" s="125"/>
      <c r="U807" s="125"/>
      <c r="V807" s="125"/>
      <c r="W807" s="125"/>
      <c r="X807" s="125"/>
      <c r="Y807" s="125"/>
      <c r="Z807" s="125"/>
      <c r="AA807" s="125"/>
      <c r="AB807" s="125"/>
      <c r="AC807" s="125"/>
      <c r="AD807" s="125"/>
    </row>
    <row r="808">
      <c r="A808" s="124"/>
      <c r="B808" s="125"/>
      <c r="C808" s="125"/>
      <c r="D808" s="125"/>
      <c r="E808" s="125"/>
      <c r="F808" s="125"/>
      <c r="G808" s="125"/>
      <c r="H808" s="125"/>
      <c r="I808" s="125"/>
      <c r="J808" s="125"/>
      <c r="K808" s="125"/>
      <c r="L808" s="125"/>
      <c r="M808" s="125"/>
      <c r="N808" s="125"/>
      <c r="O808" s="125"/>
      <c r="P808" s="125"/>
      <c r="Q808" s="125"/>
      <c r="R808" s="125"/>
      <c r="S808" s="125"/>
      <c r="T808" s="125"/>
      <c r="U808" s="125"/>
      <c r="V808" s="125"/>
      <c r="W808" s="125"/>
      <c r="X808" s="125"/>
      <c r="Y808" s="125"/>
      <c r="Z808" s="125"/>
      <c r="AA808" s="125"/>
      <c r="AB808" s="125"/>
      <c r="AC808" s="125"/>
      <c r="AD808" s="125"/>
    </row>
    <row r="809">
      <c r="A809" s="124"/>
      <c r="B809" s="125"/>
      <c r="C809" s="125"/>
      <c r="D809" s="125"/>
      <c r="E809" s="125"/>
      <c r="F809" s="125"/>
      <c r="G809" s="125"/>
      <c r="H809" s="125"/>
      <c r="I809" s="125"/>
      <c r="J809" s="125"/>
      <c r="K809" s="125"/>
      <c r="L809" s="125"/>
      <c r="M809" s="125"/>
      <c r="N809" s="125"/>
      <c r="O809" s="125"/>
      <c r="P809" s="125"/>
      <c r="Q809" s="125"/>
      <c r="R809" s="125"/>
      <c r="S809" s="125"/>
      <c r="T809" s="125"/>
      <c r="U809" s="125"/>
      <c r="V809" s="125"/>
      <c r="W809" s="125"/>
      <c r="X809" s="125"/>
      <c r="Y809" s="125"/>
      <c r="Z809" s="125"/>
      <c r="AA809" s="125"/>
      <c r="AB809" s="125"/>
      <c r="AC809" s="125"/>
      <c r="AD809" s="125"/>
    </row>
    <row r="810">
      <c r="A810" s="124"/>
      <c r="B810" s="125"/>
      <c r="C810" s="125"/>
      <c r="D810" s="125"/>
      <c r="E810" s="125"/>
      <c r="F810" s="125"/>
      <c r="G810" s="125"/>
      <c r="H810" s="125"/>
      <c r="I810" s="125"/>
      <c r="J810" s="125"/>
      <c r="K810" s="125"/>
      <c r="L810" s="125"/>
      <c r="M810" s="125"/>
      <c r="N810" s="125"/>
      <c r="O810" s="125"/>
      <c r="P810" s="125"/>
      <c r="Q810" s="125"/>
      <c r="R810" s="125"/>
      <c r="S810" s="125"/>
      <c r="T810" s="125"/>
      <c r="U810" s="125"/>
      <c r="V810" s="125"/>
      <c r="W810" s="125"/>
      <c r="X810" s="125"/>
      <c r="Y810" s="125"/>
      <c r="Z810" s="125"/>
      <c r="AA810" s="125"/>
      <c r="AB810" s="125"/>
      <c r="AC810" s="125"/>
      <c r="AD810" s="125"/>
    </row>
    <row r="811">
      <c r="A811" s="124"/>
      <c r="B811" s="125"/>
      <c r="C811" s="125"/>
      <c r="D811" s="125"/>
      <c r="E811" s="125"/>
      <c r="F811" s="125"/>
      <c r="G811" s="125"/>
      <c r="H811" s="125"/>
      <c r="I811" s="125"/>
      <c r="J811" s="125"/>
      <c r="K811" s="125"/>
      <c r="L811" s="125"/>
      <c r="M811" s="125"/>
      <c r="N811" s="125"/>
      <c r="O811" s="125"/>
      <c r="P811" s="125"/>
      <c r="Q811" s="125"/>
      <c r="R811" s="125"/>
      <c r="S811" s="125"/>
      <c r="T811" s="125"/>
      <c r="U811" s="125"/>
      <c r="V811" s="125"/>
      <c r="W811" s="125"/>
      <c r="X811" s="125"/>
      <c r="Y811" s="125"/>
      <c r="Z811" s="125"/>
      <c r="AA811" s="125"/>
      <c r="AB811" s="125"/>
      <c r="AC811" s="125"/>
      <c r="AD811" s="125"/>
    </row>
    <row r="812">
      <c r="A812" s="124"/>
      <c r="B812" s="125"/>
      <c r="C812" s="125"/>
      <c r="D812" s="125"/>
      <c r="E812" s="125"/>
      <c r="F812" s="125"/>
      <c r="G812" s="125"/>
      <c r="H812" s="125"/>
      <c r="I812" s="125"/>
      <c r="J812" s="125"/>
      <c r="K812" s="125"/>
      <c r="L812" s="125"/>
      <c r="M812" s="125"/>
      <c r="N812" s="125"/>
      <c r="O812" s="125"/>
      <c r="P812" s="125"/>
      <c r="Q812" s="125"/>
      <c r="R812" s="125"/>
      <c r="S812" s="125"/>
      <c r="T812" s="125"/>
      <c r="U812" s="125"/>
      <c r="V812" s="125"/>
      <c r="W812" s="125"/>
      <c r="X812" s="125"/>
      <c r="Y812" s="125"/>
      <c r="Z812" s="125"/>
      <c r="AA812" s="125"/>
      <c r="AB812" s="125"/>
      <c r="AC812" s="125"/>
      <c r="AD812" s="125"/>
    </row>
    <row r="813">
      <c r="A813" s="124"/>
      <c r="B813" s="125"/>
      <c r="C813" s="125"/>
      <c r="D813" s="125"/>
      <c r="E813" s="125"/>
      <c r="F813" s="125"/>
      <c r="G813" s="125"/>
      <c r="H813" s="125"/>
      <c r="I813" s="125"/>
      <c r="J813" s="125"/>
      <c r="K813" s="125"/>
      <c r="L813" s="125"/>
      <c r="M813" s="125"/>
      <c r="N813" s="125"/>
      <c r="O813" s="125"/>
      <c r="P813" s="125"/>
      <c r="Q813" s="125"/>
      <c r="R813" s="125"/>
      <c r="S813" s="125"/>
      <c r="T813" s="125"/>
      <c r="U813" s="125"/>
      <c r="V813" s="125"/>
      <c r="W813" s="125"/>
      <c r="X813" s="125"/>
      <c r="Y813" s="125"/>
      <c r="Z813" s="125"/>
      <c r="AA813" s="125"/>
      <c r="AB813" s="125"/>
      <c r="AC813" s="125"/>
      <c r="AD813" s="125"/>
    </row>
    <row r="814">
      <c r="A814" s="124"/>
      <c r="B814" s="125"/>
      <c r="C814" s="125"/>
      <c r="D814" s="125"/>
      <c r="E814" s="125"/>
      <c r="F814" s="125"/>
      <c r="G814" s="125"/>
      <c r="H814" s="125"/>
      <c r="I814" s="125"/>
      <c r="J814" s="125"/>
      <c r="K814" s="125"/>
      <c r="L814" s="125"/>
      <c r="M814" s="125"/>
      <c r="N814" s="125"/>
      <c r="O814" s="125"/>
      <c r="P814" s="125"/>
      <c r="Q814" s="125"/>
      <c r="R814" s="125"/>
      <c r="S814" s="125"/>
      <c r="T814" s="125"/>
      <c r="U814" s="125"/>
      <c r="V814" s="125"/>
      <c r="W814" s="125"/>
      <c r="X814" s="125"/>
      <c r="Y814" s="125"/>
      <c r="Z814" s="125"/>
      <c r="AA814" s="125"/>
      <c r="AB814" s="125"/>
      <c r="AC814" s="125"/>
      <c r="AD814" s="125"/>
    </row>
    <row r="815">
      <c r="A815" s="124"/>
      <c r="B815" s="125"/>
      <c r="C815" s="125"/>
      <c r="D815" s="125"/>
      <c r="E815" s="125"/>
      <c r="F815" s="125"/>
      <c r="G815" s="125"/>
      <c r="H815" s="125"/>
      <c r="I815" s="125"/>
      <c r="J815" s="125"/>
      <c r="K815" s="125"/>
      <c r="L815" s="125"/>
      <c r="M815" s="125"/>
      <c r="N815" s="125"/>
      <c r="O815" s="125"/>
      <c r="P815" s="125"/>
      <c r="Q815" s="125"/>
      <c r="R815" s="125"/>
      <c r="S815" s="125"/>
      <c r="T815" s="125"/>
      <c r="U815" s="125"/>
      <c r="V815" s="125"/>
      <c r="W815" s="125"/>
      <c r="X815" s="125"/>
      <c r="Y815" s="125"/>
      <c r="Z815" s="125"/>
      <c r="AA815" s="125"/>
      <c r="AB815" s="125"/>
      <c r="AC815" s="125"/>
      <c r="AD815" s="125"/>
    </row>
    <row r="816">
      <c r="A816" s="124"/>
      <c r="B816" s="125"/>
      <c r="C816" s="125"/>
      <c r="D816" s="125"/>
      <c r="E816" s="125"/>
      <c r="F816" s="125"/>
      <c r="G816" s="125"/>
      <c r="H816" s="125"/>
      <c r="I816" s="125"/>
      <c r="J816" s="125"/>
      <c r="K816" s="125"/>
      <c r="L816" s="125"/>
      <c r="M816" s="125"/>
      <c r="N816" s="125"/>
      <c r="O816" s="125"/>
      <c r="P816" s="125"/>
      <c r="Q816" s="125"/>
      <c r="R816" s="125"/>
      <c r="S816" s="125"/>
      <c r="T816" s="125"/>
      <c r="U816" s="125"/>
      <c r="V816" s="125"/>
      <c r="W816" s="125"/>
      <c r="X816" s="125"/>
      <c r="Y816" s="125"/>
      <c r="Z816" s="125"/>
      <c r="AA816" s="125"/>
      <c r="AB816" s="125"/>
      <c r="AC816" s="125"/>
      <c r="AD816" s="125"/>
    </row>
    <row r="817">
      <c r="A817" s="124"/>
      <c r="B817" s="125"/>
      <c r="C817" s="125"/>
      <c r="D817" s="125"/>
      <c r="E817" s="125"/>
      <c r="F817" s="125"/>
      <c r="G817" s="125"/>
      <c r="H817" s="125"/>
      <c r="I817" s="125"/>
      <c r="J817" s="125"/>
      <c r="K817" s="125"/>
      <c r="L817" s="125"/>
      <c r="M817" s="125"/>
      <c r="N817" s="125"/>
      <c r="O817" s="125"/>
      <c r="P817" s="125"/>
      <c r="Q817" s="125"/>
      <c r="R817" s="125"/>
      <c r="S817" s="125"/>
      <c r="T817" s="125"/>
      <c r="U817" s="125"/>
      <c r="V817" s="125"/>
      <c r="W817" s="125"/>
      <c r="X817" s="125"/>
      <c r="Y817" s="125"/>
      <c r="Z817" s="125"/>
      <c r="AA817" s="125"/>
      <c r="AB817" s="125"/>
      <c r="AC817" s="125"/>
      <c r="AD817" s="125"/>
    </row>
    <row r="818">
      <c r="A818" s="124"/>
      <c r="B818" s="125"/>
      <c r="C818" s="125"/>
      <c r="D818" s="125"/>
      <c r="E818" s="125"/>
      <c r="F818" s="125"/>
      <c r="G818" s="125"/>
      <c r="H818" s="125"/>
      <c r="I818" s="125"/>
      <c r="J818" s="125"/>
      <c r="K818" s="125"/>
      <c r="L818" s="125"/>
      <c r="M818" s="125"/>
      <c r="N818" s="125"/>
      <c r="O818" s="125"/>
      <c r="P818" s="125"/>
      <c r="Q818" s="125"/>
      <c r="R818" s="125"/>
      <c r="S818" s="125"/>
      <c r="T818" s="125"/>
      <c r="U818" s="125"/>
      <c r="V818" s="125"/>
      <c r="W818" s="125"/>
      <c r="X818" s="125"/>
      <c r="Y818" s="125"/>
      <c r="Z818" s="125"/>
      <c r="AA818" s="125"/>
      <c r="AB818" s="125"/>
      <c r="AC818" s="125"/>
      <c r="AD818" s="125"/>
    </row>
    <row r="819">
      <c r="A819" s="124"/>
      <c r="B819" s="125"/>
      <c r="C819" s="125"/>
      <c r="D819" s="125"/>
      <c r="E819" s="125"/>
      <c r="F819" s="125"/>
      <c r="G819" s="125"/>
      <c r="H819" s="125"/>
      <c r="I819" s="125"/>
      <c r="J819" s="125"/>
      <c r="K819" s="125"/>
      <c r="L819" s="125"/>
      <c r="M819" s="125"/>
      <c r="N819" s="125"/>
      <c r="O819" s="125"/>
      <c r="P819" s="125"/>
      <c r="Q819" s="125"/>
      <c r="R819" s="125"/>
      <c r="S819" s="125"/>
      <c r="T819" s="125"/>
      <c r="U819" s="125"/>
      <c r="V819" s="125"/>
      <c r="W819" s="125"/>
      <c r="X819" s="125"/>
      <c r="Y819" s="125"/>
      <c r="Z819" s="125"/>
      <c r="AA819" s="125"/>
      <c r="AB819" s="125"/>
      <c r="AC819" s="125"/>
      <c r="AD819" s="125"/>
    </row>
    <row r="820">
      <c r="A820" s="124"/>
      <c r="B820" s="125"/>
      <c r="C820" s="125"/>
      <c r="D820" s="125"/>
      <c r="E820" s="125"/>
      <c r="F820" s="125"/>
      <c r="G820" s="125"/>
      <c r="H820" s="125"/>
      <c r="I820" s="125"/>
      <c r="J820" s="125"/>
      <c r="K820" s="125"/>
      <c r="L820" s="125"/>
      <c r="M820" s="125"/>
      <c r="N820" s="125"/>
      <c r="O820" s="125"/>
      <c r="P820" s="125"/>
      <c r="Q820" s="125"/>
      <c r="R820" s="125"/>
      <c r="S820" s="125"/>
      <c r="T820" s="125"/>
      <c r="U820" s="125"/>
      <c r="V820" s="125"/>
      <c r="W820" s="125"/>
      <c r="X820" s="125"/>
      <c r="Y820" s="125"/>
      <c r="Z820" s="125"/>
      <c r="AA820" s="125"/>
      <c r="AB820" s="125"/>
      <c r="AC820" s="125"/>
      <c r="AD820" s="125"/>
    </row>
    <row r="821">
      <c r="A821" s="124"/>
      <c r="B821" s="125"/>
      <c r="C821" s="125"/>
      <c r="D821" s="125"/>
      <c r="E821" s="125"/>
      <c r="F821" s="125"/>
      <c r="G821" s="125"/>
      <c r="H821" s="125"/>
      <c r="I821" s="125"/>
      <c r="J821" s="125"/>
      <c r="K821" s="125"/>
      <c r="L821" s="125"/>
      <c r="M821" s="125"/>
      <c r="N821" s="125"/>
      <c r="O821" s="125"/>
      <c r="P821" s="125"/>
      <c r="Q821" s="125"/>
      <c r="R821" s="125"/>
      <c r="S821" s="125"/>
      <c r="T821" s="125"/>
      <c r="U821" s="125"/>
      <c r="V821" s="125"/>
      <c r="W821" s="125"/>
      <c r="X821" s="125"/>
      <c r="Y821" s="125"/>
      <c r="Z821" s="125"/>
      <c r="AA821" s="125"/>
      <c r="AB821" s="125"/>
      <c r="AC821" s="125"/>
      <c r="AD821" s="125"/>
    </row>
    <row r="822">
      <c r="A822" s="124"/>
      <c r="B822" s="125"/>
      <c r="C822" s="125"/>
      <c r="D822" s="125"/>
      <c r="E822" s="125"/>
      <c r="F822" s="125"/>
      <c r="G822" s="125"/>
      <c r="H822" s="125"/>
      <c r="I822" s="125"/>
      <c r="J822" s="125"/>
      <c r="K822" s="125"/>
      <c r="L822" s="125"/>
      <c r="M822" s="125"/>
      <c r="N822" s="125"/>
      <c r="O822" s="125"/>
      <c r="P822" s="125"/>
      <c r="Q822" s="125"/>
      <c r="R822" s="125"/>
      <c r="S822" s="125"/>
      <c r="T822" s="125"/>
      <c r="U822" s="125"/>
      <c r="V822" s="125"/>
      <c r="W822" s="125"/>
      <c r="X822" s="125"/>
      <c r="Y822" s="125"/>
      <c r="Z822" s="125"/>
      <c r="AA822" s="125"/>
      <c r="AB822" s="125"/>
      <c r="AC822" s="125"/>
      <c r="AD822" s="125"/>
    </row>
    <row r="823">
      <c r="A823" s="124"/>
      <c r="B823" s="125"/>
      <c r="C823" s="125"/>
      <c r="D823" s="125"/>
      <c r="E823" s="125"/>
      <c r="F823" s="125"/>
      <c r="G823" s="125"/>
      <c r="H823" s="125"/>
      <c r="I823" s="125"/>
      <c r="J823" s="125"/>
      <c r="K823" s="125"/>
      <c r="L823" s="125"/>
      <c r="M823" s="125"/>
      <c r="N823" s="125"/>
      <c r="O823" s="125"/>
      <c r="P823" s="125"/>
      <c r="Q823" s="125"/>
      <c r="R823" s="125"/>
      <c r="S823" s="125"/>
      <c r="T823" s="125"/>
      <c r="U823" s="125"/>
      <c r="V823" s="125"/>
      <c r="W823" s="125"/>
      <c r="X823" s="125"/>
      <c r="Y823" s="125"/>
      <c r="Z823" s="125"/>
      <c r="AA823" s="125"/>
      <c r="AB823" s="125"/>
      <c r="AC823" s="125"/>
      <c r="AD823" s="125"/>
    </row>
    <row r="824">
      <c r="A824" s="124"/>
      <c r="B824" s="125"/>
      <c r="C824" s="125"/>
      <c r="D824" s="125"/>
      <c r="E824" s="125"/>
      <c r="F824" s="125"/>
      <c r="G824" s="125"/>
      <c r="H824" s="125"/>
      <c r="I824" s="125"/>
      <c r="J824" s="125"/>
      <c r="K824" s="125"/>
      <c r="L824" s="125"/>
      <c r="M824" s="125"/>
      <c r="N824" s="125"/>
      <c r="O824" s="125"/>
      <c r="P824" s="125"/>
      <c r="Q824" s="125"/>
      <c r="R824" s="125"/>
      <c r="S824" s="125"/>
      <c r="T824" s="125"/>
      <c r="U824" s="125"/>
      <c r="V824" s="125"/>
      <c r="W824" s="125"/>
      <c r="X824" s="125"/>
      <c r="Y824" s="125"/>
      <c r="Z824" s="125"/>
      <c r="AA824" s="125"/>
      <c r="AB824" s="125"/>
      <c r="AC824" s="125"/>
      <c r="AD824" s="125"/>
    </row>
    <row r="825">
      <c r="A825" s="124"/>
      <c r="B825" s="125"/>
      <c r="C825" s="125"/>
      <c r="D825" s="125"/>
      <c r="E825" s="125"/>
      <c r="F825" s="125"/>
      <c r="G825" s="125"/>
      <c r="H825" s="125"/>
      <c r="I825" s="125"/>
      <c r="J825" s="125"/>
      <c r="K825" s="125"/>
      <c r="L825" s="125"/>
      <c r="M825" s="125"/>
      <c r="N825" s="125"/>
      <c r="O825" s="125"/>
      <c r="P825" s="125"/>
      <c r="Q825" s="125"/>
      <c r="R825" s="125"/>
      <c r="S825" s="125"/>
      <c r="T825" s="125"/>
      <c r="U825" s="125"/>
      <c r="V825" s="125"/>
      <c r="W825" s="125"/>
      <c r="X825" s="125"/>
      <c r="Y825" s="125"/>
      <c r="Z825" s="125"/>
      <c r="AA825" s="125"/>
      <c r="AB825" s="125"/>
      <c r="AC825" s="125"/>
      <c r="AD825" s="125"/>
    </row>
    <row r="826">
      <c r="A826" s="124"/>
      <c r="B826" s="125"/>
      <c r="C826" s="125"/>
      <c r="D826" s="125"/>
      <c r="E826" s="125"/>
      <c r="F826" s="125"/>
      <c r="G826" s="125"/>
      <c r="H826" s="125"/>
      <c r="I826" s="125"/>
      <c r="J826" s="125"/>
      <c r="K826" s="125"/>
      <c r="L826" s="125"/>
      <c r="M826" s="125"/>
      <c r="N826" s="125"/>
      <c r="O826" s="125"/>
      <c r="P826" s="125"/>
      <c r="Q826" s="125"/>
      <c r="R826" s="125"/>
      <c r="S826" s="125"/>
      <c r="T826" s="125"/>
      <c r="U826" s="125"/>
      <c r="V826" s="125"/>
      <c r="W826" s="125"/>
      <c r="X826" s="125"/>
      <c r="Y826" s="125"/>
      <c r="Z826" s="125"/>
      <c r="AA826" s="125"/>
      <c r="AB826" s="125"/>
      <c r="AC826" s="125"/>
      <c r="AD826" s="125"/>
    </row>
    <row r="827">
      <c r="A827" s="124"/>
      <c r="B827" s="125"/>
      <c r="C827" s="125"/>
      <c r="D827" s="125"/>
      <c r="E827" s="125"/>
      <c r="F827" s="125"/>
      <c r="G827" s="125"/>
      <c r="H827" s="125"/>
      <c r="I827" s="125"/>
      <c r="J827" s="125"/>
      <c r="K827" s="125"/>
      <c r="L827" s="125"/>
      <c r="M827" s="125"/>
      <c r="N827" s="125"/>
      <c r="O827" s="125"/>
      <c r="P827" s="125"/>
      <c r="Q827" s="125"/>
      <c r="R827" s="125"/>
      <c r="S827" s="125"/>
      <c r="T827" s="125"/>
      <c r="U827" s="125"/>
      <c r="V827" s="125"/>
      <c r="W827" s="125"/>
      <c r="X827" s="125"/>
      <c r="Y827" s="125"/>
      <c r="Z827" s="125"/>
      <c r="AA827" s="125"/>
      <c r="AB827" s="125"/>
      <c r="AC827" s="125"/>
      <c r="AD827" s="125"/>
    </row>
    <row r="828">
      <c r="A828" s="124"/>
      <c r="B828" s="125"/>
      <c r="C828" s="125"/>
      <c r="D828" s="125"/>
      <c r="E828" s="125"/>
      <c r="F828" s="125"/>
      <c r="G828" s="125"/>
      <c r="H828" s="125"/>
      <c r="I828" s="125"/>
      <c r="J828" s="125"/>
      <c r="K828" s="125"/>
      <c r="L828" s="125"/>
      <c r="M828" s="125"/>
      <c r="N828" s="125"/>
      <c r="O828" s="125"/>
      <c r="P828" s="125"/>
      <c r="Q828" s="125"/>
      <c r="R828" s="125"/>
      <c r="S828" s="125"/>
      <c r="T828" s="125"/>
      <c r="U828" s="125"/>
      <c r="V828" s="125"/>
      <c r="W828" s="125"/>
      <c r="X828" s="125"/>
      <c r="Y828" s="125"/>
      <c r="Z828" s="125"/>
      <c r="AA828" s="125"/>
      <c r="AB828" s="125"/>
      <c r="AC828" s="125"/>
      <c r="AD828" s="125"/>
    </row>
    <row r="829">
      <c r="A829" s="124"/>
      <c r="B829" s="125"/>
      <c r="C829" s="125"/>
      <c r="D829" s="125"/>
      <c r="E829" s="125"/>
      <c r="F829" s="125"/>
      <c r="G829" s="125"/>
      <c r="H829" s="125"/>
      <c r="I829" s="125"/>
      <c r="J829" s="125"/>
      <c r="K829" s="125"/>
      <c r="L829" s="125"/>
      <c r="M829" s="125"/>
      <c r="N829" s="125"/>
      <c r="O829" s="125"/>
      <c r="P829" s="125"/>
      <c r="Q829" s="125"/>
      <c r="R829" s="125"/>
      <c r="S829" s="125"/>
      <c r="T829" s="125"/>
      <c r="U829" s="125"/>
      <c r="V829" s="125"/>
      <c r="W829" s="125"/>
      <c r="X829" s="125"/>
      <c r="Y829" s="125"/>
      <c r="Z829" s="125"/>
      <c r="AA829" s="125"/>
      <c r="AB829" s="125"/>
      <c r="AC829" s="125"/>
      <c r="AD829" s="125"/>
    </row>
    <row r="830">
      <c r="A830" s="124"/>
      <c r="B830" s="125"/>
      <c r="C830" s="125"/>
      <c r="D830" s="125"/>
      <c r="E830" s="125"/>
      <c r="F830" s="125"/>
      <c r="G830" s="125"/>
      <c r="H830" s="125"/>
      <c r="I830" s="125"/>
      <c r="J830" s="125"/>
      <c r="K830" s="125"/>
      <c r="L830" s="125"/>
      <c r="M830" s="125"/>
      <c r="N830" s="125"/>
      <c r="O830" s="125"/>
      <c r="P830" s="125"/>
      <c r="Q830" s="125"/>
      <c r="R830" s="125"/>
      <c r="S830" s="125"/>
      <c r="T830" s="125"/>
      <c r="U830" s="125"/>
      <c r="V830" s="125"/>
      <c r="W830" s="125"/>
      <c r="X830" s="125"/>
      <c r="Y830" s="125"/>
      <c r="Z830" s="125"/>
      <c r="AA830" s="125"/>
      <c r="AB830" s="125"/>
      <c r="AC830" s="125"/>
      <c r="AD830" s="125"/>
    </row>
    <row r="831">
      <c r="A831" s="124"/>
      <c r="B831" s="125"/>
      <c r="C831" s="125"/>
      <c r="D831" s="125"/>
      <c r="E831" s="125"/>
      <c r="F831" s="125"/>
      <c r="G831" s="125"/>
      <c r="H831" s="125"/>
      <c r="I831" s="125"/>
      <c r="J831" s="125"/>
      <c r="K831" s="125"/>
      <c r="L831" s="125"/>
      <c r="M831" s="125"/>
      <c r="N831" s="125"/>
      <c r="O831" s="125"/>
      <c r="P831" s="125"/>
      <c r="Q831" s="125"/>
      <c r="R831" s="125"/>
      <c r="S831" s="125"/>
      <c r="T831" s="125"/>
      <c r="U831" s="125"/>
      <c r="V831" s="125"/>
      <c r="W831" s="125"/>
      <c r="X831" s="125"/>
      <c r="Y831" s="125"/>
      <c r="Z831" s="125"/>
      <c r="AA831" s="125"/>
      <c r="AB831" s="125"/>
      <c r="AC831" s="125"/>
      <c r="AD831" s="125"/>
    </row>
    <row r="832">
      <c r="A832" s="124"/>
      <c r="B832" s="125"/>
      <c r="C832" s="125"/>
      <c r="D832" s="125"/>
      <c r="E832" s="125"/>
      <c r="F832" s="125"/>
      <c r="G832" s="125"/>
      <c r="H832" s="125"/>
      <c r="I832" s="125"/>
      <c r="J832" s="125"/>
      <c r="K832" s="125"/>
      <c r="L832" s="125"/>
      <c r="M832" s="125"/>
      <c r="N832" s="125"/>
      <c r="O832" s="125"/>
      <c r="P832" s="125"/>
      <c r="Q832" s="125"/>
      <c r="R832" s="125"/>
      <c r="S832" s="125"/>
      <c r="T832" s="125"/>
      <c r="U832" s="125"/>
      <c r="V832" s="125"/>
      <c r="W832" s="125"/>
      <c r="X832" s="125"/>
      <c r="Y832" s="125"/>
      <c r="Z832" s="125"/>
      <c r="AA832" s="125"/>
      <c r="AB832" s="125"/>
      <c r="AC832" s="125"/>
      <c r="AD832" s="125"/>
    </row>
    <row r="833">
      <c r="A833" s="124"/>
      <c r="B833" s="125"/>
      <c r="C833" s="125"/>
      <c r="D833" s="125"/>
      <c r="E833" s="125"/>
      <c r="F833" s="125"/>
      <c r="G833" s="125"/>
      <c r="H833" s="125"/>
      <c r="I833" s="125"/>
      <c r="J833" s="125"/>
      <c r="K833" s="125"/>
      <c r="L833" s="125"/>
      <c r="M833" s="125"/>
      <c r="N833" s="125"/>
      <c r="O833" s="125"/>
      <c r="P833" s="125"/>
      <c r="Q833" s="125"/>
      <c r="R833" s="125"/>
      <c r="S833" s="125"/>
      <c r="T833" s="125"/>
      <c r="U833" s="125"/>
      <c r="V833" s="125"/>
      <c r="W833" s="125"/>
      <c r="X833" s="125"/>
      <c r="Y833" s="125"/>
      <c r="Z833" s="125"/>
      <c r="AA833" s="125"/>
      <c r="AB833" s="125"/>
      <c r="AC833" s="125"/>
      <c r="AD833" s="125"/>
    </row>
    <row r="834">
      <c r="A834" s="124"/>
      <c r="B834" s="125"/>
      <c r="C834" s="125"/>
      <c r="D834" s="125"/>
      <c r="E834" s="125"/>
      <c r="F834" s="125"/>
      <c r="G834" s="125"/>
      <c r="H834" s="125"/>
      <c r="I834" s="125"/>
      <c r="J834" s="125"/>
      <c r="K834" s="125"/>
      <c r="L834" s="125"/>
      <c r="M834" s="125"/>
      <c r="N834" s="125"/>
      <c r="O834" s="125"/>
      <c r="P834" s="125"/>
      <c r="Q834" s="125"/>
      <c r="R834" s="125"/>
      <c r="S834" s="125"/>
      <c r="T834" s="125"/>
      <c r="U834" s="125"/>
      <c r="V834" s="125"/>
      <c r="W834" s="125"/>
      <c r="X834" s="125"/>
      <c r="Y834" s="125"/>
      <c r="Z834" s="125"/>
      <c r="AA834" s="125"/>
      <c r="AB834" s="125"/>
      <c r="AC834" s="125"/>
      <c r="AD834" s="125"/>
    </row>
    <row r="835">
      <c r="A835" s="124"/>
      <c r="B835" s="125"/>
      <c r="C835" s="125"/>
      <c r="D835" s="125"/>
      <c r="E835" s="125"/>
      <c r="F835" s="125"/>
      <c r="G835" s="125"/>
      <c r="H835" s="125"/>
      <c r="I835" s="125"/>
      <c r="J835" s="125"/>
      <c r="K835" s="125"/>
      <c r="L835" s="125"/>
      <c r="M835" s="125"/>
      <c r="N835" s="125"/>
      <c r="O835" s="125"/>
      <c r="P835" s="125"/>
      <c r="Q835" s="125"/>
      <c r="R835" s="125"/>
      <c r="S835" s="125"/>
      <c r="T835" s="125"/>
      <c r="U835" s="125"/>
      <c r="V835" s="125"/>
      <c r="W835" s="125"/>
      <c r="X835" s="125"/>
      <c r="Y835" s="125"/>
      <c r="Z835" s="125"/>
      <c r="AA835" s="125"/>
      <c r="AB835" s="125"/>
      <c r="AC835" s="125"/>
      <c r="AD835" s="125"/>
    </row>
    <row r="836">
      <c r="A836" s="124"/>
      <c r="B836" s="125"/>
      <c r="C836" s="125"/>
      <c r="D836" s="125"/>
      <c r="E836" s="125"/>
      <c r="F836" s="125"/>
      <c r="G836" s="125"/>
      <c r="H836" s="125"/>
      <c r="I836" s="125"/>
      <c r="J836" s="125"/>
      <c r="K836" s="125"/>
      <c r="L836" s="125"/>
      <c r="M836" s="125"/>
      <c r="N836" s="125"/>
      <c r="O836" s="125"/>
      <c r="P836" s="125"/>
      <c r="Q836" s="125"/>
      <c r="R836" s="125"/>
      <c r="S836" s="125"/>
      <c r="T836" s="125"/>
      <c r="U836" s="125"/>
      <c r="V836" s="125"/>
      <c r="W836" s="125"/>
      <c r="X836" s="125"/>
      <c r="Y836" s="125"/>
      <c r="Z836" s="125"/>
      <c r="AA836" s="125"/>
      <c r="AB836" s="125"/>
      <c r="AC836" s="125"/>
      <c r="AD836" s="125"/>
    </row>
    <row r="837">
      <c r="A837" s="124"/>
      <c r="B837" s="125"/>
      <c r="C837" s="125"/>
      <c r="D837" s="125"/>
      <c r="E837" s="125"/>
      <c r="F837" s="125"/>
      <c r="G837" s="125"/>
      <c r="H837" s="125"/>
      <c r="I837" s="125"/>
      <c r="J837" s="125"/>
      <c r="K837" s="125"/>
      <c r="L837" s="125"/>
      <c r="M837" s="125"/>
      <c r="N837" s="125"/>
      <c r="O837" s="125"/>
      <c r="P837" s="125"/>
      <c r="Q837" s="125"/>
      <c r="R837" s="125"/>
      <c r="S837" s="125"/>
      <c r="T837" s="125"/>
      <c r="U837" s="125"/>
      <c r="V837" s="125"/>
      <c r="W837" s="125"/>
      <c r="X837" s="125"/>
      <c r="Y837" s="125"/>
      <c r="Z837" s="125"/>
      <c r="AA837" s="125"/>
      <c r="AB837" s="125"/>
      <c r="AC837" s="125"/>
      <c r="AD837" s="125"/>
    </row>
    <row r="838">
      <c r="A838" s="124"/>
      <c r="B838" s="125"/>
      <c r="C838" s="125"/>
      <c r="D838" s="125"/>
      <c r="E838" s="125"/>
      <c r="F838" s="125"/>
      <c r="G838" s="125"/>
      <c r="H838" s="125"/>
      <c r="I838" s="125"/>
      <c r="J838" s="125"/>
      <c r="K838" s="125"/>
      <c r="L838" s="125"/>
      <c r="M838" s="125"/>
      <c r="N838" s="125"/>
      <c r="O838" s="125"/>
      <c r="P838" s="125"/>
      <c r="Q838" s="125"/>
      <c r="R838" s="125"/>
      <c r="S838" s="125"/>
      <c r="T838" s="125"/>
      <c r="U838" s="125"/>
      <c r="V838" s="125"/>
      <c r="W838" s="125"/>
      <c r="X838" s="125"/>
      <c r="Y838" s="125"/>
      <c r="Z838" s="125"/>
      <c r="AA838" s="125"/>
      <c r="AB838" s="125"/>
      <c r="AC838" s="125"/>
      <c r="AD838" s="125"/>
    </row>
    <row r="839">
      <c r="A839" s="124"/>
      <c r="B839" s="125"/>
      <c r="C839" s="125"/>
      <c r="D839" s="125"/>
      <c r="E839" s="125"/>
      <c r="F839" s="125"/>
      <c r="G839" s="125"/>
      <c r="H839" s="125"/>
      <c r="I839" s="125"/>
      <c r="J839" s="125"/>
      <c r="K839" s="125"/>
      <c r="L839" s="125"/>
      <c r="M839" s="125"/>
      <c r="N839" s="125"/>
      <c r="O839" s="125"/>
      <c r="P839" s="125"/>
      <c r="Q839" s="125"/>
      <c r="R839" s="125"/>
      <c r="S839" s="125"/>
      <c r="T839" s="125"/>
      <c r="U839" s="125"/>
      <c r="V839" s="125"/>
      <c r="W839" s="125"/>
      <c r="X839" s="125"/>
      <c r="Y839" s="125"/>
      <c r="Z839" s="125"/>
      <c r="AA839" s="125"/>
      <c r="AB839" s="125"/>
      <c r="AC839" s="125"/>
      <c r="AD839" s="125"/>
    </row>
    <row r="840">
      <c r="A840" s="124"/>
      <c r="B840" s="125"/>
      <c r="C840" s="125"/>
      <c r="D840" s="125"/>
      <c r="E840" s="125"/>
      <c r="F840" s="125"/>
      <c r="G840" s="125"/>
      <c r="H840" s="125"/>
      <c r="I840" s="125"/>
      <c r="J840" s="125"/>
      <c r="K840" s="125"/>
      <c r="L840" s="125"/>
      <c r="M840" s="125"/>
      <c r="N840" s="125"/>
      <c r="O840" s="125"/>
      <c r="P840" s="125"/>
      <c r="Q840" s="125"/>
      <c r="R840" s="125"/>
      <c r="S840" s="125"/>
      <c r="T840" s="125"/>
      <c r="U840" s="125"/>
      <c r="V840" s="125"/>
      <c r="W840" s="125"/>
      <c r="X840" s="125"/>
      <c r="Y840" s="125"/>
      <c r="Z840" s="125"/>
      <c r="AA840" s="125"/>
      <c r="AB840" s="125"/>
      <c r="AC840" s="125"/>
      <c r="AD840" s="125"/>
    </row>
    <row r="841">
      <c r="A841" s="124"/>
      <c r="B841" s="125"/>
      <c r="C841" s="125"/>
      <c r="D841" s="125"/>
      <c r="E841" s="125"/>
      <c r="F841" s="125"/>
      <c r="G841" s="125"/>
      <c r="H841" s="125"/>
      <c r="I841" s="125"/>
      <c r="J841" s="125"/>
      <c r="K841" s="125"/>
      <c r="L841" s="125"/>
      <c r="M841" s="125"/>
      <c r="N841" s="125"/>
      <c r="O841" s="125"/>
      <c r="P841" s="125"/>
      <c r="Q841" s="125"/>
      <c r="R841" s="125"/>
      <c r="S841" s="125"/>
      <c r="T841" s="125"/>
      <c r="U841" s="125"/>
      <c r="V841" s="125"/>
      <c r="W841" s="125"/>
      <c r="X841" s="125"/>
      <c r="Y841" s="125"/>
      <c r="Z841" s="125"/>
      <c r="AA841" s="125"/>
      <c r="AB841" s="125"/>
      <c r="AC841" s="125"/>
      <c r="AD841" s="125"/>
    </row>
    <row r="842">
      <c r="A842" s="124"/>
      <c r="B842" s="125"/>
      <c r="C842" s="125"/>
      <c r="D842" s="125"/>
      <c r="E842" s="125"/>
      <c r="F842" s="125"/>
      <c r="G842" s="125"/>
      <c r="H842" s="125"/>
      <c r="I842" s="125"/>
      <c r="J842" s="125"/>
      <c r="K842" s="125"/>
      <c r="L842" s="125"/>
      <c r="M842" s="125"/>
      <c r="N842" s="125"/>
      <c r="O842" s="125"/>
      <c r="P842" s="125"/>
      <c r="Q842" s="125"/>
      <c r="R842" s="125"/>
      <c r="S842" s="125"/>
      <c r="T842" s="125"/>
      <c r="U842" s="125"/>
      <c r="V842" s="125"/>
      <c r="W842" s="125"/>
      <c r="X842" s="125"/>
      <c r="Y842" s="125"/>
      <c r="Z842" s="125"/>
      <c r="AA842" s="125"/>
      <c r="AB842" s="125"/>
      <c r="AC842" s="125"/>
      <c r="AD842" s="125"/>
    </row>
    <row r="843">
      <c r="A843" s="124"/>
      <c r="B843" s="125"/>
      <c r="C843" s="125"/>
      <c r="D843" s="125"/>
      <c r="E843" s="125"/>
      <c r="F843" s="125"/>
      <c r="G843" s="125"/>
      <c r="H843" s="125"/>
      <c r="I843" s="125"/>
      <c r="J843" s="125"/>
      <c r="K843" s="125"/>
      <c r="L843" s="125"/>
      <c r="M843" s="125"/>
      <c r="N843" s="125"/>
      <c r="O843" s="125"/>
      <c r="P843" s="125"/>
      <c r="Q843" s="125"/>
      <c r="R843" s="125"/>
      <c r="S843" s="125"/>
      <c r="T843" s="125"/>
      <c r="U843" s="125"/>
      <c r="V843" s="125"/>
      <c r="W843" s="125"/>
      <c r="X843" s="125"/>
      <c r="Y843" s="125"/>
      <c r="Z843" s="125"/>
      <c r="AA843" s="125"/>
      <c r="AB843" s="125"/>
      <c r="AC843" s="125"/>
      <c r="AD843" s="125"/>
    </row>
    <row r="844">
      <c r="A844" s="124"/>
      <c r="B844" s="125"/>
      <c r="C844" s="125"/>
      <c r="D844" s="125"/>
      <c r="E844" s="125"/>
      <c r="F844" s="125"/>
      <c r="G844" s="125"/>
      <c r="H844" s="125"/>
      <c r="I844" s="125"/>
      <c r="J844" s="125"/>
      <c r="K844" s="125"/>
      <c r="L844" s="125"/>
      <c r="M844" s="125"/>
      <c r="N844" s="125"/>
      <c r="O844" s="125"/>
      <c r="P844" s="125"/>
      <c r="Q844" s="125"/>
      <c r="R844" s="125"/>
      <c r="S844" s="125"/>
      <c r="T844" s="125"/>
      <c r="U844" s="125"/>
      <c r="V844" s="125"/>
      <c r="W844" s="125"/>
      <c r="X844" s="125"/>
      <c r="Y844" s="125"/>
      <c r="Z844" s="125"/>
      <c r="AA844" s="125"/>
      <c r="AB844" s="125"/>
      <c r="AC844" s="125"/>
      <c r="AD844" s="125"/>
    </row>
    <row r="845">
      <c r="A845" s="124"/>
      <c r="B845" s="125"/>
      <c r="C845" s="125"/>
      <c r="D845" s="125"/>
      <c r="E845" s="125"/>
      <c r="F845" s="125"/>
      <c r="G845" s="125"/>
      <c r="H845" s="125"/>
      <c r="I845" s="125"/>
      <c r="J845" s="125"/>
      <c r="K845" s="125"/>
      <c r="L845" s="125"/>
      <c r="M845" s="125"/>
      <c r="N845" s="125"/>
      <c r="O845" s="125"/>
      <c r="P845" s="125"/>
      <c r="Q845" s="125"/>
      <c r="R845" s="125"/>
      <c r="S845" s="125"/>
      <c r="T845" s="125"/>
      <c r="U845" s="125"/>
      <c r="V845" s="125"/>
      <c r="W845" s="125"/>
      <c r="X845" s="125"/>
      <c r="Y845" s="125"/>
      <c r="Z845" s="125"/>
      <c r="AA845" s="125"/>
      <c r="AB845" s="125"/>
      <c r="AC845" s="125"/>
      <c r="AD845" s="125"/>
    </row>
    <row r="846">
      <c r="A846" s="124"/>
      <c r="B846" s="125"/>
      <c r="C846" s="125"/>
      <c r="D846" s="125"/>
      <c r="E846" s="125"/>
      <c r="F846" s="125"/>
      <c r="G846" s="125"/>
      <c r="H846" s="125"/>
      <c r="I846" s="125"/>
      <c r="J846" s="125"/>
      <c r="K846" s="125"/>
      <c r="L846" s="125"/>
      <c r="M846" s="125"/>
      <c r="N846" s="125"/>
      <c r="O846" s="125"/>
      <c r="P846" s="125"/>
      <c r="Q846" s="125"/>
      <c r="R846" s="125"/>
      <c r="S846" s="125"/>
      <c r="T846" s="125"/>
      <c r="U846" s="125"/>
      <c r="V846" s="125"/>
      <c r="W846" s="125"/>
      <c r="X846" s="125"/>
      <c r="Y846" s="125"/>
      <c r="Z846" s="125"/>
      <c r="AA846" s="125"/>
      <c r="AB846" s="125"/>
      <c r="AC846" s="125"/>
      <c r="AD846" s="125"/>
    </row>
    <row r="847">
      <c r="A847" s="124"/>
      <c r="B847" s="125"/>
      <c r="C847" s="125"/>
      <c r="D847" s="125"/>
      <c r="E847" s="125"/>
      <c r="F847" s="125"/>
      <c r="G847" s="125"/>
      <c r="H847" s="125"/>
      <c r="I847" s="125"/>
      <c r="J847" s="125"/>
      <c r="K847" s="125"/>
      <c r="L847" s="125"/>
      <c r="M847" s="125"/>
      <c r="N847" s="125"/>
      <c r="O847" s="125"/>
      <c r="P847" s="125"/>
      <c r="Q847" s="125"/>
      <c r="R847" s="125"/>
      <c r="S847" s="125"/>
      <c r="T847" s="125"/>
      <c r="U847" s="125"/>
      <c r="V847" s="125"/>
      <c r="W847" s="125"/>
      <c r="X847" s="125"/>
      <c r="Y847" s="125"/>
      <c r="Z847" s="125"/>
      <c r="AA847" s="125"/>
      <c r="AB847" s="125"/>
      <c r="AC847" s="125"/>
      <c r="AD847" s="125"/>
    </row>
    <row r="848">
      <c r="A848" s="124"/>
      <c r="B848" s="125"/>
      <c r="C848" s="125"/>
      <c r="D848" s="125"/>
      <c r="E848" s="125"/>
      <c r="F848" s="125"/>
      <c r="G848" s="125"/>
      <c r="H848" s="125"/>
      <c r="I848" s="125"/>
      <c r="J848" s="125"/>
      <c r="K848" s="125"/>
      <c r="L848" s="125"/>
      <c r="M848" s="125"/>
      <c r="N848" s="125"/>
      <c r="O848" s="125"/>
      <c r="P848" s="125"/>
      <c r="Q848" s="125"/>
      <c r="R848" s="125"/>
      <c r="S848" s="125"/>
      <c r="T848" s="125"/>
      <c r="U848" s="125"/>
      <c r="V848" s="125"/>
      <c r="W848" s="125"/>
      <c r="X848" s="125"/>
      <c r="Y848" s="125"/>
      <c r="Z848" s="125"/>
      <c r="AA848" s="125"/>
      <c r="AB848" s="125"/>
      <c r="AC848" s="125"/>
      <c r="AD848" s="125"/>
    </row>
    <row r="849">
      <c r="A849" s="124"/>
      <c r="B849" s="125"/>
      <c r="C849" s="125"/>
      <c r="D849" s="125"/>
      <c r="E849" s="125"/>
      <c r="F849" s="125"/>
      <c r="G849" s="125"/>
      <c r="H849" s="125"/>
      <c r="I849" s="125"/>
      <c r="J849" s="125"/>
      <c r="K849" s="125"/>
      <c r="L849" s="125"/>
      <c r="M849" s="125"/>
      <c r="N849" s="125"/>
      <c r="O849" s="125"/>
      <c r="P849" s="125"/>
      <c r="Q849" s="125"/>
      <c r="R849" s="125"/>
      <c r="S849" s="125"/>
      <c r="T849" s="125"/>
      <c r="U849" s="125"/>
      <c r="V849" s="125"/>
      <c r="W849" s="125"/>
      <c r="X849" s="125"/>
      <c r="Y849" s="125"/>
      <c r="Z849" s="125"/>
      <c r="AA849" s="125"/>
      <c r="AB849" s="125"/>
      <c r="AC849" s="125"/>
      <c r="AD849" s="125"/>
    </row>
    <row r="850">
      <c r="A850" s="124"/>
      <c r="B850" s="125"/>
      <c r="C850" s="125"/>
      <c r="D850" s="125"/>
      <c r="E850" s="125"/>
      <c r="F850" s="125"/>
      <c r="G850" s="125"/>
      <c r="H850" s="125"/>
      <c r="I850" s="125"/>
      <c r="J850" s="125"/>
      <c r="K850" s="125"/>
      <c r="L850" s="125"/>
      <c r="M850" s="125"/>
      <c r="N850" s="125"/>
      <c r="O850" s="125"/>
      <c r="P850" s="125"/>
      <c r="Q850" s="125"/>
      <c r="R850" s="125"/>
      <c r="S850" s="125"/>
      <c r="T850" s="125"/>
      <c r="U850" s="125"/>
      <c r="V850" s="125"/>
      <c r="W850" s="125"/>
      <c r="X850" s="125"/>
      <c r="Y850" s="125"/>
      <c r="Z850" s="125"/>
      <c r="AA850" s="125"/>
      <c r="AB850" s="125"/>
      <c r="AC850" s="125"/>
      <c r="AD850" s="125"/>
    </row>
    <row r="851">
      <c r="A851" s="124"/>
      <c r="B851" s="125"/>
      <c r="C851" s="125"/>
      <c r="D851" s="125"/>
      <c r="E851" s="125"/>
      <c r="F851" s="125"/>
      <c r="G851" s="125"/>
      <c r="H851" s="125"/>
      <c r="I851" s="125"/>
      <c r="J851" s="125"/>
      <c r="K851" s="125"/>
      <c r="L851" s="125"/>
      <c r="M851" s="125"/>
      <c r="N851" s="125"/>
      <c r="O851" s="125"/>
      <c r="P851" s="125"/>
      <c r="Q851" s="125"/>
      <c r="R851" s="125"/>
      <c r="S851" s="125"/>
      <c r="T851" s="125"/>
      <c r="U851" s="125"/>
      <c r="V851" s="125"/>
      <c r="W851" s="125"/>
      <c r="X851" s="125"/>
      <c r="Y851" s="125"/>
      <c r="Z851" s="125"/>
      <c r="AA851" s="125"/>
      <c r="AB851" s="125"/>
      <c r="AC851" s="125"/>
      <c r="AD851" s="125"/>
    </row>
    <row r="852">
      <c r="A852" s="124"/>
      <c r="B852" s="125"/>
      <c r="C852" s="125"/>
      <c r="D852" s="125"/>
      <c r="E852" s="125"/>
      <c r="F852" s="125"/>
      <c r="G852" s="125"/>
      <c r="H852" s="125"/>
      <c r="I852" s="125"/>
      <c r="J852" s="125"/>
      <c r="K852" s="125"/>
      <c r="L852" s="125"/>
      <c r="M852" s="125"/>
      <c r="N852" s="125"/>
      <c r="O852" s="125"/>
      <c r="P852" s="125"/>
      <c r="Q852" s="125"/>
      <c r="R852" s="125"/>
      <c r="S852" s="125"/>
      <c r="T852" s="125"/>
      <c r="U852" s="125"/>
      <c r="V852" s="125"/>
      <c r="W852" s="125"/>
      <c r="X852" s="125"/>
      <c r="Y852" s="125"/>
      <c r="Z852" s="125"/>
      <c r="AA852" s="125"/>
      <c r="AB852" s="125"/>
      <c r="AC852" s="125"/>
      <c r="AD852" s="125"/>
    </row>
    <row r="853">
      <c r="A853" s="124"/>
      <c r="B853" s="125"/>
      <c r="C853" s="125"/>
      <c r="D853" s="125"/>
      <c r="E853" s="125"/>
      <c r="F853" s="125"/>
      <c r="G853" s="125"/>
      <c r="H853" s="125"/>
      <c r="I853" s="125"/>
      <c r="J853" s="125"/>
      <c r="K853" s="125"/>
      <c r="L853" s="125"/>
      <c r="M853" s="125"/>
      <c r="N853" s="125"/>
      <c r="O853" s="125"/>
      <c r="P853" s="125"/>
      <c r="Q853" s="125"/>
      <c r="R853" s="125"/>
      <c r="S853" s="125"/>
      <c r="T853" s="125"/>
      <c r="U853" s="125"/>
      <c r="V853" s="125"/>
      <c r="W853" s="125"/>
      <c r="X853" s="125"/>
      <c r="Y853" s="125"/>
      <c r="Z853" s="125"/>
      <c r="AA853" s="125"/>
      <c r="AB853" s="125"/>
      <c r="AC853" s="125"/>
      <c r="AD853" s="125"/>
    </row>
    <row r="854">
      <c r="A854" s="124"/>
      <c r="B854" s="125"/>
      <c r="C854" s="125"/>
      <c r="D854" s="125"/>
      <c r="E854" s="125"/>
      <c r="F854" s="125"/>
      <c r="G854" s="125"/>
      <c r="H854" s="125"/>
      <c r="I854" s="125"/>
      <c r="J854" s="125"/>
      <c r="K854" s="125"/>
      <c r="L854" s="125"/>
      <c r="M854" s="125"/>
      <c r="N854" s="125"/>
      <c r="O854" s="125"/>
      <c r="P854" s="125"/>
      <c r="Q854" s="125"/>
      <c r="R854" s="125"/>
      <c r="S854" s="125"/>
      <c r="T854" s="125"/>
      <c r="U854" s="125"/>
      <c r="V854" s="125"/>
      <c r="W854" s="125"/>
      <c r="X854" s="125"/>
      <c r="Y854" s="125"/>
      <c r="Z854" s="125"/>
      <c r="AA854" s="125"/>
      <c r="AB854" s="125"/>
      <c r="AC854" s="125"/>
      <c r="AD854" s="125"/>
    </row>
    <row r="855">
      <c r="A855" s="124"/>
      <c r="B855" s="125"/>
      <c r="C855" s="125"/>
      <c r="D855" s="125"/>
      <c r="E855" s="125"/>
      <c r="F855" s="125"/>
      <c r="G855" s="125"/>
      <c r="H855" s="125"/>
      <c r="I855" s="125"/>
      <c r="J855" s="125"/>
      <c r="K855" s="125"/>
      <c r="L855" s="125"/>
      <c r="M855" s="125"/>
      <c r="N855" s="125"/>
      <c r="O855" s="125"/>
      <c r="P855" s="125"/>
      <c r="Q855" s="125"/>
      <c r="R855" s="125"/>
      <c r="S855" s="125"/>
      <c r="T855" s="125"/>
      <c r="U855" s="125"/>
      <c r="V855" s="125"/>
      <c r="W855" s="125"/>
      <c r="X855" s="125"/>
      <c r="Y855" s="125"/>
      <c r="Z855" s="125"/>
      <c r="AA855" s="125"/>
      <c r="AB855" s="125"/>
      <c r="AC855" s="125"/>
      <c r="AD855" s="125"/>
    </row>
    <row r="856">
      <c r="A856" s="124"/>
      <c r="B856" s="125"/>
      <c r="C856" s="125"/>
      <c r="D856" s="125"/>
      <c r="E856" s="125"/>
      <c r="F856" s="125"/>
      <c r="G856" s="125"/>
      <c r="H856" s="125"/>
      <c r="I856" s="125"/>
      <c r="J856" s="125"/>
      <c r="K856" s="125"/>
      <c r="L856" s="125"/>
      <c r="M856" s="125"/>
      <c r="N856" s="125"/>
      <c r="O856" s="125"/>
      <c r="P856" s="125"/>
      <c r="Q856" s="125"/>
      <c r="R856" s="125"/>
      <c r="S856" s="125"/>
      <c r="T856" s="125"/>
      <c r="U856" s="125"/>
      <c r="V856" s="125"/>
      <c r="W856" s="125"/>
      <c r="X856" s="125"/>
      <c r="Y856" s="125"/>
      <c r="Z856" s="125"/>
      <c r="AA856" s="125"/>
      <c r="AB856" s="125"/>
      <c r="AC856" s="125"/>
      <c r="AD856" s="125"/>
    </row>
    <row r="857">
      <c r="A857" s="124"/>
      <c r="B857" s="125"/>
      <c r="C857" s="125"/>
      <c r="D857" s="125"/>
      <c r="E857" s="125"/>
      <c r="F857" s="125"/>
      <c r="G857" s="125"/>
      <c r="H857" s="125"/>
      <c r="I857" s="125"/>
      <c r="J857" s="125"/>
      <c r="K857" s="125"/>
      <c r="L857" s="125"/>
      <c r="M857" s="125"/>
      <c r="N857" s="125"/>
      <c r="O857" s="125"/>
      <c r="P857" s="125"/>
      <c r="Q857" s="125"/>
      <c r="R857" s="125"/>
      <c r="S857" s="125"/>
      <c r="T857" s="125"/>
      <c r="U857" s="125"/>
      <c r="V857" s="125"/>
      <c r="W857" s="125"/>
      <c r="X857" s="125"/>
      <c r="Y857" s="125"/>
      <c r="Z857" s="125"/>
      <c r="AA857" s="125"/>
      <c r="AB857" s="125"/>
      <c r="AC857" s="125"/>
      <c r="AD857" s="125"/>
    </row>
    <row r="858">
      <c r="A858" s="124"/>
      <c r="B858" s="125"/>
      <c r="C858" s="125"/>
      <c r="D858" s="125"/>
      <c r="E858" s="125"/>
      <c r="F858" s="125"/>
      <c r="G858" s="125"/>
      <c r="H858" s="125"/>
      <c r="I858" s="125"/>
      <c r="J858" s="125"/>
      <c r="K858" s="125"/>
      <c r="L858" s="125"/>
      <c r="M858" s="125"/>
      <c r="N858" s="125"/>
      <c r="O858" s="125"/>
      <c r="P858" s="125"/>
      <c r="Q858" s="125"/>
      <c r="R858" s="125"/>
      <c r="S858" s="125"/>
      <c r="T858" s="125"/>
      <c r="U858" s="125"/>
      <c r="V858" s="125"/>
      <c r="W858" s="125"/>
      <c r="X858" s="125"/>
      <c r="Y858" s="125"/>
      <c r="Z858" s="125"/>
      <c r="AA858" s="125"/>
      <c r="AB858" s="125"/>
      <c r="AC858" s="125"/>
      <c r="AD858" s="125"/>
    </row>
    <row r="859">
      <c r="A859" s="124"/>
      <c r="B859" s="125"/>
      <c r="C859" s="125"/>
      <c r="D859" s="125"/>
      <c r="E859" s="125"/>
      <c r="F859" s="125"/>
      <c r="G859" s="125"/>
      <c r="H859" s="125"/>
      <c r="I859" s="125"/>
      <c r="J859" s="125"/>
      <c r="K859" s="125"/>
      <c r="L859" s="125"/>
      <c r="M859" s="125"/>
      <c r="N859" s="125"/>
      <c r="O859" s="125"/>
      <c r="P859" s="125"/>
      <c r="Q859" s="125"/>
      <c r="R859" s="125"/>
      <c r="S859" s="125"/>
      <c r="T859" s="125"/>
      <c r="U859" s="125"/>
      <c r="V859" s="125"/>
      <c r="W859" s="125"/>
      <c r="X859" s="125"/>
      <c r="Y859" s="125"/>
      <c r="Z859" s="125"/>
      <c r="AA859" s="125"/>
      <c r="AB859" s="125"/>
      <c r="AC859" s="125"/>
      <c r="AD859" s="125"/>
    </row>
    <row r="860">
      <c r="A860" s="124"/>
      <c r="B860" s="125"/>
      <c r="C860" s="125"/>
      <c r="D860" s="125"/>
      <c r="E860" s="125"/>
      <c r="F860" s="125"/>
      <c r="G860" s="125"/>
      <c r="H860" s="125"/>
      <c r="I860" s="125"/>
      <c r="J860" s="125"/>
      <c r="K860" s="125"/>
      <c r="L860" s="125"/>
      <c r="M860" s="125"/>
      <c r="N860" s="125"/>
      <c r="O860" s="125"/>
      <c r="P860" s="125"/>
      <c r="Q860" s="125"/>
      <c r="R860" s="125"/>
      <c r="S860" s="125"/>
      <c r="T860" s="125"/>
      <c r="U860" s="125"/>
      <c r="V860" s="125"/>
      <c r="W860" s="125"/>
      <c r="X860" s="125"/>
      <c r="Y860" s="125"/>
      <c r="Z860" s="125"/>
      <c r="AA860" s="125"/>
      <c r="AB860" s="125"/>
      <c r="AC860" s="125"/>
      <c r="AD860" s="125"/>
    </row>
    <row r="861">
      <c r="A861" s="124"/>
      <c r="B861" s="125"/>
      <c r="C861" s="125"/>
      <c r="D861" s="125"/>
      <c r="E861" s="125"/>
      <c r="F861" s="125"/>
      <c r="G861" s="125"/>
      <c r="H861" s="125"/>
      <c r="I861" s="125"/>
      <c r="J861" s="125"/>
      <c r="K861" s="125"/>
      <c r="L861" s="125"/>
      <c r="M861" s="125"/>
      <c r="N861" s="125"/>
      <c r="O861" s="125"/>
      <c r="P861" s="125"/>
      <c r="Q861" s="125"/>
      <c r="R861" s="125"/>
      <c r="S861" s="125"/>
      <c r="T861" s="125"/>
      <c r="U861" s="125"/>
      <c r="V861" s="125"/>
      <c r="W861" s="125"/>
      <c r="X861" s="125"/>
      <c r="Y861" s="125"/>
      <c r="Z861" s="125"/>
      <c r="AA861" s="125"/>
      <c r="AB861" s="125"/>
      <c r="AC861" s="125"/>
      <c r="AD861" s="125"/>
    </row>
    <row r="862">
      <c r="A862" s="124"/>
      <c r="B862" s="125"/>
      <c r="C862" s="125"/>
      <c r="D862" s="125"/>
      <c r="E862" s="125"/>
      <c r="F862" s="125"/>
      <c r="G862" s="125"/>
      <c r="H862" s="125"/>
      <c r="I862" s="125"/>
      <c r="J862" s="125"/>
      <c r="K862" s="125"/>
      <c r="L862" s="125"/>
      <c r="M862" s="125"/>
      <c r="N862" s="125"/>
      <c r="O862" s="125"/>
      <c r="P862" s="125"/>
      <c r="Q862" s="125"/>
      <c r="R862" s="125"/>
      <c r="S862" s="125"/>
      <c r="T862" s="125"/>
      <c r="U862" s="125"/>
      <c r="V862" s="125"/>
      <c r="W862" s="125"/>
      <c r="X862" s="125"/>
      <c r="Y862" s="125"/>
      <c r="Z862" s="125"/>
      <c r="AA862" s="125"/>
      <c r="AB862" s="125"/>
      <c r="AC862" s="125"/>
      <c r="AD862" s="125"/>
    </row>
    <row r="863">
      <c r="A863" s="124"/>
      <c r="B863" s="125"/>
      <c r="C863" s="125"/>
      <c r="D863" s="125"/>
      <c r="E863" s="125"/>
      <c r="F863" s="125"/>
      <c r="G863" s="125"/>
      <c r="H863" s="125"/>
      <c r="I863" s="125"/>
      <c r="J863" s="125"/>
      <c r="K863" s="125"/>
      <c r="L863" s="125"/>
      <c r="M863" s="125"/>
      <c r="N863" s="125"/>
      <c r="O863" s="125"/>
      <c r="P863" s="125"/>
      <c r="Q863" s="125"/>
      <c r="R863" s="125"/>
      <c r="S863" s="125"/>
      <c r="T863" s="125"/>
      <c r="U863" s="125"/>
      <c r="V863" s="125"/>
      <c r="W863" s="125"/>
      <c r="X863" s="125"/>
      <c r="Y863" s="125"/>
      <c r="Z863" s="125"/>
      <c r="AA863" s="125"/>
      <c r="AB863" s="125"/>
      <c r="AC863" s="125"/>
      <c r="AD863" s="125"/>
    </row>
    <row r="864">
      <c r="A864" s="124"/>
      <c r="B864" s="125"/>
      <c r="C864" s="125"/>
      <c r="D864" s="125"/>
      <c r="E864" s="125"/>
      <c r="F864" s="125"/>
      <c r="G864" s="125"/>
      <c r="H864" s="125"/>
      <c r="I864" s="125"/>
      <c r="J864" s="125"/>
      <c r="K864" s="125"/>
      <c r="L864" s="125"/>
      <c r="M864" s="125"/>
      <c r="N864" s="125"/>
      <c r="O864" s="125"/>
      <c r="P864" s="125"/>
      <c r="Q864" s="125"/>
      <c r="R864" s="125"/>
      <c r="S864" s="125"/>
      <c r="T864" s="125"/>
      <c r="U864" s="125"/>
      <c r="V864" s="125"/>
      <c r="W864" s="125"/>
      <c r="X864" s="125"/>
      <c r="Y864" s="125"/>
      <c r="Z864" s="125"/>
      <c r="AA864" s="125"/>
      <c r="AB864" s="125"/>
      <c r="AC864" s="125"/>
      <c r="AD864" s="125"/>
    </row>
    <row r="865">
      <c r="A865" s="124"/>
      <c r="B865" s="125"/>
      <c r="C865" s="125"/>
      <c r="D865" s="125"/>
      <c r="E865" s="125"/>
      <c r="F865" s="125"/>
      <c r="G865" s="125"/>
      <c r="H865" s="125"/>
      <c r="I865" s="125"/>
      <c r="J865" s="125"/>
      <c r="K865" s="125"/>
      <c r="L865" s="125"/>
      <c r="M865" s="125"/>
      <c r="N865" s="125"/>
      <c r="O865" s="125"/>
      <c r="P865" s="125"/>
      <c r="Q865" s="125"/>
      <c r="R865" s="125"/>
      <c r="S865" s="125"/>
      <c r="T865" s="125"/>
      <c r="U865" s="125"/>
      <c r="V865" s="125"/>
      <c r="W865" s="125"/>
      <c r="X865" s="125"/>
      <c r="Y865" s="125"/>
      <c r="Z865" s="125"/>
      <c r="AA865" s="125"/>
      <c r="AB865" s="125"/>
      <c r="AC865" s="125"/>
      <c r="AD865" s="125"/>
    </row>
    <row r="866">
      <c r="A866" s="124"/>
      <c r="B866" s="125"/>
      <c r="C866" s="125"/>
      <c r="D866" s="125"/>
      <c r="E866" s="125"/>
      <c r="F866" s="125"/>
      <c r="G866" s="125"/>
      <c r="H866" s="125"/>
      <c r="I866" s="125"/>
      <c r="J866" s="125"/>
      <c r="K866" s="125"/>
      <c r="L866" s="125"/>
      <c r="M866" s="125"/>
      <c r="N866" s="125"/>
      <c r="O866" s="125"/>
      <c r="P866" s="125"/>
      <c r="Q866" s="125"/>
      <c r="R866" s="125"/>
      <c r="S866" s="125"/>
      <c r="T866" s="125"/>
      <c r="U866" s="125"/>
      <c r="V866" s="125"/>
      <c r="W866" s="125"/>
      <c r="X866" s="125"/>
      <c r="Y866" s="125"/>
      <c r="Z866" s="125"/>
      <c r="AA866" s="125"/>
      <c r="AB866" s="125"/>
      <c r="AC866" s="125"/>
      <c r="AD866" s="125"/>
    </row>
    <row r="867">
      <c r="A867" s="124"/>
      <c r="B867" s="125"/>
      <c r="C867" s="125"/>
      <c r="D867" s="125"/>
      <c r="E867" s="125"/>
      <c r="F867" s="125"/>
      <c r="G867" s="125"/>
      <c r="H867" s="125"/>
      <c r="I867" s="125"/>
      <c r="J867" s="125"/>
      <c r="K867" s="125"/>
      <c r="L867" s="125"/>
      <c r="M867" s="125"/>
      <c r="N867" s="125"/>
      <c r="O867" s="125"/>
      <c r="P867" s="125"/>
      <c r="Q867" s="125"/>
      <c r="R867" s="125"/>
      <c r="S867" s="125"/>
      <c r="T867" s="125"/>
      <c r="U867" s="125"/>
      <c r="V867" s="125"/>
      <c r="W867" s="125"/>
      <c r="X867" s="125"/>
      <c r="Y867" s="125"/>
      <c r="Z867" s="125"/>
      <c r="AA867" s="125"/>
      <c r="AB867" s="125"/>
      <c r="AC867" s="125"/>
      <c r="AD867" s="125"/>
    </row>
    <row r="868">
      <c r="A868" s="124"/>
      <c r="B868" s="125"/>
      <c r="C868" s="125"/>
      <c r="D868" s="125"/>
      <c r="E868" s="125"/>
      <c r="F868" s="125"/>
      <c r="G868" s="125"/>
      <c r="H868" s="125"/>
      <c r="I868" s="125"/>
      <c r="J868" s="125"/>
      <c r="K868" s="125"/>
      <c r="L868" s="125"/>
      <c r="M868" s="125"/>
      <c r="N868" s="125"/>
      <c r="O868" s="125"/>
      <c r="P868" s="125"/>
      <c r="Q868" s="125"/>
      <c r="R868" s="125"/>
      <c r="S868" s="125"/>
      <c r="T868" s="125"/>
      <c r="U868" s="125"/>
      <c r="V868" s="125"/>
      <c r="W868" s="125"/>
      <c r="X868" s="125"/>
      <c r="Y868" s="125"/>
      <c r="Z868" s="125"/>
      <c r="AA868" s="125"/>
      <c r="AB868" s="125"/>
      <c r="AC868" s="125"/>
      <c r="AD868" s="125"/>
    </row>
    <row r="869">
      <c r="A869" s="124"/>
      <c r="B869" s="125"/>
      <c r="C869" s="125"/>
      <c r="D869" s="125"/>
      <c r="E869" s="125"/>
      <c r="F869" s="125"/>
      <c r="G869" s="125"/>
      <c r="H869" s="125"/>
      <c r="I869" s="125"/>
      <c r="J869" s="125"/>
      <c r="K869" s="125"/>
      <c r="L869" s="125"/>
      <c r="M869" s="125"/>
      <c r="N869" s="125"/>
      <c r="O869" s="125"/>
      <c r="P869" s="125"/>
      <c r="Q869" s="125"/>
      <c r="R869" s="125"/>
      <c r="S869" s="125"/>
      <c r="T869" s="125"/>
      <c r="U869" s="125"/>
      <c r="V869" s="125"/>
      <c r="W869" s="125"/>
      <c r="X869" s="125"/>
      <c r="Y869" s="125"/>
      <c r="Z869" s="125"/>
      <c r="AA869" s="125"/>
      <c r="AB869" s="125"/>
      <c r="AC869" s="125"/>
      <c r="AD869" s="125"/>
    </row>
    <row r="870">
      <c r="A870" s="124"/>
      <c r="B870" s="125"/>
      <c r="C870" s="125"/>
      <c r="D870" s="125"/>
      <c r="E870" s="125"/>
      <c r="F870" s="125"/>
      <c r="G870" s="125"/>
      <c r="H870" s="125"/>
      <c r="I870" s="125"/>
      <c r="J870" s="125"/>
      <c r="K870" s="125"/>
      <c r="L870" s="125"/>
      <c r="M870" s="125"/>
      <c r="N870" s="125"/>
      <c r="O870" s="125"/>
      <c r="P870" s="125"/>
      <c r="Q870" s="125"/>
      <c r="R870" s="125"/>
      <c r="S870" s="125"/>
      <c r="T870" s="125"/>
      <c r="U870" s="125"/>
      <c r="V870" s="125"/>
      <c r="W870" s="125"/>
      <c r="X870" s="125"/>
      <c r="Y870" s="125"/>
      <c r="Z870" s="125"/>
      <c r="AA870" s="125"/>
      <c r="AB870" s="125"/>
      <c r="AC870" s="125"/>
      <c r="AD870" s="125"/>
    </row>
    <row r="871">
      <c r="A871" s="124"/>
      <c r="B871" s="125"/>
      <c r="C871" s="125"/>
      <c r="D871" s="125"/>
      <c r="E871" s="125"/>
      <c r="F871" s="125"/>
      <c r="G871" s="125"/>
      <c r="H871" s="125"/>
      <c r="I871" s="125"/>
      <c r="J871" s="125"/>
      <c r="K871" s="125"/>
      <c r="L871" s="125"/>
      <c r="M871" s="125"/>
      <c r="N871" s="125"/>
      <c r="O871" s="125"/>
      <c r="P871" s="125"/>
      <c r="Q871" s="125"/>
      <c r="R871" s="125"/>
      <c r="S871" s="125"/>
      <c r="T871" s="125"/>
      <c r="U871" s="125"/>
      <c r="V871" s="125"/>
      <c r="W871" s="125"/>
      <c r="X871" s="125"/>
      <c r="Y871" s="125"/>
      <c r="Z871" s="125"/>
      <c r="AA871" s="125"/>
      <c r="AB871" s="125"/>
      <c r="AC871" s="125"/>
      <c r="AD871" s="125"/>
    </row>
    <row r="872">
      <c r="A872" s="124"/>
      <c r="B872" s="125"/>
      <c r="C872" s="125"/>
      <c r="D872" s="125"/>
      <c r="E872" s="125"/>
      <c r="F872" s="125"/>
      <c r="G872" s="125"/>
      <c r="H872" s="125"/>
      <c r="I872" s="125"/>
      <c r="J872" s="125"/>
      <c r="K872" s="125"/>
      <c r="L872" s="125"/>
      <c r="M872" s="125"/>
      <c r="N872" s="125"/>
      <c r="O872" s="125"/>
      <c r="P872" s="125"/>
      <c r="Q872" s="125"/>
      <c r="R872" s="125"/>
      <c r="S872" s="125"/>
      <c r="T872" s="125"/>
      <c r="U872" s="125"/>
      <c r="V872" s="125"/>
      <c r="W872" s="125"/>
      <c r="X872" s="125"/>
      <c r="Y872" s="125"/>
      <c r="Z872" s="125"/>
      <c r="AA872" s="125"/>
      <c r="AB872" s="125"/>
      <c r="AC872" s="125"/>
      <c r="AD872" s="125"/>
    </row>
    <row r="873">
      <c r="A873" s="124"/>
      <c r="B873" s="125"/>
      <c r="C873" s="125"/>
      <c r="D873" s="125"/>
      <c r="E873" s="125"/>
      <c r="F873" s="125"/>
      <c r="G873" s="125"/>
      <c r="H873" s="125"/>
      <c r="I873" s="125"/>
      <c r="J873" s="125"/>
      <c r="K873" s="125"/>
      <c r="L873" s="125"/>
      <c r="M873" s="125"/>
      <c r="N873" s="125"/>
      <c r="O873" s="125"/>
      <c r="P873" s="125"/>
      <c r="Q873" s="125"/>
      <c r="R873" s="125"/>
      <c r="S873" s="125"/>
      <c r="T873" s="125"/>
      <c r="U873" s="125"/>
      <c r="V873" s="125"/>
      <c r="W873" s="125"/>
      <c r="X873" s="125"/>
      <c r="Y873" s="125"/>
      <c r="Z873" s="125"/>
      <c r="AA873" s="125"/>
      <c r="AB873" s="125"/>
      <c r="AC873" s="125"/>
      <c r="AD873" s="125"/>
    </row>
    <row r="874">
      <c r="A874" s="124"/>
      <c r="B874" s="125"/>
      <c r="C874" s="125"/>
      <c r="D874" s="125"/>
      <c r="E874" s="125"/>
      <c r="F874" s="125"/>
      <c r="G874" s="125"/>
      <c r="H874" s="125"/>
      <c r="I874" s="125"/>
      <c r="J874" s="125"/>
      <c r="K874" s="125"/>
      <c r="L874" s="125"/>
      <c r="M874" s="125"/>
      <c r="N874" s="125"/>
      <c r="O874" s="125"/>
      <c r="P874" s="125"/>
      <c r="Q874" s="125"/>
      <c r="R874" s="125"/>
      <c r="S874" s="125"/>
      <c r="T874" s="125"/>
      <c r="U874" s="125"/>
      <c r="V874" s="125"/>
      <c r="W874" s="125"/>
      <c r="X874" s="125"/>
      <c r="Y874" s="125"/>
      <c r="Z874" s="125"/>
      <c r="AA874" s="125"/>
      <c r="AB874" s="125"/>
      <c r="AC874" s="125"/>
      <c r="AD874" s="125"/>
    </row>
    <row r="875">
      <c r="A875" s="124"/>
      <c r="B875" s="125"/>
      <c r="C875" s="125"/>
      <c r="D875" s="125"/>
      <c r="E875" s="125"/>
      <c r="F875" s="125"/>
      <c r="G875" s="125"/>
      <c r="H875" s="125"/>
      <c r="I875" s="125"/>
      <c r="J875" s="125"/>
      <c r="K875" s="125"/>
      <c r="L875" s="125"/>
      <c r="M875" s="125"/>
      <c r="N875" s="125"/>
      <c r="O875" s="125"/>
      <c r="P875" s="125"/>
      <c r="Q875" s="125"/>
      <c r="R875" s="125"/>
      <c r="S875" s="125"/>
      <c r="T875" s="125"/>
      <c r="U875" s="125"/>
      <c r="V875" s="125"/>
      <c r="W875" s="125"/>
      <c r="X875" s="125"/>
      <c r="Y875" s="125"/>
      <c r="Z875" s="125"/>
      <c r="AA875" s="125"/>
      <c r="AB875" s="125"/>
      <c r="AC875" s="125"/>
      <c r="AD875" s="125"/>
    </row>
    <row r="876">
      <c r="A876" s="124"/>
      <c r="B876" s="125"/>
      <c r="C876" s="125"/>
      <c r="D876" s="125"/>
      <c r="E876" s="125"/>
      <c r="F876" s="125"/>
      <c r="G876" s="125"/>
      <c r="H876" s="125"/>
      <c r="I876" s="125"/>
      <c r="J876" s="125"/>
      <c r="K876" s="125"/>
      <c r="L876" s="125"/>
      <c r="M876" s="125"/>
      <c r="N876" s="125"/>
      <c r="O876" s="125"/>
      <c r="P876" s="125"/>
      <c r="Q876" s="125"/>
      <c r="R876" s="125"/>
      <c r="S876" s="125"/>
      <c r="T876" s="125"/>
      <c r="U876" s="125"/>
      <c r="V876" s="125"/>
      <c r="W876" s="125"/>
      <c r="X876" s="125"/>
      <c r="Y876" s="125"/>
      <c r="Z876" s="125"/>
      <c r="AA876" s="125"/>
      <c r="AB876" s="125"/>
      <c r="AC876" s="125"/>
      <c r="AD876" s="125"/>
    </row>
    <row r="877">
      <c r="A877" s="124"/>
      <c r="B877" s="125"/>
      <c r="C877" s="125"/>
      <c r="D877" s="125"/>
      <c r="E877" s="125"/>
      <c r="F877" s="125"/>
      <c r="G877" s="125"/>
      <c r="H877" s="125"/>
      <c r="I877" s="125"/>
      <c r="J877" s="125"/>
      <c r="K877" s="125"/>
      <c r="L877" s="125"/>
      <c r="M877" s="125"/>
      <c r="N877" s="125"/>
      <c r="O877" s="125"/>
      <c r="P877" s="125"/>
      <c r="Q877" s="125"/>
      <c r="R877" s="125"/>
      <c r="S877" s="125"/>
      <c r="T877" s="125"/>
      <c r="U877" s="125"/>
      <c r="V877" s="125"/>
      <c r="W877" s="125"/>
      <c r="X877" s="125"/>
      <c r="Y877" s="125"/>
      <c r="Z877" s="125"/>
      <c r="AA877" s="125"/>
      <c r="AB877" s="125"/>
      <c r="AC877" s="125"/>
      <c r="AD877" s="125"/>
    </row>
    <row r="878">
      <c r="A878" s="124"/>
      <c r="B878" s="125"/>
      <c r="C878" s="125"/>
      <c r="D878" s="125"/>
      <c r="E878" s="125"/>
      <c r="F878" s="125"/>
      <c r="G878" s="125"/>
      <c r="H878" s="125"/>
      <c r="I878" s="125"/>
      <c r="J878" s="125"/>
      <c r="K878" s="125"/>
      <c r="L878" s="125"/>
      <c r="M878" s="125"/>
      <c r="N878" s="125"/>
      <c r="O878" s="125"/>
      <c r="P878" s="125"/>
      <c r="Q878" s="125"/>
      <c r="R878" s="125"/>
      <c r="S878" s="125"/>
      <c r="T878" s="125"/>
      <c r="U878" s="125"/>
      <c r="V878" s="125"/>
      <c r="W878" s="125"/>
      <c r="X878" s="125"/>
      <c r="Y878" s="125"/>
      <c r="Z878" s="125"/>
      <c r="AA878" s="125"/>
      <c r="AB878" s="125"/>
      <c r="AC878" s="125"/>
      <c r="AD878" s="125"/>
    </row>
    <row r="879">
      <c r="A879" s="124"/>
      <c r="B879" s="125"/>
      <c r="C879" s="125"/>
      <c r="D879" s="125"/>
      <c r="E879" s="125"/>
      <c r="F879" s="125"/>
      <c r="G879" s="125"/>
      <c r="H879" s="125"/>
      <c r="I879" s="125"/>
      <c r="J879" s="125"/>
      <c r="K879" s="125"/>
      <c r="L879" s="125"/>
      <c r="M879" s="125"/>
      <c r="N879" s="125"/>
      <c r="O879" s="125"/>
      <c r="P879" s="125"/>
      <c r="Q879" s="125"/>
      <c r="R879" s="125"/>
      <c r="S879" s="125"/>
      <c r="T879" s="125"/>
      <c r="U879" s="125"/>
      <c r="V879" s="125"/>
      <c r="W879" s="125"/>
      <c r="X879" s="125"/>
      <c r="Y879" s="125"/>
      <c r="Z879" s="125"/>
      <c r="AA879" s="125"/>
      <c r="AB879" s="125"/>
      <c r="AC879" s="125"/>
      <c r="AD879" s="125"/>
    </row>
    <row r="880">
      <c r="A880" s="124"/>
      <c r="B880" s="125"/>
      <c r="C880" s="125"/>
      <c r="D880" s="125"/>
      <c r="E880" s="125"/>
      <c r="F880" s="125"/>
      <c r="G880" s="125"/>
      <c r="H880" s="125"/>
      <c r="I880" s="125"/>
      <c r="J880" s="125"/>
      <c r="K880" s="125"/>
      <c r="L880" s="125"/>
      <c r="M880" s="125"/>
      <c r="N880" s="125"/>
      <c r="O880" s="125"/>
      <c r="P880" s="125"/>
      <c r="Q880" s="125"/>
      <c r="R880" s="125"/>
      <c r="S880" s="125"/>
      <c r="T880" s="125"/>
      <c r="U880" s="125"/>
      <c r="V880" s="125"/>
      <c r="W880" s="125"/>
      <c r="X880" s="125"/>
      <c r="Y880" s="125"/>
      <c r="Z880" s="125"/>
      <c r="AA880" s="125"/>
      <c r="AB880" s="125"/>
      <c r="AC880" s="125"/>
      <c r="AD880" s="125"/>
    </row>
    <row r="881">
      <c r="A881" s="124"/>
      <c r="B881" s="125"/>
      <c r="C881" s="125"/>
      <c r="D881" s="125"/>
      <c r="E881" s="125"/>
      <c r="F881" s="125"/>
      <c r="G881" s="125"/>
      <c r="H881" s="125"/>
      <c r="I881" s="125"/>
      <c r="J881" s="125"/>
      <c r="K881" s="125"/>
      <c r="L881" s="125"/>
      <c r="M881" s="125"/>
      <c r="N881" s="125"/>
      <c r="O881" s="125"/>
      <c r="P881" s="125"/>
      <c r="Q881" s="125"/>
      <c r="R881" s="125"/>
      <c r="S881" s="125"/>
      <c r="T881" s="125"/>
      <c r="U881" s="125"/>
      <c r="V881" s="125"/>
      <c r="W881" s="125"/>
      <c r="X881" s="125"/>
      <c r="Y881" s="125"/>
      <c r="Z881" s="125"/>
      <c r="AA881" s="125"/>
      <c r="AB881" s="125"/>
      <c r="AC881" s="125"/>
      <c r="AD881" s="125"/>
    </row>
    <row r="882">
      <c r="A882" s="124"/>
      <c r="B882" s="125"/>
      <c r="C882" s="125"/>
      <c r="D882" s="125"/>
      <c r="E882" s="125"/>
      <c r="F882" s="125"/>
      <c r="G882" s="125"/>
      <c r="H882" s="125"/>
      <c r="I882" s="125"/>
      <c r="J882" s="125"/>
      <c r="K882" s="125"/>
      <c r="L882" s="125"/>
      <c r="M882" s="125"/>
      <c r="N882" s="125"/>
      <c r="O882" s="125"/>
      <c r="P882" s="125"/>
      <c r="Q882" s="125"/>
      <c r="R882" s="125"/>
      <c r="S882" s="125"/>
      <c r="T882" s="125"/>
      <c r="U882" s="125"/>
      <c r="V882" s="125"/>
      <c r="W882" s="125"/>
      <c r="X882" s="125"/>
      <c r="Y882" s="125"/>
      <c r="Z882" s="125"/>
      <c r="AA882" s="125"/>
      <c r="AB882" s="125"/>
      <c r="AC882" s="125"/>
      <c r="AD882" s="125"/>
    </row>
    <row r="883">
      <c r="A883" s="124"/>
      <c r="B883" s="125"/>
      <c r="C883" s="125"/>
      <c r="D883" s="125"/>
      <c r="E883" s="125"/>
      <c r="F883" s="125"/>
      <c r="G883" s="125"/>
      <c r="H883" s="125"/>
      <c r="I883" s="125"/>
      <c r="J883" s="125"/>
      <c r="K883" s="125"/>
      <c r="L883" s="125"/>
      <c r="M883" s="125"/>
      <c r="N883" s="125"/>
      <c r="O883" s="125"/>
      <c r="P883" s="125"/>
      <c r="Q883" s="125"/>
      <c r="R883" s="125"/>
      <c r="S883" s="125"/>
      <c r="T883" s="125"/>
      <c r="U883" s="125"/>
      <c r="V883" s="125"/>
      <c r="W883" s="125"/>
      <c r="X883" s="125"/>
      <c r="Y883" s="125"/>
      <c r="Z883" s="125"/>
      <c r="AA883" s="125"/>
      <c r="AB883" s="125"/>
      <c r="AC883" s="125"/>
      <c r="AD883" s="125"/>
    </row>
    <row r="884">
      <c r="A884" s="124"/>
      <c r="B884" s="125"/>
      <c r="C884" s="125"/>
      <c r="D884" s="125"/>
      <c r="E884" s="125"/>
      <c r="F884" s="125"/>
      <c r="G884" s="125"/>
      <c r="H884" s="125"/>
      <c r="I884" s="125"/>
      <c r="J884" s="125"/>
      <c r="K884" s="125"/>
      <c r="L884" s="125"/>
      <c r="M884" s="125"/>
      <c r="N884" s="125"/>
      <c r="O884" s="125"/>
      <c r="P884" s="125"/>
      <c r="Q884" s="125"/>
      <c r="R884" s="125"/>
      <c r="S884" s="125"/>
      <c r="T884" s="125"/>
      <c r="U884" s="125"/>
      <c r="V884" s="125"/>
      <c r="W884" s="125"/>
      <c r="X884" s="125"/>
      <c r="Y884" s="125"/>
      <c r="Z884" s="125"/>
      <c r="AA884" s="125"/>
      <c r="AB884" s="125"/>
      <c r="AC884" s="125"/>
      <c r="AD884" s="125"/>
    </row>
    <row r="885">
      <c r="A885" s="124"/>
      <c r="B885" s="125"/>
      <c r="C885" s="125"/>
      <c r="D885" s="125"/>
      <c r="E885" s="125"/>
      <c r="F885" s="125"/>
      <c r="G885" s="125"/>
      <c r="H885" s="125"/>
      <c r="I885" s="125"/>
      <c r="J885" s="125"/>
      <c r="K885" s="125"/>
      <c r="L885" s="125"/>
      <c r="M885" s="125"/>
      <c r="N885" s="125"/>
      <c r="O885" s="125"/>
      <c r="P885" s="125"/>
      <c r="Q885" s="125"/>
      <c r="R885" s="125"/>
      <c r="S885" s="125"/>
      <c r="T885" s="125"/>
      <c r="U885" s="125"/>
      <c r="V885" s="125"/>
      <c r="W885" s="125"/>
      <c r="X885" s="125"/>
      <c r="Y885" s="125"/>
      <c r="Z885" s="125"/>
      <c r="AA885" s="125"/>
      <c r="AB885" s="125"/>
      <c r="AC885" s="125"/>
      <c r="AD885" s="125"/>
    </row>
    <row r="886">
      <c r="A886" s="124"/>
      <c r="B886" s="125"/>
      <c r="C886" s="125"/>
      <c r="D886" s="125"/>
      <c r="E886" s="125"/>
      <c r="F886" s="125"/>
      <c r="G886" s="125"/>
      <c r="H886" s="125"/>
      <c r="I886" s="125"/>
      <c r="J886" s="125"/>
      <c r="K886" s="125"/>
      <c r="L886" s="125"/>
      <c r="M886" s="125"/>
      <c r="N886" s="125"/>
      <c r="O886" s="125"/>
      <c r="P886" s="125"/>
      <c r="Q886" s="125"/>
      <c r="R886" s="125"/>
      <c r="S886" s="125"/>
      <c r="T886" s="125"/>
      <c r="U886" s="125"/>
      <c r="V886" s="125"/>
      <c r="W886" s="125"/>
      <c r="X886" s="125"/>
      <c r="Y886" s="125"/>
      <c r="Z886" s="125"/>
      <c r="AA886" s="125"/>
      <c r="AB886" s="125"/>
      <c r="AC886" s="125"/>
      <c r="AD886" s="125"/>
    </row>
    <row r="887">
      <c r="A887" s="124"/>
      <c r="B887" s="125"/>
      <c r="C887" s="125"/>
      <c r="D887" s="125"/>
      <c r="E887" s="125"/>
      <c r="F887" s="125"/>
      <c r="G887" s="125"/>
      <c r="H887" s="125"/>
      <c r="I887" s="125"/>
      <c r="J887" s="125"/>
      <c r="K887" s="125"/>
      <c r="L887" s="125"/>
      <c r="M887" s="125"/>
      <c r="N887" s="125"/>
      <c r="O887" s="125"/>
      <c r="P887" s="125"/>
      <c r="Q887" s="125"/>
      <c r="R887" s="125"/>
      <c r="S887" s="125"/>
      <c r="T887" s="125"/>
      <c r="U887" s="125"/>
      <c r="V887" s="125"/>
      <c r="W887" s="125"/>
      <c r="X887" s="125"/>
      <c r="Y887" s="125"/>
      <c r="Z887" s="125"/>
      <c r="AA887" s="125"/>
      <c r="AB887" s="125"/>
      <c r="AC887" s="125"/>
      <c r="AD887" s="125"/>
    </row>
    <row r="888">
      <c r="A888" s="124"/>
      <c r="B888" s="125"/>
      <c r="C888" s="125"/>
      <c r="D888" s="125"/>
      <c r="E888" s="125"/>
      <c r="F888" s="125"/>
      <c r="G888" s="125"/>
      <c r="H888" s="125"/>
      <c r="I888" s="125"/>
      <c r="J888" s="125"/>
      <c r="K888" s="125"/>
      <c r="L888" s="125"/>
      <c r="M888" s="125"/>
      <c r="N888" s="125"/>
      <c r="O888" s="125"/>
      <c r="P888" s="125"/>
      <c r="Q888" s="125"/>
      <c r="R888" s="125"/>
      <c r="S888" s="125"/>
      <c r="T888" s="125"/>
      <c r="U888" s="125"/>
      <c r="V888" s="125"/>
      <c r="W888" s="125"/>
      <c r="X888" s="125"/>
      <c r="Y888" s="125"/>
      <c r="Z888" s="125"/>
      <c r="AA888" s="125"/>
      <c r="AB888" s="125"/>
      <c r="AC888" s="125"/>
      <c r="AD888" s="125"/>
    </row>
    <row r="889">
      <c r="A889" s="124"/>
      <c r="B889" s="125"/>
      <c r="C889" s="125"/>
      <c r="D889" s="125"/>
      <c r="E889" s="125"/>
      <c r="F889" s="125"/>
      <c r="G889" s="125"/>
      <c r="H889" s="125"/>
      <c r="I889" s="125"/>
      <c r="J889" s="125"/>
      <c r="K889" s="125"/>
      <c r="L889" s="125"/>
      <c r="M889" s="125"/>
      <c r="N889" s="125"/>
      <c r="O889" s="125"/>
      <c r="P889" s="125"/>
      <c r="Q889" s="125"/>
      <c r="R889" s="125"/>
      <c r="S889" s="125"/>
      <c r="T889" s="125"/>
      <c r="U889" s="125"/>
      <c r="V889" s="125"/>
      <c r="W889" s="125"/>
      <c r="X889" s="125"/>
      <c r="Y889" s="125"/>
      <c r="Z889" s="125"/>
      <c r="AA889" s="125"/>
      <c r="AB889" s="125"/>
      <c r="AC889" s="125"/>
      <c r="AD889" s="125"/>
    </row>
    <row r="890">
      <c r="A890" s="124"/>
      <c r="B890" s="125"/>
      <c r="C890" s="125"/>
      <c r="D890" s="125"/>
      <c r="E890" s="125"/>
      <c r="F890" s="125"/>
      <c r="G890" s="125"/>
      <c r="H890" s="125"/>
      <c r="I890" s="125"/>
      <c r="J890" s="125"/>
      <c r="K890" s="125"/>
      <c r="L890" s="125"/>
      <c r="M890" s="125"/>
      <c r="N890" s="125"/>
      <c r="O890" s="125"/>
      <c r="P890" s="125"/>
      <c r="Q890" s="125"/>
      <c r="R890" s="125"/>
      <c r="S890" s="125"/>
      <c r="T890" s="125"/>
      <c r="U890" s="125"/>
      <c r="V890" s="125"/>
      <c r="W890" s="125"/>
      <c r="X890" s="125"/>
      <c r="Y890" s="125"/>
      <c r="Z890" s="125"/>
      <c r="AA890" s="125"/>
      <c r="AB890" s="125"/>
      <c r="AC890" s="125"/>
      <c r="AD890" s="125"/>
    </row>
    <row r="891">
      <c r="A891" s="124"/>
      <c r="B891" s="125"/>
      <c r="C891" s="125"/>
      <c r="D891" s="125"/>
      <c r="E891" s="125"/>
      <c r="F891" s="125"/>
      <c r="G891" s="125"/>
      <c r="H891" s="125"/>
      <c r="I891" s="125"/>
      <c r="J891" s="125"/>
      <c r="K891" s="125"/>
      <c r="L891" s="125"/>
      <c r="M891" s="125"/>
      <c r="N891" s="125"/>
      <c r="O891" s="125"/>
      <c r="P891" s="125"/>
      <c r="Q891" s="125"/>
      <c r="R891" s="125"/>
      <c r="S891" s="125"/>
      <c r="T891" s="125"/>
      <c r="U891" s="125"/>
      <c r="V891" s="125"/>
      <c r="W891" s="125"/>
      <c r="X891" s="125"/>
      <c r="Y891" s="125"/>
      <c r="Z891" s="125"/>
      <c r="AA891" s="125"/>
      <c r="AB891" s="125"/>
      <c r="AC891" s="125"/>
      <c r="AD891" s="125"/>
    </row>
    <row r="892">
      <c r="A892" s="124"/>
      <c r="B892" s="125"/>
      <c r="C892" s="125"/>
      <c r="D892" s="125"/>
      <c r="E892" s="125"/>
      <c r="F892" s="125"/>
      <c r="G892" s="125"/>
      <c r="H892" s="125"/>
      <c r="I892" s="125"/>
      <c r="J892" s="125"/>
      <c r="K892" s="125"/>
      <c r="L892" s="125"/>
      <c r="M892" s="125"/>
      <c r="N892" s="125"/>
      <c r="O892" s="125"/>
      <c r="P892" s="125"/>
      <c r="Q892" s="125"/>
      <c r="R892" s="125"/>
      <c r="S892" s="125"/>
      <c r="T892" s="125"/>
      <c r="U892" s="125"/>
      <c r="V892" s="125"/>
      <c r="W892" s="125"/>
      <c r="X892" s="125"/>
      <c r="Y892" s="125"/>
      <c r="Z892" s="125"/>
      <c r="AA892" s="125"/>
      <c r="AB892" s="125"/>
      <c r="AC892" s="125"/>
      <c r="AD892" s="125"/>
    </row>
    <row r="893">
      <c r="A893" s="124"/>
      <c r="B893" s="125"/>
      <c r="C893" s="125"/>
      <c r="D893" s="125"/>
      <c r="E893" s="125"/>
      <c r="F893" s="125"/>
      <c r="G893" s="125"/>
      <c r="H893" s="125"/>
      <c r="I893" s="125"/>
      <c r="J893" s="125"/>
      <c r="K893" s="125"/>
      <c r="L893" s="125"/>
      <c r="M893" s="125"/>
      <c r="N893" s="125"/>
      <c r="O893" s="125"/>
      <c r="P893" s="125"/>
      <c r="Q893" s="125"/>
      <c r="R893" s="125"/>
      <c r="S893" s="125"/>
      <c r="T893" s="125"/>
      <c r="U893" s="125"/>
      <c r="V893" s="125"/>
      <c r="W893" s="125"/>
      <c r="X893" s="125"/>
      <c r="Y893" s="125"/>
      <c r="Z893" s="125"/>
      <c r="AA893" s="125"/>
      <c r="AB893" s="125"/>
      <c r="AC893" s="125"/>
      <c r="AD893" s="125"/>
    </row>
    <row r="894">
      <c r="A894" s="124"/>
      <c r="B894" s="125"/>
      <c r="C894" s="125"/>
      <c r="D894" s="125"/>
      <c r="E894" s="125"/>
      <c r="F894" s="125"/>
      <c r="G894" s="125"/>
      <c r="H894" s="125"/>
      <c r="I894" s="125"/>
      <c r="J894" s="125"/>
      <c r="K894" s="125"/>
      <c r="L894" s="125"/>
      <c r="M894" s="125"/>
      <c r="N894" s="125"/>
      <c r="O894" s="125"/>
      <c r="P894" s="125"/>
      <c r="Q894" s="125"/>
      <c r="R894" s="125"/>
      <c r="S894" s="125"/>
      <c r="T894" s="125"/>
      <c r="U894" s="125"/>
      <c r="V894" s="125"/>
      <c r="W894" s="125"/>
      <c r="X894" s="125"/>
      <c r="Y894" s="125"/>
      <c r="Z894" s="125"/>
      <c r="AA894" s="125"/>
      <c r="AB894" s="125"/>
      <c r="AC894" s="125"/>
      <c r="AD894" s="125"/>
    </row>
    <row r="895">
      <c r="A895" s="124"/>
      <c r="B895" s="125"/>
      <c r="C895" s="125"/>
      <c r="D895" s="125"/>
      <c r="E895" s="125"/>
      <c r="F895" s="125"/>
      <c r="G895" s="125"/>
      <c r="H895" s="125"/>
      <c r="I895" s="125"/>
      <c r="J895" s="125"/>
      <c r="K895" s="125"/>
      <c r="L895" s="125"/>
      <c r="M895" s="125"/>
      <c r="N895" s="125"/>
      <c r="O895" s="125"/>
      <c r="P895" s="125"/>
      <c r="Q895" s="125"/>
      <c r="R895" s="125"/>
      <c r="S895" s="125"/>
      <c r="T895" s="125"/>
      <c r="U895" s="125"/>
      <c r="V895" s="125"/>
      <c r="W895" s="125"/>
      <c r="X895" s="125"/>
      <c r="Y895" s="125"/>
      <c r="Z895" s="125"/>
      <c r="AA895" s="125"/>
      <c r="AB895" s="125"/>
      <c r="AC895" s="125"/>
      <c r="AD895" s="125"/>
    </row>
    <row r="896">
      <c r="A896" s="124"/>
      <c r="B896" s="125"/>
      <c r="C896" s="125"/>
      <c r="D896" s="125"/>
      <c r="E896" s="125"/>
      <c r="F896" s="125"/>
      <c r="G896" s="125"/>
      <c r="H896" s="125"/>
      <c r="I896" s="125"/>
      <c r="J896" s="125"/>
      <c r="K896" s="125"/>
      <c r="L896" s="125"/>
      <c r="M896" s="125"/>
      <c r="N896" s="125"/>
      <c r="O896" s="125"/>
      <c r="P896" s="125"/>
      <c r="Q896" s="125"/>
      <c r="R896" s="125"/>
      <c r="S896" s="125"/>
      <c r="T896" s="125"/>
      <c r="U896" s="125"/>
      <c r="V896" s="125"/>
      <c r="W896" s="125"/>
      <c r="X896" s="125"/>
      <c r="Y896" s="125"/>
      <c r="Z896" s="125"/>
      <c r="AA896" s="125"/>
      <c r="AB896" s="125"/>
      <c r="AC896" s="125"/>
      <c r="AD896" s="125"/>
    </row>
    <row r="897">
      <c r="A897" s="124"/>
      <c r="B897" s="125"/>
      <c r="C897" s="125"/>
      <c r="D897" s="125"/>
      <c r="E897" s="125"/>
      <c r="F897" s="125"/>
      <c r="G897" s="125"/>
      <c r="H897" s="125"/>
      <c r="I897" s="125"/>
      <c r="J897" s="125"/>
      <c r="K897" s="125"/>
      <c r="L897" s="125"/>
      <c r="M897" s="125"/>
      <c r="N897" s="125"/>
      <c r="O897" s="125"/>
      <c r="P897" s="125"/>
      <c r="Q897" s="125"/>
      <c r="R897" s="125"/>
      <c r="S897" s="125"/>
      <c r="T897" s="125"/>
      <c r="U897" s="125"/>
      <c r="V897" s="125"/>
      <c r="W897" s="125"/>
      <c r="X897" s="125"/>
      <c r="Y897" s="125"/>
      <c r="Z897" s="125"/>
      <c r="AA897" s="125"/>
      <c r="AB897" s="125"/>
      <c r="AC897" s="125"/>
      <c r="AD897" s="125"/>
    </row>
    <row r="898">
      <c r="A898" s="124"/>
      <c r="B898" s="125"/>
      <c r="C898" s="125"/>
      <c r="D898" s="125"/>
      <c r="E898" s="125"/>
      <c r="F898" s="125"/>
      <c r="G898" s="125"/>
      <c r="H898" s="125"/>
      <c r="I898" s="125"/>
      <c r="J898" s="125"/>
      <c r="K898" s="125"/>
      <c r="L898" s="125"/>
      <c r="M898" s="125"/>
      <c r="N898" s="125"/>
      <c r="O898" s="125"/>
      <c r="P898" s="125"/>
      <c r="Q898" s="125"/>
      <c r="R898" s="125"/>
      <c r="S898" s="125"/>
      <c r="T898" s="125"/>
      <c r="U898" s="125"/>
      <c r="V898" s="125"/>
      <c r="W898" s="125"/>
      <c r="X898" s="125"/>
      <c r="Y898" s="125"/>
      <c r="Z898" s="125"/>
      <c r="AA898" s="125"/>
      <c r="AB898" s="125"/>
      <c r="AC898" s="125"/>
      <c r="AD898" s="125"/>
    </row>
    <row r="899">
      <c r="A899" s="124"/>
      <c r="B899" s="125"/>
      <c r="C899" s="125"/>
      <c r="D899" s="125"/>
      <c r="E899" s="125"/>
      <c r="F899" s="125"/>
      <c r="G899" s="125"/>
      <c r="H899" s="125"/>
      <c r="I899" s="125"/>
      <c r="J899" s="125"/>
      <c r="K899" s="125"/>
      <c r="L899" s="125"/>
      <c r="M899" s="125"/>
      <c r="N899" s="125"/>
      <c r="O899" s="125"/>
      <c r="P899" s="125"/>
      <c r="Q899" s="125"/>
      <c r="R899" s="125"/>
      <c r="S899" s="125"/>
      <c r="T899" s="125"/>
      <c r="U899" s="125"/>
      <c r="V899" s="125"/>
      <c r="W899" s="125"/>
      <c r="X899" s="125"/>
      <c r="Y899" s="125"/>
      <c r="Z899" s="125"/>
      <c r="AA899" s="125"/>
      <c r="AB899" s="125"/>
      <c r="AC899" s="125"/>
      <c r="AD899" s="125"/>
    </row>
    <row r="900">
      <c r="A900" s="124"/>
      <c r="B900" s="125"/>
      <c r="C900" s="125"/>
      <c r="D900" s="125"/>
      <c r="E900" s="125"/>
      <c r="F900" s="125"/>
      <c r="G900" s="125"/>
      <c r="H900" s="125"/>
      <c r="I900" s="125"/>
      <c r="J900" s="125"/>
      <c r="K900" s="125"/>
      <c r="L900" s="125"/>
      <c r="M900" s="125"/>
      <c r="N900" s="125"/>
      <c r="O900" s="125"/>
      <c r="P900" s="125"/>
      <c r="Q900" s="125"/>
      <c r="R900" s="125"/>
      <c r="S900" s="125"/>
      <c r="T900" s="125"/>
      <c r="U900" s="125"/>
      <c r="V900" s="125"/>
      <c r="W900" s="125"/>
      <c r="X900" s="125"/>
      <c r="Y900" s="125"/>
      <c r="Z900" s="125"/>
      <c r="AA900" s="125"/>
      <c r="AB900" s="125"/>
      <c r="AC900" s="125"/>
      <c r="AD900" s="125"/>
    </row>
    <row r="901">
      <c r="A901" s="124"/>
      <c r="B901" s="125"/>
      <c r="C901" s="125"/>
      <c r="D901" s="125"/>
      <c r="E901" s="125"/>
      <c r="F901" s="125"/>
      <c r="G901" s="125"/>
      <c r="H901" s="125"/>
      <c r="I901" s="125"/>
      <c r="J901" s="125"/>
      <c r="K901" s="125"/>
      <c r="L901" s="125"/>
      <c r="M901" s="125"/>
      <c r="N901" s="125"/>
      <c r="O901" s="125"/>
      <c r="P901" s="125"/>
      <c r="Q901" s="125"/>
      <c r="R901" s="125"/>
      <c r="S901" s="125"/>
      <c r="T901" s="125"/>
      <c r="U901" s="125"/>
      <c r="V901" s="125"/>
      <c r="W901" s="125"/>
      <c r="X901" s="125"/>
      <c r="Y901" s="125"/>
      <c r="Z901" s="125"/>
      <c r="AA901" s="125"/>
      <c r="AB901" s="125"/>
      <c r="AC901" s="125"/>
      <c r="AD901" s="125"/>
    </row>
    <row r="902">
      <c r="A902" s="124"/>
      <c r="B902" s="125"/>
      <c r="C902" s="125"/>
      <c r="D902" s="125"/>
      <c r="E902" s="125"/>
      <c r="F902" s="125"/>
      <c r="G902" s="125"/>
      <c r="H902" s="125"/>
      <c r="I902" s="125"/>
      <c r="J902" s="125"/>
      <c r="K902" s="125"/>
      <c r="L902" s="125"/>
      <c r="M902" s="125"/>
      <c r="N902" s="125"/>
      <c r="O902" s="125"/>
      <c r="P902" s="125"/>
      <c r="Q902" s="125"/>
      <c r="R902" s="125"/>
      <c r="S902" s="125"/>
      <c r="T902" s="125"/>
      <c r="U902" s="125"/>
      <c r="V902" s="125"/>
      <c r="W902" s="125"/>
      <c r="X902" s="125"/>
      <c r="Y902" s="125"/>
      <c r="Z902" s="125"/>
      <c r="AA902" s="125"/>
      <c r="AB902" s="125"/>
      <c r="AC902" s="125"/>
      <c r="AD902" s="125"/>
    </row>
    <row r="903">
      <c r="A903" s="124"/>
      <c r="B903" s="125"/>
      <c r="C903" s="125"/>
      <c r="D903" s="125"/>
      <c r="E903" s="125"/>
      <c r="F903" s="125"/>
      <c r="G903" s="125"/>
      <c r="H903" s="125"/>
      <c r="I903" s="125"/>
      <c r="J903" s="125"/>
      <c r="K903" s="125"/>
      <c r="L903" s="125"/>
      <c r="M903" s="125"/>
      <c r="N903" s="125"/>
      <c r="O903" s="125"/>
      <c r="P903" s="125"/>
      <c r="Q903" s="125"/>
      <c r="R903" s="125"/>
      <c r="S903" s="125"/>
      <c r="T903" s="125"/>
      <c r="U903" s="125"/>
      <c r="V903" s="125"/>
      <c r="W903" s="125"/>
      <c r="X903" s="125"/>
      <c r="Y903" s="125"/>
      <c r="Z903" s="125"/>
      <c r="AA903" s="125"/>
      <c r="AB903" s="125"/>
      <c r="AC903" s="125"/>
      <c r="AD903" s="125"/>
    </row>
    <row r="904">
      <c r="A904" s="124"/>
      <c r="B904" s="125"/>
      <c r="C904" s="125"/>
      <c r="D904" s="125"/>
      <c r="E904" s="125"/>
      <c r="F904" s="125"/>
      <c r="G904" s="125"/>
      <c r="H904" s="125"/>
      <c r="I904" s="125"/>
      <c r="J904" s="125"/>
      <c r="K904" s="125"/>
      <c r="L904" s="125"/>
      <c r="M904" s="125"/>
      <c r="N904" s="125"/>
      <c r="O904" s="125"/>
      <c r="P904" s="125"/>
      <c r="Q904" s="125"/>
      <c r="R904" s="125"/>
      <c r="S904" s="125"/>
      <c r="T904" s="125"/>
      <c r="U904" s="125"/>
      <c r="V904" s="125"/>
      <c r="W904" s="125"/>
      <c r="X904" s="125"/>
      <c r="Y904" s="125"/>
      <c r="Z904" s="125"/>
      <c r="AA904" s="125"/>
      <c r="AB904" s="125"/>
      <c r="AC904" s="125"/>
      <c r="AD904" s="125"/>
    </row>
    <row r="905">
      <c r="A905" s="124"/>
      <c r="B905" s="125"/>
      <c r="C905" s="125"/>
      <c r="D905" s="125"/>
      <c r="E905" s="125"/>
      <c r="F905" s="125"/>
      <c r="G905" s="125"/>
      <c r="H905" s="125"/>
      <c r="I905" s="125"/>
      <c r="J905" s="125"/>
      <c r="K905" s="125"/>
      <c r="L905" s="125"/>
      <c r="M905" s="125"/>
      <c r="N905" s="125"/>
      <c r="O905" s="125"/>
      <c r="P905" s="125"/>
      <c r="Q905" s="125"/>
      <c r="R905" s="125"/>
      <c r="S905" s="125"/>
      <c r="T905" s="125"/>
      <c r="U905" s="125"/>
      <c r="V905" s="125"/>
      <c r="W905" s="125"/>
      <c r="X905" s="125"/>
      <c r="Y905" s="125"/>
      <c r="Z905" s="125"/>
      <c r="AA905" s="125"/>
      <c r="AB905" s="125"/>
      <c r="AC905" s="125"/>
      <c r="AD905" s="125"/>
    </row>
    <row r="906">
      <c r="A906" s="124"/>
      <c r="B906" s="125"/>
      <c r="C906" s="125"/>
      <c r="D906" s="125"/>
      <c r="E906" s="125"/>
      <c r="F906" s="125"/>
      <c r="G906" s="125"/>
      <c r="H906" s="125"/>
      <c r="I906" s="125"/>
      <c r="J906" s="125"/>
      <c r="K906" s="125"/>
      <c r="L906" s="125"/>
      <c r="M906" s="125"/>
      <c r="N906" s="125"/>
      <c r="O906" s="125"/>
      <c r="P906" s="125"/>
      <c r="Q906" s="125"/>
      <c r="R906" s="125"/>
      <c r="S906" s="125"/>
      <c r="T906" s="125"/>
      <c r="U906" s="125"/>
      <c r="V906" s="125"/>
      <c r="W906" s="125"/>
      <c r="X906" s="125"/>
      <c r="Y906" s="125"/>
      <c r="Z906" s="125"/>
      <c r="AA906" s="125"/>
      <c r="AB906" s="125"/>
      <c r="AC906" s="125"/>
      <c r="AD906" s="125"/>
    </row>
    <row r="907">
      <c r="A907" s="124"/>
      <c r="B907" s="125"/>
      <c r="C907" s="125"/>
      <c r="D907" s="125"/>
      <c r="E907" s="125"/>
      <c r="F907" s="125"/>
      <c r="G907" s="125"/>
      <c r="H907" s="125"/>
      <c r="I907" s="125"/>
      <c r="J907" s="125"/>
      <c r="K907" s="125"/>
      <c r="L907" s="125"/>
      <c r="M907" s="125"/>
      <c r="N907" s="125"/>
      <c r="O907" s="125"/>
      <c r="P907" s="125"/>
      <c r="Q907" s="125"/>
      <c r="R907" s="125"/>
      <c r="S907" s="125"/>
      <c r="T907" s="125"/>
      <c r="U907" s="125"/>
      <c r="V907" s="125"/>
      <c r="W907" s="125"/>
      <c r="X907" s="125"/>
      <c r="Y907" s="125"/>
      <c r="Z907" s="125"/>
      <c r="AA907" s="125"/>
      <c r="AB907" s="125"/>
      <c r="AC907" s="125"/>
      <c r="AD907" s="125"/>
    </row>
    <row r="908">
      <c r="A908" s="124"/>
      <c r="B908" s="125"/>
      <c r="C908" s="125"/>
      <c r="D908" s="125"/>
      <c r="E908" s="125"/>
      <c r="F908" s="125"/>
      <c r="G908" s="125"/>
      <c r="H908" s="125"/>
      <c r="I908" s="125"/>
      <c r="J908" s="125"/>
      <c r="K908" s="125"/>
      <c r="L908" s="125"/>
      <c r="M908" s="125"/>
      <c r="N908" s="125"/>
      <c r="O908" s="125"/>
      <c r="P908" s="125"/>
      <c r="Q908" s="125"/>
      <c r="R908" s="125"/>
      <c r="S908" s="125"/>
      <c r="T908" s="125"/>
      <c r="U908" s="125"/>
      <c r="V908" s="125"/>
      <c r="W908" s="125"/>
      <c r="X908" s="125"/>
      <c r="Y908" s="125"/>
      <c r="Z908" s="125"/>
      <c r="AA908" s="125"/>
      <c r="AB908" s="125"/>
      <c r="AC908" s="125"/>
      <c r="AD908" s="125"/>
    </row>
    <row r="909">
      <c r="A909" s="124"/>
      <c r="B909" s="125"/>
      <c r="C909" s="125"/>
      <c r="D909" s="125"/>
      <c r="E909" s="125"/>
      <c r="F909" s="125"/>
      <c r="G909" s="125"/>
      <c r="H909" s="125"/>
      <c r="I909" s="125"/>
      <c r="J909" s="125"/>
      <c r="K909" s="125"/>
      <c r="L909" s="125"/>
      <c r="M909" s="125"/>
      <c r="N909" s="125"/>
      <c r="O909" s="125"/>
      <c r="P909" s="125"/>
      <c r="Q909" s="125"/>
      <c r="R909" s="125"/>
      <c r="S909" s="125"/>
      <c r="T909" s="125"/>
      <c r="U909" s="125"/>
      <c r="V909" s="125"/>
      <c r="W909" s="125"/>
      <c r="X909" s="125"/>
      <c r="Y909" s="125"/>
      <c r="Z909" s="125"/>
      <c r="AA909" s="125"/>
      <c r="AB909" s="125"/>
      <c r="AC909" s="125"/>
      <c r="AD909" s="125"/>
    </row>
    <row r="910">
      <c r="A910" s="124"/>
      <c r="B910" s="125"/>
      <c r="C910" s="125"/>
      <c r="D910" s="125"/>
      <c r="E910" s="125"/>
      <c r="F910" s="125"/>
      <c r="G910" s="125"/>
      <c r="H910" s="125"/>
      <c r="I910" s="125"/>
      <c r="J910" s="125"/>
      <c r="K910" s="125"/>
      <c r="L910" s="125"/>
      <c r="M910" s="125"/>
      <c r="N910" s="125"/>
      <c r="O910" s="125"/>
      <c r="P910" s="125"/>
      <c r="Q910" s="125"/>
      <c r="R910" s="125"/>
      <c r="S910" s="125"/>
      <c r="T910" s="125"/>
      <c r="U910" s="125"/>
      <c r="V910" s="125"/>
      <c r="W910" s="125"/>
      <c r="X910" s="125"/>
      <c r="Y910" s="125"/>
      <c r="Z910" s="125"/>
      <c r="AA910" s="125"/>
      <c r="AB910" s="125"/>
      <c r="AC910" s="125"/>
      <c r="AD910" s="125"/>
    </row>
    <row r="911">
      <c r="A911" s="124"/>
      <c r="B911" s="125"/>
      <c r="C911" s="125"/>
      <c r="D911" s="125"/>
      <c r="E911" s="125"/>
      <c r="F911" s="125"/>
      <c r="G911" s="125"/>
      <c r="H911" s="125"/>
      <c r="I911" s="125"/>
      <c r="J911" s="125"/>
      <c r="K911" s="125"/>
      <c r="L911" s="125"/>
      <c r="M911" s="125"/>
      <c r="N911" s="125"/>
      <c r="O911" s="125"/>
      <c r="P911" s="125"/>
      <c r="Q911" s="125"/>
      <c r="R911" s="125"/>
      <c r="S911" s="125"/>
      <c r="T911" s="125"/>
      <c r="U911" s="125"/>
      <c r="V911" s="125"/>
      <c r="W911" s="125"/>
      <c r="X911" s="125"/>
      <c r="Y911" s="125"/>
      <c r="Z911" s="125"/>
      <c r="AA911" s="125"/>
      <c r="AB911" s="125"/>
      <c r="AC911" s="125"/>
      <c r="AD911" s="125"/>
    </row>
    <row r="912">
      <c r="A912" s="124"/>
      <c r="B912" s="125"/>
      <c r="C912" s="125"/>
      <c r="D912" s="125"/>
      <c r="E912" s="125"/>
      <c r="F912" s="125"/>
      <c r="G912" s="125"/>
      <c r="H912" s="125"/>
      <c r="I912" s="125"/>
      <c r="J912" s="125"/>
      <c r="K912" s="125"/>
      <c r="L912" s="125"/>
      <c r="M912" s="125"/>
      <c r="N912" s="125"/>
      <c r="O912" s="125"/>
      <c r="P912" s="125"/>
      <c r="Q912" s="125"/>
      <c r="R912" s="125"/>
      <c r="S912" s="125"/>
      <c r="T912" s="125"/>
      <c r="U912" s="125"/>
      <c r="V912" s="125"/>
      <c r="W912" s="125"/>
      <c r="X912" s="125"/>
      <c r="Y912" s="125"/>
      <c r="Z912" s="125"/>
      <c r="AA912" s="125"/>
      <c r="AB912" s="125"/>
      <c r="AC912" s="125"/>
      <c r="AD912" s="125"/>
    </row>
    <row r="913">
      <c r="A913" s="124"/>
      <c r="B913" s="125"/>
      <c r="C913" s="125"/>
      <c r="D913" s="125"/>
      <c r="E913" s="125"/>
      <c r="F913" s="125"/>
      <c r="G913" s="125"/>
      <c r="H913" s="125"/>
      <c r="I913" s="125"/>
      <c r="J913" s="125"/>
      <c r="K913" s="125"/>
      <c r="L913" s="125"/>
      <c r="M913" s="125"/>
      <c r="N913" s="125"/>
      <c r="O913" s="125"/>
      <c r="P913" s="125"/>
      <c r="Q913" s="125"/>
      <c r="R913" s="125"/>
      <c r="S913" s="125"/>
      <c r="T913" s="125"/>
      <c r="U913" s="125"/>
      <c r="V913" s="125"/>
      <c r="W913" s="125"/>
      <c r="X913" s="125"/>
      <c r="Y913" s="125"/>
      <c r="Z913" s="125"/>
      <c r="AA913" s="125"/>
      <c r="AB913" s="125"/>
      <c r="AC913" s="125"/>
      <c r="AD913" s="125"/>
    </row>
    <row r="914">
      <c r="A914" s="124"/>
      <c r="B914" s="125"/>
      <c r="C914" s="125"/>
      <c r="D914" s="125"/>
      <c r="E914" s="125"/>
      <c r="F914" s="125"/>
      <c r="G914" s="125"/>
      <c r="H914" s="125"/>
      <c r="I914" s="125"/>
      <c r="J914" s="125"/>
      <c r="K914" s="125"/>
      <c r="L914" s="125"/>
      <c r="M914" s="125"/>
      <c r="N914" s="125"/>
      <c r="O914" s="125"/>
      <c r="P914" s="125"/>
      <c r="Q914" s="125"/>
      <c r="R914" s="125"/>
      <c r="S914" s="125"/>
      <c r="T914" s="125"/>
      <c r="U914" s="125"/>
      <c r="V914" s="125"/>
      <c r="W914" s="125"/>
      <c r="X914" s="125"/>
      <c r="Y914" s="125"/>
      <c r="Z914" s="125"/>
      <c r="AA914" s="125"/>
      <c r="AB914" s="125"/>
      <c r="AC914" s="125"/>
      <c r="AD914" s="125"/>
    </row>
    <row r="915">
      <c r="A915" s="124"/>
      <c r="B915" s="125"/>
      <c r="C915" s="125"/>
      <c r="D915" s="125"/>
      <c r="E915" s="125"/>
      <c r="F915" s="125"/>
      <c r="G915" s="125"/>
      <c r="H915" s="125"/>
      <c r="I915" s="125"/>
      <c r="J915" s="125"/>
      <c r="K915" s="125"/>
      <c r="L915" s="125"/>
      <c r="M915" s="125"/>
      <c r="N915" s="125"/>
      <c r="O915" s="125"/>
      <c r="P915" s="125"/>
      <c r="Q915" s="125"/>
      <c r="R915" s="125"/>
      <c r="S915" s="125"/>
      <c r="T915" s="125"/>
      <c r="U915" s="125"/>
      <c r="V915" s="125"/>
      <c r="W915" s="125"/>
      <c r="X915" s="125"/>
      <c r="Y915" s="125"/>
      <c r="Z915" s="125"/>
      <c r="AA915" s="125"/>
      <c r="AB915" s="125"/>
      <c r="AC915" s="125"/>
      <c r="AD915" s="125"/>
    </row>
    <row r="916">
      <c r="A916" s="124"/>
      <c r="B916" s="125"/>
      <c r="C916" s="125"/>
      <c r="D916" s="125"/>
      <c r="E916" s="125"/>
      <c r="F916" s="125"/>
      <c r="G916" s="125"/>
      <c r="H916" s="125"/>
      <c r="I916" s="125"/>
      <c r="J916" s="125"/>
      <c r="K916" s="125"/>
      <c r="L916" s="125"/>
      <c r="M916" s="125"/>
      <c r="N916" s="125"/>
      <c r="O916" s="125"/>
      <c r="P916" s="125"/>
      <c r="Q916" s="125"/>
      <c r="R916" s="125"/>
      <c r="S916" s="125"/>
      <c r="T916" s="125"/>
      <c r="U916" s="125"/>
      <c r="V916" s="125"/>
      <c r="W916" s="125"/>
      <c r="X916" s="125"/>
      <c r="Y916" s="125"/>
      <c r="Z916" s="125"/>
      <c r="AA916" s="125"/>
      <c r="AB916" s="125"/>
      <c r="AC916" s="125"/>
      <c r="AD916" s="125"/>
    </row>
    <row r="917">
      <c r="A917" s="124"/>
      <c r="B917" s="125"/>
      <c r="C917" s="125"/>
      <c r="D917" s="125"/>
      <c r="E917" s="125"/>
      <c r="F917" s="125"/>
      <c r="G917" s="125"/>
      <c r="H917" s="125"/>
      <c r="I917" s="125"/>
      <c r="J917" s="125"/>
      <c r="K917" s="125"/>
      <c r="L917" s="125"/>
      <c r="M917" s="125"/>
      <c r="N917" s="125"/>
      <c r="O917" s="125"/>
      <c r="P917" s="125"/>
      <c r="Q917" s="125"/>
      <c r="R917" s="125"/>
      <c r="S917" s="125"/>
      <c r="T917" s="125"/>
      <c r="U917" s="125"/>
      <c r="V917" s="125"/>
      <c r="W917" s="125"/>
      <c r="X917" s="125"/>
      <c r="Y917" s="125"/>
      <c r="Z917" s="125"/>
      <c r="AA917" s="125"/>
      <c r="AB917" s="125"/>
      <c r="AC917" s="125"/>
      <c r="AD917" s="125"/>
    </row>
    <row r="918">
      <c r="A918" s="124"/>
      <c r="B918" s="125"/>
      <c r="C918" s="125"/>
      <c r="D918" s="125"/>
      <c r="E918" s="125"/>
      <c r="F918" s="125"/>
      <c r="G918" s="125"/>
      <c r="H918" s="125"/>
      <c r="I918" s="125"/>
      <c r="J918" s="125"/>
      <c r="K918" s="125"/>
      <c r="L918" s="125"/>
      <c r="M918" s="125"/>
      <c r="N918" s="125"/>
      <c r="O918" s="125"/>
      <c r="P918" s="125"/>
      <c r="Q918" s="125"/>
      <c r="R918" s="125"/>
      <c r="S918" s="125"/>
      <c r="T918" s="125"/>
      <c r="U918" s="125"/>
      <c r="V918" s="125"/>
      <c r="W918" s="125"/>
      <c r="X918" s="125"/>
      <c r="Y918" s="125"/>
      <c r="Z918" s="125"/>
      <c r="AA918" s="125"/>
      <c r="AB918" s="125"/>
      <c r="AC918" s="125"/>
      <c r="AD918" s="125"/>
    </row>
    <row r="919">
      <c r="A919" s="124"/>
      <c r="B919" s="125"/>
      <c r="C919" s="125"/>
      <c r="D919" s="125"/>
      <c r="E919" s="125"/>
      <c r="F919" s="125"/>
      <c r="G919" s="125"/>
      <c r="H919" s="125"/>
      <c r="I919" s="125"/>
      <c r="J919" s="125"/>
      <c r="K919" s="125"/>
      <c r="L919" s="125"/>
      <c r="M919" s="125"/>
      <c r="N919" s="125"/>
      <c r="O919" s="125"/>
      <c r="P919" s="125"/>
      <c r="Q919" s="125"/>
      <c r="R919" s="125"/>
      <c r="S919" s="125"/>
      <c r="T919" s="125"/>
      <c r="U919" s="125"/>
      <c r="V919" s="125"/>
      <c r="W919" s="125"/>
      <c r="X919" s="125"/>
      <c r="Y919" s="125"/>
      <c r="Z919" s="125"/>
      <c r="AA919" s="125"/>
      <c r="AB919" s="125"/>
      <c r="AC919" s="125"/>
      <c r="AD919" s="125"/>
    </row>
    <row r="920">
      <c r="A920" s="124"/>
      <c r="B920" s="125"/>
      <c r="C920" s="125"/>
      <c r="D920" s="125"/>
      <c r="E920" s="125"/>
      <c r="F920" s="125"/>
      <c r="G920" s="125"/>
      <c r="H920" s="125"/>
      <c r="I920" s="125"/>
      <c r="J920" s="125"/>
      <c r="K920" s="125"/>
      <c r="L920" s="125"/>
      <c r="M920" s="125"/>
      <c r="N920" s="125"/>
      <c r="O920" s="125"/>
      <c r="P920" s="125"/>
      <c r="Q920" s="125"/>
      <c r="R920" s="125"/>
      <c r="S920" s="125"/>
      <c r="T920" s="125"/>
      <c r="U920" s="125"/>
      <c r="V920" s="125"/>
      <c r="W920" s="125"/>
      <c r="X920" s="125"/>
      <c r="Y920" s="125"/>
      <c r="Z920" s="125"/>
      <c r="AA920" s="125"/>
      <c r="AB920" s="125"/>
      <c r="AC920" s="125"/>
      <c r="AD920" s="125"/>
    </row>
    <row r="921">
      <c r="A921" s="124"/>
      <c r="B921" s="125"/>
      <c r="C921" s="125"/>
      <c r="D921" s="125"/>
      <c r="E921" s="125"/>
      <c r="F921" s="125"/>
      <c r="G921" s="125"/>
      <c r="H921" s="125"/>
      <c r="I921" s="125"/>
      <c r="J921" s="125"/>
      <c r="K921" s="125"/>
      <c r="L921" s="125"/>
      <c r="M921" s="125"/>
      <c r="N921" s="125"/>
      <c r="O921" s="125"/>
      <c r="P921" s="125"/>
      <c r="Q921" s="125"/>
      <c r="R921" s="125"/>
      <c r="S921" s="125"/>
      <c r="T921" s="125"/>
      <c r="U921" s="125"/>
      <c r="V921" s="125"/>
      <c r="W921" s="125"/>
      <c r="X921" s="125"/>
      <c r="Y921" s="125"/>
      <c r="Z921" s="125"/>
      <c r="AA921" s="125"/>
      <c r="AB921" s="125"/>
      <c r="AC921" s="125"/>
      <c r="AD921" s="125"/>
    </row>
    <row r="922">
      <c r="A922" s="124"/>
      <c r="B922" s="125"/>
      <c r="C922" s="125"/>
      <c r="D922" s="125"/>
      <c r="E922" s="125"/>
      <c r="F922" s="125"/>
      <c r="G922" s="125"/>
      <c r="H922" s="125"/>
      <c r="I922" s="125"/>
      <c r="J922" s="125"/>
      <c r="K922" s="125"/>
      <c r="L922" s="125"/>
      <c r="M922" s="125"/>
      <c r="N922" s="125"/>
      <c r="O922" s="125"/>
      <c r="P922" s="125"/>
      <c r="Q922" s="125"/>
      <c r="R922" s="125"/>
      <c r="S922" s="125"/>
      <c r="T922" s="125"/>
      <c r="U922" s="125"/>
      <c r="V922" s="125"/>
      <c r="W922" s="125"/>
      <c r="X922" s="125"/>
      <c r="Y922" s="125"/>
      <c r="Z922" s="125"/>
      <c r="AA922" s="125"/>
      <c r="AB922" s="125"/>
      <c r="AC922" s="125"/>
      <c r="AD922" s="125"/>
    </row>
    <row r="923">
      <c r="A923" s="124"/>
      <c r="B923" s="125"/>
      <c r="C923" s="125"/>
      <c r="D923" s="125"/>
      <c r="E923" s="125"/>
      <c r="F923" s="125"/>
      <c r="G923" s="125"/>
      <c r="H923" s="125"/>
      <c r="I923" s="125"/>
      <c r="J923" s="125"/>
      <c r="K923" s="125"/>
      <c r="L923" s="125"/>
      <c r="M923" s="125"/>
      <c r="N923" s="125"/>
      <c r="O923" s="125"/>
      <c r="P923" s="125"/>
      <c r="Q923" s="125"/>
      <c r="R923" s="125"/>
      <c r="S923" s="125"/>
      <c r="T923" s="125"/>
      <c r="U923" s="125"/>
      <c r="V923" s="125"/>
      <c r="W923" s="125"/>
      <c r="X923" s="125"/>
      <c r="Y923" s="125"/>
      <c r="Z923" s="125"/>
      <c r="AA923" s="125"/>
      <c r="AB923" s="125"/>
      <c r="AC923" s="125"/>
      <c r="AD923" s="125"/>
    </row>
    <row r="924">
      <c r="A924" s="124"/>
      <c r="B924" s="125"/>
      <c r="C924" s="125"/>
      <c r="D924" s="125"/>
      <c r="E924" s="125"/>
      <c r="F924" s="125"/>
      <c r="G924" s="125"/>
      <c r="H924" s="125"/>
      <c r="I924" s="125"/>
      <c r="J924" s="125"/>
      <c r="K924" s="125"/>
      <c r="L924" s="125"/>
      <c r="M924" s="125"/>
      <c r="N924" s="125"/>
      <c r="O924" s="125"/>
      <c r="P924" s="125"/>
      <c r="Q924" s="125"/>
      <c r="R924" s="125"/>
      <c r="S924" s="125"/>
      <c r="T924" s="125"/>
      <c r="U924" s="125"/>
      <c r="V924" s="125"/>
      <c r="W924" s="125"/>
      <c r="X924" s="125"/>
      <c r="Y924" s="125"/>
      <c r="Z924" s="125"/>
      <c r="AA924" s="125"/>
      <c r="AB924" s="125"/>
      <c r="AC924" s="125"/>
      <c r="AD924" s="125"/>
    </row>
    <row r="925">
      <c r="A925" s="124"/>
      <c r="B925" s="125"/>
      <c r="C925" s="125"/>
      <c r="D925" s="125"/>
      <c r="E925" s="125"/>
      <c r="F925" s="125"/>
      <c r="G925" s="125"/>
      <c r="H925" s="125"/>
      <c r="I925" s="125"/>
      <c r="J925" s="125"/>
      <c r="K925" s="125"/>
      <c r="L925" s="125"/>
      <c r="M925" s="125"/>
      <c r="N925" s="125"/>
      <c r="O925" s="125"/>
      <c r="P925" s="125"/>
      <c r="Q925" s="125"/>
      <c r="R925" s="125"/>
      <c r="S925" s="125"/>
      <c r="T925" s="125"/>
      <c r="U925" s="125"/>
      <c r="V925" s="125"/>
      <c r="W925" s="125"/>
      <c r="X925" s="125"/>
      <c r="Y925" s="125"/>
      <c r="Z925" s="125"/>
      <c r="AA925" s="125"/>
      <c r="AB925" s="125"/>
      <c r="AC925" s="125"/>
      <c r="AD925" s="125"/>
    </row>
    <row r="926">
      <c r="A926" s="124"/>
      <c r="B926" s="125"/>
      <c r="C926" s="125"/>
      <c r="D926" s="125"/>
      <c r="E926" s="125"/>
      <c r="F926" s="125"/>
      <c r="G926" s="125"/>
      <c r="H926" s="125"/>
      <c r="I926" s="125"/>
      <c r="J926" s="125"/>
      <c r="K926" s="125"/>
      <c r="L926" s="125"/>
      <c r="M926" s="125"/>
      <c r="N926" s="125"/>
      <c r="O926" s="125"/>
      <c r="P926" s="125"/>
      <c r="Q926" s="125"/>
      <c r="R926" s="125"/>
      <c r="S926" s="125"/>
      <c r="T926" s="125"/>
      <c r="U926" s="125"/>
      <c r="V926" s="125"/>
      <c r="W926" s="125"/>
      <c r="X926" s="125"/>
      <c r="Y926" s="125"/>
      <c r="Z926" s="125"/>
      <c r="AA926" s="125"/>
      <c r="AB926" s="125"/>
      <c r="AC926" s="125"/>
      <c r="AD926" s="125"/>
    </row>
    <row r="927">
      <c r="A927" s="124"/>
      <c r="B927" s="125"/>
      <c r="C927" s="125"/>
      <c r="D927" s="125"/>
      <c r="E927" s="125"/>
      <c r="F927" s="125"/>
      <c r="G927" s="125"/>
      <c r="H927" s="125"/>
      <c r="I927" s="125"/>
      <c r="J927" s="125"/>
      <c r="K927" s="125"/>
      <c r="L927" s="125"/>
      <c r="M927" s="125"/>
      <c r="N927" s="125"/>
      <c r="O927" s="125"/>
      <c r="P927" s="125"/>
      <c r="Q927" s="125"/>
      <c r="R927" s="125"/>
      <c r="S927" s="125"/>
      <c r="T927" s="125"/>
      <c r="U927" s="125"/>
      <c r="V927" s="125"/>
      <c r="W927" s="125"/>
      <c r="X927" s="125"/>
      <c r="Y927" s="125"/>
      <c r="Z927" s="125"/>
      <c r="AA927" s="125"/>
      <c r="AB927" s="125"/>
      <c r="AC927" s="125"/>
      <c r="AD927" s="125"/>
    </row>
    <row r="928">
      <c r="A928" s="124"/>
      <c r="B928" s="125"/>
      <c r="C928" s="125"/>
      <c r="D928" s="125"/>
      <c r="E928" s="125"/>
      <c r="F928" s="125"/>
      <c r="G928" s="125"/>
      <c r="H928" s="125"/>
      <c r="I928" s="125"/>
      <c r="J928" s="125"/>
      <c r="K928" s="125"/>
      <c r="L928" s="125"/>
      <c r="M928" s="125"/>
      <c r="N928" s="125"/>
      <c r="O928" s="125"/>
      <c r="P928" s="125"/>
      <c r="Q928" s="125"/>
      <c r="R928" s="125"/>
      <c r="S928" s="125"/>
      <c r="T928" s="125"/>
      <c r="U928" s="125"/>
      <c r="V928" s="125"/>
      <c r="W928" s="125"/>
      <c r="X928" s="125"/>
      <c r="Y928" s="125"/>
      <c r="Z928" s="125"/>
      <c r="AA928" s="125"/>
      <c r="AB928" s="125"/>
      <c r="AC928" s="125"/>
      <c r="AD928" s="125"/>
    </row>
    <row r="929">
      <c r="A929" s="124"/>
      <c r="B929" s="125"/>
      <c r="C929" s="125"/>
      <c r="D929" s="125"/>
      <c r="E929" s="125"/>
      <c r="F929" s="125"/>
      <c r="G929" s="125"/>
      <c r="H929" s="125"/>
      <c r="I929" s="125"/>
      <c r="J929" s="125"/>
      <c r="K929" s="125"/>
      <c r="L929" s="125"/>
      <c r="M929" s="125"/>
      <c r="N929" s="125"/>
      <c r="O929" s="125"/>
      <c r="P929" s="125"/>
      <c r="Q929" s="125"/>
      <c r="R929" s="125"/>
      <c r="S929" s="125"/>
      <c r="T929" s="125"/>
      <c r="U929" s="125"/>
      <c r="V929" s="125"/>
      <c r="W929" s="125"/>
      <c r="X929" s="125"/>
      <c r="Y929" s="125"/>
      <c r="Z929" s="125"/>
      <c r="AA929" s="125"/>
      <c r="AB929" s="125"/>
      <c r="AC929" s="125"/>
      <c r="AD929" s="125"/>
    </row>
    <row r="930">
      <c r="A930" s="124"/>
      <c r="B930" s="125"/>
      <c r="C930" s="125"/>
      <c r="D930" s="125"/>
      <c r="E930" s="125"/>
      <c r="F930" s="125"/>
      <c r="G930" s="125"/>
      <c r="H930" s="125"/>
      <c r="I930" s="125"/>
      <c r="J930" s="125"/>
      <c r="K930" s="125"/>
      <c r="L930" s="125"/>
      <c r="M930" s="125"/>
      <c r="N930" s="125"/>
      <c r="O930" s="125"/>
      <c r="P930" s="125"/>
      <c r="Q930" s="125"/>
      <c r="R930" s="125"/>
      <c r="S930" s="125"/>
      <c r="T930" s="125"/>
      <c r="U930" s="125"/>
      <c r="V930" s="125"/>
      <c r="W930" s="125"/>
      <c r="X930" s="125"/>
      <c r="Y930" s="125"/>
      <c r="Z930" s="125"/>
      <c r="AA930" s="125"/>
      <c r="AB930" s="125"/>
      <c r="AC930" s="125"/>
      <c r="AD930" s="125"/>
    </row>
    <row r="931">
      <c r="A931" s="124"/>
      <c r="B931" s="125"/>
      <c r="C931" s="125"/>
      <c r="D931" s="125"/>
      <c r="E931" s="125"/>
      <c r="F931" s="125"/>
      <c r="G931" s="125"/>
      <c r="H931" s="125"/>
      <c r="I931" s="125"/>
      <c r="J931" s="125"/>
      <c r="K931" s="125"/>
      <c r="L931" s="125"/>
      <c r="M931" s="125"/>
      <c r="N931" s="125"/>
      <c r="O931" s="125"/>
      <c r="P931" s="125"/>
      <c r="Q931" s="125"/>
      <c r="R931" s="125"/>
      <c r="S931" s="125"/>
      <c r="T931" s="125"/>
      <c r="U931" s="125"/>
      <c r="V931" s="125"/>
      <c r="W931" s="125"/>
      <c r="X931" s="125"/>
      <c r="Y931" s="125"/>
      <c r="Z931" s="125"/>
      <c r="AA931" s="125"/>
      <c r="AB931" s="125"/>
      <c r="AC931" s="125"/>
      <c r="AD931" s="125"/>
    </row>
    <row r="932">
      <c r="A932" s="124"/>
      <c r="B932" s="125"/>
      <c r="C932" s="125"/>
      <c r="D932" s="125"/>
      <c r="E932" s="125"/>
      <c r="F932" s="125"/>
      <c r="G932" s="125"/>
      <c r="H932" s="125"/>
      <c r="I932" s="125"/>
      <c r="J932" s="125"/>
      <c r="K932" s="125"/>
      <c r="L932" s="125"/>
      <c r="M932" s="125"/>
      <c r="N932" s="125"/>
      <c r="O932" s="125"/>
      <c r="P932" s="125"/>
      <c r="Q932" s="125"/>
      <c r="R932" s="125"/>
      <c r="S932" s="125"/>
      <c r="T932" s="125"/>
      <c r="U932" s="125"/>
      <c r="V932" s="125"/>
      <c r="W932" s="125"/>
      <c r="X932" s="125"/>
      <c r="Y932" s="125"/>
      <c r="Z932" s="125"/>
      <c r="AA932" s="125"/>
      <c r="AB932" s="125"/>
      <c r="AC932" s="125"/>
      <c r="AD932" s="125"/>
    </row>
    <row r="933">
      <c r="A933" s="124"/>
      <c r="B933" s="125"/>
      <c r="C933" s="125"/>
      <c r="D933" s="125"/>
      <c r="E933" s="125"/>
      <c r="F933" s="125"/>
      <c r="G933" s="125"/>
      <c r="H933" s="125"/>
      <c r="I933" s="125"/>
      <c r="J933" s="125"/>
      <c r="K933" s="125"/>
      <c r="L933" s="125"/>
      <c r="M933" s="125"/>
      <c r="N933" s="125"/>
      <c r="O933" s="125"/>
      <c r="P933" s="125"/>
      <c r="Q933" s="125"/>
      <c r="R933" s="125"/>
      <c r="S933" s="125"/>
      <c r="T933" s="125"/>
      <c r="U933" s="125"/>
      <c r="V933" s="125"/>
      <c r="W933" s="125"/>
      <c r="X933" s="125"/>
      <c r="Y933" s="125"/>
      <c r="Z933" s="125"/>
      <c r="AA933" s="125"/>
      <c r="AB933" s="125"/>
      <c r="AC933" s="125"/>
      <c r="AD933" s="125"/>
    </row>
    <row r="934">
      <c r="A934" s="124"/>
      <c r="B934" s="125"/>
      <c r="C934" s="125"/>
      <c r="D934" s="125"/>
      <c r="E934" s="125"/>
      <c r="F934" s="125"/>
      <c r="G934" s="125"/>
      <c r="H934" s="125"/>
      <c r="I934" s="125"/>
      <c r="J934" s="125"/>
      <c r="K934" s="125"/>
      <c r="L934" s="125"/>
      <c r="M934" s="125"/>
      <c r="N934" s="125"/>
      <c r="O934" s="125"/>
      <c r="P934" s="125"/>
      <c r="Q934" s="125"/>
      <c r="R934" s="125"/>
      <c r="S934" s="125"/>
      <c r="T934" s="125"/>
      <c r="U934" s="125"/>
      <c r="V934" s="125"/>
      <c r="W934" s="125"/>
      <c r="X934" s="125"/>
      <c r="Y934" s="125"/>
      <c r="Z934" s="125"/>
      <c r="AA934" s="125"/>
      <c r="AB934" s="125"/>
      <c r="AC934" s="125"/>
      <c r="AD934" s="125"/>
    </row>
    <row r="935">
      <c r="A935" s="124"/>
      <c r="B935" s="125"/>
      <c r="C935" s="125"/>
      <c r="D935" s="125"/>
      <c r="E935" s="125"/>
      <c r="F935" s="125"/>
      <c r="G935" s="125"/>
      <c r="H935" s="125"/>
      <c r="I935" s="125"/>
      <c r="J935" s="125"/>
      <c r="K935" s="125"/>
      <c r="L935" s="125"/>
      <c r="M935" s="125"/>
      <c r="N935" s="125"/>
      <c r="O935" s="125"/>
      <c r="P935" s="125"/>
      <c r="Q935" s="125"/>
      <c r="R935" s="125"/>
      <c r="S935" s="125"/>
      <c r="T935" s="125"/>
      <c r="U935" s="125"/>
      <c r="V935" s="125"/>
      <c r="W935" s="125"/>
      <c r="X935" s="125"/>
      <c r="Y935" s="125"/>
      <c r="Z935" s="125"/>
      <c r="AA935" s="125"/>
      <c r="AB935" s="125"/>
      <c r="AC935" s="125"/>
      <c r="AD935" s="125"/>
    </row>
    <row r="936">
      <c r="A936" s="124"/>
      <c r="B936" s="125"/>
      <c r="C936" s="125"/>
      <c r="D936" s="125"/>
      <c r="E936" s="125"/>
      <c r="F936" s="125"/>
      <c r="G936" s="125"/>
      <c r="H936" s="125"/>
      <c r="I936" s="125"/>
      <c r="J936" s="125"/>
      <c r="K936" s="125"/>
      <c r="L936" s="125"/>
      <c r="M936" s="125"/>
      <c r="N936" s="125"/>
      <c r="O936" s="125"/>
      <c r="P936" s="125"/>
      <c r="Q936" s="125"/>
      <c r="R936" s="125"/>
      <c r="S936" s="125"/>
      <c r="T936" s="125"/>
      <c r="U936" s="125"/>
      <c r="V936" s="125"/>
      <c r="W936" s="125"/>
      <c r="X936" s="125"/>
      <c r="Y936" s="125"/>
      <c r="Z936" s="125"/>
      <c r="AA936" s="125"/>
      <c r="AB936" s="125"/>
      <c r="AC936" s="125"/>
      <c r="AD936" s="125"/>
    </row>
    <row r="937">
      <c r="A937" s="124"/>
      <c r="B937" s="125"/>
      <c r="C937" s="125"/>
      <c r="D937" s="125"/>
      <c r="E937" s="125"/>
      <c r="F937" s="125"/>
      <c r="G937" s="125"/>
      <c r="H937" s="125"/>
      <c r="I937" s="125"/>
      <c r="J937" s="125"/>
      <c r="K937" s="125"/>
      <c r="L937" s="125"/>
      <c r="M937" s="125"/>
      <c r="N937" s="125"/>
      <c r="O937" s="125"/>
      <c r="P937" s="125"/>
      <c r="Q937" s="125"/>
      <c r="R937" s="125"/>
      <c r="S937" s="125"/>
      <c r="T937" s="125"/>
      <c r="U937" s="125"/>
      <c r="V937" s="125"/>
      <c r="W937" s="125"/>
      <c r="X937" s="125"/>
      <c r="Y937" s="125"/>
      <c r="Z937" s="125"/>
      <c r="AA937" s="125"/>
      <c r="AB937" s="125"/>
      <c r="AC937" s="125"/>
      <c r="AD937" s="125"/>
    </row>
    <row r="938">
      <c r="A938" s="124"/>
      <c r="B938" s="125"/>
      <c r="C938" s="125"/>
      <c r="D938" s="125"/>
      <c r="E938" s="125"/>
      <c r="F938" s="125"/>
      <c r="G938" s="125"/>
      <c r="H938" s="125"/>
      <c r="I938" s="125"/>
      <c r="J938" s="125"/>
      <c r="K938" s="125"/>
      <c r="L938" s="125"/>
      <c r="M938" s="125"/>
      <c r="N938" s="125"/>
      <c r="O938" s="125"/>
      <c r="P938" s="125"/>
      <c r="Q938" s="125"/>
      <c r="R938" s="125"/>
      <c r="S938" s="125"/>
      <c r="T938" s="125"/>
      <c r="U938" s="125"/>
      <c r="V938" s="125"/>
      <c r="W938" s="125"/>
      <c r="X938" s="125"/>
      <c r="Y938" s="125"/>
      <c r="Z938" s="125"/>
      <c r="AA938" s="125"/>
      <c r="AB938" s="125"/>
      <c r="AC938" s="125"/>
      <c r="AD938" s="125"/>
    </row>
    <row r="939">
      <c r="A939" s="124"/>
      <c r="B939" s="125"/>
      <c r="C939" s="125"/>
      <c r="D939" s="125"/>
      <c r="E939" s="125"/>
      <c r="F939" s="125"/>
      <c r="G939" s="125"/>
      <c r="H939" s="125"/>
      <c r="I939" s="125"/>
      <c r="J939" s="125"/>
      <c r="K939" s="125"/>
      <c r="L939" s="125"/>
      <c r="M939" s="125"/>
      <c r="N939" s="125"/>
      <c r="O939" s="125"/>
      <c r="P939" s="125"/>
      <c r="Q939" s="125"/>
      <c r="R939" s="125"/>
      <c r="S939" s="125"/>
      <c r="T939" s="125"/>
      <c r="U939" s="125"/>
      <c r="V939" s="125"/>
      <c r="W939" s="125"/>
      <c r="X939" s="125"/>
      <c r="Y939" s="125"/>
      <c r="Z939" s="125"/>
      <c r="AA939" s="125"/>
      <c r="AB939" s="125"/>
      <c r="AC939" s="125"/>
      <c r="AD939" s="125"/>
    </row>
    <row r="940">
      <c r="A940" s="124"/>
      <c r="B940" s="125"/>
      <c r="C940" s="125"/>
      <c r="D940" s="125"/>
      <c r="E940" s="125"/>
      <c r="F940" s="125"/>
      <c r="G940" s="125"/>
      <c r="H940" s="125"/>
      <c r="I940" s="125"/>
      <c r="J940" s="125"/>
      <c r="K940" s="125"/>
      <c r="L940" s="125"/>
      <c r="M940" s="125"/>
      <c r="N940" s="125"/>
      <c r="O940" s="125"/>
      <c r="P940" s="125"/>
      <c r="Q940" s="125"/>
      <c r="R940" s="125"/>
      <c r="S940" s="125"/>
      <c r="T940" s="125"/>
      <c r="U940" s="125"/>
      <c r="V940" s="125"/>
      <c r="W940" s="125"/>
      <c r="X940" s="125"/>
      <c r="Y940" s="125"/>
      <c r="Z940" s="125"/>
      <c r="AA940" s="125"/>
      <c r="AB940" s="125"/>
      <c r="AC940" s="125"/>
      <c r="AD940" s="125"/>
    </row>
    <row r="941">
      <c r="A941" s="124"/>
      <c r="B941" s="125"/>
      <c r="C941" s="125"/>
      <c r="D941" s="125"/>
      <c r="E941" s="125"/>
      <c r="F941" s="125"/>
      <c r="G941" s="125"/>
      <c r="H941" s="125"/>
      <c r="I941" s="125"/>
      <c r="J941" s="125"/>
      <c r="K941" s="125"/>
      <c r="L941" s="125"/>
      <c r="M941" s="125"/>
      <c r="N941" s="125"/>
      <c r="O941" s="125"/>
      <c r="P941" s="125"/>
      <c r="Q941" s="125"/>
      <c r="R941" s="125"/>
      <c r="S941" s="125"/>
      <c r="T941" s="125"/>
      <c r="U941" s="125"/>
      <c r="V941" s="125"/>
      <c r="W941" s="125"/>
      <c r="X941" s="125"/>
      <c r="Y941" s="125"/>
      <c r="Z941" s="125"/>
      <c r="AA941" s="125"/>
      <c r="AB941" s="125"/>
      <c r="AC941" s="125"/>
      <c r="AD941" s="125"/>
    </row>
    <row r="942">
      <c r="A942" s="124"/>
      <c r="B942" s="125"/>
      <c r="C942" s="125"/>
      <c r="D942" s="125"/>
      <c r="E942" s="125"/>
      <c r="F942" s="125"/>
      <c r="G942" s="125"/>
      <c r="H942" s="125"/>
      <c r="I942" s="125"/>
      <c r="J942" s="125"/>
      <c r="K942" s="125"/>
      <c r="L942" s="125"/>
      <c r="M942" s="125"/>
      <c r="N942" s="125"/>
      <c r="O942" s="125"/>
      <c r="P942" s="125"/>
      <c r="Q942" s="125"/>
      <c r="R942" s="125"/>
      <c r="S942" s="125"/>
      <c r="T942" s="125"/>
      <c r="U942" s="125"/>
      <c r="V942" s="125"/>
      <c r="W942" s="125"/>
      <c r="X942" s="125"/>
      <c r="Y942" s="125"/>
      <c r="Z942" s="125"/>
      <c r="AA942" s="125"/>
      <c r="AB942" s="125"/>
      <c r="AC942" s="125"/>
      <c r="AD942" s="125"/>
    </row>
    <row r="943">
      <c r="A943" s="124"/>
      <c r="B943" s="125"/>
      <c r="C943" s="125"/>
      <c r="D943" s="125"/>
      <c r="E943" s="125"/>
      <c r="F943" s="125"/>
      <c r="G943" s="125"/>
      <c r="H943" s="125"/>
      <c r="I943" s="125"/>
      <c r="J943" s="125"/>
      <c r="K943" s="125"/>
      <c r="L943" s="125"/>
      <c r="M943" s="125"/>
      <c r="N943" s="125"/>
      <c r="O943" s="125"/>
      <c r="P943" s="125"/>
      <c r="Q943" s="125"/>
      <c r="R943" s="125"/>
      <c r="S943" s="125"/>
      <c r="T943" s="125"/>
      <c r="U943" s="125"/>
      <c r="V943" s="125"/>
      <c r="W943" s="125"/>
      <c r="X943" s="125"/>
      <c r="Y943" s="125"/>
      <c r="Z943" s="125"/>
      <c r="AA943" s="125"/>
      <c r="AB943" s="125"/>
      <c r="AC943" s="125"/>
      <c r="AD943" s="125"/>
    </row>
    <row r="944">
      <c r="A944" s="124"/>
      <c r="B944" s="125"/>
      <c r="C944" s="125"/>
      <c r="D944" s="125"/>
      <c r="E944" s="125"/>
      <c r="F944" s="125"/>
      <c r="G944" s="125"/>
      <c r="H944" s="125"/>
      <c r="I944" s="125"/>
      <c r="J944" s="125"/>
      <c r="K944" s="125"/>
      <c r="L944" s="125"/>
      <c r="M944" s="125"/>
      <c r="N944" s="125"/>
      <c r="O944" s="125"/>
      <c r="P944" s="125"/>
      <c r="Q944" s="125"/>
      <c r="R944" s="125"/>
      <c r="S944" s="125"/>
      <c r="T944" s="125"/>
      <c r="U944" s="125"/>
      <c r="V944" s="125"/>
      <c r="W944" s="125"/>
      <c r="X944" s="125"/>
      <c r="Y944" s="125"/>
      <c r="Z944" s="125"/>
      <c r="AA944" s="125"/>
      <c r="AB944" s="125"/>
      <c r="AC944" s="125"/>
      <c r="AD944" s="125"/>
    </row>
    <row r="945">
      <c r="A945" s="124"/>
      <c r="B945" s="125"/>
      <c r="C945" s="125"/>
      <c r="D945" s="125"/>
      <c r="E945" s="125"/>
      <c r="F945" s="125"/>
      <c r="G945" s="125"/>
      <c r="H945" s="125"/>
      <c r="I945" s="125"/>
      <c r="J945" s="125"/>
      <c r="K945" s="125"/>
      <c r="L945" s="125"/>
      <c r="M945" s="125"/>
      <c r="N945" s="125"/>
      <c r="O945" s="125"/>
      <c r="P945" s="125"/>
      <c r="Q945" s="125"/>
      <c r="R945" s="125"/>
      <c r="S945" s="125"/>
      <c r="T945" s="125"/>
      <c r="U945" s="125"/>
      <c r="V945" s="125"/>
      <c r="W945" s="125"/>
      <c r="X945" s="125"/>
      <c r="Y945" s="125"/>
      <c r="Z945" s="125"/>
      <c r="AA945" s="125"/>
      <c r="AB945" s="125"/>
      <c r="AC945" s="125"/>
      <c r="AD945" s="125"/>
    </row>
    <row r="946">
      <c r="A946" s="124"/>
      <c r="B946" s="125"/>
      <c r="C946" s="125"/>
      <c r="D946" s="125"/>
      <c r="E946" s="125"/>
      <c r="F946" s="125"/>
      <c r="G946" s="125"/>
      <c r="H946" s="125"/>
      <c r="I946" s="125"/>
      <c r="J946" s="125"/>
      <c r="K946" s="125"/>
      <c r="L946" s="125"/>
      <c r="M946" s="125"/>
      <c r="N946" s="125"/>
      <c r="O946" s="125"/>
      <c r="P946" s="125"/>
      <c r="Q946" s="125"/>
      <c r="R946" s="125"/>
      <c r="S946" s="125"/>
      <c r="T946" s="125"/>
      <c r="U946" s="125"/>
      <c r="V946" s="125"/>
      <c r="W946" s="125"/>
      <c r="X946" s="125"/>
      <c r="Y946" s="125"/>
      <c r="Z946" s="125"/>
      <c r="AA946" s="125"/>
      <c r="AB946" s="125"/>
      <c r="AC946" s="125"/>
      <c r="AD946" s="125"/>
    </row>
    <row r="947">
      <c r="A947" s="124"/>
      <c r="B947" s="125"/>
      <c r="C947" s="125"/>
      <c r="D947" s="125"/>
      <c r="E947" s="125"/>
      <c r="F947" s="125"/>
      <c r="G947" s="125"/>
      <c r="H947" s="125"/>
      <c r="I947" s="125"/>
      <c r="J947" s="125"/>
      <c r="K947" s="125"/>
      <c r="L947" s="125"/>
      <c r="M947" s="125"/>
      <c r="N947" s="125"/>
      <c r="O947" s="125"/>
      <c r="P947" s="125"/>
      <c r="Q947" s="125"/>
      <c r="R947" s="125"/>
      <c r="S947" s="125"/>
      <c r="T947" s="125"/>
      <c r="U947" s="125"/>
      <c r="V947" s="125"/>
      <c r="W947" s="125"/>
      <c r="X947" s="125"/>
      <c r="Y947" s="125"/>
      <c r="Z947" s="125"/>
      <c r="AA947" s="125"/>
      <c r="AB947" s="125"/>
      <c r="AC947" s="125"/>
      <c r="AD947" s="125"/>
    </row>
    <row r="948">
      <c r="A948" s="124"/>
      <c r="B948" s="125"/>
      <c r="C948" s="125"/>
      <c r="D948" s="125"/>
      <c r="E948" s="125"/>
      <c r="F948" s="125"/>
      <c r="G948" s="125"/>
      <c r="H948" s="125"/>
      <c r="I948" s="125"/>
      <c r="J948" s="125"/>
      <c r="K948" s="125"/>
      <c r="L948" s="125"/>
      <c r="M948" s="125"/>
      <c r="N948" s="125"/>
      <c r="O948" s="125"/>
      <c r="P948" s="125"/>
      <c r="Q948" s="125"/>
      <c r="R948" s="125"/>
      <c r="S948" s="125"/>
      <c r="T948" s="125"/>
      <c r="U948" s="125"/>
      <c r="V948" s="125"/>
      <c r="W948" s="125"/>
      <c r="X948" s="125"/>
      <c r="Y948" s="125"/>
      <c r="Z948" s="125"/>
      <c r="AA948" s="125"/>
      <c r="AB948" s="125"/>
      <c r="AC948" s="125"/>
      <c r="AD948" s="125"/>
    </row>
    <row r="949">
      <c r="A949" s="124"/>
      <c r="B949" s="125"/>
      <c r="C949" s="125"/>
      <c r="D949" s="125"/>
      <c r="E949" s="125"/>
      <c r="F949" s="125"/>
      <c r="G949" s="125"/>
      <c r="H949" s="125"/>
      <c r="I949" s="125"/>
      <c r="J949" s="125"/>
      <c r="K949" s="125"/>
      <c r="L949" s="125"/>
      <c r="M949" s="125"/>
      <c r="N949" s="125"/>
      <c r="O949" s="125"/>
      <c r="P949" s="125"/>
      <c r="Q949" s="125"/>
      <c r="R949" s="125"/>
      <c r="S949" s="125"/>
      <c r="T949" s="125"/>
      <c r="U949" s="125"/>
      <c r="V949" s="125"/>
      <c r="W949" s="125"/>
      <c r="X949" s="125"/>
      <c r="Y949" s="125"/>
      <c r="Z949" s="125"/>
      <c r="AA949" s="125"/>
      <c r="AB949" s="125"/>
      <c r="AC949" s="125"/>
      <c r="AD949" s="125"/>
    </row>
    <row r="950">
      <c r="A950" s="124"/>
      <c r="B950" s="125"/>
      <c r="C950" s="125"/>
      <c r="D950" s="125"/>
      <c r="E950" s="125"/>
      <c r="F950" s="125"/>
      <c r="G950" s="125"/>
      <c r="H950" s="125"/>
      <c r="I950" s="125"/>
      <c r="J950" s="125"/>
      <c r="K950" s="125"/>
      <c r="L950" s="125"/>
      <c r="M950" s="125"/>
      <c r="N950" s="125"/>
      <c r="O950" s="125"/>
      <c r="P950" s="125"/>
      <c r="Q950" s="125"/>
      <c r="R950" s="125"/>
      <c r="S950" s="125"/>
      <c r="T950" s="125"/>
      <c r="U950" s="125"/>
      <c r="V950" s="125"/>
      <c r="W950" s="125"/>
      <c r="X950" s="125"/>
      <c r="Y950" s="125"/>
      <c r="Z950" s="125"/>
      <c r="AA950" s="125"/>
      <c r="AB950" s="125"/>
      <c r="AC950" s="125"/>
      <c r="AD950" s="125"/>
    </row>
    <row r="951">
      <c r="A951" s="124"/>
      <c r="B951" s="125"/>
      <c r="C951" s="125"/>
      <c r="D951" s="125"/>
      <c r="E951" s="125"/>
      <c r="F951" s="125"/>
      <c r="G951" s="125"/>
      <c r="H951" s="125"/>
      <c r="I951" s="125"/>
      <c r="J951" s="125"/>
      <c r="K951" s="125"/>
      <c r="L951" s="125"/>
      <c r="M951" s="125"/>
      <c r="N951" s="125"/>
      <c r="O951" s="125"/>
      <c r="P951" s="125"/>
      <c r="Q951" s="125"/>
      <c r="R951" s="125"/>
      <c r="S951" s="125"/>
      <c r="T951" s="125"/>
      <c r="U951" s="125"/>
      <c r="V951" s="125"/>
      <c r="W951" s="125"/>
      <c r="X951" s="125"/>
      <c r="Y951" s="125"/>
      <c r="Z951" s="125"/>
      <c r="AA951" s="125"/>
      <c r="AB951" s="125"/>
      <c r="AC951" s="125"/>
      <c r="AD951" s="125"/>
    </row>
    <row r="952">
      <c r="A952" s="124"/>
      <c r="B952" s="125"/>
      <c r="C952" s="125"/>
      <c r="D952" s="125"/>
      <c r="E952" s="125"/>
      <c r="F952" s="125"/>
      <c r="G952" s="125"/>
      <c r="H952" s="125"/>
      <c r="I952" s="125"/>
      <c r="J952" s="125"/>
      <c r="K952" s="125"/>
      <c r="L952" s="125"/>
      <c r="M952" s="125"/>
      <c r="N952" s="125"/>
      <c r="O952" s="125"/>
      <c r="P952" s="125"/>
      <c r="Q952" s="125"/>
      <c r="R952" s="125"/>
      <c r="S952" s="125"/>
      <c r="T952" s="125"/>
      <c r="U952" s="125"/>
      <c r="V952" s="125"/>
      <c r="W952" s="125"/>
      <c r="X952" s="125"/>
      <c r="Y952" s="125"/>
      <c r="Z952" s="125"/>
      <c r="AA952" s="125"/>
      <c r="AB952" s="125"/>
      <c r="AC952" s="125"/>
      <c r="AD952" s="125"/>
    </row>
    <row r="953">
      <c r="A953" s="124"/>
      <c r="B953" s="125"/>
      <c r="C953" s="125"/>
      <c r="D953" s="125"/>
      <c r="E953" s="125"/>
      <c r="F953" s="125"/>
      <c r="G953" s="125"/>
      <c r="H953" s="125"/>
      <c r="I953" s="125"/>
      <c r="J953" s="125"/>
      <c r="K953" s="125"/>
      <c r="L953" s="125"/>
      <c r="M953" s="125"/>
      <c r="N953" s="125"/>
      <c r="O953" s="125"/>
      <c r="P953" s="125"/>
      <c r="Q953" s="125"/>
      <c r="R953" s="125"/>
      <c r="S953" s="125"/>
      <c r="T953" s="125"/>
      <c r="U953" s="125"/>
      <c r="V953" s="125"/>
      <c r="W953" s="125"/>
      <c r="X953" s="125"/>
      <c r="Y953" s="125"/>
      <c r="Z953" s="125"/>
      <c r="AA953" s="125"/>
      <c r="AB953" s="125"/>
      <c r="AC953" s="125"/>
      <c r="AD953" s="125"/>
    </row>
    <row r="954">
      <c r="A954" s="124"/>
      <c r="B954" s="125"/>
      <c r="C954" s="125"/>
      <c r="D954" s="125"/>
      <c r="E954" s="125"/>
      <c r="F954" s="125"/>
      <c r="G954" s="125"/>
      <c r="H954" s="125"/>
      <c r="I954" s="125"/>
      <c r="J954" s="125"/>
      <c r="K954" s="125"/>
      <c r="L954" s="125"/>
      <c r="M954" s="125"/>
      <c r="N954" s="125"/>
      <c r="O954" s="125"/>
      <c r="P954" s="125"/>
      <c r="Q954" s="125"/>
      <c r="R954" s="125"/>
      <c r="S954" s="125"/>
      <c r="T954" s="125"/>
      <c r="U954" s="125"/>
      <c r="V954" s="125"/>
      <c r="W954" s="125"/>
      <c r="X954" s="125"/>
      <c r="Y954" s="125"/>
      <c r="Z954" s="125"/>
      <c r="AA954" s="125"/>
      <c r="AB954" s="125"/>
      <c r="AC954" s="125"/>
      <c r="AD954" s="125"/>
    </row>
    <row r="955">
      <c r="A955" s="124"/>
      <c r="B955" s="125"/>
      <c r="C955" s="125"/>
      <c r="D955" s="125"/>
      <c r="E955" s="125"/>
      <c r="F955" s="125"/>
      <c r="G955" s="125"/>
      <c r="H955" s="125"/>
      <c r="I955" s="125"/>
      <c r="J955" s="125"/>
      <c r="K955" s="125"/>
      <c r="L955" s="125"/>
      <c r="M955" s="125"/>
      <c r="N955" s="125"/>
      <c r="O955" s="125"/>
      <c r="P955" s="125"/>
      <c r="Q955" s="125"/>
      <c r="R955" s="125"/>
      <c r="S955" s="125"/>
      <c r="T955" s="125"/>
      <c r="U955" s="125"/>
      <c r="V955" s="125"/>
      <c r="W955" s="125"/>
      <c r="X955" s="125"/>
      <c r="Y955" s="125"/>
      <c r="Z955" s="125"/>
      <c r="AA955" s="125"/>
      <c r="AB955" s="125"/>
      <c r="AC955" s="125"/>
      <c r="AD955" s="125"/>
    </row>
    <row r="956">
      <c r="A956" s="124"/>
      <c r="B956" s="125"/>
      <c r="C956" s="125"/>
      <c r="D956" s="125"/>
      <c r="E956" s="125"/>
      <c r="F956" s="125"/>
      <c r="G956" s="125"/>
      <c r="H956" s="125"/>
      <c r="I956" s="125"/>
      <c r="J956" s="125"/>
      <c r="K956" s="125"/>
      <c r="L956" s="125"/>
      <c r="M956" s="125"/>
      <c r="N956" s="125"/>
      <c r="O956" s="125"/>
      <c r="P956" s="125"/>
      <c r="Q956" s="125"/>
      <c r="R956" s="125"/>
      <c r="S956" s="125"/>
      <c r="T956" s="125"/>
      <c r="U956" s="125"/>
      <c r="V956" s="125"/>
      <c r="W956" s="125"/>
      <c r="X956" s="125"/>
      <c r="Y956" s="125"/>
      <c r="Z956" s="125"/>
      <c r="AA956" s="125"/>
      <c r="AB956" s="125"/>
      <c r="AC956" s="125"/>
      <c r="AD956" s="125"/>
    </row>
    <row r="957">
      <c r="A957" s="124"/>
      <c r="B957" s="125"/>
      <c r="C957" s="125"/>
      <c r="D957" s="125"/>
      <c r="E957" s="125"/>
      <c r="F957" s="125"/>
      <c r="G957" s="125"/>
      <c r="H957" s="125"/>
      <c r="I957" s="125"/>
      <c r="J957" s="125"/>
      <c r="K957" s="125"/>
      <c r="L957" s="125"/>
      <c r="M957" s="125"/>
      <c r="N957" s="125"/>
      <c r="O957" s="125"/>
      <c r="P957" s="125"/>
      <c r="Q957" s="125"/>
      <c r="R957" s="125"/>
      <c r="S957" s="125"/>
      <c r="T957" s="125"/>
      <c r="U957" s="125"/>
      <c r="V957" s="125"/>
      <c r="W957" s="125"/>
      <c r="X957" s="125"/>
      <c r="Y957" s="125"/>
      <c r="Z957" s="125"/>
      <c r="AA957" s="125"/>
      <c r="AB957" s="125"/>
      <c r="AC957" s="125"/>
      <c r="AD957" s="125"/>
    </row>
    <row r="958">
      <c r="A958" s="124"/>
      <c r="B958" s="125"/>
      <c r="C958" s="125"/>
      <c r="D958" s="125"/>
      <c r="E958" s="125"/>
      <c r="F958" s="125"/>
      <c r="G958" s="125"/>
      <c r="H958" s="125"/>
      <c r="I958" s="125"/>
      <c r="J958" s="125"/>
      <c r="K958" s="125"/>
      <c r="L958" s="125"/>
      <c r="M958" s="125"/>
      <c r="N958" s="125"/>
      <c r="O958" s="125"/>
      <c r="P958" s="125"/>
      <c r="Q958" s="125"/>
      <c r="R958" s="125"/>
      <c r="S958" s="125"/>
      <c r="T958" s="125"/>
      <c r="U958" s="125"/>
      <c r="V958" s="125"/>
      <c r="W958" s="125"/>
      <c r="X958" s="125"/>
      <c r="Y958" s="125"/>
      <c r="Z958" s="125"/>
      <c r="AA958" s="125"/>
      <c r="AB958" s="125"/>
      <c r="AC958" s="125"/>
      <c r="AD958" s="125"/>
    </row>
    <row r="959">
      <c r="A959" s="124"/>
      <c r="B959" s="125"/>
      <c r="C959" s="125"/>
      <c r="D959" s="125"/>
      <c r="E959" s="125"/>
      <c r="F959" s="125"/>
      <c r="G959" s="125"/>
      <c r="H959" s="125"/>
      <c r="I959" s="125"/>
      <c r="J959" s="125"/>
      <c r="K959" s="125"/>
      <c r="L959" s="125"/>
      <c r="M959" s="125"/>
      <c r="N959" s="125"/>
      <c r="O959" s="125"/>
      <c r="P959" s="125"/>
      <c r="Q959" s="125"/>
      <c r="R959" s="125"/>
      <c r="S959" s="125"/>
      <c r="T959" s="125"/>
      <c r="U959" s="125"/>
      <c r="V959" s="125"/>
      <c r="W959" s="125"/>
      <c r="X959" s="125"/>
      <c r="Y959" s="125"/>
      <c r="Z959" s="125"/>
      <c r="AA959" s="125"/>
      <c r="AB959" s="125"/>
      <c r="AC959" s="125"/>
      <c r="AD959" s="125"/>
    </row>
    <row r="960">
      <c r="A960" s="124"/>
      <c r="B960" s="125"/>
      <c r="C960" s="125"/>
      <c r="D960" s="125"/>
      <c r="E960" s="125"/>
      <c r="F960" s="125"/>
      <c r="G960" s="125"/>
      <c r="H960" s="125"/>
      <c r="I960" s="125"/>
      <c r="J960" s="125"/>
      <c r="K960" s="125"/>
      <c r="L960" s="125"/>
      <c r="M960" s="125"/>
      <c r="N960" s="125"/>
      <c r="O960" s="125"/>
      <c r="P960" s="125"/>
      <c r="Q960" s="125"/>
      <c r="R960" s="125"/>
      <c r="S960" s="125"/>
      <c r="T960" s="125"/>
      <c r="U960" s="125"/>
      <c r="V960" s="125"/>
      <c r="W960" s="125"/>
      <c r="X960" s="125"/>
      <c r="Y960" s="125"/>
      <c r="Z960" s="125"/>
      <c r="AA960" s="125"/>
      <c r="AB960" s="125"/>
      <c r="AC960" s="125"/>
      <c r="AD960" s="125"/>
    </row>
    <row r="961">
      <c r="A961" s="124"/>
      <c r="B961" s="125"/>
      <c r="C961" s="125"/>
      <c r="D961" s="125"/>
      <c r="E961" s="125"/>
      <c r="F961" s="125"/>
      <c r="G961" s="125"/>
      <c r="H961" s="125"/>
      <c r="I961" s="125"/>
      <c r="J961" s="125"/>
      <c r="K961" s="125"/>
      <c r="L961" s="125"/>
      <c r="M961" s="125"/>
      <c r="N961" s="125"/>
      <c r="O961" s="125"/>
      <c r="P961" s="125"/>
      <c r="Q961" s="125"/>
      <c r="R961" s="125"/>
      <c r="S961" s="125"/>
      <c r="T961" s="125"/>
      <c r="U961" s="125"/>
      <c r="V961" s="125"/>
      <c r="W961" s="125"/>
      <c r="X961" s="125"/>
      <c r="Y961" s="125"/>
      <c r="Z961" s="125"/>
      <c r="AA961" s="125"/>
      <c r="AB961" s="125"/>
      <c r="AC961" s="125"/>
      <c r="AD961" s="125"/>
    </row>
    <row r="962">
      <c r="A962" s="124"/>
      <c r="B962" s="125"/>
      <c r="C962" s="125"/>
      <c r="D962" s="125"/>
      <c r="E962" s="125"/>
      <c r="F962" s="125"/>
      <c r="G962" s="125"/>
      <c r="H962" s="125"/>
      <c r="I962" s="125"/>
      <c r="J962" s="125"/>
      <c r="K962" s="125"/>
      <c r="L962" s="125"/>
      <c r="M962" s="125"/>
      <c r="N962" s="125"/>
      <c r="O962" s="125"/>
      <c r="P962" s="125"/>
      <c r="Q962" s="125"/>
      <c r="R962" s="125"/>
      <c r="S962" s="125"/>
      <c r="T962" s="125"/>
      <c r="U962" s="125"/>
      <c r="V962" s="125"/>
      <c r="W962" s="125"/>
      <c r="X962" s="125"/>
      <c r="Y962" s="125"/>
      <c r="Z962" s="125"/>
      <c r="AA962" s="125"/>
      <c r="AB962" s="125"/>
      <c r="AC962" s="125"/>
      <c r="AD962" s="125"/>
    </row>
    <row r="963">
      <c r="A963" s="124"/>
      <c r="B963" s="125"/>
      <c r="C963" s="125"/>
      <c r="D963" s="125"/>
      <c r="E963" s="125"/>
      <c r="F963" s="125"/>
      <c r="G963" s="125"/>
      <c r="H963" s="125"/>
      <c r="I963" s="125"/>
      <c r="J963" s="125"/>
      <c r="K963" s="125"/>
      <c r="L963" s="125"/>
      <c r="M963" s="125"/>
      <c r="N963" s="125"/>
      <c r="O963" s="125"/>
      <c r="P963" s="125"/>
      <c r="Q963" s="125"/>
      <c r="R963" s="125"/>
      <c r="S963" s="125"/>
      <c r="T963" s="125"/>
      <c r="U963" s="125"/>
      <c r="V963" s="125"/>
      <c r="W963" s="125"/>
      <c r="X963" s="125"/>
      <c r="Y963" s="125"/>
      <c r="Z963" s="125"/>
      <c r="AA963" s="125"/>
      <c r="AB963" s="125"/>
      <c r="AC963" s="125"/>
      <c r="AD963" s="125"/>
    </row>
    <row r="964">
      <c r="A964" s="124"/>
      <c r="B964" s="125"/>
      <c r="C964" s="125"/>
      <c r="D964" s="125"/>
      <c r="E964" s="125"/>
      <c r="F964" s="125"/>
      <c r="G964" s="125"/>
      <c r="H964" s="125"/>
      <c r="I964" s="125"/>
      <c r="J964" s="125"/>
      <c r="K964" s="125"/>
      <c r="L964" s="125"/>
      <c r="M964" s="125"/>
      <c r="N964" s="125"/>
      <c r="O964" s="125"/>
      <c r="P964" s="125"/>
      <c r="Q964" s="125"/>
      <c r="R964" s="125"/>
      <c r="S964" s="125"/>
      <c r="T964" s="125"/>
      <c r="U964" s="125"/>
      <c r="V964" s="125"/>
      <c r="W964" s="125"/>
      <c r="X964" s="125"/>
      <c r="Y964" s="125"/>
      <c r="Z964" s="125"/>
      <c r="AA964" s="125"/>
      <c r="AB964" s="125"/>
      <c r="AC964" s="125"/>
      <c r="AD964" s="125"/>
    </row>
    <row r="965">
      <c r="A965" s="124"/>
      <c r="B965" s="125"/>
      <c r="C965" s="125"/>
      <c r="D965" s="125"/>
      <c r="E965" s="125"/>
      <c r="F965" s="125"/>
      <c r="G965" s="125"/>
      <c r="H965" s="125"/>
      <c r="I965" s="125"/>
      <c r="J965" s="125"/>
      <c r="K965" s="125"/>
      <c r="L965" s="125"/>
      <c r="M965" s="125"/>
      <c r="N965" s="125"/>
      <c r="O965" s="125"/>
      <c r="P965" s="125"/>
      <c r="Q965" s="125"/>
      <c r="R965" s="125"/>
      <c r="S965" s="125"/>
      <c r="T965" s="125"/>
      <c r="U965" s="125"/>
      <c r="V965" s="125"/>
      <c r="W965" s="125"/>
      <c r="X965" s="125"/>
      <c r="Y965" s="125"/>
      <c r="Z965" s="125"/>
      <c r="AA965" s="125"/>
      <c r="AB965" s="125"/>
      <c r="AC965" s="125"/>
      <c r="AD965" s="125"/>
    </row>
    <row r="966">
      <c r="A966" s="124"/>
      <c r="B966" s="125"/>
      <c r="C966" s="125"/>
      <c r="D966" s="125"/>
      <c r="E966" s="125"/>
      <c r="F966" s="125"/>
      <c r="G966" s="125"/>
      <c r="H966" s="125"/>
      <c r="I966" s="125"/>
      <c r="J966" s="125"/>
      <c r="K966" s="125"/>
      <c r="L966" s="125"/>
      <c r="M966" s="125"/>
      <c r="N966" s="125"/>
      <c r="O966" s="125"/>
      <c r="P966" s="125"/>
      <c r="Q966" s="125"/>
      <c r="R966" s="125"/>
      <c r="S966" s="125"/>
      <c r="T966" s="125"/>
      <c r="U966" s="125"/>
      <c r="V966" s="125"/>
      <c r="W966" s="125"/>
      <c r="X966" s="125"/>
      <c r="Y966" s="125"/>
      <c r="Z966" s="125"/>
      <c r="AA966" s="125"/>
      <c r="AB966" s="125"/>
      <c r="AC966" s="125"/>
      <c r="AD966" s="125"/>
    </row>
    <row r="967">
      <c r="A967" s="124"/>
      <c r="B967" s="125"/>
      <c r="C967" s="125"/>
      <c r="D967" s="125"/>
      <c r="E967" s="125"/>
      <c r="F967" s="125"/>
      <c r="G967" s="125"/>
      <c r="H967" s="125"/>
      <c r="I967" s="125"/>
      <c r="J967" s="125"/>
      <c r="K967" s="125"/>
      <c r="L967" s="125"/>
      <c r="M967" s="125"/>
      <c r="N967" s="125"/>
      <c r="O967" s="125"/>
      <c r="P967" s="125"/>
      <c r="Q967" s="125"/>
      <c r="R967" s="125"/>
      <c r="S967" s="125"/>
      <c r="T967" s="125"/>
      <c r="U967" s="125"/>
      <c r="V967" s="125"/>
      <c r="W967" s="125"/>
      <c r="X967" s="125"/>
      <c r="Y967" s="125"/>
      <c r="Z967" s="125"/>
      <c r="AA967" s="125"/>
      <c r="AB967" s="125"/>
      <c r="AC967" s="125"/>
      <c r="AD967" s="125"/>
    </row>
    <row r="968">
      <c r="A968" s="124"/>
      <c r="B968" s="125"/>
      <c r="C968" s="125"/>
      <c r="D968" s="125"/>
      <c r="E968" s="125"/>
      <c r="F968" s="125"/>
      <c r="G968" s="125"/>
      <c r="H968" s="125"/>
      <c r="I968" s="125"/>
      <c r="J968" s="125"/>
      <c r="K968" s="125"/>
      <c r="L968" s="125"/>
      <c r="M968" s="125"/>
      <c r="N968" s="125"/>
      <c r="O968" s="125"/>
      <c r="P968" s="125"/>
      <c r="Q968" s="125"/>
      <c r="R968" s="125"/>
      <c r="S968" s="125"/>
      <c r="T968" s="125"/>
      <c r="U968" s="125"/>
      <c r="V968" s="125"/>
      <c r="W968" s="125"/>
      <c r="X968" s="125"/>
      <c r="Y968" s="125"/>
      <c r="Z968" s="125"/>
      <c r="AA968" s="125"/>
      <c r="AB968" s="125"/>
      <c r="AC968" s="125"/>
      <c r="AD968" s="125"/>
    </row>
    <row r="969">
      <c r="A969" s="124"/>
      <c r="B969" s="125"/>
      <c r="C969" s="125"/>
      <c r="D969" s="125"/>
      <c r="E969" s="125"/>
      <c r="F969" s="125"/>
      <c r="G969" s="125"/>
      <c r="H969" s="125"/>
      <c r="I969" s="125"/>
      <c r="J969" s="125"/>
      <c r="K969" s="125"/>
      <c r="L969" s="125"/>
      <c r="M969" s="125"/>
      <c r="N969" s="125"/>
      <c r="O969" s="125"/>
      <c r="P969" s="125"/>
      <c r="Q969" s="125"/>
      <c r="R969" s="125"/>
      <c r="S969" s="125"/>
      <c r="T969" s="125"/>
      <c r="U969" s="125"/>
      <c r="V969" s="125"/>
      <c r="W969" s="125"/>
      <c r="X969" s="125"/>
      <c r="Y969" s="125"/>
      <c r="Z969" s="125"/>
      <c r="AA969" s="125"/>
      <c r="AB969" s="125"/>
      <c r="AC969" s="125"/>
      <c r="AD969" s="125"/>
    </row>
    <row r="970">
      <c r="A970" s="124"/>
      <c r="B970" s="125"/>
      <c r="C970" s="125"/>
      <c r="D970" s="125"/>
      <c r="E970" s="125"/>
      <c r="F970" s="125"/>
      <c r="G970" s="125"/>
      <c r="H970" s="125"/>
      <c r="I970" s="125"/>
      <c r="J970" s="125"/>
      <c r="K970" s="125"/>
      <c r="L970" s="125"/>
      <c r="M970" s="125"/>
      <c r="N970" s="125"/>
      <c r="O970" s="125"/>
      <c r="P970" s="125"/>
      <c r="Q970" s="125"/>
      <c r="R970" s="125"/>
      <c r="S970" s="125"/>
      <c r="T970" s="125"/>
      <c r="U970" s="125"/>
      <c r="V970" s="125"/>
      <c r="W970" s="125"/>
      <c r="X970" s="125"/>
      <c r="Y970" s="125"/>
      <c r="Z970" s="125"/>
      <c r="AA970" s="125"/>
      <c r="AB970" s="125"/>
      <c r="AC970" s="125"/>
      <c r="AD970" s="125"/>
    </row>
    <row r="971">
      <c r="A971" s="124"/>
      <c r="B971" s="125"/>
      <c r="C971" s="125"/>
      <c r="D971" s="125"/>
      <c r="E971" s="125"/>
      <c r="F971" s="125"/>
      <c r="G971" s="125"/>
      <c r="H971" s="125"/>
      <c r="I971" s="125"/>
      <c r="J971" s="125"/>
      <c r="K971" s="125"/>
      <c r="L971" s="125"/>
      <c r="M971" s="125"/>
      <c r="N971" s="125"/>
      <c r="O971" s="125"/>
      <c r="P971" s="125"/>
      <c r="Q971" s="125"/>
      <c r="R971" s="125"/>
      <c r="S971" s="125"/>
      <c r="T971" s="125"/>
      <c r="U971" s="125"/>
      <c r="V971" s="125"/>
      <c r="W971" s="125"/>
      <c r="X971" s="125"/>
      <c r="Y971" s="125"/>
      <c r="Z971" s="125"/>
      <c r="AA971" s="125"/>
      <c r="AB971" s="125"/>
      <c r="AC971" s="125"/>
      <c r="AD971" s="125"/>
    </row>
    <row r="972">
      <c r="A972" s="124"/>
      <c r="B972" s="125"/>
      <c r="C972" s="125"/>
      <c r="D972" s="125"/>
      <c r="E972" s="125"/>
      <c r="F972" s="125"/>
      <c r="G972" s="125"/>
      <c r="H972" s="125"/>
      <c r="I972" s="125"/>
      <c r="J972" s="125"/>
      <c r="K972" s="125"/>
      <c r="L972" s="125"/>
      <c r="M972" s="125"/>
      <c r="N972" s="125"/>
      <c r="O972" s="125"/>
      <c r="P972" s="125"/>
      <c r="Q972" s="125"/>
      <c r="R972" s="125"/>
      <c r="S972" s="125"/>
      <c r="T972" s="125"/>
      <c r="U972" s="125"/>
      <c r="V972" s="125"/>
      <c r="W972" s="125"/>
      <c r="X972" s="125"/>
      <c r="Y972" s="125"/>
      <c r="Z972" s="125"/>
      <c r="AA972" s="125"/>
      <c r="AB972" s="125"/>
      <c r="AC972" s="125"/>
      <c r="AD972" s="125"/>
    </row>
    <row r="973">
      <c r="A973" s="124"/>
      <c r="B973" s="125"/>
      <c r="C973" s="125"/>
      <c r="D973" s="125"/>
      <c r="E973" s="125"/>
      <c r="F973" s="125"/>
      <c r="G973" s="125"/>
      <c r="H973" s="125"/>
      <c r="I973" s="125"/>
      <c r="J973" s="125"/>
      <c r="K973" s="125"/>
      <c r="L973" s="125"/>
      <c r="M973" s="125"/>
      <c r="N973" s="125"/>
      <c r="O973" s="125"/>
      <c r="P973" s="125"/>
      <c r="Q973" s="125"/>
      <c r="R973" s="125"/>
      <c r="S973" s="125"/>
      <c r="T973" s="125"/>
      <c r="U973" s="125"/>
      <c r="V973" s="125"/>
      <c r="W973" s="125"/>
      <c r="X973" s="125"/>
      <c r="Y973" s="125"/>
      <c r="Z973" s="125"/>
      <c r="AA973" s="125"/>
      <c r="AB973" s="125"/>
      <c r="AC973" s="125"/>
      <c r="AD973" s="125"/>
    </row>
    <row r="974">
      <c r="A974" s="124"/>
      <c r="B974" s="125"/>
      <c r="C974" s="125"/>
      <c r="D974" s="125"/>
      <c r="E974" s="125"/>
      <c r="F974" s="125"/>
      <c r="G974" s="125"/>
      <c r="H974" s="125"/>
      <c r="I974" s="125"/>
      <c r="J974" s="125"/>
      <c r="K974" s="125"/>
      <c r="L974" s="125"/>
      <c r="M974" s="125"/>
      <c r="N974" s="125"/>
      <c r="O974" s="125"/>
      <c r="P974" s="125"/>
      <c r="Q974" s="125"/>
      <c r="R974" s="125"/>
      <c r="S974" s="125"/>
      <c r="T974" s="125"/>
      <c r="U974" s="125"/>
      <c r="V974" s="125"/>
      <c r="W974" s="125"/>
      <c r="X974" s="125"/>
      <c r="Y974" s="125"/>
      <c r="Z974" s="125"/>
      <c r="AA974" s="125"/>
      <c r="AB974" s="125"/>
      <c r="AC974" s="125"/>
      <c r="AD974" s="125"/>
    </row>
    <row r="975">
      <c r="A975" s="124"/>
      <c r="B975" s="125"/>
      <c r="C975" s="125"/>
      <c r="D975" s="125"/>
      <c r="E975" s="125"/>
      <c r="F975" s="125"/>
      <c r="G975" s="125"/>
      <c r="H975" s="125"/>
      <c r="I975" s="125"/>
      <c r="J975" s="125"/>
      <c r="K975" s="125"/>
      <c r="L975" s="125"/>
      <c r="M975" s="125"/>
      <c r="N975" s="125"/>
      <c r="O975" s="125"/>
      <c r="P975" s="125"/>
      <c r="Q975" s="125"/>
      <c r="R975" s="125"/>
      <c r="S975" s="125"/>
      <c r="T975" s="125"/>
      <c r="U975" s="125"/>
      <c r="V975" s="125"/>
      <c r="W975" s="125"/>
      <c r="X975" s="125"/>
      <c r="Y975" s="125"/>
      <c r="Z975" s="125"/>
      <c r="AA975" s="125"/>
      <c r="AB975" s="125"/>
      <c r="AC975" s="125"/>
      <c r="AD975" s="125"/>
    </row>
    <row r="976">
      <c r="A976" s="124"/>
      <c r="B976" s="125"/>
      <c r="C976" s="125"/>
      <c r="D976" s="125"/>
      <c r="E976" s="125"/>
      <c r="F976" s="125"/>
      <c r="G976" s="125"/>
      <c r="H976" s="125"/>
      <c r="I976" s="125"/>
      <c r="J976" s="125"/>
      <c r="K976" s="125"/>
      <c r="L976" s="125"/>
      <c r="M976" s="125"/>
      <c r="N976" s="125"/>
      <c r="O976" s="125"/>
      <c r="P976" s="125"/>
      <c r="Q976" s="125"/>
      <c r="R976" s="125"/>
      <c r="S976" s="125"/>
      <c r="T976" s="125"/>
      <c r="U976" s="125"/>
      <c r="V976" s="125"/>
      <c r="W976" s="125"/>
      <c r="X976" s="125"/>
      <c r="Y976" s="125"/>
      <c r="Z976" s="125"/>
      <c r="AA976" s="125"/>
      <c r="AB976" s="125"/>
      <c r="AC976" s="125"/>
      <c r="AD976" s="125"/>
    </row>
    <row r="977">
      <c r="A977" s="124"/>
      <c r="B977" s="125"/>
      <c r="C977" s="125"/>
      <c r="D977" s="125"/>
      <c r="E977" s="125"/>
      <c r="F977" s="125"/>
      <c r="G977" s="125"/>
      <c r="H977" s="125"/>
      <c r="I977" s="125"/>
      <c r="J977" s="125"/>
      <c r="K977" s="125"/>
      <c r="L977" s="125"/>
      <c r="M977" s="125"/>
      <c r="N977" s="125"/>
      <c r="O977" s="125"/>
      <c r="P977" s="125"/>
      <c r="Q977" s="125"/>
      <c r="R977" s="125"/>
      <c r="S977" s="125"/>
      <c r="T977" s="125"/>
      <c r="U977" s="125"/>
      <c r="V977" s="125"/>
      <c r="W977" s="125"/>
      <c r="X977" s="125"/>
      <c r="Y977" s="125"/>
      <c r="Z977" s="125"/>
      <c r="AA977" s="125"/>
      <c r="AB977" s="125"/>
      <c r="AC977" s="125"/>
      <c r="AD977" s="125"/>
    </row>
    <row r="978">
      <c r="A978" s="124"/>
      <c r="B978" s="125"/>
      <c r="C978" s="125"/>
      <c r="D978" s="125"/>
      <c r="E978" s="125"/>
      <c r="F978" s="125"/>
      <c r="G978" s="125"/>
      <c r="H978" s="125"/>
      <c r="I978" s="125"/>
      <c r="J978" s="125"/>
      <c r="K978" s="125"/>
      <c r="L978" s="125"/>
      <c r="M978" s="125"/>
      <c r="N978" s="125"/>
      <c r="O978" s="125"/>
      <c r="P978" s="125"/>
      <c r="Q978" s="125"/>
      <c r="R978" s="125"/>
      <c r="S978" s="125"/>
      <c r="T978" s="125"/>
      <c r="U978" s="125"/>
      <c r="V978" s="125"/>
      <c r="W978" s="125"/>
      <c r="X978" s="125"/>
      <c r="Y978" s="125"/>
      <c r="Z978" s="125"/>
      <c r="AA978" s="125"/>
      <c r="AB978" s="125"/>
      <c r="AC978" s="125"/>
      <c r="AD978" s="125"/>
    </row>
    <row r="979">
      <c r="A979" s="124"/>
      <c r="B979" s="125"/>
      <c r="C979" s="125"/>
      <c r="D979" s="125"/>
      <c r="E979" s="125"/>
      <c r="F979" s="125"/>
      <c r="G979" s="125"/>
      <c r="H979" s="125"/>
      <c r="I979" s="125"/>
      <c r="J979" s="125"/>
      <c r="K979" s="125"/>
      <c r="L979" s="125"/>
      <c r="M979" s="125"/>
      <c r="N979" s="125"/>
      <c r="O979" s="125"/>
      <c r="P979" s="125"/>
      <c r="Q979" s="125"/>
      <c r="R979" s="125"/>
      <c r="S979" s="125"/>
      <c r="T979" s="125"/>
      <c r="U979" s="125"/>
      <c r="V979" s="125"/>
      <c r="W979" s="125"/>
      <c r="X979" s="125"/>
      <c r="Y979" s="125"/>
      <c r="Z979" s="125"/>
      <c r="AA979" s="125"/>
      <c r="AB979" s="125"/>
      <c r="AC979" s="125"/>
      <c r="AD979" s="125"/>
    </row>
    <row r="980">
      <c r="A980" s="124"/>
      <c r="B980" s="125"/>
      <c r="C980" s="125"/>
      <c r="D980" s="125"/>
      <c r="E980" s="125"/>
      <c r="F980" s="125"/>
      <c r="G980" s="125"/>
      <c r="H980" s="125"/>
      <c r="I980" s="125"/>
      <c r="J980" s="125"/>
      <c r="K980" s="125"/>
      <c r="L980" s="125"/>
      <c r="M980" s="125"/>
      <c r="N980" s="125"/>
      <c r="O980" s="125"/>
      <c r="P980" s="125"/>
      <c r="Q980" s="125"/>
      <c r="R980" s="125"/>
      <c r="S980" s="125"/>
      <c r="T980" s="125"/>
      <c r="U980" s="125"/>
      <c r="V980" s="125"/>
      <c r="W980" s="125"/>
      <c r="X980" s="125"/>
      <c r="Y980" s="125"/>
      <c r="Z980" s="125"/>
      <c r="AA980" s="125"/>
      <c r="AB980" s="125"/>
      <c r="AC980" s="125"/>
      <c r="AD980" s="125"/>
    </row>
    <row r="981">
      <c r="A981" s="124"/>
      <c r="B981" s="125"/>
      <c r="C981" s="125"/>
      <c r="D981" s="125"/>
      <c r="E981" s="125"/>
      <c r="F981" s="125"/>
      <c r="G981" s="125"/>
      <c r="H981" s="125"/>
      <c r="I981" s="125"/>
      <c r="J981" s="125"/>
      <c r="K981" s="125"/>
      <c r="L981" s="125"/>
      <c r="M981" s="125"/>
      <c r="N981" s="125"/>
      <c r="O981" s="125"/>
      <c r="P981" s="125"/>
      <c r="Q981" s="125"/>
      <c r="R981" s="125"/>
      <c r="S981" s="125"/>
      <c r="T981" s="125"/>
      <c r="U981" s="125"/>
      <c r="V981" s="125"/>
      <c r="W981" s="125"/>
      <c r="X981" s="125"/>
      <c r="Y981" s="125"/>
      <c r="Z981" s="125"/>
      <c r="AA981" s="125"/>
      <c r="AB981" s="125"/>
      <c r="AC981" s="125"/>
      <c r="AD981" s="125"/>
    </row>
    <row r="982">
      <c r="A982" s="124"/>
      <c r="B982" s="125"/>
      <c r="C982" s="125"/>
      <c r="D982" s="125"/>
      <c r="E982" s="125"/>
      <c r="F982" s="125"/>
      <c r="G982" s="125"/>
      <c r="H982" s="125"/>
      <c r="I982" s="125"/>
      <c r="J982" s="125"/>
      <c r="K982" s="125"/>
      <c r="L982" s="125"/>
      <c r="M982" s="125"/>
      <c r="N982" s="125"/>
      <c r="O982" s="125"/>
      <c r="P982" s="125"/>
      <c r="Q982" s="125"/>
      <c r="R982" s="125"/>
      <c r="S982" s="125"/>
      <c r="T982" s="125"/>
      <c r="U982" s="125"/>
      <c r="V982" s="125"/>
      <c r="W982" s="125"/>
      <c r="X982" s="125"/>
      <c r="Y982" s="125"/>
      <c r="Z982" s="125"/>
      <c r="AA982" s="125"/>
      <c r="AB982" s="125"/>
      <c r="AC982" s="125"/>
      <c r="AD982" s="125"/>
    </row>
    <row r="983">
      <c r="A983" s="124"/>
      <c r="B983" s="125"/>
      <c r="C983" s="125"/>
      <c r="D983" s="125"/>
      <c r="E983" s="125"/>
      <c r="F983" s="125"/>
      <c r="G983" s="125"/>
      <c r="H983" s="125"/>
      <c r="I983" s="125"/>
      <c r="J983" s="125"/>
      <c r="K983" s="125"/>
      <c r="L983" s="125"/>
      <c r="M983" s="125"/>
      <c r="N983" s="125"/>
      <c r="O983" s="125"/>
      <c r="P983" s="125"/>
      <c r="Q983" s="125"/>
      <c r="R983" s="125"/>
      <c r="S983" s="125"/>
      <c r="T983" s="125"/>
      <c r="U983" s="125"/>
      <c r="V983" s="125"/>
      <c r="W983" s="125"/>
      <c r="X983" s="125"/>
      <c r="Y983" s="125"/>
      <c r="Z983" s="125"/>
      <c r="AA983" s="125"/>
      <c r="AB983" s="125"/>
      <c r="AC983" s="125"/>
      <c r="AD983" s="125"/>
    </row>
    <row r="984">
      <c r="A984" s="124"/>
      <c r="B984" s="125"/>
      <c r="C984" s="125"/>
      <c r="D984" s="125"/>
      <c r="E984" s="125"/>
      <c r="F984" s="125"/>
      <c r="G984" s="125"/>
      <c r="H984" s="125"/>
      <c r="I984" s="125"/>
      <c r="J984" s="125"/>
      <c r="K984" s="125"/>
      <c r="L984" s="125"/>
      <c r="M984" s="125"/>
      <c r="N984" s="125"/>
      <c r="O984" s="125"/>
      <c r="P984" s="125"/>
      <c r="Q984" s="125"/>
      <c r="R984" s="125"/>
      <c r="S984" s="125"/>
      <c r="T984" s="125"/>
      <c r="U984" s="125"/>
      <c r="V984" s="125"/>
      <c r="W984" s="125"/>
      <c r="X984" s="125"/>
      <c r="Y984" s="125"/>
      <c r="Z984" s="125"/>
      <c r="AA984" s="125"/>
      <c r="AB984" s="125"/>
      <c r="AC984" s="125"/>
      <c r="AD984" s="125"/>
    </row>
    <row r="985">
      <c r="A985" s="124"/>
      <c r="B985" s="125"/>
      <c r="C985" s="125"/>
      <c r="D985" s="125"/>
      <c r="E985" s="125"/>
      <c r="F985" s="125"/>
      <c r="G985" s="125"/>
      <c r="H985" s="125"/>
      <c r="I985" s="125"/>
      <c r="J985" s="125"/>
      <c r="K985" s="125"/>
      <c r="L985" s="125"/>
      <c r="M985" s="125"/>
      <c r="N985" s="125"/>
      <c r="O985" s="125"/>
      <c r="P985" s="125"/>
      <c r="Q985" s="125"/>
      <c r="R985" s="125"/>
      <c r="S985" s="125"/>
      <c r="T985" s="125"/>
      <c r="U985" s="125"/>
      <c r="V985" s="125"/>
      <c r="W985" s="125"/>
      <c r="X985" s="125"/>
      <c r="Y985" s="125"/>
      <c r="Z985" s="125"/>
      <c r="AA985" s="125"/>
      <c r="AB985" s="125"/>
      <c r="AC985" s="125"/>
      <c r="AD985" s="125"/>
    </row>
    <row r="986">
      <c r="A986" s="124"/>
      <c r="B986" s="125"/>
      <c r="C986" s="125"/>
      <c r="D986" s="125"/>
      <c r="E986" s="125"/>
      <c r="F986" s="125"/>
      <c r="G986" s="125"/>
      <c r="H986" s="125"/>
      <c r="I986" s="125"/>
      <c r="J986" s="125"/>
      <c r="K986" s="125"/>
      <c r="L986" s="125"/>
      <c r="M986" s="125"/>
      <c r="N986" s="125"/>
      <c r="O986" s="125"/>
      <c r="P986" s="125"/>
      <c r="Q986" s="125"/>
      <c r="R986" s="125"/>
      <c r="S986" s="125"/>
      <c r="T986" s="125"/>
      <c r="U986" s="125"/>
      <c r="V986" s="125"/>
      <c r="W986" s="125"/>
      <c r="X986" s="125"/>
      <c r="Y986" s="125"/>
      <c r="Z986" s="125"/>
      <c r="AA986" s="125"/>
      <c r="AB986" s="125"/>
      <c r="AC986" s="125"/>
      <c r="AD986" s="125"/>
    </row>
    <row r="987">
      <c r="A987" s="124"/>
      <c r="B987" s="125"/>
      <c r="C987" s="125"/>
      <c r="D987" s="125"/>
      <c r="E987" s="125"/>
      <c r="F987" s="125"/>
      <c r="G987" s="125"/>
      <c r="H987" s="125"/>
      <c r="I987" s="125"/>
      <c r="J987" s="125"/>
      <c r="K987" s="125"/>
      <c r="L987" s="125"/>
      <c r="M987" s="125"/>
      <c r="N987" s="125"/>
      <c r="O987" s="125"/>
      <c r="P987" s="125"/>
      <c r="Q987" s="125"/>
      <c r="R987" s="125"/>
      <c r="S987" s="125"/>
      <c r="T987" s="125"/>
      <c r="U987" s="125"/>
      <c r="V987" s="125"/>
      <c r="W987" s="125"/>
      <c r="X987" s="125"/>
      <c r="Y987" s="125"/>
      <c r="Z987" s="125"/>
      <c r="AA987" s="125"/>
      <c r="AB987" s="125"/>
      <c r="AC987" s="125"/>
      <c r="AD987" s="125"/>
    </row>
    <row r="988">
      <c r="A988" s="124"/>
      <c r="B988" s="125"/>
      <c r="C988" s="125"/>
      <c r="D988" s="125"/>
      <c r="E988" s="125"/>
      <c r="F988" s="125"/>
      <c r="G988" s="125"/>
      <c r="H988" s="125"/>
      <c r="I988" s="125"/>
      <c r="J988" s="125"/>
      <c r="K988" s="125"/>
      <c r="L988" s="125"/>
      <c r="M988" s="125"/>
      <c r="N988" s="125"/>
      <c r="O988" s="125"/>
      <c r="P988" s="125"/>
      <c r="Q988" s="125"/>
      <c r="R988" s="125"/>
      <c r="S988" s="125"/>
      <c r="T988" s="125"/>
      <c r="U988" s="125"/>
      <c r="V988" s="125"/>
      <c r="W988" s="125"/>
      <c r="X988" s="125"/>
      <c r="Y988" s="125"/>
      <c r="Z988" s="125"/>
      <c r="AA988" s="125"/>
      <c r="AB988" s="125"/>
      <c r="AC988" s="125"/>
      <c r="AD988" s="125"/>
    </row>
    <row r="989">
      <c r="A989" s="124"/>
      <c r="B989" s="125"/>
      <c r="C989" s="125"/>
      <c r="D989" s="125"/>
      <c r="E989" s="125"/>
      <c r="F989" s="125"/>
      <c r="G989" s="125"/>
      <c r="H989" s="125"/>
      <c r="I989" s="125"/>
      <c r="J989" s="125"/>
      <c r="K989" s="125"/>
      <c r="L989" s="125"/>
      <c r="M989" s="125"/>
      <c r="N989" s="125"/>
      <c r="O989" s="125"/>
      <c r="P989" s="125"/>
      <c r="Q989" s="125"/>
      <c r="R989" s="125"/>
      <c r="S989" s="125"/>
      <c r="T989" s="125"/>
      <c r="U989" s="125"/>
      <c r="V989" s="125"/>
      <c r="W989" s="125"/>
      <c r="X989" s="125"/>
      <c r="Y989" s="125"/>
      <c r="Z989" s="125"/>
      <c r="AA989" s="125"/>
      <c r="AB989" s="125"/>
      <c r="AC989" s="125"/>
      <c r="AD989" s="125"/>
    </row>
    <row r="990">
      <c r="A990" s="124"/>
      <c r="B990" s="125"/>
      <c r="C990" s="125"/>
      <c r="D990" s="125"/>
      <c r="E990" s="125"/>
      <c r="F990" s="125"/>
      <c r="G990" s="125"/>
      <c r="H990" s="125"/>
      <c r="I990" s="125"/>
      <c r="J990" s="125"/>
      <c r="K990" s="125"/>
      <c r="L990" s="125"/>
      <c r="M990" s="125"/>
      <c r="N990" s="125"/>
      <c r="O990" s="125"/>
      <c r="P990" s="125"/>
      <c r="Q990" s="125"/>
      <c r="R990" s="125"/>
      <c r="S990" s="125"/>
      <c r="T990" s="125"/>
      <c r="U990" s="125"/>
      <c r="V990" s="125"/>
      <c r="W990" s="125"/>
      <c r="X990" s="125"/>
      <c r="Y990" s="125"/>
      <c r="Z990" s="125"/>
      <c r="AA990" s="125"/>
      <c r="AB990" s="125"/>
      <c r="AC990" s="125"/>
      <c r="AD990" s="125"/>
    </row>
    <row r="991">
      <c r="A991" s="124"/>
      <c r="B991" s="125"/>
      <c r="C991" s="125"/>
      <c r="D991" s="125"/>
      <c r="E991" s="125"/>
      <c r="F991" s="125"/>
      <c r="G991" s="125"/>
      <c r="H991" s="125"/>
      <c r="I991" s="125"/>
      <c r="J991" s="125"/>
      <c r="K991" s="125"/>
      <c r="L991" s="125"/>
      <c r="M991" s="125"/>
      <c r="N991" s="125"/>
      <c r="O991" s="125"/>
      <c r="P991" s="125"/>
      <c r="Q991" s="125"/>
      <c r="R991" s="125"/>
      <c r="S991" s="125"/>
      <c r="T991" s="125"/>
      <c r="U991" s="125"/>
      <c r="V991" s="125"/>
      <c r="W991" s="125"/>
      <c r="X991" s="125"/>
      <c r="Y991" s="125"/>
      <c r="Z991" s="125"/>
      <c r="AA991" s="125"/>
      <c r="AB991" s="125"/>
      <c r="AC991" s="125"/>
      <c r="AD991" s="125"/>
    </row>
    <row r="992">
      <c r="A992" s="124"/>
      <c r="B992" s="125"/>
      <c r="C992" s="125"/>
      <c r="D992" s="125"/>
      <c r="E992" s="125"/>
      <c r="F992" s="125"/>
      <c r="G992" s="125"/>
      <c r="H992" s="125"/>
      <c r="I992" s="125"/>
      <c r="J992" s="125"/>
      <c r="K992" s="125"/>
      <c r="L992" s="125"/>
      <c r="M992" s="125"/>
      <c r="N992" s="125"/>
      <c r="O992" s="125"/>
      <c r="P992" s="125"/>
      <c r="Q992" s="125"/>
      <c r="R992" s="125"/>
      <c r="S992" s="125"/>
      <c r="T992" s="125"/>
      <c r="U992" s="125"/>
      <c r="V992" s="125"/>
      <c r="W992" s="125"/>
      <c r="X992" s="125"/>
      <c r="Y992" s="125"/>
      <c r="Z992" s="125"/>
      <c r="AA992" s="125"/>
      <c r="AB992" s="125"/>
      <c r="AC992" s="125"/>
      <c r="AD992" s="125"/>
    </row>
    <row r="993">
      <c r="A993" s="124"/>
      <c r="B993" s="125"/>
      <c r="C993" s="125"/>
      <c r="D993" s="125"/>
      <c r="E993" s="125"/>
      <c r="F993" s="125"/>
      <c r="G993" s="125"/>
      <c r="H993" s="125"/>
      <c r="I993" s="125"/>
      <c r="J993" s="125"/>
      <c r="K993" s="125"/>
      <c r="L993" s="125"/>
      <c r="M993" s="125"/>
      <c r="N993" s="125"/>
      <c r="O993" s="125"/>
      <c r="P993" s="125"/>
      <c r="Q993" s="125"/>
      <c r="R993" s="125"/>
      <c r="S993" s="125"/>
      <c r="T993" s="125"/>
      <c r="U993" s="125"/>
      <c r="V993" s="125"/>
      <c r="W993" s="125"/>
      <c r="X993" s="125"/>
      <c r="Y993" s="125"/>
      <c r="Z993" s="125"/>
      <c r="AA993" s="125"/>
      <c r="AB993" s="125"/>
      <c r="AC993" s="125"/>
      <c r="AD993" s="125"/>
    </row>
    <row r="994">
      <c r="A994" s="124"/>
      <c r="B994" s="125"/>
      <c r="C994" s="125"/>
      <c r="D994" s="125"/>
      <c r="E994" s="125"/>
      <c r="F994" s="125"/>
      <c r="G994" s="125"/>
      <c r="H994" s="125"/>
      <c r="I994" s="125"/>
      <c r="J994" s="125"/>
      <c r="K994" s="125"/>
      <c r="L994" s="125"/>
      <c r="M994" s="125"/>
      <c r="N994" s="125"/>
      <c r="O994" s="125"/>
      <c r="P994" s="125"/>
      <c r="Q994" s="125"/>
      <c r="R994" s="125"/>
      <c r="S994" s="125"/>
      <c r="T994" s="125"/>
      <c r="U994" s="125"/>
      <c r="V994" s="125"/>
      <c r="W994" s="125"/>
      <c r="X994" s="125"/>
      <c r="Y994" s="125"/>
      <c r="Z994" s="125"/>
      <c r="AA994" s="125"/>
      <c r="AB994" s="125"/>
      <c r="AC994" s="125"/>
      <c r="AD994" s="125"/>
    </row>
    <row r="995">
      <c r="A995" s="124"/>
      <c r="B995" s="125"/>
      <c r="C995" s="125"/>
      <c r="D995" s="125"/>
      <c r="E995" s="125"/>
      <c r="F995" s="125"/>
      <c r="G995" s="125"/>
      <c r="H995" s="125"/>
      <c r="I995" s="125"/>
      <c r="J995" s="125"/>
      <c r="K995" s="125"/>
      <c r="L995" s="125"/>
      <c r="M995" s="125"/>
      <c r="N995" s="125"/>
      <c r="O995" s="125"/>
      <c r="P995" s="125"/>
      <c r="Q995" s="125"/>
      <c r="R995" s="125"/>
      <c r="S995" s="125"/>
      <c r="T995" s="125"/>
      <c r="U995" s="125"/>
      <c r="V995" s="125"/>
      <c r="W995" s="125"/>
      <c r="X995" s="125"/>
      <c r="Y995" s="125"/>
      <c r="Z995" s="125"/>
      <c r="AA995" s="125"/>
      <c r="AB995" s="125"/>
      <c r="AC995" s="125"/>
      <c r="AD995" s="125"/>
    </row>
    <row r="996">
      <c r="A996" s="124"/>
      <c r="B996" s="125"/>
      <c r="C996" s="125"/>
      <c r="D996" s="125"/>
      <c r="E996" s="125"/>
      <c r="F996" s="125"/>
      <c r="G996" s="125"/>
      <c r="H996" s="125"/>
      <c r="I996" s="125"/>
      <c r="J996" s="125"/>
      <c r="K996" s="125"/>
      <c r="L996" s="125"/>
      <c r="M996" s="125"/>
      <c r="N996" s="125"/>
      <c r="O996" s="125"/>
      <c r="P996" s="125"/>
      <c r="Q996" s="125"/>
      <c r="R996" s="125"/>
      <c r="S996" s="125"/>
      <c r="T996" s="125"/>
      <c r="U996" s="125"/>
      <c r="V996" s="125"/>
      <c r="W996" s="125"/>
      <c r="X996" s="125"/>
      <c r="Y996" s="125"/>
      <c r="Z996" s="125"/>
      <c r="AA996" s="125"/>
      <c r="AB996" s="125"/>
      <c r="AC996" s="125"/>
      <c r="AD996" s="125"/>
    </row>
    <row r="997">
      <c r="A997" s="124"/>
      <c r="B997" s="125"/>
      <c r="C997" s="125"/>
      <c r="D997" s="125"/>
      <c r="E997" s="125"/>
      <c r="F997" s="125"/>
      <c r="G997" s="125"/>
      <c r="H997" s="125"/>
      <c r="I997" s="125"/>
      <c r="J997" s="125"/>
      <c r="K997" s="125"/>
      <c r="L997" s="125"/>
      <c r="M997" s="125"/>
      <c r="N997" s="125"/>
      <c r="O997" s="125"/>
      <c r="P997" s="125"/>
      <c r="Q997" s="125"/>
      <c r="R997" s="125"/>
      <c r="S997" s="125"/>
      <c r="T997" s="125"/>
      <c r="U997" s="125"/>
      <c r="V997" s="125"/>
      <c r="W997" s="125"/>
      <c r="X997" s="125"/>
      <c r="Y997" s="125"/>
      <c r="Z997" s="125"/>
      <c r="AA997" s="125"/>
      <c r="AB997" s="125"/>
      <c r="AC997" s="125"/>
      <c r="AD997" s="125"/>
    </row>
    <row r="998">
      <c r="A998" s="124"/>
      <c r="B998" s="125"/>
      <c r="C998" s="125"/>
      <c r="D998" s="125"/>
      <c r="E998" s="125"/>
      <c r="F998" s="125"/>
      <c r="G998" s="125"/>
      <c r="H998" s="125"/>
      <c r="I998" s="125"/>
      <c r="J998" s="125"/>
      <c r="K998" s="125"/>
      <c r="L998" s="125"/>
      <c r="M998" s="125"/>
      <c r="N998" s="125"/>
      <c r="O998" s="125"/>
      <c r="P998" s="125"/>
      <c r="Q998" s="125"/>
      <c r="R998" s="125"/>
      <c r="S998" s="125"/>
      <c r="T998" s="125"/>
      <c r="U998" s="125"/>
      <c r="V998" s="125"/>
      <c r="W998" s="125"/>
      <c r="X998" s="125"/>
      <c r="Y998" s="125"/>
      <c r="Z998" s="125"/>
      <c r="AA998" s="125"/>
      <c r="AB998" s="125"/>
      <c r="AC998" s="125"/>
      <c r="AD998" s="125"/>
    </row>
    <row r="999">
      <c r="A999" s="124"/>
      <c r="B999" s="125"/>
      <c r="C999" s="125"/>
      <c r="D999" s="125"/>
      <c r="E999" s="125"/>
      <c r="F999" s="125"/>
      <c r="G999" s="125"/>
      <c r="H999" s="125"/>
      <c r="I999" s="125"/>
      <c r="J999" s="125"/>
      <c r="K999" s="125"/>
      <c r="L999" s="125"/>
      <c r="M999" s="125"/>
      <c r="N999" s="125"/>
      <c r="O999" s="125"/>
      <c r="P999" s="125"/>
      <c r="Q999" s="125"/>
      <c r="R999" s="125"/>
      <c r="S999" s="125"/>
      <c r="T999" s="125"/>
      <c r="U999" s="125"/>
      <c r="V999" s="125"/>
      <c r="W999" s="125"/>
      <c r="X999" s="125"/>
      <c r="Y999" s="125"/>
      <c r="Z999" s="125"/>
      <c r="AA999" s="125"/>
      <c r="AB999" s="125"/>
      <c r="AC999" s="125"/>
      <c r="AD999" s="125"/>
    </row>
  </sheetData>
  <mergeCells count="11">
    <mergeCell ref="D1:D2"/>
    <mergeCell ref="A3:A10"/>
    <mergeCell ref="A11:A20"/>
    <mergeCell ref="A21:A35"/>
    <mergeCell ref="E1:H1"/>
    <mergeCell ref="I1:J1"/>
    <mergeCell ref="K1:N1"/>
    <mergeCell ref="O1:R1"/>
    <mergeCell ref="S1:V1"/>
    <mergeCell ref="W1:Z1"/>
    <mergeCell ref="AA1:AD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2" width="7.0"/>
    <col customWidth="1" min="3" max="45" width="7.13"/>
  </cols>
  <sheetData>
    <row r="1">
      <c r="A1" s="126" t="s">
        <v>119</v>
      </c>
      <c r="B1" s="127" t="s">
        <v>18</v>
      </c>
      <c r="C1" s="126" t="s">
        <v>120</v>
      </c>
      <c r="D1" s="126" t="s">
        <v>43</v>
      </c>
      <c r="E1" s="126" t="s">
        <v>121</v>
      </c>
      <c r="F1" s="126" t="s">
        <v>122</v>
      </c>
      <c r="G1" s="126" t="s">
        <v>123</v>
      </c>
      <c r="H1" s="126" t="s">
        <v>124</v>
      </c>
      <c r="I1" s="126" t="s">
        <v>44</v>
      </c>
      <c r="J1" s="126" t="s">
        <v>125</v>
      </c>
      <c r="K1" s="126" t="s">
        <v>126</v>
      </c>
      <c r="L1" s="126" t="s">
        <v>127</v>
      </c>
      <c r="M1" s="126" t="s">
        <v>128</v>
      </c>
      <c r="N1" s="126" t="s">
        <v>129</v>
      </c>
      <c r="O1" s="126" t="s">
        <v>45</v>
      </c>
      <c r="P1" s="126" t="s">
        <v>78</v>
      </c>
      <c r="Q1" s="126" t="s">
        <v>80</v>
      </c>
      <c r="R1" s="126" t="s">
        <v>82</v>
      </c>
      <c r="S1" s="126" t="s">
        <v>84</v>
      </c>
      <c r="T1" s="126" t="s">
        <v>130</v>
      </c>
      <c r="U1" s="126" t="s">
        <v>46</v>
      </c>
      <c r="V1" s="126" t="s">
        <v>131</v>
      </c>
      <c r="W1" s="126" t="s">
        <v>132</v>
      </c>
      <c r="X1" s="126" t="s">
        <v>133</v>
      </c>
      <c r="Y1" s="126" t="s">
        <v>134</v>
      </c>
      <c r="Z1" s="126" t="s">
        <v>135</v>
      </c>
      <c r="AA1" s="126" t="s">
        <v>136</v>
      </c>
      <c r="AB1" s="126" t="s">
        <v>137</v>
      </c>
      <c r="AC1" s="126" t="s">
        <v>86</v>
      </c>
      <c r="AD1" s="126" t="s">
        <v>88</v>
      </c>
      <c r="AE1" s="126" t="s">
        <v>90</v>
      </c>
      <c r="AF1" s="126" t="s">
        <v>138</v>
      </c>
      <c r="AG1" s="126" t="s">
        <v>139</v>
      </c>
      <c r="AH1" s="126" t="s">
        <v>140</v>
      </c>
      <c r="AI1" s="126" t="s">
        <v>141</v>
      </c>
      <c r="AJ1" s="126" t="s">
        <v>142</v>
      </c>
      <c r="AK1" s="126" t="s">
        <v>143</v>
      </c>
      <c r="AL1" s="126" t="s">
        <v>144</v>
      </c>
      <c r="AM1" s="126" t="s">
        <v>145</v>
      </c>
      <c r="AN1" s="126" t="s">
        <v>146</v>
      </c>
      <c r="AO1" s="126" t="s">
        <v>147</v>
      </c>
      <c r="AP1" s="126" t="s">
        <v>148</v>
      </c>
      <c r="AQ1" s="128" t="s">
        <v>149</v>
      </c>
      <c r="AR1" s="126" t="s">
        <v>150</v>
      </c>
      <c r="AS1" s="126" t="s">
        <v>151</v>
      </c>
    </row>
    <row r="2">
      <c r="A2" s="129" t="s">
        <v>45</v>
      </c>
      <c r="B2" s="130">
        <v>251.0</v>
      </c>
      <c r="C2" s="131">
        <v>11.0</v>
      </c>
      <c r="D2" s="131">
        <v>40.0</v>
      </c>
      <c r="E2" s="131">
        <v>5.0</v>
      </c>
      <c r="F2" s="131">
        <v>0.0</v>
      </c>
      <c r="G2" s="131">
        <v>0.0</v>
      </c>
      <c r="H2" s="131">
        <v>14.0</v>
      </c>
      <c r="I2" s="131">
        <v>44.0</v>
      </c>
      <c r="J2" s="131">
        <v>10.0</v>
      </c>
      <c r="K2" s="131">
        <v>0.0</v>
      </c>
      <c r="L2" s="131">
        <v>0.0</v>
      </c>
      <c r="M2" s="131">
        <v>0.0</v>
      </c>
      <c r="N2" s="131">
        <v>6.0</v>
      </c>
      <c r="O2" s="131">
        <v>76.0</v>
      </c>
      <c r="P2" s="131">
        <v>11.0</v>
      </c>
      <c r="Q2" s="131">
        <v>1.0</v>
      </c>
      <c r="R2" s="131">
        <v>0.0</v>
      </c>
      <c r="S2" s="131">
        <v>0.0</v>
      </c>
      <c r="T2" s="131">
        <v>5.0</v>
      </c>
      <c r="U2" s="131">
        <v>37.0</v>
      </c>
      <c r="V2" s="131">
        <v>7.0</v>
      </c>
      <c r="W2" s="131">
        <v>0.0</v>
      </c>
      <c r="X2" s="131">
        <v>0.0</v>
      </c>
      <c r="Y2" s="131">
        <v>0.0</v>
      </c>
      <c r="Z2" s="131">
        <v>3.0</v>
      </c>
      <c r="AA2" s="131">
        <v>8.0</v>
      </c>
      <c r="AB2" s="131">
        <v>0.0</v>
      </c>
      <c r="AC2" s="131">
        <v>0.0</v>
      </c>
      <c r="AD2" s="131">
        <v>0.0</v>
      </c>
      <c r="AE2" s="131">
        <v>0.0</v>
      </c>
      <c r="AF2" s="131">
        <v>1.0</v>
      </c>
      <c r="AG2" s="131">
        <v>0.0</v>
      </c>
      <c r="AH2" s="131">
        <v>0.0</v>
      </c>
      <c r="AI2" s="131">
        <v>0.0</v>
      </c>
      <c r="AJ2" s="131">
        <v>0.0</v>
      </c>
      <c r="AK2" s="131">
        <v>0.0</v>
      </c>
      <c r="AL2" s="131">
        <v>0.0</v>
      </c>
      <c r="AM2" s="131">
        <v>0.0</v>
      </c>
      <c r="AN2" s="131">
        <v>0.0</v>
      </c>
      <c r="AO2" s="131">
        <v>0.0</v>
      </c>
      <c r="AP2" s="131">
        <v>0.0</v>
      </c>
      <c r="AQ2" s="132">
        <v>0.0</v>
      </c>
      <c r="AR2" s="131">
        <v>0.0</v>
      </c>
      <c r="AS2" s="131">
        <v>0.0</v>
      </c>
    </row>
    <row r="3">
      <c r="A3" s="129" t="s">
        <v>45</v>
      </c>
      <c r="B3" s="130">
        <v>252.0</v>
      </c>
      <c r="C3" s="131">
        <v>58.0</v>
      </c>
      <c r="D3" s="131">
        <v>211.0</v>
      </c>
      <c r="E3" s="131">
        <v>20.0</v>
      </c>
      <c r="F3" s="131">
        <v>1.0</v>
      </c>
      <c r="G3" s="131">
        <v>0.0</v>
      </c>
      <c r="H3" s="131">
        <v>94.0</v>
      </c>
      <c r="I3" s="131">
        <v>173.0</v>
      </c>
      <c r="J3" s="131">
        <v>78.0</v>
      </c>
      <c r="K3" s="131">
        <v>1.0</v>
      </c>
      <c r="L3" s="131">
        <v>0.0</v>
      </c>
      <c r="M3" s="131">
        <v>0.0</v>
      </c>
      <c r="N3" s="131">
        <v>42.0</v>
      </c>
      <c r="O3" s="131">
        <v>393.0</v>
      </c>
      <c r="P3" s="131">
        <v>54.0</v>
      </c>
      <c r="Q3" s="131">
        <v>2.0</v>
      </c>
      <c r="R3" s="131">
        <v>0.0</v>
      </c>
      <c r="S3" s="131">
        <v>0.0</v>
      </c>
      <c r="T3" s="131">
        <v>28.0</v>
      </c>
      <c r="U3" s="131">
        <v>181.0</v>
      </c>
      <c r="V3" s="131">
        <v>27.0</v>
      </c>
      <c r="W3" s="131">
        <v>0.0</v>
      </c>
      <c r="X3" s="131">
        <v>0.0</v>
      </c>
      <c r="Y3" s="131">
        <v>0.0</v>
      </c>
      <c r="Z3" s="131">
        <v>6.0</v>
      </c>
      <c r="AA3" s="131">
        <v>23.0</v>
      </c>
      <c r="AB3" s="131">
        <v>0.0</v>
      </c>
      <c r="AC3" s="131">
        <v>0.0</v>
      </c>
      <c r="AD3" s="131">
        <v>0.0</v>
      </c>
      <c r="AE3" s="131">
        <v>0.0</v>
      </c>
      <c r="AF3" s="131">
        <v>3.0</v>
      </c>
      <c r="AG3" s="131">
        <v>0.0</v>
      </c>
      <c r="AH3" s="131">
        <v>0.0</v>
      </c>
      <c r="AI3" s="131">
        <v>0.0</v>
      </c>
      <c r="AJ3" s="131">
        <v>0.0</v>
      </c>
      <c r="AK3" s="131">
        <v>0.0</v>
      </c>
      <c r="AL3" s="131">
        <v>0.0</v>
      </c>
      <c r="AM3" s="131">
        <v>0.0</v>
      </c>
      <c r="AN3" s="131">
        <v>0.0</v>
      </c>
      <c r="AO3" s="131">
        <v>0.0</v>
      </c>
      <c r="AP3" s="131">
        <v>0.0</v>
      </c>
      <c r="AQ3" s="132">
        <v>0.0</v>
      </c>
      <c r="AR3" s="131">
        <v>0.0</v>
      </c>
      <c r="AS3" s="131">
        <v>0.0</v>
      </c>
    </row>
    <row r="4">
      <c r="A4" s="129" t="s">
        <v>45</v>
      </c>
      <c r="B4" s="130">
        <v>253.0</v>
      </c>
      <c r="C4" s="131">
        <v>35.0</v>
      </c>
      <c r="D4" s="131">
        <v>122.0</v>
      </c>
      <c r="E4" s="131">
        <v>14.0</v>
      </c>
      <c r="F4" s="131">
        <v>0.0</v>
      </c>
      <c r="G4" s="131">
        <v>0.0</v>
      </c>
      <c r="H4" s="131">
        <v>56.0</v>
      </c>
      <c r="I4" s="131">
        <v>131.0</v>
      </c>
      <c r="J4" s="131">
        <v>42.0</v>
      </c>
      <c r="K4" s="131">
        <v>0.0</v>
      </c>
      <c r="L4" s="131">
        <v>0.0</v>
      </c>
      <c r="M4" s="131">
        <v>0.0</v>
      </c>
      <c r="N4" s="131">
        <v>22.0</v>
      </c>
      <c r="O4" s="131">
        <v>237.0</v>
      </c>
      <c r="P4" s="131">
        <v>38.0</v>
      </c>
      <c r="Q4" s="131">
        <v>0.0</v>
      </c>
      <c r="R4" s="131">
        <v>0.0</v>
      </c>
      <c r="S4" s="131">
        <v>0.0</v>
      </c>
      <c r="T4" s="131">
        <v>16.0</v>
      </c>
      <c r="U4" s="131">
        <v>123.0</v>
      </c>
      <c r="V4" s="131">
        <v>13.0</v>
      </c>
      <c r="W4" s="131">
        <v>0.0</v>
      </c>
      <c r="X4" s="131">
        <v>0.0</v>
      </c>
      <c r="Y4" s="131">
        <v>0.0</v>
      </c>
      <c r="Z4" s="131">
        <v>12.0</v>
      </c>
      <c r="AA4" s="131">
        <v>24.0</v>
      </c>
      <c r="AB4" s="131">
        <v>1.0</v>
      </c>
      <c r="AC4" s="131">
        <v>0.0</v>
      </c>
      <c r="AD4" s="131">
        <v>0.0</v>
      </c>
      <c r="AE4" s="131">
        <v>0.0</v>
      </c>
      <c r="AF4" s="131">
        <v>0.0</v>
      </c>
      <c r="AG4" s="131">
        <v>0.0</v>
      </c>
      <c r="AH4" s="131">
        <v>0.0</v>
      </c>
      <c r="AI4" s="131">
        <v>0.0</v>
      </c>
      <c r="AJ4" s="131">
        <v>0.0</v>
      </c>
      <c r="AK4" s="131">
        <v>0.0</v>
      </c>
      <c r="AL4" s="131">
        <v>0.0</v>
      </c>
      <c r="AM4" s="131">
        <v>0.0</v>
      </c>
      <c r="AN4" s="131">
        <v>0.0</v>
      </c>
      <c r="AO4" s="131">
        <v>0.0</v>
      </c>
      <c r="AP4" s="131">
        <v>0.0</v>
      </c>
      <c r="AQ4" s="132">
        <v>0.0</v>
      </c>
      <c r="AR4" s="131">
        <v>0.0</v>
      </c>
      <c r="AS4" s="131">
        <v>0.0</v>
      </c>
    </row>
    <row r="5">
      <c r="A5" s="133" t="s">
        <v>45</v>
      </c>
      <c r="B5" s="134">
        <v>254.0</v>
      </c>
      <c r="C5" s="135">
        <v>59.0</v>
      </c>
      <c r="D5" s="135">
        <v>196.0</v>
      </c>
      <c r="E5" s="135">
        <v>24.0</v>
      </c>
      <c r="F5" s="135">
        <v>0.0</v>
      </c>
      <c r="G5" s="135">
        <v>0.0</v>
      </c>
      <c r="H5" s="135">
        <v>102.0</v>
      </c>
      <c r="I5" s="135">
        <v>205.0</v>
      </c>
      <c r="J5" s="135">
        <v>72.0</v>
      </c>
      <c r="K5" s="135">
        <v>0.0</v>
      </c>
      <c r="L5" s="135">
        <v>0.0</v>
      </c>
      <c r="M5" s="135">
        <v>0.0</v>
      </c>
      <c r="N5" s="135">
        <v>31.0</v>
      </c>
      <c r="O5" s="135">
        <v>377.0</v>
      </c>
      <c r="P5" s="135">
        <v>71.0</v>
      </c>
      <c r="Q5" s="135">
        <v>0.0</v>
      </c>
      <c r="R5" s="135">
        <v>0.0</v>
      </c>
      <c r="S5" s="135">
        <v>0.0</v>
      </c>
      <c r="T5" s="135">
        <v>21.0</v>
      </c>
      <c r="U5" s="135">
        <v>207.0</v>
      </c>
      <c r="V5" s="135">
        <v>27.0</v>
      </c>
      <c r="W5" s="135">
        <v>0.0</v>
      </c>
      <c r="X5" s="135">
        <v>0.0</v>
      </c>
      <c r="Y5" s="135">
        <v>0.0</v>
      </c>
      <c r="Z5" s="135">
        <v>10.0</v>
      </c>
      <c r="AA5" s="135">
        <v>37.0</v>
      </c>
      <c r="AB5" s="135">
        <v>2.0</v>
      </c>
      <c r="AC5" s="135">
        <v>0.0</v>
      </c>
      <c r="AD5" s="135">
        <v>0.0</v>
      </c>
      <c r="AE5" s="135">
        <v>0.0</v>
      </c>
      <c r="AF5" s="135">
        <v>4.0</v>
      </c>
      <c r="AG5" s="135">
        <v>3.0</v>
      </c>
      <c r="AH5" s="135">
        <v>0.0</v>
      </c>
      <c r="AI5" s="135">
        <v>0.0</v>
      </c>
      <c r="AJ5" s="135">
        <v>0.0</v>
      </c>
      <c r="AK5" s="135">
        <v>0.0</v>
      </c>
      <c r="AL5" s="135">
        <v>0.0</v>
      </c>
      <c r="AM5" s="135">
        <v>0.0</v>
      </c>
      <c r="AN5" s="135">
        <v>0.0</v>
      </c>
      <c r="AO5" s="135">
        <v>0.0</v>
      </c>
      <c r="AP5" s="135">
        <v>0.0</v>
      </c>
      <c r="AQ5" s="136">
        <v>0.0</v>
      </c>
      <c r="AR5" s="135">
        <v>0.0</v>
      </c>
      <c r="AS5" s="135">
        <v>0.0</v>
      </c>
    </row>
    <row r="6">
      <c r="A6" s="137" t="s">
        <v>78</v>
      </c>
      <c r="B6" s="138">
        <v>259.0</v>
      </c>
      <c r="C6" s="139">
        <v>0.0</v>
      </c>
      <c r="D6" s="139">
        <v>15.0</v>
      </c>
      <c r="E6" s="139">
        <v>8.0</v>
      </c>
      <c r="F6" s="139">
        <v>0.0</v>
      </c>
      <c r="G6" s="139">
        <v>0.0</v>
      </c>
      <c r="H6" s="139">
        <v>2.0</v>
      </c>
      <c r="I6" s="139">
        <v>10.0</v>
      </c>
      <c r="J6" s="139">
        <v>21.0</v>
      </c>
      <c r="K6" s="139">
        <v>1.0</v>
      </c>
      <c r="L6" s="139">
        <v>0.0</v>
      </c>
      <c r="M6" s="139">
        <v>0.0</v>
      </c>
      <c r="N6" s="139">
        <v>2.0</v>
      </c>
      <c r="O6" s="139">
        <v>22.0</v>
      </c>
      <c r="P6" s="139">
        <v>45.0</v>
      </c>
      <c r="Q6" s="139">
        <v>7.0</v>
      </c>
      <c r="R6" s="139">
        <v>0.0</v>
      </c>
      <c r="S6" s="139">
        <v>0.0</v>
      </c>
      <c r="T6" s="139">
        <v>0.0</v>
      </c>
      <c r="U6" s="139">
        <v>39.0</v>
      </c>
      <c r="V6" s="139">
        <v>53.0</v>
      </c>
      <c r="W6" s="139">
        <v>1.0</v>
      </c>
      <c r="X6" s="139">
        <v>0.0</v>
      </c>
      <c r="Y6" s="139">
        <v>0.0</v>
      </c>
      <c r="Z6" s="139">
        <v>0.0</v>
      </c>
      <c r="AA6" s="139">
        <v>14.0</v>
      </c>
      <c r="AB6" s="139">
        <v>7.0</v>
      </c>
      <c r="AC6" s="139">
        <v>0.0</v>
      </c>
      <c r="AD6" s="139">
        <v>0.0</v>
      </c>
      <c r="AE6" s="139">
        <v>0.0</v>
      </c>
      <c r="AF6" s="139">
        <v>0.0</v>
      </c>
      <c r="AG6" s="139">
        <v>4.0</v>
      </c>
      <c r="AH6" s="139">
        <v>3.0</v>
      </c>
      <c r="AI6" s="139">
        <v>0.0</v>
      </c>
      <c r="AJ6" s="139">
        <v>0.0</v>
      </c>
      <c r="AK6" s="139">
        <v>0.0</v>
      </c>
      <c r="AL6" s="139">
        <v>1.0</v>
      </c>
      <c r="AM6" s="139">
        <v>0.0</v>
      </c>
      <c r="AN6" s="139">
        <v>0.0</v>
      </c>
      <c r="AO6" s="139">
        <v>0.0</v>
      </c>
      <c r="AP6" s="139">
        <v>0.0</v>
      </c>
      <c r="AQ6" s="140">
        <v>0.0</v>
      </c>
      <c r="AR6" s="139">
        <v>0.0</v>
      </c>
      <c r="AS6" s="139">
        <v>0.0</v>
      </c>
    </row>
    <row r="7">
      <c r="A7" s="141" t="s">
        <v>78</v>
      </c>
      <c r="B7" s="142">
        <v>260.0</v>
      </c>
      <c r="C7" s="143">
        <v>1.0</v>
      </c>
      <c r="D7" s="143">
        <v>29.0</v>
      </c>
      <c r="E7" s="143">
        <v>13.0</v>
      </c>
      <c r="F7" s="143">
        <v>1.0</v>
      </c>
      <c r="G7" s="143">
        <v>0.0</v>
      </c>
      <c r="H7" s="143">
        <v>3.0</v>
      </c>
      <c r="I7" s="143">
        <v>19.0</v>
      </c>
      <c r="J7" s="143">
        <v>52.0</v>
      </c>
      <c r="K7" s="143">
        <v>2.0</v>
      </c>
      <c r="L7" s="143">
        <v>0.0</v>
      </c>
      <c r="M7" s="143">
        <v>0.0</v>
      </c>
      <c r="N7" s="143">
        <v>0.0</v>
      </c>
      <c r="O7" s="143">
        <v>37.0</v>
      </c>
      <c r="P7" s="143">
        <v>62.0</v>
      </c>
      <c r="Q7" s="143">
        <v>8.0</v>
      </c>
      <c r="R7" s="143">
        <v>0.0</v>
      </c>
      <c r="S7" s="143">
        <v>0.0</v>
      </c>
      <c r="T7" s="143">
        <v>0.0</v>
      </c>
      <c r="U7" s="143">
        <v>36.0</v>
      </c>
      <c r="V7" s="143">
        <v>79.0</v>
      </c>
      <c r="W7" s="143">
        <v>4.0</v>
      </c>
      <c r="X7" s="143">
        <v>0.0</v>
      </c>
      <c r="Y7" s="143">
        <v>0.0</v>
      </c>
      <c r="Z7" s="143">
        <v>2.0</v>
      </c>
      <c r="AA7" s="143">
        <v>26.0</v>
      </c>
      <c r="AB7" s="143">
        <v>16.0</v>
      </c>
      <c r="AC7" s="143">
        <v>2.0</v>
      </c>
      <c r="AD7" s="143">
        <v>0.0</v>
      </c>
      <c r="AE7" s="143">
        <v>0.0</v>
      </c>
      <c r="AF7" s="143">
        <v>1.0</v>
      </c>
      <c r="AG7" s="143">
        <v>2.0</v>
      </c>
      <c r="AH7" s="143">
        <v>1.0</v>
      </c>
      <c r="AI7" s="143">
        <v>0.0</v>
      </c>
      <c r="AJ7" s="143">
        <v>0.0</v>
      </c>
      <c r="AK7" s="143">
        <v>0.0</v>
      </c>
      <c r="AL7" s="143">
        <v>1.0</v>
      </c>
      <c r="AM7" s="143">
        <v>0.0</v>
      </c>
      <c r="AN7" s="143">
        <v>0.0</v>
      </c>
      <c r="AO7" s="143">
        <v>0.0</v>
      </c>
      <c r="AP7" s="143">
        <v>0.0</v>
      </c>
      <c r="AQ7" s="144">
        <v>0.0</v>
      </c>
      <c r="AR7" s="143">
        <v>0.0</v>
      </c>
      <c r="AS7" s="143">
        <v>0.0</v>
      </c>
    </row>
    <row r="8">
      <c r="A8" s="141" t="s">
        <v>78</v>
      </c>
      <c r="B8" s="142">
        <v>261.0</v>
      </c>
      <c r="C8" s="143">
        <v>2.0</v>
      </c>
      <c r="D8" s="143">
        <v>41.0</v>
      </c>
      <c r="E8" s="143">
        <v>20.0</v>
      </c>
      <c r="F8" s="143">
        <v>1.0</v>
      </c>
      <c r="G8" s="143">
        <v>0.0</v>
      </c>
      <c r="H8" s="143">
        <v>3.0</v>
      </c>
      <c r="I8" s="143">
        <v>33.0</v>
      </c>
      <c r="J8" s="143">
        <v>75.0</v>
      </c>
      <c r="K8" s="143">
        <v>5.0</v>
      </c>
      <c r="L8" s="143">
        <v>0.0</v>
      </c>
      <c r="M8" s="143">
        <v>0.0</v>
      </c>
      <c r="N8" s="143">
        <v>3.0</v>
      </c>
      <c r="O8" s="143">
        <v>75.0</v>
      </c>
      <c r="P8" s="143">
        <v>101.0</v>
      </c>
      <c r="Q8" s="143">
        <v>13.0</v>
      </c>
      <c r="R8" s="143">
        <v>0.0</v>
      </c>
      <c r="S8" s="143">
        <v>0.0</v>
      </c>
      <c r="T8" s="143">
        <v>0.0</v>
      </c>
      <c r="U8" s="143">
        <v>68.0</v>
      </c>
      <c r="V8" s="143">
        <v>156.0</v>
      </c>
      <c r="W8" s="143">
        <v>9.0</v>
      </c>
      <c r="X8" s="143">
        <v>0.0</v>
      </c>
      <c r="Y8" s="143">
        <v>0.0</v>
      </c>
      <c r="Z8" s="143">
        <v>0.0</v>
      </c>
      <c r="AA8" s="143">
        <v>43.0</v>
      </c>
      <c r="AB8" s="143">
        <v>29.0</v>
      </c>
      <c r="AC8" s="143">
        <v>1.0</v>
      </c>
      <c r="AD8" s="143">
        <v>0.0</v>
      </c>
      <c r="AE8" s="143">
        <v>0.0</v>
      </c>
      <c r="AF8" s="143">
        <v>0.0</v>
      </c>
      <c r="AG8" s="143">
        <v>6.0</v>
      </c>
      <c r="AH8" s="143">
        <v>1.0</v>
      </c>
      <c r="AI8" s="143">
        <v>0.0</v>
      </c>
      <c r="AJ8" s="143">
        <v>0.0</v>
      </c>
      <c r="AK8" s="143">
        <v>0.0</v>
      </c>
      <c r="AL8" s="143">
        <v>0.0</v>
      </c>
      <c r="AM8" s="143">
        <v>0.0</v>
      </c>
      <c r="AN8" s="143">
        <v>0.0</v>
      </c>
      <c r="AO8" s="143">
        <v>0.0</v>
      </c>
      <c r="AP8" s="143">
        <v>0.0</v>
      </c>
      <c r="AQ8" s="144">
        <v>0.0</v>
      </c>
      <c r="AR8" s="143">
        <v>0.0</v>
      </c>
      <c r="AS8" s="143">
        <v>0.0</v>
      </c>
    </row>
    <row r="9">
      <c r="A9" s="141" t="s">
        <v>78</v>
      </c>
      <c r="B9" s="142">
        <v>262.0</v>
      </c>
      <c r="C9" s="143">
        <v>2.0</v>
      </c>
      <c r="D9" s="143">
        <v>23.0</v>
      </c>
      <c r="E9" s="143">
        <v>8.0</v>
      </c>
      <c r="F9" s="143">
        <v>2.0</v>
      </c>
      <c r="G9" s="143">
        <v>0.0</v>
      </c>
      <c r="H9" s="143">
        <v>3.0</v>
      </c>
      <c r="I9" s="143">
        <v>20.0</v>
      </c>
      <c r="J9" s="143">
        <v>24.0</v>
      </c>
      <c r="K9" s="143">
        <v>0.0</v>
      </c>
      <c r="L9" s="143">
        <v>0.0</v>
      </c>
      <c r="M9" s="143">
        <v>0.0</v>
      </c>
      <c r="N9" s="143">
        <v>2.0</v>
      </c>
      <c r="O9" s="143">
        <v>36.0</v>
      </c>
      <c r="P9" s="143">
        <v>57.0</v>
      </c>
      <c r="Q9" s="143">
        <v>3.0</v>
      </c>
      <c r="R9" s="143">
        <v>0.0</v>
      </c>
      <c r="S9" s="143">
        <v>0.0</v>
      </c>
      <c r="T9" s="143">
        <v>0.0</v>
      </c>
      <c r="U9" s="143">
        <v>33.0</v>
      </c>
      <c r="V9" s="143">
        <v>61.0</v>
      </c>
      <c r="W9" s="143">
        <v>4.0</v>
      </c>
      <c r="X9" s="143">
        <v>0.0</v>
      </c>
      <c r="Y9" s="143">
        <v>0.0</v>
      </c>
      <c r="Z9" s="143">
        <v>0.0</v>
      </c>
      <c r="AA9" s="143">
        <v>25.0</v>
      </c>
      <c r="AB9" s="143">
        <v>12.0</v>
      </c>
      <c r="AC9" s="143">
        <v>1.0</v>
      </c>
      <c r="AD9" s="143">
        <v>0.0</v>
      </c>
      <c r="AE9" s="143">
        <v>0.0</v>
      </c>
      <c r="AF9" s="143">
        <v>0.0</v>
      </c>
      <c r="AG9" s="143">
        <v>0.0</v>
      </c>
      <c r="AH9" s="143">
        <v>1.0</v>
      </c>
      <c r="AI9" s="143">
        <v>0.0</v>
      </c>
      <c r="AJ9" s="143">
        <v>0.0</v>
      </c>
      <c r="AK9" s="143">
        <v>0.0</v>
      </c>
      <c r="AL9" s="143">
        <v>0.0</v>
      </c>
      <c r="AM9" s="143">
        <v>0.0</v>
      </c>
      <c r="AN9" s="143">
        <v>0.0</v>
      </c>
      <c r="AO9" s="143">
        <v>0.0</v>
      </c>
      <c r="AP9" s="143">
        <v>0.0</v>
      </c>
      <c r="AQ9" s="144">
        <v>0.0</v>
      </c>
      <c r="AR9" s="143">
        <v>0.0</v>
      </c>
      <c r="AS9" s="143">
        <v>0.0</v>
      </c>
    </row>
    <row r="10">
      <c r="A10" s="141" t="s">
        <v>78</v>
      </c>
      <c r="B10" s="142">
        <v>263.0</v>
      </c>
      <c r="C10" s="143">
        <v>1.0</v>
      </c>
      <c r="D10" s="143">
        <v>25.0</v>
      </c>
      <c r="E10" s="143">
        <v>10.0</v>
      </c>
      <c r="F10" s="143">
        <v>0.0</v>
      </c>
      <c r="G10" s="143">
        <v>0.0</v>
      </c>
      <c r="H10" s="143">
        <v>1.0</v>
      </c>
      <c r="I10" s="143">
        <v>15.0</v>
      </c>
      <c r="J10" s="143">
        <v>40.0</v>
      </c>
      <c r="K10" s="143">
        <v>6.0</v>
      </c>
      <c r="L10" s="143">
        <v>1.0</v>
      </c>
      <c r="M10" s="143">
        <v>0.0</v>
      </c>
      <c r="N10" s="143">
        <v>1.0</v>
      </c>
      <c r="O10" s="143">
        <v>48.0</v>
      </c>
      <c r="P10" s="143">
        <v>44.0</v>
      </c>
      <c r="Q10" s="143">
        <v>5.0</v>
      </c>
      <c r="R10" s="143">
        <v>0.0</v>
      </c>
      <c r="S10" s="143">
        <v>0.0</v>
      </c>
      <c r="T10" s="143">
        <v>0.0</v>
      </c>
      <c r="U10" s="143">
        <v>20.0</v>
      </c>
      <c r="V10" s="143">
        <v>59.0</v>
      </c>
      <c r="W10" s="143">
        <v>2.0</v>
      </c>
      <c r="X10" s="143">
        <v>0.0</v>
      </c>
      <c r="Y10" s="143">
        <v>0.0</v>
      </c>
      <c r="Z10" s="143">
        <v>1.0</v>
      </c>
      <c r="AA10" s="143">
        <v>18.0</v>
      </c>
      <c r="AB10" s="143">
        <v>11.0</v>
      </c>
      <c r="AC10" s="143">
        <v>0.0</v>
      </c>
      <c r="AD10" s="143">
        <v>0.0</v>
      </c>
      <c r="AE10" s="143">
        <v>0.0</v>
      </c>
      <c r="AF10" s="143">
        <v>0.0</v>
      </c>
      <c r="AG10" s="143">
        <v>9.0</v>
      </c>
      <c r="AH10" s="143">
        <v>0.0</v>
      </c>
      <c r="AI10" s="143">
        <v>0.0</v>
      </c>
      <c r="AJ10" s="143">
        <v>0.0</v>
      </c>
      <c r="AK10" s="143">
        <v>0.0</v>
      </c>
      <c r="AL10" s="143">
        <v>0.0</v>
      </c>
      <c r="AM10" s="143">
        <v>0.0</v>
      </c>
      <c r="AN10" s="143">
        <v>0.0</v>
      </c>
      <c r="AO10" s="143">
        <v>0.0</v>
      </c>
      <c r="AP10" s="143">
        <v>0.0</v>
      </c>
      <c r="AQ10" s="144">
        <v>0.0</v>
      </c>
      <c r="AR10" s="143">
        <v>0.0</v>
      </c>
      <c r="AS10" s="143">
        <v>0.0</v>
      </c>
    </row>
    <row r="11">
      <c r="A11" s="141" t="s">
        <v>78</v>
      </c>
      <c r="B11" s="142">
        <v>264.0</v>
      </c>
      <c r="C11" s="143">
        <v>1.0</v>
      </c>
      <c r="D11" s="143">
        <v>39.0</v>
      </c>
      <c r="E11" s="143">
        <v>17.0</v>
      </c>
      <c r="F11" s="143">
        <v>0.0</v>
      </c>
      <c r="G11" s="143">
        <v>0.0</v>
      </c>
      <c r="H11" s="143">
        <v>1.0</v>
      </c>
      <c r="I11" s="143">
        <v>19.0</v>
      </c>
      <c r="J11" s="143">
        <v>55.0</v>
      </c>
      <c r="K11" s="143">
        <v>3.0</v>
      </c>
      <c r="L11" s="143">
        <v>0.0</v>
      </c>
      <c r="M11" s="143">
        <v>0.0</v>
      </c>
      <c r="N11" s="143">
        <v>2.0</v>
      </c>
      <c r="O11" s="143">
        <v>46.0</v>
      </c>
      <c r="P11" s="143">
        <v>83.0</v>
      </c>
      <c r="Q11" s="143">
        <v>12.0</v>
      </c>
      <c r="R11" s="143">
        <v>0.0</v>
      </c>
      <c r="S11" s="143">
        <v>0.0</v>
      </c>
      <c r="T11" s="143">
        <v>0.0</v>
      </c>
      <c r="U11" s="143">
        <v>52.0</v>
      </c>
      <c r="V11" s="143">
        <v>120.0</v>
      </c>
      <c r="W11" s="143">
        <v>3.0</v>
      </c>
      <c r="X11" s="143">
        <v>0.0</v>
      </c>
      <c r="Y11" s="143">
        <v>0.0</v>
      </c>
      <c r="Z11" s="143">
        <v>0.0</v>
      </c>
      <c r="AA11" s="143">
        <v>29.0</v>
      </c>
      <c r="AB11" s="143">
        <v>19.0</v>
      </c>
      <c r="AC11" s="143">
        <v>1.0</v>
      </c>
      <c r="AD11" s="143">
        <v>0.0</v>
      </c>
      <c r="AE11" s="143">
        <v>0.0</v>
      </c>
      <c r="AF11" s="143">
        <v>0.0</v>
      </c>
      <c r="AG11" s="143">
        <v>1.0</v>
      </c>
      <c r="AH11" s="143">
        <v>1.0</v>
      </c>
      <c r="AI11" s="143">
        <v>0.0</v>
      </c>
      <c r="AJ11" s="143">
        <v>0.0</v>
      </c>
      <c r="AK11" s="143">
        <v>0.0</v>
      </c>
      <c r="AL11" s="143">
        <v>0.0</v>
      </c>
      <c r="AM11" s="143">
        <v>0.0</v>
      </c>
      <c r="AN11" s="143">
        <v>0.0</v>
      </c>
      <c r="AO11" s="143">
        <v>0.0</v>
      </c>
      <c r="AP11" s="143">
        <v>0.0</v>
      </c>
      <c r="AQ11" s="144">
        <v>0.0</v>
      </c>
      <c r="AR11" s="143">
        <v>0.0</v>
      </c>
      <c r="AS11" s="143">
        <v>0.0</v>
      </c>
    </row>
    <row r="12">
      <c r="A12" s="141" t="s">
        <v>78</v>
      </c>
      <c r="B12" s="142">
        <v>265.0</v>
      </c>
      <c r="C12" s="143">
        <v>1.0</v>
      </c>
      <c r="D12" s="143">
        <v>12.0</v>
      </c>
      <c r="E12" s="143">
        <v>1.0</v>
      </c>
      <c r="F12" s="143">
        <v>1.0</v>
      </c>
      <c r="G12" s="143">
        <v>0.0</v>
      </c>
      <c r="H12" s="143">
        <v>2.0</v>
      </c>
      <c r="I12" s="143">
        <v>8.0</v>
      </c>
      <c r="J12" s="143">
        <v>11.0</v>
      </c>
      <c r="K12" s="143">
        <v>1.0</v>
      </c>
      <c r="L12" s="143">
        <v>0.0</v>
      </c>
      <c r="M12" s="143">
        <v>0.0</v>
      </c>
      <c r="N12" s="143">
        <v>0.0</v>
      </c>
      <c r="O12" s="143">
        <v>16.0</v>
      </c>
      <c r="P12" s="143">
        <v>17.0</v>
      </c>
      <c r="Q12" s="143">
        <v>3.0</v>
      </c>
      <c r="R12" s="143">
        <v>0.0</v>
      </c>
      <c r="S12" s="143">
        <v>0.0</v>
      </c>
      <c r="T12" s="143">
        <v>2.0</v>
      </c>
      <c r="U12" s="143">
        <v>16.0</v>
      </c>
      <c r="V12" s="143">
        <v>25.0</v>
      </c>
      <c r="W12" s="143">
        <v>2.0</v>
      </c>
      <c r="X12" s="143">
        <v>0.0</v>
      </c>
      <c r="Y12" s="143">
        <v>0.0</v>
      </c>
      <c r="Z12" s="143">
        <v>0.0</v>
      </c>
      <c r="AA12" s="143">
        <v>11.0</v>
      </c>
      <c r="AB12" s="143">
        <v>6.0</v>
      </c>
      <c r="AC12" s="143">
        <v>0.0</v>
      </c>
      <c r="AD12" s="143">
        <v>0.0</v>
      </c>
      <c r="AE12" s="143">
        <v>0.0</v>
      </c>
      <c r="AF12" s="143">
        <v>0.0</v>
      </c>
      <c r="AG12" s="143">
        <v>2.0</v>
      </c>
      <c r="AH12" s="143">
        <v>0.0</v>
      </c>
      <c r="AI12" s="143">
        <v>0.0</v>
      </c>
      <c r="AJ12" s="143">
        <v>0.0</v>
      </c>
      <c r="AK12" s="143">
        <v>0.0</v>
      </c>
      <c r="AL12" s="143">
        <v>0.0</v>
      </c>
      <c r="AM12" s="143">
        <v>0.0</v>
      </c>
      <c r="AN12" s="143">
        <v>0.0</v>
      </c>
      <c r="AO12" s="143">
        <v>0.0</v>
      </c>
      <c r="AP12" s="143">
        <v>0.0</v>
      </c>
      <c r="AQ12" s="144">
        <v>0.0</v>
      </c>
      <c r="AR12" s="143">
        <v>0.0</v>
      </c>
      <c r="AS12" s="143">
        <v>0.0</v>
      </c>
    </row>
    <row r="13">
      <c r="A13" s="141" t="s">
        <v>78</v>
      </c>
      <c r="B13" s="142">
        <v>266.0</v>
      </c>
      <c r="C13" s="143">
        <v>2.0</v>
      </c>
      <c r="D13" s="143">
        <v>20.0</v>
      </c>
      <c r="E13" s="143">
        <v>3.0</v>
      </c>
      <c r="F13" s="143">
        <v>1.0</v>
      </c>
      <c r="G13" s="143">
        <v>0.0</v>
      </c>
      <c r="H13" s="143">
        <v>3.0</v>
      </c>
      <c r="I13" s="143">
        <v>16.0</v>
      </c>
      <c r="J13" s="143">
        <v>34.0</v>
      </c>
      <c r="K13" s="143">
        <v>5.0</v>
      </c>
      <c r="L13" s="143">
        <v>0.0</v>
      </c>
      <c r="M13" s="143">
        <v>0.0</v>
      </c>
      <c r="N13" s="143">
        <v>1.0</v>
      </c>
      <c r="O13" s="143">
        <v>36.0</v>
      </c>
      <c r="P13" s="143">
        <v>49.0</v>
      </c>
      <c r="Q13" s="143">
        <v>5.0</v>
      </c>
      <c r="R13" s="143">
        <v>1.0</v>
      </c>
      <c r="S13" s="143">
        <v>0.0</v>
      </c>
      <c r="T13" s="143">
        <v>1.0</v>
      </c>
      <c r="U13" s="143">
        <v>31.0</v>
      </c>
      <c r="V13" s="143">
        <v>55.0</v>
      </c>
      <c r="W13" s="143">
        <v>3.0</v>
      </c>
      <c r="X13" s="143">
        <v>0.0</v>
      </c>
      <c r="Y13" s="143">
        <v>0.0</v>
      </c>
      <c r="Z13" s="143">
        <v>1.0</v>
      </c>
      <c r="AA13" s="143">
        <v>22.0</v>
      </c>
      <c r="AB13" s="143">
        <v>9.0</v>
      </c>
      <c r="AC13" s="143">
        <v>1.0</v>
      </c>
      <c r="AD13" s="143">
        <v>0.0</v>
      </c>
      <c r="AE13" s="143">
        <v>0.0</v>
      </c>
      <c r="AF13" s="143">
        <v>0.0</v>
      </c>
      <c r="AG13" s="143">
        <v>6.0</v>
      </c>
      <c r="AH13" s="143">
        <v>1.0</v>
      </c>
      <c r="AI13" s="143">
        <v>0.0</v>
      </c>
      <c r="AJ13" s="143">
        <v>0.0</v>
      </c>
      <c r="AK13" s="143">
        <v>0.0</v>
      </c>
      <c r="AL13" s="143">
        <v>1.0</v>
      </c>
      <c r="AM13" s="143">
        <v>0.0</v>
      </c>
      <c r="AN13" s="143">
        <v>0.0</v>
      </c>
      <c r="AO13" s="143">
        <v>0.0</v>
      </c>
      <c r="AP13" s="143">
        <v>0.0</v>
      </c>
      <c r="AQ13" s="144">
        <v>0.0</v>
      </c>
      <c r="AR13" s="143">
        <v>0.0</v>
      </c>
      <c r="AS13" s="143">
        <v>0.0</v>
      </c>
    </row>
    <row r="14">
      <c r="A14" s="141" t="s">
        <v>78</v>
      </c>
      <c r="B14" s="142">
        <v>267.0</v>
      </c>
      <c r="C14" s="143">
        <v>0.0</v>
      </c>
      <c r="D14" s="143">
        <v>25.0</v>
      </c>
      <c r="E14" s="143">
        <v>14.0</v>
      </c>
      <c r="F14" s="143">
        <v>0.0</v>
      </c>
      <c r="G14" s="143">
        <v>0.0</v>
      </c>
      <c r="H14" s="143">
        <v>3.0</v>
      </c>
      <c r="I14" s="143">
        <v>17.0</v>
      </c>
      <c r="J14" s="143">
        <v>45.0</v>
      </c>
      <c r="K14" s="143">
        <v>3.0</v>
      </c>
      <c r="L14" s="143">
        <v>0.0</v>
      </c>
      <c r="M14" s="143">
        <v>0.0</v>
      </c>
      <c r="N14" s="143">
        <v>0.0</v>
      </c>
      <c r="O14" s="143">
        <v>46.0</v>
      </c>
      <c r="P14" s="143">
        <v>76.0</v>
      </c>
      <c r="Q14" s="143">
        <v>13.0</v>
      </c>
      <c r="R14" s="143">
        <v>0.0</v>
      </c>
      <c r="S14" s="143">
        <v>0.0</v>
      </c>
      <c r="T14" s="143">
        <v>1.0</v>
      </c>
      <c r="U14" s="143">
        <v>53.0</v>
      </c>
      <c r="V14" s="143">
        <v>76.0</v>
      </c>
      <c r="W14" s="143">
        <v>4.0</v>
      </c>
      <c r="X14" s="143">
        <v>0.0</v>
      </c>
      <c r="Y14" s="143">
        <v>0.0</v>
      </c>
      <c r="Z14" s="143">
        <v>1.0</v>
      </c>
      <c r="AA14" s="143">
        <v>29.0</v>
      </c>
      <c r="AB14" s="143">
        <v>19.0</v>
      </c>
      <c r="AC14" s="143">
        <v>0.0</v>
      </c>
      <c r="AD14" s="143">
        <v>0.0</v>
      </c>
      <c r="AE14" s="143">
        <v>0.0</v>
      </c>
      <c r="AF14" s="143">
        <v>1.0</v>
      </c>
      <c r="AG14" s="143">
        <v>4.0</v>
      </c>
      <c r="AH14" s="143">
        <v>3.0</v>
      </c>
      <c r="AI14" s="143">
        <v>0.0</v>
      </c>
      <c r="AJ14" s="143">
        <v>0.0</v>
      </c>
      <c r="AK14" s="143">
        <v>0.0</v>
      </c>
      <c r="AL14" s="143">
        <v>0.0</v>
      </c>
      <c r="AM14" s="143">
        <v>0.0</v>
      </c>
      <c r="AN14" s="143">
        <v>0.0</v>
      </c>
      <c r="AO14" s="143">
        <v>0.0</v>
      </c>
      <c r="AP14" s="143">
        <v>0.0</v>
      </c>
      <c r="AQ14" s="144">
        <v>0.0</v>
      </c>
      <c r="AR14" s="143">
        <v>0.0</v>
      </c>
      <c r="AS14" s="143">
        <v>0.0</v>
      </c>
    </row>
    <row r="15">
      <c r="A15" s="141" t="s">
        <v>78</v>
      </c>
      <c r="B15" s="142">
        <v>271.0</v>
      </c>
      <c r="C15" s="143">
        <v>0.0</v>
      </c>
      <c r="D15" s="143">
        <v>9.0</v>
      </c>
      <c r="E15" s="143">
        <v>6.0</v>
      </c>
      <c r="F15" s="143">
        <v>1.0</v>
      </c>
      <c r="G15" s="143">
        <v>0.0</v>
      </c>
      <c r="H15" s="143">
        <v>1.0</v>
      </c>
      <c r="I15" s="143">
        <v>10.0</v>
      </c>
      <c r="J15" s="143">
        <v>25.0</v>
      </c>
      <c r="K15" s="143">
        <v>0.0</v>
      </c>
      <c r="L15" s="143">
        <v>0.0</v>
      </c>
      <c r="M15" s="143">
        <v>0.0</v>
      </c>
      <c r="N15" s="143">
        <v>0.0</v>
      </c>
      <c r="O15" s="143">
        <v>22.0</v>
      </c>
      <c r="P15" s="143">
        <v>25.0</v>
      </c>
      <c r="Q15" s="143">
        <v>6.0</v>
      </c>
      <c r="R15" s="143">
        <v>0.0</v>
      </c>
      <c r="S15" s="143">
        <v>0.0</v>
      </c>
      <c r="T15" s="143">
        <v>0.0</v>
      </c>
      <c r="U15" s="143">
        <v>18.0</v>
      </c>
      <c r="V15" s="143">
        <v>29.0</v>
      </c>
      <c r="W15" s="143">
        <v>1.0</v>
      </c>
      <c r="X15" s="143">
        <v>0.0</v>
      </c>
      <c r="Y15" s="143">
        <v>0.0</v>
      </c>
      <c r="Z15" s="143">
        <v>0.0</v>
      </c>
      <c r="AA15" s="143">
        <v>12.0</v>
      </c>
      <c r="AB15" s="143">
        <v>4.0</v>
      </c>
      <c r="AC15" s="143">
        <v>0.0</v>
      </c>
      <c r="AD15" s="143">
        <v>0.0</v>
      </c>
      <c r="AE15" s="143">
        <v>0.0</v>
      </c>
      <c r="AF15" s="143">
        <v>0.0</v>
      </c>
      <c r="AG15" s="143">
        <v>2.0</v>
      </c>
      <c r="AH15" s="143">
        <v>0.0</v>
      </c>
      <c r="AI15" s="143">
        <v>0.0</v>
      </c>
      <c r="AJ15" s="143">
        <v>0.0</v>
      </c>
      <c r="AK15" s="143">
        <v>0.0</v>
      </c>
      <c r="AL15" s="143">
        <v>0.0</v>
      </c>
      <c r="AM15" s="143">
        <v>0.0</v>
      </c>
      <c r="AN15" s="143">
        <v>0.0</v>
      </c>
      <c r="AO15" s="143">
        <v>0.0</v>
      </c>
      <c r="AP15" s="143">
        <v>0.0</v>
      </c>
      <c r="AQ15" s="144">
        <v>0.0</v>
      </c>
      <c r="AR15" s="143">
        <v>0.0</v>
      </c>
      <c r="AS15" s="143">
        <v>0.0</v>
      </c>
    </row>
    <row r="16">
      <c r="A16" s="141" t="s">
        <v>78</v>
      </c>
      <c r="B16" s="142">
        <v>272.0</v>
      </c>
      <c r="C16" s="143">
        <v>0.0</v>
      </c>
      <c r="D16" s="143">
        <v>5.0</v>
      </c>
      <c r="E16" s="143">
        <v>0.0</v>
      </c>
      <c r="F16" s="143">
        <v>1.0</v>
      </c>
      <c r="G16" s="143">
        <v>0.0</v>
      </c>
      <c r="H16" s="143">
        <v>1.0</v>
      </c>
      <c r="I16" s="143">
        <v>8.0</v>
      </c>
      <c r="J16" s="143">
        <v>10.0</v>
      </c>
      <c r="K16" s="143">
        <v>3.0</v>
      </c>
      <c r="L16" s="143">
        <v>0.0</v>
      </c>
      <c r="M16" s="143">
        <v>0.0</v>
      </c>
      <c r="N16" s="143">
        <v>0.0</v>
      </c>
      <c r="O16" s="143">
        <v>7.0</v>
      </c>
      <c r="P16" s="143">
        <v>15.0</v>
      </c>
      <c r="Q16" s="143">
        <v>4.0</v>
      </c>
      <c r="R16" s="143">
        <v>0.0</v>
      </c>
      <c r="S16" s="143">
        <v>0.0</v>
      </c>
      <c r="T16" s="143">
        <v>1.0</v>
      </c>
      <c r="U16" s="143">
        <v>15.0</v>
      </c>
      <c r="V16" s="143">
        <v>18.0</v>
      </c>
      <c r="W16" s="143">
        <v>0.0</v>
      </c>
      <c r="X16" s="143">
        <v>0.0</v>
      </c>
      <c r="Y16" s="143">
        <v>0.0</v>
      </c>
      <c r="Z16" s="143">
        <v>0.0</v>
      </c>
      <c r="AA16" s="143">
        <v>9.0</v>
      </c>
      <c r="AB16" s="143">
        <v>7.0</v>
      </c>
      <c r="AC16" s="143">
        <v>0.0</v>
      </c>
      <c r="AD16" s="143">
        <v>0.0</v>
      </c>
      <c r="AE16" s="143">
        <v>0.0</v>
      </c>
      <c r="AF16" s="143">
        <v>0.0</v>
      </c>
      <c r="AG16" s="143">
        <v>1.0</v>
      </c>
      <c r="AH16" s="143">
        <v>0.0</v>
      </c>
      <c r="AI16" s="143">
        <v>0.0</v>
      </c>
      <c r="AJ16" s="143">
        <v>0.0</v>
      </c>
      <c r="AK16" s="143">
        <v>0.0</v>
      </c>
      <c r="AL16" s="143">
        <v>1.0</v>
      </c>
      <c r="AM16" s="143">
        <v>0.0</v>
      </c>
      <c r="AN16" s="143">
        <v>0.0</v>
      </c>
      <c r="AO16" s="143">
        <v>0.0</v>
      </c>
      <c r="AP16" s="143">
        <v>0.0</v>
      </c>
      <c r="AQ16" s="144">
        <v>0.0</v>
      </c>
      <c r="AR16" s="143">
        <v>0.0</v>
      </c>
      <c r="AS16" s="143">
        <v>0.0</v>
      </c>
    </row>
    <row r="17">
      <c r="A17" s="141" t="s">
        <v>78</v>
      </c>
      <c r="B17" s="142">
        <v>273.0</v>
      </c>
      <c r="C17" s="143">
        <v>0.0</v>
      </c>
      <c r="D17" s="143">
        <v>4.0</v>
      </c>
      <c r="E17" s="143">
        <v>1.0</v>
      </c>
      <c r="F17" s="143">
        <v>0.0</v>
      </c>
      <c r="G17" s="143">
        <v>0.0</v>
      </c>
      <c r="H17" s="143">
        <v>1.0</v>
      </c>
      <c r="I17" s="143">
        <v>2.0</v>
      </c>
      <c r="J17" s="143">
        <v>7.0</v>
      </c>
      <c r="K17" s="143">
        <v>0.0</v>
      </c>
      <c r="L17" s="143">
        <v>0.0</v>
      </c>
      <c r="M17" s="143">
        <v>0.0</v>
      </c>
      <c r="N17" s="143">
        <v>0.0</v>
      </c>
      <c r="O17" s="143">
        <v>5.0</v>
      </c>
      <c r="P17" s="143">
        <v>17.0</v>
      </c>
      <c r="Q17" s="143">
        <v>1.0</v>
      </c>
      <c r="R17" s="143">
        <v>0.0</v>
      </c>
      <c r="S17" s="143">
        <v>0.0</v>
      </c>
      <c r="T17" s="143">
        <v>1.0</v>
      </c>
      <c r="U17" s="143">
        <v>3.0</v>
      </c>
      <c r="V17" s="143">
        <v>15.0</v>
      </c>
      <c r="W17" s="143">
        <v>0.0</v>
      </c>
      <c r="X17" s="143">
        <v>0.0</v>
      </c>
      <c r="Y17" s="143">
        <v>0.0</v>
      </c>
      <c r="Z17" s="143">
        <v>0.0</v>
      </c>
      <c r="AA17" s="143">
        <v>8.0</v>
      </c>
      <c r="AB17" s="143">
        <v>2.0</v>
      </c>
      <c r="AC17" s="143">
        <v>0.0</v>
      </c>
      <c r="AD17" s="143">
        <v>0.0</v>
      </c>
      <c r="AE17" s="143">
        <v>0.0</v>
      </c>
      <c r="AF17" s="143">
        <v>0.0</v>
      </c>
      <c r="AG17" s="143">
        <v>0.0</v>
      </c>
      <c r="AH17" s="143">
        <v>0.0</v>
      </c>
      <c r="AI17" s="143">
        <v>0.0</v>
      </c>
      <c r="AJ17" s="143">
        <v>0.0</v>
      </c>
      <c r="AK17" s="143">
        <v>0.0</v>
      </c>
      <c r="AL17" s="143">
        <v>0.0</v>
      </c>
      <c r="AM17" s="143">
        <v>0.0</v>
      </c>
      <c r="AN17" s="143">
        <v>0.0</v>
      </c>
      <c r="AO17" s="143">
        <v>0.0</v>
      </c>
      <c r="AP17" s="143">
        <v>0.0</v>
      </c>
      <c r="AQ17" s="144">
        <v>0.0</v>
      </c>
      <c r="AR17" s="143">
        <v>0.0</v>
      </c>
      <c r="AS17" s="143">
        <v>0.0</v>
      </c>
    </row>
    <row r="18">
      <c r="A18" s="141" t="s">
        <v>78</v>
      </c>
      <c r="B18" s="142">
        <v>274.0</v>
      </c>
      <c r="C18" s="143">
        <v>0.0</v>
      </c>
      <c r="D18" s="143">
        <v>14.0</v>
      </c>
      <c r="E18" s="143">
        <v>4.0</v>
      </c>
      <c r="F18" s="143">
        <v>1.0</v>
      </c>
      <c r="G18" s="143">
        <v>0.0</v>
      </c>
      <c r="H18" s="143">
        <v>0.0</v>
      </c>
      <c r="I18" s="143">
        <v>4.0</v>
      </c>
      <c r="J18" s="143">
        <v>22.0</v>
      </c>
      <c r="K18" s="143">
        <v>2.0</v>
      </c>
      <c r="L18" s="143">
        <v>0.0</v>
      </c>
      <c r="M18" s="143">
        <v>0.0</v>
      </c>
      <c r="N18" s="143">
        <v>0.0</v>
      </c>
      <c r="O18" s="143">
        <v>18.0</v>
      </c>
      <c r="P18" s="143">
        <v>23.0</v>
      </c>
      <c r="Q18" s="143">
        <v>2.0</v>
      </c>
      <c r="R18" s="143">
        <v>0.0</v>
      </c>
      <c r="S18" s="143">
        <v>0.0</v>
      </c>
      <c r="T18" s="143">
        <v>0.0</v>
      </c>
      <c r="U18" s="143">
        <v>9.0</v>
      </c>
      <c r="V18" s="143">
        <v>20.0</v>
      </c>
      <c r="W18" s="143">
        <v>0.0</v>
      </c>
      <c r="X18" s="143">
        <v>0.0</v>
      </c>
      <c r="Y18" s="143">
        <v>0.0</v>
      </c>
      <c r="Z18" s="143">
        <v>0.0</v>
      </c>
      <c r="AA18" s="143">
        <v>5.0</v>
      </c>
      <c r="AB18" s="143">
        <v>4.0</v>
      </c>
      <c r="AC18" s="143">
        <v>0.0</v>
      </c>
      <c r="AD18" s="143">
        <v>0.0</v>
      </c>
      <c r="AE18" s="143">
        <v>0.0</v>
      </c>
      <c r="AF18" s="143">
        <v>0.0</v>
      </c>
      <c r="AG18" s="143">
        <v>4.0</v>
      </c>
      <c r="AH18" s="143">
        <v>0.0</v>
      </c>
      <c r="AI18" s="143">
        <v>0.0</v>
      </c>
      <c r="AJ18" s="143">
        <v>0.0</v>
      </c>
      <c r="AK18" s="143">
        <v>0.0</v>
      </c>
      <c r="AL18" s="143">
        <v>0.0</v>
      </c>
      <c r="AM18" s="143">
        <v>0.0</v>
      </c>
      <c r="AN18" s="143">
        <v>0.0</v>
      </c>
      <c r="AO18" s="143">
        <v>0.0</v>
      </c>
      <c r="AP18" s="143">
        <v>0.0</v>
      </c>
      <c r="AQ18" s="144">
        <v>0.0</v>
      </c>
      <c r="AR18" s="143">
        <v>0.0</v>
      </c>
      <c r="AS18" s="143">
        <v>0.0</v>
      </c>
    </row>
    <row r="19">
      <c r="A19" s="141" t="s">
        <v>78</v>
      </c>
      <c r="B19" s="142">
        <v>275.0</v>
      </c>
      <c r="C19" s="143">
        <v>1.0</v>
      </c>
      <c r="D19" s="143">
        <v>19.0</v>
      </c>
      <c r="E19" s="143">
        <v>4.0</v>
      </c>
      <c r="F19" s="143">
        <v>0.0</v>
      </c>
      <c r="G19" s="143">
        <v>0.0</v>
      </c>
      <c r="H19" s="143">
        <v>5.0</v>
      </c>
      <c r="I19" s="143">
        <v>18.0</v>
      </c>
      <c r="J19" s="143">
        <v>42.0</v>
      </c>
      <c r="K19" s="143">
        <v>3.0</v>
      </c>
      <c r="L19" s="143">
        <v>0.0</v>
      </c>
      <c r="M19" s="143">
        <v>0.0</v>
      </c>
      <c r="N19" s="143">
        <v>0.0</v>
      </c>
      <c r="O19" s="143">
        <v>34.0</v>
      </c>
      <c r="P19" s="143">
        <v>34.0</v>
      </c>
      <c r="Q19" s="143">
        <v>5.0</v>
      </c>
      <c r="R19" s="143">
        <v>0.0</v>
      </c>
      <c r="S19" s="143">
        <v>0.0</v>
      </c>
      <c r="T19" s="143">
        <v>1.0</v>
      </c>
      <c r="U19" s="143">
        <v>19.0</v>
      </c>
      <c r="V19" s="143">
        <v>36.0</v>
      </c>
      <c r="W19" s="143">
        <v>2.0</v>
      </c>
      <c r="X19" s="143">
        <v>0.0</v>
      </c>
      <c r="Y19" s="143">
        <v>0.0</v>
      </c>
      <c r="Z19" s="143">
        <v>0.0</v>
      </c>
      <c r="AA19" s="143">
        <v>13.0</v>
      </c>
      <c r="AB19" s="143">
        <v>12.0</v>
      </c>
      <c r="AC19" s="143">
        <v>1.0</v>
      </c>
      <c r="AD19" s="143">
        <v>0.0</v>
      </c>
      <c r="AE19" s="143">
        <v>0.0</v>
      </c>
      <c r="AF19" s="143">
        <v>0.0</v>
      </c>
      <c r="AG19" s="143">
        <v>3.0</v>
      </c>
      <c r="AH19" s="143">
        <v>0.0</v>
      </c>
      <c r="AI19" s="143">
        <v>0.0</v>
      </c>
      <c r="AJ19" s="143">
        <v>0.0</v>
      </c>
      <c r="AK19" s="143">
        <v>0.0</v>
      </c>
      <c r="AL19" s="143">
        <v>0.0</v>
      </c>
      <c r="AM19" s="143">
        <v>0.0</v>
      </c>
      <c r="AN19" s="143">
        <v>0.0</v>
      </c>
      <c r="AO19" s="143">
        <v>0.0</v>
      </c>
      <c r="AP19" s="143">
        <v>0.0</v>
      </c>
      <c r="AQ19" s="144">
        <v>0.0</v>
      </c>
      <c r="AR19" s="143">
        <v>0.0</v>
      </c>
      <c r="AS19" s="143">
        <v>0.0</v>
      </c>
    </row>
    <row r="20">
      <c r="A20" s="141" t="s">
        <v>78</v>
      </c>
      <c r="B20" s="142">
        <v>276.0</v>
      </c>
      <c r="C20" s="143">
        <v>0.0</v>
      </c>
      <c r="D20" s="143">
        <v>25.0</v>
      </c>
      <c r="E20" s="143">
        <v>6.0</v>
      </c>
      <c r="F20" s="143">
        <v>2.0</v>
      </c>
      <c r="G20" s="143">
        <v>0.0</v>
      </c>
      <c r="H20" s="143">
        <v>3.0</v>
      </c>
      <c r="I20" s="143">
        <v>19.0</v>
      </c>
      <c r="J20" s="143">
        <v>46.0</v>
      </c>
      <c r="K20" s="143">
        <v>4.0</v>
      </c>
      <c r="L20" s="143">
        <v>0.0</v>
      </c>
      <c r="M20" s="143">
        <v>0.0</v>
      </c>
      <c r="N20" s="143">
        <v>2.0</v>
      </c>
      <c r="O20" s="143">
        <v>44.0</v>
      </c>
      <c r="P20" s="143">
        <v>62.0</v>
      </c>
      <c r="Q20" s="143">
        <v>9.0</v>
      </c>
      <c r="R20" s="143">
        <v>0.0</v>
      </c>
      <c r="S20" s="143">
        <v>0.0</v>
      </c>
      <c r="T20" s="143">
        <v>0.0</v>
      </c>
      <c r="U20" s="143">
        <v>38.0</v>
      </c>
      <c r="V20" s="143">
        <v>65.0</v>
      </c>
      <c r="W20" s="143">
        <v>5.0</v>
      </c>
      <c r="X20" s="143">
        <v>0.0</v>
      </c>
      <c r="Y20" s="143">
        <v>0.0</v>
      </c>
      <c r="Z20" s="143">
        <v>1.0</v>
      </c>
      <c r="AA20" s="143">
        <v>23.0</v>
      </c>
      <c r="AB20" s="143">
        <v>12.0</v>
      </c>
      <c r="AC20" s="143">
        <v>2.0</v>
      </c>
      <c r="AD20" s="143">
        <v>0.0</v>
      </c>
      <c r="AE20" s="143">
        <v>0.0</v>
      </c>
      <c r="AF20" s="143">
        <v>1.0</v>
      </c>
      <c r="AG20" s="143">
        <v>8.0</v>
      </c>
      <c r="AH20" s="143">
        <v>3.0</v>
      </c>
      <c r="AI20" s="143">
        <v>0.0</v>
      </c>
      <c r="AJ20" s="143">
        <v>0.0</v>
      </c>
      <c r="AK20" s="143">
        <v>0.0</v>
      </c>
      <c r="AL20" s="143">
        <v>0.0</v>
      </c>
      <c r="AM20" s="143">
        <v>0.0</v>
      </c>
      <c r="AN20" s="143">
        <v>0.0</v>
      </c>
      <c r="AO20" s="143">
        <v>0.0</v>
      </c>
      <c r="AP20" s="143">
        <v>0.0</v>
      </c>
      <c r="AQ20" s="144">
        <v>0.0</v>
      </c>
      <c r="AR20" s="143">
        <v>0.0</v>
      </c>
      <c r="AS20" s="143">
        <v>0.0</v>
      </c>
    </row>
    <row r="21">
      <c r="A21" s="141" t="s">
        <v>78</v>
      </c>
      <c r="B21" s="142">
        <v>277.0</v>
      </c>
      <c r="C21" s="143">
        <v>0.0</v>
      </c>
      <c r="D21" s="143">
        <v>14.0</v>
      </c>
      <c r="E21" s="143">
        <v>2.0</v>
      </c>
      <c r="F21" s="143">
        <v>1.0</v>
      </c>
      <c r="G21" s="143">
        <v>0.0</v>
      </c>
      <c r="H21" s="143">
        <v>1.0</v>
      </c>
      <c r="I21" s="143">
        <v>11.0</v>
      </c>
      <c r="J21" s="143">
        <v>31.0</v>
      </c>
      <c r="K21" s="143">
        <v>0.0</v>
      </c>
      <c r="L21" s="143">
        <v>0.0</v>
      </c>
      <c r="M21" s="143">
        <v>0.0</v>
      </c>
      <c r="N21" s="143">
        <v>1.0</v>
      </c>
      <c r="O21" s="143">
        <v>18.0</v>
      </c>
      <c r="P21" s="143">
        <v>40.0</v>
      </c>
      <c r="Q21" s="143">
        <v>5.0</v>
      </c>
      <c r="R21" s="143">
        <v>0.0</v>
      </c>
      <c r="S21" s="143">
        <v>0.0</v>
      </c>
      <c r="T21" s="143">
        <v>1.0</v>
      </c>
      <c r="U21" s="143">
        <v>23.0</v>
      </c>
      <c r="V21" s="143">
        <v>47.0</v>
      </c>
      <c r="W21" s="143">
        <v>4.0</v>
      </c>
      <c r="X21" s="143">
        <v>0.0</v>
      </c>
      <c r="Y21" s="143">
        <v>0.0</v>
      </c>
      <c r="Z21" s="143">
        <v>0.0</v>
      </c>
      <c r="AA21" s="143">
        <v>12.0</v>
      </c>
      <c r="AB21" s="143">
        <v>12.0</v>
      </c>
      <c r="AC21" s="143">
        <v>0.0</v>
      </c>
      <c r="AD21" s="143">
        <v>0.0</v>
      </c>
      <c r="AE21" s="143">
        <v>0.0</v>
      </c>
      <c r="AF21" s="143">
        <v>0.0</v>
      </c>
      <c r="AG21" s="143">
        <v>2.0</v>
      </c>
      <c r="AH21" s="143">
        <v>1.0</v>
      </c>
      <c r="AI21" s="143">
        <v>0.0</v>
      </c>
      <c r="AJ21" s="143">
        <v>0.0</v>
      </c>
      <c r="AK21" s="143">
        <v>0.0</v>
      </c>
      <c r="AL21" s="143">
        <v>0.0</v>
      </c>
      <c r="AM21" s="143">
        <v>0.0</v>
      </c>
      <c r="AN21" s="143">
        <v>0.0</v>
      </c>
      <c r="AO21" s="143">
        <v>0.0</v>
      </c>
      <c r="AP21" s="143">
        <v>0.0</v>
      </c>
      <c r="AQ21" s="144">
        <v>0.0</v>
      </c>
      <c r="AR21" s="143">
        <v>0.0</v>
      </c>
      <c r="AS21" s="143">
        <v>0.0</v>
      </c>
    </row>
    <row r="22">
      <c r="A22" s="141" t="s">
        <v>78</v>
      </c>
      <c r="B22" s="142">
        <v>278.0</v>
      </c>
      <c r="C22" s="143">
        <v>2.0</v>
      </c>
      <c r="D22" s="143">
        <v>23.0</v>
      </c>
      <c r="E22" s="143">
        <v>10.0</v>
      </c>
      <c r="F22" s="143">
        <v>0.0</v>
      </c>
      <c r="G22" s="143">
        <v>0.0</v>
      </c>
      <c r="H22" s="143">
        <v>1.0</v>
      </c>
      <c r="I22" s="143">
        <v>26.0</v>
      </c>
      <c r="J22" s="143">
        <v>41.0</v>
      </c>
      <c r="K22" s="143">
        <v>2.0</v>
      </c>
      <c r="L22" s="143">
        <v>0.0</v>
      </c>
      <c r="M22" s="143">
        <v>0.0</v>
      </c>
      <c r="N22" s="143">
        <v>0.0</v>
      </c>
      <c r="O22" s="143">
        <v>42.0</v>
      </c>
      <c r="P22" s="143">
        <v>54.0</v>
      </c>
      <c r="Q22" s="143">
        <v>3.0</v>
      </c>
      <c r="R22" s="143">
        <v>0.0</v>
      </c>
      <c r="S22" s="143">
        <v>0.0</v>
      </c>
      <c r="T22" s="143">
        <v>1.0</v>
      </c>
      <c r="U22" s="143">
        <v>25.0</v>
      </c>
      <c r="V22" s="143">
        <v>57.0</v>
      </c>
      <c r="W22" s="143">
        <v>0.0</v>
      </c>
      <c r="X22" s="143">
        <v>0.0</v>
      </c>
      <c r="Y22" s="143">
        <v>0.0</v>
      </c>
      <c r="Z22" s="143">
        <v>0.0</v>
      </c>
      <c r="AA22" s="143">
        <v>25.0</v>
      </c>
      <c r="AB22" s="143">
        <v>13.0</v>
      </c>
      <c r="AC22" s="143">
        <v>1.0</v>
      </c>
      <c r="AD22" s="143">
        <v>0.0</v>
      </c>
      <c r="AE22" s="143">
        <v>0.0</v>
      </c>
      <c r="AF22" s="143">
        <v>0.0</v>
      </c>
      <c r="AG22" s="143">
        <v>2.0</v>
      </c>
      <c r="AH22" s="143">
        <v>0.0</v>
      </c>
      <c r="AI22" s="143">
        <v>0.0</v>
      </c>
      <c r="AJ22" s="143">
        <v>0.0</v>
      </c>
      <c r="AK22" s="143">
        <v>0.0</v>
      </c>
      <c r="AL22" s="143">
        <v>0.0</v>
      </c>
      <c r="AM22" s="143">
        <v>0.0</v>
      </c>
      <c r="AN22" s="143">
        <v>0.0</v>
      </c>
      <c r="AO22" s="143">
        <v>0.0</v>
      </c>
      <c r="AP22" s="143">
        <v>0.0</v>
      </c>
      <c r="AQ22" s="144">
        <v>0.0</v>
      </c>
      <c r="AR22" s="143">
        <v>0.0</v>
      </c>
      <c r="AS22" s="143">
        <v>0.0</v>
      </c>
    </row>
    <row r="23">
      <c r="A23" s="141" t="s">
        <v>78</v>
      </c>
      <c r="B23" s="142">
        <v>279.0</v>
      </c>
      <c r="C23" s="143">
        <v>0.0</v>
      </c>
      <c r="D23" s="143">
        <v>4.0</v>
      </c>
      <c r="E23" s="143">
        <v>2.0</v>
      </c>
      <c r="F23" s="143">
        <v>0.0</v>
      </c>
      <c r="G23" s="143">
        <v>0.0</v>
      </c>
      <c r="H23" s="143">
        <v>0.0</v>
      </c>
      <c r="I23" s="143">
        <v>5.0</v>
      </c>
      <c r="J23" s="143">
        <v>9.0</v>
      </c>
      <c r="K23" s="143">
        <v>1.0</v>
      </c>
      <c r="L23" s="143">
        <v>0.0</v>
      </c>
      <c r="M23" s="143">
        <v>0.0</v>
      </c>
      <c r="N23" s="143">
        <v>0.0</v>
      </c>
      <c r="O23" s="143">
        <v>9.0</v>
      </c>
      <c r="P23" s="143">
        <v>12.0</v>
      </c>
      <c r="Q23" s="143">
        <v>2.0</v>
      </c>
      <c r="R23" s="143">
        <v>0.0</v>
      </c>
      <c r="S23" s="143">
        <v>0.0</v>
      </c>
      <c r="T23" s="143">
        <v>0.0</v>
      </c>
      <c r="U23" s="143">
        <v>7.0</v>
      </c>
      <c r="V23" s="143">
        <v>21.0</v>
      </c>
      <c r="W23" s="143">
        <v>1.0</v>
      </c>
      <c r="X23" s="143">
        <v>0.0</v>
      </c>
      <c r="Y23" s="143">
        <v>0.0</v>
      </c>
      <c r="Z23" s="143">
        <v>0.0</v>
      </c>
      <c r="AA23" s="143">
        <v>5.0</v>
      </c>
      <c r="AB23" s="143">
        <v>2.0</v>
      </c>
      <c r="AC23" s="143">
        <v>0.0</v>
      </c>
      <c r="AD23" s="143">
        <v>0.0</v>
      </c>
      <c r="AE23" s="143">
        <v>0.0</v>
      </c>
      <c r="AF23" s="143">
        <v>0.0</v>
      </c>
      <c r="AG23" s="143">
        <v>0.0</v>
      </c>
      <c r="AH23" s="143">
        <v>2.0</v>
      </c>
      <c r="AI23" s="143">
        <v>0.0</v>
      </c>
      <c r="AJ23" s="143">
        <v>0.0</v>
      </c>
      <c r="AK23" s="143">
        <v>0.0</v>
      </c>
      <c r="AL23" s="143">
        <v>0.0</v>
      </c>
      <c r="AM23" s="143">
        <v>0.0</v>
      </c>
      <c r="AN23" s="143">
        <v>0.0</v>
      </c>
      <c r="AO23" s="143">
        <v>0.0</v>
      </c>
      <c r="AP23" s="143">
        <v>0.0</v>
      </c>
      <c r="AQ23" s="144">
        <v>0.0</v>
      </c>
      <c r="AR23" s="143">
        <v>0.0</v>
      </c>
      <c r="AS23" s="143">
        <v>0.0</v>
      </c>
    </row>
    <row r="24">
      <c r="A24" s="141" t="s">
        <v>78</v>
      </c>
      <c r="B24" s="142">
        <v>280.0</v>
      </c>
      <c r="C24" s="143">
        <v>0.0</v>
      </c>
      <c r="D24" s="143">
        <v>8.0</v>
      </c>
      <c r="E24" s="143">
        <v>3.0</v>
      </c>
      <c r="F24" s="143">
        <v>0.0</v>
      </c>
      <c r="G24" s="143">
        <v>0.0</v>
      </c>
      <c r="H24" s="143">
        <v>0.0</v>
      </c>
      <c r="I24" s="143">
        <v>5.0</v>
      </c>
      <c r="J24" s="143">
        <v>14.0</v>
      </c>
      <c r="K24" s="143">
        <v>1.0</v>
      </c>
      <c r="L24" s="143">
        <v>0.0</v>
      </c>
      <c r="M24" s="143">
        <v>0.0</v>
      </c>
      <c r="N24" s="143">
        <v>0.0</v>
      </c>
      <c r="O24" s="143">
        <v>11.0</v>
      </c>
      <c r="P24" s="143">
        <v>17.0</v>
      </c>
      <c r="Q24" s="143">
        <v>0.0</v>
      </c>
      <c r="R24" s="143">
        <v>0.0</v>
      </c>
      <c r="S24" s="143">
        <v>0.0</v>
      </c>
      <c r="T24" s="143">
        <v>1.0</v>
      </c>
      <c r="U24" s="143">
        <v>9.0</v>
      </c>
      <c r="V24" s="143">
        <v>15.0</v>
      </c>
      <c r="W24" s="143">
        <v>0.0</v>
      </c>
      <c r="X24" s="143">
        <v>0.0</v>
      </c>
      <c r="Y24" s="143">
        <v>0.0</v>
      </c>
      <c r="Z24" s="143">
        <v>0.0</v>
      </c>
      <c r="AA24" s="143">
        <v>4.0</v>
      </c>
      <c r="AB24" s="143">
        <v>3.0</v>
      </c>
      <c r="AC24" s="143">
        <v>0.0</v>
      </c>
      <c r="AD24" s="143">
        <v>0.0</v>
      </c>
      <c r="AE24" s="143">
        <v>0.0</v>
      </c>
      <c r="AF24" s="143">
        <v>0.0</v>
      </c>
      <c r="AG24" s="143">
        <v>0.0</v>
      </c>
      <c r="AH24" s="143">
        <v>0.0</v>
      </c>
      <c r="AI24" s="143">
        <v>0.0</v>
      </c>
      <c r="AJ24" s="143">
        <v>0.0</v>
      </c>
      <c r="AK24" s="143">
        <v>0.0</v>
      </c>
      <c r="AL24" s="143">
        <v>0.0</v>
      </c>
      <c r="AM24" s="143">
        <v>0.0</v>
      </c>
      <c r="AN24" s="143">
        <v>0.0</v>
      </c>
      <c r="AO24" s="143">
        <v>0.0</v>
      </c>
      <c r="AP24" s="143">
        <v>0.0</v>
      </c>
      <c r="AQ24" s="144">
        <v>0.0</v>
      </c>
      <c r="AR24" s="143">
        <v>0.0</v>
      </c>
      <c r="AS24" s="143">
        <v>0.0</v>
      </c>
    </row>
    <row r="25">
      <c r="A25" s="141" t="s">
        <v>78</v>
      </c>
      <c r="B25" s="142">
        <v>281.0</v>
      </c>
      <c r="C25" s="143">
        <v>0.0</v>
      </c>
      <c r="D25" s="143">
        <v>5.0</v>
      </c>
      <c r="E25" s="143">
        <v>2.0</v>
      </c>
      <c r="F25" s="143">
        <v>0.0</v>
      </c>
      <c r="G25" s="143">
        <v>0.0</v>
      </c>
      <c r="H25" s="143">
        <v>1.0</v>
      </c>
      <c r="I25" s="143">
        <v>4.0</v>
      </c>
      <c r="J25" s="143">
        <v>9.0</v>
      </c>
      <c r="K25" s="143">
        <v>0.0</v>
      </c>
      <c r="L25" s="143">
        <v>0.0</v>
      </c>
      <c r="M25" s="143">
        <v>0.0</v>
      </c>
      <c r="N25" s="143">
        <v>0.0</v>
      </c>
      <c r="O25" s="143">
        <v>4.0</v>
      </c>
      <c r="P25" s="143">
        <v>19.0</v>
      </c>
      <c r="Q25" s="143">
        <v>1.0</v>
      </c>
      <c r="R25" s="143">
        <v>0.0</v>
      </c>
      <c r="S25" s="143">
        <v>0.0</v>
      </c>
      <c r="T25" s="143">
        <v>0.0</v>
      </c>
      <c r="U25" s="143">
        <v>6.0</v>
      </c>
      <c r="V25" s="143">
        <v>10.0</v>
      </c>
      <c r="W25" s="143">
        <v>3.0</v>
      </c>
      <c r="X25" s="143">
        <v>0.0</v>
      </c>
      <c r="Y25" s="143">
        <v>0.0</v>
      </c>
      <c r="Z25" s="143">
        <v>0.0</v>
      </c>
      <c r="AA25" s="143">
        <v>3.0</v>
      </c>
      <c r="AB25" s="143">
        <v>2.0</v>
      </c>
      <c r="AC25" s="143">
        <v>0.0</v>
      </c>
      <c r="AD25" s="143">
        <v>0.0</v>
      </c>
      <c r="AE25" s="143">
        <v>0.0</v>
      </c>
      <c r="AF25" s="143">
        <v>0.0</v>
      </c>
      <c r="AG25" s="143">
        <v>0.0</v>
      </c>
      <c r="AH25" s="143">
        <v>1.0</v>
      </c>
      <c r="AI25" s="143">
        <v>0.0</v>
      </c>
      <c r="AJ25" s="143">
        <v>0.0</v>
      </c>
      <c r="AK25" s="143">
        <v>0.0</v>
      </c>
      <c r="AL25" s="143">
        <v>0.0</v>
      </c>
      <c r="AM25" s="143">
        <v>0.0</v>
      </c>
      <c r="AN25" s="143">
        <v>0.0</v>
      </c>
      <c r="AO25" s="143">
        <v>0.0</v>
      </c>
      <c r="AP25" s="143">
        <v>0.0</v>
      </c>
      <c r="AQ25" s="144">
        <v>0.0</v>
      </c>
      <c r="AR25" s="143">
        <v>0.0</v>
      </c>
      <c r="AS25" s="143">
        <v>0.0</v>
      </c>
    </row>
    <row r="26">
      <c r="A26" s="141" t="s">
        <v>78</v>
      </c>
      <c r="B26" s="142">
        <v>282.0</v>
      </c>
      <c r="C26" s="143">
        <v>1.0</v>
      </c>
      <c r="D26" s="143">
        <v>2.0</v>
      </c>
      <c r="E26" s="143">
        <v>2.0</v>
      </c>
      <c r="F26" s="143">
        <v>0.0</v>
      </c>
      <c r="G26" s="143">
        <v>0.0</v>
      </c>
      <c r="H26" s="143">
        <v>0.0</v>
      </c>
      <c r="I26" s="143">
        <v>3.0</v>
      </c>
      <c r="J26" s="143">
        <v>6.0</v>
      </c>
      <c r="K26" s="143">
        <v>0.0</v>
      </c>
      <c r="L26" s="143">
        <v>0.0</v>
      </c>
      <c r="M26" s="143">
        <v>0.0</v>
      </c>
      <c r="N26" s="143">
        <v>0.0</v>
      </c>
      <c r="O26" s="143">
        <v>4.0</v>
      </c>
      <c r="P26" s="143">
        <v>8.0</v>
      </c>
      <c r="Q26" s="143">
        <v>0.0</v>
      </c>
      <c r="R26" s="143">
        <v>0.0</v>
      </c>
      <c r="S26" s="143">
        <v>0.0</v>
      </c>
      <c r="T26" s="143">
        <v>0.0</v>
      </c>
      <c r="U26" s="143">
        <v>4.0</v>
      </c>
      <c r="V26" s="143">
        <v>9.0</v>
      </c>
      <c r="W26" s="143">
        <v>0.0</v>
      </c>
      <c r="X26" s="143">
        <v>0.0</v>
      </c>
      <c r="Y26" s="143">
        <v>0.0</v>
      </c>
      <c r="Z26" s="143">
        <v>0.0</v>
      </c>
      <c r="AA26" s="143">
        <v>1.0</v>
      </c>
      <c r="AB26" s="143">
        <v>1.0</v>
      </c>
      <c r="AC26" s="143">
        <v>0.0</v>
      </c>
      <c r="AD26" s="143">
        <v>0.0</v>
      </c>
      <c r="AE26" s="143">
        <v>0.0</v>
      </c>
      <c r="AF26" s="143">
        <v>0.0</v>
      </c>
      <c r="AG26" s="143">
        <v>0.0</v>
      </c>
      <c r="AH26" s="143">
        <v>0.0</v>
      </c>
      <c r="AI26" s="143">
        <v>0.0</v>
      </c>
      <c r="AJ26" s="143">
        <v>0.0</v>
      </c>
      <c r="AK26" s="143">
        <v>0.0</v>
      </c>
      <c r="AL26" s="143">
        <v>0.0</v>
      </c>
      <c r="AM26" s="143">
        <v>0.0</v>
      </c>
      <c r="AN26" s="143">
        <v>0.0</v>
      </c>
      <c r="AO26" s="143">
        <v>0.0</v>
      </c>
      <c r="AP26" s="143">
        <v>0.0</v>
      </c>
      <c r="AQ26" s="144">
        <v>0.0</v>
      </c>
      <c r="AR26" s="143">
        <v>0.0</v>
      </c>
      <c r="AS26" s="143">
        <v>0.0</v>
      </c>
    </row>
    <row r="27">
      <c r="A27" s="141" t="s">
        <v>78</v>
      </c>
      <c r="B27" s="142">
        <v>283.0</v>
      </c>
      <c r="C27" s="143">
        <v>0.0</v>
      </c>
      <c r="D27" s="143">
        <v>7.0</v>
      </c>
      <c r="E27" s="143">
        <v>4.0</v>
      </c>
      <c r="F27" s="143">
        <v>1.0</v>
      </c>
      <c r="G27" s="143">
        <v>0.0</v>
      </c>
      <c r="H27" s="143">
        <v>1.0</v>
      </c>
      <c r="I27" s="143">
        <v>6.0</v>
      </c>
      <c r="J27" s="143">
        <v>14.0</v>
      </c>
      <c r="K27" s="143">
        <v>1.0</v>
      </c>
      <c r="L27" s="143">
        <v>0.0</v>
      </c>
      <c r="M27" s="143">
        <v>0.0</v>
      </c>
      <c r="N27" s="143">
        <v>0.0</v>
      </c>
      <c r="O27" s="143">
        <v>10.0</v>
      </c>
      <c r="P27" s="143">
        <v>17.0</v>
      </c>
      <c r="Q27" s="143">
        <v>0.0</v>
      </c>
      <c r="R27" s="143">
        <v>0.0</v>
      </c>
      <c r="S27" s="143">
        <v>0.0</v>
      </c>
      <c r="T27" s="143">
        <v>0.0</v>
      </c>
      <c r="U27" s="143">
        <v>10.0</v>
      </c>
      <c r="V27" s="143">
        <v>16.0</v>
      </c>
      <c r="W27" s="143">
        <v>1.0</v>
      </c>
      <c r="X27" s="143">
        <v>0.0</v>
      </c>
      <c r="Y27" s="143">
        <v>0.0</v>
      </c>
      <c r="Z27" s="143">
        <v>0.0</v>
      </c>
      <c r="AA27" s="143">
        <v>8.0</v>
      </c>
      <c r="AB27" s="143">
        <v>2.0</v>
      </c>
      <c r="AC27" s="143">
        <v>1.0</v>
      </c>
      <c r="AD27" s="143">
        <v>0.0</v>
      </c>
      <c r="AE27" s="143">
        <v>0.0</v>
      </c>
      <c r="AF27" s="143">
        <v>0.0</v>
      </c>
      <c r="AG27" s="143">
        <v>1.0</v>
      </c>
      <c r="AH27" s="143">
        <v>0.0</v>
      </c>
      <c r="AI27" s="143">
        <v>0.0</v>
      </c>
      <c r="AJ27" s="143">
        <v>0.0</v>
      </c>
      <c r="AK27" s="143">
        <v>0.0</v>
      </c>
      <c r="AL27" s="143">
        <v>0.0</v>
      </c>
      <c r="AM27" s="143">
        <v>0.0</v>
      </c>
      <c r="AN27" s="143">
        <v>0.0</v>
      </c>
      <c r="AO27" s="143">
        <v>0.0</v>
      </c>
      <c r="AP27" s="143">
        <v>0.0</v>
      </c>
      <c r="AQ27" s="144">
        <v>0.0</v>
      </c>
      <c r="AR27" s="143">
        <v>0.0</v>
      </c>
      <c r="AS27" s="143">
        <v>0.0</v>
      </c>
    </row>
    <row r="28">
      <c r="A28" s="141" t="s">
        <v>78</v>
      </c>
      <c r="B28" s="142">
        <v>284.0</v>
      </c>
      <c r="C28" s="143">
        <v>0.0</v>
      </c>
      <c r="D28" s="143">
        <v>5.0</v>
      </c>
      <c r="E28" s="143">
        <v>3.0</v>
      </c>
      <c r="F28" s="143">
        <v>1.0</v>
      </c>
      <c r="G28" s="143">
        <v>0.0</v>
      </c>
      <c r="H28" s="143">
        <v>0.0</v>
      </c>
      <c r="I28" s="143">
        <v>6.0</v>
      </c>
      <c r="J28" s="143">
        <v>9.0</v>
      </c>
      <c r="K28" s="143">
        <v>0.0</v>
      </c>
      <c r="L28" s="143">
        <v>0.0</v>
      </c>
      <c r="M28" s="143">
        <v>0.0</v>
      </c>
      <c r="N28" s="143">
        <v>0.0</v>
      </c>
      <c r="O28" s="143">
        <v>10.0</v>
      </c>
      <c r="P28" s="143">
        <v>25.0</v>
      </c>
      <c r="Q28" s="143">
        <v>2.0</v>
      </c>
      <c r="R28" s="143">
        <v>0.0</v>
      </c>
      <c r="S28" s="143">
        <v>0.0</v>
      </c>
      <c r="T28" s="143">
        <v>0.0</v>
      </c>
      <c r="U28" s="143">
        <v>11.0</v>
      </c>
      <c r="V28" s="143">
        <v>19.0</v>
      </c>
      <c r="W28" s="143">
        <v>1.0</v>
      </c>
      <c r="X28" s="143">
        <v>0.0</v>
      </c>
      <c r="Y28" s="143">
        <v>0.0</v>
      </c>
      <c r="Z28" s="143">
        <v>0.0</v>
      </c>
      <c r="AA28" s="143">
        <v>4.0</v>
      </c>
      <c r="AB28" s="143">
        <v>9.0</v>
      </c>
      <c r="AC28" s="143">
        <v>1.0</v>
      </c>
      <c r="AD28" s="143">
        <v>0.0</v>
      </c>
      <c r="AE28" s="143">
        <v>0.0</v>
      </c>
      <c r="AF28" s="143">
        <v>0.0</v>
      </c>
      <c r="AG28" s="143">
        <v>1.0</v>
      </c>
      <c r="AH28" s="143">
        <v>1.0</v>
      </c>
      <c r="AI28" s="143">
        <v>0.0</v>
      </c>
      <c r="AJ28" s="143">
        <v>0.0</v>
      </c>
      <c r="AK28" s="143">
        <v>0.0</v>
      </c>
      <c r="AL28" s="143">
        <v>0.0</v>
      </c>
      <c r="AM28" s="143">
        <v>0.0</v>
      </c>
      <c r="AN28" s="143">
        <v>0.0</v>
      </c>
      <c r="AO28" s="143">
        <v>0.0</v>
      </c>
      <c r="AP28" s="143">
        <v>0.0</v>
      </c>
      <c r="AQ28" s="144">
        <v>0.0</v>
      </c>
      <c r="AR28" s="143">
        <v>0.0</v>
      </c>
      <c r="AS28" s="143">
        <v>0.0</v>
      </c>
    </row>
    <row r="29">
      <c r="A29" s="141" t="s">
        <v>78</v>
      </c>
      <c r="B29" s="142">
        <v>285.0</v>
      </c>
      <c r="C29" s="143">
        <v>0.0</v>
      </c>
      <c r="D29" s="143">
        <v>34.0</v>
      </c>
      <c r="E29" s="143">
        <v>6.0</v>
      </c>
      <c r="F29" s="143">
        <v>2.0</v>
      </c>
      <c r="G29" s="143">
        <v>0.0</v>
      </c>
      <c r="H29" s="143">
        <v>3.0</v>
      </c>
      <c r="I29" s="143">
        <v>27.0</v>
      </c>
      <c r="J29" s="143">
        <v>64.0</v>
      </c>
      <c r="K29" s="143">
        <v>4.0</v>
      </c>
      <c r="L29" s="143">
        <v>0.0</v>
      </c>
      <c r="M29" s="143">
        <v>0.0</v>
      </c>
      <c r="N29" s="143">
        <v>1.0</v>
      </c>
      <c r="O29" s="143">
        <v>61.0</v>
      </c>
      <c r="P29" s="143">
        <v>79.0</v>
      </c>
      <c r="Q29" s="143">
        <v>12.0</v>
      </c>
      <c r="R29" s="143">
        <v>0.0</v>
      </c>
      <c r="S29" s="143">
        <v>0.0</v>
      </c>
      <c r="T29" s="143">
        <v>0.0</v>
      </c>
      <c r="U29" s="143">
        <v>44.0</v>
      </c>
      <c r="V29" s="143">
        <v>96.0</v>
      </c>
      <c r="W29" s="143">
        <v>3.0</v>
      </c>
      <c r="X29" s="143">
        <v>0.0</v>
      </c>
      <c r="Y29" s="143">
        <v>0.0</v>
      </c>
      <c r="Z29" s="143">
        <v>0.0</v>
      </c>
      <c r="AA29" s="143">
        <v>23.0</v>
      </c>
      <c r="AB29" s="143">
        <v>11.0</v>
      </c>
      <c r="AC29" s="143">
        <v>1.0</v>
      </c>
      <c r="AD29" s="143">
        <v>0.0</v>
      </c>
      <c r="AE29" s="143">
        <v>0.0</v>
      </c>
      <c r="AF29" s="143">
        <v>0.0</v>
      </c>
      <c r="AG29" s="143">
        <v>5.0</v>
      </c>
      <c r="AH29" s="143">
        <v>2.0</v>
      </c>
      <c r="AI29" s="143">
        <v>0.0</v>
      </c>
      <c r="AJ29" s="143">
        <v>0.0</v>
      </c>
      <c r="AK29" s="143">
        <v>0.0</v>
      </c>
      <c r="AL29" s="143">
        <v>1.0</v>
      </c>
      <c r="AM29" s="143">
        <v>0.0</v>
      </c>
      <c r="AN29" s="143">
        <v>0.0</v>
      </c>
      <c r="AO29" s="143">
        <v>0.0</v>
      </c>
      <c r="AP29" s="143">
        <v>0.0</v>
      </c>
      <c r="AQ29" s="144">
        <v>0.0</v>
      </c>
      <c r="AR29" s="143">
        <v>0.0</v>
      </c>
      <c r="AS29" s="143">
        <v>0.0</v>
      </c>
    </row>
    <row r="30">
      <c r="A30" s="141" t="s">
        <v>78</v>
      </c>
      <c r="B30" s="142">
        <v>286.0</v>
      </c>
      <c r="C30" s="143">
        <v>0.0</v>
      </c>
      <c r="D30" s="143">
        <v>4.0</v>
      </c>
      <c r="E30" s="143">
        <v>3.0</v>
      </c>
      <c r="F30" s="143">
        <v>0.0</v>
      </c>
      <c r="G30" s="143">
        <v>0.0</v>
      </c>
      <c r="H30" s="143">
        <v>0.0</v>
      </c>
      <c r="I30" s="143">
        <v>1.0</v>
      </c>
      <c r="J30" s="143">
        <v>6.0</v>
      </c>
      <c r="K30" s="143">
        <v>1.0</v>
      </c>
      <c r="L30" s="143">
        <v>0.0</v>
      </c>
      <c r="M30" s="143">
        <v>0.0</v>
      </c>
      <c r="N30" s="143">
        <v>0.0</v>
      </c>
      <c r="O30" s="143">
        <v>2.0</v>
      </c>
      <c r="P30" s="143">
        <v>7.0</v>
      </c>
      <c r="Q30" s="143">
        <v>2.0</v>
      </c>
      <c r="R30" s="143">
        <v>0.0</v>
      </c>
      <c r="S30" s="143">
        <v>0.0</v>
      </c>
      <c r="T30" s="143">
        <v>0.0</v>
      </c>
      <c r="U30" s="143">
        <v>2.0</v>
      </c>
      <c r="V30" s="143">
        <v>8.0</v>
      </c>
      <c r="W30" s="143">
        <v>1.0</v>
      </c>
      <c r="X30" s="143">
        <v>0.0</v>
      </c>
      <c r="Y30" s="143">
        <v>0.0</v>
      </c>
      <c r="Z30" s="143">
        <v>0.0</v>
      </c>
      <c r="AA30" s="143">
        <v>3.0</v>
      </c>
      <c r="AB30" s="143">
        <v>2.0</v>
      </c>
      <c r="AC30" s="143">
        <v>0.0</v>
      </c>
      <c r="AD30" s="143">
        <v>0.0</v>
      </c>
      <c r="AE30" s="143">
        <v>0.0</v>
      </c>
      <c r="AF30" s="143">
        <v>0.0</v>
      </c>
      <c r="AG30" s="143">
        <v>0.0</v>
      </c>
      <c r="AH30" s="143">
        <v>0.0</v>
      </c>
      <c r="AI30" s="143">
        <v>0.0</v>
      </c>
      <c r="AJ30" s="143">
        <v>0.0</v>
      </c>
      <c r="AK30" s="143">
        <v>0.0</v>
      </c>
      <c r="AL30" s="143">
        <v>0.0</v>
      </c>
      <c r="AM30" s="143">
        <v>0.0</v>
      </c>
      <c r="AN30" s="143">
        <v>0.0</v>
      </c>
      <c r="AO30" s="143">
        <v>0.0</v>
      </c>
      <c r="AP30" s="143">
        <v>0.0</v>
      </c>
      <c r="AQ30" s="144">
        <v>0.0</v>
      </c>
      <c r="AR30" s="143">
        <v>0.0</v>
      </c>
      <c r="AS30" s="143">
        <v>0.0</v>
      </c>
    </row>
    <row r="31">
      <c r="A31" s="141" t="s">
        <v>78</v>
      </c>
      <c r="B31" s="142">
        <v>287.0</v>
      </c>
      <c r="C31" s="143">
        <v>0.0</v>
      </c>
      <c r="D31" s="143">
        <v>2.0</v>
      </c>
      <c r="E31" s="143">
        <v>1.0</v>
      </c>
      <c r="F31" s="143">
        <v>0.0</v>
      </c>
      <c r="G31" s="143">
        <v>0.0</v>
      </c>
      <c r="H31" s="143">
        <v>0.0</v>
      </c>
      <c r="I31" s="143">
        <v>1.0</v>
      </c>
      <c r="J31" s="143">
        <v>3.0</v>
      </c>
      <c r="K31" s="143">
        <v>1.0</v>
      </c>
      <c r="L31" s="143">
        <v>0.0</v>
      </c>
      <c r="M31" s="143">
        <v>0.0</v>
      </c>
      <c r="N31" s="143">
        <v>0.0</v>
      </c>
      <c r="O31" s="143">
        <v>4.0</v>
      </c>
      <c r="P31" s="143">
        <v>7.0</v>
      </c>
      <c r="Q31" s="143">
        <v>0.0</v>
      </c>
      <c r="R31" s="143">
        <v>0.0</v>
      </c>
      <c r="S31" s="143">
        <v>0.0</v>
      </c>
      <c r="T31" s="143">
        <v>0.0</v>
      </c>
      <c r="U31" s="143">
        <v>2.0</v>
      </c>
      <c r="V31" s="143">
        <v>11.0</v>
      </c>
      <c r="W31" s="143">
        <v>0.0</v>
      </c>
      <c r="X31" s="143">
        <v>0.0</v>
      </c>
      <c r="Y31" s="143">
        <v>0.0</v>
      </c>
      <c r="Z31" s="143">
        <v>0.0</v>
      </c>
      <c r="AA31" s="143">
        <v>4.0</v>
      </c>
      <c r="AB31" s="143">
        <v>0.0</v>
      </c>
      <c r="AC31" s="143">
        <v>0.0</v>
      </c>
      <c r="AD31" s="143">
        <v>0.0</v>
      </c>
      <c r="AE31" s="143">
        <v>0.0</v>
      </c>
      <c r="AF31" s="143">
        <v>0.0</v>
      </c>
      <c r="AG31" s="143">
        <v>1.0</v>
      </c>
      <c r="AH31" s="143">
        <v>0.0</v>
      </c>
      <c r="AI31" s="143">
        <v>0.0</v>
      </c>
      <c r="AJ31" s="143">
        <v>0.0</v>
      </c>
      <c r="AK31" s="143">
        <v>0.0</v>
      </c>
      <c r="AL31" s="143">
        <v>0.0</v>
      </c>
      <c r="AM31" s="143">
        <v>0.0</v>
      </c>
      <c r="AN31" s="143">
        <v>0.0</v>
      </c>
      <c r="AO31" s="143">
        <v>0.0</v>
      </c>
      <c r="AP31" s="143">
        <v>0.0</v>
      </c>
      <c r="AQ31" s="144">
        <v>0.0</v>
      </c>
      <c r="AR31" s="143">
        <v>0.0</v>
      </c>
      <c r="AS31" s="143">
        <v>0.0</v>
      </c>
    </row>
    <row r="32">
      <c r="A32" s="141" t="s">
        <v>78</v>
      </c>
      <c r="B32" s="142">
        <v>289.0</v>
      </c>
      <c r="C32" s="143">
        <v>1.0</v>
      </c>
      <c r="D32" s="143">
        <v>36.0</v>
      </c>
      <c r="E32" s="143">
        <v>6.0</v>
      </c>
      <c r="F32" s="143">
        <v>3.0</v>
      </c>
      <c r="G32" s="143">
        <v>0.0</v>
      </c>
      <c r="H32" s="143">
        <v>3.0</v>
      </c>
      <c r="I32" s="143">
        <v>29.0</v>
      </c>
      <c r="J32" s="143">
        <v>63.0</v>
      </c>
      <c r="K32" s="143">
        <v>4.0</v>
      </c>
      <c r="L32" s="143">
        <v>0.0</v>
      </c>
      <c r="M32" s="143">
        <v>0.0</v>
      </c>
      <c r="N32" s="143">
        <v>0.0</v>
      </c>
      <c r="O32" s="143">
        <v>48.0</v>
      </c>
      <c r="P32" s="143">
        <v>78.0</v>
      </c>
      <c r="Q32" s="143">
        <v>7.0</v>
      </c>
      <c r="R32" s="143">
        <v>0.0</v>
      </c>
      <c r="S32" s="143">
        <v>0.0</v>
      </c>
      <c r="T32" s="143">
        <v>0.0</v>
      </c>
      <c r="U32" s="143">
        <v>49.0</v>
      </c>
      <c r="V32" s="143">
        <v>104.0</v>
      </c>
      <c r="W32" s="143">
        <v>4.0</v>
      </c>
      <c r="X32" s="143">
        <v>0.0</v>
      </c>
      <c r="Y32" s="143">
        <v>0.0</v>
      </c>
      <c r="Z32" s="143">
        <v>1.0</v>
      </c>
      <c r="AA32" s="143">
        <v>21.0</v>
      </c>
      <c r="AB32" s="143">
        <v>19.0</v>
      </c>
      <c r="AC32" s="143">
        <v>1.0</v>
      </c>
      <c r="AD32" s="143">
        <v>0.0</v>
      </c>
      <c r="AE32" s="143">
        <v>0.0</v>
      </c>
      <c r="AF32" s="143">
        <v>0.0</v>
      </c>
      <c r="AG32" s="143">
        <v>3.0</v>
      </c>
      <c r="AH32" s="143">
        <v>0.0</v>
      </c>
      <c r="AI32" s="143">
        <v>0.0</v>
      </c>
      <c r="AJ32" s="143">
        <v>0.0</v>
      </c>
      <c r="AK32" s="143">
        <v>0.0</v>
      </c>
      <c r="AL32" s="143">
        <v>0.0</v>
      </c>
      <c r="AM32" s="143">
        <v>0.0</v>
      </c>
      <c r="AN32" s="143">
        <v>0.0</v>
      </c>
      <c r="AO32" s="143">
        <v>0.0</v>
      </c>
      <c r="AP32" s="143">
        <v>0.0</v>
      </c>
      <c r="AQ32" s="144">
        <v>0.0</v>
      </c>
      <c r="AR32" s="143">
        <v>0.0</v>
      </c>
      <c r="AS32" s="143">
        <v>0.0</v>
      </c>
    </row>
    <row r="33">
      <c r="A33" s="141" t="s">
        <v>78</v>
      </c>
      <c r="B33" s="142">
        <v>290.0</v>
      </c>
      <c r="C33" s="143">
        <v>0.0</v>
      </c>
      <c r="D33" s="143">
        <v>22.0</v>
      </c>
      <c r="E33" s="143">
        <v>10.0</v>
      </c>
      <c r="F33" s="143">
        <v>0.0</v>
      </c>
      <c r="G33" s="143">
        <v>0.0</v>
      </c>
      <c r="H33" s="143">
        <v>2.0</v>
      </c>
      <c r="I33" s="143">
        <v>27.0</v>
      </c>
      <c r="J33" s="143">
        <v>42.0</v>
      </c>
      <c r="K33" s="143">
        <v>4.0</v>
      </c>
      <c r="L33" s="143">
        <v>0.0</v>
      </c>
      <c r="M33" s="143">
        <v>0.0</v>
      </c>
      <c r="N33" s="143">
        <v>0.0</v>
      </c>
      <c r="O33" s="143">
        <v>57.0</v>
      </c>
      <c r="P33" s="143">
        <v>62.0</v>
      </c>
      <c r="Q33" s="143">
        <v>14.0</v>
      </c>
      <c r="R33" s="143">
        <v>0.0</v>
      </c>
      <c r="S33" s="143">
        <v>0.0</v>
      </c>
      <c r="T33" s="143">
        <v>0.0</v>
      </c>
      <c r="U33" s="143">
        <v>35.0</v>
      </c>
      <c r="V33" s="143">
        <v>91.0</v>
      </c>
      <c r="W33" s="143">
        <v>2.0</v>
      </c>
      <c r="X33" s="143">
        <v>0.0</v>
      </c>
      <c r="Y33" s="143">
        <v>0.0</v>
      </c>
      <c r="Z33" s="143">
        <v>0.0</v>
      </c>
      <c r="AA33" s="143">
        <v>23.0</v>
      </c>
      <c r="AB33" s="143">
        <v>10.0</v>
      </c>
      <c r="AC33" s="143">
        <v>2.0</v>
      </c>
      <c r="AD33" s="143">
        <v>0.0</v>
      </c>
      <c r="AE33" s="143">
        <v>0.0</v>
      </c>
      <c r="AF33" s="143">
        <v>0.0</v>
      </c>
      <c r="AG33" s="143">
        <v>5.0</v>
      </c>
      <c r="AH33" s="143">
        <v>1.0</v>
      </c>
      <c r="AI33" s="143">
        <v>0.0</v>
      </c>
      <c r="AJ33" s="143">
        <v>0.0</v>
      </c>
      <c r="AK33" s="143">
        <v>0.0</v>
      </c>
      <c r="AL33" s="143">
        <v>0.0</v>
      </c>
      <c r="AM33" s="143">
        <v>0.0</v>
      </c>
      <c r="AN33" s="143">
        <v>0.0</v>
      </c>
      <c r="AO33" s="143">
        <v>0.0</v>
      </c>
      <c r="AP33" s="143">
        <v>0.0</v>
      </c>
      <c r="AQ33" s="144">
        <v>0.0</v>
      </c>
      <c r="AR33" s="143">
        <v>0.0</v>
      </c>
      <c r="AS33" s="143">
        <v>0.0</v>
      </c>
    </row>
    <row r="34">
      <c r="A34" s="141" t="s">
        <v>78</v>
      </c>
      <c r="B34" s="142">
        <v>291.0</v>
      </c>
      <c r="C34" s="143">
        <v>0.0</v>
      </c>
      <c r="D34" s="143">
        <v>2.0</v>
      </c>
      <c r="E34" s="143">
        <v>1.0</v>
      </c>
      <c r="F34" s="143">
        <v>0.0</v>
      </c>
      <c r="G34" s="143">
        <v>0.0</v>
      </c>
      <c r="H34" s="143">
        <v>0.0</v>
      </c>
      <c r="I34" s="143">
        <v>5.0</v>
      </c>
      <c r="J34" s="143">
        <v>3.0</v>
      </c>
      <c r="K34" s="143">
        <v>0.0</v>
      </c>
      <c r="L34" s="143">
        <v>0.0</v>
      </c>
      <c r="M34" s="143">
        <v>0.0</v>
      </c>
      <c r="N34" s="143">
        <v>0.0</v>
      </c>
      <c r="O34" s="143">
        <v>5.0</v>
      </c>
      <c r="P34" s="143">
        <v>9.0</v>
      </c>
      <c r="Q34" s="143">
        <v>2.0</v>
      </c>
      <c r="R34" s="143">
        <v>0.0</v>
      </c>
      <c r="S34" s="143">
        <v>0.0</v>
      </c>
      <c r="T34" s="143">
        <v>0.0</v>
      </c>
      <c r="U34" s="143">
        <v>6.0</v>
      </c>
      <c r="V34" s="143">
        <v>9.0</v>
      </c>
      <c r="W34" s="143">
        <v>0.0</v>
      </c>
      <c r="X34" s="143">
        <v>0.0</v>
      </c>
      <c r="Y34" s="143">
        <v>0.0</v>
      </c>
      <c r="Z34" s="143">
        <v>0.0</v>
      </c>
      <c r="AA34" s="143">
        <v>2.0</v>
      </c>
      <c r="AB34" s="143">
        <v>0.0</v>
      </c>
      <c r="AC34" s="143">
        <v>0.0</v>
      </c>
      <c r="AD34" s="143">
        <v>0.0</v>
      </c>
      <c r="AE34" s="143">
        <v>0.0</v>
      </c>
      <c r="AF34" s="143">
        <v>0.0</v>
      </c>
      <c r="AG34" s="143">
        <v>2.0</v>
      </c>
      <c r="AH34" s="143">
        <v>0.0</v>
      </c>
      <c r="AI34" s="143">
        <v>0.0</v>
      </c>
      <c r="AJ34" s="143">
        <v>0.0</v>
      </c>
      <c r="AK34" s="143">
        <v>0.0</v>
      </c>
      <c r="AL34" s="143">
        <v>0.0</v>
      </c>
      <c r="AM34" s="143">
        <v>0.0</v>
      </c>
      <c r="AN34" s="143">
        <v>0.0</v>
      </c>
      <c r="AO34" s="143">
        <v>0.0</v>
      </c>
      <c r="AP34" s="143">
        <v>0.0</v>
      </c>
      <c r="AQ34" s="144">
        <v>0.0</v>
      </c>
      <c r="AR34" s="143">
        <v>0.0</v>
      </c>
      <c r="AS34" s="143">
        <v>0.0</v>
      </c>
    </row>
    <row r="35">
      <c r="A35" s="141" t="s">
        <v>78</v>
      </c>
      <c r="B35" s="142">
        <v>292.0</v>
      </c>
      <c r="C35" s="143">
        <v>1.0</v>
      </c>
      <c r="D35" s="143">
        <v>7.0</v>
      </c>
      <c r="E35" s="143">
        <v>1.0</v>
      </c>
      <c r="F35" s="143">
        <v>0.0</v>
      </c>
      <c r="G35" s="143">
        <v>0.0</v>
      </c>
      <c r="H35" s="143">
        <v>3.0</v>
      </c>
      <c r="I35" s="143">
        <v>3.0</v>
      </c>
      <c r="J35" s="143">
        <v>15.0</v>
      </c>
      <c r="K35" s="143">
        <v>0.0</v>
      </c>
      <c r="L35" s="143">
        <v>0.0</v>
      </c>
      <c r="M35" s="143">
        <v>0.0</v>
      </c>
      <c r="N35" s="143">
        <v>0.0</v>
      </c>
      <c r="O35" s="143">
        <v>12.0</v>
      </c>
      <c r="P35" s="143">
        <v>19.0</v>
      </c>
      <c r="Q35" s="143">
        <v>2.0</v>
      </c>
      <c r="R35" s="143">
        <v>0.0</v>
      </c>
      <c r="S35" s="143">
        <v>0.0</v>
      </c>
      <c r="T35" s="143">
        <v>0.0</v>
      </c>
      <c r="U35" s="143">
        <v>15.0</v>
      </c>
      <c r="V35" s="143">
        <v>28.0</v>
      </c>
      <c r="W35" s="143">
        <v>1.0</v>
      </c>
      <c r="X35" s="143">
        <v>0.0</v>
      </c>
      <c r="Y35" s="143">
        <v>0.0</v>
      </c>
      <c r="Z35" s="143">
        <v>0.0</v>
      </c>
      <c r="AA35" s="143">
        <v>2.0</v>
      </c>
      <c r="AB35" s="143">
        <v>9.0</v>
      </c>
      <c r="AC35" s="143">
        <v>1.0</v>
      </c>
      <c r="AD35" s="143">
        <v>0.0</v>
      </c>
      <c r="AE35" s="143">
        <v>0.0</v>
      </c>
      <c r="AF35" s="143">
        <v>0.0</v>
      </c>
      <c r="AG35" s="143">
        <v>0.0</v>
      </c>
      <c r="AH35" s="143">
        <v>0.0</v>
      </c>
      <c r="AI35" s="143">
        <v>0.0</v>
      </c>
      <c r="AJ35" s="143">
        <v>0.0</v>
      </c>
      <c r="AK35" s="143">
        <v>0.0</v>
      </c>
      <c r="AL35" s="143">
        <v>0.0</v>
      </c>
      <c r="AM35" s="143">
        <v>0.0</v>
      </c>
      <c r="AN35" s="143">
        <v>0.0</v>
      </c>
      <c r="AO35" s="143">
        <v>0.0</v>
      </c>
      <c r="AP35" s="143">
        <v>0.0</v>
      </c>
      <c r="AQ35" s="144">
        <v>0.0</v>
      </c>
      <c r="AR35" s="143">
        <v>0.0</v>
      </c>
      <c r="AS35" s="143">
        <v>0.0</v>
      </c>
    </row>
    <row r="36">
      <c r="A36" s="141" t="s">
        <v>78</v>
      </c>
      <c r="B36" s="142">
        <v>293.0</v>
      </c>
      <c r="C36" s="143">
        <v>1.0</v>
      </c>
      <c r="D36" s="143">
        <v>24.0</v>
      </c>
      <c r="E36" s="143">
        <v>8.0</v>
      </c>
      <c r="F36" s="143">
        <v>1.0</v>
      </c>
      <c r="G36" s="143">
        <v>0.0</v>
      </c>
      <c r="H36" s="143">
        <v>6.0</v>
      </c>
      <c r="I36" s="143">
        <v>29.0</v>
      </c>
      <c r="J36" s="143">
        <v>46.0</v>
      </c>
      <c r="K36" s="143">
        <v>6.0</v>
      </c>
      <c r="L36" s="143">
        <v>0.0</v>
      </c>
      <c r="M36" s="143">
        <v>0.0</v>
      </c>
      <c r="N36" s="143">
        <v>0.0</v>
      </c>
      <c r="O36" s="143">
        <v>58.0</v>
      </c>
      <c r="P36" s="143">
        <v>62.0</v>
      </c>
      <c r="Q36" s="143">
        <v>8.0</v>
      </c>
      <c r="R36" s="143">
        <v>0.0</v>
      </c>
      <c r="S36" s="143">
        <v>0.0</v>
      </c>
      <c r="T36" s="143">
        <v>2.0</v>
      </c>
      <c r="U36" s="143">
        <v>41.0</v>
      </c>
      <c r="V36" s="143">
        <v>69.0</v>
      </c>
      <c r="W36" s="143">
        <v>2.0</v>
      </c>
      <c r="X36" s="143">
        <v>0.0</v>
      </c>
      <c r="Y36" s="143">
        <v>0.0</v>
      </c>
      <c r="Z36" s="143">
        <v>3.0</v>
      </c>
      <c r="AA36" s="143">
        <v>23.0</v>
      </c>
      <c r="AB36" s="143">
        <v>20.0</v>
      </c>
      <c r="AC36" s="143">
        <v>0.0</v>
      </c>
      <c r="AD36" s="143">
        <v>0.0</v>
      </c>
      <c r="AE36" s="143">
        <v>0.0</v>
      </c>
      <c r="AF36" s="143">
        <v>0.0</v>
      </c>
      <c r="AG36" s="143">
        <v>7.0</v>
      </c>
      <c r="AH36" s="143">
        <v>1.0</v>
      </c>
      <c r="AI36" s="143">
        <v>0.0</v>
      </c>
      <c r="AJ36" s="143">
        <v>0.0</v>
      </c>
      <c r="AK36" s="143">
        <v>0.0</v>
      </c>
      <c r="AL36" s="143">
        <v>0.0</v>
      </c>
      <c r="AM36" s="143">
        <v>0.0</v>
      </c>
      <c r="AN36" s="143">
        <v>0.0</v>
      </c>
      <c r="AO36" s="143">
        <v>0.0</v>
      </c>
      <c r="AP36" s="143">
        <v>0.0</v>
      </c>
      <c r="AQ36" s="144">
        <v>0.0</v>
      </c>
      <c r="AR36" s="143">
        <v>0.0</v>
      </c>
      <c r="AS36" s="143">
        <v>0.0</v>
      </c>
    </row>
    <row r="37">
      <c r="A37" s="141" t="s">
        <v>78</v>
      </c>
      <c r="B37" s="142">
        <v>294.0</v>
      </c>
      <c r="C37" s="143">
        <v>1.0</v>
      </c>
      <c r="D37" s="143">
        <v>5.0</v>
      </c>
      <c r="E37" s="143">
        <v>1.0</v>
      </c>
      <c r="F37" s="143">
        <v>0.0</v>
      </c>
      <c r="G37" s="143">
        <v>0.0</v>
      </c>
      <c r="H37" s="143">
        <v>0.0</v>
      </c>
      <c r="I37" s="143">
        <v>5.0</v>
      </c>
      <c r="J37" s="143">
        <v>6.0</v>
      </c>
      <c r="K37" s="143">
        <v>0.0</v>
      </c>
      <c r="L37" s="143">
        <v>0.0</v>
      </c>
      <c r="M37" s="143">
        <v>0.0</v>
      </c>
      <c r="N37" s="143">
        <v>0.0</v>
      </c>
      <c r="O37" s="143">
        <v>10.0</v>
      </c>
      <c r="P37" s="143">
        <v>9.0</v>
      </c>
      <c r="Q37" s="143">
        <v>1.0</v>
      </c>
      <c r="R37" s="143">
        <v>0.0</v>
      </c>
      <c r="S37" s="143">
        <v>0.0</v>
      </c>
      <c r="T37" s="143">
        <v>0.0</v>
      </c>
      <c r="U37" s="143">
        <v>6.0</v>
      </c>
      <c r="V37" s="143">
        <v>18.0</v>
      </c>
      <c r="W37" s="143">
        <v>0.0</v>
      </c>
      <c r="X37" s="143">
        <v>0.0</v>
      </c>
      <c r="Y37" s="143">
        <v>0.0</v>
      </c>
      <c r="Z37" s="143">
        <v>0.0</v>
      </c>
      <c r="AA37" s="143">
        <v>6.0</v>
      </c>
      <c r="AB37" s="143">
        <v>1.0</v>
      </c>
      <c r="AC37" s="143">
        <v>0.0</v>
      </c>
      <c r="AD37" s="143">
        <v>0.0</v>
      </c>
      <c r="AE37" s="143">
        <v>0.0</v>
      </c>
      <c r="AF37" s="143">
        <v>0.0</v>
      </c>
      <c r="AG37" s="143">
        <v>1.0</v>
      </c>
      <c r="AH37" s="143">
        <v>0.0</v>
      </c>
      <c r="AI37" s="143">
        <v>0.0</v>
      </c>
      <c r="AJ37" s="143">
        <v>0.0</v>
      </c>
      <c r="AK37" s="143">
        <v>0.0</v>
      </c>
      <c r="AL37" s="143">
        <v>0.0</v>
      </c>
      <c r="AM37" s="143">
        <v>0.0</v>
      </c>
      <c r="AN37" s="143">
        <v>0.0</v>
      </c>
      <c r="AO37" s="143">
        <v>0.0</v>
      </c>
      <c r="AP37" s="143">
        <v>0.0</v>
      </c>
      <c r="AQ37" s="144">
        <v>0.0</v>
      </c>
      <c r="AR37" s="143">
        <v>0.0</v>
      </c>
      <c r="AS37" s="143">
        <v>0.0</v>
      </c>
    </row>
    <row r="38">
      <c r="A38" s="141" t="s">
        <v>78</v>
      </c>
      <c r="B38" s="142">
        <v>295.0</v>
      </c>
      <c r="C38" s="143">
        <v>1.0</v>
      </c>
      <c r="D38" s="143">
        <v>16.0</v>
      </c>
      <c r="E38" s="143">
        <v>4.0</v>
      </c>
      <c r="F38" s="143">
        <v>0.0</v>
      </c>
      <c r="G38" s="143">
        <v>0.0</v>
      </c>
      <c r="H38" s="143">
        <v>3.0</v>
      </c>
      <c r="I38" s="143">
        <v>6.0</v>
      </c>
      <c r="J38" s="143">
        <v>14.0</v>
      </c>
      <c r="K38" s="143">
        <v>1.0</v>
      </c>
      <c r="L38" s="143">
        <v>0.0</v>
      </c>
      <c r="M38" s="143">
        <v>0.0</v>
      </c>
      <c r="N38" s="143">
        <v>0.0</v>
      </c>
      <c r="O38" s="143">
        <v>16.0</v>
      </c>
      <c r="P38" s="143">
        <v>19.0</v>
      </c>
      <c r="Q38" s="143">
        <v>2.0</v>
      </c>
      <c r="R38" s="143">
        <v>0.0</v>
      </c>
      <c r="S38" s="143">
        <v>0.0</v>
      </c>
      <c r="T38" s="143">
        <v>0.0</v>
      </c>
      <c r="U38" s="143">
        <v>11.0</v>
      </c>
      <c r="V38" s="143">
        <v>19.0</v>
      </c>
      <c r="W38" s="143">
        <v>0.0</v>
      </c>
      <c r="X38" s="143">
        <v>0.0</v>
      </c>
      <c r="Y38" s="143">
        <v>0.0</v>
      </c>
      <c r="Z38" s="143">
        <v>0.0</v>
      </c>
      <c r="AA38" s="143">
        <v>9.0</v>
      </c>
      <c r="AB38" s="143">
        <v>2.0</v>
      </c>
      <c r="AC38" s="143">
        <v>0.0</v>
      </c>
      <c r="AD38" s="143">
        <v>0.0</v>
      </c>
      <c r="AE38" s="143">
        <v>0.0</v>
      </c>
      <c r="AF38" s="143">
        <v>0.0</v>
      </c>
      <c r="AG38" s="143">
        <v>3.0</v>
      </c>
      <c r="AH38" s="143">
        <v>0.0</v>
      </c>
      <c r="AI38" s="143">
        <v>0.0</v>
      </c>
      <c r="AJ38" s="143">
        <v>0.0</v>
      </c>
      <c r="AK38" s="143">
        <v>0.0</v>
      </c>
      <c r="AL38" s="143">
        <v>0.0</v>
      </c>
      <c r="AM38" s="143">
        <v>0.0</v>
      </c>
      <c r="AN38" s="143">
        <v>0.0</v>
      </c>
      <c r="AO38" s="143">
        <v>0.0</v>
      </c>
      <c r="AP38" s="143">
        <v>0.0</v>
      </c>
      <c r="AQ38" s="144">
        <v>0.0</v>
      </c>
      <c r="AR38" s="143">
        <v>0.0</v>
      </c>
      <c r="AS38" s="143">
        <v>0.0</v>
      </c>
    </row>
    <row r="39">
      <c r="A39" s="141" t="s">
        <v>78</v>
      </c>
      <c r="B39" s="142">
        <v>296.0</v>
      </c>
      <c r="C39" s="143">
        <v>0.0</v>
      </c>
      <c r="D39" s="143">
        <v>0.0</v>
      </c>
      <c r="E39" s="143">
        <v>0.0</v>
      </c>
      <c r="F39" s="143">
        <v>0.0</v>
      </c>
      <c r="G39" s="143">
        <v>0.0</v>
      </c>
      <c r="H39" s="143">
        <v>0.0</v>
      </c>
      <c r="I39" s="143">
        <v>0.0</v>
      </c>
      <c r="J39" s="143">
        <v>3.0</v>
      </c>
      <c r="K39" s="143">
        <v>0.0</v>
      </c>
      <c r="L39" s="143">
        <v>0.0</v>
      </c>
      <c r="M39" s="143">
        <v>0.0</v>
      </c>
      <c r="N39" s="143">
        <v>0.0</v>
      </c>
      <c r="O39" s="143">
        <v>5.0</v>
      </c>
      <c r="P39" s="143">
        <v>5.0</v>
      </c>
      <c r="Q39" s="143">
        <v>0.0</v>
      </c>
      <c r="R39" s="143">
        <v>0.0</v>
      </c>
      <c r="S39" s="143">
        <v>0.0</v>
      </c>
      <c r="T39" s="143">
        <v>0.0</v>
      </c>
      <c r="U39" s="143">
        <v>2.0</v>
      </c>
      <c r="V39" s="143">
        <v>4.0</v>
      </c>
      <c r="W39" s="143">
        <v>0.0</v>
      </c>
      <c r="X39" s="143">
        <v>0.0</v>
      </c>
      <c r="Y39" s="143">
        <v>0.0</v>
      </c>
      <c r="Z39" s="143">
        <v>0.0</v>
      </c>
      <c r="AA39" s="143">
        <v>0.0</v>
      </c>
      <c r="AB39" s="143">
        <v>3.0</v>
      </c>
      <c r="AC39" s="143">
        <v>0.0</v>
      </c>
      <c r="AD39" s="143">
        <v>0.0</v>
      </c>
      <c r="AE39" s="143">
        <v>0.0</v>
      </c>
      <c r="AF39" s="143">
        <v>0.0</v>
      </c>
      <c r="AG39" s="143">
        <v>1.0</v>
      </c>
      <c r="AH39" s="143">
        <v>0.0</v>
      </c>
      <c r="AI39" s="143">
        <v>0.0</v>
      </c>
      <c r="AJ39" s="143">
        <v>0.0</v>
      </c>
      <c r="AK39" s="143">
        <v>0.0</v>
      </c>
      <c r="AL39" s="143">
        <v>0.0</v>
      </c>
      <c r="AM39" s="143">
        <v>0.0</v>
      </c>
      <c r="AN39" s="143">
        <v>0.0</v>
      </c>
      <c r="AO39" s="143">
        <v>0.0</v>
      </c>
      <c r="AP39" s="143">
        <v>0.0</v>
      </c>
      <c r="AQ39" s="144">
        <v>0.0</v>
      </c>
      <c r="AR39" s="143">
        <v>0.0</v>
      </c>
      <c r="AS39" s="143">
        <v>0.0</v>
      </c>
    </row>
    <row r="40">
      <c r="A40" s="141" t="s">
        <v>78</v>
      </c>
      <c r="B40" s="142">
        <v>297.0</v>
      </c>
      <c r="C40" s="143">
        <v>0.0</v>
      </c>
      <c r="D40" s="143">
        <v>2.0</v>
      </c>
      <c r="E40" s="143">
        <v>1.0</v>
      </c>
      <c r="F40" s="143">
        <v>0.0</v>
      </c>
      <c r="G40" s="143">
        <v>0.0</v>
      </c>
      <c r="H40" s="143">
        <v>0.0</v>
      </c>
      <c r="I40" s="143">
        <v>1.0</v>
      </c>
      <c r="J40" s="143">
        <v>3.0</v>
      </c>
      <c r="K40" s="143">
        <v>1.0</v>
      </c>
      <c r="L40" s="143">
        <v>0.0</v>
      </c>
      <c r="M40" s="143">
        <v>0.0</v>
      </c>
      <c r="N40" s="143">
        <v>0.0</v>
      </c>
      <c r="O40" s="143">
        <v>2.0</v>
      </c>
      <c r="P40" s="143">
        <v>10.0</v>
      </c>
      <c r="Q40" s="143">
        <v>1.0</v>
      </c>
      <c r="R40" s="143">
        <v>0.0</v>
      </c>
      <c r="S40" s="143">
        <v>0.0</v>
      </c>
      <c r="T40" s="143">
        <v>0.0</v>
      </c>
      <c r="U40" s="143">
        <v>3.0</v>
      </c>
      <c r="V40" s="143">
        <v>7.0</v>
      </c>
      <c r="W40" s="143">
        <v>1.0</v>
      </c>
      <c r="X40" s="143">
        <v>0.0</v>
      </c>
      <c r="Y40" s="143">
        <v>0.0</v>
      </c>
      <c r="Z40" s="143">
        <v>0.0</v>
      </c>
      <c r="AA40" s="143">
        <v>2.0</v>
      </c>
      <c r="AB40" s="143">
        <v>0.0</v>
      </c>
      <c r="AC40" s="143">
        <v>0.0</v>
      </c>
      <c r="AD40" s="143">
        <v>0.0</v>
      </c>
      <c r="AE40" s="143">
        <v>0.0</v>
      </c>
      <c r="AF40" s="143">
        <v>0.0</v>
      </c>
      <c r="AG40" s="143">
        <v>0.0</v>
      </c>
      <c r="AH40" s="143">
        <v>0.0</v>
      </c>
      <c r="AI40" s="143">
        <v>0.0</v>
      </c>
      <c r="AJ40" s="143">
        <v>0.0</v>
      </c>
      <c r="AK40" s="143">
        <v>0.0</v>
      </c>
      <c r="AL40" s="143">
        <v>0.0</v>
      </c>
      <c r="AM40" s="143">
        <v>0.0</v>
      </c>
      <c r="AN40" s="143">
        <v>0.0</v>
      </c>
      <c r="AO40" s="143">
        <v>0.0</v>
      </c>
      <c r="AP40" s="143">
        <v>0.0</v>
      </c>
      <c r="AQ40" s="144">
        <v>0.0</v>
      </c>
      <c r="AR40" s="143">
        <v>0.0</v>
      </c>
      <c r="AS40" s="143">
        <v>0.0</v>
      </c>
    </row>
    <row r="41">
      <c r="A41" s="141" t="s">
        <v>78</v>
      </c>
      <c r="B41" s="142">
        <v>298.0</v>
      </c>
      <c r="C41" s="143">
        <v>0.0</v>
      </c>
      <c r="D41" s="143">
        <v>6.0</v>
      </c>
      <c r="E41" s="143">
        <v>3.0</v>
      </c>
      <c r="F41" s="143">
        <v>0.0</v>
      </c>
      <c r="G41" s="143">
        <v>0.0</v>
      </c>
      <c r="H41" s="143">
        <v>1.0</v>
      </c>
      <c r="I41" s="143">
        <v>5.0</v>
      </c>
      <c r="J41" s="143">
        <v>17.0</v>
      </c>
      <c r="K41" s="143">
        <v>0.0</v>
      </c>
      <c r="L41" s="143">
        <v>0.0</v>
      </c>
      <c r="M41" s="143">
        <v>0.0</v>
      </c>
      <c r="N41" s="143">
        <v>0.0</v>
      </c>
      <c r="O41" s="143">
        <v>12.0</v>
      </c>
      <c r="P41" s="143">
        <v>12.0</v>
      </c>
      <c r="Q41" s="143">
        <v>2.0</v>
      </c>
      <c r="R41" s="143">
        <v>0.0</v>
      </c>
      <c r="S41" s="143">
        <v>0.0</v>
      </c>
      <c r="T41" s="143">
        <v>0.0</v>
      </c>
      <c r="U41" s="143">
        <v>11.0</v>
      </c>
      <c r="V41" s="143">
        <v>16.0</v>
      </c>
      <c r="W41" s="143">
        <v>0.0</v>
      </c>
      <c r="X41" s="143">
        <v>0.0</v>
      </c>
      <c r="Y41" s="143">
        <v>0.0</v>
      </c>
      <c r="Z41" s="143">
        <v>1.0</v>
      </c>
      <c r="AA41" s="143">
        <v>10.0</v>
      </c>
      <c r="AB41" s="143">
        <v>6.0</v>
      </c>
      <c r="AC41" s="143">
        <v>0.0</v>
      </c>
      <c r="AD41" s="143">
        <v>0.0</v>
      </c>
      <c r="AE41" s="143">
        <v>0.0</v>
      </c>
      <c r="AF41" s="143">
        <v>0.0</v>
      </c>
      <c r="AG41" s="143">
        <v>0.0</v>
      </c>
      <c r="AH41" s="143">
        <v>0.0</v>
      </c>
      <c r="AI41" s="143">
        <v>0.0</v>
      </c>
      <c r="AJ41" s="143">
        <v>0.0</v>
      </c>
      <c r="AK41" s="143">
        <v>0.0</v>
      </c>
      <c r="AL41" s="143">
        <v>0.0</v>
      </c>
      <c r="AM41" s="143">
        <v>0.0</v>
      </c>
      <c r="AN41" s="143">
        <v>0.0</v>
      </c>
      <c r="AO41" s="143">
        <v>0.0</v>
      </c>
      <c r="AP41" s="143">
        <v>0.0</v>
      </c>
      <c r="AQ41" s="144">
        <v>0.0</v>
      </c>
      <c r="AR41" s="143">
        <v>0.0</v>
      </c>
      <c r="AS41" s="143">
        <v>0.0</v>
      </c>
    </row>
    <row r="42">
      <c r="A42" s="145" t="s">
        <v>78</v>
      </c>
      <c r="B42" s="146">
        <v>299.0</v>
      </c>
      <c r="C42" s="147">
        <v>0.0</v>
      </c>
      <c r="D42" s="147">
        <v>8.0</v>
      </c>
      <c r="E42" s="147">
        <v>5.0</v>
      </c>
      <c r="F42" s="147">
        <v>0.0</v>
      </c>
      <c r="G42" s="147">
        <v>0.0</v>
      </c>
      <c r="H42" s="147">
        <v>0.0</v>
      </c>
      <c r="I42" s="147">
        <v>4.0</v>
      </c>
      <c r="J42" s="147">
        <v>21.0</v>
      </c>
      <c r="K42" s="147">
        <v>2.0</v>
      </c>
      <c r="L42" s="147">
        <v>0.0</v>
      </c>
      <c r="M42" s="147">
        <v>0.0</v>
      </c>
      <c r="N42" s="147">
        <v>0.0</v>
      </c>
      <c r="O42" s="147">
        <v>24.0</v>
      </c>
      <c r="P42" s="147">
        <v>25.0</v>
      </c>
      <c r="Q42" s="147">
        <v>4.0</v>
      </c>
      <c r="R42" s="147">
        <v>0.0</v>
      </c>
      <c r="S42" s="147">
        <v>0.0</v>
      </c>
      <c r="T42" s="147">
        <v>0.0</v>
      </c>
      <c r="U42" s="147">
        <v>14.0</v>
      </c>
      <c r="V42" s="147">
        <v>26.0</v>
      </c>
      <c r="W42" s="147">
        <v>0.0</v>
      </c>
      <c r="X42" s="147">
        <v>0.0</v>
      </c>
      <c r="Y42" s="147">
        <v>0.0</v>
      </c>
      <c r="Z42" s="147">
        <v>1.0</v>
      </c>
      <c r="AA42" s="147">
        <v>4.0</v>
      </c>
      <c r="AB42" s="147">
        <v>3.0</v>
      </c>
      <c r="AC42" s="147">
        <v>1.0</v>
      </c>
      <c r="AD42" s="147">
        <v>0.0</v>
      </c>
      <c r="AE42" s="147">
        <v>0.0</v>
      </c>
      <c r="AF42" s="147">
        <v>0.0</v>
      </c>
      <c r="AG42" s="147">
        <v>2.0</v>
      </c>
      <c r="AH42" s="147">
        <v>1.0</v>
      </c>
      <c r="AI42" s="147">
        <v>0.0</v>
      </c>
      <c r="AJ42" s="147">
        <v>0.0</v>
      </c>
      <c r="AK42" s="147">
        <v>0.0</v>
      </c>
      <c r="AL42" s="147">
        <v>0.0</v>
      </c>
      <c r="AM42" s="147">
        <v>0.0</v>
      </c>
      <c r="AN42" s="147">
        <v>0.0</v>
      </c>
      <c r="AO42" s="147">
        <v>0.0</v>
      </c>
      <c r="AP42" s="147">
        <v>0.0</v>
      </c>
      <c r="AQ42" s="148">
        <v>0.0</v>
      </c>
      <c r="AR42" s="147">
        <v>0.0</v>
      </c>
      <c r="AS42" s="147">
        <v>0.0</v>
      </c>
    </row>
    <row r="43">
      <c r="A43" s="149" t="s">
        <v>80</v>
      </c>
      <c r="B43" s="150">
        <v>304.0</v>
      </c>
      <c r="C43" s="151">
        <v>7.0</v>
      </c>
      <c r="D43" s="151">
        <v>155.0</v>
      </c>
      <c r="E43" s="151">
        <v>191.0</v>
      </c>
      <c r="F43" s="151">
        <v>71.0</v>
      </c>
      <c r="G43" s="151">
        <v>1.0</v>
      </c>
      <c r="H43" s="151">
        <v>3.0</v>
      </c>
      <c r="I43" s="151">
        <v>85.0</v>
      </c>
      <c r="J43" s="151">
        <v>576.0</v>
      </c>
      <c r="K43" s="151">
        <v>188.0</v>
      </c>
      <c r="L43" s="151">
        <v>15.0</v>
      </c>
      <c r="M43" s="151">
        <v>0.0</v>
      </c>
      <c r="N43" s="151">
        <v>2.0</v>
      </c>
      <c r="O43" s="151">
        <v>49.0</v>
      </c>
      <c r="P43" s="151">
        <v>592.0</v>
      </c>
      <c r="Q43" s="151">
        <v>527.0</v>
      </c>
      <c r="R43" s="151">
        <v>18.0</v>
      </c>
      <c r="S43" s="151">
        <v>0.0</v>
      </c>
      <c r="T43" s="151">
        <v>0.0</v>
      </c>
      <c r="U43" s="151">
        <v>27.0</v>
      </c>
      <c r="V43" s="151">
        <v>613.0</v>
      </c>
      <c r="W43" s="151">
        <v>349.0</v>
      </c>
      <c r="X43" s="151">
        <v>12.0</v>
      </c>
      <c r="Y43" s="151">
        <v>0.0</v>
      </c>
      <c r="Z43" s="151">
        <v>0.0</v>
      </c>
      <c r="AA43" s="151">
        <v>7.0</v>
      </c>
      <c r="AB43" s="151">
        <v>140.0</v>
      </c>
      <c r="AC43" s="151">
        <v>160.0</v>
      </c>
      <c r="AD43" s="151">
        <v>1.0</v>
      </c>
      <c r="AE43" s="151">
        <v>0.0</v>
      </c>
      <c r="AF43" s="151">
        <v>0.0</v>
      </c>
      <c r="AG43" s="151">
        <v>2.0</v>
      </c>
      <c r="AH43" s="151">
        <v>74.0</v>
      </c>
      <c r="AI43" s="151">
        <v>17.0</v>
      </c>
      <c r="AJ43" s="151">
        <v>1.0</v>
      </c>
      <c r="AK43" s="151">
        <v>0.0</v>
      </c>
      <c r="AL43" s="151">
        <v>2.0</v>
      </c>
      <c r="AM43" s="151">
        <v>5.0</v>
      </c>
      <c r="AN43" s="151">
        <v>1.0</v>
      </c>
      <c r="AO43" s="151">
        <v>0.0</v>
      </c>
      <c r="AP43" s="151">
        <v>0.0</v>
      </c>
      <c r="AQ43" s="152">
        <v>0.0</v>
      </c>
      <c r="AR43" s="151">
        <v>0.0</v>
      </c>
      <c r="AS43" s="151">
        <v>0.0</v>
      </c>
    </row>
    <row r="44">
      <c r="A44" s="153" t="s">
        <v>80</v>
      </c>
      <c r="B44" s="154">
        <v>305.0</v>
      </c>
      <c r="C44" s="155">
        <v>7.0</v>
      </c>
      <c r="D44" s="155">
        <v>326.0</v>
      </c>
      <c r="E44" s="155">
        <v>409.0</v>
      </c>
      <c r="F44" s="155">
        <v>152.0</v>
      </c>
      <c r="G44" s="155">
        <v>1.0</v>
      </c>
      <c r="H44" s="155">
        <v>4.0</v>
      </c>
      <c r="I44" s="155">
        <v>178.0</v>
      </c>
      <c r="J44" s="155">
        <v>1178.0</v>
      </c>
      <c r="K44" s="155">
        <v>409.0</v>
      </c>
      <c r="L44" s="155">
        <v>19.0</v>
      </c>
      <c r="M44" s="155">
        <v>0.0</v>
      </c>
      <c r="N44" s="155">
        <v>0.0</v>
      </c>
      <c r="O44" s="155">
        <v>138.0</v>
      </c>
      <c r="P44" s="155">
        <v>1193.0</v>
      </c>
      <c r="Q44" s="155">
        <v>1059.0</v>
      </c>
      <c r="R44" s="155">
        <v>34.0</v>
      </c>
      <c r="S44" s="155">
        <v>0.0</v>
      </c>
      <c r="T44" s="155">
        <v>0.0</v>
      </c>
      <c r="U44" s="155">
        <v>45.0</v>
      </c>
      <c r="V44" s="155">
        <v>1218.0</v>
      </c>
      <c r="W44" s="155">
        <v>709.0</v>
      </c>
      <c r="X44" s="155">
        <v>34.0</v>
      </c>
      <c r="Y44" s="155">
        <v>0.0</v>
      </c>
      <c r="Z44" s="155">
        <v>0.0</v>
      </c>
      <c r="AA44" s="155">
        <v>28.0</v>
      </c>
      <c r="AB44" s="155">
        <v>389.0</v>
      </c>
      <c r="AC44" s="155">
        <v>341.0</v>
      </c>
      <c r="AD44" s="155">
        <v>3.0</v>
      </c>
      <c r="AE44" s="155">
        <v>1.0</v>
      </c>
      <c r="AF44" s="155">
        <v>0.0</v>
      </c>
      <c r="AG44" s="155">
        <v>7.0</v>
      </c>
      <c r="AH44" s="155">
        <v>131.0</v>
      </c>
      <c r="AI44" s="155">
        <v>44.0</v>
      </c>
      <c r="AJ44" s="155">
        <v>2.0</v>
      </c>
      <c r="AK44" s="155">
        <v>0.0</v>
      </c>
      <c r="AL44" s="155">
        <v>3.0</v>
      </c>
      <c r="AM44" s="155">
        <v>15.0</v>
      </c>
      <c r="AN44" s="155">
        <v>1.0</v>
      </c>
      <c r="AO44" s="155">
        <v>0.0</v>
      </c>
      <c r="AP44" s="155">
        <v>0.0</v>
      </c>
      <c r="AQ44" s="156">
        <v>0.0</v>
      </c>
      <c r="AR44" s="155">
        <v>0.0</v>
      </c>
      <c r="AS44" s="155">
        <v>0.0</v>
      </c>
    </row>
    <row r="45">
      <c r="A45" s="153" t="s">
        <v>80</v>
      </c>
      <c r="B45" s="154">
        <v>306.0</v>
      </c>
      <c r="C45" s="155">
        <v>5.0</v>
      </c>
      <c r="D45" s="155">
        <v>286.0</v>
      </c>
      <c r="E45" s="155">
        <v>363.0</v>
      </c>
      <c r="F45" s="155">
        <v>138.0</v>
      </c>
      <c r="G45" s="155">
        <v>1.0</v>
      </c>
      <c r="H45" s="155">
        <v>6.0</v>
      </c>
      <c r="I45" s="155">
        <v>151.0</v>
      </c>
      <c r="J45" s="155">
        <v>1036.0</v>
      </c>
      <c r="K45" s="155">
        <v>330.0</v>
      </c>
      <c r="L45" s="155">
        <v>24.0</v>
      </c>
      <c r="M45" s="155">
        <v>0.0</v>
      </c>
      <c r="N45" s="155">
        <v>1.0</v>
      </c>
      <c r="O45" s="155">
        <v>142.0</v>
      </c>
      <c r="P45" s="155">
        <v>1076.0</v>
      </c>
      <c r="Q45" s="155">
        <v>866.0</v>
      </c>
      <c r="R45" s="155">
        <v>25.0</v>
      </c>
      <c r="S45" s="155">
        <v>0.0</v>
      </c>
      <c r="T45" s="155">
        <v>0.0</v>
      </c>
      <c r="U45" s="155">
        <v>44.0</v>
      </c>
      <c r="V45" s="155">
        <v>1120.0</v>
      </c>
      <c r="W45" s="155">
        <v>606.0</v>
      </c>
      <c r="X45" s="155">
        <v>22.0</v>
      </c>
      <c r="Y45" s="155">
        <v>0.0</v>
      </c>
      <c r="Z45" s="155">
        <v>0.0</v>
      </c>
      <c r="AA45" s="155">
        <v>13.0</v>
      </c>
      <c r="AB45" s="155">
        <v>327.0</v>
      </c>
      <c r="AC45" s="155">
        <v>277.0</v>
      </c>
      <c r="AD45" s="155">
        <v>3.0</v>
      </c>
      <c r="AE45" s="155">
        <v>0.0</v>
      </c>
      <c r="AF45" s="155">
        <v>0.0</v>
      </c>
      <c r="AG45" s="155">
        <v>5.0</v>
      </c>
      <c r="AH45" s="155">
        <v>115.0</v>
      </c>
      <c r="AI45" s="155">
        <v>18.0</v>
      </c>
      <c r="AJ45" s="155">
        <v>2.0</v>
      </c>
      <c r="AK45" s="155">
        <v>0.0</v>
      </c>
      <c r="AL45" s="155">
        <v>1.0</v>
      </c>
      <c r="AM45" s="155">
        <v>13.0</v>
      </c>
      <c r="AN45" s="155">
        <v>5.0</v>
      </c>
      <c r="AO45" s="155">
        <v>1.0</v>
      </c>
      <c r="AP45" s="155">
        <v>0.0</v>
      </c>
      <c r="AQ45" s="156">
        <v>0.0</v>
      </c>
      <c r="AR45" s="155">
        <v>0.0</v>
      </c>
      <c r="AS45" s="155">
        <v>0.0</v>
      </c>
    </row>
    <row r="46">
      <c r="A46" s="153" t="s">
        <v>80</v>
      </c>
      <c r="B46" s="154">
        <v>307.0</v>
      </c>
      <c r="C46" s="155">
        <v>2.0</v>
      </c>
      <c r="D46" s="155">
        <v>27.0</v>
      </c>
      <c r="E46" s="155">
        <v>28.0</v>
      </c>
      <c r="F46" s="155">
        <v>10.0</v>
      </c>
      <c r="G46" s="155">
        <v>0.0</v>
      </c>
      <c r="H46" s="155">
        <v>1.0</v>
      </c>
      <c r="I46" s="155">
        <v>16.0</v>
      </c>
      <c r="J46" s="155">
        <v>113.0</v>
      </c>
      <c r="K46" s="155">
        <v>52.0</v>
      </c>
      <c r="L46" s="155">
        <v>4.0</v>
      </c>
      <c r="M46" s="155">
        <v>0.0</v>
      </c>
      <c r="N46" s="155">
        <v>0.0</v>
      </c>
      <c r="O46" s="155">
        <v>14.0</v>
      </c>
      <c r="P46" s="155">
        <v>130.0</v>
      </c>
      <c r="Q46" s="155">
        <v>107.0</v>
      </c>
      <c r="R46" s="155">
        <v>4.0</v>
      </c>
      <c r="S46" s="155">
        <v>0.0</v>
      </c>
      <c r="T46" s="155">
        <v>0.0</v>
      </c>
      <c r="U46" s="155">
        <v>5.0</v>
      </c>
      <c r="V46" s="155">
        <v>137.0</v>
      </c>
      <c r="W46" s="155">
        <v>66.0</v>
      </c>
      <c r="X46" s="155">
        <v>3.0</v>
      </c>
      <c r="Y46" s="155">
        <v>0.0</v>
      </c>
      <c r="Z46" s="155">
        <v>0.0</v>
      </c>
      <c r="AA46" s="155">
        <v>3.0</v>
      </c>
      <c r="AB46" s="155">
        <v>46.0</v>
      </c>
      <c r="AC46" s="155">
        <v>27.0</v>
      </c>
      <c r="AD46" s="155">
        <v>0.0</v>
      </c>
      <c r="AE46" s="155">
        <v>0.0</v>
      </c>
      <c r="AF46" s="155">
        <v>0.0</v>
      </c>
      <c r="AG46" s="155">
        <v>0.0</v>
      </c>
      <c r="AH46" s="155">
        <v>12.0</v>
      </c>
      <c r="AI46" s="155">
        <v>3.0</v>
      </c>
      <c r="AJ46" s="155">
        <v>0.0</v>
      </c>
      <c r="AK46" s="155">
        <v>0.0</v>
      </c>
      <c r="AL46" s="155">
        <v>1.0</v>
      </c>
      <c r="AM46" s="155">
        <v>1.0</v>
      </c>
      <c r="AN46" s="155">
        <v>0.0</v>
      </c>
      <c r="AO46" s="155">
        <v>0.0</v>
      </c>
      <c r="AP46" s="155">
        <v>0.0</v>
      </c>
      <c r="AQ46" s="156">
        <v>0.0</v>
      </c>
      <c r="AR46" s="155">
        <v>0.0</v>
      </c>
      <c r="AS46" s="155">
        <v>0.0</v>
      </c>
    </row>
    <row r="47">
      <c r="A47" s="153" t="s">
        <v>80</v>
      </c>
      <c r="B47" s="154">
        <v>308.0</v>
      </c>
      <c r="C47" s="155">
        <v>0.0</v>
      </c>
      <c r="D47" s="155">
        <v>14.0</v>
      </c>
      <c r="E47" s="155">
        <v>30.0</v>
      </c>
      <c r="F47" s="155">
        <v>6.0</v>
      </c>
      <c r="G47" s="155">
        <v>0.0</v>
      </c>
      <c r="H47" s="155">
        <v>1.0</v>
      </c>
      <c r="I47" s="155">
        <v>3.0</v>
      </c>
      <c r="J47" s="155">
        <v>53.0</v>
      </c>
      <c r="K47" s="155">
        <v>29.0</v>
      </c>
      <c r="L47" s="155">
        <v>2.0</v>
      </c>
      <c r="M47" s="155">
        <v>0.0</v>
      </c>
      <c r="N47" s="155">
        <v>1.0</v>
      </c>
      <c r="O47" s="155">
        <v>12.0</v>
      </c>
      <c r="P47" s="155">
        <v>68.0</v>
      </c>
      <c r="Q47" s="155">
        <v>61.0</v>
      </c>
      <c r="R47" s="155">
        <v>4.0</v>
      </c>
      <c r="S47" s="155">
        <v>0.0</v>
      </c>
      <c r="T47" s="155">
        <v>0.0</v>
      </c>
      <c r="U47" s="155">
        <v>2.0</v>
      </c>
      <c r="V47" s="155">
        <v>69.0</v>
      </c>
      <c r="W47" s="155">
        <v>45.0</v>
      </c>
      <c r="X47" s="155">
        <v>4.0</v>
      </c>
      <c r="Y47" s="155">
        <v>0.0</v>
      </c>
      <c r="Z47" s="155">
        <v>0.0</v>
      </c>
      <c r="AA47" s="155">
        <v>2.0</v>
      </c>
      <c r="AB47" s="155">
        <v>25.0</v>
      </c>
      <c r="AC47" s="155">
        <v>25.0</v>
      </c>
      <c r="AD47" s="155">
        <v>0.0</v>
      </c>
      <c r="AE47" s="155">
        <v>0.0</v>
      </c>
      <c r="AF47" s="155">
        <v>0.0</v>
      </c>
      <c r="AG47" s="155">
        <v>1.0</v>
      </c>
      <c r="AH47" s="155">
        <v>8.0</v>
      </c>
      <c r="AI47" s="155">
        <v>0.0</v>
      </c>
      <c r="AJ47" s="155">
        <v>0.0</v>
      </c>
      <c r="AK47" s="155">
        <v>0.0</v>
      </c>
      <c r="AL47" s="155">
        <v>1.0</v>
      </c>
      <c r="AM47" s="155">
        <v>0.0</v>
      </c>
      <c r="AN47" s="155">
        <v>0.0</v>
      </c>
      <c r="AO47" s="155">
        <v>0.0</v>
      </c>
      <c r="AP47" s="155">
        <v>0.0</v>
      </c>
      <c r="AQ47" s="156">
        <v>0.0</v>
      </c>
      <c r="AR47" s="155">
        <v>0.0</v>
      </c>
      <c r="AS47" s="155">
        <v>0.0</v>
      </c>
    </row>
    <row r="48">
      <c r="A48" s="153" t="s">
        <v>80</v>
      </c>
      <c r="B48" s="154">
        <v>309.0</v>
      </c>
      <c r="C48" s="155">
        <v>0.0</v>
      </c>
      <c r="D48" s="155">
        <v>63.0</v>
      </c>
      <c r="E48" s="155">
        <v>82.0</v>
      </c>
      <c r="F48" s="155">
        <v>24.0</v>
      </c>
      <c r="G48" s="155">
        <v>0.0</v>
      </c>
      <c r="H48" s="155">
        <v>4.0</v>
      </c>
      <c r="I48" s="155">
        <v>31.0</v>
      </c>
      <c r="J48" s="155">
        <v>244.0</v>
      </c>
      <c r="K48" s="155">
        <v>80.0</v>
      </c>
      <c r="L48" s="155">
        <v>5.0</v>
      </c>
      <c r="M48" s="155">
        <v>0.0</v>
      </c>
      <c r="N48" s="155">
        <v>1.0</v>
      </c>
      <c r="O48" s="155">
        <v>37.0</v>
      </c>
      <c r="P48" s="155">
        <v>256.0</v>
      </c>
      <c r="Q48" s="155">
        <v>202.0</v>
      </c>
      <c r="R48" s="155">
        <v>2.0</v>
      </c>
      <c r="S48" s="155">
        <v>0.0</v>
      </c>
      <c r="T48" s="155">
        <v>0.0</v>
      </c>
      <c r="U48" s="155">
        <v>8.0</v>
      </c>
      <c r="V48" s="155">
        <v>255.0</v>
      </c>
      <c r="W48" s="155">
        <v>173.0</v>
      </c>
      <c r="X48" s="155">
        <v>7.0</v>
      </c>
      <c r="Y48" s="155">
        <v>0.0</v>
      </c>
      <c r="Z48" s="155">
        <v>0.0</v>
      </c>
      <c r="AA48" s="155">
        <v>8.0</v>
      </c>
      <c r="AB48" s="155">
        <v>67.0</v>
      </c>
      <c r="AC48" s="155">
        <v>84.0</v>
      </c>
      <c r="AD48" s="155">
        <v>1.0</v>
      </c>
      <c r="AE48" s="155">
        <v>0.0</v>
      </c>
      <c r="AF48" s="155">
        <v>0.0</v>
      </c>
      <c r="AG48" s="155">
        <v>0.0</v>
      </c>
      <c r="AH48" s="155">
        <v>35.0</v>
      </c>
      <c r="AI48" s="155">
        <v>2.0</v>
      </c>
      <c r="AJ48" s="155">
        <v>0.0</v>
      </c>
      <c r="AK48" s="155">
        <v>0.0</v>
      </c>
      <c r="AL48" s="155">
        <v>1.0</v>
      </c>
      <c r="AM48" s="155">
        <v>2.0</v>
      </c>
      <c r="AN48" s="155">
        <v>1.0</v>
      </c>
      <c r="AO48" s="155">
        <v>0.0</v>
      </c>
      <c r="AP48" s="155">
        <v>0.0</v>
      </c>
      <c r="AQ48" s="156">
        <v>0.0</v>
      </c>
      <c r="AR48" s="155">
        <v>0.0</v>
      </c>
      <c r="AS48" s="155">
        <v>0.0</v>
      </c>
    </row>
    <row r="49">
      <c r="A49" s="157" t="s">
        <v>80</v>
      </c>
      <c r="B49" s="158">
        <v>310.0</v>
      </c>
      <c r="C49" s="159">
        <v>0.0</v>
      </c>
      <c r="D49" s="159">
        <v>82.0</v>
      </c>
      <c r="E49" s="159">
        <v>127.0</v>
      </c>
      <c r="F49" s="159">
        <v>23.0</v>
      </c>
      <c r="G49" s="159">
        <v>1.0</v>
      </c>
      <c r="H49" s="159">
        <v>3.0</v>
      </c>
      <c r="I49" s="159">
        <v>38.0</v>
      </c>
      <c r="J49" s="159">
        <v>311.0</v>
      </c>
      <c r="K49" s="159">
        <v>95.0</v>
      </c>
      <c r="L49" s="159">
        <v>9.0</v>
      </c>
      <c r="M49" s="159">
        <v>1.0</v>
      </c>
      <c r="N49" s="159">
        <v>0.0</v>
      </c>
      <c r="O49" s="159">
        <v>43.0</v>
      </c>
      <c r="P49" s="159">
        <v>354.0</v>
      </c>
      <c r="Q49" s="159">
        <v>289.0</v>
      </c>
      <c r="R49" s="159">
        <v>8.0</v>
      </c>
      <c r="S49" s="159">
        <v>0.0</v>
      </c>
      <c r="T49" s="159">
        <v>0.0</v>
      </c>
      <c r="U49" s="159">
        <v>16.0</v>
      </c>
      <c r="V49" s="159">
        <v>391.0</v>
      </c>
      <c r="W49" s="159">
        <v>195.0</v>
      </c>
      <c r="X49" s="159">
        <v>8.0</v>
      </c>
      <c r="Y49" s="159">
        <v>0.0</v>
      </c>
      <c r="Z49" s="159">
        <v>1.0</v>
      </c>
      <c r="AA49" s="159">
        <v>6.0</v>
      </c>
      <c r="AB49" s="159">
        <v>105.0</v>
      </c>
      <c r="AC49" s="159">
        <v>87.0</v>
      </c>
      <c r="AD49" s="159">
        <v>0.0</v>
      </c>
      <c r="AE49" s="159">
        <v>0.0</v>
      </c>
      <c r="AF49" s="159">
        <v>0.0</v>
      </c>
      <c r="AG49" s="159">
        <v>5.0</v>
      </c>
      <c r="AH49" s="159">
        <v>34.0</v>
      </c>
      <c r="AI49" s="159">
        <v>11.0</v>
      </c>
      <c r="AJ49" s="159">
        <v>0.0</v>
      </c>
      <c r="AK49" s="159">
        <v>0.0</v>
      </c>
      <c r="AL49" s="159">
        <v>1.0</v>
      </c>
      <c r="AM49" s="159">
        <v>2.0</v>
      </c>
      <c r="AN49" s="159">
        <v>1.0</v>
      </c>
      <c r="AO49" s="159">
        <v>0.0</v>
      </c>
      <c r="AP49" s="159">
        <v>0.0</v>
      </c>
      <c r="AQ49" s="160">
        <v>1.0</v>
      </c>
      <c r="AR49" s="159">
        <v>0.0</v>
      </c>
      <c r="AS49" s="159">
        <v>0.0</v>
      </c>
    </row>
    <row r="50">
      <c r="A50" s="161" t="s">
        <v>82</v>
      </c>
      <c r="B50" s="162">
        <v>316.0</v>
      </c>
      <c r="C50" s="163">
        <v>0.0</v>
      </c>
      <c r="D50" s="163">
        <v>3.0</v>
      </c>
      <c r="E50" s="163">
        <v>19.0</v>
      </c>
      <c r="F50" s="163">
        <v>18.0</v>
      </c>
      <c r="G50" s="163">
        <v>1.0</v>
      </c>
      <c r="H50" s="163">
        <v>1.0</v>
      </c>
      <c r="I50" s="163">
        <v>2.0</v>
      </c>
      <c r="J50" s="163">
        <v>58.0</v>
      </c>
      <c r="K50" s="163">
        <v>51.0</v>
      </c>
      <c r="L50" s="163">
        <v>8.0</v>
      </c>
      <c r="M50" s="163">
        <v>0.0</v>
      </c>
      <c r="N50" s="163">
        <v>0.0</v>
      </c>
      <c r="O50" s="163">
        <v>0.0</v>
      </c>
      <c r="P50" s="163">
        <v>33.0</v>
      </c>
      <c r="Q50" s="163">
        <v>134.0</v>
      </c>
      <c r="R50" s="163">
        <v>32.0</v>
      </c>
      <c r="S50" s="163">
        <v>1.0</v>
      </c>
      <c r="T50" s="163">
        <v>0.0</v>
      </c>
      <c r="U50" s="163">
        <v>0.0</v>
      </c>
      <c r="V50" s="163">
        <v>17.0</v>
      </c>
      <c r="W50" s="163">
        <v>111.0</v>
      </c>
      <c r="X50" s="163">
        <v>71.0</v>
      </c>
      <c r="Y50" s="163">
        <v>1.0</v>
      </c>
      <c r="Z50" s="163">
        <v>0.0</v>
      </c>
      <c r="AA50" s="163">
        <v>0.0</v>
      </c>
      <c r="AB50" s="163">
        <v>10.0</v>
      </c>
      <c r="AC50" s="163">
        <v>131.0</v>
      </c>
      <c r="AD50" s="163">
        <v>26.0</v>
      </c>
      <c r="AE50" s="163">
        <v>0.0</v>
      </c>
      <c r="AF50" s="163">
        <v>0.0</v>
      </c>
      <c r="AG50" s="163">
        <v>0.0</v>
      </c>
      <c r="AH50" s="163">
        <v>2.0</v>
      </c>
      <c r="AI50" s="163">
        <v>49.0</v>
      </c>
      <c r="AJ50" s="163">
        <v>25.0</v>
      </c>
      <c r="AK50" s="163">
        <v>0.0</v>
      </c>
      <c r="AL50" s="163">
        <v>0.0</v>
      </c>
      <c r="AM50" s="163">
        <v>0.0</v>
      </c>
      <c r="AN50" s="163">
        <v>24.0</v>
      </c>
      <c r="AO50" s="163">
        <v>10.0</v>
      </c>
      <c r="AP50" s="163">
        <v>0.0</v>
      </c>
      <c r="AQ50" s="164">
        <v>0.0</v>
      </c>
      <c r="AR50" s="163">
        <v>0.0</v>
      </c>
      <c r="AS50" s="163">
        <v>0.0</v>
      </c>
    </row>
    <row r="51">
      <c r="A51" s="165" t="s">
        <v>82</v>
      </c>
      <c r="B51" s="166">
        <v>318.0</v>
      </c>
      <c r="C51" s="167">
        <v>0.0</v>
      </c>
      <c r="D51" s="167">
        <v>2.0</v>
      </c>
      <c r="E51" s="167">
        <v>26.0</v>
      </c>
      <c r="F51" s="167">
        <v>45.0</v>
      </c>
      <c r="G51" s="167">
        <v>1.0</v>
      </c>
      <c r="H51" s="167">
        <v>0.0</v>
      </c>
      <c r="I51" s="167">
        <v>0.0</v>
      </c>
      <c r="J51" s="167">
        <v>89.0</v>
      </c>
      <c r="K51" s="167">
        <v>104.0</v>
      </c>
      <c r="L51" s="167">
        <v>27.0</v>
      </c>
      <c r="M51" s="167">
        <v>2.0</v>
      </c>
      <c r="N51" s="167">
        <v>0.0</v>
      </c>
      <c r="O51" s="167">
        <v>4.0</v>
      </c>
      <c r="P51" s="167">
        <v>56.0</v>
      </c>
      <c r="Q51" s="167">
        <v>179.0</v>
      </c>
      <c r="R51" s="167">
        <v>56.0</v>
      </c>
      <c r="S51" s="167">
        <v>2.0</v>
      </c>
      <c r="T51" s="167">
        <v>0.0</v>
      </c>
      <c r="U51" s="167">
        <v>1.0</v>
      </c>
      <c r="V51" s="167">
        <v>21.0</v>
      </c>
      <c r="W51" s="167">
        <v>194.0</v>
      </c>
      <c r="X51" s="167">
        <v>116.0</v>
      </c>
      <c r="Y51" s="167">
        <v>2.0</v>
      </c>
      <c r="Z51" s="167">
        <v>0.0</v>
      </c>
      <c r="AA51" s="167">
        <v>0.0</v>
      </c>
      <c r="AB51" s="167">
        <v>11.0</v>
      </c>
      <c r="AC51" s="167">
        <v>160.0</v>
      </c>
      <c r="AD51" s="167">
        <v>49.0</v>
      </c>
      <c r="AE51" s="167">
        <v>0.0</v>
      </c>
      <c r="AF51" s="167">
        <v>0.0</v>
      </c>
      <c r="AG51" s="167">
        <v>1.0</v>
      </c>
      <c r="AH51" s="167">
        <v>7.0</v>
      </c>
      <c r="AI51" s="167">
        <v>74.0</v>
      </c>
      <c r="AJ51" s="167">
        <v>37.0</v>
      </c>
      <c r="AK51" s="167">
        <v>0.0</v>
      </c>
      <c r="AL51" s="167">
        <v>0.0</v>
      </c>
      <c r="AM51" s="167">
        <v>2.0</v>
      </c>
      <c r="AN51" s="167">
        <v>38.0</v>
      </c>
      <c r="AO51" s="167">
        <v>5.0</v>
      </c>
      <c r="AP51" s="167">
        <v>0.0</v>
      </c>
      <c r="AQ51" s="168">
        <v>0.0</v>
      </c>
      <c r="AR51" s="167">
        <v>4.0</v>
      </c>
      <c r="AS51" s="167">
        <v>0.0</v>
      </c>
    </row>
    <row r="52">
      <c r="A52" s="165" t="s">
        <v>82</v>
      </c>
      <c r="B52" s="166">
        <v>319.0</v>
      </c>
      <c r="C52" s="167">
        <v>1.0</v>
      </c>
      <c r="D52" s="167">
        <v>0.0</v>
      </c>
      <c r="E52" s="167">
        <v>3.0</v>
      </c>
      <c r="F52" s="167">
        <v>3.0</v>
      </c>
      <c r="G52" s="167">
        <v>0.0</v>
      </c>
      <c r="H52" s="167">
        <v>0.0</v>
      </c>
      <c r="I52" s="167">
        <v>0.0</v>
      </c>
      <c r="J52" s="167">
        <v>5.0</v>
      </c>
      <c r="K52" s="167">
        <v>5.0</v>
      </c>
      <c r="L52" s="167">
        <v>2.0</v>
      </c>
      <c r="M52" s="167">
        <v>0.0</v>
      </c>
      <c r="N52" s="167">
        <v>0.0</v>
      </c>
      <c r="O52" s="167">
        <v>0.0</v>
      </c>
      <c r="P52" s="167">
        <v>3.0</v>
      </c>
      <c r="Q52" s="167">
        <v>14.0</v>
      </c>
      <c r="R52" s="167">
        <v>2.0</v>
      </c>
      <c r="S52" s="167">
        <v>0.0</v>
      </c>
      <c r="T52" s="167">
        <v>0.0</v>
      </c>
      <c r="U52" s="167">
        <v>0.0</v>
      </c>
      <c r="V52" s="167">
        <v>1.0</v>
      </c>
      <c r="W52" s="167">
        <v>14.0</v>
      </c>
      <c r="X52" s="167">
        <v>6.0</v>
      </c>
      <c r="Y52" s="167">
        <v>0.0</v>
      </c>
      <c r="Z52" s="167">
        <v>0.0</v>
      </c>
      <c r="AA52" s="167">
        <v>0.0</v>
      </c>
      <c r="AB52" s="167">
        <v>2.0</v>
      </c>
      <c r="AC52" s="167">
        <v>10.0</v>
      </c>
      <c r="AD52" s="167">
        <v>5.0</v>
      </c>
      <c r="AE52" s="167">
        <v>0.0</v>
      </c>
      <c r="AF52" s="167">
        <v>0.0</v>
      </c>
      <c r="AG52" s="167">
        <v>0.0</v>
      </c>
      <c r="AH52" s="167">
        <v>1.0</v>
      </c>
      <c r="AI52" s="167">
        <v>6.0</v>
      </c>
      <c r="AJ52" s="167">
        <v>3.0</v>
      </c>
      <c r="AK52" s="167">
        <v>0.0</v>
      </c>
      <c r="AL52" s="167">
        <v>0.0</v>
      </c>
      <c r="AM52" s="167">
        <v>1.0</v>
      </c>
      <c r="AN52" s="167">
        <v>2.0</v>
      </c>
      <c r="AO52" s="167">
        <v>2.0</v>
      </c>
      <c r="AP52" s="167">
        <v>0.0</v>
      </c>
      <c r="AQ52" s="168">
        <v>0.0</v>
      </c>
      <c r="AR52" s="167">
        <v>0.0</v>
      </c>
      <c r="AS52" s="167">
        <v>0.0</v>
      </c>
    </row>
    <row r="53">
      <c r="A53" s="165" t="s">
        <v>82</v>
      </c>
      <c r="B53" s="166">
        <v>320.0</v>
      </c>
      <c r="C53" s="167">
        <v>1.0</v>
      </c>
      <c r="D53" s="167">
        <v>2.0</v>
      </c>
      <c r="E53" s="167">
        <v>18.0</v>
      </c>
      <c r="F53" s="167">
        <v>13.0</v>
      </c>
      <c r="G53" s="167">
        <v>1.0</v>
      </c>
      <c r="H53" s="167">
        <v>0.0</v>
      </c>
      <c r="I53" s="167">
        <v>0.0</v>
      </c>
      <c r="J53" s="167">
        <v>45.0</v>
      </c>
      <c r="K53" s="167">
        <v>66.0</v>
      </c>
      <c r="L53" s="167">
        <v>22.0</v>
      </c>
      <c r="M53" s="167">
        <v>0.0</v>
      </c>
      <c r="N53" s="167">
        <v>0.0</v>
      </c>
      <c r="O53" s="167">
        <v>0.0</v>
      </c>
      <c r="P53" s="167">
        <v>25.0</v>
      </c>
      <c r="Q53" s="167">
        <v>126.0</v>
      </c>
      <c r="R53" s="167">
        <v>25.0</v>
      </c>
      <c r="S53" s="167">
        <v>2.0</v>
      </c>
      <c r="T53" s="167">
        <v>0.0</v>
      </c>
      <c r="U53" s="167">
        <v>0.0</v>
      </c>
      <c r="V53" s="167">
        <v>19.0</v>
      </c>
      <c r="W53" s="167">
        <v>89.0</v>
      </c>
      <c r="X53" s="167">
        <v>66.0</v>
      </c>
      <c r="Y53" s="167">
        <v>0.0</v>
      </c>
      <c r="Z53" s="167">
        <v>0.0</v>
      </c>
      <c r="AA53" s="167">
        <v>0.0</v>
      </c>
      <c r="AB53" s="167">
        <v>7.0</v>
      </c>
      <c r="AC53" s="167">
        <v>80.0</v>
      </c>
      <c r="AD53" s="167">
        <v>11.0</v>
      </c>
      <c r="AE53" s="167">
        <v>0.0</v>
      </c>
      <c r="AF53" s="167">
        <v>0.0</v>
      </c>
      <c r="AG53" s="167">
        <v>0.0</v>
      </c>
      <c r="AH53" s="167">
        <v>5.0</v>
      </c>
      <c r="AI53" s="167">
        <v>30.0</v>
      </c>
      <c r="AJ53" s="167">
        <v>12.0</v>
      </c>
      <c r="AK53" s="167">
        <v>1.0</v>
      </c>
      <c r="AL53" s="167">
        <v>0.0</v>
      </c>
      <c r="AM53" s="167">
        <v>5.0</v>
      </c>
      <c r="AN53" s="167">
        <v>20.0</v>
      </c>
      <c r="AO53" s="167">
        <v>1.0</v>
      </c>
      <c r="AP53" s="167">
        <v>0.0</v>
      </c>
      <c r="AQ53" s="168">
        <v>0.0</v>
      </c>
      <c r="AR53" s="167">
        <v>0.0</v>
      </c>
      <c r="AS53" s="167">
        <v>1.0</v>
      </c>
    </row>
    <row r="54">
      <c r="A54" s="165" t="s">
        <v>82</v>
      </c>
      <c r="B54" s="166">
        <v>321.0</v>
      </c>
      <c r="C54" s="167">
        <v>0.0</v>
      </c>
      <c r="D54" s="167">
        <v>0.0</v>
      </c>
      <c r="E54" s="167">
        <v>10.0</v>
      </c>
      <c r="F54" s="167">
        <v>8.0</v>
      </c>
      <c r="G54" s="167">
        <v>2.0</v>
      </c>
      <c r="H54" s="167">
        <v>0.0</v>
      </c>
      <c r="I54" s="167">
        <v>1.0</v>
      </c>
      <c r="J54" s="167">
        <v>38.0</v>
      </c>
      <c r="K54" s="167">
        <v>33.0</v>
      </c>
      <c r="L54" s="167">
        <v>5.0</v>
      </c>
      <c r="M54" s="167">
        <v>1.0</v>
      </c>
      <c r="N54" s="167">
        <v>0.0</v>
      </c>
      <c r="O54" s="167">
        <v>1.0</v>
      </c>
      <c r="P54" s="167">
        <v>13.0</v>
      </c>
      <c r="Q54" s="167">
        <v>55.0</v>
      </c>
      <c r="R54" s="167">
        <v>19.0</v>
      </c>
      <c r="S54" s="167">
        <v>1.0</v>
      </c>
      <c r="T54" s="167">
        <v>0.0</v>
      </c>
      <c r="U54" s="167">
        <v>1.0</v>
      </c>
      <c r="V54" s="167">
        <v>12.0</v>
      </c>
      <c r="W54" s="167">
        <v>61.0</v>
      </c>
      <c r="X54" s="167">
        <v>37.0</v>
      </c>
      <c r="Y54" s="167">
        <v>1.0</v>
      </c>
      <c r="Z54" s="167">
        <v>0.0</v>
      </c>
      <c r="AA54" s="167">
        <v>1.0</v>
      </c>
      <c r="AB54" s="167">
        <v>3.0</v>
      </c>
      <c r="AC54" s="167">
        <v>53.0</v>
      </c>
      <c r="AD54" s="167">
        <v>15.0</v>
      </c>
      <c r="AE54" s="167">
        <v>0.0</v>
      </c>
      <c r="AF54" s="167">
        <v>0.0</v>
      </c>
      <c r="AG54" s="167">
        <v>0.0</v>
      </c>
      <c r="AH54" s="167">
        <v>3.0</v>
      </c>
      <c r="AI54" s="167">
        <v>20.0</v>
      </c>
      <c r="AJ54" s="167">
        <v>11.0</v>
      </c>
      <c r="AK54" s="167">
        <v>0.0</v>
      </c>
      <c r="AL54" s="167">
        <v>0.0</v>
      </c>
      <c r="AM54" s="167">
        <v>1.0</v>
      </c>
      <c r="AN54" s="167">
        <v>12.0</v>
      </c>
      <c r="AO54" s="167">
        <v>5.0</v>
      </c>
      <c r="AP54" s="167">
        <v>0.0</v>
      </c>
      <c r="AQ54" s="168">
        <v>0.0</v>
      </c>
      <c r="AR54" s="167">
        <v>0.0</v>
      </c>
      <c r="AS54" s="167">
        <v>0.0</v>
      </c>
    </row>
    <row r="55">
      <c r="A55" s="165" t="s">
        <v>82</v>
      </c>
      <c r="B55" s="166">
        <v>322.0</v>
      </c>
      <c r="C55" s="167">
        <v>0.0</v>
      </c>
      <c r="D55" s="167">
        <v>1.0</v>
      </c>
      <c r="E55" s="167">
        <v>11.0</v>
      </c>
      <c r="F55" s="167">
        <v>17.0</v>
      </c>
      <c r="G55" s="167">
        <v>2.0</v>
      </c>
      <c r="H55" s="167">
        <v>0.0</v>
      </c>
      <c r="I55" s="167">
        <v>1.0</v>
      </c>
      <c r="J55" s="167">
        <v>30.0</v>
      </c>
      <c r="K55" s="167">
        <v>40.0</v>
      </c>
      <c r="L55" s="167">
        <v>8.0</v>
      </c>
      <c r="M55" s="167">
        <v>1.0</v>
      </c>
      <c r="N55" s="167">
        <v>0.0</v>
      </c>
      <c r="O55" s="167">
        <v>1.0</v>
      </c>
      <c r="P55" s="167">
        <v>21.0</v>
      </c>
      <c r="Q55" s="167">
        <v>75.0</v>
      </c>
      <c r="R55" s="167">
        <v>24.0</v>
      </c>
      <c r="S55" s="167">
        <v>0.0</v>
      </c>
      <c r="T55" s="167">
        <v>0.0</v>
      </c>
      <c r="U55" s="167">
        <v>0.0</v>
      </c>
      <c r="V55" s="167">
        <v>9.0</v>
      </c>
      <c r="W55" s="167">
        <v>81.0</v>
      </c>
      <c r="X55" s="167">
        <v>50.0</v>
      </c>
      <c r="Y55" s="167">
        <v>0.0</v>
      </c>
      <c r="Z55" s="167">
        <v>0.0</v>
      </c>
      <c r="AA55" s="167">
        <v>0.0</v>
      </c>
      <c r="AB55" s="167">
        <v>5.0</v>
      </c>
      <c r="AC55" s="167">
        <v>55.0</v>
      </c>
      <c r="AD55" s="167">
        <v>17.0</v>
      </c>
      <c r="AE55" s="167">
        <v>2.0</v>
      </c>
      <c r="AF55" s="167">
        <v>0.0</v>
      </c>
      <c r="AG55" s="167">
        <v>0.0</v>
      </c>
      <c r="AH55" s="167">
        <v>5.0</v>
      </c>
      <c r="AI55" s="167">
        <v>30.0</v>
      </c>
      <c r="AJ55" s="167">
        <v>13.0</v>
      </c>
      <c r="AK55" s="167">
        <v>0.0</v>
      </c>
      <c r="AL55" s="167">
        <v>0.0</v>
      </c>
      <c r="AM55" s="167">
        <v>1.0</v>
      </c>
      <c r="AN55" s="167">
        <v>13.0</v>
      </c>
      <c r="AO55" s="167">
        <v>2.0</v>
      </c>
      <c r="AP55" s="167">
        <v>0.0</v>
      </c>
      <c r="AQ55" s="168">
        <v>0.0</v>
      </c>
      <c r="AR55" s="167">
        <v>1.0</v>
      </c>
      <c r="AS55" s="167">
        <v>1.0</v>
      </c>
    </row>
    <row r="56">
      <c r="A56" s="165" t="s">
        <v>82</v>
      </c>
      <c r="B56" s="166">
        <v>323.0</v>
      </c>
      <c r="C56" s="167">
        <v>0.0</v>
      </c>
      <c r="D56" s="167">
        <v>0.0</v>
      </c>
      <c r="E56" s="167">
        <v>12.0</v>
      </c>
      <c r="F56" s="167">
        <v>13.0</v>
      </c>
      <c r="G56" s="167">
        <v>0.0</v>
      </c>
      <c r="H56" s="167">
        <v>0.0</v>
      </c>
      <c r="I56" s="167">
        <v>0.0</v>
      </c>
      <c r="J56" s="167">
        <v>19.0</v>
      </c>
      <c r="K56" s="167">
        <v>25.0</v>
      </c>
      <c r="L56" s="167">
        <v>6.0</v>
      </c>
      <c r="M56" s="167">
        <v>0.0</v>
      </c>
      <c r="N56" s="167">
        <v>0.0</v>
      </c>
      <c r="O56" s="167">
        <v>2.0</v>
      </c>
      <c r="P56" s="167">
        <v>22.0</v>
      </c>
      <c r="Q56" s="167">
        <v>58.0</v>
      </c>
      <c r="R56" s="167">
        <v>21.0</v>
      </c>
      <c r="S56" s="167">
        <v>1.0</v>
      </c>
      <c r="T56" s="167">
        <v>0.0</v>
      </c>
      <c r="U56" s="167">
        <v>0.0</v>
      </c>
      <c r="V56" s="167">
        <v>15.0</v>
      </c>
      <c r="W56" s="167">
        <v>62.0</v>
      </c>
      <c r="X56" s="167">
        <v>27.0</v>
      </c>
      <c r="Y56" s="167">
        <v>0.0</v>
      </c>
      <c r="Z56" s="167">
        <v>0.0</v>
      </c>
      <c r="AA56" s="167">
        <v>0.0</v>
      </c>
      <c r="AB56" s="167">
        <v>1.0</v>
      </c>
      <c r="AC56" s="167">
        <v>49.0</v>
      </c>
      <c r="AD56" s="167">
        <v>18.0</v>
      </c>
      <c r="AE56" s="167">
        <v>0.0</v>
      </c>
      <c r="AF56" s="167">
        <v>0.0</v>
      </c>
      <c r="AG56" s="167">
        <v>0.0</v>
      </c>
      <c r="AH56" s="167">
        <v>2.0</v>
      </c>
      <c r="AI56" s="167">
        <v>12.0</v>
      </c>
      <c r="AJ56" s="167">
        <v>9.0</v>
      </c>
      <c r="AK56" s="167">
        <v>0.0</v>
      </c>
      <c r="AL56" s="167">
        <v>0.0</v>
      </c>
      <c r="AM56" s="167">
        <v>3.0</v>
      </c>
      <c r="AN56" s="167">
        <v>15.0</v>
      </c>
      <c r="AO56" s="167">
        <v>1.0</v>
      </c>
      <c r="AP56" s="167">
        <v>0.0</v>
      </c>
      <c r="AQ56" s="168">
        <v>0.0</v>
      </c>
      <c r="AR56" s="167">
        <v>0.0</v>
      </c>
      <c r="AS56" s="167">
        <v>0.0</v>
      </c>
    </row>
    <row r="57">
      <c r="A57" s="165" t="s">
        <v>82</v>
      </c>
      <c r="B57" s="166">
        <v>324.0</v>
      </c>
      <c r="C57" s="167">
        <v>0.0</v>
      </c>
      <c r="D57" s="167">
        <v>0.0</v>
      </c>
      <c r="E57" s="167">
        <v>4.0</v>
      </c>
      <c r="F57" s="167">
        <v>9.0</v>
      </c>
      <c r="G57" s="167">
        <v>0.0</v>
      </c>
      <c r="H57" s="167">
        <v>0.0</v>
      </c>
      <c r="I57" s="167">
        <v>0.0</v>
      </c>
      <c r="J57" s="167">
        <v>25.0</v>
      </c>
      <c r="K57" s="167">
        <v>18.0</v>
      </c>
      <c r="L57" s="167">
        <v>6.0</v>
      </c>
      <c r="M57" s="167">
        <v>0.0</v>
      </c>
      <c r="N57" s="167">
        <v>0.0</v>
      </c>
      <c r="O57" s="167">
        <v>0.0</v>
      </c>
      <c r="P57" s="167">
        <v>14.0</v>
      </c>
      <c r="Q57" s="167">
        <v>51.0</v>
      </c>
      <c r="R57" s="167">
        <v>11.0</v>
      </c>
      <c r="S57" s="167">
        <v>0.0</v>
      </c>
      <c r="T57" s="167">
        <v>0.0</v>
      </c>
      <c r="U57" s="167">
        <v>0.0</v>
      </c>
      <c r="V57" s="167">
        <v>6.0</v>
      </c>
      <c r="W57" s="167">
        <v>50.0</v>
      </c>
      <c r="X57" s="167">
        <v>26.0</v>
      </c>
      <c r="Y57" s="167">
        <v>0.0</v>
      </c>
      <c r="Z57" s="167">
        <v>0.0</v>
      </c>
      <c r="AA57" s="167">
        <v>0.0</v>
      </c>
      <c r="AB57" s="167">
        <v>0.0</v>
      </c>
      <c r="AC57" s="167">
        <v>39.0</v>
      </c>
      <c r="AD57" s="167">
        <v>12.0</v>
      </c>
      <c r="AE57" s="167">
        <v>0.0</v>
      </c>
      <c r="AF57" s="167">
        <v>0.0</v>
      </c>
      <c r="AG57" s="167">
        <v>0.0</v>
      </c>
      <c r="AH57" s="167">
        <v>1.0</v>
      </c>
      <c r="AI57" s="167">
        <v>16.0</v>
      </c>
      <c r="AJ57" s="167">
        <v>9.0</v>
      </c>
      <c r="AK57" s="167">
        <v>0.0</v>
      </c>
      <c r="AL57" s="167">
        <v>0.0</v>
      </c>
      <c r="AM57" s="167">
        <v>1.0</v>
      </c>
      <c r="AN57" s="167">
        <v>8.0</v>
      </c>
      <c r="AO57" s="167">
        <v>2.0</v>
      </c>
      <c r="AP57" s="167">
        <v>0.0</v>
      </c>
      <c r="AQ57" s="168">
        <v>0.0</v>
      </c>
      <c r="AR57" s="167">
        <v>0.0</v>
      </c>
      <c r="AS57" s="167">
        <v>0.0</v>
      </c>
    </row>
    <row r="58">
      <c r="A58" s="165" t="s">
        <v>82</v>
      </c>
      <c r="B58" s="166">
        <v>325.0</v>
      </c>
      <c r="C58" s="167">
        <v>1.0</v>
      </c>
      <c r="D58" s="167">
        <v>0.0</v>
      </c>
      <c r="E58" s="167">
        <v>2.0</v>
      </c>
      <c r="F58" s="167">
        <v>2.0</v>
      </c>
      <c r="G58" s="167">
        <v>0.0</v>
      </c>
      <c r="H58" s="167">
        <v>0.0</v>
      </c>
      <c r="I58" s="167">
        <v>1.0</v>
      </c>
      <c r="J58" s="167">
        <v>3.0</v>
      </c>
      <c r="K58" s="167">
        <v>3.0</v>
      </c>
      <c r="L58" s="167">
        <v>1.0</v>
      </c>
      <c r="M58" s="167">
        <v>0.0</v>
      </c>
      <c r="N58" s="167">
        <v>0.0</v>
      </c>
      <c r="O58" s="167">
        <v>0.0</v>
      </c>
      <c r="P58" s="167">
        <v>3.0</v>
      </c>
      <c r="Q58" s="167">
        <v>17.0</v>
      </c>
      <c r="R58" s="167">
        <v>3.0</v>
      </c>
      <c r="S58" s="167">
        <v>0.0</v>
      </c>
      <c r="T58" s="167">
        <v>0.0</v>
      </c>
      <c r="U58" s="167">
        <v>0.0</v>
      </c>
      <c r="V58" s="167">
        <v>1.0</v>
      </c>
      <c r="W58" s="167">
        <v>15.0</v>
      </c>
      <c r="X58" s="167">
        <v>7.0</v>
      </c>
      <c r="Y58" s="167">
        <v>0.0</v>
      </c>
      <c r="Z58" s="167">
        <v>0.0</v>
      </c>
      <c r="AA58" s="167">
        <v>0.0</v>
      </c>
      <c r="AB58" s="167">
        <v>1.0</v>
      </c>
      <c r="AC58" s="167">
        <v>4.0</v>
      </c>
      <c r="AD58" s="167">
        <v>1.0</v>
      </c>
      <c r="AE58" s="167">
        <v>0.0</v>
      </c>
      <c r="AF58" s="167">
        <v>0.0</v>
      </c>
      <c r="AG58" s="167">
        <v>0.0</v>
      </c>
      <c r="AH58" s="167">
        <v>0.0</v>
      </c>
      <c r="AI58" s="167">
        <v>7.0</v>
      </c>
      <c r="AJ58" s="167">
        <v>3.0</v>
      </c>
      <c r="AK58" s="167">
        <v>0.0</v>
      </c>
      <c r="AL58" s="167">
        <v>0.0</v>
      </c>
      <c r="AM58" s="167">
        <v>0.0</v>
      </c>
      <c r="AN58" s="167">
        <v>6.0</v>
      </c>
      <c r="AO58" s="167">
        <v>0.0</v>
      </c>
      <c r="AP58" s="167">
        <v>0.0</v>
      </c>
      <c r="AQ58" s="168">
        <v>0.0</v>
      </c>
      <c r="AR58" s="167">
        <v>0.0</v>
      </c>
      <c r="AS58" s="167">
        <v>0.0</v>
      </c>
    </row>
    <row r="59">
      <c r="A59" s="165" t="s">
        <v>82</v>
      </c>
      <c r="B59" s="166">
        <v>326.0</v>
      </c>
      <c r="C59" s="167">
        <v>0.0</v>
      </c>
      <c r="D59" s="167">
        <v>2.0</v>
      </c>
      <c r="E59" s="167">
        <v>12.0</v>
      </c>
      <c r="F59" s="167">
        <v>17.0</v>
      </c>
      <c r="G59" s="167">
        <v>0.0</v>
      </c>
      <c r="H59" s="167">
        <v>0.0</v>
      </c>
      <c r="I59" s="167">
        <v>0.0</v>
      </c>
      <c r="J59" s="167">
        <v>18.0</v>
      </c>
      <c r="K59" s="167">
        <v>33.0</v>
      </c>
      <c r="L59" s="167">
        <v>9.0</v>
      </c>
      <c r="M59" s="167">
        <v>0.0</v>
      </c>
      <c r="N59" s="167">
        <v>0.0</v>
      </c>
      <c r="O59" s="167">
        <v>0.0</v>
      </c>
      <c r="P59" s="167">
        <v>17.0</v>
      </c>
      <c r="Q59" s="167">
        <v>73.0</v>
      </c>
      <c r="R59" s="167">
        <v>19.0</v>
      </c>
      <c r="S59" s="167">
        <v>1.0</v>
      </c>
      <c r="T59" s="167">
        <v>0.0</v>
      </c>
      <c r="U59" s="167">
        <v>0.0</v>
      </c>
      <c r="V59" s="167">
        <v>9.0</v>
      </c>
      <c r="W59" s="167">
        <v>59.0</v>
      </c>
      <c r="X59" s="167">
        <v>27.0</v>
      </c>
      <c r="Y59" s="167">
        <v>1.0</v>
      </c>
      <c r="Z59" s="167">
        <v>0.0</v>
      </c>
      <c r="AA59" s="167">
        <v>0.0</v>
      </c>
      <c r="AB59" s="167">
        <v>3.0</v>
      </c>
      <c r="AC59" s="167">
        <v>40.0</v>
      </c>
      <c r="AD59" s="167">
        <v>11.0</v>
      </c>
      <c r="AE59" s="167">
        <v>0.0</v>
      </c>
      <c r="AF59" s="167">
        <v>0.0</v>
      </c>
      <c r="AG59" s="167">
        <v>0.0</v>
      </c>
      <c r="AH59" s="167">
        <v>4.0</v>
      </c>
      <c r="AI59" s="167">
        <v>11.0</v>
      </c>
      <c r="AJ59" s="167">
        <v>5.0</v>
      </c>
      <c r="AK59" s="167">
        <v>0.0</v>
      </c>
      <c r="AL59" s="167">
        <v>0.0</v>
      </c>
      <c r="AM59" s="167">
        <v>0.0</v>
      </c>
      <c r="AN59" s="167">
        <v>11.0</v>
      </c>
      <c r="AO59" s="167">
        <v>3.0</v>
      </c>
      <c r="AP59" s="167">
        <v>0.0</v>
      </c>
      <c r="AQ59" s="168">
        <v>0.0</v>
      </c>
      <c r="AR59" s="167">
        <v>1.0</v>
      </c>
      <c r="AS59" s="167">
        <v>0.0</v>
      </c>
    </row>
    <row r="60">
      <c r="A60" s="165" t="s">
        <v>82</v>
      </c>
      <c r="B60" s="166">
        <v>327.0</v>
      </c>
      <c r="C60" s="167">
        <v>0.0</v>
      </c>
      <c r="D60" s="167">
        <v>1.0</v>
      </c>
      <c r="E60" s="167">
        <v>13.0</v>
      </c>
      <c r="F60" s="167">
        <v>18.0</v>
      </c>
      <c r="G60" s="167">
        <v>1.0</v>
      </c>
      <c r="H60" s="167">
        <v>0.0</v>
      </c>
      <c r="I60" s="167">
        <v>0.0</v>
      </c>
      <c r="J60" s="167">
        <v>52.0</v>
      </c>
      <c r="K60" s="167">
        <v>49.0</v>
      </c>
      <c r="L60" s="167">
        <v>13.0</v>
      </c>
      <c r="M60" s="167">
        <v>0.0</v>
      </c>
      <c r="N60" s="167">
        <v>0.0</v>
      </c>
      <c r="O60" s="167">
        <v>3.0</v>
      </c>
      <c r="P60" s="167">
        <v>22.0</v>
      </c>
      <c r="Q60" s="167">
        <v>117.0</v>
      </c>
      <c r="R60" s="167">
        <v>25.0</v>
      </c>
      <c r="S60" s="167">
        <v>1.0</v>
      </c>
      <c r="T60" s="167">
        <v>0.0</v>
      </c>
      <c r="U60" s="167">
        <v>0.0</v>
      </c>
      <c r="V60" s="167">
        <v>15.0</v>
      </c>
      <c r="W60" s="167">
        <v>93.0</v>
      </c>
      <c r="X60" s="167">
        <v>48.0</v>
      </c>
      <c r="Y60" s="167">
        <v>2.0</v>
      </c>
      <c r="Z60" s="167">
        <v>0.0</v>
      </c>
      <c r="AA60" s="167">
        <v>1.0</v>
      </c>
      <c r="AB60" s="167">
        <v>1.0</v>
      </c>
      <c r="AC60" s="167">
        <v>88.0</v>
      </c>
      <c r="AD60" s="167">
        <v>17.0</v>
      </c>
      <c r="AE60" s="167">
        <v>1.0</v>
      </c>
      <c r="AF60" s="167">
        <v>0.0</v>
      </c>
      <c r="AG60" s="167">
        <v>0.0</v>
      </c>
      <c r="AH60" s="167">
        <v>8.0</v>
      </c>
      <c r="AI60" s="167">
        <v>40.0</v>
      </c>
      <c r="AJ60" s="167">
        <v>19.0</v>
      </c>
      <c r="AK60" s="167">
        <v>1.0</v>
      </c>
      <c r="AL60" s="167">
        <v>0.0</v>
      </c>
      <c r="AM60" s="167">
        <v>2.0</v>
      </c>
      <c r="AN60" s="167">
        <v>17.0</v>
      </c>
      <c r="AO60" s="167">
        <v>2.0</v>
      </c>
      <c r="AP60" s="167">
        <v>0.0</v>
      </c>
      <c r="AQ60" s="168">
        <v>1.0</v>
      </c>
      <c r="AR60" s="167">
        <v>1.0</v>
      </c>
      <c r="AS60" s="167">
        <v>0.0</v>
      </c>
    </row>
    <row r="61">
      <c r="A61" s="165" t="s">
        <v>82</v>
      </c>
      <c r="B61" s="166">
        <v>328.0</v>
      </c>
      <c r="C61" s="167">
        <v>1.0</v>
      </c>
      <c r="D61" s="167">
        <v>2.0</v>
      </c>
      <c r="E61" s="167">
        <v>17.0</v>
      </c>
      <c r="F61" s="167">
        <v>37.0</v>
      </c>
      <c r="G61" s="167">
        <v>3.0</v>
      </c>
      <c r="H61" s="167">
        <v>2.0</v>
      </c>
      <c r="I61" s="167">
        <v>0.0</v>
      </c>
      <c r="J61" s="167">
        <v>62.0</v>
      </c>
      <c r="K61" s="167">
        <v>80.0</v>
      </c>
      <c r="L61" s="167">
        <v>17.0</v>
      </c>
      <c r="M61" s="167">
        <v>0.0</v>
      </c>
      <c r="N61" s="167">
        <v>0.0</v>
      </c>
      <c r="O61" s="167">
        <v>0.0</v>
      </c>
      <c r="P61" s="167">
        <v>42.0</v>
      </c>
      <c r="Q61" s="167">
        <v>167.0</v>
      </c>
      <c r="R61" s="167">
        <v>35.0</v>
      </c>
      <c r="S61" s="167">
        <v>1.0</v>
      </c>
      <c r="T61" s="167">
        <v>0.0</v>
      </c>
      <c r="U61" s="167">
        <v>2.0</v>
      </c>
      <c r="V61" s="167">
        <v>23.0</v>
      </c>
      <c r="W61" s="167">
        <v>148.0</v>
      </c>
      <c r="X61" s="167">
        <v>74.0</v>
      </c>
      <c r="Y61" s="167">
        <v>2.0</v>
      </c>
      <c r="Z61" s="167">
        <v>0.0</v>
      </c>
      <c r="AA61" s="167">
        <v>0.0</v>
      </c>
      <c r="AB61" s="167">
        <v>2.0</v>
      </c>
      <c r="AC61" s="167">
        <v>120.0</v>
      </c>
      <c r="AD61" s="167">
        <v>42.0</v>
      </c>
      <c r="AE61" s="167">
        <v>3.0</v>
      </c>
      <c r="AF61" s="167">
        <v>0.0</v>
      </c>
      <c r="AG61" s="167">
        <v>0.0</v>
      </c>
      <c r="AH61" s="167">
        <v>3.0</v>
      </c>
      <c r="AI61" s="167">
        <v>74.0</v>
      </c>
      <c r="AJ61" s="167">
        <v>34.0</v>
      </c>
      <c r="AK61" s="167">
        <v>0.0</v>
      </c>
      <c r="AL61" s="167">
        <v>0.0</v>
      </c>
      <c r="AM61" s="167">
        <v>2.0</v>
      </c>
      <c r="AN61" s="167">
        <v>32.0</v>
      </c>
      <c r="AO61" s="167">
        <v>2.0</v>
      </c>
      <c r="AP61" s="167">
        <v>0.0</v>
      </c>
      <c r="AQ61" s="168">
        <v>0.0</v>
      </c>
      <c r="AR61" s="167">
        <v>2.0</v>
      </c>
      <c r="AS61" s="167">
        <v>0.0</v>
      </c>
    </row>
    <row r="62">
      <c r="A62" s="165" t="s">
        <v>82</v>
      </c>
      <c r="B62" s="166">
        <v>329.0</v>
      </c>
      <c r="C62" s="167">
        <v>1.0</v>
      </c>
      <c r="D62" s="167">
        <v>1.0</v>
      </c>
      <c r="E62" s="167">
        <v>26.0</v>
      </c>
      <c r="F62" s="167">
        <v>32.0</v>
      </c>
      <c r="G62" s="167">
        <v>0.0</v>
      </c>
      <c r="H62" s="167">
        <v>0.0</v>
      </c>
      <c r="I62" s="167">
        <v>0.0</v>
      </c>
      <c r="J62" s="167">
        <v>91.0</v>
      </c>
      <c r="K62" s="167">
        <v>89.0</v>
      </c>
      <c r="L62" s="167">
        <v>22.0</v>
      </c>
      <c r="M62" s="167">
        <v>0.0</v>
      </c>
      <c r="N62" s="167">
        <v>0.0</v>
      </c>
      <c r="O62" s="167">
        <v>2.0</v>
      </c>
      <c r="P62" s="167">
        <v>51.0</v>
      </c>
      <c r="Q62" s="167">
        <v>177.0</v>
      </c>
      <c r="R62" s="167">
        <v>49.0</v>
      </c>
      <c r="S62" s="167">
        <v>0.0</v>
      </c>
      <c r="T62" s="167">
        <v>0.0</v>
      </c>
      <c r="U62" s="167">
        <v>0.0</v>
      </c>
      <c r="V62" s="167">
        <v>23.0</v>
      </c>
      <c r="W62" s="167">
        <v>147.0</v>
      </c>
      <c r="X62" s="167">
        <v>78.0</v>
      </c>
      <c r="Y62" s="167">
        <v>1.0</v>
      </c>
      <c r="Z62" s="167">
        <v>0.0</v>
      </c>
      <c r="AA62" s="167">
        <v>0.0</v>
      </c>
      <c r="AB62" s="167">
        <v>6.0</v>
      </c>
      <c r="AC62" s="167">
        <v>133.0</v>
      </c>
      <c r="AD62" s="167">
        <v>34.0</v>
      </c>
      <c r="AE62" s="167">
        <v>0.0</v>
      </c>
      <c r="AF62" s="167">
        <v>0.0</v>
      </c>
      <c r="AG62" s="167">
        <v>0.0</v>
      </c>
      <c r="AH62" s="167">
        <v>5.0</v>
      </c>
      <c r="AI62" s="167">
        <v>63.0</v>
      </c>
      <c r="AJ62" s="167">
        <v>22.0</v>
      </c>
      <c r="AK62" s="167">
        <v>1.0</v>
      </c>
      <c r="AL62" s="167">
        <v>0.0</v>
      </c>
      <c r="AM62" s="167">
        <v>4.0</v>
      </c>
      <c r="AN62" s="167">
        <v>30.0</v>
      </c>
      <c r="AO62" s="167">
        <v>4.0</v>
      </c>
      <c r="AP62" s="167">
        <v>0.0</v>
      </c>
      <c r="AQ62" s="168">
        <v>0.0</v>
      </c>
      <c r="AR62" s="167">
        <v>3.0</v>
      </c>
      <c r="AS62" s="167">
        <v>0.0</v>
      </c>
    </row>
    <row r="63">
      <c r="A63" s="165" t="s">
        <v>82</v>
      </c>
      <c r="B63" s="166">
        <v>330.0</v>
      </c>
      <c r="C63" s="167">
        <v>0.0</v>
      </c>
      <c r="D63" s="167">
        <v>1.0</v>
      </c>
      <c r="E63" s="167">
        <v>5.0</v>
      </c>
      <c r="F63" s="167">
        <v>14.0</v>
      </c>
      <c r="G63" s="167">
        <v>1.0</v>
      </c>
      <c r="H63" s="167">
        <v>0.0</v>
      </c>
      <c r="I63" s="167">
        <v>2.0</v>
      </c>
      <c r="J63" s="167">
        <v>43.0</v>
      </c>
      <c r="K63" s="167">
        <v>37.0</v>
      </c>
      <c r="L63" s="167">
        <v>6.0</v>
      </c>
      <c r="M63" s="167">
        <v>0.0</v>
      </c>
      <c r="N63" s="167">
        <v>0.0</v>
      </c>
      <c r="O63" s="167">
        <v>1.0</v>
      </c>
      <c r="P63" s="167">
        <v>15.0</v>
      </c>
      <c r="Q63" s="167">
        <v>76.0</v>
      </c>
      <c r="R63" s="167">
        <v>22.0</v>
      </c>
      <c r="S63" s="167">
        <v>0.0</v>
      </c>
      <c r="T63" s="167">
        <v>0.0</v>
      </c>
      <c r="U63" s="167">
        <v>0.0</v>
      </c>
      <c r="V63" s="167">
        <v>5.0</v>
      </c>
      <c r="W63" s="167">
        <v>50.0</v>
      </c>
      <c r="X63" s="167">
        <v>29.0</v>
      </c>
      <c r="Y63" s="167">
        <v>0.0</v>
      </c>
      <c r="Z63" s="167">
        <v>0.0</v>
      </c>
      <c r="AA63" s="167">
        <v>0.0</v>
      </c>
      <c r="AB63" s="167">
        <v>3.0</v>
      </c>
      <c r="AC63" s="167">
        <v>61.0</v>
      </c>
      <c r="AD63" s="167">
        <v>14.0</v>
      </c>
      <c r="AE63" s="167">
        <v>1.0</v>
      </c>
      <c r="AF63" s="167">
        <v>0.0</v>
      </c>
      <c r="AG63" s="167">
        <v>0.0</v>
      </c>
      <c r="AH63" s="167">
        <v>3.0</v>
      </c>
      <c r="AI63" s="167">
        <v>12.0</v>
      </c>
      <c r="AJ63" s="167">
        <v>9.0</v>
      </c>
      <c r="AK63" s="167">
        <v>0.0</v>
      </c>
      <c r="AL63" s="167">
        <v>0.0</v>
      </c>
      <c r="AM63" s="167">
        <v>0.0</v>
      </c>
      <c r="AN63" s="167">
        <v>11.0</v>
      </c>
      <c r="AO63" s="167">
        <v>0.0</v>
      </c>
      <c r="AP63" s="167">
        <v>0.0</v>
      </c>
      <c r="AQ63" s="168">
        <v>0.0</v>
      </c>
      <c r="AR63" s="167">
        <v>0.0</v>
      </c>
      <c r="AS63" s="167">
        <v>0.0</v>
      </c>
    </row>
    <row r="64">
      <c r="A64" s="165" t="s">
        <v>82</v>
      </c>
      <c r="B64" s="166">
        <v>331.0</v>
      </c>
      <c r="C64" s="167">
        <v>1.0</v>
      </c>
      <c r="D64" s="167">
        <v>6.0</v>
      </c>
      <c r="E64" s="167">
        <v>34.0</v>
      </c>
      <c r="F64" s="167">
        <v>91.0</v>
      </c>
      <c r="G64" s="167">
        <v>4.0</v>
      </c>
      <c r="H64" s="167">
        <v>1.0</v>
      </c>
      <c r="I64" s="167">
        <v>3.0</v>
      </c>
      <c r="J64" s="167">
        <v>161.0</v>
      </c>
      <c r="K64" s="167">
        <v>203.0</v>
      </c>
      <c r="L64" s="167">
        <v>57.0</v>
      </c>
      <c r="M64" s="167">
        <v>0.0</v>
      </c>
      <c r="N64" s="167">
        <v>0.0</v>
      </c>
      <c r="O64" s="167">
        <v>3.0</v>
      </c>
      <c r="P64" s="167">
        <v>98.0</v>
      </c>
      <c r="Q64" s="167">
        <v>437.0</v>
      </c>
      <c r="R64" s="167">
        <v>119.0</v>
      </c>
      <c r="S64" s="167">
        <v>2.0</v>
      </c>
      <c r="T64" s="167">
        <v>0.0</v>
      </c>
      <c r="U64" s="167">
        <v>0.0</v>
      </c>
      <c r="V64" s="167">
        <v>61.0</v>
      </c>
      <c r="W64" s="167">
        <v>382.0</v>
      </c>
      <c r="X64" s="167">
        <v>226.0</v>
      </c>
      <c r="Y64" s="167">
        <v>8.0</v>
      </c>
      <c r="Z64" s="167">
        <v>0.0</v>
      </c>
      <c r="AA64" s="167">
        <v>0.0</v>
      </c>
      <c r="AB64" s="167">
        <v>13.0</v>
      </c>
      <c r="AC64" s="167">
        <v>301.0</v>
      </c>
      <c r="AD64" s="167">
        <v>57.0</v>
      </c>
      <c r="AE64" s="167">
        <v>3.0</v>
      </c>
      <c r="AF64" s="167">
        <v>0.0</v>
      </c>
      <c r="AG64" s="167">
        <v>0.0</v>
      </c>
      <c r="AH64" s="167">
        <v>9.0</v>
      </c>
      <c r="AI64" s="167">
        <v>124.0</v>
      </c>
      <c r="AJ64" s="167">
        <v>56.0</v>
      </c>
      <c r="AK64" s="167">
        <v>0.0</v>
      </c>
      <c r="AL64" s="167">
        <v>0.0</v>
      </c>
      <c r="AM64" s="167">
        <v>5.0</v>
      </c>
      <c r="AN64" s="167">
        <v>100.0</v>
      </c>
      <c r="AO64" s="167">
        <v>12.0</v>
      </c>
      <c r="AP64" s="167">
        <v>0.0</v>
      </c>
      <c r="AQ64" s="168">
        <v>2.0</v>
      </c>
      <c r="AR64" s="167">
        <v>6.0</v>
      </c>
      <c r="AS64" s="167">
        <v>1.0</v>
      </c>
    </row>
    <row r="65">
      <c r="A65" s="165" t="s">
        <v>82</v>
      </c>
      <c r="B65" s="166">
        <v>332.0</v>
      </c>
      <c r="C65" s="167">
        <v>0.0</v>
      </c>
      <c r="D65" s="167">
        <v>0.0</v>
      </c>
      <c r="E65" s="167">
        <v>1.0</v>
      </c>
      <c r="F65" s="167">
        <v>12.0</v>
      </c>
      <c r="G65" s="167">
        <v>0.0</v>
      </c>
      <c r="H65" s="167">
        <v>1.0</v>
      </c>
      <c r="I65" s="167">
        <v>0.0</v>
      </c>
      <c r="J65" s="167">
        <v>6.0</v>
      </c>
      <c r="K65" s="167">
        <v>8.0</v>
      </c>
      <c r="L65" s="167">
        <v>4.0</v>
      </c>
      <c r="M65" s="167">
        <v>0.0</v>
      </c>
      <c r="N65" s="167">
        <v>0.0</v>
      </c>
      <c r="O65" s="167">
        <v>0.0</v>
      </c>
      <c r="P65" s="167">
        <v>9.0</v>
      </c>
      <c r="Q65" s="167">
        <v>32.0</v>
      </c>
      <c r="R65" s="167">
        <v>9.0</v>
      </c>
      <c r="S65" s="167">
        <v>0.0</v>
      </c>
      <c r="T65" s="167">
        <v>0.0</v>
      </c>
      <c r="U65" s="167">
        <v>0.0</v>
      </c>
      <c r="V65" s="167">
        <v>2.0</v>
      </c>
      <c r="W65" s="167">
        <v>40.0</v>
      </c>
      <c r="X65" s="167">
        <v>13.0</v>
      </c>
      <c r="Y65" s="167">
        <v>1.0</v>
      </c>
      <c r="Z65" s="167">
        <v>0.0</v>
      </c>
      <c r="AA65" s="167">
        <v>0.0</v>
      </c>
      <c r="AB65" s="167">
        <v>0.0</v>
      </c>
      <c r="AC65" s="167">
        <v>21.0</v>
      </c>
      <c r="AD65" s="167">
        <v>7.0</v>
      </c>
      <c r="AE65" s="167">
        <v>0.0</v>
      </c>
      <c r="AF65" s="167">
        <v>0.0</v>
      </c>
      <c r="AG65" s="167">
        <v>0.0</v>
      </c>
      <c r="AH65" s="167">
        <v>1.0</v>
      </c>
      <c r="AI65" s="167">
        <v>10.0</v>
      </c>
      <c r="AJ65" s="167">
        <v>5.0</v>
      </c>
      <c r="AK65" s="167">
        <v>0.0</v>
      </c>
      <c r="AL65" s="167">
        <v>0.0</v>
      </c>
      <c r="AM65" s="167">
        <v>1.0</v>
      </c>
      <c r="AN65" s="167">
        <v>10.0</v>
      </c>
      <c r="AO65" s="167">
        <v>0.0</v>
      </c>
      <c r="AP65" s="167">
        <v>0.0</v>
      </c>
      <c r="AQ65" s="168">
        <v>0.0</v>
      </c>
      <c r="AR65" s="167">
        <v>1.0</v>
      </c>
      <c r="AS65" s="167">
        <v>0.0</v>
      </c>
    </row>
    <row r="66">
      <c r="A66" s="165" t="s">
        <v>82</v>
      </c>
      <c r="B66" s="166">
        <v>333.0</v>
      </c>
      <c r="C66" s="167">
        <v>0.0</v>
      </c>
      <c r="D66" s="167">
        <v>5.0</v>
      </c>
      <c r="E66" s="167">
        <v>14.0</v>
      </c>
      <c r="F66" s="167">
        <v>14.0</v>
      </c>
      <c r="G66" s="167">
        <v>2.0</v>
      </c>
      <c r="H66" s="167">
        <v>0.0</v>
      </c>
      <c r="I66" s="167">
        <v>0.0</v>
      </c>
      <c r="J66" s="167">
        <v>54.0</v>
      </c>
      <c r="K66" s="167">
        <v>52.0</v>
      </c>
      <c r="L66" s="167">
        <v>23.0</v>
      </c>
      <c r="M66" s="167">
        <v>0.0</v>
      </c>
      <c r="N66" s="167">
        <v>0.0</v>
      </c>
      <c r="O66" s="167">
        <v>1.0</v>
      </c>
      <c r="P66" s="167">
        <v>24.0</v>
      </c>
      <c r="Q66" s="167">
        <v>122.0</v>
      </c>
      <c r="R66" s="167">
        <v>33.0</v>
      </c>
      <c r="S66" s="167">
        <v>1.0</v>
      </c>
      <c r="T66" s="167">
        <v>0.0</v>
      </c>
      <c r="U66" s="167">
        <v>0.0</v>
      </c>
      <c r="V66" s="167">
        <v>12.0</v>
      </c>
      <c r="W66" s="167">
        <v>130.0</v>
      </c>
      <c r="X66" s="167">
        <v>63.0</v>
      </c>
      <c r="Y66" s="167">
        <v>1.0</v>
      </c>
      <c r="Z66" s="167">
        <v>0.0</v>
      </c>
      <c r="AA66" s="167">
        <v>0.0</v>
      </c>
      <c r="AB66" s="167">
        <v>5.0</v>
      </c>
      <c r="AC66" s="167">
        <v>98.0</v>
      </c>
      <c r="AD66" s="167">
        <v>23.0</v>
      </c>
      <c r="AE66" s="167">
        <v>1.0</v>
      </c>
      <c r="AF66" s="167">
        <v>0.0</v>
      </c>
      <c r="AG66" s="167">
        <v>0.0</v>
      </c>
      <c r="AH66" s="167">
        <v>7.0</v>
      </c>
      <c r="AI66" s="167">
        <v>38.0</v>
      </c>
      <c r="AJ66" s="167">
        <v>18.0</v>
      </c>
      <c r="AK66" s="167">
        <v>0.0</v>
      </c>
      <c r="AL66" s="167">
        <v>0.0</v>
      </c>
      <c r="AM66" s="167">
        <v>1.0</v>
      </c>
      <c r="AN66" s="167">
        <v>31.0</v>
      </c>
      <c r="AO66" s="167">
        <v>0.0</v>
      </c>
      <c r="AP66" s="167">
        <v>0.0</v>
      </c>
      <c r="AQ66" s="168">
        <v>1.0</v>
      </c>
      <c r="AR66" s="167">
        <v>0.0</v>
      </c>
      <c r="AS66" s="167">
        <v>0.0</v>
      </c>
    </row>
    <row r="67">
      <c r="A67" s="165" t="s">
        <v>82</v>
      </c>
      <c r="B67" s="166">
        <v>334.0</v>
      </c>
      <c r="C67" s="167">
        <v>0.0</v>
      </c>
      <c r="D67" s="167">
        <v>3.0</v>
      </c>
      <c r="E67" s="167">
        <v>18.0</v>
      </c>
      <c r="F67" s="167">
        <v>13.0</v>
      </c>
      <c r="G67" s="167">
        <v>0.0</v>
      </c>
      <c r="H67" s="167">
        <v>0.0</v>
      </c>
      <c r="I67" s="167">
        <v>1.0</v>
      </c>
      <c r="J67" s="167">
        <v>45.0</v>
      </c>
      <c r="K67" s="167">
        <v>42.0</v>
      </c>
      <c r="L67" s="167">
        <v>18.0</v>
      </c>
      <c r="M67" s="167">
        <v>0.0</v>
      </c>
      <c r="N67" s="167">
        <v>0.0</v>
      </c>
      <c r="O67" s="167">
        <v>0.0</v>
      </c>
      <c r="P67" s="167">
        <v>29.0</v>
      </c>
      <c r="Q67" s="167">
        <v>102.0</v>
      </c>
      <c r="R67" s="167">
        <v>21.0</v>
      </c>
      <c r="S67" s="167">
        <v>0.0</v>
      </c>
      <c r="T67" s="167">
        <v>0.0</v>
      </c>
      <c r="U67" s="167">
        <v>0.0</v>
      </c>
      <c r="V67" s="167">
        <v>12.0</v>
      </c>
      <c r="W67" s="167">
        <v>71.0</v>
      </c>
      <c r="X67" s="167">
        <v>41.0</v>
      </c>
      <c r="Y67" s="167">
        <v>0.0</v>
      </c>
      <c r="Z67" s="167">
        <v>0.0</v>
      </c>
      <c r="AA67" s="167">
        <v>1.0</v>
      </c>
      <c r="AB67" s="167">
        <v>3.0</v>
      </c>
      <c r="AC67" s="167">
        <v>70.0</v>
      </c>
      <c r="AD67" s="167">
        <v>19.0</v>
      </c>
      <c r="AE67" s="167">
        <v>2.0</v>
      </c>
      <c r="AF67" s="167">
        <v>0.0</v>
      </c>
      <c r="AG67" s="167">
        <v>0.0</v>
      </c>
      <c r="AH67" s="167">
        <v>5.0</v>
      </c>
      <c r="AI67" s="167">
        <v>22.0</v>
      </c>
      <c r="AJ67" s="167">
        <v>12.0</v>
      </c>
      <c r="AK67" s="167">
        <v>1.0</v>
      </c>
      <c r="AL67" s="167">
        <v>0.0</v>
      </c>
      <c r="AM67" s="167">
        <v>0.0</v>
      </c>
      <c r="AN67" s="167">
        <v>20.0</v>
      </c>
      <c r="AO67" s="167">
        <v>0.0</v>
      </c>
      <c r="AP67" s="167">
        <v>0.0</v>
      </c>
      <c r="AQ67" s="168">
        <v>0.0</v>
      </c>
      <c r="AR67" s="167">
        <v>1.0</v>
      </c>
      <c r="AS67" s="167">
        <v>1.0</v>
      </c>
    </row>
    <row r="68">
      <c r="A68" s="165" t="s">
        <v>82</v>
      </c>
      <c r="B68" s="166">
        <v>335.0</v>
      </c>
      <c r="C68" s="167">
        <v>0.0</v>
      </c>
      <c r="D68" s="167">
        <v>4.0</v>
      </c>
      <c r="E68" s="167">
        <v>21.0</v>
      </c>
      <c r="F68" s="167">
        <v>25.0</v>
      </c>
      <c r="G68" s="167">
        <v>1.0</v>
      </c>
      <c r="H68" s="167">
        <v>1.0</v>
      </c>
      <c r="I68" s="167">
        <v>2.0</v>
      </c>
      <c r="J68" s="167">
        <v>67.0</v>
      </c>
      <c r="K68" s="167">
        <v>53.0</v>
      </c>
      <c r="L68" s="167">
        <v>18.0</v>
      </c>
      <c r="M68" s="167">
        <v>1.0</v>
      </c>
      <c r="N68" s="167">
        <v>0.0</v>
      </c>
      <c r="O68" s="167">
        <v>0.0</v>
      </c>
      <c r="P68" s="167">
        <v>46.0</v>
      </c>
      <c r="Q68" s="167">
        <v>148.0</v>
      </c>
      <c r="R68" s="167">
        <v>37.0</v>
      </c>
      <c r="S68" s="167">
        <v>1.0</v>
      </c>
      <c r="T68" s="167">
        <v>0.0</v>
      </c>
      <c r="U68" s="167">
        <v>1.0</v>
      </c>
      <c r="V68" s="167">
        <v>23.0</v>
      </c>
      <c r="W68" s="167">
        <v>134.0</v>
      </c>
      <c r="X68" s="167">
        <v>79.0</v>
      </c>
      <c r="Y68" s="167">
        <v>2.0</v>
      </c>
      <c r="Z68" s="167">
        <v>0.0</v>
      </c>
      <c r="AA68" s="167">
        <v>0.0</v>
      </c>
      <c r="AB68" s="167">
        <v>9.0</v>
      </c>
      <c r="AC68" s="167">
        <v>134.0</v>
      </c>
      <c r="AD68" s="167">
        <v>25.0</v>
      </c>
      <c r="AE68" s="167">
        <v>1.0</v>
      </c>
      <c r="AF68" s="167">
        <v>0.0</v>
      </c>
      <c r="AG68" s="167">
        <v>0.0</v>
      </c>
      <c r="AH68" s="167">
        <v>6.0</v>
      </c>
      <c r="AI68" s="167">
        <v>38.0</v>
      </c>
      <c r="AJ68" s="167">
        <v>27.0</v>
      </c>
      <c r="AK68" s="167">
        <v>0.0</v>
      </c>
      <c r="AL68" s="167">
        <v>0.0</v>
      </c>
      <c r="AM68" s="167">
        <v>2.0</v>
      </c>
      <c r="AN68" s="167">
        <v>27.0</v>
      </c>
      <c r="AO68" s="167">
        <v>2.0</v>
      </c>
      <c r="AP68" s="167">
        <v>0.0</v>
      </c>
      <c r="AQ68" s="168">
        <v>0.0</v>
      </c>
      <c r="AR68" s="167">
        <v>2.0</v>
      </c>
      <c r="AS68" s="167">
        <v>1.0</v>
      </c>
    </row>
    <row r="69">
      <c r="A69" s="165" t="s">
        <v>82</v>
      </c>
      <c r="B69" s="166">
        <v>336.0</v>
      </c>
      <c r="C69" s="167">
        <v>1.0</v>
      </c>
      <c r="D69" s="167">
        <v>1.0</v>
      </c>
      <c r="E69" s="167">
        <v>16.0</v>
      </c>
      <c r="F69" s="167">
        <v>16.0</v>
      </c>
      <c r="G69" s="167">
        <v>0.0</v>
      </c>
      <c r="H69" s="167">
        <v>0.0</v>
      </c>
      <c r="I69" s="167">
        <v>2.0</v>
      </c>
      <c r="J69" s="167">
        <v>33.0</v>
      </c>
      <c r="K69" s="167">
        <v>46.0</v>
      </c>
      <c r="L69" s="167">
        <v>8.0</v>
      </c>
      <c r="M69" s="167">
        <v>0.0</v>
      </c>
      <c r="N69" s="167">
        <v>0.0</v>
      </c>
      <c r="O69" s="167">
        <v>2.0</v>
      </c>
      <c r="P69" s="167">
        <v>25.0</v>
      </c>
      <c r="Q69" s="167">
        <v>110.0</v>
      </c>
      <c r="R69" s="167">
        <v>30.0</v>
      </c>
      <c r="S69" s="167">
        <v>1.0</v>
      </c>
      <c r="T69" s="167">
        <v>0.0</v>
      </c>
      <c r="U69" s="167">
        <v>0.0</v>
      </c>
      <c r="V69" s="167">
        <v>17.0</v>
      </c>
      <c r="W69" s="167">
        <v>78.0</v>
      </c>
      <c r="X69" s="167">
        <v>43.0</v>
      </c>
      <c r="Y69" s="167">
        <v>0.0</v>
      </c>
      <c r="Z69" s="167">
        <v>0.0</v>
      </c>
      <c r="AA69" s="167">
        <v>0.0</v>
      </c>
      <c r="AB69" s="167">
        <v>3.0</v>
      </c>
      <c r="AC69" s="167">
        <v>68.0</v>
      </c>
      <c r="AD69" s="167">
        <v>16.0</v>
      </c>
      <c r="AE69" s="167">
        <v>2.0</v>
      </c>
      <c r="AF69" s="167">
        <v>0.0</v>
      </c>
      <c r="AG69" s="167">
        <v>0.0</v>
      </c>
      <c r="AH69" s="167">
        <v>2.0</v>
      </c>
      <c r="AI69" s="167">
        <v>24.0</v>
      </c>
      <c r="AJ69" s="167">
        <v>12.0</v>
      </c>
      <c r="AK69" s="167">
        <v>0.0</v>
      </c>
      <c r="AL69" s="167">
        <v>0.0</v>
      </c>
      <c r="AM69" s="167">
        <v>0.0</v>
      </c>
      <c r="AN69" s="167">
        <v>11.0</v>
      </c>
      <c r="AO69" s="167">
        <v>1.0</v>
      </c>
      <c r="AP69" s="167">
        <v>0.0</v>
      </c>
      <c r="AQ69" s="168">
        <v>0.0</v>
      </c>
      <c r="AR69" s="167">
        <v>0.0</v>
      </c>
      <c r="AS69" s="167">
        <v>0.0</v>
      </c>
    </row>
    <row r="70">
      <c r="A70" s="165" t="s">
        <v>82</v>
      </c>
      <c r="B70" s="166">
        <v>337.0</v>
      </c>
      <c r="C70" s="167">
        <v>1.0</v>
      </c>
      <c r="D70" s="167">
        <v>3.0</v>
      </c>
      <c r="E70" s="167">
        <v>13.0</v>
      </c>
      <c r="F70" s="167">
        <v>7.0</v>
      </c>
      <c r="G70" s="167">
        <v>3.0</v>
      </c>
      <c r="H70" s="167">
        <v>1.0</v>
      </c>
      <c r="I70" s="167">
        <v>1.0</v>
      </c>
      <c r="J70" s="167">
        <v>44.0</v>
      </c>
      <c r="K70" s="167">
        <v>64.0</v>
      </c>
      <c r="L70" s="167">
        <v>25.0</v>
      </c>
      <c r="M70" s="167">
        <v>1.0</v>
      </c>
      <c r="N70" s="167">
        <v>0.0</v>
      </c>
      <c r="O70" s="167">
        <v>2.0</v>
      </c>
      <c r="P70" s="167">
        <v>35.0</v>
      </c>
      <c r="Q70" s="167">
        <v>120.0</v>
      </c>
      <c r="R70" s="167">
        <v>35.0</v>
      </c>
      <c r="S70" s="167">
        <v>2.0</v>
      </c>
      <c r="T70" s="167">
        <v>0.0</v>
      </c>
      <c r="U70" s="167">
        <v>1.0</v>
      </c>
      <c r="V70" s="167">
        <v>15.0</v>
      </c>
      <c r="W70" s="167">
        <v>121.0</v>
      </c>
      <c r="X70" s="167">
        <v>62.0</v>
      </c>
      <c r="Y70" s="167">
        <v>1.0</v>
      </c>
      <c r="Z70" s="167">
        <v>0.0</v>
      </c>
      <c r="AA70" s="167">
        <v>0.0</v>
      </c>
      <c r="AB70" s="167">
        <v>3.0</v>
      </c>
      <c r="AC70" s="167">
        <v>98.0</v>
      </c>
      <c r="AD70" s="167">
        <v>24.0</v>
      </c>
      <c r="AE70" s="167">
        <v>1.0</v>
      </c>
      <c r="AF70" s="167">
        <v>0.0</v>
      </c>
      <c r="AG70" s="167">
        <v>0.0</v>
      </c>
      <c r="AH70" s="167">
        <v>4.0</v>
      </c>
      <c r="AI70" s="167">
        <v>35.0</v>
      </c>
      <c r="AJ70" s="167">
        <v>16.0</v>
      </c>
      <c r="AK70" s="167">
        <v>0.0</v>
      </c>
      <c r="AL70" s="167">
        <v>0.0</v>
      </c>
      <c r="AM70" s="167">
        <v>0.0</v>
      </c>
      <c r="AN70" s="167">
        <v>28.0</v>
      </c>
      <c r="AO70" s="167">
        <v>5.0</v>
      </c>
      <c r="AP70" s="167">
        <v>0.0</v>
      </c>
      <c r="AQ70" s="168">
        <v>0.0</v>
      </c>
      <c r="AR70" s="167">
        <v>1.0</v>
      </c>
      <c r="AS70" s="167">
        <v>2.0</v>
      </c>
    </row>
    <row r="71">
      <c r="A71" s="165" t="s">
        <v>82</v>
      </c>
      <c r="B71" s="166">
        <v>338.0</v>
      </c>
      <c r="C71" s="167">
        <v>0.0</v>
      </c>
      <c r="D71" s="167">
        <v>0.0</v>
      </c>
      <c r="E71" s="167">
        <v>13.0</v>
      </c>
      <c r="F71" s="167">
        <v>5.0</v>
      </c>
      <c r="G71" s="167">
        <v>0.0</v>
      </c>
      <c r="H71" s="167">
        <v>0.0</v>
      </c>
      <c r="I71" s="167">
        <v>1.0</v>
      </c>
      <c r="J71" s="167">
        <v>19.0</v>
      </c>
      <c r="K71" s="167">
        <v>15.0</v>
      </c>
      <c r="L71" s="167">
        <v>3.0</v>
      </c>
      <c r="M71" s="167">
        <v>0.0</v>
      </c>
      <c r="N71" s="167">
        <v>0.0</v>
      </c>
      <c r="O71" s="167">
        <v>0.0</v>
      </c>
      <c r="P71" s="167">
        <v>15.0</v>
      </c>
      <c r="Q71" s="167">
        <v>38.0</v>
      </c>
      <c r="R71" s="167">
        <v>9.0</v>
      </c>
      <c r="S71" s="167">
        <v>1.0</v>
      </c>
      <c r="T71" s="167">
        <v>0.0</v>
      </c>
      <c r="U71" s="167">
        <v>0.0</v>
      </c>
      <c r="V71" s="167">
        <v>7.0</v>
      </c>
      <c r="W71" s="167">
        <v>46.0</v>
      </c>
      <c r="X71" s="167">
        <v>20.0</v>
      </c>
      <c r="Y71" s="167">
        <v>0.0</v>
      </c>
      <c r="Z71" s="167">
        <v>0.0</v>
      </c>
      <c r="AA71" s="167">
        <v>0.0</v>
      </c>
      <c r="AB71" s="167">
        <v>0.0</v>
      </c>
      <c r="AC71" s="167">
        <v>29.0</v>
      </c>
      <c r="AD71" s="167">
        <v>8.0</v>
      </c>
      <c r="AE71" s="167">
        <v>0.0</v>
      </c>
      <c r="AF71" s="167">
        <v>0.0</v>
      </c>
      <c r="AG71" s="167">
        <v>0.0</v>
      </c>
      <c r="AH71" s="167">
        <v>2.0</v>
      </c>
      <c r="AI71" s="167">
        <v>10.0</v>
      </c>
      <c r="AJ71" s="167">
        <v>7.0</v>
      </c>
      <c r="AK71" s="167">
        <v>0.0</v>
      </c>
      <c r="AL71" s="167">
        <v>0.0</v>
      </c>
      <c r="AM71" s="167">
        <v>0.0</v>
      </c>
      <c r="AN71" s="167">
        <v>4.0</v>
      </c>
      <c r="AO71" s="167">
        <v>0.0</v>
      </c>
      <c r="AP71" s="167">
        <v>0.0</v>
      </c>
      <c r="AQ71" s="168">
        <v>0.0</v>
      </c>
      <c r="AR71" s="167">
        <v>1.0</v>
      </c>
      <c r="AS71" s="167">
        <v>0.0</v>
      </c>
    </row>
    <row r="72">
      <c r="A72" s="165" t="s">
        <v>82</v>
      </c>
      <c r="B72" s="166">
        <v>339.0</v>
      </c>
      <c r="C72" s="167">
        <v>0.0</v>
      </c>
      <c r="D72" s="167">
        <v>1.0</v>
      </c>
      <c r="E72" s="167">
        <v>1.0</v>
      </c>
      <c r="F72" s="167">
        <v>3.0</v>
      </c>
      <c r="G72" s="167">
        <v>0.0</v>
      </c>
      <c r="H72" s="167">
        <v>0.0</v>
      </c>
      <c r="I72" s="167">
        <v>0.0</v>
      </c>
      <c r="J72" s="167">
        <v>7.0</v>
      </c>
      <c r="K72" s="167">
        <v>8.0</v>
      </c>
      <c r="L72" s="167">
        <v>0.0</v>
      </c>
      <c r="M72" s="167">
        <v>0.0</v>
      </c>
      <c r="N72" s="167">
        <v>0.0</v>
      </c>
      <c r="O72" s="167">
        <v>1.0</v>
      </c>
      <c r="P72" s="167">
        <v>8.0</v>
      </c>
      <c r="Q72" s="167">
        <v>27.0</v>
      </c>
      <c r="R72" s="167">
        <v>10.0</v>
      </c>
      <c r="S72" s="167">
        <v>0.0</v>
      </c>
      <c r="T72" s="167">
        <v>0.0</v>
      </c>
      <c r="U72" s="167">
        <v>0.0</v>
      </c>
      <c r="V72" s="167">
        <v>4.0</v>
      </c>
      <c r="W72" s="167">
        <v>23.0</v>
      </c>
      <c r="X72" s="167">
        <v>10.0</v>
      </c>
      <c r="Y72" s="167">
        <v>0.0</v>
      </c>
      <c r="Z72" s="167">
        <v>0.0</v>
      </c>
      <c r="AA72" s="167">
        <v>0.0</v>
      </c>
      <c r="AB72" s="167">
        <v>1.0</v>
      </c>
      <c r="AC72" s="167">
        <v>23.0</v>
      </c>
      <c r="AD72" s="167">
        <v>2.0</v>
      </c>
      <c r="AE72" s="167">
        <v>0.0</v>
      </c>
      <c r="AF72" s="167">
        <v>0.0</v>
      </c>
      <c r="AG72" s="167">
        <v>0.0</v>
      </c>
      <c r="AH72" s="167">
        <v>1.0</v>
      </c>
      <c r="AI72" s="167">
        <v>10.0</v>
      </c>
      <c r="AJ72" s="167">
        <v>2.0</v>
      </c>
      <c r="AK72" s="167">
        <v>0.0</v>
      </c>
      <c r="AL72" s="167">
        <v>0.0</v>
      </c>
      <c r="AM72" s="167">
        <v>0.0</v>
      </c>
      <c r="AN72" s="167">
        <v>5.0</v>
      </c>
      <c r="AO72" s="167">
        <v>0.0</v>
      </c>
      <c r="AP72" s="167">
        <v>0.0</v>
      </c>
      <c r="AQ72" s="168">
        <v>0.0</v>
      </c>
      <c r="AR72" s="167">
        <v>0.0</v>
      </c>
      <c r="AS72" s="167">
        <v>0.0</v>
      </c>
    </row>
    <row r="73">
      <c r="A73" s="165" t="s">
        <v>82</v>
      </c>
      <c r="B73" s="166">
        <v>340.0</v>
      </c>
      <c r="C73" s="167">
        <v>0.0</v>
      </c>
      <c r="D73" s="167">
        <v>2.0</v>
      </c>
      <c r="E73" s="167">
        <v>13.0</v>
      </c>
      <c r="F73" s="167">
        <v>24.0</v>
      </c>
      <c r="G73" s="167">
        <v>4.0</v>
      </c>
      <c r="H73" s="167">
        <v>0.0</v>
      </c>
      <c r="I73" s="167">
        <v>0.0</v>
      </c>
      <c r="J73" s="167">
        <v>73.0</v>
      </c>
      <c r="K73" s="167">
        <v>71.0</v>
      </c>
      <c r="L73" s="167">
        <v>18.0</v>
      </c>
      <c r="M73" s="167">
        <v>2.0</v>
      </c>
      <c r="N73" s="167">
        <v>0.0</v>
      </c>
      <c r="O73" s="167">
        <v>1.0</v>
      </c>
      <c r="P73" s="167">
        <v>23.0</v>
      </c>
      <c r="Q73" s="167">
        <v>177.0</v>
      </c>
      <c r="R73" s="167">
        <v>37.0</v>
      </c>
      <c r="S73" s="167">
        <v>1.0</v>
      </c>
      <c r="T73" s="167">
        <v>0.0</v>
      </c>
      <c r="U73" s="167">
        <v>1.0</v>
      </c>
      <c r="V73" s="167">
        <v>14.0</v>
      </c>
      <c r="W73" s="167">
        <v>131.0</v>
      </c>
      <c r="X73" s="167">
        <v>77.0</v>
      </c>
      <c r="Y73" s="167">
        <v>2.0</v>
      </c>
      <c r="Z73" s="167">
        <v>0.0</v>
      </c>
      <c r="AA73" s="167">
        <v>0.0</v>
      </c>
      <c r="AB73" s="167">
        <v>6.0</v>
      </c>
      <c r="AC73" s="167">
        <v>144.0</v>
      </c>
      <c r="AD73" s="167">
        <v>34.0</v>
      </c>
      <c r="AE73" s="167">
        <v>2.0</v>
      </c>
      <c r="AF73" s="167">
        <v>0.0</v>
      </c>
      <c r="AG73" s="167">
        <v>1.0</v>
      </c>
      <c r="AH73" s="167">
        <v>8.0</v>
      </c>
      <c r="AI73" s="167">
        <v>62.0</v>
      </c>
      <c r="AJ73" s="167">
        <v>24.0</v>
      </c>
      <c r="AK73" s="167">
        <v>0.0</v>
      </c>
      <c r="AL73" s="167">
        <v>0.0</v>
      </c>
      <c r="AM73" s="167">
        <v>2.0</v>
      </c>
      <c r="AN73" s="167">
        <v>25.0</v>
      </c>
      <c r="AO73" s="167">
        <v>1.0</v>
      </c>
      <c r="AP73" s="167">
        <v>0.0</v>
      </c>
      <c r="AQ73" s="168">
        <v>0.0</v>
      </c>
      <c r="AR73" s="167">
        <v>0.0</v>
      </c>
      <c r="AS73" s="167">
        <v>0.0</v>
      </c>
    </row>
    <row r="74">
      <c r="A74" s="165" t="s">
        <v>82</v>
      </c>
      <c r="B74" s="166">
        <v>341.0</v>
      </c>
      <c r="C74" s="167">
        <v>2.0</v>
      </c>
      <c r="D74" s="167">
        <v>5.0</v>
      </c>
      <c r="E74" s="167">
        <v>25.0</v>
      </c>
      <c r="F74" s="167">
        <v>29.0</v>
      </c>
      <c r="G74" s="167">
        <v>2.0</v>
      </c>
      <c r="H74" s="167">
        <v>0.0</v>
      </c>
      <c r="I74" s="167">
        <v>2.0</v>
      </c>
      <c r="J74" s="167">
        <v>91.0</v>
      </c>
      <c r="K74" s="167">
        <v>97.0</v>
      </c>
      <c r="L74" s="167">
        <v>27.0</v>
      </c>
      <c r="M74" s="167">
        <v>2.0</v>
      </c>
      <c r="N74" s="167">
        <v>0.0</v>
      </c>
      <c r="O74" s="167">
        <v>2.0</v>
      </c>
      <c r="P74" s="167">
        <v>41.0</v>
      </c>
      <c r="Q74" s="167">
        <v>227.0</v>
      </c>
      <c r="R74" s="167">
        <v>52.0</v>
      </c>
      <c r="S74" s="167">
        <v>3.0</v>
      </c>
      <c r="T74" s="167">
        <v>0.0</v>
      </c>
      <c r="U74" s="167">
        <v>1.0</v>
      </c>
      <c r="V74" s="167">
        <v>34.0</v>
      </c>
      <c r="W74" s="167">
        <v>170.0</v>
      </c>
      <c r="X74" s="167">
        <v>96.0</v>
      </c>
      <c r="Y74" s="167">
        <v>2.0</v>
      </c>
      <c r="Z74" s="167">
        <v>0.0</v>
      </c>
      <c r="AA74" s="167">
        <v>0.0</v>
      </c>
      <c r="AB74" s="167">
        <v>8.0</v>
      </c>
      <c r="AC74" s="167">
        <v>145.0</v>
      </c>
      <c r="AD74" s="167">
        <v>42.0</v>
      </c>
      <c r="AE74" s="167">
        <v>1.0</v>
      </c>
      <c r="AF74" s="167">
        <v>0.0</v>
      </c>
      <c r="AG74" s="167">
        <v>0.0</v>
      </c>
      <c r="AH74" s="167">
        <v>9.0</v>
      </c>
      <c r="AI74" s="167">
        <v>75.0</v>
      </c>
      <c r="AJ74" s="167">
        <v>49.0</v>
      </c>
      <c r="AK74" s="167">
        <v>0.0</v>
      </c>
      <c r="AL74" s="167">
        <v>0.0</v>
      </c>
      <c r="AM74" s="167">
        <v>1.0</v>
      </c>
      <c r="AN74" s="167">
        <v>49.0</v>
      </c>
      <c r="AO74" s="167">
        <v>6.0</v>
      </c>
      <c r="AP74" s="167">
        <v>0.0</v>
      </c>
      <c r="AQ74" s="168">
        <v>0.0</v>
      </c>
      <c r="AR74" s="167">
        <v>2.0</v>
      </c>
      <c r="AS74" s="167">
        <v>1.0</v>
      </c>
    </row>
    <row r="75">
      <c r="A75" s="165" t="s">
        <v>82</v>
      </c>
      <c r="B75" s="166">
        <v>342.0</v>
      </c>
      <c r="C75" s="167">
        <v>0.0</v>
      </c>
      <c r="D75" s="167">
        <v>1.0</v>
      </c>
      <c r="E75" s="167">
        <v>12.0</v>
      </c>
      <c r="F75" s="167">
        <v>20.0</v>
      </c>
      <c r="G75" s="167">
        <v>2.0</v>
      </c>
      <c r="H75" s="167">
        <v>0.0</v>
      </c>
      <c r="I75" s="167">
        <v>0.0</v>
      </c>
      <c r="J75" s="167">
        <v>55.0</v>
      </c>
      <c r="K75" s="167">
        <v>56.0</v>
      </c>
      <c r="L75" s="167">
        <v>20.0</v>
      </c>
      <c r="M75" s="167">
        <v>2.0</v>
      </c>
      <c r="N75" s="167">
        <v>0.0</v>
      </c>
      <c r="O75" s="167">
        <v>1.0</v>
      </c>
      <c r="P75" s="167">
        <v>29.0</v>
      </c>
      <c r="Q75" s="167">
        <v>129.0</v>
      </c>
      <c r="R75" s="167">
        <v>38.0</v>
      </c>
      <c r="S75" s="167">
        <v>0.0</v>
      </c>
      <c r="T75" s="167">
        <v>0.0</v>
      </c>
      <c r="U75" s="167">
        <v>0.0</v>
      </c>
      <c r="V75" s="167">
        <v>15.0</v>
      </c>
      <c r="W75" s="167">
        <v>130.0</v>
      </c>
      <c r="X75" s="167">
        <v>57.0</v>
      </c>
      <c r="Y75" s="167">
        <v>0.0</v>
      </c>
      <c r="Z75" s="167">
        <v>0.0</v>
      </c>
      <c r="AA75" s="167">
        <v>0.0</v>
      </c>
      <c r="AB75" s="167">
        <v>7.0</v>
      </c>
      <c r="AC75" s="167">
        <v>89.0</v>
      </c>
      <c r="AD75" s="167">
        <v>34.0</v>
      </c>
      <c r="AE75" s="167">
        <v>1.0</v>
      </c>
      <c r="AF75" s="167">
        <v>0.0</v>
      </c>
      <c r="AG75" s="167">
        <v>0.0</v>
      </c>
      <c r="AH75" s="167">
        <v>4.0</v>
      </c>
      <c r="AI75" s="167">
        <v>37.0</v>
      </c>
      <c r="AJ75" s="167">
        <v>18.0</v>
      </c>
      <c r="AK75" s="167">
        <v>0.0</v>
      </c>
      <c r="AL75" s="167">
        <v>0.0</v>
      </c>
      <c r="AM75" s="167">
        <v>1.0</v>
      </c>
      <c r="AN75" s="167">
        <v>23.0</v>
      </c>
      <c r="AO75" s="167">
        <v>4.0</v>
      </c>
      <c r="AP75" s="167">
        <v>0.0</v>
      </c>
      <c r="AQ75" s="168">
        <v>0.0</v>
      </c>
      <c r="AR75" s="167">
        <v>0.0</v>
      </c>
      <c r="AS75" s="167">
        <v>0.0</v>
      </c>
    </row>
    <row r="76">
      <c r="A76" s="165" t="s">
        <v>82</v>
      </c>
      <c r="B76" s="166">
        <v>343.0</v>
      </c>
      <c r="C76" s="167">
        <v>0.0</v>
      </c>
      <c r="D76" s="167">
        <v>4.0</v>
      </c>
      <c r="E76" s="167">
        <v>17.0</v>
      </c>
      <c r="F76" s="167">
        <v>21.0</v>
      </c>
      <c r="G76" s="167">
        <v>3.0</v>
      </c>
      <c r="H76" s="167">
        <v>0.0</v>
      </c>
      <c r="I76" s="167">
        <v>1.0</v>
      </c>
      <c r="J76" s="167">
        <v>71.0</v>
      </c>
      <c r="K76" s="167">
        <v>49.0</v>
      </c>
      <c r="L76" s="167">
        <v>14.0</v>
      </c>
      <c r="M76" s="167">
        <v>1.0</v>
      </c>
      <c r="N76" s="167">
        <v>0.0</v>
      </c>
      <c r="O76" s="167">
        <v>1.0</v>
      </c>
      <c r="P76" s="167">
        <v>25.0</v>
      </c>
      <c r="Q76" s="167">
        <v>127.0</v>
      </c>
      <c r="R76" s="167">
        <v>35.0</v>
      </c>
      <c r="S76" s="167">
        <v>0.0</v>
      </c>
      <c r="T76" s="167">
        <v>0.0</v>
      </c>
      <c r="U76" s="167">
        <v>0.0</v>
      </c>
      <c r="V76" s="167">
        <v>16.0</v>
      </c>
      <c r="W76" s="167">
        <v>102.0</v>
      </c>
      <c r="X76" s="167">
        <v>66.0</v>
      </c>
      <c r="Y76" s="167">
        <v>2.0</v>
      </c>
      <c r="Z76" s="167">
        <v>0.0</v>
      </c>
      <c r="AA76" s="167">
        <v>0.0</v>
      </c>
      <c r="AB76" s="167">
        <v>6.0</v>
      </c>
      <c r="AC76" s="167">
        <v>108.0</v>
      </c>
      <c r="AD76" s="167">
        <v>29.0</v>
      </c>
      <c r="AE76" s="167">
        <v>0.0</v>
      </c>
      <c r="AF76" s="167">
        <v>0.0</v>
      </c>
      <c r="AG76" s="167">
        <v>0.0</v>
      </c>
      <c r="AH76" s="167">
        <v>6.0</v>
      </c>
      <c r="AI76" s="167">
        <v>37.0</v>
      </c>
      <c r="AJ76" s="167">
        <v>22.0</v>
      </c>
      <c r="AK76" s="167">
        <v>1.0</v>
      </c>
      <c r="AL76" s="167">
        <v>0.0</v>
      </c>
      <c r="AM76" s="167">
        <v>0.0</v>
      </c>
      <c r="AN76" s="167">
        <v>27.0</v>
      </c>
      <c r="AO76" s="167">
        <v>0.0</v>
      </c>
      <c r="AP76" s="167">
        <v>0.0</v>
      </c>
      <c r="AQ76" s="168">
        <v>1.0</v>
      </c>
      <c r="AR76" s="167">
        <v>2.0</v>
      </c>
      <c r="AS76" s="167">
        <v>0.0</v>
      </c>
    </row>
    <row r="77">
      <c r="A77" s="165" t="s">
        <v>82</v>
      </c>
      <c r="B77" s="166">
        <v>344.0</v>
      </c>
      <c r="C77" s="167">
        <v>0.0</v>
      </c>
      <c r="D77" s="167">
        <v>1.0</v>
      </c>
      <c r="E77" s="167">
        <v>11.0</v>
      </c>
      <c r="F77" s="167">
        <v>3.0</v>
      </c>
      <c r="G77" s="167">
        <v>0.0</v>
      </c>
      <c r="H77" s="167">
        <v>0.0</v>
      </c>
      <c r="I77" s="167">
        <v>0.0</v>
      </c>
      <c r="J77" s="167">
        <v>22.0</v>
      </c>
      <c r="K77" s="167">
        <v>20.0</v>
      </c>
      <c r="L77" s="167">
        <v>5.0</v>
      </c>
      <c r="M77" s="167">
        <v>0.0</v>
      </c>
      <c r="N77" s="167">
        <v>0.0</v>
      </c>
      <c r="O77" s="167">
        <v>1.0</v>
      </c>
      <c r="P77" s="167">
        <v>11.0</v>
      </c>
      <c r="Q77" s="167">
        <v>52.0</v>
      </c>
      <c r="R77" s="167">
        <v>8.0</v>
      </c>
      <c r="S77" s="167">
        <v>0.0</v>
      </c>
      <c r="T77" s="167">
        <v>0.0</v>
      </c>
      <c r="U77" s="167">
        <v>0.0</v>
      </c>
      <c r="V77" s="167">
        <v>8.0</v>
      </c>
      <c r="W77" s="167">
        <v>41.0</v>
      </c>
      <c r="X77" s="167">
        <v>24.0</v>
      </c>
      <c r="Y77" s="167">
        <v>0.0</v>
      </c>
      <c r="Z77" s="167">
        <v>0.0</v>
      </c>
      <c r="AA77" s="167">
        <v>0.0</v>
      </c>
      <c r="AB77" s="167">
        <v>1.0</v>
      </c>
      <c r="AC77" s="167">
        <v>31.0</v>
      </c>
      <c r="AD77" s="167">
        <v>10.0</v>
      </c>
      <c r="AE77" s="167">
        <v>1.0</v>
      </c>
      <c r="AF77" s="167">
        <v>0.0</v>
      </c>
      <c r="AG77" s="167">
        <v>0.0</v>
      </c>
      <c r="AH77" s="167">
        <v>3.0</v>
      </c>
      <c r="AI77" s="167">
        <v>15.0</v>
      </c>
      <c r="AJ77" s="167">
        <v>7.0</v>
      </c>
      <c r="AK77" s="167">
        <v>0.0</v>
      </c>
      <c r="AL77" s="167">
        <v>0.0</v>
      </c>
      <c r="AM77" s="167">
        <v>2.0</v>
      </c>
      <c r="AN77" s="167">
        <v>9.0</v>
      </c>
      <c r="AO77" s="167">
        <v>0.0</v>
      </c>
      <c r="AP77" s="167">
        <v>0.0</v>
      </c>
      <c r="AQ77" s="168">
        <v>1.0</v>
      </c>
      <c r="AR77" s="167">
        <v>0.0</v>
      </c>
      <c r="AS77" s="167">
        <v>0.0</v>
      </c>
    </row>
    <row r="78">
      <c r="A78" s="165" t="s">
        <v>82</v>
      </c>
      <c r="B78" s="166">
        <v>345.0</v>
      </c>
      <c r="C78" s="167">
        <v>0.0</v>
      </c>
      <c r="D78" s="167">
        <v>2.0</v>
      </c>
      <c r="E78" s="167">
        <v>17.0</v>
      </c>
      <c r="F78" s="167">
        <v>19.0</v>
      </c>
      <c r="G78" s="167">
        <v>2.0</v>
      </c>
      <c r="H78" s="167">
        <v>0.0</v>
      </c>
      <c r="I78" s="167">
        <v>0.0</v>
      </c>
      <c r="J78" s="167">
        <v>46.0</v>
      </c>
      <c r="K78" s="167">
        <v>47.0</v>
      </c>
      <c r="L78" s="167">
        <v>16.0</v>
      </c>
      <c r="M78" s="167">
        <v>0.0</v>
      </c>
      <c r="N78" s="167">
        <v>0.0</v>
      </c>
      <c r="O78" s="167">
        <v>3.0</v>
      </c>
      <c r="P78" s="167">
        <v>24.0</v>
      </c>
      <c r="Q78" s="167">
        <v>134.0</v>
      </c>
      <c r="R78" s="167">
        <v>37.0</v>
      </c>
      <c r="S78" s="167">
        <v>0.0</v>
      </c>
      <c r="T78" s="167">
        <v>0.0</v>
      </c>
      <c r="U78" s="167">
        <v>0.0</v>
      </c>
      <c r="V78" s="167">
        <v>19.0</v>
      </c>
      <c r="W78" s="167">
        <v>96.0</v>
      </c>
      <c r="X78" s="167">
        <v>68.0</v>
      </c>
      <c r="Y78" s="167">
        <v>1.0</v>
      </c>
      <c r="Z78" s="167">
        <v>0.0</v>
      </c>
      <c r="AA78" s="167">
        <v>0.0</v>
      </c>
      <c r="AB78" s="167">
        <v>6.0</v>
      </c>
      <c r="AC78" s="167">
        <v>89.0</v>
      </c>
      <c r="AD78" s="167">
        <v>16.0</v>
      </c>
      <c r="AE78" s="167">
        <v>2.0</v>
      </c>
      <c r="AF78" s="167">
        <v>0.0</v>
      </c>
      <c r="AG78" s="167">
        <v>0.0</v>
      </c>
      <c r="AH78" s="167">
        <v>3.0</v>
      </c>
      <c r="AI78" s="167">
        <v>40.0</v>
      </c>
      <c r="AJ78" s="167">
        <v>13.0</v>
      </c>
      <c r="AK78" s="167">
        <v>0.0</v>
      </c>
      <c r="AL78" s="167">
        <v>0.0</v>
      </c>
      <c r="AM78" s="167">
        <v>4.0</v>
      </c>
      <c r="AN78" s="167">
        <v>18.0</v>
      </c>
      <c r="AO78" s="167">
        <v>3.0</v>
      </c>
      <c r="AP78" s="167">
        <v>0.0</v>
      </c>
      <c r="AQ78" s="168">
        <v>0.0</v>
      </c>
      <c r="AR78" s="167">
        <v>2.0</v>
      </c>
      <c r="AS78" s="167">
        <v>0.0</v>
      </c>
    </row>
    <row r="79">
      <c r="A79" s="169" t="s">
        <v>82</v>
      </c>
      <c r="B79" s="170">
        <v>347.0</v>
      </c>
      <c r="C79" s="171">
        <v>0.0</v>
      </c>
      <c r="D79" s="171">
        <v>1.0</v>
      </c>
      <c r="E79" s="171">
        <v>7.0</v>
      </c>
      <c r="F79" s="171">
        <v>7.0</v>
      </c>
      <c r="G79" s="171">
        <v>1.0</v>
      </c>
      <c r="H79" s="171">
        <v>1.0</v>
      </c>
      <c r="I79" s="171">
        <v>0.0</v>
      </c>
      <c r="J79" s="171">
        <v>39.0</v>
      </c>
      <c r="K79" s="171">
        <v>58.0</v>
      </c>
      <c r="L79" s="171">
        <v>11.0</v>
      </c>
      <c r="M79" s="171">
        <v>2.0</v>
      </c>
      <c r="N79" s="171">
        <v>0.0</v>
      </c>
      <c r="O79" s="171">
        <v>0.0</v>
      </c>
      <c r="P79" s="171">
        <v>33.0</v>
      </c>
      <c r="Q79" s="171">
        <v>95.0</v>
      </c>
      <c r="R79" s="171">
        <v>23.0</v>
      </c>
      <c r="S79" s="171">
        <v>1.0</v>
      </c>
      <c r="T79" s="171">
        <v>0.0</v>
      </c>
      <c r="U79" s="171">
        <v>0.0</v>
      </c>
      <c r="V79" s="171">
        <v>10.0</v>
      </c>
      <c r="W79" s="171">
        <v>84.0</v>
      </c>
      <c r="X79" s="171">
        <v>46.0</v>
      </c>
      <c r="Y79" s="171">
        <v>2.0</v>
      </c>
      <c r="Z79" s="171">
        <v>0.0</v>
      </c>
      <c r="AA79" s="171">
        <v>0.0</v>
      </c>
      <c r="AB79" s="171">
        <v>7.0</v>
      </c>
      <c r="AC79" s="171">
        <v>87.0</v>
      </c>
      <c r="AD79" s="171">
        <v>16.0</v>
      </c>
      <c r="AE79" s="171">
        <v>0.0</v>
      </c>
      <c r="AF79" s="171">
        <v>0.0</v>
      </c>
      <c r="AG79" s="171">
        <v>0.0</v>
      </c>
      <c r="AH79" s="171">
        <v>1.0</v>
      </c>
      <c r="AI79" s="171">
        <v>22.0</v>
      </c>
      <c r="AJ79" s="171">
        <v>9.0</v>
      </c>
      <c r="AK79" s="171">
        <v>0.0</v>
      </c>
      <c r="AL79" s="171">
        <v>0.0</v>
      </c>
      <c r="AM79" s="171">
        <v>3.0</v>
      </c>
      <c r="AN79" s="171">
        <v>19.0</v>
      </c>
      <c r="AO79" s="171">
        <v>5.0</v>
      </c>
      <c r="AP79" s="171">
        <v>0.0</v>
      </c>
      <c r="AQ79" s="172">
        <v>0.0</v>
      </c>
      <c r="AR79" s="171">
        <v>0.0</v>
      </c>
      <c r="AS79" s="171">
        <v>1.0</v>
      </c>
    </row>
    <row r="80">
      <c r="A80" s="173" t="s">
        <v>84</v>
      </c>
      <c r="B80" s="174">
        <v>223.0</v>
      </c>
      <c r="C80" s="175">
        <v>0.0</v>
      </c>
      <c r="D80" s="175">
        <v>0.0</v>
      </c>
      <c r="E80" s="175">
        <v>0.0</v>
      </c>
      <c r="F80" s="175">
        <v>8.0</v>
      </c>
      <c r="G80" s="175">
        <v>0.0</v>
      </c>
      <c r="H80" s="175">
        <v>0.0</v>
      </c>
      <c r="I80" s="175">
        <v>0.0</v>
      </c>
      <c r="J80" s="175">
        <v>1.0</v>
      </c>
      <c r="K80" s="175">
        <v>2.0</v>
      </c>
      <c r="L80" s="175">
        <v>8.0</v>
      </c>
      <c r="M80" s="175">
        <v>0.0</v>
      </c>
      <c r="N80" s="175">
        <v>0.0</v>
      </c>
      <c r="O80" s="175">
        <v>0.0</v>
      </c>
      <c r="P80" s="175">
        <v>0.0</v>
      </c>
      <c r="Q80" s="175">
        <v>7.0</v>
      </c>
      <c r="R80" s="175">
        <v>11.0</v>
      </c>
      <c r="S80" s="175">
        <v>0.0</v>
      </c>
      <c r="T80" s="175">
        <v>0.0</v>
      </c>
      <c r="U80" s="175">
        <v>0.0</v>
      </c>
      <c r="V80" s="175">
        <v>0.0</v>
      </c>
      <c r="W80" s="175">
        <v>0.0</v>
      </c>
      <c r="X80" s="175">
        <v>7.0</v>
      </c>
      <c r="Y80" s="175">
        <v>0.0</v>
      </c>
      <c r="Z80" s="175">
        <v>0.0</v>
      </c>
      <c r="AA80" s="175">
        <v>0.0</v>
      </c>
      <c r="AB80" s="175">
        <v>0.0</v>
      </c>
      <c r="AC80" s="175">
        <v>1.0</v>
      </c>
      <c r="AD80" s="175">
        <v>3.0</v>
      </c>
      <c r="AE80" s="175">
        <v>0.0</v>
      </c>
      <c r="AF80" s="175">
        <v>0.0</v>
      </c>
      <c r="AG80" s="175">
        <v>0.0</v>
      </c>
      <c r="AH80" s="175">
        <v>0.0</v>
      </c>
      <c r="AI80" s="175">
        <v>0.0</v>
      </c>
      <c r="AJ80" s="175">
        <v>3.0</v>
      </c>
      <c r="AK80" s="175">
        <v>0.0</v>
      </c>
      <c r="AL80" s="175">
        <v>0.0</v>
      </c>
      <c r="AM80" s="175">
        <v>0.0</v>
      </c>
      <c r="AN80" s="175">
        <v>0.0</v>
      </c>
      <c r="AO80" s="175">
        <v>0.0</v>
      </c>
      <c r="AP80" s="175">
        <v>0.0</v>
      </c>
      <c r="AQ80" s="176">
        <v>0.0</v>
      </c>
      <c r="AR80" s="175">
        <v>0.0</v>
      </c>
      <c r="AS80" s="175">
        <v>0.0</v>
      </c>
    </row>
    <row r="81">
      <c r="A81" s="177" t="s">
        <v>84</v>
      </c>
      <c r="B81" s="178">
        <v>224.0</v>
      </c>
      <c r="C81" s="179">
        <v>0.0</v>
      </c>
      <c r="D81" s="179">
        <v>1.0</v>
      </c>
      <c r="E81" s="179">
        <v>0.0</v>
      </c>
      <c r="F81" s="179">
        <v>4.0</v>
      </c>
      <c r="G81" s="179">
        <v>0.0</v>
      </c>
      <c r="H81" s="179">
        <v>0.0</v>
      </c>
      <c r="I81" s="179">
        <v>0.0</v>
      </c>
      <c r="J81" s="179">
        <v>0.0</v>
      </c>
      <c r="K81" s="179">
        <v>9.0</v>
      </c>
      <c r="L81" s="179">
        <v>5.0</v>
      </c>
      <c r="M81" s="179">
        <v>0.0</v>
      </c>
      <c r="N81" s="179">
        <v>0.0</v>
      </c>
      <c r="O81" s="179">
        <v>0.0</v>
      </c>
      <c r="P81" s="179">
        <v>0.0</v>
      </c>
      <c r="Q81" s="179">
        <v>5.0</v>
      </c>
      <c r="R81" s="179">
        <v>9.0</v>
      </c>
      <c r="S81" s="179">
        <v>1.0</v>
      </c>
      <c r="T81" s="179">
        <v>0.0</v>
      </c>
      <c r="U81" s="179">
        <v>0.0</v>
      </c>
      <c r="V81" s="179">
        <v>0.0</v>
      </c>
      <c r="W81" s="179">
        <v>2.0</v>
      </c>
      <c r="X81" s="179">
        <v>3.0</v>
      </c>
      <c r="Y81" s="179">
        <v>0.0</v>
      </c>
      <c r="Z81" s="179">
        <v>0.0</v>
      </c>
      <c r="AA81" s="179">
        <v>0.0</v>
      </c>
      <c r="AB81" s="179">
        <v>0.0</v>
      </c>
      <c r="AC81" s="179">
        <v>0.0</v>
      </c>
      <c r="AD81" s="179">
        <v>2.0</v>
      </c>
      <c r="AE81" s="179">
        <v>1.0</v>
      </c>
      <c r="AF81" s="179">
        <v>0.0</v>
      </c>
      <c r="AG81" s="179">
        <v>0.0</v>
      </c>
      <c r="AH81" s="179">
        <v>0.0</v>
      </c>
      <c r="AI81" s="179">
        <v>0.0</v>
      </c>
      <c r="AJ81" s="179">
        <v>1.0</v>
      </c>
      <c r="AK81" s="179">
        <v>0.0</v>
      </c>
      <c r="AL81" s="179">
        <v>0.0</v>
      </c>
      <c r="AM81" s="179">
        <v>0.0</v>
      </c>
      <c r="AN81" s="179">
        <v>0.0</v>
      </c>
      <c r="AO81" s="179">
        <v>0.0</v>
      </c>
      <c r="AP81" s="179">
        <v>0.0</v>
      </c>
      <c r="AQ81" s="180">
        <v>0.0</v>
      </c>
      <c r="AR81" s="179">
        <v>0.0</v>
      </c>
      <c r="AS81" s="179">
        <v>0.0</v>
      </c>
    </row>
    <row r="82">
      <c r="A82" s="177" t="s">
        <v>84</v>
      </c>
      <c r="B82" s="178">
        <v>225.0</v>
      </c>
      <c r="C82" s="179">
        <v>0.0</v>
      </c>
      <c r="D82" s="179">
        <v>0.0</v>
      </c>
      <c r="E82" s="179">
        <v>0.0</v>
      </c>
      <c r="F82" s="179">
        <v>0.0</v>
      </c>
      <c r="G82" s="179">
        <v>0.0</v>
      </c>
      <c r="H82" s="179">
        <v>0.0</v>
      </c>
      <c r="I82" s="179">
        <v>0.0</v>
      </c>
      <c r="J82" s="179">
        <v>0.0</v>
      </c>
      <c r="K82" s="179">
        <v>0.0</v>
      </c>
      <c r="L82" s="179">
        <v>2.0</v>
      </c>
      <c r="M82" s="179">
        <v>0.0</v>
      </c>
      <c r="N82" s="179">
        <v>0.0</v>
      </c>
      <c r="O82" s="179">
        <v>0.0</v>
      </c>
      <c r="P82" s="179">
        <v>0.0</v>
      </c>
      <c r="Q82" s="179">
        <v>1.0</v>
      </c>
      <c r="R82" s="179">
        <v>0.0</v>
      </c>
      <c r="S82" s="179">
        <v>0.0</v>
      </c>
      <c r="T82" s="179">
        <v>0.0</v>
      </c>
      <c r="U82" s="179">
        <v>0.0</v>
      </c>
      <c r="V82" s="179">
        <v>0.0</v>
      </c>
      <c r="W82" s="179">
        <v>0.0</v>
      </c>
      <c r="X82" s="179">
        <v>0.0</v>
      </c>
      <c r="Y82" s="179">
        <v>0.0</v>
      </c>
      <c r="Z82" s="179">
        <v>0.0</v>
      </c>
      <c r="AA82" s="179">
        <v>0.0</v>
      </c>
      <c r="AB82" s="179">
        <v>0.0</v>
      </c>
      <c r="AC82" s="179">
        <v>0.0</v>
      </c>
      <c r="AD82" s="179">
        <v>0.0</v>
      </c>
      <c r="AE82" s="179">
        <v>0.0</v>
      </c>
      <c r="AF82" s="179">
        <v>0.0</v>
      </c>
      <c r="AG82" s="179">
        <v>0.0</v>
      </c>
      <c r="AH82" s="179">
        <v>0.0</v>
      </c>
      <c r="AI82" s="179">
        <v>0.0</v>
      </c>
      <c r="AJ82" s="179">
        <v>0.0</v>
      </c>
      <c r="AK82" s="179">
        <v>0.0</v>
      </c>
      <c r="AL82" s="179">
        <v>0.0</v>
      </c>
      <c r="AM82" s="179">
        <v>0.0</v>
      </c>
      <c r="AN82" s="179">
        <v>0.0</v>
      </c>
      <c r="AO82" s="179">
        <v>0.0</v>
      </c>
      <c r="AP82" s="179">
        <v>0.0</v>
      </c>
      <c r="AQ82" s="180">
        <v>0.0</v>
      </c>
      <c r="AR82" s="179">
        <v>0.0</v>
      </c>
      <c r="AS82" s="179">
        <v>0.0</v>
      </c>
    </row>
    <row r="83">
      <c r="A83" s="177" t="s">
        <v>84</v>
      </c>
      <c r="B83" s="178">
        <v>226.0</v>
      </c>
      <c r="C83" s="179">
        <v>0.0</v>
      </c>
      <c r="D83" s="179">
        <v>0.0</v>
      </c>
      <c r="E83" s="179">
        <v>0.0</v>
      </c>
      <c r="F83" s="179">
        <v>10.0</v>
      </c>
      <c r="G83" s="179">
        <v>3.0</v>
      </c>
      <c r="H83" s="179">
        <v>0.0</v>
      </c>
      <c r="I83" s="179">
        <v>0.0</v>
      </c>
      <c r="J83" s="179">
        <v>1.0</v>
      </c>
      <c r="K83" s="179">
        <v>15.0</v>
      </c>
      <c r="L83" s="179">
        <v>9.0</v>
      </c>
      <c r="M83" s="179">
        <v>0.0</v>
      </c>
      <c r="N83" s="179">
        <v>0.0</v>
      </c>
      <c r="O83" s="179">
        <v>0.0</v>
      </c>
      <c r="P83" s="179">
        <v>0.0</v>
      </c>
      <c r="Q83" s="179">
        <v>14.0</v>
      </c>
      <c r="R83" s="179">
        <v>11.0</v>
      </c>
      <c r="S83" s="179">
        <v>3.0</v>
      </c>
      <c r="T83" s="179">
        <v>0.0</v>
      </c>
      <c r="U83" s="179">
        <v>0.0</v>
      </c>
      <c r="V83" s="179">
        <v>0.0</v>
      </c>
      <c r="W83" s="179">
        <v>3.0</v>
      </c>
      <c r="X83" s="179">
        <v>19.0</v>
      </c>
      <c r="Y83" s="179">
        <v>7.0</v>
      </c>
      <c r="Z83" s="179">
        <v>0.0</v>
      </c>
      <c r="AA83" s="179">
        <v>0.0</v>
      </c>
      <c r="AB83" s="179">
        <v>0.0</v>
      </c>
      <c r="AC83" s="179">
        <v>3.0</v>
      </c>
      <c r="AD83" s="179">
        <v>4.0</v>
      </c>
      <c r="AE83" s="179">
        <v>0.0</v>
      </c>
      <c r="AF83" s="179">
        <v>0.0</v>
      </c>
      <c r="AG83" s="179">
        <v>0.0</v>
      </c>
      <c r="AH83" s="179">
        <v>0.0</v>
      </c>
      <c r="AI83" s="179">
        <v>0.0</v>
      </c>
      <c r="AJ83" s="179">
        <v>3.0</v>
      </c>
      <c r="AK83" s="179">
        <v>0.0</v>
      </c>
      <c r="AL83" s="179">
        <v>0.0</v>
      </c>
      <c r="AM83" s="179">
        <v>0.0</v>
      </c>
      <c r="AN83" s="179">
        <v>0.0</v>
      </c>
      <c r="AO83" s="179">
        <v>2.0</v>
      </c>
      <c r="AP83" s="179">
        <v>0.0</v>
      </c>
      <c r="AQ83" s="180">
        <v>0.0</v>
      </c>
      <c r="AR83" s="179">
        <v>0.0</v>
      </c>
      <c r="AS83" s="179">
        <v>0.0</v>
      </c>
    </row>
    <row r="84">
      <c r="A84" s="177" t="s">
        <v>84</v>
      </c>
      <c r="B84" s="178">
        <v>348.0</v>
      </c>
      <c r="C84" s="179">
        <v>0.0</v>
      </c>
      <c r="D84" s="179">
        <v>0.0</v>
      </c>
      <c r="E84" s="179">
        <v>1.0</v>
      </c>
      <c r="F84" s="179">
        <v>4.0</v>
      </c>
      <c r="G84" s="179">
        <v>1.0</v>
      </c>
      <c r="H84" s="179">
        <v>0.0</v>
      </c>
      <c r="I84" s="179">
        <v>0.0</v>
      </c>
      <c r="J84" s="179">
        <v>4.0</v>
      </c>
      <c r="K84" s="179">
        <v>9.0</v>
      </c>
      <c r="L84" s="179">
        <v>11.0</v>
      </c>
      <c r="M84" s="179">
        <v>0.0</v>
      </c>
      <c r="N84" s="179">
        <v>0.0</v>
      </c>
      <c r="O84" s="179">
        <v>0.0</v>
      </c>
      <c r="P84" s="179">
        <v>0.0</v>
      </c>
      <c r="Q84" s="179">
        <v>4.0</v>
      </c>
      <c r="R84" s="179">
        <v>3.0</v>
      </c>
      <c r="S84" s="179">
        <v>0.0</v>
      </c>
      <c r="T84" s="179">
        <v>0.0</v>
      </c>
      <c r="U84" s="179">
        <v>0.0</v>
      </c>
      <c r="V84" s="179">
        <v>0.0</v>
      </c>
      <c r="W84" s="179">
        <v>0.0</v>
      </c>
      <c r="X84" s="179">
        <v>6.0</v>
      </c>
      <c r="Y84" s="179">
        <v>0.0</v>
      </c>
      <c r="Z84" s="179">
        <v>0.0</v>
      </c>
      <c r="AA84" s="179">
        <v>0.0</v>
      </c>
      <c r="AB84" s="179">
        <v>0.0</v>
      </c>
      <c r="AC84" s="179">
        <v>1.0</v>
      </c>
      <c r="AD84" s="179">
        <v>0.0</v>
      </c>
      <c r="AE84" s="179">
        <v>1.0</v>
      </c>
      <c r="AF84" s="179">
        <v>0.0</v>
      </c>
      <c r="AG84" s="179">
        <v>0.0</v>
      </c>
      <c r="AH84" s="179">
        <v>0.0</v>
      </c>
      <c r="AI84" s="179">
        <v>0.0</v>
      </c>
      <c r="AJ84" s="179">
        <v>1.0</v>
      </c>
      <c r="AK84" s="179">
        <v>0.0</v>
      </c>
      <c r="AL84" s="179">
        <v>0.0</v>
      </c>
      <c r="AM84" s="179">
        <v>0.0</v>
      </c>
      <c r="AN84" s="179">
        <v>0.0</v>
      </c>
      <c r="AO84" s="179">
        <v>0.0</v>
      </c>
      <c r="AP84" s="179">
        <v>1.0</v>
      </c>
      <c r="AQ84" s="180">
        <v>0.0</v>
      </c>
      <c r="AR84" s="179">
        <v>0.0</v>
      </c>
      <c r="AS84" s="179">
        <v>0.0</v>
      </c>
    </row>
    <row r="85">
      <c r="A85" s="177" t="s">
        <v>84</v>
      </c>
      <c r="B85" s="178">
        <v>349.0</v>
      </c>
      <c r="C85" s="179">
        <v>0.0</v>
      </c>
      <c r="D85" s="179">
        <v>0.0</v>
      </c>
      <c r="E85" s="179">
        <v>1.0</v>
      </c>
      <c r="F85" s="179">
        <v>2.0</v>
      </c>
      <c r="G85" s="179">
        <v>0.0</v>
      </c>
      <c r="H85" s="179">
        <v>0.0</v>
      </c>
      <c r="I85" s="179">
        <v>0.0</v>
      </c>
      <c r="J85" s="179">
        <v>1.0</v>
      </c>
      <c r="K85" s="179">
        <v>2.0</v>
      </c>
      <c r="L85" s="179">
        <v>6.0</v>
      </c>
      <c r="M85" s="179">
        <v>1.0</v>
      </c>
      <c r="N85" s="179">
        <v>0.0</v>
      </c>
      <c r="O85" s="179">
        <v>0.0</v>
      </c>
      <c r="P85" s="179">
        <v>2.0</v>
      </c>
      <c r="Q85" s="179">
        <v>6.0</v>
      </c>
      <c r="R85" s="179">
        <v>2.0</v>
      </c>
      <c r="S85" s="179">
        <v>0.0</v>
      </c>
      <c r="T85" s="179">
        <v>0.0</v>
      </c>
      <c r="U85" s="179">
        <v>0.0</v>
      </c>
      <c r="V85" s="179">
        <v>0.0</v>
      </c>
      <c r="W85" s="179">
        <v>2.0</v>
      </c>
      <c r="X85" s="179">
        <v>4.0</v>
      </c>
      <c r="Y85" s="179">
        <v>0.0</v>
      </c>
      <c r="Z85" s="179">
        <v>0.0</v>
      </c>
      <c r="AA85" s="179">
        <v>0.0</v>
      </c>
      <c r="AB85" s="179">
        <v>0.0</v>
      </c>
      <c r="AC85" s="179">
        <v>0.0</v>
      </c>
      <c r="AD85" s="179">
        <v>3.0</v>
      </c>
      <c r="AE85" s="179">
        <v>1.0</v>
      </c>
      <c r="AF85" s="179">
        <v>0.0</v>
      </c>
      <c r="AG85" s="179">
        <v>0.0</v>
      </c>
      <c r="AH85" s="179">
        <v>0.0</v>
      </c>
      <c r="AI85" s="179">
        <v>0.0</v>
      </c>
      <c r="AJ85" s="179">
        <v>1.0</v>
      </c>
      <c r="AK85" s="179">
        <v>0.0</v>
      </c>
      <c r="AL85" s="179">
        <v>0.0</v>
      </c>
      <c r="AM85" s="179">
        <v>0.0</v>
      </c>
      <c r="AN85" s="179">
        <v>0.0</v>
      </c>
      <c r="AO85" s="179">
        <v>0.0</v>
      </c>
      <c r="AP85" s="179">
        <v>0.0</v>
      </c>
      <c r="AQ85" s="180">
        <v>0.0</v>
      </c>
      <c r="AR85" s="179">
        <v>0.0</v>
      </c>
      <c r="AS85" s="179">
        <v>0.0</v>
      </c>
    </row>
    <row r="86">
      <c r="A86" s="177" t="s">
        <v>84</v>
      </c>
      <c r="B86" s="178">
        <v>350.0</v>
      </c>
      <c r="C86" s="179">
        <v>0.0</v>
      </c>
      <c r="D86" s="179">
        <v>1.0</v>
      </c>
      <c r="E86" s="179">
        <v>4.0</v>
      </c>
      <c r="F86" s="179">
        <v>8.0</v>
      </c>
      <c r="G86" s="179">
        <v>2.0</v>
      </c>
      <c r="H86" s="179">
        <v>0.0</v>
      </c>
      <c r="I86" s="179">
        <v>0.0</v>
      </c>
      <c r="J86" s="179">
        <v>2.0</v>
      </c>
      <c r="K86" s="179">
        <v>15.0</v>
      </c>
      <c r="L86" s="179">
        <v>12.0</v>
      </c>
      <c r="M86" s="179">
        <v>1.0</v>
      </c>
      <c r="N86" s="179">
        <v>0.0</v>
      </c>
      <c r="O86" s="179">
        <v>0.0</v>
      </c>
      <c r="P86" s="179">
        <v>0.0</v>
      </c>
      <c r="Q86" s="179">
        <v>10.0</v>
      </c>
      <c r="R86" s="179">
        <v>14.0</v>
      </c>
      <c r="S86" s="179">
        <v>2.0</v>
      </c>
      <c r="T86" s="179">
        <v>0.0</v>
      </c>
      <c r="U86" s="179">
        <v>0.0</v>
      </c>
      <c r="V86" s="179">
        <v>0.0</v>
      </c>
      <c r="W86" s="179">
        <v>3.0</v>
      </c>
      <c r="X86" s="179">
        <v>9.0</v>
      </c>
      <c r="Y86" s="179">
        <v>2.0</v>
      </c>
      <c r="Z86" s="179">
        <v>0.0</v>
      </c>
      <c r="AA86" s="179">
        <v>0.0</v>
      </c>
      <c r="AB86" s="179">
        <v>0.0</v>
      </c>
      <c r="AC86" s="179">
        <v>2.0</v>
      </c>
      <c r="AD86" s="179">
        <v>4.0</v>
      </c>
      <c r="AE86" s="179">
        <v>0.0</v>
      </c>
      <c r="AF86" s="179">
        <v>0.0</v>
      </c>
      <c r="AG86" s="179">
        <v>0.0</v>
      </c>
      <c r="AH86" s="179">
        <v>0.0</v>
      </c>
      <c r="AI86" s="179">
        <v>1.0</v>
      </c>
      <c r="AJ86" s="179">
        <v>1.0</v>
      </c>
      <c r="AK86" s="179">
        <v>2.0</v>
      </c>
      <c r="AL86" s="179">
        <v>0.0</v>
      </c>
      <c r="AM86" s="179">
        <v>0.0</v>
      </c>
      <c r="AN86" s="179">
        <v>0.0</v>
      </c>
      <c r="AO86" s="179">
        <v>0.0</v>
      </c>
      <c r="AP86" s="179">
        <v>0.0</v>
      </c>
      <c r="AQ86" s="180">
        <v>0.0</v>
      </c>
      <c r="AR86" s="179">
        <v>0.0</v>
      </c>
      <c r="AS86" s="179">
        <v>0.0</v>
      </c>
    </row>
    <row r="87">
      <c r="A87" s="177" t="s">
        <v>84</v>
      </c>
      <c r="B87" s="178">
        <v>351.0</v>
      </c>
      <c r="C87" s="179">
        <v>0.0</v>
      </c>
      <c r="D87" s="179">
        <v>0.0</v>
      </c>
      <c r="E87" s="179">
        <v>1.0</v>
      </c>
      <c r="F87" s="179">
        <v>2.0</v>
      </c>
      <c r="G87" s="179">
        <v>0.0</v>
      </c>
      <c r="H87" s="179">
        <v>0.0</v>
      </c>
      <c r="I87" s="179">
        <v>0.0</v>
      </c>
      <c r="J87" s="179">
        <v>0.0</v>
      </c>
      <c r="K87" s="179">
        <v>1.0</v>
      </c>
      <c r="L87" s="179">
        <v>2.0</v>
      </c>
      <c r="M87" s="179">
        <v>1.0</v>
      </c>
      <c r="N87" s="179">
        <v>0.0</v>
      </c>
      <c r="O87" s="179">
        <v>0.0</v>
      </c>
      <c r="P87" s="179">
        <v>0.0</v>
      </c>
      <c r="Q87" s="179">
        <v>0.0</v>
      </c>
      <c r="R87" s="179">
        <v>0.0</v>
      </c>
      <c r="S87" s="179">
        <v>0.0</v>
      </c>
      <c r="T87" s="179">
        <v>0.0</v>
      </c>
      <c r="U87" s="179">
        <v>0.0</v>
      </c>
      <c r="V87" s="179">
        <v>0.0</v>
      </c>
      <c r="W87" s="179">
        <v>0.0</v>
      </c>
      <c r="X87" s="179">
        <v>2.0</v>
      </c>
      <c r="Y87" s="179">
        <v>0.0</v>
      </c>
      <c r="Z87" s="179">
        <v>0.0</v>
      </c>
      <c r="AA87" s="179">
        <v>0.0</v>
      </c>
      <c r="AB87" s="179">
        <v>0.0</v>
      </c>
      <c r="AC87" s="179">
        <v>1.0</v>
      </c>
      <c r="AD87" s="179">
        <v>0.0</v>
      </c>
      <c r="AE87" s="179">
        <v>0.0</v>
      </c>
      <c r="AF87" s="179">
        <v>0.0</v>
      </c>
      <c r="AG87" s="179">
        <v>0.0</v>
      </c>
      <c r="AH87" s="179">
        <v>0.0</v>
      </c>
      <c r="AI87" s="179">
        <v>0.0</v>
      </c>
      <c r="AJ87" s="179">
        <v>0.0</v>
      </c>
      <c r="AK87" s="179">
        <v>0.0</v>
      </c>
      <c r="AL87" s="179">
        <v>0.0</v>
      </c>
      <c r="AM87" s="179">
        <v>0.0</v>
      </c>
      <c r="AN87" s="179">
        <v>0.0</v>
      </c>
      <c r="AO87" s="179">
        <v>1.0</v>
      </c>
      <c r="AP87" s="179">
        <v>0.0</v>
      </c>
      <c r="AQ87" s="180">
        <v>0.0</v>
      </c>
      <c r="AR87" s="179">
        <v>0.0</v>
      </c>
      <c r="AS87" s="179">
        <v>0.0</v>
      </c>
    </row>
    <row r="88">
      <c r="A88" s="177" t="s">
        <v>84</v>
      </c>
      <c r="B88" s="178">
        <v>352.0</v>
      </c>
      <c r="C88" s="179">
        <v>0.0</v>
      </c>
      <c r="D88" s="179">
        <v>0.0</v>
      </c>
      <c r="E88" s="179">
        <v>0.0</v>
      </c>
      <c r="F88" s="179">
        <v>13.0</v>
      </c>
      <c r="G88" s="179">
        <v>0.0</v>
      </c>
      <c r="H88" s="179">
        <v>0.0</v>
      </c>
      <c r="I88" s="179">
        <v>0.0</v>
      </c>
      <c r="J88" s="179">
        <v>5.0</v>
      </c>
      <c r="K88" s="179">
        <v>19.0</v>
      </c>
      <c r="L88" s="179">
        <v>11.0</v>
      </c>
      <c r="M88" s="179">
        <v>0.0</v>
      </c>
      <c r="N88" s="179">
        <v>0.0</v>
      </c>
      <c r="O88" s="179">
        <v>0.0</v>
      </c>
      <c r="P88" s="179">
        <v>1.0</v>
      </c>
      <c r="Q88" s="179">
        <v>9.0</v>
      </c>
      <c r="R88" s="179">
        <v>17.0</v>
      </c>
      <c r="S88" s="179">
        <v>2.0</v>
      </c>
      <c r="T88" s="179">
        <v>0.0</v>
      </c>
      <c r="U88" s="179">
        <v>0.0</v>
      </c>
      <c r="V88" s="179">
        <v>1.0</v>
      </c>
      <c r="W88" s="179">
        <v>2.0</v>
      </c>
      <c r="X88" s="179">
        <v>10.0</v>
      </c>
      <c r="Y88" s="179">
        <v>0.0</v>
      </c>
      <c r="Z88" s="179">
        <v>0.0</v>
      </c>
      <c r="AA88" s="179">
        <v>0.0</v>
      </c>
      <c r="AB88" s="179">
        <v>0.0</v>
      </c>
      <c r="AC88" s="179">
        <v>2.0</v>
      </c>
      <c r="AD88" s="179">
        <v>2.0</v>
      </c>
      <c r="AE88" s="179">
        <v>1.0</v>
      </c>
      <c r="AF88" s="179">
        <v>0.0</v>
      </c>
      <c r="AG88" s="179">
        <v>0.0</v>
      </c>
      <c r="AH88" s="179">
        <v>0.0</v>
      </c>
      <c r="AI88" s="179">
        <v>0.0</v>
      </c>
      <c r="AJ88" s="179">
        <v>4.0</v>
      </c>
      <c r="AK88" s="179">
        <v>1.0</v>
      </c>
      <c r="AL88" s="179">
        <v>0.0</v>
      </c>
      <c r="AM88" s="179">
        <v>0.0</v>
      </c>
      <c r="AN88" s="179">
        <v>0.0</v>
      </c>
      <c r="AO88" s="179">
        <v>0.0</v>
      </c>
      <c r="AP88" s="179">
        <v>0.0</v>
      </c>
      <c r="AQ88" s="180">
        <v>0.0</v>
      </c>
      <c r="AR88" s="179">
        <v>0.0</v>
      </c>
      <c r="AS88" s="179">
        <v>0.0</v>
      </c>
    </row>
    <row r="89">
      <c r="A89" s="177" t="s">
        <v>84</v>
      </c>
      <c r="B89" s="178">
        <v>361.0</v>
      </c>
      <c r="C89" s="179">
        <v>0.0</v>
      </c>
      <c r="D89" s="179">
        <v>0.0</v>
      </c>
      <c r="E89" s="179">
        <v>0.0</v>
      </c>
      <c r="F89" s="179">
        <v>15.0</v>
      </c>
      <c r="G89" s="179">
        <v>1.0</v>
      </c>
      <c r="H89" s="179">
        <v>0.0</v>
      </c>
      <c r="I89" s="179">
        <v>0.0</v>
      </c>
      <c r="J89" s="179">
        <v>0.0</v>
      </c>
      <c r="K89" s="179">
        <v>9.0</v>
      </c>
      <c r="L89" s="179">
        <v>8.0</v>
      </c>
      <c r="M89" s="179">
        <v>0.0</v>
      </c>
      <c r="N89" s="179">
        <v>0.0</v>
      </c>
      <c r="O89" s="179">
        <v>0.0</v>
      </c>
      <c r="P89" s="179">
        <v>0.0</v>
      </c>
      <c r="Q89" s="179">
        <v>10.0</v>
      </c>
      <c r="R89" s="179">
        <v>9.0</v>
      </c>
      <c r="S89" s="179">
        <v>2.0</v>
      </c>
      <c r="T89" s="179">
        <v>0.0</v>
      </c>
      <c r="U89" s="179">
        <v>0.0</v>
      </c>
      <c r="V89" s="179">
        <v>0.0</v>
      </c>
      <c r="W89" s="179">
        <v>2.0</v>
      </c>
      <c r="X89" s="179">
        <v>7.0</v>
      </c>
      <c r="Y89" s="179">
        <v>2.0</v>
      </c>
      <c r="Z89" s="179">
        <v>0.0</v>
      </c>
      <c r="AA89" s="179">
        <v>0.0</v>
      </c>
      <c r="AB89" s="179">
        <v>0.0</v>
      </c>
      <c r="AC89" s="179">
        <v>1.0</v>
      </c>
      <c r="AD89" s="179">
        <v>2.0</v>
      </c>
      <c r="AE89" s="179">
        <v>1.0</v>
      </c>
      <c r="AF89" s="179">
        <v>0.0</v>
      </c>
      <c r="AG89" s="179">
        <v>0.0</v>
      </c>
      <c r="AH89" s="179">
        <v>0.0</v>
      </c>
      <c r="AI89" s="179">
        <v>0.0</v>
      </c>
      <c r="AJ89" s="179">
        <v>3.0</v>
      </c>
      <c r="AK89" s="179">
        <v>0.0</v>
      </c>
      <c r="AL89" s="179">
        <v>0.0</v>
      </c>
      <c r="AM89" s="179">
        <v>0.0</v>
      </c>
      <c r="AN89" s="179">
        <v>0.0</v>
      </c>
      <c r="AO89" s="179">
        <v>1.0</v>
      </c>
      <c r="AP89" s="179">
        <v>1.0</v>
      </c>
      <c r="AQ89" s="180">
        <v>0.0</v>
      </c>
      <c r="AR89" s="179">
        <v>0.0</v>
      </c>
      <c r="AS89" s="179">
        <v>0.0</v>
      </c>
    </row>
    <row r="90">
      <c r="A90" s="177" t="s">
        <v>84</v>
      </c>
      <c r="B90" s="178">
        <v>362.0</v>
      </c>
      <c r="C90" s="179">
        <v>0.0</v>
      </c>
      <c r="D90" s="179">
        <v>0.0</v>
      </c>
      <c r="E90" s="179">
        <v>0.0</v>
      </c>
      <c r="F90" s="179">
        <v>5.0</v>
      </c>
      <c r="G90" s="179">
        <v>3.0</v>
      </c>
      <c r="H90" s="179">
        <v>0.0</v>
      </c>
      <c r="I90" s="179">
        <v>0.0</v>
      </c>
      <c r="J90" s="179">
        <v>1.0</v>
      </c>
      <c r="K90" s="179">
        <v>9.0</v>
      </c>
      <c r="L90" s="179">
        <v>7.0</v>
      </c>
      <c r="M90" s="179">
        <v>0.0</v>
      </c>
      <c r="N90" s="179">
        <v>0.0</v>
      </c>
      <c r="O90" s="179">
        <v>0.0</v>
      </c>
      <c r="P90" s="179">
        <v>0.0</v>
      </c>
      <c r="Q90" s="179">
        <v>14.0</v>
      </c>
      <c r="R90" s="179">
        <v>6.0</v>
      </c>
      <c r="S90" s="179">
        <v>0.0</v>
      </c>
      <c r="T90" s="179">
        <v>0.0</v>
      </c>
      <c r="U90" s="179">
        <v>0.0</v>
      </c>
      <c r="V90" s="179">
        <v>0.0</v>
      </c>
      <c r="W90" s="179">
        <v>2.0</v>
      </c>
      <c r="X90" s="179">
        <v>2.0</v>
      </c>
      <c r="Y90" s="179">
        <v>0.0</v>
      </c>
      <c r="Z90" s="179">
        <v>0.0</v>
      </c>
      <c r="AA90" s="179">
        <v>0.0</v>
      </c>
      <c r="AB90" s="179">
        <v>0.0</v>
      </c>
      <c r="AC90" s="179">
        <v>1.0</v>
      </c>
      <c r="AD90" s="179">
        <v>2.0</v>
      </c>
      <c r="AE90" s="179">
        <v>1.0</v>
      </c>
      <c r="AF90" s="179">
        <v>0.0</v>
      </c>
      <c r="AG90" s="179">
        <v>0.0</v>
      </c>
      <c r="AH90" s="179">
        <v>0.0</v>
      </c>
      <c r="AI90" s="179">
        <v>0.0</v>
      </c>
      <c r="AJ90" s="179">
        <v>1.0</v>
      </c>
      <c r="AK90" s="179">
        <v>1.0</v>
      </c>
      <c r="AL90" s="179">
        <v>0.0</v>
      </c>
      <c r="AM90" s="179">
        <v>0.0</v>
      </c>
      <c r="AN90" s="179">
        <v>0.0</v>
      </c>
      <c r="AO90" s="179">
        <v>0.0</v>
      </c>
      <c r="AP90" s="179">
        <v>0.0</v>
      </c>
      <c r="AQ90" s="180">
        <v>0.0</v>
      </c>
      <c r="AR90" s="179">
        <v>0.0</v>
      </c>
      <c r="AS90" s="179">
        <v>0.0</v>
      </c>
    </row>
    <row r="91">
      <c r="A91" s="177" t="s">
        <v>84</v>
      </c>
      <c r="B91" s="178">
        <v>364.0</v>
      </c>
      <c r="C91" s="179">
        <v>0.0</v>
      </c>
      <c r="D91" s="179">
        <v>0.0</v>
      </c>
      <c r="E91" s="179">
        <v>3.0</v>
      </c>
      <c r="F91" s="179">
        <v>9.0</v>
      </c>
      <c r="G91" s="179">
        <v>2.0</v>
      </c>
      <c r="H91" s="179">
        <v>0.0</v>
      </c>
      <c r="I91" s="179">
        <v>0.0</v>
      </c>
      <c r="J91" s="179">
        <v>1.0</v>
      </c>
      <c r="K91" s="179">
        <v>13.0</v>
      </c>
      <c r="L91" s="179">
        <v>1.0</v>
      </c>
      <c r="M91" s="179">
        <v>0.0</v>
      </c>
      <c r="N91" s="179">
        <v>0.0</v>
      </c>
      <c r="O91" s="179">
        <v>0.0</v>
      </c>
      <c r="P91" s="179">
        <v>0.0</v>
      </c>
      <c r="Q91" s="179">
        <v>4.0</v>
      </c>
      <c r="R91" s="179">
        <v>6.0</v>
      </c>
      <c r="S91" s="179">
        <v>0.0</v>
      </c>
      <c r="T91" s="179">
        <v>0.0</v>
      </c>
      <c r="U91" s="179">
        <v>0.0</v>
      </c>
      <c r="V91" s="179">
        <v>0.0</v>
      </c>
      <c r="W91" s="179">
        <v>0.0</v>
      </c>
      <c r="X91" s="179">
        <v>10.0</v>
      </c>
      <c r="Y91" s="179">
        <v>1.0</v>
      </c>
      <c r="Z91" s="179">
        <v>0.0</v>
      </c>
      <c r="AA91" s="179">
        <v>0.0</v>
      </c>
      <c r="AB91" s="179">
        <v>0.0</v>
      </c>
      <c r="AC91" s="179">
        <v>1.0</v>
      </c>
      <c r="AD91" s="179">
        <v>2.0</v>
      </c>
      <c r="AE91" s="179">
        <v>1.0</v>
      </c>
      <c r="AF91" s="179">
        <v>0.0</v>
      </c>
      <c r="AG91" s="179">
        <v>0.0</v>
      </c>
      <c r="AH91" s="179">
        <v>0.0</v>
      </c>
      <c r="AI91" s="179">
        <v>0.0</v>
      </c>
      <c r="AJ91" s="179">
        <v>3.0</v>
      </c>
      <c r="AK91" s="179">
        <v>0.0</v>
      </c>
      <c r="AL91" s="179">
        <v>0.0</v>
      </c>
      <c r="AM91" s="179">
        <v>0.0</v>
      </c>
      <c r="AN91" s="179">
        <v>0.0</v>
      </c>
      <c r="AO91" s="179">
        <v>0.0</v>
      </c>
      <c r="AP91" s="179">
        <v>0.0</v>
      </c>
      <c r="AQ91" s="180">
        <v>0.0</v>
      </c>
      <c r="AR91" s="179">
        <v>0.0</v>
      </c>
      <c r="AS91" s="179">
        <v>0.0</v>
      </c>
    </row>
    <row r="92">
      <c r="A92" s="177" t="s">
        <v>84</v>
      </c>
      <c r="B92" s="178">
        <v>365.0</v>
      </c>
      <c r="C92" s="179">
        <v>0.0</v>
      </c>
      <c r="D92" s="179">
        <v>0.0</v>
      </c>
      <c r="E92" s="179">
        <v>3.0</v>
      </c>
      <c r="F92" s="179">
        <v>3.0</v>
      </c>
      <c r="G92" s="179">
        <v>0.0</v>
      </c>
      <c r="H92" s="179">
        <v>0.0</v>
      </c>
      <c r="I92" s="179">
        <v>0.0</v>
      </c>
      <c r="J92" s="179">
        <v>1.0</v>
      </c>
      <c r="K92" s="179">
        <v>5.0</v>
      </c>
      <c r="L92" s="179">
        <v>4.0</v>
      </c>
      <c r="M92" s="179">
        <v>1.0</v>
      </c>
      <c r="N92" s="179">
        <v>0.0</v>
      </c>
      <c r="O92" s="179">
        <v>0.0</v>
      </c>
      <c r="P92" s="179">
        <v>1.0</v>
      </c>
      <c r="Q92" s="179">
        <v>4.0</v>
      </c>
      <c r="R92" s="179">
        <v>4.0</v>
      </c>
      <c r="S92" s="179">
        <v>0.0</v>
      </c>
      <c r="T92" s="179">
        <v>0.0</v>
      </c>
      <c r="U92" s="179">
        <v>0.0</v>
      </c>
      <c r="V92" s="179">
        <v>0.0</v>
      </c>
      <c r="W92" s="179">
        <v>3.0</v>
      </c>
      <c r="X92" s="179">
        <v>5.0</v>
      </c>
      <c r="Y92" s="179">
        <v>0.0</v>
      </c>
      <c r="Z92" s="179">
        <v>0.0</v>
      </c>
      <c r="AA92" s="179">
        <v>0.0</v>
      </c>
      <c r="AB92" s="179">
        <v>0.0</v>
      </c>
      <c r="AC92" s="179">
        <v>0.0</v>
      </c>
      <c r="AD92" s="179">
        <v>2.0</v>
      </c>
      <c r="AE92" s="179">
        <v>0.0</v>
      </c>
      <c r="AF92" s="179">
        <v>0.0</v>
      </c>
      <c r="AG92" s="179">
        <v>0.0</v>
      </c>
      <c r="AH92" s="179">
        <v>0.0</v>
      </c>
      <c r="AI92" s="179">
        <v>1.0</v>
      </c>
      <c r="AJ92" s="179">
        <v>3.0</v>
      </c>
      <c r="AK92" s="179">
        <v>0.0</v>
      </c>
      <c r="AL92" s="179">
        <v>0.0</v>
      </c>
      <c r="AM92" s="179">
        <v>0.0</v>
      </c>
      <c r="AN92" s="179">
        <v>0.0</v>
      </c>
      <c r="AO92" s="179">
        <v>0.0</v>
      </c>
      <c r="AP92" s="179">
        <v>0.0</v>
      </c>
      <c r="AQ92" s="180">
        <v>0.0</v>
      </c>
      <c r="AR92" s="179">
        <v>0.0</v>
      </c>
      <c r="AS92" s="179">
        <v>0.0</v>
      </c>
    </row>
    <row r="93">
      <c r="A93" s="177" t="s">
        <v>84</v>
      </c>
      <c r="B93" s="178">
        <v>366.0</v>
      </c>
      <c r="C93" s="179">
        <v>1.0</v>
      </c>
      <c r="D93" s="179">
        <v>0.0</v>
      </c>
      <c r="E93" s="179">
        <v>1.0</v>
      </c>
      <c r="F93" s="179">
        <v>11.0</v>
      </c>
      <c r="G93" s="179">
        <v>2.0</v>
      </c>
      <c r="H93" s="179">
        <v>0.0</v>
      </c>
      <c r="I93" s="179">
        <v>0.0</v>
      </c>
      <c r="J93" s="179">
        <v>2.0</v>
      </c>
      <c r="K93" s="179">
        <v>16.0</v>
      </c>
      <c r="L93" s="179">
        <v>12.0</v>
      </c>
      <c r="M93" s="179">
        <v>0.0</v>
      </c>
      <c r="N93" s="179">
        <v>0.0</v>
      </c>
      <c r="O93" s="179">
        <v>0.0</v>
      </c>
      <c r="P93" s="179">
        <v>1.0</v>
      </c>
      <c r="Q93" s="179">
        <v>14.0</v>
      </c>
      <c r="R93" s="179">
        <v>8.0</v>
      </c>
      <c r="S93" s="179">
        <v>3.0</v>
      </c>
      <c r="T93" s="179">
        <v>0.0</v>
      </c>
      <c r="U93" s="179">
        <v>0.0</v>
      </c>
      <c r="V93" s="179">
        <v>0.0</v>
      </c>
      <c r="W93" s="179">
        <v>1.0</v>
      </c>
      <c r="X93" s="179">
        <v>11.0</v>
      </c>
      <c r="Y93" s="179">
        <v>1.0</v>
      </c>
      <c r="Z93" s="179">
        <v>0.0</v>
      </c>
      <c r="AA93" s="179">
        <v>0.0</v>
      </c>
      <c r="AB93" s="179">
        <v>0.0</v>
      </c>
      <c r="AC93" s="179">
        <v>0.0</v>
      </c>
      <c r="AD93" s="179">
        <v>2.0</v>
      </c>
      <c r="AE93" s="179">
        <v>1.0</v>
      </c>
      <c r="AF93" s="179">
        <v>0.0</v>
      </c>
      <c r="AG93" s="179">
        <v>0.0</v>
      </c>
      <c r="AH93" s="179">
        <v>0.0</v>
      </c>
      <c r="AI93" s="179">
        <v>0.0</v>
      </c>
      <c r="AJ93" s="179">
        <v>2.0</v>
      </c>
      <c r="AK93" s="179">
        <v>0.0</v>
      </c>
      <c r="AL93" s="179">
        <v>0.0</v>
      </c>
      <c r="AM93" s="179">
        <v>0.0</v>
      </c>
      <c r="AN93" s="179">
        <v>0.0</v>
      </c>
      <c r="AO93" s="179">
        <v>1.0</v>
      </c>
      <c r="AP93" s="179">
        <v>0.0</v>
      </c>
      <c r="AQ93" s="180">
        <v>0.0</v>
      </c>
      <c r="AR93" s="179">
        <v>0.0</v>
      </c>
      <c r="AS93" s="179">
        <v>0.0</v>
      </c>
    </row>
    <row r="94">
      <c r="A94" s="177" t="s">
        <v>84</v>
      </c>
      <c r="B94" s="178">
        <v>367.0</v>
      </c>
      <c r="C94" s="179">
        <v>0.0</v>
      </c>
      <c r="D94" s="179">
        <v>1.0</v>
      </c>
      <c r="E94" s="179">
        <v>1.0</v>
      </c>
      <c r="F94" s="179">
        <v>6.0</v>
      </c>
      <c r="G94" s="179">
        <v>0.0</v>
      </c>
      <c r="H94" s="179">
        <v>1.0</v>
      </c>
      <c r="I94" s="179">
        <v>0.0</v>
      </c>
      <c r="J94" s="179">
        <v>1.0</v>
      </c>
      <c r="K94" s="179">
        <v>4.0</v>
      </c>
      <c r="L94" s="179">
        <v>4.0</v>
      </c>
      <c r="M94" s="179">
        <v>1.0</v>
      </c>
      <c r="N94" s="179">
        <v>0.0</v>
      </c>
      <c r="O94" s="179">
        <v>0.0</v>
      </c>
      <c r="P94" s="179">
        <v>0.0</v>
      </c>
      <c r="Q94" s="179">
        <v>10.0</v>
      </c>
      <c r="R94" s="179">
        <v>7.0</v>
      </c>
      <c r="S94" s="179">
        <v>0.0</v>
      </c>
      <c r="T94" s="179">
        <v>0.0</v>
      </c>
      <c r="U94" s="179">
        <v>0.0</v>
      </c>
      <c r="V94" s="179">
        <v>0.0</v>
      </c>
      <c r="W94" s="179">
        <v>1.0</v>
      </c>
      <c r="X94" s="179">
        <v>8.0</v>
      </c>
      <c r="Y94" s="179">
        <v>3.0</v>
      </c>
      <c r="Z94" s="179">
        <v>0.0</v>
      </c>
      <c r="AA94" s="179">
        <v>0.0</v>
      </c>
      <c r="AB94" s="179">
        <v>0.0</v>
      </c>
      <c r="AC94" s="179">
        <v>1.0</v>
      </c>
      <c r="AD94" s="179">
        <v>5.0</v>
      </c>
      <c r="AE94" s="179">
        <v>1.0</v>
      </c>
      <c r="AF94" s="179">
        <v>0.0</v>
      </c>
      <c r="AG94" s="179">
        <v>0.0</v>
      </c>
      <c r="AH94" s="179">
        <v>0.0</v>
      </c>
      <c r="AI94" s="179">
        <v>0.0</v>
      </c>
      <c r="AJ94" s="179">
        <v>1.0</v>
      </c>
      <c r="AK94" s="179">
        <v>0.0</v>
      </c>
      <c r="AL94" s="179">
        <v>0.0</v>
      </c>
      <c r="AM94" s="179">
        <v>0.0</v>
      </c>
      <c r="AN94" s="179">
        <v>0.0</v>
      </c>
      <c r="AO94" s="179">
        <v>0.0</v>
      </c>
      <c r="AP94" s="179">
        <v>0.0</v>
      </c>
      <c r="AQ94" s="180">
        <v>0.0</v>
      </c>
      <c r="AR94" s="179">
        <v>0.0</v>
      </c>
      <c r="AS94" s="179">
        <v>0.0</v>
      </c>
    </row>
    <row r="95">
      <c r="A95" s="177" t="s">
        <v>84</v>
      </c>
      <c r="B95" s="178">
        <v>368.0</v>
      </c>
      <c r="C95" s="179">
        <v>0.0</v>
      </c>
      <c r="D95" s="179">
        <v>0.0</v>
      </c>
      <c r="E95" s="179">
        <v>1.0</v>
      </c>
      <c r="F95" s="179">
        <v>13.0</v>
      </c>
      <c r="G95" s="179">
        <v>0.0</v>
      </c>
      <c r="H95" s="179">
        <v>0.0</v>
      </c>
      <c r="I95" s="179">
        <v>0.0</v>
      </c>
      <c r="J95" s="179">
        <v>7.0</v>
      </c>
      <c r="K95" s="179">
        <v>13.0</v>
      </c>
      <c r="L95" s="179">
        <v>9.0</v>
      </c>
      <c r="M95" s="179">
        <v>2.0</v>
      </c>
      <c r="N95" s="179">
        <v>0.0</v>
      </c>
      <c r="O95" s="179">
        <v>0.0</v>
      </c>
      <c r="P95" s="179">
        <v>2.0</v>
      </c>
      <c r="Q95" s="179">
        <v>11.0</v>
      </c>
      <c r="R95" s="179">
        <v>9.0</v>
      </c>
      <c r="S95" s="179">
        <v>0.0</v>
      </c>
      <c r="T95" s="179">
        <v>0.0</v>
      </c>
      <c r="U95" s="179">
        <v>0.0</v>
      </c>
      <c r="V95" s="179">
        <v>0.0</v>
      </c>
      <c r="W95" s="179">
        <v>3.0</v>
      </c>
      <c r="X95" s="179">
        <v>17.0</v>
      </c>
      <c r="Y95" s="179">
        <v>1.0</v>
      </c>
      <c r="Z95" s="179">
        <v>0.0</v>
      </c>
      <c r="AA95" s="179">
        <v>0.0</v>
      </c>
      <c r="AB95" s="179">
        <v>0.0</v>
      </c>
      <c r="AC95" s="179">
        <v>2.0</v>
      </c>
      <c r="AD95" s="179">
        <v>7.0</v>
      </c>
      <c r="AE95" s="179">
        <v>3.0</v>
      </c>
      <c r="AF95" s="179">
        <v>0.0</v>
      </c>
      <c r="AG95" s="179">
        <v>0.0</v>
      </c>
      <c r="AH95" s="179">
        <v>0.0</v>
      </c>
      <c r="AI95" s="179">
        <v>0.0</v>
      </c>
      <c r="AJ95" s="179">
        <v>2.0</v>
      </c>
      <c r="AK95" s="179">
        <v>1.0</v>
      </c>
      <c r="AL95" s="179">
        <v>0.0</v>
      </c>
      <c r="AM95" s="179">
        <v>0.0</v>
      </c>
      <c r="AN95" s="179">
        <v>0.0</v>
      </c>
      <c r="AO95" s="179">
        <v>0.0</v>
      </c>
      <c r="AP95" s="179">
        <v>0.0</v>
      </c>
      <c r="AQ95" s="180">
        <v>0.0</v>
      </c>
      <c r="AR95" s="179">
        <v>0.0</v>
      </c>
      <c r="AS95" s="179">
        <v>0.0</v>
      </c>
    </row>
    <row r="96">
      <c r="A96" s="177" t="s">
        <v>84</v>
      </c>
      <c r="B96" s="178">
        <v>369.0</v>
      </c>
      <c r="C96" s="179">
        <v>0.0</v>
      </c>
      <c r="D96" s="179">
        <v>0.0</v>
      </c>
      <c r="E96" s="179">
        <v>1.0</v>
      </c>
      <c r="F96" s="179">
        <v>1.0</v>
      </c>
      <c r="G96" s="179">
        <v>0.0</v>
      </c>
      <c r="H96" s="179">
        <v>0.0</v>
      </c>
      <c r="I96" s="179">
        <v>0.0</v>
      </c>
      <c r="J96" s="179">
        <v>0.0</v>
      </c>
      <c r="K96" s="179">
        <v>1.0</v>
      </c>
      <c r="L96" s="179">
        <v>0.0</v>
      </c>
      <c r="M96" s="179">
        <v>0.0</v>
      </c>
      <c r="N96" s="179">
        <v>0.0</v>
      </c>
      <c r="O96" s="179">
        <v>0.0</v>
      </c>
      <c r="P96" s="179">
        <v>0.0</v>
      </c>
      <c r="Q96" s="179">
        <v>0.0</v>
      </c>
      <c r="R96" s="179">
        <v>2.0</v>
      </c>
      <c r="S96" s="179">
        <v>1.0</v>
      </c>
      <c r="T96" s="179">
        <v>0.0</v>
      </c>
      <c r="U96" s="179">
        <v>0.0</v>
      </c>
      <c r="V96" s="179">
        <v>0.0</v>
      </c>
      <c r="W96" s="179">
        <v>0.0</v>
      </c>
      <c r="X96" s="179">
        <v>0.0</v>
      </c>
      <c r="Y96" s="179">
        <v>0.0</v>
      </c>
      <c r="Z96" s="179">
        <v>0.0</v>
      </c>
      <c r="AA96" s="179">
        <v>0.0</v>
      </c>
      <c r="AB96" s="179">
        <v>0.0</v>
      </c>
      <c r="AC96" s="179">
        <v>2.0</v>
      </c>
      <c r="AD96" s="179">
        <v>0.0</v>
      </c>
      <c r="AE96" s="179">
        <v>0.0</v>
      </c>
      <c r="AF96" s="179">
        <v>0.0</v>
      </c>
      <c r="AG96" s="179">
        <v>0.0</v>
      </c>
      <c r="AH96" s="179">
        <v>0.0</v>
      </c>
      <c r="AI96" s="179">
        <v>0.0</v>
      </c>
      <c r="AJ96" s="179">
        <v>0.0</v>
      </c>
      <c r="AK96" s="179">
        <v>1.0</v>
      </c>
      <c r="AL96" s="179">
        <v>0.0</v>
      </c>
      <c r="AM96" s="179">
        <v>0.0</v>
      </c>
      <c r="AN96" s="179">
        <v>0.0</v>
      </c>
      <c r="AO96" s="179">
        <v>0.0</v>
      </c>
      <c r="AP96" s="179">
        <v>0.0</v>
      </c>
      <c r="AQ96" s="180">
        <v>0.0</v>
      </c>
      <c r="AR96" s="179">
        <v>0.0</v>
      </c>
      <c r="AS96" s="179">
        <v>0.0</v>
      </c>
    </row>
    <row r="97">
      <c r="A97" s="177" t="s">
        <v>84</v>
      </c>
      <c r="B97" s="178">
        <v>370.0</v>
      </c>
      <c r="C97" s="179">
        <v>0.0</v>
      </c>
      <c r="D97" s="179">
        <v>0.0</v>
      </c>
      <c r="E97" s="179">
        <v>0.0</v>
      </c>
      <c r="F97" s="179">
        <v>0.0</v>
      </c>
      <c r="G97" s="179">
        <v>0.0</v>
      </c>
      <c r="H97" s="179">
        <v>0.0</v>
      </c>
      <c r="I97" s="179">
        <v>0.0</v>
      </c>
      <c r="J97" s="179">
        <v>0.0</v>
      </c>
      <c r="K97" s="179">
        <v>1.0</v>
      </c>
      <c r="L97" s="179">
        <v>0.0</v>
      </c>
      <c r="M97" s="179">
        <v>0.0</v>
      </c>
      <c r="N97" s="179">
        <v>0.0</v>
      </c>
      <c r="O97" s="179">
        <v>0.0</v>
      </c>
      <c r="P97" s="179">
        <v>0.0</v>
      </c>
      <c r="Q97" s="179">
        <v>0.0</v>
      </c>
      <c r="R97" s="179">
        <v>0.0</v>
      </c>
      <c r="S97" s="179">
        <v>0.0</v>
      </c>
      <c r="T97" s="179">
        <v>0.0</v>
      </c>
      <c r="U97" s="179">
        <v>0.0</v>
      </c>
      <c r="V97" s="179">
        <v>0.0</v>
      </c>
      <c r="W97" s="179">
        <v>0.0</v>
      </c>
      <c r="X97" s="179">
        <v>0.0</v>
      </c>
      <c r="Y97" s="179">
        <v>0.0</v>
      </c>
      <c r="Z97" s="179">
        <v>0.0</v>
      </c>
      <c r="AA97" s="179">
        <v>0.0</v>
      </c>
      <c r="AB97" s="179">
        <v>0.0</v>
      </c>
      <c r="AC97" s="179">
        <v>0.0</v>
      </c>
      <c r="AD97" s="179">
        <v>0.0</v>
      </c>
      <c r="AE97" s="179">
        <v>0.0</v>
      </c>
      <c r="AF97" s="179">
        <v>0.0</v>
      </c>
      <c r="AG97" s="179">
        <v>0.0</v>
      </c>
      <c r="AH97" s="179">
        <v>0.0</v>
      </c>
      <c r="AI97" s="179">
        <v>0.0</v>
      </c>
      <c r="AJ97" s="179">
        <v>0.0</v>
      </c>
      <c r="AK97" s="179">
        <v>0.0</v>
      </c>
      <c r="AL97" s="179">
        <v>0.0</v>
      </c>
      <c r="AM97" s="179">
        <v>0.0</v>
      </c>
      <c r="AN97" s="179">
        <v>0.0</v>
      </c>
      <c r="AO97" s="179">
        <v>0.0</v>
      </c>
      <c r="AP97" s="179">
        <v>0.0</v>
      </c>
      <c r="AQ97" s="180">
        <v>0.0</v>
      </c>
      <c r="AR97" s="179">
        <v>0.0</v>
      </c>
      <c r="AS97" s="179">
        <v>0.0</v>
      </c>
    </row>
    <row r="98">
      <c r="A98" s="177" t="s">
        <v>84</v>
      </c>
      <c r="B98" s="178">
        <v>371.0</v>
      </c>
      <c r="C98" s="179">
        <v>0.0</v>
      </c>
      <c r="D98" s="179">
        <v>0.0</v>
      </c>
      <c r="E98" s="179">
        <v>0.0</v>
      </c>
      <c r="F98" s="179">
        <v>3.0</v>
      </c>
      <c r="G98" s="179">
        <v>0.0</v>
      </c>
      <c r="H98" s="179">
        <v>0.0</v>
      </c>
      <c r="I98" s="179">
        <v>0.0</v>
      </c>
      <c r="J98" s="179">
        <v>0.0</v>
      </c>
      <c r="K98" s="179">
        <v>0.0</v>
      </c>
      <c r="L98" s="179">
        <v>1.0</v>
      </c>
      <c r="M98" s="179">
        <v>0.0</v>
      </c>
      <c r="N98" s="179">
        <v>0.0</v>
      </c>
      <c r="O98" s="179">
        <v>0.0</v>
      </c>
      <c r="P98" s="179">
        <v>0.0</v>
      </c>
      <c r="Q98" s="179">
        <v>0.0</v>
      </c>
      <c r="R98" s="179">
        <v>1.0</v>
      </c>
      <c r="S98" s="179">
        <v>0.0</v>
      </c>
      <c r="T98" s="179">
        <v>0.0</v>
      </c>
      <c r="U98" s="179">
        <v>0.0</v>
      </c>
      <c r="V98" s="179">
        <v>0.0</v>
      </c>
      <c r="W98" s="179">
        <v>0.0</v>
      </c>
      <c r="X98" s="179">
        <v>4.0</v>
      </c>
      <c r="Y98" s="179">
        <v>1.0</v>
      </c>
      <c r="Z98" s="179">
        <v>0.0</v>
      </c>
      <c r="AA98" s="179">
        <v>0.0</v>
      </c>
      <c r="AB98" s="179">
        <v>0.0</v>
      </c>
      <c r="AC98" s="179">
        <v>0.0</v>
      </c>
      <c r="AD98" s="179">
        <v>0.0</v>
      </c>
      <c r="AE98" s="179">
        <v>1.0</v>
      </c>
      <c r="AF98" s="179">
        <v>0.0</v>
      </c>
      <c r="AG98" s="179">
        <v>0.0</v>
      </c>
      <c r="AH98" s="179">
        <v>0.0</v>
      </c>
      <c r="AI98" s="179">
        <v>0.0</v>
      </c>
      <c r="AJ98" s="179">
        <v>2.0</v>
      </c>
      <c r="AK98" s="179">
        <v>0.0</v>
      </c>
      <c r="AL98" s="179">
        <v>0.0</v>
      </c>
      <c r="AM98" s="179">
        <v>0.0</v>
      </c>
      <c r="AN98" s="179">
        <v>0.0</v>
      </c>
      <c r="AO98" s="179">
        <v>0.0</v>
      </c>
      <c r="AP98" s="179">
        <v>0.0</v>
      </c>
      <c r="AQ98" s="180">
        <v>0.0</v>
      </c>
      <c r="AR98" s="179">
        <v>0.0</v>
      </c>
      <c r="AS98" s="179">
        <v>0.0</v>
      </c>
    </row>
    <row r="99">
      <c r="A99" s="177" t="s">
        <v>84</v>
      </c>
      <c r="B99" s="178">
        <v>372.0</v>
      </c>
      <c r="C99" s="179">
        <v>0.0</v>
      </c>
      <c r="D99" s="179">
        <v>0.0</v>
      </c>
      <c r="E99" s="179">
        <v>1.0</v>
      </c>
      <c r="F99" s="179">
        <v>0.0</v>
      </c>
      <c r="G99" s="179">
        <v>0.0</v>
      </c>
      <c r="H99" s="179">
        <v>0.0</v>
      </c>
      <c r="I99" s="179">
        <v>0.0</v>
      </c>
      <c r="J99" s="179">
        <v>0.0</v>
      </c>
      <c r="K99" s="179">
        <v>0.0</v>
      </c>
      <c r="L99" s="179">
        <v>0.0</v>
      </c>
      <c r="M99" s="179">
        <v>0.0</v>
      </c>
      <c r="N99" s="179">
        <v>0.0</v>
      </c>
      <c r="O99" s="179">
        <v>0.0</v>
      </c>
      <c r="P99" s="179">
        <v>0.0</v>
      </c>
      <c r="Q99" s="179">
        <v>2.0</v>
      </c>
      <c r="R99" s="179">
        <v>1.0</v>
      </c>
      <c r="S99" s="179">
        <v>0.0</v>
      </c>
      <c r="T99" s="179">
        <v>0.0</v>
      </c>
      <c r="U99" s="179">
        <v>0.0</v>
      </c>
      <c r="V99" s="179">
        <v>0.0</v>
      </c>
      <c r="W99" s="179">
        <v>0.0</v>
      </c>
      <c r="X99" s="179">
        <v>2.0</v>
      </c>
      <c r="Y99" s="179">
        <v>0.0</v>
      </c>
      <c r="Z99" s="179">
        <v>0.0</v>
      </c>
      <c r="AA99" s="179">
        <v>0.0</v>
      </c>
      <c r="AB99" s="179">
        <v>0.0</v>
      </c>
      <c r="AC99" s="179">
        <v>0.0</v>
      </c>
      <c r="AD99" s="179">
        <v>0.0</v>
      </c>
      <c r="AE99" s="179">
        <v>0.0</v>
      </c>
      <c r="AF99" s="179">
        <v>0.0</v>
      </c>
      <c r="AG99" s="179">
        <v>0.0</v>
      </c>
      <c r="AH99" s="179">
        <v>0.0</v>
      </c>
      <c r="AI99" s="179">
        <v>0.0</v>
      </c>
      <c r="AJ99" s="179">
        <v>0.0</v>
      </c>
      <c r="AK99" s="179">
        <v>0.0</v>
      </c>
      <c r="AL99" s="179">
        <v>0.0</v>
      </c>
      <c r="AM99" s="179">
        <v>0.0</v>
      </c>
      <c r="AN99" s="179">
        <v>0.0</v>
      </c>
      <c r="AO99" s="179">
        <v>0.0</v>
      </c>
      <c r="AP99" s="179">
        <v>0.0</v>
      </c>
      <c r="AQ99" s="180">
        <v>0.0</v>
      </c>
      <c r="AR99" s="179">
        <v>0.0</v>
      </c>
      <c r="AS99" s="179">
        <v>0.0</v>
      </c>
    </row>
    <row r="100">
      <c r="A100" s="177" t="s">
        <v>84</v>
      </c>
      <c r="B100" s="178">
        <v>373.0</v>
      </c>
      <c r="C100" s="179">
        <v>0.0</v>
      </c>
      <c r="D100" s="179">
        <v>0.0</v>
      </c>
      <c r="E100" s="179">
        <v>0.0</v>
      </c>
      <c r="F100" s="179">
        <v>0.0</v>
      </c>
      <c r="G100" s="179">
        <v>0.0</v>
      </c>
      <c r="H100" s="179">
        <v>0.0</v>
      </c>
      <c r="I100" s="179">
        <v>0.0</v>
      </c>
      <c r="J100" s="179">
        <v>2.0</v>
      </c>
      <c r="K100" s="179">
        <v>5.0</v>
      </c>
      <c r="L100" s="179">
        <v>4.0</v>
      </c>
      <c r="M100" s="179">
        <v>0.0</v>
      </c>
      <c r="N100" s="179">
        <v>0.0</v>
      </c>
      <c r="O100" s="179">
        <v>0.0</v>
      </c>
      <c r="P100" s="179">
        <v>0.0</v>
      </c>
      <c r="Q100" s="179">
        <v>3.0</v>
      </c>
      <c r="R100" s="179">
        <v>3.0</v>
      </c>
      <c r="S100" s="179">
        <v>0.0</v>
      </c>
      <c r="T100" s="179">
        <v>0.0</v>
      </c>
      <c r="U100" s="179">
        <v>0.0</v>
      </c>
      <c r="V100" s="179">
        <v>0.0</v>
      </c>
      <c r="W100" s="179">
        <v>2.0</v>
      </c>
      <c r="X100" s="179">
        <v>4.0</v>
      </c>
      <c r="Y100" s="179">
        <v>0.0</v>
      </c>
      <c r="Z100" s="179">
        <v>0.0</v>
      </c>
      <c r="AA100" s="179">
        <v>0.0</v>
      </c>
      <c r="AB100" s="179">
        <v>0.0</v>
      </c>
      <c r="AC100" s="179">
        <v>0.0</v>
      </c>
      <c r="AD100" s="179">
        <v>1.0</v>
      </c>
      <c r="AE100" s="179">
        <v>1.0</v>
      </c>
      <c r="AF100" s="179">
        <v>0.0</v>
      </c>
      <c r="AG100" s="179">
        <v>0.0</v>
      </c>
      <c r="AH100" s="179">
        <v>0.0</v>
      </c>
      <c r="AI100" s="179">
        <v>0.0</v>
      </c>
      <c r="AJ100" s="179">
        <v>1.0</v>
      </c>
      <c r="AK100" s="179">
        <v>0.0</v>
      </c>
      <c r="AL100" s="179">
        <v>0.0</v>
      </c>
      <c r="AM100" s="179">
        <v>0.0</v>
      </c>
      <c r="AN100" s="179">
        <v>0.0</v>
      </c>
      <c r="AO100" s="179">
        <v>0.0</v>
      </c>
      <c r="AP100" s="179">
        <v>0.0</v>
      </c>
      <c r="AQ100" s="180">
        <v>0.0</v>
      </c>
      <c r="AR100" s="179">
        <v>0.0</v>
      </c>
      <c r="AS100" s="179">
        <v>0.0</v>
      </c>
    </row>
    <row r="101">
      <c r="A101" s="177" t="s">
        <v>84</v>
      </c>
      <c r="B101" s="178">
        <v>374.0</v>
      </c>
      <c r="C101" s="179">
        <v>1.0</v>
      </c>
      <c r="D101" s="179">
        <v>1.0</v>
      </c>
      <c r="E101" s="179">
        <v>1.0</v>
      </c>
      <c r="F101" s="179">
        <v>11.0</v>
      </c>
      <c r="G101" s="179">
        <v>1.0</v>
      </c>
      <c r="H101" s="179">
        <v>0.0</v>
      </c>
      <c r="I101" s="179">
        <v>0.0</v>
      </c>
      <c r="J101" s="179">
        <v>2.0</v>
      </c>
      <c r="K101" s="179">
        <v>9.0</v>
      </c>
      <c r="L101" s="179">
        <v>11.0</v>
      </c>
      <c r="M101" s="179">
        <v>0.0</v>
      </c>
      <c r="N101" s="179">
        <v>0.0</v>
      </c>
      <c r="O101" s="179">
        <v>0.0</v>
      </c>
      <c r="P101" s="179">
        <v>1.0</v>
      </c>
      <c r="Q101" s="179">
        <v>7.0</v>
      </c>
      <c r="R101" s="179">
        <v>13.0</v>
      </c>
      <c r="S101" s="179">
        <v>3.0</v>
      </c>
      <c r="T101" s="179">
        <v>0.0</v>
      </c>
      <c r="U101" s="179">
        <v>0.0</v>
      </c>
      <c r="V101" s="179">
        <v>0.0</v>
      </c>
      <c r="W101" s="179">
        <v>2.0</v>
      </c>
      <c r="X101" s="179">
        <v>5.0</v>
      </c>
      <c r="Y101" s="179">
        <v>2.0</v>
      </c>
      <c r="Z101" s="179">
        <v>0.0</v>
      </c>
      <c r="AA101" s="179">
        <v>0.0</v>
      </c>
      <c r="AB101" s="179">
        <v>0.0</v>
      </c>
      <c r="AC101" s="179">
        <v>1.0</v>
      </c>
      <c r="AD101" s="179">
        <v>4.0</v>
      </c>
      <c r="AE101" s="179">
        <v>1.0</v>
      </c>
      <c r="AF101" s="179">
        <v>0.0</v>
      </c>
      <c r="AG101" s="179">
        <v>0.0</v>
      </c>
      <c r="AH101" s="179">
        <v>1.0</v>
      </c>
      <c r="AI101" s="179">
        <v>0.0</v>
      </c>
      <c r="AJ101" s="179">
        <v>3.0</v>
      </c>
      <c r="AK101" s="179">
        <v>0.0</v>
      </c>
      <c r="AL101" s="179">
        <v>0.0</v>
      </c>
      <c r="AM101" s="179">
        <v>0.0</v>
      </c>
      <c r="AN101" s="179">
        <v>0.0</v>
      </c>
      <c r="AO101" s="179">
        <v>0.0</v>
      </c>
      <c r="AP101" s="179">
        <v>0.0</v>
      </c>
      <c r="AQ101" s="180">
        <v>0.0</v>
      </c>
      <c r="AR101" s="179">
        <v>0.0</v>
      </c>
      <c r="AS101" s="179">
        <v>0.0</v>
      </c>
    </row>
    <row r="102">
      <c r="A102" s="177" t="s">
        <v>84</v>
      </c>
      <c r="B102" s="178">
        <v>375.0</v>
      </c>
      <c r="C102" s="179">
        <v>0.0</v>
      </c>
      <c r="D102" s="179">
        <v>0.0</v>
      </c>
      <c r="E102" s="179">
        <v>1.0</v>
      </c>
      <c r="F102" s="179">
        <v>2.0</v>
      </c>
      <c r="G102" s="179">
        <v>3.0</v>
      </c>
      <c r="H102" s="179">
        <v>0.0</v>
      </c>
      <c r="I102" s="179">
        <v>0.0</v>
      </c>
      <c r="J102" s="179">
        <v>0.0</v>
      </c>
      <c r="K102" s="179">
        <v>7.0</v>
      </c>
      <c r="L102" s="179">
        <v>2.0</v>
      </c>
      <c r="M102" s="179">
        <v>0.0</v>
      </c>
      <c r="N102" s="179">
        <v>0.0</v>
      </c>
      <c r="O102" s="179">
        <v>0.0</v>
      </c>
      <c r="P102" s="179">
        <v>0.0</v>
      </c>
      <c r="Q102" s="179">
        <v>1.0</v>
      </c>
      <c r="R102" s="179">
        <v>3.0</v>
      </c>
      <c r="S102" s="179">
        <v>0.0</v>
      </c>
      <c r="T102" s="179">
        <v>0.0</v>
      </c>
      <c r="U102" s="179">
        <v>0.0</v>
      </c>
      <c r="V102" s="179">
        <v>0.0</v>
      </c>
      <c r="W102" s="179">
        <v>0.0</v>
      </c>
      <c r="X102" s="179">
        <v>2.0</v>
      </c>
      <c r="Y102" s="179">
        <v>0.0</v>
      </c>
      <c r="Z102" s="179">
        <v>0.0</v>
      </c>
      <c r="AA102" s="179">
        <v>0.0</v>
      </c>
      <c r="AB102" s="179">
        <v>0.0</v>
      </c>
      <c r="AC102" s="179">
        <v>0.0</v>
      </c>
      <c r="AD102" s="179">
        <v>1.0</v>
      </c>
      <c r="AE102" s="179">
        <v>1.0</v>
      </c>
      <c r="AF102" s="179">
        <v>0.0</v>
      </c>
      <c r="AG102" s="179">
        <v>0.0</v>
      </c>
      <c r="AH102" s="179">
        <v>0.0</v>
      </c>
      <c r="AI102" s="179">
        <v>0.0</v>
      </c>
      <c r="AJ102" s="179">
        <v>0.0</v>
      </c>
      <c r="AK102" s="179">
        <v>0.0</v>
      </c>
      <c r="AL102" s="179">
        <v>0.0</v>
      </c>
      <c r="AM102" s="179">
        <v>0.0</v>
      </c>
      <c r="AN102" s="179">
        <v>0.0</v>
      </c>
      <c r="AO102" s="179">
        <v>0.0</v>
      </c>
      <c r="AP102" s="179">
        <v>0.0</v>
      </c>
      <c r="AQ102" s="180">
        <v>0.0</v>
      </c>
      <c r="AR102" s="179">
        <v>0.0</v>
      </c>
      <c r="AS102" s="179">
        <v>0.0</v>
      </c>
    </row>
    <row r="103">
      <c r="A103" s="177" t="s">
        <v>84</v>
      </c>
      <c r="B103" s="178">
        <v>376.0</v>
      </c>
      <c r="C103" s="179">
        <v>0.0</v>
      </c>
      <c r="D103" s="179">
        <v>1.0</v>
      </c>
      <c r="E103" s="179">
        <v>1.0</v>
      </c>
      <c r="F103" s="179">
        <v>10.0</v>
      </c>
      <c r="G103" s="179">
        <v>0.0</v>
      </c>
      <c r="H103" s="179">
        <v>0.0</v>
      </c>
      <c r="I103" s="179">
        <v>0.0</v>
      </c>
      <c r="J103" s="179">
        <v>3.0</v>
      </c>
      <c r="K103" s="179">
        <v>21.0</v>
      </c>
      <c r="L103" s="179">
        <v>13.0</v>
      </c>
      <c r="M103" s="179">
        <v>0.0</v>
      </c>
      <c r="N103" s="179">
        <v>0.0</v>
      </c>
      <c r="O103" s="179">
        <v>0.0</v>
      </c>
      <c r="P103" s="179">
        <v>1.0</v>
      </c>
      <c r="Q103" s="179">
        <v>4.0</v>
      </c>
      <c r="R103" s="179">
        <v>10.0</v>
      </c>
      <c r="S103" s="179">
        <v>3.0</v>
      </c>
      <c r="T103" s="179">
        <v>0.0</v>
      </c>
      <c r="U103" s="179">
        <v>0.0</v>
      </c>
      <c r="V103" s="179">
        <v>0.0</v>
      </c>
      <c r="W103" s="179">
        <v>3.0</v>
      </c>
      <c r="X103" s="179">
        <v>12.0</v>
      </c>
      <c r="Y103" s="179">
        <v>0.0</v>
      </c>
      <c r="Z103" s="179">
        <v>0.0</v>
      </c>
      <c r="AA103" s="179">
        <v>0.0</v>
      </c>
      <c r="AB103" s="179">
        <v>0.0</v>
      </c>
      <c r="AC103" s="179">
        <v>2.0</v>
      </c>
      <c r="AD103" s="179">
        <v>2.0</v>
      </c>
      <c r="AE103" s="179">
        <v>0.0</v>
      </c>
      <c r="AF103" s="179">
        <v>0.0</v>
      </c>
      <c r="AG103" s="179">
        <v>0.0</v>
      </c>
      <c r="AH103" s="179">
        <v>0.0</v>
      </c>
      <c r="AI103" s="179">
        <v>0.0</v>
      </c>
      <c r="AJ103" s="179">
        <v>5.0</v>
      </c>
      <c r="AK103" s="179">
        <v>0.0</v>
      </c>
      <c r="AL103" s="179">
        <v>0.0</v>
      </c>
      <c r="AM103" s="179">
        <v>0.0</v>
      </c>
      <c r="AN103" s="179">
        <v>0.0</v>
      </c>
      <c r="AO103" s="179">
        <v>2.0</v>
      </c>
      <c r="AP103" s="179">
        <v>0.0</v>
      </c>
      <c r="AQ103" s="180">
        <v>0.0</v>
      </c>
      <c r="AR103" s="179">
        <v>0.0</v>
      </c>
      <c r="AS103" s="179">
        <v>0.0</v>
      </c>
    </row>
    <row r="104">
      <c r="A104" s="177" t="s">
        <v>84</v>
      </c>
      <c r="B104" s="178">
        <v>378.0</v>
      </c>
      <c r="C104" s="179">
        <v>0.0</v>
      </c>
      <c r="D104" s="179">
        <v>0.0</v>
      </c>
      <c r="E104" s="179">
        <v>0.0</v>
      </c>
      <c r="F104" s="179">
        <v>3.0</v>
      </c>
      <c r="G104" s="179">
        <v>0.0</v>
      </c>
      <c r="H104" s="179">
        <v>0.0</v>
      </c>
      <c r="I104" s="179">
        <v>0.0</v>
      </c>
      <c r="J104" s="179">
        <v>0.0</v>
      </c>
      <c r="K104" s="179">
        <v>1.0</v>
      </c>
      <c r="L104" s="179">
        <v>2.0</v>
      </c>
      <c r="M104" s="179">
        <v>0.0</v>
      </c>
      <c r="N104" s="179">
        <v>0.0</v>
      </c>
      <c r="O104" s="179">
        <v>0.0</v>
      </c>
      <c r="P104" s="179">
        <v>0.0</v>
      </c>
      <c r="Q104" s="179">
        <v>3.0</v>
      </c>
      <c r="R104" s="179">
        <v>0.0</v>
      </c>
      <c r="S104" s="179">
        <v>0.0</v>
      </c>
      <c r="T104" s="179">
        <v>0.0</v>
      </c>
      <c r="U104" s="179">
        <v>0.0</v>
      </c>
      <c r="V104" s="179">
        <v>0.0</v>
      </c>
      <c r="W104" s="179">
        <v>0.0</v>
      </c>
      <c r="X104" s="179">
        <v>4.0</v>
      </c>
      <c r="Y104" s="179">
        <v>1.0</v>
      </c>
      <c r="Z104" s="179">
        <v>0.0</v>
      </c>
      <c r="AA104" s="179">
        <v>0.0</v>
      </c>
      <c r="AB104" s="179">
        <v>0.0</v>
      </c>
      <c r="AC104" s="179">
        <v>0.0</v>
      </c>
      <c r="AD104" s="179">
        <v>0.0</v>
      </c>
      <c r="AE104" s="179">
        <v>0.0</v>
      </c>
      <c r="AF104" s="179">
        <v>0.0</v>
      </c>
      <c r="AG104" s="179">
        <v>0.0</v>
      </c>
      <c r="AH104" s="179">
        <v>0.0</v>
      </c>
      <c r="AI104" s="179">
        <v>0.0</v>
      </c>
      <c r="AJ104" s="179">
        <v>0.0</v>
      </c>
      <c r="AK104" s="179">
        <v>0.0</v>
      </c>
      <c r="AL104" s="179">
        <v>0.0</v>
      </c>
      <c r="AM104" s="179">
        <v>0.0</v>
      </c>
      <c r="AN104" s="179">
        <v>0.0</v>
      </c>
      <c r="AO104" s="179">
        <v>0.0</v>
      </c>
      <c r="AP104" s="179">
        <v>0.0</v>
      </c>
      <c r="AQ104" s="180">
        <v>0.0</v>
      </c>
      <c r="AR104" s="179">
        <v>0.0</v>
      </c>
      <c r="AS104" s="179">
        <v>0.0</v>
      </c>
    </row>
    <row r="105">
      <c r="A105" s="177" t="s">
        <v>84</v>
      </c>
      <c r="B105" s="178">
        <v>379.0</v>
      </c>
      <c r="C105" s="179">
        <v>0.0</v>
      </c>
      <c r="D105" s="179">
        <v>0.0</v>
      </c>
      <c r="E105" s="179">
        <v>0.0</v>
      </c>
      <c r="F105" s="179">
        <v>5.0</v>
      </c>
      <c r="G105" s="179">
        <v>1.0</v>
      </c>
      <c r="H105" s="179">
        <v>0.0</v>
      </c>
      <c r="I105" s="179">
        <v>0.0</v>
      </c>
      <c r="J105" s="179">
        <v>0.0</v>
      </c>
      <c r="K105" s="179">
        <v>4.0</v>
      </c>
      <c r="L105" s="179">
        <v>1.0</v>
      </c>
      <c r="M105" s="179">
        <v>0.0</v>
      </c>
      <c r="N105" s="179">
        <v>0.0</v>
      </c>
      <c r="O105" s="179">
        <v>0.0</v>
      </c>
      <c r="P105" s="179">
        <v>0.0</v>
      </c>
      <c r="Q105" s="179">
        <v>3.0</v>
      </c>
      <c r="R105" s="179">
        <v>0.0</v>
      </c>
      <c r="S105" s="179">
        <v>0.0</v>
      </c>
      <c r="T105" s="179">
        <v>0.0</v>
      </c>
      <c r="U105" s="179">
        <v>0.0</v>
      </c>
      <c r="V105" s="179">
        <v>0.0</v>
      </c>
      <c r="W105" s="179">
        <v>1.0</v>
      </c>
      <c r="X105" s="179">
        <v>2.0</v>
      </c>
      <c r="Y105" s="179">
        <v>1.0</v>
      </c>
      <c r="Z105" s="179">
        <v>0.0</v>
      </c>
      <c r="AA105" s="179">
        <v>0.0</v>
      </c>
      <c r="AB105" s="179">
        <v>0.0</v>
      </c>
      <c r="AC105" s="179">
        <v>0.0</v>
      </c>
      <c r="AD105" s="179">
        <v>2.0</v>
      </c>
      <c r="AE105" s="179">
        <v>0.0</v>
      </c>
      <c r="AF105" s="179">
        <v>0.0</v>
      </c>
      <c r="AG105" s="179">
        <v>0.0</v>
      </c>
      <c r="AH105" s="179">
        <v>0.0</v>
      </c>
      <c r="AI105" s="179">
        <v>1.0</v>
      </c>
      <c r="AJ105" s="179">
        <v>0.0</v>
      </c>
      <c r="AK105" s="179">
        <v>0.0</v>
      </c>
      <c r="AL105" s="179">
        <v>0.0</v>
      </c>
      <c r="AM105" s="179">
        <v>0.0</v>
      </c>
      <c r="AN105" s="179">
        <v>0.0</v>
      </c>
      <c r="AO105" s="179">
        <v>0.0</v>
      </c>
      <c r="AP105" s="179">
        <v>0.0</v>
      </c>
      <c r="AQ105" s="180">
        <v>0.0</v>
      </c>
      <c r="AR105" s="179">
        <v>0.0</v>
      </c>
      <c r="AS105" s="179">
        <v>0.0</v>
      </c>
    </row>
    <row r="106">
      <c r="A106" s="177" t="s">
        <v>84</v>
      </c>
      <c r="B106" s="178">
        <v>380.0</v>
      </c>
      <c r="C106" s="179">
        <v>0.0</v>
      </c>
      <c r="D106" s="179">
        <v>0.0</v>
      </c>
      <c r="E106" s="179">
        <v>0.0</v>
      </c>
      <c r="F106" s="179">
        <v>1.0</v>
      </c>
      <c r="G106" s="179">
        <v>0.0</v>
      </c>
      <c r="H106" s="179">
        <v>0.0</v>
      </c>
      <c r="I106" s="179">
        <v>0.0</v>
      </c>
      <c r="J106" s="179">
        <v>1.0</v>
      </c>
      <c r="K106" s="179">
        <v>5.0</v>
      </c>
      <c r="L106" s="179">
        <v>2.0</v>
      </c>
      <c r="M106" s="179">
        <v>1.0</v>
      </c>
      <c r="N106" s="179">
        <v>0.0</v>
      </c>
      <c r="O106" s="179">
        <v>0.0</v>
      </c>
      <c r="P106" s="179">
        <v>0.0</v>
      </c>
      <c r="Q106" s="179">
        <v>2.0</v>
      </c>
      <c r="R106" s="179">
        <v>1.0</v>
      </c>
      <c r="S106" s="179">
        <v>0.0</v>
      </c>
      <c r="T106" s="179">
        <v>0.0</v>
      </c>
      <c r="U106" s="179">
        <v>0.0</v>
      </c>
      <c r="V106" s="179">
        <v>0.0</v>
      </c>
      <c r="W106" s="179">
        <v>0.0</v>
      </c>
      <c r="X106" s="179">
        <v>3.0</v>
      </c>
      <c r="Y106" s="179">
        <v>0.0</v>
      </c>
      <c r="Z106" s="179">
        <v>0.0</v>
      </c>
      <c r="AA106" s="179">
        <v>0.0</v>
      </c>
      <c r="AB106" s="179">
        <v>0.0</v>
      </c>
      <c r="AC106" s="179">
        <v>0.0</v>
      </c>
      <c r="AD106" s="179">
        <v>0.0</v>
      </c>
      <c r="AE106" s="179">
        <v>0.0</v>
      </c>
      <c r="AF106" s="179">
        <v>0.0</v>
      </c>
      <c r="AG106" s="179">
        <v>0.0</v>
      </c>
      <c r="AH106" s="179">
        <v>0.0</v>
      </c>
      <c r="AI106" s="179">
        <v>0.0</v>
      </c>
      <c r="AJ106" s="179">
        <v>1.0</v>
      </c>
      <c r="AK106" s="179">
        <v>0.0</v>
      </c>
      <c r="AL106" s="179">
        <v>0.0</v>
      </c>
      <c r="AM106" s="179">
        <v>0.0</v>
      </c>
      <c r="AN106" s="179">
        <v>0.0</v>
      </c>
      <c r="AO106" s="179">
        <v>0.0</v>
      </c>
      <c r="AP106" s="179">
        <v>0.0</v>
      </c>
      <c r="AQ106" s="180">
        <v>0.0</v>
      </c>
      <c r="AR106" s="179">
        <v>0.0</v>
      </c>
      <c r="AS106" s="179">
        <v>0.0</v>
      </c>
    </row>
    <row r="107">
      <c r="A107" s="177" t="s">
        <v>84</v>
      </c>
      <c r="B107" s="178">
        <v>381.0</v>
      </c>
      <c r="C107" s="179">
        <v>0.0</v>
      </c>
      <c r="D107" s="179">
        <v>0.0</v>
      </c>
      <c r="E107" s="179">
        <v>0.0</v>
      </c>
      <c r="F107" s="179">
        <v>2.0</v>
      </c>
      <c r="G107" s="179">
        <v>0.0</v>
      </c>
      <c r="H107" s="179">
        <v>0.0</v>
      </c>
      <c r="I107" s="179">
        <v>0.0</v>
      </c>
      <c r="J107" s="179">
        <v>0.0</v>
      </c>
      <c r="K107" s="179">
        <v>1.0</v>
      </c>
      <c r="L107" s="179">
        <v>2.0</v>
      </c>
      <c r="M107" s="179">
        <v>0.0</v>
      </c>
      <c r="N107" s="179">
        <v>0.0</v>
      </c>
      <c r="O107" s="179">
        <v>0.0</v>
      </c>
      <c r="P107" s="179">
        <v>0.0</v>
      </c>
      <c r="Q107" s="179">
        <v>4.0</v>
      </c>
      <c r="R107" s="179">
        <v>3.0</v>
      </c>
      <c r="S107" s="179">
        <v>0.0</v>
      </c>
      <c r="T107" s="179">
        <v>0.0</v>
      </c>
      <c r="U107" s="179">
        <v>0.0</v>
      </c>
      <c r="V107" s="179">
        <v>0.0</v>
      </c>
      <c r="W107" s="179">
        <v>0.0</v>
      </c>
      <c r="X107" s="179">
        <v>1.0</v>
      </c>
      <c r="Y107" s="179">
        <v>1.0</v>
      </c>
      <c r="Z107" s="179">
        <v>0.0</v>
      </c>
      <c r="AA107" s="179">
        <v>0.0</v>
      </c>
      <c r="AB107" s="179">
        <v>0.0</v>
      </c>
      <c r="AC107" s="179">
        <v>0.0</v>
      </c>
      <c r="AD107" s="179">
        <v>0.0</v>
      </c>
      <c r="AE107" s="179">
        <v>1.0</v>
      </c>
      <c r="AF107" s="179">
        <v>0.0</v>
      </c>
      <c r="AG107" s="179">
        <v>0.0</v>
      </c>
      <c r="AH107" s="179">
        <v>0.0</v>
      </c>
      <c r="AI107" s="179">
        <v>0.0</v>
      </c>
      <c r="AJ107" s="179">
        <v>1.0</v>
      </c>
      <c r="AK107" s="179">
        <v>0.0</v>
      </c>
      <c r="AL107" s="179">
        <v>0.0</v>
      </c>
      <c r="AM107" s="179">
        <v>0.0</v>
      </c>
      <c r="AN107" s="179">
        <v>0.0</v>
      </c>
      <c r="AO107" s="179">
        <v>1.0</v>
      </c>
      <c r="AP107" s="179">
        <v>0.0</v>
      </c>
      <c r="AQ107" s="180">
        <v>0.0</v>
      </c>
      <c r="AR107" s="179">
        <v>0.0</v>
      </c>
      <c r="AS107" s="179">
        <v>0.0</v>
      </c>
    </row>
    <row r="108">
      <c r="A108" s="177" t="s">
        <v>84</v>
      </c>
      <c r="B108" s="178">
        <v>382.0</v>
      </c>
      <c r="C108" s="179">
        <v>0.0</v>
      </c>
      <c r="D108" s="179">
        <v>0.0</v>
      </c>
      <c r="E108" s="179">
        <v>0.0</v>
      </c>
      <c r="F108" s="179">
        <v>1.0</v>
      </c>
      <c r="G108" s="179">
        <v>0.0</v>
      </c>
      <c r="H108" s="179">
        <v>0.0</v>
      </c>
      <c r="I108" s="179">
        <v>0.0</v>
      </c>
      <c r="J108" s="179">
        <v>1.0</v>
      </c>
      <c r="K108" s="179">
        <v>6.0</v>
      </c>
      <c r="L108" s="179">
        <v>1.0</v>
      </c>
      <c r="M108" s="179">
        <v>0.0</v>
      </c>
      <c r="N108" s="179">
        <v>0.0</v>
      </c>
      <c r="O108" s="179">
        <v>0.0</v>
      </c>
      <c r="P108" s="179">
        <v>0.0</v>
      </c>
      <c r="Q108" s="179">
        <v>4.0</v>
      </c>
      <c r="R108" s="179">
        <v>3.0</v>
      </c>
      <c r="S108" s="179">
        <v>0.0</v>
      </c>
      <c r="T108" s="179">
        <v>0.0</v>
      </c>
      <c r="U108" s="179">
        <v>0.0</v>
      </c>
      <c r="V108" s="179">
        <v>0.0</v>
      </c>
      <c r="W108" s="179">
        <v>0.0</v>
      </c>
      <c r="X108" s="179">
        <v>1.0</v>
      </c>
      <c r="Y108" s="179">
        <v>0.0</v>
      </c>
      <c r="Z108" s="179">
        <v>0.0</v>
      </c>
      <c r="AA108" s="179">
        <v>0.0</v>
      </c>
      <c r="AB108" s="179">
        <v>0.0</v>
      </c>
      <c r="AC108" s="179">
        <v>0.0</v>
      </c>
      <c r="AD108" s="179">
        <v>1.0</v>
      </c>
      <c r="AE108" s="179">
        <v>0.0</v>
      </c>
      <c r="AF108" s="179">
        <v>0.0</v>
      </c>
      <c r="AG108" s="179">
        <v>0.0</v>
      </c>
      <c r="AH108" s="179">
        <v>0.0</v>
      </c>
      <c r="AI108" s="179">
        <v>0.0</v>
      </c>
      <c r="AJ108" s="179">
        <v>1.0</v>
      </c>
      <c r="AK108" s="179">
        <v>0.0</v>
      </c>
      <c r="AL108" s="179">
        <v>0.0</v>
      </c>
      <c r="AM108" s="179">
        <v>0.0</v>
      </c>
      <c r="AN108" s="179">
        <v>0.0</v>
      </c>
      <c r="AO108" s="179">
        <v>0.0</v>
      </c>
      <c r="AP108" s="179">
        <v>0.0</v>
      </c>
      <c r="AQ108" s="180">
        <v>0.0</v>
      </c>
      <c r="AR108" s="179">
        <v>0.0</v>
      </c>
      <c r="AS108" s="179">
        <v>0.0</v>
      </c>
    </row>
    <row r="109">
      <c r="A109" s="177" t="s">
        <v>84</v>
      </c>
      <c r="B109" s="178">
        <v>383.0</v>
      </c>
      <c r="C109" s="179">
        <v>0.0</v>
      </c>
      <c r="D109" s="179">
        <v>1.0</v>
      </c>
      <c r="E109" s="179">
        <v>1.0</v>
      </c>
      <c r="F109" s="179">
        <v>8.0</v>
      </c>
      <c r="G109" s="179">
        <v>1.0</v>
      </c>
      <c r="H109" s="179">
        <v>0.0</v>
      </c>
      <c r="I109" s="179">
        <v>0.0</v>
      </c>
      <c r="J109" s="179">
        <v>1.0</v>
      </c>
      <c r="K109" s="179">
        <v>8.0</v>
      </c>
      <c r="L109" s="179">
        <v>10.0</v>
      </c>
      <c r="M109" s="179">
        <v>0.0</v>
      </c>
      <c r="N109" s="179">
        <v>0.0</v>
      </c>
      <c r="O109" s="179">
        <v>0.0</v>
      </c>
      <c r="P109" s="179">
        <v>1.0</v>
      </c>
      <c r="Q109" s="179">
        <v>8.0</v>
      </c>
      <c r="R109" s="179">
        <v>9.0</v>
      </c>
      <c r="S109" s="179">
        <v>1.0</v>
      </c>
      <c r="T109" s="179">
        <v>0.0</v>
      </c>
      <c r="U109" s="179">
        <v>0.0</v>
      </c>
      <c r="V109" s="179">
        <v>0.0</v>
      </c>
      <c r="W109" s="179">
        <v>4.0</v>
      </c>
      <c r="X109" s="179">
        <v>10.0</v>
      </c>
      <c r="Y109" s="179">
        <v>0.0</v>
      </c>
      <c r="Z109" s="179">
        <v>0.0</v>
      </c>
      <c r="AA109" s="179">
        <v>0.0</v>
      </c>
      <c r="AB109" s="179">
        <v>0.0</v>
      </c>
      <c r="AC109" s="179">
        <v>1.0</v>
      </c>
      <c r="AD109" s="179">
        <v>1.0</v>
      </c>
      <c r="AE109" s="179">
        <v>1.0</v>
      </c>
      <c r="AF109" s="179">
        <v>0.0</v>
      </c>
      <c r="AG109" s="179">
        <v>0.0</v>
      </c>
      <c r="AH109" s="179">
        <v>0.0</v>
      </c>
      <c r="AI109" s="179">
        <v>0.0</v>
      </c>
      <c r="AJ109" s="179">
        <v>5.0</v>
      </c>
      <c r="AK109" s="179">
        <v>0.0</v>
      </c>
      <c r="AL109" s="179">
        <v>0.0</v>
      </c>
      <c r="AM109" s="179">
        <v>0.0</v>
      </c>
      <c r="AN109" s="179">
        <v>0.0</v>
      </c>
      <c r="AO109" s="179">
        <v>0.0</v>
      </c>
      <c r="AP109" s="179">
        <v>0.0</v>
      </c>
      <c r="AQ109" s="180">
        <v>0.0</v>
      </c>
      <c r="AR109" s="179">
        <v>0.0</v>
      </c>
      <c r="AS109" s="179">
        <v>0.0</v>
      </c>
    </row>
    <row r="110">
      <c r="A110" s="177" t="s">
        <v>84</v>
      </c>
      <c r="B110" s="178">
        <v>384.0</v>
      </c>
      <c r="C110" s="179">
        <v>0.0</v>
      </c>
      <c r="D110" s="179">
        <v>0.0</v>
      </c>
      <c r="E110" s="179">
        <v>0.0</v>
      </c>
      <c r="F110" s="179">
        <v>0.0</v>
      </c>
      <c r="G110" s="179">
        <v>0.0</v>
      </c>
      <c r="H110" s="179">
        <v>0.0</v>
      </c>
      <c r="I110" s="179">
        <v>0.0</v>
      </c>
      <c r="J110" s="179">
        <v>0.0</v>
      </c>
      <c r="K110" s="179">
        <v>0.0</v>
      </c>
      <c r="L110" s="179">
        <v>1.0</v>
      </c>
      <c r="M110" s="179">
        <v>0.0</v>
      </c>
      <c r="N110" s="179">
        <v>0.0</v>
      </c>
      <c r="O110" s="179">
        <v>0.0</v>
      </c>
      <c r="P110" s="179">
        <v>0.0</v>
      </c>
      <c r="Q110" s="179">
        <v>1.0</v>
      </c>
      <c r="R110" s="179">
        <v>0.0</v>
      </c>
      <c r="S110" s="179">
        <v>0.0</v>
      </c>
      <c r="T110" s="179">
        <v>0.0</v>
      </c>
      <c r="U110" s="179">
        <v>0.0</v>
      </c>
      <c r="V110" s="179">
        <v>0.0</v>
      </c>
      <c r="W110" s="179">
        <v>0.0</v>
      </c>
      <c r="X110" s="179">
        <v>0.0</v>
      </c>
      <c r="Y110" s="179">
        <v>0.0</v>
      </c>
      <c r="Z110" s="179">
        <v>0.0</v>
      </c>
      <c r="AA110" s="179">
        <v>0.0</v>
      </c>
      <c r="AB110" s="179">
        <v>0.0</v>
      </c>
      <c r="AC110" s="179">
        <v>0.0</v>
      </c>
      <c r="AD110" s="179">
        <v>0.0</v>
      </c>
      <c r="AE110" s="179">
        <v>0.0</v>
      </c>
      <c r="AF110" s="179">
        <v>0.0</v>
      </c>
      <c r="AG110" s="179">
        <v>0.0</v>
      </c>
      <c r="AH110" s="179">
        <v>0.0</v>
      </c>
      <c r="AI110" s="179">
        <v>0.0</v>
      </c>
      <c r="AJ110" s="179">
        <v>0.0</v>
      </c>
      <c r="AK110" s="179">
        <v>0.0</v>
      </c>
      <c r="AL110" s="179">
        <v>0.0</v>
      </c>
      <c r="AM110" s="179">
        <v>0.0</v>
      </c>
      <c r="AN110" s="179">
        <v>0.0</v>
      </c>
      <c r="AO110" s="179">
        <v>0.0</v>
      </c>
      <c r="AP110" s="179">
        <v>0.0</v>
      </c>
      <c r="AQ110" s="180">
        <v>0.0</v>
      </c>
      <c r="AR110" s="179">
        <v>0.0</v>
      </c>
      <c r="AS110" s="179">
        <v>0.0</v>
      </c>
    </row>
    <row r="111">
      <c r="A111" s="177" t="s">
        <v>84</v>
      </c>
      <c r="B111" s="178">
        <v>385.0</v>
      </c>
      <c r="C111" s="179">
        <v>0.0</v>
      </c>
      <c r="D111" s="179">
        <v>0.0</v>
      </c>
      <c r="E111" s="179">
        <v>1.0</v>
      </c>
      <c r="F111" s="179">
        <v>9.0</v>
      </c>
      <c r="G111" s="179">
        <v>0.0</v>
      </c>
      <c r="H111" s="179">
        <v>0.0</v>
      </c>
      <c r="I111" s="179">
        <v>0.0</v>
      </c>
      <c r="J111" s="179">
        <v>1.0</v>
      </c>
      <c r="K111" s="179">
        <v>11.0</v>
      </c>
      <c r="L111" s="179">
        <v>11.0</v>
      </c>
      <c r="M111" s="179">
        <v>1.0</v>
      </c>
      <c r="N111" s="179">
        <v>0.0</v>
      </c>
      <c r="O111" s="179">
        <v>0.0</v>
      </c>
      <c r="P111" s="179">
        <v>0.0</v>
      </c>
      <c r="Q111" s="179">
        <v>5.0</v>
      </c>
      <c r="R111" s="179">
        <v>3.0</v>
      </c>
      <c r="S111" s="179">
        <v>0.0</v>
      </c>
      <c r="T111" s="179">
        <v>0.0</v>
      </c>
      <c r="U111" s="179">
        <v>0.0</v>
      </c>
      <c r="V111" s="179">
        <v>0.0</v>
      </c>
      <c r="W111" s="179">
        <v>0.0</v>
      </c>
      <c r="X111" s="179">
        <v>6.0</v>
      </c>
      <c r="Y111" s="179">
        <v>0.0</v>
      </c>
      <c r="Z111" s="179">
        <v>0.0</v>
      </c>
      <c r="AA111" s="179">
        <v>0.0</v>
      </c>
      <c r="AB111" s="179">
        <v>0.0</v>
      </c>
      <c r="AC111" s="179">
        <v>1.0</v>
      </c>
      <c r="AD111" s="179">
        <v>2.0</v>
      </c>
      <c r="AE111" s="179">
        <v>0.0</v>
      </c>
      <c r="AF111" s="179">
        <v>0.0</v>
      </c>
      <c r="AG111" s="179">
        <v>0.0</v>
      </c>
      <c r="AH111" s="179">
        <v>0.0</v>
      </c>
      <c r="AI111" s="179">
        <v>0.0</v>
      </c>
      <c r="AJ111" s="179">
        <v>1.0</v>
      </c>
      <c r="AK111" s="179">
        <v>0.0</v>
      </c>
      <c r="AL111" s="179">
        <v>0.0</v>
      </c>
      <c r="AM111" s="179">
        <v>0.0</v>
      </c>
      <c r="AN111" s="179">
        <v>0.0</v>
      </c>
      <c r="AO111" s="179">
        <v>0.0</v>
      </c>
      <c r="AP111" s="179">
        <v>0.0</v>
      </c>
      <c r="AQ111" s="180">
        <v>0.0</v>
      </c>
      <c r="AR111" s="179">
        <v>0.0</v>
      </c>
      <c r="AS111" s="179">
        <v>0.0</v>
      </c>
    </row>
    <row r="112">
      <c r="A112" s="177" t="s">
        <v>84</v>
      </c>
      <c r="B112" s="178">
        <v>386.0</v>
      </c>
      <c r="C112" s="179">
        <v>0.0</v>
      </c>
      <c r="D112" s="179">
        <v>0.0</v>
      </c>
      <c r="E112" s="179">
        <v>1.0</v>
      </c>
      <c r="F112" s="179">
        <v>11.0</v>
      </c>
      <c r="G112" s="179">
        <v>2.0</v>
      </c>
      <c r="H112" s="179">
        <v>0.0</v>
      </c>
      <c r="I112" s="179">
        <v>0.0</v>
      </c>
      <c r="J112" s="179">
        <v>1.0</v>
      </c>
      <c r="K112" s="179">
        <v>20.0</v>
      </c>
      <c r="L112" s="179">
        <v>15.0</v>
      </c>
      <c r="M112" s="179">
        <v>1.0</v>
      </c>
      <c r="N112" s="179">
        <v>0.0</v>
      </c>
      <c r="O112" s="179">
        <v>0.0</v>
      </c>
      <c r="P112" s="179">
        <v>0.0</v>
      </c>
      <c r="Q112" s="179">
        <v>12.0</v>
      </c>
      <c r="R112" s="179">
        <v>10.0</v>
      </c>
      <c r="S112" s="179">
        <v>3.0</v>
      </c>
      <c r="T112" s="179">
        <v>0.0</v>
      </c>
      <c r="U112" s="179">
        <v>0.0</v>
      </c>
      <c r="V112" s="179">
        <v>1.0</v>
      </c>
      <c r="W112" s="179">
        <v>3.0</v>
      </c>
      <c r="X112" s="179">
        <v>16.0</v>
      </c>
      <c r="Y112" s="179">
        <v>2.0</v>
      </c>
      <c r="Z112" s="179">
        <v>0.0</v>
      </c>
      <c r="AA112" s="179">
        <v>0.0</v>
      </c>
      <c r="AB112" s="179">
        <v>0.0</v>
      </c>
      <c r="AC112" s="179">
        <v>3.0</v>
      </c>
      <c r="AD112" s="179">
        <v>8.0</v>
      </c>
      <c r="AE112" s="179">
        <v>1.0</v>
      </c>
      <c r="AF112" s="179">
        <v>0.0</v>
      </c>
      <c r="AG112" s="179">
        <v>0.0</v>
      </c>
      <c r="AH112" s="179">
        <v>0.0</v>
      </c>
      <c r="AI112" s="179">
        <v>1.0</v>
      </c>
      <c r="AJ112" s="179">
        <v>3.0</v>
      </c>
      <c r="AK112" s="179">
        <v>0.0</v>
      </c>
      <c r="AL112" s="179">
        <v>0.0</v>
      </c>
      <c r="AM112" s="179">
        <v>0.0</v>
      </c>
      <c r="AN112" s="179">
        <v>0.0</v>
      </c>
      <c r="AO112" s="179">
        <v>1.0</v>
      </c>
      <c r="AP112" s="179">
        <v>0.0</v>
      </c>
      <c r="AQ112" s="180">
        <v>0.0</v>
      </c>
      <c r="AR112" s="179">
        <v>0.0</v>
      </c>
      <c r="AS112" s="179">
        <v>0.0</v>
      </c>
    </row>
    <row r="113">
      <c r="A113" s="177" t="s">
        <v>84</v>
      </c>
      <c r="B113" s="178">
        <v>387.0</v>
      </c>
      <c r="C113" s="179">
        <v>0.0</v>
      </c>
      <c r="D113" s="179">
        <v>0.0</v>
      </c>
      <c r="E113" s="179">
        <v>0.0</v>
      </c>
      <c r="F113" s="179">
        <v>6.0</v>
      </c>
      <c r="G113" s="179">
        <v>2.0</v>
      </c>
      <c r="H113" s="179">
        <v>0.0</v>
      </c>
      <c r="I113" s="179">
        <v>0.0</v>
      </c>
      <c r="J113" s="179">
        <v>4.0</v>
      </c>
      <c r="K113" s="179">
        <v>10.0</v>
      </c>
      <c r="L113" s="179">
        <v>5.0</v>
      </c>
      <c r="M113" s="179">
        <v>0.0</v>
      </c>
      <c r="N113" s="179">
        <v>0.0</v>
      </c>
      <c r="O113" s="179">
        <v>0.0</v>
      </c>
      <c r="P113" s="179">
        <v>1.0</v>
      </c>
      <c r="Q113" s="179">
        <v>5.0</v>
      </c>
      <c r="R113" s="179">
        <v>5.0</v>
      </c>
      <c r="S113" s="179">
        <v>1.0</v>
      </c>
      <c r="T113" s="179">
        <v>0.0</v>
      </c>
      <c r="U113" s="179">
        <v>0.0</v>
      </c>
      <c r="V113" s="179">
        <v>0.0</v>
      </c>
      <c r="W113" s="179">
        <v>2.0</v>
      </c>
      <c r="X113" s="179">
        <v>7.0</v>
      </c>
      <c r="Y113" s="179">
        <v>1.0</v>
      </c>
      <c r="Z113" s="179">
        <v>0.0</v>
      </c>
      <c r="AA113" s="179">
        <v>0.0</v>
      </c>
      <c r="AB113" s="179">
        <v>0.0</v>
      </c>
      <c r="AC113" s="179">
        <v>0.0</v>
      </c>
      <c r="AD113" s="179">
        <v>2.0</v>
      </c>
      <c r="AE113" s="179">
        <v>1.0</v>
      </c>
      <c r="AF113" s="179">
        <v>0.0</v>
      </c>
      <c r="AG113" s="179">
        <v>0.0</v>
      </c>
      <c r="AH113" s="179">
        <v>0.0</v>
      </c>
      <c r="AI113" s="179">
        <v>0.0</v>
      </c>
      <c r="AJ113" s="179">
        <v>3.0</v>
      </c>
      <c r="AK113" s="179">
        <v>0.0</v>
      </c>
      <c r="AL113" s="179">
        <v>0.0</v>
      </c>
      <c r="AM113" s="179">
        <v>0.0</v>
      </c>
      <c r="AN113" s="179">
        <v>0.0</v>
      </c>
      <c r="AO113" s="179">
        <v>0.0</v>
      </c>
      <c r="AP113" s="179">
        <v>0.0</v>
      </c>
      <c r="AQ113" s="180">
        <v>0.0</v>
      </c>
      <c r="AR113" s="179">
        <v>0.0</v>
      </c>
      <c r="AS113" s="179">
        <v>0.0</v>
      </c>
    </row>
    <row r="114">
      <c r="A114" s="177" t="s">
        <v>84</v>
      </c>
      <c r="B114" s="178">
        <v>388.0</v>
      </c>
      <c r="C114" s="179">
        <v>0.0</v>
      </c>
      <c r="D114" s="179">
        <v>0.0</v>
      </c>
      <c r="E114" s="179">
        <v>1.0</v>
      </c>
      <c r="F114" s="179">
        <v>5.0</v>
      </c>
      <c r="G114" s="179">
        <v>1.0</v>
      </c>
      <c r="H114" s="179">
        <v>0.0</v>
      </c>
      <c r="I114" s="179">
        <v>0.0</v>
      </c>
      <c r="J114" s="179">
        <v>2.0</v>
      </c>
      <c r="K114" s="179">
        <v>6.0</v>
      </c>
      <c r="L114" s="179">
        <v>4.0</v>
      </c>
      <c r="M114" s="179">
        <v>1.0</v>
      </c>
      <c r="N114" s="179">
        <v>0.0</v>
      </c>
      <c r="O114" s="179">
        <v>0.0</v>
      </c>
      <c r="P114" s="179">
        <v>0.0</v>
      </c>
      <c r="Q114" s="179">
        <v>1.0</v>
      </c>
      <c r="R114" s="179">
        <v>5.0</v>
      </c>
      <c r="S114" s="179">
        <v>0.0</v>
      </c>
      <c r="T114" s="179">
        <v>0.0</v>
      </c>
      <c r="U114" s="179">
        <v>0.0</v>
      </c>
      <c r="V114" s="179">
        <v>0.0</v>
      </c>
      <c r="W114" s="179">
        <v>2.0</v>
      </c>
      <c r="X114" s="179">
        <v>4.0</v>
      </c>
      <c r="Y114" s="179">
        <v>0.0</v>
      </c>
      <c r="Z114" s="179">
        <v>0.0</v>
      </c>
      <c r="AA114" s="179">
        <v>0.0</v>
      </c>
      <c r="AB114" s="179">
        <v>0.0</v>
      </c>
      <c r="AC114" s="179">
        <v>0.0</v>
      </c>
      <c r="AD114" s="179">
        <v>1.0</v>
      </c>
      <c r="AE114" s="179">
        <v>1.0</v>
      </c>
      <c r="AF114" s="179">
        <v>0.0</v>
      </c>
      <c r="AG114" s="179">
        <v>0.0</v>
      </c>
      <c r="AH114" s="179">
        <v>0.0</v>
      </c>
      <c r="AI114" s="179">
        <v>0.0</v>
      </c>
      <c r="AJ114" s="179">
        <v>1.0</v>
      </c>
      <c r="AK114" s="179">
        <v>0.0</v>
      </c>
      <c r="AL114" s="179">
        <v>0.0</v>
      </c>
      <c r="AM114" s="179">
        <v>0.0</v>
      </c>
      <c r="AN114" s="179">
        <v>0.0</v>
      </c>
      <c r="AO114" s="179">
        <v>1.0</v>
      </c>
      <c r="AP114" s="179">
        <v>0.0</v>
      </c>
      <c r="AQ114" s="180">
        <v>0.0</v>
      </c>
      <c r="AR114" s="179">
        <v>0.0</v>
      </c>
      <c r="AS114" s="179">
        <v>0.0</v>
      </c>
    </row>
    <row r="115">
      <c r="A115" s="177" t="s">
        <v>84</v>
      </c>
      <c r="B115" s="178">
        <v>389.0</v>
      </c>
      <c r="C115" s="179">
        <v>0.0</v>
      </c>
      <c r="D115" s="179">
        <v>0.0</v>
      </c>
      <c r="E115" s="179">
        <v>0.0</v>
      </c>
      <c r="F115" s="179">
        <v>0.0</v>
      </c>
      <c r="G115" s="179">
        <v>0.0</v>
      </c>
      <c r="H115" s="179">
        <v>0.0</v>
      </c>
      <c r="I115" s="179">
        <v>0.0</v>
      </c>
      <c r="J115" s="179">
        <v>0.0</v>
      </c>
      <c r="K115" s="179">
        <v>0.0</v>
      </c>
      <c r="L115" s="179">
        <v>0.0</v>
      </c>
      <c r="M115" s="179">
        <v>0.0</v>
      </c>
      <c r="N115" s="179">
        <v>0.0</v>
      </c>
      <c r="O115" s="179">
        <v>0.0</v>
      </c>
      <c r="P115" s="179">
        <v>0.0</v>
      </c>
      <c r="Q115" s="179">
        <v>1.0</v>
      </c>
      <c r="R115" s="179">
        <v>3.0</v>
      </c>
      <c r="S115" s="179">
        <v>0.0</v>
      </c>
      <c r="T115" s="179">
        <v>0.0</v>
      </c>
      <c r="U115" s="179">
        <v>0.0</v>
      </c>
      <c r="V115" s="179">
        <v>0.0</v>
      </c>
      <c r="W115" s="179">
        <v>0.0</v>
      </c>
      <c r="X115" s="179">
        <v>3.0</v>
      </c>
      <c r="Y115" s="179">
        <v>1.0</v>
      </c>
      <c r="Z115" s="179">
        <v>0.0</v>
      </c>
      <c r="AA115" s="179">
        <v>0.0</v>
      </c>
      <c r="AB115" s="179">
        <v>0.0</v>
      </c>
      <c r="AC115" s="179">
        <v>0.0</v>
      </c>
      <c r="AD115" s="179">
        <v>0.0</v>
      </c>
      <c r="AE115" s="179">
        <v>0.0</v>
      </c>
      <c r="AF115" s="179">
        <v>0.0</v>
      </c>
      <c r="AG115" s="179">
        <v>0.0</v>
      </c>
      <c r="AH115" s="179">
        <v>0.0</v>
      </c>
      <c r="AI115" s="179">
        <v>0.0</v>
      </c>
      <c r="AJ115" s="179">
        <v>0.0</v>
      </c>
      <c r="AK115" s="179">
        <v>0.0</v>
      </c>
      <c r="AL115" s="179">
        <v>0.0</v>
      </c>
      <c r="AM115" s="179">
        <v>0.0</v>
      </c>
      <c r="AN115" s="179">
        <v>0.0</v>
      </c>
      <c r="AO115" s="179">
        <v>0.0</v>
      </c>
      <c r="AP115" s="179">
        <v>0.0</v>
      </c>
      <c r="AQ115" s="180">
        <v>0.0</v>
      </c>
      <c r="AR115" s="179">
        <v>0.0</v>
      </c>
      <c r="AS115" s="179">
        <v>0.0</v>
      </c>
    </row>
    <row r="116">
      <c r="A116" s="177" t="s">
        <v>84</v>
      </c>
      <c r="B116" s="178">
        <v>390.0</v>
      </c>
      <c r="C116" s="179">
        <v>0.0</v>
      </c>
      <c r="D116" s="179">
        <v>0.0</v>
      </c>
      <c r="E116" s="179">
        <v>3.0</v>
      </c>
      <c r="F116" s="179">
        <v>8.0</v>
      </c>
      <c r="G116" s="179">
        <v>0.0</v>
      </c>
      <c r="H116" s="179">
        <v>0.0</v>
      </c>
      <c r="I116" s="179">
        <v>0.0</v>
      </c>
      <c r="J116" s="179">
        <v>1.0</v>
      </c>
      <c r="K116" s="179">
        <v>1.0</v>
      </c>
      <c r="L116" s="179">
        <v>1.0</v>
      </c>
      <c r="M116" s="179">
        <v>0.0</v>
      </c>
      <c r="N116" s="179">
        <v>0.0</v>
      </c>
      <c r="O116" s="179">
        <v>0.0</v>
      </c>
      <c r="P116" s="179">
        <v>0.0</v>
      </c>
      <c r="Q116" s="179">
        <v>2.0</v>
      </c>
      <c r="R116" s="179">
        <v>4.0</v>
      </c>
      <c r="S116" s="179">
        <v>2.0</v>
      </c>
      <c r="T116" s="179">
        <v>0.0</v>
      </c>
      <c r="U116" s="179">
        <v>0.0</v>
      </c>
      <c r="V116" s="179">
        <v>0.0</v>
      </c>
      <c r="W116" s="179">
        <v>1.0</v>
      </c>
      <c r="X116" s="179">
        <v>10.0</v>
      </c>
      <c r="Y116" s="179">
        <v>1.0</v>
      </c>
      <c r="Z116" s="179">
        <v>0.0</v>
      </c>
      <c r="AA116" s="179">
        <v>0.0</v>
      </c>
      <c r="AB116" s="179">
        <v>0.0</v>
      </c>
      <c r="AC116" s="179">
        <v>2.0</v>
      </c>
      <c r="AD116" s="179">
        <v>1.0</v>
      </c>
      <c r="AE116" s="179">
        <v>0.0</v>
      </c>
      <c r="AF116" s="179">
        <v>0.0</v>
      </c>
      <c r="AG116" s="179">
        <v>0.0</v>
      </c>
      <c r="AH116" s="179">
        <v>0.0</v>
      </c>
      <c r="AI116" s="179">
        <v>1.0</v>
      </c>
      <c r="AJ116" s="179">
        <v>2.0</v>
      </c>
      <c r="AK116" s="179">
        <v>0.0</v>
      </c>
      <c r="AL116" s="179">
        <v>0.0</v>
      </c>
      <c r="AM116" s="179">
        <v>0.0</v>
      </c>
      <c r="AN116" s="179">
        <v>0.0</v>
      </c>
      <c r="AO116" s="179">
        <v>0.0</v>
      </c>
      <c r="AP116" s="179">
        <v>0.0</v>
      </c>
      <c r="AQ116" s="180">
        <v>0.0</v>
      </c>
      <c r="AR116" s="179">
        <v>0.0</v>
      </c>
      <c r="AS116" s="179">
        <v>0.0</v>
      </c>
    </row>
    <row r="117">
      <c r="A117" s="177" t="s">
        <v>84</v>
      </c>
      <c r="B117" s="178">
        <v>391.0</v>
      </c>
      <c r="C117" s="179">
        <v>0.0</v>
      </c>
      <c r="D117" s="179">
        <v>0.0</v>
      </c>
      <c r="E117" s="179">
        <v>2.0</v>
      </c>
      <c r="F117" s="179">
        <v>15.0</v>
      </c>
      <c r="G117" s="179">
        <v>0.0</v>
      </c>
      <c r="H117" s="179">
        <v>0.0</v>
      </c>
      <c r="I117" s="179">
        <v>0.0</v>
      </c>
      <c r="J117" s="179">
        <v>5.0</v>
      </c>
      <c r="K117" s="179">
        <v>18.0</v>
      </c>
      <c r="L117" s="179">
        <v>13.0</v>
      </c>
      <c r="M117" s="179">
        <v>0.0</v>
      </c>
      <c r="N117" s="179">
        <v>0.0</v>
      </c>
      <c r="O117" s="179">
        <v>0.0</v>
      </c>
      <c r="P117" s="179">
        <v>2.0</v>
      </c>
      <c r="Q117" s="179">
        <v>13.0</v>
      </c>
      <c r="R117" s="179">
        <v>9.0</v>
      </c>
      <c r="S117" s="179">
        <v>5.0</v>
      </c>
      <c r="T117" s="179">
        <v>0.0</v>
      </c>
      <c r="U117" s="179">
        <v>0.0</v>
      </c>
      <c r="V117" s="179">
        <v>0.0</v>
      </c>
      <c r="W117" s="179">
        <v>0.0</v>
      </c>
      <c r="X117" s="179">
        <v>12.0</v>
      </c>
      <c r="Y117" s="179">
        <v>2.0</v>
      </c>
      <c r="Z117" s="179">
        <v>0.0</v>
      </c>
      <c r="AA117" s="179">
        <v>0.0</v>
      </c>
      <c r="AB117" s="179">
        <v>0.0</v>
      </c>
      <c r="AC117" s="179">
        <v>4.0</v>
      </c>
      <c r="AD117" s="179">
        <v>2.0</v>
      </c>
      <c r="AE117" s="179">
        <v>1.0</v>
      </c>
      <c r="AF117" s="179">
        <v>0.0</v>
      </c>
      <c r="AG117" s="179">
        <v>0.0</v>
      </c>
      <c r="AH117" s="179">
        <v>0.0</v>
      </c>
      <c r="AI117" s="179">
        <v>0.0</v>
      </c>
      <c r="AJ117" s="179">
        <v>1.0</v>
      </c>
      <c r="AK117" s="179">
        <v>2.0</v>
      </c>
      <c r="AL117" s="179">
        <v>0.0</v>
      </c>
      <c r="AM117" s="179">
        <v>0.0</v>
      </c>
      <c r="AN117" s="179">
        <v>0.0</v>
      </c>
      <c r="AO117" s="179">
        <v>1.0</v>
      </c>
      <c r="AP117" s="179">
        <v>1.0</v>
      </c>
      <c r="AQ117" s="180">
        <v>0.0</v>
      </c>
      <c r="AR117" s="179">
        <v>0.0</v>
      </c>
      <c r="AS117" s="179">
        <v>0.0</v>
      </c>
    </row>
    <row r="118">
      <c r="A118" s="177" t="s">
        <v>84</v>
      </c>
      <c r="B118" s="178">
        <v>392.0</v>
      </c>
      <c r="C118" s="179">
        <v>0.0</v>
      </c>
      <c r="D118" s="179">
        <v>0.0</v>
      </c>
      <c r="E118" s="179">
        <v>0.0</v>
      </c>
      <c r="F118" s="179">
        <v>3.0</v>
      </c>
      <c r="G118" s="179">
        <v>0.0</v>
      </c>
      <c r="H118" s="179">
        <v>0.0</v>
      </c>
      <c r="I118" s="179">
        <v>0.0</v>
      </c>
      <c r="J118" s="179">
        <v>0.0</v>
      </c>
      <c r="K118" s="179">
        <v>0.0</v>
      </c>
      <c r="L118" s="179">
        <v>0.0</v>
      </c>
      <c r="M118" s="179">
        <v>0.0</v>
      </c>
      <c r="N118" s="179">
        <v>0.0</v>
      </c>
      <c r="O118" s="179">
        <v>0.0</v>
      </c>
      <c r="P118" s="179">
        <v>0.0</v>
      </c>
      <c r="Q118" s="179">
        <v>4.0</v>
      </c>
      <c r="R118" s="179">
        <v>1.0</v>
      </c>
      <c r="S118" s="179">
        <v>0.0</v>
      </c>
      <c r="T118" s="179">
        <v>0.0</v>
      </c>
      <c r="U118" s="179">
        <v>0.0</v>
      </c>
      <c r="V118" s="179">
        <v>0.0</v>
      </c>
      <c r="W118" s="179">
        <v>0.0</v>
      </c>
      <c r="X118" s="179">
        <v>1.0</v>
      </c>
      <c r="Y118" s="179">
        <v>0.0</v>
      </c>
      <c r="Z118" s="179">
        <v>0.0</v>
      </c>
      <c r="AA118" s="179">
        <v>0.0</v>
      </c>
      <c r="AB118" s="179">
        <v>0.0</v>
      </c>
      <c r="AC118" s="179">
        <v>0.0</v>
      </c>
      <c r="AD118" s="179">
        <v>1.0</v>
      </c>
      <c r="AE118" s="179">
        <v>1.0</v>
      </c>
      <c r="AF118" s="179">
        <v>0.0</v>
      </c>
      <c r="AG118" s="179">
        <v>0.0</v>
      </c>
      <c r="AH118" s="179">
        <v>0.0</v>
      </c>
      <c r="AI118" s="179">
        <v>0.0</v>
      </c>
      <c r="AJ118" s="179">
        <v>1.0</v>
      </c>
      <c r="AK118" s="179">
        <v>0.0</v>
      </c>
      <c r="AL118" s="179">
        <v>0.0</v>
      </c>
      <c r="AM118" s="179">
        <v>0.0</v>
      </c>
      <c r="AN118" s="179">
        <v>0.0</v>
      </c>
      <c r="AO118" s="179">
        <v>0.0</v>
      </c>
      <c r="AP118" s="179">
        <v>0.0</v>
      </c>
      <c r="AQ118" s="180">
        <v>0.0</v>
      </c>
      <c r="AR118" s="179">
        <v>0.0</v>
      </c>
      <c r="AS118" s="179">
        <v>0.0</v>
      </c>
    </row>
    <row r="119">
      <c r="A119" s="177" t="s">
        <v>84</v>
      </c>
      <c r="B119" s="178">
        <v>393.0</v>
      </c>
      <c r="C119" s="179">
        <v>0.0</v>
      </c>
      <c r="D119" s="179">
        <v>0.0</v>
      </c>
      <c r="E119" s="179">
        <v>0.0</v>
      </c>
      <c r="F119" s="179">
        <v>0.0</v>
      </c>
      <c r="G119" s="179">
        <v>0.0</v>
      </c>
      <c r="H119" s="179">
        <v>0.0</v>
      </c>
      <c r="I119" s="179">
        <v>0.0</v>
      </c>
      <c r="J119" s="179">
        <v>1.0</v>
      </c>
      <c r="K119" s="179">
        <v>1.0</v>
      </c>
      <c r="L119" s="179">
        <v>0.0</v>
      </c>
      <c r="M119" s="179">
        <v>0.0</v>
      </c>
      <c r="N119" s="179">
        <v>0.0</v>
      </c>
      <c r="O119" s="179">
        <v>0.0</v>
      </c>
      <c r="P119" s="179">
        <v>0.0</v>
      </c>
      <c r="Q119" s="179">
        <v>0.0</v>
      </c>
      <c r="R119" s="179">
        <v>1.0</v>
      </c>
      <c r="S119" s="179">
        <v>0.0</v>
      </c>
      <c r="T119" s="179">
        <v>0.0</v>
      </c>
      <c r="U119" s="179">
        <v>0.0</v>
      </c>
      <c r="V119" s="179">
        <v>0.0</v>
      </c>
      <c r="W119" s="179">
        <v>1.0</v>
      </c>
      <c r="X119" s="179">
        <v>2.0</v>
      </c>
      <c r="Y119" s="179">
        <v>0.0</v>
      </c>
      <c r="Z119" s="179">
        <v>0.0</v>
      </c>
      <c r="AA119" s="179">
        <v>0.0</v>
      </c>
      <c r="AB119" s="179">
        <v>0.0</v>
      </c>
      <c r="AC119" s="179">
        <v>0.0</v>
      </c>
      <c r="AD119" s="179">
        <v>0.0</v>
      </c>
      <c r="AE119" s="179">
        <v>0.0</v>
      </c>
      <c r="AF119" s="179">
        <v>0.0</v>
      </c>
      <c r="AG119" s="179">
        <v>0.0</v>
      </c>
      <c r="AH119" s="179">
        <v>0.0</v>
      </c>
      <c r="AI119" s="179">
        <v>0.0</v>
      </c>
      <c r="AJ119" s="179">
        <v>0.0</v>
      </c>
      <c r="AK119" s="179">
        <v>0.0</v>
      </c>
      <c r="AL119" s="179">
        <v>0.0</v>
      </c>
      <c r="AM119" s="179">
        <v>0.0</v>
      </c>
      <c r="AN119" s="179">
        <v>0.0</v>
      </c>
      <c r="AO119" s="179">
        <v>0.0</v>
      </c>
      <c r="AP119" s="179">
        <v>0.0</v>
      </c>
      <c r="AQ119" s="180">
        <v>0.0</v>
      </c>
      <c r="AR119" s="179">
        <v>0.0</v>
      </c>
      <c r="AS119" s="179">
        <v>0.0</v>
      </c>
    </row>
    <row r="120">
      <c r="A120" s="177" t="s">
        <v>84</v>
      </c>
      <c r="B120" s="178">
        <v>394.0</v>
      </c>
      <c r="C120" s="179">
        <v>0.0</v>
      </c>
      <c r="D120" s="179">
        <v>1.0</v>
      </c>
      <c r="E120" s="179">
        <v>2.0</v>
      </c>
      <c r="F120" s="179">
        <v>12.0</v>
      </c>
      <c r="G120" s="179">
        <v>3.0</v>
      </c>
      <c r="H120" s="179">
        <v>0.0</v>
      </c>
      <c r="I120" s="179">
        <v>0.0</v>
      </c>
      <c r="J120" s="179">
        <v>2.0</v>
      </c>
      <c r="K120" s="179">
        <v>15.0</v>
      </c>
      <c r="L120" s="179">
        <v>7.0</v>
      </c>
      <c r="M120" s="179">
        <v>3.0</v>
      </c>
      <c r="N120" s="179">
        <v>0.0</v>
      </c>
      <c r="O120" s="179">
        <v>0.0</v>
      </c>
      <c r="P120" s="179">
        <v>0.0</v>
      </c>
      <c r="Q120" s="179">
        <v>13.0</v>
      </c>
      <c r="R120" s="179">
        <v>9.0</v>
      </c>
      <c r="S120" s="179">
        <v>3.0</v>
      </c>
      <c r="T120" s="179">
        <v>0.0</v>
      </c>
      <c r="U120" s="179">
        <v>0.0</v>
      </c>
      <c r="V120" s="179">
        <v>1.0</v>
      </c>
      <c r="W120" s="179">
        <v>1.0</v>
      </c>
      <c r="X120" s="179">
        <v>5.0</v>
      </c>
      <c r="Y120" s="179">
        <v>4.0</v>
      </c>
      <c r="Z120" s="179">
        <v>0.0</v>
      </c>
      <c r="AA120" s="179">
        <v>0.0</v>
      </c>
      <c r="AB120" s="179">
        <v>0.0</v>
      </c>
      <c r="AC120" s="179">
        <v>1.0</v>
      </c>
      <c r="AD120" s="179">
        <v>9.0</v>
      </c>
      <c r="AE120" s="179">
        <v>2.0</v>
      </c>
      <c r="AF120" s="179">
        <v>0.0</v>
      </c>
      <c r="AG120" s="179">
        <v>0.0</v>
      </c>
      <c r="AH120" s="179">
        <v>0.0</v>
      </c>
      <c r="AI120" s="179">
        <v>0.0</v>
      </c>
      <c r="AJ120" s="179">
        <v>2.0</v>
      </c>
      <c r="AK120" s="179">
        <v>0.0</v>
      </c>
      <c r="AL120" s="179">
        <v>0.0</v>
      </c>
      <c r="AM120" s="179">
        <v>0.0</v>
      </c>
      <c r="AN120" s="179">
        <v>0.0</v>
      </c>
      <c r="AO120" s="179">
        <v>2.0</v>
      </c>
      <c r="AP120" s="179">
        <v>0.0</v>
      </c>
      <c r="AQ120" s="180">
        <v>0.0</v>
      </c>
      <c r="AR120" s="179">
        <v>0.0</v>
      </c>
      <c r="AS120" s="179">
        <v>0.0</v>
      </c>
    </row>
    <row r="121">
      <c r="A121" s="177" t="s">
        <v>84</v>
      </c>
      <c r="B121" s="178">
        <v>395.0</v>
      </c>
      <c r="C121" s="179">
        <v>0.0</v>
      </c>
      <c r="D121" s="179">
        <v>0.0</v>
      </c>
      <c r="E121" s="179">
        <v>0.0</v>
      </c>
      <c r="F121" s="179">
        <v>0.0</v>
      </c>
      <c r="G121" s="179">
        <v>0.0</v>
      </c>
      <c r="H121" s="179">
        <v>0.0</v>
      </c>
      <c r="I121" s="179">
        <v>0.0</v>
      </c>
      <c r="J121" s="179">
        <v>0.0</v>
      </c>
      <c r="K121" s="179">
        <v>0.0</v>
      </c>
      <c r="L121" s="179">
        <v>0.0</v>
      </c>
      <c r="M121" s="179">
        <v>0.0</v>
      </c>
      <c r="N121" s="179">
        <v>0.0</v>
      </c>
      <c r="O121" s="179">
        <v>0.0</v>
      </c>
      <c r="P121" s="179">
        <v>0.0</v>
      </c>
      <c r="Q121" s="179">
        <v>0.0</v>
      </c>
      <c r="R121" s="179">
        <v>0.0</v>
      </c>
      <c r="S121" s="179">
        <v>0.0</v>
      </c>
      <c r="T121" s="179">
        <v>0.0</v>
      </c>
      <c r="U121" s="179">
        <v>0.0</v>
      </c>
      <c r="V121" s="179">
        <v>0.0</v>
      </c>
      <c r="W121" s="179">
        <v>0.0</v>
      </c>
      <c r="X121" s="179">
        <v>0.0</v>
      </c>
      <c r="Y121" s="179">
        <v>0.0</v>
      </c>
      <c r="Z121" s="179">
        <v>0.0</v>
      </c>
      <c r="AA121" s="179">
        <v>0.0</v>
      </c>
      <c r="AB121" s="179">
        <v>0.0</v>
      </c>
      <c r="AC121" s="179">
        <v>0.0</v>
      </c>
      <c r="AD121" s="179">
        <v>0.0</v>
      </c>
      <c r="AE121" s="179">
        <v>0.0</v>
      </c>
      <c r="AF121" s="179">
        <v>0.0</v>
      </c>
      <c r="AG121" s="179">
        <v>0.0</v>
      </c>
      <c r="AH121" s="179">
        <v>0.0</v>
      </c>
      <c r="AI121" s="179">
        <v>0.0</v>
      </c>
      <c r="AJ121" s="179">
        <v>0.0</v>
      </c>
      <c r="AK121" s="179">
        <v>1.0</v>
      </c>
      <c r="AL121" s="179">
        <v>0.0</v>
      </c>
      <c r="AM121" s="179">
        <v>0.0</v>
      </c>
      <c r="AN121" s="179">
        <v>0.0</v>
      </c>
      <c r="AO121" s="179">
        <v>0.0</v>
      </c>
      <c r="AP121" s="179">
        <v>0.0</v>
      </c>
      <c r="AQ121" s="180">
        <v>0.0</v>
      </c>
      <c r="AR121" s="179">
        <v>0.0</v>
      </c>
      <c r="AS121" s="179">
        <v>0.0</v>
      </c>
    </row>
    <row r="122">
      <c r="A122" s="177" t="s">
        <v>84</v>
      </c>
      <c r="B122" s="178">
        <v>396.0</v>
      </c>
      <c r="C122" s="179">
        <v>0.0</v>
      </c>
      <c r="D122" s="179">
        <v>1.0</v>
      </c>
      <c r="E122" s="179">
        <v>1.0</v>
      </c>
      <c r="F122" s="179">
        <v>4.0</v>
      </c>
      <c r="G122" s="179">
        <v>2.0</v>
      </c>
      <c r="H122" s="179">
        <v>0.0</v>
      </c>
      <c r="I122" s="179">
        <v>0.0</v>
      </c>
      <c r="J122" s="179">
        <v>1.0</v>
      </c>
      <c r="K122" s="179">
        <v>6.0</v>
      </c>
      <c r="L122" s="179">
        <v>7.0</v>
      </c>
      <c r="M122" s="179">
        <v>0.0</v>
      </c>
      <c r="N122" s="179">
        <v>0.0</v>
      </c>
      <c r="O122" s="179">
        <v>0.0</v>
      </c>
      <c r="P122" s="179">
        <v>0.0</v>
      </c>
      <c r="Q122" s="179">
        <v>5.0</v>
      </c>
      <c r="R122" s="179">
        <v>4.0</v>
      </c>
      <c r="S122" s="179">
        <v>2.0</v>
      </c>
      <c r="T122" s="179">
        <v>0.0</v>
      </c>
      <c r="U122" s="179">
        <v>0.0</v>
      </c>
      <c r="V122" s="179">
        <v>0.0</v>
      </c>
      <c r="W122" s="179">
        <v>1.0</v>
      </c>
      <c r="X122" s="179">
        <v>6.0</v>
      </c>
      <c r="Y122" s="179">
        <v>0.0</v>
      </c>
      <c r="Z122" s="179">
        <v>0.0</v>
      </c>
      <c r="AA122" s="179">
        <v>0.0</v>
      </c>
      <c r="AB122" s="179">
        <v>0.0</v>
      </c>
      <c r="AC122" s="179">
        <v>2.0</v>
      </c>
      <c r="AD122" s="179">
        <v>2.0</v>
      </c>
      <c r="AE122" s="179">
        <v>1.0</v>
      </c>
      <c r="AF122" s="179">
        <v>0.0</v>
      </c>
      <c r="AG122" s="179">
        <v>0.0</v>
      </c>
      <c r="AH122" s="179">
        <v>0.0</v>
      </c>
      <c r="AI122" s="179">
        <v>0.0</v>
      </c>
      <c r="AJ122" s="179">
        <v>2.0</v>
      </c>
      <c r="AK122" s="179">
        <v>0.0</v>
      </c>
      <c r="AL122" s="179">
        <v>0.0</v>
      </c>
      <c r="AM122" s="179">
        <v>0.0</v>
      </c>
      <c r="AN122" s="179">
        <v>0.0</v>
      </c>
      <c r="AO122" s="179">
        <v>1.0</v>
      </c>
      <c r="AP122" s="179">
        <v>0.0</v>
      </c>
      <c r="AQ122" s="180">
        <v>0.0</v>
      </c>
      <c r="AR122" s="179">
        <v>0.0</v>
      </c>
      <c r="AS122" s="179">
        <v>0.0</v>
      </c>
    </row>
    <row r="123">
      <c r="A123" s="177" t="s">
        <v>84</v>
      </c>
      <c r="B123" s="178">
        <v>398.0</v>
      </c>
      <c r="C123" s="179">
        <v>0.0</v>
      </c>
      <c r="D123" s="179">
        <v>0.0</v>
      </c>
      <c r="E123" s="179">
        <v>1.0</v>
      </c>
      <c r="F123" s="179">
        <v>13.0</v>
      </c>
      <c r="G123" s="179">
        <v>0.0</v>
      </c>
      <c r="H123" s="179">
        <v>0.0</v>
      </c>
      <c r="I123" s="179">
        <v>0.0</v>
      </c>
      <c r="J123" s="179">
        <v>2.0</v>
      </c>
      <c r="K123" s="179">
        <v>13.0</v>
      </c>
      <c r="L123" s="179">
        <v>10.0</v>
      </c>
      <c r="M123" s="179">
        <v>0.0</v>
      </c>
      <c r="N123" s="179">
        <v>0.0</v>
      </c>
      <c r="O123" s="179">
        <v>0.0</v>
      </c>
      <c r="P123" s="179">
        <v>0.0</v>
      </c>
      <c r="Q123" s="179">
        <v>7.0</v>
      </c>
      <c r="R123" s="179">
        <v>12.0</v>
      </c>
      <c r="S123" s="179">
        <v>1.0</v>
      </c>
      <c r="T123" s="179">
        <v>0.0</v>
      </c>
      <c r="U123" s="179">
        <v>0.0</v>
      </c>
      <c r="V123" s="179">
        <v>0.0</v>
      </c>
      <c r="W123" s="179">
        <v>0.0</v>
      </c>
      <c r="X123" s="179">
        <v>8.0</v>
      </c>
      <c r="Y123" s="179">
        <v>1.0</v>
      </c>
      <c r="Z123" s="179">
        <v>0.0</v>
      </c>
      <c r="AA123" s="179">
        <v>0.0</v>
      </c>
      <c r="AB123" s="179">
        <v>1.0</v>
      </c>
      <c r="AC123" s="179">
        <v>0.0</v>
      </c>
      <c r="AD123" s="179">
        <v>3.0</v>
      </c>
      <c r="AE123" s="179">
        <v>3.0</v>
      </c>
      <c r="AF123" s="179">
        <v>0.0</v>
      </c>
      <c r="AG123" s="179">
        <v>0.0</v>
      </c>
      <c r="AH123" s="179">
        <v>0.0</v>
      </c>
      <c r="AI123" s="179">
        <v>1.0</v>
      </c>
      <c r="AJ123" s="179">
        <v>2.0</v>
      </c>
      <c r="AK123" s="179">
        <v>0.0</v>
      </c>
      <c r="AL123" s="179">
        <v>0.0</v>
      </c>
      <c r="AM123" s="179">
        <v>0.0</v>
      </c>
      <c r="AN123" s="179">
        <v>0.0</v>
      </c>
      <c r="AO123" s="179">
        <v>0.0</v>
      </c>
      <c r="AP123" s="179">
        <v>0.0</v>
      </c>
      <c r="AQ123" s="180">
        <v>0.0</v>
      </c>
      <c r="AR123" s="179">
        <v>0.0</v>
      </c>
      <c r="AS123" s="179">
        <v>0.0</v>
      </c>
    </row>
    <row r="124">
      <c r="A124" s="177" t="s">
        <v>84</v>
      </c>
      <c r="B124" s="178">
        <v>399.0</v>
      </c>
      <c r="C124" s="179">
        <v>0.0</v>
      </c>
      <c r="D124" s="179">
        <v>0.0</v>
      </c>
      <c r="E124" s="179">
        <v>0.0</v>
      </c>
      <c r="F124" s="179">
        <v>3.0</v>
      </c>
      <c r="G124" s="179">
        <v>0.0</v>
      </c>
      <c r="H124" s="179">
        <v>0.0</v>
      </c>
      <c r="I124" s="179">
        <v>0.0</v>
      </c>
      <c r="J124" s="179">
        <v>1.0</v>
      </c>
      <c r="K124" s="179">
        <v>6.0</v>
      </c>
      <c r="L124" s="179">
        <v>5.0</v>
      </c>
      <c r="M124" s="179">
        <v>0.0</v>
      </c>
      <c r="N124" s="179">
        <v>0.0</v>
      </c>
      <c r="O124" s="179">
        <v>0.0</v>
      </c>
      <c r="P124" s="179">
        <v>2.0</v>
      </c>
      <c r="Q124" s="179">
        <v>7.0</v>
      </c>
      <c r="R124" s="179">
        <v>5.0</v>
      </c>
      <c r="S124" s="179">
        <v>0.0</v>
      </c>
      <c r="T124" s="179">
        <v>0.0</v>
      </c>
      <c r="U124" s="179">
        <v>0.0</v>
      </c>
      <c r="V124" s="179">
        <v>0.0</v>
      </c>
      <c r="W124" s="179">
        <v>3.0</v>
      </c>
      <c r="X124" s="179">
        <v>6.0</v>
      </c>
      <c r="Y124" s="179">
        <v>0.0</v>
      </c>
      <c r="Z124" s="179">
        <v>0.0</v>
      </c>
      <c r="AA124" s="179">
        <v>0.0</v>
      </c>
      <c r="AB124" s="179">
        <v>0.0</v>
      </c>
      <c r="AC124" s="179">
        <v>0.0</v>
      </c>
      <c r="AD124" s="179">
        <v>1.0</v>
      </c>
      <c r="AE124" s="179">
        <v>2.0</v>
      </c>
      <c r="AF124" s="179">
        <v>0.0</v>
      </c>
      <c r="AG124" s="179">
        <v>0.0</v>
      </c>
      <c r="AH124" s="179">
        <v>0.0</v>
      </c>
      <c r="AI124" s="179">
        <v>0.0</v>
      </c>
      <c r="AJ124" s="179">
        <v>0.0</v>
      </c>
      <c r="AK124" s="179">
        <v>1.0</v>
      </c>
      <c r="AL124" s="179">
        <v>0.0</v>
      </c>
      <c r="AM124" s="179">
        <v>0.0</v>
      </c>
      <c r="AN124" s="179">
        <v>0.0</v>
      </c>
      <c r="AO124" s="179">
        <v>0.0</v>
      </c>
      <c r="AP124" s="179">
        <v>0.0</v>
      </c>
      <c r="AQ124" s="180">
        <v>0.0</v>
      </c>
      <c r="AR124" s="179">
        <v>0.0</v>
      </c>
      <c r="AS124" s="179">
        <v>0.0</v>
      </c>
    </row>
    <row r="125">
      <c r="A125" s="177" t="s">
        <v>84</v>
      </c>
      <c r="B125" s="178">
        <v>400.0</v>
      </c>
      <c r="C125" s="179">
        <v>0.0</v>
      </c>
      <c r="D125" s="179">
        <v>1.0</v>
      </c>
      <c r="E125" s="179">
        <v>3.0</v>
      </c>
      <c r="F125" s="179">
        <v>3.0</v>
      </c>
      <c r="G125" s="179">
        <v>0.0</v>
      </c>
      <c r="H125" s="179">
        <v>0.0</v>
      </c>
      <c r="I125" s="179">
        <v>0.0</v>
      </c>
      <c r="J125" s="179">
        <v>0.0</v>
      </c>
      <c r="K125" s="179">
        <v>3.0</v>
      </c>
      <c r="L125" s="179">
        <v>3.0</v>
      </c>
      <c r="M125" s="179">
        <v>0.0</v>
      </c>
      <c r="N125" s="179">
        <v>0.0</v>
      </c>
      <c r="O125" s="179">
        <v>0.0</v>
      </c>
      <c r="P125" s="179">
        <v>0.0</v>
      </c>
      <c r="Q125" s="179">
        <v>2.0</v>
      </c>
      <c r="R125" s="179">
        <v>4.0</v>
      </c>
      <c r="S125" s="179">
        <v>0.0</v>
      </c>
      <c r="T125" s="179">
        <v>0.0</v>
      </c>
      <c r="U125" s="179">
        <v>0.0</v>
      </c>
      <c r="V125" s="179">
        <v>0.0</v>
      </c>
      <c r="W125" s="179">
        <v>2.0</v>
      </c>
      <c r="X125" s="179">
        <v>1.0</v>
      </c>
      <c r="Y125" s="179">
        <v>0.0</v>
      </c>
      <c r="Z125" s="179">
        <v>0.0</v>
      </c>
      <c r="AA125" s="179">
        <v>0.0</v>
      </c>
      <c r="AB125" s="179">
        <v>0.0</v>
      </c>
      <c r="AC125" s="179">
        <v>1.0</v>
      </c>
      <c r="AD125" s="179">
        <v>2.0</v>
      </c>
      <c r="AE125" s="179">
        <v>0.0</v>
      </c>
      <c r="AF125" s="179">
        <v>0.0</v>
      </c>
      <c r="AG125" s="179">
        <v>0.0</v>
      </c>
      <c r="AH125" s="179">
        <v>0.0</v>
      </c>
      <c r="AI125" s="179">
        <v>0.0</v>
      </c>
      <c r="AJ125" s="179">
        <v>0.0</v>
      </c>
      <c r="AK125" s="179">
        <v>0.0</v>
      </c>
      <c r="AL125" s="179">
        <v>0.0</v>
      </c>
      <c r="AM125" s="179">
        <v>0.0</v>
      </c>
      <c r="AN125" s="179">
        <v>0.0</v>
      </c>
      <c r="AO125" s="179">
        <v>0.0</v>
      </c>
      <c r="AP125" s="179">
        <v>0.0</v>
      </c>
      <c r="AQ125" s="180">
        <v>0.0</v>
      </c>
      <c r="AR125" s="179">
        <v>0.0</v>
      </c>
      <c r="AS125" s="179">
        <v>0.0</v>
      </c>
    </row>
    <row r="126">
      <c r="A126" s="177" t="s">
        <v>84</v>
      </c>
      <c r="B126" s="178">
        <v>402.0</v>
      </c>
      <c r="C126" s="179">
        <v>0.0</v>
      </c>
      <c r="D126" s="179">
        <v>0.0</v>
      </c>
      <c r="E126" s="179">
        <v>0.0</v>
      </c>
      <c r="F126" s="179">
        <v>2.0</v>
      </c>
      <c r="G126" s="179">
        <v>0.0</v>
      </c>
      <c r="H126" s="179">
        <v>0.0</v>
      </c>
      <c r="I126" s="179">
        <v>0.0</v>
      </c>
      <c r="J126" s="179">
        <v>1.0</v>
      </c>
      <c r="K126" s="179">
        <v>5.0</v>
      </c>
      <c r="L126" s="179">
        <v>7.0</v>
      </c>
      <c r="M126" s="179">
        <v>0.0</v>
      </c>
      <c r="N126" s="179">
        <v>0.0</v>
      </c>
      <c r="O126" s="179">
        <v>0.0</v>
      </c>
      <c r="P126" s="179">
        <v>0.0</v>
      </c>
      <c r="Q126" s="179">
        <v>4.0</v>
      </c>
      <c r="R126" s="179">
        <v>3.0</v>
      </c>
      <c r="S126" s="179">
        <v>2.0</v>
      </c>
      <c r="T126" s="179">
        <v>0.0</v>
      </c>
      <c r="U126" s="179">
        <v>0.0</v>
      </c>
      <c r="V126" s="179">
        <v>0.0</v>
      </c>
      <c r="W126" s="179">
        <v>1.0</v>
      </c>
      <c r="X126" s="179">
        <v>5.0</v>
      </c>
      <c r="Y126" s="179">
        <v>0.0</v>
      </c>
      <c r="Z126" s="179">
        <v>0.0</v>
      </c>
      <c r="AA126" s="179">
        <v>0.0</v>
      </c>
      <c r="AB126" s="179">
        <v>0.0</v>
      </c>
      <c r="AC126" s="179">
        <v>0.0</v>
      </c>
      <c r="AD126" s="179">
        <v>1.0</v>
      </c>
      <c r="AE126" s="179">
        <v>0.0</v>
      </c>
      <c r="AF126" s="179">
        <v>0.0</v>
      </c>
      <c r="AG126" s="179">
        <v>0.0</v>
      </c>
      <c r="AH126" s="179">
        <v>0.0</v>
      </c>
      <c r="AI126" s="179">
        <v>0.0</v>
      </c>
      <c r="AJ126" s="179">
        <v>2.0</v>
      </c>
      <c r="AK126" s="179">
        <v>1.0</v>
      </c>
      <c r="AL126" s="179">
        <v>0.0</v>
      </c>
      <c r="AM126" s="179">
        <v>0.0</v>
      </c>
      <c r="AN126" s="179">
        <v>0.0</v>
      </c>
      <c r="AO126" s="179">
        <v>0.0</v>
      </c>
      <c r="AP126" s="179">
        <v>0.0</v>
      </c>
      <c r="AQ126" s="180">
        <v>0.0</v>
      </c>
      <c r="AR126" s="179">
        <v>0.0</v>
      </c>
      <c r="AS126" s="179">
        <v>0.0</v>
      </c>
    </row>
    <row r="127">
      <c r="A127" s="177" t="s">
        <v>84</v>
      </c>
      <c r="B127" s="178">
        <v>403.0</v>
      </c>
      <c r="C127" s="179">
        <v>0.0</v>
      </c>
      <c r="D127" s="179">
        <v>0.0</v>
      </c>
      <c r="E127" s="179">
        <v>2.0</v>
      </c>
      <c r="F127" s="179">
        <v>5.0</v>
      </c>
      <c r="G127" s="179">
        <v>0.0</v>
      </c>
      <c r="H127" s="179">
        <v>0.0</v>
      </c>
      <c r="I127" s="179">
        <v>0.0</v>
      </c>
      <c r="J127" s="179">
        <v>1.0</v>
      </c>
      <c r="K127" s="179">
        <v>8.0</v>
      </c>
      <c r="L127" s="179">
        <v>4.0</v>
      </c>
      <c r="M127" s="179">
        <v>0.0</v>
      </c>
      <c r="N127" s="179">
        <v>0.0</v>
      </c>
      <c r="O127" s="179">
        <v>0.0</v>
      </c>
      <c r="P127" s="179">
        <v>0.0</v>
      </c>
      <c r="Q127" s="179">
        <v>7.0</v>
      </c>
      <c r="R127" s="179">
        <v>7.0</v>
      </c>
      <c r="S127" s="179">
        <v>0.0</v>
      </c>
      <c r="T127" s="179">
        <v>0.0</v>
      </c>
      <c r="U127" s="179">
        <v>0.0</v>
      </c>
      <c r="V127" s="179">
        <v>0.0</v>
      </c>
      <c r="W127" s="179">
        <v>0.0</v>
      </c>
      <c r="X127" s="179">
        <v>10.0</v>
      </c>
      <c r="Y127" s="179">
        <v>0.0</v>
      </c>
      <c r="Z127" s="179">
        <v>0.0</v>
      </c>
      <c r="AA127" s="179">
        <v>0.0</v>
      </c>
      <c r="AB127" s="179">
        <v>0.0</v>
      </c>
      <c r="AC127" s="179">
        <v>0.0</v>
      </c>
      <c r="AD127" s="179">
        <v>2.0</v>
      </c>
      <c r="AE127" s="179">
        <v>0.0</v>
      </c>
      <c r="AF127" s="179">
        <v>0.0</v>
      </c>
      <c r="AG127" s="179">
        <v>0.0</v>
      </c>
      <c r="AH127" s="179">
        <v>0.0</v>
      </c>
      <c r="AI127" s="179">
        <v>0.0</v>
      </c>
      <c r="AJ127" s="179">
        <v>1.0</v>
      </c>
      <c r="AK127" s="179">
        <v>0.0</v>
      </c>
      <c r="AL127" s="179">
        <v>0.0</v>
      </c>
      <c r="AM127" s="179">
        <v>0.0</v>
      </c>
      <c r="AN127" s="179">
        <v>0.0</v>
      </c>
      <c r="AO127" s="179">
        <v>0.0</v>
      </c>
      <c r="AP127" s="179">
        <v>0.0</v>
      </c>
      <c r="AQ127" s="180">
        <v>0.0</v>
      </c>
      <c r="AR127" s="179">
        <v>0.0</v>
      </c>
      <c r="AS127" s="179">
        <v>0.0</v>
      </c>
    </row>
    <row r="128">
      <c r="A128" s="181" t="s">
        <v>84</v>
      </c>
      <c r="B128" s="182">
        <v>404.0</v>
      </c>
      <c r="C128" s="183">
        <v>0.0</v>
      </c>
      <c r="D128" s="183">
        <v>1.0</v>
      </c>
      <c r="E128" s="183">
        <v>2.0</v>
      </c>
      <c r="F128" s="183">
        <v>21.0</v>
      </c>
      <c r="G128" s="183">
        <v>2.0</v>
      </c>
      <c r="H128" s="183">
        <v>0.0</v>
      </c>
      <c r="I128" s="183">
        <v>0.0</v>
      </c>
      <c r="J128" s="183">
        <v>7.0</v>
      </c>
      <c r="K128" s="183">
        <v>16.0</v>
      </c>
      <c r="L128" s="183">
        <v>17.0</v>
      </c>
      <c r="M128" s="183">
        <v>0.0</v>
      </c>
      <c r="N128" s="183">
        <v>0.0</v>
      </c>
      <c r="O128" s="183">
        <v>0.0</v>
      </c>
      <c r="P128" s="183">
        <v>1.0</v>
      </c>
      <c r="Q128" s="183">
        <v>13.0</v>
      </c>
      <c r="R128" s="183">
        <v>15.0</v>
      </c>
      <c r="S128" s="183">
        <v>2.0</v>
      </c>
      <c r="T128" s="183">
        <v>0.0</v>
      </c>
      <c r="U128" s="183">
        <v>0.0</v>
      </c>
      <c r="V128" s="183">
        <v>0.0</v>
      </c>
      <c r="W128" s="183">
        <v>7.0</v>
      </c>
      <c r="X128" s="183">
        <v>23.0</v>
      </c>
      <c r="Y128" s="183">
        <v>1.0</v>
      </c>
      <c r="Z128" s="183">
        <v>0.0</v>
      </c>
      <c r="AA128" s="183">
        <v>0.0</v>
      </c>
      <c r="AB128" s="183">
        <v>0.0</v>
      </c>
      <c r="AC128" s="183">
        <v>1.0</v>
      </c>
      <c r="AD128" s="183">
        <v>4.0</v>
      </c>
      <c r="AE128" s="183">
        <v>3.0</v>
      </c>
      <c r="AF128" s="183">
        <v>0.0</v>
      </c>
      <c r="AG128" s="183">
        <v>0.0</v>
      </c>
      <c r="AH128" s="183">
        <v>0.0</v>
      </c>
      <c r="AI128" s="183">
        <v>0.0</v>
      </c>
      <c r="AJ128" s="183">
        <v>2.0</v>
      </c>
      <c r="AK128" s="183">
        <v>0.0</v>
      </c>
      <c r="AL128" s="183">
        <v>0.0</v>
      </c>
      <c r="AM128" s="183">
        <v>0.0</v>
      </c>
      <c r="AN128" s="183">
        <v>0.0</v>
      </c>
      <c r="AO128" s="183">
        <v>0.0</v>
      </c>
      <c r="AP128" s="183">
        <v>0.0</v>
      </c>
      <c r="AQ128" s="184">
        <v>0.0</v>
      </c>
      <c r="AR128" s="183">
        <v>0.0</v>
      </c>
      <c r="AS128" s="183">
        <v>0.0</v>
      </c>
    </row>
    <row r="129">
      <c r="A129" s="185" t="s">
        <v>86</v>
      </c>
      <c r="B129" s="186">
        <v>410.0</v>
      </c>
      <c r="C129" s="187">
        <v>0.0</v>
      </c>
      <c r="D129" s="187">
        <v>0.0</v>
      </c>
      <c r="E129" s="187">
        <v>0.0</v>
      </c>
      <c r="F129" s="187">
        <v>0.0</v>
      </c>
      <c r="G129" s="187">
        <v>0.0</v>
      </c>
      <c r="H129" s="187">
        <v>0.0</v>
      </c>
      <c r="I129" s="187">
        <v>0.0</v>
      </c>
      <c r="J129" s="187">
        <v>0.0</v>
      </c>
      <c r="K129" s="187">
        <v>0.0</v>
      </c>
      <c r="L129" s="187">
        <v>0.0</v>
      </c>
      <c r="M129" s="187">
        <v>0.0</v>
      </c>
      <c r="N129" s="187">
        <v>0.0</v>
      </c>
      <c r="O129" s="187">
        <v>1.0</v>
      </c>
      <c r="P129" s="187">
        <v>0.0</v>
      </c>
      <c r="Q129" s="187">
        <v>0.0</v>
      </c>
      <c r="R129" s="187">
        <v>0.0</v>
      </c>
      <c r="S129" s="187">
        <v>0.0</v>
      </c>
      <c r="T129" s="187">
        <v>0.0</v>
      </c>
      <c r="U129" s="187">
        <v>2.0</v>
      </c>
      <c r="V129" s="187">
        <v>0.0</v>
      </c>
      <c r="W129" s="187">
        <v>1.0</v>
      </c>
      <c r="X129" s="187">
        <v>0.0</v>
      </c>
      <c r="Y129" s="187">
        <v>0.0</v>
      </c>
      <c r="Z129" s="187">
        <v>0.0</v>
      </c>
      <c r="AA129" s="187">
        <v>0.0</v>
      </c>
      <c r="AB129" s="187">
        <v>0.0</v>
      </c>
      <c r="AC129" s="187">
        <v>3.0</v>
      </c>
      <c r="AD129" s="187">
        <v>0.0</v>
      </c>
      <c r="AE129" s="187">
        <v>0.0</v>
      </c>
      <c r="AF129" s="187">
        <v>0.0</v>
      </c>
      <c r="AG129" s="187">
        <v>0.0</v>
      </c>
      <c r="AH129" s="187">
        <v>0.0</v>
      </c>
      <c r="AI129" s="187">
        <v>5.0</v>
      </c>
      <c r="AJ129" s="187">
        <v>1.0</v>
      </c>
      <c r="AK129" s="187">
        <v>0.0</v>
      </c>
      <c r="AL129" s="187">
        <v>0.0</v>
      </c>
      <c r="AM129" s="187">
        <v>2.0</v>
      </c>
      <c r="AN129" s="187">
        <v>4.0</v>
      </c>
      <c r="AO129" s="187">
        <v>0.0</v>
      </c>
      <c r="AP129" s="187">
        <v>0.0</v>
      </c>
      <c r="AQ129" s="188">
        <v>3.0</v>
      </c>
      <c r="AR129" s="187">
        <v>2.0</v>
      </c>
      <c r="AS129" s="187">
        <v>0.0</v>
      </c>
    </row>
    <row r="130">
      <c r="A130" s="189" t="s">
        <v>86</v>
      </c>
      <c r="B130" s="190">
        <v>411.0</v>
      </c>
      <c r="C130" s="191">
        <v>0.0</v>
      </c>
      <c r="D130" s="191">
        <v>0.0</v>
      </c>
      <c r="E130" s="191">
        <v>1.0</v>
      </c>
      <c r="F130" s="191">
        <v>0.0</v>
      </c>
      <c r="G130" s="191">
        <v>0.0</v>
      </c>
      <c r="H130" s="191">
        <v>0.0</v>
      </c>
      <c r="I130" s="191">
        <v>0.0</v>
      </c>
      <c r="J130" s="191">
        <v>0.0</v>
      </c>
      <c r="K130" s="191">
        <v>1.0</v>
      </c>
      <c r="L130" s="191">
        <v>0.0</v>
      </c>
      <c r="M130" s="191">
        <v>0.0</v>
      </c>
      <c r="N130" s="191">
        <v>0.0</v>
      </c>
      <c r="O130" s="191">
        <v>0.0</v>
      </c>
      <c r="P130" s="191">
        <v>2.0</v>
      </c>
      <c r="Q130" s="191">
        <v>1.0</v>
      </c>
      <c r="R130" s="191">
        <v>1.0</v>
      </c>
      <c r="S130" s="191">
        <v>0.0</v>
      </c>
      <c r="T130" s="191">
        <v>0.0</v>
      </c>
      <c r="U130" s="191">
        <v>0.0</v>
      </c>
      <c r="V130" s="191">
        <v>3.0</v>
      </c>
      <c r="W130" s="191">
        <v>2.0</v>
      </c>
      <c r="X130" s="191">
        <v>3.0</v>
      </c>
      <c r="Y130" s="191">
        <v>0.0</v>
      </c>
      <c r="Z130" s="191">
        <v>0.0</v>
      </c>
      <c r="AA130" s="191">
        <v>0.0</v>
      </c>
      <c r="AB130" s="191">
        <v>1.0</v>
      </c>
      <c r="AC130" s="191">
        <v>16.0</v>
      </c>
      <c r="AD130" s="191">
        <v>0.0</v>
      </c>
      <c r="AE130" s="191">
        <v>0.0</v>
      </c>
      <c r="AF130" s="191">
        <v>0.0</v>
      </c>
      <c r="AG130" s="191">
        <v>0.0</v>
      </c>
      <c r="AH130" s="191">
        <v>9.0</v>
      </c>
      <c r="AI130" s="191">
        <v>21.0</v>
      </c>
      <c r="AJ130" s="191">
        <v>0.0</v>
      </c>
      <c r="AK130" s="191">
        <v>0.0</v>
      </c>
      <c r="AL130" s="191">
        <v>1.0</v>
      </c>
      <c r="AM130" s="191">
        <v>13.0</v>
      </c>
      <c r="AN130" s="191">
        <v>25.0</v>
      </c>
      <c r="AO130" s="191">
        <v>0.0</v>
      </c>
      <c r="AP130" s="191">
        <v>0.0</v>
      </c>
      <c r="AQ130" s="192">
        <v>19.0</v>
      </c>
      <c r="AR130" s="191">
        <v>9.0</v>
      </c>
      <c r="AS130" s="191">
        <v>0.0</v>
      </c>
    </row>
    <row r="131">
      <c r="A131" s="189" t="s">
        <v>86</v>
      </c>
      <c r="B131" s="190">
        <v>412.0</v>
      </c>
      <c r="C131" s="191">
        <v>1.0</v>
      </c>
      <c r="D131" s="191">
        <v>0.0</v>
      </c>
      <c r="E131" s="191">
        <v>1.0</v>
      </c>
      <c r="F131" s="191">
        <v>0.0</v>
      </c>
      <c r="G131" s="191">
        <v>0.0</v>
      </c>
      <c r="H131" s="191">
        <v>0.0</v>
      </c>
      <c r="I131" s="191">
        <v>1.0</v>
      </c>
      <c r="J131" s="191">
        <v>1.0</v>
      </c>
      <c r="K131" s="191">
        <v>1.0</v>
      </c>
      <c r="L131" s="191">
        <v>0.0</v>
      </c>
      <c r="M131" s="191">
        <v>0.0</v>
      </c>
      <c r="N131" s="191">
        <v>0.0</v>
      </c>
      <c r="O131" s="191">
        <v>2.0</v>
      </c>
      <c r="P131" s="191">
        <v>4.0</v>
      </c>
      <c r="Q131" s="191">
        <v>5.0</v>
      </c>
      <c r="R131" s="191">
        <v>1.0</v>
      </c>
      <c r="S131" s="191">
        <v>0.0</v>
      </c>
      <c r="T131" s="191">
        <v>0.0</v>
      </c>
      <c r="U131" s="191">
        <v>2.0</v>
      </c>
      <c r="V131" s="191">
        <v>11.0</v>
      </c>
      <c r="W131" s="191">
        <v>8.0</v>
      </c>
      <c r="X131" s="191">
        <v>4.0</v>
      </c>
      <c r="Y131" s="191">
        <v>0.0</v>
      </c>
      <c r="Z131" s="191">
        <v>0.0</v>
      </c>
      <c r="AA131" s="191">
        <v>0.0</v>
      </c>
      <c r="AB131" s="191">
        <v>5.0</v>
      </c>
      <c r="AC131" s="191">
        <v>55.0</v>
      </c>
      <c r="AD131" s="191">
        <v>1.0</v>
      </c>
      <c r="AE131" s="191">
        <v>0.0</v>
      </c>
      <c r="AF131" s="191">
        <v>0.0</v>
      </c>
      <c r="AG131" s="191">
        <v>0.0</v>
      </c>
      <c r="AH131" s="191">
        <v>20.0</v>
      </c>
      <c r="AI131" s="191">
        <v>43.0</v>
      </c>
      <c r="AJ131" s="191">
        <v>4.0</v>
      </c>
      <c r="AK131" s="191">
        <v>0.0</v>
      </c>
      <c r="AL131" s="191">
        <v>0.0</v>
      </c>
      <c r="AM131" s="191">
        <v>39.0</v>
      </c>
      <c r="AN131" s="191">
        <v>79.0</v>
      </c>
      <c r="AO131" s="191">
        <v>0.0</v>
      </c>
      <c r="AP131" s="191">
        <v>0.0</v>
      </c>
      <c r="AQ131" s="192">
        <v>65.0</v>
      </c>
      <c r="AR131" s="191">
        <v>13.0</v>
      </c>
      <c r="AS131" s="191">
        <v>1.0</v>
      </c>
    </row>
    <row r="132">
      <c r="A132" s="189" t="s">
        <v>86</v>
      </c>
      <c r="B132" s="190">
        <v>413.0</v>
      </c>
      <c r="C132" s="191">
        <v>0.0</v>
      </c>
      <c r="D132" s="191">
        <v>0.0</v>
      </c>
      <c r="E132" s="191">
        <v>0.0</v>
      </c>
      <c r="F132" s="191">
        <v>0.0</v>
      </c>
      <c r="G132" s="191">
        <v>0.0</v>
      </c>
      <c r="H132" s="191">
        <v>0.0</v>
      </c>
      <c r="I132" s="191">
        <v>0.0</v>
      </c>
      <c r="J132" s="191">
        <v>0.0</v>
      </c>
      <c r="K132" s="191">
        <v>0.0</v>
      </c>
      <c r="L132" s="191">
        <v>0.0</v>
      </c>
      <c r="M132" s="191">
        <v>0.0</v>
      </c>
      <c r="N132" s="191">
        <v>0.0</v>
      </c>
      <c r="O132" s="191">
        <v>0.0</v>
      </c>
      <c r="P132" s="191">
        <v>3.0</v>
      </c>
      <c r="Q132" s="191">
        <v>0.0</v>
      </c>
      <c r="R132" s="191">
        <v>0.0</v>
      </c>
      <c r="S132" s="191">
        <v>0.0</v>
      </c>
      <c r="T132" s="191">
        <v>0.0</v>
      </c>
      <c r="U132" s="191">
        <v>1.0</v>
      </c>
      <c r="V132" s="191">
        <v>6.0</v>
      </c>
      <c r="W132" s="191">
        <v>9.0</v>
      </c>
      <c r="X132" s="191">
        <v>1.0</v>
      </c>
      <c r="Y132" s="191">
        <v>0.0</v>
      </c>
      <c r="Z132" s="191">
        <v>0.0</v>
      </c>
      <c r="AA132" s="191">
        <v>0.0</v>
      </c>
      <c r="AB132" s="191">
        <v>2.0</v>
      </c>
      <c r="AC132" s="191">
        <v>32.0</v>
      </c>
      <c r="AD132" s="191">
        <v>2.0</v>
      </c>
      <c r="AE132" s="191">
        <v>0.0</v>
      </c>
      <c r="AF132" s="191">
        <v>0.0</v>
      </c>
      <c r="AG132" s="191">
        <v>0.0</v>
      </c>
      <c r="AH132" s="191">
        <v>13.0</v>
      </c>
      <c r="AI132" s="191">
        <v>27.0</v>
      </c>
      <c r="AJ132" s="191">
        <v>6.0</v>
      </c>
      <c r="AK132" s="191">
        <v>0.0</v>
      </c>
      <c r="AL132" s="191">
        <v>0.0</v>
      </c>
      <c r="AM132" s="191">
        <v>29.0</v>
      </c>
      <c r="AN132" s="191">
        <v>55.0</v>
      </c>
      <c r="AO132" s="191">
        <v>0.0</v>
      </c>
      <c r="AP132" s="191">
        <v>0.0</v>
      </c>
      <c r="AQ132" s="192">
        <v>38.0</v>
      </c>
      <c r="AR132" s="191">
        <v>14.0</v>
      </c>
      <c r="AS132" s="191">
        <v>0.0</v>
      </c>
    </row>
    <row r="133">
      <c r="A133" s="193" t="s">
        <v>86</v>
      </c>
      <c r="B133" s="194">
        <v>415.0</v>
      </c>
      <c r="C133" s="195">
        <v>0.0</v>
      </c>
      <c r="D133" s="195">
        <v>0.0</v>
      </c>
      <c r="E133" s="195">
        <v>0.0</v>
      </c>
      <c r="F133" s="195">
        <v>0.0</v>
      </c>
      <c r="G133" s="195">
        <v>0.0</v>
      </c>
      <c r="H133" s="195">
        <v>0.0</v>
      </c>
      <c r="I133" s="195">
        <v>0.0</v>
      </c>
      <c r="J133" s="195">
        <v>0.0</v>
      </c>
      <c r="K133" s="195">
        <v>0.0</v>
      </c>
      <c r="L133" s="195">
        <v>0.0</v>
      </c>
      <c r="M133" s="195">
        <v>0.0</v>
      </c>
      <c r="N133" s="195">
        <v>0.0</v>
      </c>
      <c r="O133" s="195">
        <v>0.0</v>
      </c>
      <c r="P133" s="195">
        <v>0.0</v>
      </c>
      <c r="Q133" s="195">
        <v>1.0</v>
      </c>
      <c r="R133" s="195">
        <v>0.0</v>
      </c>
      <c r="S133" s="195">
        <v>0.0</v>
      </c>
      <c r="T133" s="195">
        <v>0.0</v>
      </c>
      <c r="U133" s="195">
        <v>0.0</v>
      </c>
      <c r="V133" s="195">
        <v>0.0</v>
      </c>
      <c r="W133" s="195">
        <v>1.0</v>
      </c>
      <c r="X133" s="195">
        <v>0.0</v>
      </c>
      <c r="Y133" s="195">
        <v>0.0</v>
      </c>
      <c r="Z133" s="195">
        <v>0.0</v>
      </c>
      <c r="AA133" s="195">
        <v>0.0</v>
      </c>
      <c r="AB133" s="195">
        <v>2.0</v>
      </c>
      <c r="AC133" s="195">
        <v>7.0</v>
      </c>
      <c r="AD133" s="195">
        <v>0.0</v>
      </c>
      <c r="AE133" s="195">
        <v>0.0</v>
      </c>
      <c r="AF133" s="195">
        <v>0.0</v>
      </c>
      <c r="AG133" s="195">
        <v>0.0</v>
      </c>
      <c r="AH133" s="195">
        <v>3.0</v>
      </c>
      <c r="AI133" s="195">
        <v>10.0</v>
      </c>
      <c r="AJ133" s="195">
        <v>1.0</v>
      </c>
      <c r="AK133" s="195">
        <v>0.0</v>
      </c>
      <c r="AL133" s="195">
        <v>0.0</v>
      </c>
      <c r="AM133" s="195">
        <v>3.0</v>
      </c>
      <c r="AN133" s="195">
        <v>18.0</v>
      </c>
      <c r="AO133" s="195">
        <v>0.0</v>
      </c>
      <c r="AP133" s="195">
        <v>1.0</v>
      </c>
      <c r="AQ133" s="196">
        <v>9.0</v>
      </c>
      <c r="AR133" s="195">
        <v>3.0</v>
      </c>
      <c r="AS133" s="195">
        <v>0.0</v>
      </c>
    </row>
    <row r="134">
      <c r="A134" s="197" t="s">
        <v>88</v>
      </c>
      <c r="B134" s="198">
        <v>420.0</v>
      </c>
      <c r="C134" s="199">
        <v>0.0</v>
      </c>
      <c r="D134" s="199">
        <v>0.0</v>
      </c>
      <c r="E134" s="199">
        <v>0.0</v>
      </c>
      <c r="F134" s="199">
        <v>0.0</v>
      </c>
      <c r="G134" s="199">
        <v>0.0</v>
      </c>
      <c r="H134" s="199">
        <v>0.0</v>
      </c>
      <c r="I134" s="199">
        <v>0.0</v>
      </c>
      <c r="J134" s="199">
        <v>0.0</v>
      </c>
      <c r="K134" s="199">
        <v>0.0</v>
      </c>
      <c r="L134" s="199">
        <v>0.0</v>
      </c>
      <c r="M134" s="199">
        <v>0.0</v>
      </c>
      <c r="N134" s="199">
        <v>0.0</v>
      </c>
      <c r="O134" s="199">
        <v>0.0</v>
      </c>
      <c r="P134" s="199">
        <v>0.0</v>
      </c>
      <c r="Q134" s="199">
        <v>0.0</v>
      </c>
      <c r="R134" s="199">
        <v>4.0</v>
      </c>
      <c r="S134" s="199">
        <v>0.0</v>
      </c>
      <c r="T134" s="199">
        <v>0.0</v>
      </c>
      <c r="U134" s="199">
        <v>0.0</v>
      </c>
      <c r="V134" s="199">
        <v>0.0</v>
      </c>
      <c r="W134" s="199">
        <v>4.0</v>
      </c>
      <c r="X134" s="199">
        <v>9.0</v>
      </c>
      <c r="Y134" s="199">
        <v>2.0</v>
      </c>
      <c r="Z134" s="199">
        <v>0.0</v>
      </c>
      <c r="AA134" s="199">
        <v>0.0</v>
      </c>
      <c r="AB134" s="199">
        <v>0.0</v>
      </c>
      <c r="AC134" s="199">
        <v>9.0</v>
      </c>
      <c r="AD134" s="199">
        <v>14.0</v>
      </c>
      <c r="AE134" s="199">
        <v>0.0</v>
      </c>
      <c r="AF134" s="199">
        <v>0.0</v>
      </c>
      <c r="AG134" s="199">
        <v>0.0</v>
      </c>
      <c r="AH134" s="199">
        <v>1.0</v>
      </c>
      <c r="AI134" s="199">
        <v>23.0</v>
      </c>
      <c r="AJ134" s="199">
        <v>25.0</v>
      </c>
      <c r="AK134" s="199">
        <v>0.0</v>
      </c>
      <c r="AL134" s="199">
        <v>0.0</v>
      </c>
      <c r="AM134" s="199">
        <v>1.0</v>
      </c>
      <c r="AN134" s="199">
        <v>39.0</v>
      </c>
      <c r="AO134" s="199">
        <v>14.0</v>
      </c>
      <c r="AP134" s="199">
        <v>0.0</v>
      </c>
      <c r="AQ134" s="200">
        <v>0.0</v>
      </c>
      <c r="AR134" s="199">
        <v>10.0</v>
      </c>
      <c r="AS134" s="199">
        <v>10.0</v>
      </c>
    </row>
    <row r="135">
      <c r="A135" s="201" t="s">
        <v>88</v>
      </c>
      <c r="B135" s="202">
        <v>421.0</v>
      </c>
      <c r="C135" s="203">
        <v>3.0</v>
      </c>
      <c r="D135" s="203">
        <v>2.0</v>
      </c>
      <c r="E135" s="203">
        <v>0.0</v>
      </c>
      <c r="F135" s="203">
        <v>0.0</v>
      </c>
      <c r="G135" s="203">
        <v>0.0</v>
      </c>
      <c r="H135" s="203">
        <v>2.0</v>
      </c>
      <c r="I135" s="203">
        <v>0.0</v>
      </c>
      <c r="J135" s="203">
        <v>2.0</v>
      </c>
      <c r="K135" s="203">
        <v>4.0</v>
      </c>
      <c r="L135" s="203">
        <v>2.0</v>
      </c>
      <c r="M135" s="203">
        <v>0.0</v>
      </c>
      <c r="N135" s="203">
        <v>0.0</v>
      </c>
      <c r="O135" s="203">
        <v>0.0</v>
      </c>
      <c r="P135" s="203">
        <v>7.0</v>
      </c>
      <c r="Q135" s="203">
        <v>2.0</v>
      </c>
      <c r="R135" s="203">
        <v>5.0</v>
      </c>
      <c r="S135" s="203">
        <v>1.0</v>
      </c>
      <c r="T135" s="203">
        <v>0.0</v>
      </c>
      <c r="U135" s="203">
        <v>1.0</v>
      </c>
      <c r="V135" s="203">
        <v>13.0</v>
      </c>
      <c r="W135" s="203">
        <v>16.0</v>
      </c>
      <c r="X135" s="203">
        <v>37.0</v>
      </c>
      <c r="Y135" s="203">
        <v>1.0</v>
      </c>
      <c r="Z135" s="203">
        <v>0.0</v>
      </c>
      <c r="AA135" s="203">
        <v>0.0</v>
      </c>
      <c r="AB135" s="203">
        <v>7.0</v>
      </c>
      <c r="AC135" s="203">
        <v>45.0</v>
      </c>
      <c r="AD135" s="203">
        <v>37.0</v>
      </c>
      <c r="AE135" s="203">
        <v>3.0</v>
      </c>
      <c r="AF135" s="203">
        <v>0.0</v>
      </c>
      <c r="AG135" s="203">
        <v>1.0</v>
      </c>
      <c r="AH135" s="203">
        <v>3.0</v>
      </c>
      <c r="AI135" s="203">
        <v>83.0</v>
      </c>
      <c r="AJ135" s="203">
        <v>79.0</v>
      </c>
      <c r="AK135" s="203">
        <v>0.0</v>
      </c>
      <c r="AL135" s="203">
        <v>0.0</v>
      </c>
      <c r="AM135" s="203">
        <v>2.0</v>
      </c>
      <c r="AN135" s="203">
        <v>137.0</v>
      </c>
      <c r="AO135" s="203">
        <v>46.0</v>
      </c>
      <c r="AP135" s="203">
        <v>0.0</v>
      </c>
      <c r="AQ135" s="204">
        <v>0.0</v>
      </c>
      <c r="AR135" s="203">
        <v>35.0</v>
      </c>
      <c r="AS135" s="203">
        <v>38.0</v>
      </c>
    </row>
    <row r="136">
      <c r="A136" s="205" t="s">
        <v>88</v>
      </c>
      <c r="B136" s="206">
        <v>422.0</v>
      </c>
      <c r="C136" s="207">
        <v>1.0</v>
      </c>
      <c r="D136" s="207">
        <v>2.0</v>
      </c>
      <c r="E136" s="207">
        <v>0.0</v>
      </c>
      <c r="F136" s="207">
        <v>0.0</v>
      </c>
      <c r="G136" s="207">
        <v>0.0</v>
      </c>
      <c r="H136" s="207">
        <v>0.0</v>
      </c>
      <c r="I136" s="207">
        <v>0.0</v>
      </c>
      <c r="J136" s="207">
        <v>3.0</v>
      </c>
      <c r="K136" s="207">
        <v>5.0</v>
      </c>
      <c r="L136" s="207">
        <v>3.0</v>
      </c>
      <c r="M136" s="207">
        <v>1.0</v>
      </c>
      <c r="N136" s="207">
        <v>0.0</v>
      </c>
      <c r="O136" s="207">
        <v>0.0</v>
      </c>
      <c r="P136" s="207">
        <v>8.0</v>
      </c>
      <c r="Q136" s="207">
        <v>4.0</v>
      </c>
      <c r="R136" s="207">
        <v>5.0</v>
      </c>
      <c r="S136" s="207">
        <v>3.0</v>
      </c>
      <c r="T136" s="207">
        <v>0.0</v>
      </c>
      <c r="U136" s="207">
        <v>1.0</v>
      </c>
      <c r="V136" s="207">
        <v>6.0</v>
      </c>
      <c r="W136" s="207">
        <v>16.0</v>
      </c>
      <c r="X136" s="207">
        <v>48.0</v>
      </c>
      <c r="Y136" s="207">
        <v>3.0</v>
      </c>
      <c r="Z136" s="207">
        <v>0.0</v>
      </c>
      <c r="AA136" s="207">
        <v>0.0</v>
      </c>
      <c r="AB136" s="207">
        <v>2.0</v>
      </c>
      <c r="AC136" s="207">
        <v>48.0</v>
      </c>
      <c r="AD136" s="207">
        <v>47.0</v>
      </c>
      <c r="AE136" s="207">
        <v>2.0</v>
      </c>
      <c r="AF136" s="207">
        <v>0.0</v>
      </c>
      <c r="AG136" s="207">
        <v>0.0</v>
      </c>
      <c r="AH136" s="207">
        <v>2.0</v>
      </c>
      <c r="AI136" s="207">
        <v>100.0</v>
      </c>
      <c r="AJ136" s="207">
        <v>93.0</v>
      </c>
      <c r="AK136" s="207">
        <v>2.0</v>
      </c>
      <c r="AL136" s="207">
        <v>0.0</v>
      </c>
      <c r="AM136" s="207">
        <v>1.0</v>
      </c>
      <c r="AN136" s="207">
        <v>156.0</v>
      </c>
      <c r="AO136" s="207">
        <v>50.0</v>
      </c>
      <c r="AP136" s="207">
        <v>2.0</v>
      </c>
      <c r="AQ136" s="208">
        <v>0.0</v>
      </c>
      <c r="AR136" s="207">
        <v>47.0</v>
      </c>
      <c r="AS136" s="207">
        <v>49.0</v>
      </c>
    </row>
    <row r="137">
      <c r="A137" s="209" t="s">
        <v>90</v>
      </c>
      <c r="B137" s="210">
        <v>425.0</v>
      </c>
      <c r="C137" s="211">
        <v>1.0</v>
      </c>
      <c r="D137" s="211">
        <v>0.0</v>
      </c>
      <c r="E137" s="211">
        <v>3.0</v>
      </c>
      <c r="F137" s="211">
        <v>0.0</v>
      </c>
      <c r="G137" s="211">
        <v>0.0</v>
      </c>
      <c r="H137" s="211">
        <v>0.0</v>
      </c>
      <c r="I137" s="211">
        <v>0.0</v>
      </c>
      <c r="J137" s="211">
        <v>0.0</v>
      </c>
      <c r="K137" s="211">
        <v>0.0</v>
      </c>
      <c r="L137" s="211">
        <v>0.0</v>
      </c>
      <c r="M137" s="211">
        <v>0.0</v>
      </c>
      <c r="N137" s="211">
        <v>0.0</v>
      </c>
      <c r="O137" s="211">
        <v>1.0</v>
      </c>
      <c r="P137" s="211">
        <v>0.0</v>
      </c>
      <c r="Q137" s="211">
        <v>0.0</v>
      </c>
      <c r="R137" s="211">
        <v>1.0</v>
      </c>
      <c r="S137" s="211">
        <v>0.0</v>
      </c>
      <c r="T137" s="211">
        <v>0.0</v>
      </c>
      <c r="U137" s="211">
        <v>1.0</v>
      </c>
      <c r="V137" s="211">
        <v>0.0</v>
      </c>
      <c r="W137" s="211">
        <v>1.0</v>
      </c>
      <c r="X137" s="211">
        <v>6.0</v>
      </c>
      <c r="Y137" s="211">
        <v>1.0</v>
      </c>
      <c r="Z137" s="211">
        <v>0.0</v>
      </c>
      <c r="AA137" s="211">
        <v>0.0</v>
      </c>
      <c r="AB137" s="211">
        <v>0.0</v>
      </c>
      <c r="AC137" s="211">
        <v>1.0</v>
      </c>
      <c r="AD137" s="211">
        <v>4.0</v>
      </c>
      <c r="AE137" s="211">
        <v>1.0</v>
      </c>
      <c r="AF137" s="211">
        <v>0.0</v>
      </c>
      <c r="AG137" s="211">
        <v>0.0</v>
      </c>
      <c r="AH137" s="211">
        <v>0.0</v>
      </c>
      <c r="AI137" s="211">
        <v>1.0</v>
      </c>
      <c r="AJ137" s="211">
        <v>3.0</v>
      </c>
      <c r="AK137" s="211">
        <v>3.0</v>
      </c>
      <c r="AL137" s="211">
        <v>0.0</v>
      </c>
      <c r="AM137" s="211">
        <v>0.0</v>
      </c>
      <c r="AN137" s="211">
        <v>0.0</v>
      </c>
      <c r="AO137" s="211">
        <v>6.0</v>
      </c>
      <c r="AP137" s="211">
        <v>5.0</v>
      </c>
      <c r="AQ137" s="212">
        <v>0.0</v>
      </c>
      <c r="AR137" s="211">
        <v>2.0</v>
      </c>
      <c r="AS137" s="211">
        <v>12.0</v>
      </c>
    </row>
    <row r="138">
      <c r="A138" s="213" t="s">
        <v>90</v>
      </c>
      <c r="B138" s="214">
        <v>426.0</v>
      </c>
      <c r="C138" s="215">
        <v>2.0</v>
      </c>
      <c r="D138" s="215">
        <v>2.0</v>
      </c>
      <c r="E138" s="215">
        <v>1.0</v>
      </c>
      <c r="F138" s="215">
        <v>0.0</v>
      </c>
      <c r="G138" s="215">
        <v>0.0</v>
      </c>
      <c r="H138" s="215">
        <v>0.0</v>
      </c>
      <c r="I138" s="215">
        <v>2.0</v>
      </c>
      <c r="J138" s="215">
        <v>1.0</v>
      </c>
      <c r="K138" s="215">
        <v>2.0</v>
      </c>
      <c r="L138" s="215">
        <v>2.0</v>
      </c>
      <c r="M138" s="215">
        <v>0.0</v>
      </c>
      <c r="N138" s="215">
        <v>0.0</v>
      </c>
      <c r="O138" s="215">
        <v>0.0</v>
      </c>
      <c r="P138" s="215">
        <v>2.0</v>
      </c>
      <c r="Q138" s="215">
        <v>1.0</v>
      </c>
      <c r="R138" s="215">
        <v>4.0</v>
      </c>
      <c r="S138" s="215">
        <v>1.0</v>
      </c>
      <c r="T138" s="215">
        <v>0.0</v>
      </c>
      <c r="U138" s="215">
        <v>0.0</v>
      </c>
      <c r="V138" s="215">
        <v>0.0</v>
      </c>
      <c r="W138" s="215">
        <v>9.0</v>
      </c>
      <c r="X138" s="215">
        <v>8.0</v>
      </c>
      <c r="Y138" s="215">
        <v>1.0</v>
      </c>
      <c r="Z138" s="215">
        <v>0.0</v>
      </c>
      <c r="AA138" s="215">
        <v>0.0</v>
      </c>
      <c r="AB138" s="215">
        <v>0.0</v>
      </c>
      <c r="AC138" s="215">
        <v>5.0</v>
      </c>
      <c r="AD138" s="215">
        <v>10.0</v>
      </c>
      <c r="AE138" s="215">
        <v>4.0</v>
      </c>
      <c r="AF138" s="215">
        <v>0.0</v>
      </c>
      <c r="AG138" s="215">
        <v>0.0</v>
      </c>
      <c r="AH138" s="215">
        <v>0.0</v>
      </c>
      <c r="AI138" s="215">
        <v>0.0</v>
      </c>
      <c r="AJ138" s="215">
        <v>20.0</v>
      </c>
      <c r="AK138" s="215">
        <v>4.0</v>
      </c>
      <c r="AL138" s="215">
        <v>0.0</v>
      </c>
      <c r="AM138" s="215">
        <v>0.0</v>
      </c>
      <c r="AN138" s="215">
        <v>0.0</v>
      </c>
      <c r="AO138" s="215">
        <v>16.0</v>
      </c>
      <c r="AP138" s="215">
        <v>11.0</v>
      </c>
      <c r="AQ138" s="216">
        <v>0.0</v>
      </c>
      <c r="AR138" s="215">
        <v>0.0</v>
      </c>
      <c r="AS138" s="215">
        <v>28.0</v>
      </c>
    </row>
    <row r="139">
      <c r="A139" s="213" t="s">
        <v>90</v>
      </c>
      <c r="B139" s="214">
        <v>427.0</v>
      </c>
      <c r="C139" s="215">
        <v>0.0</v>
      </c>
      <c r="D139" s="215">
        <v>0.0</v>
      </c>
      <c r="E139" s="215">
        <v>1.0</v>
      </c>
      <c r="F139" s="215">
        <v>0.0</v>
      </c>
      <c r="G139" s="215">
        <v>0.0</v>
      </c>
      <c r="H139" s="215">
        <v>1.0</v>
      </c>
      <c r="I139" s="215">
        <v>1.0</v>
      </c>
      <c r="J139" s="215">
        <v>0.0</v>
      </c>
      <c r="K139" s="215">
        <v>1.0</v>
      </c>
      <c r="L139" s="215">
        <v>0.0</v>
      </c>
      <c r="M139" s="215">
        <v>0.0</v>
      </c>
      <c r="N139" s="215">
        <v>0.0</v>
      </c>
      <c r="O139" s="215">
        <v>1.0</v>
      </c>
      <c r="P139" s="215">
        <v>0.0</v>
      </c>
      <c r="Q139" s="215">
        <v>6.0</v>
      </c>
      <c r="R139" s="215">
        <v>6.0</v>
      </c>
      <c r="S139" s="215">
        <v>0.0</v>
      </c>
      <c r="T139" s="215">
        <v>0.0</v>
      </c>
      <c r="U139" s="215">
        <v>0.0</v>
      </c>
      <c r="V139" s="215">
        <v>0.0</v>
      </c>
      <c r="W139" s="215">
        <v>3.0</v>
      </c>
      <c r="X139" s="215">
        <v>18.0</v>
      </c>
      <c r="Y139" s="215">
        <v>4.0</v>
      </c>
      <c r="Z139" s="215">
        <v>0.0</v>
      </c>
      <c r="AA139" s="215">
        <v>0.0</v>
      </c>
      <c r="AB139" s="215">
        <v>0.0</v>
      </c>
      <c r="AC139" s="215">
        <v>4.0</v>
      </c>
      <c r="AD139" s="215">
        <v>7.0</v>
      </c>
      <c r="AE139" s="215">
        <v>4.0</v>
      </c>
      <c r="AF139" s="215">
        <v>0.0</v>
      </c>
      <c r="AG139" s="215">
        <v>0.0</v>
      </c>
      <c r="AH139" s="215">
        <v>0.0</v>
      </c>
      <c r="AI139" s="215">
        <v>3.0</v>
      </c>
      <c r="AJ139" s="215">
        <v>16.0</v>
      </c>
      <c r="AK139" s="215">
        <v>8.0</v>
      </c>
      <c r="AL139" s="215">
        <v>0.0</v>
      </c>
      <c r="AM139" s="215">
        <v>0.0</v>
      </c>
      <c r="AN139" s="215">
        <v>0.0</v>
      </c>
      <c r="AO139" s="215">
        <v>17.0</v>
      </c>
      <c r="AP139" s="215">
        <v>11.0</v>
      </c>
      <c r="AQ139" s="216">
        <v>0.0</v>
      </c>
      <c r="AR139" s="215">
        <v>1.0</v>
      </c>
      <c r="AS139" s="215">
        <v>23.0</v>
      </c>
    </row>
    <row r="140">
      <c r="A140" s="213" t="s">
        <v>90</v>
      </c>
      <c r="B140" s="214">
        <v>428.0</v>
      </c>
      <c r="C140" s="215">
        <v>0.0</v>
      </c>
      <c r="D140" s="215">
        <v>0.0</v>
      </c>
      <c r="E140" s="215">
        <v>1.0</v>
      </c>
      <c r="F140" s="215">
        <v>0.0</v>
      </c>
      <c r="G140" s="215">
        <v>0.0</v>
      </c>
      <c r="H140" s="215">
        <v>0.0</v>
      </c>
      <c r="I140" s="215">
        <v>0.0</v>
      </c>
      <c r="J140" s="215">
        <v>0.0</v>
      </c>
      <c r="K140" s="215">
        <v>0.0</v>
      </c>
      <c r="L140" s="215">
        <v>3.0</v>
      </c>
      <c r="M140" s="215">
        <v>0.0</v>
      </c>
      <c r="N140" s="215">
        <v>0.0</v>
      </c>
      <c r="O140" s="215">
        <v>0.0</v>
      </c>
      <c r="P140" s="215">
        <v>2.0</v>
      </c>
      <c r="Q140" s="215">
        <v>8.0</v>
      </c>
      <c r="R140" s="215">
        <v>1.0</v>
      </c>
      <c r="S140" s="215">
        <v>2.0</v>
      </c>
      <c r="T140" s="215">
        <v>0.0</v>
      </c>
      <c r="U140" s="215">
        <v>0.0</v>
      </c>
      <c r="V140" s="215">
        <v>0.0</v>
      </c>
      <c r="W140" s="215">
        <v>4.0</v>
      </c>
      <c r="X140" s="215">
        <v>8.0</v>
      </c>
      <c r="Y140" s="215">
        <v>0.0</v>
      </c>
      <c r="Z140" s="215">
        <v>0.0</v>
      </c>
      <c r="AA140" s="215">
        <v>0.0</v>
      </c>
      <c r="AB140" s="215">
        <v>0.0</v>
      </c>
      <c r="AC140" s="215">
        <v>2.0</v>
      </c>
      <c r="AD140" s="215">
        <v>8.0</v>
      </c>
      <c r="AE140" s="215">
        <v>3.0</v>
      </c>
      <c r="AF140" s="215">
        <v>0.0</v>
      </c>
      <c r="AG140" s="215">
        <v>0.0</v>
      </c>
      <c r="AH140" s="215">
        <v>0.0</v>
      </c>
      <c r="AI140" s="215">
        <v>1.0</v>
      </c>
      <c r="AJ140" s="215">
        <v>20.0</v>
      </c>
      <c r="AK140" s="215">
        <v>3.0</v>
      </c>
      <c r="AL140" s="215">
        <v>0.0</v>
      </c>
      <c r="AM140" s="215">
        <v>0.0</v>
      </c>
      <c r="AN140" s="215">
        <v>1.0</v>
      </c>
      <c r="AO140" s="215">
        <v>11.0</v>
      </c>
      <c r="AP140" s="215">
        <v>6.0</v>
      </c>
      <c r="AQ140" s="216">
        <v>0.0</v>
      </c>
      <c r="AR140" s="215">
        <v>0.0</v>
      </c>
      <c r="AS140" s="215">
        <v>21.0</v>
      </c>
    </row>
    <row r="141">
      <c r="A141" s="213" t="s">
        <v>90</v>
      </c>
      <c r="B141" s="214">
        <v>429.0</v>
      </c>
      <c r="C141" s="215">
        <v>0.0</v>
      </c>
      <c r="D141" s="215">
        <v>1.0</v>
      </c>
      <c r="E141" s="215">
        <v>0.0</v>
      </c>
      <c r="F141" s="215">
        <v>3.0</v>
      </c>
      <c r="G141" s="215">
        <v>0.0</v>
      </c>
      <c r="H141" s="215">
        <v>0.0</v>
      </c>
      <c r="I141" s="215">
        <v>0.0</v>
      </c>
      <c r="J141" s="215">
        <v>0.0</v>
      </c>
      <c r="K141" s="215">
        <v>1.0</v>
      </c>
      <c r="L141" s="215">
        <v>2.0</v>
      </c>
      <c r="M141" s="215">
        <v>0.0</v>
      </c>
      <c r="N141" s="215">
        <v>0.0</v>
      </c>
      <c r="O141" s="215">
        <v>0.0</v>
      </c>
      <c r="P141" s="215">
        <v>2.0</v>
      </c>
      <c r="Q141" s="215">
        <v>3.0</v>
      </c>
      <c r="R141" s="215">
        <v>6.0</v>
      </c>
      <c r="S141" s="215">
        <v>0.0</v>
      </c>
      <c r="T141" s="215">
        <v>0.0</v>
      </c>
      <c r="U141" s="215">
        <v>1.0</v>
      </c>
      <c r="V141" s="215">
        <v>1.0</v>
      </c>
      <c r="W141" s="215">
        <v>5.0</v>
      </c>
      <c r="X141" s="215">
        <v>6.0</v>
      </c>
      <c r="Y141" s="215">
        <v>1.0</v>
      </c>
      <c r="Z141" s="215">
        <v>0.0</v>
      </c>
      <c r="AA141" s="215">
        <v>0.0</v>
      </c>
      <c r="AB141" s="215">
        <v>0.0</v>
      </c>
      <c r="AC141" s="215">
        <v>1.0</v>
      </c>
      <c r="AD141" s="215">
        <v>4.0</v>
      </c>
      <c r="AE141" s="215">
        <v>1.0</v>
      </c>
      <c r="AF141" s="215">
        <v>0.0</v>
      </c>
      <c r="AG141" s="215">
        <v>0.0</v>
      </c>
      <c r="AH141" s="215">
        <v>0.0</v>
      </c>
      <c r="AI141" s="215">
        <v>0.0</v>
      </c>
      <c r="AJ141" s="215">
        <v>16.0</v>
      </c>
      <c r="AK141" s="215">
        <v>0.0</v>
      </c>
      <c r="AL141" s="215">
        <v>0.0</v>
      </c>
      <c r="AM141" s="215">
        <v>0.0</v>
      </c>
      <c r="AN141" s="215">
        <v>0.0</v>
      </c>
      <c r="AO141" s="215">
        <v>12.0</v>
      </c>
      <c r="AP141" s="215">
        <v>9.0</v>
      </c>
      <c r="AQ141" s="216">
        <v>0.0</v>
      </c>
      <c r="AR141" s="215">
        <v>0.0</v>
      </c>
      <c r="AS141" s="215">
        <v>13.0</v>
      </c>
    </row>
    <row r="142">
      <c r="A142" s="213" t="s">
        <v>90</v>
      </c>
      <c r="B142" s="214">
        <v>430.0</v>
      </c>
      <c r="C142" s="215">
        <v>0.0</v>
      </c>
      <c r="D142" s="215">
        <v>0.0</v>
      </c>
      <c r="E142" s="215">
        <v>0.0</v>
      </c>
      <c r="F142" s="215">
        <v>1.0</v>
      </c>
      <c r="G142" s="215">
        <v>1.0</v>
      </c>
      <c r="H142" s="215">
        <v>0.0</v>
      </c>
      <c r="I142" s="215">
        <v>0.0</v>
      </c>
      <c r="J142" s="215">
        <v>1.0</v>
      </c>
      <c r="K142" s="215">
        <v>1.0</v>
      </c>
      <c r="L142" s="215">
        <v>3.0</v>
      </c>
      <c r="M142" s="215">
        <v>0.0</v>
      </c>
      <c r="N142" s="215">
        <v>0.0</v>
      </c>
      <c r="O142" s="215">
        <v>0.0</v>
      </c>
      <c r="P142" s="215">
        <v>0.0</v>
      </c>
      <c r="Q142" s="215">
        <v>2.0</v>
      </c>
      <c r="R142" s="215">
        <v>2.0</v>
      </c>
      <c r="S142" s="215">
        <v>1.0</v>
      </c>
      <c r="T142" s="215">
        <v>0.0</v>
      </c>
      <c r="U142" s="215">
        <v>0.0</v>
      </c>
      <c r="V142" s="215">
        <v>0.0</v>
      </c>
      <c r="W142" s="215">
        <v>4.0</v>
      </c>
      <c r="X142" s="215">
        <v>9.0</v>
      </c>
      <c r="Y142" s="215">
        <v>2.0</v>
      </c>
      <c r="Z142" s="215">
        <v>0.0</v>
      </c>
      <c r="AA142" s="215">
        <v>0.0</v>
      </c>
      <c r="AB142" s="215">
        <v>0.0</v>
      </c>
      <c r="AC142" s="215">
        <v>3.0</v>
      </c>
      <c r="AD142" s="215">
        <v>5.0</v>
      </c>
      <c r="AE142" s="215">
        <v>5.0</v>
      </c>
      <c r="AF142" s="215">
        <v>0.0</v>
      </c>
      <c r="AG142" s="215">
        <v>0.0</v>
      </c>
      <c r="AH142" s="215">
        <v>0.0</v>
      </c>
      <c r="AI142" s="215">
        <v>1.0</v>
      </c>
      <c r="AJ142" s="215">
        <v>10.0</v>
      </c>
      <c r="AK142" s="215">
        <v>4.0</v>
      </c>
      <c r="AL142" s="215">
        <v>0.0</v>
      </c>
      <c r="AM142" s="215">
        <v>0.0</v>
      </c>
      <c r="AN142" s="215">
        <v>0.0</v>
      </c>
      <c r="AO142" s="215">
        <v>21.0</v>
      </c>
      <c r="AP142" s="215">
        <v>7.0</v>
      </c>
      <c r="AQ142" s="216">
        <v>0.0</v>
      </c>
      <c r="AR142" s="215">
        <v>0.0</v>
      </c>
      <c r="AS142" s="215">
        <v>18.0</v>
      </c>
    </row>
    <row r="143">
      <c r="A143" s="213" t="s">
        <v>90</v>
      </c>
      <c r="B143" s="214">
        <v>431.0</v>
      </c>
      <c r="C143" s="215">
        <v>2.0</v>
      </c>
      <c r="D143" s="215">
        <v>5.0</v>
      </c>
      <c r="E143" s="215">
        <v>0.0</v>
      </c>
      <c r="F143" s="215">
        <v>1.0</v>
      </c>
      <c r="G143" s="215">
        <v>0.0</v>
      </c>
      <c r="H143" s="215">
        <v>1.0</v>
      </c>
      <c r="I143" s="215">
        <v>1.0</v>
      </c>
      <c r="J143" s="215">
        <v>3.0</v>
      </c>
      <c r="K143" s="215">
        <v>4.0</v>
      </c>
      <c r="L143" s="215">
        <v>6.0</v>
      </c>
      <c r="M143" s="215">
        <v>2.0</v>
      </c>
      <c r="N143" s="215">
        <v>0.0</v>
      </c>
      <c r="O143" s="215">
        <v>0.0</v>
      </c>
      <c r="P143" s="215">
        <v>2.0</v>
      </c>
      <c r="Q143" s="215">
        <v>10.0</v>
      </c>
      <c r="R143" s="215">
        <v>7.0</v>
      </c>
      <c r="S143" s="215">
        <v>3.0</v>
      </c>
      <c r="T143" s="215">
        <v>0.0</v>
      </c>
      <c r="U143" s="215">
        <v>1.0</v>
      </c>
      <c r="V143" s="215">
        <v>1.0</v>
      </c>
      <c r="W143" s="215">
        <v>14.0</v>
      </c>
      <c r="X143" s="215">
        <v>34.0</v>
      </c>
      <c r="Y143" s="215">
        <v>11.0</v>
      </c>
      <c r="Z143" s="215">
        <v>0.0</v>
      </c>
      <c r="AA143" s="215">
        <v>0.0</v>
      </c>
      <c r="AB143" s="215">
        <v>0.0</v>
      </c>
      <c r="AC143" s="215">
        <v>10.0</v>
      </c>
      <c r="AD143" s="215">
        <v>19.0</v>
      </c>
      <c r="AE143" s="215">
        <v>5.0</v>
      </c>
      <c r="AF143" s="215">
        <v>0.0</v>
      </c>
      <c r="AG143" s="215">
        <v>0.0</v>
      </c>
      <c r="AH143" s="215">
        <v>0.0</v>
      </c>
      <c r="AI143" s="215">
        <v>5.0</v>
      </c>
      <c r="AJ143" s="215">
        <v>45.0</v>
      </c>
      <c r="AK143" s="215">
        <v>9.0</v>
      </c>
      <c r="AL143" s="215">
        <v>0.0</v>
      </c>
      <c r="AM143" s="215">
        <v>0.0</v>
      </c>
      <c r="AN143" s="215">
        <v>2.0</v>
      </c>
      <c r="AO143" s="215">
        <v>41.0</v>
      </c>
      <c r="AP143" s="215">
        <v>28.0</v>
      </c>
      <c r="AQ143" s="216">
        <v>0.0</v>
      </c>
      <c r="AR143" s="215">
        <v>3.0</v>
      </c>
      <c r="AS143" s="215">
        <v>57.0</v>
      </c>
    </row>
    <row r="144">
      <c r="A144" s="213" t="s">
        <v>90</v>
      </c>
      <c r="B144" s="214">
        <v>433.0</v>
      </c>
      <c r="C144" s="215">
        <v>0.0</v>
      </c>
      <c r="D144" s="215">
        <v>0.0</v>
      </c>
      <c r="E144" s="215">
        <v>2.0</v>
      </c>
      <c r="F144" s="215">
        <v>0.0</v>
      </c>
      <c r="G144" s="215">
        <v>0.0</v>
      </c>
      <c r="H144" s="215">
        <v>0.0</v>
      </c>
      <c r="I144" s="215">
        <v>0.0</v>
      </c>
      <c r="J144" s="215">
        <v>0.0</v>
      </c>
      <c r="K144" s="215">
        <v>1.0</v>
      </c>
      <c r="L144" s="215">
        <v>0.0</v>
      </c>
      <c r="M144" s="215">
        <v>0.0</v>
      </c>
      <c r="N144" s="215">
        <v>0.0</v>
      </c>
      <c r="O144" s="215">
        <v>0.0</v>
      </c>
      <c r="P144" s="215">
        <v>0.0</v>
      </c>
      <c r="Q144" s="215">
        <v>1.0</v>
      </c>
      <c r="R144" s="215">
        <v>1.0</v>
      </c>
      <c r="S144" s="215">
        <v>2.0</v>
      </c>
      <c r="T144" s="215">
        <v>0.0</v>
      </c>
      <c r="U144" s="215">
        <v>0.0</v>
      </c>
      <c r="V144" s="215">
        <v>0.0</v>
      </c>
      <c r="W144" s="215">
        <v>3.0</v>
      </c>
      <c r="X144" s="215">
        <v>3.0</v>
      </c>
      <c r="Y144" s="215">
        <v>1.0</v>
      </c>
      <c r="Z144" s="215">
        <v>0.0</v>
      </c>
      <c r="AA144" s="215">
        <v>0.0</v>
      </c>
      <c r="AB144" s="215">
        <v>1.0</v>
      </c>
      <c r="AC144" s="215">
        <v>1.0</v>
      </c>
      <c r="AD144" s="215">
        <v>1.0</v>
      </c>
      <c r="AE144" s="215">
        <v>0.0</v>
      </c>
      <c r="AF144" s="215">
        <v>0.0</v>
      </c>
      <c r="AG144" s="215">
        <v>0.0</v>
      </c>
      <c r="AH144" s="215">
        <v>0.0</v>
      </c>
      <c r="AI144" s="215">
        <v>0.0</v>
      </c>
      <c r="AJ144" s="215">
        <v>5.0</v>
      </c>
      <c r="AK144" s="215">
        <v>0.0</v>
      </c>
      <c r="AL144" s="215">
        <v>0.0</v>
      </c>
      <c r="AM144" s="215">
        <v>0.0</v>
      </c>
      <c r="AN144" s="215">
        <v>0.0</v>
      </c>
      <c r="AO144" s="215">
        <v>5.0</v>
      </c>
      <c r="AP144" s="215">
        <v>0.0</v>
      </c>
      <c r="AQ144" s="216">
        <v>0.0</v>
      </c>
      <c r="AR144" s="215">
        <v>0.0</v>
      </c>
      <c r="AS144" s="215">
        <v>11.0</v>
      </c>
    </row>
    <row r="145">
      <c r="A145" s="213" t="s">
        <v>90</v>
      </c>
      <c r="B145" s="214">
        <v>434.0</v>
      </c>
      <c r="C145" s="215">
        <v>0.0</v>
      </c>
      <c r="D145" s="215">
        <v>1.0</v>
      </c>
      <c r="E145" s="215">
        <v>0.0</v>
      </c>
      <c r="F145" s="215">
        <v>0.0</v>
      </c>
      <c r="G145" s="215">
        <v>0.0</v>
      </c>
      <c r="H145" s="215">
        <v>1.0</v>
      </c>
      <c r="I145" s="215">
        <v>0.0</v>
      </c>
      <c r="J145" s="215">
        <v>0.0</v>
      </c>
      <c r="K145" s="215">
        <v>1.0</v>
      </c>
      <c r="L145" s="215">
        <v>2.0</v>
      </c>
      <c r="M145" s="215">
        <v>1.0</v>
      </c>
      <c r="N145" s="215">
        <v>0.0</v>
      </c>
      <c r="O145" s="215">
        <v>1.0</v>
      </c>
      <c r="P145" s="215">
        <v>0.0</v>
      </c>
      <c r="Q145" s="215">
        <v>2.0</v>
      </c>
      <c r="R145" s="215">
        <v>0.0</v>
      </c>
      <c r="S145" s="215">
        <v>1.0</v>
      </c>
      <c r="T145" s="215">
        <v>0.0</v>
      </c>
      <c r="U145" s="215">
        <v>0.0</v>
      </c>
      <c r="V145" s="215">
        <v>0.0</v>
      </c>
      <c r="W145" s="215">
        <v>0.0</v>
      </c>
      <c r="X145" s="215">
        <v>3.0</v>
      </c>
      <c r="Y145" s="215">
        <v>0.0</v>
      </c>
      <c r="Z145" s="215">
        <v>0.0</v>
      </c>
      <c r="AA145" s="215">
        <v>0.0</v>
      </c>
      <c r="AB145" s="215">
        <v>0.0</v>
      </c>
      <c r="AC145" s="215">
        <v>1.0</v>
      </c>
      <c r="AD145" s="215">
        <v>3.0</v>
      </c>
      <c r="AE145" s="215">
        <v>0.0</v>
      </c>
      <c r="AF145" s="215">
        <v>0.0</v>
      </c>
      <c r="AG145" s="215">
        <v>0.0</v>
      </c>
      <c r="AH145" s="215">
        <v>0.0</v>
      </c>
      <c r="AI145" s="215">
        <v>0.0</v>
      </c>
      <c r="AJ145" s="215">
        <v>11.0</v>
      </c>
      <c r="AK145" s="215">
        <v>2.0</v>
      </c>
      <c r="AL145" s="215">
        <v>0.0</v>
      </c>
      <c r="AM145" s="215">
        <v>0.0</v>
      </c>
      <c r="AN145" s="215">
        <v>0.0</v>
      </c>
      <c r="AO145" s="215">
        <v>6.0</v>
      </c>
      <c r="AP145" s="215">
        <v>5.0</v>
      </c>
      <c r="AQ145" s="216">
        <v>0.0</v>
      </c>
      <c r="AR145" s="215">
        <v>1.0</v>
      </c>
      <c r="AS145" s="215">
        <v>8.0</v>
      </c>
    </row>
    <row r="146">
      <c r="A146" s="213" t="s">
        <v>90</v>
      </c>
      <c r="B146" s="214">
        <v>435.0</v>
      </c>
      <c r="C146" s="215">
        <v>0.0</v>
      </c>
      <c r="D146" s="215">
        <v>3.0</v>
      </c>
      <c r="E146" s="215">
        <v>0.0</v>
      </c>
      <c r="F146" s="215">
        <v>0.0</v>
      </c>
      <c r="G146" s="215">
        <v>0.0</v>
      </c>
      <c r="H146" s="215">
        <v>0.0</v>
      </c>
      <c r="I146" s="215">
        <v>0.0</v>
      </c>
      <c r="J146" s="215">
        <v>1.0</v>
      </c>
      <c r="K146" s="215">
        <v>1.0</v>
      </c>
      <c r="L146" s="215">
        <v>0.0</v>
      </c>
      <c r="M146" s="215">
        <v>0.0</v>
      </c>
      <c r="N146" s="215">
        <v>0.0</v>
      </c>
      <c r="O146" s="215">
        <v>0.0</v>
      </c>
      <c r="P146" s="215">
        <v>0.0</v>
      </c>
      <c r="Q146" s="215">
        <v>2.0</v>
      </c>
      <c r="R146" s="215">
        <v>3.0</v>
      </c>
      <c r="S146" s="215">
        <v>0.0</v>
      </c>
      <c r="T146" s="215">
        <v>0.0</v>
      </c>
      <c r="U146" s="215">
        <v>0.0</v>
      </c>
      <c r="V146" s="215">
        <v>1.0</v>
      </c>
      <c r="W146" s="215">
        <v>4.0</v>
      </c>
      <c r="X146" s="215">
        <v>9.0</v>
      </c>
      <c r="Y146" s="215">
        <v>2.0</v>
      </c>
      <c r="Z146" s="215">
        <v>0.0</v>
      </c>
      <c r="AA146" s="215">
        <v>0.0</v>
      </c>
      <c r="AB146" s="215">
        <v>0.0</v>
      </c>
      <c r="AC146" s="215">
        <v>5.0</v>
      </c>
      <c r="AD146" s="215">
        <v>13.0</v>
      </c>
      <c r="AE146" s="215">
        <v>5.0</v>
      </c>
      <c r="AF146" s="215">
        <v>0.0</v>
      </c>
      <c r="AG146" s="215">
        <v>0.0</v>
      </c>
      <c r="AH146" s="215">
        <v>0.0</v>
      </c>
      <c r="AI146" s="215">
        <v>2.0</v>
      </c>
      <c r="AJ146" s="215">
        <v>16.0</v>
      </c>
      <c r="AK146" s="215">
        <v>1.0</v>
      </c>
      <c r="AL146" s="215">
        <v>0.0</v>
      </c>
      <c r="AM146" s="215">
        <v>0.0</v>
      </c>
      <c r="AN146" s="215">
        <v>1.0</v>
      </c>
      <c r="AO146" s="215">
        <v>13.0</v>
      </c>
      <c r="AP146" s="215">
        <v>11.0</v>
      </c>
      <c r="AQ146" s="216">
        <v>0.0</v>
      </c>
      <c r="AR146" s="215">
        <v>4.0</v>
      </c>
      <c r="AS146" s="215">
        <v>24.0</v>
      </c>
    </row>
    <row r="147">
      <c r="A147" s="213" t="s">
        <v>90</v>
      </c>
      <c r="B147" s="214">
        <v>436.0</v>
      </c>
      <c r="C147" s="215">
        <v>0.0</v>
      </c>
      <c r="D147" s="215">
        <v>0.0</v>
      </c>
      <c r="E147" s="215">
        <v>0.0</v>
      </c>
      <c r="F147" s="215">
        <v>1.0</v>
      </c>
      <c r="G147" s="215">
        <v>0.0</v>
      </c>
      <c r="H147" s="215">
        <v>0.0</v>
      </c>
      <c r="I147" s="215">
        <v>0.0</v>
      </c>
      <c r="J147" s="215">
        <v>0.0</v>
      </c>
      <c r="K147" s="215">
        <v>0.0</v>
      </c>
      <c r="L147" s="215">
        <v>0.0</v>
      </c>
      <c r="M147" s="215">
        <v>0.0</v>
      </c>
      <c r="N147" s="215">
        <v>0.0</v>
      </c>
      <c r="O147" s="215">
        <v>0.0</v>
      </c>
      <c r="P147" s="215">
        <v>0.0</v>
      </c>
      <c r="Q147" s="215">
        <v>1.0</v>
      </c>
      <c r="R147" s="215">
        <v>1.0</v>
      </c>
      <c r="S147" s="215">
        <v>0.0</v>
      </c>
      <c r="T147" s="215">
        <v>0.0</v>
      </c>
      <c r="U147" s="215">
        <v>0.0</v>
      </c>
      <c r="V147" s="215">
        <v>0.0</v>
      </c>
      <c r="W147" s="215">
        <v>0.0</v>
      </c>
      <c r="X147" s="215">
        <v>1.0</v>
      </c>
      <c r="Y147" s="215">
        <v>1.0</v>
      </c>
      <c r="Z147" s="215">
        <v>0.0</v>
      </c>
      <c r="AA147" s="215">
        <v>0.0</v>
      </c>
      <c r="AB147" s="215">
        <v>0.0</v>
      </c>
      <c r="AC147" s="215">
        <v>1.0</v>
      </c>
      <c r="AD147" s="215">
        <v>0.0</v>
      </c>
      <c r="AE147" s="215">
        <v>1.0</v>
      </c>
      <c r="AF147" s="215">
        <v>0.0</v>
      </c>
      <c r="AG147" s="215">
        <v>0.0</v>
      </c>
      <c r="AH147" s="215">
        <v>0.0</v>
      </c>
      <c r="AI147" s="215">
        <v>0.0</v>
      </c>
      <c r="AJ147" s="215">
        <v>1.0</v>
      </c>
      <c r="AK147" s="215">
        <v>0.0</v>
      </c>
      <c r="AL147" s="215">
        <v>0.0</v>
      </c>
      <c r="AM147" s="215">
        <v>0.0</v>
      </c>
      <c r="AN147" s="215">
        <v>0.0</v>
      </c>
      <c r="AO147" s="215">
        <v>0.0</v>
      </c>
      <c r="AP147" s="215">
        <v>0.0</v>
      </c>
      <c r="AQ147" s="216">
        <v>0.0</v>
      </c>
      <c r="AR147" s="215">
        <v>0.0</v>
      </c>
      <c r="AS147" s="215">
        <v>1.0</v>
      </c>
    </row>
    <row r="148">
      <c r="A148" s="213" t="s">
        <v>90</v>
      </c>
      <c r="B148" s="214">
        <v>437.0</v>
      </c>
      <c r="C148" s="215">
        <v>0.0</v>
      </c>
      <c r="D148" s="215">
        <v>0.0</v>
      </c>
      <c r="E148" s="215">
        <v>0.0</v>
      </c>
      <c r="F148" s="215">
        <v>0.0</v>
      </c>
      <c r="G148" s="215">
        <v>0.0</v>
      </c>
      <c r="H148" s="215">
        <v>0.0</v>
      </c>
      <c r="I148" s="215">
        <v>0.0</v>
      </c>
      <c r="J148" s="215">
        <v>1.0</v>
      </c>
      <c r="K148" s="215">
        <v>2.0</v>
      </c>
      <c r="L148" s="215">
        <v>2.0</v>
      </c>
      <c r="M148" s="215">
        <v>0.0</v>
      </c>
      <c r="N148" s="215">
        <v>0.0</v>
      </c>
      <c r="O148" s="215">
        <v>0.0</v>
      </c>
      <c r="P148" s="215">
        <v>0.0</v>
      </c>
      <c r="Q148" s="215">
        <v>1.0</v>
      </c>
      <c r="R148" s="215">
        <v>1.0</v>
      </c>
      <c r="S148" s="215">
        <v>1.0</v>
      </c>
      <c r="T148" s="215">
        <v>0.0</v>
      </c>
      <c r="U148" s="215">
        <v>0.0</v>
      </c>
      <c r="V148" s="215">
        <v>0.0</v>
      </c>
      <c r="W148" s="215">
        <v>2.0</v>
      </c>
      <c r="X148" s="215">
        <v>5.0</v>
      </c>
      <c r="Y148" s="215">
        <v>1.0</v>
      </c>
      <c r="Z148" s="215">
        <v>0.0</v>
      </c>
      <c r="AA148" s="215">
        <v>0.0</v>
      </c>
      <c r="AB148" s="215">
        <v>0.0</v>
      </c>
      <c r="AC148" s="215">
        <v>0.0</v>
      </c>
      <c r="AD148" s="215">
        <v>2.0</v>
      </c>
      <c r="AE148" s="215">
        <v>2.0</v>
      </c>
      <c r="AF148" s="215">
        <v>0.0</v>
      </c>
      <c r="AG148" s="215">
        <v>0.0</v>
      </c>
      <c r="AH148" s="215">
        <v>0.0</v>
      </c>
      <c r="AI148" s="215">
        <v>1.0</v>
      </c>
      <c r="AJ148" s="215">
        <v>8.0</v>
      </c>
      <c r="AK148" s="215">
        <v>2.0</v>
      </c>
      <c r="AL148" s="215">
        <v>0.0</v>
      </c>
      <c r="AM148" s="215">
        <v>0.0</v>
      </c>
      <c r="AN148" s="215">
        <v>0.0</v>
      </c>
      <c r="AO148" s="215">
        <v>11.0</v>
      </c>
      <c r="AP148" s="215">
        <v>9.0</v>
      </c>
      <c r="AQ148" s="216">
        <v>0.0</v>
      </c>
      <c r="AR148" s="215">
        <v>0.0</v>
      </c>
      <c r="AS148" s="215">
        <v>8.0</v>
      </c>
    </row>
    <row r="149">
      <c r="A149" s="213" t="s">
        <v>90</v>
      </c>
      <c r="B149" s="214">
        <v>438.0</v>
      </c>
      <c r="C149" s="215">
        <v>2.0</v>
      </c>
      <c r="D149" s="215">
        <v>0.0</v>
      </c>
      <c r="E149" s="215">
        <v>0.0</v>
      </c>
      <c r="F149" s="215">
        <v>0.0</v>
      </c>
      <c r="G149" s="215">
        <v>0.0</v>
      </c>
      <c r="H149" s="215">
        <v>0.0</v>
      </c>
      <c r="I149" s="215">
        <v>0.0</v>
      </c>
      <c r="J149" s="215">
        <v>0.0</v>
      </c>
      <c r="K149" s="215">
        <v>1.0</v>
      </c>
      <c r="L149" s="215">
        <v>3.0</v>
      </c>
      <c r="M149" s="215">
        <v>0.0</v>
      </c>
      <c r="N149" s="215">
        <v>0.0</v>
      </c>
      <c r="O149" s="215">
        <v>0.0</v>
      </c>
      <c r="P149" s="215">
        <v>1.0</v>
      </c>
      <c r="Q149" s="215">
        <v>3.0</v>
      </c>
      <c r="R149" s="215">
        <v>3.0</v>
      </c>
      <c r="S149" s="215">
        <v>1.0</v>
      </c>
      <c r="T149" s="215">
        <v>0.0</v>
      </c>
      <c r="U149" s="215">
        <v>0.0</v>
      </c>
      <c r="V149" s="215">
        <v>0.0</v>
      </c>
      <c r="W149" s="215">
        <v>3.0</v>
      </c>
      <c r="X149" s="215">
        <v>4.0</v>
      </c>
      <c r="Y149" s="215">
        <v>3.0</v>
      </c>
      <c r="Z149" s="215">
        <v>0.0</v>
      </c>
      <c r="AA149" s="215">
        <v>0.0</v>
      </c>
      <c r="AB149" s="215">
        <v>0.0</v>
      </c>
      <c r="AC149" s="215">
        <v>6.0</v>
      </c>
      <c r="AD149" s="215">
        <v>4.0</v>
      </c>
      <c r="AE149" s="215">
        <v>4.0</v>
      </c>
      <c r="AF149" s="215">
        <v>0.0</v>
      </c>
      <c r="AG149" s="215">
        <v>0.0</v>
      </c>
      <c r="AH149" s="215">
        <v>0.0</v>
      </c>
      <c r="AI149" s="215">
        <v>0.0</v>
      </c>
      <c r="AJ149" s="215">
        <v>7.0</v>
      </c>
      <c r="AK149" s="215">
        <v>5.0</v>
      </c>
      <c r="AL149" s="215">
        <v>0.0</v>
      </c>
      <c r="AM149" s="215">
        <v>0.0</v>
      </c>
      <c r="AN149" s="215">
        <v>0.0</v>
      </c>
      <c r="AO149" s="215">
        <v>7.0</v>
      </c>
      <c r="AP149" s="215">
        <v>8.0</v>
      </c>
      <c r="AQ149" s="216">
        <v>0.0</v>
      </c>
      <c r="AR149" s="215">
        <v>0.0</v>
      </c>
      <c r="AS149" s="215">
        <v>10.0</v>
      </c>
    </row>
    <row r="150">
      <c r="A150" s="213" t="s">
        <v>90</v>
      </c>
      <c r="B150" s="214">
        <v>439.0</v>
      </c>
      <c r="C150" s="215">
        <v>0.0</v>
      </c>
      <c r="D150" s="215">
        <v>4.0</v>
      </c>
      <c r="E150" s="215">
        <v>3.0</v>
      </c>
      <c r="F150" s="215">
        <v>0.0</v>
      </c>
      <c r="G150" s="215">
        <v>0.0</v>
      </c>
      <c r="H150" s="215">
        <v>0.0</v>
      </c>
      <c r="I150" s="215">
        <v>0.0</v>
      </c>
      <c r="J150" s="215">
        <v>1.0</v>
      </c>
      <c r="K150" s="215">
        <v>2.0</v>
      </c>
      <c r="L150" s="215">
        <v>1.0</v>
      </c>
      <c r="M150" s="215">
        <v>0.0</v>
      </c>
      <c r="N150" s="215">
        <v>0.0</v>
      </c>
      <c r="O150" s="215">
        <v>0.0</v>
      </c>
      <c r="P150" s="215">
        <v>0.0</v>
      </c>
      <c r="Q150" s="215">
        <v>4.0</v>
      </c>
      <c r="R150" s="215">
        <v>3.0</v>
      </c>
      <c r="S150" s="215">
        <v>2.0</v>
      </c>
      <c r="T150" s="215">
        <v>0.0</v>
      </c>
      <c r="U150" s="215">
        <v>0.0</v>
      </c>
      <c r="V150" s="215">
        <v>0.0</v>
      </c>
      <c r="W150" s="215">
        <v>4.0</v>
      </c>
      <c r="X150" s="215">
        <v>9.0</v>
      </c>
      <c r="Y150" s="215">
        <v>2.0</v>
      </c>
      <c r="Z150" s="215">
        <v>0.0</v>
      </c>
      <c r="AA150" s="215">
        <v>0.0</v>
      </c>
      <c r="AB150" s="215">
        <v>1.0</v>
      </c>
      <c r="AC150" s="215">
        <v>5.0</v>
      </c>
      <c r="AD150" s="215">
        <v>4.0</v>
      </c>
      <c r="AE150" s="215">
        <v>2.0</v>
      </c>
      <c r="AF150" s="215">
        <v>0.0</v>
      </c>
      <c r="AG150" s="215">
        <v>0.0</v>
      </c>
      <c r="AH150" s="215">
        <v>0.0</v>
      </c>
      <c r="AI150" s="215">
        <v>2.0</v>
      </c>
      <c r="AJ150" s="215">
        <v>18.0</v>
      </c>
      <c r="AK150" s="215">
        <v>3.0</v>
      </c>
      <c r="AL150" s="215">
        <v>0.0</v>
      </c>
      <c r="AM150" s="215">
        <v>0.0</v>
      </c>
      <c r="AN150" s="215">
        <v>2.0</v>
      </c>
      <c r="AO150" s="215">
        <v>19.0</v>
      </c>
      <c r="AP150" s="215">
        <v>14.0</v>
      </c>
      <c r="AQ150" s="216">
        <v>0.0</v>
      </c>
      <c r="AR150" s="215">
        <v>0.0</v>
      </c>
      <c r="AS150" s="215">
        <v>17.0</v>
      </c>
    </row>
    <row r="151">
      <c r="A151" s="217" t="s">
        <v>90</v>
      </c>
      <c r="B151" s="218">
        <v>440.0</v>
      </c>
      <c r="C151" s="219">
        <v>0.0</v>
      </c>
      <c r="D151" s="219">
        <v>3.0</v>
      </c>
      <c r="E151" s="219">
        <v>0.0</v>
      </c>
      <c r="F151" s="219">
        <v>0.0</v>
      </c>
      <c r="G151" s="219">
        <v>0.0</v>
      </c>
      <c r="H151" s="219">
        <v>0.0</v>
      </c>
      <c r="I151" s="219">
        <v>0.0</v>
      </c>
      <c r="J151" s="219">
        <v>1.0</v>
      </c>
      <c r="K151" s="219">
        <v>0.0</v>
      </c>
      <c r="L151" s="219">
        <v>3.0</v>
      </c>
      <c r="M151" s="219">
        <v>0.0</v>
      </c>
      <c r="N151" s="219">
        <v>0.0</v>
      </c>
      <c r="O151" s="219">
        <v>0.0</v>
      </c>
      <c r="P151" s="219">
        <v>0.0</v>
      </c>
      <c r="Q151" s="219">
        <v>6.0</v>
      </c>
      <c r="R151" s="219">
        <v>0.0</v>
      </c>
      <c r="S151" s="219">
        <v>2.0</v>
      </c>
      <c r="T151" s="219">
        <v>0.0</v>
      </c>
      <c r="U151" s="219">
        <v>0.0</v>
      </c>
      <c r="V151" s="219">
        <v>0.0</v>
      </c>
      <c r="W151" s="219">
        <v>4.0</v>
      </c>
      <c r="X151" s="219">
        <v>8.0</v>
      </c>
      <c r="Y151" s="219">
        <v>4.0</v>
      </c>
      <c r="Z151" s="219">
        <v>0.0</v>
      </c>
      <c r="AA151" s="219">
        <v>0.0</v>
      </c>
      <c r="AB151" s="219">
        <v>0.0</v>
      </c>
      <c r="AC151" s="219">
        <v>4.0</v>
      </c>
      <c r="AD151" s="219">
        <v>6.0</v>
      </c>
      <c r="AE151" s="219">
        <v>3.0</v>
      </c>
      <c r="AF151" s="219">
        <v>0.0</v>
      </c>
      <c r="AG151" s="219">
        <v>0.0</v>
      </c>
      <c r="AH151" s="219">
        <v>0.0</v>
      </c>
      <c r="AI151" s="219">
        <v>0.0</v>
      </c>
      <c r="AJ151" s="219">
        <v>16.0</v>
      </c>
      <c r="AK151" s="219">
        <v>1.0</v>
      </c>
      <c r="AL151" s="219">
        <v>0.0</v>
      </c>
      <c r="AM151" s="219">
        <v>0.0</v>
      </c>
      <c r="AN151" s="219">
        <v>2.0</v>
      </c>
      <c r="AO151" s="219">
        <v>20.0</v>
      </c>
      <c r="AP151" s="219">
        <v>9.0</v>
      </c>
      <c r="AQ151" s="220">
        <v>0.0</v>
      </c>
      <c r="AR151" s="219">
        <v>0.0</v>
      </c>
      <c r="AS151" s="219">
        <v>21.0</v>
      </c>
    </row>
    <row r="152">
      <c r="A152" s="221"/>
      <c r="B152" s="221"/>
      <c r="AQ152" s="222"/>
    </row>
    <row r="153">
      <c r="A153" s="221"/>
      <c r="B153" s="221"/>
      <c r="AQ153" s="222"/>
    </row>
    <row r="154">
      <c r="A154" s="221"/>
      <c r="B154" s="221"/>
      <c r="AQ154" s="222"/>
    </row>
    <row r="155">
      <c r="A155" s="221"/>
      <c r="B155" s="221"/>
      <c r="AQ155" s="222"/>
    </row>
    <row r="156">
      <c r="A156" s="221"/>
      <c r="B156" s="221"/>
      <c r="AQ156" s="222"/>
    </row>
    <row r="157">
      <c r="A157" s="221"/>
      <c r="B157" s="221"/>
      <c r="AQ157" s="222"/>
    </row>
    <row r="158">
      <c r="A158" s="221"/>
      <c r="B158" s="221"/>
      <c r="AQ158" s="222"/>
    </row>
    <row r="159">
      <c r="A159" s="221"/>
      <c r="B159" s="221"/>
      <c r="AQ159" s="222"/>
    </row>
    <row r="160">
      <c r="A160" s="221"/>
      <c r="B160" s="221"/>
      <c r="AQ160" s="222"/>
    </row>
    <row r="161">
      <c r="A161" s="221"/>
      <c r="B161" s="221"/>
      <c r="AQ161" s="222"/>
    </row>
    <row r="162">
      <c r="A162" s="221"/>
      <c r="B162" s="221"/>
      <c r="AQ162" s="222"/>
    </row>
    <row r="163">
      <c r="A163" s="221"/>
      <c r="B163" s="221"/>
      <c r="AQ163" s="222"/>
    </row>
    <row r="164">
      <c r="A164" s="221"/>
      <c r="B164" s="221"/>
      <c r="AQ164" s="222"/>
    </row>
    <row r="165">
      <c r="A165" s="221"/>
      <c r="B165" s="221"/>
      <c r="AQ165" s="222"/>
    </row>
    <row r="166">
      <c r="A166" s="221"/>
      <c r="B166" s="221"/>
      <c r="AQ166" s="222"/>
    </row>
    <row r="167">
      <c r="A167" s="221"/>
      <c r="B167" s="221"/>
      <c r="AQ167" s="222"/>
    </row>
    <row r="168">
      <c r="A168" s="221"/>
      <c r="B168" s="221"/>
      <c r="AQ168" s="222"/>
    </row>
    <row r="169">
      <c r="A169" s="221"/>
      <c r="B169" s="221"/>
      <c r="AQ169" s="222"/>
    </row>
    <row r="170">
      <c r="A170" s="221"/>
      <c r="B170" s="221"/>
      <c r="AQ170" s="222"/>
    </row>
    <row r="171">
      <c r="A171" s="221"/>
      <c r="B171" s="221"/>
      <c r="AQ171" s="222"/>
    </row>
    <row r="172">
      <c r="A172" s="221"/>
      <c r="B172" s="221"/>
      <c r="AQ172" s="222"/>
    </row>
    <row r="173">
      <c r="A173" s="221"/>
      <c r="B173" s="221"/>
      <c r="AQ173" s="222"/>
    </row>
    <row r="174">
      <c r="A174" s="221"/>
      <c r="B174" s="221"/>
      <c r="AQ174" s="222"/>
    </row>
    <row r="175">
      <c r="A175" s="221"/>
      <c r="B175" s="221"/>
      <c r="AQ175" s="222"/>
    </row>
    <row r="176">
      <c r="A176" s="221"/>
      <c r="B176" s="221"/>
      <c r="AQ176" s="222"/>
    </row>
    <row r="177">
      <c r="A177" s="221"/>
      <c r="B177" s="221"/>
      <c r="AQ177" s="222"/>
    </row>
    <row r="178">
      <c r="A178" s="221"/>
      <c r="B178" s="221"/>
      <c r="AQ178" s="222"/>
    </row>
    <row r="179">
      <c r="A179" s="221"/>
      <c r="B179" s="221"/>
      <c r="AQ179" s="222"/>
    </row>
    <row r="180">
      <c r="A180" s="221"/>
      <c r="B180" s="221"/>
      <c r="AQ180" s="222"/>
    </row>
    <row r="181">
      <c r="A181" s="221"/>
      <c r="B181" s="221"/>
      <c r="AQ181" s="222"/>
    </row>
    <row r="182">
      <c r="A182" s="221"/>
      <c r="B182" s="221"/>
      <c r="AQ182" s="222"/>
    </row>
    <row r="183">
      <c r="A183" s="221"/>
      <c r="B183" s="221"/>
      <c r="AQ183" s="222"/>
    </row>
    <row r="184">
      <c r="A184" s="221"/>
      <c r="B184" s="221"/>
      <c r="AQ184" s="222"/>
    </row>
    <row r="185">
      <c r="A185" s="221"/>
      <c r="B185" s="221"/>
      <c r="AQ185" s="222"/>
    </row>
    <row r="186">
      <c r="A186" s="221"/>
      <c r="B186" s="221"/>
      <c r="AQ186" s="222"/>
    </row>
    <row r="187">
      <c r="A187" s="221"/>
      <c r="B187" s="221"/>
      <c r="AQ187" s="222"/>
    </row>
    <row r="188">
      <c r="A188" s="221"/>
      <c r="B188" s="221"/>
      <c r="AQ188" s="222"/>
    </row>
    <row r="189">
      <c r="A189" s="221"/>
      <c r="B189" s="221"/>
      <c r="AQ189" s="222"/>
    </row>
    <row r="190">
      <c r="A190" s="221"/>
      <c r="B190" s="221"/>
      <c r="AQ190" s="222"/>
    </row>
    <row r="191">
      <c r="A191" s="221"/>
      <c r="B191" s="221"/>
      <c r="AQ191" s="222"/>
    </row>
    <row r="192">
      <c r="A192" s="221"/>
      <c r="B192" s="221"/>
      <c r="AQ192" s="222"/>
    </row>
    <row r="193">
      <c r="A193" s="221"/>
      <c r="B193" s="221"/>
      <c r="AQ193" s="222"/>
    </row>
    <row r="194">
      <c r="A194" s="221"/>
      <c r="B194" s="221"/>
      <c r="AQ194" s="222"/>
    </row>
    <row r="195">
      <c r="A195" s="221"/>
      <c r="B195" s="221"/>
      <c r="AQ195" s="222"/>
    </row>
    <row r="196">
      <c r="A196" s="221"/>
      <c r="B196" s="221"/>
      <c r="AQ196" s="222"/>
    </row>
    <row r="197">
      <c r="A197" s="221"/>
      <c r="B197" s="221"/>
      <c r="AQ197" s="222"/>
    </row>
    <row r="198">
      <c r="A198" s="221"/>
      <c r="B198" s="221"/>
      <c r="AQ198" s="222"/>
    </row>
    <row r="199">
      <c r="A199" s="221"/>
      <c r="B199" s="221"/>
      <c r="AQ199" s="222"/>
    </row>
    <row r="200">
      <c r="A200" s="221"/>
      <c r="B200" s="221"/>
      <c r="AQ200" s="222"/>
    </row>
    <row r="201">
      <c r="A201" s="221"/>
      <c r="B201" s="221"/>
      <c r="AQ201" s="222"/>
    </row>
    <row r="202">
      <c r="A202" s="221"/>
      <c r="B202" s="221"/>
      <c r="AQ202" s="222"/>
    </row>
    <row r="203">
      <c r="A203" s="221"/>
      <c r="B203" s="221"/>
      <c r="AQ203" s="222"/>
    </row>
    <row r="204">
      <c r="A204" s="221"/>
      <c r="B204" s="221"/>
      <c r="AQ204" s="222"/>
    </row>
    <row r="205">
      <c r="A205" s="221"/>
      <c r="B205" s="221"/>
      <c r="AQ205" s="222"/>
    </row>
    <row r="206">
      <c r="A206" s="221"/>
      <c r="B206" s="221"/>
      <c r="AQ206" s="222"/>
    </row>
    <row r="207">
      <c r="A207" s="221"/>
      <c r="B207" s="221"/>
      <c r="AQ207" s="222"/>
    </row>
    <row r="208">
      <c r="A208" s="221"/>
      <c r="B208" s="221"/>
      <c r="AQ208" s="222"/>
    </row>
    <row r="209">
      <c r="A209" s="221"/>
      <c r="B209" s="221"/>
      <c r="AQ209" s="222"/>
    </row>
    <row r="210">
      <c r="A210" s="221"/>
      <c r="B210" s="221"/>
      <c r="AQ210" s="222"/>
    </row>
    <row r="211">
      <c r="A211" s="221"/>
      <c r="B211" s="221"/>
      <c r="AQ211" s="222"/>
    </row>
    <row r="212">
      <c r="A212" s="221"/>
      <c r="B212" s="221"/>
      <c r="AQ212" s="222"/>
    </row>
    <row r="213">
      <c r="A213" s="221"/>
      <c r="B213" s="221"/>
      <c r="AQ213" s="222"/>
    </row>
    <row r="214">
      <c r="A214" s="221"/>
      <c r="B214" s="221"/>
      <c r="AQ214" s="222"/>
    </row>
    <row r="215">
      <c r="A215" s="221"/>
      <c r="B215" s="221"/>
      <c r="AQ215" s="222"/>
    </row>
    <row r="216">
      <c r="A216" s="221"/>
      <c r="B216" s="221"/>
      <c r="AQ216" s="222"/>
    </row>
    <row r="217">
      <c r="A217" s="221"/>
      <c r="B217" s="221"/>
      <c r="AQ217" s="222"/>
    </row>
    <row r="218">
      <c r="A218" s="221"/>
      <c r="B218" s="221"/>
      <c r="AQ218" s="222"/>
    </row>
    <row r="219">
      <c r="A219" s="221"/>
      <c r="B219" s="221"/>
      <c r="AQ219" s="222"/>
    </row>
    <row r="220">
      <c r="A220" s="221"/>
      <c r="B220" s="221"/>
      <c r="AQ220" s="222"/>
    </row>
    <row r="221">
      <c r="A221" s="221"/>
      <c r="B221" s="221"/>
      <c r="AQ221" s="222"/>
    </row>
    <row r="222">
      <c r="A222" s="221"/>
      <c r="B222" s="221"/>
      <c r="AQ222" s="222"/>
    </row>
    <row r="223">
      <c r="A223" s="221"/>
      <c r="B223" s="221"/>
      <c r="AQ223" s="222"/>
    </row>
    <row r="224">
      <c r="A224" s="221"/>
      <c r="B224" s="221"/>
      <c r="AQ224" s="222"/>
    </row>
    <row r="225">
      <c r="A225" s="221"/>
      <c r="B225" s="221"/>
      <c r="AQ225" s="222"/>
    </row>
    <row r="226">
      <c r="A226" s="221"/>
      <c r="B226" s="221"/>
      <c r="AQ226" s="222"/>
    </row>
    <row r="227">
      <c r="A227" s="221"/>
      <c r="B227" s="221"/>
      <c r="AQ227" s="222"/>
    </row>
    <row r="228">
      <c r="A228" s="221"/>
      <c r="B228" s="221"/>
      <c r="AQ228" s="222"/>
    </row>
    <row r="229">
      <c r="A229" s="221"/>
      <c r="B229" s="221"/>
      <c r="AQ229" s="222"/>
    </row>
    <row r="230">
      <c r="A230" s="221"/>
      <c r="B230" s="221"/>
      <c r="AQ230" s="222"/>
    </row>
    <row r="231">
      <c r="A231" s="221"/>
      <c r="B231" s="221"/>
      <c r="AQ231" s="222"/>
    </row>
    <row r="232">
      <c r="A232" s="221"/>
      <c r="B232" s="221"/>
      <c r="AQ232" s="222"/>
    </row>
    <row r="233">
      <c r="A233" s="221"/>
      <c r="B233" s="221"/>
      <c r="AQ233" s="222"/>
    </row>
    <row r="234">
      <c r="A234" s="221"/>
      <c r="B234" s="221"/>
      <c r="AQ234" s="222"/>
    </row>
    <row r="235">
      <c r="A235" s="221"/>
      <c r="B235" s="221"/>
      <c r="AQ235" s="222"/>
    </row>
    <row r="236">
      <c r="A236" s="221"/>
      <c r="B236" s="221"/>
      <c r="AQ236" s="222"/>
    </row>
    <row r="237">
      <c r="A237" s="221"/>
      <c r="B237" s="221"/>
      <c r="AQ237" s="222"/>
    </row>
    <row r="238">
      <c r="A238" s="221"/>
      <c r="B238" s="221"/>
      <c r="AQ238" s="222"/>
    </row>
    <row r="239">
      <c r="A239" s="221"/>
      <c r="B239" s="221"/>
      <c r="AQ239" s="222"/>
    </row>
    <row r="240">
      <c r="A240" s="221"/>
      <c r="B240" s="221"/>
      <c r="AQ240" s="222"/>
    </row>
    <row r="241">
      <c r="A241" s="221"/>
      <c r="B241" s="221"/>
      <c r="AQ241" s="222"/>
    </row>
    <row r="242">
      <c r="A242" s="221"/>
      <c r="B242" s="221"/>
      <c r="AQ242" s="222"/>
    </row>
    <row r="243">
      <c r="A243" s="221"/>
      <c r="B243" s="221"/>
      <c r="AQ243" s="222"/>
    </row>
    <row r="244">
      <c r="A244" s="221"/>
      <c r="B244" s="221"/>
      <c r="AQ244" s="222"/>
    </row>
    <row r="245">
      <c r="A245" s="221"/>
      <c r="B245" s="221"/>
      <c r="AQ245" s="222"/>
    </row>
    <row r="246">
      <c r="A246" s="221"/>
      <c r="B246" s="221"/>
      <c r="AQ246" s="222"/>
    </row>
    <row r="247">
      <c r="A247" s="221"/>
      <c r="B247" s="221"/>
      <c r="AQ247" s="222"/>
    </row>
    <row r="248">
      <c r="A248" s="221"/>
      <c r="B248" s="221"/>
      <c r="AQ248" s="222"/>
    </row>
    <row r="249">
      <c r="A249" s="221"/>
      <c r="B249" s="221"/>
      <c r="AQ249" s="222"/>
    </row>
    <row r="250">
      <c r="A250" s="221"/>
      <c r="B250" s="221"/>
      <c r="AQ250" s="222"/>
    </row>
    <row r="251">
      <c r="A251" s="221"/>
      <c r="B251" s="221"/>
      <c r="AQ251" s="222"/>
    </row>
    <row r="252">
      <c r="A252" s="221"/>
      <c r="B252" s="221"/>
      <c r="AQ252" s="222"/>
    </row>
    <row r="253">
      <c r="A253" s="221"/>
      <c r="B253" s="221"/>
      <c r="AQ253" s="222"/>
    </row>
    <row r="254">
      <c r="A254" s="221"/>
      <c r="B254" s="221"/>
      <c r="AQ254" s="222"/>
    </row>
    <row r="255">
      <c r="A255" s="221"/>
      <c r="B255" s="221"/>
      <c r="AQ255" s="222"/>
    </row>
    <row r="256">
      <c r="A256" s="221"/>
      <c r="B256" s="221"/>
      <c r="AQ256" s="222"/>
    </row>
    <row r="257">
      <c r="A257" s="221"/>
      <c r="B257" s="221"/>
      <c r="AQ257" s="222"/>
    </row>
    <row r="258">
      <c r="A258" s="221"/>
      <c r="B258" s="221"/>
      <c r="AQ258" s="222"/>
    </row>
    <row r="259">
      <c r="A259" s="221"/>
      <c r="B259" s="221"/>
      <c r="AQ259" s="222"/>
    </row>
    <row r="260">
      <c r="A260" s="221"/>
      <c r="B260" s="221"/>
      <c r="AQ260" s="222"/>
    </row>
    <row r="261">
      <c r="A261" s="221"/>
      <c r="B261" s="221"/>
      <c r="AQ261" s="222"/>
    </row>
    <row r="262">
      <c r="A262" s="221"/>
      <c r="B262" s="221"/>
      <c r="AQ262" s="222"/>
    </row>
    <row r="263">
      <c r="A263" s="221"/>
      <c r="B263" s="221"/>
      <c r="AQ263" s="222"/>
    </row>
    <row r="264">
      <c r="A264" s="221"/>
      <c r="B264" s="221"/>
      <c r="AQ264" s="222"/>
    </row>
    <row r="265">
      <c r="A265" s="221"/>
      <c r="B265" s="221"/>
      <c r="AQ265" s="222"/>
    </row>
    <row r="266">
      <c r="A266" s="221"/>
      <c r="B266" s="221"/>
      <c r="AQ266" s="222"/>
    </row>
    <row r="267">
      <c r="A267" s="221"/>
      <c r="B267" s="221"/>
      <c r="AQ267" s="222"/>
    </row>
    <row r="268">
      <c r="A268" s="221"/>
      <c r="B268" s="221"/>
      <c r="AQ268" s="222"/>
    </row>
    <row r="269">
      <c r="A269" s="221"/>
      <c r="B269" s="221"/>
      <c r="AQ269" s="222"/>
    </row>
    <row r="270">
      <c r="A270" s="221"/>
      <c r="B270" s="221"/>
      <c r="AQ270" s="222"/>
    </row>
    <row r="271">
      <c r="A271" s="221"/>
      <c r="B271" s="221"/>
      <c r="AQ271" s="222"/>
    </row>
    <row r="272">
      <c r="A272" s="221"/>
      <c r="B272" s="221"/>
      <c r="AQ272" s="222"/>
    </row>
    <row r="273">
      <c r="A273" s="221"/>
      <c r="B273" s="221"/>
      <c r="AQ273" s="222"/>
    </row>
    <row r="274">
      <c r="A274" s="221"/>
      <c r="B274" s="221"/>
      <c r="AQ274" s="222"/>
    </row>
    <row r="275">
      <c r="A275" s="221"/>
      <c r="B275" s="221"/>
      <c r="AQ275" s="222"/>
    </row>
    <row r="276">
      <c r="A276" s="221"/>
      <c r="B276" s="221"/>
      <c r="AQ276" s="222"/>
    </row>
    <row r="277">
      <c r="A277" s="221"/>
      <c r="B277" s="221"/>
      <c r="AQ277" s="222"/>
    </row>
    <row r="278">
      <c r="A278" s="221"/>
      <c r="B278" s="221"/>
      <c r="AQ278" s="222"/>
    </row>
    <row r="279">
      <c r="A279" s="221"/>
      <c r="B279" s="221"/>
      <c r="AQ279" s="222"/>
    </row>
    <row r="280">
      <c r="A280" s="221"/>
      <c r="B280" s="221"/>
      <c r="AQ280" s="222"/>
    </row>
    <row r="281">
      <c r="A281" s="221"/>
      <c r="B281" s="221"/>
      <c r="AQ281" s="222"/>
    </row>
    <row r="282">
      <c r="A282" s="221"/>
      <c r="B282" s="221"/>
      <c r="AQ282" s="222"/>
    </row>
    <row r="283">
      <c r="A283" s="221"/>
      <c r="B283" s="221"/>
      <c r="AQ283" s="222"/>
    </row>
    <row r="284">
      <c r="A284" s="221"/>
      <c r="B284" s="221"/>
      <c r="AQ284" s="222"/>
    </row>
    <row r="285">
      <c r="A285" s="221"/>
      <c r="B285" s="221"/>
      <c r="AQ285" s="222"/>
    </row>
    <row r="286">
      <c r="A286" s="221"/>
      <c r="B286" s="221"/>
      <c r="AQ286" s="222"/>
    </row>
    <row r="287">
      <c r="A287" s="221"/>
      <c r="B287" s="221"/>
      <c r="AQ287" s="222"/>
    </row>
    <row r="288">
      <c r="A288" s="221"/>
      <c r="B288" s="221"/>
      <c r="AQ288" s="222"/>
    </row>
    <row r="289">
      <c r="A289" s="221"/>
      <c r="B289" s="221"/>
      <c r="AQ289" s="222"/>
    </row>
    <row r="290">
      <c r="A290" s="221"/>
      <c r="B290" s="221"/>
      <c r="AQ290" s="222"/>
    </row>
    <row r="291">
      <c r="A291" s="221"/>
      <c r="B291" s="221"/>
      <c r="AQ291" s="222"/>
    </row>
    <row r="292">
      <c r="A292" s="221"/>
      <c r="B292" s="221"/>
      <c r="AQ292" s="222"/>
    </row>
    <row r="293">
      <c r="A293" s="221"/>
      <c r="B293" s="221"/>
      <c r="AQ293" s="222"/>
    </row>
    <row r="294">
      <c r="A294" s="221"/>
      <c r="B294" s="221"/>
      <c r="AQ294" s="222"/>
    </row>
    <row r="295">
      <c r="A295" s="221"/>
      <c r="B295" s="221"/>
      <c r="AQ295" s="222"/>
    </row>
    <row r="296">
      <c r="A296" s="221"/>
      <c r="B296" s="221"/>
      <c r="AQ296" s="222"/>
    </row>
    <row r="297">
      <c r="A297" s="221"/>
      <c r="B297" s="221"/>
      <c r="AQ297" s="222"/>
    </row>
    <row r="298">
      <c r="A298" s="221"/>
      <c r="B298" s="221"/>
      <c r="AQ298" s="222"/>
    </row>
    <row r="299">
      <c r="A299" s="221"/>
      <c r="B299" s="221"/>
      <c r="AQ299" s="222"/>
    </row>
    <row r="300">
      <c r="A300" s="221"/>
      <c r="B300" s="221"/>
      <c r="AQ300" s="222"/>
    </row>
    <row r="301">
      <c r="A301" s="221"/>
      <c r="B301" s="221"/>
      <c r="AQ301" s="222"/>
    </row>
    <row r="302">
      <c r="A302" s="221"/>
      <c r="B302" s="221"/>
      <c r="AQ302" s="222"/>
    </row>
    <row r="303">
      <c r="A303" s="221"/>
      <c r="B303" s="221"/>
      <c r="AQ303" s="222"/>
    </row>
    <row r="304">
      <c r="A304" s="221"/>
      <c r="B304" s="221"/>
      <c r="AQ304" s="222"/>
    </row>
    <row r="305">
      <c r="A305" s="221"/>
      <c r="B305" s="221"/>
      <c r="AQ305" s="222"/>
    </row>
    <row r="306">
      <c r="A306" s="221"/>
      <c r="B306" s="221"/>
      <c r="AQ306" s="222"/>
    </row>
    <row r="307">
      <c r="A307" s="221"/>
      <c r="B307" s="221"/>
      <c r="AQ307" s="222"/>
    </row>
    <row r="308">
      <c r="A308" s="221"/>
      <c r="B308" s="221"/>
      <c r="AQ308" s="222"/>
    </row>
    <row r="309">
      <c r="A309" s="221"/>
      <c r="B309" s="221"/>
      <c r="AQ309" s="222"/>
    </row>
    <row r="310">
      <c r="A310" s="221"/>
      <c r="B310" s="221"/>
      <c r="AQ310" s="222"/>
    </row>
    <row r="311">
      <c r="A311" s="221"/>
      <c r="B311" s="221"/>
      <c r="AQ311" s="222"/>
    </row>
    <row r="312">
      <c r="A312" s="221"/>
      <c r="B312" s="221"/>
      <c r="AQ312" s="222"/>
    </row>
    <row r="313">
      <c r="A313" s="221"/>
      <c r="B313" s="221"/>
      <c r="AQ313" s="222"/>
    </row>
    <row r="314">
      <c r="A314" s="221"/>
      <c r="B314" s="221"/>
      <c r="AQ314" s="222"/>
    </row>
    <row r="315">
      <c r="A315" s="221"/>
      <c r="B315" s="221"/>
      <c r="AQ315" s="222"/>
    </row>
    <row r="316">
      <c r="A316" s="221"/>
      <c r="B316" s="221"/>
      <c r="AQ316" s="222"/>
    </row>
    <row r="317">
      <c r="A317" s="221"/>
      <c r="B317" s="221"/>
      <c r="AQ317" s="222"/>
    </row>
    <row r="318">
      <c r="A318" s="221"/>
      <c r="B318" s="221"/>
      <c r="AQ318" s="222"/>
    </row>
    <row r="319">
      <c r="A319" s="221"/>
      <c r="B319" s="221"/>
      <c r="AQ319" s="222"/>
    </row>
    <row r="320">
      <c r="A320" s="221"/>
      <c r="B320" s="221"/>
      <c r="AQ320" s="222"/>
    </row>
    <row r="321">
      <c r="A321" s="221"/>
      <c r="B321" s="221"/>
      <c r="AQ321" s="222"/>
    </row>
    <row r="322">
      <c r="A322" s="221"/>
      <c r="B322" s="221"/>
      <c r="AQ322" s="222"/>
    </row>
    <row r="323">
      <c r="A323" s="221"/>
      <c r="B323" s="221"/>
      <c r="AQ323" s="222"/>
    </row>
    <row r="324">
      <c r="A324" s="221"/>
      <c r="B324" s="221"/>
      <c r="AQ324" s="222"/>
    </row>
    <row r="325">
      <c r="A325" s="221"/>
      <c r="B325" s="221"/>
      <c r="AQ325" s="222"/>
    </row>
    <row r="326">
      <c r="A326" s="221"/>
      <c r="B326" s="221"/>
      <c r="AQ326" s="222"/>
    </row>
    <row r="327">
      <c r="A327" s="221"/>
      <c r="B327" s="221"/>
      <c r="AQ327" s="222"/>
    </row>
    <row r="328">
      <c r="A328" s="221"/>
      <c r="B328" s="221"/>
      <c r="AQ328" s="222"/>
    </row>
    <row r="329">
      <c r="A329" s="221"/>
      <c r="B329" s="221"/>
      <c r="AQ329" s="222"/>
    </row>
    <row r="330">
      <c r="A330" s="221"/>
      <c r="B330" s="221"/>
      <c r="AQ330" s="222"/>
    </row>
    <row r="331">
      <c r="A331" s="221"/>
      <c r="B331" s="221"/>
      <c r="AQ331" s="222"/>
    </row>
    <row r="332">
      <c r="A332" s="221"/>
      <c r="B332" s="221"/>
      <c r="AQ332" s="222"/>
    </row>
    <row r="333">
      <c r="A333" s="221"/>
      <c r="B333" s="221"/>
      <c r="AQ333" s="222"/>
    </row>
    <row r="334">
      <c r="A334" s="221"/>
      <c r="B334" s="221"/>
      <c r="AQ334" s="222"/>
    </row>
    <row r="335">
      <c r="A335" s="221"/>
      <c r="B335" s="221"/>
      <c r="AQ335" s="222"/>
    </row>
    <row r="336">
      <c r="A336" s="221"/>
      <c r="B336" s="221"/>
      <c r="AQ336" s="222"/>
    </row>
    <row r="337">
      <c r="A337" s="221"/>
      <c r="B337" s="221"/>
      <c r="AQ337" s="222"/>
    </row>
    <row r="338">
      <c r="A338" s="221"/>
      <c r="B338" s="221"/>
      <c r="AQ338" s="222"/>
    </row>
    <row r="339">
      <c r="A339" s="221"/>
      <c r="B339" s="221"/>
      <c r="AQ339" s="222"/>
    </row>
    <row r="340">
      <c r="A340" s="221"/>
      <c r="B340" s="221"/>
      <c r="AQ340" s="222"/>
    </row>
    <row r="341">
      <c r="A341" s="221"/>
      <c r="B341" s="221"/>
      <c r="AQ341" s="222"/>
    </row>
    <row r="342">
      <c r="A342" s="221"/>
      <c r="B342" s="221"/>
      <c r="AQ342" s="222"/>
    </row>
    <row r="343">
      <c r="A343" s="221"/>
      <c r="B343" s="221"/>
      <c r="AQ343" s="222"/>
    </row>
    <row r="344">
      <c r="A344" s="221"/>
      <c r="B344" s="221"/>
      <c r="AQ344" s="222"/>
    </row>
    <row r="345">
      <c r="A345" s="221"/>
      <c r="B345" s="221"/>
      <c r="AQ345" s="222"/>
    </row>
    <row r="346">
      <c r="A346" s="221"/>
      <c r="B346" s="221"/>
      <c r="AQ346" s="222"/>
    </row>
    <row r="347">
      <c r="A347" s="221"/>
      <c r="B347" s="221"/>
      <c r="AQ347" s="222"/>
    </row>
    <row r="348">
      <c r="A348" s="221"/>
      <c r="B348" s="221"/>
      <c r="AQ348" s="222"/>
    </row>
    <row r="349">
      <c r="A349" s="221"/>
      <c r="B349" s="221"/>
      <c r="AQ349" s="222"/>
    </row>
    <row r="350">
      <c r="A350" s="221"/>
      <c r="B350" s="221"/>
      <c r="AQ350" s="222"/>
    </row>
    <row r="351">
      <c r="A351" s="221"/>
      <c r="B351" s="221"/>
      <c r="AQ351" s="222"/>
    </row>
    <row r="352">
      <c r="A352" s="221"/>
      <c r="B352" s="221"/>
      <c r="AQ352" s="222"/>
    </row>
    <row r="353">
      <c r="A353" s="221"/>
      <c r="B353" s="221"/>
      <c r="AQ353" s="222"/>
    </row>
    <row r="354">
      <c r="A354" s="221"/>
      <c r="B354" s="221"/>
      <c r="AQ354" s="222"/>
    </row>
    <row r="355">
      <c r="A355" s="221"/>
      <c r="B355" s="221"/>
      <c r="AQ355" s="222"/>
    </row>
    <row r="356">
      <c r="A356" s="221"/>
      <c r="B356" s="221"/>
      <c r="AQ356" s="222"/>
    </row>
    <row r="357">
      <c r="A357" s="221"/>
      <c r="B357" s="221"/>
      <c r="AQ357" s="222"/>
    </row>
    <row r="358">
      <c r="A358" s="221"/>
      <c r="B358" s="221"/>
      <c r="AQ358" s="222"/>
    </row>
    <row r="359">
      <c r="A359" s="221"/>
      <c r="B359" s="221"/>
      <c r="AQ359" s="222"/>
    </row>
    <row r="360">
      <c r="A360" s="221"/>
      <c r="B360" s="221"/>
      <c r="AQ360" s="222"/>
    </row>
    <row r="361">
      <c r="A361" s="221"/>
      <c r="B361" s="221"/>
      <c r="AQ361" s="222"/>
    </row>
    <row r="362">
      <c r="A362" s="221"/>
      <c r="B362" s="221"/>
      <c r="AQ362" s="222"/>
    </row>
    <row r="363">
      <c r="A363" s="221"/>
      <c r="B363" s="221"/>
      <c r="AQ363" s="222"/>
    </row>
    <row r="364">
      <c r="A364" s="221"/>
      <c r="B364" s="221"/>
      <c r="AQ364" s="222"/>
    </row>
    <row r="365">
      <c r="A365" s="221"/>
      <c r="B365" s="221"/>
      <c r="AQ365" s="222"/>
    </row>
    <row r="366">
      <c r="A366" s="221"/>
      <c r="B366" s="221"/>
      <c r="AQ366" s="222"/>
    </row>
    <row r="367">
      <c r="A367" s="221"/>
      <c r="B367" s="221"/>
      <c r="AQ367" s="222"/>
    </row>
    <row r="368">
      <c r="A368" s="221"/>
      <c r="B368" s="221"/>
      <c r="AQ368" s="222"/>
    </row>
    <row r="369">
      <c r="A369" s="221"/>
      <c r="B369" s="221"/>
      <c r="AQ369" s="222"/>
    </row>
    <row r="370">
      <c r="A370" s="221"/>
      <c r="B370" s="221"/>
      <c r="AQ370" s="222"/>
    </row>
    <row r="371">
      <c r="A371" s="221"/>
      <c r="B371" s="221"/>
      <c r="AQ371" s="222"/>
    </row>
    <row r="372">
      <c r="A372" s="221"/>
      <c r="B372" s="221"/>
      <c r="AQ372" s="222"/>
    </row>
    <row r="373">
      <c r="A373" s="221"/>
      <c r="B373" s="221"/>
      <c r="AQ373" s="222"/>
    </row>
    <row r="374">
      <c r="A374" s="221"/>
      <c r="B374" s="221"/>
      <c r="AQ374" s="222"/>
    </row>
    <row r="375">
      <c r="A375" s="221"/>
      <c r="B375" s="221"/>
      <c r="AQ375" s="222"/>
    </row>
    <row r="376">
      <c r="A376" s="221"/>
      <c r="B376" s="221"/>
      <c r="AQ376" s="222"/>
    </row>
    <row r="377">
      <c r="A377" s="221"/>
      <c r="B377" s="221"/>
      <c r="AQ377" s="222"/>
    </row>
    <row r="378">
      <c r="A378" s="221"/>
      <c r="B378" s="221"/>
      <c r="AQ378" s="222"/>
    </row>
    <row r="379">
      <c r="A379" s="221"/>
      <c r="B379" s="221"/>
      <c r="AQ379" s="222"/>
    </row>
    <row r="380">
      <c r="A380" s="221"/>
      <c r="B380" s="221"/>
      <c r="AQ380" s="222"/>
    </row>
    <row r="381">
      <c r="A381" s="221"/>
      <c r="B381" s="221"/>
      <c r="AQ381" s="222"/>
    </row>
    <row r="382">
      <c r="A382" s="221"/>
      <c r="B382" s="221"/>
      <c r="AQ382" s="222"/>
    </row>
    <row r="383">
      <c r="A383" s="221"/>
      <c r="B383" s="221"/>
      <c r="AQ383" s="222"/>
    </row>
    <row r="384">
      <c r="A384" s="221"/>
      <c r="B384" s="221"/>
      <c r="AQ384" s="222"/>
    </row>
    <row r="385">
      <c r="A385" s="221"/>
      <c r="B385" s="221"/>
      <c r="AQ385" s="222"/>
    </row>
    <row r="386">
      <c r="A386" s="221"/>
      <c r="B386" s="221"/>
      <c r="AQ386" s="222"/>
    </row>
    <row r="387">
      <c r="A387" s="221"/>
      <c r="B387" s="221"/>
      <c r="AQ387" s="222"/>
    </row>
    <row r="388">
      <c r="A388" s="221"/>
      <c r="B388" s="221"/>
      <c r="AQ388" s="222"/>
    </row>
    <row r="389">
      <c r="A389" s="221"/>
      <c r="B389" s="221"/>
      <c r="AQ389" s="222"/>
    </row>
    <row r="390">
      <c r="A390" s="221"/>
      <c r="B390" s="221"/>
      <c r="AQ390" s="222"/>
    </row>
    <row r="391">
      <c r="A391" s="221"/>
      <c r="B391" s="221"/>
      <c r="AQ391" s="222"/>
    </row>
    <row r="392">
      <c r="A392" s="221"/>
      <c r="B392" s="221"/>
      <c r="AQ392" s="222"/>
    </row>
    <row r="393">
      <c r="A393" s="221"/>
      <c r="B393" s="221"/>
      <c r="AQ393" s="222"/>
    </row>
    <row r="394">
      <c r="A394" s="221"/>
      <c r="B394" s="221"/>
      <c r="AQ394" s="222"/>
    </row>
    <row r="395">
      <c r="A395" s="221"/>
      <c r="B395" s="221"/>
      <c r="AQ395" s="222"/>
    </row>
    <row r="396">
      <c r="A396" s="221"/>
      <c r="B396" s="221"/>
      <c r="AQ396" s="222"/>
    </row>
    <row r="397">
      <c r="A397" s="221"/>
      <c r="B397" s="221"/>
      <c r="AQ397" s="222"/>
    </row>
    <row r="398">
      <c r="A398" s="221"/>
      <c r="B398" s="221"/>
      <c r="AQ398" s="222"/>
    </row>
    <row r="399">
      <c r="A399" s="221"/>
      <c r="B399" s="221"/>
      <c r="AQ399" s="222"/>
    </row>
    <row r="400">
      <c r="A400" s="221"/>
      <c r="B400" s="221"/>
      <c r="AQ400" s="222"/>
    </row>
    <row r="401">
      <c r="A401" s="221"/>
      <c r="B401" s="221"/>
      <c r="AQ401" s="222"/>
    </row>
    <row r="402">
      <c r="A402" s="221"/>
      <c r="B402" s="221"/>
      <c r="AQ402" s="222"/>
    </row>
    <row r="403">
      <c r="A403" s="221"/>
      <c r="B403" s="221"/>
      <c r="AQ403" s="222"/>
    </row>
    <row r="404">
      <c r="A404" s="221"/>
      <c r="B404" s="221"/>
      <c r="AQ404" s="222"/>
    </row>
    <row r="405">
      <c r="A405" s="221"/>
      <c r="B405" s="221"/>
      <c r="AQ405" s="222"/>
    </row>
    <row r="406">
      <c r="A406" s="221"/>
      <c r="B406" s="221"/>
      <c r="AQ406" s="222"/>
    </row>
    <row r="407">
      <c r="A407" s="221"/>
      <c r="B407" s="221"/>
      <c r="AQ407" s="222"/>
    </row>
    <row r="408">
      <c r="A408" s="221"/>
      <c r="B408" s="221"/>
      <c r="AQ408" s="222"/>
    </row>
    <row r="409">
      <c r="A409" s="221"/>
      <c r="B409" s="221"/>
      <c r="AQ409" s="222"/>
    </row>
    <row r="410">
      <c r="A410" s="221"/>
      <c r="B410" s="221"/>
      <c r="AQ410" s="222"/>
    </row>
    <row r="411">
      <c r="A411" s="221"/>
      <c r="B411" s="221"/>
      <c r="AQ411" s="222"/>
    </row>
    <row r="412">
      <c r="A412" s="221"/>
      <c r="B412" s="221"/>
      <c r="AQ412" s="222"/>
    </row>
    <row r="413">
      <c r="A413" s="221"/>
      <c r="B413" s="221"/>
      <c r="AQ413" s="222"/>
    </row>
    <row r="414">
      <c r="A414" s="221"/>
      <c r="B414" s="221"/>
      <c r="AQ414" s="222"/>
    </row>
    <row r="415">
      <c r="A415" s="221"/>
      <c r="B415" s="221"/>
      <c r="AQ415" s="222"/>
    </row>
    <row r="416">
      <c r="A416" s="221"/>
      <c r="B416" s="221"/>
      <c r="AQ416" s="222"/>
    </row>
    <row r="417">
      <c r="A417" s="221"/>
      <c r="B417" s="221"/>
      <c r="AQ417" s="222"/>
    </row>
    <row r="418">
      <c r="A418" s="221"/>
      <c r="B418" s="221"/>
      <c r="AQ418" s="222"/>
    </row>
    <row r="419">
      <c r="A419" s="221"/>
      <c r="B419" s="221"/>
      <c r="AQ419" s="222"/>
    </row>
    <row r="420">
      <c r="A420" s="221"/>
      <c r="B420" s="221"/>
      <c r="AQ420" s="222"/>
    </row>
    <row r="421">
      <c r="A421" s="221"/>
      <c r="B421" s="221"/>
      <c r="AQ421" s="222"/>
    </row>
    <row r="422">
      <c r="A422" s="221"/>
      <c r="B422" s="221"/>
      <c r="AQ422" s="222"/>
    </row>
    <row r="423">
      <c r="A423" s="221"/>
      <c r="B423" s="221"/>
      <c r="AQ423" s="222"/>
    </row>
    <row r="424">
      <c r="A424" s="221"/>
      <c r="B424" s="221"/>
      <c r="AQ424" s="222"/>
    </row>
    <row r="425">
      <c r="A425" s="221"/>
      <c r="B425" s="221"/>
      <c r="AQ425" s="222"/>
    </row>
    <row r="426">
      <c r="A426" s="221"/>
      <c r="B426" s="221"/>
      <c r="AQ426" s="222"/>
    </row>
    <row r="427">
      <c r="A427" s="221"/>
      <c r="B427" s="221"/>
      <c r="AQ427" s="222"/>
    </row>
    <row r="428">
      <c r="A428" s="221"/>
      <c r="B428" s="221"/>
      <c r="AQ428" s="222"/>
    </row>
    <row r="429">
      <c r="A429" s="221"/>
      <c r="B429" s="221"/>
      <c r="AQ429" s="222"/>
    </row>
    <row r="430">
      <c r="A430" s="221"/>
      <c r="B430" s="221"/>
      <c r="AQ430" s="222"/>
    </row>
    <row r="431">
      <c r="A431" s="221"/>
      <c r="B431" s="221"/>
      <c r="AQ431" s="222"/>
    </row>
    <row r="432">
      <c r="A432" s="221"/>
      <c r="B432" s="221"/>
      <c r="AQ432" s="222"/>
    </row>
    <row r="433">
      <c r="A433" s="221"/>
      <c r="B433" s="221"/>
      <c r="AQ433" s="222"/>
    </row>
    <row r="434">
      <c r="A434" s="221"/>
      <c r="B434" s="221"/>
      <c r="AQ434" s="222"/>
    </row>
    <row r="435">
      <c r="A435" s="221"/>
      <c r="B435" s="221"/>
      <c r="AQ435" s="222"/>
    </row>
    <row r="436">
      <c r="A436" s="221"/>
      <c r="B436" s="221"/>
      <c r="AQ436" s="222"/>
    </row>
    <row r="437">
      <c r="A437" s="221"/>
      <c r="B437" s="221"/>
      <c r="AQ437" s="222"/>
    </row>
    <row r="438">
      <c r="A438" s="221"/>
      <c r="B438" s="221"/>
      <c r="AQ438" s="222"/>
    </row>
    <row r="439">
      <c r="A439" s="221"/>
      <c r="B439" s="221"/>
      <c r="AQ439" s="222"/>
    </row>
    <row r="440">
      <c r="A440" s="221"/>
      <c r="B440" s="221"/>
      <c r="AQ440" s="222"/>
    </row>
    <row r="441">
      <c r="A441" s="221"/>
      <c r="B441" s="221"/>
      <c r="AQ441" s="222"/>
    </row>
    <row r="442">
      <c r="A442" s="221"/>
      <c r="B442" s="221"/>
      <c r="AQ442" s="222"/>
    </row>
    <row r="443">
      <c r="A443" s="221"/>
      <c r="B443" s="221"/>
      <c r="AQ443" s="222"/>
    </row>
    <row r="444">
      <c r="A444" s="221"/>
      <c r="B444" s="221"/>
      <c r="AQ444" s="222"/>
    </row>
    <row r="445">
      <c r="A445" s="221"/>
      <c r="B445" s="221"/>
      <c r="AQ445" s="222"/>
    </row>
    <row r="446">
      <c r="A446" s="221"/>
      <c r="B446" s="221"/>
      <c r="AQ446" s="222"/>
    </row>
    <row r="447">
      <c r="A447" s="221"/>
      <c r="B447" s="221"/>
      <c r="AQ447" s="222"/>
    </row>
    <row r="448">
      <c r="A448" s="221"/>
      <c r="B448" s="221"/>
      <c r="AQ448" s="222"/>
    </row>
    <row r="449">
      <c r="A449" s="221"/>
      <c r="B449" s="221"/>
      <c r="AQ449" s="222"/>
    </row>
    <row r="450">
      <c r="A450" s="221"/>
      <c r="B450" s="221"/>
      <c r="AQ450" s="222"/>
    </row>
    <row r="451">
      <c r="A451" s="221"/>
      <c r="B451" s="221"/>
      <c r="AQ451" s="222"/>
    </row>
    <row r="452">
      <c r="A452" s="221"/>
      <c r="B452" s="221"/>
      <c r="AQ452" s="222"/>
    </row>
    <row r="453">
      <c r="A453" s="221"/>
      <c r="B453" s="221"/>
      <c r="AQ453" s="222"/>
    </row>
    <row r="454">
      <c r="A454" s="221"/>
      <c r="B454" s="221"/>
      <c r="AQ454" s="222"/>
    </row>
    <row r="455">
      <c r="A455" s="221"/>
      <c r="B455" s="221"/>
      <c r="AQ455" s="222"/>
    </row>
    <row r="456">
      <c r="A456" s="221"/>
      <c r="B456" s="221"/>
      <c r="AQ456" s="222"/>
    </row>
    <row r="457">
      <c r="A457" s="221"/>
      <c r="B457" s="221"/>
      <c r="AQ457" s="222"/>
    </row>
    <row r="458">
      <c r="A458" s="221"/>
      <c r="B458" s="221"/>
      <c r="AQ458" s="222"/>
    </row>
    <row r="459">
      <c r="A459" s="221"/>
      <c r="B459" s="221"/>
      <c r="AQ459" s="222"/>
    </row>
    <row r="460">
      <c r="A460" s="221"/>
      <c r="B460" s="221"/>
      <c r="AQ460" s="222"/>
    </row>
    <row r="461">
      <c r="A461" s="221"/>
      <c r="B461" s="221"/>
      <c r="AQ461" s="222"/>
    </row>
    <row r="462">
      <c r="A462" s="221"/>
      <c r="B462" s="221"/>
      <c r="AQ462" s="222"/>
    </row>
    <row r="463">
      <c r="A463" s="221"/>
      <c r="B463" s="221"/>
      <c r="AQ463" s="222"/>
    </row>
    <row r="464">
      <c r="A464" s="221"/>
      <c r="B464" s="221"/>
      <c r="AQ464" s="222"/>
    </row>
    <row r="465">
      <c r="A465" s="221"/>
      <c r="B465" s="221"/>
      <c r="AQ465" s="222"/>
    </row>
    <row r="466">
      <c r="A466" s="221"/>
      <c r="B466" s="221"/>
      <c r="AQ466" s="222"/>
    </row>
    <row r="467">
      <c r="A467" s="221"/>
      <c r="B467" s="221"/>
      <c r="AQ467" s="222"/>
    </row>
    <row r="468">
      <c r="A468" s="221"/>
      <c r="B468" s="221"/>
      <c r="AQ468" s="222"/>
    </row>
    <row r="469">
      <c r="A469" s="221"/>
      <c r="B469" s="221"/>
      <c r="AQ469" s="222"/>
    </row>
    <row r="470">
      <c r="A470" s="221"/>
      <c r="B470" s="221"/>
      <c r="AQ470" s="222"/>
    </row>
    <row r="471">
      <c r="A471" s="221"/>
      <c r="B471" s="221"/>
      <c r="AQ471" s="222"/>
    </row>
    <row r="472">
      <c r="A472" s="221"/>
      <c r="B472" s="221"/>
      <c r="AQ472" s="222"/>
    </row>
    <row r="473">
      <c r="A473" s="221"/>
      <c r="B473" s="221"/>
      <c r="AQ473" s="222"/>
    </row>
    <row r="474">
      <c r="A474" s="221"/>
      <c r="B474" s="221"/>
      <c r="AQ474" s="222"/>
    </row>
    <row r="475">
      <c r="A475" s="221"/>
      <c r="B475" s="221"/>
      <c r="AQ475" s="222"/>
    </row>
    <row r="476">
      <c r="A476" s="221"/>
      <c r="B476" s="221"/>
      <c r="AQ476" s="222"/>
    </row>
    <row r="477">
      <c r="A477" s="221"/>
      <c r="B477" s="221"/>
      <c r="AQ477" s="222"/>
    </row>
    <row r="478">
      <c r="A478" s="221"/>
      <c r="B478" s="221"/>
      <c r="AQ478" s="222"/>
    </row>
    <row r="479">
      <c r="A479" s="221"/>
      <c r="B479" s="221"/>
      <c r="AQ479" s="222"/>
    </row>
    <row r="480">
      <c r="A480" s="221"/>
      <c r="B480" s="221"/>
      <c r="AQ480" s="222"/>
    </row>
    <row r="481">
      <c r="A481" s="221"/>
      <c r="B481" s="221"/>
      <c r="AQ481" s="222"/>
    </row>
    <row r="482">
      <c r="A482" s="221"/>
      <c r="B482" s="221"/>
      <c r="AQ482" s="222"/>
    </row>
    <row r="483">
      <c r="A483" s="221"/>
      <c r="B483" s="221"/>
      <c r="AQ483" s="222"/>
    </row>
    <row r="484">
      <c r="A484" s="221"/>
      <c r="B484" s="221"/>
      <c r="AQ484" s="222"/>
    </row>
    <row r="485">
      <c r="A485" s="221"/>
      <c r="B485" s="221"/>
      <c r="AQ485" s="222"/>
    </row>
    <row r="486">
      <c r="A486" s="221"/>
      <c r="B486" s="221"/>
      <c r="AQ486" s="222"/>
    </row>
    <row r="487">
      <c r="A487" s="221"/>
      <c r="B487" s="221"/>
      <c r="AQ487" s="222"/>
    </row>
    <row r="488">
      <c r="A488" s="221"/>
      <c r="B488" s="221"/>
      <c r="AQ488" s="222"/>
    </row>
    <row r="489">
      <c r="A489" s="221"/>
      <c r="B489" s="221"/>
      <c r="AQ489" s="222"/>
    </row>
    <row r="490">
      <c r="A490" s="221"/>
      <c r="B490" s="221"/>
      <c r="AQ490" s="222"/>
    </row>
    <row r="491">
      <c r="A491" s="221"/>
      <c r="B491" s="221"/>
      <c r="AQ491" s="222"/>
    </row>
    <row r="492">
      <c r="A492" s="221"/>
      <c r="B492" s="221"/>
      <c r="AQ492" s="222"/>
    </row>
    <row r="493">
      <c r="A493" s="221"/>
      <c r="B493" s="221"/>
      <c r="AQ493" s="222"/>
    </row>
    <row r="494">
      <c r="A494" s="221"/>
      <c r="B494" s="221"/>
      <c r="AQ494" s="222"/>
    </row>
    <row r="495">
      <c r="A495" s="221"/>
      <c r="B495" s="221"/>
      <c r="AQ495" s="222"/>
    </row>
    <row r="496">
      <c r="A496" s="221"/>
      <c r="B496" s="221"/>
      <c r="AQ496" s="222"/>
    </row>
    <row r="497">
      <c r="A497" s="221"/>
      <c r="B497" s="221"/>
      <c r="AQ497" s="222"/>
    </row>
    <row r="498">
      <c r="A498" s="221"/>
      <c r="B498" s="221"/>
      <c r="AQ498" s="222"/>
    </row>
    <row r="499">
      <c r="A499" s="221"/>
      <c r="B499" s="221"/>
      <c r="AQ499" s="222"/>
    </row>
    <row r="500">
      <c r="A500" s="221"/>
      <c r="B500" s="221"/>
      <c r="AQ500" s="222"/>
    </row>
    <row r="501">
      <c r="A501" s="221"/>
      <c r="B501" s="221"/>
      <c r="AQ501" s="222"/>
    </row>
    <row r="502">
      <c r="A502" s="221"/>
      <c r="B502" s="221"/>
      <c r="AQ502" s="222"/>
    </row>
    <row r="503">
      <c r="A503" s="221"/>
      <c r="B503" s="221"/>
      <c r="AQ503" s="222"/>
    </row>
    <row r="504">
      <c r="A504" s="221"/>
      <c r="B504" s="221"/>
      <c r="AQ504" s="222"/>
    </row>
    <row r="505">
      <c r="A505" s="221"/>
      <c r="B505" s="221"/>
      <c r="AQ505" s="222"/>
    </row>
    <row r="506">
      <c r="A506" s="221"/>
      <c r="B506" s="221"/>
      <c r="AQ506" s="222"/>
    </row>
    <row r="507">
      <c r="A507" s="221"/>
      <c r="B507" s="221"/>
      <c r="AQ507" s="222"/>
    </row>
    <row r="508">
      <c r="A508" s="221"/>
      <c r="B508" s="221"/>
      <c r="AQ508" s="222"/>
    </row>
    <row r="509">
      <c r="A509" s="221"/>
      <c r="B509" s="221"/>
      <c r="AQ509" s="222"/>
    </row>
    <row r="510">
      <c r="A510" s="221"/>
      <c r="B510" s="221"/>
      <c r="AQ510" s="222"/>
    </row>
    <row r="511">
      <c r="A511" s="221"/>
      <c r="B511" s="221"/>
      <c r="AQ511" s="222"/>
    </row>
    <row r="512">
      <c r="A512" s="221"/>
      <c r="B512" s="221"/>
      <c r="AQ512" s="222"/>
    </row>
    <row r="513">
      <c r="A513" s="221"/>
      <c r="B513" s="221"/>
      <c r="AQ513" s="222"/>
    </row>
    <row r="514">
      <c r="A514" s="221"/>
      <c r="B514" s="221"/>
      <c r="AQ514" s="222"/>
    </row>
    <row r="515">
      <c r="A515" s="221"/>
      <c r="B515" s="221"/>
      <c r="AQ515" s="222"/>
    </row>
    <row r="516">
      <c r="A516" s="221"/>
      <c r="B516" s="221"/>
      <c r="AQ516" s="222"/>
    </row>
    <row r="517">
      <c r="A517" s="221"/>
      <c r="B517" s="221"/>
      <c r="AQ517" s="222"/>
    </row>
    <row r="518">
      <c r="A518" s="221"/>
      <c r="B518" s="221"/>
      <c r="AQ518" s="222"/>
    </row>
    <row r="519">
      <c r="A519" s="221"/>
      <c r="B519" s="221"/>
      <c r="AQ519" s="222"/>
    </row>
    <row r="520">
      <c r="A520" s="221"/>
      <c r="B520" s="221"/>
      <c r="AQ520" s="222"/>
    </row>
    <row r="521">
      <c r="A521" s="221"/>
      <c r="B521" s="221"/>
      <c r="AQ521" s="222"/>
    </row>
    <row r="522">
      <c r="A522" s="221"/>
      <c r="B522" s="221"/>
      <c r="AQ522" s="222"/>
    </row>
    <row r="523">
      <c r="A523" s="221"/>
      <c r="B523" s="221"/>
      <c r="AQ523" s="222"/>
    </row>
    <row r="524">
      <c r="A524" s="221"/>
      <c r="B524" s="221"/>
      <c r="AQ524" s="222"/>
    </row>
    <row r="525">
      <c r="A525" s="221"/>
      <c r="B525" s="221"/>
      <c r="AQ525" s="222"/>
    </row>
    <row r="526">
      <c r="A526" s="221"/>
      <c r="B526" s="221"/>
      <c r="AQ526" s="222"/>
    </row>
    <row r="527">
      <c r="A527" s="221"/>
      <c r="B527" s="221"/>
      <c r="AQ527" s="222"/>
    </row>
    <row r="528">
      <c r="A528" s="221"/>
      <c r="B528" s="221"/>
      <c r="AQ528" s="222"/>
    </row>
    <row r="529">
      <c r="A529" s="221"/>
      <c r="B529" s="221"/>
      <c r="AQ529" s="222"/>
    </row>
    <row r="530">
      <c r="A530" s="221"/>
      <c r="B530" s="221"/>
      <c r="AQ530" s="222"/>
    </row>
    <row r="531">
      <c r="A531" s="221"/>
      <c r="B531" s="221"/>
      <c r="AQ531" s="222"/>
    </row>
    <row r="532">
      <c r="A532" s="221"/>
      <c r="B532" s="221"/>
      <c r="AQ532" s="222"/>
    </row>
    <row r="533">
      <c r="A533" s="221"/>
      <c r="B533" s="221"/>
      <c r="AQ533" s="222"/>
    </row>
    <row r="534">
      <c r="A534" s="221"/>
      <c r="B534" s="221"/>
      <c r="AQ534" s="222"/>
    </row>
    <row r="535">
      <c r="A535" s="221"/>
      <c r="B535" s="221"/>
      <c r="AQ535" s="222"/>
    </row>
    <row r="536">
      <c r="A536" s="221"/>
      <c r="B536" s="221"/>
      <c r="AQ536" s="222"/>
    </row>
    <row r="537">
      <c r="A537" s="221"/>
      <c r="B537" s="221"/>
      <c r="AQ537" s="222"/>
    </row>
    <row r="538">
      <c r="A538" s="221"/>
      <c r="B538" s="221"/>
      <c r="AQ538" s="222"/>
    </row>
    <row r="539">
      <c r="A539" s="221"/>
      <c r="B539" s="221"/>
      <c r="AQ539" s="222"/>
    </row>
    <row r="540">
      <c r="A540" s="221"/>
      <c r="B540" s="221"/>
      <c r="AQ540" s="222"/>
    </row>
    <row r="541">
      <c r="A541" s="221"/>
      <c r="B541" s="221"/>
      <c r="AQ541" s="222"/>
    </row>
    <row r="542">
      <c r="A542" s="221"/>
      <c r="B542" s="221"/>
      <c r="AQ542" s="222"/>
    </row>
    <row r="543">
      <c r="A543" s="221"/>
      <c r="B543" s="221"/>
      <c r="AQ543" s="222"/>
    </row>
    <row r="544">
      <c r="A544" s="221"/>
      <c r="B544" s="221"/>
      <c r="AQ544" s="222"/>
    </row>
    <row r="545">
      <c r="A545" s="221"/>
      <c r="B545" s="221"/>
      <c r="AQ545" s="222"/>
    </row>
    <row r="546">
      <c r="A546" s="221"/>
      <c r="B546" s="221"/>
      <c r="AQ546" s="222"/>
    </row>
    <row r="547">
      <c r="A547" s="221"/>
      <c r="B547" s="221"/>
      <c r="AQ547" s="222"/>
    </row>
    <row r="548">
      <c r="A548" s="221"/>
      <c r="B548" s="221"/>
      <c r="AQ548" s="222"/>
    </row>
    <row r="549">
      <c r="A549" s="221"/>
      <c r="B549" s="221"/>
      <c r="AQ549" s="222"/>
    </row>
    <row r="550">
      <c r="A550" s="221"/>
      <c r="B550" s="221"/>
      <c r="AQ550" s="222"/>
    </row>
    <row r="551">
      <c r="A551" s="221"/>
      <c r="B551" s="221"/>
      <c r="AQ551" s="222"/>
    </row>
    <row r="552">
      <c r="A552" s="221"/>
      <c r="B552" s="221"/>
      <c r="AQ552" s="222"/>
    </row>
    <row r="553">
      <c r="A553" s="221"/>
      <c r="B553" s="221"/>
      <c r="AQ553" s="222"/>
    </row>
    <row r="554">
      <c r="A554" s="221"/>
      <c r="B554" s="221"/>
      <c r="AQ554" s="222"/>
    </row>
    <row r="555">
      <c r="A555" s="221"/>
      <c r="B555" s="221"/>
      <c r="AQ555" s="222"/>
    </row>
    <row r="556">
      <c r="A556" s="221"/>
      <c r="B556" s="221"/>
      <c r="AQ556" s="222"/>
    </row>
    <row r="557">
      <c r="A557" s="221"/>
      <c r="B557" s="221"/>
      <c r="AQ557" s="222"/>
    </row>
    <row r="558">
      <c r="A558" s="221"/>
      <c r="B558" s="221"/>
      <c r="AQ558" s="222"/>
    </row>
    <row r="559">
      <c r="A559" s="221"/>
      <c r="B559" s="221"/>
      <c r="AQ559" s="222"/>
    </row>
    <row r="560">
      <c r="A560" s="221"/>
      <c r="B560" s="221"/>
      <c r="AQ560" s="222"/>
    </row>
    <row r="561">
      <c r="A561" s="221"/>
      <c r="B561" s="221"/>
      <c r="AQ561" s="222"/>
    </row>
    <row r="562">
      <c r="A562" s="221"/>
      <c r="B562" s="221"/>
      <c r="AQ562" s="222"/>
    </row>
    <row r="563">
      <c r="A563" s="221"/>
      <c r="B563" s="221"/>
      <c r="AQ563" s="222"/>
    </row>
    <row r="564">
      <c r="A564" s="221"/>
      <c r="B564" s="221"/>
      <c r="AQ564" s="222"/>
    </row>
    <row r="565">
      <c r="A565" s="221"/>
      <c r="B565" s="221"/>
      <c r="AQ565" s="222"/>
    </row>
    <row r="566">
      <c r="A566" s="221"/>
      <c r="B566" s="221"/>
      <c r="AQ566" s="222"/>
    </row>
    <row r="567">
      <c r="A567" s="221"/>
      <c r="B567" s="221"/>
      <c r="AQ567" s="222"/>
    </row>
    <row r="568">
      <c r="A568" s="221"/>
      <c r="B568" s="221"/>
      <c r="AQ568" s="222"/>
    </row>
    <row r="569">
      <c r="A569" s="221"/>
      <c r="B569" s="221"/>
      <c r="AQ569" s="222"/>
    </row>
    <row r="570">
      <c r="A570" s="221"/>
      <c r="B570" s="221"/>
      <c r="AQ570" s="222"/>
    </row>
    <row r="571">
      <c r="A571" s="221"/>
      <c r="B571" s="221"/>
      <c r="AQ571" s="222"/>
    </row>
    <row r="572">
      <c r="A572" s="221"/>
      <c r="B572" s="221"/>
      <c r="AQ572" s="222"/>
    </row>
    <row r="573">
      <c r="A573" s="221"/>
      <c r="B573" s="221"/>
      <c r="AQ573" s="222"/>
    </row>
    <row r="574">
      <c r="A574" s="221"/>
      <c r="B574" s="221"/>
      <c r="AQ574" s="222"/>
    </row>
    <row r="575">
      <c r="A575" s="221"/>
      <c r="B575" s="221"/>
      <c r="AQ575" s="222"/>
    </row>
    <row r="576">
      <c r="A576" s="221"/>
      <c r="B576" s="221"/>
      <c r="AQ576" s="222"/>
    </row>
    <row r="577">
      <c r="A577" s="221"/>
      <c r="B577" s="221"/>
      <c r="AQ577" s="222"/>
    </row>
    <row r="578">
      <c r="A578" s="221"/>
      <c r="B578" s="221"/>
      <c r="AQ578" s="222"/>
    </row>
    <row r="579">
      <c r="A579" s="221"/>
      <c r="B579" s="221"/>
      <c r="AQ579" s="222"/>
    </row>
    <row r="580">
      <c r="A580" s="221"/>
      <c r="B580" s="221"/>
      <c r="AQ580" s="222"/>
    </row>
    <row r="581">
      <c r="A581" s="221"/>
      <c r="B581" s="221"/>
      <c r="AQ581" s="222"/>
    </row>
    <row r="582">
      <c r="A582" s="221"/>
      <c r="B582" s="221"/>
      <c r="AQ582" s="222"/>
    </row>
    <row r="583">
      <c r="A583" s="221"/>
      <c r="B583" s="221"/>
      <c r="AQ583" s="222"/>
    </row>
    <row r="584">
      <c r="A584" s="221"/>
      <c r="B584" s="221"/>
      <c r="AQ584" s="222"/>
    </row>
    <row r="585">
      <c r="A585" s="221"/>
      <c r="B585" s="221"/>
      <c r="AQ585" s="222"/>
    </row>
    <row r="586">
      <c r="A586" s="221"/>
      <c r="B586" s="221"/>
      <c r="AQ586" s="222"/>
    </row>
    <row r="587">
      <c r="A587" s="221"/>
      <c r="B587" s="221"/>
      <c r="AQ587" s="222"/>
    </row>
    <row r="588">
      <c r="A588" s="221"/>
      <c r="B588" s="221"/>
      <c r="AQ588" s="222"/>
    </row>
    <row r="589">
      <c r="A589" s="221"/>
      <c r="B589" s="221"/>
      <c r="AQ589" s="222"/>
    </row>
    <row r="590">
      <c r="A590" s="221"/>
      <c r="B590" s="221"/>
      <c r="AQ590" s="222"/>
    </row>
    <row r="591">
      <c r="A591" s="221"/>
      <c r="B591" s="221"/>
      <c r="AQ591" s="222"/>
    </row>
    <row r="592">
      <c r="A592" s="221"/>
      <c r="B592" s="221"/>
      <c r="AQ592" s="222"/>
    </row>
    <row r="593">
      <c r="A593" s="221"/>
      <c r="B593" s="221"/>
      <c r="AQ593" s="222"/>
    </row>
    <row r="594">
      <c r="A594" s="221"/>
      <c r="B594" s="221"/>
      <c r="AQ594" s="222"/>
    </row>
    <row r="595">
      <c r="A595" s="221"/>
      <c r="B595" s="221"/>
      <c r="AQ595" s="222"/>
    </row>
    <row r="596">
      <c r="A596" s="221"/>
      <c r="B596" s="221"/>
      <c r="AQ596" s="222"/>
    </row>
    <row r="597">
      <c r="A597" s="221"/>
      <c r="B597" s="221"/>
      <c r="AQ597" s="222"/>
    </row>
    <row r="598">
      <c r="A598" s="221"/>
      <c r="B598" s="221"/>
      <c r="AQ598" s="222"/>
    </row>
    <row r="599">
      <c r="A599" s="221"/>
      <c r="B599" s="221"/>
      <c r="AQ599" s="222"/>
    </row>
    <row r="600">
      <c r="A600" s="221"/>
      <c r="B600" s="221"/>
      <c r="AQ600" s="222"/>
    </row>
    <row r="601">
      <c r="A601" s="221"/>
      <c r="B601" s="221"/>
      <c r="AQ601" s="222"/>
    </row>
    <row r="602">
      <c r="A602" s="221"/>
      <c r="B602" s="221"/>
      <c r="AQ602" s="222"/>
    </row>
    <row r="603">
      <c r="A603" s="221"/>
      <c r="B603" s="221"/>
      <c r="AQ603" s="222"/>
    </row>
    <row r="604">
      <c r="A604" s="221"/>
      <c r="B604" s="221"/>
      <c r="AQ604" s="222"/>
    </row>
    <row r="605">
      <c r="A605" s="221"/>
      <c r="B605" s="221"/>
      <c r="AQ605" s="222"/>
    </row>
    <row r="606">
      <c r="A606" s="221"/>
      <c r="B606" s="221"/>
      <c r="AQ606" s="222"/>
    </row>
    <row r="607">
      <c r="A607" s="221"/>
      <c r="B607" s="221"/>
      <c r="AQ607" s="222"/>
    </row>
    <row r="608">
      <c r="A608" s="221"/>
      <c r="B608" s="221"/>
      <c r="AQ608" s="222"/>
    </row>
    <row r="609">
      <c r="A609" s="221"/>
      <c r="B609" s="221"/>
      <c r="AQ609" s="222"/>
    </row>
    <row r="610">
      <c r="A610" s="221"/>
      <c r="B610" s="221"/>
      <c r="AQ610" s="222"/>
    </row>
    <row r="611">
      <c r="A611" s="221"/>
      <c r="B611" s="221"/>
      <c r="AQ611" s="222"/>
    </row>
    <row r="612">
      <c r="A612" s="221"/>
      <c r="B612" s="221"/>
      <c r="AQ612" s="222"/>
    </row>
    <row r="613">
      <c r="A613" s="221"/>
      <c r="B613" s="221"/>
      <c r="AQ613" s="222"/>
    </row>
    <row r="614">
      <c r="A614" s="221"/>
      <c r="B614" s="221"/>
      <c r="AQ614" s="222"/>
    </row>
    <row r="615">
      <c r="A615" s="221"/>
      <c r="B615" s="221"/>
      <c r="AQ615" s="222"/>
    </row>
    <row r="616">
      <c r="A616" s="221"/>
      <c r="B616" s="221"/>
      <c r="AQ616" s="222"/>
    </row>
    <row r="617">
      <c r="A617" s="221"/>
      <c r="B617" s="221"/>
      <c r="AQ617" s="222"/>
    </row>
    <row r="618">
      <c r="A618" s="221"/>
      <c r="B618" s="221"/>
      <c r="AQ618" s="222"/>
    </row>
    <row r="619">
      <c r="A619" s="221"/>
      <c r="B619" s="221"/>
      <c r="AQ619" s="222"/>
    </row>
    <row r="620">
      <c r="A620" s="221"/>
      <c r="B620" s="221"/>
      <c r="AQ620" s="222"/>
    </row>
    <row r="621">
      <c r="A621" s="221"/>
      <c r="B621" s="221"/>
      <c r="AQ621" s="222"/>
    </row>
    <row r="622">
      <c r="A622" s="221"/>
      <c r="B622" s="221"/>
      <c r="AQ622" s="222"/>
    </row>
    <row r="623">
      <c r="A623" s="221"/>
      <c r="B623" s="221"/>
      <c r="AQ623" s="222"/>
    </row>
    <row r="624">
      <c r="A624" s="221"/>
      <c r="B624" s="221"/>
      <c r="AQ624" s="222"/>
    </row>
    <row r="625">
      <c r="A625" s="221"/>
      <c r="B625" s="221"/>
      <c r="AQ625" s="222"/>
    </row>
    <row r="626">
      <c r="A626" s="221"/>
      <c r="B626" s="221"/>
      <c r="AQ626" s="222"/>
    </row>
    <row r="627">
      <c r="A627" s="221"/>
      <c r="B627" s="221"/>
      <c r="AQ627" s="222"/>
    </row>
    <row r="628">
      <c r="A628" s="221"/>
      <c r="B628" s="221"/>
      <c r="AQ628" s="222"/>
    </row>
    <row r="629">
      <c r="A629" s="221"/>
      <c r="B629" s="221"/>
      <c r="AQ629" s="222"/>
    </row>
    <row r="630">
      <c r="A630" s="221"/>
      <c r="B630" s="221"/>
      <c r="AQ630" s="222"/>
    </row>
    <row r="631">
      <c r="A631" s="221"/>
      <c r="B631" s="221"/>
      <c r="AQ631" s="222"/>
    </row>
    <row r="632">
      <c r="A632" s="221"/>
      <c r="B632" s="221"/>
      <c r="AQ632" s="222"/>
    </row>
    <row r="633">
      <c r="A633" s="221"/>
      <c r="B633" s="221"/>
      <c r="AQ633" s="222"/>
    </row>
    <row r="634">
      <c r="A634" s="221"/>
      <c r="B634" s="221"/>
      <c r="AQ634" s="222"/>
    </row>
    <row r="635">
      <c r="A635" s="221"/>
      <c r="B635" s="221"/>
      <c r="AQ635" s="222"/>
    </row>
    <row r="636">
      <c r="A636" s="221"/>
      <c r="B636" s="221"/>
      <c r="AQ636" s="222"/>
    </row>
    <row r="637">
      <c r="A637" s="221"/>
      <c r="B637" s="221"/>
      <c r="AQ637" s="222"/>
    </row>
    <row r="638">
      <c r="A638" s="221"/>
      <c r="B638" s="221"/>
      <c r="AQ638" s="222"/>
    </row>
    <row r="639">
      <c r="A639" s="221"/>
      <c r="B639" s="221"/>
      <c r="AQ639" s="222"/>
    </row>
    <row r="640">
      <c r="A640" s="221"/>
      <c r="B640" s="221"/>
      <c r="AQ640" s="222"/>
    </row>
    <row r="641">
      <c r="A641" s="221"/>
      <c r="B641" s="221"/>
      <c r="AQ641" s="222"/>
    </row>
    <row r="642">
      <c r="A642" s="221"/>
      <c r="B642" s="221"/>
      <c r="AQ642" s="222"/>
    </row>
    <row r="643">
      <c r="A643" s="221"/>
      <c r="B643" s="221"/>
      <c r="AQ643" s="222"/>
    </row>
    <row r="644">
      <c r="A644" s="221"/>
      <c r="B644" s="221"/>
      <c r="AQ644" s="222"/>
    </row>
    <row r="645">
      <c r="A645" s="221"/>
      <c r="B645" s="221"/>
      <c r="AQ645" s="222"/>
    </row>
    <row r="646">
      <c r="A646" s="221"/>
      <c r="B646" s="221"/>
      <c r="AQ646" s="222"/>
    </row>
    <row r="647">
      <c r="A647" s="221"/>
      <c r="B647" s="221"/>
      <c r="AQ647" s="222"/>
    </row>
    <row r="648">
      <c r="A648" s="221"/>
      <c r="B648" s="221"/>
      <c r="AQ648" s="222"/>
    </row>
    <row r="649">
      <c r="A649" s="221"/>
      <c r="B649" s="221"/>
      <c r="AQ649" s="222"/>
    </row>
    <row r="650">
      <c r="A650" s="221"/>
      <c r="B650" s="221"/>
      <c r="AQ650" s="222"/>
    </row>
    <row r="651">
      <c r="A651" s="221"/>
      <c r="B651" s="221"/>
      <c r="AQ651" s="222"/>
    </row>
    <row r="652">
      <c r="A652" s="221"/>
      <c r="B652" s="221"/>
      <c r="AQ652" s="222"/>
    </row>
    <row r="653">
      <c r="A653" s="221"/>
      <c r="B653" s="221"/>
      <c r="AQ653" s="222"/>
    </row>
    <row r="654">
      <c r="A654" s="221"/>
      <c r="B654" s="221"/>
      <c r="AQ654" s="222"/>
    </row>
    <row r="655">
      <c r="A655" s="221"/>
      <c r="B655" s="221"/>
      <c r="AQ655" s="222"/>
    </row>
    <row r="656">
      <c r="A656" s="221"/>
      <c r="B656" s="221"/>
      <c r="AQ656" s="222"/>
    </row>
    <row r="657">
      <c r="A657" s="221"/>
      <c r="B657" s="221"/>
      <c r="AQ657" s="222"/>
    </row>
    <row r="658">
      <c r="A658" s="221"/>
      <c r="B658" s="221"/>
      <c r="AQ658" s="222"/>
    </row>
    <row r="659">
      <c r="A659" s="221"/>
      <c r="B659" s="221"/>
      <c r="AQ659" s="222"/>
    </row>
    <row r="660">
      <c r="A660" s="221"/>
      <c r="B660" s="221"/>
      <c r="AQ660" s="222"/>
    </row>
    <row r="661">
      <c r="A661" s="221"/>
      <c r="B661" s="221"/>
      <c r="AQ661" s="222"/>
    </row>
    <row r="662">
      <c r="A662" s="221"/>
      <c r="B662" s="221"/>
      <c r="AQ662" s="222"/>
    </row>
    <row r="663">
      <c r="A663" s="221"/>
      <c r="B663" s="221"/>
      <c r="AQ663" s="222"/>
    </row>
    <row r="664">
      <c r="A664" s="221"/>
      <c r="B664" s="221"/>
      <c r="AQ664" s="222"/>
    </row>
    <row r="665">
      <c r="A665" s="221"/>
      <c r="B665" s="221"/>
      <c r="AQ665" s="222"/>
    </row>
    <row r="666">
      <c r="A666" s="221"/>
      <c r="B666" s="221"/>
      <c r="AQ666" s="222"/>
    </row>
    <row r="667">
      <c r="A667" s="221"/>
      <c r="B667" s="221"/>
      <c r="AQ667" s="222"/>
    </row>
    <row r="668">
      <c r="A668" s="221"/>
      <c r="B668" s="221"/>
      <c r="AQ668" s="222"/>
    </row>
    <row r="669">
      <c r="A669" s="221"/>
      <c r="B669" s="221"/>
      <c r="AQ669" s="222"/>
    </row>
    <row r="670">
      <c r="A670" s="221"/>
      <c r="B670" s="221"/>
      <c r="AQ670" s="222"/>
    </row>
    <row r="671">
      <c r="A671" s="221"/>
      <c r="B671" s="221"/>
      <c r="AQ671" s="222"/>
    </row>
    <row r="672">
      <c r="A672" s="221"/>
      <c r="B672" s="221"/>
      <c r="AQ672" s="222"/>
    </row>
    <row r="673">
      <c r="A673" s="221"/>
      <c r="B673" s="221"/>
      <c r="AQ673" s="222"/>
    </row>
    <row r="674">
      <c r="A674" s="221"/>
      <c r="B674" s="221"/>
      <c r="AQ674" s="222"/>
    </row>
    <row r="675">
      <c r="A675" s="221"/>
      <c r="B675" s="221"/>
      <c r="AQ675" s="222"/>
    </row>
    <row r="676">
      <c r="A676" s="221"/>
      <c r="B676" s="221"/>
      <c r="AQ676" s="222"/>
    </row>
    <row r="677">
      <c r="A677" s="221"/>
      <c r="B677" s="221"/>
      <c r="AQ677" s="222"/>
    </row>
    <row r="678">
      <c r="A678" s="221"/>
      <c r="B678" s="221"/>
      <c r="AQ678" s="222"/>
    </row>
    <row r="679">
      <c r="A679" s="221"/>
      <c r="B679" s="221"/>
      <c r="AQ679" s="222"/>
    </row>
    <row r="680">
      <c r="A680" s="221"/>
      <c r="B680" s="221"/>
      <c r="AQ680" s="222"/>
    </row>
    <row r="681">
      <c r="A681" s="221"/>
      <c r="B681" s="221"/>
      <c r="AQ681" s="222"/>
    </row>
    <row r="682">
      <c r="A682" s="221"/>
      <c r="B682" s="221"/>
      <c r="AQ682" s="222"/>
    </row>
    <row r="683">
      <c r="A683" s="221"/>
      <c r="B683" s="221"/>
      <c r="AQ683" s="222"/>
    </row>
    <row r="684">
      <c r="A684" s="221"/>
      <c r="B684" s="221"/>
      <c r="AQ684" s="222"/>
    </row>
    <row r="685">
      <c r="A685" s="221"/>
      <c r="B685" s="221"/>
      <c r="AQ685" s="222"/>
    </row>
    <row r="686">
      <c r="A686" s="221"/>
      <c r="B686" s="221"/>
      <c r="AQ686" s="222"/>
    </row>
    <row r="687">
      <c r="A687" s="221"/>
      <c r="B687" s="221"/>
      <c r="AQ687" s="222"/>
    </row>
    <row r="688">
      <c r="A688" s="221"/>
      <c r="B688" s="221"/>
      <c r="AQ688" s="222"/>
    </row>
    <row r="689">
      <c r="A689" s="221"/>
      <c r="B689" s="221"/>
      <c r="AQ689" s="222"/>
    </row>
    <row r="690">
      <c r="A690" s="221"/>
      <c r="B690" s="221"/>
      <c r="AQ690" s="222"/>
    </row>
    <row r="691">
      <c r="A691" s="221"/>
      <c r="B691" s="221"/>
      <c r="AQ691" s="222"/>
    </row>
    <row r="692">
      <c r="A692" s="221"/>
      <c r="B692" s="221"/>
      <c r="AQ692" s="222"/>
    </row>
    <row r="693">
      <c r="A693" s="221"/>
      <c r="B693" s="221"/>
      <c r="AQ693" s="222"/>
    </row>
    <row r="694">
      <c r="A694" s="221"/>
      <c r="B694" s="221"/>
      <c r="AQ694" s="222"/>
    </row>
    <row r="695">
      <c r="A695" s="221"/>
      <c r="B695" s="221"/>
      <c r="AQ695" s="222"/>
    </row>
    <row r="696">
      <c r="A696" s="221"/>
      <c r="B696" s="221"/>
      <c r="AQ696" s="222"/>
    </row>
    <row r="697">
      <c r="A697" s="221"/>
      <c r="B697" s="221"/>
      <c r="AQ697" s="222"/>
    </row>
    <row r="698">
      <c r="A698" s="221"/>
      <c r="B698" s="221"/>
      <c r="AQ698" s="222"/>
    </row>
    <row r="699">
      <c r="A699" s="221"/>
      <c r="B699" s="221"/>
      <c r="AQ699" s="222"/>
    </row>
    <row r="700">
      <c r="A700" s="221"/>
      <c r="B700" s="221"/>
      <c r="AQ700" s="222"/>
    </row>
    <row r="701">
      <c r="A701" s="221"/>
      <c r="B701" s="221"/>
      <c r="AQ701" s="222"/>
    </row>
    <row r="702">
      <c r="A702" s="221"/>
      <c r="B702" s="221"/>
      <c r="AQ702" s="222"/>
    </row>
    <row r="703">
      <c r="A703" s="221"/>
      <c r="B703" s="221"/>
      <c r="AQ703" s="222"/>
    </row>
    <row r="704">
      <c r="A704" s="221"/>
      <c r="B704" s="221"/>
      <c r="AQ704" s="222"/>
    </row>
    <row r="705">
      <c r="A705" s="221"/>
      <c r="B705" s="221"/>
      <c r="AQ705" s="222"/>
    </row>
    <row r="706">
      <c r="A706" s="221"/>
      <c r="B706" s="221"/>
      <c r="AQ706" s="222"/>
    </row>
    <row r="707">
      <c r="A707" s="221"/>
      <c r="B707" s="221"/>
      <c r="AQ707" s="222"/>
    </row>
    <row r="708">
      <c r="A708" s="221"/>
      <c r="B708" s="221"/>
      <c r="AQ708" s="222"/>
    </row>
    <row r="709">
      <c r="A709" s="221"/>
      <c r="B709" s="221"/>
      <c r="AQ709" s="222"/>
    </row>
    <row r="710">
      <c r="A710" s="221"/>
      <c r="B710" s="221"/>
      <c r="AQ710" s="222"/>
    </row>
    <row r="711">
      <c r="A711" s="221"/>
      <c r="B711" s="221"/>
      <c r="AQ711" s="222"/>
    </row>
    <row r="712">
      <c r="A712" s="221"/>
      <c r="B712" s="221"/>
      <c r="AQ712" s="222"/>
    </row>
    <row r="713">
      <c r="A713" s="221"/>
      <c r="B713" s="221"/>
      <c r="AQ713" s="222"/>
    </row>
    <row r="714">
      <c r="A714" s="221"/>
      <c r="B714" s="221"/>
      <c r="AQ714" s="222"/>
    </row>
    <row r="715">
      <c r="A715" s="221"/>
      <c r="B715" s="221"/>
      <c r="AQ715" s="222"/>
    </row>
    <row r="716">
      <c r="A716" s="221"/>
      <c r="B716" s="221"/>
      <c r="AQ716" s="222"/>
    </row>
    <row r="717">
      <c r="A717" s="221"/>
      <c r="B717" s="221"/>
      <c r="AQ717" s="222"/>
    </row>
    <row r="718">
      <c r="A718" s="221"/>
      <c r="B718" s="221"/>
      <c r="AQ718" s="222"/>
    </row>
    <row r="719">
      <c r="A719" s="221"/>
      <c r="B719" s="221"/>
      <c r="AQ719" s="222"/>
    </row>
    <row r="720">
      <c r="A720" s="221"/>
      <c r="B720" s="221"/>
      <c r="AQ720" s="222"/>
    </row>
    <row r="721">
      <c r="A721" s="221"/>
      <c r="B721" s="221"/>
      <c r="AQ721" s="222"/>
    </row>
    <row r="722">
      <c r="A722" s="221"/>
      <c r="B722" s="221"/>
      <c r="AQ722" s="222"/>
    </row>
    <row r="723">
      <c r="A723" s="221"/>
      <c r="B723" s="221"/>
      <c r="AQ723" s="222"/>
    </row>
    <row r="724">
      <c r="A724" s="221"/>
      <c r="B724" s="221"/>
      <c r="AQ724" s="222"/>
    </row>
    <row r="725">
      <c r="A725" s="221"/>
      <c r="B725" s="221"/>
      <c r="AQ725" s="222"/>
    </row>
    <row r="726">
      <c r="A726" s="221"/>
      <c r="B726" s="221"/>
      <c r="AQ726" s="222"/>
    </row>
    <row r="727">
      <c r="A727" s="221"/>
      <c r="B727" s="221"/>
      <c r="AQ727" s="222"/>
    </row>
    <row r="728">
      <c r="A728" s="221"/>
      <c r="B728" s="221"/>
      <c r="AQ728" s="222"/>
    </row>
    <row r="729">
      <c r="A729" s="221"/>
      <c r="B729" s="221"/>
      <c r="AQ729" s="222"/>
    </row>
    <row r="730">
      <c r="A730" s="221"/>
      <c r="B730" s="221"/>
      <c r="AQ730" s="222"/>
    </row>
    <row r="731">
      <c r="A731" s="221"/>
      <c r="B731" s="221"/>
      <c r="AQ731" s="222"/>
    </row>
    <row r="732">
      <c r="A732" s="221"/>
      <c r="B732" s="221"/>
      <c r="AQ732" s="222"/>
    </row>
    <row r="733">
      <c r="A733" s="221"/>
      <c r="B733" s="221"/>
      <c r="AQ733" s="222"/>
    </row>
    <row r="734">
      <c r="A734" s="221"/>
      <c r="B734" s="221"/>
      <c r="AQ734" s="222"/>
    </row>
    <row r="735">
      <c r="A735" s="221"/>
      <c r="B735" s="221"/>
      <c r="AQ735" s="222"/>
    </row>
    <row r="736">
      <c r="A736" s="221"/>
      <c r="B736" s="221"/>
      <c r="AQ736" s="222"/>
    </row>
    <row r="737">
      <c r="A737" s="221"/>
      <c r="B737" s="221"/>
      <c r="AQ737" s="222"/>
    </row>
    <row r="738">
      <c r="A738" s="221"/>
      <c r="B738" s="221"/>
      <c r="AQ738" s="222"/>
    </row>
    <row r="739">
      <c r="A739" s="221"/>
      <c r="B739" s="221"/>
      <c r="AQ739" s="222"/>
    </row>
    <row r="740">
      <c r="A740" s="221"/>
      <c r="B740" s="221"/>
      <c r="AQ740" s="222"/>
    </row>
    <row r="741">
      <c r="A741" s="221"/>
      <c r="B741" s="221"/>
      <c r="AQ741" s="222"/>
    </row>
    <row r="742">
      <c r="A742" s="221"/>
      <c r="B742" s="221"/>
      <c r="AQ742" s="222"/>
    </row>
    <row r="743">
      <c r="A743" s="221"/>
      <c r="B743" s="221"/>
      <c r="AQ743" s="222"/>
    </row>
    <row r="744">
      <c r="A744" s="221"/>
      <c r="B744" s="221"/>
      <c r="AQ744" s="222"/>
    </row>
    <row r="745">
      <c r="A745" s="221"/>
      <c r="B745" s="221"/>
      <c r="AQ745" s="222"/>
    </row>
    <row r="746">
      <c r="A746" s="221"/>
      <c r="B746" s="221"/>
      <c r="AQ746" s="222"/>
    </row>
    <row r="747">
      <c r="A747" s="221"/>
      <c r="B747" s="221"/>
      <c r="AQ747" s="222"/>
    </row>
    <row r="748">
      <c r="A748" s="221"/>
      <c r="B748" s="221"/>
      <c r="AQ748" s="222"/>
    </row>
    <row r="749">
      <c r="A749" s="221"/>
      <c r="B749" s="221"/>
      <c r="AQ749" s="222"/>
    </row>
    <row r="750">
      <c r="A750" s="221"/>
      <c r="B750" s="221"/>
      <c r="AQ750" s="222"/>
    </row>
    <row r="751">
      <c r="A751" s="221"/>
      <c r="B751" s="221"/>
      <c r="AQ751" s="222"/>
    </row>
    <row r="752">
      <c r="A752" s="221"/>
      <c r="B752" s="221"/>
      <c r="AQ752" s="222"/>
    </row>
    <row r="753">
      <c r="A753" s="221"/>
      <c r="B753" s="221"/>
      <c r="AQ753" s="222"/>
    </row>
    <row r="754">
      <c r="A754" s="221"/>
      <c r="B754" s="221"/>
      <c r="AQ754" s="222"/>
    </row>
    <row r="755">
      <c r="A755" s="221"/>
      <c r="B755" s="221"/>
      <c r="AQ755" s="222"/>
    </row>
    <row r="756">
      <c r="A756" s="221"/>
      <c r="B756" s="221"/>
      <c r="AQ756" s="222"/>
    </row>
    <row r="757">
      <c r="A757" s="221"/>
      <c r="B757" s="221"/>
      <c r="AQ757" s="222"/>
    </row>
    <row r="758">
      <c r="A758" s="221"/>
      <c r="B758" s="221"/>
      <c r="AQ758" s="222"/>
    </row>
    <row r="759">
      <c r="A759" s="221"/>
      <c r="B759" s="221"/>
      <c r="AQ759" s="222"/>
    </row>
    <row r="760">
      <c r="A760" s="221"/>
      <c r="B760" s="221"/>
      <c r="AQ760" s="222"/>
    </row>
    <row r="761">
      <c r="A761" s="221"/>
      <c r="B761" s="221"/>
      <c r="AQ761" s="222"/>
    </row>
    <row r="762">
      <c r="A762" s="221"/>
      <c r="B762" s="221"/>
      <c r="AQ762" s="222"/>
    </row>
    <row r="763">
      <c r="A763" s="221"/>
      <c r="B763" s="221"/>
      <c r="AQ763" s="222"/>
    </row>
    <row r="764">
      <c r="A764" s="221"/>
      <c r="B764" s="221"/>
      <c r="AQ764" s="222"/>
    </row>
    <row r="765">
      <c r="A765" s="221"/>
      <c r="B765" s="221"/>
      <c r="AQ765" s="222"/>
    </row>
    <row r="766">
      <c r="A766" s="221"/>
      <c r="B766" s="221"/>
      <c r="AQ766" s="222"/>
    </row>
    <row r="767">
      <c r="A767" s="221"/>
      <c r="B767" s="221"/>
      <c r="AQ767" s="222"/>
    </row>
    <row r="768">
      <c r="A768" s="221"/>
      <c r="B768" s="221"/>
      <c r="AQ768" s="222"/>
    </row>
    <row r="769">
      <c r="A769" s="221"/>
      <c r="B769" s="221"/>
      <c r="AQ769" s="222"/>
    </row>
    <row r="770">
      <c r="A770" s="221"/>
      <c r="B770" s="221"/>
      <c r="AQ770" s="222"/>
    </row>
    <row r="771">
      <c r="A771" s="221"/>
      <c r="B771" s="221"/>
      <c r="AQ771" s="222"/>
    </row>
    <row r="772">
      <c r="A772" s="221"/>
      <c r="B772" s="221"/>
      <c r="AQ772" s="222"/>
    </row>
    <row r="773">
      <c r="A773" s="221"/>
      <c r="B773" s="221"/>
      <c r="AQ773" s="222"/>
    </row>
    <row r="774">
      <c r="A774" s="221"/>
      <c r="B774" s="221"/>
      <c r="AQ774" s="222"/>
    </row>
    <row r="775">
      <c r="A775" s="221"/>
      <c r="B775" s="221"/>
      <c r="AQ775" s="222"/>
    </row>
    <row r="776">
      <c r="A776" s="221"/>
      <c r="B776" s="221"/>
      <c r="AQ776" s="222"/>
    </row>
    <row r="777">
      <c r="A777" s="221"/>
      <c r="B777" s="221"/>
      <c r="AQ777" s="222"/>
    </row>
    <row r="778">
      <c r="A778" s="221"/>
      <c r="B778" s="221"/>
      <c r="AQ778" s="222"/>
    </row>
    <row r="779">
      <c r="A779" s="221"/>
      <c r="B779" s="221"/>
      <c r="AQ779" s="222"/>
    </row>
    <row r="780">
      <c r="A780" s="221"/>
      <c r="B780" s="221"/>
      <c r="AQ780" s="222"/>
    </row>
    <row r="781">
      <c r="A781" s="221"/>
      <c r="B781" s="221"/>
      <c r="AQ781" s="222"/>
    </row>
    <row r="782">
      <c r="A782" s="221"/>
      <c r="B782" s="221"/>
      <c r="AQ782" s="222"/>
    </row>
    <row r="783">
      <c r="A783" s="221"/>
      <c r="B783" s="221"/>
      <c r="AQ783" s="222"/>
    </row>
    <row r="784">
      <c r="A784" s="221"/>
      <c r="B784" s="221"/>
      <c r="AQ784" s="222"/>
    </row>
    <row r="785">
      <c r="A785" s="221"/>
      <c r="B785" s="221"/>
      <c r="AQ785" s="222"/>
    </row>
    <row r="786">
      <c r="A786" s="221"/>
      <c r="B786" s="221"/>
      <c r="AQ786" s="222"/>
    </row>
    <row r="787">
      <c r="A787" s="221"/>
      <c r="B787" s="221"/>
      <c r="AQ787" s="222"/>
    </row>
    <row r="788">
      <c r="A788" s="221"/>
      <c r="B788" s="221"/>
      <c r="AQ788" s="222"/>
    </row>
    <row r="789">
      <c r="A789" s="221"/>
      <c r="B789" s="221"/>
      <c r="AQ789" s="222"/>
    </row>
    <row r="790">
      <c r="A790" s="221"/>
      <c r="B790" s="221"/>
      <c r="AQ790" s="222"/>
    </row>
    <row r="791">
      <c r="A791" s="221"/>
      <c r="B791" s="221"/>
      <c r="AQ791" s="222"/>
    </row>
    <row r="792">
      <c r="A792" s="221"/>
      <c r="B792" s="221"/>
      <c r="AQ792" s="222"/>
    </row>
    <row r="793">
      <c r="A793" s="221"/>
      <c r="B793" s="221"/>
      <c r="AQ793" s="222"/>
    </row>
    <row r="794">
      <c r="A794" s="221"/>
      <c r="B794" s="221"/>
      <c r="AQ794" s="222"/>
    </row>
    <row r="795">
      <c r="A795" s="221"/>
      <c r="B795" s="221"/>
      <c r="AQ795" s="222"/>
    </row>
    <row r="796">
      <c r="A796" s="221"/>
      <c r="B796" s="221"/>
      <c r="AQ796" s="222"/>
    </row>
    <row r="797">
      <c r="A797" s="221"/>
      <c r="B797" s="221"/>
      <c r="AQ797" s="222"/>
    </row>
    <row r="798">
      <c r="A798" s="221"/>
      <c r="B798" s="221"/>
      <c r="AQ798" s="222"/>
    </row>
    <row r="799">
      <c r="A799" s="221"/>
      <c r="B799" s="221"/>
      <c r="AQ799" s="222"/>
    </row>
    <row r="800">
      <c r="A800" s="221"/>
      <c r="B800" s="221"/>
      <c r="AQ800" s="222"/>
    </row>
    <row r="801">
      <c r="A801" s="221"/>
      <c r="B801" s="221"/>
      <c r="AQ801" s="222"/>
    </row>
    <row r="802">
      <c r="A802" s="221"/>
      <c r="B802" s="221"/>
      <c r="AQ802" s="222"/>
    </row>
    <row r="803">
      <c r="A803" s="221"/>
      <c r="B803" s="221"/>
      <c r="AQ803" s="222"/>
    </row>
    <row r="804">
      <c r="A804" s="221"/>
      <c r="B804" s="221"/>
      <c r="AQ804" s="222"/>
    </row>
    <row r="805">
      <c r="A805" s="221"/>
      <c r="B805" s="221"/>
      <c r="AQ805" s="222"/>
    </row>
    <row r="806">
      <c r="A806" s="221"/>
      <c r="B806" s="221"/>
      <c r="AQ806" s="222"/>
    </row>
    <row r="807">
      <c r="A807" s="221"/>
      <c r="B807" s="221"/>
      <c r="AQ807" s="222"/>
    </row>
    <row r="808">
      <c r="A808" s="221"/>
      <c r="B808" s="221"/>
      <c r="AQ808" s="222"/>
    </row>
    <row r="809">
      <c r="A809" s="221"/>
      <c r="B809" s="221"/>
      <c r="AQ809" s="222"/>
    </row>
    <row r="810">
      <c r="A810" s="221"/>
      <c r="B810" s="221"/>
      <c r="AQ810" s="222"/>
    </row>
    <row r="811">
      <c r="A811" s="221"/>
      <c r="B811" s="221"/>
      <c r="AQ811" s="222"/>
    </row>
    <row r="812">
      <c r="A812" s="221"/>
      <c r="B812" s="221"/>
      <c r="AQ812" s="222"/>
    </row>
    <row r="813">
      <c r="A813" s="221"/>
      <c r="B813" s="221"/>
      <c r="AQ813" s="222"/>
    </row>
    <row r="814">
      <c r="A814" s="221"/>
      <c r="B814" s="221"/>
      <c r="AQ814" s="222"/>
    </row>
    <row r="815">
      <c r="A815" s="221"/>
      <c r="B815" s="221"/>
      <c r="AQ815" s="222"/>
    </row>
    <row r="816">
      <c r="A816" s="221"/>
      <c r="B816" s="221"/>
      <c r="AQ816" s="222"/>
    </row>
    <row r="817">
      <c r="A817" s="221"/>
      <c r="B817" s="221"/>
      <c r="AQ817" s="222"/>
    </row>
    <row r="818">
      <c r="A818" s="221"/>
      <c r="B818" s="221"/>
      <c r="AQ818" s="222"/>
    </row>
    <row r="819">
      <c r="A819" s="221"/>
      <c r="B819" s="221"/>
      <c r="AQ819" s="222"/>
    </row>
    <row r="820">
      <c r="A820" s="221"/>
      <c r="B820" s="221"/>
      <c r="AQ820" s="222"/>
    </row>
    <row r="821">
      <c r="A821" s="221"/>
      <c r="B821" s="221"/>
      <c r="AQ821" s="222"/>
    </row>
    <row r="822">
      <c r="A822" s="221"/>
      <c r="B822" s="221"/>
      <c r="AQ822" s="222"/>
    </row>
    <row r="823">
      <c r="A823" s="221"/>
      <c r="B823" s="221"/>
      <c r="AQ823" s="222"/>
    </row>
    <row r="824">
      <c r="A824" s="221"/>
      <c r="B824" s="221"/>
      <c r="AQ824" s="222"/>
    </row>
    <row r="825">
      <c r="A825" s="221"/>
      <c r="B825" s="221"/>
      <c r="AQ825" s="222"/>
    </row>
    <row r="826">
      <c r="A826" s="221"/>
      <c r="B826" s="221"/>
      <c r="AQ826" s="222"/>
    </row>
    <row r="827">
      <c r="A827" s="221"/>
      <c r="B827" s="221"/>
      <c r="AQ827" s="222"/>
    </row>
    <row r="828">
      <c r="A828" s="221"/>
      <c r="B828" s="221"/>
      <c r="AQ828" s="222"/>
    </row>
    <row r="829">
      <c r="A829" s="221"/>
      <c r="B829" s="221"/>
      <c r="AQ829" s="222"/>
    </row>
    <row r="830">
      <c r="A830" s="221"/>
      <c r="B830" s="221"/>
      <c r="AQ830" s="222"/>
    </row>
    <row r="831">
      <c r="A831" s="221"/>
      <c r="B831" s="221"/>
      <c r="AQ831" s="222"/>
    </row>
    <row r="832">
      <c r="A832" s="221"/>
      <c r="B832" s="221"/>
      <c r="AQ832" s="222"/>
    </row>
    <row r="833">
      <c r="A833" s="221"/>
      <c r="B833" s="221"/>
      <c r="AQ833" s="222"/>
    </row>
    <row r="834">
      <c r="A834" s="221"/>
      <c r="B834" s="221"/>
      <c r="AQ834" s="222"/>
    </row>
    <row r="835">
      <c r="A835" s="221"/>
      <c r="B835" s="221"/>
      <c r="AQ835" s="222"/>
    </row>
    <row r="836">
      <c r="A836" s="221"/>
      <c r="B836" s="221"/>
      <c r="AQ836" s="222"/>
    </row>
    <row r="837">
      <c r="A837" s="221"/>
      <c r="B837" s="221"/>
      <c r="AQ837" s="222"/>
    </row>
    <row r="838">
      <c r="A838" s="221"/>
      <c r="B838" s="221"/>
      <c r="AQ838" s="222"/>
    </row>
    <row r="839">
      <c r="A839" s="221"/>
      <c r="B839" s="221"/>
      <c r="AQ839" s="222"/>
    </row>
    <row r="840">
      <c r="A840" s="221"/>
      <c r="B840" s="221"/>
      <c r="AQ840" s="222"/>
    </row>
    <row r="841">
      <c r="A841" s="221"/>
      <c r="B841" s="221"/>
      <c r="AQ841" s="222"/>
    </row>
    <row r="842">
      <c r="A842" s="221"/>
      <c r="B842" s="221"/>
      <c r="AQ842" s="222"/>
    </row>
    <row r="843">
      <c r="A843" s="221"/>
      <c r="B843" s="221"/>
      <c r="AQ843" s="222"/>
    </row>
    <row r="844">
      <c r="A844" s="221"/>
      <c r="B844" s="221"/>
      <c r="AQ844" s="222"/>
    </row>
    <row r="845">
      <c r="A845" s="221"/>
      <c r="B845" s="221"/>
      <c r="AQ845" s="222"/>
    </row>
    <row r="846">
      <c r="A846" s="221"/>
      <c r="B846" s="221"/>
      <c r="AQ846" s="222"/>
    </row>
    <row r="847">
      <c r="A847" s="221"/>
      <c r="B847" s="221"/>
      <c r="AQ847" s="222"/>
    </row>
    <row r="848">
      <c r="A848" s="221"/>
      <c r="B848" s="221"/>
      <c r="AQ848" s="222"/>
    </row>
    <row r="849">
      <c r="A849" s="221"/>
      <c r="B849" s="221"/>
      <c r="AQ849" s="222"/>
    </row>
    <row r="850">
      <c r="A850" s="221"/>
      <c r="B850" s="221"/>
      <c r="AQ850" s="222"/>
    </row>
    <row r="851">
      <c r="A851" s="221"/>
      <c r="B851" s="221"/>
      <c r="AQ851" s="222"/>
    </row>
    <row r="852">
      <c r="A852" s="221"/>
      <c r="B852" s="221"/>
      <c r="AQ852" s="222"/>
    </row>
    <row r="853">
      <c r="A853" s="221"/>
      <c r="B853" s="221"/>
      <c r="AQ853" s="222"/>
    </row>
    <row r="854">
      <c r="A854" s="221"/>
      <c r="B854" s="221"/>
      <c r="AQ854" s="222"/>
    </row>
    <row r="855">
      <c r="A855" s="221"/>
      <c r="B855" s="221"/>
      <c r="AQ855" s="222"/>
    </row>
    <row r="856">
      <c r="A856" s="221"/>
      <c r="B856" s="221"/>
      <c r="AQ856" s="222"/>
    </row>
    <row r="857">
      <c r="A857" s="221"/>
      <c r="B857" s="221"/>
      <c r="AQ857" s="222"/>
    </row>
    <row r="858">
      <c r="A858" s="221"/>
      <c r="B858" s="221"/>
      <c r="AQ858" s="222"/>
    </row>
    <row r="859">
      <c r="A859" s="221"/>
      <c r="B859" s="221"/>
      <c r="AQ859" s="222"/>
    </row>
    <row r="860">
      <c r="A860" s="221"/>
      <c r="B860" s="221"/>
      <c r="AQ860" s="222"/>
    </row>
    <row r="861">
      <c r="A861" s="221"/>
      <c r="B861" s="221"/>
      <c r="AQ861" s="222"/>
    </row>
    <row r="862">
      <c r="A862" s="221"/>
      <c r="B862" s="221"/>
      <c r="AQ862" s="222"/>
    </row>
    <row r="863">
      <c r="A863" s="221"/>
      <c r="B863" s="221"/>
      <c r="AQ863" s="222"/>
    </row>
    <row r="864">
      <c r="A864" s="221"/>
      <c r="B864" s="221"/>
      <c r="AQ864" s="222"/>
    </row>
    <row r="865">
      <c r="A865" s="221"/>
      <c r="B865" s="221"/>
      <c r="AQ865" s="222"/>
    </row>
    <row r="866">
      <c r="A866" s="221"/>
      <c r="B866" s="221"/>
      <c r="AQ866" s="222"/>
    </row>
    <row r="867">
      <c r="A867" s="221"/>
      <c r="B867" s="221"/>
      <c r="AQ867" s="222"/>
    </row>
    <row r="868">
      <c r="A868" s="221"/>
      <c r="B868" s="221"/>
      <c r="AQ868" s="222"/>
    </row>
    <row r="869">
      <c r="A869" s="221"/>
      <c r="B869" s="221"/>
      <c r="AQ869" s="222"/>
    </row>
    <row r="870">
      <c r="A870" s="221"/>
      <c r="B870" s="221"/>
      <c r="AQ870" s="222"/>
    </row>
    <row r="871">
      <c r="A871" s="221"/>
      <c r="B871" s="221"/>
      <c r="AQ871" s="222"/>
    </row>
    <row r="872">
      <c r="A872" s="221"/>
      <c r="B872" s="221"/>
      <c r="AQ872" s="222"/>
    </row>
    <row r="873">
      <c r="A873" s="221"/>
      <c r="B873" s="221"/>
      <c r="AQ873" s="222"/>
    </row>
    <row r="874">
      <c r="A874" s="221"/>
      <c r="B874" s="221"/>
      <c r="AQ874" s="222"/>
    </row>
    <row r="875">
      <c r="A875" s="221"/>
      <c r="B875" s="221"/>
      <c r="AQ875" s="222"/>
    </row>
    <row r="876">
      <c r="A876" s="221"/>
      <c r="B876" s="221"/>
      <c r="AQ876" s="222"/>
    </row>
    <row r="877">
      <c r="A877" s="221"/>
      <c r="B877" s="221"/>
      <c r="AQ877" s="222"/>
    </row>
    <row r="878">
      <c r="A878" s="221"/>
      <c r="B878" s="221"/>
      <c r="AQ878" s="222"/>
    </row>
    <row r="879">
      <c r="A879" s="221"/>
      <c r="B879" s="221"/>
      <c r="AQ879" s="222"/>
    </row>
    <row r="880">
      <c r="A880" s="221"/>
      <c r="B880" s="221"/>
      <c r="AQ880" s="222"/>
    </row>
    <row r="881">
      <c r="A881" s="221"/>
      <c r="B881" s="221"/>
      <c r="AQ881" s="222"/>
    </row>
    <row r="882">
      <c r="A882" s="221"/>
      <c r="B882" s="221"/>
      <c r="AQ882" s="222"/>
    </row>
    <row r="883">
      <c r="A883" s="221"/>
      <c r="B883" s="221"/>
      <c r="AQ883" s="222"/>
    </row>
    <row r="884">
      <c r="A884" s="221"/>
      <c r="B884" s="221"/>
      <c r="AQ884" s="222"/>
    </row>
    <row r="885">
      <c r="A885" s="221"/>
      <c r="B885" s="221"/>
      <c r="AQ885" s="222"/>
    </row>
    <row r="886">
      <c r="A886" s="221"/>
      <c r="B886" s="221"/>
      <c r="AQ886" s="222"/>
    </row>
    <row r="887">
      <c r="A887" s="221"/>
      <c r="B887" s="221"/>
      <c r="AQ887" s="222"/>
    </row>
    <row r="888">
      <c r="A888" s="221"/>
      <c r="B888" s="221"/>
      <c r="AQ888" s="222"/>
    </row>
    <row r="889">
      <c r="A889" s="221"/>
      <c r="B889" s="221"/>
      <c r="AQ889" s="222"/>
    </row>
    <row r="890">
      <c r="A890" s="221"/>
      <c r="B890" s="221"/>
      <c r="AQ890" s="222"/>
    </row>
    <row r="891">
      <c r="A891" s="221"/>
      <c r="B891" s="221"/>
      <c r="AQ891" s="222"/>
    </row>
    <row r="892">
      <c r="A892" s="221"/>
      <c r="B892" s="221"/>
      <c r="AQ892" s="222"/>
    </row>
    <row r="893">
      <c r="A893" s="221"/>
      <c r="B893" s="221"/>
      <c r="AQ893" s="222"/>
    </row>
    <row r="894">
      <c r="A894" s="221"/>
      <c r="B894" s="221"/>
      <c r="AQ894" s="222"/>
    </row>
    <row r="895">
      <c r="A895" s="221"/>
      <c r="B895" s="221"/>
      <c r="AQ895" s="222"/>
    </row>
    <row r="896">
      <c r="A896" s="221"/>
      <c r="B896" s="221"/>
      <c r="AQ896" s="222"/>
    </row>
    <row r="897">
      <c r="A897" s="221"/>
      <c r="B897" s="221"/>
      <c r="AQ897" s="222"/>
    </row>
    <row r="898">
      <c r="A898" s="221"/>
      <c r="B898" s="221"/>
      <c r="AQ898" s="222"/>
    </row>
    <row r="899">
      <c r="A899" s="221"/>
      <c r="B899" s="221"/>
      <c r="AQ899" s="222"/>
    </row>
    <row r="900">
      <c r="A900" s="221"/>
      <c r="B900" s="221"/>
      <c r="AQ900" s="222"/>
    </row>
    <row r="901">
      <c r="A901" s="221"/>
      <c r="B901" s="221"/>
      <c r="AQ901" s="222"/>
    </row>
    <row r="902">
      <c r="A902" s="221"/>
      <c r="B902" s="221"/>
      <c r="AQ902" s="222"/>
    </row>
    <row r="903">
      <c r="A903" s="221"/>
      <c r="B903" s="221"/>
      <c r="AQ903" s="222"/>
    </row>
    <row r="904">
      <c r="A904" s="221"/>
      <c r="B904" s="221"/>
      <c r="AQ904" s="222"/>
    </row>
    <row r="905">
      <c r="A905" s="221"/>
      <c r="B905" s="221"/>
      <c r="AQ905" s="222"/>
    </row>
    <row r="906">
      <c r="A906" s="221"/>
      <c r="B906" s="221"/>
      <c r="AQ906" s="222"/>
    </row>
    <row r="907">
      <c r="A907" s="221"/>
      <c r="B907" s="221"/>
      <c r="AQ907" s="222"/>
    </row>
    <row r="908">
      <c r="A908" s="221"/>
      <c r="B908" s="221"/>
      <c r="AQ908" s="222"/>
    </row>
    <row r="909">
      <c r="A909" s="221"/>
      <c r="B909" s="221"/>
      <c r="AQ909" s="222"/>
    </row>
    <row r="910">
      <c r="A910" s="221"/>
      <c r="B910" s="221"/>
      <c r="AQ910" s="222"/>
    </row>
    <row r="911">
      <c r="A911" s="221"/>
      <c r="B911" s="221"/>
      <c r="AQ911" s="222"/>
    </row>
    <row r="912">
      <c r="A912" s="221"/>
      <c r="B912" s="221"/>
      <c r="AQ912" s="222"/>
    </row>
    <row r="913">
      <c r="A913" s="221"/>
      <c r="B913" s="221"/>
      <c r="AQ913" s="222"/>
    </row>
    <row r="914">
      <c r="A914" s="221"/>
      <c r="B914" s="221"/>
      <c r="AQ914" s="222"/>
    </row>
    <row r="915">
      <c r="A915" s="221"/>
      <c r="B915" s="221"/>
      <c r="AQ915" s="222"/>
    </row>
    <row r="916">
      <c r="A916" s="221"/>
      <c r="B916" s="221"/>
      <c r="AQ916" s="222"/>
    </row>
    <row r="917">
      <c r="A917" s="221"/>
      <c r="B917" s="221"/>
      <c r="AQ917" s="222"/>
    </row>
    <row r="918">
      <c r="A918" s="221"/>
      <c r="B918" s="221"/>
      <c r="AQ918" s="222"/>
    </row>
    <row r="919">
      <c r="A919" s="221"/>
      <c r="B919" s="221"/>
      <c r="AQ919" s="222"/>
    </row>
    <row r="920">
      <c r="A920" s="221"/>
      <c r="B920" s="221"/>
      <c r="AQ920" s="222"/>
    </row>
    <row r="921">
      <c r="A921" s="221"/>
      <c r="B921" s="221"/>
      <c r="AQ921" s="222"/>
    </row>
    <row r="922">
      <c r="A922" s="221"/>
      <c r="B922" s="221"/>
      <c r="AQ922" s="222"/>
    </row>
    <row r="923">
      <c r="A923" s="221"/>
      <c r="B923" s="221"/>
      <c r="AQ923" s="222"/>
    </row>
    <row r="924">
      <c r="A924" s="221"/>
      <c r="B924" s="221"/>
      <c r="AQ924" s="222"/>
    </row>
    <row r="925">
      <c r="A925" s="221"/>
      <c r="B925" s="221"/>
      <c r="AQ925" s="222"/>
    </row>
    <row r="926">
      <c r="A926" s="221"/>
      <c r="B926" s="221"/>
      <c r="AQ926" s="222"/>
    </row>
    <row r="927">
      <c r="A927" s="221"/>
      <c r="B927" s="221"/>
      <c r="AQ927" s="222"/>
    </row>
    <row r="928">
      <c r="A928" s="221"/>
      <c r="B928" s="221"/>
      <c r="AQ928" s="222"/>
    </row>
    <row r="929">
      <c r="A929" s="221"/>
      <c r="B929" s="221"/>
      <c r="AQ929" s="222"/>
    </row>
    <row r="930">
      <c r="A930" s="221"/>
      <c r="B930" s="221"/>
      <c r="AQ930" s="222"/>
    </row>
    <row r="931">
      <c r="A931" s="221"/>
      <c r="B931" s="221"/>
      <c r="AQ931" s="222"/>
    </row>
    <row r="932">
      <c r="A932" s="221"/>
      <c r="B932" s="221"/>
      <c r="AQ932" s="222"/>
    </row>
    <row r="933">
      <c r="A933" s="221"/>
      <c r="B933" s="221"/>
      <c r="AQ933" s="222"/>
    </row>
    <row r="934">
      <c r="A934" s="221"/>
      <c r="B934" s="221"/>
      <c r="AQ934" s="222"/>
    </row>
    <row r="935">
      <c r="A935" s="221"/>
      <c r="B935" s="221"/>
      <c r="AQ935" s="222"/>
    </row>
    <row r="936">
      <c r="A936" s="221"/>
      <c r="B936" s="221"/>
      <c r="AQ936" s="222"/>
    </row>
    <row r="937">
      <c r="A937" s="221"/>
      <c r="B937" s="221"/>
      <c r="AQ937" s="222"/>
    </row>
    <row r="938">
      <c r="A938" s="221"/>
      <c r="B938" s="221"/>
      <c r="AQ938" s="222"/>
    </row>
    <row r="939">
      <c r="A939" s="221"/>
      <c r="B939" s="221"/>
      <c r="AQ939" s="222"/>
    </row>
    <row r="940">
      <c r="A940" s="221"/>
      <c r="B940" s="221"/>
      <c r="AQ940" s="222"/>
    </row>
    <row r="941">
      <c r="A941" s="221"/>
      <c r="B941" s="221"/>
      <c r="AQ941" s="222"/>
    </row>
    <row r="942">
      <c r="A942" s="221"/>
      <c r="B942" s="221"/>
      <c r="AQ942" s="222"/>
    </row>
    <row r="943">
      <c r="A943" s="221"/>
      <c r="B943" s="221"/>
      <c r="AQ943" s="222"/>
    </row>
    <row r="944">
      <c r="A944" s="221"/>
      <c r="B944" s="221"/>
      <c r="AQ944" s="222"/>
    </row>
    <row r="945">
      <c r="A945" s="221"/>
      <c r="B945" s="221"/>
      <c r="AQ945" s="222"/>
    </row>
    <row r="946">
      <c r="A946" s="221"/>
      <c r="B946" s="221"/>
      <c r="AQ946" s="222"/>
    </row>
    <row r="947">
      <c r="A947" s="221"/>
      <c r="B947" s="221"/>
      <c r="AQ947" s="222"/>
    </row>
    <row r="948">
      <c r="A948" s="221"/>
      <c r="B948" s="221"/>
      <c r="AQ948" s="222"/>
    </row>
    <row r="949">
      <c r="A949" s="221"/>
      <c r="B949" s="221"/>
      <c r="AQ949" s="222"/>
    </row>
    <row r="950">
      <c r="A950" s="221"/>
      <c r="B950" s="221"/>
      <c r="AQ950" s="222"/>
    </row>
    <row r="951">
      <c r="A951" s="221"/>
      <c r="B951" s="221"/>
      <c r="AQ951" s="222"/>
    </row>
    <row r="952">
      <c r="A952" s="221"/>
      <c r="B952" s="221"/>
      <c r="AQ952" s="222"/>
    </row>
    <row r="953">
      <c r="A953" s="221"/>
      <c r="B953" s="221"/>
      <c r="AQ953" s="222"/>
    </row>
    <row r="954">
      <c r="A954" s="221"/>
      <c r="B954" s="221"/>
      <c r="AQ954" s="222"/>
    </row>
    <row r="955">
      <c r="A955" s="221"/>
      <c r="B955" s="221"/>
      <c r="AQ955" s="222"/>
    </row>
    <row r="956">
      <c r="A956" s="221"/>
      <c r="B956" s="221"/>
      <c r="AQ956" s="222"/>
    </row>
    <row r="957">
      <c r="A957" s="221"/>
      <c r="B957" s="221"/>
      <c r="AQ957" s="222"/>
    </row>
    <row r="958">
      <c r="A958" s="221"/>
      <c r="B958" s="221"/>
      <c r="AQ958" s="222"/>
    </row>
    <row r="959">
      <c r="A959" s="221"/>
      <c r="B959" s="221"/>
      <c r="AQ959" s="222"/>
    </row>
    <row r="960">
      <c r="A960" s="221"/>
      <c r="B960" s="221"/>
      <c r="AQ960" s="222"/>
    </row>
    <row r="961">
      <c r="A961" s="221"/>
      <c r="B961" s="221"/>
      <c r="AQ961" s="222"/>
    </row>
    <row r="962">
      <c r="A962" s="221"/>
      <c r="B962" s="221"/>
      <c r="AQ962" s="222"/>
    </row>
    <row r="963">
      <c r="A963" s="221"/>
      <c r="B963" s="221"/>
      <c r="AQ963" s="222"/>
    </row>
    <row r="964">
      <c r="A964" s="221"/>
      <c r="B964" s="221"/>
      <c r="AQ964" s="222"/>
    </row>
    <row r="965">
      <c r="A965" s="221"/>
      <c r="B965" s="221"/>
      <c r="AQ965" s="222"/>
    </row>
    <row r="966">
      <c r="A966" s="221"/>
      <c r="B966" s="221"/>
      <c r="AQ966" s="222"/>
    </row>
    <row r="967">
      <c r="A967" s="221"/>
      <c r="B967" s="221"/>
      <c r="AQ967" s="222"/>
    </row>
    <row r="968">
      <c r="A968" s="221"/>
      <c r="B968" s="221"/>
      <c r="AQ968" s="222"/>
    </row>
    <row r="969">
      <c r="A969" s="221"/>
      <c r="B969" s="221"/>
      <c r="AQ969" s="222"/>
    </row>
    <row r="970">
      <c r="A970" s="221"/>
      <c r="B970" s="221"/>
      <c r="AQ970" s="222"/>
    </row>
    <row r="971">
      <c r="A971" s="221"/>
      <c r="B971" s="221"/>
      <c r="AQ971" s="222"/>
    </row>
    <row r="972">
      <c r="A972" s="221"/>
      <c r="B972" s="221"/>
      <c r="AQ972" s="222"/>
    </row>
    <row r="973">
      <c r="A973" s="221"/>
      <c r="B973" s="221"/>
      <c r="AQ973" s="222"/>
    </row>
    <row r="974">
      <c r="A974" s="221"/>
      <c r="B974" s="221"/>
      <c r="AQ974" s="222"/>
    </row>
    <row r="975">
      <c r="A975" s="221"/>
      <c r="B975" s="221"/>
      <c r="AQ975" s="222"/>
    </row>
    <row r="976">
      <c r="A976" s="221"/>
      <c r="B976" s="221"/>
      <c r="AQ976" s="222"/>
    </row>
    <row r="977">
      <c r="A977" s="221"/>
      <c r="B977" s="221"/>
      <c r="AQ977" s="222"/>
    </row>
    <row r="978">
      <c r="A978" s="221"/>
      <c r="B978" s="221"/>
      <c r="AQ978" s="222"/>
    </row>
    <row r="979">
      <c r="A979" s="221"/>
      <c r="B979" s="221"/>
      <c r="AQ979" s="222"/>
    </row>
    <row r="980">
      <c r="A980" s="221"/>
      <c r="B980" s="221"/>
      <c r="AQ980" s="222"/>
    </row>
    <row r="981">
      <c r="A981" s="221"/>
      <c r="B981" s="221"/>
      <c r="AQ981" s="222"/>
    </row>
    <row r="982">
      <c r="A982" s="221"/>
      <c r="B982" s="221"/>
      <c r="AQ982" s="222"/>
    </row>
    <row r="983">
      <c r="A983" s="221"/>
      <c r="B983" s="221"/>
      <c r="AQ983" s="222"/>
    </row>
    <row r="984">
      <c r="A984" s="221"/>
      <c r="B984" s="221"/>
      <c r="AQ984" s="222"/>
    </row>
    <row r="985">
      <c r="A985" s="221"/>
      <c r="B985" s="221"/>
      <c r="AQ985" s="222"/>
    </row>
    <row r="986">
      <c r="A986" s="221"/>
      <c r="B986" s="221"/>
      <c r="AQ986" s="222"/>
    </row>
    <row r="987">
      <c r="A987" s="221"/>
      <c r="B987" s="221"/>
      <c r="AQ987" s="222"/>
    </row>
    <row r="988">
      <c r="A988" s="221"/>
      <c r="B988" s="221"/>
      <c r="AQ988" s="222"/>
    </row>
    <row r="989">
      <c r="A989" s="221"/>
      <c r="B989" s="221"/>
      <c r="AQ989" s="222"/>
    </row>
    <row r="990">
      <c r="A990" s="221"/>
      <c r="B990" s="221"/>
      <c r="AQ990" s="222"/>
    </row>
    <row r="991">
      <c r="A991" s="221"/>
      <c r="B991" s="221"/>
      <c r="AQ991" s="222"/>
    </row>
    <row r="992">
      <c r="A992" s="221"/>
      <c r="B992" s="221"/>
      <c r="AQ992" s="222"/>
    </row>
    <row r="993">
      <c r="A993" s="221"/>
      <c r="B993" s="221"/>
      <c r="AQ993" s="222"/>
    </row>
    <row r="994">
      <c r="A994" s="221"/>
      <c r="B994" s="221"/>
      <c r="AQ994" s="222"/>
    </row>
    <row r="995">
      <c r="A995" s="221"/>
      <c r="B995" s="221"/>
      <c r="AQ995" s="222"/>
    </row>
    <row r="996">
      <c r="A996" s="221"/>
      <c r="B996" s="221"/>
      <c r="AQ996" s="222"/>
    </row>
    <row r="997">
      <c r="A997" s="221"/>
      <c r="B997" s="221"/>
      <c r="AQ997" s="222"/>
    </row>
    <row r="998">
      <c r="A998" s="221"/>
      <c r="B998" s="221"/>
      <c r="AQ998" s="222"/>
    </row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2" width="7.0"/>
    <col customWidth="1" min="3" max="3" width="11.75"/>
    <col customWidth="1" min="4" max="6" width="6.0"/>
    <col customWidth="1" min="7" max="7" width="5.25"/>
    <col customWidth="1" min="8" max="9" width="7.0"/>
    <col customWidth="1" min="10" max="10" width="11.75"/>
    <col customWidth="1" min="11" max="13" width="7.0"/>
    <col customWidth="1" min="14" max="14" width="5.88"/>
    <col customWidth="1" min="15" max="16" width="6.38"/>
    <col customWidth="1" min="17" max="17" width="11.75"/>
    <col customWidth="1" min="18" max="20" width="7.13"/>
    <col customWidth="1" min="21" max="21" width="6.13"/>
    <col customWidth="1" min="22" max="23" width="7.25"/>
    <col customWidth="1" min="24" max="24" width="11.75"/>
    <col customWidth="1" min="25" max="27" width="6.63"/>
    <col customWidth="1" min="28" max="28" width="5.38"/>
    <col customWidth="1" min="29" max="30" width="6.63"/>
    <col customWidth="1" min="31" max="31" width="8.0"/>
    <col customWidth="1" min="32" max="55" width="6.63"/>
  </cols>
  <sheetData>
    <row r="1">
      <c r="A1" s="223" t="s">
        <v>119</v>
      </c>
      <c r="B1" s="224" t="s">
        <v>18</v>
      </c>
      <c r="C1" s="223" t="s">
        <v>152</v>
      </c>
      <c r="D1" s="223" t="s">
        <v>129</v>
      </c>
      <c r="E1" s="225" t="s">
        <v>45</v>
      </c>
      <c r="F1" s="225" t="s">
        <v>78</v>
      </c>
      <c r="G1" s="225"/>
      <c r="H1" s="223" t="s">
        <v>119</v>
      </c>
      <c r="I1" s="224" t="s">
        <v>18</v>
      </c>
      <c r="J1" s="223" t="s">
        <v>152</v>
      </c>
      <c r="K1" s="223" t="s">
        <v>45</v>
      </c>
      <c r="L1" s="225" t="s">
        <v>78</v>
      </c>
      <c r="M1" s="225" t="s">
        <v>131</v>
      </c>
      <c r="N1" s="225"/>
      <c r="O1" s="223" t="s">
        <v>119</v>
      </c>
      <c r="P1" s="224" t="s">
        <v>18</v>
      </c>
      <c r="Q1" s="223" t="s">
        <v>152</v>
      </c>
      <c r="R1" s="223" t="s">
        <v>78</v>
      </c>
      <c r="S1" s="225" t="s">
        <v>80</v>
      </c>
      <c r="T1" s="225" t="s">
        <v>131</v>
      </c>
      <c r="U1" s="225"/>
      <c r="V1" s="223" t="s">
        <v>119</v>
      </c>
      <c r="W1" s="224" t="s">
        <v>18</v>
      </c>
      <c r="X1" s="223" t="s">
        <v>152</v>
      </c>
      <c r="Y1" s="223" t="s">
        <v>80</v>
      </c>
      <c r="Z1" s="225" t="s">
        <v>132</v>
      </c>
      <c r="AA1" s="225" t="s">
        <v>133</v>
      </c>
      <c r="AB1" s="225"/>
      <c r="AC1" s="223" t="s">
        <v>119</v>
      </c>
      <c r="AD1" s="224" t="s">
        <v>18</v>
      </c>
      <c r="AE1" s="223" t="s">
        <v>152</v>
      </c>
      <c r="AF1" s="223" t="s">
        <v>129</v>
      </c>
      <c r="AG1" s="225" t="s">
        <v>45</v>
      </c>
      <c r="AH1" s="225" t="s">
        <v>78</v>
      </c>
      <c r="AI1" s="225"/>
      <c r="AJ1" s="223" t="s">
        <v>119</v>
      </c>
      <c r="AK1" s="224" t="s">
        <v>18</v>
      </c>
      <c r="AL1" s="223" t="s">
        <v>152</v>
      </c>
      <c r="AM1" s="223" t="s">
        <v>129</v>
      </c>
      <c r="AN1" s="225" t="s">
        <v>45</v>
      </c>
      <c r="AO1" s="225" t="s">
        <v>78</v>
      </c>
      <c r="AP1" s="225"/>
      <c r="AQ1" s="223" t="s">
        <v>119</v>
      </c>
      <c r="AR1" s="224" t="s">
        <v>18</v>
      </c>
      <c r="AS1" s="223" t="s">
        <v>152</v>
      </c>
      <c r="AT1" s="223" t="s">
        <v>129</v>
      </c>
      <c r="AU1" s="225" t="s">
        <v>45</v>
      </c>
      <c r="AV1" s="225" t="s">
        <v>78</v>
      </c>
      <c r="AW1" s="225"/>
      <c r="AX1" s="223" t="s">
        <v>119</v>
      </c>
      <c r="AY1" s="224" t="s">
        <v>18</v>
      </c>
      <c r="AZ1" s="223" t="s">
        <v>152</v>
      </c>
      <c r="BA1" s="223" t="s">
        <v>129</v>
      </c>
      <c r="BB1" s="225" t="s">
        <v>45</v>
      </c>
      <c r="BC1" s="225" t="s">
        <v>78</v>
      </c>
    </row>
    <row r="2">
      <c r="A2" s="226" t="s">
        <v>45</v>
      </c>
      <c r="B2" s="227">
        <v>251.0</v>
      </c>
      <c r="C2" s="228">
        <f>VLOOKUP(B2,LEBT[#ALL],4)</f>
        <v>0.0000356428863</v>
      </c>
      <c r="D2" s="229">
        <f>VLOOKUP($B2,CS_PID!$B$1:$AS$151,MATCH(D$1,CS_PID!$B$1:$AS$1,0), FALSE)</f>
        <v>6</v>
      </c>
      <c r="E2" s="229">
        <f>VLOOKUP($B2,CS_PID!$B$1:$AS$151,MATCH(E$1,CS_PID!$B$1:$AS$1,0), FALSE)</f>
        <v>76</v>
      </c>
      <c r="F2" s="229">
        <f>VLOOKUP($B2,CS_PID!$B$1:$AS$151,MATCH(F$1,CS_PID!$B$1:$AS$1,0), FALSE)</f>
        <v>11</v>
      </c>
      <c r="G2" s="230"/>
      <c r="H2" s="231" t="s">
        <v>78</v>
      </c>
      <c r="I2" s="232">
        <v>259.0</v>
      </c>
      <c r="J2" s="233">
        <f>VLOOKUP(I2,LEBT[#ALL],4)</f>
        <v>0.00003988304419</v>
      </c>
      <c r="K2" s="234">
        <f>VLOOKUP($I2,CS_PID!$B$1:$AS$151,MATCH(K$1,CS_PID!$B$1:$AS$1,0), FALSE)</f>
        <v>22</v>
      </c>
      <c r="L2" s="234">
        <f>VLOOKUP($I2,CS_PID!$B$1:$AS$151,MATCH(L$1,CS_PID!$B$1:$AS$1,0), FALSE)</f>
        <v>45</v>
      </c>
      <c r="M2" s="234">
        <f>VLOOKUP($I2,CS_PID!$B$1:$AS$151,MATCH(M$1,CS_PID!$B$1:$AS$1,0), FALSE)</f>
        <v>53</v>
      </c>
      <c r="N2" s="230"/>
      <c r="O2" s="235" t="s">
        <v>80</v>
      </c>
      <c r="P2" s="236">
        <v>304.0</v>
      </c>
      <c r="Q2" s="237">
        <f>VLOOKUP(P2,LEBT[#ALL],4)</f>
        <v>0.00003710498385</v>
      </c>
      <c r="R2" s="238">
        <f>VLOOKUP($P2,CS_PID!$B$1:$AS$151,MATCH(R$1,CS_PID!$B$1:$AS$1,0), FALSE)</f>
        <v>592</v>
      </c>
      <c r="S2" s="238">
        <f>VLOOKUP($P2,CS_PID!$B$1:$AS$151,MATCH(S$1,CS_PID!$B$1:$AS$1,0), FALSE)</f>
        <v>527</v>
      </c>
      <c r="T2" s="238">
        <f>VLOOKUP($P2,CS_PID!$B$1:$AS$151,MATCH(T$1,CS_PID!$B$1:$AS$1,0), FALSE)</f>
        <v>613</v>
      </c>
      <c r="U2" s="239"/>
      <c r="V2" s="240" t="s">
        <v>82</v>
      </c>
      <c r="W2" s="241">
        <v>316.0</v>
      </c>
      <c r="X2" s="242">
        <f>VLOOKUP(W2,LEBT[#ALL],4)</f>
        <v>0.00004102359838</v>
      </c>
      <c r="Y2" s="243">
        <f>VLOOKUP($W2,CS_PID!$B$1:$AS$151,MATCH(Y$1,CS_PID!$B$1:$AS$1,0), FALSE)</f>
        <v>134</v>
      </c>
      <c r="Z2" s="243">
        <f>VLOOKUP($W2,CS_PID!$B$1:$AS$151,MATCH(Z$1,CS_PID!$B$1:$AS$1,0), FALSE)</f>
        <v>111</v>
      </c>
      <c r="AA2" s="243">
        <f>VLOOKUP($W2,CS_PID!$B$1:$AS$151,MATCH(AA$1,CS_PID!$B$1:$AS$1,0), FALSE)</f>
        <v>71</v>
      </c>
      <c r="AB2" s="230"/>
      <c r="AC2" s="244" t="s">
        <v>84</v>
      </c>
      <c r="AD2" s="245">
        <v>223.0</v>
      </c>
      <c r="AE2" s="246">
        <f>VLOOKUP(AD2,LEBT[#ALL],4)</f>
        <v>0.00003544693806</v>
      </c>
      <c r="AF2" s="247">
        <f>VLOOKUP($AD2,CS_PID!$B$1:$AS$151,MATCH(AF$1,CS_PID!$B$1:$AS$1, 0), FALSE)</f>
        <v>0</v>
      </c>
      <c r="AG2" s="247">
        <f>VLOOKUP($AD2,CS_PID!$B$1:$AS$151,MATCH(AG$1,CS_PID!$B$1:$AS$1, 0), FALSE)</f>
        <v>0</v>
      </c>
      <c r="AH2" s="247">
        <f>VLOOKUP($AD2,CS_PID!$B$1:$AS$151,MATCH(AH$1,CS_PID!$B$1:$AS$1, 0), FALSE)</f>
        <v>0</v>
      </c>
      <c r="AI2" s="230"/>
      <c r="AJ2" s="248" t="s">
        <v>86</v>
      </c>
      <c r="AK2" s="249">
        <v>410.0</v>
      </c>
      <c r="AL2" s="250">
        <f>VLOOKUP(AK2,LEBT[#ALL],4)</f>
        <v>0.0000358795594</v>
      </c>
      <c r="AM2" s="251">
        <f>VLOOKUP($AK2,CS_PID!$B$1:$AS$151,MATCH(AM$1,CS_PID!$B$1:$AS$1,0), FALSE)</f>
        <v>0</v>
      </c>
      <c r="AN2" s="251">
        <f>VLOOKUP($AK2,CS_PID!$B$1:$AS$151,MATCH(AN$1,CS_PID!$B$1:$AS$1,0), FALSE)</f>
        <v>1</v>
      </c>
      <c r="AO2" s="251">
        <f>VLOOKUP($AK2,CS_PID!$B$1:$AS$151,MATCH(AO$1,CS_PID!$B$1:$AS$1,0), FALSE)</f>
        <v>0</v>
      </c>
      <c r="AP2" s="230"/>
      <c r="AQ2" s="252" t="s">
        <v>88</v>
      </c>
      <c r="AR2" s="253">
        <v>420.0</v>
      </c>
      <c r="AS2" s="254">
        <f>VLOOKUP(AR2,LEBT[#ALL],4)</f>
        <v>0.0000395154146</v>
      </c>
      <c r="AT2" s="255">
        <f>VLOOKUP($AR2,CS_PID!$B$1:$AS$151,MATCH(AT$1,CS_PID!$B$1:$AS$1,0), FALSE)</f>
        <v>0</v>
      </c>
      <c r="AU2" s="255">
        <f>VLOOKUP($AR2,CS_PID!$B$1:$AS$151,MATCH(AU$1,CS_PID!$B$1:$AS$1,0), FALSE)</f>
        <v>0</v>
      </c>
      <c r="AV2" s="255">
        <f>VLOOKUP($AR2,CS_PID!$B$1:$AS$151,MATCH(AV$1,CS_PID!$B$1:$AS$1,0), FALSE)</f>
        <v>0</v>
      </c>
      <c r="AW2" s="230"/>
      <c r="AX2" s="256" t="s">
        <v>90</v>
      </c>
      <c r="AY2" s="257">
        <v>425.0</v>
      </c>
      <c r="AZ2" s="258">
        <f>VLOOKUP(AY2,LEBT[#ALL],4)</f>
        <v>0.00003974559043</v>
      </c>
      <c r="BA2" s="259">
        <f>VLOOKUP($AY2,CS_PID!$B$1:$AS$151,MATCH(BA$1,CS_PID!$B$1:$AS$1, 0), FALSE)</f>
        <v>0</v>
      </c>
      <c r="BB2" s="259">
        <f>VLOOKUP($AY2,CS_PID!$B$1:$AS$151,MATCH(BB$1,CS_PID!$B$1:$AS$1,0), FALSE)</f>
        <v>1</v>
      </c>
      <c r="BC2" s="259">
        <f>VLOOKUP($AY2,CS_PID!$B$1:$AS$151,MATCH(BC$1,CS_PID!$B$1:$AS$1,0), FALSE)</f>
        <v>0</v>
      </c>
    </row>
    <row r="3">
      <c r="A3" s="226" t="s">
        <v>45</v>
      </c>
      <c r="B3" s="227">
        <v>252.0</v>
      </c>
      <c r="C3" s="228">
        <f>VLOOKUP(B3,LEBT[#ALL],4)</f>
        <v>0.0000363380449</v>
      </c>
      <c r="D3" s="229">
        <f>VLOOKUP($B3,CS_PID!$B$1:$AS$151,MATCH(D$1,CS_PID!$B$1:$AS$1,0), FALSE)</f>
        <v>42</v>
      </c>
      <c r="E3" s="229">
        <f>VLOOKUP($B3,CS_PID!$B$1:$AS$151,MATCH(E$1,CS_PID!$B$1:$AS$1,0), FALSE)</f>
        <v>393</v>
      </c>
      <c r="F3" s="229">
        <f>VLOOKUP($B3,CS_PID!$B$1:$AS$151,MATCH(F$1,CS_PID!$B$1:$AS$1,0), FALSE)</f>
        <v>54</v>
      </c>
      <c r="G3" s="230"/>
      <c r="H3" s="260" t="s">
        <v>78</v>
      </c>
      <c r="I3" s="261">
        <v>260.0</v>
      </c>
      <c r="J3" s="262">
        <f>VLOOKUP(I3,LEBT[#ALL],4)</f>
        <v>0.00004010739518</v>
      </c>
      <c r="K3" s="234">
        <f>VLOOKUP($I3,CS_PID!$B$1:$AS$151,MATCH(K$1,CS_PID!$B$1:$AS$1,0), FALSE)</f>
        <v>37</v>
      </c>
      <c r="L3" s="234">
        <f>VLOOKUP($I3,CS_PID!$B$1:$AS$151,MATCH(L$1,CS_PID!$B$1:$AS$1,0), FALSE)</f>
        <v>62</v>
      </c>
      <c r="M3" s="234">
        <f>VLOOKUP($I3,CS_PID!$B$1:$AS$151,MATCH(M$1,CS_PID!$B$1:$AS$1,0), FALSE)</f>
        <v>79</v>
      </c>
      <c r="N3" s="230"/>
      <c r="O3" s="263" t="s">
        <v>80</v>
      </c>
      <c r="P3" s="264">
        <v>305.0</v>
      </c>
      <c r="Q3" s="265">
        <f>VLOOKUP(P3,LEBT[#ALL],4)</f>
        <v>0.00004134737613</v>
      </c>
      <c r="R3" s="238">
        <f>VLOOKUP($P3,CS_PID!$B$1:$AS$151,MATCH(R$1,CS_PID!$B$1:$AS$1,0), FALSE)</f>
        <v>1193</v>
      </c>
      <c r="S3" s="238">
        <f>VLOOKUP($P3,CS_PID!$B$1:$AS$151,MATCH(S$1,CS_PID!$B$1:$AS$1,0), FALSE)</f>
        <v>1059</v>
      </c>
      <c r="T3" s="238">
        <f>VLOOKUP($P3,CS_PID!$B$1:$AS$151,MATCH(T$1,CS_PID!$B$1:$AS$1,0), FALSE)</f>
        <v>1218</v>
      </c>
      <c r="U3" s="239"/>
      <c r="V3" s="266" t="s">
        <v>82</v>
      </c>
      <c r="W3" s="267">
        <v>318.0</v>
      </c>
      <c r="X3" s="268">
        <f>VLOOKUP(W3,LEBT[#ALL],4)</f>
        <v>0.00004129420201</v>
      </c>
      <c r="Y3" s="243">
        <f>VLOOKUP($W3,CS_PID!$B$1:$AS$151,MATCH(Y$1,CS_PID!$B$1:$AS$1,0), FALSE)</f>
        <v>179</v>
      </c>
      <c r="Z3" s="243">
        <f>VLOOKUP($W3,CS_PID!$B$1:$AS$151,MATCH(Z$1,CS_PID!$B$1:$AS$1,0), FALSE)</f>
        <v>194</v>
      </c>
      <c r="AA3" s="243">
        <f>VLOOKUP($W3,CS_PID!$B$1:$AS$151,MATCH(AA$1,CS_PID!$B$1:$AS$1,0), FALSE)</f>
        <v>116</v>
      </c>
      <c r="AB3" s="230"/>
      <c r="AC3" s="269" t="s">
        <v>84</v>
      </c>
      <c r="AD3" s="270">
        <v>224.0</v>
      </c>
      <c r="AE3" s="271">
        <f>VLOOKUP(AD3,LEBT[#ALL],4)</f>
        <v>0.00003648805465</v>
      </c>
      <c r="AF3" s="247">
        <f>VLOOKUP($AD3,CS_PID!$B$1:$AS$151,MATCH(AF$1,CS_PID!$B$1:$AS$1, 0), FALSE)</f>
        <v>0</v>
      </c>
      <c r="AG3" s="247">
        <f>VLOOKUP($AD3,CS_PID!$B$1:$AS$151,MATCH(AG$1,CS_PID!$B$1:$AS$1, 0), FALSE)</f>
        <v>0</v>
      </c>
      <c r="AH3" s="247">
        <f>VLOOKUP($AD3,CS_PID!$B$1:$AS$151,MATCH(AH$1,CS_PID!$B$1:$AS$1, 0), FALSE)</f>
        <v>0</v>
      </c>
      <c r="AI3" s="230"/>
      <c r="AJ3" s="272" t="s">
        <v>86</v>
      </c>
      <c r="AK3" s="273">
        <v>411.0</v>
      </c>
      <c r="AL3" s="274">
        <f>VLOOKUP(AK3,LEBT[#ALL],4)</f>
        <v>0.00004008714139</v>
      </c>
      <c r="AM3" s="251">
        <f>VLOOKUP($AK3,CS_PID!$B$1:$AS$151,MATCH(AM$1,CS_PID!$B$1:$AS$1,0), FALSE)</f>
        <v>0</v>
      </c>
      <c r="AN3" s="251">
        <f>VLOOKUP($AK3,CS_PID!$B$1:$AS$151,MATCH(AN$1,CS_PID!$B$1:$AS$1,0), FALSE)</f>
        <v>0</v>
      </c>
      <c r="AO3" s="251">
        <f>VLOOKUP($AK3,CS_PID!$B$1:$AS$151,MATCH(AO$1,CS_PID!$B$1:$AS$1,0), FALSE)</f>
        <v>2</v>
      </c>
      <c r="AP3" s="230"/>
      <c r="AQ3" s="275" t="s">
        <v>88</v>
      </c>
      <c r="AR3" s="276">
        <v>421.0</v>
      </c>
      <c r="AS3" s="277">
        <f>VLOOKUP(AR3,LEBT[#ALL],4)</f>
        <v>0.00004051721831</v>
      </c>
      <c r="AT3" s="255">
        <f>VLOOKUP($AR3,CS_PID!$B$1:$AS$151,MATCH(AT$1,CS_PID!$B$1:$AS$1,0), FALSE)</f>
        <v>0</v>
      </c>
      <c r="AU3" s="255">
        <f>VLOOKUP($AR3,CS_PID!$B$1:$AS$151,MATCH(AU$1,CS_PID!$B$1:$AS$1,0), FALSE)</f>
        <v>0</v>
      </c>
      <c r="AV3" s="255">
        <f>VLOOKUP($AR3,CS_PID!$B$1:$AS$151,MATCH(AV$1,CS_PID!$B$1:$AS$1,0), FALSE)</f>
        <v>7</v>
      </c>
      <c r="AW3" s="230"/>
      <c r="AX3" s="278" t="s">
        <v>90</v>
      </c>
      <c r="AY3" s="279">
        <v>426.0</v>
      </c>
      <c r="AZ3" s="280">
        <f>VLOOKUP(AY3,LEBT[#ALL],4)</f>
        <v>0.00004004933476</v>
      </c>
      <c r="BA3" s="259">
        <f>VLOOKUP($AY3,CS_PID!$B$1:$AS$151,MATCH(BA$1,CS_PID!$B$1:$AS$1, 0), FALSE)</f>
        <v>0</v>
      </c>
      <c r="BB3" s="259">
        <f>VLOOKUP($AY3,CS_PID!$B$1:$AS$151,MATCH(BB$1,CS_PID!$B$1:$AS$1,0), FALSE)</f>
        <v>0</v>
      </c>
      <c r="BC3" s="259">
        <f>VLOOKUP($AY3,CS_PID!$B$1:$AS$151,MATCH(BC$1,CS_PID!$B$1:$AS$1,0), FALSE)</f>
        <v>2</v>
      </c>
    </row>
    <row r="4">
      <c r="A4" s="226" t="s">
        <v>45</v>
      </c>
      <c r="B4" s="227">
        <v>253.0</v>
      </c>
      <c r="C4" s="228">
        <f>VLOOKUP(B4,LEBT[#ALL],4)</f>
        <v>0.00003602188953</v>
      </c>
      <c r="D4" s="229">
        <f>VLOOKUP($B4,CS_PID!$B$1:$AS$151,MATCH(D$1,CS_PID!$B$1:$AS$1,0), FALSE)</f>
        <v>22</v>
      </c>
      <c r="E4" s="229">
        <f>VLOOKUP($B4,CS_PID!$B$1:$AS$151,MATCH(E$1,CS_PID!$B$1:$AS$1,0), FALSE)</f>
        <v>237</v>
      </c>
      <c r="F4" s="229">
        <f>VLOOKUP($B4,CS_PID!$B$1:$AS$151,MATCH(F$1,CS_PID!$B$1:$AS$1,0), FALSE)</f>
        <v>38</v>
      </c>
      <c r="G4" s="230"/>
      <c r="H4" s="260" t="s">
        <v>78</v>
      </c>
      <c r="I4" s="261">
        <v>261.0</v>
      </c>
      <c r="J4" s="262">
        <f>VLOOKUP(I4,LEBT[#ALL],4)</f>
        <v>0.00004022663236</v>
      </c>
      <c r="K4" s="234">
        <f>VLOOKUP($I4,CS_PID!$B$1:$AS$151,MATCH(K$1,CS_PID!$B$1:$AS$1,0), FALSE)</f>
        <v>75</v>
      </c>
      <c r="L4" s="234">
        <f>VLOOKUP($I4,CS_PID!$B$1:$AS$151,MATCH(L$1,CS_PID!$B$1:$AS$1,0), FALSE)</f>
        <v>101</v>
      </c>
      <c r="M4" s="234">
        <f>VLOOKUP($I4,CS_PID!$B$1:$AS$151,MATCH(M$1,CS_PID!$B$1:$AS$1,0), FALSE)</f>
        <v>156</v>
      </c>
      <c r="N4" s="230"/>
      <c r="O4" s="263" t="s">
        <v>80</v>
      </c>
      <c r="P4" s="264">
        <v>306.0</v>
      </c>
      <c r="Q4" s="265">
        <f>VLOOKUP(P4,LEBT[#ALL],4)</f>
        <v>0.00004099257509</v>
      </c>
      <c r="R4" s="238">
        <f>VLOOKUP($P4,CS_PID!$B$1:$AS$151,MATCH(R$1,CS_PID!$B$1:$AS$1,0), FALSE)</f>
        <v>1076</v>
      </c>
      <c r="S4" s="238">
        <f>VLOOKUP($P4,CS_PID!$B$1:$AS$151,MATCH(S$1,CS_PID!$B$1:$AS$1,0), FALSE)</f>
        <v>866</v>
      </c>
      <c r="T4" s="238">
        <f>VLOOKUP($P4,CS_PID!$B$1:$AS$151,MATCH(T$1,CS_PID!$B$1:$AS$1,0), FALSE)</f>
        <v>1120</v>
      </c>
      <c r="U4" s="239"/>
      <c r="V4" s="266" t="s">
        <v>82</v>
      </c>
      <c r="W4" s="267">
        <v>319.0</v>
      </c>
      <c r="X4" s="268">
        <f>VLOOKUP(W4,LEBT[#ALL],4)</f>
        <v>0.00003822660609</v>
      </c>
      <c r="Y4" s="243">
        <f>VLOOKUP($W4,CS_PID!$B$1:$AS$151,MATCH(Y$1,CS_PID!$B$1:$AS$1,0), FALSE)</f>
        <v>14</v>
      </c>
      <c r="Z4" s="243">
        <f>VLOOKUP($W4,CS_PID!$B$1:$AS$151,MATCH(Z$1,CS_PID!$B$1:$AS$1,0), FALSE)</f>
        <v>14</v>
      </c>
      <c r="AA4" s="243">
        <f>VLOOKUP($W4,CS_PID!$B$1:$AS$151,MATCH(AA$1,CS_PID!$B$1:$AS$1,0), FALSE)</f>
        <v>6</v>
      </c>
      <c r="AB4" s="230"/>
      <c r="AC4" s="269" t="s">
        <v>84</v>
      </c>
      <c r="AD4" s="270">
        <v>225.0</v>
      </c>
      <c r="AE4" s="271">
        <f>VLOOKUP(AD4,LEBT[#ALL],4)</f>
        <v>0.00003320044813</v>
      </c>
      <c r="AF4" s="247">
        <f>VLOOKUP($AD4,CS_PID!$B$1:$AS$151,MATCH(AF$1,CS_PID!$B$1:$AS$1, 0), FALSE)</f>
        <v>0</v>
      </c>
      <c r="AG4" s="247">
        <f>VLOOKUP($AD4,CS_PID!$B$1:$AS$151,MATCH(AG$1,CS_PID!$B$1:$AS$1, 0), FALSE)</f>
        <v>0</v>
      </c>
      <c r="AH4" s="247">
        <f>VLOOKUP($AD4,CS_PID!$B$1:$AS$151,MATCH(AH$1,CS_PID!$B$1:$AS$1, 0), FALSE)</f>
        <v>0</v>
      </c>
      <c r="AI4" s="230"/>
      <c r="AJ4" s="272" t="s">
        <v>86</v>
      </c>
      <c r="AK4" s="273">
        <v>412.0</v>
      </c>
      <c r="AL4" s="274">
        <f>VLOOKUP(AK4,LEBT[#ALL],4)</f>
        <v>0.00004084440291</v>
      </c>
      <c r="AM4" s="251">
        <f>VLOOKUP($AK4,CS_PID!$B$1:$AS$151,MATCH(AM$1,CS_PID!$B$1:$AS$1,0), FALSE)</f>
        <v>0</v>
      </c>
      <c r="AN4" s="251">
        <f>VLOOKUP($AK4,CS_PID!$B$1:$AS$151,MATCH(AN$1,CS_PID!$B$1:$AS$1,0), FALSE)</f>
        <v>2</v>
      </c>
      <c r="AO4" s="251">
        <f>VLOOKUP($AK4,CS_PID!$B$1:$AS$151,MATCH(AO$1,CS_PID!$B$1:$AS$1,0), FALSE)</f>
        <v>4</v>
      </c>
      <c r="AP4" s="230"/>
      <c r="AQ4" s="281" t="s">
        <v>88</v>
      </c>
      <c r="AR4" s="282">
        <v>422.0</v>
      </c>
      <c r="AS4" s="283">
        <f>VLOOKUP(AR4,LEBT[#ALL],4)</f>
        <v>0.0000404447022</v>
      </c>
      <c r="AT4" s="255">
        <f>VLOOKUP($AR4,CS_PID!$B$1:$AS$151,MATCH(AT$1,CS_PID!$B$1:$AS$1,0), FALSE)</f>
        <v>0</v>
      </c>
      <c r="AU4" s="255">
        <f>VLOOKUP($AR4,CS_PID!$B$1:$AS$151,MATCH(AU$1,CS_PID!$B$1:$AS$1,0), FALSE)</f>
        <v>0</v>
      </c>
      <c r="AV4" s="255">
        <f>VLOOKUP($AR4,CS_PID!$B$1:$AS$151,MATCH(AV$1,CS_PID!$B$1:$AS$1,0), FALSE)</f>
        <v>8</v>
      </c>
      <c r="AW4" s="230"/>
      <c r="AX4" s="278" t="s">
        <v>90</v>
      </c>
      <c r="AY4" s="279">
        <v>427.0</v>
      </c>
      <c r="AZ4" s="280">
        <f>VLOOKUP(AY4,LEBT[#ALL],4)</f>
        <v>0.00004002321068</v>
      </c>
      <c r="BA4" s="259">
        <f>VLOOKUP($AY4,CS_PID!$B$1:$AS$151,MATCH(BA$1,CS_PID!$B$1:$AS$1, 0), FALSE)</f>
        <v>0</v>
      </c>
      <c r="BB4" s="259">
        <f>VLOOKUP($AY4,CS_PID!$B$1:$AS$151,MATCH(BB$1,CS_PID!$B$1:$AS$1,0), FALSE)</f>
        <v>1</v>
      </c>
      <c r="BC4" s="259">
        <f>VLOOKUP($AY4,CS_PID!$B$1:$AS$151,MATCH(BC$1,CS_PID!$B$1:$AS$1,0), FALSE)</f>
        <v>0</v>
      </c>
    </row>
    <row r="5">
      <c r="A5" s="284" t="s">
        <v>45</v>
      </c>
      <c r="B5" s="285">
        <v>254.0</v>
      </c>
      <c r="C5" s="286">
        <f>VLOOKUP(B5,LEBT[#ALL],4)</f>
        <v>0.00004079048028</v>
      </c>
      <c r="D5" s="229">
        <f>VLOOKUP($B5,CS_PID!$B$1:$AS$151,MATCH(D$1,CS_PID!$B$1:$AS$1,0), FALSE)</f>
        <v>31</v>
      </c>
      <c r="E5" s="229">
        <f>VLOOKUP($B5,CS_PID!$B$1:$AS$151,MATCH(E$1,CS_PID!$B$1:$AS$1,0), FALSE)</f>
        <v>377</v>
      </c>
      <c r="F5" s="229">
        <f>VLOOKUP($B5,CS_PID!$B$1:$AS$151,MATCH(F$1,CS_PID!$B$1:$AS$1,0), FALSE)</f>
        <v>71</v>
      </c>
      <c r="G5" s="230"/>
      <c r="H5" s="260" t="s">
        <v>78</v>
      </c>
      <c r="I5" s="261">
        <v>262.0</v>
      </c>
      <c r="J5" s="262">
        <f>VLOOKUP(I5,LEBT[#ALL],4)</f>
        <v>0.00003987062479</v>
      </c>
      <c r="K5" s="234">
        <f>VLOOKUP($I5,CS_PID!$B$1:$AS$151,MATCH(K$1,CS_PID!$B$1:$AS$1,0), FALSE)</f>
        <v>36</v>
      </c>
      <c r="L5" s="234">
        <f>VLOOKUP($I5,CS_PID!$B$1:$AS$151,MATCH(L$1,CS_PID!$B$1:$AS$1,0), FALSE)</f>
        <v>57</v>
      </c>
      <c r="M5" s="234">
        <f>VLOOKUP($I5,CS_PID!$B$1:$AS$151,MATCH(M$1,CS_PID!$B$1:$AS$1,0), FALSE)</f>
        <v>61</v>
      </c>
      <c r="N5" s="230"/>
      <c r="O5" s="263" t="s">
        <v>80</v>
      </c>
      <c r="P5" s="264">
        <v>307.0</v>
      </c>
      <c r="Q5" s="265">
        <f>VLOOKUP(P5,LEBT[#ALL],4)</f>
        <v>0.000039154276</v>
      </c>
      <c r="R5" s="238">
        <f>VLOOKUP($P5,CS_PID!$B$1:$AS$151,MATCH(R$1,CS_PID!$B$1:$AS$1,0), FALSE)</f>
        <v>130</v>
      </c>
      <c r="S5" s="238">
        <f>VLOOKUP($P5,CS_PID!$B$1:$AS$151,MATCH(S$1,CS_PID!$B$1:$AS$1,0), FALSE)</f>
        <v>107</v>
      </c>
      <c r="T5" s="238">
        <f>VLOOKUP($P5,CS_PID!$B$1:$AS$151,MATCH(T$1,CS_PID!$B$1:$AS$1,0), FALSE)</f>
        <v>137</v>
      </c>
      <c r="U5" s="239"/>
      <c r="V5" s="266" t="s">
        <v>82</v>
      </c>
      <c r="W5" s="267">
        <v>320.0</v>
      </c>
      <c r="X5" s="268">
        <f>VLOOKUP(W5,LEBT[#ALL],4)</f>
        <v>0.00004108680696</v>
      </c>
      <c r="Y5" s="243">
        <f>VLOOKUP($W5,CS_PID!$B$1:$AS$151,MATCH(Y$1,CS_PID!$B$1:$AS$1,0), FALSE)</f>
        <v>126</v>
      </c>
      <c r="Z5" s="243">
        <f>VLOOKUP($W5,CS_PID!$B$1:$AS$151,MATCH(Z$1,CS_PID!$B$1:$AS$1,0), FALSE)</f>
        <v>89</v>
      </c>
      <c r="AA5" s="243">
        <f>VLOOKUP($W5,CS_PID!$B$1:$AS$151,MATCH(AA$1,CS_PID!$B$1:$AS$1,0), FALSE)</f>
        <v>66</v>
      </c>
      <c r="AB5" s="230"/>
      <c r="AC5" s="269" t="s">
        <v>84</v>
      </c>
      <c r="AD5" s="270">
        <v>226.0</v>
      </c>
      <c r="AE5" s="271">
        <f>VLOOKUP(AD5,LEBT[#ALL],4)</f>
        <v>0.00003703291507</v>
      </c>
      <c r="AF5" s="247">
        <f>VLOOKUP($AD5,CS_PID!$B$1:$AS$151,MATCH(AF$1,CS_PID!$B$1:$AS$1, 0), FALSE)</f>
        <v>0</v>
      </c>
      <c r="AG5" s="247">
        <f>VLOOKUP($AD5,CS_PID!$B$1:$AS$151,MATCH(AG$1,CS_PID!$B$1:$AS$1, 0), FALSE)</f>
        <v>0</v>
      </c>
      <c r="AH5" s="247">
        <f>VLOOKUP($AD5,CS_PID!$B$1:$AS$151,MATCH(AH$1,CS_PID!$B$1:$AS$1, 0), FALSE)</f>
        <v>0</v>
      </c>
      <c r="AI5" s="230"/>
      <c r="AJ5" s="272" t="s">
        <v>86</v>
      </c>
      <c r="AK5" s="273">
        <v>413.0</v>
      </c>
      <c r="AL5" s="274">
        <f>VLOOKUP(AK5,LEBT[#ALL],4)</f>
        <v>0.0000408458035</v>
      </c>
      <c r="AM5" s="251">
        <f>VLOOKUP($AK5,CS_PID!$B$1:$AS$151,MATCH(AM$1,CS_PID!$B$1:$AS$1,0), FALSE)</f>
        <v>0</v>
      </c>
      <c r="AN5" s="251">
        <f>VLOOKUP($AK5,CS_PID!$B$1:$AS$151,MATCH(AN$1,CS_PID!$B$1:$AS$1,0), FALSE)</f>
        <v>0</v>
      </c>
      <c r="AO5" s="251">
        <f>VLOOKUP($AK5,CS_PID!$B$1:$AS$151,MATCH(AO$1,CS_PID!$B$1:$AS$1,0), FALSE)</f>
        <v>3</v>
      </c>
      <c r="AP5" s="230"/>
      <c r="AQ5" s="230"/>
      <c r="AR5" s="230"/>
      <c r="AS5" s="230"/>
      <c r="AT5" s="230"/>
      <c r="AU5" s="230"/>
      <c r="AV5" s="230"/>
      <c r="AW5" s="230"/>
      <c r="AX5" s="278" t="s">
        <v>90</v>
      </c>
      <c r="AY5" s="279">
        <v>428.0</v>
      </c>
      <c r="AZ5" s="280">
        <f>VLOOKUP(AY5,LEBT[#ALL],4)</f>
        <v>0.00004020594081</v>
      </c>
      <c r="BA5" s="259">
        <f>VLOOKUP($AY5,CS_PID!$B$1:$AS$151,MATCH(BA$1,CS_PID!$B$1:$AS$1, 0), FALSE)</f>
        <v>0</v>
      </c>
      <c r="BB5" s="259">
        <f>VLOOKUP($AY5,CS_PID!$B$1:$AS$151,MATCH(BB$1,CS_PID!$B$1:$AS$1,0), FALSE)</f>
        <v>0</v>
      </c>
      <c r="BC5" s="259">
        <f>VLOOKUP($AY5,CS_PID!$B$1:$AS$151,MATCH(BC$1,CS_PID!$B$1:$AS$1,0), FALSE)</f>
        <v>2</v>
      </c>
    </row>
    <row r="6">
      <c r="A6" s="225"/>
      <c r="B6" s="225"/>
      <c r="C6" s="230"/>
      <c r="D6" s="230"/>
      <c r="E6" s="230"/>
      <c r="F6" s="230"/>
      <c r="G6" s="230"/>
      <c r="H6" s="287" t="s">
        <v>78</v>
      </c>
      <c r="I6" s="261">
        <v>263.0</v>
      </c>
      <c r="J6" s="262">
        <f>VLOOKUP(I6,LEBT[#ALL],4)</f>
        <v>0.0000398443187</v>
      </c>
      <c r="K6" s="234">
        <f>VLOOKUP($I6,CS_PID!$B$1:$AS$151,MATCH(K$1,CS_PID!$B$1:$AS$1,0), FALSE)</f>
        <v>48</v>
      </c>
      <c r="L6" s="234">
        <f>VLOOKUP($I6,CS_PID!$B$1:$AS$151,MATCH(L$1,CS_PID!$B$1:$AS$1,0), FALSE)</f>
        <v>44</v>
      </c>
      <c r="M6" s="234">
        <f>VLOOKUP($I6,CS_PID!$B$1:$AS$151,MATCH(M$1,CS_PID!$B$1:$AS$1,0), FALSE)</f>
        <v>59</v>
      </c>
      <c r="N6" s="230"/>
      <c r="O6" s="263" t="s">
        <v>80</v>
      </c>
      <c r="P6" s="264">
        <v>308.0</v>
      </c>
      <c r="Q6" s="265">
        <f>VLOOKUP(P6,LEBT[#ALL],4)</f>
        <v>0.00003795675676</v>
      </c>
      <c r="R6" s="238">
        <f>VLOOKUP($P6,CS_PID!$B$1:$AS$151,MATCH(R$1,CS_PID!$B$1:$AS$1,0), FALSE)</f>
        <v>68</v>
      </c>
      <c r="S6" s="238">
        <f>VLOOKUP($P6,CS_PID!$B$1:$AS$151,MATCH(S$1,CS_PID!$B$1:$AS$1,0), FALSE)</f>
        <v>61</v>
      </c>
      <c r="T6" s="238">
        <f>VLOOKUP($P6,CS_PID!$B$1:$AS$151,MATCH(T$1,CS_PID!$B$1:$AS$1,0), FALSE)</f>
        <v>69</v>
      </c>
      <c r="U6" s="239"/>
      <c r="V6" s="266" t="s">
        <v>82</v>
      </c>
      <c r="W6" s="267">
        <v>321.0</v>
      </c>
      <c r="X6" s="268">
        <f>VLOOKUP(W6,LEBT[#ALL],4)</f>
        <v>0.00004057593593</v>
      </c>
      <c r="Y6" s="243">
        <f>VLOOKUP($W6,CS_PID!$B$1:$AS$151,MATCH(Y$1,CS_PID!$B$1:$AS$1,0), FALSE)</f>
        <v>55</v>
      </c>
      <c r="Z6" s="243">
        <f>VLOOKUP($W6,CS_PID!$B$1:$AS$151,MATCH(Z$1,CS_PID!$B$1:$AS$1,0), FALSE)</f>
        <v>61</v>
      </c>
      <c r="AA6" s="243">
        <f>VLOOKUP($W6,CS_PID!$B$1:$AS$151,MATCH(AA$1,CS_PID!$B$1:$AS$1,0), FALSE)</f>
        <v>37</v>
      </c>
      <c r="AB6" s="230"/>
      <c r="AC6" s="269" t="s">
        <v>84</v>
      </c>
      <c r="AD6" s="270">
        <v>348.0</v>
      </c>
      <c r="AE6" s="271">
        <f>VLOOKUP(AD6,LEBT[#ALL],4)</f>
        <v>0.00003634222136</v>
      </c>
      <c r="AF6" s="247">
        <f>VLOOKUP($AD6,CS_PID!$B$1:$AS$151,MATCH(AF$1,CS_PID!$B$1:$AS$1, 0), FALSE)</f>
        <v>0</v>
      </c>
      <c r="AG6" s="247">
        <f>VLOOKUP($AD6,CS_PID!$B$1:$AS$151,MATCH(AG$1,CS_PID!$B$1:$AS$1, 0), FALSE)</f>
        <v>0</v>
      </c>
      <c r="AH6" s="247">
        <f>VLOOKUP($AD6,CS_PID!$B$1:$AS$151,MATCH(AH$1,CS_PID!$B$1:$AS$1, 0), FALSE)</f>
        <v>0</v>
      </c>
      <c r="AI6" s="230"/>
      <c r="AJ6" s="288" t="s">
        <v>86</v>
      </c>
      <c r="AK6" s="289">
        <v>415.0</v>
      </c>
      <c r="AL6" s="290">
        <f>VLOOKUP(AK6,LEBT[#ALL],4)</f>
        <v>0.00004011826771</v>
      </c>
      <c r="AM6" s="251">
        <f>VLOOKUP($AK6,CS_PID!$B$1:$AS$151,MATCH(AM$1,CS_PID!$B$1:$AS$1,0), FALSE)</f>
        <v>0</v>
      </c>
      <c r="AN6" s="251">
        <f>VLOOKUP($AK6,CS_PID!$B$1:$AS$151,MATCH(AN$1,CS_PID!$B$1:$AS$1,0), FALSE)</f>
        <v>0</v>
      </c>
      <c r="AO6" s="251">
        <f>VLOOKUP($AK6,CS_PID!$B$1:$AS$151,MATCH(AO$1,CS_PID!$B$1:$AS$1,0), FALSE)</f>
        <v>0</v>
      </c>
      <c r="AP6" s="230"/>
      <c r="AQ6" s="230"/>
      <c r="AR6" s="230"/>
      <c r="AS6" s="230"/>
      <c r="AT6" s="230"/>
      <c r="AU6" s="230"/>
      <c r="AV6" s="230"/>
      <c r="AW6" s="230"/>
      <c r="AX6" s="278" t="s">
        <v>90</v>
      </c>
      <c r="AY6" s="279">
        <v>429.0</v>
      </c>
      <c r="AZ6" s="280">
        <f>VLOOKUP(AY6,LEBT[#ALL],4)</f>
        <v>0.00004079379352</v>
      </c>
      <c r="BA6" s="259">
        <f>VLOOKUP($AY6,CS_PID!$B$1:$AS$151,MATCH(BA$1,CS_PID!$B$1:$AS$1, 0), FALSE)</f>
        <v>0</v>
      </c>
      <c r="BB6" s="259">
        <f>VLOOKUP($AY6,CS_PID!$B$1:$AS$151,MATCH(BB$1,CS_PID!$B$1:$AS$1,0), FALSE)</f>
        <v>0</v>
      </c>
      <c r="BC6" s="259">
        <f>VLOOKUP($AY6,CS_PID!$B$1:$AS$151,MATCH(BC$1,CS_PID!$B$1:$AS$1,0), FALSE)</f>
        <v>2</v>
      </c>
    </row>
    <row r="7">
      <c r="A7" s="225"/>
      <c r="B7" s="225"/>
      <c r="C7" s="230"/>
      <c r="D7" s="230"/>
      <c r="E7" s="230"/>
      <c r="F7" s="230"/>
      <c r="G7" s="230"/>
      <c r="H7" s="287" t="s">
        <v>78</v>
      </c>
      <c r="I7" s="261">
        <v>264.0</v>
      </c>
      <c r="J7" s="262">
        <f>VLOOKUP(I7,LEBT[#ALL],4)</f>
        <v>0.00004012517723</v>
      </c>
      <c r="K7" s="234">
        <f>VLOOKUP($I7,CS_PID!$B$1:$AS$151,MATCH(K$1,CS_PID!$B$1:$AS$1,0), FALSE)</f>
        <v>46</v>
      </c>
      <c r="L7" s="234">
        <f>VLOOKUP($I7,CS_PID!$B$1:$AS$151,MATCH(L$1,CS_PID!$B$1:$AS$1,0), FALSE)</f>
        <v>83</v>
      </c>
      <c r="M7" s="234">
        <f>VLOOKUP($I7,CS_PID!$B$1:$AS$151,MATCH(M$1,CS_PID!$B$1:$AS$1,0), FALSE)</f>
        <v>120</v>
      </c>
      <c r="N7" s="230"/>
      <c r="O7" s="263" t="s">
        <v>80</v>
      </c>
      <c r="P7" s="264">
        <v>309.0</v>
      </c>
      <c r="Q7" s="265">
        <f>VLOOKUP(P7,LEBT[#ALL],4)</f>
        <v>0.00004002202492</v>
      </c>
      <c r="R7" s="238">
        <f>VLOOKUP($P7,CS_PID!$B$1:$AS$151,MATCH(R$1,CS_PID!$B$1:$AS$1,0), FALSE)</f>
        <v>256</v>
      </c>
      <c r="S7" s="238">
        <f>VLOOKUP($P7,CS_PID!$B$1:$AS$151,MATCH(S$1,CS_PID!$B$1:$AS$1,0), FALSE)</f>
        <v>202</v>
      </c>
      <c r="T7" s="238">
        <f>VLOOKUP($P7,CS_PID!$B$1:$AS$151,MATCH(T$1,CS_PID!$B$1:$AS$1,0), FALSE)</f>
        <v>255</v>
      </c>
      <c r="U7" s="239"/>
      <c r="V7" s="266" t="s">
        <v>82</v>
      </c>
      <c r="W7" s="267">
        <v>322.0</v>
      </c>
      <c r="X7" s="268">
        <f>VLOOKUP(W7,LEBT[#ALL],4)</f>
        <v>0.00004067081503</v>
      </c>
      <c r="Y7" s="243">
        <f>VLOOKUP($W7,CS_PID!$B$1:$AS$151,MATCH(Y$1,CS_PID!$B$1:$AS$1,0), FALSE)</f>
        <v>75</v>
      </c>
      <c r="Z7" s="243">
        <f>VLOOKUP($W7,CS_PID!$B$1:$AS$151,MATCH(Z$1,CS_PID!$B$1:$AS$1,0), FALSE)</f>
        <v>81</v>
      </c>
      <c r="AA7" s="243">
        <f>VLOOKUP($W7,CS_PID!$B$1:$AS$151,MATCH(AA$1,CS_PID!$B$1:$AS$1,0), FALSE)</f>
        <v>50</v>
      </c>
      <c r="AB7" s="230"/>
      <c r="AC7" s="269" t="s">
        <v>84</v>
      </c>
      <c r="AD7" s="270">
        <v>349.0</v>
      </c>
      <c r="AE7" s="271">
        <f>VLOOKUP(AD7,LEBT[#ALL],4)</f>
        <v>0.00003606546636</v>
      </c>
      <c r="AF7" s="247">
        <f>VLOOKUP($AD7,CS_PID!$B$1:$AS$151,MATCH(AF$1,CS_PID!$B$1:$AS$1, 0), FALSE)</f>
        <v>0</v>
      </c>
      <c r="AG7" s="247">
        <f>VLOOKUP($AD7,CS_PID!$B$1:$AS$151,MATCH(AG$1,CS_PID!$B$1:$AS$1, 0), FALSE)</f>
        <v>0</v>
      </c>
      <c r="AH7" s="247">
        <f>VLOOKUP($AD7,CS_PID!$B$1:$AS$151,MATCH(AH$1,CS_PID!$B$1:$AS$1, 0), FALSE)</f>
        <v>2</v>
      </c>
      <c r="AI7" s="230"/>
      <c r="AJ7" s="230"/>
      <c r="AK7" s="230"/>
      <c r="AL7" s="230"/>
      <c r="AM7" s="230"/>
      <c r="AN7" s="230"/>
      <c r="AO7" s="230"/>
      <c r="AP7" s="230"/>
      <c r="AQ7" s="230"/>
      <c r="AR7" s="230"/>
      <c r="AS7" s="230"/>
      <c r="AT7" s="230"/>
      <c r="AU7" s="230"/>
      <c r="AV7" s="230"/>
      <c r="AW7" s="230"/>
      <c r="AX7" s="278" t="s">
        <v>90</v>
      </c>
      <c r="AY7" s="279">
        <v>430.0</v>
      </c>
      <c r="AZ7" s="280">
        <f>VLOOKUP(AY7,LEBT[#ALL],4)</f>
        <v>0.00004056121447</v>
      </c>
      <c r="BA7" s="259">
        <f>VLOOKUP($AY7,CS_PID!$B$1:$AS$151,MATCH(BA$1,CS_PID!$B$1:$AS$1, 0), FALSE)</f>
        <v>0</v>
      </c>
      <c r="BB7" s="259">
        <f>VLOOKUP($AY7,CS_PID!$B$1:$AS$151,MATCH(BB$1,CS_PID!$B$1:$AS$1,0), FALSE)</f>
        <v>0</v>
      </c>
      <c r="BC7" s="259">
        <f>VLOOKUP($AY7,CS_PID!$B$1:$AS$151,MATCH(BC$1,CS_PID!$B$1:$AS$1,0), FALSE)</f>
        <v>0</v>
      </c>
    </row>
    <row r="8">
      <c r="A8" s="225"/>
      <c r="B8" s="225"/>
      <c r="C8" s="230"/>
      <c r="D8" s="230"/>
      <c r="E8" s="230"/>
      <c r="F8" s="230"/>
      <c r="G8" s="230"/>
      <c r="H8" s="287" t="s">
        <v>78</v>
      </c>
      <c r="I8" s="261">
        <v>265.0</v>
      </c>
      <c r="J8" s="262">
        <f>VLOOKUP(I8,LEBT[#ALL],4)</f>
        <v>0.00003898816504</v>
      </c>
      <c r="K8" s="234">
        <f>VLOOKUP($I8,CS_PID!$B$1:$AS$151,MATCH(K$1,CS_PID!$B$1:$AS$1,0), FALSE)</f>
        <v>16</v>
      </c>
      <c r="L8" s="234">
        <f>VLOOKUP($I8,CS_PID!$B$1:$AS$151,MATCH(L$1,CS_PID!$B$1:$AS$1,0), FALSE)</f>
        <v>17</v>
      </c>
      <c r="M8" s="234">
        <f>VLOOKUP($I8,CS_PID!$B$1:$AS$151,MATCH(M$1,CS_PID!$B$1:$AS$1,0), FALSE)</f>
        <v>25</v>
      </c>
      <c r="N8" s="230"/>
      <c r="O8" s="291" t="s">
        <v>80</v>
      </c>
      <c r="P8" s="292">
        <v>310.0</v>
      </c>
      <c r="Q8" s="293">
        <f>VLOOKUP(P8,LEBT[#ALL],4)</f>
        <v>0.00004070452671</v>
      </c>
      <c r="R8" s="238">
        <f>VLOOKUP($P8,CS_PID!$B$1:$AS$151,MATCH(R$1,CS_PID!$B$1:$AS$1,0), FALSE)</f>
        <v>354</v>
      </c>
      <c r="S8" s="238">
        <f>VLOOKUP($P8,CS_PID!$B$1:$AS$151,MATCH(S$1,CS_PID!$B$1:$AS$1,0), FALSE)</f>
        <v>289</v>
      </c>
      <c r="T8" s="238">
        <f>VLOOKUP($P8,CS_PID!$B$1:$AS$151,MATCH(T$1,CS_PID!$B$1:$AS$1,0), FALSE)</f>
        <v>391</v>
      </c>
      <c r="U8" s="239"/>
      <c r="V8" s="266" t="s">
        <v>82</v>
      </c>
      <c r="W8" s="267">
        <v>323.0</v>
      </c>
      <c r="X8" s="268">
        <f>VLOOKUP(W8,LEBT[#ALL],4)</f>
        <v>0.00003896668237</v>
      </c>
      <c r="Y8" s="243">
        <f>VLOOKUP($W8,CS_PID!$B$1:$AS$151,MATCH(Y$1,CS_PID!$B$1:$AS$1,0), FALSE)</f>
        <v>58</v>
      </c>
      <c r="Z8" s="243">
        <f>VLOOKUP($W8,CS_PID!$B$1:$AS$151,MATCH(Z$1,CS_PID!$B$1:$AS$1,0), FALSE)</f>
        <v>62</v>
      </c>
      <c r="AA8" s="243">
        <f>VLOOKUP($W8,CS_PID!$B$1:$AS$151,MATCH(AA$1,CS_PID!$B$1:$AS$1,0), FALSE)</f>
        <v>27</v>
      </c>
      <c r="AB8" s="230"/>
      <c r="AC8" s="269" t="s">
        <v>84</v>
      </c>
      <c r="AD8" s="270">
        <v>350.0</v>
      </c>
      <c r="AE8" s="271">
        <f>VLOOKUP(AD8,LEBT[#ALL],4)</f>
        <v>0.00003675640212</v>
      </c>
      <c r="AF8" s="247">
        <f>VLOOKUP($AD8,CS_PID!$B$1:$AS$151,MATCH(AF$1,CS_PID!$B$1:$AS$1, 0), FALSE)</f>
        <v>0</v>
      </c>
      <c r="AG8" s="247">
        <f>VLOOKUP($AD8,CS_PID!$B$1:$AS$151,MATCH(AG$1,CS_PID!$B$1:$AS$1, 0), FALSE)</f>
        <v>0</v>
      </c>
      <c r="AH8" s="247">
        <f>VLOOKUP($AD8,CS_PID!$B$1:$AS$151,MATCH(AH$1,CS_PID!$B$1:$AS$1, 0), FALSE)</f>
        <v>0</v>
      </c>
      <c r="AI8" s="230"/>
      <c r="AJ8" s="230"/>
      <c r="AK8" s="230"/>
      <c r="AL8" s="230"/>
      <c r="AM8" s="230"/>
      <c r="AN8" s="230"/>
      <c r="AO8" s="230"/>
      <c r="AP8" s="230"/>
      <c r="AQ8" s="230"/>
      <c r="AR8" s="230"/>
      <c r="AS8" s="230"/>
      <c r="AT8" s="230"/>
      <c r="AU8" s="230"/>
      <c r="AV8" s="230"/>
      <c r="AW8" s="230"/>
      <c r="AX8" s="278" t="s">
        <v>90</v>
      </c>
      <c r="AY8" s="279">
        <v>431.0</v>
      </c>
      <c r="AZ8" s="280">
        <f>VLOOKUP(AY8,LEBT[#ALL],4)</f>
        <v>0.00004027562008</v>
      </c>
      <c r="BA8" s="259">
        <f>VLOOKUP($AY8,CS_PID!$B$1:$AS$151,MATCH(BA$1,CS_PID!$B$1:$AS$1, 0), FALSE)</f>
        <v>0</v>
      </c>
      <c r="BB8" s="259">
        <f>VLOOKUP($AY8,CS_PID!$B$1:$AS$151,MATCH(BB$1,CS_PID!$B$1:$AS$1,0), FALSE)</f>
        <v>0</v>
      </c>
      <c r="BC8" s="259">
        <f>VLOOKUP($AY8,CS_PID!$B$1:$AS$151,MATCH(BC$1,CS_PID!$B$1:$AS$1,0), FALSE)</f>
        <v>2</v>
      </c>
    </row>
    <row r="9">
      <c r="A9" s="225"/>
      <c r="B9" s="225"/>
      <c r="C9" s="230"/>
      <c r="D9" s="230"/>
      <c r="E9" s="230"/>
      <c r="F9" s="230"/>
      <c r="G9" s="230"/>
      <c r="H9" s="287" t="s">
        <v>78</v>
      </c>
      <c r="I9" s="261">
        <v>266.0</v>
      </c>
      <c r="J9" s="262">
        <f>VLOOKUP(I9,LEBT[#ALL],4)</f>
        <v>0.00003970955595</v>
      </c>
      <c r="K9" s="234">
        <f>VLOOKUP($I9,CS_PID!$B$1:$AS$151,MATCH(K$1,CS_PID!$B$1:$AS$1,0), FALSE)</f>
        <v>36</v>
      </c>
      <c r="L9" s="234">
        <f>VLOOKUP($I9,CS_PID!$B$1:$AS$151,MATCH(L$1,CS_PID!$B$1:$AS$1,0), FALSE)</f>
        <v>49</v>
      </c>
      <c r="M9" s="234">
        <f>VLOOKUP($I9,CS_PID!$B$1:$AS$151,MATCH(M$1,CS_PID!$B$1:$AS$1,0), FALSE)</f>
        <v>55</v>
      </c>
      <c r="N9" s="230"/>
      <c r="O9" s="230"/>
      <c r="P9" s="230"/>
      <c r="Q9" s="230"/>
      <c r="R9" s="230"/>
      <c r="S9" s="230"/>
      <c r="T9" s="230"/>
      <c r="U9" s="230"/>
      <c r="V9" s="266" t="s">
        <v>82</v>
      </c>
      <c r="W9" s="267">
        <v>324.0</v>
      </c>
      <c r="X9" s="268">
        <f>VLOOKUP(W9,LEBT[#ALL],4)</f>
        <v>0.00003883421153</v>
      </c>
      <c r="Y9" s="243">
        <f>VLOOKUP($W9,CS_PID!$B$1:$AS$151,MATCH(Y$1,CS_PID!$B$1:$AS$1,0), FALSE)</f>
        <v>51</v>
      </c>
      <c r="Z9" s="243">
        <f>VLOOKUP($W9,CS_PID!$B$1:$AS$151,MATCH(Z$1,CS_PID!$B$1:$AS$1,0), FALSE)</f>
        <v>50</v>
      </c>
      <c r="AA9" s="243">
        <f>VLOOKUP($W9,CS_PID!$B$1:$AS$151,MATCH(AA$1,CS_PID!$B$1:$AS$1,0), FALSE)</f>
        <v>26</v>
      </c>
      <c r="AB9" s="230"/>
      <c r="AC9" s="269" t="s">
        <v>84</v>
      </c>
      <c r="AD9" s="270">
        <v>351.0</v>
      </c>
      <c r="AE9" s="271">
        <f>VLOOKUP(AD9,LEBT[#ALL],4)</f>
        <v>0.00003335371247</v>
      </c>
      <c r="AF9" s="247">
        <f>VLOOKUP($AD9,CS_PID!$B$1:$AS$151,MATCH(AF$1,CS_PID!$B$1:$AS$1, 0), FALSE)</f>
        <v>0</v>
      </c>
      <c r="AG9" s="247">
        <f>VLOOKUP($AD9,CS_PID!$B$1:$AS$151,MATCH(AG$1,CS_PID!$B$1:$AS$1, 0), FALSE)</f>
        <v>0</v>
      </c>
      <c r="AH9" s="247">
        <f>VLOOKUP($AD9,CS_PID!$B$1:$AS$151,MATCH(AH$1,CS_PID!$B$1:$AS$1, 0), FALSE)</f>
        <v>0</v>
      </c>
      <c r="AI9" s="230"/>
      <c r="AJ9" s="230"/>
      <c r="AK9" s="230"/>
      <c r="AL9" s="230"/>
      <c r="AM9" s="230"/>
      <c r="AN9" s="230"/>
      <c r="AO9" s="230"/>
      <c r="AP9" s="230"/>
      <c r="AQ9" s="230"/>
      <c r="AR9" s="230"/>
      <c r="AS9" s="230"/>
      <c r="AT9" s="230"/>
      <c r="AU9" s="230"/>
      <c r="AV9" s="230"/>
      <c r="AW9" s="230"/>
      <c r="AX9" s="278" t="s">
        <v>90</v>
      </c>
      <c r="AY9" s="279">
        <v>433.0</v>
      </c>
      <c r="AZ9" s="280">
        <f>VLOOKUP(AY9,LEBT[#ALL],4)</f>
        <v>0.00004189085527</v>
      </c>
      <c r="BA9" s="259">
        <f>VLOOKUP($AY9,CS_PID!$B$1:$AS$151,MATCH(BA$1,CS_PID!$B$1:$AS$1, 0), FALSE)</f>
        <v>0</v>
      </c>
      <c r="BB9" s="259">
        <f>VLOOKUP($AY9,CS_PID!$B$1:$AS$151,MATCH(BB$1,CS_PID!$B$1:$AS$1,0), FALSE)</f>
        <v>0</v>
      </c>
      <c r="BC9" s="259">
        <f>VLOOKUP($AY9,CS_PID!$B$1:$AS$151,MATCH(BC$1,CS_PID!$B$1:$AS$1,0), FALSE)</f>
        <v>0</v>
      </c>
    </row>
    <row r="10">
      <c r="A10" s="225"/>
      <c r="B10" s="225"/>
      <c r="C10" s="230"/>
      <c r="D10" s="230"/>
      <c r="E10" s="230"/>
      <c r="F10" s="230"/>
      <c r="G10" s="230"/>
      <c r="H10" s="287" t="s">
        <v>78</v>
      </c>
      <c r="I10" s="261">
        <v>267.0</v>
      </c>
      <c r="J10" s="262">
        <f>VLOOKUP(I10,LEBT[#ALL],4)</f>
        <v>0.00003931038347</v>
      </c>
      <c r="K10" s="234">
        <f>VLOOKUP($I10,CS_PID!$B$1:$AS$151,MATCH(K$1,CS_PID!$B$1:$AS$1,0), FALSE)</f>
        <v>46</v>
      </c>
      <c r="L10" s="234">
        <f>VLOOKUP($I10,CS_PID!$B$1:$AS$151,MATCH(L$1,CS_PID!$B$1:$AS$1,0), FALSE)</f>
        <v>76</v>
      </c>
      <c r="M10" s="234">
        <f>VLOOKUP($I10,CS_PID!$B$1:$AS$151,MATCH(M$1,CS_PID!$B$1:$AS$1,0), FALSE)</f>
        <v>76</v>
      </c>
      <c r="N10" s="230"/>
      <c r="O10" s="230"/>
      <c r="P10" s="230"/>
      <c r="Q10" s="230"/>
      <c r="R10" s="230"/>
      <c r="S10" s="230"/>
      <c r="T10" s="230"/>
      <c r="U10" s="230"/>
      <c r="V10" s="266" t="s">
        <v>82</v>
      </c>
      <c r="W10" s="267">
        <v>325.0</v>
      </c>
      <c r="X10" s="268">
        <f>VLOOKUP(W10,LEBT[#ALL],4)</f>
        <v>0.00003688437293</v>
      </c>
      <c r="Y10" s="243">
        <f>VLOOKUP($W10,CS_PID!$B$1:$AS$151,MATCH(Y$1,CS_PID!$B$1:$AS$1,0), FALSE)</f>
        <v>17</v>
      </c>
      <c r="Z10" s="243">
        <f>VLOOKUP($W10,CS_PID!$B$1:$AS$151,MATCH(Z$1,CS_PID!$B$1:$AS$1,0), FALSE)</f>
        <v>15</v>
      </c>
      <c r="AA10" s="243">
        <f>VLOOKUP($W10,CS_PID!$B$1:$AS$151,MATCH(AA$1,CS_PID!$B$1:$AS$1,0), FALSE)</f>
        <v>7</v>
      </c>
      <c r="AB10" s="230"/>
      <c r="AC10" s="269" t="s">
        <v>84</v>
      </c>
      <c r="AD10" s="270">
        <v>352.0</v>
      </c>
      <c r="AE10" s="271">
        <f>VLOOKUP(AD10,LEBT[#ALL],4)</f>
        <v>0.00003669556936</v>
      </c>
      <c r="AF10" s="247">
        <f>VLOOKUP($AD10,CS_PID!$B$1:$AS$151,MATCH(AF$1,CS_PID!$B$1:$AS$1, 0), FALSE)</f>
        <v>0</v>
      </c>
      <c r="AG10" s="247">
        <f>VLOOKUP($AD10,CS_PID!$B$1:$AS$151,MATCH(AG$1,CS_PID!$B$1:$AS$1, 0), FALSE)</f>
        <v>0</v>
      </c>
      <c r="AH10" s="247">
        <f>VLOOKUP($AD10,CS_PID!$B$1:$AS$151,MATCH(AH$1,CS_PID!$B$1:$AS$1, 0), FALSE)</f>
        <v>1</v>
      </c>
      <c r="AI10" s="230"/>
      <c r="AJ10" s="230"/>
      <c r="AK10" s="230"/>
      <c r="AL10" s="230"/>
      <c r="AM10" s="230"/>
      <c r="AN10" s="230"/>
      <c r="AO10" s="230"/>
      <c r="AP10" s="230"/>
      <c r="AQ10" s="230"/>
      <c r="AR10" s="230"/>
      <c r="AS10" s="230"/>
      <c r="AT10" s="230"/>
      <c r="AU10" s="230"/>
      <c r="AV10" s="230"/>
      <c r="AW10" s="230"/>
      <c r="AX10" s="278" t="s">
        <v>90</v>
      </c>
      <c r="AY10" s="279">
        <v>434.0</v>
      </c>
      <c r="AZ10" s="280">
        <f>VLOOKUP(AY10,LEBT[#ALL],4)</f>
        <v>0.0000412097785</v>
      </c>
      <c r="BA10" s="259">
        <f>VLOOKUP($AY10,CS_PID!$B$1:$AS$151,MATCH(BA$1,CS_PID!$B$1:$AS$1, 0), FALSE)</f>
        <v>0</v>
      </c>
      <c r="BB10" s="259">
        <f>VLOOKUP($AY10,CS_PID!$B$1:$AS$151,MATCH(BB$1,CS_PID!$B$1:$AS$1,0), FALSE)</f>
        <v>1</v>
      </c>
      <c r="BC10" s="259">
        <f>VLOOKUP($AY10,CS_PID!$B$1:$AS$151,MATCH(BC$1,CS_PID!$B$1:$AS$1,0), FALSE)</f>
        <v>0</v>
      </c>
    </row>
    <row r="11">
      <c r="A11" s="225"/>
      <c r="B11" s="225"/>
      <c r="C11" s="230"/>
      <c r="D11" s="230"/>
      <c r="E11" s="230"/>
      <c r="F11" s="230"/>
      <c r="G11" s="230"/>
      <c r="H11" s="287" t="s">
        <v>78</v>
      </c>
      <c r="I11" s="261">
        <v>271.0</v>
      </c>
      <c r="J11" s="262">
        <f>VLOOKUP(I11,LEBT[#ALL],4)</f>
        <v>0.00003889358717</v>
      </c>
      <c r="K11" s="234">
        <f>VLOOKUP($I11,CS_PID!$B$1:$AS$151,MATCH(K$1,CS_PID!$B$1:$AS$1,0), FALSE)</f>
        <v>22</v>
      </c>
      <c r="L11" s="234">
        <f>VLOOKUP($I11,CS_PID!$B$1:$AS$151,MATCH(L$1,CS_PID!$B$1:$AS$1,0), FALSE)</f>
        <v>25</v>
      </c>
      <c r="M11" s="234">
        <f>VLOOKUP($I11,CS_PID!$B$1:$AS$151,MATCH(M$1,CS_PID!$B$1:$AS$1,0), FALSE)</f>
        <v>29</v>
      </c>
      <c r="N11" s="230"/>
      <c r="O11" s="230"/>
      <c r="P11" s="230"/>
      <c r="Q11" s="230"/>
      <c r="R11" s="230"/>
      <c r="S11" s="230"/>
      <c r="T11" s="230"/>
      <c r="U11" s="230"/>
      <c r="V11" s="266" t="s">
        <v>82</v>
      </c>
      <c r="W11" s="267">
        <v>326.0</v>
      </c>
      <c r="X11" s="268">
        <f>VLOOKUP(W11,LEBT[#ALL],4)</f>
        <v>0.00003900855289</v>
      </c>
      <c r="Y11" s="243">
        <f>VLOOKUP($W11,CS_PID!$B$1:$AS$151,MATCH(Y$1,CS_PID!$B$1:$AS$1,0), FALSE)</f>
        <v>73</v>
      </c>
      <c r="Z11" s="243">
        <f>VLOOKUP($W11,CS_PID!$B$1:$AS$151,MATCH(Z$1,CS_PID!$B$1:$AS$1,0), FALSE)</f>
        <v>59</v>
      </c>
      <c r="AA11" s="243">
        <f>VLOOKUP($W11,CS_PID!$B$1:$AS$151,MATCH(AA$1,CS_PID!$B$1:$AS$1,0), FALSE)</f>
        <v>27</v>
      </c>
      <c r="AB11" s="230"/>
      <c r="AC11" s="269" t="s">
        <v>84</v>
      </c>
      <c r="AD11" s="270">
        <v>361.0</v>
      </c>
      <c r="AE11" s="271">
        <f>VLOOKUP(AD11,LEBT[#ALL],4)</f>
        <v>0.00003687309974</v>
      </c>
      <c r="AF11" s="247">
        <f>VLOOKUP($AD11,CS_PID!$B$1:$AS$151,MATCH(AF$1,CS_PID!$B$1:$AS$1, 0), FALSE)</f>
        <v>0</v>
      </c>
      <c r="AG11" s="247">
        <f>VLOOKUP($AD11,CS_PID!$B$1:$AS$151,MATCH(AG$1,CS_PID!$B$1:$AS$1, 0), FALSE)</f>
        <v>0</v>
      </c>
      <c r="AH11" s="247">
        <f>VLOOKUP($AD11,CS_PID!$B$1:$AS$151,MATCH(AH$1,CS_PID!$B$1:$AS$1, 0), FALSE)</f>
        <v>0</v>
      </c>
      <c r="AI11" s="230"/>
      <c r="AJ11" s="230"/>
      <c r="AK11" s="230"/>
      <c r="AL11" s="230"/>
      <c r="AM11" s="230"/>
      <c r="AN11" s="230"/>
      <c r="AO11" s="230"/>
      <c r="AP11" s="230"/>
      <c r="AQ11" s="230"/>
      <c r="AR11" s="230"/>
      <c r="AS11" s="230"/>
      <c r="AT11" s="230"/>
      <c r="AU11" s="230"/>
      <c r="AV11" s="230"/>
      <c r="AW11" s="230"/>
      <c r="AX11" s="278" t="s">
        <v>90</v>
      </c>
      <c r="AY11" s="279">
        <v>435.0</v>
      </c>
      <c r="AZ11" s="280">
        <f>VLOOKUP(AY11,LEBT[#ALL],4)</f>
        <v>0.00004115930972</v>
      </c>
      <c r="BA11" s="259">
        <f>VLOOKUP($AY11,CS_PID!$B$1:$AS$151,MATCH(BA$1,CS_PID!$B$1:$AS$1, 0), FALSE)</f>
        <v>0</v>
      </c>
      <c r="BB11" s="259">
        <f>VLOOKUP($AY11,CS_PID!$B$1:$AS$151,MATCH(BB$1,CS_PID!$B$1:$AS$1,0), FALSE)</f>
        <v>0</v>
      </c>
      <c r="BC11" s="259">
        <f>VLOOKUP($AY11,CS_PID!$B$1:$AS$151,MATCH(BC$1,CS_PID!$B$1:$AS$1,0), FALSE)</f>
        <v>0</v>
      </c>
    </row>
    <row r="12">
      <c r="A12" s="225"/>
      <c r="B12" s="225"/>
      <c r="C12" s="230"/>
      <c r="D12" s="230"/>
      <c r="E12" s="230"/>
      <c r="F12" s="230"/>
      <c r="G12" s="230"/>
      <c r="H12" s="287" t="s">
        <v>78</v>
      </c>
      <c r="I12" s="261">
        <v>272.0</v>
      </c>
      <c r="J12" s="262">
        <f>VLOOKUP(I12,LEBT[#ALL],4)</f>
        <v>0.00003781820482</v>
      </c>
      <c r="K12" s="234">
        <f>VLOOKUP($I12,CS_PID!$B$1:$AS$151,MATCH(K$1,CS_PID!$B$1:$AS$1,0), FALSE)</f>
        <v>7</v>
      </c>
      <c r="L12" s="234">
        <f>VLOOKUP($I12,CS_PID!$B$1:$AS$151,MATCH(L$1,CS_PID!$B$1:$AS$1,0), FALSE)</f>
        <v>15</v>
      </c>
      <c r="M12" s="234">
        <f>VLOOKUP($I12,CS_PID!$B$1:$AS$151,MATCH(M$1,CS_PID!$B$1:$AS$1,0), FALSE)</f>
        <v>18</v>
      </c>
      <c r="N12" s="230"/>
      <c r="O12" s="230"/>
      <c r="P12" s="230"/>
      <c r="Q12" s="230"/>
      <c r="R12" s="230"/>
      <c r="S12" s="230"/>
      <c r="T12" s="230"/>
      <c r="U12" s="230"/>
      <c r="V12" s="266" t="s">
        <v>82</v>
      </c>
      <c r="W12" s="267">
        <v>327.0</v>
      </c>
      <c r="X12" s="268">
        <f>VLOOKUP(W12,LEBT[#ALL],4)</f>
        <v>0.00003912996509</v>
      </c>
      <c r="Y12" s="243">
        <f>VLOOKUP($W12,CS_PID!$B$1:$AS$151,MATCH(Y$1,CS_PID!$B$1:$AS$1,0), FALSE)</f>
        <v>117</v>
      </c>
      <c r="Z12" s="243">
        <f>VLOOKUP($W12,CS_PID!$B$1:$AS$151,MATCH(Z$1,CS_PID!$B$1:$AS$1,0), FALSE)</f>
        <v>93</v>
      </c>
      <c r="AA12" s="243">
        <f>VLOOKUP($W12,CS_PID!$B$1:$AS$151,MATCH(AA$1,CS_PID!$B$1:$AS$1,0), FALSE)</f>
        <v>48</v>
      </c>
      <c r="AB12" s="230"/>
      <c r="AC12" s="269" t="s">
        <v>84</v>
      </c>
      <c r="AD12" s="270">
        <v>362.0</v>
      </c>
      <c r="AE12" s="271">
        <f>VLOOKUP(AD12,LEBT[#ALL],4)</f>
        <v>0.00003652057892</v>
      </c>
      <c r="AF12" s="247">
        <f>VLOOKUP($AD12,CS_PID!$B$1:$AS$151,MATCH(AF$1,CS_PID!$B$1:$AS$1, 0), FALSE)</f>
        <v>0</v>
      </c>
      <c r="AG12" s="247">
        <f>VLOOKUP($AD12,CS_PID!$B$1:$AS$151,MATCH(AG$1,CS_PID!$B$1:$AS$1, 0), FALSE)</f>
        <v>0</v>
      </c>
      <c r="AH12" s="247">
        <f>VLOOKUP($AD12,CS_PID!$B$1:$AS$151,MATCH(AH$1,CS_PID!$B$1:$AS$1, 0), FALSE)</f>
        <v>0</v>
      </c>
      <c r="AI12" s="230"/>
      <c r="AJ12" s="230"/>
      <c r="AK12" s="230"/>
      <c r="AL12" s="230"/>
      <c r="AM12" s="230"/>
      <c r="AN12" s="230"/>
      <c r="AO12" s="230"/>
      <c r="AP12" s="230"/>
      <c r="AQ12" s="230"/>
      <c r="AR12" s="230"/>
      <c r="AS12" s="230"/>
      <c r="AT12" s="230"/>
      <c r="AU12" s="230"/>
      <c r="AV12" s="230"/>
      <c r="AW12" s="230"/>
      <c r="AX12" s="278" t="s">
        <v>90</v>
      </c>
      <c r="AY12" s="279">
        <v>436.0</v>
      </c>
      <c r="AZ12" s="280">
        <f>VLOOKUP(AY12,LEBT[#ALL],4)</f>
        <v>0.0000368369391</v>
      </c>
      <c r="BA12" s="259">
        <f>VLOOKUP($AY12,CS_PID!$B$1:$AS$151,MATCH(BA$1,CS_PID!$B$1:$AS$1, 0), FALSE)</f>
        <v>0</v>
      </c>
      <c r="BB12" s="259">
        <f>VLOOKUP($AY12,CS_PID!$B$1:$AS$151,MATCH(BB$1,CS_PID!$B$1:$AS$1,0), FALSE)</f>
        <v>0</v>
      </c>
      <c r="BC12" s="259">
        <f>VLOOKUP($AY12,CS_PID!$B$1:$AS$151,MATCH(BC$1,CS_PID!$B$1:$AS$1,0), FALSE)</f>
        <v>0</v>
      </c>
    </row>
    <row r="13">
      <c r="A13" s="225"/>
      <c r="B13" s="225"/>
      <c r="C13" s="230"/>
      <c r="D13" s="230"/>
      <c r="E13" s="230"/>
      <c r="F13" s="230"/>
      <c r="G13" s="230"/>
      <c r="H13" s="287" t="s">
        <v>78</v>
      </c>
      <c r="I13" s="261">
        <v>273.0</v>
      </c>
      <c r="J13" s="262">
        <f>VLOOKUP(I13,LEBT[#ALL],4)</f>
        <v>0.00003737077624</v>
      </c>
      <c r="K13" s="234">
        <f>VLOOKUP($I13,CS_PID!$B$1:$AS$151,MATCH(K$1,CS_PID!$B$1:$AS$1,0), FALSE)</f>
        <v>5</v>
      </c>
      <c r="L13" s="234">
        <f>VLOOKUP($I13,CS_PID!$B$1:$AS$151,MATCH(L$1,CS_PID!$B$1:$AS$1,0), FALSE)</f>
        <v>17</v>
      </c>
      <c r="M13" s="234">
        <f>VLOOKUP($I13,CS_PID!$B$1:$AS$151,MATCH(M$1,CS_PID!$B$1:$AS$1,0), FALSE)</f>
        <v>15</v>
      </c>
      <c r="N13" s="230"/>
      <c r="O13" s="230"/>
      <c r="P13" s="230"/>
      <c r="Q13" s="230"/>
      <c r="R13" s="230"/>
      <c r="S13" s="230"/>
      <c r="T13" s="230"/>
      <c r="U13" s="230"/>
      <c r="V13" s="266" t="s">
        <v>82</v>
      </c>
      <c r="W13" s="267">
        <v>328.0</v>
      </c>
      <c r="X13" s="268">
        <f>VLOOKUP(W13,LEBT[#ALL],4)</f>
        <v>0.00003943467933</v>
      </c>
      <c r="Y13" s="243">
        <f>VLOOKUP($W13,CS_PID!$B$1:$AS$151,MATCH(Y$1,CS_PID!$B$1:$AS$1,0), FALSE)</f>
        <v>167</v>
      </c>
      <c r="Z13" s="243">
        <f>VLOOKUP($W13,CS_PID!$B$1:$AS$151,MATCH(Z$1,CS_PID!$B$1:$AS$1,0), FALSE)</f>
        <v>148</v>
      </c>
      <c r="AA13" s="243">
        <f>VLOOKUP($W13,CS_PID!$B$1:$AS$151,MATCH(AA$1,CS_PID!$B$1:$AS$1,0), FALSE)</f>
        <v>74</v>
      </c>
      <c r="AB13" s="230"/>
      <c r="AC13" s="269" t="s">
        <v>84</v>
      </c>
      <c r="AD13" s="270">
        <v>364.0</v>
      </c>
      <c r="AE13" s="271">
        <f>VLOOKUP(AD13,LEBT[#ALL],4)</f>
        <v>0.00003889388413</v>
      </c>
      <c r="AF13" s="247">
        <f>VLOOKUP($AD13,CS_PID!$B$1:$AS$151,MATCH(AF$1,CS_PID!$B$1:$AS$1, 0), FALSE)</f>
        <v>0</v>
      </c>
      <c r="AG13" s="247">
        <f>VLOOKUP($AD13,CS_PID!$B$1:$AS$151,MATCH(AG$1,CS_PID!$B$1:$AS$1, 0), FALSE)</f>
        <v>0</v>
      </c>
      <c r="AH13" s="247">
        <f>VLOOKUP($AD13,CS_PID!$B$1:$AS$151,MATCH(AH$1,CS_PID!$B$1:$AS$1, 0), FALSE)</f>
        <v>0</v>
      </c>
      <c r="AI13" s="230"/>
      <c r="AJ13" s="230"/>
      <c r="AK13" s="230"/>
      <c r="AL13" s="230"/>
      <c r="AM13" s="230"/>
      <c r="AN13" s="230"/>
      <c r="AO13" s="230"/>
      <c r="AP13" s="230"/>
      <c r="AQ13" s="230"/>
      <c r="AR13" s="230"/>
      <c r="AS13" s="230"/>
      <c r="AT13" s="230"/>
      <c r="AU13" s="230"/>
      <c r="AV13" s="230"/>
      <c r="AW13" s="230"/>
      <c r="AX13" s="278" t="s">
        <v>90</v>
      </c>
      <c r="AY13" s="279">
        <v>437.0</v>
      </c>
      <c r="AZ13" s="280">
        <f>VLOOKUP(AY13,LEBT[#ALL],4)</f>
        <v>0.00004111571992</v>
      </c>
      <c r="BA13" s="259">
        <f>VLOOKUP($AY13,CS_PID!$B$1:$AS$151,MATCH(BA$1,CS_PID!$B$1:$AS$1, 0), FALSE)</f>
        <v>0</v>
      </c>
      <c r="BB13" s="259">
        <f>VLOOKUP($AY13,CS_PID!$B$1:$AS$151,MATCH(BB$1,CS_PID!$B$1:$AS$1,0), FALSE)</f>
        <v>0</v>
      </c>
      <c r="BC13" s="259">
        <f>VLOOKUP($AY13,CS_PID!$B$1:$AS$151,MATCH(BC$1,CS_PID!$B$1:$AS$1,0), FALSE)</f>
        <v>0</v>
      </c>
    </row>
    <row r="14">
      <c r="A14" s="225"/>
      <c r="B14" s="225"/>
      <c r="C14" s="230"/>
      <c r="D14" s="230"/>
      <c r="E14" s="230"/>
      <c r="F14" s="230"/>
      <c r="G14" s="230"/>
      <c r="H14" s="287" t="s">
        <v>78</v>
      </c>
      <c r="I14" s="261">
        <v>274.0</v>
      </c>
      <c r="J14" s="262">
        <f>VLOOKUP(I14,LEBT[#ALL],4)</f>
        <v>0.00003819184028</v>
      </c>
      <c r="K14" s="234">
        <f>VLOOKUP($I14,CS_PID!$B$1:$AS$151,MATCH(K$1,CS_PID!$B$1:$AS$1,0), FALSE)</f>
        <v>18</v>
      </c>
      <c r="L14" s="234">
        <f>VLOOKUP($I14,CS_PID!$B$1:$AS$151,MATCH(L$1,CS_PID!$B$1:$AS$1,0), FALSE)</f>
        <v>23</v>
      </c>
      <c r="M14" s="234">
        <f>VLOOKUP($I14,CS_PID!$B$1:$AS$151,MATCH(M$1,CS_PID!$B$1:$AS$1,0), FALSE)</f>
        <v>20</v>
      </c>
      <c r="N14" s="230"/>
      <c r="O14" s="230"/>
      <c r="P14" s="230"/>
      <c r="Q14" s="230"/>
      <c r="R14" s="230"/>
      <c r="S14" s="230"/>
      <c r="T14" s="230"/>
      <c r="U14" s="230"/>
      <c r="V14" s="266" t="s">
        <v>82</v>
      </c>
      <c r="W14" s="267">
        <v>329.0</v>
      </c>
      <c r="X14" s="268">
        <f>VLOOKUP(W14,LEBT[#ALL],4)</f>
        <v>0.00003941215789</v>
      </c>
      <c r="Y14" s="243">
        <f>VLOOKUP($W14,CS_PID!$B$1:$AS$151,MATCH(Y$1,CS_PID!$B$1:$AS$1,0), FALSE)</f>
        <v>177</v>
      </c>
      <c r="Z14" s="243">
        <f>VLOOKUP($W14,CS_PID!$B$1:$AS$151,MATCH(Z$1,CS_PID!$B$1:$AS$1,0), FALSE)</f>
        <v>147</v>
      </c>
      <c r="AA14" s="243">
        <f>VLOOKUP($W14,CS_PID!$B$1:$AS$151,MATCH(AA$1,CS_PID!$B$1:$AS$1,0), FALSE)</f>
        <v>78</v>
      </c>
      <c r="AB14" s="230"/>
      <c r="AC14" s="269" t="s">
        <v>84</v>
      </c>
      <c r="AD14" s="270">
        <v>365.0</v>
      </c>
      <c r="AE14" s="271">
        <f>VLOOKUP(AD14,LEBT[#ALL],4)</f>
        <v>0.00003868577764</v>
      </c>
      <c r="AF14" s="247">
        <f>VLOOKUP($AD14,CS_PID!$B$1:$AS$151,MATCH(AF$1,CS_PID!$B$1:$AS$1, 0), FALSE)</f>
        <v>0</v>
      </c>
      <c r="AG14" s="247">
        <f>VLOOKUP($AD14,CS_PID!$B$1:$AS$151,MATCH(AG$1,CS_PID!$B$1:$AS$1, 0), FALSE)</f>
        <v>0</v>
      </c>
      <c r="AH14" s="247">
        <f>VLOOKUP($AD14,CS_PID!$B$1:$AS$151,MATCH(AH$1,CS_PID!$B$1:$AS$1, 0), FALSE)</f>
        <v>1</v>
      </c>
      <c r="AI14" s="230"/>
      <c r="AJ14" s="230"/>
      <c r="AK14" s="230"/>
      <c r="AL14" s="230"/>
      <c r="AM14" s="230"/>
      <c r="AN14" s="230"/>
      <c r="AO14" s="230"/>
      <c r="AP14" s="230"/>
      <c r="AQ14" s="230"/>
      <c r="AR14" s="230"/>
      <c r="AS14" s="230"/>
      <c r="AT14" s="230"/>
      <c r="AU14" s="230"/>
      <c r="AV14" s="230"/>
      <c r="AW14" s="230"/>
      <c r="AX14" s="278" t="s">
        <v>90</v>
      </c>
      <c r="AY14" s="279">
        <v>438.0</v>
      </c>
      <c r="AZ14" s="280">
        <f>VLOOKUP(AY14,LEBT[#ALL],4)</f>
        <v>0.00004138810678</v>
      </c>
      <c r="BA14" s="259">
        <f>VLOOKUP($AY14,CS_PID!$B$1:$AS$151,MATCH(BA$1,CS_PID!$B$1:$AS$1, 0), FALSE)</f>
        <v>0</v>
      </c>
      <c r="BB14" s="259">
        <f>VLOOKUP($AY14,CS_PID!$B$1:$AS$151,MATCH(BB$1,CS_PID!$B$1:$AS$1,0), FALSE)</f>
        <v>0</v>
      </c>
      <c r="BC14" s="259">
        <f>VLOOKUP($AY14,CS_PID!$B$1:$AS$151,MATCH(BC$1,CS_PID!$B$1:$AS$1,0), FALSE)</f>
        <v>1</v>
      </c>
    </row>
    <row r="15">
      <c r="A15" s="225"/>
      <c r="B15" s="225"/>
      <c r="C15" s="230"/>
      <c r="D15" s="230"/>
      <c r="E15" s="230"/>
      <c r="F15" s="230"/>
      <c r="G15" s="230"/>
      <c r="H15" s="287" t="s">
        <v>78</v>
      </c>
      <c r="I15" s="261">
        <v>275.0</v>
      </c>
      <c r="J15" s="262">
        <f>VLOOKUP(I15,LEBT[#ALL],4)</f>
        <v>0.0000386527079</v>
      </c>
      <c r="K15" s="234">
        <f>VLOOKUP($I15,CS_PID!$B$1:$AS$151,MATCH(K$1,CS_PID!$B$1:$AS$1,0), FALSE)</f>
        <v>34</v>
      </c>
      <c r="L15" s="234">
        <f>VLOOKUP($I15,CS_PID!$B$1:$AS$151,MATCH(L$1,CS_PID!$B$1:$AS$1,0), FALSE)</f>
        <v>34</v>
      </c>
      <c r="M15" s="234">
        <f>VLOOKUP($I15,CS_PID!$B$1:$AS$151,MATCH(M$1,CS_PID!$B$1:$AS$1,0), FALSE)</f>
        <v>36</v>
      </c>
      <c r="N15" s="230"/>
      <c r="O15" s="230"/>
      <c r="P15" s="230"/>
      <c r="Q15" s="230"/>
      <c r="R15" s="230"/>
      <c r="S15" s="230"/>
      <c r="T15" s="230"/>
      <c r="U15" s="230"/>
      <c r="V15" s="266" t="s">
        <v>82</v>
      </c>
      <c r="W15" s="267">
        <v>330.0</v>
      </c>
      <c r="X15" s="268">
        <f>VLOOKUP(W15,LEBT[#ALL],4)</f>
        <v>0.00003887346221</v>
      </c>
      <c r="Y15" s="243">
        <f>VLOOKUP($W15,CS_PID!$B$1:$AS$151,MATCH(Y$1,CS_PID!$B$1:$AS$1,0), FALSE)</f>
        <v>76</v>
      </c>
      <c r="Z15" s="243">
        <f>VLOOKUP($W15,CS_PID!$B$1:$AS$151,MATCH(Z$1,CS_PID!$B$1:$AS$1,0), FALSE)</f>
        <v>50</v>
      </c>
      <c r="AA15" s="243">
        <f>VLOOKUP($W15,CS_PID!$B$1:$AS$151,MATCH(AA$1,CS_PID!$B$1:$AS$1,0), FALSE)</f>
        <v>29</v>
      </c>
      <c r="AB15" s="230"/>
      <c r="AC15" s="269" t="s">
        <v>84</v>
      </c>
      <c r="AD15" s="270">
        <v>366.0</v>
      </c>
      <c r="AE15" s="271">
        <f>VLOOKUP(AD15,LEBT[#ALL],4)</f>
        <v>0.00003935932542</v>
      </c>
      <c r="AF15" s="247">
        <f>VLOOKUP($AD15,CS_PID!$B$1:$AS$151,MATCH(AF$1,CS_PID!$B$1:$AS$1, 0), FALSE)</f>
        <v>0</v>
      </c>
      <c r="AG15" s="247">
        <f>VLOOKUP($AD15,CS_PID!$B$1:$AS$151,MATCH(AG$1,CS_PID!$B$1:$AS$1, 0), FALSE)</f>
        <v>0</v>
      </c>
      <c r="AH15" s="247">
        <f>VLOOKUP($AD15,CS_PID!$B$1:$AS$151,MATCH(AH$1,CS_PID!$B$1:$AS$1, 0), FALSE)</f>
        <v>1</v>
      </c>
      <c r="AI15" s="230"/>
      <c r="AJ15" s="230"/>
      <c r="AK15" s="230"/>
      <c r="AL15" s="230"/>
      <c r="AM15" s="230"/>
      <c r="AN15" s="230"/>
      <c r="AO15" s="230"/>
      <c r="AP15" s="230"/>
      <c r="AQ15" s="230"/>
      <c r="AR15" s="230"/>
      <c r="AS15" s="230"/>
      <c r="AT15" s="230"/>
      <c r="AU15" s="230"/>
      <c r="AV15" s="230"/>
      <c r="AW15" s="230"/>
      <c r="AX15" s="278" t="s">
        <v>90</v>
      </c>
      <c r="AY15" s="279">
        <v>439.0</v>
      </c>
      <c r="AZ15" s="280">
        <f>VLOOKUP(AY15,LEBT[#ALL],4)</f>
        <v>0.00004095981201</v>
      </c>
      <c r="BA15" s="259">
        <f>VLOOKUP($AY15,CS_PID!$B$1:$AS$151,MATCH(BA$1,CS_PID!$B$1:$AS$1, 0), FALSE)</f>
        <v>0</v>
      </c>
      <c r="BB15" s="259">
        <f>VLOOKUP($AY15,CS_PID!$B$1:$AS$151,MATCH(BB$1,CS_PID!$B$1:$AS$1,0), FALSE)</f>
        <v>0</v>
      </c>
      <c r="BC15" s="259">
        <f>VLOOKUP($AY15,CS_PID!$B$1:$AS$151,MATCH(BC$1,CS_PID!$B$1:$AS$1,0), FALSE)</f>
        <v>0</v>
      </c>
    </row>
    <row r="16">
      <c r="A16" s="225"/>
      <c r="B16" s="225"/>
      <c r="C16" s="230"/>
      <c r="D16" s="230"/>
      <c r="E16" s="230"/>
      <c r="F16" s="230"/>
      <c r="G16" s="230"/>
      <c r="H16" s="287" t="s">
        <v>78</v>
      </c>
      <c r="I16" s="261">
        <v>276.0</v>
      </c>
      <c r="J16" s="262">
        <f>VLOOKUP(I16,LEBT[#ALL],4)</f>
        <v>0.00003886052611</v>
      </c>
      <c r="K16" s="234">
        <f>VLOOKUP($I16,CS_PID!$B$1:$AS$151,MATCH(K$1,CS_PID!$B$1:$AS$1,0), FALSE)</f>
        <v>44</v>
      </c>
      <c r="L16" s="234">
        <f>VLOOKUP($I16,CS_PID!$B$1:$AS$151,MATCH(L$1,CS_PID!$B$1:$AS$1,0), FALSE)</f>
        <v>62</v>
      </c>
      <c r="M16" s="234">
        <f>VLOOKUP($I16,CS_PID!$B$1:$AS$151,MATCH(M$1,CS_PID!$B$1:$AS$1,0), FALSE)</f>
        <v>65</v>
      </c>
      <c r="N16" s="230"/>
      <c r="O16" s="230"/>
      <c r="P16" s="230"/>
      <c r="Q16" s="230"/>
      <c r="R16" s="230"/>
      <c r="S16" s="230"/>
      <c r="T16" s="230"/>
      <c r="U16" s="230"/>
      <c r="V16" s="266" t="s">
        <v>82</v>
      </c>
      <c r="W16" s="267">
        <v>331.0</v>
      </c>
      <c r="X16" s="268">
        <f>VLOOKUP(W16,LEBT[#ALL],4)</f>
        <v>0.00003920337823</v>
      </c>
      <c r="Y16" s="243">
        <f>VLOOKUP($W16,CS_PID!$B$1:$AS$151,MATCH(Y$1,CS_PID!$B$1:$AS$1,0), FALSE)</f>
        <v>437</v>
      </c>
      <c r="Z16" s="243">
        <f>VLOOKUP($W16,CS_PID!$B$1:$AS$151,MATCH(Z$1,CS_PID!$B$1:$AS$1,0), FALSE)</f>
        <v>382</v>
      </c>
      <c r="AA16" s="243">
        <f>VLOOKUP($W16,CS_PID!$B$1:$AS$151,MATCH(AA$1,CS_PID!$B$1:$AS$1,0), FALSE)</f>
        <v>226</v>
      </c>
      <c r="AB16" s="230"/>
      <c r="AC16" s="269" t="s">
        <v>84</v>
      </c>
      <c r="AD16" s="270">
        <v>367.0</v>
      </c>
      <c r="AE16" s="271">
        <f>VLOOKUP(AD16,LEBT[#ALL],4)</f>
        <v>0.00003893700453</v>
      </c>
      <c r="AF16" s="247">
        <f>VLOOKUP($AD16,CS_PID!$B$1:$AS$151,MATCH(AF$1,CS_PID!$B$1:$AS$1, 0), FALSE)</f>
        <v>0</v>
      </c>
      <c r="AG16" s="247">
        <f>VLOOKUP($AD16,CS_PID!$B$1:$AS$151,MATCH(AG$1,CS_PID!$B$1:$AS$1, 0), FALSE)</f>
        <v>0</v>
      </c>
      <c r="AH16" s="247">
        <f>VLOOKUP($AD16,CS_PID!$B$1:$AS$151,MATCH(AH$1,CS_PID!$B$1:$AS$1, 0), FALSE)</f>
        <v>0</v>
      </c>
      <c r="AI16" s="230"/>
      <c r="AJ16" s="230"/>
      <c r="AK16" s="230"/>
      <c r="AL16" s="230"/>
      <c r="AM16" s="230"/>
      <c r="AN16" s="230"/>
      <c r="AO16" s="230"/>
      <c r="AP16" s="230"/>
      <c r="AQ16" s="230"/>
      <c r="AR16" s="230"/>
      <c r="AS16" s="230"/>
      <c r="AT16" s="230"/>
      <c r="AU16" s="230"/>
      <c r="AV16" s="230"/>
      <c r="AW16" s="230"/>
      <c r="AX16" s="294" t="s">
        <v>90</v>
      </c>
      <c r="AY16" s="295">
        <v>440.0</v>
      </c>
      <c r="AZ16" s="296">
        <f>VLOOKUP(AY16,LEBT[#ALL],4)</f>
        <v>0.00004073337834</v>
      </c>
      <c r="BA16" s="259">
        <f>VLOOKUP($AY16,CS_PID!$B$1:$AS$151,MATCH(BA$1,CS_PID!$B$1:$AS$1, 0), FALSE)</f>
        <v>0</v>
      </c>
      <c r="BB16" s="259">
        <f>VLOOKUP($AY16,CS_PID!$B$1:$AS$151,MATCH(BB$1,CS_PID!$B$1:$AS$1,0), FALSE)</f>
        <v>0</v>
      </c>
      <c r="BC16" s="259">
        <f>VLOOKUP($AY16,CS_PID!$B$1:$AS$151,MATCH(BC$1,CS_PID!$B$1:$AS$1,0), FALSE)</f>
        <v>0</v>
      </c>
    </row>
    <row r="17">
      <c r="A17" s="225"/>
      <c r="B17" s="225"/>
      <c r="C17" s="230"/>
      <c r="D17" s="230"/>
      <c r="E17" s="230"/>
      <c r="F17" s="230"/>
      <c r="G17" s="230"/>
      <c r="H17" s="287" t="s">
        <v>78</v>
      </c>
      <c r="I17" s="261">
        <v>277.0</v>
      </c>
      <c r="J17" s="262">
        <f>VLOOKUP(I17,LEBT[#ALL],4)</f>
        <v>0.00003832194211</v>
      </c>
      <c r="K17" s="234">
        <f>VLOOKUP($I17,CS_PID!$B$1:$AS$151,MATCH(K$1,CS_PID!$B$1:$AS$1,0), FALSE)</f>
        <v>18</v>
      </c>
      <c r="L17" s="234">
        <f>VLOOKUP($I17,CS_PID!$B$1:$AS$151,MATCH(L$1,CS_PID!$B$1:$AS$1,0), FALSE)</f>
        <v>40</v>
      </c>
      <c r="M17" s="234">
        <f>VLOOKUP($I17,CS_PID!$B$1:$AS$151,MATCH(M$1,CS_PID!$B$1:$AS$1,0), FALSE)</f>
        <v>47</v>
      </c>
      <c r="N17" s="230"/>
      <c r="O17" s="230"/>
      <c r="P17" s="230"/>
      <c r="Q17" s="230"/>
      <c r="R17" s="230"/>
      <c r="S17" s="230"/>
      <c r="T17" s="230"/>
      <c r="U17" s="230"/>
      <c r="V17" s="266" t="s">
        <v>82</v>
      </c>
      <c r="W17" s="267">
        <v>332.0</v>
      </c>
      <c r="X17" s="268">
        <f>VLOOKUP(W17,LEBT[#ALL],4)</f>
        <v>0.00003911484631</v>
      </c>
      <c r="Y17" s="243">
        <f>VLOOKUP($W17,CS_PID!$B$1:$AS$151,MATCH(Y$1,CS_PID!$B$1:$AS$1,0), FALSE)</f>
        <v>32</v>
      </c>
      <c r="Z17" s="243">
        <f>VLOOKUP($W17,CS_PID!$B$1:$AS$151,MATCH(Z$1,CS_PID!$B$1:$AS$1,0), FALSE)</f>
        <v>40</v>
      </c>
      <c r="AA17" s="243">
        <f>VLOOKUP($W17,CS_PID!$B$1:$AS$151,MATCH(AA$1,CS_PID!$B$1:$AS$1,0), FALSE)</f>
        <v>13</v>
      </c>
      <c r="AB17" s="230"/>
      <c r="AC17" s="269" t="s">
        <v>84</v>
      </c>
      <c r="AD17" s="270">
        <v>368.0</v>
      </c>
      <c r="AE17" s="271">
        <f>VLOOKUP(AD17,LEBT[#ALL],4)</f>
        <v>0.00003942563809</v>
      </c>
      <c r="AF17" s="247">
        <f>VLOOKUP($AD17,CS_PID!$B$1:$AS$151,MATCH(AF$1,CS_PID!$B$1:$AS$1, 0), FALSE)</f>
        <v>0</v>
      </c>
      <c r="AG17" s="247">
        <f>VLOOKUP($AD17,CS_PID!$B$1:$AS$151,MATCH(AG$1,CS_PID!$B$1:$AS$1, 0), FALSE)</f>
        <v>0</v>
      </c>
      <c r="AH17" s="247">
        <f>VLOOKUP($AD17,CS_PID!$B$1:$AS$151,MATCH(AH$1,CS_PID!$B$1:$AS$1, 0), FALSE)</f>
        <v>2</v>
      </c>
      <c r="AI17" s="230"/>
      <c r="AJ17" s="230"/>
      <c r="AK17" s="230"/>
      <c r="AL17" s="230"/>
      <c r="AM17" s="230"/>
      <c r="AN17" s="230"/>
      <c r="AO17" s="230"/>
      <c r="AP17" s="230"/>
      <c r="AQ17" s="230"/>
      <c r="AR17" s="230"/>
      <c r="AS17" s="230"/>
      <c r="AT17" s="230"/>
      <c r="AU17" s="230"/>
      <c r="AV17" s="230"/>
      <c r="AW17" s="230"/>
      <c r="AX17" s="230"/>
      <c r="AY17" s="230"/>
      <c r="AZ17" s="230"/>
      <c r="BA17" s="230"/>
      <c r="BB17" s="230"/>
      <c r="BC17" s="230"/>
    </row>
    <row r="18">
      <c r="A18" s="225"/>
      <c r="B18" s="225"/>
      <c r="C18" s="230"/>
      <c r="D18" s="230"/>
      <c r="E18" s="230"/>
      <c r="F18" s="230"/>
      <c r="G18" s="230"/>
      <c r="H18" s="287" t="s">
        <v>78</v>
      </c>
      <c r="I18" s="261">
        <v>278.0</v>
      </c>
      <c r="J18" s="262">
        <f>VLOOKUP(I18,LEBT[#ALL],4)</f>
        <v>0.00003842806069</v>
      </c>
      <c r="K18" s="234">
        <f>VLOOKUP($I18,CS_PID!$B$1:$AS$151,MATCH(K$1,CS_PID!$B$1:$AS$1,0), FALSE)</f>
        <v>42</v>
      </c>
      <c r="L18" s="234">
        <f>VLOOKUP($I18,CS_PID!$B$1:$AS$151,MATCH(L$1,CS_PID!$B$1:$AS$1,0), FALSE)</f>
        <v>54</v>
      </c>
      <c r="M18" s="234">
        <f>VLOOKUP($I18,CS_PID!$B$1:$AS$151,MATCH(M$1,CS_PID!$B$1:$AS$1,0), FALSE)</f>
        <v>57</v>
      </c>
      <c r="N18" s="230"/>
      <c r="O18" s="230"/>
      <c r="P18" s="230"/>
      <c r="Q18" s="230"/>
      <c r="R18" s="230"/>
      <c r="S18" s="230"/>
      <c r="T18" s="230"/>
      <c r="U18" s="230"/>
      <c r="V18" s="266" t="s">
        <v>82</v>
      </c>
      <c r="W18" s="267">
        <v>333.0</v>
      </c>
      <c r="X18" s="268">
        <f>VLOOKUP(W18,LEBT[#ALL],4)</f>
        <v>0.00003832966272</v>
      </c>
      <c r="Y18" s="243">
        <f>VLOOKUP($W18,CS_PID!$B$1:$AS$151,MATCH(Y$1,CS_PID!$B$1:$AS$1,0), FALSE)</f>
        <v>122</v>
      </c>
      <c r="Z18" s="243">
        <f>VLOOKUP($W18,CS_PID!$B$1:$AS$151,MATCH(Z$1,CS_PID!$B$1:$AS$1,0), FALSE)</f>
        <v>130</v>
      </c>
      <c r="AA18" s="243">
        <f>VLOOKUP($W18,CS_PID!$B$1:$AS$151,MATCH(AA$1,CS_PID!$B$1:$AS$1,0), FALSE)</f>
        <v>63</v>
      </c>
      <c r="AB18" s="230"/>
      <c r="AC18" s="269" t="s">
        <v>84</v>
      </c>
      <c r="AD18" s="270">
        <v>369.0</v>
      </c>
      <c r="AE18" s="271">
        <f>VLOOKUP(AD18,LEBT[#ALL],4)</f>
        <v>0.00003557071593</v>
      </c>
      <c r="AF18" s="247">
        <f>VLOOKUP($AD18,CS_PID!$B$1:$AS$151,MATCH(AF$1,CS_PID!$B$1:$AS$1, 0), FALSE)</f>
        <v>0</v>
      </c>
      <c r="AG18" s="247">
        <f>VLOOKUP($AD18,CS_PID!$B$1:$AS$151,MATCH(AG$1,CS_PID!$B$1:$AS$1, 0), FALSE)</f>
        <v>0</v>
      </c>
      <c r="AH18" s="247">
        <f>VLOOKUP($AD18,CS_PID!$B$1:$AS$151,MATCH(AH$1,CS_PID!$B$1:$AS$1, 0), FALSE)</f>
        <v>0</v>
      </c>
      <c r="AI18" s="230"/>
      <c r="AJ18" s="230"/>
      <c r="AK18" s="230"/>
      <c r="AL18" s="230"/>
      <c r="AM18" s="230"/>
      <c r="AN18" s="230"/>
      <c r="AO18" s="230"/>
      <c r="AP18" s="230"/>
      <c r="AQ18" s="230"/>
      <c r="AR18" s="230"/>
      <c r="AS18" s="230"/>
      <c r="AT18" s="230"/>
      <c r="AU18" s="230"/>
      <c r="AV18" s="230"/>
      <c r="AW18" s="230"/>
      <c r="AX18" s="230"/>
      <c r="AY18" s="230"/>
      <c r="AZ18" s="230"/>
      <c r="BA18" s="230"/>
      <c r="BB18" s="230"/>
      <c r="BC18" s="230"/>
    </row>
    <row r="19">
      <c r="A19" s="225"/>
      <c r="B19" s="225"/>
      <c r="C19" s="230"/>
      <c r="D19" s="230"/>
      <c r="E19" s="230"/>
      <c r="F19" s="230"/>
      <c r="G19" s="230"/>
      <c r="H19" s="287" t="s">
        <v>78</v>
      </c>
      <c r="I19" s="261">
        <v>279.0</v>
      </c>
      <c r="J19" s="262">
        <f>VLOOKUP(I19,LEBT[#ALL],4)</f>
        <v>0.00003668075544</v>
      </c>
      <c r="K19" s="234">
        <f>VLOOKUP($I19,CS_PID!$B$1:$AS$151,MATCH(K$1,CS_PID!$B$1:$AS$1,0), FALSE)</f>
        <v>9</v>
      </c>
      <c r="L19" s="234">
        <f>VLOOKUP($I19,CS_PID!$B$1:$AS$151,MATCH(L$1,CS_PID!$B$1:$AS$1,0), FALSE)</f>
        <v>12</v>
      </c>
      <c r="M19" s="234">
        <f>VLOOKUP($I19,CS_PID!$B$1:$AS$151,MATCH(M$1,CS_PID!$B$1:$AS$1,0), FALSE)</f>
        <v>21</v>
      </c>
      <c r="N19" s="230"/>
      <c r="O19" s="230"/>
      <c r="P19" s="230"/>
      <c r="Q19" s="230"/>
      <c r="R19" s="230"/>
      <c r="S19" s="230"/>
      <c r="T19" s="230"/>
      <c r="U19" s="230"/>
      <c r="V19" s="266" t="s">
        <v>82</v>
      </c>
      <c r="W19" s="267">
        <v>334.0</v>
      </c>
      <c r="X19" s="268">
        <f>VLOOKUP(W19,LEBT[#ALL],4)</f>
        <v>0.00003802566753</v>
      </c>
      <c r="Y19" s="243">
        <f>VLOOKUP($W19,CS_PID!$B$1:$AS$151,MATCH(Y$1,CS_PID!$B$1:$AS$1,0), FALSE)</f>
        <v>102</v>
      </c>
      <c r="Z19" s="243">
        <f>VLOOKUP($W19,CS_PID!$B$1:$AS$151,MATCH(Z$1,CS_PID!$B$1:$AS$1,0), FALSE)</f>
        <v>71</v>
      </c>
      <c r="AA19" s="243">
        <f>VLOOKUP($W19,CS_PID!$B$1:$AS$151,MATCH(AA$1,CS_PID!$B$1:$AS$1,0), FALSE)</f>
        <v>41</v>
      </c>
      <c r="AB19" s="230"/>
      <c r="AC19" s="269" t="s">
        <v>84</v>
      </c>
      <c r="AD19" s="270">
        <v>370.0</v>
      </c>
      <c r="AE19" s="271">
        <f>VLOOKUP(AD19,LEBT[#ALL],4)</f>
        <v>0.00003380509868</v>
      </c>
      <c r="AF19" s="247">
        <f>VLOOKUP($AD19,CS_PID!$B$1:$AS$151,MATCH(AF$1,CS_PID!$B$1:$AS$1, 0), FALSE)</f>
        <v>0</v>
      </c>
      <c r="AG19" s="247">
        <f>VLOOKUP($AD19,CS_PID!$B$1:$AS$151,MATCH(AG$1,CS_PID!$B$1:$AS$1, 0), FALSE)</f>
        <v>0</v>
      </c>
      <c r="AH19" s="247">
        <f>VLOOKUP($AD19,CS_PID!$B$1:$AS$151,MATCH(AH$1,CS_PID!$B$1:$AS$1, 0), FALSE)</f>
        <v>0</v>
      </c>
      <c r="AI19" s="230"/>
      <c r="AJ19" s="230"/>
      <c r="AK19" s="230"/>
      <c r="AL19" s="230"/>
      <c r="AM19" s="230"/>
      <c r="AN19" s="230"/>
      <c r="AO19" s="230"/>
      <c r="AP19" s="230"/>
      <c r="AQ19" s="230"/>
      <c r="AR19" s="230"/>
      <c r="AS19" s="230"/>
      <c r="AT19" s="230"/>
      <c r="AU19" s="230"/>
      <c r="AV19" s="230"/>
      <c r="AW19" s="230"/>
      <c r="AX19" s="230"/>
      <c r="AY19" s="230"/>
      <c r="AZ19" s="230"/>
      <c r="BA19" s="230"/>
      <c r="BB19" s="230"/>
      <c r="BC19" s="230"/>
    </row>
    <row r="20">
      <c r="A20" s="225"/>
      <c r="B20" s="225"/>
      <c r="C20" s="230"/>
      <c r="D20" s="230"/>
      <c r="E20" s="230"/>
      <c r="F20" s="230"/>
      <c r="G20" s="230"/>
      <c r="H20" s="287" t="s">
        <v>78</v>
      </c>
      <c r="I20" s="261">
        <v>280.0</v>
      </c>
      <c r="J20" s="262">
        <f>VLOOKUP(I20,LEBT[#ALL],4)</f>
        <v>0.00003683284009</v>
      </c>
      <c r="K20" s="234">
        <f>VLOOKUP($I20,CS_PID!$B$1:$AS$151,MATCH(K$1,CS_PID!$B$1:$AS$1,0), FALSE)</f>
        <v>11</v>
      </c>
      <c r="L20" s="234">
        <f>VLOOKUP($I20,CS_PID!$B$1:$AS$151,MATCH(L$1,CS_PID!$B$1:$AS$1,0), FALSE)</f>
        <v>17</v>
      </c>
      <c r="M20" s="234">
        <f>VLOOKUP($I20,CS_PID!$B$1:$AS$151,MATCH(M$1,CS_PID!$B$1:$AS$1,0), FALSE)</f>
        <v>15</v>
      </c>
      <c r="N20" s="230"/>
      <c r="O20" s="230"/>
      <c r="P20" s="230"/>
      <c r="Q20" s="230"/>
      <c r="R20" s="230"/>
      <c r="S20" s="230"/>
      <c r="T20" s="230"/>
      <c r="U20" s="230"/>
      <c r="V20" s="266" t="s">
        <v>82</v>
      </c>
      <c r="W20" s="267">
        <v>335.0</v>
      </c>
      <c r="X20" s="268">
        <f>VLOOKUP(W20,LEBT[#ALL],4)</f>
        <v>0.00003812796403</v>
      </c>
      <c r="Y20" s="243">
        <f>VLOOKUP($W20,CS_PID!$B$1:$AS$151,MATCH(Y$1,CS_PID!$B$1:$AS$1,0), FALSE)</f>
        <v>148</v>
      </c>
      <c r="Z20" s="243">
        <f>VLOOKUP($W20,CS_PID!$B$1:$AS$151,MATCH(Z$1,CS_PID!$B$1:$AS$1,0), FALSE)</f>
        <v>134</v>
      </c>
      <c r="AA20" s="243">
        <f>VLOOKUP($W20,CS_PID!$B$1:$AS$151,MATCH(AA$1,CS_PID!$B$1:$AS$1,0), FALSE)</f>
        <v>79</v>
      </c>
      <c r="AB20" s="230"/>
      <c r="AC20" s="269" t="s">
        <v>84</v>
      </c>
      <c r="AD20" s="270">
        <v>371.0</v>
      </c>
      <c r="AE20" s="271">
        <f>VLOOKUP(AD20,LEBT[#ALL],4)</f>
        <v>0.00003663540837</v>
      </c>
      <c r="AF20" s="247">
        <f>VLOOKUP($AD20,CS_PID!$B$1:$AS$151,MATCH(AF$1,CS_PID!$B$1:$AS$1, 0), FALSE)</f>
        <v>0</v>
      </c>
      <c r="AG20" s="247">
        <f>VLOOKUP($AD20,CS_PID!$B$1:$AS$151,MATCH(AG$1,CS_PID!$B$1:$AS$1, 0), FALSE)</f>
        <v>0</v>
      </c>
      <c r="AH20" s="247">
        <f>VLOOKUP($AD20,CS_PID!$B$1:$AS$151,MATCH(AH$1,CS_PID!$B$1:$AS$1, 0), FALSE)</f>
        <v>0</v>
      </c>
      <c r="AI20" s="230"/>
      <c r="AJ20" s="230"/>
      <c r="AK20" s="230"/>
      <c r="AL20" s="230"/>
      <c r="AM20" s="230"/>
      <c r="AN20" s="230"/>
      <c r="AO20" s="230"/>
      <c r="AP20" s="230"/>
      <c r="AQ20" s="230"/>
      <c r="AR20" s="230"/>
      <c r="AS20" s="230"/>
      <c r="AT20" s="230"/>
      <c r="AU20" s="230"/>
      <c r="AV20" s="230"/>
      <c r="AW20" s="230"/>
      <c r="AX20" s="230"/>
      <c r="AY20" s="230"/>
      <c r="AZ20" s="230"/>
      <c r="BA20" s="230"/>
      <c r="BB20" s="230"/>
      <c r="BC20" s="230"/>
    </row>
    <row r="21">
      <c r="A21" s="225"/>
      <c r="B21" s="225"/>
      <c r="C21" s="230"/>
      <c r="D21" s="230"/>
      <c r="E21" s="230"/>
      <c r="F21" s="230"/>
      <c r="G21" s="230"/>
      <c r="H21" s="287" t="s">
        <v>78</v>
      </c>
      <c r="I21" s="261">
        <v>281.0</v>
      </c>
      <c r="J21" s="262">
        <f>VLOOKUP(I21,LEBT[#ALL],4)</f>
        <v>0.0000371830123</v>
      </c>
      <c r="K21" s="234">
        <f>VLOOKUP($I21,CS_PID!$B$1:$AS$151,MATCH(K$1,CS_PID!$B$1:$AS$1,0), FALSE)</f>
        <v>4</v>
      </c>
      <c r="L21" s="234">
        <f>VLOOKUP($I21,CS_PID!$B$1:$AS$151,MATCH(L$1,CS_PID!$B$1:$AS$1,0), FALSE)</f>
        <v>19</v>
      </c>
      <c r="M21" s="234">
        <f>VLOOKUP($I21,CS_PID!$B$1:$AS$151,MATCH(M$1,CS_PID!$B$1:$AS$1,0), FALSE)</f>
        <v>10</v>
      </c>
      <c r="N21" s="230"/>
      <c r="O21" s="230"/>
      <c r="P21" s="230"/>
      <c r="Q21" s="230"/>
      <c r="R21" s="230"/>
      <c r="S21" s="230"/>
      <c r="T21" s="230"/>
      <c r="U21" s="230"/>
      <c r="V21" s="266" t="s">
        <v>82</v>
      </c>
      <c r="W21" s="267">
        <v>336.0</v>
      </c>
      <c r="X21" s="268">
        <f>VLOOKUP(W21,LEBT[#ALL],4)</f>
        <v>0.00003798484064</v>
      </c>
      <c r="Y21" s="243">
        <f>VLOOKUP($W21,CS_PID!$B$1:$AS$151,MATCH(Y$1,CS_PID!$B$1:$AS$1,0), FALSE)</f>
        <v>110</v>
      </c>
      <c r="Z21" s="243">
        <f>VLOOKUP($W21,CS_PID!$B$1:$AS$151,MATCH(Z$1,CS_PID!$B$1:$AS$1,0), FALSE)</f>
        <v>78</v>
      </c>
      <c r="AA21" s="243">
        <f>VLOOKUP($W21,CS_PID!$B$1:$AS$151,MATCH(AA$1,CS_PID!$B$1:$AS$1,0), FALSE)</f>
        <v>43</v>
      </c>
      <c r="AB21" s="230"/>
      <c r="AC21" s="269" t="s">
        <v>84</v>
      </c>
      <c r="AD21" s="270">
        <v>372.0</v>
      </c>
      <c r="AE21" s="271">
        <f>VLOOKUP(AD21,LEBT[#ALL],4)</f>
        <v>0.00003453948193</v>
      </c>
      <c r="AF21" s="247">
        <f>VLOOKUP($AD21,CS_PID!$B$1:$AS$151,MATCH(AF$1,CS_PID!$B$1:$AS$1, 0), FALSE)</f>
        <v>0</v>
      </c>
      <c r="AG21" s="247">
        <f>VLOOKUP($AD21,CS_PID!$B$1:$AS$151,MATCH(AG$1,CS_PID!$B$1:$AS$1, 0), FALSE)</f>
        <v>0</v>
      </c>
      <c r="AH21" s="247">
        <f>VLOOKUP($AD21,CS_PID!$B$1:$AS$151,MATCH(AH$1,CS_PID!$B$1:$AS$1, 0), FALSE)</f>
        <v>0</v>
      </c>
      <c r="AI21" s="230"/>
      <c r="AJ21" s="230"/>
      <c r="AK21" s="230"/>
      <c r="AL21" s="230"/>
      <c r="AM21" s="230"/>
      <c r="AN21" s="230"/>
      <c r="AO21" s="230"/>
      <c r="AP21" s="230"/>
      <c r="AQ21" s="230"/>
      <c r="AR21" s="230"/>
      <c r="AS21" s="230"/>
      <c r="AT21" s="230"/>
      <c r="AU21" s="230"/>
      <c r="AV21" s="230"/>
      <c r="AW21" s="230"/>
      <c r="AX21" s="230"/>
      <c r="AY21" s="230"/>
      <c r="AZ21" s="230"/>
      <c r="BA21" s="230"/>
      <c r="BB21" s="230"/>
      <c r="BC21" s="230"/>
    </row>
    <row r="22">
      <c r="A22" s="225"/>
      <c r="B22" s="225"/>
      <c r="C22" s="230"/>
      <c r="D22" s="230"/>
      <c r="E22" s="230"/>
      <c r="F22" s="230"/>
      <c r="G22" s="230"/>
      <c r="H22" s="287" t="s">
        <v>78</v>
      </c>
      <c r="I22" s="261">
        <v>282.0</v>
      </c>
      <c r="J22" s="262">
        <f>VLOOKUP(I22,LEBT[#ALL],4)</f>
        <v>0.00003419321371</v>
      </c>
      <c r="K22" s="234">
        <f>VLOOKUP($I22,CS_PID!$B$1:$AS$151,MATCH(K$1,CS_PID!$B$1:$AS$1,0), FALSE)</f>
        <v>4</v>
      </c>
      <c r="L22" s="234">
        <f>VLOOKUP($I22,CS_PID!$B$1:$AS$151,MATCH(L$1,CS_PID!$B$1:$AS$1,0), FALSE)</f>
        <v>8</v>
      </c>
      <c r="M22" s="234">
        <f>VLOOKUP($I22,CS_PID!$B$1:$AS$151,MATCH(M$1,CS_PID!$B$1:$AS$1,0), FALSE)</f>
        <v>9</v>
      </c>
      <c r="N22" s="230"/>
      <c r="O22" s="230"/>
      <c r="P22" s="230"/>
      <c r="Q22" s="230"/>
      <c r="R22" s="230"/>
      <c r="S22" s="230"/>
      <c r="T22" s="230"/>
      <c r="U22" s="230"/>
      <c r="V22" s="266" t="s">
        <v>82</v>
      </c>
      <c r="W22" s="267">
        <v>337.0</v>
      </c>
      <c r="X22" s="268">
        <f>VLOOKUP(W22,LEBT[#ALL],4)</f>
        <v>0.00003782251463</v>
      </c>
      <c r="Y22" s="243">
        <f>VLOOKUP($W22,CS_PID!$B$1:$AS$151,MATCH(Y$1,CS_PID!$B$1:$AS$1,0), FALSE)</f>
        <v>120</v>
      </c>
      <c r="Z22" s="243">
        <f>VLOOKUP($W22,CS_PID!$B$1:$AS$151,MATCH(Z$1,CS_PID!$B$1:$AS$1,0), FALSE)</f>
        <v>121</v>
      </c>
      <c r="AA22" s="243">
        <f>VLOOKUP($W22,CS_PID!$B$1:$AS$151,MATCH(AA$1,CS_PID!$B$1:$AS$1,0), FALSE)</f>
        <v>62</v>
      </c>
      <c r="AB22" s="230"/>
      <c r="AC22" s="269" t="s">
        <v>84</v>
      </c>
      <c r="AD22" s="270">
        <v>373.0</v>
      </c>
      <c r="AE22" s="271">
        <f>VLOOKUP(AD22,LEBT[#ALL],4)</f>
        <v>0.00003840367406</v>
      </c>
      <c r="AF22" s="247">
        <f>VLOOKUP($AD22,CS_PID!$B$1:$AS$151,MATCH(AF$1,CS_PID!$B$1:$AS$1, 0), FALSE)</f>
        <v>0</v>
      </c>
      <c r="AG22" s="247">
        <f>VLOOKUP($AD22,CS_PID!$B$1:$AS$151,MATCH(AG$1,CS_PID!$B$1:$AS$1, 0), FALSE)</f>
        <v>0</v>
      </c>
      <c r="AH22" s="247">
        <f>VLOOKUP($AD22,CS_PID!$B$1:$AS$151,MATCH(AH$1,CS_PID!$B$1:$AS$1, 0), FALSE)</f>
        <v>0</v>
      </c>
      <c r="AI22" s="230"/>
      <c r="AJ22" s="230"/>
      <c r="AK22" s="230"/>
      <c r="AL22" s="230"/>
      <c r="AM22" s="230"/>
      <c r="AN22" s="230"/>
      <c r="AO22" s="230"/>
      <c r="AP22" s="230"/>
      <c r="AQ22" s="230"/>
      <c r="AR22" s="230"/>
      <c r="AS22" s="230"/>
      <c r="AT22" s="230"/>
      <c r="AU22" s="230"/>
      <c r="AV22" s="230"/>
      <c r="AW22" s="230"/>
      <c r="AX22" s="230"/>
      <c r="AY22" s="230"/>
      <c r="AZ22" s="230"/>
      <c r="BA22" s="230"/>
      <c r="BB22" s="230"/>
      <c r="BC22" s="230"/>
    </row>
    <row r="23">
      <c r="A23" s="225"/>
      <c r="B23" s="225"/>
      <c r="C23" s="230"/>
      <c r="D23" s="230"/>
      <c r="E23" s="230"/>
      <c r="F23" s="230"/>
      <c r="G23" s="230"/>
      <c r="H23" s="287" t="s">
        <v>78</v>
      </c>
      <c r="I23" s="261">
        <v>283.0</v>
      </c>
      <c r="J23" s="262">
        <f>VLOOKUP(I23,LEBT[#ALL],4)</f>
        <v>0.00003670198957</v>
      </c>
      <c r="K23" s="234">
        <f>VLOOKUP($I23,CS_PID!$B$1:$AS$151,MATCH(K$1,CS_PID!$B$1:$AS$1,0), FALSE)</f>
        <v>10</v>
      </c>
      <c r="L23" s="234">
        <f>VLOOKUP($I23,CS_PID!$B$1:$AS$151,MATCH(L$1,CS_PID!$B$1:$AS$1,0), FALSE)</f>
        <v>17</v>
      </c>
      <c r="M23" s="234">
        <f>VLOOKUP($I23,CS_PID!$B$1:$AS$151,MATCH(M$1,CS_PID!$B$1:$AS$1,0), FALSE)</f>
        <v>16</v>
      </c>
      <c r="N23" s="230"/>
      <c r="O23" s="230"/>
      <c r="P23" s="230"/>
      <c r="Q23" s="230"/>
      <c r="R23" s="230"/>
      <c r="S23" s="230"/>
      <c r="T23" s="230"/>
      <c r="U23" s="230"/>
      <c r="V23" s="266" t="s">
        <v>82</v>
      </c>
      <c r="W23" s="267">
        <v>338.0</v>
      </c>
      <c r="X23" s="268">
        <f>VLOOKUP(W23,LEBT[#ALL],4)</f>
        <v>0.00003683492666</v>
      </c>
      <c r="Y23" s="243">
        <f>VLOOKUP($W23,CS_PID!$B$1:$AS$151,MATCH(Y$1,CS_PID!$B$1:$AS$1,0), FALSE)</f>
        <v>38</v>
      </c>
      <c r="Z23" s="243">
        <f>VLOOKUP($W23,CS_PID!$B$1:$AS$151,MATCH(Z$1,CS_PID!$B$1:$AS$1,0), FALSE)</f>
        <v>46</v>
      </c>
      <c r="AA23" s="243">
        <f>VLOOKUP($W23,CS_PID!$B$1:$AS$151,MATCH(AA$1,CS_PID!$B$1:$AS$1,0), FALSE)</f>
        <v>20</v>
      </c>
      <c r="AB23" s="230"/>
      <c r="AC23" s="269" t="s">
        <v>84</v>
      </c>
      <c r="AD23" s="270">
        <v>374.0</v>
      </c>
      <c r="AE23" s="271">
        <f>VLOOKUP(AD23,LEBT[#ALL],4)</f>
        <v>0.00003905334479</v>
      </c>
      <c r="AF23" s="247">
        <f>VLOOKUP($AD23,CS_PID!$B$1:$AS$151,MATCH(AF$1,CS_PID!$B$1:$AS$1, 0), FALSE)</f>
        <v>0</v>
      </c>
      <c r="AG23" s="247">
        <f>VLOOKUP($AD23,CS_PID!$B$1:$AS$151,MATCH(AG$1,CS_PID!$B$1:$AS$1, 0), FALSE)</f>
        <v>0</v>
      </c>
      <c r="AH23" s="247">
        <f>VLOOKUP($AD23,CS_PID!$B$1:$AS$151,MATCH(AH$1,CS_PID!$B$1:$AS$1, 0), FALSE)</f>
        <v>1</v>
      </c>
      <c r="AI23" s="230"/>
      <c r="AJ23" s="230"/>
      <c r="AK23" s="230"/>
      <c r="AL23" s="230"/>
      <c r="AM23" s="230"/>
      <c r="AN23" s="230"/>
      <c r="AO23" s="230"/>
      <c r="AP23" s="230"/>
      <c r="AQ23" s="230"/>
      <c r="AR23" s="230"/>
      <c r="AS23" s="230"/>
      <c r="AT23" s="230"/>
      <c r="AU23" s="230"/>
      <c r="AV23" s="230"/>
      <c r="AW23" s="230"/>
      <c r="AX23" s="230"/>
      <c r="AY23" s="230"/>
      <c r="AZ23" s="230"/>
      <c r="BA23" s="230"/>
      <c r="BB23" s="230"/>
      <c r="BC23" s="230"/>
    </row>
    <row r="24">
      <c r="A24" s="225"/>
      <c r="B24" s="225"/>
      <c r="C24" s="230"/>
      <c r="D24" s="230"/>
      <c r="E24" s="230"/>
      <c r="F24" s="230"/>
      <c r="G24" s="230"/>
      <c r="H24" s="287" t="s">
        <v>78</v>
      </c>
      <c r="I24" s="261">
        <v>284.0</v>
      </c>
      <c r="J24" s="262">
        <f>VLOOKUP(I24,LEBT[#ALL],4)</f>
        <v>0.00003705224388</v>
      </c>
      <c r="K24" s="234">
        <f>VLOOKUP($I24,CS_PID!$B$1:$AS$151,MATCH(K$1,CS_PID!$B$1:$AS$1,0), FALSE)</f>
        <v>10</v>
      </c>
      <c r="L24" s="234">
        <f>VLOOKUP($I24,CS_PID!$B$1:$AS$151,MATCH(L$1,CS_PID!$B$1:$AS$1,0), FALSE)</f>
        <v>25</v>
      </c>
      <c r="M24" s="234">
        <f>VLOOKUP($I24,CS_PID!$B$1:$AS$151,MATCH(M$1,CS_PID!$B$1:$AS$1,0), FALSE)</f>
        <v>19</v>
      </c>
      <c r="N24" s="230"/>
      <c r="O24" s="230"/>
      <c r="P24" s="230"/>
      <c r="Q24" s="230"/>
      <c r="R24" s="230"/>
      <c r="S24" s="230"/>
      <c r="T24" s="230"/>
      <c r="U24" s="230"/>
      <c r="V24" s="266" t="s">
        <v>82</v>
      </c>
      <c r="W24" s="267">
        <v>339.0</v>
      </c>
      <c r="X24" s="268">
        <f>VLOOKUP(W24,LEBT[#ALL],4)</f>
        <v>0.00003519578536</v>
      </c>
      <c r="Y24" s="243">
        <f>VLOOKUP($W24,CS_PID!$B$1:$AS$151,MATCH(Y$1,CS_PID!$B$1:$AS$1,0), FALSE)</f>
        <v>27</v>
      </c>
      <c r="Z24" s="243">
        <f>VLOOKUP($W24,CS_PID!$B$1:$AS$151,MATCH(Z$1,CS_PID!$B$1:$AS$1,0), FALSE)</f>
        <v>23</v>
      </c>
      <c r="AA24" s="243">
        <f>VLOOKUP($W24,CS_PID!$B$1:$AS$151,MATCH(AA$1,CS_PID!$B$1:$AS$1,0), FALSE)</f>
        <v>10</v>
      </c>
      <c r="AB24" s="230"/>
      <c r="AC24" s="269" t="s">
        <v>84</v>
      </c>
      <c r="AD24" s="270">
        <v>375.0</v>
      </c>
      <c r="AE24" s="271">
        <f>VLOOKUP(AD24,LEBT[#ALL],4)</f>
        <v>0.00003760910423</v>
      </c>
      <c r="AF24" s="247">
        <f>VLOOKUP($AD24,CS_PID!$B$1:$AS$151,MATCH(AF$1,CS_PID!$B$1:$AS$1, 0), FALSE)</f>
        <v>0</v>
      </c>
      <c r="AG24" s="247">
        <f>VLOOKUP($AD24,CS_PID!$B$1:$AS$151,MATCH(AG$1,CS_PID!$B$1:$AS$1, 0), FALSE)</f>
        <v>0</v>
      </c>
      <c r="AH24" s="247">
        <f>VLOOKUP($AD24,CS_PID!$B$1:$AS$151,MATCH(AH$1,CS_PID!$B$1:$AS$1, 0), FALSE)</f>
        <v>0</v>
      </c>
      <c r="AI24" s="230"/>
      <c r="AJ24" s="230"/>
      <c r="AK24" s="230"/>
      <c r="AL24" s="230"/>
      <c r="AM24" s="230"/>
      <c r="AN24" s="230"/>
      <c r="AO24" s="230"/>
      <c r="AP24" s="230"/>
      <c r="AQ24" s="230"/>
      <c r="AR24" s="230"/>
      <c r="AS24" s="230"/>
      <c r="AT24" s="230"/>
      <c r="AU24" s="230"/>
      <c r="AV24" s="230"/>
      <c r="AW24" s="230"/>
      <c r="AX24" s="230"/>
      <c r="AY24" s="230"/>
      <c r="AZ24" s="230"/>
      <c r="BA24" s="230"/>
      <c r="BB24" s="230"/>
      <c r="BC24" s="230"/>
    </row>
    <row r="25">
      <c r="A25" s="225"/>
      <c r="B25" s="225"/>
      <c r="C25" s="230"/>
      <c r="D25" s="230"/>
      <c r="E25" s="230"/>
      <c r="F25" s="230"/>
      <c r="G25" s="230"/>
      <c r="H25" s="287" t="s">
        <v>78</v>
      </c>
      <c r="I25" s="261">
        <v>285.0</v>
      </c>
      <c r="J25" s="262">
        <f>VLOOKUP(I25,LEBT[#ALL],4)</f>
        <v>0.00003807452974</v>
      </c>
      <c r="K25" s="234">
        <f>VLOOKUP($I25,CS_PID!$B$1:$AS$151,MATCH(K$1,CS_PID!$B$1:$AS$1,0), FALSE)</f>
        <v>61</v>
      </c>
      <c r="L25" s="234">
        <f>VLOOKUP($I25,CS_PID!$B$1:$AS$151,MATCH(L$1,CS_PID!$B$1:$AS$1,0), FALSE)</f>
        <v>79</v>
      </c>
      <c r="M25" s="234">
        <f>VLOOKUP($I25,CS_PID!$B$1:$AS$151,MATCH(M$1,CS_PID!$B$1:$AS$1,0), FALSE)</f>
        <v>96</v>
      </c>
      <c r="N25" s="230"/>
      <c r="O25" s="230"/>
      <c r="P25" s="230"/>
      <c r="Q25" s="230"/>
      <c r="R25" s="230"/>
      <c r="S25" s="230"/>
      <c r="T25" s="230"/>
      <c r="U25" s="230"/>
      <c r="V25" s="266" t="s">
        <v>82</v>
      </c>
      <c r="W25" s="267">
        <v>340.0</v>
      </c>
      <c r="X25" s="268">
        <f>VLOOKUP(W25,LEBT[#ALL],4)</f>
        <v>0.000037581745</v>
      </c>
      <c r="Y25" s="243">
        <f>VLOOKUP($W25,CS_PID!$B$1:$AS$151,MATCH(Y$1,CS_PID!$B$1:$AS$1,0), FALSE)</f>
        <v>177</v>
      </c>
      <c r="Z25" s="243">
        <f>VLOOKUP($W25,CS_PID!$B$1:$AS$151,MATCH(Z$1,CS_PID!$B$1:$AS$1,0), FALSE)</f>
        <v>131</v>
      </c>
      <c r="AA25" s="243">
        <f>VLOOKUP($W25,CS_PID!$B$1:$AS$151,MATCH(AA$1,CS_PID!$B$1:$AS$1,0), FALSE)</f>
        <v>77</v>
      </c>
      <c r="AB25" s="230"/>
      <c r="AC25" s="269" t="s">
        <v>84</v>
      </c>
      <c r="AD25" s="270">
        <v>376.0</v>
      </c>
      <c r="AE25" s="271">
        <f>VLOOKUP(AD25,LEBT[#ALL],4)</f>
        <v>0.00003913789248</v>
      </c>
      <c r="AF25" s="247">
        <f>VLOOKUP($AD25,CS_PID!$B$1:$AS$151,MATCH(AF$1,CS_PID!$B$1:$AS$1, 0), FALSE)</f>
        <v>0</v>
      </c>
      <c r="AG25" s="247">
        <f>VLOOKUP($AD25,CS_PID!$B$1:$AS$151,MATCH(AG$1,CS_PID!$B$1:$AS$1, 0), FALSE)</f>
        <v>0</v>
      </c>
      <c r="AH25" s="247">
        <f>VLOOKUP($AD25,CS_PID!$B$1:$AS$151,MATCH(AH$1,CS_PID!$B$1:$AS$1, 0), FALSE)</f>
        <v>1</v>
      </c>
      <c r="AI25" s="230"/>
      <c r="AJ25" s="230"/>
      <c r="AK25" s="230"/>
      <c r="AL25" s="230"/>
      <c r="AM25" s="230"/>
      <c r="AN25" s="230"/>
      <c r="AO25" s="230"/>
      <c r="AP25" s="230"/>
      <c r="AQ25" s="230"/>
      <c r="AR25" s="230"/>
      <c r="AS25" s="230"/>
      <c r="AT25" s="230"/>
      <c r="AU25" s="230"/>
      <c r="AV25" s="230"/>
      <c r="AW25" s="230"/>
      <c r="AX25" s="230"/>
      <c r="AY25" s="230"/>
      <c r="AZ25" s="230"/>
      <c r="BA25" s="230"/>
      <c r="BB25" s="230"/>
      <c r="BC25" s="230"/>
    </row>
    <row r="26">
      <c r="A26" s="225"/>
      <c r="B26" s="225"/>
      <c r="C26" s="230"/>
      <c r="D26" s="230"/>
      <c r="E26" s="230"/>
      <c r="F26" s="230"/>
      <c r="G26" s="230"/>
      <c r="H26" s="287" t="s">
        <v>78</v>
      </c>
      <c r="I26" s="261">
        <v>286.0</v>
      </c>
      <c r="J26" s="262">
        <f>VLOOKUP(I26,LEBT[#ALL],4)</f>
        <v>0.00003534977432</v>
      </c>
      <c r="K26" s="234">
        <f>VLOOKUP($I26,CS_PID!$B$1:$AS$151,MATCH(K$1,CS_PID!$B$1:$AS$1,0), FALSE)</f>
        <v>2</v>
      </c>
      <c r="L26" s="234">
        <f>VLOOKUP($I26,CS_PID!$B$1:$AS$151,MATCH(L$1,CS_PID!$B$1:$AS$1,0), FALSE)</f>
        <v>7</v>
      </c>
      <c r="M26" s="234">
        <f>VLOOKUP($I26,CS_PID!$B$1:$AS$151,MATCH(M$1,CS_PID!$B$1:$AS$1,0), FALSE)</f>
        <v>8</v>
      </c>
      <c r="N26" s="230"/>
      <c r="O26" s="230"/>
      <c r="P26" s="230"/>
      <c r="Q26" s="230"/>
      <c r="R26" s="230"/>
      <c r="S26" s="230"/>
      <c r="T26" s="230"/>
      <c r="U26" s="230"/>
      <c r="V26" s="266" t="s">
        <v>82</v>
      </c>
      <c r="W26" s="267">
        <v>341.0</v>
      </c>
      <c r="X26" s="268">
        <f>VLOOKUP(W26,LEBT[#ALL],4)</f>
        <v>0.00003759813957</v>
      </c>
      <c r="Y26" s="243">
        <f>VLOOKUP($W26,CS_PID!$B$1:$AS$151,MATCH(Y$1,CS_PID!$B$1:$AS$1,0), FALSE)</f>
        <v>227</v>
      </c>
      <c r="Z26" s="243">
        <f>VLOOKUP($W26,CS_PID!$B$1:$AS$151,MATCH(Z$1,CS_PID!$B$1:$AS$1,0), FALSE)</f>
        <v>170</v>
      </c>
      <c r="AA26" s="243">
        <f>VLOOKUP($W26,CS_PID!$B$1:$AS$151,MATCH(AA$1,CS_PID!$B$1:$AS$1,0), FALSE)</f>
        <v>96</v>
      </c>
      <c r="AB26" s="230"/>
      <c r="AC26" s="269" t="s">
        <v>84</v>
      </c>
      <c r="AD26" s="270">
        <v>378.0</v>
      </c>
      <c r="AE26" s="271">
        <f>VLOOKUP(AD26,LEBT[#ALL],4)</f>
        <v>0.00003668882459</v>
      </c>
      <c r="AF26" s="247">
        <f>VLOOKUP($AD26,CS_PID!$B$1:$AS$151,MATCH(AF$1,CS_PID!$B$1:$AS$1, 0), FALSE)</f>
        <v>0</v>
      </c>
      <c r="AG26" s="247">
        <f>VLOOKUP($AD26,CS_PID!$B$1:$AS$151,MATCH(AG$1,CS_PID!$B$1:$AS$1, 0), FALSE)</f>
        <v>0</v>
      </c>
      <c r="AH26" s="247">
        <f>VLOOKUP($AD26,CS_PID!$B$1:$AS$151,MATCH(AH$1,CS_PID!$B$1:$AS$1, 0), FALSE)</f>
        <v>0</v>
      </c>
      <c r="AI26" s="230"/>
      <c r="AJ26" s="230"/>
      <c r="AK26" s="230"/>
      <c r="AL26" s="230"/>
      <c r="AM26" s="230"/>
      <c r="AN26" s="230"/>
      <c r="AO26" s="230"/>
      <c r="AP26" s="230"/>
      <c r="AQ26" s="230"/>
      <c r="AR26" s="230"/>
      <c r="AS26" s="230"/>
      <c r="AT26" s="230"/>
      <c r="AU26" s="230"/>
      <c r="AV26" s="230"/>
      <c r="AW26" s="230"/>
      <c r="AX26" s="230"/>
      <c r="AY26" s="230"/>
      <c r="AZ26" s="230"/>
      <c r="BA26" s="230"/>
      <c r="BB26" s="230"/>
      <c r="BC26" s="230"/>
    </row>
    <row r="27">
      <c r="A27" s="225"/>
      <c r="B27" s="225"/>
      <c r="C27" s="230"/>
      <c r="D27" s="230"/>
      <c r="E27" s="230"/>
      <c r="F27" s="230"/>
      <c r="G27" s="230"/>
      <c r="H27" s="287" t="s">
        <v>78</v>
      </c>
      <c r="I27" s="261">
        <v>287.0</v>
      </c>
      <c r="J27" s="262">
        <f>VLOOKUP(I27,LEBT[#ALL],4)</f>
        <v>0.0000347864136</v>
      </c>
      <c r="K27" s="234">
        <f>VLOOKUP($I27,CS_PID!$B$1:$AS$151,MATCH(K$1,CS_PID!$B$1:$AS$1,0), FALSE)</f>
        <v>4</v>
      </c>
      <c r="L27" s="234">
        <f>VLOOKUP($I27,CS_PID!$B$1:$AS$151,MATCH(L$1,CS_PID!$B$1:$AS$1,0), FALSE)</f>
        <v>7</v>
      </c>
      <c r="M27" s="234">
        <f>VLOOKUP($I27,CS_PID!$B$1:$AS$151,MATCH(M$1,CS_PID!$B$1:$AS$1,0), FALSE)</f>
        <v>11</v>
      </c>
      <c r="N27" s="230"/>
      <c r="O27" s="230"/>
      <c r="P27" s="230"/>
      <c r="Q27" s="230"/>
      <c r="R27" s="230"/>
      <c r="S27" s="230"/>
      <c r="T27" s="230"/>
      <c r="U27" s="230"/>
      <c r="V27" s="266" t="s">
        <v>82</v>
      </c>
      <c r="W27" s="267">
        <v>342.0</v>
      </c>
      <c r="X27" s="268">
        <f>VLOOKUP(W27,LEBT[#ALL],4)</f>
        <v>0.00003730264149</v>
      </c>
      <c r="Y27" s="243">
        <f>VLOOKUP($W27,CS_PID!$B$1:$AS$151,MATCH(Y$1,CS_PID!$B$1:$AS$1,0), FALSE)</f>
        <v>129</v>
      </c>
      <c r="Z27" s="243">
        <f>VLOOKUP($W27,CS_PID!$B$1:$AS$151,MATCH(Z$1,CS_PID!$B$1:$AS$1,0), FALSE)</f>
        <v>130</v>
      </c>
      <c r="AA27" s="243">
        <f>VLOOKUP($W27,CS_PID!$B$1:$AS$151,MATCH(AA$1,CS_PID!$B$1:$AS$1,0), FALSE)</f>
        <v>57</v>
      </c>
      <c r="AB27" s="230"/>
      <c r="AC27" s="269" t="s">
        <v>84</v>
      </c>
      <c r="AD27" s="270">
        <v>379.0</v>
      </c>
      <c r="AE27" s="271">
        <f>VLOOKUP(AD27,LEBT[#ALL],4)</f>
        <v>0.0000374416369</v>
      </c>
      <c r="AF27" s="247">
        <f>VLOOKUP($AD27,CS_PID!$B$1:$AS$151,MATCH(AF$1,CS_PID!$B$1:$AS$1, 0), FALSE)</f>
        <v>0</v>
      </c>
      <c r="AG27" s="247">
        <f>VLOOKUP($AD27,CS_PID!$B$1:$AS$151,MATCH(AG$1,CS_PID!$B$1:$AS$1, 0), FALSE)</f>
        <v>0</v>
      </c>
      <c r="AH27" s="247">
        <f>VLOOKUP($AD27,CS_PID!$B$1:$AS$151,MATCH(AH$1,CS_PID!$B$1:$AS$1, 0), FALSE)</f>
        <v>0</v>
      </c>
      <c r="AI27" s="230"/>
      <c r="AJ27" s="230"/>
      <c r="AK27" s="230"/>
      <c r="AL27" s="230"/>
      <c r="AM27" s="230"/>
      <c r="AN27" s="230"/>
      <c r="AO27" s="230"/>
      <c r="AP27" s="230"/>
      <c r="AQ27" s="230"/>
      <c r="AR27" s="230"/>
      <c r="AS27" s="230"/>
      <c r="AT27" s="230"/>
      <c r="AU27" s="230"/>
      <c r="AV27" s="230"/>
      <c r="AW27" s="230"/>
      <c r="AX27" s="230"/>
      <c r="AY27" s="230"/>
      <c r="AZ27" s="230"/>
      <c r="BA27" s="230"/>
      <c r="BB27" s="230"/>
      <c r="BC27" s="230"/>
    </row>
    <row r="28">
      <c r="A28" s="225"/>
      <c r="B28" s="225"/>
      <c r="C28" s="230"/>
      <c r="D28" s="230"/>
      <c r="E28" s="230"/>
      <c r="F28" s="230"/>
      <c r="G28" s="230"/>
      <c r="H28" s="287" t="s">
        <v>78</v>
      </c>
      <c r="I28" s="261">
        <v>289.0</v>
      </c>
      <c r="J28" s="262">
        <f>VLOOKUP(I28,LEBT[#ALL],4)</f>
        <v>0.00003802598036</v>
      </c>
      <c r="K28" s="234">
        <f>VLOOKUP($I28,CS_PID!$B$1:$AS$151,MATCH(K$1,CS_PID!$B$1:$AS$1,0), FALSE)</f>
        <v>48</v>
      </c>
      <c r="L28" s="234">
        <f>VLOOKUP($I28,CS_PID!$B$1:$AS$151,MATCH(L$1,CS_PID!$B$1:$AS$1,0), FALSE)</f>
        <v>78</v>
      </c>
      <c r="M28" s="234">
        <f>VLOOKUP($I28,CS_PID!$B$1:$AS$151,MATCH(M$1,CS_PID!$B$1:$AS$1,0), FALSE)</f>
        <v>104</v>
      </c>
      <c r="N28" s="230"/>
      <c r="O28" s="230"/>
      <c r="P28" s="230"/>
      <c r="Q28" s="230"/>
      <c r="R28" s="230"/>
      <c r="S28" s="230"/>
      <c r="T28" s="230"/>
      <c r="U28" s="230"/>
      <c r="V28" s="266" t="s">
        <v>82</v>
      </c>
      <c r="W28" s="267">
        <v>343.0</v>
      </c>
      <c r="X28" s="268">
        <f>VLOOKUP(W28,LEBT[#ALL],4)</f>
        <v>0.00003712131361</v>
      </c>
      <c r="Y28" s="243">
        <f>VLOOKUP($W28,CS_PID!$B$1:$AS$151,MATCH(Y$1,CS_PID!$B$1:$AS$1,0), FALSE)</f>
        <v>127</v>
      </c>
      <c r="Z28" s="243">
        <f>VLOOKUP($W28,CS_PID!$B$1:$AS$151,MATCH(Z$1,CS_PID!$B$1:$AS$1,0), FALSE)</f>
        <v>102</v>
      </c>
      <c r="AA28" s="243">
        <f>VLOOKUP($W28,CS_PID!$B$1:$AS$151,MATCH(AA$1,CS_PID!$B$1:$AS$1,0), FALSE)</f>
        <v>66</v>
      </c>
      <c r="AB28" s="230"/>
      <c r="AC28" s="269" t="s">
        <v>84</v>
      </c>
      <c r="AD28" s="270">
        <v>380.0</v>
      </c>
      <c r="AE28" s="271">
        <f>VLOOKUP(AD28,LEBT[#ALL],4)</f>
        <v>0.00003725518392</v>
      </c>
      <c r="AF28" s="247">
        <f>VLOOKUP($AD28,CS_PID!$B$1:$AS$151,MATCH(AF$1,CS_PID!$B$1:$AS$1, 0), FALSE)</f>
        <v>0</v>
      </c>
      <c r="AG28" s="247">
        <f>VLOOKUP($AD28,CS_PID!$B$1:$AS$151,MATCH(AG$1,CS_PID!$B$1:$AS$1, 0), FALSE)</f>
        <v>0</v>
      </c>
      <c r="AH28" s="247">
        <f>VLOOKUP($AD28,CS_PID!$B$1:$AS$151,MATCH(AH$1,CS_PID!$B$1:$AS$1, 0), FALSE)</f>
        <v>0</v>
      </c>
      <c r="AI28" s="230"/>
      <c r="AJ28" s="230"/>
      <c r="AK28" s="230"/>
      <c r="AL28" s="230"/>
      <c r="AM28" s="230"/>
      <c r="AN28" s="230"/>
      <c r="AO28" s="230"/>
      <c r="AP28" s="230"/>
      <c r="AQ28" s="230"/>
      <c r="AR28" s="230"/>
      <c r="AS28" s="230"/>
      <c r="AT28" s="230"/>
      <c r="AU28" s="230"/>
      <c r="AV28" s="230"/>
      <c r="AW28" s="230"/>
      <c r="AX28" s="230"/>
      <c r="AY28" s="230"/>
      <c r="AZ28" s="230"/>
      <c r="BA28" s="230"/>
      <c r="BB28" s="230"/>
      <c r="BC28" s="230"/>
    </row>
    <row r="29">
      <c r="A29" s="225"/>
      <c r="B29" s="225"/>
      <c r="C29" s="230"/>
      <c r="D29" s="230"/>
      <c r="E29" s="230"/>
      <c r="F29" s="230"/>
      <c r="G29" s="230"/>
      <c r="H29" s="287" t="s">
        <v>78</v>
      </c>
      <c r="I29" s="261">
        <v>290.0</v>
      </c>
      <c r="J29" s="262">
        <f>VLOOKUP(I29,LEBT[#ALL],4)</f>
        <v>0.00003772927633</v>
      </c>
      <c r="K29" s="234">
        <f>VLOOKUP($I29,CS_PID!$B$1:$AS$151,MATCH(K$1,CS_PID!$B$1:$AS$1,0), FALSE)</f>
        <v>57</v>
      </c>
      <c r="L29" s="234">
        <f>VLOOKUP($I29,CS_PID!$B$1:$AS$151,MATCH(L$1,CS_PID!$B$1:$AS$1,0), FALSE)</f>
        <v>62</v>
      </c>
      <c r="M29" s="234">
        <f>VLOOKUP($I29,CS_PID!$B$1:$AS$151,MATCH(M$1,CS_PID!$B$1:$AS$1,0), FALSE)</f>
        <v>91</v>
      </c>
      <c r="N29" s="230"/>
      <c r="O29" s="230"/>
      <c r="P29" s="230"/>
      <c r="Q29" s="230"/>
      <c r="R29" s="230"/>
      <c r="S29" s="230"/>
      <c r="T29" s="230"/>
      <c r="U29" s="230"/>
      <c r="V29" s="266" t="s">
        <v>82</v>
      </c>
      <c r="W29" s="267">
        <v>344.0</v>
      </c>
      <c r="X29" s="268">
        <f>VLOOKUP(W29,LEBT[#ALL],4)</f>
        <v>0.00003658817277</v>
      </c>
      <c r="Y29" s="243">
        <f>VLOOKUP($W29,CS_PID!$B$1:$AS$151,MATCH(Y$1,CS_PID!$B$1:$AS$1,0), FALSE)</f>
        <v>52</v>
      </c>
      <c r="Z29" s="243">
        <f>VLOOKUP($W29,CS_PID!$B$1:$AS$151,MATCH(Z$1,CS_PID!$B$1:$AS$1,0), FALSE)</f>
        <v>41</v>
      </c>
      <c r="AA29" s="243">
        <f>VLOOKUP($W29,CS_PID!$B$1:$AS$151,MATCH(AA$1,CS_PID!$B$1:$AS$1,0), FALSE)</f>
        <v>24</v>
      </c>
      <c r="AB29" s="230"/>
      <c r="AC29" s="269" t="s">
        <v>84</v>
      </c>
      <c r="AD29" s="270">
        <v>381.0</v>
      </c>
      <c r="AE29" s="271">
        <f>VLOOKUP(AD29,LEBT[#ALL],4)</f>
        <v>0.00003668944556</v>
      </c>
      <c r="AF29" s="247">
        <f>VLOOKUP($AD29,CS_PID!$B$1:$AS$151,MATCH(AF$1,CS_PID!$B$1:$AS$1, 0), FALSE)</f>
        <v>0</v>
      </c>
      <c r="AG29" s="247">
        <f>VLOOKUP($AD29,CS_PID!$B$1:$AS$151,MATCH(AG$1,CS_PID!$B$1:$AS$1, 0), FALSE)</f>
        <v>0</v>
      </c>
      <c r="AH29" s="247">
        <f>VLOOKUP($AD29,CS_PID!$B$1:$AS$151,MATCH(AH$1,CS_PID!$B$1:$AS$1, 0), FALSE)</f>
        <v>0</v>
      </c>
      <c r="AI29" s="230"/>
      <c r="AJ29" s="230"/>
      <c r="AK29" s="230"/>
      <c r="AL29" s="230"/>
      <c r="AM29" s="230"/>
      <c r="AN29" s="230"/>
      <c r="AO29" s="230"/>
      <c r="AP29" s="230"/>
      <c r="AQ29" s="230"/>
      <c r="AR29" s="230"/>
      <c r="AS29" s="230"/>
      <c r="AT29" s="230"/>
      <c r="AU29" s="230"/>
      <c r="AV29" s="230"/>
      <c r="AW29" s="230"/>
      <c r="AX29" s="230"/>
      <c r="AY29" s="230"/>
      <c r="AZ29" s="230"/>
      <c r="BA29" s="230"/>
      <c r="BB29" s="230"/>
      <c r="BC29" s="230"/>
    </row>
    <row r="30">
      <c r="A30" s="225"/>
      <c r="B30" s="225"/>
      <c r="C30" s="230"/>
      <c r="D30" s="230"/>
      <c r="E30" s="230"/>
      <c r="F30" s="230"/>
      <c r="G30" s="230"/>
      <c r="H30" s="287" t="s">
        <v>78</v>
      </c>
      <c r="I30" s="261">
        <v>291.0</v>
      </c>
      <c r="J30" s="262">
        <f>VLOOKUP(I30,LEBT[#ALL],4)</f>
        <v>0.00003495807729</v>
      </c>
      <c r="K30" s="234">
        <f>VLOOKUP($I30,CS_PID!$B$1:$AS$151,MATCH(K$1,CS_PID!$B$1:$AS$1,0), FALSE)</f>
        <v>5</v>
      </c>
      <c r="L30" s="234">
        <f>VLOOKUP($I30,CS_PID!$B$1:$AS$151,MATCH(L$1,CS_PID!$B$1:$AS$1,0), FALSE)</f>
        <v>9</v>
      </c>
      <c r="M30" s="234">
        <f>VLOOKUP($I30,CS_PID!$B$1:$AS$151,MATCH(M$1,CS_PID!$B$1:$AS$1,0), FALSE)</f>
        <v>9</v>
      </c>
      <c r="N30" s="230"/>
      <c r="O30" s="230"/>
      <c r="P30" s="230"/>
      <c r="Q30" s="230"/>
      <c r="R30" s="230"/>
      <c r="S30" s="230"/>
      <c r="T30" s="230"/>
      <c r="U30" s="230"/>
      <c r="V30" s="266" t="s">
        <v>82</v>
      </c>
      <c r="W30" s="267">
        <v>345.0</v>
      </c>
      <c r="X30" s="268">
        <f>VLOOKUP(W30,LEBT[#ALL],4)</f>
        <v>0.00003694180497</v>
      </c>
      <c r="Y30" s="243">
        <f>VLOOKUP($W30,CS_PID!$B$1:$AS$151,MATCH(Y$1,CS_PID!$B$1:$AS$1,0), FALSE)</f>
        <v>134</v>
      </c>
      <c r="Z30" s="243">
        <f>VLOOKUP($W30,CS_PID!$B$1:$AS$151,MATCH(Z$1,CS_PID!$B$1:$AS$1,0), FALSE)</f>
        <v>96</v>
      </c>
      <c r="AA30" s="243">
        <f>VLOOKUP($W30,CS_PID!$B$1:$AS$151,MATCH(AA$1,CS_PID!$B$1:$AS$1,0), FALSE)</f>
        <v>68</v>
      </c>
      <c r="AB30" s="230"/>
      <c r="AC30" s="269" t="s">
        <v>84</v>
      </c>
      <c r="AD30" s="270">
        <v>382.0</v>
      </c>
      <c r="AE30" s="271">
        <f>VLOOKUP(AD30,LEBT[#ALL],4)</f>
        <v>0.00003593434963</v>
      </c>
      <c r="AF30" s="247">
        <f>VLOOKUP($AD30,CS_PID!$B$1:$AS$151,MATCH(AF$1,CS_PID!$B$1:$AS$1, 0), FALSE)</f>
        <v>0</v>
      </c>
      <c r="AG30" s="247">
        <f>VLOOKUP($AD30,CS_PID!$B$1:$AS$151,MATCH(AG$1,CS_PID!$B$1:$AS$1, 0), FALSE)</f>
        <v>0</v>
      </c>
      <c r="AH30" s="247">
        <f>VLOOKUP($AD30,CS_PID!$B$1:$AS$151,MATCH(AH$1,CS_PID!$B$1:$AS$1, 0), FALSE)</f>
        <v>0</v>
      </c>
      <c r="AI30" s="230"/>
      <c r="AJ30" s="230"/>
      <c r="AK30" s="230"/>
      <c r="AL30" s="230"/>
      <c r="AM30" s="230"/>
      <c r="AN30" s="230"/>
      <c r="AO30" s="230"/>
      <c r="AP30" s="230"/>
      <c r="AQ30" s="230"/>
      <c r="AR30" s="230"/>
      <c r="AS30" s="230"/>
      <c r="AT30" s="230"/>
      <c r="AU30" s="230"/>
      <c r="AV30" s="230"/>
      <c r="AW30" s="230"/>
      <c r="AX30" s="230"/>
      <c r="AY30" s="230"/>
      <c r="AZ30" s="230"/>
      <c r="BA30" s="230"/>
      <c r="BB30" s="230"/>
      <c r="BC30" s="230"/>
    </row>
    <row r="31">
      <c r="A31" s="225"/>
      <c r="B31" s="225"/>
      <c r="C31" s="230"/>
      <c r="D31" s="230"/>
      <c r="E31" s="230"/>
      <c r="F31" s="230"/>
      <c r="G31" s="230"/>
      <c r="H31" s="287" t="s">
        <v>78</v>
      </c>
      <c r="I31" s="261">
        <v>292.0</v>
      </c>
      <c r="J31" s="262">
        <f>VLOOKUP(I31,LEBT[#ALL],4)</f>
        <v>0.00003646735766</v>
      </c>
      <c r="K31" s="234">
        <f>VLOOKUP($I31,CS_PID!$B$1:$AS$151,MATCH(K$1,CS_PID!$B$1:$AS$1,0), FALSE)</f>
        <v>12</v>
      </c>
      <c r="L31" s="234">
        <f>VLOOKUP($I31,CS_PID!$B$1:$AS$151,MATCH(L$1,CS_PID!$B$1:$AS$1,0), FALSE)</f>
        <v>19</v>
      </c>
      <c r="M31" s="234">
        <f>VLOOKUP($I31,CS_PID!$B$1:$AS$151,MATCH(M$1,CS_PID!$B$1:$AS$1,0), FALSE)</f>
        <v>28</v>
      </c>
      <c r="N31" s="230"/>
      <c r="O31" s="230"/>
      <c r="P31" s="230"/>
      <c r="Q31" s="230"/>
      <c r="R31" s="230"/>
      <c r="S31" s="230"/>
      <c r="T31" s="230"/>
      <c r="U31" s="230"/>
      <c r="V31" s="297" t="s">
        <v>82</v>
      </c>
      <c r="W31" s="298">
        <v>347.0</v>
      </c>
      <c r="X31" s="299">
        <f>VLOOKUP(W31,LEBT[#ALL],4)</f>
        <v>0.00003688508434</v>
      </c>
      <c r="Y31" s="243">
        <f>VLOOKUP($W31,CS_PID!$B$1:$AS$151,MATCH(Y$1,CS_PID!$B$1:$AS$1,0), FALSE)</f>
        <v>95</v>
      </c>
      <c r="Z31" s="243">
        <f>VLOOKUP($W31,CS_PID!$B$1:$AS$151,MATCH(Z$1,CS_PID!$B$1:$AS$1,0), FALSE)</f>
        <v>84</v>
      </c>
      <c r="AA31" s="243">
        <f>VLOOKUP($W31,CS_PID!$B$1:$AS$151,MATCH(AA$1,CS_PID!$B$1:$AS$1,0), FALSE)</f>
        <v>46</v>
      </c>
      <c r="AB31" s="230"/>
      <c r="AC31" s="269" t="s">
        <v>84</v>
      </c>
      <c r="AD31" s="270">
        <v>383.0</v>
      </c>
      <c r="AE31" s="271">
        <f>VLOOKUP(AD31,LEBT[#ALL],4)</f>
        <v>0.00003818248192</v>
      </c>
      <c r="AF31" s="247">
        <f>VLOOKUP($AD31,CS_PID!$B$1:$AS$151,MATCH(AF$1,CS_PID!$B$1:$AS$1, 0), FALSE)</f>
        <v>0</v>
      </c>
      <c r="AG31" s="247">
        <f>VLOOKUP($AD31,CS_PID!$B$1:$AS$151,MATCH(AG$1,CS_PID!$B$1:$AS$1, 0), FALSE)</f>
        <v>0</v>
      </c>
      <c r="AH31" s="247">
        <f>VLOOKUP($AD31,CS_PID!$B$1:$AS$151,MATCH(AH$1,CS_PID!$B$1:$AS$1, 0), FALSE)</f>
        <v>1</v>
      </c>
      <c r="AI31" s="230"/>
      <c r="AJ31" s="230"/>
      <c r="AK31" s="230"/>
      <c r="AL31" s="230"/>
      <c r="AM31" s="230"/>
      <c r="AN31" s="230"/>
      <c r="AO31" s="230"/>
      <c r="AP31" s="230"/>
      <c r="AQ31" s="230"/>
      <c r="AR31" s="230"/>
      <c r="AS31" s="230"/>
      <c r="AT31" s="230"/>
      <c r="AU31" s="230"/>
      <c r="AV31" s="230"/>
      <c r="AW31" s="230"/>
      <c r="AX31" s="230"/>
      <c r="AY31" s="230"/>
      <c r="AZ31" s="230"/>
      <c r="BA31" s="230"/>
      <c r="BB31" s="230"/>
      <c r="BC31" s="230"/>
    </row>
    <row r="32">
      <c r="A32" s="225"/>
      <c r="B32" s="225"/>
      <c r="C32" s="230"/>
      <c r="D32" s="230"/>
      <c r="E32" s="230"/>
      <c r="F32" s="230"/>
      <c r="G32" s="230"/>
      <c r="H32" s="287" t="s">
        <v>78</v>
      </c>
      <c r="I32" s="261">
        <v>293.0</v>
      </c>
      <c r="J32" s="262">
        <f>VLOOKUP(I32,LEBT[#ALL],4)</f>
        <v>0.00003737932808</v>
      </c>
      <c r="K32" s="234">
        <f>VLOOKUP($I32,CS_PID!$B$1:$AS$151,MATCH(K$1,CS_PID!$B$1:$AS$1,0), FALSE)</f>
        <v>58</v>
      </c>
      <c r="L32" s="234">
        <f>VLOOKUP($I32,CS_PID!$B$1:$AS$151,MATCH(L$1,CS_PID!$B$1:$AS$1,0), FALSE)</f>
        <v>62</v>
      </c>
      <c r="M32" s="234">
        <f>VLOOKUP($I32,CS_PID!$B$1:$AS$151,MATCH(M$1,CS_PID!$B$1:$AS$1,0), FALSE)</f>
        <v>69</v>
      </c>
      <c r="N32" s="230"/>
      <c r="O32" s="230"/>
      <c r="P32" s="230"/>
      <c r="Q32" s="230"/>
      <c r="R32" s="230"/>
      <c r="S32" s="230"/>
      <c r="T32" s="230"/>
      <c r="U32" s="230"/>
      <c r="V32" s="230"/>
      <c r="W32" s="230"/>
      <c r="X32" s="230"/>
      <c r="Y32" s="230"/>
      <c r="Z32" s="230"/>
      <c r="AA32" s="230"/>
      <c r="AB32" s="230"/>
      <c r="AC32" s="269" t="s">
        <v>84</v>
      </c>
      <c r="AD32" s="270">
        <v>384.0</v>
      </c>
      <c r="AE32" s="271">
        <f>VLOOKUP(AD32,LEBT[#ALL],4)</f>
        <v>0.00003284072366</v>
      </c>
      <c r="AF32" s="247">
        <f>VLOOKUP($AD32,CS_PID!$B$1:$AS$151,MATCH(AF$1,CS_PID!$B$1:$AS$1, 0), FALSE)</f>
        <v>0</v>
      </c>
      <c r="AG32" s="247">
        <f>VLOOKUP($AD32,CS_PID!$B$1:$AS$151,MATCH(AG$1,CS_PID!$B$1:$AS$1, 0), FALSE)</f>
        <v>0</v>
      </c>
      <c r="AH32" s="247">
        <f>VLOOKUP($AD32,CS_PID!$B$1:$AS$151,MATCH(AH$1,CS_PID!$B$1:$AS$1, 0), FALSE)</f>
        <v>0</v>
      </c>
      <c r="AI32" s="230"/>
      <c r="AJ32" s="230"/>
      <c r="AK32" s="230"/>
      <c r="AL32" s="230"/>
      <c r="AM32" s="230"/>
      <c r="AN32" s="230"/>
      <c r="AO32" s="230"/>
      <c r="AP32" s="230"/>
      <c r="AQ32" s="230"/>
      <c r="AR32" s="230"/>
      <c r="AS32" s="230"/>
      <c r="AT32" s="230"/>
      <c r="AU32" s="230"/>
      <c r="AV32" s="230"/>
      <c r="AW32" s="230"/>
      <c r="AX32" s="230"/>
      <c r="AY32" s="230"/>
      <c r="AZ32" s="230"/>
      <c r="BA32" s="230"/>
      <c r="BB32" s="230"/>
      <c r="BC32" s="230"/>
    </row>
    <row r="33">
      <c r="A33" s="225"/>
      <c r="B33" s="225"/>
      <c r="C33" s="230"/>
      <c r="D33" s="230"/>
      <c r="E33" s="230"/>
      <c r="F33" s="230"/>
      <c r="G33" s="230"/>
      <c r="H33" s="287" t="s">
        <v>78</v>
      </c>
      <c r="I33" s="261">
        <v>294.0</v>
      </c>
      <c r="J33" s="262">
        <f>VLOOKUP(I33,LEBT[#ALL],4)</f>
        <v>0.0000353401519</v>
      </c>
      <c r="K33" s="234">
        <f>VLOOKUP($I33,CS_PID!$B$1:$AS$151,MATCH(K$1,CS_PID!$B$1:$AS$1,0), FALSE)</f>
        <v>10</v>
      </c>
      <c r="L33" s="234">
        <f>VLOOKUP($I33,CS_PID!$B$1:$AS$151,MATCH(L$1,CS_PID!$B$1:$AS$1,0), FALSE)</f>
        <v>9</v>
      </c>
      <c r="M33" s="234">
        <f>VLOOKUP($I33,CS_PID!$B$1:$AS$151,MATCH(M$1,CS_PID!$B$1:$AS$1,0), FALSE)</f>
        <v>18</v>
      </c>
      <c r="N33" s="230"/>
      <c r="O33" s="230"/>
      <c r="P33" s="230"/>
      <c r="Q33" s="230"/>
      <c r="R33" s="230"/>
      <c r="S33" s="230"/>
      <c r="T33" s="230"/>
      <c r="U33" s="230"/>
      <c r="V33" s="230"/>
      <c r="W33" s="230"/>
      <c r="X33" s="230"/>
      <c r="Y33" s="230"/>
      <c r="Z33" s="230"/>
      <c r="AA33" s="230"/>
      <c r="AB33" s="230"/>
      <c r="AC33" s="269" t="s">
        <v>84</v>
      </c>
      <c r="AD33" s="270">
        <v>385.0</v>
      </c>
      <c r="AE33" s="271">
        <f>VLOOKUP(AD33,LEBT[#ALL],4)</f>
        <v>0.00003844119763</v>
      </c>
      <c r="AF33" s="247">
        <f>VLOOKUP($AD33,CS_PID!$B$1:$AS$151,MATCH(AF$1,CS_PID!$B$1:$AS$1, 0), FALSE)</f>
        <v>0</v>
      </c>
      <c r="AG33" s="247">
        <f>VLOOKUP($AD33,CS_PID!$B$1:$AS$151,MATCH(AG$1,CS_PID!$B$1:$AS$1, 0), FALSE)</f>
        <v>0</v>
      </c>
      <c r="AH33" s="247">
        <f>VLOOKUP($AD33,CS_PID!$B$1:$AS$151,MATCH(AH$1,CS_PID!$B$1:$AS$1, 0), FALSE)</f>
        <v>0</v>
      </c>
      <c r="AI33" s="230"/>
      <c r="AJ33" s="230"/>
      <c r="AK33" s="230"/>
      <c r="AL33" s="230"/>
      <c r="AM33" s="230"/>
      <c r="AN33" s="230"/>
      <c r="AO33" s="230"/>
      <c r="AP33" s="230"/>
      <c r="AQ33" s="230"/>
      <c r="AR33" s="230"/>
      <c r="AS33" s="230"/>
      <c r="AT33" s="230"/>
      <c r="AU33" s="230"/>
      <c r="AV33" s="230"/>
      <c r="AW33" s="230"/>
      <c r="AX33" s="230"/>
      <c r="AY33" s="230"/>
      <c r="AZ33" s="230"/>
      <c r="BA33" s="230"/>
      <c r="BB33" s="230"/>
      <c r="BC33" s="230"/>
    </row>
    <row r="34">
      <c r="A34" s="225"/>
      <c r="B34" s="225"/>
      <c r="C34" s="230"/>
      <c r="D34" s="230"/>
      <c r="E34" s="230"/>
      <c r="F34" s="230"/>
      <c r="G34" s="230"/>
      <c r="H34" s="287" t="s">
        <v>78</v>
      </c>
      <c r="I34" s="261">
        <v>295.0</v>
      </c>
      <c r="J34" s="262">
        <f>VLOOKUP(I34,LEBT[#ALL],4)</f>
        <v>0.00003660088366</v>
      </c>
      <c r="K34" s="234">
        <f>VLOOKUP($I34,CS_PID!$B$1:$AS$151,MATCH(K$1,CS_PID!$B$1:$AS$1,0), FALSE)</f>
        <v>16</v>
      </c>
      <c r="L34" s="234">
        <f>VLOOKUP($I34,CS_PID!$B$1:$AS$151,MATCH(L$1,CS_PID!$B$1:$AS$1,0), FALSE)</f>
        <v>19</v>
      </c>
      <c r="M34" s="234">
        <f>VLOOKUP($I34,CS_PID!$B$1:$AS$151,MATCH(M$1,CS_PID!$B$1:$AS$1,0), FALSE)</f>
        <v>19</v>
      </c>
      <c r="N34" s="230"/>
      <c r="O34" s="230"/>
      <c r="P34" s="230"/>
      <c r="Q34" s="230"/>
      <c r="R34" s="230"/>
      <c r="S34" s="230"/>
      <c r="T34" s="230"/>
      <c r="U34" s="230"/>
      <c r="V34" s="230"/>
      <c r="W34" s="230"/>
      <c r="X34" s="230"/>
      <c r="Y34" s="230"/>
      <c r="Z34" s="230"/>
      <c r="AA34" s="230"/>
      <c r="AB34" s="230"/>
      <c r="AC34" s="269" t="s">
        <v>84</v>
      </c>
      <c r="AD34" s="270">
        <v>386.0</v>
      </c>
      <c r="AE34" s="271">
        <f>VLOOKUP(AD34,LEBT[#ALL],4)</f>
        <v>0.00003811458346</v>
      </c>
      <c r="AF34" s="247">
        <f>VLOOKUP($AD34,CS_PID!$B$1:$AS$151,MATCH(AF$1,CS_PID!$B$1:$AS$1, 0), FALSE)</f>
        <v>0</v>
      </c>
      <c r="AG34" s="247">
        <f>VLOOKUP($AD34,CS_PID!$B$1:$AS$151,MATCH(AG$1,CS_PID!$B$1:$AS$1, 0), FALSE)</f>
        <v>0</v>
      </c>
      <c r="AH34" s="247">
        <f>VLOOKUP($AD34,CS_PID!$B$1:$AS$151,MATCH(AH$1,CS_PID!$B$1:$AS$1, 0), FALSE)</f>
        <v>0</v>
      </c>
      <c r="AI34" s="230"/>
      <c r="AJ34" s="230"/>
      <c r="AK34" s="230"/>
      <c r="AL34" s="230"/>
      <c r="AM34" s="230"/>
      <c r="AN34" s="230"/>
      <c r="AO34" s="230"/>
      <c r="AP34" s="230"/>
      <c r="AQ34" s="230"/>
      <c r="AR34" s="230"/>
      <c r="AS34" s="230"/>
      <c r="AT34" s="230"/>
      <c r="AU34" s="230"/>
      <c r="AV34" s="230"/>
      <c r="AW34" s="230"/>
      <c r="AX34" s="230"/>
      <c r="AY34" s="230"/>
      <c r="AZ34" s="230"/>
      <c r="BA34" s="230"/>
      <c r="BB34" s="230"/>
      <c r="BC34" s="230"/>
    </row>
    <row r="35">
      <c r="A35" s="225"/>
      <c r="B35" s="225"/>
      <c r="C35" s="230"/>
      <c r="D35" s="230"/>
      <c r="E35" s="230"/>
      <c r="F35" s="230"/>
      <c r="G35" s="230"/>
      <c r="H35" s="287" t="s">
        <v>78</v>
      </c>
      <c r="I35" s="261">
        <v>296.0</v>
      </c>
      <c r="J35" s="262">
        <f>VLOOKUP(I35,LEBT[#ALL],4)</f>
        <v>0.00003266447199</v>
      </c>
      <c r="K35" s="234">
        <f>VLOOKUP($I35,CS_PID!$B$1:$AS$151,MATCH(K$1,CS_PID!$B$1:$AS$1,0), FALSE)</f>
        <v>5</v>
      </c>
      <c r="L35" s="234">
        <f>VLOOKUP($I35,CS_PID!$B$1:$AS$151,MATCH(L$1,CS_PID!$B$1:$AS$1,0), FALSE)</f>
        <v>5</v>
      </c>
      <c r="M35" s="234">
        <f>VLOOKUP($I35,CS_PID!$B$1:$AS$151,MATCH(M$1,CS_PID!$B$1:$AS$1,0), FALSE)</f>
        <v>4</v>
      </c>
      <c r="N35" s="230"/>
      <c r="O35" s="230"/>
      <c r="P35" s="230"/>
      <c r="Q35" s="230"/>
      <c r="R35" s="230"/>
      <c r="S35" s="230"/>
      <c r="T35" s="230"/>
      <c r="U35" s="230"/>
      <c r="V35" s="230"/>
      <c r="W35" s="230"/>
      <c r="X35" s="230"/>
      <c r="Y35" s="230"/>
      <c r="Z35" s="230"/>
      <c r="AA35" s="230"/>
      <c r="AB35" s="230"/>
      <c r="AC35" s="269" t="s">
        <v>84</v>
      </c>
      <c r="AD35" s="270">
        <v>387.0</v>
      </c>
      <c r="AE35" s="271">
        <f>VLOOKUP(AD35,LEBT[#ALL],4)</f>
        <v>0.00003723245753</v>
      </c>
      <c r="AF35" s="247">
        <f>VLOOKUP($AD35,CS_PID!$B$1:$AS$151,MATCH(AF$1,CS_PID!$B$1:$AS$1, 0), FALSE)</f>
        <v>0</v>
      </c>
      <c r="AG35" s="247">
        <f>VLOOKUP($AD35,CS_PID!$B$1:$AS$151,MATCH(AG$1,CS_PID!$B$1:$AS$1, 0), FALSE)</f>
        <v>0</v>
      </c>
      <c r="AH35" s="247">
        <f>VLOOKUP($AD35,CS_PID!$B$1:$AS$151,MATCH(AH$1,CS_PID!$B$1:$AS$1, 0), FALSE)</f>
        <v>1</v>
      </c>
      <c r="AI35" s="230"/>
      <c r="AJ35" s="230"/>
      <c r="AK35" s="230"/>
      <c r="AL35" s="230"/>
      <c r="AM35" s="230"/>
      <c r="AN35" s="230"/>
      <c r="AO35" s="230"/>
      <c r="AP35" s="230"/>
      <c r="AQ35" s="230"/>
      <c r="AR35" s="230"/>
      <c r="AS35" s="230"/>
      <c r="AT35" s="230"/>
      <c r="AU35" s="230"/>
      <c r="AV35" s="230"/>
      <c r="AW35" s="230"/>
      <c r="AX35" s="230"/>
      <c r="AY35" s="230"/>
      <c r="AZ35" s="230"/>
      <c r="BA35" s="230"/>
      <c r="BB35" s="230"/>
      <c r="BC35" s="230"/>
    </row>
    <row r="36">
      <c r="A36" s="225"/>
      <c r="B36" s="225"/>
      <c r="C36" s="230"/>
      <c r="D36" s="230"/>
      <c r="E36" s="230"/>
      <c r="F36" s="230"/>
      <c r="G36" s="230"/>
      <c r="H36" s="287" t="s">
        <v>78</v>
      </c>
      <c r="I36" s="261">
        <v>297.0</v>
      </c>
      <c r="J36" s="262">
        <f>VLOOKUP(I36,LEBT[#ALL],4)</f>
        <v>0.0000339676255</v>
      </c>
      <c r="K36" s="234">
        <f>VLOOKUP($I36,CS_PID!$B$1:$AS$151,MATCH(K$1,CS_PID!$B$1:$AS$1,0), FALSE)</f>
        <v>2</v>
      </c>
      <c r="L36" s="234">
        <f>VLOOKUP($I36,CS_PID!$B$1:$AS$151,MATCH(L$1,CS_PID!$B$1:$AS$1,0), FALSE)</f>
        <v>10</v>
      </c>
      <c r="M36" s="234">
        <f>VLOOKUP($I36,CS_PID!$B$1:$AS$151,MATCH(M$1,CS_PID!$B$1:$AS$1,0), FALSE)</f>
        <v>7</v>
      </c>
      <c r="N36" s="230"/>
      <c r="O36" s="230"/>
      <c r="P36" s="230"/>
      <c r="Q36" s="230"/>
      <c r="R36" s="230"/>
      <c r="S36" s="230"/>
      <c r="T36" s="230"/>
      <c r="U36" s="230"/>
      <c r="V36" s="230"/>
      <c r="W36" s="230"/>
      <c r="X36" s="230"/>
      <c r="Y36" s="230"/>
      <c r="Z36" s="230"/>
      <c r="AA36" s="230"/>
      <c r="AB36" s="230"/>
      <c r="AC36" s="269" t="s">
        <v>84</v>
      </c>
      <c r="AD36" s="270">
        <v>388.0</v>
      </c>
      <c r="AE36" s="271">
        <f>VLOOKUP(AD36,LEBT[#ALL],4)</f>
        <v>0.00003702488077</v>
      </c>
      <c r="AF36" s="247">
        <f>VLOOKUP($AD36,CS_PID!$B$1:$AS$151,MATCH(AF$1,CS_PID!$B$1:$AS$1, 0), FALSE)</f>
        <v>0</v>
      </c>
      <c r="AG36" s="247">
        <f>VLOOKUP($AD36,CS_PID!$B$1:$AS$151,MATCH(AG$1,CS_PID!$B$1:$AS$1, 0), FALSE)</f>
        <v>0</v>
      </c>
      <c r="AH36" s="247">
        <f>VLOOKUP($AD36,CS_PID!$B$1:$AS$151,MATCH(AH$1,CS_PID!$B$1:$AS$1, 0), FALSE)</f>
        <v>0</v>
      </c>
      <c r="AI36" s="230"/>
      <c r="AJ36" s="230"/>
      <c r="AK36" s="230"/>
      <c r="AL36" s="230"/>
      <c r="AM36" s="230"/>
      <c r="AN36" s="230"/>
      <c r="AO36" s="230"/>
      <c r="AP36" s="230"/>
      <c r="AQ36" s="230"/>
      <c r="AR36" s="230"/>
      <c r="AS36" s="230"/>
      <c r="AT36" s="230"/>
      <c r="AU36" s="230"/>
      <c r="AV36" s="230"/>
      <c r="AW36" s="230"/>
      <c r="AX36" s="230"/>
      <c r="AY36" s="230"/>
      <c r="AZ36" s="230"/>
      <c r="BA36" s="230"/>
      <c r="BB36" s="230"/>
      <c r="BC36" s="230"/>
    </row>
    <row r="37">
      <c r="A37" s="225"/>
      <c r="B37" s="225"/>
      <c r="C37" s="230"/>
      <c r="D37" s="230"/>
      <c r="E37" s="230"/>
      <c r="F37" s="230"/>
      <c r="G37" s="230"/>
      <c r="H37" s="287" t="s">
        <v>78</v>
      </c>
      <c r="I37" s="261">
        <v>298.0</v>
      </c>
      <c r="J37" s="262">
        <f>VLOOKUP(I37,LEBT[#ALL],4)</f>
        <v>0.0000365436599</v>
      </c>
      <c r="K37" s="234">
        <f>VLOOKUP($I37,CS_PID!$B$1:$AS$151,MATCH(K$1,CS_PID!$B$1:$AS$1,0), FALSE)</f>
        <v>12</v>
      </c>
      <c r="L37" s="234">
        <f>VLOOKUP($I37,CS_PID!$B$1:$AS$151,MATCH(L$1,CS_PID!$B$1:$AS$1,0), FALSE)</f>
        <v>12</v>
      </c>
      <c r="M37" s="234">
        <f>VLOOKUP($I37,CS_PID!$B$1:$AS$151,MATCH(M$1,CS_PID!$B$1:$AS$1,0), FALSE)</f>
        <v>16</v>
      </c>
      <c r="N37" s="230"/>
      <c r="O37" s="230"/>
      <c r="P37" s="230"/>
      <c r="Q37" s="230"/>
      <c r="R37" s="230"/>
      <c r="S37" s="230"/>
      <c r="T37" s="230"/>
      <c r="U37" s="230"/>
      <c r="V37" s="230"/>
      <c r="W37" s="230"/>
      <c r="X37" s="230"/>
      <c r="Y37" s="230"/>
      <c r="Z37" s="230"/>
      <c r="AA37" s="230"/>
      <c r="AB37" s="230"/>
      <c r="AC37" s="269" t="s">
        <v>84</v>
      </c>
      <c r="AD37" s="270">
        <v>389.0</v>
      </c>
      <c r="AE37" s="271">
        <f>VLOOKUP(AD37,LEBT[#ALL],4)</f>
        <v>0.00003315209147</v>
      </c>
      <c r="AF37" s="247">
        <f>VLOOKUP($AD37,CS_PID!$B$1:$AS$151,MATCH(AF$1,CS_PID!$B$1:$AS$1, 0), FALSE)</f>
        <v>0</v>
      </c>
      <c r="AG37" s="247">
        <f>VLOOKUP($AD37,CS_PID!$B$1:$AS$151,MATCH(AG$1,CS_PID!$B$1:$AS$1, 0), FALSE)</f>
        <v>0</v>
      </c>
      <c r="AH37" s="247">
        <f>VLOOKUP($AD37,CS_PID!$B$1:$AS$151,MATCH(AH$1,CS_PID!$B$1:$AS$1, 0), FALSE)</f>
        <v>0</v>
      </c>
      <c r="AI37" s="230"/>
      <c r="AJ37" s="230"/>
      <c r="AK37" s="230"/>
      <c r="AL37" s="230"/>
      <c r="AM37" s="230"/>
      <c r="AN37" s="230"/>
      <c r="AO37" s="230"/>
      <c r="AP37" s="230"/>
      <c r="AQ37" s="230"/>
      <c r="AR37" s="230"/>
      <c r="AS37" s="230"/>
      <c r="AT37" s="230"/>
      <c r="AU37" s="230"/>
      <c r="AV37" s="230"/>
      <c r="AW37" s="230"/>
      <c r="AX37" s="230"/>
      <c r="AY37" s="230"/>
      <c r="AZ37" s="230"/>
      <c r="BA37" s="230"/>
      <c r="BB37" s="230"/>
      <c r="BC37" s="230"/>
    </row>
    <row r="38">
      <c r="A38" s="225"/>
      <c r="B38" s="225"/>
      <c r="C38" s="230"/>
      <c r="D38" s="230"/>
      <c r="E38" s="230"/>
      <c r="F38" s="230"/>
      <c r="G38" s="230"/>
      <c r="H38" s="300" t="s">
        <v>78</v>
      </c>
      <c r="I38" s="301">
        <v>299.0</v>
      </c>
      <c r="J38" s="302">
        <f>VLOOKUP(I38,LEBT[#ALL],4)</f>
        <v>0.00003647119728</v>
      </c>
      <c r="K38" s="234">
        <f>VLOOKUP($I38,CS_PID!$B$1:$AS$151,MATCH(K$1,CS_PID!$B$1:$AS$1,0), FALSE)</f>
        <v>24</v>
      </c>
      <c r="L38" s="234">
        <f>VLOOKUP($I38,CS_PID!$B$1:$AS$151,MATCH(L$1,CS_PID!$B$1:$AS$1,0), FALSE)</f>
        <v>25</v>
      </c>
      <c r="M38" s="234">
        <f>VLOOKUP($I38,CS_PID!$B$1:$AS$151,MATCH(M$1,CS_PID!$B$1:$AS$1,0), FALSE)</f>
        <v>26</v>
      </c>
      <c r="N38" s="230"/>
      <c r="O38" s="230"/>
      <c r="P38" s="230"/>
      <c r="Q38" s="230"/>
      <c r="R38" s="230"/>
      <c r="S38" s="230"/>
      <c r="T38" s="230"/>
      <c r="U38" s="230"/>
      <c r="V38" s="230"/>
      <c r="W38" s="230"/>
      <c r="X38" s="230"/>
      <c r="Y38" s="230"/>
      <c r="Z38" s="230"/>
      <c r="AA38" s="230"/>
      <c r="AB38" s="230"/>
      <c r="AC38" s="269" t="s">
        <v>84</v>
      </c>
      <c r="AD38" s="270">
        <v>390.0</v>
      </c>
      <c r="AE38" s="271">
        <f>VLOOKUP(AD38,LEBT[#ALL],4)</f>
        <v>0.00003669053921</v>
      </c>
      <c r="AF38" s="247">
        <f>VLOOKUP($AD38,CS_PID!$B$1:$AS$151,MATCH(AF$1,CS_PID!$B$1:$AS$1, 0), FALSE)</f>
        <v>0</v>
      </c>
      <c r="AG38" s="247">
        <f>VLOOKUP($AD38,CS_PID!$B$1:$AS$151,MATCH(AG$1,CS_PID!$B$1:$AS$1, 0), FALSE)</f>
        <v>0</v>
      </c>
      <c r="AH38" s="247">
        <f>VLOOKUP($AD38,CS_PID!$B$1:$AS$151,MATCH(AH$1,CS_PID!$B$1:$AS$1, 0), FALSE)</f>
        <v>0</v>
      </c>
      <c r="AI38" s="230"/>
      <c r="AJ38" s="230"/>
      <c r="AK38" s="230"/>
      <c r="AL38" s="230"/>
      <c r="AM38" s="230"/>
      <c r="AN38" s="230"/>
      <c r="AO38" s="230"/>
      <c r="AP38" s="230"/>
      <c r="AQ38" s="230"/>
      <c r="AR38" s="230"/>
      <c r="AS38" s="230"/>
      <c r="AT38" s="230"/>
      <c r="AU38" s="230"/>
      <c r="AV38" s="230"/>
      <c r="AW38" s="230"/>
      <c r="AX38" s="230"/>
      <c r="AY38" s="230"/>
      <c r="AZ38" s="230"/>
      <c r="BA38" s="230"/>
      <c r="BB38" s="230"/>
      <c r="BC38" s="230"/>
    </row>
    <row r="39">
      <c r="A39" s="225"/>
      <c r="B39" s="225"/>
      <c r="C39" s="230"/>
      <c r="D39" s="230"/>
      <c r="E39" s="230"/>
      <c r="F39" s="230"/>
      <c r="G39" s="230"/>
      <c r="H39" s="230"/>
      <c r="I39" s="230"/>
      <c r="J39" s="230"/>
      <c r="K39" s="230"/>
      <c r="L39" s="230"/>
      <c r="M39" s="230"/>
      <c r="N39" s="230"/>
      <c r="O39" s="230"/>
      <c r="P39" s="230"/>
      <c r="Q39" s="230"/>
      <c r="R39" s="230"/>
      <c r="S39" s="230"/>
      <c r="T39" s="230"/>
      <c r="U39" s="230"/>
      <c r="V39" s="230"/>
      <c r="W39" s="230"/>
      <c r="X39" s="230"/>
      <c r="Y39" s="230"/>
      <c r="Z39" s="230"/>
      <c r="AA39" s="230"/>
      <c r="AB39" s="230"/>
      <c r="AC39" s="269" t="s">
        <v>84</v>
      </c>
      <c r="AD39" s="270">
        <v>391.0</v>
      </c>
      <c r="AE39" s="271">
        <f>VLOOKUP(AD39,LEBT[#ALL],4)</f>
        <v>0.00003732842428</v>
      </c>
      <c r="AF39" s="247">
        <f>VLOOKUP($AD39,CS_PID!$B$1:$AS$151,MATCH(AF$1,CS_PID!$B$1:$AS$1, 0), FALSE)</f>
        <v>0</v>
      </c>
      <c r="AG39" s="247">
        <f>VLOOKUP($AD39,CS_PID!$B$1:$AS$151,MATCH(AG$1,CS_PID!$B$1:$AS$1, 0), FALSE)</f>
        <v>0</v>
      </c>
      <c r="AH39" s="247">
        <f>VLOOKUP($AD39,CS_PID!$B$1:$AS$151,MATCH(AH$1,CS_PID!$B$1:$AS$1, 0), FALSE)</f>
        <v>2</v>
      </c>
      <c r="AI39" s="230"/>
      <c r="AJ39" s="230"/>
      <c r="AK39" s="230"/>
      <c r="AL39" s="230"/>
      <c r="AM39" s="230"/>
      <c r="AN39" s="230"/>
      <c r="AO39" s="230"/>
      <c r="AP39" s="230"/>
      <c r="AQ39" s="230"/>
      <c r="AR39" s="230"/>
      <c r="AS39" s="230"/>
      <c r="AT39" s="230"/>
      <c r="AU39" s="230"/>
      <c r="AV39" s="230"/>
      <c r="AW39" s="230"/>
      <c r="AX39" s="230"/>
      <c r="AY39" s="230"/>
      <c r="AZ39" s="230"/>
      <c r="BA39" s="230"/>
      <c r="BB39" s="230"/>
      <c r="BC39" s="230"/>
    </row>
    <row r="40">
      <c r="A40" s="225"/>
      <c r="B40" s="225"/>
      <c r="C40" s="230"/>
      <c r="D40" s="230"/>
      <c r="E40" s="230"/>
      <c r="F40" s="230"/>
      <c r="G40" s="230"/>
      <c r="H40" s="230"/>
      <c r="I40" s="230"/>
      <c r="J40" s="230"/>
      <c r="K40" s="230"/>
      <c r="L40" s="230"/>
      <c r="M40" s="230"/>
      <c r="N40" s="230"/>
      <c r="O40" s="230"/>
      <c r="P40" s="230"/>
      <c r="Q40" s="230"/>
      <c r="R40" s="230"/>
      <c r="S40" s="230"/>
      <c r="T40" s="230"/>
      <c r="U40" s="230"/>
      <c r="V40" s="230"/>
      <c r="W40" s="230"/>
      <c r="X40" s="230"/>
      <c r="Y40" s="230"/>
      <c r="Z40" s="230"/>
      <c r="AA40" s="230"/>
      <c r="AB40" s="230"/>
      <c r="AC40" s="269" t="s">
        <v>84</v>
      </c>
      <c r="AD40" s="270">
        <v>392.0</v>
      </c>
      <c r="AE40" s="271">
        <f>VLOOKUP(AD40,LEBT[#ALL],4)</f>
        <v>0.00003561064086</v>
      </c>
      <c r="AF40" s="247">
        <f>VLOOKUP($AD40,CS_PID!$B$1:$AS$151,MATCH(AF$1,CS_PID!$B$1:$AS$1, 0), FALSE)</f>
        <v>0</v>
      </c>
      <c r="AG40" s="247">
        <f>VLOOKUP($AD40,CS_PID!$B$1:$AS$151,MATCH(AG$1,CS_PID!$B$1:$AS$1, 0), FALSE)</f>
        <v>0</v>
      </c>
      <c r="AH40" s="247">
        <f>VLOOKUP($AD40,CS_PID!$B$1:$AS$151,MATCH(AH$1,CS_PID!$B$1:$AS$1, 0), FALSE)</f>
        <v>0</v>
      </c>
      <c r="AI40" s="230"/>
      <c r="AJ40" s="230"/>
      <c r="AK40" s="230"/>
      <c r="AL40" s="230"/>
      <c r="AM40" s="230"/>
      <c r="AN40" s="230"/>
      <c r="AO40" s="230"/>
      <c r="AP40" s="230"/>
      <c r="AQ40" s="230"/>
      <c r="AR40" s="230"/>
      <c r="AS40" s="230"/>
      <c r="AT40" s="230"/>
      <c r="AU40" s="230"/>
      <c r="AV40" s="230"/>
      <c r="AW40" s="230"/>
      <c r="AX40" s="230"/>
      <c r="AY40" s="230"/>
      <c r="AZ40" s="230"/>
      <c r="BA40" s="230"/>
      <c r="BB40" s="230"/>
      <c r="BC40" s="230"/>
    </row>
    <row r="41">
      <c r="A41" s="225"/>
      <c r="B41" s="225"/>
      <c r="C41" s="230"/>
      <c r="D41" s="230"/>
      <c r="E41" s="230"/>
      <c r="F41" s="230"/>
      <c r="G41" s="230"/>
      <c r="H41" s="230"/>
      <c r="I41" s="230"/>
      <c r="J41" s="230"/>
      <c r="K41" s="230"/>
      <c r="L41" s="230"/>
      <c r="M41" s="230"/>
      <c r="N41" s="230"/>
      <c r="O41" s="230"/>
      <c r="P41" s="230"/>
      <c r="Q41" s="230"/>
      <c r="R41" s="230"/>
      <c r="S41" s="230"/>
      <c r="T41" s="230"/>
      <c r="U41" s="230"/>
      <c r="V41" s="230"/>
      <c r="W41" s="230"/>
      <c r="X41" s="230"/>
      <c r="Y41" s="230"/>
      <c r="Z41" s="230"/>
      <c r="AA41" s="230"/>
      <c r="AB41" s="230"/>
      <c r="AC41" s="269" t="s">
        <v>84</v>
      </c>
      <c r="AD41" s="270">
        <v>393.0</v>
      </c>
      <c r="AE41" s="271">
        <f>VLOOKUP(AD41,LEBT[#ALL],4)</f>
        <v>0.00003133461796</v>
      </c>
      <c r="AF41" s="247">
        <f>VLOOKUP($AD41,CS_PID!$B$1:$AS$151,MATCH(AF$1,CS_PID!$B$1:$AS$1, 0), FALSE)</f>
        <v>0</v>
      </c>
      <c r="AG41" s="247">
        <f>VLOOKUP($AD41,CS_PID!$B$1:$AS$151,MATCH(AG$1,CS_PID!$B$1:$AS$1, 0), FALSE)</f>
        <v>0</v>
      </c>
      <c r="AH41" s="247">
        <f>VLOOKUP($AD41,CS_PID!$B$1:$AS$151,MATCH(AH$1,CS_PID!$B$1:$AS$1, 0), FALSE)</f>
        <v>0</v>
      </c>
      <c r="AI41" s="230"/>
      <c r="AJ41" s="230"/>
      <c r="AK41" s="230"/>
      <c r="AL41" s="230"/>
      <c r="AM41" s="230"/>
      <c r="AN41" s="230"/>
      <c r="AO41" s="230"/>
      <c r="AP41" s="230"/>
      <c r="AQ41" s="230"/>
      <c r="AR41" s="230"/>
      <c r="AS41" s="230"/>
      <c r="AT41" s="230"/>
      <c r="AU41" s="230"/>
      <c r="AV41" s="230"/>
      <c r="AW41" s="230"/>
      <c r="AX41" s="230"/>
      <c r="AY41" s="230"/>
      <c r="AZ41" s="230"/>
      <c r="BA41" s="230"/>
      <c r="BB41" s="230"/>
      <c r="BC41" s="230"/>
    </row>
    <row r="42">
      <c r="A42" s="225"/>
      <c r="B42" s="225"/>
      <c r="C42" s="230"/>
      <c r="D42" s="230"/>
      <c r="E42" s="230"/>
      <c r="F42" s="230"/>
      <c r="G42" s="230"/>
      <c r="H42" s="230"/>
      <c r="I42" s="230"/>
      <c r="J42" s="230"/>
      <c r="K42" s="230"/>
      <c r="L42" s="230"/>
      <c r="M42" s="230"/>
      <c r="N42" s="230"/>
      <c r="O42" s="230"/>
      <c r="P42" s="230"/>
      <c r="Q42" s="230"/>
      <c r="R42" s="230"/>
      <c r="S42" s="230"/>
      <c r="T42" s="230"/>
      <c r="U42" s="230"/>
      <c r="V42" s="230"/>
      <c r="W42" s="230"/>
      <c r="X42" s="230"/>
      <c r="Y42" s="230"/>
      <c r="Z42" s="230"/>
      <c r="AA42" s="230"/>
      <c r="AB42" s="230"/>
      <c r="AC42" s="269" t="s">
        <v>84</v>
      </c>
      <c r="AD42" s="270">
        <v>394.0</v>
      </c>
      <c r="AE42" s="271">
        <f>VLOOKUP(AD42,LEBT[#ALL],4)</f>
        <v>0.00003718234546</v>
      </c>
      <c r="AF42" s="247">
        <f>VLOOKUP($AD42,CS_PID!$B$1:$AS$151,MATCH(AF$1,CS_PID!$B$1:$AS$1, 0), FALSE)</f>
        <v>0</v>
      </c>
      <c r="AG42" s="247">
        <f>VLOOKUP($AD42,CS_PID!$B$1:$AS$151,MATCH(AG$1,CS_PID!$B$1:$AS$1, 0), FALSE)</f>
        <v>0</v>
      </c>
      <c r="AH42" s="247">
        <f>VLOOKUP($AD42,CS_PID!$B$1:$AS$151,MATCH(AH$1,CS_PID!$B$1:$AS$1, 0), FALSE)</f>
        <v>0</v>
      </c>
      <c r="AI42" s="230"/>
      <c r="AJ42" s="230"/>
      <c r="AK42" s="230"/>
      <c r="AL42" s="230"/>
      <c r="AM42" s="230"/>
      <c r="AN42" s="230"/>
      <c r="AO42" s="230"/>
      <c r="AP42" s="230"/>
      <c r="AQ42" s="230"/>
      <c r="AR42" s="230"/>
      <c r="AS42" s="230"/>
      <c r="AT42" s="230"/>
      <c r="AU42" s="230"/>
      <c r="AV42" s="230"/>
      <c r="AW42" s="230"/>
      <c r="AX42" s="230"/>
      <c r="AY42" s="230"/>
      <c r="AZ42" s="230"/>
      <c r="BA42" s="230"/>
      <c r="BB42" s="230"/>
      <c r="BC42" s="230"/>
    </row>
    <row r="43">
      <c r="A43" s="225"/>
      <c r="B43" s="225"/>
      <c r="C43" s="230"/>
      <c r="D43" s="230"/>
      <c r="E43" s="230"/>
      <c r="F43" s="230"/>
      <c r="G43" s="230"/>
      <c r="H43" s="230"/>
      <c r="I43" s="230"/>
      <c r="J43" s="230"/>
      <c r="K43" s="230"/>
      <c r="L43" s="230"/>
      <c r="M43" s="230"/>
      <c r="N43" s="230"/>
      <c r="O43" s="230"/>
      <c r="P43" s="230"/>
      <c r="Q43" s="230"/>
      <c r="R43" s="230"/>
      <c r="S43" s="230"/>
      <c r="T43" s="230"/>
      <c r="U43" s="230"/>
      <c r="V43" s="230"/>
      <c r="W43" s="230"/>
      <c r="X43" s="230"/>
      <c r="Y43" s="230"/>
      <c r="Z43" s="230"/>
      <c r="AA43" s="230"/>
      <c r="AB43" s="230"/>
      <c r="AC43" s="269" t="s">
        <v>84</v>
      </c>
      <c r="AD43" s="270">
        <v>395.0</v>
      </c>
      <c r="AE43" s="271">
        <f>VLOOKUP(AD43,LEBT[#ALL],4)</f>
        <v>0.00002698653449</v>
      </c>
      <c r="AF43" s="247">
        <f>VLOOKUP($AD43,CS_PID!$B$1:$AS$151,MATCH(AF$1,CS_PID!$B$1:$AS$1, 0), FALSE)</f>
        <v>0</v>
      </c>
      <c r="AG43" s="247">
        <f>VLOOKUP($AD43,CS_PID!$B$1:$AS$151,MATCH(AG$1,CS_PID!$B$1:$AS$1, 0), FALSE)</f>
        <v>0</v>
      </c>
      <c r="AH43" s="247">
        <f>VLOOKUP($AD43,CS_PID!$B$1:$AS$151,MATCH(AH$1,CS_PID!$B$1:$AS$1, 0), FALSE)</f>
        <v>0</v>
      </c>
      <c r="AI43" s="230"/>
      <c r="AJ43" s="230"/>
      <c r="AK43" s="230"/>
      <c r="AL43" s="230"/>
      <c r="AM43" s="230"/>
      <c r="AN43" s="230"/>
      <c r="AO43" s="230"/>
      <c r="AP43" s="230"/>
      <c r="AQ43" s="230"/>
      <c r="AR43" s="230"/>
      <c r="AS43" s="230"/>
      <c r="AT43" s="230"/>
      <c r="AU43" s="230"/>
      <c r="AV43" s="230"/>
      <c r="AW43" s="230"/>
      <c r="AX43" s="230"/>
      <c r="AY43" s="230"/>
      <c r="AZ43" s="230"/>
      <c r="BA43" s="230"/>
      <c r="BB43" s="230"/>
      <c r="BC43" s="230"/>
    </row>
    <row r="44">
      <c r="A44" s="225"/>
      <c r="B44" s="225"/>
      <c r="C44" s="230"/>
      <c r="D44" s="230"/>
      <c r="E44" s="230"/>
      <c r="F44" s="230"/>
      <c r="G44" s="230"/>
      <c r="H44" s="230"/>
      <c r="I44" s="230"/>
      <c r="J44" s="230"/>
      <c r="K44" s="230"/>
      <c r="L44" s="230"/>
      <c r="M44" s="230"/>
      <c r="N44" s="230"/>
      <c r="O44" s="230"/>
      <c r="P44" s="230"/>
      <c r="Q44" s="230"/>
      <c r="R44" s="230"/>
      <c r="S44" s="230"/>
      <c r="T44" s="230"/>
      <c r="U44" s="230"/>
      <c r="V44" s="230"/>
      <c r="W44" s="230"/>
      <c r="X44" s="230"/>
      <c r="Y44" s="230"/>
      <c r="Z44" s="230"/>
      <c r="AA44" s="230"/>
      <c r="AB44" s="230"/>
      <c r="AC44" s="269" t="s">
        <v>84</v>
      </c>
      <c r="AD44" s="270">
        <v>396.0</v>
      </c>
      <c r="AE44" s="271">
        <f>VLOOKUP(AD44,LEBT[#ALL],4)</f>
        <v>0.00003688293863</v>
      </c>
      <c r="AF44" s="247">
        <f>VLOOKUP($AD44,CS_PID!$B$1:$AS$151,MATCH(AF$1,CS_PID!$B$1:$AS$1, 0), FALSE)</f>
        <v>0</v>
      </c>
      <c r="AG44" s="247">
        <f>VLOOKUP($AD44,CS_PID!$B$1:$AS$151,MATCH(AG$1,CS_PID!$B$1:$AS$1, 0), FALSE)</f>
        <v>0</v>
      </c>
      <c r="AH44" s="247">
        <f>VLOOKUP($AD44,CS_PID!$B$1:$AS$151,MATCH(AH$1,CS_PID!$B$1:$AS$1, 0), FALSE)</f>
        <v>0</v>
      </c>
      <c r="AI44" s="230"/>
      <c r="AJ44" s="230"/>
      <c r="AK44" s="230"/>
      <c r="AL44" s="230"/>
      <c r="AM44" s="230"/>
      <c r="AN44" s="230"/>
      <c r="AO44" s="230"/>
      <c r="AP44" s="230"/>
      <c r="AQ44" s="230"/>
      <c r="AR44" s="230"/>
      <c r="AS44" s="230"/>
      <c r="AT44" s="230"/>
      <c r="AU44" s="230"/>
      <c r="AV44" s="230"/>
      <c r="AW44" s="230"/>
      <c r="AX44" s="230"/>
      <c r="AY44" s="230"/>
      <c r="AZ44" s="230"/>
      <c r="BA44" s="230"/>
      <c r="BB44" s="230"/>
      <c r="BC44" s="230"/>
    </row>
    <row r="45">
      <c r="A45" s="225"/>
      <c r="B45" s="225"/>
      <c r="C45" s="230"/>
      <c r="D45" s="230"/>
      <c r="E45" s="230"/>
      <c r="F45" s="230"/>
      <c r="G45" s="230"/>
      <c r="H45" s="230"/>
      <c r="I45" s="230"/>
      <c r="J45" s="230"/>
      <c r="K45" s="230"/>
      <c r="L45" s="230"/>
      <c r="M45" s="230"/>
      <c r="N45" s="230"/>
      <c r="O45" s="230"/>
      <c r="P45" s="230"/>
      <c r="Q45" s="230"/>
      <c r="R45" s="230"/>
      <c r="S45" s="230"/>
      <c r="T45" s="230"/>
      <c r="U45" s="230"/>
      <c r="V45" s="230"/>
      <c r="W45" s="230"/>
      <c r="X45" s="230"/>
      <c r="Y45" s="230"/>
      <c r="Z45" s="230"/>
      <c r="AA45" s="230"/>
      <c r="AB45" s="230"/>
      <c r="AC45" s="269" t="s">
        <v>84</v>
      </c>
      <c r="AD45" s="270">
        <v>398.0</v>
      </c>
      <c r="AE45" s="271">
        <f>VLOOKUP(AD45,LEBT[#ALL],4)</f>
        <v>0.00003641975118</v>
      </c>
      <c r="AF45" s="247">
        <f>VLOOKUP($AD45,CS_PID!$B$1:$AS$151,MATCH(AF$1,CS_PID!$B$1:$AS$1, 0), FALSE)</f>
        <v>0</v>
      </c>
      <c r="AG45" s="247">
        <f>VLOOKUP($AD45,CS_PID!$B$1:$AS$151,MATCH(AG$1,CS_PID!$B$1:$AS$1, 0), FALSE)</f>
        <v>0</v>
      </c>
      <c r="AH45" s="247">
        <f>VLOOKUP($AD45,CS_PID!$B$1:$AS$151,MATCH(AH$1,CS_PID!$B$1:$AS$1, 0), FALSE)</f>
        <v>0</v>
      </c>
      <c r="AI45" s="230"/>
      <c r="AJ45" s="230"/>
      <c r="AK45" s="230"/>
      <c r="AL45" s="230"/>
      <c r="AM45" s="230"/>
      <c r="AN45" s="230"/>
      <c r="AO45" s="230"/>
      <c r="AP45" s="230"/>
      <c r="AQ45" s="230"/>
      <c r="AR45" s="230"/>
      <c r="AS45" s="230"/>
      <c r="AT45" s="230"/>
      <c r="AU45" s="230"/>
      <c r="AV45" s="230"/>
      <c r="AW45" s="230"/>
      <c r="AX45" s="230"/>
      <c r="AY45" s="230"/>
      <c r="AZ45" s="230"/>
      <c r="BA45" s="230"/>
      <c r="BB45" s="230"/>
      <c r="BC45" s="230"/>
    </row>
    <row r="46">
      <c r="A46" s="225"/>
      <c r="B46" s="225"/>
      <c r="C46" s="230"/>
      <c r="D46" s="230"/>
      <c r="E46" s="230"/>
      <c r="F46" s="230"/>
      <c r="G46" s="230"/>
      <c r="H46" s="230"/>
      <c r="I46" s="230"/>
      <c r="J46" s="230"/>
      <c r="K46" s="230"/>
      <c r="L46" s="230"/>
      <c r="M46" s="230"/>
      <c r="N46" s="230"/>
      <c r="O46" s="230"/>
      <c r="P46" s="230"/>
      <c r="Q46" s="230"/>
      <c r="R46" s="230"/>
      <c r="S46" s="230"/>
      <c r="T46" s="230"/>
      <c r="U46" s="230"/>
      <c r="V46" s="230"/>
      <c r="W46" s="230"/>
      <c r="X46" s="230"/>
      <c r="Y46" s="230"/>
      <c r="Z46" s="230"/>
      <c r="AA46" s="230"/>
      <c r="AB46" s="230"/>
      <c r="AC46" s="269" t="s">
        <v>84</v>
      </c>
      <c r="AD46" s="270">
        <v>399.0</v>
      </c>
      <c r="AE46" s="271">
        <f>VLOOKUP(AD46,LEBT[#ALL],4)</f>
        <v>0.00003657421467</v>
      </c>
      <c r="AF46" s="247">
        <f>VLOOKUP($AD46,CS_PID!$B$1:$AS$151,MATCH(AF$1,CS_PID!$B$1:$AS$1, 0), FALSE)</f>
        <v>0</v>
      </c>
      <c r="AG46" s="247">
        <f>VLOOKUP($AD46,CS_PID!$B$1:$AS$151,MATCH(AG$1,CS_PID!$B$1:$AS$1, 0), FALSE)</f>
        <v>0</v>
      </c>
      <c r="AH46" s="247">
        <f>VLOOKUP($AD46,CS_PID!$B$1:$AS$151,MATCH(AH$1,CS_PID!$B$1:$AS$1, 0), FALSE)</f>
        <v>2</v>
      </c>
      <c r="AI46" s="230"/>
      <c r="AJ46" s="230"/>
      <c r="AK46" s="230"/>
      <c r="AL46" s="230"/>
      <c r="AM46" s="230"/>
      <c r="AN46" s="230"/>
      <c r="AO46" s="230"/>
      <c r="AP46" s="230"/>
      <c r="AQ46" s="230"/>
      <c r="AR46" s="230"/>
      <c r="AS46" s="230"/>
      <c r="AT46" s="230"/>
      <c r="AU46" s="230"/>
      <c r="AV46" s="230"/>
      <c r="AW46" s="230"/>
      <c r="AX46" s="230"/>
      <c r="AY46" s="230"/>
      <c r="AZ46" s="230"/>
      <c r="BA46" s="230"/>
      <c r="BB46" s="230"/>
      <c r="BC46" s="230"/>
    </row>
    <row r="47">
      <c r="A47" s="225"/>
      <c r="B47" s="225"/>
      <c r="C47" s="230"/>
      <c r="D47" s="230"/>
      <c r="E47" s="230"/>
      <c r="F47" s="230"/>
      <c r="G47" s="230"/>
      <c r="H47" s="230"/>
      <c r="I47" s="230"/>
      <c r="J47" s="230"/>
      <c r="K47" s="230"/>
      <c r="L47" s="230"/>
      <c r="M47" s="230"/>
      <c r="N47" s="230"/>
      <c r="O47" s="230"/>
      <c r="P47" s="230"/>
      <c r="Q47" s="230"/>
      <c r="R47" s="230"/>
      <c r="S47" s="230"/>
      <c r="T47" s="230"/>
      <c r="U47" s="230"/>
      <c r="V47" s="230"/>
      <c r="W47" s="230"/>
      <c r="X47" s="230"/>
      <c r="Y47" s="230"/>
      <c r="Z47" s="230"/>
      <c r="AA47" s="230"/>
      <c r="AB47" s="230"/>
      <c r="AC47" s="269" t="s">
        <v>84</v>
      </c>
      <c r="AD47" s="270">
        <v>400.0</v>
      </c>
      <c r="AE47" s="271">
        <f>VLOOKUP(AD47,LEBT[#ALL],4)</f>
        <v>0.00003647299277</v>
      </c>
      <c r="AF47" s="247">
        <f>VLOOKUP($AD47,CS_PID!$B$1:$AS$151,MATCH(AF$1,CS_PID!$B$1:$AS$1, 0), FALSE)</f>
        <v>0</v>
      </c>
      <c r="AG47" s="247">
        <f>VLOOKUP($AD47,CS_PID!$B$1:$AS$151,MATCH(AG$1,CS_PID!$B$1:$AS$1, 0), FALSE)</f>
        <v>0</v>
      </c>
      <c r="AH47" s="247">
        <f>VLOOKUP($AD47,CS_PID!$B$1:$AS$151,MATCH(AH$1,CS_PID!$B$1:$AS$1, 0), FALSE)</f>
        <v>0</v>
      </c>
      <c r="AI47" s="230"/>
      <c r="AJ47" s="230"/>
      <c r="AK47" s="230"/>
      <c r="AL47" s="230"/>
      <c r="AM47" s="230"/>
      <c r="AN47" s="230"/>
      <c r="AO47" s="230"/>
      <c r="AP47" s="230"/>
      <c r="AQ47" s="230"/>
      <c r="AR47" s="230"/>
      <c r="AS47" s="230"/>
      <c r="AT47" s="230"/>
      <c r="AU47" s="230"/>
      <c r="AV47" s="230"/>
      <c r="AW47" s="230"/>
      <c r="AX47" s="230"/>
      <c r="AY47" s="230"/>
      <c r="AZ47" s="230"/>
      <c r="BA47" s="230"/>
      <c r="BB47" s="230"/>
      <c r="BC47" s="230"/>
    </row>
    <row r="48">
      <c r="A48" s="225"/>
      <c r="B48" s="225"/>
      <c r="C48" s="230"/>
      <c r="D48" s="230"/>
      <c r="E48" s="230"/>
      <c r="F48" s="230"/>
      <c r="G48" s="230"/>
      <c r="H48" s="230"/>
      <c r="I48" s="230"/>
      <c r="J48" s="230"/>
      <c r="K48" s="230"/>
      <c r="L48" s="230"/>
      <c r="M48" s="230"/>
      <c r="N48" s="230"/>
      <c r="O48" s="230"/>
      <c r="P48" s="230"/>
      <c r="Q48" s="230"/>
      <c r="R48" s="230"/>
      <c r="S48" s="230"/>
      <c r="T48" s="230"/>
      <c r="U48" s="230"/>
      <c r="V48" s="230"/>
      <c r="W48" s="230"/>
      <c r="X48" s="230"/>
      <c r="Y48" s="230"/>
      <c r="Z48" s="230"/>
      <c r="AA48" s="230"/>
      <c r="AB48" s="230"/>
      <c r="AC48" s="269" t="s">
        <v>84</v>
      </c>
      <c r="AD48" s="270">
        <v>402.0</v>
      </c>
      <c r="AE48" s="271">
        <f>VLOOKUP(AD48,LEBT[#ALL],4)</f>
        <v>0.00003640395859</v>
      </c>
      <c r="AF48" s="247">
        <f>VLOOKUP($AD48,CS_PID!$B$1:$AS$151,MATCH(AF$1,CS_PID!$B$1:$AS$1, 0), FALSE)</f>
        <v>0</v>
      </c>
      <c r="AG48" s="247">
        <f>VLOOKUP($AD48,CS_PID!$B$1:$AS$151,MATCH(AG$1,CS_PID!$B$1:$AS$1, 0), FALSE)</f>
        <v>0</v>
      </c>
      <c r="AH48" s="247">
        <f>VLOOKUP($AD48,CS_PID!$B$1:$AS$151,MATCH(AH$1,CS_PID!$B$1:$AS$1, 0), FALSE)</f>
        <v>0</v>
      </c>
      <c r="AI48" s="230"/>
      <c r="AJ48" s="230"/>
      <c r="AK48" s="230"/>
      <c r="AL48" s="230"/>
      <c r="AM48" s="230"/>
      <c r="AN48" s="230"/>
      <c r="AO48" s="230"/>
      <c r="AP48" s="230"/>
      <c r="AQ48" s="230"/>
      <c r="AR48" s="230"/>
      <c r="AS48" s="230"/>
      <c r="AT48" s="230"/>
      <c r="AU48" s="230"/>
      <c r="AV48" s="230"/>
      <c r="AW48" s="230"/>
      <c r="AX48" s="230"/>
      <c r="AY48" s="230"/>
      <c r="AZ48" s="230"/>
      <c r="BA48" s="230"/>
      <c r="BB48" s="230"/>
      <c r="BC48" s="230"/>
    </row>
    <row r="49">
      <c r="A49" s="225"/>
      <c r="B49" s="225"/>
      <c r="C49" s="230"/>
      <c r="D49" s="230"/>
      <c r="E49" s="230"/>
      <c r="F49" s="230"/>
      <c r="G49" s="230"/>
      <c r="H49" s="230"/>
      <c r="I49" s="230"/>
      <c r="J49" s="230"/>
      <c r="K49" s="230"/>
      <c r="L49" s="230"/>
      <c r="M49" s="230"/>
      <c r="N49" s="230"/>
      <c r="O49" s="230"/>
      <c r="P49" s="230"/>
      <c r="Q49" s="230"/>
      <c r="R49" s="230"/>
      <c r="S49" s="230"/>
      <c r="T49" s="230"/>
      <c r="U49" s="230"/>
      <c r="V49" s="230"/>
      <c r="W49" s="230"/>
      <c r="X49" s="230"/>
      <c r="Y49" s="230"/>
      <c r="Z49" s="230"/>
      <c r="AA49" s="230"/>
      <c r="AB49" s="230"/>
      <c r="AC49" s="269" t="s">
        <v>84</v>
      </c>
      <c r="AD49" s="270">
        <v>403.0</v>
      </c>
      <c r="AE49" s="271">
        <f>VLOOKUP(AD49,LEBT[#ALL],4)</f>
        <v>0.00003637451806</v>
      </c>
      <c r="AF49" s="247">
        <f>VLOOKUP($AD49,CS_PID!$B$1:$AS$151,MATCH(AF$1,CS_PID!$B$1:$AS$1, 0), FALSE)</f>
        <v>0</v>
      </c>
      <c r="AG49" s="247">
        <f>VLOOKUP($AD49,CS_PID!$B$1:$AS$151,MATCH(AG$1,CS_PID!$B$1:$AS$1, 0), FALSE)</f>
        <v>0</v>
      </c>
      <c r="AH49" s="247">
        <f>VLOOKUP($AD49,CS_PID!$B$1:$AS$151,MATCH(AH$1,CS_PID!$B$1:$AS$1, 0), FALSE)</f>
        <v>0</v>
      </c>
      <c r="AI49" s="230"/>
      <c r="AJ49" s="230"/>
      <c r="AK49" s="230"/>
      <c r="AL49" s="230"/>
      <c r="AM49" s="230"/>
      <c r="AN49" s="230"/>
      <c r="AO49" s="230"/>
      <c r="AP49" s="230"/>
      <c r="AQ49" s="230"/>
      <c r="AR49" s="230"/>
      <c r="AS49" s="230"/>
      <c r="AT49" s="230"/>
      <c r="AU49" s="230"/>
      <c r="AV49" s="230"/>
      <c r="AW49" s="230"/>
      <c r="AX49" s="230"/>
      <c r="AY49" s="230"/>
      <c r="AZ49" s="230"/>
      <c r="BA49" s="230"/>
      <c r="BB49" s="230"/>
      <c r="BC49" s="230"/>
    </row>
    <row r="50">
      <c r="A50" s="225"/>
      <c r="B50" s="225"/>
      <c r="C50" s="230"/>
      <c r="D50" s="230"/>
      <c r="E50" s="230"/>
      <c r="F50" s="230"/>
      <c r="G50" s="230"/>
      <c r="H50" s="230"/>
      <c r="I50" s="230"/>
      <c r="J50" s="230"/>
      <c r="K50" s="230"/>
      <c r="L50" s="230"/>
      <c r="M50" s="230"/>
      <c r="N50" s="230"/>
      <c r="O50" s="230"/>
      <c r="P50" s="230"/>
      <c r="Q50" s="230"/>
      <c r="R50" s="230"/>
      <c r="S50" s="230"/>
      <c r="T50" s="230"/>
      <c r="U50" s="230"/>
      <c r="V50" s="230"/>
      <c r="W50" s="230"/>
      <c r="X50" s="230"/>
      <c r="Y50" s="230"/>
      <c r="Z50" s="230"/>
      <c r="AA50" s="230"/>
      <c r="AB50" s="230"/>
      <c r="AC50" s="303" t="s">
        <v>84</v>
      </c>
      <c r="AD50" s="304">
        <v>404.0</v>
      </c>
      <c r="AE50" s="305">
        <f>VLOOKUP(AD50,LEBT[#ALL],4)</f>
        <v>0.00003692155231</v>
      </c>
      <c r="AF50" s="247">
        <f>VLOOKUP($AD50,CS_PID!$B$1:$AS$151,MATCH(AF$1,CS_PID!$B$1:$AS$1, 0), FALSE)</f>
        <v>0</v>
      </c>
      <c r="AG50" s="247">
        <f>VLOOKUP($AD50,CS_PID!$B$1:$AS$151,MATCH(AG$1,CS_PID!$B$1:$AS$1, 0), FALSE)</f>
        <v>0</v>
      </c>
      <c r="AH50" s="247">
        <f>VLOOKUP($AD50,CS_PID!$B$1:$AS$151,MATCH(AH$1,CS_PID!$B$1:$AS$1, 0), FALSE)</f>
        <v>1</v>
      </c>
      <c r="AI50" s="230"/>
      <c r="AJ50" s="230"/>
      <c r="AK50" s="230"/>
      <c r="AL50" s="230"/>
      <c r="AM50" s="230"/>
      <c r="AN50" s="230"/>
      <c r="AO50" s="230"/>
      <c r="AP50" s="230"/>
      <c r="AQ50" s="230"/>
      <c r="AR50" s="230"/>
      <c r="AS50" s="230"/>
      <c r="AT50" s="230"/>
      <c r="AU50" s="230"/>
      <c r="AV50" s="230"/>
      <c r="AW50" s="230"/>
      <c r="AX50" s="230"/>
      <c r="AY50" s="230"/>
      <c r="AZ50" s="230"/>
      <c r="BA50" s="230"/>
      <c r="BB50" s="230"/>
      <c r="BC50" s="230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8.13"/>
    <col customWidth="1" min="2" max="40" width="4.75"/>
  </cols>
  <sheetData>
    <row r="1"/>
    <row r="2"/>
    <row r="3"/>
    <row r="4"/>
    <row r="5"/>
    <row r="6"/>
    <row r="7"/>
    <row r="8"/>
    <row r="9"/>
    <row r="10"/>
  </sheetData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2" width="7.0"/>
    <col customWidth="1" min="3" max="45" width="9.0"/>
  </cols>
  <sheetData>
    <row r="1">
      <c r="A1" s="126" t="s">
        <v>119</v>
      </c>
      <c r="B1" s="127" t="s">
        <v>18</v>
      </c>
      <c r="C1" s="126" t="s">
        <v>120</v>
      </c>
      <c r="D1" s="126" t="s">
        <v>43</v>
      </c>
      <c r="E1" s="126" t="s">
        <v>121</v>
      </c>
      <c r="F1" s="126" t="s">
        <v>122</v>
      </c>
      <c r="G1" s="126" t="s">
        <v>123</v>
      </c>
      <c r="H1" s="126" t="s">
        <v>124</v>
      </c>
      <c r="I1" s="126" t="s">
        <v>44</v>
      </c>
      <c r="J1" s="126" t="s">
        <v>125</v>
      </c>
      <c r="K1" s="126" t="s">
        <v>126</v>
      </c>
      <c r="L1" s="126" t="s">
        <v>127</v>
      </c>
      <c r="M1" s="126" t="s">
        <v>128</v>
      </c>
      <c r="N1" s="126" t="s">
        <v>129</v>
      </c>
      <c r="O1" s="126" t="s">
        <v>45</v>
      </c>
      <c r="P1" s="126" t="s">
        <v>78</v>
      </c>
      <c r="Q1" s="126" t="s">
        <v>80</v>
      </c>
      <c r="R1" s="126" t="s">
        <v>82</v>
      </c>
      <c r="S1" s="126" t="s">
        <v>84</v>
      </c>
      <c r="T1" s="126" t="s">
        <v>130</v>
      </c>
      <c r="U1" s="126" t="s">
        <v>46</v>
      </c>
      <c r="V1" s="126" t="s">
        <v>131</v>
      </c>
      <c r="W1" s="126" t="s">
        <v>132</v>
      </c>
      <c r="X1" s="126" t="s">
        <v>133</v>
      </c>
      <c r="Y1" s="126" t="s">
        <v>134</v>
      </c>
      <c r="Z1" s="126" t="s">
        <v>135</v>
      </c>
      <c r="AA1" s="126" t="s">
        <v>136</v>
      </c>
      <c r="AB1" s="126" t="s">
        <v>137</v>
      </c>
      <c r="AC1" s="126" t="s">
        <v>86</v>
      </c>
      <c r="AD1" s="126" t="s">
        <v>88</v>
      </c>
      <c r="AE1" s="126" t="s">
        <v>90</v>
      </c>
      <c r="AF1" s="126" t="s">
        <v>138</v>
      </c>
      <c r="AG1" s="126" t="s">
        <v>139</v>
      </c>
      <c r="AH1" s="126" t="s">
        <v>140</v>
      </c>
      <c r="AI1" s="126" t="s">
        <v>141</v>
      </c>
      <c r="AJ1" s="126" t="s">
        <v>142</v>
      </c>
      <c r="AK1" s="126" t="s">
        <v>143</v>
      </c>
      <c r="AL1" s="126" t="s">
        <v>144</v>
      </c>
      <c r="AM1" s="126" t="s">
        <v>145</v>
      </c>
      <c r="AN1" s="126" t="s">
        <v>146</v>
      </c>
      <c r="AO1" s="126" t="s">
        <v>147</v>
      </c>
      <c r="AP1" s="126" t="s">
        <v>148</v>
      </c>
      <c r="AQ1" s="128" t="s">
        <v>149</v>
      </c>
      <c r="AR1" s="126" t="s">
        <v>150</v>
      </c>
      <c r="AS1" s="126" t="s">
        <v>151</v>
      </c>
    </row>
    <row r="2">
      <c r="A2" s="129" t="s">
        <v>45</v>
      </c>
      <c r="B2" s="130">
        <v>251.0</v>
      </c>
      <c r="C2" s="307">
        <f>CS_PID!C2/VLOOKUP($B2,LEBT[#ALL],4)/VLOOKUP($B2,표2[#ALL],2)</f>
        <v>1797.997603</v>
      </c>
      <c r="D2" s="307">
        <f>CS_PID!D2/VLOOKUP($B2,LEBT[#ALL],4)/VLOOKUP($B2,표2[#ALL],2)</f>
        <v>6538.1731</v>
      </c>
      <c r="E2" s="307">
        <f>CS_PID!E2/VLOOKUP($B2,LEBT[#ALL],4)/VLOOKUP($B2,표2[#ALL],2)</f>
        <v>817.2716375</v>
      </c>
      <c r="F2" s="307">
        <f>CS_PID!F2/VLOOKUP($B2,LEBT[#ALL],4)/VLOOKUP($B2,표2[#ALL],2)</f>
        <v>0</v>
      </c>
      <c r="G2" s="307">
        <f>CS_PID!G2/VLOOKUP($B2,LEBT[#ALL],4)/VLOOKUP($B2,표2[#ALL],2)</f>
        <v>0</v>
      </c>
      <c r="H2" s="307">
        <f>CS_PID!H2/VLOOKUP($B2,LEBT[#ALL],4)/VLOOKUP($B2,표2[#ALL],2)</f>
        <v>2288.360585</v>
      </c>
      <c r="I2" s="307">
        <f>CS_PID!I2/VLOOKUP($B2,LEBT[#ALL],4)/VLOOKUP($B2,표2[#ALL],2)</f>
        <v>7191.99041</v>
      </c>
      <c r="J2" s="307">
        <f>CS_PID!J2/VLOOKUP($B2,LEBT[#ALL],4)/VLOOKUP($B2,표2[#ALL],2)</f>
        <v>1634.543275</v>
      </c>
      <c r="K2" s="307">
        <f>CS_PID!K2/VLOOKUP($B2,LEBT[#ALL],4)/VLOOKUP($B2,표2[#ALL],2)</f>
        <v>0</v>
      </c>
      <c r="L2" s="307">
        <f>CS_PID!L2/VLOOKUP($B2,LEBT[#ALL],4)/VLOOKUP($B2,표2[#ALL],2)</f>
        <v>0</v>
      </c>
      <c r="M2" s="307">
        <f>CS_PID!M2/VLOOKUP($B2,LEBT[#ALL],4)/VLOOKUP($B2,표2[#ALL],2)</f>
        <v>0</v>
      </c>
      <c r="N2" s="307">
        <f>CS_PID!N2/VLOOKUP($B2,LEBT[#ALL],4)/VLOOKUP($B2,표2[#ALL],2)</f>
        <v>980.725965</v>
      </c>
      <c r="O2" s="307">
        <f>CS_PID!O2/VLOOKUP($B2,LEBT[#ALL],4)/VLOOKUP($B2,표2[#ALL],2)</f>
        <v>12422.52889</v>
      </c>
      <c r="P2" s="307">
        <f>CS_PID!P2/VLOOKUP($B2,LEBT[#ALL],4)/VLOOKUP($B2,표2[#ALL],2)</f>
        <v>1797.997603</v>
      </c>
      <c r="Q2" s="307">
        <f>CS_PID!Q2/VLOOKUP($B2,LEBT[#ALL],4)/VLOOKUP($B2,표2[#ALL],2)</f>
        <v>163.4543275</v>
      </c>
      <c r="R2" s="307">
        <f>CS_PID!R2/VLOOKUP($B2,LEBT[#ALL],4)/VLOOKUP($B2,표2[#ALL],2)</f>
        <v>0</v>
      </c>
      <c r="S2" s="307">
        <f>CS_PID!S2/VLOOKUP($B2,LEBT[#ALL],4)/VLOOKUP($B2,표2[#ALL],2)</f>
        <v>0</v>
      </c>
      <c r="T2" s="307">
        <f>CS_PID!T2/VLOOKUP($B2,LEBT[#ALL],4)/VLOOKUP($B2,표2[#ALL],2)</f>
        <v>817.2716375</v>
      </c>
      <c r="U2" s="307">
        <f>CS_PID!U2/VLOOKUP($B2,LEBT[#ALL],4)/VLOOKUP($B2,표2[#ALL],2)</f>
        <v>6047.810118</v>
      </c>
      <c r="V2" s="307">
        <f>CS_PID!V2/VLOOKUP($B2,LEBT[#ALL],4)/VLOOKUP($B2,표2[#ALL],2)</f>
        <v>1144.180293</v>
      </c>
      <c r="W2" s="307">
        <f>CS_PID!W2/VLOOKUP($B2,LEBT[#ALL],4)/VLOOKUP($B2,표2[#ALL],2)</f>
        <v>0</v>
      </c>
      <c r="X2" s="307">
        <f>CS_PID!X2/VLOOKUP($B2,LEBT[#ALL],4)/VLOOKUP($B2,표2[#ALL],2)</f>
        <v>0</v>
      </c>
      <c r="Y2" s="307">
        <f>CS_PID!Y2/VLOOKUP($B2,LEBT[#ALL],4)/VLOOKUP($B2,표2[#ALL],2)</f>
        <v>0</v>
      </c>
      <c r="Z2" s="307">
        <f>CS_PID!Z2/VLOOKUP($B2,LEBT[#ALL],4)/VLOOKUP($B2,표2[#ALL],2)</f>
        <v>490.3629825</v>
      </c>
      <c r="AA2" s="307">
        <f>CS_PID!AA2/VLOOKUP($B2,LEBT[#ALL],4)/VLOOKUP($B2,표2[#ALL],2)</f>
        <v>1307.63462</v>
      </c>
      <c r="AB2" s="307">
        <f>CS_PID!AB2/VLOOKUP($B2,LEBT[#ALL],4)/VLOOKUP($B2,표2[#ALL],2)</f>
        <v>0</v>
      </c>
      <c r="AC2" s="307">
        <f>CS_PID!AC2/VLOOKUP($B2,LEBT[#ALL],4)/VLOOKUP($B2,표2[#ALL],2)</f>
        <v>0</v>
      </c>
      <c r="AD2" s="307">
        <f>CS_PID!AD2/VLOOKUP($B2,LEBT[#ALL],4)/VLOOKUP($B2,표2[#ALL],2)</f>
        <v>0</v>
      </c>
      <c r="AE2" s="307">
        <f>CS_PID!AE2/VLOOKUP($B2,LEBT[#ALL],4)/VLOOKUP($B2,표2[#ALL],2)</f>
        <v>0</v>
      </c>
      <c r="AF2" s="307">
        <f>CS_PID!AF2/VLOOKUP($B2,LEBT[#ALL],4)/VLOOKUP($B2,표2[#ALL],2)</f>
        <v>163.4543275</v>
      </c>
      <c r="AG2" s="307">
        <f>CS_PID!AG2/VLOOKUP($B2,LEBT[#ALL],4)/VLOOKUP($B2,표2[#ALL],2)</f>
        <v>0</v>
      </c>
      <c r="AH2" s="307">
        <f>CS_PID!AH2/VLOOKUP($B2,LEBT[#ALL],4)/VLOOKUP($B2,표2[#ALL],2)</f>
        <v>0</v>
      </c>
      <c r="AI2" s="307">
        <f>CS_PID!AI2/VLOOKUP($B2,LEBT[#ALL],4)/VLOOKUP($B2,표2[#ALL],2)</f>
        <v>0</v>
      </c>
      <c r="AJ2" s="307">
        <f>CS_PID!AJ2/VLOOKUP($B2,LEBT[#ALL],4)/VLOOKUP($B2,표2[#ALL],2)</f>
        <v>0</v>
      </c>
      <c r="AK2" s="307">
        <f>CS_PID!AK2/VLOOKUP($B2,LEBT[#ALL],4)/VLOOKUP($B2,표2[#ALL],2)</f>
        <v>0</v>
      </c>
      <c r="AL2" s="307">
        <f>CS_PID!AL2/VLOOKUP($B2,LEBT[#ALL],4)/VLOOKUP($B2,표2[#ALL],2)</f>
        <v>0</v>
      </c>
      <c r="AM2" s="307">
        <f>CS_PID!AM2/VLOOKUP($B2,LEBT[#ALL],4)/VLOOKUP($B2,표2[#ALL],2)</f>
        <v>0</v>
      </c>
      <c r="AN2" s="307">
        <f>CS_PID!AN2/VLOOKUP($B2,LEBT[#ALL],4)/VLOOKUP($B2,표2[#ALL],2)</f>
        <v>0</v>
      </c>
      <c r="AO2" s="307">
        <f>CS_PID!AO2/VLOOKUP($B2,LEBT[#ALL],4)/VLOOKUP($B2,표2[#ALL],2)</f>
        <v>0</v>
      </c>
      <c r="AP2" s="307">
        <f>CS_PID!AP2/VLOOKUP($B2,LEBT[#ALL],4)/VLOOKUP($B2,표2[#ALL],2)</f>
        <v>0</v>
      </c>
      <c r="AQ2" s="307">
        <f>CS_PID!AQ2/VLOOKUP($B2,LEBT[#ALL],4)/VLOOKUP($B2,표2[#ALL],2)</f>
        <v>0</v>
      </c>
      <c r="AR2" s="307">
        <f>CS_PID!AR2/VLOOKUP($B2,LEBT[#ALL],4)/VLOOKUP($B2,표2[#ALL],2)</f>
        <v>0</v>
      </c>
      <c r="AS2" s="307">
        <f>CS_PID!AS2/VLOOKUP($B2,LEBT[#ALL],4)/VLOOKUP($B2,표2[#ALL],2)</f>
        <v>0</v>
      </c>
    </row>
    <row r="3">
      <c r="A3" s="129" t="s">
        <v>45</v>
      </c>
      <c r="B3" s="130">
        <v>252.0</v>
      </c>
      <c r="C3" s="307">
        <f>CS_PID!C3/VLOOKUP($B3,LEBT[#ALL],4)/VLOOKUP($B3,표2[#ALL],2)</f>
        <v>1655.511045</v>
      </c>
      <c r="D3" s="307">
        <f>CS_PID!D3/VLOOKUP($B3,LEBT[#ALL],4)/VLOOKUP($B3,표2[#ALL],2)</f>
        <v>6022.635008</v>
      </c>
      <c r="E3" s="307">
        <f>CS_PID!E3/VLOOKUP($B3,LEBT[#ALL],4)/VLOOKUP($B3,표2[#ALL],2)</f>
        <v>570.8658775</v>
      </c>
      <c r="F3" s="307">
        <f>CS_PID!F3/VLOOKUP($B3,LEBT[#ALL],4)/VLOOKUP($B3,표2[#ALL],2)</f>
        <v>28.54329388</v>
      </c>
      <c r="G3" s="307">
        <f>CS_PID!G3/VLOOKUP($B3,LEBT[#ALL],4)/VLOOKUP($B3,표2[#ALL],2)</f>
        <v>0</v>
      </c>
      <c r="H3" s="307">
        <f>CS_PID!H3/VLOOKUP($B3,LEBT[#ALL],4)/VLOOKUP($B3,표2[#ALL],2)</f>
        <v>2683.069624</v>
      </c>
      <c r="I3" s="307">
        <f>CS_PID!I3/VLOOKUP($B3,LEBT[#ALL],4)/VLOOKUP($B3,표2[#ALL],2)</f>
        <v>4937.989841</v>
      </c>
      <c r="J3" s="307">
        <f>CS_PID!J3/VLOOKUP($B3,LEBT[#ALL],4)/VLOOKUP($B3,표2[#ALL],2)</f>
        <v>2226.376922</v>
      </c>
      <c r="K3" s="307">
        <f>CS_PID!K3/VLOOKUP($B3,LEBT[#ALL],4)/VLOOKUP($B3,표2[#ALL],2)</f>
        <v>28.54329388</v>
      </c>
      <c r="L3" s="307">
        <f>CS_PID!L3/VLOOKUP($B3,LEBT[#ALL],4)/VLOOKUP($B3,표2[#ALL],2)</f>
        <v>0</v>
      </c>
      <c r="M3" s="307">
        <f>CS_PID!M3/VLOOKUP($B3,LEBT[#ALL],4)/VLOOKUP($B3,표2[#ALL],2)</f>
        <v>0</v>
      </c>
      <c r="N3" s="307">
        <f>CS_PID!N3/VLOOKUP($B3,LEBT[#ALL],4)/VLOOKUP($B3,표2[#ALL],2)</f>
        <v>1198.818343</v>
      </c>
      <c r="O3" s="307">
        <f>CS_PID!O3/VLOOKUP($B3,LEBT[#ALL],4)/VLOOKUP($B3,표2[#ALL],2)</f>
        <v>11217.51449</v>
      </c>
      <c r="P3" s="307">
        <f>CS_PID!P3/VLOOKUP($B3,LEBT[#ALL],4)/VLOOKUP($B3,표2[#ALL],2)</f>
        <v>1541.337869</v>
      </c>
      <c r="Q3" s="307">
        <f>CS_PID!Q3/VLOOKUP($B3,LEBT[#ALL],4)/VLOOKUP($B3,표2[#ALL],2)</f>
        <v>57.08658775</v>
      </c>
      <c r="R3" s="307">
        <f>CS_PID!R3/VLOOKUP($B3,LEBT[#ALL],4)/VLOOKUP($B3,표2[#ALL],2)</f>
        <v>0</v>
      </c>
      <c r="S3" s="307">
        <f>CS_PID!S3/VLOOKUP($B3,LEBT[#ALL],4)/VLOOKUP($B3,표2[#ALL],2)</f>
        <v>0</v>
      </c>
      <c r="T3" s="307">
        <f>CS_PID!T3/VLOOKUP($B3,LEBT[#ALL],4)/VLOOKUP($B3,표2[#ALL],2)</f>
        <v>799.2122285</v>
      </c>
      <c r="U3" s="307">
        <f>CS_PID!U3/VLOOKUP($B3,LEBT[#ALL],4)/VLOOKUP($B3,표2[#ALL],2)</f>
        <v>5166.336192</v>
      </c>
      <c r="V3" s="307">
        <f>CS_PID!V3/VLOOKUP($B3,LEBT[#ALL],4)/VLOOKUP($B3,표2[#ALL],2)</f>
        <v>770.6689347</v>
      </c>
      <c r="W3" s="307">
        <f>CS_PID!W3/VLOOKUP($B3,LEBT[#ALL],4)/VLOOKUP($B3,표2[#ALL],2)</f>
        <v>0</v>
      </c>
      <c r="X3" s="307">
        <f>CS_PID!X3/VLOOKUP($B3,LEBT[#ALL],4)/VLOOKUP($B3,표2[#ALL],2)</f>
        <v>0</v>
      </c>
      <c r="Y3" s="307">
        <f>CS_PID!Y3/VLOOKUP($B3,LEBT[#ALL],4)/VLOOKUP($B3,표2[#ALL],2)</f>
        <v>0</v>
      </c>
      <c r="Z3" s="307">
        <f>CS_PID!Z3/VLOOKUP($B3,LEBT[#ALL],4)/VLOOKUP($B3,표2[#ALL],2)</f>
        <v>171.2597633</v>
      </c>
      <c r="AA3" s="307">
        <f>CS_PID!AA3/VLOOKUP($B3,LEBT[#ALL],4)/VLOOKUP($B3,표2[#ALL],2)</f>
        <v>656.4957592</v>
      </c>
      <c r="AB3" s="307">
        <f>CS_PID!AB3/VLOOKUP($B3,LEBT[#ALL],4)/VLOOKUP($B3,표2[#ALL],2)</f>
        <v>0</v>
      </c>
      <c r="AC3" s="307">
        <f>CS_PID!AC3/VLOOKUP($B3,LEBT[#ALL],4)/VLOOKUP($B3,표2[#ALL],2)</f>
        <v>0</v>
      </c>
      <c r="AD3" s="307">
        <f>CS_PID!AD3/VLOOKUP($B3,LEBT[#ALL],4)/VLOOKUP($B3,표2[#ALL],2)</f>
        <v>0</v>
      </c>
      <c r="AE3" s="307">
        <f>CS_PID!AE3/VLOOKUP($B3,LEBT[#ALL],4)/VLOOKUP($B3,표2[#ALL],2)</f>
        <v>0</v>
      </c>
      <c r="AF3" s="307">
        <f>CS_PID!AF3/VLOOKUP($B3,LEBT[#ALL],4)/VLOOKUP($B3,표2[#ALL],2)</f>
        <v>85.62988163</v>
      </c>
      <c r="AG3" s="307">
        <f>CS_PID!AG3/VLOOKUP($B3,LEBT[#ALL],4)/VLOOKUP($B3,표2[#ALL],2)</f>
        <v>0</v>
      </c>
      <c r="AH3" s="307">
        <f>CS_PID!AH3/VLOOKUP($B3,LEBT[#ALL],4)/VLOOKUP($B3,표2[#ALL],2)</f>
        <v>0</v>
      </c>
      <c r="AI3" s="307">
        <f>CS_PID!AI3/VLOOKUP($B3,LEBT[#ALL],4)/VLOOKUP($B3,표2[#ALL],2)</f>
        <v>0</v>
      </c>
      <c r="AJ3" s="307">
        <f>CS_PID!AJ3/VLOOKUP($B3,LEBT[#ALL],4)/VLOOKUP($B3,표2[#ALL],2)</f>
        <v>0</v>
      </c>
      <c r="AK3" s="307">
        <f>CS_PID!AK3/VLOOKUP($B3,LEBT[#ALL],4)/VLOOKUP($B3,표2[#ALL],2)</f>
        <v>0</v>
      </c>
      <c r="AL3" s="307">
        <f>CS_PID!AL3/VLOOKUP($B3,LEBT[#ALL],4)/VLOOKUP($B3,표2[#ALL],2)</f>
        <v>0</v>
      </c>
      <c r="AM3" s="307">
        <f>CS_PID!AM3/VLOOKUP($B3,LEBT[#ALL],4)/VLOOKUP($B3,표2[#ALL],2)</f>
        <v>0</v>
      </c>
      <c r="AN3" s="307">
        <f>CS_PID!AN3/VLOOKUP($B3,LEBT[#ALL],4)/VLOOKUP($B3,표2[#ALL],2)</f>
        <v>0</v>
      </c>
      <c r="AO3" s="307">
        <f>CS_PID!AO3/VLOOKUP($B3,LEBT[#ALL],4)/VLOOKUP($B3,표2[#ALL],2)</f>
        <v>0</v>
      </c>
      <c r="AP3" s="307">
        <f>CS_PID!AP3/VLOOKUP($B3,LEBT[#ALL],4)/VLOOKUP($B3,표2[#ALL],2)</f>
        <v>0</v>
      </c>
      <c r="AQ3" s="307">
        <f>CS_PID!AQ3/VLOOKUP($B3,LEBT[#ALL],4)/VLOOKUP($B3,표2[#ALL],2)</f>
        <v>0</v>
      </c>
      <c r="AR3" s="307">
        <f>CS_PID!AR3/VLOOKUP($B3,LEBT[#ALL],4)/VLOOKUP($B3,표2[#ALL],2)</f>
        <v>0</v>
      </c>
      <c r="AS3" s="307">
        <f>CS_PID!AS3/VLOOKUP($B3,LEBT[#ALL],4)/VLOOKUP($B3,표2[#ALL],2)</f>
        <v>0</v>
      </c>
    </row>
    <row r="4">
      <c r="A4" s="129" t="s">
        <v>45</v>
      </c>
      <c r="B4" s="130">
        <v>253.0</v>
      </c>
      <c r="C4" s="307">
        <f>CS_PID!C4/VLOOKUP($B4,LEBT[#ALL],4)/VLOOKUP($B4,표2[#ALL],2)</f>
        <v>1670.224346</v>
      </c>
      <c r="D4" s="307">
        <f>CS_PID!D4/VLOOKUP($B4,LEBT[#ALL],4)/VLOOKUP($B4,표2[#ALL],2)</f>
        <v>5821.924863</v>
      </c>
      <c r="E4" s="307">
        <f>CS_PID!E4/VLOOKUP($B4,LEBT[#ALL],4)/VLOOKUP($B4,표2[#ALL],2)</f>
        <v>668.0897383</v>
      </c>
      <c r="F4" s="307">
        <f>CS_PID!F4/VLOOKUP($B4,LEBT[#ALL],4)/VLOOKUP($B4,표2[#ALL],2)</f>
        <v>0</v>
      </c>
      <c r="G4" s="307">
        <f>CS_PID!G4/VLOOKUP($B4,LEBT[#ALL],4)/VLOOKUP($B4,표2[#ALL],2)</f>
        <v>0</v>
      </c>
      <c r="H4" s="307">
        <f>CS_PID!H4/VLOOKUP($B4,LEBT[#ALL],4)/VLOOKUP($B4,표2[#ALL],2)</f>
        <v>2672.358953</v>
      </c>
      <c r="I4" s="307">
        <f>CS_PID!I4/VLOOKUP($B4,LEBT[#ALL],4)/VLOOKUP($B4,표2[#ALL],2)</f>
        <v>6251.411123</v>
      </c>
      <c r="J4" s="307">
        <f>CS_PID!J4/VLOOKUP($B4,LEBT[#ALL],4)/VLOOKUP($B4,표2[#ALL],2)</f>
        <v>2004.269215</v>
      </c>
      <c r="K4" s="307">
        <f>CS_PID!K4/VLOOKUP($B4,LEBT[#ALL],4)/VLOOKUP($B4,표2[#ALL],2)</f>
        <v>0</v>
      </c>
      <c r="L4" s="307">
        <f>CS_PID!L4/VLOOKUP($B4,LEBT[#ALL],4)/VLOOKUP($B4,표2[#ALL],2)</f>
        <v>0</v>
      </c>
      <c r="M4" s="307">
        <f>CS_PID!M4/VLOOKUP($B4,LEBT[#ALL],4)/VLOOKUP($B4,표2[#ALL],2)</f>
        <v>0</v>
      </c>
      <c r="N4" s="307">
        <f>CS_PID!N4/VLOOKUP($B4,LEBT[#ALL],4)/VLOOKUP($B4,표2[#ALL],2)</f>
        <v>1049.855303</v>
      </c>
      <c r="O4" s="307">
        <f>CS_PID!O4/VLOOKUP($B4,LEBT[#ALL],4)/VLOOKUP($B4,표2[#ALL],2)</f>
        <v>11309.80486</v>
      </c>
      <c r="P4" s="307">
        <f>CS_PID!P4/VLOOKUP($B4,LEBT[#ALL],4)/VLOOKUP($B4,표2[#ALL],2)</f>
        <v>1813.386433</v>
      </c>
      <c r="Q4" s="307">
        <f>CS_PID!Q4/VLOOKUP($B4,LEBT[#ALL],4)/VLOOKUP($B4,표2[#ALL],2)</f>
        <v>0</v>
      </c>
      <c r="R4" s="307">
        <f>CS_PID!R4/VLOOKUP($B4,LEBT[#ALL],4)/VLOOKUP($B4,표2[#ALL],2)</f>
        <v>0</v>
      </c>
      <c r="S4" s="307">
        <f>CS_PID!S4/VLOOKUP($B4,LEBT[#ALL],4)/VLOOKUP($B4,표2[#ALL],2)</f>
        <v>0</v>
      </c>
      <c r="T4" s="307">
        <f>CS_PID!T4/VLOOKUP($B4,LEBT[#ALL],4)/VLOOKUP($B4,표2[#ALL],2)</f>
        <v>763.5311295</v>
      </c>
      <c r="U4" s="307">
        <f>CS_PID!U4/VLOOKUP($B4,LEBT[#ALL],4)/VLOOKUP($B4,표2[#ALL],2)</f>
        <v>5869.645558</v>
      </c>
      <c r="V4" s="307">
        <f>CS_PID!V4/VLOOKUP($B4,LEBT[#ALL],4)/VLOOKUP($B4,표2[#ALL],2)</f>
        <v>620.3690427</v>
      </c>
      <c r="W4" s="307">
        <f>CS_PID!W4/VLOOKUP($B4,LEBT[#ALL],4)/VLOOKUP($B4,표2[#ALL],2)</f>
        <v>0</v>
      </c>
      <c r="X4" s="307">
        <f>CS_PID!X4/VLOOKUP($B4,LEBT[#ALL],4)/VLOOKUP($B4,표2[#ALL],2)</f>
        <v>0</v>
      </c>
      <c r="Y4" s="307">
        <f>CS_PID!Y4/VLOOKUP($B4,LEBT[#ALL],4)/VLOOKUP($B4,표2[#ALL],2)</f>
        <v>0</v>
      </c>
      <c r="Z4" s="307">
        <f>CS_PID!Z4/VLOOKUP($B4,LEBT[#ALL],4)/VLOOKUP($B4,표2[#ALL],2)</f>
        <v>572.6483471</v>
      </c>
      <c r="AA4" s="307">
        <f>CS_PID!AA4/VLOOKUP($B4,LEBT[#ALL],4)/VLOOKUP($B4,표2[#ALL],2)</f>
        <v>1145.296694</v>
      </c>
      <c r="AB4" s="307">
        <f>CS_PID!AB4/VLOOKUP($B4,LEBT[#ALL],4)/VLOOKUP($B4,표2[#ALL],2)</f>
        <v>47.7206956</v>
      </c>
      <c r="AC4" s="307">
        <f>CS_PID!AC4/VLOOKUP($B4,LEBT[#ALL],4)/VLOOKUP($B4,표2[#ALL],2)</f>
        <v>0</v>
      </c>
      <c r="AD4" s="307">
        <f>CS_PID!AD4/VLOOKUP($B4,LEBT[#ALL],4)/VLOOKUP($B4,표2[#ALL],2)</f>
        <v>0</v>
      </c>
      <c r="AE4" s="307">
        <f>CS_PID!AE4/VLOOKUP($B4,LEBT[#ALL],4)/VLOOKUP($B4,표2[#ALL],2)</f>
        <v>0</v>
      </c>
      <c r="AF4" s="307">
        <f>CS_PID!AF4/VLOOKUP($B4,LEBT[#ALL],4)/VLOOKUP($B4,표2[#ALL],2)</f>
        <v>0</v>
      </c>
      <c r="AG4" s="307">
        <f>CS_PID!AG4/VLOOKUP($B4,LEBT[#ALL],4)/VLOOKUP($B4,표2[#ALL],2)</f>
        <v>0</v>
      </c>
      <c r="AH4" s="307">
        <f>CS_PID!AH4/VLOOKUP($B4,LEBT[#ALL],4)/VLOOKUP($B4,표2[#ALL],2)</f>
        <v>0</v>
      </c>
      <c r="AI4" s="307">
        <f>CS_PID!AI4/VLOOKUP($B4,LEBT[#ALL],4)/VLOOKUP($B4,표2[#ALL],2)</f>
        <v>0</v>
      </c>
      <c r="AJ4" s="307">
        <f>CS_PID!AJ4/VLOOKUP($B4,LEBT[#ALL],4)/VLOOKUP($B4,표2[#ALL],2)</f>
        <v>0</v>
      </c>
      <c r="AK4" s="307">
        <f>CS_PID!AK4/VLOOKUP($B4,LEBT[#ALL],4)/VLOOKUP($B4,표2[#ALL],2)</f>
        <v>0</v>
      </c>
      <c r="AL4" s="307">
        <f>CS_PID!AL4/VLOOKUP($B4,LEBT[#ALL],4)/VLOOKUP($B4,표2[#ALL],2)</f>
        <v>0</v>
      </c>
      <c r="AM4" s="307">
        <f>CS_PID!AM4/VLOOKUP($B4,LEBT[#ALL],4)/VLOOKUP($B4,표2[#ALL],2)</f>
        <v>0</v>
      </c>
      <c r="AN4" s="307">
        <f>CS_PID!AN4/VLOOKUP($B4,LEBT[#ALL],4)/VLOOKUP($B4,표2[#ALL],2)</f>
        <v>0</v>
      </c>
      <c r="AO4" s="307">
        <f>CS_PID!AO4/VLOOKUP($B4,LEBT[#ALL],4)/VLOOKUP($B4,표2[#ALL],2)</f>
        <v>0</v>
      </c>
      <c r="AP4" s="307">
        <f>CS_PID!AP4/VLOOKUP($B4,LEBT[#ALL],4)/VLOOKUP($B4,표2[#ALL],2)</f>
        <v>0</v>
      </c>
      <c r="AQ4" s="307">
        <f>CS_PID!AQ4/VLOOKUP($B4,LEBT[#ALL],4)/VLOOKUP($B4,표2[#ALL],2)</f>
        <v>0</v>
      </c>
      <c r="AR4" s="307">
        <f>CS_PID!AR4/VLOOKUP($B4,LEBT[#ALL],4)/VLOOKUP($B4,표2[#ALL],2)</f>
        <v>0</v>
      </c>
      <c r="AS4" s="307">
        <f>CS_PID!AS4/VLOOKUP($B4,LEBT[#ALL],4)/VLOOKUP($B4,표2[#ALL],2)</f>
        <v>0</v>
      </c>
    </row>
    <row r="5">
      <c r="A5" s="133" t="s">
        <v>45</v>
      </c>
      <c r="B5" s="134">
        <v>254.0</v>
      </c>
      <c r="C5" s="308">
        <f>CS_PID!C5/VLOOKUP($B5,LEBT[#ALL],4)/VLOOKUP($B5,표2[#ALL],2)</f>
        <v>1597.015695</v>
      </c>
      <c r="D5" s="308">
        <f>CS_PID!D5/VLOOKUP($B5,LEBT[#ALL],4)/VLOOKUP($B5,표2[#ALL],2)</f>
        <v>5305.340274</v>
      </c>
      <c r="E5" s="308">
        <f>CS_PID!E5/VLOOKUP($B5,LEBT[#ALL],4)/VLOOKUP($B5,표2[#ALL],2)</f>
        <v>649.6335029</v>
      </c>
      <c r="F5" s="308">
        <f>CS_PID!F5/VLOOKUP($B5,LEBT[#ALL],4)/VLOOKUP($B5,표2[#ALL],2)</f>
        <v>0</v>
      </c>
      <c r="G5" s="308">
        <f>CS_PID!G5/VLOOKUP($B5,LEBT[#ALL],4)/VLOOKUP($B5,표2[#ALL],2)</f>
        <v>0</v>
      </c>
      <c r="H5" s="308">
        <f>CS_PID!H5/VLOOKUP($B5,LEBT[#ALL],4)/VLOOKUP($B5,표2[#ALL],2)</f>
        <v>2760.942387</v>
      </c>
      <c r="I5" s="308">
        <f>CS_PID!I5/VLOOKUP($B5,LEBT[#ALL],4)/VLOOKUP($B5,표2[#ALL],2)</f>
        <v>5548.952838</v>
      </c>
      <c r="J5" s="308">
        <f>CS_PID!J5/VLOOKUP($B5,LEBT[#ALL],4)/VLOOKUP($B5,표2[#ALL],2)</f>
        <v>1948.900509</v>
      </c>
      <c r="K5" s="308">
        <f>CS_PID!K5/VLOOKUP($B5,LEBT[#ALL],4)/VLOOKUP($B5,표2[#ALL],2)</f>
        <v>0</v>
      </c>
      <c r="L5" s="308">
        <f>CS_PID!L5/VLOOKUP($B5,LEBT[#ALL],4)/VLOOKUP($B5,표2[#ALL],2)</f>
        <v>0</v>
      </c>
      <c r="M5" s="308">
        <f>CS_PID!M5/VLOOKUP($B5,LEBT[#ALL],4)/VLOOKUP($B5,표2[#ALL],2)</f>
        <v>0</v>
      </c>
      <c r="N5" s="308">
        <f>CS_PID!N5/VLOOKUP($B5,LEBT[#ALL],4)/VLOOKUP($B5,표2[#ALL],2)</f>
        <v>839.1099413</v>
      </c>
      <c r="O5" s="308">
        <f>CS_PID!O5/VLOOKUP($B5,LEBT[#ALL],4)/VLOOKUP($B5,표2[#ALL],2)</f>
        <v>10204.65961</v>
      </c>
      <c r="P5" s="308">
        <f>CS_PID!P5/VLOOKUP($B5,LEBT[#ALL],4)/VLOOKUP($B5,표2[#ALL],2)</f>
        <v>1921.832446</v>
      </c>
      <c r="Q5" s="308">
        <f>CS_PID!Q5/VLOOKUP($B5,LEBT[#ALL],4)/VLOOKUP($B5,표2[#ALL],2)</f>
        <v>0</v>
      </c>
      <c r="R5" s="308">
        <f>CS_PID!R5/VLOOKUP($B5,LEBT[#ALL],4)/VLOOKUP($B5,표2[#ALL],2)</f>
        <v>0</v>
      </c>
      <c r="S5" s="308">
        <f>CS_PID!S5/VLOOKUP($B5,LEBT[#ALL],4)/VLOOKUP($B5,표2[#ALL],2)</f>
        <v>0</v>
      </c>
      <c r="T5" s="308">
        <f>CS_PID!T5/VLOOKUP($B5,LEBT[#ALL],4)/VLOOKUP($B5,표2[#ALL],2)</f>
        <v>568.4293151</v>
      </c>
      <c r="U5" s="308">
        <f>CS_PID!U5/VLOOKUP($B5,LEBT[#ALL],4)/VLOOKUP($B5,표2[#ALL],2)</f>
        <v>5603.088963</v>
      </c>
      <c r="V5" s="308">
        <f>CS_PID!V5/VLOOKUP($B5,LEBT[#ALL],4)/VLOOKUP($B5,표2[#ALL],2)</f>
        <v>730.8376908</v>
      </c>
      <c r="W5" s="308">
        <f>CS_PID!W5/VLOOKUP($B5,LEBT[#ALL],4)/VLOOKUP($B5,표2[#ALL],2)</f>
        <v>0</v>
      </c>
      <c r="X5" s="308">
        <f>CS_PID!X5/VLOOKUP($B5,LEBT[#ALL],4)/VLOOKUP($B5,표2[#ALL],2)</f>
        <v>0</v>
      </c>
      <c r="Y5" s="308">
        <f>CS_PID!Y5/VLOOKUP($B5,LEBT[#ALL],4)/VLOOKUP($B5,표2[#ALL],2)</f>
        <v>0</v>
      </c>
      <c r="Z5" s="308">
        <f>CS_PID!Z5/VLOOKUP($B5,LEBT[#ALL],4)/VLOOKUP($B5,표2[#ALL],2)</f>
        <v>270.6806262</v>
      </c>
      <c r="AA5" s="308">
        <f>CS_PID!AA5/VLOOKUP($B5,LEBT[#ALL],4)/VLOOKUP($B5,표2[#ALL],2)</f>
        <v>1001.518317</v>
      </c>
      <c r="AB5" s="308">
        <f>CS_PID!AB5/VLOOKUP($B5,LEBT[#ALL],4)/VLOOKUP($B5,표2[#ALL],2)</f>
        <v>54.13612525</v>
      </c>
      <c r="AC5" s="308">
        <f>CS_PID!AC5/VLOOKUP($B5,LEBT[#ALL],4)/VLOOKUP($B5,표2[#ALL],2)</f>
        <v>0</v>
      </c>
      <c r="AD5" s="308">
        <f>CS_PID!AD5/VLOOKUP($B5,LEBT[#ALL],4)/VLOOKUP($B5,표2[#ALL],2)</f>
        <v>0</v>
      </c>
      <c r="AE5" s="308">
        <f>CS_PID!AE5/VLOOKUP($B5,LEBT[#ALL],4)/VLOOKUP($B5,표2[#ALL],2)</f>
        <v>0</v>
      </c>
      <c r="AF5" s="308">
        <f>CS_PID!AF5/VLOOKUP($B5,LEBT[#ALL],4)/VLOOKUP($B5,표2[#ALL],2)</f>
        <v>108.2722505</v>
      </c>
      <c r="AG5" s="308">
        <f>CS_PID!AG5/VLOOKUP($B5,LEBT[#ALL],4)/VLOOKUP($B5,표2[#ALL],2)</f>
        <v>81.20418787</v>
      </c>
      <c r="AH5" s="308">
        <f>CS_PID!AH5/VLOOKUP($B5,LEBT[#ALL],4)/VLOOKUP($B5,표2[#ALL],2)</f>
        <v>0</v>
      </c>
      <c r="AI5" s="308">
        <f>CS_PID!AI5/VLOOKUP($B5,LEBT[#ALL],4)/VLOOKUP($B5,표2[#ALL],2)</f>
        <v>0</v>
      </c>
      <c r="AJ5" s="308">
        <f>CS_PID!AJ5/VLOOKUP($B5,LEBT[#ALL],4)/VLOOKUP($B5,표2[#ALL],2)</f>
        <v>0</v>
      </c>
      <c r="AK5" s="308">
        <f>CS_PID!AK5/VLOOKUP($B5,LEBT[#ALL],4)/VLOOKUP($B5,표2[#ALL],2)</f>
        <v>0</v>
      </c>
      <c r="AL5" s="308">
        <f>CS_PID!AL5/VLOOKUP($B5,LEBT[#ALL],4)/VLOOKUP($B5,표2[#ALL],2)</f>
        <v>0</v>
      </c>
      <c r="AM5" s="308">
        <f>CS_PID!AM5/VLOOKUP($B5,LEBT[#ALL],4)/VLOOKUP($B5,표2[#ALL],2)</f>
        <v>0</v>
      </c>
      <c r="AN5" s="308">
        <f>CS_PID!AN5/VLOOKUP($B5,LEBT[#ALL],4)/VLOOKUP($B5,표2[#ALL],2)</f>
        <v>0</v>
      </c>
      <c r="AO5" s="308">
        <f>CS_PID!AO5/VLOOKUP($B5,LEBT[#ALL],4)/VLOOKUP($B5,표2[#ALL],2)</f>
        <v>0</v>
      </c>
      <c r="AP5" s="308">
        <f>CS_PID!AP5/VLOOKUP($B5,LEBT[#ALL],4)/VLOOKUP($B5,표2[#ALL],2)</f>
        <v>0</v>
      </c>
      <c r="AQ5" s="308">
        <f>CS_PID!AQ5/VLOOKUP($B5,LEBT[#ALL],4)/VLOOKUP($B5,표2[#ALL],2)</f>
        <v>0</v>
      </c>
      <c r="AR5" s="308">
        <f>CS_PID!AR5/VLOOKUP($B5,LEBT[#ALL],4)/VLOOKUP($B5,표2[#ALL],2)</f>
        <v>0</v>
      </c>
      <c r="AS5" s="308">
        <f>CS_PID!AS5/VLOOKUP($B5,LEBT[#ALL],4)/VLOOKUP($B5,표2[#ALL],2)</f>
        <v>0</v>
      </c>
    </row>
    <row r="6">
      <c r="A6" s="137" t="s">
        <v>78</v>
      </c>
      <c r="B6" s="138">
        <v>259.0</v>
      </c>
      <c r="C6" s="309">
        <f>CS_PID!C6/VLOOKUP($B6,LEBT[#ALL],4)/VLOOKUP($B6,표2[#ALL],2)</f>
        <v>0</v>
      </c>
      <c r="D6" s="309">
        <f>CS_PID!D6/VLOOKUP($B6,LEBT[#ALL],4)/VLOOKUP($B6,표2[#ALL],2)</f>
        <v>980.7278546</v>
      </c>
      <c r="E6" s="309">
        <f>CS_PID!E6/VLOOKUP($B6,LEBT[#ALL],4)/VLOOKUP($B6,표2[#ALL],2)</f>
        <v>523.0548558</v>
      </c>
      <c r="F6" s="309">
        <f>CS_PID!F6/VLOOKUP($B6,LEBT[#ALL],4)/VLOOKUP($B6,표2[#ALL],2)</f>
        <v>0</v>
      </c>
      <c r="G6" s="309">
        <f>CS_PID!G6/VLOOKUP($B6,LEBT[#ALL],4)/VLOOKUP($B6,표2[#ALL],2)</f>
        <v>0</v>
      </c>
      <c r="H6" s="309">
        <f>CS_PID!H6/VLOOKUP($B6,LEBT[#ALL],4)/VLOOKUP($B6,표2[#ALL],2)</f>
        <v>130.763714</v>
      </c>
      <c r="I6" s="309">
        <f>CS_PID!I6/VLOOKUP($B6,LEBT[#ALL],4)/VLOOKUP($B6,표2[#ALL],2)</f>
        <v>653.8185698</v>
      </c>
      <c r="J6" s="309">
        <f>CS_PID!J6/VLOOKUP($B6,LEBT[#ALL],4)/VLOOKUP($B6,표2[#ALL],2)</f>
        <v>1373.018996</v>
      </c>
      <c r="K6" s="309">
        <f>CS_PID!K6/VLOOKUP($B6,LEBT[#ALL],4)/VLOOKUP($B6,표2[#ALL],2)</f>
        <v>65.38185698</v>
      </c>
      <c r="L6" s="309">
        <f>CS_PID!L6/VLOOKUP($B6,LEBT[#ALL],4)/VLOOKUP($B6,표2[#ALL],2)</f>
        <v>0</v>
      </c>
      <c r="M6" s="309">
        <f>CS_PID!M6/VLOOKUP($B6,LEBT[#ALL],4)/VLOOKUP($B6,표2[#ALL],2)</f>
        <v>0</v>
      </c>
      <c r="N6" s="309">
        <f>CS_PID!N6/VLOOKUP($B6,LEBT[#ALL],4)/VLOOKUP($B6,표2[#ALL],2)</f>
        <v>130.763714</v>
      </c>
      <c r="O6" s="309">
        <f>CS_PID!O6/VLOOKUP($B6,LEBT[#ALL],4)/VLOOKUP($B6,표2[#ALL],2)</f>
        <v>1438.400853</v>
      </c>
      <c r="P6" s="309">
        <f>CS_PID!P6/VLOOKUP($B6,LEBT[#ALL],4)/VLOOKUP($B6,표2[#ALL],2)</f>
        <v>2942.183564</v>
      </c>
      <c r="Q6" s="309">
        <f>CS_PID!Q6/VLOOKUP($B6,LEBT[#ALL],4)/VLOOKUP($B6,표2[#ALL],2)</f>
        <v>457.6729988</v>
      </c>
      <c r="R6" s="309">
        <f>CS_PID!R6/VLOOKUP($B6,LEBT[#ALL],4)/VLOOKUP($B6,표2[#ALL],2)</f>
        <v>0</v>
      </c>
      <c r="S6" s="309">
        <f>CS_PID!S6/VLOOKUP($B6,LEBT[#ALL],4)/VLOOKUP($B6,표2[#ALL],2)</f>
        <v>0</v>
      </c>
      <c r="T6" s="309">
        <f>CS_PID!T6/VLOOKUP($B6,LEBT[#ALL],4)/VLOOKUP($B6,표2[#ALL],2)</f>
        <v>0</v>
      </c>
      <c r="U6" s="309">
        <f>CS_PID!U6/VLOOKUP($B6,LEBT[#ALL],4)/VLOOKUP($B6,표2[#ALL],2)</f>
        <v>2549.892422</v>
      </c>
      <c r="V6" s="309">
        <f>CS_PID!V6/VLOOKUP($B6,LEBT[#ALL],4)/VLOOKUP($B6,표2[#ALL],2)</f>
        <v>3465.23842</v>
      </c>
      <c r="W6" s="309">
        <f>CS_PID!W6/VLOOKUP($B6,LEBT[#ALL],4)/VLOOKUP($B6,표2[#ALL],2)</f>
        <v>65.38185698</v>
      </c>
      <c r="X6" s="309">
        <f>CS_PID!X6/VLOOKUP($B6,LEBT[#ALL],4)/VLOOKUP($B6,표2[#ALL],2)</f>
        <v>0</v>
      </c>
      <c r="Y6" s="309">
        <f>CS_PID!Y6/VLOOKUP($B6,LEBT[#ALL],4)/VLOOKUP($B6,표2[#ALL],2)</f>
        <v>0</v>
      </c>
      <c r="Z6" s="309">
        <f>CS_PID!Z6/VLOOKUP($B6,LEBT[#ALL],4)/VLOOKUP($B6,표2[#ALL],2)</f>
        <v>0</v>
      </c>
      <c r="AA6" s="309">
        <f>CS_PID!AA6/VLOOKUP($B6,LEBT[#ALL],4)/VLOOKUP($B6,표2[#ALL],2)</f>
        <v>915.3459977</v>
      </c>
      <c r="AB6" s="309">
        <f>CS_PID!AB6/VLOOKUP($B6,LEBT[#ALL],4)/VLOOKUP($B6,표2[#ALL],2)</f>
        <v>457.6729988</v>
      </c>
      <c r="AC6" s="309">
        <f>CS_PID!AC6/VLOOKUP($B6,LEBT[#ALL],4)/VLOOKUP($B6,표2[#ALL],2)</f>
        <v>0</v>
      </c>
      <c r="AD6" s="309">
        <f>CS_PID!AD6/VLOOKUP($B6,LEBT[#ALL],4)/VLOOKUP($B6,표2[#ALL],2)</f>
        <v>0</v>
      </c>
      <c r="AE6" s="309">
        <f>CS_PID!AE6/VLOOKUP($B6,LEBT[#ALL],4)/VLOOKUP($B6,표2[#ALL],2)</f>
        <v>0</v>
      </c>
      <c r="AF6" s="309">
        <f>CS_PID!AF6/VLOOKUP($B6,LEBT[#ALL],4)/VLOOKUP($B6,표2[#ALL],2)</f>
        <v>0</v>
      </c>
      <c r="AG6" s="309">
        <f>CS_PID!AG6/VLOOKUP($B6,LEBT[#ALL],4)/VLOOKUP($B6,표2[#ALL],2)</f>
        <v>261.5274279</v>
      </c>
      <c r="AH6" s="309">
        <f>CS_PID!AH6/VLOOKUP($B6,LEBT[#ALL],4)/VLOOKUP($B6,표2[#ALL],2)</f>
        <v>196.1455709</v>
      </c>
      <c r="AI6" s="309">
        <f>CS_PID!AI6/VLOOKUP($B6,LEBT[#ALL],4)/VLOOKUP($B6,표2[#ALL],2)</f>
        <v>0</v>
      </c>
      <c r="AJ6" s="309">
        <f>CS_PID!AJ6/VLOOKUP($B6,LEBT[#ALL],4)/VLOOKUP($B6,표2[#ALL],2)</f>
        <v>0</v>
      </c>
      <c r="AK6" s="309">
        <f>CS_PID!AK6/VLOOKUP($B6,LEBT[#ALL],4)/VLOOKUP($B6,표2[#ALL],2)</f>
        <v>0</v>
      </c>
      <c r="AL6" s="309">
        <f>CS_PID!AL6/VLOOKUP($B6,LEBT[#ALL],4)/VLOOKUP($B6,표2[#ALL],2)</f>
        <v>65.38185698</v>
      </c>
      <c r="AM6" s="309">
        <f>CS_PID!AM6/VLOOKUP($B6,LEBT[#ALL],4)/VLOOKUP($B6,표2[#ALL],2)</f>
        <v>0</v>
      </c>
      <c r="AN6" s="309">
        <f>CS_PID!AN6/VLOOKUP($B6,LEBT[#ALL],4)/VLOOKUP($B6,표2[#ALL],2)</f>
        <v>0</v>
      </c>
      <c r="AO6" s="309">
        <f>CS_PID!AO6/VLOOKUP($B6,LEBT[#ALL],4)/VLOOKUP($B6,표2[#ALL],2)</f>
        <v>0</v>
      </c>
      <c r="AP6" s="309">
        <f>CS_PID!AP6/VLOOKUP($B6,LEBT[#ALL],4)/VLOOKUP($B6,표2[#ALL],2)</f>
        <v>0</v>
      </c>
      <c r="AQ6" s="309">
        <f>CS_PID!AQ6/VLOOKUP($B6,LEBT[#ALL],4)/VLOOKUP($B6,표2[#ALL],2)</f>
        <v>0</v>
      </c>
      <c r="AR6" s="309">
        <f>CS_PID!AR6/VLOOKUP($B6,LEBT[#ALL],4)/VLOOKUP($B6,표2[#ALL],2)</f>
        <v>0</v>
      </c>
      <c r="AS6" s="309">
        <f>CS_PID!AS6/VLOOKUP($B6,LEBT[#ALL],4)/VLOOKUP($B6,표2[#ALL],2)</f>
        <v>0</v>
      </c>
    </row>
    <row r="7">
      <c r="A7" s="141" t="s">
        <v>78</v>
      </c>
      <c r="B7" s="142">
        <v>260.0</v>
      </c>
      <c r="C7" s="310">
        <f>CS_PID!C7/VLOOKUP($B7,LEBT[#ALL],4)/VLOOKUP($B7,표2[#ALL],2)</f>
        <v>35.05626721</v>
      </c>
      <c r="D7" s="310">
        <f>CS_PID!D7/VLOOKUP($B7,LEBT[#ALL],4)/VLOOKUP($B7,표2[#ALL],2)</f>
        <v>1016.631749</v>
      </c>
      <c r="E7" s="310">
        <f>CS_PID!E7/VLOOKUP($B7,LEBT[#ALL],4)/VLOOKUP($B7,표2[#ALL],2)</f>
        <v>455.7314737</v>
      </c>
      <c r="F7" s="310">
        <f>CS_PID!F7/VLOOKUP($B7,LEBT[#ALL],4)/VLOOKUP($B7,표2[#ALL],2)</f>
        <v>35.05626721</v>
      </c>
      <c r="G7" s="310">
        <f>CS_PID!G7/VLOOKUP($B7,LEBT[#ALL],4)/VLOOKUP($B7,표2[#ALL],2)</f>
        <v>0</v>
      </c>
      <c r="H7" s="310">
        <f>CS_PID!H7/VLOOKUP($B7,LEBT[#ALL],4)/VLOOKUP($B7,표2[#ALL],2)</f>
        <v>105.1688016</v>
      </c>
      <c r="I7" s="310">
        <f>CS_PID!I7/VLOOKUP($B7,LEBT[#ALL],4)/VLOOKUP($B7,표2[#ALL],2)</f>
        <v>666.0690769</v>
      </c>
      <c r="J7" s="310">
        <f>CS_PID!J7/VLOOKUP($B7,LEBT[#ALL],4)/VLOOKUP($B7,표2[#ALL],2)</f>
        <v>1822.925895</v>
      </c>
      <c r="K7" s="310">
        <f>CS_PID!K7/VLOOKUP($B7,LEBT[#ALL],4)/VLOOKUP($B7,표2[#ALL],2)</f>
        <v>70.11253441</v>
      </c>
      <c r="L7" s="310">
        <f>CS_PID!L7/VLOOKUP($B7,LEBT[#ALL],4)/VLOOKUP($B7,표2[#ALL],2)</f>
        <v>0</v>
      </c>
      <c r="M7" s="310">
        <f>CS_PID!M7/VLOOKUP($B7,LEBT[#ALL],4)/VLOOKUP($B7,표2[#ALL],2)</f>
        <v>0</v>
      </c>
      <c r="N7" s="310">
        <f>CS_PID!N7/VLOOKUP($B7,LEBT[#ALL],4)/VLOOKUP($B7,표2[#ALL],2)</f>
        <v>0</v>
      </c>
      <c r="O7" s="310">
        <f>CS_PID!O7/VLOOKUP($B7,LEBT[#ALL],4)/VLOOKUP($B7,표2[#ALL],2)</f>
        <v>1297.081887</v>
      </c>
      <c r="P7" s="310">
        <f>CS_PID!P7/VLOOKUP($B7,LEBT[#ALL],4)/VLOOKUP($B7,표2[#ALL],2)</f>
        <v>2173.488567</v>
      </c>
      <c r="Q7" s="310">
        <f>CS_PID!Q7/VLOOKUP($B7,LEBT[#ALL],4)/VLOOKUP($B7,표2[#ALL],2)</f>
        <v>280.4501376</v>
      </c>
      <c r="R7" s="310">
        <f>CS_PID!R7/VLOOKUP($B7,LEBT[#ALL],4)/VLOOKUP($B7,표2[#ALL],2)</f>
        <v>0</v>
      </c>
      <c r="S7" s="310">
        <f>CS_PID!S7/VLOOKUP($B7,LEBT[#ALL],4)/VLOOKUP($B7,표2[#ALL],2)</f>
        <v>0</v>
      </c>
      <c r="T7" s="310">
        <f>CS_PID!T7/VLOOKUP($B7,LEBT[#ALL],4)/VLOOKUP($B7,표2[#ALL],2)</f>
        <v>0</v>
      </c>
      <c r="U7" s="310">
        <f>CS_PID!U7/VLOOKUP($B7,LEBT[#ALL],4)/VLOOKUP($B7,표2[#ALL],2)</f>
        <v>1262.025619</v>
      </c>
      <c r="V7" s="310">
        <f>CS_PID!V7/VLOOKUP($B7,LEBT[#ALL],4)/VLOOKUP($B7,표2[#ALL],2)</f>
        <v>2769.445109</v>
      </c>
      <c r="W7" s="310">
        <f>CS_PID!W7/VLOOKUP($B7,LEBT[#ALL],4)/VLOOKUP($B7,표2[#ALL],2)</f>
        <v>140.2250688</v>
      </c>
      <c r="X7" s="310">
        <f>CS_PID!X7/VLOOKUP($B7,LEBT[#ALL],4)/VLOOKUP($B7,표2[#ALL],2)</f>
        <v>0</v>
      </c>
      <c r="Y7" s="310">
        <f>CS_PID!Y7/VLOOKUP($B7,LEBT[#ALL],4)/VLOOKUP($B7,표2[#ALL],2)</f>
        <v>0</v>
      </c>
      <c r="Z7" s="310">
        <f>CS_PID!Z7/VLOOKUP($B7,LEBT[#ALL],4)/VLOOKUP($B7,표2[#ALL],2)</f>
        <v>70.11253441</v>
      </c>
      <c r="AA7" s="310">
        <f>CS_PID!AA7/VLOOKUP($B7,LEBT[#ALL],4)/VLOOKUP($B7,표2[#ALL],2)</f>
        <v>911.4629474</v>
      </c>
      <c r="AB7" s="310">
        <f>CS_PID!AB7/VLOOKUP($B7,LEBT[#ALL],4)/VLOOKUP($B7,표2[#ALL],2)</f>
        <v>560.9002753</v>
      </c>
      <c r="AC7" s="310">
        <f>CS_PID!AC7/VLOOKUP($B7,LEBT[#ALL],4)/VLOOKUP($B7,표2[#ALL],2)</f>
        <v>70.11253441</v>
      </c>
      <c r="AD7" s="310">
        <f>CS_PID!AD7/VLOOKUP($B7,LEBT[#ALL],4)/VLOOKUP($B7,표2[#ALL],2)</f>
        <v>0</v>
      </c>
      <c r="AE7" s="310">
        <f>CS_PID!AE7/VLOOKUP($B7,LEBT[#ALL],4)/VLOOKUP($B7,표2[#ALL],2)</f>
        <v>0</v>
      </c>
      <c r="AF7" s="310">
        <f>CS_PID!AF7/VLOOKUP($B7,LEBT[#ALL],4)/VLOOKUP($B7,표2[#ALL],2)</f>
        <v>35.05626721</v>
      </c>
      <c r="AG7" s="310">
        <f>CS_PID!AG7/VLOOKUP($B7,LEBT[#ALL],4)/VLOOKUP($B7,표2[#ALL],2)</f>
        <v>70.11253441</v>
      </c>
      <c r="AH7" s="310">
        <f>CS_PID!AH7/VLOOKUP($B7,LEBT[#ALL],4)/VLOOKUP($B7,표2[#ALL],2)</f>
        <v>35.05626721</v>
      </c>
      <c r="AI7" s="310">
        <f>CS_PID!AI7/VLOOKUP($B7,LEBT[#ALL],4)/VLOOKUP($B7,표2[#ALL],2)</f>
        <v>0</v>
      </c>
      <c r="AJ7" s="310">
        <f>CS_PID!AJ7/VLOOKUP($B7,LEBT[#ALL],4)/VLOOKUP($B7,표2[#ALL],2)</f>
        <v>0</v>
      </c>
      <c r="AK7" s="310">
        <f>CS_PID!AK7/VLOOKUP($B7,LEBT[#ALL],4)/VLOOKUP($B7,표2[#ALL],2)</f>
        <v>0</v>
      </c>
      <c r="AL7" s="310">
        <f>CS_PID!AL7/VLOOKUP($B7,LEBT[#ALL],4)/VLOOKUP($B7,표2[#ALL],2)</f>
        <v>35.05626721</v>
      </c>
      <c r="AM7" s="310">
        <f>CS_PID!AM7/VLOOKUP($B7,LEBT[#ALL],4)/VLOOKUP($B7,표2[#ALL],2)</f>
        <v>0</v>
      </c>
      <c r="AN7" s="310">
        <f>CS_PID!AN7/VLOOKUP($B7,LEBT[#ALL],4)/VLOOKUP($B7,표2[#ALL],2)</f>
        <v>0</v>
      </c>
      <c r="AO7" s="310">
        <f>CS_PID!AO7/VLOOKUP($B7,LEBT[#ALL],4)/VLOOKUP($B7,표2[#ALL],2)</f>
        <v>0</v>
      </c>
      <c r="AP7" s="310">
        <f>CS_PID!AP7/VLOOKUP($B7,LEBT[#ALL],4)/VLOOKUP($B7,표2[#ALL],2)</f>
        <v>0</v>
      </c>
      <c r="AQ7" s="310">
        <f>CS_PID!AQ7/VLOOKUP($B7,LEBT[#ALL],4)/VLOOKUP($B7,표2[#ALL],2)</f>
        <v>0</v>
      </c>
      <c r="AR7" s="310">
        <f>CS_PID!AR7/VLOOKUP($B7,LEBT[#ALL],4)/VLOOKUP($B7,표2[#ALL],2)</f>
        <v>0</v>
      </c>
      <c r="AS7" s="310">
        <f>CS_PID!AS7/VLOOKUP($B7,LEBT[#ALL],4)/VLOOKUP($B7,표2[#ALL],2)</f>
        <v>0</v>
      </c>
    </row>
    <row r="8">
      <c r="A8" s="141" t="s">
        <v>78</v>
      </c>
      <c r="B8" s="142">
        <v>261.0</v>
      </c>
      <c r="C8" s="310">
        <f>CS_PID!C8/VLOOKUP($B8,LEBT[#ALL],4)/VLOOKUP($B8,표2[#ALL],2)</f>
        <v>41.47603696</v>
      </c>
      <c r="D8" s="310">
        <f>CS_PID!D8/VLOOKUP($B8,LEBT[#ALL],4)/VLOOKUP($B8,표2[#ALL],2)</f>
        <v>850.2587576</v>
      </c>
      <c r="E8" s="310">
        <f>CS_PID!E8/VLOOKUP($B8,LEBT[#ALL],4)/VLOOKUP($B8,표2[#ALL],2)</f>
        <v>414.7603696</v>
      </c>
      <c r="F8" s="310">
        <f>CS_PID!F8/VLOOKUP($B8,LEBT[#ALL],4)/VLOOKUP($B8,표2[#ALL],2)</f>
        <v>20.73801848</v>
      </c>
      <c r="G8" s="310">
        <f>CS_PID!G8/VLOOKUP($B8,LEBT[#ALL],4)/VLOOKUP($B8,표2[#ALL],2)</f>
        <v>0</v>
      </c>
      <c r="H8" s="310">
        <f>CS_PID!H8/VLOOKUP($B8,LEBT[#ALL],4)/VLOOKUP($B8,표2[#ALL],2)</f>
        <v>62.21405544</v>
      </c>
      <c r="I8" s="310">
        <f>CS_PID!I8/VLOOKUP($B8,LEBT[#ALL],4)/VLOOKUP($B8,표2[#ALL],2)</f>
        <v>684.3546098</v>
      </c>
      <c r="J8" s="310">
        <f>CS_PID!J8/VLOOKUP($B8,LEBT[#ALL],4)/VLOOKUP($B8,표2[#ALL],2)</f>
        <v>1555.351386</v>
      </c>
      <c r="K8" s="310">
        <f>CS_PID!K8/VLOOKUP($B8,LEBT[#ALL],4)/VLOOKUP($B8,표2[#ALL],2)</f>
        <v>103.6900924</v>
      </c>
      <c r="L8" s="310">
        <f>CS_PID!L8/VLOOKUP($B8,LEBT[#ALL],4)/VLOOKUP($B8,표2[#ALL],2)</f>
        <v>0</v>
      </c>
      <c r="M8" s="310">
        <f>CS_PID!M8/VLOOKUP($B8,LEBT[#ALL],4)/VLOOKUP($B8,표2[#ALL],2)</f>
        <v>0</v>
      </c>
      <c r="N8" s="310">
        <f>CS_PID!N8/VLOOKUP($B8,LEBT[#ALL],4)/VLOOKUP($B8,표2[#ALL],2)</f>
        <v>62.21405544</v>
      </c>
      <c r="O8" s="310">
        <f>CS_PID!O8/VLOOKUP($B8,LEBT[#ALL],4)/VLOOKUP($B8,표2[#ALL],2)</f>
        <v>1555.351386</v>
      </c>
      <c r="P8" s="310">
        <f>CS_PID!P8/VLOOKUP($B8,LEBT[#ALL],4)/VLOOKUP($B8,표2[#ALL],2)</f>
        <v>2094.539866</v>
      </c>
      <c r="Q8" s="310">
        <f>CS_PID!Q8/VLOOKUP($B8,LEBT[#ALL],4)/VLOOKUP($B8,표2[#ALL],2)</f>
        <v>269.5942402</v>
      </c>
      <c r="R8" s="310">
        <f>CS_PID!R8/VLOOKUP($B8,LEBT[#ALL],4)/VLOOKUP($B8,표2[#ALL],2)</f>
        <v>0</v>
      </c>
      <c r="S8" s="310">
        <f>CS_PID!S8/VLOOKUP($B8,LEBT[#ALL],4)/VLOOKUP($B8,표2[#ALL],2)</f>
        <v>0</v>
      </c>
      <c r="T8" s="310">
        <f>CS_PID!T8/VLOOKUP($B8,LEBT[#ALL],4)/VLOOKUP($B8,표2[#ALL],2)</f>
        <v>0</v>
      </c>
      <c r="U8" s="310">
        <f>CS_PID!U8/VLOOKUP($B8,LEBT[#ALL],4)/VLOOKUP($B8,표2[#ALL],2)</f>
        <v>1410.185257</v>
      </c>
      <c r="V8" s="310">
        <f>CS_PID!V8/VLOOKUP($B8,LEBT[#ALL],4)/VLOOKUP($B8,표2[#ALL],2)</f>
        <v>3235.130883</v>
      </c>
      <c r="W8" s="310">
        <f>CS_PID!W8/VLOOKUP($B8,LEBT[#ALL],4)/VLOOKUP($B8,표2[#ALL],2)</f>
        <v>186.6421663</v>
      </c>
      <c r="X8" s="310">
        <f>CS_PID!X8/VLOOKUP($B8,LEBT[#ALL],4)/VLOOKUP($B8,표2[#ALL],2)</f>
        <v>0</v>
      </c>
      <c r="Y8" s="310">
        <f>CS_PID!Y8/VLOOKUP($B8,LEBT[#ALL],4)/VLOOKUP($B8,표2[#ALL],2)</f>
        <v>0</v>
      </c>
      <c r="Z8" s="310">
        <f>CS_PID!Z8/VLOOKUP($B8,LEBT[#ALL],4)/VLOOKUP($B8,표2[#ALL],2)</f>
        <v>0</v>
      </c>
      <c r="AA8" s="310">
        <f>CS_PID!AA8/VLOOKUP($B8,LEBT[#ALL],4)/VLOOKUP($B8,표2[#ALL],2)</f>
        <v>891.7347946</v>
      </c>
      <c r="AB8" s="310">
        <f>CS_PID!AB8/VLOOKUP($B8,LEBT[#ALL],4)/VLOOKUP($B8,표2[#ALL],2)</f>
        <v>601.4025359</v>
      </c>
      <c r="AC8" s="310">
        <f>CS_PID!AC8/VLOOKUP($B8,LEBT[#ALL],4)/VLOOKUP($B8,표2[#ALL],2)</f>
        <v>20.73801848</v>
      </c>
      <c r="AD8" s="310">
        <f>CS_PID!AD8/VLOOKUP($B8,LEBT[#ALL],4)/VLOOKUP($B8,표2[#ALL],2)</f>
        <v>0</v>
      </c>
      <c r="AE8" s="310">
        <f>CS_PID!AE8/VLOOKUP($B8,LEBT[#ALL],4)/VLOOKUP($B8,표2[#ALL],2)</f>
        <v>0</v>
      </c>
      <c r="AF8" s="310">
        <f>CS_PID!AF8/VLOOKUP($B8,LEBT[#ALL],4)/VLOOKUP($B8,표2[#ALL],2)</f>
        <v>0</v>
      </c>
      <c r="AG8" s="310">
        <f>CS_PID!AG8/VLOOKUP($B8,LEBT[#ALL],4)/VLOOKUP($B8,표2[#ALL],2)</f>
        <v>124.4281109</v>
      </c>
      <c r="AH8" s="310">
        <f>CS_PID!AH8/VLOOKUP($B8,LEBT[#ALL],4)/VLOOKUP($B8,표2[#ALL],2)</f>
        <v>20.73801848</v>
      </c>
      <c r="AI8" s="310">
        <f>CS_PID!AI8/VLOOKUP($B8,LEBT[#ALL],4)/VLOOKUP($B8,표2[#ALL],2)</f>
        <v>0</v>
      </c>
      <c r="AJ8" s="310">
        <f>CS_PID!AJ8/VLOOKUP($B8,LEBT[#ALL],4)/VLOOKUP($B8,표2[#ALL],2)</f>
        <v>0</v>
      </c>
      <c r="AK8" s="310">
        <f>CS_PID!AK8/VLOOKUP($B8,LEBT[#ALL],4)/VLOOKUP($B8,표2[#ALL],2)</f>
        <v>0</v>
      </c>
      <c r="AL8" s="310">
        <f>CS_PID!AL8/VLOOKUP($B8,LEBT[#ALL],4)/VLOOKUP($B8,표2[#ALL],2)</f>
        <v>0</v>
      </c>
      <c r="AM8" s="310">
        <f>CS_PID!AM8/VLOOKUP($B8,LEBT[#ALL],4)/VLOOKUP($B8,표2[#ALL],2)</f>
        <v>0</v>
      </c>
      <c r="AN8" s="310">
        <f>CS_PID!AN8/VLOOKUP($B8,LEBT[#ALL],4)/VLOOKUP($B8,표2[#ALL],2)</f>
        <v>0</v>
      </c>
      <c r="AO8" s="310">
        <f>CS_PID!AO8/VLOOKUP($B8,LEBT[#ALL],4)/VLOOKUP($B8,표2[#ALL],2)</f>
        <v>0</v>
      </c>
      <c r="AP8" s="310">
        <f>CS_PID!AP8/VLOOKUP($B8,LEBT[#ALL],4)/VLOOKUP($B8,표2[#ALL],2)</f>
        <v>0</v>
      </c>
      <c r="AQ8" s="310">
        <f>CS_PID!AQ8/VLOOKUP($B8,LEBT[#ALL],4)/VLOOKUP($B8,표2[#ALL],2)</f>
        <v>0</v>
      </c>
      <c r="AR8" s="310">
        <f>CS_PID!AR8/VLOOKUP($B8,LEBT[#ALL],4)/VLOOKUP($B8,표2[#ALL],2)</f>
        <v>0</v>
      </c>
      <c r="AS8" s="310">
        <f>CS_PID!AS8/VLOOKUP($B8,LEBT[#ALL],4)/VLOOKUP($B8,표2[#ALL],2)</f>
        <v>0</v>
      </c>
    </row>
    <row r="9">
      <c r="A9" s="141" t="s">
        <v>78</v>
      </c>
      <c r="B9" s="142">
        <v>262.0</v>
      </c>
      <c r="C9" s="310">
        <f>CS_PID!C9/VLOOKUP($B9,LEBT[#ALL],4)/VLOOKUP($B9,표2[#ALL],2)</f>
        <v>98.9711292</v>
      </c>
      <c r="D9" s="310">
        <f>CS_PID!D9/VLOOKUP($B9,LEBT[#ALL],4)/VLOOKUP($B9,표2[#ALL],2)</f>
        <v>1138.167986</v>
      </c>
      <c r="E9" s="310">
        <f>CS_PID!E9/VLOOKUP($B9,LEBT[#ALL],4)/VLOOKUP($B9,표2[#ALL],2)</f>
        <v>395.8845168</v>
      </c>
      <c r="F9" s="310">
        <f>CS_PID!F9/VLOOKUP($B9,LEBT[#ALL],4)/VLOOKUP($B9,표2[#ALL],2)</f>
        <v>98.9711292</v>
      </c>
      <c r="G9" s="310">
        <f>CS_PID!G9/VLOOKUP($B9,LEBT[#ALL],4)/VLOOKUP($B9,표2[#ALL],2)</f>
        <v>0</v>
      </c>
      <c r="H9" s="310">
        <f>CS_PID!H9/VLOOKUP($B9,LEBT[#ALL],4)/VLOOKUP($B9,표2[#ALL],2)</f>
        <v>148.4566938</v>
      </c>
      <c r="I9" s="310">
        <f>CS_PID!I9/VLOOKUP($B9,LEBT[#ALL],4)/VLOOKUP($B9,표2[#ALL],2)</f>
        <v>989.711292</v>
      </c>
      <c r="J9" s="310">
        <f>CS_PID!J9/VLOOKUP($B9,LEBT[#ALL],4)/VLOOKUP($B9,표2[#ALL],2)</f>
        <v>1187.65355</v>
      </c>
      <c r="K9" s="310">
        <f>CS_PID!K9/VLOOKUP($B9,LEBT[#ALL],4)/VLOOKUP($B9,표2[#ALL],2)</f>
        <v>0</v>
      </c>
      <c r="L9" s="310">
        <f>CS_PID!L9/VLOOKUP($B9,LEBT[#ALL],4)/VLOOKUP($B9,표2[#ALL],2)</f>
        <v>0</v>
      </c>
      <c r="M9" s="310">
        <f>CS_PID!M9/VLOOKUP($B9,LEBT[#ALL],4)/VLOOKUP($B9,표2[#ALL],2)</f>
        <v>0</v>
      </c>
      <c r="N9" s="310">
        <f>CS_PID!N9/VLOOKUP($B9,LEBT[#ALL],4)/VLOOKUP($B9,표2[#ALL],2)</f>
        <v>98.9711292</v>
      </c>
      <c r="O9" s="310">
        <f>CS_PID!O9/VLOOKUP($B9,LEBT[#ALL],4)/VLOOKUP($B9,표2[#ALL],2)</f>
        <v>1781.480326</v>
      </c>
      <c r="P9" s="310">
        <f>CS_PID!P9/VLOOKUP($B9,LEBT[#ALL],4)/VLOOKUP($B9,표2[#ALL],2)</f>
        <v>2820.677182</v>
      </c>
      <c r="Q9" s="310">
        <f>CS_PID!Q9/VLOOKUP($B9,LEBT[#ALL],4)/VLOOKUP($B9,표2[#ALL],2)</f>
        <v>148.4566938</v>
      </c>
      <c r="R9" s="310">
        <f>CS_PID!R9/VLOOKUP($B9,LEBT[#ALL],4)/VLOOKUP($B9,표2[#ALL],2)</f>
        <v>0</v>
      </c>
      <c r="S9" s="310">
        <f>CS_PID!S9/VLOOKUP($B9,LEBT[#ALL],4)/VLOOKUP($B9,표2[#ALL],2)</f>
        <v>0</v>
      </c>
      <c r="T9" s="310">
        <f>CS_PID!T9/VLOOKUP($B9,LEBT[#ALL],4)/VLOOKUP($B9,표2[#ALL],2)</f>
        <v>0</v>
      </c>
      <c r="U9" s="310">
        <f>CS_PID!U9/VLOOKUP($B9,LEBT[#ALL],4)/VLOOKUP($B9,표2[#ALL],2)</f>
        <v>1633.023632</v>
      </c>
      <c r="V9" s="310">
        <f>CS_PID!V9/VLOOKUP($B9,LEBT[#ALL],4)/VLOOKUP($B9,표2[#ALL],2)</f>
        <v>3018.619441</v>
      </c>
      <c r="W9" s="310">
        <f>CS_PID!W9/VLOOKUP($B9,LEBT[#ALL],4)/VLOOKUP($B9,표2[#ALL],2)</f>
        <v>197.9422584</v>
      </c>
      <c r="X9" s="310">
        <f>CS_PID!X9/VLOOKUP($B9,LEBT[#ALL],4)/VLOOKUP($B9,표2[#ALL],2)</f>
        <v>0</v>
      </c>
      <c r="Y9" s="310">
        <f>CS_PID!Y9/VLOOKUP($B9,LEBT[#ALL],4)/VLOOKUP($B9,표2[#ALL],2)</f>
        <v>0</v>
      </c>
      <c r="Z9" s="310">
        <f>CS_PID!Z9/VLOOKUP($B9,LEBT[#ALL],4)/VLOOKUP($B9,표2[#ALL],2)</f>
        <v>0</v>
      </c>
      <c r="AA9" s="310">
        <f>CS_PID!AA9/VLOOKUP($B9,LEBT[#ALL],4)/VLOOKUP($B9,표2[#ALL],2)</f>
        <v>1237.139115</v>
      </c>
      <c r="AB9" s="310">
        <f>CS_PID!AB9/VLOOKUP($B9,LEBT[#ALL],4)/VLOOKUP($B9,표2[#ALL],2)</f>
        <v>593.8267752</v>
      </c>
      <c r="AC9" s="310">
        <f>CS_PID!AC9/VLOOKUP($B9,LEBT[#ALL],4)/VLOOKUP($B9,표2[#ALL],2)</f>
        <v>49.4855646</v>
      </c>
      <c r="AD9" s="310">
        <f>CS_PID!AD9/VLOOKUP($B9,LEBT[#ALL],4)/VLOOKUP($B9,표2[#ALL],2)</f>
        <v>0</v>
      </c>
      <c r="AE9" s="310">
        <f>CS_PID!AE9/VLOOKUP($B9,LEBT[#ALL],4)/VLOOKUP($B9,표2[#ALL],2)</f>
        <v>0</v>
      </c>
      <c r="AF9" s="310">
        <f>CS_PID!AF9/VLOOKUP($B9,LEBT[#ALL],4)/VLOOKUP($B9,표2[#ALL],2)</f>
        <v>0</v>
      </c>
      <c r="AG9" s="310">
        <f>CS_PID!AG9/VLOOKUP($B9,LEBT[#ALL],4)/VLOOKUP($B9,표2[#ALL],2)</f>
        <v>0</v>
      </c>
      <c r="AH9" s="310">
        <f>CS_PID!AH9/VLOOKUP($B9,LEBT[#ALL],4)/VLOOKUP($B9,표2[#ALL],2)</f>
        <v>49.4855646</v>
      </c>
      <c r="AI9" s="310">
        <f>CS_PID!AI9/VLOOKUP($B9,LEBT[#ALL],4)/VLOOKUP($B9,표2[#ALL],2)</f>
        <v>0</v>
      </c>
      <c r="AJ9" s="310">
        <f>CS_PID!AJ9/VLOOKUP($B9,LEBT[#ALL],4)/VLOOKUP($B9,표2[#ALL],2)</f>
        <v>0</v>
      </c>
      <c r="AK9" s="310">
        <f>CS_PID!AK9/VLOOKUP($B9,LEBT[#ALL],4)/VLOOKUP($B9,표2[#ALL],2)</f>
        <v>0</v>
      </c>
      <c r="AL9" s="310">
        <f>CS_PID!AL9/VLOOKUP($B9,LEBT[#ALL],4)/VLOOKUP($B9,표2[#ALL],2)</f>
        <v>0</v>
      </c>
      <c r="AM9" s="310">
        <f>CS_PID!AM9/VLOOKUP($B9,LEBT[#ALL],4)/VLOOKUP($B9,표2[#ALL],2)</f>
        <v>0</v>
      </c>
      <c r="AN9" s="310">
        <f>CS_PID!AN9/VLOOKUP($B9,LEBT[#ALL],4)/VLOOKUP($B9,표2[#ALL],2)</f>
        <v>0</v>
      </c>
      <c r="AO9" s="310">
        <f>CS_PID!AO9/VLOOKUP($B9,LEBT[#ALL],4)/VLOOKUP($B9,표2[#ALL],2)</f>
        <v>0</v>
      </c>
      <c r="AP9" s="310">
        <f>CS_PID!AP9/VLOOKUP($B9,LEBT[#ALL],4)/VLOOKUP($B9,표2[#ALL],2)</f>
        <v>0</v>
      </c>
      <c r="AQ9" s="310">
        <f>CS_PID!AQ9/VLOOKUP($B9,LEBT[#ALL],4)/VLOOKUP($B9,표2[#ALL],2)</f>
        <v>0</v>
      </c>
      <c r="AR9" s="310">
        <f>CS_PID!AR9/VLOOKUP($B9,LEBT[#ALL],4)/VLOOKUP($B9,표2[#ALL],2)</f>
        <v>0</v>
      </c>
      <c r="AS9" s="310">
        <f>CS_PID!AS9/VLOOKUP($B9,LEBT[#ALL],4)/VLOOKUP($B9,표2[#ALL],2)</f>
        <v>0</v>
      </c>
    </row>
    <row r="10">
      <c r="A10" s="141" t="s">
        <v>78</v>
      </c>
      <c r="B10" s="142">
        <v>263.0</v>
      </c>
      <c r="C10" s="310">
        <f>CS_PID!C10/VLOOKUP($B10,LEBT[#ALL],4)/VLOOKUP($B10,표2[#ALL],2)</f>
        <v>47.26411173</v>
      </c>
      <c r="D10" s="310">
        <f>CS_PID!D10/VLOOKUP($B10,LEBT[#ALL],4)/VLOOKUP($B10,표2[#ALL],2)</f>
        <v>1181.602793</v>
      </c>
      <c r="E10" s="310">
        <f>CS_PID!E10/VLOOKUP($B10,LEBT[#ALL],4)/VLOOKUP($B10,표2[#ALL],2)</f>
        <v>472.6411173</v>
      </c>
      <c r="F10" s="310">
        <f>CS_PID!F10/VLOOKUP($B10,LEBT[#ALL],4)/VLOOKUP($B10,표2[#ALL],2)</f>
        <v>0</v>
      </c>
      <c r="G10" s="310">
        <f>CS_PID!G10/VLOOKUP($B10,LEBT[#ALL],4)/VLOOKUP($B10,표2[#ALL],2)</f>
        <v>0</v>
      </c>
      <c r="H10" s="310">
        <f>CS_PID!H10/VLOOKUP($B10,LEBT[#ALL],4)/VLOOKUP($B10,표2[#ALL],2)</f>
        <v>47.26411173</v>
      </c>
      <c r="I10" s="310">
        <f>CS_PID!I10/VLOOKUP($B10,LEBT[#ALL],4)/VLOOKUP($B10,표2[#ALL],2)</f>
        <v>708.9616759</v>
      </c>
      <c r="J10" s="310">
        <f>CS_PID!J10/VLOOKUP($B10,LEBT[#ALL],4)/VLOOKUP($B10,표2[#ALL],2)</f>
        <v>1890.564469</v>
      </c>
      <c r="K10" s="310">
        <f>CS_PID!K10/VLOOKUP($B10,LEBT[#ALL],4)/VLOOKUP($B10,표2[#ALL],2)</f>
        <v>283.5846704</v>
      </c>
      <c r="L10" s="310">
        <f>CS_PID!L10/VLOOKUP($B10,LEBT[#ALL],4)/VLOOKUP($B10,표2[#ALL],2)</f>
        <v>47.26411173</v>
      </c>
      <c r="M10" s="310">
        <f>CS_PID!M10/VLOOKUP($B10,LEBT[#ALL],4)/VLOOKUP($B10,표2[#ALL],2)</f>
        <v>0</v>
      </c>
      <c r="N10" s="310">
        <f>CS_PID!N10/VLOOKUP($B10,LEBT[#ALL],4)/VLOOKUP($B10,표2[#ALL],2)</f>
        <v>47.26411173</v>
      </c>
      <c r="O10" s="310">
        <f>CS_PID!O10/VLOOKUP($B10,LEBT[#ALL],4)/VLOOKUP($B10,표2[#ALL],2)</f>
        <v>2268.677363</v>
      </c>
      <c r="P10" s="310">
        <f>CS_PID!P10/VLOOKUP($B10,LEBT[#ALL],4)/VLOOKUP($B10,표2[#ALL],2)</f>
        <v>2079.620916</v>
      </c>
      <c r="Q10" s="310">
        <f>CS_PID!Q10/VLOOKUP($B10,LEBT[#ALL],4)/VLOOKUP($B10,표2[#ALL],2)</f>
        <v>236.3205586</v>
      </c>
      <c r="R10" s="310">
        <f>CS_PID!R10/VLOOKUP($B10,LEBT[#ALL],4)/VLOOKUP($B10,표2[#ALL],2)</f>
        <v>0</v>
      </c>
      <c r="S10" s="310">
        <f>CS_PID!S10/VLOOKUP($B10,LEBT[#ALL],4)/VLOOKUP($B10,표2[#ALL],2)</f>
        <v>0</v>
      </c>
      <c r="T10" s="310">
        <f>CS_PID!T10/VLOOKUP($B10,LEBT[#ALL],4)/VLOOKUP($B10,표2[#ALL],2)</f>
        <v>0</v>
      </c>
      <c r="U10" s="310">
        <f>CS_PID!U10/VLOOKUP($B10,LEBT[#ALL],4)/VLOOKUP($B10,표2[#ALL],2)</f>
        <v>945.2822345</v>
      </c>
      <c r="V10" s="310">
        <f>CS_PID!V10/VLOOKUP($B10,LEBT[#ALL],4)/VLOOKUP($B10,표2[#ALL],2)</f>
        <v>2788.582592</v>
      </c>
      <c r="W10" s="310">
        <f>CS_PID!W10/VLOOKUP($B10,LEBT[#ALL],4)/VLOOKUP($B10,표2[#ALL],2)</f>
        <v>94.52822345</v>
      </c>
      <c r="X10" s="310">
        <f>CS_PID!X10/VLOOKUP($B10,LEBT[#ALL],4)/VLOOKUP($B10,표2[#ALL],2)</f>
        <v>0</v>
      </c>
      <c r="Y10" s="310">
        <f>CS_PID!Y10/VLOOKUP($B10,LEBT[#ALL],4)/VLOOKUP($B10,표2[#ALL],2)</f>
        <v>0</v>
      </c>
      <c r="Z10" s="310">
        <f>CS_PID!Z10/VLOOKUP($B10,LEBT[#ALL],4)/VLOOKUP($B10,표2[#ALL],2)</f>
        <v>47.26411173</v>
      </c>
      <c r="AA10" s="310">
        <f>CS_PID!AA10/VLOOKUP($B10,LEBT[#ALL],4)/VLOOKUP($B10,표2[#ALL],2)</f>
        <v>850.7540111</v>
      </c>
      <c r="AB10" s="310">
        <f>CS_PID!AB10/VLOOKUP($B10,LEBT[#ALL],4)/VLOOKUP($B10,표2[#ALL],2)</f>
        <v>519.905229</v>
      </c>
      <c r="AC10" s="310">
        <f>CS_PID!AC10/VLOOKUP($B10,LEBT[#ALL],4)/VLOOKUP($B10,표2[#ALL],2)</f>
        <v>0</v>
      </c>
      <c r="AD10" s="310">
        <f>CS_PID!AD10/VLOOKUP($B10,LEBT[#ALL],4)/VLOOKUP($B10,표2[#ALL],2)</f>
        <v>0</v>
      </c>
      <c r="AE10" s="310">
        <f>CS_PID!AE10/VLOOKUP($B10,LEBT[#ALL],4)/VLOOKUP($B10,표2[#ALL],2)</f>
        <v>0</v>
      </c>
      <c r="AF10" s="310">
        <f>CS_PID!AF10/VLOOKUP($B10,LEBT[#ALL],4)/VLOOKUP($B10,표2[#ALL],2)</f>
        <v>0</v>
      </c>
      <c r="AG10" s="310">
        <f>CS_PID!AG10/VLOOKUP($B10,LEBT[#ALL],4)/VLOOKUP($B10,표2[#ALL],2)</f>
        <v>425.3770055</v>
      </c>
      <c r="AH10" s="310">
        <f>CS_PID!AH10/VLOOKUP($B10,LEBT[#ALL],4)/VLOOKUP($B10,표2[#ALL],2)</f>
        <v>0</v>
      </c>
      <c r="AI10" s="310">
        <f>CS_PID!AI10/VLOOKUP($B10,LEBT[#ALL],4)/VLOOKUP($B10,표2[#ALL],2)</f>
        <v>0</v>
      </c>
      <c r="AJ10" s="310">
        <f>CS_PID!AJ10/VLOOKUP($B10,LEBT[#ALL],4)/VLOOKUP($B10,표2[#ALL],2)</f>
        <v>0</v>
      </c>
      <c r="AK10" s="310">
        <f>CS_PID!AK10/VLOOKUP($B10,LEBT[#ALL],4)/VLOOKUP($B10,표2[#ALL],2)</f>
        <v>0</v>
      </c>
      <c r="AL10" s="310">
        <f>CS_PID!AL10/VLOOKUP($B10,LEBT[#ALL],4)/VLOOKUP($B10,표2[#ALL],2)</f>
        <v>0</v>
      </c>
      <c r="AM10" s="310">
        <f>CS_PID!AM10/VLOOKUP($B10,LEBT[#ALL],4)/VLOOKUP($B10,표2[#ALL],2)</f>
        <v>0</v>
      </c>
      <c r="AN10" s="310">
        <f>CS_PID!AN10/VLOOKUP($B10,LEBT[#ALL],4)/VLOOKUP($B10,표2[#ALL],2)</f>
        <v>0</v>
      </c>
      <c r="AO10" s="310">
        <f>CS_PID!AO10/VLOOKUP($B10,LEBT[#ALL],4)/VLOOKUP($B10,표2[#ALL],2)</f>
        <v>0</v>
      </c>
      <c r="AP10" s="310">
        <f>CS_PID!AP10/VLOOKUP($B10,LEBT[#ALL],4)/VLOOKUP($B10,표2[#ALL],2)</f>
        <v>0</v>
      </c>
      <c r="AQ10" s="310">
        <f>CS_PID!AQ10/VLOOKUP($B10,LEBT[#ALL],4)/VLOOKUP($B10,표2[#ALL],2)</f>
        <v>0</v>
      </c>
      <c r="AR10" s="310">
        <f>CS_PID!AR10/VLOOKUP($B10,LEBT[#ALL],4)/VLOOKUP($B10,표2[#ALL],2)</f>
        <v>0</v>
      </c>
      <c r="AS10" s="310">
        <f>CS_PID!AS10/VLOOKUP($B10,LEBT[#ALL],4)/VLOOKUP($B10,표2[#ALL],2)</f>
        <v>0</v>
      </c>
    </row>
    <row r="11">
      <c r="A11" s="141" t="s">
        <v>78</v>
      </c>
      <c r="B11" s="142">
        <v>264.0</v>
      </c>
      <c r="C11" s="310">
        <f>CS_PID!C11/VLOOKUP($B11,LEBT[#ALL],4)/VLOOKUP($B11,표2[#ALL],2)</f>
        <v>28.35017841</v>
      </c>
      <c r="D11" s="310">
        <f>CS_PID!D11/VLOOKUP($B11,LEBT[#ALL],4)/VLOOKUP($B11,표2[#ALL],2)</f>
        <v>1105.656958</v>
      </c>
      <c r="E11" s="310">
        <f>CS_PID!E11/VLOOKUP($B11,LEBT[#ALL],4)/VLOOKUP($B11,표2[#ALL],2)</f>
        <v>481.953033</v>
      </c>
      <c r="F11" s="310">
        <f>CS_PID!F11/VLOOKUP($B11,LEBT[#ALL],4)/VLOOKUP($B11,표2[#ALL],2)</f>
        <v>0</v>
      </c>
      <c r="G11" s="310">
        <f>CS_PID!G11/VLOOKUP($B11,LEBT[#ALL],4)/VLOOKUP($B11,표2[#ALL],2)</f>
        <v>0</v>
      </c>
      <c r="H11" s="310">
        <f>CS_PID!H11/VLOOKUP($B11,LEBT[#ALL],4)/VLOOKUP($B11,표2[#ALL],2)</f>
        <v>28.35017841</v>
      </c>
      <c r="I11" s="310">
        <f>CS_PID!I11/VLOOKUP($B11,LEBT[#ALL],4)/VLOOKUP($B11,표2[#ALL],2)</f>
        <v>538.6533899</v>
      </c>
      <c r="J11" s="310">
        <f>CS_PID!J11/VLOOKUP($B11,LEBT[#ALL],4)/VLOOKUP($B11,표2[#ALL],2)</f>
        <v>1559.259813</v>
      </c>
      <c r="K11" s="310">
        <f>CS_PID!K11/VLOOKUP($B11,LEBT[#ALL],4)/VLOOKUP($B11,표2[#ALL],2)</f>
        <v>85.05053524</v>
      </c>
      <c r="L11" s="310">
        <f>CS_PID!L11/VLOOKUP($B11,LEBT[#ALL],4)/VLOOKUP($B11,표2[#ALL],2)</f>
        <v>0</v>
      </c>
      <c r="M11" s="310">
        <f>CS_PID!M11/VLOOKUP($B11,LEBT[#ALL],4)/VLOOKUP($B11,표2[#ALL],2)</f>
        <v>0</v>
      </c>
      <c r="N11" s="310">
        <f>CS_PID!N11/VLOOKUP($B11,LEBT[#ALL],4)/VLOOKUP($B11,표2[#ALL],2)</f>
        <v>56.70035683</v>
      </c>
      <c r="O11" s="310">
        <f>CS_PID!O11/VLOOKUP($B11,LEBT[#ALL],4)/VLOOKUP($B11,표2[#ALL],2)</f>
        <v>1304.108207</v>
      </c>
      <c r="P11" s="310">
        <f>CS_PID!P11/VLOOKUP($B11,LEBT[#ALL],4)/VLOOKUP($B11,표2[#ALL],2)</f>
        <v>2353.064808</v>
      </c>
      <c r="Q11" s="310">
        <f>CS_PID!Q11/VLOOKUP($B11,LEBT[#ALL],4)/VLOOKUP($B11,표2[#ALL],2)</f>
        <v>340.202141</v>
      </c>
      <c r="R11" s="310">
        <f>CS_PID!R11/VLOOKUP($B11,LEBT[#ALL],4)/VLOOKUP($B11,표2[#ALL],2)</f>
        <v>0</v>
      </c>
      <c r="S11" s="310">
        <f>CS_PID!S11/VLOOKUP($B11,LEBT[#ALL],4)/VLOOKUP($B11,표2[#ALL],2)</f>
        <v>0</v>
      </c>
      <c r="T11" s="310">
        <f>CS_PID!T11/VLOOKUP($B11,LEBT[#ALL],4)/VLOOKUP($B11,표2[#ALL],2)</f>
        <v>0</v>
      </c>
      <c r="U11" s="310">
        <f>CS_PID!U11/VLOOKUP($B11,LEBT[#ALL],4)/VLOOKUP($B11,표2[#ALL],2)</f>
        <v>1474.209278</v>
      </c>
      <c r="V11" s="310">
        <f>CS_PID!V11/VLOOKUP($B11,LEBT[#ALL],4)/VLOOKUP($B11,표2[#ALL],2)</f>
        <v>3402.02141</v>
      </c>
      <c r="W11" s="310">
        <f>CS_PID!W11/VLOOKUP($B11,LEBT[#ALL],4)/VLOOKUP($B11,표2[#ALL],2)</f>
        <v>85.05053524</v>
      </c>
      <c r="X11" s="310">
        <f>CS_PID!X11/VLOOKUP($B11,LEBT[#ALL],4)/VLOOKUP($B11,표2[#ALL],2)</f>
        <v>0</v>
      </c>
      <c r="Y11" s="310">
        <f>CS_PID!Y11/VLOOKUP($B11,LEBT[#ALL],4)/VLOOKUP($B11,표2[#ALL],2)</f>
        <v>0</v>
      </c>
      <c r="Z11" s="310">
        <f>CS_PID!Z11/VLOOKUP($B11,LEBT[#ALL],4)/VLOOKUP($B11,표2[#ALL],2)</f>
        <v>0</v>
      </c>
      <c r="AA11" s="310">
        <f>CS_PID!AA11/VLOOKUP($B11,LEBT[#ALL],4)/VLOOKUP($B11,표2[#ALL],2)</f>
        <v>822.155174</v>
      </c>
      <c r="AB11" s="310">
        <f>CS_PID!AB11/VLOOKUP($B11,LEBT[#ALL],4)/VLOOKUP($B11,표2[#ALL],2)</f>
        <v>538.6533899</v>
      </c>
      <c r="AC11" s="310">
        <f>CS_PID!AC11/VLOOKUP($B11,LEBT[#ALL],4)/VLOOKUP($B11,표2[#ALL],2)</f>
        <v>28.35017841</v>
      </c>
      <c r="AD11" s="310">
        <f>CS_PID!AD11/VLOOKUP($B11,LEBT[#ALL],4)/VLOOKUP($B11,표2[#ALL],2)</f>
        <v>0</v>
      </c>
      <c r="AE11" s="310">
        <f>CS_PID!AE11/VLOOKUP($B11,LEBT[#ALL],4)/VLOOKUP($B11,표2[#ALL],2)</f>
        <v>0</v>
      </c>
      <c r="AF11" s="310">
        <f>CS_PID!AF11/VLOOKUP($B11,LEBT[#ALL],4)/VLOOKUP($B11,표2[#ALL],2)</f>
        <v>0</v>
      </c>
      <c r="AG11" s="310">
        <f>CS_PID!AG11/VLOOKUP($B11,LEBT[#ALL],4)/VLOOKUP($B11,표2[#ALL],2)</f>
        <v>28.35017841</v>
      </c>
      <c r="AH11" s="310">
        <f>CS_PID!AH11/VLOOKUP($B11,LEBT[#ALL],4)/VLOOKUP($B11,표2[#ALL],2)</f>
        <v>28.35017841</v>
      </c>
      <c r="AI11" s="310">
        <f>CS_PID!AI11/VLOOKUP($B11,LEBT[#ALL],4)/VLOOKUP($B11,표2[#ALL],2)</f>
        <v>0</v>
      </c>
      <c r="AJ11" s="310">
        <f>CS_PID!AJ11/VLOOKUP($B11,LEBT[#ALL],4)/VLOOKUP($B11,표2[#ALL],2)</f>
        <v>0</v>
      </c>
      <c r="AK11" s="310">
        <f>CS_PID!AK11/VLOOKUP($B11,LEBT[#ALL],4)/VLOOKUP($B11,표2[#ALL],2)</f>
        <v>0</v>
      </c>
      <c r="AL11" s="310">
        <f>CS_PID!AL11/VLOOKUP($B11,LEBT[#ALL],4)/VLOOKUP($B11,표2[#ALL],2)</f>
        <v>0</v>
      </c>
      <c r="AM11" s="310">
        <f>CS_PID!AM11/VLOOKUP($B11,LEBT[#ALL],4)/VLOOKUP($B11,표2[#ALL],2)</f>
        <v>0</v>
      </c>
      <c r="AN11" s="310">
        <f>CS_PID!AN11/VLOOKUP($B11,LEBT[#ALL],4)/VLOOKUP($B11,표2[#ALL],2)</f>
        <v>0</v>
      </c>
      <c r="AO11" s="310">
        <f>CS_PID!AO11/VLOOKUP($B11,LEBT[#ALL],4)/VLOOKUP($B11,표2[#ALL],2)</f>
        <v>0</v>
      </c>
      <c r="AP11" s="310">
        <f>CS_PID!AP11/VLOOKUP($B11,LEBT[#ALL],4)/VLOOKUP($B11,표2[#ALL],2)</f>
        <v>0</v>
      </c>
      <c r="AQ11" s="310">
        <f>CS_PID!AQ11/VLOOKUP($B11,LEBT[#ALL],4)/VLOOKUP($B11,표2[#ALL],2)</f>
        <v>0</v>
      </c>
      <c r="AR11" s="310">
        <f>CS_PID!AR11/VLOOKUP($B11,LEBT[#ALL],4)/VLOOKUP($B11,표2[#ALL],2)</f>
        <v>0</v>
      </c>
      <c r="AS11" s="310">
        <f>CS_PID!AS11/VLOOKUP($B11,LEBT[#ALL],4)/VLOOKUP($B11,표2[#ALL],2)</f>
        <v>0</v>
      </c>
    </row>
    <row r="12">
      <c r="A12" s="141" t="s">
        <v>78</v>
      </c>
      <c r="B12" s="142">
        <v>265.0</v>
      </c>
      <c r="C12" s="310">
        <f>CS_PID!C12/VLOOKUP($B12,LEBT[#ALL],4)/VLOOKUP($B12,표2[#ALL],2)</f>
        <v>125.3183762</v>
      </c>
      <c r="D12" s="310">
        <f>CS_PID!D12/VLOOKUP($B12,LEBT[#ALL],4)/VLOOKUP($B12,표2[#ALL],2)</f>
        <v>1503.820514</v>
      </c>
      <c r="E12" s="310">
        <f>CS_PID!E12/VLOOKUP($B12,LEBT[#ALL],4)/VLOOKUP($B12,표2[#ALL],2)</f>
        <v>125.3183762</v>
      </c>
      <c r="F12" s="310">
        <f>CS_PID!F12/VLOOKUP($B12,LEBT[#ALL],4)/VLOOKUP($B12,표2[#ALL],2)</f>
        <v>125.3183762</v>
      </c>
      <c r="G12" s="310">
        <f>CS_PID!G12/VLOOKUP($B12,LEBT[#ALL],4)/VLOOKUP($B12,표2[#ALL],2)</f>
        <v>0</v>
      </c>
      <c r="H12" s="310">
        <f>CS_PID!H12/VLOOKUP($B12,LEBT[#ALL],4)/VLOOKUP($B12,표2[#ALL],2)</f>
        <v>250.6367524</v>
      </c>
      <c r="I12" s="310">
        <f>CS_PID!I12/VLOOKUP($B12,LEBT[#ALL],4)/VLOOKUP($B12,표2[#ALL],2)</f>
        <v>1002.54701</v>
      </c>
      <c r="J12" s="310">
        <f>CS_PID!J12/VLOOKUP($B12,LEBT[#ALL],4)/VLOOKUP($B12,표2[#ALL],2)</f>
        <v>1378.502138</v>
      </c>
      <c r="K12" s="310">
        <f>CS_PID!K12/VLOOKUP($B12,LEBT[#ALL],4)/VLOOKUP($B12,표2[#ALL],2)</f>
        <v>125.3183762</v>
      </c>
      <c r="L12" s="310">
        <f>CS_PID!L12/VLOOKUP($B12,LEBT[#ALL],4)/VLOOKUP($B12,표2[#ALL],2)</f>
        <v>0</v>
      </c>
      <c r="M12" s="310">
        <f>CS_PID!M12/VLOOKUP($B12,LEBT[#ALL],4)/VLOOKUP($B12,표2[#ALL],2)</f>
        <v>0</v>
      </c>
      <c r="N12" s="310">
        <f>CS_PID!N12/VLOOKUP($B12,LEBT[#ALL],4)/VLOOKUP($B12,표2[#ALL],2)</f>
        <v>0</v>
      </c>
      <c r="O12" s="310">
        <f>CS_PID!O12/VLOOKUP($B12,LEBT[#ALL],4)/VLOOKUP($B12,표2[#ALL],2)</f>
        <v>2005.094019</v>
      </c>
      <c r="P12" s="310">
        <f>CS_PID!P12/VLOOKUP($B12,LEBT[#ALL],4)/VLOOKUP($B12,표2[#ALL],2)</f>
        <v>2130.412395</v>
      </c>
      <c r="Q12" s="310">
        <f>CS_PID!Q12/VLOOKUP($B12,LEBT[#ALL],4)/VLOOKUP($B12,표2[#ALL],2)</f>
        <v>375.9551286</v>
      </c>
      <c r="R12" s="310">
        <f>CS_PID!R12/VLOOKUP($B12,LEBT[#ALL],4)/VLOOKUP($B12,표2[#ALL],2)</f>
        <v>0</v>
      </c>
      <c r="S12" s="310">
        <f>CS_PID!S12/VLOOKUP($B12,LEBT[#ALL],4)/VLOOKUP($B12,표2[#ALL],2)</f>
        <v>0</v>
      </c>
      <c r="T12" s="310">
        <f>CS_PID!T12/VLOOKUP($B12,LEBT[#ALL],4)/VLOOKUP($B12,표2[#ALL],2)</f>
        <v>250.6367524</v>
      </c>
      <c r="U12" s="310">
        <f>CS_PID!U12/VLOOKUP($B12,LEBT[#ALL],4)/VLOOKUP($B12,표2[#ALL],2)</f>
        <v>2005.094019</v>
      </c>
      <c r="V12" s="310">
        <f>CS_PID!V12/VLOOKUP($B12,LEBT[#ALL],4)/VLOOKUP($B12,표2[#ALL],2)</f>
        <v>3132.959405</v>
      </c>
      <c r="W12" s="310">
        <f>CS_PID!W12/VLOOKUP($B12,LEBT[#ALL],4)/VLOOKUP($B12,표2[#ALL],2)</f>
        <v>250.6367524</v>
      </c>
      <c r="X12" s="310">
        <f>CS_PID!X12/VLOOKUP($B12,LEBT[#ALL],4)/VLOOKUP($B12,표2[#ALL],2)</f>
        <v>0</v>
      </c>
      <c r="Y12" s="310">
        <f>CS_PID!Y12/VLOOKUP($B12,LEBT[#ALL],4)/VLOOKUP($B12,표2[#ALL],2)</f>
        <v>0</v>
      </c>
      <c r="Z12" s="310">
        <f>CS_PID!Z12/VLOOKUP($B12,LEBT[#ALL],4)/VLOOKUP($B12,표2[#ALL],2)</f>
        <v>0</v>
      </c>
      <c r="AA12" s="310">
        <f>CS_PID!AA12/VLOOKUP($B12,LEBT[#ALL],4)/VLOOKUP($B12,표2[#ALL],2)</f>
        <v>1378.502138</v>
      </c>
      <c r="AB12" s="310">
        <f>CS_PID!AB12/VLOOKUP($B12,LEBT[#ALL],4)/VLOOKUP($B12,표2[#ALL],2)</f>
        <v>751.9102571</v>
      </c>
      <c r="AC12" s="310">
        <f>CS_PID!AC12/VLOOKUP($B12,LEBT[#ALL],4)/VLOOKUP($B12,표2[#ALL],2)</f>
        <v>0</v>
      </c>
      <c r="AD12" s="310">
        <f>CS_PID!AD12/VLOOKUP($B12,LEBT[#ALL],4)/VLOOKUP($B12,표2[#ALL],2)</f>
        <v>0</v>
      </c>
      <c r="AE12" s="310">
        <f>CS_PID!AE12/VLOOKUP($B12,LEBT[#ALL],4)/VLOOKUP($B12,표2[#ALL],2)</f>
        <v>0</v>
      </c>
      <c r="AF12" s="310">
        <f>CS_PID!AF12/VLOOKUP($B12,LEBT[#ALL],4)/VLOOKUP($B12,표2[#ALL],2)</f>
        <v>0</v>
      </c>
      <c r="AG12" s="310">
        <f>CS_PID!AG12/VLOOKUP($B12,LEBT[#ALL],4)/VLOOKUP($B12,표2[#ALL],2)</f>
        <v>250.6367524</v>
      </c>
      <c r="AH12" s="310">
        <f>CS_PID!AH12/VLOOKUP($B12,LEBT[#ALL],4)/VLOOKUP($B12,표2[#ALL],2)</f>
        <v>0</v>
      </c>
      <c r="AI12" s="310">
        <f>CS_PID!AI12/VLOOKUP($B12,LEBT[#ALL],4)/VLOOKUP($B12,표2[#ALL],2)</f>
        <v>0</v>
      </c>
      <c r="AJ12" s="310">
        <f>CS_PID!AJ12/VLOOKUP($B12,LEBT[#ALL],4)/VLOOKUP($B12,표2[#ALL],2)</f>
        <v>0</v>
      </c>
      <c r="AK12" s="310">
        <f>CS_PID!AK12/VLOOKUP($B12,LEBT[#ALL],4)/VLOOKUP($B12,표2[#ALL],2)</f>
        <v>0</v>
      </c>
      <c r="AL12" s="310">
        <f>CS_PID!AL12/VLOOKUP($B12,LEBT[#ALL],4)/VLOOKUP($B12,표2[#ALL],2)</f>
        <v>0</v>
      </c>
      <c r="AM12" s="310">
        <f>CS_PID!AM12/VLOOKUP($B12,LEBT[#ALL],4)/VLOOKUP($B12,표2[#ALL],2)</f>
        <v>0</v>
      </c>
      <c r="AN12" s="310">
        <f>CS_PID!AN12/VLOOKUP($B12,LEBT[#ALL],4)/VLOOKUP($B12,표2[#ALL],2)</f>
        <v>0</v>
      </c>
      <c r="AO12" s="310">
        <f>CS_PID!AO12/VLOOKUP($B12,LEBT[#ALL],4)/VLOOKUP($B12,표2[#ALL],2)</f>
        <v>0</v>
      </c>
      <c r="AP12" s="310">
        <f>CS_PID!AP12/VLOOKUP($B12,LEBT[#ALL],4)/VLOOKUP($B12,표2[#ALL],2)</f>
        <v>0</v>
      </c>
      <c r="AQ12" s="310">
        <f>CS_PID!AQ12/VLOOKUP($B12,LEBT[#ALL],4)/VLOOKUP($B12,표2[#ALL],2)</f>
        <v>0</v>
      </c>
      <c r="AR12" s="310">
        <f>CS_PID!AR12/VLOOKUP($B12,LEBT[#ALL],4)/VLOOKUP($B12,표2[#ALL],2)</f>
        <v>0</v>
      </c>
      <c r="AS12" s="310">
        <f>CS_PID!AS12/VLOOKUP($B12,LEBT[#ALL],4)/VLOOKUP($B12,표2[#ALL],2)</f>
        <v>0</v>
      </c>
    </row>
    <row r="13">
      <c r="A13" s="141" t="s">
        <v>78</v>
      </c>
      <c r="B13" s="142">
        <v>266.0</v>
      </c>
      <c r="C13" s="310">
        <f>CS_PID!C13/VLOOKUP($B13,LEBT[#ALL],4)/VLOOKUP($B13,표2[#ALL],2)</f>
        <v>102.9164751</v>
      </c>
      <c r="D13" s="310">
        <f>CS_PID!D13/VLOOKUP($B13,LEBT[#ALL],4)/VLOOKUP($B13,표2[#ALL],2)</f>
        <v>1029.164751</v>
      </c>
      <c r="E13" s="310">
        <f>CS_PID!E13/VLOOKUP($B13,LEBT[#ALL],4)/VLOOKUP($B13,표2[#ALL],2)</f>
        <v>154.3747126</v>
      </c>
      <c r="F13" s="310">
        <f>CS_PID!F13/VLOOKUP($B13,LEBT[#ALL],4)/VLOOKUP($B13,표2[#ALL],2)</f>
        <v>51.45823755</v>
      </c>
      <c r="G13" s="310">
        <f>CS_PID!G13/VLOOKUP($B13,LEBT[#ALL],4)/VLOOKUP($B13,표2[#ALL],2)</f>
        <v>0</v>
      </c>
      <c r="H13" s="310">
        <f>CS_PID!H13/VLOOKUP($B13,LEBT[#ALL],4)/VLOOKUP($B13,표2[#ALL],2)</f>
        <v>154.3747126</v>
      </c>
      <c r="I13" s="310">
        <f>CS_PID!I13/VLOOKUP($B13,LEBT[#ALL],4)/VLOOKUP($B13,표2[#ALL],2)</f>
        <v>823.3318008</v>
      </c>
      <c r="J13" s="310">
        <f>CS_PID!J13/VLOOKUP($B13,LEBT[#ALL],4)/VLOOKUP($B13,표2[#ALL],2)</f>
        <v>1749.580077</v>
      </c>
      <c r="K13" s="310">
        <f>CS_PID!K13/VLOOKUP($B13,LEBT[#ALL],4)/VLOOKUP($B13,표2[#ALL],2)</f>
        <v>257.2911877</v>
      </c>
      <c r="L13" s="310">
        <f>CS_PID!L13/VLOOKUP($B13,LEBT[#ALL],4)/VLOOKUP($B13,표2[#ALL],2)</f>
        <v>0</v>
      </c>
      <c r="M13" s="310">
        <f>CS_PID!M13/VLOOKUP($B13,LEBT[#ALL],4)/VLOOKUP($B13,표2[#ALL],2)</f>
        <v>0</v>
      </c>
      <c r="N13" s="310">
        <f>CS_PID!N13/VLOOKUP($B13,LEBT[#ALL],4)/VLOOKUP($B13,표2[#ALL],2)</f>
        <v>51.45823755</v>
      </c>
      <c r="O13" s="310">
        <f>CS_PID!O13/VLOOKUP($B13,LEBT[#ALL],4)/VLOOKUP($B13,표2[#ALL],2)</f>
        <v>1852.496552</v>
      </c>
      <c r="P13" s="310">
        <f>CS_PID!P13/VLOOKUP($B13,LEBT[#ALL],4)/VLOOKUP($B13,표2[#ALL],2)</f>
        <v>2521.45364</v>
      </c>
      <c r="Q13" s="310">
        <f>CS_PID!Q13/VLOOKUP($B13,LEBT[#ALL],4)/VLOOKUP($B13,표2[#ALL],2)</f>
        <v>257.2911877</v>
      </c>
      <c r="R13" s="310">
        <f>CS_PID!R13/VLOOKUP($B13,LEBT[#ALL],4)/VLOOKUP($B13,표2[#ALL],2)</f>
        <v>51.45823755</v>
      </c>
      <c r="S13" s="310">
        <f>CS_PID!S13/VLOOKUP($B13,LEBT[#ALL],4)/VLOOKUP($B13,표2[#ALL],2)</f>
        <v>0</v>
      </c>
      <c r="T13" s="310">
        <f>CS_PID!T13/VLOOKUP($B13,LEBT[#ALL],4)/VLOOKUP($B13,표2[#ALL],2)</f>
        <v>51.45823755</v>
      </c>
      <c r="U13" s="310">
        <f>CS_PID!U13/VLOOKUP($B13,LEBT[#ALL],4)/VLOOKUP($B13,표2[#ALL],2)</f>
        <v>1595.205364</v>
      </c>
      <c r="V13" s="310">
        <f>CS_PID!V13/VLOOKUP($B13,LEBT[#ALL],4)/VLOOKUP($B13,표2[#ALL],2)</f>
        <v>2830.203065</v>
      </c>
      <c r="W13" s="310">
        <f>CS_PID!W13/VLOOKUP($B13,LEBT[#ALL],4)/VLOOKUP($B13,표2[#ALL],2)</f>
        <v>154.3747126</v>
      </c>
      <c r="X13" s="310">
        <f>CS_PID!X13/VLOOKUP($B13,LEBT[#ALL],4)/VLOOKUP($B13,표2[#ALL],2)</f>
        <v>0</v>
      </c>
      <c r="Y13" s="310">
        <f>CS_PID!Y13/VLOOKUP($B13,LEBT[#ALL],4)/VLOOKUP($B13,표2[#ALL],2)</f>
        <v>0</v>
      </c>
      <c r="Z13" s="310">
        <f>CS_PID!Z13/VLOOKUP($B13,LEBT[#ALL],4)/VLOOKUP($B13,표2[#ALL],2)</f>
        <v>51.45823755</v>
      </c>
      <c r="AA13" s="310">
        <f>CS_PID!AA13/VLOOKUP($B13,LEBT[#ALL],4)/VLOOKUP($B13,표2[#ALL],2)</f>
        <v>1132.081226</v>
      </c>
      <c r="AB13" s="310">
        <f>CS_PID!AB13/VLOOKUP($B13,LEBT[#ALL],4)/VLOOKUP($B13,표2[#ALL],2)</f>
        <v>463.1241379</v>
      </c>
      <c r="AC13" s="310">
        <f>CS_PID!AC13/VLOOKUP($B13,LEBT[#ALL],4)/VLOOKUP($B13,표2[#ALL],2)</f>
        <v>51.45823755</v>
      </c>
      <c r="AD13" s="310">
        <f>CS_PID!AD13/VLOOKUP($B13,LEBT[#ALL],4)/VLOOKUP($B13,표2[#ALL],2)</f>
        <v>0</v>
      </c>
      <c r="AE13" s="310">
        <f>CS_PID!AE13/VLOOKUP($B13,LEBT[#ALL],4)/VLOOKUP($B13,표2[#ALL],2)</f>
        <v>0</v>
      </c>
      <c r="AF13" s="310">
        <f>CS_PID!AF13/VLOOKUP($B13,LEBT[#ALL],4)/VLOOKUP($B13,표2[#ALL],2)</f>
        <v>0</v>
      </c>
      <c r="AG13" s="310">
        <f>CS_PID!AG13/VLOOKUP($B13,LEBT[#ALL],4)/VLOOKUP($B13,표2[#ALL],2)</f>
        <v>308.7494253</v>
      </c>
      <c r="AH13" s="310">
        <f>CS_PID!AH13/VLOOKUP($B13,LEBT[#ALL],4)/VLOOKUP($B13,표2[#ALL],2)</f>
        <v>51.45823755</v>
      </c>
      <c r="AI13" s="310">
        <f>CS_PID!AI13/VLOOKUP($B13,LEBT[#ALL],4)/VLOOKUP($B13,표2[#ALL],2)</f>
        <v>0</v>
      </c>
      <c r="AJ13" s="310">
        <f>CS_PID!AJ13/VLOOKUP($B13,LEBT[#ALL],4)/VLOOKUP($B13,표2[#ALL],2)</f>
        <v>0</v>
      </c>
      <c r="AK13" s="310">
        <f>CS_PID!AK13/VLOOKUP($B13,LEBT[#ALL],4)/VLOOKUP($B13,표2[#ALL],2)</f>
        <v>0</v>
      </c>
      <c r="AL13" s="310">
        <f>CS_PID!AL13/VLOOKUP($B13,LEBT[#ALL],4)/VLOOKUP($B13,표2[#ALL],2)</f>
        <v>51.45823755</v>
      </c>
      <c r="AM13" s="310">
        <f>CS_PID!AM13/VLOOKUP($B13,LEBT[#ALL],4)/VLOOKUP($B13,표2[#ALL],2)</f>
        <v>0</v>
      </c>
      <c r="AN13" s="310">
        <f>CS_PID!AN13/VLOOKUP($B13,LEBT[#ALL],4)/VLOOKUP($B13,표2[#ALL],2)</f>
        <v>0</v>
      </c>
      <c r="AO13" s="310">
        <f>CS_PID!AO13/VLOOKUP($B13,LEBT[#ALL],4)/VLOOKUP($B13,표2[#ALL],2)</f>
        <v>0</v>
      </c>
      <c r="AP13" s="310">
        <f>CS_PID!AP13/VLOOKUP($B13,LEBT[#ALL],4)/VLOOKUP($B13,표2[#ALL],2)</f>
        <v>0</v>
      </c>
      <c r="AQ13" s="310">
        <f>CS_PID!AQ13/VLOOKUP($B13,LEBT[#ALL],4)/VLOOKUP($B13,표2[#ALL],2)</f>
        <v>0</v>
      </c>
      <c r="AR13" s="310">
        <f>CS_PID!AR13/VLOOKUP($B13,LEBT[#ALL],4)/VLOOKUP($B13,표2[#ALL],2)</f>
        <v>0</v>
      </c>
      <c r="AS13" s="310">
        <f>CS_PID!AS13/VLOOKUP($B13,LEBT[#ALL],4)/VLOOKUP($B13,표2[#ALL],2)</f>
        <v>0</v>
      </c>
    </row>
    <row r="14">
      <c r="A14" s="141" t="s">
        <v>78</v>
      </c>
      <c r="B14" s="142">
        <v>267.0</v>
      </c>
      <c r="C14" s="310">
        <f>CS_PID!C14/VLOOKUP($B14,LEBT[#ALL],4)/VLOOKUP($B14,표2[#ALL],2)</f>
        <v>0</v>
      </c>
      <c r="D14" s="310">
        <f>CS_PID!D14/VLOOKUP($B14,LEBT[#ALL],4)/VLOOKUP($B14,표2[#ALL],2)</f>
        <v>852.0639127</v>
      </c>
      <c r="E14" s="310">
        <f>CS_PID!E14/VLOOKUP($B14,LEBT[#ALL],4)/VLOOKUP($B14,표2[#ALL],2)</f>
        <v>477.1557911</v>
      </c>
      <c r="F14" s="310">
        <f>CS_PID!F14/VLOOKUP($B14,LEBT[#ALL],4)/VLOOKUP($B14,표2[#ALL],2)</f>
        <v>0</v>
      </c>
      <c r="G14" s="310">
        <f>CS_PID!G14/VLOOKUP($B14,LEBT[#ALL],4)/VLOOKUP($B14,표2[#ALL],2)</f>
        <v>0</v>
      </c>
      <c r="H14" s="310">
        <f>CS_PID!H14/VLOOKUP($B14,LEBT[#ALL],4)/VLOOKUP($B14,표2[#ALL],2)</f>
        <v>102.2476695</v>
      </c>
      <c r="I14" s="310">
        <f>CS_PID!I14/VLOOKUP($B14,LEBT[#ALL],4)/VLOOKUP($B14,표2[#ALL],2)</f>
        <v>579.4034606</v>
      </c>
      <c r="J14" s="310">
        <f>CS_PID!J14/VLOOKUP($B14,LEBT[#ALL],4)/VLOOKUP($B14,표2[#ALL],2)</f>
        <v>1533.715043</v>
      </c>
      <c r="K14" s="310">
        <f>CS_PID!K14/VLOOKUP($B14,LEBT[#ALL],4)/VLOOKUP($B14,표2[#ALL],2)</f>
        <v>102.2476695</v>
      </c>
      <c r="L14" s="310">
        <f>CS_PID!L14/VLOOKUP($B14,LEBT[#ALL],4)/VLOOKUP($B14,표2[#ALL],2)</f>
        <v>0</v>
      </c>
      <c r="M14" s="310">
        <f>CS_PID!M14/VLOOKUP($B14,LEBT[#ALL],4)/VLOOKUP($B14,표2[#ALL],2)</f>
        <v>0</v>
      </c>
      <c r="N14" s="310">
        <f>CS_PID!N14/VLOOKUP($B14,LEBT[#ALL],4)/VLOOKUP($B14,표2[#ALL],2)</f>
        <v>0</v>
      </c>
      <c r="O14" s="310">
        <f>CS_PID!O14/VLOOKUP($B14,LEBT[#ALL],4)/VLOOKUP($B14,표2[#ALL],2)</f>
        <v>1567.797599</v>
      </c>
      <c r="P14" s="310">
        <f>CS_PID!P14/VLOOKUP($B14,LEBT[#ALL],4)/VLOOKUP($B14,표2[#ALL],2)</f>
        <v>2590.274295</v>
      </c>
      <c r="Q14" s="310">
        <f>CS_PID!Q14/VLOOKUP($B14,LEBT[#ALL],4)/VLOOKUP($B14,표2[#ALL],2)</f>
        <v>443.0732346</v>
      </c>
      <c r="R14" s="310">
        <f>CS_PID!R14/VLOOKUP($B14,LEBT[#ALL],4)/VLOOKUP($B14,표2[#ALL],2)</f>
        <v>0</v>
      </c>
      <c r="S14" s="310">
        <f>CS_PID!S14/VLOOKUP($B14,LEBT[#ALL],4)/VLOOKUP($B14,표2[#ALL],2)</f>
        <v>0</v>
      </c>
      <c r="T14" s="310">
        <f>CS_PID!T14/VLOOKUP($B14,LEBT[#ALL],4)/VLOOKUP($B14,표2[#ALL],2)</f>
        <v>34.08255651</v>
      </c>
      <c r="U14" s="310">
        <f>CS_PID!U14/VLOOKUP($B14,LEBT[#ALL],4)/VLOOKUP($B14,표2[#ALL],2)</f>
        <v>1806.375495</v>
      </c>
      <c r="V14" s="310">
        <f>CS_PID!V14/VLOOKUP($B14,LEBT[#ALL],4)/VLOOKUP($B14,표2[#ALL],2)</f>
        <v>2590.274295</v>
      </c>
      <c r="W14" s="310">
        <f>CS_PID!W14/VLOOKUP($B14,LEBT[#ALL],4)/VLOOKUP($B14,표2[#ALL],2)</f>
        <v>136.330226</v>
      </c>
      <c r="X14" s="310">
        <f>CS_PID!X14/VLOOKUP($B14,LEBT[#ALL],4)/VLOOKUP($B14,표2[#ALL],2)</f>
        <v>0</v>
      </c>
      <c r="Y14" s="310">
        <f>CS_PID!Y14/VLOOKUP($B14,LEBT[#ALL],4)/VLOOKUP($B14,표2[#ALL],2)</f>
        <v>0</v>
      </c>
      <c r="Z14" s="310">
        <f>CS_PID!Z14/VLOOKUP($B14,LEBT[#ALL],4)/VLOOKUP($B14,표2[#ALL],2)</f>
        <v>34.08255651</v>
      </c>
      <c r="AA14" s="310">
        <f>CS_PID!AA14/VLOOKUP($B14,LEBT[#ALL],4)/VLOOKUP($B14,표2[#ALL],2)</f>
        <v>988.3941387</v>
      </c>
      <c r="AB14" s="310">
        <f>CS_PID!AB14/VLOOKUP($B14,LEBT[#ALL],4)/VLOOKUP($B14,표2[#ALL],2)</f>
        <v>647.5685737</v>
      </c>
      <c r="AC14" s="310">
        <f>CS_PID!AC14/VLOOKUP($B14,LEBT[#ALL],4)/VLOOKUP($B14,표2[#ALL],2)</f>
        <v>0</v>
      </c>
      <c r="AD14" s="310">
        <f>CS_PID!AD14/VLOOKUP($B14,LEBT[#ALL],4)/VLOOKUP($B14,표2[#ALL],2)</f>
        <v>0</v>
      </c>
      <c r="AE14" s="310">
        <f>CS_PID!AE14/VLOOKUP($B14,LEBT[#ALL],4)/VLOOKUP($B14,표2[#ALL],2)</f>
        <v>0</v>
      </c>
      <c r="AF14" s="310">
        <f>CS_PID!AF14/VLOOKUP($B14,LEBT[#ALL],4)/VLOOKUP($B14,표2[#ALL],2)</f>
        <v>34.08255651</v>
      </c>
      <c r="AG14" s="310">
        <f>CS_PID!AG14/VLOOKUP($B14,LEBT[#ALL],4)/VLOOKUP($B14,표2[#ALL],2)</f>
        <v>136.330226</v>
      </c>
      <c r="AH14" s="310">
        <f>CS_PID!AH14/VLOOKUP($B14,LEBT[#ALL],4)/VLOOKUP($B14,표2[#ALL],2)</f>
        <v>102.2476695</v>
      </c>
      <c r="AI14" s="310">
        <f>CS_PID!AI14/VLOOKUP($B14,LEBT[#ALL],4)/VLOOKUP($B14,표2[#ALL],2)</f>
        <v>0</v>
      </c>
      <c r="AJ14" s="310">
        <f>CS_PID!AJ14/VLOOKUP($B14,LEBT[#ALL],4)/VLOOKUP($B14,표2[#ALL],2)</f>
        <v>0</v>
      </c>
      <c r="AK14" s="310">
        <f>CS_PID!AK14/VLOOKUP($B14,LEBT[#ALL],4)/VLOOKUP($B14,표2[#ALL],2)</f>
        <v>0</v>
      </c>
      <c r="AL14" s="310">
        <f>CS_PID!AL14/VLOOKUP($B14,LEBT[#ALL],4)/VLOOKUP($B14,표2[#ALL],2)</f>
        <v>0</v>
      </c>
      <c r="AM14" s="310">
        <f>CS_PID!AM14/VLOOKUP($B14,LEBT[#ALL],4)/VLOOKUP($B14,표2[#ALL],2)</f>
        <v>0</v>
      </c>
      <c r="AN14" s="310">
        <f>CS_PID!AN14/VLOOKUP($B14,LEBT[#ALL],4)/VLOOKUP($B14,표2[#ALL],2)</f>
        <v>0</v>
      </c>
      <c r="AO14" s="310">
        <f>CS_PID!AO14/VLOOKUP($B14,LEBT[#ALL],4)/VLOOKUP($B14,표2[#ALL],2)</f>
        <v>0</v>
      </c>
      <c r="AP14" s="310">
        <f>CS_PID!AP14/VLOOKUP($B14,LEBT[#ALL],4)/VLOOKUP($B14,표2[#ALL],2)</f>
        <v>0</v>
      </c>
      <c r="AQ14" s="310">
        <f>CS_PID!AQ14/VLOOKUP($B14,LEBT[#ALL],4)/VLOOKUP($B14,표2[#ALL],2)</f>
        <v>0</v>
      </c>
      <c r="AR14" s="310">
        <f>CS_PID!AR14/VLOOKUP($B14,LEBT[#ALL],4)/VLOOKUP($B14,표2[#ALL],2)</f>
        <v>0</v>
      </c>
      <c r="AS14" s="310">
        <f>CS_PID!AS14/VLOOKUP($B14,LEBT[#ALL],4)/VLOOKUP($B14,표2[#ALL],2)</f>
        <v>0</v>
      </c>
    </row>
    <row r="15">
      <c r="A15" s="141" t="s">
        <v>78</v>
      </c>
      <c r="B15" s="142">
        <v>271.0</v>
      </c>
      <c r="C15" s="310">
        <f>CS_PID!C15/VLOOKUP($B15,LEBT[#ALL],4)/VLOOKUP($B15,표2[#ALL],2)</f>
        <v>0</v>
      </c>
      <c r="D15" s="310">
        <f>CS_PID!D15/VLOOKUP($B15,LEBT[#ALL],4)/VLOOKUP($B15,표2[#ALL],2)</f>
        <v>1086.932627</v>
      </c>
      <c r="E15" s="310">
        <f>CS_PID!E15/VLOOKUP($B15,LEBT[#ALL],4)/VLOOKUP($B15,표2[#ALL],2)</f>
        <v>724.6217516</v>
      </c>
      <c r="F15" s="310">
        <f>CS_PID!F15/VLOOKUP($B15,LEBT[#ALL],4)/VLOOKUP($B15,표2[#ALL],2)</f>
        <v>120.7702919</v>
      </c>
      <c r="G15" s="310">
        <f>CS_PID!G15/VLOOKUP($B15,LEBT[#ALL],4)/VLOOKUP($B15,표2[#ALL],2)</f>
        <v>0</v>
      </c>
      <c r="H15" s="310">
        <f>CS_PID!H15/VLOOKUP($B15,LEBT[#ALL],4)/VLOOKUP($B15,표2[#ALL],2)</f>
        <v>120.7702919</v>
      </c>
      <c r="I15" s="310">
        <f>CS_PID!I15/VLOOKUP($B15,LEBT[#ALL],4)/VLOOKUP($B15,표2[#ALL],2)</f>
        <v>1207.702919</v>
      </c>
      <c r="J15" s="310">
        <f>CS_PID!J15/VLOOKUP($B15,LEBT[#ALL],4)/VLOOKUP($B15,표2[#ALL],2)</f>
        <v>3019.257298</v>
      </c>
      <c r="K15" s="310">
        <f>CS_PID!K15/VLOOKUP($B15,LEBT[#ALL],4)/VLOOKUP($B15,표2[#ALL],2)</f>
        <v>0</v>
      </c>
      <c r="L15" s="310">
        <f>CS_PID!L15/VLOOKUP($B15,LEBT[#ALL],4)/VLOOKUP($B15,표2[#ALL],2)</f>
        <v>0</v>
      </c>
      <c r="M15" s="310">
        <f>CS_PID!M15/VLOOKUP($B15,LEBT[#ALL],4)/VLOOKUP($B15,표2[#ALL],2)</f>
        <v>0</v>
      </c>
      <c r="N15" s="310">
        <f>CS_PID!N15/VLOOKUP($B15,LEBT[#ALL],4)/VLOOKUP($B15,표2[#ALL],2)</f>
        <v>0</v>
      </c>
      <c r="O15" s="310">
        <f>CS_PID!O15/VLOOKUP($B15,LEBT[#ALL],4)/VLOOKUP($B15,표2[#ALL],2)</f>
        <v>2656.946422</v>
      </c>
      <c r="P15" s="310">
        <f>CS_PID!P15/VLOOKUP($B15,LEBT[#ALL],4)/VLOOKUP($B15,표2[#ALL],2)</f>
        <v>3019.257298</v>
      </c>
      <c r="Q15" s="310">
        <f>CS_PID!Q15/VLOOKUP($B15,LEBT[#ALL],4)/VLOOKUP($B15,표2[#ALL],2)</f>
        <v>724.6217516</v>
      </c>
      <c r="R15" s="310">
        <f>CS_PID!R15/VLOOKUP($B15,LEBT[#ALL],4)/VLOOKUP($B15,표2[#ALL],2)</f>
        <v>0</v>
      </c>
      <c r="S15" s="310">
        <f>CS_PID!S15/VLOOKUP($B15,LEBT[#ALL],4)/VLOOKUP($B15,표2[#ALL],2)</f>
        <v>0</v>
      </c>
      <c r="T15" s="310">
        <f>CS_PID!T15/VLOOKUP($B15,LEBT[#ALL],4)/VLOOKUP($B15,표2[#ALL],2)</f>
        <v>0</v>
      </c>
      <c r="U15" s="310">
        <f>CS_PID!U15/VLOOKUP($B15,LEBT[#ALL],4)/VLOOKUP($B15,표2[#ALL],2)</f>
        <v>2173.865255</v>
      </c>
      <c r="V15" s="310">
        <f>CS_PID!V15/VLOOKUP($B15,LEBT[#ALL],4)/VLOOKUP($B15,표2[#ALL],2)</f>
        <v>3502.338466</v>
      </c>
      <c r="W15" s="310">
        <f>CS_PID!W15/VLOOKUP($B15,LEBT[#ALL],4)/VLOOKUP($B15,표2[#ALL],2)</f>
        <v>120.7702919</v>
      </c>
      <c r="X15" s="310">
        <f>CS_PID!X15/VLOOKUP($B15,LEBT[#ALL],4)/VLOOKUP($B15,표2[#ALL],2)</f>
        <v>0</v>
      </c>
      <c r="Y15" s="310">
        <f>CS_PID!Y15/VLOOKUP($B15,LEBT[#ALL],4)/VLOOKUP($B15,표2[#ALL],2)</f>
        <v>0</v>
      </c>
      <c r="Z15" s="310">
        <f>CS_PID!Z15/VLOOKUP($B15,LEBT[#ALL],4)/VLOOKUP($B15,표2[#ALL],2)</f>
        <v>0</v>
      </c>
      <c r="AA15" s="310">
        <f>CS_PID!AA15/VLOOKUP($B15,LEBT[#ALL],4)/VLOOKUP($B15,표2[#ALL],2)</f>
        <v>1449.243503</v>
      </c>
      <c r="AB15" s="310">
        <f>CS_PID!AB15/VLOOKUP($B15,LEBT[#ALL],4)/VLOOKUP($B15,표2[#ALL],2)</f>
        <v>483.0811677</v>
      </c>
      <c r="AC15" s="310">
        <f>CS_PID!AC15/VLOOKUP($B15,LEBT[#ALL],4)/VLOOKUP($B15,표2[#ALL],2)</f>
        <v>0</v>
      </c>
      <c r="AD15" s="310">
        <f>CS_PID!AD15/VLOOKUP($B15,LEBT[#ALL],4)/VLOOKUP($B15,표2[#ALL],2)</f>
        <v>0</v>
      </c>
      <c r="AE15" s="310">
        <f>CS_PID!AE15/VLOOKUP($B15,LEBT[#ALL],4)/VLOOKUP($B15,표2[#ALL],2)</f>
        <v>0</v>
      </c>
      <c r="AF15" s="310">
        <f>CS_PID!AF15/VLOOKUP($B15,LEBT[#ALL],4)/VLOOKUP($B15,표2[#ALL],2)</f>
        <v>0</v>
      </c>
      <c r="AG15" s="310">
        <f>CS_PID!AG15/VLOOKUP($B15,LEBT[#ALL],4)/VLOOKUP($B15,표2[#ALL],2)</f>
        <v>241.5405839</v>
      </c>
      <c r="AH15" s="310">
        <f>CS_PID!AH15/VLOOKUP($B15,LEBT[#ALL],4)/VLOOKUP($B15,표2[#ALL],2)</f>
        <v>0</v>
      </c>
      <c r="AI15" s="310">
        <f>CS_PID!AI15/VLOOKUP($B15,LEBT[#ALL],4)/VLOOKUP($B15,표2[#ALL],2)</f>
        <v>0</v>
      </c>
      <c r="AJ15" s="310">
        <f>CS_PID!AJ15/VLOOKUP($B15,LEBT[#ALL],4)/VLOOKUP($B15,표2[#ALL],2)</f>
        <v>0</v>
      </c>
      <c r="AK15" s="310">
        <f>CS_PID!AK15/VLOOKUP($B15,LEBT[#ALL],4)/VLOOKUP($B15,표2[#ALL],2)</f>
        <v>0</v>
      </c>
      <c r="AL15" s="310">
        <f>CS_PID!AL15/VLOOKUP($B15,LEBT[#ALL],4)/VLOOKUP($B15,표2[#ALL],2)</f>
        <v>0</v>
      </c>
      <c r="AM15" s="310">
        <f>CS_PID!AM15/VLOOKUP($B15,LEBT[#ALL],4)/VLOOKUP($B15,표2[#ALL],2)</f>
        <v>0</v>
      </c>
      <c r="AN15" s="310">
        <f>CS_PID!AN15/VLOOKUP($B15,LEBT[#ALL],4)/VLOOKUP($B15,표2[#ALL],2)</f>
        <v>0</v>
      </c>
      <c r="AO15" s="310">
        <f>CS_PID!AO15/VLOOKUP($B15,LEBT[#ALL],4)/VLOOKUP($B15,표2[#ALL],2)</f>
        <v>0</v>
      </c>
      <c r="AP15" s="310">
        <f>CS_PID!AP15/VLOOKUP($B15,LEBT[#ALL],4)/VLOOKUP($B15,표2[#ALL],2)</f>
        <v>0</v>
      </c>
      <c r="AQ15" s="310">
        <f>CS_PID!AQ15/VLOOKUP($B15,LEBT[#ALL],4)/VLOOKUP($B15,표2[#ALL],2)</f>
        <v>0</v>
      </c>
      <c r="AR15" s="310">
        <f>CS_PID!AR15/VLOOKUP($B15,LEBT[#ALL],4)/VLOOKUP($B15,표2[#ALL],2)</f>
        <v>0</v>
      </c>
      <c r="AS15" s="310">
        <f>CS_PID!AS15/VLOOKUP($B15,LEBT[#ALL],4)/VLOOKUP($B15,표2[#ALL],2)</f>
        <v>0</v>
      </c>
    </row>
    <row r="16">
      <c r="A16" s="141" t="s">
        <v>78</v>
      </c>
      <c r="B16" s="142">
        <v>272.0</v>
      </c>
      <c r="C16" s="310">
        <f>CS_PID!C16/VLOOKUP($B16,LEBT[#ALL],4)/VLOOKUP($B16,표2[#ALL],2)</f>
        <v>0</v>
      </c>
      <c r="D16" s="310">
        <f>CS_PID!D16/VLOOKUP($B16,LEBT[#ALL],4)/VLOOKUP($B16,표2[#ALL],2)</f>
        <v>777.7351103</v>
      </c>
      <c r="E16" s="310">
        <f>CS_PID!E16/VLOOKUP($B16,LEBT[#ALL],4)/VLOOKUP($B16,표2[#ALL],2)</f>
        <v>0</v>
      </c>
      <c r="F16" s="310">
        <f>CS_PID!F16/VLOOKUP($B16,LEBT[#ALL],4)/VLOOKUP($B16,표2[#ALL],2)</f>
        <v>155.5470221</v>
      </c>
      <c r="G16" s="310">
        <f>CS_PID!G16/VLOOKUP($B16,LEBT[#ALL],4)/VLOOKUP($B16,표2[#ALL],2)</f>
        <v>0</v>
      </c>
      <c r="H16" s="310">
        <f>CS_PID!H16/VLOOKUP($B16,LEBT[#ALL],4)/VLOOKUP($B16,표2[#ALL],2)</f>
        <v>155.5470221</v>
      </c>
      <c r="I16" s="310">
        <f>CS_PID!I16/VLOOKUP($B16,LEBT[#ALL],4)/VLOOKUP($B16,표2[#ALL],2)</f>
        <v>1244.376176</v>
      </c>
      <c r="J16" s="310">
        <f>CS_PID!J16/VLOOKUP($B16,LEBT[#ALL],4)/VLOOKUP($B16,표2[#ALL],2)</f>
        <v>1555.470221</v>
      </c>
      <c r="K16" s="310">
        <f>CS_PID!K16/VLOOKUP($B16,LEBT[#ALL],4)/VLOOKUP($B16,표2[#ALL],2)</f>
        <v>466.6410662</v>
      </c>
      <c r="L16" s="310">
        <f>CS_PID!L16/VLOOKUP($B16,LEBT[#ALL],4)/VLOOKUP($B16,표2[#ALL],2)</f>
        <v>0</v>
      </c>
      <c r="M16" s="310">
        <f>CS_PID!M16/VLOOKUP($B16,LEBT[#ALL],4)/VLOOKUP($B16,표2[#ALL],2)</f>
        <v>0</v>
      </c>
      <c r="N16" s="310">
        <f>CS_PID!N16/VLOOKUP($B16,LEBT[#ALL],4)/VLOOKUP($B16,표2[#ALL],2)</f>
        <v>0</v>
      </c>
      <c r="O16" s="310">
        <f>CS_PID!O16/VLOOKUP($B16,LEBT[#ALL],4)/VLOOKUP($B16,표2[#ALL],2)</f>
        <v>1088.829154</v>
      </c>
      <c r="P16" s="310">
        <f>CS_PID!P16/VLOOKUP($B16,LEBT[#ALL],4)/VLOOKUP($B16,표2[#ALL],2)</f>
        <v>2333.205331</v>
      </c>
      <c r="Q16" s="310">
        <f>CS_PID!Q16/VLOOKUP($B16,LEBT[#ALL],4)/VLOOKUP($B16,표2[#ALL],2)</f>
        <v>622.1880882</v>
      </c>
      <c r="R16" s="310">
        <f>CS_PID!R16/VLOOKUP($B16,LEBT[#ALL],4)/VLOOKUP($B16,표2[#ALL],2)</f>
        <v>0</v>
      </c>
      <c r="S16" s="310">
        <f>CS_PID!S16/VLOOKUP($B16,LEBT[#ALL],4)/VLOOKUP($B16,표2[#ALL],2)</f>
        <v>0</v>
      </c>
      <c r="T16" s="310">
        <f>CS_PID!T16/VLOOKUP($B16,LEBT[#ALL],4)/VLOOKUP($B16,표2[#ALL],2)</f>
        <v>155.5470221</v>
      </c>
      <c r="U16" s="310">
        <f>CS_PID!U16/VLOOKUP($B16,LEBT[#ALL],4)/VLOOKUP($B16,표2[#ALL],2)</f>
        <v>2333.205331</v>
      </c>
      <c r="V16" s="310">
        <f>CS_PID!V16/VLOOKUP($B16,LEBT[#ALL],4)/VLOOKUP($B16,표2[#ALL],2)</f>
        <v>2799.846397</v>
      </c>
      <c r="W16" s="310">
        <f>CS_PID!W16/VLOOKUP($B16,LEBT[#ALL],4)/VLOOKUP($B16,표2[#ALL],2)</f>
        <v>0</v>
      </c>
      <c r="X16" s="310">
        <f>CS_PID!X16/VLOOKUP($B16,LEBT[#ALL],4)/VLOOKUP($B16,표2[#ALL],2)</f>
        <v>0</v>
      </c>
      <c r="Y16" s="310">
        <f>CS_PID!Y16/VLOOKUP($B16,LEBT[#ALL],4)/VLOOKUP($B16,표2[#ALL],2)</f>
        <v>0</v>
      </c>
      <c r="Z16" s="310">
        <f>CS_PID!Z16/VLOOKUP($B16,LEBT[#ALL],4)/VLOOKUP($B16,표2[#ALL],2)</f>
        <v>0</v>
      </c>
      <c r="AA16" s="310">
        <f>CS_PID!AA16/VLOOKUP($B16,LEBT[#ALL],4)/VLOOKUP($B16,표2[#ALL],2)</f>
        <v>1399.923199</v>
      </c>
      <c r="AB16" s="310">
        <f>CS_PID!AB16/VLOOKUP($B16,LEBT[#ALL],4)/VLOOKUP($B16,표2[#ALL],2)</f>
        <v>1088.829154</v>
      </c>
      <c r="AC16" s="310">
        <f>CS_PID!AC16/VLOOKUP($B16,LEBT[#ALL],4)/VLOOKUP($B16,표2[#ALL],2)</f>
        <v>0</v>
      </c>
      <c r="AD16" s="310">
        <f>CS_PID!AD16/VLOOKUP($B16,LEBT[#ALL],4)/VLOOKUP($B16,표2[#ALL],2)</f>
        <v>0</v>
      </c>
      <c r="AE16" s="310">
        <f>CS_PID!AE16/VLOOKUP($B16,LEBT[#ALL],4)/VLOOKUP($B16,표2[#ALL],2)</f>
        <v>0</v>
      </c>
      <c r="AF16" s="310">
        <f>CS_PID!AF16/VLOOKUP($B16,LEBT[#ALL],4)/VLOOKUP($B16,표2[#ALL],2)</f>
        <v>0</v>
      </c>
      <c r="AG16" s="310">
        <f>CS_PID!AG16/VLOOKUP($B16,LEBT[#ALL],4)/VLOOKUP($B16,표2[#ALL],2)</f>
        <v>155.5470221</v>
      </c>
      <c r="AH16" s="310">
        <f>CS_PID!AH16/VLOOKUP($B16,LEBT[#ALL],4)/VLOOKUP($B16,표2[#ALL],2)</f>
        <v>0</v>
      </c>
      <c r="AI16" s="310">
        <f>CS_PID!AI16/VLOOKUP($B16,LEBT[#ALL],4)/VLOOKUP($B16,표2[#ALL],2)</f>
        <v>0</v>
      </c>
      <c r="AJ16" s="310">
        <f>CS_PID!AJ16/VLOOKUP($B16,LEBT[#ALL],4)/VLOOKUP($B16,표2[#ALL],2)</f>
        <v>0</v>
      </c>
      <c r="AK16" s="310">
        <f>CS_PID!AK16/VLOOKUP($B16,LEBT[#ALL],4)/VLOOKUP($B16,표2[#ALL],2)</f>
        <v>0</v>
      </c>
      <c r="AL16" s="310">
        <f>CS_PID!AL16/VLOOKUP($B16,LEBT[#ALL],4)/VLOOKUP($B16,표2[#ALL],2)</f>
        <v>155.5470221</v>
      </c>
      <c r="AM16" s="310">
        <f>CS_PID!AM16/VLOOKUP($B16,LEBT[#ALL],4)/VLOOKUP($B16,표2[#ALL],2)</f>
        <v>0</v>
      </c>
      <c r="AN16" s="310">
        <f>CS_PID!AN16/VLOOKUP($B16,LEBT[#ALL],4)/VLOOKUP($B16,표2[#ALL],2)</f>
        <v>0</v>
      </c>
      <c r="AO16" s="310">
        <f>CS_PID!AO16/VLOOKUP($B16,LEBT[#ALL],4)/VLOOKUP($B16,표2[#ALL],2)</f>
        <v>0</v>
      </c>
      <c r="AP16" s="310">
        <f>CS_PID!AP16/VLOOKUP($B16,LEBT[#ALL],4)/VLOOKUP($B16,표2[#ALL],2)</f>
        <v>0</v>
      </c>
      <c r="AQ16" s="310">
        <f>CS_PID!AQ16/VLOOKUP($B16,LEBT[#ALL],4)/VLOOKUP($B16,표2[#ALL],2)</f>
        <v>0</v>
      </c>
      <c r="AR16" s="310">
        <f>CS_PID!AR16/VLOOKUP($B16,LEBT[#ALL],4)/VLOOKUP($B16,표2[#ALL],2)</f>
        <v>0</v>
      </c>
      <c r="AS16" s="310">
        <f>CS_PID!AS16/VLOOKUP($B16,LEBT[#ALL],4)/VLOOKUP($B16,표2[#ALL],2)</f>
        <v>0</v>
      </c>
    </row>
    <row r="17">
      <c r="A17" s="141" t="s">
        <v>78</v>
      </c>
      <c r="B17" s="142">
        <v>273.0</v>
      </c>
      <c r="C17" s="310">
        <f>CS_PID!C17/VLOOKUP($B17,LEBT[#ALL],4)/VLOOKUP($B17,표2[#ALL],2)</f>
        <v>0</v>
      </c>
      <c r="D17" s="310">
        <f>CS_PID!D17/VLOOKUP($B17,LEBT[#ALL],4)/VLOOKUP($B17,표2[#ALL],2)</f>
        <v>826.2100856</v>
      </c>
      <c r="E17" s="310">
        <f>CS_PID!E17/VLOOKUP($B17,LEBT[#ALL],4)/VLOOKUP($B17,표2[#ALL],2)</f>
        <v>206.5525214</v>
      </c>
      <c r="F17" s="310">
        <f>CS_PID!F17/VLOOKUP($B17,LEBT[#ALL],4)/VLOOKUP($B17,표2[#ALL],2)</f>
        <v>0</v>
      </c>
      <c r="G17" s="310">
        <f>CS_PID!G17/VLOOKUP($B17,LEBT[#ALL],4)/VLOOKUP($B17,표2[#ALL],2)</f>
        <v>0</v>
      </c>
      <c r="H17" s="310">
        <f>CS_PID!H17/VLOOKUP($B17,LEBT[#ALL],4)/VLOOKUP($B17,표2[#ALL],2)</f>
        <v>206.5525214</v>
      </c>
      <c r="I17" s="310">
        <f>CS_PID!I17/VLOOKUP($B17,LEBT[#ALL],4)/VLOOKUP($B17,표2[#ALL],2)</f>
        <v>413.1050428</v>
      </c>
      <c r="J17" s="310">
        <f>CS_PID!J17/VLOOKUP($B17,LEBT[#ALL],4)/VLOOKUP($B17,표2[#ALL],2)</f>
        <v>1445.86765</v>
      </c>
      <c r="K17" s="310">
        <f>CS_PID!K17/VLOOKUP($B17,LEBT[#ALL],4)/VLOOKUP($B17,표2[#ALL],2)</f>
        <v>0</v>
      </c>
      <c r="L17" s="310">
        <f>CS_PID!L17/VLOOKUP($B17,LEBT[#ALL],4)/VLOOKUP($B17,표2[#ALL],2)</f>
        <v>0</v>
      </c>
      <c r="M17" s="310">
        <f>CS_PID!M17/VLOOKUP($B17,LEBT[#ALL],4)/VLOOKUP($B17,표2[#ALL],2)</f>
        <v>0</v>
      </c>
      <c r="N17" s="310">
        <f>CS_PID!N17/VLOOKUP($B17,LEBT[#ALL],4)/VLOOKUP($B17,표2[#ALL],2)</f>
        <v>0</v>
      </c>
      <c r="O17" s="310">
        <f>CS_PID!O17/VLOOKUP($B17,LEBT[#ALL],4)/VLOOKUP($B17,표2[#ALL],2)</f>
        <v>1032.762607</v>
      </c>
      <c r="P17" s="310">
        <f>CS_PID!P17/VLOOKUP($B17,LEBT[#ALL],4)/VLOOKUP($B17,표2[#ALL],2)</f>
        <v>3511.392864</v>
      </c>
      <c r="Q17" s="310">
        <f>CS_PID!Q17/VLOOKUP($B17,LEBT[#ALL],4)/VLOOKUP($B17,표2[#ALL],2)</f>
        <v>206.5525214</v>
      </c>
      <c r="R17" s="310">
        <f>CS_PID!R17/VLOOKUP($B17,LEBT[#ALL],4)/VLOOKUP($B17,표2[#ALL],2)</f>
        <v>0</v>
      </c>
      <c r="S17" s="310">
        <f>CS_PID!S17/VLOOKUP($B17,LEBT[#ALL],4)/VLOOKUP($B17,표2[#ALL],2)</f>
        <v>0</v>
      </c>
      <c r="T17" s="310">
        <f>CS_PID!T17/VLOOKUP($B17,LEBT[#ALL],4)/VLOOKUP($B17,표2[#ALL],2)</f>
        <v>206.5525214</v>
      </c>
      <c r="U17" s="310">
        <f>CS_PID!U17/VLOOKUP($B17,LEBT[#ALL],4)/VLOOKUP($B17,표2[#ALL],2)</f>
        <v>619.6575642</v>
      </c>
      <c r="V17" s="310">
        <f>CS_PID!V17/VLOOKUP($B17,LEBT[#ALL],4)/VLOOKUP($B17,표2[#ALL],2)</f>
        <v>3098.287821</v>
      </c>
      <c r="W17" s="310">
        <f>CS_PID!W17/VLOOKUP($B17,LEBT[#ALL],4)/VLOOKUP($B17,표2[#ALL],2)</f>
        <v>0</v>
      </c>
      <c r="X17" s="310">
        <f>CS_PID!X17/VLOOKUP($B17,LEBT[#ALL],4)/VLOOKUP($B17,표2[#ALL],2)</f>
        <v>0</v>
      </c>
      <c r="Y17" s="310">
        <f>CS_PID!Y17/VLOOKUP($B17,LEBT[#ALL],4)/VLOOKUP($B17,표2[#ALL],2)</f>
        <v>0</v>
      </c>
      <c r="Z17" s="310">
        <f>CS_PID!Z17/VLOOKUP($B17,LEBT[#ALL],4)/VLOOKUP($B17,표2[#ALL],2)</f>
        <v>0</v>
      </c>
      <c r="AA17" s="310">
        <f>CS_PID!AA17/VLOOKUP($B17,LEBT[#ALL],4)/VLOOKUP($B17,표2[#ALL],2)</f>
        <v>1652.420171</v>
      </c>
      <c r="AB17" s="310">
        <f>CS_PID!AB17/VLOOKUP($B17,LEBT[#ALL],4)/VLOOKUP($B17,표2[#ALL],2)</f>
        <v>413.1050428</v>
      </c>
      <c r="AC17" s="310">
        <f>CS_PID!AC17/VLOOKUP($B17,LEBT[#ALL],4)/VLOOKUP($B17,표2[#ALL],2)</f>
        <v>0</v>
      </c>
      <c r="AD17" s="310">
        <f>CS_PID!AD17/VLOOKUP($B17,LEBT[#ALL],4)/VLOOKUP($B17,표2[#ALL],2)</f>
        <v>0</v>
      </c>
      <c r="AE17" s="310">
        <f>CS_PID!AE17/VLOOKUP($B17,LEBT[#ALL],4)/VLOOKUP($B17,표2[#ALL],2)</f>
        <v>0</v>
      </c>
      <c r="AF17" s="310">
        <f>CS_PID!AF17/VLOOKUP($B17,LEBT[#ALL],4)/VLOOKUP($B17,표2[#ALL],2)</f>
        <v>0</v>
      </c>
      <c r="AG17" s="310">
        <f>CS_PID!AG17/VLOOKUP($B17,LEBT[#ALL],4)/VLOOKUP($B17,표2[#ALL],2)</f>
        <v>0</v>
      </c>
      <c r="AH17" s="310">
        <f>CS_PID!AH17/VLOOKUP($B17,LEBT[#ALL],4)/VLOOKUP($B17,표2[#ALL],2)</f>
        <v>0</v>
      </c>
      <c r="AI17" s="310">
        <f>CS_PID!AI17/VLOOKUP($B17,LEBT[#ALL],4)/VLOOKUP($B17,표2[#ALL],2)</f>
        <v>0</v>
      </c>
      <c r="AJ17" s="310">
        <f>CS_PID!AJ17/VLOOKUP($B17,LEBT[#ALL],4)/VLOOKUP($B17,표2[#ALL],2)</f>
        <v>0</v>
      </c>
      <c r="AK17" s="310">
        <f>CS_PID!AK17/VLOOKUP($B17,LEBT[#ALL],4)/VLOOKUP($B17,표2[#ALL],2)</f>
        <v>0</v>
      </c>
      <c r="AL17" s="310">
        <f>CS_PID!AL17/VLOOKUP($B17,LEBT[#ALL],4)/VLOOKUP($B17,표2[#ALL],2)</f>
        <v>0</v>
      </c>
      <c r="AM17" s="310">
        <f>CS_PID!AM17/VLOOKUP($B17,LEBT[#ALL],4)/VLOOKUP($B17,표2[#ALL],2)</f>
        <v>0</v>
      </c>
      <c r="AN17" s="310">
        <f>CS_PID!AN17/VLOOKUP($B17,LEBT[#ALL],4)/VLOOKUP($B17,표2[#ALL],2)</f>
        <v>0</v>
      </c>
      <c r="AO17" s="310">
        <f>CS_PID!AO17/VLOOKUP($B17,LEBT[#ALL],4)/VLOOKUP($B17,표2[#ALL],2)</f>
        <v>0</v>
      </c>
      <c r="AP17" s="310">
        <f>CS_PID!AP17/VLOOKUP($B17,LEBT[#ALL],4)/VLOOKUP($B17,표2[#ALL],2)</f>
        <v>0</v>
      </c>
      <c r="AQ17" s="310">
        <f>CS_PID!AQ17/VLOOKUP($B17,LEBT[#ALL],4)/VLOOKUP($B17,표2[#ALL],2)</f>
        <v>0</v>
      </c>
      <c r="AR17" s="310">
        <f>CS_PID!AR17/VLOOKUP($B17,LEBT[#ALL],4)/VLOOKUP($B17,표2[#ALL],2)</f>
        <v>0</v>
      </c>
      <c r="AS17" s="310">
        <f>CS_PID!AS17/VLOOKUP($B17,LEBT[#ALL],4)/VLOOKUP($B17,표2[#ALL],2)</f>
        <v>0</v>
      </c>
    </row>
    <row r="18">
      <c r="A18" s="141" t="s">
        <v>78</v>
      </c>
      <c r="B18" s="142">
        <v>274.0</v>
      </c>
      <c r="C18" s="310">
        <f>CS_PID!C18/VLOOKUP($B18,LEBT[#ALL],4)/VLOOKUP($B18,표2[#ALL],2)</f>
        <v>0</v>
      </c>
      <c r="D18" s="310">
        <f>CS_PID!D18/VLOOKUP($B18,LEBT[#ALL],4)/VLOOKUP($B18,표2[#ALL],2)</f>
        <v>1968.185237</v>
      </c>
      <c r="E18" s="310">
        <f>CS_PID!E18/VLOOKUP($B18,LEBT[#ALL],4)/VLOOKUP($B18,표2[#ALL],2)</f>
        <v>562.3386392</v>
      </c>
      <c r="F18" s="310">
        <f>CS_PID!F18/VLOOKUP($B18,LEBT[#ALL],4)/VLOOKUP($B18,표2[#ALL],2)</f>
        <v>140.5846598</v>
      </c>
      <c r="G18" s="310">
        <f>CS_PID!G18/VLOOKUP($B18,LEBT[#ALL],4)/VLOOKUP($B18,표2[#ALL],2)</f>
        <v>0</v>
      </c>
      <c r="H18" s="310">
        <f>CS_PID!H18/VLOOKUP($B18,LEBT[#ALL],4)/VLOOKUP($B18,표2[#ALL],2)</f>
        <v>0</v>
      </c>
      <c r="I18" s="310">
        <f>CS_PID!I18/VLOOKUP($B18,LEBT[#ALL],4)/VLOOKUP($B18,표2[#ALL],2)</f>
        <v>562.3386392</v>
      </c>
      <c r="J18" s="310">
        <f>CS_PID!J18/VLOOKUP($B18,LEBT[#ALL],4)/VLOOKUP($B18,표2[#ALL],2)</f>
        <v>3092.862516</v>
      </c>
      <c r="K18" s="310">
        <f>CS_PID!K18/VLOOKUP($B18,LEBT[#ALL],4)/VLOOKUP($B18,표2[#ALL],2)</f>
        <v>281.1693196</v>
      </c>
      <c r="L18" s="310">
        <f>CS_PID!L18/VLOOKUP($B18,LEBT[#ALL],4)/VLOOKUP($B18,표2[#ALL],2)</f>
        <v>0</v>
      </c>
      <c r="M18" s="310">
        <f>CS_PID!M18/VLOOKUP($B18,LEBT[#ALL],4)/VLOOKUP($B18,표2[#ALL],2)</f>
        <v>0</v>
      </c>
      <c r="N18" s="310">
        <f>CS_PID!N18/VLOOKUP($B18,LEBT[#ALL],4)/VLOOKUP($B18,표2[#ALL],2)</f>
        <v>0</v>
      </c>
      <c r="O18" s="310">
        <f>CS_PID!O18/VLOOKUP($B18,LEBT[#ALL],4)/VLOOKUP($B18,표2[#ALL],2)</f>
        <v>2530.523876</v>
      </c>
      <c r="P18" s="310">
        <f>CS_PID!P18/VLOOKUP($B18,LEBT[#ALL],4)/VLOOKUP($B18,표2[#ALL],2)</f>
        <v>3233.447175</v>
      </c>
      <c r="Q18" s="310">
        <f>CS_PID!Q18/VLOOKUP($B18,LEBT[#ALL],4)/VLOOKUP($B18,표2[#ALL],2)</f>
        <v>281.1693196</v>
      </c>
      <c r="R18" s="310">
        <f>CS_PID!R18/VLOOKUP($B18,LEBT[#ALL],4)/VLOOKUP($B18,표2[#ALL],2)</f>
        <v>0</v>
      </c>
      <c r="S18" s="310">
        <f>CS_PID!S18/VLOOKUP($B18,LEBT[#ALL],4)/VLOOKUP($B18,표2[#ALL],2)</f>
        <v>0</v>
      </c>
      <c r="T18" s="310">
        <f>CS_PID!T18/VLOOKUP($B18,LEBT[#ALL],4)/VLOOKUP($B18,표2[#ALL],2)</f>
        <v>0</v>
      </c>
      <c r="U18" s="310">
        <f>CS_PID!U18/VLOOKUP($B18,LEBT[#ALL],4)/VLOOKUP($B18,표2[#ALL],2)</f>
        <v>1265.261938</v>
      </c>
      <c r="V18" s="310">
        <f>CS_PID!V18/VLOOKUP($B18,LEBT[#ALL],4)/VLOOKUP($B18,표2[#ALL],2)</f>
        <v>2811.693196</v>
      </c>
      <c r="W18" s="310">
        <f>CS_PID!W18/VLOOKUP($B18,LEBT[#ALL],4)/VLOOKUP($B18,표2[#ALL],2)</f>
        <v>0</v>
      </c>
      <c r="X18" s="310">
        <f>CS_PID!X18/VLOOKUP($B18,LEBT[#ALL],4)/VLOOKUP($B18,표2[#ALL],2)</f>
        <v>0</v>
      </c>
      <c r="Y18" s="310">
        <f>CS_PID!Y18/VLOOKUP($B18,LEBT[#ALL],4)/VLOOKUP($B18,표2[#ALL],2)</f>
        <v>0</v>
      </c>
      <c r="Z18" s="310">
        <f>CS_PID!Z18/VLOOKUP($B18,LEBT[#ALL],4)/VLOOKUP($B18,표2[#ALL],2)</f>
        <v>0</v>
      </c>
      <c r="AA18" s="310">
        <f>CS_PID!AA18/VLOOKUP($B18,LEBT[#ALL],4)/VLOOKUP($B18,표2[#ALL],2)</f>
        <v>702.923299</v>
      </c>
      <c r="AB18" s="310">
        <f>CS_PID!AB18/VLOOKUP($B18,LEBT[#ALL],4)/VLOOKUP($B18,표2[#ALL],2)</f>
        <v>562.3386392</v>
      </c>
      <c r="AC18" s="310">
        <f>CS_PID!AC18/VLOOKUP($B18,LEBT[#ALL],4)/VLOOKUP($B18,표2[#ALL],2)</f>
        <v>0</v>
      </c>
      <c r="AD18" s="310">
        <f>CS_PID!AD18/VLOOKUP($B18,LEBT[#ALL],4)/VLOOKUP($B18,표2[#ALL],2)</f>
        <v>0</v>
      </c>
      <c r="AE18" s="310">
        <f>CS_PID!AE18/VLOOKUP($B18,LEBT[#ALL],4)/VLOOKUP($B18,표2[#ALL],2)</f>
        <v>0</v>
      </c>
      <c r="AF18" s="310">
        <f>CS_PID!AF18/VLOOKUP($B18,LEBT[#ALL],4)/VLOOKUP($B18,표2[#ALL],2)</f>
        <v>0</v>
      </c>
      <c r="AG18" s="310">
        <f>CS_PID!AG18/VLOOKUP($B18,LEBT[#ALL],4)/VLOOKUP($B18,표2[#ALL],2)</f>
        <v>562.3386392</v>
      </c>
      <c r="AH18" s="310">
        <f>CS_PID!AH18/VLOOKUP($B18,LEBT[#ALL],4)/VLOOKUP($B18,표2[#ALL],2)</f>
        <v>0</v>
      </c>
      <c r="AI18" s="310">
        <f>CS_PID!AI18/VLOOKUP($B18,LEBT[#ALL],4)/VLOOKUP($B18,표2[#ALL],2)</f>
        <v>0</v>
      </c>
      <c r="AJ18" s="310">
        <f>CS_PID!AJ18/VLOOKUP($B18,LEBT[#ALL],4)/VLOOKUP($B18,표2[#ALL],2)</f>
        <v>0</v>
      </c>
      <c r="AK18" s="310">
        <f>CS_PID!AK18/VLOOKUP($B18,LEBT[#ALL],4)/VLOOKUP($B18,표2[#ALL],2)</f>
        <v>0</v>
      </c>
      <c r="AL18" s="310">
        <f>CS_PID!AL18/VLOOKUP($B18,LEBT[#ALL],4)/VLOOKUP($B18,표2[#ALL],2)</f>
        <v>0</v>
      </c>
      <c r="AM18" s="310">
        <f>CS_PID!AM18/VLOOKUP($B18,LEBT[#ALL],4)/VLOOKUP($B18,표2[#ALL],2)</f>
        <v>0</v>
      </c>
      <c r="AN18" s="310">
        <f>CS_PID!AN18/VLOOKUP($B18,LEBT[#ALL],4)/VLOOKUP($B18,표2[#ALL],2)</f>
        <v>0</v>
      </c>
      <c r="AO18" s="310">
        <f>CS_PID!AO18/VLOOKUP($B18,LEBT[#ALL],4)/VLOOKUP($B18,표2[#ALL],2)</f>
        <v>0</v>
      </c>
      <c r="AP18" s="310">
        <f>CS_PID!AP18/VLOOKUP($B18,LEBT[#ALL],4)/VLOOKUP($B18,표2[#ALL],2)</f>
        <v>0</v>
      </c>
      <c r="AQ18" s="310">
        <f>CS_PID!AQ18/VLOOKUP($B18,LEBT[#ALL],4)/VLOOKUP($B18,표2[#ALL],2)</f>
        <v>0</v>
      </c>
      <c r="AR18" s="310">
        <f>CS_PID!AR18/VLOOKUP($B18,LEBT[#ALL],4)/VLOOKUP($B18,표2[#ALL],2)</f>
        <v>0</v>
      </c>
      <c r="AS18" s="310">
        <f>CS_PID!AS18/VLOOKUP($B18,LEBT[#ALL],4)/VLOOKUP($B18,표2[#ALL],2)</f>
        <v>0</v>
      </c>
    </row>
    <row r="19">
      <c r="A19" s="141" t="s">
        <v>78</v>
      </c>
      <c r="B19" s="142">
        <v>275.0</v>
      </c>
      <c r="C19" s="310">
        <f>CS_PID!C19/VLOOKUP($B19,LEBT[#ALL],4)/VLOOKUP($B19,표2[#ALL],2)</f>
        <v>65.69033264</v>
      </c>
      <c r="D19" s="310">
        <f>CS_PID!D19/VLOOKUP($B19,LEBT[#ALL],4)/VLOOKUP($B19,표2[#ALL],2)</f>
        <v>1248.11632</v>
      </c>
      <c r="E19" s="310">
        <f>CS_PID!E19/VLOOKUP($B19,LEBT[#ALL],4)/VLOOKUP($B19,표2[#ALL],2)</f>
        <v>262.7613306</v>
      </c>
      <c r="F19" s="310">
        <f>CS_PID!F19/VLOOKUP($B19,LEBT[#ALL],4)/VLOOKUP($B19,표2[#ALL],2)</f>
        <v>0</v>
      </c>
      <c r="G19" s="310">
        <f>CS_PID!G19/VLOOKUP($B19,LEBT[#ALL],4)/VLOOKUP($B19,표2[#ALL],2)</f>
        <v>0</v>
      </c>
      <c r="H19" s="310">
        <f>CS_PID!H19/VLOOKUP($B19,LEBT[#ALL],4)/VLOOKUP($B19,표2[#ALL],2)</f>
        <v>328.4516632</v>
      </c>
      <c r="I19" s="310">
        <f>CS_PID!I19/VLOOKUP($B19,LEBT[#ALL],4)/VLOOKUP($B19,표2[#ALL],2)</f>
        <v>1182.425988</v>
      </c>
      <c r="J19" s="310">
        <f>CS_PID!J19/VLOOKUP($B19,LEBT[#ALL],4)/VLOOKUP($B19,표2[#ALL],2)</f>
        <v>2758.993971</v>
      </c>
      <c r="K19" s="310">
        <f>CS_PID!K19/VLOOKUP($B19,LEBT[#ALL],4)/VLOOKUP($B19,표2[#ALL],2)</f>
        <v>197.0709979</v>
      </c>
      <c r="L19" s="310">
        <f>CS_PID!L19/VLOOKUP($B19,LEBT[#ALL],4)/VLOOKUP($B19,표2[#ALL],2)</f>
        <v>0</v>
      </c>
      <c r="M19" s="310">
        <f>CS_PID!M19/VLOOKUP($B19,LEBT[#ALL],4)/VLOOKUP($B19,표2[#ALL],2)</f>
        <v>0</v>
      </c>
      <c r="N19" s="310">
        <f>CS_PID!N19/VLOOKUP($B19,LEBT[#ALL],4)/VLOOKUP($B19,표2[#ALL],2)</f>
        <v>0</v>
      </c>
      <c r="O19" s="310">
        <f>CS_PID!O19/VLOOKUP($B19,LEBT[#ALL],4)/VLOOKUP($B19,표2[#ALL],2)</f>
        <v>2233.47131</v>
      </c>
      <c r="P19" s="310">
        <f>CS_PID!P19/VLOOKUP($B19,LEBT[#ALL],4)/VLOOKUP($B19,표2[#ALL],2)</f>
        <v>2233.47131</v>
      </c>
      <c r="Q19" s="310">
        <f>CS_PID!Q19/VLOOKUP($B19,LEBT[#ALL],4)/VLOOKUP($B19,표2[#ALL],2)</f>
        <v>328.4516632</v>
      </c>
      <c r="R19" s="310">
        <f>CS_PID!R19/VLOOKUP($B19,LEBT[#ALL],4)/VLOOKUP($B19,표2[#ALL],2)</f>
        <v>0</v>
      </c>
      <c r="S19" s="310">
        <f>CS_PID!S19/VLOOKUP($B19,LEBT[#ALL],4)/VLOOKUP($B19,표2[#ALL],2)</f>
        <v>0</v>
      </c>
      <c r="T19" s="310">
        <f>CS_PID!T19/VLOOKUP($B19,LEBT[#ALL],4)/VLOOKUP($B19,표2[#ALL],2)</f>
        <v>65.69033264</v>
      </c>
      <c r="U19" s="310">
        <f>CS_PID!U19/VLOOKUP($B19,LEBT[#ALL],4)/VLOOKUP($B19,표2[#ALL],2)</f>
        <v>1248.11632</v>
      </c>
      <c r="V19" s="310">
        <f>CS_PID!V19/VLOOKUP($B19,LEBT[#ALL],4)/VLOOKUP($B19,표2[#ALL],2)</f>
        <v>2364.851975</v>
      </c>
      <c r="W19" s="310">
        <f>CS_PID!W19/VLOOKUP($B19,LEBT[#ALL],4)/VLOOKUP($B19,표2[#ALL],2)</f>
        <v>131.3806653</v>
      </c>
      <c r="X19" s="310">
        <f>CS_PID!X19/VLOOKUP($B19,LEBT[#ALL],4)/VLOOKUP($B19,표2[#ALL],2)</f>
        <v>0</v>
      </c>
      <c r="Y19" s="310">
        <f>CS_PID!Y19/VLOOKUP($B19,LEBT[#ALL],4)/VLOOKUP($B19,표2[#ALL],2)</f>
        <v>0</v>
      </c>
      <c r="Z19" s="310">
        <f>CS_PID!Z19/VLOOKUP($B19,LEBT[#ALL],4)/VLOOKUP($B19,표2[#ALL],2)</f>
        <v>0</v>
      </c>
      <c r="AA19" s="310">
        <f>CS_PID!AA19/VLOOKUP($B19,LEBT[#ALL],4)/VLOOKUP($B19,표2[#ALL],2)</f>
        <v>853.9743244</v>
      </c>
      <c r="AB19" s="310">
        <f>CS_PID!AB19/VLOOKUP($B19,LEBT[#ALL],4)/VLOOKUP($B19,표2[#ALL],2)</f>
        <v>788.2839917</v>
      </c>
      <c r="AC19" s="310">
        <f>CS_PID!AC19/VLOOKUP($B19,LEBT[#ALL],4)/VLOOKUP($B19,표2[#ALL],2)</f>
        <v>65.69033264</v>
      </c>
      <c r="AD19" s="310">
        <f>CS_PID!AD19/VLOOKUP($B19,LEBT[#ALL],4)/VLOOKUP($B19,표2[#ALL],2)</f>
        <v>0</v>
      </c>
      <c r="AE19" s="310">
        <f>CS_PID!AE19/VLOOKUP($B19,LEBT[#ALL],4)/VLOOKUP($B19,표2[#ALL],2)</f>
        <v>0</v>
      </c>
      <c r="AF19" s="310">
        <f>CS_PID!AF19/VLOOKUP($B19,LEBT[#ALL],4)/VLOOKUP($B19,표2[#ALL],2)</f>
        <v>0</v>
      </c>
      <c r="AG19" s="310">
        <f>CS_PID!AG19/VLOOKUP($B19,LEBT[#ALL],4)/VLOOKUP($B19,표2[#ALL],2)</f>
        <v>197.0709979</v>
      </c>
      <c r="AH19" s="310">
        <f>CS_PID!AH19/VLOOKUP($B19,LEBT[#ALL],4)/VLOOKUP($B19,표2[#ALL],2)</f>
        <v>0</v>
      </c>
      <c r="AI19" s="310">
        <f>CS_PID!AI19/VLOOKUP($B19,LEBT[#ALL],4)/VLOOKUP($B19,표2[#ALL],2)</f>
        <v>0</v>
      </c>
      <c r="AJ19" s="310">
        <f>CS_PID!AJ19/VLOOKUP($B19,LEBT[#ALL],4)/VLOOKUP($B19,표2[#ALL],2)</f>
        <v>0</v>
      </c>
      <c r="AK19" s="310">
        <f>CS_PID!AK19/VLOOKUP($B19,LEBT[#ALL],4)/VLOOKUP($B19,표2[#ALL],2)</f>
        <v>0</v>
      </c>
      <c r="AL19" s="310">
        <f>CS_PID!AL19/VLOOKUP($B19,LEBT[#ALL],4)/VLOOKUP($B19,표2[#ALL],2)</f>
        <v>0</v>
      </c>
      <c r="AM19" s="310">
        <f>CS_PID!AM19/VLOOKUP($B19,LEBT[#ALL],4)/VLOOKUP($B19,표2[#ALL],2)</f>
        <v>0</v>
      </c>
      <c r="AN19" s="310">
        <f>CS_PID!AN19/VLOOKUP($B19,LEBT[#ALL],4)/VLOOKUP($B19,표2[#ALL],2)</f>
        <v>0</v>
      </c>
      <c r="AO19" s="310">
        <f>CS_PID!AO19/VLOOKUP($B19,LEBT[#ALL],4)/VLOOKUP($B19,표2[#ALL],2)</f>
        <v>0</v>
      </c>
      <c r="AP19" s="310">
        <f>CS_PID!AP19/VLOOKUP($B19,LEBT[#ALL],4)/VLOOKUP($B19,표2[#ALL],2)</f>
        <v>0</v>
      </c>
      <c r="AQ19" s="310">
        <f>CS_PID!AQ19/VLOOKUP($B19,LEBT[#ALL],4)/VLOOKUP($B19,표2[#ALL],2)</f>
        <v>0</v>
      </c>
      <c r="AR19" s="310">
        <f>CS_PID!AR19/VLOOKUP($B19,LEBT[#ALL],4)/VLOOKUP($B19,표2[#ALL],2)</f>
        <v>0</v>
      </c>
      <c r="AS19" s="310">
        <f>CS_PID!AS19/VLOOKUP($B19,LEBT[#ALL],4)/VLOOKUP($B19,표2[#ALL],2)</f>
        <v>0</v>
      </c>
    </row>
    <row r="20">
      <c r="A20" s="141" t="s">
        <v>78</v>
      </c>
      <c r="B20" s="142">
        <v>276.0</v>
      </c>
      <c r="C20" s="310">
        <f>CS_PID!C20/VLOOKUP($B20,LEBT[#ALL],4)/VLOOKUP($B20,표2[#ALL],2)</f>
        <v>0</v>
      </c>
      <c r="D20" s="310">
        <f>CS_PID!D20/VLOOKUP($B20,LEBT[#ALL],4)/VLOOKUP($B20,표2[#ALL],2)</f>
        <v>1082.246154</v>
      </c>
      <c r="E20" s="310">
        <f>CS_PID!E20/VLOOKUP($B20,LEBT[#ALL],4)/VLOOKUP($B20,표2[#ALL],2)</f>
        <v>259.7390771</v>
      </c>
      <c r="F20" s="310">
        <f>CS_PID!F20/VLOOKUP($B20,LEBT[#ALL],4)/VLOOKUP($B20,표2[#ALL],2)</f>
        <v>86.57969235</v>
      </c>
      <c r="G20" s="310">
        <f>CS_PID!G20/VLOOKUP($B20,LEBT[#ALL],4)/VLOOKUP($B20,표2[#ALL],2)</f>
        <v>0</v>
      </c>
      <c r="H20" s="310">
        <f>CS_PID!H20/VLOOKUP($B20,LEBT[#ALL],4)/VLOOKUP($B20,표2[#ALL],2)</f>
        <v>129.8695385</v>
      </c>
      <c r="I20" s="310">
        <f>CS_PID!I20/VLOOKUP($B20,LEBT[#ALL],4)/VLOOKUP($B20,표2[#ALL],2)</f>
        <v>822.5070773</v>
      </c>
      <c r="J20" s="310">
        <f>CS_PID!J20/VLOOKUP($B20,LEBT[#ALL],4)/VLOOKUP($B20,표2[#ALL],2)</f>
        <v>1991.332924</v>
      </c>
      <c r="K20" s="310">
        <f>CS_PID!K20/VLOOKUP($B20,LEBT[#ALL],4)/VLOOKUP($B20,표2[#ALL],2)</f>
        <v>173.1593847</v>
      </c>
      <c r="L20" s="310">
        <f>CS_PID!L20/VLOOKUP($B20,LEBT[#ALL],4)/VLOOKUP($B20,표2[#ALL],2)</f>
        <v>0</v>
      </c>
      <c r="M20" s="310">
        <f>CS_PID!M20/VLOOKUP($B20,LEBT[#ALL],4)/VLOOKUP($B20,표2[#ALL],2)</f>
        <v>0</v>
      </c>
      <c r="N20" s="310">
        <f>CS_PID!N20/VLOOKUP($B20,LEBT[#ALL],4)/VLOOKUP($B20,표2[#ALL],2)</f>
        <v>86.57969235</v>
      </c>
      <c r="O20" s="310">
        <f>CS_PID!O20/VLOOKUP($B20,LEBT[#ALL],4)/VLOOKUP($B20,표2[#ALL],2)</f>
        <v>1904.753232</v>
      </c>
      <c r="P20" s="310">
        <f>CS_PID!P20/VLOOKUP($B20,LEBT[#ALL],4)/VLOOKUP($B20,표2[#ALL],2)</f>
        <v>2683.970463</v>
      </c>
      <c r="Q20" s="310">
        <f>CS_PID!Q20/VLOOKUP($B20,LEBT[#ALL],4)/VLOOKUP($B20,표2[#ALL],2)</f>
        <v>389.6086156</v>
      </c>
      <c r="R20" s="310">
        <f>CS_PID!R20/VLOOKUP($B20,LEBT[#ALL],4)/VLOOKUP($B20,표2[#ALL],2)</f>
        <v>0</v>
      </c>
      <c r="S20" s="310">
        <f>CS_PID!S20/VLOOKUP($B20,LEBT[#ALL],4)/VLOOKUP($B20,표2[#ALL],2)</f>
        <v>0</v>
      </c>
      <c r="T20" s="310">
        <f>CS_PID!T20/VLOOKUP($B20,LEBT[#ALL],4)/VLOOKUP($B20,표2[#ALL],2)</f>
        <v>0</v>
      </c>
      <c r="U20" s="310">
        <f>CS_PID!U20/VLOOKUP($B20,LEBT[#ALL],4)/VLOOKUP($B20,표2[#ALL],2)</f>
        <v>1645.014155</v>
      </c>
      <c r="V20" s="310">
        <f>CS_PID!V20/VLOOKUP($B20,LEBT[#ALL],4)/VLOOKUP($B20,표2[#ALL],2)</f>
        <v>2813.840001</v>
      </c>
      <c r="W20" s="310">
        <f>CS_PID!W20/VLOOKUP($B20,LEBT[#ALL],4)/VLOOKUP($B20,표2[#ALL],2)</f>
        <v>216.4492309</v>
      </c>
      <c r="X20" s="310">
        <f>CS_PID!X20/VLOOKUP($B20,LEBT[#ALL],4)/VLOOKUP($B20,표2[#ALL],2)</f>
        <v>0</v>
      </c>
      <c r="Y20" s="310">
        <f>CS_PID!Y20/VLOOKUP($B20,LEBT[#ALL],4)/VLOOKUP($B20,표2[#ALL],2)</f>
        <v>0</v>
      </c>
      <c r="Z20" s="310">
        <f>CS_PID!Z20/VLOOKUP($B20,LEBT[#ALL],4)/VLOOKUP($B20,표2[#ALL],2)</f>
        <v>43.28984618</v>
      </c>
      <c r="AA20" s="310">
        <f>CS_PID!AA20/VLOOKUP($B20,LEBT[#ALL],4)/VLOOKUP($B20,표2[#ALL],2)</f>
        <v>995.6664621</v>
      </c>
      <c r="AB20" s="310">
        <f>CS_PID!AB20/VLOOKUP($B20,LEBT[#ALL],4)/VLOOKUP($B20,표2[#ALL],2)</f>
        <v>519.4781541</v>
      </c>
      <c r="AC20" s="310">
        <f>CS_PID!AC20/VLOOKUP($B20,LEBT[#ALL],4)/VLOOKUP($B20,표2[#ALL],2)</f>
        <v>86.57969235</v>
      </c>
      <c r="AD20" s="310">
        <f>CS_PID!AD20/VLOOKUP($B20,LEBT[#ALL],4)/VLOOKUP($B20,표2[#ALL],2)</f>
        <v>0</v>
      </c>
      <c r="AE20" s="310">
        <f>CS_PID!AE20/VLOOKUP($B20,LEBT[#ALL],4)/VLOOKUP($B20,표2[#ALL],2)</f>
        <v>0</v>
      </c>
      <c r="AF20" s="310">
        <f>CS_PID!AF20/VLOOKUP($B20,LEBT[#ALL],4)/VLOOKUP($B20,표2[#ALL],2)</f>
        <v>43.28984618</v>
      </c>
      <c r="AG20" s="310">
        <f>CS_PID!AG20/VLOOKUP($B20,LEBT[#ALL],4)/VLOOKUP($B20,표2[#ALL],2)</f>
        <v>346.3187694</v>
      </c>
      <c r="AH20" s="310">
        <f>CS_PID!AH20/VLOOKUP($B20,LEBT[#ALL],4)/VLOOKUP($B20,표2[#ALL],2)</f>
        <v>129.8695385</v>
      </c>
      <c r="AI20" s="310">
        <f>CS_PID!AI20/VLOOKUP($B20,LEBT[#ALL],4)/VLOOKUP($B20,표2[#ALL],2)</f>
        <v>0</v>
      </c>
      <c r="AJ20" s="310">
        <f>CS_PID!AJ20/VLOOKUP($B20,LEBT[#ALL],4)/VLOOKUP($B20,표2[#ALL],2)</f>
        <v>0</v>
      </c>
      <c r="AK20" s="310">
        <f>CS_PID!AK20/VLOOKUP($B20,LEBT[#ALL],4)/VLOOKUP($B20,표2[#ALL],2)</f>
        <v>0</v>
      </c>
      <c r="AL20" s="310">
        <f>CS_PID!AL20/VLOOKUP($B20,LEBT[#ALL],4)/VLOOKUP($B20,표2[#ALL],2)</f>
        <v>0</v>
      </c>
      <c r="AM20" s="310">
        <f>CS_PID!AM20/VLOOKUP($B20,LEBT[#ALL],4)/VLOOKUP($B20,표2[#ALL],2)</f>
        <v>0</v>
      </c>
      <c r="AN20" s="310">
        <f>CS_PID!AN20/VLOOKUP($B20,LEBT[#ALL],4)/VLOOKUP($B20,표2[#ALL],2)</f>
        <v>0</v>
      </c>
      <c r="AO20" s="310">
        <f>CS_PID!AO20/VLOOKUP($B20,LEBT[#ALL],4)/VLOOKUP($B20,표2[#ALL],2)</f>
        <v>0</v>
      </c>
      <c r="AP20" s="310">
        <f>CS_PID!AP20/VLOOKUP($B20,LEBT[#ALL],4)/VLOOKUP($B20,표2[#ALL],2)</f>
        <v>0</v>
      </c>
      <c r="AQ20" s="310">
        <f>CS_PID!AQ20/VLOOKUP($B20,LEBT[#ALL],4)/VLOOKUP($B20,표2[#ALL],2)</f>
        <v>0</v>
      </c>
      <c r="AR20" s="310">
        <f>CS_PID!AR20/VLOOKUP($B20,LEBT[#ALL],4)/VLOOKUP($B20,표2[#ALL],2)</f>
        <v>0</v>
      </c>
      <c r="AS20" s="310">
        <f>CS_PID!AS20/VLOOKUP($B20,LEBT[#ALL],4)/VLOOKUP($B20,표2[#ALL],2)</f>
        <v>0</v>
      </c>
    </row>
    <row r="21">
      <c r="A21" s="141" t="s">
        <v>78</v>
      </c>
      <c r="B21" s="142">
        <v>277.0</v>
      </c>
      <c r="C21" s="310">
        <f>CS_PID!C21/VLOOKUP($B21,LEBT[#ALL],4)/VLOOKUP($B21,표2[#ALL],2)</f>
        <v>0</v>
      </c>
      <c r="D21" s="310">
        <f>CS_PID!D21/VLOOKUP($B21,LEBT[#ALL],4)/VLOOKUP($B21,표2[#ALL],2)</f>
        <v>873.5885885</v>
      </c>
      <c r="E21" s="310">
        <f>CS_PID!E21/VLOOKUP($B21,LEBT[#ALL],4)/VLOOKUP($B21,표2[#ALL],2)</f>
        <v>124.7983698</v>
      </c>
      <c r="F21" s="310">
        <f>CS_PID!F21/VLOOKUP($B21,LEBT[#ALL],4)/VLOOKUP($B21,표2[#ALL],2)</f>
        <v>62.39918489</v>
      </c>
      <c r="G21" s="310">
        <f>CS_PID!G21/VLOOKUP($B21,LEBT[#ALL],4)/VLOOKUP($B21,표2[#ALL],2)</f>
        <v>0</v>
      </c>
      <c r="H21" s="310">
        <f>CS_PID!H21/VLOOKUP($B21,LEBT[#ALL],4)/VLOOKUP($B21,표2[#ALL],2)</f>
        <v>62.39918489</v>
      </c>
      <c r="I21" s="310">
        <f>CS_PID!I21/VLOOKUP($B21,LEBT[#ALL],4)/VLOOKUP($B21,표2[#ALL],2)</f>
        <v>686.3910338</v>
      </c>
      <c r="J21" s="310">
        <f>CS_PID!J21/VLOOKUP($B21,LEBT[#ALL],4)/VLOOKUP($B21,표2[#ALL],2)</f>
        <v>1934.374732</v>
      </c>
      <c r="K21" s="310">
        <f>CS_PID!K21/VLOOKUP($B21,LEBT[#ALL],4)/VLOOKUP($B21,표2[#ALL],2)</f>
        <v>0</v>
      </c>
      <c r="L21" s="310">
        <f>CS_PID!L21/VLOOKUP($B21,LEBT[#ALL],4)/VLOOKUP($B21,표2[#ALL],2)</f>
        <v>0</v>
      </c>
      <c r="M21" s="310">
        <f>CS_PID!M21/VLOOKUP($B21,LEBT[#ALL],4)/VLOOKUP($B21,표2[#ALL],2)</f>
        <v>0</v>
      </c>
      <c r="N21" s="310">
        <f>CS_PID!N21/VLOOKUP($B21,LEBT[#ALL],4)/VLOOKUP($B21,표2[#ALL],2)</f>
        <v>62.39918489</v>
      </c>
      <c r="O21" s="310">
        <f>CS_PID!O21/VLOOKUP($B21,LEBT[#ALL],4)/VLOOKUP($B21,표2[#ALL],2)</f>
        <v>1123.185328</v>
      </c>
      <c r="P21" s="310">
        <f>CS_PID!P21/VLOOKUP($B21,LEBT[#ALL],4)/VLOOKUP($B21,표2[#ALL],2)</f>
        <v>2495.967396</v>
      </c>
      <c r="Q21" s="310">
        <f>CS_PID!Q21/VLOOKUP($B21,LEBT[#ALL],4)/VLOOKUP($B21,표2[#ALL],2)</f>
        <v>311.9959245</v>
      </c>
      <c r="R21" s="310">
        <f>CS_PID!R21/VLOOKUP($B21,LEBT[#ALL],4)/VLOOKUP($B21,표2[#ALL],2)</f>
        <v>0</v>
      </c>
      <c r="S21" s="310">
        <f>CS_PID!S21/VLOOKUP($B21,LEBT[#ALL],4)/VLOOKUP($B21,표2[#ALL],2)</f>
        <v>0</v>
      </c>
      <c r="T21" s="310">
        <f>CS_PID!T21/VLOOKUP($B21,LEBT[#ALL],4)/VLOOKUP($B21,표2[#ALL],2)</f>
        <v>62.39918489</v>
      </c>
      <c r="U21" s="310">
        <f>CS_PID!U21/VLOOKUP($B21,LEBT[#ALL],4)/VLOOKUP($B21,표2[#ALL],2)</f>
        <v>1435.181253</v>
      </c>
      <c r="V21" s="310">
        <f>CS_PID!V21/VLOOKUP($B21,LEBT[#ALL],4)/VLOOKUP($B21,표2[#ALL],2)</f>
        <v>2932.76169</v>
      </c>
      <c r="W21" s="310">
        <f>CS_PID!W21/VLOOKUP($B21,LEBT[#ALL],4)/VLOOKUP($B21,표2[#ALL],2)</f>
        <v>249.5967396</v>
      </c>
      <c r="X21" s="310">
        <f>CS_PID!X21/VLOOKUP($B21,LEBT[#ALL],4)/VLOOKUP($B21,표2[#ALL],2)</f>
        <v>0</v>
      </c>
      <c r="Y21" s="310">
        <f>CS_PID!Y21/VLOOKUP($B21,LEBT[#ALL],4)/VLOOKUP($B21,표2[#ALL],2)</f>
        <v>0</v>
      </c>
      <c r="Z21" s="310">
        <f>CS_PID!Z21/VLOOKUP($B21,LEBT[#ALL],4)/VLOOKUP($B21,표2[#ALL],2)</f>
        <v>0</v>
      </c>
      <c r="AA21" s="310">
        <f>CS_PID!AA21/VLOOKUP($B21,LEBT[#ALL],4)/VLOOKUP($B21,표2[#ALL],2)</f>
        <v>748.7902187</v>
      </c>
      <c r="AB21" s="310">
        <f>CS_PID!AB21/VLOOKUP($B21,LEBT[#ALL],4)/VLOOKUP($B21,표2[#ALL],2)</f>
        <v>748.7902187</v>
      </c>
      <c r="AC21" s="310">
        <f>CS_PID!AC21/VLOOKUP($B21,LEBT[#ALL],4)/VLOOKUP($B21,표2[#ALL],2)</f>
        <v>0</v>
      </c>
      <c r="AD21" s="310">
        <f>CS_PID!AD21/VLOOKUP($B21,LEBT[#ALL],4)/VLOOKUP($B21,표2[#ALL],2)</f>
        <v>0</v>
      </c>
      <c r="AE21" s="310">
        <f>CS_PID!AE21/VLOOKUP($B21,LEBT[#ALL],4)/VLOOKUP($B21,표2[#ALL],2)</f>
        <v>0</v>
      </c>
      <c r="AF21" s="310">
        <f>CS_PID!AF21/VLOOKUP($B21,LEBT[#ALL],4)/VLOOKUP($B21,표2[#ALL],2)</f>
        <v>0</v>
      </c>
      <c r="AG21" s="310">
        <f>CS_PID!AG21/VLOOKUP($B21,LEBT[#ALL],4)/VLOOKUP($B21,표2[#ALL],2)</f>
        <v>124.7983698</v>
      </c>
      <c r="AH21" s="310">
        <f>CS_PID!AH21/VLOOKUP($B21,LEBT[#ALL],4)/VLOOKUP($B21,표2[#ALL],2)</f>
        <v>62.39918489</v>
      </c>
      <c r="AI21" s="310">
        <f>CS_PID!AI21/VLOOKUP($B21,LEBT[#ALL],4)/VLOOKUP($B21,표2[#ALL],2)</f>
        <v>0</v>
      </c>
      <c r="AJ21" s="310">
        <f>CS_PID!AJ21/VLOOKUP($B21,LEBT[#ALL],4)/VLOOKUP($B21,표2[#ALL],2)</f>
        <v>0</v>
      </c>
      <c r="AK21" s="310">
        <f>CS_PID!AK21/VLOOKUP($B21,LEBT[#ALL],4)/VLOOKUP($B21,표2[#ALL],2)</f>
        <v>0</v>
      </c>
      <c r="AL21" s="310">
        <f>CS_PID!AL21/VLOOKUP($B21,LEBT[#ALL],4)/VLOOKUP($B21,표2[#ALL],2)</f>
        <v>0</v>
      </c>
      <c r="AM21" s="310">
        <f>CS_PID!AM21/VLOOKUP($B21,LEBT[#ALL],4)/VLOOKUP($B21,표2[#ALL],2)</f>
        <v>0</v>
      </c>
      <c r="AN21" s="310">
        <f>CS_PID!AN21/VLOOKUP($B21,LEBT[#ALL],4)/VLOOKUP($B21,표2[#ALL],2)</f>
        <v>0</v>
      </c>
      <c r="AO21" s="310">
        <f>CS_PID!AO21/VLOOKUP($B21,LEBT[#ALL],4)/VLOOKUP($B21,표2[#ALL],2)</f>
        <v>0</v>
      </c>
      <c r="AP21" s="310">
        <f>CS_PID!AP21/VLOOKUP($B21,LEBT[#ALL],4)/VLOOKUP($B21,표2[#ALL],2)</f>
        <v>0</v>
      </c>
      <c r="AQ21" s="310">
        <f>CS_PID!AQ21/VLOOKUP($B21,LEBT[#ALL],4)/VLOOKUP($B21,표2[#ALL],2)</f>
        <v>0</v>
      </c>
      <c r="AR21" s="310">
        <f>CS_PID!AR21/VLOOKUP($B21,LEBT[#ALL],4)/VLOOKUP($B21,표2[#ALL],2)</f>
        <v>0</v>
      </c>
      <c r="AS21" s="310">
        <f>CS_PID!AS21/VLOOKUP($B21,LEBT[#ALL],4)/VLOOKUP($B21,표2[#ALL],2)</f>
        <v>0</v>
      </c>
    </row>
    <row r="22">
      <c r="A22" s="141" t="s">
        <v>78</v>
      </c>
      <c r="B22" s="142">
        <v>278.0</v>
      </c>
      <c r="C22" s="310">
        <f>CS_PID!C22/VLOOKUP($B22,LEBT[#ALL],4)/VLOOKUP($B22,표2[#ALL],2)</f>
        <v>95.24487064</v>
      </c>
      <c r="D22" s="310">
        <f>CS_PID!D22/VLOOKUP($B22,LEBT[#ALL],4)/VLOOKUP($B22,표2[#ALL],2)</f>
        <v>1095.316012</v>
      </c>
      <c r="E22" s="310">
        <f>CS_PID!E22/VLOOKUP($B22,LEBT[#ALL],4)/VLOOKUP($B22,표2[#ALL],2)</f>
        <v>476.2243532</v>
      </c>
      <c r="F22" s="310">
        <f>CS_PID!F22/VLOOKUP($B22,LEBT[#ALL],4)/VLOOKUP($B22,표2[#ALL],2)</f>
        <v>0</v>
      </c>
      <c r="G22" s="310">
        <f>CS_PID!G22/VLOOKUP($B22,LEBT[#ALL],4)/VLOOKUP($B22,표2[#ALL],2)</f>
        <v>0</v>
      </c>
      <c r="H22" s="310">
        <f>CS_PID!H22/VLOOKUP($B22,LEBT[#ALL],4)/VLOOKUP($B22,표2[#ALL],2)</f>
        <v>47.62243532</v>
      </c>
      <c r="I22" s="310">
        <f>CS_PID!I22/VLOOKUP($B22,LEBT[#ALL],4)/VLOOKUP($B22,표2[#ALL],2)</f>
        <v>1238.183318</v>
      </c>
      <c r="J22" s="310">
        <f>CS_PID!J22/VLOOKUP($B22,LEBT[#ALL],4)/VLOOKUP($B22,표2[#ALL],2)</f>
        <v>1952.519848</v>
      </c>
      <c r="K22" s="310">
        <f>CS_PID!K22/VLOOKUP($B22,LEBT[#ALL],4)/VLOOKUP($B22,표2[#ALL],2)</f>
        <v>95.24487064</v>
      </c>
      <c r="L22" s="310">
        <f>CS_PID!L22/VLOOKUP($B22,LEBT[#ALL],4)/VLOOKUP($B22,표2[#ALL],2)</f>
        <v>0</v>
      </c>
      <c r="M22" s="310">
        <f>CS_PID!M22/VLOOKUP($B22,LEBT[#ALL],4)/VLOOKUP($B22,표2[#ALL],2)</f>
        <v>0</v>
      </c>
      <c r="N22" s="310">
        <f>CS_PID!N22/VLOOKUP($B22,LEBT[#ALL],4)/VLOOKUP($B22,표2[#ALL],2)</f>
        <v>0</v>
      </c>
      <c r="O22" s="310">
        <f>CS_PID!O22/VLOOKUP($B22,LEBT[#ALL],4)/VLOOKUP($B22,표2[#ALL],2)</f>
        <v>2000.142283</v>
      </c>
      <c r="P22" s="310">
        <f>CS_PID!P22/VLOOKUP($B22,LEBT[#ALL],4)/VLOOKUP($B22,표2[#ALL],2)</f>
        <v>2571.611507</v>
      </c>
      <c r="Q22" s="310">
        <f>CS_PID!Q22/VLOOKUP($B22,LEBT[#ALL],4)/VLOOKUP($B22,표2[#ALL],2)</f>
        <v>142.867306</v>
      </c>
      <c r="R22" s="310">
        <f>CS_PID!R22/VLOOKUP($B22,LEBT[#ALL],4)/VLOOKUP($B22,표2[#ALL],2)</f>
        <v>0</v>
      </c>
      <c r="S22" s="310">
        <f>CS_PID!S22/VLOOKUP($B22,LEBT[#ALL],4)/VLOOKUP($B22,표2[#ALL],2)</f>
        <v>0</v>
      </c>
      <c r="T22" s="310">
        <f>CS_PID!T22/VLOOKUP($B22,LEBT[#ALL],4)/VLOOKUP($B22,표2[#ALL],2)</f>
        <v>47.62243532</v>
      </c>
      <c r="U22" s="310">
        <f>CS_PID!U22/VLOOKUP($B22,LEBT[#ALL],4)/VLOOKUP($B22,표2[#ALL],2)</f>
        <v>1190.560883</v>
      </c>
      <c r="V22" s="310">
        <f>CS_PID!V22/VLOOKUP($B22,LEBT[#ALL],4)/VLOOKUP($B22,표2[#ALL],2)</f>
        <v>2714.478813</v>
      </c>
      <c r="W22" s="310">
        <f>CS_PID!W22/VLOOKUP($B22,LEBT[#ALL],4)/VLOOKUP($B22,표2[#ALL],2)</f>
        <v>0</v>
      </c>
      <c r="X22" s="310">
        <f>CS_PID!X22/VLOOKUP($B22,LEBT[#ALL],4)/VLOOKUP($B22,표2[#ALL],2)</f>
        <v>0</v>
      </c>
      <c r="Y22" s="310">
        <f>CS_PID!Y22/VLOOKUP($B22,LEBT[#ALL],4)/VLOOKUP($B22,표2[#ALL],2)</f>
        <v>0</v>
      </c>
      <c r="Z22" s="310">
        <f>CS_PID!Z22/VLOOKUP($B22,LEBT[#ALL],4)/VLOOKUP($B22,표2[#ALL],2)</f>
        <v>0</v>
      </c>
      <c r="AA22" s="310">
        <f>CS_PID!AA22/VLOOKUP($B22,LEBT[#ALL],4)/VLOOKUP($B22,표2[#ALL],2)</f>
        <v>1190.560883</v>
      </c>
      <c r="AB22" s="310">
        <f>CS_PID!AB22/VLOOKUP($B22,LEBT[#ALL],4)/VLOOKUP($B22,표2[#ALL],2)</f>
        <v>619.0916592</v>
      </c>
      <c r="AC22" s="310">
        <f>CS_PID!AC22/VLOOKUP($B22,LEBT[#ALL],4)/VLOOKUP($B22,표2[#ALL],2)</f>
        <v>47.62243532</v>
      </c>
      <c r="AD22" s="310">
        <f>CS_PID!AD22/VLOOKUP($B22,LEBT[#ALL],4)/VLOOKUP($B22,표2[#ALL],2)</f>
        <v>0</v>
      </c>
      <c r="AE22" s="310">
        <f>CS_PID!AE22/VLOOKUP($B22,LEBT[#ALL],4)/VLOOKUP($B22,표2[#ALL],2)</f>
        <v>0</v>
      </c>
      <c r="AF22" s="310">
        <f>CS_PID!AF22/VLOOKUP($B22,LEBT[#ALL],4)/VLOOKUP($B22,표2[#ALL],2)</f>
        <v>0</v>
      </c>
      <c r="AG22" s="310">
        <f>CS_PID!AG22/VLOOKUP($B22,LEBT[#ALL],4)/VLOOKUP($B22,표2[#ALL],2)</f>
        <v>95.24487064</v>
      </c>
      <c r="AH22" s="310">
        <f>CS_PID!AH22/VLOOKUP($B22,LEBT[#ALL],4)/VLOOKUP($B22,표2[#ALL],2)</f>
        <v>0</v>
      </c>
      <c r="AI22" s="310">
        <f>CS_PID!AI22/VLOOKUP($B22,LEBT[#ALL],4)/VLOOKUP($B22,표2[#ALL],2)</f>
        <v>0</v>
      </c>
      <c r="AJ22" s="310">
        <f>CS_PID!AJ22/VLOOKUP($B22,LEBT[#ALL],4)/VLOOKUP($B22,표2[#ALL],2)</f>
        <v>0</v>
      </c>
      <c r="AK22" s="310">
        <f>CS_PID!AK22/VLOOKUP($B22,LEBT[#ALL],4)/VLOOKUP($B22,표2[#ALL],2)</f>
        <v>0</v>
      </c>
      <c r="AL22" s="310">
        <f>CS_PID!AL22/VLOOKUP($B22,LEBT[#ALL],4)/VLOOKUP($B22,표2[#ALL],2)</f>
        <v>0</v>
      </c>
      <c r="AM22" s="310">
        <f>CS_PID!AM22/VLOOKUP($B22,LEBT[#ALL],4)/VLOOKUP($B22,표2[#ALL],2)</f>
        <v>0</v>
      </c>
      <c r="AN22" s="310">
        <f>CS_PID!AN22/VLOOKUP($B22,LEBT[#ALL],4)/VLOOKUP($B22,표2[#ALL],2)</f>
        <v>0</v>
      </c>
      <c r="AO22" s="310">
        <f>CS_PID!AO22/VLOOKUP($B22,LEBT[#ALL],4)/VLOOKUP($B22,표2[#ALL],2)</f>
        <v>0</v>
      </c>
      <c r="AP22" s="310">
        <f>CS_PID!AP22/VLOOKUP($B22,LEBT[#ALL],4)/VLOOKUP($B22,표2[#ALL],2)</f>
        <v>0</v>
      </c>
      <c r="AQ22" s="310">
        <f>CS_PID!AQ22/VLOOKUP($B22,LEBT[#ALL],4)/VLOOKUP($B22,표2[#ALL],2)</f>
        <v>0</v>
      </c>
      <c r="AR22" s="310">
        <f>CS_PID!AR22/VLOOKUP($B22,LEBT[#ALL],4)/VLOOKUP($B22,표2[#ALL],2)</f>
        <v>0</v>
      </c>
      <c r="AS22" s="310">
        <f>CS_PID!AS22/VLOOKUP($B22,LEBT[#ALL],4)/VLOOKUP($B22,표2[#ALL],2)</f>
        <v>0</v>
      </c>
    </row>
    <row r="23">
      <c r="A23" s="141" t="s">
        <v>78</v>
      </c>
      <c r="B23" s="142">
        <v>279.0</v>
      </c>
      <c r="C23" s="310">
        <f>CS_PID!C23/VLOOKUP($B23,LEBT[#ALL],4)/VLOOKUP($B23,표2[#ALL],2)</f>
        <v>0</v>
      </c>
      <c r="D23" s="310">
        <f>CS_PID!D23/VLOOKUP($B23,LEBT[#ALL],4)/VLOOKUP($B23,표2[#ALL],2)</f>
        <v>981.1251063</v>
      </c>
      <c r="E23" s="310">
        <f>CS_PID!E23/VLOOKUP($B23,LEBT[#ALL],4)/VLOOKUP($B23,표2[#ALL],2)</f>
        <v>490.5625531</v>
      </c>
      <c r="F23" s="310">
        <f>CS_PID!F23/VLOOKUP($B23,LEBT[#ALL],4)/VLOOKUP($B23,표2[#ALL],2)</f>
        <v>0</v>
      </c>
      <c r="G23" s="310">
        <f>CS_PID!G23/VLOOKUP($B23,LEBT[#ALL],4)/VLOOKUP($B23,표2[#ALL],2)</f>
        <v>0</v>
      </c>
      <c r="H23" s="310">
        <f>CS_PID!H23/VLOOKUP($B23,LEBT[#ALL],4)/VLOOKUP($B23,표2[#ALL],2)</f>
        <v>0</v>
      </c>
      <c r="I23" s="310">
        <f>CS_PID!I23/VLOOKUP($B23,LEBT[#ALL],4)/VLOOKUP($B23,표2[#ALL],2)</f>
        <v>1226.406383</v>
      </c>
      <c r="J23" s="310">
        <f>CS_PID!J23/VLOOKUP($B23,LEBT[#ALL],4)/VLOOKUP($B23,표2[#ALL],2)</f>
        <v>2207.531489</v>
      </c>
      <c r="K23" s="310">
        <f>CS_PID!K23/VLOOKUP($B23,LEBT[#ALL],4)/VLOOKUP($B23,표2[#ALL],2)</f>
        <v>245.2812766</v>
      </c>
      <c r="L23" s="310">
        <f>CS_PID!L23/VLOOKUP($B23,LEBT[#ALL],4)/VLOOKUP($B23,표2[#ALL],2)</f>
        <v>0</v>
      </c>
      <c r="M23" s="310">
        <f>CS_PID!M23/VLOOKUP($B23,LEBT[#ALL],4)/VLOOKUP($B23,표2[#ALL],2)</f>
        <v>0</v>
      </c>
      <c r="N23" s="310">
        <f>CS_PID!N23/VLOOKUP($B23,LEBT[#ALL],4)/VLOOKUP($B23,표2[#ALL],2)</f>
        <v>0</v>
      </c>
      <c r="O23" s="310">
        <f>CS_PID!O23/VLOOKUP($B23,LEBT[#ALL],4)/VLOOKUP($B23,표2[#ALL],2)</f>
        <v>2207.531489</v>
      </c>
      <c r="P23" s="310">
        <f>CS_PID!P23/VLOOKUP($B23,LEBT[#ALL],4)/VLOOKUP($B23,표2[#ALL],2)</f>
        <v>2943.375319</v>
      </c>
      <c r="Q23" s="310">
        <f>CS_PID!Q23/VLOOKUP($B23,LEBT[#ALL],4)/VLOOKUP($B23,표2[#ALL],2)</f>
        <v>490.5625531</v>
      </c>
      <c r="R23" s="310">
        <f>CS_PID!R23/VLOOKUP($B23,LEBT[#ALL],4)/VLOOKUP($B23,표2[#ALL],2)</f>
        <v>0</v>
      </c>
      <c r="S23" s="310">
        <f>CS_PID!S23/VLOOKUP($B23,LEBT[#ALL],4)/VLOOKUP($B23,표2[#ALL],2)</f>
        <v>0</v>
      </c>
      <c r="T23" s="310">
        <f>CS_PID!T23/VLOOKUP($B23,LEBT[#ALL],4)/VLOOKUP($B23,표2[#ALL],2)</f>
        <v>0</v>
      </c>
      <c r="U23" s="310">
        <f>CS_PID!U23/VLOOKUP($B23,LEBT[#ALL],4)/VLOOKUP($B23,표2[#ALL],2)</f>
        <v>1716.968936</v>
      </c>
      <c r="V23" s="310">
        <f>CS_PID!V23/VLOOKUP($B23,LEBT[#ALL],4)/VLOOKUP($B23,표2[#ALL],2)</f>
        <v>5150.906808</v>
      </c>
      <c r="W23" s="310">
        <f>CS_PID!W23/VLOOKUP($B23,LEBT[#ALL],4)/VLOOKUP($B23,표2[#ALL],2)</f>
        <v>245.2812766</v>
      </c>
      <c r="X23" s="310">
        <f>CS_PID!X23/VLOOKUP($B23,LEBT[#ALL],4)/VLOOKUP($B23,표2[#ALL],2)</f>
        <v>0</v>
      </c>
      <c r="Y23" s="310">
        <f>CS_PID!Y23/VLOOKUP($B23,LEBT[#ALL],4)/VLOOKUP($B23,표2[#ALL],2)</f>
        <v>0</v>
      </c>
      <c r="Z23" s="310">
        <f>CS_PID!Z23/VLOOKUP($B23,LEBT[#ALL],4)/VLOOKUP($B23,표2[#ALL],2)</f>
        <v>0</v>
      </c>
      <c r="AA23" s="310">
        <f>CS_PID!AA23/VLOOKUP($B23,LEBT[#ALL],4)/VLOOKUP($B23,표2[#ALL],2)</f>
        <v>1226.406383</v>
      </c>
      <c r="AB23" s="310">
        <f>CS_PID!AB23/VLOOKUP($B23,LEBT[#ALL],4)/VLOOKUP($B23,표2[#ALL],2)</f>
        <v>490.5625531</v>
      </c>
      <c r="AC23" s="310">
        <f>CS_PID!AC23/VLOOKUP($B23,LEBT[#ALL],4)/VLOOKUP($B23,표2[#ALL],2)</f>
        <v>0</v>
      </c>
      <c r="AD23" s="310">
        <f>CS_PID!AD23/VLOOKUP($B23,LEBT[#ALL],4)/VLOOKUP($B23,표2[#ALL],2)</f>
        <v>0</v>
      </c>
      <c r="AE23" s="310">
        <f>CS_PID!AE23/VLOOKUP($B23,LEBT[#ALL],4)/VLOOKUP($B23,표2[#ALL],2)</f>
        <v>0</v>
      </c>
      <c r="AF23" s="310">
        <f>CS_PID!AF23/VLOOKUP($B23,LEBT[#ALL],4)/VLOOKUP($B23,표2[#ALL],2)</f>
        <v>0</v>
      </c>
      <c r="AG23" s="310">
        <f>CS_PID!AG23/VLOOKUP($B23,LEBT[#ALL],4)/VLOOKUP($B23,표2[#ALL],2)</f>
        <v>0</v>
      </c>
      <c r="AH23" s="310">
        <f>CS_PID!AH23/VLOOKUP($B23,LEBT[#ALL],4)/VLOOKUP($B23,표2[#ALL],2)</f>
        <v>490.5625531</v>
      </c>
      <c r="AI23" s="310">
        <f>CS_PID!AI23/VLOOKUP($B23,LEBT[#ALL],4)/VLOOKUP($B23,표2[#ALL],2)</f>
        <v>0</v>
      </c>
      <c r="AJ23" s="310">
        <f>CS_PID!AJ23/VLOOKUP($B23,LEBT[#ALL],4)/VLOOKUP($B23,표2[#ALL],2)</f>
        <v>0</v>
      </c>
      <c r="AK23" s="310">
        <f>CS_PID!AK23/VLOOKUP($B23,LEBT[#ALL],4)/VLOOKUP($B23,표2[#ALL],2)</f>
        <v>0</v>
      </c>
      <c r="AL23" s="310">
        <f>CS_PID!AL23/VLOOKUP($B23,LEBT[#ALL],4)/VLOOKUP($B23,표2[#ALL],2)</f>
        <v>0</v>
      </c>
      <c r="AM23" s="310">
        <f>CS_PID!AM23/VLOOKUP($B23,LEBT[#ALL],4)/VLOOKUP($B23,표2[#ALL],2)</f>
        <v>0</v>
      </c>
      <c r="AN23" s="310">
        <f>CS_PID!AN23/VLOOKUP($B23,LEBT[#ALL],4)/VLOOKUP($B23,표2[#ALL],2)</f>
        <v>0</v>
      </c>
      <c r="AO23" s="310">
        <f>CS_PID!AO23/VLOOKUP($B23,LEBT[#ALL],4)/VLOOKUP($B23,표2[#ALL],2)</f>
        <v>0</v>
      </c>
      <c r="AP23" s="310">
        <f>CS_PID!AP23/VLOOKUP($B23,LEBT[#ALL],4)/VLOOKUP($B23,표2[#ALL],2)</f>
        <v>0</v>
      </c>
      <c r="AQ23" s="310">
        <f>CS_PID!AQ23/VLOOKUP($B23,LEBT[#ALL],4)/VLOOKUP($B23,표2[#ALL],2)</f>
        <v>0</v>
      </c>
      <c r="AR23" s="310">
        <f>CS_PID!AR23/VLOOKUP($B23,LEBT[#ALL],4)/VLOOKUP($B23,표2[#ALL],2)</f>
        <v>0</v>
      </c>
      <c r="AS23" s="310">
        <f>CS_PID!AS23/VLOOKUP($B23,LEBT[#ALL],4)/VLOOKUP($B23,표2[#ALL],2)</f>
        <v>0</v>
      </c>
    </row>
    <row r="24">
      <c r="A24" s="141" t="s">
        <v>78</v>
      </c>
      <c r="B24" s="142">
        <v>280.0</v>
      </c>
      <c r="C24" s="310">
        <f>CS_PID!C24/VLOOKUP($B24,LEBT[#ALL],4)/VLOOKUP($B24,표2[#ALL],2)</f>
        <v>0</v>
      </c>
      <c r="D24" s="310">
        <f>CS_PID!D24/VLOOKUP($B24,LEBT[#ALL],4)/VLOOKUP($B24,표2[#ALL],2)</f>
        <v>1408.148473</v>
      </c>
      <c r="E24" s="310">
        <f>CS_PID!E24/VLOOKUP($B24,LEBT[#ALL],4)/VLOOKUP($B24,표2[#ALL],2)</f>
        <v>528.0556775</v>
      </c>
      <c r="F24" s="310">
        <f>CS_PID!F24/VLOOKUP($B24,LEBT[#ALL],4)/VLOOKUP($B24,표2[#ALL],2)</f>
        <v>0</v>
      </c>
      <c r="G24" s="310">
        <f>CS_PID!G24/VLOOKUP($B24,LEBT[#ALL],4)/VLOOKUP($B24,표2[#ALL],2)</f>
        <v>0</v>
      </c>
      <c r="H24" s="310">
        <f>CS_PID!H24/VLOOKUP($B24,LEBT[#ALL],4)/VLOOKUP($B24,표2[#ALL],2)</f>
        <v>0</v>
      </c>
      <c r="I24" s="310">
        <f>CS_PID!I24/VLOOKUP($B24,LEBT[#ALL],4)/VLOOKUP($B24,표2[#ALL],2)</f>
        <v>880.0927958</v>
      </c>
      <c r="J24" s="310">
        <f>CS_PID!J24/VLOOKUP($B24,LEBT[#ALL],4)/VLOOKUP($B24,표2[#ALL],2)</f>
        <v>2464.259828</v>
      </c>
      <c r="K24" s="310">
        <f>CS_PID!K24/VLOOKUP($B24,LEBT[#ALL],4)/VLOOKUP($B24,표2[#ALL],2)</f>
        <v>176.0185592</v>
      </c>
      <c r="L24" s="310">
        <f>CS_PID!L24/VLOOKUP($B24,LEBT[#ALL],4)/VLOOKUP($B24,표2[#ALL],2)</f>
        <v>0</v>
      </c>
      <c r="M24" s="310">
        <f>CS_PID!M24/VLOOKUP($B24,LEBT[#ALL],4)/VLOOKUP($B24,표2[#ALL],2)</f>
        <v>0</v>
      </c>
      <c r="N24" s="310">
        <f>CS_PID!N24/VLOOKUP($B24,LEBT[#ALL],4)/VLOOKUP($B24,표2[#ALL],2)</f>
        <v>0</v>
      </c>
      <c r="O24" s="310">
        <f>CS_PID!O24/VLOOKUP($B24,LEBT[#ALL],4)/VLOOKUP($B24,표2[#ALL],2)</f>
        <v>1936.204151</v>
      </c>
      <c r="P24" s="310">
        <f>CS_PID!P24/VLOOKUP($B24,LEBT[#ALL],4)/VLOOKUP($B24,표2[#ALL],2)</f>
        <v>2992.315506</v>
      </c>
      <c r="Q24" s="310">
        <f>CS_PID!Q24/VLOOKUP($B24,LEBT[#ALL],4)/VLOOKUP($B24,표2[#ALL],2)</f>
        <v>0</v>
      </c>
      <c r="R24" s="310">
        <f>CS_PID!R24/VLOOKUP($B24,LEBT[#ALL],4)/VLOOKUP($B24,표2[#ALL],2)</f>
        <v>0</v>
      </c>
      <c r="S24" s="310">
        <f>CS_PID!S24/VLOOKUP($B24,LEBT[#ALL],4)/VLOOKUP($B24,표2[#ALL],2)</f>
        <v>0</v>
      </c>
      <c r="T24" s="310">
        <f>CS_PID!T24/VLOOKUP($B24,LEBT[#ALL],4)/VLOOKUP($B24,표2[#ALL],2)</f>
        <v>176.0185592</v>
      </c>
      <c r="U24" s="310">
        <f>CS_PID!U24/VLOOKUP($B24,LEBT[#ALL],4)/VLOOKUP($B24,표2[#ALL],2)</f>
        <v>1584.167032</v>
      </c>
      <c r="V24" s="310">
        <f>CS_PID!V24/VLOOKUP($B24,LEBT[#ALL],4)/VLOOKUP($B24,표2[#ALL],2)</f>
        <v>2640.278387</v>
      </c>
      <c r="W24" s="310">
        <f>CS_PID!W24/VLOOKUP($B24,LEBT[#ALL],4)/VLOOKUP($B24,표2[#ALL],2)</f>
        <v>0</v>
      </c>
      <c r="X24" s="310">
        <f>CS_PID!X24/VLOOKUP($B24,LEBT[#ALL],4)/VLOOKUP($B24,표2[#ALL],2)</f>
        <v>0</v>
      </c>
      <c r="Y24" s="310">
        <f>CS_PID!Y24/VLOOKUP($B24,LEBT[#ALL],4)/VLOOKUP($B24,표2[#ALL],2)</f>
        <v>0</v>
      </c>
      <c r="Z24" s="310">
        <f>CS_PID!Z24/VLOOKUP($B24,LEBT[#ALL],4)/VLOOKUP($B24,표2[#ALL],2)</f>
        <v>0</v>
      </c>
      <c r="AA24" s="310">
        <f>CS_PID!AA24/VLOOKUP($B24,LEBT[#ALL],4)/VLOOKUP($B24,표2[#ALL],2)</f>
        <v>704.0742366</v>
      </c>
      <c r="AB24" s="310">
        <f>CS_PID!AB24/VLOOKUP($B24,LEBT[#ALL],4)/VLOOKUP($B24,표2[#ALL],2)</f>
        <v>528.0556775</v>
      </c>
      <c r="AC24" s="310">
        <f>CS_PID!AC24/VLOOKUP($B24,LEBT[#ALL],4)/VLOOKUP($B24,표2[#ALL],2)</f>
        <v>0</v>
      </c>
      <c r="AD24" s="310">
        <f>CS_PID!AD24/VLOOKUP($B24,LEBT[#ALL],4)/VLOOKUP($B24,표2[#ALL],2)</f>
        <v>0</v>
      </c>
      <c r="AE24" s="310">
        <f>CS_PID!AE24/VLOOKUP($B24,LEBT[#ALL],4)/VLOOKUP($B24,표2[#ALL],2)</f>
        <v>0</v>
      </c>
      <c r="AF24" s="310">
        <f>CS_PID!AF24/VLOOKUP($B24,LEBT[#ALL],4)/VLOOKUP($B24,표2[#ALL],2)</f>
        <v>0</v>
      </c>
      <c r="AG24" s="310">
        <f>CS_PID!AG24/VLOOKUP($B24,LEBT[#ALL],4)/VLOOKUP($B24,표2[#ALL],2)</f>
        <v>0</v>
      </c>
      <c r="AH24" s="310">
        <f>CS_PID!AH24/VLOOKUP($B24,LEBT[#ALL],4)/VLOOKUP($B24,표2[#ALL],2)</f>
        <v>0</v>
      </c>
      <c r="AI24" s="310">
        <f>CS_PID!AI24/VLOOKUP($B24,LEBT[#ALL],4)/VLOOKUP($B24,표2[#ALL],2)</f>
        <v>0</v>
      </c>
      <c r="AJ24" s="310">
        <f>CS_PID!AJ24/VLOOKUP($B24,LEBT[#ALL],4)/VLOOKUP($B24,표2[#ALL],2)</f>
        <v>0</v>
      </c>
      <c r="AK24" s="310">
        <f>CS_PID!AK24/VLOOKUP($B24,LEBT[#ALL],4)/VLOOKUP($B24,표2[#ALL],2)</f>
        <v>0</v>
      </c>
      <c r="AL24" s="310">
        <f>CS_PID!AL24/VLOOKUP($B24,LEBT[#ALL],4)/VLOOKUP($B24,표2[#ALL],2)</f>
        <v>0</v>
      </c>
      <c r="AM24" s="310">
        <f>CS_PID!AM24/VLOOKUP($B24,LEBT[#ALL],4)/VLOOKUP($B24,표2[#ALL],2)</f>
        <v>0</v>
      </c>
      <c r="AN24" s="310">
        <f>CS_PID!AN24/VLOOKUP($B24,LEBT[#ALL],4)/VLOOKUP($B24,표2[#ALL],2)</f>
        <v>0</v>
      </c>
      <c r="AO24" s="310">
        <f>CS_PID!AO24/VLOOKUP($B24,LEBT[#ALL],4)/VLOOKUP($B24,표2[#ALL],2)</f>
        <v>0</v>
      </c>
      <c r="AP24" s="310">
        <f>CS_PID!AP24/VLOOKUP($B24,LEBT[#ALL],4)/VLOOKUP($B24,표2[#ALL],2)</f>
        <v>0</v>
      </c>
      <c r="AQ24" s="310">
        <f>CS_PID!AQ24/VLOOKUP($B24,LEBT[#ALL],4)/VLOOKUP($B24,표2[#ALL],2)</f>
        <v>0</v>
      </c>
      <c r="AR24" s="310">
        <f>CS_PID!AR24/VLOOKUP($B24,LEBT[#ALL],4)/VLOOKUP($B24,표2[#ALL],2)</f>
        <v>0</v>
      </c>
      <c r="AS24" s="310">
        <f>CS_PID!AS24/VLOOKUP($B24,LEBT[#ALL],4)/VLOOKUP($B24,표2[#ALL],2)</f>
        <v>0</v>
      </c>
    </row>
    <row r="25">
      <c r="A25" s="141" t="s">
        <v>78</v>
      </c>
      <c r="B25" s="142">
        <v>281.0</v>
      </c>
      <c r="C25" s="310">
        <f>CS_PID!C25/VLOOKUP($B25,LEBT[#ALL],4)/VLOOKUP($B25,표2[#ALL],2)</f>
        <v>0</v>
      </c>
      <c r="D25" s="310">
        <f>CS_PID!D25/VLOOKUP($B25,LEBT[#ALL],4)/VLOOKUP($B25,표2[#ALL],2)</f>
        <v>1081.007768</v>
      </c>
      <c r="E25" s="310">
        <f>CS_PID!E25/VLOOKUP($B25,LEBT[#ALL],4)/VLOOKUP($B25,표2[#ALL],2)</f>
        <v>432.4031073</v>
      </c>
      <c r="F25" s="310">
        <f>CS_PID!F25/VLOOKUP($B25,LEBT[#ALL],4)/VLOOKUP($B25,표2[#ALL],2)</f>
        <v>0</v>
      </c>
      <c r="G25" s="310">
        <f>CS_PID!G25/VLOOKUP($B25,LEBT[#ALL],4)/VLOOKUP($B25,표2[#ALL],2)</f>
        <v>0</v>
      </c>
      <c r="H25" s="310">
        <f>CS_PID!H25/VLOOKUP($B25,LEBT[#ALL],4)/VLOOKUP($B25,표2[#ALL],2)</f>
        <v>216.2015537</v>
      </c>
      <c r="I25" s="310">
        <f>CS_PID!I25/VLOOKUP($B25,LEBT[#ALL],4)/VLOOKUP($B25,표2[#ALL],2)</f>
        <v>864.8062147</v>
      </c>
      <c r="J25" s="310">
        <f>CS_PID!J25/VLOOKUP($B25,LEBT[#ALL],4)/VLOOKUP($B25,표2[#ALL],2)</f>
        <v>1945.813983</v>
      </c>
      <c r="K25" s="310">
        <f>CS_PID!K25/VLOOKUP($B25,LEBT[#ALL],4)/VLOOKUP($B25,표2[#ALL],2)</f>
        <v>0</v>
      </c>
      <c r="L25" s="310">
        <f>CS_PID!L25/VLOOKUP($B25,LEBT[#ALL],4)/VLOOKUP($B25,표2[#ALL],2)</f>
        <v>0</v>
      </c>
      <c r="M25" s="310">
        <f>CS_PID!M25/VLOOKUP($B25,LEBT[#ALL],4)/VLOOKUP($B25,표2[#ALL],2)</f>
        <v>0</v>
      </c>
      <c r="N25" s="310">
        <f>CS_PID!N25/VLOOKUP($B25,LEBT[#ALL],4)/VLOOKUP($B25,표2[#ALL],2)</f>
        <v>0</v>
      </c>
      <c r="O25" s="310">
        <f>CS_PID!O25/VLOOKUP($B25,LEBT[#ALL],4)/VLOOKUP($B25,표2[#ALL],2)</f>
        <v>864.8062147</v>
      </c>
      <c r="P25" s="310">
        <f>CS_PID!P25/VLOOKUP($B25,LEBT[#ALL],4)/VLOOKUP($B25,표2[#ALL],2)</f>
        <v>4107.82952</v>
      </c>
      <c r="Q25" s="310">
        <f>CS_PID!Q25/VLOOKUP($B25,LEBT[#ALL],4)/VLOOKUP($B25,표2[#ALL],2)</f>
        <v>216.2015537</v>
      </c>
      <c r="R25" s="310">
        <f>CS_PID!R25/VLOOKUP($B25,LEBT[#ALL],4)/VLOOKUP($B25,표2[#ALL],2)</f>
        <v>0</v>
      </c>
      <c r="S25" s="310">
        <f>CS_PID!S25/VLOOKUP($B25,LEBT[#ALL],4)/VLOOKUP($B25,표2[#ALL],2)</f>
        <v>0</v>
      </c>
      <c r="T25" s="310">
        <f>CS_PID!T25/VLOOKUP($B25,LEBT[#ALL],4)/VLOOKUP($B25,표2[#ALL],2)</f>
        <v>0</v>
      </c>
      <c r="U25" s="310">
        <f>CS_PID!U25/VLOOKUP($B25,LEBT[#ALL],4)/VLOOKUP($B25,표2[#ALL],2)</f>
        <v>1297.209322</v>
      </c>
      <c r="V25" s="310">
        <f>CS_PID!V25/VLOOKUP($B25,LEBT[#ALL],4)/VLOOKUP($B25,표2[#ALL],2)</f>
        <v>2162.015537</v>
      </c>
      <c r="W25" s="310">
        <f>CS_PID!W25/VLOOKUP($B25,LEBT[#ALL],4)/VLOOKUP($B25,표2[#ALL],2)</f>
        <v>648.604661</v>
      </c>
      <c r="X25" s="310">
        <f>CS_PID!X25/VLOOKUP($B25,LEBT[#ALL],4)/VLOOKUP($B25,표2[#ALL],2)</f>
        <v>0</v>
      </c>
      <c r="Y25" s="310">
        <f>CS_PID!Y25/VLOOKUP($B25,LEBT[#ALL],4)/VLOOKUP($B25,표2[#ALL],2)</f>
        <v>0</v>
      </c>
      <c r="Z25" s="310">
        <f>CS_PID!Z25/VLOOKUP($B25,LEBT[#ALL],4)/VLOOKUP($B25,표2[#ALL],2)</f>
        <v>0</v>
      </c>
      <c r="AA25" s="310">
        <f>CS_PID!AA25/VLOOKUP($B25,LEBT[#ALL],4)/VLOOKUP($B25,표2[#ALL],2)</f>
        <v>648.604661</v>
      </c>
      <c r="AB25" s="310">
        <f>CS_PID!AB25/VLOOKUP($B25,LEBT[#ALL],4)/VLOOKUP($B25,표2[#ALL],2)</f>
        <v>432.4031073</v>
      </c>
      <c r="AC25" s="310">
        <f>CS_PID!AC25/VLOOKUP($B25,LEBT[#ALL],4)/VLOOKUP($B25,표2[#ALL],2)</f>
        <v>0</v>
      </c>
      <c r="AD25" s="310">
        <f>CS_PID!AD25/VLOOKUP($B25,LEBT[#ALL],4)/VLOOKUP($B25,표2[#ALL],2)</f>
        <v>0</v>
      </c>
      <c r="AE25" s="310">
        <f>CS_PID!AE25/VLOOKUP($B25,LEBT[#ALL],4)/VLOOKUP($B25,표2[#ALL],2)</f>
        <v>0</v>
      </c>
      <c r="AF25" s="310">
        <f>CS_PID!AF25/VLOOKUP($B25,LEBT[#ALL],4)/VLOOKUP($B25,표2[#ALL],2)</f>
        <v>0</v>
      </c>
      <c r="AG25" s="310">
        <f>CS_PID!AG25/VLOOKUP($B25,LEBT[#ALL],4)/VLOOKUP($B25,표2[#ALL],2)</f>
        <v>0</v>
      </c>
      <c r="AH25" s="310">
        <f>CS_PID!AH25/VLOOKUP($B25,LEBT[#ALL],4)/VLOOKUP($B25,표2[#ALL],2)</f>
        <v>216.2015537</v>
      </c>
      <c r="AI25" s="310">
        <f>CS_PID!AI25/VLOOKUP($B25,LEBT[#ALL],4)/VLOOKUP($B25,표2[#ALL],2)</f>
        <v>0</v>
      </c>
      <c r="AJ25" s="310">
        <f>CS_PID!AJ25/VLOOKUP($B25,LEBT[#ALL],4)/VLOOKUP($B25,표2[#ALL],2)</f>
        <v>0</v>
      </c>
      <c r="AK25" s="310">
        <f>CS_PID!AK25/VLOOKUP($B25,LEBT[#ALL],4)/VLOOKUP($B25,표2[#ALL],2)</f>
        <v>0</v>
      </c>
      <c r="AL25" s="310">
        <f>CS_PID!AL25/VLOOKUP($B25,LEBT[#ALL],4)/VLOOKUP($B25,표2[#ALL],2)</f>
        <v>0</v>
      </c>
      <c r="AM25" s="310">
        <f>CS_PID!AM25/VLOOKUP($B25,LEBT[#ALL],4)/VLOOKUP($B25,표2[#ALL],2)</f>
        <v>0</v>
      </c>
      <c r="AN25" s="310">
        <f>CS_PID!AN25/VLOOKUP($B25,LEBT[#ALL],4)/VLOOKUP($B25,표2[#ALL],2)</f>
        <v>0</v>
      </c>
      <c r="AO25" s="310">
        <f>CS_PID!AO25/VLOOKUP($B25,LEBT[#ALL],4)/VLOOKUP($B25,표2[#ALL],2)</f>
        <v>0</v>
      </c>
      <c r="AP25" s="310">
        <f>CS_PID!AP25/VLOOKUP($B25,LEBT[#ALL],4)/VLOOKUP($B25,표2[#ALL],2)</f>
        <v>0</v>
      </c>
      <c r="AQ25" s="310">
        <f>CS_PID!AQ25/VLOOKUP($B25,LEBT[#ALL],4)/VLOOKUP($B25,표2[#ALL],2)</f>
        <v>0</v>
      </c>
      <c r="AR25" s="310">
        <f>CS_PID!AR25/VLOOKUP($B25,LEBT[#ALL],4)/VLOOKUP($B25,표2[#ALL],2)</f>
        <v>0</v>
      </c>
      <c r="AS25" s="310">
        <f>CS_PID!AS25/VLOOKUP($B25,LEBT[#ALL],4)/VLOOKUP($B25,표2[#ALL],2)</f>
        <v>0</v>
      </c>
    </row>
    <row r="26">
      <c r="A26" s="141" t="s">
        <v>78</v>
      </c>
      <c r="B26" s="142">
        <v>282.0</v>
      </c>
      <c r="C26" s="310">
        <f>CS_PID!C26/VLOOKUP($B26,LEBT[#ALL],4)/VLOOKUP($B26,표2[#ALL],2)</f>
        <v>542.5604431</v>
      </c>
      <c r="D26" s="310">
        <f>CS_PID!D26/VLOOKUP($B26,LEBT[#ALL],4)/VLOOKUP($B26,표2[#ALL],2)</f>
        <v>1085.120886</v>
      </c>
      <c r="E26" s="310">
        <f>CS_PID!E26/VLOOKUP($B26,LEBT[#ALL],4)/VLOOKUP($B26,표2[#ALL],2)</f>
        <v>1085.120886</v>
      </c>
      <c r="F26" s="310">
        <f>CS_PID!F26/VLOOKUP($B26,LEBT[#ALL],4)/VLOOKUP($B26,표2[#ALL],2)</f>
        <v>0</v>
      </c>
      <c r="G26" s="310">
        <f>CS_PID!G26/VLOOKUP($B26,LEBT[#ALL],4)/VLOOKUP($B26,표2[#ALL],2)</f>
        <v>0</v>
      </c>
      <c r="H26" s="310">
        <f>CS_PID!H26/VLOOKUP($B26,LEBT[#ALL],4)/VLOOKUP($B26,표2[#ALL],2)</f>
        <v>0</v>
      </c>
      <c r="I26" s="310">
        <f>CS_PID!I26/VLOOKUP($B26,LEBT[#ALL],4)/VLOOKUP($B26,표2[#ALL],2)</f>
        <v>1627.681329</v>
      </c>
      <c r="J26" s="310">
        <f>CS_PID!J26/VLOOKUP($B26,LEBT[#ALL],4)/VLOOKUP($B26,표2[#ALL],2)</f>
        <v>3255.362659</v>
      </c>
      <c r="K26" s="310">
        <f>CS_PID!K26/VLOOKUP($B26,LEBT[#ALL],4)/VLOOKUP($B26,표2[#ALL],2)</f>
        <v>0</v>
      </c>
      <c r="L26" s="310">
        <f>CS_PID!L26/VLOOKUP($B26,LEBT[#ALL],4)/VLOOKUP($B26,표2[#ALL],2)</f>
        <v>0</v>
      </c>
      <c r="M26" s="310">
        <f>CS_PID!M26/VLOOKUP($B26,LEBT[#ALL],4)/VLOOKUP($B26,표2[#ALL],2)</f>
        <v>0</v>
      </c>
      <c r="N26" s="310">
        <f>CS_PID!N26/VLOOKUP($B26,LEBT[#ALL],4)/VLOOKUP($B26,표2[#ALL],2)</f>
        <v>0</v>
      </c>
      <c r="O26" s="310">
        <f>CS_PID!O26/VLOOKUP($B26,LEBT[#ALL],4)/VLOOKUP($B26,표2[#ALL],2)</f>
        <v>2170.241773</v>
      </c>
      <c r="P26" s="310">
        <f>CS_PID!P26/VLOOKUP($B26,LEBT[#ALL],4)/VLOOKUP($B26,표2[#ALL],2)</f>
        <v>4340.483545</v>
      </c>
      <c r="Q26" s="310">
        <f>CS_PID!Q26/VLOOKUP($B26,LEBT[#ALL],4)/VLOOKUP($B26,표2[#ALL],2)</f>
        <v>0</v>
      </c>
      <c r="R26" s="310">
        <f>CS_PID!R26/VLOOKUP($B26,LEBT[#ALL],4)/VLOOKUP($B26,표2[#ALL],2)</f>
        <v>0</v>
      </c>
      <c r="S26" s="310">
        <f>CS_PID!S26/VLOOKUP($B26,LEBT[#ALL],4)/VLOOKUP($B26,표2[#ALL],2)</f>
        <v>0</v>
      </c>
      <c r="T26" s="310">
        <f>CS_PID!T26/VLOOKUP($B26,LEBT[#ALL],4)/VLOOKUP($B26,표2[#ALL],2)</f>
        <v>0</v>
      </c>
      <c r="U26" s="310">
        <f>CS_PID!U26/VLOOKUP($B26,LEBT[#ALL],4)/VLOOKUP($B26,표2[#ALL],2)</f>
        <v>2170.241773</v>
      </c>
      <c r="V26" s="310">
        <f>CS_PID!V26/VLOOKUP($B26,LEBT[#ALL],4)/VLOOKUP($B26,표2[#ALL],2)</f>
        <v>4883.043988</v>
      </c>
      <c r="W26" s="310">
        <f>CS_PID!W26/VLOOKUP($B26,LEBT[#ALL],4)/VLOOKUP($B26,표2[#ALL],2)</f>
        <v>0</v>
      </c>
      <c r="X26" s="310">
        <f>CS_PID!X26/VLOOKUP($B26,LEBT[#ALL],4)/VLOOKUP($B26,표2[#ALL],2)</f>
        <v>0</v>
      </c>
      <c r="Y26" s="310">
        <f>CS_PID!Y26/VLOOKUP($B26,LEBT[#ALL],4)/VLOOKUP($B26,표2[#ALL],2)</f>
        <v>0</v>
      </c>
      <c r="Z26" s="310">
        <f>CS_PID!Z26/VLOOKUP($B26,LEBT[#ALL],4)/VLOOKUP($B26,표2[#ALL],2)</f>
        <v>0</v>
      </c>
      <c r="AA26" s="310">
        <f>CS_PID!AA26/VLOOKUP($B26,LEBT[#ALL],4)/VLOOKUP($B26,표2[#ALL],2)</f>
        <v>542.5604431</v>
      </c>
      <c r="AB26" s="310">
        <f>CS_PID!AB26/VLOOKUP($B26,LEBT[#ALL],4)/VLOOKUP($B26,표2[#ALL],2)</f>
        <v>542.5604431</v>
      </c>
      <c r="AC26" s="310">
        <f>CS_PID!AC26/VLOOKUP($B26,LEBT[#ALL],4)/VLOOKUP($B26,표2[#ALL],2)</f>
        <v>0</v>
      </c>
      <c r="AD26" s="310">
        <f>CS_PID!AD26/VLOOKUP($B26,LEBT[#ALL],4)/VLOOKUP($B26,표2[#ALL],2)</f>
        <v>0</v>
      </c>
      <c r="AE26" s="310">
        <f>CS_PID!AE26/VLOOKUP($B26,LEBT[#ALL],4)/VLOOKUP($B26,표2[#ALL],2)</f>
        <v>0</v>
      </c>
      <c r="AF26" s="310">
        <f>CS_PID!AF26/VLOOKUP($B26,LEBT[#ALL],4)/VLOOKUP($B26,표2[#ALL],2)</f>
        <v>0</v>
      </c>
      <c r="AG26" s="310">
        <f>CS_PID!AG26/VLOOKUP($B26,LEBT[#ALL],4)/VLOOKUP($B26,표2[#ALL],2)</f>
        <v>0</v>
      </c>
      <c r="AH26" s="310">
        <f>CS_PID!AH26/VLOOKUP($B26,LEBT[#ALL],4)/VLOOKUP($B26,표2[#ALL],2)</f>
        <v>0</v>
      </c>
      <c r="AI26" s="310">
        <f>CS_PID!AI26/VLOOKUP($B26,LEBT[#ALL],4)/VLOOKUP($B26,표2[#ALL],2)</f>
        <v>0</v>
      </c>
      <c r="AJ26" s="310">
        <f>CS_PID!AJ26/VLOOKUP($B26,LEBT[#ALL],4)/VLOOKUP($B26,표2[#ALL],2)</f>
        <v>0</v>
      </c>
      <c r="AK26" s="310">
        <f>CS_PID!AK26/VLOOKUP($B26,LEBT[#ALL],4)/VLOOKUP($B26,표2[#ALL],2)</f>
        <v>0</v>
      </c>
      <c r="AL26" s="310">
        <f>CS_PID!AL26/VLOOKUP($B26,LEBT[#ALL],4)/VLOOKUP($B26,표2[#ALL],2)</f>
        <v>0</v>
      </c>
      <c r="AM26" s="310">
        <f>CS_PID!AM26/VLOOKUP($B26,LEBT[#ALL],4)/VLOOKUP($B26,표2[#ALL],2)</f>
        <v>0</v>
      </c>
      <c r="AN26" s="310">
        <f>CS_PID!AN26/VLOOKUP($B26,LEBT[#ALL],4)/VLOOKUP($B26,표2[#ALL],2)</f>
        <v>0</v>
      </c>
      <c r="AO26" s="310">
        <f>CS_PID!AO26/VLOOKUP($B26,LEBT[#ALL],4)/VLOOKUP($B26,표2[#ALL],2)</f>
        <v>0</v>
      </c>
      <c r="AP26" s="310">
        <f>CS_PID!AP26/VLOOKUP($B26,LEBT[#ALL],4)/VLOOKUP($B26,표2[#ALL],2)</f>
        <v>0</v>
      </c>
      <c r="AQ26" s="310">
        <f>CS_PID!AQ26/VLOOKUP($B26,LEBT[#ALL],4)/VLOOKUP($B26,표2[#ALL],2)</f>
        <v>0</v>
      </c>
      <c r="AR26" s="310">
        <f>CS_PID!AR26/VLOOKUP($B26,LEBT[#ALL],4)/VLOOKUP($B26,표2[#ALL],2)</f>
        <v>0</v>
      </c>
      <c r="AS26" s="310">
        <f>CS_PID!AS26/VLOOKUP($B26,LEBT[#ALL],4)/VLOOKUP($B26,표2[#ALL],2)</f>
        <v>0</v>
      </c>
    </row>
    <row r="27">
      <c r="A27" s="141" t="s">
        <v>78</v>
      </c>
      <c r="B27" s="142">
        <v>283.0</v>
      </c>
      <c r="C27" s="310">
        <f>CS_PID!C27/VLOOKUP($B27,LEBT[#ALL],4)/VLOOKUP($B27,표2[#ALL],2)</f>
        <v>0</v>
      </c>
      <c r="D27" s="310">
        <f>CS_PID!D27/VLOOKUP($B27,LEBT[#ALL],4)/VLOOKUP($B27,표2[#ALL],2)</f>
        <v>1245.513208</v>
      </c>
      <c r="E27" s="310">
        <f>CS_PID!E27/VLOOKUP($B27,LEBT[#ALL],4)/VLOOKUP($B27,표2[#ALL],2)</f>
        <v>711.7218329</v>
      </c>
      <c r="F27" s="310">
        <f>CS_PID!F27/VLOOKUP($B27,LEBT[#ALL],4)/VLOOKUP($B27,표2[#ALL],2)</f>
        <v>177.9304582</v>
      </c>
      <c r="G27" s="310">
        <f>CS_PID!G27/VLOOKUP($B27,LEBT[#ALL],4)/VLOOKUP($B27,표2[#ALL],2)</f>
        <v>0</v>
      </c>
      <c r="H27" s="310">
        <f>CS_PID!H27/VLOOKUP($B27,LEBT[#ALL],4)/VLOOKUP($B27,표2[#ALL],2)</f>
        <v>177.9304582</v>
      </c>
      <c r="I27" s="310">
        <f>CS_PID!I27/VLOOKUP($B27,LEBT[#ALL],4)/VLOOKUP($B27,표2[#ALL],2)</f>
        <v>1067.582749</v>
      </c>
      <c r="J27" s="310">
        <f>CS_PID!J27/VLOOKUP($B27,LEBT[#ALL],4)/VLOOKUP($B27,표2[#ALL],2)</f>
        <v>2491.026415</v>
      </c>
      <c r="K27" s="310">
        <f>CS_PID!K27/VLOOKUP($B27,LEBT[#ALL],4)/VLOOKUP($B27,표2[#ALL],2)</f>
        <v>177.9304582</v>
      </c>
      <c r="L27" s="310">
        <f>CS_PID!L27/VLOOKUP($B27,LEBT[#ALL],4)/VLOOKUP($B27,표2[#ALL],2)</f>
        <v>0</v>
      </c>
      <c r="M27" s="310">
        <f>CS_PID!M27/VLOOKUP($B27,LEBT[#ALL],4)/VLOOKUP($B27,표2[#ALL],2)</f>
        <v>0</v>
      </c>
      <c r="N27" s="310">
        <f>CS_PID!N27/VLOOKUP($B27,LEBT[#ALL],4)/VLOOKUP($B27,표2[#ALL],2)</f>
        <v>0</v>
      </c>
      <c r="O27" s="310">
        <f>CS_PID!O27/VLOOKUP($B27,LEBT[#ALL],4)/VLOOKUP($B27,표2[#ALL],2)</f>
        <v>1779.304582</v>
      </c>
      <c r="P27" s="310">
        <f>CS_PID!P27/VLOOKUP($B27,LEBT[#ALL],4)/VLOOKUP($B27,표2[#ALL],2)</f>
        <v>3024.81779</v>
      </c>
      <c r="Q27" s="310">
        <f>CS_PID!Q27/VLOOKUP($B27,LEBT[#ALL],4)/VLOOKUP($B27,표2[#ALL],2)</f>
        <v>0</v>
      </c>
      <c r="R27" s="310">
        <f>CS_PID!R27/VLOOKUP($B27,LEBT[#ALL],4)/VLOOKUP($B27,표2[#ALL],2)</f>
        <v>0</v>
      </c>
      <c r="S27" s="310">
        <f>CS_PID!S27/VLOOKUP($B27,LEBT[#ALL],4)/VLOOKUP($B27,표2[#ALL],2)</f>
        <v>0</v>
      </c>
      <c r="T27" s="310">
        <f>CS_PID!T27/VLOOKUP($B27,LEBT[#ALL],4)/VLOOKUP($B27,표2[#ALL],2)</f>
        <v>0</v>
      </c>
      <c r="U27" s="310">
        <f>CS_PID!U27/VLOOKUP($B27,LEBT[#ALL],4)/VLOOKUP($B27,표2[#ALL],2)</f>
        <v>1779.304582</v>
      </c>
      <c r="V27" s="310">
        <f>CS_PID!V27/VLOOKUP($B27,LEBT[#ALL],4)/VLOOKUP($B27,표2[#ALL],2)</f>
        <v>2846.887332</v>
      </c>
      <c r="W27" s="310">
        <f>CS_PID!W27/VLOOKUP($B27,LEBT[#ALL],4)/VLOOKUP($B27,표2[#ALL],2)</f>
        <v>177.9304582</v>
      </c>
      <c r="X27" s="310">
        <f>CS_PID!X27/VLOOKUP($B27,LEBT[#ALL],4)/VLOOKUP($B27,표2[#ALL],2)</f>
        <v>0</v>
      </c>
      <c r="Y27" s="310">
        <f>CS_PID!Y27/VLOOKUP($B27,LEBT[#ALL],4)/VLOOKUP($B27,표2[#ALL],2)</f>
        <v>0</v>
      </c>
      <c r="Z27" s="310">
        <f>CS_PID!Z27/VLOOKUP($B27,LEBT[#ALL],4)/VLOOKUP($B27,표2[#ALL],2)</f>
        <v>0</v>
      </c>
      <c r="AA27" s="310">
        <f>CS_PID!AA27/VLOOKUP($B27,LEBT[#ALL],4)/VLOOKUP($B27,표2[#ALL],2)</f>
        <v>1423.443666</v>
      </c>
      <c r="AB27" s="310">
        <f>CS_PID!AB27/VLOOKUP($B27,LEBT[#ALL],4)/VLOOKUP($B27,표2[#ALL],2)</f>
        <v>355.8609164</v>
      </c>
      <c r="AC27" s="310">
        <f>CS_PID!AC27/VLOOKUP($B27,LEBT[#ALL],4)/VLOOKUP($B27,표2[#ALL],2)</f>
        <v>177.9304582</v>
      </c>
      <c r="AD27" s="310">
        <f>CS_PID!AD27/VLOOKUP($B27,LEBT[#ALL],4)/VLOOKUP($B27,표2[#ALL],2)</f>
        <v>0</v>
      </c>
      <c r="AE27" s="310">
        <f>CS_PID!AE27/VLOOKUP($B27,LEBT[#ALL],4)/VLOOKUP($B27,표2[#ALL],2)</f>
        <v>0</v>
      </c>
      <c r="AF27" s="310">
        <f>CS_PID!AF27/VLOOKUP($B27,LEBT[#ALL],4)/VLOOKUP($B27,표2[#ALL],2)</f>
        <v>0</v>
      </c>
      <c r="AG27" s="310">
        <f>CS_PID!AG27/VLOOKUP($B27,LEBT[#ALL],4)/VLOOKUP($B27,표2[#ALL],2)</f>
        <v>177.9304582</v>
      </c>
      <c r="AH27" s="310">
        <f>CS_PID!AH27/VLOOKUP($B27,LEBT[#ALL],4)/VLOOKUP($B27,표2[#ALL],2)</f>
        <v>0</v>
      </c>
      <c r="AI27" s="310">
        <f>CS_PID!AI27/VLOOKUP($B27,LEBT[#ALL],4)/VLOOKUP($B27,표2[#ALL],2)</f>
        <v>0</v>
      </c>
      <c r="AJ27" s="310">
        <f>CS_PID!AJ27/VLOOKUP($B27,LEBT[#ALL],4)/VLOOKUP($B27,표2[#ALL],2)</f>
        <v>0</v>
      </c>
      <c r="AK27" s="310">
        <f>CS_PID!AK27/VLOOKUP($B27,LEBT[#ALL],4)/VLOOKUP($B27,표2[#ALL],2)</f>
        <v>0</v>
      </c>
      <c r="AL27" s="310">
        <f>CS_PID!AL27/VLOOKUP($B27,LEBT[#ALL],4)/VLOOKUP($B27,표2[#ALL],2)</f>
        <v>0</v>
      </c>
      <c r="AM27" s="310">
        <f>CS_PID!AM27/VLOOKUP($B27,LEBT[#ALL],4)/VLOOKUP($B27,표2[#ALL],2)</f>
        <v>0</v>
      </c>
      <c r="AN27" s="310">
        <f>CS_PID!AN27/VLOOKUP($B27,LEBT[#ALL],4)/VLOOKUP($B27,표2[#ALL],2)</f>
        <v>0</v>
      </c>
      <c r="AO27" s="310">
        <f>CS_PID!AO27/VLOOKUP($B27,LEBT[#ALL],4)/VLOOKUP($B27,표2[#ALL],2)</f>
        <v>0</v>
      </c>
      <c r="AP27" s="310">
        <f>CS_PID!AP27/VLOOKUP($B27,LEBT[#ALL],4)/VLOOKUP($B27,표2[#ALL],2)</f>
        <v>0</v>
      </c>
      <c r="AQ27" s="310">
        <f>CS_PID!AQ27/VLOOKUP($B27,LEBT[#ALL],4)/VLOOKUP($B27,표2[#ALL],2)</f>
        <v>0</v>
      </c>
      <c r="AR27" s="310">
        <f>CS_PID!AR27/VLOOKUP($B27,LEBT[#ALL],4)/VLOOKUP($B27,표2[#ALL],2)</f>
        <v>0</v>
      </c>
      <c r="AS27" s="310">
        <f>CS_PID!AS27/VLOOKUP($B27,LEBT[#ALL],4)/VLOOKUP($B27,표2[#ALL],2)</f>
        <v>0</v>
      </c>
    </row>
    <row r="28">
      <c r="A28" s="141" t="s">
        <v>78</v>
      </c>
      <c r="B28" s="142">
        <v>284.0</v>
      </c>
      <c r="C28" s="310">
        <f>CS_PID!C28/VLOOKUP($B28,LEBT[#ALL],4)/VLOOKUP($B28,표2[#ALL],2)</f>
        <v>0</v>
      </c>
      <c r="D28" s="310">
        <f>CS_PID!D28/VLOOKUP($B28,LEBT[#ALL],4)/VLOOKUP($B28,표2[#ALL],2)</f>
        <v>759.6313351</v>
      </c>
      <c r="E28" s="310">
        <f>CS_PID!E28/VLOOKUP($B28,LEBT[#ALL],4)/VLOOKUP($B28,표2[#ALL],2)</f>
        <v>455.7788011</v>
      </c>
      <c r="F28" s="310">
        <f>CS_PID!F28/VLOOKUP($B28,LEBT[#ALL],4)/VLOOKUP($B28,표2[#ALL],2)</f>
        <v>151.926267</v>
      </c>
      <c r="G28" s="310">
        <f>CS_PID!G28/VLOOKUP($B28,LEBT[#ALL],4)/VLOOKUP($B28,표2[#ALL],2)</f>
        <v>0</v>
      </c>
      <c r="H28" s="310">
        <f>CS_PID!H28/VLOOKUP($B28,LEBT[#ALL],4)/VLOOKUP($B28,표2[#ALL],2)</f>
        <v>0</v>
      </c>
      <c r="I28" s="310">
        <f>CS_PID!I28/VLOOKUP($B28,LEBT[#ALL],4)/VLOOKUP($B28,표2[#ALL],2)</f>
        <v>911.5576021</v>
      </c>
      <c r="J28" s="310">
        <f>CS_PID!J28/VLOOKUP($B28,LEBT[#ALL],4)/VLOOKUP($B28,표2[#ALL],2)</f>
        <v>1367.336403</v>
      </c>
      <c r="K28" s="310">
        <f>CS_PID!K28/VLOOKUP($B28,LEBT[#ALL],4)/VLOOKUP($B28,표2[#ALL],2)</f>
        <v>0</v>
      </c>
      <c r="L28" s="310">
        <f>CS_PID!L28/VLOOKUP($B28,LEBT[#ALL],4)/VLOOKUP($B28,표2[#ALL],2)</f>
        <v>0</v>
      </c>
      <c r="M28" s="310">
        <f>CS_PID!M28/VLOOKUP($B28,LEBT[#ALL],4)/VLOOKUP($B28,표2[#ALL],2)</f>
        <v>0</v>
      </c>
      <c r="N28" s="310">
        <f>CS_PID!N28/VLOOKUP($B28,LEBT[#ALL],4)/VLOOKUP($B28,표2[#ALL],2)</f>
        <v>0</v>
      </c>
      <c r="O28" s="310">
        <f>CS_PID!O28/VLOOKUP($B28,LEBT[#ALL],4)/VLOOKUP($B28,표2[#ALL],2)</f>
        <v>1519.26267</v>
      </c>
      <c r="P28" s="310">
        <f>CS_PID!P28/VLOOKUP($B28,LEBT[#ALL],4)/VLOOKUP($B28,표2[#ALL],2)</f>
        <v>3798.156675</v>
      </c>
      <c r="Q28" s="310">
        <f>CS_PID!Q28/VLOOKUP($B28,LEBT[#ALL],4)/VLOOKUP($B28,표2[#ALL],2)</f>
        <v>303.852534</v>
      </c>
      <c r="R28" s="310">
        <f>CS_PID!R28/VLOOKUP($B28,LEBT[#ALL],4)/VLOOKUP($B28,표2[#ALL],2)</f>
        <v>0</v>
      </c>
      <c r="S28" s="310">
        <f>CS_PID!S28/VLOOKUP($B28,LEBT[#ALL],4)/VLOOKUP($B28,표2[#ALL],2)</f>
        <v>0</v>
      </c>
      <c r="T28" s="310">
        <f>CS_PID!T28/VLOOKUP($B28,LEBT[#ALL],4)/VLOOKUP($B28,표2[#ALL],2)</f>
        <v>0</v>
      </c>
      <c r="U28" s="310">
        <f>CS_PID!U28/VLOOKUP($B28,LEBT[#ALL],4)/VLOOKUP($B28,표2[#ALL],2)</f>
        <v>1671.188937</v>
      </c>
      <c r="V28" s="310">
        <f>CS_PID!V28/VLOOKUP($B28,LEBT[#ALL],4)/VLOOKUP($B28,표2[#ALL],2)</f>
        <v>2886.599073</v>
      </c>
      <c r="W28" s="310">
        <f>CS_PID!W28/VLOOKUP($B28,LEBT[#ALL],4)/VLOOKUP($B28,표2[#ALL],2)</f>
        <v>151.926267</v>
      </c>
      <c r="X28" s="310">
        <f>CS_PID!X28/VLOOKUP($B28,LEBT[#ALL],4)/VLOOKUP($B28,표2[#ALL],2)</f>
        <v>0</v>
      </c>
      <c r="Y28" s="310">
        <f>CS_PID!Y28/VLOOKUP($B28,LEBT[#ALL],4)/VLOOKUP($B28,표2[#ALL],2)</f>
        <v>0</v>
      </c>
      <c r="Z28" s="310">
        <f>CS_PID!Z28/VLOOKUP($B28,LEBT[#ALL],4)/VLOOKUP($B28,표2[#ALL],2)</f>
        <v>0</v>
      </c>
      <c r="AA28" s="310">
        <f>CS_PID!AA28/VLOOKUP($B28,LEBT[#ALL],4)/VLOOKUP($B28,표2[#ALL],2)</f>
        <v>607.7050681</v>
      </c>
      <c r="AB28" s="310">
        <f>CS_PID!AB28/VLOOKUP($B28,LEBT[#ALL],4)/VLOOKUP($B28,표2[#ALL],2)</f>
        <v>1367.336403</v>
      </c>
      <c r="AC28" s="310">
        <f>CS_PID!AC28/VLOOKUP($B28,LEBT[#ALL],4)/VLOOKUP($B28,표2[#ALL],2)</f>
        <v>151.926267</v>
      </c>
      <c r="AD28" s="310">
        <f>CS_PID!AD28/VLOOKUP($B28,LEBT[#ALL],4)/VLOOKUP($B28,표2[#ALL],2)</f>
        <v>0</v>
      </c>
      <c r="AE28" s="310">
        <f>CS_PID!AE28/VLOOKUP($B28,LEBT[#ALL],4)/VLOOKUP($B28,표2[#ALL],2)</f>
        <v>0</v>
      </c>
      <c r="AF28" s="310">
        <f>CS_PID!AF28/VLOOKUP($B28,LEBT[#ALL],4)/VLOOKUP($B28,표2[#ALL],2)</f>
        <v>0</v>
      </c>
      <c r="AG28" s="310">
        <f>CS_PID!AG28/VLOOKUP($B28,LEBT[#ALL],4)/VLOOKUP($B28,표2[#ALL],2)</f>
        <v>151.926267</v>
      </c>
      <c r="AH28" s="310">
        <f>CS_PID!AH28/VLOOKUP($B28,LEBT[#ALL],4)/VLOOKUP($B28,표2[#ALL],2)</f>
        <v>151.926267</v>
      </c>
      <c r="AI28" s="310">
        <f>CS_PID!AI28/VLOOKUP($B28,LEBT[#ALL],4)/VLOOKUP($B28,표2[#ALL],2)</f>
        <v>0</v>
      </c>
      <c r="AJ28" s="310">
        <f>CS_PID!AJ28/VLOOKUP($B28,LEBT[#ALL],4)/VLOOKUP($B28,표2[#ALL],2)</f>
        <v>0</v>
      </c>
      <c r="AK28" s="310">
        <f>CS_PID!AK28/VLOOKUP($B28,LEBT[#ALL],4)/VLOOKUP($B28,표2[#ALL],2)</f>
        <v>0</v>
      </c>
      <c r="AL28" s="310">
        <f>CS_PID!AL28/VLOOKUP($B28,LEBT[#ALL],4)/VLOOKUP($B28,표2[#ALL],2)</f>
        <v>0</v>
      </c>
      <c r="AM28" s="310">
        <f>CS_PID!AM28/VLOOKUP($B28,LEBT[#ALL],4)/VLOOKUP($B28,표2[#ALL],2)</f>
        <v>0</v>
      </c>
      <c r="AN28" s="310">
        <f>CS_PID!AN28/VLOOKUP($B28,LEBT[#ALL],4)/VLOOKUP($B28,표2[#ALL],2)</f>
        <v>0</v>
      </c>
      <c r="AO28" s="310">
        <f>CS_PID!AO28/VLOOKUP($B28,LEBT[#ALL],4)/VLOOKUP($B28,표2[#ALL],2)</f>
        <v>0</v>
      </c>
      <c r="AP28" s="310">
        <f>CS_PID!AP28/VLOOKUP($B28,LEBT[#ALL],4)/VLOOKUP($B28,표2[#ALL],2)</f>
        <v>0</v>
      </c>
      <c r="AQ28" s="310">
        <f>CS_PID!AQ28/VLOOKUP($B28,LEBT[#ALL],4)/VLOOKUP($B28,표2[#ALL],2)</f>
        <v>0</v>
      </c>
      <c r="AR28" s="310">
        <f>CS_PID!AR28/VLOOKUP($B28,LEBT[#ALL],4)/VLOOKUP($B28,표2[#ALL],2)</f>
        <v>0</v>
      </c>
      <c r="AS28" s="310">
        <f>CS_PID!AS28/VLOOKUP($B28,LEBT[#ALL],4)/VLOOKUP($B28,표2[#ALL],2)</f>
        <v>0</v>
      </c>
    </row>
    <row r="29">
      <c r="A29" s="141" t="s">
        <v>78</v>
      </c>
      <c r="B29" s="142">
        <v>285.0</v>
      </c>
      <c r="C29" s="310">
        <f>CS_PID!C29/VLOOKUP($B29,LEBT[#ALL],4)/VLOOKUP($B29,표2[#ALL],2)</f>
        <v>0</v>
      </c>
      <c r="D29" s="310">
        <f>CS_PID!D29/VLOOKUP($B29,LEBT[#ALL],4)/VLOOKUP($B29,표2[#ALL],2)</f>
        <v>1188.695646</v>
      </c>
      <c r="E29" s="310">
        <f>CS_PID!E29/VLOOKUP($B29,LEBT[#ALL],4)/VLOOKUP($B29,표2[#ALL],2)</f>
        <v>209.7698199</v>
      </c>
      <c r="F29" s="310">
        <f>CS_PID!F29/VLOOKUP($B29,LEBT[#ALL],4)/VLOOKUP($B29,표2[#ALL],2)</f>
        <v>69.92327329</v>
      </c>
      <c r="G29" s="310">
        <f>CS_PID!G29/VLOOKUP($B29,LEBT[#ALL],4)/VLOOKUP($B29,표2[#ALL],2)</f>
        <v>0</v>
      </c>
      <c r="H29" s="310">
        <f>CS_PID!H29/VLOOKUP($B29,LEBT[#ALL],4)/VLOOKUP($B29,표2[#ALL],2)</f>
        <v>104.8849099</v>
      </c>
      <c r="I29" s="310">
        <f>CS_PID!I29/VLOOKUP($B29,LEBT[#ALL],4)/VLOOKUP($B29,표2[#ALL],2)</f>
        <v>943.9641894</v>
      </c>
      <c r="J29" s="310">
        <f>CS_PID!J29/VLOOKUP($B29,LEBT[#ALL],4)/VLOOKUP($B29,표2[#ALL],2)</f>
        <v>2237.544745</v>
      </c>
      <c r="K29" s="310">
        <f>CS_PID!K29/VLOOKUP($B29,LEBT[#ALL],4)/VLOOKUP($B29,표2[#ALL],2)</f>
        <v>139.8465466</v>
      </c>
      <c r="L29" s="310">
        <f>CS_PID!L29/VLOOKUP($B29,LEBT[#ALL],4)/VLOOKUP($B29,표2[#ALL],2)</f>
        <v>0</v>
      </c>
      <c r="M29" s="310">
        <f>CS_PID!M29/VLOOKUP($B29,LEBT[#ALL],4)/VLOOKUP($B29,표2[#ALL],2)</f>
        <v>0</v>
      </c>
      <c r="N29" s="310">
        <f>CS_PID!N29/VLOOKUP($B29,LEBT[#ALL],4)/VLOOKUP($B29,표2[#ALL],2)</f>
        <v>34.96163664</v>
      </c>
      <c r="O29" s="310">
        <f>CS_PID!O29/VLOOKUP($B29,LEBT[#ALL],4)/VLOOKUP($B29,표2[#ALL],2)</f>
        <v>2132.659835</v>
      </c>
      <c r="P29" s="310">
        <f>CS_PID!P29/VLOOKUP($B29,LEBT[#ALL],4)/VLOOKUP($B29,표2[#ALL],2)</f>
        <v>2761.969295</v>
      </c>
      <c r="Q29" s="310">
        <f>CS_PID!Q29/VLOOKUP($B29,LEBT[#ALL],4)/VLOOKUP($B29,표2[#ALL],2)</f>
        <v>419.5396397</v>
      </c>
      <c r="R29" s="310">
        <f>CS_PID!R29/VLOOKUP($B29,LEBT[#ALL],4)/VLOOKUP($B29,표2[#ALL],2)</f>
        <v>0</v>
      </c>
      <c r="S29" s="310">
        <f>CS_PID!S29/VLOOKUP($B29,LEBT[#ALL],4)/VLOOKUP($B29,표2[#ALL],2)</f>
        <v>0</v>
      </c>
      <c r="T29" s="310">
        <f>CS_PID!T29/VLOOKUP($B29,LEBT[#ALL],4)/VLOOKUP($B29,표2[#ALL],2)</f>
        <v>0</v>
      </c>
      <c r="U29" s="310">
        <f>CS_PID!U29/VLOOKUP($B29,LEBT[#ALL],4)/VLOOKUP($B29,표2[#ALL],2)</f>
        <v>1538.312012</v>
      </c>
      <c r="V29" s="310">
        <f>CS_PID!V29/VLOOKUP($B29,LEBT[#ALL],4)/VLOOKUP($B29,표2[#ALL],2)</f>
        <v>3356.317118</v>
      </c>
      <c r="W29" s="310">
        <f>CS_PID!W29/VLOOKUP($B29,LEBT[#ALL],4)/VLOOKUP($B29,표2[#ALL],2)</f>
        <v>104.8849099</v>
      </c>
      <c r="X29" s="310">
        <f>CS_PID!X29/VLOOKUP($B29,LEBT[#ALL],4)/VLOOKUP($B29,표2[#ALL],2)</f>
        <v>0</v>
      </c>
      <c r="Y29" s="310">
        <f>CS_PID!Y29/VLOOKUP($B29,LEBT[#ALL],4)/VLOOKUP($B29,표2[#ALL],2)</f>
        <v>0</v>
      </c>
      <c r="Z29" s="310">
        <f>CS_PID!Z29/VLOOKUP($B29,LEBT[#ALL],4)/VLOOKUP($B29,표2[#ALL],2)</f>
        <v>0</v>
      </c>
      <c r="AA29" s="310">
        <f>CS_PID!AA29/VLOOKUP($B29,LEBT[#ALL],4)/VLOOKUP($B29,표2[#ALL],2)</f>
        <v>804.1176428</v>
      </c>
      <c r="AB29" s="310">
        <f>CS_PID!AB29/VLOOKUP($B29,LEBT[#ALL],4)/VLOOKUP($B29,표2[#ALL],2)</f>
        <v>384.5780031</v>
      </c>
      <c r="AC29" s="310">
        <f>CS_PID!AC29/VLOOKUP($B29,LEBT[#ALL],4)/VLOOKUP($B29,표2[#ALL],2)</f>
        <v>34.96163664</v>
      </c>
      <c r="AD29" s="310">
        <f>CS_PID!AD29/VLOOKUP($B29,LEBT[#ALL],4)/VLOOKUP($B29,표2[#ALL],2)</f>
        <v>0</v>
      </c>
      <c r="AE29" s="310">
        <f>CS_PID!AE29/VLOOKUP($B29,LEBT[#ALL],4)/VLOOKUP($B29,표2[#ALL],2)</f>
        <v>0</v>
      </c>
      <c r="AF29" s="310">
        <f>CS_PID!AF29/VLOOKUP($B29,LEBT[#ALL],4)/VLOOKUP($B29,표2[#ALL],2)</f>
        <v>0</v>
      </c>
      <c r="AG29" s="310">
        <f>CS_PID!AG29/VLOOKUP($B29,LEBT[#ALL],4)/VLOOKUP($B29,표2[#ALL],2)</f>
        <v>174.8081832</v>
      </c>
      <c r="AH29" s="310">
        <f>CS_PID!AH29/VLOOKUP($B29,LEBT[#ALL],4)/VLOOKUP($B29,표2[#ALL],2)</f>
        <v>69.92327329</v>
      </c>
      <c r="AI29" s="310">
        <f>CS_PID!AI29/VLOOKUP($B29,LEBT[#ALL],4)/VLOOKUP($B29,표2[#ALL],2)</f>
        <v>0</v>
      </c>
      <c r="AJ29" s="310">
        <f>CS_PID!AJ29/VLOOKUP($B29,LEBT[#ALL],4)/VLOOKUP($B29,표2[#ALL],2)</f>
        <v>0</v>
      </c>
      <c r="AK29" s="310">
        <f>CS_PID!AK29/VLOOKUP($B29,LEBT[#ALL],4)/VLOOKUP($B29,표2[#ALL],2)</f>
        <v>0</v>
      </c>
      <c r="AL29" s="310">
        <f>CS_PID!AL29/VLOOKUP($B29,LEBT[#ALL],4)/VLOOKUP($B29,표2[#ALL],2)</f>
        <v>34.96163664</v>
      </c>
      <c r="AM29" s="310">
        <f>CS_PID!AM29/VLOOKUP($B29,LEBT[#ALL],4)/VLOOKUP($B29,표2[#ALL],2)</f>
        <v>0</v>
      </c>
      <c r="AN29" s="310">
        <f>CS_PID!AN29/VLOOKUP($B29,LEBT[#ALL],4)/VLOOKUP($B29,표2[#ALL],2)</f>
        <v>0</v>
      </c>
      <c r="AO29" s="310">
        <f>CS_PID!AO29/VLOOKUP($B29,LEBT[#ALL],4)/VLOOKUP($B29,표2[#ALL],2)</f>
        <v>0</v>
      </c>
      <c r="AP29" s="310">
        <f>CS_PID!AP29/VLOOKUP($B29,LEBT[#ALL],4)/VLOOKUP($B29,표2[#ALL],2)</f>
        <v>0</v>
      </c>
      <c r="AQ29" s="310">
        <f>CS_PID!AQ29/VLOOKUP($B29,LEBT[#ALL],4)/VLOOKUP($B29,표2[#ALL],2)</f>
        <v>0</v>
      </c>
      <c r="AR29" s="310">
        <f>CS_PID!AR29/VLOOKUP($B29,LEBT[#ALL],4)/VLOOKUP($B29,표2[#ALL],2)</f>
        <v>0</v>
      </c>
      <c r="AS29" s="310">
        <f>CS_PID!AS29/VLOOKUP($B29,LEBT[#ALL],4)/VLOOKUP($B29,표2[#ALL],2)</f>
        <v>0</v>
      </c>
    </row>
    <row r="30">
      <c r="A30" s="141" t="s">
        <v>78</v>
      </c>
      <c r="B30" s="142">
        <v>286.0</v>
      </c>
      <c r="C30" s="310">
        <f>CS_PID!C30/VLOOKUP($B30,LEBT[#ALL],4)/VLOOKUP($B30,표2[#ALL],2)</f>
        <v>0</v>
      </c>
      <c r="D30" s="310">
        <f>CS_PID!D30/VLOOKUP($B30,LEBT[#ALL],4)/VLOOKUP($B30,표2[#ALL],2)</f>
        <v>1464.811152</v>
      </c>
      <c r="E30" s="310">
        <f>CS_PID!E30/VLOOKUP($B30,LEBT[#ALL],4)/VLOOKUP($B30,표2[#ALL],2)</f>
        <v>1098.608364</v>
      </c>
      <c r="F30" s="310">
        <f>CS_PID!F30/VLOOKUP($B30,LEBT[#ALL],4)/VLOOKUP($B30,표2[#ALL],2)</f>
        <v>0</v>
      </c>
      <c r="G30" s="310">
        <f>CS_PID!G30/VLOOKUP($B30,LEBT[#ALL],4)/VLOOKUP($B30,표2[#ALL],2)</f>
        <v>0</v>
      </c>
      <c r="H30" s="310">
        <f>CS_PID!H30/VLOOKUP($B30,LEBT[#ALL],4)/VLOOKUP($B30,표2[#ALL],2)</f>
        <v>0</v>
      </c>
      <c r="I30" s="310">
        <f>CS_PID!I30/VLOOKUP($B30,LEBT[#ALL],4)/VLOOKUP($B30,표2[#ALL],2)</f>
        <v>366.2027881</v>
      </c>
      <c r="J30" s="310">
        <f>CS_PID!J30/VLOOKUP($B30,LEBT[#ALL],4)/VLOOKUP($B30,표2[#ALL],2)</f>
        <v>2197.216729</v>
      </c>
      <c r="K30" s="310">
        <f>CS_PID!K30/VLOOKUP($B30,LEBT[#ALL],4)/VLOOKUP($B30,표2[#ALL],2)</f>
        <v>366.2027881</v>
      </c>
      <c r="L30" s="310">
        <f>CS_PID!L30/VLOOKUP($B30,LEBT[#ALL],4)/VLOOKUP($B30,표2[#ALL],2)</f>
        <v>0</v>
      </c>
      <c r="M30" s="310">
        <f>CS_PID!M30/VLOOKUP($B30,LEBT[#ALL],4)/VLOOKUP($B30,표2[#ALL],2)</f>
        <v>0</v>
      </c>
      <c r="N30" s="310">
        <f>CS_PID!N30/VLOOKUP($B30,LEBT[#ALL],4)/VLOOKUP($B30,표2[#ALL],2)</f>
        <v>0</v>
      </c>
      <c r="O30" s="310">
        <f>CS_PID!O30/VLOOKUP($B30,LEBT[#ALL],4)/VLOOKUP($B30,표2[#ALL],2)</f>
        <v>732.4055762</v>
      </c>
      <c r="P30" s="310">
        <f>CS_PID!P30/VLOOKUP($B30,LEBT[#ALL],4)/VLOOKUP($B30,표2[#ALL],2)</f>
        <v>2563.419517</v>
      </c>
      <c r="Q30" s="310">
        <f>CS_PID!Q30/VLOOKUP($B30,LEBT[#ALL],4)/VLOOKUP($B30,표2[#ALL],2)</f>
        <v>732.4055762</v>
      </c>
      <c r="R30" s="310">
        <f>CS_PID!R30/VLOOKUP($B30,LEBT[#ALL],4)/VLOOKUP($B30,표2[#ALL],2)</f>
        <v>0</v>
      </c>
      <c r="S30" s="310">
        <f>CS_PID!S30/VLOOKUP($B30,LEBT[#ALL],4)/VLOOKUP($B30,표2[#ALL],2)</f>
        <v>0</v>
      </c>
      <c r="T30" s="310">
        <f>CS_PID!T30/VLOOKUP($B30,LEBT[#ALL],4)/VLOOKUP($B30,표2[#ALL],2)</f>
        <v>0</v>
      </c>
      <c r="U30" s="310">
        <f>CS_PID!U30/VLOOKUP($B30,LEBT[#ALL],4)/VLOOKUP($B30,표2[#ALL],2)</f>
        <v>732.4055762</v>
      </c>
      <c r="V30" s="310">
        <f>CS_PID!V30/VLOOKUP($B30,LEBT[#ALL],4)/VLOOKUP($B30,표2[#ALL],2)</f>
        <v>2929.622305</v>
      </c>
      <c r="W30" s="310">
        <f>CS_PID!W30/VLOOKUP($B30,LEBT[#ALL],4)/VLOOKUP($B30,표2[#ALL],2)</f>
        <v>366.2027881</v>
      </c>
      <c r="X30" s="310">
        <f>CS_PID!X30/VLOOKUP($B30,LEBT[#ALL],4)/VLOOKUP($B30,표2[#ALL],2)</f>
        <v>0</v>
      </c>
      <c r="Y30" s="310">
        <f>CS_PID!Y30/VLOOKUP($B30,LEBT[#ALL],4)/VLOOKUP($B30,표2[#ALL],2)</f>
        <v>0</v>
      </c>
      <c r="Z30" s="310">
        <f>CS_PID!Z30/VLOOKUP($B30,LEBT[#ALL],4)/VLOOKUP($B30,표2[#ALL],2)</f>
        <v>0</v>
      </c>
      <c r="AA30" s="310">
        <f>CS_PID!AA30/VLOOKUP($B30,LEBT[#ALL],4)/VLOOKUP($B30,표2[#ALL],2)</f>
        <v>1098.608364</v>
      </c>
      <c r="AB30" s="310">
        <f>CS_PID!AB30/VLOOKUP($B30,LEBT[#ALL],4)/VLOOKUP($B30,표2[#ALL],2)</f>
        <v>732.4055762</v>
      </c>
      <c r="AC30" s="310">
        <f>CS_PID!AC30/VLOOKUP($B30,LEBT[#ALL],4)/VLOOKUP($B30,표2[#ALL],2)</f>
        <v>0</v>
      </c>
      <c r="AD30" s="310">
        <f>CS_PID!AD30/VLOOKUP($B30,LEBT[#ALL],4)/VLOOKUP($B30,표2[#ALL],2)</f>
        <v>0</v>
      </c>
      <c r="AE30" s="310">
        <f>CS_PID!AE30/VLOOKUP($B30,LEBT[#ALL],4)/VLOOKUP($B30,표2[#ALL],2)</f>
        <v>0</v>
      </c>
      <c r="AF30" s="310">
        <f>CS_PID!AF30/VLOOKUP($B30,LEBT[#ALL],4)/VLOOKUP($B30,표2[#ALL],2)</f>
        <v>0</v>
      </c>
      <c r="AG30" s="310">
        <f>CS_PID!AG30/VLOOKUP($B30,LEBT[#ALL],4)/VLOOKUP($B30,표2[#ALL],2)</f>
        <v>0</v>
      </c>
      <c r="AH30" s="310">
        <f>CS_PID!AH30/VLOOKUP($B30,LEBT[#ALL],4)/VLOOKUP($B30,표2[#ALL],2)</f>
        <v>0</v>
      </c>
      <c r="AI30" s="310">
        <f>CS_PID!AI30/VLOOKUP($B30,LEBT[#ALL],4)/VLOOKUP($B30,표2[#ALL],2)</f>
        <v>0</v>
      </c>
      <c r="AJ30" s="310">
        <f>CS_PID!AJ30/VLOOKUP($B30,LEBT[#ALL],4)/VLOOKUP($B30,표2[#ALL],2)</f>
        <v>0</v>
      </c>
      <c r="AK30" s="310">
        <f>CS_PID!AK30/VLOOKUP($B30,LEBT[#ALL],4)/VLOOKUP($B30,표2[#ALL],2)</f>
        <v>0</v>
      </c>
      <c r="AL30" s="310">
        <f>CS_PID!AL30/VLOOKUP($B30,LEBT[#ALL],4)/VLOOKUP($B30,표2[#ALL],2)</f>
        <v>0</v>
      </c>
      <c r="AM30" s="310">
        <f>CS_PID!AM30/VLOOKUP($B30,LEBT[#ALL],4)/VLOOKUP($B30,표2[#ALL],2)</f>
        <v>0</v>
      </c>
      <c r="AN30" s="310">
        <f>CS_PID!AN30/VLOOKUP($B30,LEBT[#ALL],4)/VLOOKUP($B30,표2[#ALL],2)</f>
        <v>0</v>
      </c>
      <c r="AO30" s="310">
        <f>CS_PID!AO30/VLOOKUP($B30,LEBT[#ALL],4)/VLOOKUP($B30,표2[#ALL],2)</f>
        <v>0</v>
      </c>
      <c r="AP30" s="310">
        <f>CS_PID!AP30/VLOOKUP($B30,LEBT[#ALL],4)/VLOOKUP($B30,표2[#ALL],2)</f>
        <v>0</v>
      </c>
      <c r="AQ30" s="310">
        <f>CS_PID!AQ30/VLOOKUP($B30,LEBT[#ALL],4)/VLOOKUP($B30,표2[#ALL],2)</f>
        <v>0</v>
      </c>
      <c r="AR30" s="310">
        <f>CS_PID!AR30/VLOOKUP($B30,LEBT[#ALL],4)/VLOOKUP($B30,표2[#ALL],2)</f>
        <v>0</v>
      </c>
      <c r="AS30" s="310">
        <f>CS_PID!AS30/VLOOKUP($B30,LEBT[#ALL],4)/VLOOKUP($B30,표2[#ALL],2)</f>
        <v>0</v>
      </c>
    </row>
    <row r="31">
      <c r="A31" s="141" t="s">
        <v>78</v>
      </c>
      <c r="B31" s="142">
        <v>287.0</v>
      </c>
      <c r="C31" s="310">
        <f>CS_PID!C31/VLOOKUP($B31,LEBT[#ALL],4)/VLOOKUP($B31,표2[#ALL],2)</f>
        <v>0</v>
      </c>
      <c r="D31" s="310">
        <f>CS_PID!D31/VLOOKUP($B31,LEBT[#ALL],4)/VLOOKUP($B31,표2[#ALL],2)</f>
        <v>820.1347479</v>
      </c>
      <c r="E31" s="310">
        <f>CS_PID!E31/VLOOKUP($B31,LEBT[#ALL],4)/VLOOKUP($B31,표2[#ALL],2)</f>
        <v>410.067374</v>
      </c>
      <c r="F31" s="310">
        <f>CS_PID!F31/VLOOKUP($B31,LEBT[#ALL],4)/VLOOKUP($B31,표2[#ALL],2)</f>
        <v>0</v>
      </c>
      <c r="G31" s="310">
        <f>CS_PID!G31/VLOOKUP($B31,LEBT[#ALL],4)/VLOOKUP($B31,표2[#ALL],2)</f>
        <v>0</v>
      </c>
      <c r="H31" s="310">
        <f>CS_PID!H31/VLOOKUP($B31,LEBT[#ALL],4)/VLOOKUP($B31,표2[#ALL],2)</f>
        <v>0</v>
      </c>
      <c r="I31" s="310">
        <f>CS_PID!I31/VLOOKUP($B31,LEBT[#ALL],4)/VLOOKUP($B31,표2[#ALL],2)</f>
        <v>410.067374</v>
      </c>
      <c r="J31" s="310">
        <f>CS_PID!J31/VLOOKUP($B31,LEBT[#ALL],4)/VLOOKUP($B31,표2[#ALL],2)</f>
        <v>1230.202122</v>
      </c>
      <c r="K31" s="310">
        <f>CS_PID!K31/VLOOKUP($B31,LEBT[#ALL],4)/VLOOKUP($B31,표2[#ALL],2)</f>
        <v>410.067374</v>
      </c>
      <c r="L31" s="310">
        <f>CS_PID!L31/VLOOKUP($B31,LEBT[#ALL],4)/VLOOKUP($B31,표2[#ALL],2)</f>
        <v>0</v>
      </c>
      <c r="M31" s="310">
        <f>CS_PID!M31/VLOOKUP($B31,LEBT[#ALL],4)/VLOOKUP($B31,표2[#ALL],2)</f>
        <v>0</v>
      </c>
      <c r="N31" s="310">
        <f>CS_PID!N31/VLOOKUP($B31,LEBT[#ALL],4)/VLOOKUP($B31,표2[#ALL],2)</f>
        <v>0</v>
      </c>
      <c r="O31" s="310">
        <f>CS_PID!O31/VLOOKUP($B31,LEBT[#ALL],4)/VLOOKUP($B31,표2[#ALL],2)</f>
        <v>1640.269496</v>
      </c>
      <c r="P31" s="310">
        <f>CS_PID!P31/VLOOKUP($B31,LEBT[#ALL],4)/VLOOKUP($B31,표2[#ALL],2)</f>
        <v>2870.471618</v>
      </c>
      <c r="Q31" s="310">
        <f>CS_PID!Q31/VLOOKUP($B31,LEBT[#ALL],4)/VLOOKUP($B31,표2[#ALL],2)</f>
        <v>0</v>
      </c>
      <c r="R31" s="310">
        <f>CS_PID!R31/VLOOKUP($B31,LEBT[#ALL],4)/VLOOKUP($B31,표2[#ALL],2)</f>
        <v>0</v>
      </c>
      <c r="S31" s="310">
        <f>CS_PID!S31/VLOOKUP($B31,LEBT[#ALL],4)/VLOOKUP($B31,표2[#ALL],2)</f>
        <v>0</v>
      </c>
      <c r="T31" s="310">
        <f>CS_PID!T31/VLOOKUP($B31,LEBT[#ALL],4)/VLOOKUP($B31,표2[#ALL],2)</f>
        <v>0</v>
      </c>
      <c r="U31" s="310">
        <f>CS_PID!U31/VLOOKUP($B31,LEBT[#ALL],4)/VLOOKUP($B31,표2[#ALL],2)</f>
        <v>820.1347479</v>
      </c>
      <c r="V31" s="310">
        <f>CS_PID!V31/VLOOKUP($B31,LEBT[#ALL],4)/VLOOKUP($B31,표2[#ALL],2)</f>
        <v>4510.741114</v>
      </c>
      <c r="W31" s="310">
        <f>CS_PID!W31/VLOOKUP($B31,LEBT[#ALL],4)/VLOOKUP($B31,표2[#ALL],2)</f>
        <v>0</v>
      </c>
      <c r="X31" s="310">
        <f>CS_PID!X31/VLOOKUP($B31,LEBT[#ALL],4)/VLOOKUP($B31,표2[#ALL],2)</f>
        <v>0</v>
      </c>
      <c r="Y31" s="310">
        <f>CS_PID!Y31/VLOOKUP($B31,LEBT[#ALL],4)/VLOOKUP($B31,표2[#ALL],2)</f>
        <v>0</v>
      </c>
      <c r="Z31" s="310">
        <f>CS_PID!Z31/VLOOKUP($B31,LEBT[#ALL],4)/VLOOKUP($B31,표2[#ALL],2)</f>
        <v>0</v>
      </c>
      <c r="AA31" s="310">
        <f>CS_PID!AA31/VLOOKUP($B31,LEBT[#ALL],4)/VLOOKUP($B31,표2[#ALL],2)</f>
        <v>1640.269496</v>
      </c>
      <c r="AB31" s="310">
        <f>CS_PID!AB31/VLOOKUP($B31,LEBT[#ALL],4)/VLOOKUP($B31,표2[#ALL],2)</f>
        <v>0</v>
      </c>
      <c r="AC31" s="310">
        <f>CS_PID!AC31/VLOOKUP($B31,LEBT[#ALL],4)/VLOOKUP($B31,표2[#ALL],2)</f>
        <v>0</v>
      </c>
      <c r="AD31" s="310">
        <f>CS_PID!AD31/VLOOKUP($B31,LEBT[#ALL],4)/VLOOKUP($B31,표2[#ALL],2)</f>
        <v>0</v>
      </c>
      <c r="AE31" s="310">
        <f>CS_PID!AE31/VLOOKUP($B31,LEBT[#ALL],4)/VLOOKUP($B31,표2[#ALL],2)</f>
        <v>0</v>
      </c>
      <c r="AF31" s="310">
        <f>CS_PID!AF31/VLOOKUP($B31,LEBT[#ALL],4)/VLOOKUP($B31,표2[#ALL],2)</f>
        <v>0</v>
      </c>
      <c r="AG31" s="310">
        <f>CS_PID!AG31/VLOOKUP($B31,LEBT[#ALL],4)/VLOOKUP($B31,표2[#ALL],2)</f>
        <v>410.067374</v>
      </c>
      <c r="AH31" s="310">
        <f>CS_PID!AH31/VLOOKUP($B31,LEBT[#ALL],4)/VLOOKUP($B31,표2[#ALL],2)</f>
        <v>0</v>
      </c>
      <c r="AI31" s="310">
        <f>CS_PID!AI31/VLOOKUP($B31,LEBT[#ALL],4)/VLOOKUP($B31,표2[#ALL],2)</f>
        <v>0</v>
      </c>
      <c r="AJ31" s="310">
        <f>CS_PID!AJ31/VLOOKUP($B31,LEBT[#ALL],4)/VLOOKUP($B31,표2[#ALL],2)</f>
        <v>0</v>
      </c>
      <c r="AK31" s="310">
        <f>CS_PID!AK31/VLOOKUP($B31,LEBT[#ALL],4)/VLOOKUP($B31,표2[#ALL],2)</f>
        <v>0</v>
      </c>
      <c r="AL31" s="310">
        <f>CS_PID!AL31/VLOOKUP($B31,LEBT[#ALL],4)/VLOOKUP($B31,표2[#ALL],2)</f>
        <v>0</v>
      </c>
      <c r="AM31" s="310">
        <f>CS_PID!AM31/VLOOKUP($B31,LEBT[#ALL],4)/VLOOKUP($B31,표2[#ALL],2)</f>
        <v>0</v>
      </c>
      <c r="AN31" s="310">
        <f>CS_PID!AN31/VLOOKUP($B31,LEBT[#ALL],4)/VLOOKUP($B31,표2[#ALL],2)</f>
        <v>0</v>
      </c>
      <c r="AO31" s="310">
        <f>CS_PID!AO31/VLOOKUP($B31,LEBT[#ALL],4)/VLOOKUP($B31,표2[#ALL],2)</f>
        <v>0</v>
      </c>
      <c r="AP31" s="310">
        <f>CS_PID!AP31/VLOOKUP($B31,LEBT[#ALL],4)/VLOOKUP($B31,표2[#ALL],2)</f>
        <v>0</v>
      </c>
      <c r="AQ31" s="310">
        <f>CS_PID!AQ31/VLOOKUP($B31,LEBT[#ALL],4)/VLOOKUP($B31,표2[#ALL],2)</f>
        <v>0</v>
      </c>
      <c r="AR31" s="310">
        <f>CS_PID!AR31/VLOOKUP($B31,LEBT[#ALL],4)/VLOOKUP($B31,표2[#ALL],2)</f>
        <v>0</v>
      </c>
      <c r="AS31" s="310">
        <f>CS_PID!AS31/VLOOKUP($B31,LEBT[#ALL],4)/VLOOKUP($B31,표2[#ALL],2)</f>
        <v>0</v>
      </c>
    </row>
    <row r="32">
      <c r="A32" s="141" t="s">
        <v>78</v>
      </c>
      <c r="B32" s="142">
        <v>289.0</v>
      </c>
      <c r="C32" s="310">
        <f>CS_PID!C32/VLOOKUP($B32,LEBT[#ALL],4)/VLOOKUP($B32,표2[#ALL],2)</f>
        <v>31.72518186</v>
      </c>
      <c r="D32" s="310">
        <f>CS_PID!D32/VLOOKUP($B32,LEBT[#ALL],4)/VLOOKUP($B32,표2[#ALL],2)</f>
        <v>1142.106547</v>
      </c>
      <c r="E32" s="310">
        <f>CS_PID!E32/VLOOKUP($B32,LEBT[#ALL],4)/VLOOKUP($B32,표2[#ALL],2)</f>
        <v>190.3510912</v>
      </c>
      <c r="F32" s="310">
        <f>CS_PID!F32/VLOOKUP($B32,LEBT[#ALL],4)/VLOOKUP($B32,표2[#ALL],2)</f>
        <v>95.17554559</v>
      </c>
      <c r="G32" s="310">
        <f>CS_PID!G32/VLOOKUP($B32,LEBT[#ALL],4)/VLOOKUP($B32,표2[#ALL],2)</f>
        <v>0</v>
      </c>
      <c r="H32" s="310">
        <f>CS_PID!H32/VLOOKUP($B32,LEBT[#ALL],4)/VLOOKUP($B32,표2[#ALL],2)</f>
        <v>95.17554559</v>
      </c>
      <c r="I32" s="310">
        <f>CS_PID!I32/VLOOKUP($B32,LEBT[#ALL],4)/VLOOKUP($B32,표2[#ALL],2)</f>
        <v>920.0302741</v>
      </c>
      <c r="J32" s="310">
        <f>CS_PID!J32/VLOOKUP($B32,LEBT[#ALL],4)/VLOOKUP($B32,표2[#ALL],2)</f>
        <v>1998.686457</v>
      </c>
      <c r="K32" s="310">
        <f>CS_PID!K32/VLOOKUP($B32,LEBT[#ALL],4)/VLOOKUP($B32,표2[#ALL],2)</f>
        <v>126.9007275</v>
      </c>
      <c r="L32" s="310">
        <f>CS_PID!L32/VLOOKUP($B32,LEBT[#ALL],4)/VLOOKUP($B32,표2[#ALL],2)</f>
        <v>0</v>
      </c>
      <c r="M32" s="310">
        <f>CS_PID!M32/VLOOKUP($B32,LEBT[#ALL],4)/VLOOKUP($B32,표2[#ALL],2)</f>
        <v>0</v>
      </c>
      <c r="N32" s="310">
        <f>CS_PID!N32/VLOOKUP($B32,LEBT[#ALL],4)/VLOOKUP($B32,표2[#ALL],2)</f>
        <v>0</v>
      </c>
      <c r="O32" s="310">
        <f>CS_PID!O32/VLOOKUP($B32,LEBT[#ALL],4)/VLOOKUP($B32,표2[#ALL],2)</f>
        <v>1522.808729</v>
      </c>
      <c r="P32" s="310">
        <f>CS_PID!P32/VLOOKUP($B32,LEBT[#ALL],4)/VLOOKUP($B32,표2[#ALL],2)</f>
        <v>2474.564185</v>
      </c>
      <c r="Q32" s="310">
        <f>CS_PID!Q32/VLOOKUP($B32,LEBT[#ALL],4)/VLOOKUP($B32,표2[#ALL],2)</f>
        <v>222.0762731</v>
      </c>
      <c r="R32" s="310">
        <f>CS_PID!R32/VLOOKUP($B32,LEBT[#ALL],4)/VLOOKUP($B32,표2[#ALL],2)</f>
        <v>0</v>
      </c>
      <c r="S32" s="310">
        <f>CS_PID!S32/VLOOKUP($B32,LEBT[#ALL],4)/VLOOKUP($B32,표2[#ALL],2)</f>
        <v>0</v>
      </c>
      <c r="T32" s="310">
        <f>CS_PID!T32/VLOOKUP($B32,LEBT[#ALL],4)/VLOOKUP($B32,표2[#ALL],2)</f>
        <v>0</v>
      </c>
      <c r="U32" s="310">
        <f>CS_PID!U32/VLOOKUP($B32,LEBT[#ALL],4)/VLOOKUP($B32,표2[#ALL],2)</f>
        <v>1554.533911</v>
      </c>
      <c r="V32" s="310">
        <f>CS_PID!V32/VLOOKUP($B32,LEBT[#ALL],4)/VLOOKUP($B32,표2[#ALL],2)</f>
        <v>3299.418914</v>
      </c>
      <c r="W32" s="310">
        <f>CS_PID!W32/VLOOKUP($B32,LEBT[#ALL],4)/VLOOKUP($B32,표2[#ALL],2)</f>
        <v>126.9007275</v>
      </c>
      <c r="X32" s="310">
        <f>CS_PID!X32/VLOOKUP($B32,LEBT[#ALL],4)/VLOOKUP($B32,표2[#ALL],2)</f>
        <v>0</v>
      </c>
      <c r="Y32" s="310">
        <f>CS_PID!Y32/VLOOKUP($B32,LEBT[#ALL],4)/VLOOKUP($B32,표2[#ALL],2)</f>
        <v>0</v>
      </c>
      <c r="Z32" s="310">
        <f>CS_PID!Z32/VLOOKUP($B32,LEBT[#ALL],4)/VLOOKUP($B32,표2[#ALL],2)</f>
        <v>31.72518186</v>
      </c>
      <c r="AA32" s="310">
        <f>CS_PID!AA32/VLOOKUP($B32,LEBT[#ALL],4)/VLOOKUP($B32,표2[#ALL],2)</f>
        <v>666.2288192</v>
      </c>
      <c r="AB32" s="310">
        <f>CS_PID!AB32/VLOOKUP($B32,LEBT[#ALL],4)/VLOOKUP($B32,표2[#ALL],2)</f>
        <v>602.7784554</v>
      </c>
      <c r="AC32" s="310">
        <f>CS_PID!AC32/VLOOKUP($B32,LEBT[#ALL],4)/VLOOKUP($B32,표2[#ALL],2)</f>
        <v>31.72518186</v>
      </c>
      <c r="AD32" s="310">
        <f>CS_PID!AD32/VLOOKUP($B32,LEBT[#ALL],4)/VLOOKUP($B32,표2[#ALL],2)</f>
        <v>0</v>
      </c>
      <c r="AE32" s="310">
        <f>CS_PID!AE32/VLOOKUP($B32,LEBT[#ALL],4)/VLOOKUP($B32,표2[#ALL],2)</f>
        <v>0</v>
      </c>
      <c r="AF32" s="310">
        <f>CS_PID!AF32/VLOOKUP($B32,LEBT[#ALL],4)/VLOOKUP($B32,표2[#ALL],2)</f>
        <v>0</v>
      </c>
      <c r="AG32" s="310">
        <f>CS_PID!AG32/VLOOKUP($B32,LEBT[#ALL],4)/VLOOKUP($B32,표2[#ALL],2)</f>
        <v>95.17554559</v>
      </c>
      <c r="AH32" s="310">
        <f>CS_PID!AH32/VLOOKUP($B32,LEBT[#ALL],4)/VLOOKUP($B32,표2[#ALL],2)</f>
        <v>0</v>
      </c>
      <c r="AI32" s="310">
        <f>CS_PID!AI32/VLOOKUP($B32,LEBT[#ALL],4)/VLOOKUP($B32,표2[#ALL],2)</f>
        <v>0</v>
      </c>
      <c r="AJ32" s="310">
        <f>CS_PID!AJ32/VLOOKUP($B32,LEBT[#ALL],4)/VLOOKUP($B32,표2[#ALL],2)</f>
        <v>0</v>
      </c>
      <c r="AK32" s="310">
        <f>CS_PID!AK32/VLOOKUP($B32,LEBT[#ALL],4)/VLOOKUP($B32,표2[#ALL],2)</f>
        <v>0</v>
      </c>
      <c r="AL32" s="310">
        <f>CS_PID!AL32/VLOOKUP($B32,LEBT[#ALL],4)/VLOOKUP($B32,표2[#ALL],2)</f>
        <v>0</v>
      </c>
      <c r="AM32" s="310">
        <f>CS_PID!AM32/VLOOKUP($B32,LEBT[#ALL],4)/VLOOKUP($B32,표2[#ALL],2)</f>
        <v>0</v>
      </c>
      <c r="AN32" s="310">
        <f>CS_PID!AN32/VLOOKUP($B32,LEBT[#ALL],4)/VLOOKUP($B32,표2[#ALL],2)</f>
        <v>0</v>
      </c>
      <c r="AO32" s="310">
        <f>CS_PID!AO32/VLOOKUP($B32,LEBT[#ALL],4)/VLOOKUP($B32,표2[#ALL],2)</f>
        <v>0</v>
      </c>
      <c r="AP32" s="310">
        <f>CS_PID!AP32/VLOOKUP($B32,LEBT[#ALL],4)/VLOOKUP($B32,표2[#ALL],2)</f>
        <v>0</v>
      </c>
      <c r="AQ32" s="310">
        <f>CS_PID!AQ32/VLOOKUP($B32,LEBT[#ALL],4)/VLOOKUP($B32,표2[#ALL],2)</f>
        <v>0</v>
      </c>
      <c r="AR32" s="310">
        <f>CS_PID!AR32/VLOOKUP($B32,LEBT[#ALL],4)/VLOOKUP($B32,표2[#ALL],2)</f>
        <v>0</v>
      </c>
      <c r="AS32" s="310">
        <f>CS_PID!AS32/VLOOKUP($B32,LEBT[#ALL],4)/VLOOKUP($B32,표2[#ALL],2)</f>
        <v>0</v>
      </c>
    </row>
    <row r="33">
      <c r="A33" s="141" t="s">
        <v>78</v>
      </c>
      <c r="B33" s="142">
        <v>290.0</v>
      </c>
      <c r="C33" s="310">
        <f>CS_PID!C33/VLOOKUP($B33,LEBT[#ALL],4)/VLOOKUP($B33,표2[#ALL],2)</f>
        <v>0</v>
      </c>
      <c r="D33" s="310">
        <f>CS_PID!D33/VLOOKUP($B33,LEBT[#ALL],4)/VLOOKUP($B33,표2[#ALL],2)</f>
        <v>841.442932</v>
      </c>
      <c r="E33" s="310">
        <f>CS_PID!E33/VLOOKUP($B33,LEBT[#ALL],4)/VLOOKUP($B33,표2[#ALL],2)</f>
        <v>382.47406</v>
      </c>
      <c r="F33" s="310">
        <f>CS_PID!F33/VLOOKUP($B33,LEBT[#ALL],4)/VLOOKUP($B33,표2[#ALL],2)</f>
        <v>0</v>
      </c>
      <c r="G33" s="310">
        <f>CS_PID!G33/VLOOKUP($B33,LEBT[#ALL],4)/VLOOKUP($B33,표2[#ALL],2)</f>
        <v>0</v>
      </c>
      <c r="H33" s="310">
        <f>CS_PID!H33/VLOOKUP($B33,LEBT[#ALL],4)/VLOOKUP($B33,표2[#ALL],2)</f>
        <v>76.494812</v>
      </c>
      <c r="I33" s="310">
        <f>CS_PID!I33/VLOOKUP($B33,LEBT[#ALL],4)/VLOOKUP($B33,표2[#ALL],2)</f>
        <v>1032.679962</v>
      </c>
      <c r="J33" s="310">
        <f>CS_PID!J33/VLOOKUP($B33,LEBT[#ALL],4)/VLOOKUP($B33,표2[#ALL],2)</f>
        <v>1606.391052</v>
      </c>
      <c r="K33" s="310">
        <f>CS_PID!K33/VLOOKUP($B33,LEBT[#ALL],4)/VLOOKUP($B33,표2[#ALL],2)</f>
        <v>152.989624</v>
      </c>
      <c r="L33" s="310">
        <f>CS_PID!L33/VLOOKUP($B33,LEBT[#ALL],4)/VLOOKUP($B33,표2[#ALL],2)</f>
        <v>0</v>
      </c>
      <c r="M33" s="310">
        <f>CS_PID!M33/VLOOKUP($B33,LEBT[#ALL],4)/VLOOKUP($B33,표2[#ALL],2)</f>
        <v>0</v>
      </c>
      <c r="N33" s="310">
        <f>CS_PID!N33/VLOOKUP($B33,LEBT[#ALL],4)/VLOOKUP($B33,표2[#ALL],2)</f>
        <v>0</v>
      </c>
      <c r="O33" s="310">
        <f>CS_PID!O33/VLOOKUP($B33,LEBT[#ALL],4)/VLOOKUP($B33,표2[#ALL],2)</f>
        <v>2180.102142</v>
      </c>
      <c r="P33" s="310">
        <f>CS_PID!P33/VLOOKUP($B33,LEBT[#ALL],4)/VLOOKUP($B33,표2[#ALL],2)</f>
        <v>2371.339172</v>
      </c>
      <c r="Q33" s="310">
        <f>CS_PID!Q33/VLOOKUP($B33,LEBT[#ALL],4)/VLOOKUP($B33,표2[#ALL],2)</f>
        <v>535.463684</v>
      </c>
      <c r="R33" s="310">
        <f>CS_PID!R33/VLOOKUP($B33,LEBT[#ALL],4)/VLOOKUP($B33,표2[#ALL],2)</f>
        <v>0</v>
      </c>
      <c r="S33" s="310">
        <f>CS_PID!S33/VLOOKUP($B33,LEBT[#ALL],4)/VLOOKUP($B33,표2[#ALL],2)</f>
        <v>0</v>
      </c>
      <c r="T33" s="310">
        <f>CS_PID!T33/VLOOKUP($B33,LEBT[#ALL],4)/VLOOKUP($B33,표2[#ALL],2)</f>
        <v>0</v>
      </c>
      <c r="U33" s="310">
        <f>CS_PID!U33/VLOOKUP($B33,LEBT[#ALL],4)/VLOOKUP($B33,표2[#ALL],2)</f>
        <v>1338.65921</v>
      </c>
      <c r="V33" s="310">
        <f>CS_PID!V33/VLOOKUP($B33,LEBT[#ALL],4)/VLOOKUP($B33,표2[#ALL],2)</f>
        <v>3480.513946</v>
      </c>
      <c r="W33" s="310">
        <f>CS_PID!W33/VLOOKUP($B33,LEBT[#ALL],4)/VLOOKUP($B33,표2[#ALL],2)</f>
        <v>76.494812</v>
      </c>
      <c r="X33" s="310">
        <f>CS_PID!X33/VLOOKUP($B33,LEBT[#ALL],4)/VLOOKUP($B33,표2[#ALL],2)</f>
        <v>0</v>
      </c>
      <c r="Y33" s="310">
        <f>CS_PID!Y33/VLOOKUP($B33,LEBT[#ALL],4)/VLOOKUP($B33,표2[#ALL],2)</f>
        <v>0</v>
      </c>
      <c r="Z33" s="310">
        <f>CS_PID!Z33/VLOOKUP($B33,LEBT[#ALL],4)/VLOOKUP($B33,표2[#ALL],2)</f>
        <v>0</v>
      </c>
      <c r="AA33" s="310">
        <f>CS_PID!AA33/VLOOKUP($B33,LEBT[#ALL],4)/VLOOKUP($B33,표2[#ALL],2)</f>
        <v>879.690338</v>
      </c>
      <c r="AB33" s="310">
        <f>CS_PID!AB33/VLOOKUP($B33,LEBT[#ALL],4)/VLOOKUP($B33,표2[#ALL],2)</f>
        <v>382.47406</v>
      </c>
      <c r="AC33" s="310">
        <f>CS_PID!AC33/VLOOKUP($B33,LEBT[#ALL],4)/VLOOKUP($B33,표2[#ALL],2)</f>
        <v>76.494812</v>
      </c>
      <c r="AD33" s="310">
        <f>CS_PID!AD33/VLOOKUP($B33,LEBT[#ALL],4)/VLOOKUP($B33,표2[#ALL],2)</f>
        <v>0</v>
      </c>
      <c r="AE33" s="310">
        <f>CS_PID!AE33/VLOOKUP($B33,LEBT[#ALL],4)/VLOOKUP($B33,표2[#ALL],2)</f>
        <v>0</v>
      </c>
      <c r="AF33" s="310">
        <f>CS_PID!AF33/VLOOKUP($B33,LEBT[#ALL],4)/VLOOKUP($B33,표2[#ALL],2)</f>
        <v>0</v>
      </c>
      <c r="AG33" s="310">
        <f>CS_PID!AG33/VLOOKUP($B33,LEBT[#ALL],4)/VLOOKUP($B33,표2[#ALL],2)</f>
        <v>191.23703</v>
      </c>
      <c r="AH33" s="310">
        <f>CS_PID!AH33/VLOOKUP($B33,LEBT[#ALL],4)/VLOOKUP($B33,표2[#ALL],2)</f>
        <v>38.247406</v>
      </c>
      <c r="AI33" s="310">
        <f>CS_PID!AI33/VLOOKUP($B33,LEBT[#ALL],4)/VLOOKUP($B33,표2[#ALL],2)</f>
        <v>0</v>
      </c>
      <c r="AJ33" s="310">
        <f>CS_PID!AJ33/VLOOKUP($B33,LEBT[#ALL],4)/VLOOKUP($B33,표2[#ALL],2)</f>
        <v>0</v>
      </c>
      <c r="AK33" s="310">
        <f>CS_PID!AK33/VLOOKUP($B33,LEBT[#ALL],4)/VLOOKUP($B33,표2[#ALL],2)</f>
        <v>0</v>
      </c>
      <c r="AL33" s="310">
        <f>CS_PID!AL33/VLOOKUP($B33,LEBT[#ALL],4)/VLOOKUP($B33,표2[#ALL],2)</f>
        <v>0</v>
      </c>
      <c r="AM33" s="310">
        <f>CS_PID!AM33/VLOOKUP($B33,LEBT[#ALL],4)/VLOOKUP($B33,표2[#ALL],2)</f>
        <v>0</v>
      </c>
      <c r="AN33" s="310">
        <f>CS_PID!AN33/VLOOKUP($B33,LEBT[#ALL],4)/VLOOKUP($B33,표2[#ALL],2)</f>
        <v>0</v>
      </c>
      <c r="AO33" s="310">
        <f>CS_PID!AO33/VLOOKUP($B33,LEBT[#ALL],4)/VLOOKUP($B33,표2[#ALL],2)</f>
        <v>0</v>
      </c>
      <c r="AP33" s="310">
        <f>CS_PID!AP33/VLOOKUP($B33,LEBT[#ALL],4)/VLOOKUP($B33,표2[#ALL],2)</f>
        <v>0</v>
      </c>
      <c r="AQ33" s="310">
        <f>CS_PID!AQ33/VLOOKUP($B33,LEBT[#ALL],4)/VLOOKUP($B33,표2[#ALL],2)</f>
        <v>0</v>
      </c>
      <c r="AR33" s="310">
        <f>CS_PID!AR33/VLOOKUP($B33,LEBT[#ALL],4)/VLOOKUP($B33,표2[#ALL],2)</f>
        <v>0</v>
      </c>
      <c r="AS33" s="310">
        <f>CS_PID!AS33/VLOOKUP($B33,LEBT[#ALL],4)/VLOOKUP($B33,표2[#ALL],2)</f>
        <v>0</v>
      </c>
    </row>
    <row r="34">
      <c r="A34" s="141" t="s">
        <v>78</v>
      </c>
      <c r="B34" s="142">
        <v>291.0</v>
      </c>
      <c r="C34" s="310">
        <f>CS_PID!C34/VLOOKUP($B34,LEBT[#ALL],4)/VLOOKUP($B34,표2[#ALL],2)</f>
        <v>0</v>
      </c>
      <c r="D34" s="310">
        <f>CS_PID!D34/VLOOKUP($B34,LEBT[#ALL],4)/VLOOKUP($B34,표2[#ALL],2)</f>
        <v>605.7528627</v>
      </c>
      <c r="E34" s="310">
        <f>CS_PID!E34/VLOOKUP($B34,LEBT[#ALL],4)/VLOOKUP($B34,표2[#ALL],2)</f>
        <v>302.8764313</v>
      </c>
      <c r="F34" s="310">
        <f>CS_PID!F34/VLOOKUP($B34,LEBT[#ALL],4)/VLOOKUP($B34,표2[#ALL],2)</f>
        <v>0</v>
      </c>
      <c r="G34" s="310">
        <f>CS_PID!G34/VLOOKUP($B34,LEBT[#ALL],4)/VLOOKUP($B34,표2[#ALL],2)</f>
        <v>0</v>
      </c>
      <c r="H34" s="310">
        <f>CS_PID!H34/VLOOKUP($B34,LEBT[#ALL],4)/VLOOKUP($B34,표2[#ALL],2)</f>
        <v>0</v>
      </c>
      <c r="I34" s="310">
        <f>CS_PID!I34/VLOOKUP($B34,LEBT[#ALL],4)/VLOOKUP($B34,표2[#ALL],2)</f>
        <v>1514.382157</v>
      </c>
      <c r="J34" s="310">
        <f>CS_PID!J34/VLOOKUP($B34,LEBT[#ALL],4)/VLOOKUP($B34,표2[#ALL],2)</f>
        <v>908.629294</v>
      </c>
      <c r="K34" s="310">
        <f>CS_PID!K34/VLOOKUP($B34,LEBT[#ALL],4)/VLOOKUP($B34,표2[#ALL],2)</f>
        <v>0</v>
      </c>
      <c r="L34" s="310">
        <f>CS_PID!L34/VLOOKUP($B34,LEBT[#ALL],4)/VLOOKUP($B34,표2[#ALL],2)</f>
        <v>0</v>
      </c>
      <c r="M34" s="310">
        <f>CS_PID!M34/VLOOKUP($B34,LEBT[#ALL],4)/VLOOKUP($B34,표2[#ALL],2)</f>
        <v>0</v>
      </c>
      <c r="N34" s="310">
        <f>CS_PID!N34/VLOOKUP($B34,LEBT[#ALL],4)/VLOOKUP($B34,표2[#ALL],2)</f>
        <v>0</v>
      </c>
      <c r="O34" s="310">
        <f>CS_PID!O34/VLOOKUP($B34,LEBT[#ALL],4)/VLOOKUP($B34,표2[#ALL],2)</f>
        <v>1514.382157</v>
      </c>
      <c r="P34" s="310">
        <f>CS_PID!P34/VLOOKUP($B34,LEBT[#ALL],4)/VLOOKUP($B34,표2[#ALL],2)</f>
        <v>2725.887882</v>
      </c>
      <c r="Q34" s="310">
        <f>CS_PID!Q34/VLOOKUP($B34,LEBT[#ALL],4)/VLOOKUP($B34,표2[#ALL],2)</f>
        <v>605.7528627</v>
      </c>
      <c r="R34" s="310">
        <f>CS_PID!R34/VLOOKUP($B34,LEBT[#ALL],4)/VLOOKUP($B34,표2[#ALL],2)</f>
        <v>0</v>
      </c>
      <c r="S34" s="310">
        <f>CS_PID!S34/VLOOKUP($B34,LEBT[#ALL],4)/VLOOKUP($B34,표2[#ALL],2)</f>
        <v>0</v>
      </c>
      <c r="T34" s="310">
        <f>CS_PID!T34/VLOOKUP($B34,LEBT[#ALL],4)/VLOOKUP($B34,표2[#ALL],2)</f>
        <v>0</v>
      </c>
      <c r="U34" s="310">
        <f>CS_PID!U34/VLOOKUP($B34,LEBT[#ALL],4)/VLOOKUP($B34,표2[#ALL],2)</f>
        <v>1817.258588</v>
      </c>
      <c r="V34" s="310">
        <f>CS_PID!V34/VLOOKUP($B34,LEBT[#ALL],4)/VLOOKUP($B34,표2[#ALL],2)</f>
        <v>2725.887882</v>
      </c>
      <c r="W34" s="310">
        <f>CS_PID!W34/VLOOKUP($B34,LEBT[#ALL],4)/VLOOKUP($B34,표2[#ALL],2)</f>
        <v>0</v>
      </c>
      <c r="X34" s="310">
        <f>CS_PID!X34/VLOOKUP($B34,LEBT[#ALL],4)/VLOOKUP($B34,표2[#ALL],2)</f>
        <v>0</v>
      </c>
      <c r="Y34" s="310">
        <f>CS_PID!Y34/VLOOKUP($B34,LEBT[#ALL],4)/VLOOKUP($B34,표2[#ALL],2)</f>
        <v>0</v>
      </c>
      <c r="Z34" s="310">
        <f>CS_PID!Z34/VLOOKUP($B34,LEBT[#ALL],4)/VLOOKUP($B34,표2[#ALL],2)</f>
        <v>0</v>
      </c>
      <c r="AA34" s="310">
        <f>CS_PID!AA34/VLOOKUP($B34,LEBT[#ALL],4)/VLOOKUP($B34,표2[#ALL],2)</f>
        <v>605.7528627</v>
      </c>
      <c r="AB34" s="310">
        <f>CS_PID!AB34/VLOOKUP($B34,LEBT[#ALL],4)/VLOOKUP($B34,표2[#ALL],2)</f>
        <v>0</v>
      </c>
      <c r="AC34" s="310">
        <f>CS_PID!AC34/VLOOKUP($B34,LEBT[#ALL],4)/VLOOKUP($B34,표2[#ALL],2)</f>
        <v>0</v>
      </c>
      <c r="AD34" s="310">
        <f>CS_PID!AD34/VLOOKUP($B34,LEBT[#ALL],4)/VLOOKUP($B34,표2[#ALL],2)</f>
        <v>0</v>
      </c>
      <c r="AE34" s="310">
        <f>CS_PID!AE34/VLOOKUP($B34,LEBT[#ALL],4)/VLOOKUP($B34,표2[#ALL],2)</f>
        <v>0</v>
      </c>
      <c r="AF34" s="310">
        <f>CS_PID!AF34/VLOOKUP($B34,LEBT[#ALL],4)/VLOOKUP($B34,표2[#ALL],2)</f>
        <v>0</v>
      </c>
      <c r="AG34" s="310">
        <f>CS_PID!AG34/VLOOKUP($B34,LEBT[#ALL],4)/VLOOKUP($B34,표2[#ALL],2)</f>
        <v>605.7528627</v>
      </c>
      <c r="AH34" s="310">
        <f>CS_PID!AH34/VLOOKUP($B34,LEBT[#ALL],4)/VLOOKUP($B34,표2[#ALL],2)</f>
        <v>0</v>
      </c>
      <c r="AI34" s="310">
        <f>CS_PID!AI34/VLOOKUP($B34,LEBT[#ALL],4)/VLOOKUP($B34,표2[#ALL],2)</f>
        <v>0</v>
      </c>
      <c r="AJ34" s="310">
        <f>CS_PID!AJ34/VLOOKUP($B34,LEBT[#ALL],4)/VLOOKUP($B34,표2[#ALL],2)</f>
        <v>0</v>
      </c>
      <c r="AK34" s="310">
        <f>CS_PID!AK34/VLOOKUP($B34,LEBT[#ALL],4)/VLOOKUP($B34,표2[#ALL],2)</f>
        <v>0</v>
      </c>
      <c r="AL34" s="310">
        <f>CS_PID!AL34/VLOOKUP($B34,LEBT[#ALL],4)/VLOOKUP($B34,표2[#ALL],2)</f>
        <v>0</v>
      </c>
      <c r="AM34" s="310">
        <f>CS_PID!AM34/VLOOKUP($B34,LEBT[#ALL],4)/VLOOKUP($B34,표2[#ALL],2)</f>
        <v>0</v>
      </c>
      <c r="AN34" s="310">
        <f>CS_PID!AN34/VLOOKUP($B34,LEBT[#ALL],4)/VLOOKUP($B34,표2[#ALL],2)</f>
        <v>0</v>
      </c>
      <c r="AO34" s="310">
        <f>CS_PID!AO34/VLOOKUP($B34,LEBT[#ALL],4)/VLOOKUP($B34,표2[#ALL],2)</f>
        <v>0</v>
      </c>
      <c r="AP34" s="310">
        <f>CS_PID!AP34/VLOOKUP($B34,LEBT[#ALL],4)/VLOOKUP($B34,표2[#ALL],2)</f>
        <v>0</v>
      </c>
      <c r="AQ34" s="310">
        <f>CS_PID!AQ34/VLOOKUP($B34,LEBT[#ALL],4)/VLOOKUP($B34,표2[#ALL],2)</f>
        <v>0</v>
      </c>
      <c r="AR34" s="310">
        <f>CS_PID!AR34/VLOOKUP($B34,LEBT[#ALL],4)/VLOOKUP($B34,표2[#ALL],2)</f>
        <v>0</v>
      </c>
      <c r="AS34" s="310">
        <f>CS_PID!AS34/VLOOKUP($B34,LEBT[#ALL],4)/VLOOKUP($B34,표2[#ALL],2)</f>
        <v>0</v>
      </c>
    </row>
    <row r="35">
      <c r="A35" s="141" t="s">
        <v>78</v>
      </c>
      <c r="B35" s="142">
        <v>292.0</v>
      </c>
      <c r="C35" s="310">
        <f>CS_PID!C35/VLOOKUP($B35,LEBT[#ALL],4)/VLOOKUP($B35,표2[#ALL],2)</f>
        <v>128.5005547</v>
      </c>
      <c r="D35" s="310">
        <f>CS_PID!D35/VLOOKUP($B35,LEBT[#ALL],4)/VLOOKUP($B35,표2[#ALL],2)</f>
        <v>899.5038832</v>
      </c>
      <c r="E35" s="310">
        <f>CS_PID!E35/VLOOKUP($B35,LEBT[#ALL],4)/VLOOKUP($B35,표2[#ALL],2)</f>
        <v>128.5005547</v>
      </c>
      <c r="F35" s="310">
        <f>CS_PID!F35/VLOOKUP($B35,LEBT[#ALL],4)/VLOOKUP($B35,표2[#ALL],2)</f>
        <v>0</v>
      </c>
      <c r="G35" s="310">
        <f>CS_PID!G35/VLOOKUP($B35,LEBT[#ALL],4)/VLOOKUP($B35,표2[#ALL],2)</f>
        <v>0</v>
      </c>
      <c r="H35" s="310">
        <f>CS_PID!H35/VLOOKUP($B35,LEBT[#ALL],4)/VLOOKUP($B35,표2[#ALL],2)</f>
        <v>385.5016642</v>
      </c>
      <c r="I35" s="310">
        <f>CS_PID!I35/VLOOKUP($B35,LEBT[#ALL],4)/VLOOKUP($B35,표2[#ALL],2)</f>
        <v>385.5016642</v>
      </c>
      <c r="J35" s="310">
        <f>CS_PID!J35/VLOOKUP($B35,LEBT[#ALL],4)/VLOOKUP($B35,표2[#ALL],2)</f>
        <v>1927.508321</v>
      </c>
      <c r="K35" s="310">
        <f>CS_PID!K35/VLOOKUP($B35,LEBT[#ALL],4)/VLOOKUP($B35,표2[#ALL],2)</f>
        <v>0</v>
      </c>
      <c r="L35" s="310">
        <f>CS_PID!L35/VLOOKUP($B35,LEBT[#ALL],4)/VLOOKUP($B35,표2[#ALL],2)</f>
        <v>0</v>
      </c>
      <c r="M35" s="310">
        <f>CS_PID!M35/VLOOKUP($B35,LEBT[#ALL],4)/VLOOKUP($B35,표2[#ALL],2)</f>
        <v>0</v>
      </c>
      <c r="N35" s="310">
        <f>CS_PID!N35/VLOOKUP($B35,LEBT[#ALL],4)/VLOOKUP($B35,표2[#ALL],2)</f>
        <v>0</v>
      </c>
      <c r="O35" s="310">
        <f>CS_PID!O35/VLOOKUP($B35,LEBT[#ALL],4)/VLOOKUP($B35,표2[#ALL],2)</f>
        <v>1542.006657</v>
      </c>
      <c r="P35" s="310">
        <f>CS_PID!P35/VLOOKUP($B35,LEBT[#ALL],4)/VLOOKUP($B35,표2[#ALL],2)</f>
        <v>2441.51054</v>
      </c>
      <c r="Q35" s="310">
        <f>CS_PID!Q35/VLOOKUP($B35,LEBT[#ALL],4)/VLOOKUP($B35,표2[#ALL],2)</f>
        <v>257.0011095</v>
      </c>
      <c r="R35" s="310">
        <f>CS_PID!R35/VLOOKUP($B35,LEBT[#ALL],4)/VLOOKUP($B35,표2[#ALL],2)</f>
        <v>0</v>
      </c>
      <c r="S35" s="310">
        <f>CS_PID!S35/VLOOKUP($B35,LEBT[#ALL],4)/VLOOKUP($B35,표2[#ALL],2)</f>
        <v>0</v>
      </c>
      <c r="T35" s="310">
        <f>CS_PID!T35/VLOOKUP($B35,LEBT[#ALL],4)/VLOOKUP($B35,표2[#ALL],2)</f>
        <v>0</v>
      </c>
      <c r="U35" s="310">
        <f>CS_PID!U35/VLOOKUP($B35,LEBT[#ALL],4)/VLOOKUP($B35,표2[#ALL],2)</f>
        <v>1927.508321</v>
      </c>
      <c r="V35" s="310">
        <f>CS_PID!V35/VLOOKUP($B35,LEBT[#ALL],4)/VLOOKUP($B35,표2[#ALL],2)</f>
        <v>3598.015533</v>
      </c>
      <c r="W35" s="310">
        <f>CS_PID!W35/VLOOKUP($B35,LEBT[#ALL],4)/VLOOKUP($B35,표2[#ALL],2)</f>
        <v>128.5005547</v>
      </c>
      <c r="X35" s="310">
        <f>CS_PID!X35/VLOOKUP($B35,LEBT[#ALL],4)/VLOOKUP($B35,표2[#ALL],2)</f>
        <v>0</v>
      </c>
      <c r="Y35" s="310">
        <f>CS_PID!Y35/VLOOKUP($B35,LEBT[#ALL],4)/VLOOKUP($B35,표2[#ALL],2)</f>
        <v>0</v>
      </c>
      <c r="Z35" s="310">
        <f>CS_PID!Z35/VLOOKUP($B35,LEBT[#ALL],4)/VLOOKUP($B35,표2[#ALL],2)</f>
        <v>0</v>
      </c>
      <c r="AA35" s="310">
        <f>CS_PID!AA35/VLOOKUP($B35,LEBT[#ALL],4)/VLOOKUP($B35,표2[#ALL],2)</f>
        <v>257.0011095</v>
      </c>
      <c r="AB35" s="310">
        <f>CS_PID!AB35/VLOOKUP($B35,LEBT[#ALL],4)/VLOOKUP($B35,표2[#ALL],2)</f>
        <v>1156.504993</v>
      </c>
      <c r="AC35" s="310">
        <f>CS_PID!AC35/VLOOKUP($B35,LEBT[#ALL],4)/VLOOKUP($B35,표2[#ALL],2)</f>
        <v>128.5005547</v>
      </c>
      <c r="AD35" s="310">
        <f>CS_PID!AD35/VLOOKUP($B35,LEBT[#ALL],4)/VLOOKUP($B35,표2[#ALL],2)</f>
        <v>0</v>
      </c>
      <c r="AE35" s="310">
        <f>CS_PID!AE35/VLOOKUP($B35,LEBT[#ALL],4)/VLOOKUP($B35,표2[#ALL],2)</f>
        <v>0</v>
      </c>
      <c r="AF35" s="310">
        <f>CS_PID!AF35/VLOOKUP($B35,LEBT[#ALL],4)/VLOOKUP($B35,표2[#ALL],2)</f>
        <v>0</v>
      </c>
      <c r="AG35" s="310">
        <f>CS_PID!AG35/VLOOKUP($B35,LEBT[#ALL],4)/VLOOKUP($B35,표2[#ALL],2)</f>
        <v>0</v>
      </c>
      <c r="AH35" s="310">
        <f>CS_PID!AH35/VLOOKUP($B35,LEBT[#ALL],4)/VLOOKUP($B35,표2[#ALL],2)</f>
        <v>0</v>
      </c>
      <c r="AI35" s="310">
        <f>CS_PID!AI35/VLOOKUP($B35,LEBT[#ALL],4)/VLOOKUP($B35,표2[#ALL],2)</f>
        <v>0</v>
      </c>
      <c r="AJ35" s="310">
        <f>CS_PID!AJ35/VLOOKUP($B35,LEBT[#ALL],4)/VLOOKUP($B35,표2[#ALL],2)</f>
        <v>0</v>
      </c>
      <c r="AK35" s="310">
        <f>CS_PID!AK35/VLOOKUP($B35,LEBT[#ALL],4)/VLOOKUP($B35,표2[#ALL],2)</f>
        <v>0</v>
      </c>
      <c r="AL35" s="310">
        <f>CS_PID!AL35/VLOOKUP($B35,LEBT[#ALL],4)/VLOOKUP($B35,표2[#ALL],2)</f>
        <v>0</v>
      </c>
      <c r="AM35" s="310">
        <f>CS_PID!AM35/VLOOKUP($B35,LEBT[#ALL],4)/VLOOKUP($B35,표2[#ALL],2)</f>
        <v>0</v>
      </c>
      <c r="AN35" s="310">
        <f>CS_PID!AN35/VLOOKUP($B35,LEBT[#ALL],4)/VLOOKUP($B35,표2[#ALL],2)</f>
        <v>0</v>
      </c>
      <c r="AO35" s="310">
        <f>CS_PID!AO35/VLOOKUP($B35,LEBT[#ALL],4)/VLOOKUP($B35,표2[#ALL],2)</f>
        <v>0</v>
      </c>
      <c r="AP35" s="310">
        <f>CS_PID!AP35/VLOOKUP($B35,LEBT[#ALL],4)/VLOOKUP($B35,표2[#ALL],2)</f>
        <v>0</v>
      </c>
      <c r="AQ35" s="310">
        <f>CS_PID!AQ35/VLOOKUP($B35,LEBT[#ALL],4)/VLOOKUP($B35,표2[#ALL],2)</f>
        <v>0</v>
      </c>
      <c r="AR35" s="310">
        <f>CS_PID!AR35/VLOOKUP($B35,LEBT[#ALL],4)/VLOOKUP($B35,표2[#ALL],2)</f>
        <v>0</v>
      </c>
      <c r="AS35" s="310">
        <f>CS_PID!AS35/VLOOKUP($B35,LEBT[#ALL],4)/VLOOKUP($B35,표2[#ALL],2)</f>
        <v>0</v>
      </c>
    </row>
    <row r="36">
      <c r="A36" s="141" t="s">
        <v>78</v>
      </c>
      <c r="B36" s="142">
        <v>293.0</v>
      </c>
      <c r="C36" s="310">
        <f>CS_PID!C36/VLOOKUP($B36,LEBT[#ALL],4)/VLOOKUP($B36,표2[#ALL],2)</f>
        <v>36.54196135</v>
      </c>
      <c r="D36" s="310">
        <f>CS_PID!D36/VLOOKUP($B36,LEBT[#ALL],4)/VLOOKUP($B36,표2[#ALL],2)</f>
        <v>877.0070723</v>
      </c>
      <c r="E36" s="310">
        <f>CS_PID!E36/VLOOKUP($B36,LEBT[#ALL],4)/VLOOKUP($B36,표2[#ALL],2)</f>
        <v>292.3356908</v>
      </c>
      <c r="F36" s="310">
        <f>CS_PID!F36/VLOOKUP($B36,LEBT[#ALL],4)/VLOOKUP($B36,표2[#ALL],2)</f>
        <v>36.54196135</v>
      </c>
      <c r="G36" s="310">
        <f>CS_PID!G36/VLOOKUP($B36,LEBT[#ALL],4)/VLOOKUP($B36,표2[#ALL],2)</f>
        <v>0</v>
      </c>
      <c r="H36" s="310">
        <f>CS_PID!H36/VLOOKUP($B36,LEBT[#ALL],4)/VLOOKUP($B36,표2[#ALL],2)</f>
        <v>219.2517681</v>
      </c>
      <c r="I36" s="310">
        <f>CS_PID!I36/VLOOKUP($B36,LEBT[#ALL],4)/VLOOKUP($B36,표2[#ALL],2)</f>
        <v>1059.716879</v>
      </c>
      <c r="J36" s="310">
        <f>CS_PID!J36/VLOOKUP($B36,LEBT[#ALL],4)/VLOOKUP($B36,표2[#ALL],2)</f>
        <v>1680.930222</v>
      </c>
      <c r="K36" s="310">
        <f>CS_PID!K36/VLOOKUP($B36,LEBT[#ALL],4)/VLOOKUP($B36,표2[#ALL],2)</f>
        <v>219.2517681</v>
      </c>
      <c r="L36" s="310">
        <f>CS_PID!L36/VLOOKUP($B36,LEBT[#ALL],4)/VLOOKUP($B36,표2[#ALL],2)</f>
        <v>0</v>
      </c>
      <c r="M36" s="310">
        <f>CS_PID!M36/VLOOKUP($B36,LEBT[#ALL],4)/VLOOKUP($B36,표2[#ALL],2)</f>
        <v>0</v>
      </c>
      <c r="N36" s="310">
        <f>CS_PID!N36/VLOOKUP($B36,LEBT[#ALL],4)/VLOOKUP($B36,표2[#ALL],2)</f>
        <v>0</v>
      </c>
      <c r="O36" s="310">
        <f>CS_PID!O36/VLOOKUP($B36,LEBT[#ALL],4)/VLOOKUP($B36,표2[#ALL],2)</f>
        <v>2119.433758</v>
      </c>
      <c r="P36" s="310">
        <f>CS_PID!P36/VLOOKUP($B36,LEBT[#ALL],4)/VLOOKUP($B36,표2[#ALL],2)</f>
        <v>2265.601603</v>
      </c>
      <c r="Q36" s="310">
        <f>CS_PID!Q36/VLOOKUP($B36,LEBT[#ALL],4)/VLOOKUP($B36,표2[#ALL],2)</f>
        <v>292.3356908</v>
      </c>
      <c r="R36" s="310">
        <f>CS_PID!R36/VLOOKUP($B36,LEBT[#ALL],4)/VLOOKUP($B36,표2[#ALL],2)</f>
        <v>0</v>
      </c>
      <c r="S36" s="310">
        <f>CS_PID!S36/VLOOKUP($B36,LEBT[#ALL],4)/VLOOKUP($B36,표2[#ALL],2)</f>
        <v>0</v>
      </c>
      <c r="T36" s="310">
        <f>CS_PID!T36/VLOOKUP($B36,LEBT[#ALL],4)/VLOOKUP($B36,표2[#ALL],2)</f>
        <v>73.08392269</v>
      </c>
      <c r="U36" s="310">
        <f>CS_PID!U36/VLOOKUP($B36,LEBT[#ALL],4)/VLOOKUP($B36,표2[#ALL],2)</f>
        <v>1498.220415</v>
      </c>
      <c r="V36" s="310">
        <f>CS_PID!V36/VLOOKUP($B36,LEBT[#ALL],4)/VLOOKUP($B36,표2[#ALL],2)</f>
        <v>2521.395333</v>
      </c>
      <c r="W36" s="310">
        <f>CS_PID!W36/VLOOKUP($B36,LEBT[#ALL],4)/VLOOKUP($B36,표2[#ALL],2)</f>
        <v>73.08392269</v>
      </c>
      <c r="X36" s="310">
        <f>CS_PID!X36/VLOOKUP($B36,LEBT[#ALL],4)/VLOOKUP($B36,표2[#ALL],2)</f>
        <v>0</v>
      </c>
      <c r="Y36" s="310">
        <f>CS_PID!Y36/VLOOKUP($B36,LEBT[#ALL],4)/VLOOKUP($B36,표2[#ALL],2)</f>
        <v>0</v>
      </c>
      <c r="Z36" s="310">
        <f>CS_PID!Z36/VLOOKUP($B36,LEBT[#ALL],4)/VLOOKUP($B36,표2[#ALL],2)</f>
        <v>109.625884</v>
      </c>
      <c r="AA36" s="310">
        <f>CS_PID!AA36/VLOOKUP($B36,LEBT[#ALL],4)/VLOOKUP($B36,표2[#ALL],2)</f>
        <v>840.465111</v>
      </c>
      <c r="AB36" s="310">
        <f>CS_PID!AB36/VLOOKUP($B36,LEBT[#ALL],4)/VLOOKUP($B36,표2[#ALL],2)</f>
        <v>730.8392269</v>
      </c>
      <c r="AC36" s="310">
        <f>CS_PID!AC36/VLOOKUP($B36,LEBT[#ALL],4)/VLOOKUP($B36,표2[#ALL],2)</f>
        <v>0</v>
      </c>
      <c r="AD36" s="310">
        <f>CS_PID!AD36/VLOOKUP($B36,LEBT[#ALL],4)/VLOOKUP($B36,표2[#ALL],2)</f>
        <v>0</v>
      </c>
      <c r="AE36" s="310">
        <f>CS_PID!AE36/VLOOKUP($B36,LEBT[#ALL],4)/VLOOKUP($B36,표2[#ALL],2)</f>
        <v>0</v>
      </c>
      <c r="AF36" s="310">
        <f>CS_PID!AF36/VLOOKUP($B36,LEBT[#ALL],4)/VLOOKUP($B36,표2[#ALL],2)</f>
        <v>0</v>
      </c>
      <c r="AG36" s="310">
        <f>CS_PID!AG36/VLOOKUP($B36,LEBT[#ALL],4)/VLOOKUP($B36,표2[#ALL],2)</f>
        <v>255.7937294</v>
      </c>
      <c r="AH36" s="310">
        <f>CS_PID!AH36/VLOOKUP($B36,LEBT[#ALL],4)/VLOOKUP($B36,표2[#ALL],2)</f>
        <v>36.54196135</v>
      </c>
      <c r="AI36" s="310">
        <f>CS_PID!AI36/VLOOKUP($B36,LEBT[#ALL],4)/VLOOKUP($B36,표2[#ALL],2)</f>
        <v>0</v>
      </c>
      <c r="AJ36" s="310">
        <f>CS_PID!AJ36/VLOOKUP($B36,LEBT[#ALL],4)/VLOOKUP($B36,표2[#ALL],2)</f>
        <v>0</v>
      </c>
      <c r="AK36" s="310">
        <f>CS_PID!AK36/VLOOKUP($B36,LEBT[#ALL],4)/VLOOKUP($B36,표2[#ALL],2)</f>
        <v>0</v>
      </c>
      <c r="AL36" s="310">
        <f>CS_PID!AL36/VLOOKUP($B36,LEBT[#ALL],4)/VLOOKUP($B36,표2[#ALL],2)</f>
        <v>0</v>
      </c>
      <c r="AM36" s="310">
        <f>CS_PID!AM36/VLOOKUP($B36,LEBT[#ALL],4)/VLOOKUP($B36,표2[#ALL],2)</f>
        <v>0</v>
      </c>
      <c r="AN36" s="310">
        <f>CS_PID!AN36/VLOOKUP($B36,LEBT[#ALL],4)/VLOOKUP($B36,표2[#ALL],2)</f>
        <v>0</v>
      </c>
      <c r="AO36" s="310">
        <f>CS_PID!AO36/VLOOKUP($B36,LEBT[#ALL],4)/VLOOKUP($B36,표2[#ALL],2)</f>
        <v>0</v>
      </c>
      <c r="AP36" s="310">
        <f>CS_PID!AP36/VLOOKUP($B36,LEBT[#ALL],4)/VLOOKUP($B36,표2[#ALL],2)</f>
        <v>0</v>
      </c>
      <c r="AQ36" s="310">
        <f>CS_PID!AQ36/VLOOKUP($B36,LEBT[#ALL],4)/VLOOKUP($B36,표2[#ALL],2)</f>
        <v>0</v>
      </c>
      <c r="AR36" s="310">
        <f>CS_PID!AR36/VLOOKUP($B36,LEBT[#ALL],4)/VLOOKUP($B36,표2[#ALL],2)</f>
        <v>0</v>
      </c>
      <c r="AS36" s="310">
        <f>CS_PID!AS36/VLOOKUP($B36,LEBT[#ALL],4)/VLOOKUP($B36,표2[#ALL],2)</f>
        <v>0</v>
      </c>
    </row>
    <row r="37">
      <c r="A37" s="141" t="s">
        <v>78</v>
      </c>
      <c r="B37" s="142">
        <v>294.0</v>
      </c>
      <c r="C37" s="310">
        <f>CS_PID!C37/VLOOKUP($B37,LEBT[#ALL],4)/VLOOKUP($B37,표2[#ALL],2)</f>
        <v>213.3392423</v>
      </c>
      <c r="D37" s="310">
        <f>CS_PID!D37/VLOOKUP($B37,LEBT[#ALL],4)/VLOOKUP($B37,표2[#ALL],2)</f>
        <v>1066.696211</v>
      </c>
      <c r="E37" s="310">
        <f>CS_PID!E37/VLOOKUP($B37,LEBT[#ALL],4)/VLOOKUP($B37,표2[#ALL],2)</f>
        <v>213.3392423</v>
      </c>
      <c r="F37" s="310">
        <f>CS_PID!F37/VLOOKUP($B37,LEBT[#ALL],4)/VLOOKUP($B37,표2[#ALL],2)</f>
        <v>0</v>
      </c>
      <c r="G37" s="310">
        <f>CS_PID!G37/VLOOKUP($B37,LEBT[#ALL],4)/VLOOKUP($B37,표2[#ALL],2)</f>
        <v>0</v>
      </c>
      <c r="H37" s="310">
        <f>CS_PID!H37/VLOOKUP($B37,LEBT[#ALL],4)/VLOOKUP($B37,표2[#ALL],2)</f>
        <v>0</v>
      </c>
      <c r="I37" s="310">
        <f>CS_PID!I37/VLOOKUP($B37,LEBT[#ALL],4)/VLOOKUP($B37,표2[#ALL],2)</f>
        <v>1066.696211</v>
      </c>
      <c r="J37" s="310">
        <f>CS_PID!J37/VLOOKUP($B37,LEBT[#ALL],4)/VLOOKUP($B37,표2[#ALL],2)</f>
        <v>1280.035454</v>
      </c>
      <c r="K37" s="310">
        <f>CS_PID!K37/VLOOKUP($B37,LEBT[#ALL],4)/VLOOKUP($B37,표2[#ALL],2)</f>
        <v>0</v>
      </c>
      <c r="L37" s="310">
        <f>CS_PID!L37/VLOOKUP($B37,LEBT[#ALL],4)/VLOOKUP($B37,표2[#ALL],2)</f>
        <v>0</v>
      </c>
      <c r="M37" s="310">
        <f>CS_PID!M37/VLOOKUP($B37,LEBT[#ALL],4)/VLOOKUP($B37,표2[#ALL],2)</f>
        <v>0</v>
      </c>
      <c r="N37" s="310">
        <f>CS_PID!N37/VLOOKUP($B37,LEBT[#ALL],4)/VLOOKUP($B37,표2[#ALL],2)</f>
        <v>0</v>
      </c>
      <c r="O37" s="310">
        <f>CS_PID!O37/VLOOKUP($B37,LEBT[#ALL],4)/VLOOKUP($B37,표2[#ALL],2)</f>
        <v>2133.392423</v>
      </c>
      <c r="P37" s="310">
        <f>CS_PID!P37/VLOOKUP($B37,LEBT[#ALL],4)/VLOOKUP($B37,표2[#ALL],2)</f>
        <v>1920.053181</v>
      </c>
      <c r="Q37" s="310">
        <f>CS_PID!Q37/VLOOKUP($B37,LEBT[#ALL],4)/VLOOKUP($B37,표2[#ALL],2)</f>
        <v>213.3392423</v>
      </c>
      <c r="R37" s="310">
        <f>CS_PID!R37/VLOOKUP($B37,LEBT[#ALL],4)/VLOOKUP($B37,표2[#ALL],2)</f>
        <v>0</v>
      </c>
      <c r="S37" s="310">
        <f>CS_PID!S37/VLOOKUP($B37,LEBT[#ALL],4)/VLOOKUP($B37,표2[#ALL],2)</f>
        <v>0</v>
      </c>
      <c r="T37" s="310">
        <f>CS_PID!T37/VLOOKUP($B37,LEBT[#ALL],4)/VLOOKUP($B37,표2[#ALL],2)</f>
        <v>0</v>
      </c>
      <c r="U37" s="310">
        <f>CS_PID!U37/VLOOKUP($B37,LEBT[#ALL],4)/VLOOKUP($B37,표2[#ALL],2)</f>
        <v>1280.035454</v>
      </c>
      <c r="V37" s="310">
        <f>CS_PID!V37/VLOOKUP($B37,LEBT[#ALL],4)/VLOOKUP($B37,표2[#ALL],2)</f>
        <v>3840.106361</v>
      </c>
      <c r="W37" s="310">
        <f>CS_PID!W37/VLOOKUP($B37,LEBT[#ALL],4)/VLOOKUP($B37,표2[#ALL],2)</f>
        <v>0</v>
      </c>
      <c r="X37" s="310">
        <f>CS_PID!X37/VLOOKUP($B37,LEBT[#ALL],4)/VLOOKUP($B37,표2[#ALL],2)</f>
        <v>0</v>
      </c>
      <c r="Y37" s="310">
        <f>CS_PID!Y37/VLOOKUP($B37,LEBT[#ALL],4)/VLOOKUP($B37,표2[#ALL],2)</f>
        <v>0</v>
      </c>
      <c r="Z37" s="310">
        <f>CS_PID!Z37/VLOOKUP($B37,LEBT[#ALL],4)/VLOOKUP($B37,표2[#ALL],2)</f>
        <v>0</v>
      </c>
      <c r="AA37" s="310">
        <f>CS_PID!AA37/VLOOKUP($B37,LEBT[#ALL],4)/VLOOKUP($B37,표2[#ALL],2)</f>
        <v>1280.035454</v>
      </c>
      <c r="AB37" s="310">
        <f>CS_PID!AB37/VLOOKUP($B37,LEBT[#ALL],4)/VLOOKUP($B37,표2[#ALL],2)</f>
        <v>213.3392423</v>
      </c>
      <c r="AC37" s="310">
        <f>CS_PID!AC37/VLOOKUP($B37,LEBT[#ALL],4)/VLOOKUP($B37,표2[#ALL],2)</f>
        <v>0</v>
      </c>
      <c r="AD37" s="310">
        <f>CS_PID!AD37/VLOOKUP($B37,LEBT[#ALL],4)/VLOOKUP($B37,표2[#ALL],2)</f>
        <v>0</v>
      </c>
      <c r="AE37" s="310">
        <f>CS_PID!AE37/VLOOKUP($B37,LEBT[#ALL],4)/VLOOKUP($B37,표2[#ALL],2)</f>
        <v>0</v>
      </c>
      <c r="AF37" s="310">
        <f>CS_PID!AF37/VLOOKUP($B37,LEBT[#ALL],4)/VLOOKUP($B37,표2[#ALL],2)</f>
        <v>0</v>
      </c>
      <c r="AG37" s="310">
        <f>CS_PID!AG37/VLOOKUP($B37,LEBT[#ALL],4)/VLOOKUP($B37,표2[#ALL],2)</f>
        <v>213.3392423</v>
      </c>
      <c r="AH37" s="310">
        <f>CS_PID!AH37/VLOOKUP($B37,LEBT[#ALL],4)/VLOOKUP($B37,표2[#ALL],2)</f>
        <v>0</v>
      </c>
      <c r="AI37" s="310">
        <f>CS_PID!AI37/VLOOKUP($B37,LEBT[#ALL],4)/VLOOKUP($B37,표2[#ALL],2)</f>
        <v>0</v>
      </c>
      <c r="AJ37" s="310">
        <f>CS_PID!AJ37/VLOOKUP($B37,LEBT[#ALL],4)/VLOOKUP($B37,표2[#ALL],2)</f>
        <v>0</v>
      </c>
      <c r="AK37" s="310">
        <f>CS_PID!AK37/VLOOKUP($B37,LEBT[#ALL],4)/VLOOKUP($B37,표2[#ALL],2)</f>
        <v>0</v>
      </c>
      <c r="AL37" s="310">
        <f>CS_PID!AL37/VLOOKUP($B37,LEBT[#ALL],4)/VLOOKUP($B37,표2[#ALL],2)</f>
        <v>0</v>
      </c>
      <c r="AM37" s="310">
        <f>CS_PID!AM37/VLOOKUP($B37,LEBT[#ALL],4)/VLOOKUP($B37,표2[#ALL],2)</f>
        <v>0</v>
      </c>
      <c r="AN37" s="310">
        <f>CS_PID!AN37/VLOOKUP($B37,LEBT[#ALL],4)/VLOOKUP($B37,표2[#ALL],2)</f>
        <v>0</v>
      </c>
      <c r="AO37" s="310">
        <f>CS_PID!AO37/VLOOKUP($B37,LEBT[#ALL],4)/VLOOKUP($B37,표2[#ALL],2)</f>
        <v>0</v>
      </c>
      <c r="AP37" s="310">
        <f>CS_PID!AP37/VLOOKUP($B37,LEBT[#ALL],4)/VLOOKUP($B37,표2[#ALL],2)</f>
        <v>0</v>
      </c>
      <c r="AQ37" s="310">
        <f>CS_PID!AQ37/VLOOKUP($B37,LEBT[#ALL],4)/VLOOKUP($B37,표2[#ALL],2)</f>
        <v>0</v>
      </c>
      <c r="AR37" s="310">
        <f>CS_PID!AR37/VLOOKUP($B37,LEBT[#ALL],4)/VLOOKUP($B37,표2[#ALL],2)</f>
        <v>0</v>
      </c>
      <c r="AS37" s="310">
        <f>CS_PID!AS37/VLOOKUP($B37,LEBT[#ALL],4)/VLOOKUP($B37,표2[#ALL],2)</f>
        <v>0</v>
      </c>
    </row>
    <row r="38">
      <c r="A38" s="141" t="s">
        <v>78</v>
      </c>
      <c r="B38" s="142">
        <v>295.0</v>
      </c>
      <c r="C38" s="310">
        <f>CS_PID!C38/VLOOKUP($B38,LEBT[#ALL],4)/VLOOKUP($B38,표2[#ALL],2)</f>
        <v>108.7901252</v>
      </c>
      <c r="D38" s="310">
        <f>CS_PID!D38/VLOOKUP($B38,LEBT[#ALL],4)/VLOOKUP($B38,표2[#ALL],2)</f>
        <v>1740.642004</v>
      </c>
      <c r="E38" s="310">
        <f>CS_PID!E38/VLOOKUP($B38,LEBT[#ALL],4)/VLOOKUP($B38,표2[#ALL],2)</f>
        <v>435.160501</v>
      </c>
      <c r="F38" s="310">
        <f>CS_PID!F38/VLOOKUP($B38,LEBT[#ALL],4)/VLOOKUP($B38,표2[#ALL],2)</f>
        <v>0</v>
      </c>
      <c r="G38" s="310">
        <f>CS_PID!G38/VLOOKUP($B38,LEBT[#ALL],4)/VLOOKUP($B38,표2[#ALL],2)</f>
        <v>0</v>
      </c>
      <c r="H38" s="310">
        <f>CS_PID!H38/VLOOKUP($B38,LEBT[#ALL],4)/VLOOKUP($B38,표2[#ALL],2)</f>
        <v>326.3703757</v>
      </c>
      <c r="I38" s="310">
        <f>CS_PID!I38/VLOOKUP($B38,LEBT[#ALL],4)/VLOOKUP($B38,표2[#ALL],2)</f>
        <v>652.7407514</v>
      </c>
      <c r="J38" s="310">
        <f>CS_PID!J38/VLOOKUP($B38,LEBT[#ALL],4)/VLOOKUP($B38,표2[#ALL],2)</f>
        <v>1523.061753</v>
      </c>
      <c r="K38" s="310">
        <f>CS_PID!K38/VLOOKUP($B38,LEBT[#ALL],4)/VLOOKUP($B38,표2[#ALL],2)</f>
        <v>108.7901252</v>
      </c>
      <c r="L38" s="310">
        <f>CS_PID!L38/VLOOKUP($B38,LEBT[#ALL],4)/VLOOKUP($B38,표2[#ALL],2)</f>
        <v>0</v>
      </c>
      <c r="M38" s="310">
        <f>CS_PID!M38/VLOOKUP($B38,LEBT[#ALL],4)/VLOOKUP($B38,표2[#ALL],2)</f>
        <v>0</v>
      </c>
      <c r="N38" s="310">
        <f>CS_PID!N38/VLOOKUP($B38,LEBT[#ALL],4)/VLOOKUP($B38,표2[#ALL],2)</f>
        <v>0</v>
      </c>
      <c r="O38" s="310">
        <f>CS_PID!O38/VLOOKUP($B38,LEBT[#ALL],4)/VLOOKUP($B38,표2[#ALL],2)</f>
        <v>1740.642004</v>
      </c>
      <c r="P38" s="310">
        <f>CS_PID!P38/VLOOKUP($B38,LEBT[#ALL],4)/VLOOKUP($B38,표2[#ALL],2)</f>
        <v>2067.01238</v>
      </c>
      <c r="Q38" s="310">
        <f>CS_PID!Q38/VLOOKUP($B38,LEBT[#ALL],4)/VLOOKUP($B38,표2[#ALL],2)</f>
        <v>217.5802505</v>
      </c>
      <c r="R38" s="310">
        <f>CS_PID!R38/VLOOKUP($B38,LEBT[#ALL],4)/VLOOKUP($B38,표2[#ALL],2)</f>
        <v>0</v>
      </c>
      <c r="S38" s="310">
        <f>CS_PID!S38/VLOOKUP($B38,LEBT[#ALL],4)/VLOOKUP($B38,표2[#ALL],2)</f>
        <v>0</v>
      </c>
      <c r="T38" s="310">
        <f>CS_PID!T38/VLOOKUP($B38,LEBT[#ALL],4)/VLOOKUP($B38,표2[#ALL],2)</f>
        <v>0</v>
      </c>
      <c r="U38" s="310">
        <f>CS_PID!U38/VLOOKUP($B38,LEBT[#ALL],4)/VLOOKUP($B38,표2[#ALL],2)</f>
        <v>1196.691378</v>
      </c>
      <c r="V38" s="310">
        <f>CS_PID!V38/VLOOKUP($B38,LEBT[#ALL],4)/VLOOKUP($B38,표2[#ALL],2)</f>
        <v>2067.01238</v>
      </c>
      <c r="W38" s="310">
        <f>CS_PID!W38/VLOOKUP($B38,LEBT[#ALL],4)/VLOOKUP($B38,표2[#ALL],2)</f>
        <v>0</v>
      </c>
      <c r="X38" s="310">
        <f>CS_PID!X38/VLOOKUP($B38,LEBT[#ALL],4)/VLOOKUP($B38,표2[#ALL],2)</f>
        <v>0</v>
      </c>
      <c r="Y38" s="310">
        <f>CS_PID!Y38/VLOOKUP($B38,LEBT[#ALL],4)/VLOOKUP($B38,표2[#ALL],2)</f>
        <v>0</v>
      </c>
      <c r="Z38" s="310">
        <f>CS_PID!Z38/VLOOKUP($B38,LEBT[#ALL],4)/VLOOKUP($B38,표2[#ALL],2)</f>
        <v>0</v>
      </c>
      <c r="AA38" s="310">
        <f>CS_PID!AA38/VLOOKUP($B38,LEBT[#ALL],4)/VLOOKUP($B38,표2[#ALL],2)</f>
        <v>979.1111271</v>
      </c>
      <c r="AB38" s="310">
        <f>CS_PID!AB38/VLOOKUP($B38,LEBT[#ALL],4)/VLOOKUP($B38,표2[#ALL],2)</f>
        <v>217.5802505</v>
      </c>
      <c r="AC38" s="310">
        <f>CS_PID!AC38/VLOOKUP($B38,LEBT[#ALL],4)/VLOOKUP($B38,표2[#ALL],2)</f>
        <v>0</v>
      </c>
      <c r="AD38" s="310">
        <f>CS_PID!AD38/VLOOKUP($B38,LEBT[#ALL],4)/VLOOKUP($B38,표2[#ALL],2)</f>
        <v>0</v>
      </c>
      <c r="AE38" s="310">
        <f>CS_PID!AE38/VLOOKUP($B38,LEBT[#ALL],4)/VLOOKUP($B38,표2[#ALL],2)</f>
        <v>0</v>
      </c>
      <c r="AF38" s="310">
        <f>CS_PID!AF38/VLOOKUP($B38,LEBT[#ALL],4)/VLOOKUP($B38,표2[#ALL],2)</f>
        <v>0</v>
      </c>
      <c r="AG38" s="310">
        <f>CS_PID!AG38/VLOOKUP($B38,LEBT[#ALL],4)/VLOOKUP($B38,표2[#ALL],2)</f>
        <v>326.3703757</v>
      </c>
      <c r="AH38" s="310">
        <f>CS_PID!AH38/VLOOKUP($B38,LEBT[#ALL],4)/VLOOKUP($B38,표2[#ALL],2)</f>
        <v>0</v>
      </c>
      <c r="AI38" s="310">
        <f>CS_PID!AI38/VLOOKUP($B38,LEBT[#ALL],4)/VLOOKUP($B38,표2[#ALL],2)</f>
        <v>0</v>
      </c>
      <c r="AJ38" s="310">
        <f>CS_PID!AJ38/VLOOKUP($B38,LEBT[#ALL],4)/VLOOKUP($B38,표2[#ALL],2)</f>
        <v>0</v>
      </c>
      <c r="AK38" s="310">
        <f>CS_PID!AK38/VLOOKUP($B38,LEBT[#ALL],4)/VLOOKUP($B38,표2[#ALL],2)</f>
        <v>0</v>
      </c>
      <c r="AL38" s="310">
        <f>CS_PID!AL38/VLOOKUP($B38,LEBT[#ALL],4)/VLOOKUP($B38,표2[#ALL],2)</f>
        <v>0</v>
      </c>
      <c r="AM38" s="310">
        <f>CS_PID!AM38/VLOOKUP($B38,LEBT[#ALL],4)/VLOOKUP($B38,표2[#ALL],2)</f>
        <v>0</v>
      </c>
      <c r="AN38" s="310">
        <f>CS_PID!AN38/VLOOKUP($B38,LEBT[#ALL],4)/VLOOKUP($B38,표2[#ALL],2)</f>
        <v>0</v>
      </c>
      <c r="AO38" s="310">
        <f>CS_PID!AO38/VLOOKUP($B38,LEBT[#ALL],4)/VLOOKUP($B38,표2[#ALL],2)</f>
        <v>0</v>
      </c>
      <c r="AP38" s="310">
        <f>CS_PID!AP38/VLOOKUP($B38,LEBT[#ALL],4)/VLOOKUP($B38,표2[#ALL],2)</f>
        <v>0</v>
      </c>
      <c r="AQ38" s="310">
        <f>CS_PID!AQ38/VLOOKUP($B38,LEBT[#ALL],4)/VLOOKUP($B38,표2[#ALL],2)</f>
        <v>0</v>
      </c>
      <c r="AR38" s="310">
        <f>CS_PID!AR38/VLOOKUP($B38,LEBT[#ALL],4)/VLOOKUP($B38,표2[#ALL],2)</f>
        <v>0</v>
      </c>
      <c r="AS38" s="310">
        <f>CS_PID!AS38/VLOOKUP($B38,LEBT[#ALL],4)/VLOOKUP($B38,표2[#ALL],2)</f>
        <v>0</v>
      </c>
    </row>
    <row r="39">
      <c r="A39" s="141" t="s">
        <v>78</v>
      </c>
      <c r="B39" s="142">
        <v>296.0</v>
      </c>
      <c r="C39" s="310">
        <f>CS_PID!C39/VLOOKUP($B39,LEBT[#ALL],4)/VLOOKUP($B39,표2[#ALL],2)</f>
        <v>0</v>
      </c>
      <c r="D39" s="310">
        <f>CS_PID!D39/VLOOKUP($B39,LEBT[#ALL],4)/VLOOKUP($B39,표2[#ALL],2)</f>
        <v>0</v>
      </c>
      <c r="E39" s="310">
        <f>CS_PID!E39/VLOOKUP($B39,LEBT[#ALL],4)/VLOOKUP($B39,표2[#ALL],2)</f>
        <v>0</v>
      </c>
      <c r="F39" s="310">
        <f>CS_PID!F39/VLOOKUP($B39,LEBT[#ALL],4)/VLOOKUP($B39,표2[#ALL],2)</f>
        <v>0</v>
      </c>
      <c r="G39" s="310">
        <f>CS_PID!G39/VLOOKUP($B39,LEBT[#ALL],4)/VLOOKUP($B39,표2[#ALL],2)</f>
        <v>0</v>
      </c>
      <c r="H39" s="310">
        <f>CS_PID!H39/VLOOKUP($B39,LEBT[#ALL],4)/VLOOKUP($B39,표2[#ALL],2)</f>
        <v>0</v>
      </c>
      <c r="I39" s="310">
        <f>CS_PID!I39/VLOOKUP($B39,LEBT[#ALL],4)/VLOOKUP($B39,표2[#ALL],2)</f>
        <v>0</v>
      </c>
      <c r="J39" s="310">
        <f>CS_PID!J39/VLOOKUP($B39,LEBT[#ALL],4)/VLOOKUP($B39,표2[#ALL],2)</f>
        <v>2364.269952</v>
      </c>
      <c r="K39" s="310">
        <f>CS_PID!K39/VLOOKUP($B39,LEBT[#ALL],4)/VLOOKUP($B39,표2[#ALL],2)</f>
        <v>0</v>
      </c>
      <c r="L39" s="310">
        <f>CS_PID!L39/VLOOKUP($B39,LEBT[#ALL],4)/VLOOKUP($B39,표2[#ALL],2)</f>
        <v>0</v>
      </c>
      <c r="M39" s="310">
        <f>CS_PID!M39/VLOOKUP($B39,LEBT[#ALL],4)/VLOOKUP($B39,표2[#ALL],2)</f>
        <v>0</v>
      </c>
      <c r="N39" s="310">
        <f>CS_PID!N39/VLOOKUP($B39,LEBT[#ALL],4)/VLOOKUP($B39,표2[#ALL],2)</f>
        <v>0</v>
      </c>
      <c r="O39" s="310">
        <f>CS_PID!O39/VLOOKUP($B39,LEBT[#ALL],4)/VLOOKUP($B39,표2[#ALL],2)</f>
        <v>3940.44992</v>
      </c>
      <c r="P39" s="310">
        <f>CS_PID!P39/VLOOKUP($B39,LEBT[#ALL],4)/VLOOKUP($B39,표2[#ALL],2)</f>
        <v>3940.44992</v>
      </c>
      <c r="Q39" s="310">
        <f>CS_PID!Q39/VLOOKUP($B39,LEBT[#ALL],4)/VLOOKUP($B39,표2[#ALL],2)</f>
        <v>0</v>
      </c>
      <c r="R39" s="310">
        <f>CS_PID!R39/VLOOKUP($B39,LEBT[#ALL],4)/VLOOKUP($B39,표2[#ALL],2)</f>
        <v>0</v>
      </c>
      <c r="S39" s="310">
        <f>CS_PID!S39/VLOOKUP($B39,LEBT[#ALL],4)/VLOOKUP($B39,표2[#ALL],2)</f>
        <v>0</v>
      </c>
      <c r="T39" s="310">
        <f>CS_PID!T39/VLOOKUP($B39,LEBT[#ALL],4)/VLOOKUP($B39,표2[#ALL],2)</f>
        <v>0</v>
      </c>
      <c r="U39" s="310">
        <f>CS_PID!U39/VLOOKUP($B39,LEBT[#ALL],4)/VLOOKUP($B39,표2[#ALL],2)</f>
        <v>1576.179968</v>
      </c>
      <c r="V39" s="310">
        <f>CS_PID!V39/VLOOKUP($B39,LEBT[#ALL],4)/VLOOKUP($B39,표2[#ALL],2)</f>
        <v>3152.359936</v>
      </c>
      <c r="W39" s="310">
        <f>CS_PID!W39/VLOOKUP($B39,LEBT[#ALL],4)/VLOOKUP($B39,표2[#ALL],2)</f>
        <v>0</v>
      </c>
      <c r="X39" s="310">
        <f>CS_PID!X39/VLOOKUP($B39,LEBT[#ALL],4)/VLOOKUP($B39,표2[#ALL],2)</f>
        <v>0</v>
      </c>
      <c r="Y39" s="310">
        <f>CS_PID!Y39/VLOOKUP($B39,LEBT[#ALL],4)/VLOOKUP($B39,표2[#ALL],2)</f>
        <v>0</v>
      </c>
      <c r="Z39" s="310">
        <f>CS_PID!Z39/VLOOKUP($B39,LEBT[#ALL],4)/VLOOKUP($B39,표2[#ALL],2)</f>
        <v>0</v>
      </c>
      <c r="AA39" s="310">
        <f>CS_PID!AA39/VLOOKUP($B39,LEBT[#ALL],4)/VLOOKUP($B39,표2[#ALL],2)</f>
        <v>0</v>
      </c>
      <c r="AB39" s="310">
        <f>CS_PID!AB39/VLOOKUP($B39,LEBT[#ALL],4)/VLOOKUP($B39,표2[#ALL],2)</f>
        <v>2364.269952</v>
      </c>
      <c r="AC39" s="310">
        <f>CS_PID!AC39/VLOOKUP($B39,LEBT[#ALL],4)/VLOOKUP($B39,표2[#ALL],2)</f>
        <v>0</v>
      </c>
      <c r="AD39" s="310">
        <f>CS_PID!AD39/VLOOKUP($B39,LEBT[#ALL],4)/VLOOKUP($B39,표2[#ALL],2)</f>
        <v>0</v>
      </c>
      <c r="AE39" s="310">
        <f>CS_PID!AE39/VLOOKUP($B39,LEBT[#ALL],4)/VLOOKUP($B39,표2[#ALL],2)</f>
        <v>0</v>
      </c>
      <c r="AF39" s="310">
        <f>CS_PID!AF39/VLOOKUP($B39,LEBT[#ALL],4)/VLOOKUP($B39,표2[#ALL],2)</f>
        <v>0</v>
      </c>
      <c r="AG39" s="310">
        <f>CS_PID!AG39/VLOOKUP($B39,LEBT[#ALL],4)/VLOOKUP($B39,표2[#ALL],2)</f>
        <v>788.0899841</v>
      </c>
      <c r="AH39" s="310">
        <f>CS_PID!AH39/VLOOKUP($B39,LEBT[#ALL],4)/VLOOKUP($B39,표2[#ALL],2)</f>
        <v>0</v>
      </c>
      <c r="AI39" s="310">
        <f>CS_PID!AI39/VLOOKUP($B39,LEBT[#ALL],4)/VLOOKUP($B39,표2[#ALL],2)</f>
        <v>0</v>
      </c>
      <c r="AJ39" s="310">
        <f>CS_PID!AJ39/VLOOKUP($B39,LEBT[#ALL],4)/VLOOKUP($B39,표2[#ALL],2)</f>
        <v>0</v>
      </c>
      <c r="AK39" s="310">
        <f>CS_PID!AK39/VLOOKUP($B39,LEBT[#ALL],4)/VLOOKUP($B39,표2[#ALL],2)</f>
        <v>0</v>
      </c>
      <c r="AL39" s="310">
        <f>CS_PID!AL39/VLOOKUP($B39,LEBT[#ALL],4)/VLOOKUP($B39,표2[#ALL],2)</f>
        <v>0</v>
      </c>
      <c r="AM39" s="310">
        <f>CS_PID!AM39/VLOOKUP($B39,LEBT[#ALL],4)/VLOOKUP($B39,표2[#ALL],2)</f>
        <v>0</v>
      </c>
      <c r="AN39" s="310">
        <f>CS_PID!AN39/VLOOKUP($B39,LEBT[#ALL],4)/VLOOKUP($B39,표2[#ALL],2)</f>
        <v>0</v>
      </c>
      <c r="AO39" s="310">
        <f>CS_PID!AO39/VLOOKUP($B39,LEBT[#ALL],4)/VLOOKUP($B39,표2[#ALL],2)</f>
        <v>0</v>
      </c>
      <c r="AP39" s="310">
        <f>CS_PID!AP39/VLOOKUP($B39,LEBT[#ALL],4)/VLOOKUP($B39,표2[#ALL],2)</f>
        <v>0</v>
      </c>
      <c r="AQ39" s="310">
        <f>CS_PID!AQ39/VLOOKUP($B39,LEBT[#ALL],4)/VLOOKUP($B39,표2[#ALL],2)</f>
        <v>0</v>
      </c>
      <c r="AR39" s="310">
        <f>CS_PID!AR39/VLOOKUP($B39,LEBT[#ALL],4)/VLOOKUP($B39,표2[#ALL],2)</f>
        <v>0</v>
      </c>
      <c r="AS39" s="310">
        <f>CS_PID!AS39/VLOOKUP($B39,LEBT[#ALL],4)/VLOOKUP($B39,표2[#ALL],2)</f>
        <v>0</v>
      </c>
    </row>
    <row r="40">
      <c r="A40" s="141" t="s">
        <v>78</v>
      </c>
      <c r="B40" s="142">
        <v>297.0</v>
      </c>
      <c r="C40" s="310">
        <f>CS_PID!C40/VLOOKUP($B40,LEBT[#ALL],4)/VLOOKUP($B40,표2[#ALL],2)</f>
        <v>0</v>
      </c>
      <c r="D40" s="310">
        <f>CS_PID!D40/VLOOKUP($B40,LEBT[#ALL],4)/VLOOKUP($B40,표2[#ALL],2)</f>
        <v>948.9368491</v>
      </c>
      <c r="E40" s="310">
        <f>CS_PID!E40/VLOOKUP($B40,LEBT[#ALL],4)/VLOOKUP($B40,표2[#ALL],2)</f>
        <v>474.4684246</v>
      </c>
      <c r="F40" s="310">
        <f>CS_PID!F40/VLOOKUP($B40,LEBT[#ALL],4)/VLOOKUP($B40,표2[#ALL],2)</f>
        <v>0</v>
      </c>
      <c r="G40" s="310">
        <f>CS_PID!G40/VLOOKUP($B40,LEBT[#ALL],4)/VLOOKUP($B40,표2[#ALL],2)</f>
        <v>0</v>
      </c>
      <c r="H40" s="310">
        <f>CS_PID!H40/VLOOKUP($B40,LEBT[#ALL],4)/VLOOKUP($B40,표2[#ALL],2)</f>
        <v>0</v>
      </c>
      <c r="I40" s="310">
        <f>CS_PID!I40/VLOOKUP($B40,LEBT[#ALL],4)/VLOOKUP($B40,표2[#ALL],2)</f>
        <v>474.4684246</v>
      </c>
      <c r="J40" s="310">
        <f>CS_PID!J40/VLOOKUP($B40,LEBT[#ALL],4)/VLOOKUP($B40,표2[#ALL],2)</f>
        <v>1423.405274</v>
      </c>
      <c r="K40" s="310">
        <f>CS_PID!K40/VLOOKUP($B40,LEBT[#ALL],4)/VLOOKUP($B40,표2[#ALL],2)</f>
        <v>474.4684246</v>
      </c>
      <c r="L40" s="310">
        <f>CS_PID!L40/VLOOKUP($B40,LEBT[#ALL],4)/VLOOKUP($B40,표2[#ALL],2)</f>
        <v>0</v>
      </c>
      <c r="M40" s="310">
        <f>CS_PID!M40/VLOOKUP($B40,LEBT[#ALL],4)/VLOOKUP($B40,표2[#ALL],2)</f>
        <v>0</v>
      </c>
      <c r="N40" s="310">
        <f>CS_PID!N40/VLOOKUP($B40,LEBT[#ALL],4)/VLOOKUP($B40,표2[#ALL],2)</f>
        <v>0</v>
      </c>
      <c r="O40" s="310">
        <f>CS_PID!O40/VLOOKUP($B40,LEBT[#ALL],4)/VLOOKUP($B40,표2[#ALL],2)</f>
        <v>948.9368491</v>
      </c>
      <c r="P40" s="310">
        <f>CS_PID!P40/VLOOKUP($B40,LEBT[#ALL],4)/VLOOKUP($B40,표2[#ALL],2)</f>
        <v>4744.684246</v>
      </c>
      <c r="Q40" s="310">
        <f>CS_PID!Q40/VLOOKUP($B40,LEBT[#ALL],4)/VLOOKUP($B40,표2[#ALL],2)</f>
        <v>474.4684246</v>
      </c>
      <c r="R40" s="310">
        <f>CS_PID!R40/VLOOKUP($B40,LEBT[#ALL],4)/VLOOKUP($B40,표2[#ALL],2)</f>
        <v>0</v>
      </c>
      <c r="S40" s="310">
        <f>CS_PID!S40/VLOOKUP($B40,LEBT[#ALL],4)/VLOOKUP($B40,표2[#ALL],2)</f>
        <v>0</v>
      </c>
      <c r="T40" s="310">
        <f>CS_PID!T40/VLOOKUP($B40,LEBT[#ALL],4)/VLOOKUP($B40,표2[#ALL],2)</f>
        <v>0</v>
      </c>
      <c r="U40" s="310">
        <f>CS_PID!U40/VLOOKUP($B40,LEBT[#ALL],4)/VLOOKUP($B40,표2[#ALL],2)</f>
        <v>1423.405274</v>
      </c>
      <c r="V40" s="310">
        <f>CS_PID!V40/VLOOKUP($B40,LEBT[#ALL],4)/VLOOKUP($B40,표2[#ALL],2)</f>
        <v>3321.278972</v>
      </c>
      <c r="W40" s="310">
        <f>CS_PID!W40/VLOOKUP($B40,LEBT[#ALL],4)/VLOOKUP($B40,표2[#ALL],2)</f>
        <v>474.4684246</v>
      </c>
      <c r="X40" s="310">
        <f>CS_PID!X40/VLOOKUP($B40,LEBT[#ALL],4)/VLOOKUP($B40,표2[#ALL],2)</f>
        <v>0</v>
      </c>
      <c r="Y40" s="310">
        <f>CS_PID!Y40/VLOOKUP($B40,LEBT[#ALL],4)/VLOOKUP($B40,표2[#ALL],2)</f>
        <v>0</v>
      </c>
      <c r="Z40" s="310">
        <f>CS_PID!Z40/VLOOKUP($B40,LEBT[#ALL],4)/VLOOKUP($B40,표2[#ALL],2)</f>
        <v>0</v>
      </c>
      <c r="AA40" s="310">
        <f>CS_PID!AA40/VLOOKUP($B40,LEBT[#ALL],4)/VLOOKUP($B40,표2[#ALL],2)</f>
        <v>948.9368491</v>
      </c>
      <c r="AB40" s="310">
        <f>CS_PID!AB40/VLOOKUP($B40,LEBT[#ALL],4)/VLOOKUP($B40,표2[#ALL],2)</f>
        <v>0</v>
      </c>
      <c r="AC40" s="310">
        <f>CS_PID!AC40/VLOOKUP($B40,LEBT[#ALL],4)/VLOOKUP($B40,표2[#ALL],2)</f>
        <v>0</v>
      </c>
      <c r="AD40" s="310">
        <f>CS_PID!AD40/VLOOKUP($B40,LEBT[#ALL],4)/VLOOKUP($B40,표2[#ALL],2)</f>
        <v>0</v>
      </c>
      <c r="AE40" s="310">
        <f>CS_PID!AE40/VLOOKUP($B40,LEBT[#ALL],4)/VLOOKUP($B40,표2[#ALL],2)</f>
        <v>0</v>
      </c>
      <c r="AF40" s="310">
        <f>CS_PID!AF40/VLOOKUP($B40,LEBT[#ALL],4)/VLOOKUP($B40,표2[#ALL],2)</f>
        <v>0</v>
      </c>
      <c r="AG40" s="310">
        <f>CS_PID!AG40/VLOOKUP($B40,LEBT[#ALL],4)/VLOOKUP($B40,표2[#ALL],2)</f>
        <v>0</v>
      </c>
      <c r="AH40" s="310">
        <f>CS_PID!AH40/VLOOKUP($B40,LEBT[#ALL],4)/VLOOKUP($B40,표2[#ALL],2)</f>
        <v>0</v>
      </c>
      <c r="AI40" s="310">
        <f>CS_PID!AI40/VLOOKUP($B40,LEBT[#ALL],4)/VLOOKUP($B40,표2[#ALL],2)</f>
        <v>0</v>
      </c>
      <c r="AJ40" s="310">
        <f>CS_PID!AJ40/VLOOKUP($B40,LEBT[#ALL],4)/VLOOKUP($B40,표2[#ALL],2)</f>
        <v>0</v>
      </c>
      <c r="AK40" s="310">
        <f>CS_PID!AK40/VLOOKUP($B40,LEBT[#ALL],4)/VLOOKUP($B40,표2[#ALL],2)</f>
        <v>0</v>
      </c>
      <c r="AL40" s="310">
        <f>CS_PID!AL40/VLOOKUP($B40,LEBT[#ALL],4)/VLOOKUP($B40,표2[#ALL],2)</f>
        <v>0</v>
      </c>
      <c r="AM40" s="310">
        <f>CS_PID!AM40/VLOOKUP($B40,LEBT[#ALL],4)/VLOOKUP($B40,표2[#ALL],2)</f>
        <v>0</v>
      </c>
      <c r="AN40" s="310">
        <f>CS_PID!AN40/VLOOKUP($B40,LEBT[#ALL],4)/VLOOKUP($B40,표2[#ALL],2)</f>
        <v>0</v>
      </c>
      <c r="AO40" s="310">
        <f>CS_PID!AO40/VLOOKUP($B40,LEBT[#ALL],4)/VLOOKUP($B40,표2[#ALL],2)</f>
        <v>0</v>
      </c>
      <c r="AP40" s="310">
        <f>CS_PID!AP40/VLOOKUP($B40,LEBT[#ALL],4)/VLOOKUP($B40,표2[#ALL],2)</f>
        <v>0</v>
      </c>
      <c r="AQ40" s="310">
        <f>CS_PID!AQ40/VLOOKUP($B40,LEBT[#ALL],4)/VLOOKUP($B40,표2[#ALL],2)</f>
        <v>0</v>
      </c>
      <c r="AR40" s="310">
        <f>CS_PID!AR40/VLOOKUP($B40,LEBT[#ALL],4)/VLOOKUP($B40,표2[#ALL],2)</f>
        <v>0</v>
      </c>
      <c r="AS40" s="310">
        <f>CS_PID!AS40/VLOOKUP($B40,LEBT[#ALL],4)/VLOOKUP($B40,표2[#ALL],2)</f>
        <v>0</v>
      </c>
    </row>
    <row r="41">
      <c r="A41" s="141" t="s">
        <v>78</v>
      </c>
      <c r="B41" s="142">
        <v>298.0</v>
      </c>
      <c r="C41" s="310">
        <f>CS_PID!C41/VLOOKUP($B41,LEBT[#ALL],4)/VLOOKUP($B41,표2[#ALL],2)</f>
        <v>0</v>
      </c>
      <c r="D41" s="310">
        <f>CS_PID!D41/VLOOKUP($B41,LEBT[#ALL],4)/VLOOKUP($B41,표2[#ALL],2)</f>
        <v>792.5564619</v>
      </c>
      <c r="E41" s="310">
        <f>CS_PID!E41/VLOOKUP($B41,LEBT[#ALL],4)/VLOOKUP($B41,표2[#ALL],2)</f>
        <v>396.2782309</v>
      </c>
      <c r="F41" s="310">
        <f>CS_PID!F41/VLOOKUP($B41,LEBT[#ALL],4)/VLOOKUP($B41,표2[#ALL],2)</f>
        <v>0</v>
      </c>
      <c r="G41" s="310">
        <f>CS_PID!G41/VLOOKUP($B41,LEBT[#ALL],4)/VLOOKUP($B41,표2[#ALL],2)</f>
        <v>0</v>
      </c>
      <c r="H41" s="310">
        <f>CS_PID!H41/VLOOKUP($B41,LEBT[#ALL],4)/VLOOKUP($B41,표2[#ALL],2)</f>
        <v>132.0927436</v>
      </c>
      <c r="I41" s="310">
        <f>CS_PID!I41/VLOOKUP($B41,LEBT[#ALL],4)/VLOOKUP($B41,표2[#ALL],2)</f>
        <v>660.4637182</v>
      </c>
      <c r="J41" s="310">
        <f>CS_PID!J41/VLOOKUP($B41,LEBT[#ALL],4)/VLOOKUP($B41,표2[#ALL],2)</f>
        <v>2245.576642</v>
      </c>
      <c r="K41" s="310">
        <f>CS_PID!K41/VLOOKUP($B41,LEBT[#ALL],4)/VLOOKUP($B41,표2[#ALL],2)</f>
        <v>0</v>
      </c>
      <c r="L41" s="310">
        <f>CS_PID!L41/VLOOKUP($B41,LEBT[#ALL],4)/VLOOKUP($B41,표2[#ALL],2)</f>
        <v>0</v>
      </c>
      <c r="M41" s="310">
        <f>CS_PID!M41/VLOOKUP($B41,LEBT[#ALL],4)/VLOOKUP($B41,표2[#ALL],2)</f>
        <v>0</v>
      </c>
      <c r="N41" s="310">
        <f>CS_PID!N41/VLOOKUP($B41,LEBT[#ALL],4)/VLOOKUP($B41,표2[#ALL],2)</f>
        <v>0</v>
      </c>
      <c r="O41" s="310">
        <f>CS_PID!O41/VLOOKUP($B41,LEBT[#ALL],4)/VLOOKUP($B41,표2[#ALL],2)</f>
        <v>1585.112924</v>
      </c>
      <c r="P41" s="310">
        <f>CS_PID!P41/VLOOKUP($B41,LEBT[#ALL],4)/VLOOKUP($B41,표2[#ALL],2)</f>
        <v>1585.112924</v>
      </c>
      <c r="Q41" s="310">
        <f>CS_PID!Q41/VLOOKUP($B41,LEBT[#ALL],4)/VLOOKUP($B41,표2[#ALL],2)</f>
        <v>264.1854873</v>
      </c>
      <c r="R41" s="310">
        <f>CS_PID!R41/VLOOKUP($B41,LEBT[#ALL],4)/VLOOKUP($B41,표2[#ALL],2)</f>
        <v>0</v>
      </c>
      <c r="S41" s="310">
        <f>CS_PID!S41/VLOOKUP($B41,LEBT[#ALL],4)/VLOOKUP($B41,표2[#ALL],2)</f>
        <v>0</v>
      </c>
      <c r="T41" s="310">
        <f>CS_PID!T41/VLOOKUP($B41,LEBT[#ALL],4)/VLOOKUP($B41,표2[#ALL],2)</f>
        <v>0</v>
      </c>
      <c r="U41" s="310">
        <f>CS_PID!U41/VLOOKUP($B41,LEBT[#ALL],4)/VLOOKUP($B41,표2[#ALL],2)</f>
        <v>1453.02018</v>
      </c>
      <c r="V41" s="310">
        <f>CS_PID!V41/VLOOKUP($B41,LEBT[#ALL],4)/VLOOKUP($B41,표2[#ALL],2)</f>
        <v>2113.483898</v>
      </c>
      <c r="W41" s="310">
        <f>CS_PID!W41/VLOOKUP($B41,LEBT[#ALL],4)/VLOOKUP($B41,표2[#ALL],2)</f>
        <v>0</v>
      </c>
      <c r="X41" s="310">
        <f>CS_PID!X41/VLOOKUP($B41,LEBT[#ALL],4)/VLOOKUP($B41,표2[#ALL],2)</f>
        <v>0</v>
      </c>
      <c r="Y41" s="310">
        <f>CS_PID!Y41/VLOOKUP($B41,LEBT[#ALL],4)/VLOOKUP($B41,표2[#ALL],2)</f>
        <v>0</v>
      </c>
      <c r="Z41" s="310">
        <f>CS_PID!Z41/VLOOKUP($B41,LEBT[#ALL],4)/VLOOKUP($B41,표2[#ALL],2)</f>
        <v>132.0927436</v>
      </c>
      <c r="AA41" s="310">
        <f>CS_PID!AA41/VLOOKUP($B41,LEBT[#ALL],4)/VLOOKUP($B41,표2[#ALL],2)</f>
        <v>1320.927436</v>
      </c>
      <c r="AB41" s="310">
        <f>CS_PID!AB41/VLOOKUP($B41,LEBT[#ALL],4)/VLOOKUP($B41,표2[#ALL],2)</f>
        <v>792.5564619</v>
      </c>
      <c r="AC41" s="310">
        <f>CS_PID!AC41/VLOOKUP($B41,LEBT[#ALL],4)/VLOOKUP($B41,표2[#ALL],2)</f>
        <v>0</v>
      </c>
      <c r="AD41" s="310">
        <f>CS_PID!AD41/VLOOKUP($B41,LEBT[#ALL],4)/VLOOKUP($B41,표2[#ALL],2)</f>
        <v>0</v>
      </c>
      <c r="AE41" s="310">
        <f>CS_PID!AE41/VLOOKUP($B41,LEBT[#ALL],4)/VLOOKUP($B41,표2[#ALL],2)</f>
        <v>0</v>
      </c>
      <c r="AF41" s="310">
        <f>CS_PID!AF41/VLOOKUP($B41,LEBT[#ALL],4)/VLOOKUP($B41,표2[#ALL],2)</f>
        <v>0</v>
      </c>
      <c r="AG41" s="310">
        <f>CS_PID!AG41/VLOOKUP($B41,LEBT[#ALL],4)/VLOOKUP($B41,표2[#ALL],2)</f>
        <v>0</v>
      </c>
      <c r="AH41" s="310">
        <f>CS_PID!AH41/VLOOKUP($B41,LEBT[#ALL],4)/VLOOKUP($B41,표2[#ALL],2)</f>
        <v>0</v>
      </c>
      <c r="AI41" s="310">
        <f>CS_PID!AI41/VLOOKUP($B41,LEBT[#ALL],4)/VLOOKUP($B41,표2[#ALL],2)</f>
        <v>0</v>
      </c>
      <c r="AJ41" s="310">
        <f>CS_PID!AJ41/VLOOKUP($B41,LEBT[#ALL],4)/VLOOKUP($B41,표2[#ALL],2)</f>
        <v>0</v>
      </c>
      <c r="AK41" s="310">
        <f>CS_PID!AK41/VLOOKUP($B41,LEBT[#ALL],4)/VLOOKUP($B41,표2[#ALL],2)</f>
        <v>0</v>
      </c>
      <c r="AL41" s="310">
        <f>CS_PID!AL41/VLOOKUP($B41,LEBT[#ALL],4)/VLOOKUP($B41,표2[#ALL],2)</f>
        <v>0</v>
      </c>
      <c r="AM41" s="310">
        <f>CS_PID!AM41/VLOOKUP($B41,LEBT[#ALL],4)/VLOOKUP($B41,표2[#ALL],2)</f>
        <v>0</v>
      </c>
      <c r="AN41" s="310">
        <f>CS_PID!AN41/VLOOKUP($B41,LEBT[#ALL],4)/VLOOKUP($B41,표2[#ALL],2)</f>
        <v>0</v>
      </c>
      <c r="AO41" s="310">
        <f>CS_PID!AO41/VLOOKUP($B41,LEBT[#ALL],4)/VLOOKUP($B41,표2[#ALL],2)</f>
        <v>0</v>
      </c>
      <c r="AP41" s="310">
        <f>CS_PID!AP41/VLOOKUP($B41,LEBT[#ALL],4)/VLOOKUP($B41,표2[#ALL],2)</f>
        <v>0</v>
      </c>
      <c r="AQ41" s="310">
        <f>CS_PID!AQ41/VLOOKUP($B41,LEBT[#ALL],4)/VLOOKUP($B41,표2[#ALL],2)</f>
        <v>0</v>
      </c>
      <c r="AR41" s="310">
        <f>CS_PID!AR41/VLOOKUP($B41,LEBT[#ALL],4)/VLOOKUP($B41,표2[#ALL],2)</f>
        <v>0</v>
      </c>
      <c r="AS41" s="310">
        <f>CS_PID!AS41/VLOOKUP($B41,LEBT[#ALL],4)/VLOOKUP($B41,표2[#ALL],2)</f>
        <v>0</v>
      </c>
    </row>
    <row r="42">
      <c r="A42" s="145" t="s">
        <v>78</v>
      </c>
      <c r="B42" s="146">
        <v>299.0</v>
      </c>
      <c r="C42" s="311">
        <f>CS_PID!C42/VLOOKUP($B42,LEBT[#ALL],4)/VLOOKUP($B42,표2[#ALL],2)</f>
        <v>0</v>
      </c>
      <c r="D42" s="311">
        <f>CS_PID!D42/VLOOKUP($B42,LEBT[#ALL],4)/VLOOKUP($B42,표2[#ALL],2)</f>
        <v>830.7313006</v>
      </c>
      <c r="E42" s="311">
        <f>CS_PID!E42/VLOOKUP($B42,LEBT[#ALL],4)/VLOOKUP($B42,표2[#ALL],2)</f>
        <v>519.2070629</v>
      </c>
      <c r="F42" s="311">
        <f>CS_PID!F42/VLOOKUP($B42,LEBT[#ALL],4)/VLOOKUP($B42,표2[#ALL],2)</f>
        <v>0</v>
      </c>
      <c r="G42" s="311">
        <f>CS_PID!G42/VLOOKUP($B42,LEBT[#ALL],4)/VLOOKUP($B42,표2[#ALL],2)</f>
        <v>0</v>
      </c>
      <c r="H42" s="311">
        <f>CS_PID!H42/VLOOKUP($B42,LEBT[#ALL],4)/VLOOKUP($B42,표2[#ALL],2)</f>
        <v>0</v>
      </c>
      <c r="I42" s="311">
        <f>CS_PID!I42/VLOOKUP($B42,LEBT[#ALL],4)/VLOOKUP($B42,표2[#ALL],2)</f>
        <v>415.3656503</v>
      </c>
      <c r="J42" s="311">
        <f>CS_PID!J42/VLOOKUP($B42,LEBT[#ALL],4)/VLOOKUP($B42,표2[#ALL],2)</f>
        <v>2180.669664</v>
      </c>
      <c r="K42" s="311">
        <f>CS_PID!K42/VLOOKUP($B42,LEBT[#ALL],4)/VLOOKUP($B42,표2[#ALL],2)</f>
        <v>207.6828251</v>
      </c>
      <c r="L42" s="311">
        <f>CS_PID!L42/VLOOKUP($B42,LEBT[#ALL],4)/VLOOKUP($B42,표2[#ALL],2)</f>
        <v>0</v>
      </c>
      <c r="M42" s="311">
        <f>CS_PID!M42/VLOOKUP($B42,LEBT[#ALL],4)/VLOOKUP($B42,표2[#ALL],2)</f>
        <v>0</v>
      </c>
      <c r="N42" s="311">
        <f>CS_PID!N42/VLOOKUP($B42,LEBT[#ALL],4)/VLOOKUP($B42,표2[#ALL],2)</f>
        <v>0</v>
      </c>
      <c r="O42" s="311">
        <f>CS_PID!O42/VLOOKUP($B42,LEBT[#ALL],4)/VLOOKUP($B42,표2[#ALL],2)</f>
        <v>2492.193902</v>
      </c>
      <c r="P42" s="311">
        <f>CS_PID!P42/VLOOKUP($B42,LEBT[#ALL],4)/VLOOKUP($B42,표2[#ALL],2)</f>
        <v>2596.035314</v>
      </c>
      <c r="Q42" s="311">
        <f>CS_PID!Q42/VLOOKUP($B42,LEBT[#ALL],4)/VLOOKUP($B42,표2[#ALL],2)</f>
        <v>415.3656503</v>
      </c>
      <c r="R42" s="311">
        <f>CS_PID!R42/VLOOKUP($B42,LEBT[#ALL],4)/VLOOKUP($B42,표2[#ALL],2)</f>
        <v>0</v>
      </c>
      <c r="S42" s="311">
        <f>CS_PID!S42/VLOOKUP($B42,LEBT[#ALL],4)/VLOOKUP($B42,표2[#ALL],2)</f>
        <v>0</v>
      </c>
      <c r="T42" s="311">
        <f>CS_PID!T42/VLOOKUP($B42,LEBT[#ALL],4)/VLOOKUP($B42,표2[#ALL],2)</f>
        <v>0</v>
      </c>
      <c r="U42" s="311">
        <f>CS_PID!U42/VLOOKUP($B42,LEBT[#ALL],4)/VLOOKUP($B42,표2[#ALL],2)</f>
        <v>1453.779776</v>
      </c>
      <c r="V42" s="311">
        <f>CS_PID!V42/VLOOKUP($B42,LEBT[#ALL],4)/VLOOKUP($B42,표2[#ALL],2)</f>
        <v>2699.876727</v>
      </c>
      <c r="W42" s="311">
        <f>CS_PID!W42/VLOOKUP($B42,LEBT[#ALL],4)/VLOOKUP($B42,표2[#ALL],2)</f>
        <v>0</v>
      </c>
      <c r="X42" s="311">
        <f>CS_PID!X42/VLOOKUP($B42,LEBT[#ALL],4)/VLOOKUP($B42,표2[#ALL],2)</f>
        <v>0</v>
      </c>
      <c r="Y42" s="311">
        <f>CS_PID!Y42/VLOOKUP($B42,LEBT[#ALL],4)/VLOOKUP($B42,표2[#ALL],2)</f>
        <v>0</v>
      </c>
      <c r="Z42" s="311">
        <f>CS_PID!Z42/VLOOKUP($B42,LEBT[#ALL],4)/VLOOKUP($B42,표2[#ALL],2)</f>
        <v>103.8414126</v>
      </c>
      <c r="AA42" s="311">
        <f>CS_PID!AA42/VLOOKUP($B42,LEBT[#ALL],4)/VLOOKUP($B42,표2[#ALL],2)</f>
        <v>415.3656503</v>
      </c>
      <c r="AB42" s="311">
        <f>CS_PID!AB42/VLOOKUP($B42,LEBT[#ALL],4)/VLOOKUP($B42,표2[#ALL],2)</f>
        <v>311.5242377</v>
      </c>
      <c r="AC42" s="311">
        <f>CS_PID!AC42/VLOOKUP($B42,LEBT[#ALL],4)/VLOOKUP($B42,표2[#ALL],2)</f>
        <v>103.8414126</v>
      </c>
      <c r="AD42" s="311">
        <f>CS_PID!AD42/VLOOKUP($B42,LEBT[#ALL],4)/VLOOKUP($B42,표2[#ALL],2)</f>
        <v>0</v>
      </c>
      <c r="AE42" s="311">
        <f>CS_PID!AE42/VLOOKUP($B42,LEBT[#ALL],4)/VLOOKUP($B42,표2[#ALL],2)</f>
        <v>0</v>
      </c>
      <c r="AF42" s="311">
        <f>CS_PID!AF42/VLOOKUP($B42,LEBT[#ALL],4)/VLOOKUP($B42,표2[#ALL],2)</f>
        <v>0</v>
      </c>
      <c r="AG42" s="311">
        <f>CS_PID!AG42/VLOOKUP($B42,LEBT[#ALL],4)/VLOOKUP($B42,표2[#ALL],2)</f>
        <v>207.6828251</v>
      </c>
      <c r="AH42" s="311">
        <f>CS_PID!AH42/VLOOKUP($B42,LEBT[#ALL],4)/VLOOKUP($B42,표2[#ALL],2)</f>
        <v>103.8414126</v>
      </c>
      <c r="AI42" s="311">
        <f>CS_PID!AI42/VLOOKUP($B42,LEBT[#ALL],4)/VLOOKUP($B42,표2[#ALL],2)</f>
        <v>0</v>
      </c>
      <c r="AJ42" s="311">
        <f>CS_PID!AJ42/VLOOKUP($B42,LEBT[#ALL],4)/VLOOKUP($B42,표2[#ALL],2)</f>
        <v>0</v>
      </c>
      <c r="AK42" s="311">
        <f>CS_PID!AK42/VLOOKUP($B42,LEBT[#ALL],4)/VLOOKUP($B42,표2[#ALL],2)</f>
        <v>0</v>
      </c>
      <c r="AL42" s="311">
        <f>CS_PID!AL42/VLOOKUP($B42,LEBT[#ALL],4)/VLOOKUP($B42,표2[#ALL],2)</f>
        <v>0</v>
      </c>
      <c r="AM42" s="311">
        <f>CS_PID!AM42/VLOOKUP($B42,LEBT[#ALL],4)/VLOOKUP($B42,표2[#ALL],2)</f>
        <v>0</v>
      </c>
      <c r="AN42" s="311">
        <f>CS_PID!AN42/VLOOKUP($B42,LEBT[#ALL],4)/VLOOKUP($B42,표2[#ALL],2)</f>
        <v>0</v>
      </c>
      <c r="AO42" s="311">
        <f>CS_PID!AO42/VLOOKUP($B42,LEBT[#ALL],4)/VLOOKUP($B42,표2[#ALL],2)</f>
        <v>0</v>
      </c>
      <c r="AP42" s="311">
        <f>CS_PID!AP42/VLOOKUP($B42,LEBT[#ALL],4)/VLOOKUP($B42,표2[#ALL],2)</f>
        <v>0</v>
      </c>
      <c r="AQ42" s="311">
        <f>CS_PID!AQ42/VLOOKUP($B42,LEBT[#ALL],4)/VLOOKUP($B42,표2[#ALL],2)</f>
        <v>0</v>
      </c>
      <c r="AR42" s="311">
        <f>CS_PID!AR42/VLOOKUP($B42,LEBT[#ALL],4)/VLOOKUP($B42,표2[#ALL],2)</f>
        <v>0</v>
      </c>
      <c r="AS42" s="311">
        <f>CS_PID!AS42/VLOOKUP($B42,LEBT[#ALL],4)/VLOOKUP($B42,표2[#ALL],2)</f>
        <v>0</v>
      </c>
    </row>
    <row r="43">
      <c r="A43" s="149" t="s">
        <v>80</v>
      </c>
      <c r="B43" s="150">
        <v>304.0</v>
      </c>
      <c r="C43" s="312">
        <f>CS_PID!C43/VLOOKUP($B43,LEBT[#ALL],4)/VLOOKUP($B43,표2[#ALL],2)</f>
        <v>338.0603369</v>
      </c>
      <c r="D43" s="312">
        <f>CS_PID!D43/VLOOKUP($B43,LEBT[#ALL],4)/VLOOKUP($B43,표2[#ALL],2)</f>
        <v>7485.621746</v>
      </c>
      <c r="E43" s="312">
        <f>CS_PID!E43/VLOOKUP($B43,LEBT[#ALL],4)/VLOOKUP($B43,표2[#ALL],2)</f>
        <v>9224.217764</v>
      </c>
      <c r="F43" s="312">
        <f>CS_PID!F43/VLOOKUP($B43,LEBT[#ALL],4)/VLOOKUP($B43,표2[#ALL],2)</f>
        <v>3428.897703</v>
      </c>
      <c r="G43" s="312">
        <f>CS_PID!G43/VLOOKUP($B43,LEBT[#ALL],4)/VLOOKUP($B43,표2[#ALL],2)</f>
        <v>48.29433384</v>
      </c>
      <c r="H43" s="312">
        <f>CS_PID!H43/VLOOKUP($B43,LEBT[#ALL],4)/VLOOKUP($B43,표2[#ALL],2)</f>
        <v>144.8830015</v>
      </c>
      <c r="I43" s="312">
        <f>CS_PID!I43/VLOOKUP($B43,LEBT[#ALL],4)/VLOOKUP($B43,표2[#ALL],2)</f>
        <v>4105.018377</v>
      </c>
      <c r="J43" s="312">
        <f>CS_PID!J43/VLOOKUP($B43,LEBT[#ALL],4)/VLOOKUP($B43,표2[#ALL],2)</f>
        <v>27817.53629</v>
      </c>
      <c r="K43" s="312">
        <f>CS_PID!K43/VLOOKUP($B43,LEBT[#ALL],4)/VLOOKUP($B43,표2[#ALL],2)</f>
        <v>9079.334763</v>
      </c>
      <c r="L43" s="312">
        <f>CS_PID!L43/VLOOKUP($B43,LEBT[#ALL],4)/VLOOKUP($B43,표2[#ALL],2)</f>
        <v>724.4150077</v>
      </c>
      <c r="M43" s="312">
        <f>CS_PID!M43/VLOOKUP($B43,LEBT[#ALL],4)/VLOOKUP($B43,표2[#ALL],2)</f>
        <v>0</v>
      </c>
      <c r="N43" s="312">
        <f>CS_PID!N43/VLOOKUP($B43,LEBT[#ALL],4)/VLOOKUP($B43,표2[#ALL],2)</f>
        <v>96.58866769</v>
      </c>
      <c r="O43" s="312">
        <f>CS_PID!O43/VLOOKUP($B43,LEBT[#ALL],4)/VLOOKUP($B43,표2[#ALL],2)</f>
        <v>2366.422358</v>
      </c>
      <c r="P43" s="312">
        <f>CS_PID!P43/VLOOKUP($B43,LEBT[#ALL],4)/VLOOKUP($B43,표2[#ALL],2)</f>
        <v>28590.24564</v>
      </c>
      <c r="Q43" s="312">
        <f>CS_PID!Q43/VLOOKUP($B43,LEBT[#ALL],4)/VLOOKUP($B43,표2[#ALL],2)</f>
        <v>25451.11394</v>
      </c>
      <c r="R43" s="312">
        <f>CS_PID!R43/VLOOKUP($B43,LEBT[#ALL],4)/VLOOKUP($B43,표2[#ALL],2)</f>
        <v>869.2980092</v>
      </c>
      <c r="S43" s="312">
        <f>CS_PID!S43/VLOOKUP($B43,LEBT[#ALL],4)/VLOOKUP($B43,표2[#ALL],2)</f>
        <v>0</v>
      </c>
      <c r="T43" s="312">
        <f>CS_PID!T43/VLOOKUP($B43,LEBT[#ALL],4)/VLOOKUP($B43,표2[#ALL],2)</f>
        <v>0</v>
      </c>
      <c r="U43" s="312">
        <f>CS_PID!U43/VLOOKUP($B43,LEBT[#ALL],4)/VLOOKUP($B43,표2[#ALL],2)</f>
        <v>1303.947014</v>
      </c>
      <c r="V43" s="312">
        <f>CS_PID!V43/VLOOKUP($B43,LEBT[#ALL],4)/VLOOKUP($B43,표2[#ALL],2)</f>
        <v>29604.42665</v>
      </c>
      <c r="W43" s="312">
        <f>CS_PID!W43/VLOOKUP($B43,LEBT[#ALL],4)/VLOOKUP($B43,표2[#ALL],2)</f>
        <v>16854.72251</v>
      </c>
      <c r="X43" s="312">
        <f>CS_PID!X43/VLOOKUP($B43,LEBT[#ALL],4)/VLOOKUP($B43,표2[#ALL],2)</f>
        <v>579.5320061</v>
      </c>
      <c r="Y43" s="312">
        <f>CS_PID!Y43/VLOOKUP($B43,LEBT[#ALL],4)/VLOOKUP($B43,표2[#ALL],2)</f>
        <v>0</v>
      </c>
      <c r="Z43" s="312">
        <f>CS_PID!Z43/VLOOKUP($B43,LEBT[#ALL],4)/VLOOKUP($B43,표2[#ALL],2)</f>
        <v>0</v>
      </c>
      <c r="AA43" s="312">
        <f>CS_PID!AA43/VLOOKUP($B43,LEBT[#ALL],4)/VLOOKUP($B43,표2[#ALL],2)</f>
        <v>338.0603369</v>
      </c>
      <c r="AB43" s="312">
        <f>CS_PID!AB43/VLOOKUP($B43,LEBT[#ALL],4)/VLOOKUP($B43,표2[#ALL],2)</f>
        <v>6761.206738</v>
      </c>
      <c r="AC43" s="312">
        <f>CS_PID!AC43/VLOOKUP($B43,LEBT[#ALL],4)/VLOOKUP($B43,표2[#ALL],2)</f>
        <v>7727.093415</v>
      </c>
      <c r="AD43" s="312">
        <f>CS_PID!AD43/VLOOKUP($B43,LEBT[#ALL],4)/VLOOKUP($B43,표2[#ALL],2)</f>
        <v>48.29433384</v>
      </c>
      <c r="AE43" s="312">
        <f>CS_PID!AE43/VLOOKUP($B43,LEBT[#ALL],4)/VLOOKUP($B43,표2[#ALL],2)</f>
        <v>0</v>
      </c>
      <c r="AF43" s="312">
        <f>CS_PID!AF43/VLOOKUP($B43,LEBT[#ALL],4)/VLOOKUP($B43,표2[#ALL],2)</f>
        <v>0</v>
      </c>
      <c r="AG43" s="312">
        <f>CS_PID!AG43/VLOOKUP($B43,LEBT[#ALL],4)/VLOOKUP($B43,표2[#ALL],2)</f>
        <v>96.58866769</v>
      </c>
      <c r="AH43" s="312">
        <f>CS_PID!AH43/VLOOKUP($B43,LEBT[#ALL],4)/VLOOKUP($B43,표2[#ALL],2)</f>
        <v>3573.780704</v>
      </c>
      <c r="AI43" s="312">
        <f>CS_PID!AI43/VLOOKUP($B43,LEBT[#ALL],4)/VLOOKUP($B43,표2[#ALL],2)</f>
        <v>821.0036754</v>
      </c>
      <c r="AJ43" s="312">
        <f>CS_PID!AJ43/VLOOKUP($B43,LEBT[#ALL],4)/VLOOKUP($B43,표2[#ALL],2)</f>
        <v>48.29433384</v>
      </c>
      <c r="AK43" s="312">
        <f>CS_PID!AK43/VLOOKUP($B43,LEBT[#ALL],4)/VLOOKUP($B43,표2[#ALL],2)</f>
        <v>0</v>
      </c>
      <c r="AL43" s="312">
        <f>CS_PID!AL43/VLOOKUP($B43,LEBT[#ALL],4)/VLOOKUP($B43,표2[#ALL],2)</f>
        <v>96.58866769</v>
      </c>
      <c r="AM43" s="312">
        <f>CS_PID!AM43/VLOOKUP($B43,LEBT[#ALL],4)/VLOOKUP($B43,표2[#ALL],2)</f>
        <v>241.4716692</v>
      </c>
      <c r="AN43" s="312">
        <f>CS_PID!AN43/VLOOKUP($B43,LEBT[#ALL],4)/VLOOKUP($B43,표2[#ALL],2)</f>
        <v>48.29433384</v>
      </c>
      <c r="AO43" s="312">
        <f>CS_PID!AO43/VLOOKUP($B43,LEBT[#ALL],4)/VLOOKUP($B43,표2[#ALL],2)</f>
        <v>0</v>
      </c>
      <c r="AP43" s="312">
        <f>CS_PID!AP43/VLOOKUP($B43,LEBT[#ALL],4)/VLOOKUP($B43,표2[#ALL],2)</f>
        <v>0</v>
      </c>
      <c r="AQ43" s="312">
        <f>CS_PID!AQ43/VLOOKUP($B43,LEBT[#ALL],4)/VLOOKUP($B43,표2[#ALL],2)</f>
        <v>0</v>
      </c>
      <c r="AR43" s="312">
        <f>CS_PID!AR43/VLOOKUP($B43,LEBT[#ALL],4)/VLOOKUP($B43,표2[#ALL],2)</f>
        <v>0</v>
      </c>
      <c r="AS43" s="312">
        <f>CS_PID!AS43/VLOOKUP($B43,LEBT[#ALL],4)/VLOOKUP($B43,표2[#ALL],2)</f>
        <v>0</v>
      </c>
    </row>
    <row r="44">
      <c r="A44" s="153" t="s">
        <v>80</v>
      </c>
      <c r="B44" s="154">
        <v>305.0</v>
      </c>
      <c r="C44" s="313">
        <f>CS_PID!C44/VLOOKUP($B44,LEBT[#ALL],4)/VLOOKUP($B44,표2[#ALL],2)</f>
        <v>153.4084321</v>
      </c>
      <c r="D44" s="313">
        <f>CS_PID!D44/VLOOKUP($B44,LEBT[#ALL],4)/VLOOKUP($B44,표2[#ALL],2)</f>
        <v>7144.449837</v>
      </c>
      <c r="E44" s="313">
        <f>CS_PID!E44/VLOOKUP($B44,LEBT[#ALL],4)/VLOOKUP($B44,표2[#ALL],2)</f>
        <v>8963.435532</v>
      </c>
      <c r="F44" s="313">
        <f>CS_PID!F44/VLOOKUP($B44,LEBT[#ALL],4)/VLOOKUP($B44,표2[#ALL],2)</f>
        <v>3331.154525</v>
      </c>
      <c r="G44" s="313">
        <f>CS_PID!G44/VLOOKUP($B44,LEBT[#ALL],4)/VLOOKUP($B44,표2[#ALL],2)</f>
        <v>21.9154903</v>
      </c>
      <c r="H44" s="313">
        <f>CS_PID!H44/VLOOKUP($B44,LEBT[#ALL],4)/VLOOKUP($B44,표2[#ALL],2)</f>
        <v>87.6619612</v>
      </c>
      <c r="I44" s="313">
        <f>CS_PID!I44/VLOOKUP($B44,LEBT[#ALL],4)/VLOOKUP($B44,표2[#ALL],2)</f>
        <v>3900.957273</v>
      </c>
      <c r="J44" s="313">
        <f>CS_PID!J44/VLOOKUP($B44,LEBT[#ALL],4)/VLOOKUP($B44,표2[#ALL],2)</f>
        <v>25816.44757</v>
      </c>
      <c r="K44" s="313">
        <f>CS_PID!K44/VLOOKUP($B44,LEBT[#ALL],4)/VLOOKUP($B44,표2[#ALL],2)</f>
        <v>8963.435532</v>
      </c>
      <c r="L44" s="313">
        <f>CS_PID!L44/VLOOKUP($B44,LEBT[#ALL],4)/VLOOKUP($B44,표2[#ALL],2)</f>
        <v>416.3943157</v>
      </c>
      <c r="M44" s="313">
        <f>CS_PID!M44/VLOOKUP($B44,LEBT[#ALL],4)/VLOOKUP($B44,표2[#ALL],2)</f>
        <v>0</v>
      </c>
      <c r="N44" s="313">
        <f>CS_PID!N44/VLOOKUP($B44,LEBT[#ALL],4)/VLOOKUP($B44,표2[#ALL],2)</f>
        <v>0</v>
      </c>
      <c r="O44" s="313">
        <f>CS_PID!O44/VLOOKUP($B44,LEBT[#ALL],4)/VLOOKUP($B44,표2[#ALL],2)</f>
        <v>3024.337661</v>
      </c>
      <c r="P44" s="313">
        <f>CS_PID!P44/VLOOKUP($B44,LEBT[#ALL],4)/VLOOKUP($B44,표2[#ALL],2)</f>
        <v>26145.17993</v>
      </c>
      <c r="Q44" s="313">
        <f>CS_PID!Q44/VLOOKUP($B44,LEBT[#ALL],4)/VLOOKUP($B44,표2[#ALL],2)</f>
        <v>23208.50423</v>
      </c>
      <c r="R44" s="313">
        <f>CS_PID!R44/VLOOKUP($B44,LEBT[#ALL],4)/VLOOKUP($B44,표2[#ALL],2)</f>
        <v>745.1266702</v>
      </c>
      <c r="S44" s="313">
        <f>CS_PID!S44/VLOOKUP($B44,LEBT[#ALL],4)/VLOOKUP($B44,표2[#ALL],2)</f>
        <v>0</v>
      </c>
      <c r="T44" s="313">
        <f>CS_PID!T44/VLOOKUP($B44,LEBT[#ALL],4)/VLOOKUP($B44,표2[#ALL],2)</f>
        <v>0</v>
      </c>
      <c r="U44" s="313">
        <f>CS_PID!U44/VLOOKUP($B44,LEBT[#ALL],4)/VLOOKUP($B44,표2[#ALL],2)</f>
        <v>986.1970635</v>
      </c>
      <c r="V44" s="313">
        <f>CS_PID!V44/VLOOKUP($B44,LEBT[#ALL],4)/VLOOKUP($B44,표2[#ALL],2)</f>
        <v>26693.06718</v>
      </c>
      <c r="W44" s="313">
        <f>CS_PID!W44/VLOOKUP($B44,LEBT[#ALL],4)/VLOOKUP($B44,표2[#ALL],2)</f>
        <v>15538.08262</v>
      </c>
      <c r="X44" s="313">
        <f>CS_PID!X44/VLOOKUP($B44,LEBT[#ALL],4)/VLOOKUP($B44,표2[#ALL],2)</f>
        <v>745.1266702</v>
      </c>
      <c r="Y44" s="313">
        <f>CS_PID!Y44/VLOOKUP($B44,LEBT[#ALL],4)/VLOOKUP($B44,표2[#ALL],2)</f>
        <v>0</v>
      </c>
      <c r="Z44" s="313">
        <f>CS_PID!Z44/VLOOKUP($B44,LEBT[#ALL],4)/VLOOKUP($B44,표2[#ALL],2)</f>
        <v>0</v>
      </c>
      <c r="AA44" s="313">
        <f>CS_PID!AA44/VLOOKUP($B44,LEBT[#ALL],4)/VLOOKUP($B44,표2[#ALL],2)</f>
        <v>613.6337284</v>
      </c>
      <c r="AB44" s="313">
        <f>CS_PID!AB44/VLOOKUP($B44,LEBT[#ALL],4)/VLOOKUP($B44,표2[#ALL],2)</f>
        <v>8525.125726</v>
      </c>
      <c r="AC44" s="313">
        <f>CS_PID!AC44/VLOOKUP($B44,LEBT[#ALL],4)/VLOOKUP($B44,표2[#ALL],2)</f>
        <v>7473.182192</v>
      </c>
      <c r="AD44" s="313">
        <f>CS_PID!AD44/VLOOKUP($B44,LEBT[#ALL],4)/VLOOKUP($B44,표2[#ALL],2)</f>
        <v>65.7464709</v>
      </c>
      <c r="AE44" s="313">
        <f>CS_PID!AE44/VLOOKUP($B44,LEBT[#ALL],4)/VLOOKUP($B44,표2[#ALL],2)</f>
        <v>21.9154903</v>
      </c>
      <c r="AF44" s="313">
        <f>CS_PID!AF44/VLOOKUP($B44,LEBT[#ALL],4)/VLOOKUP($B44,표2[#ALL],2)</f>
        <v>0</v>
      </c>
      <c r="AG44" s="313">
        <f>CS_PID!AG44/VLOOKUP($B44,LEBT[#ALL],4)/VLOOKUP($B44,표2[#ALL],2)</f>
        <v>153.4084321</v>
      </c>
      <c r="AH44" s="313">
        <f>CS_PID!AH44/VLOOKUP($B44,LEBT[#ALL],4)/VLOOKUP($B44,표2[#ALL],2)</f>
        <v>2870.929229</v>
      </c>
      <c r="AI44" s="313">
        <f>CS_PID!AI44/VLOOKUP($B44,LEBT[#ALL],4)/VLOOKUP($B44,표2[#ALL],2)</f>
        <v>964.2815732</v>
      </c>
      <c r="AJ44" s="313">
        <f>CS_PID!AJ44/VLOOKUP($B44,LEBT[#ALL],4)/VLOOKUP($B44,표2[#ALL],2)</f>
        <v>43.8309806</v>
      </c>
      <c r="AK44" s="313">
        <f>CS_PID!AK44/VLOOKUP($B44,LEBT[#ALL],4)/VLOOKUP($B44,표2[#ALL],2)</f>
        <v>0</v>
      </c>
      <c r="AL44" s="313">
        <f>CS_PID!AL44/VLOOKUP($B44,LEBT[#ALL],4)/VLOOKUP($B44,표2[#ALL],2)</f>
        <v>65.7464709</v>
      </c>
      <c r="AM44" s="313">
        <f>CS_PID!AM44/VLOOKUP($B44,LEBT[#ALL],4)/VLOOKUP($B44,표2[#ALL],2)</f>
        <v>328.7323545</v>
      </c>
      <c r="AN44" s="313">
        <f>CS_PID!AN44/VLOOKUP($B44,LEBT[#ALL],4)/VLOOKUP($B44,표2[#ALL],2)</f>
        <v>21.9154903</v>
      </c>
      <c r="AO44" s="313">
        <f>CS_PID!AO44/VLOOKUP($B44,LEBT[#ALL],4)/VLOOKUP($B44,표2[#ALL],2)</f>
        <v>0</v>
      </c>
      <c r="AP44" s="313">
        <f>CS_PID!AP44/VLOOKUP($B44,LEBT[#ALL],4)/VLOOKUP($B44,표2[#ALL],2)</f>
        <v>0</v>
      </c>
      <c r="AQ44" s="313">
        <f>CS_PID!AQ44/VLOOKUP($B44,LEBT[#ALL],4)/VLOOKUP($B44,표2[#ALL],2)</f>
        <v>0</v>
      </c>
      <c r="AR44" s="313">
        <f>CS_PID!AR44/VLOOKUP($B44,LEBT[#ALL],4)/VLOOKUP($B44,표2[#ALL],2)</f>
        <v>0</v>
      </c>
      <c r="AS44" s="313">
        <f>CS_PID!AS44/VLOOKUP($B44,LEBT[#ALL],4)/VLOOKUP($B44,표2[#ALL],2)</f>
        <v>0</v>
      </c>
    </row>
    <row r="45">
      <c r="A45" s="153" t="s">
        <v>80</v>
      </c>
      <c r="B45" s="154">
        <v>306.0</v>
      </c>
      <c r="C45" s="313">
        <f>CS_PID!C45/VLOOKUP($B45,LEBT[#ALL],4)/VLOOKUP($B45,표2[#ALL],2)</f>
        <v>124.8478419</v>
      </c>
      <c r="D45" s="313">
        <f>CS_PID!D45/VLOOKUP($B45,LEBT[#ALL],4)/VLOOKUP($B45,표2[#ALL],2)</f>
        <v>7141.296555</v>
      </c>
      <c r="E45" s="313">
        <f>CS_PID!E45/VLOOKUP($B45,LEBT[#ALL],4)/VLOOKUP($B45,표2[#ALL],2)</f>
        <v>9063.953319</v>
      </c>
      <c r="F45" s="313">
        <f>CS_PID!F45/VLOOKUP($B45,LEBT[#ALL],4)/VLOOKUP($B45,표2[#ALL],2)</f>
        <v>3445.800435</v>
      </c>
      <c r="G45" s="313">
        <f>CS_PID!G45/VLOOKUP($B45,LEBT[#ALL],4)/VLOOKUP($B45,표2[#ALL],2)</f>
        <v>24.96956837</v>
      </c>
      <c r="H45" s="313">
        <f>CS_PID!H45/VLOOKUP($B45,LEBT[#ALL],4)/VLOOKUP($B45,표2[#ALL],2)</f>
        <v>149.8174102</v>
      </c>
      <c r="I45" s="313">
        <f>CS_PID!I45/VLOOKUP($B45,LEBT[#ALL],4)/VLOOKUP($B45,표2[#ALL],2)</f>
        <v>3770.404824</v>
      </c>
      <c r="J45" s="313">
        <f>CS_PID!J45/VLOOKUP($B45,LEBT[#ALL],4)/VLOOKUP($B45,표2[#ALL],2)</f>
        <v>25868.47283</v>
      </c>
      <c r="K45" s="313">
        <f>CS_PID!K45/VLOOKUP($B45,LEBT[#ALL],4)/VLOOKUP($B45,표2[#ALL],2)</f>
        <v>8239.957563</v>
      </c>
      <c r="L45" s="313">
        <f>CS_PID!L45/VLOOKUP($B45,LEBT[#ALL],4)/VLOOKUP($B45,표2[#ALL],2)</f>
        <v>599.2696409</v>
      </c>
      <c r="M45" s="313">
        <f>CS_PID!M45/VLOOKUP($B45,LEBT[#ALL],4)/VLOOKUP($B45,표2[#ALL],2)</f>
        <v>0</v>
      </c>
      <c r="N45" s="313">
        <f>CS_PID!N45/VLOOKUP($B45,LEBT[#ALL],4)/VLOOKUP($B45,표2[#ALL],2)</f>
        <v>24.96956837</v>
      </c>
      <c r="O45" s="313">
        <f>CS_PID!O45/VLOOKUP($B45,LEBT[#ALL],4)/VLOOKUP($B45,표2[#ALL],2)</f>
        <v>3545.678709</v>
      </c>
      <c r="P45" s="313">
        <f>CS_PID!P45/VLOOKUP($B45,LEBT[#ALL],4)/VLOOKUP($B45,표2[#ALL],2)</f>
        <v>26867.25557</v>
      </c>
      <c r="Q45" s="313">
        <f>CS_PID!Q45/VLOOKUP($B45,LEBT[#ALL],4)/VLOOKUP($B45,표2[#ALL],2)</f>
        <v>21623.64621</v>
      </c>
      <c r="R45" s="313">
        <f>CS_PID!R45/VLOOKUP($B45,LEBT[#ALL],4)/VLOOKUP($B45,표2[#ALL],2)</f>
        <v>624.2392093</v>
      </c>
      <c r="S45" s="313">
        <f>CS_PID!S45/VLOOKUP($B45,LEBT[#ALL],4)/VLOOKUP($B45,표2[#ALL],2)</f>
        <v>0</v>
      </c>
      <c r="T45" s="313">
        <f>CS_PID!T45/VLOOKUP($B45,LEBT[#ALL],4)/VLOOKUP($B45,표2[#ALL],2)</f>
        <v>0</v>
      </c>
      <c r="U45" s="313">
        <f>CS_PID!U45/VLOOKUP($B45,LEBT[#ALL],4)/VLOOKUP($B45,표2[#ALL],2)</f>
        <v>1098.661008</v>
      </c>
      <c r="V45" s="313">
        <f>CS_PID!V45/VLOOKUP($B45,LEBT[#ALL],4)/VLOOKUP($B45,표2[#ALL],2)</f>
        <v>27965.91658</v>
      </c>
      <c r="W45" s="313">
        <f>CS_PID!W45/VLOOKUP($B45,LEBT[#ALL],4)/VLOOKUP($B45,표2[#ALL],2)</f>
        <v>15131.55843</v>
      </c>
      <c r="X45" s="313">
        <f>CS_PID!X45/VLOOKUP($B45,LEBT[#ALL],4)/VLOOKUP($B45,표2[#ALL],2)</f>
        <v>549.3305042</v>
      </c>
      <c r="Y45" s="313">
        <f>CS_PID!Y45/VLOOKUP($B45,LEBT[#ALL],4)/VLOOKUP($B45,표2[#ALL],2)</f>
        <v>0</v>
      </c>
      <c r="Z45" s="313">
        <f>CS_PID!Z45/VLOOKUP($B45,LEBT[#ALL],4)/VLOOKUP($B45,표2[#ALL],2)</f>
        <v>0</v>
      </c>
      <c r="AA45" s="313">
        <f>CS_PID!AA45/VLOOKUP($B45,LEBT[#ALL],4)/VLOOKUP($B45,표2[#ALL],2)</f>
        <v>324.6043888</v>
      </c>
      <c r="AB45" s="313">
        <f>CS_PID!AB45/VLOOKUP($B45,LEBT[#ALL],4)/VLOOKUP($B45,표2[#ALL],2)</f>
        <v>8165.048858</v>
      </c>
      <c r="AC45" s="313">
        <f>CS_PID!AC45/VLOOKUP($B45,LEBT[#ALL],4)/VLOOKUP($B45,표2[#ALL],2)</f>
        <v>6916.570439</v>
      </c>
      <c r="AD45" s="313">
        <f>CS_PID!AD45/VLOOKUP($B45,LEBT[#ALL],4)/VLOOKUP($B45,표2[#ALL],2)</f>
        <v>74.90870512</v>
      </c>
      <c r="AE45" s="313">
        <f>CS_PID!AE45/VLOOKUP($B45,LEBT[#ALL],4)/VLOOKUP($B45,표2[#ALL],2)</f>
        <v>0</v>
      </c>
      <c r="AF45" s="313">
        <f>CS_PID!AF45/VLOOKUP($B45,LEBT[#ALL],4)/VLOOKUP($B45,표2[#ALL],2)</f>
        <v>0</v>
      </c>
      <c r="AG45" s="313">
        <f>CS_PID!AG45/VLOOKUP($B45,LEBT[#ALL],4)/VLOOKUP($B45,표2[#ALL],2)</f>
        <v>124.8478419</v>
      </c>
      <c r="AH45" s="313">
        <f>CS_PID!AH45/VLOOKUP($B45,LEBT[#ALL],4)/VLOOKUP($B45,표2[#ALL],2)</f>
        <v>2871.500363</v>
      </c>
      <c r="AI45" s="313">
        <f>CS_PID!AI45/VLOOKUP($B45,LEBT[#ALL],4)/VLOOKUP($B45,표2[#ALL],2)</f>
        <v>449.4522307</v>
      </c>
      <c r="AJ45" s="313">
        <f>CS_PID!AJ45/VLOOKUP($B45,LEBT[#ALL],4)/VLOOKUP($B45,표2[#ALL],2)</f>
        <v>49.93913675</v>
      </c>
      <c r="AK45" s="313">
        <f>CS_PID!AK45/VLOOKUP($B45,LEBT[#ALL],4)/VLOOKUP($B45,표2[#ALL],2)</f>
        <v>0</v>
      </c>
      <c r="AL45" s="313">
        <f>CS_PID!AL45/VLOOKUP($B45,LEBT[#ALL],4)/VLOOKUP($B45,표2[#ALL],2)</f>
        <v>24.96956837</v>
      </c>
      <c r="AM45" s="313">
        <f>CS_PID!AM45/VLOOKUP($B45,LEBT[#ALL],4)/VLOOKUP($B45,표2[#ALL],2)</f>
        <v>324.6043888</v>
      </c>
      <c r="AN45" s="313">
        <f>CS_PID!AN45/VLOOKUP($B45,LEBT[#ALL],4)/VLOOKUP($B45,표2[#ALL],2)</f>
        <v>124.8478419</v>
      </c>
      <c r="AO45" s="313">
        <f>CS_PID!AO45/VLOOKUP($B45,LEBT[#ALL],4)/VLOOKUP($B45,표2[#ALL],2)</f>
        <v>24.96956837</v>
      </c>
      <c r="AP45" s="313">
        <f>CS_PID!AP45/VLOOKUP($B45,LEBT[#ALL],4)/VLOOKUP($B45,표2[#ALL],2)</f>
        <v>0</v>
      </c>
      <c r="AQ45" s="313">
        <f>CS_PID!AQ45/VLOOKUP($B45,LEBT[#ALL],4)/VLOOKUP($B45,표2[#ALL],2)</f>
        <v>0</v>
      </c>
      <c r="AR45" s="313">
        <f>CS_PID!AR45/VLOOKUP($B45,LEBT[#ALL],4)/VLOOKUP($B45,표2[#ALL],2)</f>
        <v>0</v>
      </c>
      <c r="AS45" s="313">
        <f>CS_PID!AS45/VLOOKUP($B45,LEBT[#ALL],4)/VLOOKUP($B45,표2[#ALL],2)</f>
        <v>0</v>
      </c>
    </row>
    <row r="46">
      <c r="A46" s="153" t="s">
        <v>80</v>
      </c>
      <c r="B46" s="154">
        <v>307.0</v>
      </c>
      <c r="C46" s="313">
        <f>CS_PID!C46/VLOOKUP($B46,LEBT[#ALL],4)/VLOOKUP($B46,표2[#ALL],2)</f>
        <v>468.6347746</v>
      </c>
      <c r="D46" s="313">
        <f>CS_PID!D46/VLOOKUP($B46,LEBT[#ALL],4)/VLOOKUP($B46,표2[#ALL],2)</f>
        <v>6326.569457</v>
      </c>
      <c r="E46" s="313">
        <f>CS_PID!E46/VLOOKUP($B46,LEBT[#ALL],4)/VLOOKUP($B46,표2[#ALL],2)</f>
        <v>6560.886844</v>
      </c>
      <c r="F46" s="313">
        <f>CS_PID!F46/VLOOKUP($B46,LEBT[#ALL],4)/VLOOKUP($B46,표2[#ALL],2)</f>
        <v>2343.173873</v>
      </c>
      <c r="G46" s="313">
        <f>CS_PID!G46/VLOOKUP($B46,LEBT[#ALL],4)/VLOOKUP($B46,표2[#ALL],2)</f>
        <v>0</v>
      </c>
      <c r="H46" s="313">
        <f>CS_PID!H46/VLOOKUP($B46,LEBT[#ALL],4)/VLOOKUP($B46,표2[#ALL],2)</f>
        <v>234.3173873</v>
      </c>
      <c r="I46" s="313">
        <f>CS_PID!I46/VLOOKUP($B46,LEBT[#ALL],4)/VLOOKUP($B46,표2[#ALL],2)</f>
        <v>3749.078197</v>
      </c>
      <c r="J46" s="313">
        <f>CS_PID!J46/VLOOKUP($B46,LEBT[#ALL],4)/VLOOKUP($B46,표2[#ALL],2)</f>
        <v>26477.86476</v>
      </c>
      <c r="K46" s="313">
        <f>CS_PID!K46/VLOOKUP($B46,LEBT[#ALL],4)/VLOOKUP($B46,표2[#ALL],2)</f>
        <v>12184.50414</v>
      </c>
      <c r="L46" s="313">
        <f>CS_PID!L46/VLOOKUP($B46,LEBT[#ALL],4)/VLOOKUP($B46,표2[#ALL],2)</f>
        <v>937.2695492</v>
      </c>
      <c r="M46" s="313">
        <f>CS_PID!M46/VLOOKUP($B46,LEBT[#ALL],4)/VLOOKUP($B46,표2[#ALL],2)</f>
        <v>0</v>
      </c>
      <c r="N46" s="313">
        <f>CS_PID!N46/VLOOKUP($B46,LEBT[#ALL],4)/VLOOKUP($B46,표2[#ALL],2)</f>
        <v>0</v>
      </c>
      <c r="O46" s="313">
        <f>CS_PID!O46/VLOOKUP($B46,LEBT[#ALL],4)/VLOOKUP($B46,표2[#ALL],2)</f>
        <v>3280.443422</v>
      </c>
      <c r="P46" s="313">
        <f>CS_PID!P46/VLOOKUP($B46,LEBT[#ALL],4)/VLOOKUP($B46,표2[#ALL],2)</f>
        <v>30461.26035</v>
      </c>
      <c r="Q46" s="313">
        <f>CS_PID!Q46/VLOOKUP($B46,LEBT[#ALL],4)/VLOOKUP($B46,표2[#ALL],2)</f>
        <v>25071.96044</v>
      </c>
      <c r="R46" s="313">
        <f>CS_PID!R46/VLOOKUP($B46,LEBT[#ALL],4)/VLOOKUP($B46,표2[#ALL],2)</f>
        <v>937.2695492</v>
      </c>
      <c r="S46" s="313">
        <f>CS_PID!S46/VLOOKUP($B46,LEBT[#ALL],4)/VLOOKUP($B46,표2[#ALL],2)</f>
        <v>0</v>
      </c>
      <c r="T46" s="313">
        <f>CS_PID!T46/VLOOKUP($B46,LEBT[#ALL],4)/VLOOKUP($B46,표2[#ALL],2)</f>
        <v>0</v>
      </c>
      <c r="U46" s="313">
        <f>CS_PID!U46/VLOOKUP($B46,LEBT[#ALL],4)/VLOOKUP($B46,표2[#ALL],2)</f>
        <v>1171.586936</v>
      </c>
      <c r="V46" s="313">
        <f>CS_PID!V46/VLOOKUP($B46,LEBT[#ALL],4)/VLOOKUP($B46,표2[#ALL],2)</f>
        <v>32101.48206</v>
      </c>
      <c r="W46" s="313">
        <f>CS_PID!W46/VLOOKUP($B46,LEBT[#ALL],4)/VLOOKUP($B46,표2[#ALL],2)</f>
        <v>15464.94756</v>
      </c>
      <c r="X46" s="313">
        <f>CS_PID!X46/VLOOKUP($B46,LEBT[#ALL],4)/VLOOKUP($B46,표2[#ALL],2)</f>
        <v>702.9521619</v>
      </c>
      <c r="Y46" s="313">
        <f>CS_PID!Y46/VLOOKUP($B46,LEBT[#ALL],4)/VLOOKUP($B46,표2[#ALL],2)</f>
        <v>0</v>
      </c>
      <c r="Z46" s="313">
        <f>CS_PID!Z46/VLOOKUP($B46,LEBT[#ALL],4)/VLOOKUP($B46,표2[#ALL],2)</f>
        <v>0</v>
      </c>
      <c r="AA46" s="313">
        <f>CS_PID!AA46/VLOOKUP($B46,LEBT[#ALL],4)/VLOOKUP($B46,표2[#ALL],2)</f>
        <v>702.9521619</v>
      </c>
      <c r="AB46" s="313">
        <f>CS_PID!AB46/VLOOKUP($B46,LEBT[#ALL],4)/VLOOKUP($B46,표2[#ALL],2)</f>
        <v>10778.59982</v>
      </c>
      <c r="AC46" s="313">
        <f>CS_PID!AC46/VLOOKUP($B46,LEBT[#ALL],4)/VLOOKUP($B46,표2[#ALL],2)</f>
        <v>6326.569457</v>
      </c>
      <c r="AD46" s="313">
        <f>CS_PID!AD46/VLOOKUP($B46,LEBT[#ALL],4)/VLOOKUP($B46,표2[#ALL],2)</f>
        <v>0</v>
      </c>
      <c r="AE46" s="313">
        <f>CS_PID!AE46/VLOOKUP($B46,LEBT[#ALL],4)/VLOOKUP($B46,표2[#ALL],2)</f>
        <v>0</v>
      </c>
      <c r="AF46" s="313">
        <f>CS_PID!AF46/VLOOKUP($B46,LEBT[#ALL],4)/VLOOKUP($B46,표2[#ALL],2)</f>
        <v>0</v>
      </c>
      <c r="AG46" s="313">
        <f>CS_PID!AG46/VLOOKUP($B46,LEBT[#ALL],4)/VLOOKUP($B46,표2[#ALL],2)</f>
        <v>0</v>
      </c>
      <c r="AH46" s="313">
        <f>CS_PID!AH46/VLOOKUP($B46,LEBT[#ALL],4)/VLOOKUP($B46,표2[#ALL],2)</f>
        <v>2811.808647</v>
      </c>
      <c r="AI46" s="313">
        <f>CS_PID!AI46/VLOOKUP($B46,LEBT[#ALL],4)/VLOOKUP($B46,표2[#ALL],2)</f>
        <v>702.9521619</v>
      </c>
      <c r="AJ46" s="313">
        <f>CS_PID!AJ46/VLOOKUP($B46,LEBT[#ALL],4)/VLOOKUP($B46,표2[#ALL],2)</f>
        <v>0</v>
      </c>
      <c r="AK46" s="313">
        <f>CS_PID!AK46/VLOOKUP($B46,LEBT[#ALL],4)/VLOOKUP($B46,표2[#ALL],2)</f>
        <v>0</v>
      </c>
      <c r="AL46" s="313">
        <f>CS_PID!AL46/VLOOKUP($B46,LEBT[#ALL],4)/VLOOKUP($B46,표2[#ALL],2)</f>
        <v>234.3173873</v>
      </c>
      <c r="AM46" s="313">
        <f>CS_PID!AM46/VLOOKUP($B46,LEBT[#ALL],4)/VLOOKUP($B46,표2[#ALL],2)</f>
        <v>234.3173873</v>
      </c>
      <c r="AN46" s="313">
        <f>CS_PID!AN46/VLOOKUP($B46,LEBT[#ALL],4)/VLOOKUP($B46,표2[#ALL],2)</f>
        <v>0</v>
      </c>
      <c r="AO46" s="313">
        <f>CS_PID!AO46/VLOOKUP($B46,LEBT[#ALL],4)/VLOOKUP($B46,표2[#ALL],2)</f>
        <v>0</v>
      </c>
      <c r="AP46" s="313">
        <f>CS_PID!AP46/VLOOKUP($B46,LEBT[#ALL],4)/VLOOKUP($B46,표2[#ALL],2)</f>
        <v>0</v>
      </c>
      <c r="AQ46" s="313">
        <f>CS_PID!AQ46/VLOOKUP($B46,LEBT[#ALL],4)/VLOOKUP($B46,표2[#ALL],2)</f>
        <v>0</v>
      </c>
      <c r="AR46" s="313">
        <f>CS_PID!AR46/VLOOKUP($B46,LEBT[#ALL],4)/VLOOKUP($B46,표2[#ALL],2)</f>
        <v>0</v>
      </c>
      <c r="AS46" s="313">
        <f>CS_PID!AS46/VLOOKUP($B46,LEBT[#ALL],4)/VLOOKUP($B46,표2[#ALL],2)</f>
        <v>0</v>
      </c>
    </row>
    <row r="47">
      <c r="A47" s="153" t="s">
        <v>80</v>
      </c>
      <c r="B47" s="154">
        <v>308.0</v>
      </c>
      <c r="C47" s="313">
        <f>CS_PID!C47/VLOOKUP($B47,LEBT[#ALL],4)/VLOOKUP($B47,표2[#ALL],2)</f>
        <v>0</v>
      </c>
      <c r="D47" s="313">
        <f>CS_PID!D47/VLOOKUP($B47,LEBT[#ALL],4)/VLOOKUP($B47,표2[#ALL],2)</f>
        <v>5324.456632</v>
      </c>
      <c r="E47" s="313">
        <f>CS_PID!E47/VLOOKUP($B47,LEBT[#ALL],4)/VLOOKUP($B47,표2[#ALL],2)</f>
        <v>11409.54993</v>
      </c>
      <c r="F47" s="313">
        <f>CS_PID!F47/VLOOKUP($B47,LEBT[#ALL],4)/VLOOKUP($B47,표2[#ALL],2)</f>
        <v>2281.909985</v>
      </c>
      <c r="G47" s="313">
        <f>CS_PID!G47/VLOOKUP($B47,LEBT[#ALL],4)/VLOOKUP($B47,표2[#ALL],2)</f>
        <v>0</v>
      </c>
      <c r="H47" s="313">
        <f>CS_PID!H47/VLOOKUP($B47,LEBT[#ALL],4)/VLOOKUP($B47,표2[#ALL],2)</f>
        <v>380.3183309</v>
      </c>
      <c r="I47" s="313">
        <f>CS_PID!I47/VLOOKUP($B47,LEBT[#ALL],4)/VLOOKUP($B47,표2[#ALL],2)</f>
        <v>1140.954993</v>
      </c>
      <c r="J47" s="313">
        <f>CS_PID!J47/VLOOKUP($B47,LEBT[#ALL],4)/VLOOKUP($B47,표2[#ALL],2)</f>
        <v>20156.87154</v>
      </c>
      <c r="K47" s="313">
        <f>CS_PID!K47/VLOOKUP($B47,LEBT[#ALL],4)/VLOOKUP($B47,표2[#ALL],2)</f>
        <v>11029.23159</v>
      </c>
      <c r="L47" s="313">
        <f>CS_PID!L47/VLOOKUP($B47,LEBT[#ALL],4)/VLOOKUP($B47,표2[#ALL],2)</f>
        <v>760.6366617</v>
      </c>
      <c r="M47" s="313">
        <f>CS_PID!M47/VLOOKUP($B47,LEBT[#ALL],4)/VLOOKUP($B47,표2[#ALL],2)</f>
        <v>0</v>
      </c>
      <c r="N47" s="313">
        <f>CS_PID!N47/VLOOKUP($B47,LEBT[#ALL],4)/VLOOKUP($B47,표2[#ALL],2)</f>
        <v>380.3183309</v>
      </c>
      <c r="O47" s="313">
        <f>CS_PID!O47/VLOOKUP($B47,LEBT[#ALL],4)/VLOOKUP($B47,표2[#ALL],2)</f>
        <v>4563.81997</v>
      </c>
      <c r="P47" s="313">
        <f>CS_PID!P47/VLOOKUP($B47,LEBT[#ALL],4)/VLOOKUP($B47,표2[#ALL],2)</f>
        <v>25861.6465</v>
      </c>
      <c r="Q47" s="313">
        <f>CS_PID!Q47/VLOOKUP($B47,LEBT[#ALL],4)/VLOOKUP($B47,표2[#ALL],2)</f>
        <v>23199.41818</v>
      </c>
      <c r="R47" s="313">
        <f>CS_PID!R47/VLOOKUP($B47,LEBT[#ALL],4)/VLOOKUP($B47,표2[#ALL],2)</f>
        <v>1521.273323</v>
      </c>
      <c r="S47" s="313">
        <f>CS_PID!S47/VLOOKUP($B47,LEBT[#ALL],4)/VLOOKUP($B47,표2[#ALL],2)</f>
        <v>0</v>
      </c>
      <c r="T47" s="313">
        <f>CS_PID!T47/VLOOKUP($B47,LEBT[#ALL],4)/VLOOKUP($B47,표2[#ALL],2)</f>
        <v>0</v>
      </c>
      <c r="U47" s="313">
        <f>CS_PID!U47/VLOOKUP($B47,LEBT[#ALL],4)/VLOOKUP($B47,표2[#ALL],2)</f>
        <v>760.6366617</v>
      </c>
      <c r="V47" s="313">
        <f>CS_PID!V47/VLOOKUP($B47,LEBT[#ALL],4)/VLOOKUP($B47,표2[#ALL],2)</f>
        <v>26241.96483</v>
      </c>
      <c r="W47" s="313">
        <f>CS_PID!W47/VLOOKUP($B47,LEBT[#ALL],4)/VLOOKUP($B47,표2[#ALL],2)</f>
        <v>17114.32489</v>
      </c>
      <c r="X47" s="313">
        <f>CS_PID!X47/VLOOKUP($B47,LEBT[#ALL],4)/VLOOKUP($B47,표2[#ALL],2)</f>
        <v>1521.273323</v>
      </c>
      <c r="Y47" s="313">
        <f>CS_PID!Y47/VLOOKUP($B47,LEBT[#ALL],4)/VLOOKUP($B47,표2[#ALL],2)</f>
        <v>0</v>
      </c>
      <c r="Z47" s="313">
        <f>CS_PID!Z47/VLOOKUP($B47,LEBT[#ALL],4)/VLOOKUP($B47,표2[#ALL],2)</f>
        <v>0</v>
      </c>
      <c r="AA47" s="313">
        <f>CS_PID!AA47/VLOOKUP($B47,LEBT[#ALL],4)/VLOOKUP($B47,표2[#ALL],2)</f>
        <v>760.6366617</v>
      </c>
      <c r="AB47" s="313">
        <f>CS_PID!AB47/VLOOKUP($B47,LEBT[#ALL],4)/VLOOKUP($B47,표2[#ALL],2)</f>
        <v>9507.958272</v>
      </c>
      <c r="AC47" s="313">
        <f>CS_PID!AC47/VLOOKUP($B47,LEBT[#ALL],4)/VLOOKUP($B47,표2[#ALL],2)</f>
        <v>9507.958272</v>
      </c>
      <c r="AD47" s="313">
        <f>CS_PID!AD47/VLOOKUP($B47,LEBT[#ALL],4)/VLOOKUP($B47,표2[#ALL],2)</f>
        <v>0</v>
      </c>
      <c r="AE47" s="313">
        <f>CS_PID!AE47/VLOOKUP($B47,LEBT[#ALL],4)/VLOOKUP($B47,표2[#ALL],2)</f>
        <v>0</v>
      </c>
      <c r="AF47" s="313">
        <f>CS_PID!AF47/VLOOKUP($B47,LEBT[#ALL],4)/VLOOKUP($B47,표2[#ALL],2)</f>
        <v>0</v>
      </c>
      <c r="AG47" s="313">
        <f>CS_PID!AG47/VLOOKUP($B47,LEBT[#ALL],4)/VLOOKUP($B47,표2[#ALL],2)</f>
        <v>380.3183309</v>
      </c>
      <c r="AH47" s="313">
        <f>CS_PID!AH47/VLOOKUP($B47,LEBT[#ALL],4)/VLOOKUP($B47,표2[#ALL],2)</f>
        <v>3042.546647</v>
      </c>
      <c r="AI47" s="313">
        <f>CS_PID!AI47/VLOOKUP($B47,LEBT[#ALL],4)/VLOOKUP($B47,표2[#ALL],2)</f>
        <v>0</v>
      </c>
      <c r="AJ47" s="313">
        <f>CS_PID!AJ47/VLOOKUP($B47,LEBT[#ALL],4)/VLOOKUP($B47,표2[#ALL],2)</f>
        <v>0</v>
      </c>
      <c r="AK47" s="313">
        <f>CS_PID!AK47/VLOOKUP($B47,LEBT[#ALL],4)/VLOOKUP($B47,표2[#ALL],2)</f>
        <v>0</v>
      </c>
      <c r="AL47" s="313">
        <f>CS_PID!AL47/VLOOKUP($B47,LEBT[#ALL],4)/VLOOKUP($B47,표2[#ALL],2)</f>
        <v>380.3183309</v>
      </c>
      <c r="AM47" s="313">
        <f>CS_PID!AM47/VLOOKUP($B47,LEBT[#ALL],4)/VLOOKUP($B47,표2[#ALL],2)</f>
        <v>0</v>
      </c>
      <c r="AN47" s="313">
        <f>CS_PID!AN47/VLOOKUP($B47,LEBT[#ALL],4)/VLOOKUP($B47,표2[#ALL],2)</f>
        <v>0</v>
      </c>
      <c r="AO47" s="313">
        <f>CS_PID!AO47/VLOOKUP($B47,LEBT[#ALL],4)/VLOOKUP($B47,표2[#ALL],2)</f>
        <v>0</v>
      </c>
      <c r="AP47" s="313">
        <f>CS_PID!AP47/VLOOKUP($B47,LEBT[#ALL],4)/VLOOKUP($B47,표2[#ALL],2)</f>
        <v>0</v>
      </c>
      <c r="AQ47" s="313">
        <f>CS_PID!AQ47/VLOOKUP($B47,LEBT[#ALL],4)/VLOOKUP($B47,표2[#ALL],2)</f>
        <v>0</v>
      </c>
      <c r="AR47" s="313">
        <f>CS_PID!AR47/VLOOKUP($B47,LEBT[#ALL],4)/VLOOKUP($B47,표2[#ALL],2)</f>
        <v>0</v>
      </c>
      <c r="AS47" s="313">
        <f>CS_PID!AS47/VLOOKUP($B47,LEBT[#ALL],4)/VLOOKUP($B47,표2[#ALL],2)</f>
        <v>0</v>
      </c>
    </row>
    <row r="48">
      <c r="A48" s="153" t="s">
        <v>80</v>
      </c>
      <c r="B48" s="154">
        <v>309.0</v>
      </c>
      <c r="C48" s="313">
        <f>CS_PID!C48/VLOOKUP($B48,LEBT[#ALL],4)/VLOOKUP($B48,표2[#ALL],2)</f>
        <v>0</v>
      </c>
      <c r="D48" s="313">
        <f>CS_PID!D48/VLOOKUP($B48,LEBT[#ALL],4)/VLOOKUP($B48,표2[#ALL],2)</f>
        <v>6997.853028</v>
      </c>
      <c r="E48" s="313">
        <f>CS_PID!E48/VLOOKUP($B48,LEBT[#ALL],4)/VLOOKUP($B48,표2[#ALL],2)</f>
        <v>9108.31664</v>
      </c>
      <c r="F48" s="313">
        <f>CS_PID!F48/VLOOKUP($B48,LEBT[#ALL],4)/VLOOKUP($B48,표2[#ALL],2)</f>
        <v>2665.848773</v>
      </c>
      <c r="G48" s="313">
        <f>CS_PID!G48/VLOOKUP($B48,LEBT[#ALL],4)/VLOOKUP($B48,표2[#ALL],2)</f>
        <v>0</v>
      </c>
      <c r="H48" s="313">
        <f>CS_PID!H48/VLOOKUP($B48,LEBT[#ALL],4)/VLOOKUP($B48,표2[#ALL],2)</f>
        <v>444.3081288</v>
      </c>
      <c r="I48" s="313">
        <f>CS_PID!I48/VLOOKUP($B48,LEBT[#ALL],4)/VLOOKUP($B48,표2[#ALL],2)</f>
        <v>3443.387998</v>
      </c>
      <c r="J48" s="313">
        <f>CS_PID!J48/VLOOKUP($B48,LEBT[#ALL],4)/VLOOKUP($B48,표2[#ALL],2)</f>
        <v>27102.79585</v>
      </c>
      <c r="K48" s="313">
        <f>CS_PID!K48/VLOOKUP($B48,LEBT[#ALL],4)/VLOOKUP($B48,표2[#ALL],2)</f>
        <v>8886.162575</v>
      </c>
      <c r="L48" s="313">
        <f>CS_PID!L48/VLOOKUP($B48,LEBT[#ALL],4)/VLOOKUP($B48,표2[#ALL],2)</f>
        <v>555.385161</v>
      </c>
      <c r="M48" s="313">
        <f>CS_PID!M48/VLOOKUP($B48,LEBT[#ALL],4)/VLOOKUP($B48,표2[#ALL],2)</f>
        <v>0</v>
      </c>
      <c r="N48" s="313">
        <f>CS_PID!N48/VLOOKUP($B48,LEBT[#ALL],4)/VLOOKUP($B48,표2[#ALL],2)</f>
        <v>111.0770322</v>
      </c>
      <c r="O48" s="313">
        <f>CS_PID!O48/VLOOKUP($B48,LEBT[#ALL],4)/VLOOKUP($B48,표2[#ALL],2)</f>
        <v>4109.850191</v>
      </c>
      <c r="P48" s="313">
        <f>CS_PID!P48/VLOOKUP($B48,LEBT[#ALL],4)/VLOOKUP($B48,표2[#ALL],2)</f>
        <v>28435.72024</v>
      </c>
      <c r="Q48" s="313">
        <f>CS_PID!Q48/VLOOKUP($B48,LEBT[#ALL],4)/VLOOKUP($B48,표2[#ALL],2)</f>
        <v>22437.5605</v>
      </c>
      <c r="R48" s="313">
        <f>CS_PID!R48/VLOOKUP($B48,LEBT[#ALL],4)/VLOOKUP($B48,표2[#ALL],2)</f>
        <v>222.1540644</v>
      </c>
      <c r="S48" s="313">
        <f>CS_PID!S48/VLOOKUP($B48,LEBT[#ALL],4)/VLOOKUP($B48,표2[#ALL],2)</f>
        <v>0</v>
      </c>
      <c r="T48" s="313">
        <f>CS_PID!T48/VLOOKUP($B48,LEBT[#ALL],4)/VLOOKUP($B48,표2[#ALL],2)</f>
        <v>0</v>
      </c>
      <c r="U48" s="313">
        <f>CS_PID!U48/VLOOKUP($B48,LEBT[#ALL],4)/VLOOKUP($B48,표2[#ALL],2)</f>
        <v>888.6162575</v>
      </c>
      <c r="V48" s="313">
        <f>CS_PID!V48/VLOOKUP($B48,LEBT[#ALL],4)/VLOOKUP($B48,표2[#ALL],2)</f>
        <v>28324.64321</v>
      </c>
      <c r="W48" s="313">
        <f>CS_PID!W48/VLOOKUP($B48,LEBT[#ALL],4)/VLOOKUP($B48,표2[#ALL],2)</f>
        <v>19216.32657</v>
      </c>
      <c r="X48" s="313">
        <f>CS_PID!X48/VLOOKUP($B48,LEBT[#ALL],4)/VLOOKUP($B48,표2[#ALL],2)</f>
        <v>777.5392253</v>
      </c>
      <c r="Y48" s="313">
        <f>CS_PID!Y48/VLOOKUP($B48,LEBT[#ALL],4)/VLOOKUP($B48,표2[#ALL],2)</f>
        <v>0</v>
      </c>
      <c r="Z48" s="313">
        <f>CS_PID!Z48/VLOOKUP($B48,LEBT[#ALL],4)/VLOOKUP($B48,표2[#ALL],2)</f>
        <v>0</v>
      </c>
      <c r="AA48" s="313">
        <f>CS_PID!AA48/VLOOKUP($B48,LEBT[#ALL],4)/VLOOKUP($B48,표2[#ALL],2)</f>
        <v>888.6162575</v>
      </c>
      <c r="AB48" s="313">
        <f>CS_PID!AB48/VLOOKUP($B48,LEBT[#ALL],4)/VLOOKUP($B48,표2[#ALL],2)</f>
        <v>7442.161157</v>
      </c>
      <c r="AC48" s="313">
        <f>CS_PID!AC48/VLOOKUP($B48,LEBT[#ALL],4)/VLOOKUP($B48,표2[#ALL],2)</f>
        <v>9330.470704</v>
      </c>
      <c r="AD48" s="313">
        <f>CS_PID!AD48/VLOOKUP($B48,LEBT[#ALL],4)/VLOOKUP($B48,표2[#ALL],2)</f>
        <v>111.0770322</v>
      </c>
      <c r="AE48" s="313">
        <f>CS_PID!AE48/VLOOKUP($B48,LEBT[#ALL],4)/VLOOKUP($B48,표2[#ALL],2)</f>
        <v>0</v>
      </c>
      <c r="AF48" s="313">
        <f>CS_PID!AF48/VLOOKUP($B48,LEBT[#ALL],4)/VLOOKUP($B48,표2[#ALL],2)</f>
        <v>0</v>
      </c>
      <c r="AG48" s="313">
        <f>CS_PID!AG48/VLOOKUP($B48,LEBT[#ALL],4)/VLOOKUP($B48,표2[#ALL],2)</f>
        <v>0</v>
      </c>
      <c r="AH48" s="313">
        <f>CS_PID!AH48/VLOOKUP($B48,LEBT[#ALL],4)/VLOOKUP($B48,표2[#ALL],2)</f>
        <v>3887.696127</v>
      </c>
      <c r="AI48" s="313">
        <f>CS_PID!AI48/VLOOKUP($B48,LEBT[#ALL],4)/VLOOKUP($B48,표2[#ALL],2)</f>
        <v>222.1540644</v>
      </c>
      <c r="AJ48" s="313">
        <f>CS_PID!AJ48/VLOOKUP($B48,LEBT[#ALL],4)/VLOOKUP($B48,표2[#ALL],2)</f>
        <v>0</v>
      </c>
      <c r="AK48" s="313">
        <f>CS_PID!AK48/VLOOKUP($B48,LEBT[#ALL],4)/VLOOKUP($B48,표2[#ALL],2)</f>
        <v>0</v>
      </c>
      <c r="AL48" s="313">
        <f>CS_PID!AL48/VLOOKUP($B48,LEBT[#ALL],4)/VLOOKUP($B48,표2[#ALL],2)</f>
        <v>111.0770322</v>
      </c>
      <c r="AM48" s="313">
        <f>CS_PID!AM48/VLOOKUP($B48,LEBT[#ALL],4)/VLOOKUP($B48,표2[#ALL],2)</f>
        <v>222.1540644</v>
      </c>
      <c r="AN48" s="313">
        <f>CS_PID!AN48/VLOOKUP($B48,LEBT[#ALL],4)/VLOOKUP($B48,표2[#ALL],2)</f>
        <v>111.0770322</v>
      </c>
      <c r="AO48" s="313">
        <f>CS_PID!AO48/VLOOKUP($B48,LEBT[#ALL],4)/VLOOKUP($B48,표2[#ALL],2)</f>
        <v>0</v>
      </c>
      <c r="AP48" s="313">
        <f>CS_PID!AP48/VLOOKUP($B48,LEBT[#ALL],4)/VLOOKUP($B48,표2[#ALL],2)</f>
        <v>0</v>
      </c>
      <c r="AQ48" s="313">
        <f>CS_PID!AQ48/VLOOKUP($B48,LEBT[#ALL],4)/VLOOKUP($B48,표2[#ALL],2)</f>
        <v>0</v>
      </c>
      <c r="AR48" s="313">
        <f>CS_PID!AR48/VLOOKUP($B48,LEBT[#ALL],4)/VLOOKUP($B48,표2[#ALL],2)</f>
        <v>0</v>
      </c>
      <c r="AS48" s="313">
        <f>CS_PID!AS48/VLOOKUP($B48,LEBT[#ALL],4)/VLOOKUP($B48,표2[#ALL],2)</f>
        <v>0</v>
      </c>
    </row>
    <row r="49">
      <c r="A49" s="157" t="s">
        <v>80</v>
      </c>
      <c r="B49" s="158">
        <v>310.0</v>
      </c>
      <c r="C49" s="314">
        <f>CS_PID!C49/VLOOKUP($B49,LEBT[#ALL],4)/VLOOKUP($B49,표2[#ALL],2)</f>
        <v>0</v>
      </c>
      <c r="D49" s="314">
        <f>CS_PID!D49/VLOOKUP($B49,LEBT[#ALL],4)/VLOOKUP($B49,표2[#ALL],2)</f>
        <v>6362.048753</v>
      </c>
      <c r="E49" s="314">
        <f>CS_PID!E49/VLOOKUP($B49,LEBT[#ALL],4)/VLOOKUP($B49,표2[#ALL],2)</f>
        <v>9853.41697</v>
      </c>
      <c r="F49" s="314">
        <f>CS_PID!F49/VLOOKUP($B49,LEBT[#ALL],4)/VLOOKUP($B49,표2[#ALL],2)</f>
        <v>1784.477089</v>
      </c>
      <c r="G49" s="314">
        <f>CS_PID!G49/VLOOKUP($B49,LEBT[#ALL],4)/VLOOKUP($B49,표2[#ALL],2)</f>
        <v>77.5859604</v>
      </c>
      <c r="H49" s="314">
        <f>CS_PID!H49/VLOOKUP($B49,LEBT[#ALL],4)/VLOOKUP($B49,표2[#ALL],2)</f>
        <v>232.7578812</v>
      </c>
      <c r="I49" s="314">
        <f>CS_PID!I49/VLOOKUP($B49,LEBT[#ALL],4)/VLOOKUP($B49,표2[#ALL],2)</f>
        <v>2948.266495</v>
      </c>
      <c r="J49" s="314">
        <f>CS_PID!J49/VLOOKUP($B49,LEBT[#ALL],4)/VLOOKUP($B49,표2[#ALL],2)</f>
        <v>24129.23368</v>
      </c>
      <c r="K49" s="314">
        <f>CS_PID!K49/VLOOKUP($B49,LEBT[#ALL],4)/VLOOKUP($B49,표2[#ALL],2)</f>
        <v>7370.666238</v>
      </c>
      <c r="L49" s="314">
        <f>CS_PID!L49/VLOOKUP($B49,LEBT[#ALL],4)/VLOOKUP($B49,표2[#ALL],2)</f>
        <v>698.2736436</v>
      </c>
      <c r="M49" s="314">
        <f>CS_PID!M49/VLOOKUP($B49,LEBT[#ALL],4)/VLOOKUP($B49,표2[#ALL],2)</f>
        <v>77.5859604</v>
      </c>
      <c r="N49" s="314">
        <f>CS_PID!N49/VLOOKUP($B49,LEBT[#ALL],4)/VLOOKUP($B49,표2[#ALL],2)</f>
        <v>0</v>
      </c>
      <c r="O49" s="314">
        <f>CS_PID!O49/VLOOKUP($B49,LEBT[#ALL],4)/VLOOKUP($B49,표2[#ALL],2)</f>
        <v>3336.196297</v>
      </c>
      <c r="P49" s="314">
        <f>CS_PID!P49/VLOOKUP($B49,LEBT[#ALL],4)/VLOOKUP($B49,표2[#ALL],2)</f>
        <v>27465.42998</v>
      </c>
      <c r="Q49" s="314">
        <f>CS_PID!Q49/VLOOKUP($B49,LEBT[#ALL],4)/VLOOKUP($B49,표2[#ALL],2)</f>
        <v>22422.34255</v>
      </c>
      <c r="R49" s="314">
        <f>CS_PID!R49/VLOOKUP($B49,LEBT[#ALL],4)/VLOOKUP($B49,표2[#ALL],2)</f>
        <v>620.6876832</v>
      </c>
      <c r="S49" s="314">
        <f>CS_PID!S49/VLOOKUP($B49,LEBT[#ALL],4)/VLOOKUP($B49,표2[#ALL],2)</f>
        <v>0</v>
      </c>
      <c r="T49" s="314">
        <f>CS_PID!T49/VLOOKUP($B49,LEBT[#ALL],4)/VLOOKUP($B49,표2[#ALL],2)</f>
        <v>0</v>
      </c>
      <c r="U49" s="314">
        <f>CS_PID!U49/VLOOKUP($B49,LEBT[#ALL],4)/VLOOKUP($B49,표2[#ALL],2)</f>
        <v>1241.375366</v>
      </c>
      <c r="V49" s="314">
        <f>CS_PID!V49/VLOOKUP($B49,LEBT[#ALL],4)/VLOOKUP($B49,표2[#ALL],2)</f>
        <v>30336.11052</v>
      </c>
      <c r="W49" s="314">
        <f>CS_PID!W49/VLOOKUP($B49,LEBT[#ALL],4)/VLOOKUP($B49,표2[#ALL],2)</f>
        <v>15129.26228</v>
      </c>
      <c r="X49" s="314">
        <f>CS_PID!X49/VLOOKUP($B49,LEBT[#ALL],4)/VLOOKUP($B49,표2[#ALL],2)</f>
        <v>620.6876832</v>
      </c>
      <c r="Y49" s="314">
        <f>CS_PID!Y49/VLOOKUP($B49,LEBT[#ALL],4)/VLOOKUP($B49,표2[#ALL],2)</f>
        <v>0</v>
      </c>
      <c r="Z49" s="314">
        <f>CS_PID!Z49/VLOOKUP($B49,LEBT[#ALL],4)/VLOOKUP($B49,표2[#ALL],2)</f>
        <v>77.5859604</v>
      </c>
      <c r="AA49" s="314">
        <f>CS_PID!AA49/VLOOKUP($B49,LEBT[#ALL],4)/VLOOKUP($B49,표2[#ALL],2)</f>
        <v>465.5157624</v>
      </c>
      <c r="AB49" s="314">
        <f>CS_PID!AB49/VLOOKUP($B49,LEBT[#ALL],4)/VLOOKUP($B49,표2[#ALL],2)</f>
        <v>8146.525842</v>
      </c>
      <c r="AC49" s="314">
        <f>CS_PID!AC49/VLOOKUP($B49,LEBT[#ALL],4)/VLOOKUP($B49,표2[#ALL],2)</f>
        <v>6749.978555</v>
      </c>
      <c r="AD49" s="314">
        <f>CS_PID!AD49/VLOOKUP($B49,LEBT[#ALL],4)/VLOOKUP($B49,표2[#ALL],2)</f>
        <v>0</v>
      </c>
      <c r="AE49" s="314">
        <f>CS_PID!AE49/VLOOKUP($B49,LEBT[#ALL],4)/VLOOKUP($B49,표2[#ALL],2)</f>
        <v>0</v>
      </c>
      <c r="AF49" s="314">
        <f>CS_PID!AF49/VLOOKUP($B49,LEBT[#ALL],4)/VLOOKUP($B49,표2[#ALL],2)</f>
        <v>0</v>
      </c>
      <c r="AG49" s="314">
        <f>CS_PID!AG49/VLOOKUP($B49,LEBT[#ALL],4)/VLOOKUP($B49,표2[#ALL],2)</f>
        <v>387.929802</v>
      </c>
      <c r="AH49" s="314">
        <f>CS_PID!AH49/VLOOKUP($B49,LEBT[#ALL],4)/VLOOKUP($B49,표2[#ALL],2)</f>
        <v>2637.922653</v>
      </c>
      <c r="AI49" s="314">
        <f>CS_PID!AI49/VLOOKUP($B49,LEBT[#ALL],4)/VLOOKUP($B49,표2[#ALL],2)</f>
        <v>853.4455644</v>
      </c>
      <c r="AJ49" s="314">
        <f>CS_PID!AJ49/VLOOKUP($B49,LEBT[#ALL],4)/VLOOKUP($B49,표2[#ALL],2)</f>
        <v>0</v>
      </c>
      <c r="AK49" s="314">
        <f>CS_PID!AK49/VLOOKUP($B49,LEBT[#ALL],4)/VLOOKUP($B49,표2[#ALL],2)</f>
        <v>0</v>
      </c>
      <c r="AL49" s="314">
        <f>CS_PID!AL49/VLOOKUP($B49,LEBT[#ALL],4)/VLOOKUP($B49,표2[#ALL],2)</f>
        <v>77.5859604</v>
      </c>
      <c r="AM49" s="314">
        <f>CS_PID!AM49/VLOOKUP($B49,LEBT[#ALL],4)/VLOOKUP($B49,표2[#ALL],2)</f>
        <v>155.1719208</v>
      </c>
      <c r="AN49" s="314">
        <f>CS_PID!AN49/VLOOKUP($B49,LEBT[#ALL],4)/VLOOKUP($B49,표2[#ALL],2)</f>
        <v>77.5859604</v>
      </c>
      <c r="AO49" s="314">
        <f>CS_PID!AO49/VLOOKUP($B49,LEBT[#ALL],4)/VLOOKUP($B49,표2[#ALL],2)</f>
        <v>0</v>
      </c>
      <c r="AP49" s="314">
        <f>CS_PID!AP49/VLOOKUP($B49,LEBT[#ALL],4)/VLOOKUP($B49,표2[#ALL],2)</f>
        <v>0</v>
      </c>
      <c r="AQ49" s="314">
        <f>CS_PID!AQ49/VLOOKUP($B49,LEBT[#ALL],4)/VLOOKUP($B49,표2[#ALL],2)</f>
        <v>77.5859604</v>
      </c>
      <c r="AR49" s="314">
        <f>CS_PID!AR49/VLOOKUP($B49,LEBT[#ALL],4)/VLOOKUP($B49,표2[#ALL],2)</f>
        <v>0</v>
      </c>
      <c r="AS49" s="314">
        <f>CS_PID!AS49/VLOOKUP($B49,LEBT[#ALL],4)/VLOOKUP($B49,표2[#ALL],2)</f>
        <v>0</v>
      </c>
    </row>
    <row r="50">
      <c r="A50" s="161" t="s">
        <v>82</v>
      </c>
      <c r="B50" s="162">
        <v>316.0</v>
      </c>
      <c r="C50" s="315">
        <f>CS_PID!C50/VLOOKUP($B50,LEBT[#ALL],4)/VLOOKUP($B50,표2[#ALL],2)</f>
        <v>0</v>
      </c>
      <c r="D50" s="315">
        <f>CS_PID!D50/VLOOKUP($B50,LEBT[#ALL],4)/VLOOKUP($B50,표2[#ALL],2)</f>
        <v>115.7671661</v>
      </c>
      <c r="E50" s="315">
        <f>CS_PID!E50/VLOOKUP($B50,LEBT[#ALL],4)/VLOOKUP($B50,표2[#ALL],2)</f>
        <v>733.1920517</v>
      </c>
      <c r="F50" s="315">
        <f>CS_PID!F50/VLOOKUP($B50,LEBT[#ALL],4)/VLOOKUP($B50,표2[#ALL],2)</f>
        <v>694.6029963</v>
      </c>
      <c r="G50" s="315">
        <f>CS_PID!G50/VLOOKUP($B50,LEBT[#ALL],4)/VLOOKUP($B50,표2[#ALL],2)</f>
        <v>38.58905535</v>
      </c>
      <c r="H50" s="315">
        <f>CS_PID!H50/VLOOKUP($B50,LEBT[#ALL],4)/VLOOKUP($B50,표2[#ALL],2)</f>
        <v>38.58905535</v>
      </c>
      <c r="I50" s="315">
        <f>CS_PID!I50/VLOOKUP($B50,LEBT[#ALL],4)/VLOOKUP($B50,표2[#ALL],2)</f>
        <v>77.1781107</v>
      </c>
      <c r="J50" s="315">
        <f>CS_PID!J50/VLOOKUP($B50,LEBT[#ALL],4)/VLOOKUP($B50,표2[#ALL],2)</f>
        <v>2238.16521</v>
      </c>
      <c r="K50" s="315">
        <f>CS_PID!K50/VLOOKUP($B50,LEBT[#ALL],4)/VLOOKUP($B50,표2[#ALL],2)</f>
        <v>1968.041823</v>
      </c>
      <c r="L50" s="315">
        <f>CS_PID!L50/VLOOKUP($B50,LEBT[#ALL],4)/VLOOKUP($B50,표2[#ALL],2)</f>
        <v>308.7124428</v>
      </c>
      <c r="M50" s="315">
        <f>CS_PID!M50/VLOOKUP($B50,LEBT[#ALL],4)/VLOOKUP($B50,표2[#ALL],2)</f>
        <v>0</v>
      </c>
      <c r="N50" s="315">
        <f>CS_PID!N50/VLOOKUP($B50,LEBT[#ALL],4)/VLOOKUP($B50,표2[#ALL],2)</f>
        <v>0</v>
      </c>
      <c r="O50" s="315">
        <f>CS_PID!O50/VLOOKUP($B50,LEBT[#ALL],4)/VLOOKUP($B50,표2[#ALL],2)</f>
        <v>0</v>
      </c>
      <c r="P50" s="315">
        <f>CS_PID!P50/VLOOKUP($B50,LEBT[#ALL],4)/VLOOKUP($B50,표2[#ALL],2)</f>
        <v>1273.438827</v>
      </c>
      <c r="Q50" s="315">
        <f>CS_PID!Q50/VLOOKUP($B50,LEBT[#ALL],4)/VLOOKUP($B50,표2[#ALL],2)</f>
        <v>5170.933417</v>
      </c>
      <c r="R50" s="315">
        <f>CS_PID!R50/VLOOKUP($B50,LEBT[#ALL],4)/VLOOKUP($B50,표2[#ALL],2)</f>
        <v>1234.849771</v>
      </c>
      <c r="S50" s="315">
        <f>CS_PID!S50/VLOOKUP($B50,LEBT[#ALL],4)/VLOOKUP($B50,표2[#ALL],2)</f>
        <v>38.58905535</v>
      </c>
      <c r="T50" s="315">
        <f>CS_PID!T50/VLOOKUP($B50,LEBT[#ALL],4)/VLOOKUP($B50,표2[#ALL],2)</f>
        <v>0</v>
      </c>
      <c r="U50" s="315">
        <f>CS_PID!U50/VLOOKUP($B50,LEBT[#ALL],4)/VLOOKUP($B50,표2[#ALL],2)</f>
        <v>0</v>
      </c>
      <c r="V50" s="315">
        <f>CS_PID!V50/VLOOKUP($B50,LEBT[#ALL],4)/VLOOKUP($B50,표2[#ALL],2)</f>
        <v>656.013941</v>
      </c>
      <c r="W50" s="315">
        <f>CS_PID!W50/VLOOKUP($B50,LEBT[#ALL],4)/VLOOKUP($B50,표2[#ALL],2)</f>
        <v>4283.385144</v>
      </c>
      <c r="X50" s="315">
        <f>CS_PID!X50/VLOOKUP($B50,LEBT[#ALL],4)/VLOOKUP($B50,표2[#ALL],2)</f>
        <v>2739.82293</v>
      </c>
      <c r="Y50" s="315">
        <f>CS_PID!Y50/VLOOKUP($B50,LEBT[#ALL],4)/VLOOKUP($B50,표2[#ALL],2)</f>
        <v>38.58905535</v>
      </c>
      <c r="Z50" s="315">
        <f>CS_PID!Z50/VLOOKUP($B50,LEBT[#ALL],4)/VLOOKUP($B50,표2[#ALL],2)</f>
        <v>0</v>
      </c>
      <c r="AA50" s="315">
        <f>CS_PID!AA50/VLOOKUP($B50,LEBT[#ALL],4)/VLOOKUP($B50,표2[#ALL],2)</f>
        <v>0</v>
      </c>
      <c r="AB50" s="315">
        <f>CS_PID!AB50/VLOOKUP($B50,LEBT[#ALL],4)/VLOOKUP($B50,표2[#ALL],2)</f>
        <v>385.8905535</v>
      </c>
      <c r="AC50" s="315">
        <f>CS_PID!AC50/VLOOKUP($B50,LEBT[#ALL],4)/VLOOKUP($B50,표2[#ALL],2)</f>
        <v>5055.166251</v>
      </c>
      <c r="AD50" s="315">
        <f>CS_PID!AD50/VLOOKUP($B50,LEBT[#ALL],4)/VLOOKUP($B50,표2[#ALL],2)</f>
        <v>1003.315439</v>
      </c>
      <c r="AE50" s="315">
        <f>CS_PID!AE50/VLOOKUP($B50,LEBT[#ALL],4)/VLOOKUP($B50,표2[#ALL],2)</f>
        <v>0</v>
      </c>
      <c r="AF50" s="315">
        <f>CS_PID!AF50/VLOOKUP($B50,LEBT[#ALL],4)/VLOOKUP($B50,표2[#ALL],2)</f>
        <v>0</v>
      </c>
      <c r="AG50" s="315">
        <f>CS_PID!AG50/VLOOKUP($B50,LEBT[#ALL],4)/VLOOKUP($B50,표2[#ALL],2)</f>
        <v>0</v>
      </c>
      <c r="AH50" s="315">
        <f>CS_PID!AH50/VLOOKUP($B50,LEBT[#ALL],4)/VLOOKUP($B50,표2[#ALL],2)</f>
        <v>77.1781107</v>
      </c>
      <c r="AI50" s="315">
        <f>CS_PID!AI50/VLOOKUP($B50,LEBT[#ALL],4)/VLOOKUP($B50,표2[#ALL],2)</f>
        <v>1890.863712</v>
      </c>
      <c r="AJ50" s="315">
        <f>CS_PID!AJ50/VLOOKUP($B50,LEBT[#ALL],4)/VLOOKUP($B50,표2[#ALL],2)</f>
        <v>964.7263838</v>
      </c>
      <c r="AK50" s="315">
        <f>CS_PID!AK50/VLOOKUP($B50,LEBT[#ALL],4)/VLOOKUP($B50,표2[#ALL],2)</f>
        <v>0</v>
      </c>
      <c r="AL50" s="315">
        <f>CS_PID!AL50/VLOOKUP($B50,LEBT[#ALL],4)/VLOOKUP($B50,표2[#ALL],2)</f>
        <v>0</v>
      </c>
      <c r="AM50" s="315">
        <f>CS_PID!AM50/VLOOKUP($B50,LEBT[#ALL],4)/VLOOKUP($B50,표2[#ALL],2)</f>
        <v>0</v>
      </c>
      <c r="AN50" s="315">
        <f>CS_PID!AN50/VLOOKUP($B50,LEBT[#ALL],4)/VLOOKUP($B50,표2[#ALL],2)</f>
        <v>926.1373284</v>
      </c>
      <c r="AO50" s="315">
        <f>CS_PID!AO50/VLOOKUP($B50,LEBT[#ALL],4)/VLOOKUP($B50,표2[#ALL],2)</f>
        <v>385.8905535</v>
      </c>
      <c r="AP50" s="315">
        <f>CS_PID!AP50/VLOOKUP($B50,LEBT[#ALL],4)/VLOOKUP($B50,표2[#ALL],2)</f>
        <v>0</v>
      </c>
      <c r="AQ50" s="315">
        <f>CS_PID!AQ50/VLOOKUP($B50,LEBT[#ALL],4)/VLOOKUP($B50,표2[#ALL],2)</f>
        <v>0</v>
      </c>
      <c r="AR50" s="315">
        <f>CS_PID!AR50/VLOOKUP($B50,LEBT[#ALL],4)/VLOOKUP($B50,표2[#ALL],2)</f>
        <v>0</v>
      </c>
      <c r="AS50" s="315">
        <f>CS_PID!AS50/VLOOKUP($B50,LEBT[#ALL],4)/VLOOKUP($B50,표2[#ALL],2)</f>
        <v>0</v>
      </c>
    </row>
    <row r="51">
      <c r="A51" s="165" t="s">
        <v>82</v>
      </c>
      <c r="B51" s="166">
        <v>318.0</v>
      </c>
      <c r="C51" s="316">
        <f>CS_PID!C51/VLOOKUP($B51,LEBT[#ALL],4)/VLOOKUP($B51,표2[#ALL],2)</f>
        <v>0</v>
      </c>
      <c r="D51" s="316">
        <f>CS_PID!D51/VLOOKUP($B51,LEBT[#ALL],4)/VLOOKUP($B51,표2[#ALL],2)</f>
        <v>48.76083376</v>
      </c>
      <c r="E51" s="316">
        <f>CS_PID!E51/VLOOKUP($B51,LEBT[#ALL],4)/VLOOKUP($B51,표2[#ALL],2)</f>
        <v>633.8908389</v>
      </c>
      <c r="F51" s="316">
        <f>CS_PID!F51/VLOOKUP($B51,LEBT[#ALL],4)/VLOOKUP($B51,표2[#ALL],2)</f>
        <v>1097.11876</v>
      </c>
      <c r="G51" s="316">
        <f>CS_PID!G51/VLOOKUP($B51,LEBT[#ALL],4)/VLOOKUP($B51,표2[#ALL],2)</f>
        <v>24.38041688</v>
      </c>
      <c r="H51" s="316">
        <f>CS_PID!H51/VLOOKUP($B51,LEBT[#ALL],4)/VLOOKUP($B51,표2[#ALL],2)</f>
        <v>0</v>
      </c>
      <c r="I51" s="316">
        <f>CS_PID!I51/VLOOKUP($B51,LEBT[#ALL],4)/VLOOKUP($B51,표2[#ALL],2)</f>
        <v>0</v>
      </c>
      <c r="J51" s="316">
        <f>CS_PID!J51/VLOOKUP($B51,LEBT[#ALL],4)/VLOOKUP($B51,표2[#ALL],2)</f>
        <v>2169.857102</v>
      </c>
      <c r="K51" s="316">
        <f>CS_PID!K51/VLOOKUP($B51,LEBT[#ALL],4)/VLOOKUP($B51,표2[#ALL],2)</f>
        <v>2535.563356</v>
      </c>
      <c r="L51" s="316">
        <f>CS_PID!L51/VLOOKUP($B51,LEBT[#ALL],4)/VLOOKUP($B51,표2[#ALL],2)</f>
        <v>658.2712558</v>
      </c>
      <c r="M51" s="316">
        <f>CS_PID!M51/VLOOKUP($B51,LEBT[#ALL],4)/VLOOKUP($B51,표2[#ALL],2)</f>
        <v>48.76083376</v>
      </c>
      <c r="N51" s="316">
        <f>CS_PID!N51/VLOOKUP($B51,LEBT[#ALL],4)/VLOOKUP($B51,표2[#ALL],2)</f>
        <v>0</v>
      </c>
      <c r="O51" s="316">
        <f>CS_PID!O51/VLOOKUP($B51,LEBT[#ALL],4)/VLOOKUP($B51,표2[#ALL],2)</f>
        <v>97.52166753</v>
      </c>
      <c r="P51" s="316">
        <f>CS_PID!P51/VLOOKUP($B51,LEBT[#ALL],4)/VLOOKUP($B51,표2[#ALL],2)</f>
        <v>1365.303345</v>
      </c>
      <c r="Q51" s="316">
        <f>CS_PID!Q51/VLOOKUP($B51,LEBT[#ALL],4)/VLOOKUP($B51,표2[#ALL],2)</f>
        <v>4364.094622</v>
      </c>
      <c r="R51" s="316">
        <f>CS_PID!R51/VLOOKUP($B51,LEBT[#ALL],4)/VLOOKUP($B51,표2[#ALL],2)</f>
        <v>1365.303345</v>
      </c>
      <c r="S51" s="316">
        <f>CS_PID!S51/VLOOKUP($B51,LEBT[#ALL],4)/VLOOKUP($B51,표2[#ALL],2)</f>
        <v>48.76083376</v>
      </c>
      <c r="T51" s="316">
        <f>CS_PID!T51/VLOOKUP($B51,LEBT[#ALL],4)/VLOOKUP($B51,표2[#ALL],2)</f>
        <v>0</v>
      </c>
      <c r="U51" s="316">
        <f>CS_PID!U51/VLOOKUP($B51,LEBT[#ALL],4)/VLOOKUP($B51,표2[#ALL],2)</f>
        <v>24.38041688</v>
      </c>
      <c r="V51" s="316">
        <f>CS_PID!V51/VLOOKUP($B51,LEBT[#ALL],4)/VLOOKUP($B51,표2[#ALL],2)</f>
        <v>511.9887545</v>
      </c>
      <c r="W51" s="316">
        <f>CS_PID!W51/VLOOKUP($B51,LEBT[#ALL],4)/VLOOKUP($B51,표2[#ALL],2)</f>
        <v>4729.800875</v>
      </c>
      <c r="X51" s="316">
        <f>CS_PID!X51/VLOOKUP($B51,LEBT[#ALL],4)/VLOOKUP($B51,표2[#ALL],2)</f>
        <v>2828.128358</v>
      </c>
      <c r="Y51" s="316">
        <f>CS_PID!Y51/VLOOKUP($B51,LEBT[#ALL],4)/VLOOKUP($B51,표2[#ALL],2)</f>
        <v>48.76083376</v>
      </c>
      <c r="Z51" s="316">
        <f>CS_PID!Z51/VLOOKUP($B51,LEBT[#ALL],4)/VLOOKUP($B51,표2[#ALL],2)</f>
        <v>0</v>
      </c>
      <c r="AA51" s="316">
        <f>CS_PID!AA51/VLOOKUP($B51,LEBT[#ALL],4)/VLOOKUP($B51,표2[#ALL],2)</f>
        <v>0</v>
      </c>
      <c r="AB51" s="316">
        <f>CS_PID!AB51/VLOOKUP($B51,LEBT[#ALL],4)/VLOOKUP($B51,표2[#ALL],2)</f>
        <v>268.1845857</v>
      </c>
      <c r="AC51" s="316">
        <f>CS_PID!AC51/VLOOKUP($B51,LEBT[#ALL],4)/VLOOKUP($B51,표2[#ALL],2)</f>
        <v>3900.866701</v>
      </c>
      <c r="AD51" s="316">
        <f>CS_PID!AD51/VLOOKUP($B51,LEBT[#ALL],4)/VLOOKUP($B51,표2[#ALL],2)</f>
        <v>1194.640427</v>
      </c>
      <c r="AE51" s="316">
        <f>CS_PID!AE51/VLOOKUP($B51,LEBT[#ALL],4)/VLOOKUP($B51,표2[#ALL],2)</f>
        <v>0</v>
      </c>
      <c r="AF51" s="316">
        <f>CS_PID!AF51/VLOOKUP($B51,LEBT[#ALL],4)/VLOOKUP($B51,표2[#ALL],2)</f>
        <v>0</v>
      </c>
      <c r="AG51" s="316">
        <f>CS_PID!AG51/VLOOKUP($B51,LEBT[#ALL],4)/VLOOKUP($B51,표2[#ALL],2)</f>
        <v>24.38041688</v>
      </c>
      <c r="AH51" s="316">
        <f>CS_PID!AH51/VLOOKUP($B51,LEBT[#ALL],4)/VLOOKUP($B51,표2[#ALL],2)</f>
        <v>170.6629182</v>
      </c>
      <c r="AI51" s="316">
        <f>CS_PID!AI51/VLOOKUP($B51,LEBT[#ALL],4)/VLOOKUP($B51,표2[#ALL],2)</f>
        <v>1804.150849</v>
      </c>
      <c r="AJ51" s="316">
        <f>CS_PID!AJ51/VLOOKUP($B51,LEBT[#ALL],4)/VLOOKUP($B51,표2[#ALL],2)</f>
        <v>902.0754246</v>
      </c>
      <c r="AK51" s="316">
        <f>CS_PID!AK51/VLOOKUP($B51,LEBT[#ALL],4)/VLOOKUP($B51,표2[#ALL],2)</f>
        <v>0</v>
      </c>
      <c r="AL51" s="316">
        <f>CS_PID!AL51/VLOOKUP($B51,LEBT[#ALL],4)/VLOOKUP($B51,표2[#ALL],2)</f>
        <v>0</v>
      </c>
      <c r="AM51" s="316">
        <f>CS_PID!AM51/VLOOKUP($B51,LEBT[#ALL],4)/VLOOKUP($B51,표2[#ALL],2)</f>
        <v>48.76083376</v>
      </c>
      <c r="AN51" s="316">
        <f>CS_PID!AN51/VLOOKUP($B51,LEBT[#ALL],4)/VLOOKUP($B51,표2[#ALL],2)</f>
        <v>926.4558415</v>
      </c>
      <c r="AO51" s="316">
        <f>CS_PID!AO51/VLOOKUP($B51,LEBT[#ALL],4)/VLOOKUP($B51,표2[#ALL],2)</f>
        <v>121.9020844</v>
      </c>
      <c r="AP51" s="316">
        <f>CS_PID!AP51/VLOOKUP($B51,LEBT[#ALL],4)/VLOOKUP($B51,표2[#ALL],2)</f>
        <v>0</v>
      </c>
      <c r="AQ51" s="316">
        <f>CS_PID!AQ51/VLOOKUP($B51,LEBT[#ALL],4)/VLOOKUP($B51,표2[#ALL],2)</f>
        <v>0</v>
      </c>
      <c r="AR51" s="316">
        <f>CS_PID!AR51/VLOOKUP($B51,LEBT[#ALL],4)/VLOOKUP($B51,표2[#ALL],2)</f>
        <v>97.52166753</v>
      </c>
      <c r="AS51" s="316">
        <f>CS_PID!AS51/VLOOKUP($B51,LEBT[#ALL],4)/VLOOKUP($B51,표2[#ALL],2)</f>
        <v>0</v>
      </c>
    </row>
    <row r="52">
      <c r="A52" s="165" t="s">
        <v>82</v>
      </c>
      <c r="B52" s="166">
        <v>319.0</v>
      </c>
      <c r="C52" s="316">
        <f>CS_PID!C52/VLOOKUP($B52,LEBT[#ALL],4)/VLOOKUP($B52,표2[#ALL],2)</f>
        <v>321.2907177</v>
      </c>
      <c r="D52" s="316">
        <f>CS_PID!D52/VLOOKUP($B52,LEBT[#ALL],4)/VLOOKUP($B52,표2[#ALL],2)</f>
        <v>0</v>
      </c>
      <c r="E52" s="316">
        <f>CS_PID!E52/VLOOKUP($B52,LEBT[#ALL],4)/VLOOKUP($B52,표2[#ALL],2)</f>
        <v>963.872153</v>
      </c>
      <c r="F52" s="316">
        <f>CS_PID!F52/VLOOKUP($B52,LEBT[#ALL],4)/VLOOKUP($B52,표2[#ALL],2)</f>
        <v>963.872153</v>
      </c>
      <c r="G52" s="316">
        <f>CS_PID!G52/VLOOKUP($B52,LEBT[#ALL],4)/VLOOKUP($B52,표2[#ALL],2)</f>
        <v>0</v>
      </c>
      <c r="H52" s="316">
        <f>CS_PID!H52/VLOOKUP($B52,LEBT[#ALL],4)/VLOOKUP($B52,표2[#ALL],2)</f>
        <v>0</v>
      </c>
      <c r="I52" s="316">
        <f>CS_PID!I52/VLOOKUP($B52,LEBT[#ALL],4)/VLOOKUP($B52,표2[#ALL],2)</f>
        <v>0</v>
      </c>
      <c r="J52" s="316">
        <f>CS_PID!J52/VLOOKUP($B52,LEBT[#ALL],4)/VLOOKUP($B52,표2[#ALL],2)</f>
        <v>1606.453588</v>
      </c>
      <c r="K52" s="316">
        <f>CS_PID!K52/VLOOKUP($B52,LEBT[#ALL],4)/VLOOKUP($B52,표2[#ALL],2)</f>
        <v>1606.453588</v>
      </c>
      <c r="L52" s="316">
        <f>CS_PID!L52/VLOOKUP($B52,LEBT[#ALL],4)/VLOOKUP($B52,표2[#ALL],2)</f>
        <v>642.5814353</v>
      </c>
      <c r="M52" s="316">
        <f>CS_PID!M52/VLOOKUP($B52,LEBT[#ALL],4)/VLOOKUP($B52,표2[#ALL],2)</f>
        <v>0</v>
      </c>
      <c r="N52" s="316">
        <f>CS_PID!N52/VLOOKUP($B52,LEBT[#ALL],4)/VLOOKUP($B52,표2[#ALL],2)</f>
        <v>0</v>
      </c>
      <c r="O52" s="316">
        <f>CS_PID!O52/VLOOKUP($B52,LEBT[#ALL],4)/VLOOKUP($B52,표2[#ALL],2)</f>
        <v>0</v>
      </c>
      <c r="P52" s="316">
        <f>CS_PID!P52/VLOOKUP($B52,LEBT[#ALL],4)/VLOOKUP($B52,표2[#ALL],2)</f>
        <v>963.872153</v>
      </c>
      <c r="Q52" s="316">
        <f>CS_PID!Q52/VLOOKUP($B52,LEBT[#ALL],4)/VLOOKUP($B52,표2[#ALL],2)</f>
        <v>4498.070047</v>
      </c>
      <c r="R52" s="316">
        <f>CS_PID!R52/VLOOKUP($B52,LEBT[#ALL],4)/VLOOKUP($B52,표2[#ALL],2)</f>
        <v>642.5814353</v>
      </c>
      <c r="S52" s="316">
        <f>CS_PID!S52/VLOOKUP($B52,LEBT[#ALL],4)/VLOOKUP($B52,표2[#ALL],2)</f>
        <v>0</v>
      </c>
      <c r="T52" s="316">
        <f>CS_PID!T52/VLOOKUP($B52,LEBT[#ALL],4)/VLOOKUP($B52,표2[#ALL],2)</f>
        <v>0</v>
      </c>
      <c r="U52" s="316">
        <f>CS_PID!U52/VLOOKUP($B52,LEBT[#ALL],4)/VLOOKUP($B52,표2[#ALL],2)</f>
        <v>0</v>
      </c>
      <c r="V52" s="316">
        <f>CS_PID!V52/VLOOKUP($B52,LEBT[#ALL],4)/VLOOKUP($B52,표2[#ALL],2)</f>
        <v>321.2907177</v>
      </c>
      <c r="W52" s="316">
        <f>CS_PID!W52/VLOOKUP($B52,LEBT[#ALL],4)/VLOOKUP($B52,표2[#ALL],2)</f>
        <v>4498.070047</v>
      </c>
      <c r="X52" s="316">
        <f>CS_PID!X52/VLOOKUP($B52,LEBT[#ALL],4)/VLOOKUP($B52,표2[#ALL],2)</f>
        <v>1927.744306</v>
      </c>
      <c r="Y52" s="316">
        <f>CS_PID!Y52/VLOOKUP($B52,LEBT[#ALL],4)/VLOOKUP($B52,표2[#ALL],2)</f>
        <v>0</v>
      </c>
      <c r="Z52" s="316">
        <f>CS_PID!Z52/VLOOKUP($B52,LEBT[#ALL],4)/VLOOKUP($B52,표2[#ALL],2)</f>
        <v>0</v>
      </c>
      <c r="AA52" s="316">
        <f>CS_PID!AA52/VLOOKUP($B52,LEBT[#ALL],4)/VLOOKUP($B52,표2[#ALL],2)</f>
        <v>0</v>
      </c>
      <c r="AB52" s="316">
        <f>CS_PID!AB52/VLOOKUP($B52,LEBT[#ALL],4)/VLOOKUP($B52,표2[#ALL],2)</f>
        <v>642.5814353</v>
      </c>
      <c r="AC52" s="316">
        <f>CS_PID!AC52/VLOOKUP($B52,LEBT[#ALL],4)/VLOOKUP($B52,표2[#ALL],2)</f>
        <v>3212.907177</v>
      </c>
      <c r="AD52" s="316">
        <f>CS_PID!AD52/VLOOKUP($B52,LEBT[#ALL],4)/VLOOKUP($B52,표2[#ALL],2)</f>
        <v>1606.453588</v>
      </c>
      <c r="AE52" s="316">
        <f>CS_PID!AE52/VLOOKUP($B52,LEBT[#ALL],4)/VLOOKUP($B52,표2[#ALL],2)</f>
        <v>0</v>
      </c>
      <c r="AF52" s="316">
        <f>CS_PID!AF52/VLOOKUP($B52,LEBT[#ALL],4)/VLOOKUP($B52,표2[#ALL],2)</f>
        <v>0</v>
      </c>
      <c r="AG52" s="316">
        <f>CS_PID!AG52/VLOOKUP($B52,LEBT[#ALL],4)/VLOOKUP($B52,표2[#ALL],2)</f>
        <v>0</v>
      </c>
      <c r="AH52" s="316">
        <f>CS_PID!AH52/VLOOKUP($B52,LEBT[#ALL],4)/VLOOKUP($B52,표2[#ALL],2)</f>
        <v>321.2907177</v>
      </c>
      <c r="AI52" s="316">
        <f>CS_PID!AI52/VLOOKUP($B52,LEBT[#ALL],4)/VLOOKUP($B52,표2[#ALL],2)</f>
        <v>1927.744306</v>
      </c>
      <c r="AJ52" s="316">
        <f>CS_PID!AJ52/VLOOKUP($B52,LEBT[#ALL],4)/VLOOKUP($B52,표2[#ALL],2)</f>
        <v>963.872153</v>
      </c>
      <c r="AK52" s="316">
        <f>CS_PID!AK52/VLOOKUP($B52,LEBT[#ALL],4)/VLOOKUP($B52,표2[#ALL],2)</f>
        <v>0</v>
      </c>
      <c r="AL52" s="316">
        <f>CS_PID!AL52/VLOOKUP($B52,LEBT[#ALL],4)/VLOOKUP($B52,표2[#ALL],2)</f>
        <v>0</v>
      </c>
      <c r="AM52" s="316">
        <f>CS_PID!AM52/VLOOKUP($B52,LEBT[#ALL],4)/VLOOKUP($B52,표2[#ALL],2)</f>
        <v>321.2907177</v>
      </c>
      <c r="AN52" s="316">
        <f>CS_PID!AN52/VLOOKUP($B52,LEBT[#ALL],4)/VLOOKUP($B52,표2[#ALL],2)</f>
        <v>642.5814353</v>
      </c>
      <c r="AO52" s="316">
        <f>CS_PID!AO52/VLOOKUP($B52,LEBT[#ALL],4)/VLOOKUP($B52,표2[#ALL],2)</f>
        <v>642.5814353</v>
      </c>
      <c r="AP52" s="316">
        <f>CS_PID!AP52/VLOOKUP($B52,LEBT[#ALL],4)/VLOOKUP($B52,표2[#ALL],2)</f>
        <v>0</v>
      </c>
      <c r="AQ52" s="316">
        <f>CS_PID!AQ52/VLOOKUP($B52,LEBT[#ALL],4)/VLOOKUP($B52,표2[#ALL],2)</f>
        <v>0</v>
      </c>
      <c r="AR52" s="316">
        <f>CS_PID!AR52/VLOOKUP($B52,LEBT[#ALL],4)/VLOOKUP($B52,표2[#ALL],2)</f>
        <v>0</v>
      </c>
      <c r="AS52" s="316">
        <f>CS_PID!AS52/VLOOKUP($B52,LEBT[#ALL],4)/VLOOKUP($B52,표2[#ALL],2)</f>
        <v>0</v>
      </c>
    </row>
    <row r="53">
      <c r="A53" s="165" t="s">
        <v>82</v>
      </c>
      <c r="B53" s="166">
        <v>320.0</v>
      </c>
      <c r="C53" s="316">
        <f>CS_PID!C53/VLOOKUP($B53,LEBT[#ALL],4)/VLOOKUP($B53,표2[#ALL],2)</f>
        <v>47.91220547</v>
      </c>
      <c r="D53" s="316">
        <f>CS_PID!D53/VLOOKUP($B53,LEBT[#ALL],4)/VLOOKUP($B53,표2[#ALL],2)</f>
        <v>95.82441093</v>
      </c>
      <c r="E53" s="316">
        <f>CS_PID!E53/VLOOKUP($B53,LEBT[#ALL],4)/VLOOKUP($B53,표2[#ALL],2)</f>
        <v>862.4196984</v>
      </c>
      <c r="F53" s="316">
        <f>CS_PID!F53/VLOOKUP($B53,LEBT[#ALL],4)/VLOOKUP($B53,표2[#ALL],2)</f>
        <v>622.858671</v>
      </c>
      <c r="G53" s="316">
        <f>CS_PID!G53/VLOOKUP($B53,LEBT[#ALL],4)/VLOOKUP($B53,표2[#ALL],2)</f>
        <v>47.91220547</v>
      </c>
      <c r="H53" s="316">
        <f>CS_PID!H53/VLOOKUP($B53,LEBT[#ALL],4)/VLOOKUP($B53,표2[#ALL],2)</f>
        <v>0</v>
      </c>
      <c r="I53" s="316">
        <f>CS_PID!I53/VLOOKUP($B53,LEBT[#ALL],4)/VLOOKUP($B53,표2[#ALL],2)</f>
        <v>0</v>
      </c>
      <c r="J53" s="316">
        <f>CS_PID!J53/VLOOKUP($B53,LEBT[#ALL],4)/VLOOKUP($B53,표2[#ALL],2)</f>
        <v>2156.049246</v>
      </c>
      <c r="K53" s="316">
        <f>CS_PID!K53/VLOOKUP($B53,LEBT[#ALL],4)/VLOOKUP($B53,표2[#ALL],2)</f>
        <v>3162.205561</v>
      </c>
      <c r="L53" s="316">
        <f>CS_PID!L53/VLOOKUP($B53,LEBT[#ALL],4)/VLOOKUP($B53,표2[#ALL],2)</f>
        <v>1054.06852</v>
      </c>
      <c r="M53" s="316">
        <f>CS_PID!M53/VLOOKUP($B53,LEBT[#ALL],4)/VLOOKUP($B53,표2[#ALL],2)</f>
        <v>0</v>
      </c>
      <c r="N53" s="316">
        <f>CS_PID!N53/VLOOKUP($B53,LEBT[#ALL],4)/VLOOKUP($B53,표2[#ALL],2)</f>
        <v>0</v>
      </c>
      <c r="O53" s="316">
        <f>CS_PID!O53/VLOOKUP($B53,LEBT[#ALL],4)/VLOOKUP($B53,표2[#ALL],2)</f>
        <v>0</v>
      </c>
      <c r="P53" s="316">
        <f>CS_PID!P53/VLOOKUP($B53,LEBT[#ALL],4)/VLOOKUP($B53,표2[#ALL],2)</f>
        <v>1197.805137</v>
      </c>
      <c r="Q53" s="316">
        <f>CS_PID!Q53/VLOOKUP($B53,LEBT[#ALL],4)/VLOOKUP($B53,표2[#ALL],2)</f>
        <v>6036.937889</v>
      </c>
      <c r="R53" s="316">
        <f>CS_PID!R53/VLOOKUP($B53,LEBT[#ALL],4)/VLOOKUP($B53,표2[#ALL],2)</f>
        <v>1197.805137</v>
      </c>
      <c r="S53" s="316">
        <f>CS_PID!S53/VLOOKUP($B53,LEBT[#ALL],4)/VLOOKUP($B53,표2[#ALL],2)</f>
        <v>95.82441093</v>
      </c>
      <c r="T53" s="316">
        <f>CS_PID!T53/VLOOKUP($B53,LEBT[#ALL],4)/VLOOKUP($B53,표2[#ALL],2)</f>
        <v>0</v>
      </c>
      <c r="U53" s="316">
        <f>CS_PID!U53/VLOOKUP($B53,LEBT[#ALL],4)/VLOOKUP($B53,표2[#ALL],2)</f>
        <v>0</v>
      </c>
      <c r="V53" s="316">
        <f>CS_PID!V53/VLOOKUP($B53,LEBT[#ALL],4)/VLOOKUP($B53,표2[#ALL],2)</f>
        <v>910.3319038</v>
      </c>
      <c r="W53" s="316">
        <f>CS_PID!W53/VLOOKUP($B53,LEBT[#ALL],4)/VLOOKUP($B53,표2[#ALL],2)</f>
        <v>4264.186286</v>
      </c>
      <c r="X53" s="316">
        <f>CS_PID!X53/VLOOKUP($B53,LEBT[#ALL],4)/VLOOKUP($B53,표2[#ALL],2)</f>
        <v>3162.205561</v>
      </c>
      <c r="Y53" s="316">
        <f>CS_PID!Y53/VLOOKUP($B53,LEBT[#ALL],4)/VLOOKUP($B53,표2[#ALL],2)</f>
        <v>0</v>
      </c>
      <c r="Z53" s="316">
        <f>CS_PID!Z53/VLOOKUP($B53,LEBT[#ALL],4)/VLOOKUP($B53,표2[#ALL],2)</f>
        <v>0</v>
      </c>
      <c r="AA53" s="316">
        <f>CS_PID!AA53/VLOOKUP($B53,LEBT[#ALL],4)/VLOOKUP($B53,표2[#ALL],2)</f>
        <v>0</v>
      </c>
      <c r="AB53" s="316">
        <f>CS_PID!AB53/VLOOKUP($B53,LEBT[#ALL],4)/VLOOKUP($B53,표2[#ALL],2)</f>
        <v>335.3854383</v>
      </c>
      <c r="AC53" s="316">
        <f>CS_PID!AC53/VLOOKUP($B53,LEBT[#ALL],4)/VLOOKUP($B53,표2[#ALL],2)</f>
        <v>3832.976437</v>
      </c>
      <c r="AD53" s="316">
        <f>CS_PID!AD53/VLOOKUP($B53,LEBT[#ALL],4)/VLOOKUP($B53,표2[#ALL],2)</f>
        <v>527.0342601</v>
      </c>
      <c r="AE53" s="316">
        <f>CS_PID!AE53/VLOOKUP($B53,LEBT[#ALL],4)/VLOOKUP($B53,표2[#ALL],2)</f>
        <v>0</v>
      </c>
      <c r="AF53" s="316">
        <f>CS_PID!AF53/VLOOKUP($B53,LEBT[#ALL],4)/VLOOKUP($B53,표2[#ALL],2)</f>
        <v>0</v>
      </c>
      <c r="AG53" s="316">
        <f>CS_PID!AG53/VLOOKUP($B53,LEBT[#ALL],4)/VLOOKUP($B53,표2[#ALL],2)</f>
        <v>0</v>
      </c>
      <c r="AH53" s="316">
        <f>CS_PID!AH53/VLOOKUP($B53,LEBT[#ALL],4)/VLOOKUP($B53,표2[#ALL],2)</f>
        <v>239.5610273</v>
      </c>
      <c r="AI53" s="316">
        <f>CS_PID!AI53/VLOOKUP($B53,LEBT[#ALL],4)/VLOOKUP($B53,표2[#ALL],2)</f>
        <v>1437.366164</v>
      </c>
      <c r="AJ53" s="316">
        <f>CS_PID!AJ53/VLOOKUP($B53,LEBT[#ALL],4)/VLOOKUP($B53,표2[#ALL],2)</f>
        <v>574.9464656</v>
      </c>
      <c r="AK53" s="316">
        <f>CS_PID!AK53/VLOOKUP($B53,LEBT[#ALL],4)/VLOOKUP($B53,표2[#ALL],2)</f>
        <v>47.91220547</v>
      </c>
      <c r="AL53" s="316">
        <f>CS_PID!AL53/VLOOKUP($B53,LEBT[#ALL],4)/VLOOKUP($B53,표2[#ALL],2)</f>
        <v>0</v>
      </c>
      <c r="AM53" s="316">
        <f>CS_PID!AM53/VLOOKUP($B53,LEBT[#ALL],4)/VLOOKUP($B53,표2[#ALL],2)</f>
        <v>239.5610273</v>
      </c>
      <c r="AN53" s="316">
        <f>CS_PID!AN53/VLOOKUP($B53,LEBT[#ALL],4)/VLOOKUP($B53,표2[#ALL],2)</f>
        <v>958.2441093</v>
      </c>
      <c r="AO53" s="316">
        <f>CS_PID!AO53/VLOOKUP($B53,LEBT[#ALL],4)/VLOOKUP($B53,표2[#ALL],2)</f>
        <v>47.91220547</v>
      </c>
      <c r="AP53" s="316">
        <f>CS_PID!AP53/VLOOKUP($B53,LEBT[#ALL],4)/VLOOKUP($B53,표2[#ALL],2)</f>
        <v>0</v>
      </c>
      <c r="AQ53" s="316">
        <f>CS_PID!AQ53/VLOOKUP($B53,LEBT[#ALL],4)/VLOOKUP($B53,표2[#ALL],2)</f>
        <v>0</v>
      </c>
      <c r="AR53" s="316">
        <f>CS_PID!AR53/VLOOKUP($B53,LEBT[#ALL],4)/VLOOKUP($B53,표2[#ALL],2)</f>
        <v>0</v>
      </c>
      <c r="AS53" s="316">
        <f>CS_PID!AS53/VLOOKUP($B53,LEBT[#ALL],4)/VLOOKUP($B53,표2[#ALL],2)</f>
        <v>47.91220547</v>
      </c>
    </row>
    <row r="54">
      <c r="A54" s="165" t="s">
        <v>82</v>
      </c>
      <c r="B54" s="166">
        <v>321.0</v>
      </c>
      <c r="C54" s="316">
        <f>CS_PID!C54/VLOOKUP($B54,LEBT[#ALL],4)/VLOOKUP($B54,표2[#ALL],2)</f>
        <v>0</v>
      </c>
      <c r="D54" s="316">
        <f>CS_PID!D54/VLOOKUP($B54,LEBT[#ALL],4)/VLOOKUP($B54,표2[#ALL],2)</f>
        <v>0</v>
      </c>
      <c r="E54" s="316">
        <f>CS_PID!E54/VLOOKUP($B54,LEBT[#ALL],4)/VLOOKUP($B54,표2[#ALL],2)</f>
        <v>782.5393563</v>
      </c>
      <c r="F54" s="316">
        <f>CS_PID!F54/VLOOKUP($B54,LEBT[#ALL],4)/VLOOKUP($B54,표2[#ALL],2)</f>
        <v>626.0314851</v>
      </c>
      <c r="G54" s="316">
        <f>CS_PID!G54/VLOOKUP($B54,LEBT[#ALL],4)/VLOOKUP($B54,표2[#ALL],2)</f>
        <v>156.5078713</v>
      </c>
      <c r="H54" s="316">
        <f>CS_PID!H54/VLOOKUP($B54,LEBT[#ALL],4)/VLOOKUP($B54,표2[#ALL],2)</f>
        <v>0</v>
      </c>
      <c r="I54" s="316">
        <f>CS_PID!I54/VLOOKUP($B54,LEBT[#ALL],4)/VLOOKUP($B54,표2[#ALL],2)</f>
        <v>78.25393563</v>
      </c>
      <c r="J54" s="316">
        <f>CS_PID!J54/VLOOKUP($B54,LEBT[#ALL],4)/VLOOKUP($B54,표2[#ALL],2)</f>
        <v>2973.649554</v>
      </c>
      <c r="K54" s="316">
        <f>CS_PID!K54/VLOOKUP($B54,LEBT[#ALL],4)/VLOOKUP($B54,표2[#ALL],2)</f>
        <v>2582.379876</v>
      </c>
      <c r="L54" s="316">
        <f>CS_PID!L54/VLOOKUP($B54,LEBT[#ALL],4)/VLOOKUP($B54,표2[#ALL],2)</f>
        <v>391.2696782</v>
      </c>
      <c r="M54" s="316">
        <f>CS_PID!M54/VLOOKUP($B54,LEBT[#ALL],4)/VLOOKUP($B54,표2[#ALL],2)</f>
        <v>78.25393563</v>
      </c>
      <c r="N54" s="316">
        <f>CS_PID!N54/VLOOKUP($B54,LEBT[#ALL],4)/VLOOKUP($B54,표2[#ALL],2)</f>
        <v>0</v>
      </c>
      <c r="O54" s="316">
        <f>CS_PID!O54/VLOOKUP($B54,LEBT[#ALL],4)/VLOOKUP($B54,표2[#ALL],2)</f>
        <v>78.25393563</v>
      </c>
      <c r="P54" s="316">
        <f>CS_PID!P54/VLOOKUP($B54,LEBT[#ALL],4)/VLOOKUP($B54,표2[#ALL],2)</f>
        <v>1017.301163</v>
      </c>
      <c r="Q54" s="316">
        <f>CS_PID!Q54/VLOOKUP($B54,LEBT[#ALL],4)/VLOOKUP($B54,표2[#ALL],2)</f>
        <v>4303.96646</v>
      </c>
      <c r="R54" s="316">
        <f>CS_PID!R54/VLOOKUP($B54,LEBT[#ALL],4)/VLOOKUP($B54,표2[#ALL],2)</f>
        <v>1486.824777</v>
      </c>
      <c r="S54" s="316">
        <f>CS_PID!S54/VLOOKUP($B54,LEBT[#ALL],4)/VLOOKUP($B54,표2[#ALL],2)</f>
        <v>78.25393563</v>
      </c>
      <c r="T54" s="316">
        <f>CS_PID!T54/VLOOKUP($B54,LEBT[#ALL],4)/VLOOKUP($B54,표2[#ALL],2)</f>
        <v>0</v>
      </c>
      <c r="U54" s="316">
        <f>CS_PID!U54/VLOOKUP($B54,LEBT[#ALL],4)/VLOOKUP($B54,표2[#ALL],2)</f>
        <v>78.25393563</v>
      </c>
      <c r="V54" s="316">
        <f>CS_PID!V54/VLOOKUP($B54,LEBT[#ALL],4)/VLOOKUP($B54,표2[#ALL],2)</f>
        <v>939.0472276</v>
      </c>
      <c r="W54" s="316">
        <f>CS_PID!W54/VLOOKUP($B54,LEBT[#ALL],4)/VLOOKUP($B54,표2[#ALL],2)</f>
        <v>4773.490074</v>
      </c>
      <c r="X54" s="316">
        <f>CS_PID!X54/VLOOKUP($B54,LEBT[#ALL],4)/VLOOKUP($B54,표2[#ALL],2)</f>
        <v>2895.395618</v>
      </c>
      <c r="Y54" s="316">
        <f>CS_PID!Y54/VLOOKUP($B54,LEBT[#ALL],4)/VLOOKUP($B54,표2[#ALL],2)</f>
        <v>78.25393563</v>
      </c>
      <c r="Z54" s="316">
        <f>CS_PID!Z54/VLOOKUP($B54,LEBT[#ALL],4)/VLOOKUP($B54,표2[#ALL],2)</f>
        <v>0</v>
      </c>
      <c r="AA54" s="316">
        <f>CS_PID!AA54/VLOOKUP($B54,LEBT[#ALL],4)/VLOOKUP($B54,표2[#ALL],2)</f>
        <v>78.25393563</v>
      </c>
      <c r="AB54" s="316">
        <f>CS_PID!AB54/VLOOKUP($B54,LEBT[#ALL],4)/VLOOKUP($B54,표2[#ALL],2)</f>
        <v>234.7618069</v>
      </c>
      <c r="AC54" s="316">
        <f>CS_PID!AC54/VLOOKUP($B54,LEBT[#ALL],4)/VLOOKUP($B54,표2[#ALL],2)</f>
        <v>4147.458588</v>
      </c>
      <c r="AD54" s="316">
        <f>CS_PID!AD54/VLOOKUP($B54,LEBT[#ALL],4)/VLOOKUP($B54,표2[#ALL],2)</f>
        <v>1173.809034</v>
      </c>
      <c r="AE54" s="316">
        <f>CS_PID!AE54/VLOOKUP($B54,LEBT[#ALL],4)/VLOOKUP($B54,표2[#ALL],2)</f>
        <v>0</v>
      </c>
      <c r="AF54" s="316">
        <f>CS_PID!AF54/VLOOKUP($B54,LEBT[#ALL],4)/VLOOKUP($B54,표2[#ALL],2)</f>
        <v>0</v>
      </c>
      <c r="AG54" s="316">
        <f>CS_PID!AG54/VLOOKUP($B54,LEBT[#ALL],4)/VLOOKUP($B54,표2[#ALL],2)</f>
        <v>0</v>
      </c>
      <c r="AH54" s="316">
        <f>CS_PID!AH54/VLOOKUP($B54,LEBT[#ALL],4)/VLOOKUP($B54,표2[#ALL],2)</f>
        <v>234.7618069</v>
      </c>
      <c r="AI54" s="316">
        <f>CS_PID!AI54/VLOOKUP($B54,LEBT[#ALL],4)/VLOOKUP($B54,표2[#ALL],2)</f>
        <v>1565.078713</v>
      </c>
      <c r="AJ54" s="316">
        <f>CS_PID!AJ54/VLOOKUP($B54,LEBT[#ALL],4)/VLOOKUP($B54,표2[#ALL],2)</f>
        <v>860.793292</v>
      </c>
      <c r="AK54" s="316">
        <f>CS_PID!AK54/VLOOKUP($B54,LEBT[#ALL],4)/VLOOKUP($B54,표2[#ALL],2)</f>
        <v>0</v>
      </c>
      <c r="AL54" s="316">
        <f>CS_PID!AL54/VLOOKUP($B54,LEBT[#ALL],4)/VLOOKUP($B54,표2[#ALL],2)</f>
        <v>0</v>
      </c>
      <c r="AM54" s="316">
        <f>CS_PID!AM54/VLOOKUP($B54,LEBT[#ALL],4)/VLOOKUP($B54,표2[#ALL],2)</f>
        <v>78.25393563</v>
      </c>
      <c r="AN54" s="316">
        <f>CS_PID!AN54/VLOOKUP($B54,LEBT[#ALL],4)/VLOOKUP($B54,표2[#ALL],2)</f>
        <v>939.0472276</v>
      </c>
      <c r="AO54" s="316">
        <f>CS_PID!AO54/VLOOKUP($B54,LEBT[#ALL],4)/VLOOKUP($B54,표2[#ALL],2)</f>
        <v>391.2696782</v>
      </c>
      <c r="AP54" s="316">
        <f>CS_PID!AP54/VLOOKUP($B54,LEBT[#ALL],4)/VLOOKUP($B54,표2[#ALL],2)</f>
        <v>0</v>
      </c>
      <c r="AQ54" s="316">
        <f>CS_PID!AQ54/VLOOKUP($B54,LEBT[#ALL],4)/VLOOKUP($B54,표2[#ALL],2)</f>
        <v>0</v>
      </c>
      <c r="AR54" s="316">
        <f>CS_PID!AR54/VLOOKUP($B54,LEBT[#ALL],4)/VLOOKUP($B54,표2[#ALL],2)</f>
        <v>0</v>
      </c>
      <c r="AS54" s="316">
        <f>CS_PID!AS54/VLOOKUP($B54,LEBT[#ALL],4)/VLOOKUP($B54,표2[#ALL],2)</f>
        <v>0</v>
      </c>
    </row>
    <row r="55">
      <c r="A55" s="165" t="s">
        <v>82</v>
      </c>
      <c r="B55" s="166">
        <v>322.0</v>
      </c>
      <c r="C55" s="316">
        <f>CS_PID!C55/VLOOKUP($B55,LEBT[#ALL],4)/VLOOKUP($B55,표2[#ALL],2)</f>
        <v>0</v>
      </c>
      <c r="D55" s="316">
        <f>CS_PID!D55/VLOOKUP($B55,LEBT[#ALL],4)/VLOOKUP($B55,표2[#ALL],2)</f>
        <v>64.02360293</v>
      </c>
      <c r="E55" s="316">
        <f>CS_PID!E55/VLOOKUP($B55,LEBT[#ALL],4)/VLOOKUP($B55,표2[#ALL],2)</f>
        <v>704.2596322</v>
      </c>
      <c r="F55" s="316">
        <f>CS_PID!F55/VLOOKUP($B55,LEBT[#ALL],4)/VLOOKUP($B55,표2[#ALL],2)</f>
        <v>1088.40125</v>
      </c>
      <c r="G55" s="316">
        <f>CS_PID!G55/VLOOKUP($B55,LEBT[#ALL],4)/VLOOKUP($B55,표2[#ALL],2)</f>
        <v>128.0472059</v>
      </c>
      <c r="H55" s="316">
        <f>CS_PID!H55/VLOOKUP($B55,LEBT[#ALL],4)/VLOOKUP($B55,표2[#ALL],2)</f>
        <v>0</v>
      </c>
      <c r="I55" s="316">
        <f>CS_PID!I55/VLOOKUP($B55,LEBT[#ALL],4)/VLOOKUP($B55,표2[#ALL],2)</f>
        <v>64.02360293</v>
      </c>
      <c r="J55" s="316">
        <f>CS_PID!J55/VLOOKUP($B55,LEBT[#ALL],4)/VLOOKUP($B55,표2[#ALL],2)</f>
        <v>1920.708088</v>
      </c>
      <c r="K55" s="316">
        <f>CS_PID!K55/VLOOKUP($B55,LEBT[#ALL],4)/VLOOKUP($B55,표2[#ALL],2)</f>
        <v>2560.944117</v>
      </c>
      <c r="L55" s="316">
        <f>CS_PID!L55/VLOOKUP($B55,LEBT[#ALL],4)/VLOOKUP($B55,표2[#ALL],2)</f>
        <v>512.1888234</v>
      </c>
      <c r="M55" s="316">
        <f>CS_PID!M55/VLOOKUP($B55,LEBT[#ALL],4)/VLOOKUP($B55,표2[#ALL],2)</f>
        <v>64.02360293</v>
      </c>
      <c r="N55" s="316">
        <f>CS_PID!N55/VLOOKUP($B55,LEBT[#ALL],4)/VLOOKUP($B55,표2[#ALL],2)</f>
        <v>0</v>
      </c>
      <c r="O55" s="316">
        <f>CS_PID!O55/VLOOKUP($B55,LEBT[#ALL],4)/VLOOKUP($B55,표2[#ALL],2)</f>
        <v>64.02360293</v>
      </c>
      <c r="P55" s="316">
        <f>CS_PID!P55/VLOOKUP($B55,LEBT[#ALL],4)/VLOOKUP($B55,표2[#ALL],2)</f>
        <v>1344.495662</v>
      </c>
      <c r="Q55" s="316">
        <f>CS_PID!Q55/VLOOKUP($B55,LEBT[#ALL],4)/VLOOKUP($B55,표2[#ALL],2)</f>
        <v>4801.77022</v>
      </c>
      <c r="R55" s="316">
        <f>CS_PID!R55/VLOOKUP($B55,LEBT[#ALL],4)/VLOOKUP($B55,표2[#ALL],2)</f>
        <v>1536.56647</v>
      </c>
      <c r="S55" s="316">
        <f>CS_PID!S55/VLOOKUP($B55,LEBT[#ALL],4)/VLOOKUP($B55,표2[#ALL],2)</f>
        <v>0</v>
      </c>
      <c r="T55" s="316">
        <f>CS_PID!T55/VLOOKUP($B55,LEBT[#ALL],4)/VLOOKUP($B55,표2[#ALL],2)</f>
        <v>0</v>
      </c>
      <c r="U55" s="316">
        <f>CS_PID!U55/VLOOKUP($B55,LEBT[#ALL],4)/VLOOKUP($B55,표2[#ALL],2)</f>
        <v>0</v>
      </c>
      <c r="V55" s="316">
        <f>CS_PID!V55/VLOOKUP($B55,LEBT[#ALL],4)/VLOOKUP($B55,표2[#ALL],2)</f>
        <v>576.2124264</v>
      </c>
      <c r="W55" s="316">
        <f>CS_PID!W55/VLOOKUP($B55,LEBT[#ALL],4)/VLOOKUP($B55,표2[#ALL],2)</f>
        <v>5185.911837</v>
      </c>
      <c r="X55" s="316">
        <f>CS_PID!X55/VLOOKUP($B55,LEBT[#ALL],4)/VLOOKUP($B55,표2[#ALL],2)</f>
        <v>3201.180147</v>
      </c>
      <c r="Y55" s="316">
        <f>CS_PID!Y55/VLOOKUP($B55,LEBT[#ALL],4)/VLOOKUP($B55,표2[#ALL],2)</f>
        <v>0</v>
      </c>
      <c r="Z55" s="316">
        <f>CS_PID!Z55/VLOOKUP($B55,LEBT[#ALL],4)/VLOOKUP($B55,표2[#ALL],2)</f>
        <v>0</v>
      </c>
      <c r="AA55" s="316">
        <f>CS_PID!AA55/VLOOKUP($B55,LEBT[#ALL],4)/VLOOKUP($B55,표2[#ALL],2)</f>
        <v>0</v>
      </c>
      <c r="AB55" s="316">
        <f>CS_PID!AB55/VLOOKUP($B55,LEBT[#ALL],4)/VLOOKUP($B55,표2[#ALL],2)</f>
        <v>320.1180147</v>
      </c>
      <c r="AC55" s="316">
        <f>CS_PID!AC55/VLOOKUP($B55,LEBT[#ALL],4)/VLOOKUP($B55,표2[#ALL],2)</f>
        <v>3521.298161</v>
      </c>
      <c r="AD55" s="316">
        <f>CS_PID!AD55/VLOOKUP($B55,LEBT[#ALL],4)/VLOOKUP($B55,표2[#ALL],2)</f>
        <v>1088.40125</v>
      </c>
      <c r="AE55" s="316">
        <f>CS_PID!AE55/VLOOKUP($B55,LEBT[#ALL],4)/VLOOKUP($B55,표2[#ALL],2)</f>
        <v>128.0472059</v>
      </c>
      <c r="AF55" s="316">
        <f>CS_PID!AF55/VLOOKUP($B55,LEBT[#ALL],4)/VLOOKUP($B55,표2[#ALL],2)</f>
        <v>0</v>
      </c>
      <c r="AG55" s="316">
        <f>CS_PID!AG55/VLOOKUP($B55,LEBT[#ALL],4)/VLOOKUP($B55,표2[#ALL],2)</f>
        <v>0</v>
      </c>
      <c r="AH55" s="316">
        <f>CS_PID!AH55/VLOOKUP($B55,LEBT[#ALL],4)/VLOOKUP($B55,표2[#ALL],2)</f>
        <v>320.1180147</v>
      </c>
      <c r="AI55" s="316">
        <f>CS_PID!AI55/VLOOKUP($B55,LEBT[#ALL],4)/VLOOKUP($B55,표2[#ALL],2)</f>
        <v>1920.708088</v>
      </c>
      <c r="AJ55" s="316">
        <f>CS_PID!AJ55/VLOOKUP($B55,LEBT[#ALL],4)/VLOOKUP($B55,표2[#ALL],2)</f>
        <v>832.3068381</v>
      </c>
      <c r="AK55" s="316">
        <f>CS_PID!AK55/VLOOKUP($B55,LEBT[#ALL],4)/VLOOKUP($B55,표2[#ALL],2)</f>
        <v>0</v>
      </c>
      <c r="AL55" s="316">
        <f>CS_PID!AL55/VLOOKUP($B55,LEBT[#ALL],4)/VLOOKUP($B55,표2[#ALL],2)</f>
        <v>0</v>
      </c>
      <c r="AM55" s="316">
        <f>CS_PID!AM55/VLOOKUP($B55,LEBT[#ALL],4)/VLOOKUP($B55,표2[#ALL],2)</f>
        <v>64.02360293</v>
      </c>
      <c r="AN55" s="316">
        <f>CS_PID!AN55/VLOOKUP($B55,LEBT[#ALL],4)/VLOOKUP($B55,표2[#ALL],2)</f>
        <v>832.3068381</v>
      </c>
      <c r="AO55" s="316">
        <f>CS_PID!AO55/VLOOKUP($B55,LEBT[#ALL],4)/VLOOKUP($B55,표2[#ALL],2)</f>
        <v>128.0472059</v>
      </c>
      <c r="AP55" s="316">
        <f>CS_PID!AP55/VLOOKUP($B55,LEBT[#ALL],4)/VLOOKUP($B55,표2[#ALL],2)</f>
        <v>0</v>
      </c>
      <c r="AQ55" s="316">
        <f>CS_PID!AQ55/VLOOKUP($B55,LEBT[#ALL],4)/VLOOKUP($B55,표2[#ALL],2)</f>
        <v>0</v>
      </c>
      <c r="AR55" s="316">
        <f>CS_PID!AR55/VLOOKUP($B55,LEBT[#ALL],4)/VLOOKUP($B55,표2[#ALL],2)</f>
        <v>64.02360293</v>
      </c>
      <c r="AS55" s="316">
        <f>CS_PID!AS55/VLOOKUP($B55,LEBT[#ALL],4)/VLOOKUP($B55,표2[#ALL],2)</f>
        <v>64.02360293</v>
      </c>
    </row>
    <row r="56">
      <c r="A56" s="165" t="s">
        <v>82</v>
      </c>
      <c r="B56" s="166">
        <v>323.0</v>
      </c>
      <c r="C56" s="316">
        <f>CS_PID!C56/VLOOKUP($B56,LEBT[#ALL],4)/VLOOKUP($B56,표2[#ALL],2)</f>
        <v>0</v>
      </c>
      <c r="D56" s="316">
        <f>CS_PID!D56/VLOOKUP($B56,LEBT[#ALL],4)/VLOOKUP($B56,표2[#ALL],2)</f>
        <v>0</v>
      </c>
      <c r="E56" s="316">
        <f>CS_PID!E56/VLOOKUP($B56,LEBT[#ALL],4)/VLOOKUP($B56,표2[#ALL],2)</f>
        <v>991.1955805</v>
      </c>
      <c r="F56" s="316">
        <f>CS_PID!F56/VLOOKUP($B56,LEBT[#ALL],4)/VLOOKUP($B56,표2[#ALL],2)</f>
        <v>1073.795212</v>
      </c>
      <c r="G56" s="316">
        <f>CS_PID!G56/VLOOKUP($B56,LEBT[#ALL],4)/VLOOKUP($B56,표2[#ALL],2)</f>
        <v>0</v>
      </c>
      <c r="H56" s="316">
        <f>CS_PID!H56/VLOOKUP($B56,LEBT[#ALL],4)/VLOOKUP($B56,표2[#ALL],2)</f>
        <v>0</v>
      </c>
      <c r="I56" s="316">
        <f>CS_PID!I56/VLOOKUP($B56,LEBT[#ALL],4)/VLOOKUP($B56,표2[#ALL],2)</f>
        <v>0</v>
      </c>
      <c r="J56" s="316">
        <f>CS_PID!J56/VLOOKUP($B56,LEBT[#ALL],4)/VLOOKUP($B56,표2[#ALL],2)</f>
        <v>1569.393002</v>
      </c>
      <c r="K56" s="316">
        <f>CS_PID!K56/VLOOKUP($B56,LEBT[#ALL],4)/VLOOKUP($B56,표2[#ALL],2)</f>
        <v>2064.990793</v>
      </c>
      <c r="L56" s="316">
        <f>CS_PID!L56/VLOOKUP($B56,LEBT[#ALL],4)/VLOOKUP($B56,표2[#ALL],2)</f>
        <v>495.5977902</v>
      </c>
      <c r="M56" s="316">
        <f>CS_PID!M56/VLOOKUP($B56,LEBT[#ALL],4)/VLOOKUP($B56,표2[#ALL],2)</f>
        <v>0</v>
      </c>
      <c r="N56" s="316">
        <f>CS_PID!N56/VLOOKUP($B56,LEBT[#ALL],4)/VLOOKUP($B56,표2[#ALL],2)</f>
        <v>0</v>
      </c>
      <c r="O56" s="316">
        <f>CS_PID!O56/VLOOKUP($B56,LEBT[#ALL],4)/VLOOKUP($B56,표2[#ALL],2)</f>
        <v>165.1992634</v>
      </c>
      <c r="P56" s="316">
        <f>CS_PID!P56/VLOOKUP($B56,LEBT[#ALL],4)/VLOOKUP($B56,표2[#ALL],2)</f>
        <v>1817.191898</v>
      </c>
      <c r="Q56" s="316">
        <f>CS_PID!Q56/VLOOKUP($B56,LEBT[#ALL],4)/VLOOKUP($B56,표2[#ALL],2)</f>
        <v>4790.778639</v>
      </c>
      <c r="R56" s="316">
        <f>CS_PID!R56/VLOOKUP($B56,LEBT[#ALL],4)/VLOOKUP($B56,표2[#ALL],2)</f>
        <v>1734.592266</v>
      </c>
      <c r="S56" s="316">
        <f>CS_PID!S56/VLOOKUP($B56,LEBT[#ALL],4)/VLOOKUP($B56,표2[#ALL],2)</f>
        <v>82.59963171</v>
      </c>
      <c r="T56" s="316">
        <f>CS_PID!T56/VLOOKUP($B56,LEBT[#ALL],4)/VLOOKUP($B56,표2[#ALL],2)</f>
        <v>0</v>
      </c>
      <c r="U56" s="316">
        <f>CS_PID!U56/VLOOKUP($B56,LEBT[#ALL],4)/VLOOKUP($B56,표2[#ALL],2)</f>
        <v>0</v>
      </c>
      <c r="V56" s="316">
        <f>CS_PID!V56/VLOOKUP($B56,LEBT[#ALL],4)/VLOOKUP($B56,표2[#ALL],2)</f>
        <v>1238.994476</v>
      </c>
      <c r="W56" s="316">
        <f>CS_PID!W56/VLOOKUP($B56,LEBT[#ALL],4)/VLOOKUP($B56,표2[#ALL],2)</f>
        <v>5121.177166</v>
      </c>
      <c r="X56" s="316">
        <f>CS_PID!X56/VLOOKUP($B56,LEBT[#ALL],4)/VLOOKUP($B56,표2[#ALL],2)</f>
        <v>2230.190056</v>
      </c>
      <c r="Y56" s="316">
        <f>CS_PID!Y56/VLOOKUP($B56,LEBT[#ALL],4)/VLOOKUP($B56,표2[#ALL],2)</f>
        <v>0</v>
      </c>
      <c r="Z56" s="316">
        <f>CS_PID!Z56/VLOOKUP($B56,LEBT[#ALL],4)/VLOOKUP($B56,표2[#ALL],2)</f>
        <v>0</v>
      </c>
      <c r="AA56" s="316">
        <f>CS_PID!AA56/VLOOKUP($B56,LEBT[#ALL],4)/VLOOKUP($B56,표2[#ALL],2)</f>
        <v>0</v>
      </c>
      <c r="AB56" s="316">
        <f>CS_PID!AB56/VLOOKUP($B56,LEBT[#ALL],4)/VLOOKUP($B56,표2[#ALL],2)</f>
        <v>82.59963171</v>
      </c>
      <c r="AC56" s="316">
        <f>CS_PID!AC56/VLOOKUP($B56,LEBT[#ALL],4)/VLOOKUP($B56,표2[#ALL],2)</f>
        <v>4047.381954</v>
      </c>
      <c r="AD56" s="316">
        <f>CS_PID!AD56/VLOOKUP($B56,LEBT[#ALL],4)/VLOOKUP($B56,표2[#ALL],2)</f>
        <v>1486.793371</v>
      </c>
      <c r="AE56" s="316">
        <f>CS_PID!AE56/VLOOKUP($B56,LEBT[#ALL],4)/VLOOKUP($B56,표2[#ALL],2)</f>
        <v>0</v>
      </c>
      <c r="AF56" s="316">
        <f>CS_PID!AF56/VLOOKUP($B56,LEBT[#ALL],4)/VLOOKUP($B56,표2[#ALL],2)</f>
        <v>0</v>
      </c>
      <c r="AG56" s="316">
        <f>CS_PID!AG56/VLOOKUP($B56,LEBT[#ALL],4)/VLOOKUP($B56,표2[#ALL],2)</f>
        <v>0</v>
      </c>
      <c r="AH56" s="316">
        <f>CS_PID!AH56/VLOOKUP($B56,LEBT[#ALL],4)/VLOOKUP($B56,표2[#ALL],2)</f>
        <v>165.1992634</v>
      </c>
      <c r="AI56" s="316">
        <f>CS_PID!AI56/VLOOKUP($B56,LEBT[#ALL],4)/VLOOKUP($B56,표2[#ALL],2)</f>
        <v>991.1955805</v>
      </c>
      <c r="AJ56" s="316">
        <f>CS_PID!AJ56/VLOOKUP($B56,LEBT[#ALL],4)/VLOOKUP($B56,표2[#ALL],2)</f>
        <v>743.3966854</v>
      </c>
      <c r="AK56" s="316">
        <f>CS_PID!AK56/VLOOKUP($B56,LEBT[#ALL],4)/VLOOKUP($B56,표2[#ALL],2)</f>
        <v>0</v>
      </c>
      <c r="AL56" s="316">
        <f>CS_PID!AL56/VLOOKUP($B56,LEBT[#ALL],4)/VLOOKUP($B56,표2[#ALL],2)</f>
        <v>0</v>
      </c>
      <c r="AM56" s="316">
        <f>CS_PID!AM56/VLOOKUP($B56,LEBT[#ALL],4)/VLOOKUP($B56,표2[#ALL],2)</f>
        <v>247.7988951</v>
      </c>
      <c r="AN56" s="316">
        <f>CS_PID!AN56/VLOOKUP($B56,LEBT[#ALL],4)/VLOOKUP($B56,표2[#ALL],2)</f>
        <v>1238.994476</v>
      </c>
      <c r="AO56" s="316">
        <f>CS_PID!AO56/VLOOKUP($B56,LEBT[#ALL],4)/VLOOKUP($B56,표2[#ALL],2)</f>
        <v>82.59963171</v>
      </c>
      <c r="AP56" s="316">
        <f>CS_PID!AP56/VLOOKUP($B56,LEBT[#ALL],4)/VLOOKUP($B56,표2[#ALL],2)</f>
        <v>0</v>
      </c>
      <c r="AQ56" s="316">
        <f>CS_PID!AQ56/VLOOKUP($B56,LEBT[#ALL],4)/VLOOKUP($B56,표2[#ALL],2)</f>
        <v>0</v>
      </c>
      <c r="AR56" s="316">
        <f>CS_PID!AR56/VLOOKUP($B56,LEBT[#ALL],4)/VLOOKUP($B56,표2[#ALL],2)</f>
        <v>0</v>
      </c>
      <c r="AS56" s="316">
        <f>CS_PID!AS56/VLOOKUP($B56,LEBT[#ALL],4)/VLOOKUP($B56,표2[#ALL],2)</f>
        <v>0</v>
      </c>
    </row>
    <row r="57">
      <c r="A57" s="165" t="s">
        <v>82</v>
      </c>
      <c r="B57" s="166">
        <v>324.0</v>
      </c>
      <c r="C57" s="316">
        <f>CS_PID!C57/VLOOKUP($B57,LEBT[#ALL],4)/VLOOKUP($B57,표2[#ALL],2)</f>
        <v>0</v>
      </c>
      <c r="D57" s="316">
        <f>CS_PID!D57/VLOOKUP($B57,LEBT[#ALL],4)/VLOOKUP($B57,표2[#ALL],2)</f>
        <v>0</v>
      </c>
      <c r="E57" s="316">
        <f>CS_PID!E57/VLOOKUP($B57,LEBT[#ALL],4)/VLOOKUP($B57,표2[#ALL],2)</f>
        <v>489.4455711</v>
      </c>
      <c r="F57" s="316">
        <f>CS_PID!F57/VLOOKUP($B57,LEBT[#ALL],4)/VLOOKUP($B57,표2[#ALL],2)</f>
        <v>1101.252535</v>
      </c>
      <c r="G57" s="316">
        <f>CS_PID!G57/VLOOKUP($B57,LEBT[#ALL],4)/VLOOKUP($B57,표2[#ALL],2)</f>
        <v>0</v>
      </c>
      <c r="H57" s="316">
        <f>CS_PID!H57/VLOOKUP($B57,LEBT[#ALL],4)/VLOOKUP($B57,표2[#ALL],2)</f>
        <v>0</v>
      </c>
      <c r="I57" s="316">
        <f>CS_PID!I57/VLOOKUP($B57,LEBT[#ALL],4)/VLOOKUP($B57,표2[#ALL],2)</f>
        <v>0</v>
      </c>
      <c r="J57" s="316">
        <f>CS_PID!J57/VLOOKUP($B57,LEBT[#ALL],4)/VLOOKUP($B57,표2[#ALL],2)</f>
        <v>3059.034819</v>
      </c>
      <c r="K57" s="316">
        <f>CS_PID!K57/VLOOKUP($B57,LEBT[#ALL],4)/VLOOKUP($B57,표2[#ALL],2)</f>
        <v>2202.50507</v>
      </c>
      <c r="L57" s="316">
        <f>CS_PID!L57/VLOOKUP($B57,LEBT[#ALL],4)/VLOOKUP($B57,표2[#ALL],2)</f>
        <v>734.1683566</v>
      </c>
      <c r="M57" s="316">
        <f>CS_PID!M57/VLOOKUP($B57,LEBT[#ALL],4)/VLOOKUP($B57,표2[#ALL],2)</f>
        <v>0</v>
      </c>
      <c r="N57" s="316">
        <f>CS_PID!N57/VLOOKUP($B57,LEBT[#ALL],4)/VLOOKUP($B57,표2[#ALL],2)</f>
        <v>0</v>
      </c>
      <c r="O57" s="316">
        <f>CS_PID!O57/VLOOKUP($B57,LEBT[#ALL],4)/VLOOKUP($B57,표2[#ALL],2)</f>
        <v>0</v>
      </c>
      <c r="P57" s="316">
        <f>CS_PID!P57/VLOOKUP($B57,LEBT[#ALL],4)/VLOOKUP($B57,표2[#ALL],2)</f>
        <v>1713.059499</v>
      </c>
      <c r="Q57" s="316">
        <f>CS_PID!Q57/VLOOKUP($B57,LEBT[#ALL],4)/VLOOKUP($B57,표2[#ALL],2)</f>
        <v>6240.431031</v>
      </c>
      <c r="R57" s="316">
        <f>CS_PID!R57/VLOOKUP($B57,LEBT[#ALL],4)/VLOOKUP($B57,표2[#ALL],2)</f>
        <v>1345.975321</v>
      </c>
      <c r="S57" s="316">
        <f>CS_PID!S57/VLOOKUP($B57,LEBT[#ALL],4)/VLOOKUP($B57,표2[#ALL],2)</f>
        <v>0</v>
      </c>
      <c r="T57" s="316">
        <f>CS_PID!T57/VLOOKUP($B57,LEBT[#ALL],4)/VLOOKUP($B57,표2[#ALL],2)</f>
        <v>0</v>
      </c>
      <c r="U57" s="316">
        <f>CS_PID!U57/VLOOKUP($B57,LEBT[#ALL],4)/VLOOKUP($B57,표2[#ALL],2)</f>
        <v>0</v>
      </c>
      <c r="V57" s="316">
        <f>CS_PID!V57/VLOOKUP($B57,LEBT[#ALL],4)/VLOOKUP($B57,표2[#ALL],2)</f>
        <v>734.1683566</v>
      </c>
      <c r="W57" s="316">
        <f>CS_PID!W57/VLOOKUP($B57,LEBT[#ALL],4)/VLOOKUP($B57,표2[#ALL],2)</f>
        <v>6118.069639</v>
      </c>
      <c r="X57" s="316">
        <f>CS_PID!X57/VLOOKUP($B57,LEBT[#ALL],4)/VLOOKUP($B57,표2[#ALL],2)</f>
        <v>3181.396212</v>
      </c>
      <c r="Y57" s="316">
        <f>CS_PID!Y57/VLOOKUP($B57,LEBT[#ALL],4)/VLOOKUP($B57,표2[#ALL],2)</f>
        <v>0</v>
      </c>
      <c r="Z57" s="316">
        <f>CS_PID!Z57/VLOOKUP($B57,LEBT[#ALL],4)/VLOOKUP($B57,표2[#ALL],2)</f>
        <v>0</v>
      </c>
      <c r="AA57" s="316">
        <f>CS_PID!AA57/VLOOKUP($B57,LEBT[#ALL],4)/VLOOKUP($B57,표2[#ALL],2)</f>
        <v>0</v>
      </c>
      <c r="AB57" s="316">
        <f>CS_PID!AB57/VLOOKUP($B57,LEBT[#ALL],4)/VLOOKUP($B57,표2[#ALL],2)</f>
        <v>0</v>
      </c>
      <c r="AC57" s="316">
        <f>CS_PID!AC57/VLOOKUP($B57,LEBT[#ALL],4)/VLOOKUP($B57,표2[#ALL],2)</f>
        <v>4772.094318</v>
      </c>
      <c r="AD57" s="316">
        <f>CS_PID!AD57/VLOOKUP($B57,LEBT[#ALL],4)/VLOOKUP($B57,표2[#ALL],2)</f>
        <v>1468.336713</v>
      </c>
      <c r="AE57" s="316">
        <f>CS_PID!AE57/VLOOKUP($B57,LEBT[#ALL],4)/VLOOKUP($B57,표2[#ALL],2)</f>
        <v>0</v>
      </c>
      <c r="AF57" s="316">
        <f>CS_PID!AF57/VLOOKUP($B57,LEBT[#ALL],4)/VLOOKUP($B57,표2[#ALL],2)</f>
        <v>0</v>
      </c>
      <c r="AG57" s="316">
        <f>CS_PID!AG57/VLOOKUP($B57,LEBT[#ALL],4)/VLOOKUP($B57,표2[#ALL],2)</f>
        <v>0</v>
      </c>
      <c r="AH57" s="316">
        <f>CS_PID!AH57/VLOOKUP($B57,LEBT[#ALL],4)/VLOOKUP($B57,표2[#ALL],2)</f>
        <v>122.3613928</v>
      </c>
      <c r="AI57" s="316">
        <f>CS_PID!AI57/VLOOKUP($B57,LEBT[#ALL],4)/VLOOKUP($B57,표2[#ALL],2)</f>
        <v>1957.782284</v>
      </c>
      <c r="AJ57" s="316">
        <f>CS_PID!AJ57/VLOOKUP($B57,LEBT[#ALL],4)/VLOOKUP($B57,표2[#ALL],2)</f>
        <v>1101.252535</v>
      </c>
      <c r="AK57" s="316">
        <f>CS_PID!AK57/VLOOKUP($B57,LEBT[#ALL],4)/VLOOKUP($B57,표2[#ALL],2)</f>
        <v>0</v>
      </c>
      <c r="AL57" s="316">
        <f>CS_PID!AL57/VLOOKUP($B57,LEBT[#ALL],4)/VLOOKUP($B57,표2[#ALL],2)</f>
        <v>0</v>
      </c>
      <c r="AM57" s="316">
        <f>CS_PID!AM57/VLOOKUP($B57,LEBT[#ALL],4)/VLOOKUP($B57,표2[#ALL],2)</f>
        <v>122.3613928</v>
      </c>
      <c r="AN57" s="316">
        <f>CS_PID!AN57/VLOOKUP($B57,LEBT[#ALL],4)/VLOOKUP($B57,표2[#ALL],2)</f>
        <v>978.8911422</v>
      </c>
      <c r="AO57" s="316">
        <f>CS_PID!AO57/VLOOKUP($B57,LEBT[#ALL],4)/VLOOKUP($B57,표2[#ALL],2)</f>
        <v>244.7227855</v>
      </c>
      <c r="AP57" s="316">
        <f>CS_PID!AP57/VLOOKUP($B57,LEBT[#ALL],4)/VLOOKUP($B57,표2[#ALL],2)</f>
        <v>0</v>
      </c>
      <c r="AQ57" s="316">
        <f>CS_PID!AQ57/VLOOKUP($B57,LEBT[#ALL],4)/VLOOKUP($B57,표2[#ALL],2)</f>
        <v>0</v>
      </c>
      <c r="AR57" s="316">
        <f>CS_PID!AR57/VLOOKUP($B57,LEBT[#ALL],4)/VLOOKUP($B57,표2[#ALL],2)</f>
        <v>0</v>
      </c>
      <c r="AS57" s="316">
        <f>CS_PID!AS57/VLOOKUP($B57,LEBT[#ALL],4)/VLOOKUP($B57,표2[#ALL],2)</f>
        <v>0</v>
      </c>
    </row>
    <row r="58">
      <c r="A58" s="165" t="s">
        <v>82</v>
      </c>
      <c r="B58" s="166">
        <v>325.0</v>
      </c>
      <c r="C58" s="316">
        <f>CS_PID!C58/VLOOKUP($B58,LEBT[#ALL],4)/VLOOKUP($B58,표2[#ALL],2)</f>
        <v>334.3099217</v>
      </c>
      <c r="D58" s="316">
        <f>CS_PID!D58/VLOOKUP($B58,LEBT[#ALL],4)/VLOOKUP($B58,표2[#ALL],2)</f>
        <v>0</v>
      </c>
      <c r="E58" s="316">
        <f>CS_PID!E58/VLOOKUP($B58,LEBT[#ALL],4)/VLOOKUP($B58,표2[#ALL],2)</f>
        <v>668.6198434</v>
      </c>
      <c r="F58" s="316">
        <f>CS_PID!F58/VLOOKUP($B58,LEBT[#ALL],4)/VLOOKUP($B58,표2[#ALL],2)</f>
        <v>668.6198434</v>
      </c>
      <c r="G58" s="316">
        <f>CS_PID!G58/VLOOKUP($B58,LEBT[#ALL],4)/VLOOKUP($B58,표2[#ALL],2)</f>
        <v>0</v>
      </c>
      <c r="H58" s="316">
        <f>CS_PID!H58/VLOOKUP($B58,LEBT[#ALL],4)/VLOOKUP($B58,표2[#ALL],2)</f>
        <v>0</v>
      </c>
      <c r="I58" s="316">
        <f>CS_PID!I58/VLOOKUP($B58,LEBT[#ALL],4)/VLOOKUP($B58,표2[#ALL],2)</f>
        <v>334.3099217</v>
      </c>
      <c r="J58" s="316">
        <f>CS_PID!J58/VLOOKUP($B58,LEBT[#ALL],4)/VLOOKUP($B58,표2[#ALL],2)</f>
        <v>1002.929765</v>
      </c>
      <c r="K58" s="316">
        <f>CS_PID!K58/VLOOKUP($B58,LEBT[#ALL],4)/VLOOKUP($B58,표2[#ALL],2)</f>
        <v>1002.929765</v>
      </c>
      <c r="L58" s="316">
        <f>CS_PID!L58/VLOOKUP($B58,LEBT[#ALL],4)/VLOOKUP($B58,표2[#ALL],2)</f>
        <v>334.3099217</v>
      </c>
      <c r="M58" s="316">
        <f>CS_PID!M58/VLOOKUP($B58,LEBT[#ALL],4)/VLOOKUP($B58,표2[#ALL],2)</f>
        <v>0</v>
      </c>
      <c r="N58" s="316">
        <f>CS_PID!N58/VLOOKUP($B58,LEBT[#ALL],4)/VLOOKUP($B58,표2[#ALL],2)</f>
        <v>0</v>
      </c>
      <c r="O58" s="316">
        <f>CS_PID!O58/VLOOKUP($B58,LEBT[#ALL],4)/VLOOKUP($B58,표2[#ALL],2)</f>
        <v>0</v>
      </c>
      <c r="P58" s="316">
        <f>CS_PID!P58/VLOOKUP($B58,LEBT[#ALL],4)/VLOOKUP($B58,표2[#ALL],2)</f>
        <v>1002.929765</v>
      </c>
      <c r="Q58" s="316">
        <f>CS_PID!Q58/VLOOKUP($B58,LEBT[#ALL],4)/VLOOKUP($B58,표2[#ALL],2)</f>
        <v>5683.268669</v>
      </c>
      <c r="R58" s="316">
        <f>CS_PID!R58/VLOOKUP($B58,LEBT[#ALL],4)/VLOOKUP($B58,표2[#ALL],2)</f>
        <v>1002.929765</v>
      </c>
      <c r="S58" s="316">
        <f>CS_PID!S58/VLOOKUP($B58,LEBT[#ALL],4)/VLOOKUP($B58,표2[#ALL],2)</f>
        <v>0</v>
      </c>
      <c r="T58" s="316">
        <f>CS_PID!T58/VLOOKUP($B58,LEBT[#ALL],4)/VLOOKUP($B58,표2[#ALL],2)</f>
        <v>0</v>
      </c>
      <c r="U58" s="316">
        <f>CS_PID!U58/VLOOKUP($B58,LEBT[#ALL],4)/VLOOKUP($B58,표2[#ALL],2)</f>
        <v>0</v>
      </c>
      <c r="V58" s="316">
        <f>CS_PID!V58/VLOOKUP($B58,LEBT[#ALL],4)/VLOOKUP($B58,표2[#ALL],2)</f>
        <v>334.3099217</v>
      </c>
      <c r="W58" s="316">
        <f>CS_PID!W58/VLOOKUP($B58,LEBT[#ALL],4)/VLOOKUP($B58,표2[#ALL],2)</f>
        <v>5014.648826</v>
      </c>
      <c r="X58" s="316">
        <f>CS_PID!X58/VLOOKUP($B58,LEBT[#ALL],4)/VLOOKUP($B58,표2[#ALL],2)</f>
        <v>2340.169452</v>
      </c>
      <c r="Y58" s="316">
        <f>CS_PID!Y58/VLOOKUP($B58,LEBT[#ALL],4)/VLOOKUP($B58,표2[#ALL],2)</f>
        <v>0</v>
      </c>
      <c r="Z58" s="316">
        <f>CS_PID!Z58/VLOOKUP($B58,LEBT[#ALL],4)/VLOOKUP($B58,표2[#ALL],2)</f>
        <v>0</v>
      </c>
      <c r="AA58" s="316">
        <f>CS_PID!AA58/VLOOKUP($B58,LEBT[#ALL],4)/VLOOKUP($B58,표2[#ALL],2)</f>
        <v>0</v>
      </c>
      <c r="AB58" s="316">
        <f>CS_PID!AB58/VLOOKUP($B58,LEBT[#ALL],4)/VLOOKUP($B58,표2[#ALL],2)</f>
        <v>334.3099217</v>
      </c>
      <c r="AC58" s="316">
        <f>CS_PID!AC58/VLOOKUP($B58,LEBT[#ALL],4)/VLOOKUP($B58,표2[#ALL],2)</f>
        <v>1337.239687</v>
      </c>
      <c r="AD58" s="316">
        <f>CS_PID!AD58/VLOOKUP($B58,LEBT[#ALL],4)/VLOOKUP($B58,표2[#ALL],2)</f>
        <v>334.3099217</v>
      </c>
      <c r="AE58" s="316">
        <f>CS_PID!AE58/VLOOKUP($B58,LEBT[#ALL],4)/VLOOKUP($B58,표2[#ALL],2)</f>
        <v>0</v>
      </c>
      <c r="AF58" s="316">
        <f>CS_PID!AF58/VLOOKUP($B58,LEBT[#ALL],4)/VLOOKUP($B58,표2[#ALL],2)</f>
        <v>0</v>
      </c>
      <c r="AG58" s="316">
        <f>CS_PID!AG58/VLOOKUP($B58,LEBT[#ALL],4)/VLOOKUP($B58,표2[#ALL],2)</f>
        <v>0</v>
      </c>
      <c r="AH58" s="316">
        <f>CS_PID!AH58/VLOOKUP($B58,LEBT[#ALL],4)/VLOOKUP($B58,표2[#ALL],2)</f>
        <v>0</v>
      </c>
      <c r="AI58" s="316">
        <f>CS_PID!AI58/VLOOKUP($B58,LEBT[#ALL],4)/VLOOKUP($B58,표2[#ALL],2)</f>
        <v>2340.169452</v>
      </c>
      <c r="AJ58" s="316">
        <f>CS_PID!AJ58/VLOOKUP($B58,LEBT[#ALL],4)/VLOOKUP($B58,표2[#ALL],2)</f>
        <v>1002.929765</v>
      </c>
      <c r="AK58" s="316">
        <f>CS_PID!AK58/VLOOKUP($B58,LEBT[#ALL],4)/VLOOKUP($B58,표2[#ALL],2)</f>
        <v>0</v>
      </c>
      <c r="AL58" s="316">
        <f>CS_PID!AL58/VLOOKUP($B58,LEBT[#ALL],4)/VLOOKUP($B58,표2[#ALL],2)</f>
        <v>0</v>
      </c>
      <c r="AM58" s="316">
        <f>CS_PID!AM58/VLOOKUP($B58,LEBT[#ALL],4)/VLOOKUP($B58,표2[#ALL],2)</f>
        <v>0</v>
      </c>
      <c r="AN58" s="316">
        <f>CS_PID!AN58/VLOOKUP($B58,LEBT[#ALL],4)/VLOOKUP($B58,표2[#ALL],2)</f>
        <v>2005.85953</v>
      </c>
      <c r="AO58" s="316">
        <f>CS_PID!AO58/VLOOKUP($B58,LEBT[#ALL],4)/VLOOKUP($B58,표2[#ALL],2)</f>
        <v>0</v>
      </c>
      <c r="AP58" s="316">
        <f>CS_PID!AP58/VLOOKUP($B58,LEBT[#ALL],4)/VLOOKUP($B58,표2[#ALL],2)</f>
        <v>0</v>
      </c>
      <c r="AQ58" s="316">
        <f>CS_PID!AQ58/VLOOKUP($B58,LEBT[#ALL],4)/VLOOKUP($B58,표2[#ALL],2)</f>
        <v>0</v>
      </c>
      <c r="AR58" s="316">
        <f>CS_PID!AR58/VLOOKUP($B58,LEBT[#ALL],4)/VLOOKUP($B58,표2[#ALL],2)</f>
        <v>0</v>
      </c>
      <c r="AS58" s="316">
        <f>CS_PID!AS58/VLOOKUP($B58,LEBT[#ALL],4)/VLOOKUP($B58,표2[#ALL],2)</f>
        <v>0</v>
      </c>
    </row>
    <row r="59">
      <c r="A59" s="165" t="s">
        <v>82</v>
      </c>
      <c r="B59" s="166">
        <v>326.0</v>
      </c>
      <c r="C59" s="316">
        <f>CS_PID!C59/VLOOKUP($B59,LEBT[#ALL],4)/VLOOKUP($B59,표2[#ALL],2)</f>
        <v>0</v>
      </c>
      <c r="D59" s="316">
        <f>CS_PID!D59/VLOOKUP($B59,LEBT[#ALL],4)/VLOOKUP($B59,표2[#ALL],2)</f>
        <v>180.0914877</v>
      </c>
      <c r="E59" s="316">
        <f>CS_PID!E59/VLOOKUP($B59,LEBT[#ALL],4)/VLOOKUP($B59,표2[#ALL],2)</f>
        <v>1080.548926</v>
      </c>
      <c r="F59" s="316">
        <f>CS_PID!F59/VLOOKUP($B59,LEBT[#ALL],4)/VLOOKUP($B59,표2[#ALL],2)</f>
        <v>1530.777645</v>
      </c>
      <c r="G59" s="316">
        <f>CS_PID!G59/VLOOKUP($B59,LEBT[#ALL],4)/VLOOKUP($B59,표2[#ALL],2)</f>
        <v>0</v>
      </c>
      <c r="H59" s="316">
        <f>CS_PID!H59/VLOOKUP($B59,LEBT[#ALL],4)/VLOOKUP($B59,표2[#ALL],2)</f>
        <v>0</v>
      </c>
      <c r="I59" s="316">
        <f>CS_PID!I59/VLOOKUP($B59,LEBT[#ALL],4)/VLOOKUP($B59,표2[#ALL],2)</f>
        <v>0</v>
      </c>
      <c r="J59" s="316">
        <f>CS_PID!J59/VLOOKUP($B59,LEBT[#ALL],4)/VLOOKUP($B59,표2[#ALL],2)</f>
        <v>1620.823389</v>
      </c>
      <c r="K59" s="316">
        <f>CS_PID!K59/VLOOKUP($B59,LEBT[#ALL],4)/VLOOKUP($B59,표2[#ALL],2)</f>
        <v>2971.509547</v>
      </c>
      <c r="L59" s="316">
        <f>CS_PID!L59/VLOOKUP($B59,LEBT[#ALL],4)/VLOOKUP($B59,표2[#ALL],2)</f>
        <v>810.4116947</v>
      </c>
      <c r="M59" s="316">
        <f>CS_PID!M59/VLOOKUP($B59,LEBT[#ALL],4)/VLOOKUP($B59,표2[#ALL],2)</f>
        <v>0</v>
      </c>
      <c r="N59" s="316">
        <f>CS_PID!N59/VLOOKUP($B59,LEBT[#ALL],4)/VLOOKUP($B59,표2[#ALL],2)</f>
        <v>0</v>
      </c>
      <c r="O59" s="316">
        <f>CS_PID!O59/VLOOKUP($B59,LEBT[#ALL],4)/VLOOKUP($B59,표2[#ALL],2)</f>
        <v>0</v>
      </c>
      <c r="P59" s="316">
        <f>CS_PID!P59/VLOOKUP($B59,LEBT[#ALL],4)/VLOOKUP($B59,표2[#ALL],2)</f>
        <v>1530.777645</v>
      </c>
      <c r="Q59" s="316">
        <f>CS_PID!Q59/VLOOKUP($B59,LEBT[#ALL],4)/VLOOKUP($B59,표2[#ALL],2)</f>
        <v>6573.339301</v>
      </c>
      <c r="R59" s="316">
        <f>CS_PID!R59/VLOOKUP($B59,LEBT[#ALL],4)/VLOOKUP($B59,표2[#ALL],2)</f>
        <v>1710.869133</v>
      </c>
      <c r="S59" s="316">
        <f>CS_PID!S59/VLOOKUP($B59,LEBT[#ALL],4)/VLOOKUP($B59,표2[#ALL],2)</f>
        <v>90.04574385</v>
      </c>
      <c r="T59" s="316">
        <f>CS_PID!T59/VLOOKUP($B59,LEBT[#ALL],4)/VLOOKUP($B59,표2[#ALL],2)</f>
        <v>0</v>
      </c>
      <c r="U59" s="316">
        <f>CS_PID!U59/VLOOKUP($B59,LEBT[#ALL],4)/VLOOKUP($B59,표2[#ALL],2)</f>
        <v>0</v>
      </c>
      <c r="V59" s="316">
        <f>CS_PID!V59/VLOOKUP($B59,LEBT[#ALL],4)/VLOOKUP($B59,표2[#ALL],2)</f>
        <v>810.4116947</v>
      </c>
      <c r="W59" s="316">
        <f>CS_PID!W59/VLOOKUP($B59,LEBT[#ALL],4)/VLOOKUP($B59,표2[#ALL],2)</f>
        <v>5312.698887</v>
      </c>
      <c r="X59" s="316">
        <f>CS_PID!X59/VLOOKUP($B59,LEBT[#ALL],4)/VLOOKUP($B59,표2[#ALL],2)</f>
        <v>2431.235084</v>
      </c>
      <c r="Y59" s="316">
        <f>CS_PID!Y59/VLOOKUP($B59,LEBT[#ALL],4)/VLOOKUP($B59,표2[#ALL],2)</f>
        <v>90.04574385</v>
      </c>
      <c r="Z59" s="316">
        <f>CS_PID!Z59/VLOOKUP($B59,LEBT[#ALL],4)/VLOOKUP($B59,표2[#ALL],2)</f>
        <v>0</v>
      </c>
      <c r="AA59" s="316">
        <f>CS_PID!AA59/VLOOKUP($B59,LEBT[#ALL],4)/VLOOKUP($B59,표2[#ALL],2)</f>
        <v>0</v>
      </c>
      <c r="AB59" s="316">
        <f>CS_PID!AB59/VLOOKUP($B59,LEBT[#ALL],4)/VLOOKUP($B59,표2[#ALL],2)</f>
        <v>270.1372316</v>
      </c>
      <c r="AC59" s="316">
        <f>CS_PID!AC59/VLOOKUP($B59,LEBT[#ALL],4)/VLOOKUP($B59,표2[#ALL],2)</f>
        <v>3601.829754</v>
      </c>
      <c r="AD59" s="316">
        <f>CS_PID!AD59/VLOOKUP($B59,LEBT[#ALL],4)/VLOOKUP($B59,표2[#ALL],2)</f>
        <v>990.5031824</v>
      </c>
      <c r="AE59" s="316">
        <f>CS_PID!AE59/VLOOKUP($B59,LEBT[#ALL],4)/VLOOKUP($B59,표2[#ALL],2)</f>
        <v>0</v>
      </c>
      <c r="AF59" s="316">
        <f>CS_PID!AF59/VLOOKUP($B59,LEBT[#ALL],4)/VLOOKUP($B59,표2[#ALL],2)</f>
        <v>0</v>
      </c>
      <c r="AG59" s="316">
        <f>CS_PID!AG59/VLOOKUP($B59,LEBT[#ALL],4)/VLOOKUP($B59,표2[#ALL],2)</f>
        <v>0</v>
      </c>
      <c r="AH59" s="316">
        <f>CS_PID!AH59/VLOOKUP($B59,LEBT[#ALL],4)/VLOOKUP($B59,표2[#ALL],2)</f>
        <v>360.1829754</v>
      </c>
      <c r="AI59" s="316">
        <f>CS_PID!AI59/VLOOKUP($B59,LEBT[#ALL],4)/VLOOKUP($B59,표2[#ALL],2)</f>
        <v>990.5031824</v>
      </c>
      <c r="AJ59" s="316">
        <f>CS_PID!AJ59/VLOOKUP($B59,LEBT[#ALL],4)/VLOOKUP($B59,표2[#ALL],2)</f>
        <v>450.2287193</v>
      </c>
      <c r="AK59" s="316">
        <f>CS_PID!AK59/VLOOKUP($B59,LEBT[#ALL],4)/VLOOKUP($B59,표2[#ALL],2)</f>
        <v>0</v>
      </c>
      <c r="AL59" s="316">
        <f>CS_PID!AL59/VLOOKUP($B59,LEBT[#ALL],4)/VLOOKUP($B59,표2[#ALL],2)</f>
        <v>0</v>
      </c>
      <c r="AM59" s="316">
        <f>CS_PID!AM59/VLOOKUP($B59,LEBT[#ALL],4)/VLOOKUP($B59,표2[#ALL],2)</f>
        <v>0</v>
      </c>
      <c r="AN59" s="316">
        <f>CS_PID!AN59/VLOOKUP($B59,LEBT[#ALL],4)/VLOOKUP($B59,표2[#ALL],2)</f>
        <v>990.5031824</v>
      </c>
      <c r="AO59" s="316">
        <f>CS_PID!AO59/VLOOKUP($B59,LEBT[#ALL],4)/VLOOKUP($B59,표2[#ALL],2)</f>
        <v>270.1372316</v>
      </c>
      <c r="AP59" s="316">
        <f>CS_PID!AP59/VLOOKUP($B59,LEBT[#ALL],4)/VLOOKUP($B59,표2[#ALL],2)</f>
        <v>0</v>
      </c>
      <c r="AQ59" s="316">
        <f>CS_PID!AQ59/VLOOKUP($B59,LEBT[#ALL],4)/VLOOKUP($B59,표2[#ALL],2)</f>
        <v>0</v>
      </c>
      <c r="AR59" s="316">
        <f>CS_PID!AR59/VLOOKUP($B59,LEBT[#ALL],4)/VLOOKUP($B59,표2[#ALL],2)</f>
        <v>90.04574385</v>
      </c>
      <c r="AS59" s="316">
        <f>CS_PID!AS59/VLOOKUP($B59,LEBT[#ALL],4)/VLOOKUP($B59,표2[#ALL],2)</f>
        <v>0</v>
      </c>
    </row>
    <row r="60">
      <c r="A60" s="165" t="s">
        <v>82</v>
      </c>
      <c r="B60" s="166">
        <v>327.0</v>
      </c>
      <c r="C60" s="316">
        <f>CS_PID!C60/VLOOKUP($B60,LEBT[#ALL],4)/VLOOKUP($B60,표2[#ALL],2)</f>
        <v>0</v>
      </c>
      <c r="D60" s="316">
        <f>CS_PID!D60/VLOOKUP($B60,LEBT[#ALL],4)/VLOOKUP($B60,표2[#ALL],2)</f>
        <v>52.55812062</v>
      </c>
      <c r="E60" s="316">
        <f>CS_PID!E60/VLOOKUP($B60,LEBT[#ALL],4)/VLOOKUP($B60,표2[#ALL],2)</f>
        <v>683.2555681</v>
      </c>
      <c r="F60" s="316">
        <f>CS_PID!F60/VLOOKUP($B60,LEBT[#ALL],4)/VLOOKUP($B60,표2[#ALL],2)</f>
        <v>946.0461712</v>
      </c>
      <c r="G60" s="316">
        <f>CS_PID!G60/VLOOKUP($B60,LEBT[#ALL],4)/VLOOKUP($B60,표2[#ALL],2)</f>
        <v>52.55812062</v>
      </c>
      <c r="H60" s="316">
        <f>CS_PID!H60/VLOOKUP($B60,LEBT[#ALL],4)/VLOOKUP($B60,표2[#ALL],2)</f>
        <v>0</v>
      </c>
      <c r="I60" s="316">
        <f>CS_PID!I60/VLOOKUP($B60,LEBT[#ALL],4)/VLOOKUP($B60,표2[#ALL],2)</f>
        <v>0</v>
      </c>
      <c r="J60" s="316">
        <f>CS_PID!J60/VLOOKUP($B60,LEBT[#ALL],4)/VLOOKUP($B60,표2[#ALL],2)</f>
        <v>2733.022272</v>
      </c>
      <c r="K60" s="316">
        <f>CS_PID!K60/VLOOKUP($B60,LEBT[#ALL],4)/VLOOKUP($B60,표2[#ALL],2)</f>
        <v>2575.347911</v>
      </c>
      <c r="L60" s="316">
        <f>CS_PID!L60/VLOOKUP($B60,LEBT[#ALL],4)/VLOOKUP($B60,표2[#ALL],2)</f>
        <v>683.2555681</v>
      </c>
      <c r="M60" s="316">
        <f>CS_PID!M60/VLOOKUP($B60,LEBT[#ALL],4)/VLOOKUP($B60,표2[#ALL],2)</f>
        <v>0</v>
      </c>
      <c r="N60" s="316">
        <f>CS_PID!N60/VLOOKUP($B60,LEBT[#ALL],4)/VLOOKUP($B60,표2[#ALL],2)</f>
        <v>0</v>
      </c>
      <c r="O60" s="316">
        <f>CS_PID!O60/VLOOKUP($B60,LEBT[#ALL],4)/VLOOKUP($B60,표2[#ALL],2)</f>
        <v>157.6743619</v>
      </c>
      <c r="P60" s="316">
        <f>CS_PID!P60/VLOOKUP($B60,LEBT[#ALL],4)/VLOOKUP($B60,표2[#ALL],2)</f>
        <v>1156.278654</v>
      </c>
      <c r="Q60" s="316">
        <f>CS_PID!Q60/VLOOKUP($B60,LEBT[#ALL],4)/VLOOKUP($B60,표2[#ALL],2)</f>
        <v>6149.300113</v>
      </c>
      <c r="R60" s="316">
        <f>CS_PID!R60/VLOOKUP($B60,LEBT[#ALL],4)/VLOOKUP($B60,표2[#ALL],2)</f>
        <v>1313.953016</v>
      </c>
      <c r="S60" s="316">
        <f>CS_PID!S60/VLOOKUP($B60,LEBT[#ALL],4)/VLOOKUP($B60,표2[#ALL],2)</f>
        <v>52.55812062</v>
      </c>
      <c r="T60" s="316">
        <f>CS_PID!T60/VLOOKUP($B60,LEBT[#ALL],4)/VLOOKUP($B60,표2[#ALL],2)</f>
        <v>0</v>
      </c>
      <c r="U60" s="316">
        <f>CS_PID!U60/VLOOKUP($B60,LEBT[#ALL],4)/VLOOKUP($B60,표2[#ALL],2)</f>
        <v>0</v>
      </c>
      <c r="V60" s="316">
        <f>CS_PID!V60/VLOOKUP($B60,LEBT[#ALL],4)/VLOOKUP($B60,표2[#ALL],2)</f>
        <v>788.3718093</v>
      </c>
      <c r="W60" s="316">
        <f>CS_PID!W60/VLOOKUP($B60,LEBT[#ALL],4)/VLOOKUP($B60,표2[#ALL],2)</f>
        <v>4887.905218</v>
      </c>
      <c r="X60" s="316">
        <f>CS_PID!X60/VLOOKUP($B60,LEBT[#ALL],4)/VLOOKUP($B60,표2[#ALL],2)</f>
        <v>2522.78979</v>
      </c>
      <c r="Y60" s="316">
        <f>CS_PID!Y60/VLOOKUP($B60,LEBT[#ALL],4)/VLOOKUP($B60,표2[#ALL],2)</f>
        <v>105.1162412</v>
      </c>
      <c r="Z60" s="316">
        <f>CS_PID!Z60/VLOOKUP($B60,LEBT[#ALL],4)/VLOOKUP($B60,표2[#ALL],2)</f>
        <v>0</v>
      </c>
      <c r="AA60" s="316">
        <f>CS_PID!AA60/VLOOKUP($B60,LEBT[#ALL],4)/VLOOKUP($B60,표2[#ALL],2)</f>
        <v>52.55812062</v>
      </c>
      <c r="AB60" s="316">
        <f>CS_PID!AB60/VLOOKUP($B60,LEBT[#ALL],4)/VLOOKUP($B60,표2[#ALL],2)</f>
        <v>52.55812062</v>
      </c>
      <c r="AC60" s="316">
        <f>CS_PID!AC60/VLOOKUP($B60,LEBT[#ALL],4)/VLOOKUP($B60,표2[#ALL],2)</f>
        <v>4625.114615</v>
      </c>
      <c r="AD60" s="316">
        <f>CS_PID!AD60/VLOOKUP($B60,LEBT[#ALL],4)/VLOOKUP($B60,표2[#ALL],2)</f>
        <v>893.4880506</v>
      </c>
      <c r="AE60" s="316">
        <f>CS_PID!AE60/VLOOKUP($B60,LEBT[#ALL],4)/VLOOKUP($B60,표2[#ALL],2)</f>
        <v>52.55812062</v>
      </c>
      <c r="AF60" s="316">
        <f>CS_PID!AF60/VLOOKUP($B60,LEBT[#ALL],4)/VLOOKUP($B60,표2[#ALL],2)</f>
        <v>0</v>
      </c>
      <c r="AG60" s="316">
        <f>CS_PID!AG60/VLOOKUP($B60,LEBT[#ALL],4)/VLOOKUP($B60,표2[#ALL],2)</f>
        <v>0</v>
      </c>
      <c r="AH60" s="316">
        <f>CS_PID!AH60/VLOOKUP($B60,LEBT[#ALL],4)/VLOOKUP($B60,표2[#ALL],2)</f>
        <v>420.464965</v>
      </c>
      <c r="AI60" s="316">
        <f>CS_PID!AI60/VLOOKUP($B60,LEBT[#ALL],4)/VLOOKUP($B60,표2[#ALL],2)</f>
        <v>2102.324825</v>
      </c>
      <c r="AJ60" s="316">
        <f>CS_PID!AJ60/VLOOKUP($B60,LEBT[#ALL],4)/VLOOKUP($B60,표2[#ALL],2)</f>
        <v>998.6042918</v>
      </c>
      <c r="AK60" s="316">
        <f>CS_PID!AK60/VLOOKUP($B60,LEBT[#ALL],4)/VLOOKUP($B60,표2[#ALL],2)</f>
        <v>52.55812062</v>
      </c>
      <c r="AL60" s="316">
        <f>CS_PID!AL60/VLOOKUP($B60,LEBT[#ALL],4)/VLOOKUP($B60,표2[#ALL],2)</f>
        <v>0</v>
      </c>
      <c r="AM60" s="316">
        <f>CS_PID!AM60/VLOOKUP($B60,LEBT[#ALL],4)/VLOOKUP($B60,표2[#ALL],2)</f>
        <v>105.1162412</v>
      </c>
      <c r="AN60" s="316">
        <f>CS_PID!AN60/VLOOKUP($B60,LEBT[#ALL],4)/VLOOKUP($B60,표2[#ALL],2)</f>
        <v>893.4880506</v>
      </c>
      <c r="AO60" s="316">
        <f>CS_PID!AO60/VLOOKUP($B60,LEBT[#ALL],4)/VLOOKUP($B60,표2[#ALL],2)</f>
        <v>105.1162412</v>
      </c>
      <c r="AP60" s="316">
        <f>CS_PID!AP60/VLOOKUP($B60,LEBT[#ALL],4)/VLOOKUP($B60,표2[#ALL],2)</f>
        <v>0</v>
      </c>
      <c r="AQ60" s="316">
        <f>CS_PID!AQ60/VLOOKUP($B60,LEBT[#ALL],4)/VLOOKUP($B60,표2[#ALL],2)</f>
        <v>52.55812062</v>
      </c>
      <c r="AR60" s="316">
        <f>CS_PID!AR60/VLOOKUP($B60,LEBT[#ALL],4)/VLOOKUP($B60,표2[#ALL],2)</f>
        <v>52.55812062</v>
      </c>
      <c r="AS60" s="316">
        <f>CS_PID!AS60/VLOOKUP($B60,LEBT[#ALL],4)/VLOOKUP($B60,표2[#ALL],2)</f>
        <v>0</v>
      </c>
    </row>
    <row r="61">
      <c r="A61" s="165" t="s">
        <v>82</v>
      </c>
      <c r="B61" s="166">
        <v>328.0</v>
      </c>
      <c r="C61" s="316">
        <f>CS_PID!C61/VLOOKUP($B61,LEBT[#ALL],4)/VLOOKUP($B61,표2[#ALL],2)</f>
        <v>33.82104571</v>
      </c>
      <c r="D61" s="316">
        <f>CS_PID!D61/VLOOKUP($B61,LEBT[#ALL],4)/VLOOKUP($B61,표2[#ALL],2)</f>
        <v>67.64209141</v>
      </c>
      <c r="E61" s="316">
        <f>CS_PID!E61/VLOOKUP($B61,LEBT[#ALL],4)/VLOOKUP($B61,표2[#ALL],2)</f>
        <v>574.957777</v>
      </c>
      <c r="F61" s="316">
        <f>CS_PID!F61/VLOOKUP($B61,LEBT[#ALL],4)/VLOOKUP($B61,표2[#ALL],2)</f>
        <v>1251.378691</v>
      </c>
      <c r="G61" s="316">
        <f>CS_PID!G61/VLOOKUP($B61,LEBT[#ALL],4)/VLOOKUP($B61,표2[#ALL],2)</f>
        <v>101.4631371</v>
      </c>
      <c r="H61" s="316">
        <f>CS_PID!H61/VLOOKUP($B61,LEBT[#ALL],4)/VLOOKUP($B61,표2[#ALL],2)</f>
        <v>67.64209141</v>
      </c>
      <c r="I61" s="316">
        <f>CS_PID!I61/VLOOKUP($B61,LEBT[#ALL],4)/VLOOKUP($B61,표2[#ALL],2)</f>
        <v>0</v>
      </c>
      <c r="J61" s="316">
        <f>CS_PID!J61/VLOOKUP($B61,LEBT[#ALL],4)/VLOOKUP($B61,표2[#ALL],2)</f>
        <v>2096.904834</v>
      </c>
      <c r="K61" s="316">
        <f>CS_PID!K61/VLOOKUP($B61,LEBT[#ALL],4)/VLOOKUP($B61,표2[#ALL],2)</f>
        <v>2705.683656</v>
      </c>
      <c r="L61" s="316">
        <f>CS_PID!L61/VLOOKUP($B61,LEBT[#ALL],4)/VLOOKUP($B61,표2[#ALL],2)</f>
        <v>574.957777</v>
      </c>
      <c r="M61" s="316">
        <f>CS_PID!M61/VLOOKUP($B61,LEBT[#ALL],4)/VLOOKUP($B61,표2[#ALL],2)</f>
        <v>0</v>
      </c>
      <c r="N61" s="316">
        <f>CS_PID!N61/VLOOKUP($B61,LEBT[#ALL],4)/VLOOKUP($B61,표2[#ALL],2)</f>
        <v>0</v>
      </c>
      <c r="O61" s="316">
        <f>CS_PID!O61/VLOOKUP($B61,LEBT[#ALL],4)/VLOOKUP($B61,표2[#ALL],2)</f>
        <v>0</v>
      </c>
      <c r="P61" s="316">
        <f>CS_PID!P61/VLOOKUP($B61,LEBT[#ALL],4)/VLOOKUP($B61,표2[#ALL],2)</f>
        <v>1420.48392</v>
      </c>
      <c r="Q61" s="316">
        <f>CS_PID!Q61/VLOOKUP($B61,LEBT[#ALL],4)/VLOOKUP($B61,표2[#ALL],2)</f>
        <v>5648.114633</v>
      </c>
      <c r="R61" s="316">
        <f>CS_PID!R61/VLOOKUP($B61,LEBT[#ALL],4)/VLOOKUP($B61,표2[#ALL],2)</f>
        <v>1183.7366</v>
      </c>
      <c r="S61" s="316">
        <f>CS_PID!S61/VLOOKUP($B61,LEBT[#ALL],4)/VLOOKUP($B61,표2[#ALL],2)</f>
        <v>33.82104571</v>
      </c>
      <c r="T61" s="316">
        <f>CS_PID!T61/VLOOKUP($B61,LEBT[#ALL],4)/VLOOKUP($B61,표2[#ALL],2)</f>
        <v>0</v>
      </c>
      <c r="U61" s="316">
        <f>CS_PID!U61/VLOOKUP($B61,LEBT[#ALL],4)/VLOOKUP($B61,표2[#ALL],2)</f>
        <v>67.64209141</v>
      </c>
      <c r="V61" s="316">
        <f>CS_PID!V61/VLOOKUP($B61,LEBT[#ALL],4)/VLOOKUP($B61,표2[#ALL],2)</f>
        <v>777.8840512</v>
      </c>
      <c r="W61" s="316">
        <f>CS_PID!W61/VLOOKUP($B61,LEBT[#ALL],4)/VLOOKUP($B61,표2[#ALL],2)</f>
        <v>5005.514764</v>
      </c>
      <c r="X61" s="316">
        <f>CS_PID!X61/VLOOKUP($B61,LEBT[#ALL],4)/VLOOKUP($B61,표2[#ALL],2)</f>
        <v>2502.757382</v>
      </c>
      <c r="Y61" s="316">
        <f>CS_PID!Y61/VLOOKUP($B61,LEBT[#ALL],4)/VLOOKUP($B61,표2[#ALL],2)</f>
        <v>67.64209141</v>
      </c>
      <c r="Z61" s="316">
        <f>CS_PID!Z61/VLOOKUP($B61,LEBT[#ALL],4)/VLOOKUP($B61,표2[#ALL],2)</f>
        <v>0</v>
      </c>
      <c r="AA61" s="316">
        <f>CS_PID!AA61/VLOOKUP($B61,LEBT[#ALL],4)/VLOOKUP($B61,표2[#ALL],2)</f>
        <v>0</v>
      </c>
      <c r="AB61" s="316">
        <f>CS_PID!AB61/VLOOKUP($B61,LEBT[#ALL],4)/VLOOKUP($B61,표2[#ALL],2)</f>
        <v>67.64209141</v>
      </c>
      <c r="AC61" s="316">
        <f>CS_PID!AC61/VLOOKUP($B61,LEBT[#ALL],4)/VLOOKUP($B61,표2[#ALL],2)</f>
        <v>4058.525485</v>
      </c>
      <c r="AD61" s="316">
        <f>CS_PID!AD61/VLOOKUP($B61,LEBT[#ALL],4)/VLOOKUP($B61,표2[#ALL],2)</f>
        <v>1420.48392</v>
      </c>
      <c r="AE61" s="316">
        <f>CS_PID!AE61/VLOOKUP($B61,LEBT[#ALL],4)/VLOOKUP($B61,표2[#ALL],2)</f>
        <v>101.4631371</v>
      </c>
      <c r="AF61" s="316">
        <f>CS_PID!AF61/VLOOKUP($B61,LEBT[#ALL],4)/VLOOKUP($B61,표2[#ALL],2)</f>
        <v>0</v>
      </c>
      <c r="AG61" s="316">
        <f>CS_PID!AG61/VLOOKUP($B61,LEBT[#ALL],4)/VLOOKUP($B61,표2[#ALL],2)</f>
        <v>0</v>
      </c>
      <c r="AH61" s="316">
        <f>CS_PID!AH61/VLOOKUP($B61,LEBT[#ALL],4)/VLOOKUP($B61,표2[#ALL],2)</f>
        <v>101.4631371</v>
      </c>
      <c r="AI61" s="316">
        <f>CS_PID!AI61/VLOOKUP($B61,LEBT[#ALL],4)/VLOOKUP($B61,표2[#ALL],2)</f>
        <v>2502.757382</v>
      </c>
      <c r="AJ61" s="316">
        <f>CS_PID!AJ61/VLOOKUP($B61,LEBT[#ALL],4)/VLOOKUP($B61,표2[#ALL],2)</f>
        <v>1149.915554</v>
      </c>
      <c r="AK61" s="316">
        <f>CS_PID!AK61/VLOOKUP($B61,LEBT[#ALL],4)/VLOOKUP($B61,표2[#ALL],2)</f>
        <v>0</v>
      </c>
      <c r="AL61" s="316">
        <f>CS_PID!AL61/VLOOKUP($B61,LEBT[#ALL],4)/VLOOKUP($B61,표2[#ALL],2)</f>
        <v>0</v>
      </c>
      <c r="AM61" s="316">
        <f>CS_PID!AM61/VLOOKUP($B61,LEBT[#ALL],4)/VLOOKUP($B61,표2[#ALL],2)</f>
        <v>67.64209141</v>
      </c>
      <c r="AN61" s="316">
        <f>CS_PID!AN61/VLOOKUP($B61,LEBT[#ALL],4)/VLOOKUP($B61,표2[#ALL],2)</f>
        <v>1082.273463</v>
      </c>
      <c r="AO61" s="316">
        <f>CS_PID!AO61/VLOOKUP($B61,LEBT[#ALL],4)/VLOOKUP($B61,표2[#ALL],2)</f>
        <v>67.64209141</v>
      </c>
      <c r="AP61" s="316">
        <f>CS_PID!AP61/VLOOKUP($B61,LEBT[#ALL],4)/VLOOKUP($B61,표2[#ALL],2)</f>
        <v>0</v>
      </c>
      <c r="AQ61" s="316">
        <f>CS_PID!AQ61/VLOOKUP($B61,LEBT[#ALL],4)/VLOOKUP($B61,표2[#ALL],2)</f>
        <v>0</v>
      </c>
      <c r="AR61" s="316">
        <f>CS_PID!AR61/VLOOKUP($B61,LEBT[#ALL],4)/VLOOKUP($B61,표2[#ALL],2)</f>
        <v>67.64209141</v>
      </c>
      <c r="AS61" s="316">
        <f>CS_PID!AS61/VLOOKUP($B61,LEBT[#ALL],4)/VLOOKUP($B61,표2[#ALL],2)</f>
        <v>0</v>
      </c>
    </row>
    <row r="62">
      <c r="A62" s="165" t="s">
        <v>82</v>
      </c>
      <c r="B62" s="166">
        <v>329.0</v>
      </c>
      <c r="C62" s="316">
        <f>CS_PID!C62/VLOOKUP($B62,LEBT[#ALL],4)/VLOOKUP($B62,표2[#ALL],2)</f>
        <v>32.60563825</v>
      </c>
      <c r="D62" s="316">
        <f>CS_PID!D62/VLOOKUP($B62,LEBT[#ALL],4)/VLOOKUP($B62,표2[#ALL],2)</f>
        <v>32.60563825</v>
      </c>
      <c r="E62" s="316">
        <f>CS_PID!E62/VLOOKUP($B62,LEBT[#ALL],4)/VLOOKUP($B62,표2[#ALL],2)</f>
        <v>847.7465945</v>
      </c>
      <c r="F62" s="316">
        <f>CS_PID!F62/VLOOKUP($B62,LEBT[#ALL],4)/VLOOKUP($B62,표2[#ALL],2)</f>
        <v>1043.380424</v>
      </c>
      <c r="G62" s="316">
        <f>CS_PID!G62/VLOOKUP($B62,LEBT[#ALL],4)/VLOOKUP($B62,표2[#ALL],2)</f>
        <v>0</v>
      </c>
      <c r="H62" s="316">
        <f>CS_PID!H62/VLOOKUP($B62,LEBT[#ALL],4)/VLOOKUP($B62,표2[#ALL],2)</f>
        <v>0</v>
      </c>
      <c r="I62" s="316">
        <f>CS_PID!I62/VLOOKUP($B62,LEBT[#ALL],4)/VLOOKUP($B62,표2[#ALL],2)</f>
        <v>0</v>
      </c>
      <c r="J62" s="316">
        <f>CS_PID!J62/VLOOKUP($B62,LEBT[#ALL],4)/VLOOKUP($B62,표2[#ALL],2)</f>
        <v>2967.113081</v>
      </c>
      <c r="K62" s="316">
        <f>CS_PID!K62/VLOOKUP($B62,LEBT[#ALL],4)/VLOOKUP($B62,표2[#ALL],2)</f>
        <v>2901.901804</v>
      </c>
      <c r="L62" s="316">
        <f>CS_PID!L62/VLOOKUP($B62,LEBT[#ALL],4)/VLOOKUP($B62,표2[#ALL],2)</f>
        <v>717.3240415</v>
      </c>
      <c r="M62" s="316">
        <f>CS_PID!M62/VLOOKUP($B62,LEBT[#ALL],4)/VLOOKUP($B62,표2[#ALL],2)</f>
        <v>0</v>
      </c>
      <c r="N62" s="316">
        <f>CS_PID!N62/VLOOKUP($B62,LEBT[#ALL],4)/VLOOKUP($B62,표2[#ALL],2)</f>
        <v>0</v>
      </c>
      <c r="O62" s="316">
        <f>CS_PID!O62/VLOOKUP($B62,LEBT[#ALL],4)/VLOOKUP($B62,표2[#ALL],2)</f>
        <v>65.2112765</v>
      </c>
      <c r="P62" s="316">
        <f>CS_PID!P62/VLOOKUP($B62,LEBT[#ALL],4)/VLOOKUP($B62,표2[#ALL],2)</f>
        <v>1662.887551</v>
      </c>
      <c r="Q62" s="316">
        <f>CS_PID!Q62/VLOOKUP($B62,LEBT[#ALL],4)/VLOOKUP($B62,표2[#ALL],2)</f>
        <v>5771.19797</v>
      </c>
      <c r="R62" s="316">
        <f>CS_PID!R62/VLOOKUP($B62,LEBT[#ALL],4)/VLOOKUP($B62,표2[#ALL],2)</f>
        <v>1597.676274</v>
      </c>
      <c r="S62" s="316">
        <f>CS_PID!S62/VLOOKUP($B62,LEBT[#ALL],4)/VLOOKUP($B62,표2[#ALL],2)</f>
        <v>0</v>
      </c>
      <c r="T62" s="316">
        <f>CS_PID!T62/VLOOKUP($B62,LEBT[#ALL],4)/VLOOKUP($B62,표2[#ALL],2)</f>
        <v>0</v>
      </c>
      <c r="U62" s="316">
        <f>CS_PID!U62/VLOOKUP($B62,LEBT[#ALL],4)/VLOOKUP($B62,표2[#ALL],2)</f>
        <v>0</v>
      </c>
      <c r="V62" s="316">
        <f>CS_PID!V62/VLOOKUP($B62,LEBT[#ALL],4)/VLOOKUP($B62,표2[#ALL],2)</f>
        <v>749.9296797</v>
      </c>
      <c r="W62" s="316">
        <f>CS_PID!W62/VLOOKUP($B62,LEBT[#ALL],4)/VLOOKUP($B62,표2[#ALL],2)</f>
        <v>4793.028823</v>
      </c>
      <c r="X62" s="316">
        <f>CS_PID!X62/VLOOKUP($B62,LEBT[#ALL],4)/VLOOKUP($B62,표2[#ALL],2)</f>
        <v>2543.239783</v>
      </c>
      <c r="Y62" s="316">
        <f>CS_PID!Y62/VLOOKUP($B62,LEBT[#ALL],4)/VLOOKUP($B62,표2[#ALL],2)</f>
        <v>32.60563825</v>
      </c>
      <c r="Z62" s="316">
        <f>CS_PID!Z62/VLOOKUP($B62,LEBT[#ALL],4)/VLOOKUP($B62,표2[#ALL],2)</f>
        <v>0</v>
      </c>
      <c r="AA62" s="316">
        <f>CS_PID!AA62/VLOOKUP($B62,LEBT[#ALL],4)/VLOOKUP($B62,표2[#ALL],2)</f>
        <v>0</v>
      </c>
      <c r="AB62" s="316">
        <f>CS_PID!AB62/VLOOKUP($B62,LEBT[#ALL],4)/VLOOKUP($B62,표2[#ALL],2)</f>
        <v>195.6338295</v>
      </c>
      <c r="AC62" s="316">
        <f>CS_PID!AC62/VLOOKUP($B62,LEBT[#ALL],4)/VLOOKUP($B62,표2[#ALL],2)</f>
        <v>4336.549887</v>
      </c>
      <c r="AD62" s="316">
        <f>CS_PID!AD62/VLOOKUP($B62,LEBT[#ALL],4)/VLOOKUP($B62,표2[#ALL],2)</f>
        <v>1108.5917</v>
      </c>
      <c r="AE62" s="316">
        <f>CS_PID!AE62/VLOOKUP($B62,LEBT[#ALL],4)/VLOOKUP($B62,표2[#ALL],2)</f>
        <v>0</v>
      </c>
      <c r="AF62" s="316">
        <f>CS_PID!AF62/VLOOKUP($B62,LEBT[#ALL],4)/VLOOKUP($B62,표2[#ALL],2)</f>
        <v>0</v>
      </c>
      <c r="AG62" s="316">
        <f>CS_PID!AG62/VLOOKUP($B62,LEBT[#ALL],4)/VLOOKUP($B62,표2[#ALL],2)</f>
        <v>0</v>
      </c>
      <c r="AH62" s="316">
        <f>CS_PID!AH62/VLOOKUP($B62,LEBT[#ALL],4)/VLOOKUP($B62,표2[#ALL],2)</f>
        <v>163.0281912</v>
      </c>
      <c r="AI62" s="316">
        <f>CS_PID!AI62/VLOOKUP($B62,LEBT[#ALL],4)/VLOOKUP($B62,표2[#ALL],2)</f>
        <v>2054.15521</v>
      </c>
      <c r="AJ62" s="316">
        <f>CS_PID!AJ62/VLOOKUP($B62,LEBT[#ALL],4)/VLOOKUP($B62,표2[#ALL],2)</f>
        <v>717.3240415</v>
      </c>
      <c r="AK62" s="316">
        <f>CS_PID!AK62/VLOOKUP($B62,LEBT[#ALL],4)/VLOOKUP($B62,표2[#ALL],2)</f>
        <v>32.60563825</v>
      </c>
      <c r="AL62" s="316">
        <f>CS_PID!AL62/VLOOKUP($B62,LEBT[#ALL],4)/VLOOKUP($B62,표2[#ALL],2)</f>
        <v>0</v>
      </c>
      <c r="AM62" s="316">
        <f>CS_PID!AM62/VLOOKUP($B62,LEBT[#ALL],4)/VLOOKUP($B62,표2[#ALL],2)</f>
        <v>130.422553</v>
      </c>
      <c r="AN62" s="316">
        <f>CS_PID!AN62/VLOOKUP($B62,LEBT[#ALL],4)/VLOOKUP($B62,표2[#ALL],2)</f>
        <v>978.1691475</v>
      </c>
      <c r="AO62" s="316">
        <f>CS_PID!AO62/VLOOKUP($B62,LEBT[#ALL],4)/VLOOKUP($B62,표2[#ALL],2)</f>
        <v>130.422553</v>
      </c>
      <c r="AP62" s="316">
        <f>CS_PID!AP62/VLOOKUP($B62,LEBT[#ALL],4)/VLOOKUP($B62,표2[#ALL],2)</f>
        <v>0</v>
      </c>
      <c r="AQ62" s="316">
        <f>CS_PID!AQ62/VLOOKUP($B62,LEBT[#ALL],4)/VLOOKUP($B62,표2[#ALL],2)</f>
        <v>0</v>
      </c>
      <c r="AR62" s="316">
        <f>CS_PID!AR62/VLOOKUP($B62,LEBT[#ALL],4)/VLOOKUP($B62,표2[#ALL],2)</f>
        <v>97.81691475</v>
      </c>
      <c r="AS62" s="316">
        <f>CS_PID!AS62/VLOOKUP($B62,LEBT[#ALL],4)/VLOOKUP($B62,표2[#ALL],2)</f>
        <v>0</v>
      </c>
    </row>
    <row r="63">
      <c r="A63" s="165" t="s">
        <v>82</v>
      </c>
      <c r="B63" s="166">
        <v>330.0</v>
      </c>
      <c r="C63" s="316">
        <f>CS_PID!C63/VLOOKUP($B63,LEBT[#ALL],4)/VLOOKUP($B63,표2[#ALL],2)</f>
        <v>0</v>
      </c>
      <c r="D63" s="316">
        <f>CS_PID!D63/VLOOKUP($B63,LEBT[#ALL],4)/VLOOKUP($B63,표2[#ALL],2)</f>
        <v>82.84115458</v>
      </c>
      <c r="E63" s="316">
        <f>CS_PID!E63/VLOOKUP($B63,LEBT[#ALL],4)/VLOOKUP($B63,표2[#ALL],2)</f>
        <v>414.2057729</v>
      </c>
      <c r="F63" s="316">
        <f>CS_PID!F63/VLOOKUP($B63,LEBT[#ALL],4)/VLOOKUP($B63,표2[#ALL],2)</f>
        <v>1159.776164</v>
      </c>
      <c r="G63" s="316">
        <f>CS_PID!G63/VLOOKUP($B63,LEBT[#ALL],4)/VLOOKUP($B63,표2[#ALL],2)</f>
        <v>82.84115458</v>
      </c>
      <c r="H63" s="316">
        <f>CS_PID!H63/VLOOKUP($B63,LEBT[#ALL],4)/VLOOKUP($B63,표2[#ALL],2)</f>
        <v>0</v>
      </c>
      <c r="I63" s="316">
        <f>CS_PID!I63/VLOOKUP($B63,LEBT[#ALL],4)/VLOOKUP($B63,표2[#ALL],2)</f>
        <v>165.6823092</v>
      </c>
      <c r="J63" s="316">
        <f>CS_PID!J63/VLOOKUP($B63,LEBT[#ALL],4)/VLOOKUP($B63,표2[#ALL],2)</f>
        <v>3562.169647</v>
      </c>
      <c r="K63" s="316">
        <f>CS_PID!K63/VLOOKUP($B63,LEBT[#ALL],4)/VLOOKUP($B63,표2[#ALL],2)</f>
        <v>3065.12272</v>
      </c>
      <c r="L63" s="316">
        <f>CS_PID!L63/VLOOKUP($B63,LEBT[#ALL],4)/VLOOKUP($B63,표2[#ALL],2)</f>
        <v>497.0469275</v>
      </c>
      <c r="M63" s="316">
        <f>CS_PID!M63/VLOOKUP($B63,LEBT[#ALL],4)/VLOOKUP($B63,표2[#ALL],2)</f>
        <v>0</v>
      </c>
      <c r="N63" s="316">
        <f>CS_PID!N63/VLOOKUP($B63,LEBT[#ALL],4)/VLOOKUP($B63,표2[#ALL],2)</f>
        <v>0</v>
      </c>
      <c r="O63" s="316">
        <f>CS_PID!O63/VLOOKUP($B63,LEBT[#ALL],4)/VLOOKUP($B63,표2[#ALL],2)</f>
        <v>82.84115458</v>
      </c>
      <c r="P63" s="316">
        <f>CS_PID!P63/VLOOKUP($B63,LEBT[#ALL],4)/VLOOKUP($B63,표2[#ALL],2)</f>
        <v>1242.617319</v>
      </c>
      <c r="Q63" s="316">
        <f>CS_PID!Q63/VLOOKUP($B63,LEBT[#ALL],4)/VLOOKUP($B63,표2[#ALL],2)</f>
        <v>6295.927748</v>
      </c>
      <c r="R63" s="316">
        <f>CS_PID!R63/VLOOKUP($B63,LEBT[#ALL],4)/VLOOKUP($B63,표2[#ALL],2)</f>
        <v>1822.505401</v>
      </c>
      <c r="S63" s="316">
        <f>CS_PID!S63/VLOOKUP($B63,LEBT[#ALL],4)/VLOOKUP($B63,표2[#ALL],2)</f>
        <v>0</v>
      </c>
      <c r="T63" s="316">
        <f>CS_PID!T63/VLOOKUP($B63,LEBT[#ALL],4)/VLOOKUP($B63,표2[#ALL],2)</f>
        <v>0</v>
      </c>
      <c r="U63" s="316">
        <f>CS_PID!U63/VLOOKUP($B63,LEBT[#ALL],4)/VLOOKUP($B63,표2[#ALL],2)</f>
        <v>0</v>
      </c>
      <c r="V63" s="316">
        <f>CS_PID!V63/VLOOKUP($B63,LEBT[#ALL],4)/VLOOKUP($B63,표2[#ALL],2)</f>
        <v>414.2057729</v>
      </c>
      <c r="W63" s="316">
        <f>CS_PID!W63/VLOOKUP($B63,LEBT[#ALL],4)/VLOOKUP($B63,표2[#ALL],2)</f>
        <v>4142.057729</v>
      </c>
      <c r="X63" s="316">
        <f>CS_PID!X63/VLOOKUP($B63,LEBT[#ALL],4)/VLOOKUP($B63,표2[#ALL],2)</f>
        <v>2402.393483</v>
      </c>
      <c r="Y63" s="316">
        <f>CS_PID!Y63/VLOOKUP($B63,LEBT[#ALL],4)/VLOOKUP($B63,표2[#ALL],2)</f>
        <v>0</v>
      </c>
      <c r="Z63" s="316">
        <f>CS_PID!Z63/VLOOKUP($B63,LEBT[#ALL],4)/VLOOKUP($B63,표2[#ALL],2)</f>
        <v>0</v>
      </c>
      <c r="AA63" s="316">
        <f>CS_PID!AA63/VLOOKUP($B63,LEBT[#ALL],4)/VLOOKUP($B63,표2[#ALL],2)</f>
        <v>0</v>
      </c>
      <c r="AB63" s="316">
        <f>CS_PID!AB63/VLOOKUP($B63,LEBT[#ALL],4)/VLOOKUP($B63,표2[#ALL],2)</f>
        <v>248.5234637</v>
      </c>
      <c r="AC63" s="316">
        <f>CS_PID!AC63/VLOOKUP($B63,LEBT[#ALL],4)/VLOOKUP($B63,표2[#ALL],2)</f>
        <v>5053.310429</v>
      </c>
      <c r="AD63" s="316">
        <f>CS_PID!AD63/VLOOKUP($B63,LEBT[#ALL],4)/VLOOKUP($B63,표2[#ALL],2)</f>
        <v>1159.776164</v>
      </c>
      <c r="AE63" s="316">
        <f>CS_PID!AE63/VLOOKUP($B63,LEBT[#ALL],4)/VLOOKUP($B63,표2[#ALL],2)</f>
        <v>82.84115458</v>
      </c>
      <c r="AF63" s="316">
        <f>CS_PID!AF63/VLOOKUP($B63,LEBT[#ALL],4)/VLOOKUP($B63,표2[#ALL],2)</f>
        <v>0</v>
      </c>
      <c r="AG63" s="316">
        <f>CS_PID!AG63/VLOOKUP($B63,LEBT[#ALL],4)/VLOOKUP($B63,표2[#ALL],2)</f>
        <v>0</v>
      </c>
      <c r="AH63" s="316">
        <f>CS_PID!AH63/VLOOKUP($B63,LEBT[#ALL],4)/VLOOKUP($B63,표2[#ALL],2)</f>
        <v>248.5234637</v>
      </c>
      <c r="AI63" s="316">
        <f>CS_PID!AI63/VLOOKUP($B63,LEBT[#ALL],4)/VLOOKUP($B63,표2[#ALL],2)</f>
        <v>994.093855</v>
      </c>
      <c r="AJ63" s="316">
        <f>CS_PID!AJ63/VLOOKUP($B63,LEBT[#ALL],4)/VLOOKUP($B63,표2[#ALL],2)</f>
        <v>745.5703912</v>
      </c>
      <c r="AK63" s="316">
        <f>CS_PID!AK63/VLOOKUP($B63,LEBT[#ALL],4)/VLOOKUP($B63,표2[#ALL],2)</f>
        <v>0</v>
      </c>
      <c r="AL63" s="316">
        <f>CS_PID!AL63/VLOOKUP($B63,LEBT[#ALL],4)/VLOOKUP($B63,표2[#ALL],2)</f>
        <v>0</v>
      </c>
      <c r="AM63" s="316">
        <f>CS_PID!AM63/VLOOKUP($B63,LEBT[#ALL],4)/VLOOKUP($B63,표2[#ALL],2)</f>
        <v>0</v>
      </c>
      <c r="AN63" s="316">
        <f>CS_PID!AN63/VLOOKUP($B63,LEBT[#ALL],4)/VLOOKUP($B63,표2[#ALL],2)</f>
        <v>911.2527004</v>
      </c>
      <c r="AO63" s="316">
        <f>CS_PID!AO63/VLOOKUP($B63,LEBT[#ALL],4)/VLOOKUP($B63,표2[#ALL],2)</f>
        <v>0</v>
      </c>
      <c r="AP63" s="316">
        <f>CS_PID!AP63/VLOOKUP($B63,LEBT[#ALL],4)/VLOOKUP($B63,표2[#ALL],2)</f>
        <v>0</v>
      </c>
      <c r="AQ63" s="316">
        <f>CS_PID!AQ63/VLOOKUP($B63,LEBT[#ALL],4)/VLOOKUP($B63,표2[#ALL],2)</f>
        <v>0</v>
      </c>
      <c r="AR63" s="316">
        <f>CS_PID!AR63/VLOOKUP($B63,LEBT[#ALL],4)/VLOOKUP($B63,표2[#ALL],2)</f>
        <v>0</v>
      </c>
      <c r="AS63" s="316">
        <f>CS_PID!AS63/VLOOKUP($B63,LEBT[#ALL],4)/VLOOKUP($B63,표2[#ALL],2)</f>
        <v>0</v>
      </c>
    </row>
    <row r="64">
      <c r="A64" s="165" t="s">
        <v>82</v>
      </c>
      <c r="B64" s="166">
        <v>331.0</v>
      </c>
      <c r="C64" s="316">
        <f>CS_PID!C64/VLOOKUP($B64,LEBT[#ALL],4)/VLOOKUP($B64,표2[#ALL],2)</f>
        <v>25.45901504</v>
      </c>
      <c r="D64" s="316">
        <f>CS_PID!D64/VLOOKUP($B64,LEBT[#ALL],4)/VLOOKUP($B64,표2[#ALL],2)</f>
        <v>152.7540902</v>
      </c>
      <c r="E64" s="316">
        <f>CS_PID!E64/VLOOKUP($B64,LEBT[#ALL],4)/VLOOKUP($B64,표2[#ALL],2)</f>
        <v>865.6065112</v>
      </c>
      <c r="F64" s="316">
        <f>CS_PID!F64/VLOOKUP($B64,LEBT[#ALL],4)/VLOOKUP($B64,표2[#ALL],2)</f>
        <v>2316.770368</v>
      </c>
      <c r="G64" s="316">
        <f>CS_PID!G64/VLOOKUP($B64,LEBT[#ALL],4)/VLOOKUP($B64,표2[#ALL],2)</f>
        <v>101.8360601</v>
      </c>
      <c r="H64" s="316">
        <f>CS_PID!H64/VLOOKUP($B64,LEBT[#ALL],4)/VLOOKUP($B64,표2[#ALL],2)</f>
        <v>25.45901504</v>
      </c>
      <c r="I64" s="316">
        <f>CS_PID!I64/VLOOKUP($B64,LEBT[#ALL],4)/VLOOKUP($B64,표2[#ALL],2)</f>
        <v>76.37704511</v>
      </c>
      <c r="J64" s="316">
        <f>CS_PID!J64/VLOOKUP($B64,LEBT[#ALL],4)/VLOOKUP($B64,표2[#ALL],2)</f>
        <v>4098.901421</v>
      </c>
      <c r="K64" s="316">
        <f>CS_PID!K64/VLOOKUP($B64,LEBT[#ALL],4)/VLOOKUP($B64,표2[#ALL],2)</f>
        <v>5168.180052</v>
      </c>
      <c r="L64" s="316">
        <f>CS_PID!L64/VLOOKUP($B64,LEBT[#ALL],4)/VLOOKUP($B64,표2[#ALL],2)</f>
        <v>1451.163857</v>
      </c>
      <c r="M64" s="316">
        <f>CS_PID!M64/VLOOKUP($B64,LEBT[#ALL],4)/VLOOKUP($B64,표2[#ALL],2)</f>
        <v>0</v>
      </c>
      <c r="N64" s="316">
        <f>CS_PID!N64/VLOOKUP($B64,LEBT[#ALL],4)/VLOOKUP($B64,표2[#ALL],2)</f>
        <v>0</v>
      </c>
      <c r="O64" s="316">
        <f>CS_PID!O64/VLOOKUP($B64,LEBT[#ALL],4)/VLOOKUP($B64,표2[#ALL],2)</f>
        <v>76.37704511</v>
      </c>
      <c r="P64" s="316">
        <f>CS_PID!P64/VLOOKUP($B64,LEBT[#ALL],4)/VLOOKUP($B64,표2[#ALL],2)</f>
        <v>2494.983474</v>
      </c>
      <c r="Q64" s="316">
        <f>CS_PID!Q64/VLOOKUP($B64,LEBT[#ALL],4)/VLOOKUP($B64,표2[#ALL],2)</f>
        <v>11125.58957</v>
      </c>
      <c r="R64" s="316">
        <f>CS_PID!R64/VLOOKUP($B64,LEBT[#ALL],4)/VLOOKUP($B64,표2[#ALL],2)</f>
        <v>3029.622789</v>
      </c>
      <c r="S64" s="316">
        <f>CS_PID!S64/VLOOKUP($B64,LEBT[#ALL],4)/VLOOKUP($B64,표2[#ALL],2)</f>
        <v>50.91803007</v>
      </c>
      <c r="T64" s="316">
        <f>CS_PID!T64/VLOOKUP($B64,LEBT[#ALL],4)/VLOOKUP($B64,표2[#ALL],2)</f>
        <v>0</v>
      </c>
      <c r="U64" s="316">
        <f>CS_PID!U64/VLOOKUP($B64,LEBT[#ALL],4)/VLOOKUP($B64,표2[#ALL],2)</f>
        <v>0</v>
      </c>
      <c r="V64" s="316">
        <f>CS_PID!V64/VLOOKUP($B64,LEBT[#ALL],4)/VLOOKUP($B64,표2[#ALL],2)</f>
        <v>1552.999917</v>
      </c>
      <c r="W64" s="316">
        <f>CS_PID!W64/VLOOKUP($B64,LEBT[#ALL],4)/VLOOKUP($B64,표2[#ALL],2)</f>
        <v>9725.343744</v>
      </c>
      <c r="X64" s="316">
        <f>CS_PID!X64/VLOOKUP($B64,LEBT[#ALL],4)/VLOOKUP($B64,표2[#ALL],2)</f>
        <v>5753.737398</v>
      </c>
      <c r="Y64" s="316">
        <f>CS_PID!Y64/VLOOKUP($B64,LEBT[#ALL],4)/VLOOKUP($B64,표2[#ALL],2)</f>
        <v>203.6721203</v>
      </c>
      <c r="Z64" s="316">
        <f>CS_PID!Z64/VLOOKUP($B64,LEBT[#ALL],4)/VLOOKUP($B64,표2[#ALL],2)</f>
        <v>0</v>
      </c>
      <c r="AA64" s="316">
        <f>CS_PID!AA64/VLOOKUP($B64,LEBT[#ALL],4)/VLOOKUP($B64,표2[#ALL],2)</f>
        <v>0</v>
      </c>
      <c r="AB64" s="316">
        <f>CS_PID!AB64/VLOOKUP($B64,LEBT[#ALL],4)/VLOOKUP($B64,표2[#ALL],2)</f>
        <v>330.9671955</v>
      </c>
      <c r="AC64" s="316">
        <f>CS_PID!AC64/VLOOKUP($B64,LEBT[#ALL],4)/VLOOKUP($B64,표2[#ALL],2)</f>
        <v>7663.163526</v>
      </c>
      <c r="AD64" s="316">
        <f>CS_PID!AD64/VLOOKUP($B64,LEBT[#ALL],4)/VLOOKUP($B64,표2[#ALL],2)</f>
        <v>1451.163857</v>
      </c>
      <c r="AE64" s="316">
        <f>CS_PID!AE64/VLOOKUP($B64,LEBT[#ALL],4)/VLOOKUP($B64,표2[#ALL],2)</f>
        <v>76.37704511</v>
      </c>
      <c r="AF64" s="316">
        <f>CS_PID!AF64/VLOOKUP($B64,LEBT[#ALL],4)/VLOOKUP($B64,표2[#ALL],2)</f>
        <v>0</v>
      </c>
      <c r="AG64" s="316">
        <f>CS_PID!AG64/VLOOKUP($B64,LEBT[#ALL],4)/VLOOKUP($B64,표2[#ALL],2)</f>
        <v>0</v>
      </c>
      <c r="AH64" s="316">
        <f>CS_PID!AH64/VLOOKUP($B64,LEBT[#ALL],4)/VLOOKUP($B64,표2[#ALL],2)</f>
        <v>229.1311353</v>
      </c>
      <c r="AI64" s="316">
        <f>CS_PID!AI64/VLOOKUP($B64,LEBT[#ALL],4)/VLOOKUP($B64,표2[#ALL],2)</f>
        <v>3156.917864</v>
      </c>
      <c r="AJ64" s="316">
        <f>CS_PID!AJ64/VLOOKUP($B64,LEBT[#ALL],4)/VLOOKUP($B64,표2[#ALL],2)</f>
        <v>1425.704842</v>
      </c>
      <c r="AK64" s="316">
        <f>CS_PID!AK64/VLOOKUP($B64,LEBT[#ALL],4)/VLOOKUP($B64,표2[#ALL],2)</f>
        <v>0</v>
      </c>
      <c r="AL64" s="316">
        <f>CS_PID!AL64/VLOOKUP($B64,LEBT[#ALL],4)/VLOOKUP($B64,표2[#ALL],2)</f>
        <v>0</v>
      </c>
      <c r="AM64" s="316">
        <f>CS_PID!AM64/VLOOKUP($B64,LEBT[#ALL],4)/VLOOKUP($B64,표2[#ALL],2)</f>
        <v>127.2950752</v>
      </c>
      <c r="AN64" s="316">
        <f>CS_PID!AN64/VLOOKUP($B64,LEBT[#ALL],4)/VLOOKUP($B64,표2[#ALL],2)</f>
        <v>2545.901504</v>
      </c>
      <c r="AO64" s="316">
        <f>CS_PID!AO64/VLOOKUP($B64,LEBT[#ALL],4)/VLOOKUP($B64,표2[#ALL],2)</f>
        <v>305.5081804</v>
      </c>
      <c r="AP64" s="316">
        <f>CS_PID!AP64/VLOOKUP($B64,LEBT[#ALL],4)/VLOOKUP($B64,표2[#ALL],2)</f>
        <v>0</v>
      </c>
      <c r="AQ64" s="316">
        <f>CS_PID!AQ64/VLOOKUP($B64,LEBT[#ALL],4)/VLOOKUP($B64,표2[#ALL],2)</f>
        <v>50.91803007</v>
      </c>
      <c r="AR64" s="316">
        <f>CS_PID!AR64/VLOOKUP($B64,LEBT[#ALL],4)/VLOOKUP($B64,표2[#ALL],2)</f>
        <v>152.7540902</v>
      </c>
      <c r="AS64" s="316">
        <f>CS_PID!AS64/VLOOKUP($B64,LEBT[#ALL],4)/VLOOKUP($B64,표2[#ALL],2)</f>
        <v>25.45901504</v>
      </c>
    </row>
    <row r="65">
      <c r="A65" s="165" t="s">
        <v>82</v>
      </c>
      <c r="B65" s="166">
        <v>332.0</v>
      </c>
      <c r="C65" s="316">
        <f>CS_PID!C65/VLOOKUP($B65,LEBT[#ALL],4)/VLOOKUP($B65,표2[#ALL],2)</f>
        <v>0</v>
      </c>
      <c r="D65" s="316">
        <f>CS_PID!D65/VLOOKUP($B65,LEBT[#ALL],4)/VLOOKUP($B65,표2[#ALL],2)</f>
        <v>0</v>
      </c>
      <c r="E65" s="316">
        <f>CS_PID!E65/VLOOKUP($B65,LEBT[#ALL],4)/VLOOKUP($B65,표2[#ALL],2)</f>
        <v>25.51663856</v>
      </c>
      <c r="F65" s="316">
        <f>CS_PID!F65/VLOOKUP($B65,LEBT[#ALL],4)/VLOOKUP($B65,표2[#ALL],2)</f>
        <v>306.1996628</v>
      </c>
      <c r="G65" s="316">
        <f>CS_PID!G65/VLOOKUP($B65,LEBT[#ALL],4)/VLOOKUP($B65,표2[#ALL],2)</f>
        <v>0</v>
      </c>
      <c r="H65" s="316">
        <f>CS_PID!H65/VLOOKUP($B65,LEBT[#ALL],4)/VLOOKUP($B65,표2[#ALL],2)</f>
        <v>25.51663856</v>
      </c>
      <c r="I65" s="316">
        <f>CS_PID!I65/VLOOKUP($B65,LEBT[#ALL],4)/VLOOKUP($B65,표2[#ALL],2)</f>
        <v>0</v>
      </c>
      <c r="J65" s="316">
        <f>CS_PID!J65/VLOOKUP($B65,LEBT[#ALL],4)/VLOOKUP($B65,표2[#ALL],2)</f>
        <v>153.0998314</v>
      </c>
      <c r="K65" s="316">
        <f>CS_PID!K65/VLOOKUP($B65,LEBT[#ALL],4)/VLOOKUP($B65,표2[#ALL],2)</f>
        <v>204.1331085</v>
      </c>
      <c r="L65" s="316">
        <f>CS_PID!L65/VLOOKUP($B65,LEBT[#ALL],4)/VLOOKUP($B65,표2[#ALL],2)</f>
        <v>102.0665543</v>
      </c>
      <c r="M65" s="316">
        <f>CS_PID!M65/VLOOKUP($B65,LEBT[#ALL],4)/VLOOKUP($B65,표2[#ALL],2)</f>
        <v>0</v>
      </c>
      <c r="N65" s="316">
        <f>CS_PID!N65/VLOOKUP($B65,LEBT[#ALL],4)/VLOOKUP($B65,표2[#ALL],2)</f>
        <v>0</v>
      </c>
      <c r="O65" s="316">
        <f>CS_PID!O65/VLOOKUP($B65,LEBT[#ALL],4)/VLOOKUP($B65,표2[#ALL],2)</f>
        <v>0</v>
      </c>
      <c r="P65" s="316">
        <f>CS_PID!P65/VLOOKUP($B65,LEBT[#ALL],4)/VLOOKUP($B65,표2[#ALL],2)</f>
        <v>229.6497471</v>
      </c>
      <c r="Q65" s="316">
        <f>CS_PID!Q65/VLOOKUP($B65,LEBT[#ALL],4)/VLOOKUP($B65,표2[#ALL],2)</f>
        <v>816.5324341</v>
      </c>
      <c r="R65" s="316">
        <f>CS_PID!R65/VLOOKUP($B65,LEBT[#ALL],4)/VLOOKUP($B65,표2[#ALL],2)</f>
        <v>229.6497471</v>
      </c>
      <c r="S65" s="316">
        <f>CS_PID!S65/VLOOKUP($B65,LEBT[#ALL],4)/VLOOKUP($B65,표2[#ALL],2)</f>
        <v>0</v>
      </c>
      <c r="T65" s="316">
        <f>CS_PID!T65/VLOOKUP($B65,LEBT[#ALL],4)/VLOOKUP($B65,표2[#ALL],2)</f>
        <v>0</v>
      </c>
      <c r="U65" s="316">
        <f>CS_PID!U65/VLOOKUP($B65,LEBT[#ALL],4)/VLOOKUP($B65,표2[#ALL],2)</f>
        <v>0</v>
      </c>
      <c r="V65" s="316">
        <f>CS_PID!V65/VLOOKUP($B65,LEBT[#ALL],4)/VLOOKUP($B65,표2[#ALL],2)</f>
        <v>51.03327713</v>
      </c>
      <c r="W65" s="316">
        <f>CS_PID!W65/VLOOKUP($B65,LEBT[#ALL],4)/VLOOKUP($B65,표2[#ALL],2)</f>
        <v>1020.665543</v>
      </c>
      <c r="X65" s="316">
        <f>CS_PID!X65/VLOOKUP($B65,LEBT[#ALL],4)/VLOOKUP($B65,표2[#ALL],2)</f>
        <v>331.7163013</v>
      </c>
      <c r="Y65" s="316">
        <f>CS_PID!Y65/VLOOKUP($B65,LEBT[#ALL],4)/VLOOKUP($B65,표2[#ALL],2)</f>
        <v>25.51663856</v>
      </c>
      <c r="Z65" s="316">
        <f>CS_PID!Z65/VLOOKUP($B65,LEBT[#ALL],4)/VLOOKUP($B65,표2[#ALL],2)</f>
        <v>0</v>
      </c>
      <c r="AA65" s="316">
        <f>CS_PID!AA65/VLOOKUP($B65,LEBT[#ALL],4)/VLOOKUP($B65,표2[#ALL],2)</f>
        <v>0</v>
      </c>
      <c r="AB65" s="316">
        <f>CS_PID!AB65/VLOOKUP($B65,LEBT[#ALL],4)/VLOOKUP($B65,표2[#ALL],2)</f>
        <v>0</v>
      </c>
      <c r="AC65" s="316">
        <f>CS_PID!AC65/VLOOKUP($B65,LEBT[#ALL],4)/VLOOKUP($B65,표2[#ALL],2)</f>
        <v>535.8494099</v>
      </c>
      <c r="AD65" s="316">
        <f>CS_PID!AD65/VLOOKUP($B65,LEBT[#ALL],4)/VLOOKUP($B65,표2[#ALL],2)</f>
        <v>178.61647</v>
      </c>
      <c r="AE65" s="316">
        <f>CS_PID!AE65/VLOOKUP($B65,LEBT[#ALL],4)/VLOOKUP($B65,표2[#ALL],2)</f>
        <v>0</v>
      </c>
      <c r="AF65" s="316">
        <f>CS_PID!AF65/VLOOKUP($B65,LEBT[#ALL],4)/VLOOKUP($B65,표2[#ALL],2)</f>
        <v>0</v>
      </c>
      <c r="AG65" s="316">
        <f>CS_PID!AG65/VLOOKUP($B65,LEBT[#ALL],4)/VLOOKUP($B65,표2[#ALL],2)</f>
        <v>0</v>
      </c>
      <c r="AH65" s="316">
        <f>CS_PID!AH65/VLOOKUP($B65,LEBT[#ALL],4)/VLOOKUP($B65,표2[#ALL],2)</f>
        <v>25.51663856</v>
      </c>
      <c r="AI65" s="316">
        <f>CS_PID!AI65/VLOOKUP($B65,LEBT[#ALL],4)/VLOOKUP($B65,표2[#ALL],2)</f>
        <v>255.1663856</v>
      </c>
      <c r="AJ65" s="316">
        <f>CS_PID!AJ65/VLOOKUP($B65,LEBT[#ALL],4)/VLOOKUP($B65,표2[#ALL],2)</f>
        <v>127.5831928</v>
      </c>
      <c r="AK65" s="316">
        <f>CS_PID!AK65/VLOOKUP($B65,LEBT[#ALL],4)/VLOOKUP($B65,표2[#ALL],2)</f>
        <v>0</v>
      </c>
      <c r="AL65" s="316">
        <f>CS_PID!AL65/VLOOKUP($B65,LEBT[#ALL],4)/VLOOKUP($B65,표2[#ALL],2)</f>
        <v>0</v>
      </c>
      <c r="AM65" s="316">
        <f>CS_PID!AM65/VLOOKUP($B65,LEBT[#ALL],4)/VLOOKUP($B65,표2[#ALL],2)</f>
        <v>25.51663856</v>
      </c>
      <c r="AN65" s="316">
        <f>CS_PID!AN65/VLOOKUP($B65,LEBT[#ALL],4)/VLOOKUP($B65,표2[#ALL],2)</f>
        <v>255.1663856</v>
      </c>
      <c r="AO65" s="316">
        <f>CS_PID!AO65/VLOOKUP($B65,LEBT[#ALL],4)/VLOOKUP($B65,표2[#ALL],2)</f>
        <v>0</v>
      </c>
      <c r="AP65" s="316">
        <f>CS_PID!AP65/VLOOKUP($B65,LEBT[#ALL],4)/VLOOKUP($B65,표2[#ALL],2)</f>
        <v>0</v>
      </c>
      <c r="AQ65" s="316">
        <f>CS_PID!AQ65/VLOOKUP($B65,LEBT[#ALL],4)/VLOOKUP($B65,표2[#ALL],2)</f>
        <v>0</v>
      </c>
      <c r="AR65" s="316">
        <f>CS_PID!AR65/VLOOKUP($B65,LEBT[#ALL],4)/VLOOKUP($B65,표2[#ALL],2)</f>
        <v>25.51663856</v>
      </c>
      <c r="AS65" s="316">
        <f>CS_PID!AS65/VLOOKUP($B65,LEBT[#ALL],4)/VLOOKUP($B65,표2[#ALL],2)</f>
        <v>0</v>
      </c>
    </row>
    <row r="66">
      <c r="A66" s="165" t="s">
        <v>82</v>
      </c>
      <c r="B66" s="166">
        <v>333.0</v>
      </c>
      <c r="C66" s="316">
        <f>CS_PID!C66/VLOOKUP($B66,LEBT[#ALL],4)/VLOOKUP($B66,표2[#ALL],2)</f>
        <v>0</v>
      </c>
      <c r="D66" s="316">
        <f>CS_PID!D66/VLOOKUP($B66,LEBT[#ALL],4)/VLOOKUP($B66,표2[#ALL],2)</f>
        <v>130.196736</v>
      </c>
      <c r="E66" s="316">
        <f>CS_PID!E66/VLOOKUP($B66,LEBT[#ALL],4)/VLOOKUP($B66,표2[#ALL],2)</f>
        <v>364.5508609</v>
      </c>
      <c r="F66" s="316">
        <f>CS_PID!F66/VLOOKUP($B66,LEBT[#ALL],4)/VLOOKUP($B66,표2[#ALL],2)</f>
        <v>364.5508609</v>
      </c>
      <c r="G66" s="316">
        <f>CS_PID!G66/VLOOKUP($B66,LEBT[#ALL],4)/VLOOKUP($B66,표2[#ALL],2)</f>
        <v>52.07869442</v>
      </c>
      <c r="H66" s="316">
        <f>CS_PID!H66/VLOOKUP($B66,LEBT[#ALL],4)/VLOOKUP($B66,표2[#ALL],2)</f>
        <v>0</v>
      </c>
      <c r="I66" s="316">
        <f>CS_PID!I66/VLOOKUP($B66,LEBT[#ALL],4)/VLOOKUP($B66,표2[#ALL],2)</f>
        <v>0</v>
      </c>
      <c r="J66" s="316">
        <f>CS_PID!J66/VLOOKUP($B66,LEBT[#ALL],4)/VLOOKUP($B66,표2[#ALL],2)</f>
        <v>1406.124749</v>
      </c>
      <c r="K66" s="316">
        <f>CS_PID!K66/VLOOKUP($B66,LEBT[#ALL],4)/VLOOKUP($B66,표2[#ALL],2)</f>
        <v>1354.046055</v>
      </c>
      <c r="L66" s="316">
        <f>CS_PID!L66/VLOOKUP($B66,LEBT[#ALL],4)/VLOOKUP($B66,표2[#ALL],2)</f>
        <v>598.9049858</v>
      </c>
      <c r="M66" s="316">
        <f>CS_PID!M66/VLOOKUP($B66,LEBT[#ALL],4)/VLOOKUP($B66,표2[#ALL],2)</f>
        <v>0</v>
      </c>
      <c r="N66" s="316">
        <f>CS_PID!N66/VLOOKUP($B66,LEBT[#ALL],4)/VLOOKUP($B66,표2[#ALL],2)</f>
        <v>0</v>
      </c>
      <c r="O66" s="316">
        <f>CS_PID!O66/VLOOKUP($B66,LEBT[#ALL],4)/VLOOKUP($B66,표2[#ALL],2)</f>
        <v>26.03934721</v>
      </c>
      <c r="P66" s="316">
        <f>CS_PID!P66/VLOOKUP($B66,LEBT[#ALL],4)/VLOOKUP($B66,표2[#ALL],2)</f>
        <v>624.944333</v>
      </c>
      <c r="Q66" s="316">
        <f>CS_PID!Q66/VLOOKUP($B66,LEBT[#ALL],4)/VLOOKUP($B66,표2[#ALL],2)</f>
        <v>3176.800359</v>
      </c>
      <c r="R66" s="316">
        <f>CS_PID!R66/VLOOKUP($B66,LEBT[#ALL],4)/VLOOKUP($B66,표2[#ALL],2)</f>
        <v>859.2984579</v>
      </c>
      <c r="S66" s="316">
        <f>CS_PID!S66/VLOOKUP($B66,LEBT[#ALL],4)/VLOOKUP($B66,표2[#ALL],2)</f>
        <v>26.03934721</v>
      </c>
      <c r="T66" s="316">
        <f>CS_PID!T66/VLOOKUP($B66,LEBT[#ALL],4)/VLOOKUP($B66,표2[#ALL],2)</f>
        <v>0</v>
      </c>
      <c r="U66" s="316">
        <f>CS_PID!U66/VLOOKUP($B66,LEBT[#ALL],4)/VLOOKUP($B66,표2[#ALL],2)</f>
        <v>0</v>
      </c>
      <c r="V66" s="316">
        <f>CS_PID!V66/VLOOKUP($B66,LEBT[#ALL],4)/VLOOKUP($B66,표2[#ALL],2)</f>
        <v>312.4721665</v>
      </c>
      <c r="W66" s="316">
        <f>CS_PID!W66/VLOOKUP($B66,LEBT[#ALL],4)/VLOOKUP($B66,표2[#ALL],2)</f>
        <v>3385.115137</v>
      </c>
      <c r="X66" s="316">
        <f>CS_PID!X66/VLOOKUP($B66,LEBT[#ALL],4)/VLOOKUP($B66,표2[#ALL],2)</f>
        <v>1640.478874</v>
      </c>
      <c r="Y66" s="316">
        <f>CS_PID!Y66/VLOOKUP($B66,LEBT[#ALL],4)/VLOOKUP($B66,표2[#ALL],2)</f>
        <v>26.03934721</v>
      </c>
      <c r="Z66" s="316">
        <f>CS_PID!Z66/VLOOKUP($B66,LEBT[#ALL],4)/VLOOKUP($B66,표2[#ALL],2)</f>
        <v>0</v>
      </c>
      <c r="AA66" s="316">
        <f>CS_PID!AA66/VLOOKUP($B66,LEBT[#ALL],4)/VLOOKUP($B66,표2[#ALL],2)</f>
        <v>0</v>
      </c>
      <c r="AB66" s="316">
        <f>CS_PID!AB66/VLOOKUP($B66,LEBT[#ALL],4)/VLOOKUP($B66,표2[#ALL],2)</f>
        <v>130.196736</v>
      </c>
      <c r="AC66" s="316">
        <f>CS_PID!AC66/VLOOKUP($B66,LEBT[#ALL],4)/VLOOKUP($B66,표2[#ALL],2)</f>
        <v>2551.856026</v>
      </c>
      <c r="AD66" s="316">
        <f>CS_PID!AD66/VLOOKUP($B66,LEBT[#ALL],4)/VLOOKUP($B66,표2[#ALL],2)</f>
        <v>598.9049858</v>
      </c>
      <c r="AE66" s="316">
        <f>CS_PID!AE66/VLOOKUP($B66,LEBT[#ALL],4)/VLOOKUP($B66,표2[#ALL],2)</f>
        <v>26.03934721</v>
      </c>
      <c r="AF66" s="316">
        <f>CS_PID!AF66/VLOOKUP($B66,LEBT[#ALL],4)/VLOOKUP($B66,표2[#ALL],2)</f>
        <v>0</v>
      </c>
      <c r="AG66" s="316">
        <f>CS_PID!AG66/VLOOKUP($B66,LEBT[#ALL],4)/VLOOKUP($B66,표2[#ALL],2)</f>
        <v>0</v>
      </c>
      <c r="AH66" s="316">
        <f>CS_PID!AH66/VLOOKUP($B66,LEBT[#ALL],4)/VLOOKUP($B66,표2[#ALL],2)</f>
        <v>182.2754305</v>
      </c>
      <c r="AI66" s="316">
        <f>CS_PID!AI66/VLOOKUP($B66,LEBT[#ALL],4)/VLOOKUP($B66,표2[#ALL],2)</f>
        <v>989.4951939</v>
      </c>
      <c r="AJ66" s="316">
        <f>CS_PID!AJ66/VLOOKUP($B66,LEBT[#ALL],4)/VLOOKUP($B66,표2[#ALL],2)</f>
        <v>468.7082498</v>
      </c>
      <c r="AK66" s="316">
        <f>CS_PID!AK66/VLOOKUP($B66,LEBT[#ALL],4)/VLOOKUP($B66,표2[#ALL],2)</f>
        <v>0</v>
      </c>
      <c r="AL66" s="316">
        <f>CS_PID!AL66/VLOOKUP($B66,LEBT[#ALL],4)/VLOOKUP($B66,표2[#ALL],2)</f>
        <v>0</v>
      </c>
      <c r="AM66" s="316">
        <f>CS_PID!AM66/VLOOKUP($B66,LEBT[#ALL],4)/VLOOKUP($B66,표2[#ALL],2)</f>
        <v>26.03934721</v>
      </c>
      <c r="AN66" s="316">
        <f>CS_PID!AN66/VLOOKUP($B66,LEBT[#ALL],4)/VLOOKUP($B66,표2[#ALL],2)</f>
        <v>807.2197635</v>
      </c>
      <c r="AO66" s="316">
        <f>CS_PID!AO66/VLOOKUP($B66,LEBT[#ALL],4)/VLOOKUP($B66,표2[#ALL],2)</f>
        <v>0</v>
      </c>
      <c r="AP66" s="316">
        <f>CS_PID!AP66/VLOOKUP($B66,LEBT[#ALL],4)/VLOOKUP($B66,표2[#ALL],2)</f>
        <v>0</v>
      </c>
      <c r="AQ66" s="316">
        <f>CS_PID!AQ66/VLOOKUP($B66,LEBT[#ALL],4)/VLOOKUP($B66,표2[#ALL],2)</f>
        <v>26.03934721</v>
      </c>
      <c r="AR66" s="316">
        <f>CS_PID!AR66/VLOOKUP($B66,LEBT[#ALL],4)/VLOOKUP($B66,표2[#ALL],2)</f>
        <v>0</v>
      </c>
      <c r="AS66" s="316">
        <f>CS_PID!AS66/VLOOKUP($B66,LEBT[#ALL],4)/VLOOKUP($B66,표2[#ALL],2)</f>
        <v>0</v>
      </c>
    </row>
    <row r="67">
      <c r="A67" s="165" t="s">
        <v>82</v>
      </c>
      <c r="B67" s="166">
        <v>334.0</v>
      </c>
      <c r="C67" s="316">
        <f>CS_PID!C67/VLOOKUP($B67,LEBT[#ALL],4)/VLOOKUP($B67,표2[#ALL],2)</f>
        <v>0</v>
      </c>
      <c r="D67" s="316">
        <f>CS_PID!D67/VLOOKUP($B67,LEBT[#ALL],4)/VLOOKUP($B67,표2[#ALL],2)</f>
        <v>78.74255422</v>
      </c>
      <c r="E67" s="316">
        <f>CS_PID!E67/VLOOKUP($B67,LEBT[#ALL],4)/VLOOKUP($B67,표2[#ALL],2)</f>
        <v>472.4553253</v>
      </c>
      <c r="F67" s="316">
        <f>CS_PID!F67/VLOOKUP($B67,LEBT[#ALL],4)/VLOOKUP($B67,표2[#ALL],2)</f>
        <v>341.217735</v>
      </c>
      <c r="G67" s="316">
        <f>CS_PID!G67/VLOOKUP($B67,LEBT[#ALL],4)/VLOOKUP($B67,표2[#ALL],2)</f>
        <v>0</v>
      </c>
      <c r="H67" s="316">
        <f>CS_PID!H67/VLOOKUP($B67,LEBT[#ALL],4)/VLOOKUP($B67,표2[#ALL],2)</f>
        <v>0</v>
      </c>
      <c r="I67" s="316">
        <f>CS_PID!I67/VLOOKUP($B67,LEBT[#ALL],4)/VLOOKUP($B67,표2[#ALL],2)</f>
        <v>26.24751807</v>
      </c>
      <c r="J67" s="316">
        <f>CS_PID!J67/VLOOKUP($B67,LEBT[#ALL],4)/VLOOKUP($B67,표2[#ALL],2)</f>
        <v>1181.138313</v>
      </c>
      <c r="K67" s="316">
        <f>CS_PID!K67/VLOOKUP($B67,LEBT[#ALL],4)/VLOOKUP($B67,표2[#ALL],2)</f>
        <v>1102.395759</v>
      </c>
      <c r="L67" s="316">
        <f>CS_PID!L67/VLOOKUP($B67,LEBT[#ALL],4)/VLOOKUP($B67,표2[#ALL],2)</f>
        <v>472.4553253</v>
      </c>
      <c r="M67" s="316">
        <f>CS_PID!M67/VLOOKUP($B67,LEBT[#ALL],4)/VLOOKUP($B67,표2[#ALL],2)</f>
        <v>0</v>
      </c>
      <c r="N67" s="316">
        <f>CS_PID!N67/VLOOKUP($B67,LEBT[#ALL],4)/VLOOKUP($B67,표2[#ALL],2)</f>
        <v>0</v>
      </c>
      <c r="O67" s="316">
        <f>CS_PID!O67/VLOOKUP($B67,LEBT[#ALL],4)/VLOOKUP($B67,표2[#ALL],2)</f>
        <v>0</v>
      </c>
      <c r="P67" s="316">
        <f>CS_PID!P67/VLOOKUP($B67,LEBT[#ALL],4)/VLOOKUP($B67,표2[#ALL],2)</f>
        <v>761.1780242</v>
      </c>
      <c r="Q67" s="316">
        <f>CS_PID!Q67/VLOOKUP($B67,LEBT[#ALL],4)/VLOOKUP($B67,표2[#ALL],2)</f>
        <v>2677.246844</v>
      </c>
      <c r="R67" s="316">
        <f>CS_PID!R67/VLOOKUP($B67,LEBT[#ALL],4)/VLOOKUP($B67,표2[#ALL],2)</f>
        <v>551.1978796</v>
      </c>
      <c r="S67" s="316">
        <f>CS_PID!S67/VLOOKUP($B67,LEBT[#ALL],4)/VLOOKUP($B67,표2[#ALL],2)</f>
        <v>0</v>
      </c>
      <c r="T67" s="316">
        <f>CS_PID!T67/VLOOKUP($B67,LEBT[#ALL],4)/VLOOKUP($B67,표2[#ALL],2)</f>
        <v>0</v>
      </c>
      <c r="U67" s="316">
        <f>CS_PID!U67/VLOOKUP($B67,LEBT[#ALL],4)/VLOOKUP($B67,표2[#ALL],2)</f>
        <v>0</v>
      </c>
      <c r="V67" s="316">
        <f>CS_PID!V67/VLOOKUP($B67,LEBT[#ALL],4)/VLOOKUP($B67,표2[#ALL],2)</f>
        <v>314.9702169</v>
      </c>
      <c r="W67" s="316">
        <f>CS_PID!W67/VLOOKUP($B67,LEBT[#ALL],4)/VLOOKUP($B67,표2[#ALL],2)</f>
        <v>1863.573783</v>
      </c>
      <c r="X67" s="316">
        <f>CS_PID!X67/VLOOKUP($B67,LEBT[#ALL],4)/VLOOKUP($B67,표2[#ALL],2)</f>
        <v>1076.148241</v>
      </c>
      <c r="Y67" s="316">
        <f>CS_PID!Y67/VLOOKUP($B67,LEBT[#ALL],4)/VLOOKUP($B67,표2[#ALL],2)</f>
        <v>0</v>
      </c>
      <c r="Z67" s="316">
        <f>CS_PID!Z67/VLOOKUP($B67,LEBT[#ALL],4)/VLOOKUP($B67,표2[#ALL],2)</f>
        <v>0</v>
      </c>
      <c r="AA67" s="316">
        <f>CS_PID!AA67/VLOOKUP($B67,LEBT[#ALL],4)/VLOOKUP($B67,표2[#ALL],2)</f>
        <v>26.24751807</v>
      </c>
      <c r="AB67" s="316">
        <f>CS_PID!AB67/VLOOKUP($B67,LEBT[#ALL],4)/VLOOKUP($B67,표2[#ALL],2)</f>
        <v>78.74255422</v>
      </c>
      <c r="AC67" s="316">
        <f>CS_PID!AC67/VLOOKUP($B67,LEBT[#ALL],4)/VLOOKUP($B67,표2[#ALL],2)</f>
        <v>1837.326265</v>
      </c>
      <c r="AD67" s="316">
        <f>CS_PID!AD67/VLOOKUP($B67,LEBT[#ALL],4)/VLOOKUP($B67,표2[#ALL],2)</f>
        <v>498.7028434</v>
      </c>
      <c r="AE67" s="316">
        <f>CS_PID!AE67/VLOOKUP($B67,LEBT[#ALL],4)/VLOOKUP($B67,표2[#ALL],2)</f>
        <v>52.49503615</v>
      </c>
      <c r="AF67" s="316">
        <f>CS_PID!AF67/VLOOKUP($B67,LEBT[#ALL],4)/VLOOKUP($B67,표2[#ALL],2)</f>
        <v>0</v>
      </c>
      <c r="AG67" s="316">
        <f>CS_PID!AG67/VLOOKUP($B67,LEBT[#ALL],4)/VLOOKUP($B67,표2[#ALL],2)</f>
        <v>0</v>
      </c>
      <c r="AH67" s="316">
        <f>CS_PID!AH67/VLOOKUP($B67,LEBT[#ALL],4)/VLOOKUP($B67,표2[#ALL],2)</f>
        <v>131.2375904</v>
      </c>
      <c r="AI67" s="316">
        <f>CS_PID!AI67/VLOOKUP($B67,LEBT[#ALL],4)/VLOOKUP($B67,표2[#ALL],2)</f>
        <v>577.4453976</v>
      </c>
      <c r="AJ67" s="316">
        <f>CS_PID!AJ67/VLOOKUP($B67,LEBT[#ALL],4)/VLOOKUP($B67,표2[#ALL],2)</f>
        <v>314.9702169</v>
      </c>
      <c r="AK67" s="316">
        <f>CS_PID!AK67/VLOOKUP($B67,LEBT[#ALL],4)/VLOOKUP($B67,표2[#ALL],2)</f>
        <v>26.24751807</v>
      </c>
      <c r="AL67" s="316">
        <f>CS_PID!AL67/VLOOKUP($B67,LEBT[#ALL],4)/VLOOKUP($B67,표2[#ALL],2)</f>
        <v>0</v>
      </c>
      <c r="AM67" s="316">
        <f>CS_PID!AM67/VLOOKUP($B67,LEBT[#ALL],4)/VLOOKUP($B67,표2[#ALL],2)</f>
        <v>0</v>
      </c>
      <c r="AN67" s="316">
        <f>CS_PID!AN67/VLOOKUP($B67,LEBT[#ALL],4)/VLOOKUP($B67,표2[#ALL],2)</f>
        <v>524.9503615</v>
      </c>
      <c r="AO67" s="316">
        <f>CS_PID!AO67/VLOOKUP($B67,LEBT[#ALL],4)/VLOOKUP($B67,표2[#ALL],2)</f>
        <v>0</v>
      </c>
      <c r="AP67" s="316">
        <f>CS_PID!AP67/VLOOKUP($B67,LEBT[#ALL],4)/VLOOKUP($B67,표2[#ALL],2)</f>
        <v>0</v>
      </c>
      <c r="AQ67" s="316">
        <f>CS_PID!AQ67/VLOOKUP($B67,LEBT[#ALL],4)/VLOOKUP($B67,표2[#ALL],2)</f>
        <v>0</v>
      </c>
      <c r="AR67" s="316">
        <f>CS_PID!AR67/VLOOKUP($B67,LEBT[#ALL],4)/VLOOKUP($B67,표2[#ALL],2)</f>
        <v>26.24751807</v>
      </c>
      <c r="AS67" s="316">
        <f>CS_PID!AS67/VLOOKUP($B67,LEBT[#ALL],4)/VLOOKUP($B67,표2[#ALL],2)</f>
        <v>26.24751807</v>
      </c>
    </row>
    <row r="68">
      <c r="A68" s="165" t="s">
        <v>82</v>
      </c>
      <c r="B68" s="166">
        <v>335.0</v>
      </c>
      <c r="C68" s="316">
        <f>CS_PID!C68/VLOOKUP($B68,LEBT[#ALL],4)/VLOOKUP($B68,표2[#ALL],2)</f>
        <v>0</v>
      </c>
      <c r="D68" s="316">
        <f>CS_PID!D68/VLOOKUP($B68,LEBT[#ALL],4)/VLOOKUP($B68,표2[#ALL],2)</f>
        <v>104.7083862</v>
      </c>
      <c r="E68" s="316">
        <f>CS_PID!E68/VLOOKUP($B68,LEBT[#ALL],4)/VLOOKUP($B68,표2[#ALL],2)</f>
        <v>549.7190277</v>
      </c>
      <c r="F68" s="316">
        <f>CS_PID!F68/VLOOKUP($B68,LEBT[#ALL],4)/VLOOKUP($B68,표2[#ALL],2)</f>
        <v>654.4274139</v>
      </c>
      <c r="G68" s="316">
        <f>CS_PID!G68/VLOOKUP($B68,LEBT[#ALL],4)/VLOOKUP($B68,표2[#ALL],2)</f>
        <v>26.17709656</v>
      </c>
      <c r="H68" s="316">
        <f>CS_PID!H68/VLOOKUP($B68,LEBT[#ALL],4)/VLOOKUP($B68,표2[#ALL],2)</f>
        <v>26.17709656</v>
      </c>
      <c r="I68" s="316">
        <f>CS_PID!I68/VLOOKUP($B68,LEBT[#ALL],4)/VLOOKUP($B68,표2[#ALL],2)</f>
        <v>52.35419311</v>
      </c>
      <c r="J68" s="316">
        <f>CS_PID!J68/VLOOKUP($B68,LEBT[#ALL],4)/VLOOKUP($B68,표2[#ALL],2)</f>
        <v>1753.865469</v>
      </c>
      <c r="K68" s="316">
        <f>CS_PID!K68/VLOOKUP($B68,LEBT[#ALL],4)/VLOOKUP($B68,표2[#ALL],2)</f>
        <v>1387.386118</v>
      </c>
      <c r="L68" s="316">
        <f>CS_PID!L68/VLOOKUP($B68,LEBT[#ALL],4)/VLOOKUP($B68,표2[#ALL],2)</f>
        <v>471.187738</v>
      </c>
      <c r="M68" s="316">
        <f>CS_PID!M68/VLOOKUP($B68,LEBT[#ALL],4)/VLOOKUP($B68,표2[#ALL],2)</f>
        <v>26.17709656</v>
      </c>
      <c r="N68" s="316">
        <f>CS_PID!N68/VLOOKUP($B68,LEBT[#ALL],4)/VLOOKUP($B68,표2[#ALL],2)</f>
        <v>0</v>
      </c>
      <c r="O68" s="316">
        <f>CS_PID!O68/VLOOKUP($B68,LEBT[#ALL],4)/VLOOKUP($B68,표2[#ALL],2)</f>
        <v>0</v>
      </c>
      <c r="P68" s="316">
        <f>CS_PID!P68/VLOOKUP($B68,LEBT[#ALL],4)/VLOOKUP($B68,표2[#ALL],2)</f>
        <v>1204.146442</v>
      </c>
      <c r="Q68" s="316">
        <f>CS_PID!Q68/VLOOKUP($B68,LEBT[#ALL],4)/VLOOKUP($B68,표2[#ALL],2)</f>
        <v>3874.21029</v>
      </c>
      <c r="R68" s="316">
        <f>CS_PID!R68/VLOOKUP($B68,LEBT[#ALL],4)/VLOOKUP($B68,표2[#ALL],2)</f>
        <v>968.5525726</v>
      </c>
      <c r="S68" s="316">
        <f>CS_PID!S68/VLOOKUP($B68,LEBT[#ALL],4)/VLOOKUP($B68,표2[#ALL],2)</f>
        <v>26.17709656</v>
      </c>
      <c r="T68" s="316">
        <f>CS_PID!T68/VLOOKUP($B68,LEBT[#ALL],4)/VLOOKUP($B68,표2[#ALL],2)</f>
        <v>0</v>
      </c>
      <c r="U68" s="316">
        <f>CS_PID!U68/VLOOKUP($B68,LEBT[#ALL],4)/VLOOKUP($B68,표2[#ALL],2)</f>
        <v>26.17709656</v>
      </c>
      <c r="V68" s="316">
        <f>CS_PID!V68/VLOOKUP($B68,LEBT[#ALL],4)/VLOOKUP($B68,표2[#ALL],2)</f>
        <v>602.0732208</v>
      </c>
      <c r="W68" s="316">
        <f>CS_PID!W68/VLOOKUP($B68,LEBT[#ALL],4)/VLOOKUP($B68,표2[#ALL],2)</f>
        <v>3507.730939</v>
      </c>
      <c r="X68" s="316">
        <f>CS_PID!X68/VLOOKUP($B68,LEBT[#ALL],4)/VLOOKUP($B68,표2[#ALL],2)</f>
        <v>2067.990628</v>
      </c>
      <c r="Y68" s="316">
        <f>CS_PID!Y68/VLOOKUP($B68,LEBT[#ALL],4)/VLOOKUP($B68,표2[#ALL],2)</f>
        <v>52.35419311</v>
      </c>
      <c r="Z68" s="316">
        <f>CS_PID!Z68/VLOOKUP($B68,LEBT[#ALL],4)/VLOOKUP($B68,표2[#ALL],2)</f>
        <v>0</v>
      </c>
      <c r="AA68" s="316">
        <f>CS_PID!AA68/VLOOKUP($B68,LEBT[#ALL],4)/VLOOKUP($B68,표2[#ALL],2)</f>
        <v>0</v>
      </c>
      <c r="AB68" s="316">
        <f>CS_PID!AB68/VLOOKUP($B68,LEBT[#ALL],4)/VLOOKUP($B68,표2[#ALL],2)</f>
        <v>235.593869</v>
      </c>
      <c r="AC68" s="316">
        <f>CS_PID!AC68/VLOOKUP($B68,LEBT[#ALL],4)/VLOOKUP($B68,표2[#ALL],2)</f>
        <v>3507.730939</v>
      </c>
      <c r="AD68" s="316">
        <f>CS_PID!AD68/VLOOKUP($B68,LEBT[#ALL],4)/VLOOKUP($B68,표2[#ALL],2)</f>
        <v>654.4274139</v>
      </c>
      <c r="AE68" s="316">
        <f>CS_PID!AE68/VLOOKUP($B68,LEBT[#ALL],4)/VLOOKUP($B68,표2[#ALL],2)</f>
        <v>26.17709656</v>
      </c>
      <c r="AF68" s="316">
        <f>CS_PID!AF68/VLOOKUP($B68,LEBT[#ALL],4)/VLOOKUP($B68,표2[#ALL],2)</f>
        <v>0</v>
      </c>
      <c r="AG68" s="316">
        <f>CS_PID!AG68/VLOOKUP($B68,LEBT[#ALL],4)/VLOOKUP($B68,표2[#ALL],2)</f>
        <v>0</v>
      </c>
      <c r="AH68" s="316">
        <f>CS_PID!AH68/VLOOKUP($B68,LEBT[#ALL],4)/VLOOKUP($B68,표2[#ALL],2)</f>
        <v>157.0625793</v>
      </c>
      <c r="AI68" s="316">
        <f>CS_PID!AI68/VLOOKUP($B68,LEBT[#ALL],4)/VLOOKUP($B68,표2[#ALL],2)</f>
        <v>994.7296692</v>
      </c>
      <c r="AJ68" s="316">
        <f>CS_PID!AJ68/VLOOKUP($B68,LEBT[#ALL],4)/VLOOKUP($B68,표2[#ALL],2)</f>
        <v>706.781607</v>
      </c>
      <c r="AK68" s="316">
        <f>CS_PID!AK68/VLOOKUP($B68,LEBT[#ALL],4)/VLOOKUP($B68,표2[#ALL],2)</f>
        <v>0</v>
      </c>
      <c r="AL68" s="316">
        <f>CS_PID!AL68/VLOOKUP($B68,LEBT[#ALL],4)/VLOOKUP($B68,표2[#ALL],2)</f>
        <v>0</v>
      </c>
      <c r="AM68" s="316">
        <f>CS_PID!AM68/VLOOKUP($B68,LEBT[#ALL],4)/VLOOKUP($B68,표2[#ALL],2)</f>
        <v>52.35419311</v>
      </c>
      <c r="AN68" s="316">
        <f>CS_PID!AN68/VLOOKUP($B68,LEBT[#ALL],4)/VLOOKUP($B68,표2[#ALL],2)</f>
        <v>706.781607</v>
      </c>
      <c r="AO68" s="316">
        <f>CS_PID!AO68/VLOOKUP($B68,LEBT[#ALL],4)/VLOOKUP($B68,표2[#ALL],2)</f>
        <v>52.35419311</v>
      </c>
      <c r="AP68" s="316">
        <f>CS_PID!AP68/VLOOKUP($B68,LEBT[#ALL],4)/VLOOKUP($B68,표2[#ALL],2)</f>
        <v>0</v>
      </c>
      <c r="AQ68" s="316">
        <f>CS_PID!AQ68/VLOOKUP($B68,LEBT[#ALL],4)/VLOOKUP($B68,표2[#ALL],2)</f>
        <v>0</v>
      </c>
      <c r="AR68" s="316">
        <f>CS_PID!AR68/VLOOKUP($B68,LEBT[#ALL],4)/VLOOKUP($B68,표2[#ALL],2)</f>
        <v>52.35419311</v>
      </c>
      <c r="AS68" s="316">
        <f>CS_PID!AS68/VLOOKUP($B68,LEBT[#ALL],4)/VLOOKUP($B68,표2[#ALL],2)</f>
        <v>26.17709656</v>
      </c>
    </row>
    <row r="69">
      <c r="A69" s="165" t="s">
        <v>82</v>
      </c>
      <c r="B69" s="166">
        <v>336.0</v>
      </c>
      <c r="C69" s="316">
        <f>CS_PID!C69/VLOOKUP($B69,LEBT[#ALL],4)/VLOOKUP($B69,표2[#ALL],2)</f>
        <v>26.27572945</v>
      </c>
      <c r="D69" s="316">
        <f>CS_PID!D69/VLOOKUP($B69,LEBT[#ALL],4)/VLOOKUP($B69,표2[#ALL],2)</f>
        <v>26.27572945</v>
      </c>
      <c r="E69" s="316">
        <f>CS_PID!E69/VLOOKUP($B69,LEBT[#ALL],4)/VLOOKUP($B69,표2[#ALL],2)</f>
        <v>420.4116712</v>
      </c>
      <c r="F69" s="316">
        <f>CS_PID!F69/VLOOKUP($B69,LEBT[#ALL],4)/VLOOKUP($B69,표2[#ALL],2)</f>
        <v>420.4116712</v>
      </c>
      <c r="G69" s="316">
        <f>CS_PID!G69/VLOOKUP($B69,LEBT[#ALL],4)/VLOOKUP($B69,표2[#ALL],2)</f>
        <v>0</v>
      </c>
      <c r="H69" s="316">
        <f>CS_PID!H69/VLOOKUP($B69,LEBT[#ALL],4)/VLOOKUP($B69,표2[#ALL],2)</f>
        <v>0</v>
      </c>
      <c r="I69" s="316">
        <f>CS_PID!I69/VLOOKUP($B69,LEBT[#ALL],4)/VLOOKUP($B69,표2[#ALL],2)</f>
        <v>52.5514589</v>
      </c>
      <c r="J69" s="316">
        <f>CS_PID!J69/VLOOKUP($B69,LEBT[#ALL],4)/VLOOKUP($B69,표2[#ALL],2)</f>
        <v>867.0990718</v>
      </c>
      <c r="K69" s="316">
        <f>CS_PID!K69/VLOOKUP($B69,LEBT[#ALL],4)/VLOOKUP($B69,표2[#ALL],2)</f>
        <v>1208.683555</v>
      </c>
      <c r="L69" s="316">
        <f>CS_PID!L69/VLOOKUP($B69,LEBT[#ALL],4)/VLOOKUP($B69,표2[#ALL],2)</f>
        <v>210.2058356</v>
      </c>
      <c r="M69" s="316">
        <f>CS_PID!M69/VLOOKUP($B69,LEBT[#ALL],4)/VLOOKUP($B69,표2[#ALL],2)</f>
        <v>0</v>
      </c>
      <c r="N69" s="316">
        <f>CS_PID!N69/VLOOKUP($B69,LEBT[#ALL],4)/VLOOKUP($B69,표2[#ALL],2)</f>
        <v>0</v>
      </c>
      <c r="O69" s="316">
        <f>CS_PID!O69/VLOOKUP($B69,LEBT[#ALL],4)/VLOOKUP($B69,표2[#ALL],2)</f>
        <v>52.5514589</v>
      </c>
      <c r="P69" s="316">
        <f>CS_PID!P69/VLOOKUP($B69,LEBT[#ALL],4)/VLOOKUP($B69,표2[#ALL],2)</f>
        <v>656.8932362</v>
      </c>
      <c r="Q69" s="316">
        <f>CS_PID!Q69/VLOOKUP($B69,LEBT[#ALL],4)/VLOOKUP($B69,표2[#ALL],2)</f>
        <v>2890.330239</v>
      </c>
      <c r="R69" s="316">
        <f>CS_PID!R69/VLOOKUP($B69,LEBT[#ALL],4)/VLOOKUP($B69,표2[#ALL],2)</f>
        <v>788.2718834</v>
      </c>
      <c r="S69" s="316">
        <f>CS_PID!S69/VLOOKUP($B69,LEBT[#ALL],4)/VLOOKUP($B69,표2[#ALL],2)</f>
        <v>26.27572945</v>
      </c>
      <c r="T69" s="316">
        <f>CS_PID!T69/VLOOKUP($B69,LEBT[#ALL],4)/VLOOKUP($B69,표2[#ALL],2)</f>
        <v>0</v>
      </c>
      <c r="U69" s="316">
        <f>CS_PID!U69/VLOOKUP($B69,LEBT[#ALL],4)/VLOOKUP($B69,표2[#ALL],2)</f>
        <v>0</v>
      </c>
      <c r="V69" s="316">
        <f>CS_PID!V69/VLOOKUP($B69,LEBT[#ALL],4)/VLOOKUP($B69,표2[#ALL],2)</f>
        <v>446.6874006</v>
      </c>
      <c r="W69" s="316">
        <f>CS_PID!W69/VLOOKUP($B69,LEBT[#ALL],4)/VLOOKUP($B69,표2[#ALL],2)</f>
        <v>2049.506897</v>
      </c>
      <c r="X69" s="316">
        <f>CS_PID!X69/VLOOKUP($B69,LEBT[#ALL],4)/VLOOKUP($B69,표2[#ALL],2)</f>
        <v>1129.856366</v>
      </c>
      <c r="Y69" s="316">
        <f>CS_PID!Y69/VLOOKUP($B69,LEBT[#ALL],4)/VLOOKUP($B69,표2[#ALL],2)</f>
        <v>0</v>
      </c>
      <c r="Z69" s="316">
        <f>CS_PID!Z69/VLOOKUP($B69,LEBT[#ALL],4)/VLOOKUP($B69,표2[#ALL],2)</f>
        <v>0</v>
      </c>
      <c r="AA69" s="316">
        <f>CS_PID!AA69/VLOOKUP($B69,LEBT[#ALL],4)/VLOOKUP($B69,표2[#ALL],2)</f>
        <v>0</v>
      </c>
      <c r="AB69" s="316">
        <f>CS_PID!AB69/VLOOKUP($B69,LEBT[#ALL],4)/VLOOKUP($B69,표2[#ALL],2)</f>
        <v>78.82718834</v>
      </c>
      <c r="AC69" s="316">
        <f>CS_PID!AC69/VLOOKUP($B69,LEBT[#ALL],4)/VLOOKUP($B69,표2[#ALL],2)</f>
        <v>1786.749602</v>
      </c>
      <c r="AD69" s="316">
        <f>CS_PID!AD69/VLOOKUP($B69,LEBT[#ALL],4)/VLOOKUP($B69,표2[#ALL],2)</f>
        <v>420.4116712</v>
      </c>
      <c r="AE69" s="316">
        <f>CS_PID!AE69/VLOOKUP($B69,LEBT[#ALL],4)/VLOOKUP($B69,표2[#ALL],2)</f>
        <v>52.5514589</v>
      </c>
      <c r="AF69" s="316">
        <f>CS_PID!AF69/VLOOKUP($B69,LEBT[#ALL],4)/VLOOKUP($B69,표2[#ALL],2)</f>
        <v>0</v>
      </c>
      <c r="AG69" s="316">
        <f>CS_PID!AG69/VLOOKUP($B69,LEBT[#ALL],4)/VLOOKUP($B69,표2[#ALL],2)</f>
        <v>0</v>
      </c>
      <c r="AH69" s="316">
        <f>CS_PID!AH69/VLOOKUP($B69,LEBT[#ALL],4)/VLOOKUP($B69,표2[#ALL],2)</f>
        <v>52.5514589</v>
      </c>
      <c r="AI69" s="316">
        <f>CS_PID!AI69/VLOOKUP($B69,LEBT[#ALL],4)/VLOOKUP($B69,표2[#ALL],2)</f>
        <v>630.6175068</v>
      </c>
      <c r="AJ69" s="316">
        <f>CS_PID!AJ69/VLOOKUP($B69,LEBT[#ALL],4)/VLOOKUP($B69,표2[#ALL],2)</f>
        <v>315.3087534</v>
      </c>
      <c r="AK69" s="316">
        <f>CS_PID!AK69/VLOOKUP($B69,LEBT[#ALL],4)/VLOOKUP($B69,표2[#ALL],2)</f>
        <v>0</v>
      </c>
      <c r="AL69" s="316">
        <f>CS_PID!AL69/VLOOKUP($B69,LEBT[#ALL],4)/VLOOKUP($B69,표2[#ALL],2)</f>
        <v>0</v>
      </c>
      <c r="AM69" s="316">
        <f>CS_PID!AM69/VLOOKUP($B69,LEBT[#ALL],4)/VLOOKUP($B69,표2[#ALL],2)</f>
        <v>0</v>
      </c>
      <c r="AN69" s="316">
        <f>CS_PID!AN69/VLOOKUP($B69,LEBT[#ALL],4)/VLOOKUP($B69,표2[#ALL],2)</f>
        <v>289.0330239</v>
      </c>
      <c r="AO69" s="316">
        <f>CS_PID!AO69/VLOOKUP($B69,LEBT[#ALL],4)/VLOOKUP($B69,표2[#ALL],2)</f>
        <v>26.27572945</v>
      </c>
      <c r="AP69" s="316">
        <f>CS_PID!AP69/VLOOKUP($B69,LEBT[#ALL],4)/VLOOKUP($B69,표2[#ALL],2)</f>
        <v>0</v>
      </c>
      <c r="AQ69" s="316">
        <f>CS_PID!AQ69/VLOOKUP($B69,LEBT[#ALL],4)/VLOOKUP($B69,표2[#ALL],2)</f>
        <v>0</v>
      </c>
      <c r="AR69" s="316">
        <f>CS_PID!AR69/VLOOKUP($B69,LEBT[#ALL],4)/VLOOKUP($B69,표2[#ALL],2)</f>
        <v>0</v>
      </c>
      <c r="AS69" s="316">
        <f>CS_PID!AS69/VLOOKUP($B69,LEBT[#ALL],4)/VLOOKUP($B69,표2[#ALL],2)</f>
        <v>0</v>
      </c>
    </row>
    <row r="70">
      <c r="A70" s="165" t="s">
        <v>82</v>
      </c>
      <c r="B70" s="166">
        <v>337.0</v>
      </c>
      <c r="C70" s="316">
        <f>CS_PID!C70/VLOOKUP($B70,LEBT[#ALL],4)/VLOOKUP($B70,표2[#ALL],2)</f>
        <v>26.38849917</v>
      </c>
      <c r="D70" s="316">
        <f>CS_PID!D70/VLOOKUP($B70,LEBT[#ALL],4)/VLOOKUP($B70,표2[#ALL],2)</f>
        <v>79.16549751</v>
      </c>
      <c r="E70" s="316">
        <f>CS_PID!E70/VLOOKUP($B70,LEBT[#ALL],4)/VLOOKUP($B70,표2[#ALL],2)</f>
        <v>343.0504892</v>
      </c>
      <c r="F70" s="316">
        <f>CS_PID!F70/VLOOKUP($B70,LEBT[#ALL],4)/VLOOKUP($B70,표2[#ALL],2)</f>
        <v>184.7194942</v>
      </c>
      <c r="G70" s="316">
        <f>CS_PID!G70/VLOOKUP($B70,LEBT[#ALL],4)/VLOOKUP($B70,표2[#ALL],2)</f>
        <v>79.16549751</v>
      </c>
      <c r="H70" s="316">
        <f>CS_PID!H70/VLOOKUP($B70,LEBT[#ALL],4)/VLOOKUP($B70,표2[#ALL],2)</f>
        <v>26.38849917</v>
      </c>
      <c r="I70" s="316">
        <f>CS_PID!I70/VLOOKUP($B70,LEBT[#ALL],4)/VLOOKUP($B70,표2[#ALL],2)</f>
        <v>26.38849917</v>
      </c>
      <c r="J70" s="316">
        <f>CS_PID!J70/VLOOKUP($B70,LEBT[#ALL],4)/VLOOKUP($B70,표2[#ALL],2)</f>
        <v>1161.093963</v>
      </c>
      <c r="K70" s="316">
        <f>CS_PID!K70/VLOOKUP($B70,LEBT[#ALL],4)/VLOOKUP($B70,표2[#ALL],2)</f>
        <v>1688.863947</v>
      </c>
      <c r="L70" s="316">
        <f>CS_PID!L70/VLOOKUP($B70,LEBT[#ALL],4)/VLOOKUP($B70,표2[#ALL],2)</f>
        <v>659.7124792</v>
      </c>
      <c r="M70" s="316">
        <f>CS_PID!M70/VLOOKUP($B70,LEBT[#ALL],4)/VLOOKUP($B70,표2[#ALL],2)</f>
        <v>26.38849917</v>
      </c>
      <c r="N70" s="316">
        <f>CS_PID!N70/VLOOKUP($B70,LEBT[#ALL],4)/VLOOKUP($B70,표2[#ALL],2)</f>
        <v>0</v>
      </c>
      <c r="O70" s="316">
        <f>CS_PID!O70/VLOOKUP($B70,LEBT[#ALL],4)/VLOOKUP($B70,표2[#ALL],2)</f>
        <v>52.77699834</v>
      </c>
      <c r="P70" s="316">
        <f>CS_PID!P70/VLOOKUP($B70,LEBT[#ALL],4)/VLOOKUP($B70,표2[#ALL],2)</f>
        <v>923.5974709</v>
      </c>
      <c r="Q70" s="316">
        <f>CS_PID!Q70/VLOOKUP($B70,LEBT[#ALL],4)/VLOOKUP($B70,표2[#ALL],2)</f>
        <v>3166.6199</v>
      </c>
      <c r="R70" s="316">
        <f>CS_PID!R70/VLOOKUP($B70,LEBT[#ALL],4)/VLOOKUP($B70,표2[#ALL],2)</f>
        <v>923.5974709</v>
      </c>
      <c r="S70" s="316">
        <f>CS_PID!S70/VLOOKUP($B70,LEBT[#ALL],4)/VLOOKUP($B70,표2[#ALL],2)</f>
        <v>52.77699834</v>
      </c>
      <c r="T70" s="316">
        <f>CS_PID!T70/VLOOKUP($B70,LEBT[#ALL],4)/VLOOKUP($B70,표2[#ALL],2)</f>
        <v>0</v>
      </c>
      <c r="U70" s="316">
        <f>CS_PID!U70/VLOOKUP($B70,LEBT[#ALL],4)/VLOOKUP($B70,표2[#ALL],2)</f>
        <v>26.38849917</v>
      </c>
      <c r="V70" s="316">
        <f>CS_PID!V70/VLOOKUP($B70,LEBT[#ALL],4)/VLOOKUP($B70,표2[#ALL],2)</f>
        <v>395.8274875</v>
      </c>
      <c r="W70" s="316">
        <f>CS_PID!W70/VLOOKUP($B70,LEBT[#ALL],4)/VLOOKUP($B70,표2[#ALL],2)</f>
        <v>3193.0084</v>
      </c>
      <c r="X70" s="316">
        <f>CS_PID!X70/VLOOKUP($B70,LEBT[#ALL],4)/VLOOKUP($B70,표2[#ALL],2)</f>
        <v>1636.086949</v>
      </c>
      <c r="Y70" s="316">
        <f>CS_PID!Y70/VLOOKUP($B70,LEBT[#ALL],4)/VLOOKUP($B70,표2[#ALL],2)</f>
        <v>26.38849917</v>
      </c>
      <c r="Z70" s="316">
        <f>CS_PID!Z70/VLOOKUP($B70,LEBT[#ALL],4)/VLOOKUP($B70,표2[#ALL],2)</f>
        <v>0</v>
      </c>
      <c r="AA70" s="316">
        <f>CS_PID!AA70/VLOOKUP($B70,LEBT[#ALL],4)/VLOOKUP($B70,표2[#ALL],2)</f>
        <v>0</v>
      </c>
      <c r="AB70" s="316">
        <f>CS_PID!AB70/VLOOKUP($B70,LEBT[#ALL],4)/VLOOKUP($B70,표2[#ALL],2)</f>
        <v>79.16549751</v>
      </c>
      <c r="AC70" s="316">
        <f>CS_PID!AC70/VLOOKUP($B70,LEBT[#ALL],4)/VLOOKUP($B70,표2[#ALL],2)</f>
        <v>2586.072919</v>
      </c>
      <c r="AD70" s="316">
        <f>CS_PID!AD70/VLOOKUP($B70,LEBT[#ALL],4)/VLOOKUP($B70,표2[#ALL],2)</f>
        <v>633.3239801</v>
      </c>
      <c r="AE70" s="316">
        <f>CS_PID!AE70/VLOOKUP($B70,LEBT[#ALL],4)/VLOOKUP($B70,표2[#ALL],2)</f>
        <v>26.38849917</v>
      </c>
      <c r="AF70" s="316">
        <f>CS_PID!AF70/VLOOKUP($B70,LEBT[#ALL],4)/VLOOKUP($B70,표2[#ALL],2)</f>
        <v>0</v>
      </c>
      <c r="AG70" s="316">
        <f>CS_PID!AG70/VLOOKUP($B70,LEBT[#ALL],4)/VLOOKUP($B70,표2[#ALL],2)</f>
        <v>0</v>
      </c>
      <c r="AH70" s="316">
        <f>CS_PID!AH70/VLOOKUP($B70,LEBT[#ALL],4)/VLOOKUP($B70,표2[#ALL],2)</f>
        <v>105.5539967</v>
      </c>
      <c r="AI70" s="316">
        <f>CS_PID!AI70/VLOOKUP($B70,LEBT[#ALL],4)/VLOOKUP($B70,표2[#ALL],2)</f>
        <v>923.5974709</v>
      </c>
      <c r="AJ70" s="316">
        <f>CS_PID!AJ70/VLOOKUP($B70,LEBT[#ALL],4)/VLOOKUP($B70,표2[#ALL],2)</f>
        <v>422.2159867</v>
      </c>
      <c r="AK70" s="316">
        <f>CS_PID!AK70/VLOOKUP($B70,LEBT[#ALL],4)/VLOOKUP($B70,표2[#ALL],2)</f>
        <v>0</v>
      </c>
      <c r="AL70" s="316">
        <f>CS_PID!AL70/VLOOKUP($B70,LEBT[#ALL],4)/VLOOKUP($B70,표2[#ALL],2)</f>
        <v>0</v>
      </c>
      <c r="AM70" s="316">
        <f>CS_PID!AM70/VLOOKUP($B70,LEBT[#ALL],4)/VLOOKUP($B70,표2[#ALL],2)</f>
        <v>0</v>
      </c>
      <c r="AN70" s="316">
        <f>CS_PID!AN70/VLOOKUP($B70,LEBT[#ALL],4)/VLOOKUP($B70,표2[#ALL],2)</f>
        <v>738.8779768</v>
      </c>
      <c r="AO70" s="316">
        <f>CS_PID!AO70/VLOOKUP($B70,LEBT[#ALL],4)/VLOOKUP($B70,표2[#ALL],2)</f>
        <v>131.9424958</v>
      </c>
      <c r="AP70" s="316">
        <f>CS_PID!AP70/VLOOKUP($B70,LEBT[#ALL],4)/VLOOKUP($B70,표2[#ALL],2)</f>
        <v>0</v>
      </c>
      <c r="AQ70" s="316">
        <f>CS_PID!AQ70/VLOOKUP($B70,LEBT[#ALL],4)/VLOOKUP($B70,표2[#ALL],2)</f>
        <v>0</v>
      </c>
      <c r="AR70" s="316">
        <f>CS_PID!AR70/VLOOKUP($B70,LEBT[#ALL],4)/VLOOKUP($B70,표2[#ALL],2)</f>
        <v>26.38849917</v>
      </c>
      <c r="AS70" s="316">
        <f>CS_PID!AS70/VLOOKUP($B70,LEBT[#ALL],4)/VLOOKUP($B70,표2[#ALL],2)</f>
        <v>52.77699834</v>
      </c>
    </row>
    <row r="71">
      <c r="A71" s="165" t="s">
        <v>82</v>
      </c>
      <c r="B71" s="166">
        <v>338.0</v>
      </c>
      <c r="C71" s="316">
        <f>CS_PID!C71/VLOOKUP($B71,LEBT[#ALL],4)/VLOOKUP($B71,표2[#ALL],2)</f>
        <v>0</v>
      </c>
      <c r="D71" s="316">
        <f>CS_PID!D71/VLOOKUP($B71,LEBT[#ALL],4)/VLOOKUP($B71,표2[#ALL],2)</f>
        <v>0</v>
      </c>
      <c r="E71" s="316">
        <f>CS_PID!E71/VLOOKUP($B71,LEBT[#ALL],4)/VLOOKUP($B71,표2[#ALL],2)</f>
        <v>352.2480787</v>
      </c>
      <c r="F71" s="316">
        <f>CS_PID!F71/VLOOKUP($B71,LEBT[#ALL],4)/VLOOKUP($B71,표2[#ALL],2)</f>
        <v>135.4800303</v>
      </c>
      <c r="G71" s="316">
        <f>CS_PID!G71/VLOOKUP($B71,LEBT[#ALL],4)/VLOOKUP($B71,표2[#ALL],2)</f>
        <v>0</v>
      </c>
      <c r="H71" s="316">
        <f>CS_PID!H71/VLOOKUP($B71,LEBT[#ALL],4)/VLOOKUP($B71,표2[#ALL],2)</f>
        <v>0</v>
      </c>
      <c r="I71" s="316">
        <f>CS_PID!I71/VLOOKUP($B71,LEBT[#ALL],4)/VLOOKUP($B71,표2[#ALL],2)</f>
        <v>27.09600605</v>
      </c>
      <c r="J71" s="316">
        <f>CS_PID!J71/VLOOKUP($B71,LEBT[#ALL],4)/VLOOKUP($B71,표2[#ALL],2)</f>
        <v>514.824115</v>
      </c>
      <c r="K71" s="316">
        <f>CS_PID!K71/VLOOKUP($B71,LEBT[#ALL],4)/VLOOKUP($B71,표2[#ALL],2)</f>
        <v>406.4400908</v>
      </c>
      <c r="L71" s="316">
        <f>CS_PID!L71/VLOOKUP($B71,LEBT[#ALL],4)/VLOOKUP($B71,표2[#ALL],2)</f>
        <v>81.28801816</v>
      </c>
      <c r="M71" s="316">
        <f>CS_PID!M71/VLOOKUP($B71,LEBT[#ALL],4)/VLOOKUP($B71,표2[#ALL],2)</f>
        <v>0</v>
      </c>
      <c r="N71" s="316">
        <f>CS_PID!N71/VLOOKUP($B71,LEBT[#ALL],4)/VLOOKUP($B71,표2[#ALL],2)</f>
        <v>0</v>
      </c>
      <c r="O71" s="316">
        <f>CS_PID!O71/VLOOKUP($B71,LEBT[#ALL],4)/VLOOKUP($B71,표2[#ALL],2)</f>
        <v>0</v>
      </c>
      <c r="P71" s="316">
        <f>CS_PID!P71/VLOOKUP($B71,LEBT[#ALL],4)/VLOOKUP($B71,표2[#ALL],2)</f>
        <v>406.4400908</v>
      </c>
      <c r="Q71" s="316">
        <f>CS_PID!Q71/VLOOKUP($B71,LEBT[#ALL],4)/VLOOKUP($B71,표2[#ALL],2)</f>
        <v>1029.64823</v>
      </c>
      <c r="R71" s="316">
        <f>CS_PID!R71/VLOOKUP($B71,LEBT[#ALL],4)/VLOOKUP($B71,표2[#ALL],2)</f>
        <v>243.8640545</v>
      </c>
      <c r="S71" s="316">
        <f>CS_PID!S71/VLOOKUP($B71,LEBT[#ALL],4)/VLOOKUP($B71,표2[#ALL],2)</f>
        <v>27.09600605</v>
      </c>
      <c r="T71" s="316">
        <f>CS_PID!T71/VLOOKUP($B71,LEBT[#ALL],4)/VLOOKUP($B71,표2[#ALL],2)</f>
        <v>0</v>
      </c>
      <c r="U71" s="316">
        <f>CS_PID!U71/VLOOKUP($B71,LEBT[#ALL],4)/VLOOKUP($B71,표2[#ALL],2)</f>
        <v>0</v>
      </c>
      <c r="V71" s="316">
        <f>CS_PID!V71/VLOOKUP($B71,LEBT[#ALL],4)/VLOOKUP($B71,표2[#ALL],2)</f>
        <v>189.6720424</v>
      </c>
      <c r="W71" s="316">
        <f>CS_PID!W71/VLOOKUP($B71,LEBT[#ALL],4)/VLOOKUP($B71,표2[#ALL],2)</f>
        <v>1246.416278</v>
      </c>
      <c r="X71" s="316">
        <f>CS_PID!X71/VLOOKUP($B71,LEBT[#ALL],4)/VLOOKUP($B71,표2[#ALL],2)</f>
        <v>541.9201211</v>
      </c>
      <c r="Y71" s="316">
        <f>CS_PID!Y71/VLOOKUP($B71,LEBT[#ALL],4)/VLOOKUP($B71,표2[#ALL],2)</f>
        <v>0</v>
      </c>
      <c r="Z71" s="316">
        <f>CS_PID!Z71/VLOOKUP($B71,LEBT[#ALL],4)/VLOOKUP($B71,표2[#ALL],2)</f>
        <v>0</v>
      </c>
      <c r="AA71" s="316">
        <f>CS_PID!AA71/VLOOKUP($B71,LEBT[#ALL],4)/VLOOKUP($B71,표2[#ALL],2)</f>
        <v>0</v>
      </c>
      <c r="AB71" s="316">
        <f>CS_PID!AB71/VLOOKUP($B71,LEBT[#ALL],4)/VLOOKUP($B71,표2[#ALL],2)</f>
        <v>0</v>
      </c>
      <c r="AC71" s="316">
        <f>CS_PID!AC71/VLOOKUP($B71,LEBT[#ALL],4)/VLOOKUP($B71,표2[#ALL],2)</f>
        <v>785.7841756</v>
      </c>
      <c r="AD71" s="316">
        <f>CS_PID!AD71/VLOOKUP($B71,LEBT[#ALL],4)/VLOOKUP($B71,표2[#ALL],2)</f>
        <v>216.7680484</v>
      </c>
      <c r="AE71" s="316">
        <f>CS_PID!AE71/VLOOKUP($B71,LEBT[#ALL],4)/VLOOKUP($B71,표2[#ALL],2)</f>
        <v>0</v>
      </c>
      <c r="AF71" s="316">
        <f>CS_PID!AF71/VLOOKUP($B71,LEBT[#ALL],4)/VLOOKUP($B71,표2[#ALL],2)</f>
        <v>0</v>
      </c>
      <c r="AG71" s="316">
        <f>CS_PID!AG71/VLOOKUP($B71,LEBT[#ALL],4)/VLOOKUP($B71,표2[#ALL],2)</f>
        <v>0</v>
      </c>
      <c r="AH71" s="316">
        <f>CS_PID!AH71/VLOOKUP($B71,LEBT[#ALL],4)/VLOOKUP($B71,표2[#ALL],2)</f>
        <v>54.19201211</v>
      </c>
      <c r="AI71" s="316">
        <f>CS_PID!AI71/VLOOKUP($B71,LEBT[#ALL],4)/VLOOKUP($B71,표2[#ALL],2)</f>
        <v>270.9600605</v>
      </c>
      <c r="AJ71" s="316">
        <f>CS_PID!AJ71/VLOOKUP($B71,LEBT[#ALL],4)/VLOOKUP($B71,표2[#ALL],2)</f>
        <v>189.6720424</v>
      </c>
      <c r="AK71" s="316">
        <f>CS_PID!AK71/VLOOKUP($B71,LEBT[#ALL],4)/VLOOKUP($B71,표2[#ALL],2)</f>
        <v>0</v>
      </c>
      <c r="AL71" s="316">
        <f>CS_PID!AL71/VLOOKUP($B71,LEBT[#ALL],4)/VLOOKUP($B71,표2[#ALL],2)</f>
        <v>0</v>
      </c>
      <c r="AM71" s="316">
        <f>CS_PID!AM71/VLOOKUP($B71,LEBT[#ALL],4)/VLOOKUP($B71,표2[#ALL],2)</f>
        <v>0</v>
      </c>
      <c r="AN71" s="316">
        <f>CS_PID!AN71/VLOOKUP($B71,LEBT[#ALL],4)/VLOOKUP($B71,표2[#ALL],2)</f>
        <v>108.3840242</v>
      </c>
      <c r="AO71" s="316">
        <f>CS_PID!AO71/VLOOKUP($B71,LEBT[#ALL],4)/VLOOKUP($B71,표2[#ALL],2)</f>
        <v>0</v>
      </c>
      <c r="AP71" s="316">
        <f>CS_PID!AP71/VLOOKUP($B71,LEBT[#ALL],4)/VLOOKUP($B71,표2[#ALL],2)</f>
        <v>0</v>
      </c>
      <c r="AQ71" s="316">
        <f>CS_PID!AQ71/VLOOKUP($B71,LEBT[#ALL],4)/VLOOKUP($B71,표2[#ALL],2)</f>
        <v>0</v>
      </c>
      <c r="AR71" s="316">
        <f>CS_PID!AR71/VLOOKUP($B71,LEBT[#ALL],4)/VLOOKUP($B71,표2[#ALL],2)</f>
        <v>27.09600605</v>
      </c>
      <c r="AS71" s="316">
        <f>CS_PID!AS71/VLOOKUP($B71,LEBT[#ALL],4)/VLOOKUP($B71,표2[#ALL],2)</f>
        <v>0</v>
      </c>
    </row>
    <row r="72">
      <c r="A72" s="165" t="s">
        <v>82</v>
      </c>
      <c r="B72" s="166">
        <v>339.0</v>
      </c>
      <c r="C72" s="316">
        <f>CS_PID!C72/VLOOKUP($B72,LEBT[#ALL],4)/VLOOKUP($B72,표2[#ALL],2)</f>
        <v>0</v>
      </c>
      <c r="D72" s="316">
        <f>CS_PID!D72/VLOOKUP($B72,LEBT[#ALL],4)/VLOOKUP($B72,표2[#ALL],2)</f>
        <v>28.3579237</v>
      </c>
      <c r="E72" s="316">
        <f>CS_PID!E72/VLOOKUP($B72,LEBT[#ALL],4)/VLOOKUP($B72,표2[#ALL],2)</f>
        <v>28.3579237</v>
      </c>
      <c r="F72" s="316">
        <f>CS_PID!F72/VLOOKUP($B72,LEBT[#ALL],4)/VLOOKUP($B72,표2[#ALL],2)</f>
        <v>85.0737711</v>
      </c>
      <c r="G72" s="316">
        <f>CS_PID!G72/VLOOKUP($B72,LEBT[#ALL],4)/VLOOKUP($B72,표2[#ALL],2)</f>
        <v>0</v>
      </c>
      <c r="H72" s="316">
        <f>CS_PID!H72/VLOOKUP($B72,LEBT[#ALL],4)/VLOOKUP($B72,표2[#ALL],2)</f>
        <v>0</v>
      </c>
      <c r="I72" s="316">
        <f>CS_PID!I72/VLOOKUP($B72,LEBT[#ALL],4)/VLOOKUP($B72,표2[#ALL],2)</f>
        <v>0</v>
      </c>
      <c r="J72" s="316">
        <f>CS_PID!J72/VLOOKUP($B72,LEBT[#ALL],4)/VLOOKUP($B72,표2[#ALL],2)</f>
        <v>198.5054659</v>
      </c>
      <c r="K72" s="316">
        <f>CS_PID!K72/VLOOKUP($B72,LEBT[#ALL],4)/VLOOKUP($B72,표2[#ALL],2)</f>
        <v>226.8633896</v>
      </c>
      <c r="L72" s="316">
        <f>CS_PID!L72/VLOOKUP($B72,LEBT[#ALL],4)/VLOOKUP($B72,표2[#ALL],2)</f>
        <v>0</v>
      </c>
      <c r="M72" s="316">
        <f>CS_PID!M72/VLOOKUP($B72,LEBT[#ALL],4)/VLOOKUP($B72,표2[#ALL],2)</f>
        <v>0</v>
      </c>
      <c r="N72" s="316">
        <f>CS_PID!N72/VLOOKUP($B72,LEBT[#ALL],4)/VLOOKUP($B72,표2[#ALL],2)</f>
        <v>0</v>
      </c>
      <c r="O72" s="316">
        <f>CS_PID!O72/VLOOKUP($B72,LEBT[#ALL],4)/VLOOKUP($B72,표2[#ALL],2)</f>
        <v>28.3579237</v>
      </c>
      <c r="P72" s="316">
        <f>CS_PID!P72/VLOOKUP($B72,LEBT[#ALL],4)/VLOOKUP($B72,표2[#ALL],2)</f>
        <v>226.8633896</v>
      </c>
      <c r="Q72" s="316">
        <f>CS_PID!Q72/VLOOKUP($B72,LEBT[#ALL],4)/VLOOKUP($B72,표2[#ALL],2)</f>
        <v>765.6639399</v>
      </c>
      <c r="R72" s="316">
        <f>CS_PID!R72/VLOOKUP($B72,LEBT[#ALL],4)/VLOOKUP($B72,표2[#ALL],2)</f>
        <v>283.579237</v>
      </c>
      <c r="S72" s="316">
        <f>CS_PID!S72/VLOOKUP($B72,LEBT[#ALL],4)/VLOOKUP($B72,표2[#ALL],2)</f>
        <v>0</v>
      </c>
      <c r="T72" s="316">
        <f>CS_PID!T72/VLOOKUP($B72,LEBT[#ALL],4)/VLOOKUP($B72,표2[#ALL],2)</f>
        <v>0</v>
      </c>
      <c r="U72" s="316">
        <f>CS_PID!U72/VLOOKUP($B72,LEBT[#ALL],4)/VLOOKUP($B72,표2[#ALL],2)</f>
        <v>0</v>
      </c>
      <c r="V72" s="316">
        <f>CS_PID!V72/VLOOKUP($B72,LEBT[#ALL],4)/VLOOKUP($B72,표2[#ALL],2)</f>
        <v>113.4316948</v>
      </c>
      <c r="W72" s="316">
        <f>CS_PID!W72/VLOOKUP($B72,LEBT[#ALL],4)/VLOOKUP($B72,표2[#ALL],2)</f>
        <v>652.2322451</v>
      </c>
      <c r="X72" s="316">
        <f>CS_PID!X72/VLOOKUP($B72,LEBT[#ALL],4)/VLOOKUP($B72,표2[#ALL],2)</f>
        <v>283.579237</v>
      </c>
      <c r="Y72" s="316">
        <f>CS_PID!Y72/VLOOKUP($B72,LEBT[#ALL],4)/VLOOKUP($B72,표2[#ALL],2)</f>
        <v>0</v>
      </c>
      <c r="Z72" s="316">
        <f>CS_PID!Z72/VLOOKUP($B72,LEBT[#ALL],4)/VLOOKUP($B72,표2[#ALL],2)</f>
        <v>0</v>
      </c>
      <c r="AA72" s="316">
        <f>CS_PID!AA72/VLOOKUP($B72,LEBT[#ALL],4)/VLOOKUP($B72,표2[#ALL],2)</f>
        <v>0</v>
      </c>
      <c r="AB72" s="316">
        <f>CS_PID!AB72/VLOOKUP($B72,LEBT[#ALL],4)/VLOOKUP($B72,표2[#ALL],2)</f>
        <v>28.3579237</v>
      </c>
      <c r="AC72" s="316">
        <f>CS_PID!AC72/VLOOKUP($B72,LEBT[#ALL],4)/VLOOKUP($B72,표2[#ALL],2)</f>
        <v>652.2322451</v>
      </c>
      <c r="AD72" s="316">
        <f>CS_PID!AD72/VLOOKUP($B72,LEBT[#ALL],4)/VLOOKUP($B72,표2[#ALL],2)</f>
        <v>56.7158474</v>
      </c>
      <c r="AE72" s="316">
        <f>CS_PID!AE72/VLOOKUP($B72,LEBT[#ALL],4)/VLOOKUP($B72,표2[#ALL],2)</f>
        <v>0</v>
      </c>
      <c r="AF72" s="316">
        <f>CS_PID!AF72/VLOOKUP($B72,LEBT[#ALL],4)/VLOOKUP($B72,표2[#ALL],2)</f>
        <v>0</v>
      </c>
      <c r="AG72" s="316">
        <f>CS_PID!AG72/VLOOKUP($B72,LEBT[#ALL],4)/VLOOKUP($B72,표2[#ALL],2)</f>
        <v>0</v>
      </c>
      <c r="AH72" s="316">
        <f>CS_PID!AH72/VLOOKUP($B72,LEBT[#ALL],4)/VLOOKUP($B72,표2[#ALL],2)</f>
        <v>28.3579237</v>
      </c>
      <c r="AI72" s="316">
        <f>CS_PID!AI72/VLOOKUP($B72,LEBT[#ALL],4)/VLOOKUP($B72,표2[#ALL],2)</f>
        <v>283.579237</v>
      </c>
      <c r="AJ72" s="316">
        <f>CS_PID!AJ72/VLOOKUP($B72,LEBT[#ALL],4)/VLOOKUP($B72,표2[#ALL],2)</f>
        <v>56.7158474</v>
      </c>
      <c r="AK72" s="316">
        <f>CS_PID!AK72/VLOOKUP($B72,LEBT[#ALL],4)/VLOOKUP($B72,표2[#ALL],2)</f>
        <v>0</v>
      </c>
      <c r="AL72" s="316">
        <f>CS_PID!AL72/VLOOKUP($B72,LEBT[#ALL],4)/VLOOKUP($B72,표2[#ALL],2)</f>
        <v>0</v>
      </c>
      <c r="AM72" s="316">
        <f>CS_PID!AM72/VLOOKUP($B72,LEBT[#ALL],4)/VLOOKUP($B72,표2[#ALL],2)</f>
        <v>0</v>
      </c>
      <c r="AN72" s="316">
        <f>CS_PID!AN72/VLOOKUP($B72,LEBT[#ALL],4)/VLOOKUP($B72,표2[#ALL],2)</f>
        <v>141.7896185</v>
      </c>
      <c r="AO72" s="316">
        <f>CS_PID!AO72/VLOOKUP($B72,LEBT[#ALL],4)/VLOOKUP($B72,표2[#ALL],2)</f>
        <v>0</v>
      </c>
      <c r="AP72" s="316">
        <f>CS_PID!AP72/VLOOKUP($B72,LEBT[#ALL],4)/VLOOKUP($B72,표2[#ALL],2)</f>
        <v>0</v>
      </c>
      <c r="AQ72" s="316">
        <f>CS_PID!AQ72/VLOOKUP($B72,LEBT[#ALL],4)/VLOOKUP($B72,표2[#ALL],2)</f>
        <v>0</v>
      </c>
      <c r="AR72" s="316">
        <f>CS_PID!AR72/VLOOKUP($B72,LEBT[#ALL],4)/VLOOKUP($B72,표2[#ALL],2)</f>
        <v>0</v>
      </c>
      <c r="AS72" s="316">
        <f>CS_PID!AS72/VLOOKUP($B72,LEBT[#ALL],4)/VLOOKUP($B72,표2[#ALL],2)</f>
        <v>0</v>
      </c>
    </row>
    <row r="73">
      <c r="A73" s="165" t="s">
        <v>82</v>
      </c>
      <c r="B73" s="166">
        <v>340.0</v>
      </c>
      <c r="C73" s="316">
        <f>CS_PID!C73/VLOOKUP($B73,LEBT[#ALL],4)/VLOOKUP($B73,표2[#ALL],2)</f>
        <v>0</v>
      </c>
      <c r="D73" s="316">
        <f>CS_PID!D73/VLOOKUP($B73,LEBT[#ALL],4)/VLOOKUP($B73,표2[#ALL],2)</f>
        <v>53.11511723</v>
      </c>
      <c r="E73" s="316">
        <f>CS_PID!E73/VLOOKUP($B73,LEBT[#ALL],4)/VLOOKUP($B73,표2[#ALL],2)</f>
        <v>345.248262</v>
      </c>
      <c r="F73" s="316">
        <f>CS_PID!F73/VLOOKUP($B73,LEBT[#ALL],4)/VLOOKUP($B73,표2[#ALL],2)</f>
        <v>637.3814068</v>
      </c>
      <c r="G73" s="316">
        <f>CS_PID!G73/VLOOKUP($B73,LEBT[#ALL],4)/VLOOKUP($B73,표2[#ALL],2)</f>
        <v>106.2302345</v>
      </c>
      <c r="H73" s="316">
        <f>CS_PID!H73/VLOOKUP($B73,LEBT[#ALL],4)/VLOOKUP($B73,표2[#ALL],2)</f>
        <v>0</v>
      </c>
      <c r="I73" s="316">
        <f>CS_PID!I73/VLOOKUP($B73,LEBT[#ALL],4)/VLOOKUP($B73,표2[#ALL],2)</f>
        <v>0</v>
      </c>
      <c r="J73" s="316">
        <f>CS_PID!J73/VLOOKUP($B73,LEBT[#ALL],4)/VLOOKUP($B73,표2[#ALL],2)</f>
        <v>1938.701779</v>
      </c>
      <c r="K73" s="316">
        <f>CS_PID!K73/VLOOKUP($B73,LEBT[#ALL],4)/VLOOKUP($B73,표2[#ALL],2)</f>
        <v>1885.586662</v>
      </c>
      <c r="L73" s="316">
        <f>CS_PID!L73/VLOOKUP($B73,LEBT[#ALL],4)/VLOOKUP($B73,표2[#ALL],2)</f>
        <v>478.0360551</v>
      </c>
      <c r="M73" s="316">
        <f>CS_PID!M73/VLOOKUP($B73,LEBT[#ALL],4)/VLOOKUP($B73,표2[#ALL],2)</f>
        <v>53.11511723</v>
      </c>
      <c r="N73" s="316">
        <f>CS_PID!N73/VLOOKUP($B73,LEBT[#ALL],4)/VLOOKUP($B73,표2[#ALL],2)</f>
        <v>0</v>
      </c>
      <c r="O73" s="316">
        <f>CS_PID!O73/VLOOKUP($B73,LEBT[#ALL],4)/VLOOKUP($B73,표2[#ALL],2)</f>
        <v>26.55755862</v>
      </c>
      <c r="P73" s="316">
        <f>CS_PID!P73/VLOOKUP($B73,LEBT[#ALL],4)/VLOOKUP($B73,표2[#ALL],2)</f>
        <v>610.8238482</v>
      </c>
      <c r="Q73" s="316">
        <f>CS_PID!Q73/VLOOKUP($B73,LEBT[#ALL],4)/VLOOKUP($B73,표2[#ALL],2)</f>
        <v>4700.687875</v>
      </c>
      <c r="R73" s="316">
        <f>CS_PID!R73/VLOOKUP($B73,LEBT[#ALL],4)/VLOOKUP($B73,표2[#ALL],2)</f>
        <v>982.6296688</v>
      </c>
      <c r="S73" s="316">
        <f>CS_PID!S73/VLOOKUP($B73,LEBT[#ALL],4)/VLOOKUP($B73,표2[#ALL],2)</f>
        <v>26.55755862</v>
      </c>
      <c r="T73" s="316">
        <f>CS_PID!T73/VLOOKUP($B73,LEBT[#ALL],4)/VLOOKUP($B73,표2[#ALL],2)</f>
        <v>0</v>
      </c>
      <c r="U73" s="316">
        <f>CS_PID!U73/VLOOKUP($B73,LEBT[#ALL],4)/VLOOKUP($B73,표2[#ALL],2)</f>
        <v>26.55755862</v>
      </c>
      <c r="V73" s="316">
        <f>CS_PID!V73/VLOOKUP($B73,LEBT[#ALL],4)/VLOOKUP($B73,표2[#ALL],2)</f>
        <v>371.8058206</v>
      </c>
      <c r="W73" s="316">
        <f>CS_PID!W73/VLOOKUP($B73,LEBT[#ALL],4)/VLOOKUP($B73,표2[#ALL],2)</f>
        <v>3479.040179</v>
      </c>
      <c r="X73" s="316">
        <f>CS_PID!X73/VLOOKUP($B73,LEBT[#ALL],4)/VLOOKUP($B73,표2[#ALL],2)</f>
        <v>2044.932014</v>
      </c>
      <c r="Y73" s="316">
        <f>CS_PID!Y73/VLOOKUP($B73,LEBT[#ALL],4)/VLOOKUP($B73,표2[#ALL],2)</f>
        <v>53.11511723</v>
      </c>
      <c r="Z73" s="316">
        <f>CS_PID!Z73/VLOOKUP($B73,LEBT[#ALL],4)/VLOOKUP($B73,표2[#ALL],2)</f>
        <v>0</v>
      </c>
      <c r="AA73" s="316">
        <f>CS_PID!AA73/VLOOKUP($B73,LEBT[#ALL],4)/VLOOKUP($B73,표2[#ALL],2)</f>
        <v>0</v>
      </c>
      <c r="AB73" s="316">
        <f>CS_PID!AB73/VLOOKUP($B73,LEBT[#ALL],4)/VLOOKUP($B73,표2[#ALL],2)</f>
        <v>159.3453517</v>
      </c>
      <c r="AC73" s="316">
        <f>CS_PID!AC73/VLOOKUP($B73,LEBT[#ALL],4)/VLOOKUP($B73,표2[#ALL],2)</f>
        <v>3824.288441</v>
      </c>
      <c r="AD73" s="316">
        <f>CS_PID!AD73/VLOOKUP($B73,LEBT[#ALL],4)/VLOOKUP($B73,표2[#ALL],2)</f>
        <v>902.956993</v>
      </c>
      <c r="AE73" s="316">
        <f>CS_PID!AE73/VLOOKUP($B73,LEBT[#ALL],4)/VLOOKUP($B73,표2[#ALL],2)</f>
        <v>53.11511723</v>
      </c>
      <c r="AF73" s="316">
        <f>CS_PID!AF73/VLOOKUP($B73,LEBT[#ALL],4)/VLOOKUP($B73,표2[#ALL],2)</f>
        <v>0</v>
      </c>
      <c r="AG73" s="316">
        <f>CS_PID!AG73/VLOOKUP($B73,LEBT[#ALL],4)/VLOOKUP($B73,표2[#ALL],2)</f>
        <v>26.55755862</v>
      </c>
      <c r="AH73" s="316">
        <f>CS_PID!AH73/VLOOKUP($B73,LEBT[#ALL],4)/VLOOKUP($B73,표2[#ALL],2)</f>
        <v>212.4604689</v>
      </c>
      <c r="AI73" s="316">
        <f>CS_PID!AI73/VLOOKUP($B73,LEBT[#ALL],4)/VLOOKUP($B73,표2[#ALL],2)</f>
        <v>1646.568634</v>
      </c>
      <c r="AJ73" s="316">
        <f>CS_PID!AJ73/VLOOKUP($B73,LEBT[#ALL],4)/VLOOKUP($B73,표2[#ALL],2)</f>
        <v>637.3814068</v>
      </c>
      <c r="AK73" s="316">
        <f>CS_PID!AK73/VLOOKUP($B73,LEBT[#ALL],4)/VLOOKUP($B73,표2[#ALL],2)</f>
        <v>0</v>
      </c>
      <c r="AL73" s="316">
        <f>CS_PID!AL73/VLOOKUP($B73,LEBT[#ALL],4)/VLOOKUP($B73,표2[#ALL],2)</f>
        <v>0</v>
      </c>
      <c r="AM73" s="316">
        <f>CS_PID!AM73/VLOOKUP($B73,LEBT[#ALL],4)/VLOOKUP($B73,표2[#ALL],2)</f>
        <v>53.11511723</v>
      </c>
      <c r="AN73" s="316">
        <f>CS_PID!AN73/VLOOKUP($B73,LEBT[#ALL],4)/VLOOKUP($B73,표2[#ALL],2)</f>
        <v>663.9389654</v>
      </c>
      <c r="AO73" s="316">
        <f>CS_PID!AO73/VLOOKUP($B73,LEBT[#ALL],4)/VLOOKUP($B73,표2[#ALL],2)</f>
        <v>26.55755862</v>
      </c>
      <c r="AP73" s="316">
        <f>CS_PID!AP73/VLOOKUP($B73,LEBT[#ALL],4)/VLOOKUP($B73,표2[#ALL],2)</f>
        <v>0</v>
      </c>
      <c r="AQ73" s="316">
        <f>CS_PID!AQ73/VLOOKUP($B73,LEBT[#ALL],4)/VLOOKUP($B73,표2[#ALL],2)</f>
        <v>0</v>
      </c>
      <c r="AR73" s="316">
        <f>CS_PID!AR73/VLOOKUP($B73,LEBT[#ALL],4)/VLOOKUP($B73,표2[#ALL],2)</f>
        <v>0</v>
      </c>
      <c r="AS73" s="316">
        <f>CS_PID!AS73/VLOOKUP($B73,LEBT[#ALL],4)/VLOOKUP($B73,표2[#ALL],2)</f>
        <v>0</v>
      </c>
    </row>
    <row r="74">
      <c r="A74" s="165" t="s">
        <v>82</v>
      </c>
      <c r="B74" s="166">
        <v>341.0</v>
      </c>
      <c r="C74" s="316">
        <f>CS_PID!C74/VLOOKUP($B74,LEBT[#ALL],4)/VLOOKUP($B74,표2[#ALL],2)</f>
        <v>53.09195653</v>
      </c>
      <c r="D74" s="316">
        <f>CS_PID!D74/VLOOKUP($B74,LEBT[#ALL],4)/VLOOKUP($B74,표2[#ALL],2)</f>
        <v>132.7298913</v>
      </c>
      <c r="E74" s="316">
        <f>CS_PID!E74/VLOOKUP($B74,LEBT[#ALL],4)/VLOOKUP($B74,표2[#ALL],2)</f>
        <v>663.6494566</v>
      </c>
      <c r="F74" s="316">
        <f>CS_PID!F74/VLOOKUP($B74,LEBT[#ALL],4)/VLOOKUP($B74,표2[#ALL],2)</f>
        <v>769.8333697</v>
      </c>
      <c r="G74" s="316">
        <f>CS_PID!G74/VLOOKUP($B74,LEBT[#ALL],4)/VLOOKUP($B74,표2[#ALL],2)</f>
        <v>53.09195653</v>
      </c>
      <c r="H74" s="316">
        <f>CS_PID!H74/VLOOKUP($B74,LEBT[#ALL],4)/VLOOKUP($B74,표2[#ALL],2)</f>
        <v>0</v>
      </c>
      <c r="I74" s="316">
        <f>CS_PID!I74/VLOOKUP($B74,LEBT[#ALL],4)/VLOOKUP($B74,표2[#ALL],2)</f>
        <v>53.09195653</v>
      </c>
      <c r="J74" s="316">
        <f>CS_PID!J74/VLOOKUP($B74,LEBT[#ALL],4)/VLOOKUP($B74,표2[#ALL],2)</f>
        <v>2415.684022</v>
      </c>
      <c r="K74" s="316">
        <f>CS_PID!K74/VLOOKUP($B74,LEBT[#ALL],4)/VLOOKUP($B74,표2[#ALL],2)</f>
        <v>2574.959892</v>
      </c>
      <c r="L74" s="316">
        <f>CS_PID!L74/VLOOKUP($B74,LEBT[#ALL],4)/VLOOKUP($B74,표2[#ALL],2)</f>
        <v>716.7414131</v>
      </c>
      <c r="M74" s="316">
        <f>CS_PID!M74/VLOOKUP($B74,LEBT[#ALL],4)/VLOOKUP($B74,표2[#ALL],2)</f>
        <v>53.09195653</v>
      </c>
      <c r="N74" s="316">
        <f>CS_PID!N74/VLOOKUP($B74,LEBT[#ALL],4)/VLOOKUP($B74,표2[#ALL],2)</f>
        <v>0</v>
      </c>
      <c r="O74" s="316">
        <f>CS_PID!O74/VLOOKUP($B74,LEBT[#ALL],4)/VLOOKUP($B74,표2[#ALL],2)</f>
        <v>53.09195653</v>
      </c>
      <c r="P74" s="316">
        <f>CS_PID!P74/VLOOKUP($B74,LEBT[#ALL],4)/VLOOKUP($B74,표2[#ALL],2)</f>
        <v>1088.385109</v>
      </c>
      <c r="Q74" s="316">
        <f>CS_PID!Q74/VLOOKUP($B74,LEBT[#ALL],4)/VLOOKUP($B74,표2[#ALL],2)</f>
        <v>6025.937066</v>
      </c>
      <c r="R74" s="316">
        <f>CS_PID!R74/VLOOKUP($B74,LEBT[#ALL],4)/VLOOKUP($B74,표2[#ALL],2)</f>
        <v>1380.39087</v>
      </c>
      <c r="S74" s="316">
        <f>CS_PID!S74/VLOOKUP($B74,LEBT[#ALL],4)/VLOOKUP($B74,표2[#ALL],2)</f>
        <v>79.63793479</v>
      </c>
      <c r="T74" s="316">
        <f>CS_PID!T74/VLOOKUP($B74,LEBT[#ALL],4)/VLOOKUP($B74,표2[#ALL],2)</f>
        <v>0</v>
      </c>
      <c r="U74" s="316">
        <f>CS_PID!U74/VLOOKUP($B74,LEBT[#ALL],4)/VLOOKUP($B74,표2[#ALL],2)</f>
        <v>26.54597826</v>
      </c>
      <c r="V74" s="316">
        <f>CS_PID!V74/VLOOKUP($B74,LEBT[#ALL],4)/VLOOKUP($B74,표2[#ALL],2)</f>
        <v>902.563261</v>
      </c>
      <c r="W74" s="316">
        <f>CS_PID!W74/VLOOKUP($B74,LEBT[#ALL],4)/VLOOKUP($B74,표2[#ALL],2)</f>
        <v>4512.816305</v>
      </c>
      <c r="X74" s="316">
        <f>CS_PID!X74/VLOOKUP($B74,LEBT[#ALL],4)/VLOOKUP($B74,표2[#ALL],2)</f>
        <v>2548.413913</v>
      </c>
      <c r="Y74" s="316">
        <f>CS_PID!Y74/VLOOKUP($B74,LEBT[#ALL],4)/VLOOKUP($B74,표2[#ALL],2)</f>
        <v>53.09195653</v>
      </c>
      <c r="Z74" s="316">
        <f>CS_PID!Z74/VLOOKUP($B74,LEBT[#ALL],4)/VLOOKUP($B74,표2[#ALL],2)</f>
        <v>0</v>
      </c>
      <c r="AA74" s="316">
        <f>CS_PID!AA74/VLOOKUP($B74,LEBT[#ALL],4)/VLOOKUP($B74,표2[#ALL],2)</f>
        <v>0</v>
      </c>
      <c r="AB74" s="316">
        <f>CS_PID!AB74/VLOOKUP($B74,LEBT[#ALL],4)/VLOOKUP($B74,표2[#ALL],2)</f>
        <v>212.3678261</v>
      </c>
      <c r="AC74" s="316">
        <f>CS_PID!AC74/VLOOKUP($B74,LEBT[#ALL],4)/VLOOKUP($B74,표2[#ALL],2)</f>
        <v>3849.166848</v>
      </c>
      <c r="AD74" s="316">
        <f>CS_PID!AD74/VLOOKUP($B74,LEBT[#ALL],4)/VLOOKUP($B74,표2[#ALL],2)</f>
        <v>1114.931087</v>
      </c>
      <c r="AE74" s="316">
        <f>CS_PID!AE74/VLOOKUP($B74,LEBT[#ALL],4)/VLOOKUP($B74,표2[#ALL],2)</f>
        <v>26.54597826</v>
      </c>
      <c r="AF74" s="316">
        <f>CS_PID!AF74/VLOOKUP($B74,LEBT[#ALL],4)/VLOOKUP($B74,표2[#ALL],2)</f>
        <v>0</v>
      </c>
      <c r="AG74" s="316">
        <f>CS_PID!AG74/VLOOKUP($B74,LEBT[#ALL],4)/VLOOKUP($B74,표2[#ALL],2)</f>
        <v>0</v>
      </c>
      <c r="AH74" s="316">
        <f>CS_PID!AH74/VLOOKUP($B74,LEBT[#ALL],4)/VLOOKUP($B74,표2[#ALL],2)</f>
        <v>238.9138044</v>
      </c>
      <c r="AI74" s="316">
        <f>CS_PID!AI74/VLOOKUP($B74,LEBT[#ALL],4)/VLOOKUP($B74,표2[#ALL],2)</f>
        <v>1990.94837</v>
      </c>
      <c r="AJ74" s="316">
        <f>CS_PID!AJ74/VLOOKUP($B74,LEBT[#ALL],4)/VLOOKUP($B74,표2[#ALL],2)</f>
        <v>1300.752935</v>
      </c>
      <c r="AK74" s="316">
        <f>CS_PID!AK74/VLOOKUP($B74,LEBT[#ALL],4)/VLOOKUP($B74,표2[#ALL],2)</f>
        <v>0</v>
      </c>
      <c r="AL74" s="316">
        <f>CS_PID!AL74/VLOOKUP($B74,LEBT[#ALL],4)/VLOOKUP($B74,표2[#ALL],2)</f>
        <v>0</v>
      </c>
      <c r="AM74" s="316">
        <f>CS_PID!AM74/VLOOKUP($B74,LEBT[#ALL],4)/VLOOKUP($B74,표2[#ALL],2)</f>
        <v>26.54597826</v>
      </c>
      <c r="AN74" s="316">
        <f>CS_PID!AN74/VLOOKUP($B74,LEBT[#ALL],4)/VLOOKUP($B74,표2[#ALL],2)</f>
        <v>1300.752935</v>
      </c>
      <c r="AO74" s="316">
        <f>CS_PID!AO74/VLOOKUP($B74,LEBT[#ALL],4)/VLOOKUP($B74,표2[#ALL],2)</f>
        <v>159.2758696</v>
      </c>
      <c r="AP74" s="316">
        <f>CS_PID!AP74/VLOOKUP($B74,LEBT[#ALL],4)/VLOOKUP($B74,표2[#ALL],2)</f>
        <v>0</v>
      </c>
      <c r="AQ74" s="316">
        <f>CS_PID!AQ74/VLOOKUP($B74,LEBT[#ALL],4)/VLOOKUP($B74,표2[#ALL],2)</f>
        <v>0</v>
      </c>
      <c r="AR74" s="316">
        <f>CS_PID!AR74/VLOOKUP($B74,LEBT[#ALL],4)/VLOOKUP($B74,표2[#ALL],2)</f>
        <v>53.09195653</v>
      </c>
      <c r="AS74" s="316">
        <f>CS_PID!AS74/VLOOKUP($B74,LEBT[#ALL],4)/VLOOKUP($B74,표2[#ALL],2)</f>
        <v>26.54597826</v>
      </c>
    </row>
    <row r="75">
      <c r="A75" s="165" t="s">
        <v>82</v>
      </c>
      <c r="B75" s="166">
        <v>342.0</v>
      </c>
      <c r="C75" s="316">
        <f>CS_PID!C75/VLOOKUP($B75,LEBT[#ALL],4)/VLOOKUP($B75,표2[#ALL],2)</f>
        <v>0</v>
      </c>
      <c r="D75" s="316">
        <f>CS_PID!D75/VLOOKUP($B75,LEBT[#ALL],4)/VLOOKUP($B75,표2[#ALL],2)</f>
        <v>26.75626594</v>
      </c>
      <c r="E75" s="316">
        <f>CS_PID!E75/VLOOKUP($B75,LEBT[#ALL],4)/VLOOKUP($B75,표2[#ALL],2)</f>
        <v>321.0751913</v>
      </c>
      <c r="F75" s="316">
        <f>CS_PID!F75/VLOOKUP($B75,LEBT[#ALL],4)/VLOOKUP($B75,표2[#ALL],2)</f>
        <v>535.1253188</v>
      </c>
      <c r="G75" s="316">
        <f>CS_PID!G75/VLOOKUP($B75,LEBT[#ALL],4)/VLOOKUP($B75,표2[#ALL],2)</f>
        <v>53.51253188</v>
      </c>
      <c r="H75" s="316">
        <f>CS_PID!H75/VLOOKUP($B75,LEBT[#ALL],4)/VLOOKUP($B75,표2[#ALL],2)</f>
        <v>0</v>
      </c>
      <c r="I75" s="316">
        <f>CS_PID!I75/VLOOKUP($B75,LEBT[#ALL],4)/VLOOKUP($B75,표2[#ALL],2)</f>
        <v>0</v>
      </c>
      <c r="J75" s="316">
        <f>CS_PID!J75/VLOOKUP($B75,LEBT[#ALL],4)/VLOOKUP($B75,표2[#ALL],2)</f>
        <v>1471.594627</v>
      </c>
      <c r="K75" s="316">
        <f>CS_PID!K75/VLOOKUP($B75,LEBT[#ALL],4)/VLOOKUP($B75,표2[#ALL],2)</f>
        <v>1498.350893</v>
      </c>
      <c r="L75" s="316">
        <f>CS_PID!L75/VLOOKUP($B75,LEBT[#ALL],4)/VLOOKUP($B75,표2[#ALL],2)</f>
        <v>535.1253188</v>
      </c>
      <c r="M75" s="316">
        <f>CS_PID!M75/VLOOKUP($B75,LEBT[#ALL],4)/VLOOKUP($B75,표2[#ALL],2)</f>
        <v>53.51253188</v>
      </c>
      <c r="N75" s="316">
        <f>CS_PID!N75/VLOOKUP($B75,LEBT[#ALL],4)/VLOOKUP($B75,표2[#ALL],2)</f>
        <v>0</v>
      </c>
      <c r="O75" s="316">
        <f>CS_PID!O75/VLOOKUP($B75,LEBT[#ALL],4)/VLOOKUP($B75,표2[#ALL],2)</f>
        <v>26.75626594</v>
      </c>
      <c r="P75" s="316">
        <f>CS_PID!P75/VLOOKUP($B75,LEBT[#ALL],4)/VLOOKUP($B75,표2[#ALL],2)</f>
        <v>775.9317122</v>
      </c>
      <c r="Q75" s="316">
        <f>CS_PID!Q75/VLOOKUP($B75,LEBT[#ALL],4)/VLOOKUP($B75,표2[#ALL],2)</f>
        <v>3451.558306</v>
      </c>
      <c r="R75" s="316">
        <f>CS_PID!R75/VLOOKUP($B75,LEBT[#ALL],4)/VLOOKUP($B75,표2[#ALL],2)</f>
        <v>1016.738106</v>
      </c>
      <c r="S75" s="316">
        <f>CS_PID!S75/VLOOKUP($B75,LEBT[#ALL],4)/VLOOKUP($B75,표2[#ALL],2)</f>
        <v>0</v>
      </c>
      <c r="T75" s="316">
        <f>CS_PID!T75/VLOOKUP($B75,LEBT[#ALL],4)/VLOOKUP($B75,표2[#ALL],2)</f>
        <v>0</v>
      </c>
      <c r="U75" s="316">
        <f>CS_PID!U75/VLOOKUP($B75,LEBT[#ALL],4)/VLOOKUP($B75,표2[#ALL],2)</f>
        <v>0</v>
      </c>
      <c r="V75" s="316">
        <f>CS_PID!V75/VLOOKUP($B75,LEBT[#ALL],4)/VLOOKUP($B75,표2[#ALL],2)</f>
        <v>401.3439891</v>
      </c>
      <c r="W75" s="316">
        <f>CS_PID!W75/VLOOKUP($B75,LEBT[#ALL],4)/VLOOKUP($B75,표2[#ALL],2)</f>
        <v>3478.314572</v>
      </c>
      <c r="X75" s="316">
        <f>CS_PID!X75/VLOOKUP($B75,LEBT[#ALL],4)/VLOOKUP($B75,표2[#ALL],2)</f>
        <v>1525.107159</v>
      </c>
      <c r="Y75" s="316">
        <f>CS_PID!Y75/VLOOKUP($B75,LEBT[#ALL],4)/VLOOKUP($B75,표2[#ALL],2)</f>
        <v>0</v>
      </c>
      <c r="Z75" s="316">
        <f>CS_PID!Z75/VLOOKUP($B75,LEBT[#ALL],4)/VLOOKUP($B75,표2[#ALL],2)</f>
        <v>0</v>
      </c>
      <c r="AA75" s="316">
        <f>CS_PID!AA75/VLOOKUP($B75,LEBT[#ALL],4)/VLOOKUP($B75,표2[#ALL],2)</f>
        <v>0</v>
      </c>
      <c r="AB75" s="316">
        <f>CS_PID!AB75/VLOOKUP($B75,LEBT[#ALL],4)/VLOOKUP($B75,표2[#ALL],2)</f>
        <v>187.2938616</v>
      </c>
      <c r="AC75" s="316">
        <f>CS_PID!AC75/VLOOKUP($B75,LEBT[#ALL],4)/VLOOKUP($B75,표2[#ALL],2)</f>
        <v>2381.307669</v>
      </c>
      <c r="AD75" s="316">
        <f>CS_PID!AD75/VLOOKUP($B75,LEBT[#ALL],4)/VLOOKUP($B75,표2[#ALL],2)</f>
        <v>909.7130419</v>
      </c>
      <c r="AE75" s="316">
        <f>CS_PID!AE75/VLOOKUP($B75,LEBT[#ALL],4)/VLOOKUP($B75,표2[#ALL],2)</f>
        <v>26.75626594</v>
      </c>
      <c r="AF75" s="316">
        <f>CS_PID!AF75/VLOOKUP($B75,LEBT[#ALL],4)/VLOOKUP($B75,표2[#ALL],2)</f>
        <v>0</v>
      </c>
      <c r="AG75" s="316">
        <f>CS_PID!AG75/VLOOKUP($B75,LEBT[#ALL],4)/VLOOKUP($B75,표2[#ALL],2)</f>
        <v>0</v>
      </c>
      <c r="AH75" s="316">
        <f>CS_PID!AH75/VLOOKUP($B75,LEBT[#ALL],4)/VLOOKUP($B75,표2[#ALL],2)</f>
        <v>107.0250638</v>
      </c>
      <c r="AI75" s="316">
        <f>CS_PID!AI75/VLOOKUP($B75,LEBT[#ALL],4)/VLOOKUP($B75,표2[#ALL],2)</f>
        <v>989.9818397</v>
      </c>
      <c r="AJ75" s="316">
        <f>CS_PID!AJ75/VLOOKUP($B75,LEBT[#ALL],4)/VLOOKUP($B75,표2[#ALL],2)</f>
        <v>481.6127869</v>
      </c>
      <c r="AK75" s="316">
        <f>CS_PID!AK75/VLOOKUP($B75,LEBT[#ALL],4)/VLOOKUP($B75,표2[#ALL],2)</f>
        <v>0</v>
      </c>
      <c r="AL75" s="316">
        <f>CS_PID!AL75/VLOOKUP($B75,LEBT[#ALL],4)/VLOOKUP($B75,표2[#ALL],2)</f>
        <v>0</v>
      </c>
      <c r="AM75" s="316">
        <f>CS_PID!AM75/VLOOKUP($B75,LEBT[#ALL],4)/VLOOKUP($B75,표2[#ALL],2)</f>
        <v>26.75626594</v>
      </c>
      <c r="AN75" s="316">
        <f>CS_PID!AN75/VLOOKUP($B75,LEBT[#ALL],4)/VLOOKUP($B75,표2[#ALL],2)</f>
        <v>615.3941166</v>
      </c>
      <c r="AO75" s="316">
        <f>CS_PID!AO75/VLOOKUP($B75,LEBT[#ALL],4)/VLOOKUP($B75,표2[#ALL],2)</f>
        <v>107.0250638</v>
      </c>
      <c r="AP75" s="316">
        <f>CS_PID!AP75/VLOOKUP($B75,LEBT[#ALL],4)/VLOOKUP($B75,표2[#ALL],2)</f>
        <v>0</v>
      </c>
      <c r="AQ75" s="316">
        <f>CS_PID!AQ75/VLOOKUP($B75,LEBT[#ALL],4)/VLOOKUP($B75,표2[#ALL],2)</f>
        <v>0</v>
      </c>
      <c r="AR75" s="316">
        <f>CS_PID!AR75/VLOOKUP($B75,LEBT[#ALL],4)/VLOOKUP($B75,표2[#ALL],2)</f>
        <v>0</v>
      </c>
      <c r="AS75" s="316">
        <f>CS_PID!AS75/VLOOKUP($B75,LEBT[#ALL],4)/VLOOKUP($B75,표2[#ALL],2)</f>
        <v>0</v>
      </c>
    </row>
    <row r="76">
      <c r="A76" s="165" t="s">
        <v>82</v>
      </c>
      <c r="B76" s="166">
        <v>343.0</v>
      </c>
      <c r="C76" s="316">
        <f>CS_PID!C76/VLOOKUP($B76,LEBT[#ALL],4)/VLOOKUP($B76,표2[#ALL],2)</f>
        <v>0</v>
      </c>
      <c r="D76" s="316">
        <f>CS_PID!D76/VLOOKUP($B76,LEBT[#ALL],4)/VLOOKUP($B76,표2[#ALL],2)</f>
        <v>107.5478531</v>
      </c>
      <c r="E76" s="316">
        <f>CS_PID!E76/VLOOKUP($B76,LEBT[#ALL],4)/VLOOKUP($B76,표2[#ALL],2)</f>
        <v>457.0783757</v>
      </c>
      <c r="F76" s="316">
        <f>CS_PID!F76/VLOOKUP($B76,LEBT[#ALL],4)/VLOOKUP($B76,표2[#ALL],2)</f>
        <v>564.6262288</v>
      </c>
      <c r="G76" s="316">
        <f>CS_PID!G76/VLOOKUP($B76,LEBT[#ALL],4)/VLOOKUP($B76,표2[#ALL],2)</f>
        <v>80.66088983</v>
      </c>
      <c r="H76" s="316">
        <f>CS_PID!H76/VLOOKUP($B76,LEBT[#ALL],4)/VLOOKUP($B76,표2[#ALL],2)</f>
        <v>0</v>
      </c>
      <c r="I76" s="316">
        <f>CS_PID!I76/VLOOKUP($B76,LEBT[#ALL],4)/VLOOKUP($B76,표2[#ALL],2)</f>
        <v>26.88696328</v>
      </c>
      <c r="J76" s="316">
        <f>CS_PID!J76/VLOOKUP($B76,LEBT[#ALL],4)/VLOOKUP($B76,표2[#ALL],2)</f>
        <v>1908.974393</v>
      </c>
      <c r="K76" s="316">
        <f>CS_PID!K76/VLOOKUP($B76,LEBT[#ALL],4)/VLOOKUP($B76,표2[#ALL],2)</f>
        <v>1317.461201</v>
      </c>
      <c r="L76" s="316">
        <f>CS_PID!L76/VLOOKUP($B76,LEBT[#ALL],4)/VLOOKUP($B76,표2[#ALL],2)</f>
        <v>376.4174859</v>
      </c>
      <c r="M76" s="316">
        <f>CS_PID!M76/VLOOKUP($B76,LEBT[#ALL],4)/VLOOKUP($B76,표2[#ALL],2)</f>
        <v>26.88696328</v>
      </c>
      <c r="N76" s="316">
        <f>CS_PID!N76/VLOOKUP($B76,LEBT[#ALL],4)/VLOOKUP($B76,표2[#ALL],2)</f>
        <v>0</v>
      </c>
      <c r="O76" s="316">
        <f>CS_PID!O76/VLOOKUP($B76,LEBT[#ALL],4)/VLOOKUP($B76,표2[#ALL],2)</f>
        <v>26.88696328</v>
      </c>
      <c r="P76" s="316">
        <f>CS_PID!P76/VLOOKUP($B76,LEBT[#ALL],4)/VLOOKUP($B76,표2[#ALL],2)</f>
        <v>672.1740819</v>
      </c>
      <c r="Q76" s="316">
        <f>CS_PID!Q76/VLOOKUP($B76,LEBT[#ALL],4)/VLOOKUP($B76,표2[#ALL],2)</f>
        <v>3414.644336</v>
      </c>
      <c r="R76" s="316">
        <f>CS_PID!R76/VLOOKUP($B76,LEBT[#ALL],4)/VLOOKUP($B76,표2[#ALL],2)</f>
        <v>941.0437147</v>
      </c>
      <c r="S76" s="316">
        <f>CS_PID!S76/VLOOKUP($B76,LEBT[#ALL],4)/VLOOKUP($B76,표2[#ALL],2)</f>
        <v>0</v>
      </c>
      <c r="T76" s="316">
        <f>CS_PID!T76/VLOOKUP($B76,LEBT[#ALL],4)/VLOOKUP($B76,표2[#ALL],2)</f>
        <v>0</v>
      </c>
      <c r="U76" s="316">
        <f>CS_PID!U76/VLOOKUP($B76,LEBT[#ALL],4)/VLOOKUP($B76,표2[#ALL],2)</f>
        <v>0</v>
      </c>
      <c r="V76" s="316">
        <f>CS_PID!V76/VLOOKUP($B76,LEBT[#ALL],4)/VLOOKUP($B76,표2[#ALL],2)</f>
        <v>430.1914124</v>
      </c>
      <c r="W76" s="316">
        <f>CS_PID!W76/VLOOKUP($B76,LEBT[#ALL],4)/VLOOKUP($B76,표2[#ALL],2)</f>
        <v>2742.470254</v>
      </c>
      <c r="X76" s="316">
        <f>CS_PID!X76/VLOOKUP($B76,LEBT[#ALL],4)/VLOOKUP($B76,표2[#ALL],2)</f>
        <v>1774.539576</v>
      </c>
      <c r="Y76" s="316">
        <f>CS_PID!Y76/VLOOKUP($B76,LEBT[#ALL],4)/VLOOKUP($B76,표2[#ALL],2)</f>
        <v>53.77392656</v>
      </c>
      <c r="Z76" s="316">
        <f>CS_PID!Z76/VLOOKUP($B76,LEBT[#ALL],4)/VLOOKUP($B76,표2[#ALL],2)</f>
        <v>0</v>
      </c>
      <c r="AA76" s="316">
        <f>CS_PID!AA76/VLOOKUP($B76,LEBT[#ALL],4)/VLOOKUP($B76,표2[#ALL],2)</f>
        <v>0</v>
      </c>
      <c r="AB76" s="316">
        <f>CS_PID!AB76/VLOOKUP($B76,LEBT[#ALL],4)/VLOOKUP($B76,표2[#ALL],2)</f>
        <v>161.3217797</v>
      </c>
      <c r="AC76" s="316">
        <f>CS_PID!AC76/VLOOKUP($B76,LEBT[#ALL],4)/VLOOKUP($B76,표2[#ALL],2)</f>
        <v>2903.792034</v>
      </c>
      <c r="AD76" s="316">
        <f>CS_PID!AD76/VLOOKUP($B76,LEBT[#ALL],4)/VLOOKUP($B76,표2[#ALL],2)</f>
        <v>779.7219351</v>
      </c>
      <c r="AE76" s="316">
        <f>CS_PID!AE76/VLOOKUP($B76,LEBT[#ALL],4)/VLOOKUP($B76,표2[#ALL],2)</f>
        <v>0</v>
      </c>
      <c r="AF76" s="316">
        <f>CS_PID!AF76/VLOOKUP($B76,LEBT[#ALL],4)/VLOOKUP($B76,표2[#ALL],2)</f>
        <v>0</v>
      </c>
      <c r="AG76" s="316">
        <f>CS_PID!AG76/VLOOKUP($B76,LEBT[#ALL],4)/VLOOKUP($B76,표2[#ALL],2)</f>
        <v>0</v>
      </c>
      <c r="AH76" s="316">
        <f>CS_PID!AH76/VLOOKUP($B76,LEBT[#ALL],4)/VLOOKUP($B76,표2[#ALL],2)</f>
        <v>161.3217797</v>
      </c>
      <c r="AI76" s="316">
        <f>CS_PID!AI76/VLOOKUP($B76,LEBT[#ALL],4)/VLOOKUP($B76,표2[#ALL],2)</f>
        <v>994.8176413</v>
      </c>
      <c r="AJ76" s="316">
        <f>CS_PID!AJ76/VLOOKUP($B76,LEBT[#ALL],4)/VLOOKUP($B76,표2[#ALL],2)</f>
        <v>591.5131921</v>
      </c>
      <c r="AK76" s="316">
        <f>CS_PID!AK76/VLOOKUP($B76,LEBT[#ALL],4)/VLOOKUP($B76,표2[#ALL],2)</f>
        <v>26.88696328</v>
      </c>
      <c r="AL76" s="316">
        <f>CS_PID!AL76/VLOOKUP($B76,LEBT[#ALL],4)/VLOOKUP($B76,표2[#ALL],2)</f>
        <v>0</v>
      </c>
      <c r="AM76" s="316">
        <f>CS_PID!AM76/VLOOKUP($B76,LEBT[#ALL],4)/VLOOKUP($B76,표2[#ALL],2)</f>
        <v>0</v>
      </c>
      <c r="AN76" s="316">
        <f>CS_PID!AN76/VLOOKUP($B76,LEBT[#ALL],4)/VLOOKUP($B76,표2[#ALL],2)</f>
        <v>725.9480085</v>
      </c>
      <c r="AO76" s="316">
        <f>CS_PID!AO76/VLOOKUP($B76,LEBT[#ALL],4)/VLOOKUP($B76,표2[#ALL],2)</f>
        <v>0</v>
      </c>
      <c r="AP76" s="316">
        <f>CS_PID!AP76/VLOOKUP($B76,LEBT[#ALL],4)/VLOOKUP($B76,표2[#ALL],2)</f>
        <v>0</v>
      </c>
      <c r="AQ76" s="316">
        <f>CS_PID!AQ76/VLOOKUP($B76,LEBT[#ALL],4)/VLOOKUP($B76,표2[#ALL],2)</f>
        <v>26.88696328</v>
      </c>
      <c r="AR76" s="316">
        <f>CS_PID!AR76/VLOOKUP($B76,LEBT[#ALL],4)/VLOOKUP($B76,표2[#ALL],2)</f>
        <v>53.77392656</v>
      </c>
      <c r="AS76" s="316">
        <f>CS_PID!AS76/VLOOKUP($B76,LEBT[#ALL],4)/VLOOKUP($B76,표2[#ALL],2)</f>
        <v>0</v>
      </c>
    </row>
    <row r="77">
      <c r="A77" s="165" t="s">
        <v>82</v>
      </c>
      <c r="B77" s="166">
        <v>344.0</v>
      </c>
      <c r="C77" s="316">
        <f>CS_PID!C77/VLOOKUP($B77,LEBT[#ALL],4)/VLOOKUP($B77,표2[#ALL],2)</f>
        <v>0</v>
      </c>
      <c r="D77" s="316">
        <f>CS_PID!D77/VLOOKUP($B77,LEBT[#ALL],4)/VLOOKUP($B77,표2[#ALL],2)</f>
        <v>27.27874393</v>
      </c>
      <c r="E77" s="316">
        <f>CS_PID!E77/VLOOKUP($B77,LEBT[#ALL],4)/VLOOKUP($B77,표2[#ALL],2)</f>
        <v>300.0661832</v>
      </c>
      <c r="F77" s="316">
        <f>CS_PID!F77/VLOOKUP($B77,LEBT[#ALL],4)/VLOOKUP($B77,표2[#ALL],2)</f>
        <v>81.83623178</v>
      </c>
      <c r="G77" s="316">
        <f>CS_PID!G77/VLOOKUP($B77,LEBT[#ALL],4)/VLOOKUP($B77,표2[#ALL],2)</f>
        <v>0</v>
      </c>
      <c r="H77" s="316">
        <f>CS_PID!H77/VLOOKUP($B77,LEBT[#ALL],4)/VLOOKUP($B77,표2[#ALL],2)</f>
        <v>0</v>
      </c>
      <c r="I77" s="316">
        <f>CS_PID!I77/VLOOKUP($B77,LEBT[#ALL],4)/VLOOKUP($B77,표2[#ALL],2)</f>
        <v>0</v>
      </c>
      <c r="J77" s="316">
        <f>CS_PID!J77/VLOOKUP($B77,LEBT[#ALL],4)/VLOOKUP($B77,표2[#ALL],2)</f>
        <v>600.1323664</v>
      </c>
      <c r="K77" s="316">
        <f>CS_PID!K77/VLOOKUP($B77,LEBT[#ALL],4)/VLOOKUP($B77,표2[#ALL],2)</f>
        <v>545.5748785</v>
      </c>
      <c r="L77" s="316">
        <f>CS_PID!L77/VLOOKUP($B77,LEBT[#ALL],4)/VLOOKUP($B77,표2[#ALL],2)</f>
        <v>136.3937196</v>
      </c>
      <c r="M77" s="316">
        <f>CS_PID!M77/VLOOKUP($B77,LEBT[#ALL],4)/VLOOKUP($B77,표2[#ALL],2)</f>
        <v>0</v>
      </c>
      <c r="N77" s="316">
        <f>CS_PID!N77/VLOOKUP($B77,LEBT[#ALL],4)/VLOOKUP($B77,표2[#ALL],2)</f>
        <v>0</v>
      </c>
      <c r="O77" s="316">
        <f>CS_PID!O77/VLOOKUP($B77,LEBT[#ALL],4)/VLOOKUP($B77,표2[#ALL],2)</f>
        <v>27.27874393</v>
      </c>
      <c r="P77" s="316">
        <f>CS_PID!P77/VLOOKUP($B77,LEBT[#ALL],4)/VLOOKUP($B77,표2[#ALL],2)</f>
        <v>300.0661832</v>
      </c>
      <c r="Q77" s="316">
        <f>CS_PID!Q77/VLOOKUP($B77,LEBT[#ALL],4)/VLOOKUP($B77,표2[#ALL],2)</f>
        <v>1418.494684</v>
      </c>
      <c r="R77" s="316">
        <f>CS_PID!R77/VLOOKUP($B77,LEBT[#ALL],4)/VLOOKUP($B77,표2[#ALL],2)</f>
        <v>218.2299514</v>
      </c>
      <c r="S77" s="316">
        <f>CS_PID!S77/VLOOKUP($B77,LEBT[#ALL],4)/VLOOKUP($B77,표2[#ALL],2)</f>
        <v>0</v>
      </c>
      <c r="T77" s="316">
        <f>CS_PID!T77/VLOOKUP($B77,LEBT[#ALL],4)/VLOOKUP($B77,표2[#ALL],2)</f>
        <v>0</v>
      </c>
      <c r="U77" s="316">
        <f>CS_PID!U77/VLOOKUP($B77,LEBT[#ALL],4)/VLOOKUP($B77,표2[#ALL],2)</f>
        <v>0</v>
      </c>
      <c r="V77" s="316">
        <f>CS_PID!V77/VLOOKUP($B77,LEBT[#ALL],4)/VLOOKUP($B77,표2[#ALL],2)</f>
        <v>218.2299514</v>
      </c>
      <c r="W77" s="316">
        <f>CS_PID!W77/VLOOKUP($B77,LEBT[#ALL],4)/VLOOKUP($B77,표2[#ALL],2)</f>
        <v>1118.428501</v>
      </c>
      <c r="X77" s="316">
        <f>CS_PID!X77/VLOOKUP($B77,LEBT[#ALL],4)/VLOOKUP($B77,표2[#ALL],2)</f>
        <v>654.6898542</v>
      </c>
      <c r="Y77" s="316">
        <f>CS_PID!Y77/VLOOKUP($B77,LEBT[#ALL],4)/VLOOKUP($B77,표2[#ALL],2)</f>
        <v>0</v>
      </c>
      <c r="Z77" s="316">
        <f>CS_PID!Z77/VLOOKUP($B77,LEBT[#ALL],4)/VLOOKUP($B77,표2[#ALL],2)</f>
        <v>0</v>
      </c>
      <c r="AA77" s="316">
        <f>CS_PID!AA77/VLOOKUP($B77,LEBT[#ALL],4)/VLOOKUP($B77,표2[#ALL],2)</f>
        <v>0</v>
      </c>
      <c r="AB77" s="316">
        <f>CS_PID!AB77/VLOOKUP($B77,LEBT[#ALL],4)/VLOOKUP($B77,표2[#ALL],2)</f>
        <v>27.27874393</v>
      </c>
      <c r="AC77" s="316">
        <f>CS_PID!AC77/VLOOKUP($B77,LEBT[#ALL],4)/VLOOKUP($B77,표2[#ALL],2)</f>
        <v>845.6410617</v>
      </c>
      <c r="AD77" s="316">
        <f>CS_PID!AD77/VLOOKUP($B77,LEBT[#ALL],4)/VLOOKUP($B77,표2[#ALL],2)</f>
        <v>272.7874393</v>
      </c>
      <c r="AE77" s="316">
        <f>CS_PID!AE77/VLOOKUP($B77,LEBT[#ALL],4)/VLOOKUP($B77,표2[#ALL],2)</f>
        <v>27.27874393</v>
      </c>
      <c r="AF77" s="316">
        <f>CS_PID!AF77/VLOOKUP($B77,LEBT[#ALL],4)/VLOOKUP($B77,표2[#ALL],2)</f>
        <v>0</v>
      </c>
      <c r="AG77" s="316">
        <f>CS_PID!AG77/VLOOKUP($B77,LEBT[#ALL],4)/VLOOKUP($B77,표2[#ALL],2)</f>
        <v>0</v>
      </c>
      <c r="AH77" s="316">
        <f>CS_PID!AH77/VLOOKUP($B77,LEBT[#ALL],4)/VLOOKUP($B77,표2[#ALL],2)</f>
        <v>81.83623178</v>
      </c>
      <c r="AI77" s="316">
        <f>CS_PID!AI77/VLOOKUP($B77,LEBT[#ALL],4)/VLOOKUP($B77,표2[#ALL],2)</f>
        <v>409.1811589</v>
      </c>
      <c r="AJ77" s="316">
        <f>CS_PID!AJ77/VLOOKUP($B77,LEBT[#ALL],4)/VLOOKUP($B77,표2[#ALL],2)</f>
        <v>190.9512075</v>
      </c>
      <c r="AK77" s="316">
        <f>CS_PID!AK77/VLOOKUP($B77,LEBT[#ALL],4)/VLOOKUP($B77,표2[#ALL],2)</f>
        <v>0</v>
      </c>
      <c r="AL77" s="316">
        <f>CS_PID!AL77/VLOOKUP($B77,LEBT[#ALL],4)/VLOOKUP($B77,표2[#ALL],2)</f>
        <v>0</v>
      </c>
      <c r="AM77" s="316">
        <f>CS_PID!AM77/VLOOKUP($B77,LEBT[#ALL],4)/VLOOKUP($B77,표2[#ALL],2)</f>
        <v>54.55748785</v>
      </c>
      <c r="AN77" s="316">
        <f>CS_PID!AN77/VLOOKUP($B77,LEBT[#ALL],4)/VLOOKUP($B77,표2[#ALL],2)</f>
        <v>245.5086953</v>
      </c>
      <c r="AO77" s="316">
        <f>CS_PID!AO77/VLOOKUP($B77,LEBT[#ALL],4)/VLOOKUP($B77,표2[#ALL],2)</f>
        <v>0</v>
      </c>
      <c r="AP77" s="316">
        <f>CS_PID!AP77/VLOOKUP($B77,LEBT[#ALL],4)/VLOOKUP($B77,표2[#ALL],2)</f>
        <v>0</v>
      </c>
      <c r="AQ77" s="316">
        <f>CS_PID!AQ77/VLOOKUP($B77,LEBT[#ALL],4)/VLOOKUP($B77,표2[#ALL],2)</f>
        <v>27.27874393</v>
      </c>
      <c r="AR77" s="316">
        <f>CS_PID!AR77/VLOOKUP($B77,LEBT[#ALL],4)/VLOOKUP($B77,표2[#ALL],2)</f>
        <v>0</v>
      </c>
      <c r="AS77" s="316">
        <f>CS_PID!AS77/VLOOKUP($B77,LEBT[#ALL],4)/VLOOKUP($B77,표2[#ALL],2)</f>
        <v>0</v>
      </c>
    </row>
    <row r="78">
      <c r="A78" s="165" t="s">
        <v>82</v>
      </c>
      <c r="B78" s="166">
        <v>345.0</v>
      </c>
      <c r="C78" s="316">
        <f>CS_PID!C78/VLOOKUP($B78,LEBT[#ALL],4)/VLOOKUP($B78,표2[#ALL],2)</f>
        <v>0</v>
      </c>
      <c r="D78" s="316">
        <f>CS_PID!D78/VLOOKUP($B78,LEBT[#ALL],4)/VLOOKUP($B78,표2[#ALL],2)</f>
        <v>54.03522631</v>
      </c>
      <c r="E78" s="316">
        <f>CS_PID!E78/VLOOKUP($B78,LEBT[#ALL],4)/VLOOKUP($B78,표2[#ALL],2)</f>
        <v>459.2994236</v>
      </c>
      <c r="F78" s="316">
        <f>CS_PID!F78/VLOOKUP($B78,LEBT[#ALL],4)/VLOOKUP($B78,표2[#ALL],2)</f>
        <v>513.3346499</v>
      </c>
      <c r="G78" s="316">
        <f>CS_PID!G78/VLOOKUP($B78,LEBT[#ALL],4)/VLOOKUP($B78,표2[#ALL],2)</f>
        <v>54.03522631</v>
      </c>
      <c r="H78" s="316">
        <f>CS_PID!H78/VLOOKUP($B78,LEBT[#ALL],4)/VLOOKUP($B78,표2[#ALL],2)</f>
        <v>0</v>
      </c>
      <c r="I78" s="316">
        <f>CS_PID!I78/VLOOKUP($B78,LEBT[#ALL],4)/VLOOKUP($B78,표2[#ALL],2)</f>
        <v>0</v>
      </c>
      <c r="J78" s="316">
        <f>CS_PID!J78/VLOOKUP($B78,LEBT[#ALL],4)/VLOOKUP($B78,표2[#ALL],2)</f>
        <v>1242.810205</v>
      </c>
      <c r="K78" s="316">
        <f>CS_PID!K78/VLOOKUP($B78,LEBT[#ALL],4)/VLOOKUP($B78,표2[#ALL],2)</f>
        <v>1269.827818</v>
      </c>
      <c r="L78" s="316">
        <f>CS_PID!L78/VLOOKUP($B78,LEBT[#ALL],4)/VLOOKUP($B78,표2[#ALL],2)</f>
        <v>432.2818105</v>
      </c>
      <c r="M78" s="316">
        <f>CS_PID!M78/VLOOKUP($B78,LEBT[#ALL],4)/VLOOKUP($B78,표2[#ALL],2)</f>
        <v>0</v>
      </c>
      <c r="N78" s="316">
        <f>CS_PID!N78/VLOOKUP($B78,LEBT[#ALL],4)/VLOOKUP($B78,표2[#ALL],2)</f>
        <v>0</v>
      </c>
      <c r="O78" s="316">
        <f>CS_PID!O78/VLOOKUP($B78,LEBT[#ALL],4)/VLOOKUP($B78,표2[#ALL],2)</f>
        <v>81.05283946</v>
      </c>
      <c r="P78" s="316">
        <f>CS_PID!P78/VLOOKUP($B78,LEBT[#ALL],4)/VLOOKUP($B78,표2[#ALL],2)</f>
        <v>648.4227157</v>
      </c>
      <c r="Q78" s="316">
        <f>CS_PID!Q78/VLOOKUP($B78,LEBT[#ALL],4)/VLOOKUP($B78,표2[#ALL],2)</f>
        <v>3620.360163</v>
      </c>
      <c r="R78" s="316">
        <f>CS_PID!R78/VLOOKUP($B78,LEBT[#ALL],4)/VLOOKUP($B78,표2[#ALL],2)</f>
        <v>999.6516867</v>
      </c>
      <c r="S78" s="316">
        <f>CS_PID!S78/VLOOKUP($B78,LEBT[#ALL],4)/VLOOKUP($B78,표2[#ALL],2)</f>
        <v>0</v>
      </c>
      <c r="T78" s="316">
        <f>CS_PID!T78/VLOOKUP($B78,LEBT[#ALL],4)/VLOOKUP($B78,표2[#ALL],2)</f>
        <v>0</v>
      </c>
      <c r="U78" s="316">
        <f>CS_PID!U78/VLOOKUP($B78,LEBT[#ALL],4)/VLOOKUP($B78,표2[#ALL],2)</f>
        <v>0</v>
      </c>
      <c r="V78" s="316">
        <f>CS_PID!V78/VLOOKUP($B78,LEBT[#ALL],4)/VLOOKUP($B78,표2[#ALL],2)</f>
        <v>513.3346499</v>
      </c>
      <c r="W78" s="316">
        <f>CS_PID!W78/VLOOKUP($B78,LEBT[#ALL],4)/VLOOKUP($B78,표2[#ALL],2)</f>
        <v>2593.690863</v>
      </c>
      <c r="X78" s="316">
        <f>CS_PID!X78/VLOOKUP($B78,LEBT[#ALL],4)/VLOOKUP($B78,표2[#ALL],2)</f>
        <v>1837.197694</v>
      </c>
      <c r="Y78" s="316">
        <f>CS_PID!Y78/VLOOKUP($B78,LEBT[#ALL],4)/VLOOKUP($B78,표2[#ALL],2)</f>
        <v>27.01761315</v>
      </c>
      <c r="Z78" s="316">
        <f>CS_PID!Z78/VLOOKUP($B78,LEBT[#ALL],4)/VLOOKUP($B78,표2[#ALL],2)</f>
        <v>0</v>
      </c>
      <c r="AA78" s="316">
        <f>CS_PID!AA78/VLOOKUP($B78,LEBT[#ALL],4)/VLOOKUP($B78,표2[#ALL],2)</f>
        <v>0</v>
      </c>
      <c r="AB78" s="316">
        <f>CS_PID!AB78/VLOOKUP($B78,LEBT[#ALL],4)/VLOOKUP($B78,표2[#ALL],2)</f>
        <v>162.1056789</v>
      </c>
      <c r="AC78" s="316">
        <f>CS_PID!AC78/VLOOKUP($B78,LEBT[#ALL],4)/VLOOKUP($B78,표2[#ALL],2)</f>
        <v>2404.567571</v>
      </c>
      <c r="AD78" s="316">
        <f>CS_PID!AD78/VLOOKUP($B78,LEBT[#ALL],4)/VLOOKUP($B78,표2[#ALL],2)</f>
        <v>432.2818105</v>
      </c>
      <c r="AE78" s="316">
        <f>CS_PID!AE78/VLOOKUP($B78,LEBT[#ALL],4)/VLOOKUP($B78,표2[#ALL],2)</f>
        <v>54.03522631</v>
      </c>
      <c r="AF78" s="316">
        <f>CS_PID!AF78/VLOOKUP($B78,LEBT[#ALL],4)/VLOOKUP($B78,표2[#ALL],2)</f>
        <v>0</v>
      </c>
      <c r="AG78" s="316">
        <f>CS_PID!AG78/VLOOKUP($B78,LEBT[#ALL],4)/VLOOKUP($B78,표2[#ALL],2)</f>
        <v>0</v>
      </c>
      <c r="AH78" s="316">
        <f>CS_PID!AH78/VLOOKUP($B78,LEBT[#ALL],4)/VLOOKUP($B78,표2[#ALL],2)</f>
        <v>81.05283946</v>
      </c>
      <c r="AI78" s="316">
        <f>CS_PID!AI78/VLOOKUP($B78,LEBT[#ALL],4)/VLOOKUP($B78,표2[#ALL],2)</f>
        <v>1080.704526</v>
      </c>
      <c r="AJ78" s="316">
        <f>CS_PID!AJ78/VLOOKUP($B78,LEBT[#ALL],4)/VLOOKUP($B78,표2[#ALL],2)</f>
        <v>351.228971</v>
      </c>
      <c r="AK78" s="316">
        <f>CS_PID!AK78/VLOOKUP($B78,LEBT[#ALL],4)/VLOOKUP($B78,표2[#ALL],2)</f>
        <v>0</v>
      </c>
      <c r="AL78" s="316">
        <f>CS_PID!AL78/VLOOKUP($B78,LEBT[#ALL],4)/VLOOKUP($B78,표2[#ALL],2)</f>
        <v>0</v>
      </c>
      <c r="AM78" s="316">
        <f>CS_PID!AM78/VLOOKUP($B78,LEBT[#ALL],4)/VLOOKUP($B78,표2[#ALL],2)</f>
        <v>108.0704526</v>
      </c>
      <c r="AN78" s="316">
        <f>CS_PID!AN78/VLOOKUP($B78,LEBT[#ALL],4)/VLOOKUP($B78,표2[#ALL],2)</f>
        <v>486.3170368</v>
      </c>
      <c r="AO78" s="316">
        <f>CS_PID!AO78/VLOOKUP($B78,LEBT[#ALL],4)/VLOOKUP($B78,표2[#ALL],2)</f>
        <v>81.05283946</v>
      </c>
      <c r="AP78" s="316">
        <f>CS_PID!AP78/VLOOKUP($B78,LEBT[#ALL],4)/VLOOKUP($B78,표2[#ALL],2)</f>
        <v>0</v>
      </c>
      <c r="AQ78" s="316">
        <f>CS_PID!AQ78/VLOOKUP($B78,LEBT[#ALL],4)/VLOOKUP($B78,표2[#ALL],2)</f>
        <v>0</v>
      </c>
      <c r="AR78" s="316">
        <f>CS_PID!AR78/VLOOKUP($B78,LEBT[#ALL],4)/VLOOKUP($B78,표2[#ALL],2)</f>
        <v>54.03522631</v>
      </c>
      <c r="AS78" s="316">
        <f>CS_PID!AS78/VLOOKUP($B78,LEBT[#ALL],4)/VLOOKUP($B78,표2[#ALL],2)</f>
        <v>0</v>
      </c>
    </row>
    <row r="79">
      <c r="A79" s="169" t="s">
        <v>82</v>
      </c>
      <c r="B79" s="170">
        <v>347.0</v>
      </c>
      <c r="C79" s="317">
        <f>CS_PID!C79/VLOOKUP($B79,LEBT[#ALL],4)/VLOOKUP($B79,표2[#ALL],2)</f>
        <v>0</v>
      </c>
      <c r="D79" s="317">
        <f>CS_PID!D79/VLOOKUP($B79,LEBT[#ALL],4)/VLOOKUP($B79,표2[#ALL],2)</f>
        <v>27.05915992</v>
      </c>
      <c r="E79" s="317">
        <f>CS_PID!E79/VLOOKUP($B79,LEBT[#ALL],4)/VLOOKUP($B79,표2[#ALL],2)</f>
        <v>189.4141195</v>
      </c>
      <c r="F79" s="317">
        <f>CS_PID!F79/VLOOKUP($B79,LEBT[#ALL],4)/VLOOKUP($B79,표2[#ALL],2)</f>
        <v>189.4141195</v>
      </c>
      <c r="G79" s="317">
        <f>CS_PID!G79/VLOOKUP($B79,LEBT[#ALL],4)/VLOOKUP($B79,표2[#ALL],2)</f>
        <v>27.05915992</v>
      </c>
      <c r="H79" s="317">
        <f>CS_PID!H79/VLOOKUP($B79,LEBT[#ALL],4)/VLOOKUP($B79,표2[#ALL],2)</f>
        <v>27.05915992</v>
      </c>
      <c r="I79" s="317">
        <f>CS_PID!I79/VLOOKUP($B79,LEBT[#ALL],4)/VLOOKUP($B79,표2[#ALL],2)</f>
        <v>0</v>
      </c>
      <c r="J79" s="317">
        <f>CS_PID!J79/VLOOKUP($B79,LEBT[#ALL],4)/VLOOKUP($B79,표2[#ALL],2)</f>
        <v>1055.307237</v>
      </c>
      <c r="K79" s="317">
        <f>CS_PID!K79/VLOOKUP($B79,LEBT[#ALL],4)/VLOOKUP($B79,표2[#ALL],2)</f>
        <v>1569.431275</v>
      </c>
      <c r="L79" s="317">
        <f>CS_PID!L79/VLOOKUP($B79,LEBT[#ALL],4)/VLOOKUP($B79,표2[#ALL],2)</f>
        <v>297.6507591</v>
      </c>
      <c r="M79" s="317">
        <f>CS_PID!M79/VLOOKUP($B79,LEBT[#ALL],4)/VLOOKUP($B79,표2[#ALL],2)</f>
        <v>54.11831984</v>
      </c>
      <c r="N79" s="317">
        <f>CS_PID!N79/VLOOKUP($B79,LEBT[#ALL],4)/VLOOKUP($B79,표2[#ALL],2)</f>
        <v>0</v>
      </c>
      <c r="O79" s="317">
        <f>CS_PID!O79/VLOOKUP($B79,LEBT[#ALL],4)/VLOOKUP($B79,표2[#ALL],2)</f>
        <v>0</v>
      </c>
      <c r="P79" s="317">
        <f>CS_PID!P79/VLOOKUP($B79,LEBT[#ALL],4)/VLOOKUP($B79,표2[#ALL],2)</f>
        <v>892.9522774</v>
      </c>
      <c r="Q79" s="317">
        <f>CS_PID!Q79/VLOOKUP($B79,LEBT[#ALL],4)/VLOOKUP($B79,표2[#ALL],2)</f>
        <v>2570.620193</v>
      </c>
      <c r="R79" s="317">
        <f>CS_PID!R79/VLOOKUP($B79,LEBT[#ALL],4)/VLOOKUP($B79,표2[#ALL],2)</f>
        <v>622.3606782</v>
      </c>
      <c r="S79" s="317">
        <f>CS_PID!S79/VLOOKUP($B79,LEBT[#ALL],4)/VLOOKUP($B79,표2[#ALL],2)</f>
        <v>27.05915992</v>
      </c>
      <c r="T79" s="317">
        <f>CS_PID!T79/VLOOKUP($B79,LEBT[#ALL],4)/VLOOKUP($B79,표2[#ALL],2)</f>
        <v>0</v>
      </c>
      <c r="U79" s="317">
        <f>CS_PID!U79/VLOOKUP($B79,LEBT[#ALL],4)/VLOOKUP($B79,표2[#ALL],2)</f>
        <v>0</v>
      </c>
      <c r="V79" s="317">
        <f>CS_PID!V79/VLOOKUP($B79,LEBT[#ALL],4)/VLOOKUP($B79,표2[#ALL],2)</f>
        <v>270.5915992</v>
      </c>
      <c r="W79" s="317">
        <f>CS_PID!W79/VLOOKUP($B79,LEBT[#ALL],4)/VLOOKUP($B79,표2[#ALL],2)</f>
        <v>2272.969433</v>
      </c>
      <c r="X79" s="317">
        <f>CS_PID!X79/VLOOKUP($B79,LEBT[#ALL],4)/VLOOKUP($B79,표2[#ALL],2)</f>
        <v>1244.721356</v>
      </c>
      <c r="Y79" s="317">
        <f>CS_PID!Y79/VLOOKUP($B79,LEBT[#ALL],4)/VLOOKUP($B79,표2[#ALL],2)</f>
        <v>54.11831984</v>
      </c>
      <c r="Z79" s="317">
        <f>CS_PID!Z79/VLOOKUP($B79,LEBT[#ALL],4)/VLOOKUP($B79,표2[#ALL],2)</f>
        <v>0</v>
      </c>
      <c r="AA79" s="317">
        <f>CS_PID!AA79/VLOOKUP($B79,LEBT[#ALL],4)/VLOOKUP($B79,표2[#ALL],2)</f>
        <v>0</v>
      </c>
      <c r="AB79" s="317">
        <f>CS_PID!AB79/VLOOKUP($B79,LEBT[#ALL],4)/VLOOKUP($B79,표2[#ALL],2)</f>
        <v>189.4141195</v>
      </c>
      <c r="AC79" s="317">
        <f>CS_PID!AC79/VLOOKUP($B79,LEBT[#ALL],4)/VLOOKUP($B79,표2[#ALL],2)</f>
        <v>2354.146913</v>
      </c>
      <c r="AD79" s="317">
        <f>CS_PID!AD79/VLOOKUP($B79,LEBT[#ALL],4)/VLOOKUP($B79,표2[#ALL],2)</f>
        <v>432.9465587</v>
      </c>
      <c r="AE79" s="317">
        <f>CS_PID!AE79/VLOOKUP($B79,LEBT[#ALL],4)/VLOOKUP($B79,표2[#ALL],2)</f>
        <v>0</v>
      </c>
      <c r="AF79" s="317">
        <f>CS_PID!AF79/VLOOKUP($B79,LEBT[#ALL],4)/VLOOKUP($B79,표2[#ALL],2)</f>
        <v>0</v>
      </c>
      <c r="AG79" s="317">
        <f>CS_PID!AG79/VLOOKUP($B79,LEBT[#ALL],4)/VLOOKUP($B79,표2[#ALL],2)</f>
        <v>0</v>
      </c>
      <c r="AH79" s="317">
        <f>CS_PID!AH79/VLOOKUP($B79,LEBT[#ALL],4)/VLOOKUP($B79,표2[#ALL],2)</f>
        <v>27.05915992</v>
      </c>
      <c r="AI79" s="317">
        <f>CS_PID!AI79/VLOOKUP($B79,LEBT[#ALL],4)/VLOOKUP($B79,표2[#ALL],2)</f>
        <v>595.3015183</v>
      </c>
      <c r="AJ79" s="317">
        <f>CS_PID!AJ79/VLOOKUP($B79,LEBT[#ALL],4)/VLOOKUP($B79,표2[#ALL],2)</f>
        <v>243.5324393</v>
      </c>
      <c r="AK79" s="317">
        <f>CS_PID!AK79/VLOOKUP($B79,LEBT[#ALL],4)/VLOOKUP($B79,표2[#ALL],2)</f>
        <v>0</v>
      </c>
      <c r="AL79" s="317">
        <f>CS_PID!AL79/VLOOKUP($B79,LEBT[#ALL],4)/VLOOKUP($B79,표2[#ALL],2)</f>
        <v>0</v>
      </c>
      <c r="AM79" s="317">
        <f>CS_PID!AM79/VLOOKUP($B79,LEBT[#ALL],4)/VLOOKUP($B79,표2[#ALL],2)</f>
        <v>81.17747976</v>
      </c>
      <c r="AN79" s="317">
        <f>CS_PID!AN79/VLOOKUP($B79,LEBT[#ALL],4)/VLOOKUP($B79,표2[#ALL],2)</f>
        <v>514.1240385</v>
      </c>
      <c r="AO79" s="317">
        <f>CS_PID!AO79/VLOOKUP($B79,LEBT[#ALL],4)/VLOOKUP($B79,표2[#ALL],2)</f>
        <v>135.2957996</v>
      </c>
      <c r="AP79" s="317">
        <f>CS_PID!AP79/VLOOKUP($B79,LEBT[#ALL],4)/VLOOKUP($B79,표2[#ALL],2)</f>
        <v>0</v>
      </c>
      <c r="AQ79" s="317">
        <f>CS_PID!AQ79/VLOOKUP($B79,LEBT[#ALL],4)/VLOOKUP($B79,표2[#ALL],2)</f>
        <v>0</v>
      </c>
      <c r="AR79" s="317">
        <f>CS_PID!AR79/VLOOKUP($B79,LEBT[#ALL],4)/VLOOKUP($B79,표2[#ALL],2)</f>
        <v>0</v>
      </c>
      <c r="AS79" s="317">
        <f>CS_PID!AS79/VLOOKUP($B79,LEBT[#ALL],4)/VLOOKUP($B79,표2[#ALL],2)</f>
        <v>27.05915992</v>
      </c>
    </row>
    <row r="80">
      <c r="A80" s="173" t="s">
        <v>84</v>
      </c>
      <c r="B80" s="174">
        <v>223.0</v>
      </c>
      <c r="C80" s="318">
        <f>CS_PID!C80/VLOOKUP($B80,LEBT[#ALL],4)/VLOOKUP($B80,표2[#ALL],2)</f>
        <v>0</v>
      </c>
      <c r="D80" s="318">
        <f>CS_PID!D80/VLOOKUP($B80,LEBT[#ALL],4)/VLOOKUP($B80,표2[#ALL],2)</f>
        <v>0</v>
      </c>
      <c r="E80" s="318">
        <f>CS_PID!E80/VLOOKUP($B80,LEBT[#ALL],4)/VLOOKUP($B80,표2[#ALL],2)</f>
        <v>0</v>
      </c>
      <c r="F80" s="318">
        <f>CS_PID!F80/VLOOKUP($B80,LEBT[#ALL],4)/VLOOKUP($B80,표2[#ALL],2)</f>
        <v>405.9411587</v>
      </c>
      <c r="G80" s="318">
        <f>CS_PID!G80/VLOOKUP($B80,LEBT[#ALL],4)/VLOOKUP($B80,표2[#ALL],2)</f>
        <v>0</v>
      </c>
      <c r="H80" s="318">
        <f>CS_PID!H80/VLOOKUP($B80,LEBT[#ALL],4)/VLOOKUP($B80,표2[#ALL],2)</f>
        <v>0</v>
      </c>
      <c r="I80" s="318">
        <f>CS_PID!I80/VLOOKUP($B80,LEBT[#ALL],4)/VLOOKUP($B80,표2[#ALL],2)</f>
        <v>0</v>
      </c>
      <c r="J80" s="318">
        <f>CS_PID!J80/VLOOKUP($B80,LEBT[#ALL],4)/VLOOKUP($B80,표2[#ALL],2)</f>
        <v>50.74264484</v>
      </c>
      <c r="K80" s="318">
        <f>CS_PID!K80/VLOOKUP($B80,LEBT[#ALL],4)/VLOOKUP($B80,표2[#ALL],2)</f>
        <v>101.4852897</v>
      </c>
      <c r="L80" s="318">
        <f>CS_PID!L80/VLOOKUP($B80,LEBT[#ALL],4)/VLOOKUP($B80,표2[#ALL],2)</f>
        <v>405.9411587</v>
      </c>
      <c r="M80" s="318">
        <f>CS_PID!M80/VLOOKUP($B80,LEBT[#ALL],4)/VLOOKUP($B80,표2[#ALL],2)</f>
        <v>0</v>
      </c>
      <c r="N80" s="318">
        <f>CS_PID!N80/VLOOKUP($B80,LEBT[#ALL],4)/VLOOKUP($B80,표2[#ALL],2)</f>
        <v>0</v>
      </c>
      <c r="O80" s="318">
        <f>CS_PID!O80/VLOOKUP($B80,LEBT[#ALL],4)/VLOOKUP($B80,표2[#ALL],2)</f>
        <v>0</v>
      </c>
      <c r="P80" s="318">
        <f>CS_PID!P80/VLOOKUP($B80,LEBT[#ALL],4)/VLOOKUP($B80,표2[#ALL],2)</f>
        <v>0</v>
      </c>
      <c r="Q80" s="318">
        <f>CS_PID!Q80/VLOOKUP($B80,LEBT[#ALL],4)/VLOOKUP($B80,표2[#ALL],2)</f>
        <v>355.1985139</v>
      </c>
      <c r="R80" s="318">
        <f>CS_PID!R80/VLOOKUP($B80,LEBT[#ALL],4)/VLOOKUP($B80,표2[#ALL],2)</f>
        <v>558.1690932</v>
      </c>
      <c r="S80" s="318">
        <f>CS_PID!S80/VLOOKUP($B80,LEBT[#ALL],4)/VLOOKUP($B80,표2[#ALL],2)</f>
        <v>0</v>
      </c>
      <c r="T80" s="318">
        <f>CS_PID!T80/VLOOKUP($B80,LEBT[#ALL],4)/VLOOKUP($B80,표2[#ALL],2)</f>
        <v>0</v>
      </c>
      <c r="U80" s="318">
        <f>CS_PID!U80/VLOOKUP($B80,LEBT[#ALL],4)/VLOOKUP($B80,표2[#ALL],2)</f>
        <v>0</v>
      </c>
      <c r="V80" s="318">
        <f>CS_PID!V80/VLOOKUP($B80,LEBT[#ALL],4)/VLOOKUP($B80,표2[#ALL],2)</f>
        <v>0</v>
      </c>
      <c r="W80" s="318">
        <f>CS_PID!W80/VLOOKUP($B80,LEBT[#ALL],4)/VLOOKUP($B80,표2[#ALL],2)</f>
        <v>0</v>
      </c>
      <c r="X80" s="318">
        <f>CS_PID!X80/VLOOKUP($B80,LEBT[#ALL],4)/VLOOKUP($B80,표2[#ALL],2)</f>
        <v>355.1985139</v>
      </c>
      <c r="Y80" s="318">
        <f>CS_PID!Y80/VLOOKUP($B80,LEBT[#ALL],4)/VLOOKUP($B80,표2[#ALL],2)</f>
        <v>0</v>
      </c>
      <c r="Z80" s="318">
        <f>CS_PID!Z80/VLOOKUP($B80,LEBT[#ALL],4)/VLOOKUP($B80,표2[#ALL],2)</f>
        <v>0</v>
      </c>
      <c r="AA80" s="318">
        <f>CS_PID!AA80/VLOOKUP($B80,LEBT[#ALL],4)/VLOOKUP($B80,표2[#ALL],2)</f>
        <v>0</v>
      </c>
      <c r="AB80" s="318">
        <f>CS_PID!AB80/VLOOKUP($B80,LEBT[#ALL],4)/VLOOKUP($B80,표2[#ALL],2)</f>
        <v>0</v>
      </c>
      <c r="AC80" s="318">
        <f>CS_PID!AC80/VLOOKUP($B80,LEBT[#ALL],4)/VLOOKUP($B80,표2[#ALL],2)</f>
        <v>50.74264484</v>
      </c>
      <c r="AD80" s="318">
        <f>CS_PID!AD80/VLOOKUP($B80,LEBT[#ALL],4)/VLOOKUP($B80,표2[#ALL],2)</f>
        <v>152.2279345</v>
      </c>
      <c r="AE80" s="318">
        <f>CS_PID!AE80/VLOOKUP($B80,LEBT[#ALL],4)/VLOOKUP($B80,표2[#ALL],2)</f>
        <v>0</v>
      </c>
      <c r="AF80" s="318">
        <f>CS_PID!AF80/VLOOKUP($B80,LEBT[#ALL],4)/VLOOKUP($B80,표2[#ALL],2)</f>
        <v>0</v>
      </c>
      <c r="AG80" s="318">
        <f>CS_PID!AG80/VLOOKUP($B80,LEBT[#ALL],4)/VLOOKUP($B80,표2[#ALL],2)</f>
        <v>0</v>
      </c>
      <c r="AH80" s="318">
        <f>CS_PID!AH80/VLOOKUP($B80,LEBT[#ALL],4)/VLOOKUP($B80,표2[#ALL],2)</f>
        <v>0</v>
      </c>
      <c r="AI80" s="318">
        <f>CS_PID!AI80/VLOOKUP($B80,LEBT[#ALL],4)/VLOOKUP($B80,표2[#ALL],2)</f>
        <v>0</v>
      </c>
      <c r="AJ80" s="318">
        <f>CS_PID!AJ80/VLOOKUP($B80,LEBT[#ALL],4)/VLOOKUP($B80,표2[#ALL],2)</f>
        <v>152.2279345</v>
      </c>
      <c r="AK80" s="318">
        <f>CS_PID!AK80/VLOOKUP($B80,LEBT[#ALL],4)/VLOOKUP($B80,표2[#ALL],2)</f>
        <v>0</v>
      </c>
      <c r="AL80" s="318">
        <f>CS_PID!AL80/VLOOKUP($B80,LEBT[#ALL],4)/VLOOKUP($B80,표2[#ALL],2)</f>
        <v>0</v>
      </c>
      <c r="AM80" s="318">
        <f>CS_PID!AM80/VLOOKUP($B80,LEBT[#ALL],4)/VLOOKUP($B80,표2[#ALL],2)</f>
        <v>0</v>
      </c>
      <c r="AN80" s="318">
        <f>CS_PID!AN80/VLOOKUP($B80,LEBT[#ALL],4)/VLOOKUP($B80,표2[#ALL],2)</f>
        <v>0</v>
      </c>
      <c r="AO80" s="318">
        <f>CS_PID!AO80/VLOOKUP($B80,LEBT[#ALL],4)/VLOOKUP($B80,표2[#ALL],2)</f>
        <v>0</v>
      </c>
      <c r="AP80" s="318">
        <f>CS_PID!AP80/VLOOKUP($B80,LEBT[#ALL],4)/VLOOKUP($B80,표2[#ALL],2)</f>
        <v>0</v>
      </c>
      <c r="AQ80" s="318">
        <f>CS_PID!AQ80/VLOOKUP($B80,LEBT[#ALL],4)/VLOOKUP($B80,표2[#ALL],2)</f>
        <v>0</v>
      </c>
      <c r="AR80" s="318">
        <f>CS_PID!AR80/VLOOKUP($B80,LEBT[#ALL],4)/VLOOKUP($B80,표2[#ALL],2)</f>
        <v>0</v>
      </c>
      <c r="AS80" s="318">
        <f>CS_PID!AS80/VLOOKUP($B80,LEBT[#ALL],4)/VLOOKUP($B80,표2[#ALL],2)</f>
        <v>0</v>
      </c>
    </row>
    <row r="81">
      <c r="A81" s="177" t="s">
        <v>84</v>
      </c>
      <c r="B81" s="178">
        <v>224.0</v>
      </c>
      <c r="C81" s="319">
        <f>CS_PID!C81/VLOOKUP($B81,LEBT[#ALL],4)/VLOOKUP($B81,표2[#ALL],2)</f>
        <v>0</v>
      </c>
      <c r="D81" s="319">
        <f>CS_PID!D81/VLOOKUP($B81,LEBT[#ALL],4)/VLOOKUP($B81,표2[#ALL],2)</f>
        <v>61.66282607</v>
      </c>
      <c r="E81" s="319">
        <f>CS_PID!E81/VLOOKUP($B81,LEBT[#ALL],4)/VLOOKUP($B81,표2[#ALL],2)</f>
        <v>0</v>
      </c>
      <c r="F81" s="319">
        <f>CS_PID!F81/VLOOKUP($B81,LEBT[#ALL],4)/VLOOKUP($B81,표2[#ALL],2)</f>
        <v>246.6513043</v>
      </c>
      <c r="G81" s="319">
        <f>CS_PID!G81/VLOOKUP($B81,LEBT[#ALL],4)/VLOOKUP($B81,표2[#ALL],2)</f>
        <v>0</v>
      </c>
      <c r="H81" s="319">
        <f>CS_PID!H81/VLOOKUP($B81,LEBT[#ALL],4)/VLOOKUP($B81,표2[#ALL],2)</f>
        <v>0</v>
      </c>
      <c r="I81" s="319">
        <f>CS_PID!I81/VLOOKUP($B81,LEBT[#ALL],4)/VLOOKUP($B81,표2[#ALL],2)</f>
        <v>0</v>
      </c>
      <c r="J81" s="319">
        <f>CS_PID!J81/VLOOKUP($B81,LEBT[#ALL],4)/VLOOKUP($B81,표2[#ALL],2)</f>
        <v>0</v>
      </c>
      <c r="K81" s="319">
        <f>CS_PID!K81/VLOOKUP($B81,LEBT[#ALL],4)/VLOOKUP($B81,표2[#ALL],2)</f>
        <v>554.9654346</v>
      </c>
      <c r="L81" s="319">
        <f>CS_PID!L81/VLOOKUP($B81,LEBT[#ALL],4)/VLOOKUP($B81,표2[#ALL],2)</f>
        <v>308.3141303</v>
      </c>
      <c r="M81" s="319">
        <f>CS_PID!M81/VLOOKUP($B81,LEBT[#ALL],4)/VLOOKUP($B81,표2[#ALL],2)</f>
        <v>0</v>
      </c>
      <c r="N81" s="319">
        <f>CS_PID!N81/VLOOKUP($B81,LEBT[#ALL],4)/VLOOKUP($B81,표2[#ALL],2)</f>
        <v>0</v>
      </c>
      <c r="O81" s="319">
        <f>CS_PID!O81/VLOOKUP($B81,LEBT[#ALL],4)/VLOOKUP($B81,표2[#ALL],2)</f>
        <v>0</v>
      </c>
      <c r="P81" s="319">
        <f>CS_PID!P81/VLOOKUP($B81,LEBT[#ALL],4)/VLOOKUP($B81,표2[#ALL],2)</f>
        <v>0</v>
      </c>
      <c r="Q81" s="319">
        <f>CS_PID!Q81/VLOOKUP($B81,LEBT[#ALL],4)/VLOOKUP($B81,표2[#ALL],2)</f>
        <v>308.3141303</v>
      </c>
      <c r="R81" s="319">
        <f>CS_PID!R81/VLOOKUP($B81,LEBT[#ALL],4)/VLOOKUP($B81,표2[#ALL],2)</f>
        <v>554.9654346</v>
      </c>
      <c r="S81" s="319">
        <f>CS_PID!S81/VLOOKUP($B81,LEBT[#ALL],4)/VLOOKUP($B81,표2[#ALL],2)</f>
        <v>61.66282607</v>
      </c>
      <c r="T81" s="319">
        <f>CS_PID!T81/VLOOKUP($B81,LEBT[#ALL],4)/VLOOKUP($B81,표2[#ALL],2)</f>
        <v>0</v>
      </c>
      <c r="U81" s="319">
        <f>CS_PID!U81/VLOOKUP($B81,LEBT[#ALL],4)/VLOOKUP($B81,표2[#ALL],2)</f>
        <v>0</v>
      </c>
      <c r="V81" s="319">
        <f>CS_PID!V81/VLOOKUP($B81,LEBT[#ALL],4)/VLOOKUP($B81,표2[#ALL],2)</f>
        <v>0</v>
      </c>
      <c r="W81" s="319">
        <f>CS_PID!W81/VLOOKUP($B81,LEBT[#ALL],4)/VLOOKUP($B81,표2[#ALL],2)</f>
        <v>123.3256521</v>
      </c>
      <c r="X81" s="319">
        <f>CS_PID!X81/VLOOKUP($B81,LEBT[#ALL],4)/VLOOKUP($B81,표2[#ALL],2)</f>
        <v>184.9884782</v>
      </c>
      <c r="Y81" s="319">
        <f>CS_PID!Y81/VLOOKUP($B81,LEBT[#ALL],4)/VLOOKUP($B81,표2[#ALL],2)</f>
        <v>0</v>
      </c>
      <c r="Z81" s="319">
        <f>CS_PID!Z81/VLOOKUP($B81,LEBT[#ALL],4)/VLOOKUP($B81,표2[#ALL],2)</f>
        <v>0</v>
      </c>
      <c r="AA81" s="319">
        <f>CS_PID!AA81/VLOOKUP($B81,LEBT[#ALL],4)/VLOOKUP($B81,표2[#ALL],2)</f>
        <v>0</v>
      </c>
      <c r="AB81" s="319">
        <f>CS_PID!AB81/VLOOKUP($B81,LEBT[#ALL],4)/VLOOKUP($B81,표2[#ALL],2)</f>
        <v>0</v>
      </c>
      <c r="AC81" s="319">
        <f>CS_PID!AC81/VLOOKUP($B81,LEBT[#ALL],4)/VLOOKUP($B81,표2[#ALL],2)</f>
        <v>0</v>
      </c>
      <c r="AD81" s="319">
        <f>CS_PID!AD81/VLOOKUP($B81,LEBT[#ALL],4)/VLOOKUP($B81,표2[#ALL],2)</f>
        <v>123.3256521</v>
      </c>
      <c r="AE81" s="319">
        <f>CS_PID!AE81/VLOOKUP($B81,LEBT[#ALL],4)/VLOOKUP($B81,표2[#ALL],2)</f>
        <v>61.66282607</v>
      </c>
      <c r="AF81" s="319">
        <f>CS_PID!AF81/VLOOKUP($B81,LEBT[#ALL],4)/VLOOKUP($B81,표2[#ALL],2)</f>
        <v>0</v>
      </c>
      <c r="AG81" s="319">
        <f>CS_PID!AG81/VLOOKUP($B81,LEBT[#ALL],4)/VLOOKUP($B81,표2[#ALL],2)</f>
        <v>0</v>
      </c>
      <c r="AH81" s="319">
        <f>CS_PID!AH81/VLOOKUP($B81,LEBT[#ALL],4)/VLOOKUP($B81,표2[#ALL],2)</f>
        <v>0</v>
      </c>
      <c r="AI81" s="319">
        <f>CS_PID!AI81/VLOOKUP($B81,LEBT[#ALL],4)/VLOOKUP($B81,표2[#ALL],2)</f>
        <v>0</v>
      </c>
      <c r="AJ81" s="319">
        <f>CS_PID!AJ81/VLOOKUP($B81,LEBT[#ALL],4)/VLOOKUP($B81,표2[#ALL],2)</f>
        <v>61.66282607</v>
      </c>
      <c r="AK81" s="319">
        <f>CS_PID!AK81/VLOOKUP($B81,LEBT[#ALL],4)/VLOOKUP($B81,표2[#ALL],2)</f>
        <v>0</v>
      </c>
      <c r="AL81" s="319">
        <f>CS_PID!AL81/VLOOKUP($B81,LEBT[#ALL],4)/VLOOKUP($B81,표2[#ALL],2)</f>
        <v>0</v>
      </c>
      <c r="AM81" s="319">
        <f>CS_PID!AM81/VLOOKUP($B81,LEBT[#ALL],4)/VLOOKUP($B81,표2[#ALL],2)</f>
        <v>0</v>
      </c>
      <c r="AN81" s="319">
        <f>CS_PID!AN81/VLOOKUP($B81,LEBT[#ALL],4)/VLOOKUP($B81,표2[#ALL],2)</f>
        <v>0</v>
      </c>
      <c r="AO81" s="319">
        <f>CS_PID!AO81/VLOOKUP($B81,LEBT[#ALL],4)/VLOOKUP($B81,표2[#ALL],2)</f>
        <v>0</v>
      </c>
      <c r="AP81" s="319">
        <f>CS_PID!AP81/VLOOKUP($B81,LEBT[#ALL],4)/VLOOKUP($B81,표2[#ALL],2)</f>
        <v>0</v>
      </c>
      <c r="AQ81" s="319">
        <f>CS_PID!AQ81/VLOOKUP($B81,LEBT[#ALL],4)/VLOOKUP($B81,표2[#ALL],2)</f>
        <v>0</v>
      </c>
      <c r="AR81" s="319">
        <f>CS_PID!AR81/VLOOKUP($B81,LEBT[#ALL],4)/VLOOKUP($B81,표2[#ALL],2)</f>
        <v>0</v>
      </c>
      <c r="AS81" s="319">
        <f>CS_PID!AS81/VLOOKUP($B81,LEBT[#ALL],4)/VLOOKUP($B81,표2[#ALL],2)</f>
        <v>0</v>
      </c>
    </row>
    <row r="82">
      <c r="A82" s="177" t="s">
        <v>84</v>
      </c>
      <c r="B82" s="178">
        <v>225.0</v>
      </c>
      <c r="C82" s="319">
        <f>CS_PID!C82/VLOOKUP($B82,LEBT[#ALL],4)/VLOOKUP($B82,표2[#ALL],2)</f>
        <v>0</v>
      </c>
      <c r="D82" s="319">
        <f>CS_PID!D82/VLOOKUP($B82,LEBT[#ALL],4)/VLOOKUP($B82,표2[#ALL],2)</f>
        <v>0</v>
      </c>
      <c r="E82" s="319">
        <f>CS_PID!E82/VLOOKUP($B82,LEBT[#ALL],4)/VLOOKUP($B82,표2[#ALL],2)</f>
        <v>0</v>
      </c>
      <c r="F82" s="319">
        <f>CS_PID!F82/VLOOKUP($B82,LEBT[#ALL],4)/VLOOKUP($B82,표2[#ALL],2)</f>
        <v>0</v>
      </c>
      <c r="G82" s="319">
        <f>CS_PID!G82/VLOOKUP($B82,LEBT[#ALL],4)/VLOOKUP($B82,표2[#ALL],2)</f>
        <v>0</v>
      </c>
      <c r="H82" s="319">
        <f>CS_PID!H82/VLOOKUP($B82,LEBT[#ALL],4)/VLOOKUP($B82,표2[#ALL],2)</f>
        <v>0</v>
      </c>
      <c r="I82" s="319">
        <f>CS_PID!I82/VLOOKUP($B82,LEBT[#ALL],4)/VLOOKUP($B82,표2[#ALL],2)</f>
        <v>0</v>
      </c>
      <c r="J82" s="319">
        <f>CS_PID!J82/VLOOKUP($B82,LEBT[#ALL],4)/VLOOKUP($B82,표2[#ALL],2)</f>
        <v>0</v>
      </c>
      <c r="K82" s="319">
        <f>CS_PID!K82/VLOOKUP($B82,LEBT[#ALL],4)/VLOOKUP($B82,표2[#ALL],2)</f>
        <v>0</v>
      </c>
      <c r="L82" s="319">
        <f>CS_PID!L82/VLOOKUP($B82,LEBT[#ALL],4)/VLOOKUP($B82,표2[#ALL],2)</f>
        <v>1160.499678</v>
      </c>
      <c r="M82" s="319">
        <f>CS_PID!M82/VLOOKUP($B82,LEBT[#ALL],4)/VLOOKUP($B82,표2[#ALL],2)</f>
        <v>0</v>
      </c>
      <c r="N82" s="319">
        <f>CS_PID!N82/VLOOKUP($B82,LEBT[#ALL],4)/VLOOKUP($B82,표2[#ALL],2)</f>
        <v>0</v>
      </c>
      <c r="O82" s="319">
        <f>CS_PID!O82/VLOOKUP($B82,LEBT[#ALL],4)/VLOOKUP($B82,표2[#ALL],2)</f>
        <v>0</v>
      </c>
      <c r="P82" s="319">
        <f>CS_PID!P82/VLOOKUP($B82,LEBT[#ALL],4)/VLOOKUP($B82,표2[#ALL],2)</f>
        <v>0</v>
      </c>
      <c r="Q82" s="319">
        <f>CS_PID!Q82/VLOOKUP($B82,LEBT[#ALL],4)/VLOOKUP($B82,표2[#ALL],2)</f>
        <v>580.2498389</v>
      </c>
      <c r="R82" s="319">
        <f>CS_PID!R82/VLOOKUP($B82,LEBT[#ALL],4)/VLOOKUP($B82,표2[#ALL],2)</f>
        <v>0</v>
      </c>
      <c r="S82" s="319">
        <f>CS_PID!S82/VLOOKUP($B82,LEBT[#ALL],4)/VLOOKUP($B82,표2[#ALL],2)</f>
        <v>0</v>
      </c>
      <c r="T82" s="319">
        <f>CS_PID!T82/VLOOKUP($B82,LEBT[#ALL],4)/VLOOKUP($B82,표2[#ALL],2)</f>
        <v>0</v>
      </c>
      <c r="U82" s="319">
        <f>CS_PID!U82/VLOOKUP($B82,LEBT[#ALL],4)/VLOOKUP($B82,표2[#ALL],2)</f>
        <v>0</v>
      </c>
      <c r="V82" s="319">
        <f>CS_PID!V82/VLOOKUP($B82,LEBT[#ALL],4)/VLOOKUP($B82,표2[#ALL],2)</f>
        <v>0</v>
      </c>
      <c r="W82" s="319">
        <f>CS_PID!W82/VLOOKUP($B82,LEBT[#ALL],4)/VLOOKUP($B82,표2[#ALL],2)</f>
        <v>0</v>
      </c>
      <c r="X82" s="319">
        <f>CS_PID!X82/VLOOKUP($B82,LEBT[#ALL],4)/VLOOKUP($B82,표2[#ALL],2)</f>
        <v>0</v>
      </c>
      <c r="Y82" s="319">
        <f>CS_PID!Y82/VLOOKUP($B82,LEBT[#ALL],4)/VLOOKUP($B82,표2[#ALL],2)</f>
        <v>0</v>
      </c>
      <c r="Z82" s="319">
        <f>CS_PID!Z82/VLOOKUP($B82,LEBT[#ALL],4)/VLOOKUP($B82,표2[#ALL],2)</f>
        <v>0</v>
      </c>
      <c r="AA82" s="319">
        <f>CS_PID!AA82/VLOOKUP($B82,LEBT[#ALL],4)/VLOOKUP($B82,표2[#ALL],2)</f>
        <v>0</v>
      </c>
      <c r="AB82" s="319">
        <f>CS_PID!AB82/VLOOKUP($B82,LEBT[#ALL],4)/VLOOKUP($B82,표2[#ALL],2)</f>
        <v>0</v>
      </c>
      <c r="AC82" s="319">
        <f>CS_PID!AC82/VLOOKUP($B82,LEBT[#ALL],4)/VLOOKUP($B82,표2[#ALL],2)</f>
        <v>0</v>
      </c>
      <c r="AD82" s="319">
        <f>CS_PID!AD82/VLOOKUP($B82,LEBT[#ALL],4)/VLOOKUP($B82,표2[#ALL],2)</f>
        <v>0</v>
      </c>
      <c r="AE82" s="319">
        <f>CS_PID!AE82/VLOOKUP($B82,LEBT[#ALL],4)/VLOOKUP($B82,표2[#ALL],2)</f>
        <v>0</v>
      </c>
      <c r="AF82" s="319">
        <f>CS_PID!AF82/VLOOKUP($B82,LEBT[#ALL],4)/VLOOKUP($B82,표2[#ALL],2)</f>
        <v>0</v>
      </c>
      <c r="AG82" s="319">
        <f>CS_PID!AG82/VLOOKUP($B82,LEBT[#ALL],4)/VLOOKUP($B82,표2[#ALL],2)</f>
        <v>0</v>
      </c>
      <c r="AH82" s="319">
        <f>CS_PID!AH82/VLOOKUP($B82,LEBT[#ALL],4)/VLOOKUP($B82,표2[#ALL],2)</f>
        <v>0</v>
      </c>
      <c r="AI82" s="319">
        <f>CS_PID!AI82/VLOOKUP($B82,LEBT[#ALL],4)/VLOOKUP($B82,표2[#ALL],2)</f>
        <v>0</v>
      </c>
      <c r="AJ82" s="319">
        <f>CS_PID!AJ82/VLOOKUP($B82,LEBT[#ALL],4)/VLOOKUP($B82,표2[#ALL],2)</f>
        <v>0</v>
      </c>
      <c r="AK82" s="319">
        <f>CS_PID!AK82/VLOOKUP($B82,LEBT[#ALL],4)/VLOOKUP($B82,표2[#ALL],2)</f>
        <v>0</v>
      </c>
      <c r="AL82" s="319">
        <f>CS_PID!AL82/VLOOKUP($B82,LEBT[#ALL],4)/VLOOKUP($B82,표2[#ALL],2)</f>
        <v>0</v>
      </c>
      <c r="AM82" s="319">
        <f>CS_PID!AM82/VLOOKUP($B82,LEBT[#ALL],4)/VLOOKUP($B82,표2[#ALL],2)</f>
        <v>0</v>
      </c>
      <c r="AN82" s="319">
        <f>CS_PID!AN82/VLOOKUP($B82,LEBT[#ALL],4)/VLOOKUP($B82,표2[#ALL],2)</f>
        <v>0</v>
      </c>
      <c r="AO82" s="319">
        <f>CS_PID!AO82/VLOOKUP($B82,LEBT[#ALL],4)/VLOOKUP($B82,표2[#ALL],2)</f>
        <v>0</v>
      </c>
      <c r="AP82" s="319">
        <f>CS_PID!AP82/VLOOKUP($B82,LEBT[#ALL],4)/VLOOKUP($B82,표2[#ALL],2)</f>
        <v>0</v>
      </c>
      <c r="AQ82" s="319">
        <f>CS_PID!AQ82/VLOOKUP($B82,LEBT[#ALL],4)/VLOOKUP($B82,표2[#ALL],2)</f>
        <v>0</v>
      </c>
      <c r="AR82" s="319">
        <f>CS_PID!AR82/VLOOKUP($B82,LEBT[#ALL],4)/VLOOKUP($B82,표2[#ALL],2)</f>
        <v>0</v>
      </c>
      <c r="AS82" s="319">
        <f>CS_PID!AS82/VLOOKUP($B82,LEBT[#ALL],4)/VLOOKUP($B82,표2[#ALL],2)</f>
        <v>0</v>
      </c>
    </row>
    <row r="83">
      <c r="A83" s="177" t="s">
        <v>84</v>
      </c>
      <c r="B83" s="178">
        <v>226.0</v>
      </c>
      <c r="C83" s="319">
        <f>CS_PID!C83/VLOOKUP($B83,LEBT[#ALL],4)/VLOOKUP($B83,표2[#ALL],2)</f>
        <v>0</v>
      </c>
      <c r="D83" s="319">
        <f>CS_PID!D83/VLOOKUP($B83,LEBT[#ALL],4)/VLOOKUP($B83,표2[#ALL],2)</f>
        <v>0</v>
      </c>
      <c r="E83" s="319">
        <f>CS_PID!E83/VLOOKUP($B83,LEBT[#ALL],4)/VLOOKUP($B83,표2[#ALL],2)</f>
        <v>0</v>
      </c>
      <c r="F83" s="319">
        <f>CS_PID!F83/VLOOKUP($B83,LEBT[#ALL],4)/VLOOKUP($B83,표2[#ALL],2)</f>
        <v>269.5114316</v>
      </c>
      <c r="G83" s="319">
        <f>CS_PID!G83/VLOOKUP($B83,LEBT[#ALL],4)/VLOOKUP($B83,표2[#ALL],2)</f>
        <v>80.85342947</v>
      </c>
      <c r="H83" s="319">
        <f>CS_PID!H83/VLOOKUP($B83,LEBT[#ALL],4)/VLOOKUP($B83,표2[#ALL],2)</f>
        <v>0</v>
      </c>
      <c r="I83" s="319">
        <f>CS_PID!I83/VLOOKUP($B83,LEBT[#ALL],4)/VLOOKUP($B83,표2[#ALL],2)</f>
        <v>0</v>
      </c>
      <c r="J83" s="319">
        <f>CS_PID!J83/VLOOKUP($B83,LEBT[#ALL],4)/VLOOKUP($B83,표2[#ALL],2)</f>
        <v>26.95114316</v>
      </c>
      <c r="K83" s="319">
        <f>CS_PID!K83/VLOOKUP($B83,LEBT[#ALL],4)/VLOOKUP($B83,표2[#ALL],2)</f>
        <v>404.2671473</v>
      </c>
      <c r="L83" s="319">
        <f>CS_PID!L83/VLOOKUP($B83,LEBT[#ALL],4)/VLOOKUP($B83,표2[#ALL],2)</f>
        <v>242.5602884</v>
      </c>
      <c r="M83" s="319">
        <f>CS_PID!M83/VLOOKUP($B83,LEBT[#ALL],4)/VLOOKUP($B83,표2[#ALL],2)</f>
        <v>0</v>
      </c>
      <c r="N83" s="319">
        <f>CS_PID!N83/VLOOKUP($B83,LEBT[#ALL],4)/VLOOKUP($B83,표2[#ALL],2)</f>
        <v>0</v>
      </c>
      <c r="O83" s="319">
        <f>CS_PID!O83/VLOOKUP($B83,LEBT[#ALL],4)/VLOOKUP($B83,표2[#ALL],2)</f>
        <v>0</v>
      </c>
      <c r="P83" s="319">
        <f>CS_PID!P83/VLOOKUP($B83,LEBT[#ALL],4)/VLOOKUP($B83,표2[#ALL],2)</f>
        <v>0</v>
      </c>
      <c r="Q83" s="319">
        <f>CS_PID!Q83/VLOOKUP($B83,LEBT[#ALL],4)/VLOOKUP($B83,표2[#ALL],2)</f>
        <v>377.3160042</v>
      </c>
      <c r="R83" s="319">
        <f>CS_PID!R83/VLOOKUP($B83,LEBT[#ALL],4)/VLOOKUP($B83,표2[#ALL],2)</f>
        <v>296.4625747</v>
      </c>
      <c r="S83" s="319">
        <f>CS_PID!S83/VLOOKUP($B83,LEBT[#ALL],4)/VLOOKUP($B83,표2[#ALL],2)</f>
        <v>80.85342947</v>
      </c>
      <c r="T83" s="319">
        <f>CS_PID!T83/VLOOKUP($B83,LEBT[#ALL],4)/VLOOKUP($B83,표2[#ALL],2)</f>
        <v>0</v>
      </c>
      <c r="U83" s="319">
        <f>CS_PID!U83/VLOOKUP($B83,LEBT[#ALL],4)/VLOOKUP($B83,표2[#ALL],2)</f>
        <v>0</v>
      </c>
      <c r="V83" s="319">
        <f>CS_PID!V83/VLOOKUP($B83,LEBT[#ALL],4)/VLOOKUP($B83,표2[#ALL],2)</f>
        <v>0</v>
      </c>
      <c r="W83" s="319">
        <f>CS_PID!W83/VLOOKUP($B83,LEBT[#ALL],4)/VLOOKUP($B83,표2[#ALL],2)</f>
        <v>80.85342947</v>
      </c>
      <c r="X83" s="319">
        <f>CS_PID!X83/VLOOKUP($B83,LEBT[#ALL],4)/VLOOKUP($B83,표2[#ALL],2)</f>
        <v>512.07172</v>
      </c>
      <c r="Y83" s="319">
        <f>CS_PID!Y83/VLOOKUP($B83,LEBT[#ALL],4)/VLOOKUP($B83,표2[#ALL],2)</f>
        <v>188.6580021</v>
      </c>
      <c r="Z83" s="319">
        <f>CS_PID!Z83/VLOOKUP($B83,LEBT[#ALL],4)/VLOOKUP($B83,표2[#ALL],2)</f>
        <v>0</v>
      </c>
      <c r="AA83" s="319">
        <f>CS_PID!AA83/VLOOKUP($B83,LEBT[#ALL],4)/VLOOKUP($B83,표2[#ALL],2)</f>
        <v>0</v>
      </c>
      <c r="AB83" s="319">
        <f>CS_PID!AB83/VLOOKUP($B83,LEBT[#ALL],4)/VLOOKUP($B83,표2[#ALL],2)</f>
        <v>0</v>
      </c>
      <c r="AC83" s="319">
        <f>CS_PID!AC83/VLOOKUP($B83,LEBT[#ALL],4)/VLOOKUP($B83,표2[#ALL],2)</f>
        <v>80.85342947</v>
      </c>
      <c r="AD83" s="319">
        <f>CS_PID!AD83/VLOOKUP($B83,LEBT[#ALL],4)/VLOOKUP($B83,표2[#ALL],2)</f>
        <v>107.8045726</v>
      </c>
      <c r="AE83" s="319">
        <f>CS_PID!AE83/VLOOKUP($B83,LEBT[#ALL],4)/VLOOKUP($B83,표2[#ALL],2)</f>
        <v>0</v>
      </c>
      <c r="AF83" s="319">
        <f>CS_PID!AF83/VLOOKUP($B83,LEBT[#ALL],4)/VLOOKUP($B83,표2[#ALL],2)</f>
        <v>0</v>
      </c>
      <c r="AG83" s="319">
        <f>CS_PID!AG83/VLOOKUP($B83,LEBT[#ALL],4)/VLOOKUP($B83,표2[#ALL],2)</f>
        <v>0</v>
      </c>
      <c r="AH83" s="319">
        <f>CS_PID!AH83/VLOOKUP($B83,LEBT[#ALL],4)/VLOOKUP($B83,표2[#ALL],2)</f>
        <v>0</v>
      </c>
      <c r="AI83" s="319">
        <f>CS_PID!AI83/VLOOKUP($B83,LEBT[#ALL],4)/VLOOKUP($B83,표2[#ALL],2)</f>
        <v>0</v>
      </c>
      <c r="AJ83" s="319">
        <f>CS_PID!AJ83/VLOOKUP($B83,LEBT[#ALL],4)/VLOOKUP($B83,표2[#ALL],2)</f>
        <v>80.85342947</v>
      </c>
      <c r="AK83" s="319">
        <f>CS_PID!AK83/VLOOKUP($B83,LEBT[#ALL],4)/VLOOKUP($B83,표2[#ALL],2)</f>
        <v>0</v>
      </c>
      <c r="AL83" s="319">
        <f>CS_PID!AL83/VLOOKUP($B83,LEBT[#ALL],4)/VLOOKUP($B83,표2[#ALL],2)</f>
        <v>0</v>
      </c>
      <c r="AM83" s="319">
        <f>CS_PID!AM83/VLOOKUP($B83,LEBT[#ALL],4)/VLOOKUP($B83,표2[#ALL],2)</f>
        <v>0</v>
      </c>
      <c r="AN83" s="319">
        <f>CS_PID!AN83/VLOOKUP($B83,LEBT[#ALL],4)/VLOOKUP($B83,표2[#ALL],2)</f>
        <v>0</v>
      </c>
      <c r="AO83" s="319">
        <f>CS_PID!AO83/VLOOKUP($B83,LEBT[#ALL],4)/VLOOKUP($B83,표2[#ALL],2)</f>
        <v>53.90228631</v>
      </c>
      <c r="AP83" s="319">
        <f>CS_PID!AP83/VLOOKUP($B83,LEBT[#ALL],4)/VLOOKUP($B83,표2[#ALL],2)</f>
        <v>0</v>
      </c>
      <c r="AQ83" s="319">
        <f>CS_PID!AQ83/VLOOKUP($B83,LEBT[#ALL],4)/VLOOKUP($B83,표2[#ALL],2)</f>
        <v>0</v>
      </c>
      <c r="AR83" s="319">
        <f>CS_PID!AR83/VLOOKUP($B83,LEBT[#ALL],4)/VLOOKUP($B83,표2[#ALL],2)</f>
        <v>0</v>
      </c>
      <c r="AS83" s="319">
        <f>CS_PID!AS83/VLOOKUP($B83,LEBT[#ALL],4)/VLOOKUP($B83,표2[#ALL],2)</f>
        <v>0</v>
      </c>
    </row>
    <row r="84">
      <c r="A84" s="177" t="s">
        <v>84</v>
      </c>
      <c r="B84" s="178">
        <v>348.0</v>
      </c>
      <c r="C84" s="319">
        <f>CS_PID!C84/VLOOKUP($B84,LEBT[#ALL],4)/VLOOKUP($B84,표2[#ALL],2)</f>
        <v>0</v>
      </c>
      <c r="D84" s="319">
        <f>CS_PID!D84/VLOOKUP($B84,LEBT[#ALL],4)/VLOOKUP($B84,표2[#ALL],2)</f>
        <v>0</v>
      </c>
      <c r="E84" s="319">
        <f>CS_PID!E84/VLOOKUP($B84,LEBT[#ALL],4)/VLOOKUP($B84,표2[#ALL],2)</f>
        <v>80.17730767</v>
      </c>
      <c r="F84" s="319">
        <f>CS_PID!F84/VLOOKUP($B84,LEBT[#ALL],4)/VLOOKUP($B84,표2[#ALL],2)</f>
        <v>320.7092307</v>
      </c>
      <c r="G84" s="319">
        <f>CS_PID!G84/VLOOKUP($B84,LEBT[#ALL],4)/VLOOKUP($B84,표2[#ALL],2)</f>
        <v>80.17730767</v>
      </c>
      <c r="H84" s="319">
        <f>CS_PID!H84/VLOOKUP($B84,LEBT[#ALL],4)/VLOOKUP($B84,표2[#ALL],2)</f>
        <v>0</v>
      </c>
      <c r="I84" s="319">
        <f>CS_PID!I84/VLOOKUP($B84,LEBT[#ALL],4)/VLOOKUP($B84,표2[#ALL],2)</f>
        <v>0</v>
      </c>
      <c r="J84" s="319">
        <f>CS_PID!J84/VLOOKUP($B84,LEBT[#ALL],4)/VLOOKUP($B84,표2[#ALL],2)</f>
        <v>320.7092307</v>
      </c>
      <c r="K84" s="319">
        <f>CS_PID!K84/VLOOKUP($B84,LEBT[#ALL],4)/VLOOKUP($B84,표2[#ALL],2)</f>
        <v>721.5957691</v>
      </c>
      <c r="L84" s="319">
        <f>CS_PID!L84/VLOOKUP($B84,LEBT[#ALL],4)/VLOOKUP($B84,표2[#ALL],2)</f>
        <v>881.9503844</v>
      </c>
      <c r="M84" s="319">
        <f>CS_PID!M84/VLOOKUP($B84,LEBT[#ALL],4)/VLOOKUP($B84,표2[#ALL],2)</f>
        <v>0</v>
      </c>
      <c r="N84" s="319">
        <f>CS_PID!N84/VLOOKUP($B84,LEBT[#ALL],4)/VLOOKUP($B84,표2[#ALL],2)</f>
        <v>0</v>
      </c>
      <c r="O84" s="319">
        <f>CS_PID!O84/VLOOKUP($B84,LEBT[#ALL],4)/VLOOKUP($B84,표2[#ALL],2)</f>
        <v>0</v>
      </c>
      <c r="P84" s="319">
        <f>CS_PID!P84/VLOOKUP($B84,LEBT[#ALL],4)/VLOOKUP($B84,표2[#ALL],2)</f>
        <v>0</v>
      </c>
      <c r="Q84" s="319">
        <f>CS_PID!Q84/VLOOKUP($B84,LEBT[#ALL],4)/VLOOKUP($B84,표2[#ALL],2)</f>
        <v>320.7092307</v>
      </c>
      <c r="R84" s="319">
        <f>CS_PID!R84/VLOOKUP($B84,LEBT[#ALL],4)/VLOOKUP($B84,표2[#ALL],2)</f>
        <v>240.531923</v>
      </c>
      <c r="S84" s="319">
        <f>CS_PID!S84/VLOOKUP($B84,LEBT[#ALL],4)/VLOOKUP($B84,표2[#ALL],2)</f>
        <v>0</v>
      </c>
      <c r="T84" s="319">
        <f>CS_PID!T84/VLOOKUP($B84,LEBT[#ALL],4)/VLOOKUP($B84,표2[#ALL],2)</f>
        <v>0</v>
      </c>
      <c r="U84" s="319">
        <f>CS_PID!U84/VLOOKUP($B84,LEBT[#ALL],4)/VLOOKUP($B84,표2[#ALL],2)</f>
        <v>0</v>
      </c>
      <c r="V84" s="319">
        <f>CS_PID!V84/VLOOKUP($B84,LEBT[#ALL],4)/VLOOKUP($B84,표2[#ALL],2)</f>
        <v>0</v>
      </c>
      <c r="W84" s="319">
        <f>CS_PID!W84/VLOOKUP($B84,LEBT[#ALL],4)/VLOOKUP($B84,표2[#ALL],2)</f>
        <v>0</v>
      </c>
      <c r="X84" s="319">
        <f>CS_PID!X84/VLOOKUP($B84,LEBT[#ALL],4)/VLOOKUP($B84,표2[#ALL],2)</f>
        <v>481.063846</v>
      </c>
      <c r="Y84" s="319">
        <f>CS_PID!Y84/VLOOKUP($B84,LEBT[#ALL],4)/VLOOKUP($B84,표2[#ALL],2)</f>
        <v>0</v>
      </c>
      <c r="Z84" s="319">
        <f>CS_PID!Z84/VLOOKUP($B84,LEBT[#ALL],4)/VLOOKUP($B84,표2[#ALL],2)</f>
        <v>0</v>
      </c>
      <c r="AA84" s="319">
        <f>CS_PID!AA84/VLOOKUP($B84,LEBT[#ALL],4)/VLOOKUP($B84,표2[#ALL],2)</f>
        <v>0</v>
      </c>
      <c r="AB84" s="319">
        <f>CS_PID!AB84/VLOOKUP($B84,LEBT[#ALL],4)/VLOOKUP($B84,표2[#ALL],2)</f>
        <v>0</v>
      </c>
      <c r="AC84" s="319">
        <f>CS_PID!AC84/VLOOKUP($B84,LEBT[#ALL],4)/VLOOKUP($B84,표2[#ALL],2)</f>
        <v>80.17730767</v>
      </c>
      <c r="AD84" s="319">
        <f>CS_PID!AD84/VLOOKUP($B84,LEBT[#ALL],4)/VLOOKUP($B84,표2[#ALL],2)</f>
        <v>0</v>
      </c>
      <c r="AE84" s="319">
        <f>CS_PID!AE84/VLOOKUP($B84,LEBT[#ALL],4)/VLOOKUP($B84,표2[#ALL],2)</f>
        <v>80.17730767</v>
      </c>
      <c r="AF84" s="319">
        <f>CS_PID!AF84/VLOOKUP($B84,LEBT[#ALL],4)/VLOOKUP($B84,표2[#ALL],2)</f>
        <v>0</v>
      </c>
      <c r="AG84" s="319">
        <f>CS_PID!AG84/VLOOKUP($B84,LEBT[#ALL],4)/VLOOKUP($B84,표2[#ALL],2)</f>
        <v>0</v>
      </c>
      <c r="AH84" s="319">
        <f>CS_PID!AH84/VLOOKUP($B84,LEBT[#ALL],4)/VLOOKUP($B84,표2[#ALL],2)</f>
        <v>0</v>
      </c>
      <c r="AI84" s="319">
        <f>CS_PID!AI84/VLOOKUP($B84,LEBT[#ALL],4)/VLOOKUP($B84,표2[#ALL],2)</f>
        <v>0</v>
      </c>
      <c r="AJ84" s="319">
        <f>CS_PID!AJ84/VLOOKUP($B84,LEBT[#ALL],4)/VLOOKUP($B84,표2[#ALL],2)</f>
        <v>80.17730767</v>
      </c>
      <c r="AK84" s="319">
        <f>CS_PID!AK84/VLOOKUP($B84,LEBT[#ALL],4)/VLOOKUP($B84,표2[#ALL],2)</f>
        <v>0</v>
      </c>
      <c r="AL84" s="319">
        <f>CS_PID!AL84/VLOOKUP($B84,LEBT[#ALL],4)/VLOOKUP($B84,표2[#ALL],2)</f>
        <v>0</v>
      </c>
      <c r="AM84" s="319">
        <f>CS_PID!AM84/VLOOKUP($B84,LEBT[#ALL],4)/VLOOKUP($B84,표2[#ALL],2)</f>
        <v>0</v>
      </c>
      <c r="AN84" s="319">
        <f>CS_PID!AN84/VLOOKUP($B84,LEBT[#ALL],4)/VLOOKUP($B84,표2[#ALL],2)</f>
        <v>0</v>
      </c>
      <c r="AO84" s="319">
        <f>CS_PID!AO84/VLOOKUP($B84,LEBT[#ALL],4)/VLOOKUP($B84,표2[#ALL],2)</f>
        <v>0</v>
      </c>
      <c r="AP84" s="319">
        <f>CS_PID!AP84/VLOOKUP($B84,LEBT[#ALL],4)/VLOOKUP($B84,표2[#ALL],2)</f>
        <v>80.17730767</v>
      </c>
      <c r="AQ84" s="319">
        <f>CS_PID!AQ84/VLOOKUP($B84,LEBT[#ALL],4)/VLOOKUP($B84,표2[#ALL],2)</f>
        <v>0</v>
      </c>
      <c r="AR84" s="319">
        <f>CS_PID!AR84/VLOOKUP($B84,LEBT[#ALL],4)/VLOOKUP($B84,표2[#ALL],2)</f>
        <v>0</v>
      </c>
      <c r="AS84" s="319">
        <f>CS_PID!AS84/VLOOKUP($B84,LEBT[#ALL],4)/VLOOKUP($B84,표2[#ALL],2)</f>
        <v>0</v>
      </c>
    </row>
    <row r="85">
      <c r="A85" s="177" t="s">
        <v>84</v>
      </c>
      <c r="B85" s="178">
        <v>349.0</v>
      </c>
      <c r="C85" s="319">
        <f>CS_PID!C85/VLOOKUP($B85,LEBT[#ALL],4)/VLOOKUP($B85,표2[#ALL],2)</f>
        <v>0</v>
      </c>
      <c r="D85" s="319">
        <f>CS_PID!D85/VLOOKUP($B85,LEBT[#ALL],4)/VLOOKUP($B85,표2[#ALL],2)</f>
        <v>0</v>
      </c>
      <c r="E85" s="319">
        <f>CS_PID!E85/VLOOKUP($B85,LEBT[#ALL],4)/VLOOKUP($B85,표2[#ALL],2)</f>
        <v>124.0918654</v>
      </c>
      <c r="F85" s="319">
        <f>CS_PID!F85/VLOOKUP($B85,LEBT[#ALL],4)/VLOOKUP($B85,표2[#ALL],2)</f>
        <v>248.1837307</v>
      </c>
      <c r="G85" s="319">
        <f>CS_PID!G85/VLOOKUP($B85,LEBT[#ALL],4)/VLOOKUP($B85,표2[#ALL],2)</f>
        <v>0</v>
      </c>
      <c r="H85" s="319">
        <f>CS_PID!H85/VLOOKUP($B85,LEBT[#ALL],4)/VLOOKUP($B85,표2[#ALL],2)</f>
        <v>0</v>
      </c>
      <c r="I85" s="319">
        <f>CS_PID!I85/VLOOKUP($B85,LEBT[#ALL],4)/VLOOKUP($B85,표2[#ALL],2)</f>
        <v>0</v>
      </c>
      <c r="J85" s="319">
        <f>CS_PID!J85/VLOOKUP($B85,LEBT[#ALL],4)/VLOOKUP($B85,표2[#ALL],2)</f>
        <v>124.0918654</v>
      </c>
      <c r="K85" s="319">
        <f>CS_PID!K85/VLOOKUP($B85,LEBT[#ALL],4)/VLOOKUP($B85,표2[#ALL],2)</f>
        <v>248.1837307</v>
      </c>
      <c r="L85" s="319">
        <f>CS_PID!L85/VLOOKUP($B85,LEBT[#ALL],4)/VLOOKUP($B85,표2[#ALL],2)</f>
        <v>744.5511921</v>
      </c>
      <c r="M85" s="319">
        <f>CS_PID!M85/VLOOKUP($B85,LEBT[#ALL],4)/VLOOKUP($B85,표2[#ALL],2)</f>
        <v>124.0918654</v>
      </c>
      <c r="N85" s="319">
        <f>CS_PID!N85/VLOOKUP($B85,LEBT[#ALL],4)/VLOOKUP($B85,표2[#ALL],2)</f>
        <v>0</v>
      </c>
      <c r="O85" s="319">
        <f>CS_PID!O85/VLOOKUP($B85,LEBT[#ALL],4)/VLOOKUP($B85,표2[#ALL],2)</f>
        <v>0</v>
      </c>
      <c r="P85" s="319">
        <f>CS_PID!P85/VLOOKUP($B85,LEBT[#ALL],4)/VLOOKUP($B85,표2[#ALL],2)</f>
        <v>248.1837307</v>
      </c>
      <c r="Q85" s="319">
        <f>CS_PID!Q85/VLOOKUP($B85,LEBT[#ALL],4)/VLOOKUP($B85,표2[#ALL],2)</f>
        <v>744.5511921</v>
      </c>
      <c r="R85" s="319">
        <f>CS_PID!R85/VLOOKUP($B85,LEBT[#ALL],4)/VLOOKUP($B85,표2[#ALL],2)</f>
        <v>248.1837307</v>
      </c>
      <c r="S85" s="319">
        <f>CS_PID!S85/VLOOKUP($B85,LEBT[#ALL],4)/VLOOKUP($B85,표2[#ALL],2)</f>
        <v>0</v>
      </c>
      <c r="T85" s="319">
        <f>CS_PID!T85/VLOOKUP($B85,LEBT[#ALL],4)/VLOOKUP($B85,표2[#ALL],2)</f>
        <v>0</v>
      </c>
      <c r="U85" s="319">
        <f>CS_PID!U85/VLOOKUP($B85,LEBT[#ALL],4)/VLOOKUP($B85,표2[#ALL],2)</f>
        <v>0</v>
      </c>
      <c r="V85" s="319">
        <f>CS_PID!V85/VLOOKUP($B85,LEBT[#ALL],4)/VLOOKUP($B85,표2[#ALL],2)</f>
        <v>0</v>
      </c>
      <c r="W85" s="319">
        <f>CS_PID!W85/VLOOKUP($B85,LEBT[#ALL],4)/VLOOKUP($B85,표2[#ALL],2)</f>
        <v>248.1837307</v>
      </c>
      <c r="X85" s="319">
        <f>CS_PID!X85/VLOOKUP($B85,LEBT[#ALL],4)/VLOOKUP($B85,표2[#ALL],2)</f>
        <v>496.3674614</v>
      </c>
      <c r="Y85" s="319">
        <f>CS_PID!Y85/VLOOKUP($B85,LEBT[#ALL],4)/VLOOKUP($B85,표2[#ALL],2)</f>
        <v>0</v>
      </c>
      <c r="Z85" s="319">
        <f>CS_PID!Z85/VLOOKUP($B85,LEBT[#ALL],4)/VLOOKUP($B85,표2[#ALL],2)</f>
        <v>0</v>
      </c>
      <c r="AA85" s="319">
        <f>CS_PID!AA85/VLOOKUP($B85,LEBT[#ALL],4)/VLOOKUP($B85,표2[#ALL],2)</f>
        <v>0</v>
      </c>
      <c r="AB85" s="319">
        <f>CS_PID!AB85/VLOOKUP($B85,LEBT[#ALL],4)/VLOOKUP($B85,표2[#ALL],2)</f>
        <v>0</v>
      </c>
      <c r="AC85" s="319">
        <f>CS_PID!AC85/VLOOKUP($B85,LEBT[#ALL],4)/VLOOKUP($B85,표2[#ALL],2)</f>
        <v>0</v>
      </c>
      <c r="AD85" s="319">
        <f>CS_PID!AD85/VLOOKUP($B85,LEBT[#ALL],4)/VLOOKUP($B85,표2[#ALL],2)</f>
        <v>372.2755961</v>
      </c>
      <c r="AE85" s="319">
        <f>CS_PID!AE85/VLOOKUP($B85,LEBT[#ALL],4)/VLOOKUP($B85,표2[#ALL],2)</f>
        <v>124.0918654</v>
      </c>
      <c r="AF85" s="319">
        <f>CS_PID!AF85/VLOOKUP($B85,LEBT[#ALL],4)/VLOOKUP($B85,표2[#ALL],2)</f>
        <v>0</v>
      </c>
      <c r="AG85" s="319">
        <f>CS_PID!AG85/VLOOKUP($B85,LEBT[#ALL],4)/VLOOKUP($B85,표2[#ALL],2)</f>
        <v>0</v>
      </c>
      <c r="AH85" s="319">
        <f>CS_PID!AH85/VLOOKUP($B85,LEBT[#ALL],4)/VLOOKUP($B85,표2[#ALL],2)</f>
        <v>0</v>
      </c>
      <c r="AI85" s="319">
        <f>CS_PID!AI85/VLOOKUP($B85,LEBT[#ALL],4)/VLOOKUP($B85,표2[#ALL],2)</f>
        <v>0</v>
      </c>
      <c r="AJ85" s="319">
        <f>CS_PID!AJ85/VLOOKUP($B85,LEBT[#ALL],4)/VLOOKUP($B85,표2[#ALL],2)</f>
        <v>124.0918654</v>
      </c>
      <c r="AK85" s="319">
        <f>CS_PID!AK85/VLOOKUP($B85,LEBT[#ALL],4)/VLOOKUP($B85,표2[#ALL],2)</f>
        <v>0</v>
      </c>
      <c r="AL85" s="319">
        <f>CS_PID!AL85/VLOOKUP($B85,LEBT[#ALL],4)/VLOOKUP($B85,표2[#ALL],2)</f>
        <v>0</v>
      </c>
      <c r="AM85" s="319">
        <f>CS_PID!AM85/VLOOKUP($B85,LEBT[#ALL],4)/VLOOKUP($B85,표2[#ALL],2)</f>
        <v>0</v>
      </c>
      <c r="AN85" s="319">
        <f>CS_PID!AN85/VLOOKUP($B85,LEBT[#ALL],4)/VLOOKUP($B85,표2[#ALL],2)</f>
        <v>0</v>
      </c>
      <c r="AO85" s="319">
        <f>CS_PID!AO85/VLOOKUP($B85,LEBT[#ALL],4)/VLOOKUP($B85,표2[#ALL],2)</f>
        <v>0</v>
      </c>
      <c r="AP85" s="319">
        <f>CS_PID!AP85/VLOOKUP($B85,LEBT[#ALL],4)/VLOOKUP($B85,표2[#ALL],2)</f>
        <v>0</v>
      </c>
      <c r="AQ85" s="319">
        <f>CS_PID!AQ85/VLOOKUP($B85,LEBT[#ALL],4)/VLOOKUP($B85,표2[#ALL],2)</f>
        <v>0</v>
      </c>
      <c r="AR85" s="319">
        <f>CS_PID!AR85/VLOOKUP($B85,LEBT[#ALL],4)/VLOOKUP($B85,표2[#ALL],2)</f>
        <v>0</v>
      </c>
      <c r="AS85" s="319">
        <f>CS_PID!AS85/VLOOKUP($B85,LEBT[#ALL],4)/VLOOKUP($B85,표2[#ALL],2)</f>
        <v>0</v>
      </c>
    </row>
    <row r="86">
      <c r="A86" s="177" t="s">
        <v>84</v>
      </c>
      <c r="B86" s="178">
        <v>350.0</v>
      </c>
      <c r="C86" s="319">
        <f>CS_PID!C86/VLOOKUP($B86,LEBT[#ALL],4)/VLOOKUP($B86,표2[#ALL],2)</f>
        <v>0</v>
      </c>
      <c r="D86" s="319">
        <f>CS_PID!D86/VLOOKUP($B86,LEBT[#ALL],4)/VLOOKUP($B86,표2[#ALL],2)</f>
        <v>36.46538212</v>
      </c>
      <c r="E86" s="319">
        <f>CS_PID!E86/VLOOKUP($B86,LEBT[#ALL],4)/VLOOKUP($B86,표2[#ALL],2)</f>
        <v>145.8615285</v>
      </c>
      <c r="F86" s="319">
        <f>CS_PID!F86/VLOOKUP($B86,LEBT[#ALL],4)/VLOOKUP($B86,표2[#ALL],2)</f>
        <v>291.723057</v>
      </c>
      <c r="G86" s="319">
        <f>CS_PID!G86/VLOOKUP($B86,LEBT[#ALL],4)/VLOOKUP($B86,표2[#ALL],2)</f>
        <v>72.93076425</v>
      </c>
      <c r="H86" s="319">
        <f>CS_PID!H86/VLOOKUP($B86,LEBT[#ALL],4)/VLOOKUP($B86,표2[#ALL],2)</f>
        <v>0</v>
      </c>
      <c r="I86" s="319">
        <f>CS_PID!I86/VLOOKUP($B86,LEBT[#ALL],4)/VLOOKUP($B86,표2[#ALL],2)</f>
        <v>0</v>
      </c>
      <c r="J86" s="319">
        <f>CS_PID!J86/VLOOKUP($B86,LEBT[#ALL],4)/VLOOKUP($B86,표2[#ALL],2)</f>
        <v>72.93076425</v>
      </c>
      <c r="K86" s="319">
        <f>CS_PID!K86/VLOOKUP($B86,LEBT[#ALL],4)/VLOOKUP($B86,표2[#ALL],2)</f>
        <v>546.9807319</v>
      </c>
      <c r="L86" s="319">
        <f>CS_PID!L86/VLOOKUP($B86,LEBT[#ALL],4)/VLOOKUP($B86,표2[#ALL],2)</f>
        <v>437.5845855</v>
      </c>
      <c r="M86" s="319">
        <f>CS_PID!M86/VLOOKUP($B86,LEBT[#ALL],4)/VLOOKUP($B86,표2[#ALL],2)</f>
        <v>36.46538212</v>
      </c>
      <c r="N86" s="319">
        <f>CS_PID!N86/VLOOKUP($B86,LEBT[#ALL],4)/VLOOKUP($B86,표2[#ALL],2)</f>
        <v>0</v>
      </c>
      <c r="O86" s="319">
        <f>CS_PID!O86/VLOOKUP($B86,LEBT[#ALL],4)/VLOOKUP($B86,표2[#ALL],2)</f>
        <v>0</v>
      </c>
      <c r="P86" s="319">
        <f>CS_PID!P86/VLOOKUP($B86,LEBT[#ALL],4)/VLOOKUP($B86,표2[#ALL],2)</f>
        <v>0</v>
      </c>
      <c r="Q86" s="319">
        <f>CS_PID!Q86/VLOOKUP($B86,LEBT[#ALL],4)/VLOOKUP($B86,표2[#ALL],2)</f>
        <v>364.6538212</v>
      </c>
      <c r="R86" s="319">
        <f>CS_PID!R86/VLOOKUP($B86,LEBT[#ALL],4)/VLOOKUP($B86,표2[#ALL],2)</f>
        <v>510.5153497</v>
      </c>
      <c r="S86" s="319">
        <f>CS_PID!S86/VLOOKUP($B86,LEBT[#ALL],4)/VLOOKUP($B86,표2[#ALL],2)</f>
        <v>72.93076425</v>
      </c>
      <c r="T86" s="319">
        <f>CS_PID!T86/VLOOKUP($B86,LEBT[#ALL],4)/VLOOKUP($B86,표2[#ALL],2)</f>
        <v>0</v>
      </c>
      <c r="U86" s="319">
        <f>CS_PID!U86/VLOOKUP($B86,LEBT[#ALL],4)/VLOOKUP($B86,표2[#ALL],2)</f>
        <v>0</v>
      </c>
      <c r="V86" s="319">
        <f>CS_PID!V86/VLOOKUP($B86,LEBT[#ALL],4)/VLOOKUP($B86,표2[#ALL],2)</f>
        <v>0</v>
      </c>
      <c r="W86" s="319">
        <f>CS_PID!W86/VLOOKUP($B86,LEBT[#ALL],4)/VLOOKUP($B86,표2[#ALL],2)</f>
        <v>109.3961464</v>
      </c>
      <c r="X86" s="319">
        <f>CS_PID!X86/VLOOKUP($B86,LEBT[#ALL],4)/VLOOKUP($B86,표2[#ALL],2)</f>
        <v>328.1884391</v>
      </c>
      <c r="Y86" s="319">
        <f>CS_PID!Y86/VLOOKUP($B86,LEBT[#ALL],4)/VLOOKUP($B86,표2[#ALL],2)</f>
        <v>72.93076425</v>
      </c>
      <c r="Z86" s="319">
        <f>CS_PID!Z86/VLOOKUP($B86,LEBT[#ALL],4)/VLOOKUP($B86,표2[#ALL],2)</f>
        <v>0</v>
      </c>
      <c r="AA86" s="319">
        <f>CS_PID!AA86/VLOOKUP($B86,LEBT[#ALL],4)/VLOOKUP($B86,표2[#ALL],2)</f>
        <v>0</v>
      </c>
      <c r="AB86" s="319">
        <f>CS_PID!AB86/VLOOKUP($B86,LEBT[#ALL],4)/VLOOKUP($B86,표2[#ALL],2)</f>
        <v>0</v>
      </c>
      <c r="AC86" s="319">
        <f>CS_PID!AC86/VLOOKUP($B86,LEBT[#ALL],4)/VLOOKUP($B86,표2[#ALL],2)</f>
        <v>72.93076425</v>
      </c>
      <c r="AD86" s="319">
        <f>CS_PID!AD86/VLOOKUP($B86,LEBT[#ALL],4)/VLOOKUP($B86,표2[#ALL],2)</f>
        <v>145.8615285</v>
      </c>
      <c r="AE86" s="319">
        <f>CS_PID!AE86/VLOOKUP($B86,LEBT[#ALL],4)/VLOOKUP($B86,표2[#ALL],2)</f>
        <v>0</v>
      </c>
      <c r="AF86" s="319">
        <f>CS_PID!AF86/VLOOKUP($B86,LEBT[#ALL],4)/VLOOKUP($B86,표2[#ALL],2)</f>
        <v>0</v>
      </c>
      <c r="AG86" s="319">
        <f>CS_PID!AG86/VLOOKUP($B86,LEBT[#ALL],4)/VLOOKUP($B86,표2[#ALL],2)</f>
        <v>0</v>
      </c>
      <c r="AH86" s="319">
        <f>CS_PID!AH86/VLOOKUP($B86,LEBT[#ALL],4)/VLOOKUP($B86,표2[#ALL],2)</f>
        <v>0</v>
      </c>
      <c r="AI86" s="319">
        <f>CS_PID!AI86/VLOOKUP($B86,LEBT[#ALL],4)/VLOOKUP($B86,표2[#ALL],2)</f>
        <v>36.46538212</v>
      </c>
      <c r="AJ86" s="319">
        <f>CS_PID!AJ86/VLOOKUP($B86,LEBT[#ALL],4)/VLOOKUP($B86,표2[#ALL],2)</f>
        <v>36.46538212</v>
      </c>
      <c r="AK86" s="319">
        <f>CS_PID!AK86/VLOOKUP($B86,LEBT[#ALL],4)/VLOOKUP($B86,표2[#ALL],2)</f>
        <v>72.93076425</v>
      </c>
      <c r="AL86" s="319">
        <f>CS_PID!AL86/VLOOKUP($B86,LEBT[#ALL],4)/VLOOKUP($B86,표2[#ALL],2)</f>
        <v>0</v>
      </c>
      <c r="AM86" s="319">
        <f>CS_PID!AM86/VLOOKUP($B86,LEBT[#ALL],4)/VLOOKUP($B86,표2[#ALL],2)</f>
        <v>0</v>
      </c>
      <c r="AN86" s="319">
        <f>CS_PID!AN86/VLOOKUP($B86,LEBT[#ALL],4)/VLOOKUP($B86,표2[#ALL],2)</f>
        <v>0</v>
      </c>
      <c r="AO86" s="319">
        <f>CS_PID!AO86/VLOOKUP($B86,LEBT[#ALL],4)/VLOOKUP($B86,표2[#ALL],2)</f>
        <v>0</v>
      </c>
      <c r="AP86" s="319">
        <f>CS_PID!AP86/VLOOKUP($B86,LEBT[#ALL],4)/VLOOKUP($B86,표2[#ALL],2)</f>
        <v>0</v>
      </c>
      <c r="AQ86" s="319">
        <f>CS_PID!AQ86/VLOOKUP($B86,LEBT[#ALL],4)/VLOOKUP($B86,표2[#ALL],2)</f>
        <v>0</v>
      </c>
      <c r="AR86" s="319">
        <f>CS_PID!AR86/VLOOKUP($B86,LEBT[#ALL],4)/VLOOKUP($B86,표2[#ALL],2)</f>
        <v>0</v>
      </c>
      <c r="AS86" s="319">
        <f>CS_PID!AS86/VLOOKUP($B86,LEBT[#ALL],4)/VLOOKUP($B86,표2[#ALL],2)</f>
        <v>0</v>
      </c>
    </row>
    <row r="87">
      <c r="A87" s="177" t="s">
        <v>84</v>
      </c>
      <c r="B87" s="178">
        <v>351.0</v>
      </c>
      <c r="C87" s="319">
        <f>CS_PID!C87/VLOOKUP($B87,LEBT[#ALL],4)/VLOOKUP($B87,표2[#ALL],2)</f>
        <v>0</v>
      </c>
      <c r="D87" s="319">
        <f>CS_PID!D87/VLOOKUP($B87,LEBT[#ALL],4)/VLOOKUP($B87,표2[#ALL],2)</f>
        <v>0</v>
      </c>
      <c r="E87" s="319">
        <f>CS_PID!E87/VLOOKUP($B87,LEBT[#ALL],4)/VLOOKUP($B87,표2[#ALL],2)</f>
        <v>503.5145885</v>
      </c>
      <c r="F87" s="319">
        <f>CS_PID!F87/VLOOKUP($B87,LEBT[#ALL],4)/VLOOKUP($B87,표2[#ALL],2)</f>
        <v>1007.029177</v>
      </c>
      <c r="G87" s="319">
        <f>CS_PID!G87/VLOOKUP($B87,LEBT[#ALL],4)/VLOOKUP($B87,표2[#ALL],2)</f>
        <v>0</v>
      </c>
      <c r="H87" s="319">
        <f>CS_PID!H87/VLOOKUP($B87,LEBT[#ALL],4)/VLOOKUP($B87,표2[#ALL],2)</f>
        <v>0</v>
      </c>
      <c r="I87" s="319">
        <f>CS_PID!I87/VLOOKUP($B87,LEBT[#ALL],4)/VLOOKUP($B87,표2[#ALL],2)</f>
        <v>0</v>
      </c>
      <c r="J87" s="319">
        <f>CS_PID!J87/VLOOKUP($B87,LEBT[#ALL],4)/VLOOKUP($B87,표2[#ALL],2)</f>
        <v>0</v>
      </c>
      <c r="K87" s="319">
        <f>CS_PID!K87/VLOOKUP($B87,LEBT[#ALL],4)/VLOOKUP($B87,표2[#ALL],2)</f>
        <v>503.5145885</v>
      </c>
      <c r="L87" s="319">
        <f>CS_PID!L87/VLOOKUP($B87,LEBT[#ALL],4)/VLOOKUP($B87,표2[#ALL],2)</f>
        <v>1007.029177</v>
      </c>
      <c r="M87" s="319">
        <f>CS_PID!M87/VLOOKUP($B87,LEBT[#ALL],4)/VLOOKUP($B87,표2[#ALL],2)</f>
        <v>503.5145885</v>
      </c>
      <c r="N87" s="319">
        <f>CS_PID!N87/VLOOKUP($B87,LEBT[#ALL],4)/VLOOKUP($B87,표2[#ALL],2)</f>
        <v>0</v>
      </c>
      <c r="O87" s="319">
        <f>CS_PID!O87/VLOOKUP($B87,LEBT[#ALL],4)/VLOOKUP($B87,표2[#ALL],2)</f>
        <v>0</v>
      </c>
      <c r="P87" s="319">
        <f>CS_PID!P87/VLOOKUP($B87,LEBT[#ALL],4)/VLOOKUP($B87,표2[#ALL],2)</f>
        <v>0</v>
      </c>
      <c r="Q87" s="319">
        <f>CS_PID!Q87/VLOOKUP($B87,LEBT[#ALL],4)/VLOOKUP($B87,표2[#ALL],2)</f>
        <v>0</v>
      </c>
      <c r="R87" s="319">
        <f>CS_PID!R87/VLOOKUP($B87,LEBT[#ALL],4)/VLOOKUP($B87,표2[#ALL],2)</f>
        <v>0</v>
      </c>
      <c r="S87" s="319">
        <f>CS_PID!S87/VLOOKUP($B87,LEBT[#ALL],4)/VLOOKUP($B87,표2[#ALL],2)</f>
        <v>0</v>
      </c>
      <c r="T87" s="319">
        <f>CS_PID!T87/VLOOKUP($B87,LEBT[#ALL],4)/VLOOKUP($B87,표2[#ALL],2)</f>
        <v>0</v>
      </c>
      <c r="U87" s="319">
        <f>CS_PID!U87/VLOOKUP($B87,LEBT[#ALL],4)/VLOOKUP($B87,표2[#ALL],2)</f>
        <v>0</v>
      </c>
      <c r="V87" s="319">
        <f>CS_PID!V87/VLOOKUP($B87,LEBT[#ALL],4)/VLOOKUP($B87,표2[#ALL],2)</f>
        <v>0</v>
      </c>
      <c r="W87" s="319">
        <f>CS_PID!W87/VLOOKUP($B87,LEBT[#ALL],4)/VLOOKUP($B87,표2[#ALL],2)</f>
        <v>0</v>
      </c>
      <c r="X87" s="319">
        <f>CS_PID!X87/VLOOKUP($B87,LEBT[#ALL],4)/VLOOKUP($B87,표2[#ALL],2)</f>
        <v>1007.029177</v>
      </c>
      <c r="Y87" s="319">
        <f>CS_PID!Y87/VLOOKUP($B87,LEBT[#ALL],4)/VLOOKUP($B87,표2[#ALL],2)</f>
        <v>0</v>
      </c>
      <c r="Z87" s="319">
        <f>CS_PID!Z87/VLOOKUP($B87,LEBT[#ALL],4)/VLOOKUP($B87,표2[#ALL],2)</f>
        <v>0</v>
      </c>
      <c r="AA87" s="319">
        <f>CS_PID!AA87/VLOOKUP($B87,LEBT[#ALL],4)/VLOOKUP($B87,표2[#ALL],2)</f>
        <v>0</v>
      </c>
      <c r="AB87" s="319">
        <f>CS_PID!AB87/VLOOKUP($B87,LEBT[#ALL],4)/VLOOKUP($B87,표2[#ALL],2)</f>
        <v>0</v>
      </c>
      <c r="AC87" s="319">
        <f>CS_PID!AC87/VLOOKUP($B87,LEBT[#ALL],4)/VLOOKUP($B87,표2[#ALL],2)</f>
        <v>503.5145885</v>
      </c>
      <c r="AD87" s="319">
        <f>CS_PID!AD87/VLOOKUP($B87,LEBT[#ALL],4)/VLOOKUP($B87,표2[#ALL],2)</f>
        <v>0</v>
      </c>
      <c r="AE87" s="319">
        <f>CS_PID!AE87/VLOOKUP($B87,LEBT[#ALL],4)/VLOOKUP($B87,표2[#ALL],2)</f>
        <v>0</v>
      </c>
      <c r="AF87" s="319">
        <f>CS_PID!AF87/VLOOKUP($B87,LEBT[#ALL],4)/VLOOKUP($B87,표2[#ALL],2)</f>
        <v>0</v>
      </c>
      <c r="AG87" s="319">
        <f>CS_PID!AG87/VLOOKUP($B87,LEBT[#ALL],4)/VLOOKUP($B87,표2[#ALL],2)</f>
        <v>0</v>
      </c>
      <c r="AH87" s="319">
        <f>CS_PID!AH87/VLOOKUP($B87,LEBT[#ALL],4)/VLOOKUP($B87,표2[#ALL],2)</f>
        <v>0</v>
      </c>
      <c r="AI87" s="319">
        <f>CS_PID!AI87/VLOOKUP($B87,LEBT[#ALL],4)/VLOOKUP($B87,표2[#ALL],2)</f>
        <v>0</v>
      </c>
      <c r="AJ87" s="319">
        <f>CS_PID!AJ87/VLOOKUP($B87,LEBT[#ALL],4)/VLOOKUP($B87,표2[#ALL],2)</f>
        <v>0</v>
      </c>
      <c r="AK87" s="319">
        <f>CS_PID!AK87/VLOOKUP($B87,LEBT[#ALL],4)/VLOOKUP($B87,표2[#ALL],2)</f>
        <v>0</v>
      </c>
      <c r="AL87" s="319">
        <f>CS_PID!AL87/VLOOKUP($B87,LEBT[#ALL],4)/VLOOKUP($B87,표2[#ALL],2)</f>
        <v>0</v>
      </c>
      <c r="AM87" s="319">
        <f>CS_PID!AM87/VLOOKUP($B87,LEBT[#ALL],4)/VLOOKUP($B87,표2[#ALL],2)</f>
        <v>0</v>
      </c>
      <c r="AN87" s="319">
        <f>CS_PID!AN87/VLOOKUP($B87,LEBT[#ALL],4)/VLOOKUP($B87,표2[#ALL],2)</f>
        <v>0</v>
      </c>
      <c r="AO87" s="319">
        <f>CS_PID!AO87/VLOOKUP($B87,LEBT[#ALL],4)/VLOOKUP($B87,표2[#ALL],2)</f>
        <v>503.5145885</v>
      </c>
      <c r="AP87" s="319">
        <f>CS_PID!AP87/VLOOKUP($B87,LEBT[#ALL],4)/VLOOKUP($B87,표2[#ALL],2)</f>
        <v>0</v>
      </c>
      <c r="AQ87" s="319">
        <f>CS_PID!AQ87/VLOOKUP($B87,LEBT[#ALL],4)/VLOOKUP($B87,표2[#ALL],2)</f>
        <v>0</v>
      </c>
      <c r="AR87" s="319">
        <f>CS_PID!AR87/VLOOKUP($B87,LEBT[#ALL],4)/VLOOKUP($B87,표2[#ALL],2)</f>
        <v>0</v>
      </c>
      <c r="AS87" s="319">
        <f>CS_PID!AS87/VLOOKUP($B87,LEBT[#ALL],4)/VLOOKUP($B87,표2[#ALL],2)</f>
        <v>0</v>
      </c>
    </row>
    <row r="88">
      <c r="A88" s="177" t="s">
        <v>84</v>
      </c>
      <c r="B88" s="178">
        <v>352.0</v>
      </c>
      <c r="C88" s="319">
        <f>CS_PID!C88/VLOOKUP($B88,LEBT[#ALL],4)/VLOOKUP($B88,표2[#ALL],2)</f>
        <v>0</v>
      </c>
      <c r="D88" s="319">
        <f>CS_PID!D88/VLOOKUP($B88,LEBT[#ALL],4)/VLOOKUP($B88,표2[#ALL],2)</f>
        <v>0</v>
      </c>
      <c r="E88" s="319">
        <f>CS_PID!E88/VLOOKUP($B88,LEBT[#ALL],4)/VLOOKUP($B88,표2[#ALL],2)</f>
        <v>0</v>
      </c>
      <c r="F88" s="319">
        <f>CS_PID!F88/VLOOKUP($B88,LEBT[#ALL],4)/VLOOKUP($B88,표2[#ALL],2)</f>
        <v>462.1689021</v>
      </c>
      <c r="G88" s="319">
        <f>CS_PID!G88/VLOOKUP($B88,LEBT[#ALL],4)/VLOOKUP($B88,표2[#ALL],2)</f>
        <v>0</v>
      </c>
      <c r="H88" s="319">
        <f>CS_PID!H88/VLOOKUP($B88,LEBT[#ALL],4)/VLOOKUP($B88,표2[#ALL],2)</f>
        <v>0</v>
      </c>
      <c r="I88" s="319">
        <f>CS_PID!I88/VLOOKUP($B88,LEBT[#ALL],4)/VLOOKUP($B88,표2[#ALL],2)</f>
        <v>0</v>
      </c>
      <c r="J88" s="319">
        <f>CS_PID!J88/VLOOKUP($B88,LEBT[#ALL],4)/VLOOKUP($B88,표2[#ALL],2)</f>
        <v>177.75727</v>
      </c>
      <c r="K88" s="319">
        <f>CS_PID!K88/VLOOKUP($B88,LEBT[#ALL],4)/VLOOKUP($B88,표2[#ALL],2)</f>
        <v>675.4776261</v>
      </c>
      <c r="L88" s="319">
        <f>CS_PID!L88/VLOOKUP($B88,LEBT[#ALL],4)/VLOOKUP($B88,표2[#ALL],2)</f>
        <v>391.0659941</v>
      </c>
      <c r="M88" s="319">
        <f>CS_PID!M88/VLOOKUP($B88,LEBT[#ALL],4)/VLOOKUP($B88,표2[#ALL],2)</f>
        <v>0</v>
      </c>
      <c r="N88" s="319">
        <f>CS_PID!N88/VLOOKUP($B88,LEBT[#ALL],4)/VLOOKUP($B88,표2[#ALL],2)</f>
        <v>0</v>
      </c>
      <c r="O88" s="319">
        <f>CS_PID!O88/VLOOKUP($B88,LEBT[#ALL],4)/VLOOKUP($B88,표2[#ALL],2)</f>
        <v>0</v>
      </c>
      <c r="P88" s="319">
        <f>CS_PID!P88/VLOOKUP($B88,LEBT[#ALL],4)/VLOOKUP($B88,표2[#ALL],2)</f>
        <v>35.55145401</v>
      </c>
      <c r="Q88" s="319">
        <f>CS_PID!Q88/VLOOKUP($B88,LEBT[#ALL],4)/VLOOKUP($B88,표2[#ALL],2)</f>
        <v>319.963086</v>
      </c>
      <c r="R88" s="319">
        <f>CS_PID!R88/VLOOKUP($B88,LEBT[#ALL],4)/VLOOKUP($B88,표2[#ALL],2)</f>
        <v>604.3747181</v>
      </c>
      <c r="S88" s="319">
        <f>CS_PID!S88/VLOOKUP($B88,LEBT[#ALL],4)/VLOOKUP($B88,표2[#ALL],2)</f>
        <v>71.10290801</v>
      </c>
      <c r="T88" s="319">
        <f>CS_PID!T88/VLOOKUP($B88,LEBT[#ALL],4)/VLOOKUP($B88,표2[#ALL],2)</f>
        <v>0</v>
      </c>
      <c r="U88" s="319">
        <f>CS_PID!U88/VLOOKUP($B88,LEBT[#ALL],4)/VLOOKUP($B88,표2[#ALL],2)</f>
        <v>0</v>
      </c>
      <c r="V88" s="319">
        <f>CS_PID!V88/VLOOKUP($B88,LEBT[#ALL],4)/VLOOKUP($B88,표2[#ALL],2)</f>
        <v>35.55145401</v>
      </c>
      <c r="W88" s="319">
        <f>CS_PID!W88/VLOOKUP($B88,LEBT[#ALL],4)/VLOOKUP($B88,표2[#ALL],2)</f>
        <v>71.10290801</v>
      </c>
      <c r="X88" s="319">
        <f>CS_PID!X88/VLOOKUP($B88,LEBT[#ALL],4)/VLOOKUP($B88,표2[#ALL],2)</f>
        <v>355.5145401</v>
      </c>
      <c r="Y88" s="319">
        <f>CS_PID!Y88/VLOOKUP($B88,LEBT[#ALL],4)/VLOOKUP($B88,표2[#ALL],2)</f>
        <v>0</v>
      </c>
      <c r="Z88" s="319">
        <f>CS_PID!Z88/VLOOKUP($B88,LEBT[#ALL],4)/VLOOKUP($B88,표2[#ALL],2)</f>
        <v>0</v>
      </c>
      <c r="AA88" s="319">
        <f>CS_PID!AA88/VLOOKUP($B88,LEBT[#ALL],4)/VLOOKUP($B88,표2[#ALL],2)</f>
        <v>0</v>
      </c>
      <c r="AB88" s="319">
        <f>CS_PID!AB88/VLOOKUP($B88,LEBT[#ALL],4)/VLOOKUP($B88,표2[#ALL],2)</f>
        <v>0</v>
      </c>
      <c r="AC88" s="319">
        <f>CS_PID!AC88/VLOOKUP($B88,LEBT[#ALL],4)/VLOOKUP($B88,표2[#ALL],2)</f>
        <v>71.10290801</v>
      </c>
      <c r="AD88" s="319">
        <f>CS_PID!AD88/VLOOKUP($B88,LEBT[#ALL],4)/VLOOKUP($B88,표2[#ALL],2)</f>
        <v>71.10290801</v>
      </c>
      <c r="AE88" s="319">
        <f>CS_PID!AE88/VLOOKUP($B88,LEBT[#ALL],4)/VLOOKUP($B88,표2[#ALL],2)</f>
        <v>35.55145401</v>
      </c>
      <c r="AF88" s="319">
        <f>CS_PID!AF88/VLOOKUP($B88,LEBT[#ALL],4)/VLOOKUP($B88,표2[#ALL],2)</f>
        <v>0</v>
      </c>
      <c r="AG88" s="319">
        <f>CS_PID!AG88/VLOOKUP($B88,LEBT[#ALL],4)/VLOOKUP($B88,표2[#ALL],2)</f>
        <v>0</v>
      </c>
      <c r="AH88" s="319">
        <f>CS_PID!AH88/VLOOKUP($B88,LEBT[#ALL],4)/VLOOKUP($B88,표2[#ALL],2)</f>
        <v>0</v>
      </c>
      <c r="AI88" s="319">
        <f>CS_PID!AI88/VLOOKUP($B88,LEBT[#ALL],4)/VLOOKUP($B88,표2[#ALL],2)</f>
        <v>0</v>
      </c>
      <c r="AJ88" s="319">
        <f>CS_PID!AJ88/VLOOKUP($B88,LEBT[#ALL],4)/VLOOKUP($B88,표2[#ALL],2)</f>
        <v>142.205816</v>
      </c>
      <c r="AK88" s="319">
        <f>CS_PID!AK88/VLOOKUP($B88,LEBT[#ALL],4)/VLOOKUP($B88,표2[#ALL],2)</f>
        <v>35.55145401</v>
      </c>
      <c r="AL88" s="319">
        <f>CS_PID!AL88/VLOOKUP($B88,LEBT[#ALL],4)/VLOOKUP($B88,표2[#ALL],2)</f>
        <v>0</v>
      </c>
      <c r="AM88" s="319">
        <f>CS_PID!AM88/VLOOKUP($B88,LEBT[#ALL],4)/VLOOKUP($B88,표2[#ALL],2)</f>
        <v>0</v>
      </c>
      <c r="AN88" s="319">
        <f>CS_PID!AN88/VLOOKUP($B88,LEBT[#ALL],4)/VLOOKUP($B88,표2[#ALL],2)</f>
        <v>0</v>
      </c>
      <c r="AO88" s="319">
        <f>CS_PID!AO88/VLOOKUP($B88,LEBT[#ALL],4)/VLOOKUP($B88,표2[#ALL],2)</f>
        <v>0</v>
      </c>
      <c r="AP88" s="319">
        <f>CS_PID!AP88/VLOOKUP($B88,LEBT[#ALL],4)/VLOOKUP($B88,표2[#ALL],2)</f>
        <v>0</v>
      </c>
      <c r="AQ88" s="319">
        <f>CS_PID!AQ88/VLOOKUP($B88,LEBT[#ALL],4)/VLOOKUP($B88,표2[#ALL],2)</f>
        <v>0</v>
      </c>
      <c r="AR88" s="319">
        <f>CS_PID!AR88/VLOOKUP($B88,LEBT[#ALL],4)/VLOOKUP($B88,표2[#ALL],2)</f>
        <v>0</v>
      </c>
      <c r="AS88" s="319">
        <f>CS_PID!AS88/VLOOKUP($B88,LEBT[#ALL],4)/VLOOKUP($B88,표2[#ALL],2)</f>
        <v>0</v>
      </c>
    </row>
    <row r="89">
      <c r="A89" s="177" t="s">
        <v>84</v>
      </c>
      <c r="B89" s="178">
        <v>361.0</v>
      </c>
      <c r="C89" s="319">
        <f>CS_PID!C89/VLOOKUP($B89,LEBT[#ALL],4)/VLOOKUP($B89,표2[#ALL],2)</f>
        <v>0</v>
      </c>
      <c r="D89" s="319">
        <f>CS_PID!D89/VLOOKUP($B89,LEBT[#ALL],4)/VLOOKUP($B89,표2[#ALL],2)</f>
        <v>0</v>
      </c>
      <c r="E89" s="319">
        <f>CS_PID!E89/VLOOKUP($B89,LEBT[#ALL],4)/VLOOKUP($B89,표2[#ALL],2)</f>
        <v>0</v>
      </c>
      <c r="F89" s="319">
        <f>CS_PID!F89/VLOOKUP($B89,LEBT[#ALL],4)/VLOOKUP($B89,표2[#ALL],2)</f>
        <v>647.5815586</v>
      </c>
      <c r="G89" s="319">
        <f>CS_PID!G89/VLOOKUP($B89,LEBT[#ALL],4)/VLOOKUP($B89,표2[#ALL],2)</f>
        <v>43.17210391</v>
      </c>
      <c r="H89" s="319">
        <f>CS_PID!H89/VLOOKUP($B89,LEBT[#ALL],4)/VLOOKUP($B89,표2[#ALL],2)</f>
        <v>0</v>
      </c>
      <c r="I89" s="319">
        <f>CS_PID!I89/VLOOKUP($B89,LEBT[#ALL],4)/VLOOKUP($B89,표2[#ALL],2)</f>
        <v>0</v>
      </c>
      <c r="J89" s="319">
        <f>CS_PID!J89/VLOOKUP($B89,LEBT[#ALL],4)/VLOOKUP($B89,표2[#ALL],2)</f>
        <v>0</v>
      </c>
      <c r="K89" s="319">
        <f>CS_PID!K89/VLOOKUP($B89,LEBT[#ALL],4)/VLOOKUP($B89,표2[#ALL],2)</f>
        <v>388.5489351</v>
      </c>
      <c r="L89" s="319">
        <f>CS_PID!L89/VLOOKUP($B89,LEBT[#ALL],4)/VLOOKUP($B89,표2[#ALL],2)</f>
        <v>345.3768312</v>
      </c>
      <c r="M89" s="319">
        <f>CS_PID!M89/VLOOKUP($B89,LEBT[#ALL],4)/VLOOKUP($B89,표2[#ALL],2)</f>
        <v>0</v>
      </c>
      <c r="N89" s="319">
        <f>CS_PID!N89/VLOOKUP($B89,LEBT[#ALL],4)/VLOOKUP($B89,표2[#ALL],2)</f>
        <v>0</v>
      </c>
      <c r="O89" s="319">
        <f>CS_PID!O89/VLOOKUP($B89,LEBT[#ALL],4)/VLOOKUP($B89,표2[#ALL],2)</f>
        <v>0</v>
      </c>
      <c r="P89" s="319">
        <f>CS_PID!P89/VLOOKUP($B89,LEBT[#ALL],4)/VLOOKUP($B89,표2[#ALL],2)</f>
        <v>0</v>
      </c>
      <c r="Q89" s="319">
        <f>CS_PID!Q89/VLOOKUP($B89,LEBT[#ALL],4)/VLOOKUP($B89,표2[#ALL],2)</f>
        <v>431.7210391</v>
      </c>
      <c r="R89" s="319">
        <f>CS_PID!R89/VLOOKUP($B89,LEBT[#ALL],4)/VLOOKUP($B89,표2[#ALL],2)</f>
        <v>388.5489351</v>
      </c>
      <c r="S89" s="319">
        <f>CS_PID!S89/VLOOKUP($B89,LEBT[#ALL],4)/VLOOKUP($B89,표2[#ALL],2)</f>
        <v>86.34420781</v>
      </c>
      <c r="T89" s="319">
        <f>CS_PID!T89/VLOOKUP($B89,LEBT[#ALL],4)/VLOOKUP($B89,표2[#ALL],2)</f>
        <v>0</v>
      </c>
      <c r="U89" s="319">
        <f>CS_PID!U89/VLOOKUP($B89,LEBT[#ALL],4)/VLOOKUP($B89,표2[#ALL],2)</f>
        <v>0</v>
      </c>
      <c r="V89" s="319">
        <f>CS_PID!V89/VLOOKUP($B89,LEBT[#ALL],4)/VLOOKUP($B89,표2[#ALL],2)</f>
        <v>0</v>
      </c>
      <c r="W89" s="319">
        <f>CS_PID!W89/VLOOKUP($B89,LEBT[#ALL],4)/VLOOKUP($B89,표2[#ALL],2)</f>
        <v>86.34420781</v>
      </c>
      <c r="X89" s="319">
        <f>CS_PID!X89/VLOOKUP($B89,LEBT[#ALL],4)/VLOOKUP($B89,표2[#ALL],2)</f>
        <v>302.2047273</v>
      </c>
      <c r="Y89" s="319">
        <f>CS_PID!Y89/VLOOKUP($B89,LEBT[#ALL],4)/VLOOKUP($B89,표2[#ALL],2)</f>
        <v>86.34420781</v>
      </c>
      <c r="Z89" s="319">
        <f>CS_PID!Z89/VLOOKUP($B89,LEBT[#ALL],4)/VLOOKUP($B89,표2[#ALL],2)</f>
        <v>0</v>
      </c>
      <c r="AA89" s="319">
        <f>CS_PID!AA89/VLOOKUP($B89,LEBT[#ALL],4)/VLOOKUP($B89,표2[#ALL],2)</f>
        <v>0</v>
      </c>
      <c r="AB89" s="319">
        <f>CS_PID!AB89/VLOOKUP($B89,LEBT[#ALL],4)/VLOOKUP($B89,표2[#ALL],2)</f>
        <v>0</v>
      </c>
      <c r="AC89" s="319">
        <f>CS_PID!AC89/VLOOKUP($B89,LEBT[#ALL],4)/VLOOKUP($B89,표2[#ALL],2)</f>
        <v>43.17210391</v>
      </c>
      <c r="AD89" s="319">
        <f>CS_PID!AD89/VLOOKUP($B89,LEBT[#ALL],4)/VLOOKUP($B89,표2[#ALL],2)</f>
        <v>86.34420781</v>
      </c>
      <c r="AE89" s="319">
        <f>CS_PID!AE89/VLOOKUP($B89,LEBT[#ALL],4)/VLOOKUP($B89,표2[#ALL],2)</f>
        <v>43.17210391</v>
      </c>
      <c r="AF89" s="319">
        <f>CS_PID!AF89/VLOOKUP($B89,LEBT[#ALL],4)/VLOOKUP($B89,표2[#ALL],2)</f>
        <v>0</v>
      </c>
      <c r="AG89" s="319">
        <f>CS_PID!AG89/VLOOKUP($B89,LEBT[#ALL],4)/VLOOKUP($B89,표2[#ALL],2)</f>
        <v>0</v>
      </c>
      <c r="AH89" s="319">
        <f>CS_PID!AH89/VLOOKUP($B89,LEBT[#ALL],4)/VLOOKUP($B89,표2[#ALL],2)</f>
        <v>0</v>
      </c>
      <c r="AI89" s="319">
        <f>CS_PID!AI89/VLOOKUP($B89,LEBT[#ALL],4)/VLOOKUP($B89,표2[#ALL],2)</f>
        <v>0</v>
      </c>
      <c r="AJ89" s="319">
        <f>CS_PID!AJ89/VLOOKUP($B89,LEBT[#ALL],4)/VLOOKUP($B89,표2[#ALL],2)</f>
        <v>129.5163117</v>
      </c>
      <c r="AK89" s="319">
        <f>CS_PID!AK89/VLOOKUP($B89,LEBT[#ALL],4)/VLOOKUP($B89,표2[#ALL],2)</f>
        <v>0</v>
      </c>
      <c r="AL89" s="319">
        <f>CS_PID!AL89/VLOOKUP($B89,LEBT[#ALL],4)/VLOOKUP($B89,표2[#ALL],2)</f>
        <v>0</v>
      </c>
      <c r="AM89" s="319">
        <f>CS_PID!AM89/VLOOKUP($B89,LEBT[#ALL],4)/VLOOKUP($B89,표2[#ALL],2)</f>
        <v>0</v>
      </c>
      <c r="AN89" s="319">
        <f>CS_PID!AN89/VLOOKUP($B89,LEBT[#ALL],4)/VLOOKUP($B89,표2[#ALL],2)</f>
        <v>0</v>
      </c>
      <c r="AO89" s="319">
        <f>CS_PID!AO89/VLOOKUP($B89,LEBT[#ALL],4)/VLOOKUP($B89,표2[#ALL],2)</f>
        <v>43.17210391</v>
      </c>
      <c r="AP89" s="319">
        <f>CS_PID!AP89/VLOOKUP($B89,LEBT[#ALL],4)/VLOOKUP($B89,표2[#ALL],2)</f>
        <v>43.17210391</v>
      </c>
      <c r="AQ89" s="319">
        <f>CS_PID!AQ89/VLOOKUP($B89,LEBT[#ALL],4)/VLOOKUP($B89,표2[#ALL],2)</f>
        <v>0</v>
      </c>
      <c r="AR89" s="319">
        <f>CS_PID!AR89/VLOOKUP($B89,LEBT[#ALL],4)/VLOOKUP($B89,표2[#ALL],2)</f>
        <v>0</v>
      </c>
      <c r="AS89" s="319">
        <f>CS_PID!AS89/VLOOKUP($B89,LEBT[#ALL],4)/VLOOKUP($B89,표2[#ALL],2)</f>
        <v>0</v>
      </c>
    </row>
    <row r="90">
      <c r="A90" s="177" t="s">
        <v>84</v>
      </c>
      <c r="B90" s="178">
        <v>362.0</v>
      </c>
      <c r="C90" s="319">
        <f>CS_PID!C90/VLOOKUP($B90,LEBT[#ALL],4)/VLOOKUP($B90,표2[#ALL],2)</f>
        <v>0</v>
      </c>
      <c r="D90" s="319">
        <f>CS_PID!D90/VLOOKUP($B90,LEBT[#ALL],4)/VLOOKUP($B90,표2[#ALL],2)</f>
        <v>0</v>
      </c>
      <c r="E90" s="319">
        <f>CS_PID!E90/VLOOKUP($B90,LEBT[#ALL],4)/VLOOKUP($B90,표2[#ALL],2)</f>
        <v>0</v>
      </c>
      <c r="F90" s="319">
        <f>CS_PID!F90/VLOOKUP($B90,LEBT[#ALL],4)/VLOOKUP($B90,표2[#ALL],2)</f>
        <v>400.9306642</v>
      </c>
      <c r="G90" s="319">
        <f>CS_PID!G90/VLOOKUP($B90,LEBT[#ALL],4)/VLOOKUP($B90,표2[#ALL],2)</f>
        <v>240.5583985</v>
      </c>
      <c r="H90" s="319">
        <f>CS_PID!H90/VLOOKUP($B90,LEBT[#ALL],4)/VLOOKUP($B90,표2[#ALL],2)</f>
        <v>0</v>
      </c>
      <c r="I90" s="319">
        <f>CS_PID!I90/VLOOKUP($B90,LEBT[#ALL],4)/VLOOKUP($B90,표2[#ALL],2)</f>
        <v>0</v>
      </c>
      <c r="J90" s="319">
        <f>CS_PID!J90/VLOOKUP($B90,LEBT[#ALL],4)/VLOOKUP($B90,표2[#ALL],2)</f>
        <v>80.18613283</v>
      </c>
      <c r="K90" s="319">
        <f>CS_PID!K90/VLOOKUP($B90,LEBT[#ALL],4)/VLOOKUP($B90,표2[#ALL],2)</f>
        <v>721.6751955</v>
      </c>
      <c r="L90" s="319">
        <f>CS_PID!L90/VLOOKUP($B90,LEBT[#ALL],4)/VLOOKUP($B90,표2[#ALL],2)</f>
        <v>561.3029298</v>
      </c>
      <c r="M90" s="319">
        <f>CS_PID!M90/VLOOKUP($B90,LEBT[#ALL],4)/VLOOKUP($B90,표2[#ALL],2)</f>
        <v>0</v>
      </c>
      <c r="N90" s="319">
        <f>CS_PID!N90/VLOOKUP($B90,LEBT[#ALL],4)/VLOOKUP($B90,표2[#ALL],2)</f>
        <v>0</v>
      </c>
      <c r="O90" s="319">
        <f>CS_PID!O90/VLOOKUP($B90,LEBT[#ALL],4)/VLOOKUP($B90,표2[#ALL],2)</f>
        <v>0</v>
      </c>
      <c r="P90" s="319">
        <f>CS_PID!P90/VLOOKUP($B90,LEBT[#ALL],4)/VLOOKUP($B90,표2[#ALL],2)</f>
        <v>0</v>
      </c>
      <c r="Q90" s="319">
        <f>CS_PID!Q90/VLOOKUP($B90,LEBT[#ALL],4)/VLOOKUP($B90,표2[#ALL],2)</f>
        <v>1122.60586</v>
      </c>
      <c r="R90" s="319">
        <f>CS_PID!R90/VLOOKUP($B90,LEBT[#ALL],4)/VLOOKUP($B90,표2[#ALL],2)</f>
        <v>481.116797</v>
      </c>
      <c r="S90" s="319">
        <f>CS_PID!S90/VLOOKUP($B90,LEBT[#ALL],4)/VLOOKUP($B90,표2[#ALL],2)</f>
        <v>0</v>
      </c>
      <c r="T90" s="319">
        <f>CS_PID!T90/VLOOKUP($B90,LEBT[#ALL],4)/VLOOKUP($B90,표2[#ALL],2)</f>
        <v>0</v>
      </c>
      <c r="U90" s="319">
        <f>CS_PID!U90/VLOOKUP($B90,LEBT[#ALL],4)/VLOOKUP($B90,표2[#ALL],2)</f>
        <v>0</v>
      </c>
      <c r="V90" s="319">
        <f>CS_PID!V90/VLOOKUP($B90,LEBT[#ALL],4)/VLOOKUP($B90,표2[#ALL],2)</f>
        <v>0</v>
      </c>
      <c r="W90" s="319">
        <f>CS_PID!W90/VLOOKUP($B90,LEBT[#ALL],4)/VLOOKUP($B90,표2[#ALL],2)</f>
        <v>160.3722657</v>
      </c>
      <c r="X90" s="319">
        <f>CS_PID!X90/VLOOKUP($B90,LEBT[#ALL],4)/VLOOKUP($B90,표2[#ALL],2)</f>
        <v>160.3722657</v>
      </c>
      <c r="Y90" s="319">
        <f>CS_PID!Y90/VLOOKUP($B90,LEBT[#ALL],4)/VLOOKUP($B90,표2[#ALL],2)</f>
        <v>0</v>
      </c>
      <c r="Z90" s="319">
        <f>CS_PID!Z90/VLOOKUP($B90,LEBT[#ALL],4)/VLOOKUP($B90,표2[#ALL],2)</f>
        <v>0</v>
      </c>
      <c r="AA90" s="319">
        <f>CS_PID!AA90/VLOOKUP($B90,LEBT[#ALL],4)/VLOOKUP($B90,표2[#ALL],2)</f>
        <v>0</v>
      </c>
      <c r="AB90" s="319">
        <f>CS_PID!AB90/VLOOKUP($B90,LEBT[#ALL],4)/VLOOKUP($B90,표2[#ALL],2)</f>
        <v>0</v>
      </c>
      <c r="AC90" s="319">
        <f>CS_PID!AC90/VLOOKUP($B90,LEBT[#ALL],4)/VLOOKUP($B90,표2[#ALL],2)</f>
        <v>80.18613283</v>
      </c>
      <c r="AD90" s="319">
        <f>CS_PID!AD90/VLOOKUP($B90,LEBT[#ALL],4)/VLOOKUP($B90,표2[#ALL],2)</f>
        <v>160.3722657</v>
      </c>
      <c r="AE90" s="319">
        <f>CS_PID!AE90/VLOOKUP($B90,LEBT[#ALL],4)/VLOOKUP($B90,표2[#ALL],2)</f>
        <v>80.18613283</v>
      </c>
      <c r="AF90" s="319">
        <f>CS_PID!AF90/VLOOKUP($B90,LEBT[#ALL],4)/VLOOKUP($B90,표2[#ALL],2)</f>
        <v>0</v>
      </c>
      <c r="AG90" s="319">
        <f>CS_PID!AG90/VLOOKUP($B90,LEBT[#ALL],4)/VLOOKUP($B90,표2[#ALL],2)</f>
        <v>0</v>
      </c>
      <c r="AH90" s="319">
        <f>CS_PID!AH90/VLOOKUP($B90,LEBT[#ALL],4)/VLOOKUP($B90,표2[#ALL],2)</f>
        <v>0</v>
      </c>
      <c r="AI90" s="319">
        <f>CS_PID!AI90/VLOOKUP($B90,LEBT[#ALL],4)/VLOOKUP($B90,표2[#ALL],2)</f>
        <v>0</v>
      </c>
      <c r="AJ90" s="319">
        <f>CS_PID!AJ90/VLOOKUP($B90,LEBT[#ALL],4)/VLOOKUP($B90,표2[#ALL],2)</f>
        <v>80.18613283</v>
      </c>
      <c r="AK90" s="319">
        <f>CS_PID!AK90/VLOOKUP($B90,LEBT[#ALL],4)/VLOOKUP($B90,표2[#ALL],2)</f>
        <v>80.18613283</v>
      </c>
      <c r="AL90" s="319">
        <f>CS_PID!AL90/VLOOKUP($B90,LEBT[#ALL],4)/VLOOKUP($B90,표2[#ALL],2)</f>
        <v>0</v>
      </c>
      <c r="AM90" s="319">
        <f>CS_PID!AM90/VLOOKUP($B90,LEBT[#ALL],4)/VLOOKUP($B90,표2[#ALL],2)</f>
        <v>0</v>
      </c>
      <c r="AN90" s="319">
        <f>CS_PID!AN90/VLOOKUP($B90,LEBT[#ALL],4)/VLOOKUP($B90,표2[#ALL],2)</f>
        <v>0</v>
      </c>
      <c r="AO90" s="319">
        <f>CS_PID!AO90/VLOOKUP($B90,LEBT[#ALL],4)/VLOOKUP($B90,표2[#ALL],2)</f>
        <v>0</v>
      </c>
      <c r="AP90" s="319">
        <f>CS_PID!AP90/VLOOKUP($B90,LEBT[#ALL],4)/VLOOKUP($B90,표2[#ALL],2)</f>
        <v>0</v>
      </c>
      <c r="AQ90" s="319">
        <f>CS_PID!AQ90/VLOOKUP($B90,LEBT[#ALL],4)/VLOOKUP($B90,표2[#ALL],2)</f>
        <v>0</v>
      </c>
      <c r="AR90" s="319">
        <f>CS_PID!AR90/VLOOKUP($B90,LEBT[#ALL],4)/VLOOKUP($B90,표2[#ALL],2)</f>
        <v>0</v>
      </c>
      <c r="AS90" s="319">
        <f>CS_PID!AS90/VLOOKUP($B90,LEBT[#ALL],4)/VLOOKUP($B90,표2[#ALL],2)</f>
        <v>0</v>
      </c>
    </row>
    <row r="91">
      <c r="A91" s="177" t="s">
        <v>84</v>
      </c>
      <c r="B91" s="178">
        <v>364.0</v>
      </c>
      <c r="C91" s="319">
        <f>CS_PID!C91/VLOOKUP($B91,LEBT[#ALL],4)/VLOOKUP($B91,표2[#ALL],2)</f>
        <v>0</v>
      </c>
      <c r="D91" s="319">
        <f>CS_PID!D91/VLOOKUP($B91,LEBT[#ALL],4)/VLOOKUP($B91,표2[#ALL],2)</f>
        <v>0</v>
      </c>
      <c r="E91" s="319">
        <f>CS_PID!E91/VLOOKUP($B91,LEBT[#ALL],4)/VLOOKUP($B91,표2[#ALL],2)</f>
        <v>250.2759419</v>
      </c>
      <c r="F91" s="319">
        <f>CS_PID!F91/VLOOKUP($B91,LEBT[#ALL],4)/VLOOKUP($B91,표2[#ALL],2)</f>
        <v>750.8278257</v>
      </c>
      <c r="G91" s="319">
        <f>CS_PID!G91/VLOOKUP($B91,LEBT[#ALL],4)/VLOOKUP($B91,표2[#ALL],2)</f>
        <v>166.8506279</v>
      </c>
      <c r="H91" s="319">
        <f>CS_PID!H91/VLOOKUP($B91,LEBT[#ALL],4)/VLOOKUP($B91,표2[#ALL],2)</f>
        <v>0</v>
      </c>
      <c r="I91" s="319">
        <f>CS_PID!I91/VLOOKUP($B91,LEBT[#ALL],4)/VLOOKUP($B91,표2[#ALL],2)</f>
        <v>0</v>
      </c>
      <c r="J91" s="319">
        <f>CS_PID!J91/VLOOKUP($B91,LEBT[#ALL],4)/VLOOKUP($B91,표2[#ALL],2)</f>
        <v>83.42531396</v>
      </c>
      <c r="K91" s="319">
        <f>CS_PID!K91/VLOOKUP($B91,LEBT[#ALL],4)/VLOOKUP($B91,표2[#ALL],2)</f>
        <v>1084.529082</v>
      </c>
      <c r="L91" s="319">
        <f>CS_PID!L91/VLOOKUP($B91,LEBT[#ALL],4)/VLOOKUP($B91,표2[#ALL],2)</f>
        <v>83.42531396</v>
      </c>
      <c r="M91" s="319">
        <f>CS_PID!M91/VLOOKUP($B91,LEBT[#ALL],4)/VLOOKUP($B91,표2[#ALL],2)</f>
        <v>0</v>
      </c>
      <c r="N91" s="319">
        <f>CS_PID!N91/VLOOKUP($B91,LEBT[#ALL],4)/VLOOKUP($B91,표2[#ALL],2)</f>
        <v>0</v>
      </c>
      <c r="O91" s="319">
        <f>CS_PID!O91/VLOOKUP($B91,LEBT[#ALL],4)/VLOOKUP($B91,표2[#ALL],2)</f>
        <v>0</v>
      </c>
      <c r="P91" s="319">
        <f>CS_PID!P91/VLOOKUP($B91,LEBT[#ALL],4)/VLOOKUP($B91,표2[#ALL],2)</f>
        <v>0</v>
      </c>
      <c r="Q91" s="319">
        <f>CS_PID!Q91/VLOOKUP($B91,LEBT[#ALL],4)/VLOOKUP($B91,표2[#ALL],2)</f>
        <v>333.7012559</v>
      </c>
      <c r="R91" s="319">
        <f>CS_PID!R91/VLOOKUP($B91,LEBT[#ALL],4)/VLOOKUP($B91,표2[#ALL],2)</f>
        <v>500.5518838</v>
      </c>
      <c r="S91" s="319">
        <f>CS_PID!S91/VLOOKUP($B91,LEBT[#ALL],4)/VLOOKUP($B91,표2[#ALL],2)</f>
        <v>0</v>
      </c>
      <c r="T91" s="319">
        <f>CS_PID!T91/VLOOKUP($B91,LEBT[#ALL],4)/VLOOKUP($B91,표2[#ALL],2)</f>
        <v>0</v>
      </c>
      <c r="U91" s="319">
        <f>CS_PID!U91/VLOOKUP($B91,LEBT[#ALL],4)/VLOOKUP($B91,표2[#ALL],2)</f>
        <v>0</v>
      </c>
      <c r="V91" s="319">
        <f>CS_PID!V91/VLOOKUP($B91,LEBT[#ALL],4)/VLOOKUP($B91,표2[#ALL],2)</f>
        <v>0</v>
      </c>
      <c r="W91" s="319">
        <f>CS_PID!W91/VLOOKUP($B91,LEBT[#ALL],4)/VLOOKUP($B91,표2[#ALL],2)</f>
        <v>0</v>
      </c>
      <c r="X91" s="319">
        <f>CS_PID!X91/VLOOKUP($B91,LEBT[#ALL],4)/VLOOKUP($B91,표2[#ALL],2)</f>
        <v>834.2531396</v>
      </c>
      <c r="Y91" s="319">
        <f>CS_PID!Y91/VLOOKUP($B91,LEBT[#ALL],4)/VLOOKUP($B91,표2[#ALL],2)</f>
        <v>83.42531396</v>
      </c>
      <c r="Z91" s="319">
        <f>CS_PID!Z91/VLOOKUP($B91,LEBT[#ALL],4)/VLOOKUP($B91,표2[#ALL],2)</f>
        <v>0</v>
      </c>
      <c r="AA91" s="319">
        <f>CS_PID!AA91/VLOOKUP($B91,LEBT[#ALL],4)/VLOOKUP($B91,표2[#ALL],2)</f>
        <v>0</v>
      </c>
      <c r="AB91" s="319">
        <f>CS_PID!AB91/VLOOKUP($B91,LEBT[#ALL],4)/VLOOKUP($B91,표2[#ALL],2)</f>
        <v>0</v>
      </c>
      <c r="AC91" s="319">
        <f>CS_PID!AC91/VLOOKUP($B91,LEBT[#ALL],4)/VLOOKUP($B91,표2[#ALL],2)</f>
        <v>83.42531396</v>
      </c>
      <c r="AD91" s="319">
        <f>CS_PID!AD91/VLOOKUP($B91,LEBT[#ALL],4)/VLOOKUP($B91,표2[#ALL],2)</f>
        <v>166.8506279</v>
      </c>
      <c r="AE91" s="319">
        <f>CS_PID!AE91/VLOOKUP($B91,LEBT[#ALL],4)/VLOOKUP($B91,표2[#ALL],2)</f>
        <v>83.42531396</v>
      </c>
      <c r="AF91" s="319">
        <f>CS_PID!AF91/VLOOKUP($B91,LEBT[#ALL],4)/VLOOKUP($B91,표2[#ALL],2)</f>
        <v>0</v>
      </c>
      <c r="AG91" s="319">
        <f>CS_PID!AG91/VLOOKUP($B91,LEBT[#ALL],4)/VLOOKUP($B91,표2[#ALL],2)</f>
        <v>0</v>
      </c>
      <c r="AH91" s="319">
        <f>CS_PID!AH91/VLOOKUP($B91,LEBT[#ALL],4)/VLOOKUP($B91,표2[#ALL],2)</f>
        <v>0</v>
      </c>
      <c r="AI91" s="319">
        <f>CS_PID!AI91/VLOOKUP($B91,LEBT[#ALL],4)/VLOOKUP($B91,표2[#ALL],2)</f>
        <v>0</v>
      </c>
      <c r="AJ91" s="319">
        <f>CS_PID!AJ91/VLOOKUP($B91,LEBT[#ALL],4)/VLOOKUP($B91,표2[#ALL],2)</f>
        <v>250.2759419</v>
      </c>
      <c r="AK91" s="319">
        <f>CS_PID!AK91/VLOOKUP($B91,LEBT[#ALL],4)/VLOOKUP($B91,표2[#ALL],2)</f>
        <v>0</v>
      </c>
      <c r="AL91" s="319">
        <f>CS_PID!AL91/VLOOKUP($B91,LEBT[#ALL],4)/VLOOKUP($B91,표2[#ALL],2)</f>
        <v>0</v>
      </c>
      <c r="AM91" s="319">
        <f>CS_PID!AM91/VLOOKUP($B91,LEBT[#ALL],4)/VLOOKUP($B91,표2[#ALL],2)</f>
        <v>0</v>
      </c>
      <c r="AN91" s="319">
        <f>CS_PID!AN91/VLOOKUP($B91,LEBT[#ALL],4)/VLOOKUP($B91,표2[#ALL],2)</f>
        <v>0</v>
      </c>
      <c r="AO91" s="319">
        <f>CS_PID!AO91/VLOOKUP($B91,LEBT[#ALL],4)/VLOOKUP($B91,표2[#ALL],2)</f>
        <v>0</v>
      </c>
      <c r="AP91" s="319">
        <f>CS_PID!AP91/VLOOKUP($B91,LEBT[#ALL],4)/VLOOKUP($B91,표2[#ALL],2)</f>
        <v>0</v>
      </c>
      <c r="AQ91" s="319">
        <f>CS_PID!AQ91/VLOOKUP($B91,LEBT[#ALL],4)/VLOOKUP($B91,표2[#ALL],2)</f>
        <v>0</v>
      </c>
      <c r="AR91" s="319">
        <f>CS_PID!AR91/VLOOKUP($B91,LEBT[#ALL],4)/VLOOKUP($B91,표2[#ALL],2)</f>
        <v>0</v>
      </c>
      <c r="AS91" s="319">
        <f>CS_PID!AS91/VLOOKUP($B91,LEBT[#ALL],4)/VLOOKUP($B91,표2[#ALL],2)</f>
        <v>0</v>
      </c>
    </row>
    <row r="92">
      <c r="A92" s="177" t="s">
        <v>84</v>
      </c>
      <c r="B92" s="178">
        <v>365.0</v>
      </c>
      <c r="C92" s="319">
        <f>CS_PID!C92/VLOOKUP($B92,LEBT[#ALL],4)/VLOOKUP($B92,표2[#ALL],2)</f>
        <v>0</v>
      </c>
      <c r="D92" s="319">
        <f>CS_PID!D92/VLOOKUP($B92,LEBT[#ALL],4)/VLOOKUP($B92,표2[#ALL],2)</f>
        <v>0</v>
      </c>
      <c r="E92" s="319">
        <f>CS_PID!E92/VLOOKUP($B92,LEBT[#ALL],4)/VLOOKUP($B92,표2[#ALL],2)</f>
        <v>287.0089254</v>
      </c>
      <c r="F92" s="319">
        <f>CS_PID!F92/VLOOKUP($B92,LEBT[#ALL],4)/VLOOKUP($B92,표2[#ALL],2)</f>
        <v>287.0089254</v>
      </c>
      <c r="G92" s="319">
        <f>CS_PID!G92/VLOOKUP($B92,LEBT[#ALL],4)/VLOOKUP($B92,표2[#ALL],2)</f>
        <v>0</v>
      </c>
      <c r="H92" s="319">
        <f>CS_PID!H92/VLOOKUP($B92,LEBT[#ALL],4)/VLOOKUP($B92,표2[#ALL],2)</f>
        <v>0</v>
      </c>
      <c r="I92" s="319">
        <f>CS_PID!I92/VLOOKUP($B92,LEBT[#ALL],4)/VLOOKUP($B92,표2[#ALL],2)</f>
        <v>0</v>
      </c>
      <c r="J92" s="319">
        <f>CS_PID!J92/VLOOKUP($B92,LEBT[#ALL],4)/VLOOKUP($B92,표2[#ALL],2)</f>
        <v>95.66964178</v>
      </c>
      <c r="K92" s="319">
        <f>CS_PID!K92/VLOOKUP($B92,LEBT[#ALL],4)/VLOOKUP($B92,표2[#ALL],2)</f>
        <v>478.3482089</v>
      </c>
      <c r="L92" s="319">
        <f>CS_PID!L92/VLOOKUP($B92,LEBT[#ALL],4)/VLOOKUP($B92,표2[#ALL],2)</f>
        <v>382.6785671</v>
      </c>
      <c r="M92" s="319">
        <f>CS_PID!M92/VLOOKUP($B92,LEBT[#ALL],4)/VLOOKUP($B92,표2[#ALL],2)</f>
        <v>95.66964178</v>
      </c>
      <c r="N92" s="319">
        <f>CS_PID!N92/VLOOKUP($B92,LEBT[#ALL],4)/VLOOKUP($B92,표2[#ALL],2)</f>
        <v>0</v>
      </c>
      <c r="O92" s="319">
        <f>CS_PID!O92/VLOOKUP($B92,LEBT[#ALL],4)/VLOOKUP($B92,표2[#ALL],2)</f>
        <v>0</v>
      </c>
      <c r="P92" s="319">
        <f>CS_PID!P92/VLOOKUP($B92,LEBT[#ALL],4)/VLOOKUP($B92,표2[#ALL],2)</f>
        <v>95.66964178</v>
      </c>
      <c r="Q92" s="319">
        <f>CS_PID!Q92/VLOOKUP($B92,LEBT[#ALL],4)/VLOOKUP($B92,표2[#ALL],2)</f>
        <v>382.6785671</v>
      </c>
      <c r="R92" s="319">
        <f>CS_PID!R92/VLOOKUP($B92,LEBT[#ALL],4)/VLOOKUP($B92,표2[#ALL],2)</f>
        <v>382.6785671</v>
      </c>
      <c r="S92" s="319">
        <f>CS_PID!S92/VLOOKUP($B92,LEBT[#ALL],4)/VLOOKUP($B92,표2[#ALL],2)</f>
        <v>0</v>
      </c>
      <c r="T92" s="319">
        <f>CS_PID!T92/VLOOKUP($B92,LEBT[#ALL],4)/VLOOKUP($B92,표2[#ALL],2)</f>
        <v>0</v>
      </c>
      <c r="U92" s="319">
        <f>CS_PID!U92/VLOOKUP($B92,LEBT[#ALL],4)/VLOOKUP($B92,표2[#ALL],2)</f>
        <v>0</v>
      </c>
      <c r="V92" s="319">
        <f>CS_PID!V92/VLOOKUP($B92,LEBT[#ALL],4)/VLOOKUP($B92,표2[#ALL],2)</f>
        <v>0</v>
      </c>
      <c r="W92" s="319">
        <f>CS_PID!W92/VLOOKUP($B92,LEBT[#ALL],4)/VLOOKUP($B92,표2[#ALL],2)</f>
        <v>287.0089254</v>
      </c>
      <c r="X92" s="319">
        <f>CS_PID!X92/VLOOKUP($B92,LEBT[#ALL],4)/VLOOKUP($B92,표2[#ALL],2)</f>
        <v>478.3482089</v>
      </c>
      <c r="Y92" s="319">
        <f>CS_PID!Y92/VLOOKUP($B92,LEBT[#ALL],4)/VLOOKUP($B92,표2[#ALL],2)</f>
        <v>0</v>
      </c>
      <c r="Z92" s="319">
        <f>CS_PID!Z92/VLOOKUP($B92,LEBT[#ALL],4)/VLOOKUP($B92,표2[#ALL],2)</f>
        <v>0</v>
      </c>
      <c r="AA92" s="319">
        <f>CS_PID!AA92/VLOOKUP($B92,LEBT[#ALL],4)/VLOOKUP($B92,표2[#ALL],2)</f>
        <v>0</v>
      </c>
      <c r="AB92" s="319">
        <f>CS_PID!AB92/VLOOKUP($B92,LEBT[#ALL],4)/VLOOKUP($B92,표2[#ALL],2)</f>
        <v>0</v>
      </c>
      <c r="AC92" s="319">
        <f>CS_PID!AC92/VLOOKUP($B92,LEBT[#ALL],4)/VLOOKUP($B92,표2[#ALL],2)</f>
        <v>0</v>
      </c>
      <c r="AD92" s="319">
        <f>CS_PID!AD92/VLOOKUP($B92,LEBT[#ALL],4)/VLOOKUP($B92,표2[#ALL],2)</f>
        <v>191.3392836</v>
      </c>
      <c r="AE92" s="319">
        <f>CS_PID!AE92/VLOOKUP($B92,LEBT[#ALL],4)/VLOOKUP($B92,표2[#ALL],2)</f>
        <v>0</v>
      </c>
      <c r="AF92" s="319">
        <f>CS_PID!AF92/VLOOKUP($B92,LEBT[#ALL],4)/VLOOKUP($B92,표2[#ALL],2)</f>
        <v>0</v>
      </c>
      <c r="AG92" s="319">
        <f>CS_PID!AG92/VLOOKUP($B92,LEBT[#ALL],4)/VLOOKUP($B92,표2[#ALL],2)</f>
        <v>0</v>
      </c>
      <c r="AH92" s="319">
        <f>CS_PID!AH92/VLOOKUP($B92,LEBT[#ALL],4)/VLOOKUP($B92,표2[#ALL],2)</f>
        <v>0</v>
      </c>
      <c r="AI92" s="319">
        <f>CS_PID!AI92/VLOOKUP($B92,LEBT[#ALL],4)/VLOOKUP($B92,표2[#ALL],2)</f>
        <v>95.66964178</v>
      </c>
      <c r="AJ92" s="319">
        <f>CS_PID!AJ92/VLOOKUP($B92,LEBT[#ALL],4)/VLOOKUP($B92,표2[#ALL],2)</f>
        <v>287.0089254</v>
      </c>
      <c r="AK92" s="319">
        <f>CS_PID!AK92/VLOOKUP($B92,LEBT[#ALL],4)/VLOOKUP($B92,표2[#ALL],2)</f>
        <v>0</v>
      </c>
      <c r="AL92" s="319">
        <f>CS_PID!AL92/VLOOKUP($B92,LEBT[#ALL],4)/VLOOKUP($B92,표2[#ALL],2)</f>
        <v>0</v>
      </c>
      <c r="AM92" s="319">
        <f>CS_PID!AM92/VLOOKUP($B92,LEBT[#ALL],4)/VLOOKUP($B92,표2[#ALL],2)</f>
        <v>0</v>
      </c>
      <c r="AN92" s="319">
        <f>CS_PID!AN92/VLOOKUP($B92,LEBT[#ALL],4)/VLOOKUP($B92,표2[#ALL],2)</f>
        <v>0</v>
      </c>
      <c r="AO92" s="319">
        <f>CS_PID!AO92/VLOOKUP($B92,LEBT[#ALL],4)/VLOOKUP($B92,표2[#ALL],2)</f>
        <v>0</v>
      </c>
      <c r="AP92" s="319">
        <f>CS_PID!AP92/VLOOKUP($B92,LEBT[#ALL],4)/VLOOKUP($B92,표2[#ALL],2)</f>
        <v>0</v>
      </c>
      <c r="AQ92" s="319">
        <f>CS_PID!AQ92/VLOOKUP($B92,LEBT[#ALL],4)/VLOOKUP($B92,표2[#ALL],2)</f>
        <v>0</v>
      </c>
      <c r="AR92" s="319">
        <f>CS_PID!AR92/VLOOKUP($B92,LEBT[#ALL],4)/VLOOKUP($B92,표2[#ALL],2)</f>
        <v>0</v>
      </c>
      <c r="AS92" s="319">
        <f>CS_PID!AS92/VLOOKUP($B92,LEBT[#ALL],4)/VLOOKUP($B92,표2[#ALL],2)</f>
        <v>0</v>
      </c>
    </row>
    <row r="93">
      <c r="A93" s="177" t="s">
        <v>84</v>
      </c>
      <c r="B93" s="178">
        <v>366.0</v>
      </c>
      <c r="C93" s="319">
        <f>CS_PID!C93/VLOOKUP($B93,LEBT[#ALL],4)/VLOOKUP($B93,표2[#ALL],2)</f>
        <v>39.40974872</v>
      </c>
      <c r="D93" s="319">
        <f>CS_PID!D93/VLOOKUP($B93,LEBT[#ALL],4)/VLOOKUP($B93,표2[#ALL],2)</f>
        <v>0</v>
      </c>
      <c r="E93" s="319">
        <f>CS_PID!E93/VLOOKUP($B93,LEBT[#ALL],4)/VLOOKUP($B93,표2[#ALL],2)</f>
        <v>39.40974872</v>
      </c>
      <c r="F93" s="319">
        <f>CS_PID!F93/VLOOKUP($B93,LEBT[#ALL],4)/VLOOKUP($B93,표2[#ALL],2)</f>
        <v>433.5072359</v>
      </c>
      <c r="G93" s="319">
        <f>CS_PID!G93/VLOOKUP($B93,LEBT[#ALL],4)/VLOOKUP($B93,표2[#ALL],2)</f>
        <v>78.81949743</v>
      </c>
      <c r="H93" s="319">
        <f>CS_PID!H93/VLOOKUP($B93,LEBT[#ALL],4)/VLOOKUP($B93,표2[#ALL],2)</f>
        <v>0</v>
      </c>
      <c r="I93" s="319">
        <f>CS_PID!I93/VLOOKUP($B93,LEBT[#ALL],4)/VLOOKUP($B93,표2[#ALL],2)</f>
        <v>0</v>
      </c>
      <c r="J93" s="319">
        <f>CS_PID!J93/VLOOKUP($B93,LEBT[#ALL],4)/VLOOKUP($B93,표2[#ALL],2)</f>
        <v>78.81949743</v>
      </c>
      <c r="K93" s="319">
        <f>CS_PID!K93/VLOOKUP($B93,LEBT[#ALL],4)/VLOOKUP($B93,표2[#ALL],2)</f>
        <v>630.5559795</v>
      </c>
      <c r="L93" s="319">
        <f>CS_PID!L93/VLOOKUP($B93,LEBT[#ALL],4)/VLOOKUP($B93,표2[#ALL],2)</f>
        <v>472.9169846</v>
      </c>
      <c r="M93" s="319">
        <f>CS_PID!M93/VLOOKUP($B93,LEBT[#ALL],4)/VLOOKUP($B93,표2[#ALL],2)</f>
        <v>0</v>
      </c>
      <c r="N93" s="319">
        <f>CS_PID!N93/VLOOKUP($B93,LEBT[#ALL],4)/VLOOKUP($B93,표2[#ALL],2)</f>
        <v>0</v>
      </c>
      <c r="O93" s="319">
        <f>CS_PID!O93/VLOOKUP($B93,LEBT[#ALL],4)/VLOOKUP($B93,표2[#ALL],2)</f>
        <v>0</v>
      </c>
      <c r="P93" s="319">
        <f>CS_PID!P93/VLOOKUP($B93,LEBT[#ALL],4)/VLOOKUP($B93,표2[#ALL],2)</f>
        <v>39.40974872</v>
      </c>
      <c r="Q93" s="319">
        <f>CS_PID!Q93/VLOOKUP($B93,LEBT[#ALL],4)/VLOOKUP($B93,표2[#ALL],2)</f>
        <v>551.736482</v>
      </c>
      <c r="R93" s="319">
        <f>CS_PID!R93/VLOOKUP($B93,LEBT[#ALL],4)/VLOOKUP($B93,표2[#ALL],2)</f>
        <v>315.2779897</v>
      </c>
      <c r="S93" s="319">
        <f>CS_PID!S93/VLOOKUP($B93,LEBT[#ALL],4)/VLOOKUP($B93,표2[#ALL],2)</f>
        <v>118.2292461</v>
      </c>
      <c r="T93" s="319">
        <f>CS_PID!T93/VLOOKUP($B93,LEBT[#ALL],4)/VLOOKUP($B93,표2[#ALL],2)</f>
        <v>0</v>
      </c>
      <c r="U93" s="319">
        <f>CS_PID!U93/VLOOKUP($B93,LEBT[#ALL],4)/VLOOKUP($B93,표2[#ALL],2)</f>
        <v>0</v>
      </c>
      <c r="V93" s="319">
        <f>CS_PID!V93/VLOOKUP($B93,LEBT[#ALL],4)/VLOOKUP($B93,표2[#ALL],2)</f>
        <v>0</v>
      </c>
      <c r="W93" s="319">
        <f>CS_PID!W93/VLOOKUP($B93,LEBT[#ALL],4)/VLOOKUP($B93,표2[#ALL],2)</f>
        <v>39.40974872</v>
      </c>
      <c r="X93" s="319">
        <f>CS_PID!X93/VLOOKUP($B93,LEBT[#ALL],4)/VLOOKUP($B93,표2[#ALL],2)</f>
        <v>433.5072359</v>
      </c>
      <c r="Y93" s="319">
        <f>CS_PID!Y93/VLOOKUP($B93,LEBT[#ALL],4)/VLOOKUP($B93,표2[#ALL],2)</f>
        <v>39.40974872</v>
      </c>
      <c r="Z93" s="319">
        <f>CS_PID!Z93/VLOOKUP($B93,LEBT[#ALL],4)/VLOOKUP($B93,표2[#ALL],2)</f>
        <v>0</v>
      </c>
      <c r="AA93" s="319">
        <f>CS_PID!AA93/VLOOKUP($B93,LEBT[#ALL],4)/VLOOKUP($B93,표2[#ALL],2)</f>
        <v>0</v>
      </c>
      <c r="AB93" s="319">
        <f>CS_PID!AB93/VLOOKUP($B93,LEBT[#ALL],4)/VLOOKUP($B93,표2[#ALL],2)</f>
        <v>0</v>
      </c>
      <c r="AC93" s="319">
        <f>CS_PID!AC93/VLOOKUP($B93,LEBT[#ALL],4)/VLOOKUP($B93,표2[#ALL],2)</f>
        <v>0</v>
      </c>
      <c r="AD93" s="319">
        <f>CS_PID!AD93/VLOOKUP($B93,LEBT[#ALL],4)/VLOOKUP($B93,표2[#ALL],2)</f>
        <v>78.81949743</v>
      </c>
      <c r="AE93" s="319">
        <f>CS_PID!AE93/VLOOKUP($B93,LEBT[#ALL],4)/VLOOKUP($B93,표2[#ALL],2)</f>
        <v>39.40974872</v>
      </c>
      <c r="AF93" s="319">
        <f>CS_PID!AF93/VLOOKUP($B93,LEBT[#ALL],4)/VLOOKUP($B93,표2[#ALL],2)</f>
        <v>0</v>
      </c>
      <c r="AG93" s="319">
        <f>CS_PID!AG93/VLOOKUP($B93,LEBT[#ALL],4)/VLOOKUP($B93,표2[#ALL],2)</f>
        <v>0</v>
      </c>
      <c r="AH93" s="319">
        <f>CS_PID!AH93/VLOOKUP($B93,LEBT[#ALL],4)/VLOOKUP($B93,표2[#ALL],2)</f>
        <v>0</v>
      </c>
      <c r="AI93" s="319">
        <f>CS_PID!AI93/VLOOKUP($B93,LEBT[#ALL],4)/VLOOKUP($B93,표2[#ALL],2)</f>
        <v>0</v>
      </c>
      <c r="AJ93" s="319">
        <f>CS_PID!AJ93/VLOOKUP($B93,LEBT[#ALL],4)/VLOOKUP($B93,표2[#ALL],2)</f>
        <v>78.81949743</v>
      </c>
      <c r="AK93" s="319">
        <f>CS_PID!AK93/VLOOKUP($B93,LEBT[#ALL],4)/VLOOKUP($B93,표2[#ALL],2)</f>
        <v>0</v>
      </c>
      <c r="AL93" s="319">
        <f>CS_PID!AL93/VLOOKUP($B93,LEBT[#ALL],4)/VLOOKUP($B93,표2[#ALL],2)</f>
        <v>0</v>
      </c>
      <c r="AM93" s="319">
        <f>CS_PID!AM93/VLOOKUP($B93,LEBT[#ALL],4)/VLOOKUP($B93,표2[#ALL],2)</f>
        <v>0</v>
      </c>
      <c r="AN93" s="319">
        <f>CS_PID!AN93/VLOOKUP($B93,LEBT[#ALL],4)/VLOOKUP($B93,표2[#ALL],2)</f>
        <v>0</v>
      </c>
      <c r="AO93" s="319">
        <f>CS_PID!AO93/VLOOKUP($B93,LEBT[#ALL],4)/VLOOKUP($B93,표2[#ALL],2)</f>
        <v>39.40974872</v>
      </c>
      <c r="AP93" s="319">
        <f>CS_PID!AP93/VLOOKUP($B93,LEBT[#ALL],4)/VLOOKUP($B93,표2[#ALL],2)</f>
        <v>0</v>
      </c>
      <c r="AQ93" s="319">
        <f>CS_PID!AQ93/VLOOKUP($B93,LEBT[#ALL],4)/VLOOKUP($B93,표2[#ALL],2)</f>
        <v>0</v>
      </c>
      <c r="AR93" s="319">
        <f>CS_PID!AR93/VLOOKUP($B93,LEBT[#ALL],4)/VLOOKUP($B93,표2[#ALL],2)</f>
        <v>0</v>
      </c>
      <c r="AS93" s="319">
        <f>CS_PID!AS93/VLOOKUP($B93,LEBT[#ALL],4)/VLOOKUP($B93,표2[#ALL],2)</f>
        <v>0</v>
      </c>
    </row>
    <row r="94">
      <c r="A94" s="177" t="s">
        <v>84</v>
      </c>
      <c r="B94" s="178">
        <v>367.0</v>
      </c>
      <c r="C94" s="319">
        <f>CS_PID!C94/VLOOKUP($B94,LEBT[#ALL],4)/VLOOKUP($B94,표2[#ALL],2)</f>
        <v>0</v>
      </c>
      <c r="D94" s="319">
        <f>CS_PID!D94/VLOOKUP($B94,LEBT[#ALL],4)/VLOOKUP($B94,표2[#ALL],2)</f>
        <v>57.86405832</v>
      </c>
      <c r="E94" s="319">
        <f>CS_PID!E94/VLOOKUP($B94,LEBT[#ALL],4)/VLOOKUP($B94,표2[#ALL],2)</f>
        <v>57.86405832</v>
      </c>
      <c r="F94" s="319">
        <f>CS_PID!F94/VLOOKUP($B94,LEBT[#ALL],4)/VLOOKUP($B94,표2[#ALL],2)</f>
        <v>347.1843499</v>
      </c>
      <c r="G94" s="319">
        <f>CS_PID!G94/VLOOKUP($B94,LEBT[#ALL],4)/VLOOKUP($B94,표2[#ALL],2)</f>
        <v>0</v>
      </c>
      <c r="H94" s="319">
        <f>CS_PID!H94/VLOOKUP($B94,LEBT[#ALL],4)/VLOOKUP($B94,표2[#ALL],2)</f>
        <v>57.86405832</v>
      </c>
      <c r="I94" s="319">
        <f>CS_PID!I94/VLOOKUP($B94,LEBT[#ALL],4)/VLOOKUP($B94,표2[#ALL],2)</f>
        <v>0</v>
      </c>
      <c r="J94" s="319">
        <f>CS_PID!J94/VLOOKUP($B94,LEBT[#ALL],4)/VLOOKUP($B94,표2[#ALL],2)</f>
        <v>57.86405832</v>
      </c>
      <c r="K94" s="319">
        <f>CS_PID!K94/VLOOKUP($B94,LEBT[#ALL],4)/VLOOKUP($B94,표2[#ALL],2)</f>
        <v>231.4562333</v>
      </c>
      <c r="L94" s="319">
        <f>CS_PID!L94/VLOOKUP($B94,LEBT[#ALL],4)/VLOOKUP($B94,표2[#ALL],2)</f>
        <v>231.4562333</v>
      </c>
      <c r="M94" s="319">
        <f>CS_PID!M94/VLOOKUP($B94,LEBT[#ALL],4)/VLOOKUP($B94,표2[#ALL],2)</f>
        <v>57.86405832</v>
      </c>
      <c r="N94" s="319">
        <f>CS_PID!N94/VLOOKUP($B94,LEBT[#ALL],4)/VLOOKUP($B94,표2[#ALL],2)</f>
        <v>0</v>
      </c>
      <c r="O94" s="319">
        <f>CS_PID!O94/VLOOKUP($B94,LEBT[#ALL],4)/VLOOKUP($B94,표2[#ALL],2)</f>
        <v>0</v>
      </c>
      <c r="P94" s="319">
        <f>CS_PID!P94/VLOOKUP($B94,LEBT[#ALL],4)/VLOOKUP($B94,표2[#ALL],2)</f>
        <v>0</v>
      </c>
      <c r="Q94" s="319">
        <f>CS_PID!Q94/VLOOKUP($B94,LEBT[#ALL],4)/VLOOKUP($B94,표2[#ALL],2)</f>
        <v>578.6405832</v>
      </c>
      <c r="R94" s="319">
        <f>CS_PID!R94/VLOOKUP($B94,LEBT[#ALL],4)/VLOOKUP($B94,표2[#ALL],2)</f>
        <v>405.0484083</v>
      </c>
      <c r="S94" s="319">
        <f>CS_PID!S94/VLOOKUP($B94,LEBT[#ALL],4)/VLOOKUP($B94,표2[#ALL],2)</f>
        <v>0</v>
      </c>
      <c r="T94" s="319">
        <f>CS_PID!T94/VLOOKUP($B94,LEBT[#ALL],4)/VLOOKUP($B94,표2[#ALL],2)</f>
        <v>0</v>
      </c>
      <c r="U94" s="319">
        <f>CS_PID!U94/VLOOKUP($B94,LEBT[#ALL],4)/VLOOKUP($B94,표2[#ALL],2)</f>
        <v>0</v>
      </c>
      <c r="V94" s="319">
        <f>CS_PID!V94/VLOOKUP($B94,LEBT[#ALL],4)/VLOOKUP($B94,표2[#ALL],2)</f>
        <v>0</v>
      </c>
      <c r="W94" s="319">
        <f>CS_PID!W94/VLOOKUP($B94,LEBT[#ALL],4)/VLOOKUP($B94,표2[#ALL],2)</f>
        <v>57.86405832</v>
      </c>
      <c r="X94" s="319">
        <f>CS_PID!X94/VLOOKUP($B94,LEBT[#ALL],4)/VLOOKUP($B94,표2[#ALL],2)</f>
        <v>462.9124666</v>
      </c>
      <c r="Y94" s="319">
        <f>CS_PID!Y94/VLOOKUP($B94,LEBT[#ALL],4)/VLOOKUP($B94,표2[#ALL],2)</f>
        <v>173.592175</v>
      </c>
      <c r="Z94" s="319">
        <f>CS_PID!Z94/VLOOKUP($B94,LEBT[#ALL],4)/VLOOKUP($B94,표2[#ALL],2)</f>
        <v>0</v>
      </c>
      <c r="AA94" s="319">
        <f>CS_PID!AA94/VLOOKUP($B94,LEBT[#ALL],4)/VLOOKUP($B94,표2[#ALL],2)</f>
        <v>0</v>
      </c>
      <c r="AB94" s="319">
        <f>CS_PID!AB94/VLOOKUP($B94,LEBT[#ALL],4)/VLOOKUP($B94,표2[#ALL],2)</f>
        <v>0</v>
      </c>
      <c r="AC94" s="319">
        <f>CS_PID!AC94/VLOOKUP($B94,LEBT[#ALL],4)/VLOOKUP($B94,표2[#ALL],2)</f>
        <v>57.86405832</v>
      </c>
      <c r="AD94" s="319">
        <f>CS_PID!AD94/VLOOKUP($B94,LEBT[#ALL],4)/VLOOKUP($B94,표2[#ALL],2)</f>
        <v>289.3202916</v>
      </c>
      <c r="AE94" s="319">
        <f>CS_PID!AE94/VLOOKUP($B94,LEBT[#ALL],4)/VLOOKUP($B94,표2[#ALL],2)</f>
        <v>57.86405832</v>
      </c>
      <c r="AF94" s="319">
        <f>CS_PID!AF94/VLOOKUP($B94,LEBT[#ALL],4)/VLOOKUP($B94,표2[#ALL],2)</f>
        <v>0</v>
      </c>
      <c r="AG94" s="319">
        <f>CS_PID!AG94/VLOOKUP($B94,LEBT[#ALL],4)/VLOOKUP($B94,표2[#ALL],2)</f>
        <v>0</v>
      </c>
      <c r="AH94" s="319">
        <f>CS_PID!AH94/VLOOKUP($B94,LEBT[#ALL],4)/VLOOKUP($B94,표2[#ALL],2)</f>
        <v>0</v>
      </c>
      <c r="AI94" s="319">
        <f>CS_PID!AI94/VLOOKUP($B94,LEBT[#ALL],4)/VLOOKUP($B94,표2[#ALL],2)</f>
        <v>0</v>
      </c>
      <c r="AJ94" s="319">
        <f>CS_PID!AJ94/VLOOKUP($B94,LEBT[#ALL],4)/VLOOKUP($B94,표2[#ALL],2)</f>
        <v>57.86405832</v>
      </c>
      <c r="AK94" s="319">
        <f>CS_PID!AK94/VLOOKUP($B94,LEBT[#ALL],4)/VLOOKUP($B94,표2[#ALL],2)</f>
        <v>0</v>
      </c>
      <c r="AL94" s="319">
        <f>CS_PID!AL94/VLOOKUP($B94,LEBT[#ALL],4)/VLOOKUP($B94,표2[#ALL],2)</f>
        <v>0</v>
      </c>
      <c r="AM94" s="319">
        <f>CS_PID!AM94/VLOOKUP($B94,LEBT[#ALL],4)/VLOOKUP($B94,표2[#ALL],2)</f>
        <v>0</v>
      </c>
      <c r="AN94" s="319">
        <f>CS_PID!AN94/VLOOKUP($B94,LEBT[#ALL],4)/VLOOKUP($B94,표2[#ALL],2)</f>
        <v>0</v>
      </c>
      <c r="AO94" s="319">
        <f>CS_PID!AO94/VLOOKUP($B94,LEBT[#ALL],4)/VLOOKUP($B94,표2[#ALL],2)</f>
        <v>0</v>
      </c>
      <c r="AP94" s="319">
        <f>CS_PID!AP94/VLOOKUP($B94,LEBT[#ALL],4)/VLOOKUP($B94,표2[#ALL],2)</f>
        <v>0</v>
      </c>
      <c r="AQ94" s="319">
        <f>CS_PID!AQ94/VLOOKUP($B94,LEBT[#ALL],4)/VLOOKUP($B94,표2[#ALL],2)</f>
        <v>0</v>
      </c>
      <c r="AR94" s="319">
        <f>CS_PID!AR94/VLOOKUP($B94,LEBT[#ALL],4)/VLOOKUP($B94,표2[#ALL],2)</f>
        <v>0</v>
      </c>
      <c r="AS94" s="319">
        <f>CS_PID!AS94/VLOOKUP($B94,LEBT[#ALL],4)/VLOOKUP($B94,표2[#ALL],2)</f>
        <v>0</v>
      </c>
    </row>
    <row r="95">
      <c r="A95" s="177" t="s">
        <v>84</v>
      </c>
      <c r="B95" s="178">
        <v>368.0</v>
      </c>
      <c r="C95" s="319">
        <f>CS_PID!C95/VLOOKUP($B95,LEBT[#ALL],4)/VLOOKUP($B95,표2[#ALL],2)</f>
        <v>0</v>
      </c>
      <c r="D95" s="319">
        <f>CS_PID!D95/VLOOKUP($B95,LEBT[#ALL],4)/VLOOKUP($B95,표2[#ALL],2)</f>
        <v>0</v>
      </c>
      <c r="E95" s="319">
        <f>CS_PID!E95/VLOOKUP($B95,LEBT[#ALL],4)/VLOOKUP($B95,표2[#ALL],2)</f>
        <v>36.8218773</v>
      </c>
      <c r="F95" s="319">
        <f>CS_PID!F95/VLOOKUP($B95,LEBT[#ALL],4)/VLOOKUP($B95,표2[#ALL],2)</f>
        <v>478.6844049</v>
      </c>
      <c r="G95" s="319">
        <f>CS_PID!G95/VLOOKUP($B95,LEBT[#ALL],4)/VLOOKUP($B95,표2[#ALL],2)</f>
        <v>0</v>
      </c>
      <c r="H95" s="319">
        <f>CS_PID!H95/VLOOKUP($B95,LEBT[#ALL],4)/VLOOKUP($B95,표2[#ALL],2)</f>
        <v>0</v>
      </c>
      <c r="I95" s="319">
        <f>CS_PID!I95/VLOOKUP($B95,LEBT[#ALL],4)/VLOOKUP($B95,표2[#ALL],2)</f>
        <v>0</v>
      </c>
      <c r="J95" s="319">
        <f>CS_PID!J95/VLOOKUP($B95,LEBT[#ALL],4)/VLOOKUP($B95,표2[#ALL],2)</f>
        <v>257.7531411</v>
      </c>
      <c r="K95" s="319">
        <f>CS_PID!K95/VLOOKUP($B95,LEBT[#ALL],4)/VLOOKUP($B95,표2[#ALL],2)</f>
        <v>478.6844049</v>
      </c>
      <c r="L95" s="319">
        <f>CS_PID!L95/VLOOKUP($B95,LEBT[#ALL],4)/VLOOKUP($B95,표2[#ALL],2)</f>
        <v>331.3968957</v>
      </c>
      <c r="M95" s="319">
        <f>CS_PID!M95/VLOOKUP($B95,LEBT[#ALL],4)/VLOOKUP($B95,표2[#ALL],2)</f>
        <v>73.64375461</v>
      </c>
      <c r="N95" s="319">
        <f>CS_PID!N95/VLOOKUP($B95,LEBT[#ALL],4)/VLOOKUP($B95,표2[#ALL],2)</f>
        <v>0</v>
      </c>
      <c r="O95" s="319">
        <f>CS_PID!O95/VLOOKUP($B95,LEBT[#ALL],4)/VLOOKUP($B95,표2[#ALL],2)</f>
        <v>0</v>
      </c>
      <c r="P95" s="319">
        <f>CS_PID!P95/VLOOKUP($B95,LEBT[#ALL],4)/VLOOKUP($B95,표2[#ALL],2)</f>
        <v>73.64375461</v>
      </c>
      <c r="Q95" s="319">
        <f>CS_PID!Q95/VLOOKUP($B95,LEBT[#ALL],4)/VLOOKUP($B95,표2[#ALL],2)</f>
        <v>405.0406503</v>
      </c>
      <c r="R95" s="319">
        <f>CS_PID!R95/VLOOKUP($B95,LEBT[#ALL],4)/VLOOKUP($B95,표2[#ALL],2)</f>
        <v>331.3968957</v>
      </c>
      <c r="S95" s="319">
        <f>CS_PID!S95/VLOOKUP($B95,LEBT[#ALL],4)/VLOOKUP($B95,표2[#ALL],2)</f>
        <v>0</v>
      </c>
      <c r="T95" s="319">
        <f>CS_PID!T95/VLOOKUP($B95,LEBT[#ALL],4)/VLOOKUP($B95,표2[#ALL],2)</f>
        <v>0</v>
      </c>
      <c r="U95" s="319">
        <f>CS_PID!U95/VLOOKUP($B95,LEBT[#ALL],4)/VLOOKUP($B95,표2[#ALL],2)</f>
        <v>0</v>
      </c>
      <c r="V95" s="319">
        <f>CS_PID!V95/VLOOKUP($B95,LEBT[#ALL],4)/VLOOKUP($B95,표2[#ALL],2)</f>
        <v>0</v>
      </c>
      <c r="W95" s="319">
        <f>CS_PID!W95/VLOOKUP($B95,LEBT[#ALL],4)/VLOOKUP($B95,표2[#ALL],2)</f>
        <v>110.4656319</v>
      </c>
      <c r="X95" s="319">
        <f>CS_PID!X95/VLOOKUP($B95,LEBT[#ALL],4)/VLOOKUP($B95,표2[#ALL],2)</f>
        <v>625.9719142</v>
      </c>
      <c r="Y95" s="319">
        <f>CS_PID!Y95/VLOOKUP($B95,LEBT[#ALL],4)/VLOOKUP($B95,표2[#ALL],2)</f>
        <v>36.8218773</v>
      </c>
      <c r="Z95" s="319">
        <f>CS_PID!Z95/VLOOKUP($B95,LEBT[#ALL],4)/VLOOKUP($B95,표2[#ALL],2)</f>
        <v>0</v>
      </c>
      <c r="AA95" s="319">
        <f>CS_PID!AA95/VLOOKUP($B95,LEBT[#ALL],4)/VLOOKUP($B95,표2[#ALL],2)</f>
        <v>0</v>
      </c>
      <c r="AB95" s="319">
        <f>CS_PID!AB95/VLOOKUP($B95,LEBT[#ALL],4)/VLOOKUP($B95,표2[#ALL],2)</f>
        <v>0</v>
      </c>
      <c r="AC95" s="319">
        <f>CS_PID!AC95/VLOOKUP($B95,LEBT[#ALL],4)/VLOOKUP($B95,표2[#ALL],2)</f>
        <v>73.64375461</v>
      </c>
      <c r="AD95" s="319">
        <f>CS_PID!AD95/VLOOKUP($B95,LEBT[#ALL],4)/VLOOKUP($B95,표2[#ALL],2)</f>
        <v>257.7531411</v>
      </c>
      <c r="AE95" s="319">
        <f>CS_PID!AE95/VLOOKUP($B95,LEBT[#ALL],4)/VLOOKUP($B95,표2[#ALL],2)</f>
        <v>110.4656319</v>
      </c>
      <c r="AF95" s="319">
        <f>CS_PID!AF95/VLOOKUP($B95,LEBT[#ALL],4)/VLOOKUP($B95,표2[#ALL],2)</f>
        <v>0</v>
      </c>
      <c r="AG95" s="319">
        <f>CS_PID!AG95/VLOOKUP($B95,LEBT[#ALL],4)/VLOOKUP($B95,표2[#ALL],2)</f>
        <v>0</v>
      </c>
      <c r="AH95" s="319">
        <f>CS_PID!AH95/VLOOKUP($B95,LEBT[#ALL],4)/VLOOKUP($B95,표2[#ALL],2)</f>
        <v>0</v>
      </c>
      <c r="AI95" s="319">
        <f>CS_PID!AI95/VLOOKUP($B95,LEBT[#ALL],4)/VLOOKUP($B95,표2[#ALL],2)</f>
        <v>0</v>
      </c>
      <c r="AJ95" s="319">
        <f>CS_PID!AJ95/VLOOKUP($B95,LEBT[#ALL],4)/VLOOKUP($B95,표2[#ALL],2)</f>
        <v>73.64375461</v>
      </c>
      <c r="AK95" s="319">
        <f>CS_PID!AK95/VLOOKUP($B95,LEBT[#ALL],4)/VLOOKUP($B95,표2[#ALL],2)</f>
        <v>36.8218773</v>
      </c>
      <c r="AL95" s="319">
        <f>CS_PID!AL95/VLOOKUP($B95,LEBT[#ALL],4)/VLOOKUP($B95,표2[#ALL],2)</f>
        <v>0</v>
      </c>
      <c r="AM95" s="319">
        <f>CS_PID!AM95/VLOOKUP($B95,LEBT[#ALL],4)/VLOOKUP($B95,표2[#ALL],2)</f>
        <v>0</v>
      </c>
      <c r="AN95" s="319">
        <f>CS_PID!AN95/VLOOKUP($B95,LEBT[#ALL],4)/VLOOKUP($B95,표2[#ALL],2)</f>
        <v>0</v>
      </c>
      <c r="AO95" s="319">
        <f>CS_PID!AO95/VLOOKUP($B95,LEBT[#ALL],4)/VLOOKUP($B95,표2[#ALL],2)</f>
        <v>0</v>
      </c>
      <c r="AP95" s="319">
        <f>CS_PID!AP95/VLOOKUP($B95,LEBT[#ALL],4)/VLOOKUP($B95,표2[#ALL],2)</f>
        <v>0</v>
      </c>
      <c r="AQ95" s="319">
        <f>CS_PID!AQ95/VLOOKUP($B95,LEBT[#ALL],4)/VLOOKUP($B95,표2[#ALL],2)</f>
        <v>0</v>
      </c>
      <c r="AR95" s="319">
        <f>CS_PID!AR95/VLOOKUP($B95,LEBT[#ALL],4)/VLOOKUP($B95,표2[#ALL],2)</f>
        <v>0</v>
      </c>
      <c r="AS95" s="319">
        <f>CS_PID!AS95/VLOOKUP($B95,LEBT[#ALL],4)/VLOOKUP($B95,표2[#ALL],2)</f>
        <v>0</v>
      </c>
    </row>
    <row r="96">
      <c r="A96" s="177" t="s">
        <v>84</v>
      </c>
      <c r="B96" s="178">
        <v>369.0</v>
      </c>
      <c r="C96" s="319">
        <f>CS_PID!C96/VLOOKUP($B96,LEBT[#ALL],4)/VLOOKUP($B96,표2[#ALL],2)</f>
        <v>0</v>
      </c>
      <c r="D96" s="319">
        <f>CS_PID!D96/VLOOKUP($B96,LEBT[#ALL],4)/VLOOKUP($B96,표2[#ALL],2)</f>
        <v>0</v>
      </c>
      <c r="E96" s="319">
        <f>CS_PID!E96/VLOOKUP($B96,LEBT[#ALL],4)/VLOOKUP($B96,표2[#ALL],2)</f>
        <v>421.505723</v>
      </c>
      <c r="F96" s="319">
        <f>CS_PID!F96/VLOOKUP($B96,LEBT[#ALL],4)/VLOOKUP($B96,표2[#ALL],2)</f>
        <v>421.505723</v>
      </c>
      <c r="G96" s="319">
        <f>CS_PID!G96/VLOOKUP($B96,LEBT[#ALL],4)/VLOOKUP($B96,표2[#ALL],2)</f>
        <v>0</v>
      </c>
      <c r="H96" s="319">
        <f>CS_PID!H96/VLOOKUP($B96,LEBT[#ALL],4)/VLOOKUP($B96,표2[#ALL],2)</f>
        <v>0</v>
      </c>
      <c r="I96" s="319">
        <f>CS_PID!I96/VLOOKUP($B96,LEBT[#ALL],4)/VLOOKUP($B96,표2[#ALL],2)</f>
        <v>0</v>
      </c>
      <c r="J96" s="319">
        <f>CS_PID!J96/VLOOKUP($B96,LEBT[#ALL],4)/VLOOKUP($B96,표2[#ALL],2)</f>
        <v>0</v>
      </c>
      <c r="K96" s="319">
        <f>CS_PID!K96/VLOOKUP($B96,LEBT[#ALL],4)/VLOOKUP($B96,표2[#ALL],2)</f>
        <v>421.505723</v>
      </c>
      <c r="L96" s="319">
        <f>CS_PID!L96/VLOOKUP($B96,LEBT[#ALL],4)/VLOOKUP($B96,표2[#ALL],2)</f>
        <v>0</v>
      </c>
      <c r="M96" s="319">
        <f>CS_PID!M96/VLOOKUP($B96,LEBT[#ALL],4)/VLOOKUP($B96,표2[#ALL],2)</f>
        <v>0</v>
      </c>
      <c r="N96" s="319">
        <f>CS_PID!N96/VLOOKUP($B96,LEBT[#ALL],4)/VLOOKUP($B96,표2[#ALL],2)</f>
        <v>0</v>
      </c>
      <c r="O96" s="319">
        <f>CS_PID!O96/VLOOKUP($B96,LEBT[#ALL],4)/VLOOKUP($B96,표2[#ALL],2)</f>
        <v>0</v>
      </c>
      <c r="P96" s="319">
        <f>CS_PID!P96/VLOOKUP($B96,LEBT[#ALL],4)/VLOOKUP($B96,표2[#ALL],2)</f>
        <v>0</v>
      </c>
      <c r="Q96" s="319">
        <f>CS_PID!Q96/VLOOKUP($B96,LEBT[#ALL],4)/VLOOKUP($B96,표2[#ALL],2)</f>
        <v>0</v>
      </c>
      <c r="R96" s="319">
        <f>CS_PID!R96/VLOOKUP($B96,LEBT[#ALL],4)/VLOOKUP($B96,표2[#ALL],2)</f>
        <v>843.011446</v>
      </c>
      <c r="S96" s="319">
        <f>CS_PID!S96/VLOOKUP($B96,LEBT[#ALL],4)/VLOOKUP($B96,표2[#ALL],2)</f>
        <v>421.505723</v>
      </c>
      <c r="T96" s="319">
        <f>CS_PID!T96/VLOOKUP($B96,LEBT[#ALL],4)/VLOOKUP($B96,표2[#ALL],2)</f>
        <v>0</v>
      </c>
      <c r="U96" s="319">
        <f>CS_PID!U96/VLOOKUP($B96,LEBT[#ALL],4)/VLOOKUP($B96,표2[#ALL],2)</f>
        <v>0</v>
      </c>
      <c r="V96" s="319">
        <f>CS_PID!V96/VLOOKUP($B96,LEBT[#ALL],4)/VLOOKUP($B96,표2[#ALL],2)</f>
        <v>0</v>
      </c>
      <c r="W96" s="319">
        <f>CS_PID!W96/VLOOKUP($B96,LEBT[#ALL],4)/VLOOKUP($B96,표2[#ALL],2)</f>
        <v>0</v>
      </c>
      <c r="X96" s="319">
        <f>CS_PID!X96/VLOOKUP($B96,LEBT[#ALL],4)/VLOOKUP($B96,표2[#ALL],2)</f>
        <v>0</v>
      </c>
      <c r="Y96" s="319">
        <f>CS_PID!Y96/VLOOKUP($B96,LEBT[#ALL],4)/VLOOKUP($B96,표2[#ALL],2)</f>
        <v>0</v>
      </c>
      <c r="Z96" s="319">
        <f>CS_PID!Z96/VLOOKUP($B96,LEBT[#ALL],4)/VLOOKUP($B96,표2[#ALL],2)</f>
        <v>0</v>
      </c>
      <c r="AA96" s="319">
        <f>CS_PID!AA96/VLOOKUP($B96,LEBT[#ALL],4)/VLOOKUP($B96,표2[#ALL],2)</f>
        <v>0</v>
      </c>
      <c r="AB96" s="319">
        <f>CS_PID!AB96/VLOOKUP($B96,LEBT[#ALL],4)/VLOOKUP($B96,표2[#ALL],2)</f>
        <v>0</v>
      </c>
      <c r="AC96" s="319">
        <f>CS_PID!AC96/VLOOKUP($B96,LEBT[#ALL],4)/VLOOKUP($B96,표2[#ALL],2)</f>
        <v>843.011446</v>
      </c>
      <c r="AD96" s="319">
        <f>CS_PID!AD96/VLOOKUP($B96,LEBT[#ALL],4)/VLOOKUP($B96,표2[#ALL],2)</f>
        <v>0</v>
      </c>
      <c r="AE96" s="319">
        <f>CS_PID!AE96/VLOOKUP($B96,LEBT[#ALL],4)/VLOOKUP($B96,표2[#ALL],2)</f>
        <v>0</v>
      </c>
      <c r="AF96" s="319">
        <f>CS_PID!AF96/VLOOKUP($B96,LEBT[#ALL],4)/VLOOKUP($B96,표2[#ALL],2)</f>
        <v>0</v>
      </c>
      <c r="AG96" s="319">
        <f>CS_PID!AG96/VLOOKUP($B96,LEBT[#ALL],4)/VLOOKUP($B96,표2[#ALL],2)</f>
        <v>0</v>
      </c>
      <c r="AH96" s="319">
        <f>CS_PID!AH96/VLOOKUP($B96,LEBT[#ALL],4)/VLOOKUP($B96,표2[#ALL],2)</f>
        <v>0</v>
      </c>
      <c r="AI96" s="319">
        <f>CS_PID!AI96/VLOOKUP($B96,LEBT[#ALL],4)/VLOOKUP($B96,표2[#ALL],2)</f>
        <v>0</v>
      </c>
      <c r="AJ96" s="319">
        <f>CS_PID!AJ96/VLOOKUP($B96,LEBT[#ALL],4)/VLOOKUP($B96,표2[#ALL],2)</f>
        <v>0</v>
      </c>
      <c r="AK96" s="319">
        <f>CS_PID!AK96/VLOOKUP($B96,LEBT[#ALL],4)/VLOOKUP($B96,표2[#ALL],2)</f>
        <v>421.505723</v>
      </c>
      <c r="AL96" s="319">
        <f>CS_PID!AL96/VLOOKUP($B96,LEBT[#ALL],4)/VLOOKUP($B96,표2[#ALL],2)</f>
        <v>0</v>
      </c>
      <c r="AM96" s="319">
        <f>CS_PID!AM96/VLOOKUP($B96,LEBT[#ALL],4)/VLOOKUP($B96,표2[#ALL],2)</f>
        <v>0</v>
      </c>
      <c r="AN96" s="319">
        <f>CS_PID!AN96/VLOOKUP($B96,LEBT[#ALL],4)/VLOOKUP($B96,표2[#ALL],2)</f>
        <v>0</v>
      </c>
      <c r="AO96" s="319">
        <f>CS_PID!AO96/VLOOKUP($B96,LEBT[#ALL],4)/VLOOKUP($B96,표2[#ALL],2)</f>
        <v>0</v>
      </c>
      <c r="AP96" s="319">
        <f>CS_PID!AP96/VLOOKUP($B96,LEBT[#ALL],4)/VLOOKUP($B96,표2[#ALL],2)</f>
        <v>0</v>
      </c>
      <c r="AQ96" s="319">
        <f>CS_PID!AQ96/VLOOKUP($B96,LEBT[#ALL],4)/VLOOKUP($B96,표2[#ALL],2)</f>
        <v>0</v>
      </c>
      <c r="AR96" s="319">
        <f>CS_PID!AR96/VLOOKUP($B96,LEBT[#ALL],4)/VLOOKUP($B96,표2[#ALL],2)</f>
        <v>0</v>
      </c>
      <c r="AS96" s="319">
        <f>CS_PID!AS96/VLOOKUP($B96,LEBT[#ALL],4)/VLOOKUP($B96,표2[#ALL],2)</f>
        <v>0</v>
      </c>
    </row>
    <row r="97">
      <c r="A97" s="177" t="s">
        <v>84</v>
      </c>
      <c r="B97" s="178">
        <v>370.0</v>
      </c>
      <c r="C97" s="319">
        <f>CS_PID!C97/VLOOKUP($B97,LEBT[#ALL],4)/VLOOKUP($B97,표2[#ALL],2)</f>
        <v>0</v>
      </c>
      <c r="D97" s="319">
        <f>CS_PID!D97/VLOOKUP($B97,LEBT[#ALL],4)/VLOOKUP($B97,표2[#ALL],2)</f>
        <v>0</v>
      </c>
      <c r="E97" s="319">
        <f>CS_PID!E97/VLOOKUP($B97,LEBT[#ALL],4)/VLOOKUP($B97,표2[#ALL],2)</f>
        <v>0</v>
      </c>
      <c r="F97" s="319">
        <f>CS_PID!F97/VLOOKUP($B97,LEBT[#ALL],4)/VLOOKUP($B97,표2[#ALL],2)</f>
        <v>0</v>
      </c>
      <c r="G97" s="319">
        <f>CS_PID!G97/VLOOKUP($B97,LEBT[#ALL],4)/VLOOKUP($B97,표2[#ALL],2)</f>
        <v>0</v>
      </c>
      <c r="H97" s="319">
        <f>CS_PID!H97/VLOOKUP($B97,LEBT[#ALL],4)/VLOOKUP($B97,표2[#ALL],2)</f>
        <v>0</v>
      </c>
      <c r="I97" s="319">
        <f>CS_PID!I97/VLOOKUP($B97,LEBT[#ALL],4)/VLOOKUP($B97,표2[#ALL],2)</f>
        <v>0</v>
      </c>
      <c r="J97" s="319">
        <f>CS_PID!J97/VLOOKUP($B97,LEBT[#ALL],4)/VLOOKUP($B97,표2[#ALL],2)</f>
        <v>0</v>
      </c>
      <c r="K97" s="319">
        <f>CS_PID!K97/VLOOKUP($B97,LEBT[#ALL],4)/VLOOKUP($B97,표2[#ALL],2)</f>
        <v>981.2617596</v>
      </c>
      <c r="L97" s="319">
        <f>CS_PID!L97/VLOOKUP($B97,LEBT[#ALL],4)/VLOOKUP($B97,표2[#ALL],2)</f>
        <v>0</v>
      </c>
      <c r="M97" s="319">
        <f>CS_PID!M97/VLOOKUP($B97,LEBT[#ALL],4)/VLOOKUP($B97,표2[#ALL],2)</f>
        <v>0</v>
      </c>
      <c r="N97" s="319">
        <f>CS_PID!N97/VLOOKUP($B97,LEBT[#ALL],4)/VLOOKUP($B97,표2[#ALL],2)</f>
        <v>0</v>
      </c>
      <c r="O97" s="319">
        <f>CS_PID!O97/VLOOKUP($B97,LEBT[#ALL],4)/VLOOKUP($B97,표2[#ALL],2)</f>
        <v>0</v>
      </c>
      <c r="P97" s="319">
        <f>CS_PID!P97/VLOOKUP($B97,LEBT[#ALL],4)/VLOOKUP($B97,표2[#ALL],2)</f>
        <v>0</v>
      </c>
      <c r="Q97" s="319">
        <f>CS_PID!Q97/VLOOKUP($B97,LEBT[#ALL],4)/VLOOKUP($B97,표2[#ALL],2)</f>
        <v>0</v>
      </c>
      <c r="R97" s="319">
        <f>CS_PID!R97/VLOOKUP($B97,LEBT[#ALL],4)/VLOOKUP($B97,표2[#ALL],2)</f>
        <v>0</v>
      </c>
      <c r="S97" s="319">
        <f>CS_PID!S97/VLOOKUP($B97,LEBT[#ALL],4)/VLOOKUP($B97,표2[#ALL],2)</f>
        <v>0</v>
      </c>
      <c r="T97" s="319">
        <f>CS_PID!T97/VLOOKUP($B97,LEBT[#ALL],4)/VLOOKUP($B97,표2[#ALL],2)</f>
        <v>0</v>
      </c>
      <c r="U97" s="319">
        <f>CS_PID!U97/VLOOKUP($B97,LEBT[#ALL],4)/VLOOKUP($B97,표2[#ALL],2)</f>
        <v>0</v>
      </c>
      <c r="V97" s="319">
        <f>CS_PID!V97/VLOOKUP($B97,LEBT[#ALL],4)/VLOOKUP($B97,표2[#ALL],2)</f>
        <v>0</v>
      </c>
      <c r="W97" s="319">
        <f>CS_PID!W97/VLOOKUP($B97,LEBT[#ALL],4)/VLOOKUP($B97,표2[#ALL],2)</f>
        <v>0</v>
      </c>
      <c r="X97" s="319">
        <f>CS_PID!X97/VLOOKUP($B97,LEBT[#ALL],4)/VLOOKUP($B97,표2[#ALL],2)</f>
        <v>0</v>
      </c>
      <c r="Y97" s="319">
        <f>CS_PID!Y97/VLOOKUP($B97,LEBT[#ALL],4)/VLOOKUP($B97,표2[#ALL],2)</f>
        <v>0</v>
      </c>
      <c r="Z97" s="319">
        <f>CS_PID!Z97/VLOOKUP($B97,LEBT[#ALL],4)/VLOOKUP($B97,표2[#ALL],2)</f>
        <v>0</v>
      </c>
      <c r="AA97" s="319">
        <f>CS_PID!AA97/VLOOKUP($B97,LEBT[#ALL],4)/VLOOKUP($B97,표2[#ALL],2)</f>
        <v>0</v>
      </c>
      <c r="AB97" s="319">
        <f>CS_PID!AB97/VLOOKUP($B97,LEBT[#ALL],4)/VLOOKUP($B97,표2[#ALL],2)</f>
        <v>0</v>
      </c>
      <c r="AC97" s="319">
        <f>CS_PID!AC97/VLOOKUP($B97,LEBT[#ALL],4)/VLOOKUP($B97,표2[#ALL],2)</f>
        <v>0</v>
      </c>
      <c r="AD97" s="319">
        <f>CS_PID!AD97/VLOOKUP($B97,LEBT[#ALL],4)/VLOOKUP($B97,표2[#ALL],2)</f>
        <v>0</v>
      </c>
      <c r="AE97" s="319">
        <f>CS_PID!AE97/VLOOKUP($B97,LEBT[#ALL],4)/VLOOKUP($B97,표2[#ALL],2)</f>
        <v>0</v>
      </c>
      <c r="AF97" s="319">
        <f>CS_PID!AF97/VLOOKUP($B97,LEBT[#ALL],4)/VLOOKUP($B97,표2[#ALL],2)</f>
        <v>0</v>
      </c>
      <c r="AG97" s="319">
        <f>CS_PID!AG97/VLOOKUP($B97,LEBT[#ALL],4)/VLOOKUP($B97,표2[#ALL],2)</f>
        <v>0</v>
      </c>
      <c r="AH97" s="319">
        <f>CS_PID!AH97/VLOOKUP($B97,LEBT[#ALL],4)/VLOOKUP($B97,표2[#ALL],2)</f>
        <v>0</v>
      </c>
      <c r="AI97" s="319">
        <f>CS_PID!AI97/VLOOKUP($B97,LEBT[#ALL],4)/VLOOKUP($B97,표2[#ALL],2)</f>
        <v>0</v>
      </c>
      <c r="AJ97" s="319">
        <f>CS_PID!AJ97/VLOOKUP($B97,LEBT[#ALL],4)/VLOOKUP($B97,표2[#ALL],2)</f>
        <v>0</v>
      </c>
      <c r="AK97" s="319">
        <f>CS_PID!AK97/VLOOKUP($B97,LEBT[#ALL],4)/VLOOKUP($B97,표2[#ALL],2)</f>
        <v>0</v>
      </c>
      <c r="AL97" s="319">
        <f>CS_PID!AL97/VLOOKUP($B97,LEBT[#ALL],4)/VLOOKUP($B97,표2[#ALL],2)</f>
        <v>0</v>
      </c>
      <c r="AM97" s="319">
        <f>CS_PID!AM97/VLOOKUP($B97,LEBT[#ALL],4)/VLOOKUP($B97,표2[#ALL],2)</f>
        <v>0</v>
      </c>
      <c r="AN97" s="319">
        <f>CS_PID!AN97/VLOOKUP($B97,LEBT[#ALL],4)/VLOOKUP($B97,표2[#ALL],2)</f>
        <v>0</v>
      </c>
      <c r="AO97" s="319">
        <f>CS_PID!AO97/VLOOKUP($B97,LEBT[#ALL],4)/VLOOKUP($B97,표2[#ALL],2)</f>
        <v>0</v>
      </c>
      <c r="AP97" s="319">
        <f>CS_PID!AP97/VLOOKUP($B97,LEBT[#ALL],4)/VLOOKUP($B97,표2[#ALL],2)</f>
        <v>0</v>
      </c>
      <c r="AQ97" s="319">
        <f>CS_PID!AQ97/VLOOKUP($B97,LEBT[#ALL],4)/VLOOKUP($B97,표2[#ALL],2)</f>
        <v>0</v>
      </c>
      <c r="AR97" s="319">
        <f>CS_PID!AR97/VLOOKUP($B97,LEBT[#ALL],4)/VLOOKUP($B97,표2[#ALL],2)</f>
        <v>0</v>
      </c>
      <c r="AS97" s="319">
        <f>CS_PID!AS97/VLOOKUP($B97,LEBT[#ALL],4)/VLOOKUP($B97,표2[#ALL],2)</f>
        <v>0</v>
      </c>
    </row>
    <row r="98">
      <c r="A98" s="177" t="s">
        <v>84</v>
      </c>
      <c r="B98" s="178">
        <v>371.0</v>
      </c>
      <c r="C98" s="319">
        <f>CS_PID!C98/VLOOKUP($B98,LEBT[#ALL],4)/VLOOKUP($B98,표2[#ALL],2)</f>
        <v>0</v>
      </c>
      <c r="D98" s="319">
        <f>CS_PID!D98/VLOOKUP($B98,LEBT[#ALL],4)/VLOOKUP($B98,표2[#ALL],2)</f>
        <v>0</v>
      </c>
      <c r="E98" s="319">
        <f>CS_PID!E98/VLOOKUP($B98,LEBT[#ALL],4)/VLOOKUP($B98,표2[#ALL],2)</f>
        <v>0</v>
      </c>
      <c r="F98" s="319">
        <f>CS_PID!F98/VLOOKUP($B98,LEBT[#ALL],4)/VLOOKUP($B98,표2[#ALL],2)</f>
        <v>1143.723102</v>
      </c>
      <c r="G98" s="319">
        <f>CS_PID!G98/VLOOKUP($B98,LEBT[#ALL],4)/VLOOKUP($B98,표2[#ALL],2)</f>
        <v>0</v>
      </c>
      <c r="H98" s="319">
        <f>CS_PID!H98/VLOOKUP($B98,LEBT[#ALL],4)/VLOOKUP($B98,표2[#ALL],2)</f>
        <v>0</v>
      </c>
      <c r="I98" s="319">
        <f>CS_PID!I98/VLOOKUP($B98,LEBT[#ALL],4)/VLOOKUP($B98,표2[#ALL],2)</f>
        <v>0</v>
      </c>
      <c r="J98" s="319">
        <f>CS_PID!J98/VLOOKUP($B98,LEBT[#ALL],4)/VLOOKUP($B98,표2[#ALL],2)</f>
        <v>0</v>
      </c>
      <c r="K98" s="319">
        <f>CS_PID!K98/VLOOKUP($B98,LEBT[#ALL],4)/VLOOKUP($B98,표2[#ALL],2)</f>
        <v>0</v>
      </c>
      <c r="L98" s="319">
        <f>CS_PID!L98/VLOOKUP($B98,LEBT[#ALL],4)/VLOOKUP($B98,표2[#ALL],2)</f>
        <v>381.241034</v>
      </c>
      <c r="M98" s="319">
        <f>CS_PID!M98/VLOOKUP($B98,LEBT[#ALL],4)/VLOOKUP($B98,표2[#ALL],2)</f>
        <v>0</v>
      </c>
      <c r="N98" s="319">
        <f>CS_PID!N98/VLOOKUP($B98,LEBT[#ALL],4)/VLOOKUP($B98,표2[#ALL],2)</f>
        <v>0</v>
      </c>
      <c r="O98" s="319">
        <f>CS_PID!O98/VLOOKUP($B98,LEBT[#ALL],4)/VLOOKUP($B98,표2[#ALL],2)</f>
        <v>0</v>
      </c>
      <c r="P98" s="319">
        <f>CS_PID!P98/VLOOKUP($B98,LEBT[#ALL],4)/VLOOKUP($B98,표2[#ALL],2)</f>
        <v>0</v>
      </c>
      <c r="Q98" s="319">
        <f>CS_PID!Q98/VLOOKUP($B98,LEBT[#ALL],4)/VLOOKUP($B98,표2[#ALL],2)</f>
        <v>0</v>
      </c>
      <c r="R98" s="319">
        <f>CS_PID!R98/VLOOKUP($B98,LEBT[#ALL],4)/VLOOKUP($B98,표2[#ALL],2)</f>
        <v>381.241034</v>
      </c>
      <c r="S98" s="319">
        <f>CS_PID!S98/VLOOKUP($B98,LEBT[#ALL],4)/VLOOKUP($B98,표2[#ALL],2)</f>
        <v>0</v>
      </c>
      <c r="T98" s="319">
        <f>CS_PID!T98/VLOOKUP($B98,LEBT[#ALL],4)/VLOOKUP($B98,표2[#ALL],2)</f>
        <v>0</v>
      </c>
      <c r="U98" s="319">
        <f>CS_PID!U98/VLOOKUP($B98,LEBT[#ALL],4)/VLOOKUP($B98,표2[#ALL],2)</f>
        <v>0</v>
      </c>
      <c r="V98" s="319">
        <f>CS_PID!V98/VLOOKUP($B98,LEBT[#ALL],4)/VLOOKUP($B98,표2[#ALL],2)</f>
        <v>0</v>
      </c>
      <c r="W98" s="319">
        <f>CS_PID!W98/VLOOKUP($B98,LEBT[#ALL],4)/VLOOKUP($B98,표2[#ALL],2)</f>
        <v>0</v>
      </c>
      <c r="X98" s="319">
        <f>CS_PID!X98/VLOOKUP($B98,LEBT[#ALL],4)/VLOOKUP($B98,표2[#ALL],2)</f>
        <v>1524.964136</v>
      </c>
      <c r="Y98" s="319">
        <f>CS_PID!Y98/VLOOKUP($B98,LEBT[#ALL],4)/VLOOKUP($B98,표2[#ALL],2)</f>
        <v>381.241034</v>
      </c>
      <c r="Z98" s="319">
        <f>CS_PID!Z98/VLOOKUP($B98,LEBT[#ALL],4)/VLOOKUP($B98,표2[#ALL],2)</f>
        <v>0</v>
      </c>
      <c r="AA98" s="319">
        <f>CS_PID!AA98/VLOOKUP($B98,LEBT[#ALL],4)/VLOOKUP($B98,표2[#ALL],2)</f>
        <v>0</v>
      </c>
      <c r="AB98" s="319">
        <f>CS_PID!AB98/VLOOKUP($B98,LEBT[#ALL],4)/VLOOKUP($B98,표2[#ALL],2)</f>
        <v>0</v>
      </c>
      <c r="AC98" s="319">
        <f>CS_PID!AC98/VLOOKUP($B98,LEBT[#ALL],4)/VLOOKUP($B98,표2[#ALL],2)</f>
        <v>0</v>
      </c>
      <c r="AD98" s="319">
        <f>CS_PID!AD98/VLOOKUP($B98,LEBT[#ALL],4)/VLOOKUP($B98,표2[#ALL],2)</f>
        <v>0</v>
      </c>
      <c r="AE98" s="319">
        <f>CS_PID!AE98/VLOOKUP($B98,LEBT[#ALL],4)/VLOOKUP($B98,표2[#ALL],2)</f>
        <v>381.241034</v>
      </c>
      <c r="AF98" s="319">
        <f>CS_PID!AF98/VLOOKUP($B98,LEBT[#ALL],4)/VLOOKUP($B98,표2[#ALL],2)</f>
        <v>0</v>
      </c>
      <c r="AG98" s="319">
        <f>CS_PID!AG98/VLOOKUP($B98,LEBT[#ALL],4)/VLOOKUP($B98,표2[#ALL],2)</f>
        <v>0</v>
      </c>
      <c r="AH98" s="319">
        <f>CS_PID!AH98/VLOOKUP($B98,LEBT[#ALL],4)/VLOOKUP($B98,표2[#ALL],2)</f>
        <v>0</v>
      </c>
      <c r="AI98" s="319">
        <f>CS_PID!AI98/VLOOKUP($B98,LEBT[#ALL],4)/VLOOKUP($B98,표2[#ALL],2)</f>
        <v>0</v>
      </c>
      <c r="AJ98" s="319">
        <f>CS_PID!AJ98/VLOOKUP($B98,LEBT[#ALL],4)/VLOOKUP($B98,표2[#ALL],2)</f>
        <v>762.4820681</v>
      </c>
      <c r="AK98" s="319">
        <f>CS_PID!AK98/VLOOKUP($B98,LEBT[#ALL],4)/VLOOKUP($B98,표2[#ALL],2)</f>
        <v>0</v>
      </c>
      <c r="AL98" s="319">
        <f>CS_PID!AL98/VLOOKUP($B98,LEBT[#ALL],4)/VLOOKUP($B98,표2[#ALL],2)</f>
        <v>0</v>
      </c>
      <c r="AM98" s="319">
        <f>CS_PID!AM98/VLOOKUP($B98,LEBT[#ALL],4)/VLOOKUP($B98,표2[#ALL],2)</f>
        <v>0</v>
      </c>
      <c r="AN98" s="319">
        <f>CS_PID!AN98/VLOOKUP($B98,LEBT[#ALL],4)/VLOOKUP($B98,표2[#ALL],2)</f>
        <v>0</v>
      </c>
      <c r="AO98" s="319">
        <f>CS_PID!AO98/VLOOKUP($B98,LEBT[#ALL],4)/VLOOKUP($B98,표2[#ALL],2)</f>
        <v>0</v>
      </c>
      <c r="AP98" s="319">
        <f>CS_PID!AP98/VLOOKUP($B98,LEBT[#ALL],4)/VLOOKUP($B98,표2[#ALL],2)</f>
        <v>0</v>
      </c>
      <c r="AQ98" s="319">
        <f>CS_PID!AQ98/VLOOKUP($B98,LEBT[#ALL],4)/VLOOKUP($B98,표2[#ALL],2)</f>
        <v>0</v>
      </c>
      <c r="AR98" s="319">
        <f>CS_PID!AR98/VLOOKUP($B98,LEBT[#ALL],4)/VLOOKUP($B98,표2[#ALL],2)</f>
        <v>0</v>
      </c>
      <c r="AS98" s="319">
        <f>CS_PID!AS98/VLOOKUP($B98,LEBT[#ALL],4)/VLOOKUP($B98,표2[#ALL],2)</f>
        <v>0</v>
      </c>
    </row>
    <row r="99">
      <c r="A99" s="177" t="s">
        <v>84</v>
      </c>
      <c r="B99" s="178">
        <v>372.0</v>
      </c>
      <c r="C99" s="319">
        <f>CS_PID!C99/VLOOKUP($B99,LEBT[#ALL],4)/VLOOKUP($B99,표2[#ALL],2)</f>
        <v>0</v>
      </c>
      <c r="D99" s="319">
        <f>CS_PID!D99/VLOOKUP($B99,LEBT[#ALL],4)/VLOOKUP($B99,표2[#ALL],2)</f>
        <v>0</v>
      </c>
      <c r="E99" s="319">
        <f>CS_PID!E99/VLOOKUP($B99,LEBT[#ALL],4)/VLOOKUP($B99,표2[#ALL],2)</f>
        <v>422.0317314</v>
      </c>
      <c r="F99" s="319">
        <f>CS_PID!F99/VLOOKUP($B99,LEBT[#ALL],4)/VLOOKUP($B99,표2[#ALL],2)</f>
        <v>0</v>
      </c>
      <c r="G99" s="319">
        <f>CS_PID!G99/VLOOKUP($B99,LEBT[#ALL],4)/VLOOKUP($B99,표2[#ALL],2)</f>
        <v>0</v>
      </c>
      <c r="H99" s="319">
        <f>CS_PID!H99/VLOOKUP($B99,LEBT[#ALL],4)/VLOOKUP($B99,표2[#ALL],2)</f>
        <v>0</v>
      </c>
      <c r="I99" s="319">
        <f>CS_PID!I99/VLOOKUP($B99,LEBT[#ALL],4)/VLOOKUP($B99,표2[#ALL],2)</f>
        <v>0</v>
      </c>
      <c r="J99" s="319">
        <f>CS_PID!J99/VLOOKUP($B99,LEBT[#ALL],4)/VLOOKUP($B99,표2[#ALL],2)</f>
        <v>0</v>
      </c>
      <c r="K99" s="319">
        <f>CS_PID!K99/VLOOKUP($B99,LEBT[#ALL],4)/VLOOKUP($B99,표2[#ALL],2)</f>
        <v>0</v>
      </c>
      <c r="L99" s="319">
        <f>CS_PID!L99/VLOOKUP($B99,LEBT[#ALL],4)/VLOOKUP($B99,표2[#ALL],2)</f>
        <v>0</v>
      </c>
      <c r="M99" s="319">
        <f>CS_PID!M99/VLOOKUP($B99,LEBT[#ALL],4)/VLOOKUP($B99,표2[#ALL],2)</f>
        <v>0</v>
      </c>
      <c r="N99" s="319">
        <f>CS_PID!N99/VLOOKUP($B99,LEBT[#ALL],4)/VLOOKUP($B99,표2[#ALL],2)</f>
        <v>0</v>
      </c>
      <c r="O99" s="319">
        <f>CS_PID!O99/VLOOKUP($B99,LEBT[#ALL],4)/VLOOKUP($B99,표2[#ALL],2)</f>
        <v>0</v>
      </c>
      <c r="P99" s="319">
        <f>CS_PID!P99/VLOOKUP($B99,LEBT[#ALL],4)/VLOOKUP($B99,표2[#ALL],2)</f>
        <v>0</v>
      </c>
      <c r="Q99" s="319">
        <f>CS_PID!Q99/VLOOKUP($B99,LEBT[#ALL],4)/VLOOKUP($B99,표2[#ALL],2)</f>
        <v>844.0634629</v>
      </c>
      <c r="R99" s="319">
        <f>CS_PID!R99/VLOOKUP($B99,LEBT[#ALL],4)/VLOOKUP($B99,표2[#ALL],2)</f>
        <v>422.0317314</v>
      </c>
      <c r="S99" s="319">
        <f>CS_PID!S99/VLOOKUP($B99,LEBT[#ALL],4)/VLOOKUP($B99,표2[#ALL],2)</f>
        <v>0</v>
      </c>
      <c r="T99" s="319">
        <f>CS_PID!T99/VLOOKUP($B99,LEBT[#ALL],4)/VLOOKUP($B99,표2[#ALL],2)</f>
        <v>0</v>
      </c>
      <c r="U99" s="319">
        <f>CS_PID!U99/VLOOKUP($B99,LEBT[#ALL],4)/VLOOKUP($B99,표2[#ALL],2)</f>
        <v>0</v>
      </c>
      <c r="V99" s="319">
        <f>CS_PID!V99/VLOOKUP($B99,LEBT[#ALL],4)/VLOOKUP($B99,표2[#ALL],2)</f>
        <v>0</v>
      </c>
      <c r="W99" s="319">
        <f>CS_PID!W99/VLOOKUP($B99,LEBT[#ALL],4)/VLOOKUP($B99,표2[#ALL],2)</f>
        <v>0</v>
      </c>
      <c r="X99" s="319">
        <f>CS_PID!X99/VLOOKUP($B99,LEBT[#ALL],4)/VLOOKUP($B99,표2[#ALL],2)</f>
        <v>844.0634629</v>
      </c>
      <c r="Y99" s="319">
        <f>CS_PID!Y99/VLOOKUP($B99,LEBT[#ALL],4)/VLOOKUP($B99,표2[#ALL],2)</f>
        <v>0</v>
      </c>
      <c r="Z99" s="319">
        <f>CS_PID!Z99/VLOOKUP($B99,LEBT[#ALL],4)/VLOOKUP($B99,표2[#ALL],2)</f>
        <v>0</v>
      </c>
      <c r="AA99" s="319">
        <f>CS_PID!AA99/VLOOKUP($B99,LEBT[#ALL],4)/VLOOKUP($B99,표2[#ALL],2)</f>
        <v>0</v>
      </c>
      <c r="AB99" s="319">
        <f>CS_PID!AB99/VLOOKUP($B99,LEBT[#ALL],4)/VLOOKUP($B99,표2[#ALL],2)</f>
        <v>0</v>
      </c>
      <c r="AC99" s="319">
        <f>CS_PID!AC99/VLOOKUP($B99,LEBT[#ALL],4)/VLOOKUP($B99,표2[#ALL],2)</f>
        <v>0</v>
      </c>
      <c r="AD99" s="319">
        <f>CS_PID!AD99/VLOOKUP($B99,LEBT[#ALL],4)/VLOOKUP($B99,표2[#ALL],2)</f>
        <v>0</v>
      </c>
      <c r="AE99" s="319">
        <f>CS_PID!AE99/VLOOKUP($B99,LEBT[#ALL],4)/VLOOKUP($B99,표2[#ALL],2)</f>
        <v>0</v>
      </c>
      <c r="AF99" s="319">
        <f>CS_PID!AF99/VLOOKUP($B99,LEBT[#ALL],4)/VLOOKUP($B99,표2[#ALL],2)</f>
        <v>0</v>
      </c>
      <c r="AG99" s="319">
        <f>CS_PID!AG99/VLOOKUP($B99,LEBT[#ALL],4)/VLOOKUP($B99,표2[#ALL],2)</f>
        <v>0</v>
      </c>
      <c r="AH99" s="319">
        <f>CS_PID!AH99/VLOOKUP($B99,LEBT[#ALL],4)/VLOOKUP($B99,표2[#ALL],2)</f>
        <v>0</v>
      </c>
      <c r="AI99" s="319">
        <f>CS_PID!AI99/VLOOKUP($B99,LEBT[#ALL],4)/VLOOKUP($B99,표2[#ALL],2)</f>
        <v>0</v>
      </c>
      <c r="AJ99" s="319">
        <f>CS_PID!AJ99/VLOOKUP($B99,LEBT[#ALL],4)/VLOOKUP($B99,표2[#ALL],2)</f>
        <v>0</v>
      </c>
      <c r="AK99" s="319">
        <f>CS_PID!AK99/VLOOKUP($B99,LEBT[#ALL],4)/VLOOKUP($B99,표2[#ALL],2)</f>
        <v>0</v>
      </c>
      <c r="AL99" s="319">
        <f>CS_PID!AL99/VLOOKUP($B99,LEBT[#ALL],4)/VLOOKUP($B99,표2[#ALL],2)</f>
        <v>0</v>
      </c>
      <c r="AM99" s="319">
        <f>CS_PID!AM99/VLOOKUP($B99,LEBT[#ALL],4)/VLOOKUP($B99,표2[#ALL],2)</f>
        <v>0</v>
      </c>
      <c r="AN99" s="319">
        <f>CS_PID!AN99/VLOOKUP($B99,LEBT[#ALL],4)/VLOOKUP($B99,표2[#ALL],2)</f>
        <v>0</v>
      </c>
      <c r="AO99" s="319">
        <f>CS_PID!AO99/VLOOKUP($B99,LEBT[#ALL],4)/VLOOKUP($B99,표2[#ALL],2)</f>
        <v>0</v>
      </c>
      <c r="AP99" s="319">
        <f>CS_PID!AP99/VLOOKUP($B99,LEBT[#ALL],4)/VLOOKUP($B99,표2[#ALL],2)</f>
        <v>0</v>
      </c>
      <c r="AQ99" s="319">
        <f>CS_PID!AQ99/VLOOKUP($B99,LEBT[#ALL],4)/VLOOKUP($B99,표2[#ALL],2)</f>
        <v>0</v>
      </c>
      <c r="AR99" s="319">
        <f>CS_PID!AR99/VLOOKUP($B99,LEBT[#ALL],4)/VLOOKUP($B99,표2[#ALL],2)</f>
        <v>0</v>
      </c>
      <c r="AS99" s="319">
        <f>CS_PID!AS99/VLOOKUP($B99,LEBT[#ALL],4)/VLOOKUP($B99,표2[#ALL],2)</f>
        <v>0</v>
      </c>
    </row>
    <row r="100">
      <c r="A100" s="177" t="s">
        <v>84</v>
      </c>
      <c r="B100" s="178">
        <v>373.0</v>
      </c>
      <c r="C100" s="319">
        <f>CS_PID!C100/VLOOKUP($B100,LEBT[#ALL],4)/VLOOKUP($B100,표2[#ALL],2)</f>
        <v>0</v>
      </c>
      <c r="D100" s="319">
        <f>CS_PID!D100/VLOOKUP($B100,LEBT[#ALL],4)/VLOOKUP($B100,표2[#ALL],2)</f>
        <v>0</v>
      </c>
      <c r="E100" s="319">
        <f>CS_PID!E100/VLOOKUP($B100,LEBT[#ALL],4)/VLOOKUP($B100,표2[#ALL],2)</f>
        <v>0</v>
      </c>
      <c r="F100" s="319">
        <f>CS_PID!F100/VLOOKUP($B100,LEBT[#ALL],4)/VLOOKUP($B100,표2[#ALL],2)</f>
        <v>0</v>
      </c>
      <c r="G100" s="319">
        <f>CS_PID!G100/VLOOKUP($B100,LEBT[#ALL],4)/VLOOKUP($B100,표2[#ALL],2)</f>
        <v>0</v>
      </c>
      <c r="H100" s="319">
        <f>CS_PID!H100/VLOOKUP($B100,LEBT[#ALL],4)/VLOOKUP($B100,표2[#ALL],2)</f>
        <v>0</v>
      </c>
      <c r="I100" s="319">
        <f>CS_PID!I100/VLOOKUP($B100,LEBT[#ALL],4)/VLOOKUP($B100,표2[#ALL],2)</f>
        <v>0</v>
      </c>
      <c r="J100" s="319">
        <f>CS_PID!J100/VLOOKUP($B100,LEBT[#ALL],4)/VLOOKUP($B100,표2[#ALL],2)</f>
        <v>285.0563878</v>
      </c>
      <c r="K100" s="319">
        <f>CS_PID!K100/VLOOKUP($B100,LEBT[#ALL],4)/VLOOKUP($B100,표2[#ALL],2)</f>
        <v>712.6409696</v>
      </c>
      <c r="L100" s="319">
        <f>CS_PID!L100/VLOOKUP($B100,LEBT[#ALL],4)/VLOOKUP($B100,표2[#ALL],2)</f>
        <v>570.1127757</v>
      </c>
      <c r="M100" s="319">
        <f>CS_PID!M100/VLOOKUP($B100,LEBT[#ALL],4)/VLOOKUP($B100,표2[#ALL],2)</f>
        <v>0</v>
      </c>
      <c r="N100" s="319">
        <f>CS_PID!N100/VLOOKUP($B100,LEBT[#ALL],4)/VLOOKUP($B100,표2[#ALL],2)</f>
        <v>0</v>
      </c>
      <c r="O100" s="319">
        <f>CS_PID!O100/VLOOKUP($B100,LEBT[#ALL],4)/VLOOKUP($B100,표2[#ALL],2)</f>
        <v>0</v>
      </c>
      <c r="P100" s="319">
        <f>CS_PID!P100/VLOOKUP($B100,LEBT[#ALL],4)/VLOOKUP($B100,표2[#ALL],2)</f>
        <v>0</v>
      </c>
      <c r="Q100" s="319">
        <f>CS_PID!Q100/VLOOKUP($B100,LEBT[#ALL],4)/VLOOKUP($B100,표2[#ALL],2)</f>
        <v>427.5845817</v>
      </c>
      <c r="R100" s="319">
        <f>CS_PID!R100/VLOOKUP($B100,LEBT[#ALL],4)/VLOOKUP($B100,표2[#ALL],2)</f>
        <v>427.5845817</v>
      </c>
      <c r="S100" s="319">
        <f>CS_PID!S100/VLOOKUP($B100,LEBT[#ALL],4)/VLOOKUP($B100,표2[#ALL],2)</f>
        <v>0</v>
      </c>
      <c r="T100" s="319">
        <f>CS_PID!T100/VLOOKUP($B100,LEBT[#ALL],4)/VLOOKUP($B100,표2[#ALL],2)</f>
        <v>0</v>
      </c>
      <c r="U100" s="319">
        <f>CS_PID!U100/VLOOKUP($B100,LEBT[#ALL],4)/VLOOKUP($B100,표2[#ALL],2)</f>
        <v>0</v>
      </c>
      <c r="V100" s="319">
        <f>CS_PID!V100/VLOOKUP($B100,LEBT[#ALL],4)/VLOOKUP($B100,표2[#ALL],2)</f>
        <v>0</v>
      </c>
      <c r="W100" s="319">
        <f>CS_PID!W100/VLOOKUP($B100,LEBT[#ALL],4)/VLOOKUP($B100,표2[#ALL],2)</f>
        <v>285.0563878</v>
      </c>
      <c r="X100" s="319">
        <f>CS_PID!X100/VLOOKUP($B100,LEBT[#ALL],4)/VLOOKUP($B100,표2[#ALL],2)</f>
        <v>570.1127757</v>
      </c>
      <c r="Y100" s="319">
        <f>CS_PID!Y100/VLOOKUP($B100,LEBT[#ALL],4)/VLOOKUP($B100,표2[#ALL],2)</f>
        <v>0</v>
      </c>
      <c r="Z100" s="319">
        <f>CS_PID!Z100/VLOOKUP($B100,LEBT[#ALL],4)/VLOOKUP($B100,표2[#ALL],2)</f>
        <v>0</v>
      </c>
      <c r="AA100" s="319">
        <f>CS_PID!AA100/VLOOKUP($B100,LEBT[#ALL],4)/VLOOKUP($B100,표2[#ALL],2)</f>
        <v>0</v>
      </c>
      <c r="AB100" s="319">
        <f>CS_PID!AB100/VLOOKUP($B100,LEBT[#ALL],4)/VLOOKUP($B100,표2[#ALL],2)</f>
        <v>0</v>
      </c>
      <c r="AC100" s="319">
        <f>CS_PID!AC100/VLOOKUP($B100,LEBT[#ALL],4)/VLOOKUP($B100,표2[#ALL],2)</f>
        <v>0</v>
      </c>
      <c r="AD100" s="319">
        <f>CS_PID!AD100/VLOOKUP($B100,LEBT[#ALL],4)/VLOOKUP($B100,표2[#ALL],2)</f>
        <v>142.5281939</v>
      </c>
      <c r="AE100" s="319">
        <f>CS_PID!AE100/VLOOKUP($B100,LEBT[#ALL],4)/VLOOKUP($B100,표2[#ALL],2)</f>
        <v>142.5281939</v>
      </c>
      <c r="AF100" s="319">
        <f>CS_PID!AF100/VLOOKUP($B100,LEBT[#ALL],4)/VLOOKUP($B100,표2[#ALL],2)</f>
        <v>0</v>
      </c>
      <c r="AG100" s="319">
        <f>CS_PID!AG100/VLOOKUP($B100,LEBT[#ALL],4)/VLOOKUP($B100,표2[#ALL],2)</f>
        <v>0</v>
      </c>
      <c r="AH100" s="319">
        <f>CS_PID!AH100/VLOOKUP($B100,LEBT[#ALL],4)/VLOOKUP($B100,표2[#ALL],2)</f>
        <v>0</v>
      </c>
      <c r="AI100" s="319">
        <f>CS_PID!AI100/VLOOKUP($B100,LEBT[#ALL],4)/VLOOKUP($B100,표2[#ALL],2)</f>
        <v>0</v>
      </c>
      <c r="AJ100" s="319">
        <f>CS_PID!AJ100/VLOOKUP($B100,LEBT[#ALL],4)/VLOOKUP($B100,표2[#ALL],2)</f>
        <v>142.5281939</v>
      </c>
      <c r="AK100" s="319">
        <f>CS_PID!AK100/VLOOKUP($B100,LEBT[#ALL],4)/VLOOKUP($B100,표2[#ALL],2)</f>
        <v>0</v>
      </c>
      <c r="AL100" s="319">
        <f>CS_PID!AL100/VLOOKUP($B100,LEBT[#ALL],4)/VLOOKUP($B100,표2[#ALL],2)</f>
        <v>0</v>
      </c>
      <c r="AM100" s="319">
        <f>CS_PID!AM100/VLOOKUP($B100,LEBT[#ALL],4)/VLOOKUP($B100,표2[#ALL],2)</f>
        <v>0</v>
      </c>
      <c r="AN100" s="319">
        <f>CS_PID!AN100/VLOOKUP($B100,LEBT[#ALL],4)/VLOOKUP($B100,표2[#ALL],2)</f>
        <v>0</v>
      </c>
      <c r="AO100" s="319">
        <f>CS_PID!AO100/VLOOKUP($B100,LEBT[#ALL],4)/VLOOKUP($B100,표2[#ALL],2)</f>
        <v>0</v>
      </c>
      <c r="AP100" s="319">
        <f>CS_PID!AP100/VLOOKUP($B100,LEBT[#ALL],4)/VLOOKUP($B100,표2[#ALL],2)</f>
        <v>0</v>
      </c>
      <c r="AQ100" s="319">
        <f>CS_PID!AQ100/VLOOKUP($B100,LEBT[#ALL],4)/VLOOKUP($B100,표2[#ALL],2)</f>
        <v>0</v>
      </c>
      <c r="AR100" s="319">
        <f>CS_PID!AR100/VLOOKUP($B100,LEBT[#ALL],4)/VLOOKUP($B100,표2[#ALL],2)</f>
        <v>0</v>
      </c>
      <c r="AS100" s="319">
        <f>CS_PID!AS100/VLOOKUP($B100,LEBT[#ALL],4)/VLOOKUP($B100,표2[#ALL],2)</f>
        <v>0</v>
      </c>
    </row>
    <row r="101">
      <c r="A101" s="177" t="s">
        <v>84</v>
      </c>
      <c r="B101" s="178">
        <v>374.0</v>
      </c>
      <c r="C101" s="319">
        <f>CS_PID!C101/VLOOKUP($B101,LEBT[#ALL],4)/VLOOKUP($B101,표2[#ALL],2)</f>
        <v>45.87377363</v>
      </c>
      <c r="D101" s="319">
        <f>CS_PID!D101/VLOOKUP($B101,LEBT[#ALL],4)/VLOOKUP($B101,표2[#ALL],2)</f>
        <v>45.87377363</v>
      </c>
      <c r="E101" s="319">
        <f>CS_PID!E101/VLOOKUP($B101,LEBT[#ALL],4)/VLOOKUP($B101,표2[#ALL],2)</f>
        <v>45.87377363</v>
      </c>
      <c r="F101" s="319">
        <f>CS_PID!F101/VLOOKUP($B101,LEBT[#ALL],4)/VLOOKUP($B101,표2[#ALL],2)</f>
        <v>504.6115099</v>
      </c>
      <c r="G101" s="319">
        <f>CS_PID!G101/VLOOKUP($B101,LEBT[#ALL],4)/VLOOKUP($B101,표2[#ALL],2)</f>
        <v>45.87377363</v>
      </c>
      <c r="H101" s="319">
        <f>CS_PID!H101/VLOOKUP($B101,LEBT[#ALL],4)/VLOOKUP($B101,표2[#ALL],2)</f>
        <v>0</v>
      </c>
      <c r="I101" s="319">
        <f>CS_PID!I101/VLOOKUP($B101,LEBT[#ALL],4)/VLOOKUP($B101,표2[#ALL],2)</f>
        <v>0</v>
      </c>
      <c r="J101" s="319">
        <f>CS_PID!J101/VLOOKUP($B101,LEBT[#ALL],4)/VLOOKUP($B101,표2[#ALL],2)</f>
        <v>91.74754726</v>
      </c>
      <c r="K101" s="319">
        <f>CS_PID!K101/VLOOKUP($B101,LEBT[#ALL],4)/VLOOKUP($B101,표2[#ALL],2)</f>
        <v>412.8639627</v>
      </c>
      <c r="L101" s="319">
        <f>CS_PID!L101/VLOOKUP($B101,LEBT[#ALL],4)/VLOOKUP($B101,표2[#ALL],2)</f>
        <v>504.6115099</v>
      </c>
      <c r="M101" s="319">
        <f>CS_PID!M101/VLOOKUP($B101,LEBT[#ALL],4)/VLOOKUP($B101,표2[#ALL],2)</f>
        <v>0</v>
      </c>
      <c r="N101" s="319">
        <f>CS_PID!N101/VLOOKUP($B101,LEBT[#ALL],4)/VLOOKUP($B101,표2[#ALL],2)</f>
        <v>0</v>
      </c>
      <c r="O101" s="319">
        <f>CS_PID!O101/VLOOKUP($B101,LEBT[#ALL],4)/VLOOKUP($B101,표2[#ALL],2)</f>
        <v>0</v>
      </c>
      <c r="P101" s="319">
        <f>CS_PID!P101/VLOOKUP($B101,LEBT[#ALL],4)/VLOOKUP($B101,표2[#ALL],2)</f>
        <v>45.87377363</v>
      </c>
      <c r="Q101" s="319">
        <f>CS_PID!Q101/VLOOKUP($B101,LEBT[#ALL],4)/VLOOKUP($B101,표2[#ALL],2)</f>
        <v>321.1164154</v>
      </c>
      <c r="R101" s="319">
        <f>CS_PID!R101/VLOOKUP($B101,LEBT[#ALL],4)/VLOOKUP($B101,표2[#ALL],2)</f>
        <v>596.3590572</v>
      </c>
      <c r="S101" s="319">
        <f>CS_PID!S101/VLOOKUP($B101,LEBT[#ALL],4)/VLOOKUP($B101,표2[#ALL],2)</f>
        <v>137.6213209</v>
      </c>
      <c r="T101" s="319">
        <f>CS_PID!T101/VLOOKUP($B101,LEBT[#ALL],4)/VLOOKUP($B101,표2[#ALL],2)</f>
        <v>0</v>
      </c>
      <c r="U101" s="319">
        <f>CS_PID!U101/VLOOKUP($B101,LEBT[#ALL],4)/VLOOKUP($B101,표2[#ALL],2)</f>
        <v>0</v>
      </c>
      <c r="V101" s="319">
        <f>CS_PID!V101/VLOOKUP($B101,LEBT[#ALL],4)/VLOOKUP($B101,표2[#ALL],2)</f>
        <v>0</v>
      </c>
      <c r="W101" s="319">
        <f>CS_PID!W101/VLOOKUP($B101,LEBT[#ALL],4)/VLOOKUP($B101,표2[#ALL],2)</f>
        <v>91.74754726</v>
      </c>
      <c r="X101" s="319">
        <f>CS_PID!X101/VLOOKUP($B101,LEBT[#ALL],4)/VLOOKUP($B101,표2[#ALL],2)</f>
        <v>229.3688681</v>
      </c>
      <c r="Y101" s="319">
        <f>CS_PID!Y101/VLOOKUP($B101,LEBT[#ALL],4)/VLOOKUP($B101,표2[#ALL],2)</f>
        <v>91.74754726</v>
      </c>
      <c r="Z101" s="319">
        <f>CS_PID!Z101/VLOOKUP($B101,LEBT[#ALL],4)/VLOOKUP($B101,표2[#ALL],2)</f>
        <v>0</v>
      </c>
      <c r="AA101" s="319">
        <f>CS_PID!AA101/VLOOKUP($B101,LEBT[#ALL],4)/VLOOKUP($B101,표2[#ALL],2)</f>
        <v>0</v>
      </c>
      <c r="AB101" s="319">
        <f>CS_PID!AB101/VLOOKUP($B101,LEBT[#ALL],4)/VLOOKUP($B101,표2[#ALL],2)</f>
        <v>0</v>
      </c>
      <c r="AC101" s="319">
        <f>CS_PID!AC101/VLOOKUP($B101,LEBT[#ALL],4)/VLOOKUP($B101,표2[#ALL],2)</f>
        <v>45.87377363</v>
      </c>
      <c r="AD101" s="319">
        <f>CS_PID!AD101/VLOOKUP($B101,LEBT[#ALL],4)/VLOOKUP($B101,표2[#ALL],2)</f>
        <v>183.4950945</v>
      </c>
      <c r="AE101" s="319">
        <f>CS_PID!AE101/VLOOKUP($B101,LEBT[#ALL],4)/VLOOKUP($B101,표2[#ALL],2)</f>
        <v>45.87377363</v>
      </c>
      <c r="AF101" s="319">
        <f>CS_PID!AF101/VLOOKUP($B101,LEBT[#ALL],4)/VLOOKUP($B101,표2[#ALL],2)</f>
        <v>0</v>
      </c>
      <c r="AG101" s="319">
        <f>CS_PID!AG101/VLOOKUP($B101,LEBT[#ALL],4)/VLOOKUP($B101,표2[#ALL],2)</f>
        <v>0</v>
      </c>
      <c r="AH101" s="319">
        <f>CS_PID!AH101/VLOOKUP($B101,LEBT[#ALL],4)/VLOOKUP($B101,표2[#ALL],2)</f>
        <v>45.87377363</v>
      </c>
      <c r="AI101" s="319">
        <f>CS_PID!AI101/VLOOKUP($B101,LEBT[#ALL],4)/VLOOKUP($B101,표2[#ALL],2)</f>
        <v>0</v>
      </c>
      <c r="AJ101" s="319">
        <f>CS_PID!AJ101/VLOOKUP($B101,LEBT[#ALL],4)/VLOOKUP($B101,표2[#ALL],2)</f>
        <v>137.6213209</v>
      </c>
      <c r="AK101" s="319">
        <f>CS_PID!AK101/VLOOKUP($B101,LEBT[#ALL],4)/VLOOKUP($B101,표2[#ALL],2)</f>
        <v>0</v>
      </c>
      <c r="AL101" s="319">
        <f>CS_PID!AL101/VLOOKUP($B101,LEBT[#ALL],4)/VLOOKUP($B101,표2[#ALL],2)</f>
        <v>0</v>
      </c>
      <c r="AM101" s="319">
        <f>CS_PID!AM101/VLOOKUP($B101,LEBT[#ALL],4)/VLOOKUP($B101,표2[#ALL],2)</f>
        <v>0</v>
      </c>
      <c r="AN101" s="319">
        <f>CS_PID!AN101/VLOOKUP($B101,LEBT[#ALL],4)/VLOOKUP($B101,표2[#ALL],2)</f>
        <v>0</v>
      </c>
      <c r="AO101" s="319">
        <f>CS_PID!AO101/VLOOKUP($B101,LEBT[#ALL],4)/VLOOKUP($B101,표2[#ALL],2)</f>
        <v>0</v>
      </c>
      <c r="AP101" s="319">
        <f>CS_PID!AP101/VLOOKUP($B101,LEBT[#ALL],4)/VLOOKUP($B101,표2[#ALL],2)</f>
        <v>0</v>
      </c>
      <c r="AQ101" s="319">
        <f>CS_PID!AQ101/VLOOKUP($B101,LEBT[#ALL],4)/VLOOKUP($B101,표2[#ALL],2)</f>
        <v>0</v>
      </c>
      <c r="AR101" s="319">
        <f>CS_PID!AR101/VLOOKUP($B101,LEBT[#ALL],4)/VLOOKUP($B101,표2[#ALL],2)</f>
        <v>0</v>
      </c>
      <c r="AS101" s="319">
        <f>CS_PID!AS101/VLOOKUP($B101,LEBT[#ALL],4)/VLOOKUP($B101,표2[#ALL],2)</f>
        <v>0</v>
      </c>
    </row>
    <row r="102">
      <c r="A102" s="177" t="s">
        <v>84</v>
      </c>
      <c r="B102" s="178">
        <v>375.0</v>
      </c>
      <c r="C102" s="319">
        <f>CS_PID!C102/VLOOKUP($B102,LEBT[#ALL],4)/VLOOKUP($B102,표2[#ALL],2)</f>
        <v>0</v>
      </c>
      <c r="D102" s="319">
        <f>CS_PID!D102/VLOOKUP($B102,LEBT[#ALL],4)/VLOOKUP($B102,표2[#ALL],2)</f>
        <v>0</v>
      </c>
      <c r="E102" s="319">
        <f>CS_PID!E102/VLOOKUP($B102,LEBT[#ALL],4)/VLOOKUP($B102,표2[#ALL],2)</f>
        <v>182.9393742</v>
      </c>
      <c r="F102" s="319">
        <f>CS_PID!F102/VLOOKUP($B102,LEBT[#ALL],4)/VLOOKUP($B102,표2[#ALL],2)</f>
        <v>365.8787483</v>
      </c>
      <c r="G102" s="319">
        <f>CS_PID!G102/VLOOKUP($B102,LEBT[#ALL],4)/VLOOKUP($B102,표2[#ALL],2)</f>
        <v>548.8181225</v>
      </c>
      <c r="H102" s="319">
        <f>CS_PID!H102/VLOOKUP($B102,LEBT[#ALL],4)/VLOOKUP($B102,표2[#ALL],2)</f>
        <v>0</v>
      </c>
      <c r="I102" s="319">
        <f>CS_PID!I102/VLOOKUP($B102,LEBT[#ALL],4)/VLOOKUP($B102,표2[#ALL],2)</f>
        <v>0</v>
      </c>
      <c r="J102" s="319">
        <f>CS_PID!J102/VLOOKUP($B102,LEBT[#ALL],4)/VLOOKUP($B102,표2[#ALL],2)</f>
        <v>0</v>
      </c>
      <c r="K102" s="319">
        <f>CS_PID!K102/VLOOKUP($B102,LEBT[#ALL],4)/VLOOKUP($B102,표2[#ALL],2)</f>
        <v>1280.575619</v>
      </c>
      <c r="L102" s="319">
        <f>CS_PID!L102/VLOOKUP($B102,LEBT[#ALL],4)/VLOOKUP($B102,표2[#ALL],2)</f>
        <v>365.8787483</v>
      </c>
      <c r="M102" s="319">
        <f>CS_PID!M102/VLOOKUP($B102,LEBT[#ALL],4)/VLOOKUP($B102,표2[#ALL],2)</f>
        <v>0</v>
      </c>
      <c r="N102" s="319">
        <f>CS_PID!N102/VLOOKUP($B102,LEBT[#ALL],4)/VLOOKUP($B102,표2[#ALL],2)</f>
        <v>0</v>
      </c>
      <c r="O102" s="319">
        <f>CS_PID!O102/VLOOKUP($B102,LEBT[#ALL],4)/VLOOKUP($B102,표2[#ALL],2)</f>
        <v>0</v>
      </c>
      <c r="P102" s="319">
        <f>CS_PID!P102/VLOOKUP($B102,LEBT[#ALL],4)/VLOOKUP($B102,표2[#ALL],2)</f>
        <v>0</v>
      </c>
      <c r="Q102" s="319">
        <f>CS_PID!Q102/VLOOKUP($B102,LEBT[#ALL],4)/VLOOKUP($B102,표2[#ALL],2)</f>
        <v>182.9393742</v>
      </c>
      <c r="R102" s="319">
        <f>CS_PID!R102/VLOOKUP($B102,LEBT[#ALL],4)/VLOOKUP($B102,표2[#ALL],2)</f>
        <v>548.8181225</v>
      </c>
      <c r="S102" s="319">
        <f>CS_PID!S102/VLOOKUP($B102,LEBT[#ALL],4)/VLOOKUP($B102,표2[#ALL],2)</f>
        <v>0</v>
      </c>
      <c r="T102" s="319">
        <f>CS_PID!T102/VLOOKUP($B102,LEBT[#ALL],4)/VLOOKUP($B102,표2[#ALL],2)</f>
        <v>0</v>
      </c>
      <c r="U102" s="319">
        <f>CS_PID!U102/VLOOKUP($B102,LEBT[#ALL],4)/VLOOKUP($B102,표2[#ALL],2)</f>
        <v>0</v>
      </c>
      <c r="V102" s="319">
        <f>CS_PID!V102/VLOOKUP($B102,LEBT[#ALL],4)/VLOOKUP($B102,표2[#ALL],2)</f>
        <v>0</v>
      </c>
      <c r="W102" s="319">
        <f>CS_PID!W102/VLOOKUP($B102,LEBT[#ALL],4)/VLOOKUP($B102,표2[#ALL],2)</f>
        <v>0</v>
      </c>
      <c r="X102" s="319">
        <f>CS_PID!X102/VLOOKUP($B102,LEBT[#ALL],4)/VLOOKUP($B102,표2[#ALL],2)</f>
        <v>365.8787483</v>
      </c>
      <c r="Y102" s="319">
        <f>CS_PID!Y102/VLOOKUP($B102,LEBT[#ALL],4)/VLOOKUP($B102,표2[#ALL],2)</f>
        <v>0</v>
      </c>
      <c r="Z102" s="319">
        <f>CS_PID!Z102/VLOOKUP($B102,LEBT[#ALL],4)/VLOOKUP($B102,표2[#ALL],2)</f>
        <v>0</v>
      </c>
      <c r="AA102" s="319">
        <f>CS_PID!AA102/VLOOKUP($B102,LEBT[#ALL],4)/VLOOKUP($B102,표2[#ALL],2)</f>
        <v>0</v>
      </c>
      <c r="AB102" s="319">
        <f>CS_PID!AB102/VLOOKUP($B102,LEBT[#ALL],4)/VLOOKUP($B102,표2[#ALL],2)</f>
        <v>0</v>
      </c>
      <c r="AC102" s="319">
        <f>CS_PID!AC102/VLOOKUP($B102,LEBT[#ALL],4)/VLOOKUP($B102,표2[#ALL],2)</f>
        <v>0</v>
      </c>
      <c r="AD102" s="319">
        <f>CS_PID!AD102/VLOOKUP($B102,LEBT[#ALL],4)/VLOOKUP($B102,표2[#ALL],2)</f>
        <v>182.9393742</v>
      </c>
      <c r="AE102" s="319">
        <f>CS_PID!AE102/VLOOKUP($B102,LEBT[#ALL],4)/VLOOKUP($B102,표2[#ALL],2)</f>
        <v>182.9393742</v>
      </c>
      <c r="AF102" s="319">
        <f>CS_PID!AF102/VLOOKUP($B102,LEBT[#ALL],4)/VLOOKUP($B102,표2[#ALL],2)</f>
        <v>0</v>
      </c>
      <c r="AG102" s="319">
        <f>CS_PID!AG102/VLOOKUP($B102,LEBT[#ALL],4)/VLOOKUP($B102,표2[#ALL],2)</f>
        <v>0</v>
      </c>
      <c r="AH102" s="319">
        <f>CS_PID!AH102/VLOOKUP($B102,LEBT[#ALL],4)/VLOOKUP($B102,표2[#ALL],2)</f>
        <v>0</v>
      </c>
      <c r="AI102" s="319">
        <f>CS_PID!AI102/VLOOKUP($B102,LEBT[#ALL],4)/VLOOKUP($B102,표2[#ALL],2)</f>
        <v>0</v>
      </c>
      <c r="AJ102" s="319">
        <f>CS_PID!AJ102/VLOOKUP($B102,LEBT[#ALL],4)/VLOOKUP($B102,표2[#ALL],2)</f>
        <v>0</v>
      </c>
      <c r="AK102" s="319">
        <f>CS_PID!AK102/VLOOKUP($B102,LEBT[#ALL],4)/VLOOKUP($B102,표2[#ALL],2)</f>
        <v>0</v>
      </c>
      <c r="AL102" s="319">
        <f>CS_PID!AL102/VLOOKUP($B102,LEBT[#ALL],4)/VLOOKUP($B102,표2[#ALL],2)</f>
        <v>0</v>
      </c>
      <c r="AM102" s="319">
        <f>CS_PID!AM102/VLOOKUP($B102,LEBT[#ALL],4)/VLOOKUP($B102,표2[#ALL],2)</f>
        <v>0</v>
      </c>
      <c r="AN102" s="319">
        <f>CS_PID!AN102/VLOOKUP($B102,LEBT[#ALL],4)/VLOOKUP($B102,표2[#ALL],2)</f>
        <v>0</v>
      </c>
      <c r="AO102" s="319">
        <f>CS_PID!AO102/VLOOKUP($B102,LEBT[#ALL],4)/VLOOKUP($B102,표2[#ALL],2)</f>
        <v>0</v>
      </c>
      <c r="AP102" s="319">
        <f>CS_PID!AP102/VLOOKUP($B102,LEBT[#ALL],4)/VLOOKUP($B102,표2[#ALL],2)</f>
        <v>0</v>
      </c>
      <c r="AQ102" s="319">
        <f>CS_PID!AQ102/VLOOKUP($B102,LEBT[#ALL],4)/VLOOKUP($B102,표2[#ALL],2)</f>
        <v>0</v>
      </c>
      <c r="AR102" s="319">
        <f>CS_PID!AR102/VLOOKUP($B102,LEBT[#ALL],4)/VLOOKUP($B102,표2[#ALL],2)</f>
        <v>0</v>
      </c>
      <c r="AS102" s="319">
        <f>CS_PID!AS102/VLOOKUP($B102,LEBT[#ALL],4)/VLOOKUP($B102,표2[#ALL],2)</f>
        <v>0</v>
      </c>
    </row>
    <row r="103">
      <c r="A103" s="177" t="s">
        <v>84</v>
      </c>
      <c r="B103" s="178">
        <v>376.0</v>
      </c>
      <c r="C103" s="319">
        <f>CS_PID!C103/VLOOKUP($B103,LEBT[#ALL],4)/VLOOKUP($B103,표2[#ALL],2)</f>
        <v>0</v>
      </c>
      <c r="D103" s="319">
        <f>CS_PID!D103/VLOOKUP($B103,LEBT[#ALL],4)/VLOOKUP($B103,표2[#ALL],2)</f>
        <v>39.91153505</v>
      </c>
      <c r="E103" s="319">
        <f>CS_PID!E103/VLOOKUP($B103,LEBT[#ALL],4)/VLOOKUP($B103,표2[#ALL],2)</f>
        <v>39.91153505</v>
      </c>
      <c r="F103" s="319">
        <f>CS_PID!F103/VLOOKUP($B103,LEBT[#ALL],4)/VLOOKUP($B103,표2[#ALL],2)</f>
        <v>399.1153505</v>
      </c>
      <c r="G103" s="319">
        <f>CS_PID!G103/VLOOKUP($B103,LEBT[#ALL],4)/VLOOKUP($B103,표2[#ALL],2)</f>
        <v>0</v>
      </c>
      <c r="H103" s="319">
        <f>CS_PID!H103/VLOOKUP($B103,LEBT[#ALL],4)/VLOOKUP($B103,표2[#ALL],2)</f>
        <v>0</v>
      </c>
      <c r="I103" s="319">
        <f>CS_PID!I103/VLOOKUP($B103,LEBT[#ALL],4)/VLOOKUP($B103,표2[#ALL],2)</f>
        <v>0</v>
      </c>
      <c r="J103" s="319">
        <f>CS_PID!J103/VLOOKUP($B103,LEBT[#ALL],4)/VLOOKUP($B103,표2[#ALL],2)</f>
        <v>119.7346051</v>
      </c>
      <c r="K103" s="319">
        <f>CS_PID!K103/VLOOKUP($B103,LEBT[#ALL],4)/VLOOKUP($B103,표2[#ALL],2)</f>
        <v>838.142236</v>
      </c>
      <c r="L103" s="319">
        <f>CS_PID!L103/VLOOKUP($B103,LEBT[#ALL],4)/VLOOKUP($B103,표2[#ALL],2)</f>
        <v>518.8499556</v>
      </c>
      <c r="M103" s="319">
        <f>CS_PID!M103/VLOOKUP($B103,LEBT[#ALL],4)/VLOOKUP($B103,표2[#ALL],2)</f>
        <v>0</v>
      </c>
      <c r="N103" s="319">
        <f>CS_PID!N103/VLOOKUP($B103,LEBT[#ALL],4)/VLOOKUP($B103,표2[#ALL],2)</f>
        <v>0</v>
      </c>
      <c r="O103" s="319">
        <f>CS_PID!O103/VLOOKUP($B103,LEBT[#ALL],4)/VLOOKUP($B103,표2[#ALL],2)</f>
        <v>0</v>
      </c>
      <c r="P103" s="319">
        <f>CS_PID!P103/VLOOKUP($B103,LEBT[#ALL],4)/VLOOKUP($B103,표2[#ALL],2)</f>
        <v>39.91153505</v>
      </c>
      <c r="Q103" s="319">
        <f>CS_PID!Q103/VLOOKUP($B103,LEBT[#ALL],4)/VLOOKUP($B103,표2[#ALL],2)</f>
        <v>159.6461402</v>
      </c>
      <c r="R103" s="319">
        <f>CS_PID!R103/VLOOKUP($B103,LEBT[#ALL],4)/VLOOKUP($B103,표2[#ALL],2)</f>
        <v>399.1153505</v>
      </c>
      <c r="S103" s="319">
        <f>CS_PID!S103/VLOOKUP($B103,LEBT[#ALL],4)/VLOOKUP($B103,표2[#ALL],2)</f>
        <v>119.7346051</v>
      </c>
      <c r="T103" s="319">
        <f>CS_PID!T103/VLOOKUP($B103,LEBT[#ALL],4)/VLOOKUP($B103,표2[#ALL],2)</f>
        <v>0</v>
      </c>
      <c r="U103" s="319">
        <f>CS_PID!U103/VLOOKUP($B103,LEBT[#ALL],4)/VLOOKUP($B103,표2[#ALL],2)</f>
        <v>0</v>
      </c>
      <c r="V103" s="319">
        <f>CS_PID!V103/VLOOKUP($B103,LEBT[#ALL],4)/VLOOKUP($B103,표2[#ALL],2)</f>
        <v>0</v>
      </c>
      <c r="W103" s="319">
        <f>CS_PID!W103/VLOOKUP($B103,LEBT[#ALL],4)/VLOOKUP($B103,표2[#ALL],2)</f>
        <v>119.7346051</v>
      </c>
      <c r="X103" s="319">
        <f>CS_PID!X103/VLOOKUP($B103,LEBT[#ALL],4)/VLOOKUP($B103,표2[#ALL],2)</f>
        <v>478.9384206</v>
      </c>
      <c r="Y103" s="319">
        <f>CS_PID!Y103/VLOOKUP($B103,LEBT[#ALL],4)/VLOOKUP($B103,표2[#ALL],2)</f>
        <v>0</v>
      </c>
      <c r="Z103" s="319">
        <f>CS_PID!Z103/VLOOKUP($B103,LEBT[#ALL],4)/VLOOKUP($B103,표2[#ALL],2)</f>
        <v>0</v>
      </c>
      <c r="AA103" s="319">
        <f>CS_PID!AA103/VLOOKUP($B103,LEBT[#ALL],4)/VLOOKUP($B103,표2[#ALL],2)</f>
        <v>0</v>
      </c>
      <c r="AB103" s="319">
        <f>CS_PID!AB103/VLOOKUP($B103,LEBT[#ALL],4)/VLOOKUP($B103,표2[#ALL],2)</f>
        <v>0</v>
      </c>
      <c r="AC103" s="319">
        <f>CS_PID!AC103/VLOOKUP($B103,LEBT[#ALL],4)/VLOOKUP($B103,표2[#ALL],2)</f>
        <v>79.8230701</v>
      </c>
      <c r="AD103" s="319">
        <f>CS_PID!AD103/VLOOKUP($B103,LEBT[#ALL],4)/VLOOKUP($B103,표2[#ALL],2)</f>
        <v>79.8230701</v>
      </c>
      <c r="AE103" s="319">
        <f>CS_PID!AE103/VLOOKUP($B103,LEBT[#ALL],4)/VLOOKUP($B103,표2[#ALL],2)</f>
        <v>0</v>
      </c>
      <c r="AF103" s="319">
        <f>CS_PID!AF103/VLOOKUP($B103,LEBT[#ALL],4)/VLOOKUP($B103,표2[#ALL],2)</f>
        <v>0</v>
      </c>
      <c r="AG103" s="319">
        <f>CS_PID!AG103/VLOOKUP($B103,LEBT[#ALL],4)/VLOOKUP($B103,표2[#ALL],2)</f>
        <v>0</v>
      </c>
      <c r="AH103" s="319">
        <f>CS_PID!AH103/VLOOKUP($B103,LEBT[#ALL],4)/VLOOKUP($B103,표2[#ALL],2)</f>
        <v>0</v>
      </c>
      <c r="AI103" s="319">
        <f>CS_PID!AI103/VLOOKUP($B103,LEBT[#ALL],4)/VLOOKUP($B103,표2[#ALL],2)</f>
        <v>0</v>
      </c>
      <c r="AJ103" s="319">
        <f>CS_PID!AJ103/VLOOKUP($B103,LEBT[#ALL],4)/VLOOKUP($B103,표2[#ALL],2)</f>
        <v>199.5576752</v>
      </c>
      <c r="AK103" s="319">
        <f>CS_PID!AK103/VLOOKUP($B103,LEBT[#ALL],4)/VLOOKUP($B103,표2[#ALL],2)</f>
        <v>0</v>
      </c>
      <c r="AL103" s="319">
        <f>CS_PID!AL103/VLOOKUP($B103,LEBT[#ALL],4)/VLOOKUP($B103,표2[#ALL],2)</f>
        <v>0</v>
      </c>
      <c r="AM103" s="319">
        <f>CS_PID!AM103/VLOOKUP($B103,LEBT[#ALL],4)/VLOOKUP($B103,표2[#ALL],2)</f>
        <v>0</v>
      </c>
      <c r="AN103" s="319">
        <f>CS_PID!AN103/VLOOKUP($B103,LEBT[#ALL],4)/VLOOKUP($B103,표2[#ALL],2)</f>
        <v>0</v>
      </c>
      <c r="AO103" s="319">
        <f>CS_PID!AO103/VLOOKUP($B103,LEBT[#ALL],4)/VLOOKUP($B103,표2[#ALL],2)</f>
        <v>79.8230701</v>
      </c>
      <c r="AP103" s="319">
        <f>CS_PID!AP103/VLOOKUP($B103,LEBT[#ALL],4)/VLOOKUP($B103,표2[#ALL],2)</f>
        <v>0</v>
      </c>
      <c r="AQ103" s="319">
        <f>CS_PID!AQ103/VLOOKUP($B103,LEBT[#ALL],4)/VLOOKUP($B103,표2[#ALL],2)</f>
        <v>0</v>
      </c>
      <c r="AR103" s="319">
        <f>CS_PID!AR103/VLOOKUP($B103,LEBT[#ALL],4)/VLOOKUP($B103,표2[#ALL],2)</f>
        <v>0</v>
      </c>
      <c r="AS103" s="319">
        <f>CS_PID!AS103/VLOOKUP($B103,LEBT[#ALL],4)/VLOOKUP($B103,표2[#ALL],2)</f>
        <v>0</v>
      </c>
    </row>
    <row r="104">
      <c r="A104" s="177" t="s">
        <v>84</v>
      </c>
      <c r="B104" s="178">
        <v>378.0</v>
      </c>
      <c r="C104" s="319">
        <f>CS_PID!C104/VLOOKUP($B104,LEBT[#ALL],4)/VLOOKUP($B104,표2[#ALL],2)</f>
        <v>0</v>
      </c>
      <c r="D104" s="319">
        <f>CS_PID!D104/VLOOKUP($B104,LEBT[#ALL],4)/VLOOKUP($B104,표2[#ALL],2)</f>
        <v>0</v>
      </c>
      <c r="E104" s="319">
        <f>CS_PID!E104/VLOOKUP($B104,LEBT[#ALL],4)/VLOOKUP($B104,표2[#ALL],2)</f>
        <v>0</v>
      </c>
      <c r="F104" s="319">
        <f>CS_PID!F104/VLOOKUP($B104,LEBT[#ALL],4)/VLOOKUP($B104,표2[#ALL],2)</f>
        <v>759.9433715</v>
      </c>
      <c r="G104" s="319">
        <f>CS_PID!G104/VLOOKUP($B104,LEBT[#ALL],4)/VLOOKUP($B104,표2[#ALL],2)</f>
        <v>0</v>
      </c>
      <c r="H104" s="319">
        <f>CS_PID!H104/VLOOKUP($B104,LEBT[#ALL],4)/VLOOKUP($B104,표2[#ALL],2)</f>
        <v>0</v>
      </c>
      <c r="I104" s="319">
        <f>CS_PID!I104/VLOOKUP($B104,LEBT[#ALL],4)/VLOOKUP($B104,표2[#ALL],2)</f>
        <v>0</v>
      </c>
      <c r="J104" s="319">
        <f>CS_PID!J104/VLOOKUP($B104,LEBT[#ALL],4)/VLOOKUP($B104,표2[#ALL],2)</f>
        <v>0</v>
      </c>
      <c r="K104" s="319">
        <f>CS_PID!K104/VLOOKUP($B104,LEBT[#ALL],4)/VLOOKUP($B104,표2[#ALL],2)</f>
        <v>253.3144572</v>
      </c>
      <c r="L104" s="319">
        <f>CS_PID!L104/VLOOKUP($B104,LEBT[#ALL],4)/VLOOKUP($B104,표2[#ALL],2)</f>
        <v>506.6289143</v>
      </c>
      <c r="M104" s="319">
        <f>CS_PID!M104/VLOOKUP($B104,LEBT[#ALL],4)/VLOOKUP($B104,표2[#ALL],2)</f>
        <v>0</v>
      </c>
      <c r="N104" s="319">
        <f>CS_PID!N104/VLOOKUP($B104,LEBT[#ALL],4)/VLOOKUP($B104,표2[#ALL],2)</f>
        <v>0</v>
      </c>
      <c r="O104" s="319">
        <f>CS_PID!O104/VLOOKUP($B104,LEBT[#ALL],4)/VLOOKUP($B104,표2[#ALL],2)</f>
        <v>0</v>
      </c>
      <c r="P104" s="319">
        <f>CS_PID!P104/VLOOKUP($B104,LEBT[#ALL],4)/VLOOKUP($B104,표2[#ALL],2)</f>
        <v>0</v>
      </c>
      <c r="Q104" s="319">
        <f>CS_PID!Q104/VLOOKUP($B104,LEBT[#ALL],4)/VLOOKUP($B104,표2[#ALL],2)</f>
        <v>759.9433715</v>
      </c>
      <c r="R104" s="319">
        <f>CS_PID!R104/VLOOKUP($B104,LEBT[#ALL],4)/VLOOKUP($B104,표2[#ALL],2)</f>
        <v>0</v>
      </c>
      <c r="S104" s="319">
        <f>CS_PID!S104/VLOOKUP($B104,LEBT[#ALL],4)/VLOOKUP($B104,표2[#ALL],2)</f>
        <v>0</v>
      </c>
      <c r="T104" s="319">
        <f>CS_PID!T104/VLOOKUP($B104,LEBT[#ALL],4)/VLOOKUP($B104,표2[#ALL],2)</f>
        <v>0</v>
      </c>
      <c r="U104" s="319">
        <f>CS_PID!U104/VLOOKUP($B104,LEBT[#ALL],4)/VLOOKUP($B104,표2[#ALL],2)</f>
        <v>0</v>
      </c>
      <c r="V104" s="319">
        <f>CS_PID!V104/VLOOKUP($B104,LEBT[#ALL],4)/VLOOKUP($B104,표2[#ALL],2)</f>
        <v>0</v>
      </c>
      <c r="W104" s="319">
        <f>CS_PID!W104/VLOOKUP($B104,LEBT[#ALL],4)/VLOOKUP($B104,표2[#ALL],2)</f>
        <v>0</v>
      </c>
      <c r="X104" s="319">
        <f>CS_PID!X104/VLOOKUP($B104,LEBT[#ALL],4)/VLOOKUP($B104,표2[#ALL],2)</f>
        <v>1013.257829</v>
      </c>
      <c r="Y104" s="319">
        <f>CS_PID!Y104/VLOOKUP($B104,LEBT[#ALL],4)/VLOOKUP($B104,표2[#ALL],2)</f>
        <v>253.3144572</v>
      </c>
      <c r="Z104" s="319">
        <f>CS_PID!Z104/VLOOKUP($B104,LEBT[#ALL],4)/VLOOKUP($B104,표2[#ALL],2)</f>
        <v>0</v>
      </c>
      <c r="AA104" s="319">
        <f>CS_PID!AA104/VLOOKUP($B104,LEBT[#ALL],4)/VLOOKUP($B104,표2[#ALL],2)</f>
        <v>0</v>
      </c>
      <c r="AB104" s="319">
        <f>CS_PID!AB104/VLOOKUP($B104,LEBT[#ALL],4)/VLOOKUP($B104,표2[#ALL],2)</f>
        <v>0</v>
      </c>
      <c r="AC104" s="319">
        <f>CS_PID!AC104/VLOOKUP($B104,LEBT[#ALL],4)/VLOOKUP($B104,표2[#ALL],2)</f>
        <v>0</v>
      </c>
      <c r="AD104" s="319">
        <f>CS_PID!AD104/VLOOKUP($B104,LEBT[#ALL],4)/VLOOKUP($B104,표2[#ALL],2)</f>
        <v>0</v>
      </c>
      <c r="AE104" s="319">
        <f>CS_PID!AE104/VLOOKUP($B104,LEBT[#ALL],4)/VLOOKUP($B104,표2[#ALL],2)</f>
        <v>0</v>
      </c>
      <c r="AF104" s="319">
        <f>CS_PID!AF104/VLOOKUP($B104,LEBT[#ALL],4)/VLOOKUP($B104,표2[#ALL],2)</f>
        <v>0</v>
      </c>
      <c r="AG104" s="319">
        <f>CS_PID!AG104/VLOOKUP($B104,LEBT[#ALL],4)/VLOOKUP($B104,표2[#ALL],2)</f>
        <v>0</v>
      </c>
      <c r="AH104" s="319">
        <f>CS_PID!AH104/VLOOKUP($B104,LEBT[#ALL],4)/VLOOKUP($B104,표2[#ALL],2)</f>
        <v>0</v>
      </c>
      <c r="AI104" s="319">
        <f>CS_PID!AI104/VLOOKUP($B104,LEBT[#ALL],4)/VLOOKUP($B104,표2[#ALL],2)</f>
        <v>0</v>
      </c>
      <c r="AJ104" s="319">
        <f>CS_PID!AJ104/VLOOKUP($B104,LEBT[#ALL],4)/VLOOKUP($B104,표2[#ALL],2)</f>
        <v>0</v>
      </c>
      <c r="AK104" s="319">
        <f>CS_PID!AK104/VLOOKUP($B104,LEBT[#ALL],4)/VLOOKUP($B104,표2[#ALL],2)</f>
        <v>0</v>
      </c>
      <c r="AL104" s="319">
        <f>CS_PID!AL104/VLOOKUP($B104,LEBT[#ALL],4)/VLOOKUP($B104,표2[#ALL],2)</f>
        <v>0</v>
      </c>
      <c r="AM104" s="319">
        <f>CS_PID!AM104/VLOOKUP($B104,LEBT[#ALL],4)/VLOOKUP($B104,표2[#ALL],2)</f>
        <v>0</v>
      </c>
      <c r="AN104" s="319">
        <f>CS_PID!AN104/VLOOKUP($B104,LEBT[#ALL],4)/VLOOKUP($B104,표2[#ALL],2)</f>
        <v>0</v>
      </c>
      <c r="AO104" s="319">
        <f>CS_PID!AO104/VLOOKUP($B104,LEBT[#ALL],4)/VLOOKUP($B104,표2[#ALL],2)</f>
        <v>0</v>
      </c>
      <c r="AP104" s="319">
        <f>CS_PID!AP104/VLOOKUP($B104,LEBT[#ALL],4)/VLOOKUP($B104,표2[#ALL],2)</f>
        <v>0</v>
      </c>
      <c r="AQ104" s="319">
        <f>CS_PID!AQ104/VLOOKUP($B104,LEBT[#ALL],4)/VLOOKUP($B104,표2[#ALL],2)</f>
        <v>0</v>
      </c>
      <c r="AR104" s="319">
        <f>CS_PID!AR104/VLOOKUP($B104,LEBT[#ALL],4)/VLOOKUP($B104,표2[#ALL],2)</f>
        <v>0</v>
      </c>
      <c r="AS104" s="319">
        <f>CS_PID!AS104/VLOOKUP($B104,LEBT[#ALL],4)/VLOOKUP($B104,표2[#ALL],2)</f>
        <v>0</v>
      </c>
    </row>
    <row r="105">
      <c r="A105" s="177" t="s">
        <v>84</v>
      </c>
      <c r="B105" s="178">
        <v>379.0</v>
      </c>
      <c r="C105" s="319">
        <f>CS_PID!C105/VLOOKUP($B105,LEBT[#ALL],4)/VLOOKUP($B105,표2[#ALL],2)</f>
        <v>0</v>
      </c>
      <c r="D105" s="319">
        <f>CS_PID!D105/VLOOKUP($B105,LEBT[#ALL],4)/VLOOKUP($B105,표2[#ALL],2)</f>
        <v>0</v>
      </c>
      <c r="E105" s="319">
        <f>CS_PID!E105/VLOOKUP($B105,LEBT[#ALL],4)/VLOOKUP($B105,표2[#ALL],2)</f>
        <v>0</v>
      </c>
      <c r="F105" s="319">
        <f>CS_PID!F105/VLOOKUP($B105,LEBT[#ALL],4)/VLOOKUP($B105,표2[#ALL],2)</f>
        <v>877.4190206</v>
      </c>
      <c r="G105" s="319">
        <f>CS_PID!G105/VLOOKUP($B105,LEBT[#ALL],4)/VLOOKUP($B105,표2[#ALL],2)</f>
        <v>175.4838041</v>
      </c>
      <c r="H105" s="319">
        <f>CS_PID!H105/VLOOKUP($B105,LEBT[#ALL],4)/VLOOKUP($B105,표2[#ALL],2)</f>
        <v>0</v>
      </c>
      <c r="I105" s="319">
        <f>CS_PID!I105/VLOOKUP($B105,LEBT[#ALL],4)/VLOOKUP($B105,표2[#ALL],2)</f>
        <v>0</v>
      </c>
      <c r="J105" s="319">
        <f>CS_PID!J105/VLOOKUP($B105,LEBT[#ALL],4)/VLOOKUP($B105,표2[#ALL],2)</f>
        <v>0</v>
      </c>
      <c r="K105" s="319">
        <f>CS_PID!K105/VLOOKUP($B105,LEBT[#ALL],4)/VLOOKUP($B105,표2[#ALL],2)</f>
        <v>701.9352165</v>
      </c>
      <c r="L105" s="319">
        <f>CS_PID!L105/VLOOKUP($B105,LEBT[#ALL],4)/VLOOKUP($B105,표2[#ALL],2)</f>
        <v>175.4838041</v>
      </c>
      <c r="M105" s="319">
        <f>CS_PID!M105/VLOOKUP($B105,LEBT[#ALL],4)/VLOOKUP($B105,표2[#ALL],2)</f>
        <v>0</v>
      </c>
      <c r="N105" s="319">
        <f>CS_PID!N105/VLOOKUP($B105,LEBT[#ALL],4)/VLOOKUP($B105,표2[#ALL],2)</f>
        <v>0</v>
      </c>
      <c r="O105" s="319">
        <f>CS_PID!O105/VLOOKUP($B105,LEBT[#ALL],4)/VLOOKUP($B105,표2[#ALL],2)</f>
        <v>0</v>
      </c>
      <c r="P105" s="319">
        <f>CS_PID!P105/VLOOKUP($B105,LEBT[#ALL],4)/VLOOKUP($B105,표2[#ALL],2)</f>
        <v>0</v>
      </c>
      <c r="Q105" s="319">
        <f>CS_PID!Q105/VLOOKUP($B105,LEBT[#ALL],4)/VLOOKUP($B105,표2[#ALL],2)</f>
        <v>526.4514124</v>
      </c>
      <c r="R105" s="319">
        <f>CS_PID!R105/VLOOKUP($B105,LEBT[#ALL],4)/VLOOKUP($B105,표2[#ALL],2)</f>
        <v>0</v>
      </c>
      <c r="S105" s="319">
        <f>CS_PID!S105/VLOOKUP($B105,LEBT[#ALL],4)/VLOOKUP($B105,표2[#ALL],2)</f>
        <v>0</v>
      </c>
      <c r="T105" s="319">
        <f>CS_PID!T105/VLOOKUP($B105,LEBT[#ALL],4)/VLOOKUP($B105,표2[#ALL],2)</f>
        <v>0</v>
      </c>
      <c r="U105" s="319">
        <f>CS_PID!U105/VLOOKUP($B105,LEBT[#ALL],4)/VLOOKUP($B105,표2[#ALL],2)</f>
        <v>0</v>
      </c>
      <c r="V105" s="319">
        <f>CS_PID!V105/VLOOKUP($B105,LEBT[#ALL],4)/VLOOKUP($B105,표2[#ALL],2)</f>
        <v>0</v>
      </c>
      <c r="W105" s="319">
        <f>CS_PID!W105/VLOOKUP($B105,LEBT[#ALL],4)/VLOOKUP($B105,표2[#ALL],2)</f>
        <v>175.4838041</v>
      </c>
      <c r="X105" s="319">
        <f>CS_PID!X105/VLOOKUP($B105,LEBT[#ALL],4)/VLOOKUP($B105,표2[#ALL],2)</f>
        <v>350.9676082</v>
      </c>
      <c r="Y105" s="319">
        <f>CS_PID!Y105/VLOOKUP($B105,LEBT[#ALL],4)/VLOOKUP($B105,표2[#ALL],2)</f>
        <v>175.4838041</v>
      </c>
      <c r="Z105" s="319">
        <f>CS_PID!Z105/VLOOKUP($B105,LEBT[#ALL],4)/VLOOKUP($B105,표2[#ALL],2)</f>
        <v>0</v>
      </c>
      <c r="AA105" s="319">
        <f>CS_PID!AA105/VLOOKUP($B105,LEBT[#ALL],4)/VLOOKUP($B105,표2[#ALL],2)</f>
        <v>0</v>
      </c>
      <c r="AB105" s="319">
        <f>CS_PID!AB105/VLOOKUP($B105,LEBT[#ALL],4)/VLOOKUP($B105,표2[#ALL],2)</f>
        <v>0</v>
      </c>
      <c r="AC105" s="319">
        <f>CS_PID!AC105/VLOOKUP($B105,LEBT[#ALL],4)/VLOOKUP($B105,표2[#ALL],2)</f>
        <v>0</v>
      </c>
      <c r="AD105" s="319">
        <f>CS_PID!AD105/VLOOKUP($B105,LEBT[#ALL],4)/VLOOKUP($B105,표2[#ALL],2)</f>
        <v>350.9676082</v>
      </c>
      <c r="AE105" s="319">
        <f>CS_PID!AE105/VLOOKUP($B105,LEBT[#ALL],4)/VLOOKUP($B105,표2[#ALL],2)</f>
        <v>0</v>
      </c>
      <c r="AF105" s="319">
        <f>CS_PID!AF105/VLOOKUP($B105,LEBT[#ALL],4)/VLOOKUP($B105,표2[#ALL],2)</f>
        <v>0</v>
      </c>
      <c r="AG105" s="319">
        <f>CS_PID!AG105/VLOOKUP($B105,LEBT[#ALL],4)/VLOOKUP($B105,표2[#ALL],2)</f>
        <v>0</v>
      </c>
      <c r="AH105" s="319">
        <f>CS_PID!AH105/VLOOKUP($B105,LEBT[#ALL],4)/VLOOKUP($B105,표2[#ALL],2)</f>
        <v>0</v>
      </c>
      <c r="AI105" s="319">
        <f>CS_PID!AI105/VLOOKUP($B105,LEBT[#ALL],4)/VLOOKUP($B105,표2[#ALL],2)</f>
        <v>175.4838041</v>
      </c>
      <c r="AJ105" s="319">
        <f>CS_PID!AJ105/VLOOKUP($B105,LEBT[#ALL],4)/VLOOKUP($B105,표2[#ALL],2)</f>
        <v>0</v>
      </c>
      <c r="AK105" s="319">
        <f>CS_PID!AK105/VLOOKUP($B105,LEBT[#ALL],4)/VLOOKUP($B105,표2[#ALL],2)</f>
        <v>0</v>
      </c>
      <c r="AL105" s="319">
        <f>CS_PID!AL105/VLOOKUP($B105,LEBT[#ALL],4)/VLOOKUP($B105,표2[#ALL],2)</f>
        <v>0</v>
      </c>
      <c r="AM105" s="319">
        <f>CS_PID!AM105/VLOOKUP($B105,LEBT[#ALL],4)/VLOOKUP($B105,표2[#ALL],2)</f>
        <v>0</v>
      </c>
      <c r="AN105" s="319">
        <f>CS_PID!AN105/VLOOKUP($B105,LEBT[#ALL],4)/VLOOKUP($B105,표2[#ALL],2)</f>
        <v>0</v>
      </c>
      <c r="AO105" s="319">
        <f>CS_PID!AO105/VLOOKUP($B105,LEBT[#ALL],4)/VLOOKUP($B105,표2[#ALL],2)</f>
        <v>0</v>
      </c>
      <c r="AP105" s="319">
        <f>CS_PID!AP105/VLOOKUP($B105,LEBT[#ALL],4)/VLOOKUP($B105,표2[#ALL],2)</f>
        <v>0</v>
      </c>
      <c r="AQ105" s="319">
        <f>CS_PID!AQ105/VLOOKUP($B105,LEBT[#ALL],4)/VLOOKUP($B105,표2[#ALL],2)</f>
        <v>0</v>
      </c>
      <c r="AR105" s="319">
        <f>CS_PID!AR105/VLOOKUP($B105,LEBT[#ALL],4)/VLOOKUP($B105,표2[#ALL],2)</f>
        <v>0</v>
      </c>
      <c r="AS105" s="319">
        <f>CS_PID!AS105/VLOOKUP($B105,LEBT[#ALL],4)/VLOOKUP($B105,표2[#ALL],2)</f>
        <v>0</v>
      </c>
    </row>
    <row r="106">
      <c r="A106" s="177" t="s">
        <v>84</v>
      </c>
      <c r="B106" s="178">
        <v>380.0</v>
      </c>
      <c r="C106" s="319">
        <f>CS_PID!C106/VLOOKUP($B106,LEBT[#ALL],4)/VLOOKUP($B106,표2[#ALL],2)</f>
        <v>0</v>
      </c>
      <c r="D106" s="319">
        <f>CS_PID!D106/VLOOKUP($B106,LEBT[#ALL],4)/VLOOKUP($B106,표2[#ALL],2)</f>
        <v>0</v>
      </c>
      <c r="E106" s="319">
        <f>CS_PID!E106/VLOOKUP($B106,LEBT[#ALL],4)/VLOOKUP($B106,표2[#ALL],2)</f>
        <v>0</v>
      </c>
      <c r="F106" s="319">
        <f>CS_PID!F106/VLOOKUP($B106,LEBT[#ALL],4)/VLOOKUP($B106,표2[#ALL],2)</f>
        <v>264.0714726</v>
      </c>
      <c r="G106" s="319">
        <f>CS_PID!G106/VLOOKUP($B106,LEBT[#ALL],4)/VLOOKUP($B106,표2[#ALL],2)</f>
        <v>0</v>
      </c>
      <c r="H106" s="319">
        <f>CS_PID!H106/VLOOKUP($B106,LEBT[#ALL],4)/VLOOKUP($B106,표2[#ALL],2)</f>
        <v>0</v>
      </c>
      <c r="I106" s="319">
        <f>CS_PID!I106/VLOOKUP($B106,LEBT[#ALL],4)/VLOOKUP($B106,표2[#ALL],2)</f>
        <v>0</v>
      </c>
      <c r="J106" s="319">
        <f>CS_PID!J106/VLOOKUP($B106,LEBT[#ALL],4)/VLOOKUP($B106,표2[#ALL],2)</f>
        <v>264.0714726</v>
      </c>
      <c r="K106" s="319">
        <f>CS_PID!K106/VLOOKUP($B106,LEBT[#ALL],4)/VLOOKUP($B106,표2[#ALL],2)</f>
        <v>1320.357363</v>
      </c>
      <c r="L106" s="319">
        <f>CS_PID!L106/VLOOKUP($B106,LEBT[#ALL],4)/VLOOKUP($B106,표2[#ALL],2)</f>
        <v>528.1429451</v>
      </c>
      <c r="M106" s="319">
        <f>CS_PID!M106/VLOOKUP($B106,LEBT[#ALL],4)/VLOOKUP($B106,표2[#ALL],2)</f>
        <v>264.0714726</v>
      </c>
      <c r="N106" s="319">
        <f>CS_PID!N106/VLOOKUP($B106,LEBT[#ALL],4)/VLOOKUP($B106,표2[#ALL],2)</f>
        <v>0</v>
      </c>
      <c r="O106" s="319">
        <f>CS_PID!O106/VLOOKUP($B106,LEBT[#ALL],4)/VLOOKUP($B106,표2[#ALL],2)</f>
        <v>0</v>
      </c>
      <c r="P106" s="319">
        <f>CS_PID!P106/VLOOKUP($B106,LEBT[#ALL],4)/VLOOKUP($B106,표2[#ALL],2)</f>
        <v>0</v>
      </c>
      <c r="Q106" s="319">
        <f>CS_PID!Q106/VLOOKUP($B106,LEBT[#ALL],4)/VLOOKUP($B106,표2[#ALL],2)</f>
        <v>528.1429451</v>
      </c>
      <c r="R106" s="319">
        <f>CS_PID!R106/VLOOKUP($B106,LEBT[#ALL],4)/VLOOKUP($B106,표2[#ALL],2)</f>
        <v>264.0714726</v>
      </c>
      <c r="S106" s="319">
        <f>CS_PID!S106/VLOOKUP($B106,LEBT[#ALL],4)/VLOOKUP($B106,표2[#ALL],2)</f>
        <v>0</v>
      </c>
      <c r="T106" s="319">
        <f>CS_PID!T106/VLOOKUP($B106,LEBT[#ALL],4)/VLOOKUP($B106,표2[#ALL],2)</f>
        <v>0</v>
      </c>
      <c r="U106" s="319">
        <f>CS_PID!U106/VLOOKUP($B106,LEBT[#ALL],4)/VLOOKUP($B106,표2[#ALL],2)</f>
        <v>0</v>
      </c>
      <c r="V106" s="319">
        <f>CS_PID!V106/VLOOKUP($B106,LEBT[#ALL],4)/VLOOKUP($B106,표2[#ALL],2)</f>
        <v>0</v>
      </c>
      <c r="W106" s="319">
        <f>CS_PID!W106/VLOOKUP($B106,LEBT[#ALL],4)/VLOOKUP($B106,표2[#ALL],2)</f>
        <v>0</v>
      </c>
      <c r="X106" s="319">
        <f>CS_PID!X106/VLOOKUP($B106,LEBT[#ALL],4)/VLOOKUP($B106,표2[#ALL],2)</f>
        <v>792.2144177</v>
      </c>
      <c r="Y106" s="319">
        <f>CS_PID!Y106/VLOOKUP($B106,LEBT[#ALL],4)/VLOOKUP($B106,표2[#ALL],2)</f>
        <v>0</v>
      </c>
      <c r="Z106" s="319">
        <f>CS_PID!Z106/VLOOKUP($B106,LEBT[#ALL],4)/VLOOKUP($B106,표2[#ALL],2)</f>
        <v>0</v>
      </c>
      <c r="AA106" s="319">
        <f>CS_PID!AA106/VLOOKUP($B106,LEBT[#ALL],4)/VLOOKUP($B106,표2[#ALL],2)</f>
        <v>0</v>
      </c>
      <c r="AB106" s="319">
        <f>CS_PID!AB106/VLOOKUP($B106,LEBT[#ALL],4)/VLOOKUP($B106,표2[#ALL],2)</f>
        <v>0</v>
      </c>
      <c r="AC106" s="319">
        <f>CS_PID!AC106/VLOOKUP($B106,LEBT[#ALL],4)/VLOOKUP($B106,표2[#ALL],2)</f>
        <v>0</v>
      </c>
      <c r="AD106" s="319">
        <f>CS_PID!AD106/VLOOKUP($B106,LEBT[#ALL],4)/VLOOKUP($B106,표2[#ALL],2)</f>
        <v>0</v>
      </c>
      <c r="AE106" s="319">
        <f>CS_PID!AE106/VLOOKUP($B106,LEBT[#ALL],4)/VLOOKUP($B106,표2[#ALL],2)</f>
        <v>0</v>
      </c>
      <c r="AF106" s="319">
        <f>CS_PID!AF106/VLOOKUP($B106,LEBT[#ALL],4)/VLOOKUP($B106,표2[#ALL],2)</f>
        <v>0</v>
      </c>
      <c r="AG106" s="319">
        <f>CS_PID!AG106/VLOOKUP($B106,LEBT[#ALL],4)/VLOOKUP($B106,표2[#ALL],2)</f>
        <v>0</v>
      </c>
      <c r="AH106" s="319">
        <f>CS_PID!AH106/VLOOKUP($B106,LEBT[#ALL],4)/VLOOKUP($B106,표2[#ALL],2)</f>
        <v>0</v>
      </c>
      <c r="AI106" s="319">
        <f>CS_PID!AI106/VLOOKUP($B106,LEBT[#ALL],4)/VLOOKUP($B106,표2[#ALL],2)</f>
        <v>0</v>
      </c>
      <c r="AJ106" s="319">
        <f>CS_PID!AJ106/VLOOKUP($B106,LEBT[#ALL],4)/VLOOKUP($B106,표2[#ALL],2)</f>
        <v>264.0714726</v>
      </c>
      <c r="AK106" s="319">
        <f>CS_PID!AK106/VLOOKUP($B106,LEBT[#ALL],4)/VLOOKUP($B106,표2[#ALL],2)</f>
        <v>0</v>
      </c>
      <c r="AL106" s="319">
        <f>CS_PID!AL106/VLOOKUP($B106,LEBT[#ALL],4)/VLOOKUP($B106,표2[#ALL],2)</f>
        <v>0</v>
      </c>
      <c r="AM106" s="319">
        <f>CS_PID!AM106/VLOOKUP($B106,LEBT[#ALL],4)/VLOOKUP($B106,표2[#ALL],2)</f>
        <v>0</v>
      </c>
      <c r="AN106" s="319">
        <f>CS_PID!AN106/VLOOKUP($B106,LEBT[#ALL],4)/VLOOKUP($B106,표2[#ALL],2)</f>
        <v>0</v>
      </c>
      <c r="AO106" s="319">
        <f>CS_PID!AO106/VLOOKUP($B106,LEBT[#ALL],4)/VLOOKUP($B106,표2[#ALL],2)</f>
        <v>0</v>
      </c>
      <c r="AP106" s="319">
        <f>CS_PID!AP106/VLOOKUP($B106,LEBT[#ALL],4)/VLOOKUP($B106,표2[#ALL],2)</f>
        <v>0</v>
      </c>
      <c r="AQ106" s="319">
        <f>CS_PID!AQ106/VLOOKUP($B106,LEBT[#ALL],4)/VLOOKUP($B106,표2[#ALL],2)</f>
        <v>0</v>
      </c>
      <c r="AR106" s="319">
        <f>CS_PID!AR106/VLOOKUP($B106,LEBT[#ALL],4)/VLOOKUP($B106,표2[#ALL],2)</f>
        <v>0</v>
      </c>
      <c r="AS106" s="319">
        <f>CS_PID!AS106/VLOOKUP($B106,LEBT[#ALL],4)/VLOOKUP($B106,표2[#ALL],2)</f>
        <v>0</v>
      </c>
    </row>
    <row r="107">
      <c r="A107" s="177" t="s">
        <v>84</v>
      </c>
      <c r="B107" s="178">
        <v>381.0</v>
      </c>
      <c r="C107" s="319">
        <f>CS_PID!C107/VLOOKUP($B107,LEBT[#ALL],4)/VLOOKUP($B107,표2[#ALL],2)</f>
        <v>0</v>
      </c>
      <c r="D107" s="319">
        <f>CS_PID!D107/VLOOKUP($B107,LEBT[#ALL],4)/VLOOKUP($B107,표2[#ALL],2)</f>
        <v>0</v>
      </c>
      <c r="E107" s="319">
        <f>CS_PID!E107/VLOOKUP($B107,LEBT[#ALL],4)/VLOOKUP($B107,표2[#ALL],2)</f>
        <v>0</v>
      </c>
      <c r="F107" s="319">
        <f>CS_PID!F107/VLOOKUP($B107,LEBT[#ALL],4)/VLOOKUP($B107,표2[#ALL],2)</f>
        <v>513.2999486</v>
      </c>
      <c r="G107" s="319">
        <f>CS_PID!G107/VLOOKUP($B107,LEBT[#ALL],4)/VLOOKUP($B107,표2[#ALL],2)</f>
        <v>0</v>
      </c>
      <c r="H107" s="319">
        <f>CS_PID!H107/VLOOKUP($B107,LEBT[#ALL],4)/VLOOKUP($B107,표2[#ALL],2)</f>
        <v>0</v>
      </c>
      <c r="I107" s="319">
        <f>CS_PID!I107/VLOOKUP($B107,LEBT[#ALL],4)/VLOOKUP($B107,표2[#ALL],2)</f>
        <v>0</v>
      </c>
      <c r="J107" s="319">
        <f>CS_PID!J107/VLOOKUP($B107,LEBT[#ALL],4)/VLOOKUP($B107,표2[#ALL],2)</f>
        <v>0</v>
      </c>
      <c r="K107" s="319">
        <f>CS_PID!K107/VLOOKUP($B107,LEBT[#ALL],4)/VLOOKUP($B107,표2[#ALL],2)</f>
        <v>256.6499743</v>
      </c>
      <c r="L107" s="319">
        <f>CS_PID!L107/VLOOKUP($B107,LEBT[#ALL],4)/VLOOKUP($B107,표2[#ALL],2)</f>
        <v>513.2999486</v>
      </c>
      <c r="M107" s="319">
        <f>CS_PID!M107/VLOOKUP($B107,LEBT[#ALL],4)/VLOOKUP($B107,표2[#ALL],2)</f>
        <v>0</v>
      </c>
      <c r="N107" s="319">
        <f>CS_PID!N107/VLOOKUP($B107,LEBT[#ALL],4)/VLOOKUP($B107,표2[#ALL],2)</f>
        <v>0</v>
      </c>
      <c r="O107" s="319">
        <f>CS_PID!O107/VLOOKUP($B107,LEBT[#ALL],4)/VLOOKUP($B107,표2[#ALL],2)</f>
        <v>0</v>
      </c>
      <c r="P107" s="319">
        <f>CS_PID!P107/VLOOKUP($B107,LEBT[#ALL],4)/VLOOKUP($B107,표2[#ALL],2)</f>
        <v>0</v>
      </c>
      <c r="Q107" s="319">
        <f>CS_PID!Q107/VLOOKUP($B107,LEBT[#ALL],4)/VLOOKUP($B107,표2[#ALL],2)</f>
        <v>1026.599897</v>
      </c>
      <c r="R107" s="319">
        <f>CS_PID!R107/VLOOKUP($B107,LEBT[#ALL],4)/VLOOKUP($B107,표2[#ALL],2)</f>
        <v>769.9499229</v>
      </c>
      <c r="S107" s="319">
        <f>CS_PID!S107/VLOOKUP($B107,LEBT[#ALL],4)/VLOOKUP($B107,표2[#ALL],2)</f>
        <v>0</v>
      </c>
      <c r="T107" s="319">
        <f>CS_PID!T107/VLOOKUP($B107,LEBT[#ALL],4)/VLOOKUP($B107,표2[#ALL],2)</f>
        <v>0</v>
      </c>
      <c r="U107" s="319">
        <f>CS_PID!U107/VLOOKUP($B107,LEBT[#ALL],4)/VLOOKUP($B107,표2[#ALL],2)</f>
        <v>0</v>
      </c>
      <c r="V107" s="319">
        <f>CS_PID!V107/VLOOKUP($B107,LEBT[#ALL],4)/VLOOKUP($B107,표2[#ALL],2)</f>
        <v>0</v>
      </c>
      <c r="W107" s="319">
        <f>CS_PID!W107/VLOOKUP($B107,LEBT[#ALL],4)/VLOOKUP($B107,표2[#ALL],2)</f>
        <v>0</v>
      </c>
      <c r="X107" s="319">
        <f>CS_PID!X107/VLOOKUP($B107,LEBT[#ALL],4)/VLOOKUP($B107,표2[#ALL],2)</f>
        <v>256.6499743</v>
      </c>
      <c r="Y107" s="319">
        <f>CS_PID!Y107/VLOOKUP($B107,LEBT[#ALL],4)/VLOOKUP($B107,표2[#ALL],2)</f>
        <v>256.6499743</v>
      </c>
      <c r="Z107" s="319">
        <f>CS_PID!Z107/VLOOKUP($B107,LEBT[#ALL],4)/VLOOKUP($B107,표2[#ALL],2)</f>
        <v>0</v>
      </c>
      <c r="AA107" s="319">
        <f>CS_PID!AA107/VLOOKUP($B107,LEBT[#ALL],4)/VLOOKUP($B107,표2[#ALL],2)</f>
        <v>0</v>
      </c>
      <c r="AB107" s="319">
        <f>CS_PID!AB107/VLOOKUP($B107,LEBT[#ALL],4)/VLOOKUP($B107,표2[#ALL],2)</f>
        <v>0</v>
      </c>
      <c r="AC107" s="319">
        <f>CS_PID!AC107/VLOOKUP($B107,LEBT[#ALL],4)/VLOOKUP($B107,표2[#ALL],2)</f>
        <v>0</v>
      </c>
      <c r="AD107" s="319">
        <f>CS_PID!AD107/VLOOKUP($B107,LEBT[#ALL],4)/VLOOKUP($B107,표2[#ALL],2)</f>
        <v>0</v>
      </c>
      <c r="AE107" s="319">
        <f>CS_PID!AE107/VLOOKUP($B107,LEBT[#ALL],4)/VLOOKUP($B107,표2[#ALL],2)</f>
        <v>256.6499743</v>
      </c>
      <c r="AF107" s="319">
        <f>CS_PID!AF107/VLOOKUP($B107,LEBT[#ALL],4)/VLOOKUP($B107,표2[#ALL],2)</f>
        <v>0</v>
      </c>
      <c r="AG107" s="319">
        <f>CS_PID!AG107/VLOOKUP($B107,LEBT[#ALL],4)/VLOOKUP($B107,표2[#ALL],2)</f>
        <v>0</v>
      </c>
      <c r="AH107" s="319">
        <f>CS_PID!AH107/VLOOKUP($B107,LEBT[#ALL],4)/VLOOKUP($B107,표2[#ALL],2)</f>
        <v>0</v>
      </c>
      <c r="AI107" s="319">
        <f>CS_PID!AI107/VLOOKUP($B107,LEBT[#ALL],4)/VLOOKUP($B107,표2[#ALL],2)</f>
        <v>0</v>
      </c>
      <c r="AJ107" s="319">
        <f>CS_PID!AJ107/VLOOKUP($B107,LEBT[#ALL],4)/VLOOKUP($B107,표2[#ALL],2)</f>
        <v>256.6499743</v>
      </c>
      <c r="AK107" s="319">
        <f>CS_PID!AK107/VLOOKUP($B107,LEBT[#ALL],4)/VLOOKUP($B107,표2[#ALL],2)</f>
        <v>0</v>
      </c>
      <c r="AL107" s="319">
        <f>CS_PID!AL107/VLOOKUP($B107,LEBT[#ALL],4)/VLOOKUP($B107,표2[#ALL],2)</f>
        <v>0</v>
      </c>
      <c r="AM107" s="319">
        <f>CS_PID!AM107/VLOOKUP($B107,LEBT[#ALL],4)/VLOOKUP($B107,표2[#ALL],2)</f>
        <v>0</v>
      </c>
      <c r="AN107" s="319">
        <f>CS_PID!AN107/VLOOKUP($B107,LEBT[#ALL],4)/VLOOKUP($B107,표2[#ALL],2)</f>
        <v>0</v>
      </c>
      <c r="AO107" s="319">
        <f>CS_PID!AO107/VLOOKUP($B107,LEBT[#ALL],4)/VLOOKUP($B107,표2[#ALL],2)</f>
        <v>256.6499743</v>
      </c>
      <c r="AP107" s="319">
        <f>CS_PID!AP107/VLOOKUP($B107,LEBT[#ALL],4)/VLOOKUP($B107,표2[#ALL],2)</f>
        <v>0</v>
      </c>
      <c r="AQ107" s="319">
        <f>CS_PID!AQ107/VLOOKUP($B107,LEBT[#ALL],4)/VLOOKUP($B107,표2[#ALL],2)</f>
        <v>0</v>
      </c>
      <c r="AR107" s="319">
        <f>CS_PID!AR107/VLOOKUP($B107,LEBT[#ALL],4)/VLOOKUP($B107,표2[#ALL],2)</f>
        <v>0</v>
      </c>
      <c r="AS107" s="319">
        <f>CS_PID!AS107/VLOOKUP($B107,LEBT[#ALL],4)/VLOOKUP($B107,표2[#ALL],2)</f>
        <v>0</v>
      </c>
    </row>
    <row r="108">
      <c r="A108" s="177" t="s">
        <v>84</v>
      </c>
      <c r="B108" s="178">
        <v>382.0</v>
      </c>
      <c r="C108" s="319">
        <f>CS_PID!C108/VLOOKUP($B108,LEBT[#ALL],4)/VLOOKUP($B108,표2[#ALL],2)</f>
        <v>0</v>
      </c>
      <c r="D108" s="319">
        <f>CS_PID!D108/VLOOKUP($B108,LEBT[#ALL],4)/VLOOKUP($B108,표2[#ALL],2)</f>
        <v>0</v>
      </c>
      <c r="E108" s="319">
        <f>CS_PID!E108/VLOOKUP($B108,LEBT[#ALL],4)/VLOOKUP($B108,표2[#ALL],2)</f>
        <v>0</v>
      </c>
      <c r="F108" s="319">
        <f>CS_PID!F108/VLOOKUP($B108,LEBT[#ALL],4)/VLOOKUP($B108,표2[#ALL],2)</f>
        <v>263.336527</v>
      </c>
      <c r="G108" s="319">
        <f>CS_PID!G108/VLOOKUP($B108,LEBT[#ALL],4)/VLOOKUP($B108,표2[#ALL],2)</f>
        <v>0</v>
      </c>
      <c r="H108" s="319">
        <f>CS_PID!H108/VLOOKUP($B108,LEBT[#ALL],4)/VLOOKUP($B108,표2[#ALL],2)</f>
        <v>0</v>
      </c>
      <c r="I108" s="319">
        <f>CS_PID!I108/VLOOKUP($B108,LEBT[#ALL],4)/VLOOKUP($B108,표2[#ALL],2)</f>
        <v>0</v>
      </c>
      <c r="J108" s="319">
        <f>CS_PID!J108/VLOOKUP($B108,LEBT[#ALL],4)/VLOOKUP($B108,표2[#ALL],2)</f>
        <v>263.336527</v>
      </c>
      <c r="K108" s="319">
        <f>CS_PID!K108/VLOOKUP($B108,LEBT[#ALL],4)/VLOOKUP($B108,표2[#ALL],2)</f>
        <v>1580.019162</v>
      </c>
      <c r="L108" s="319">
        <f>CS_PID!L108/VLOOKUP($B108,LEBT[#ALL],4)/VLOOKUP($B108,표2[#ALL],2)</f>
        <v>263.336527</v>
      </c>
      <c r="M108" s="319">
        <f>CS_PID!M108/VLOOKUP($B108,LEBT[#ALL],4)/VLOOKUP($B108,표2[#ALL],2)</f>
        <v>0</v>
      </c>
      <c r="N108" s="319">
        <f>CS_PID!N108/VLOOKUP($B108,LEBT[#ALL],4)/VLOOKUP($B108,표2[#ALL],2)</f>
        <v>0</v>
      </c>
      <c r="O108" s="319">
        <f>CS_PID!O108/VLOOKUP($B108,LEBT[#ALL],4)/VLOOKUP($B108,표2[#ALL],2)</f>
        <v>0</v>
      </c>
      <c r="P108" s="319">
        <f>CS_PID!P108/VLOOKUP($B108,LEBT[#ALL],4)/VLOOKUP($B108,표2[#ALL],2)</f>
        <v>0</v>
      </c>
      <c r="Q108" s="319">
        <f>CS_PID!Q108/VLOOKUP($B108,LEBT[#ALL],4)/VLOOKUP($B108,표2[#ALL],2)</f>
        <v>1053.346108</v>
      </c>
      <c r="R108" s="319">
        <f>CS_PID!R108/VLOOKUP($B108,LEBT[#ALL],4)/VLOOKUP($B108,표2[#ALL],2)</f>
        <v>790.0095809</v>
      </c>
      <c r="S108" s="319">
        <f>CS_PID!S108/VLOOKUP($B108,LEBT[#ALL],4)/VLOOKUP($B108,표2[#ALL],2)</f>
        <v>0</v>
      </c>
      <c r="T108" s="319">
        <f>CS_PID!T108/VLOOKUP($B108,LEBT[#ALL],4)/VLOOKUP($B108,표2[#ALL],2)</f>
        <v>0</v>
      </c>
      <c r="U108" s="319">
        <f>CS_PID!U108/VLOOKUP($B108,LEBT[#ALL],4)/VLOOKUP($B108,표2[#ALL],2)</f>
        <v>0</v>
      </c>
      <c r="V108" s="319">
        <f>CS_PID!V108/VLOOKUP($B108,LEBT[#ALL],4)/VLOOKUP($B108,표2[#ALL],2)</f>
        <v>0</v>
      </c>
      <c r="W108" s="319">
        <f>CS_PID!W108/VLOOKUP($B108,LEBT[#ALL],4)/VLOOKUP($B108,표2[#ALL],2)</f>
        <v>0</v>
      </c>
      <c r="X108" s="319">
        <f>CS_PID!X108/VLOOKUP($B108,LEBT[#ALL],4)/VLOOKUP($B108,표2[#ALL],2)</f>
        <v>263.336527</v>
      </c>
      <c r="Y108" s="319">
        <f>CS_PID!Y108/VLOOKUP($B108,LEBT[#ALL],4)/VLOOKUP($B108,표2[#ALL],2)</f>
        <v>0</v>
      </c>
      <c r="Z108" s="319">
        <f>CS_PID!Z108/VLOOKUP($B108,LEBT[#ALL],4)/VLOOKUP($B108,표2[#ALL],2)</f>
        <v>0</v>
      </c>
      <c r="AA108" s="319">
        <f>CS_PID!AA108/VLOOKUP($B108,LEBT[#ALL],4)/VLOOKUP($B108,표2[#ALL],2)</f>
        <v>0</v>
      </c>
      <c r="AB108" s="319">
        <f>CS_PID!AB108/VLOOKUP($B108,LEBT[#ALL],4)/VLOOKUP($B108,표2[#ALL],2)</f>
        <v>0</v>
      </c>
      <c r="AC108" s="319">
        <f>CS_PID!AC108/VLOOKUP($B108,LEBT[#ALL],4)/VLOOKUP($B108,표2[#ALL],2)</f>
        <v>0</v>
      </c>
      <c r="AD108" s="319">
        <f>CS_PID!AD108/VLOOKUP($B108,LEBT[#ALL],4)/VLOOKUP($B108,표2[#ALL],2)</f>
        <v>263.336527</v>
      </c>
      <c r="AE108" s="319">
        <f>CS_PID!AE108/VLOOKUP($B108,LEBT[#ALL],4)/VLOOKUP($B108,표2[#ALL],2)</f>
        <v>0</v>
      </c>
      <c r="AF108" s="319">
        <f>CS_PID!AF108/VLOOKUP($B108,LEBT[#ALL],4)/VLOOKUP($B108,표2[#ALL],2)</f>
        <v>0</v>
      </c>
      <c r="AG108" s="319">
        <f>CS_PID!AG108/VLOOKUP($B108,LEBT[#ALL],4)/VLOOKUP($B108,표2[#ALL],2)</f>
        <v>0</v>
      </c>
      <c r="AH108" s="319">
        <f>CS_PID!AH108/VLOOKUP($B108,LEBT[#ALL],4)/VLOOKUP($B108,표2[#ALL],2)</f>
        <v>0</v>
      </c>
      <c r="AI108" s="319">
        <f>CS_PID!AI108/VLOOKUP($B108,LEBT[#ALL],4)/VLOOKUP($B108,표2[#ALL],2)</f>
        <v>0</v>
      </c>
      <c r="AJ108" s="319">
        <f>CS_PID!AJ108/VLOOKUP($B108,LEBT[#ALL],4)/VLOOKUP($B108,표2[#ALL],2)</f>
        <v>263.336527</v>
      </c>
      <c r="AK108" s="319">
        <f>CS_PID!AK108/VLOOKUP($B108,LEBT[#ALL],4)/VLOOKUP($B108,표2[#ALL],2)</f>
        <v>0</v>
      </c>
      <c r="AL108" s="319">
        <f>CS_PID!AL108/VLOOKUP($B108,LEBT[#ALL],4)/VLOOKUP($B108,표2[#ALL],2)</f>
        <v>0</v>
      </c>
      <c r="AM108" s="319">
        <f>CS_PID!AM108/VLOOKUP($B108,LEBT[#ALL],4)/VLOOKUP($B108,표2[#ALL],2)</f>
        <v>0</v>
      </c>
      <c r="AN108" s="319">
        <f>CS_PID!AN108/VLOOKUP($B108,LEBT[#ALL],4)/VLOOKUP($B108,표2[#ALL],2)</f>
        <v>0</v>
      </c>
      <c r="AO108" s="319">
        <f>CS_PID!AO108/VLOOKUP($B108,LEBT[#ALL],4)/VLOOKUP($B108,표2[#ALL],2)</f>
        <v>0</v>
      </c>
      <c r="AP108" s="319">
        <f>CS_PID!AP108/VLOOKUP($B108,LEBT[#ALL],4)/VLOOKUP($B108,표2[#ALL],2)</f>
        <v>0</v>
      </c>
      <c r="AQ108" s="319">
        <f>CS_PID!AQ108/VLOOKUP($B108,LEBT[#ALL],4)/VLOOKUP($B108,표2[#ALL],2)</f>
        <v>0</v>
      </c>
      <c r="AR108" s="319">
        <f>CS_PID!AR108/VLOOKUP($B108,LEBT[#ALL],4)/VLOOKUP($B108,표2[#ALL],2)</f>
        <v>0</v>
      </c>
      <c r="AS108" s="319">
        <f>CS_PID!AS108/VLOOKUP($B108,LEBT[#ALL],4)/VLOOKUP($B108,표2[#ALL],2)</f>
        <v>0</v>
      </c>
    </row>
    <row r="109">
      <c r="A109" s="177" t="s">
        <v>84</v>
      </c>
      <c r="B109" s="178">
        <v>383.0</v>
      </c>
      <c r="C109" s="319">
        <f>CS_PID!C109/VLOOKUP($B109,LEBT[#ALL],4)/VLOOKUP($B109,표2[#ALL],2)</f>
        <v>0</v>
      </c>
      <c r="D109" s="319">
        <f>CS_PID!D109/VLOOKUP($B109,LEBT[#ALL],4)/VLOOKUP($B109,표2[#ALL],2)</f>
        <v>40.62144412</v>
      </c>
      <c r="E109" s="319">
        <f>CS_PID!E109/VLOOKUP($B109,LEBT[#ALL],4)/VLOOKUP($B109,표2[#ALL],2)</f>
        <v>40.62144412</v>
      </c>
      <c r="F109" s="319">
        <f>CS_PID!F109/VLOOKUP($B109,LEBT[#ALL],4)/VLOOKUP($B109,표2[#ALL],2)</f>
        <v>324.971553</v>
      </c>
      <c r="G109" s="319">
        <f>CS_PID!G109/VLOOKUP($B109,LEBT[#ALL],4)/VLOOKUP($B109,표2[#ALL],2)</f>
        <v>40.62144412</v>
      </c>
      <c r="H109" s="319">
        <f>CS_PID!H109/VLOOKUP($B109,LEBT[#ALL],4)/VLOOKUP($B109,표2[#ALL],2)</f>
        <v>0</v>
      </c>
      <c r="I109" s="319">
        <f>CS_PID!I109/VLOOKUP($B109,LEBT[#ALL],4)/VLOOKUP($B109,표2[#ALL],2)</f>
        <v>0</v>
      </c>
      <c r="J109" s="319">
        <f>CS_PID!J109/VLOOKUP($B109,LEBT[#ALL],4)/VLOOKUP($B109,표2[#ALL],2)</f>
        <v>40.62144412</v>
      </c>
      <c r="K109" s="319">
        <f>CS_PID!K109/VLOOKUP($B109,LEBT[#ALL],4)/VLOOKUP($B109,표2[#ALL],2)</f>
        <v>324.971553</v>
      </c>
      <c r="L109" s="319">
        <f>CS_PID!L109/VLOOKUP($B109,LEBT[#ALL],4)/VLOOKUP($B109,표2[#ALL],2)</f>
        <v>406.2144412</v>
      </c>
      <c r="M109" s="319">
        <f>CS_PID!M109/VLOOKUP($B109,LEBT[#ALL],4)/VLOOKUP($B109,표2[#ALL],2)</f>
        <v>0</v>
      </c>
      <c r="N109" s="319">
        <f>CS_PID!N109/VLOOKUP($B109,LEBT[#ALL],4)/VLOOKUP($B109,표2[#ALL],2)</f>
        <v>0</v>
      </c>
      <c r="O109" s="319">
        <f>CS_PID!O109/VLOOKUP($B109,LEBT[#ALL],4)/VLOOKUP($B109,표2[#ALL],2)</f>
        <v>0</v>
      </c>
      <c r="P109" s="319">
        <f>CS_PID!P109/VLOOKUP($B109,LEBT[#ALL],4)/VLOOKUP($B109,표2[#ALL],2)</f>
        <v>40.62144412</v>
      </c>
      <c r="Q109" s="319">
        <f>CS_PID!Q109/VLOOKUP($B109,LEBT[#ALL],4)/VLOOKUP($B109,표2[#ALL],2)</f>
        <v>324.971553</v>
      </c>
      <c r="R109" s="319">
        <f>CS_PID!R109/VLOOKUP($B109,LEBT[#ALL],4)/VLOOKUP($B109,표2[#ALL],2)</f>
        <v>365.5929971</v>
      </c>
      <c r="S109" s="319">
        <f>CS_PID!S109/VLOOKUP($B109,LEBT[#ALL],4)/VLOOKUP($B109,표2[#ALL],2)</f>
        <v>40.62144412</v>
      </c>
      <c r="T109" s="319">
        <f>CS_PID!T109/VLOOKUP($B109,LEBT[#ALL],4)/VLOOKUP($B109,표2[#ALL],2)</f>
        <v>0</v>
      </c>
      <c r="U109" s="319">
        <f>CS_PID!U109/VLOOKUP($B109,LEBT[#ALL],4)/VLOOKUP($B109,표2[#ALL],2)</f>
        <v>0</v>
      </c>
      <c r="V109" s="319">
        <f>CS_PID!V109/VLOOKUP($B109,LEBT[#ALL],4)/VLOOKUP($B109,표2[#ALL],2)</f>
        <v>0</v>
      </c>
      <c r="W109" s="319">
        <f>CS_PID!W109/VLOOKUP($B109,LEBT[#ALL],4)/VLOOKUP($B109,표2[#ALL],2)</f>
        <v>162.4857765</v>
      </c>
      <c r="X109" s="319">
        <f>CS_PID!X109/VLOOKUP($B109,LEBT[#ALL],4)/VLOOKUP($B109,표2[#ALL],2)</f>
        <v>406.2144412</v>
      </c>
      <c r="Y109" s="319">
        <f>CS_PID!Y109/VLOOKUP($B109,LEBT[#ALL],4)/VLOOKUP($B109,표2[#ALL],2)</f>
        <v>0</v>
      </c>
      <c r="Z109" s="319">
        <f>CS_PID!Z109/VLOOKUP($B109,LEBT[#ALL],4)/VLOOKUP($B109,표2[#ALL],2)</f>
        <v>0</v>
      </c>
      <c r="AA109" s="319">
        <f>CS_PID!AA109/VLOOKUP($B109,LEBT[#ALL],4)/VLOOKUP($B109,표2[#ALL],2)</f>
        <v>0</v>
      </c>
      <c r="AB109" s="319">
        <f>CS_PID!AB109/VLOOKUP($B109,LEBT[#ALL],4)/VLOOKUP($B109,표2[#ALL],2)</f>
        <v>0</v>
      </c>
      <c r="AC109" s="319">
        <f>CS_PID!AC109/VLOOKUP($B109,LEBT[#ALL],4)/VLOOKUP($B109,표2[#ALL],2)</f>
        <v>40.62144412</v>
      </c>
      <c r="AD109" s="319">
        <f>CS_PID!AD109/VLOOKUP($B109,LEBT[#ALL],4)/VLOOKUP($B109,표2[#ALL],2)</f>
        <v>40.62144412</v>
      </c>
      <c r="AE109" s="319">
        <f>CS_PID!AE109/VLOOKUP($B109,LEBT[#ALL],4)/VLOOKUP($B109,표2[#ALL],2)</f>
        <v>40.62144412</v>
      </c>
      <c r="AF109" s="319">
        <f>CS_PID!AF109/VLOOKUP($B109,LEBT[#ALL],4)/VLOOKUP($B109,표2[#ALL],2)</f>
        <v>0</v>
      </c>
      <c r="AG109" s="319">
        <f>CS_PID!AG109/VLOOKUP($B109,LEBT[#ALL],4)/VLOOKUP($B109,표2[#ALL],2)</f>
        <v>0</v>
      </c>
      <c r="AH109" s="319">
        <f>CS_PID!AH109/VLOOKUP($B109,LEBT[#ALL],4)/VLOOKUP($B109,표2[#ALL],2)</f>
        <v>0</v>
      </c>
      <c r="AI109" s="319">
        <f>CS_PID!AI109/VLOOKUP($B109,LEBT[#ALL],4)/VLOOKUP($B109,표2[#ALL],2)</f>
        <v>0</v>
      </c>
      <c r="AJ109" s="319">
        <f>CS_PID!AJ109/VLOOKUP($B109,LEBT[#ALL],4)/VLOOKUP($B109,표2[#ALL],2)</f>
        <v>203.1072206</v>
      </c>
      <c r="AK109" s="319">
        <f>CS_PID!AK109/VLOOKUP($B109,LEBT[#ALL],4)/VLOOKUP($B109,표2[#ALL],2)</f>
        <v>0</v>
      </c>
      <c r="AL109" s="319">
        <f>CS_PID!AL109/VLOOKUP($B109,LEBT[#ALL],4)/VLOOKUP($B109,표2[#ALL],2)</f>
        <v>0</v>
      </c>
      <c r="AM109" s="319">
        <f>CS_PID!AM109/VLOOKUP($B109,LEBT[#ALL],4)/VLOOKUP($B109,표2[#ALL],2)</f>
        <v>0</v>
      </c>
      <c r="AN109" s="319">
        <f>CS_PID!AN109/VLOOKUP($B109,LEBT[#ALL],4)/VLOOKUP($B109,표2[#ALL],2)</f>
        <v>0</v>
      </c>
      <c r="AO109" s="319">
        <f>CS_PID!AO109/VLOOKUP($B109,LEBT[#ALL],4)/VLOOKUP($B109,표2[#ALL],2)</f>
        <v>0</v>
      </c>
      <c r="AP109" s="319">
        <f>CS_PID!AP109/VLOOKUP($B109,LEBT[#ALL],4)/VLOOKUP($B109,표2[#ALL],2)</f>
        <v>0</v>
      </c>
      <c r="AQ109" s="319">
        <f>CS_PID!AQ109/VLOOKUP($B109,LEBT[#ALL],4)/VLOOKUP($B109,표2[#ALL],2)</f>
        <v>0</v>
      </c>
      <c r="AR109" s="319">
        <f>CS_PID!AR109/VLOOKUP($B109,LEBT[#ALL],4)/VLOOKUP($B109,표2[#ALL],2)</f>
        <v>0</v>
      </c>
      <c r="AS109" s="319">
        <f>CS_PID!AS109/VLOOKUP($B109,LEBT[#ALL],4)/VLOOKUP($B109,표2[#ALL],2)</f>
        <v>0</v>
      </c>
    </row>
    <row r="110">
      <c r="A110" s="177" t="s">
        <v>84</v>
      </c>
      <c r="B110" s="178">
        <v>384.0</v>
      </c>
      <c r="C110" s="319">
        <f>CS_PID!C110/VLOOKUP($B110,LEBT[#ALL],4)/VLOOKUP($B110,표2[#ALL],2)</f>
        <v>0</v>
      </c>
      <c r="D110" s="319">
        <f>CS_PID!D110/VLOOKUP($B110,LEBT[#ALL],4)/VLOOKUP($B110,표2[#ALL],2)</f>
        <v>0</v>
      </c>
      <c r="E110" s="319">
        <f>CS_PID!E110/VLOOKUP($B110,LEBT[#ALL],4)/VLOOKUP($B110,표2[#ALL],2)</f>
        <v>0</v>
      </c>
      <c r="F110" s="319">
        <f>CS_PID!F110/VLOOKUP($B110,LEBT[#ALL],4)/VLOOKUP($B110,표2[#ALL],2)</f>
        <v>0</v>
      </c>
      <c r="G110" s="319">
        <f>CS_PID!G110/VLOOKUP($B110,LEBT[#ALL],4)/VLOOKUP($B110,표2[#ALL],2)</f>
        <v>0</v>
      </c>
      <c r="H110" s="319">
        <f>CS_PID!H110/VLOOKUP($B110,LEBT[#ALL],4)/VLOOKUP($B110,표2[#ALL],2)</f>
        <v>0</v>
      </c>
      <c r="I110" s="319">
        <f>CS_PID!I110/VLOOKUP($B110,LEBT[#ALL],4)/VLOOKUP($B110,표2[#ALL],2)</f>
        <v>0</v>
      </c>
      <c r="J110" s="319">
        <f>CS_PID!J110/VLOOKUP($B110,LEBT[#ALL],4)/VLOOKUP($B110,표2[#ALL],2)</f>
        <v>0</v>
      </c>
      <c r="K110" s="319">
        <f>CS_PID!K110/VLOOKUP($B110,LEBT[#ALL],4)/VLOOKUP($B110,표2[#ALL],2)</f>
        <v>0</v>
      </c>
      <c r="L110" s="319">
        <f>CS_PID!L110/VLOOKUP($B110,LEBT[#ALL],4)/VLOOKUP($B110,표2[#ALL],2)</f>
        <v>1074.150784</v>
      </c>
      <c r="M110" s="319">
        <f>CS_PID!M110/VLOOKUP($B110,LEBT[#ALL],4)/VLOOKUP($B110,표2[#ALL],2)</f>
        <v>0</v>
      </c>
      <c r="N110" s="319">
        <f>CS_PID!N110/VLOOKUP($B110,LEBT[#ALL],4)/VLOOKUP($B110,표2[#ALL],2)</f>
        <v>0</v>
      </c>
      <c r="O110" s="319">
        <f>CS_PID!O110/VLOOKUP($B110,LEBT[#ALL],4)/VLOOKUP($B110,표2[#ALL],2)</f>
        <v>0</v>
      </c>
      <c r="P110" s="319">
        <f>CS_PID!P110/VLOOKUP($B110,LEBT[#ALL],4)/VLOOKUP($B110,표2[#ALL],2)</f>
        <v>0</v>
      </c>
      <c r="Q110" s="319">
        <f>CS_PID!Q110/VLOOKUP($B110,LEBT[#ALL],4)/VLOOKUP($B110,표2[#ALL],2)</f>
        <v>1074.150784</v>
      </c>
      <c r="R110" s="319">
        <f>CS_PID!R110/VLOOKUP($B110,LEBT[#ALL],4)/VLOOKUP($B110,표2[#ALL],2)</f>
        <v>0</v>
      </c>
      <c r="S110" s="319">
        <f>CS_PID!S110/VLOOKUP($B110,LEBT[#ALL],4)/VLOOKUP($B110,표2[#ALL],2)</f>
        <v>0</v>
      </c>
      <c r="T110" s="319">
        <f>CS_PID!T110/VLOOKUP($B110,LEBT[#ALL],4)/VLOOKUP($B110,표2[#ALL],2)</f>
        <v>0</v>
      </c>
      <c r="U110" s="319">
        <f>CS_PID!U110/VLOOKUP($B110,LEBT[#ALL],4)/VLOOKUP($B110,표2[#ALL],2)</f>
        <v>0</v>
      </c>
      <c r="V110" s="319">
        <f>CS_PID!V110/VLOOKUP($B110,LEBT[#ALL],4)/VLOOKUP($B110,표2[#ALL],2)</f>
        <v>0</v>
      </c>
      <c r="W110" s="319">
        <f>CS_PID!W110/VLOOKUP($B110,LEBT[#ALL],4)/VLOOKUP($B110,표2[#ALL],2)</f>
        <v>0</v>
      </c>
      <c r="X110" s="319">
        <f>CS_PID!X110/VLOOKUP($B110,LEBT[#ALL],4)/VLOOKUP($B110,표2[#ALL],2)</f>
        <v>0</v>
      </c>
      <c r="Y110" s="319">
        <f>CS_PID!Y110/VLOOKUP($B110,LEBT[#ALL],4)/VLOOKUP($B110,표2[#ALL],2)</f>
        <v>0</v>
      </c>
      <c r="Z110" s="319">
        <f>CS_PID!Z110/VLOOKUP($B110,LEBT[#ALL],4)/VLOOKUP($B110,표2[#ALL],2)</f>
        <v>0</v>
      </c>
      <c r="AA110" s="319">
        <f>CS_PID!AA110/VLOOKUP($B110,LEBT[#ALL],4)/VLOOKUP($B110,표2[#ALL],2)</f>
        <v>0</v>
      </c>
      <c r="AB110" s="319">
        <f>CS_PID!AB110/VLOOKUP($B110,LEBT[#ALL],4)/VLOOKUP($B110,표2[#ALL],2)</f>
        <v>0</v>
      </c>
      <c r="AC110" s="319">
        <f>CS_PID!AC110/VLOOKUP($B110,LEBT[#ALL],4)/VLOOKUP($B110,표2[#ALL],2)</f>
        <v>0</v>
      </c>
      <c r="AD110" s="319">
        <f>CS_PID!AD110/VLOOKUP($B110,LEBT[#ALL],4)/VLOOKUP($B110,표2[#ALL],2)</f>
        <v>0</v>
      </c>
      <c r="AE110" s="319">
        <f>CS_PID!AE110/VLOOKUP($B110,LEBT[#ALL],4)/VLOOKUP($B110,표2[#ALL],2)</f>
        <v>0</v>
      </c>
      <c r="AF110" s="319">
        <f>CS_PID!AF110/VLOOKUP($B110,LEBT[#ALL],4)/VLOOKUP($B110,표2[#ALL],2)</f>
        <v>0</v>
      </c>
      <c r="AG110" s="319">
        <f>CS_PID!AG110/VLOOKUP($B110,LEBT[#ALL],4)/VLOOKUP($B110,표2[#ALL],2)</f>
        <v>0</v>
      </c>
      <c r="AH110" s="319">
        <f>CS_PID!AH110/VLOOKUP($B110,LEBT[#ALL],4)/VLOOKUP($B110,표2[#ALL],2)</f>
        <v>0</v>
      </c>
      <c r="AI110" s="319">
        <f>CS_PID!AI110/VLOOKUP($B110,LEBT[#ALL],4)/VLOOKUP($B110,표2[#ALL],2)</f>
        <v>0</v>
      </c>
      <c r="AJ110" s="319">
        <f>CS_PID!AJ110/VLOOKUP($B110,LEBT[#ALL],4)/VLOOKUP($B110,표2[#ALL],2)</f>
        <v>0</v>
      </c>
      <c r="AK110" s="319">
        <f>CS_PID!AK110/VLOOKUP($B110,LEBT[#ALL],4)/VLOOKUP($B110,표2[#ALL],2)</f>
        <v>0</v>
      </c>
      <c r="AL110" s="319">
        <f>CS_PID!AL110/VLOOKUP($B110,LEBT[#ALL],4)/VLOOKUP($B110,표2[#ALL],2)</f>
        <v>0</v>
      </c>
      <c r="AM110" s="319">
        <f>CS_PID!AM110/VLOOKUP($B110,LEBT[#ALL],4)/VLOOKUP($B110,표2[#ALL],2)</f>
        <v>0</v>
      </c>
      <c r="AN110" s="319">
        <f>CS_PID!AN110/VLOOKUP($B110,LEBT[#ALL],4)/VLOOKUP($B110,표2[#ALL],2)</f>
        <v>0</v>
      </c>
      <c r="AO110" s="319">
        <f>CS_PID!AO110/VLOOKUP($B110,LEBT[#ALL],4)/VLOOKUP($B110,표2[#ALL],2)</f>
        <v>0</v>
      </c>
      <c r="AP110" s="319">
        <f>CS_PID!AP110/VLOOKUP($B110,LEBT[#ALL],4)/VLOOKUP($B110,표2[#ALL],2)</f>
        <v>0</v>
      </c>
      <c r="AQ110" s="319">
        <f>CS_PID!AQ110/VLOOKUP($B110,LEBT[#ALL],4)/VLOOKUP($B110,표2[#ALL],2)</f>
        <v>0</v>
      </c>
      <c r="AR110" s="319">
        <f>CS_PID!AR110/VLOOKUP($B110,LEBT[#ALL],4)/VLOOKUP($B110,표2[#ALL],2)</f>
        <v>0</v>
      </c>
      <c r="AS110" s="319">
        <f>CS_PID!AS110/VLOOKUP($B110,LEBT[#ALL],4)/VLOOKUP($B110,표2[#ALL],2)</f>
        <v>0</v>
      </c>
    </row>
    <row r="111">
      <c r="A111" s="177" t="s">
        <v>84</v>
      </c>
      <c r="B111" s="178">
        <v>385.0</v>
      </c>
      <c r="C111" s="319">
        <f>CS_PID!C111/VLOOKUP($B111,LEBT[#ALL],4)/VLOOKUP($B111,표2[#ALL],2)</f>
        <v>0</v>
      </c>
      <c r="D111" s="319">
        <f>CS_PID!D111/VLOOKUP($B111,LEBT[#ALL],4)/VLOOKUP($B111,표2[#ALL],2)</f>
        <v>0</v>
      </c>
      <c r="E111" s="319">
        <f>CS_PID!E111/VLOOKUP($B111,LEBT[#ALL],4)/VLOOKUP($B111,표2[#ALL],2)</f>
        <v>54.98080117</v>
      </c>
      <c r="F111" s="319">
        <f>CS_PID!F111/VLOOKUP($B111,LEBT[#ALL],4)/VLOOKUP($B111,표2[#ALL],2)</f>
        <v>494.8272105</v>
      </c>
      <c r="G111" s="319">
        <f>CS_PID!G111/VLOOKUP($B111,LEBT[#ALL],4)/VLOOKUP($B111,표2[#ALL],2)</f>
        <v>0</v>
      </c>
      <c r="H111" s="319">
        <f>CS_PID!H111/VLOOKUP($B111,LEBT[#ALL],4)/VLOOKUP($B111,표2[#ALL],2)</f>
        <v>0</v>
      </c>
      <c r="I111" s="319">
        <f>CS_PID!I111/VLOOKUP($B111,LEBT[#ALL],4)/VLOOKUP($B111,표2[#ALL],2)</f>
        <v>0</v>
      </c>
      <c r="J111" s="319">
        <f>CS_PID!J111/VLOOKUP($B111,LEBT[#ALL],4)/VLOOKUP($B111,표2[#ALL],2)</f>
        <v>54.98080117</v>
      </c>
      <c r="K111" s="319">
        <f>CS_PID!K111/VLOOKUP($B111,LEBT[#ALL],4)/VLOOKUP($B111,표2[#ALL],2)</f>
        <v>604.7888129</v>
      </c>
      <c r="L111" s="319">
        <f>CS_PID!L111/VLOOKUP($B111,LEBT[#ALL],4)/VLOOKUP($B111,표2[#ALL],2)</f>
        <v>604.7888129</v>
      </c>
      <c r="M111" s="319">
        <f>CS_PID!M111/VLOOKUP($B111,LEBT[#ALL],4)/VLOOKUP($B111,표2[#ALL],2)</f>
        <v>54.98080117</v>
      </c>
      <c r="N111" s="319">
        <f>CS_PID!N111/VLOOKUP($B111,LEBT[#ALL],4)/VLOOKUP($B111,표2[#ALL],2)</f>
        <v>0</v>
      </c>
      <c r="O111" s="319">
        <f>CS_PID!O111/VLOOKUP($B111,LEBT[#ALL],4)/VLOOKUP($B111,표2[#ALL],2)</f>
        <v>0</v>
      </c>
      <c r="P111" s="319">
        <f>CS_PID!P111/VLOOKUP($B111,LEBT[#ALL],4)/VLOOKUP($B111,표2[#ALL],2)</f>
        <v>0</v>
      </c>
      <c r="Q111" s="319">
        <f>CS_PID!Q111/VLOOKUP($B111,LEBT[#ALL],4)/VLOOKUP($B111,표2[#ALL],2)</f>
        <v>274.9040058</v>
      </c>
      <c r="R111" s="319">
        <f>CS_PID!R111/VLOOKUP($B111,LEBT[#ALL],4)/VLOOKUP($B111,표2[#ALL],2)</f>
        <v>164.9424035</v>
      </c>
      <c r="S111" s="319">
        <f>CS_PID!S111/VLOOKUP($B111,LEBT[#ALL],4)/VLOOKUP($B111,표2[#ALL],2)</f>
        <v>0</v>
      </c>
      <c r="T111" s="319">
        <f>CS_PID!T111/VLOOKUP($B111,LEBT[#ALL],4)/VLOOKUP($B111,표2[#ALL],2)</f>
        <v>0</v>
      </c>
      <c r="U111" s="319">
        <f>CS_PID!U111/VLOOKUP($B111,LEBT[#ALL],4)/VLOOKUP($B111,표2[#ALL],2)</f>
        <v>0</v>
      </c>
      <c r="V111" s="319">
        <f>CS_PID!V111/VLOOKUP($B111,LEBT[#ALL],4)/VLOOKUP($B111,표2[#ALL],2)</f>
        <v>0</v>
      </c>
      <c r="W111" s="319">
        <f>CS_PID!W111/VLOOKUP($B111,LEBT[#ALL],4)/VLOOKUP($B111,표2[#ALL],2)</f>
        <v>0</v>
      </c>
      <c r="X111" s="319">
        <f>CS_PID!X111/VLOOKUP($B111,LEBT[#ALL],4)/VLOOKUP($B111,표2[#ALL],2)</f>
        <v>329.884807</v>
      </c>
      <c r="Y111" s="319">
        <f>CS_PID!Y111/VLOOKUP($B111,LEBT[#ALL],4)/VLOOKUP($B111,표2[#ALL],2)</f>
        <v>0</v>
      </c>
      <c r="Z111" s="319">
        <f>CS_PID!Z111/VLOOKUP($B111,LEBT[#ALL],4)/VLOOKUP($B111,표2[#ALL],2)</f>
        <v>0</v>
      </c>
      <c r="AA111" s="319">
        <f>CS_PID!AA111/VLOOKUP($B111,LEBT[#ALL],4)/VLOOKUP($B111,표2[#ALL],2)</f>
        <v>0</v>
      </c>
      <c r="AB111" s="319">
        <f>CS_PID!AB111/VLOOKUP($B111,LEBT[#ALL],4)/VLOOKUP($B111,표2[#ALL],2)</f>
        <v>0</v>
      </c>
      <c r="AC111" s="319">
        <f>CS_PID!AC111/VLOOKUP($B111,LEBT[#ALL],4)/VLOOKUP($B111,표2[#ALL],2)</f>
        <v>54.98080117</v>
      </c>
      <c r="AD111" s="319">
        <f>CS_PID!AD111/VLOOKUP($B111,LEBT[#ALL],4)/VLOOKUP($B111,표2[#ALL],2)</f>
        <v>109.9616023</v>
      </c>
      <c r="AE111" s="319">
        <f>CS_PID!AE111/VLOOKUP($B111,LEBT[#ALL],4)/VLOOKUP($B111,표2[#ALL],2)</f>
        <v>0</v>
      </c>
      <c r="AF111" s="319">
        <f>CS_PID!AF111/VLOOKUP($B111,LEBT[#ALL],4)/VLOOKUP($B111,표2[#ALL],2)</f>
        <v>0</v>
      </c>
      <c r="AG111" s="319">
        <f>CS_PID!AG111/VLOOKUP($B111,LEBT[#ALL],4)/VLOOKUP($B111,표2[#ALL],2)</f>
        <v>0</v>
      </c>
      <c r="AH111" s="319">
        <f>CS_PID!AH111/VLOOKUP($B111,LEBT[#ALL],4)/VLOOKUP($B111,표2[#ALL],2)</f>
        <v>0</v>
      </c>
      <c r="AI111" s="319">
        <f>CS_PID!AI111/VLOOKUP($B111,LEBT[#ALL],4)/VLOOKUP($B111,표2[#ALL],2)</f>
        <v>0</v>
      </c>
      <c r="AJ111" s="319">
        <f>CS_PID!AJ111/VLOOKUP($B111,LEBT[#ALL],4)/VLOOKUP($B111,표2[#ALL],2)</f>
        <v>54.98080117</v>
      </c>
      <c r="AK111" s="319">
        <f>CS_PID!AK111/VLOOKUP($B111,LEBT[#ALL],4)/VLOOKUP($B111,표2[#ALL],2)</f>
        <v>0</v>
      </c>
      <c r="AL111" s="319">
        <f>CS_PID!AL111/VLOOKUP($B111,LEBT[#ALL],4)/VLOOKUP($B111,표2[#ALL],2)</f>
        <v>0</v>
      </c>
      <c r="AM111" s="319">
        <f>CS_PID!AM111/VLOOKUP($B111,LEBT[#ALL],4)/VLOOKUP($B111,표2[#ALL],2)</f>
        <v>0</v>
      </c>
      <c r="AN111" s="319">
        <f>CS_PID!AN111/VLOOKUP($B111,LEBT[#ALL],4)/VLOOKUP($B111,표2[#ALL],2)</f>
        <v>0</v>
      </c>
      <c r="AO111" s="319">
        <f>CS_PID!AO111/VLOOKUP($B111,LEBT[#ALL],4)/VLOOKUP($B111,표2[#ALL],2)</f>
        <v>0</v>
      </c>
      <c r="AP111" s="319">
        <f>CS_PID!AP111/VLOOKUP($B111,LEBT[#ALL],4)/VLOOKUP($B111,표2[#ALL],2)</f>
        <v>0</v>
      </c>
      <c r="AQ111" s="319">
        <f>CS_PID!AQ111/VLOOKUP($B111,LEBT[#ALL],4)/VLOOKUP($B111,표2[#ALL],2)</f>
        <v>0</v>
      </c>
      <c r="AR111" s="319">
        <f>CS_PID!AR111/VLOOKUP($B111,LEBT[#ALL],4)/VLOOKUP($B111,표2[#ALL],2)</f>
        <v>0</v>
      </c>
      <c r="AS111" s="319">
        <f>CS_PID!AS111/VLOOKUP($B111,LEBT[#ALL],4)/VLOOKUP($B111,표2[#ALL],2)</f>
        <v>0</v>
      </c>
    </row>
    <row r="112">
      <c r="A112" s="177" t="s">
        <v>84</v>
      </c>
      <c r="B112" s="178">
        <v>386.0</v>
      </c>
      <c r="C112" s="319">
        <f>CS_PID!C112/VLOOKUP($B112,LEBT[#ALL],4)/VLOOKUP($B112,표2[#ALL],2)</f>
        <v>0</v>
      </c>
      <c r="D112" s="319">
        <f>CS_PID!D112/VLOOKUP($B112,LEBT[#ALL],4)/VLOOKUP($B112,표2[#ALL],2)</f>
        <v>0</v>
      </c>
      <c r="E112" s="319">
        <f>CS_PID!E112/VLOOKUP($B112,LEBT[#ALL],4)/VLOOKUP($B112,표2[#ALL],2)</f>
        <v>30.15172418</v>
      </c>
      <c r="F112" s="319">
        <f>CS_PID!F112/VLOOKUP($B112,LEBT[#ALL],4)/VLOOKUP($B112,표2[#ALL],2)</f>
        <v>331.668966</v>
      </c>
      <c r="G112" s="319">
        <f>CS_PID!G112/VLOOKUP($B112,LEBT[#ALL],4)/VLOOKUP($B112,표2[#ALL],2)</f>
        <v>60.30344836</v>
      </c>
      <c r="H112" s="319">
        <f>CS_PID!H112/VLOOKUP($B112,LEBT[#ALL],4)/VLOOKUP($B112,표2[#ALL],2)</f>
        <v>0</v>
      </c>
      <c r="I112" s="319">
        <f>CS_PID!I112/VLOOKUP($B112,LEBT[#ALL],4)/VLOOKUP($B112,표2[#ALL],2)</f>
        <v>0</v>
      </c>
      <c r="J112" s="319">
        <f>CS_PID!J112/VLOOKUP($B112,LEBT[#ALL],4)/VLOOKUP($B112,표2[#ALL],2)</f>
        <v>30.15172418</v>
      </c>
      <c r="K112" s="319">
        <f>CS_PID!K112/VLOOKUP($B112,LEBT[#ALL],4)/VLOOKUP($B112,표2[#ALL],2)</f>
        <v>603.0344836</v>
      </c>
      <c r="L112" s="319">
        <f>CS_PID!L112/VLOOKUP($B112,LEBT[#ALL],4)/VLOOKUP($B112,표2[#ALL],2)</f>
        <v>452.2758627</v>
      </c>
      <c r="M112" s="319">
        <f>CS_PID!M112/VLOOKUP($B112,LEBT[#ALL],4)/VLOOKUP($B112,표2[#ALL],2)</f>
        <v>30.15172418</v>
      </c>
      <c r="N112" s="319">
        <f>CS_PID!N112/VLOOKUP($B112,LEBT[#ALL],4)/VLOOKUP($B112,표2[#ALL],2)</f>
        <v>0</v>
      </c>
      <c r="O112" s="319">
        <f>CS_PID!O112/VLOOKUP($B112,LEBT[#ALL],4)/VLOOKUP($B112,표2[#ALL],2)</f>
        <v>0</v>
      </c>
      <c r="P112" s="319">
        <f>CS_PID!P112/VLOOKUP($B112,LEBT[#ALL],4)/VLOOKUP($B112,표2[#ALL],2)</f>
        <v>0</v>
      </c>
      <c r="Q112" s="319">
        <f>CS_PID!Q112/VLOOKUP($B112,LEBT[#ALL],4)/VLOOKUP($B112,표2[#ALL],2)</f>
        <v>361.8206901</v>
      </c>
      <c r="R112" s="319">
        <f>CS_PID!R112/VLOOKUP($B112,LEBT[#ALL],4)/VLOOKUP($B112,표2[#ALL],2)</f>
        <v>301.5172418</v>
      </c>
      <c r="S112" s="319">
        <f>CS_PID!S112/VLOOKUP($B112,LEBT[#ALL],4)/VLOOKUP($B112,표2[#ALL],2)</f>
        <v>90.45517253</v>
      </c>
      <c r="T112" s="319">
        <f>CS_PID!T112/VLOOKUP($B112,LEBT[#ALL],4)/VLOOKUP($B112,표2[#ALL],2)</f>
        <v>0</v>
      </c>
      <c r="U112" s="319">
        <f>CS_PID!U112/VLOOKUP($B112,LEBT[#ALL],4)/VLOOKUP($B112,표2[#ALL],2)</f>
        <v>0</v>
      </c>
      <c r="V112" s="319">
        <f>CS_PID!V112/VLOOKUP($B112,LEBT[#ALL],4)/VLOOKUP($B112,표2[#ALL],2)</f>
        <v>30.15172418</v>
      </c>
      <c r="W112" s="319">
        <f>CS_PID!W112/VLOOKUP($B112,LEBT[#ALL],4)/VLOOKUP($B112,표2[#ALL],2)</f>
        <v>90.45517253</v>
      </c>
      <c r="X112" s="319">
        <f>CS_PID!X112/VLOOKUP($B112,LEBT[#ALL],4)/VLOOKUP($B112,표2[#ALL],2)</f>
        <v>482.4275868</v>
      </c>
      <c r="Y112" s="319">
        <f>CS_PID!Y112/VLOOKUP($B112,LEBT[#ALL],4)/VLOOKUP($B112,표2[#ALL],2)</f>
        <v>60.30344836</v>
      </c>
      <c r="Z112" s="319">
        <f>CS_PID!Z112/VLOOKUP($B112,LEBT[#ALL],4)/VLOOKUP($B112,표2[#ALL],2)</f>
        <v>0</v>
      </c>
      <c r="AA112" s="319">
        <f>CS_PID!AA112/VLOOKUP($B112,LEBT[#ALL],4)/VLOOKUP($B112,표2[#ALL],2)</f>
        <v>0</v>
      </c>
      <c r="AB112" s="319">
        <f>CS_PID!AB112/VLOOKUP($B112,LEBT[#ALL],4)/VLOOKUP($B112,표2[#ALL],2)</f>
        <v>0</v>
      </c>
      <c r="AC112" s="319">
        <f>CS_PID!AC112/VLOOKUP($B112,LEBT[#ALL],4)/VLOOKUP($B112,표2[#ALL],2)</f>
        <v>90.45517253</v>
      </c>
      <c r="AD112" s="319">
        <f>CS_PID!AD112/VLOOKUP($B112,LEBT[#ALL],4)/VLOOKUP($B112,표2[#ALL],2)</f>
        <v>241.2137934</v>
      </c>
      <c r="AE112" s="319">
        <f>CS_PID!AE112/VLOOKUP($B112,LEBT[#ALL],4)/VLOOKUP($B112,표2[#ALL],2)</f>
        <v>30.15172418</v>
      </c>
      <c r="AF112" s="319">
        <f>CS_PID!AF112/VLOOKUP($B112,LEBT[#ALL],4)/VLOOKUP($B112,표2[#ALL],2)</f>
        <v>0</v>
      </c>
      <c r="AG112" s="319">
        <f>CS_PID!AG112/VLOOKUP($B112,LEBT[#ALL],4)/VLOOKUP($B112,표2[#ALL],2)</f>
        <v>0</v>
      </c>
      <c r="AH112" s="319">
        <f>CS_PID!AH112/VLOOKUP($B112,LEBT[#ALL],4)/VLOOKUP($B112,표2[#ALL],2)</f>
        <v>0</v>
      </c>
      <c r="AI112" s="319">
        <f>CS_PID!AI112/VLOOKUP($B112,LEBT[#ALL],4)/VLOOKUP($B112,표2[#ALL],2)</f>
        <v>30.15172418</v>
      </c>
      <c r="AJ112" s="319">
        <f>CS_PID!AJ112/VLOOKUP($B112,LEBT[#ALL],4)/VLOOKUP($B112,표2[#ALL],2)</f>
        <v>90.45517253</v>
      </c>
      <c r="AK112" s="319">
        <f>CS_PID!AK112/VLOOKUP($B112,LEBT[#ALL],4)/VLOOKUP($B112,표2[#ALL],2)</f>
        <v>0</v>
      </c>
      <c r="AL112" s="319">
        <f>CS_PID!AL112/VLOOKUP($B112,LEBT[#ALL],4)/VLOOKUP($B112,표2[#ALL],2)</f>
        <v>0</v>
      </c>
      <c r="AM112" s="319">
        <f>CS_PID!AM112/VLOOKUP($B112,LEBT[#ALL],4)/VLOOKUP($B112,표2[#ALL],2)</f>
        <v>0</v>
      </c>
      <c r="AN112" s="319">
        <f>CS_PID!AN112/VLOOKUP($B112,LEBT[#ALL],4)/VLOOKUP($B112,표2[#ALL],2)</f>
        <v>0</v>
      </c>
      <c r="AO112" s="319">
        <f>CS_PID!AO112/VLOOKUP($B112,LEBT[#ALL],4)/VLOOKUP($B112,표2[#ALL],2)</f>
        <v>30.15172418</v>
      </c>
      <c r="AP112" s="319">
        <f>CS_PID!AP112/VLOOKUP($B112,LEBT[#ALL],4)/VLOOKUP($B112,표2[#ALL],2)</f>
        <v>0</v>
      </c>
      <c r="AQ112" s="319">
        <f>CS_PID!AQ112/VLOOKUP($B112,LEBT[#ALL],4)/VLOOKUP($B112,표2[#ALL],2)</f>
        <v>0</v>
      </c>
      <c r="AR112" s="319">
        <f>CS_PID!AR112/VLOOKUP($B112,LEBT[#ALL],4)/VLOOKUP($B112,표2[#ALL],2)</f>
        <v>0</v>
      </c>
      <c r="AS112" s="319">
        <f>CS_PID!AS112/VLOOKUP($B112,LEBT[#ALL],4)/VLOOKUP($B112,표2[#ALL],2)</f>
        <v>0</v>
      </c>
    </row>
    <row r="113">
      <c r="A113" s="177" t="s">
        <v>84</v>
      </c>
      <c r="B113" s="178">
        <v>387.0</v>
      </c>
      <c r="C113" s="319">
        <f>CS_PID!C113/VLOOKUP($B113,LEBT[#ALL],4)/VLOOKUP($B113,표2[#ALL],2)</f>
        <v>0</v>
      </c>
      <c r="D113" s="319">
        <f>CS_PID!D113/VLOOKUP($B113,LEBT[#ALL],4)/VLOOKUP($B113,표2[#ALL],2)</f>
        <v>0</v>
      </c>
      <c r="E113" s="319">
        <f>CS_PID!E113/VLOOKUP($B113,LEBT[#ALL],4)/VLOOKUP($B113,표2[#ALL],2)</f>
        <v>0</v>
      </c>
      <c r="F113" s="319">
        <f>CS_PID!F113/VLOOKUP($B113,LEBT[#ALL],4)/VLOOKUP($B113,표2[#ALL],2)</f>
        <v>391.9524936</v>
      </c>
      <c r="G113" s="319">
        <f>CS_PID!G113/VLOOKUP($B113,LEBT[#ALL],4)/VLOOKUP($B113,표2[#ALL],2)</f>
        <v>130.6508312</v>
      </c>
      <c r="H113" s="319">
        <f>CS_PID!H113/VLOOKUP($B113,LEBT[#ALL],4)/VLOOKUP($B113,표2[#ALL],2)</f>
        <v>0</v>
      </c>
      <c r="I113" s="319">
        <f>CS_PID!I113/VLOOKUP($B113,LEBT[#ALL],4)/VLOOKUP($B113,표2[#ALL],2)</f>
        <v>0</v>
      </c>
      <c r="J113" s="319">
        <f>CS_PID!J113/VLOOKUP($B113,LEBT[#ALL],4)/VLOOKUP($B113,표2[#ALL],2)</f>
        <v>261.3016624</v>
      </c>
      <c r="K113" s="319">
        <f>CS_PID!K113/VLOOKUP($B113,LEBT[#ALL],4)/VLOOKUP($B113,표2[#ALL],2)</f>
        <v>653.254156</v>
      </c>
      <c r="L113" s="319">
        <f>CS_PID!L113/VLOOKUP($B113,LEBT[#ALL],4)/VLOOKUP($B113,표2[#ALL],2)</f>
        <v>326.627078</v>
      </c>
      <c r="M113" s="319">
        <f>CS_PID!M113/VLOOKUP($B113,LEBT[#ALL],4)/VLOOKUP($B113,표2[#ALL],2)</f>
        <v>0</v>
      </c>
      <c r="N113" s="319">
        <f>CS_PID!N113/VLOOKUP($B113,LEBT[#ALL],4)/VLOOKUP($B113,표2[#ALL],2)</f>
        <v>0</v>
      </c>
      <c r="O113" s="319">
        <f>CS_PID!O113/VLOOKUP($B113,LEBT[#ALL],4)/VLOOKUP($B113,표2[#ALL],2)</f>
        <v>0</v>
      </c>
      <c r="P113" s="319">
        <f>CS_PID!P113/VLOOKUP($B113,LEBT[#ALL],4)/VLOOKUP($B113,표2[#ALL],2)</f>
        <v>65.3254156</v>
      </c>
      <c r="Q113" s="319">
        <f>CS_PID!Q113/VLOOKUP($B113,LEBT[#ALL],4)/VLOOKUP($B113,표2[#ALL],2)</f>
        <v>326.627078</v>
      </c>
      <c r="R113" s="319">
        <f>CS_PID!R113/VLOOKUP($B113,LEBT[#ALL],4)/VLOOKUP($B113,표2[#ALL],2)</f>
        <v>326.627078</v>
      </c>
      <c r="S113" s="319">
        <f>CS_PID!S113/VLOOKUP($B113,LEBT[#ALL],4)/VLOOKUP($B113,표2[#ALL],2)</f>
        <v>65.3254156</v>
      </c>
      <c r="T113" s="319">
        <f>CS_PID!T113/VLOOKUP($B113,LEBT[#ALL],4)/VLOOKUP($B113,표2[#ALL],2)</f>
        <v>0</v>
      </c>
      <c r="U113" s="319">
        <f>CS_PID!U113/VLOOKUP($B113,LEBT[#ALL],4)/VLOOKUP($B113,표2[#ALL],2)</f>
        <v>0</v>
      </c>
      <c r="V113" s="319">
        <f>CS_PID!V113/VLOOKUP($B113,LEBT[#ALL],4)/VLOOKUP($B113,표2[#ALL],2)</f>
        <v>0</v>
      </c>
      <c r="W113" s="319">
        <f>CS_PID!W113/VLOOKUP($B113,LEBT[#ALL],4)/VLOOKUP($B113,표2[#ALL],2)</f>
        <v>130.6508312</v>
      </c>
      <c r="X113" s="319">
        <f>CS_PID!X113/VLOOKUP($B113,LEBT[#ALL],4)/VLOOKUP($B113,표2[#ALL],2)</f>
        <v>457.2779092</v>
      </c>
      <c r="Y113" s="319">
        <f>CS_PID!Y113/VLOOKUP($B113,LEBT[#ALL],4)/VLOOKUP($B113,표2[#ALL],2)</f>
        <v>65.3254156</v>
      </c>
      <c r="Z113" s="319">
        <f>CS_PID!Z113/VLOOKUP($B113,LEBT[#ALL],4)/VLOOKUP($B113,표2[#ALL],2)</f>
        <v>0</v>
      </c>
      <c r="AA113" s="319">
        <f>CS_PID!AA113/VLOOKUP($B113,LEBT[#ALL],4)/VLOOKUP($B113,표2[#ALL],2)</f>
        <v>0</v>
      </c>
      <c r="AB113" s="319">
        <f>CS_PID!AB113/VLOOKUP($B113,LEBT[#ALL],4)/VLOOKUP($B113,표2[#ALL],2)</f>
        <v>0</v>
      </c>
      <c r="AC113" s="319">
        <f>CS_PID!AC113/VLOOKUP($B113,LEBT[#ALL],4)/VLOOKUP($B113,표2[#ALL],2)</f>
        <v>0</v>
      </c>
      <c r="AD113" s="319">
        <f>CS_PID!AD113/VLOOKUP($B113,LEBT[#ALL],4)/VLOOKUP($B113,표2[#ALL],2)</f>
        <v>130.6508312</v>
      </c>
      <c r="AE113" s="319">
        <f>CS_PID!AE113/VLOOKUP($B113,LEBT[#ALL],4)/VLOOKUP($B113,표2[#ALL],2)</f>
        <v>65.3254156</v>
      </c>
      <c r="AF113" s="319">
        <f>CS_PID!AF113/VLOOKUP($B113,LEBT[#ALL],4)/VLOOKUP($B113,표2[#ALL],2)</f>
        <v>0</v>
      </c>
      <c r="AG113" s="319">
        <f>CS_PID!AG113/VLOOKUP($B113,LEBT[#ALL],4)/VLOOKUP($B113,표2[#ALL],2)</f>
        <v>0</v>
      </c>
      <c r="AH113" s="319">
        <f>CS_PID!AH113/VLOOKUP($B113,LEBT[#ALL],4)/VLOOKUP($B113,표2[#ALL],2)</f>
        <v>0</v>
      </c>
      <c r="AI113" s="319">
        <f>CS_PID!AI113/VLOOKUP($B113,LEBT[#ALL],4)/VLOOKUP($B113,표2[#ALL],2)</f>
        <v>0</v>
      </c>
      <c r="AJ113" s="319">
        <f>CS_PID!AJ113/VLOOKUP($B113,LEBT[#ALL],4)/VLOOKUP($B113,표2[#ALL],2)</f>
        <v>195.9762468</v>
      </c>
      <c r="AK113" s="319">
        <f>CS_PID!AK113/VLOOKUP($B113,LEBT[#ALL],4)/VLOOKUP($B113,표2[#ALL],2)</f>
        <v>0</v>
      </c>
      <c r="AL113" s="319">
        <f>CS_PID!AL113/VLOOKUP($B113,LEBT[#ALL],4)/VLOOKUP($B113,표2[#ALL],2)</f>
        <v>0</v>
      </c>
      <c r="AM113" s="319">
        <f>CS_PID!AM113/VLOOKUP($B113,LEBT[#ALL],4)/VLOOKUP($B113,표2[#ALL],2)</f>
        <v>0</v>
      </c>
      <c r="AN113" s="319">
        <f>CS_PID!AN113/VLOOKUP($B113,LEBT[#ALL],4)/VLOOKUP($B113,표2[#ALL],2)</f>
        <v>0</v>
      </c>
      <c r="AO113" s="319">
        <f>CS_PID!AO113/VLOOKUP($B113,LEBT[#ALL],4)/VLOOKUP($B113,표2[#ALL],2)</f>
        <v>0</v>
      </c>
      <c r="AP113" s="319">
        <f>CS_PID!AP113/VLOOKUP($B113,LEBT[#ALL],4)/VLOOKUP($B113,표2[#ALL],2)</f>
        <v>0</v>
      </c>
      <c r="AQ113" s="319">
        <f>CS_PID!AQ113/VLOOKUP($B113,LEBT[#ALL],4)/VLOOKUP($B113,표2[#ALL],2)</f>
        <v>0</v>
      </c>
      <c r="AR113" s="319">
        <f>CS_PID!AR113/VLOOKUP($B113,LEBT[#ALL],4)/VLOOKUP($B113,표2[#ALL],2)</f>
        <v>0</v>
      </c>
      <c r="AS113" s="319">
        <f>CS_PID!AS113/VLOOKUP($B113,LEBT[#ALL],4)/VLOOKUP($B113,표2[#ALL],2)</f>
        <v>0</v>
      </c>
    </row>
    <row r="114">
      <c r="A114" s="177" t="s">
        <v>84</v>
      </c>
      <c r="B114" s="178">
        <v>388.0</v>
      </c>
      <c r="C114" s="319">
        <f>CS_PID!C114/VLOOKUP($B114,LEBT[#ALL],4)/VLOOKUP($B114,표2[#ALL],2)</f>
        <v>0</v>
      </c>
      <c r="D114" s="319">
        <f>CS_PID!D114/VLOOKUP($B114,LEBT[#ALL],4)/VLOOKUP($B114,표2[#ALL],2)</f>
        <v>0</v>
      </c>
      <c r="E114" s="319">
        <f>CS_PID!E114/VLOOKUP($B114,LEBT[#ALL],4)/VLOOKUP($B114,표2[#ALL],2)</f>
        <v>95.22122854</v>
      </c>
      <c r="F114" s="319">
        <f>CS_PID!F114/VLOOKUP($B114,LEBT[#ALL],4)/VLOOKUP($B114,표2[#ALL],2)</f>
        <v>476.1061427</v>
      </c>
      <c r="G114" s="319">
        <f>CS_PID!G114/VLOOKUP($B114,LEBT[#ALL],4)/VLOOKUP($B114,표2[#ALL],2)</f>
        <v>95.22122854</v>
      </c>
      <c r="H114" s="319">
        <f>CS_PID!H114/VLOOKUP($B114,LEBT[#ALL],4)/VLOOKUP($B114,표2[#ALL],2)</f>
        <v>0</v>
      </c>
      <c r="I114" s="319">
        <f>CS_PID!I114/VLOOKUP($B114,LEBT[#ALL],4)/VLOOKUP($B114,표2[#ALL],2)</f>
        <v>0</v>
      </c>
      <c r="J114" s="319">
        <f>CS_PID!J114/VLOOKUP($B114,LEBT[#ALL],4)/VLOOKUP($B114,표2[#ALL],2)</f>
        <v>190.4424571</v>
      </c>
      <c r="K114" s="319">
        <f>CS_PID!K114/VLOOKUP($B114,LEBT[#ALL],4)/VLOOKUP($B114,표2[#ALL],2)</f>
        <v>571.3273712</v>
      </c>
      <c r="L114" s="319">
        <f>CS_PID!L114/VLOOKUP($B114,LEBT[#ALL],4)/VLOOKUP($B114,표2[#ALL],2)</f>
        <v>380.8849142</v>
      </c>
      <c r="M114" s="319">
        <f>CS_PID!M114/VLOOKUP($B114,LEBT[#ALL],4)/VLOOKUP($B114,표2[#ALL],2)</f>
        <v>95.22122854</v>
      </c>
      <c r="N114" s="319">
        <f>CS_PID!N114/VLOOKUP($B114,LEBT[#ALL],4)/VLOOKUP($B114,표2[#ALL],2)</f>
        <v>0</v>
      </c>
      <c r="O114" s="319">
        <f>CS_PID!O114/VLOOKUP($B114,LEBT[#ALL],4)/VLOOKUP($B114,표2[#ALL],2)</f>
        <v>0</v>
      </c>
      <c r="P114" s="319">
        <f>CS_PID!P114/VLOOKUP($B114,LEBT[#ALL],4)/VLOOKUP($B114,표2[#ALL],2)</f>
        <v>0</v>
      </c>
      <c r="Q114" s="319">
        <f>CS_PID!Q114/VLOOKUP($B114,LEBT[#ALL],4)/VLOOKUP($B114,표2[#ALL],2)</f>
        <v>95.22122854</v>
      </c>
      <c r="R114" s="319">
        <f>CS_PID!R114/VLOOKUP($B114,LEBT[#ALL],4)/VLOOKUP($B114,표2[#ALL],2)</f>
        <v>476.1061427</v>
      </c>
      <c r="S114" s="319">
        <f>CS_PID!S114/VLOOKUP($B114,LEBT[#ALL],4)/VLOOKUP($B114,표2[#ALL],2)</f>
        <v>0</v>
      </c>
      <c r="T114" s="319">
        <f>CS_PID!T114/VLOOKUP($B114,LEBT[#ALL],4)/VLOOKUP($B114,표2[#ALL],2)</f>
        <v>0</v>
      </c>
      <c r="U114" s="319">
        <f>CS_PID!U114/VLOOKUP($B114,LEBT[#ALL],4)/VLOOKUP($B114,표2[#ALL],2)</f>
        <v>0</v>
      </c>
      <c r="V114" s="319">
        <f>CS_PID!V114/VLOOKUP($B114,LEBT[#ALL],4)/VLOOKUP($B114,표2[#ALL],2)</f>
        <v>0</v>
      </c>
      <c r="W114" s="319">
        <f>CS_PID!W114/VLOOKUP($B114,LEBT[#ALL],4)/VLOOKUP($B114,표2[#ALL],2)</f>
        <v>190.4424571</v>
      </c>
      <c r="X114" s="319">
        <f>CS_PID!X114/VLOOKUP($B114,LEBT[#ALL],4)/VLOOKUP($B114,표2[#ALL],2)</f>
        <v>380.8849142</v>
      </c>
      <c r="Y114" s="319">
        <f>CS_PID!Y114/VLOOKUP($B114,LEBT[#ALL],4)/VLOOKUP($B114,표2[#ALL],2)</f>
        <v>0</v>
      </c>
      <c r="Z114" s="319">
        <f>CS_PID!Z114/VLOOKUP($B114,LEBT[#ALL],4)/VLOOKUP($B114,표2[#ALL],2)</f>
        <v>0</v>
      </c>
      <c r="AA114" s="319">
        <f>CS_PID!AA114/VLOOKUP($B114,LEBT[#ALL],4)/VLOOKUP($B114,표2[#ALL],2)</f>
        <v>0</v>
      </c>
      <c r="AB114" s="319">
        <f>CS_PID!AB114/VLOOKUP($B114,LEBT[#ALL],4)/VLOOKUP($B114,표2[#ALL],2)</f>
        <v>0</v>
      </c>
      <c r="AC114" s="319">
        <f>CS_PID!AC114/VLOOKUP($B114,LEBT[#ALL],4)/VLOOKUP($B114,표2[#ALL],2)</f>
        <v>0</v>
      </c>
      <c r="AD114" s="319">
        <f>CS_PID!AD114/VLOOKUP($B114,LEBT[#ALL],4)/VLOOKUP($B114,표2[#ALL],2)</f>
        <v>95.22122854</v>
      </c>
      <c r="AE114" s="319">
        <f>CS_PID!AE114/VLOOKUP($B114,LEBT[#ALL],4)/VLOOKUP($B114,표2[#ALL],2)</f>
        <v>95.22122854</v>
      </c>
      <c r="AF114" s="319">
        <f>CS_PID!AF114/VLOOKUP($B114,LEBT[#ALL],4)/VLOOKUP($B114,표2[#ALL],2)</f>
        <v>0</v>
      </c>
      <c r="AG114" s="319">
        <f>CS_PID!AG114/VLOOKUP($B114,LEBT[#ALL],4)/VLOOKUP($B114,표2[#ALL],2)</f>
        <v>0</v>
      </c>
      <c r="AH114" s="319">
        <f>CS_PID!AH114/VLOOKUP($B114,LEBT[#ALL],4)/VLOOKUP($B114,표2[#ALL],2)</f>
        <v>0</v>
      </c>
      <c r="AI114" s="319">
        <f>CS_PID!AI114/VLOOKUP($B114,LEBT[#ALL],4)/VLOOKUP($B114,표2[#ALL],2)</f>
        <v>0</v>
      </c>
      <c r="AJ114" s="319">
        <f>CS_PID!AJ114/VLOOKUP($B114,LEBT[#ALL],4)/VLOOKUP($B114,표2[#ALL],2)</f>
        <v>95.22122854</v>
      </c>
      <c r="AK114" s="319">
        <f>CS_PID!AK114/VLOOKUP($B114,LEBT[#ALL],4)/VLOOKUP($B114,표2[#ALL],2)</f>
        <v>0</v>
      </c>
      <c r="AL114" s="319">
        <f>CS_PID!AL114/VLOOKUP($B114,LEBT[#ALL],4)/VLOOKUP($B114,표2[#ALL],2)</f>
        <v>0</v>
      </c>
      <c r="AM114" s="319">
        <f>CS_PID!AM114/VLOOKUP($B114,LEBT[#ALL],4)/VLOOKUP($B114,표2[#ALL],2)</f>
        <v>0</v>
      </c>
      <c r="AN114" s="319">
        <f>CS_PID!AN114/VLOOKUP($B114,LEBT[#ALL],4)/VLOOKUP($B114,표2[#ALL],2)</f>
        <v>0</v>
      </c>
      <c r="AO114" s="319">
        <f>CS_PID!AO114/VLOOKUP($B114,LEBT[#ALL],4)/VLOOKUP($B114,표2[#ALL],2)</f>
        <v>95.22122854</v>
      </c>
      <c r="AP114" s="319">
        <f>CS_PID!AP114/VLOOKUP($B114,LEBT[#ALL],4)/VLOOKUP($B114,표2[#ALL],2)</f>
        <v>0</v>
      </c>
      <c r="AQ114" s="319">
        <f>CS_PID!AQ114/VLOOKUP($B114,LEBT[#ALL],4)/VLOOKUP($B114,표2[#ALL],2)</f>
        <v>0</v>
      </c>
      <c r="AR114" s="319">
        <f>CS_PID!AR114/VLOOKUP($B114,LEBT[#ALL],4)/VLOOKUP($B114,표2[#ALL],2)</f>
        <v>0</v>
      </c>
      <c r="AS114" s="319">
        <f>CS_PID!AS114/VLOOKUP($B114,LEBT[#ALL],4)/VLOOKUP($B114,표2[#ALL],2)</f>
        <v>0</v>
      </c>
    </row>
    <row r="115">
      <c r="A115" s="177" t="s">
        <v>84</v>
      </c>
      <c r="B115" s="178">
        <v>389.0</v>
      </c>
      <c r="C115" s="319">
        <f>CS_PID!C115/VLOOKUP($B115,LEBT[#ALL],4)/VLOOKUP($B115,표2[#ALL],2)</f>
        <v>0</v>
      </c>
      <c r="D115" s="319">
        <f>CS_PID!D115/VLOOKUP($B115,LEBT[#ALL],4)/VLOOKUP($B115,표2[#ALL],2)</f>
        <v>0</v>
      </c>
      <c r="E115" s="319">
        <f>CS_PID!E115/VLOOKUP($B115,LEBT[#ALL],4)/VLOOKUP($B115,표2[#ALL],2)</f>
        <v>0</v>
      </c>
      <c r="F115" s="319">
        <f>CS_PID!F115/VLOOKUP($B115,LEBT[#ALL],4)/VLOOKUP($B115,표2[#ALL],2)</f>
        <v>0</v>
      </c>
      <c r="G115" s="319">
        <f>CS_PID!G115/VLOOKUP($B115,LEBT[#ALL],4)/VLOOKUP($B115,표2[#ALL],2)</f>
        <v>0</v>
      </c>
      <c r="H115" s="319">
        <f>CS_PID!H115/VLOOKUP($B115,LEBT[#ALL],4)/VLOOKUP($B115,표2[#ALL],2)</f>
        <v>0</v>
      </c>
      <c r="I115" s="319">
        <f>CS_PID!I115/VLOOKUP($B115,LEBT[#ALL],4)/VLOOKUP($B115,표2[#ALL],2)</f>
        <v>0</v>
      </c>
      <c r="J115" s="319">
        <f>CS_PID!J115/VLOOKUP($B115,LEBT[#ALL],4)/VLOOKUP($B115,표2[#ALL],2)</f>
        <v>0</v>
      </c>
      <c r="K115" s="319">
        <f>CS_PID!K115/VLOOKUP($B115,LEBT[#ALL],4)/VLOOKUP($B115,표2[#ALL],2)</f>
        <v>0</v>
      </c>
      <c r="L115" s="319">
        <f>CS_PID!L115/VLOOKUP($B115,LEBT[#ALL],4)/VLOOKUP($B115,표2[#ALL],2)</f>
        <v>0</v>
      </c>
      <c r="M115" s="319">
        <f>CS_PID!M115/VLOOKUP($B115,LEBT[#ALL],4)/VLOOKUP($B115,표2[#ALL],2)</f>
        <v>0</v>
      </c>
      <c r="N115" s="319">
        <f>CS_PID!N115/VLOOKUP($B115,LEBT[#ALL],4)/VLOOKUP($B115,표2[#ALL],2)</f>
        <v>0</v>
      </c>
      <c r="O115" s="319">
        <f>CS_PID!O115/VLOOKUP($B115,LEBT[#ALL],4)/VLOOKUP($B115,표2[#ALL],2)</f>
        <v>0</v>
      </c>
      <c r="P115" s="319">
        <f>CS_PID!P115/VLOOKUP($B115,LEBT[#ALL],4)/VLOOKUP($B115,표2[#ALL],2)</f>
        <v>0</v>
      </c>
      <c r="Q115" s="319">
        <f>CS_PID!Q115/VLOOKUP($B115,LEBT[#ALL],4)/VLOOKUP($B115,표2[#ALL],2)</f>
        <v>523.490567</v>
      </c>
      <c r="R115" s="319">
        <f>CS_PID!R115/VLOOKUP($B115,LEBT[#ALL],4)/VLOOKUP($B115,표2[#ALL],2)</f>
        <v>1570.471701</v>
      </c>
      <c r="S115" s="319">
        <f>CS_PID!S115/VLOOKUP($B115,LEBT[#ALL],4)/VLOOKUP($B115,표2[#ALL],2)</f>
        <v>0</v>
      </c>
      <c r="T115" s="319">
        <f>CS_PID!T115/VLOOKUP($B115,LEBT[#ALL],4)/VLOOKUP($B115,표2[#ALL],2)</f>
        <v>0</v>
      </c>
      <c r="U115" s="319">
        <f>CS_PID!U115/VLOOKUP($B115,LEBT[#ALL],4)/VLOOKUP($B115,표2[#ALL],2)</f>
        <v>0</v>
      </c>
      <c r="V115" s="319">
        <f>CS_PID!V115/VLOOKUP($B115,LEBT[#ALL],4)/VLOOKUP($B115,표2[#ALL],2)</f>
        <v>0</v>
      </c>
      <c r="W115" s="319">
        <f>CS_PID!W115/VLOOKUP($B115,LEBT[#ALL],4)/VLOOKUP($B115,표2[#ALL],2)</f>
        <v>0</v>
      </c>
      <c r="X115" s="319">
        <f>CS_PID!X115/VLOOKUP($B115,LEBT[#ALL],4)/VLOOKUP($B115,표2[#ALL],2)</f>
        <v>1570.471701</v>
      </c>
      <c r="Y115" s="319">
        <f>CS_PID!Y115/VLOOKUP($B115,LEBT[#ALL],4)/VLOOKUP($B115,표2[#ALL],2)</f>
        <v>523.490567</v>
      </c>
      <c r="Z115" s="319">
        <f>CS_PID!Z115/VLOOKUP($B115,LEBT[#ALL],4)/VLOOKUP($B115,표2[#ALL],2)</f>
        <v>0</v>
      </c>
      <c r="AA115" s="319">
        <f>CS_PID!AA115/VLOOKUP($B115,LEBT[#ALL],4)/VLOOKUP($B115,표2[#ALL],2)</f>
        <v>0</v>
      </c>
      <c r="AB115" s="319">
        <f>CS_PID!AB115/VLOOKUP($B115,LEBT[#ALL],4)/VLOOKUP($B115,표2[#ALL],2)</f>
        <v>0</v>
      </c>
      <c r="AC115" s="319">
        <f>CS_PID!AC115/VLOOKUP($B115,LEBT[#ALL],4)/VLOOKUP($B115,표2[#ALL],2)</f>
        <v>0</v>
      </c>
      <c r="AD115" s="319">
        <f>CS_PID!AD115/VLOOKUP($B115,LEBT[#ALL],4)/VLOOKUP($B115,표2[#ALL],2)</f>
        <v>0</v>
      </c>
      <c r="AE115" s="319">
        <f>CS_PID!AE115/VLOOKUP($B115,LEBT[#ALL],4)/VLOOKUP($B115,표2[#ALL],2)</f>
        <v>0</v>
      </c>
      <c r="AF115" s="319">
        <f>CS_PID!AF115/VLOOKUP($B115,LEBT[#ALL],4)/VLOOKUP($B115,표2[#ALL],2)</f>
        <v>0</v>
      </c>
      <c r="AG115" s="319">
        <f>CS_PID!AG115/VLOOKUP($B115,LEBT[#ALL],4)/VLOOKUP($B115,표2[#ALL],2)</f>
        <v>0</v>
      </c>
      <c r="AH115" s="319">
        <f>CS_PID!AH115/VLOOKUP($B115,LEBT[#ALL],4)/VLOOKUP($B115,표2[#ALL],2)</f>
        <v>0</v>
      </c>
      <c r="AI115" s="319">
        <f>CS_PID!AI115/VLOOKUP($B115,LEBT[#ALL],4)/VLOOKUP($B115,표2[#ALL],2)</f>
        <v>0</v>
      </c>
      <c r="AJ115" s="319">
        <f>CS_PID!AJ115/VLOOKUP($B115,LEBT[#ALL],4)/VLOOKUP($B115,표2[#ALL],2)</f>
        <v>0</v>
      </c>
      <c r="AK115" s="319">
        <f>CS_PID!AK115/VLOOKUP($B115,LEBT[#ALL],4)/VLOOKUP($B115,표2[#ALL],2)</f>
        <v>0</v>
      </c>
      <c r="AL115" s="319">
        <f>CS_PID!AL115/VLOOKUP($B115,LEBT[#ALL],4)/VLOOKUP($B115,표2[#ALL],2)</f>
        <v>0</v>
      </c>
      <c r="AM115" s="319">
        <f>CS_PID!AM115/VLOOKUP($B115,LEBT[#ALL],4)/VLOOKUP($B115,표2[#ALL],2)</f>
        <v>0</v>
      </c>
      <c r="AN115" s="319">
        <f>CS_PID!AN115/VLOOKUP($B115,LEBT[#ALL],4)/VLOOKUP($B115,표2[#ALL],2)</f>
        <v>0</v>
      </c>
      <c r="AO115" s="319">
        <f>CS_PID!AO115/VLOOKUP($B115,LEBT[#ALL],4)/VLOOKUP($B115,표2[#ALL],2)</f>
        <v>0</v>
      </c>
      <c r="AP115" s="319">
        <f>CS_PID!AP115/VLOOKUP($B115,LEBT[#ALL],4)/VLOOKUP($B115,표2[#ALL],2)</f>
        <v>0</v>
      </c>
      <c r="AQ115" s="319">
        <f>CS_PID!AQ115/VLOOKUP($B115,LEBT[#ALL],4)/VLOOKUP($B115,표2[#ALL],2)</f>
        <v>0</v>
      </c>
      <c r="AR115" s="319">
        <f>CS_PID!AR115/VLOOKUP($B115,LEBT[#ALL],4)/VLOOKUP($B115,표2[#ALL],2)</f>
        <v>0</v>
      </c>
      <c r="AS115" s="319">
        <f>CS_PID!AS115/VLOOKUP($B115,LEBT[#ALL],4)/VLOOKUP($B115,표2[#ALL],2)</f>
        <v>0</v>
      </c>
    </row>
    <row r="116">
      <c r="A116" s="177" t="s">
        <v>84</v>
      </c>
      <c r="B116" s="178">
        <v>390.0</v>
      </c>
      <c r="C116" s="319">
        <f>CS_PID!C116/VLOOKUP($B116,LEBT[#ALL],4)/VLOOKUP($B116,표2[#ALL],2)</f>
        <v>0</v>
      </c>
      <c r="D116" s="319">
        <f>CS_PID!D116/VLOOKUP($B116,LEBT[#ALL],4)/VLOOKUP($B116,표2[#ALL],2)</f>
        <v>0</v>
      </c>
      <c r="E116" s="319">
        <f>CS_PID!E116/VLOOKUP($B116,LEBT[#ALL],4)/VLOOKUP($B116,표2[#ALL],2)</f>
        <v>317.8794134</v>
      </c>
      <c r="F116" s="319">
        <f>CS_PID!F116/VLOOKUP($B116,LEBT[#ALL],4)/VLOOKUP($B116,표2[#ALL],2)</f>
        <v>847.6784358</v>
      </c>
      <c r="G116" s="319">
        <f>CS_PID!G116/VLOOKUP($B116,LEBT[#ALL],4)/VLOOKUP($B116,표2[#ALL],2)</f>
        <v>0</v>
      </c>
      <c r="H116" s="319">
        <f>CS_PID!H116/VLOOKUP($B116,LEBT[#ALL],4)/VLOOKUP($B116,표2[#ALL],2)</f>
        <v>0</v>
      </c>
      <c r="I116" s="319">
        <f>CS_PID!I116/VLOOKUP($B116,LEBT[#ALL],4)/VLOOKUP($B116,표2[#ALL],2)</f>
        <v>0</v>
      </c>
      <c r="J116" s="319">
        <f>CS_PID!J116/VLOOKUP($B116,LEBT[#ALL],4)/VLOOKUP($B116,표2[#ALL],2)</f>
        <v>105.9598045</v>
      </c>
      <c r="K116" s="319">
        <f>CS_PID!K116/VLOOKUP($B116,LEBT[#ALL],4)/VLOOKUP($B116,표2[#ALL],2)</f>
        <v>105.9598045</v>
      </c>
      <c r="L116" s="319">
        <f>CS_PID!L116/VLOOKUP($B116,LEBT[#ALL],4)/VLOOKUP($B116,표2[#ALL],2)</f>
        <v>105.9598045</v>
      </c>
      <c r="M116" s="319">
        <f>CS_PID!M116/VLOOKUP($B116,LEBT[#ALL],4)/VLOOKUP($B116,표2[#ALL],2)</f>
        <v>0</v>
      </c>
      <c r="N116" s="319">
        <f>CS_PID!N116/VLOOKUP($B116,LEBT[#ALL],4)/VLOOKUP($B116,표2[#ALL],2)</f>
        <v>0</v>
      </c>
      <c r="O116" s="319">
        <f>CS_PID!O116/VLOOKUP($B116,LEBT[#ALL],4)/VLOOKUP($B116,표2[#ALL],2)</f>
        <v>0</v>
      </c>
      <c r="P116" s="319">
        <f>CS_PID!P116/VLOOKUP($B116,LEBT[#ALL],4)/VLOOKUP($B116,표2[#ALL],2)</f>
        <v>0</v>
      </c>
      <c r="Q116" s="319">
        <f>CS_PID!Q116/VLOOKUP($B116,LEBT[#ALL],4)/VLOOKUP($B116,표2[#ALL],2)</f>
        <v>211.919609</v>
      </c>
      <c r="R116" s="319">
        <f>CS_PID!R116/VLOOKUP($B116,LEBT[#ALL],4)/VLOOKUP($B116,표2[#ALL],2)</f>
        <v>423.8392179</v>
      </c>
      <c r="S116" s="319">
        <f>CS_PID!S116/VLOOKUP($B116,LEBT[#ALL],4)/VLOOKUP($B116,표2[#ALL],2)</f>
        <v>211.919609</v>
      </c>
      <c r="T116" s="319">
        <f>CS_PID!T116/VLOOKUP($B116,LEBT[#ALL],4)/VLOOKUP($B116,표2[#ALL],2)</f>
        <v>0</v>
      </c>
      <c r="U116" s="319">
        <f>CS_PID!U116/VLOOKUP($B116,LEBT[#ALL],4)/VLOOKUP($B116,표2[#ALL],2)</f>
        <v>0</v>
      </c>
      <c r="V116" s="319">
        <f>CS_PID!V116/VLOOKUP($B116,LEBT[#ALL],4)/VLOOKUP($B116,표2[#ALL],2)</f>
        <v>0</v>
      </c>
      <c r="W116" s="319">
        <f>CS_PID!W116/VLOOKUP($B116,LEBT[#ALL],4)/VLOOKUP($B116,표2[#ALL],2)</f>
        <v>105.9598045</v>
      </c>
      <c r="X116" s="319">
        <f>CS_PID!X116/VLOOKUP($B116,LEBT[#ALL],4)/VLOOKUP($B116,표2[#ALL],2)</f>
        <v>1059.598045</v>
      </c>
      <c r="Y116" s="319">
        <f>CS_PID!Y116/VLOOKUP($B116,LEBT[#ALL],4)/VLOOKUP($B116,표2[#ALL],2)</f>
        <v>105.9598045</v>
      </c>
      <c r="Z116" s="319">
        <f>CS_PID!Z116/VLOOKUP($B116,LEBT[#ALL],4)/VLOOKUP($B116,표2[#ALL],2)</f>
        <v>0</v>
      </c>
      <c r="AA116" s="319">
        <f>CS_PID!AA116/VLOOKUP($B116,LEBT[#ALL],4)/VLOOKUP($B116,표2[#ALL],2)</f>
        <v>0</v>
      </c>
      <c r="AB116" s="319">
        <f>CS_PID!AB116/VLOOKUP($B116,LEBT[#ALL],4)/VLOOKUP($B116,표2[#ALL],2)</f>
        <v>0</v>
      </c>
      <c r="AC116" s="319">
        <f>CS_PID!AC116/VLOOKUP($B116,LEBT[#ALL],4)/VLOOKUP($B116,표2[#ALL],2)</f>
        <v>211.919609</v>
      </c>
      <c r="AD116" s="319">
        <f>CS_PID!AD116/VLOOKUP($B116,LEBT[#ALL],4)/VLOOKUP($B116,표2[#ALL],2)</f>
        <v>105.9598045</v>
      </c>
      <c r="AE116" s="319">
        <f>CS_PID!AE116/VLOOKUP($B116,LEBT[#ALL],4)/VLOOKUP($B116,표2[#ALL],2)</f>
        <v>0</v>
      </c>
      <c r="AF116" s="319">
        <f>CS_PID!AF116/VLOOKUP($B116,LEBT[#ALL],4)/VLOOKUP($B116,표2[#ALL],2)</f>
        <v>0</v>
      </c>
      <c r="AG116" s="319">
        <f>CS_PID!AG116/VLOOKUP($B116,LEBT[#ALL],4)/VLOOKUP($B116,표2[#ALL],2)</f>
        <v>0</v>
      </c>
      <c r="AH116" s="319">
        <f>CS_PID!AH116/VLOOKUP($B116,LEBT[#ALL],4)/VLOOKUP($B116,표2[#ALL],2)</f>
        <v>0</v>
      </c>
      <c r="AI116" s="319">
        <f>CS_PID!AI116/VLOOKUP($B116,LEBT[#ALL],4)/VLOOKUP($B116,표2[#ALL],2)</f>
        <v>105.9598045</v>
      </c>
      <c r="AJ116" s="319">
        <f>CS_PID!AJ116/VLOOKUP($B116,LEBT[#ALL],4)/VLOOKUP($B116,표2[#ALL],2)</f>
        <v>211.919609</v>
      </c>
      <c r="AK116" s="319">
        <f>CS_PID!AK116/VLOOKUP($B116,LEBT[#ALL],4)/VLOOKUP($B116,표2[#ALL],2)</f>
        <v>0</v>
      </c>
      <c r="AL116" s="319">
        <f>CS_PID!AL116/VLOOKUP($B116,LEBT[#ALL],4)/VLOOKUP($B116,표2[#ALL],2)</f>
        <v>0</v>
      </c>
      <c r="AM116" s="319">
        <f>CS_PID!AM116/VLOOKUP($B116,LEBT[#ALL],4)/VLOOKUP($B116,표2[#ALL],2)</f>
        <v>0</v>
      </c>
      <c r="AN116" s="319">
        <f>CS_PID!AN116/VLOOKUP($B116,LEBT[#ALL],4)/VLOOKUP($B116,표2[#ALL],2)</f>
        <v>0</v>
      </c>
      <c r="AO116" s="319">
        <f>CS_PID!AO116/VLOOKUP($B116,LEBT[#ALL],4)/VLOOKUP($B116,표2[#ALL],2)</f>
        <v>0</v>
      </c>
      <c r="AP116" s="319">
        <f>CS_PID!AP116/VLOOKUP($B116,LEBT[#ALL],4)/VLOOKUP($B116,표2[#ALL],2)</f>
        <v>0</v>
      </c>
      <c r="AQ116" s="319">
        <f>CS_PID!AQ116/VLOOKUP($B116,LEBT[#ALL],4)/VLOOKUP($B116,표2[#ALL],2)</f>
        <v>0</v>
      </c>
      <c r="AR116" s="319">
        <f>CS_PID!AR116/VLOOKUP($B116,LEBT[#ALL],4)/VLOOKUP($B116,표2[#ALL],2)</f>
        <v>0</v>
      </c>
      <c r="AS116" s="319">
        <f>CS_PID!AS116/VLOOKUP($B116,LEBT[#ALL],4)/VLOOKUP($B116,표2[#ALL],2)</f>
        <v>0</v>
      </c>
    </row>
    <row r="117">
      <c r="A117" s="177" t="s">
        <v>84</v>
      </c>
      <c r="B117" s="178">
        <v>391.0</v>
      </c>
      <c r="C117" s="319">
        <f>CS_PID!C117/VLOOKUP($B117,LEBT[#ALL],4)/VLOOKUP($B117,표2[#ALL],2)</f>
        <v>0</v>
      </c>
      <c r="D117" s="319">
        <f>CS_PID!D117/VLOOKUP($B117,LEBT[#ALL],4)/VLOOKUP($B117,표2[#ALL],2)</f>
        <v>0</v>
      </c>
      <c r="E117" s="319">
        <f>CS_PID!E117/VLOOKUP($B117,LEBT[#ALL],4)/VLOOKUP($B117,표2[#ALL],2)</f>
        <v>71.20272079</v>
      </c>
      <c r="F117" s="319">
        <f>CS_PID!F117/VLOOKUP($B117,LEBT[#ALL],4)/VLOOKUP($B117,표2[#ALL],2)</f>
        <v>534.0204059</v>
      </c>
      <c r="G117" s="319">
        <f>CS_PID!G117/VLOOKUP($B117,LEBT[#ALL],4)/VLOOKUP($B117,표2[#ALL],2)</f>
        <v>0</v>
      </c>
      <c r="H117" s="319">
        <f>CS_PID!H117/VLOOKUP($B117,LEBT[#ALL],4)/VLOOKUP($B117,표2[#ALL],2)</f>
        <v>0</v>
      </c>
      <c r="I117" s="319">
        <f>CS_PID!I117/VLOOKUP($B117,LEBT[#ALL],4)/VLOOKUP($B117,표2[#ALL],2)</f>
        <v>0</v>
      </c>
      <c r="J117" s="319">
        <f>CS_PID!J117/VLOOKUP($B117,LEBT[#ALL],4)/VLOOKUP($B117,표2[#ALL],2)</f>
        <v>178.006802</v>
      </c>
      <c r="K117" s="319">
        <f>CS_PID!K117/VLOOKUP($B117,LEBT[#ALL],4)/VLOOKUP($B117,표2[#ALL],2)</f>
        <v>640.8244871</v>
      </c>
      <c r="L117" s="319">
        <f>CS_PID!L117/VLOOKUP($B117,LEBT[#ALL],4)/VLOOKUP($B117,표2[#ALL],2)</f>
        <v>462.8176851</v>
      </c>
      <c r="M117" s="319">
        <f>CS_PID!M117/VLOOKUP($B117,LEBT[#ALL],4)/VLOOKUP($B117,표2[#ALL],2)</f>
        <v>0</v>
      </c>
      <c r="N117" s="319">
        <f>CS_PID!N117/VLOOKUP($B117,LEBT[#ALL],4)/VLOOKUP($B117,표2[#ALL],2)</f>
        <v>0</v>
      </c>
      <c r="O117" s="319">
        <f>CS_PID!O117/VLOOKUP($B117,LEBT[#ALL],4)/VLOOKUP($B117,표2[#ALL],2)</f>
        <v>0</v>
      </c>
      <c r="P117" s="319">
        <f>CS_PID!P117/VLOOKUP($B117,LEBT[#ALL],4)/VLOOKUP($B117,표2[#ALL],2)</f>
        <v>71.20272079</v>
      </c>
      <c r="Q117" s="319">
        <f>CS_PID!Q117/VLOOKUP($B117,LEBT[#ALL],4)/VLOOKUP($B117,표2[#ALL],2)</f>
        <v>462.8176851</v>
      </c>
      <c r="R117" s="319">
        <f>CS_PID!R117/VLOOKUP($B117,LEBT[#ALL],4)/VLOOKUP($B117,표2[#ALL],2)</f>
        <v>320.4122435</v>
      </c>
      <c r="S117" s="319">
        <f>CS_PID!S117/VLOOKUP($B117,LEBT[#ALL],4)/VLOOKUP($B117,표2[#ALL],2)</f>
        <v>178.006802</v>
      </c>
      <c r="T117" s="319">
        <f>CS_PID!T117/VLOOKUP($B117,LEBT[#ALL],4)/VLOOKUP($B117,표2[#ALL],2)</f>
        <v>0</v>
      </c>
      <c r="U117" s="319">
        <f>CS_PID!U117/VLOOKUP($B117,LEBT[#ALL],4)/VLOOKUP($B117,표2[#ALL],2)</f>
        <v>0</v>
      </c>
      <c r="V117" s="319">
        <f>CS_PID!V117/VLOOKUP($B117,LEBT[#ALL],4)/VLOOKUP($B117,표2[#ALL],2)</f>
        <v>0</v>
      </c>
      <c r="W117" s="319">
        <f>CS_PID!W117/VLOOKUP($B117,LEBT[#ALL],4)/VLOOKUP($B117,표2[#ALL],2)</f>
        <v>0</v>
      </c>
      <c r="X117" s="319">
        <f>CS_PID!X117/VLOOKUP($B117,LEBT[#ALL],4)/VLOOKUP($B117,표2[#ALL],2)</f>
        <v>427.2163247</v>
      </c>
      <c r="Y117" s="319">
        <f>CS_PID!Y117/VLOOKUP($B117,LEBT[#ALL],4)/VLOOKUP($B117,표2[#ALL],2)</f>
        <v>71.20272079</v>
      </c>
      <c r="Z117" s="319">
        <f>CS_PID!Z117/VLOOKUP($B117,LEBT[#ALL],4)/VLOOKUP($B117,표2[#ALL],2)</f>
        <v>0</v>
      </c>
      <c r="AA117" s="319">
        <f>CS_PID!AA117/VLOOKUP($B117,LEBT[#ALL],4)/VLOOKUP($B117,표2[#ALL],2)</f>
        <v>0</v>
      </c>
      <c r="AB117" s="319">
        <f>CS_PID!AB117/VLOOKUP($B117,LEBT[#ALL],4)/VLOOKUP($B117,표2[#ALL],2)</f>
        <v>0</v>
      </c>
      <c r="AC117" s="319">
        <f>CS_PID!AC117/VLOOKUP($B117,LEBT[#ALL],4)/VLOOKUP($B117,표2[#ALL],2)</f>
        <v>142.4054416</v>
      </c>
      <c r="AD117" s="319">
        <f>CS_PID!AD117/VLOOKUP($B117,LEBT[#ALL],4)/VLOOKUP($B117,표2[#ALL],2)</f>
        <v>71.20272079</v>
      </c>
      <c r="AE117" s="319">
        <f>CS_PID!AE117/VLOOKUP($B117,LEBT[#ALL],4)/VLOOKUP($B117,표2[#ALL],2)</f>
        <v>35.60136039</v>
      </c>
      <c r="AF117" s="319">
        <f>CS_PID!AF117/VLOOKUP($B117,LEBT[#ALL],4)/VLOOKUP($B117,표2[#ALL],2)</f>
        <v>0</v>
      </c>
      <c r="AG117" s="319">
        <f>CS_PID!AG117/VLOOKUP($B117,LEBT[#ALL],4)/VLOOKUP($B117,표2[#ALL],2)</f>
        <v>0</v>
      </c>
      <c r="AH117" s="319">
        <f>CS_PID!AH117/VLOOKUP($B117,LEBT[#ALL],4)/VLOOKUP($B117,표2[#ALL],2)</f>
        <v>0</v>
      </c>
      <c r="AI117" s="319">
        <f>CS_PID!AI117/VLOOKUP($B117,LEBT[#ALL],4)/VLOOKUP($B117,표2[#ALL],2)</f>
        <v>0</v>
      </c>
      <c r="AJ117" s="319">
        <f>CS_PID!AJ117/VLOOKUP($B117,LEBT[#ALL],4)/VLOOKUP($B117,표2[#ALL],2)</f>
        <v>35.60136039</v>
      </c>
      <c r="AK117" s="319">
        <f>CS_PID!AK117/VLOOKUP($B117,LEBT[#ALL],4)/VLOOKUP($B117,표2[#ALL],2)</f>
        <v>71.20272079</v>
      </c>
      <c r="AL117" s="319">
        <f>CS_PID!AL117/VLOOKUP($B117,LEBT[#ALL],4)/VLOOKUP($B117,표2[#ALL],2)</f>
        <v>0</v>
      </c>
      <c r="AM117" s="319">
        <f>CS_PID!AM117/VLOOKUP($B117,LEBT[#ALL],4)/VLOOKUP($B117,표2[#ALL],2)</f>
        <v>0</v>
      </c>
      <c r="AN117" s="319">
        <f>CS_PID!AN117/VLOOKUP($B117,LEBT[#ALL],4)/VLOOKUP($B117,표2[#ALL],2)</f>
        <v>0</v>
      </c>
      <c r="AO117" s="319">
        <f>CS_PID!AO117/VLOOKUP($B117,LEBT[#ALL],4)/VLOOKUP($B117,표2[#ALL],2)</f>
        <v>35.60136039</v>
      </c>
      <c r="AP117" s="319">
        <f>CS_PID!AP117/VLOOKUP($B117,LEBT[#ALL],4)/VLOOKUP($B117,표2[#ALL],2)</f>
        <v>35.60136039</v>
      </c>
      <c r="AQ117" s="319">
        <f>CS_PID!AQ117/VLOOKUP($B117,LEBT[#ALL],4)/VLOOKUP($B117,표2[#ALL],2)</f>
        <v>0</v>
      </c>
      <c r="AR117" s="319">
        <f>CS_PID!AR117/VLOOKUP($B117,LEBT[#ALL],4)/VLOOKUP($B117,표2[#ALL],2)</f>
        <v>0</v>
      </c>
      <c r="AS117" s="319">
        <f>CS_PID!AS117/VLOOKUP($B117,LEBT[#ALL],4)/VLOOKUP($B117,표2[#ALL],2)</f>
        <v>0</v>
      </c>
    </row>
    <row r="118">
      <c r="A118" s="177" t="s">
        <v>84</v>
      </c>
      <c r="B118" s="178">
        <v>392.0</v>
      </c>
      <c r="C118" s="319">
        <f>CS_PID!C118/VLOOKUP($B118,LEBT[#ALL],4)/VLOOKUP($B118,표2[#ALL],2)</f>
        <v>0</v>
      </c>
      <c r="D118" s="319">
        <f>CS_PID!D118/VLOOKUP($B118,LEBT[#ALL],4)/VLOOKUP($B118,표2[#ALL],2)</f>
        <v>0</v>
      </c>
      <c r="E118" s="319">
        <f>CS_PID!E118/VLOOKUP($B118,LEBT[#ALL],4)/VLOOKUP($B118,표2[#ALL],2)</f>
        <v>0</v>
      </c>
      <c r="F118" s="319">
        <f>CS_PID!F118/VLOOKUP($B118,LEBT[#ALL],4)/VLOOKUP($B118,표2[#ALL],2)</f>
        <v>680.338439</v>
      </c>
      <c r="G118" s="319">
        <f>CS_PID!G118/VLOOKUP($B118,LEBT[#ALL],4)/VLOOKUP($B118,표2[#ALL],2)</f>
        <v>0</v>
      </c>
      <c r="H118" s="319">
        <f>CS_PID!H118/VLOOKUP($B118,LEBT[#ALL],4)/VLOOKUP($B118,표2[#ALL],2)</f>
        <v>0</v>
      </c>
      <c r="I118" s="319">
        <f>CS_PID!I118/VLOOKUP($B118,LEBT[#ALL],4)/VLOOKUP($B118,표2[#ALL],2)</f>
        <v>0</v>
      </c>
      <c r="J118" s="319">
        <f>CS_PID!J118/VLOOKUP($B118,LEBT[#ALL],4)/VLOOKUP($B118,표2[#ALL],2)</f>
        <v>0</v>
      </c>
      <c r="K118" s="319">
        <f>CS_PID!K118/VLOOKUP($B118,LEBT[#ALL],4)/VLOOKUP($B118,표2[#ALL],2)</f>
        <v>0</v>
      </c>
      <c r="L118" s="319">
        <f>CS_PID!L118/VLOOKUP($B118,LEBT[#ALL],4)/VLOOKUP($B118,표2[#ALL],2)</f>
        <v>0</v>
      </c>
      <c r="M118" s="319">
        <f>CS_PID!M118/VLOOKUP($B118,LEBT[#ALL],4)/VLOOKUP($B118,표2[#ALL],2)</f>
        <v>0</v>
      </c>
      <c r="N118" s="319">
        <f>CS_PID!N118/VLOOKUP($B118,LEBT[#ALL],4)/VLOOKUP($B118,표2[#ALL],2)</f>
        <v>0</v>
      </c>
      <c r="O118" s="319">
        <f>CS_PID!O118/VLOOKUP($B118,LEBT[#ALL],4)/VLOOKUP($B118,표2[#ALL],2)</f>
        <v>0</v>
      </c>
      <c r="P118" s="319">
        <f>CS_PID!P118/VLOOKUP($B118,LEBT[#ALL],4)/VLOOKUP($B118,표2[#ALL],2)</f>
        <v>0</v>
      </c>
      <c r="Q118" s="319">
        <f>CS_PID!Q118/VLOOKUP($B118,LEBT[#ALL],4)/VLOOKUP($B118,표2[#ALL],2)</f>
        <v>907.1179186</v>
      </c>
      <c r="R118" s="319">
        <f>CS_PID!R118/VLOOKUP($B118,LEBT[#ALL],4)/VLOOKUP($B118,표2[#ALL],2)</f>
        <v>226.7794797</v>
      </c>
      <c r="S118" s="319">
        <f>CS_PID!S118/VLOOKUP($B118,LEBT[#ALL],4)/VLOOKUP($B118,표2[#ALL],2)</f>
        <v>0</v>
      </c>
      <c r="T118" s="319">
        <f>CS_PID!T118/VLOOKUP($B118,LEBT[#ALL],4)/VLOOKUP($B118,표2[#ALL],2)</f>
        <v>0</v>
      </c>
      <c r="U118" s="319">
        <f>CS_PID!U118/VLOOKUP($B118,LEBT[#ALL],4)/VLOOKUP($B118,표2[#ALL],2)</f>
        <v>0</v>
      </c>
      <c r="V118" s="319">
        <f>CS_PID!V118/VLOOKUP($B118,LEBT[#ALL],4)/VLOOKUP($B118,표2[#ALL],2)</f>
        <v>0</v>
      </c>
      <c r="W118" s="319">
        <f>CS_PID!W118/VLOOKUP($B118,LEBT[#ALL],4)/VLOOKUP($B118,표2[#ALL],2)</f>
        <v>0</v>
      </c>
      <c r="X118" s="319">
        <f>CS_PID!X118/VLOOKUP($B118,LEBT[#ALL],4)/VLOOKUP($B118,표2[#ALL],2)</f>
        <v>226.7794797</v>
      </c>
      <c r="Y118" s="319">
        <f>CS_PID!Y118/VLOOKUP($B118,LEBT[#ALL],4)/VLOOKUP($B118,표2[#ALL],2)</f>
        <v>0</v>
      </c>
      <c r="Z118" s="319">
        <f>CS_PID!Z118/VLOOKUP($B118,LEBT[#ALL],4)/VLOOKUP($B118,표2[#ALL],2)</f>
        <v>0</v>
      </c>
      <c r="AA118" s="319">
        <f>CS_PID!AA118/VLOOKUP($B118,LEBT[#ALL],4)/VLOOKUP($B118,표2[#ALL],2)</f>
        <v>0</v>
      </c>
      <c r="AB118" s="319">
        <f>CS_PID!AB118/VLOOKUP($B118,LEBT[#ALL],4)/VLOOKUP($B118,표2[#ALL],2)</f>
        <v>0</v>
      </c>
      <c r="AC118" s="319">
        <f>CS_PID!AC118/VLOOKUP($B118,LEBT[#ALL],4)/VLOOKUP($B118,표2[#ALL],2)</f>
        <v>0</v>
      </c>
      <c r="AD118" s="319">
        <f>CS_PID!AD118/VLOOKUP($B118,LEBT[#ALL],4)/VLOOKUP($B118,표2[#ALL],2)</f>
        <v>226.7794797</v>
      </c>
      <c r="AE118" s="319">
        <f>CS_PID!AE118/VLOOKUP($B118,LEBT[#ALL],4)/VLOOKUP($B118,표2[#ALL],2)</f>
        <v>226.7794797</v>
      </c>
      <c r="AF118" s="319">
        <f>CS_PID!AF118/VLOOKUP($B118,LEBT[#ALL],4)/VLOOKUP($B118,표2[#ALL],2)</f>
        <v>0</v>
      </c>
      <c r="AG118" s="319">
        <f>CS_PID!AG118/VLOOKUP($B118,LEBT[#ALL],4)/VLOOKUP($B118,표2[#ALL],2)</f>
        <v>0</v>
      </c>
      <c r="AH118" s="319">
        <f>CS_PID!AH118/VLOOKUP($B118,LEBT[#ALL],4)/VLOOKUP($B118,표2[#ALL],2)</f>
        <v>0</v>
      </c>
      <c r="AI118" s="319">
        <f>CS_PID!AI118/VLOOKUP($B118,LEBT[#ALL],4)/VLOOKUP($B118,표2[#ALL],2)</f>
        <v>0</v>
      </c>
      <c r="AJ118" s="319">
        <f>CS_PID!AJ118/VLOOKUP($B118,LEBT[#ALL],4)/VLOOKUP($B118,표2[#ALL],2)</f>
        <v>226.7794797</v>
      </c>
      <c r="AK118" s="319">
        <f>CS_PID!AK118/VLOOKUP($B118,LEBT[#ALL],4)/VLOOKUP($B118,표2[#ALL],2)</f>
        <v>0</v>
      </c>
      <c r="AL118" s="319">
        <f>CS_PID!AL118/VLOOKUP($B118,LEBT[#ALL],4)/VLOOKUP($B118,표2[#ALL],2)</f>
        <v>0</v>
      </c>
      <c r="AM118" s="319">
        <f>CS_PID!AM118/VLOOKUP($B118,LEBT[#ALL],4)/VLOOKUP($B118,표2[#ALL],2)</f>
        <v>0</v>
      </c>
      <c r="AN118" s="319">
        <f>CS_PID!AN118/VLOOKUP($B118,LEBT[#ALL],4)/VLOOKUP($B118,표2[#ALL],2)</f>
        <v>0</v>
      </c>
      <c r="AO118" s="319">
        <f>CS_PID!AO118/VLOOKUP($B118,LEBT[#ALL],4)/VLOOKUP($B118,표2[#ALL],2)</f>
        <v>0</v>
      </c>
      <c r="AP118" s="319">
        <f>CS_PID!AP118/VLOOKUP($B118,LEBT[#ALL],4)/VLOOKUP($B118,표2[#ALL],2)</f>
        <v>0</v>
      </c>
      <c r="AQ118" s="319">
        <f>CS_PID!AQ118/VLOOKUP($B118,LEBT[#ALL],4)/VLOOKUP($B118,표2[#ALL],2)</f>
        <v>0</v>
      </c>
      <c r="AR118" s="319">
        <f>CS_PID!AR118/VLOOKUP($B118,LEBT[#ALL],4)/VLOOKUP($B118,표2[#ALL],2)</f>
        <v>0</v>
      </c>
      <c r="AS118" s="319">
        <f>CS_PID!AS118/VLOOKUP($B118,LEBT[#ALL],4)/VLOOKUP($B118,표2[#ALL],2)</f>
        <v>0</v>
      </c>
    </row>
    <row r="119">
      <c r="A119" s="177" t="s">
        <v>84</v>
      </c>
      <c r="B119" s="178">
        <v>393.0</v>
      </c>
      <c r="C119" s="319">
        <f>CS_PID!C119/VLOOKUP($B119,LEBT[#ALL],4)/VLOOKUP($B119,표2[#ALL],2)</f>
        <v>0</v>
      </c>
      <c r="D119" s="319">
        <f>CS_PID!D119/VLOOKUP($B119,LEBT[#ALL],4)/VLOOKUP($B119,표2[#ALL],2)</f>
        <v>0</v>
      </c>
      <c r="E119" s="319">
        <f>CS_PID!E119/VLOOKUP($B119,LEBT[#ALL],4)/VLOOKUP($B119,표2[#ALL],2)</f>
        <v>0</v>
      </c>
      <c r="F119" s="319">
        <f>CS_PID!F119/VLOOKUP($B119,LEBT[#ALL],4)/VLOOKUP($B119,표2[#ALL],2)</f>
        <v>0</v>
      </c>
      <c r="G119" s="319">
        <f>CS_PID!G119/VLOOKUP($B119,LEBT[#ALL],4)/VLOOKUP($B119,표2[#ALL],2)</f>
        <v>0</v>
      </c>
      <c r="H119" s="319">
        <f>CS_PID!H119/VLOOKUP($B119,LEBT[#ALL],4)/VLOOKUP($B119,표2[#ALL],2)</f>
        <v>0</v>
      </c>
      <c r="I119" s="319">
        <f>CS_PID!I119/VLOOKUP($B119,LEBT[#ALL],4)/VLOOKUP($B119,표2[#ALL],2)</f>
        <v>0</v>
      </c>
      <c r="J119" s="319">
        <f>CS_PID!J119/VLOOKUP($B119,LEBT[#ALL],4)/VLOOKUP($B119,표2[#ALL],2)</f>
        <v>1009.923829</v>
      </c>
      <c r="K119" s="319">
        <f>CS_PID!K119/VLOOKUP($B119,LEBT[#ALL],4)/VLOOKUP($B119,표2[#ALL],2)</f>
        <v>1009.923829</v>
      </c>
      <c r="L119" s="319">
        <f>CS_PID!L119/VLOOKUP($B119,LEBT[#ALL],4)/VLOOKUP($B119,표2[#ALL],2)</f>
        <v>0</v>
      </c>
      <c r="M119" s="319">
        <f>CS_PID!M119/VLOOKUP($B119,LEBT[#ALL],4)/VLOOKUP($B119,표2[#ALL],2)</f>
        <v>0</v>
      </c>
      <c r="N119" s="319">
        <f>CS_PID!N119/VLOOKUP($B119,LEBT[#ALL],4)/VLOOKUP($B119,표2[#ALL],2)</f>
        <v>0</v>
      </c>
      <c r="O119" s="319">
        <f>CS_PID!O119/VLOOKUP($B119,LEBT[#ALL],4)/VLOOKUP($B119,표2[#ALL],2)</f>
        <v>0</v>
      </c>
      <c r="P119" s="319">
        <f>CS_PID!P119/VLOOKUP($B119,LEBT[#ALL],4)/VLOOKUP($B119,표2[#ALL],2)</f>
        <v>0</v>
      </c>
      <c r="Q119" s="319">
        <f>CS_PID!Q119/VLOOKUP($B119,LEBT[#ALL],4)/VLOOKUP($B119,표2[#ALL],2)</f>
        <v>0</v>
      </c>
      <c r="R119" s="319">
        <f>CS_PID!R119/VLOOKUP($B119,LEBT[#ALL],4)/VLOOKUP($B119,표2[#ALL],2)</f>
        <v>1009.923829</v>
      </c>
      <c r="S119" s="319">
        <f>CS_PID!S119/VLOOKUP($B119,LEBT[#ALL],4)/VLOOKUP($B119,표2[#ALL],2)</f>
        <v>0</v>
      </c>
      <c r="T119" s="319">
        <f>CS_PID!T119/VLOOKUP($B119,LEBT[#ALL],4)/VLOOKUP($B119,표2[#ALL],2)</f>
        <v>0</v>
      </c>
      <c r="U119" s="319">
        <f>CS_PID!U119/VLOOKUP($B119,LEBT[#ALL],4)/VLOOKUP($B119,표2[#ALL],2)</f>
        <v>0</v>
      </c>
      <c r="V119" s="319">
        <f>CS_PID!V119/VLOOKUP($B119,LEBT[#ALL],4)/VLOOKUP($B119,표2[#ALL],2)</f>
        <v>0</v>
      </c>
      <c r="W119" s="319">
        <f>CS_PID!W119/VLOOKUP($B119,LEBT[#ALL],4)/VLOOKUP($B119,표2[#ALL],2)</f>
        <v>1009.923829</v>
      </c>
      <c r="X119" s="319">
        <f>CS_PID!X119/VLOOKUP($B119,LEBT[#ALL],4)/VLOOKUP($B119,표2[#ALL],2)</f>
        <v>2019.847657</v>
      </c>
      <c r="Y119" s="319">
        <f>CS_PID!Y119/VLOOKUP($B119,LEBT[#ALL],4)/VLOOKUP($B119,표2[#ALL],2)</f>
        <v>0</v>
      </c>
      <c r="Z119" s="319">
        <f>CS_PID!Z119/VLOOKUP($B119,LEBT[#ALL],4)/VLOOKUP($B119,표2[#ALL],2)</f>
        <v>0</v>
      </c>
      <c r="AA119" s="319">
        <f>CS_PID!AA119/VLOOKUP($B119,LEBT[#ALL],4)/VLOOKUP($B119,표2[#ALL],2)</f>
        <v>0</v>
      </c>
      <c r="AB119" s="319">
        <f>CS_PID!AB119/VLOOKUP($B119,LEBT[#ALL],4)/VLOOKUP($B119,표2[#ALL],2)</f>
        <v>0</v>
      </c>
      <c r="AC119" s="319">
        <f>CS_PID!AC119/VLOOKUP($B119,LEBT[#ALL],4)/VLOOKUP($B119,표2[#ALL],2)</f>
        <v>0</v>
      </c>
      <c r="AD119" s="319">
        <f>CS_PID!AD119/VLOOKUP($B119,LEBT[#ALL],4)/VLOOKUP($B119,표2[#ALL],2)</f>
        <v>0</v>
      </c>
      <c r="AE119" s="319">
        <f>CS_PID!AE119/VLOOKUP($B119,LEBT[#ALL],4)/VLOOKUP($B119,표2[#ALL],2)</f>
        <v>0</v>
      </c>
      <c r="AF119" s="319">
        <f>CS_PID!AF119/VLOOKUP($B119,LEBT[#ALL],4)/VLOOKUP($B119,표2[#ALL],2)</f>
        <v>0</v>
      </c>
      <c r="AG119" s="319">
        <f>CS_PID!AG119/VLOOKUP($B119,LEBT[#ALL],4)/VLOOKUP($B119,표2[#ALL],2)</f>
        <v>0</v>
      </c>
      <c r="AH119" s="319">
        <f>CS_PID!AH119/VLOOKUP($B119,LEBT[#ALL],4)/VLOOKUP($B119,표2[#ALL],2)</f>
        <v>0</v>
      </c>
      <c r="AI119" s="319">
        <f>CS_PID!AI119/VLOOKUP($B119,LEBT[#ALL],4)/VLOOKUP($B119,표2[#ALL],2)</f>
        <v>0</v>
      </c>
      <c r="AJ119" s="319">
        <f>CS_PID!AJ119/VLOOKUP($B119,LEBT[#ALL],4)/VLOOKUP($B119,표2[#ALL],2)</f>
        <v>0</v>
      </c>
      <c r="AK119" s="319">
        <f>CS_PID!AK119/VLOOKUP($B119,LEBT[#ALL],4)/VLOOKUP($B119,표2[#ALL],2)</f>
        <v>0</v>
      </c>
      <c r="AL119" s="319">
        <f>CS_PID!AL119/VLOOKUP($B119,LEBT[#ALL],4)/VLOOKUP($B119,표2[#ALL],2)</f>
        <v>0</v>
      </c>
      <c r="AM119" s="319">
        <f>CS_PID!AM119/VLOOKUP($B119,LEBT[#ALL],4)/VLOOKUP($B119,표2[#ALL],2)</f>
        <v>0</v>
      </c>
      <c r="AN119" s="319">
        <f>CS_PID!AN119/VLOOKUP($B119,LEBT[#ALL],4)/VLOOKUP($B119,표2[#ALL],2)</f>
        <v>0</v>
      </c>
      <c r="AO119" s="319">
        <f>CS_PID!AO119/VLOOKUP($B119,LEBT[#ALL],4)/VLOOKUP($B119,표2[#ALL],2)</f>
        <v>0</v>
      </c>
      <c r="AP119" s="319">
        <f>CS_PID!AP119/VLOOKUP($B119,LEBT[#ALL],4)/VLOOKUP($B119,표2[#ALL],2)</f>
        <v>0</v>
      </c>
      <c r="AQ119" s="319">
        <f>CS_PID!AQ119/VLOOKUP($B119,LEBT[#ALL],4)/VLOOKUP($B119,표2[#ALL],2)</f>
        <v>0</v>
      </c>
      <c r="AR119" s="319">
        <f>CS_PID!AR119/VLOOKUP($B119,LEBT[#ALL],4)/VLOOKUP($B119,표2[#ALL],2)</f>
        <v>0</v>
      </c>
      <c r="AS119" s="319">
        <f>CS_PID!AS119/VLOOKUP($B119,LEBT[#ALL],4)/VLOOKUP($B119,표2[#ALL],2)</f>
        <v>0</v>
      </c>
    </row>
    <row r="120">
      <c r="A120" s="177" t="s">
        <v>84</v>
      </c>
      <c r="B120" s="178">
        <v>394.0</v>
      </c>
      <c r="C120" s="319">
        <f>CS_PID!C120/VLOOKUP($B120,LEBT[#ALL],4)/VLOOKUP($B120,표2[#ALL],2)</f>
        <v>0</v>
      </c>
      <c r="D120" s="319">
        <f>CS_PID!D120/VLOOKUP($B120,LEBT[#ALL],4)/VLOOKUP($B120,표2[#ALL],2)</f>
        <v>35.35566772</v>
      </c>
      <c r="E120" s="319">
        <f>CS_PID!E120/VLOOKUP($B120,LEBT[#ALL],4)/VLOOKUP($B120,표2[#ALL],2)</f>
        <v>70.71133544</v>
      </c>
      <c r="F120" s="319">
        <f>CS_PID!F120/VLOOKUP($B120,LEBT[#ALL],4)/VLOOKUP($B120,표2[#ALL],2)</f>
        <v>424.2680126</v>
      </c>
      <c r="G120" s="319">
        <f>CS_PID!G120/VLOOKUP($B120,LEBT[#ALL],4)/VLOOKUP($B120,표2[#ALL],2)</f>
        <v>106.0670032</v>
      </c>
      <c r="H120" s="319">
        <f>CS_PID!H120/VLOOKUP($B120,LEBT[#ALL],4)/VLOOKUP($B120,표2[#ALL],2)</f>
        <v>0</v>
      </c>
      <c r="I120" s="319">
        <f>CS_PID!I120/VLOOKUP($B120,LEBT[#ALL],4)/VLOOKUP($B120,표2[#ALL],2)</f>
        <v>0</v>
      </c>
      <c r="J120" s="319">
        <f>CS_PID!J120/VLOOKUP($B120,LEBT[#ALL],4)/VLOOKUP($B120,표2[#ALL],2)</f>
        <v>70.71133544</v>
      </c>
      <c r="K120" s="319">
        <f>CS_PID!K120/VLOOKUP($B120,LEBT[#ALL],4)/VLOOKUP($B120,표2[#ALL],2)</f>
        <v>530.3350158</v>
      </c>
      <c r="L120" s="319">
        <f>CS_PID!L120/VLOOKUP($B120,LEBT[#ALL],4)/VLOOKUP($B120,표2[#ALL],2)</f>
        <v>247.489674</v>
      </c>
      <c r="M120" s="319">
        <f>CS_PID!M120/VLOOKUP($B120,LEBT[#ALL],4)/VLOOKUP($B120,표2[#ALL],2)</f>
        <v>106.0670032</v>
      </c>
      <c r="N120" s="319">
        <f>CS_PID!N120/VLOOKUP($B120,LEBT[#ALL],4)/VLOOKUP($B120,표2[#ALL],2)</f>
        <v>0</v>
      </c>
      <c r="O120" s="319">
        <f>CS_PID!O120/VLOOKUP($B120,LEBT[#ALL],4)/VLOOKUP($B120,표2[#ALL],2)</f>
        <v>0</v>
      </c>
      <c r="P120" s="319">
        <f>CS_PID!P120/VLOOKUP($B120,LEBT[#ALL],4)/VLOOKUP($B120,표2[#ALL],2)</f>
        <v>0</v>
      </c>
      <c r="Q120" s="319">
        <f>CS_PID!Q120/VLOOKUP($B120,LEBT[#ALL],4)/VLOOKUP($B120,표2[#ALL],2)</f>
        <v>459.6236803</v>
      </c>
      <c r="R120" s="319">
        <f>CS_PID!R120/VLOOKUP($B120,LEBT[#ALL],4)/VLOOKUP($B120,표2[#ALL],2)</f>
        <v>318.2010095</v>
      </c>
      <c r="S120" s="319">
        <f>CS_PID!S120/VLOOKUP($B120,LEBT[#ALL],4)/VLOOKUP($B120,표2[#ALL],2)</f>
        <v>106.0670032</v>
      </c>
      <c r="T120" s="319">
        <f>CS_PID!T120/VLOOKUP($B120,LEBT[#ALL],4)/VLOOKUP($B120,표2[#ALL],2)</f>
        <v>0</v>
      </c>
      <c r="U120" s="319">
        <f>CS_PID!U120/VLOOKUP($B120,LEBT[#ALL],4)/VLOOKUP($B120,표2[#ALL],2)</f>
        <v>0</v>
      </c>
      <c r="V120" s="319">
        <f>CS_PID!V120/VLOOKUP($B120,LEBT[#ALL],4)/VLOOKUP($B120,표2[#ALL],2)</f>
        <v>35.35566772</v>
      </c>
      <c r="W120" s="319">
        <f>CS_PID!W120/VLOOKUP($B120,LEBT[#ALL],4)/VLOOKUP($B120,표2[#ALL],2)</f>
        <v>35.35566772</v>
      </c>
      <c r="X120" s="319">
        <f>CS_PID!X120/VLOOKUP($B120,LEBT[#ALL],4)/VLOOKUP($B120,표2[#ALL],2)</f>
        <v>176.7783386</v>
      </c>
      <c r="Y120" s="319">
        <f>CS_PID!Y120/VLOOKUP($B120,LEBT[#ALL],4)/VLOOKUP($B120,표2[#ALL],2)</f>
        <v>141.4226709</v>
      </c>
      <c r="Z120" s="319">
        <f>CS_PID!Z120/VLOOKUP($B120,LEBT[#ALL],4)/VLOOKUP($B120,표2[#ALL],2)</f>
        <v>0</v>
      </c>
      <c r="AA120" s="319">
        <f>CS_PID!AA120/VLOOKUP($B120,LEBT[#ALL],4)/VLOOKUP($B120,표2[#ALL],2)</f>
        <v>0</v>
      </c>
      <c r="AB120" s="319">
        <f>CS_PID!AB120/VLOOKUP($B120,LEBT[#ALL],4)/VLOOKUP($B120,표2[#ALL],2)</f>
        <v>0</v>
      </c>
      <c r="AC120" s="319">
        <f>CS_PID!AC120/VLOOKUP($B120,LEBT[#ALL],4)/VLOOKUP($B120,표2[#ALL],2)</f>
        <v>35.35566772</v>
      </c>
      <c r="AD120" s="319">
        <f>CS_PID!AD120/VLOOKUP($B120,LEBT[#ALL],4)/VLOOKUP($B120,표2[#ALL],2)</f>
        <v>318.2010095</v>
      </c>
      <c r="AE120" s="319">
        <f>CS_PID!AE120/VLOOKUP($B120,LEBT[#ALL],4)/VLOOKUP($B120,표2[#ALL],2)</f>
        <v>70.71133544</v>
      </c>
      <c r="AF120" s="319">
        <f>CS_PID!AF120/VLOOKUP($B120,LEBT[#ALL],4)/VLOOKUP($B120,표2[#ALL],2)</f>
        <v>0</v>
      </c>
      <c r="AG120" s="319">
        <f>CS_PID!AG120/VLOOKUP($B120,LEBT[#ALL],4)/VLOOKUP($B120,표2[#ALL],2)</f>
        <v>0</v>
      </c>
      <c r="AH120" s="319">
        <f>CS_PID!AH120/VLOOKUP($B120,LEBT[#ALL],4)/VLOOKUP($B120,표2[#ALL],2)</f>
        <v>0</v>
      </c>
      <c r="AI120" s="319">
        <f>CS_PID!AI120/VLOOKUP($B120,LEBT[#ALL],4)/VLOOKUP($B120,표2[#ALL],2)</f>
        <v>0</v>
      </c>
      <c r="AJ120" s="319">
        <f>CS_PID!AJ120/VLOOKUP($B120,LEBT[#ALL],4)/VLOOKUP($B120,표2[#ALL],2)</f>
        <v>70.71133544</v>
      </c>
      <c r="AK120" s="319">
        <f>CS_PID!AK120/VLOOKUP($B120,LEBT[#ALL],4)/VLOOKUP($B120,표2[#ALL],2)</f>
        <v>0</v>
      </c>
      <c r="AL120" s="319">
        <f>CS_PID!AL120/VLOOKUP($B120,LEBT[#ALL],4)/VLOOKUP($B120,표2[#ALL],2)</f>
        <v>0</v>
      </c>
      <c r="AM120" s="319">
        <f>CS_PID!AM120/VLOOKUP($B120,LEBT[#ALL],4)/VLOOKUP($B120,표2[#ALL],2)</f>
        <v>0</v>
      </c>
      <c r="AN120" s="319">
        <f>CS_PID!AN120/VLOOKUP($B120,LEBT[#ALL],4)/VLOOKUP($B120,표2[#ALL],2)</f>
        <v>0</v>
      </c>
      <c r="AO120" s="319">
        <f>CS_PID!AO120/VLOOKUP($B120,LEBT[#ALL],4)/VLOOKUP($B120,표2[#ALL],2)</f>
        <v>70.71133544</v>
      </c>
      <c r="AP120" s="319">
        <f>CS_PID!AP120/VLOOKUP($B120,LEBT[#ALL],4)/VLOOKUP($B120,표2[#ALL],2)</f>
        <v>0</v>
      </c>
      <c r="AQ120" s="319">
        <f>CS_PID!AQ120/VLOOKUP($B120,LEBT[#ALL],4)/VLOOKUP($B120,표2[#ALL],2)</f>
        <v>0</v>
      </c>
      <c r="AR120" s="319">
        <f>CS_PID!AR120/VLOOKUP($B120,LEBT[#ALL],4)/VLOOKUP($B120,표2[#ALL],2)</f>
        <v>0</v>
      </c>
      <c r="AS120" s="319">
        <f>CS_PID!AS120/VLOOKUP($B120,LEBT[#ALL],4)/VLOOKUP($B120,표2[#ALL],2)</f>
        <v>0</v>
      </c>
    </row>
    <row r="121">
      <c r="A121" s="177" t="s">
        <v>84</v>
      </c>
      <c r="B121" s="178">
        <v>395.0</v>
      </c>
      <c r="C121" s="319">
        <f>CS_PID!C121/VLOOKUP($B121,LEBT[#ALL],4)/VLOOKUP($B121,표2[#ALL],2)</f>
        <v>0</v>
      </c>
      <c r="D121" s="319">
        <f>CS_PID!D121/VLOOKUP($B121,LEBT[#ALL],4)/VLOOKUP($B121,표2[#ALL],2)</f>
        <v>0</v>
      </c>
      <c r="E121" s="319">
        <f>CS_PID!E121/VLOOKUP($B121,LEBT[#ALL],4)/VLOOKUP($B121,표2[#ALL],2)</f>
        <v>0</v>
      </c>
      <c r="F121" s="319">
        <f>CS_PID!F121/VLOOKUP($B121,LEBT[#ALL],4)/VLOOKUP($B121,표2[#ALL],2)</f>
        <v>0</v>
      </c>
      <c r="G121" s="319">
        <f>CS_PID!G121/VLOOKUP($B121,LEBT[#ALL],4)/VLOOKUP($B121,표2[#ALL],2)</f>
        <v>0</v>
      </c>
      <c r="H121" s="319">
        <f>CS_PID!H121/VLOOKUP($B121,LEBT[#ALL],4)/VLOOKUP($B121,표2[#ALL],2)</f>
        <v>0</v>
      </c>
      <c r="I121" s="319">
        <f>CS_PID!I121/VLOOKUP($B121,LEBT[#ALL],4)/VLOOKUP($B121,표2[#ALL],2)</f>
        <v>0</v>
      </c>
      <c r="J121" s="319">
        <f>CS_PID!J121/VLOOKUP($B121,LEBT[#ALL],4)/VLOOKUP($B121,표2[#ALL],2)</f>
        <v>0</v>
      </c>
      <c r="K121" s="319">
        <f>CS_PID!K121/VLOOKUP($B121,LEBT[#ALL],4)/VLOOKUP($B121,표2[#ALL],2)</f>
        <v>0</v>
      </c>
      <c r="L121" s="319">
        <f>CS_PID!L121/VLOOKUP($B121,LEBT[#ALL],4)/VLOOKUP($B121,표2[#ALL],2)</f>
        <v>0</v>
      </c>
      <c r="M121" s="319">
        <f>CS_PID!M121/VLOOKUP($B121,LEBT[#ALL],4)/VLOOKUP($B121,표2[#ALL],2)</f>
        <v>0</v>
      </c>
      <c r="N121" s="319">
        <f>CS_PID!N121/VLOOKUP($B121,LEBT[#ALL],4)/VLOOKUP($B121,표2[#ALL],2)</f>
        <v>0</v>
      </c>
      <c r="O121" s="319">
        <f>CS_PID!O121/VLOOKUP($B121,LEBT[#ALL],4)/VLOOKUP($B121,표2[#ALL],2)</f>
        <v>0</v>
      </c>
      <c r="P121" s="319">
        <f>CS_PID!P121/VLOOKUP($B121,LEBT[#ALL],4)/VLOOKUP($B121,표2[#ALL],2)</f>
        <v>0</v>
      </c>
      <c r="Q121" s="319">
        <f>CS_PID!Q121/VLOOKUP($B121,LEBT[#ALL],4)/VLOOKUP($B121,표2[#ALL],2)</f>
        <v>0</v>
      </c>
      <c r="R121" s="319">
        <f>CS_PID!R121/VLOOKUP($B121,LEBT[#ALL],4)/VLOOKUP($B121,표2[#ALL],2)</f>
        <v>0</v>
      </c>
      <c r="S121" s="319">
        <f>CS_PID!S121/VLOOKUP($B121,LEBT[#ALL],4)/VLOOKUP($B121,표2[#ALL],2)</f>
        <v>0</v>
      </c>
      <c r="T121" s="319">
        <f>CS_PID!T121/VLOOKUP($B121,LEBT[#ALL],4)/VLOOKUP($B121,표2[#ALL],2)</f>
        <v>0</v>
      </c>
      <c r="U121" s="319">
        <f>CS_PID!U121/VLOOKUP($B121,LEBT[#ALL],4)/VLOOKUP($B121,표2[#ALL],2)</f>
        <v>0</v>
      </c>
      <c r="V121" s="319">
        <f>CS_PID!V121/VLOOKUP($B121,LEBT[#ALL],4)/VLOOKUP($B121,표2[#ALL],2)</f>
        <v>0</v>
      </c>
      <c r="W121" s="319">
        <f>CS_PID!W121/VLOOKUP($B121,LEBT[#ALL],4)/VLOOKUP($B121,표2[#ALL],2)</f>
        <v>0</v>
      </c>
      <c r="X121" s="319">
        <f>CS_PID!X121/VLOOKUP($B121,LEBT[#ALL],4)/VLOOKUP($B121,표2[#ALL],2)</f>
        <v>0</v>
      </c>
      <c r="Y121" s="319">
        <f>CS_PID!Y121/VLOOKUP($B121,LEBT[#ALL],4)/VLOOKUP($B121,표2[#ALL],2)</f>
        <v>0</v>
      </c>
      <c r="Z121" s="319">
        <f>CS_PID!Z121/VLOOKUP($B121,LEBT[#ALL],4)/VLOOKUP($B121,표2[#ALL],2)</f>
        <v>0</v>
      </c>
      <c r="AA121" s="319">
        <f>CS_PID!AA121/VLOOKUP($B121,LEBT[#ALL],4)/VLOOKUP($B121,표2[#ALL],2)</f>
        <v>0</v>
      </c>
      <c r="AB121" s="319">
        <f>CS_PID!AB121/VLOOKUP($B121,LEBT[#ALL],4)/VLOOKUP($B121,표2[#ALL],2)</f>
        <v>0</v>
      </c>
      <c r="AC121" s="319">
        <f>CS_PID!AC121/VLOOKUP($B121,LEBT[#ALL],4)/VLOOKUP($B121,표2[#ALL],2)</f>
        <v>0</v>
      </c>
      <c r="AD121" s="319">
        <f>CS_PID!AD121/VLOOKUP($B121,LEBT[#ALL],4)/VLOOKUP($B121,표2[#ALL],2)</f>
        <v>0</v>
      </c>
      <c r="AE121" s="319">
        <f>CS_PID!AE121/VLOOKUP($B121,LEBT[#ALL],4)/VLOOKUP($B121,표2[#ALL],2)</f>
        <v>0</v>
      </c>
      <c r="AF121" s="319">
        <f>CS_PID!AF121/VLOOKUP($B121,LEBT[#ALL],4)/VLOOKUP($B121,표2[#ALL],2)</f>
        <v>0</v>
      </c>
      <c r="AG121" s="319">
        <f>CS_PID!AG121/VLOOKUP($B121,LEBT[#ALL],4)/VLOOKUP($B121,표2[#ALL],2)</f>
        <v>0</v>
      </c>
      <c r="AH121" s="319">
        <f>CS_PID!AH121/VLOOKUP($B121,LEBT[#ALL],4)/VLOOKUP($B121,표2[#ALL],2)</f>
        <v>0</v>
      </c>
      <c r="AI121" s="319">
        <f>CS_PID!AI121/VLOOKUP($B121,LEBT[#ALL],4)/VLOOKUP($B121,표2[#ALL],2)</f>
        <v>0</v>
      </c>
      <c r="AJ121" s="319">
        <f>CS_PID!AJ121/VLOOKUP($B121,LEBT[#ALL],4)/VLOOKUP($B121,표2[#ALL],2)</f>
        <v>0</v>
      </c>
      <c r="AK121" s="319">
        <f>CS_PID!AK121/VLOOKUP($B121,LEBT[#ALL],4)/VLOOKUP($B121,표2[#ALL],2)</f>
        <v>7561.963777</v>
      </c>
      <c r="AL121" s="319">
        <f>CS_PID!AL121/VLOOKUP($B121,LEBT[#ALL],4)/VLOOKUP($B121,표2[#ALL],2)</f>
        <v>0</v>
      </c>
      <c r="AM121" s="319">
        <f>CS_PID!AM121/VLOOKUP($B121,LEBT[#ALL],4)/VLOOKUP($B121,표2[#ALL],2)</f>
        <v>0</v>
      </c>
      <c r="AN121" s="319">
        <f>CS_PID!AN121/VLOOKUP($B121,LEBT[#ALL],4)/VLOOKUP($B121,표2[#ALL],2)</f>
        <v>0</v>
      </c>
      <c r="AO121" s="319">
        <f>CS_PID!AO121/VLOOKUP($B121,LEBT[#ALL],4)/VLOOKUP($B121,표2[#ALL],2)</f>
        <v>0</v>
      </c>
      <c r="AP121" s="319">
        <f>CS_PID!AP121/VLOOKUP($B121,LEBT[#ALL],4)/VLOOKUP($B121,표2[#ALL],2)</f>
        <v>0</v>
      </c>
      <c r="AQ121" s="319">
        <f>CS_PID!AQ121/VLOOKUP($B121,LEBT[#ALL],4)/VLOOKUP($B121,표2[#ALL],2)</f>
        <v>0</v>
      </c>
      <c r="AR121" s="319">
        <f>CS_PID!AR121/VLOOKUP($B121,LEBT[#ALL],4)/VLOOKUP($B121,표2[#ALL],2)</f>
        <v>0</v>
      </c>
      <c r="AS121" s="319">
        <f>CS_PID!AS121/VLOOKUP($B121,LEBT[#ALL],4)/VLOOKUP($B121,표2[#ALL],2)</f>
        <v>0</v>
      </c>
    </row>
    <row r="122">
      <c r="A122" s="177" t="s">
        <v>84</v>
      </c>
      <c r="B122" s="178">
        <v>396.0</v>
      </c>
      <c r="C122" s="319">
        <f>CS_PID!C122/VLOOKUP($B122,LEBT[#ALL],4)/VLOOKUP($B122,표2[#ALL],2)</f>
        <v>0</v>
      </c>
      <c r="D122" s="319">
        <f>CS_PID!D122/VLOOKUP($B122,LEBT[#ALL],4)/VLOOKUP($B122,표2[#ALL],2)</f>
        <v>65.54659374</v>
      </c>
      <c r="E122" s="319">
        <f>CS_PID!E122/VLOOKUP($B122,LEBT[#ALL],4)/VLOOKUP($B122,표2[#ALL],2)</f>
        <v>65.54659374</v>
      </c>
      <c r="F122" s="319">
        <f>CS_PID!F122/VLOOKUP($B122,LEBT[#ALL],4)/VLOOKUP($B122,표2[#ALL],2)</f>
        <v>262.186375</v>
      </c>
      <c r="G122" s="319">
        <f>CS_PID!G122/VLOOKUP($B122,LEBT[#ALL],4)/VLOOKUP($B122,표2[#ALL],2)</f>
        <v>131.0931875</v>
      </c>
      <c r="H122" s="319">
        <f>CS_PID!H122/VLOOKUP($B122,LEBT[#ALL],4)/VLOOKUP($B122,표2[#ALL],2)</f>
        <v>0</v>
      </c>
      <c r="I122" s="319">
        <f>CS_PID!I122/VLOOKUP($B122,LEBT[#ALL],4)/VLOOKUP($B122,표2[#ALL],2)</f>
        <v>0</v>
      </c>
      <c r="J122" s="319">
        <f>CS_PID!J122/VLOOKUP($B122,LEBT[#ALL],4)/VLOOKUP($B122,표2[#ALL],2)</f>
        <v>65.54659374</v>
      </c>
      <c r="K122" s="319">
        <f>CS_PID!K122/VLOOKUP($B122,LEBT[#ALL],4)/VLOOKUP($B122,표2[#ALL],2)</f>
        <v>393.2795625</v>
      </c>
      <c r="L122" s="319">
        <f>CS_PID!L122/VLOOKUP($B122,LEBT[#ALL],4)/VLOOKUP($B122,표2[#ALL],2)</f>
        <v>458.8261562</v>
      </c>
      <c r="M122" s="319">
        <f>CS_PID!M122/VLOOKUP($B122,LEBT[#ALL],4)/VLOOKUP($B122,표2[#ALL],2)</f>
        <v>0</v>
      </c>
      <c r="N122" s="319">
        <f>CS_PID!N122/VLOOKUP($B122,LEBT[#ALL],4)/VLOOKUP($B122,표2[#ALL],2)</f>
        <v>0</v>
      </c>
      <c r="O122" s="319">
        <f>CS_PID!O122/VLOOKUP($B122,LEBT[#ALL],4)/VLOOKUP($B122,표2[#ALL],2)</f>
        <v>0</v>
      </c>
      <c r="P122" s="319">
        <f>CS_PID!P122/VLOOKUP($B122,LEBT[#ALL],4)/VLOOKUP($B122,표2[#ALL],2)</f>
        <v>0</v>
      </c>
      <c r="Q122" s="319">
        <f>CS_PID!Q122/VLOOKUP($B122,LEBT[#ALL],4)/VLOOKUP($B122,표2[#ALL],2)</f>
        <v>327.7329687</v>
      </c>
      <c r="R122" s="319">
        <f>CS_PID!R122/VLOOKUP($B122,LEBT[#ALL],4)/VLOOKUP($B122,표2[#ALL],2)</f>
        <v>262.186375</v>
      </c>
      <c r="S122" s="319">
        <f>CS_PID!S122/VLOOKUP($B122,LEBT[#ALL],4)/VLOOKUP($B122,표2[#ALL],2)</f>
        <v>131.0931875</v>
      </c>
      <c r="T122" s="319">
        <f>CS_PID!T122/VLOOKUP($B122,LEBT[#ALL],4)/VLOOKUP($B122,표2[#ALL],2)</f>
        <v>0</v>
      </c>
      <c r="U122" s="319">
        <f>CS_PID!U122/VLOOKUP($B122,LEBT[#ALL],4)/VLOOKUP($B122,표2[#ALL],2)</f>
        <v>0</v>
      </c>
      <c r="V122" s="319">
        <f>CS_PID!V122/VLOOKUP($B122,LEBT[#ALL],4)/VLOOKUP($B122,표2[#ALL],2)</f>
        <v>0</v>
      </c>
      <c r="W122" s="319">
        <f>CS_PID!W122/VLOOKUP($B122,LEBT[#ALL],4)/VLOOKUP($B122,표2[#ALL],2)</f>
        <v>65.54659374</v>
      </c>
      <c r="X122" s="319">
        <f>CS_PID!X122/VLOOKUP($B122,LEBT[#ALL],4)/VLOOKUP($B122,표2[#ALL],2)</f>
        <v>393.2795625</v>
      </c>
      <c r="Y122" s="319">
        <f>CS_PID!Y122/VLOOKUP($B122,LEBT[#ALL],4)/VLOOKUP($B122,표2[#ALL],2)</f>
        <v>0</v>
      </c>
      <c r="Z122" s="319">
        <f>CS_PID!Z122/VLOOKUP($B122,LEBT[#ALL],4)/VLOOKUP($B122,표2[#ALL],2)</f>
        <v>0</v>
      </c>
      <c r="AA122" s="319">
        <f>CS_PID!AA122/VLOOKUP($B122,LEBT[#ALL],4)/VLOOKUP($B122,표2[#ALL],2)</f>
        <v>0</v>
      </c>
      <c r="AB122" s="319">
        <f>CS_PID!AB122/VLOOKUP($B122,LEBT[#ALL],4)/VLOOKUP($B122,표2[#ALL],2)</f>
        <v>0</v>
      </c>
      <c r="AC122" s="319">
        <f>CS_PID!AC122/VLOOKUP($B122,LEBT[#ALL],4)/VLOOKUP($B122,표2[#ALL],2)</f>
        <v>131.0931875</v>
      </c>
      <c r="AD122" s="319">
        <f>CS_PID!AD122/VLOOKUP($B122,LEBT[#ALL],4)/VLOOKUP($B122,표2[#ALL],2)</f>
        <v>131.0931875</v>
      </c>
      <c r="AE122" s="319">
        <f>CS_PID!AE122/VLOOKUP($B122,LEBT[#ALL],4)/VLOOKUP($B122,표2[#ALL],2)</f>
        <v>65.54659374</v>
      </c>
      <c r="AF122" s="319">
        <f>CS_PID!AF122/VLOOKUP($B122,LEBT[#ALL],4)/VLOOKUP($B122,표2[#ALL],2)</f>
        <v>0</v>
      </c>
      <c r="AG122" s="319">
        <f>CS_PID!AG122/VLOOKUP($B122,LEBT[#ALL],4)/VLOOKUP($B122,표2[#ALL],2)</f>
        <v>0</v>
      </c>
      <c r="AH122" s="319">
        <f>CS_PID!AH122/VLOOKUP($B122,LEBT[#ALL],4)/VLOOKUP($B122,표2[#ALL],2)</f>
        <v>0</v>
      </c>
      <c r="AI122" s="319">
        <f>CS_PID!AI122/VLOOKUP($B122,LEBT[#ALL],4)/VLOOKUP($B122,표2[#ALL],2)</f>
        <v>0</v>
      </c>
      <c r="AJ122" s="319">
        <f>CS_PID!AJ122/VLOOKUP($B122,LEBT[#ALL],4)/VLOOKUP($B122,표2[#ALL],2)</f>
        <v>131.0931875</v>
      </c>
      <c r="AK122" s="319">
        <f>CS_PID!AK122/VLOOKUP($B122,LEBT[#ALL],4)/VLOOKUP($B122,표2[#ALL],2)</f>
        <v>0</v>
      </c>
      <c r="AL122" s="319">
        <f>CS_PID!AL122/VLOOKUP($B122,LEBT[#ALL],4)/VLOOKUP($B122,표2[#ALL],2)</f>
        <v>0</v>
      </c>
      <c r="AM122" s="319">
        <f>CS_PID!AM122/VLOOKUP($B122,LEBT[#ALL],4)/VLOOKUP($B122,표2[#ALL],2)</f>
        <v>0</v>
      </c>
      <c r="AN122" s="319">
        <f>CS_PID!AN122/VLOOKUP($B122,LEBT[#ALL],4)/VLOOKUP($B122,표2[#ALL],2)</f>
        <v>0</v>
      </c>
      <c r="AO122" s="319">
        <f>CS_PID!AO122/VLOOKUP($B122,LEBT[#ALL],4)/VLOOKUP($B122,표2[#ALL],2)</f>
        <v>65.54659374</v>
      </c>
      <c r="AP122" s="319">
        <f>CS_PID!AP122/VLOOKUP($B122,LEBT[#ALL],4)/VLOOKUP($B122,표2[#ALL],2)</f>
        <v>0</v>
      </c>
      <c r="AQ122" s="319">
        <f>CS_PID!AQ122/VLOOKUP($B122,LEBT[#ALL],4)/VLOOKUP($B122,표2[#ALL],2)</f>
        <v>0</v>
      </c>
      <c r="AR122" s="319">
        <f>CS_PID!AR122/VLOOKUP($B122,LEBT[#ALL],4)/VLOOKUP($B122,표2[#ALL],2)</f>
        <v>0</v>
      </c>
      <c r="AS122" s="319">
        <f>CS_PID!AS122/VLOOKUP($B122,LEBT[#ALL],4)/VLOOKUP($B122,표2[#ALL],2)</f>
        <v>0</v>
      </c>
    </row>
    <row r="123">
      <c r="A123" s="177" t="s">
        <v>84</v>
      </c>
      <c r="B123" s="178">
        <v>398.0</v>
      </c>
      <c r="C123" s="319">
        <f>CS_PID!C123/VLOOKUP($B123,LEBT[#ALL],4)/VLOOKUP($B123,표2[#ALL],2)</f>
        <v>0</v>
      </c>
      <c r="D123" s="319">
        <f>CS_PID!D123/VLOOKUP($B123,LEBT[#ALL],4)/VLOOKUP($B123,표2[#ALL],2)</f>
        <v>0</v>
      </c>
      <c r="E123" s="319">
        <f>CS_PID!E123/VLOOKUP($B123,LEBT[#ALL],4)/VLOOKUP($B123,표2[#ALL],2)</f>
        <v>52.8653112</v>
      </c>
      <c r="F123" s="319">
        <f>CS_PID!F123/VLOOKUP($B123,LEBT[#ALL],4)/VLOOKUP($B123,표2[#ALL],2)</f>
        <v>687.2490456</v>
      </c>
      <c r="G123" s="319">
        <f>CS_PID!G123/VLOOKUP($B123,LEBT[#ALL],4)/VLOOKUP($B123,표2[#ALL],2)</f>
        <v>0</v>
      </c>
      <c r="H123" s="319">
        <f>CS_PID!H123/VLOOKUP($B123,LEBT[#ALL],4)/VLOOKUP($B123,표2[#ALL],2)</f>
        <v>0</v>
      </c>
      <c r="I123" s="319">
        <f>CS_PID!I123/VLOOKUP($B123,LEBT[#ALL],4)/VLOOKUP($B123,표2[#ALL],2)</f>
        <v>0</v>
      </c>
      <c r="J123" s="319">
        <f>CS_PID!J123/VLOOKUP($B123,LEBT[#ALL],4)/VLOOKUP($B123,표2[#ALL],2)</f>
        <v>105.7306224</v>
      </c>
      <c r="K123" s="319">
        <f>CS_PID!K123/VLOOKUP($B123,LEBT[#ALL],4)/VLOOKUP($B123,표2[#ALL],2)</f>
        <v>687.2490456</v>
      </c>
      <c r="L123" s="319">
        <f>CS_PID!L123/VLOOKUP($B123,LEBT[#ALL],4)/VLOOKUP($B123,표2[#ALL],2)</f>
        <v>528.653112</v>
      </c>
      <c r="M123" s="319">
        <f>CS_PID!M123/VLOOKUP($B123,LEBT[#ALL],4)/VLOOKUP($B123,표2[#ALL],2)</f>
        <v>0</v>
      </c>
      <c r="N123" s="319">
        <f>CS_PID!N123/VLOOKUP($B123,LEBT[#ALL],4)/VLOOKUP($B123,표2[#ALL],2)</f>
        <v>0</v>
      </c>
      <c r="O123" s="319">
        <f>CS_PID!O123/VLOOKUP($B123,LEBT[#ALL],4)/VLOOKUP($B123,표2[#ALL],2)</f>
        <v>0</v>
      </c>
      <c r="P123" s="319">
        <f>CS_PID!P123/VLOOKUP($B123,LEBT[#ALL],4)/VLOOKUP($B123,표2[#ALL],2)</f>
        <v>0</v>
      </c>
      <c r="Q123" s="319">
        <f>CS_PID!Q123/VLOOKUP($B123,LEBT[#ALL],4)/VLOOKUP($B123,표2[#ALL],2)</f>
        <v>370.0571784</v>
      </c>
      <c r="R123" s="319">
        <f>CS_PID!R123/VLOOKUP($B123,LEBT[#ALL],4)/VLOOKUP($B123,표2[#ALL],2)</f>
        <v>634.3837344</v>
      </c>
      <c r="S123" s="319">
        <f>CS_PID!S123/VLOOKUP($B123,LEBT[#ALL],4)/VLOOKUP($B123,표2[#ALL],2)</f>
        <v>52.8653112</v>
      </c>
      <c r="T123" s="319">
        <f>CS_PID!T123/VLOOKUP($B123,LEBT[#ALL],4)/VLOOKUP($B123,표2[#ALL],2)</f>
        <v>0</v>
      </c>
      <c r="U123" s="319">
        <f>CS_PID!U123/VLOOKUP($B123,LEBT[#ALL],4)/VLOOKUP($B123,표2[#ALL],2)</f>
        <v>0</v>
      </c>
      <c r="V123" s="319">
        <f>CS_PID!V123/VLOOKUP($B123,LEBT[#ALL],4)/VLOOKUP($B123,표2[#ALL],2)</f>
        <v>0</v>
      </c>
      <c r="W123" s="319">
        <f>CS_PID!W123/VLOOKUP($B123,LEBT[#ALL],4)/VLOOKUP($B123,표2[#ALL],2)</f>
        <v>0</v>
      </c>
      <c r="X123" s="319">
        <f>CS_PID!X123/VLOOKUP($B123,LEBT[#ALL],4)/VLOOKUP($B123,표2[#ALL],2)</f>
        <v>422.9224896</v>
      </c>
      <c r="Y123" s="319">
        <f>CS_PID!Y123/VLOOKUP($B123,LEBT[#ALL],4)/VLOOKUP($B123,표2[#ALL],2)</f>
        <v>52.8653112</v>
      </c>
      <c r="Z123" s="319">
        <f>CS_PID!Z123/VLOOKUP($B123,LEBT[#ALL],4)/VLOOKUP($B123,표2[#ALL],2)</f>
        <v>0</v>
      </c>
      <c r="AA123" s="319">
        <f>CS_PID!AA123/VLOOKUP($B123,LEBT[#ALL],4)/VLOOKUP($B123,표2[#ALL],2)</f>
        <v>0</v>
      </c>
      <c r="AB123" s="319">
        <f>CS_PID!AB123/VLOOKUP($B123,LEBT[#ALL],4)/VLOOKUP($B123,표2[#ALL],2)</f>
        <v>52.8653112</v>
      </c>
      <c r="AC123" s="319">
        <f>CS_PID!AC123/VLOOKUP($B123,LEBT[#ALL],4)/VLOOKUP($B123,표2[#ALL],2)</f>
        <v>0</v>
      </c>
      <c r="AD123" s="319">
        <f>CS_PID!AD123/VLOOKUP($B123,LEBT[#ALL],4)/VLOOKUP($B123,표2[#ALL],2)</f>
        <v>158.5959336</v>
      </c>
      <c r="AE123" s="319">
        <f>CS_PID!AE123/VLOOKUP($B123,LEBT[#ALL],4)/VLOOKUP($B123,표2[#ALL],2)</f>
        <v>158.5959336</v>
      </c>
      <c r="AF123" s="319">
        <f>CS_PID!AF123/VLOOKUP($B123,LEBT[#ALL],4)/VLOOKUP($B123,표2[#ALL],2)</f>
        <v>0</v>
      </c>
      <c r="AG123" s="319">
        <f>CS_PID!AG123/VLOOKUP($B123,LEBT[#ALL],4)/VLOOKUP($B123,표2[#ALL],2)</f>
        <v>0</v>
      </c>
      <c r="AH123" s="319">
        <f>CS_PID!AH123/VLOOKUP($B123,LEBT[#ALL],4)/VLOOKUP($B123,표2[#ALL],2)</f>
        <v>0</v>
      </c>
      <c r="AI123" s="319">
        <f>CS_PID!AI123/VLOOKUP($B123,LEBT[#ALL],4)/VLOOKUP($B123,표2[#ALL],2)</f>
        <v>52.8653112</v>
      </c>
      <c r="AJ123" s="319">
        <f>CS_PID!AJ123/VLOOKUP($B123,LEBT[#ALL],4)/VLOOKUP($B123,표2[#ALL],2)</f>
        <v>105.7306224</v>
      </c>
      <c r="AK123" s="319">
        <f>CS_PID!AK123/VLOOKUP($B123,LEBT[#ALL],4)/VLOOKUP($B123,표2[#ALL],2)</f>
        <v>0</v>
      </c>
      <c r="AL123" s="319">
        <f>CS_PID!AL123/VLOOKUP($B123,LEBT[#ALL],4)/VLOOKUP($B123,표2[#ALL],2)</f>
        <v>0</v>
      </c>
      <c r="AM123" s="319">
        <f>CS_PID!AM123/VLOOKUP($B123,LEBT[#ALL],4)/VLOOKUP($B123,표2[#ALL],2)</f>
        <v>0</v>
      </c>
      <c r="AN123" s="319">
        <f>CS_PID!AN123/VLOOKUP($B123,LEBT[#ALL],4)/VLOOKUP($B123,표2[#ALL],2)</f>
        <v>0</v>
      </c>
      <c r="AO123" s="319">
        <f>CS_PID!AO123/VLOOKUP($B123,LEBT[#ALL],4)/VLOOKUP($B123,표2[#ALL],2)</f>
        <v>0</v>
      </c>
      <c r="AP123" s="319">
        <f>CS_PID!AP123/VLOOKUP($B123,LEBT[#ALL],4)/VLOOKUP($B123,표2[#ALL],2)</f>
        <v>0</v>
      </c>
      <c r="AQ123" s="319">
        <f>CS_PID!AQ123/VLOOKUP($B123,LEBT[#ALL],4)/VLOOKUP($B123,표2[#ALL],2)</f>
        <v>0</v>
      </c>
      <c r="AR123" s="319">
        <f>CS_PID!AR123/VLOOKUP($B123,LEBT[#ALL],4)/VLOOKUP($B123,표2[#ALL],2)</f>
        <v>0</v>
      </c>
      <c r="AS123" s="319">
        <f>CS_PID!AS123/VLOOKUP($B123,LEBT[#ALL],4)/VLOOKUP($B123,표2[#ALL],2)</f>
        <v>0</v>
      </c>
    </row>
    <row r="124">
      <c r="A124" s="177" t="s">
        <v>84</v>
      </c>
      <c r="B124" s="178">
        <v>399.0</v>
      </c>
      <c r="C124" s="319">
        <f>CS_PID!C124/VLOOKUP($B124,LEBT[#ALL],4)/VLOOKUP($B124,표2[#ALL],2)</f>
        <v>0</v>
      </c>
      <c r="D124" s="319">
        <f>CS_PID!D124/VLOOKUP($B124,LEBT[#ALL],4)/VLOOKUP($B124,표2[#ALL],2)</f>
        <v>0</v>
      </c>
      <c r="E124" s="319">
        <f>CS_PID!E124/VLOOKUP($B124,LEBT[#ALL],4)/VLOOKUP($B124,표2[#ALL],2)</f>
        <v>0</v>
      </c>
      <c r="F124" s="319">
        <f>CS_PID!F124/VLOOKUP($B124,LEBT[#ALL],4)/VLOOKUP($B124,표2[#ALL],2)</f>
        <v>254.9414574</v>
      </c>
      <c r="G124" s="319">
        <f>CS_PID!G124/VLOOKUP($B124,LEBT[#ALL],4)/VLOOKUP($B124,표2[#ALL],2)</f>
        <v>0</v>
      </c>
      <c r="H124" s="319">
        <f>CS_PID!H124/VLOOKUP($B124,LEBT[#ALL],4)/VLOOKUP($B124,표2[#ALL],2)</f>
        <v>0</v>
      </c>
      <c r="I124" s="319">
        <f>CS_PID!I124/VLOOKUP($B124,LEBT[#ALL],4)/VLOOKUP($B124,표2[#ALL],2)</f>
        <v>0</v>
      </c>
      <c r="J124" s="319">
        <f>CS_PID!J124/VLOOKUP($B124,LEBT[#ALL],4)/VLOOKUP($B124,표2[#ALL],2)</f>
        <v>84.98048579</v>
      </c>
      <c r="K124" s="319">
        <f>CS_PID!K124/VLOOKUP($B124,LEBT[#ALL],4)/VLOOKUP($B124,표2[#ALL],2)</f>
        <v>509.8829147</v>
      </c>
      <c r="L124" s="319">
        <f>CS_PID!L124/VLOOKUP($B124,LEBT[#ALL],4)/VLOOKUP($B124,표2[#ALL],2)</f>
        <v>424.902429</v>
      </c>
      <c r="M124" s="319">
        <f>CS_PID!M124/VLOOKUP($B124,LEBT[#ALL],4)/VLOOKUP($B124,표2[#ALL],2)</f>
        <v>0</v>
      </c>
      <c r="N124" s="319">
        <f>CS_PID!N124/VLOOKUP($B124,LEBT[#ALL],4)/VLOOKUP($B124,표2[#ALL],2)</f>
        <v>0</v>
      </c>
      <c r="O124" s="319">
        <f>CS_PID!O124/VLOOKUP($B124,LEBT[#ALL],4)/VLOOKUP($B124,표2[#ALL],2)</f>
        <v>0</v>
      </c>
      <c r="P124" s="319">
        <f>CS_PID!P124/VLOOKUP($B124,LEBT[#ALL],4)/VLOOKUP($B124,표2[#ALL],2)</f>
        <v>169.9609716</v>
      </c>
      <c r="Q124" s="319">
        <f>CS_PID!Q124/VLOOKUP($B124,LEBT[#ALL],4)/VLOOKUP($B124,표2[#ALL],2)</f>
        <v>594.8634005</v>
      </c>
      <c r="R124" s="319">
        <f>CS_PID!R124/VLOOKUP($B124,LEBT[#ALL],4)/VLOOKUP($B124,표2[#ALL],2)</f>
        <v>424.902429</v>
      </c>
      <c r="S124" s="319">
        <f>CS_PID!S124/VLOOKUP($B124,LEBT[#ALL],4)/VLOOKUP($B124,표2[#ALL],2)</f>
        <v>0</v>
      </c>
      <c r="T124" s="319">
        <f>CS_PID!T124/VLOOKUP($B124,LEBT[#ALL],4)/VLOOKUP($B124,표2[#ALL],2)</f>
        <v>0</v>
      </c>
      <c r="U124" s="319">
        <f>CS_PID!U124/VLOOKUP($B124,LEBT[#ALL],4)/VLOOKUP($B124,표2[#ALL],2)</f>
        <v>0</v>
      </c>
      <c r="V124" s="319">
        <f>CS_PID!V124/VLOOKUP($B124,LEBT[#ALL],4)/VLOOKUP($B124,표2[#ALL],2)</f>
        <v>0</v>
      </c>
      <c r="W124" s="319">
        <f>CS_PID!W124/VLOOKUP($B124,LEBT[#ALL],4)/VLOOKUP($B124,표2[#ALL],2)</f>
        <v>254.9414574</v>
      </c>
      <c r="X124" s="319">
        <f>CS_PID!X124/VLOOKUP($B124,LEBT[#ALL],4)/VLOOKUP($B124,표2[#ALL],2)</f>
        <v>509.8829147</v>
      </c>
      <c r="Y124" s="319">
        <f>CS_PID!Y124/VLOOKUP($B124,LEBT[#ALL],4)/VLOOKUP($B124,표2[#ALL],2)</f>
        <v>0</v>
      </c>
      <c r="Z124" s="319">
        <f>CS_PID!Z124/VLOOKUP($B124,LEBT[#ALL],4)/VLOOKUP($B124,표2[#ALL],2)</f>
        <v>0</v>
      </c>
      <c r="AA124" s="319">
        <f>CS_PID!AA124/VLOOKUP($B124,LEBT[#ALL],4)/VLOOKUP($B124,표2[#ALL],2)</f>
        <v>0</v>
      </c>
      <c r="AB124" s="319">
        <f>CS_PID!AB124/VLOOKUP($B124,LEBT[#ALL],4)/VLOOKUP($B124,표2[#ALL],2)</f>
        <v>0</v>
      </c>
      <c r="AC124" s="319">
        <f>CS_PID!AC124/VLOOKUP($B124,LEBT[#ALL],4)/VLOOKUP($B124,표2[#ALL],2)</f>
        <v>0</v>
      </c>
      <c r="AD124" s="319">
        <f>CS_PID!AD124/VLOOKUP($B124,LEBT[#ALL],4)/VLOOKUP($B124,표2[#ALL],2)</f>
        <v>84.98048579</v>
      </c>
      <c r="AE124" s="319">
        <f>CS_PID!AE124/VLOOKUP($B124,LEBT[#ALL],4)/VLOOKUP($B124,표2[#ALL],2)</f>
        <v>169.9609716</v>
      </c>
      <c r="AF124" s="319">
        <f>CS_PID!AF124/VLOOKUP($B124,LEBT[#ALL],4)/VLOOKUP($B124,표2[#ALL],2)</f>
        <v>0</v>
      </c>
      <c r="AG124" s="319">
        <f>CS_PID!AG124/VLOOKUP($B124,LEBT[#ALL],4)/VLOOKUP($B124,표2[#ALL],2)</f>
        <v>0</v>
      </c>
      <c r="AH124" s="319">
        <f>CS_PID!AH124/VLOOKUP($B124,LEBT[#ALL],4)/VLOOKUP($B124,표2[#ALL],2)</f>
        <v>0</v>
      </c>
      <c r="AI124" s="319">
        <f>CS_PID!AI124/VLOOKUP($B124,LEBT[#ALL],4)/VLOOKUP($B124,표2[#ALL],2)</f>
        <v>0</v>
      </c>
      <c r="AJ124" s="319">
        <f>CS_PID!AJ124/VLOOKUP($B124,LEBT[#ALL],4)/VLOOKUP($B124,표2[#ALL],2)</f>
        <v>0</v>
      </c>
      <c r="AK124" s="319">
        <f>CS_PID!AK124/VLOOKUP($B124,LEBT[#ALL],4)/VLOOKUP($B124,표2[#ALL],2)</f>
        <v>84.98048579</v>
      </c>
      <c r="AL124" s="319">
        <f>CS_PID!AL124/VLOOKUP($B124,LEBT[#ALL],4)/VLOOKUP($B124,표2[#ALL],2)</f>
        <v>0</v>
      </c>
      <c r="AM124" s="319">
        <f>CS_PID!AM124/VLOOKUP($B124,LEBT[#ALL],4)/VLOOKUP($B124,표2[#ALL],2)</f>
        <v>0</v>
      </c>
      <c r="AN124" s="319">
        <f>CS_PID!AN124/VLOOKUP($B124,LEBT[#ALL],4)/VLOOKUP($B124,표2[#ALL],2)</f>
        <v>0</v>
      </c>
      <c r="AO124" s="319">
        <f>CS_PID!AO124/VLOOKUP($B124,LEBT[#ALL],4)/VLOOKUP($B124,표2[#ALL],2)</f>
        <v>0</v>
      </c>
      <c r="AP124" s="319">
        <f>CS_PID!AP124/VLOOKUP($B124,LEBT[#ALL],4)/VLOOKUP($B124,표2[#ALL],2)</f>
        <v>0</v>
      </c>
      <c r="AQ124" s="319">
        <f>CS_PID!AQ124/VLOOKUP($B124,LEBT[#ALL],4)/VLOOKUP($B124,표2[#ALL],2)</f>
        <v>0</v>
      </c>
      <c r="AR124" s="319">
        <f>CS_PID!AR124/VLOOKUP($B124,LEBT[#ALL],4)/VLOOKUP($B124,표2[#ALL],2)</f>
        <v>0</v>
      </c>
      <c r="AS124" s="319">
        <f>CS_PID!AS124/VLOOKUP($B124,LEBT[#ALL],4)/VLOOKUP($B124,표2[#ALL],2)</f>
        <v>0</v>
      </c>
    </row>
    <row r="125">
      <c r="A125" s="177" t="s">
        <v>84</v>
      </c>
      <c r="B125" s="178">
        <v>400.0</v>
      </c>
      <c r="C125" s="319">
        <f>CS_PID!C125/VLOOKUP($B125,LEBT[#ALL],4)/VLOOKUP($B125,표2[#ALL],2)</f>
        <v>0</v>
      </c>
      <c r="D125" s="319">
        <f>CS_PID!D125/VLOOKUP($B125,LEBT[#ALL],4)/VLOOKUP($B125,표2[#ALL],2)</f>
        <v>108.7255891</v>
      </c>
      <c r="E125" s="319">
        <f>CS_PID!E125/VLOOKUP($B125,LEBT[#ALL],4)/VLOOKUP($B125,표2[#ALL],2)</f>
        <v>326.1767672</v>
      </c>
      <c r="F125" s="319">
        <f>CS_PID!F125/VLOOKUP($B125,LEBT[#ALL],4)/VLOOKUP($B125,표2[#ALL],2)</f>
        <v>326.1767672</v>
      </c>
      <c r="G125" s="319">
        <f>CS_PID!G125/VLOOKUP($B125,LEBT[#ALL],4)/VLOOKUP($B125,표2[#ALL],2)</f>
        <v>0</v>
      </c>
      <c r="H125" s="319">
        <f>CS_PID!H125/VLOOKUP($B125,LEBT[#ALL],4)/VLOOKUP($B125,표2[#ALL],2)</f>
        <v>0</v>
      </c>
      <c r="I125" s="319">
        <f>CS_PID!I125/VLOOKUP($B125,LEBT[#ALL],4)/VLOOKUP($B125,표2[#ALL],2)</f>
        <v>0</v>
      </c>
      <c r="J125" s="319">
        <f>CS_PID!J125/VLOOKUP($B125,LEBT[#ALL],4)/VLOOKUP($B125,표2[#ALL],2)</f>
        <v>0</v>
      </c>
      <c r="K125" s="319">
        <f>CS_PID!K125/VLOOKUP($B125,LEBT[#ALL],4)/VLOOKUP($B125,표2[#ALL],2)</f>
        <v>326.1767672</v>
      </c>
      <c r="L125" s="319">
        <f>CS_PID!L125/VLOOKUP($B125,LEBT[#ALL],4)/VLOOKUP($B125,표2[#ALL],2)</f>
        <v>326.1767672</v>
      </c>
      <c r="M125" s="319">
        <f>CS_PID!M125/VLOOKUP($B125,LEBT[#ALL],4)/VLOOKUP($B125,표2[#ALL],2)</f>
        <v>0</v>
      </c>
      <c r="N125" s="319">
        <f>CS_PID!N125/VLOOKUP($B125,LEBT[#ALL],4)/VLOOKUP($B125,표2[#ALL],2)</f>
        <v>0</v>
      </c>
      <c r="O125" s="319">
        <f>CS_PID!O125/VLOOKUP($B125,LEBT[#ALL],4)/VLOOKUP($B125,표2[#ALL],2)</f>
        <v>0</v>
      </c>
      <c r="P125" s="319">
        <f>CS_PID!P125/VLOOKUP($B125,LEBT[#ALL],4)/VLOOKUP($B125,표2[#ALL],2)</f>
        <v>0</v>
      </c>
      <c r="Q125" s="319">
        <f>CS_PID!Q125/VLOOKUP($B125,LEBT[#ALL],4)/VLOOKUP($B125,표2[#ALL],2)</f>
        <v>217.4511781</v>
      </c>
      <c r="R125" s="319">
        <f>CS_PID!R125/VLOOKUP($B125,LEBT[#ALL],4)/VLOOKUP($B125,표2[#ALL],2)</f>
        <v>434.9023562</v>
      </c>
      <c r="S125" s="319">
        <f>CS_PID!S125/VLOOKUP($B125,LEBT[#ALL],4)/VLOOKUP($B125,표2[#ALL],2)</f>
        <v>0</v>
      </c>
      <c r="T125" s="319">
        <f>CS_PID!T125/VLOOKUP($B125,LEBT[#ALL],4)/VLOOKUP($B125,표2[#ALL],2)</f>
        <v>0</v>
      </c>
      <c r="U125" s="319">
        <f>CS_PID!U125/VLOOKUP($B125,LEBT[#ALL],4)/VLOOKUP($B125,표2[#ALL],2)</f>
        <v>0</v>
      </c>
      <c r="V125" s="319">
        <f>CS_PID!V125/VLOOKUP($B125,LEBT[#ALL],4)/VLOOKUP($B125,표2[#ALL],2)</f>
        <v>0</v>
      </c>
      <c r="W125" s="319">
        <f>CS_PID!W125/VLOOKUP($B125,LEBT[#ALL],4)/VLOOKUP($B125,표2[#ALL],2)</f>
        <v>217.4511781</v>
      </c>
      <c r="X125" s="319">
        <f>CS_PID!X125/VLOOKUP($B125,LEBT[#ALL],4)/VLOOKUP($B125,표2[#ALL],2)</f>
        <v>108.7255891</v>
      </c>
      <c r="Y125" s="319">
        <f>CS_PID!Y125/VLOOKUP($B125,LEBT[#ALL],4)/VLOOKUP($B125,표2[#ALL],2)</f>
        <v>0</v>
      </c>
      <c r="Z125" s="319">
        <f>CS_PID!Z125/VLOOKUP($B125,LEBT[#ALL],4)/VLOOKUP($B125,표2[#ALL],2)</f>
        <v>0</v>
      </c>
      <c r="AA125" s="319">
        <f>CS_PID!AA125/VLOOKUP($B125,LEBT[#ALL],4)/VLOOKUP($B125,표2[#ALL],2)</f>
        <v>0</v>
      </c>
      <c r="AB125" s="319">
        <f>CS_PID!AB125/VLOOKUP($B125,LEBT[#ALL],4)/VLOOKUP($B125,표2[#ALL],2)</f>
        <v>0</v>
      </c>
      <c r="AC125" s="319">
        <f>CS_PID!AC125/VLOOKUP($B125,LEBT[#ALL],4)/VLOOKUP($B125,표2[#ALL],2)</f>
        <v>108.7255891</v>
      </c>
      <c r="AD125" s="319">
        <f>CS_PID!AD125/VLOOKUP($B125,LEBT[#ALL],4)/VLOOKUP($B125,표2[#ALL],2)</f>
        <v>217.4511781</v>
      </c>
      <c r="AE125" s="319">
        <f>CS_PID!AE125/VLOOKUP($B125,LEBT[#ALL],4)/VLOOKUP($B125,표2[#ALL],2)</f>
        <v>0</v>
      </c>
      <c r="AF125" s="319">
        <f>CS_PID!AF125/VLOOKUP($B125,LEBT[#ALL],4)/VLOOKUP($B125,표2[#ALL],2)</f>
        <v>0</v>
      </c>
      <c r="AG125" s="319">
        <f>CS_PID!AG125/VLOOKUP($B125,LEBT[#ALL],4)/VLOOKUP($B125,표2[#ALL],2)</f>
        <v>0</v>
      </c>
      <c r="AH125" s="319">
        <f>CS_PID!AH125/VLOOKUP($B125,LEBT[#ALL],4)/VLOOKUP($B125,표2[#ALL],2)</f>
        <v>0</v>
      </c>
      <c r="AI125" s="319">
        <f>CS_PID!AI125/VLOOKUP($B125,LEBT[#ALL],4)/VLOOKUP($B125,표2[#ALL],2)</f>
        <v>0</v>
      </c>
      <c r="AJ125" s="319">
        <f>CS_PID!AJ125/VLOOKUP($B125,LEBT[#ALL],4)/VLOOKUP($B125,표2[#ALL],2)</f>
        <v>0</v>
      </c>
      <c r="AK125" s="319">
        <f>CS_PID!AK125/VLOOKUP($B125,LEBT[#ALL],4)/VLOOKUP($B125,표2[#ALL],2)</f>
        <v>0</v>
      </c>
      <c r="AL125" s="319">
        <f>CS_PID!AL125/VLOOKUP($B125,LEBT[#ALL],4)/VLOOKUP($B125,표2[#ALL],2)</f>
        <v>0</v>
      </c>
      <c r="AM125" s="319">
        <f>CS_PID!AM125/VLOOKUP($B125,LEBT[#ALL],4)/VLOOKUP($B125,표2[#ALL],2)</f>
        <v>0</v>
      </c>
      <c r="AN125" s="319">
        <f>CS_PID!AN125/VLOOKUP($B125,LEBT[#ALL],4)/VLOOKUP($B125,표2[#ALL],2)</f>
        <v>0</v>
      </c>
      <c r="AO125" s="319">
        <f>CS_PID!AO125/VLOOKUP($B125,LEBT[#ALL],4)/VLOOKUP($B125,표2[#ALL],2)</f>
        <v>0</v>
      </c>
      <c r="AP125" s="319">
        <f>CS_PID!AP125/VLOOKUP($B125,LEBT[#ALL],4)/VLOOKUP($B125,표2[#ALL],2)</f>
        <v>0</v>
      </c>
      <c r="AQ125" s="319">
        <f>CS_PID!AQ125/VLOOKUP($B125,LEBT[#ALL],4)/VLOOKUP($B125,표2[#ALL],2)</f>
        <v>0</v>
      </c>
      <c r="AR125" s="319">
        <f>CS_PID!AR125/VLOOKUP($B125,LEBT[#ALL],4)/VLOOKUP($B125,표2[#ALL],2)</f>
        <v>0</v>
      </c>
      <c r="AS125" s="319">
        <f>CS_PID!AS125/VLOOKUP($B125,LEBT[#ALL],4)/VLOOKUP($B125,표2[#ALL],2)</f>
        <v>0</v>
      </c>
    </row>
    <row r="126">
      <c r="A126" s="177" t="s">
        <v>84</v>
      </c>
      <c r="B126" s="178">
        <v>402.0</v>
      </c>
      <c r="C126" s="319">
        <f>CS_PID!C126/VLOOKUP($B126,LEBT[#ALL],4)/VLOOKUP($B126,표2[#ALL],2)</f>
        <v>0</v>
      </c>
      <c r="D126" s="319">
        <f>CS_PID!D126/VLOOKUP($B126,LEBT[#ALL],4)/VLOOKUP($B126,표2[#ALL],2)</f>
        <v>0</v>
      </c>
      <c r="E126" s="319">
        <f>CS_PID!E126/VLOOKUP($B126,LEBT[#ALL],4)/VLOOKUP($B126,표2[#ALL],2)</f>
        <v>0</v>
      </c>
      <c r="F126" s="319">
        <f>CS_PID!F126/VLOOKUP($B126,LEBT[#ALL],4)/VLOOKUP($B126,표2[#ALL],2)</f>
        <v>267.9376543</v>
      </c>
      <c r="G126" s="319">
        <f>CS_PID!G126/VLOOKUP($B126,LEBT[#ALL],4)/VLOOKUP($B126,표2[#ALL],2)</f>
        <v>0</v>
      </c>
      <c r="H126" s="319">
        <f>CS_PID!H126/VLOOKUP($B126,LEBT[#ALL],4)/VLOOKUP($B126,표2[#ALL],2)</f>
        <v>0</v>
      </c>
      <c r="I126" s="319">
        <f>CS_PID!I126/VLOOKUP($B126,LEBT[#ALL],4)/VLOOKUP($B126,표2[#ALL],2)</f>
        <v>0</v>
      </c>
      <c r="J126" s="319">
        <f>CS_PID!J126/VLOOKUP($B126,LEBT[#ALL],4)/VLOOKUP($B126,표2[#ALL],2)</f>
        <v>133.9688271</v>
      </c>
      <c r="K126" s="319">
        <f>CS_PID!K126/VLOOKUP($B126,LEBT[#ALL],4)/VLOOKUP($B126,표2[#ALL],2)</f>
        <v>669.8441357</v>
      </c>
      <c r="L126" s="319">
        <f>CS_PID!L126/VLOOKUP($B126,LEBT[#ALL],4)/VLOOKUP($B126,표2[#ALL],2)</f>
        <v>937.78179</v>
      </c>
      <c r="M126" s="319">
        <f>CS_PID!M126/VLOOKUP($B126,LEBT[#ALL],4)/VLOOKUP($B126,표2[#ALL],2)</f>
        <v>0</v>
      </c>
      <c r="N126" s="319">
        <f>CS_PID!N126/VLOOKUP($B126,LEBT[#ALL],4)/VLOOKUP($B126,표2[#ALL],2)</f>
        <v>0</v>
      </c>
      <c r="O126" s="319">
        <f>CS_PID!O126/VLOOKUP($B126,LEBT[#ALL],4)/VLOOKUP($B126,표2[#ALL],2)</f>
        <v>0</v>
      </c>
      <c r="P126" s="319">
        <f>CS_PID!P126/VLOOKUP($B126,LEBT[#ALL],4)/VLOOKUP($B126,표2[#ALL],2)</f>
        <v>0</v>
      </c>
      <c r="Q126" s="319">
        <f>CS_PID!Q126/VLOOKUP($B126,LEBT[#ALL],4)/VLOOKUP($B126,표2[#ALL],2)</f>
        <v>535.8753085</v>
      </c>
      <c r="R126" s="319">
        <f>CS_PID!R126/VLOOKUP($B126,LEBT[#ALL],4)/VLOOKUP($B126,표2[#ALL],2)</f>
        <v>401.9064814</v>
      </c>
      <c r="S126" s="319">
        <f>CS_PID!S126/VLOOKUP($B126,LEBT[#ALL],4)/VLOOKUP($B126,표2[#ALL],2)</f>
        <v>267.9376543</v>
      </c>
      <c r="T126" s="319">
        <f>CS_PID!T126/VLOOKUP($B126,LEBT[#ALL],4)/VLOOKUP($B126,표2[#ALL],2)</f>
        <v>0</v>
      </c>
      <c r="U126" s="319">
        <f>CS_PID!U126/VLOOKUP($B126,LEBT[#ALL],4)/VLOOKUP($B126,표2[#ALL],2)</f>
        <v>0</v>
      </c>
      <c r="V126" s="319">
        <f>CS_PID!V126/VLOOKUP($B126,LEBT[#ALL],4)/VLOOKUP($B126,표2[#ALL],2)</f>
        <v>0</v>
      </c>
      <c r="W126" s="319">
        <f>CS_PID!W126/VLOOKUP($B126,LEBT[#ALL],4)/VLOOKUP($B126,표2[#ALL],2)</f>
        <v>133.9688271</v>
      </c>
      <c r="X126" s="319">
        <f>CS_PID!X126/VLOOKUP($B126,LEBT[#ALL],4)/VLOOKUP($B126,표2[#ALL],2)</f>
        <v>669.8441357</v>
      </c>
      <c r="Y126" s="319">
        <f>CS_PID!Y126/VLOOKUP($B126,LEBT[#ALL],4)/VLOOKUP($B126,표2[#ALL],2)</f>
        <v>0</v>
      </c>
      <c r="Z126" s="319">
        <f>CS_PID!Z126/VLOOKUP($B126,LEBT[#ALL],4)/VLOOKUP($B126,표2[#ALL],2)</f>
        <v>0</v>
      </c>
      <c r="AA126" s="319">
        <f>CS_PID!AA126/VLOOKUP($B126,LEBT[#ALL],4)/VLOOKUP($B126,표2[#ALL],2)</f>
        <v>0</v>
      </c>
      <c r="AB126" s="319">
        <f>CS_PID!AB126/VLOOKUP($B126,LEBT[#ALL],4)/VLOOKUP($B126,표2[#ALL],2)</f>
        <v>0</v>
      </c>
      <c r="AC126" s="319">
        <f>CS_PID!AC126/VLOOKUP($B126,LEBT[#ALL],4)/VLOOKUP($B126,표2[#ALL],2)</f>
        <v>0</v>
      </c>
      <c r="AD126" s="319">
        <f>CS_PID!AD126/VLOOKUP($B126,LEBT[#ALL],4)/VLOOKUP($B126,표2[#ALL],2)</f>
        <v>133.9688271</v>
      </c>
      <c r="AE126" s="319">
        <f>CS_PID!AE126/VLOOKUP($B126,LEBT[#ALL],4)/VLOOKUP($B126,표2[#ALL],2)</f>
        <v>0</v>
      </c>
      <c r="AF126" s="319">
        <f>CS_PID!AF126/VLOOKUP($B126,LEBT[#ALL],4)/VLOOKUP($B126,표2[#ALL],2)</f>
        <v>0</v>
      </c>
      <c r="AG126" s="319">
        <f>CS_PID!AG126/VLOOKUP($B126,LEBT[#ALL],4)/VLOOKUP($B126,표2[#ALL],2)</f>
        <v>0</v>
      </c>
      <c r="AH126" s="319">
        <f>CS_PID!AH126/VLOOKUP($B126,LEBT[#ALL],4)/VLOOKUP($B126,표2[#ALL],2)</f>
        <v>0</v>
      </c>
      <c r="AI126" s="319">
        <f>CS_PID!AI126/VLOOKUP($B126,LEBT[#ALL],4)/VLOOKUP($B126,표2[#ALL],2)</f>
        <v>0</v>
      </c>
      <c r="AJ126" s="319">
        <f>CS_PID!AJ126/VLOOKUP($B126,LEBT[#ALL],4)/VLOOKUP($B126,표2[#ALL],2)</f>
        <v>267.9376543</v>
      </c>
      <c r="AK126" s="319">
        <f>CS_PID!AK126/VLOOKUP($B126,LEBT[#ALL],4)/VLOOKUP($B126,표2[#ALL],2)</f>
        <v>133.9688271</v>
      </c>
      <c r="AL126" s="319">
        <f>CS_PID!AL126/VLOOKUP($B126,LEBT[#ALL],4)/VLOOKUP($B126,표2[#ALL],2)</f>
        <v>0</v>
      </c>
      <c r="AM126" s="319">
        <f>CS_PID!AM126/VLOOKUP($B126,LEBT[#ALL],4)/VLOOKUP($B126,표2[#ALL],2)</f>
        <v>0</v>
      </c>
      <c r="AN126" s="319">
        <f>CS_PID!AN126/VLOOKUP($B126,LEBT[#ALL],4)/VLOOKUP($B126,표2[#ALL],2)</f>
        <v>0</v>
      </c>
      <c r="AO126" s="319">
        <f>CS_PID!AO126/VLOOKUP($B126,LEBT[#ALL],4)/VLOOKUP($B126,표2[#ALL],2)</f>
        <v>0</v>
      </c>
      <c r="AP126" s="319">
        <f>CS_PID!AP126/VLOOKUP($B126,LEBT[#ALL],4)/VLOOKUP($B126,표2[#ALL],2)</f>
        <v>0</v>
      </c>
      <c r="AQ126" s="319">
        <f>CS_PID!AQ126/VLOOKUP($B126,LEBT[#ALL],4)/VLOOKUP($B126,표2[#ALL],2)</f>
        <v>0</v>
      </c>
      <c r="AR126" s="319">
        <f>CS_PID!AR126/VLOOKUP($B126,LEBT[#ALL],4)/VLOOKUP($B126,표2[#ALL],2)</f>
        <v>0</v>
      </c>
      <c r="AS126" s="319">
        <f>CS_PID!AS126/VLOOKUP($B126,LEBT[#ALL],4)/VLOOKUP($B126,표2[#ALL],2)</f>
        <v>0</v>
      </c>
    </row>
    <row r="127">
      <c r="A127" s="177" t="s">
        <v>84</v>
      </c>
      <c r="B127" s="178">
        <v>403.0</v>
      </c>
      <c r="C127" s="319">
        <f>CS_PID!C127/VLOOKUP($B127,LEBT[#ALL],4)/VLOOKUP($B127,표2[#ALL],2)</f>
        <v>0</v>
      </c>
      <c r="D127" s="319">
        <f>CS_PID!D127/VLOOKUP($B127,LEBT[#ALL],4)/VLOOKUP($B127,표2[#ALL],2)</f>
        <v>0</v>
      </c>
      <c r="E127" s="319">
        <f>CS_PID!E127/VLOOKUP($B127,LEBT[#ALL],4)/VLOOKUP($B127,표2[#ALL],2)</f>
        <v>190.0769735</v>
      </c>
      <c r="F127" s="319">
        <f>CS_PID!F127/VLOOKUP($B127,LEBT[#ALL],4)/VLOOKUP($B127,표2[#ALL],2)</f>
        <v>475.1924338</v>
      </c>
      <c r="G127" s="319">
        <f>CS_PID!G127/VLOOKUP($B127,LEBT[#ALL],4)/VLOOKUP($B127,표2[#ALL],2)</f>
        <v>0</v>
      </c>
      <c r="H127" s="319">
        <f>CS_PID!H127/VLOOKUP($B127,LEBT[#ALL],4)/VLOOKUP($B127,표2[#ALL],2)</f>
        <v>0</v>
      </c>
      <c r="I127" s="319">
        <f>CS_PID!I127/VLOOKUP($B127,LEBT[#ALL],4)/VLOOKUP($B127,표2[#ALL],2)</f>
        <v>0</v>
      </c>
      <c r="J127" s="319">
        <f>CS_PID!J127/VLOOKUP($B127,LEBT[#ALL],4)/VLOOKUP($B127,표2[#ALL],2)</f>
        <v>95.03848676</v>
      </c>
      <c r="K127" s="319">
        <f>CS_PID!K127/VLOOKUP($B127,LEBT[#ALL],4)/VLOOKUP($B127,표2[#ALL],2)</f>
        <v>760.3078941</v>
      </c>
      <c r="L127" s="319">
        <f>CS_PID!L127/VLOOKUP($B127,LEBT[#ALL],4)/VLOOKUP($B127,표2[#ALL],2)</f>
        <v>380.153947</v>
      </c>
      <c r="M127" s="319">
        <f>CS_PID!M127/VLOOKUP($B127,LEBT[#ALL],4)/VLOOKUP($B127,표2[#ALL],2)</f>
        <v>0</v>
      </c>
      <c r="N127" s="319">
        <f>CS_PID!N127/VLOOKUP($B127,LEBT[#ALL],4)/VLOOKUP($B127,표2[#ALL],2)</f>
        <v>0</v>
      </c>
      <c r="O127" s="319">
        <f>CS_PID!O127/VLOOKUP($B127,LEBT[#ALL],4)/VLOOKUP($B127,표2[#ALL],2)</f>
        <v>0</v>
      </c>
      <c r="P127" s="319">
        <f>CS_PID!P127/VLOOKUP($B127,LEBT[#ALL],4)/VLOOKUP($B127,표2[#ALL],2)</f>
        <v>0</v>
      </c>
      <c r="Q127" s="319">
        <f>CS_PID!Q127/VLOOKUP($B127,LEBT[#ALL],4)/VLOOKUP($B127,표2[#ALL],2)</f>
        <v>665.2694073</v>
      </c>
      <c r="R127" s="319">
        <f>CS_PID!R127/VLOOKUP($B127,LEBT[#ALL],4)/VLOOKUP($B127,표2[#ALL],2)</f>
        <v>665.2694073</v>
      </c>
      <c r="S127" s="319">
        <f>CS_PID!S127/VLOOKUP($B127,LEBT[#ALL],4)/VLOOKUP($B127,표2[#ALL],2)</f>
        <v>0</v>
      </c>
      <c r="T127" s="319">
        <f>CS_PID!T127/VLOOKUP($B127,LEBT[#ALL],4)/VLOOKUP($B127,표2[#ALL],2)</f>
        <v>0</v>
      </c>
      <c r="U127" s="319">
        <f>CS_PID!U127/VLOOKUP($B127,LEBT[#ALL],4)/VLOOKUP($B127,표2[#ALL],2)</f>
        <v>0</v>
      </c>
      <c r="V127" s="319">
        <f>CS_PID!V127/VLOOKUP($B127,LEBT[#ALL],4)/VLOOKUP($B127,표2[#ALL],2)</f>
        <v>0</v>
      </c>
      <c r="W127" s="319">
        <f>CS_PID!W127/VLOOKUP($B127,LEBT[#ALL],4)/VLOOKUP($B127,표2[#ALL],2)</f>
        <v>0</v>
      </c>
      <c r="X127" s="319">
        <f>CS_PID!X127/VLOOKUP($B127,LEBT[#ALL],4)/VLOOKUP($B127,표2[#ALL],2)</f>
        <v>950.3848676</v>
      </c>
      <c r="Y127" s="319">
        <f>CS_PID!Y127/VLOOKUP($B127,LEBT[#ALL],4)/VLOOKUP($B127,표2[#ALL],2)</f>
        <v>0</v>
      </c>
      <c r="Z127" s="319">
        <f>CS_PID!Z127/VLOOKUP($B127,LEBT[#ALL],4)/VLOOKUP($B127,표2[#ALL],2)</f>
        <v>0</v>
      </c>
      <c r="AA127" s="319">
        <f>CS_PID!AA127/VLOOKUP($B127,LEBT[#ALL],4)/VLOOKUP($B127,표2[#ALL],2)</f>
        <v>0</v>
      </c>
      <c r="AB127" s="319">
        <f>CS_PID!AB127/VLOOKUP($B127,LEBT[#ALL],4)/VLOOKUP($B127,표2[#ALL],2)</f>
        <v>0</v>
      </c>
      <c r="AC127" s="319">
        <f>CS_PID!AC127/VLOOKUP($B127,LEBT[#ALL],4)/VLOOKUP($B127,표2[#ALL],2)</f>
        <v>0</v>
      </c>
      <c r="AD127" s="319">
        <f>CS_PID!AD127/VLOOKUP($B127,LEBT[#ALL],4)/VLOOKUP($B127,표2[#ALL],2)</f>
        <v>190.0769735</v>
      </c>
      <c r="AE127" s="319">
        <f>CS_PID!AE127/VLOOKUP($B127,LEBT[#ALL],4)/VLOOKUP($B127,표2[#ALL],2)</f>
        <v>0</v>
      </c>
      <c r="AF127" s="319">
        <f>CS_PID!AF127/VLOOKUP($B127,LEBT[#ALL],4)/VLOOKUP($B127,표2[#ALL],2)</f>
        <v>0</v>
      </c>
      <c r="AG127" s="319">
        <f>CS_PID!AG127/VLOOKUP($B127,LEBT[#ALL],4)/VLOOKUP($B127,표2[#ALL],2)</f>
        <v>0</v>
      </c>
      <c r="AH127" s="319">
        <f>CS_PID!AH127/VLOOKUP($B127,LEBT[#ALL],4)/VLOOKUP($B127,표2[#ALL],2)</f>
        <v>0</v>
      </c>
      <c r="AI127" s="319">
        <f>CS_PID!AI127/VLOOKUP($B127,LEBT[#ALL],4)/VLOOKUP($B127,표2[#ALL],2)</f>
        <v>0</v>
      </c>
      <c r="AJ127" s="319">
        <f>CS_PID!AJ127/VLOOKUP($B127,LEBT[#ALL],4)/VLOOKUP($B127,표2[#ALL],2)</f>
        <v>95.03848676</v>
      </c>
      <c r="AK127" s="319">
        <f>CS_PID!AK127/VLOOKUP($B127,LEBT[#ALL],4)/VLOOKUP($B127,표2[#ALL],2)</f>
        <v>0</v>
      </c>
      <c r="AL127" s="319">
        <f>CS_PID!AL127/VLOOKUP($B127,LEBT[#ALL],4)/VLOOKUP($B127,표2[#ALL],2)</f>
        <v>0</v>
      </c>
      <c r="AM127" s="319">
        <f>CS_PID!AM127/VLOOKUP($B127,LEBT[#ALL],4)/VLOOKUP($B127,표2[#ALL],2)</f>
        <v>0</v>
      </c>
      <c r="AN127" s="319">
        <f>CS_PID!AN127/VLOOKUP($B127,LEBT[#ALL],4)/VLOOKUP($B127,표2[#ALL],2)</f>
        <v>0</v>
      </c>
      <c r="AO127" s="319">
        <f>CS_PID!AO127/VLOOKUP($B127,LEBT[#ALL],4)/VLOOKUP($B127,표2[#ALL],2)</f>
        <v>0</v>
      </c>
      <c r="AP127" s="319">
        <f>CS_PID!AP127/VLOOKUP($B127,LEBT[#ALL],4)/VLOOKUP($B127,표2[#ALL],2)</f>
        <v>0</v>
      </c>
      <c r="AQ127" s="319">
        <f>CS_PID!AQ127/VLOOKUP($B127,LEBT[#ALL],4)/VLOOKUP($B127,표2[#ALL],2)</f>
        <v>0</v>
      </c>
      <c r="AR127" s="319">
        <f>CS_PID!AR127/VLOOKUP($B127,LEBT[#ALL],4)/VLOOKUP($B127,표2[#ALL],2)</f>
        <v>0</v>
      </c>
      <c r="AS127" s="319">
        <f>CS_PID!AS127/VLOOKUP($B127,LEBT[#ALL],4)/VLOOKUP($B127,표2[#ALL],2)</f>
        <v>0</v>
      </c>
    </row>
    <row r="128">
      <c r="A128" s="181" t="s">
        <v>84</v>
      </c>
      <c r="B128" s="182">
        <v>404.0</v>
      </c>
      <c r="C128" s="320">
        <f>CS_PID!C128/VLOOKUP($B128,LEBT[#ALL],4)/VLOOKUP($B128,표2[#ALL],2)</f>
        <v>0</v>
      </c>
      <c r="D128" s="320">
        <f>CS_PID!D128/VLOOKUP($B128,LEBT[#ALL],4)/VLOOKUP($B128,표2[#ALL],2)</f>
        <v>25.76093571</v>
      </c>
      <c r="E128" s="320">
        <f>CS_PID!E128/VLOOKUP($B128,LEBT[#ALL],4)/VLOOKUP($B128,표2[#ALL],2)</f>
        <v>51.52187142</v>
      </c>
      <c r="F128" s="320">
        <f>CS_PID!F128/VLOOKUP($B128,LEBT[#ALL],4)/VLOOKUP($B128,표2[#ALL],2)</f>
        <v>540.9796499</v>
      </c>
      <c r="G128" s="320">
        <f>CS_PID!G128/VLOOKUP($B128,LEBT[#ALL],4)/VLOOKUP($B128,표2[#ALL],2)</f>
        <v>51.52187142</v>
      </c>
      <c r="H128" s="320">
        <f>CS_PID!H128/VLOOKUP($B128,LEBT[#ALL],4)/VLOOKUP($B128,표2[#ALL],2)</f>
        <v>0</v>
      </c>
      <c r="I128" s="320">
        <f>CS_PID!I128/VLOOKUP($B128,LEBT[#ALL],4)/VLOOKUP($B128,표2[#ALL],2)</f>
        <v>0</v>
      </c>
      <c r="J128" s="320">
        <f>CS_PID!J128/VLOOKUP($B128,LEBT[#ALL],4)/VLOOKUP($B128,표2[#ALL],2)</f>
        <v>180.32655</v>
      </c>
      <c r="K128" s="320">
        <f>CS_PID!K128/VLOOKUP($B128,LEBT[#ALL],4)/VLOOKUP($B128,표2[#ALL],2)</f>
        <v>412.1749713</v>
      </c>
      <c r="L128" s="320">
        <f>CS_PID!L128/VLOOKUP($B128,LEBT[#ALL],4)/VLOOKUP($B128,표2[#ALL],2)</f>
        <v>437.9359071</v>
      </c>
      <c r="M128" s="320">
        <f>CS_PID!M128/VLOOKUP($B128,LEBT[#ALL],4)/VLOOKUP($B128,표2[#ALL],2)</f>
        <v>0</v>
      </c>
      <c r="N128" s="320">
        <f>CS_PID!N128/VLOOKUP($B128,LEBT[#ALL],4)/VLOOKUP($B128,표2[#ALL],2)</f>
        <v>0</v>
      </c>
      <c r="O128" s="320">
        <f>CS_PID!O128/VLOOKUP($B128,LEBT[#ALL],4)/VLOOKUP($B128,표2[#ALL],2)</f>
        <v>0</v>
      </c>
      <c r="P128" s="320">
        <f>CS_PID!P128/VLOOKUP($B128,LEBT[#ALL],4)/VLOOKUP($B128,표2[#ALL],2)</f>
        <v>25.76093571</v>
      </c>
      <c r="Q128" s="320">
        <f>CS_PID!Q128/VLOOKUP($B128,LEBT[#ALL],4)/VLOOKUP($B128,표2[#ALL],2)</f>
        <v>334.8921642</v>
      </c>
      <c r="R128" s="320">
        <f>CS_PID!R128/VLOOKUP($B128,LEBT[#ALL],4)/VLOOKUP($B128,표2[#ALL],2)</f>
        <v>386.4140356</v>
      </c>
      <c r="S128" s="320">
        <f>CS_PID!S128/VLOOKUP($B128,LEBT[#ALL],4)/VLOOKUP($B128,표2[#ALL],2)</f>
        <v>51.52187142</v>
      </c>
      <c r="T128" s="320">
        <f>CS_PID!T128/VLOOKUP($B128,LEBT[#ALL],4)/VLOOKUP($B128,표2[#ALL],2)</f>
        <v>0</v>
      </c>
      <c r="U128" s="320">
        <f>CS_PID!U128/VLOOKUP($B128,LEBT[#ALL],4)/VLOOKUP($B128,표2[#ALL],2)</f>
        <v>0</v>
      </c>
      <c r="V128" s="320">
        <f>CS_PID!V128/VLOOKUP($B128,LEBT[#ALL],4)/VLOOKUP($B128,표2[#ALL],2)</f>
        <v>0</v>
      </c>
      <c r="W128" s="320">
        <f>CS_PID!W128/VLOOKUP($B128,LEBT[#ALL],4)/VLOOKUP($B128,표2[#ALL],2)</f>
        <v>180.32655</v>
      </c>
      <c r="X128" s="320">
        <f>CS_PID!X128/VLOOKUP($B128,LEBT[#ALL],4)/VLOOKUP($B128,표2[#ALL],2)</f>
        <v>592.5015213</v>
      </c>
      <c r="Y128" s="320">
        <f>CS_PID!Y128/VLOOKUP($B128,LEBT[#ALL],4)/VLOOKUP($B128,표2[#ALL],2)</f>
        <v>25.76093571</v>
      </c>
      <c r="Z128" s="320">
        <f>CS_PID!Z128/VLOOKUP($B128,LEBT[#ALL],4)/VLOOKUP($B128,표2[#ALL],2)</f>
        <v>0</v>
      </c>
      <c r="AA128" s="320">
        <f>CS_PID!AA128/VLOOKUP($B128,LEBT[#ALL],4)/VLOOKUP($B128,표2[#ALL],2)</f>
        <v>0</v>
      </c>
      <c r="AB128" s="320">
        <f>CS_PID!AB128/VLOOKUP($B128,LEBT[#ALL],4)/VLOOKUP($B128,표2[#ALL],2)</f>
        <v>0</v>
      </c>
      <c r="AC128" s="320">
        <f>CS_PID!AC128/VLOOKUP($B128,LEBT[#ALL],4)/VLOOKUP($B128,표2[#ALL],2)</f>
        <v>25.76093571</v>
      </c>
      <c r="AD128" s="320">
        <f>CS_PID!AD128/VLOOKUP($B128,LEBT[#ALL],4)/VLOOKUP($B128,표2[#ALL],2)</f>
        <v>103.0437428</v>
      </c>
      <c r="AE128" s="320">
        <f>CS_PID!AE128/VLOOKUP($B128,LEBT[#ALL],4)/VLOOKUP($B128,표2[#ALL],2)</f>
        <v>77.28280713</v>
      </c>
      <c r="AF128" s="320">
        <f>CS_PID!AF128/VLOOKUP($B128,LEBT[#ALL],4)/VLOOKUP($B128,표2[#ALL],2)</f>
        <v>0</v>
      </c>
      <c r="AG128" s="320">
        <f>CS_PID!AG128/VLOOKUP($B128,LEBT[#ALL],4)/VLOOKUP($B128,표2[#ALL],2)</f>
        <v>0</v>
      </c>
      <c r="AH128" s="320">
        <f>CS_PID!AH128/VLOOKUP($B128,LEBT[#ALL],4)/VLOOKUP($B128,표2[#ALL],2)</f>
        <v>0</v>
      </c>
      <c r="AI128" s="320">
        <f>CS_PID!AI128/VLOOKUP($B128,LEBT[#ALL],4)/VLOOKUP($B128,표2[#ALL],2)</f>
        <v>0</v>
      </c>
      <c r="AJ128" s="320">
        <f>CS_PID!AJ128/VLOOKUP($B128,LEBT[#ALL],4)/VLOOKUP($B128,표2[#ALL],2)</f>
        <v>51.52187142</v>
      </c>
      <c r="AK128" s="320">
        <f>CS_PID!AK128/VLOOKUP($B128,LEBT[#ALL],4)/VLOOKUP($B128,표2[#ALL],2)</f>
        <v>0</v>
      </c>
      <c r="AL128" s="320">
        <f>CS_PID!AL128/VLOOKUP($B128,LEBT[#ALL],4)/VLOOKUP($B128,표2[#ALL],2)</f>
        <v>0</v>
      </c>
      <c r="AM128" s="320">
        <f>CS_PID!AM128/VLOOKUP($B128,LEBT[#ALL],4)/VLOOKUP($B128,표2[#ALL],2)</f>
        <v>0</v>
      </c>
      <c r="AN128" s="320">
        <f>CS_PID!AN128/VLOOKUP($B128,LEBT[#ALL],4)/VLOOKUP($B128,표2[#ALL],2)</f>
        <v>0</v>
      </c>
      <c r="AO128" s="320">
        <f>CS_PID!AO128/VLOOKUP($B128,LEBT[#ALL],4)/VLOOKUP($B128,표2[#ALL],2)</f>
        <v>0</v>
      </c>
      <c r="AP128" s="320">
        <f>CS_PID!AP128/VLOOKUP($B128,LEBT[#ALL],4)/VLOOKUP($B128,표2[#ALL],2)</f>
        <v>0</v>
      </c>
      <c r="AQ128" s="320">
        <f>CS_PID!AQ128/VLOOKUP($B128,LEBT[#ALL],4)/VLOOKUP($B128,표2[#ALL],2)</f>
        <v>0</v>
      </c>
      <c r="AR128" s="320">
        <f>CS_PID!AR128/VLOOKUP($B128,LEBT[#ALL],4)/VLOOKUP($B128,표2[#ALL],2)</f>
        <v>0</v>
      </c>
      <c r="AS128" s="320">
        <f>CS_PID!AS128/VLOOKUP($B128,LEBT[#ALL],4)/VLOOKUP($B128,표2[#ALL],2)</f>
        <v>0</v>
      </c>
    </row>
    <row r="129">
      <c r="A129" s="185" t="s">
        <v>86</v>
      </c>
      <c r="B129" s="186">
        <v>410.0</v>
      </c>
      <c r="C129" s="321">
        <f>CS_PID!C129/VLOOKUP($B129,LEBT[#ALL],4)/VLOOKUP($B129,표2[#ALL],2)</f>
        <v>0</v>
      </c>
      <c r="D129" s="321">
        <f>CS_PID!D129/VLOOKUP($B129,LEBT[#ALL],4)/VLOOKUP($B129,표2[#ALL],2)</f>
        <v>0</v>
      </c>
      <c r="E129" s="321">
        <f>CS_PID!E129/VLOOKUP($B129,LEBT[#ALL],4)/VLOOKUP($B129,표2[#ALL],2)</f>
        <v>0</v>
      </c>
      <c r="F129" s="321">
        <f>CS_PID!F129/VLOOKUP($B129,LEBT[#ALL],4)/VLOOKUP($B129,표2[#ALL],2)</f>
        <v>0</v>
      </c>
      <c r="G129" s="321">
        <f>CS_PID!G129/VLOOKUP($B129,LEBT[#ALL],4)/VLOOKUP($B129,표2[#ALL],2)</f>
        <v>0</v>
      </c>
      <c r="H129" s="321">
        <f>CS_PID!H129/VLOOKUP($B129,LEBT[#ALL],4)/VLOOKUP($B129,표2[#ALL],2)</f>
        <v>0</v>
      </c>
      <c r="I129" s="321">
        <f>CS_PID!I129/VLOOKUP($B129,LEBT[#ALL],4)/VLOOKUP($B129,표2[#ALL],2)</f>
        <v>0</v>
      </c>
      <c r="J129" s="321">
        <f>CS_PID!J129/VLOOKUP($B129,LEBT[#ALL],4)/VLOOKUP($B129,표2[#ALL],2)</f>
        <v>0</v>
      </c>
      <c r="K129" s="321">
        <f>CS_PID!K129/VLOOKUP($B129,LEBT[#ALL],4)/VLOOKUP($B129,표2[#ALL],2)</f>
        <v>0</v>
      </c>
      <c r="L129" s="321">
        <f>CS_PID!L129/VLOOKUP($B129,LEBT[#ALL],4)/VLOOKUP($B129,표2[#ALL],2)</f>
        <v>0</v>
      </c>
      <c r="M129" s="321">
        <f>CS_PID!M129/VLOOKUP($B129,LEBT[#ALL],4)/VLOOKUP($B129,표2[#ALL],2)</f>
        <v>0</v>
      </c>
      <c r="N129" s="321">
        <f>CS_PID!N129/VLOOKUP($B129,LEBT[#ALL],4)/VLOOKUP($B129,표2[#ALL],2)</f>
        <v>0</v>
      </c>
      <c r="O129" s="321">
        <f>CS_PID!O129/VLOOKUP($B129,LEBT[#ALL],4)/VLOOKUP($B129,표2[#ALL],2)</f>
        <v>160.2154425</v>
      </c>
      <c r="P129" s="321">
        <f>CS_PID!P129/VLOOKUP($B129,LEBT[#ALL],4)/VLOOKUP($B129,표2[#ALL],2)</f>
        <v>0</v>
      </c>
      <c r="Q129" s="321">
        <f>CS_PID!Q129/VLOOKUP($B129,LEBT[#ALL],4)/VLOOKUP($B129,표2[#ALL],2)</f>
        <v>0</v>
      </c>
      <c r="R129" s="321">
        <f>CS_PID!R129/VLOOKUP($B129,LEBT[#ALL],4)/VLOOKUP($B129,표2[#ALL],2)</f>
        <v>0</v>
      </c>
      <c r="S129" s="321">
        <f>CS_PID!S129/VLOOKUP($B129,LEBT[#ALL],4)/VLOOKUP($B129,표2[#ALL],2)</f>
        <v>0</v>
      </c>
      <c r="T129" s="321">
        <f>CS_PID!T129/VLOOKUP($B129,LEBT[#ALL],4)/VLOOKUP($B129,표2[#ALL],2)</f>
        <v>0</v>
      </c>
      <c r="U129" s="321">
        <f>CS_PID!U129/VLOOKUP($B129,LEBT[#ALL],4)/VLOOKUP($B129,표2[#ALL],2)</f>
        <v>320.430885</v>
      </c>
      <c r="V129" s="321">
        <f>CS_PID!V129/VLOOKUP($B129,LEBT[#ALL],4)/VLOOKUP($B129,표2[#ALL],2)</f>
        <v>0</v>
      </c>
      <c r="W129" s="321">
        <f>CS_PID!W129/VLOOKUP($B129,LEBT[#ALL],4)/VLOOKUP($B129,표2[#ALL],2)</f>
        <v>160.2154425</v>
      </c>
      <c r="X129" s="321">
        <f>CS_PID!X129/VLOOKUP($B129,LEBT[#ALL],4)/VLOOKUP($B129,표2[#ALL],2)</f>
        <v>0</v>
      </c>
      <c r="Y129" s="321">
        <f>CS_PID!Y129/VLOOKUP($B129,LEBT[#ALL],4)/VLOOKUP($B129,표2[#ALL],2)</f>
        <v>0</v>
      </c>
      <c r="Z129" s="321">
        <f>CS_PID!Z129/VLOOKUP($B129,LEBT[#ALL],4)/VLOOKUP($B129,표2[#ALL],2)</f>
        <v>0</v>
      </c>
      <c r="AA129" s="321">
        <f>CS_PID!AA129/VLOOKUP($B129,LEBT[#ALL],4)/VLOOKUP($B129,표2[#ALL],2)</f>
        <v>0</v>
      </c>
      <c r="AB129" s="321">
        <f>CS_PID!AB129/VLOOKUP($B129,LEBT[#ALL],4)/VLOOKUP($B129,표2[#ALL],2)</f>
        <v>0</v>
      </c>
      <c r="AC129" s="321">
        <f>CS_PID!AC129/VLOOKUP($B129,LEBT[#ALL],4)/VLOOKUP($B129,표2[#ALL],2)</f>
        <v>480.6463274</v>
      </c>
      <c r="AD129" s="321">
        <f>CS_PID!AD129/VLOOKUP($B129,LEBT[#ALL],4)/VLOOKUP($B129,표2[#ALL],2)</f>
        <v>0</v>
      </c>
      <c r="AE129" s="321">
        <f>CS_PID!AE129/VLOOKUP($B129,LEBT[#ALL],4)/VLOOKUP($B129,표2[#ALL],2)</f>
        <v>0</v>
      </c>
      <c r="AF129" s="321">
        <f>CS_PID!AF129/VLOOKUP($B129,LEBT[#ALL],4)/VLOOKUP($B129,표2[#ALL],2)</f>
        <v>0</v>
      </c>
      <c r="AG129" s="321">
        <f>CS_PID!AG129/VLOOKUP($B129,LEBT[#ALL],4)/VLOOKUP($B129,표2[#ALL],2)</f>
        <v>0</v>
      </c>
      <c r="AH129" s="321">
        <f>CS_PID!AH129/VLOOKUP($B129,LEBT[#ALL],4)/VLOOKUP($B129,표2[#ALL],2)</f>
        <v>0</v>
      </c>
      <c r="AI129" s="321">
        <f>CS_PID!AI129/VLOOKUP($B129,LEBT[#ALL],4)/VLOOKUP($B129,표2[#ALL],2)</f>
        <v>801.0772124</v>
      </c>
      <c r="AJ129" s="321">
        <f>CS_PID!AJ129/VLOOKUP($B129,LEBT[#ALL],4)/VLOOKUP($B129,표2[#ALL],2)</f>
        <v>160.2154425</v>
      </c>
      <c r="AK129" s="321">
        <f>CS_PID!AK129/VLOOKUP($B129,LEBT[#ALL],4)/VLOOKUP($B129,표2[#ALL],2)</f>
        <v>0</v>
      </c>
      <c r="AL129" s="321">
        <f>CS_PID!AL129/VLOOKUP($B129,LEBT[#ALL],4)/VLOOKUP($B129,표2[#ALL],2)</f>
        <v>0</v>
      </c>
      <c r="AM129" s="321">
        <f>CS_PID!AM129/VLOOKUP($B129,LEBT[#ALL],4)/VLOOKUP($B129,표2[#ALL],2)</f>
        <v>320.430885</v>
      </c>
      <c r="AN129" s="321">
        <f>CS_PID!AN129/VLOOKUP($B129,LEBT[#ALL],4)/VLOOKUP($B129,표2[#ALL],2)</f>
        <v>640.8617699</v>
      </c>
      <c r="AO129" s="321">
        <f>CS_PID!AO129/VLOOKUP($B129,LEBT[#ALL],4)/VLOOKUP($B129,표2[#ALL],2)</f>
        <v>0</v>
      </c>
      <c r="AP129" s="321">
        <f>CS_PID!AP129/VLOOKUP($B129,LEBT[#ALL],4)/VLOOKUP($B129,표2[#ALL],2)</f>
        <v>0</v>
      </c>
      <c r="AQ129" s="321">
        <f>CS_PID!AQ129/VLOOKUP($B129,LEBT[#ALL],4)/VLOOKUP($B129,표2[#ALL],2)</f>
        <v>480.6463274</v>
      </c>
      <c r="AR129" s="321">
        <f>CS_PID!AR129/VLOOKUP($B129,LEBT[#ALL],4)/VLOOKUP($B129,표2[#ALL],2)</f>
        <v>320.430885</v>
      </c>
      <c r="AS129" s="321">
        <f>CS_PID!AS129/VLOOKUP($B129,LEBT[#ALL],4)/VLOOKUP($B129,표2[#ALL],2)</f>
        <v>0</v>
      </c>
    </row>
    <row r="130">
      <c r="A130" s="189" t="s">
        <v>86</v>
      </c>
      <c r="B130" s="190">
        <v>411.0</v>
      </c>
      <c r="C130" s="322">
        <f>CS_PID!C130/VLOOKUP($B130,LEBT[#ALL],4)/VLOOKUP($B130,표2[#ALL],2)</f>
        <v>0</v>
      </c>
      <c r="D130" s="322">
        <f>CS_PID!D130/VLOOKUP($B130,LEBT[#ALL],4)/VLOOKUP($B130,표2[#ALL],2)</f>
        <v>0</v>
      </c>
      <c r="E130" s="322">
        <f>CS_PID!E130/VLOOKUP($B130,LEBT[#ALL],4)/VLOOKUP($B130,표2[#ALL],2)</f>
        <v>32.46741312</v>
      </c>
      <c r="F130" s="322">
        <f>CS_PID!F130/VLOOKUP($B130,LEBT[#ALL],4)/VLOOKUP($B130,표2[#ALL],2)</f>
        <v>0</v>
      </c>
      <c r="G130" s="322">
        <f>CS_PID!G130/VLOOKUP($B130,LEBT[#ALL],4)/VLOOKUP($B130,표2[#ALL],2)</f>
        <v>0</v>
      </c>
      <c r="H130" s="322">
        <f>CS_PID!H130/VLOOKUP($B130,LEBT[#ALL],4)/VLOOKUP($B130,표2[#ALL],2)</f>
        <v>0</v>
      </c>
      <c r="I130" s="322">
        <f>CS_PID!I130/VLOOKUP($B130,LEBT[#ALL],4)/VLOOKUP($B130,표2[#ALL],2)</f>
        <v>0</v>
      </c>
      <c r="J130" s="322">
        <f>CS_PID!J130/VLOOKUP($B130,LEBT[#ALL],4)/VLOOKUP($B130,표2[#ALL],2)</f>
        <v>0</v>
      </c>
      <c r="K130" s="322">
        <f>CS_PID!K130/VLOOKUP($B130,LEBT[#ALL],4)/VLOOKUP($B130,표2[#ALL],2)</f>
        <v>32.46741312</v>
      </c>
      <c r="L130" s="322">
        <f>CS_PID!L130/VLOOKUP($B130,LEBT[#ALL],4)/VLOOKUP($B130,표2[#ALL],2)</f>
        <v>0</v>
      </c>
      <c r="M130" s="322">
        <f>CS_PID!M130/VLOOKUP($B130,LEBT[#ALL],4)/VLOOKUP($B130,표2[#ALL],2)</f>
        <v>0</v>
      </c>
      <c r="N130" s="322">
        <f>CS_PID!N130/VLOOKUP($B130,LEBT[#ALL],4)/VLOOKUP($B130,표2[#ALL],2)</f>
        <v>0</v>
      </c>
      <c r="O130" s="322">
        <f>CS_PID!O130/VLOOKUP($B130,LEBT[#ALL],4)/VLOOKUP($B130,표2[#ALL],2)</f>
        <v>0</v>
      </c>
      <c r="P130" s="322">
        <f>CS_PID!P130/VLOOKUP($B130,LEBT[#ALL],4)/VLOOKUP($B130,표2[#ALL],2)</f>
        <v>64.93482625</v>
      </c>
      <c r="Q130" s="322">
        <f>CS_PID!Q130/VLOOKUP($B130,LEBT[#ALL],4)/VLOOKUP($B130,표2[#ALL],2)</f>
        <v>32.46741312</v>
      </c>
      <c r="R130" s="322">
        <f>CS_PID!R130/VLOOKUP($B130,LEBT[#ALL],4)/VLOOKUP($B130,표2[#ALL],2)</f>
        <v>32.46741312</v>
      </c>
      <c r="S130" s="322">
        <f>CS_PID!S130/VLOOKUP($B130,LEBT[#ALL],4)/VLOOKUP($B130,표2[#ALL],2)</f>
        <v>0</v>
      </c>
      <c r="T130" s="322">
        <f>CS_PID!T130/VLOOKUP($B130,LEBT[#ALL],4)/VLOOKUP($B130,표2[#ALL],2)</f>
        <v>0</v>
      </c>
      <c r="U130" s="322">
        <f>CS_PID!U130/VLOOKUP($B130,LEBT[#ALL],4)/VLOOKUP($B130,표2[#ALL],2)</f>
        <v>0</v>
      </c>
      <c r="V130" s="322">
        <f>CS_PID!V130/VLOOKUP($B130,LEBT[#ALL],4)/VLOOKUP($B130,표2[#ALL],2)</f>
        <v>97.40223937</v>
      </c>
      <c r="W130" s="322">
        <f>CS_PID!W130/VLOOKUP($B130,LEBT[#ALL],4)/VLOOKUP($B130,표2[#ALL],2)</f>
        <v>64.93482625</v>
      </c>
      <c r="X130" s="322">
        <f>CS_PID!X130/VLOOKUP($B130,LEBT[#ALL],4)/VLOOKUP($B130,표2[#ALL],2)</f>
        <v>97.40223937</v>
      </c>
      <c r="Y130" s="322">
        <f>CS_PID!Y130/VLOOKUP($B130,LEBT[#ALL],4)/VLOOKUP($B130,표2[#ALL],2)</f>
        <v>0</v>
      </c>
      <c r="Z130" s="322">
        <f>CS_PID!Z130/VLOOKUP($B130,LEBT[#ALL],4)/VLOOKUP($B130,표2[#ALL],2)</f>
        <v>0</v>
      </c>
      <c r="AA130" s="322">
        <f>CS_PID!AA130/VLOOKUP($B130,LEBT[#ALL],4)/VLOOKUP($B130,표2[#ALL],2)</f>
        <v>0</v>
      </c>
      <c r="AB130" s="322">
        <f>CS_PID!AB130/VLOOKUP($B130,LEBT[#ALL],4)/VLOOKUP($B130,표2[#ALL],2)</f>
        <v>32.46741312</v>
      </c>
      <c r="AC130" s="322">
        <f>CS_PID!AC130/VLOOKUP($B130,LEBT[#ALL],4)/VLOOKUP($B130,표2[#ALL],2)</f>
        <v>519.47861</v>
      </c>
      <c r="AD130" s="322">
        <f>CS_PID!AD130/VLOOKUP($B130,LEBT[#ALL],4)/VLOOKUP($B130,표2[#ALL],2)</f>
        <v>0</v>
      </c>
      <c r="AE130" s="322">
        <f>CS_PID!AE130/VLOOKUP($B130,LEBT[#ALL],4)/VLOOKUP($B130,표2[#ALL],2)</f>
        <v>0</v>
      </c>
      <c r="AF130" s="322">
        <f>CS_PID!AF130/VLOOKUP($B130,LEBT[#ALL],4)/VLOOKUP($B130,표2[#ALL],2)</f>
        <v>0</v>
      </c>
      <c r="AG130" s="322">
        <f>CS_PID!AG130/VLOOKUP($B130,LEBT[#ALL],4)/VLOOKUP($B130,표2[#ALL],2)</f>
        <v>0</v>
      </c>
      <c r="AH130" s="322">
        <f>CS_PID!AH130/VLOOKUP($B130,LEBT[#ALL],4)/VLOOKUP($B130,표2[#ALL],2)</f>
        <v>292.2067181</v>
      </c>
      <c r="AI130" s="322">
        <f>CS_PID!AI130/VLOOKUP($B130,LEBT[#ALL],4)/VLOOKUP($B130,표2[#ALL],2)</f>
        <v>681.8156756</v>
      </c>
      <c r="AJ130" s="322">
        <f>CS_PID!AJ130/VLOOKUP($B130,LEBT[#ALL],4)/VLOOKUP($B130,표2[#ALL],2)</f>
        <v>0</v>
      </c>
      <c r="AK130" s="322">
        <f>CS_PID!AK130/VLOOKUP($B130,LEBT[#ALL],4)/VLOOKUP($B130,표2[#ALL],2)</f>
        <v>0</v>
      </c>
      <c r="AL130" s="322">
        <f>CS_PID!AL130/VLOOKUP($B130,LEBT[#ALL],4)/VLOOKUP($B130,표2[#ALL],2)</f>
        <v>32.46741312</v>
      </c>
      <c r="AM130" s="322">
        <f>CS_PID!AM130/VLOOKUP($B130,LEBT[#ALL],4)/VLOOKUP($B130,표2[#ALL],2)</f>
        <v>422.0763706</v>
      </c>
      <c r="AN130" s="322">
        <f>CS_PID!AN130/VLOOKUP($B130,LEBT[#ALL],4)/VLOOKUP($B130,표2[#ALL],2)</f>
        <v>811.6853281</v>
      </c>
      <c r="AO130" s="322">
        <f>CS_PID!AO130/VLOOKUP($B130,LEBT[#ALL],4)/VLOOKUP($B130,표2[#ALL],2)</f>
        <v>0</v>
      </c>
      <c r="AP130" s="322">
        <f>CS_PID!AP130/VLOOKUP($B130,LEBT[#ALL],4)/VLOOKUP($B130,표2[#ALL],2)</f>
        <v>0</v>
      </c>
      <c r="AQ130" s="322">
        <f>CS_PID!AQ130/VLOOKUP($B130,LEBT[#ALL],4)/VLOOKUP($B130,표2[#ALL],2)</f>
        <v>616.8808494</v>
      </c>
      <c r="AR130" s="322">
        <f>CS_PID!AR130/VLOOKUP($B130,LEBT[#ALL],4)/VLOOKUP($B130,표2[#ALL],2)</f>
        <v>292.2067181</v>
      </c>
      <c r="AS130" s="322">
        <f>CS_PID!AS130/VLOOKUP($B130,LEBT[#ALL],4)/VLOOKUP($B130,표2[#ALL],2)</f>
        <v>0</v>
      </c>
    </row>
    <row r="131">
      <c r="A131" s="189" t="s">
        <v>86</v>
      </c>
      <c r="B131" s="190">
        <v>412.0</v>
      </c>
      <c r="C131" s="322">
        <f>CS_PID!C131/VLOOKUP($B131,LEBT[#ALL],4)/VLOOKUP($B131,표2[#ALL],2)</f>
        <v>14.11050553</v>
      </c>
      <c r="D131" s="322">
        <f>CS_PID!D131/VLOOKUP($B131,LEBT[#ALL],4)/VLOOKUP($B131,표2[#ALL],2)</f>
        <v>0</v>
      </c>
      <c r="E131" s="322">
        <f>CS_PID!E131/VLOOKUP($B131,LEBT[#ALL],4)/VLOOKUP($B131,표2[#ALL],2)</f>
        <v>14.11050553</v>
      </c>
      <c r="F131" s="322">
        <f>CS_PID!F131/VLOOKUP($B131,LEBT[#ALL],4)/VLOOKUP($B131,표2[#ALL],2)</f>
        <v>0</v>
      </c>
      <c r="G131" s="322">
        <f>CS_PID!G131/VLOOKUP($B131,LEBT[#ALL],4)/VLOOKUP($B131,표2[#ALL],2)</f>
        <v>0</v>
      </c>
      <c r="H131" s="322">
        <f>CS_PID!H131/VLOOKUP($B131,LEBT[#ALL],4)/VLOOKUP($B131,표2[#ALL],2)</f>
        <v>0</v>
      </c>
      <c r="I131" s="322">
        <f>CS_PID!I131/VLOOKUP($B131,LEBT[#ALL],4)/VLOOKUP($B131,표2[#ALL],2)</f>
        <v>14.11050553</v>
      </c>
      <c r="J131" s="322">
        <f>CS_PID!J131/VLOOKUP($B131,LEBT[#ALL],4)/VLOOKUP($B131,표2[#ALL],2)</f>
        <v>14.11050553</v>
      </c>
      <c r="K131" s="322">
        <f>CS_PID!K131/VLOOKUP($B131,LEBT[#ALL],4)/VLOOKUP($B131,표2[#ALL],2)</f>
        <v>14.11050553</v>
      </c>
      <c r="L131" s="322">
        <f>CS_PID!L131/VLOOKUP($B131,LEBT[#ALL],4)/VLOOKUP($B131,표2[#ALL],2)</f>
        <v>0</v>
      </c>
      <c r="M131" s="322">
        <f>CS_PID!M131/VLOOKUP($B131,LEBT[#ALL],4)/VLOOKUP($B131,표2[#ALL],2)</f>
        <v>0</v>
      </c>
      <c r="N131" s="322">
        <f>CS_PID!N131/VLOOKUP($B131,LEBT[#ALL],4)/VLOOKUP($B131,표2[#ALL],2)</f>
        <v>0</v>
      </c>
      <c r="O131" s="322">
        <f>CS_PID!O131/VLOOKUP($B131,LEBT[#ALL],4)/VLOOKUP($B131,표2[#ALL],2)</f>
        <v>28.22101105</v>
      </c>
      <c r="P131" s="322">
        <f>CS_PID!P131/VLOOKUP($B131,LEBT[#ALL],4)/VLOOKUP($B131,표2[#ALL],2)</f>
        <v>56.4420221</v>
      </c>
      <c r="Q131" s="322">
        <f>CS_PID!Q131/VLOOKUP($B131,LEBT[#ALL],4)/VLOOKUP($B131,표2[#ALL],2)</f>
        <v>70.55252763</v>
      </c>
      <c r="R131" s="322">
        <f>CS_PID!R131/VLOOKUP($B131,LEBT[#ALL],4)/VLOOKUP($B131,표2[#ALL],2)</f>
        <v>14.11050553</v>
      </c>
      <c r="S131" s="322">
        <f>CS_PID!S131/VLOOKUP($B131,LEBT[#ALL],4)/VLOOKUP($B131,표2[#ALL],2)</f>
        <v>0</v>
      </c>
      <c r="T131" s="322">
        <f>CS_PID!T131/VLOOKUP($B131,LEBT[#ALL],4)/VLOOKUP($B131,표2[#ALL],2)</f>
        <v>0</v>
      </c>
      <c r="U131" s="322">
        <f>CS_PID!U131/VLOOKUP($B131,LEBT[#ALL],4)/VLOOKUP($B131,표2[#ALL],2)</f>
        <v>28.22101105</v>
      </c>
      <c r="V131" s="322">
        <f>CS_PID!V131/VLOOKUP($B131,LEBT[#ALL],4)/VLOOKUP($B131,표2[#ALL],2)</f>
        <v>155.2155608</v>
      </c>
      <c r="W131" s="322">
        <f>CS_PID!W131/VLOOKUP($B131,LEBT[#ALL],4)/VLOOKUP($B131,표2[#ALL],2)</f>
        <v>112.8840442</v>
      </c>
      <c r="X131" s="322">
        <f>CS_PID!X131/VLOOKUP($B131,LEBT[#ALL],4)/VLOOKUP($B131,표2[#ALL],2)</f>
        <v>56.4420221</v>
      </c>
      <c r="Y131" s="322">
        <f>CS_PID!Y131/VLOOKUP($B131,LEBT[#ALL],4)/VLOOKUP($B131,표2[#ALL],2)</f>
        <v>0</v>
      </c>
      <c r="Z131" s="322">
        <f>CS_PID!Z131/VLOOKUP($B131,LEBT[#ALL],4)/VLOOKUP($B131,표2[#ALL],2)</f>
        <v>0</v>
      </c>
      <c r="AA131" s="322">
        <f>CS_PID!AA131/VLOOKUP($B131,LEBT[#ALL],4)/VLOOKUP($B131,표2[#ALL],2)</f>
        <v>0</v>
      </c>
      <c r="AB131" s="322">
        <f>CS_PID!AB131/VLOOKUP($B131,LEBT[#ALL],4)/VLOOKUP($B131,표2[#ALL],2)</f>
        <v>70.55252763</v>
      </c>
      <c r="AC131" s="322">
        <f>CS_PID!AC131/VLOOKUP($B131,LEBT[#ALL],4)/VLOOKUP($B131,표2[#ALL],2)</f>
        <v>776.0778039</v>
      </c>
      <c r="AD131" s="322">
        <f>CS_PID!AD131/VLOOKUP($B131,LEBT[#ALL],4)/VLOOKUP($B131,표2[#ALL],2)</f>
        <v>14.11050553</v>
      </c>
      <c r="AE131" s="322">
        <f>CS_PID!AE131/VLOOKUP($B131,LEBT[#ALL],4)/VLOOKUP($B131,표2[#ALL],2)</f>
        <v>0</v>
      </c>
      <c r="AF131" s="322">
        <f>CS_PID!AF131/VLOOKUP($B131,LEBT[#ALL],4)/VLOOKUP($B131,표2[#ALL],2)</f>
        <v>0</v>
      </c>
      <c r="AG131" s="322">
        <f>CS_PID!AG131/VLOOKUP($B131,LEBT[#ALL],4)/VLOOKUP($B131,표2[#ALL],2)</f>
        <v>0</v>
      </c>
      <c r="AH131" s="322">
        <f>CS_PID!AH131/VLOOKUP($B131,LEBT[#ALL],4)/VLOOKUP($B131,표2[#ALL],2)</f>
        <v>282.2101105</v>
      </c>
      <c r="AI131" s="322">
        <f>CS_PID!AI131/VLOOKUP($B131,LEBT[#ALL],4)/VLOOKUP($B131,표2[#ALL],2)</f>
        <v>606.7517376</v>
      </c>
      <c r="AJ131" s="322">
        <f>CS_PID!AJ131/VLOOKUP($B131,LEBT[#ALL],4)/VLOOKUP($B131,표2[#ALL],2)</f>
        <v>56.4420221</v>
      </c>
      <c r="AK131" s="322">
        <f>CS_PID!AK131/VLOOKUP($B131,LEBT[#ALL],4)/VLOOKUP($B131,표2[#ALL],2)</f>
        <v>0</v>
      </c>
      <c r="AL131" s="322">
        <f>CS_PID!AL131/VLOOKUP($B131,LEBT[#ALL],4)/VLOOKUP($B131,표2[#ALL],2)</f>
        <v>0</v>
      </c>
      <c r="AM131" s="322">
        <f>CS_PID!AM131/VLOOKUP($B131,LEBT[#ALL],4)/VLOOKUP($B131,표2[#ALL],2)</f>
        <v>550.3097155</v>
      </c>
      <c r="AN131" s="322">
        <f>CS_PID!AN131/VLOOKUP($B131,LEBT[#ALL],4)/VLOOKUP($B131,표2[#ALL],2)</f>
        <v>1114.729936</v>
      </c>
      <c r="AO131" s="322">
        <f>CS_PID!AO131/VLOOKUP($B131,LEBT[#ALL],4)/VLOOKUP($B131,표2[#ALL],2)</f>
        <v>0</v>
      </c>
      <c r="AP131" s="322">
        <f>CS_PID!AP131/VLOOKUP($B131,LEBT[#ALL],4)/VLOOKUP($B131,표2[#ALL],2)</f>
        <v>0</v>
      </c>
      <c r="AQ131" s="322">
        <f>CS_PID!AQ131/VLOOKUP($B131,LEBT[#ALL],4)/VLOOKUP($B131,표2[#ALL],2)</f>
        <v>917.1828591</v>
      </c>
      <c r="AR131" s="322">
        <f>CS_PID!AR131/VLOOKUP($B131,LEBT[#ALL],4)/VLOOKUP($B131,표2[#ALL],2)</f>
        <v>183.4365718</v>
      </c>
      <c r="AS131" s="322">
        <f>CS_PID!AS131/VLOOKUP($B131,LEBT[#ALL],4)/VLOOKUP($B131,표2[#ALL],2)</f>
        <v>14.11050553</v>
      </c>
    </row>
    <row r="132">
      <c r="A132" s="189" t="s">
        <v>86</v>
      </c>
      <c r="B132" s="190">
        <v>413.0</v>
      </c>
      <c r="C132" s="322">
        <f>CS_PID!C132/VLOOKUP($B132,LEBT[#ALL],4)/VLOOKUP($B132,표2[#ALL],2)</f>
        <v>0</v>
      </c>
      <c r="D132" s="322">
        <f>CS_PID!D132/VLOOKUP($B132,LEBT[#ALL],4)/VLOOKUP($B132,표2[#ALL],2)</f>
        <v>0</v>
      </c>
      <c r="E132" s="322">
        <f>CS_PID!E132/VLOOKUP($B132,LEBT[#ALL],4)/VLOOKUP($B132,표2[#ALL],2)</f>
        <v>0</v>
      </c>
      <c r="F132" s="322">
        <f>CS_PID!F132/VLOOKUP($B132,LEBT[#ALL],4)/VLOOKUP($B132,표2[#ALL],2)</f>
        <v>0</v>
      </c>
      <c r="G132" s="322">
        <f>CS_PID!G132/VLOOKUP($B132,LEBT[#ALL],4)/VLOOKUP($B132,표2[#ALL],2)</f>
        <v>0</v>
      </c>
      <c r="H132" s="322">
        <f>CS_PID!H132/VLOOKUP($B132,LEBT[#ALL],4)/VLOOKUP($B132,표2[#ALL],2)</f>
        <v>0</v>
      </c>
      <c r="I132" s="322">
        <f>CS_PID!I132/VLOOKUP($B132,LEBT[#ALL],4)/VLOOKUP($B132,표2[#ALL],2)</f>
        <v>0</v>
      </c>
      <c r="J132" s="322">
        <f>CS_PID!J132/VLOOKUP($B132,LEBT[#ALL],4)/VLOOKUP($B132,표2[#ALL],2)</f>
        <v>0</v>
      </c>
      <c r="K132" s="322">
        <f>CS_PID!K132/VLOOKUP($B132,LEBT[#ALL],4)/VLOOKUP($B132,표2[#ALL],2)</f>
        <v>0</v>
      </c>
      <c r="L132" s="322">
        <f>CS_PID!L132/VLOOKUP($B132,LEBT[#ALL],4)/VLOOKUP($B132,표2[#ALL],2)</f>
        <v>0</v>
      </c>
      <c r="M132" s="322">
        <f>CS_PID!M132/VLOOKUP($B132,LEBT[#ALL],4)/VLOOKUP($B132,표2[#ALL],2)</f>
        <v>0</v>
      </c>
      <c r="N132" s="322">
        <f>CS_PID!N132/VLOOKUP($B132,LEBT[#ALL],4)/VLOOKUP($B132,표2[#ALL],2)</f>
        <v>0</v>
      </c>
      <c r="O132" s="322">
        <f>CS_PID!O132/VLOOKUP($B132,LEBT[#ALL],4)/VLOOKUP($B132,표2[#ALL],2)</f>
        <v>0</v>
      </c>
      <c r="P132" s="322">
        <f>CS_PID!P132/VLOOKUP($B132,LEBT[#ALL],4)/VLOOKUP($B132,표2[#ALL],2)</f>
        <v>54.12383975</v>
      </c>
      <c r="Q132" s="322">
        <f>CS_PID!Q132/VLOOKUP($B132,LEBT[#ALL],4)/VLOOKUP($B132,표2[#ALL],2)</f>
        <v>0</v>
      </c>
      <c r="R132" s="322">
        <f>CS_PID!R132/VLOOKUP($B132,LEBT[#ALL],4)/VLOOKUP($B132,표2[#ALL],2)</f>
        <v>0</v>
      </c>
      <c r="S132" s="322">
        <f>CS_PID!S132/VLOOKUP($B132,LEBT[#ALL],4)/VLOOKUP($B132,표2[#ALL],2)</f>
        <v>0</v>
      </c>
      <c r="T132" s="322">
        <f>CS_PID!T132/VLOOKUP($B132,LEBT[#ALL],4)/VLOOKUP($B132,표2[#ALL],2)</f>
        <v>0</v>
      </c>
      <c r="U132" s="322">
        <f>CS_PID!U132/VLOOKUP($B132,LEBT[#ALL],4)/VLOOKUP($B132,표2[#ALL],2)</f>
        <v>18.04127992</v>
      </c>
      <c r="V132" s="322">
        <f>CS_PID!V132/VLOOKUP($B132,LEBT[#ALL],4)/VLOOKUP($B132,표2[#ALL],2)</f>
        <v>108.2476795</v>
      </c>
      <c r="W132" s="322">
        <f>CS_PID!W132/VLOOKUP($B132,LEBT[#ALL],4)/VLOOKUP($B132,표2[#ALL],2)</f>
        <v>162.3715192</v>
      </c>
      <c r="X132" s="322">
        <f>CS_PID!X132/VLOOKUP($B132,LEBT[#ALL],4)/VLOOKUP($B132,표2[#ALL],2)</f>
        <v>18.04127992</v>
      </c>
      <c r="Y132" s="322">
        <f>CS_PID!Y132/VLOOKUP($B132,LEBT[#ALL],4)/VLOOKUP($B132,표2[#ALL],2)</f>
        <v>0</v>
      </c>
      <c r="Z132" s="322">
        <f>CS_PID!Z132/VLOOKUP($B132,LEBT[#ALL],4)/VLOOKUP($B132,표2[#ALL],2)</f>
        <v>0</v>
      </c>
      <c r="AA132" s="322">
        <f>CS_PID!AA132/VLOOKUP($B132,LEBT[#ALL],4)/VLOOKUP($B132,표2[#ALL],2)</f>
        <v>0</v>
      </c>
      <c r="AB132" s="322">
        <f>CS_PID!AB132/VLOOKUP($B132,LEBT[#ALL],4)/VLOOKUP($B132,표2[#ALL],2)</f>
        <v>36.08255983</v>
      </c>
      <c r="AC132" s="322">
        <f>CS_PID!AC132/VLOOKUP($B132,LEBT[#ALL],4)/VLOOKUP($B132,표2[#ALL],2)</f>
        <v>577.3209573</v>
      </c>
      <c r="AD132" s="322">
        <f>CS_PID!AD132/VLOOKUP($B132,LEBT[#ALL],4)/VLOOKUP($B132,표2[#ALL],2)</f>
        <v>36.08255983</v>
      </c>
      <c r="AE132" s="322">
        <f>CS_PID!AE132/VLOOKUP($B132,LEBT[#ALL],4)/VLOOKUP($B132,표2[#ALL],2)</f>
        <v>0</v>
      </c>
      <c r="AF132" s="322">
        <f>CS_PID!AF132/VLOOKUP($B132,LEBT[#ALL],4)/VLOOKUP($B132,표2[#ALL],2)</f>
        <v>0</v>
      </c>
      <c r="AG132" s="322">
        <f>CS_PID!AG132/VLOOKUP($B132,LEBT[#ALL],4)/VLOOKUP($B132,표2[#ALL],2)</f>
        <v>0</v>
      </c>
      <c r="AH132" s="322">
        <f>CS_PID!AH132/VLOOKUP($B132,LEBT[#ALL],4)/VLOOKUP($B132,표2[#ALL],2)</f>
        <v>234.5366389</v>
      </c>
      <c r="AI132" s="322">
        <f>CS_PID!AI132/VLOOKUP($B132,LEBT[#ALL],4)/VLOOKUP($B132,표2[#ALL],2)</f>
        <v>487.1145577</v>
      </c>
      <c r="AJ132" s="322">
        <f>CS_PID!AJ132/VLOOKUP($B132,LEBT[#ALL],4)/VLOOKUP($B132,표2[#ALL],2)</f>
        <v>108.2476795</v>
      </c>
      <c r="AK132" s="322">
        <f>CS_PID!AK132/VLOOKUP($B132,LEBT[#ALL],4)/VLOOKUP($B132,표2[#ALL],2)</f>
        <v>0</v>
      </c>
      <c r="AL132" s="322">
        <f>CS_PID!AL132/VLOOKUP($B132,LEBT[#ALL],4)/VLOOKUP($B132,표2[#ALL],2)</f>
        <v>0</v>
      </c>
      <c r="AM132" s="322">
        <f>CS_PID!AM132/VLOOKUP($B132,LEBT[#ALL],4)/VLOOKUP($B132,표2[#ALL],2)</f>
        <v>523.1971176</v>
      </c>
      <c r="AN132" s="322">
        <f>CS_PID!AN132/VLOOKUP($B132,LEBT[#ALL],4)/VLOOKUP($B132,표2[#ALL],2)</f>
        <v>992.2703954</v>
      </c>
      <c r="AO132" s="322">
        <f>CS_PID!AO132/VLOOKUP($B132,LEBT[#ALL],4)/VLOOKUP($B132,표2[#ALL],2)</f>
        <v>0</v>
      </c>
      <c r="AP132" s="322">
        <f>CS_PID!AP132/VLOOKUP($B132,LEBT[#ALL],4)/VLOOKUP($B132,표2[#ALL],2)</f>
        <v>0</v>
      </c>
      <c r="AQ132" s="322">
        <f>CS_PID!AQ132/VLOOKUP($B132,LEBT[#ALL],4)/VLOOKUP($B132,표2[#ALL],2)</f>
        <v>685.5686368</v>
      </c>
      <c r="AR132" s="322">
        <f>CS_PID!AR132/VLOOKUP($B132,LEBT[#ALL],4)/VLOOKUP($B132,표2[#ALL],2)</f>
        <v>252.5779188</v>
      </c>
      <c r="AS132" s="322">
        <f>CS_PID!AS132/VLOOKUP($B132,LEBT[#ALL],4)/VLOOKUP($B132,표2[#ALL],2)</f>
        <v>0</v>
      </c>
    </row>
    <row r="133">
      <c r="A133" s="193" t="s">
        <v>86</v>
      </c>
      <c r="B133" s="194">
        <v>415.0</v>
      </c>
      <c r="C133" s="323">
        <f>CS_PID!C133/VLOOKUP($B133,LEBT[#ALL],4)/VLOOKUP($B133,표2[#ALL],2)</f>
        <v>0</v>
      </c>
      <c r="D133" s="323">
        <f>CS_PID!D133/VLOOKUP($B133,LEBT[#ALL],4)/VLOOKUP($B133,표2[#ALL],2)</f>
        <v>0</v>
      </c>
      <c r="E133" s="323">
        <f>CS_PID!E133/VLOOKUP($B133,LEBT[#ALL],4)/VLOOKUP($B133,표2[#ALL],2)</f>
        <v>0</v>
      </c>
      <c r="F133" s="323">
        <f>CS_PID!F133/VLOOKUP($B133,LEBT[#ALL],4)/VLOOKUP($B133,표2[#ALL],2)</f>
        <v>0</v>
      </c>
      <c r="G133" s="323">
        <f>CS_PID!G133/VLOOKUP($B133,LEBT[#ALL],4)/VLOOKUP($B133,표2[#ALL],2)</f>
        <v>0</v>
      </c>
      <c r="H133" s="323">
        <f>CS_PID!H133/VLOOKUP($B133,LEBT[#ALL],4)/VLOOKUP($B133,표2[#ALL],2)</f>
        <v>0</v>
      </c>
      <c r="I133" s="323">
        <f>CS_PID!I133/VLOOKUP($B133,LEBT[#ALL],4)/VLOOKUP($B133,표2[#ALL],2)</f>
        <v>0</v>
      </c>
      <c r="J133" s="323">
        <f>CS_PID!J133/VLOOKUP($B133,LEBT[#ALL],4)/VLOOKUP($B133,표2[#ALL],2)</f>
        <v>0</v>
      </c>
      <c r="K133" s="323">
        <f>CS_PID!K133/VLOOKUP($B133,LEBT[#ALL],4)/VLOOKUP($B133,표2[#ALL],2)</f>
        <v>0</v>
      </c>
      <c r="L133" s="323">
        <f>CS_PID!L133/VLOOKUP($B133,LEBT[#ALL],4)/VLOOKUP($B133,표2[#ALL],2)</f>
        <v>0</v>
      </c>
      <c r="M133" s="323">
        <f>CS_PID!M133/VLOOKUP($B133,LEBT[#ALL],4)/VLOOKUP($B133,표2[#ALL],2)</f>
        <v>0</v>
      </c>
      <c r="N133" s="323">
        <f>CS_PID!N133/VLOOKUP($B133,LEBT[#ALL],4)/VLOOKUP($B133,표2[#ALL],2)</f>
        <v>0</v>
      </c>
      <c r="O133" s="323">
        <f>CS_PID!O133/VLOOKUP($B133,LEBT[#ALL],4)/VLOOKUP($B133,표2[#ALL],2)</f>
        <v>0</v>
      </c>
      <c r="P133" s="323">
        <f>CS_PID!P133/VLOOKUP($B133,LEBT[#ALL],4)/VLOOKUP($B133,표2[#ALL],2)</f>
        <v>0</v>
      </c>
      <c r="Q133" s="323">
        <f>CS_PID!Q133/VLOOKUP($B133,LEBT[#ALL],4)/VLOOKUP($B133,표2[#ALL],2)</f>
        <v>86.43166959</v>
      </c>
      <c r="R133" s="323">
        <f>CS_PID!R133/VLOOKUP($B133,LEBT[#ALL],4)/VLOOKUP($B133,표2[#ALL],2)</f>
        <v>0</v>
      </c>
      <c r="S133" s="323">
        <f>CS_PID!S133/VLOOKUP($B133,LEBT[#ALL],4)/VLOOKUP($B133,표2[#ALL],2)</f>
        <v>0</v>
      </c>
      <c r="T133" s="323">
        <f>CS_PID!T133/VLOOKUP($B133,LEBT[#ALL],4)/VLOOKUP($B133,표2[#ALL],2)</f>
        <v>0</v>
      </c>
      <c r="U133" s="323">
        <f>CS_PID!U133/VLOOKUP($B133,LEBT[#ALL],4)/VLOOKUP($B133,표2[#ALL],2)</f>
        <v>0</v>
      </c>
      <c r="V133" s="323">
        <f>CS_PID!V133/VLOOKUP($B133,LEBT[#ALL],4)/VLOOKUP($B133,표2[#ALL],2)</f>
        <v>0</v>
      </c>
      <c r="W133" s="323">
        <f>CS_PID!W133/VLOOKUP($B133,LEBT[#ALL],4)/VLOOKUP($B133,표2[#ALL],2)</f>
        <v>86.43166959</v>
      </c>
      <c r="X133" s="323">
        <f>CS_PID!X133/VLOOKUP($B133,LEBT[#ALL],4)/VLOOKUP($B133,표2[#ALL],2)</f>
        <v>0</v>
      </c>
      <c r="Y133" s="323">
        <f>CS_PID!Y133/VLOOKUP($B133,LEBT[#ALL],4)/VLOOKUP($B133,표2[#ALL],2)</f>
        <v>0</v>
      </c>
      <c r="Z133" s="323">
        <f>CS_PID!Z133/VLOOKUP($B133,LEBT[#ALL],4)/VLOOKUP($B133,표2[#ALL],2)</f>
        <v>0</v>
      </c>
      <c r="AA133" s="323">
        <f>CS_PID!AA133/VLOOKUP($B133,LEBT[#ALL],4)/VLOOKUP($B133,표2[#ALL],2)</f>
        <v>0</v>
      </c>
      <c r="AB133" s="323">
        <f>CS_PID!AB133/VLOOKUP($B133,LEBT[#ALL],4)/VLOOKUP($B133,표2[#ALL],2)</f>
        <v>172.8633392</v>
      </c>
      <c r="AC133" s="323">
        <f>CS_PID!AC133/VLOOKUP($B133,LEBT[#ALL],4)/VLOOKUP($B133,표2[#ALL],2)</f>
        <v>605.0216871</v>
      </c>
      <c r="AD133" s="323">
        <f>CS_PID!AD133/VLOOKUP($B133,LEBT[#ALL],4)/VLOOKUP($B133,표2[#ALL],2)</f>
        <v>0</v>
      </c>
      <c r="AE133" s="323">
        <f>CS_PID!AE133/VLOOKUP($B133,LEBT[#ALL],4)/VLOOKUP($B133,표2[#ALL],2)</f>
        <v>0</v>
      </c>
      <c r="AF133" s="323">
        <f>CS_PID!AF133/VLOOKUP($B133,LEBT[#ALL],4)/VLOOKUP($B133,표2[#ALL],2)</f>
        <v>0</v>
      </c>
      <c r="AG133" s="323">
        <f>CS_PID!AG133/VLOOKUP($B133,LEBT[#ALL],4)/VLOOKUP($B133,표2[#ALL],2)</f>
        <v>0</v>
      </c>
      <c r="AH133" s="323">
        <f>CS_PID!AH133/VLOOKUP($B133,LEBT[#ALL],4)/VLOOKUP($B133,표2[#ALL],2)</f>
        <v>259.2950088</v>
      </c>
      <c r="AI133" s="323">
        <f>CS_PID!AI133/VLOOKUP($B133,LEBT[#ALL],4)/VLOOKUP($B133,표2[#ALL],2)</f>
        <v>864.3166959</v>
      </c>
      <c r="AJ133" s="323">
        <f>CS_PID!AJ133/VLOOKUP($B133,LEBT[#ALL],4)/VLOOKUP($B133,표2[#ALL],2)</f>
        <v>86.43166959</v>
      </c>
      <c r="AK133" s="323">
        <f>CS_PID!AK133/VLOOKUP($B133,LEBT[#ALL],4)/VLOOKUP($B133,표2[#ALL],2)</f>
        <v>0</v>
      </c>
      <c r="AL133" s="323">
        <f>CS_PID!AL133/VLOOKUP($B133,LEBT[#ALL],4)/VLOOKUP($B133,표2[#ALL],2)</f>
        <v>0</v>
      </c>
      <c r="AM133" s="323">
        <f>CS_PID!AM133/VLOOKUP($B133,LEBT[#ALL],4)/VLOOKUP($B133,표2[#ALL],2)</f>
        <v>259.2950088</v>
      </c>
      <c r="AN133" s="323">
        <f>CS_PID!AN133/VLOOKUP($B133,LEBT[#ALL],4)/VLOOKUP($B133,표2[#ALL],2)</f>
        <v>1555.770053</v>
      </c>
      <c r="AO133" s="323">
        <f>CS_PID!AO133/VLOOKUP($B133,LEBT[#ALL],4)/VLOOKUP($B133,표2[#ALL],2)</f>
        <v>0</v>
      </c>
      <c r="AP133" s="323">
        <f>CS_PID!AP133/VLOOKUP($B133,LEBT[#ALL],4)/VLOOKUP($B133,표2[#ALL],2)</f>
        <v>86.43166959</v>
      </c>
      <c r="AQ133" s="323">
        <f>CS_PID!AQ133/VLOOKUP($B133,LEBT[#ALL],4)/VLOOKUP($B133,표2[#ALL],2)</f>
        <v>777.8850263</v>
      </c>
      <c r="AR133" s="323">
        <f>CS_PID!AR133/VLOOKUP($B133,LEBT[#ALL],4)/VLOOKUP($B133,표2[#ALL],2)</f>
        <v>259.2950088</v>
      </c>
      <c r="AS133" s="323">
        <f>CS_PID!AS133/VLOOKUP($B133,LEBT[#ALL],4)/VLOOKUP($B133,표2[#ALL],2)</f>
        <v>0</v>
      </c>
    </row>
    <row r="134">
      <c r="A134" s="197" t="s">
        <v>88</v>
      </c>
      <c r="B134" s="198">
        <v>420.0</v>
      </c>
      <c r="C134" s="324">
        <f>CS_PID!C134/VLOOKUP($B134,LEBT[#ALL],4)/VLOOKUP($B134,표2[#ALL],2)</f>
        <v>0</v>
      </c>
      <c r="D134" s="324">
        <f>CS_PID!D134/VLOOKUP($B134,LEBT[#ALL],4)/VLOOKUP($B134,표2[#ALL],2)</f>
        <v>0</v>
      </c>
      <c r="E134" s="324">
        <f>CS_PID!E134/VLOOKUP($B134,LEBT[#ALL],4)/VLOOKUP($B134,표2[#ALL],2)</f>
        <v>0</v>
      </c>
      <c r="F134" s="324">
        <f>CS_PID!F134/VLOOKUP($B134,LEBT[#ALL],4)/VLOOKUP($B134,표2[#ALL],2)</f>
        <v>0</v>
      </c>
      <c r="G134" s="324">
        <f>CS_PID!G134/VLOOKUP($B134,LEBT[#ALL],4)/VLOOKUP($B134,표2[#ALL],2)</f>
        <v>0</v>
      </c>
      <c r="H134" s="324">
        <f>CS_PID!H134/VLOOKUP($B134,LEBT[#ALL],4)/VLOOKUP($B134,표2[#ALL],2)</f>
        <v>0</v>
      </c>
      <c r="I134" s="324">
        <f>CS_PID!I134/VLOOKUP($B134,LEBT[#ALL],4)/VLOOKUP($B134,표2[#ALL],2)</f>
        <v>0</v>
      </c>
      <c r="J134" s="324">
        <f>CS_PID!J134/VLOOKUP($B134,LEBT[#ALL],4)/VLOOKUP($B134,표2[#ALL],2)</f>
        <v>0</v>
      </c>
      <c r="K134" s="324">
        <f>CS_PID!K134/VLOOKUP($B134,LEBT[#ALL],4)/VLOOKUP($B134,표2[#ALL],2)</f>
        <v>0</v>
      </c>
      <c r="L134" s="324">
        <f>CS_PID!L134/VLOOKUP($B134,LEBT[#ALL],4)/VLOOKUP($B134,표2[#ALL],2)</f>
        <v>0</v>
      </c>
      <c r="M134" s="324">
        <f>CS_PID!M134/VLOOKUP($B134,LEBT[#ALL],4)/VLOOKUP($B134,표2[#ALL],2)</f>
        <v>0</v>
      </c>
      <c r="N134" s="324">
        <f>CS_PID!N134/VLOOKUP($B134,LEBT[#ALL],4)/VLOOKUP($B134,표2[#ALL],2)</f>
        <v>0</v>
      </c>
      <c r="O134" s="324">
        <f>CS_PID!O134/VLOOKUP($B134,LEBT[#ALL],4)/VLOOKUP($B134,표2[#ALL],2)</f>
        <v>0</v>
      </c>
      <c r="P134" s="324">
        <f>CS_PID!P134/VLOOKUP($B134,LEBT[#ALL],4)/VLOOKUP($B134,표2[#ALL],2)</f>
        <v>0</v>
      </c>
      <c r="Q134" s="324">
        <f>CS_PID!Q134/VLOOKUP($B134,LEBT[#ALL],4)/VLOOKUP($B134,표2[#ALL],2)</f>
        <v>0</v>
      </c>
      <c r="R134" s="324">
        <f>CS_PID!R134/VLOOKUP($B134,LEBT[#ALL],4)/VLOOKUP($B134,표2[#ALL],2)</f>
        <v>533.9057251</v>
      </c>
      <c r="S134" s="324">
        <f>CS_PID!S134/VLOOKUP($B134,LEBT[#ALL],4)/VLOOKUP($B134,표2[#ALL],2)</f>
        <v>0</v>
      </c>
      <c r="T134" s="324">
        <f>CS_PID!T134/VLOOKUP($B134,LEBT[#ALL],4)/VLOOKUP($B134,표2[#ALL],2)</f>
        <v>0</v>
      </c>
      <c r="U134" s="324">
        <f>CS_PID!U134/VLOOKUP($B134,LEBT[#ALL],4)/VLOOKUP($B134,표2[#ALL],2)</f>
        <v>0</v>
      </c>
      <c r="V134" s="324">
        <f>CS_PID!V134/VLOOKUP($B134,LEBT[#ALL],4)/VLOOKUP($B134,표2[#ALL],2)</f>
        <v>0</v>
      </c>
      <c r="W134" s="324">
        <f>CS_PID!W134/VLOOKUP($B134,LEBT[#ALL],4)/VLOOKUP($B134,표2[#ALL],2)</f>
        <v>533.9057251</v>
      </c>
      <c r="X134" s="324">
        <f>CS_PID!X134/VLOOKUP($B134,LEBT[#ALL],4)/VLOOKUP($B134,표2[#ALL],2)</f>
        <v>1201.287881</v>
      </c>
      <c r="Y134" s="324">
        <f>CS_PID!Y134/VLOOKUP($B134,LEBT[#ALL],4)/VLOOKUP($B134,표2[#ALL],2)</f>
        <v>266.9528626</v>
      </c>
      <c r="Z134" s="324">
        <f>CS_PID!Z134/VLOOKUP($B134,LEBT[#ALL],4)/VLOOKUP($B134,표2[#ALL],2)</f>
        <v>0</v>
      </c>
      <c r="AA134" s="324">
        <f>CS_PID!AA134/VLOOKUP($B134,LEBT[#ALL],4)/VLOOKUP($B134,표2[#ALL],2)</f>
        <v>0</v>
      </c>
      <c r="AB134" s="324">
        <f>CS_PID!AB134/VLOOKUP($B134,LEBT[#ALL],4)/VLOOKUP($B134,표2[#ALL],2)</f>
        <v>0</v>
      </c>
      <c r="AC134" s="324">
        <f>CS_PID!AC134/VLOOKUP($B134,LEBT[#ALL],4)/VLOOKUP($B134,표2[#ALL],2)</f>
        <v>1201.287881</v>
      </c>
      <c r="AD134" s="324">
        <f>CS_PID!AD134/VLOOKUP($B134,LEBT[#ALL],4)/VLOOKUP($B134,표2[#ALL],2)</f>
        <v>1868.670038</v>
      </c>
      <c r="AE134" s="324">
        <f>CS_PID!AE134/VLOOKUP($B134,LEBT[#ALL],4)/VLOOKUP($B134,표2[#ALL],2)</f>
        <v>0</v>
      </c>
      <c r="AF134" s="324">
        <f>CS_PID!AF134/VLOOKUP($B134,LEBT[#ALL],4)/VLOOKUP($B134,표2[#ALL],2)</f>
        <v>0</v>
      </c>
      <c r="AG134" s="324">
        <f>CS_PID!AG134/VLOOKUP($B134,LEBT[#ALL],4)/VLOOKUP($B134,표2[#ALL],2)</f>
        <v>0</v>
      </c>
      <c r="AH134" s="324">
        <f>CS_PID!AH134/VLOOKUP($B134,LEBT[#ALL],4)/VLOOKUP($B134,표2[#ALL],2)</f>
        <v>133.4764313</v>
      </c>
      <c r="AI134" s="324">
        <f>CS_PID!AI134/VLOOKUP($B134,LEBT[#ALL],4)/VLOOKUP($B134,표2[#ALL],2)</f>
        <v>3069.957919</v>
      </c>
      <c r="AJ134" s="324">
        <f>CS_PID!AJ134/VLOOKUP($B134,LEBT[#ALL],4)/VLOOKUP($B134,표2[#ALL],2)</f>
        <v>3336.910782</v>
      </c>
      <c r="AK134" s="324">
        <f>CS_PID!AK134/VLOOKUP($B134,LEBT[#ALL],4)/VLOOKUP($B134,표2[#ALL],2)</f>
        <v>0</v>
      </c>
      <c r="AL134" s="324">
        <f>CS_PID!AL134/VLOOKUP($B134,LEBT[#ALL],4)/VLOOKUP($B134,표2[#ALL],2)</f>
        <v>0</v>
      </c>
      <c r="AM134" s="324">
        <f>CS_PID!AM134/VLOOKUP($B134,LEBT[#ALL],4)/VLOOKUP($B134,표2[#ALL],2)</f>
        <v>133.4764313</v>
      </c>
      <c r="AN134" s="324">
        <f>CS_PID!AN134/VLOOKUP($B134,LEBT[#ALL],4)/VLOOKUP($B134,표2[#ALL],2)</f>
        <v>5205.58082</v>
      </c>
      <c r="AO134" s="324">
        <f>CS_PID!AO134/VLOOKUP($B134,LEBT[#ALL],4)/VLOOKUP($B134,표2[#ALL],2)</f>
        <v>1868.670038</v>
      </c>
      <c r="AP134" s="324">
        <f>CS_PID!AP134/VLOOKUP($B134,LEBT[#ALL],4)/VLOOKUP($B134,표2[#ALL],2)</f>
        <v>0</v>
      </c>
      <c r="AQ134" s="324">
        <f>CS_PID!AQ134/VLOOKUP($B134,LEBT[#ALL],4)/VLOOKUP($B134,표2[#ALL],2)</f>
        <v>0</v>
      </c>
      <c r="AR134" s="324">
        <f>CS_PID!AR134/VLOOKUP($B134,LEBT[#ALL],4)/VLOOKUP($B134,표2[#ALL],2)</f>
        <v>1334.764313</v>
      </c>
      <c r="AS134" s="324">
        <f>CS_PID!AS134/VLOOKUP($B134,LEBT[#ALL],4)/VLOOKUP($B134,표2[#ALL],2)</f>
        <v>1334.764313</v>
      </c>
    </row>
    <row r="135">
      <c r="A135" s="201" t="s">
        <v>88</v>
      </c>
      <c r="B135" s="202">
        <v>421.0</v>
      </c>
      <c r="C135" s="325">
        <f>CS_PID!C135/VLOOKUP($B135,LEBT[#ALL],4)/VLOOKUP($B135,표2[#ALL],2)</f>
        <v>95.36928396</v>
      </c>
      <c r="D135" s="325">
        <f>CS_PID!D135/VLOOKUP($B135,LEBT[#ALL],4)/VLOOKUP($B135,표2[#ALL],2)</f>
        <v>63.57952264</v>
      </c>
      <c r="E135" s="325">
        <f>CS_PID!E135/VLOOKUP($B135,LEBT[#ALL],4)/VLOOKUP($B135,표2[#ALL],2)</f>
        <v>0</v>
      </c>
      <c r="F135" s="325">
        <f>CS_PID!F135/VLOOKUP($B135,LEBT[#ALL],4)/VLOOKUP($B135,표2[#ALL],2)</f>
        <v>0</v>
      </c>
      <c r="G135" s="325">
        <f>CS_PID!G135/VLOOKUP($B135,LEBT[#ALL],4)/VLOOKUP($B135,표2[#ALL],2)</f>
        <v>0</v>
      </c>
      <c r="H135" s="325">
        <f>CS_PID!H135/VLOOKUP($B135,LEBT[#ALL],4)/VLOOKUP($B135,표2[#ALL],2)</f>
        <v>63.57952264</v>
      </c>
      <c r="I135" s="325">
        <f>CS_PID!I135/VLOOKUP($B135,LEBT[#ALL],4)/VLOOKUP($B135,표2[#ALL],2)</f>
        <v>0</v>
      </c>
      <c r="J135" s="325">
        <f>CS_PID!J135/VLOOKUP($B135,LEBT[#ALL],4)/VLOOKUP($B135,표2[#ALL],2)</f>
        <v>63.57952264</v>
      </c>
      <c r="K135" s="325">
        <f>CS_PID!K135/VLOOKUP($B135,LEBT[#ALL],4)/VLOOKUP($B135,표2[#ALL],2)</f>
        <v>127.1590453</v>
      </c>
      <c r="L135" s="325">
        <f>CS_PID!L135/VLOOKUP($B135,LEBT[#ALL],4)/VLOOKUP($B135,표2[#ALL],2)</f>
        <v>63.57952264</v>
      </c>
      <c r="M135" s="325">
        <f>CS_PID!M135/VLOOKUP($B135,LEBT[#ALL],4)/VLOOKUP($B135,표2[#ALL],2)</f>
        <v>0</v>
      </c>
      <c r="N135" s="325">
        <f>CS_PID!N135/VLOOKUP($B135,LEBT[#ALL],4)/VLOOKUP($B135,표2[#ALL],2)</f>
        <v>0</v>
      </c>
      <c r="O135" s="325">
        <f>CS_PID!O135/VLOOKUP($B135,LEBT[#ALL],4)/VLOOKUP($B135,표2[#ALL],2)</f>
        <v>0</v>
      </c>
      <c r="P135" s="325">
        <f>CS_PID!P135/VLOOKUP($B135,LEBT[#ALL],4)/VLOOKUP($B135,표2[#ALL],2)</f>
        <v>222.5283292</v>
      </c>
      <c r="Q135" s="325">
        <f>CS_PID!Q135/VLOOKUP($B135,LEBT[#ALL],4)/VLOOKUP($B135,표2[#ALL],2)</f>
        <v>63.57952264</v>
      </c>
      <c r="R135" s="325">
        <f>CS_PID!R135/VLOOKUP($B135,LEBT[#ALL],4)/VLOOKUP($B135,표2[#ALL],2)</f>
        <v>158.9488066</v>
      </c>
      <c r="S135" s="325">
        <f>CS_PID!S135/VLOOKUP($B135,LEBT[#ALL],4)/VLOOKUP($B135,표2[#ALL],2)</f>
        <v>31.78976132</v>
      </c>
      <c r="T135" s="325">
        <f>CS_PID!T135/VLOOKUP($B135,LEBT[#ALL],4)/VLOOKUP($B135,표2[#ALL],2)</f>
        <v>0</v>
      </c>
      <c r="U135" s="325">
        <f>CS_PID!U135/VLOOKUP($B135,LEBT[#ALL],4)/VLOOKUP($B135,표2[#ALL],2)</f>
        <v>31.78976132</v>
      </c>
      <c r="V135" s="325">
        <f>CS_PID!V135/VLOOKUP($B135,LEBT[#ALL],4)/VLOOKUP($B135,표2[#ALL],2)</f>
        <v>413.2668971</v>
      </c>
      <c r="W135" s="325">
        <f>CS_PID!W135/VLOOKUP($B135,LEBT[#ALL],4)/VLOOKUP($B135,표2[#ALL],2)</f>
        <v>508.6361811</v>
      </c>
      <c r="X135" s="325">
        <f>CS_PID!X135/VLOOKUP($B135,LEBT[#ALL],4)/VLOOKUP($B135,표2[#ALL],2)</f>
        <v>1176.221169</v>
      </c>
      <c r="Y135" s="325">
        <f>CS_PID!Y135/VLOOKUP($B135,LEBT[#ALL],4)/VLOOKUP($B135,표2[#ALL],2)</f>
        <v>31.78976132</v>
      </c>
      <c r="Z135" s="325">
        <f>CS_PID!Z135/VLOOKUP($B135,LEBT[#ALL],4)/VLOOKUP($B135,표2[#ALL],2)</f>
        <v>0</v>
      </c>
      <c r="AA135" s="325">
        <f>CS_PID!AA135/VLOOKUP($B135,LEBT[#ALL],4)/VLOOKUP($B135,표2[#ALL],2)</f>
        <v>0</v>
      </c>
      <c r="AB135" s="325">
        <f>CS_PID!AB135/VLOOKUP($B135,LEBT[#ALL],4)/VLOOKUP($B135,표2[#ALL],2)</f>
        <v>222.5283292</v>
      </c>
      <c r="AC135" s="325">
        <f>CS_PID!AC135/VLOOKUP($B135,LEBT[#ALL],4)/VLOOKUP($B135,표2[#ALL],2)</f>
        <v>1430.539259</v>
      </c>
      <c r="AD135" s="325">
        <f>CS_PID!AD135/VLOOKUP($B135,LEBT[#ALL],4)/VLOOKUP($B135,표2[#ALL],2)</f>
        <v>1176.221169</v>
      </c>
      <c r="AE135" s="325">
        <f>CS_PID!AE135/VLOOKUP($B135,LEBT[#ALL],4)/VLOOKUP($B135,표2[#ALL],2)</f>
        <v>95.36928396</v>
      </c>
      <c r="AF135" s="325">
        <f>CS_PID!AF135/VLOOKUP($B135,LEBT[#ALL],4)/VLOOKUP($B135,표2[#ALL],2)</f>
        <v>0</v>
      </c>
      <c r="AG135" s="325">
        <f>CS_PID!AG135/VLOOKUP($B135,LEBT[#ALL],4)/VLOOKUP($B135,표2[#ALL],2)</f>
        <v>31.78976132</v>
      </c>
      <c r="AH135" s="325">
        <f>CS_PID!AH135/VLOOKUP($B135,LEBT[#ALL],4)/VLOOKUP($B135,표2[#ALL],2)</f>
        <v>95.36928396</v>
      </c>
      <c r="AI135" s="325">
        <f>CS_PID!AI135/VLOOKUP($B135,LEBT[#ALL],4)/VLOOKUP($B135,표2[#ALL],2)</f>
        <v>2638.550189</v>
      </c>
      <c r="AJ135" s="325">
        <f>CS_PID!AJ135/VLOOKUP($B135,LEBT[#ALL],4)/VLOOKUP($B135,표2[#ALL],2)</f>
        <v>2511.391144</v>
      </c>
      <c r="AK135" s="325">
        <f>CS_PID!AK135/VLOOKUP($B135,LEBT[#ALL],4)/VLOOKUP($B135,표2[#ALL],2)</f>
        <v>0</v>
      </c>
      <c r="AL135" s="325">
        <f>CS_PID!AL135/VLOOKUP($B135,LEBT[#ALL],4)/VLOOKUP($B135,표2[#ALL],2)</f>
        <v>0</v>
      </c>
      <c r="AM135" s="325">
        <f>CS_PID!AM135/VLOOKUP($B135,LEBT[#ALL],4)/VLOOKUP($B135,표2[#ALL],2)</f>
        <v>63.57952264</v>
      </c>
      <c r="AN135" s="325">
        <f>CS_PID!AN135/VLOOKUP($B135,LEBT[#ALL],4)/VLOOKUP($B135,표2[#ALL],2)</f>
        <v>4355.197301</v>
      </c>
      <c r="AO135" s="325">
        <f>CS_PID!AO135/VLOOKUP($B135,LEBT[#ALL],4)/VLOOKUP($B135,표2[#ALL],2)</f>
        <v>1462.329021</v>
      </c>
      <c r="AP135" s="325">
        <f>CS_PID!AP135/VLOOKUP($B135,LEBT[#ALL],4)/VLOOKUP($B135,표2[#ALL],2)</f>
        <v>0</v>
      </c>
      <c r="AQ135" s="325">
        <f>CS_PID!AQ135/VLOOKUP($B135,LEBT[#ALL],4)/VLOOKUP($B135,표2[#ALL],2)</f>
        <v>0</v>
      </c>
      <c r="AR135" s="325">
        <f>CS_PID!AR135/VLOOKUP($B135,LEBT[#ALL],4)/VLOOKUP($B135,표2[#ALL],2)</f>
        <v>1112.641646</v>
      </c>
      <c r="AS135" s="325">
        <f>CS_PID!AS135/VLOOKUP($B135,LEBT[#ALL],4)/VLOOKUP($B135,표2[#ALL],2)</f>
        <v>1208.01093</v>
      </c>
    </row>
    <row r="136">
      <c r="A136" s="205" t="s">
        <v>88</v>
      </c>
      <c r="B136" s="206">
        <v>422.0</v>
      </c>
      <c r="C136" s="326">
        <f>CS_PID!C136/VLOOKUP($B136,LEBT[#ALL],4)/VLOOKUP($B136,표2[#ALL],2)</f>
        <v>27.14283291</v>
      </c>
      <c r="D136" s="326">
        <f>CS_PID!D136/VLOOKUP($B136,LEBT[#ALL],4)/VLOOKUP($B136,표2[#ALL],2)</f>
        <v>54.28566582</v>
      </c>
      <c r="E136" s="326">
        <f>CS_PID!E136/VLOOKUP($B136,LEBT[#ALL],4)/VLOOKUP($B136,표2[#ALL],2)</f>
        <v>0</v>
      </c>
      <c r="F136" s="326">
        <f>CS_PID!F136/VLOOKUP($B136,LEBT[#ALL],4)/VLOOKUP($B136,표2[#ALL],2)</f>
        <v>0</v>
      </c>
      <c r="G136" s="326">
        <f>CS_PID!G136/VLOOKUP($B136,LEBT[#ALL],4)/VLOOKUP($B136,표2[#ALL],2)</f>
        <v>0</v>
      </c>
      <c r="H136" s="326">
        <f>CS_PID!H136/VLOOKUP($B136,LEBT[#ALL],4)/VLOOKUP($B136,표2[#ALL],2)</f>
        <v>0</v>
      </c>
      <c r="I136" s="326">
        <f>CS_PID!I136/VLOOKUP($B136,LEBT[#ALL],4)/VLOOKUP($B136,표2[#ALL],2)</f>
        <v>0</v>
      </c>
      <c r="J136" s="326">
        <f>CS_PID!J136/VLOOKUP($B136,LEBT[#ALL],4)/VLOOKUP($B136,표2[#ALL],2)</f>
        <v>81.42849874</v>
      </c>
      <c r="K136" s="326">
        <f>CS_PID!K136/VLOOKUP($B136,LEBT[#ALL],4)/VLOOKUP($B136,표2[#ALL],2)</f>
        <v>135.7141646</v>
      </c>
      <c r="L136" s="326">
        <f>CS_PID!L136/VLOOKUP($B136,LEBT[#ALL],4)/VLOOKUP($B136,표2[#ALL],2)</f>
        <v>81.42849874</v>
      </c>
      <c r="M136" s="326">
        <f>CS_PID!M136/VLOOKUP($B136,LEBT[#ALL],4)/VLOOKUP($B136,표2[#ALL],2)</f>
        <v>27.14283291</v>
      </c>
      <c r="N136" s="326">
        <f>CS_PID!N136/VLOOKUP($B136,LEBT[#ALL],4)/VLOOKUP($B136,표2[#ALL],2)</f>
        <v>0</v>
      </c>
      <c r="O136" s="326">
        <f>CS_PID!O136/VLOOKUP($B136,LEBT[#ALL],4)/VLOOKUP($B136,표2[#ALL],2)</f>
        <v>0</v>
      </c>
      <c r="P136" s="326">
        <f>CS_PID!P136/VLOOKUP($B136,LEBT[#ALL],4)/VLOOKUP($B136,표2[#ALL],2)</f>
        <v>217.1426633</v>
      </c>
      <c r="Q136" s="326">
        <f>CS_PID!Q136/VLOOKUP($B136,LEBT[#ALL],4)/VLOOKUP($B136,표2[#ALL],2)</f>
        <v>108.5713316</v>
      </c>
      <c r="R136" s="326">
        <f>CS_PID!R136/VLOOKUP($B136,LEBT[#ALL],4)/VLOOKUP($B136,표2[#ALL],2)</f>
        <v>135.7141646</v>
      </c>
      <c r="S136" s="326">
        <f>CS_PID!S136/VLOOKUP($B136,LEBT[#ALL],4)/VLOOKUP($B136,표2[#ALL],2)</f>
        <v>81.42849874</v>
      </c>
      <c r="T136" s="326">
        <f>CS_PID!T136/VLOOKUP($B136,LEBT[#ALL],4)/VLOOKUP($B136,표2[#ALL],2)</f>
        <v>0</v>
      </c>
      <c r="U136" s="326">
        <f>CS_PID!U136/VLOOKUP($B136,LEBT[#ALL],4)/VLOOKUP($B136,표2[#ALL],2)</f>
        <v>27.14283291</v>
      </c>
      <c r="V136" s="326">
        <f>CS_PID!V136/VLOOKUP($B136,LEBT[#ALL],4)/VLOOKUP($B136,표2[#ALL],2)</f>
        <v>162.8569975</v>
      </c>
      <c r="W136" s="326">
        <f>CS_PID!W136/VLOOKUP($B136,LEBT[#ALL],4)/VLOOKUP($B136,표2[#ALL],2)</f>
        <v>434.2853266</v>
      </c>
      <c r="X136" s="326">
        <f>CS_PID!X136/VLOOKUP($B136,LEBT[#ALL],4)/VLOOKUP($B136,표2[#ALL],2)</f>
        <v>1302.85598</v>
      </c>
      <c r="Y136" s="326">
        <f>CS_PID!Y136/VLOOKUP($B136,LEBT[#ALL],4)/VLOOKUP($B136,표2[#ALL],2)</f>
        <v>81.42849874</v>
      </c>
      <c r="Z136" s="326">
        <f>CS_PID!Z136/VLOOKUP($B136,LEBT[#ALL],4)/VLOOKUP($B136,표2[#ALL],2)</f>
        <v>0</v>
      </c>
      <c r="AA136" s="326">
        <f>CS_PID!AA136/VLOOKUP($B136,LEBT[#ALL],4)/VLOOKUP($B136,표2[#ALL],2)</f>
        <v>0</v>
      </c>
      <c r="AB136" s="326">
        <f>CS_PID!AB136/VLOOKUP($B136,LEBT[#ALL],4)/VLOOKUP($B136,표2[#ALL],2)</f>
        <v>54.28566582</v>
      </c>
      <c r="AC136" s="326">
        <f>CS_PID!AC136/VLOOKUP($B136,LEBT[#ALL],4)/VLOOKUP($B136,표2[#ALL],2)</f>
        <v>1302.85598</v>
      </c>
      <c r="AD136" s="326">
        <f>CS_PID!AD136/VLOOKUP($B136,LEBT[#ALL],4)/VLOOKUP($B136,표2[#ALL],2)</f>
        <v>1275.713147</v>
      </c>
      <c r="AE136" s="326">
        <f>CS_PID!AE136/VLOOKUP($B136,LEBT[#ALL],4)/VLOOKUP($B136,표2[#ALL],2)</f>
        <v>54.28566582</v>
      </c>
      <c r="AF136" s="326">
        <f>CS_PID!AF136/VLOOKUP($B136,LEBT[#ALL],4)/VLOOKUP($B136,표2[#ALL],2)</f>
        <v>0</v>
      </c>
      <c r="AG136" s="326">
        <f>CS_PID!AG136/VLOOKUP($B136,LEBT[#ALL],4)/VLOOKUP($B136,표2[#ALL],2)</f>
        <v>0</v>
      </c>
      <c r="AH136" s="326">
        <f>CS_PID!AH136/VLOOKUP($B136,LEBT[#ALL],4)/VLOOKUP($B136,표2[#ALL],2)</f>
        <v>54.28566582</v>
      </c>
      <c r="AI136" s="326">
        <f>CS_PID!AI136/VLOOKUP($B136,LEBT[#ALL],4)/VLOOKUP($B136,표2[#ALL],2)</f>
        <v>2714.283291</v>
      </c>
      <c r="AJ136" s="326">
        <f>CS_PID!AJ136/VLOOKUP($B136,LEBT[#ALL],4)/VLOOKUP($B136,표2[#ALL],2)</f>
        <v>2524.283461</v>
      </c>
      <c r="AK136" s="326">
        <f>CS_PID!AK136/VLOOKUP($B136,LEBT[#ALL],4)/VLOOKUP($B136,표2[#ALL],2)</f>
        <v>54.28566582</v>
      </c>
      <c r="AL136" s="326">
        <f>CS_PID!AL136/VLOOKUP($B136,LEBT[#ALL],4)/VLOOKUP($B136,표2[#ALL],2)</f>
        <v>0</v>
      </c>
      <c r="AM136" s="326">
        <f>CS_PID!AM136/VLOOKUP($B136,LEBT[#ALL],4)/VLOOKUP($B136,표2[#ALL],2)</f>
        <v>27.14283291</v>
      </c>
      <c r="AN136" s="326">
        <f>CS_PID!AN136/VLOOKUP($B136,LEBT[#ALL],4)/VLOOKUP($B136,표2[#ALL],2)</f>
        <v>4234.281934</v>
      </c>
      <c r="AO136" s="326">
        <f>CS_PID!AO136/VLOOKUP($B136,LEBT[#ALL],4)/VLOOKUP($B136,표2[#ALL],2)</f>
        <v>1357.141646</v>
      </c>
      <c r="AP136" s="326">
        <f>CS_PID!AP136/VLOOKUP($B136,LEBT[#ALL],4)/VLOOKUP($B136,표2[#ALL],2)</f>
        <v>54.28566582</v>
      </c>
      <c r="AQ136" s="326">
        <f>CS_PID!AQ136/VLOOKUP($B136,LEBT[#ALL],4)/VLOOKUP($B136,표2[#ALL],2)</f>
        <v>0</v>
      </c>
      <c r="AR136" s="326">
        <f>CS_PID!AR136/VLOOKUP($B136,LEBT[#ALL],4)/VLOOKUP($B136,표2[#ALL],2)</f>
        <v>1275.713147</v>
      </c>
      <c r="AS136" s="326">
        <f>CS_PID!AS136/VLOOKUP($B136,LEBT[#ALL],4)/VLOOKUP($B136,표2[#ALL],2)</f>
        <v>1329.998813</v>
      </c>
    </row>
    <row r="137">
      <c r="A137" s="209" t="s">
        <v>90</v>
      </c>
      <c r="B137" s="210">
        <v>425.0</v>
      </c>
      <c r="C137" s="327">
        <f>CS_PID!C137/VLOOKUP($B137,LEBT[#ALL],4)/VLOOKUP($B137,표2[#ALL],2)</f>
        <v>67.80651239</v>
      </c>
      <c r="D137" s="327">
        <f>CS_PID!D137/VLOOKUP($B137,LEBT[#ALL],4)/VLOOKUP($B137,표2[#ALL],2)</f>
        <v>0</v>
      </c>
      <c r="E137" s="327">
        <f>CS_PID!E137/VLOOKUP($B137,LEBT[#ALL],4)/VLOOKUP($B137,표2[#ALL],2)</f>
        <v>203.4195372</v>
      </c>
      <c r="F137" s="327">
        <f>CS_PID!F137/VLOOKUP($B137,LEBT[#ALL],4)/VLOOKUP($B137,표2[#ALL],2)</f>
        <v>0</v>
      </c>
      <c r="G137" s="327">
        <f>CS_PID!G137/VLOOKUP($B137,LEBT[#ALL],4)/VLOOKUP($B137,표2[#ALL],2)</f>
        <v>0</v>
      </c>
      <c r="H137" s="327">
        <f>CS_PID!H137/VLOOKUP($B137,LEBT[#ALL],4)/VLOOKUP($B137,표2[#ALL],2)</f>
        <v>0</v>
      </c>
      <c r="I137" s="327">
        <f>CS_PID!I137/VLOOKUP($B137,LEBT[#ALL],4)/VLOOKUP($B137,표2[#ALL],2)</f>
        <v>0</v>
      </c>
      <c r="J137" s="327">
        <f>CS_PID!J137/VLOOKUP($B137,LEBT[#ALL],4)/VLOOKUP($B137,표2[#ALL],2)</f>
        <v>0</v>
      </c>
      <c r="K137" s="327">
        <f>CS_PID!K137/VLOOKUP($B137,LEBT[#ALL],4)/VLOOKUP($B137,표2[#ALL],2)</f>
        <v>0</v>
      </c>
      <c r="L137" s="327">
        <f>CS_PID!L137/VLOOKUP($B137,LEBT[#ALL],4)/VLOOKUP($B137,표2[#ALL],2)</f>
        <v>0</v>
      </c>
      <c r="M137" s="327">
        <f>CS_PID!M137/VLOOKUP($B137,LEBT[#ALL],4)/VLOOKUP($B137,표2[#ALL],2)</f>
        <v>0</v>
      </c>
      <c r="N137" s="327">
        <f>CS_PID!N137/VLOOKUP($B137,LEBT[#ALL],4)/VLOOKUP($B137,표2[#ALL],2)</f>
        <v>0</v>
      </c>
      <c r="O137" s="327">
        <f>CS_PID!O137/VLOOKUP($B137,LEBT[#ALL],4)/VLOOKUP($B137,표2[#ALL],2)</f>
        <v>67.80651239</v>
      </c>
      <c r="P137" s="327">
        <f>CS_PID!P137/VLOOKUP($B137,LEBT[#ALL],4)/VLOOKUP($B137,표2[#ALL],2)</f>
        <v>0</v>
      </c>
      <c r="Q137" s="327">
        <f>CS_PID!Q137/VLOOKUP($B137,LEBT[#ALL],4)/VLOOKUP($B137,표2[#ALL],2)</f>
        <v>0</v>
      </c>
      <c r="R137" s="327">
        <f>CS_PID!R137/VLOOKUP($B137,LEBT[#ALL],4)/VLOOKUP($B137,표2[#ALL],2)</f>
        <v>67.80651239</v>
      </c>
      <c r="S137" s="327">
        <f>CS_PID!S137/VLOOKUP($B137,LEBT[#ALL],4)/VLOOKUP($B137,표2[#ALL],2)</f>
        <v>0</v>
      </c>
      <c r="T137" s="327">
        <f>CS_PID!T137/VLOOKUP($B137,LEBT[#ALL],4)/VLOOKUP($B137,표2[#ALL],2)</f>
        <v>0</v>
      </c>
      <c r="U137" s="327">
        <f>CS_PID!U137/VLOOKUP($B137,LEBT[#ALL],4)/VLOOKUP($B137,표2[#ALL],2)</f>
        <v>67.80651239</v>
      </c>
      <c r="V137" s="327">
        <f>CS_PID!V137/VLOOKUP($B137,LEBT[#ALL],4)/VLOOKUP($B137,표2[#ALL],2)</f>
        <v>0</v>
      </c>
      <c r="W137" s="327">
        <f>CS_PID!W137/VLOOKUP($B137,LEBT[#ALL],4)/VLOOKUP($B137,표2[#ALL],2)</f>
        <v>67.80651239</v>
      </c>
      <c r="X137" s="327">
        <f>CS_PID!X137/VLOOKUP($B137,LEBT[#ALL],4)/VLOOKUP($B137,표2[#ALL],2)</f>
        <v>406.8390743</v>
      </c>
      <c r="Y137" s="327">
        <f>CS_PID!Y137/VLOOKUP($B137,LEBT[#ALL],4)/VLOOKUP($B137,표2[#ALL],2)</f>
        <v>67.80651239</v>
      </c>
      <c r="Z137" s="327">
        <f>CS_PID!Z137/VLOOKUP($B137,LEBT[#ALL],4)/VLOOKUP($B137,표2[#ALL],2)</f>
        <v>0</v>
      </c>
      <c r="AA137" s="327">
        <f>CS_PID!AA137/VLOOKUP($B137,LEBT[#ALL],4)/VLOOKUP($B137,표2[#ALL],2)</f>
        <v>0</v>
      </c>
      <c r="AB137" s="327">
        <f>CS_PID!AB137/VLOOKUP($B137,LEBT[#ALL],4)/VLOOKUP($B137,표2[#ALL],2)</f>
        <v>0</v>
      </c>
      <c r="AC137" s="327">
        <f>CS_PID!AC137/VLOOKUP($B137,LEBT[#ALL],4)/VLOOKUP($B137,표2[#ALL],2)</f>
        <v>67.80651239</v>
      </c>
      <c r="AD137" s="327">
        <f>CS_PID!AD137/VLOOKUP($B137,LEBT[#ALL],4)/VLOOKUP($B137,표2[#ALL],2)</f>
        <v>271.2260496</v>
      </c>
      <c r="AE137" s="327">
        <f>CS_PID!AE137/VLOOKUP($B137,LEBT[#ALL],4)/VLOOKUP($B137,표2[#ALL],2)</f>
        <v>67.80651239</v>
      </c>
      <c r="AF137" s="327">
        <f>CS_PID!AF137/VLOOKUP($B137,LEBT[#ALL],4)/VLOOKUP($B137,표2[#ALL],2)</f>
        <v>0</v>
      </c>
      <c r="AG137" s="327">
        <f>CS_PID!AG137/VLOOKUP($B137,LEBT[#ALL],4)/VLOOKUP($B137,표2[#ALL],2)</f>
        <v>0</v>
      </c>
      <c r="AH137" s="327">
        <f>CS_PID!AH137/VLOOKUP($B137,LEBT[#ALL],4)/VLOOKUP($B137,표2[#ALL],2)</f>
        <v>0</v>
      </c>
      <c r="AI137" s="327">
        <f>CS_PID!AI137/VLOOKUP($B137,LEBT[#ALL],4)/VLOOKUP($B137,표2[#ALL],2)</f>
        <v>67.80651239</v>
      </c>
      <c r="AJ137" s="327">
        <f>CS_PID!AJ137/VLOOKUP($B137,LEBT[#ALL],4)/VLOOKUP($B137,표2[#ALL],2)</f>
        <v>203.4195372</v>
      </c>
      <c r="AK137" s="327">
        <f>CS_PID!AK137/VLOOKUP($B137,LEBT[#ALL],4)/VLOOKUP($B137,표2[#ALL],2)</f>
        <v>203.4195372</v>
      </c>
      <c r="AL137" s="327">
        <f>CS_PID!AL137/VLOOKUP($B137,LEBT[#ALL],4)/VLOOKUP($B137,표2[#ALL],2)</f>
        <v>0</v>
      </c>
      <c r="AM137" s="327">
        <f>CS_PID!AM137/VLOOKUP($B137,LEBT[#ALL],4)/VLOOKUP($B137,표2[#ALL],2)</f>
        <v>0</v>
      </c>
      <c r="AN137" s="327">
        <f>CS_PID!AN137/VLOOKUP($B137,LEBT[#ALL],4)/VLOOKUP($B137,표2[#ALL],2)</f>
        <v>0</v>
      </c>
      <c r="AO137" s="327">
        <f>CS_PID!AO137/VLOOKUP($B137,LEBT[#ALL],4)/VLOOKUP($B137,표2[#ALL],2)</f>
        <v>406.8390743</v>
      </c>
      <c r="AP137" s="327">
        <f>CS_PID!AP137/VLOOKUP($B137,LEBT[#ALL],4)/VLOOKUP($B137,표2[#ALL],2)</f>
        <v>339.032562</v>
      </c>
      <c r="AQ137" s="327">
        <f>CS_PID!AQ137/VLOOKUP($B137,LEBT[#ALL],4)/VLOOKUP($B137,표2[#ALL],2)</f>
        <v>0</v>
      </c>
      <c r="AR137" s="327">
        <f>CS_PID!AR137/VLOOKUP($B137,LEBT[#ALL],4)/VLOOKUP($B137,표2[#ALL],2)</f>
        <v>135.6130248</v>
      </c>
      <c r="AS137" s="327">
        <f>CS_PID!AS137/VLOOKUP($B137,LEBT[#ALL],4)/VLOOKUP($B137,표2[#ALL],2)</f>
        <v>813.6781487</v>
      </c>
    </row>
    <row r="138">
      <c r="A138" s="213" t="s">
        <v>90</v>
      </c>
      <c r="B138" s="214">
        <v>426.0</v>
      </c>
      <c r="C138" s="328">
        <f>CS_PID!C138/VLOOKUP($B138,LEBT[#ALL],4)/VLOOKUP($B138,표2[#ALL],2)</f>
        <v>46.57245591</v>
      </c>
      <c r="D138" s="328">
        <f>CS_PID!D138/VLOOKUP($B138,LEBT[#ALL],4)/VLOOKUP($B138,표2[#ALL],2)</f>
        <v>46.57245591</v>
      </c>
      <c r="E138" s="328">
        <f>CS_PID!E138/VLOOKUP($B138,LEBT[#ALL],4)/VLOOKUP($B138,표2[#ALL],2)</f>
        <v>23.28622796</v>
      </c>
      <c r="F138" s="328">
        <f>CS_PID!F138/VLOOKUP($B138,LEBT[#ALL],4)/VLOOKUP($B138,표2[#ALL],2)</f>
        <v>0</v>
      </c>
      <c r="G138" s="328">
        <f>CS_PID!G138/VLOOKUP($B138,LEBT[#ALL],4)/VLOOKUP($B138,표2[#ALL],2)</f>
        <v>0</v>
      </c>
      <c r="H138" s="328">
        <f>CS_PID!H138/VLOOKUP($B138,LEBT[#ALL],4)/VLOOKUP($B138,표2[#ALL],2)</f>
        <v>0</v>
      </c>
      <c r="I138" s="328">
        <f>CS_PID!I138/VLOOKUP($B138,LEBT[#ALL],4)/VLOOKUP($B138,표2[#ALL],2)</f>
        <v>46.57245591</v>
      </c>
      <c r="J138" s="328">
        <f>CS_PID!J138/VLOOKUP($B138,LEBT[#ALL],4)/VLOOKUP($B138,표2[#ALL],2)</f>
        <v>23.28622796</v>
      </c>
      <c r="K138" s="328">
        <f>CS_PID!K138/VLOOKUP($B138,LEBT[#ALL],4)/VLOOKUP($B138,표2[#ALL],2)</f>
        <v>46.57245591</v>
      </c>
      <c r="L138" s="328">
        <f>CS_PID!L138/VLOOKUP($B138,LEBT[#ALL],4)/VLOOKUP($B138,표2[#ALL],2)</f>
        <v>46.57245591</v>
      </c>
      <c r="M138" s="328">
        <f>CS_PID!M138/VLOOKUP($B138,LEBT[#ALL],4)/VLOOKUP($B138,표2[#ALL],2)</f>
        <v>0</v>
      </c>
      <c r="N138" s="328">
        <f>CS_PID!N138/VLOOKUP($B138,LEBT[#ALL],4)/VLOOKUP($B138,표2[#ALL],2)</f>
        <v>0</v>
      </c>
      <c r="O138" s="328">
        <f>CS_PID!O138/VLOOKUP($B138,LEBT[#ALL],4)/VLOOKUP($B138,표2[#ALL],2)</f>
        <v>0</v>
      </c>
      <c r="P138" s="328">
        <f>CS_PID!P138/VLOOKUP($B138,LEBT[#ALL],4)/VLOOKUP($B138,표2[#ALL],2)</f>
        <v>46.57245591</v>
      </c>
      <c r="Q138" s="328">
        <f>CS_PID!Q138/VLOOKUP($B138,LEBT[#ALL],4)/VLOOKUP($B138,표2[#ALL],2)</f>
        <v>23.28622796</v>
      </c>
      <c r="R138" s="328">
        <f>CS_PID!R138/VLOOKUP($B138,LEBT[#ALL],4)/VLOOKUP($B138,표2[#ALL],2)</f>
        <v>93.14491183</v>
      </c>
      <c r="S138" s="328">
        <f>CS_PID!S138/VLOOKUP($B138,LEBT[#ALL],4)/VLOOKUP($B138,표2[#ALL],2)</f>
        <v>23.28622796</v>
      </c>
      <c r="T138" s="328">
        <f>CS_PID!T138/VLOOKUP($B138,LEBT[#ALL],4)/VLOOKUP($B138,표2[#ALL],2)</f>
        <v>0</v>
      </c>
      <c r="U138" s="328">
        <f>CS_PID!U138/VLOOKUP($B138,LEBT[#ALL],4)/VLOOKUP($B138,표2[#ALL],2)</f>
        <v>0</v>
      </c>
      <c r="V138" s="328">
        <f>CS_PID!V138/VLOOKUP($B138,LEBT[#ALL],4)/VLOOKUP($B138,표2[#ALL],2)</f>
        <v>0</v>
      </c>
      <c r="W138" s="328">
        <f>CS_PID!W138/VLOOKUP($B138,LEBT[#ALL],4)/VLOOKUP($B138,표2[#ALL],2)</f>
        <v>209.5760516</v>
      </c>
      <c r="X138" s="328">
        <f>CS_PID!X138/VLOOKUP($B138,LEBT[#ALL],4)/VLOOKUP($B138,표2[#ALL],2)</f>
        <v>186.2898237</v>
      </c>
      <c r="Y138" s="328">
        <f>CS_PID!Y138/VLOOKUP($B138,LEBT[#ALL],4)/VLOOKUP($B138,표2[#ALL],2)</f>
        <v>23.28622796</v>
      </c>
      <c r="Z138" s="328">
        <f>CS_PID!Z138/VLOOKUP($B138,LEBT[#ALL],4)/VLOOKUP($B138,표2[#ALL],2)</f>
        <v>0</v>
      </c>
      <c r="AA138" s="328">
        <f>CS_PID!AA138/VLOOKUP($B138,LEBT[#ALL],4)/VLOOKUP($B138,표2[#ALL],2)</f>
        <v>0</v>
      </c>
      <c r="AB138" s="328">
        <f>CS_PID!AB138/VLOOKUP($B138,LEBT[#ALL],4)/VLOOKUP($B138,표2[#ALL],2)</f>
        <v>0</v>
      </c>
      <c r="AC138" s="328">
        <f>CS_PID!AC138/VLOOKUP($B138,LEBT[#ALL],4)/VLOOKUP($B138,표2[#ALL],2)</f>
        <v>116.4311398</v>
      </c>
      <c r="AD138" s="328">
        <f>CS_PID!AD138/VLOOKUP($B138,LEBT[#ALL],4)/VLOOKUP($B138,표2[#ALL],2)</f>
        <v>232.8622796</v>
      </c>
      <c r="AE138" s="328">
        <f>CS_PID!AE138/VLOOKUP($B138,LEBT[#ALL],4)/VLOOKUP($B138,표2[#ALL],2)</f>
        <v>93.14491183</v>
      </c>
      <c r="AF138" s="328">
        <f>CS_PID!AF138/VLOOKUP($B138,LEBT[#ALL],4)/VLOOKUP($B138,표2[#ALL],2)</f>
        <v>0</v>
      </c>
      <c r="AG138" s="328">
        <f>CS_PID!AG138/VLOOKUP($B138,LEBT[#ALL],4)/VLOOKUP($B138,표2[#ALL],2)</f>
        <v>0</v>
      </c>
      <c r="AH138" s="328">
        <f>CS_PID!AH138/VLOOKUP($B138,LEBT[#ALL],4)/VLOOKUP($B138,표2[#ALL],2)</f>
        <v>0</v>
      </c>
      <c r="AI138" s="328">
        <f>CS_PID!AI138/VLOOKUP($B138,LEBT[#ALL],4)/VLOOKUP($B138,표2[#ALL],2)</f>
        <v>0</v>
      </c>
      <c r="AJ138" s="328">
        <f>CS_PID!AJ138/VLOOKUP($B138,LEBT[#ALL],4)/VLOOKUP($B138,표2[#ALL],2)</f>
        <v>465.7245591</v>
      </c>
      <c r="AK138" s="328">
        <f>CS_PID!AK138/VLOOKUP($B138,LEBT[#ALL],4)/VLOOKUP($B138,표2[#ALL],2)</f>
        <v>93.14491183</v>
      </c>
      <c r="AL138" s="328">
        <f>CS_PID!AL138/VLOOKUP($B138,LEBT[#ALL],4)/VLOOKUP($B138,표2[#ALL],2)</f>
        <v>0</v>
      </c>
      <c r="AM138" s="328">
        <f>CS_PID!AM138/VLOOKUP($B138,LEBT[#ALL],4)/VLOOKUP($B138,표2[#ALL],2)</f>
        <v>0</v>
      </c>
      <c r="AN138" s="328">
        <f>CS_PID!AN138/VLOOKUP($B138,LEBT[#ALL],4)/VLOOKUP($B138,표2[#ALL],2)</f>
        <v>0</v>
      </c>
      <c r="AO138" s="328">
        <f>CS_PID!AO138/VLOOKUP($B138,LEBT[#ALL],4)/VLOOKUP($B138,표2[#ALL],2)</f>
        <v>372.5796473</v>
      </c>
      <c r="AP138" s="328">
        <f>CS_PID!AP138/VLOOKUP($B138,LEBT[#ALL],4)/VLOOKUP($B138,표2[#ALL],2)</f>
        <v>256.1485075</v>
      </c>
      <c r="AQ138" s="328">
        <f>CS_PID!AQ138/VLOOKUP($B138,LEBT[#ALL],4)/VLOOKUP($B138,표2[#ALL],2)</f>
        <v>0</v>
      </c>
      <c r="AR138" s="328">
        <f>CS_PID!AR138/VLOOKUP($B138,LEBT[#ALL],4)/VLOOKUP($B138,표2[#ALL],2)</f>
        <v>0</v>
      </c>
      <c r="AS138" s="328">
        <f>CS_PID!AS138/VLOOKUP($B138,LEBT[#ALL],4)/VLOOKUP($B138,표2[#ALL],2)</f>
        <v>652.0143828</v>
      </c>
    </row>
    <row r="139">
      <c r="A139" s="213" t="s">
        <v>90</v>
      </c>
      <c r="B139" s="214">
        <v>427.0</v>
      </c>
      <c r="C139" s="328">
        <f>CS_PID!C139/VLOOKUP($B139,LEBT[#ALL],4)/VLOOKUP($B139,표2[#ALL],2)</f>
        <v>0</v>
      </c>
      <c r="D139" s="328">
        <f>CS_PID!D139/VLOOKUP($B139,LEBT[#ALL],4)/VLOOKUP($B139,표2[#ALL],2)</f>
        <v>0</v>
      </c>
      <c r="E139" s="328">
        <f>CS_PID!E139/VLOOKUP($B139,LEBT[#ALL],4)/VLOOKUP($B139,표2[#ALL],2)</f>
        <v>25.3024237</v>
      </c>
      <c r="F139" s="328">
        <f>CS_PID!F139/VLOOKUP($B139,LEBT[#ALL],4)/VLOOKUP($B139,표2[#ALL],2)</f>
        <v>0</v>
      </c>
      <c r="G139" s="328">
        <f>CS_PID!G139/VLOOKUP($B139,LEBT[#ALL],4)/VLOOKUP($B139,표2[#ALL],2)</f>
        <v>0</v>
      </c>
      <c r="H139" s="328">
        <f>CS_PID!H139/VLOOKUP($B139,LEBT[#ALL],4)/VLOOKUP($B139,표2[#ALL],2)</f>
        <v>25.3024237</v>
      </c>
      <c r="I139" s="328">
        <f>CS_PID!I139/VLOOKUP($B139,LEBT[#ALL],4)/VLOOKUP($B139,표2[#ALL],2)</f>
        <v>25.3024237</v>
      </c>
      <c r="J139" s="328">
        <f>CS_PID!J139/VLOOKUP($B139,LEBT[#ALL],4)/VLOOKUP($B139,표2[#ALL],2)</f>
        <v>0</v>
      </c>
      <c r="K139" s="328">
        <f>CS_PID!K139/VLOOKUP($B139,LEBT[#ALL],4)/VLOOKUP($B139,표2[#ALL],2)</f>
        <v>25.3024237</v>
      </c>
      <c r="L139" s="328">
        <f>CS_PID!L139/VLOOKUP($B139,LEBT[#ALL],4)/VLOOKUP($B139,표2[#ALL],2)</f>
        <v>0</v>
      </c>
      <c r="M139" s="328">
        <f>CS_PID!M139/VLOOKUP($B139,LEBT[#ALL],4)/VLOOKUP($B139,표2[#ALL],2)</f>
        <v>0</v>
      </c>
      <c r="N139" s="328">
        <f>CS_PID!N139/VLOOKUP($B139,LEBT[#ALL],4)/VLOOKUP($B139,표2[#ALL],2)</f>
        <v>0</v>
      </c>
      <c r="O139" s="328">
        <f>CS_PID!O139/VLOOKUP($B139,LEBT[#ALL],4)/VLOOKUP($B139,표2[#ALL],2)</f>
        <v>25.3024237</v>
      </c>
      <c r="P139" s="328">
        <f>CS_PID!P139/VLOOKUP($B139,LEBT[#ALL],4)/VLOOKUP($B139,표2[#ALL],2)</f>
        <v>0</v>
      </c>
      <c r="Q139" s="328">
        <f>CS_PID!Q139/VLOOKUP($B139,LEBT[#ALL],4)/VLOOKUP($B139,표2[#ALL],2)</f>
        <v>151.8145422</v>
      </c>
      <c r="R139" s="328">
        <f>CS_PID!R139/VLOOKUP($B139,LEBT[#ALL],4)/VLOOKUP($B139,표2[#ALL],2)</f>
        <v>151.8145422</v>
      </c>
      <c r="S139" s="328">
        <f>CS_PID!S139/VLOOKUP($B139,LEBT[#ALL],4)/VLOOKUP($B139,표2[#ALL],2)</f>
        <v>0</v>
      </c>
      <c r="T139" s="328">
        <f>CS_PID!T139/VLOOKUP($B139,LEBT[#ALL],4)/VLOOKUP($B139,표2[#ALL],2)</f>
        <v>0</v>
      </c>
      <c r="U139" s="328">
        <f>CS_PID!U139/VLOOKUP($B139,LEBT[#ALL],4)/VLOOKUP($B139,표2[#ALL],2)</f>
        <v>0</v>
      </c>
      <c r="V139" s="328">
        <f>CS_PID!V139/VLOOKUP($B139,LEBT[#ALL],4)/VLOOKUP($B139,표2[#ALL],2)</f>
        <v>0</v>
      </c>
      <c r="W139" s="328">
        <f>CS_PID!W139/VLOOKUP($B139,LEBT[#ALL],4)/VLOOKUP($B139,표2[#ALL],2)</f>
        <v>75.9072711</v>
      </c>
      <c r="X139" s="328">
        <f>CS_PID!X139/VLOOKUP($B139,LEBT[#ALL],4)/VLOOKUP($B139,표2[#ALL],2)</f>
        <v>455.4436266</v>
      </c>
      <c r="Y139" s="328">
        <f>CS_PID!Y139/VLOOKUP($B139,LEBT[#ALL],4)/VLOOKUP($B139,표2[#ALL],2)</f>
        <v>101.2096948</v>
      </c>
      <c r="Z139" s="328">
        <f>CS_PID!Z139/VLOOKUP($B139,LEBT[#ALL],4)/VLOOKUP($B139,표2[#ALL],2)</f>
        <v>0</v>
      </c>
      <c r="AA139" s="328">
        <f>CS_PID!AA139/VLOOKUP($B139,LEBT[#ALL],4)/VLOOKUP($B139,표2[#ALL],2)</f>
        <v>0</v>
      </c>
      <c r="AB139" s="328">
        <f>CS_PID!AB139/VLOOKUP($B139,LEBT[#ALL],4)/VLOOKUP($B139,표2[#ALL],2)</f>
        <v>0</v>
      </c>
      <c r="AC139" s="328">
        <f>CS_PID!AC139/VLOOKUP($B139,LEBT[#ALL],4)/VLOOKUP($B139,표2[#ALL],2)</f>
        <v>101.2096948</v>
      </c>
      <c r="AD139" s="328">
        <f>CS_PID!AD139/VLOOKUP($B139,LEBT[#ALL],4)/VLOOKUP($B139,표2[#ALL],2)</f>
        <v>177.1169659</v>
      </c>
      <c r="AE139" s="328">
        <f>CS_PID!AE139/VLOOKUP($B139,LEBT[#ALL],4)/VLOOKUP($B139,표2[#ALL],2)</f>
        <v>101.2096948</v>
      </c>
      <c r="AF139" s="328">
        <f>CS_PID!AF139/VLOOKUP($B139,LEBT[#ALL],4)/VLOOKUP($B139,표2[#ALL],2)</f>
        <v>0</v>
      </c>
      <c r="AG139" s="328">
        <f>CS_PID!AG139/VLOOKUP($B139,LEBT[#ALL],4)/VLOOKUP($B139,표2[#ALL],2)</f>
        <v>0</v>
      </c>
      <c r="AH139" s="328">
        <f>CS_PID!AH139/VLOOKUP($B139,LEBT[#ALL],4)/VLOOKUP($B139,표2[#ALL],2)</f>
        <v>0</v>
      </c>
      <c r="AI139" s="328">
        <f>CS_PID!AI139/VLOOKUP($B139,LEBT[#ALL],4)/VLOOKUP($B139,표2[#ALL],2)</f>
        <v>75.9072711</v>
      </c>
      <c r="AJ139" s="328">
        <f>CS_PID!AJ139/VLOOKUP($B139,LEBT[#ALL],4)/VLOOKUP($B139,표2[#ALL],2)</f>
        <v>404.8387792</v>
      </c>
      <c r="AK139" s="328">
        <f>CS_PID!AK139/VLOOKUP($B139,LEBT[#ALL],4)/VLOOKUP($B139,표2[#ALL],2)</f>
        <v>202.4193896</v>
      </c>
      <c r="AL139" s="328">
        <f>CS_PID!AL139/VLOOKUP($B139,LEBT[#ALL],4)/VLOOKUP($B139,표2[#ALL],2)</f>
        <v>0</v>
      </c>
      <c r="AM139" s="328">
        <f>CS_PID!AM139/VLOOKUP($B139,LEBT[#ALL],4)/VLOOKUP($B139,표2[#ALL],2)</f>
        <v>0</v>
      </c>
      <c r="AN139" s="328">
        <f>CS_PID!AN139/VLOOKUP($B139,LEBT[#ALL],4)/VLOOKUP($B139,표2[#ALL],2)</f>
        <v>0</v>
      </c>
      <c r="AO139" s="328">
        <f>CS_PID!AO139/VLOOKUP($B139,LEBT[#ALL],4)/VLOOKUP($B139,표2[#ALL],2)</f>
        <v>430.1412029</v>
      </c>
      <c r="AP139" s="328">
        <f>CS_PID!AP139/VLOOKUP($B139,LEBT[#ALL],4)/VLOOKUP($B139,표2[#ALL],2)</f>
        <v>278.3266607</v>
      </c>
      <c r="AQ139" s="328">
        <f>CS_PID!AQ139/VLOOKUP($B139,LEBT[#ALL],4)/VLOOKUP($B139,표2[#ALL],2)</f>
        <v>0</v>
      </c>
      <c r="AR139" s="328">
        <f>CS_PID!AR139/VLOOKUP($B139,LEBT[#ALL],4)/VLOOKUP($B139,표2[#ALL],2)</f>
        <v>25.3024237</v>
      </c>
      <c r="AS139" s="328">
        <f>CS_PID!AS139/VLOOKUP($B139,LEBT[#ALL],4)/VLOOKUP($B139,표2[#ALL],2)</f>
        <v>581.9557451</v>
      </c>
    </row>
    <row r="140">
      <c r="A140" s="213" t="s">
        <v>90</v>
      </c>
      <c r="B140" s="214">
        <v>428.0</v>
      </c>
      <c r="C140" s="328">
        <f>CS_PID!C140/VLOOKUP($B140,LEBT[#ALL],4)/VLOOKUP($B140,표2[#ALL],2)</f>
        <v>0</v>
      </c>
      <c r="D140" s="328">
        <f>CS_PID!D140/VLOOKUP($B140,LEBT[#ALL],4)/VLOOKUP($B140,표2[#ALL],2)</f>
        <v>0</v>
      </c>
      <c r="E140" s="328">
        <f>CS_PID!E140/VLOOKUP($B140,LEBT[#ALL],4)/VLOOKUP($B140,표2[#ALL],2)</f>
        <v>31.87371413</v>
      </c>
      <c r="F140" s="328">
        <f>CS_PID!F140/VLOOKUP($B140,LEBT[#ALL],4)/VLOOKUP($B140,표2[#ALL],2)</f>
        <v>0</v>
      </c>
      <c r="G140" s="328">
        <f>CS_PID!G140/VLOOKUP($B140,LEBT[#ALL],4)/VLOOKUP($B140,표2[#ALL],2)</f>
        <v>0</v>
      </c>
      <c r="H140" s="328">
        <f>CS_PID!H140/VLOOKUP($B140,LEBT[#ALL],4)/VLOOKUP($B140,표2[#ALL],2)</f>
        <v>0</v>
      </c>
      <c r="I140" s="328">
        <f>CS_PID!I140/VLOOKUP($B140,LEBT[#ALL],4)/VLOOKUP($B140,표2[#ALL],2)</f>
        <v>0</v>
      </c>
      <c r="J140" s="328">
        <f>CS_PID!J140/VLOOKUP($B140,LEBT[#ALL],4)/VLOOKUP($B140,표2[#ALL],2)</f>
        <v>0</v>
      </c>
      <c r="K140" s="328">
        <f>CS_PID!K140/VLOOKUP($B140,LEBT[#ALL],4)/VLOOKUP($B140,표2[#ALL],2)</f>
        <v>0</v>
      </c>
      <c r="L140" s="328">
        <f>CS_PID!L140/VLOOKUP($B140,LEBT[#ALL],4)/VLOOKUP($B140,표2[#ALL],2)</f>
        <v>95.6211424</v>
      </c>
      <c r="M140" s="328">
        <f>CS_PID!M140/VLOOKUP($B140,LEBT[#ALL],4)/VLOOKUP($B140,표2[#ALL],2)</f>
        <v>0</v>
      </c>
      <c r="N140" s="328">
        <f>CS_PID!N140/VLOOKUP($B140,LEBT[#ALL],4)/VLOOKUP($B140,표2[#ALL],2)</f>
        <v>0</v>
      </c>
      <c r="O140" s="328">
        <f>CS_PID!O140/VLOOKUP($B140,LEBT[#ALL],4)/VLOOKUP($B140,표2[#ALL],2)</f>
        <v>0</v>
      </c>
      <c r="P140" s="328">
        <f>CS_PID!P140/VLOOKUP($B140,LEBT[#ALL],4)/VLOOKUP($B140,표2[#ALL],2)</f>
        <v>63.74742827</v>
      </c>
      <c r="Q140" s="328">
        <f>CS_PID!Q140/VLOOKUP($B140,LEBT[#ALL],4)/VLOOKUP($B140,표2[#ALL],2)</f>
        <v>254.9897131</v>
      </c>
      <c r="R140" s="328">
        <f>CS_PID!R140/VLOOKUP($B140,LEBT[#ALL],4)/VLOOKUP($B140,표2[#ALL],2)</f>
        <v>31.87371413</v>
      </c>
      <c r="S140" s="328">
        <f>CS_PID!S140/VLOOKUP($B140,LEBT[#ALL],4)/VLOOKUP($B140,표2[#ALL],2)</f>
        <v>63.74742827</v>
      </c>
      <c r="T140" s="328">
        <f>CS_PID!T140/VLOOKUP($B140,LEBT[#ALL],4)/VLOOKUP($B140,표2[#ALL],2)</f>
        <v>0</v>
      </c>
      <c r="U140" s="328">
        <f>CS_PID!U140/VLOOKUP($B140,LEBT[#ALL],4)/VLOOKUP($B140,표2[#ALL],2)</f>
        <v>0</v>
      </c>
      <c r="V140" s="328">
        <f>CS_PID!V140/VLOOKUP($B140,LEBT[#ALL],4)/VLOOKUP($B140,표2[#ALL],2)</f>
        <v>0</v>
      </c>
      <c r="W140" s="328">
        <f>CS_PID!W140/VLOOKUP($B140,LEBT[#ALL],4)/VLOOKUP($B140,표2[#ALL],2)</f>
        <v>127.4948565</v>
      </c>
      <c r="X140" s="328">
        <f>CS_PID!X140/VLOOKUP($B140,LEBT[#ALL],4)/VLOOKUP($B140,표2[#ALL],2)</f>
        <v>254.9897131</v>
      </c>
      <c r="Y140" s="328">
        <f>CS_PID!Y140/VLOOKUP($B140,LEBT[#ALL],4)/VLOOKUP($B140,표2[#ALL],2)</f>
        <v>0</v>
      </c>
      <c r="Z140" s="328">
        <f>CS_PID!Z140/VLOOKUP($B140,LEBT[#ALL],4)/VLOOKUP($B140,표2[#ALL],2)</f>
        <v>0</v>
      </c>
      <c r="AA140" s="328">
        <f>CS_PID!AA140/VLOOKUP($B140,LEBT[#ALL],4)/VLOOKUP($B140,표2[#ALL],2)</f>
        <v>0</v>
      </c>
      <c r="AB140" s="328">
        <f>CS_PID!AB140/VLOOKUP($B140,LEBT[#ALL],4)/VLOOKUP($B140,표2[#ALL],2)</f>
        <v>0</v>
      </c>
      <c r="AC140" s="328">
        <f>CS_PID!AC140/VLOOKUP($B140,LEBT[#ALL],4)/VLOOKUP($B140,표2[#ALL],2)</f>
        <v>63.74742827</v>
      </c>
      <c r="AD140" s="328">
        <f>CS_PID!AD140/VLOOKUP($B140,LEBT[#ALL],4)/VLOOKUP($B140,표2[#ALL],2)</f>
        <v>254.9897131</v>
      </c>
      <c r="AE140" s="328">
        <f>CS_PID!AE140/VLOOKUP($B140,LEBT[#ALL],4)/VLOOKUP($B140,표2[#ALL],2)</f>
        <v>95.6211424</v>
      </c>
      <c r="AF140" s="328">
        <f>CS_PID!AF140/VLOOKUP($B140,LEBT[#ALL],4)/VLOOKUP($B140,표2[#ALL],2)</f>
        <v>0</v>
      </c>
      <c r="AG140" s="328">
        <f>CS_PID!AG140/VLOOKUP($B140,LEBT[#ALL],4)/VLOOKUP($B140,표2[#ALL],2)</f>
        <v>0</v>
      </c>
      <c r="AH140" s="328">
        <f>CS_PID!AH140/VLOOKUP($B140,LEBT[#ALL],4)/VLOOKUP($B140,표2[#ALL],2)</f>
        <v>0</v>
      </c>
      <c r="AI140" s="328">
        <f>CS_PID!AI140/VLOOKUP($B140,LEBT[#ALL],4)/VLOOKUP($B140,표2[#ALL],2)</f>
        <v>31.87371413</v>
      </c>
      <c r="AJ140" s="328">
        <f>CS_PID!AJ140/VLOOKUP($B140,LEBT[#ALL],4)/VLOOKUP($B140,표2[#ALL],2)</f>
        <v>637.4742827</v>
      </c>
      <c r="AK140" s="328">
        <f>CS_PID!AK140/VLOOKUP($B140,LEBT[#ALL],4)/VLOOKUP($B140,표2[#ALL],2)</f>
        <v>95.6211424</v>
      </c>
      <c r="AL140" s="328">
        <f>CS_PID!AL140/VLOOKUP($B140,LEBT[#ALL],4)/VLOOKUP($B140,표2[#ALL],2)</f>
        <v>0</v>
      </c>
      <c r="AM140" s="328">
        <f>CS_PID!AM140/VLOOKUP($B140,LEBT[#ALL],4)/VLOOKUP($B140,표2[#ALL],2)</f>
        <v>0</v>
      </c>
      <c r="AN140" s="328">
        <f>CS_PID!AN140/VLOOKUP($B140,LEBT[#ALL],4)/VLOOKUP($B140,표2[#ALL],2)</f>
        <v>31.87371413</v>
      </c>
      <c r="AO140" s="328">
        <f>CS_PID!AO140/VLOOKUP($B140,LEBT[#ALL],4)/VLOOKUP($B140,표2[#ALL],2)</f>
        <v>350.6108555</v>
      </c>
      <c r="AP140" s="328">
        <f>CS_PID!AP140/VLOOKUP($B140,LEBT[#ALL],4)/VLOOKUP($B140,표2[#ALL],2)</f>
        <v>191.2422848</v>
      </c>
      <c r="AQ140" s="328">
        <f>CS_PID!AQ140/VLOOKUP($B140,LEBT[#ALL],4)/VLOOKUP($B140,표2[#ALL],2)</f>
        <v>0</v>
      </c>
      <c r="AR140" s="328">
        <f>CS_PID!AR140/VLOOKUP($B140,LEBT[#ALL],4)/VLOOKUP($B140,표2[#ALL],2)</f>
        <v>0</v>
      </c>
      <c r="AS140" s="328">
        <f>CS_PID!AS140/VLOOKUP($B140,LEBT[#ALL],4)/VLOOKUP($B140,표2[#ALL],2)</f>
        <v>669.3479968</v>
      </c>
    </row>
    <row r="141">
      <c r="A141" s="213" t="s">
        <v>90</v>
      </c>
      <c r="B141" s="214">
        <v>429.0</v>
      </c>
      <c r="C141" s="328">
        <f>CS_PID!C141/VLOOKUP($B141,LEBT[#ALL],4)/VLOOKUP($B141,표2[#ALL],2)</f>
        <v>0</v>
      </c>
      <c r="D141" s="328">
        <f>CS_PID!D141/VLOOKUP($B141,LEBT[#ALL],4)/VLOOKUP($B141,표2[#ALL],2)</f>
        <v>37.88897834</v>
      </c>
      <c r="E141" s="328">
        <f>CS_PID!E141/VLOOKUP($B141,LEBT[#ALL],4)/VLOOKUP($B141,표2[#ALL],2)</f>
        <v>0</v>
      </c>
      <c r="F141" s="328">
        <f>CS_PID!F141/VLOOKUP($B141,LEBT[#ALL],4)/VLOOKUP($B141,표2[#ALL],2)</f>
        <v>113.666935</v>
      </c>
      <c r="G141" s="328">
        <f>CS_PID!G141/VLOOKUP($B141,LEBT[#ALL],4)/VLOOKUP($B141,표2[#ALL],2)</f>
        <v>0</v>
      </c>
      <c r="H141" s="328">
        <f>CS_PID!H141/VLOOKUP($B141,LEBT[#ALL],4)/VLOOKUP($B141,표2[#ALL],2)</f>
        <v>0</v>
      </c>
      <c r="I141" s="328">
        <f>CS_PID!I141/VLOOKUP($B141,LEBT[#ALL],4)/VLOOKUP($B141,표2[#ALL],2)</f>
        <v>0</v>
      </c>
      <c r="J141" s="328">
        <f>CS_PID!J141/VLOOKUP($B141,LEBT[#ALL],4)/VLOOKUP($B141,표2[#ALL],2)</f>
        <v>0</v>
      </c>
      <c r="K141" s="328">
        <f>CS_PID!K141/VLOOKUP($B141,LEBT[#ALL],4)/VLOOKUP($B141,표2[#ALL],2)</f>
        <v>37.88897834</v>
      </c>
      <c r="L141" s="328">
        <f>CS_PID!L141/VLOOKUP($B141,LEBT[#ALL],4)/VLOOKUP($B141,표2[#ALL],2)</f>
        <v>75.77795669</v>
      </c>
      <c r="M141" s="328">
        <f>CS_PID!M141/VLOOKUP($B141,LEBT[#ALL],4)/VLOOKUP($B141,표2[#ALL],2)</f>
        <v>0</v>
      </c>
      <c r="N141" s="328">
        <f>CS_PID!N141/VLOOKUP($B141,LEBT[#ALL],4)/VLOOKUP($B141,표2[#ALL],2)</f>
        <v>0</v>
      </c>
      <c r="O141" s="328">
        <f>CS_PID!O141/VLOOKUP($B141,LEBT[#ALL],4)/VLOOKUP($B141,표2[#ALL],2)</f>
        <v>0</v>
      </c>
      <c r="P141" s="328">
        <f>CS_PID!P141/VLOOKUP($B141,LEBT[#ALL],4)/VLOOKUP($B141,표2[#ALL],2)</f>
        <v>75.77795669</v>
      </c>
      <c r="Q141" s="328">
        <f>CS_PID!Q141/VLOOKUP($B141,LEBT[#ALL],4)/VLOOKUP($B141,표2[#ALL],2)</f>
        <v>113.666935</v>
      </c>
      <c r="R141" s="328">
        <f>CS_PID!R141/VLOOKUP($B141,LEBT[#ALL],4)/VLOOKUP($B141,표2[#ALL],2)</f>
        <v>227.3338701</v>
      </c>
      <c r="S141" s="328">
        <f>CS_PID!S141/VLOOKUP($B141,LEBT[#ALL],4)/VLOOKUP($B141,표2[#ALL],2)</f>
        <v>0</v>
      </c>
      <c r="T141" s="328">
        <f>CS_PID!T141/VLOOKUP($B141,LEBT[#ALL],4)/VLOOKUP($B141,표2[#ALL],2)</f>
        <v>0</v>
      </c>
      <c r="U141" s="328">
        <f>CS_PID!U141/VLOOKUP($B141,LEBT[#ALL],4)/VLOOKUP($B141,표2[#ALL],2)</f>
        <v>37.88897834</v>
      </c>
      <c r="V141" s="328">
        <f>CS_PID!V141/VLOOKUP($B141,LEBT[#ALL],4)/VLOOKUP($B141,표2[#ALL],2)</f>
        <v>37.88897834</v>
      </c>
      <c r="W141" s="328">
        <f>CS_PID!W141/VLOOKUP($B141,LEBT[#ALL],4)/VLOOKUP($B141,표2[#ALL],2)</f>
        <v>189.4448917</v>
      </c>
      <c r="X141" s="328">
        <f>CS_PID!X141/VLOOKUP($B141,LEBT[#ALL],4)/VLOOKUP($B141,표2[#ALL],2)</f>
        <v>227.3338701</v>
      </c>
      <c r="Y141" s="328">
        <f>CS_PID!Y141/VLOOKUP($B141,LEBT[#ALL],4)/VLOOKUP($B141,표2[#ALL],2)</f>
        <v>37.88897834</v>
      </c>
      <c r="Z141" s="328">
        <f>CS_PID!Z141/VLOOKUP($B141,LEBT[#ALL],4)/VLOOKUP($B141,표2[#ALL],2)</f>
        <v>0</v>
      </c>
      <c r="AA141" s="328">
        <f>CS_PID!AA141/VLOOKUP($B141,LEBT[#ALL],4)/VLOOKUP($B141,표2[#ALL],2)</f>
        <v>0</v>
      </c>
      <c r="AB141" s="328">
        <f>CS_PID!AB141/VLOOKUP($B141,LEBT[#ALL],4)/VLOOKUP($B141,표2[#ALL],2)</f>
        <v>0</v>
      </c>
      <c r="AC141" s="328">
        <f>CS_PID!AC141/VLOOKUP($B141,LEBT[#ALL],4)/VLOOKUP($B141,표2[#ALL],2)</f>
        <v>37.88897834</v>
      </c>
      <c r="AD141" s="328">
        <f>CS_PID!AD141/VLOOKUP($B141,LEBT[#ALL],4)/VLOOKUP($B141,표2[#ALL],2)</f>
        <v>151.5559134</v>
      </c>
      <c r="AE141" s="328">
        <f>CS_PID!AE141/VLOOKUP($B141,LEBT[#ALL],4)/VLOOKUP($B141,표2[#ALL],2)</f>
        <v>37.88897834</v>
      </c>
      <c r="AF141" s="328">
        <f>CS_PID!AF141/VLOOKUP($B141,LEBT[#ALL],4)/VLOOKUP($B141,표2[#ALL],2)</f>
        <v>0</v>
      </c>
      <c r="AG141" s="328">
        <f>CS_PID!AG141/VLOOKUP($B141,LEBT[#ALL],4)/VLOOKUP($B141,표2[#ALL],2)</f>
        <v>0</v>
      </c>
      <c r="AH141" s="328">
        <f>CS_PID!AH141/VLOOKUP($B141,LEBT[#ALL],4)/VLOOKUP($B141,표2[#ALL],2)</f>
        <v>0</v>
      </c>
      <c r="AI141" s="328">
        <f>CS_PID!AI141/VLOOKUP($B141,LEBT[#ALL],4)/VLOOKUP($B141,표2[#ALL],2)</f>
        <v>0</v>
      </c>
      <c r="AJ141" s="328">
        <f>CS_PID!AJ141/VLOOKUP($B141,LEBT[#ALL],4)/VLOOKUP($B141,표2[#ALL],2)</f>
        <v>606.2236535</v>
      </c>
      <c r="AK141" s="328">
        <f>CS_PID!AK141/VLOOKUP($B141,LEBT[#ALL],4)/VLOOKUP($B141,표2[#ALL],2)</f>
        <v>0</v>
      </c>
      <c r="AL141" s="328">
        <f>CS_PID!AL141/VLOOKUP($B141,LEBT[#ALL],4)/VLOOKUP($B141,표2[#ALL],2)</f>
        <v>0</v>
      </c>
      <c r="AM141" s="328">
        <f>CS_PID!AM141/VLOOKUP($B141,LEBT[#ALL],4)/VLOOKUP($B141,표2[#ALL],2)</f>
        <v>0</v>
      </c>
      <c r="AN141" s="328">
        <f>CS_PID!AN141/VLOOKUP($B141,LEBT[#ALL],4)/VLOOKUP($B141,표2[#ALL],2)</f>
        <v>0</v>
      </c>
      <c r="AO141" s="328">
        <f>CS_PID!AO141/VLOOKUP($B141,LEBT[#ALL],4)/VLOOKUP($B141,표2[#ALL],2)</f>
        <v>454.6677401</v>
      </c>
      <c r="AP141" s="328">
        <f>CS_PID!AP141/VLOOKUP($B141,LEBT[#ALL],4)/VLOOKUP($B141,표2[#ALL],2)</f>
        <v>341.0008051</v>
      </c>
      <c r="AQ141" s="328">
        <f>CS_PID!AQ141/VLOOKUP($B141,LEBT[#ALL],4)/VLOOKUP($B141,표2[#ALL],2)</f>
        <v>0</v>
      </c>
      <c r="AR141" s="328">
        <f>CS_PID!AR141/VLOOKUP($B141,LEBT[#ALL],4)/VLOOKUP($B141,표2[#ALL],2)</f>
        <v>0</v>
      </c>
      <c r="AS141" s="328">
        <f>CS_PID!AS141/VLOOKUP($B141,LEBT[#ALL],4)/VLOOKUP($B141,표2[#ALL],2)</f>
        <v>492.5567185</v>
      </c>
    </row>
    <row r="142">
      <c r="A142" s="213" t="s">
        <v>90</v>
      </c>
      <c r="B142" s="214">
        <v>430.0</v>
      </c>
      <c r="C142" s="328">
        <f>CS_PID!C142/VLOOKUP($B142,LEBT[#ALL],4)/VLOOKUP($B142,표2[#ALL],2)</f>
        <v>0</v>
      </c>
      <c r="D142" s="328">
        <f>CS_PID!D142/VLOOKUP($B142,LEBT[#ALL],4)/VLOOKUP($B142,표2[#ALL],2)</f>
        <v>0</v>
      </c>
      <c r="E142" s="328">
        <f>CS_PID!E142/VLOOKUP($B142,LEBT[#ALL],4)/VLOOKUP($B142,표2[#ALL],2)</f>
        <v>0</v>
      </c>
      <c r="F142" s="328">
        <f>CS_PID!F142/VLOOKUP($B142,LEBT[#ALL],4)/VLOOKUP($B142,표2[#ALL],2)</f>
        <v>31.5136449</v>
      </c>
      <c r="G142" s="328">
        <f>CS_PID!G142/VLOOKUP($B142,LEBT[#ALL],4)/VLOOKUP($B142,표2[#ALL],2)</f>
        <v>31.5136449</v>
      </c>
      <c r="H142" s="328">
        <f>CS_PID!H142/VLOOKUP($B142,LEBT[#ALL],4)/VLOOKUP($B142,표2[#ALL],2)</f>
        <v>0</v>
      </c>
      <c r="I142" s="328">
        <f>CS_PID!I142/VLOOKUP($B142,LEBT[#ALL],4)/VLOOKUP($B142,표2[#ALL],2)</f>
        <v>0</v>
      </c>
      <c r="J142" s="328">
        <f>CS_PID!J142/VLOOKUP($B142,LEBT[#ALL],4)/VLOOKUP($B142,표2[#ALL],2)</f>
        <v>31.5136449</v>
      </c>
      <c r="K142" s="328">
        <f>CS_PID!K142/VLOOKUP($B142,LEBT[#ALL],4)/VLOOKUP($B142,표2[#ALL],2)</f>
        <v>31.5136449</v>
      </c>
      <c r="L142" s="328">
        <f>CS_PID!L142/VLOOKUP($B142,LEBT[#ALL],4)/VLOOKUP($B142,표2[#ALL],2)</f>
        <v>94.5409347</v>
      </c>
      <c r="M142" s="328">
        <f>CS_PID!M142/VLOOKUP($B142,LEBT[#ALL],4)/VLOOKUP($B142,표2[#ALL],2)</f>
        <v>0</v>
      </c>
      <c r="N142" s="328">
        <f>CS_PID!N142/VLOOKUP($B142,LEBT[#ALL],4)/VLOOKUP($B142,표2[#ALL],2)</f>
        <v>0</v>
      </c>
      <c r="O142" s="328">
        <f>CS_PID!O142/VLOOKUP($B142,LEBT[#ALL],4)/VLOOKUP($B142,표2[#ALL],2)</f>
        <v>0</v>
      </c>
      <c r="P142" s="328">
        <f>CS_PID!P142/VLOOKUP($B142,LEBT[#ALL],4)/VLOOKUP($B142,표2[#ALL],2)</f>
        <v>0</v>
      </c>
      <c r="Q142" s="328">
        <f>CS_PID!Q142/VLOOKUP($B142,LEBT[#ALL],4)/VLOOKUP($B142,표2[#ALL],2)</f>
        <v>63.0272898</v>
      </c>
      <c r="R142" s="328">
        <f>CS_PID!R142/VLOOKUP($B142,LEBT[#ALL],4)/VLOOKUP($B142,표2[#ALL],2)</f>
        <v>63.0272898</v>
      </c>
      <c r="S142" s="328">
        <f>CS_PID!S142/VLOOKUP($B142,LEBT[#ALL],4)/VLOOKUP($B142,표2[#ALL],2)</f>
        <v>31.5136449</v>
      </c>
      <c r="T142" s="328">
        <f>CS_PID!T142/VLOOKUP($B142,LEBT[#ALL],4)/VLOOKUP($B142,표2[#ALL],2)</f>
        <v>0</v>
      </c>
      <c r="U142" s="328">
        <f>CS_PID!U142/VLOOKUP($B142,LEBT[#ALL],4)/VLOOKUP($B142,표2[#ALL],2)</f>
        <v>0</v>
      </c>
      <c r="V142" s="328">
        <f>CS_PID!V142/VLOOKUP($B142,LEBT[#ALL],4)/VLOOKUP($B142,표2[#ALL],2)</f>
        <v>0</v>
      </c>
      <c r="W142" s="328">
        <f>CS_PID!W142/VLOOKUP($B142,LEBT[#ALL],4)/VLOOKUP($B142,표2[#ALL],2)</f>
        <v>126.0545796</v>
      </c>
      <c r="X142" s="328">
        <f>CS_PID!X142/VLOOKUP($B142,LEBT[#ALL],4)/VLOOKUP($B142,표2[#ALL],2)</f>
        <v>283.6228041</v>
      </c>
      <c r="Y142" s="328">
        <f>CS_PID!Y142/VLOOKUP($B142,LEBT[#ALL],4)/VLOOKUP($B142,표2[#ALL],2)</f>
        <v>63.0272898</v>
      </c>
      <c r="Z142" s="328">
        <f>CS_PID!Z142/VLOOKUP($B142,LEBT[#ALL],4)/VLOOKUP($B142,표2[#ALL],2)</f>
        <v>0</v>
      </c>
      <c r="AA142" s="328">
        <f>CS_PID!AA142/VLOOKUP($B142,LEBT[#ALL],4)/VLOOKUP($B142,표2[#ALL],2)</f>
        <v>0</v>
      </c>
      <c r="AB142" s="328">
        <f>CS_PID!AB142/VLOOKUP($B142,LEBT[#ALL],4)/VLOOKUP($B142,표2[#ALL],2)</f>
        <v>0</v>
      </c>
      <c r="AC142" s="328">
        <f>CS_PID!AC142/VLOOKUP($B142,LEBT[#ALL],4)/VLOOKUP($B142,표2[#ALL],2)</f>
        <v>94.5409347</v>
      </c>
      <c r="AD142" s="328">
        <f>CS_PID!AD142/VLOOKUP($B142,LEBT[#ALL],4)/VLOOKUP($B142,표2[#ALL],2)</f>
        <v>157.5682245</v>
      </c>
      <c r="AE142" s="328">
        <f>CS_PID!AE142/VLOOKUP($B142,LEBT[#ALL],4)/VLOOKUP($B142,표2[#ALL],2)</f>
        <v>157.5682245</v>
      </c>
      <c r="AF142" s="328">
        <f>CS_PID!AF142/VLOOKUP($B142,LEBT[#ALL],4)/VLOOKUP($B142,표2[#ALL],2)</f>
        <v>0</v>
      </c>
      <c r="AG142" s="328">
        <f>CS_PID!AG142/VLOOKUP($B142,LEBT[#ALL],4)/VLOOKUP($B142,표2[#ALL],2)</f>
        <v>0</v>
      </c>
      <c r="AH142" s="328">
        <f>CS_PID!AH142/VLOOKUP($B142,LEBT[#ALL],4)/VLOOKUP($B142,표2[#ALL],2)</f>
        <v>0</v>
      </c>
      <c r="AI142" s="328">
        <f>CS_PID!AI142/VLOOKUP($B142,LEBT[#ALL],4)/VLOOKUP($B142,표2[#ALL],2)</f>
        <v>31.5136449</v>
      </c>
      <c r="AJ142" s="328">
        <f>CS_PID!AJ142/VLOOKUP($B142,LEBT[#ALL],4)/VLOOKUP($B142,표2[#ALL],2)</f>
        <v>315.136449</v>
      </c>
      <c r="AK142" s="328">
        <f>CS_PID!AK142/VLOOKUP($B142,LEBT[#ALL],4)/VLOOKUP($B142,표2[#ALL],2)</f>
        <v>126.0545796</v>
      </c>
      <c r="AL142" s="328">
        <f>CS_PID!AL142/VLOOKUP($B142,LEBT[#ALL],4)/VLOOKUP($B142,표2[#ALL],2)</f>
        <v>0</v>
      </c>
      <c r="AM142" s="328">
        <f>CS_PID!AM142/VLOOKUP($B142,LEBT[#ALL],4)/VLOOKUP($B142,표2[#ALL],2)</f>
        <v>0</v>
      </c>
      <c r="AN142" s="328">
        <f>CS_PID!AN142/VLOOKUP($B142,LEBT[#ALL],4)/VLOOKUP($B142,표2[#ALL],2)</f>
        <v>0</v>
      </c>
      <c r="AO142" s="328">
        <f>CS_PID!AO142/VLOOKUP($B142,LEBT[#ALL],4)/VLOOKUP($B142,표2[#ALL],2)</f>
        <v>661.7865429</v>
      </c>
      <c r="AP142" s="328">
        <f>CS_PID!AP142/VLOOKUP($B142,LEBT[#ALL],4)/VLOOKUP($B142,표2[#ALL],2)</f>
        <v>220.5955143</v>
      </c>
      <c r="AQ142" s="328">
        <f>CS_PID!AQ142/VLOOKUP($B142,LEBT[#ALL],4)/VLOOKUP($B142,표2[#ALL],2)</f>
        <v>0</v>
      </c>
      <c r="AR142" s="328">
        <f>CS_PID!AR142/VLOOKUP($B142,LEBT[#ALL],4)/VLOOKUP($B142,표2[#ALL],2)</f>
        <v>0</v>
      </c>
      <c r="AS142" s="328">
        <f>CS_PID!AS142/VLOOKUP($B142,LEBT[#ALL],4)/VLOOKUP($B142,표2[#ALL],2)</f>
        <v>567.2456082</v>
      </c>
    </row>
    <row r="143">
      <c r="A143" s="213" t="s">
        <v>90</v>
      </c>
      <c r="B143" s="214">
        <v>431.0</v>
      </c>
      <c r="C143" s="328">
        <f>CS_PID!C143/VLOOKUP($B143,LEBT[#ALL],4)/VLOOKUP($B143,표2[#ALL],2)</f>
        <v>20.19606181</v>
      </c>
      <c r="D143" s="328">
        <f>CS_PID!D143/VLOOKUP($B143,LEBT[#ALL],4)/VLOOKUP($B143,표2[#ALL],2)</f>
        <v>50.49015452</v>
      </c>
      <c r="E143" s="328">
        <f>CS_PID!E143/VLOOKUP($B143,LEBT[#ALL],4)/VLOOKUP($B143,표2[#ALL],2)</f>
        <v>0</v>
      </c>
      <c r="F143" s="328">
        <f>CS_PID!F143/VLOOKUP($B143,LEBT[#ALL],4)/VLOOKUP($B143,표2[#ALL],2)</f>
        <v>10.0980309</v>
      </c>
      <c r="G143" s="328">
        <f>CS_PID!G143/VLOOKUP($B143,LEBT[#ALL],4)/VLOOKUP($B143,표2[#ALL],2)</f>
        <v>0</v>
      </c>
      <c r="H143" s="328">
        <f>CS_PID!H143/VLOOKUP($B143,LEBT[#ALL],4)/VLOOKUP($B143,표2[#ALL],2)</f>
        <v>10.0980309</v>
      </c>
      <c r="I143" s="328">
        <f>CS_PID!I143/VLOOKUP($B143,LEBT[#ALL],4)/VLOOKUP($B143,표2[#ALL],2)</f>
        <v>10.0980309</v>
      </c>
      <c r="J143" s="328">
        <f>CS_PID!J143/VLOOKUP($B143,LEBT[#ALL],4)/VLOOKUP($B143,표2[#ALL],2)</f>
        <v>30.29409271</v>
      </c>
      <c r="K143" s="328">
        <f>CS_PID!K143/VLOOKUP($B143,LEBT[#ALL],4)/VLOOKUP($B143,표2[#ALL],2)</f>
        <v>40.39212362</v>
      </c>
      <c r="L143" s="328">
        <f>CS_PID!L143/VLOOKUP($B143,LEBT[#ALL],4)/VLOOKUP($B143,표2[#ALL],2)</f>
        <v>60.58818543</v>
      </c>
      <c r="M143" s="328">
        <f>CS_PID!M143/VLOOKUP($B143,LEBT[#ALL],4)/VLOOKUP($B143,표2[#ALL],2)</f>
        <v>20.19606181</v>
      </c>
      <c r="N143" s="328">
        <f>CS_PID!N143/VLOOKUP($B143,LEBT[#ALL],4)/VLOOKUP($B143,표2[#ALL],2)</f>
        <v>0</v>
      </c>
      <c r="O143" s="328">
        <f>CS_PID!O143/VLOOKUP($B143,LEBT[#ALL],4)/VLOOKUP($B143,표2[#ALL],2)</f>
        <v>0</v>
      </c>
      <c r="P143" s="328">
        <f>CS_PID!P143/VLOOKUP($B143,LEBT[#ALL],4)/VLOOKUP($B143,표2[#ALL],2)</f>
        <v>20.19606181</v>
      </c>
      <c r="Q143" s="328">
        <f>CS_PID!Q143/VLOOKUP($B143,LEBT[#ALL],4)/VLOOKUP($B143,표2[#ALL],2)</f>
        <v>100.980309</v>
      </c>
      <c r="R143" s="328">
        <f>CS_PID!R143/VLOOKUP($B143,LEBT[#ALL],4)/VLOOKUP($B143,표2[#ALL],2)</f>
        <v>70.68621633</v>
      </c>
      <c r="S143" s="328">
        <f>CS_PID!S143/VLOOKUP($B143,LEBT[#ALL],4)/VLOOKUP($B143,표2[#ALL],2)</f>
        <v>30.29409271</v>
      </c>
      <c r="T143" s="328">
        <f>CS_PID!T143/VLOOKUP($B143,LEBT[#ALL],4)/VLOOKUP($B143,표2[#ALL],2)</f>
        <v>0</v>
      </c>
      <c r="U143" s="328">
        <f>CS_PID!U143/VLOOKUP($B143,LEBT[#ALL],4)/VLOOKUP($B143,표2[#ALL],2)</f>
        <v>10.0980309</v>
      </c>
      <c r="V143" s="328">
        <f>CS_PID!V143/VLOOKUP($B143,LEBT[#ALL],4)/VLOOKUP($B143,표2[#ALL],2)</f>
        <v>10.0980309</v>
      </c>
      <c r="W143" s="328">
        <f>CS_PID!W143/VLOOKUP($B143,LEBT[#ALL],4)/VLOOKUP($B143,표2[#ALL],2)</f>
        <v>141.3724327</v>
      </c>
      <c r="X143" s="328">
        <f>CS_PID!X143/VLOOKUP($B143,LEBT[#ALL],4)/VLOOKUP($B143,표2[#ALL],2)</f>
        <v>343.3330508</v>
      </c>
      <c r="Y143" s="328">
        <f>CS_PID!Y143/VLOOKUP($B143,LEBT[#ALL],4)/VLOOKUP($B143,표2[#ALL],2)</f>
        <v>111.07834</v>
      </c>
      <c r="Z143" s="328">
        <f>CS_PID!Z143/VLOOKUP($B143,LEBT[#ALL],4)/VLOOKUP($B143,표2[#ALL],2)</f>
        <v>0</v>
      </c>
      <c r="AA143" s="328">
        <f>CS_PID!AA143/VLOOKUP($B143,LEBT[#ALL],4)/VLOOKUP($B143,표2[#ALL],2)</f>
        <v>0</v>
      </c>
      <c r="AB143" s="328">
        <f>CS_PID!AB143/VLOOKUP($B143,LEBT[#ALL],4)/VLOOKUP($B143,표2[#ALL],2)</f>
        <v>0</v>
      </c>
      <c r="AC143" s="328">
        <f>CS_PID!AC143/VLOOKUP($B143,LEBT[#ALL],4)/VLOOKUP($B143,표2[#ALL],2)</f>
        <v>100.980309</v>
      </c>
      <c r="AD143" s="328">
        <f>CS_PID!AD143/VLOOKUP($B143,LEBT[#ALL],4)/VLOOKUP($B143,표2[#ALL],2)</f>
        <v>191.8625872</v>
      </c>
      <c r="AE143" s="328">
        <f>CS_PID!AE143/VLOOKUP($B143,LEBT[#ALL],4)/VLOOKUP($B143,표2[#ALL],2)</f>
        <v>50.49015452</v>
      </c>
      <c r="AF143" s="328">
        <f>CS_PID!AF143/VLOOKUP($B143,LEBT[#ALL],4)/VLOOKUP($B143,표2[#ALL],2)</f>
        <v>0</v>
      </c>
      <c r="AG143" s="328">
        <f>CS_PID!AG143/VLOOKUP($B143,LEBT[#ALL],4)/VLOOKUP($B143,표2[#ALL],2)</f>
        <v>0</v>
      </c>
      <c r="AH143" s="328">
        <f>CS_PID!AH143/VLOOKUP($B143,LEBT[#ALL],4)/VLOOKUP($B143,표2[#ALL],2)</f>
        <v>0</v>
      </c>
      <c r="AI143" s="328">
        <f>CS_PID!AI143/VLOOKUP($B143,LEBT[#ALL],4)/VLOOKUP($B143,표2[#ALL],2)</f>
        <v>50.49015452</v>
      </c>
      <c r="AJ143" s="328">
        <f>CS_PID!AJ143/VLOOKUP($B143,LEBT[#ALL],4)/VLOOKUP($B143,표2[#ALL],2)</f>
        <v>454.4113907</v>
      </c>
      <c r="AK143" s="328">
        <f>CS_PID!AK143/VLOOKUP($B143,LEBT[#ALL],4)/VLOOKUP($B143,표2[#ALL],2)</f>
        <v>90.88227814</v>
      </c>
      <c r="AL143" s="328">
        <f>CS_PID!AL143/VLOOKUP($B143,LEBT[#ALL],4)/VLOOKUP($B143,표2[#ALL],2)</f>
        <v>0</v>
      </c>
      <c r="AM143" s="328">
        <f>CS_PID!AM143/VLOOKUP($B143,LEBT[#ALL],4)/VLOOKUP($B143,표2[#ALL],2)</f>
        <v>0</v>
      </c>
      <c r="AN143" s="328">
        <f>CS_PID!AN143/VLOOKUP($B143,LEBT[#ALL],4)/VLOOKUP($B143,표2[#ALL],2)</f>
        <v>20.19606181</v>
      </c>
      <c r="AO143" s="328">
        <f>CS_PID!AO143/VLOOKUP($B143,LEBT[#ALL],4)/VLOOKUP($B143,표2[#ALL],2)</f>
        <v>414.0192671</v>
      </c>
      <c r="AP143" s="328">
        <f>CS_PID!AP143/VLOOKUP($B143,LEBT[#ALL],4)/VLOOKUP($B143,표2[#ALL],2)</f>
        <v>282.7448653</v>
      </c>
      <c r="AQ143" s="328">
        <f>CS_PID!AQ143/VLOOKUP($B143,LEBT[#ALL],4)/VLOOKUP($B143,표2[#ALL],2)</f>
        <v>0</v>
      </c>
      <c r="AR143" s="328">
        <f>CS_PID!AR143/VLOOKUP($B143,LEBT[#ALL],4)/VLOOKUP($B143,표2[#ALL],2)</f>
        <v>30.29409271</v>
      </c>
      <c r="AS143" s="328">
        <f>CS_PID!AS143/VLOOKUP($B143,LEBT[#ALL],4)/VLOOKUP($B143,표2[#ALL],2)</f>
        <v>575.5877616</v>
      </c>
    </row>
    <row r="144">
      <c r="A144" s="213" t="s">
        <v>90</v>
      </c>
      <c r="B144" s="214">
        <v>433.0</v>
      </c>
      <c r="C144" s="328">
        <f>CS_PID!C144/VLOOKUP($B144,LEBT[#ALL],4)/VLOOKUP($B144,표2[#ALL],2)</f>
        <v>0</v>
      </c>
      <c r="D144" s="328">
        <f>CS_PID!D144/VLOOKUP($B144,LEBT[#ALL],4)/VLOOKUP($B144,표2[#ALL],2)</f>
        <v>0</v>
      </c>
      <c r="E144" s="328">
        <f>CS_PID!E144/VLOOKUP($B144,LEBT[#ALL],4)/VLOOKUP($B144,표2[#ALL],2)</f>
        <v>174.6325255</v>
      </c>
      <c r="F144" s="328">
        <f>CS_PID!F144/VLOOKUP($B144,LEBT[#ALL],4)/VLOOKUP($B144,표2[#ALL],2)</f>
        <v>0</v>
      </c>
      <c r="G144" s="328">
        <f>CS_PID!G144/VLOOKUP($B144,LEBT[#ALL],4)/VLOOKUP($B144,표2[#ALL],2)</f>
        <v>0</v>
      </c>
      <c r="H144" s="328">
        <f>CS_PID!H144/VLOOKUP($B144,LEBT[#ALL],4)/VLOOKUP($B144,표2[#ALL],2)</f>
        <v>0</v>
      </c>
      <c r="I144" s="328">
        <f>CS_PID!I144/VLOOKUP($B144,LEBT[#ALL],4)/VLOOKUP($B144,표2[#ALL],2)</f>
        <v>0</v>
      </c>
      <c r="J144" s="328">
        <f>CS_PID!J144/VLOOKUP($B144,LEBT[#ALL],4)/VLOOKUP($B144,표2[#ALL],2)</f>
        <v>0</v>
      </c>
      <c r="K144" s="328">
        <f>CS_PID!K144/VLOOKUP($B144,LEBT[#ALL],4)/VLOOKUP($B144,표2[#ALL],2)</f>
        <v>87.31626273</v>
      </c>
      <c r="L144" s="328">
        <f>CS_PID!L144/VLOOKUP($B144,LEBT[#ALL],4)/VLOOKUP($B144,표2[#ALL],2)</f>
        <v>0</v>
      </c>
      <c r="M144" s="328">
        <f>CS_PID!M144/VLOOKUP($B144,LEBT[#ALL],4)/VLOOKUP($B144,표2[#ALL],2)</f>
        <v>0</v>
      </c>
      <c r="N144" s="328">
        <f>CS_PID!N144/VLOOKUP($B144,LEBT[#ALL],4)/VLOOKUP($B144,표2[#ALL],2)</f>
        <v>0</v>
      </c>
      <c r="O144" s="328">
        <f>CS_PID!O144/VLOOKUP($B144,LEBT[#ALL],4)/VLOOKUP($B144,표2[#ALL],2)</f>
        <v>0</v>
      </c>
      <c r="P144" s="328">
        <f>CS_PID!P144/VLOOKUP($B144,LEBT[#ALL],4)/VLOOKUP($B144,표2[#ALL],2)</f>
        <v>0</v>
      </c>
      <c r="Q144" s="328">
        <f>CS_PID!Q144/VLOOKUP($B144,LEBT[#ALL],4)/VLOOKUP($B144,표2[#ALL],2)</f>
        <v>87.31626273</v>
      </c>
      <c r="R144" s="328">
        <f>CS_PID!R144/VLOOKUP($B144,LEBT[#ALL],4)/VLOOKUP($B144,표2[#ALL],2)</f>
        <v>87.31626273</v>
      </c>
      <c r="S144" s="328">
        <f>CS_PID!S144/VLOOKUP($B144,LEBT[#ALL],4)/VLOOKUP($B144,표2[#ALL],2)</f>
        <v>174.6325255</v>
      </c>
      <c r="T144" s="328">
        <f>CS_PID!T144/VLOOKUP($B144,LEBT[#ALL],4)/VLOOKUP($B144,표2[#ALL],2)</f>
        <v>0</v>
      </c>
      <c r="U144" s="328">
        <f>CS_PID!U144/VLOOKUP($B144,LEBT[#ALL],4)/VLOOKUP($B144,표2[#ALL],2)</f>
        <v>0</v>
      </c>
      <c r="V144" s="328">
        <f>CS_PID!V144/VLOOKUP($B144,LEBT[#ALL],4)/VLOOKUP($B144,표2[#ALL],2)</f>
        <v>0</v>
      </c>
      <c r="W144" s="328">
        <f>CS_PID!W144/VLOOKUP($B144,LEBT[#ALL],4)/VLOOKUP($B144,표2[#ALL],2)</f>
        <v>261.9487882</v>
      </c>
      <c r="X144" s="328">
        <f>CS_PID!X144/VLOOKUP($B144,LEBT[#ALL],4)/VLOOKUP($B144,표2[#ALL],2)</f>
        <v>261.9487882</v>
      </c>
      <c r="Y144" s="328">
        <f>CS_PID!Y144/VLOOKUP($B144,LEBT[#ALL],4)/VLOOKUP($B144,표2[#ALL],2)</f>
        <v>87.31626273</v>
      </c>
      <c r="Z144" s="328">
        <f>CS_PID!Z144/VLOOKUP($B144,LEBT[#ALL],4)/VLOOKUP($B144,표2[#ALL],2)</f>
        <v>0</v>
      </c>
      <c r="AA144" s="328">
        <f>CS_PID!AA144/VLOOKUP($B144,LEBT[#ALL],4)/VLOOKUP($B144,표2[#ALL],2)</f>
        <v>0</v>
      </c>
      <c r="AB144" s="328">
        <f>CS_PID!AB144/VLOOKUP($B144,LEBT[#ALL],4)/VLOOKUP($B144,표2[#ALL],2)</f>
        <v>87.31626273</v>
      </c>
      <c r="AC144" s="328">
        <f>CS_PID!AC144/VLOOKUP($B144,LEBT[#ALL],4)/VLOOKUP($B144,표2[#ALL],2)</f>
        <v>87.31626273</v>
      </c>
      <c r="AD144" s="328">
        <f>CS_PID!AD144/VLOOKUP($B144,LEBT[#ALL],4)/VLOOKUP($B144,표2[#ALL],2)</f>
        <v>87.31626273</v>
      </c>
      <c r="AE144" s="328">
        <f>CS_PID!AE144/VLOOKUP($B144,LEBT[#ALL],4)/VLOOKUP($B144,표2[#ALL],2)</f>
        <v>0</v>
      </c>
      <c r="AF144" s="328">
        <f>CS_PID!AF144/VLOOKUP($B144,LEBT[#ALL],4)/VLOOKUP($B144,표2[#ALL],2)</f>
        <v>0</v>
      </c>
      <c r="AG144" s="328">
        <f>CS_PID!AG144/VLOOKUP($B144,LEBT[#ALL],4)/VLOOKUP($B144,표2[#ALL],2)</f>
        <v>0</v>
      </c>
      <c r="AH144" s="328">
        <f>CS_PID!AH144/VLOOKUP($B144,LEBT[#ALL],4)/VLOOKUP($B144,표2[#ALL],2)</f>
        <v>0</v>
      </c>
      <c r="AI144" s="328">
        <f>CS_PID!AI144/VLOOKUP($B144,LEBT[#ALL],4)/VLOOKUP($B144,표2[#ALL],2)</f>
        <v>0</v>
      </c>
      <c r="AJ144" s="328">
        <f>CS_PID!AJ144/VLOOKUP($B144,LEBT[#ALL],4)/VLOOKUP($B144,표2[#ALL],2)</f>
        <v>436.5813137</v>
      </c>
      <c r="AK144" s="328">
        <f>CS_PID!AK144/VLOOKUP($B144,LEBT[#ALL],4)/VLOOKUP($B144,표2[#ALL],2)</f>
        <v>0</v>
      </c>
      <c r="AL144" s="328">
        <f>CS_PID!AL144/VLOOKUP($B144,LEBT[#ALL],4)/VLOOKUP($B144,표2[#ALL],2)</f>
        <v>0</v>
      </c>
      <c r="AM144" s="328">
        <f>CS_PID!AM144/VLOOKUP($B144,LEBT[#ALL],4)/VLOOKUP($B144,표2[#ALL],2)</f>
        <v>0</v>
      </c>
      <c r="AN144" s="328">
        <f>CS_PID!AN144/VLOOKUP($B144,LEBT[#ALL],4)/VLOOKUP($B144,표2[#ALL],2)</f>
        <v>0</v>
      </c>
      <c r="AO144" s="328">
        <f>CS_PID!AO144/VLOOKUP($B144,LEBT[#ALL],4)/VLOOKUP($B144,표2[#ALL],2)</f>
        <v>436.5813137</v>
      </c>
      <c r="AP144" s="328">
        <f>CS_PID!AP144/VLOOKUP($B144,LEBT[#ALL],4)/VLOOKUP($B144,표2[#ALL],2)</f>
        <v>0</v>
      </c>
      <c r="AQ144" s="328">
        <f>CS_PID!AQ144/VLOOKUP($B144,LEBT[#ALL],4)/VLOOKUP($B144,표2[#ALL],2)</f>
        <v>0</v>
      </c>
      <c r="AR144" s="328">
        <f>CS_PID!AR144/VLOOKUP($B144,LEBT[#ALL],4)/VLOOKUP($B144,표2[#ALL],2)</f>
        <v>0</v>
      </c>
      <c r="AS144" s="328">
        <f>CS_PID!AS144/VLOOKUP($B144,LEBT[#ALL],4)/VLOOKUP($B144,표2[#ALL],2)</f>
        <v>960.47889</v>
      </c>
    </row>
    <row r="145">
      <c r="A145" s="213" t="s">
        <v>90</v>
      </c>
      <c r="B145" s="214">
        <v>434.0</v>
      </c>
      <c r="C145" s="328">
        <f>CS_PID!C145/VLOOKUP($B145,LEBT[#ALL],4)/VLOOKUP($B145,표2[#ALL],2)</f>
        <v>0</v>
      </c>
      <c r="D145" s="328">
        <f>CS_PID!D145/VLOOKUP($B145,LEBT[#ALL],4)/VLOOKUP($B145,표2[#ALL],2)</f>
        <v>66.08584197</v>
      </c>
      <c r="E145" s="328">
        <f>CS_PID!E145/VLOOKUP($B145,LEBT[#ALL],4)/VLOOKUP($B145,표2[#ALL],2)</f>
        <v>0</v>
      </c>
      <c r="F145" s="328">
        <f>CS_PID!F145/VLOOKUP($B145,LEBT[#ALL],4)/VLOOKUP($B145,표2[#ALL],2)</f>
        <v>0</v>
      </c>
      <c r="G145" s="328">
        <f>CS_PID!G145/VLOOKUP($B145,LEBT[#ALL],4)/VLOOKUP($B145,표2[#ALL],2)</f>
        <v>0</v>
      </c>
      <c r="H145" s="328">
        <f>CS_PID!H145/VLOOKUP($B145,LEBT[#ALL],4)/VLOOKUP($B145,표2[#ALL],2)</f>
        <v>66.08584197</v>
      </c>
      <c r="I145" s="328">
        <f>CS_PID!I145/VLOOKUP($B145,LEBT[#ALL],4)/VLOOKUP($B145,표2[#ALL],2)</f>
        <v>0</v>
      </c>
      <c r="J145" s="328">
        <f>CS_PID!J145/VLOOKUP($B145,LEBT[#ALL],4)/VLOOKUP($B145,표2[#ALL],2)</f>
        <v>0</v>
      </c>
      <c r="K145" s="328">
        <f>CS_PID!K145/VLOOKUP($B145,LEBT[#ALL],4)/VLOOKUP($B145,표2[#ALL],2)</f>
        <v>66.08584197</v>
      </c>
      <c r="L145" s="328">
        <f>CS_PID!L145/VLOOKUP($B145,LEBT[#ALL],4)/VLOOKUP($B145,표2[#ALL],2)</f>
        <v>132.1716839</v>
      </c>
      <c r="M145" s="328">
        <f>CS_PID!M145/VLOOKUP($B145,LEBT[#ALL],4)/VLOOKUP($B145,표2[#ALL],2)</f>
        <v>66.08584197</v>
      </c>
      <c r="N145" s="328">
        <f>CS_PID!N145/VLOOKUP($B145,LEBT[#ALL],4)/VLOOKUP($B145,표2[#ALL],2)</f>
        <v>0</v>
      </c>
      <c r="O145" s="328">
        <f>CS_PID!O145/VLOOKUP($B145,LEBT[#ALL],4)/VLOOKUP($B145,표2[#ALL],2)</f>
        <v>66.08584197</v>
      </c>
      <c r="P145" s="328">
        <f>CS_PID!P145/VLOOKUP($B145,LEBT[#ALL],4)/VLOOKUP($B145,표2[#ALL],2)</f>
        <v>0</v>
      </c>
      <c r="Q145" s="328">
        <f>CS_PID!Q145/VLOOKUP($B145,LEBT[#ALL],4)/VLOOKUP($B145,표2[#ALL],2)</f>
        <v>132.1716839</v>
      </c>
      <c r="R145" s="328">
        <f>CS_PID!R145/VLOOKUP($B145,LEBT[#ALL],4)/VLOOKUP($B145,표2[#ALL],2)</f>
        <v>0</v>
      </c>
      <c r="S145" s="328">
        <f>CS_PID!S145/VLOOKUP($B145,LEBT[#ALL],4)/VLOOKUP($B145,표2[#ALL],2)</f>
        <v>66.08584197</v>
      </c>
      <c r="T145" s="328">
        <f>CS_PID!T145/VLOOKUP($B145,LEBT[#ALL],4)/VLOOKUP($B145,표2[#ALL],2)</f>
        <v>0</v>
      </c>
      <c r="U145" s="328">
        <f>CS_PID!U145/VLOOKUP($B145,LEBT[#ALL],4)/VLOOKUP($B145,표2[#ALL],2)</f>
        <v>0</v>
      </c>
      <c r="V145" s="328">
        <f>CS_PID!V145/VLOOKUP($B145,LEBT[#ALL],4)/VLOOKUP($B145,표2[#ALL],2)</f>
        <v>0</v>
      </c>
      <c r="W145" s="328">
        <f>CS_PID!W145/VLOOKUP($B145,LEBT[#ALL],4)/VLOOKUP($B145,표2[#ALL],2)</f>
        <v>0</v>
      </c>
      <c r="X145" s="328">
        <f>CS_PID!X145/VLOOKUP($B145,LEBT[#ALL],4)/VLOOKUP($B145,표2[#ALL],2)</f>
        <v>198.2575259</v>
      </c>
      <c r="Y145" s="328">
        <f>CS_PID!Y145/VLOOKUP($B145,LEBT[#ALL],4)/VLOOKUP($B145,표2[#ALL],2)</f>
        <v>0</v>
      </c>
      <c r="Z145" s="328">
        <f>CS_PID!Z145/VLOOKUP($B145,LEBT[#ALL],4)/VLOOKUP($B145,표2[#ALL],2)</f>
        <v>0</v>
      </c>
      <c r="AA145" s="328">
        <f>CS_PID!AA145/VLOOKUP($B145,LEBT[#ALL],4)/VLOOKUP($B145,표2[#ALL],2)</f>
        <v>0</v>
      </c>
      <c r="AB145" s="328">
        <f>CS_PID!AB145/VLOOKUP($B145,LEBT[#ALL],4)/VLOOKUP($B145,표2[#ALL],2)</f>
        <v>0</v>
      </c>
      <c r="AC145" s="328">
        <f>CS_PID!AC145/VLOOKUP($B145,LEBT[#ALL],4)/VLOOKUP($B145,표2[#ALL],2)</f>
        <v>66.08584197</v>
      </c>
      <c r="AD145" s="328">
        <f>CS_PID!AD145/VLOOKUP($B145,LEBT[#ALL],4)/VLOOKUP($B145,표2[#ALL],2)</f>
        <v>198.2575259</v>
      </c>
      <c r="AE145" s="328">
        <f>CS_PID!AE145/VLOOKUP($B145,LEBT[#ALL],4)/VLOOKUP($B145,표2[#ALL],2)</f>
        <v>0</v>
      </c>
      <c r="AF145" s="328">
        <f>CS_PID!AF145/VLOOKUP($B145,LEBT[#ALL],4)/VLOOKUP($B145,표2[#ALL],2)</f>
        <v>0</v>
      </c>
      <c r="AG145" s="328">
        <f>CS_PID!AG145/VLOOKUP($B145,LEBT[#ALL],4)/VLOOKUP($B145,표2[#ALL],2)</f>
        <v>0</v>
      </c>
      <c r="AH145" s="328">
        <f>CS_PID!AH145/VLOOKUP($B145,LEBT[#ALL],4)/VLOOKUP($B145,표2[#ALL],2)</f>
        <v>0</v>
      </c>
      <c r="AI145" s="328">
        <f>CS_PID!AI145/VLOOKUP($B145,LEBT[#ALL],4)/VLOOKUP($B145,표2[#ALL],2)</f>
        <v>0</v>
      </c>
      <c r="AJ145" s="328">
        <f>CS_PID!AJ145/VLOOKUP($B145,LEBT[#ALL],4)/VLOOKUP($B145,표2[#ALL],2)</f>
        <v>726.9442617</v>
      </c>
      <c r="AK145" s="328">
        <f>CS_PID!AK145/VLOOKUP($B145,LEBT[#ALL],4)/VLOOKUP($B145,표2[#ALL],2)</f>
        <v>132.1716839</v>
      </c>
      <c r="AL145" s="328">
        <f>CS_PID!AL145/VLOOKUP($B145,LEBT[#ALL],4)/VLOOKUP($B145,표2[#ALL],2)</f>
        <v>0</v>
      </c>
      <c r="AM145" s="328">
        <f>CS_PID!AM145/VLOOKUP($B145,LEBT[#ALL],4)/VLOOKUP($B145,표2[#ALL],2)</f>
        <v>0</v>
      </c>
      <c r="AN145" s="328">
        <f>CS_PID!AN145/VLOOKUP($B145,LEBT[#ALL],4)/VLOOKUP($B145,표2[#ALL],2)</f>
        <v>0</v>
      </c>
      <c r="AO145" s="328">
        <f>CS_PID!AO145/VLOOKUP($B145,LEBT[#ALL],4)/VLOOKUP($B145,표2[#ALL],2)</f>
        <v>396.5150518</v>
      </c>
      <c r="AP145" s="328">
        <f>CS_PID!AP145/VLOOKUP($B145,LEBT[#ALL],4)/VLOOKUP($B145,표2[#ALL],2)</f>
        <v>330.4292099</v>
      </c>
      <c r="AQ145" s="328">
        <f>CS_PID!AQ145/VLOOKUP($B145,LEBT[#ALL],4)/VLOOKUP($B145,표2[#ALL],2)</f>
        <v>0</v>
      </c>
      <c r="AR145" s="328">
        <f>CS_PID!AR145/VLOOKUP($B145,LEBT[#ALL],4)/VLOOKUP($B145,표2[#ALL],2)</f>
        <v>66.08584197</v>
      </c>
      <c r="AS145" s="328">
        <f>CS_PID!AS145/VLOOKUP($B145,LEBT[#ALL],4)/VLOOKUP($B145,표2[#ALL],2)</f>
        <v>528.6867358</v>
      </c>
    </row>
    <row r="146">
      <c r="A146" s="213" t="s">
        <v>90</v>
      </c>
      <c r="B146" s="214">
        <v>435.0</v>
      </c>
      <c r="C146" s="328">
        <f>CS_PID!C146/VLOOKUP($B146,LEBT[#ALL],4)/VLOOKUP($B146,표2[#ALL],2)</f>
        <v>0</v>
      </c>
      <c r="D146" s="328">
        <f>CS_PID!D146/VLOOKUP($B146,LEBT[#ALL],4)/VLOOKUP($B146,표2[#ALL],2)</f>
        <v>73.67047416</v>
      </c>
      <c r="E146" s="328">
        <f>CS_PID!E146/VLOOKUP($B146,LEBT[#ALL],4)/VLOOKUP($B146,표2[#ALL],2)</f>
        <v>0</v>
      </c>
      <c r="F146" s="328">
        <f>CS_PID!F146/VLOOKUP($B146,LEBT[#ALL],4)/VLOOKUP($B146,표2[#ALL],2)</f>
        <v>0</v>
      </c>
      <c r="G146" s="328">
        <f>CS_PID!G146/VLOOKUP($B146,LEBT[#ALL],4)/VLOOKUP($B146,표2[#ALL],2)</f>
        <v>0</v>
      </c>
      <c r="H146" s="328">
        <f>CS_PID!H146/VLOOKUP($B146,LEBT[#ALL],4)/VLOOKUP($B146,표2[#ALL],2)</f>
        <v>0</v>
      </c>
      <c r="I146" s="328">
        <f>CS_PID!I146/VLOOKUP($B146,LEBT[#ALL],4)/VLOOKUP($B146,표2[#ALL],2)</f>
        <v>0</v>
      </c>
      <c r="J146" s="328">
        <f>CS_PID!J146/VLOOKUP($B146,LEBT[#ALL],4)/VLOOKUP($B146,표2[#ALL],2)</f>
        <v>24.55682472</v>
      </c>
      <c r="K146" s="328">
        <f>CS_PID!K146/VLOOKUP($B146,LEBT[#ALL],4)/VLOOKUP($B146,표2[#ALL],2)</f>
        <v>24.55682472</v>
      </c>
      <c r="L146" s="328">
        <f>CS_PID!L146/VLOOKUP($B146,LEBT[#ALL],4)/VLOOKUP($B146,표2[#ALL],2)</f>
        <v>0</v>
      </c>
      <c r="M146" s="328">
        <f>CS_PID!M146/VLOOKUP($B146,LEBT[#ALL],4)/VLOOKUP($B146,표2[#ALL],2)</f>
        <v>0</v>
      </c>
      <c r="N146" s="328">
        <f>CS_PID!N146/VLOOKUP($B146,LEBT[#ALL],4)/VLOOKUP($B146,표2[#ALL],2)</f>
        <v>0</v>
      </c>
      <c r="O146" s="328">
        <f>CS_PID!O146/VLOOKUP($B146,LEBT[#ALL],4)/VLOOKUP($B146,표2[#ALL],2)</f>
        <v>0</v>
      </c>
      <c r="P146" s="328">
        <f>CS_PID!P146/VLOOKUP($B146,LEBT[#ALL],4)/VLOOKUP($B146,표2[#ALL],2)</f>
        <v>0</v>
      </c>
      <c r="Q146" s="328">
        <f>CS_PID!Q146/VLOOKUP($B146,LEBT[#ALL],4)/VLOOKUP($B146,표2[#ALL],2)</f>
        <v>49.11364944</v>
      </c>
      <c r="R146" s="328">
        <f>CS_PID!R146/VLOOKUP($B146,LEBT[#ALL],4)/VLOOKUP($B146,표2[#ALL],2)</f>
        <v>73.67047416</v>
      </c>
      <c r="S146" s="328">
        <f>CS_PID!S146/VLOOKUP($B146,LEBT[#ALL],4)/VLOOKUP($B146,표2[#ALL],2)</f>
        <v>0</v>
      </c>
      <c r="T146" s="328">
        <f>CS_PID!T146/VLOOKUP($B146,LEBT[#ALL],4)/VLOOKUP($B146,표2[#ALL],2)</f>
        <v>0</v>
      </c>
      <c r="U146" s="328">
        <f>CS_PID!U146/VLOOKUP($B146,LEBT[#ALL],4)/VLOOKUP($B146,표2[#ALL],2)</f>
        <v>0</v>
      </c>
      <c r="V146" s="328">
        <f>CS_PID!V146/VLOOKUP($B146,LEBT[#ALL],4)/VLOOKUP($B146,표2[#ALL],2)</f>
        <v>24.55682472</v>
      </c>
      <c r="W146" s="328">
        <f>CS_PID!W146/VLOOKUP($B146,LEBT[#ALL],4)/VLOOKUP($B146,표2[#ALL],2)</f>
        <v>98.22729888</v>
      </c>
      <c r="X146" s="328">
        <f>CS_PID!X146/VLOOKUP($B146,LEBT[#ALL],4)/VLOOKUP($B146,표2[#ALL],2)</f>
        <v>221.0114225</v>
      </c>
      <c r="Y146" s="328">
        <f>CS_PID!Y146/VLOOKUP($B146,LEBT[#ALL],4)/VLOOKUP($B146,표2[#ALL],2)</f>
        <v>49.11364944</v>
      </c>
      <c r="Z146" s="328">
        <f>CS_PID!Z146/VLOOKUP($B146,LEBT[#ALL],4)/VLOOKUP($B146,표2[#ALL],2)</f>
        <v>0</v>
      </c>
      <c r="AA146" s="328">
        <f>CS_PID!AA146/VLOOKUP($B146,LEBT[#ALL],4)/VLOOKUP($B146,표2[#ALL],2)</f>
        <v>0</v>
      </c>
      <c r="AB146" s="328">
        <f>CS_PID!AB146/VLOOKUP($B146,LEBT[#ALL],4)/VLOOKUP($B146,표2[#ALL],2)</f>
        <v>0</v>
      </c>
      <c r="AC146" s="328">
        <f>CS_PID!AC146/VLOOKUP($B146,LEBT[#ALL],4)/VLOOKUP($B146,표2[#ALL],2)</f>
        <v>122.7841236</v>
      </c>
      <c r="AD146" s="328">
        <f>CS_PID!AD146/VLOOKUP($B146,LEBT[#ALL],4)/VLOOKUP($B146,표2[#ALL],2)</f>
        <v>319.2387213</v>
      </c>
      <c r="AE146" s="328">
        <f>CS_PID!AE146/VLOOKUP($B146,LEBT[#ALL],4)/VLOOKUP($B146,표2[#ALL],2)</f>
        <v>122.7841236</v>
      </c>
      <c r="AF146" s="328">
        <f>CS_PID!AF146/VLOOKUP($B146,LEBT[#ALL],4)/VLOOKUP($B146,표2[#ALL],2)</f>
        <v>0</v>
      </c>
      <c r="AG146" s="328">
        <f>CS_PID!AG146/VLOOKUP($B146,LEBT[#ALL],4)/VLOOKUP($B146,표2[#ALL],2)</f>
        <v>0</v>
      </c>
      <c r="AH146" s="328">
        <f>CS_PID!AH146/VLOOKUP($B146,LEBT[#ALL],4)/VLOOKUP($B146,표2[#ALL],2)</f>
        <v>0</v>
      </c>
      <c r="AI146" s="328">
        <f>CS_PID!AI146/VLOOKUP($B146,LEBT[#ALL],4)/VLOOKUP($B146,표2[#ALL],2)</f>
        <v>49.11364944</v>
      </c>
      <c r="AJ146" s="328">
        <f>CS_PID!AJ146/VLOOKUP($B146,LEBT[#ALL],4)/VLOOKUP($B146,표2[#ALL],2)</f>
        <v>392.9091955</v>
      </c>
      <c r="AK146" s="328">
        <f>CS_PID!AK146/VLOOKUP($B146,LEBT[#ALL],4)/VLOOKUP($B146,표2[#ALL],2)</f>
        <v>24.55682472</v>
      </c>
      <c r="AL146" s="328">
        <f>CS_PID!AL146/VLOOKUP($B146,LEBT[#ALL],4)/VLOOKUP($B146,표2[#ALL],2)</f>
        <v>0</v>
      </c>
      <c r="AM146" s="328">
        <f>CS_PID!AM146/VLOOKUP($B146,LEBT[#ALL],4)/VLOOKUP($B146,표2[#ALL],2)</f>
        <v>0</v>
      </c>
      <c r="AN146" s="328">
        <f>CS_PID!AN146/VLOOKUP($B146,LEBT[#ALL],4)/VLOOKUP($B146,표2[#ALL],2)</f>
        <v>24.55682472</v>
      </c>
      <c r="AO146" s="328">
        <f>CS_PID!AO146/VLOOKUP($B146,LEBT[#ALL],4)/VLOOKUP($B146,표2[#ALL],2)</f>
        <v>319.2387213</v>
      </c>
      <c r="AP146" s="328">
        <f>CS_PID!AP146/VLOOKUP($B146,LEBT[#ALL],4)/VLOOKUP($B146,표2[#ALL],2)</f>
        <v>270.1250719</v>
      </c>
      <c r="AQ146" s="328">
        <f>CS_PID!AQ146/VLOOKUP($B146,LEBT[#ALL],4)/VLOOKUP($B146,표2[#ALL],2)</f>
        <v>0</v>
      </c>
      <c r="AR146" s="328">
        <f>CS_PID!AR146/VLOOKUP($B146,LEBT[#ALL],4)/VLOOKUP($B146,표2[#ALL],2)</f>
        <v>98.22729888</v>
      </c>
      <c r="AS146" s="328">
        <f>CS_PID!AS146/VLOOKUP($B146,LEBT[#ALL],4)/VLOOKUP($B146,표2[#ALL],2)</f>
        <v>589.3637933</v>
      </c>
    </row>
    <row r="147">
      <c r="A147" s="213" t="s">
        <v>90</v>
      </c>
      <c r="B147" s="214">
        <v>436.0</v>
      </c>
      <c r="C147" s="328">
        <f>CS_PID!C147/VLOOKUP($B147,LEBT[#ALL],4)/VLOOKUP($B147,표2[#ALL],2)</f>
        <v>0</v>
      </c>
      <c r="D147" s="328">
        <f>CS_PID!D147/VLOOKUP($B147,LEBT[#ALL],4)/VLOOKUP($B147,표2[#ALL],2)</f>
        <v>0</v>
      </c>
      <c r="E147" s="328">
        <f>CS_PID!E147/VLOOKUP($B147,LEBT[#ALL],4)/VLOOKUP($B147,표2[#ALL],2)</f>
        <v>0</v>
      </c>
      <c r="F147" s="328">
        <f>CS_PID!F147/VLOOKUP($B147,LEBT[#ALL],4)/VLOOKUP($B147,표2[#ALL],2)</f>
        <v>570.9602802</v>
      </c>
      <c r="G147" s="328">
        <f>CS_PID!G147/VLOOKUP($B147,LEBT[#ALL],4)/VLOOKUP($B147,표2[#ALL],2)</f>
        <v>0</v>
      </c>
      <c r="H147" s="328">
        <f>CS_PID!H147/VLOOKUP($B147,LEBT[#ALL],4)/VLOOKUP($B147,표2[#ALL],2)</f>
        <v>0</v>
      </c>
      <c r="I147" s="328">
        <f>CS_PID!I147/VLOOKUP($B147,LEBT[#ALL],4)/VLOOKUP($B147,표2[#ALL],2)</f>
        <v>0</v>
      </c>
      <c r="J147" s="328">
        <f>CS_PID!J147/VLOOKUP($B147,LEBT[#ALL],4)/VLOOKUP($B147,표2[#ALL],2)</f>
        <v>0</v>
      </c>
      <c r="K147" s="328">
        <f>CS_PID!K147/VLOOKUP($B147,LEBT[#ALL],4)/VLOOKUP($B147,표2[#ALL],2)</f>
        <v>0</v>
      </c>
      <c r="L147" s="328">
        <f>CS_PID!L147/VLOOKUP($B147,LEBT[#ALL],4)/VLOOKUP($B147,표2[#ALL],2)</f>
        <v>0</v>
      </c>
      <c r="M147" s="328">
        <f>CS_PID!M147/VLOOKUP($B147,LEBT[#ALL],4)/VLOOKUP($B147,표2[#ALL],2)</f>
        <v>0</v>
      </c>
      <c r="N147" s="328">
        <f>CS_PID!N147/VLOOKUP($B147,LEBT[#ALL],4)/VLOOKUP($B147,표2[#ALL],2)</f>
        <v>0</v>
      </c>
      <c r="O147" s="328">
        <f>CS_PID!O147/VLOOKUP($B147,LEBT[#ALL],4)/VLOOKUP($B147,표2[#ALL],2)</f>
        <v>0</v>
      </c>
      <c r="P147" s="328">
        <f>CS_PID!P147/VLOOKUP($B147,LEBT[#ALL],4)/VLOOKUP($B147,표2[#ALL],2)</f>
        <v>0</v>
      </c>
      <c r="Q147" s="328">
        <f>CS_PID!Q147/VLOOKUP($B147,LEBT[#ALL],4)/VLOOKUP($B147,표2[#ALL],2)</f>
        <v>570.9602802</v>
      </c>
      <c r="R147" s="328">
        <f>CS_PID!R147/VLOOKUP($B147,LEBT[#ALL],4)/VLOOKUP($B147,표2[#ALL],2)</f>
        <v>570.9602802</v>
      </c>
      <c r="S147" s="328">
        <f>CS_PID!S147/VLOOKUP($B147,LEBT[#ALL],4)/VLOOKUP($B147,표2[#ALL],2)</f>
        <v>0</v>
      </c>
      <c r="T147" s="328">
        <f>CS_PID!T147/VLOOKUP($B147,LEBT[#ALL],4)/VLOOKUP($B147,표2[#ALL],2)</f>
        <v>0</v>
      </c>
      <c r="U147" s="328">
        <f>CS_PID!U147/VLOOKUP($B147,LEBT[#ALL],4)/VLOOKUP($B147,표2[#ALL],2)</f>
        <v>0</v>
      </c>
      <c r="V147" s="328">
        <f>CS_PID!V147/VLOOKUP($B147,LEBT[#ALL],4)/VLOOKUP($B147,표2[#ALL],2)</f>
        <v>0</v>
      </c>
      <c r="W147" s="328">
        <f>CS_PID!W147/VLOOKUP($B147,LEBT[#ALL],4)/VLOOKUP($B147,표2[#ALL],2)</f>
        <v>0</v>
      </c>
      <c r="X147" s="328">
        <f>CS_PID!X147/VLOOKUP($B147,LEBT[#ALL],4)/VLOOKUP($B147,표2[#ALL],2)</f>
        <v>570.9602802</v>
      </c>
      <c r="Y147" s="328">
        <f>CS_PID!Y147/VLOOKUP($B147,LEBT[#ALL],4)/VLOOKUP($B147,표2[#ALL],2)</f>
        <v>570.9602802</v>
      </c>
      <c r="Z147" s="328">
        <f>CS_PID!Z147/VLOOKUP($B147,LEBT[#ALL],4)/VLOOKUP($B147,표2[#ALL],2)</f>
        <v>0</v>
      </c>
      <c r="AA147" s="328">
        <f>CS_PID!AA147/VLOOKUP($B147,LEBT[#ALL],4)/VLOOKUP($B147,표2[#ALL],2)</f>
        <v>0</v>
      </c>
      <c r="AB147" s="328">
        <f>CS_PID!AB147/VLOOKUP($B147,LEBT[#ALL],4)/VLOOKUP($B147,표2[#ALL],2)</f>
        <v>0</v>
      </c>
      <c r="AC147" s="328">
        <f>CS_PID!AC147/VLOOKUP($B147,LEBT[#ALL],4)/VLOOKUP($B147,표2[#ALL],2)</f>
        <v>570.9602802</v>
      </c>
      <c r="AD147" s="328">
        <f>CS_PID!AD147/VLOOKUP($B147,LEBT[#ALL],4)/VLOOKUP($B147,표2[#ALL],2)</f>
        <v>0</v>
      </c>
      <c r="AE147" s="328">
        <f>CS_PID!AE147/VLOOKUP($B147,LEBT[#ALL],4)/VLOOKUP($B147,표2[#ALL],2)</f>
        <v>570.9602802</v>
      </c>
      <c r="AF147" s="328">
        <f>CS_PID!AF147/VLOOKUP($B147,LEBT[#ALL],4)/VLOOKUP($B147,표2[#ALL],2)</f>
        <v>0</v>
      </c>
      <c r="AG147" s="328">
        <f>CS_PID!AG147/VLOOKUP($B147,LEBT[#ALL],4)/VLOOKUP($B147,표2[#ALL],2)</f>
        <v>0</v>
      </c>
      <c r="AH147" s="328">
        <f>CS_PID!AH147/VLOOKUP($B147,LEBT[#ALL],4)/VLOOKUP($B147,표2[#ALL],2)</f>
        <v>0</v>
      </c>
      <c r="AI147" s="328">
        <f>CS_PID!AI147/VLOOKUP($B147,LEBT[#ALL],4)/VLOOKUP($B147,표2[#ALL],2)</f>
        <v>0</v>
      </c>
      <c r="AJ147" s="328">
        <f>CS_PID!AJ147/VLOOKUP($B147,LEBT[#ALL],4)/VLOOKUP($B147,표2[#ALL],2)</f>
        <v>570.9602802</v>
      </c>
      <c r="AK147" s="328">
        <f>CS_PID!AK147/VLOOKUP($B147,LEBT[#ALL],4)/VLOOKUP($B147,표2[#ALL],2)</f>
        <v>0</v>
      </c>
      <c r="AL147" s="328">
        <f>CS_PID!AL147/VLOOKUP($B147,LEBT[#ALL],4)/VLOOKUP($B147,표2[#ALL],2)</f>
        <v>0</v>
      </c>
      <c r="AM147" s="328">
        <f>CS_PID!AM147/VLOOKUP($B147,LEBT[#ALL],4)/VLOOKUP($B147,표2[#ALL],2)</f>
        <v>0</v>
      </c>
      <c r="AN147" s="328">
        <f>CS_PID!AN147/VLOOKUP($B147,LEBT[#ALL],4)/VLOOKUP($B147,표2[#ALL],2)</f>
        <v>0</v>
      </c>
      <c r="AO147" s="328">
        <f>CS_PID!AO147/VLOOKUP($B147,LEBT[#ALL],4)/VLOOKUP($B147,표2[#ALL],2)</f>
        <v>0</v>
      </c>
      <c r="AP147" s="328">
        <f>CS_PID!AP147/VLOOKUP($B147,LEBT[#ALL],4)/VLOOKUP($B147,표2[#ALL],2)</f>
        <v>0</v>
      </c>
      <c r="AQ147" s="328">
        <f>CS_PID!AQ147/VLOOKUP($B147,LEBT[#ALL],4)/VLOOKUP($B147,표2[#ALL],2)</f>
        <v>0</v>
      </c>
      <c r="AR147" s="328">
        <f>CS_PID!AR147/VLOOKUP($B147,LEBT[#ALL],4)/VLOOKUP($B147,표2[#ALL],2)</f>
        <v>0</v>
      </c>
      <c r="AS147" s="328">
        <f>CS_PID!AS147/VLOOKUP($B147,LEBT[#ALL],4)/VLOOKUP($B147,표2[#ALL],2)</f>
        <v>570.9602802</v>
      </c>
    </row>
    <row r="148">
      <c r="A148" s="213" t="s">
        <v>90</v>
      </c>
      <c r="B148" s="214">
        <v>437.0</v>
      </c>
      <c r="C148" s="328">
        <f>CS_PID!C148/VLOOKUP($B148,LEBT[#ALL],4)/VLOOKUP($B148,표2[#ALL],2)</f>
        <v>0</v>
      </c>
      <c r="D148" s="328">
        <f>CS_PID!D148/VLOOKUP($B148,LEBT[#ALL],4)/VLOOKUP($B148,표2[#ALL],2)</f>
        <v>0</v>
      </c>
      <c r="E148" s="328">
        <f>CS_PID!E148/VLOOKUP($B148,LEBT[#ALL],4)/VLOOKUP($B148,표2[#ALL],2)</f>
        <v>0</v>
      </c>
      <c r="F148" s="328">
        <f>CS_PID!F148/VLOOKUP($B148,LEBT[#ALL],4)/VLOOKUP($B148,표2[#ALL],2)</f>
        <v>0</v>
      </c>
      <c r="G148" s="328">
        <f>CS_PID!G148/VLOOKUP($B148,LEBT[#ALL],4)/VLOOKUP($B148,표2[#ALL],2)</f>
        <v>0</v>
      </c>
      <c r="H148" s="328">
        <f>CS_PID!H148/VLOOKUP($B148,LEBT[#ALL],4)/VLOOKUP($B148,표2[#ALL],2)</f>
        <v>0</v>
      </c>
      <c r="I148" s="328">
        <f>CS_PID!I148/VLOOKUP($B148,LEBT[#ALL],4)/VLOOKUP($B148,표2[#ALL],2)</f>
        <v>0</v>
      </c>
      <c r="J148" s="328">
        <f>CS_PID!J148/VLOOKUP($B148,LEBT[#ALL],4)/VLOOKUP($B148,표2[#ALL],2)</f>
        <v>52.54860425</v>
      </c>
      <c r="K148" s="328">
        <f>CS_PID!K148/VLOOKUP($B148,LEBT[#ALL],4)/VLOOKUP($B148,표2[#ALL],2)</f>
        <v>105.0972085</v>
      </c>
      <c r="L148" s="328">
        <f>CS_PID!L148/VLOOKUP($B148,LEBT[#ALL],4)/VLOOKUP($B148,표2[#ALL],2)</f>
        <v>105.0972085</v>
      </c>
      <c r="M148" s="328">
        <f>CS_PID!M148/VLOOKUP($B148,LEBT[#ALL],4)/VLOOKUP($B148,표2[#ALL],2)</f>
        <v>0</v>
      </c>
      <c r="N148" s="328">
        <f>CS_PID!N148/VLOOKUP($B148,LEBT[#ALL],4)/VLOOKUP($B148,표2[#ALL],2)</f>
        <v>0</v>
      </c>
      <c r="O148" s="328">
        <f>CS_PID!O148/VLOOKUP($B148,LEBT[#ALL],4)/VLOOKUP($B148,표2[#ALL],2)</f>
        <v>0</v>
      </c>
      <c r="P148" s="328">
        <f>CS_PID!P148/VLOOKUP($B148,LEBT[#ALL],4)/VLOOKUP($B148,표2[#ALL],2)</f>
        <v>0</v>
      </c>
      <c r="Q148" s="328">
        <f>CS_PID!Q148/VLOOKUP($B148,LEBT[#ALL],4)/VLOOKUP($B148,표2[#ALL],2)</f>
        <v>52.54860425</v>
      </c>
      <c r="R148" s="328">
        <f>CS_PID!R148/VLOOKUP($B148,LEBT[#ALL],4)/VLOOKUP($B148,표2[#ALL],2)</f>
        <v>52.54860425</v>
      </c>
      <c r="S148" s="328">
        <f>CS_PID!S148/VLOOKUP($B148,LEBT[#ALL],4)/VLOOKUP($B148,표2[#ALL],2)</f>
        <v>52.54860425</v>
      </c>
      <c r="T148" s="328">
        <f>CS_PID!T148/VLOOKUP($B148,LEBT[#ALL],4)/VLOOKUP($B148,표2[#ALL],2)</f>
        <v>0</v>
      </c>
      <c r="U148" s="328">
        <f>CS_PID!U148/VLOOKUP($B148,LEBT[#ALL],4)/VLOOKUP($B148,표2[#ALL],2)</f>
        <v>0</v>
      </c>
      <c r="V148" s="328">
        <f>CS_PID!V148/VLOOKUP($B148,LEBT[#ALL],4)/VLOOKUP($B148,표2[#ALL],2)</f>
        <v>0</v>
      </c>
      <c r="W148" s="328">
        <f>CS_PID!W148/VLOOKUP($B148,LEBT[#ALL],4)/VLOOKUP($B148,표2[#ALL],2)</f>
        <v>105.0972085</v>
      </c>
      <c r="X148" s="328">
        <f>CS_PID!X148/VLOOKUP($B148,LEBT[#ALL],4)/VLOOKUP($B148,표2[#ALL],2)</f>
        <v>262.7430212</v>
      </c>
      <c r="Y148" s="328">
        <f>CS_PID!Y148/VLOOKUP($B148,LEBT[#ALL],4)/VLOOKUP($B148,표2[#ALL],2)</f>
        <v>52.54860425</v>
      </c>
      <c r="Z148" s="328">
        <f>CS_PID!Z148/VLOOKUP($B148,LEBT[#ALL],4)/VLOOKUP($B148,표2[#ALL],2)</f>
        <v>0</v>
      </c>
      <c r="AA148" s="328">
        <f>CS_PID!AA148/VLOOKUP($B148,LEBT[#ALL],4)/VLOOKUP($B148,표2[#ALL],2)</f>
        <v>0</v>
      </c>
      <c r="AB148" s="328">
        <f>CS_PID!AB148/VLOOKUP($B148,LEBT[#ALL],4)/VLOOKUP($B148,표2[#ALL],2)</f>
        <v>0</v>
      </c>
      <c r="AC148" s="328">
        <f>CS_PID!AC148/VLOOKUP($B148,LEBT[#ALL],4)/VLOOKUP($B148,표2[#ALL],2)</f>
        <v>0</v>
      </c>
      <c r="AD148" s="328">
        <f>CS_PID!AD148/VLOOKUP($B148,LEBT[#ALL],4)/VLOOKUP($B148,표2[#ALL],2)</f>
        <v>105.0972085</v>
      </c>
      <c r="AE148" s="328">
        <f>CS_PID!AE148/VLOOKUP($B148,LEBT[#ALL],4)/VLOOKUP($B148,표2[#ALL],2)</f>
        <v>105.0972085</v>
      </c>
      <c r="AF148" s="328">
        <f>CS_PID!AF148/VLOOKUP($B148,LEBT[#ALL],4)/VLOOKUP($B148,표2[#ALL],2)</f>
        <v>0</v>
      </c>
      <c r="AG148" s="328">
        <f>CS_PID!AG148/VLOOKUP($B148,LEBT[#ALL],4)/VLOOKUP($B148,표2[#ALL],2)</f>
        <v>0</v>
      </c>
      <c r="AH148" s="328">
        <f>CS_PID!AH148/VLOOKUP($B148,LEBT[#ALL],4)/VLOOKUP($B148,표2[#ALL],2)</f>
        <v>0</v>
      </c>
      <c r="AI148" s="328">
        <f>CS_PID!AI148/VLOOKUP($B148,LEBT[#ALL],4)/VLOOKUP($B148,표2[#ALL],2)</f>
        <v>52.54860425</v>
      </c>
      <c r="AJ148" s="328">
        <f>CS_PID!AJ148/VLOOKUP($B148,LEBT[#ALL],4)/VLOOKUP($B148,표2[#ALL],2)</f>
        <v>420.388834</v>
      </c>
      <c r="AK148" s="328">
        <f>CS_PID!AK148/VLOOKUP($B148,LEBT[#ALL],4)/VLOOKUP($B148,표2[#ALL],2)</f>
        <v>105.0972085</v>
      </c>
      <c r="AL148" s="328">
        <f>CS_PID!AL148/VLOOKUP($B148,LEBT[#ALL],4)/VLOOKUP($B148,표2[#ALL],2)</f>
        <v>0</v>
      </c>
      <c r="AM148" s="328">
        <f>CS_PID!AM148/VLOOKUP($B148,LEBT[#ALL],4)/VLOOKUP($B148,표2[#ALL],2)</f>
        <v>0</v>
      </c>
      <c r="AN148" s="328">
        <f>CS_PID!AN148/VLOOKUP($B148,LEBT[#ALL],4)/VLOOKUP($B148,표2[#ALL],2)</f>
        <v>0</v>
      </c>
      <c r="AO148" s="328">
        <f>CS_PID!AO148/VLOOKUP($B148,LEBT[#ALL],4)/VLOOKUP($B148,표2[#ALL],2)</f>
        <v>578.0346467</v>
      </c>
      <c r="AP148" s="328">
        <f>CS_PID!AP148/VLOOKUP($B148,LEBT[#ALL],4)/VLOOKUP($B148,표2[#ALL],2)</f>
        <v>472.9374382</v>
      </c>
      <c r="AQ148" s="328">
        <f>CS_PID!AQ148/VLOOKUP($B148,LEBT[#ALL],4)/VLOOKUP($B148,표2[#ALL],2)</f>
        <v>0</v>
      </c>
      <c r="AR148" s="328">
        <f>CS_PID!AR148/VLOOKUP($B148,LEBT[#ALL],4)/VLOOKUP($B148,표2[#ALL],2)</f>
        <v>0</v>
      </c>
      <c r="AS148" s="328">
        <f>CS_PID!AS148/VLOOKUP($B148,LEBT[#ALL],4)/VLOOKUP($B148,표2[#ALL],2)</f>
        <v>420.388834</v>
      </c>
    </row>
    <row r="149">
      <c r="A149" s="213" t="s">
        <v>90</v>
      </c>
      <c r="B149" s="214">
        <v>438.0</v>
      </c>
      <c r="C149" s="328">
        <f>CS_PID!C149/VLOOKUP($B149,LEBT[#ALL],4)/VLOOKUP($B149,표2[#ALL],2)</f>
        <v>85.3329415</v>
      </c>
      <c r="D149" s="328">
        <f>CS_PID!D149/VLOOKUP($B149,LEBT[#ALL],4)/VLOOKUP($B149,표2[#ALL],2)</f>
        <v>0</v>
      </c>
      <c r="E149" s="328">
        <f>CS_PID!E149/VLOOKUP($B149,LEBT[#ALL],4)/VLOOKUP($B149,표2[#ALL],2)</f>
        <v>0</v>
      </c>
      <c r="F149" s="328">
        <f>CS_PID!F149/VLOOKUP($B149,LEBT[#ALL],4)/VLOOKUP($B149,표2[#ALL],2)</f>
        <v>0</v>
      </c>
      <c r="G149" s="328">
        <f>CS_PID!G149/VLOOKUP($B149,LEBT[#ALL],4)/VLOOKUP($B149,표2[#ALL],2)</f>
        <v>0</v>
      </c>
      <c r="H149" s="328">
        <f>CS_PID!H149/VLOOKUP($B149,LEBT[#ALL],4)/VLOOKUP($B149,표2[#ALL],2)</f>
        <v>0</v>
      </c>
      <c r="I149" s="328">
        <f>CS_PID!I149/VLOOKUP($B149,LEBT[#ALL],4)/VLOOKUP($B149,표2[#ALL],2)</f>
        <v>0</v>
      </c>
      <c r="J149" s="328">
        <f>CS_PID!J149/VLOOKUP($B149,LEBT[#ALL],4)/VLOOKUP($B149,표2[#ALL],2)</f>
        <v>0</v>
      </c>
      <c r="K149" s="328">
        <f>CS_PID!K149/VLOOKUP($B149,LEBT[#ALL],4)/VLOOKUP($B149,표2[#ALL],2)</f>
        <v>42.66647075</v>
      </c>
      <c r="L149" s="328">
        <f>CS_PID!L149/VLOOKUP($B149,LEBT[#ALL],4)/VLOOKUP($B149,표2[#ALL],2)</f>
        <v>127.9994122</v>
      </c>
      <c r="M149" s="328">
        <f>CS_PID!M149/VLOOKUP($B149,LEBT[#ALL],4)/VLOOKUP($B149,표2[#ALL],2)</f>
        <v>0</v>
      </c>
      <c r="N149" s="328">
        <f>CS_PID!N149/VLOOKUP($B149,LEBT[#ALL],4)/VLOOKUP($B149,표2[#ALL],2)</f>
        <v>0</v>
      </c>
      <c r="O149" s="328">
        <f>CS_PID!O149/VLOOKUP($B149,LEBT[#ALL],4)/VLOOKUP($B149,표2[#ALL],2)</f>
        <v>0</v>
      </c>
      <c r="P149" s="328">
        <f>CS_PID!P149/VLOOKUP($B149,LEBT[#ALL],4)/VLOOKUP($B149,표2[#ALL],2)</f>
        <v>42.66647075</v>
      </c>
      <c r="Q149" s="328">
        <f>CS_PID!Q149/VLOOKUP($B149,LEBT[#ALL],4)/VLOOKUP($B149,표2[#ALL],2)</f>
        <v>127.9994122</v>
      </c>
      <c r="R149" s="328">
        <f>CS_PID!R149/VLOOKUP($B149,LEBT[#ALL],4)/VLOOKUP($B149,표2[#ALL],2)</f>
        <v>127.9994122</v>
      </c>
      <c r="S149" s="328">
        <f>CS_PID!S149/VLOOKUP($B149,LEBT[#ALL],4)/VLOOKUP($B149,표2[#ALL],2)</f>
        <v>42.66647075</v>
      </c>
      <c r="T149" s="328">
        <f>CS_PID!T149/VLOOKUP($B149,LEBT[#ALL],4)/VLOOKUP($B149,표2[#ALL],2)</f>
        <v>0</v>
      </c>
      <c r="U149" s="328">
        <f>CS_PID!U149/VLOOKUP($B149,LEBT[#ALL],4)/VLOOKUP($B149,표2[#ALL],2)</f>
        <v>0</v>
      </c>
      <c r="V149" s="328">
        <f>CS_PID!V149/VLOOKUP($B149,LEBT[#ALL],4)/VLOOKUP($B149,표2[#ALL],2)</f>
        <v>0</v>
      </c>
      <c r="W149" s="328">
        <f>CS_PID!W149/VLOOKUP($B149,LEBT[#ALL],4)/VLOOKUP($B149,표2[#ALL],2)</f>
        <v>127.9994122</v>
      </c>
      <c r="X149" s="328">
        <f>CS_PID!X149/VLOOKUP($B149,LEBT[#ALL],4)/VLOOKUP($B149,표2[#ALL],2)</f>
        <v>170.665883</v>
      </c>
      <c r="Y149" s="328">
        <f>CS_PID!Y149/VLOOKUP($B149,LEBT[#ALL],4)/VLOOKUP($B149,표2[#ALL],2)</f>
        <v>127.9994122</v>
      </c>
      <c r="Z149" s="328">
        <f>CS_PID!Z149/VLOOKUP($B149,LEBT[#ALL],4)/VLOOKUP($B149,표2[#ALL],2)</f>
        <v>0</v>
      </c>
      <c r="AA149" s="328">
        <f>CS_PID!AA149/VLOOKUP($B149,LEBT[#ALL],4)/VLOOKUP($B149,표2[#ALL],2)</f>
        <v>0</v>
      </c>
      <c r="AB149" s="328">
        <f>CS_PID!AB149/VLOOKUP($B149,LEBT[#ALL],4)/VLOOKUP($B149,표2[#ALL],2)</f>
        <v>0</v>
      </c>
      <c r="AC149" s="328">
        <f>CS_PID!AC149/VLOOKUP($B149,LEBT[#ALL],4)/VLOOKUP($B149,표2[#ALL],2)</f>
        <v>255.9988245</v>
      </c>
      <c r="AD149" s="328">
        <f>CS_PID!AD149/VLOOKUP($B149,LEBT[#ALL],4)/VLOOKUP($B149,표2[#ALL],2)</f>
        <v>170.665883</v>
      </c>
      <c r="AE149" s="328">
        <f>CS_PID!AE149/VLOOKUP($B149,LEBT[#ALL],4)/VLOOKUP($B149,표2[#ALL],2)</f>
        <v>170.665883</v>
      </c>
      <c r="AF149" s="328">
        <f>CS_PID!AF149/VLOOKUP($B149,LEBT[#ALL],4)/VLOOKUP($B149,표2[#ALL],2)</f>
        <v>0</v>
      </c>
      <c r="AG149" s="328">
        <f>CS_PID!AG149/VLOOKUP($B149,LEBT[#ALL],4)/VLOOKUP($B149,표2[#ALL],2)</f>
        <v>0</v>
      </c>
      <c r="AH149" s="328">
        <f>CS_PID!AH149/VLOOKUP($B149,LEBT[#ALL],4)/VLOOKUP($B149,표2[#ALL],2)</f>
        <v>0</v>
      </c>
      <c r="AI149" s="328">
        <f>CS_PID!AI149/VLOOKUP($B149,LEBT[#ALL],4)/VLOOKUP($B149,표2[#ALL],2)</f>
        <v>0</v>
      </c>
      <c r="AJ149" s="328">
        <f>CS_PID!AJ149/VLOOKUP($B149,LEBT[#ALL],4)/VLOOKUP($B149,표2[#ALL],2)</f>
        <v>298.6652952</v>
      </c>
      <c r="AK149" s="328">
        <f>CS_PID!AK149/VLOOKUP($B149,LEBT[#ALL],4)/VLOOKUP($B149,표2[#ALL],2)</f>
        <v>213.3323537</v>
      </c>
      <c r="AL149" s="328">
        <f>CS_PID!AL149/VLOOKUP($B149,LEBT[#ALL],4)/VLOOKUP($B149,표2[#ALL],2)</f>
        <v>0</v>
      </c>
      <c r="AM149" s="328">
        <f>CS_PID!AM149/VLOOKUP($B149,LEBT[#ALL],4)/VLOOKUP($B149,표2[#ALL],2)</f>
        <v>0</v>
      </c>
      <c r="AN149" s="328">
        <f>CS_PID!AN149/VLOOKUP($B149,LEBT[#ALL],4)/VLOOKUP($B149,표2[#ALL],2)</f>
        <v>0</v>
      </c>
      <c r="AO149" s="328">
        <f>CS_PID!AO149/VLOOKUP($B149,LEBT[#ALL],4)/VLOOKUP($B149,표2[#ALL],2)</f>
        <v>298.6652952</v>
      </c>
      <c r="AP149" s="328">
        <f>CS_PID!AP149/VLOOKUP($B149,LEBT[#ALL],4)/VLOOKUP($B149,표2[#ALL],2)</f>
        <v>341.331766</v>
      </c>
      <c r="AQ149" s="328">
        <f>CS_PID!AQ149/VLOOKUP($B149,LEBT[#ALL],4)/VLOOKUP($B149,표2[#ALL],2)</f>
        <v>0</v>
      </c>
      <c r="AR149" s="328">
        <f>CS_PID!AR149/VLOOKUP($B149,LEBT[#ALL],4)/VLOOKUP($B149,표2[#ALL],2)</f>
        <v>0</v>
      </c>
      <c r="AS149" s="328">
        <f>CS_PID!AS149/VLOOKUP($B149,LEBT[#ALL],4)/VLOOKUP($B149,표2[#ALL],2)</f>
        <v>426.6647075</v>
      </c>
    </row>
    <row r="150">
      <c r="A150" s="213" t="s">
        <v>90</v>
      </c>
      <c r="B150" s="214">
        <v>439.0</v>
      </c>
      <c r="C150" s="328">
        <f>CS_PID!C150/VLOOKUP($B150,LEBT[#ALL],4)/VLOOKUP($B150,표2[#ALL],2)</f>
        <v>0</v>
      </c>
      <c r="D150" s="328">
        <f>CS_PID!D150/VLOOKUP($B150,LEBT[#ALL],4)/VLOOKUP($B150,표2[#ALL],2)</f>
        <v>97.55670453</v>
      </c>
      <c r="E150" s="328">
        <f>CS_PID!E150/VLOOKUP($B150,LEBT[#ALL],4)/VLOOKUP($B150,표2[#ALL],2)</f>
        <v>73.1675284</v>
      </c>
      <c r="F150" s="328">
        <f>CS_PID!F150/VLOOKUP($B150,LEBT[#ALL],4)/VLOOKUP($B150,표2[#ALL],2)</f>
        <v>0</v>
      </c>
      <c r="G150" s="328">
        <f>CS_PID!G150/VLOOKUP($B150,LEBT[#ALL],4)/VLOOKUP($B150,표2[#ALL],2)</f>
        <v>0</v>
      </c>
      <c r="H150" s="328">
        <f>CS_PID!H150/VLOOKUP($B150,LEBT[#ALL],4)/VLOOKUP($B150,표2[#ALL],2)</f>
        <v>0</v>
      </c>
      <c r="I150" s="328">
        <f>CS_PID!I150/VLOOKUP($B150,LEBT[#ALL],4)/VLOOKUP($B150,표2[#ALL],2)</f>
        <v>0</v>
      </c>
      <c r="J150" s="328">
        <f>CS_PID!J150/VLOOKUP($B150,LEBT[#ALL],4)/VLOOKUP($B150,표2[#ALL],2)</f>
        <v>24.38917613</v>
      </c>
      <c r="K150" s="328">
        <f>CS_PID!K150/VLOOKUP($B150,LEBT[#ALL],4)/VLOOKUP($B150,표2[#ALL],2)</f>
        <v>48.77835226</v>
      </c>
      <c r="L150" s="328">
        <f>CS_PID!L150/VLOOKUP($B150,LEBT[#ALL],4)/VLOOKUP($B150,표2[#ALL],2)</f>
        <v>24.38917613</v>
      </c>
      <c r="M150" s="328">
        <f>CS_PID!M150/VLOOKUP($B150,LEBT[#ALL],4)/VLOOKUP($B150,표2[#ALL],2)</f>
        <v>0</v>
      </c>
      <c r="N150" s="328">
        <f>CS_PID!N150/VLOOKUP($B150,LEBT[#ALL],4)/VLOOKUP($B150,표2[#ALL],2)</f>
        <v>0</v>
      </c>
      <c r="O150" s="328">
        <f>CS_PID!O150/VLOOKUP($B150,LEBT[#ALL],4)/VLOOKUP($B150,표2[#ALL],2)</f>
        <v>0</v>
      </c>
      <c r="P150" s="328">
        <f>CS_PID!P150/VLOOKUP($B150,LEBT[#ALL],4)/VLOOKUP($B150,표2[#ALL],2)</f>
        <v>0</v>
      </c>
      <c r="Q150" s="328">
        <f>CS_PID!Q150/VLOOKUP($B150,LEBT[#ALL],4)/VLOOKUP($B150,표2[#ALL],2)</f>
        <v>97.55670453</v>
      </c>
      <c r="R150" s="328">
        <f>CS_PID!R150/VLOOKUP($B150,LEBT[#ALL],4)/VLOOKUP($B150,표2[#ALL],2)</f>
        <v>73.1675284</v>
      </c>
      <c r="S150" s="328">
        <f>CS_PID!S150/VLOOKUP($B150,LEBT[#ALL],4)/VLOOKUP($B150,표2[#ALL],2)</f>
        <v>48.77835226</v>
      </c>
      <c r="T150" s="328">
        <f>CS_PID!T150/VLOOKUP($B150,LEBT[#ALL],4)/VLOOKUP($B150,표2[#ALL],2)</f>
        <v>0</v>
      </c>
      <c r="U150" s="328">
        <f>CS_PID!U150/VLOOKUP($B150,LEBT[#ALL],4)/VLOOKUP($B150,표2[#ALL],2)</f>
        <v>0</v>
      </c>
      <c r="V150" s="328">
        <f>CS_PID!V150/VLOOKUP($B150,LEBT[#ALL],4)/VLOOKUP($B150,표2[#ALL],2)</f>
        <v>0</v>
      </c>
      <c r="W150" s="328">
        <f>CS_PID!W150/VLOOKUP($B150,LEBT[#ALL],4)/VLOOKUP($B150,표2[#ALL],2)</f>
        <v>97.55670453</v>
      </c>
      <c r="X150" s="328">
        <f>CS_PID!X150/VLOOKUP($B150,LEBT[#ALL],4)/VLOOKUP($B150,표2[#ALL],2)</f>
        <v>219.5025852</v>
      </c>
      <c r="Y150" s="328">
        <f>CS_PID!Y150/VLOOKUP($B150,LEBT[#ALL],4)/VLOOKUP($B150,표2[#ALL],2)</f>
        <v>48.77835226</v>
      </c>
      <c r="Z150" s="328">
        <f>CS_PID!Z150/VLOOKUP($B150,LEBT[#ALL],4)/VLOOKUP($B150,표2[#ALL],2)</f>
        <v>0</v>
      </c>
      <c r="AA150" s="328">
        <f>CS_PID!AA150/VLOOKUP($B150,LEBT[#ALL],4)/VLOOKUP($B150,표2[#ALL],2)</f>
        <v>0</v>
      </c>
      <c r="AB150" s="328">
        <f>CS_PID!AB150/VLOOKUP($B150,LEBT[#ALL],4)/VLOOKUP($B150,표2[#ALL],2)</f>
        <v>24.38917613</v>
      </c>
      <c r="AC150" s="328">
        <f>CS_PID!AC150/VLOOKUP($B150,LEBT[#ALL],4)/VLOOKUP($B150,표2[#ALL],2)</f>
        <v>121.9458807</v>
      </c>
      <c r="AD150" s="328">
        <f>CS_PID!AD150/VLOOKUP($B150,LEBT[#ALL],4)/VLOOKUP($B150,표2[#ALL],2)</f>
        <v>97.55670453</v>
      </c>
      <c r="AE150" s="328">
        <f>CS_PID!AE150/VLOOKUP($B150,LEBT[#ALL],4)/VLOOKUP($B150,표2[#ALL],2)</f>
        <v>48.77835226</v>
      </c>
      <c r="AF150" s="328">
        <f>CS_PID!AF150/VLOOKUP($B150,LEBT[#ALL],4)/VLOOKUP($B150,표2[#ALL],2)</f>
        <v>0</v>
      </c>
      <c r="AG150" s="328">
        <f>CS_PID!AG150/VLOOKUP($B150,LEBT[#ALL],4)/VLOOKUP($B150,표2[#ALL],2)</f>
        <v>0</v>
      </c>
      <c r="AH150" s="328">
        <f>CS_PID!AH150/VLOOKUP($B150,LEBT[#ALL],4)/VLOOKUP($B150,표2[#ALL],2)</f>
        <v>0</v>
      </c>
      <c r="AI150" s="328">
        <f>CS_PID!AI150/VLOOKUP($B150,LEBT[#ALL],4)/VLOOKUP($B150,표2[#ALL],2)</f>
        <v>48.77835226</v>
      </c>
      <c r="AJ150" s="328">
        <f>CS_PID!AJ150/VLOOKUP($B150,LEBT[#ALL],4)/VLOOKUP($B150,표2[#ALL],2)</f>
        <v>439.0051704</v>
      </c>
      <c r="AK150" s="328">
        <f>CS_PID!AK150/VLOOKUP($B150,LEBT[#ALL],4)/VLOOKUP($B150,표2[#ALL],2)</f>
        <v>73.1675284</v>
      </c>
      <c r="AL150" s="328">
        <f>CS_PID!AL150/VLOOKUP($B150,LEBT[#ALL],4)/VLOOKUP($B150,표2[#ALL],2)</f>
        <v>0</v>
      </c>
      <c r="AM150" s="328">
        <f>CS_PID!AM150/VLOOKUP($B150,LEBT[#ALL],4)/VLOOKUP($B150,표2[#ALL],2)</f>
        <v>0</v>
      </c>
      <c r="AN150" s="328">
        <f>CS_PID!AN150/VLOOKUP($B150,LEBT[#ALL],4)/VLOOKUP($B150,표2[#ALL],2)</f>
        <v>48.77835226</v>
      </c>
      <c r="AO150" s="328">
        <f>CS_PID!AO150/VLOOKUP($B150,LEBT[#ALL],4)/VLOOKUP($B150,표2[#ALL],2)</f>
        <v>463.3943465</v>
      </c>
      <c r="AP150" s="328">
        <f>CS_PID!AP150/VLOOKUP($B150,LEBT[#ALL],4)/VLOOKUP($B150,표2[#ALL],2)</f>
        <v>341.4484659</v>
      </c>
      <c r="AQ150" s="328">
        <f>CS_PID!AQ150/VLOOKUP($B150,LEBT[#ALL],4)/VLOOKUP($B150,표2[#ALL],2)</f>
        <v>0</v>
      </c>
      <c r="AR150" s="328">
        <f>CS_PID!AR150/VLOOKUP($B150,LEBT[#ALL],4)/VLOOKUP($B150,표2[#ALL],2)</f>
        <v>0</v>
      </c>
      <c r="AS150" s="328">
        <f>CS_PID!AS150/VLOOKUP($B150,LEBT[#ALL],4)/VLOOKUP($B150,표2[#ALL],2)</f>
        <v>414.6159943</v>
      </c>
    </row>
    <row r="151">
      <c r="A151" s="217" t="s">
        <v>90</v>
      </c>
      <c r="B151" s="218">
        <v>440.0</v>
      </c>
      <c r="C151" s="329">
        <f>CS_PID!C151/VLOOKUP($B151,LEBT[#ALL],4)/VLOOKUP($B151,표2[#ALL],2)</f>
        <v>0</v>
      </c>
      <c r="D151" s="329">
        <f>CS_PID!D151/VLOOKUP($B151,LEBT[#ALL],4)/VLOOKUP($B151,표2[#ALL],2)</f>
        <v>76.45776704</v>
      </c>
      <c r="E151" s="329">
        <f>CS_PID!E151/VLOOKUP($B151,LEBT[#ALL],4)/VLOOKUP($B151,표2[#ALL],2)</f>
        <v>0</v>
      </c>
      <c r="F151" s="329">
        <f>CS_PID!F151/VLOOKUP($B151,LEBT[#ALL],4)/VLOOKUP($B151,표2[#ALL],2)</f>
        <v>0</v>
      </c>
      <c r="G151" s="329">
        <f>CS_PID!G151/VLOOKUP($B151,LEBT[#ALL],4)/VLOOKUP($B151,표2[#ALL],2)</f>
        <v>0</v>
      </c>
      <c r="H151" s="329">
        <f>CS_PID!H151/VLOOKUP($B151,LEBT[#ALL],4)/VLOOKUP($B151,표2[#ALL],2)</f>
        <v>0</v>
      </c>
      <c r="I151" s="329">
        <f>CS_PID!I151/VLOOKUP($B151,LEBT[#ALL],4)/VLOOKUP($B151,표2[#ALL],2)</f>
        <v>0</v>
      </c>
      <c r="J151" s="329">
        <f>CS_PID!J151/VLOOKUP($B151,LEBT[#ALL],4)/VLOOKUP($B151,표2[#ALL],2)</f>
        <v>25.48592235</v>
      </c>
      <c r="K151" s="329">
        <f>CS_PID!K151/VLOOKUP($B151,LEBT[#ALL],4)/VLOOKUP($B151,표2[#ALL],2)</f>
        <v>0</v>
      </c>
      <c r="L151" s="329">
        <f>CS_PID!L151/VLOOKUP($B151,LEBT[#ALL],4)/VLOOKUP($B151,표2[#ALL],2)</f>
        <v>76.45776704</v>
      </c>
      <c r="M151" s="329">
        <f>CS_PID!M151/VLOOKUP($B151,LEBT[#ALL],4)/VLOOKUP($B151,표2[#ALL],2)</f>
        <v>0</v>
      </c>
      <c r="N151" s="329">
        <f>CS_PID!N151/VLOOKUP($B151,LEBT[#ALL],4)/VLOOKUP($B151,표2[#ALL],2)</f>
        <v>0</v>
      </c>
      <c r="O151" s="329">
        <f>CS_PID!O151/VLOOKUP($B151,LEBT[#ALL],4)/VLOOKUP($B151,표2[#ALL],2)</f>
        <v>0</v>
      </c>
      <c r="P151" s="329">
        <f>CS_PID!P151/VLOOKUP($B151,LEBT[#ALL],4)/VLOOKUP($B151,표2[#ALL],2)</f>
        <v>0</v>
      </c>
      <c r="Q151" s="329">
        <f>CS_PID!Q151/VLOOKUP($B151,LEBT[#ALL],4)/VLOOKUP($B151,표2[#ALL],2)</f>
        <v>152.9155341</v>
      </c>
      <c r="R151" s="329">
        <f>CS_PID!R151/VLOOKUP($B151,LEBT[#ALL],4)/VLOOKUP($B151,표2[#ALL],2)</f>
        <v>0</v>
      </c>
      <c r="S151" s="329">
        <f>CS_PID!S151/VLOOKUP($B151,LEBT[#ALL],4)/VLOOKUP($B151,표2[#ALL],2)</f>
        <v>50.9718447</v>
      </c>
      <c r="T151" s="329">
        <f>CS_PID!T151/VLOOKUP($B151,LEBT[#ALL],4)/VLOOKUP($B151,표2[#ALL],2)</f>
        <v>0</v>
      </c>
      <c r="U151" s="329">
        <f>CS_PID!U151/VLOOKUP($B151,LEBT[#ALL],4)/VLOOKUP($B151,표2[#ALL],2)</f>
        <v>0</v>
      </c>
      <c r="V151" s="329">
        <f>CS_PID!V151/VLOOKUP($B151,LEBT[#ALL],4)/VLOOKUP($B151,표2[#ALL],2)</f>
        <v>0</v>
      </c>
      <c r="W151" s="329">
        <f>CS_PID!W151/VLOOKUP($B151,LEBT[#ALL],4)/VLOOKUP($B151,표2[#ALL],2)</f>
        <v>101.9436894</v>
      </c>
      <c r="X151" s="329">
        <f>CS_PID!X151/VLOOKUP($B151,LEBT[#ALL],4)/VLOOKUP($B151,표2[#ALL],2)</f>
        <v>203.8873788</v>
      </c>
      <c r="Y151" s="329">
        <f>CS_PID!Y151/VLOOKUP($B151,LEBT[#ALL],4)/VLOOKUP($B151,표2[#ALL],2)</f>
        <v>101.9436894</v>
      </c>
      <c r="Z151" s="329">
        <f>CS_PID!Z151/VLOOKUP($B151,LEBT[#ALL],4)/VLOOKUP($B151,표2[#ALL],2)</f>
        <v>0</v>
      </c>
      <c r="AA151" s="329">
        <f>CS_PID!AA151/VLOOKUP($B151,LEBT[#ALL],4)/VLOOKUP($B151,표2[#ALL],2)</f>
        <v>0</v>
      </c>
      <c r="AB151" s="329">
        <f>CS_PID!AB151/VLOOKUP($B151,LEBT[#ALL],4)/VLOOKUP($B151,표2[#ALL],2)</f>
        <v>0</v>
      </c>
      <c r="AC151" s="329">
        <f>CS_PID!AC151/VLOOKUP($B151,LEBT[#ALL],4)/VLOOKUP($B151,표2[#ALL],2)</f>
        <v>101.9436894</v>
      </c>
      <c r="AD151" s="329">
        <f>CS_PID!AD151/VLOOKUP($B151,LEBT[#ALL],4)/VLOOKUP($B151,표2[#ALL],2)</f>
        <v>152.9155341</v>
      </c>
      <c r="AE151" s="329">
        <f>CS_PID!AE151/VLOOKUP($B151,LEBT[#ALL],4)/VLOOKUP($B151,표2[#ALL],2)</f>
        <v>76.45776704</v>
      </c>
      <c r="AF151" s="329">
        <f>CS_PID!AF151/VLOOKUP($B151,LEBT[#ALL],4)/VLOOKUP($B151,표2[#ALL],2)</f>
        <v>0</v>
      </c>
      <c r="AG151" s="329">
        <f>CS_PID!AG151/VLOOKUP($B151,LEBT[#ALL],4)/VLOOKUP($B151,표2[#ALL],2)</f>
        <v>0</v>
      </c>
      <c r="AH151" s="329">
        <f>CS_PID!AH151/VLOOKUP($B151,LEBT[#ALL],4)/VLOOKUP($B151,표2[#ALL],2)</f>
        <v>0</v>
      </c>
      <c r="AI151" s="329">
        <f>CS_PID!AI151/VLOOKUP($B151,LEBT[#ALL],4)/VLOOKUP($B151,표2[#ALL],2)</f>
        <v>0</v>
      </c>
      <c r="AJ151" s="329">
        <f>CS_PID!AJ151/VLOOKUP($B151,LEBT[#ALL],4)/VLOOKUP($B151,표2[#ALL],2)</f>
        <v>407.7747576</v>
      </c>
      <c r="AK151" s="329">
        <f>CS_PID!AK151/VLOOKUP($B151,LEBT[#ALL],4)/VLOOKUP($B151,표2[#ALL],2)</f>
        <v>25.48592235</v>
      </c>
      <c r="AL151" s="329">
        <f>CS_PID!AL151/VLOOKUP($B151,LEBT[#ALL],4)/VLOOKUP($B151,표2[#ALL],2)</f>
        <v>0</v>
      </c>
      <c r="AM151" s="329">
        <f>CS_PID!AM151/VLOOKUP($B151,LEBT[#ALL],4)/VLOOKUP($B151,표2[#ALL],2)</f>
        <v>0</v>
      </c>
      <c r="AN151" s="329">
        <f>CS_PID!AN151/VLOOKUP($B151,LEBT[#ALL],4)/VLOOKUP($B151,표2[#ALL],2)</f>
        <v>50.9718447</v>
      </c>
      <c r="AO151" s="329">
        <f>CS_PID!AO151/VLOOKUP($B151,LEBT[#ALL],4)/VLOOKUP($B151,표2[#ALL],2)</f>
        <v>509.718447</v>
      </c>
      <c r="AP151" s="329">
        <f>CS_PID!AP151/VLOOKUP($B151,LEBT[#ALL],4)/VLOOKUP($B151,표2[#ALL],2)</f>
        <v>229.3733011</v>
      </c>
      <c r="AQ151" s="329">
        <f>CS_PID!AQ151/VLOOKUP($B151,LEBT[#ALL],4)/VLOOKUP($B151,표2[#ALL],2)</f>
        <v>0</v>
      </c>
      <c r="AR151" s="329">
        <f>CS_PID!AR151/VLOOKUP($B151,LEBT[#ALL],4)/VLOOKUP($B151,표2[#ALL],2)</f>
        <v>0</v>
      </c>
      <c r="AS151" s="329">
        <f>CS_PID!AS151/VLOOKUP($B151,LEBT[#ALL],4)/VLOOKUP($B151,표2[#ALL],2)</f>
        <v>535.2043693</v>
      </c>
    </row>
    <row r="152">
      <c r="A152" s="221"/>
      <c r="B152" s="221"/>
      <c r="AQ152" s="222"/>
    </row>
    <row r="153">
      <c r="A153" s="221"/>
      <c r="B153" s="221"/>
      <c r="AQ153" s="222"/>
    </row>
    <row r="154">
      <c r="A154" s="221"/>
      <c r="B154" s="221"/>
      <c r="AQ154" s="222"/>
    </row>
    <row r="155">
      <c r="A155" s="221"/>
      <c r="B155" s="221"/>
      <c r="AQ155" s="222"/>
    </row>
    <row r="156">
      <c r="A156" s="221"/>
      <c r="B156" s="221"/>
      <c r="AQ156" s="222"/>
    </row>
    <row r="157">
      <c r="A157" s="221"/>
      <c r="B157" s="221"/>
      <c r="AQ157" s="222"/>
    </row>
    <row r="158">
      <c r="A158" s="221"/>
      <c r="B158" s="221"/>
      <c r="AQ158" s="222"/>
    </row>
    <row r="159">
      <c r="A159" s="221"/>
      <c r="B159" s="221"/>
      <c r="AQ159" s="222"/>
    </row>
    <row r="160">
      <c r="A160" s="221"/>
      <c r="B160" s="221"/>
      <c r="AQ160" s="222"/>
    </row>
    <row r="161">
      <c r="A161" s="221"/>
      <c r="B161" s="221"/>
      <c r="AQ161" s="222"/>
    </row>
    <row r="162">
      <c r="A162" s="221"/>
      <c r="B162" s="221"/>
      <c r="AQ162" s="222"/>
    </row>
    <row r="163">
      <c r="A163" s="221"/>
      <c r="B163" s="221"/>
      <c r="AQ163" s="222"/>
    </row>
    <row r="164">
      <c r="A164" s="221"/>
      <c r="B164" s="221"/>
      <c r="AQ164" s="222"/>
    </row>
    <row r="165">
      <c r="A165" s="221"/>
      <c r="B165" s="221"/>
      <c r="AQ165" s="222"/>
    </row>
    <row r="166">
      <c r="A166" s="221"/>
      <c r="B166" s="221"/>
      <c r="AQ166" s="222"/>
    </row>
    <row r="167">
      <c r="A167" s="221"/>
      <c r="B167" s="221"/>
      <c r="AQ167" s="222"/>
    </row>
    <row r="168">
      <c r="A168" s="221"/>
      <c r="B168" s="221"/>
      <c r="AQ168" s="222"/>
    </row>
    <row r="169">
      <c r="A169" s="221"/>
      <c r="B169" s="221"/>
      <c r="AQ169" s="222"/>
    </row>
    <row r="170">
      <c r="A170" s="221"/>
      <c r="B170" s="221"/>
      <c r="AQ170" s="222"/>
    </row>
    <row r="171">
      <c r="A171" s="221"/>
      <c r="B171" s="221"/>
      <c r="AQ171" s="222"/>
    </row>
    <row r="172">
      <c r="A172" s="221"/>
      <c r="B172" s="221"/>
      <c r="AQ172" s="222"/>
    </row>
    <row r="173">
      <c r="A173" s="221"/>
      <c r="B173" s="221"/>
      <c r="AQ173" s="222"/>
    </row>
    <row r="174">
      <c r="A174" s="221"/>
      <c r="B174" s="221"/>
      <c r="AQ174" s="222"/>
    </row>
    <row r="175">
      <c r="A175" s="221"/>
      <c r="B175" s="221"/>
      <c r="AQ175" s="222"/>
    </row>
    <row r="176">
      <c r="A176" s="221"/>
      <c r="B176" s="221"/>
      <c r="AQ176" s="222"/>
    </row>
    <row r="177">
      <c r="A177" s="221"/>
      <c r="B177" s="221"/>
      <c r="AQ177" s="222"/>
    </row>
    <row r="178">
      <c r="A178" s="221"/>
      <c r="B178" s="221"/>
      <c r="AQ178" s="222"/>
    </row>
    <row r="179">
      <c r="A179" s="221"/>
      <c r="B179" s="221"/>
      <c r="AQ179" s="222"/>
    </row>
    <row r="180">
      <c r="A180" s="221"/>
      <c r="B180" s="221"/>
      <c r="AQ180" s="222"/>
    </row>
    <row r="181">
      <c r="A181" s="221"/>
      <c r="B181" s="221"/>
      <c r="AQ181" s="222"/>
    </row>
    <row r="182">
      <c r="A182" s="221"/>
      <c r="B182" s="221"/>
      <c r="AQ182" s="222"/>
    </row>
    <row r="183">
      <c r="A183" s="221"/>
      <c r="B183" s="221"/>
      <c r="AQ183" s="222"/>
    </row>
    <row r="184">
      <c r="A184" s="221"/>
      <c r="B184" s="221"/>
      <c r="AQ184" s="222"/>
    </row>
    <row r="185">
      <c r="A185" s="221"/>
      <c r="B185" s="221"/>
      <c r="AQ185" s="222"/>
    </row>
    <row r="186">
      <c r="A186" s="221"/>
      <c r="B186" s="221"/>
      <c r="AQ186" s="222"/>
    </row>
    <row r="187">
      <c r="A187" s="221"/>
      <c r="B187" s="221"/>
      <c r="AQ187" s="222"/>
    </row>
    <row r="188">
      <c r="A188" s="221"/>
      <c r="B188" s="221"/>
      <c r="AQ188" s="222"/>
    </row>
    <row r="189">
      <c r="A189" s="221"/>
      <c r="B189" s="221"/>
      <c r="AQ189" s="222"/>
    </row>
    <row r="190">
      <c r="A190" s="221"/>
      <c r="B190" s="221"/>
      <c r="AQ190" s="222"/>
    </row>
    <row r="191">
      <c r="A191" s="221"/>
      <c r="B191" s="221"/>
      <c r="AQ191" s="222"/>
    </row>
    <row r="192">
      <c r="A192" s="221"/>
      <c r="B192" s="221"/>
      <c r="AQ192" s="222"/>
    </row>
    <row r="193">
      <c r="A193" s="221"/>
      <c r="B193" s="221"/>
      <c r="AQ193" s="222"/>
    </row>
    <row r="194">
      <c r="A194" s="221"/>
      <c r="B194" s="221"/>
      <c r="AQ194" s="222"/>
    </row>
    <row r="195">
      <c r="A195" s="221"/>
      <c r="B195" s="221"/>
      <c r="AQ195" s="222"/>
    </row>
    <row r="196">
      <c r="A196" s="221"/>
      <c r="B196" s="221"/>
      <c r="AQ196" s="222"/>
    </row>
    <row r="197">
      <c r="A197" s="221"/>
      <c r="B197" s="221"/>
      <c r="AQ197" s="222"/>
    </row>
    <row r="198">
      <c r="A198" s="221"/>
      <c r="B198" s="221"/>
      <c r="AQ198" s="222"/>
    </row>
    <row r="199">
      <c r="A199" s="221"/>
      <c r="B199" s="221"/>
      <c r="AQ199" s="222"/>
    </row>
    <row r="200">
      <c r="A200" s="221"/>
      <c r="B200" s="221"/>
      <c r="AQ200" s="222"/>
    </row>
    <row r="201">
      <c r="A201" s="221"/>
      <c r="B201" s="221"/>
      <c r="AQ201" s="222"/>
    </row>
    <row r="202">
      <c r="A202" s="221"/>
      <c r="B202" s="221"/>
      <c r="AQ202" s="222"/>
    </row>
    <row r="203">
      <c r="A203" s="221"/>
      <c r="B203" s="221"/>
      <c r="AQ203" s="222"/>
    </row>
    <row r="204">
      <c r="A204" s="221"/>
      <c r="B204" s="221"/>
      <c r="AQ204" s="222"/>
    </row>
    <row r="205">
      <c r="A205" s="221"/>
      <c r="B205" s="221"/>
      <c r="AQ205" s="222"/>
    </row>
    <row r="206">
      <c r="A206" s="221"/>
      <c r="B206" s="221"/>
      <c r="AQ206" s="222"/>
    </row>
    <row r="207">
      <c r="A207" s="221"/>
      <c r="B207" s="221"/>
      <c r="AQ207" s="222"/>
    </row>
    <row r="208">
      <c r="A208" s="221"/>
      <c r="B208" s="221"/>
      <c r="AQ208" s="222"/>
    </row>
    <row r="209">
      <c r="A209" s="221"/>
      <c r="B209" s="221"/>
      <c r="AQ209" s="222"/>
    </row>
    <row r="210">
      <c r="A210" s="221"/>
      <c r="B210" s="221"/>
      <c r="AQ210" s="222"/>
    </row>
    <row r="211">
      <c r="A211" s="221"/>
      <c r="B211" s="221"/>
      <c r="AQ211" s="222"/>
    </row>
    <row r="212">
      <c r="A212" s="221"/>
      <c r="B212" s="221"/>
      <c r="AQ212" s="222"/>
    </row>
    <row r="213">
      <c r="A213" s="221"/>
      <c r="B213" s="221"/>
      <c r="AQ213" s="222"/>
    </row>
    <row r="214">
      <c r="A214" s="221"/>
      <c r="B214" s="221"/>
      <c r="AQ214" s="222"/>
    </row>
    <row r="215">
      <c r="A215" s="221"/>
      <c r="B215" s="221"/>
      <c r="AQ215" s="222"/>
    </row>
    <row r="216">
      <c r="A216" s="221"/>
      <c r="B216" s="221"/>
      <c r="AQ216" s="222"/>
    </row>
    <row r="217">
      <c r="A217" s="221"/>
      <c r="B217" s="221"/>
      <c r="AQ217" s="222"/>
    </row>
    <row r="218">
      <c r="A218" s="221"/>
      <c r="B218" s="221"/>
      <c r="AQ218" s="222"/>
    </row>
    <row r="219">
      <c r="A219" s="221"/>
      <c r="B219" s="221"/>
      <c r="AQ219" s="222"/>
    </row>
    <row r="220">
      <c r="A220" s="221"/>
      <c r="B220" s="221"/>
      <c r="AQ220" s="222"/>
    </row>
    <row r="221">
      <c r="A221" s="221"/>
      <c r="B221" s="221"/>
      <c r="AQ221" s="222"/>
    </row>
    <row r="222">
      <c r="A222" s="221"/>
      <c r="B222" s="221"/>
      <c r="AQ222" s="222"/>
    </row>
    <row r="223">
      <c r="A223" s="221"/>
      <c r="B223" s="221"/>
      <c r="AQ223" s="222"/>
    </row>
    <row r="224">
      <c r="A224" s="221"/>
      <c r="B224" s="221"/>
      <c r="AQ224" s="222"/>
    </row>
    <row r="225">
      <c r="A225" s="221"/>
      <c r="B225" s="221"/>
      <c r="AQ225" s="222"/>
    </row>
    <row r="226">
      <c r="A226" s="221"/>
      <c r="B226" s="221"/>
      <c r="AQ226" s="222"/>
    </row>
    <row r="227">
      <c r="A227" s="221"/>
      <c r="B227" s="221"/>
      <c r="AQ227" s="222"/>
    </row>
    <row r="228">
      <c r="A228" s="221"/>
      <c r="B228" s="221"/>
      <c r="AQ228" s="222"/>
    </row>
    <row r="229">
      <c r="A229" s="221"/>
      <c r="B229" s="221"/>
      <c r="AQ229" s="222"/>
    </row>
    <row r="230">
      <c r="A230" s="221"/>
      <c r="B230" s="221"/>
      <c r="AQ230" s="222"/>
    </row>
    <row r="231">
      <c r="A231" s="221"/>
      <c r="B231" s="221"/>
      <c r="AQ231" s="222"/>
    </row>
    <row r="232">
      <c r="A232" s="221"/>
      <c r="B232" s="221"/>
      <c r="AQ232" s="222"/>
    </row>
    <row r="233">
      <c r="A233" s="221"/>
      <c r="B233" s="221"/>
      <c r="AQ233" s="222"/>
    </row>
    <row r="234">
      <c r="A234" s="221"/>
      <c r="B234" s="221"/>
      <c r="AQ234" s="222"/>
    </row>
    <row r="235">
      <c r="A235" s="221"/>
      <c r="B235" s="221"/>
      <c r="AQ235" s="222"/>
    </row>
    <row r="236">
      <c r="A236" s="221"/>
      <c r="B236" s="221"/>
      <c r="AQ236" s="222"/>
    </row>
    <row r="237">
      <c r="A237" s="221"/>
      <c r="B237" s="221"/>
      <c r="AQ237" s="222"/>
    </row>
    <row r="238">
      <c r="A238" s="221"/>
      <c r="B238" s="221"/>
      <c r="AQ238" s="222"/>
    </row>
    <row r="239">
      <c r="A239" s="221"/>
      <c r="B239" s="221"/>
      <c r="AQ239" s="222"/>
    </row>
    <row r="240">
      <c r="A240" s="221"/>
      <c r="B240" s="221"/>
      <c r="AQ240" s="222"/>
    </row>
    <row r="241">
      <c r="A241" s="221"/>
      <c r="B241" s="221"/>
      <c r="AQ241" s="222"/>
    </row>
    <row r="242">
      <c r="A242" s="221"/>
      <c r="B242" s="221"/>
      <c r="AQ242" s="222"/>
    </row>
    <row r="243">
      <c r="A243" s="221"/>
      <c r="B243" s="221"/>
      <c r="AQ243" s="222"/>
    </row>
    <row r="244">
      <c r="A244" s="221"/>
      <c r="B244" s="221"/>
      <c r="AQ244" s="222"/>
    </row>
    <row r="245">
      <c r="A245" s="221"/>
      <c r="B245" s="221"/>
      <c r="AQ245" s="222"/>
    </row>
    <row r="246">
      <c r="A246" s="221"/>
      <c r="B246" s="221"/>
      <c r="AQ246" s="222"/>
    </row>
    <row r="247">
      <c r="A247" s="221"/>
      <c r="B247" s="221"/>
      <c r="AQ247" s="222"/>
    </row>
    <row r="248">
      <c r="A248" s="221"/>
      <c r="B248" s="221"/>
      <c r="AQ248" s="222"/>
    </row>
    <row r="249">
      <c r="A249" s="221"/>
      <c r="B249" s="221"/>
      <c r="AQ249" s="222"/>
    </row>
    <row r="250">
      <c r="A250" s="221"/>
      <c r="B250" s="221"/>
      <c r="AQ250" s="222"/>
    </row>
    <row r="251">
      <c r="A251" s="221"/>
      <c r="B251" s="221"/>
      <c r="AQ251" s="222"/>
    </row>
    <row r="252">
      <c r="A252" s="221"/>
      <c r="B252" s="221"/>
      <c r="AQ252" s="222"/>
    </row>
    <row r="253">
      <c r="A253" s="221"/>
      <c r="B253" s="221"/>
      <c r="AQ253" s="222"/>
    </row>
    <row r="254">
      <c r="A254" s="221"/>
      <c r="B254" s="221"/>
      <c r="AQ254" s="222"/>
    </row>
    <row r="255">
      <c r="A255" s="221"/>
      <c r="B255" s="221"/>
      <c r="AQ255" s="222"/>
    </row>
    <row r="256">
      <c r="A256" s="221"/>
      <c r="B256" s="221"/>
      <c r="AQ256" s="222"/>
    </row>
    <row r="257">
      <c r="A257" s="221"/>
      <c r="B257" s="221"/>
      <c r="AQ257" s="222"/>
    </row>
    <row r="258">
      <c r="A258" s="221"/>
      <c r="B258" s="221"/>
      <c r="AQ258" s="222"/>
    </row>
    <row r="259">
      <c r="A259" s="221"/>
      <c r="B259" s="221"/>
      <c r="AQ259" s="222"/>
    </row>
    <row r="260">
      <c r="A260" s="221"/>
      <c r="B260" s="221"/>
      <c r="AQ260" s="222"/>
    </row>
    <row r="261">
      <c r="A261" s="221"/>
      <c r="B261" s="221"/>
      <c r="AQ261" s="222"/>
    </row>
    <row r="262">
      <c r="A262" s="221"/>
      <c r="B262" s="221"/>
      <c r="AQ262" s="222"/>
    </row>
    <row r="263">
      <c r="A263" s="221"/>
      <c r="B263" s="221"/>
      <c r="AQ263" s="222"/>
    </row>
    <row r="264">
      <c r="A264" s="221"/>
      <c r="B264" s="221"/>
      <c r="AQ264" s="222"/>
    </row>
    <row r="265">
      <c r="A265" s="221"/>
      <c r="B265" s="221"/>
      <c r="AQ265" s="222"/>
    </row>
    <row r="266">
      <c r="A266" s="221"/>
      <c r="B266" s="221"/>
      <c r="AQ266" s="222"/>
    </row>
    <row r="267">
      <c r="A267" s="221"/>
      <c r="B267" s="221"/>
      <c r="AQ267" s="222"/>
    </row>
    <row r="268">
      <c r="A268" s="221"/>
      <c r="B268" s="221"/>
      <c r="AQ268" s="222"/>
    </row>
    <row r="269">
      <c r="A269" s="221"/>
      <c r="B269" s="221"/>
      <c r="AQ269" s="222"/>
    </row>
    <row r="270">
      <c r="A270" s="221"/>
      <c r="B270" s="221"/>
      <c r="AQ270" s="222"/>
    </row>
    <row r="271">
      <c r="A271" s="221"/>
      <c r="B271" s="221"/>
      <c r="AQ271" s="222"/>
    </row>
    <row r="272">
      <c r="A272" s="221"/>
      <c r="B272" s="221"/>
      <c r="AQ272" s="222"/>
    </row>
    <row r="273">
      <c r="A273" s="221"/>
      <c r="B273" s="221"/>
      <c r="AQ273" s="222"/>
    </row>
    <row r="274">
      <c r="A274" s="221"/>
      <c r="B274" s="221"/>
      <c r="AQ274" s="222"/>
    </row>
    <row r="275">
      <c r="A275" s="221"/>
      <c r="B275" s="221"/>
      <c r="AQ275" s="222"/>
    </row>
    <row r="276">
      <c r="A276" s="221"/>
      <c r="B276" s="221"/>
      <c r="AQ276" s="222"/>
    </row>
    <row r="277">
      <c r="A277" s="221"/>
      <c r="B277" s="221"/>
      <c r="AQ277" s="222"/>
    </row>
    <row r="278">
      <c r="A278" s="221"/>
      <c r="B278" s="221"/>
      <c r="AQ278" s="222"/>
    </row>
    <row r="279">
      <c r="A279" s="221"/>
      <c r="B279" s="221"/>
      <c r="AQ279" s="222"/>
    </row>
    <row r="280">
      <c r="A280" s="221"/>
      <c r="B280" s="221"/>
      <c r="AQ280" s="222"/>
    </row>
    <row r="281">
      <c r="A281" s="221"/>
      <c r="B281" s="221"/>
      <c r="AQ281" s="222"/>
    </row>
    <row r="282">
      <c r="A282" s="221"/>
      <c r="B282" s="221"/>
      <c r="AQ282" s="222"/>
    </row>
    <row r="283">
      <c r="A283" s="221"/>
      <c r="B283" s="221"/>
      <c r="AQ283" s="222"/>
    </row>
    <row r="284">
      <c r="A284" s="221"/>
      <c r="B284" s="221"/>
      <c r="AQ284" s="222"/>
    </row>
    <row r="285">
      <c r="A285" s="221"/>
      <c r="B285" s="221"/>
      <c r="AQ285" s="222"/>
    </row>
    <row r="286">
      <c r="A286" s="221"/>
      <c r="B286" s="221"/>
      <c r="AQ286" s="222"/>
    </row>
    <row r="287">
      <c r="A287" s="221"/>
      <c r="B287" s="221"/>
      <c r="AQ287" s="222"/>
    </row>
    <row r="288">
      <c r="A288" s="221"/>
      <c r="B288" s="221"/>
      <c r="AQ288" s="222"/>
    </row>
    <row r="289">
      <c r="A289" s="221"/>
      <c r="B289" s="221"/>
      <c r="AQ289" s="222"/>
    </row>
    <row r="290">
      <c r="A290" s="221"/>
      <c r="B290" s="221"/>
      <c r="AQ290" s="222"/>
    </row>
    <row r="291">
      <c r="A291" s="221"/>
      <c r="B291" s="221"/>
      <c r="AQ291" s="222"/>
    </row>
    <row r="292">
      <c r="A292" s="221"/>
      <c r="B292" s="221"/>
      <c r="AQ292" s="222"/>
    </row>
    <row r="293">
      <c r="A293" s="221"/>
      <c r="B293" s="221"/>
      <c r="AQ293" s="222"/>
    </row>
    <row r="294">
      <c r="A294" s="221"/>
      <c r="B294" s="221"/>
      <c r="AQ294" s="222"/>
    </row>
    <row r="295">
      <c r="A295" s="221"/>
      <c r="B295" s="221"/>
      <c r="AQ295" s="222"/>
    </row>
    <row r="296">
      <c r="A296" s="221"/>
      <c r="B296" s="221"/>
      <c r="AQ296" s="222"/>
    </row>
    <row r="297">
      <c r="A297" s="221"/>
      <c r="B297" s="221"/>
      <c r="AQ297" s="222"/>
    </row>
    <row r="298">
      <c r="A298" s="221"/>
      <c r="B298" s="221"/>
      <c r="AQ298" s="222"/>
    </row>
    <row r="299">
      <c r="A299" s="221"/>
      <c r="B299" s="221"/>
      <c r="AQ299" s="222"/>
    </row>
    <row r="300">
      <c r="A300" s="221"/>
      <c r="B300" s="221"/>
      <c r="AQ300" s="222"/>
    </row>
    <row r="301">
      <c r="A301" s="221"/>
      <c r="B301" s="221"/>
      <c r="AQ301" s="222"/>
    </row>
    <row r="302">
      <c r="A302" s="221"/>
      <c r="B302" s="221"/>
      <c r="AQ302" s="222"/>
    </row>
    <row r="303">
      <c r="A303" s="221"/>
      <c r="B303" s="221"/>
      <c r="AQ303" s="222"/>
    </row>
    <row r="304">
      <c r="A304" s="221"/>
      <c r="B304" s="221"/>
      <c r="AQ304" s="222"/>
    </row>
    <row r="305">
      <c r="A305" s="221"/>
      <c r="B305" s="221"/>
      <c r="AQ305" s="222"/>
    </row>
    <row r="306">
      <c r="A306" s="221"/>
      <c r="B306" s="221"/>
      <c r="AQ306" s="222"/>
    </row>
    <row r="307">
      <c r="A307" s="221"/>
      <c r="B307" s="221"/>
      <c r="AQ307" s="222"/>
    </row>
    <row r="308">
      <c r="A308" s="221"/>
      <c r="B308" s="221"/>
      <c r="AQ308" s="222"/>
    </row>
    <row r="309">
      <c r="A309" s="221"/>
      <c r="B309" s="221"/>
      <c r="AQ309" s="222"/>
    </row>
    <row r="310">
      <c r="A310" s="221"/>
      <c r="B310" s="221"/>
      <c r="AQ310" s="222"/>
    </row>
    <row r="311">
      <c r="A311" s="221"/>
      <c r="B311" s="221"/>
      <c r="AQ311" s="222"/>
    </row>
    <row r="312">
      <c r="A312" s="221"/>
      <c r="B312" s="221"/>
      <c r="AQ312" s="222"/>
    </row>
    <row r="313">
      <c r="A313" s="221"/>
      <c r="B313" s="221"/>
      <c r="AQ313" s="222"/>
    </row>
    <row r="314">
      <c r="A314" s="221"/>
      <c r="B314" s="221"/>
      <c r="AQ314" s="222"/>
    </row>
    <row r="315">
      <c r="A315" s="221"/>
      <c r="B315" s="221"/>
      <c r="AQ315" s="222"/>
    </row>
    <row r="316">
      <c r="A316" s="221"/>
      <c r="B316" s="221"/>
      <c r="AQ316" s="222"/>
    </row>
    <row r="317">
      <c r="A317" s="221"/>
      <c r="B317" s="221"/>
      <c r="AQ317" s="222"/>
    </row>
    <row r="318">
      <c r="A318" s="221"/>
      <c r="B318" s="221"/>
      <c r="AQ318" s="222"/>
    </row>
    <row r="319">
      <c r="A319" s="221"/>
      <c r="B319" s="221"/>
      <c r="AQ319" s="222"/>
    </row>
    <row r="320">
      <c r="A320" s="221"/>
      <c r="B320" s="221"/>
      <c r="AQ320" s="222"/>
    </row>
    <row r="321">
      <c r="A321" s="221"/>
      <c r="B321" s="221"/>
      <c r="AQ321" s="222"/>
    </row>
    <row r="322">
      <c r="A322" s="221"/>
      <c r="B322" s="221"/>
      <c r="AQ322" s="222"/>
    </row>
    <row r="323">
      <c r="A323" s="221"/>
      <c r="B323" s="221"/>
      <c r="AQ323" s="222"/>
    </row>
    <row r="324">
      <c r="A324" s="221"/>
      <c r="B324" s="221"/>
      <c r="AQ324" s="222"/>
    </row>
    <row r="325">
      <c r="A325" s="221"/>
      <c r="B325" s="221"/>
      <c r="AQ325" s="222"/>
    </row>
    <row r="326">
      <c r="A326" s="221"/>
      <c r="B326" s="221"/>
      <c r="AQ326" s="222"/>
    </row>
    <row r="327">
      <c r="A327" s="221"/>
      <c r="B327" s="221"/>
      <c r="AQ327" s="222"/>
    </row>
    <row r="328">
      <c r="A328" s="221"/>
      <c r="B328" s="221"/>
      <c r="AQ328" s="222"/>
    </row>
    <row r="329">
      <c r="A329" s="221"/>
      <c r="B329" s="221"/>
      <c r="AQ329" s="222"/>
    </row>
    <row r="330">
      <c r="A330" s="221"/>
      <c r="B330" s="221"/>
      <c r="AQ330" s="222"/>
    </row>
    <row r="331">
      <c r="A331" s="221"/>
      <c r="B331" s="221"/>
      <c r="AQ331" s="222"/>
    </row>
    <row r="332">
      <c r="A332" s="221"/>
      <c r="B332" s="221"/>
      <c r="AQ332" s="222"/>
    </row>
    <row r="333">
      <c r="A333" s="221"/>
      <c r="B333" s="221"/>
      <c r="AQ333" s="222"/>
    </row>
    <row r="334">
      <c r="A334" s="221"/>
      <c r="B334" s="221"/>
      <c r="AQ334" s="222"/>
    </row>
    <row r="335">
      <c r="A335" s="221"/>
      <c r="B335" s="221"/>
      <c r="AQ335" s="222"/>
    </row>
    <row r="336">
      <c r="A336" s="221"/>
      <c r="B336" s="221"/>
      <c r="AQ336" s="222"/>
    </row>
    <row r="337">
      <c r="A337" s="221"/>
      <c r="B337" s="221"/>
      <c r="AQ337" s="222"/>
    </row>
    <row r="338">
      <c r="A338" s="221"/>
      <c r="B338" s="221"/>
      <c r="AQ338" s="222"/>
    </row>
    <row r="339">
      <c r="A339" s="221"/>
      <c r="B339" s="221"/>
      <c r="AQ339" s="222"/>
    </row>
    <row r="340">
      <c r="A340" s="221"/>
      <c r="B340" s="221"/>
      <c r="AQ340" s="222"/>
    </row>
    <row r="341">
      <c r="A341" s="221"/>
      <c r="B341" s="221"/>
      <c r="AQ341" s="222"/>
    </row>
    <row r="342">
      <c r="A342" s="221"/>
      <c r="B342" s="221"/>
      <c r="AQ342" s="222"/>
    </row>
    <row r="343">
      <c r="A343" s="221"/>
      <c r="B343" s="221"/>
      <c r="AQ343" s="222"/>
    </row>
    <row r="344">
      <c r="A344" s="221"/>
      <c r="B344" s="221"/>
      <c r="AQ344" s="222"/>
    </row>
    <row r="345">
      <c r="A345" s="221"/>
      <c r="B345" s="221"/>
      <c r="AQ345" s="222"/>
    </row>
    <row r="346">
      <c r="A346" s="221"/>
      <c r="B346" s="221"/>
      <c r="AQ346" s="222"/>
    </row>
    <row r="347">
      <c r="A347" s="221"/>
      <c r="B347" s="221"/>
      <c r="AQ347" s="222"/>
    </row>
    <row r="348">
      <c r="A348" s="221"/>
      <c r="B348" s="221"/>
      <c r="AQ348" s="222"/>
    </row>
    <row r="349">
      <c r="A349" s="221"/>
      <c r="B349" s="221"/>
      <c r="AQ349" s="222"/>
    </row>
    <row r="350">
      <c r="A350" s="221"/>
      <c r="B350" s="221"/>
      <c r="AQ350" s="222"/>
    </row>
    <row r="351">
      <c r="A351" s="221"/>
      <c r="B351" s="221"/>
      <c r="AQ351" s="222"/>
    </row>
    <row r="352">
      <c r="A352" s="221"/>
      <c r="B352" s="221"/>
      <c r="AQ352" s="222"/>
    </row>
    <row r="353">
      <c r="A353" s="221"/>
      <c r="B353" s="221"/>
      <c r="AQ353" s="222"/>
    </row>
    <row r="354">
      <c r="A354" s="221"/>
      <c r="B354" s="221"/>
      <c r="AQ354" s="222"/>
    </row>
    <row r="355">
      <c r="A355" s="221"/>
      <c r="B355" s="221"/>
      <c r="AQ355" s="222"/>
    </row>
    <row r="356">
      <c r="A356" s="221"/>
      <c r="B356" s="221"/>
      <c r="AQ356" s="222"/>
    </row>
    <row r="357">
      <c r="A357" s="221"/>
      <c r="B357" s="221"/>
      <c r="AQ357" s="222"/>
    </row>
    <row r="358">
      <c r="A358" s="221"/>
      <c r="B358" s="221"/>
      <c r="AQ358" s="222"/>
    </row>
    <row r="359">
      <c r="A359" s="221"/>
      <c r="B359" s="221"/>
      <c r="AQ359" s="222"/>
    </row>
    <row r="360">
      <c r="A360" s="221"/>
      <c r="B360" s="221"/>
      <c r="AQ360" s="222"/>
    </row>
    <row r="361">
      <c r="A361" s="221"/>
      <c r="B361" s="221"/>
      <c r="AQ361" s="222"/>
    </row>
    <row r="362">
      <c r="A362" s="221"/>
      <c r="B362" s="221"/>
      <c r="AQ362" s="222"/>
    </row>
    <row r="363">
      <c r="A363" s="221"/>
      <c r="B363" s="221"/>
      <c r="AQ363" s="222"/>
    </row>
    <row r="364">
      <c r="A364" s="221"/>
      <c r="B364" s="221"/>
      <c r="AQ364" s="222"/>
    </row>
    <row r="365">
      <c r="A365" s="221"/>
      <c r="B365" s="221"/>
      <c r="AQ365" s="222"/>
    </row>
    <row r="366">
      <c r="A366" s="221"/>
      <c r="B366" s="221"/>
      <c r="AQ366" s="222"/>
    </row>
    <row r="367">
      <c r="A367" s="221"/>
      <c r="B367" s="221"/>
      <c r="AQ367" s="222"/>
    </row>
    <row r="368">
      <c r="A368" s="221"/>
      <c r="B368" s="221"/>
      <c r="AQ368" s="222"/>
    </row>
    <row r="369">
      <c r="A369" s="221"/>
      <c r="B369" s="221"/>
      <c r="AQ369" s="222"/>
    </row>
    <row r="370">
      <c r="A370" s="221"/>
      <c r="B370" s="221"/>
      <c r="AQ370" s="222"/>
    </row>
    <row r="371">
      <c r="A371" s="221"/>
      <c r="B371" s="221"/>
      <c r="AQ371" s="222"/>
    </row>
    <row r="372">
      <c r="A372" s="221"/>
      <c r="B372" s="221"/>
      <c r="AQ372" s="222"/>
    </row>
    <row r="373">
      <c r="A373" s="221"/>
      <c r="B373" s="221"/>
      <c r="AQ373" s="222"/>
    </row>
    <row r="374">
      <c r="A374" s="221"/>
      <c r="B374" s="221"/>
      <c r="AQ374" s="222"/>
    </row>
    <row r="375">
      <c r="A375" s="221"/>
      <c r="B375" s="221"/>
      <c r="AQ375" s="222"/>
    </row>
    <row r="376">
      <c r="A376" s="221"/>
      <c r="B376" s="221"/>
      <c r="AQ376" s="222"/>
    </row>
    <row r="377">
      <c r="A377" s="221"/>
      <c r="B377" s="221"/>
      <c r="AQ377" s="222"/>
    </row>
    <row r="378">
      <c r="A378" s="221"/>
      <c r="B378" s="221"/>
      <c r="AQ378" s="222"/>
    </row>
    <row r="379">
      <c r="A379" s="221"/>
      <c r="B379" s="221"/>
      <c r="AQ379" s="222"/>
    </row>
    <row r="380">
      <c r="A380" s="221"/>
      <c r="B380" s="221"/>
      <c r="AQ380" s="222"/>
    </row>
    <row r="381">
      <c r="A381" s="221"/>
      <c r="B381" s="221"/>
      <c r="AQ381" s="222"/>
    </row>
    <row r="382">
      <c r="A382" s="221"/>
      <c r="B382" s="221"/>
      <c r="AQ382" s="222"/>
    </row>
    <row r="383">
      <c r="A383" s="221"/>
      <c r="B383" s="221"/>
      <c r="AQ383" s="222"/>
    </row>
    <row r="384">
      <c r="A384" s="221"/>
      <c r="B384" s="221"/>
      <c r="AQ384" s="222"/>
    </row>
    <row r="385">
      <c r="A385" s="221"/>
      <c r="B385" s="221"/>
      <c r="AQ385" s="222"/>
    </row>
    <row r="386">
      <c r="A386" s="221"/>
      <c r="B386" s="221"/>
      <c r="AQ386" s="222"/>
    </row>
    <row r="387">
      <c r="A387" s="221"/>
      <c r="B387" s="221"/>
      <c r="AQ387" s="222"/>
    </row>
    <row r="388">
      <c r="A388" s="221"/>
      <c r="B388" s="221"/>
      <c r="AQ388" s="222"/>
    </row>
    <row r="389">
      <c r="A389" s="221"/>
      <c r="B389" s="221"/>
      <c r="AQ389" s="222"/>
    </row>
    <row r="390">
      <c r="A390" s="221"/>
      <c r="B390" s="221"/>
      <c r="AQ390" s="222"/>
    </row>
    <row r="391">
      <c r="A391" s="221"/>
      <c r="B391" s="221"/>
      <c r="AQ391" s="222"/>
    </row>
    <row r="392">
      <c r="A392" s="221"/>
      <c r="B392" s="221"/>
      <c r="AQ392" s="222"/>
    </row>
    <row r="393">
      <c r="A393" s="221"/>
      <c r="B393" s="221"/>
      <c r="AQ393" s="222"/>
    </row>
    <row r="394">
      <c r="A394" s="221"/>
      <c r="B394" s="221"/>
      <c r="AQ394" s="222"/>
    </row>
    <row r="395">
      <c r="A395" s="221"/>
      <c r="B395" s="221"/>
      <c r="AQ395" s="222"/>
    </row>
    <row r="396">
      <c r="A396" s="221"/>
      <c r="B396" s="221"/>
      <c r="AQ396" s="222"/>
    </row>
    <row r="397">
      <c r="A397" s="221"/>
      <c r="B397" s="221"/>
      <c r="AQ397" s="222"/>
    </row>
    <row r="398">
      <c r="A398" s="221"/>
      <c r="B398" s="221"/>
      <c r="AQ398" s="222"/>
    </row>
    <row r="399">
      <c r="A399" s="221"/>
      <c r="B399" s="221"/>
      <c r="AQ399" s="222"/>
    </row>
    <row r="400">
      <c r="A400" s="221"/>
      <c r="B400" s="221"/>
      <c r="AQ400" s="222"/>
    </row>
    <row r="401">
      <c r="A401" s="221"/>
      <c r="B401" s="221"/>
      <c r="AQ401" s="222"/>
    </row>
    <row r="402">
      <c r="A402" s="221"/>
      <c r="B402" s="221"/>
      <c r="AQ402" s="222"/>
    </row>
    <row r="403">
      <c r="A403" s="221"/>
      <c r="B403" s="221"/>
      <c r="AQ403" s="222"/>
    </row>
    <row r="404">
      <c r="A404" s="221"/>
      <c r="B404" s="221"/>
      <c r="AQ404" s="222"/>
    </row>
    <row r="405">
      <c r="A405" s="221"/>
      <c r="B405" s="221"/>
      <c r="AQ405" s="222"/>
    </row>
    <row r="406">
      <c r="A406" s="221"/>
      <c r="B406" s="221"/>
      <c r="AQ406" s="222"/>
    </row>
    <row r="407">
      <c r="A407" s="221"/>
      <c r="B407" s="221"/>
      <c r="AQ407" s="222"/>
    </row>
    <row r="408">
      <c r="A408" s="221"/>
      <c r="B408" s="221"/>
      <c r="AQ408" s="222"/>
    </row>
    <row r="409">
      <c r="A409" s="221"/>
      <c r="B409" s="221"/>
      <c r="AQ409" s="222"/>
    </row>
    <row r="410">
      <c r="A410" s="221"/>
      <c r="B410" s="221"/>
      <c r="AQ410" s="222"/>
    </row>
    <row r="411">
      <c r="A411" s="221"/>
      <c r="B411" s="221"/>
      <c r="AQ411" s="222"/>
    </row>
    <row r="412">
      <c r="A412" s="221"/>
      <c r="B412" s="221"/>
      <c r="AQ412" s="222"/>
    </row>
    <row r="413">
      <c r="A413" s="221"/>
      <c r="B413" s="221"/>
      <c r="AQ413" s="222"/>
    </row>
    <row r="414">
      <c r="A414" s="221"/>
      <c r="B414" s="221"/>
      <c r="AQ414" s="222"/>
    </row>
    <row r="415">
      <c r="A415" s="221"/>
      <c r="B415" s="221"/>
      <c r="AQ415" s="222"/>
    </row>
    <row r="416">
      <c r="A416" s="221"/>
      <c r="B416" s="221"/>
      <c r="AQ416" s="222"/>
    </row>
    <row r="417">
      <c r="A417" s="221"/>
      <c r="B417" s="221"/>
      <c r="AQ417" s="222"/>
    </row>
    <row r="418">
      <c r="A418" s="221"/>
      <c r="B418" s="221"/>
      <c r="AQ418" s="222"/>
    </row>
    <row r="419">
      <c r="A419" s="221"/>
      <c r="B419" s="221"/>
      <c r="AQ419" s="222"/>
    </row>
    <row r="420">
      <c r="A420" s="221"/>
      <c r="B420" s="221"/>
      <c r="AQ420" s="222"/>
    </row>
    <row r="421">
      <c r="A421" s="221"/>
      <c r="B421" s="221"/>
      <c r="AQ421" s="222"/>
    </row>
    <row r="422">
      <c r="A422" s="221"/>
      <c r="B422" s="221"/>
      <c r="AQ422" s="222"/>
    </row>
    <row r="423">
      <c r="A423" s="221"/>
      <c r="B423" s="221"/>
      <c r="AQ423" s="222"/>
    </row>
    <row r="424">
      <c r="A424" s="221"/>
      <c r="B424" s="221"/>
      <c r="AQ424" s="222"/>
    </row>
    <row r="425">
      <c r="A425" s="221"/>
      <c r="B425" s="221"/>
      <c r="AQ425" s="222"/>
    </row>
    <row r="426">
      <c r="A426" s="221"/>
      <c r="B426" s="221"/>
      <c r="AQ426" s="222"/>
    </row>
    <row r="427">
      <c r="A427" s="221"/>
      <c r="B427" s="221"/>
      <c r="AQ427" s="222"/>
    </row>
    <row r="428">
      <c r="A428" s="221"/>
      <c r="B428" s="221"/>
      <c r="AQ428" s="222"/>
    </row>
    <row r="429">
      <c r="A429" s="221"/>
      <c r="B429" s="221"/>
      <c r="AQ429" s="222"/>
    </row>
    <row r="430">
      <c r="A430" s="221"/>
      <c r="B430" s="221"/>
      <c r="AQ430" s="222"/>
    </row>
    <row r="431">
      <c r="A431" s="221"/>
      <c r="B431" s="221"/>
      <c r="AQ431" s="222"/>
    </row>
    <row r="432">
      <c r="A432" s="221"/>
      <c r="B432" s="221"/>
      <c r="AQ432" s="222"/>
    </row>
    <row r="433">
      <c r="A433" s="221"/>
      <c r="B433" s="221"/>
      <c r="AQ433" s="222"/>
    </row>
    <row r="434">
      <c r="A434" s="221"/>
      <c r="B434" s="221"/>
      <c r="AQ434" s="222"/>
    </row>
    <row r="435">
      <c r="A435" s="221"/>
      <c r="B435" s="221"/>
      <c r="AQ435" s="222"/>
    </row>
    <row r="436">
      <c r="A436" s="221"/>
      <c r="B436" s="221"/>
      <c r="AQ436" s="222"/>
    </row>
    <row r="437">
      <c r="A437" s="221"/>
      <c r="B437" s="221"/>
      <c r="AQ437" s="222"/>
    </row>
    <row r="438">
      <c r="A438" s="221"/>
      <c r="B438" s="221"/>
      <c r="AQ438" s="222"/>
    </row>
    <row r="439">
      <c r="A439" s="221"/>
      <c r="B439" s="221"/>
      <c r="AQ439" s="222"/>
    </row>
    <row r="440">
      <c r="A440" s="221"/>
      <c r="B440" s="221"/>
      <c r="AQ440" s="222"/>
    </row>
    <row r="441">
      <c r="A441" s="221"/>
      <c r="B441" s="221"/>
      <c r="AQ441" s="222"/>
    </row>
    <row r="442">
      <c r="A442" s="221"/>
      <c r="B442" s="221"/>
      <c r="AQ442" s="222"/>
    </row>
    <row r="443">
      <c r="A443" s="221"/>
      <c r="B443" s="221"/>
      <c r="AQ443" s="222"/>
    </row>
    <row r="444">
      <c r="A444" s="221"/>
      <c r="B444" s="221"/>
      <c r="AQ444" s="222"/>
    </row>
    <row r="445">
      <c r="A445" s="221"/>
      <c r="B445" s="221"/>
      <c r="AQ445" s="222"/>
    </row>
    <row r="446">
      <c r="A446" s="221"/>
      <c r="B446" s="221"/>
      <c r="AQ446" s="222"/>
    </row>
    <row r="447">
      <c r="A447" s="221"/>
      <c r="B447" s="221"/>
      <c r="AQ447" s="222"/>
    </row>
    <row r="448">
      <c r="A448" s="221"/>
      <c r="B448" s="221"/>
      <c r="AQ448" s="222"/>
    </row>
    <row r="449">
      <c r="A449" s="221"/>
      <c r="B449" s="221"/>
      <c r="AQ449" s="222"/>
    </row>
    <row r="450">
      <c r="A450" s="221"/>
      <c r="B450" s="221"/>
      <c r="AQ450" s="222"/>
    </row>
    <row r="451">
      <c r="A451" s="221"/>
      <c r="B451" s="221"/>
      <c r="AQ451" s="222"/>
    </row>
    <row r="452">
      <c r="A452" s="221"/>
      <c r="B452" s="221"/>
      <c r="AQ452" s="222"/>
    </row>
    <row r="453">
      <c r="A453" s="221"/>
      <c r="B453" s="221"/>
      <c r="AQ453" s="222"/>
    </row>
    <row r="454">
      <c r="A454" s="221"/>
      <c r="B454" s="221"/>
      <c r="AQ454" s="222"/>
    </row>
    <row r="455">
      <c r="A455" s="221"/>
      <c r="B455" s="221"/>
      <c r="AQ455" s="222"/>
    </row>
    <row r="456">
      <c r="A456" s="221"/>
      <c r="B456" s="221"/>
      <c r="AQ456" s="222"/>
    </row>
    <row r="457">
      <c r="A457" s="221"/>
      <c r="B457" s="221"/>
      <c r="AQ457" s="222"/>
    </row>
    <row r="458">
      <c r="A458" s="221"/>
      <c r="B458" s="221"/>
      <c r="AQ458" s="222"/>
    </row>
    <row r="459">
      <c r="A459" s="221"/>
      <c r="B459" s="221"/>
      <c r="AQ459" s="222"/>
    </row>
    <row r="460">
      <c r="A460" s="221"/>
      <c r="B460" s="221"/>
      <c r="AQ460" s="222"/>
    </row>
    <row r="461">
      <c r="A461" s="221"/>
      <c r="B461" s="221"/>
      <c r="AQ461" s="222"/>
    </row>
    <row r="462">
      <c r="A462" s="221"/>
      <c r="B462" s="221"/>
      <c r="AQ462" s="222"/>
    </row>
    <row r="463">
      <c r="A463" s="221"/>
      <c r="B463" s="221"/>
      <c r="AQ463" s="222"/>
    </row>
    <row r="464">
      <c r="A464" s="221"/>
      <c r="B464" s="221"/>
      <c r="AQ464" s="222"/>
    </row>
    <row r="465">
      <c r="A465" s="221"/>
      <c r="B465" s="221"/>
      <c r="AQ465" s="222"/>
    </row>
    <row r="466">
      <c r="A466" s="221"/>
      <c r="B466" s="221"/>
      <c r="AQ466" s="222"/>
    </row>
    <row r="467">
      <c r="A467" s="221"/>
      <c r="B467" s="221"/>
      <c r="AQ467" s="222"/>
    </row>
    <row r="468">
      <c r="A468" s="221"/>
      <c r="B468" s="221"/>
      <c r="AQ468" s="222"/>
    </row>
    <row r="469">
      <c r="A469" s="221"/>
      <c r="B469" s="221"/>
      <c r="AQ469" s="222"/>
    </row>
    <row r="470">
      <c r="A470" s="221"/>
      <c r="B470" s="221"/>
      <c r="AQ470" s="222"/>
    </row>
    <row r="471">
      <c r="A471" s="221"/>
      <c r="B471" s="221"/>
      <c r="AQ471" s="222"/>
    </row>
    <row r="472">
      <c r="A472" s="221"/>
      <c r="B472" s="221"/>
      <c r="AQ472" s="222"/>
    </row>
    <row r="473">
      <c r="A473" s="221"/>
      <c r="B473" s="221"/>
      <c r="AQ473" s="222"/>
    </row>
    <row r="474">
      <c r="A474" s="221"/>
      <c r="B474" s="221"/>
      <c r="AQ474" s="222"/>
    </row>
    <row r="475">
      <c r="A475" s="221"/>
      <c r="B475" s="221"/>
      <c r="AQ475" s="222"/>
    </row>
    <row r="476">
      <c r="A476" s="221"/>
      <c r="B476" s="221"/>
      <c r="AQ476" s="222"/>
    </row>
    <row r="477">
      <c r="A477" s="221"/>
      <c r="B477" s="221"/>
      <c r="AQ477" s="222"/>
    </row>
    <row r="478">
      <c r="A478" s="221"/>
      <c r="B478" s="221"/>
      <c r="AQ478" s="222"/>
    </row>
    <row r="479">
      <c r="A479" s="221"/>
      <c r="B479" s="221"/>
      <c r="AQ479" s="222"/>
    </row>
    <row r="480">
      <c r="A480" s="221"/>
      <c r="B480" s="221"/>
      <c r="AQ480" s="222"/>
    </row>
    <row r="481">
      <c r="A481" s="221"/>
      <c r="B481" s="221"/>
      <c r="AQ481" s="222"/>
    </row>
    <row r="482">
      <c r="A482" s="221"/>
      <c r="B482" s="221"/>
      <c r="AQ482" s="222"/>
    </row>
    <row r="483">
      <c r="A483" s="221"/>
      <c r="B483" s="221"/>
      <c r="AQ483" s="222"/>
    </row>
    <row r="484">
      <c r="A484" s="221"/>
      <c r="B484" s="221"/>
      <c r="AQ484" s="222"/>
    </row>
    <row r="485">
      <c r="A485" s="221"/>
      <c r="B485" s="221"/>
      <c r="AQ485" s="222"/>
    </row>
    <row r="486">
      <c r="A486" s="221"/>
      <c r="B486" s="221"/>
      <c r="AQ486" s="222"/>
    </row>
    <row r="487">
      <c r="A487" s="221"/>
      <c r="B487" s="221"/>
      <c r="AQ487" s="222"/>
    </row>
    <row r="488">
      <c r="A488" s="221"/>
      <c r="B488" s="221"/>
      <c r="AQ488" s="222"/>
    </row>
    <row r="489">
      <c r="A489" s="221"/>
      <c r="B489" s="221"/>
      <c r="AQ489" s="222"/>
    </row>
    <row r="490">
      <c r="A490" s="221"/>
      <c r="B490" s="221"/>
      <c r="AQ490" s="222"/>
    </row>
    <row r="491">
      <c r="A491" s="221"/>
      <c r="B491" s="221"/>
      <c r="AQ491" s="222"/>
    </row>
    <row r="492">
      <c r="A492" s="221"/>
      <c r="B492" s="221"/>
      <c r="AQ492" s="222"/>
    </row>
    <row r="493">
      <c r="A493" s="221"/>
      <c r="B493" s="221"/>
      <c r="AQ493" s="222"/>
    </row>
    <row r="494">
      <c r="A494" s="221"/>
      <c r="B494" s="221"/>
      <c r="AQ494" s="222"/>
    </row>
    <row r="495">
      <c r="A495" s="221"/>
      <c r="B495" s="221"/>
      <c r="AQ495" s="222"/>
    </row>
    <row r="496">
      <c r="A496" s="221"/>
      <c r="B496" s="221"/>
      <c r="AQ496" s="222"/>
    </row>
    <row r="497">
      <c r="A497" s="221"/>
      <c r="B497" s="221"/>
      <c r="AQ497" s="222"/>
    </row>
    <row r="498">
      <c r="A498" s="221"/>
      <c r="B498" s="221"/>
      <c r="AQ498" s="222"/>
    </row>
    <row r="499">
      <c r="A499" s="221"/>
      <c r="B499" s="221"/>
      <c r="AQ499" s="222"/>
    </row>
    <row r="500">
      <c r="A500" s="221"/>
      <c r="B500" s="221"/>
      <c r="AQ500" s="222"/>
    </row>
    <row r="501">
      <c r="A501" s="221"/>
      <c r="B501" s="221"/>
      <c r="AQ501" s="222"/>
    </row>
    <row r="502">
      <c r="A502" s="221"/>
      <c r="B502" s="221"/>
      <c r="AQ502" s="222"/>
    </row>
    <row r="503">
      <c r="A503" s="221"/>
      <c r="B503" s="221"/>
      <c r="AQ503" s="222"/>
    </row>
    <row r="504">
      <c r="A504" s="221"/>
      <c r="B504" s="221"/>
      <c r="AQ504" s="222"/>
    </row>
    <row r="505">
      <c r="A505" s="221"/>
      <c r="B505" s="221"/>
      <c r="AQ505" s="222"/>
    </row>
    <row r="506">
      <c r="A506" s="221"/>
      <c r="B506" s="221"/>
      <c r="AQ506" s="222"/>
    </row>
    <row r="507">
      <c r="A507" s="221"/>
      <c r="B507" s="221"/>
      <c r="AQ507" s="222"/>
    </row>
    <row r="508">
      <c r="A508" s="221"/>
      <c r="B508" s="221"/>
      <c r="AQ508" s="222"/>
    </row>
    <row r="509">
      <c r="A509" s="221"/>
      <c r="B509" s="221"/>
      <c r="AQ509" s="222"/>
    </row>
    <row r="510">
      <c r="A510" s="221"/>
      <c r="B510" s="221"/>
      <c r="AQ510" s="222"/>
    </row>
    <row r="511">
      <c r="A511" s="221"/>
      <c r="B511" s="221"/>
      <c r="AQ511" s="222"/>
    </row>
    <row r="512">
      <c r="A512" s="221"/>
      <c r="B512" s="221"/>
      <c r="AQ512" s="222"/>
    </row>
    <row r="513">
      <c r="A513" s="221"/>
      <c r="B513" s="221"/>
      <c r="AQ513" s="222"/>
    </row>
    <row r="514">
      <c r="A514" s="221"/>
      <c r="B514" s="221"/>
      <c r="AQ514" s="222"/>
    </row>
    <row r="515">
      <c r="A515" s="221"/>
      <c r="B515" s="221"/>
      <c r="AQ515" s="222"/>
    </row>
    <row r="516">
      <c r="A516" s="221"/>
      <c r="B516" s="221"/>
      <c r="AQ516" s="222"/>
    </row>
    <row r="517">
      <c r="A517" s="221"/>
      <c r="B517" s="221"/>
      <c r="AQ517" s="222"/>
    </row>
    <row r="518">
      <c r="A518" s="221"/>
      <c r="B518" s="221"/>
      <c r="AQ518" s="222"/>
    </row>
    <row r="519">
      <c r="A519" s="221"/>
      <c r="B519" s="221"/>
      <c r="AQ519" s="222"/>
    </row>
    <row r="520">
      <c r="A520" s="221"/>
      <c r="B520" s="221"/>
      <c r="AQ520" s="222"/>
    </row>
    <row r="521">
      <c r="A521" s="221"/>
      <c r="B521" s="221"/>
      <c r="AQ521" s="222"/>
    </row>
    <row r="522">
      <c r="A522" s="221"/>
      <c r="B522" s="221"/>
      <c r="AQ522" s="222"/>
    </row>
    <row r="523">
      <c r="A523" s="221"/>
      <c r="B523" s="221"/>
      <c r="AQ523" s="222"/>
    </row>
    <row r="524">
      <c r="A524" s="221"/>
      <c r="B524" s="221"/>
      <c r="AQ524" s="222"/>
    </row>
    <row r="525">
      <c r="A525" s="221"/>
      <c r="B525" s="221"/>
      <c r="AQ525" s="222"/>
    </row>
    <row r="526">
      <c r="A526" s="221"/>
      <c r="B526" s="221"/>
      <c r="AQ526" s="222"/>
    </row>
    <row r="527">
      <c r="A527" s="221"/>
      <c r="B527" s="221"/>
      <c r="AQ527" s="222"/>
    </row>
    <row r="528">
      <c r="A528" s="221"/>
      <c r="B528" s="221"/>
      <c r="AQ528" s="222"/>
    </row>
    <row r="529">
      <c r="A529" s="221"/>
      <c r="B529" s="221"/>
      <c r="AQ529" s="222"/>
    </row>
    <row r="530">
      <c r="A530" s="221"/>
      <c r="B530" s="221"/>
      <c r="AQ530" s="222"/>
    </row>
    <row r="531">
      <c r="A531" s="221"/>
      <c r="B531" s="221"/>
      <c r="AQ531" s="222"/>
    </row>
    <row r="532">
      <c r="A532" s="221"/>
      <c r="B532" s="221"/>
      <c r="AQ532" s="222"/>
    </row>
    <row r="533">
      <c r="A533" s="221"/>
      <c r="B533" s="221"/>
      <c r="AQ533" s="222"/>
    </row>
    <row r="534">
      <c r="A534" s="221"/>
      <c r="B534" s="221"/>
      <c r="AQ534" s="222"/>
    </row>
    <row r="535">
      <c r="A535" s="221"/>
      <c r="B535" s="221"/>
      <c r="AQ535" s="222"/>
    </row>
    <row r="536">
      <c r="A536" s="221"/>
      <c r="B536" s="221"/>
      <c r="AQ536" s="222"/>
    </row>
    <row r="537">
      <c r="A537" s="221"/>
      <c r="B537" s="221"/>
      <c r="AQ537" s="222"/>
    </row>
    <row r="538">
      <c r="A538" s="221"/>
      <c r="B538" s="221"/>
      <c r="AQ538" s="222"/>
    </row>
    <row r="539">
      <c r="A539" s="221"/>
      <c r="B539" s="221"/>
      <c r="AQ539" s="222"/>
    </row>
    <row r="540">
      <c r="A540" s="221"/>
      <c r="B540" s="221"/>
      <c r="AQ540" s="222"/>
    </row>
    <row r="541">
      <c r="A541" s="221"/>
      <c r="B541" s="221"/>
      <c r="AQ541" s="222"/>
    </row>
    <row r="542">
      <c r="A542" s="221"/>
      <c r="B542" s="221"/>
      <c r="AQ542" s="222"/>
    </row>
    <row r="543">
      <c r="A543" s="221"/>
      <c r="B543" s="221"/>
      <c r="AQ543" s="222"/>
    </row>
    <row r="544">
      <c r="A544" s="221"/>
      <c r="B544" s="221"/>
      <c r="AQ544" s="222"/>
    </row>
    <row r="545">
      <c r="A545" s="221"/>
      <c r="B545" s="221"/>
      <c r="AQ545" s="222"/>
    </row>
    <row r="546">
      <c r="A546" s="221"/>
      <c r="B546" s="221"/>
      <c r="AQ546" s="222"/>
    </row>
    <row r="547">
      <c r="A547" s="221"/>
      <c r="B547" s="221"/>
      <c r="AQ547" s="222"/>
    </row>
    <row r="548">
      <c r="A548" s="221"/>
      <c r="B548" s="221"/>
      <c r="AQ548" s="222"/>
    </row>
    <row r="549">
      <c r="A549" s="221"/>
      <c r="B549" s="221"/>
      <c r="AQ549" s="222"/>
    </row>
    <row r="550">
      <c r="A550" s="221"/>
      <c r="B550" s="221"/>
      <c r="AQ550" s="222"/>
    </row>
    <row r="551">
      <c r="A551" s="221"/>
      <c r="B551" s="221"/>
      <c r="AQ551" s="222"/>
    </row>
    <row r="552">
      <c r="A552" s="221"/>
      <c r="B552" s="221"/>
      <c r="AQ552" s="222"/>
    </row>
    <row r="553">
      <c r="A553" s="221"/>
      <c r="B553" s="221"/>
      <c r="AQ553" s="222"/>
    </row>
    <row r="554">
      <c r="A554" s="221"/>
      <c r="B554" s="221"/>
      <c r="AQ554" s="222"/>
    </row>
    <row r="555">
      <c r="A555" s="221"/>
      <c r="B555" s="221"/>
      <c r="AQ555" s="222"/>
    </row>
    <row r="556">
      <c r="A556" s="221"/>
      <c r="B556" s="221"/>
      <c r="AQ556" s="222"/>
    </row>
    <row r="557">
      <c r="A557" s="221"/>
      <c r="B557" s="221"/>
      <c r="AQ557" s="222"/>
    </row>
    <row r="558">
      <c r="A558" s="221"/>
      <c r="B558" s="221"/>
      <c r="AQ558" s="222"/>
    </row>
    <row r="559">
      <c r="A559" s="221"/>
      <c r="B559" s="221"/>
      <c r="AQ559" s="222"/>
    </row>
    <row r="560">
      <c r="A560" s="221"/>
      <c r="B560" s="221"/>
      <c r="AQ560" s="222"/>
    </row>
    <row r="561">
      <c r="A561" s="221"/>
      <c r="B561" s="221"/>
      <c r="AQ561" s="222"/>
    </row>
    <row r="562">
      <c r="A562" s="221"/>
      <c r="B562" s="221"/>
      <c r="AQ562" s="222"/>
    </row>
    <row r="563">
      <c r="A563" s="221"/>
      <c r="B563" s="221"/>
      <c r="AQ563" s="222"/>
    </row>
    <row r="564">
      <c r="A564" s="221"/>
      <c r="B564" s="221"/>
      <c r="AQ564" s="222"/>
    </row>
    <row r="565">
      <c r="A565" s="221"/>
      <c r="B565" s="221"/>
      <c r="AQ565" s="222"/>
    </row>
    <row r="566">
      <c r="A566" s="221"/>
      <c r="B566" s="221"/>
      <c r="AQ566" s="222"/>
    </row>
    <row r="567">
      <c r="A567" s="221"/>
      <c r="B567" s="221"/>
      <c r="AQ567" s="222"/>
    </row>
    <row r="568">
      <c r="A568" s="221"/>
      <c r="B568" s="221"/>
      <c r="AQ568" s="222"/>
    </row>
    <row r="569">
      <c r="A569" s="221"/>
      <c r="B569" s="221"/>
      <c r="AQ569" s="222"/>
    </row>
    <row r="570">
      <c r="A570" s="221"/>
      <c r="B570" s="221"/>
      <c r="AQ570" s="222"/>
    </row>
    <row r="571">
      <c r="A571" s="221"/>
      <c r="B571" s="221"/>
      <c r="AQ571" s="222"/>
    </row>
    <row r="572">
      <c r="A572" s="221"/>
      <c r="B572" s="221"/>
      <c r="AQ572" s="222"/>
    </row>
    <row r="573">
      <c r="A573" s="221"/>
      <c r="B573" s="221"/>
      <c r="AQ573" s="222"/>
    </row>
    <row r="574">
      <c r="A574" s="221"/>
      <c r="B574" s="221"/>
      <c r="AQ574" s="222"/>
    </row>
    <row r="575">
      <c r="A575" s="221"/>
      <c r="B575" s="221"/>
      <c r="AQ575" s="222"/>
    </row>
    <row r="576">
      <c r="A576" s="221"/>
      <c r="B576" s="221"/>
      <c r="AQ576" s="222"/>
    </row>
    <row r="577">
      <c r="A577" s="221"/>
      <c r="B577" s="221"/>
      <c r="AQ577" s="222"/>
    </row>
    <row r="578">
      <c r="A578" s="221"/>
      <c r="B578" s="221"/>
      <c r="AQ578" s="222"/>
    </row>
    <row r="579">
      <c r="A579" s="221"/>
      <c r="B579" s="221"/>
      <c r="AQ579" s="222"/>
    </row>
    <row r="580">
      <c r="A580" s="221"/>
      <c r="B580" s="221"/>
      <c r="AQ580" s="222"/>
    </row>
    <row r="581">
      <c r="A581" s="221"/>
      <c r="B581" s="221"/>
      <c r="AQ581" s="222"/>
    </row>
    <row r="582">
      <c r="A582" s="221"/>
      <c r="B582" s="221"/>
      <c r="AQ582" s="222"/>
    </row>
    <row r="583">
      <c r="A583" s="221"/>
      <c r="B583" s="221"/>
      <c r="AQ583" s="222"/>
    </row>
    <row r="584">
      <c r="A584" s="221"/>
      <c r="B584" s="221"/>
      <c r="AQ584" s="222"/>
    </row>
    <row r="585">
      <c r="A585" s="221"/>
      <c r="B585" s="221"/>
      <c r="AQ585" s="222"/>
    </row>
    <row r="586">
      <c r="A586" s="221"/>
      <c r="B586" s="221"/>
      <c r="AQ586" s="222"/>
    </row>
    <row r="587">
      <c r="A587" s="221"/>
      <c r="B587" s="221"/>
      <c r="AQ587" s="222"/>
    </row>
    <row r="588">
      <c r="A588" s="221"/>
      <c r="B588" s="221"/>
      <c r="AQ588" s="222"/>
    </row>
    <row r="589">
      <c r="A589" s="221"/>
      <c r="B589" s="221"/>
      <c r="AQ589" s="222"/>
    </row>
    <row r="590">
      <c r="A590" s="221"/>
      <c r="B590" s="221"/>
      <c r="AQ590" s="222"/>
    </row>
    <row r="591">
      <c r="A591" s="221"/>
      <c r="B591" s="221"/>
      <c r="AQ591" s="222"/>
    </row>
    <row r="592">
      <c r="A592" s="221"/>
      <c r="B592" s="221"/>
      <c r="AQ592" s="222"/>
    </row>
    <row r="593">
      <c r="A593" s="221"/>
      <c r="B593" s="221"/>
      <c r="AQ593" s="222"/>
    </row>
    <row r="594">
      <c r="A594" s="221"/>
      <c r="B594" s="221"/>
      <c r="AQ594" s="222"/>
    </row>
    <row r="595">
      <c r="A595" s="221"/>
      <c r="B595" s="221"/>
      <c r="AQ595" s="222"/>
    </row>
    <row r="596">
      <c r="A596" s="221"/>
      <c r="B596" s="221"/>
      <c r="AQ596" s="222"/>
    </row>
    <row r="597">
      <c r="A597" s="221"/>
      <c r="B597" s="221"/>
      <c r="AQ597" s="222"/>
    </row>
    <row r="598">
      <c r="A598" s="221"/>
      <c r="B598" s="221"/>
      <c r="AQ598" s="222"/>
    </row>
    <row r="599">
      <c r="A599" s="221"/>
      <c r="B599" s="221"/>
      <c r="AQ599" s="222"/>
    </row>
    <row r="600">
      <c r="A600" s="221"/>
      <c r="B600" s="221"/>
      <c r="AQ600" s="222"/>
    </row>
    <row r="601">
      <c r="A601" s="221"/>
      <c r="B601" s="221"/>
      <c r="AQ601" s="222"/>
    </row>
    <row r="602">
      <c r="A602" s="221"/>
      <c r="B602" s="221"/>
      <c r="AQ602" s="222"/>
    </row>
    <row r="603">
      <c r="A603" s="221"/>
      <c r="B603" s="221"/>
      <c r="AQ603" s="222"/>
    </row>
    <row r="604">
      <c r="A604" s="221"/>
      <c r="B604" s="221"/>
      <c r="AQ604" s="222"/>
    </row>
    <row r="605">
      <c r="A605" s="221"/>
      <c r="B605" s="221"/>
      <c r="AQ605" s="222"/>
    </row>
    <row r="606">
      <c r="A606" s="221"/>
      <c r="B606" s="221"/>
      <c r="AQ606" s="222"/>
    </row>
    <row r="607">
      <c r="A607" s="221"/>
      <c r="B607" s="221"/>
      <c r="AQ607" s="222"/>
    </row>
    <row r="608">
      <c r="A608" s="221"/>
      <c r="B608" s="221"/>
      <c r="AQ608" s="222"/>
    </row>
    <row r="609">
      <c r="A609" s="221"/>
      <c r="B609" s="221"/>
      <c r="AQ609" s="222"/>
    </row>
    <row r="610">
      <c r="A610" s="221"/>
      <c r="B610" s="221"/>
      <c r="AQ610" s="222"/>
    </row>
    <row r="611">
      <c r="A611" s="221"/>
      <c r="B611" s="221"/>
      <c r="AQ611" s="222"/>
    </row>
    <row r="612">
      <c r="A612" s="221"/>
      <c r="B612" s="221"/>
      <c r="AQ612" s="222"/>
    </row>
    <row r="613">
      <c r="A613" s="221"/>
      <c r="B613" s="221"/>
      <c r="AQ613" s="222"/>
    </row>
    <row r="614">
      <c r="A614" s="221"/>
      <c r="B614" s="221"/>
      <c r="AQ614" s="222"/>
    </row>
    <row r="615">
      <c r="A615" s="221"/>
      <c r="B615" s="221"/>
      <c r="AQ615" s="222"/>
    </row>
    <row r="616">
      <c r="A616" s="221"/>
      <c r="B616" s="221"/>
      <c r="AQ616" s="222"/>
    </row>
    <row r="617">
      <c r="A617" s="221"/>
      <c r="B617" s="221"/>
      <c r="AQ617" s="222"/>
    </row>
    <row r="618">
      <c r="A618" s="221"/>
      <c r="B618" s="221"/>
      <c r="AQ618" s="222"/>
    </row>
    <row r="619">
      <c r="A619" s="221"/>
      <c r="B619" s="221"/>
      <c r="AQ619" s="222"/>
    </row>
    <row r="620">
      <c r="A620" s="221"/>
      <c r="B620" s="221"/>
      <c r="AQ620" s="222"/>
    </row>
    <row r="621">
      <c r="A621" s="221"/>
      <c r="B621" s="221"/>
      <c r="AQ621" s="222"/>
    </row>
    <row r="622">
      <c r="A622" s="221"/>
      <c r="B622" s="221"/>
      <c r="AQ622" s="222"/>
    </row>
    <row r="623">
      <c r="A623" s="221"/>
      <c r="B623" s="221"/>
      <c r="AQ623" s="222"/>
    </row>
    <row r="624">
      <c r="A624" s="221"/>
      <c r="B624" s="221"/>
      <c r="AQ624" s="222"/>
    </row>
    <row r="625">
      <c r="A625" s="221"/>
      <c r="B625" s="221"/>
      <c r="AQ625" s="222"/>
    </row>
    <row r="626">
      <c r="A626" s="221"/>
      <c r="B626" s="221"/>
      <c r="AQ626" s="222"/>
    </row>
    <row r="627">
      <c r="A627" s="221"/>
      <c r="B627" s="221"/>
      <c r="AQ627" s="222"/>
    </row>
    <row r="628">
      <c r="A628" s="221"/>
      <c r="B628" s="221"/>
      <c r="AQ628" s="222"/>
    </row>
    <row r="629">
      <c r="A629" s="221"/>
      <c r="B629" s="221"/>
      <c r="AQ629" s="222"/>
    </row>
    <row r="630">
      <c r="A630" s="221"/>
      <c r="B630" s="221"/>
      <c r="AQ630" s="222"/>
    </row>
    <row r="631">
      <c r="A631" s="221"/>
      <c r="B631" s="221"/>
      <c r="AQ631" s="222"/>
    </row>
    <row r="632">
      <c r="A632" s="221"/>
      <c r="B632" s="221"/>
      <c r="AQ632" s="222"/>
    </row>
    <row r="633">
      <c r="A633" s="221"/>
      <c r="B633" s="221"/>
      <c r="AQ633" s="222"/>
    </row>
    <row r="634">
      <c r="A634" s="221"/>
      <c r="B634" s="221"/>
      <c r="AQ634" s="222"/>
    </row>
    <row r="635">
      <c r="A635" s="221"/>
      <c r="B635" s="221"/>
      <c r="AQ635" s="222"/>
    </row>
    <row r="636">
      <c r="A636" s="221"/>
      <c r="B636" s="221"/>
      <c r="AQ636" s="222"/>
    </row>
    <row r="637">
      <c r="A637" s="221"/>
      <c r="B637" s="221"/>
      <c r="AQ637" s="222"/>
    </row>
    <row r="638">
      <c r="A638" s="221"/>
      <c r="B638" s="221"/>
      <c r="AQ638" s="222"/>
    </row>
    <row r="639">
      <c r="A639" s="221"/>
      <c r="B639" s="221"/>
      <c r="AQ639" s="222"/>
    </row>
    <row r="640">
      <c r="A640" s="221"/>
      <c r="B640" s="221"/>
      <c r="AQ640" s="222"/>
    </row>
    <row r="641">
      <c r="A641" s="221"/>
      <c r="B641" s="221"/>
      <c r="AQ641" s="222"/>
    </row>
    <row r="642">
      <c r="A642" s="221"/>
      <c r="B642" s="221"/>
      <c r="AQ642" s="222"/>
    </row>
    <row r="643">
      <c r="A643" s="221"/>
      <c r="B643" s="221"/>
      <c r="AQ643" s="222"/>
    </row>
    <row r="644">
      <c r="A644" s="221"/>
      <c r="B644" s="221"/>
      <c r="AQ644" s="222"/>
    </row>
    <row r="645">
      <c r="A645" s="221"/>
      <c r="B645" s="221"/>
      <c r="AQ645" s="222"/>
    </row>
    <row r="646">
      <c r="A646" s="221"/>
      <c r="B646" s="221"/>
      <c r="AQ646" s="222"/>
    </row>
    <row r="647">
      <c r="A647" s="221"/>
      <c r="B647" s="221"/>
      <c r="AQ647" s="222"/>
    </row>
    <row r="648">
      <c r="A648" s="221"/>
      <c r="B648" s="221"/>
      <c r="AQ648" s="222"/>
    </row>
    <row r="649">
      <c r="A649" s="221"/>
      <c r="B649" s="221"/>
      <c r="AQ649" s="222"/>
    </row>
    <row r="650">
      <c r="A650" s="221"/>
      <c r="B650" s="221"/>
      <c r="AQ650" s="222"/>
    </row>
    <row r="651">
      <c r="A651" s="221"/>
      <c r="B651" s="221"/>
      <c r="AQ651" s="222"/>
    </row>
    <row r="652">
      <c r="A652" s="221"/>
      <c r="B652" s="221"/>
      <c r="AQ652" s="222"/>
    </row>
    <row r="653">
      <c r="A653" s="221"/>
      <c r="B653" s="221"/>
      <c r="AQ653" s="222"/>
    </row>
    <row r="654">
      <c r="A654" s="221"/>
      <c r="B654" s="221"/>
      <c r="AQ654" s="222"/>
    </row>
    <row r="655">
      <c r="A655" s="221"/>
      <c r="B655" s="221"/>
      <c r="AQ655" s="222"/>
    </row>
    <row r="656">
      <c r="A656" s="221"/>
      <c r="B656" s="221"/>
      <c r="AQ656" s="222"/>
    </row>
    <row r="657">
      <c r="A657" s="221"/>
      <c r="B657" s="221"/>
      <c r="AQ657" s="222"/>
    </row>
    <row r="658">
      <c r="A658" s="221"/>
      <c r="B658" s="221"/>
      <c r="AQ658" s="222"/>
    </row>
    <row r="659">
      <c r="A659" s="221"/>
      <c r="B659" s="221"/>
      <c r="AQ659" s="222"/>
    </row>
    <row r="660">
      <c r="A660" s="221"/>
      <c r="B660" s="221"/>
      <c r="AQ660" s="222"/>
    </row>
    <row r="661">
      <c r="A661" s="221"/>
      <c r="B661" s="221"/>
      <c r="AQ661" s="222"/>
    </row>
    <row r="662">
      <c r="A662" s="221"/>
      <c r="B662" s="221"/>
      <c r="AQ662" s="222"/>
    </row>
    <row r="663">
      <c r="A663" s="221"/>
      <c r="B663" s="221"/>
      <c r="AQ663" s="222"/>
    </row>
    <row r="664">
      <c r="A664" s="221"/>
      <c r="B664" s="221"/>
      <c r="AQ664" s="222"/>
    </row>
    <row r="665">
      <c r="A665" s="221"/>
      <c r="B665" s="221"/>
      <c r="AQ665" s="222"/>
    </row>
    <row r="666">
      <c r="A666" s="221"/>
      <c r="B666" s="221"/>
      <c r="AQ666" s="222"/>
    </row>
    <row r="667">
      <c r="A667" s="221"/>
      <c r="B667" s="221"/>
      <c r="AQ667" s="222"/>
    </row>
    <row r="668">
      <c r="A668" s="221"/>
      <c r="B668" s="221"/>
      <c r="AQ668" s="222"/>
    </row>
    <row r="669">
      <c r="A669" s="221"/>
      <c r="B669" s="221"/>
      <c r="AQ669" s="222"/>
    </row>
    <row r="670">
      <c r="A670" s="221"/>
      <c r="B670" s="221"/>
      <c r="AQ670" s="222"/>
    </row>
    <row r="671">
      <c r="A671" s="221"/>
      <c r="B671" s="221"/>
      <c r="AQ671" s="222"/>
    </row>
    <row r="672">
      <c r="A672" s="221"/>
      <c r="B672" s="221"/>
      <c r="AQ672" s="222"/>
    </row>
    <row r="673">
      <c r="A673" s="221"/>
      <c r="B673" s="221"/>
      <c r="AQ673" s="222"/>
    </row>
    <row r="674">
      <c r="A674" s="221"/>
      <c r="B674" s="221"/>
      <c r="AQ674" s="222"/>
    </row>
    <row r="675">
      <c r="A675" s="221"/>
      <c r="B675" s="221"/>
      <c r="AQ675" s="222"/>
    </row>
    <row r="676">
      <c r="A676" s="221"/>
      <c r="B676" s="221"/>
      <c r="AQ676" s="222"/>
    </row>
    <row r="677">
      <c r="A677" s="221"/>
      <c r="B677" s="221"/>
      <c r="AQ677" s="222"/>
    </row>
    <row r="678">
      <c r="A678" s="221"/>
      <c r="B678" s="221"/>
      <c r="AQ678" s="222"/>
    </row>
    <row r="679">
      <c r="A679" s="221"/>
      <c r="B679" s="221"/>
      <c r="AQ679" s="222"/>
    </row>
    <row r="680">
      <c r="A680" s="221"/>
      <c r="B680" s="221"/>
      <c r="AQ680" s="222"/>
    </row>
    <row r="681">
      <c r="A681" s="221"/>
      <c r="B681" s="221"/>
      <c r="AQ681" s="222"/>
    </row>
    <row r="682">
      <c r="A682" s="221"/>
      <c r="B682" s="221"/>
      <c r="AQ682" s="222"/>
    </row>
    <row r="683">
      <c r="A683" s="221"/>
      <c r="B683" s="221"/>
      <c r="AQ683" s="222"/>
    </row>
    <row r="684">
      <c r="A684" s="221"/>
      <c r="B684" s="221"/>
      <c r="AQ684" s="222"/>
    </row>
    <row r="685">
      <c r="A685" s="221"/>
      <c r="B685" s="221"/>
      <c r="AQ685" s="222"/>
    </row>
    <row r="686">
      <c r="A686" s="221"/>
      <c r="B686" s="221"/>
      <c r="AQ686" s="222"/>
    </row>
    <row r="687">
      <c r="A687" s="221"/>
      <c r="B687" s="221"/>
      <c r="AQ687" s="222"/>
    </row>
    <row r="688">
      <c r="A688" s="221"/>
      <c r="B688" s="221"/>
      <c r="AQ688" s="222"/>
    </row>
    <row r="689">
      <c r="A689" s="221"/>
      <c r="B689" s="221"/>
      <c r="AQ689" s="222"/>
    </row>
    <row r="690">
      <c r="A690" s="221"/>
      <c r="B690" s="221"/>
      <c r="AQ690" s="222"/>
    </row>
    <row r="691">
      <c r="A691" s="221"/>
      <c r="B691" s="221"/>
      <c r="AQ691" s="222"/>
    </row>
    <row r="692">
      <c r="A692" s="221"/>
      <c r="B692" s="221"/>
      <c r="AQ692" s="222"/>
    </row>
    <row r="693">
      <c r="A693" s="221"/>
      <c r="B693" s="221"/>
      <c r="AQ693" s="222"/>
    </row>
    <row r="694">
      <c r="A694" s="221"/>
      <c r="B694" s="221"/>
      <c r="AQ694" s="222"/>
    </row>
    <row r="695">
      <c r="A695" s="221"/>
      <c r="B695" s="221"/>
      <c r="AQ695" s="222"/>
    </row>
    <row r="696">
      <c r="A696" s="221"/>
      <c r="B696" s="221"/>
      <c r="AQ696" s="222"/>
    </row>
    <row r="697">
      <c r="A697" s="221"/>
      <c r="B697" s="221"/>
      <c r="AQ697" s="222"/>
    </row>
    <row r="698">
      <c r="A698" s="221"/>
      <c r="B698" s="221"/>
      <c r="AQ698" s="222"/>
    </row>
    <row r="699">
      <c r="A699" s="221"/>
      <c r="B699" s="221"/>
      <c r="AQ699" s="222"/>
    </row>
    <row r="700">
      <c r="A700" s="221"/>
      <c r="B700" s="221"/>
      <c r="AQ700" s="222"/>
    </row>
    <row r="701">
      <c r="A701" s="221"/>
      <c r="B701" s="221"/>
      <c r="AQ701" s="222"/>
    </row>
    <row r="702">
      <c r="A702" s="221"/>
      <c r="B702" s="221"/>
      <c r="AQ702" s="222"/>
    </row>
    <row r="703">
      <c r="A703" s="221"/>
      <c r="B703" s="221"/>
      <c r="AQ703" s="222"/>
    </row>
    <row r="704">
      <c r="A704" s="221"/>
      <c r="B704" s="221"/>
      <c r="AQ704" s="222"/>
    </row>
    <row r="705">
      <c r="A705" s="221"/>
      <c r="B705" s="221"/>
      <c r="AQ705" s="222"/>
    </row>
    <row r="706">
      <c r="A706" s="221"/>
      <c r="B706" s="221"/>
      <c r="AQ706" s="222"/>
    </row>
    <row r="707">
      <c r="A707" s="221"/>
      <c r="B707" s="221"/>
      <c r="AQ707" s="222"/>
    </row>
    <row r="708">
      <c r="A708" s="221"/>
      <c r="B708" s="221"/>
      <c r="AQ708" s="222"/>
    </row>
    <row r="709">
      <c r="A709" s="221"/>
      <c r="B709" s="221"/>
      <c r="AQ709" s="222"/>
    </row>
    <row r="710">
      <c r="A710" s="221"/>
      <c r="B710" s="221"/>
      <c r="AQ710" s="222"/>
    </row>
    <row r="711">
      <c r="A711" s="221"/>
      <c r="B711" s="221"/>
      <c r="AQ711" s="222"/>
    </row>
    <row r="712">
      <c r="A712" s="221"/>
      <c r="B712" s="221"/>
      <c r="AQ712" s="222"/>
    </row>
    <row r="713">
      <c r="A713" s="221"/>
      <c r="B713" s="221"/>
      <c r="AQ713" s="222"/>
    </row>
    <row r="714">
      <c r="A714" s="221"/>
      <c r="B714" s="221"/>
      <c r="AQ714" s="222"/>
    </row>
    <row r="715">
      <c r="A715" s="221"/>
      <c r="B715" s="221"/>
      <c r="AQ715" s="222"/>
    </row>
    <row r="716">
      <c r="A716" s="221"/>
      <c r="B716" s="221"/>
      <c r="AQ716" s="222"/>
    </row>
    <row r="717">
      <c r="A717" s="221"/>
      <c r="B717" s="221"/>
      <c r="AQ717" s="222"/>
    </row>
    <row r="718">
      <c r="A718" s="221"/>
      <c r="B718" s="221"/>
      <c r="AQ718" s="222"/>
    </row>
    <row r="719">
      <c r="A719" s="221"/>
      <c r="B719" s="221"/>
      <c r="AQ719" s="222"/>
    </row>
    <row r="720">
      <c r="A720" s="221"/>
      <c r="B720" s="221"/>
      <c r="AQ720" s="222"/>
    </row>
    <row r="721">
      <c r="A721" s="221"/>
      <c r="B721" s="221"/>
      <c r="AQ721" s="222"/>
    </row>
    <row r="722">
      <c r="A722" s="221"/>
      <c r="B722" s="221"/>
      <c r="AQ722" s="222"/>
    </row>
    <row r="723">
      <c r="A723" s="221"/>
      <c r="B723" s="221"/>
      <c r="AQ723" s="222"/>
    </row>
    <row r="724">
      <c r="A724" s="221"/>
      <c r="B724" s="221"/>
      <c r="AQ724" s="222"/>
    </row>
    <row r="725">
      <c r="A725" s="221"/>
      <c r="B725" s="221"/>
      <c r="AQ725" s="222"/>
    </row>
    <row r="726">
      <c r="A726" s="221"/>
      <c r="B726" s="221"/>
      <c r="AQ726" s="222"/>
    </row>
    <row r="727">
      <c r="A727" s="221"/>
      <c r="B727" s="221"/>
      <c r="AQ727" s="222"/>
    </row>
    <row r="728">
      <c r="A728" s="221"/>
      <c r="B728" s="221"/>
      <c r="AQ728" s="222"/>
    </row>
    <row r="729">
      <c r="A729" s="221"/>
      <c r="B729" s="221"/>
      <c r="AQ729" s="222"/>
    </row>
    <row r="730">
      <c r="A730" s="221"/>
      <c r="B730" s="221"/>
      <c r="AQ730" s="222"/>
    </row>
    <row r="731">
      <c r="A731" s="221"/>
      <c r="B731" s="221"/>
      <c r="AQ731" s="222"/>
    </row>
    <row r="732">
      <c r="A732" s="221"/>
      <c r="B732" s="221"/>
      <c r="AQ732" s="222"/>
    </row>
    <row r="733">
      <c r="A733" s="221"/>
      <c r="B733" s="221"/>
      <c r="AQ733" s="222"/>
    </row>
    <row r="734">
      <c r="A734" s="221"/>
      <c r="B734" s="221"/>
      <c r="AQ734" s="222"/>
    </row>
    <row r="735">
      <c r="A735" s="221"/>
      <c r="B735" s="221"/>
      <c r="AQ735" s="222"/>
    </row>
    <row r="736">
      <c r="A736" s="221"/>
      <c r="B736" s="221"/>
      <c r="AQ736" s="222"/>
    </row>
    <row r="737">
      <c r="A737" s="221"/>
      <c r="B737" s="221"/>
      <c r="AQ737" s="222"/>
    </row>
    <row r="738">
      <c r="A738" s="221"/>
      <c r="B738" s="221"/>
      <c r="AQ738" s="222"/>
    </row>
    <row r="739">
      <c r="A739" s="221"/>
      <c r="B739" s="221"/>
      <c r="AQ739" s="222"/>
    </row>
    <row r="740">
      <c r="A740" s="221"/>
      <c r="B740" s="221"/>
      <c r="AQ740" s="222"/>
    </row>
    <row r="741">
      <c r="A741" s="221"/>
      <c r="B741" s="221"/>
      <c r="AQ741" s="222"/>
    </row>
    <row r="742">
      <c r="A742" s="221"/>
      <c r="B742" s="221"/>
      <c r="AQ742" s="222"/>
    </row>
    <row r="743">
      <c r="A743" s="221"/>
      <c r="B743" s="221"/>
      <c r="AQ743" s="222"/>
    </row>
    <row r="744">
      <c r="A744" s="221"/>
      <c r="B744" s="221"/>
      <c r="AQ744" s="222"/>
    </row>
    <row r="745">
      <c r="A745" s="221"/>
      <c r="B745" s="221"/>
      <c r="AQ745" s="222"/>
    </row>
    <row r="746">
      <c r="A746" s="221"/>
      <c r="B746" s="221"/>
      <c r="AQ746" s="222"/>
    </row>
    <row r="747">
      <c r="A747" s="221"/>
      <c r="B747" s="221"/>
      <c r="AQ747" s="222"/>
    </row>
    <row r="748">
      <c r="A748" s="221"/>
      <c r="B748" s="221"/>
      <c r="AQ748" s="222"/>
    </row>
    <row r="749">
      <c r="A749" s="221"/>
      <c r="B749" s="221"/>
      <c r="AQ749" s="222"/>
    </row>
    <row r="750">
      <c r="A750" s="221"/>
      <c r="B750" s="221"/>
      <c r="AQ750" s="222"/>
    </row>
    <row r="751">
      <c r="A751" s="221"/>
      <c r="B751" s="221"/>
      <c r="AQ751" s="222"/>
    </row>
    <row r="752">
      <c r="A752" s="221"/>
      <c r="B752" s="221"/>
      <c r="AQ752" s="222"/>
    </row>
    <row r="753">
      <c r="A753" s="221"/>
      <c r="B753" s="221"/>
      <c r="AQ753" s="222"/>
    </row>
    <row r="754">
      <c r="A754" s="221"/>
      <c r="B754" s="221"/>
      <c r="AQ754" s="222"/>
    </row>
    <row r="755">
      <c r="A755" s="221"/>
      <c r="B755" s="221"/>
      <c r="AQ755" s="222"/>
    </row>
    <row r="756">
      <c r="A756" s="221"/>
      <c r="B756" s="221"/>
      <c r="AQ756" s="222"/>
    </row>
    <row r="757">
      <c r="A757" s="221"/>
      <c r="B757" s="221"/>
      <c r="AQ757" s="222"/>
    </row>
    <row r="758">
      <c r="A758" s="221"/>
      <c r="B758" s="221"/>
      <c r="AQ758" s="222"/>
    </row>
    <row r="759">
      <c r="A759" s="221"/>
      <c r="B759" s="221"/>
      <c r="AQ759" s="222"/>
    </row>
    <row r="760">
      <c r="A760" s="221"/>
      <c r="B760" s="221"/>
      <c r="AQ760" s="222"/>
    </row>
    <row r="761">
      <c r="A761" s="221"/>
      <c r="B761" s="221"/>
      <c r="AQ761" s="222"/>
    </row>
    <row r="762">
      <c r="A762" s="221"/>
      <c r="B762" s="221"/>
      <c r="AQ762" s="222"/>
    </row>
    <row r="763">
      <c r="A763" s="221"/>
      <c r="B763" s="221"/>
      <c r="AQ763" s="222"/>
    </row>
    <row r="764">
      <c r="A764" s="221"/>
      <c r="B764" s="221"/>
      <c r="AQ764" s="222"/>
    </row>
    <row r="765">
      <c r="A765" s="221"/>
      <c r="B765" s="221"/>
      <c r="AQ765" s="222"/>
    </row>
    <row r="766">
      <c r="A766" s="221"/>
      <c r="B766" s="221"/>
      <c r="AQ766" s="222"/>
    </row>
    <row r="767">
      <c r="A767" s="221"/>
      <c r="B767" s="221"/>
      <c r="AQ767" s="222"/>
    </row>
    <row r="768">
      <c r="A768" s="221"/>
      <c r="B768" s="221"/>
      <c r="AQ768" s="222"/>
    </row>
    <row r="769">
      <c r="A769" s="221"/>
      <c r="B769" s="221"/>
      <c r="AQ769" s="222"/>
    </row>
    <row r="770">
      <c r="A770" s="221"/>
      <c r="B770" s="221"/>
      <c r="AQ770" s="222"/>
    </row>
    <row r="771">
      <c r="A771" s="221"/>
      <c r="B771" s="221"/>
      <c r="AQ771" s="222"/>
    </row>
    <row r="772">
      <c r="A772" s="221"/>
      <c r="B772" s="221"/>
      <c r="AQ772" s="222"/>
    </row>
    <row r="773">
      <c r="A773" s="221"/>
      <c r="B773" s="221"/>
      <c r="AQ773" s="222"/>
    </row>
    <row r="774">
      <c r="A774" s="221"/>
      <c r="B774" s="221"/>
      <c r="AQ774" s="222"/>
    </row>
    <row r="775">
      <c r="A775" s="221"/>
      <c r="B775" s="221"/>
      <c r="AQ775" s="222"/>
    </row>
    <row r="776">
      <c r="A776" s="221"/>
      <c r="B776" s="221"/>
      <c r="AQ776" s="222"/>
    </row>
    <row r="777">
      <c r="A777" s="221"/>
      <c r="B777" s="221"/>
      <c r="AQ777" s="222"/>
    </row>
    <row r="778">
      <c r="A778" s="221"/>
      <c r="B778" s="221"/>
      <c r="AQ778" s="222"/>
    </row>
    <row r="779">
      <c r="A779" s="221"/>
      <c r="B779" s="221"/>
      <c r="AQ779" s="222"/>
    </row>
    <row r="780">
      <c r="A780" s="221"/>
      <c r="B780" s="221"/>
      <c r="AQ780" s="222"/>
    </row>
    <row r="781">
      <c r="A781" s="221"/>
      <c r="B781" s="221"/>
      <c r="AQ781" s="222"/>
    </row>
    <row r="782">
      <c r="A782" s="221"/>
      <c r="B782" s="221"/>
      <c r="AQ782" s="222"/>
    </row>
    <row r="783">
      <c r="A783" s="221"/>
      <c r="B783" s="221"/>
      <c r="AQ783" s="222"/>
    </row>
    <row r="784">
      <c r="A784" s="221"/>
      <c r="B784" s="221"/>
      <c r="AQ784" s="222"/>
    </row>
    <row r="785">
      <c r="A785" s="221"/>
      <c r="B785" s="221"/>
      <c r="AQ785" s="222"/>
    </row>
    <row r="786">
      <c r="A786" s="221"/>
      <c r="B786" s="221"/>
      <c r="AQ786" s="222"/>
    </row>
    <row r="787">
      <c r="A787" s="221"/>
      <c r="B787" s="221"/>
      <c r="AQ787" s="222"/>
    </row>
    <row r="788">
      <c r="A788" s="221"/>
      <c r="B788" s="221"/>
      <c r="AQ788" s="222"/>
    </row>
    <row r="789">
      <c r="A789" s="221"/>
      <c r="B789" s="221"/>
      <c r="AQ789" s="222"/>
    </row>
    <row r="790">
      <c r="A790" s="221"/>
      <c r="B790" s="221"/>
      <c r="AQ790" s="222"/>
    </row>
    <row r="791">
      <c r="A791" s="221"/>
      <c r="B791" s="221"/>
      <c r="AQ791" s="222"/>
    </row>
    <row r="792">
      <c r="A792" s="221"/>
      <c r="B792" s="221"/>
      <c r="AQ792" s="222"/>
    </row>
    <row r="793">
      <c r="A793" s="221"/>
      <c r="B793" s="221"/>
      <c r="AQ793" s="222"/>
    </row>
    <row r="794">
      <c r="A794" s="221"/>
      <c r="B794" s="221"/>
      <c r="AQ794" s="222"/>
    </row>
    <row r="795">
      <c r="A795" s="221"/>
      <c r="B795" s="221"/>
      <c r="AQ795" s="222"/>
    </row>
    <row r="796">
      <c r="A796" s="221"/>
      <c r="B796" s="221"/>
      <c r="AQ796" s="222"/>
    </row>
    <row r="797">
      <c r="A797" s="221"/>
      <c r="B797" s="221"/>
      <c r="AQ797" s="222"/>
    </row>
    <row r="798">
      <c r="A798" s="221"/>
      <c r="B798" s="221"/>
      <c r="AQ798" s="222"/>
    </row>
    <row r="799">
      <c r="A799" s="221"/>
      <c r="B799" s="221"/>
      <c r="AQ799" s="222"/>
    </row>
    <row r="800">
      <c r="A800" s="221"/>
      <c r="B800" s="221"/>
      <c r="AQ800" s="222"/>
    </row>
    <row r="801">
      <c r="A801" s="221"/>
      <c r="B801" s="221"/>
      <c r="AQ801" s="222"/>
    </row>
    <row r="802">
      <c r="A802" s="221"/>
      <c r="B802" s="221"/>
      <c r="AQ802" s="222"/>
    </row>
    <row r="803">
      <c r="A803" s="221"/>
      <c r="B803" s="221"/>
      <c r="AQ803" s="222"/>
    </row>
    <row r="804">
      <c r="A804" s="221"/>
      <c r="B804" s="221"/>
      <c r="AQ804" s="222"/>
    </row>
    <row r="805">
      <c r="A805" s="221"/>
      <c r="B805" s="221"/>
      <c r="AQ805" s="222"/>
    </row>
    <row r="806">
      <c r="A806" s="221"/>
      <c r="B806" s="221"/>
      <c r="AQ806" s="222"/>
    </row>
    <row r="807">
      <c r="A807" s="221"/>
      <c r="B807" s="221"/>
      <c r="AQ807" s="222"/>
    </row>
    <row r="808">
      <c r="A808" s="221"/>
      <c r="B808" s="221"/>
      <c r="AQ808" s="222"/>
    </row>
    <row r="809">
      <c r="A809" s="221"/>
      <c r="B809" s="221"/>
      <c r="AQ809" s="222"/>
    </row>
    <row r="810">
      <c r="A810" s="221"/>
      <c r="B810" s="221"/>
      <c r="AQ810" s="222"/>
    </row>
    <row r="811">
      <c r="A811" s="221"/>
      <c r="B811" s="221"/>
      <c r="AQ811" s="222"/>
    </row>
    <row r="812">
      <c r="A812" s="221"/>
      <c r="B812" s="221"/>
      <c r="AQ812" s="222"/>
    </row>
    <row r="813">
      <c r="A813" s="221"/>
      <c r="B813" s="221"/>
      <c r="AQ813" s="222"/>
    </row>
    <row r="814">
      <c r="A814" s="221"/>
      <c r="B814" s="221"/>
      <c r="AQ814" s="222"/>
    </row>
    <row r="815">
      <c r="A815" s="221"/>
      <c r="B815" s="221"/>
      <c r="AQ815" s="222"/>
    </row>
    <row r="816">
      <c r="A816" s="221"/>
      <c r="B816" s="221"/>
      <c r="AQ816" s="222"/>
    </row>
    <row r="817">
      <c r="A817" s="221"/>
      <c r="B817" s="221"/>
      <c r="AQ817" s="222"/>
    </row>
    <row r="818">
      <c r="A818" s="221"/>
      <c r="B818" s="221"/>
      <c r="AQ818" s="222"/>
    </row>
    <row r="819">
      <c r="A819" s="221"/>
      <c r="B819" s="221"/>
      <c r="AQ819" s="222"/>
    </row>
    <row r="820">
      <c r="A820" s="221"/>
      <c r="B820" s="221"/>
      <c r="AQ820" s="222"/>
    </row>
    <row r="821">
      <c r="A821" s="221"/>
      <c r="B821" s="221"/>
      <c r="AQ821" s="222"/>
    </row>
    <row r="822">
      <c r="A822" s="221"/>
      <c r="B822" s="221"/>
      <c r="AQ822" s="222"/>
    </row>
    <row r="823">
      <c r="A823" s="221"/>
      <c r="B823" s="221"/>
      <c r="AQ823" s="222"/>
    </row>
    <row r="824">
      <c r="A824" s="221"/>
      <c r="B824" s="221"/>
      <c r="AQ824" s="222"/>
    </row>
    <row r="825">
      <c r="A825" s="221"/>
      <c r="B825" s="221"/>
      <c r="AQ825" s="222"/>
    </row>
    <row r="826">
      <c r="A826" s="221"/>
      <c r="B826" s="221"/>
      <c r="AQ826" s="222"/>
    </row>
    <row r="827">
      <c r="A827" s="221"/>
      <c r="B827" s="221"/>
      <c r="AQ827" s="222"/>
    </row>
    <row r="828">
      <c r="A828" s="221"/>
      <c r="B828" s="221"/>
      <c r="AQ828" s="222"/>
    </row>
    <row r="829">
      <c r="A829" s="221"/>
      <c r="B829" s="221"/>
      <c r="AQ829" s="222"/>
    </row>
    <row r="830">
      <c r="A830" s="221"/>
      <c r="B830" s="221"/>
      <c r="AQ830" s="222"/>
    </row>
    <row r="831">
      <c r="A831" s="221"/>
      <c r="B831" s="221"/>
      <c r="AQ831" s="222"/>
    </row>
    <row r="832">
      <c r="A832" s="221"/>
      <c r="B832" s="221"/>
      <c r="AQ832" s="222"/>
    </row>
    <row r="833">
      <c r="A833" s="221"/>
      <c r="B833" s="221"/>
      <c r="AQ833" s="222"/>
    </row>
    <row r="834">
      <c r="A834" s="221"/>
      <c r="B834" s="221"/>
      <c r="AQ834" s="222"/>
    </row>
    <row r="835">
      <c r="A835" s="221"/>
      <c r="B835" s="221"/>
      <c r="AQ835" s="222"/>
    </row>
    <row r="836">
      <c r="A836" s="221"/>
      <c r="B836" s="221"/>
      <c r="AQ836" s="222"/>
    </row>
    <row r="837">
      <c r="A837" s="221"/>
      <c r="B837" s="221"/>
      <c r="AQ837" s="222"/>
    </row>
    <row r="838">
      <c r="A838" s="221"/>
      <c r="B838" s="221"/>
      <c r="AQ838" s="222"/>
    </row>
    <row r="839">
      <c r="A839" s="221"/>
      <c r="B839" s="221"/>
      <c r="AQ839" s="222"/>
    </row>
    <row r="840">
      <c r="A840" s="221"/>
      <c r="B840" s="221"/>
      <c r="AQ840" s="222"/>
    </row>
    <row r="841">
      <c r="A841" s="221"/>
      <c r="B841" s="221"/>
      <c r="AQ841" s="222"/>
    </row>
    <row r="842">
      <c r="A842" s="221"/>
      <c r="B842" s="221"/>
      <c r="AQ842" s="222"/>
    </row>
    <row r="843">
      <c r="A843" s="221"/>
      <c r="B843" s="221"/>
      <c r="AQ843" s="222"/>
    </row>
    <row r="844">
      <c r="A844" s="221"/>
      <c r="B844" s="221"/>
      <c r="AQ844" s="222"/>
    </row>
    <row r="845">
      <c r="A845" s="221"/>
      <c r="B845" s="221"/>
      <c r="AQ845" s="222"/>
    </row>
    <row r="846">
      <c r="A846" s="221"/>
      <c r="B846" s="221"/>
      <c r="AQ846" s="222"/>
    </row>
    <row r="847">
      <c r="A847" s="221"/>
      <c r="B847" s="221"/>
      <c r="AQ847" s="222"/>
    </row>
    <row r="848">
      <c r="A848" s="221"/>
      <c r="B848" s="221"/>
      <c r="AQ848" s="222"/>
    </row>
    <row r="849">
      <c r="A849" s="221"/>
      <c r="B849" s="221"/>
      <c r="AQ849" s="222"/>
    </row>
    <row r="850">
      <c r="A850" s="221"/>
      <c r="B850" s="221"/>
      <c r="AQ850" s="222"/>
    </row>
    <row r="851">
      <c r="A851" s="221"/>
      <c r="B851" s="221"/>
      <c r="AQ851" s="222"/>
    </row>
    <row r="852">
      <c r="A852" s="221"/>
      <c r="B852" s="221"/>
      <c r="AQ852" s="222"/>
    </row>
    <row r="853">
      <c r="A853" s="221"/>
      <c r="B853" s="221"/>
      <c r="AQ853" s="222"/>
    </row>
    <row r="854">
      <c r="A854" s="221"/>
      <c r="B854" s="221"/>
      <c r="AQ854" s="222"/>
    </row>
    <row r="855">
      <c r="A855" s="221"/>
      <c r="B855" s="221"/>
      <c r="AQ855" s="222"/>
    </row>
    <row r="856">
      <c r="A856" s="221"/>
      <c r="B856" s="221"/>
      <c r="AQ856" s="222"/>
    </row>
    <row r="857">
      <c r="A857" s="221"/>
      <c r="B857" s="221"/>
      <c r="AQ857" s="222"/>
    </row>
    <row r="858">
      <c r="A858" s="221"/>
      <c r="B858" s="221"/>
      <c r="AQ858" s="222"/>
    </row>
    <row r="859">
      <c r="A859" s="221"/>
      <c r="B859" s="221"/>
      <c r="AQ859" s="222"/>
    </row>
    <row r="860">
      <c r="A860" s="221"/>
      <c r="B860" s="221"/>
      <c r="AQ860" s="222"/>
    </row>
    <row r="861">
      <c r="A861" s="221"/>
      <c r="B861" s="221"/>
      <c r="AQ861" s="222"/>
    </row>
    <row r="862">
      <c r="A862" s="221"/>
      <c r="B862" s="221"/>
      <c r="AQ862" s="222"/>
    </row>
    <row r="863">
      <c r="A863" s="221"/>
      <c r="B863" s="221"/>
      <c r="AQ863" s="222"/>
    </row>
    <row r="864">
      <c r="A864" s="221"/>
      <c r="B864" s="221"/>
      <c r="AQ864" s="222"/>
    </row>
    <row r="865">
      <c r="A865" s="221"/>
      <c r="B865" s="221"/>
      <c r="AQ865" s="222"/>
    </row>
    <row r="866">
      <c r="A866" s="221"/>
      <c r="B866" s="221"/>
      <c r="AQ866" s="222"/>
    </row>
    <row r="867">
      <c r="A867" s="221"/>
      <c r="B867" s="221"/>
      <c r="AQ867" s="222"/>
    </row>
    <row r="868">
      <c r="A868" s="221"/>
      <c r="B868" s="221"/>
      <c r="AQ868" s="222"/>
    </row>
    <row r="869">
      <c r="A869" s="221"/>
      <c r="B869" s="221"/>
      <c r="AQ869" s="222"/>
    </row>
    <row r="870">
      <c r="A870" s="221"/>
      <c r="B870" s="221"/>
      <c r="AQ870" s="222"/>
    </row>
    <row r="871">
      <c r="A871" s="221"/>
      <c r="B871" s="221"/>
      <c r="AQ871" s="222"/>
    </row>
    <row r="872">
      <c r="A872" s="221"/>
      <c r="B872" s="221"/>
      <c r="AQ872" s="222"/>
    </row>
    <row r="873">
      <c r="A873" s="221"/>
      <c r="B873" s="221"/>
      <c r="AQ873" s="222"/>
    </row>
    <row r="874">
      <c r="A874" s="221"/>
      <c r="B874" s="221"/>
      <c r="AQ874" s="222"/>
    </row>
    <row r="875">
      <c r="A875" s="221"/>
      <c r="B875" s="221"/>
      <c r="AQ875" s="222"/>
    </row>
    <row r="876">
      <c r="A876" s="221"/>
      <c r="B876" s="221"/>
      <c r="AQ876" s="222"/>
    </row>
    <row r="877">
      <c r="A877" s="221"/>
      <c r="B877" s="221"/>
      <c r="AQ877" s="222"/>
    </row>
    <row r="878">
      <c r="A878" s="221"/>
      <c r="B878" s="221"/>
      <c r="AQ878" s="222"/>
    </row>
    <row r="879">
      <c r="A879" s="221"/>
      <c r="B879" s="221"/>
      <c r="AQ879" s="222"/>
    </row>
    <row r="880">
      <c r="A880" s="221"/>
      <c r="B880" s="221"/>
      <c r="AQ880" s="222"/>
    </row>
    <row r="881">
      <c r="A881" s="221"/>
      <c r="B881" s="221"/>
      <c r="AQ881" s="222"/>
    </row>
    <row r="882">
      <c r="A882" s="221"/>
      <c r="B882" s="221"/>
      <c r="AQ882" s="222"/>
    </row>
    <row r="883">
      <c r="A883" s="221"/>
      <c r="B883" s="221"/>
      <c r="AQ883" s="222"/>
    </row>
    <row r="884">
      <c r="A884" s="221"/>
      <c r="B884" s="221"/>
      <c r="AQ884" s="222"/>
    </row>
    <row r="885">
      <c r="A885" s="221"/>
      <c r="B885" s="221"/>
      <c r="AQ885" s="222"/>
    </row>
    <row r="886">
      <c r="A886" s="221"/>
      <c r="B886" s="221"/>
      <c r="AQ886" s="222"/>
    </row>
    <row r="887">
      <c r="A887" s="221"/>
      <c r="B887" s="221"/>
      <c r="AQ887" s="222"/>
    </row>
    <row r="888">
      <c r="A888" s="221"/>
      <c r="B888" s="221"/>
      <c r="AQ888" s="222"/>
    </row>
    <row r="889">
      <c r="A889" s="221"/>
      <c r="B889" s="221"/>
      <c r="AQ889" s="222"/>
    </row>
    <row r="890">
      <c r="A890" s="221"/>
      <c r="B890" s="221"/>
      <c r="AQ890" s="222"/>
    </row>
    <row r="891">
      <c r="A891" s="221"/>
      <c r="B891" s="221"/>
      <c r="AQ891" s="222"/>
    </row>
    <row r="892">
      <c r="A892" s="221"/>
      <c r="B892" s="221"/>
      <c r="AQ892" s="222"/>
    </row>
    <row r="893">
      <c r="A893" s="221"/>
      <c r="B893" s="221"/>
      <c r="AQ893" s="222"/>
    </row>
    <row r="894">
      <c r="A894" s="221"/>
      <c r="B894" s="221"/>
      <c r="AQ894" s="222"/>
    </row>
    <row r="895">
      <c r="A895" s="221"/>
      <c r="B895" s="221"/>
      <c r="AQ895" s="222"/>
    </row>
    <row r="896">
      <c r="A896" s="221"/>
      <c r="B896" s="221"/>
      <c r="AQ896" s="222"/>
    </row>
    <row r="897">
      <c r="A897" s="221"/>
      <c r="B897" s="221"/>
      <c r="AQ897" s="222"/>
    </row>
    <row r="898">
      <c r="A898" s="221"/>
      <c r="B898" s="221"/>
      <c r="AQ898" s="222"/>
    </row>
    <row r="899">
      <c r="A899" s="221"/>
      <c r="B899" s="221"/>
      <c r="AQ899" s="222"/>
    </row>
    <row r="900">
      <c r="A900" s="221"/>
      <c r="B900" s="221"/>
      <c r="AQ900" s="222"/>
    </row>
    <row r="901">
      <c r="A901" s="221"/>
      <c r="B901" s="221"/>
      <c r="AQ901" s="222"/>
    </row>
    <row r="902">
      <c r="A902" s="221"/>
      <c r="B902" s="221"/>
      <c r="AQ902" s="222"/>
    </row>
    <row r="903">
      <c r="A903" s="221"/>
      <c r="B903" s="221"/>
      <c r="AQ903" s="222"/>
    </row>
    <row r="904">
      <c r="A904" s="221"/>
      <c r="B904" s="221"/>
      <c r="AQ904" s="222"/>
    </row>
    <row r="905">
      <c r="A905" s="221"/>
      <c r="B905" s="221"/>
      <c r="AQ905" s="222"/>
    </row>
    <row r="906">
      <c r="A906" s="221"/>
      <c r="B906" s="221"/>
      <c r="AQ906" s="222"/>
    </row>
    <row r="907">
      <c r="A907" s="221"/>
      <c r="B907" s="221"/>
      <c r="AQ907" s="222"/>
    </row>
    <row r="908">
      <c r="A908" s="221"/>
      <c r="B908" s="221"/>
      <c r="AQ908" s="222"/>
    </row>
    <row r="909">
      <c r="A909" s="221"/>
      <c r="B909" s="221"/>
      <c r="AQ909" s="222"/>
    </row>
    <row r="910">
      <c r="A910" s="221"/>
      <c r="B910" s="221"/>
      <c r="AQ910" s="222"/>
    </row>
    <row r="911">
      <c r="A911" s="221"/>
      <c r="B911" s="221"/>
      <c r="AQ911" s="222"/>
    </row>
    <row r="912">
      <c r="A912" s="221"/>
      <c r="B912" s="221"/>
      <c r="AQ912" s="222"/>
    </row>
    <row r="913">
      <c r="A913" s="221"/>
      <c r="B913" s="221"/>
      <c r="AQ913" s="222"/>
    </row>
    <row r="914">
      <c r="A914" s="221"/>
      <c r="B914" s="221"/>
      <c r="AQ914" s="222"/>
    </row>
    <row r="915">
      <c r="A915" s="221"/>
      <c r="B915" s="221"/>
      <c r="AQ915" s="222"/>
    </row>
    <row r="916">
      <c r="A916" s="221"/>
      <c r="B916" s="221"/>
      <c r="AQ916" s="222"/>
    </row>
    <row r="917">
      <c r="A917" s="221"/>
      <c r="B917" s="221"/>
      <c r="AQ917" s="222"/>
    </row>
    <row r="918">
      <c r="A918" s="221"/>
      <c r="B918" s="221"/>
      <c r="AQ918" s="222"/>
    </row>
    <row r="919">
      <c r="A919" s="221"/>
      <c r="B919" s="221"/>
      <c r="AQ919" s="222"/>
    </row>
    <row r="920">
      <c r="A920" s="221"/>
      <c r="B920" s="221"/>
      <c r="AQ920" s="222"/>
    </row>
    <row r="921">
      <c r="A921" s="221"/>
      <c r="B921" s="221"/>
      <c r="AQ921" s="222"/>
    </row>
    <row r="922">
      <c r="A922" s="221"/>
      <c r="B922" s="221"/>
      <c r="AQ922" s="222"/>
    </row>
    <row r="923">
      <c r="A923" s="221"/>
      <c r="B923" s="221"/>
      <c r="AQ923" s="222"/>
    </row>
    <row r="924">
      <c r="A924" s="221"/>
      <c r="B924" s="221"/>
      <c r="AQ924" s="222"/>
    </row>
    <row r="925">
      <c r="A925" s="221"/>
      <c r="B925" s="221"/>
      <c r="AQ925" s="222"/>
    </row>
    <row r="926">
      <c r="A926" s="221"/>
      <c r="B926" s="221"/>
      <c r="AQ926" s="222"/>
    </row>
    <row r="927">
      <c r="A927" s="221"/>
      <c r="B927" s="221"/>
      <c r="AQ927" s="222"/>
    </row>
    <row r="928">
      <c r="A928" s="221"/>
      <c r="B928" s="221"/>
      <c r="AQ928" s="222"/>
    </row>
    <row r="929">
      <c r="A929" s="221"/>
      <c r="B929" s="221"/>
      <c r="AQ929" s="222"/>
    </row>
    <row r="930">
      <c r="A930" s="221"/>
      <c r="B930" s="221"/>
      <c r="AQ930" s="222"/>
    </row>
    <row r="931">
      <c r="A931" s="221"/>
      <c r="B931" s="221"/>
      <c r="AQ931" s="222"/>
    </row>
    <row r="932">
      <c r="A932" s="221"/>
      <c r="B932" s="221"/>
      <c r="AQ932" s="222"/>
    </row>
    <row r="933">
      <c r="A933" s="221"/>
      <c r="B933" s="221"/>
      <c r="AQ933" s="222"/>
    </row>
    <row r="934">
      <c r="A934" s="221"/>
      <c r="B934" s="221"/>
      <c r="AQ934" s="222"/>
    </row>
    <row r="935">
      <c r="A935" s="221"/>
      <c r="B935" s="221"/>
      <c r="AQ935" s="222"/>
    </row>
    <row r="936">
      <c r="A936" s="221"/>
      <c r="B936" s="221"/>
      <c r="AQ936" s="222"/>
    </row>
    <row r="937">
      <c r="A937" s="221"/>
      <c r="B937" s="221"/>
      <c r="AQ937" s="222"/>
    </row>
    <row r="938">
      <c r="A938" s="221"/>
      <c r="B938" s="221"/>
      <c r="AQ938" s="222"/>
    </row>
    <row r="939">
      <c r="A939" s="221"/>
      <c r="B939" s="221"/>
      <c r="AQ939" s="222"/>
    </row>
    <row r="940">
      <c r="A940" s="221"/>
      <c r="B940" s="221"/>
      <c r="AQ940" s="222"/>
    </row>
    <row r="941">
      <c r="A941" s="221"/>
      <c r="B941" s="221"/>
      <c r="AQ941" s="222"/>
    </row>
    <row r="942">
      <c r="A942" s="221"/>
      <c r="B942" s="221"/>
      <c r="AQ942" s="222"/>
    </row>
    <row r="943">
      <c r="A943" s="221"/>
      <c r="B943" s="221"/>
      <c r="AQ943" s="222"/>
    </row>
    <row r="944">
      <c r="A944" s="221"/>
      <c r="B944" s="221"/>
      <c r="AQ944" s="222"/>
    </row>
    <row r="945">
      <c r="A945" s="221"/>
      <c r="B945" s="221"/>
      <c r="AQ945" s="222"/>
    </row>
    <row r="946">
      <c r="A946" s="221"/>
      <c r="B946" s="221"/>
      <c r="AQ946" s="222"/>
    </row>
    <row r="947">
      <c r="A947" s="221"/>
      <c r="B947" s="221"/>
      <c r="AQ947" s="222"/>
    </row>
    <row r="948">
      <c r="A948" s="221"/>
      <c r="B948" s="221"/>
      <c r="AQ948" s="222"/>
    </row>
    <row r="949">
      <c r="A949" s="221"/>
      <c r="B949" s="221"/>
      <c r="AQ949" s="222"/>
    </row>
    <row r="950">
      <c r="A950" s="221"/>
      <c r="B950" s="221"/>
      <c r="AQ950" s="222"/>
    </row>
    <row r="951">
      <c r="A951" s="221"/>
      <c r="B951" s="221"/>
      <c r="AQ951" s="222"/>
    </row>
    <row r="952">
      <c r="A952" s="221"/>
      <c r="B952" s="221"/>
      <c r="AQ952" s="222"/>
    </row>
    <row r="953">
      <c r="A953" s="221"/>
      <c r="B953" s="221"/>
      <c r="AQ953" s="222"/>
    </row>
    <row r="954">
      <c r="A954" s="221"/>
      <c r="B954" s="221"/>
      <c r="AQ954" s="222"/>
    </row>
    <row r="955">
      <c r="A955" s="221"/>
      <c r="B955" s="221"/>
      <c r="AQ955" s="222"/>
    </row>
    <row r="956">
      <c r="A956" s="221"/>
      <c r="B956" s="221"/>
      <c r="AQ956" s="222"/>
    </row>
    <row r="957">
      <c r="A957" s="221"/>
      <c r="B957" s="221"/>
      <c r="AQ957" s="222"/>
    </row>
    <row r="958">
      <c r="A958" s="221"/>
      <c r="B958" s="221"/>
      <c r="AQ958" s="222"/>
    </row>
    <row r="959">
      <c r="A959" s="221"/>
      <c r="B959" s="221"/>
      <c r="AQ959" s="222"/>
    </row>
    <row r="960">
      <c r="A960" s="221"/>
      <c r="B960" s="221"/>
      <c r="AQ960" s="222"/>
    </row>
    <row r="961">
      <c r="A961" s="221"/>
      <c r="B961" s="221"/>
      <c r="AQ961" s="222"/>
    </row>
    <row r="962">
      <c r="A962" s="221"/>
      <c r="B962" s="221"/>
      <c r="AQ962" s="222"/>
    </row>
    <row r="963">
      <c r="A963" s="221"/>
      <c r="B963" s="221"/>
      <c r="AQ963" s="222"/>
    </row>
    <row r="964">
      <c r="A964" s="221"/>
      <c r="B964" s="221"/>
      <c r="AQ964" s="222"/>
    </row>
    <row r="965">
      <c r="A965" s="221"/>
      <c r="B965" s="221"/>
      <c r="AQ965" s="222"/>
    </row>
    <row r="966">
      <c r="A966" s="221"/>
      <c r="B966" s="221"/>
      <c r="AQ966" s="222"/>
    </row>
    <row r="967">
      <c r="A967" s="221"/>
      <c r="B967" s="221"/>
      <c r="AQ967" s="222"/>
    </row>
    <row r="968">
      <c r="A968" s="221"/>
      <c r="B968" s="221"/>
      <c r="AQ968" s="222"/>
    </row>
    <row r="969">
      <c r="A969" s="221"/>
      <c r="B969" s="221"/>
      <c r="AQ969" s="222"/>
    </row>
    <row r="970">
      <c r="A970" s="221"/>
      <c r="B970" s="221"/>
      <c r="AQ970" s="222"/>
    </row>
    <row r="971">
      <c r="A971" s="221"/>
      <c r="B971" s="221"/>
      <c r="AQ971" s="222"/>
    </row>
    <row r="972">
      <c r="A972" s="221"/>
      <c r="B972" s="221"/>
      <c r="AQ972" s="222"/>
    </row>
    <row r="973">
      <c r="A973" s="221"/>
      <c r="B973" s="221"/>
      <c r="AQ973" s="222"/>
    </row>
    <row r="974">
      <c r="A974" s="221"/>
      <c r="B974" s="221"/>
      <c r="AQ974" s="222"/>
    </row>
    <row r="975">
      <c r="A975" s="221"/>
      <c r="B975" s="221"/>
      <c r="AQ975" s="222"/>
    </row>
    <row r="976">
      <c r="A976" s="221"/>
      <c r="B976" s="221"/>
      <c r="AQ976" s="222"/>
    </row>
    <row r="977">
      <c r="A977" s="221"/>
      <c r="B977" s="221"/>
      <c r="AQ977" s="222"/>
    </row>
    <row r="978">
      <c r="A978" s="221"/>
      <c r="B978" s="221"/>
      <c r="AQ978" s="222"/>
    </row>
    <row r="979">
      <c r="A979" s="221"/>
      <c r="B979" s="221"/>
      <c r="AQ979" s="222"/>
    </row>
    <row r="980">
      <c r="A980" s="221"/>
      <c r="B980" s="221"/>
      <c r="AQ980" s="222"/>
    </row>
    <row r="981">
      <c r="A981" s="221"/>
      <c r="B981" s="221"/>
      <c r="AQ981" s="222"/>
    </row>
    <row r="982">
      <c r="A982" s="221"/>
      <c r="B982" s="221"/>
      <c r="AQ982" s="222"/>
    </row>
    <row r="983">
      <c r="A983" s="221"/>
      <c r="B983" s="221"/>
      <c r="AQ983" s="222"/>
    </row>
    <row r="984">
      <c r="A984" s="221"/>
      <c r="B984" s="221"/>
      <c r="AQ984" s="222"/>
    </row>
    <row r="985">
      <c r="A985" s="221"/>
      <c r="B985" s="221"/>
      <c r="AQ985" s="222"/>
    </row>
    <row r="986">
      <c r="A986" s="221"/>
      <c r="B986" s="221"/>
      <c r="AQ986" s="222"/>
    </row>
    <row r="987">
      <c r="A987" s="221"/>
      <c r="B987" s="221"/>
      <c r="AQ987" s="222"/>
    </row>
    <row r="988">
      <c r="A988" s="221"/>
      <c r="B988" s="221"/>
      <c r="AQ988" s="222"/>
    </row>
    <row r="989">
      <c r="A989" s="221"/>
      <c r="B989" s="221"/>
      <c r="AQ989" s="222"/>
    </row>
    <row r="990">
      <c r="A990" s="221"/>
      <c r="B990" s="221"/>
      <c r="AQ990" s="222"/>
    </row>
    <row r="991">
      <c r="A991" s="221"/>
      <c r="B991" s="221"/>
      <c r="AQ991" s="222"/>
    </row>
    <row r="992">
      <c r="A992" s="221"/>
      <c r="B992" s="221"/>
      <c r="AQ992" s="222"/>
    </row>
    <row r="993">
      <c r="A993" s="221"/>
      <c r="B993" s="221"/>
      <c r="AQ993" s="222"/>
    </row>
    <row r="994">
      <c r="A994" s="221"/>
      <c r="B994" s="221"/>
      <c r="AQ994" s="222"/>
    </row>
    <row r="995">
      <c r="A995" s="221"/>
      <c r="B995" s="221"/>
      <c r="AQ995" s="222"/>
    </row>
    <row r="996">
      <c r="A996" s="221"/>
      <c r="B996" s="221"/>
      <c r="AQ996" s="222"/>
    </row>
    <row r="997">
      <c r="A997" s="221"/>
      <c r="B997" s="221"/>
      <c r="AQ997" s="222"/>
    </row>
    <row r="998">
      <c r="A998" s="221"/>
      <c r="B998" s="221"/>
      <c r="AQ998" s="222"/>
    </row>
  </sheetData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330" t="s">
        <v>194</v>
      </c>
      <c r="B1" s="331" t="s">
        <v>195</v>
      </c>
      <c r="C1" s="331" t="s">
        <v>196</v>
      </c>
      <c r="D1" s="331" t="s">
        <v>197</v>
      </c>
      <c r="E1" s="331" t="s">
        <v>198</v>
      </c>
      <c r="F1" s="331" t="s">
        <v>199</v>
      </c>
      <c r="G1" s="332" t="s">
        <v>200</v>
      </c>
      <c r="I1" s="333" t="s">
        <v>194</v>
      </c>
      <c r="J1" s="1">
        <v>15.0</v>
      </c>
      <c r="K1" s="1">
        <v>16.0</v>
      </c>
      <c r="L1" s="1">
        <v>17.0</v>
      </c>
      <c r="M1" s="1">
        <v>18.0</v>
      </c>
      <c r="N1" s="1">
        <v>19.0</v>
      </c>
      <c r="O1" s="1">
        <v>20.0</v>
      </c>
    </row>
    <row r="2">
      <c r="A2" s="334" t="s">
        <v>201</v>
      </c>
      <c r="B2" s="335">
        <v>101.0</v>
      </c>
      <c r="C2" s="335">
        <v>1083.0</v>
      </c>
      <c r="D2" s="335">
        <v>174.0</v>
      </c>
      <c r="E2" s="335">
        <v>3.0</v>
      </c>
      <c r="F2" s="335">
        <v>0.0</v>
      </c>
      <c r="G2" s="336">
        <v>0.0</v>
      </c>
      <c r="I2" s="337" t="s">
        <v>201</v>
      </c>
      <c r="J2" s="306">
        <v>266.0</v>
      </c>
      <c r="K2" s="306">
        <v>553.0</v>
      </c>
      <c r="L2" s="306">
        <v>202.0</v>
      </c>
      <c r="M2" s="306">
        <v>1.0</v>
      </c>
      <c r="N2" s="306">
        <v>0.0</v>
      </c>
      <c r="O2" s="306">
        <v>0.0</v>
      </c>
    </row>
    <row r="3">
      <c r="A3" s="338" t="s">
        <v>202</v>
      </c>
      <c r="B3" s="339">
        <v>15.0</v>
      </c>
      <c r="C3" s="339">
        <v>916.0</v>
      </c>
      <c r="D3" s="339">
        <v>1305.0</v>
      </c>
      <c r="E3" s="339">
        <v>166.0</v>
      </c>
      <c r="F3" s="339">
        <v>1.0</v>
      </c>
      <c r="G3" s="340">
        <v>0.0</v>
      </c>
      <c r="I3" s="341" t="s">
        <v>202</v>
      </c>
      <c r="J3" s="306">
        <v>57.0</v>
      </c>
      <c r="K3" s="306">
        <v>427.0</v>
      </c>
      <c r="L3" s="306">
        <v>948.0</v>
      </c>
      <c r="M3" s="306">
        <v>67.0</v>
      </c>
      <c r="N3" s="306">
        <v>1.0</v>
      </c>
      <c r="O3" s="306">
        <v>0.0</v>
      </c>
    </row>
    <row r="4">
      <c r="A4" s="334" t="s">
        <v>203</v>
      </c>
      <c r="B4" s="335">
        <v>5.0</v>
      </c>
      <c r="C4" s="335">
        <v>435.0</v>
      </c>
      <c r="D4" s="335">
        <v>3669.0</v>
      </c>
      <c r="E4" s="335">
        <v>3111.0</v>
      </c>
      <c r="F4" s="335">
        <v>95.0</v>
      </c>
      <c r="G4" s="336">
        <v>0.0</v>
      </c>
      <c r="I4" s="337" t="s">
        <v>203</v>
      </c>
      <c r="J4" s="306">
        <v>22.0</v>
      </c>
      <c r="K4" s="306">
        <v>502.0</v>
      </c>
      <c r="L4" s="306">
        <v>3511.0</v>
      </c>
      <c r="M4" s="306">
        <v>1183.0</v>
      </c>
      <c r="N4" s="306">
        <v>78.0</v>
      </c>
      <c r="O4" s="306">
        <v>1.0</v>
      </c>
    </row>
    <row r="5">
      <c r="A5" s="338" t="s">
        <v>204</v>
      </c>
      <c r="B5" s="339">
        <v>0.0</v>
      </c>
      <c r="C5" s="339">
        <v>32.0</v>
      </c>
      <c r="D5" s="339">
        <v>812.0</v>
      </c>
      <c r="E5" s="339">
        <v>3396.0</v>
      </c>
      <c r="F5" s="339">
        <v>876.0</v>
      </c>
      <c r="G5" s="340">
        <v>23.0</v>
      </c>
      <c r="I5" s="341" t="s">
        <v>204</v>
      </c>
      <c r="J5" s="306">
        <v>8.0</v>
      </c>
      <c r="K5" s="306">
        <v>20.0</v>
      </c>
      <c r="L5" s="306">
        <v>1411.0</v>
      </c>
      <c r="M5" s="306">
        <v>1522.0</v>
      </c>
      <c r="N5" s="306">
        <v>419.0</v>
      </c>
      <c r="O5" s="306">
        <v>15.0</v>
      </c>
    </row>
    <row r="6">
      <c r="A6" s="342" t="s">
        <v>205</v>
      </c>
      <c r="B6" s="343">
        <v>0.0</v>
      </c>
      <c r="C6" s="343">
        <v>0.0</v>
      </c>
      <c r="D6" s="343">
        <v>16.0</v>
      </c>
      <c r="E6" s="343">
        <v>266.0</v>
      </c>
      <c r="F6" s="343">
        <v>265.0</v>
      </c>
      <c r="G6" s="344">
        <v>42.0</v>
      </c>
      <c r="I6" s="345" t="s">
        <v>205</v>
      </c>
      <c r="J6" s="306">
        <v>1.0</v>
      </c>
      <c r="K6" s="306">
        <v>0.0</v>
      </c>
      <c r="L6" s="306">
        <v>67.0</v>
      </c>
      <c r="M6" s="306">
        <v>349.0</v>
      </c>
      <c r="N6" s="306">
        <v>270.0</v>
      </c>
      <c r="O6" s="306">
        <v>14.0</v>
      </c>
    </row>
  </sheetData>
  <drawing r:id="rId1"/>
  <tableParts count="2">
    <tablePart r:id="rId4"/>
    <tablePart r:id="rId5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6" t="s">
        <v>119</v>
      </c>
      <c r="B1" s="127" t="s">
        <v>18</v>
      </c>
      <c r="C1" s="126" t="s">
        <v>120</v>
      </c>
      <c r="D1" s="126" t="s">
        <v>43</v>
      </c>
      <c r="E1" s="346" t="s">
        <v>121</v>
      </c>
      <c r="F1" s="346" t="s">
        <v>122</v>
      </c>
      <c r="G1" s="346" t="s">
        <v>123</v>
      </c>
      <c r="H1" s="346" t="s">
        <v>124</v>
      </c>
      <c r="I1" s="346" t="s">
        <v>44</v>
      </c>
      <c r="J1" s="346" t="s">
        <v>125</v>
      </c>
      <c r="K1" s="346" t="s">
        <v>126</v>
      </c>
      <c r="L1" s="346" t="s">
        <v>127</v>
      </c>
      <c r="M1" s="346" t="s">
        <v>128</v>
      </c>
      <c r="N1" s="346" t="s">
        <v>129</v>
      </c>
      <c r="O1" s="346" t="s">
        <v>45</v>
      </c>
      <c r="P1" s="346" t="s">
        <v>78</v>
      </c>
      <c r="Q1" s="346" t="s">
        <v>80</v>
      </c>
      <c r="R1" s="346" t="s">
        <v>82</v>
      </c>
      <c r="S1" s="346" t="s">
        <v>84</v>
      </c>
      <c r="T1" s="346" t="s">
        <v>130</v>
      </c>
      <c r="U1" s="346" t="s">
        <v>46</v>
      </c>
      <c r="V1" s="346" t="s">
        <v>131</v>
      </c>
      <c r="W1" s="346" t="s">
        <v>132</v>
      </c>
      <c r="X1" s="346" t="s">
        <v>133</v>
      </c>
      <c r="Y1" s="346" t="s">
        <v>134</v>
      </c>
      <c r="Z1" s="346" t="s">
        <v>135</v>
      </c>
      <c r="AA1" s="346" t="s">
        <v>136</v>
      </c>
      <c r="AB1" s="346" t="s">
        <v>137</v>
      </c>
      <c r="AC1" s="346" t="s">
        <v>86</v>
      </c>
      <c r="AD1" s="346" t="s">
        <v>88</v>
      </c>
      <c r="AE1" s="346" t="s">
        <v>90</v>
      </c>
      <c r="AF1" s="346" t="s">
        <v>138</v>
      </c>
      <c r="AG1" s="346" t="s">
        <v>139</v>
      </c>
      <c r="AH1" s="346" t="s">
        <v>140</v>
      </c>
      <c r="AI1" s="346" t="s">
        <v>141</v>
      </c>
      <c r="AJ1" s="346" t="s">
        <v>142</v>
      </c>
      <c r="AK1" s="346" t="s">
        <v>143</v>
      </c>
      <c r="AL1" s="346" t="s">
        <v>144</v>
      </c>
      <c r="AM1" s="346" t="s">
        <v>145</v>
      </c>
      <c r="AN1" s="346" t="s">
        <v>146</v>
      </c>
      <c r="AO1" s="346" t="s">
        <v>147</v>
      </c>
      <c r="AP1" s="346" t="s">
        <v>148</v>
      </c>
      <c r="AQ1" s="346" t="s">
        <v>149</v>
      </c>
      <c r="AR1" s="346" t="s">
        <v>150</v>
      </c>
      <c r="AS1" s="346" t="s">
        <v>151</v>
      </c>
    </row>
    <row r="2">
      <c r="A2" s="129" t="s">
        <v>45</v>
      </c>
      <c r="B2" s="130">
        <v>251.0</v>
      </c>
      <c r="C2" s="347">
        <f>CS_PID!C2/VLOOKUP($B2,표2[#ALL],2)</f>
        <v>0.06408582411</v>
      </c>
      <c r="D2" s="347">
        <f>CS_PID!D2/VLOOKUP($B2,표2[#ALL],2)</f>
        <v>0.2330393604</v>
      </c>
      <c r="E2" s="347">
        <f>CS_PID!E2/VLOOKUP($B2,표2[#ALL],2)</f>
        <v>0.02912992005</v>
      </c>
      <c r="F2" s="347">
        <f>CS_PID!F2/VLOOKUP($B2,표2[#ALL],2)</f>
        <v>0</v>
      </c>
      <c r="G2" s="347">
        <f>CS_PID!G2/VLOOKUP($B2,표2[#ALL],2)</f>
        <v>0</v>
      </c>
      <c r="H2" s="347">
        <f>CS_PID!H2/VLOOKUP($B2,표2[#ALL],2)</f>
        <v>0.08156377614</v>
      </c>
      <c r="I2" s="347">
        <f>CS_PID!I2/VLOOKUP($B2,표2[#ALL],2)</f>
        <v>0.2563432964</v>
      </c>
      <c r="J2" s="347">
        <f>CS_PID!J2/VLOOKUP($B2,표2[#ALL],2)</f>
        <v>0.0582598401</v>
      </c>
      <c r="K2" s="347">
        <f>CS_PID!K2/VLOOKUP($B2,표2[#ALL],2)</f>
        <v>0</v>
      </c>
      <c r="L2" s="347">
        <f>CS_PID!L2/VLOOKUP($B2,표2[#ALL],2)</f>
        <v>0</v>
      </c>
      <c r="M2" s="347">
        <f>CS_PID!M2/VLOOKUP($B2,표2[#ALL],2)</f>
        <v>0</v>
      </c>
      <c r="N2" s="347">
        <f>CS_PID!N2/VLOOKUP($B2,표2[#ALL],2)</f>
        <v>0.03495590406</v>
      </c>
      <c r="O2" s="347">
        <f>CS_PID!O2/VLOOKUP($B2,표2[#ALL],2)</f>
        <v>0.4427747847</v>
      </c>
      <c r="P2" s="347">
        <f>CS_PID!P2/VLOOKUP($B2,표2[#ALL],2)</f>
        <v>0.06408582411</v>
      </c>
      <c r="Q2" s="347">
        <f>CS_PID!Q2/VLOOKUP($B2,표2[#ALL],2)</f>
        <v>0.00582598401</v>
      </c>
      <c r="R2" s="347">
        <f>CS_PID!R2/VLOOKUP($B2,표2[#ALL],2)</f>
        <v>0</v>
      </c>
      <c r="S2" s="347">
        <f>CS_PID!S2/VLOOKUP($B2,표2[#ALL],2)</f>
        <v>0</v>
      </c>
      <c r="T2" s="347">
        <f>CS_PID!T2/VLOOKUP($B2,표2[#ALL],2)</f>
        <v>0.02912992005</v>
      </c>
      <c r="U2" s="347">
        <f>CS_PID!U2/VLOOKUP($B2,표2[#ALL],2)</f>
        <v>0.2155614084</v>
      </c>
      <c r="V2" s="347">
        <f>CS_PID!V2/VLOOKUP($B2,표2[#ALL],2)</f>
        <v>0.04078188807</v>
      </c>
      <c r="W2" s="347">
        <f>CS_PID!W2/VLOOKUP($B2,표2[#ALL],2)</f>
        <v>0</v>
      </c>
      <c r="X2" s="347">
        <f>CS_PID!X2/VLOOKUP($B2,표2[#ALL],2)</f>
        <v>0</v>
      </c>
      <c r="Y2" s="347">
        <f>CS_PID!Y2/VLOOKUP($B2,표2[#ALL],2)</f>
        <v>0</v>
      </c>
      <c r="Z2" s="347">
        <f>CS_PID!Z2/VLOOKUP($B2,표2[#ALL],2)</f>
        <v>0.01747795203</v>
      </c>
      <c r="AA2" s="347">
        <f>CS_PID!AA2/VLOOKUP($B2,표2[#ALL],2)</f>
        <v>0.04660787208</v>
      </c>
      <c r="AB2" s="347">
        <f>CS_PID!AB2/VLOOKUP($B2,표2[#ALL],2)</f>
        <v>0</v>
      </c>
      <c r="AC2" s="347">
        <f>CS_PID!AC2/VLOOKUP($B2,표2[#ALL],2)</f>
        <v>0</v>
      </c>
      <c r="AD2" s="347">
        <f>CS_PID!AD2/VLOOKUP($B2,표2[#ALL],2)</f>
        <v>0</v>
      </c>
      <c r="AE2" s="347">
        <f>CS_PID!AE2/VLOOKUP($B2,표2[#ALL],2)</f>
        <v>0</v>
      </c>
      <c r="AF2" s="347">
        <f>CS_PID!AF2/VLOOKUP($B2,표2[#ALL],2)</f>
        <v>0.00582598401</v>
      </c>
      <c r="AG2" s="347">
        <f>CS_PID!AG2/VLOOKUP($B2,표2[#ALL],2)</f>
        <v>0</v>
      </c>
      <c r="AH2" s="347">
        <f>CS_PID!AH2/VLOOKUP($B2,표2[#ALL],2)</f>
        <v>0</v>
      </c>
      <c r="AI2" s="347">
        <f>CS_PID!AI2/VLOOKUP($B2,표2[#ALL],2)</f>
        <v>0</v>
      </c>
      <c r="AJ2" s="347">
        <f>CS_PID!AJ2/VLOOKUP($B2,표2[#ALL],2)</f>
        <v>0</v>
      </c>
      <c r="AK2" s="347">
        <f>CS_PID!AK2/VLOOKUP($B2,표2[#ALL],2)</f>
        <v>0</v>
      </c>
      <c r="AL2" s="347">
        <f>CS_PID!AL2/VLOOKUP($B2,표2[#ALL],2)</f>
        <v>0</v>
      </c>
      <c r="AM2" s="347">
        <f>CS_PID!AM2/VLOOKUP($B2,표2[#ALL],2)</f>
        <v>0</v>
      </c>
      <c r="AN2" s="347">
        <f>CS_PID!AN2/VLOOKUP($B2,표2[#ALL],2)</f>
        <v>0</v>
      </c>
      <c r="AO2" s="347">
        <f>CS_PID!AO2/VLOOKUP($B2,표2[#ALL],2)</f>
        <v>0</v>
      </c>
      <c r="AP2" s="347">
        <f>CS_PID!AP2/VLOOKUP($B2,표2[#ALL],2)</f>
        <v>0</v>
      </c>
      <c r="AQ2" s="347">
        <f>CS_PID!AQ2/VLOOKUP($B2,표2[#ALL],2)</f>
        <v>0</v>
      </c>
      <c r="AR2" s="347">
        <f>CS_PID!AR2/VLOOKUP($B2,표2[#ALL],2)</f>
        <v>0</v>
      </c>
      <c r="AS2" s="347">
        <f>CS_PID!AS2/VLOOKUP($B2,표2[#ALL],2)</f>
        <v>0</v>
      </c>
    </row>
    <row r="3">
      <c r="A3" s="129" t="s">
        <v>45</v>
      </c>
      <c r="B3" s="130">
        <v>252.0</v>
      </c>
      <c r="C3" s="347">
        <f>CS_PID!C3/VLOOKUP($B3,표2[#ALL],2)</f>
        <v>0.06015803468</v>
      </c>
      <c r="D3" s="347">
        <f>CS_PID!D3/VLOOKUP($B3,표2[#ALL],2)</f>
        <v>0.2188507813</v>
      </c>
      <c r="E3" s="347">
        <f>CS_PID!E3/VLOOKUP($B3,표2[#ALL],2)</f>
        <v>0.02074414989</v>
      </c>
      <c r="F3" s="347">
        <f>CS_PID!F3/VLOOKUP($B3,표2[#ALL],2)</f>
        <v>0.001037207494</v>
      </c>
      <c r="G3" s="347">
        <f>CS_PID!G3/VLOOKUP($B3,표2[#ALL],2)</f>
        <v>0</v>
      </c>
      <c r="H3" s="347">
        <f>CS_PID!H3/VLOOKUP($B3,표2[#ALL],2)</f>
        <v>0.09749750448</v>
      </c>
      <c r="I3" s="347">
        <f>CS_PID!I3/VLOOKUP($B3,표2[#ALL],2)</f>
        <v>0.1794368965</v>
      </c>
      <c r="J3" s="347">
        <f>CS_PID!J3/VLOOKUP($B3,표2[#ALL],2)</f>
        <v>0.08090218457</v>
      </c>
      <c r="K3" s="347">
        <f>CS_PID!K3/VLOOKUP($B3,표2[#ALL],2)</f>
        <v>0.001037207494</v>
      </c>
      <c r="L3" s="347">
        <f>CS_PID!L3/VLOOKUP($B3,표2[#ALL],2)</f>
        <v>0</v>
      </c>
      <c r="M3" s="347">
        <f>CS_PID!M3/VLOOKUP($B3,표2[#ALL],2)</f>
        <v>0</v>
      </c>
      <c r="N3" s="347">
        <f>CS_PID!N3/VLOOKUP($B3,표2[#ALL],2)</f>
        <v>0.04356271477</v>
      </c>
      <c r="O3" s="347">
        <f>CS_PID!O3/VLOOKUP($B3,표2[#ALL],2)</f>
        <v>0.4076225453</v>
      </c>
      <c r="P3" s="347">
        <f>CS_PID!P3/VLOOKUP($B3,표2[#ALL],2)</f>
        <v>0.0560092047</v>
      </c>
      <c r="Q3" s="347">
        <f>CS_PID!Q3/VLOOKUP($B3,표2[#ALL],2)</f>
        <v>0.002074414989</v>
      </c>
      <c r="R3" s="347">
        <f>CS_PID!R3/VLOOKUP($B3,표2[#ALL],2)</f>
        <v>0</v>
      </c>
      <c r="S3" s="347">
        <f>CS_PID!S3/VLOOKUP($B3,표2[#ALL],2)</f>
        <v>0</v>
      </c>
      <c r="T3" s="347">
        <f>CS_PID!T3/VLOOKUP($B3,표2[#ALL],2)</f>
        <v>0.02904180985</v>
      </c>
      <c r="U3" s="347">
        <f>CS_PID!U3/VLOOKUP($B3,표2[#ALL],2)</f>
        <v>0.1877345565</v>
      </c>
      <c r="V3" s="347">
        <f>CS_PID!V3/VLOOKUP($B3,표2[#ALL],2)</f>
        <v>0.02800460235</v>
      </c>
      <c r="W3" s="347">
        <f>CS_PID!W3/VLOOKUP($B3,표2[#ALL],2)</f>
        <v>0</v>
      </c>
      <c r="X3" s="347">
        <f>CS_PID!X3/VLOOKUP($B3,표2[#ALL],2)</f>
        <v>0</v>
      </c>
      <c r="Y3" s="347">
        <f>CS_PID!Y3/VLOOKUP($B3,표2[#ALL],2)</f>
        <v>0</v>
      </c>
      <c r="Z3" s="347">
        <f>CS_PID!Z3/VLOOKUP($B3,표2[#ALL],2)</f>
        <v>0.006223244967</v>
      </c>
      <c r="AA3" s="347">
        <f>CS_PID!AA3/VLOOKUP($B3,표2[#ALL],2)</f>
        <v>0.02385577237</v>
      </c>
      <c r="AB3" s="347">
        <f>CS_PID!AB3/VLOOKUP($B3,표2[#ALL],2)</f>
        <v>0</v>
      </c>
      <c r="AC3" s="347">
        <f>CS_PID!AC3/VLOOKUP($B3,표2[#ALL],2)</f>
        <v>0</v>
      </c>
      <c r="AD3" s="347">
        <f>CS_PID!AD3/VLOOKUP($B3,표2[#ALL],2)</f>
        <v>0</v>
      </c>
      <c r="AE3" s="347">
        <f>CS_PID!AE3/VLOOKUP($B3,표2[#ALL],2)</f>
        <v>0</v>
      </c>
      <c r="AF3" s="347">
        <f>CS_PID!AF3/VLOOKUP($B3,표2[#ALL],2)</f>
        <v>0.003111622483</v>
      </c>
      <c r="AG3" s="347">
        <f>CS_PID!AG3/VLOOKUP($B3,표2[#ALL],2)</f>
        <v>0</v>
      </c>
      <c r="AH3" s="347">
        <f>CS_PID!AH3/VLOOKUP($B3,표2[#ALL],2)</f>
        <v>0</v>
      </c>
      <c r="AI3" s="347">
        <f>CS_PID!AI3/VLOOKUP($B3,표2[#ALL],2)</f>
        <v>0</v>
      </c>
      <c r="AJ3" s="347">
        <f>CS_PID!AJ3/VLOOKUP($B3,표2[#ALL],2)</f>
        <v>0</v>
      </c>
      <c r="AK3" s="347">
        <f>CS_PID!AK3/VLOOKUP($B3,표2[#ALL],2)</f>
        <v>0</v>
      </c>
      <c r="AL3" s="347">
        <f>CS_PID!AL3/VLOOKUP($B3,표2[#ALL],2)</f>
        <v>0</v>
      </c>
      <c r="AM3" s="347">
        <f>CS_PID!AM3/VLOOKUP($B3,표2[#ALL],2)</f>
        <v>0</v>
      </c>
      <c r="AN3" s="347">
        <f>CS_PID!AN3/VLOOKUP($B3,표2[#ALL],2)</f>
        <v>0</v>
      </c>
      <c r="AO3" s="347">
        <f>CS_PID!AO3/VLOOKUP($B3,표2[#ALL],2)</f>
        <v>0</v>
      </c>
      <c r="AP3" s="347">
        <f>CS_PID!AP3/VLOOKUP($B3,표2[#ALL],2)</f>
        <v>0</v>
      </c>
      <c r="AQ3" s="347">
        <f>CS_PID!AQ3/VLOOKUP($B3,표2[#ALL],2)</f>
        <v>0</v>
      </c>
      <c r="AR3" s="347">
        <f>CS_PID!AR3/VLOOKUP($B3,표2[#ALL],2)</f>
        <v>0</v>
      </c>
      <c r="AS3" s="347">
        <f>CS_PID!AS3/VLOOKUP($B3,표2[#ALL],2)</f>
        <v>0</v>
      </c>
    </row>
    <row r="4">
      <c r="A4" s="129" t="s">
        <v>45</v>
      </c>
      <c r="B4" s="130">
        <v>253.0</v>
      </c>
      <c r="C4" s="347">
        <f>CS_PID!C4/VLOOKUP($B4,표2[#ALL],2)</f>
        <v>0.06016463688</v>
      </c>
      <c r="D4" s="347">
        <f>CS_PID!D4/VLOOKUP($B4,표2[#ALL],2)</f>
        <v>0.2097167343</v>
      </c>
      <c r="E4" s="347">
        <f>CS_PID!E4/VLOOKUP($B4,표2[#ALL],2)</f>
        <v>0.02406585475</v>
      </c>
      <c r="F4" s="347">
        <f>CS_PID!F4/VLOOKUP($B4,표2[#ALL],2)</f>
        <v>0</v>
      </c>
      <c r="G4" s="347">
        <f>CS_PID!G4/VLOOKUP($B4,표2[#ALL],2)</f>
        <v>0</v>
      </c>
      <c r="H4" s="347">
        <f>CS_PID!H4/VLOOKUP($B4,표2[#ALL],2)</f>
        <v>0.09626341902</v>
      </c>
      <c r="I4" s="347">
        <f>CS_PID!I4/VLOOKUP($B4,표2[#ALL],2)</f>
        <v>0.2251876409</v>
      </c>
      <c r="J4" s="347">
        <f>CS_PID!J4/VLOOKUP($B4,표2[#ALL],2)</f>
        <v>0.07219756426</v>
      </c>
      <c r="K4" s="347">
        <f>CS_PID!K4/VLOOKUP($B4,표2[#ALL],2)</f>
        <v>0</v>
      </c>
      <c r="L4" s="347">
        <f>CS_PID!L4/VLOOKUP($B4,표2[#ALL],2)</f>
        <v>0</v>
      </c>
      <c r="M4" s="347">
        <f>CS_PID!M4/VLOOKUP($B4,표2[#ALL],2)</f>
        <v>0</v>
      </c>
      <c r="N4" s="347">
        <f>CS_PID!N4/VLOOKUP($B4,표2[#ALL],2)</f>
        <v>0.03781777176</v>
      </c>
      <c r="O4" s="347">
        <f>CS_PID!O4/VLOOKUP($B4,표2[#ALL],2)</f>
        <v>0.4074005412</v>
      </c>
      <c r="P4" s="347">
        <f>CS_PID!P4/VLOOKUP($B4,표2[#ALL],2)</f>
        <v>0.06532160576</v>
      </c>
      <c r="Q4" s="347">
        <f>CS_PID!Q4/VLOOKUP($B4,표2[#ALL],2)</f>
        <v>0</v>
      </c>
      <c r="R4" s="347">
        <f>CS_PID!R4/VLOOKUP($B4,표2[#ALL],2)</f>
        <v>0</v>
      </c>
      <c r="S4" s="347">
        <f>CS_PID!S4/VLOOKUP($B4,표2[#ALL],2)</f>
        <v>0</v>
      </c>
      <c r="T4" s="347">
        <f>CS_PID!T4/VLOOKUP($B4,표2[#ALL],2)</f>
        <v>0.027503834</v>
      </c>
      <c r="U4" s="347">
        <f>CS_PID!U4/VLOOKUP($B4,표2[#ALL],2)</f>
        <v>0.2114357239</v>
      </c>
      <c r="V4" s="347">
        <f>CS_PID!V4/VLOOKUP($B4,표2[#ALL],2)</f>
        <v>0.02234686513</v>
      </c>
      <c r="W4" s="347">
        <f>CS_PID!W4/VLOOKUP($B4,표2[#ALL],2)</f>
        <v>0</v>
      </c>
      <c r="X4" s="347">
        <f>CS_PID!X4/VLOOKUP($B4,표2[#ALL],2)</f>
        <v>0</v>
      </c>
      <c r="Y4" s="347">
        <f>CS_PID!Y4/VLOOKUP($B4,표2[#ALL],2)</f>
        <v>0</v>
      </c>
      <c r="Z4" s="347">
        <f>CS_PID!Z4/VLOOKUP($B4,표2[#ALL],2)</f>
        <v>0.0206278755</v>
      </c>
      <c r="AA4" s="347">
        <f>CS_PID!AA4/VLOOKUP($B4,표2[#ALL],2)</f>
        <v>0.04125575101</v>
      </c>
      <c r="AB4" s="347">
        <f>CS_PID!AB4/VLOOKUP($B4,표2[#ALL],2)</f>
        <v>0.001718989625</v>
      </c>
      <c r="AC4" s="347">
        <f>CS_PID!AC4/VLOOKUP($B4,표2[#ALL],2)</f>
        <v>0</v>
      </c>
      <c r="AD4" s="347">
        <f>CS_PID!AD4/VLOOKUP($B4,표2[#ALL],2)</f>
        <v>0</v>
      </c>
      <c r="AE4" s="347">
        <f>CS_PID!AE4/VLOOKUP($B4,표2[#ALL],2)</f>
        <v>0</v>
      </c>
      <c r="AF4" s="347">
        <f>CS_PID!AF4/VLOOKUP($B4,표2[#ALL],2)</f>
        <v>0</v>
      </c>
      <c r="AG4" s="347">
        <f>CS_PID!AG4/VLOOKUP($B4,표2[#ALL],2)</f>
        <v>0</v>
      </c>
      <c r="AH4" s="347">
        <f>CS_PID!AH4/VLOOKUP($B4,표2[#ALL],2)</f>
        <v>0</v>
      </c>
      <c r="AI4" s="347">
        <f>CS_PID!AI4/VLOOKUP($B4,표2[#ALL],2)</f>
        <v>0</v>
      </c>
      <c r="AJ4" s="347">
        <f>CS_PID!AJ4/VLOOKUP($B4,표2[#ALL],2)</f>
        <v>0</v>
      </c>
      <c r="AK4" s="347">
        <f>CS_PID!AK4/VLOOKUP($B4,표2[#ALL],2)</f>
        <v>0</v>
      </c>
      <c r="AL4" s="347">
        <f>CS_PID!AL4/VLOOKUP($B4,표2[#ALL],2)</f>
        <v>0</v>
      </c>
      <c r="AM4" s="347">
        <f>CS_PID!AM4/VLOOKUP($B4,표2[#ALL],2)</f>
        <v>0</v>
      </c>
      <c r="AN4" s="347">
        <f>CS_PID!AN4/VLOOKUP($B4,표2[#ALL],2)</f>
        <v>0</v>
      </c>
      <c r="AO4" s="347">
        <f>CS_PID!AO4/VLOOKUP($B4,표2[#ALL],2)</f>
        <v>0</v>
      </c>
      <c r="AP4" s="347">
        <f>CS_PID!AP4/VLOOKUP($B4,표2[#ALL],2)</f>
        <v>0</v>
      </c>
      <c r="AQ4" s="347">
        <f>CS_PID!AQ4/VLOOKUP($B4,표2[#ALL],2)</f>
        <v>0</v>
      </c>
      <c r="AR4" s="347">
        <f>CS_PID!AR4/VLOOKUP($B4,표2[#ALL],2)</f>
        <v>0</v>
      </c>
      <c r="AS4" s="347">
        <f>CS_PID!AS4/VLOOKUP($B4,표2[#ALL],2)</f>
        <v>0</v>
      </c>
    </row>
    <row r="5">
      <c r="A5" s="133" t="s">
        <v>45</v>
      </c>
      <c r="B5" s="134">
        <v>254.0</v>
      </c>
      <c r="C5" s="348">
        <f>CS_PID!C5/VLOOKUP($B5,표2[#ALL],2)</f>
        <v>0.0651430372</v>
      </c>
      <c r="D5" s="348">
        <f>CS_PID!D5/VLOOKUP($B5,표2[#ALL],2)</f>
        <v>0.2164073778</v>
      </c>
      <c r="E5" s="348">
        <f>CS_PID!E5/VLOOKUP($B5,표2[#ALL],2)</f>
        <v>0.02649886259</v>
      </c>
      <c r="F5" s="348">
        <f>CS_PID!F5/VLOOKUP($B5,표2[#ALL],2)</f>
        <v>0</v>
      </c>
      <c r="G5" s="348">
        <f>CS_PID!G5/VLOOKUP($B5,표2[#ALL],2)</f>
        <v>0</v>
      </c>
      <c r="H5" s="348">
        <f>CS_PID!H5/VLOOKUP($B5,표2[#ALL],2)</f>
        <v>0.112620166</v>
      </c>
      <c r="I5" s="348">
        <f>CS_PID!I5/VLOOKUP($B5,표2[#ALL],2)</f>
        <v>0.2263444513</v>
      </c>
      <c r="J5" s="348">
        <f>CS_PID!J5/VLOOKUP($B5,표2[#ALL],2)</f>
        <v>0.07949658777</v>
      </c>
      <c r="K5" s="348">
        <f>CS_PID!K5/VLOOKUP($B5,표2[#ALL],2)</f>
        <v>0</v>
      </c>
      <c r="L5" s="348">
        <f>CS_PID!L5/VLOOKUP($B5,표2[#ALL],2)</f>
        <v>0</v>
      </c>
      <c r="M5" s="348">
        <f>CS_PID!M5/VLOOKUP($B5,표2[#ALL],2)</f>
        <v>0</v>
      </c>
      <c r="N5" s="348">
        <f>CS_PID!N5/VLOOKUP($B5,표2[#ALL],2)</f>
        <v>0.03422769751</v>
      </c>
      <c r="O5" s="348">
        <f>CS_PID!O5/VLOOKUP($B5,표2[#ALL],2)</f>
        <v>0.4162529665</v>
      </c>
      <c r="P5" s="348">
        <f>CS_PID!P5/VLOOKUP($B5,표2[#ALL],2)</f>
        <v>0.0783924685</v>
      </c>
      <c r="Q5" s="348">
        <f>CS_PID!Q5/VLOOKUP($B5,표2[#ALL],2)</f>
        <v>0</v>
      </c>
      <c r="R5" s="348">
        <f>CS_PID!R5/VLOOKUP($B5,표2[#ALL],2)</f>
        <v>0</v>
      </c>
      <c r="S5" s="348">
        <f>CS_PID!S5/VLOOKUP($B5,표2[#ALL],2)</f>
        <v>0</v>
      </c>
      <c r="T5" s="348">
        <f>CS_PID!T5/VLOOKUP($B5,표2[#ALL],2)</f>
        <v>0.02318650477</v>
      </c>
      <c r="U5" s="348">
        <f>CS_PID!U5/VLOOKUP($B5,표2[#ALL],2)</f>
        <v>0.2285526898</v>
      </c>
      <c r="V5" s="348">
        <f>CS_PID!V5/VLOOKUP($B5,표2[#ALL],2)</f>
        <v>0.02981122041</v>
      </c>
      <c r="W5" s="348">
        <f>CS_PID!W5/VLOOKUP($B5,표2[#ALL],2)</f>
        <v>0</v>
      </c>
      <c r="X5" s="348">
        <f>CS_PID!X5/VLOOKUP($B5,표2[#ALL],2)</f>
        <v>0</v>
      </c>
      <c r="Y5" s="348">
        <f>CS_PID!Y5/VLOOKUP($B5,표2[#ALL],2)</f>
        <v>0</v>
      </c>
      <c r="Z5" s="348">
        <f>CS_PID!Z5/VLOOKUP($B5,표2[#ALL],2)</f>
        <v>0.01104119275</v>
      </c>
      <c r="AA5" s="348">
        <f>CS_PID!AA5/VLOOKUP($B5,표2[#ALL],2)</f>
        <v>0.04085241316</v>
      </c>
      <c r="AB5" s="348">
        <f>CS_PID!AB5/VLOOKUP($B5,표2[#ALL],2)</f>
        <v>0.002208238549</v>
      </c>
      <c r="AC5" s="348">
        <f>CS_PID!AC5/VLOOKUP($B5,표2[#ALL],2)</f>
        <v>0</v>
      </c>
      <c r="AD5" s="348">
        <f>CS_PID!AD5/VLOOKUP($B5,표2[#ALL],2)</f>
        <v>0</v>
      </c>
      <c r="AE5" s="348">
        <f>CS_PID!AE5/VLOOKUP($B5,표2[#ALL],2)</f>
        <v>0</v>
      </c>
      <c r="AF5" s="348">
        <f>CS_PID!AF5/VLOOKUP($B5,표2[#ALL],2)</f>
        <v>0.004416477098</v>
      </c>
      <c r="AG5" s="348">
        <f>CS_PID!AG5/VLOOKUP($B5,표2[#ALL],2)</f>
        <v>0.003312357824</v>
      </c>
      <c r="AH5" s="348">
        <f>CS_PID!AH5/VLOOKUP($B5,표2[#ALL],2)</f>
        <v>0</v>
      </c>
      <c r="AI5" s="348">
        <f>CS_PID!AI5/VLOOKUP($B5,표2[#ALL],2)</f>
        <v>0</v>
      </c>
      <c r="AJ5" s="348">
        <f>CS_PID!AJ5/VLOOKUP($B5,표2[#ALL],2)</f>
        <v>0</v>
      </c>
      <c r="AK5" s="348">
        <f>CS_PID!AK5/VLOOKUP($B5,표2[#ALL],2)</f>
        <v>0</v>
      </c>
      <c r="AL5" s="348">
        <f>CS_PID!AL5/VLOOKUP($B5,표2[#ALL],2)</f>
        <v>0</v>
      </c>
      <c r="AM5" s="348">
        <f>CS_PID!AM5/VLOOKUP($B5,표2[#ALL],2)</f>
        <v>0</v>
      </c>
      <c r="AN5" s="348">
        <f>CS_PID!AN5/VLOOKUP($B5,표2[#ALL],2)</f>
        <v>0</v>
      </c>
      <c r="AO5" s="348">
        <f>CS_PID!AO5/VLOOKUP($B5,표2[#ALL],2)</f>
        <v>0</v>
      </c>
      <c r="AP5" s="348">
        <f>CS_PID!AP5/VLOOKUP($B5,표2[#ALL],2)</f>
        <v>0</v>
      </c>
      <c r="AQ5" s="348">
        <f>CS_PID!AQ5/VLOOKUP($B5,표2[#ALL],2)</f>
        <v>0</v>
      </c>
      <c r="AR5" s="348">
        <f>CS_PID!AR5/VLOOKUP($B5,표2[#ALL],2)</f>
        <v>0</v>
      </c>
      <c r="AS5" s="348">
        <f>CS_PID!AS5/VLOOKUP($B5,표2[#ALL],2)</f>
        <v>0</v>
      </c>
    </row>
    <row r="6">
      <c r="A6" s="137" t="s">
        <v>78</v>
      </c>
      <c r="B6" s="138">
        <v>259.0</v>
      </c>
      <c r="C6" s="349">
        <f>CS_PID!C6/VLOOKUP($B6,표2[#ALL],2)</f>
        <v>0</v>
      </c>
      <c r="D6" s="349">
        <f>CS_PID!D6/VLOOKUP($B6,표2[#ALL],2)</f>
        <v>0.03911441236</v>
      </c>
      <c r="E6" s="349">
        <f>CS_PID!E6/VLOOKUP($B6,표2[#ALL],2)</f>
        <v>0.02086101993</v>
      </c>
      <c r="F6" s="349">
        <f>CS_PID!F6/VLOOKUP($B6,표2[#ALL],2)</f>
        <v>0</v>
      </c>
      <c r="G6" s="349">
        <f>CS_PID!G6/VLOOKUP($B6,표2[#ALL],2)</f>
        <v>0</v>
      </c>
      <c r="H6" s="349">
        <f>CS_PID!H6/VLOOKUP($B6,표2[#ALL],2)</f>
        <v>0.005215254982</v>
      </c>
      <c r="I6" s="349">
        <f>CS_PID!I6/VLOOKUP($B6,표2[#ALL],2)</f>
        <v>0.02607627491</v>
      </c>
      <c r="J6" s="349">
        <f>CS_PID!J6/VLOOKUP($B6,표2[#ALL],2)</f>
        <v>0.05476017731</v>
      </c>
      <c r="K6" s="349">
        <f>CS_PID!K6/VLOOKUP($B6,표2[#ALL],2)</f>
        <v>0.002607627491</v>
      </c>
      <c r="L6" s="349">
        <f>CS_PID!L6/VLOOKUP($B6,표2[#ALL],2)</f>
        <v>0</v>
      </c>
      <c r="M6" s="349">
        <f>CS_PID!M6/VLOOKUP($B6,표2[#ALL],2)</f>
        <v>0</v>
      </c>
      <c r="N6" s="349">
        <f>CS_PID!N6/VLOOKUP($B6,표2[#ALL],2)</f>
        <v>0.005215254982</v>
      </c>
      <c r="O6" s="349">
        <f>CS_PID!O6/VLOOKUP($B6,표2[#ALL],2)</f>
        <v>0.0573678048</v>
      </c>
      <c r="P6" s="349">
        <f>CS_PID!P6/VLOOKUP($B6,표2[#ALL],2)</f>
        <v>0.1173432371</v>
      </c>
      <c r="Q6" s="349">
        <f>CS_PID!Q6/VLOOKUP($B6,표2[#ALL],2)</f>
        <v>0.01825339244</v>
      </c>
      <c r="R6" s="349">
        <f>CS_PID!R6/VLOOKUP($B6,표2[#ALL],2)</f>
        <v>0</v>
      </c>
      <c r="S6" s="349">
        <f>CS_PID!S6/VLOOKUP($B6,표2[#ALL],2)</f>
        <v>0</v>
      </c>
      <c r="T6" s="349">
        <f>CS_PID!T6/VLOOKUP($B6,표2[#ALL],2)</f>
        <v>0</v>
      </c>
      <c r="U6" s="349">
        <f>CS_PID!U6/VLOOKUP($B6,표2[#ALL],2)</f>
        <v>0.1016974721</v>
      </c>
      <c r="V6" s="349">
        <f>CS_PID!V6/VLOOKUP($B6,표2[#ALL],2)</f>
        <v>0.138204257</v>
      </c>
      <c r="W6" s="349">
        <f>CS_PID!W6/VLOOKUP($B6,표2[#ALL],2)</f>
        <v>0.002607627491</v>
      </c>
      <c r="X6" s="349">
        <f>CS_PID!X6/VLOOKUP($B6,표2[#ALL],2)</f>
        <v>0</v>
      </c>
      <c r="Y6" s="349">
        <f>CS_PID!Y6/VLOOKUP($B6,표2[#ALL],2)</f>
        <v>0</v>
      </c>
      <c r="Z6" s="349">
        <f>CS_PID!Z6/VLOOKUP($B6,표2[#ALL],2)</f>
        <v>0</v>
      </c>
      <c r="AA6" s="349">
        <f>CS_PID!AA6/VLOOKUP($B6,표2[#ALL],2)</f>
        <v>0.03650678487</v>
      </c>
      <c r="AB6" s="349">
        <f>CS_PID!AB6/VLOOKUP($B6,표2[#ALL],2)</f>
        <v>0.01825339244</v>
      </c>
      <c r="AC6" s="349">
        <f>CS_PID!AC6/VLOOKUP($B6,표2[#ALL],2)</f>
        <v>0</v>
      </c>
      <c r="AD6" s="349">
        <f>CS_PID!AD6/VLOOKUP($B6,표2[#ALL],2)</f>
        <v>0</v>
      </c>
      <c r="AE6" s="349">
        <f>CS_PID!AE6/VLOOKUP($B6,표2[#ALL],2)</f>
        <v>0</v>
      </c>
      <c r="AF6" s="349">
        <f>CS_PID!AF6/VLOOKUP($B6,표2[#ALL],2)</f>
        <v>0</v>
      </c>
      <c r="AG6" s="349">
        <f>CS_PID!AG6/VLOOKUP($B6,표2[#ALL],2)</f>
        <v>0.01043050996</v>
      </c>
      <c r="AH6" s="349">
        <f>CS_PID!AH6/VLOOKUP($B6,표2[#ALL],2)</f>
        <v>0.007822882473</v>
      </c>
      <c r="AI6" s="349">
        <f>CS_PID!AI6/VLOOKUP($B6,표2[#ALL],2)</f>
        <v>0</v>
      </c>
      <c r="AJ6" s="349">
        <f>CS_PID!AJ6/VLOOKUP($B6,표2[#ALL],2)</f>
        <v>0</v>
      </c>
      <c r="AK6" s="349">
        <f>CS_PID!AK6/VLOOKUP($B6,표2[#ALL],2)</f>
        <v>0</v>
      </c>
      <c r="AL6" s="349">
        <f>CS_PID!AL6/VLOOKUP($B6,표2[#ALL],2)</f>
        <v>0.002607627491</v>
      </c>
      <c r="AM6" s="349">
        <f>CS_PID!AM6/VLOOKUP($B6,표2[#ALL],2)</f>
        <v>0</v>
      </c>
      <c r="AN6" s="349">
        <f>CS_PID!AN6/VLOOKUP($B6,표2[#ALL],2)</f>
        <v>0</v>
      </c>
      <c r="AO6" s="349">
        <f>CS_PID!AO6/VLOOKUP($B6,표2[#ALL],2)</f>
        <v>0</v>
      </c>
      <c r="AP6" s="349">
        <f>CS_PID!AP6/VLOOKUP($B6,표2[#ALL],2)</f>
        <v>0</v>
      </c>
      <c r="AQ6" s="349">
        <f>CS_PID!AQ6/VLOOKUP($B6,표2[#ALL],2)</f>
        <v>0</v>
      </c>
      <c r="AR6" s="349">
        <f>CS_PID!AR6/VLOOKUP($B6,표2[#ALL],2)</f>
        <v>0</v>
      </c>
      <c r="AS6" s="349">
        <f>CS_PID!AS6/VLOOKUP($B6,표2[#ALL],2)</f>
        <v>0</v>
      </c>
    </row>
    <row r="7">
      <c r="A7" s="141" t="s">
        <v>78</v>
      </c>
      <c r="B7" s="142">
        <v>260.0</v>
      </c>
      <c r="C7" s="350">
        <f>CS_PID!C7/VLOOKUP($B7,표2[#ALL],2)</f>
        <v>0.001406015563</v>
      </c>
      <c r="D7" s="350">
        <f>CS_PID!D7/VLOOKUP($B7,표2[#ALL],2)</f>
        <v>0.04077445131</v>
      </c>
      <c r="E7" s="350">
        <f>CS_PID!E7/VLOOKUP($B7,표2[#ALL],2)</f>
        <v>0.01827820231</v>
      </c>
      <c r="F7" s="350">
        <f>CS_PID!F7/VLOOKUP($B7,표2[#ALL],2)</f>
        <v>0.001406015563</v>
      </c>
      <c r="G7" s="350">
        <f>CS_PID!G7/VLOOKUP($B7,표2[#ALL],2)</f>
        <v>0</v>
      </c>
      <c r="H7" s="350">
        <f>CS_PID!H7/VLOOKUP($B7,표2[#ALL],2)</f>
        <v>0.004218046688</v>
      </c>
      <c r="I7" s="350">
        <f>CS_PID!I7/VLOOKUP($B7,표2[#ALL],2)</f>
        <v>0.02671429569</v>
      </c>
      <c r="J7" s="350">
        <f>CS_PID!J7/VLOOKUP($B7,표2[#ALL],2)</f>
        <v>0.07311280925</v>
      </c>
      <c r="K7" s="350">
        <f>CS_PID!K7/VLOOKUP($B7,표2[#ALL],2)</f>
        <v>0.002812031125</v>
      </c>
      <c r="L7" s="350">
        <f>CS_PID!L7/VLOOKUP($B7,표2[#ALL],2)</f>
        <v>0</v>
      </c>
      <c r="M7" s="350">
        <f>CS_PID!M7/VLOOKUP($B7,표2[#ALL],2)</f>
        <v>0</v>
      </c>
      <c r="N7" s="350">
        <f>CS_PID!N7/VLOOKUP($B7,표2[#ALL],2)</f>
        <v>0</v>
      </c>
      <c r="O7" s="350">
        <f>CS_PID!O7/VLOOKUP($B7,표2[#ALL],2)</f>
        <v>0.05202257581</v>
      </c>
      <c r="P7" s="350">
        <f>CS_PID!P7/VLOOKUP($B7,표2[#ALL],2)</f>
        <v>0.08717296488</v>
      </c>
      <c r="Q7" s="350">
        <f>CS_PID!Q7/VLOOKUP($B7,표2[#ALL],2)</f>
        <v>0.0112481245</v>
      </c>
      <c r="R7" s="350">
        <f>CS_PID!R7/VLOOKUP($B7,표2[#ALL],2)</f>
        <v>0</v>
      </c>
      <c r="S7" s="350">
        <f>CS_PID!S7/VLOOKUP($B7,표2[#ALL],2)</f>
        <v>0</v>
      </c>
      <c r="T7" s="350">
        <f>CS_PID!T7/VLOOKUP($B7,표2[#ALL],2)</f>
        <v>0</v>
      </c>
      <c r="U7" s="350">
        <f>CS_PID!U7/VLOOKUP($B7,표2[#ALL],2)</f>
        <v>0.05061656025</v>
      </c>
      <c r="V7" s="350">
        <f>CS_PID!V7/VLOOKUP($B7,표2[#ALL],2)</f>
        <v>0.1110752294</v>
      </c>
      <c r="W7" s="350">
        <f>CS_PID!W7/VLOOKUP($B7,표2[#ALL],2)</f>
        <v>0.00562406225</v>
      </c>
      <c r="X7" s="350">
        <f>CS_PID!X7/VLOOKUP($B7,표2[#ALL],2)</f>
        <v>0</v>
      </c>
      <c r="Y7" s="350">
        <f>CS_PID!Y7/VLOOKUP($B7,표2[#ALL],2)</f>
        <v>0</v>
      </c>
      <c r="Z7" s="350">
        <f>CS_PID!Z7/VLOOKUP($B7,표2[#ALL],2)</f>
        <v>0.002812031125</v>
      </c>
      <c r="AA7" s="350">
        <f>CS_PID!AA7/VLOOKUP($B7,표2[#ALL],2)</f>
        <v>0.03655640463</v>
      </c>
      <c r="AB7" s="350">
        <f>CS_PID!AB7/VLOOKUP($B7,표2[#ALL],2)</f>
        <v>0.022496249</v>
      </c>
      <c r="AC7" s="350">
        <f>CS_PID!AC7/VLOOKUP($B7,표2[#ALL],2)</f>
        <v>0.002812031125</v>
      </c>
      <c r="AD7" s="350">
        <f>CS_PID!AD7/VLOOKUP($B7,표2[#ALL],2)</f>
        <v>0</v>
      </c>
      <c r="AE7" s="350">
        <f>CS_PID!AE7/VLOOKUP($B7,표2[#ALL],2)</f>
        <v>0</v>
      </c>
      <c r="AF7" s="350">
        <f>CS_PID!AF7/VLOOKUP($B7,표2[#ALL],2)</f>
        <v>0.001406015563</v>
      </c>
      <c r="AG7" s="350">
        <f>CS_PID!AG7/VLOOKUP($B7,표2[#ALL],2)</f>
        <v>0.002812031125</v>
      </c>
      <c r="AH7" s="350">
        <f>CS_PID!AH7/VLOOKUP($B7,표2[#ALL],2)</f>
        <v>0.001406015563</v>
      </c>
      <c r="AI7" s="350">
        <f>CS_PID!AI7/VLOOKUP($B7,표2[#ALL],2)</f>
        <v>0</v>
      </c>
      <c r="AJ7" s="350">
        <f>CS_PID!AJ7/VLOOKUP($B7,표2[#ALL],2)</f>
        <v>0</v>
      </c>
      <c r="AK7" s="350">
        <f>CS_PID!AK7/VLOOKUP($B7,표2[#ALL],2)</f>
        <v>0</v>
      </c>
      <c r="AL7" s="350">
        <f>CS_PID!AL7/VLOOKUP($B7,표2[#ALL],2)</f>
        <v>0.001406015563</v>
      </c>
      <c r="AM7" s="350">
        <f>CS_PID!AM7/VLOOKUP($B7,표2[#ALL],2)</f>
        <v>0</v>
      </c>
      <c r="AN7" s="350">
        <f>CS_PID!AN7/VLOOKUP($B7,표2[#ALL],2)</f>
        <v>0</v>
      </c>
      <c r="AO7" s="350">
        <f>CS_PID!AO7/VLOOKUP($B7,표2[#ALL],2)</f>
        <v>0</v>
      </c>
      <c r="AP7" s="350">
        <f>CS_PID!AP7/VLOOKUP($B7,표2[#ALL],2)</f>
        <v>0</v>
      </c>
      <c r="AQ7" s="350">
        <f>CS_PID!AQ7/VLOOKUP($B7,표2[#ALL],2)</f>
        <v>0</v>
      </c>
      <c r="AR7" s="350">
        <f>CS_PID!AR7/VLOOKUP($B7,표2[#ALL],2)</f>
        <v>0</v>
      </c>
      <c r="AS7" s="350">
        <f>CS_PID!AS7/VLOOKUP($B7,표2[#ALL],2)</f>
        <v>0</v>
      </c>
    </row>
    <row r="8">
      <c r="A8" s="141" t="s">
        <v>78</v>
      </c>
      <c r="B8" s="142">
        <v>261.0</v>
      </c>
      <c r="C8" s="350">
        <f>CS_PID!C8/VLOOKUP($B8,표2[#ALL],2)</f>
        <v>0.00166844129</v>
      </c>
      <c r="D8" s="350">
        <f>CS_PID!D8/VLOOKUP($B8,표2[#ALL],2)</f>
        <v>0.03420304645</v>
      </c>
      <c r="E8" s="350">
        <f>CS_PID!E8/VLOOKUP($B8,표2[#ALL],2)</f>
        <v>0.0166844129</v>
      </c>
      <c r="F8" s="350">
        <f>CS_PID!F8/VLOOKUP($B8,표2[#ALL],2)</f>
        <v>0.0008342206452</v>
      </c>
      <c r="G8" s="350">
        <f>CS_PID!G8/VLOOKUP($B8,표2[#ALL],2)</f>
        <v>0</v>
      </c>
      <c r="H8" s="350">
        <f>CS_PID!H8/VLOOKUP($B8,표2[#ALL],2)</f>
        <v>0.002502661936</v>
      </c>
      <c r="I8" s="350">
        <f>CS_PID!I8/VLOOKUP($B8,표2[#ALL],2)</f>
        <v>0.02752928129</v>
      </c>
      <c r="J8" s="350">
        <f>CS_PID!J8/VLOOKUP($B8,표2[#ALL],2)</f>
        <v>0.06256654839</v>
      </c>
      <c r="K8" s="350">
        <f>CS_PID!K8/VLOOKUP($B8,표2[#ALL],2)</f>
        <v>0.004171103226</v>
      </c>
      <c r="L8" s="350">
        <f>CS_PID!L8/VLOOKUP($B8,표2[#ALL],2)</f>
        <v>0</v>
      </c>
      <c r="M8" s="350">
        <f>CS_PID!M8/VLOOKUP($B8,표2[#ALL],2)</f>
        <v>0</v>
      </c>
      <c r="N8" s="350">
        <f>CS_PID!N8/VLOOKUP($B8,표2[#ALL],2)</f>
        <v>0.002502661936</v>
      </c>
      <c r="O8" s="350">
        <f>CS_PID!O8/VLOOKUP($B8,표2[#ALL],2)</f>
        <v>0.06256654839</v>
      </c>
      <c r="P8" s="350">
        <f>CS_PID!P8/VLOOKUP($B8,표2[#ALL],2)</f>
        <v>0.08425628516</v>
      </c>
      <c r="Q8" s="350">
        <f>CS_PID!Q8/VLOOKUP($B8,표2[#ALL],2)</f>
        <v>0.01084486839</v>
      </c>
      <c r="R8" s="350">
        <f>CS_PID!R8/VLOOKUP($B8,표2[#ALL],2)</f>
        <v>0</v>
      </c>
      <c r="S8" s="350">
        <f>CS_PID!S8/VLOOKUP($B8,표2[#ALL],2)</f>
        <v>0</v>
      </c>
      <c r="T8" s="350">
        <f>CS_PID!T8/VLOOKUP($B8,표2[#ALL],2)</f>
        <v>0</v>
      </c>
      <c r="U8" s="350">
        <f>CS_PID!U8/VLOOKUP($B8,표2[#ALL],2)</f>
        <v>0.05672700387</v>
      </c>
      <c r="V8" s="350">
        <f>CS_PID!V8/VLOOKUP($B8,표2[#ALL],2)</f>
        <v>0.1301384206</v>
      </c>
      <c r="W8" s="350">
        <f>CS_PID!W8/VLOOKUP($B8,표2[#ALL],2)</f>
        <v>0.007507985807</v>
      </c>
      <c r="X8" s="350">
        <f>CS_PID!X8/VLOOKUP($B8,표2[#ALL],2)</f>
        <v>0</v>
      </c>
      <c r="Y8" s="350">
        <f>CS_PID!Y8/VLOOKUP($B8,표2[#ALL],2)</f>
        <v>0</v>
      </c>
      <c r="Z8" s="350">
        <f>CS_PID!Z8/VLOOKUP($B8,표2[#ALL],2)</f>
        <v>0</v>
      </c>
      <c r="AA8" s="350">
        <f>CS_PID!AA8/VLOOKUP($B8,표2[#ALL],2)</f>
        <v>0.03587148774</v>
      </c>
      <c r="AB8" s="350">
        <f>CS_PID!AB8/VLOOKUP($B8,표2[#ALL],2)</f>
        <v>0.02419239871</v>
      </c>
      <c r="AC8" s="350">
        <f>CS_PID!AC8/VLOOKUP($B8,표2[#ALL],2)</f>
        <v>0.0008342206452</v>
      </c>
      <c r="AD8" s="350">
        <f>CS_PID!AD8/VLOOKUP($B8,표2[#ALL],2)</f>
        <v>0</v>
      </c>
      <c r="AE8" s="350">
        <f>CS_PID!AE8/VLOOKUP($B8,표2[#ALL],2)</f>
        <v>0</v>
      </c>
      <c r="AF8" s="350">
        <f>CS_PID!AF8/VLOOKUP($B8,표2[#ALL],2)</f>
        <v>0</v>
      </c>
      <c r="AG8" s="350">
        <f>CS_PID!AG8/VLOOKUP($B8,표2[#ALL],2)</f>
        <v>0.005005323871</v>
      </c>
      <c r="AH8" s="350">
        <f>CS_PID!AH8/VLOOKUP($B8,표2[#ALL],2)</f>
        <v>0.0008342206452</v>
      </c>
      <c r="AI8" s="350">
        <f>CS_PID!AI8/VLOOKUP($B8,표2[#ALL],2)</f>
        <v>0</v>
      </c>
      <c r="AJ8" s="350">
        <f>CS_PID!AJ8/VLOOKUP($B8,표2[#ALL],2)</f>
        <v>0</v>
      </c>
      <c r="AK8" s="350">
        <f>CS_PID!AK8/VLOOKUP($B8,표2[#ALL],2)</f>
        <v>0</v>
      </c>
      <c r="AL8" s="350">
        <f>CS_PID!AL8/VLOOKUP($B8,표2[#ALL],2)</f>
        <v>0</v>
      </c>
      <c r="AM8" s="350">
        <f>CS_PID!AM8/VLOOKUP($B8,표2[#ALL],2)</f>
        <v>0</v>
      </c>
      <c r="AN8" s="350">
        <f>CS_PID!AN8/VLOOKUP($B8,표2[#ALL],2)</f>
        <v>0</v>
      </c>
      <c r="AO8" s="350">
        <f>CS_PID!AO8/VLOOKUP($B8,표2[#ALL],2)</f>
        <v>0</v>
      </c>
      <c r="AP8" s="350">
        <f>CS_PID!AP8/VLOOKUP($B8,표2[#ALL],2)</f>
        <v>0</v>
      </c>
      <c r="AQ8" s="350">
        <f>CS_PID!AQ8/VLOOKUP($B8,표2[#ALL],2)</f>
        <v>0</v>
      </c>
      <c r="AR8" s="350">
        <f>CS_PID!AR8/VLOOKUP($B8,표2[#ALL],2)</f>
        <v>0</v>
      </c>
      <c r="AS8" s="350">
        <f>CS_PID!AS8/VLOOKUP($B8,표2[#ALL],2)</f>
        <v>0</v>
      </c>
    </row>
    <row r="9">
      <c r="A9" s="141" t="s">
        <v>78</v>
      </c>
      <c r="B9" s="142">
        <v>262.0</v>
      </c>
      <c r="C9" s="350">
        <f>CS_PID!C9/VLOOKUP($B9,표2[#ALL],2)</f>
        <v>0.003946040757</v>
      </c>
      <c r="D9" s="350">
        <f>CS_PID!D9/VLOOKUP($B9,표2[#ALL],2)</f>
        <v>0.04537946871</v>
      </c>
      <c r="E9" s="350">
        <f>CS_PID!E9/VLOOKUP($B9,표2[#ALL],2)</f>
        <v>0.01578416303</v>
      </c>
      <c r="F9" s="350">
        <f>CS_PID!F9/VLOOKUP($B9,표2[#ALL],2)</f>
        <v>0.003946040757</v>
      </c>
      <c r="G9" s="350">
        <f>CS_PID!G9/VLOOKUP($B9,표2[#ALL],2)</f>
        <v>0</v>
      </c>
      <c r="H9" s="350">
        <f>CS_PID!H9/VLOOKUP($B9,표2[#ALL],2)</f>
        <v>0.005919061136</v>
      </c>
      <c r="I9" s="350">
        <f>CS_PID!I9/VLOOKUP($B9,표2[#ALL],2)</f>
        <v>0.03946040757</v>
      </c>
      <c r="J9" s="350">
        <f>CS_PID!J9/VLOOKUP($B9,표2[#ALL],2)</f>
        <v>0.04735248909</v>
      </c>
      <c r="K9" s="350">
        <f>CS_PID!K9/VLOOKUP($B9,표2[#ALL],2)</f>
        <v>0</v>
      </c>
      <c r="L9" s="350">
        <f>CS_PID!L9/VLOOKUP($B9,표2[#ALL],2)</f>
        <v>0</v>
      </c>
      <c r="M9" s="350">
        <f>CS_PID!M9/VLOOKUP($B9,표2[#ALL],2)</f>
        <v>0</v>
      </c>
      <c r="N9" s="350">
        <f>CS_PID!N9/VLOOKUP($B9,표2[#ALL],2)</f>
        <v>0.003946040757</v>
      </c>
      <c r="O9" s="350">
        <f>CS_PID!O9/VLOOKUP($B9,표2[#ALL],2)</f>
        <v>0.07102873363</v>
      </c>
      <c r="P9" s="350">
        <f>CS_PID!P9/VLOOKUP($B9,표2[#ALL],2)</f>
        <v>0.1124621616</v>
      </c>
      <c r="Q9" s="350">
        <f>CS_PID!Q9/VLOOKUP($B9,표2[#ALL],2)</f>
        <v>0.005919061136</v>
      </c>
      <c r="R9" s="350">
        <f>CS_PID!R9/VLOOKUP($B9,표2[#ALL],2)</f>
        <v>0</v>
      </c>
      <c r="S9" s="350">
        <f>CS_PID!S9/VLOOKUP($B9,표2[#ALL],2)</f>
        <v>0</v>
      </c>
      <c r="T9" s="350">
        <f>CS_PID!T9/VLOOKUP($B9,표2[#ALL],2)</f>
        <v>0</v>
      </c>
      <c r="U9" s="350">
        <f>CS_PID!U9/VLOOKUP($B9,표2[#ALL],2)</f>
        <v>0.0651096725</v>
      </c>
      <c r="V9" s="350">
        <f>CS_PID!V9/VLOOKUP($B9,표2[#ALL],2)</f>
        <v>0.1203542431</v>
      </c>
      <c r="W9" s="350">
        <f>CS_PID!W9/VLOOKUP($B9,표2[#ALL],2)</f>
        <v>0.007892081515</v>
      </c>
      <c r="X9" s="350">
        <f>CS_PID!X9/VLOOKUP($B9,표2[#ALL],2)</f>
        <v>0</v>
      </c>
      <c r="Y9" s="350">
        <f>CS_PID!Y9/VLOOKUP($B9,표2[#ALL],2)</f>
        <v>0</v>
      </c>
      <c r="Z9" s="350">
        <f>CS_PID!Z9/VLOOKUP($B9,표2[#ALL],2)</f>
        <v>0</v>
      </c>
      <c r="AA9" s="350">
        <f>CS_PID!AA9/VLOOKUP($B9,표2[#ALL],2)</f>
        <v>0.04932550947</v>
      </c>
      <c r="AB9" s="350">
        <f>CS_PID!AB9/VLOOKUP($B9,표2[#ALL],2)</f>
        <v>0.02367624454</v>
      </c>
      <c r="AC9" s="350">
        <f>CS_PID!AC9/VLOOKUP($B9,표2[#ALL],2)</f>
        <v>0.001973020379</v>
      </c>
      <c r="AD9" s="350">
        <f>CS_PID!AD9/VLOOKUP($B9,표2[#ALL],2)</f>
        <v>0</v>
      </c>
      <c r="AE9" s="350">
        <f>CS_PID!AE9/VLOOKUP($B9,표2[#ALL],2)</f>
        <v>0</v>
      </c>
      <c r="AF9" s="350">
        <f>CS_PID!AF9/VLOOKUP($B9,표2[#ALL],2)</f>
        <v>0</v>
      </c>
      <c r="AG9" s="350">
        <f>CS_PID!AG9/VLOOKUP($B9,표2[#ALL],2)</f>
        <v>0</v>
      </c>
      <c r="AH9" s="350">
        <f>CS_PID!AH9/VLOOKUP($B9,표2[#ALL],2)</f>
        <v>0.001973020379</v>
      </c>
      <c r="AI9" s="350">
        <f>CS_PID!AI9/VLOOKUP($B9,표2[#ALL],2)</f>
        <v>0</v>
      </c>
      <c r="AJ9" s="350">
        <f>CS_PID!AJ9/VLOOKUP($B9,표2[#ALL],2)</f>
        <v>0</v>
      </c>
      <c r="AK9" s="350">
        <f>CS_PID!AK9/VLOOKUP($B9,표2[#ALL],2)</f>
        <v>0</v>
      </c>
      <c r="AL9" s="350">
        <f>CS_PID!AL9/VLOOKUP($B9,표2[#ALL],2)</f>
        <v>0</v>
      </c>
      <c r="AM9" s="350">
        <f>CS_PID!AM9/VLOOKUP($B9,표2[#ALL],2)</f>
        <v>0</v>
      </c>
      <c r="AN9" s="350">
        <f>CS_PID!AN9/VLOOKUP($B9,표2[#ALL],2)</f>
        <v>0</v>
      </c>
      <c r="AO9" s="350">
        <f>CS_PID!AO9/VLOOKUP($B9,표2[#ALL],2)</f>
        <v>0</v>
      </c>
      <c r="AP9" s="350">
        <f>CS_PID!AP9/VLOOKUP($B9,표2[#ALL],2)</f>
        <v>0</v>
      </c>
      <c r="AQ9" s="350">
        <f>CS_PID!AQ9/VLOOKUP($B9,표2[#ALL],2)</f>
        <v>0</v>
      </c>
      <c r="AR9" s="350">
        <f>CS_PID!AR9/VLOOKUP($B9,표2[#ALL],2)</f>
        <v>0</v>
      </c>
      <c r="AS9" s="350">
        <f>CS_PID!AS9/VLOOKUP($B9,표2[#ALL],2)</f>
        <v>0</v>
      </c>
    </row>
    <row r="10">
      <c r="A10" s="141" t="s">
        <v>78</v>
      </c>
      <c r="B10" s="142">
        <v>263.0</v>
      </c>
      <c r="C10" s="350">
        <f>CS_PID!C10/VLOOKUP($B10,표2[#ALL],2)</f>
        <v>0.001883206331</v>
      </c>
      <c r="D10" s="350">
        <f>CS_PID!D10/VLOOKUP($B10,표2[#ALL],2)</f>
        <v>0.04708015826</v>
      </c>
      <c r="E10" s="350">
        <f>CS_PID!E10/VLOOKUP($B10,표2[#ALL],2)</f>
        <v>0.01883206331</v>
      </c>
      <c r="F10" s="350">
        <f>CS_PID!F10/VLOOKUP($B10,표2[#ALL],2)</f>
        <v>0</v>
      </c>
      <c r="G10" s="350">
        <f>CS_PID!G10/VLOOKUP($B10,표2[#ALL],2)</f>
        <v>0</v>
      </c>
      <c r="H10" s="350">
        <f>CS_PID!H10/VLOOKUP($B10,표2[#ALL],2)</f>
        <v>0.001883206331</v>
      </c>
      <c r="I10" s="350">
        <f>CS_PID!I10/VLOOKUP($B10,표2[#ALL],2)</f>
        <v>0.02824809496</v>
      </c>
      <c r="J10" s="350">
        <f>CS_PID!J10/VLOOKUP($B10,표2[#ALL],2)</f>
        <v>0.07532825322</v>
      </c>
      <c r="K10" s="350">
        <f>CS_PID!K10/VLOOKUP($B10,표2[#ALL],2)</f>
        <v>0.01129923798</v>
      </c>
      <c r="L10" s="350">
        <f>CS_PID!L10/VLOOKUP($B10,표2[#ALL],2)</f>
        <v>0.001883206331</v>
      </c>
      <c r="M10" s="350">
        <f>CS_PID!M10/VLOOKUP($B10,표2[#ALL],2)</f>
        <v>0</v>
      </c>
      <c r="N10" s="350">
        <f>CS_PID!N10/VLOOKUP($B10,표2[#ALL],2)</f>
        <v>0.001883206331</v>
      </c>
      <c r="O10" s="350">
        <f>CS_PID!O10/VLOOKUP($B10,표2[#ALL],2)</f>
        <v>0.09039390387</v>
      </c>
      <c r="P10" s="350">
        <f>CS_PID!P10/VLOOKUP($B10,표2[#ALL],2)</f>
        <v>0.08286107854</v>
      </c>
      <c r="Q10" s="350">
        <f>CS_PID!Q10/VLOOKUP($B10,표2[#ALL],2)</f>
        <v>0.009416031653</v>
      </c>
      <c r="R10" s="350">
        <f>CS_PID!R10/VLOOKUP($B10,표2[#ALL],2)</f>
        <v>0</v>
      </c>
      <c r="S10" s="350">
        <f>CS_PID!S10/VLOOKUP($B10,표2[#ALL],2)</f>
        <v>0</v>
      </c>
      <c r="T10" s="350">
        <f>CS_PID!T10/VLOOKUP($B10,표2[#ALL],2)</f>
        <v>0</v>
      </c>
      <c r="U10" s="350">
        <f>CS_PID!U10/VLOOKUP($B10,표2[#ALL],2)</f>
        <v>0.03766412661</v>
      </c>
      <c r="V10" s="350">
        <f>CS_PID!V10/VLOOKUP($B10,표2[#ALL],2)</f>
        <v>0.1111091735</v>
      </c>
      <c r="W10" s="350">
        <f>CS_PID!W10/VLOOKUP($B10,표2[#ALL],2)</f>
        <v>0.003766412661</v>
      </c>
      <c r="X10" s="350">
        <f>CS_PID!X10/VLOOKUP($B10,표2[#ALL],2)</f>
        <v>0</v>
      </c>
      <c r="Y10" s="350">
        <f>CS_PID!Y10/VLOOKUP($B10,표2[#ALL],2)</f>
        <v>0</v>
      </c>
      <c r="Z10" s="350">
        <f>CS_PID!Z10/VLOOKUP($B10,표2[#ALL],2)</f>
        <v>0.001883206331</v>
      </c>
      <c r="AA10" s="350">
        <f>CS_PID!AA10/VLOOKUP($B10,표2[#ALL],2)</f>
        <v>0.03389771395</v>
      </c>
      <c r="AB10" s="350">
        <f>CS_PID!AB10/VLOOKUP($B10,표2[#ALL],2)</f>
        <v>0.02071526964</v>
      </c>
      <c r="AC10" s="350">
        <f>CS_PID!AC10/VLOOKUP($B10,표2[#ALL],2)</f>
        <v>0</v>
      </c>
      <c r="AD10" s="350">
        <f>CS_PID!AD10/VLOOKUP($B10,표2[#ALL],2)</f>
        <v>0</v>
      </c>
      <c r="AE10" s="350">
        <f>CS_PID!AE10/VLOOKUP($B10,표2[#ALL],2)</f>
        <v>0</v>
      </c>
      <c r="AF10" s="350">
        <f>CS_PID!AF10/VLOOKUP($B10,표2[#ALL],2)</f>
        <v>0</v>
      </c>
      <c r="AG10" s="350">
        <f>CS_PID!AG10/VLOOKUP($B10,표2[#ALL],2)</f>
        <v>0.01694885697</v>
      </c>
      <c r="AH10" s="350">
        <f>CS_PID!AH10/VLOOKUP($B10,표2[#ALL],2)</f>
        <v>0</v>
      </c>
      <c r="AI10" s="350">
        <f>CS_PID!AI10/VLOOKUP($B10,표2[#ALL],2)</f>
        <v>0</v>
      </c>
      <c r="AJ10" s="350">
        <f>CS_PID!AJ10/VLOOKUP($B10,표2[#ALL],2)</f>
        <v>0</v>
      </c>
      <c r="AK10" s="350">
        <f>CS_PID!AK10/VLOOKUP($B10,표2[#ALL],2)</f>
        <v>0</v>
      </c>
      <c r="AL10" s="350">
        <f>CS_PID!AL10/VLOOKUP($B10,표2[#ALL],2)</f>
        <v>0</v>
      </c>
      <c r="AM10" s="350">
        <f>CS_PID!AM10/VLOOKUP($B10,표2[#ALL],2)</f>
        <v>0</v>
      </c>
      <c r="AN10" s="350">
        <f>CS_PID!AN10/VLOOKUP($B10,표2[#ALL],2)</f>
        <v>0</v>
      </c>
      <c r="AO10" s="350">
        <f>CS_PID!AO10/VLOOKUP($B10,표2[#ALL],2)</f>
        <v>0</v>
      </c>
      <c r="AP10" s="350">
        <f>CS_PID!AP10/VLOOKUP($B10,표2[#ALL],2)</f>
        <v>0</v>
      </c>
      <c r="AQ10" s="350">
        <f>CS_PID!AQ10/VLOOKUP($B10,표2[#ALL],2)</f>
        <v>0</v>
      </c>
      <c r="AR10" s="350">
        <f>CS_PID!AR10/VLOOKUP($B10,표2[#ALL],2)</f>
        <v>0</v>
      </c>
      <c r="AS10" s="350">
        <f>CS_PID!AS10/VLOOKUP($B10,표2[#ALL],2)</f>
        <v>0</v>
      </c>
    </row>
    <row r="11">
      <c r="A11" s="141" t="s">
        <v>78</v>
      </c>
      <c r="B11" s="142">
        <v>264.0</v>
      </c>
      <c r="C11" s="350">
        <f>CS_PID!C11/VLOOKUP($B11,표2[#ALL],2)</f>
        <v>0.001137555933</v>
      </c>
      <c r="D11" s="350">
        <f>CS_PID!D11/VLOOKUP($B11,표2[#ALL],2)</f>
        <v>0.0443646814</v>
      </c>
      <c r="E11" s="350">
        <f>CS_PID!E11/VLOOKUP($B11,표2[#ALL],2)</f>
        <v>0.01933845087</v>
      </c>
      <c r="F11" s="350">
        <f>CS_PID!F11/VLOOKUP($B11,표2[#ALL],2)</f>
        <v>0</v>
      </c>
      <c r="G11" s="350">
        <f>CS_PID!G11/VLOOKUP($B11,표2[#ALL],2)</f>
        <v>0</v>
      </c>
      <c r="H11" s="350">
        <f>CS_PID!H11/VLOOKUP($B11,표2[#ALL],2)</f>
        <v>0.001137555933</v>
      </c>
      <c r="I11" s="350">
        <f>CS_PID!I11/VLOOKUP($B11,표2[#ALL],2)</f>
        <v>0.02161356273</v>
      </c>
      <c r="J11" s="350">
        <f>CS_PID!J11/VLOOKUP($B11,표2[#ALL],2)</f>
        <v>0.06256557633</v>
      </c>
      <c r="K11" s="350">
        <f>CS_PID!K11/VLOOKUP($B11,표2[#ALL],2)</f>
        <v>0.0034126678</v>
      </c>
      <c r="L11" s="350">
        <f>CS_PID!L11/VLOOKUP($B11,표2[#ALL],2)</f>
        <v>0</v>
      </c>
      <c r="M11" s="350">
        <f>CS_PID!M11/VLOOKUP($B11,표2[#ALL],2)</f>
        <v>0</v>
      </c>
      <c r="N11" s="350">
        <f>CS_PID!N11/VLOOKUP($B11,표2[#ALL],2)</f>
        <v>0.002275111867</v>
      </c>
      <c r="O11" s="350">
        <f>CS_PID!O11/VLOOKUP($B11,표2[#ALL],2)</f>
        <v>0.05232757293</v>
      </c>
      <c r="P11" s="350">
        <f>CS_PID!P11/VLOOKUP($B11,표2[#ALL],2)</f>
        <v>0.09441714246</v>
      </c>
      <c r="Q11" s="350">
        <f>CS_PID!Q11/VLOOKUP($B11,표2[#ALL],2)</f>
        <v>0.0136506712</v>
      </c>
      <c r="R11" s="350">
        <f>CS_PID!R11/VLOOKUP($B11,표2[#ALL],2)</f>
        <v>0</v>
      </c>
      <c r="S11" s="350">
        <f>CS_PID!S11/VLOOKUP($B11,표2[#ALL],2)</f>
        <v>0</v>
      </c>
      <c r="T11" s="350">
        <f>CS_PID!T11/VLOOKUP($B11,표2[#ALL],2)</f>
        <v>0</v>
      </c>
      <c r="U11" s="350">
        <f>CS_PID!U11/VLOOKUP($B11,표2[#ALL],2)</f>
        <v>0.05915290853</v>
      </c>
      <c r="V11" s="350">
        <f>CS_PID!V11/VLOOKUP($B11,표2[#ALL],2)</f>
        <v>0.136506712</v>
      </c>
      <c r="W11" s="350">
        <f>CS_PID!W11/VLOOKUP($B11,표2[#ALL],2)</f>
        <v>0.0034126678</v>
      </c>
      <c r="X11" s="350">
        <f>CS_PID!X11/VLOOKUP($B11,표2[#ALL],2)</f>
        <v>0</v>
      </c>
      <c r="Y11" s="350">
        <f>CS_PID!Y11/VLOOKUP($B11,표2[#ALL],2)</f>
        <v>0</v>
      </c>
      <c r="Z11" s="350">
        <f>CS_PID!Z11/VLOOKUP($B11,표2[#ALL],2)</f>
        <v>0</v>
      </c>
      <c r="AA11" s="350">
        <f>CS_PID!AA11/VLOOKUP($B11,표2[#ALL],2)</f>
        <v>0.03298912207</v>
      </c>
      <c r="AB11" s="350">
        <f>CS_PID!AB11/VLOOKUP($B11,표2[#ALL],2)</f>
        <v>0.02161356273</v>
      </c>
      <c r="AC11" s="350">
        <f>CS_PID!AC11/VLOOKUP($B11,표2[#ALL],2)</f>
        <v>0.001137555933</v>
      </c>
      <c r="AD11" s="350">
        <f>CS_PID!AD11/VLOOKUP($B11,표2[#ALL],2)</f>
        <v>0</v>
      </c>
      <c r="AE11" s="350">
        <f>CS_PID!AE11/VLOOKUP($B11,표2[#ALL],2)</f>
        <v>0</v>
      </c>
      <c r="AF11" s="350">
        <f>CS_PID!AF11/VLOOKUP($B11,표2[#ALL],2)</f>
        <v>0</v>
      </c>
      <c r="AG11" s="350">
        <f>CS_PID!AG11/VLOOKUP($B11,표2[#ALL],2)</f>
        <v>0.001137555933</v>
      </c>
      <c r="AH11" s="350">
        <f>CS_PID!AH11/VLOOKUP($B11,표2[#ALL],2)</f>
        <v>0.001137555933</v>
      </c>
      <c r="AI11" s="350">
        <f>CS_PID!AI11/VLOOKUP($B11,표2[#ALL],2)</f>
        <v>0</v>
      </c>
      <c r="AJ11" s="350">
        <f>CS_PID!AJ11/VLOOKUP($B11,표2[#ALL],2)</f>
        <v>0</v>
      </c>
      <c r="AK11" s="350">
        <f>CS_PID!AK11/VLOOKUP($B11,표2[#ALL],2)</f>
        <v>0</v>
      </c>
      <c r="AL11" s="350">
        <f>CS_PID!AL11/VLOOKUP($B11,표2[#ALL],2)</f>
        <v>0</v>
      </c>
      <c r="AM11" s="350">
        <f>CS_PID!AM11/VLOOKUP($B11,표2[#ALL],2)</f>
        <v>0</v>
      </c>
      <c r="AN11" s="350">
        <f>CS_PID!AN11/VLOOKUP($B11,표2[#ALL],2)</f>
        <v>0</v>
      </c>
      <c r="AO11" s="350">
        <f>CS_PID!AO11/VLOOKUP($B11,표2[#ALL],2)</f>
        <v>0</v>
      </c>
      <c r="AP11" s="350">
        <f>CS_PID!AP11/VLOOKUP($B11,표2[#ALL],2)</f>
        <v>0</v>
      </c>
      <c r="AQ11" s="350">
        <f>CS_PID!AQ11/VLOOKUP($B11,표2[#ALL],2)</f>
        <v>0</v>
      </c>
      <c r="AR11" s="350">
        <f>CS_PID!AR11/VLOOKUP($B11,표2[#ALL],2)</f>
        <v>0</v>
      </c>
      <c r="AS11" s="350">
        <f>CS_PID!AS11/VLOOKUP($B11,표2[#ALL],2)</f>
        <v>0</v>
      </c>
    </row>
    <row r="12">
      <c r="A12" s="141" t="s">
        <v>78</v>
      </c>
      <c r="B12" s="142">
        <v>265.0</v>
      </c>
      <c r="C12" s="350">
        <f>CS_PID!C12/VLOOKUP($B12,표2[#ALL],2)</f>
        <v>0.004885933533</v>
      </c>
      <c r="D12" s="350">
        <f>CS_PID!D12/VLOOKUP($B12,표2[#ALL],2)</f>
        <v>0.0586312024</v>
      </c>
      <c r="E12" s="350">
        <f>CS_PID!E12/VLOOKUP($B12,표2[#ALL],2)</f>
        <v>0.004885933533</v>
      </c>
      <c r="F12" s="350">
        <f>CS_PID!F12/VLOOKUP($B12,표2[#ALL],2)</f>
        <v>0.004885933533</v>
      </c>
      <c r="G12" s="350">
        <f>CS_PID!G12/VLOOKUP($B12,표2[#ALL],2)</f>
        <v>0</v>
      </c>
      <c r="H12" s="350">
        <f>CS_PID!H12/VLOOKUP($B12,표2[#ALL],2)</f>
        <v>0.009771867066</v>
      </c>
      <c r="I12" s="350">
        <f>CS_PID!I12/VLOOKUP($B12,표2[#ALL],2)</f>
        <v>0.03908746827</v>
      </c>
      <c r="J12" s="350">
        <f>CS_PID!J12/VLOOKUP($B12,표2[#ALL],2)</f>
        <v>0.05374526887</v>
      </c>
      <c r="K12" s="350">
        <f>CS_PID!K12/VLOOKUP($B12,표2[#ALL],2)</f>
        <v>0.004885933533</v>
      </c>
      <c r="L12" s="350">
        <f>CS_PID!L12/VLOOKUP($B12,표2[#ALL],2)</f>
        <v>0</v>
      </c>
      <c r="M12" s="350">
        <f>CS_PID!M12/VLOOKUP($B12,표2[#ALL],2)</f>
        <v>0</v>
      </c>
      <c r="N12" s="350">
        <f>CS_PID!N12/VLOOKUP($B12,표2[#ALL],2)</f>
        <v>0</v>
      </c>
      <c r="O12" s="350">
        <f>CS_PID!O12/VLOOKUP($B12,표2[#ALL],2)</f>
        <v>0.07817493653</v>
      </c>
      <c r="P12" s="350">
        <f>CS_PID!P12/VLOOKUP($B12,표2[#ALL],2)</f>
        <v>0.08306087006</v>
      </c>
      <c r="Q12" s="350">
        <f>CS_PID!Q12/VLOOKUP($B12,표2[#ALL],2)</f>
        <v>0.0146578006</v>
      </c>
      <c r="R12" s="350">
        <f>CS_PID!R12/VLOOKUP($B12,표2[#ALL],2)</f>
        <v>0</v>
      </c>
      <c r="S12" s="350">
        <f>CS_PID!S12/VLOOKUP($B12,표2[#ALL],2)</f>
        <v>0</v>
      </c>
      <c r="T12" s="350">
        <f>CS_PID!T12/VLOOKUP($B12,표2[#ALL],2)</f>
        <v>0.009771867066</v>
      </c>
      <c r="U12" s="350">
        <f>CS_PID!U12/VLOOKUP($B12,표2[#ALL],2)</f>
        <v>0.07817493653</v>
      </c>
      <c r="V12" s="350">
        <f>CS_PID!V12/VLOOKUP($B12,표2[#ALL],2)</f>
        <v>0.1221483383</v>
      </c>
      <c r="W12" s="350">
        <f>CS_PID!W12/VLOOKUP($B12,표2[#ALL],2)</f>
        <v>0.009771867066</v>
      </c>
      <c r="X12" s="350">
        <f>CS_PID!X12/VLOOKUP($B12,표2[#ALL],2)</f>
        <v>0</v>
      </c>
      <c r="Y12" s="350">
        <f>CS_PID!Y12/VLOOKUP($B12,표2[#ALL],2)</f>
        <v>0</v>
      </c>
      <c r="Z12" s="350">
        <f>CS_PID!Z12/VLOOKUP($B12,표2[#ALL],2)</f>
        <v>0</v>
      </c>
      <c r="AA12" s="350">
        <f>CS_PID!AA12/VLOOKUP($B12,표2[#ALL],2)</f>
        <v>0.05374526887</v>
      </c>
      <c r="AB12" s="350">
        <f>CS_PID!AB12/VLOOKUP($B12,표2[#ALL],2)</f>
        <v>0.0293156012</v>
      </c>
      <c r="AC12" s="350">
        <f>CS_PID!AC12/VLOOKUP($B12,표2[#ALL],2)</f>
        <v>0</v>
      </c>
      <c r="AD12" s="350">
        <f>CS_PID!AD12/VLOOKUP($B12,표2[#ALL],2)</f>
        <v>0</v>
      </c>
      <c r="AE12" s="350">
        <f>CS_PID!AE12/VLOOKUP($B12,표2[#ALL],2)</f>
        <v>0</v>
      </c>
      <c r="AF12" s="350">
        <f>CS_PID!AF12/VLOOKUP($B12,표2[#ALL],2)</f>
        <v>0</v>
      </c>
      <c r="AG12" s="350">
        <f>CS_PID!AG12/VLOOKUP($B12,표2[#ALL],2)</f>
        <v>0.009771867066</v>
      </c>
      <c r="AH12" s="350">
        <f>CS_PID!AH12/VLOOKUP($B12,표2[#ALL],2)</f>
        <v>0</v>
      </c>
      <c r="AI12" s="350">
        <f>CS_PID!AI12/VLOOKUP($B12,표2[#ALL],2)</f>
        <v>0</v>
      </c>
      <c r="AJ12" s="350">
        <f>CS_PID!AJ12/VLOOKUP($B12,표2[#ALL],2)</f>
        <v>0</v>
      </c>
      <c r="AK12" s="350">
        <f>CS_PID!AK12/VLOOKUP($B12,표2[#ALL],2)</f>
        <v>0</v>
      </c>
      <c r="AL12" s="350">
        <f>CS_PID!AL12/VLOOKUP($B12,표2[#ALL],2)</f>
        <v>0</v>
      </c>
      <c r="AM12" s="350">
        <f>CS_PID!AM12/VLOOKUP($B12,표2[#ALL],2)</f>
        <v>0</v>
      </c>
      <c r="AN12" s="350">
        <f>CS_PID!AN12/VLOOKUP($B12,표2[#ALL],2)</f>
        <v>0</v>
      </c>
      <c r="AO12" s="350">
        <f>CS_PID!AO12/VLOOKUP($B12,표2[#ALL],2)</f>
        <v>0</v>
      </c>
      <c r="AP12" s="350">
        <f>CS_PID!AP12/VLOOKUP($B12,표2[#ALL],2)</f>
        <v>0</v>
      </c>
      <c r="AQ12" s="350">
        <f>CS_PID!AQ12/VLOOKUP($B12,표2[#ALL],2)</f>
        <v>0</v>
      </c>
      <c r="AR12" s="350">
        <f>CS_PID!AR12/VLOOKUP($B12,표2[#ALL],2)</f>
        <v>0</v>
      </c>
      <c r="AS12" s="350">
        <f>CS_PID!AS12/VLOOKUP($B12,표2[#ALL],2)</f>
        <v>0</v>
      </c>
    </row>
    <row r="13">
      <c r="A13" s="141" t="s">
        <v>78</v>
      </c>
      <c r="B13" s="142">
        <v>266.0</v>
      </c>
      <c r="C13" s="350">
        <f>CS_PID!C13/VLOOKUP($B13,표2[#ALL],2)</f>
        <v>0.004086767526</v>
      </c>
      <c r="D13" s="350">
        <f>CS_PID!D13/VLOOKUP($B13,표2[#ALL],2)</f>
        <v>0.04086767526</v>
      </c>
      <c r="E13" s="350">
        <f>CS_PID!E13/VLOOKUP($B13,표2[#ALL],2)</f>
        <v>0.006130151289</v>
      </c>
      <c r="F13" s="350">
        <f>CS_PID!F13/VLOOKUP($B13,표2[#ALL],2)</f>
        <v>0.002043383763</v>
      </c>
      <c r="G13" s="350">
        <f>CS_PID!G13/VLOOKUP($B13,표2[#ALL],2)</f>
        <v>0</v>
      </c>
      <c r="H13" s="350">
        <f>CS_PID!H13/VLOOKUP($B13,표2[#ALL],2)</f>
        <v>0.006130151289</v>
      </c>
      <c r="I13" s="350">
        <f>CS_PID!I13/VLOOKUP($B13,표2[#ALL],2)</f>
        <v>0.03269414021</v>
      </c>
      <c r="J13" s="350">
        <f>CS_PID!J13/VLOOKUP($B13,표2[#ALL],2)</f>
        <v>0.06947504795</v>
      </c>
      <c r="K13" s="350">
        <f>CS_PID!K13/VLOOKUP($B13,표2[#ALL],2)</f>
        <v>0.01021691882</v>
      </c>
      <c r="L13" s="350">
        <f>CS_PID!L13/VLOOKUP($B13,표2[#ALL],2)</f>
        <v>0</v>
      </c>
      <c r="M13" s="350">
        <f>CS_PID!M13/VLOOKUP($B13,표2[#ALL],2)</f>
        <v>0</v>
      </c>
      <c r="N13" s="350">
        <f>CS_PID!N13/VLOOKUP($B13,표2[#ALL],2)</f>
        <v>0.002043383763</v>
      </c>
      <c r="O13" s="350">
        <f>CS_PID!O13/VLOOKUP($B13,표2[#ALL],2)</f>
        <v>0.07356181547</v>
      </c>
      <c r="P13" s="350">
        <f>CS_PID!P13/VLOOKUP($B13,표2[#ALL],2)</f>
        <v>0.1001258044</v>
      </c>
      <c r="Q13" s="350">
        <f>CS_PID!Q13/VLOOKUP($B13,표2[#ALL],2)</f>
        <v>0.01021691882</v>
      </c>
      <c r="R13" s="350">
        <f>CS_PID!R13/VLOOKUP($B13,표2[#ALL],2)</f>
        <v>0.002043383763</v>
      </c>
      <c r="S13" s="350">
        <f>CS_PID!S13/VLOOKUP($B13,표2[#ALL],2)</f>
        <v>0</v>
      </c>
      <c r="T13" s="350">
        <f>CS_PID!T13/VLOOKUP($B13,표2[#ALL],2)</f>
        <v>0.002043383763</v>
      </c>
      <c r="U13" s="350">
        <f>CS_PID!U13/VLOOKUP($B13,표2[#ALL],2)</f>
        <v>0.06334489666</v>
      </c>
      <c r="V13" s="350">
        <f>CS_PID!V13/VLOOKUP($B13,표2[#ALL],2)</f>
        <v>0.112386107</v>
      </c>
      <c r="W13" s="350">
        <f>CS_PID!W13/VLOOKUP($B13,표2[#ALL],2)</f>
        <v>0.006130151289</v>
      </c>
      <c r="X13" s="350">
        <f>CS_PID!X13/VLOOKUP($B13,표2[#ALL],2)</f>
        <v>0</v>
      </c>
      <c r="Y13" s="350">
        <f>CS_PID!Y13/VLOOKUP($B13,표2[#ALL],2)</f>
        <v>0</v>
      </c>
      <c r="Z13" s="350">
        <f>CS_PID!Z13/VLOOKUP($B13,표2[#ALL],2)</f>
        <v>0.002043383763</v>
      </c>
      <c r="AA13" s="350">
        <f>CS_PID!AA13/VLOOKUP($B13,표2[#ALL],2)</f>
        <v>0.04495444279</v>
      </c>
      <c r="AB13" s="350">
        <f>CS_PID!AB13/VLOOKUP($B13,표2[#ALL],2)</f>
        <v>0.01839045387</v>
      </c>
      <c r="AC13" s="350">
        <f>CS_PID!AC13/VLOOKUP($B13,표2[#ALL],2)</f>
        <v>0.002043383763</v>
      </c>
      <c r="AD13" s="350">
        <f>CS_PID!AD13/VLOOKUP($B13,표2[#ALL],2)</f>
        <v>0</v>
      </c>
      <c r="AE13" s="350">
        <f>CS_PID!AE13/VLOOKUP($B13,표2[#ALL],2)</f>
        <v>0</v>
      </c>
      <c r="AF13" s="350">
        <f>CS_PID!AF13/VLOOKUP($B13,표2[#ALL],2)</f>
        <v>0</v>
      </c>
      <c r="AG13" s="350">
        <f>CS_PID!AG13/VLOOKUP($B13,표2[#ALL],2)</f>
        <v>0.01226030258</v>
      </c>
      <c r="AH13" s="350">
        <f>CS_PID!AH13/VLOOKUP($B13,표2[#ALL],2)</f>
        <v>0.002043383763</v>
      </c>
      <c r="AI13" s="350">
        <f>CS_PID!AI13/VLOOKUP($B13,표2[#ALL],2)</f>
        <v>0</v>
      </c>
      <c r="AJ13" s="350">
        <f>CS_PID!AJ13/VLOOKUP($B13,표2[#ALL],2)</f>
        <v>0</v>
      </c>
      <c r="AK13" s="350">
        <f>CS_PID!AK13/VLOOKUP($B13,표2[#ALL],2)</f>
        <v>0</v>
      </c>
      <c r="AL13" s="350">
        <f>CS_PID!AL13/VLOOKUP($B13,표2[#ALL],2)</f>
        <v>0.002043383763</v>
      </c>
      <c r="AM13" s="350">
        <f>CS_PID!AM13/VLOOKUP($B13,표2[#ALL],2)</f>
        <v>0</v>
      </c>
      <c r="AN13" s="350">
        <f>CS_PID!AN13/VLOOKUP($B13,표2[#ALL],2)</f>
        <v>0</v>
      </c>
      <c r="AO13" s="350">
        <f>CS_PID!AO13/VLOOKUP($B13,표2[#ALL],2)</f>
        <v>0</v>
      </c>
      <c r="AP13" s="350">
        <f>CS_PID!AP13/VLOOKUP($B13,표2[#ALL],2)</f>
        <v>0</v>
      </c>
      <c r="AQ13" s="350">
        <f>CS_PID!AQ13/VLOOKUP($B13,표2[#ALL],2)</f>
        <v>0</v>
      </c>
      <c r="AR13" s="350">
        <f>CS_PID!AR13/VLOOKUP($B13,표2[#ALL],2)</f>
        <v>0</v>
      </c>
      <c r="AS13" s="350">
        <f>CS_PID!AS13/VLOOKUP($B13,표2[#ALL],2)</f>
        <v>0</v>
      </c>
    </row>
    <row r="14">
      <c r="A14" s="141" t="s">
        <v>78</v>
      </c>
      <c r="B14" s="142">
        <v>267.0</v>
      </c>
      <c r="C14" s="350">
        <f>CS_PID!C14/VLOOKUP($B14,표2[#ALL],2)</f>
        <v>0</v>
      </c>
      <c r="D14" s="350">
        <f>CS_PID!D14/VLOOKUP($B14,표2[#ALL],2)</f>
        <v>0.03349495915</v>
      </c>
      <c r="E14" s="350">
        <f>CS_PID!E14/VLOOKUP($B14,표2[#ALL],2)</f>
        <v>0.01875717712</v>
      </c>
      <c r="F14" s="350">
        <f>CS_PID!F14/VLOOKUP($B14,표2[#ALL],2)</f>
        <v>0</v>
      </c>
      <c r="G14" s="350">
        <f>CS_PID!G14/VLOOKUP($B14,표2[#ALL],2)</f>
        <v>0</v>
      </c>
      <c r="H14" s="350">
        <f>CS_PID!H14/VLOOKUP($B14,표2[#ALL],2)</f>
        <v>0.004019395098</v>
      </c>
      <c r="I14" s="350">
        <f>CS_PID!I14/VLOOKUP($B14,표2[#ALL],2)</f>
        <v>0.02277657222</v>
      </c>
      <c r="J14" s="350">
        <f>CS_PID!J14/VLOOKUP($B14,표2[#ALL],2)</f>
        <v>0.06029092647</v>
      </c>
      <c r="K14" s="350">
        <f>CS_PID!K14/VLOOKUP($B14,표2[#ALL],2)</f>
        <v>0.004019395098</v>
      </c>
      <c r="L14" s="350">
        <f>CS_PID!L14/VLOOKUP($B14,표2[#ALL],2)</f>
        <v>0</v>
      </c>
      <c r="M14" s="350">
        <f>CS_PID!M14/VLOOKUP($B14,표2[#ALL],2)</f>
        <v>0</v>
      </c>
      <c r="N14" s="350">
        <f>CS_PID!N14/VLOOKUP($B14,표2[#ALL],2)</f>
        <v>0</v>
      </c>
      <c r="O14" s="350">
        <f>CS_PID!O14/VLOOKUP($B14,표2[#ALL],2)</f>
        <v>0.06163072484</v>
      </c>
      <c r="P14" s="350">
        <f>CS_PID!P14/VLOOKUP($B14,표2[#ALL],2)</f>
        <v>0.1018246758</v>
      </c>
      <c r="Q14" s="350">
        <f>CS_PID!Q14/VLOOKUP($B14,표2[#ALL],2)</f>
        <v>0.01741737876</v>
      </c>
      <c r="R14" s="350">
        <f>CS_PID!R14/VLOOKUP($B14,표2[#ALL],2)</f>
        <v>0</v>
      </c>
      <c r="S14" s="350">
        <f>CS_PID!S14/VLOOKUP($B14,표2[#ALL],2)</f>
        <v>0</v>
      </c>
      <c r="T14" s="350">
        <f>CS_PID!T14/VLOOKUP($B14,표2[#ALL],2)</f>
        <v>0.001339798366</v>
      </c>
      <c r="U14" s="350">
        <f>CS_PID!U14/VLOOKUP($B14,표2[#ALL],2)</f>
        <v>0.0710093134</v>
      </c>
      <c r="V14" s="350">
        <f>CS_PID!V14/VLOOKUP($B14,표2[#ALL],2)</f>
        <v>0.1018246758</v>
      </c>
      <c r="W14" s="350">
        <f>CS_PID!W14/VLOOKUP($B14,표2[#ALL],2)</f>
        <v>0.005359193464</v>
      </c>
      <c r="X14" s="350">
        <f>CS_PID!X14/VLOOKUP($B14,표2[#ALL],2)</f>
        <v>0</v>
      </c>
      <c r="Y14" s="350">
        <f>CS_PID!Y14/VLOOKUP($B14,표2[#ALL],2)</f>
        <v>0</v>
      </c>
      <c r="Z14" s="350">
        <f>CS_PID!Z14/VLOOKUP($B14,표2[#ALL],2)</f>
        <v>0.001339798366</v>
      </c>
      <c r="AA14" s="350">
        <f>CS_PID!AA14/VLOOKUP($B14,표2[#ALL],2)</f>
        <v>0.03885415261</v>
      </c>
      <c r="AB14" s="350">
        <f>CS_PID!AB14/VLOOKUP($B14,표2[#ALL],2)</f>
        <v>0.02545616895</v>
      </c>
      <c r="AC14" s="350">
        <f>CS_PID!AC14/VLOOKUP($B14,표2[#ALL],2)</f>
        <v>0</v>
      </c>
      <c r="AD14" s="350">
        <f>CS_PID!AD14/VLOOKUP($B14,표2[#ALL],2)</f>
        <v>0</v>
      </c>
      <c r="AE14" s="350">
        <f>CS_PID!AE14/VLOOKUP($B14,표2[#ALL],2)</f>
        <v>0</v>
      </c>
      <c r="AF14" s="350">
        <f>CS_PID!AF14/VLOOKUP($B14,표2[#ALL],2)</f>
        <v>0.001339798366</v>
      </c>
      <c r="AG14" s="350">
        <f>CS_PID!AG14/VLOOKUP($B14,표2[#ALL],2)</f>
        <v>0.005359193464</v>
      </c>
      <c r="AH14" s="350">
        <f>CS_PID!AH14/VLOOKUP($B14,표2[#ALL],2)</f>
        <v>0.004019395098</v>
      </c>
      <c r="AI14" s="350">
        <f>CS_PID!AI14/VLOOKUP($B14,표2[#ALL],2)</f>
        <v>0</v>
      </c>
      <c r="AJ14" s="350">
        <f>CS_PID!AJ14/VLOOKUP($B14,표2[#ALL],2)</f>
        <v>0</v>
      </c>
      <c r="AK14" s="350">
        <f>CS_PID!AK14/VLOOKUP($B14,표2[#ALL],2)</f>
        <v>0</v>
      </c>
      <c r="AL14" s="350">
        <f>CS_PID!AL14/VLOOKUP($B14,표2[#ALL],2)</f>
        <v>0</v>
      </c>
      <c r="AM14" s="350">
        <f>CS_PID!AM14/VLOOKUP($B14,표2[#ALL],2)</f>
        <v>0</v>
      </c>
      <c r="AN14" s="350">
        <f>CS_PID!AN14/VLOOKUP($B14,표2[#ALL],2)</f>
        <v>0</v>
      </c>
      <c r="AO14" s="350">
        <f>CS_PID!AO14/VLOOKUP($B14,표2[#ALL],2)</f>
        <v>0</v>
      </c>
      <c r="AP14" s="350">
        <f>CS_PID!AP14/VLOOKUP($B14,표2[#ALL],2)</f>
        <v>0</v>
      </c>
      <c r="AQ14" s="350">
        <f>CS_PID!AQ14/VLOOKUP($B14,표2[#ALL],2)</f>
        <v>0</v>
      </c>
      <c r="AR14" s="350">
        <f>CS_PID!AR14/VLOOKUP($B14,표2[#ALL],2)</f>
        <v>0</v>
      </c>
      <c r="AS14" s="350">
        <f>CS_PID!AS14/VLOOKUP($B14,표2[#ALL],2)</f>
        <v>0</v>
      </c>
    </row>
    <row r="15">
      <c r="A15" s="141" t="s">
        <v>78</v>
      </c>
      <c r="B15" s="142">
        <v>271.0</v>
      </c>
      <c r="C15" s="350">
        <f>CS_PID!C15/VLOOKUP($B15,표2[#ALL],2)</f>
        <v>0</v>
      </c>
      <c r="D15" s="350">
        <f>CS_PID!D15/VLOOKUP($B15,표2[#ALL],2)</f>
        <v>0.04227470889</v>
      </c>
      <c r="E15" s="350">
        <f>CS_PID!E15/VLOOKUP($B15,표2[#ALL],2)</f>
        <v>0.02818313926</v>
      </c>
      <c r="F15" s="350">
        <f>CS_PID!F15/VLOOKUP($B15,표2[#ALL],2)</f>
        <v>0.004697189877</v>
      </c>
      <c r="G15" s="350">
        <f>CS_PID!G15/VLOOKUP($B15,표2[#ALL],2)</f>
        <v>0</v>
      </c>
      <c r="H15" s="350">
        <f>CS_PID!H15/VLOOKUP($B15,표2[#ALL],2)</f>
        <v>0.004697189877</v>
      </c>
      <c r="I15" s="350">
        <f>CS_PID!I15/VLOOKUP($B15,표2[#ALL],2)</f>
        <v>0.04697189877</v>
      </c>
      <c r="J15" s="350">
        <f>CS_PID!J15/VLOOKUP($B15,표2[#ALL],2)</f>
        <v>0.1174297469</v>
      </c>
      <c r="K15" s="350">
        <f>CS_PID!K15/VLOOKUP($B15,표2[#ALL],2)</f>
        <v>0</v>
      </c>
      <c r="L15" s="350">
        <f>CS_PID!L15/VLOOKUP($B15,표2[#ALL],2)</f>
        <v>0</v>
      </c>
      <c r="M15" s="350">
        <f>CS_PID!M15/VLOOKUP($B15,표2[#ALL],2)</f>
        <v>0</v>
      </c>
      <c r="N15" s="350">
        <f>CS_PID!N15/VLOOKUP($B15,표2[#ALL],2)</f>
        <v>0</v>
      </c>
      <c r="O15" s="350">
        <f>CS_PID!O15/VLOOKUP($B15,표2[#ALL],2)</f>
        <v>0.1033381773</v>
      </c>
      <c r="P15" s="350">
        <f>CS_PID!P15/VLOOKUP($B15,표2[#ALL],2)</f>
        <v>0.1174297469</v>
      </c>
      <c r="Q15" s="350">
        <f>CS_PID!Q15/VLOOKUP($B15,표2[#ALL],2)</f>
        <v>0.02818313926</v>
      </c>
      <c r="R15" s="350">
        <f>CS_PID!R15/VLOOKUP($B15,표2[#ALL],2)</f>
        <v>0</v>
      </c>
      <c r="S15" s="350">
        <f>CS_PID!S15/VLOOKUP($B15,표2[#ALL],2)</f>
        <v>0</v>
      </c>
      <c r="T15" s="350">
        <f>CS_PID!T15/VLOOKUP($B15,표2[#ALL],2)</f>
        <v>0</v>
      </c>
      <c r="U15" s="350">
        <f>CS_PID!U15/VLOOKUP($B15,표2[#ALL],2)</f>
        <v>0.08454941779</v>
      </c>
      <c r="V15" s="350">
        <f>CS_PID!V15/VLOOKUP($B15,표2[#ALL],2)</f>
        <v>0.1362185064</v>
      </c>
      <c r="W15" s="350">
        <f>CS_PID!W15/VLOOKUP($B15,표2[#ALL],2)</f>
        <v>0.004697189877</v>
      </c>
      <c r="X15" s="350">
        <f>CS_PID!X15/VLOOKUP($B15,표2[#ALL],2)</f>
        <v>0</v>
      </c>
      <c r="Y15" s="350">
        <f>CS_PID!Y15/VLOOKUP($B15,표2[#ALL],2)</f>
        <v>0</v>
      </c>
      <c r="Z15" s="350">
        <f>CS_PID!Z15/VLOOKUP($B15,표2[#ALL],2)</f>
        <v>0</v>
      </c>
      <c r="AA15" s="350">
        <f>CS_PID!AA15/VLOOKUP($B15,표2[#ALL],2)</f>
        <v>0.05636627852</v>
      </c>
      <c r="AB15" s="350">
        <f>CS_PID!AB15/VLOOKUP($B15,표2[#ALL],2)</f>
        <v>0.01878875951</v>
      </c>
      <c r="AC15" s="350">
        <f>CS_PID!AC15/VLOOKUP($B15,표2[#ALL],2)</f>
        <v>0</v>
      </c>
      <c r="AD15" s="350">
        <f>CS_PID!AD15/VLOOKUP($B15,표2[#ALL],2)</f>
        <v>0</v>
      </c>
      <c r="AE15" s="350">
        <f>CS_PID!AE15/VLOOKUP($B15,표2[#ALL],2)</f>
        <v>0</v>
      </c>
      <c r="AF15" s="350">
        <f>CS_PID!AF15/VLOOKUP($B15,표2[#ALL],2)</f>
        <v>0</v>
      </c>
      <c r="AG15" s="350">
        <f>CS_PID!AG15/VLOOKUP($B15,표2[#ALL],2)</f>
        <v>0.009394379754</v>
      </c>
      <c r="AH15" s="350">
        <f>CS_PID!AH15/VLOOKUP($B15,표2[#ALL],2)</f>
        <v>0</v>
      </c>
      <c r="AI15" s="350">
        <f>CS_PID!AI15/VLOOKUP($B15,표2[#ALL],2)</f>
        <v>0</v>
      </c>
      <c r="AJ15" s="350">
        <f>CS_PID!AJ15/VLOOKUP($B15,표2[#ALL],2)</f>
        <v>0</v>
      </c>
      <c r="AK15" s="350">
        <f>CS_PID!AK15/VLOOKUP($B15,표2[#ALL],2)</f>
        <v>0</v>
      </c>
      <c r="AL15" s="350">
        <f>CS_PID!AL15/VLOOKUP($B15,표2[#ALL],2)</f>
        <v>0</v>
      </c>
      <c r="AM15" s="350">
        <f>CS_PID!AM15/VLOOKUP($B15,표2[#ALL],2)</f>
        <v>0</v>
      </c>
      <c r="AN15" s="350">
        <f>CS_PID!AN15/VLOOKUP($B15,표2[#ALL],2)</f>
        <v>0</v>
      </c>
      <c r="AO15" s="350">
        <f>CS_PID!AO15/VLOOKUP($B15,표2[#ALL],2)</f>
        <v>0</v>
      </c>
      <c r="AP15" s="350">
        <f>CS_PID!AP15/VLOOKUP($B15,표2[#ALL],2)</f>
        <v>0</v>
      </c>
      <c r="AQ15" s="350">
        <f>CS_PID!AQ15/VLOOKUP($B15,표2[#ALL],2)</f>
        <v>0</v>
      </c>
      <c r="AR15" s="350">
        <f>CS_PID!AR15/VLOOKUP($B15,표2[#ALL],2)</f>
        <v>0</v>
      </c>
      <c r="AS15" s="350">
        <f>CS_PID!AS15/VLOOKUP($B15,표2[#ALL],2)</f>
        <v>0</v>
      </c>
    </row>
    <row r="16">
      <c r="A16" s="141" t="s">
        <v>78</v>
      </c>
      <c r="B16" s="142">
        <v>272.0</v>
      </c>
      <c r="C16" s="350">
        <f>CS_PID!C16/VLOOKUP($B16,표2[#ALL],2)</f>
        <v>0</v>
      </c>
      <c r="D16" s="350">
        <f>CS_PID!D16/VLOOKUP($B16,표2[#ALL],2)</f>
        <v>0.0294125457</v>
      </c>
      <c r="E16" s="350">
        <f>CS_PID!E16/VLOOKUP($B16,표2[#ALL],2)</f>
        <v>0</v>
      </c>
      <c r="F16" s="350">
        <f>CS_PID!F16/VLOOKUP($B16,표2[#ALL],2)</f>
        <v>0.005882509139</v>
      </c>
      <c r="G16" s="350">
        <f>CS_PID!G16/VLOOKUP($B16,표2[#ALL],2)</f>
        <v>0</v>
      </c>
      <c r="H16" s="350">
        <f>CS_PID!H16/VLOOKUP($B16,표2[#ALL],2)</f>
        <v>0.005882509139</v>
      </c>
      <c r="I16" s="350">
        <f>CS_PID!I16/VLOOKUP($B16,표2[#ALL],2)</f>
        <v>0.04706007311</v>
      </c>
      <c r="J16" s="350">
        <f>CS_PID!J16/VLOOKUP($B16,표2[#ALL],2)</f>
        <v>0.05882509139</v>
      </c>
      <c r="K16" s="350">
        <f>CS_PID!K16/VLOOKUP($B16,표2[#ALL],2)</f>
        <v>0.01764752742</v>
      </c>
      <c r="L16" s="350">
        <f>CS_PID!L16/VLOOKUP($B16,표2[#ALL],2)</f>
        <v>0</v>
      </c>
      <c r="M16" s="350">
        <f>CS_PID!M16/VLOOKUP($B16,표2[#ALL],2)</f>
        <v>0</v>
      </c>
      <c r="N16" s="350">
        <f>CS_PID!N16/VLOOKUP($B16,표2[#ALL],2)</f>
        <v>0</v>
      </c>
      <c r="O16" s="350">
        <f>CS_PID!O16/VLOOKUP($B16,표2[#ALL],2)</f>
        <v>0.04117756397</v>
      </c>
      <c r="P16" s="350">
        <f>CS_PID!P16/VLOOKUP($B16,표2[#ALL],2)</f>
        <v>0.08823763709</v>
      </c>
      <c r="Q16" s="350">
        <f>CS_PID!Q16/VLOOKUP($B16,표2[#ALL],2)</f>
        <v>0.02353003656</v>
      </c>
      <c r="R16" s="350">
        <f>CS_PID!R16/VLOOKUP($B16,표2[#ALL],2)</f>
        <v>0</v>
      </c>
      <c r="S16" s="350">
        <f>CS_PID!S16/VLOOKUP($B16,표2[#ALL],2)</f>
        <v>0</v>
      </c>
      <c r="T16" s="350">
        <f>CS_PID!T16/VLOOKUP($B16,표2[#ALL],2)</f>
        <v>0.005882509139</v>
      </c>
      <c r="U16" s="350">
        <f>CS_PID!U16/VLOOKUP($B16,표2[#ALL],2)</f>
        <v>0.08823763709</v>
      </c>
      <c r="V16" s="350">
        <f>CS_PID!V16/VLOOKUP($B16,표2[#ALL],2)</f>
        <v>0.1058851645</v>
      </c>
      <c r="W16" s="350">
        <f>CS_PID!W16/VLOOKUP($B16,표2[#ALL],2)</f>
        <v>0</v>
      </c>
      <c r="X16" s="350">
        <f>CS_PID!X16/VLOOKUP($B16,표2[#ALL],2)</f>
        <v>0</v>
      </c>
      <c r="Y16" s="350">
        <f>CS_PID!Y16/VLOOKUP($B16,표2[#ALL],2)</f>
        <v>0</v>
      </c>
      <c r="Z16" s="350">
        <f>CS_PID!Z16/VLOOKUP($B16,표2[#ALL],2)</f>
        <v>0</v>
      </c>
      <c r="AA16" s="350">
        <f>CS_PID!AA16/VLOOKUP($B16,표2[#ALL],2)</f>
        <v>0.05294258225</v>
      </c>
      <c r="AB16" s="350">
        <f>CS_PID!AB16/VLOOKUP($B16,표2[#ALL],2)</f>
        <v>0.04117756397</v>
      </c>
      <c r="AC16" s="350">
        <f>CS_PID!AC16/VLOOKUP($B16,표2[#ALL],2)</f>
        <v>0</v>
      </c>
      <c r="AD16" s="350">
        <f>CS_PID!AD16/VLOOKUP($B16,표2[#ALL],2)</f>
        <v>0</v>
      </c>
      <c r="AE16" s="350">
        <f>CS_PID!AE16/VLOOKUP($B16,표2[#ALL],2)</f>
        <v>0</v>
      </c>
      <c r="AF16" s="350">
        <f>CS_PID!AF16/VLOOKUP($B16,표2[#ALL],2)</f>
        <v>0</v>
      </c>
      <c r="AG16" s="350">
        <f>CS_PID!AG16/VLOOKUP($B16,표2[#ALL],2)</f>
        <v>0.005882509139</v>
      </c>
      <c r="AH16" s="350">
        <f>CS_PID!AH16/VLOOKUP($B16,표2[#ALL],2)</f>
        <v>0</v>
      </c>
      <c r="AI16" s="350">
        <f>CS_PID!AI16/VLOOKUP($B16,표2[#ALL],2)</f>
        <v>0</v>
      </c>
      <c r="AJ16" s="350">
        <f>CS_PID!AJ16/VLOOKUP($B16,표2[#ALL],2)</f>
        <v>0</v>
      </c>
      <c r="AK16" s="350">
        <f>CS_PID!AK16/VLOOKUP($B16,표2[#ALL],2)</f>
        <v>0</v>
      </c>
      <c r="AL16" s="350">
        <f>CS_PID!AL16/VLOOKUP($B16,표2[#ALL],2)</f>
        <v>0.005882509139</v>
      </c>
      <c r="AM16" s="350">
        <f>CS_PID!AM16/VLOOKUP($B16,표2[#ALL],2)</f>
        <v>0</v>
      </c>
      <c r="AN16" s="350">
        <f>CS_PID!AN16/VLOOKUP($B16,표2[#ALL],2)</f>
        <v>0</v>
      </c>
      <c r="AO16" s="350">
        <f>CS_PID!AO16/VLOOKUP($B16,표2[#ALL],2)</f>
        <v>0</v>
      </c>
      <c r="AP16" s="350">
        <f>CS_PID!AP16/VLOOKUP($B16,표2[#ALL],2)</f>
        <v>0</v>
      </c>
      <c r="AQ16" s="350">
        <f>CS_PID!AQ16/VLOOKUP($B16,표2[#ALL],2)</f>
        <v>0</v>
      </c>
      <c r="AR16" s="350">
        <f>CS_PID!AR16/VLOOKUP($B16,표2[#ALL],2)</f>
        <v>0</v>
      </c>
      <c r="AS16" s="350">
        <f>CS_PID!AS16/VLOOKUP($B16,표2[#ALL],2)</f>
        <v>0</v>
      </c>
    </row>
    <row r="17">
      <c r="A17" s="141" t="s">
        <v>78</v>
      </c>
      <c r="B17" s="142">
        <v>273.0</v>
      </c>
      <c r="C17" s="350">
        <f>CS_PID!C17/VLOOKUP($B17,표2[#ALL],2)</f>
        <v>0</v>
      </c>
      <c r="D17" s="350">
        <f>CS_PID!D17/VLOOKUP($B17,표2[#ALL],2)</f>
        <v>0.03087611223</v>
      </c>
      <c r="E17" s="350">
        <f>CS_PID!E17/VLOOKUP($B17,표2[#ALL],2)</f>
        <v>0.007719028058</v>
      </c>
      <c r="F17" s="350">
        <f>CS_PID!F17/VLOOKUP($B17,표2[#ALL],2)</f>
        <v>0</v>
      </c>
      <c r="G17" s="350">
        <f>CS_PID!G17/VLOOKUP($B17,표2[#ALL],2)</f>
        <v>0</v>
      </c>
      <c r="H17" s="350">
        <f>CS_PID!H17/VLOOKUP($B17,표2[#ALL],2)</f>
        <v>0.007719028058</v>
      </c>
      <c r="I17" s="350">
        <f>CS_PID!I17/VLOOKUP($B17,표2[#ALL],2)</f>
        <v>0.01543805612</v>
      </c>
      <c r="J17" s="350">
        <f>CS_PID!J17/VLOOKUP($B17,표2[#ALL],2)</f>
        <v>0.05403319641</v>
      </c>
      <c r="K17" s="350">
        <f>CS_PID!K17/VLOOKUP($B17,표2[#ALL],2)</f>
        <v>0</v>
      </c>
      <c r="L17" s="350">
        <f>CS_PID!L17/VLOOKUP($B17,표2[#ALL],2)</f>
        <v>0</v>
      </c>
      <c r="M17" s="350">
        <f>CS_PID!M17/VLOOKUP($B17,표2[#ALL],2)</f>
        <v>0</v>
      </c>
      <c r="N17" s="350">
        <f>CS_PID!N17/VLOOKUP($B17,표2[#ALL],2)</f>
        <v>0</v>
      </c>
      <c r="O17" s="350">
        <f>CS_PID!O17/VLOOKUP($B17,표2[#ALL],2)</f>
        <v>0.03859514029</v>
      </c>
      <c r="P17" s="350">
        <f>CS_PID!P17/VLOOKUP($B17,표2[#ALL],2)</f>
        <v>0.131223477</v>
      </c>
      <c r="Q17" s="350">
        <f>CS_PID!Q17/VLOOKUP($B17,표2[#ALL],2)</f>
        <v>0.007719028058</v>
      </c>
      <c r="R17" s="350">
        <f>CS_PID!R17/VLOOKUP($B17,표2[#ALL],2)</f>
        <v>0</v>
      </c>
      <c r="S17" s="350">
        <f>CS_PID!S17/VLOOKUP($B17,표2[#ALL],2)</f>
        <v>0</v>
      </c>
      <c r="T17" s="350">
        <f>CS_PID!T17/VLOOKUP($B17,표2[#ALL],2)</f>
        <v>0.007719028058</v>
      </c>
      <c r="U17" s="350">
        <f>CS_PID!U17/VLOOKUP($B17,표2[#ALL],2)</f>
        <v>0.02315708417</v>
      </c>
      <c r="V17" s="350">
        <f>CS_PID!V17/VLOOKUP($B17,표2[#ALL],2)</f>
        <v>0.1157854209</v>
      </c>
      <c r="W17" s="350">
        <f>CS_PID!W17/VLOOKUP($B17,표2[#ALL],2)</f>
        <v>0</v>
      </c>
      <c r="X17" s="350">
        <f>CS_PID!X17/VLOOKUP($B17,표2[#ALL],2)</f>
        <v>0</v>
      </c>
      <c r="Y17" s="350">
        <f>CS_PID!Y17/VLOOKUP($B17,표2[#ALL],2)</f>
        <v>0</v>
      </c>
      <c r="Z17" s="350">
        <f>CS_PID!Z17/VLOOKUP($B17,표2[#ALL],2)</f>
        <v>0</v>
      </c>
      <c r="AA17" s="350">
        <f>CS_PID!AA17/VLOOKUP($B17,표2[#ALL],2)</f>
        <v>0.06175222446</v>
      </c>
      <c r="AB17" s="350">
        <f>CS_PID!AB17/VLOOKUP($B17,표2[#ALL],2)</f>
        <v>0.01543805612</v>
      </c>
      <c r="AC17" s="350">
        <f>CS_PID!AC17/VLOOKUP($B17,표2[#ALL],2)</f>
        <v>0</v>
      </c>
      <c r="AD17" s="350">
        <f>CS_PID!AD17/VLOOKUP($B17,표2[#ALL],2)</f>
        <v>0</v>
      </c>
      <c r="AE17" s="350">
        <f>CS_PID!AE17/VLOOKUP($B17,표2[#ALL],2)</f>
        <v>0</v>
      </c>
      <c r="AF17" s="350">
        <f>CS_PID!AF17/VLOOKUP($B17,표2[#ALL],2)</f>
        <v>0</v>
      </c>
      <c r="AG17" s="350">
        <f>CS_PID!AG17/VLOOKUP($B17,표2[#ALL],2)</f>
        <v>0</v>
      </c>
      <c r="AH17" s="350">
        <f>CS_PID!AH17/VLOOKUP($B17,표2[#ALL],2)</f>
        <v>0</v>
      </c>
      <c r="AI17" s="350">
        <f>CS_PID!AI17/VLOOKUP($B17,표2[#ALL],2)</f>
        <v>0</v>
      </c>
      <c r="AJ17" s="350">
        <f>CS_PID!AJ17/VLOOKUP($B17,표2[#ALL],2)</f>
        <v>0</v>
      </c>
      <c r="AK17" s="350">
        <f>CS_PID!AK17/VLOOKUP($B17,표2[#ALL],2)</f>
        <v>0</v>
      </c>
      <c r="AL17" s="350">
        <f>CS_PID!AL17/VLOOKUP($B17,표2[#ALL],2)</f>
        <v>0</v>
      </c>
      <c r="AM17" s="350">
        <f>CS_PID!AM17/VLOOKUP($B17,표2[#ALL],2)</f>
        <v>0</v>
      </c>
      <c r="AN17" s="350">
        <f>CS_PID!AN17/VLOOKUP($B17,표2[#ALL],2)</f>
        <v>0</v>
      </c>
      <c r="AO17" s="350">
        <f>CS_PID!AO17/VLOOKUP($B17,표2[#ALL],2)</f>
        <v>0</v>
      </c>
      <c r="AP17" s="350">
        <f>CS_PID!AP17/VLOOKUP($B17,표2[#ALL],2)</f>
        <v>0</v>
      </c>
      <c r="AQ17" s="350">
        <f>CS_PID!AQ17/VLOOKUP($B17,표2[#ALL],2)</f>
        <v>0</v>
      </c>
      <c r="AR17" s="350">
        <f>CS_PID!AR17/VLOOKUP($B17,표2[#ALL],2)</f>
        <v>0</v>
      </c>
      <c r="AS17" s="350">
        <f>CS_PID!AS17/VLOOKUP($B17,표2[#ALL],2)</f>
        <v>0</v>
      </c>
    </row>
    <row r="18">
      <c r="A18" s="141" t="s">
        <v>78</v>
      </c>
      <c r="B18" s="142">
        <v>274.0</v>
      </c>
      <c r="C18" s="350">
        <f>CS_PID!C18/VLOOKUP($B18,표2[#ALL],2)</f>
        <v>0</v>
      </c>
      <c r="D18" s="350">
        <f>CS_PID!D18/VLOOKUP($B18,표2[#ALL],2)</f>
        <v>0.07516861623</v>
      </c>
      <c r="E18" s="350">
        <f>CS_PID!E18/VLOOKUP($B18,표2[#ALL],2)</f>
        <v>0.02147674749</v>
      </c>
      <c r="F18" s="350">
        <f>CS_PID!F18/VLOOKUP($B18,표2[#ALL],2)</f>
        <v>0.005369186873</v>
      </c>
      <c r="G18" s="350">
        <f>CS_PID!G18/VLOOKUP($B18,표2[#ALL],2)</f>
        <v>0</v>
      </c>
      <c r="H18" s="350">
        <f>CS_PID!H18/VLOOKUP($B18,표2[#ALL],2)</f>
        <v>0</v>
      </c>
      <c r="I18" s="350">
        <f>CS_PID!I18/VLOOKUP($B18,표2[#ALL],2)</f>
        <v>0.02147674749</v>
      </c>
      <c r="J18" s="350">
        <f>CS_PID!J18/VLOOKUP($B18,표2[#ALL],2)</f>
        <v>0.1181221112</v>
      </c>
      <c r="K18" s="350">
        <f>CS_PID!K18/VLOOKUP($B18,표2[#ALL],2)</f>
        <v>0.01073837375</v>
      </c>
      <c r="L18" s="350">
        <f>CS_PID!L18/VLOOKUP($B18,표2[#ALL],2)</f>
        <v>0</v>
      </c>
      <c r="M18" s="350">
        <f>CS_PID!M18/VLOOKUP($B18,표2[#ALL],2)</f>
        <v>0</v>
      </c>
      <c r="N18" s="350">
        <f>CS_PID!N18/VLOOKUP($B18,표2[#ALL],2)</f>
        <v>0</v>
      </c>
      <c r="O18" s="350">
        <f>CS_PID!O18/VLOOKUP($B18,표2[#ALL],2)</f>
        <v>0.09664536372</v>
      </c>
      <c r="P18" s="350">
        <f>CS_PID!P18/VLOOKUP($B18,표2[#ALL],2)</f>
        <v>0.1234912981</v>
      </c>
      <c r="Q18" s="350">
        <f>CS_PID!Q18/VLOOKUP($B18,표2[#ALL],2)</f>
        <v>0.01073837375</v>
      </c>
      <c r="R18" s="350">
        <f>CS_PID!R18/VLOOKUP($B18,표2[#ALL],2)</f>
        <v>0</v>
      </c>
      <c r="S18" s="350">
        <f>CS_PID!S18/VLOOKUP($B18,표2[#ALL],2)</f>
        <v>0</v>
      </c>
      <c r="T18" s="350">
        <f>CS_PID!T18/VLOOKUP($B18,표2[#ALL],2)</f>
        <v>0</v>
      </c>
      <c r="U18" s="350">
        <f>CS_PID!U18/VLOOKUP($B18,표2[#ALL],2)</f>
        <v>0.04832268186</v>
      </c>
      <c r="V18" s="350">
        <f>CS_PID!V18/VLOOKUP($B18,표2[#ALL],2)</f>
        <v>0.1073837375</v>
      </c>
      <c r="W18" s="350">
        <f>CS_PID!W18/VLOOKUP($B18,표2[#ALL],2)</f>
        <v>0</v>
      </c>
      <c r="X18" s="350">
        <f>CS_PID!X18/VLOOKUP($B18,표2[#ALL],2)</f>
        <v>0</v>
      </c>
      <c r="Y18" s="350">
        <f>CS_PID!Y18/VLOOKUP($B18,표2[#ALL],2)</f>
        <v>0</v>
      </c>
      <c r="Z18" s="350">
        <f>CS_PID!Z18/VLOOKUP($B18,표2[#ALL],2)</f>
        <v>0</v>
      </c>
      <c r="AA18" s="350">
        <f>CS_PID!AA18/VLOOKUP($B18,표2[#ALL],2)</f>
        <v>0.02684593437</v>
      </c>
      <c r="AB18" s="350">
        <f>CS_PID!AB18/VLOOKUP($B18,표2[#ALL],2)</f>
        <v>0.02147674749</v>
      </c>
      <c r="AC18" s="350">
        <f>CS_PID!AC18/VLOOKUP($B18,표2[#ALL],2)</f>
        <v>0</v>
      </c>
      <c r="AD18" s="350">
        <f>CS_PID!AD18/VLOOKUP($B18,표2[#ALL],2)</f>
        <v>0</v>
      </c>
      <c r="AE18" s="350">
        <f>CS_PID!AE18/VLOOKUP($B18,표2[#ALL],2)</f>
        <v>0</v>
      </c>
      <c r="AF18" s="350">
        <f>CS_PID!AF18/VLOOKUP($B18,표2[#ALL],2)</f>
        <v>0</v>
      </c>
      <c r="AG18" s="350">
        <f>CS_PID!AG18/VLOOKUP($B18,표2[#ALL],2)</f>
        <v>0.02147674749</v>
      </c>
      <c r="AH18" s="350">
        <f>CS_PID!AH18/VLOOKUP($B18,표2[#ALL],2)</f>
        <v>0</v>
      </c>
      <c r="AI18" s="350">
        <f>CS_PID!AI18/VLOOKUP($B18,표2[#ALL],2)</f>
        <v>0</v>
      </c>
      <c r="AJ18" s="350">
        <f>CS_PID!AJ18/VLOOKUP($B18,표2[#ALL],2)</f>
        <v>0</v>
      </c>
      <c r="AK18" s="350">
        <f>CS_PID!AK18/VLOOKUP($B18,표2[#ALL],2)</f>
        <v>0</v>
      </c>
      <c r="AL18" s="350">
        <f>CS_PID!AL18/VLOOKUP($B18,표2[#ALL],2)</f>
        <v>0</v>
      </c>
      <c r="AM18" s="350">
        <f>CS_PID!AM18/VLOOKUP($B18,표2[#ALL],2)</f>
        <v>0</v>
      </c>
      <c r="AN18" s="350">
        <f>CS_PID!AN18/VLOOKUP($B18,표2[#ALL],2)</f>
        <v>0</v>
      </c>
      <c r="AO18" s="350">
        <f>CS_PID!AO18/VLOOKUP($B18,표2[#ALL],2)</f>
        <v>0</v>
      </c>
      <c r="AP18" s="350">
        <f>CS_PID!AP18/VLOOKUP($B18,표2[#ALL],2)</f>
        <v>0</v>
      </c>
      <c r="AQ18" s="350">
        <f>CS_PID!AQ18/VLOOKUP($B18,표2[#ALL],2)</f>
        <v>0</v>
      </c>
      <c r="AR18" s="350">
        <f>CS_PID!AR18/VLOOKUP($B18,표2[#ALL],2)</f>
        <v>0</v>
      </c>
      <c r="AS18" s="350">
        <f>CS_PID!AS18/VLOOKUP($B18,표2[#ALL],2)</f>
        <v>0</v>
      </c>
    </row>
    <row r="19">
      <c r="A19" s="141" t="s">
        <v>78</v>
      </c>
      <c r="B19" s="142">
        <v>275.0</v>
      </c>
      <c r="C19" s="350">
        <f>CS_PID!C19/VLOOKUP($B19,표2[#ALL],2)</f>
        <v>0.002539109239</v>
      </c>
      <c r="D19" s="350">
        <f>CS_PID!D19/VLOOKUP($B19,표2[#ALL],2)</f>
        <v>0.04824307555</v>
      </c>
      <c r="E19" s="350">
        <f>CS_PID!E19/VLOOKUP($B19,표2[#ALL],2)</f>
        <v>0.01015643696</v>
      </c>
      <c r="F19" s="350">
        <f>CS_PID!F19/VLOOKUP($B19,표2[#ALL],2)</f>
        <v>0</v>
      </c>
      <c r="G19" s="350">
        <f>CS_PID!G19/VLOOKUP($B19,표2[#ALL],2)</f>
        <v>0</v>
      </c>
      <c r="H19" s="350">
        <f>CS_PID!H19/VLOOKUP($B19,표2[#ALL],2)</f>
        <v>0.0126955462</v>
      </c>
      <c r="I19" s="350">
        <f>CS_PID!I19/VLOOKUP($B19,표2[#ALL],2)</f>
        <v>0.04570396631</v>
      </c>
      <c r="J19" s="350">
        <f>CS_PID!J19/VLOOKUP($B19,표2[#ALL],2)</f>
        <v>0.1066425881</v>
      </c>
      <c r="K19" s="350">
        <f>CS_PID!K19/VLOOKUP($B19,표2[#ALL],2)</f>
        <v>0.007617327718</v>
      </c>
      <c r="L19" s="350">
        <f>CS_PID!L19/VLOOKUP($B19,표2[#ALL],2)</f>
        <v>0</v>
      </c>
      <c r="M19" s="350">
        <f>CS_PID!M19/VLOOKUP($B19,표2[#ALL],2)</f>
        <v>0</v>
      </c>
      <c r="N19" s="350">
        <f>CS_PID!N19/VLOOKUP($B19,표2[#ALL],2)</f>
        <v>0</v>
      </c>
      <c r="O19" s="350">
        <f>CS_PID!O19/VLOOKUP($B19,표2[#ALL],2)</f>
        <v>0.08632971414</v>
      </c>
      <c r="P19" s="350">
        <f>CS_PID!P19/VLOOKUP($B19,표2[#ALL],2)</f>
        <v>0.08632971414</v>
      </c>
      <c r="Q19" s="350">
        <f>CS_PID!Q19/VLOOKUP($B19,표2[#ALL],2)</f>
        <v>0.0126955462</v>
      </c>
      <c r="R19" s="350">
        <f>CS_PID!R19/VLOOKUP($B19,표2[#ALL],2)</f>
        <v>0</v>
      </c>
      <c r="S19" s="350">
        <f>CS_PID!S19/VLOOKUP($B19,표2[#ALL],2)</f>
        <v>0</v>
      </c>
      <c r="T19" s="350">
        <f>CS_PID!T19/VLOOKUP($B19,표2[#ALL],2)</f>
        <v>0.002539109239</v>
      </c>
      <c r="U19" s="350">
        <f>CS_PID!U19/VLOOKUP($B19,표2[#ALL],2)</f>
        <v>0.04824307555</v>
      </c>
      <c r="V19" s="350">
        <f>CS_PID!V19/VLOOKUP($B19,표2[#ALL],2)</f>
        <v>0.09140793262</v>
      </c>
      <c r="W19" s="350">
        <f>CS_PID!W19/VLOOKUP($B19,표2[#ALL],2)</f>
        <v>0.005078218479</v>
      </c>
      <c r="X19" s="350">
        <f>CS_PID!X19/VLOOKUP($B19,표2[#ALL],2)</f>
        <v>0</v>
      </c>
      <c r="Y19" s="350">
        <f>CS_PID!Y19/VLOOKUP($B19,표2[#ALL],2)</f>
        <v>0</v>
      </c>
      <c r="Z19" s="350">
        <f>CS_PID!Z19/VLOOKUP($B19,표2[#ALL],2)</f>
        <v>0</v>
      </c>
      <c r="AA19" s="350">
        <f>CS_PID!AA19/VLOOKUP($B19,표2[#ALL],2)</f>
        <v>0.03300842011</v>
      </c>
      <c r="AB19" s="350">
        <f>CS_PID!AB19/VLOOKUP($B19,표2[#ALL],2)</f>
        <v>0.03046931087</v>
      </c>
      <c r="AC19" s="350">
        <f>CS_PID!AC19/VLOOKUP($B19,표2[#ALL],2)</f>
        <v>0.002539109239</v>
      </c>
      <c r="AD19" s="350">
        <f>CS_PID!AD19/VLOOKUP($B19,표2[#ALL],2)</f>
        <v>0</v>
      </c>
      <c r="AE19" s="350">
        <f>CS_PID!AE19/VLOOKUP($B19,표2[#ALL],2)</f>
        <v>0</v>
      </c>
      <c r="AF19" s="350">
        <f>CS_PID!AF19/VLOOKUP($B19,표2[#ALL],2)</f>
        <v>0</v>
      </c>
      <c r="AG19" s="350">
        <f>CS_PID!AG19/VLOOKUP($B19,표2[#ALL],2)</f>
        <v>0.007617327718</v>
      </c>
      <c r="AH19" s="350">
        <f>CS_PID!AH19/VLOOKUP($B19,표2[#ALL],2)</f>
        <v>0</v>
      </c>
      <c r="AI19" s="350">
        <f>CS_PID!AI19/VLOOKUP($B19,표2[#ALL],2)</f>
        <v>0</v>
      </c>
      <c r="AJ19" s="350">
        <f>CS_PID!AJ19/VLOOKUP($B19,표2[#ALL],2)</f>
        <v>0</v>
      </c>
      <c r="AK19" s="350">
        <f>CS_PID!AK19/VLOOKUP($B19,표2[#ALL],2)</f>
        <v>0</v>
      </c>
      <c r="AL19" s="350">
        <f>CS_PID!AL19/VLOOKUP($B19,표2[#ALL],2)</f>
        <v>0</v>
      </c>
      <c r="AM19" s="350">
        <f>CS_PID!AM19/VLOOKUP($B19,표2[#ALL],2)</f>
        <v>0</v>
      </c>
      <c r="AN19" s="350">
        <f>CS_PID!AN19/VLOOKUP($B19,표2[#ALL],2)</f>
        <v>0</v>
      </c>
      <c r="AO19" s="350">
        <f>CS_PID!AO19/VLOOKUP($B19,표2[#ALL],2)</f>
        <v>0</v>
      </c>
      <c r="AP19" s="350">
        <f>CS_PID!AP19/VLOOKUP($B19,표2[#ALL],2)</f>
        <v>0</v>
      </c>
      <c r="AQ19" s="350">
        <f>CS_PID!AQ19/VLOOKUP($B19,표2[#ALL],2)</f>
        <v>0</v>
      </c>
      <c r="AR19" s="350">
        <f>CS_PID!AR19/VLOOKUP($B19,표2[#ALL],2)</f>
        <v>0</v>
      </c>
      <c r="AS19" s="350">
        <f>CS_PID!AS19/VLOOKUP($B19,표2[#ALL],2)</f>
        <v>0</v>
      </c>
    </row>
    <row r="20">
      <c r="A20" s="141" t="s">
        <v>78</v>
      </c>
      <c r="B20" s="142">
        <v>276.0</v>
      </c>
      <c r="C20" s="350">
        <f>CS_PID!C20/VLOOKUP($B20,표2[#ALL],2)</f>
        <v>0</v>
      </c>
      <c r="D20" s="350">
        <f>CS_PID!D20/VLOOKUP($B20,표2[#ALL],2)</f>
        <v>0.04205665494</v>
      </c>
      <c r="E20" s="350">
        <f>CS_PID!E20/VLOOKUP($B20,표2[#ALL],2)</f>
        <v>0.01009359719</v>
      </c>
      <c r="F20" s="350">
        <f>CS_PID!F20/VLOOKUP($B20,표2[#ALL],2)</f>
        <v>0.003364532396</v>
      </c>
      <c r="G20" s="350">
        <f>CS_PID!G20/VLOOKUP($B20,표2[#ALL],2)</f>
        <v>0</v>
      </c>
      <c r="H20" s="350">
        <f>CS_PID!H20/VLOOKUP($B20,표2[#ALL],2)</f>
        <v>0.005046798593</v>
      </c>
      <c r="I20" s="350">
        <f>CS_PID!I20/VLOOKUP($B20,표2[#ALL],2)</f>
        <v>0.03196305776</v>
      </c>
      <c r="J20" s="350">
        <f>CS_PID!J20/VLOOKUP($B20,표2[#ALL],2)</f>
        <v>0.0773842451</v>
      </c>
      <c r="K20" s="350">
        <f>CS_PID!K20/VLOOKUP($B20,표2[#ALL],2)</f>
        <v>0.006729064791</v>
      </c>
      <c r="L20" s="350">
        <f>CS_PID!L20/VLOOKUP($B20,표2[#ALL],2)</f>
        <v>0</v>
      </c>
      <c r="M20" s="350">
        <f>CS_PID!M20/VLOOKUP($B20,표2[#ALL],2)</f>
        <v>0</v>
      </c>
      <c r="N20" s="350">
        <f>CS_PID!N20/VLOOKUP($B20,표2[#ALL],2)</f>
        <v>0.003364532396</v>
      </c>
      <c r="O20" s="350">
        <f>CS_PID!O20/VLOOKUP($B20,표2[#ALL],2)</f>
        <v>0.0740197127</v>
      </c>
      <c r="P20" s="350">
        <f>CS_PID!P20/VLOOKUP($B20,표2[#ALL],2)</f>
        <v>0.1043005043</v>
      </c>
      <c r="Q20" s="350">
        <f>CS_PID!Q20/VLOOKUP($B20,표2[#ALL],2)</f>
        <v>0.01514039578</v>
      </c>
      <c r="R20" s="350">
        <f>CS_PID!R20/VLOOKUP($B20,표2[#ALL],2)</f>
        <v>0</v>
      </c>
      <c r="S20" s="350">
        <f>CS_PID!S20/VLOOKUP($B20,표2[#ALL],2)</f>
        <v>0</v>
      </c>
      <c r="T20" s="350">
        <f>CS_PID!T20/VLOOKUP($B20,표2[#ALL],2)</f>
        <v>0</v>
      </c>
      <c r="U20" s="350">
        <f>CS_PID!U20/VLOOKUP($B20,표2[#ALL],2)</f>
        <v>0.06392611551</v>
      </c>
      <c r="V20" s="350">
        <f>CS_PID!V20/VLOOKUP($B20,표2[#ALL],2)</f>
        <v>0.1093473029</v>
      </c>
      <c r="W20" s="350">
        <f>CS_PID!W20/VLOOKUP($B20,표2[#ALL],2)</f>
        <v>0.008411330989</v>
      </c>
      <c r="X20" s="350">
        <f>CS_PID!X20/VLOOKUP($B20,표2[#ALL],2)</f>
        <v>0</v>
      </c>
      <c r="Y20" s="350">
        <f>CS_PID!Y20/VLOOKUP($B20,표2[#ALL],2)</f>
        <v>0</v>
      </c>
      <c r="Z20" s="350">
        <f>CS_PID!Z20/VLOOKUP($B20,표2[#ALL],2)</f>
        <v>0.001682266198</v>
      </c>
      <c r="AA20" s="350">
        <f>CS_PID!AA20/VLOOKUP($B20,표2[#ALL],2)</f>
        <v>0.03869212255</v>
      </c>
      <c r="AB20" s="350">
        <f>CS_PID!AB20/VLOOKUP($B20,표2[#ALL],2)</f>
        <v>0.02018719437</v>
      </c>
      <c r="AC20" s="350">
        <f>CS_PID!AC20/VLOOKUP($B20,표2[#ALL],2)</f>
        <v>0.003364532396</v>
      </c>
      <c r="AD20" s="350">
        <f>CS_PID!AD20/VLOOKUP($B20,표2[#ALL],2)</f>
        <v>0</v>
      </c>
      <c r="AE20" s="350">
        <f>CS_PID!AE20/VLOOKUP($B20,표2[#ALL],2)</f>
        <v>0</v>
      </c>
      <c r="AF20" s="350">
        <f>CS_PID!AF20/VLOOKUP($B20,표2[#ALL],2)</f>
        <v>0.001682266198</v>
      </c>
      <c r="AG20" s="350">
        <f>CS_PID!AG20/VLOOKUP($B20,표2[#ALL],2)</f>
        <v>0.01345812958</v>
      </c>
      <c r="AH20" s="350">
        <f>CS_PID!AH20/VLOOKUP($B20,표2[#ALL],2)</f>
        <v>0.005046798593</v>
      </c>
      <c r="AI20" s="350">
        <f>CS_PID!AI20/VLOOKUP($B20,표2[#ALL],2)</f>
        <v>0</v>
      </c>
      <c r="AJ20" s="350">
        <f>CS_PID!AJ20/VLOOKUP($B20,표2[#ALL],2)</f>
        <v>0</v>
      </c>
      <c r="AK20" s="350">
        <f>CS_PID!AK20/VLOOKUP($B20,표2[#ALL],2)</f>
        <v>0</v>
      </c>
      <c r="AL20" s="350">
        <f>CS_PID!AL20/VLOOKUP($B20,표2[#ALL],2)</f>
        <v>0</v>
      </c>
      <c r="AM20" s="350">
        <f>CS_PID!AM20/VLOOKUP($B20,표2[#ALL],2)</f>
        <v>0</v>
      </c>
      <c r="AN20" s="350">
        <f>CS_PID!AN20/VLOOKUP($B20,표2[#ALL],2)</f>
        <v>0</v>
      </c>
      <c r="AO20" s="350">
        <f>CS_PID!AO20/VLOOKUP($B20,표2[#ALL],2)</f>
        <v>0</v>
      </c>
      <c r="AP20" s="350">
        <f>CS_PID!AP20/VLOOKUP($B20,표2[#ALL],2)</f>
        <v>0</v>
      </c>
      <c r="AQ20" s="350">
        <f>CS_PID!AQ20/VLOOKUP($B20,표2[#ALL],2)</f>
        <v>0</v>
      </c>
      <c r="AR20" s="350">
        <f>CS_PID!AR20/VLOOKUP($B20,표2[#ALL],2)</f>
        <v>0</v>
      </c>
      <c r="AS20" s="350">
        <f>CS_PID!AS20/VLOOKUP($B20,표2[#ALL],2)</f>
        <v>0</v>
      </c>
    </row>
    <row r="21">
      <c r="A21" s="141" t="s">
        <v>78</v>
      </c>
      <c r="B21" s="142">
        <v>277.0</v>
      </c>
      <c r="C21" s="350">
        <f>CS_PID!C21/VLOOKUP($B21,표2[#ALL],2)</f>
        <v>0</v>
      </c>
      <c r="D21" s="350">
        <f>CS_PID!D21/VLOOKUP($B21,표2[#ALL],2)</f>
        <v>0.03347761132</v>
      </c>
      <c r="E21" s="350">
        <f>CS_PID!E21/VLOOKUP($B21,표2[#ALL],2)</f>
        <v>0.004782515902</v>
      </c>
      <c r="F21" s="350">
        <f>CS_PID!F21/VLOOKUP($B21,표2[#ALL],2)</f>
        <v>0.002391257951</v>
      </c>
      <c r="G21" s="350">
        <f>CS_PID!G21/VLOOKUP($B21,표2[#ALL],2)</f>
        <v>0</v>
      </c>
      <c r="H21" s="350">
        <f>CS_PID!H21/VLOOKUP($B21,표2[#ALL],2)</f>
        <v>0.002391257951</v>
      </c>
      <c r="I21" s="350">
        <f>CS_PID!I21/VLOOKUP($B21,표2[#ALL],2)</f>
        <v>0.02630383746</v>
      </c>
      <c r="J21" s="350">
        <f>CS_PID!J21/VLOOKUP($B21,표2[#ALL],2)</f>
        <v>0.07412899649</v>
      </c>
      <c r="K21" s="350">
        <f>CS_PID!K21/VLOOKUP($B21,표2[#ALL],2)</f>
        <v>0</v>
      </c>
      <c r="L21" s="350">
        <f>CS_PID!L21/VLOOKUP($B21,표2[#ALL],2)</f>
        <v>0</v>
      </c>
      <c r="M21" s="350">
        <f>CS_PID!M21/VLOOKUP($B21,표2[#ALL],2)</f>
        <v>0</v>
      </c>
      <c r="N21" s="350">
        <f>CS_PID!N21/VLOOKUP($B21,표2[#ALL],2)</f>
        <v>0.002391257951</v>
      </c>
      <c r="O21" s="350">
        <f>CS_PID!O21/VLOOKUP($B21,표2[#ALL],2)</f>
        <v>0.04304264312</v>
      </c>
      <c r="P21" s="350">
        <f>CS_PID!P21/VLOOKUP($B21,표2[#ALL],2)</f>
        <v>0.09565031805</v>
      </c>
      <c r="Q21" s="350">
        <f>CS_PID!Q21/VLOOKUP($B21,표2[#ALL],2)</f>
        <v>0.01195628976</v>
      </c>
      <c r="R21" s="350">
        <f>CS_PID!R21/VLOOKUP($B21,표2[#ALL],2)</f>
        <v>0</v>
      </c>
      <c r="S21" s="350">
        <f>CS_PID!S21/VLOOKUP($B21,표2[#ALL],2)</f>
        <v>0</v>
      </c>
      <c r="T21" s="350">
        <f>CS_PID!T21/VLOOKUP($B21,표2[#ALL],2)</f>
        <v>0.002391257951</v>
      </c>
      <c r="U21" s="350">
        <f>CS_PID!U21/VLOOKUP($B21,표2[#ALL],2)</f>
        <v>0.05499893288</v>
      </c>
      <c r="V21" s="350">
        <f>CS_PID!V21/VLOOKUP($B21,표2[#ALL],2)</f>
        <v>0.1123891237</v>
      </c>
      <c r="W21" s="350">
        <f>CS_PID!W21/VLOOKUP($B21,표2[#ALL],2)</f>
        <v>0.009565031805</v>
      </c>
      <c r="X21" s="350">
        <f>CS_PID!X21/VLOOKUP($B21,표2[#ALL],2)</f>
        <v>0</v>
      </c>
      <c r="Y21" s="350">
        <f>CS_PID!Y21/VLOOKUP($B21,표2[#ALL],2)</f>
        <v>0</v>
      </c>
      <c r="Z21" s="350">
        <f>CS_PID!Z21/VLOOKUP($B21,표2[#ALL],2)</f>
        <v>0</v>
      </c>
      <c r="AA21" s="350">
        <f>CS_PID!AA21/VLOOKUP($B21,표2[#ALL],2)</f>
        <v>0.02869509541</v>
      </c>
      <c r="AB21" s="350">
        <f>CS_PID!AB21/VLOOKUP($B21,표2[#ALL],2)</f>
        <v>0.02869509541</v>
      </c>
      <c r="AC21" s="350">
        <f>CS_PID!AC21/VLOOKUP($B21,표2[#ALL],2)</f>
        <v>0</v>
      </c>
      <c r="AD21" s="350">
        <f>CS_PID!AD21/VLOOKUP($B21,표2[#ALL],2)</f>
        <v>0</v>
      </c>
      <c r="AE21" s="350">
        <f>CS_PID!AE21/VLOOKUP($B21,표2[#ALL],2)</f>
        <v>0</v>
      </c>
      <c r="AF21" s="350">
        <f>CS_PID!AF21/VLOOKUP($B21,표2[#ALL],2)</f>
        <v>0</v>
      </c>
      <c r="AG21" s="350">
        <f>CS_PID!AG21/VLOOKUP($B21,표2[#ALL],2)</f>
        <v>0.004782515902</v>
      </c>
      <c r="AH21" s="350">
        <f>CS_PID!AH21/VLOOKUP($B21,표2[#ALL],2)</f>
        <v>0.002391257951</v>
      </c>
      <c r="AI21" s="350">
        <f>CS_PID!AI21/VLOOKUP($B21,표2[#ALL],2)</f>
        <v>0</v>
      </c>
      <c r="AJ21" s="350">
        <f>CS_PID!AJ21/VLOOKUP($B21,표2[#ALL],2)</f>
        <v>0</v>
      </c>
      <c r="AK21" s="350">
        <f>CS_PID!AK21/VLOOKUP($B21,표2[#ALL],2)</f>
        <v>0</v>
      </c>
      <c r="AL21" s="350">
        <f>CS_PID!AL21/VLOOKUP($B21,표2[#ALL],2)</f>
        <v>0</v>
      </c>
      <c r="AM21" s="350">
        <f>CS_PID!AM21/VLOOKUP($B21,표2[#ALL],2)</f>
        <v>0</v>
      </c>
      <c r="AN21" s="350">
        <f>CS_PID!AN21/VLOOKUP($B21,표2[#ALL],2)</f>
        <v>0</v>
      </c>
      <c r="AO21" s="350">
        <f>CS_PID!AO21/VLOOKUP($B21,표2[#ALL],2)</f>
        <v>0</v>
      </c>
      <c r="AP21" s="350">
        <f>CS_PID!AP21/VLOOKUP($B21,표2[#ALL],2)</f>
        <v>0</v>
      </c>
      <c r="AQ21" s="350">
        <f>CS_PID!AQ21/VLOOKUP($B21,표2[#ALL],2)</f>
        <v>0</v>
      </c>
      <c r="AR21" s="350">
        <f>CS_PID!AR21/VLOOKUP($B21,표2[#ALL],2)</f>
        <v>0</v>
      </c>
      <c r="AS21" s="350">
        <f>CS_PID!AS21/VLOOKUP($B21,표2[#ALL],2)</f>
        <v>0</v>
      </c>
    </row>
    <row r="22">
      <c r="A22" s="141" t="s">
        <v>78</v>
      </c>
      <c r="B22" s="142">
        <v>278.0</v>
      </c>
      <c r="C22" s="350">
        <f>CS_PID!C22/VLOOKUP($B22,표2[#ALL],2)</f>
        <v>0.00366007567</v>
      </c>
      <c r="D22" s="350">
        <f>CS_PID!D22/VLOOKUP($B22,표2[#ALL],2)</f>
        <v>0.0420908702</v>
      </c>
      <c r="E22" s="350">
        <f>CS_PID!E22/VLOOKUP($B22,표2[#ALL],2)</f>
        <v>0.01830037835</v>
      </c>
      <c r="F22" s="350">
        <f>CS_PID!F22/VLOOKUP($B22,표2[#ALL],2)</f>
        <v>0</v>
      </c>
      <c r="G22" s="350">
        <f>CS_PID!G22/VLOOKUP($B22,표2[#ALL],2)</f>
        <v>0</v>
      </c>
      <c r="H22" s="350">
        <f>CS_PID!H22/VLOOKUP($B22,표2[#ALL],2)</f>
        <v>0.001830037835</v>
      </c>
      <c r="I22" s="350">
        <f>CS_PID!I22/VLOOKUP($B22,표2[#ALL],2)</f>
        <v>0.0475809837</v>
      </c>
      <c r="J22" s="350">
        <f>CS_PID!J22/VLOOKUP($B22,표2[#ALL],2)</f>
        <v>0.07503155122</v>
      </c>
      <c r="K22" s="350">
        <f>CS_PID!K22/VLOOKUP($B22,표2[#ALL],2)</f>
        <v>0.00366007567</v>
      </c>
      <c r="L22" s="350">
        <f>CS_PID!L22/VLOOKUP($B22,표2[#ALL],2)</f>
        <v>0</v>
      </c>
      <c r="M22" s="350">
        <f>CS_PID!M22/VLOOKUP($B22,표2[#ALL],2)</f>
        <v>0</v>
      </c>
      <c r="N22" s="350">
        <f>CS_PID!N22/VLOOKUP($B22,표2[#ALL],2)</f>
        <v>0</v>
      </c>
      <c r="O22" s="350">
        <f>CS_PID!O22/VLOOKUP($B22,표2[#ALL],2)</f>
        <v>0.07686158906</v>
      </c>
      <c r="P22" s="350">
        <f>CS_PID!P22/VLOOKUP($B22,표2[#ALL],2)</f>
        <v>0.09882204308</v>
      </c>
      <c r="Q22" s="350">
        <f>CS_PID!Q22/VLOOKUP($B22,표2[#ALL],2)</f>
        <v>0.005490113504</v>
      </c>
      <c r="R22" s="350">
        <f>CS_PID!R22/VLOOKUP($B22,표2[#ALL],2)</f>
        <v>0</v>
      </c>
      <c r="S22" s="350">
        <f>CS_PID!S22/VLOOKUP($B22,표2[#ALL],2)</f>
        <v>0</v>
      </c>
      <c r="T22" s="350">
        <f>CS_PID!T22/VLOOKUP($B22,표2[#ALL],2)</f>
        <v>0.001830037835</v>
      </c>
      <c r="U22" s="350">
        <f>CS_PID!U22/VLOOKUP($B22,표2[#ALL],2)</f>
        <v>0.04575094587</v>
      </c>
      <c r="V22" s="350">
        <f>CS_PID!V22/VLOOKUP($B22,표2[#ALL],2)</f>
        <v>0.1043121566</v>
      </c>
      <c r="W22" s="350">
        <f>CS_PID!W22/VLOOKUP($B22,표2[#ALL],2)</f>
        <v>0</v>
      </c>
      <c r="X22" s="350">
        <f>CS_PID!X22/VLOOKUP($B22,표2[#ALL],2)</f>
        <v>0</v>
      </c>
      <c r="Y22" s="350">
        <f>CS_PID!Y22/VLOOKUP($B22,표2[#ALL],2)</f>
        <v>0</v>
      </c>
      <c r="Z22" s="350">
        <f>CS_PID!Z22/VLOOKUP($B22,표2[#ALL],2)</f>
        <v>0</v>
      </c>
      <c r="AA22" s="350">
        <f>CS_PID!AA22/VLOOKUP($B22,표2[#ALL],2)</f>
        <v>0.04575094587</v>
      </c>
      <c r="AB22" s="350">
        <f>CS_PID!AB22/VLOOKUP($B22,표2[#ALL],2)</f>
        <v>0.02379049185</v>
      </c>
      <c r="AC22" s="350">
        <f>CS_PID!AC22/VLOOKUP($B22,표2[#ALL],2)</f>
        <v>0.001830037835</v>
      </c>
      <c r="AD22" s="350">
        <f>CS_PID!AD22/VLOOKUP($B22,표2[#ALL],2)</f>
        <v>0</v>
      </c>
      <c r="AE22" s="350">
        <f>CS_PID!AE22/VLOOKUP($B22,표2[#ALL],2)</f>
        <v>0</v>
      </c>
      <c r="AF22" s="350">
        <f>CS_PID!AF22/VLOOKUP($B22,표2[#ALL],2)</f>
        <v>0</v>
      </c>
      <c r="AG22" s="350">
        <f>CS_PID!AG22/VLOOKUP($B22,표2[#ALL],2)</f>
        <v>0.00366007567</v>
      </c>
      <c r="AH22" s="350">
        <f>CS_PID!AH22/VLOOKUP($B22,표2[#ALL],2)</f>
        <v>0</v>
      </c>
      <c r="AI22" s="350">
        <f>CS_PID!AI22/VLOOKUP($B22,표2[#ALL],2)</f>
        <v>0</v>
      </c>
      <c r="AJ22" s="350">
        <f>CS_PID!AJ22/VLOOKUP($B22,표2[#ALL],2)</f>
        <v>0</v>
      </c>
      <c r="AK22" s="350">
        <f>CS_PID!AK22/VLOOKUP($B22,표2[#ALL],2)</f>
        <v>0</v>
      </c>
      <c r="AL22" s="350">
        <f>CS_PID!AL22/VLOOKUP($B22,표2[#ALL],2)</f>
        <v>0</v>
      </c>
      <c r="AM22" s="350">
        <f>CS_PID!AM22/VLOOKUP($B22,표2[#ALL],2)</f>
        <v>0</v>
      </c>
      <c r="AN22" s="350">
        <f>CS_PID!AN22/VLOOKUP($B22,표2[#ALL],2)</f>
        <v>0</v>
      </c>
      <c r="AO22" s="350">
        <f>CS_PID!AO22/VLOOKUP($B22,표2[#ALL],2)</f>
        <v>0</v>
      </c>
      <c r="AP22" s="350">
        <f>CS_PID!AP22/VLOOKUP($B22,표2[#ALL],2)</f>
        <v>0</v>
      </c>
      <c r="AQ22" s="350">
        <f>CS_PID!AQ22/VLOOKUP($B22,표2[#ALL],2)</f>
        <v>0</v>
      </c>
      <c r="AR22" s="350">
        <f>CS_PID!AR22/VLOOKUP($B22,표2[#ALL],2)</f>
        <v>0</v>
      </c>
      <c r="AS22" s="350">
        <f>CS_PID!AS22/VLOOKUP($B22,표2[#ALL],2)</f>
        <v>0</v>
      </c>
    </row>
    <row r="23">
      <c r="A23" s="141" t="s">
        <v>78</v>
      </c>
      <c r="B23" s="142">
        <v>279.0</v>
      </c>
      <c r="C23" s="350">
        <f>CS_PID!C23/VLOOKUP($B23,표2[#ALL],2)</f>
        <v>0</v>
      </c>
      <c r="D23" s="350">
        <f>CS_PID!D23/VLOOKUP($B23,표2[#ALL],2)</f>
        <v>0.03598841008</v>
      </c>
      <c r="E23" s="350">
        <f>CS_PID!E23/VLOOKUP($B23,표2[#ALL],2)</f>
        <v>0.01799420504</v>
      </c>
      <c r="F23" s="350">
        <f>CS_PID!F23/VLOOKUP($B23,표2[#ALL],2)</f>
        <v>0</v>
      </c>
      <c r="G23" s="350">
        <f>CS_PID!G23/VLOOKUP($B23,표2[#ALL],2)</f>
        <v>0</v>
      </c>
      <c r="H23" s="350">
        <f>CS_PID!H23/VLOOKUP($B23,표2[#ALL],2)</f>
        <v>0</v>
      </c>
      <c r="I23" s="350">
        <f>CS_PID!I23/VLOOKUP($B23,표2[#ALL],2)</f>
        <v>0.0449855126</v>
      </c>
      <c r="J23" s="350">
        <f>CS_PID!J23/VLOOKUP($B23,표2[#ALL],2)</f>
        <v>0.08097392267</v>
      </c>
      <c r="K23" s="350">
        <f>CS_PID!K23/VLOOKUP($B23,표2[#ALL],2)</f>
        <v>0.008997102519</v>
      </c>
      <c r="L23" s="350">
        <f>CS_PID!L23/VLOOKUP($B23,표2[#ALL],2)</f>
        <v>0</v>
      </c>
      <c r="M23" s="350">
        <f>CS_PID!M23/VLOOKUP($B23,표2[#ALL],2)</f>
        <v>0</v>
      </c>
      <c r="N23" s="350">
        <f>CS_PID!N23/VLOOKUP($B23,표2[#ALL],2)</f>
        <v>0</v>
      </c>
      <c r="O23" s="350">
        <f>CS_PID!O23/VLOOKUP($B23,표2[#ALL],2)</f>
        <v>0.08097392267</v>
      </c>
      <c r="P23" s="350">
        <f>CS_PID!P23/VLOOKUP($B23,표2[#ALL],2)</f>
        <v>0.1079652302</v>
      </c>
      <c r="Q23" s="350">
        <f>CS_PID!Q23/VLOOKUP($B23,표2[#ALL],2)</f>
        <v>0.01799420504</v>
      </c>
      <c r="R23" s="350">
        <f>CS_PID!R23/VLOOKUP($B23,표2[#ALL],2)</f>
        <v>0</v>
      </c>
      <c r="S23" s="350">
        <f>CS_PID!S23/VLOOKUP($B23,표2[#ALL],2)</f>
        <v>0</v>
      </c>
      <c r="T23" s="350">
        <f>CS_PID!T23/VLOOKUP($B23,표2[#ALL],2)</f>
        <v>0</v>
      </c>
      <c r="U23" s="350">
        <f>CS_PID!U23/VLOOKUP($B23,표2[#ALL],2)</f>
        <v>0.06297971763</v>
      </c>
      <c r="V23" s="350">
        <f>CS_PID!V23/VLOOKUP($B23,표2[#ALL],2)</f>
        <v>0.1889391529</v>
      </c>
      <c r="W23" s="350">
        <f>CS_PID!W23/VLOOKUP($B23,표2[#ALL],2)</f>
        <v>0.008997102519</v>
      </c>
      <c r="X23" s="350">
        <f>CS_PID!X23/VLOOKUP($B23,표2[#ALL],2)</f>
        <v>0</v>
      </c>
      <c r="Y23" s="350">
        <f>CS_PID!Y23/VLOOKUP($B23,표2[#ALL],2)</f>
        <v>0</v>
      </c>
      <c r="Z23" s="350">
        <f>CS_PID!Z23/VLOOKUP($B23,표2[#ALL],2)</f>
        <v>0</v>
      </c>
      <c r="AA23" s="350">
        <f>CS_PID!AA23/VLOOKUP($B23,표2[#ALL],2)</f>
        <v>0.0449855126</v>
      </c>
      <c r="AB23" s="350">
        <f>CS_PID!AB23/VLOOKUP($B23,표2[#ALL],2)</f>
        <v>0.01799420504</v>
      </c>
      <c r="AC23" s="350">
        <f>CS_PID!AC23/VLOOKUP($B23,표2[#ALL],2)</f>
        <v>0</v>
      </c>
      <c r="AD23" s="350">
        <f>CS_PID!AD23/VLOOKUP($B23,표2[#ALL],2)</f>
        <v>0</v>
      </c>
      <c r="AE23" s="350">
        <f>CS_PID!AE23/VLOOKUP($B23,표2[#ALL],2)</f>
        <v>0</v>
      </c>
      <c r="AF23" s="350">
        <f>CS_PID!AF23/VLOOKUP($B23,표2[#ALL],2)</f>
        <v>0</v>
      </c>
      <c r="AG23" s="350">
        <f>CS_PID!AG23/VLOOKUP($B23,표2[#ALL],2)</f>
        <v>0</v>
      </c>
      <c r="AH23" s="350">
        <f>CS_PID!AH23/VLOOKUP($B23,표2[#ALL],2)</f>
        <v>0.01799420504</v>
      </c>
      <c r="AI23" s="350">
        <f>CS_PID!AI23/VLOOKUP($B23,표2[#ALL],2)</f>
        <v>0</v>
      </c>
      <c r="AJ23" s="350">
        <f>CS_PID!AJ23/VLOOKUP($B23,표2[#ALL],2)</f>
        <v>0</v>
      </c>
      <c r="AK23" s="350">
        <f>CS_PID!AK23/VLOOKUP($B23,표2[#ALL],2)</f>
        <v>0</v>
      </c>
      <c r="AL23" s="350">
        <f>CS_PID!AL23/VLOOKUP($B23,표2[#ALL],2)</f>
        <v>0</v>
      </c>
      <c r="AM23" s="350">
        <f>CS_PID!AM23/VLOOKUP($B23,표2[#ALL],2)</f>
        <v>0</v>
      </c>
      <c r="AN23" s="350">
        <f>CS_PID!AN23/VLOOKUP($B23,표2[#ALL],2)</f>
        <v>0</v>
      </c>
      <c r="AO23" s="350">
        <f>CS_PID!AO23/VLOOKUP($B23,표2[#ALL],2)</f>
        <v>0</v>
      </c>
      <c r="AP23" s="350">
        <f>CS_PID!AP23/VLOOKUP($B23,표2[#ALL],2)</f>
        <v>0</v>
      </c>
      <c r="AQ23" s="350">
        <f>CS_PID!AQ23/VLOOKUP($B23,표2[#ALL],2)</f>
        <v>0</v>
      </c>
      <c r="AR23" s="350">
        <f>CS_PID!AR23/VLOOKUP($B23,표2[#ALL],2)</f>
        <v>0</v>
      </c>
      <c r="AS23" s="350">
        <f>CS_PID!AS23/VLOOKUP($B23,표2[#ALL],2)</f>
        <v>0</v>
      </c>
    </row>
    <row r="24">
      <c r="A24" s="141" t="s">
        <v>78</v>
      </c>
      <c r="B24" s="142">
        <v>280.0</v>
      </c>
      <c r="C24" s="350">
        <f>CS_PID!C24/VLOOKUP($B24,표2[#ALL],2)</f>
        <v>0</v>
      </c>
      <c r="D24" s="350">
        <f>CS_PID!D24/VLOOKUP($B24,표2[#ALL],2)</f>
        <v>0.05186610754</v>
      </c>
      <c r="E24" s="350">
        <f>CS_PID!E24/VLOOKUP($B24,표2[#ALL],2)</f>
        <v>0.01944979033</v>
      </c>
      <c r="F24" s="350">
        <f>CS_PID!F24/VLOOKUP($B24,표2[#ALL],2)</f>
        <v>0</v>
      </c>
      <c r="G24" s="350">
        <f>CS_PID!G24/VLOOKUP($B24,표2[#ALL],2)</f>
        <v>0</v>
      </c>
      <c r="H24" s="350">
        <f>CS_PID!H24/VLOOKUP($B24,표2[#ALL],2)</f>
        <v>0</v>
      </c>
      <c r="I24" s="350">
        <f>CS_PID!I24/VLOOKUP($B24,표2[#ALL],2)</f>
        <v>0.03241631721</v>
      </c>
      <c r="J24" s="350">
        <f>CS_PID!J24/VLOOKUP($B24,표2[#ALL],2)</f>
        <v>0.09076568819</v>
      </c>
      <c r="K24" s="350">
        <f>CS_PID!K24/VLOOKUP($B24,표2[#ALL],2)</f>
        <v>0.006483263442</v>
      </c>
      <c r="L24" s="350">
        <f>CS_PID!L24/VLOOKUP($B24,표2[#ALL],2)</f>
        <v>0</v>
      </c>
      <c r="M24" s="350">
        <f>CS_PID!M24/VLOOKUP($B24,표2[#ALL],2)</f>
        <v>0</v>
      </c>
      <c r="N24" s="350">
        <f>CS_PID!N24/VLOOKUP($B24,표2[#ALL],2)</f>
        <v>0</v>
      </c>
      <c r="O24" s="350">
        <f>CS_PID!O24/VLOOKUP($B24,표2[#ALL],2)</f>
        <v>0.07131589787</v>
      </c>
      <c r="P24" s="350">
        <f>CS_PID!P24/VLOOKUP($B24,표2[#ALL],2)</f>
        <v>0.1102154785</v>
      </c>
      <c r="Q24" s="350">
        <f>CS_PID!Q24/VLOOKUP($B24,표2[#ALL],2)</f>
        <v>0</v>
      </c>
      <c r="R24" s="350">
        <f>CS_PID!R24/VLOOKUP($B24,표2[#ALL],2)</f>
        <v>0</v>
      </c>
      <c r="S24" s="350">
        <f>CS_PID!S24/VLOOKUP($B24,표2[#ALL],2)</f>
        <v>0</v>
      </c>
      <c r="T24" s="350">
        <f>CS_PID!T24/VLOOKUP($B24,표2[#ALL],2)</f>
        <v>0.006483263442</v>
      </c>
      <c r="U24" s="350">
        <f>CS_PID!U24/VLOOKUP($B24,표2[#ALL],2)</f>
        <v>0.05834937098</v>
      </c>
      <c r="V24" s="350">
        <f>CS_PID!V24/VLOOKUP($B24,표2[#ALL],2)</f>
        <v>0.09724895164</v>
      </c>
      <c r="W24" s="350">
        <f>CS_PID!W24/VLOOKUP($B24,표2[#ALL],2)</f>
        <v>0</v>
      </c>
      <c r="X24" s="350">
        <f>CS_PID!X24/VLOOKUP($B24,표2[#ALL],2)</f>
        <v>0</v>
      </c>
      <c r="Y24" s="350">
        <f>CS_PID!Y24/VLOOKUP($B24,표2[#ALL],2)</f>
        <v>0</v>
      </c>
      <c r="Z24" s="350">
        <f>CS_PID!Z24/VLOOKUP($B24,표2[#ALL],2)</f>
        <v>0</v>
      </c>
      <c r="AA24" s="350">
        <f>CS_PID!AA24/VLOOKUP($B24,표2[#ALL],2)</f>
        <v>0.02593305377</v>
      </c>
      <c r="AB24" s="350">
        <f>CS_PID!AB24/VLOOKUP($B24,표2[#ALL],2)</f>
        <v>0.01944979033</v>
      </c>
      <c r="AC24" s="350">
        <f>CS_PID!AC24/VLOOKUP($B24,표2[#ALL],2)</f>
        <v>0</v>
      </c>
      <c r="AD24" s="350">
        <f>CS_PID!AD24/VLOOKUP($B24,표2[#ALL],2)</f>
        <v>0</v>
      </c>
      <c r="AE24" s="350">
        <f>CS_PID!AE24/VLOOKUP($B24,표2[#ALL],2)</f>
        <v>0</v>
      </c>
      <c r="AF24" s="350">
        <f>CS_PID!AF24/VLOOKUP($B24,표2[#ALL],2)</f>
        <v>0</v>
      </c>
      <c r="AG24" s="350">
        <f>CS_PID!AG24/VLOOKUP($B24,표2[#ALL],2)</f>
        <v>0</v>
      </c>
      <c r="AH24" s="350">
        <f>CS_PID!AH24/VLOOKUP($B24,표2[#ALL],2)</f>
        <v>0</v>
      </c>
      <c r="AI24" s="350">
        <f>CS_PID!AI24/VLOOKUP($B24,표2[#ALL],2)</f>
        <v>0</v>
      </c>
      <c r="AJ24" s="350">
        <f>CS_PID!AJ24/VLOOKUP($B24,표2[#ALL],2)</f>
        <v>0</v>
      </c>
      <c r="AK24" s="350">
        <f>CS_PID!AK24/VLOOKUP($B24,표2[#ALL],2)</f>
        <v>0</v>
      </c>
      <c r="AL24" s="350">
        <f>CS_PID!AL24/VLOOKUP($B24,표2[#ALL],2)</f>
        <v>0</v>
      </c>
      <c r="AM24" s="350">
        <f>CS_PID!AM24/VLOOKUP($B24,표2[#ALL],2)</f>
        <v>0</v>
      </c>
      <c r="AN24" s="350">
        <f>CS_PID!AN24/VLOOKUP($B24,표2[#ALL],2)</f>
        <v>0</v>
      </c>
      <c r="AO24" s="350">
        <f>CS_PID!AO24/VLOOKUP($B24,표2[#ALL],2)</f>
        <v>0</v>
      </c>
      <c r="AP24" s="350">
        <f>CS_PID!AP24/VLOOKUP($B24,표2[#ALL],2)</f>
        <v>0</v>
      </c>
      <c r="AQ24" s="350">
        <f>CS_PID!AQ24/VLOOKUP($B24,표2[#ALL],2)</f>
        <v>0</v>
      </c>
      <c r="AR24" s="350">
        <f>CS_PID!AR24/VLOOKUP($B24,표2[#ALL],2)</f>
        <v>0</v>
      </c>
      <c r="AS24" s="350">
        <f>CS_PID!AS24/VLOOKUP($B24,표2[#ALL],2)</f>
        <v>0</v>
      </c>
    </row>
    <row r="25">
      <c r="A25" s="141" t="s">
        <v>78</v>
      </c>
      <c r="B25" s="142">
        <v>281.0</v>
      </c>
      <c r="C25" s="350">
        <f>CS_PID!C25/VLOOKUP($B25,표2[#ALL],2)</f>
        <v>0</v>
      </c>
      <c r="D25" s="350">
        <f>CS_PID!D25/VLOOKUP($B25,표2[#ALL],2)</f>
        <v>0.04019512514</v>
      </c>
      <c r="E25" s="350">
        <f>CS_PID!E25/VLOOKUP($B25,표2[#ALL],2)</f>
        <v>0.01607805006</v>
      </c>
      <c r="F25" s="350">
        <f>CS_PID!F25/VLOOKUP($B25,표2[#ALL],2)</f>
        <v>0</v>
      </c>
      <c r="G25" s="350">
        <f>CS_PID!G25/VLOOKUP($B25,표2[#ALL],2)</f>
        <v>0</v>
      </c>
      <c r="H25" s="350">
        <f>CS_PID!H25/VLOOKUP($B25,표2[#ALL],2)</f>
        <v>0.008039025029</v>
      </c>
      <c r="I25" s="350">
        <f>CS_PID!I25/VLOOKUP($B25,표2[#ALL],2)</f>
        <v>0.03215610012</v>
      </c>
      <c r="J25" s="350">
        <f>CS_PID!J25/VLOOKUP($B25,표2[#ALL],2)</f>
        <v>0.07235122526</v>
      </c>
      <c r="K25" s="350">
        <f>CS_PID!K25/VLOOKUP($B25,표2[#ALL],2)</f>
        <v>0</v>
      </c>
      <c r="L25" s="350">
        <f>CS_PID!L25/VLOOKUP($B25,표2[#ALL],2)</f>
        <v>0</v>
      </c>
      <c r="M25" s="350">
        <f>CS_PID!M25/VLOOKUP($B25,표2[#ALL],2)</f>
        <v>0</v>
      </c>
      <c r="N25" s="350">
        <f>CS_PID!N25/VLOOKUP($B25,표2[#ALL],2)</f>
        <v>0</v>
      </c>
      <c r="O25" s="350">
        <f>CS_PID!O25/VLOOKUP($B25,표2[#ALL],2)</f>
        <v>0.03215610012</v>
      </c>
      <c r="P25" s="350">
        <f>CS_PID!P25/VLOOKUP($B25,표2[#ALL],2)</f>
        <v>0.1527414756</v>
      </c>
      <c r="Q25" s="350">
        <f>CS_PID!Q25/VLOOKUP($B25,표2[#ALL],2)</f>
        <v>0.008039025029</v>
      </c>
      <c r="R25" s="350">
        <f>CS_PID!R25/VLOOKUP($B25,표2[#ALL],2)</f>
        <v>0</v>
      </c>
      <c r="S25" s="350">
        <f>CS_PID!S25/VLOOKUP($B25,표2[#ALL],2)</f>
        <v>0</v>
      </c>
      <c r="T25" s="350">
        <f>CS_PID!T25/VLOOKUP($B25,표2[#ALL],2)</f>
        <v>0</v>
      </c>
      <c r="U25" s="350">
        <f>CS_PID!U25/VLOOKUP($B25,표2[#ALL],2)</f>
        <v>0.04823415017</v>
      </c>
      <c r="V25" s="350">
        <f>CS_PID!V25/VLOOKUP($B25,표2[#ALL],2)</f>
        <v>0.08039025029</v>
      </c>
      <c r="W25" s="350">
        <f>CS_PID!W25/VLOOKUP($B25,표2[#ALL],2)</f>
        <v>0.02411707509</v>
      </c>
      <c r="X25" s="350">
        <f>CS_PID!X25/VLOOKUP($B25,표2[#ALL],2)</f>
        <v>0</v>
      </c>
      <c r="Y25" s="350">
        <f>CS_PID!Y25/VLOOKUP($B25,표2[#ALL],2)</f>
        <v>0</v>
      </c>
      <c r="Z25" s="350">
        <f>CS_PID!Z25/VLOOKUP($B25,표2[#ALL],2)</f>
        <v>0</v>
      </c>
      <c r="AA25" s="350">
        <f>CS_PID!AA25/VLOOKUP($B25,표2[#ALL],2)</f>
        <v>0.02411707509</v>
      </c>
      <c r="AB25" s="350">
        <f>CS_PID!AB25/VLOOKUP($B25,표2[#ALL],2)</f>
        <v>0.01607805006</v>
      </c>
      <c r="AC25" s="350">
        <f>CS_PID!AC25/VLOOKUP($B25,표2[#ALL],2)</f>
        <v>0</v>
      </c>
      <c r="AD25" s="350">
        <f>CS_PID!AD25/VLOOKUP($B25,표2[#ALL],2)</f>
        <v>0</v>
      </c>
      <c r="AE25" s="350">
        <f>CS_PID!AE25/VLOOKUP($B25,표2[#ALL],2)</f>
        <v>0</v>
      </c>
      <c r="AF25" s="350">
        <f>CS_PID!AF25/VLOOKUP($B25,표2[#ALL],2)</f>
        <v>0</v>
      </c>
      <c r="AG25" s="350">
        <f>CS_PID!AG25/VLOOKUP($B25,표2[#ALL],2)</f>
        <v>0</v>
      </c>
      <c r="AH25" s="350">
        <f>CS_PID!AH25/VLOOKUP($B25,표2[#ALL],2)</f>
        <v>0.008039025029</v>
      </c>
      <c r="AI25" s="350">
        <f>CS_PID!AI25/VLOOKUP($B25,표2[#ALL],2)</f>
        <v>0</v>
      </c>
      <c r="AJ25" s="350">
        <f>CS_PID!AJ25/VLOOKUP($B25,표2[#ALL],2)</f>
        <v>0</v>
      </c>
      <c r="AK25" s="350">
        <f>CS_PID!AK25/VLOOKUP($B25,표2[#ALL],2)</f>
        <v>0</v>
      </c>
      <c r="AL25" s="350">
        <f>CS_PID!AL25/VLOOKUP($B25,표2[#ALL],2)</f>
        <v>0</v>
      </c>
      <c r="AM25" s="350">
        <f>CS_PID!AM25/VLOOKUP($B25,표2[#ALL],2)</f>
        <v>0</v>
      </c>
      <c r="AN25" s="350">
        <f>CS_PID!AN25/VLOOKUP($B25,표2[#ALL],2)</f>
        <v>0</v>
      </c>
      <c r="AO25" s="350">
        <f>CS_PID!AO25/VLOOKUP($B25,표2[#ALL],2)</f>
        <v>0</v>
      </c>
      <c r="AP25" s="350">
        <f>CS_PID!AP25/VLOOKUP($B25,표2[#ALL],2)</f>
        <v>0</v>
      </c>
      <c r="AQ25" s="350">
        <f>CS_PID!AQ25/VLOOKUP($B25,표2[#ALL],2)</f>
        <v>0</v>
      </c>
      <c r="AR25" s="350">
        <f>CS_PID!AR25/VLOOKUP($B25,표2[#ALL],2)</f>
        <v>0</v>
      </c>
      <c r="AS25" s="350">
        <f>CS_PID!AS25/VLOOKUP($B25,표2[#ALL],2)</f>
        <v>0</v>
      </c>
    </row>
    <row r="26">
      <c r="A26" s="141" t="s">
        <v>78</v>
      </c>
      <c r="B26" s="142">
        <v>282.0</v>
      </c>
      <c r="C26" s="350">
        <f>CS_PID!C26/VLOOKUP($B26,표2[#ALL],2)</f>
        <v>0.01855188518</v>
      </c>
      <c r="D26" s="350">
        <f>CS_PID!D26/VLOOKUP($B26,표2[#ALL],2)</f>
        <v>0.03710377037</v>
      </c>
      <c r="E26" s="350">
        <f>CS_PID!E26/VLOOKUP($B26,표2[#ALL],2)</f>
        <v>0.03710377037</v>
      </c>
      <c r="F26" s="350">
        <f>CS_PID!F26/VLOOKUP($B26,표2[#ALL],2)</f>
        <v>0</v>
      </c>
      <c r="G26" s="350">
        <f>CS_PID!G26/VLOOKUP($B26,표2[#ALL],2)</f>
        <v>0</v>
      </c>
      <c r="H26" s="350">
        <f>CS_PID!H26/VLOOKUP($B26,표2[#ALL],2)</f>
        <v>0</v>
      </c>
      <c r="I26" s="350">
        <f>CS_PID!I26/VLOOKUP($B26,표2[#ALL],2)</f>
        <v>0.05565565555</v>
      </c>
      <c r="J26" s="350">
        <f>CS_PID!J26/VLOOKUP($B26,표2[#ALL],2)</f>
        <v>0.1113113111</v>
      </c>
      <c r="K26" s="350">
        <f>CS_PID!K26/VLOOKUP($B26,표2[#ALL],2)</f>
        <v>0</v>
      </c>
      <c r="L26" s="350">
        <f>CS_PID!L26/VLOOKUP($B26,표2[#ALL],2)</f>
        <v>0</v>
      </c>
      <c r="M26" s="350">
        <f>CS_PID!M26/VLOOKUP($B26,표2[#ALL],2)</f>
        <v>0</v>
      </c>
      <c r="N26" s="350">
        <f>CS_PID!N26/VLOOKUP($B26,표2[#ALL],2)</f>
        <v>0</v>
      </c>
      <c r="O26" s="350">
        <f>CS_PID!O26/VLOOKUP($B26,표2[#ALL],2)</f>
        <v>0.07420754073</v>
      </c>
      <c r="P26" s="350">
        <f>CS_PID!P26/VLOOKUP($B26,표2[#ALL],2)</f>
        <v>0.1484150815</v>
      </c>
      <c r="Q26" s="350">
        <f>CS_PID!Q26/VLOOKUP($B26,표2[#ALL],2)</f>
        <v>0</v>
      </c>
      <c r="R26" s="350">
        <f>CS_PID!R26/VLOOKUP($B26,표2[#ALL],2)</f>
        <v>0</v>
      </c>
      <c r="S26" s="350">
        <f>CS_PID!S26/VLOOKUP($B26,표2[#ALL],2)</f>
        <v>0</v>
      </c>
      <c r="T26" s="350">
        <f>CS_PID!T26/VLOOKUP($B26,표2[#ALL],2)</f>
        <v>0</v>
      </c>
      <c r="U26" s="350">
        <f>CS_PID!U26/VLOOKUP($B26,표2[#ALL],2)</f>
        <v>0.07420754073</v>
      </c>
      <c r="V26" s="350">
        <f>CS_PID!V26/VLOOKUP($B26,표2[#ALL],2)</f>
        <v>0.1669669667</v>
      </c>
      <c r="W26" s="350">
        <f>CS_PID!W26/VLOOKUP($B26,표2[#ALL],2)</f>
        <v>0</v>
      </c>
      <c r="X26" s="350">
        <f>CS_PID!X26/VLOOKUP($B26,표2[#ALL],2)</f>
        <v>0</v>
      </c>
      <c r="Y26" s="350">
        <f>CS_PID!Y26/VLOOKUP($B26,표2[#ALL],2)</f>
        <v>0</v>
      </c>
      <c r="Z26" s="350">
        <f>CS_PID!Z26/VLOOKUP($B26,표2[#ALL],2)</f>
        <v>0</v>
      </c>
      <c r="AA26" s="350">
        <f>CS_PID!AA26/VLOOKUP($B26,표2[#ALL],2)</f>
        <v>0.01855188518</v>
      </c>
      <c r="AB26" s="350">
        <f>CS_PID!AB26/VLOOKUP($B26,표2[#ALL],2)</f>
        <v>0.01855188518</v>
      </c>
      <c r="AC26" s="350">
        <f>CS_PID!AC26/VLOOKUP($B26,표2[#ALL],2)</f>
        <v>0</v>
      </c>
      <c r="AD26" s="350">
        <f>CS_PID!AD26/VLOOKUP($B26,표2[#ALL],2)</f>
        <v>0</v>
      </c>
      <c r="AE26" s="350">
        <f>CS_PID!AE26/VLOOKUP($B26,표2[#ALL],2)</f>
        <v>0</v>
      </c>
      <c r="AF26" s="350">
        <f>CS_PID!AF26/VLOOKUP($B26,표2[#ALL],2)</f>
        <v>0</v>
      </c>
      <c r="AG26" s="350">
        <f>CS_PID!AG26/VLOOKUP($B26,표2[#ALL],2)</f>
        <v>0</v>
      </c>
      <c r="AH26" s="350">
        <f>CS_PID!AH26/VLOOKUP($B26,표2[#ALL],2)</f>
        <v>0</v>
      </c>
      <c r="AI26" s="350">
        <f>CS_PID!AI26/VLOOKUP($B26,표2[#ALL],2)</f>
        <v>0</v>
      </c>
      <c r="AJ26" s="350">
        <f>CS_PID!AJ26/VLOOKUP($B26,표2[#ALL],2)</f>
        <v>0</v>
      </c>
      <c r="AK26" s="350">
        <f>CS_PID!AK26/VLOOKUP($B26,표2[#ALL],2)</f>
        <v>0</v>
      </c>
      <c r="AL26" s="350">
        <f>CS_PID!AL26/VLOOKUP($B26,표2[#ALL],2)</f>
        <v>0</v>
      </c>
      <c r="AM26" s="350">
        <f>CS_PID!AM26/VLOOKUP($B26,표2[#ALL],2)</f>
        <v>0</v>
      </c>
      <c r="AN26" s="350">
        <f>CS_PID!AN26/VLOOKUP($B26,표2[#ALL],2)</f>
        <v>0</v>
      </c>
      <c r="AO26" s="350">
        <f>CS_PID!AO26/VLOOKUP($B26,표2[#ALL],2)</f>
        <v>0</v>
      </c>
      <c r="AP26" s="350">
        <f>CS_PID!AP26/VLOOKUP($B26,표2[#ALL],2)</f>
        <v>0</v>
      </c>
      <c r="AQ26" s="350">
        <f>CS_PID!AQ26/VLOOKUP($B26,표2[#ALL],2)</f>
        <v>0</v>
      </c>
      <c r="AR26" s="350">
        <f>CS_PID!AR26/VLOOKUP($B26,표2[#ALL],2)</f>
        <v>0</v>
      </c>
      <c r="AS26" s="350">
        <f>CS_PID!AS26/VLOOKUP($B26,표2[#ALL],2)</f>
        <v>0</v>
      </c>
    </row>
    <row r="27">
      <c r="A27" s="141" t="s">
        <v>78</v>
      </c>
      <c r="B27" s="142">
        <v>283.0</v>
      </c>
      <c r="C27" s="350">
        <f>CS_PID!C27/VLOOKUP($B27,표2[#ALL],2)</f>
        <v>0</v>
      </c>
      <c r="D27" s="350">
        <f>CS_PID!D27/VLOOKUP($B27,표2[#ALL],2)</f>
        <v>0.04571281275</v>
      </c>
      <c r="E27" s="350">
        <f>CS_PID!E27/VLOOKUP($B27,표2[#ALL],2)</f>
        <v>0.02612160729</v>
      </c>
      <c r="F27" s="350">
        <f>CS_PID!F27/VLOOKUP($B27,표2[#ALL],2)</f>
        <v>0.006530401822</v>
      </c>
      <c r="G27" s="350">
        <f>CS_PID!G27/VLOOKUP($B27,표2[#ALL],2)</f>
        <v>0</v>
      </c>
      <c r="H27" s="350">
        <f>CS_PID!H27/VLOOKUP($B27,표2[#ALL],2)</f>
        <v>0.006530401822</v>
      </c>
      <c r="I27" s="350">
        <f>CS_PID!I27/VLOOKUP($B27,표2[#ALL],2)</f>
        <v>0.03918241093</v>
      </c>
      <c r="J27" s="350">
        <f>CS_PID!J27/VLOOKUP($B27,표2[#ALL],2)</f>
        <v>0.09142562551</v>
      </c>
      <c r="K27" s="350">
        <f>CS_PID!K27/VLOOKUP($B27,표2[#ALL],2)</f>
        <v>0.006530401822</v>
      </c>
      <c r="L27" s="350">
        <f>CS_PID!L27/VLOOKUP($B27,표2[#ALL],2)</f>
        <v>0</v>
      </c>
      <c r="M27" s="350">
        <f>CS_PID!M27/VLOOKUP($B27,표2[#ALL],2)</f>
        <v>0</v>
      </c>
      <c r="N27" s="350">
        <f>CS_PID!N27/VLOOKUP($B27,표2[#ALL],2)</f>
        <v>0</v>
      </c>
      <c r="O27" s="350">
        <f>CS_PID!O27/VLOOKUP($B27,표2[#ALL],2)</f>
        <v>0.06530401822</v>
      </c>
      <c r="P27" s="350">
        <f>CS_PID!P27/VLOOKUP($B27,표2[#ALL],2)</f>
        <v>0.111016831</v>
      </c>
      <c r="Q27" s="350">
        <f>CS_PID!Q27/VLOOKUP($B27,표2[#ALL],2)</f>
        <v>0</v>
      </c>
      <c r="R27" s="350">
        <f>CS_PID!R27/VLOOKUP($B27,표2[#ALL],2)</f>
        <v>0</v>
      </c>
      <c r="S27" s="350">
        <f>CS_PID!S27/VLOOKUP($B27,표2[#ALL],2)</f>
        <v>0</v>
      </c>
      <c r="T27" s="350">
        <f>CS_PID!T27/VLOOKUP($B27,표2[#ALL],2)</f>
        <v>0</v>
      </c>
      <c r="U27" s="350">
        <f>CS_PID!U27/VLOOKUP($B27,표2[#ALL],2)</f>
        <v>0.06530401822</v>
      </c>
      <c r="V27" s="350">
        <f>CS_PID!V27/VLOOKUP($B27,표2[#ALL],2)</f>
        <v>0.1044864292</v>
      </c>
      <c r="W27" s="350">
        <f>CS_PID!W27/VLOOKUP($B27,표2[#ALL],2)</f>
        <v>0.006530401822</v>
      </c>
      <c r="X27" s="350">
        <f>CS_PID!X27/VLOOKUP($B27,표2[#ALL],2)</f>
        <v>0</v>
      </c>
      <c r="Y27" s="350">
        <f>CS_PID!Y27/VLOOKUP($B27,표2[#ALL],2)</f>
        <v>0</v>
      </c>
      <c r="Z27" s="350">
        <f>CS_PID!Z27/VLOOKUP($B27,표2[#ALL],2)</f>
        <v>0</v>
      </c>
      <c r="AA27" s="350">
        <f>CS_PID!AA27/VLOOKUP($B27,표2[#ALL],2)</f>
        <v>0.05224321458</v>
      </c>
      <c r="AB27" s="350">
        <f>CS_PID!AB27/VLOOKUP($B27,표2[#ALL],2)</f>
        <v>0.01306080364</v>
      </c>
      <c r="AC27" s="350">
        <f>CS_PID!AC27/VLOOKUP($B27,표2[#ALL],2)</f>
        <v>0.006530401822</v>
      </c>
      <c r="AD27" s="350">
        <f>CS_PID!AD27/VLOOKUP($B27,표2[#ALL],2)</f>
        <v>0</v>
      </c>
      <c r="AE27" s="350">
        <f>CS_PID!AE27/VLOOKUP($B27,표2[#ALL],2)</f>
        <v>0</v>
      </c>
      <c r="AF27" s="350">
        <f>CS_PID!AF27/VLOOKUP($B27,표2[#ALL],2)</f>
        <v>0</v>
      </c>
      <c r="AG27" s="350">
        <f>CS_PID!AG27/VLOOKUP($B27,표2[#ALL],2)</f>
        <v>0.006530401822</v>
      </c>
      <c r="AH27" s="350">
        <f>CS_PID!AH27/VLOOKUP($B27,표2[#ALL],2)</f>
        <v>0</v>
      </c>
      <c r="AI27" s="350">
        <f>CS_PID!AI27/VLOOKUP($B27,표2[#ALL],2)</f>
        <v>0</v>
      </c>
      <c r="AJ27" s="350">
        <f>CS_PID!AJ27/VLOOKUP($B27,표2[#ALL],2)</f>
        <v>0</v>
      </c>
      <c r="AK27" s="350">
        <f>CS_PID!AK27/VLOOKUP($B27,표2[#ALL],2)</f>
        <v>0</v>
      </c>
      <c r="AL27" s="350">
        <f>CS_PID!AL27/VLOOKUP($B27,표2[#ALL],2)</f>
        <v>0</v>
      </c>
      <c r="AM27" s="350">
        <f>CS_PID!AM27/VLOOKUP($B27,표2[#ALL],2)</f>
        <v>0</v>
      </c>
      <c r="AN27" s="350">
        <f>CS_PID!AN27/VLOOKUP($B27,표2[#ALL],2)</f>
        <v>0</v>
      </c>
      <c r="AO27" s="350">
        <f>CS_PID!AO27/VLOOKUP($B27,표2[#ALL],2)</f>
        <v>0</v>
      </c>
      <c r="AP27" s="350">
        <f>CS_PID!AP27/VLOOKUP($B27,표2[#ALL],2)</f>
        <v>0</v>
      </c>
      <c r="AQ27" s="350">
        <f>CS_PID!AQ27/VLOOKUP($B27,표2[#ALL],2)</f>
        <v>0</v>
      </c>
      <c r="AR27" s="350">
        <f>CS_PID!AR27/VLOOKUP($B27,표2[#ALL],2)</f>
        <v>0</v>
      </c>
      <c r="AS27" s="350">
        <f>CS_PID!AS27/VLOOKUP($B27,표2[#ALL],2)</f>
        <v>0</v>
      </c>
    </row>
    <row r="28">
      <c r="A28" s="141" t="s">
        <v>78</v>
      </c>
      <c r="B28" s="142">
        <v>284.0</v>
      </c>
      <c r="C28" s="350">
        <f>CS_PID!C28/VLOOKUP($B28,표2[#ALL],2)</f>
        <v>0</v>
      </c>
      <c r="D28" s="350">
        <f>CS_PID!D28/VLOOKUP($B28,표2[#ALL],2)</f>
        <v>0.02814604548</v>
      </c>
      <c r="E28" s="350">
        <f>CS_PID!E28/VLOOKUP($B28,표2[#ALL],2)</f>
        <v>0.01688762729</v>
      </c>
      <c r="F28" s="350">
        <f>CS_PID!F28/VLOOKUP($B28,표2[#ALL],2)</f>
        <v>0.005629209097</v>
      </c>
      <c r="G28" s="350">
        <f>CS_PID!G28/VLOOKUP($B28,표2[#ALL],2)</f>
        <v>0</v>
      </c>
      <c r="H28" s="350">
        <f>CS_PID!H28/VLOOKUP($B28,표2[#ALL],2)</f>
        <v>0</v>
      </c>
      <c r="I28" s="350">
        <f>CS_PID!I28/VLOOKUP($B28,표2[#ALL],2)</f>
        <v>0.03377525458</v>
      </c>
      <c r="J28" s="350">
        <f>CS_PID!J28/VLOOKUP($B28,표2[#ALL],2)</f>
        <v>0.05066288187</v>
      </c>
      <c r="K28" s="350">
        <f>CS_PID!K28/VLOOKUP($B28,표2[#ALL],2)</f>
        <v>0</v>
      </c>
      <c r="L28" s="350">
        <f>CS_PID!L28/VLOOKUP($B28,표2[#ALL],2)</f>
        <v>0</v>
      </c>
      <c r="M28" s="350">
        <f>CS_PID!M28/VLOOKUP($B28,표2[#ALL],2)</f>
        <v>0</v>
      </c>
      <c r="N28" s="350">
        <f>CS_PID!N28/VLOOKUP($B28,표2[#ALL],2)</f>
        <v>0</v>
      </c>
      <c r="O28" s="350">
        <f>CS_PID!O28/VLOOKUP($B28,표2[#ALL],2)</f>
        <v>0.05629209097</v>
      </c>
      <c r="P28" s="350">
        <f>CS_PID!P28/VLOOKUP($B28,표2[#ALL],2)</f>
        <v>0.1407302274</v>
      </c>
      <c r="Q28" s="350">
        <f>CS_PID!Q28/VLOOKUP($B28,표2[#ALL],2)</f>
        <v>0.01125841819</v>
      </c>
      <c r="R28" s="350">
        <f>CS_PID!R28/VLOOKUP($B28,표2[#ALL],2)</f>
        <v>0</v>
      </c>
      <c r="S28" s="350">
        <f>CS_PID!S28/VLOOKUP($B28,표2[#ALL],2)</f>
        <v>0</v>
      </c>
      <c r="T28" s="350">
        <f>CS_PID!T28/VLOOKUP($B28,표2[#ALL],2)</f>
        <v>0</v>
      </c>
      <c r="U28" s="350">
        <f>CS_PID!U28/VLOOKUP($B28,표2[#ALL],2)</f>
        <v>0.06192130007</v>
      </c>
      <c r="V28" s="350">
        <f>CS_PID!V28/VLOOKUP($B28,표2[#ALL],2)</f>
        <v>0.1069549728</v>
      </c>
      <c r="W28" s="350">
        <f>CS_PID!W28/VLOOKUP($B28,표2[#ALL],2)</f>
        <v>0.005629209097</v>
      </c>
      <c r="X28" s="350">
        <f>CS_PID!X28/VLOOKUP($B28,표2[#ALL],2)</f>
        <v>0</v>
      </c>
      <c r="Y28" s="350">
        <f>CS_PID!Y28/VLOOKUP($B28,표2[#ALL],2)</f>
        <v>0</v>
      </c>
      <c r="Z28" s="350">
        <f>CS_PID!Z28/VLOOKUP($B28,표2[#ALL],2)</f>
        <v>0</v>
      </c>
      <c r="AA28" s="350">
        <f>CS_PID!AA28/VLOOKUP($B28,표2[#ALL],2)</f>
        <v>0.02251683639</v>
      </c>
      <c r="AB28" s="350">
        <f>CS_PID!AB28/VLOOKUP($B28,표2[#ALL],2)</f>
        <v>0.05066288187</v>
      </c>
      <c r="AC28" s="350">
        <f>CS_PID!AC28/VLOOKUP($B28,표2[#ALL],2)</f>
        <v>0.005629209097</v>
      </c>
      <c r="AD28" s="350">
        <f>CS_PID!AD28/VLOOKUP($B28,표2[#ALL],2)</f>
        <v>0</v>
      </c>
      <c r="AE28" s="350">
        <f>CS_PID!AE28/VLOOKUP($B28,표2[#ALL],2)</f>
        <v>0</v>
      </c>
      <c r="AF28" s="350">
        <f>CS_PID!AF28/VLOOKUP($B28,표2[#ALL],2)</f>
        <v>0</v>
      </c>
      <c r="AG28" s="350">
        <f>CS_PID!AG28/VLOOKUP($B28,표2[#ALL],2)</f>
        <v>0.005629209097</v>
      </c>
      <c r="AH28" s="350">
        <f>CS_PID!AH28/VLOOKUP($B28,표2[#ALL],2)</f>
        <v>0.005629209097</v>
      </c>
      <c r="AI28" s="350">
        <f>CS_PID!AI28/VLOOKUP($B28,표2[#ALL],2)</f>
        <v>0</v>
      </c>
      <c r="AJ28" s="350">
        <f>CS_PID!AJ28/VLOOKUP($B28,표2[#ALL],2)</f>
        <v>0</v>
      </c>
      <c r="AK28" s="350">
        <f>CS_PID!AK28/VLOOKUP($B28,표2[#ALL],2)</f>
        <v>0</v>
      </c>
      <c r="AL28" s="350">
        <f>CS_PID!AL28/VLOOKUP($B28,표2[#ALL],2)</f>
        <v>0</v>
      </c>
      <c r="AM28" s="350">
        <f>CS_PID!AM28/VLOOKUP($B28,표2[#ALL],2)</f>
        <v>0</v>
      </c>
      <c r="AN28" s="350">
        <f>CS_PID!AN28/VLOOKUP($B28,표2[#ALL],2)</f>
        <v>0</v>
      </c>
      <c r="AO28" s="350">
        <f>CS_PID!AO28/VLOOKUP($B28,표2[#ALL],2)</f>
        <v>0</v>
      </c>
      <c r="AP28" s="350">
        <f>CS_PID!AP28/VLOOKUP($B28,표2[#ALL],2)</f>
        <v>0</v>
      </c>
      <c r="AQ28" s="350">
        <f>CS_PID!AQ28/VLOOKUP($B28,표2[#ALL],2)</f>
        <v>0</v>
      </c>
      <c r="AR28" s="350">
        <f>CS_PID!AR28/VLOOKUP($B28,표2[#ALL],2)</f>
        <v>0</v>
      </c>
      <c r="AS28" s="350">
        <f>CS_PID!AS28/VLOOKUP($B28,표2[#ALL],2)</f>
        <v>0</v>
      </c>
    </row>
    <row r="29">
      <c r="A29" s="141" t="s">
        <v>78</v>
      </c>
      <c r="B29" s="142">
        <v>285.0</v>
      </c>
      <c r="C29" s="350">
        <f>CS_PID!C29/VLOOKUP($B29,표2[#ALL],2)</f>
        <v>0</v>
      </c>
      <c r="D29" s="350">
        <f>CS_PID!D29/VLOOKUP($B29,표2[#ALL],2)</f>
        <v>0.04525902773</v>
      </c>
      <c r="E29" s="350">
        <f>CS_PID!E29/VLOOKUP($B29,표2[#ALL],2)</f>
        <v>0.007986887246</v>
      </c>
      <c r="F29" s="350">
        <f>CS_PID!F29/VLOOKUP($B29,표2[#ALL],2)</f>
        <v>0.002662295749</v>
      </c>
      <c r="G29" s="350">
        <f>CS_PID!G29/VLOOKUP($B29,표2[#ALL],2)</f>
        <v>0</v>
      </c>
      <c r="H29" s="350">
        <f>CS_PID!H29/VLOOKUP($B29,표2[#ALL],2)</f>
        <v>0.003993443623</v>
      </c>
      <c r="I29" s="350">
        <f>CS_PID!I29/VLOOKUP($B29,표2[#ALL],2)</f>
        <v>0.03594099261</v>
      </c>
      <c r="J29" s="350">
        <f>CS_PID!J29/VLOOKUP($B29,표2[#ALL],2)</f>
        <v>0.08519346395</v>
      </c>
      <c r="K29" s="350">
        <f>CS_PID!K29/VLOOKUP($B29,표2[#ALL],2)</f>
        <v>0.005324591497</v>
      </c>
      <c r="L29" s="350">
        <f>CS_PID!L29/VLOOKUP($B29,표2[#ALL],2)</f>
        <v>0</v>
      </c>
      <c r="M29" s="350">
        <f>CS_PID!M29/VLOOKUP($B29,표2[#ALL],2)</f>
        <v>0</v>
      </c>
      <c r="N29" s="350">
        <f>CS_PID!N29/VLOOKUP($B29,표2[#ALL],2)</f>
        <v>0.001331147874</v>
      </c>
      <c r="O29" s="350">
        <f>CS_PID!O29/VLOOKUP($B29,표2[#ALL],2)</f>
        <v>0.08120002033</v>
      </c>
      <c r="P29" s="350">
        <f>CS_PID!P29/VLOOKUP($B29,표2[#ALL],2)</f>
        <v>0.1051606821</v>
      </c>
      <c r="Q29" s="350">
        <f>CS_PID!Q29/VLOOKUP($B29,표2[#ALL],2)</f>
        <v>0.01597377449</v>
      </c>
      <c r="R29" s="350">
        <f>CS_PID!R29/VLOOKUP($B29,표2[#ALL],2)</f>
        <v>0</v>
      </c>
      <c r="S29" s="350">
        <f>CS_PID!S29/VLOOKUP($B29,표2[#ALL],2)</f>
        <v>0</v>
      </c>
      <c r="T29" s="350">
        <f>CS_PID!T29/VLOOKUP($B29,표2[#ALL],2)</f>
        <v>0</v>
      </c>
      <c r="U29" s="350">
        <f>CS_PID!U29/VLOOKUP($B29,표2[#ALL],2)</f>
        <v>0.05857050647</v>
      </c>
      <c r="V29" s="350">
        <f>CS_PID!V29/VLOOKUP($B29,표2[#ALL],2)</f>
        <v>0.1277901959</v>
      </c>
      <c r="W29" s="350">
        <f>CS_PID!W29/VLOOKUP($B29,표2[#ALL],2)</f>
        <v>0.003993443623</v>
      </c>
      <c r="X29" s="350">
        <f>CS_PID!X29/VLOOKUP($B29,표2[#ALL],2)</f>
        <v>0</v>
      </c>
      <c r="Y29" s="350">
        <f>CS_PID!Y29/VLOOKUP($B29,표2[#ALL],2)</f>
        <v>0</v>
      </c>
      <c r="Z29" s="350">
        <f>CS_PID!Z29/VLOOKUP($B29,표2[#ALL],2)</f>
        <v>0</v>
      </c>
      <c r="AA29" s="350">
        <f>CS_PID!AA29/VLOOKUP($B29,표2[#ALL],2)</f>
        <v>0.03061640111</v>
      </c>
      <c r="AB29" s="350">
        <f>CS_PID!AB29/VLOOKUP($B29,표2[#ALL],2)</f>
        <v>0.01464262662</v>
      </c>
      <c r="AC29" s="350">
        <f>CS_PID!AC29/VLOOKUP($B29,표2[#ALL],2)</f>
        <v>0.001331147874</v>
      </c>
      <c r="AD29" s="350">
        <f>CS_PID!AD29/VLOOKUP($B29,표2[#ALL],2)</f>
        <v>0</v>
      </c>
      <c r="AE29" s="350">
        <f>CS_PID!AE29/VLOOKUP($B29,표2[#ALL],2)</f>
        <v>0</v>
      </c>
      <c r="AF29" s="350">
        <f>CS_PID!AF29/VLOOKUP($B29,표2[#ALL],2)</f>
        <v>0</v>
      </c>
      <c r="AG29" s="350">
        <f>CS_PID!AG29/VLOOKUP($B29,표2[#ALL],2)</f>
        <v>0.006655739371</v>
      </c>
      <c r="AH29" s="350">
        <f>CS_PID!AH29/VLOOKUP($B29,표2[#ALL],2)</f>
        <v>0.002662295749</v>
      </c>
      <c r="AI29" s="350">
        <f>CS_PID!AI29/VLOOKUP($B29,표2[#ALL],2)</f>
        <v>0</v>
      </c>
      <c r="AJ29" s="350">
        <f>CS_PID!AJ29/VLOOKUP($B29,표2[#ALL],2)</f>
        <v>0</v>
      </c>
      <c r="AK29" s="350">
        <f>CS_PID!AK29/VLOOKUP($B29,표2[#ALL],2)</f>
        <v>0</v>
      </c>
      <c r="AL29" s="350">
        <f>CS_PID!AL29/VLOOKUP($B29,표2[#ALL],2)</f>
        <v>0.001331147874</v>
      </c>
      <c r="AM29" s="350">
        <f>CS_PID!AM29/VLOOKUP($B29,표2[#ALL],2)</f>
        <v>0</v>
      </c>
      <c r="AN29" s="350">
        <f>CS_PID!AN29/VLOOKUP($B29,표2[#ALL],2)</f>
        <v>0</v>
      </c>
      <c r="AO29" s="350">
        <f>CS_PID!AO29/VLOOKUP($B29,표2[#ALL],2)</f>
        <v>0</v>
      </c>
      <c r="AP29" s="350">
        <f>CS_PID!AP29/VLOOKUP($B29,표2[#ALL],2)</f>
        <v>0</v>
      </c>
      <c r="AQ29" s="350">
        <f>CS_PID!AQ29/VLOOKUP($B29,표2[#ALL],2)</f>
        <v>0</v>
      </c>
      <c r="AR29" s="350">
        <f>CS_PID!AR29/VLOOKUP($B29,표2[#ALL],2)</f>
        <v>0</v>
      </c>
      <c r="AS29" s="350">
        <f>CS_PID!AS29/VLOOKUP($B29,표2[#ALL],2)</f>
        <v>0</v>
      </c>
    </row>
    <row r="30">
      <c r="A30" s="141" t="s">
        <v>78</v>
      </c>
      <c r="B30" s="142">
        <v>286.0</v>
      </c>
      <c r="C30" s="350">
        <f>CS_PID!C30/VLOOKUP($B30,표2[#ALL],2)</f>
        <v>0</v>
      </c>
      <c r="D30" s="350">
        <f>CS_PID!D30/VLOOKUP($B30,표2[#ALL],2)</f>
        <v>0.05178074366</v>
      </c>
      <c r="E30" s="350">
        <f>CS_PID!E30/VLOOKUP($B30,표2[#ALL],2)</f>
        <v>0.03883555774</v>
      </c>
      <c r="F30" s="350">
        <f>CS_PID!F30/VLOOKUP($B30,표2[#ALL],2)</f>
        <v>0</v>
      </c>
      <c r="G30" s="350">
        <f>CS_PID!G30/VLOOKUP($B30,표2[#ALL],2)</f>
        <v>0</v>
      </c>
      <c r="H30" s="350">
        <f>CS_PID!H30/VLOOKUP($B30,표2[#ALL],2)</f>
        <v>0</v>
      </c>
      <c r="I30" s="350">
        <f>CS_PID!I30/VLOOKUP($B30,표2[#ALL],2)</f>
        <v>0.01294518591</v>
      </c>
      <c r="J30" s="350">
        <f>CS_PID!J30/VLOOKUP($B30,표2[#ALL],2)</f>
        <v>0.07767111549</v>
      </c>
      <c r="K30" s="350">
        <f>CS_PID!K30/VLOOKUP($B30,표2[#ALL],2)</f>
        <v>0.01294518591</v>
      </c>
      <c r="L30" s="350">
        <f>CS_PID!L30/VLOOKUP($B30,표2[#ALL],2)</f>
        <v>0</v>
      </c>
      <c r="M30" s="350">
        <f>CS_PID!M30/VLOOKUP($B30,표2[#ALL],2)</f>
        <v>0</v>
      </c>
      <c r="N30" s="350">
        <f>CS_PID!N30/VLOOKUP($B30,표2[#ALL],2)</f>
        <v>0</v>
      </c>
      <c r="O30" s="350">
        <f>CS_PID!O30/VLOOKUP($B30,표2[#ALL],2)</f>
        <v>0.02589037183</v>
      </c>
      <c r="P30" s="350">
        <f>CS_PID!P30/VLOOKUP($B30,표2[#ALL],2)</f>
        <v>0.0906163014</v>
      </c>
      <c r="Q30" s="350">
        <f>CS_PID!Q30/VLOOKUP($B30,표2[#ALL],2)</f>
        <v>0.02589037183</v>
      </c>
      <c r="R30" s="350">
        <f>CS_PID!R30/VLOOKUP($B30,표2[#ALL],2)</f>
        <v>0</v>
      </c>
      <c r="S30" s="350">
        <f>CS_PID!S30/VLOOKUP($B30,표2[#ALL],2)</f>
        <v>0</v>
      </c>
      <c r="T30" s="350">
        <f>CS_PID!T30/VLOOKUP($B30,표2[#ALL],2)</f>
        <v>0</v>
      </c>
      <c r="U30" s="350">
        <f>CS_PID!U30/VLOOKUP($B30,표2[#ALL],2)</f>
        <v>0.02589037183</v>
      </c>
      <c r="V30" s="350">
        <f>CS_PID!V30/VLOOKUP($B30,표2[#ALL],2)</f>
        <v>0.1035614873</v>
      </c>
      <c r="W30" s="350">
        <f>CS_PID!W30/VLOOKUP($B30,표2[#ALL],2)</f>
        <v>0.01294518591</v>
      </c>
      <c r="X30" s="350">
        <f>CS_PID!X30/VLOOKUP($B30,표2[#ALL],2)</f>
        <v>0</v>
      </c>
      <c r="Y30" s="350">
        <f>CS_PID!Y30/VLOOKUP($B30,표2[#ALL],2)</f>
        <v>0</v>
      </c>
      <c r="Z30" s="350">
        <f>CS_PID!Z30/VLOOKUP($B30,표2[#ALL],2)</f>
        <v>0</v>
      </c>
      <c r="AA30" s="350">
        <f>CS_PID!AA30/VLOOKUP($B30,표2[#ALL],2)</f>
        <v>0.03883555774</v>
      </c>
      <c r="AB30" s="350">
        <f>CS_PID!AB30/VLOOKUP($B30,표2[#ALL],2)</f>
        <v>0.02589037183</v>
      </c>
      <c r="AC30" s="350">
        <f>CS_PID!AC30/VLOOKUP($B30,표2[#ALL],2)</f>
        <v>0</v>
      </c>
      <c r="AD30" s="350">
        <f>CS_PID!AD30/VLOOKUP($B30,표2[#ALL],2)</f>
        <v>0</v>
      </c>
      <c r="AE30" s="350">
        <f>CS_PID!AE30/VLOOKUP($B30,표2[#ALL],2)</f>
        <v>0</v>
      </c>
      <c r="AF30" s="350">
        <f>CS_PID!AF30/VLOOKUP($B30,표2[#ALL],2)</f>
        <v>0</v>
      </c>
      <c r="AG30" s="350">
        <f>CS_PID!AG30/VLOOKUP($B30,표2[#ALL],2)</f>
        <v>0</v>
      </c>
      <c r="AH30" s="350">
        <f>CS_PID!AH30/VLOOKUP($B30,표2[#ALL],2)</f>
        <v>0</v>
      </c>
      <c r="AI30" s="350">
        <f>CS_PID!AI30/VLOOKUP($B30,표2[#ALL],2)</f>
        <v>0</v>
      </c>
      <c r="AJ30" s="350">
        <f>CS_PID!AJ30/VLOOKUP($B30,표2[#ALL],2)</f>
        <v>0</v>
      </c>
      <c r="AK30" s="350">
        <f>CS_PID!AK30/VLOOKUP($B30,표2[#ALL],2)</f>
        <v>0</v>
      </c>
      <c r="AL30" s="350">
        <f>CS_PID!AL30/VLOOKUP($B30,표2[#ALL],2)</f>
        <v>0</v>
      </c>
      <c r="AM30" s="350">
        <f>CS_PID!AM30/VLOOKUP($B30,표2[#ALL],2)</f>
        <v>0</v>
      </c>
      <c r="AN30" s="350">
        <f>CS_PID!AN30/VLOOKUP($B30,표2[#ALL],2)</f>
        <v>0</v>
      </c>
      <c r="AO30" s="350">
        <f>CS_PID!AO30/VLOOKUP($B30,표2[#ALL],2)</f>
        <v>0</v>
      </c>
      <c r="AP30" s="350">
        <f>CS_PID!AP30/VLOOKUP($B30,표2[#ALL],2)</f>
        <v>0</v>
      </c>
      <c r="AQ30" s="350">
        <f>CS_PID!AQ30/VLOOKUP($B30,표2[#ALL],2)</f>
        <v>0</v>
      </c>
      <c r="AR30" s="350">
        <f>CS_PID!AR30/VLOOKUP($B30,표2[#ALL],2)</f>
        <v>0</v>
      </c>
      <c r="AS30" s="350">
        <f>CS_PID!AS30/VLOOKUP($B30,표2[#ALL],2)</f>
        <v>0</v>
      </c>
    </row>
    <row r="31">
      <c r="A31" s="141" t="s">
        <v>78</v>
      </c>
      <c r="B31" s="142">
        <v>287.0</v>
      </c>
      <c r="C31" s="350">
        <f>CS_PID!C31/VLOOKUP($B31,표2[#ALL],2)</f>
        <v>0</v>
      </c>
      <c r="D31" s="350">
        <f>CS_PID!D31/VLOOKUP($B31,표2[#ALL],2)</f>
        <v>0.02852954654</v>
      </c>
      <c r="E31" s="350">
        <f>CS_PID!E31/VLOOKUP($B31,표2[#ALL],2)</f>
        <v>0.01426477327</v>
      </c>
      <c r="F31" s="350">
        <f>CS_PID!F31/VLOOKUP($B31,표2[#ALL],2)</f>
        <v>0</v>
      </c>
      <c r="G31" s="350">
        <f>CS_PID!G31/VLOOKUP($B31,표2[#ALL],2)</f>
        <v>0</v>
      </c>
      <c r="H31" s="350">
        <f>CS_PID!H31/VLOOKUP($B31,표2[#ALL],2)</f>
        <v>0</v>
      </c>
      <c r="I31" s="350">
        <f>CS_PID!I31/VLOOKUP($B31,표2[#ALL],2)</f>
        <v>0.01426477327</v>
      </c>
      <c r="J31" s="350">
        <f>CS_PID!J31/VLOOKUP($B31,표2[#ALL],2)</f>
        <v>0.04279431982</v>
      </c>
      <c r="K31" s="350">
        <f>CS_PID!K31/VLOOKUP($B31,표2[#ALL],2)</f>
        <v>0.01426477327</v>
      </c>
      <c r="L31" s="350">
        <f>CS_PID!L31/VLOOKUP($B31,표2[#ALL],2)</f>
        <v>0</v>
      </c>
      <c r="M31" s="350">
        <f>CS_PID!M31/VLOOKUP($B31,표2[#ALL],2)</f>
        <v>0</v>
      </c>
      <c r="N31" s="350">
        <f>CS_PID!N31/VLOOKUP($B31,표2[#ALL],2)</f>
        <v>0</v>
      </c>
      <c r="O31" s="350">
        <f>CS_PID!O31/VLOOKUP($B31,표2[#ALL],2)</f>
        <v>0.05705909309</v>
      </c>
      <c r="P31" s="350">
        <f>CS_PID!P31/VLOOKUP($B31,표2[#ALL],2)</f>
        <v>0.09985341291</v>
      </c>
      <c r="Q31" s="350">
        <f>CS_PID!Q31/VLOOKUP($B31,표2[#ALL],2)</f>
        <v>0</v>
      </c>
      <c r="R31" s="350">
        <f>CS_PID!R31/VLOOKUP($B31,표2[#ALL],2)</f>
        <v>0</v>
      </c>
      <c r="S31" s="350">
        <f>CS_PID!S31/VLOOKUP($B31,표2[#ALL],2)</f>
        <v>0</v>
      </c>
      <c r="T31" s="350">
        <f>CS_PID!T31/VLOOKUP($B31,표2[#ALL],2)</f>
        <v>0</v>
      </c>
      <c r="U31" s="350">
        <f>CS_PID!U31/VLOOKUP($B31,표2[#ALL],2)</f>
        <v>0.02852954654</v>
      </c>
      <c r="V31" s="350">
        <f>CS_PID!V31/VLOOKUP($B31,표2[#ALL],2)</f>
        <v>0.156912506</v>
      </c>
      <c r="W31" s="350">
        <f>CS_PID!W31/VLOOKUP($B31,표2[#ALL],2)</f>
        <v>0</v>
      </c>
      <c r="X31" s="350">
        <f>CS_PID!X31/VLOOKUP($B31,표2[#ALL],2)</f>
        <v>0</v>
      </c>
      <c r="Y31" s="350">
        <f>CS_PID!Y31/VLOOKUP($B31,표2[#ALL],2)</f>
        <v>0</v>
      </c>
      <c r="Z31" s="350">
        <f>CS_PID!Z31/VLOOKUP($B31,표2[#ALL],2)</f>
        <v>0</v>
      </c>
      <c r="AA31" s="350">
        <f>CS_PID!AA31/VLOOKUP($B31,표2[#ALL],2)</f>
        <v>0.05705909309</v>
      </c>
      <c r="AB31" s="350">
        <f>CS_PID!AB31/VLOOKUP($B31,표2[#ALL],2)</f>
        <v>0</v>
      </c>
      <c r="AC31" s="350">
        <f>CS_PID!AC31/VLOOKUP($B31,표2[#ALL],2)</f>
        <v>0</v>
      </c>
      <c r="AD31" s="350">
        <f>CS_PID!AD31/VLOOKUP($B31,표2[#ALL],2)</f>
        <v>0</v>
      </c>
      <c r="AE31" s="350">
        <f>CS_PID!AE31/VLOOKUP($B31,표2[#ALL],2)</f>
        <v>0</v>
      </c>
      <c r="AF31" s="350">
        <f>CS_PID!AF31/VLOOKUP($B31,표2[#ALL],2)</f>
        <v>0</v>
      </c>
      <c r="AG31" s="350">
        <f>CS_PID!AG31/VLOOKUP($B31,표2[#ALL],2)</f>
        <v>0.01426477327</v>
      </c>
      <c r="AH31" s="350">
        <f>CS_PID!AH31/VLOOKUP($B31,표2[#ALL],2)</f>
        <v>0</v>
      </c>
      <c r="AI31" s="350">
        <f>CS_PID!AI31/VLOOKUP($B31,표2[#ALL],2)</f>
        <v>0</v>
      </c>
      <c r="AJ31" s="350">
        <f>CS_PID!AJ31/VLOOKUP($B31,표2[#ALL],2)</f>
        <v>0</v>
      </c>
      <c r="AK31" s="350">
        <f>CS_PID!AK31/VLOOKUP($B31,표2[#ALL],2)</f>
        <v>0</v>
      </c>
      <c r="AL31" s="350">
        <f>CS_PID!AL31/VLOOKUP($B31,표2[#ALL],2)</f>
        <v>0</v>
      </c>
      <c r="AM31" s="350">
        <f>CS_PID!AM31/VLOOKUP($B31,표2[#ALL],2)</f>
        <v>0</v>
      </c>
      <c r="AN31" s="350">
        <f>CS_PID!AN31/VLOOKUP($B31,표2[#ALL],2)</f>
        <v>0</v>
      </c>
      <c r="AO31" s="350">
        <f>CS_PID!AO31/VLOOKUP($B31,표2[#ALL],2)</f>
        <v>0</v>
      </c>
      <c r="AP31" s="350">
        <f>CS_PID!AP31/VLOOKUP($B31,표2[#ALL],2)</f>
        <v>0</v>
      </c>
      <c r="AQ31" s="350">
        <f>CS_PID!AQ31/VLOOKUP($B31,표2[#ALL],2)</f>
        <v>0</v>
      </c>
      <c r="AR31" s="350">
        <f>CS_PID!AR31/VLOOKUP($B31,표2[#ALL],2)</f>
        <v>0</v>
      </c>
      <c r="AS31" s="350">
        <f>CS_PID!AS31/VLOOKUP($B31,표2[#ALL],2)</f>
        <v>0</v>
      </c>
    </row>
    <row r="32">
      <c r="A32" s="141" t="s">
        <v>78</v>
      </c>
      <c r="B32" s="142">
        <v>289.0</v>
      </c>
      <c r="C32" s="350">
        <f>CS_PID!C32/VLOOKUP($B32,표2[#ALL],2)</f>
        <v>0.001206381142</v>
      </c>
      <c r="D32" s="350">
        <f>CS_PID!D32/VLOOKUP($B32,표2[#ALL],2)</f>
        <v>0.04342972113</v>
      </c>
      <c r="E32" s="350">
        <f>CS_PID!E32/VLOOKUP($B32,표2[#ALL],2)</f>
        <v>0.007238286855</v>
      </c>
      <c r="F32" s="350">
        <f>CS_PID!F32/VLOOKUP($B32,표2[#ALL],2)</f>
        <v>0.003619143427</v>
      </c>
      <c r="G32" s="350">
        <f>CS_PID!G32/VLOOKUP($B32,표2[#ALL],2)</f>
        <v>0</v>
      </c>
      <c r="H32" s="350">
        <f>CS_PID!H32/VLOOKUP($B32,표2[#ALL],2)</f>
        <v>0.003619143427</v>
      </c>
      <c r="I32" s="350">
        <f>CS_PID!I32/VLOOKUP($B32,표2[#ALL],2)</f>
        <v>0.03498505313</v>
      </c>
      <c r="J32" s="350">
        <f>CS_PID!J32/VLOOKUP($B32,표2[#ALL],2)</f>
        <v>0.07600201197</v>
      </c>
      <c r="K32" s="350">
        <f>CS_PID!K32/VLOOKUP($B32,표2[#ALL],2)</f>
        <v>0.00482552457</v>
      </c>
      <c r="L32" s="350">
        <f>CS_PID!L32/VLOOKUP($B32,표2[#ALL],2)</f>
        <v>0</v>
      </c>
      <c r="M32" s="350">
        <f>CS_PID!M32/VLOOKUP($B32,표2[#ALL],2)</f>
        <v>0</v>
      </c>
      <c r="N32" s="350">
        <f>CS_PID!N32/VLOOKUP($B32,표2[#ALL],2)</f>
        <v>0</v>
      </c>
      <c r="O32" s="350">
        <f>CS_PID!O32/VLOOKUP($B32,표2[#ALL],2)</f>
        <v>0.05790629484</v>
      </c>
      <c r="P32" s="350">
        <f>CS_PID!P32/VLOOKUP($B32,표2[#ALL],2)</f>
        <v>0.09409772911</v>
      </c>
      <c r="Q32" s="350">
        <f>CS_PID!Q32/VLOOKUP($B32,표2[#ALL],2)</f>
        <v>0.008444667997</v>
      </c>
      <c r="R32" s="350">
        <f>CS_PID!R32/VLOOKUP($B32,표2[#ALL],2)</f>
        <v>0</v>
      </c>
      <c r="S32" s="350">
        <f>CS_PID!S32/VLOOKUP($B32,표2[#ALL],2)</f>
        <v>0</v>
      </c>
      <c r="T32" s="350">
        <f>CS_PID!T32/VLOOKUP($B32,표2[#ALL],2)</f>
        <v>0</v>
      </c>
      <c r="U32" s="350">
        <f>CS_PID!U32/VLOOKUP($B32,표2[#ALL],2)</f>
        <v>0.05911267598</v>
      </c>
      <c r="V32" s="350">
        <f>CS_PID!V32/VLOOKUP($B32,표2[#ALL],2)</f>
        <v>0.1254636388</v>
      </c>
      <c r="W32" s="350">
        <f>CS_PID!W32/VLOOKUP($B32,표2[#ALL],2)</f>
        <v>0.00482552457</v>
      </c>
      <c r="X32" s="350">
        <f>CS_PID!X32/VLOOKUP($B32,표2[#ALL],2)</f>
        <v>0</v>
      </c>
      <c r="Y32" s="350">
        <f>CS_PID!Y32/VLOOKUP($B32,표2[#ALL],2)</f>
        <v>0</v>
      </c>
      <c r="Z32" s="350">
        <f>CS_PID!Z32/VLOOKUP($B32,표2[#ALL],2)</f>
        <v>0.001206381142</v>
      </c>
      <c r="AA32" s="350">
        <f>CS_PID!AA32/VLOOKUP($B32,표2[#ALL],2)</f>
        <v>0.02533400399</v>
      </c>
      <c r="AB32" s="350">
        <f>CS_PID!AB32/VLOOKUP($B32,표2[#ALL],2)</f>
        <v>0.02292124171</v>
      </c>
      <c r="AC32" s="350">
        <f>CS_PID!AC32/VLOOKUP($B32,표2[#ALL],2)</f>
        <v>0.001206381142</v>
      </c>
      <c r="AD32" s="350">
        <f>CS_PID!AD32/VLOOKUP($B32,표2[#ALL],2)</f>
        <v>0</v>
      </c>
      <c r="AE32" s="350">
        <f>CS_PID!AE32/VLOOKUP($B32,표2[#ALL],2)</f>
        <v>0</v>
      </c>
      <c r="AF32" s="350">
        <f>CS_PID!AF32/VLOOKUP($B32,표2[#ALL],2)</f>
        <v>0</v>
      </c>
      <c r="AG32" s="350">
        <f>CS_PID!AG32/VLOOKUP($B32,표2[#ALL],2)</f>
        <v>0.003619143427</v>
      </c>
      <c r="AH32" s="350">
        <f>CS_PID!AH32/VLOOKUP($B32,표2[#ALL],2)</f>
        <v>0</v>
      </c>
      <c r="AI32" s="350">
        <f>CS_PID!AI32/VLOOKUP($B32,표2[#ALL],2)</f>
        <v>0</v>
      </c>
      <c r="AJ32" s="350">
        <f>CS_PID!AJ32/VLOOKUP($B32,표2[#ALL],2)</f>
        <v>0</v>
      </c>
      <c r="AK32" s="350">
        <f>CS_PID!AK32/VLOOKUP($B32,표2[#ALL],2)</f>
        <v>0</v>
      </c>
      <c r="AL32" s="350">
        <f>CS_PID!AL32/VLOOKUP($B32,표2[#ALL],2)</f>
        <v>0</v>
      </c>
      <c r="AM32" s="350">
        <f>CS_PID!AM32/VLOOKUP($B32,표2[#ALL],2)</f>
        <v>0</v>
      </c>
      <c r="AN32" s="350">
        <f>CS_PID!AN32/VLOOKUP($B32,표2[#ALL],2)</f>
        <v>0</v>
      </c>
      <c r="AO32" s="350">
        <f>CS_PID!AO32/VLOOKUP($B32,표2[#ALL],2)</f>
        <v>0</v>
      </c>
      <c r="AP32" s="350">
        <f>CS_PID!AP32/VLOOKUP($B32,표2[#ALL],2)</f>
        <v>0</v>
      </c>
      <c r="AQ32" s="350">
        <f>CS_PID!AQ32/VLOOKUP($B32,표2[#ALL],2)</f>
        <v>0</v>
      </c>
      <c r="AR32" s="350">
        <f>CS_PID!AR32/VLOOKUP($B32,표2[#ALL],2)</f>
        <v>0</v>
      </c>
      <c r="AS32" s="350">
        <f>CS_PID!AS32/VLOOKUP($B32,표2[#ALL],2)</f>
        <v>0</v>
      </c>
    </row>
    <row r="33">
      <c r="A33" s="141" t="s">
        <v>78</v>
      </c>
      <c r="B33" s="142">
        <v>290.0</v>
      </c>
      <c r="C33" s="350">
        <f>CS_PID!C33/VLOOKUP($B33,표2[#ALL],2)</f>
        <v>0</v>
      </c>
      <c r="D33" s="350">
        <f>CS_PID!D33/VLOOKUP($B33,표2[#ALL],2)</f>
        <v>0.0317470329</v>
      </c>
      <c r="E33" s="350">
        <f>CS_PID!E33/VLOOKUP($B33,표2[#ALL],2)</f>
        <v>0.0144304695</v>
      </c>
      <c r="F33" s="350">
        <f>CS_PID!F33/VLOOKUP($B33,표2[#ALL],2)</f>
        <v>0</v>
      </c>
      <c r="G33" s="350">
        <f>CS_PID!G33/VLOOKUP($B33,표2[#ALL],2)</f>
        <v>0</v>
      </c>
      <c r="H33" s="350">
        <f>CS_PID!H33/VLOOKUP($B33,표2[#ALL],2)</f>
        <v>0.0028860939</v>
      </c>
      <c r="I33" s="350">
        <f>CS_PID!I33/VLOOKUP($B33,표2[#ALL],2)</f>
        <v>0.03896226765</v>
      </c>
      <c r="J33" s="350">
        <f>CS_PID!J33/VLOOKUP($B33,표2[#ALL],2)</f>
        <v>0.0606079719</v>
      </c>
      <c r="K33" s="350">
        <f>CS_PID!K33/VLOOKUP($B33,표2[#ALL],2)</f>
        <v>0.0057721878</v>
      </c>
      <c r="L33" s="350">
        <f>CS_PID!L33/VLOOKUP($B33,표2[#ALL],2)</f>
        <v>0</v>
      </c>
      <c r="M33" s="350">
        <f>CS_PID!M33/VLOOKUP($B33,표2[#ALL],2)</f>
        <v>0</v>
      </c>
      <c r="N33" s="350">
        <f>CS_PID!N33/VLOOKUP($B33,표2[#ALL],2)</f>
        <v>0</v>
      </c>
      <c r="O33" s="350">
        <f>CS_PID!O33/VLOOKUP($B33,표2[#ALL],2)</f>
        <v>0.08225367615</v>
      </c>
      <c r="P33" s="350">
        <f>CS_PID!P33/VLOOKUP($B33,표2[#ALL],2)</f>
        <v>0.0894689109</v>
      </c>
      <c r="Q33" s="350">
        <f>CS_PID!Q33/VLOOKUP($B33,표2[#ALL],2)</f>
        <v>0.0202026573</v>
      </c>
      <c r="R33" s="350">
        <f>CS_PID!R33/VLOOKUP($B33,표2[#ALL],2)</f>
        <v>0</v>
      </c>
      <c r="S33" s="350">
        <f>CS_PID!S33/VLOOKUP($B33,표2[#ALL],2)</f>
        <v>0</v>
      </c>
      <c r="T33" s="350">
        <f>CS_PID!T33/VLOOKUP($B33,표2[#ALL],2)</f>
        <v>0</v>
      </c>
      <c r="U33" s="350">
        <f>CS_PID!U33/VLOOKUP($B33,표2[#ALL],2)</f>
        <v>0.05050664325</v>
      </c>
      <c r="V33" s="350">
        <f>CS_PID!V33/VLOOKUP($B33,표2[#ALL],2)</f>
        <v>0.1313172724</v>
      </c>
      <c r="W33" s="350">
        <f>CS_PID!W33/VLOOKUP($B33,표2[#ALL],2)</f>
        <v>0.0028860939</v>
      </c>
      <c r="X33" s="350">
        <f>CS_PID!X33/VLOOKUP($B33,표2[#ALL],2)</f>
        <v>0</v>
      </c>
      <c r="Y33" s="350">
        <f>CS_PID!Y33/VLOOKUP($B33,표2[#ALL],2)</f>
        <v>0</v>
      </c>
      <c r="Z33" s="350">
        <f>CS_PID!Z33/VLOOKUP($B33,표2[#ALL],2)</f>
        <v>0</v>
      </c>
      <c r="AA33" s="350">
        <f>CS_PID!AA33/VLOOKUP($B33,표2[#ALL],2)</f>
        <v>0.03319007985</v>
      </c>
      <c r="AB33" s="350">
        <f>CS_PID!AB33/VLOOKUP($B33,표2[#ALL],2)</f>
        <v>0.0144304695</v>
      </c>
      <c r="AC33" s="350">
        <f>CS_PID!AC33/VLOOKUP($B33,표2[#ALL],2)</f>
        <v>0.0028860939</v>
      </c>
      <c r="AD33" s="350">
        <f>CS_PID!AD33/VLOOKUP($B33,표2[#ALL],2)</f>
        <v>0</v>
      </c>
      <c r="AE33" s="350">
        <f>CS_PID!AE33/VLOOKUP($B33,표2[#ALL],2)</f>
        <v>0</v>
      </c>
      <c r="AF33" s="350">
        <f>CS_PID!AF33/VLOOKUP($B33,표2[#ALL],2)</f>
        <v>0</v>
      </c>
      <c r="AG33" s="350">
        <f>CS_PID!AG33/VLOOKUP($B33,표2[#ALL],2)</f>
        <v>0.00721523475</v>
      </c>
      <c r="AH33" s="350">
        <f>CS_PID!AH33/VLOOKUP($B33,표2[#ALL],2)</f>
        <v>0.00144304695</v>
      </c>
      <c r="AI33" s="350">
        <f>CS_PID!AI33/VLOOKUP($B33,표2[#ALL],2)</f>
        <v>0</v>
      </c>
      <c r="AJ33" s="350">
        <f>CS_PID!AJ33/VLOOKUP($B33,표2[#ALL],2)</f>
        <v>0</v>
      </c>
      <c r="AK33" s="350">
        <f>CS_PID!AK33/VLOOKUP($B33,표2[#ALL],2)</f>
        <v>0</v>
      </c>
      <c r="AL33" s="350">
        <f>CS_PID!AL33/VLOOKUP($B33,표2[#ALL],2)</f>
        <v>0</v>
      </c>
      <c r="AM33" s="350">
        <f>CS_PID!AM33/VLOOKUP($B33,표2[#ALL],2)</f>
        <v>0</v>
      </c>
      <c r="AN33" s="350">
        <f>CS_PID!AN33/VLOOKUP($B33,표2[#ALL],2)</f>
        <v>0</v>
      </c>
      <c r="AO33" s="350">
        <f>CS_PID!AO33/VLOOKUP($B33,표2[#ALL],2)</f>
        <v>0</v>
      </c>
      <c r="AP33" s="350">
        <f>CS_PID!AP33/VLOOKUP($B33,표2[#ALL],2)</f>
        <v>0</v>
      </c>
      <c r="AQ33" s="350">
        <f>CS_PID!AQ33/VLOOKUP($B33,표2[#ALL],2)</f>
        <v>0</v>
      </c>
      <c r="AR33" s="350">
        <f>CS_PID!AR33/VLOOKUP($B33,표2[#ALL],2)</f>
        <v>0</v>
      </c>
      <c r="AS33" s="350">
        <f>CS_PID!AS33/VLOOKUP($B33,표2[#ALL],2)</f>
        <v>0</v>
      </c>
    </row>
    <row r="34">
      <c r="A34" s="141" t="s">
        <v>78</v>
      </c>
      <c r="B34" s="142">
        <v>291.0</v>
      </c>
      <c r="C34" s="350">
        <f>CS_PID!C34/VLOOKUP($B34,표2[#ALL],2)</f>
        <v>0</v>
      </c>
      <c r="D34" s="350">
        <f>CS_PID!D34/VLOOKUP($B34,표2[#ALL],2)</f>
        <v>0.02117595539</v>
      </c>
      <c r="E34" s="350">
        <f>CS_PID!E34/VLOOKUP($B34,표2[#ALL],2)</f>
        <v>0.0105879777</v>
      </c>
      <c r="F34" s="350">
        <f>CS_PID!F34/VLOOKUP($B34,표2[#ALL],2)</f>
        <v>0</v>
      </c>
      <c r="G34" s="350">
        <f>CS_PID!G34/VLOOKUP($B34,표2[#ALL],2)</f>
        <v>0</v>
      </c>
      <c r="H34" s="350">
        <f>CS_PID!H34/VLOOKUP($B34,표2[#ALL],2)</f>
        <v>0</v>
      </c>
      <c r="I34" s="350">
        <f>CS_PID!I34/VLOOKUP($B34,표2[#ALL],2)</f>
        <v>0.05293988849</v>
      </c>
      <c r="J34" s="350">
        <f>CS_PID!J34/VLOOKUP($B34,표2[#ALL],2)</f>
        <v>0.03176393309</v>
      </c>
      <c r="K34" s="350">
        <f>CS_PID!K34/VLOOKUP($B34,표2[#ALL],2)</f>
        <v>0</v>
      </c>
      <c r="L34" s="350">
        <f>CS_PID!L34/VLOOKUP($B34,표2[#ALL],2)</f>
        <v>0</v>
      </c>
      <c r="M34" s="350">
        <f>CS_PID!M34/VLOOKUP($B34,표2[#ALL],2)</f>
        <v>0</v>
      </c>
      <c r="N34" s="350">
        <f>CS_PID!N34/VLOOKUP($B34,표2[#ALL],2)</f>
        <v>0</v>
      </c>
      <c r="O34" s="350">
        <f>CS_PID!O34/VLOOKUP($B34,표2[#ALL],2)</f>
        <v>0.05293988849</v>
      </c>
      <c r="P34" s="350">
        <f>CS_PID!P34/VLOOKUP($B34,표2[#ALL],2)</f>
        <v>0.09529179928</v>
      </c>
      <c r="Q34" s="350">
        <f>CS_PID!Q34/VLOOKUP($B34,표2[#ALL],2)</f>
        <v>0.02117595539</v>
      </c>
      <c r="R34" s="350">
        <f>CS_PID!R34/VLOOKUP($B34,표2[#ALL],2)</f>
        <v>0</v>
      </c>
      <c r="S34" s="350">
        <f>CS_PID!S34/VLOOKUP($B34,표2[#ALL],2)</f>
        <v>0</v>
      </c>
      <c r="T34" s="350">
        <f>CS_PID!T34/VLOOKUP($B34,표2[#ALL],2)</f>
        <v>0</v>
      </c>
      <c r="U34" s="350">
        <f>CS_PID!U34/VLOOKUP($B34,표2[#ALL],2)</f>
        <v>0.06352786618</v>
      </c>
      <c r="V34" s="350">
        <f>CS_PID!V34/VLOOKUP($B34,표2[#ALL],2)</f>
        <v>0.09529179928</v>
      </c>
      <c r="W34" s="350">
        <f>CS_PID!W34/VLOOKUP($B34,표2[#ALL],2)</f>
        <v>0</v>
      </c>
      <c r="X34" s="350">
        <f>CS_PID!X34/VLOOKUP($B34,표2[#ALL],2)</f>
        <v>0</v>
      </c>
      <c r="Y34" s="350">
        <f>CS_PID!Y34/VLOOKUP($B34,표2[#ALL],2)</f>
        <v>0</v>
      </c>
      <c r="Z34" s="350">
        <f>CS_PID!Z34/VLOOKUP($B34,표2[#ALL],2)</f>
        <v>0</v>
      </c>
      <c r="AA34" s="350">
        <f>CS_PID!AA34/VLOOKUP($B34,표2[#ALL],2)</f>
        <v>0.02117595539</v>
      </c>
      <c r="AB34" s="350">
        <f>CS_PID!AB34/VLOOKUP($B34,표2[#ALL],2)</f>
        <v>0</v>
      </c>
      <c r="AC34" s="350">
        <f>CS_PID!AC34/VLOOKUP($B34,표2[#ALL],2)</f>
        <v>0</v>
      </c>
      <c r="AD34" s="350">
        <f>CS_PID!AD34/VLOOKUP($B34,표2[#ALL],2)</f>
        <v>0</v>
      </c>
      <c r="AE34" s="350">
        <f>CS_PID!AE34/VLOOKUP($B34,표2[#ALL],2)</f>
        <v>0</v>
      </c>
      <c r="AF34" s="350">
        <f>CS_PID!AF34/VLOOKUP($B34,표2[#ALL],2)</f>
        <v>0</v>
      </c>
      <c r="AG34" s="350">
        <f>CS_PID!AG34/VLOOKUP($B34,표2[#ALL],2)</f>
        <v>0.02117595539</v>
      </c>
      <c r="AH34" s="350">
        <f>CS_PID!AH34/VLOOKUP($B34,표2[#ALL],2)</f>
        <v>0</v>
      </c>
      <c r="AI34" s="350">
        <f>CS_PID!AI34/VLOOKUP($B34,표2[#ALL],2)</f>
        <v>0</v>
      </c>
      <c r="AJ34" s="350">
        <f>CS_PID!AJ34/VLOOKUP($B34,표2[#ALL],2)</f>
        <v>0</v>
      </c>
      <c r="AK34" s="350">
        <f>CS_PID!AK34/VLOOKUP($B34,표2[#ALL],2)</f>
        <v>0</v>
      </c>
      <c r="AL34" s="350">
        <f>CS_PID!AL34/VLOOKUP($B34,표2[#ALL],2)</f>
        <v>0</v>
      </c>
      <c r="AM34" s="350">
        <f>CS_PID!AM34/VLOOKUP($B34,표2[#ALL],2)</f>
        <v>0</v>
      </c>
      <c r="AN34" s="350">
        <f>CS_PID!AN34/VLOOKUP($B34,표2[#ALL],2)</f>
        <v>0</v>
      </c>
      <c r="AO34" s="350">
        <f>CS_PID!AO34/VLOOKUP($B34,표2[#ALL],2)</f>
        <v>0</v>
      </c>
      <c r="AP34" s="350">
        <f>CS_PID!AP34/VLOOKUP($B34,표2[#ALL],2)</f>
        <v>0</v>
      </c>
      <c r="AQ34" s="350">
        <f>CS_PID!AQ34/VLOOKUP($B34,표2[#ALL],2)</f>
        <v>0</v>
      </c>
      <c r="AR34" s="350">
        <f>CS_PID!AR34/VLOOKUP($B34,표2[#ALL],2)</f>
        <v>0</v>
      </c>
      <c r="AS34" s="350">
        <f>CS_PID!AS34/VLOOKUP($B34,표2[#ALL],2)</f>
        <v>0</v>
      </c>
    </row>
    <row r="35">
      <c r="A35" s="141" t="s">
        <v>78</v>
      </c>
      <c r="B35" s="142">
        <v>292.0</v>
      </c>
      <c r="C35" s="350">
        <f>CS_PID!C35/VLOOKUP($B35,표2[#ALL],2)</f>
        <v>0.004686075689</v>
      </c>
      <c r="D35" s="350">
        <f>CS_PID!D35/VLOOKUP($B35,표2[#ALL],2)</f>
        <v>0.03280252982</v>
      </c>
      <c r="E35" s="350">
        <f>CS_PID!E35/VLOOKUP($B35,표2[#ALL],2)</f>
        <v>0.004686075689</v>
      </c>
      <c r="F35" s="350">
        <f>CS_PID!F35/VLOOKUP($B35,표2[#ALL],2)</f>
        <v>0</v>
      </c>
      <c r="G35" s="350">
        <f>CS_PID!G35/VLOOKUP($B35,표2[#ALL],2)</f>
        <v>0</v>
      </c>
      <c r="H35" s="350">
        <f>CS_PID!H35/VLOOKUP($B35,표2[#ALL],2)</f>
        <v>0.01405822707</v>
      </c>
      <c r="I35" s="350">
        <f>CS_PID!I35/VLOOKUP($B35,표2[#ALL],2)</f>
        <v>0.01405822707</v>
      </c>
      <c r="J35" s="350">
        <f>CS_PID!J35/VLOOKUP($B35,표2[#ALL],2)</f>
        <v>0.07029113534</v>
      </c>
      <c r="K35" s="350">
        <f>CS_PID!K35/VLOOKUP($B35,표2[#ALL],2)</f>
        <v>0</v>
      </c>
      <c r="L35" s="350">
        <f>CS_PID!L35/VLOOKUP($B35,표2[#ALL],2)</f>
        <v>0</v>
      </c>
      <c r="M35" s="350">
        <f>CS_PID!M35/VLOOKUP($B35,표2[#ALL],2)</f>
        <v>0</v>
      </c>
      <c r="N35" s="350">
        <f>CS_PID!N35/VLOOKUP($B35,표2[#ALL],2)</f>
        <v>0</v>
      </c>
      <c r="O35" s="350">
        <f>CS_PID!O35/VLOOKUP($B35,표2[#ALL],2)</f>
        <v>0.05623290827</v>
      </c>
      <c r="P35" s="350">
        <f>CS_PID!P35/VLOOKUP($B35,표2[#ALL],2)</f>
        <v>0.0890354381</v>
      </c>
      <c r="Q35" s="350">
        <f>CS_PID!Q35/VLOOKUP($B35,표2[#ALL],2)</f>
        <v>0.009372151379</v>
      </c>
      <c r="R35" s="350">
        <f>CS_PID!R35/VLOOKUP($B35,표2[#ALL],2)</f>
        <v>0</v>
      </c>
      <c r="S35" s="350">
        <f>CS_PID!S35/VLOOKUP($B35,표2[#ALL],2)</f>
        <v>0</v>
      </c>
      <c r="T35" s="350">
        <f>CS_PID!T35/VLOOKUP($B35,표2[#ALL],2)</f>
        <v>0</v>
      </c>
      <c r="U35" s="350">
        <f>CS_PID!U35/VLOOKUP($B35,표2[#ALL],2)</f>
        <v>0.07029113534</v>
      </c>
      <c r="V35" s="350">
        <f>CS_PID!V35/VLOOKUP($B35,표2[#ALL],2)</f>
        <v>0.1312101193</v>
      </c>
      <c r="W35" s="350">
        <f>CS_PID!W35/VLOOKUP($B35,표2[#ALL],2)</f>
        <v>0.004686075689</v>
      </c>
      <c r="X35" s="350">
        <f>CS_PID!X35/VLOOKUP($B35,표2[#ALL],2)</f>
        <v>0</v>
      </c>
      <c r="Y35" s="350">
        <f>CS_PID!Y35/VLOOKUP($B35,표2[#ALL],2)</f>
        <v>0</v>
      </c>
      <c r="Z35" s="350">
        <f>CS_PID!Z35/VLOOKUP($B35,표2[#ALL],2)</f>
        <v>0</v>
      </c>
      <c r="AA35" s="350">
        <f>CS_PID!AA35/VLOOKUP($B35,표2[#ALL],2)</f>
        <v>0.009372151379</v>
      </c>
      <c r="AB35" s="350">
        <f>CS_PID!AB35/VLOOKUP($B35,표2[#ALL],2)</f>
        <v>0.0421746812</v>
      </c>
      <c r="AC35" s="350">
        <f>CS_PID!AC35/VLOOKUP($B35,표2[#ALL],2)</f>
        <v>0.004686075689</v>
      </c>
      <c r="AD35" s="350">
        <f>CS_PID!AD35/VLOOKUP($B35,표2[#ALL],2)</f>
        <v>0</v>
      </c>
      <c r="AE35" s="350">
        <f>CS_PID!AE35/VLOOKUP($B35,표2[#ALL],2)</f>
        <v>0</v>
      </c>
      <c r="AF35" s="350">
        <f>CS_PID!AF35/VLOOKUP($B35,표2[#ALL],2)</f>
        <v>0</v>
      </c>
      <c r="AG35" s="350">
        <f>CS_PID!AG35/VLOOKUP($B35,표2[#ALL],2)</f>
        <v>0</v>
      </c>
      <c r="AH35" s="350">
        <f>CS_PID!AH35/VLOOKUP($B35,표2[#ALL],2)</f>
        <v>0</v>
      </c>
      <c r="AI35" s="350">
        <f>CS_PID!AI35/VLOOKUP($B35,표2[#ALL],2)</f>
        <v>0</v>
      </c>
      <c r="AJ35" s="350">
        <f>CS_PID!AJ35/VLOOKUP($B35,표2[#ALL],2)</f>
        <v>0</v>
      </c>
      <c r="AK35" s="350">
        <f>CS_PID!AK35/VLOOKUP($B35,표2[#ALL],2)</f>
        <v>0</v>
      </c>
      <c r="AL35" s="350">
        <f>CS_PID!AL35/VLOOKUP($B35,표2[#ALL],2)</f>
        <v>0</v>
      </c>
      <c r="AM35" s="350">
        <f>CS_PID!AM35/VLOOKUP($B35,표2[#ALL],2)</f>
        <v>0</v>
      </c>
      <c r="AN35" s="350">
        <f>CS_PID!AN35/VLOOKUP($B35,표2[#ALL],2)</f>
        <v>0</v>
      </c>
      <c r="AO35" s="350">
        <f>CS_PID!AO35/VLOOKUP($B35,표2[#ALL],2)</f>
        <v>0</v>
      </c>
      <c r="AP35" s="350">
        <f>CS_PID!AP35/VLOOKUP($B35,표2[#ALL],2)</f>
        <v>0</v>
      </c>
      <c r="AQ35" s="350">
        <f>CS_PID!AQ35/VLOOKUP($B35,표2[#ALL],2)</f>
        <v>0</v>
      </c>
      <c r="AR35" s="350">
        <f>CS_PID!AR35/VLOOKUP($B35,표2[#ALL],2)</f>
        <v>0</v>
      </c>
      <c r="AS35" s="350">
        <f>CS_PID!AS35/VLOOKUP($B35,표2[#ALL],2)</f>
        <v>0</v>
      </c>
    </row>
    <row r="36">
      <c r="A36" s="141" t="s">
        <v>78</v>
      </c>
      <c r="B36" s="142">
        <v>293.0</v>
      </c>
      <c r="C36" s="350">
        <f>CS_PID!C36/VLOOKUP($B36,표2[#ALL],2)</f>
        <v>0.001365913962</v>
      </c>
      <c r="D36" s="350">
        <f>CS_PID!D36/VLOOKUP($B36,표2[#ALL],2)</f>
        <v>0.03278193508</v>
      </c>
      <c r="E36" s="350">
        <f>CS_PID!E36/VLOOKUP($B36,표2[#ALL],2)</f>
        <v>0.01092731169</v>
      </c>
      <c r="F36" s="350">
        <f>CS_PID!F36/VLOOKUP($B36,표2[#ALL],2)</f>
        <v>0.001365913962</v>
      </c>
      <c r="G36" s="350">
        <f>CS_PID!G36/VLOOKUP($B36,표2[#ALL],2)</f>
        <v>0</v>
      </c>
      <c r="H36" s="350">
        <f>CS_PID!H36/VLOOKUP($B36,표2[#ALL],2)</f>
        <v>0.008195483771</v>
      </c>
      <c r="I36" s="350">
        <f>CS_PID!I36/VLOOKUP($B36,표2[#ALL],2)</f>
        <v>0.03961150489</v>
      </c>
      <c r="J36" s="350">
        <f>CS_PID!J36/VLOOKUP($B36,표2[#ALL],2)</f>
        <v>0.06283204224</v>
      </c>
      <c r="K36" s="350">
        <f>CS_PID!K36/VLOOKUP($B36,표2[#ALL],2)</f>
        <v>0.008195483771</v>
      </c>
      <c r="L36" s="350">
        <f>CS_PID!L36/VLOOKUP($B36,표2[#ALL],2)</f>
        <v>0</v>
      </c>
      <c r="M36" s="350">
        <f>CS_PID!M36/VLOOKUP($B36,표2[#ALL],2)</f>
        <v>0</v>
      </c>
      <c r="N36" s="350">
        <f>CS_PID!N36/VLOOKUP($B36,표2[#ALL],2)</f>
        <v>0</v>
      </c>
      <c r="O36" s="350">
        <f>CS_PID!O36/VLOOKUP($B36,표2[#ALL],2)</f>
        <v>0.07922300979</v>
      </c>
      <c r="P36" s="350">
        <f>CS_PID!P36/VLOOKUP($B36,표2[#ALL],2)</f>
        <v>0.08468666563</v>
      </c>
      <c r="Q36" s="350">
        <f>CS_PID!Q36/VLOOKUP($B36,표2[#ALL],2)</f>
        <v>0.01092731169</v>
      </c>
      <c r="R36" s="350">
        <f>CS_PID!R36/VLOOKUP($B36,표2[#ALL],2)</f>
        <v>0</v>
      </c>
      <c r="S36" s="350">
        <f>CS_PID!S36/VLOOKUP($B36,표2[#ALL],2)</f>
        <v>0</v>
      </c>
      <c r="T36" s="350">
        <f>CS_PID!T36/VLOOKUP($B36,표2[#ALL],2)</f>
        <v>0.002731827924</v>
      </c>
      <c r="U36" s="350">
        <f>CS_PID!U36/VLOOKUP($B36,표2[#ALL],2)</f>
        <v>0.05600247244</v>
      </c>
      <c r="V36" s="350">
        <f>CS_PID!V36/VLOOKUP($B36,표2[#ALL],2)</f>
        <v>0.09424806337</v>
      </c>
      <c r="W36" s="350">
        <f>CS_PID!W36/VLOOKUP($B36,표2[#ALL],2)</f>
        <v>0.002731827924</v>
      </c>
      <c r="X36" s="350">
        <f>CS_PID!X36/VLOOKUP($B36,표2[#ALL],2)</f>
        <v>0</v>
      </c>
      <c r="Y36" s="350">
        <f>CS_PID!Y36/VLOOKUP($B36,표2[#ALL],2)</f>
        <v>0</v>
      </c>
      <c r="Z36" s="350">
        <f>CS_PID!Z36/VLOOKUP($B36,표2[#ALL],2)</f>
        <v>0.004097741886</v>
      </c>
      <c r="AA36" s="350">
        <f>CS_PID!AA36/VLOOKUP($B36,표2[#ALL],2)</f>
        <v>0.03141602112</v>
      </c>
      <c r="AB36" s="350">
        <f>CS_PID!AB36/VLOOKUP($B36,표2[#ALL],2)</f>
        <v>0.02731827924</v>
      </c>
      <c r="AC36" s="350">
        <f>CS_PID!AC36/VLOOKUP($B36,표2[#ALL],2)</f>
        <v>0</v>
      </c>
      <c r="AD36" s="350">
        <f>CS_PID!AD36/VLOOKUP($B36,표2[#ALL],2)</f>
        <v>0</v>
      </c>
      <c r="AE36" s="350">
        <f>CS_PID!AE36/VLOOKUP($B36,표2[#ALL],2)</f>
        <v>0</v>
      </c>
      <c r="AF36" s="350">
        <f>CS_PID!AF36/VLOOKUP($B36,표2[#ALL],2)</f>
        <v>0</v>
      </c>
      <c r="AG36" s="350">
        <f>CS_PID!AG36/VLOOKUP($B36,표2[#ALL],2)</f>
        <v>0.009561397733</v>
      </c>
      <c r="AH36" s="350">
        <f>CS_PID!AH36/VLOOKUP($B36,표2[#ALL],2)</f>
        <v>0.001365913962</v>
      </c>
      <c r="AI36" s="350">
        <f>CS_PID!AI36/VLOOKUP($B36,표2[#ALL],2)</f>
        <v>0</v>
      </c>
      <c r="AJ36" s="350">
        <f>CS_PID!AJ36/VLOOKUP($B36,표2[#ALL],2)</f>
        <v>0</v>
      </c>
      <c r="AK36" s="350">
        <f>CS_PID!AK36/VLOOKUP($B36,표2[#ALL],2)</f>
        <v>0</v>
      </c>
      <c r="AL36" s="350">
        <f>CS_PID!AL36/VLOOKUP($B36,표2[#ALL],2)</f>
        <v>0</v>
      </c>
      <c r="AM36" s="350">
        <f>CS_PID!AM36/VLOOKUP($B36,표2[#ALL],2)</f>
        <v>0</v>
      </c>
      <c r="AN36" s="350">
        <f>CS_PID!AN36/VLOOKUP($B36,표2[#ALL],2)</f>
        <v>0</v>
      </c>
      <c r="AO36" s="350">
        <f>CS_PID!AO36/VLOOKUP($B36,표2[#ALL],2)</f>
        <v>0</v>
      </c>
      <c r="AP36" s="350">
        <f>CS_PID!AP36/VLOOKUP($B36,표2[#ALL],2)</f>
        <v>0</v>
      </c>
      <c r="AQ36" s="350">
        <f>CS_PID!AQ36/VLOOKUP($B36,표2[#ALL],2)</f>
        <v>0</v>
      </c>
      <c r="AR36" s="350">
        <f>CS_PID!AR36/VLOOKUP($B36,표2[#ALL],2)</f>
        <v>0</v>
      </c>
      <c r="AS36" s="350">
        <f>CS_PID!AS36/VLOOKUP($B36,표2[#ALL],2)</f>
        <v>0</v>
      </c>
    </row>
    <row r="37">
      <c r="A37" s="141" t="s">
        <v>78</v>
      </c>
      <c r="B37" s="142">
        <v>294.0</v>
      </c>
      <c r="C37" s="350">
        <f>CS_PID!C37/VLOOKUP($B37,표2[#ALL],2)</f>
        <v>0.00753944123</v>
      </c>
      <c r="D37" s="350">
        <f>CS_PID!D37/VLOOKUP($B37,표2[#ALL],2)</f>
        <v>0.03769720615</v>
      </c>
      <c r="E37" s="350">
        <f>CS_PID!E37/VLOOKUP($B37,표2[#ALL],2)</f>
        <v>0.00753944123</v>
      </c>
      <c r="F37" s="350">
        <f>CS_PID!F37/VLOOKUP($B37,표2[#ALL],2)</f>
        <v>0</v>
      </c>
      <c r="G37" s="350">
        <f>CS_PID!G37/VLOOKUP($B37,표2[#ALL],2)</f>
        <v>0</v>
      </c>
      <c r="H37" s="350">
        <f>CS_PID!H37/VLOOKUP($B37,표2[#ALL],2)</f>
        <v>0</v>
      </c>
      <c r="I37" s="350">
        <f>CS_PID!I37/VLOOKUP($B37,표2[#ALL],2)</f>
        <v>0.03769720615</v>
      </c>
      <c r="J37" s="350">
        <f>CS_PID!J37/VLOOKUP($B37,표2[#ALL],2)</f>
        <v>0.04523664738</v>
      </c>
      <c r="K37" s="350">
        <f>CS_PID!K37/VLOOKUP($B37,표2[#ALL],2)</f>
        <v>0</v>
      </c>
      <c r="L37" s="350">
        <f>CS_PID!L37/VLOOKUP($B37,표2[#ALL],2)</f>
        <v>0</v>
      </c>
      <c r="M37" s="350">
        <f>CS_PID!M37/VLOOKUP($B37,표2[#ALL],2)</f>
        <v>0</v>
      </c>
      <c r="N37" s="350">
        <f>CS_PID!N37/VLOOKUP($B37,표2[#ALL],2)</f>
        <v>0</v>
      </c>
      <c r="O37" s="350">
        <f>CS_PID!O37/VLOOKUP($B37,표2[#ALL],2)</f>
        <v>0.0753944123</v>
      </c>
      <c r="P37" s="350">
        <f>CS_PID!P37/VLOOKUP($B37,표2[#ALL],2)</f>
        <v>0.06785497107</v>
      </c>
      <c r="Q37" s="350">
        <f>CS_PID!Q37/VLOOKUP($B37,표2[#ALL],2)</f>
        <v>0.00753944123</v>
      </c>
      <c r="R37" s="350">
        <f>CS_PID!R37/VLOOKUP($B37,표2[#ALL],2)</f>
        <v>0</v>
      </c>
      <c r="S37" s="350">
        <f>CS_PID!S37/VLOOKUP($B37,표2[#ALL],2)</f>
        <v>0</v>
      </c>
      <c r="T37" s="350">
        <f>CS_PID!T37/VLOOKUP($B37,표2[#ALL],2)</f>
        <v>0</v>
      </c>
      <c r="U37" s="350">
        <f>CS_PID!U37/VLOOKUP($B37,표2[#ALL],2)</f>
        <v>0.04523664738</v>
      </c>
      <c r="V37" s="350">
        <f>CS_PID!V37/VLOOKUP($B37,표2[#ALL],2)</f>
        <v>0.1357099421</v>
      </c>
      <c r="W37" s="350">
        <f>CS_PID!W37/VLOOKUP($B37,표2[#ALL],2)</f>
        <v>0</v>
      </c>
      <c r="X37" s="350">
        <f>CS_PID!X37/VLOOKUP($B37,표2[#ALL],2)</f>
        <v>0</v>
      </c>
      <c r="Y37" s="350">
        <f>CS_PID!Y37/VLOOKUP($B37,표2[#ALL],2)</f>
        <v>0</v>
      </c>
      <c r="Z37" s="350">
        <f>CS_PID!Z37/VLOOKUP($B37,표2[#ALL],2)</f>
        <v>0</v>
      </c>
      <c r="AA37" s="350">
        <f>CS_PID!AA37/VLOOKUP($B37,표2[#ALL],2)</f>
        <v>0.04523664738</v>
      </c>
      <c r="AB37" s="350">
        <f>CS_PID!AB37/VLOOKUP($B37,표2[#ALL],2)</f>
        <v>0.00753944123</v>
      </c>
      <c r="AC37" s="350">
        <f>CS_PID!AC37/VLOOKUP($B37,표2[#ALL],2)</f>
        <v>0</v>
      </c>
      <c r="AD37" s="350">
        <f>CS_PID!AD37/VLOOKUP($B37,표2[#ALL],2)</f>
        <v>0</v>
      </c>
      <c r="AE37" s="350">
        <f>CS_PID!AE37/VLOOKUP($B37,표2[#ALL],2)</f>
        <v>0</v>
      </c>
      <c r="AF37" s="350">
        <f>CS_PID!AF37/VLOOKUP($B37,표2[#ALL],2)</f>
        <v>0</v>
      </c>
      <c r="AG37" s="350">
        <f>CS_PID!AG37/VLOOKUP($B37,표2[#ALL],2)</f>
        <v>0.00753944123</v>
      </c>
      <c r="AH37" s="350">
        <f>CS_PID!AH37/VLOOKUP($B37,표2[#ALL],2)</f>
        <v>0</v>
      </c>
      <c r="AI37" s="350">
        <f>CS_PID!AI37/VLOOKUP($B37,표2[#ALL],2)</f>
        <v>0</v>
      </c>
      <c r="AJ37" s="350">
        <f>CS_PID!AJ37/VLOOKUP($B37,표2[#ALL],2)</f>
        <v>0</v>
      </c>
      <c r="AK37" s="350">
        <f>CS_PID!AK37/VLOOKUP($B37,표2[#ALL],2)</f>
        <v>0</v>
      </c>
      <c r="AL37" s="350">
        <f>CS_PID!AL37/VLOOKUP($B37,표2[#ALL],2)</f>
        <v>0</v>
      </c>
      <c r="AM37" s="350">
        <f>CS_PID!AM37/VLOOKUP($B37,표2[#ALL],2)</f>
        <v>0</v>
      </c>
      <c r="AN37" s="350">
        <f>CS_PID!AN37/VLOOKUP($B37,표2[#ALL],2)</f>
        <v>0</v>
      </c>
      <c r="AO37" s="350">
        <f>CS_PID!AO37/VLOOKUP($B37,표2[#ALL],2)</f>
        <v>0</v>
      </c>
      <c r="AP37" s="350">
        <f>CS_PID!AP37/VLOOKUP($B37,표2[#ALL],2)</f>
        <v>0</v>
      </c>
      <c r="AQ37" s="350">
        <f>CS_PID!AQ37/VLOOKUP($B37,표2[#ALL],2)</f>
        <v>0</v>
      </c>
      <c r="AR37" s="350">
        <f>CS_PID!AR37/VLOOKUP($B37,표2[#ALL],2)</f>
        <v>0</v>
      </c>
      <c r="AS37" s="350">
        <f>CS_PID!AS37/VLOOKUP($B37,표2[#ALL],2)</f>
        <v>0</v>
      </c>
    </row>
    <row r="38">
      <c r="A38" s="141" t="s">
        <v>78</v>
      </c>
      <c r="B38" s="142">
        <v>295.0</v>
      </c>
      <c r="C38" s="350">
        <f>CS_PID!C38/VLOOKUP($B38,표2[#ALL],2)</f>
        <v>0.003981814718</v>
      </c>
      <c r="D38" s="350">
        <f>CS_PID!D38/VLOOKUP($B38,표2[#ALL],2)</f>
        <v>0.06370903548</v>
      </c>
      <c r="E38" s="350">
        <f>CS_PID!E38/VLOOKUP($B38,표2[#ALL],2)</f>
        <v>0.01592725887</v>
      </c>
      <c r="F38" s="350">
        <f>CS_PID!F38/VLOOKUP($B38,표2[#ALL],2)</f>
        <v>0</v>
      </c>
      <c r="G38" s="350">
        <f>CS_PID!G38/VLOOKUP($B38,표2[#ALL],2)</f>
        <v>0</v>
      </c>
      <c r="H38" s="350">
        <f>CS_PID!H38/VLOOKUP($B38,표2[#ALL],2)</f>
        <v>0.01194544415</v>
      </c>
      <c r="I38" s="350">
        <f>CS_PID!I38/VLOOKUP($B38,표2[#ALL],2)</f>
        <v>0.02389088831</v>
      </c>
      <c r="J38" s="350">
        <f>CS_PID!J38/VLOOKUP($B38,표2[#ALL],2)</f>
        <v>0.05574540605</v>
      </c>
      <c r="K38" s="350">
        <f>CS_PID!K38/VLOOKUP($B38,표2[#ALL],2)</f>
        <v>0.003981814718</v>
      </c>
      <c r="L38" s="350">
        <f>CS_PID!L38/VLOOKUP($B38,표2[#ALL],2)</f>
        <v>0</v>
      </c>
      <c r="M38" s="350">
        <f>CS_PID!M38/VLOOKUP($B38,표2[#ALL],2)</f>
        <v>0</v>
      </c>
      <c r="N38" s="350">
        <f>CS_PID!N38/VLOOKUP($B38,표2[#ALL],2)</f>
        <v>0</v>
      </c>
      <c r="O38" s="350">
        <f>CS_PID!O38/VLOOKUP($B38,표2[#ALL],2)</f>
        <v>0.06370903548</v>
      </c>
      <c r="P38" s="350">
        <f>CS_PID!P38/VLOOKUP($B38,표2[#ALL],2)</f>
        <v>0.07565447964</v>
      </c>
      <c r="Q38" s="350">
        <f>CS_PID!Q38/VLOOKUP($B38,표2[#ALL],2)</f>
        <v>0.007963629435</v>
      </c>
      <c r="R38" s="350">
        <f>CS_PID!R38/VLOOKUP($B38,표2[#ALL],2)</f>
        <v>0</v>
      </c>
      <c r="S38" s="350">
        <f>CS_PID!S38/VLOOKUP($B38,표2[#ALL],2)</f>
        <v>0</v>
      </c>
      <c r="T38" s="350">
        <f>CS_PID!T38/VLOOKUP($B38,표2[#ALL],2)</f>
        <v>0</v>
      </c>
      <c r="U38" s="350">
        <f>CS_PID!U38/VLOOKUP($B38,표2[#ALL],2)</f>
        <v>0.04379996189</v>
      </c>
      <c r="V38" s="350">
        <f>CS_PID!V38/VLOOKUP($B38,표2[#ALL],2)</f>
        <v>0.07565447964</v>
      </c>
      <c r="W38" s="350">
        <f>CS_PID!W38/VLOOKUP($B38,표2[#ALL],2)</f>
        <v>0</v>
      </c>
      <c r="X38" s="350">
        <f>CS_PID!X38/VLOOKUP($B38,표2[#ALL],2)</f>
        <v>0</v>
      </c>
      <c r="Y38" s="350">
        <f>CS_PID!Y38/VLOOKUP($B38,표2[#ALL],2)</f>
        <v>0</v>
      </c>
      <c r="Z38" s="350">
        <f>CS_PID!Z38/VLOOKUP($B38,표2[#ALL],2)</f>
        <v>0</v>
      </c>
      <c r="AA38" s="350">
        <f>CS_PID!AA38/VLOOKUP($B38,표2[#ALL],2)</f>
        <v>0.03583633246</v>
      </c>
      <c r="AB38" s="350">
        <f>CS_PID!AB38/VLOOKUP($B38,표2[#ALL],2)</f>
        <v>0.007963629435</v>
      </c>
      <c r="AC38" s="350">
        <f>CS_PID!AC38/VLOOKUP($B38,표2[#ALL],2)</f>
        <v>0</v>
      </c>
      <c r="AD38" s="350">
        <f>CS_PID!AD38/VLOOKUP($B38,표2[#ALL],2)</f>
        <v>0</v>
      </c>
      <c r="AE38" s="350">
        <f>CS_PID!AE38/VLOOKUP($B38,표2[#ALL],2)</f>
        <v>0</v>
      </c>
      <c r="AF38" s="350">
        <f>CS_PID!AF38/VLOOKUP($B38,표2[#ALL],2)</f>
        <v>0</v>
      </c>
      <c r="AG38" s="350">
        <f>CS_PID!AG38/VLOOKUP($B38,표2[#ALL],2)</f>
        <v>0.01194544415</v>
      </c>
      <c r="AH38" s="350">
        <f>CS_PID!AH38/VLOOKUP($B38,표2[#ALL],2)</f>
        <v>0</v>
      </c>
      <c r="AI38" s="350">
        <f>CS_PID!AI38/VLOOKUP($B38,표2[#ALL],2)</f>
        <v>0</v>
      </c>
      <c r="AJ38" s="350">
        <f>CS_PID!AJ38/VLOOKUP($B38,표2[#ALL],2)</f>
        <v>0</v>
      </c>
      <c r="AK38" s="350">
        <f>CS_PID!AK38/VLOOKUP($B38,표2[#ALL],2)</f>
        <v>0</v>
      </c>
      <c r="AL38" s="350">
        <f>CS_PID!AL38/VLOOKUP($B38,표2[#ALL],2)</f>
        <v>0</v>
      </c>
      <c r="AM38" s="350">
        <f>CS_PID!AM38/VLOOKUP($B38,표2[#ALL],2)</f>
        <v>0</v>
      </c>
      <c r="AN38" s="350">
        <f>CS_PID!AN38/VLOOKUP($B38,표2[#ALL],2)</f>
        <v>0</v>
      </c>
      <c r="AO38" s="350">
        <f>CS_PID!AO38/VLOOKUP($B38,표2[#ALL],2)</f>
        <v>0</v>
      </c>
      <c r="AP38" s="350">
        <f>CS_PID!AP38/VLOOKUP($B38,표2[#ALL],2)</f>
        <v>0</v>
      </c>
      <c r="AQ38" s="350">
        <f>CS_PID!AQ38/VLOOKUP($B38,표2[#ALL],2)</f>
        <v>0</v>
      </c>
      <c r="AR38" s="350">
        <f>CS_PID!AR38/VLOOKUP($B38,표2[#ALL],2)</f>
        <v>0</v>
      </c>
      <c r="AS38" s="350">
        <f>CS_PID!AS38/VLOOKUP($B38,표2[#ALL],2)</f>
        <v>0</v>
      </c>
    </row>
    <row r="39">
      <c r="A39" s="141" t="s">
        <v>78</v>
      </c>
      <c r="B39" s="142">
        <v>296.0</v>
      </c>
      <c r="C39" s="350">
        <f>CS_PID!C39/VLOOKUP($B39,표2[#ALL],2)</f>
        <v>0</v>
      </c>
      <c r="D39" s="350">
        <f>CS_PID!D39/VLOOKUP($B39,표2[#ALL],2)</f>
        <v>0</v>
      </c>
      <c r="E39" s="350">
        <f>CS_PID!E39/VLOOKUP($B39,표2[#ALL],2)</f>
        <v>0</v>
      </c>
      <c r="F39" s="350">
        <f>CS_PID!F39/VLOOKUP($B39,표2[#ALL],2)</f>
        <v>0</v>
      </c>
      <c r="G39" s="350">
        <f>CS_PID!G39/VLOOKUP($B39,표2[#ALL],2)</f>
        <v>0</v>
      </c>
      <c r="H39" s="350">
        <f>CS_PID!H39/VLOOKUP($B39,표2[#ALL],2)</f>
        <v>0</v>
      </c>
      <c r="I39" s="350">
        <f>CS_PID!I39/VLOOKUP($B39,표2[#ALL],2)</f>
        <v>0</v>
      </c>
      <c r="J39" s="350">
        <f>CS_PID!J39/VLOOKUP($B39,표2[#ALL],2)</f>
        <v>0.07722762963</v>
      </c>
      <c r="K39" s="350">
        <f>CS_PID!K39/VLOOKUP($B39,표2[#ALL],2)</f>
        <v>0</v>
      </c>
      <c r="L39" s="350">
        <f>CS_PID!L39/VLOOKUP($B39,표2[#ALL],2)</f>
        <v>0</v>
      </c>
      <c r="M39" s="350">
        <f>CS_PID!M39/VLOOKUP($B39,표2[#ALL],2)</f>
        <v>0</v>
      </c>
      <c r="N39" s="350">
        <f>CS_PID!N39/VLOOKUP($B39,표2[#ALL],2)</f>
        <v>0</v>
      </c>
      <c r="O39" s="350">
        <f>CS_PID!O39/VLOOKUP($B39,표2[#ALL],2)</f>
        <v>0.128712716</v>
      </c>
      <c r="P39" s="350">
        <f>CS_PID!P39/VLOOKUP($B39,표2[#ALL],2)</f>
        <v>0.128712716</v>
      </c>
      <c r="Q39" s="350">
        <f>CS_PID!Q39/VLOOKUP($B39,표2[#ALL],2)</f>
        <v>0</v>
      </c>
      <c r="R39" s="350">
        <f>CS_PID!R39/VLOOKUP($B39,표2[#ALL],2)</f>
        <v>0</v>
      </c>
      <c r="S39" s="350">
        <f>CS_PID!S39/VLOOKUP($B39,표2[#ALL],2)</f>
        <v>0</v>
      </c>
      <c r="T39" s="350">
        <f>CS_PID!T39/VLOOKUP($B39,표2[#ALL],2)</f>
        <v>0</v>
      </c>
      <c r="U39" s="350">
        <f>CS_PID!U39/VLOOKUP($B39,표2[#ALL],2)</f>
        <v>0.05148508642</v>
      </c>
      <c r="V39" s="350">
        <f>CS_PID!V39/VLOOKUP($B39,표2[#ALL],2)</f>
        <v>0.1029701728</v>
      </c>
      <c r="W39" s="350">
        <f>CS_PID!W39/VLOOKUP($B39,표2[#ALL],2)</f>
        <v>0</v>
      </c>
      <c r="X39" s="350">
        <f>CS_PID!X39/VLOOKUP($B39,표2[#ALL],2)</f>
        <v>0</v>
      </c>
      <c r="Y39" s="350">
        <f>CS_PID!Y39/VLOOKUP($B39,표2[#ALL],2)</f>
        <v>0</v>
      </c>
      <c r="Z39" s="350">
        <f>CS_PID!Z39/VLOOKUP($B39,표2[#ALL],2)</f>
        <v>0</v>
      </c>
      <c r="AA39" s="350">
        <f>CS_PID!AA39/VLOOKUP($B39,표2[#ALL],2)</f>
        <v>0</v>
      </c>
      <c r="AB39" s="350">
        <f>CS_PID!AB39/VLOOKUP($B39,표2[#ALL],2)</f>
        <v>0.07722762963</v>
      </c>
      <c r="AC39" s="350">
        <f>CS_PID!AC39/VLOOKUP($B39,표2[#ALL],2)</f>
        <v>0</v>
      </c>
      <c r="AD39" s="350">
        <f>CS_PID!AD39/VLOOKUP($B39,표2[#ALL],2)</f>
        <v>0</v>
      </c>
      <c r="AE39" s="350">
        <f>CS_PID!AE39/VLOOKUP($B39,표2[#ALL],2)</f>
        <v>0</v>
      </c>
      <c r="AF39" s="350">
        <f>CS_PID!AF39/VLOOKUP($B39,표2[#ALL],2)</f>
        <v>0</v>
      </c>
      <c r="AG39" s="350">
        <f>CS_PID!AG39/VLOOKUP($B39,표2[#ALL],2)</f>
        <v>0.02574254321</v>
      </c>
      <c r="AH39" s="350">
        <f>CS_PID!AH39/VLOOKUP($B39,표2[#ALL],2)</f>
        <v>0</v>
      </c>
      <c r="AI39" s="350">
        <f>CS_PID!AI39/VLOOKUP($B39,표2[#ALL],2)</f>
        <v>0</v>
      </c>
      <c r="AJ39" s="350">
        <f>CS_PID!AJ39/VLOOKUP($B39,표2[#ALL],2)</f>
        <v>0</v>
      </c>
      <c r="AK39" s="350">
        <f>CS_PID!AK39/VLOOKUP($B39,표2[#ALL],2)</f>
        <v>0</v>
      </c>
      <c r="AL39" s="350">
        <f>CS_PID!AL39/VLOOKUP($B39,표2[#ALL],2)</f>
        <v>0</v>
      </c>
      <c r="AM39" s="350">
        <f>CS_PID!AM39/VLOOKUP($B39,표2[#ALL],2)</f>
        <v>0</v>
      </c>
      <c r="AN39" s="350">
        <f>CS_PID!AN39/VLOOKUP($B39,표2[#ALL],2)</f>
        <v>0</v>
      </c>
      <c r="AO39" s="350">
        <f>CS_PID!AO39/VLOOKUP($B39,표2[#ALL],2)</f>
        <v>0</v>
      </c>
      <c r="AP39" s="350">
        <f>CS_PID!AP39/VLOOKUP($B39,표2[#ALL],2)</f>
        <v>0</v>
      </c>
      <c r="AQ39" s="350">
        <f>CS_PID!AQ39/VLOOKUP($B39,표2[#ALL],2)</f>
        <v>0</v>
      </c>
      <c r="AR39" s="350">
        <f>CS_PID!AR39/VLOOKUP($B39,표2[#ALL],2)</f>
        <v>0</v>
      </c>
      <c r="AS39" s="350">
        <f>CS_PID!AS39/VLOOKUP($B39,표2[#ALL],2)</f>
        <v>0</v>
      </c>
    </row>
    <row r="40">
      <c r="A40" s="141" t="s">
        <v>78</v>
      </c>
      <c r="B40" s="142">
        <v>297.0</v>
      </c>
      <c r="C40" s="350">
        <f>CS_PID!C40/VLOOKUP($B40,표2[#ALL],2)</f>
        <v>0</v>
      </c>
      <c r="D40" s="350">
        <f>CS_PID!D40/VLOOKUP($B40,표2[#ALL],2)</f>
        <v>0.03223313151</v>
      </c>
      <c r="E40" s="350">
        <f>CS_PID!E40/VLOOKUP($B40,표2[#ALL],2)</f>
        <v>0.01611656576</v>
      </c>
      <c r="F40" s="350">
        <f>CS_PID!F40/VLOOKUP($B40,표2[#ALL],2)</f>
        <v>0</v>
      </c>
      <c r="G40" s="350">
        <f>CS_PID!G40/VLOOKUP($B40,표2[#ALL],2)</f>
        <v>0</v>
      </c>
      <c r="H40" s="350">
        <f>CS_PID!H40/VLOOKUP($B40,표2[#ALL],2)</f>
        <v>0</v>
      </c>
      <c r="I40" s="350">
        <f>CS_PID!I40/VLOOKUP($B40,표2[#ALL],2)</f>
        <v>0.01611656576</v>
      </c>
      <c r="J40" s="350">
        <f>CS_PID!J40/VLOOKUP($B40,표2[#ALL],2)</f>
        <v>0.04834969727</v>
      </c>
      <c r="K40" s="350">
        <f>CS_PID!K40/VLOOKUP($B40,표2[#ALL],2)</f>
        <v>0.01611656576</v>
      </c>
      <c r="L40" s="350">
        <f>CS_PID!L40/VLOOKUP($B40,표2[#ALL],2)</f>
        <v>0</v>
      </c>
      <c r="M40" s="350">
        <f>CS_PID!M40/VLOOKUP($B40,표2[#ALL],2)</f>
        <v>0</v>
      </c>
      <c r="N40" s="350">
        <f>CS_PID!N40/VLOOKUP($B40,표2[#ALL],2)</f>
        <v>0</v>
      </c>
      <c r="O40" s="350">
        <f>CS_PID!O40/VLOOKUP($B40,표2[#ALL],2)</f>
        <v>0.03223313151</v>
      </c>
      <c r="P40" s="350">
        <f>CS_PID!P40/VLOOKUP($B40,표2[#ALL],2)</f>
        <v>0.1611656576</v>
      </c>
      <c r="Q40" s="350">
        <f>CS_PID!Q40/VLOOKUP($B40,표2[#ALL],2)</f>
        <v>0.01611656576</v>
      </c>
      <c r="R40" s="350">
        <f>CS_PID!R40/VLOOKUP($B40,표2[#ALL],2)</f>
        <v>0</v>
      </c>
      <c r="S40" s="350">
        <f>CS_PID!S40/VLOOKUP($B40,표2[#ALL],2)</f>
        <v>0</v>
      </c>
      <c r="T40" s="350">
        <f>CS_PID!T40/VLOOKUP($B40,표2[#ALL],2)</f>
        <v>0</v>
      </c>
      <c r="U40" s="350">
        <f>CS_PID!U40/VLOOKUP($B40,표2[#ALL],2)</f>
        <v>0.04834969727</v>
      </c>
      <c r="V40" s="350">
        <f>CS_PID!V40/VLOOKUP($B40,표2[#ALL],2)</f>
        <v>0.1128159603</v>
      </c>
      <c r="W40" s="350">
        <f>CS_PID!W40/VLOOKUP($B40,표2[#ALL],2)</f>
        <v>0.01611656576</v>
      </c>
      <c r="X40" s="350">
        <f>CS_PID!X40/VLOOKUP($B40,표2[#ALL],2)</f>
        <v>0</v>
      </c>
      <c r="Y40" s="350">
        <f>CS_PID!Y40/VLOOKUP($B40,표2[#ALL],2)</f>
        <v>0</v>
      </c>
      <c r="Z40" s="350">
        <f>CS_PID!Z40/VLOOKUP($B40,표2[#ALL],2)</f>
        <v>0</v>
      </c>
      <c r="AA40" s="350">
        <f>CS_PID!AA40/VLOOKUP($B40,표2[#ALL],2)</f>
        <v>0.03223313151</v>
      </c>
      <c r="AB40" s="350">
        <f>CS_PID!AB40/VLOOKUP($B40,표2[#ALL],2)</f>
        <v>0</v>
      </c>
      <c r="AC40" s="350">
        <f>CS_PID!AC40/VLOOKUP($B40,표2[#ALL],2)</f>
        <v>0</v>
      </c>
      <c r="AD40" s="350">
        <f>CS_PID!AD40/VLOOKUP($B40,표2[#ALL],2)</f>
        <v>0</v>
      </c>
      <c r="AE40" s="350">
        <f>CS_PID!AE40/VLOOKUP($B40,표2[#ALL],2)</f>
        <v>0</v>
      </c>
      <c r="AF40" s="350">
        <f>CS_PID!AF40/VLOOKUP($B40,표2[#ALL],2)</f>
        <v>0</v>
      </c>
      <c r="AG40" s="350">
        <f>CS_PID!AG40/VLOOKUP($B40,표2[#ALL],2)</f>
        <v>0</v>
      </c>
      <c r="AH40" s="350">
        <f>CS_PID!AH40/VLOOKUP($B40,표2[#ALL],2)</f>
        <v>0</v>
      </c>
      <c r="AI40" s="350">
        <f>CS_PID!AI40/VLOOKUP($B40,표2[#ALL],2)</f>
        <v>0</v>
      </c>
      <c r="AJ40" s="350">
        <f>CS_PID!AJ40/VLOOKUP($B40,표2[#ALL],2)</f>
        <v>0</v>
      </c>
      <c r="AK40" s="350">
        <f>CS_PID!AK40/VLOOKUP($B40,표2[#ALL],2)</f>
        <v>0</v>
      </c>
      <c r="AL40" s="350">
        <f>CS_PID!AL40/VLOOKUP($B40,표2[#ALL],2)</f>
        <v>0</v>
      </c>
      <c r="AM40" s="350">
        <f>CS_PID!AM40/VLOOKUP($B40,표2[#ALL],2)</f>
        <v>0</v>
      </c>
      <c r="AN40" s="350">
        <f>CS_PID!AN40/VLOOKUP($B40,표2[#ALL],2)</f>
        <v>0</v>
      </c>
      <c r="AO40" s="350">
        <f>CS_PID!AO40/VLOOKUP($B40,표2[#ALL],2)</f>
        <v>0</v>
      </c>
      <c r="AP40" s="350">
        <f>CS_PID!AP40/VLOOKUP($B40,표2[#ALL],2)</f>
        <v>0</v>
      </c>
      <c r="AQ40" s="350">
        <f>CS_PID!AQ40/VLOOKUP($B40,표2[#ALL],2)</f>
        <v>0</v>
      </c>
      <c r="AR40" s="350">
        <f>CS_PID!AR40/VLOOKUP($B40,표2[#ALL],2)</f>
        <v>0</v>
      </c>
      <c r="AS40" s="350">
        <f>CS_PID!AS40/VLOOKUP($B40,표2[#ALL],2)</f>
        <v>0</v>
      </c>
    </row>
    <row r="41">
      <c r="A41" s="141" t="s">
        <v>78</v>
      </c>
      <c r="B41" s="142">
        <v>298.0</v>
      </c>
      <c r="C41" s="350">
        <f>CS_PID!C41/VLOOKUP($B41,표2[#ALL],2)</f>
        <v>0</v>
      </c>
      <c r="D41" s="350">
        <f>CS_PID!D41/VLOOKUP($B41,표2[#ALL],2)</f>
        <v>0.0289629138</v>
      </c>
      <c r="E41" s="350">
        <f>CS_PID!E41/VLOOKUP($B41,표2[#ALL],2)</f>
        <v>0.0144814569</v>
      </c>
      <c r="F41" s="350">
        <f>CS_PID!F41/VLOOKUP($B41,표2[#ALL],2)</f>
        <v>0</v>
      </c>
      <c r="G41" s="350">
        <f>CS_PID!G41/VLOOKUP($B41,표2[#ALL],2)</f>
        <v>0</v>
      </c>
      <c r="H41" s="350">
        <f>CS_PID!H41/VLOOKUP($B41,표2[#ALL],2)</f>
        <v>0.004827152299</v>
      </c>
      <c r="I41" s="350">
        <f>CS_PID!I41/VLOOKUP($B41,표2[#ALL],2)</f>
        <v>0.0241357615</v>
      </c>
      <c r="J41" s="350">
        <f>CS_PID!J41/VLOOKUP($B41,표2[#ALL],2)</f>
        <v>0.08206158909</v>
      </c>
      <c r="K41" s="350">
        <f>CS_PID!K41/VLOOKUP($B41,표2[#ALL],2)</f>
        <v>0</v>
      </c>
      <c r="L41" s="350">
        <f>CS_PID!L41/VLOOKUP($B41,표2[#ALL],2)</f>
        <v>0</v>
      </c>
      <c r="M41" s="350">
        <f>CS_PID!M41/VLOOKUP($B41,표2[#ALL],2)</f>
        <v>0</v>
      </c>
      <c r="N41" s="350">
        <f>CS_PID!N41/VLOOKUP($B41,표2[#ALL],2)</f>
        <v>0</v>
      </c>
      <c r="O41" s="350">
        <f>CS_PID!O41/VLOOKUP($B41,표2[#ALL],2)</f>
        <v>0.05792582759</v>
      </c>
      <c r="P41" s="350">
        <f>CS_PID!P41/VLOOKUP($B41,표2[#ALL],2)</f>
        <v>0.05792582759</v>
      </c>
      <c r="Q41" s="350">
        <f>CS_PID!Q41/VLOOKUP($B41,표2[#ALL],2)</f>
        <v>0.009654304598</v>
      </c>
      <c r="R41" s="350">
        <f>CS_PID!R41/VLOOKUP($B41,표2[#ALL],2)</f>
        <v>0</v>
      </c>
      <c r="S41" s="350">
        <f>CS_PID!S41/VLOOKUP($B41,표2[#ALL],2)</f>
        <v>0</v>
      </c>
      <c r="T41" s="350">
        <f>CS_PID!T41/VLOOKUP($B41,표2[#ALL],2)</f>
        <v>0</v>
      </c>
      <c r="U41" s="350">
        <f>CS_PID!U41/VLOOKUP($B41,표2[#ALL],2)</f>
        <v>0.05309867529</v>
      </c>
      <c r="V41" s="350">
        <f>CS_PID!V41/VLOOKUP($B41,표2[#ALL],2)</f>
        <v>0.07723443679</v>
      </c>
      <c r="W41" s="350">
        <f>CS_PID!W41/VLOOKUP($B41,표2[#ALL],2)</f>
        <v>0</v>
      </c>
      <c r="X41" s="350">
        <f>CS_PID!X41/VLOOKUP($B41,표2[#ALL],2)</f>
        <v>0</v>
      </c>
      <c r="Y41" s="350">
        <f>CS_PID!Y41/VLOOKUP($B41,표2[#ALL],2)</f>
        <v>0</v>
      </c>
      <c r="Z41" s="350">
        <f>CS_PID!Z41/VLOOKUP($B41,표2[#ALL],2)</f>
        <v>0.004827152299</v>
      </c>
      <c r="AA41" s="350">
        <f>CS_PID!AA41/VLOOKUP($B41,표2[#ALL],2)</f>
        <v>0.04827152299</v>
      </c>
      <c r="AB41" s="350">
        <f>CS_PID!AB41/VLOOKUP($B41,표2[#ALL],2)</f>
        <v>0.0289629138</v>
      </c>
      <c r="AC41" s="350">
        <f>CS_PID!AC41/VLOOKUP($B41,표2[#ALL],2)</f>
        <v>0</v>
      </c>
      <c r="AD41" s="350">
        <f>CS_PID!AD41/VLOOKUP($B41,표2[#ALL],2)</f>
        <v>0</v>
      </c>
      <c r="AE41" s="350">
        <f>CS_PID!AE41/VLOOKUP($B41,표2[#ALL],2)</f>
        <v>0</v>
      </c>
      <c r="AF41" s="350">
        <f>CS_PID!AF41/VLOOKUP($B41,표2[#ALL],2)</f>
        <v>0</v>
      </c>
      <c r="AG41" s="350">
        <f>CS_PID!AG41/VLOOKUP($B41,표2[#ALL],2)</f>
        <v>0</v>
      </c>
      <c r="AH41" s="350">
        <f>CS_PID!AH41/VLOOKUP($B41,표2[#ALL],2)</f>
        <v>0</v>
      </c>
      <c r="AI41" s="350">
        <f>CS_PID!AI41/VLOOKUP($B41,표2[#ALL],2)</f>
        <v>0</v>
      </c>
      <c r="AJ41" s="350">
        <f>CS_PID!AJ41/VLOOKUP($B41,표2[#ALL],2)</f>
        <v>0</v>
      </c>
      <c r="AK41" s="350">
        <f>CS_PID!AK41/VLOOKUP($B41,표2[#ALL],2)</f>
        <v>0</v>
      </c>
      <c r="AL41" s="350">
        <f>CS_PID!AL41/VLOOKUP($B41,표2[#ALL],2)</f>
        <v>0</v>
      </c>
      <c r="AM41" s="350">
        <f>CS_PID!AM41/VLOOKUP($B41,표2[#ALL],2)</f>
        <v>0</v>
      </c>
      <c r="AN41" s="350">
        <f>CS_PID!AN41/VLOOKUP($B41,표2[#ALL],2)</f>
        <v>0</v>
      </c>
      <c r="AO41" s="350">
        <f>CS_PID!AO41/VLOOKUP($B41,표2[#ALL],2)</f>
        <v>0</v>
      </c>
      <c r="AP41" s="350">
        <f>CS_PID!AP41/VLOOKUP($B41,표2[#ALL],2)</f>
        <v>0</v>
      </c>
      <c r="AQ41" s="350">
        <f>CS_PID!AQ41/VLOOKUP($B41,표2[#ALL],2)</f>
        <v>0</v>
      </c>
      <c r="AR41" s="350">
        <f>CS_PID!AR41/VLOOKUP($B41,표2[#ALL],2)</f>
        <v>0</v>
      </c>
      <c r="AS41" s="350">
        <f>CS_PID!AS41/VLOOKUP($B41,표2[#ALL],2)</f>
        <v>0</v>
      </c>
    </row>
    <row r="42">
      <c r="A42" s="145" t="s">
        <v>78</v>
      </c>
      <c r="B42" s="146">
        <v>299.0</v>
      </c>
      <c r="C42" s="351">
        <f>CS_PID!C42/VLOOKUP($B42,표2[#ALL],2)</f>
        <v>0</v>
      </c>
      <c r="D42" s="351">
        <f>CS_PID!D42/VLOOKUP($B42,표2[#ALL],2)</f>
        <v>0.03029776515</v>
      </c>
      <c r="E42" s="351">
        <f>CS_PID!E42/VLOOKUP($B42,표2[#ALL],2)</f>
        <v>0.01893610322</v>
      </c>
      <c r="F42" s="351">
        <f>CS_PID!F42/VLOOKUP($B42,표2[#ALL],2)</f>
        <v>0</v>
      </c>
      <c r="G42" s="351">
        <f>CS_PID!G42/VLOOKUP($B42,표2[#ALL],2)</f>
        <v>0</v>
      </c>
      <c r="H42" s="351">
        <f>CS_PID!H42/VLOOKUP($B42,표2[#ALL],2)</f>
        <v>0</v>
      </c>
      <c r="I42" s="351">
        <f>CS_PID!I42/VLOOKUP($B42,표2[#ALL],2)</f>
        <v>0.01514888257</v>
      </c>
      <c r="J42" s="351">
        <f>CS_PID!J42/VLOOKUP($B42,표2[#ALL],2)</f>
        <v>0.07953163351</v>
      </c>
      <c r="K42" s="351">
        <f>CS_PID!K42/VLOOKUP($B42,표2[#ALL],2)</f>
        <v>0.007574441287</v>
      </c>
      <c r="L42" s="351">
        <f>CS_PID!L42/VLOOKUP($B42,표2[#ALL],2)</f>
        <v>0</v>
      </c>
      <c r="M42" s="351">
        <f>CS_PID!M42/VLOOKUP($B42,표2[#ALL],2)</f>
        <v>0</v>
      </c>
      <c r="N42" s="351">
        <f>CS_PID!N42/VLOOKUP($B42,표2[#ALL],2)</f>
        <v>0</v>
      </c>
      <c r="O42" s="351">
        <f>CS_PID!O42/VLOOKUP($B42,표2[#ALL],2)</f>
        <v>0.09089329544</v>
      </c>
      <c r="P42" s="351">
        <f>CS_PID!P42/VLOOKUP($B42,표2[#ALL],2)</f>
        <v>0.09468051609</v>
      </c>
      <c r="Q42" s="351">
        <f>CS_PID!Q42/VLOOKUP($B42,표2[#ALL],2)</f>
        <v>0.01514888257</v>
      </c>
      <c r="R42" s="351">
        <f>CS_PID!R42/VLOOKUP($B42,표2[#ALL],2)</f>
        <v>0</v>
      </c>
      <c r="S42" s="351">
        <f>CS_PID!S42/VLOOKUP($B42,표2[#ALL],2)</f>
        <v>0</v>
      </c>
      <c r="T42" s="351">
        <f>CS_PID!T42/VLOOKUP($B42,표2[#ALL],2)</f>
        <v>0</v>
      </c>
      <c r="U42" s="351">
        <f>CS_PID!U42/VLOOKUP($B42,표2[#ALL],2)</f>
        <v>0.05302108901</v>
      </c>
      <c r="V42" s="351">
        <f>CS_PID!V42/VLOOKUP($B42,표2[#ALL],2)</f>
        <v>0.09846773673</v>
      </c>
      <c r="W42" s="351">
        <f>CS_PID!W42/VLOOKUP($B42,표2[#ALL],2)</f>
        <v>0</v>
      </c>
      <c r="X42" s="351">
        <f>CS_PID!X42/VLOOKUP($B42,표2[#ALL],2)</f>
        <v>0</v>
      </c>
      <c r="Y42" s="351">
        <f>CS_PID!Y42/VLOOKUP($B42,표2[#ALL],2)</f>
        <v>0</v>
      </c>
      <c r="Z42" s="351">
        <f>CS_PID!Z42/VLOOKUP($B42,표2[#ALL],2)</f>
        <v>0.003787220644</v>
      </c>
      <c r="AA42" s="351">
        <f>CS_PID!AA42/VLOOKUP($B42,표2[#ALL],2)</f>
        <v>0.01514888257</v>
      </c>
      <c r="AB42" s="351">
        <f>CS_PID!AB42/VLOOKUP($B42,표2[#ALL],2)</f>
        <v>0.01136166193</v>
      </c>
      <c r="AC42" s="351">
        <f>CS_PID!AC42/VLOOKUP($B42,표2[#ALL],2)</f>
        <v>0.003787220644</v>
      </c>
      <c r="AD42" s="351">
        <f>CS_PID!AD42/VLOOKUP($B42,표2[#ALL],2)</f>
        <v>0</v>
      </c>
      <c r="AE42" s="351">
        <f>CS_PID!AE42/VLOOKUP($B42,표2[#ALL],2)</f>
        <v>0</v>
      </c>
      <c r="AF42" s="351">
        <f>CS_PID!AF42/VLOOKUP($B42,표2[#ALL],2)</f>
        <v>0</v>
      </c>
      <c r="AG42" s="351">
        <f>CS_PID!AG42/VLOOKUP($B42,표2[#ALL],2)</f>
        <v>0.007574441287</v>
      </c>
      <c r="AH42" s="351">
        <f>CS_PID!AH42/VLOOKUP($B42,표2[#ALL],2)</f>
        <v>0.003787220644</v>
      </c>
      <c r="AI42" s="351">
        <f>CS_PID!AI42/VLOOKUP($B42,표2[#ALL],2)</f>
        <v>0</v>
      </c>
      <c r="AJ42" s="351">
        <f>CS_PID!AJ42/VLOOKUP($B42,표2[#ALL],2)</f>
        <v>0</v>
      </c>
      <c r="AK42" s="351">
        <f>CS_PID!AK42/VLOOKUP($B42,표2[#ALL],2)</f>
        <v>0</v>
      </c>
      <c r="AL42" s="351">
        <f>CS_PID!AL42/VLOOKUP($B42,표2[#ALL],2)</f>
        <v>0</v>
      </c>
      <c r="AM42" s="351">
        <f>CS_PID!AM42/VLOOKUP($B42,표2[#ALL],2)</f>
        <v>0</v>
      </c>
      <c r="AN42" s="351">
        <f>CS_PID!AN42/VLOOKUP($B42,표2[#ALL],2)</f>
        <v>0</v>
      </c>
      <c r="AO42" s="351">
        <f>CS_PID!AO42/VLOOKUP($B42,표2[#ALL],2)</f>
        <v>0</v>
      </c>
      <c r="AP42" s="351">
        <f>CS_PID!AP42/VLOOKUP($B42,표2[#ALL],2)</f>
        <v>0</v>
      </c>
      <c r="AQ42" s="351">
        <f>CS_PID!AQ42/VLOOKUP($B42,표2[#ALL],2)</f>
        <v>0</v>
      </c>
      <c r="AR42" s="351">
        <f>CS_PID!AR42/VLOOKUP($B42,표2[#ALL],2)</f>
        <v>0</v>
      </c>
      <c r="AS42" s="351">
        <f>CS_PID!AS42/VLOOKUP($B42,표2[#ALL],2)</f>
        <v>0</v>
      </c>
    </row>
    <row r="43">
      <c r="A43" s="149" t="s">
        <v>80</v>
      </c>
      <c r="B43" s="150">
        <v>304.0</v>
      </c>
      <c r="C43" s="352">
        <f>CS_PID!C43/VLOOKUP($B43,표2[#ALL],2)</f>
        <v>0.01254372334</v>
      </c>
      <c r="D43" s="352">
        <f>CS_PID!D43/VLOOKUP($B43,표2[#ALL],2)</f>
        <v>0.277753874</v>
      </c>
      <c r="E43" s="352">
        <f>CS_PID!E43/VLOOKUP($B43,표2[#ALL],2)</f>
        <v>0.3422644512</v>
      </c>
      <c r="F43" s="352">
        <f>CS_PID!F43/VLOOKUP($B43,표2[#ALL],2)</f>
        <v>0.1272291939</v>
      </c>
      <c r="G43" s="352">
        <f>CS_PID!G43/VLOOKUP($B43,표2[#ALL],2)</f>
        <v>0.001791960478</v>
      </c>
      <c r="H43" s="352">
        <f>CS_PID!H43/VLOOKUP($B43,표2[#ALL],2)</f>
        <v>0.005375881433</v>
      </c>
      <c r="I43" s="352">
        <f>CS_PID!I43/VLOOKUP($B43,표2[#ALL],2)</f>
        <v>0.1523166406</v>
      </c>
      <c r="J43" s="352">
        <f>CS_PID!J43/VLOOKUP($B43,표2[#ALL],2)</f>
        <v>1.032169235</v>
      </c>
      <c r="K43" s="352">
        <f>CS_PID!K43/VLOOKUP($B43,표2[#ALL],2)</f>
        <v>0.3368885698</v>
      </c>
      <c r="L43" s="352">
        <f>CS_PID!L43/VLOOKUP($B43,표2[#ALL],2)</f>
        <v>0.02687940716</v>
      </c>
      <c r="M43" s="352">
        <f>CS_PID!M43/VLOOKUP($B43,표2[#ALL],2)</f>
        <v>0</v>
      </c>
      <c r="N43" s="352">
        <f>CS_PID!N43/VLOOKUP($B43,표2[#ALL],2)</f>
        <v>0.003583920955</v>
      </c>
      <c r="O43" s="352">
        <f>CS_PID!O43/VLOOKUP($B43,표2[#ALL],2)</f>
        <v>0.0878060634</v>
      </c>
      <c r="P43" s="352">
        <f>CS_PID!P43/VLOOKUP($B43,표2[#ALL],2)</f>
        <v>1.060840603</v>
      </c>
      <c r="Q43" s="352">
        <f>CS_PID!Q43/VLOOKUP($B43,표2[#ALL],2)</f>
        <v>0.9443631717</v>
      </c>
      <c r="R43" s="352">
        <f>CS_PID!R43/VLOOKUP($B43,표2[#ALL],2)</f>
        <v>0.0322552886</v>
      </c>
      <c r="S43" s="352">
        <f>CS_PID!S43/VLOOKUP($B43,표2[#ALL],2)</f>
        <v>0</v>
      </c>
      <c r="T43" s="352">
        <f>CS_PID!T43/VLOOKUP($B43,표2[#ALL],2)</f>
        <v>0</v>
      </c>
      <c r="U43" s="352">
        <f>CS_PID!U43/VLOOKUP($B43,표2[#ALL],2)</f>
        <v>0.04838293289</v>
      </c>
      <c r="V43" s="352">
        <f>CS_PID!V43/VLOOKUP($B43,표2[#ALL],2)</f>
        <v>1.098471773</v>
      </c>
      <c r="W43" s="352">
        <f>CS_PID!W43/VLOOKUP($B43,표2[#ALL],2)</f>
        <v>0.6253942067</v>
      </c>
      <c r="X43" s="352">
        <f>CS_PID!X43/VLOOKUP($B43,표2[#ALL],2)</f>
        <v>0.02150352573</v>
      </c>
      <c r="Y43" s="352">
        <f>CS_PID!Y43/VLOOKUP($B43,표2[#ALL],2)</f>
        <v>0</v>
      </c>
      <c r="Z43" s="352">
        <f>CS_PID!Z43/VLOOKUP($B43,표2[#ALL],2)</f>
        <v>0</v>
      </c>
      <c r="AA43" s="352">
        <f>CS_PID!AA43/VLOOKUP($B43,표2[#ALL],2)</f>
        <v>0.01254372334</v>
      </c>
      <c r="AB43" s="352">
        <f>CS_PID!AB43/VLOOKUP($B43,표2[#ALL],2)</f>
        <v>0.2508744669</v>
      </c>
      <c r="AC43" s="352">
        <f>CS_PID!AC43/VLOOKUP($B43,표2[#ALL],2)</f>
        <v>0.2867136764</v>
      </c>
      <c r="AD43" s="352">
        <f>CS_PID!AD43/VLOOKUP($B43,표2[#ALL],2)</f>
        <v>0.001791960478</v>
      </c>
      <c r="AE43" s="352">
        <f>CS_PID!AE43/VLOOKUP($B43,표2[#ALL],2)</f>
        <v>0</v>
      </c>
      <c r="AF43" s="352">
        <f>CS_PID!AF43/VLOOKUP($B43,표2[#ALL],2)</f>
        <v>0</v>
      </c>
      <c r="AG43" s="352">
        <f>CS_PID!AG43/VLOOKUP($B43,표2[#ALL],2)</f>
        <v>0.003583920955</v>
      </c>
      <c r="AH43" s="352">
        <f>CS_PID!AH43/VLOOKUP($B43,표2[#ALL],2)</f>
        <v>0.1326050753</v>
      </c>
      <c r="AI43" s="352">
        <f>CS_PID!AI43/VLOOKUP($B43,표2[#ALL],2)</f>
        <v>0.03046332812</v>
      </c>
      <c r="AJ43" s="352">
        <f>CS_PID!AJ43/VLOOKUP($B43,표2[#ALL],2)</f>
        <v>0.001791960478</v>
      </c>
      <c r="AK43" s="352">
        <f>CS_PID!AK43/VLOOKUP($B43,표2[#ALL],2)</f>
        <v>0</v>
      </c>
      <c r="AL43" s="352">
        <f>CS_PID!AL43/VLOOKUP($B43,표2[#ALL],2)</f>
        <v>0.003583920955</v>
      </c>
      <c r="AM43" s="352">
        <f>CS_PID!AM43/VLOOKUP($B43,표2[#ALL],2)</f>
        <v>0.008959802388</v>
      </c>
      <c r="AN43" s="352">
        <f>CS_PID!AN43/VLOOKUP($B43,표2[#ALL],2)</f>
        <v>0.001791960478</v>
      </c>
      <c r="AO43" s="352">
        <f>CS_PID!AO43/VLOOKUP($B43,표2[#ALL],2)</f>
        <v>0</v>
      </c>
      <c r="AP43" s="352">
        <f>CS_PID!AP43/VLOOKUP($B43,표2[#ALL],2)</f>
        <v>0</v>
      </c>
      <c r="AQ43" s="352">
        <f>CS_PID!AQ43/VLOOKUP($B43,표2[#ALL],2)</f>
        <v>0</v>
      </c>
      <c r="AR43" s="352">
        <f>CS_PID!AR43/VLOOKUP($B43,표2[#ALL],2)</f>
        <v>0</v>
      </c>
      <c r="AS43" s="352">
        <f>CS_PID!AS43/VLOOKUP($B43,표2[#ALL],2)</f>
        <v>0</v>
      </c>
    </row>
    <row r="44">
      <c r="A44" s="153" t="s">
        <v>80</v>
      </c>
      <c r="B44" s="154">
        <v>305.0</v>
      </c>
      <c r="C44" s="353">
        <f>CS_PID!C44/VLOOKUP($B44,표2[#ALL],2)</f>
        <v>0.006343036143</v>
      </c>
      <c r="D44" s="353">
        <f>CS_PID!D44/VLOOKUP($B44,표2[#ALL],2)</f>
        <v>0.2954042547</v>
      </c>
      <c r="E44" s="353">
        <f>CS_PID!E44/VLOOKUP($B44,표2[#ALL],2)</f>
        <v>0.3706145403</v>
      </c>
      <c r="F44" s="353">
        <f>CS_PID!F44/VLOOKUP($B44,표2[#ALL],2)</f>
        <v>0.1377344991</v>
      </c>
      <c r="G44" s="353">
        <f>CS_PID!G44/VLOOKUP($B44,표2[#ALL],2)</f>
        <v>0.0009061480204</v>
      </c>
      <c r="H44" s="353">
        <f>CS_PID!H44/VLOOKUP($B44,표2[#ALL],2)</f>
        <v>0.003624592082</v>
      </c>
      <c r="I44" s="353">
        <f>CS_PID!I44/VLOOKUP($B44,표2[#ALL],2)</f>
        <v>0.1612943476</v>
      </c>
      <c r="J44" s="353">
        <f>CS_PID!J44/VLOOKUP($B44,표2[#ALL],2)</f>
        <v>1.067442368</v>
      </c>
      <c r="K44" s="353">
        <f>CS_PID!K44/VLOOKUP($B44,표2[#ALL],2)</f>
        <v>0.3706145403</v>
      </c>
      <c r="L44" s="353">
        <f>CS_PID!L44/VLOOKUP($B44,표2[#ALL],2)</f>
        <v>0.01721681239</v>
      </c>
      <c r="M44" s="353">
        <f>CS_PID!M44/VLOOKUP($B44,표2[#ALL],2)</f>
        <v>0</v>
      </c>
      <c r="N44" s="353">
        <f>CS_PID!N44/VLOOKUP($B44,표2[#ALL],2)</f>
        <v>0</v>
      </c>
      <c r="O44" s="353">
        <f>CS_PID!O44/VLOOKUP($B44,표2[#ALL],2)</f>
        <v>0.1250484268</v>
      </c>
      <c r="P44" s="353">
        <f>CS_PID!P44/VLOOKUP($B44,표2[#ALL],2)</f>
        <v>1.081034588</v>
      </c>
      <c r="Q44" s="353">
        <f>CS_PID!Q44/VLOOKUP($B44,표2[#ALL],2)</f>
        <v>0.9596107536</v>
      </c>
      <c r="R44" s="353">
        <f>CS_PID!R44/VLOOKUP($B44,표2[#ALL],2)</f>
        <v>0.03080903269</v>
      </c>
      <c r="S44" s="353">
        <f>CS_PID!S44/VLOOKUP($B44,표2[#ALL],2)</f>
        <v>0</v>
      </c>
      <c r="T44" s="353">
        <f>CS_PID!T44/VLOOKUP($B44,표2[#ALL],2)</f>
        <v>0</v>
      </c>
      <c r="U44" s="353">
        <f>CS_PID!U44/VLOOKUP($B44,표2[#ALL],2)</f>
        <v>0.04077666092</v>
      </c>
      <c r="V44" s="353">
        <f>CS_PID!V44/VLOOKUP($B44,표2[#ALL],2)</f>
        <v>1.103688289</v>
      </c>
      <c r="W44" s="353">
        <f>CS_PID!W44/VLOOKUP($B44,표2[#ALL],2)</f>
        <v>0.6424589465</v>
      </c>
      <c r="X44" s="353">
        <f>CS_PID!X44/VLOOKUP($B44,표2[#ALL],2)</f>
        <v>0.03080903269</v>
      </c>
      <c r="Y44" s="353">
        <f>CS_PID!Y44/VLOOKUP($B44,표2[#ALL],2)</f>
        <v>0</v>
      </c>
      <c r="Z44" s="353">
        <f>CS_PID!Z44/VLOOKUP($B44,표2[#ALL],2)</f>
        <v>0</v>
      </c>
      <c r="AA44" s="353">
        <f>CS_PID!AA44/VLOOKUP($B44,표2[#ALL],2)</f>
        <v>0.02537214457</v>
      </c>
      <c r="AB44" s="353">
        <f>CS_PID!AB44/VLOOKUP($B44,표2[#ALL],2)</f>
        <v>0.3524915799</v>
      </c>
      <c r="AC44" s="353">
        <f>CS_PID!AC44/VLOOKUP($B44,표2[#ALL],2)</f>
        <v>0.308996475</v>
      </c>
      <c r="AD44" s="353">
        <f>CS_PID!AD44/VLOOKUP($B44,표2[#ALL],2)</f>
        <v>0.002718444061</v>
      </c>
      <c r="AE44" s="353">
        <f>CS_PID!AE44/VLOOKUP($B44,표2[#ALL],2)</f>
        <v>0.0009061480204</v>
      </c>
      <c r="AF44" s="353">
        <f>CS_PID!AF44/VLOOKUP($B44,표2[#ALL],2)</f>
        <v>0</v>
      </c>
      <c r="AG44" s="353">
        <f>CS_PID!AG44/VLOOKUP($B44,표2[#ALL],2)</f>
        <v>0.006343036143</v>
      </c>
      <c r="AH44" s="353">
        <f>CS_PID!AH44/VLOOKUP($B44,표2[#ALL],2)</f>
        <v>0.1187053907</v>
      </c>
      <c r="AI44" s="353">
        <f>CS_PID!AI44/VLOOKUP($B44,표2[#ALL],2)</f>
        <v>0.0398705129</v>
      </c>
      <c r="AJ44" s="353">
        <f>CS_PID!AJ44/VLOOKUP($B44,표2[#ALL],2)</f>
        <v>0.001812296041</v>
      </c>
      <c r="AK44" s="353">
        <f>CS_PID!AK44/VLOOKUP($B44,표2[#ALL],2)</f>
        <v>0</v>
      </c>
      <c r="AL44" s="353">
        <f>CS_PID!AL44/VLOOKUP($B44,표2[#ALL],2)</f>
        <v>0.002718444061</v>
      </c>
      <c r="AM44" s="353">
        <f>CS_PID!AM44/VLOOKUP($B44,표2[#ALL],2)</f>
        <v>0.01359222031</v>
      </c>
      <c r="AN44" s="353">
        <f>CS_PID!AN44/VLOOKUP($B44,표2[#ALL],2)</f>
        <v>0.0009061480204</v>
      </c>
      <c r="AO44" s="353">
        <f>CS_PID!AO44/VLOOKUP($B44,표2[#ALL],2)</f>
        <v>0</v>
      </c>
      <c r="AP44" s="353">
        <f>CS_PID!AP44/VLOOKUP($B44,표2[#ALL],2)</f>
        <v>0</v>
      </c>
      <c r="AQ44" s="353">
        <f>CS_PID!AQ44/VLOOKUP($B44,표2[#ALL],2)</f>
        <v>0</v>
      </c>
      <c r="AR44" s="353">
        <f>CS_PID!AR44/VLOOKUP($B44,표2[#ALL],2)</f>
        <v>0</v>
      </c>
      <c r="AS44" s="353">
        <f>CS_PID!AS44/VLOOKUP($B44,표2[#ALL],2)</f>
        <v>0</v>
      </c>
    </row>
    <row r="45">
      <c r="A45" s="153" t="s">
        <v>80</v>
      </c>
      <c r="B45" s="154">
        <v>306.0</v>
      </c>
      <c r="C45" s="353">
        <f>CS_PID!C45/VLOOKUP($B45,표2[#ALL],2)</f>
        <v>0.005117834532</v>
      </c>
      <c r="D45" s="353">
        <f>CS_PID!D45/VLOOKUP($B45,표2[#ALL],2)</f>
        <v>0.2927401352</v>
      </c>
      <c r="E45" s="353">
        <f>CS_PID!E45/VLOOKUP($B45,표2[#ALL],2)</f>
        <v>0.371554787</v>
      </c>
      <c r="F45" s="353">
        <f>CS_PID!F45/VLOOKUP($B45,표2[#ALL],2)</f>
        <v>0.1412522331</v>
      </c>
      <c r="G45" s="353">
        <f>CS_PID!G45/VLOOKUP($B45,표2[#ALL],2)</f>
        <v>0.001023566906</v>
      </c>
      <c r="H45" s="353">
        <f>CS_PID!H45/VLOOKUP($B45,표2[#ALL],2)</f>
        <v>0.006141401438</v>
      </c>
      <c r="I45" s="353">
        <f>CS_PID!I45/VLOOKUP($B45,표2[#ALL],2)</f>
        <v>0.1545586029</v>
      </c>
      <c r="J45" s="353">
        <f>CS_PID!J45/VLOOKUP($B45,표2[#ALL],2)</f>
        <v>1.060415315</v>
      </c>
      <c r="K45" s="353">
        <f>CS_PID!K45/VLOOKUP($B45,표2[#ALL],2)</f>
        <v>0.3377770791</v>
      </c>
      <c r="L45" s="353">
        <f>CS_PID!L45/VLOOKUP($B45,표2[#ALL],2)</f>
        <v>0.02456560575</v>
      </c>
      <c r="M45" s="353">
        <f>CS_PID!M45/VLOOKUP($B45,표2[#ALL],2)</f>
        <v>0</v>
      </c>
      <c r="N45" s="353">
        <f>CS_PID!N45/VLOOKUP($B45,표2[#ALL],2)</f>
        <v>0.001023566906</v>
      </c>
      <c r="O45" s="353">
        <f>CS_PID!O45/VLOOKUP($B45,표2[#ALL],2)</f>
        <v>0.1453465007</v>
      </c>
      <c r="P45" s="353">
        <f>CS_PID!P45/VLOOKUP($B45,표2[#ALL],2)</f>
        <v>1.101357991</v>
      </c>
      <c r="Q45" s="353">
        <f>CS_PID!Q45/VLOOKUP($B45,표2[#ALL],2)</f>
        <v>0.8864089409</v>
      </c>
      <c r="R45" s="353">
        <f>CS_PID!R45/VLOOKUP($B45,표2[#ALL],2)</f>
        <v>0.02558917266</v>
      </c>
      <c r="S45" s="353">
        <f>CS_PID!S45/VLOOKUP($B45,표2[#ALL],2)</f>
        <v>0</v>
      </c>
      <c r="T45" s="353">
        <f>CS_PID!T45/VLOOKUP($B45,표2[#ALL],2)</f>
        <v>0</v>
      </c>
      <c r="U45" s="353">
        <f>CS_PID!U45/VLOOKUP($B45,표2[#ALL],2)</f>
        <v>0.04503694388</v>
      </c>
      <c r="V45" s="353">
        <f>CS_PID!V45/VLOOKUP($B45,표2[#ALL],2)</f>
        <v>1.146394935</v>
      </c>
      <c r="W45" s="353">
        <f>CS_PID!W45/VLOOKUP($B45,표2[#ALL],2)</f>
        <v>0.6202815453</v>
      </c>
      <c r="X45" s="353">
        <f>CS_PID!X45/VLOOKUP($B45,표2[#ALL],2)</f>
        <v>0.02251847194</v>
      </c>
      <c r="Y45" s="353">
        <f>CS_PID!Y45/VLOOKUP($B45,표2[#ALL],2)</f>
        <v>0</v>
      </c>
      <c r="Z45" s="353">
        <f>CS_PID!Z45/VLOOKUP($B45,표2[#ALL],2)</f>
        <v>0</v>
      </c>
      <c r="AA45" s="353">
        <f>CS_PID!AA45/VLOOKUP($B45,표2[#ALL],2)</f>
        <v>0.01330636978</v>
      </c>
      <c r="AB45" s="353">
        <f>CS_PID!AB45/VLOOKUP($B45,표2[#ALL],2)</f>
        <v>0.3347063784</v>
      </c>
      <c r="AC45" s="353">
        <f>CS_PID!AC45/VLOOKUP($B45,표2[#ALL],2)</f>
        <v>0.2835280331</v>
      </c>
      <c r="AD45" s="353">
        <f>CS_PID!AD45/VLOOKUP($B45,표2[#ALL],2)</f>
        <v>0.003070700719</v>
      </c>
      <c r="AE45" s="353">
        <f>CS_PID!AE45/VLOOKUP($B45,표2[#ALL],2)</f>
        <v>0</v>
      </c>
      <c r="AF45" s="353">
        <f>CS_PID!AF45/VLOOKUP($B45,표2[#ALL],2)</f>
        <v>0</v>
      </c>
      <c r="AG45" s="353">
        <f>CS_PID!AG45/VLOOKUP($B45,표2[#ALL],2)</f>
        <v>0.005117834532</v>
      </c>
      <c r="AH45" s="353">
        <f>CS_PID!AH45/VLOOKUP($B45,표2[#ALL],2)</f>
        <v>0.1177101942</v>
      </c>
      <c r="AI45" s="353">
        <f>CS_PID!AI45/VLOOKUP($B45,표2[#ALL],2)</f>
        <v>0.01842420432</v>
      </c>
      <c r="AJ45" s="353">
        <f>CS_PID!AJ45/VLOOKUP($B45,표2[#ALL],2)</f>
        <v>0.002047133813</v>
      </c>
      <c r="AK45" s="353">
        <f>CS_PID!AK45/VLOOKUP($B45,표2[#ALL],2)</f>
        <v>0</v>
      </c>
      <c r="AL45" s="353">
        <f>CS_PID!AL45/VLOOKUP($B45,표2[#ALL],2)</f>
        <v>0.001023566906</v>
      </c>
      <c r="AM45" s="353">
        <f>CS_PID!AM45/VLOOKUP($B45,표2[#ALL],2)</f>
        <v>0.01330636978</v>
      </c>
      <c r="AN45" s="353">
        <f>CS_PID!AN45/VLOOKUP($B45,표2[#ALL],2)</f>
        <v>0.005117834532</v>
      </c>
      <c r="AO45" s="353">
        <f>CS_PID!AO45/VLOOKUP($B45,표2[#ALL],2)</f>
        <v>0.001023566906</v>
      </c>
      <c r="AP45" s="353">
        <f>CS_PID!AP45/VLOOKUP($B45,표2[#ALL],2)</f>
        <v>0</v>
      </c>
      <c r="AQ45" s="353">
        <f>CS_PID!AQ45/VLOOKUP($B45,표2[#ALL],2)</f>
        <v>0</v>
      </c>
      <c r="AR45" s="353">
        <f>CS_PID!AR45/VLOOKUP($B45,표2[#ALL],2)</f>
        <v>0</v>
      </c>
      <c r="AS45" s="353">
        <f>CS_PID!AS45/VLOOKUP($B45,표2[#ALL],2)</f>
        <v>0</v>
      </c>
    </row>
    <row r="46">
      <c r="A46" s="153" t="s">
        <v>80</v>
      </c>
      <c r="B46" s="154">
        <v>307.0</v>
      </c>
      <c r="C46" s="353">
        <f>CS_PID!C46/VLOOKUP($B46,표2[#ALL],2)</f>
        <v>0.01834905531</v>
      </c>
      <c r="D46" s="353">
        <f>CS_PID!D46/VLOOKUP($B46,표2[#ALL],2)</f>
        <v>0.2477122467</v>
      </c>
      <c r="E46" s="353">
        <f>CS_PID!E46/VLOOKUP($B46,표2[#ALL],2)</f>
        <v>0.2568867743</v>
      </c>
      <c r="F46" s="353">
        <f>CS_PID!F46/VLOOKUP($B46,표2[#ALL],2)</f>
        <v>0.09174527654</v>
      </c>
      <c r="G46" s="353">
        <f>CS_PID!G46/VLOOKUP($B46,표2[#ALL],2)</f>
        <v>0</v>
      </c>
      <c r="H46" s="353">
        <f>CS_PID!H46/VLOOKUP($B46,표2[#ALL],2)</f>
        <v>0.009174527654</v>
      </c>
      <c r="I46" s="353">
        <f>CS_PID!I46/VLOOKUP($B46,표2[#ALL],2)</f>
        <v>0.1467924425</v>
      </c>
      <c r="J46" s="353">
        <f>CS_PID!J46/VLOOKUP($B46,표2[#ALL],2)</f>
        <v>1.036721625</v>
      </c>
      <c r="K46" s="353">
        <f>CS_PID!K46/VLOOKUP($B46,표2[#ALL],2)</f>
        <v>0.477075438</v>
      </c>
      <c r="L46" s="353">
        <f>CS_PID!L46/VLOOKUP($B46,표2[#ALL],2)</f>
        <v>0.03669811062</v>
      </c>
      <c r="M46" s="353">
        <f>CS_PID!M46/VLOOKUP($B46,표2[#ALL],2)</f>
        <v>0</v>
      </c>
      <c r="N46" s="353">
        <f>CS_PID!N46/VLOOKUP($B46,표2[#ALL],2)</f>
        <v>0</v>
      </c>
      <c r="O46" s="353">
        <f>CS_PID!O46/VLOOKUP($B46,표2[#ALL],2)</f>
        <v>0.1284433872</v>
      </c>
      <c r="P46" s="353">
        <f>CS_PID!P46/VLOOKUP($B46,표2[#ALL],2)</f>
        <v>1.192688595</v>
      </c>
      <c r="Q46" s="353">
        <f>CS_PID!Q46/VLOOKUP($B46,표2[#ALL],2)</f>
        <v>0.981674459</v>
      </c>
      <c r="R46" s="353">
        <f>CS_PID!R46/VLOOKUP($B46,표2[#ALL],2)</f>
        <v>0.03669811062</v>
      </c>
      <c r="S46" s="353">
        <f>CS_PID!S46/VLOOKUP($B46,표2[#ALL],2)</f>
        <v>0</v>
      </c>
      <c r="T46" s="353">
        <f>CS_PID!T46/VLOOKUP($B46,표2[#ALL],2)</f>
        <v>0</v>
      </c>
      <c r="U46" s="353">
        <f>CS_PID!U46/VLOOKUP($B46,표2[#ALL],2)</f>
        <v>0.04587263827</v>
      </c>
      <c r="V46" s="353">
        <f>CS_PID!V46/VLOOKUP($B46,표2[#ALL],2)</f>
        <v>1.256910289</v>
      </c>
      <c r="W46" s="353">
        <f>CS_PID!W46/VLOOKUP($B46,표2[#ALL],2)</f>
        <v>0.6055188252</v>
      </c>
      <c r="X46" s="353">
        <f>CS_PID!X46/VLOOKUP($B46,표2[#ALL],2)</f>
        <v>0.02752358296</v>
      </c>
      <c r="Y46" s="353">
        <f>CS_PID!Y46/VLOOKUP($B46,표2[#ALL],2)</f>
        <v>0</v>
      </c>
      <c r="Z46" s="353">
        <f>CS_PID!Z46/VLOOKUP($B46,표2[#ALL],2)</f>
        <v>0</v>
      </c>
      <c r="AA46" s="353">
        <f>CS_PID!AA46/VLOOKUP($B46,표2[#ALL],2)</f>
        <v>0.02752358296</v>
      </c>
      <c r="AB46" s="353">
        <f>CS_PID!AB46/VLOOKUP($B46,표2[#ALL],2)</f>
        <v>0.4220282721</v>
      </c>
      <c r="AC46" s="353">
        <f>CS_PID!AC46/VLOOKUP($B46,표2[#ALL],2)</f>
        <v>0.2477122467</v>
      </c>
      <c r="AD46" s="353">
        <f>CS_PID!AD46/VLOOKUP($B46,표2[#ALL],2)</f>
        <v>0</v>
      </c>
      <c r="AE46" s="353">
        <f>CS_PID!AE46/VLOOKUP($B46,표2[#ALL],2)</f>
        <v>0</v>
      </c>
      <c r="AF46" s="353">
        <f>CS_PID!AF46/VLOOKUP($B46,표2[#ALL],2)</f>
        <v>0</v>
      </c>
      <c r="AG46" s="353">
        <f>CS_PID!AG46/VLOOKUP($B46,표2[#ALL],2)</f>
        <v>0</v>
      </c>
      <c r="AH46" s="353">
        <f>CS_PID!AH46/VLOOKUP($B46,표2[#ALL],2)</f>
        <v>0.1100943319</v>
      </c>
      <c r="AI46" s="353">
        <f>CS_PID!AI46/VLOOKUP($B46,표2[#ALL],2)</f>
        <v>0.02752358296</v>
      </c>
      <c r="AJ46" s="353">
        <f>CS_PID!AJ46/VLOOKUP($B46,표2[#ALL],2)</f>
        <v>0</v>
      </c>
      <c r="AK46" s="353">
        <f>CS_PID!AK46/VLOOKUP($B46,표2[#ALL],2)</f>
        <v>0</v>
      </c>
      <c r="AL46" s="353">
        <f>CS_PID!AL46/VLOOKUP($B46,표2[#ALL],2)</f>
        <v>0.009174527654</v>
      </c>
      <c r="AM46" s="353">
        <f>CS_PID!AM46/VLOOKUP($B46,표2[#ALL],2)</f>
        <v>0.009174527654</v>
      </c>
      <c r="AN46" s="353">
        <f>CS_PID!AN46/VLOOKUP($B46,표2[#ALL],2)</f>
        <v>0</v>
      </c>
      <c r="AO46" s="353">
        <f>CS_PID!AO46/VLOOKUP($B46,표2[#ALL],2)</f>
        <v>0</v>
      </c>
      <c r="AP46" s="353">
        <f>CS_PID!AP46/VLOOKUP($B46,표2[#ALL],2)</f>
        <v>0</v>
      </c>
      <c r="AQ46" s="353">
        <f>CS_PID!AQ46/VLOOKUP($B46,표2[#ALL],2)</f>
        <v>0</v>
      </c>
      <c r="AR46" s="353">
        <f>CS_PID!AR46/VLOOKUP($B46,표2[#ALL],2)</f>
        <v>0</v>
      </c>
      <c r="AS46" s="353">
        <f>CS_PID!AS46/VLOOKUP($B46,표2[#ALL],2)</f>
        <v>0</v>
      </c>
    </row>
    <row r="47">
      <c r="A47" s="153" t="s">
        <v>80</v>
      </c>
      <c r="B47" s="154">
        <v>308.0</v>
      </c>
      <c r="C47" s="353">
        <f>CS_PID!C47/VLOOKUP($B47,표2[#ALL],2)</f>
        <v>0</v>
      </c>
      <c r="D47" s="353">
        <f>CS_PID!D47/VLOOKUP($B47,표2[#ALL],2)</f>
        <v>0.2020991052</v>
      </c>
      <c r="E47" s="353">
        <f>CS_PID!E47/VLOOKUP($B47,표2[#ALL],2)</f>
        <v>0.4330695112</v>
      </c>
      <c r="F47" s="353">
        <f>CS_PID!F47/VLOOKUP($B47,표2[#ALL],2)</f>
        <v>0.08661390225</v>
      </c>
      <c r="G47" s="353">
        <f>CS_PID!G47/VLOOKUP($B47,표2[#ALL],2)</f>
        <v>0</v>
      </c>
      <c r="H47" s="353">
        <f>CS_PID!H47/VLOOKUP($B47,표2[#ALL],2)</f>
        <v>0.01443565037</v>
      </c>
      <c r="I47" s="353">
        <f>CS_PID!I47/VLOOKUP($B47,표2[#ALL],2)</f>
        <v>0.04330695112</v>
      </c>
      <c r="J47" s="353">
        <f>CS_PID!J47/VLOOKUP($B47,표2[#ALL],2)</f>
        <v>0.7650894699</v>
      </c>
      <c r="K47" s="353">
        <f>CS_PID!K47/VLOOKUP($B47,표2[#ALL],2)</f>
        <v>0.4186338609</v>
      </c>
      <c r="L47" s="353">
        <f>CS_PID!L47/VLOOKUP($B47,표2[#ALL],2)</f>
        <v>0.02887130075</v>
      </c>
      <c r="M47" s="353">
        <f>CS_PID!M47/VLOOKUP($B47,표2[#ALL],2)</f>
        <v>0</v>
      </c>
      <c r="N47" s="353">
        <f>CS_PID!N47/VLOOKUP($B47,표2[#ALL],2)</f>
        <v>0.01443565037</v>
      </c>
      <c r="O47" s="353">
        <f>CS_PID!O47/VLOOKUP($B47,표2[#ALL],2)</f>
        <v>0.1732278045</v>
      </c>
      <c r="P47" s="353">
        <f>CS_PID!P47/VLOOKUP($B47,표2[#ALL],2)</f>
        <v>0.9816242255</v>
      </c>
      <c r="Q47" s="353">
        <f>CS_PID!Q47/VLOOKUP($B47,표2[#ALL],2)</f>
        <v>0.8805746728</v>
      </c>
      <c r="R47" s="353">
        <f>CS_PID!R47/VLOOKUP($B47,표2[#ALL],2)</f>
        <v>0.0577426015</v>
      </c>
      <c r="S47" s="353">
        <f>CS_PID!S47/VLOOKUP($B47,표2[#ALL],2)</f>
        <v>0</v>
      </c>
      <c r="T47" s="353">
        <f>CS_PID!T47/VLOOKUP($B47,표2[#ALL],2)</f>
        <v>0</v>
      </c>
      <c r="U47" s="353">
        <f>CS_PID!U47/VLOOKUP($B47,표2[#ALL],2)</f>
        <v>0.02887130075</v>
      </c>
      <c r="V47" s="353">
        <f>CS_PID!V47/VLOOKUP($B47,표2[#ALL],2)</f>
        <v>0.9960598758</v>
      </c>
      <c r="W47" s="353">
        <f>CS_PID!W47/VLOOKUP($B47,표2[#ALL],2)</f>
        <v>0.6496042669</v>
      </c>
      <c r="X47" s="353">
        <f>CS_PID!X47/VLOOKUP($B47,표2[#ALL],2)</f>
        <v>0.0577426015</v>
      </c>
      <c r="Y47" s="353">
        <f>CS_PID!Y47/VLOOKUP($B47,표2[#ALL],2)</f>
        <v>0</v>
      </c>
      <c r="Z47" s="353">
        <f>CS_PID!Z47/VLOOKUP($B47,표2[#ALL],2)</f>
        <v>0</v>
      </c>
      <c r="AA47" s="353">
        <f>CS_PID!AA47/VLOOKUP($B47,표2[#ALL],2)</f>
        <v>0.02887130075</v>
      </c>
      <c r="AB47" s="353">
        <f>CS_PID!AB47/VLOOKUP($B47,표2[#ALL],2)</f>
        <v>0.3608912594</v>
      </c>
      <c r="AC47" s="353">
        <f>CS_PID!AC47/VLOOKUP($B47,표2[#ALL],2)</f>
        <v>0.3608912594</v>
      </c>
      <c r="AD47" s="353">
        <f>CS_PID!AD47/VLOOKUP($B47,표2[#ALL],2)</f>
        <v>0</v>
      </c>
      <c r="AE47" s="353">
        <f>CS_PID!AE47/VLOOKUP($B47,표2[#ALL],2)</f>
        <v>0</v>
      </c>
      <c r="AF47" s="353">
        <f>CS_PID!AF47/VLOOKUP($B47,표2[#ALL],2)</f>
        <v>0</v>
      </c>
      <c r="AG47" s="353">
        <f>CS_PID!AG47/VLOOKUP($B47,표2[#ALL],2)</f>
        <v>0.01443565037</v>
      </c>
      <c r="AH47" s="353">
        <f>CS_PID!AH47/VLOOKUP($B47,표2[#ALL],2)</f>
        <v>0.115485203</v>
      </c>
      <c r="AI47" s="353">
        <f>CS_PID!AI47/VLOOKUP($B47,표2[#ALL],2)</f>
        <v>0</v>
      </c>
      <c r="AJ47" s="353">
        <f>CS_PID!AJ47/VLOOKUP($B47,표2[#ALL],2)</f>
        <v>0</v>
      </c>
      <c r="AK47" s="353">
        <f>CS_PID!AK47/VLOOKUP($B47,표2[#ALL],2)</f>
        <v>0</v>
      </c>
      <c r="AL47" s="353">
        <f>CS_PID!AL47/VLOOKUP($B47,표2[#ALL],2)</f>
        <v>0.01443565037</v>
      </c>
      <c r="AM47" s="353">
        <f>CS_PID!AM47/VLOOKUP($B47,표2[#ALL],2)</f>
        <v>0</v>
      </c>
      <c r="AN47" s="353">
        <f>CS_PID!AN47/VLOOKUP($B47,표2[#ALL],2)</f>
        <v>0</v>
      </c>
      <c r="AO47" s="353">
        <f>CS_PID!AO47/VLOOKUP($B47,표2[#ALL],2)</f>
        <v>0</v>
      </c>
      <c r="AP47" s="353">
        <f>CS_PID!AP47/VLOOKUP($B47,표2[#ALL],2)</f>
        <v>0</v>
      </c>
      <c r="AQ47" s="353">
        <f>CS_PID!AQ47/VLOOKUP($B47,표2[#ALL],2)</f>
        <v>0</v>
      </c>
      <c r="AR47" s="353">
        <f>CS_PID!AR47/VLOOKUP($B47,표2[#ALL],2)</f>
        <v>0</v>
      </c>
      <c r="AS47" s="353">
        <f>CS_PID!AS47/VLOOKUP($B47,표2[#ALL],2)</f>
        <v>0</v>
      </c>
    </row>
    <row r="48">
      <c r="A48" s="153" t="s">
        <v>80</v>
      </c>
      <c r="B48" s="154">
        <v>309.0</v>
      </c>
      <c r="C48" s="353">
        <f>CS_PID!C48/VLOOKUP($B48,표2[#ALL],2)</f>
        <v>0</v>
      </c>
      <c r="D48" s="353">
        <f>CS_PID!D48/VLOOKUP($B48,표2[#ALL],2)</f>
        <v>0.2800682483</v>
      </c>
      <c r="E48" s="353">
        <f>CS_PID!E48/VLOOKUP($B48,표2[#ALL],2)</f>
        <v>0.3645332755</v>
      </c>
      <c r="F48" s="353">
        <f>CS_PID!F48/VLOOKUP($B48,표2[#ALL],2)</f>
        <v>0.106692666</v>
      </c>
      <c r="G48" s="353">
        <f>CS_PID!G48/VLOOKUP($B48,표2[#ALL],2)</f>
        <v>0</v>
      </c>
      <c r="H48" s="353">
        <f>CS_PID!H48/VLOOKUP($B48,표2[#ALL],2)</f>
        <v>0.017782111</v>
      </c>
      <c r="I48" s="353">
        <f>CS_PID!I48/VLOOKUP($B48,표2[#ALL],2)</f>
        <v>0.1378113603</v>
      </c>
      <c r="J48" s="353">
        <f>CS_PID!J48/VLOOKUP($B48,표2[#ALL],2)</f>
        <v>1.084708771</v>
      </c>
      <c r="K48" s="353">
        <f>CS_PID!K48/VLOOKUP($B48,표2[#ALL],2)</f>
        <v>0.35564222</v>
      </c>
      <c r="L48" s="353">
        <f>CS_PID!L48/VLOOKUP($B48,표2[#ALL],2)</f>
        <v>0.02222763875</v>
      </c>
      <c r="M48" s="353">
        <f>CS_PID!M48/VLOOKUP($B48,표2[#ALL],2)</f>
        <v>0</v>
      </c>
      <c r="N48" s="353">
        <f>CS_PID!N48/VLOOKUP($B48,표2[#ALL],2)</f>
        <v>0.00444552775</v>
      </c>
      <c r="O48" s="353">
        <f>CS_PID!O48/VLOOKUP($B48,표2[#ALL],2)</f>
        <v>0.1644845268</v>
      </c>
      <c r="P48" s="353">
        <f>CS_PID!P48/VLOOKUP($B48,표2[#ALL],2)</f>
        <v>1.138055104</v>
      </c>
      <c r="Q48" s="353">
        <f>CS_PID!Q48/VLOOKUP($B48,표2[#ALL],2)</f>
        <v>0.8979966056</v>
      </c>
      <c r="R48" s="353">
        <f>CS_PID!R48/VLOOKUP($B48,표2[#ALL],2)</f>
        <v>0.008891055501</v>
      </c>
      <c r="S48" s="353">
        <f>CS_PID!S48/VLOOKUP($B48,표2[#ALL],2)</f>
        <v>0</v>
      </c>
      <c r="T48" s="353">
        <f>CS_PID!T48/VLOOKUP($B48,표2[#ALL],2)</f>
        <v>0</v>
      </c>
      <c r="U48" s="353">
        <f>CS_PID!U48/VLOOKUP($B48,표2[#ALL],2)</f>
        <v>0.035564222</v>
      </c>
      <c r="V48" s="353">
        <f>CS_PID!V48/VLOOKUP($B48,표2[#ALL],2)</f>
        <v>1.133609576</v>
      </c>
      <c r="W48" s="353">
        <f>CS_PID!W48/VLOOKUP($B48,표2[#ALL],2)</f>
        <v>0.7690763008</v>
      </c>
      <c r="X48" s="353">
        <f>CS_PID!X48/VLOOKUP($B48,표2[#ALL],2)</f>
        <v>0.03111869425</v>
      </c>
      <c r="Y48" s="353">
        <f>CS_PID!Y48/VLOOKUP($B48,표2[#ALL],2)</f>
        <v>0</v>
      </c>
      <c r="Z48" s="353">
        <f>CS_PID!Z48/VLOOKUP($B48,표2[#ALL],2)</f>
        <v>0</v>
      </c>
      <c r="AA48" s="353">
        <f>CS_PID!AA48/VLOOKUP($B48,표2[#ALL],2)</f>
        <v>0.035564222</v>
      </c>
      <c r="AB48" s="353">
        <f>CS_PID!AB48/VLOOKUP($B48,표2[#ALL],2)</f>
        <v>0.2978503593</v>
      </c>
      <c r="AC48" s="353">
        <f>CS_PID!AC48/VLOOKUP($B48,표2[#ALL],2)</f>
        <v>0.373424331</v>
      </c>
      <c r="AD48" s="353">
        <f>CS_PID!AD48/VLOOKUP($B48,표2[#ALL],2)</f>
        <v>0.00444552775</v>
      </c>
      <c r="AE48" s="353">
        <f>CS_PID!AE48/VLOOKUP($B48,표2[#ALL],2)</f>
        <v>0</v>
      </c>
      <c r="AF48" s="353">
        <f>CS_PID!AF48/VLOOKUP($B48,표2[#ALL],2)</f>
        <v>0</v>
      </c>
      <c r="AG48" s="353">
        <f>CS_PID!AG48/VLOOKUP($B48,표2[#ALL],2)</f>
        <v>0</v>
      </c>
      <c r="AH48" s="353">
        <f>CS_PID!AH48/VLOOKUP($B48,표2[#ALL],2)</f>
        <v>0.1555934713</v>
      </c>
      <c r="AI48" s="353">
        <f>CS_PID!AI48/VLOOKUP($B48,표2[#ALL],2)</f>
        <v>0.008891055501</v>
      </c>
      <c r="AJ48" s="353">
        <f>CS_PID!AJ48/VLOOKUP($B48,표2[#ALL],2)</f>
        <v>0</v>
      </c>
      <c r="AK48" s="353">
        <f>CS_PID!AK48/VLOOKUP($B48,표2[#ALL],2)</f>
        <v>0</v>
      </c>
      <c r="AL48" s="353">
        <f>CS_PID!AL48/VLOOKUP($B48,표2[#ALL],2)</f>
        <v>0.00444552775</v>
      </c>
      <c r="AM48" s="353">
        <f>CS_PID!AM48/VLOOKUP($B48,표2[#ALL],2)</f>
        <v>0.008891055501</v>
      </c>
      <c r="AN48" s="353">
        <f>CS_PID!AN48/VLOOKUP($B48,표2[#ALL],2)</f>
        <v>0.00444552775</v>
      </c>
      <c r="AO48" s="353">
        <f>CS_PID!AO48/VLOOKUP($B48,표2[#ALL],2)</f>
        <v>0</v>
      </c>
      <c r="AP48" s="353">
        <f>CS_PID!AP48/VLOOKUP($B48,표2[#ALL],2)</f>
        <v>0</v>
      </c>
      <c r="AQ48" s="353">
        <f>CS_PID!AQ48/VLOOKUP($B48,표2[#ALL],2)</f>
        <v>0</v>
      </c>
      <c r="AR48" s="353">
        <f>CS_PID!AR48/VLOOKUP($B48,표2[#ALL],2)</f>
        <v>0</v>
      </c>
      <c r="AS48" s="353">
        <f>CS_PID!AS48/VLOOKUP($B48,표2[#ALL],2)</f>
        <v>0</v>
      </c>
    </row>
    <row r="49">
      <c r="A49" s="157" t="s">
        <v>80</v>
      </c>
      <c r="B49" s="158">
        <v>310.0</v>
      </c>
      <c r="C49" s="354">
        <f>CS_PID!C49/VLOOKUP($B49,표2[#ALL],2)</f>
        <v>0</v>
      </c>
      <c r="D49" s="354">
        <f>CS_PID!D49/VLOOKUP($B49,표2[#ALL],2)</f>
        <v>0.2589641834</v>
      </c>
      <c r="E49" s="354">
        <f>CS_PID!E49/VLOOKUP($B49,표2[#ALL],2)</f>
        <v>0.4010786743</v>
      </c>
      <c r="F49" s="354">
        <f>CS_PID!F49/VLOOKUP($B49,표2[#ALL],2)</f>
        <v>0.07263629534</v>
      </c>
      <c r="G49" s="354">
        <f>CS_PID!G49/VLOOKUP($B49,표2[#ALL],2)</f>
        <v>0.003158099797</v>
      </c>
      <c r="H49" s="354">
        <f>CS_PID!H49/VLOOKUP($B49,표2[#ALL],2)</f>
        <v>0.009474299392</v>
      </c>
      <c r="I49" s="354">
        <f>CS_PID!I49/VLOOKUP($B49,표2[#ALL],2)</f>
        <v>0.1200077923</v>
      </c>
      <c r="J49" s="354">
        <f>CS_PID!J49/VLOOKUP($B49,표2[#ALL],2)</f>
        <v>0.9821690369</v>
      </c>
      <c r="K49" s="354">
        <f>CS_PID!K49/VLOOKUP($B49,표2[#ALL],2)</f>
        <v>0.3000194807</v>
      </c>
      <c r="L49" s="354">
        <f>CS_PID!L49/VLOOKUP($B49,표2[#ALL],2)</f>
        <v>0.02842289818</v>
      </c>
      <c r="M49" s="354">
        <f>CS_PID!M49/VLOOKUP($B49,표2[#ALL],2)</f>
        <v>0.003158099797</v>
      </c>
      <c r="N49" s="354">
        <f>CS_PID!N49/VLOOKUP($B49,표2[#ALL],2)</f>
        <v>0</v>
      </c>
      <c r="O49" s="354">
        <f>CS_PID!O49/VLOOKUP($B49,표2[#ALL],2)</f>
        <v>0.1357982913</v>
      </c>
      <c r="P49" s="354">
        <f>CS_PID!P49/VLOOKUP($B49,표2[#ALL],2)</f>
        <v>1.117967328</v>
      </c>
      <c r="Q49" s="354">
        <f>CS_PID!Q49/VLOOKUP($B49,표2[#ALL],2)</f>
        <v>0.9126908414</v>
      </c>
      <c r="R49" s="354">
        <f>CS_PID!R49/VLOOKUP($B49,표2[#ALL],2)</f>
        <v>0.02526479838</v>
      </c>
      <c r="S49" s="354">
        <f>CS_PID!S49/VLOOKUP($B49,표2[#ALL],2)</f>
        <v>0</v>
      </c>
      <c r="T49" s="354">
        <f>CS_PID!T49/VLOOKUP($B49,표2[#ALL],2)</f>
        <v>0</v>
      </c>
      <c r="U49" s="354">
        <f>CS_PID!U49/VLOOKUP($B49,표2[#ALL],2)</f>
        <v>0.05052959676</v>
      </c>
      <c r="V49" s="354">
        <f>CS_PID!V49/VLOOKUP($B49,표2[#ALL],2)</f>
        <v>1.234817021</v>
      </c>
      <c r="W49" s="354">
        <f>CS_PID!W49/VLOOKUP($B49,표2[#ALL],2)</f>
        <v>0.6158294605</v>
      </c>
      <c r="X49" s="354">
        <f>CS_PID!X49/VLOOKUP($B49,표2[#ALL],2)</f>
        <v>0.02526479838</v>
      </c>
      <c r="Y49" s="354">
        <f>CS_PID!Y49/VLOOKUP($B49,표2[#ALL],2)</f>
        <v>0</v>
      </c>
      <c r="Z49" s="354">
        <f>CS_PID!Z49/VLOOKUP($B49,표2[#ALL],2)</f>
        <v>0.003158099797</v>
      </c>
      <c r="AA49" s="354">
        <f>CS_PID!AA49/VLOOKUP($B49,표2[#ALL],2)</f>
        <v>0.01894859878</v>
      </c>
      <c r="AB49" s="354">
        <f>CS_PID!AB49/VLOOKUP($B49,표2[#ALL],2)</f>
        <v>0.3316004787</v>
      </c>
      <c r="AC49" s="354">
        <f>CS_PID!AC49/VLOOKUP($B49,표2[#ALL],2)</f>
        <v>0.2747546824</v>
      </c>
      <c r="AD49" s="354">
        <f>CS_PID!AD49/VLOOKUP($B49,표2[#ALL],2)</f>
        <v>0</v>
      </c>
      <c r="AE49" s="354">
        <f>CS_PID!AE49/VLOOKUP($B49,표2[#ALL],2)</f>
        <v>0</v>
      </c>
      <c r="AF49" s="354">
        <f>CS_PID!AF49/VLOOKUP($B49,표2[#ALL],2)</f>
        <v>0</v>
      </c>
      <c r="AG49" s="354">
        <f>CS_PID!AG49/VLOOKUP($B49,표2[#ALL],2)</f>
        <v>0.01579049899</v>
      </c>
      <c r="AH49" s="354">
        <f>CS_PID!AH49/VLOOKUP($B49,표2[#ALL],2)</f>
        <v>0.1073753931</v>
      </c>
      <c r="AI49" s="354">
        <f>CS_PID!AI49/VLOOKUP($B49,표2[#ALL],2)</f>
        <v>0.03473909777</v>
      </c>
      <c r="AJ49" s="354">
        <f>CS_PID!AJ49/VLOOKUP($B49,표2[#ALL],2)</f>
        <v>0</v>
      </c>
      <c r="AK49" s="354">
        <f>CS_PID!AK49/VLOOKUP($B49,표2[#ALL],2)</f>
        <v>0</v>
      </c>
      <c r="AL49" s="354">
        <f>CS_PID!AL49/VLOOKUP($B49,표2[#ALL],2)</f>
        <v>0.003158099797</v>
      </c>
      <c r="AM49" s="354">
        <f>CS_PID!AM49/VLOOKUP($B49,표2[#ALL],2)</f>
        <v>0.006316199594</v>
      </c>
      <c r="AN49" s="354">
        <f>CS_PID!AN49/VLOOKUP($B49,표2[#ALL],2)</f>
        <v>0.003158099797</v>
      </c>
      <c r="AO49" s="354">
        <f>CS_PID!AO49/VLOOKUP($B49,표2[#ALL],2)</f>
        <v>0</v>
      </c>
      <c r="AP49" s="354">
        <f>CS_PID!AP49/VLOOKUP($B49,표2[#ALL],2)</f>
        <v>0</v>
      </c>
      <c r="AQ49" s="354">
        <f>CS_PID!AQ49/VLOOKUP($B49,표2[#ALL],2)</f>
        <v>0.003158099797</v>
      </c>
      <c r="AR49" s="354">
        <f>CS_PID!AR49/VLOOKUP($B49,표2[#ALL],2)</f>
        <v>0</v>
      </c>
      <c r="AS49" s="354">
        <f>CS_PID!AS49/VLOOKUP($B49,표2[#ALL],2)</f>
        <v>0</v>
      </c>
    </row>
    <row r="50">
      <c r="A50" s="161" t="s">
        <v>82</v>
      </c>
      <c r="B50" s="162">
        <v>316.0</v>
      </c>
      <c r="C50" s="355">
        <f>CS_PID!C50/VLOOKUP($B50,표2[#ALL],2)</f>
        <v>0</v>
      </c>
      <c r="D50" s="355">
        <f>CS_PID!D50/VLOOKUP($B50,표2[#ALL],2)</f>
        <v>0.004749185726</v>
      </c>
      <c r="E50" s="355">
        <f>CS_PID!E50/VLOOKUP($B50,표2[#ALL],2)</f>
        <v>0.03007817627</v>
      </c>
      <c r="F50" s="355">
        <f>CS_PID!F50/VLOOKUP($B50,표2[#ALL],2)</f>
        <v>0.02849511436</v>
      </c>
      <c r="G50" s="355">
        <f>CS_PID!G50/VLOOKUP($B50,표2[#ALL],2)</f>
        <v>0.001583061909</v>
      </c>
      <c r="H50" s="355">
        <f>CS_PID!H50/VLOOKUP($B50,표2[#ALL],2)</f>
        <v>0.001583061909</v>
      </c>
      <c r="I50" s="355">
        <f>CS_PID!I50/VLOOKUP($B50,표2[#ALL],2)</f>
        <v>0.003166123818</v>
      </c>
      <c r="J50" s="355">
        <f>CS_PID!J50/VLOOKUP($B50,표2[#ALL],2)</f>
        <v>0.09181759071</v>
      </c>
      <c r="K50" s="355">
        <f>CS_PID!K50/VLOOKUP($B50,표2[#ALL],2)</f>
        <v>0.08073615735</v>
      </c>
      <c r="L50" s="355">
        <f>CS_PID!L50/VLOOKUP($B50,표2[#ALL],2)</f>
        <v>0.01266449527</v>
      </c>
      <c r="M50" s="355">
        <f>CS_PID!M50/VLOOKUP($B50,표2[#ALL],2)</f>
        <v>0</v>
      </c>
      <c r="N50" s="355">
        <f>CS_PID!N50/VLOOKUP($B50,표2[#ALL],2)</f>
        <v>0</v>
      </c>
      <c r="O50" s="355">
        <f>CS_PID!O50/VLOOKUP($B50,표2[#ALL],2)</f>
        <v>0</v>
      </c>
      <c r="P50" s="355">
        <f>CS_PID!P50/VLOOKUP($B50,표2[#ALL],2)</f>
        <v>0.05224104299</v>
      </c>
      <c r="Q50" s="355">
        <f>CS_PID!Q50/VLOOKUP($B50,표2[#ALL],2)</f>
        <v>0.2121302958</v>
      </c>
      <c r="R50" s="355">
        <f>CS_PID!R50/VLOOKUP($B50,표2[#ALL],2)</f>
        <v>0.05065798108</v>
      </c>
      <c r="S50" s="355">
        <f>CS_PID!S50/VLOOKUP($B50,표2[#ALL],2)</f>
        <v>0.001583061909</v>
      </c>
      <c r="T50" s="355">
        <f>CS_PID!T50/VLOOKUP($B50,표2[#ALL],2)</f>
        <v>0</v>
      </c>
      <c r="U50" s="355">
        <f>CS_PID!U50/VLOOKUP($B50,표2[#ALL],2)</f>
        <v>0</v>
      </c>
      <c r="V50" s="355">
        <f>CS_PID!V50/VLOOKUP($B50,표2[#ALL],2)</f>
        <v>0.02691205245</v>
      </c>
      <c r="W50" s="355">
        <f>CS_PID!W50/VLOOKUP($B50,표2[#ALL],2)</f>
        <v>0.1757198719</v>
      </c>
      <c r="X50" s="355">
        <f>CS_PID!X50/VLOOKUP($B50,표2[#ALL],2)</f>
        <v>0.1123973955</v>
      </c>
      <c r="Y50" s="355">
        <f>CS_PID!Y50/VLOOKUP($B50,표2[#ALL],2)</f>
        <v>0.001583061909</v>
      </c>
      <c r="Z50" s="355">
        <f>CS_PID!Z50/VLOOKUP($B50,표2[#ALL],2)</f>
        <v>0</v>
      </c>
      <c r="AA50" s="355">
        <f>CS_PID!AA50/VLOOKUP($B50,표2[#ALL],2)</f>
        <v>0</v>
      </c>
      <c r="AB50" s="355">
        <f>CS_PID!AB50/VLOOKUP($B50,표2[#ALL],2)</f>
        <v>0.01583061909</v>
      </c>
      <c r="AC50" s="355">
        <f>CS_PID!AC50/VLOOKUP($B50,표2[#ALL],2)</f>
        <v>0.2073811101</v>
      </c>
      <c r="AD50" s="355">
        <f>CS_PID!AD50/VLOOKUP($B50,표2[#ALL],2)</f>
        <v>0.04115960963</v>
      </c>
      <c r="AE50" s="355">
        <f>CS_PID!AE50/VLOOKUP($B50,표2[#ALL],2)</f>
        <v>0</v>
      </c>
      <c r="AF50" s="355">
        <f>CS_PID!AF50/VLOOKUP($B50,표2[#ALL],2)</f>
        <v>0</v>
      </c>
      <c r="AG50" s="355">
        <f>CS_PID!AG50/VLOOKUP($B50,표2[#ALL],2)</f>
        <v>0</v>
      </c>
      <c r="AH50" s="355">
        <f>CS_PID!AH50/VLOOKUP($B50,표2[#ALL],2)</f>
        <v>0.003166123818</v>
      </c>
      <c r="AI50" s="355">
        <f>CS_PID!AI50/VLOOKUP($B50,표2[#ALL],2)</f>
        <v>0.07757003353</v>
      </c>
      <c r="AJ50" s="355">
        <f>CS_PID!AJ50/VLOOKUP($B50,표2[#ALL],2)</f>
        <v>0.03957654772</v>
      </c>
      <c r="AK50" s="355">
        <f>CS_PID!AK50/VLOOKUP($B50,표2[#ALL],2)</f>
        <v>0</v>
      </c>
      <c r="AL50" s="355">
        <f>CS_PID!AL50/VLOOKUP($B50,표2[#ALL],2)</f>
        <v>0</v>
      </c>
      <c r="AM50" s="355">
        <f>CS_PID!AM50/VLOOKUP($B50,표2[#ALL],2)</f>
        <v>0</v>
      </c>
      <c r="AN50" s="355">
        <f>CS_PID!AN50/VLOOKUP($B50,표2[#ALL],2)</f>
        <v>0.03799348581</v>
      </c>
      <c r="AO50" s="355">
        <f>CS_PID!AO50/VLOOKUP($B50,표2[#ALL],2)</f>
        <v>0.01583061909</v>
      </c>
      <c r="AP50" s="355">
        <f>CS_PID!AP50/VLOOKUP($B50,표2[#ALL],2)</f>
        <v>0</v>
      </c>
      <c r="AQ50" s="355">
        <f>CS_PID!AQ50/VLOOKUP($B50,표2[#ALL],2)</f>
        <v>0</v>
      </c>
      <c r="AR50" s="355">
        <f>CS_PID!AR50/VLOOKUP($B50,표2[#ALL],2)</f>
        <v>0</v>
      </c>
      <c r="AS50" s="355">
        <f>CS_PID!AS50/VLOOKUP($B50,표2[#ALL],2)</f>
        <v>0</v>
      </c>
    </row>
    <row r="51">
      <c r="A51" s="165" t="s">
        <v>82</v>
      </c>
      <c r="B51" s="166">
        <v>318.0</v>
      </c>
      <c r="C51" s="356">
        <f>CS_PID!C51/VLOOKUP($B51,표2[#ALL],2)</f>
        <v>0</v>
      </c>
      <c r="D51" s="356">
        <f>CS_PID!D51/VLOOKUP($B51,표2[#ALL],2)</f>
        <v>0.00201353972</v>
      </c>
      <c r="E51" s="356">
        <f>CS_PID!E51/VLOOKUP($B51,표2[#ALL],2)</f>
        <v>0.02617601636</v>
      </c>
      <c r="F51" s="356">
        <f>CS_PID!F51/VLOOKUP($B51,표2[#ALL],2)</f>
        <v>0.04530464369</v>
      </c>
      <c r="G51" s="356">
        <f>CS_PID!G51/VLOOKUP($B51,표2[#ALL],2)</f>
        <v>0.00100676986</v>
      </c>
      <c r="H51" s="356">
        <f>CS_PID!H51/VLOOKUP($B51,표2[#ALL],2)</f>
        <v>0</v>
      </c>
      <c r="I51" s="356">
        <f>CS_PID!I51/VLOOKUP($B51,표2[#ALL],2)</f>
        <v>0</v>
      </c>
      <c r="J51" s="356">
        <f>CS_PID!J51/VLOOKUP($B51,표2[#ALL],2)</f>
        <v>0.08960251752</v>
      </c>
      <c r="K51" s="356">
        <f>CS_PID!K51/VLOOKUP($B51,표2[#ALL],2)</f>
        <v>0.1047040654</v>
      </c>
      <c r="L51" s="356">
        <f>CS_PID!L51/VLOOKUP($B51,표2[#ALL],2)</f>
        <v>0.02718278622</v>
      </c>
      <c r="M51" s="356">
        <f>CS_PID!M51/VLOOKUP($B51,표2[#ALL],2)</f>
        <v>0.00201353972</v>
      </c>
      <c r="N51" s="356">
        <f>CS_PID!N51/VLOOKUP($B51,표2[#ALL],2)</f>
        <v>0</v>
      </c>
      <c r="O51" s="356">
        <f>CS_PID!O51/VLOOKUP($B51,표2[#ALL],2)</f>
        <v>0.004027079439</v>
      </c>
      <c r="P51" s="356">
        <f>CS_PID!P51/VLOOKUP($B51,표2[#ALL],2)</f>
        <v>0.05637911215</v>
      </c>
      <c r="Q51" s="356">
        <f>CS_PID!Q51/VLOOKUP($B51,표2[#ALL],2)</f>
        <v>0.1802118049</v>
      </c>
      <c r="R51" s="356">
        <f>CS_PID!R51/VLOOKUP($B51,표2[#ALL],2)</f>
        <v>0.05637911215</v>
      </c>
      <c r="S51" s="356">
        <f>CS_PID!S51/VLOOKUP($B51,표2[#ALL],2)</f>
        <v>0.00201353972</v>
      </c>
      <c r="T51" s="356">
        <f>CS_PID!T51/VLOOKUP($B51,표2[#ALL],2)</f>
        <v>0</v>
      </c>
      <c r="U51" s="356">
        <f>CS_PID!U51/VLOOKUP($B51,표2[#ALL],2)</f>
        <v>0.00100676986</v>
      </c>
      <c r="V51" s="356">
        <f>CS_PID!V51/VLOOKUP($B51,표2[#ALL],2)</f>
        <v>0.02114216706</v>
      </c>
      <c r="W51" s="356">
        <f>CS_PID!W51/VLOOKUP($B51,표2[#ALL],2)</f>
        <v>0.1953133528</v>
      </c>
      <c r="X51" s="356">
        <f>CS_PID!X51/VLOOKUP($B51,표2[#ALL],2)</f>
        <v>0.1167853037</v>
      </c>
      <c r="Y51" s="356">
        <f>CS_PID!Y51/VLOOKUP($B51,표2[#ALL],2)</f>
        <v>0.00201353972</v>
      </c>
      <c r="Z51" s="356">
        <f>CS_PID!Z51/VLOOKUP($B51,표2[#ALL],2)</f>
        <v>0</v>
      </c>
      <c r="AA51" s="356">
        <f>CS_PID!AA51/VLOOKUP($B51,표2[#ALL],2)</f>
        <v>0</v>
      </c>
      <c r="AB51" s="356">
        <f>CS_PID!AB51/VLOOKUP($B51,표2[#ALL],2)</f>
        <v>0.01107446846</v>
      </c>
      <c r="AC51" s="356">
        <f>CS_PID!AC51/VLOOKUP($B51,표2[#ALL],2)</f>
        <v>0.1610831776</v>
      </c>
      <c r="AD51" s="356">
        <f>CS_PID!AD51/VLOOKUP($B51,표2[#ALL],2)</f>
        <v>0.04933172313</v>
      </c>
      <c r="AE51" s="356">
        <f>CS_PID!AE51/VLOOKUP($B51,표2[#ALL],2)</f>
        <v>0</v>
      </c>
      <c r="AF51" s="356">
        <f>CS_PID!AF51/VLOOKUP($B51,표2[#ALL],2)</f>
        <v>0</v>
      </c>
      <c r="AG51" s="356">
        <f>CS_PID!AG51/VLOOKUP($B51,표2[#ALL],2)</f>
        <v>0.00100676986</v>
      </c>
      <c r="AH51" s="356">
        <f>CS_PID!AH51/VLOOKUP($B51,표2[#ALL],2)</f>
        <v>0.007047389019</v>
      </c>
      <c r="AI51" s="356">
        <f>CS_PID!AI51/VLOOKUP($B51,표2[#ALL],2)</f>
        <v>0.07450096963</v>
      </c>
      <c r="AJ51" s="356">
        <f>CS_PID!AJ51/VLOOKUP($B51,표2[#ALL],2)</f>
        <v>0.03725048481</v>
      </c>
      <c r="AK51" s="356">
        <f>CS_PID!AK51/VLOOKUP($B51,표2[#ALL],2)</f>
        <v>0</v>
      </c>
      <c r="AL51" s="356">
        <f>CS_PID!AL51/VLOOKUP($B51,표2[#ALL],2)</f>
        <v>0</v>
      </c>
      <c r="AM51" s="356">
        <f>CS_PID!AM51/VLOOKUP($B51,표2[#ALL],2)</f>
        <v>0.00201353972</v>
      </c>
      <c r="AN51" s="356">
        <f>CS_PID!AN51/VLOOKUP($B51,표2[#ALL],2)</f>
        <v>0.03825725467</v>
      </c>
      <c r="AO51" s="356">
        <f>CS_PID!AO51/VLOOKUP($B51,표2[#ALL],2)</f>
        <v>0.005033849299</v>
      </c>
      <c r="AP51" s="356">
        <f>CS_PID!AP51/VLOOKUP($B51,표2[#ALL],2)</f>
        <v>0</v>
      </c>
      <c r="AQ51" s="356">
        <f>CS_PID!AQ51/VLOOKUP($B51,표2[#ALL],2)</f>
        <v>0</v>
      </c>
      <c r="AR51" s="356">
        <f>CS_PID!AR51/VLOOKUP($B51,표2[#ALL],2)</f>
        <v>0.004027079439</v>
      </c>
      <c r="AS51" s="356">
        <f>CS_PID!AS51/VLOOKUP($B51,표2[#ALL],2)</f>
        <v>0</v>
      </c>
    </row>
    <row r="52">
      <c r="A52" s="165" t="s">
        <v>82</v>
      </c>
      <c r="B52" s="166">
        <v>319.0</v>
      </c>
      <c r="C52" s="356">
        <f>CS_PID!C52/VLOOKUP($B52,표2[#ALL],2)</f>
        <v>0.01228185371</v>
      </c>
      <c r="D52" s="356">
        <f>CS_PID!D52/VLOOKUP($B52,표2[#ALL],2)</f>
        <v>0</v>
      </c>
      <c r="E52" s="356">
        <f>CS_PID!E52/VLOOKUP($B52,표2[#ALL],2)</f>
        <v>0.03684556112</v>
      </c>
      <c r="F52" s="356">
        <f>CS_PID!F52/VLOOKUP($B52,표2[#ALL],2)</f>
        <v>0.03684556112</v>
      </c>
      <c r="G52" s="356">
        <f>CS_PID!G52/VLOOKUP($B52,표2[#ALL],2)</f>
        <v>0</v>
      </c>
      <c r="H52" s="356">
        <f>CS_PID!H52/VLOOKUP($B52,표2[#ALL],2)</f>
        <v>0</v>
      </c>
      <c r="I52" s="356">
        <f>CS_PID!I52/VLOOKUP($B52,표2[#ALL],2)</f>
        <v>0</v>
      </c>
      <c r="J52" s="356">
        <f>CS_PID!J52/VLOOKUP($B52,표2[#ALL],2)</f>
        <v>0.06140926853</v>
      </c>
      <c r="K52" s="356">
        <f>CS_PID!K52/VLOOKUP($B52,표2[#ALL],2)</f>
        <v>0.06140926853</v>
      </c>
      <c r="L52" s="356">
        <f>CS_PID!L52/VLOOKUP($B52,표2[#ALL],2)</f>
        <v>0.02456370741</v>
      </c>
      <c r="M52" s="356">
        <f>CS_PID!M52/VLOOKUP($B52,표2[#ALL],2)</f>
        <v>0</v>
      </c>
      <c r="N52" s="356">
        <f>CS_PID!N52/VLOOKUP($B52,표2[#ALL],2)</f>
        <v>0</v>
      </c>
      <c r="O52" s="356">
        <f>CS_PID!O52/VLOOKUP($B52,표2[#ALL],2)</f>
        <v>0</v>
      </c>
      <c r="P52" s="356">
        <f>CS_PID!P52/VLOOKUP($B52,표2[#ALL],2)</f>
        <v>0.03684556112</v>
      </c>
      <c r="Q52" s="356">
        <f>CS_PID!Q52/VLOOKUP($B52,표2[#ALL],2)</f>
        <v>0.1719459519</v>
      </c>
      <c r="R52" s="356">
        <f>CS_PID!R52/VLOOKUP($B52,표2[#ALL],2)</f>
        <v>0.02456370741</v>
      </c>
      <c r="S52" s="356">
        <f>CS_PID!S52/VLOOKUP($B52,표2[#ALL],2)</f>
        <v>0</v>
      </c>
      <c r="T52" s="356">
        <f>CS_PID!T52/VLOOKUP($B52,표2[#ALL],2)</f>
        <v>0</v>
      </c>
      <c r="U52" s="356">
        <f>CS_PID!U52/VLOOKUP($B52,표2[#ALL],2)</f>
        <v>0</v>
      </c>
      <c r="V52" s="356">
        <f>CS_PID!V52/VLOOKUP($B52,표2[#ALL],2)</f>
        <v>0.01228185371</v>
      </c>
      <c r="W52" s="356">
        <f>CS_PID!W52/VLOOKUP($B52,표2[#ALL],2)</f>
        <v>0.1719459519</v>
      </c>
      <c r="X52" s="356">
        <f>CS_PID!X52/VLOOKUP($B52,표2[#ALL],2)</f>
        <v>0.07369112224</v>
      </c>
      <c r="Y52" s="356">
        <f>CS_PID!Y52/VLOOKUP($B52,표2[#ALL],2)</f>
        <v>0</v>
      </c>
      <c r="Z52" s="356">
        <f>CS_PID!Z52/VLOOKUP($B52,표2[#ALL],2)</f>
        <v>0</v>
      </c>
      <c r="AA52" s="356">
        <f>CS_PID!AA52/VLOOKUP($B52,표2[#ALL],2)</f>
        <v>0</v>
      </c>
      <c r="AB52" s="356">
        <f>CS_PID!AB52/VLOOKUP($B52,표2[#ALL],2)</f>
        <v>0.02456370741</v>
      </c>
      <c r="AC52" s="356">
        <f>CS_PID!AC52/VLOOKUP($B52,표2[#ALL],2)</f>
        <v>0.1228185371</v>
      </c>
      <c r="AD52" s="356">
        <f>CS_PID!AD52/VLOOKUP($B52,표2[#ALL],2)</f>
        <v>0.06140926853</v>
      </c>
      <c r="AE52" s="356">
        <f>CS_PID!AE52/VLOOKUP($B52,표2[#ALL],2)</f>
        <v>0</v>
      </c>
      <c r="AF52" s="356">
        <f>CS_PID!AF52/VLOOKUP($B52,표2[#ALL],2)</f>
        <v>0</v>
      </c>
      <c r="AG52" s="356">
        <f>CS_PID!AG52/VLOOKUP($B52,표2[#ALL],2)</f>
        <v>0</v>
      </c>
      <c r="AH52" s="356">
        <f>CS_PID!AH52/VLOOKUP($B52,표2[#ALL],2)</f>
        <v>0.01228185371</v>
      </c>
      <c r="AI52" s="356">
        <f>CS_PID!AI52/VLOOKUP($B52,표2[#ALL],2)</f>
        <v>0.07369112224</v>
      </c>
      <c r="AJ52" s="356">
        <f>CS_PID!AJ52/VLOOKUP($B52,표2[#ALL],2)</f>
        <v>0.03684556112</v>
      </c>
      <c r="AK52" s="356">
        <f>CS_PID!AK52/VLOOKUP($B52,표2[#ALL],2)</f>
        <v>0</v>
      </c>
      <c r="AL52" s="356">
        <f>CS_PID!AL52/VLOOKUP($B52,표2[#ALL],2)</f>
        <v>0</v>
      </c>
      <c r="AM52" s="356">
        <f>CS_PID!AM52/VLOOKUP($B52,표2[#ALL],2)</f>
        <v>0.01228185371</v>
      </c>
      <c r="AN52" s="356">
        <f>CS_PID!AN52/VLOOKUP($B52,표2[#ALL],2)</f>
        <v>0.02456370741</v>
      </c>
      <c r="AO52" s="356">
        <f>CS_PID!AO52/VLOOKUP($B52,표2[#ALL],2)</f>
        <v>0.02456370741</v>
      </c>
      <c r="AP52" s="356">
        <f>CS_PID!AP52/VLOOKUP($B52,표2[#ALL],2)</f>
        <v>0</v>
      </c>
      <c r="AQ52" s="356">
        <f>CS_PID!AQ52/VLOOKUP($B52,표2[#ALL],2)</f>
        <v>0</v>
      </c>
      <c r="AR52" s="356">
        <f>CS_PID!AR52/VLOOKUP($B52,표2[#ALL],2)</f>
        <v>0</v>
      </c>
      <c r="AS52" s="356">
        <f>CS_PID!AS52/VLOOKUP($B52,표2[#ALL],2)</f>
        <v>0</v>
      </c>
    </row>
    <row r="53">
      <c r="A53" s="165" t="s">
        <v>82</v>
      </c>
      <c r="B53" s="166">
        <v>320.0</v>
      </c>
      <c r="C53" s="356">
        <f>CS_PID!C53/VLOOKUP($B53,표2[#ALL],2)</f>
        <v>0.001968559537</v>
      </c>
      <c r="D53" s="356">
        <f>CS_PID!D53/VLOOKUP($B53,표2[#ALL],2)</f>
        <v>0.003937119074</v>
      </c>
      <c r="E53" s="356">
        <f>CS_PID!E53/VLOOKUP($B53,표2[#ALL],2)</f>
        <v>0.03543407167</v>
      </c>
      <c r="F53" s="356">
        <f>CS_PID!F53/VLOOKUP($B53,표2[#ALL],2)</f>
        <v>0.02559127398</v>
      </c>
      <c r="G53" s="356">
        <f>CS_PID!G53/VLOOKUP($B53,표2[#ALL],2)</f>
        <v>0.001968559537</v>
      </c>
      <c r="H53" s="356">
        <f>CS_PID!H53/VLOOKUP($B53,표2[#ALL],2)</f>
        <v>0</v>
      </c>
      <c r="I53" s="356">
        <f>CS_PID!I53/VLOOKUP($B53,표2[#ALL],2)</f>
        <v>0</v>
      </c>
      <c r="J53" s="356">
        <f>CS_PID!J53/VLOOKUP($B53,표2[#ALL],2)</f>
        <v>0.08858517917</v>
      </c>
      <c r="K53" s="356">
        <f>CS_PID!K53/VLOOKUP($B53,표2[#ALL],2)</f>
        <v>0.1299249295</v>
      </c>
      <c r="L53" s="356">
        <f>CS_PID!L53/VLOOKUP($B53,표2[#ALL],2)</f>
        <v>0.04330830982</v>
      </c>
      <c r="M53" s="356">
        <f>CS_PID!M53/VLOOKUP($B53,표2[#ALL],2)</f>
        <v>0</v>
      </c>
      <c r="N53" s="356">
        <f>CS_PID!N53/VLOOKUP($B53,표2[#ALL],2)</f>
        <v>0</v>
      </c>
      <c r="O53" s="356">
        <f>CS_PID!O53/VLOOKUP($B53,표2[#ALL],2)</f>
        <v>0</v>
      </c>
      <c r="P53" s="356">
        <f>CS_PID!P53/VLOOKUP($B53,표2[#ALL],2)</f>
        <v>0.04921398843</v>
      </c>
      <c r="Q53" s="356">
        <f>CS_PID!Q53/VLOOKUP($B53,표2[#ALL],2)</f>
        <v>0.2480385017</v>
      </c>
      <c r="R53" s="356">
        <f>CS_PID!R53/VLOOKUP($B53,표2[#ALL],2)</f>
        <v>0.04921398843</v>
      </c>
      <c r="S53" s="356">
        <f>CS_PID!S53/VLOOKUP($B53,표2[#ALL],2)</f>
        <v>0.003937119074</v>
      </c>
      <c r="T53" s="356">
        <f>CS_PID!T53/VLOOKUP($B53,표2[#ALL],2)</f>
        <v>0</v>
      </c>
      <c r="U53" s="356">
        <f>CS_PID!U53/VLOOKUP($B53,표2[#ALL],2)</f>
        <v>0</v>
      </c>
      <c r="V53" s="356">
        <f>CS_PID!V53/VLOOKUP($B53,표2[#ALL],2)</f>
        <v>0.03740263121</v>
      </c>
      <c r="W53" s="356">
        <f>CS_PID!W53/VLOOKUP($B53,표2[#ALL],2)</f>
        <v>0.1752017988</v>
      </c>
      <c r="X53" s="356">
        <f>CS_PID!X53/VLOOKUP($B53,표2[#ALL],2)</f>
        <v>0.1299249295</v>
      </c>
      <c r="Y53" s="356">
        <f>CS_PID!Y53/VLOOKUP($B53,표2[#ALL],2)</f>
        <v>0</v>
      </c>
      <c r="Z53" s="356">
        <f>CS_PID!Z53/VLOOKUP($B53,표2[#ALL],2)</f>
        <v>0</v>
      </c>
      <c r="AA53" s="356">
        <f>CS_PID!AA53/VLOOKUP($B53,표2[#ALL],2)</f>
        <v>0</v>
      </c>
      <c r="AB53" s="356">
        <f>CS_PID!AB53/VLOOKUP($B53,표2[#ALL],2)</f>
        <v>0.01377991676</v>
      </c>
      <c r="AC53" s="356">
        <f>CS_PID!AC53/VLOOKUP($B53,표2[#ALL],2)</f>
        <v>0.157484763</v>
      </c>
      <c r="AD53" s="356">
        <f>CS_PID!AD53/VLOOKUP($B53,표2[#ALL],2)</f>
        <v>0.02165415491</v>
      </c>
      <c r="AE53" s="356">
        <f>CS_PID!AE53/VLOOKUP($B53,표2[#ALL],2)</f>
        <v>0</v>
      </c>
      <c r="AF53" s="356">
        <f>CS_PID!AF53/VLOOKUP($B53,표2[#ALL],2)</f>
        <v>0</v>
      </c>
      <c r="AG53" s="356">
        <f>CS_PID!AG53/VLOOKUP($B53,표2[#ALL],2)</f>
        <v>0</v>
      </c>
      <c r="AH53" s="356">
        <f>CS_PID!AH53/VLOOKUP($B53,표2[#ALL],2)</f>
        <v>0.009842797686</v>
      </c>
      <c r="AI53" s="356">
        <f>CS_PID!AI53/VLOOKUP($B53,표2[#ALL],2)</f>
        <v>0.05905678612</v>
      </c>
      <c r="AJ53" s="356">
        <f>CS_PID!AJ53/VLOOKUP($B53,표2[#ALL],2)</f>
        <v>0.02362271445</v>
      </c>
      <c r="AK53" s="356">
        <f>CS_PID!AK53/VLOOKUP($B53,표2[#ALL],2)</f>
        <v>0.001968559537</v>
      </c>
      <c r="AL53" s="356">
        <f>CS_PID!AL53/VLOOKUP($B53,표2[#ALL],2)</f>
        <v>0</v>
      </c>
      <c r="AM53" s="356">
        <f>CS_PID!AM53/VLOOKUP($B53,표2[#ALL],2)</f>
        <v>0.009842797686</v>
      </c>
      <c r="AN53" s="356">
        <f>CS_PID!AN53/VLOOKUP($B53,표2[#ALL],2)</f>
        <v>0.03937119074</v>
      </c>
      <c r="AO53" s="356">
        <f>CS_PID!AO53/VLOOKUP($B53,표2[#ALL],2)</f>
        <v>0.001968559537</v>
      </c>
      <c r="AP53" s="356">
        <f>CS_PID!AP53/VLOOKUP($B53,표2[#ALL],2)</f>
        <v>0</v>
      </c>
      <c r="AQ53" s="356">
        <f>CS_PID!AQ53/VLOOKUP($B53,표2[#ALL],2)</f>
        <v>0</v>
      </c>
      <c r="AR53" s="356">
        <f>CS_PID!AR53/VLOOKUP($B53,표2[#ALL],2)</f>
        <v>0</v>
      </c>
      <c r="AS53" s="356">
        <f>CS_PID!AS53/VLOOKUP($B53,표2[#ALL],2)</f>
        <v>0.001968559537</v>
      </c>
    </row>
    <row r="54">
      <c r="A54" s="165" t="s">
        <v>82</v>
      </c>
      <c r="B54" s="166">
        <v>321.0</v>
      </c>
      <c r="C54" s="356">
        <f>CS_PID!C54/VLOOKUP($B54,표2[#ALL],2)</f>
        <v>0</v>
      </c>
      <c r="D54" s="356">
        <f>CS_PID!D54/VLOOKUP($B54,표2[#ALL],2)</f>
        <v>0</v>
      </c>
      <c r="E54" s="356">
        <f>CS_PID!E54/VLOOKUP($B54,표2[#ALL],2)</f>
        <v>0.03175226678</v>
      </c>
      <c r="F54" s="356">
        <f>CS_PID!F54/VLOOKUP($B54,표2[#ALL],2)</f>
        <v>0.02540181343</v>
      </c>
      <c r="G54" s="356">
        <f>CS_PID!G54/VLOOKUP($B54,표2[#ALL],2)</f>
        <v>0.006350453356</v>
      </c>
      <c r="H54" s="356">
        <f>CS_PID!H54/VLOOKUP($B54,표2[#ALL],2)</f>
        <v>0</v>
      </c>
      <c r="I54" s="356">
        <f>CS_PID!I54/VLOOKUP($B54,표2[#ALL],2)</f>
        <v>0.003175226678</v>
      </c>
      <c r="J54" s="356">
        <f>CS_PID!J54/VLOOKUP($B54,표2[#ALL],2)</f>
        <v>0.1206586138</v>
      </c>
      <c r="K54" s="356">
        <f>CS_PID!K54/VLOOKUP($B54,표2[#ALL],2)</f>
        <v>0.1047824804</v>
      </c>
      <c r="L54" s="356">
        <f>CS_PID!L54/VLOOKUP($B54,표2[#ALL],2)</f>
        <v>0.01587613339</v>
      </c>
      <c r="M54" s="356">
        <f>CS_PID!M54/VLOOKUP($B54,표2[#ALL],2)</f>
        <v>0.003175226678</v>
      </c>
      <c r="N54" s="356">
        <f>CS_PID!N54/VLOOKUP($B54,표2[#ALL],2)</f>
        <v>0</v>
      </c>
      <c r="O54" s="356">
        <f>CS_PID!O54/VLOOKUP($B54,표2[#ALL],2)</f>
        <v>0.003175226678</v>
      </c>
      <c r="P54" s="356">
        <f>CS_PID!P54/VLOOKUP($B54,표2[#ALL],2)</f>
        <v>0.04127794682</v>
      </c>
      <c r="Q54" s="356">
        <f>CS_PID!Q54/VLOOKUP($B54,표2[#ALL],2)</f>
        <v>0.1746374673</v>
      </c>
      <c r="R54" s="356">
        <f>CS_PID!R54/VLOOKUP($B54,표2[#ALL],2)</f>
        <v>0.06032930689</v>
      </c>
      <c r="S54" s="356">
        <f>CS_PID!S54/VLOOKUP($B54,표2[#ALL],2)</f>
        <v>0.003175226678</v>
      </c>
      <c r="T54" s="356">
        <f>CS_PID!T54/VLOOKUP($B54,표2[#ALL],2)</f>
        <v>0</v>
      </c>
      <c r="U54" s="356">
        <f>CS_PID!U54/VLOOKUP($B54,표2[#ALL],2)</f>
        <v>0.003175226678</v>
      </c>
      <c r="V54" s="356">
        <f>CS_PID!V54/VLOOKUP($B54,표2[#ALL],2)</f>
        <v>0.03810272014</v>
      </c>
      <c r="W54" s="356">
        <f>CS_PID!W54/VLOOKUP($B54,표2[#ALL],2)</f>
        <v>0.1936888274</v>
      </c>
      <c r="X54" s="356">
        <f>CS_PID!X54/VLOOKUP($B54,표2[#ALL],2)</f>
        <v>0.1174833871</v>
      </c>
      <c r="Y54" s="356">
        <f>CS_PID!Y54/VLOOKUP($B54,표2[#ALL],2)</f>
        <v>0.003175226678</v>
      </c>
      <c r="Z54" s="356">
        <f>CS_PID!Z54/VLOOKUP($B54,표2[#ALL],2)</f>
        <v>0</v>
      </c>
      <c r="AA54" s="356">
        <f>CS_PID!AA54/VLOOKUP($B54,표2[#ALL],2)</f>
        <v>0.003175226678</v>
      </c>
      <c r="AB54" s="356">
        <f>CS_PID!AB54/VLOOKUP($B54,표2[#ALL],2)</f>
        <v>0.009525680035</v>
      </c>
      <c r="AC54" s="356">
        <f>CS_PID!AC54/VLOOKUP($B54,표2[#ALL],2)</f>
        <v>0.1682870139</v>
      </c>
      <c r="AD54" s="356">
        <f>CS_PID!AD54/VLOOKUP($B54,표2[#ALL],2)</f>
        <v>0.04762840017</v>
      </c>
      <c r="AE54" s="356">
        <f>CS_PID!AE54/VLOOKUP($B54,표2[#ALL],2)</f>
        <v>0</v>
      </c>
      <c r="AF54" s="356">
        <f>CS_PID!AF54/VLOOKUP($B54,표2[#ALL],2)</f>
        <v>0</v>
      </c>
      <c r="AG54" s="356">
        <f>CS_PID!AG54/VLOOKUP($B54,표2[#ALL],2)</f>
        <v>0</v>
      </c>
      <c r="AH54" s="356">
        <f>CS_PID!AH54/VLOOKUP($B54,표2[#ALL],2)</f>
        <v>0.009525680035</v>
      </c>
      <c r="AI54" s="356">
        <f>CS_PID!AI54/VLOOKUP($B54,표2[#ALL],2)</f>
        <v>0.06350453356</v>
      </c>
      <c r="AJ54" s="356">
        <f>CS_PID!AJ54/VLOOKUP($B54,표2[#ALL],2)</f>
        <v>0.03492749346</v>
      </c>
      <c r="AK54" s="356">
        <f>CS_PID!AK54/VLOOKUP($B54,표2[#ALL],2)</f>
        <v>0</v>
      </c>
      <c r="AL54" s="356">
        <f>CS_PID!AL54/VLOOKUP($B54,표2[#ALL],2)</f>
        <v>0</v>
      </c>
      <c r="AM54" s="356">
        <f>CS_PID!AM54/VLOOKUP($B54,표2[#ALL],2)</f>
        <v>0.003175226678</v>
      </c>
      <c r="AN54" s="356">
        <f>CS_PID!AN54/VLOOKUP($B54,표2[#ALL],2)</f>
        <v>0.03810272014</v>
      </c>
      <c r="AO54" s="356">
        <f>CS_PID!AO54/VLOOKUP($B54,표2[#ALL],2)</f>
        <v>0.01587613339</v>
      </c>
      <c r="AP54" s="356">
        <f>CS_PID!AP54/VLOOKUP($B54,표2[#ALL],2)</f>
        <v>0</v>
      </c>
      <c r="AQ54" s="356">
        <f>CS_PID!AQ54/VLOOKUP($B54,표2[#ALL],2)</f>
        <v>0</v>
      </c>
      <c r="AR54" s="356">
        <f>CS_PID!AR54/VLOOKUP($B54,표2[#ALL],2)</f>
        <v>0</v>
      </c>
      <c r="AS54" s="356">
        <f>CS_PID!AS54/VLOOKUP($B54,표2[#ALL],2)</f>
        <v>0</v>
      </c>
    </row>
    <row r="55">
      <c r="A55" s="165" t="s">
        <v>82</v>
      </c>
      <c r="B55" s="166">
        <v>322.0</v>
      </c>
      <c r="C55" s="356">
        <f>CS_PID!C55/VLOOKUP($B55,표2[#ALL],2)</f>
        <v>0</v>
      </c>
      <c r="D55" s="356">
        <f>CS_PID!D55/VLOOKUP($B55,표2[#ALL],2)</f>
        <v>0.002603892112</v>
      </c>
      <c r="E55" s="356">
        <f>CS_PID!E55/VLOOKUP($B55,표2[#ALL],2)</f>
        <v>0.02864281323</v>
      </c>
      <c r="F55" s="356">
        <f>CS_PID!F55/VLOOKUP($B55,표2[#ALL],2)</f>
        <v>0.0442661659</v>
      </c>
      <c r="G55" s="356">
        <f>CS_PID!G55/VLOOKUP($B55,표2[#ALL],2)</f>
        <v>0.005207784224</v>
      </c>
      <c r="H55" s="356">
        <f>CS_PID!H55/VLOOKUP($B55,표2[#ALL],2)</f>
        <v>0</v>
      </c>
      <c r="I55" s="356">
        <f>CS_PID!I55/VLOOKUP($B55,표2[#ALL],2)</f>
        <v>0.002603892112</v>
      </c>
      <c r="J55" s="356">
        <f>CS_PID!J55/VLOOKUP($B55,표2[#ALL],2)</f>
        <v>0.07811676336</v>
      </c>
      <c r="K55" s="356">
        <f>CS_PID!K55/VLOOKUP($B55,표2[#ALL],2)</f>
        <v>0.1041556845</v>
      </c>
      <c r="L55" s="356">
        <f>CS_PID!L55/VLOOKUP($B55,표2[#ALL],2)</f>
        <v>0.0208311369</v>
      </c>
      <c r="M55" s="356">
        <f>CS_PID!M55/VLOOKUP($B55,표2[#ALL],2)</f>
        <v>0.002603892112</v>
      </c>
      <c r="N55" s="356">
        <f>CS_PID!N55/VLOOKUP($B55,표2[#ALL],2)</f>
        <v>0</v>
      </c>
      <c r="O55" s="356">
        <f>CS_PID!O55/VLOOKUP($B55,표2[#ALL],2)</f>
        <v>0.002603892112</v>
      </c>
      <c r="P55" s="356">
        <f>CS_PID!P55/VLOOKUP($B55,표2[#ALL],2)</f>
        <v>0.05468173435</v>
      </c>
      <c r="Q55" s="356">
        <f>CS_PID!Q55/VLOOKUP($B55,표2[#ALL],2)</f>
        <v>0.1952919084</v>
      </c>
      <c r="R55" s="356">
        <f>CS_PID!R55/VLOOKUP($B55,표2[#ALL],2)</f>
        <v>0.06249341069</v>
      </c>
      <c r="S55" s="356">
        <f>CS_PID!S55/VLOOKUP($B55,표2[#ALL],2)</f>
        <v>0</v>
      </c>
      <c r="T55" s="356">
        <f>CS_PID!T55/VLOOKUP($B55,표2[#ALL],2)</f>
        <v>0</v>
      </c>
      <c r="U55" s="356">
        <f>CS_PID!U55/VLOOKUP($B55,표2[#ALL],2)</f>
        <v>0</v>
      </c>
      <c r="V55" s="356">
        <f>CS_PID!V55/VLOOKUP($B55,표2[#ALL],2)</f>
        <v>0.02343502901</v>
      </c>
      <c r="W55" s="356">
        <f>CS_PID!W55/VLOOKUP($B55,표2[#ALL],2)</f>
        <v>0.2109152611</v>
      </c>
      <c r="X55" s="356">
        <f>CS_PID!X55/VLOOKUP($B55,표2[#ALL],2)</f>
        <v>0.1301946056</v>
      </c>
      <c r="Y55" s="356">
        <f>CS_PID!Y55/VLOOKUP($B55,표2[#ALL],2)</f>
        <v>0</v>
      </c>
      <c r="Z55" s="356">
        <f>CS_PID!Z55/VLOOKUP($B55,표2[#ALL],2)</f>
        <v>0</v>
      </c>
      <c r="AA55" s="356">
        <f>CS_PID!AA55/VLOOKUP($B55,표2[#ALL],2)</f>
        <v>0</v>
      </c>
      <c r="AB55" s="356">
        <f>CS_PID!AB55/VLOOKUP($B55,표2[#ALL],2)</f>
        <v>0.01301946056</v>
      </c>
      <c r="AC55" s="356">
        <f>CS_PID!AC55/VLOOKUP($B55,표2[#ALL],2)</f>
        <v>0.1432140662</v>
      </c>
      <c r="AD55" s="356">
        <f>CS_PID!AD55/VLOOKUP($B55,표2[#ALL],2)</f>
        <v>0.0442661659</v>
      </c>
      <c r="AE55" s="356">
        <f>CS_PID!AE55/VLOOKUP($B55,표2[#ALL],2)</f>
        <v>0.005207784224</v>
      </c>
      <c r="AF55" s="356">
        <f>CS_PID!AF55/VLOOKUP($B55,표2[#ALL],2)</f>
        <v>0</v>
      </c>
      <c r="AG55" s="356">
        <f>CS_PID!AG55/VLOOKUP($B55,표2[#ALL],2)</f>
        <v>0</v>
      </c>
      <c r="AH55" s="356">
        <f>CS_PID!AH55/VLOOKUP($B55,표2[#ALL],2)</f>
        <v>0.01301946056</v>
      </c>
      <c r="AI55" s="356">
        <f>CS_PID!AI55/VLOOKUP($B55,표2[#ALL],2)</f>
        <v>0.07811676336</v>
      </c>
      <c r="AJ55" s="356">
        <f>CS_PID!AJ55/VLOOKUP($B55,표2[#ALL],2)</f>
        <v>0.03385059746</v>
      </c>
      <c r="AK55" s="356">
        <f>CS_PID!AK55/VLOOKUP($B55,표2[#ALL],2)</f>
        <v>0</v>
      </c>
      <c r="AL55" s="356">
        <f>CS_PID!AL55/VLOOKUP($B55,표2[#ALL],2)</f>
        <v>0</v>
      </c>
      <c r="AM55" s="356">
        <f>CS_PID!AM55/VLOOKUP($B55,표2[#ALL],2)</f>
        <v>0.002603892112</v>
      </c>
      <c r="AN55" s="356">
        <f>CS_PID!AN55/VLOOKUP($B55,표2[#ALL],2)</f>
        <v>0.03385059746</v>
      </c>
      <c r="AO55" s="356">
        <f>CS_PID!AO55/VLOOKUP($B55,표2[#ALL],2)</f>
        <v>0.005207784224</v>
      </c>
      <c r="AP55" s="356">
        <f>CS_PID!AP55/VLOOKUP($B55,표2[#ALL],2)</f>
        <v>0</v>
      </c>
      <c r="AQ55" s="356">
        <f>CS_PID!AQ55/VLOOKUP($B55,표2[#ALL],2)</f>
        <v>0</v>
      </c>
      <c r="AR55" s="356">
        <f>CS_PID!AR55/VLOOKUP($B55,표2[#ALL],2)</f>
        <v>0.002603892112</v>
      </c>
      <c r="AS55" s="356">
        <f>CS_PID!AS55/VLOOKUP($B55,표2[#ALL],2)</f>
        <v>0.002603892112</v>
      </c>
    </row>
    <row r="56">
      <c r="A56" s="165" t="s">
        <v>82</v>
      </c>
      <c r="B56" s="166">
        <v>323.0</v>
      </c>
      <c r="C56" s="356">
        <f>CS_PID!C56/VLOOKUP($B56,표2[#ALL],2)</f>
        <v>0</v>
      </c>
      <c r="D56" s="356">
        <f>CS_PID!D56/VLOOKUP($B56,표2[#ALL],2)</f>
        <v>0</v>
      </c>
      <c r="E56" s="356">
        <f>CS_PID!E56/VLOOKUP($B56,표2[#ALL],2)</f>
        <v>0.03862360335</v>
      </c>
      <c r="F56" s="356">
        <f>CS_PID!F56/VLOOKUP($B56,표2[#ALL],2)</f>
        <v>0.04184223696</v>
      </c>
      <c r="G56" s="356">
        <f>CS_PID!G56/VLOOKUP($B56,표2[#ALL],2)</f>
        <v>0</v>
      </c>
      <c r="H56" s="356">
        <f>CS_PID!H56/VLOOKUP($B56,표2[#ALL],2)</f>
        <v>0</v>
      </c>
      <c r="I56" s="356">
        <f>CS_PID!I56/VLOOKUP($B56,표2[#ALL],2)</f>
        <v>0</v>
      </c>
      <c r="J56" s="356">
        <f>CS_PID!J56/VLOOKUP($B56,표2[#ALL],2)</f>
        <v>0.06115403864</v>
      </c>
      <c r="K56" s="356">
        <f>CS_PID!K56/VLOOKUP($B56,표2[#ALL],2)</f>
        <v>0.08046584031</v>
      </c>
      <c r="L56" s="356">
        <f>CS_PID!L56/VLOOKUP($B56,표2[#ALL],2)</f>
        <v>0.01931180167</v>
      </c>
      <c r="M56" s="356">
        <f>CS_PID!M56/VLOOKUP($B56,표2[#ALL],2)</f>
        <v>0</v>
      </c>
      <c r="N56" s="356">
        <f>CS_PID!N56/VLOOKUP($B56,표2[#ALL],2)</f>
        <v>0</v>
      </c>
      <c r="O56" s="356">
        <f>CS_PID!O56/VLOOKUP($B56,표2[#ALL],2)</f>
        <v>0.006437267225</v>
      </c>
      <c r="P56" s="356">
        <f>CS_PID!P56/VLOOKUP($B56,표2[#ALL],2)</f>
        <v>0.07080993947</v>
      </c>
      <c r="Q56" s="356">
        <f>CS_PID!Q56/VLOOKUP($B56,표2[#ALL],2)</f>
        <v>0.1866807495</v>
      </c>
      <c r="R56" s="356">
        <f>CS_PID!R56/VLOOKUP($B56,표2[#ALL],2)</f>
        <v>0.06759130586</v>
      </c>
      <c r="S56" s="356">
        <f>CS_PID!S56/VLOOKUP($B56,표2[#ALL],2)</f>
        <v>0.003218633612</v>
      </c>
      <c r="T56" s="356">
        <f>CS_PID!T56/VLOOKUP($B56,표2[#ALL],2)</f>
        <v>0</v>
      </c>
      <c r="U56" s="356">
        <f>CS_PID!U56/VLOOKUP($B56,표2[#ALL],2)</f>
        <v>0</v>
      </c>
      <c r="V56" s="356">
        <f>CS_PID!V56/VLOOKUP($B56,표2[#ALL],2)</f>
        <v>0.04827950419</v>
      </c>
      <c r="W56" s="356">
        <f>CS_PID!W56/VLOOKUP($B56,표2[#ALL],2)</f>
        <v>0.199555284</v>
      </c>
      <c r="X56" s="356">
        <f>CS_PID!X56/VLOOKUP($B56,표2[#ALL],2)</f>
        <v>0.08690310753</v>
      </c>
      <c r="Y56" s="356">
        <f>CS_PID!Y56/VLOOKUP($B56,표2[#ALL],2)</f>
        <v>0</v>
      </c>
      <c r="Z56" s="356">
        <f>CS_PID!Z56/VLOOKUP($B56,표2[#ALL],2)</f>
        <v>0</v>
      </c>
      <c r="AA56" s="356">
        <f>CS_PID!AA56/VLOOKUP($B56,표2[#ALL],2)</f>
        <v>0</v>
      </c>
      <c r="AB56" s="356">
        <f>CS_PID!AB56/VLOOKUP($B56,표2[#ALL],2)</f>
        <v>0.003218633612</v>
      </c>
      <c r="AC56" s="356">
        <f>CS_PID!AC56/VLOOKUP($B56,표2[#ALL],2)</f>
        <v>0.157713047</v>
      </c>
      <c r="AD56" s="356">
        <f>CS_PID!AD56/VLOOKUP($B56,표2[#ALL],2)</f>
        <v>0.05793540502</v>
      </c>
      <c r="AE56" s="356">
        <f>CS_PID!AE56/VLOOKUP($B56,표2[#ALL],2)</f>
        <v>0</v>
      </c>
      <c r="AF56" s="356">
        <f>CS_PID!AF56/VLOOKUP($B56,표2[#ALL],2)</f>
        <v>0</v>
      </c>
      <c r="AG56" s="356">
        <f>CS_PID!AG56/VLOOKUP($B56,표2[#ALL],2)</f>
        <v>0</v>
      </c>
      <c r="AH56" s="356">
        <f>CS_PID!AH56/VLOOKUP($B56,표2[#ALL],2)</f>
        <v>0.006437267225</v>
      </c>
      <c r="AI56" s="356">
        <f>CS_PID!AI56/VLOOKUP($B56,표2[#ALL],2)</f>
        <v>0.03862360335</v>
      </c>
      <c r="AJ56" s="356">
        <f>CS_PID!AJ56/VLOOKUP($B56,표2[#ALL],2)</f>
        <v>0.02896770251</v>
      </c>
      <c r="AK56" s="356">
        <f>CS_PID!AK56/VLOOKUP($B56,표2[#ALL],2)</f>
        <v>0</v>
      </c>
      <c r="AL56" s="356">
        <f>CS_PID!AL56/VLOOKUP($B56,표2[#ALL],2)</f>
        <v>0</v>
      </c>
      <c r="AM56" s="356">
        <f>CS_PID!AM56/VLOOKUP($B56,표2[#ALL],2)</f>
        <v>0.009655900837</v>
      </c>
      <c r="AN56" s="356">
        <f>CS_PID!AN56/VLOOKUP($B56,표2[#ALL],2)</f>
        <v>0.04827950419</v>
      </c>
      <c r="AO56" s="356">
        <f>CS_PID!AO56/VLOOKUP($B56,표2[#ALL],2)</f>
        <v>0.003218633612</v>
      </c>
      <c r="AP56" s="356">
        <f>CS_PID!AP56/VLOOKUP($B56,표2[#ALL],2)</f>
        <v>0</v>
      </c>
      <c r="AQ56" s="356">
        <f>CS_PID!AQ56/VLOOKUP($B56,표2[#ALL],2)</f>
        <v>0</v>
      </c>
      <c r="AR56" s="356">
        <f>CS_PID!AR56/VLOOKUP($B56,표2[#ALL],2)</f>
        <v>0</v>
      </c>
      <c r="AS56" s="356">
        <f>CS_PID!AS56/VLOOKUP($B56,표2[#ALL],2)</f>
        <v>0</v>
      </c>
    </row>
    <row r="57">
      <c r="A57" s="165" t="s">
        <v>82</v>
      </c>
      <c r="B57" s="166">
        <v>324.0</v>
      </c>
      <c r="C57" s="356">
        <f>CS_PID!C57/VLOOKUP($B57,표2[#ALL],2)</f>
        <v>0</v>
      </c>
      <c r="D57" s="356">
        <f>CS_PID!D57/VLOOKUP($B57,표2[#ALL],2)</f>
        <v>0</v>
      </c>
      <c r="E57" s="356">
        <f>CS_PID!E57/VLOOKUP($B57,표2[#ALL],2)</f>
        <v>0.01900723284</v>
      </c>
      <c r="F57" s="356">
        <f>CS_PID!F57/VLOOKUP($B57,표2[#ALL],2)</f>
        <v>0.04276627389</v>
      </c>
      <c r="G57" s="356">
        <f>CS_PID!G57/VLOOKUP($B57,표2[#ALL],2)</f>
        <v>0</v>
      </c>
      <c r="H57" s="356">
        <f>CS_PID!H57/VLOOKUP($B57,표2[#ALL],2)</f>
        <v>0</v>
      </c>
      <c r="I57" s="356">
        <f>CS_PID!I57/VLOOKUP($B57,표2[#ALL],2)</f>
        <v>0</v>
      </c>
      <c r="J57" s="356">
        <f>CS_PID!J57/VLOOKUP($B57,표2[#ALL],2)</f>
        <v>0.1187952053</v>
      </c>
      <c r="K57" s="356">
        <f>CS_PID!K57/VLOOKUP($B57,표2[#ALL],2)</f>
        <v>0.08553254779</v>
      </c>
      <c r="L57" s="356">
        <f>CS_PID!L57/VLOOKUP($B57,표2[#ALL],2)</f>
        <v>0.02851084926</v>
      </c>
      <c r="M57" s="356">
        <f>CS_PID!M57/VLOOKUP($B57,표2[#ALL],2)</f>
        <v>0</v>
      </c>
      <c r="N57" s="356">
        <f>CS_PID!N57/VLOOKUP($B57,표2[#ALL],2)</f>
        <v>0</v>
      </c>
      <c r="O57" s="356">
        <f>CS_PID!O57/VLOOKUP($B57,표2[#ALL],2)</f>
        <v>0</v>
      </c>
      <c r="P57" s="356">
        <f>CS_PID!P57/VLOOKUP($B57,표2[#ALL],2)</f>
        <v>0.06652531494</v>
      </c>
      <c r="Q57" s="356">
        <f>CS_PID!Q57/VLOOKUP($B57,표2[#ALL],2)</f>
        <v>0.2423422187</v>
      </c>
      <c r="R57" s="356">
        <f>CS_PID!R57/VLOOKUP($B57,표2[#ALL],2)</f>
        <v>0.05226989031</v>
      </c>
      <c r="S57" s="356">
        <f>CS_PID!S57/VLOOKUP($B57,표2[#ALL],2)</f>
        <v>0</v>
      </c>
      <c r="T57" s="356">
        <f>CS_PID!T57/VLOOKUP($B57,표2[#ALL],2)</f>
        <v>0</v>
      </c>
      <c r="U57" s="356">
        <f>CS_PID!U57/VLOOKUP($B57,표2[#ALL],2)</f>
        <v>0</v>
      </c>
      <c r="V57" s="356">
        <f>CS_PID!V57/VLOOKUP($B57,표2[#ALL],2)</f>
        <v>0.02851084926</v>
      </c>
      <c r="W57" s="356">
        <f>CS_PID!W57/VLOOKUP($B57,표2[#ALL],2)</f>
        <v>0.2375904105</v>
      </c>
      <c r="X57" s="356">
        <f>CS_PID!X57/VLOOKUP($B57,표2[#ALL],2)</f>
        <v>0.1235470135</v>
      </c>
      <c r="Y57" s="356">
        <f>CS_PID!Y57/VLOOKUP($B57,표2[#ALL],2)</f>
        <v>0</v>
      </c>
      <c r="Z57" s="356">
        <f>CS_PID!Z57/VLOOKUP($B57,표2[#ALL],2)</f>
        <v>0</v>
      </c>
      <c r="AA57" s="356">
        <f>CS_PID!AA57/VLOOKUP($B57,표2[#ALL],2)</f>
        <v>0</v>
      </c>
      <c r="AB57" s="356">
        <f>CS_PID!AB57/VLOOKUP($B57,표2[#ALL],2)</f>
        <v>0</v>
      </c>
      <c r="AC57" s="356">
        <f>CS_PID!AC57/VLOOKUP($B57,표2[#ALL],2)</f>
        <v>0.1853205202</v>
      </c>
      <c r="AD57" s="356">
        <f>CS_PID!AD57/VLOOKUP($B57,표2[#ALL],2)</f>
        <v>0.05702169852</v>
      </c>
      <c r="AE57" s="356">
        <f>CS_PID!AE57/VLOOKUP($B57,표2[#ALL],2)</f>
        <v>0</v>
      </c>
      <c r="AF57" s="356">
        <f>CS_PID!AF57/VLOOKUP($B57,표2[#ALL],2)</f>
        <v>0</v>
      </c>
      <c r="AG57" s="356">
        <f>CS_PID!AG57/VLOOKUP($B57,표2[#ALL],2)</f>
        <v>0</v>
      </c>
      <c r="AH57" s="356">
        <f>CS_PID!AH57/VLOOKUP($B57,표2[#ALL],2)</f>
        <v>0.00475180821</v>
      </c>
      <c r="AI57" s="356">
        <f>CS_PID!AI57/VLOOKUP($B57,표2[#ALL],2)</f>
        <v>0.07602893137</v>
      </c>
      <c r="AJ57" s="356">
        <f>CS_PID!AJ57/VLOOKUP($B57,표2[#ALL],2)</f>
        <v>0.04276627389</v>
      </c>
      <c r="AK57" s="356">
        <f>CS_PID!AK57/VLOOKUP($B57,표2[#ALL],2)</f>
        <v>0</v>
      </c>
      <c r="AL57" s="356">
        <f>CS_PID!AL57/VLOOKUP($B57,표2[#ALL],2)</f>
        <v>0</v>
      </c>
      <c r="AM57" s="356">
        <f>CS_PID!AM57/VLOOKUP($B57,표2[#ALL],2)</f>
        <v>0.00475180821</v>
      </c>
      <c r="AN57" s="356">
        <f>CS_PID!AN57/VLOOKUP($B57,표2[#ALL],2)</f>
        <v>0.03801446568</v>
      </c>
      <c r="AO57" s="356">
        <f>CS_PID!AO57/VLOOKUP($B57,표2[#ALL],2)</f>
        <v>0.009503616421</v>
      </c>
      <c r="AP57" s="356">
        <f>CS_PID!AP57/VLOOKUP($B57,표2[#ALL],2)</f>
        <v>0</v>
      </c>
      <c r="AQ57" s="356">
        <f>CS_PID!AQ57/VLOOKUP($B57,표2[#ALL],2)</f>
        <v>0</v>
      </c>
      <c r="AR57" s="356">
        <f>CS_PID!AR57/VLOOKUP($B57,표2[#ALL],2)</f>
        <v>0</v>
      </c>
      <c r="AS57" s="356">
        <f>CS_PID!AS57/VLOOKUP($B57,표2[#ALL],2)</f>
        <v>0</v>
      </c>
    </row>
    <row r="58">
      <c r="A58" s="165" t="s">
        <v>82</v>
      </c>
      <c r="B58" s="166">
        <v>325.0</v>
      </c>
      <c r="C58" s="356">
        <f>CS_PID!C58/VLOOKUP($B58,표2[#ALL],2)</f>
        <v>0.01233081183</v>
      </c>
      <c r="D58" s="356">
        <f>CS_PID!D58/VLOOKUP($B58,표2[#ALL],2)</f>
        <v>0</v>
      </c>
      <c r="E58" s="356">
        <f>CS_PID!E58/VLOOKUP($B58,표2[#ALL],2)</f>
        <v>0.02466162366</v>
      </c>
      <c r="F58" s="356">
        <f>CS_PID!F58/VLOOKUP($B58,표2[#ALL],2)</f>
        <v>0.02466162366</v>
      </c>
      <c r="G58" s="356">
        <f>CS_PID!G58/VLOOKUP($B58,표2[#ALL],2)</f>
        <v>0</v>
      </c>
      <c r="H58" s="356">
        <f>CS_PID!H58/VLOOKUP($B58,표2[#ALL],2)</f>
        <v>0</v>
      </c>
      <c r="I58" s="356">
        <f>CS_PID!I58/VLOOKUP($B58,표2[#ALL],2)</f>
        <v>0.01233081183</v>
      </c>
      <c r="J58" s="356">
        <f>CS_PID!J58/VLOOKUP($B58,표2[#ALL],2)</f>
        <v>0.03699243549</v>
      </c>
      <c r="K58" s="356">
        <f>CS_PID!K58/VLOOKUP($B58,표2[#ALL],2)</f>
        <v>0.03699243549</v>
      </c>
      <c r="L58" s="356">
        <f>CS_PID!L58/VLOOKUP($B58,표2[#ALL],2)</f>
        <v>0.01233081183</v>
      </c>
      <c r="M58" s="356">
        <f>CS_PID!M58/VLOOKUP($B58,표2[#ALL],2)</f>
        <v>0</v>
      </c>
      <c r="N58" s="356">
        <f>CS_PID!N58/VLOOKUP($B58,표2[#ALL],2)</f>
        <v>0</v>
      </c>
      <c r="O58" s="356">
        <f>CS_PID!O58/VLOOKUP($B58,표2[#ALL],2)</f>
        <v>0</v>
      </c>
      <c r="P58" s="356">
        <f>CS_PID!P58/VLOOKUP($B58,표2[#ALL],2)</f>
        <v>0.03699243549</v>
      </c>
      <c r="Q58" s="356">
        <f>CS_PID!Q58/VLOOKUP($B58,표2[#ALL],2)</f>
        <v>0.2096238011</v>
      </c>
      <c r="R58" s="356">
        <f>CS_PID!R58/VLOOKUP($B58,표2[#ALL],2)</f>
        <v>0.03699243549</v>
      </c>
      <c r="S58" s="356">
        <f>CS_PID!S58/VLOOKUP($B58,표2[#ALL],2)</f>
        <v>0</v>
      </c>
      <c r="T58" s="356">
        <f>CS_PID!T58/VLOOKUP($B58,표2[#ALL],2)</f>
        <v>0</v>
      </c>
      <c r="U58" s="356">
        <f>CS_PID!U58/VLOOKUP($B58,표2[#ALL],2)</f>
        <v>0</v>
      </c>
      <c r="V58" s="356">
        <f>CS_PID!V58/VLOOKUP($B58,표2[#ALL],2)</f>
        <v>0.01233081183</v>
      </c>
      <c r="W58" s="356">
        <f>CS_PID!W58/VLOOKUP($B58,표2[#ALL],2)</f>
        <v>0.1849621774</v>
      </c>
      <c r="X58" s="356">
        <f>CS_PID!X58/VLOOKUP($B58,표2[#ALL],2)</f>
        <v>0.0863156828</v>
      </c>
      <c r="Y58" s="356">
        <f>CS_PID!Y58/VLOOKUP($B58,표2[#ALL],2)</f>
        <v>0</v>
      </c>
      <c r="Z58" s="356">
        <f>CS_PID!Z58/VLOOKUP($B58,표2[#ALL],2)</f>
        <v>0</v>
      </c>
      <c r="AA58" s="356">
        <f>CS_PID!AA58/VLOOKUP($B58,표2[#ALL],2)</f>
        <v>0</v>
      </c>
      <c r="AB58" s="356">
        <f>CS_PID!AB58/VLOOKUP($B58,표2[#ALL],2)</f>
        <v>0.01233081183</v>
      </c>
      <c r="AC58" s="356">
        <f>CS_PID!AC58/VLOOKUP($B58,표2[#ALL],2)</f>
        <v>0.04932324731</v>
      </c>
      <c r="AD58" s="356">
        <f>CS_PID!AD58/VLOOKUP($B58,표2[#ALL],2)</f>
        <v>0.01233081183</v>
      </c>
      <c r="AE58" s="356">
        <f>CS_PID!AE58/VLOOKUP($B58,표2[#ALL],2)</f>
        <v>0</v>
      </c>
      <c r="AF58" s="356">
        <f>CS_PID!AF58/VLOOKUP($B58,표2[#ALL],2)</f>
        <v>0</v>
      </c>
      <c r="AG58" s="356">
        <f>CS_PID!AG58/VLOOKUP($B58,표2[#ALL],2)</f>
        <v>0</v>
      </c>
      <c r="AH58" s="356">
        <f>CS_PID!AH58/VLOOKUP($B58,표2[#ALL],2)</f>
        <v>0</v>
      </c>
      <c r="AI58" s="356">
        <f>CS_PID!AI58/VLOOKUP($B58,표2[#ALL],2)</f>
        <v>0.0863156828</v>
      </c>
      <c r="AJ58" s="356">
        <f>CS_PID!AJ58/VLOOKUP($B58,표2[#ALL],2)</f>
        <v>0.03699243549</v>
      </c>
      <c r="AK58" s="356">
        <f>CS_PID!AK58/VLOOKUP($B58,표2[#ALL],2)</f>
        <v>0</v>
      </c>
      <c r="AL58" s="356">
        <f>CS_PID!AL58/VLOOKUP($B58,표2[#ALL],2)</f>
        <v>0</v>
      </c>
      <c r="AM58" s="356">
        <f>CS_PID!AM58/VLOOKUP($B58,표2[#ALL],2)</f>
        <v>0</v>
      </c>
      <c r="AN58" s="356">
        <f>CS_PID!AN58/VLOOKUP($B58,표2[#ALL],2)</f>
        <v>0.07398487097</v>
      </c>
      <c r="AO58" s="356">
        <f>CS_PID!AO58/VLOOKUP($B58,표2[#ALL],2)</f>
        <v>0</v>
      </c>
      <c r="AP58" s="356">
        <f>CS_PID!AP58/VLOOKUP($B58,표2[#ALL],2)</f>
        <v>0</v>
      </c>
      <c r="AQ58" s="356">
        <f>CS_PID!AQ58/VLOOKUP($B58,표2[#ALL],2)</f>
        <v>0</v>
      </c>
      <c r="AR58" s="356">
        <f>CS_PID!AR58/VLOOKUP($B58,표2[#ALL],2)</f>
        <v>0</v>
      </c>
      <c r="AS58" s="356">
        <f>CS_PID!AS58/VLOOKUP($B58,표2[#ALL],2)</f>
        <v>0</v>
      </c>
    </row>
    <row r="59">
      <c r="A59" s="165" t="s">
        <v>82</v>
      </c>
      <c r="B59" s="166">
        <v>326.0</v>
      </c>
      <c r="C59" s="356">
        <f>CS_PID!C59/VLOOKUP($B59,표2[#ALL],2)</f>
        <v>0</v>
      </c>
      <c r="D59" s="356">
        <f>CS_PID!D59/VLOOKUP($B59,표2[#ALL],2)</f>
        <v>0.007025108324</v>
      </c>
      <c r="E59" s="356">
        <f>CS_PID!E59/VLOOKUP($B59,표2[#ALL],2)</f>
        <v>0.04215064994</v>
      </c>
      <c r="F59" s="356">
        <f>CS_PID!F59/VLOOKUP($B59,표2[#ALL],2)</f>
        <v>0.05971342075</v>
      </c>
      <c r="G59" s="356">
        <f>CS_PID!G59/VLOOKUP($B59,표2[#ALL],2)</f>
        <v>0</v>
      </c>
      <c r="H59" s="356">
        <f>CS_PID!H59/VLOOKUP($B59,표2[#ALL],2)</f>
        <v>0</v>
      </c>
      <c r="I59" s="356">
        <f>CS_PID!I59/VLOOKUP($B59,표2[#ALL],2)</f>
        <v>0</v>
      </c>
      <c r="J59" s="356">
        <f>CS_PID!J59/VLOOKUP($B59,표2[#ALL],2)</f>
        <v>0.06322597491</v>
      </c>
      <c r="K59" s="356">
        <f>CS_PID!K59/VLOOKUP($B59,표2[#ALL],2)</f>
        <v>0.1159142873</v>
      </c>
      <c r="L59" s="356">
        <f>CS_PID!L59/VLOOKUP($B59,표2[#ALL],2)</f>
        <v>0.03161298746</v>
      </c>
      <c r="M59" s="356">
        <f>CS_PID!M59/VLOOKUP($B59,표2[#ALL],2)</f>
        <v>0</v>
      </c>
      <c r="N59" s="356">
        <f>CS_PID!N59/VLOOKUP($B59,표2[#ALL],2)</f>
        <v>0</v>
      </c>
      <c r="O59" s="356">
        <f>CS_PID!O59/VLOOKUP($B59,표2[#ALL],2)</f>
        <v>0</v>
      </c>
      <c r="P59" s="356">
        <f>CS_PID!P59/VLOOKUP($B59,표2[#ALL],2)</f>
        <v>0.05971342075</v>
      </c>
      <c r="Q59" s="356">
        <f>CS_PID!Q59/VLOOKUP($B59,표2[#ALL],2)</f>
        <v>0.2564164538</v>
      </c>
      <c r="R59" s="356">
        <f>CS_PID!R59/VLOOKUP($B59,표2[#ALL],2)</f>
        <v>0.06673852908</v>
      </c>
      <c r="S59" s="356">
        <f>CS_PID!S59/VLOOKUP($B59,표2[#ALL],2)</f>
        <v>0.003512554162</v>
      </c>
      <c r="T59" s="356">
        <f>CS_PID!T59/VLOOKUP($B59,표2[#ALL],2)</f>
        <v>0</v>
      </c>
      <c r="U59" s="356">
        <f>CS_PID!U59/VLOOKUP($B59,표2[#ALL],2)</f>
        <v>0</v>
      </c>
      <c r="V59" s="356">
        <f>CS_PID!V59/VLOOKUP($B59,표2[#ALL],2)</f>
        <v>0.03161298746</v>
      </c>
      <c r="W59" s="356">
        <f>CS_PID!W59/VLOOKUP($B59,표2[#ALL],2)</f>
        <v>0.2072406956</v>
      </c>
      <c r="X59" s="356">
        <f>CS_PID!X59/VLOOKUP($B59,표2[#ALL],2)</f>
        <v>0.09483896237</v>
      </c>
      <c r="Y59" s="356">
        <f>CS_PID!Y59/VLOOKUP($B59,표2[#ALL],2)</f>
        <v>0.003512554162</v>
      </c>
      <c r="Z59" s="356">
        <f>CS_PID!Z59/VLOOKUP($B59,표2[#ALL],2)</f>
        <v>0</v>
      </c>
      <c r="AA59" s="356">
        <f>CS_PID!AA59/VLOOKUP($B59,표2[#ALL],2)</f>
        <v>0</v>
      </c>
      <c r="AB59" s="356">
        <f>CS_PID!AB59/VLOOKUP($B59,표2[#ALL],2)</f>
        <v>0.01053766249</v>
      </c>
      <c r="AC59" s="356">
        <f>CS_PID!AC59/VLOOKUP($B59,표2[#ALL],2)</f>
        <v>0.1405021665</v>
      </c>
      <c r="AD59" s="356">
        <f>CS_PID!AD59/VLOOKUP($B59,표2[#ALL],2)</f>
        <v>0.03863809578</v>
      </c>
      <c r="AE59" s="356">
        <f>CS_PID!AE59/VLOOKUP($B59,표2[#ALL],2)</f>
        <v>0</v>
      </c>
      <c r="AF59" s="356">
        <f>CS_PID!AF59/VLOOKUP($B59,표2[#ALL],2)</f>
        <v>0</v>
      </c>
      <c r="AG59" s="356">
        <f>CS_PID!AG59/VLOOKUP($B59,표2[#ALL],2)</f>
        <v>0</v>
      </c>
      <c r="AH59" s="356">
        <f>CS_PID!AH59/VLOOKUP($B59,표2[#ALL],2)</f>
        <v>0.01405021665</v>
      </c>
      <c r="AI59" s="356">
        <f>CS_PID!AI59/VLOOKUP($B59,표2[#ALL],2)</f>
        <v>0.03863809578</v>
      </c>
      <c r="AJ59" s="356">
        <f>CS_PID!AJ59/VLOOKUP($B59,표2[#ALL],2)</f>
        <v>0.01756277081</v>
      </c>
      <c r="AK59" s="356">
        <f>CS_PID!AK59/VLOOKUP($B59,표2[#ALL],2)</f>
        <v>0</v>
      </c>
      <c r="AL59" s="356">
        <f>CS_PID!AL59/VLOOKUP($B59,표2[#ALL],2)</f>
        <v>0</v>
      </c>
      <c r="AM59" s="356">
        <f>CS_PID!AM59/VLOOKUP($B59,표2[#ALL],2)</f>
        <v>0</v>
      </c>
      <c r="AN59" s="356">
        <f>CS_PID!AN59/VLOOKUP($B59,표2[#ALL],2)</f>
        <v>0.03863809578</v>
      </c>
      <c r="AO59" s="356">
        <f>CS_PID!AO59/VLOOKUP($B59,표2[#ALL],2)</f>
        <v>0.01053766249</v>
      </c>
      <c r="AP59" s="356">
        <f>CS_PID!AP59/VLOOKUP($B59,표2[#ALL],2)</f>
        <v>0</v>
      </c>
      <c r="AQ59" s="356">
        <f>CS_PID!AQ59/VLOOKUP($B59,표2[#ALL],2)</f>
        <v>0</v>
      </c>
      <c r="AR59" s="356">
        <f>CS_PID!AR59/VLOOKUP($B59,표2[#ALL],2)</f>
        <v>0.003512554162</v>
      </c>
      <c r="AS59" s="356">
        <f>CS_PID!AS59/VLOOKUP($B59,표2[#ALL],2)</f>
        <v>0</v>
      </c>
    </row>
    <row r="60">
      <c r="A60" s="165" t="s">
        <v>82</v>
      </c>
      <c r="B60" s="166">
        <v>327.0</v>
      </c>
      <c r="C60" s="356">
        <f>CS_PID!C60/VLOOKUP($B60,표2[#ALL],2)</f>
        <v>0</v>
      </c>
      <c r="D60" s="356">
        <f>CS_PID!D60/VLOOKUP($B60,표2[#ALL],2)</f>
        <v>0.002056597425</v>
      </c>
      <c r="E60" s="356">
        <f>CS_PID!E60/VLOOKUP($B60,표2[#ALL],2)</f>
        <v>0.02673576653</v>
      </c>
      <c r="F60" s="356">
        <f>CS_PID!F60/VLOOKUP($B60,표2[#ALL],2)</f>
        <v>0.03701875366</v>
      </c>
      <c r="G60" s="356">
        <f>CS_PID!G60/VLOOKUP($B60,표2[#ALL],2)</f>
        <v>0.002056597425</v>
      </c>
      <c r="H60" s="356">
        <f>CS_PID!H60/VLOOKUP($B60,표2[#ALL],2)</f>
        <v>0</v>
      </c>
      <c r="I60" s="356">
        <f>CS_PID!I60/VLOOKUP($B60,표2[#ALL],2)</f>
        <v>0</v>
      </c>
      <c r="J60" s="356">
        <f>CS_PID!J60/VLOOKUP($B60,표2[#ALL],2)</f>
        <v>0.1069430661</v>
      </c>
      <c r="K60" s="356">
        <f>CS_PID!K60/VLOOKUP($B60,표2[#ALL],2)</f>
        <v>0.1007732738</v>
      </c>
      <c r="L60" s="356">
        <f>CS_PID!L60/VLOOKUP($B60,표2[#ALL],2)</f>
        <v>0.02673576653</v>
      </c>
      <c r="M60" s="356">
        <f>CS_PID!M60/VLOOKUP($B60,표2[#ALL],2)</f>
        <v>0</v>
      </c>
      <c r="N60" s="356">
        <f>CS_PID!N60/VLOOKUP($B60,표2[#ALL],2)</f>
        <v>0</v>
      </c>
      <c r="O60" s="356">
        <f>CS_PID!O60/VLOOKUP($B60,표2[#ALL],2)</f>
        <v>0.006169792276</v>
      </c>
      <c r="P60" s="356">
        <f>CS_PID!P60/VLOOKUP($B60,표2[#ALL],2)</f>
        <v>0.04524514336</v>
      </c>
      <c r="Q60" s="356">
        <f>CS_PID!Q60/VLOOKUP($B60,표2[#ALL],2)</f>
        <v>0.2406218988</v>
      </c>
      <c r="R60" s="356">
        <f>CS_PID!R60/VLOOKUP($B60,표2[#ALL],2)</f>
        <v>0.05141493564</v>
      </c>
      <c r="S60" s="356">
        <f>CS_PID!S60/VLOOKUP($B60,표2[#ALL],2)</f>
        <v>0.002056597425</v>
      </c>
      <c r="T60" s="356">
        <f>CS_PID!T60/VLOOKUP($B60,표2[#ALL],2)</f>
        <v>0</v>
      </c>
      <c r="U60" s="356">
        <f>CS_PID!U60/VLOOKUP($B60,표2[#ALL],2)</f>
        <v>0</v>
      </c>
      <c r="V60" s="356">
        <f>CS_PID!V60/VLOOKUP($B60,표2[#ALL],2)</f>
        <v>0.03084896138</v>
      </c>
      <c r="W60" s="356">
        <f>CS_PID!W60/VLOOKUP($B60,표2[#ALL],2)</f>
        <v>0.1912635606</v>
      </c>
      <c r="X60" s="356">
        <f>CS_PID!X60/VLOOKUP($B60,표2[#ALL],2)</f>
        <v>0.09871667642</v>
      </c>
      <c r="Y60" s="356">
        <f>CS_PID!Y60/VLOOKUP($B60,표2[#ALL],2)</f>
        <v>0.004113194851</v>
      </c>
      <c r="Z60" s="356">
        <f>CS_PID!Z60/VLOOKUP($B60,표2[#ALL],2)</f>
        <v>0</v>
      </c>
      <c r="AA60" s="356">
        <f>CS_PID!AA60/VLOOKUP($B60,표2[#ALL],2)</f>
        <v>0.002056597425</v>
      </c>
      <c r="AB60" s="356">
        <f>CS_PID!AB60/VLOOKUP($B60,표2[#ALL],2)</f>
        <v>0.002056597425</v>
      </c>
      <c r="AC60" s="356">
        <f>CS_PID!AC60/VLOOKUP($B60,표2[#ALL],2)</f>
        <v>0.1809805734</v>
      </c>
      <c r="AD60" s="356">
        <f>CS_PID!AD60/VLOOKUP($B60,표2[#ALL],2)</f>
        <v>0.03496215623</v>
      </c>
      <c r="AE60" s="356">
        <f>CS_PID!AE60/VLOOKUP($B60,표2[#ALL],2)</f>
        <v>0.002056597425</v>
      </c>
      <c r="AF60" s="356">
        <f>CS_PID!AF60/VLOOKUP($B60,표2[#ALL],2)</f>
        <v>0</v>
      </c>
      <c r="AG60" s="356">
        <f>CS_PID!AG60/VLOOKUP($B60,표2[#ALL],2)</f>
        <v>0</v>
      </c>
      <c r="AH60" s="356">
        <f>CS_PID!AH60/VLOOKUP($B60,표2[#ALL],2)</f>
        <v>0.0164527794</v>
      </c>
      <c r="AI60" s="356">
        <f>CS_PID!AI60/VLOOKUP($B60,표2[#ALL],2)</f>
        <v>0.08226389702</v>
      </c>
      <c r="AJ60" s="356">
        <f>CS_PID!AJ60/VLOOKUP($B60,표2[#ALL],2)</f>
        <v>0.03907535108</v>
      </c>
      <c r="AK60" s="356">
        <f>CS_PID!AK60/VLOOKUP($B60,표2[#ALL],2)</f>
        <v>0.002056597425</v>
      </c>
      <c r="AL60" s="356">
        <f>CS_PID!AL60/VLOOKUP($B60,표2[#ALL],2)</f>
        <v>0</v>
      </c>
      <c r="AM60" s="356">
        <f>CS_PID!AM60/VLOOKUP($B60,표2[#ALL],2)</f>
        <v>0.004113194851</v>
      </c>
      <c r="AN60" s="356">
        <f>CS_PID!AN60/VLOOKUP($B60,표2[#ALL],2)</f>
        <v>0.03496215623</v>
      </c>
      <c r="AO60" s="356">
        <f>CS_PID!AO60/VLOOKUP($B60,표2[#ALL],2)</f>
        <v>0.004113194851</v>
      </c>
      <c r="AP60" s="356">
        <f>CS_PID!AP60/VLOOKUP($B60,표2[#ALL],2)</f>
        <v>0</v>
      </c>
      <c r="AQ60" s="356">
        <f>CS_PID!AQ60/VLOOKUP($B60,표2[#ALL],2)</f>
        <v>0.002056597425</v>
      </c>
      <c r="AR60" s="356">
        <f>CS_PID!AR60/VLOOKUP($B60,표2[#ALL],2)</f>
        <v>0.002056597425</v>
      </c>
      <c r="AS60" s="356">
        <f>CS_PID!AS60/VLOOKUP($B60,표2[#ALL],2)</f>
        <v>0</v>
      </c>
    </row>
    <row r="61">
      <c r="A61" s="165" t="s">
        <v>82</v>
      </c>
      <c r="B61" s="166">
        <v>328.0</v>
      </c>
      <c r="C61" s="356">
        <f>CS_PID!C61/VLOOKUP($B61,표2[#ALL],2)</f>
        <v>0.001333722092</v>
      </c>
      <c r="D61" s="356">
        <f>CS_PID!D61/VLOOKUP($B61,표2[#ALL],2)</f>
        <v>0.002667444184</v>
      </c>
      <c r="E61" s="356">
        <f>CS_PID!E61/VLOOKUP($B61,표2[#ALL],2)</f>
        <v>0.02267327556</v>
      </c>
      <c r="F61" s="356">
        <f>CS_PID!F61/VLOOKUP($B61,표2[#ALL],2)</f>
        <v>0.0493477174</v>
      </c>
      <c r="G61" s="356">
        <f>CS_PID!G61/VLOOKUP($B61,표2[#ALL],2)</f>
        <v>0.004001166276</v>
      </c>
      <c r="H61" s="356">
        <f>CS_PID!H61/VLOOKUP($B61,표2[#ALL],2)</f>
        <v>0.002667444184</v>
      </c>
      <c r="I61" s="356">
        <f>CS_PID!I61/VLOOKUP($B61,표2[#ALL],2)</f>
        <v>0</v>
      </c>
      <c r="J61" s="356">
        <f>CS_PID!J61/VLOOKUP($B61,표2[#ALL],2)</f>
        <v>0.0826907697</v>
      </c>
      <c r="K61" s="356">
        <f>CS_PID!K61/VLOOKUP($B61,표2[#ALL],2)</f>
        <v>0.1066977674</v>
      </c>
      <c r="L61" s="356">
        <f>CS_PID!L61/VLOOKUP($B61,표2[#ALL],2)</f>
        <v>0.02267327556</v>
      </c>
      <c r="M61" s="356">
        <f>CS_PID!M61/VLOOKUP($B61,표2[#ALL],2)</f>
        <v>0</v>
      </c>
      <c r="N61" s="356">
        <f>CS_PID!N61/VLOOKUP($B61,표2[#ALL],2)</f>
        <v>0</v>
      </c>
      <c r="O61" s="356">
        <f>CS_PID!O61/VLOOKUP($B61,표2[#ALL],2)</f>
        <v>0</v>
      </c>
      <c r="P61" s="356">
        <f>CS_PID!P61/VLOOKUP($B61,표2[#ALL],2)</f>
        <v>0.05601632786</v>
      </c>
      <c r="Q61" s="356">
        <f>CS_PID!Q61/VLOOKUP($B61,표2[#ALL],2)</f>
        <v>0.2227315894</v>
      </c>
      <c r="R61" s="356">
        <f>CS_PID!R61/VLOOKUP($B61,표2[#ALL],2)</f>
        <v>0.04668027322</v>
      </c>
      <c r="S61" s="356">
        <f>CS_PID!S61/VLOOKUP($B61,표2[#ALL],2)</f>
        <v>0.001333722092</v>
      </c>
      <c r="T61" s="356">
        <f>CS_PID!T61/VLOOKUP($B61,표2[#ALL],2)</f>
        <v>0</v>
      </c>
      <c r="U61" s="356">
        <f>CS_PID!U61/VLOOKUP($B61,표2[#ALL],2)</f>
        <v>0.002667444184</v>
      </c>
      <c r="V61" s="356">
        <f>CS_PID!V61/VLOOKUP($B61,표2[#ALL],2)</f>
        <v>0.03067560812</v>
      </c>
      <c r="W61" s="356">
        <f>CS_PID!W61/VLOOKUP($B61,표2[#ALL],2)</f>
        <v>0.1973908696</v>
      </c>
      <c r="X61" s="356">
        <f>CS_PID!X61/VLOOKUP($B61,표2[#ALL],2)</f>
        <v>0.09869543481</v>
      </c>
      <c r="Y61" s="356">
        <f>CS_PID!Y61/VLOOKUP($B61,표2[#ALL],2)</f>
        <v>0.002667444184</v>
      </c>
      <c r="Z61" s="356">
        <f>CS_PID!Z61/VLOOKUP($B61,표2[#ALL],2)</f>
        <v>0</v>
      </c>
      <c r="AA61" s="356">
        <f>CS_PID!AA61/VLOOKUP($B61,표2[#ALL],2)</f>
        <v>0</v>
      </c>
      <c r="AB61" s="356">
        <f>CS_PID!AB61/VLOOKUP($B61,표2[#ALL],2)</f>
        <v>0.002667444184</v>
      </c>
      <c r="AC61" s="356">
        <f>CS_PID!AC61/VLOOKUP($B61,표2[#ALL],2)</f>
        <v>0.160046651</v>
      </c>
      <c r="AD61" s="356">
        <f>CS_PID!AD61/VLOOKUP($B61,표2[#ALL],2)</f>
        <v>0.05601632786</v>
      </c>
      <c r="AE61" s="356">
        <f>CS_PID!AE61/VLOOKUP($B61,표2[#ALL],2)</f>
        <v>0.004001166276</v>
      </c>
      <c r="AF61" s="356">
        <f>CS_PID!AF61/VLOOKUP($B61,표2[#ALL],2)</f>
        <v>0</v>
      </c>
      <c r="AG61" s="356">
        <f>CS_PID!AG61/VLOOKUP($B61,표2[#ALL],2)</f>
        <v>0</v>
      </c>
      <c r="AH61" s="356">
        <f>CS_PID!AH61/VLOOKUP($B61,표2[#ALL],2)</f>
        <v>0.004001166276</v>
      </c>
      <c r="AI61" s="356">
        <f>CS_PID!AI61/VLOOKUP($B61,표2[#ALL],2)</f>
        <v>0.09869543481</v>
      </c>
      <c r="AJ61" s="356">
        <f>CS_PID!AJ61/VLOOKUP($B61,표2[#ALL],2)</f>
        <v>0.04534655113</v>
      </c>
      <c r="AK61" s="356">
        <f>CS_PID!AK61/VLOOKUP($B61,표2[#ALL],2)</f>
        <v>0</v>
      </c>
      <c r="AL61" s="356">
        <f>CS_PID!AL61/VLOOKUP($B61,표2[#ALL],2)</f>
        <v>0</v>
      </c>
      <c r="AM61" s="356">
        <f>CS_PID!AM61/VLOOKUP($B61,표2[#ALL],2)</f>
        <v>0.002667444184</v>
      </c>
      <c r="AN61" s="356">
        <f>CS_PID!AN61/VLOOKUP($B61,표2[#ALL],2)</f>
        <v>0.04267910694</v>
      </c>
      <c r="AO61" s="356">
        <f>CS_PID!AO61/VLOOKUP($B61,표2[#ALL],2)</f>
        <v>0.002667444184</v>
      </c>
      <c r="AP61" s="356">
        <f>CS_PID!AP61/VLOOKUP($B61,표2[#ALL],2)</f>
        <v>0</v>
      </c>
      <c r="AQ61" s="356">
        <f>CS_PID!AQ61/VLOOKUP($B61,표2[#ALL],2)</f>
        <v>0</v>
      </c>
      <c r="AR61" s="356">
        <f>CS_PID!AR61/VLOOKUP($B61,표2[#ALL],2)</f>
        <v>0.002667444184</v>
      </c>
      <c r="AS61" s="356">
        <f>CS_PID!AS61/VLOOKUP($B61,표2[#ALL],2)</f>
        <v>0</v>
      </c>
    </row>
    <row r="62">
      <c r="A62" s="165" t="s">
        <v>82</v>
      </c>
      <c r="B62" s="166">
        <v>329.0</v>
      </c>
      <c r="C62" s="356">
        <f>CS_PID!C62/VLOOKUP($B62,표2[#ALL],2)</f>
        <v>0.001285058563</v>
      </c>
      <c r="D62" s="356">
        <f>CS_PID!D62/VLOOKUP($B62,표2[#ALL],2)</f>
        <v>0.001285058563</v>
      </c>
      <c r="E62" s="356">
        <f>CS_PID!E62/VLOOKUP($B62,표2[#ALL],2)</f>
        <v>0.03341152264</v>
      </c>
      <c r="F62" s="356">
        <f>CS_PID!F62/VLOOKUP($B62,표2[#ALL],2)</f>
        <v>0.04112187401</v>
      </c>
      <c r="G62" s="356">
        <f>CS_PID!G62/VLOOKUP($B62,표2[#ALL],2)</f>
        <v>0</v>
      </c>
      <c r="H62" s="356">
        <f>CS_PID!H62/VLOOKUP($B62,표2[#ALL],2)</f>
        <v>0</v>
      </c>
      <c r="I62" s="356">
        <f>CS_PID!I62/VLOOKUP($B62,표2[#ALL],2)</f>
        <v>0</v>
      </c>
      <c r="J62" s="356">
        <f>CS_PID!J62/VLOOKUP($B62,표2[#ALL],2)</f>
        <v>0.1169403292</v>
      </c>
      <c r="K62" s="356">
        <f>CS_PID!K62/VLOOKUP($B62,표2[#ALL],2)</f>
        <v>0.1143702121</v>
      </c>
      <c r="L62" s="356">
        <f>CS_PID!L62/VLOOKUP($B62,표2[#ALL],2)</f>
        <v>0.02827128838</v>
      </c>
      <c r="M62" s="356">
        <f>CS_PID!M62/VLOOKUP($B62,표2[#ALL],2)</f>
        <v>0</v>
      </c>
      <c r="N62" s="356">
        <f>CS_PID!N62/VLOOKUP($B62,표2[#ALL],2)</f>
        <v>0</v>
      </c>
      <c r="O62" s="356">
        <f>CS_PID!O62/VLOOKUP($B62,표2[#ALL],2)</f>
        <v>0.002570117126</v>
      </c>
      <c r="P62" s="356">
        <f>CS_PID!P62/VLOOKUP($B62,표2[#ALL],2)</f>
        <v>0.06553798671</v>
      </c>
      <c r="Q62" s="356">
        <f>CS_PID!Q62/VLOOKUP($B62,표2[#ALL],2)</f>
        <v>0.2274553656</v>
      </c>
      <c r="R62" s="356">
        <f>CS_PID!R62/VLOOKUP($B62,표2[#ALL],2)</f>
        <v>0.06296786958</v>
      </c>
      <c r="S62" s="356">
        <f>CS_PID!S62/VLOOKUP($B62,표2[#ALL],2)</f>
        <v>0</v>
      </c>
      <c r="T62" s="356">
        <f>CS_PID!T62/VLOOKUP($B62,표2[#ALL],2)</f>
        <v>0</v>
      </c>
      <c r="U62" s="356">
        <f>CS_PID!U62/VLOOKUP($B62,표2[#ALL],2)</f>
        <v>0</v>
      </c>
      <c r="V62" s="356">
        <f>CS_PID!V62/VLOOKUP($B62,표2[#ALL],2)</f>
        <v>0.02955634695</v>
      </c>
      <c r="W62" s="356">
        <f>CS_PID!W62/VLOOKUP($B62,표2[#ALL],2)</f>
        <v>0.1889036087</v>
      </c>
      <c r="X62" s="356">
        <f>CS_PID!X62/VLOOKUP($B62,표2[#ALL],2)</f>
        <v>0.1002345679</v>
      </c>
      <c r="Y62" s="356">
        <f>CS_PID!Y62/VLOOKUP($B62,표2[#ALL],2)</f>
        <v>0.001285058563</v>
      </c>
      <c r="Z62" s="356">
        <f>CS_PID!Z62/VLOOKUP($B62,표2[#ALL],2)</f>
        <v>0</v>
      </c>
      <c r="AA62" s="356">
        <f>CS_PID!AA62/VLOOKUP($B62,표2[#ALL],2)</f>
        <v>0</v>
      </c>
      <c r="AB62" s="356">
        <f>CS_PID!AB62/VLOOKUP($B62,표2[#ALL],2)</f>
        <v>0.007710351378</v>
      </c>
      <c r="AC62" s="356">
        <f>CS_PID!AC62/VLOOKUP($B62,표2[#ALL],2)</f>
        <v>0.1709127889</v>
      </c>
      <c r="AD62" s="356">
        <f>CS_PID!AD62/VLOOKUP($B62,표2[#ALL],2)</f>
        <v>0.04369199114</v>
      </c>
      <c r="AE62" s="356">
        <f>CS_PID!AE62/VLOOKUP($B62,표2[#ALL],2)</f>
        <v>0</v>
      </c>
      <c r="AF62" s="356">
        <f>CS_PID!AF62/VLOOKUP($B62,표2[#ALL],2)</f>
        <v>0</v>
      </c>
      <c r="AG62" s="356">
        <f>CS_PID!AG62/VLOOKUP($B62,표2[#ALL],2)</f>
        <v>0</v>
      </c>
      <c r="AH62" s="356">
        <f>CS_PID!AH62/VLOOKUP($B62,표2[#ALL],2)</f>
        <v>0.006425292815</v>
      </c>
      <c r="AI62" s="356">
        <f>CS_PID!AI62/VLOOKUP($B62,표2[#ALL],2)</f>
        <v>0.08095868946</v>
      </c>
      <c r="AJ62" s="356">
        <f>CS_PID!AJ62/VLOOKUP($B62,표2[#ALL],2)</f>
        <v>0.02827128838</v>
      </c>
      <c r="AK62" s="356">
        <f>CS_PID!AK62/VLOOKUP($B62,표2[#ALL],2)</f>
        <v>0.001285058563</v>
      </c>
      <c r="AL62" s="356">
        <f>CS_PID!AL62/VLOOKUP($B62,표2[#ALL],2)</f>
        <v>0</v>
      </c>
      <c r="AM62" s="356">
        <f>CS_PID!AM62/VLOOKUP($B62,표2[#ALL],2)</f>
        <v>0.005140234252</v>
      </c>
      <c r="AN62" s="356">
        <f>CS_PID!AN62/VLOOKUP($B62,표2[#ALL],2)</f>
        <v>0.03855175689</v>
      </c>
      <c r="AO62" s="356">
        <f>CS_PID!AO62/VLOOKUP($B62,표2[#ALL],2)</f>
        <v>0.005140234252</v>
      </c>
      <c r="AP62" s="356">
        <f>CS_PID!AP62/VLOOKUP($B62,표2[#ALL],2)</f>
        <v>0</v>
      </c>
      <c r="AQ62" s="356">
        <f>CS_PID!AQ62/VLOOKUP($B62,표2[#ALL],2)</f>
        <v>0</v>
      </c>
      <c r="AR62" s="356">
        <f>CS_PID!AR62/VLOOKUP($B62,표2[#ALL],2)</f>
        <v>0.003855175689</v>
      </c>
      <c r="AS62" s="356">
        <f>CS_PID!AS62/VLOOKUP($B62,표2[#ALL],2)</f>
        <v>0</v>
      </c>
    </row>
    <row r="63">
      <c r="A63" s="165" t="s">
        <v>82</v>
      </c>
      <c r="B63" s="166">
        <v>330.0</v>
      </c>
      <c r="C63" s="356">
        <f>CS_PID!C63/VLOOKUP($B63,표2[#ALL],2)</f>
        <v>0</v>
      </c>
      <c r="D63" s="356">
        <f>CS_PID!D63/VLOOKUP($B63,표2[#ALL],2)</f>
        <v>0.003220322492</v>
      </c>
      <c r="E63" s="356">
        <f>CS_PID!E63/VLOOKUP($B63,표2[#ALL],2)</f>
        <v>0.01610161246</v>
      </c>
      <c r="F63" s="356">
        <f>CS_PID!F63/VLOOKUP($B63,표2[#ALL],2)</f>
        <v>0.04508451488</v>
      </c>
      <c r="G63" s="356">
        <f>CS_PID!G63/VLOOKUP($B63,표2[#ALL],2)</f>
        <v>0.003220322492</v>
      </c>
      <c r="H63" s="356">
        <f>CS_PID!H63/VLOOKUP($B63,표2[#ALL],2)</f>
        <v>0</v>
      </c>
      <c r="I63" s="356">
        <f>CS_PID!I63/VLOOKUP($B63,표2[#ALL],2)</f>
        <v>0.006440644983</v>
      </c>
      <c r="J63" s="356">
        <f>CS_PID!J63/VLOOKUP($B63,표2[#ALL],2)</f>
        <v>0.1384738671</v>
      </c>
      <c r="K63" s="356">
        <f>CS_PID!K63/VLOOKUP($B63,표2[#ALL],2)</f>
        <v>0.1191519322</v>
      </c>
      <c r="L63" s="356">
        <f>CS_PID!L63/VLOOKUP($B63,표2[#ALL],2)</f>
        <v>0.01932193495</v>
      </c>
      <c r="M63" s="356">
        <f>CS_PID!M63/VLOOKUP($B63,표2[#ALL],2)</f>
        <v>0</v>
      </c>
      <c r="N63" s="356">
        <f>CS_PID!N63/VLOOKUP($B63,표2[#ALL],2)</f>
        <v>0</v>
      </c>
      <c r="O63" s="356">
        <f>CS_PID!O63/VLOOKUP($B63,표2[#ALL],2)</f>
        <v>0.003220322492</v>
      </c>
      <c r="P63" s="356">
        <f>CS_PID!P63/VLOOKUP($B63,표2[#ALL],2)</f>
        <v>0.04830483738</v>
      </c>
      <c r="Q63" s="356">
        <f>CS_PID!Q63/VLOOKUP($B63,표2[#ALL],2)</f>
        <v>0.2447445094</v>
      </c>
      <c r="R63" s="356">
        <f>CS_PID!R63/VLOOKUP($B63,표2[#ALL],2)</f>
        <v>0.07084709482</v>
      </c>
      <c r="S63" s="356">
        <f>CS_PID!S63/VLOOKUP($B63,표2[#ALL],2)</f>
        <v>0</v>
      </c>
      <c r="T63" s="356">
        <f>CS_PID!T63/VLOOKUP($B63,표2[#ALL],2)</f>
        <v>0</v>
      </c>
      <c r="U63" s="356">
        <f>CS_PID!U63/VLOOKUP($B63,표2[#ALL],2)</f>
        <v>0</v>
      </c>
      <c r="V63" s="356">
        <f>CS_PID!V63/VLOOKUP($B63,표2[#ALL],2)</f>
        <v>0.01610161246</v>
      </c>
      <c r="W63" s="356">
        <f>CS_PID!W63/VLOOKUP($B63,표2[#ALL],2)</f>
        <v>0.1610161246</v>
      </c>
      <c r="X63" s="356">
        <f>CS_PID!X63/VLOOKUP($B63,표2[#ALL],2)</f>
        <v>0.09338935226</v>
      </c>
      <c r="Y63" s="356">
        <f>CS_PID!Y63/VLOOKUP($B63,표2[#ALL],2)</f>
        <v>0</v>
      </c>
      <c r="Z63" s="356">
        <f>CS_PID!Z63/VLOOKUP($B63,표2[#ALL],2)</f>
        <v>0</v>
      </c>
      <c r="AA63" s="356">
        <f>CS_PID!AA63/VLOOKUP($B63,표2[#ALL],2)</f>
        <v>0</v>
      </c>
      <c r="AB63" s="356">
        <f>CS_PID!AB63/VLOOKUP($B63,표2[#ALL],2)</f>
        <v>0.009660967475</v>
      </c>
      <c r="AC63" s="356">
        <f>CS_PID!AC63/VLOOKUP($B63,표2[#ALL],2)</f>
        <v>0.196439672</v>
      </c>
      <c r="AD63" s="356">
        <f>CS_PID!AD63/VLOOKUP($B63,표2[#ALL],2)</f>
        <v>0.04508451488</v>
      </c>
      <c r="AE63" s="356">
        <f>CS_PID!AE63/VLOOKUP($B63,표2[#ALL],2)</f>
        <v>0.003220322492</v>
      </c>
      <c r="AF63" s="356">
        <f>CS_PID!AF63/VLOOKUP($B63,표2[#ALL],2)</f>
        <v>0</v>
      </c>
      <c r="AG63" s="356">
        <f>CS_PID!AG63/VLOOKUP($B63,표2[#ALL],2)</f>
        <v>0</v>
      </c>
      <c r="AH63" s="356">
        <f>CS_PID!AH63/VLOOKUP($B63,표2[#ALL],2)</f>
        <v>0.009660967475</v>
      </c>
      <c r="AI63" s="356">
        <f>CS_PID!AI63/VLOOKUP($B63,표2[#ALL],2)</f>
        <v>0.0386438699</v>
      </c>
      <c r="AJ63" s="356">
        <f>CS_PID!AJ63/VLOOKUP($B63,표2[#ALL],2)</f>
        <v>0.02898290243</v>
      </c>
      <c r="AK63" s="356">
        <f>CS_PID!AK63/VLOOKUP($B63,표2[#ALL],2)</f>
        <v>0</v>
      </c>
      <c r="AL63" s="356">
        <f>CS_PID!AL63/VLOOKUP($B63,표2[#ALL],2)</f>
        <v>0</v>
      </c>
      <c r="AM63" s="356">
        <f>CS_PID!AM63/VLOOKUP($B63,표2[#ALL],2)</f>
        <v>0</v>
      </c>
      <c r="AN63" s="356">
        <f>CS_PID!AN63/VLOOKUP($B63,표2[#ALL],2)</f>
        <v>0.03542354741</v>
      </c>
      <c r="AO63" s="356">
        <f>CS_PID!AO63/VLOOKUP($B63,표2[#ALL],2)</f>
        <v>0</v>
      </c>
      <c r="AP63" s="356">
        <f>CS_PID!AP63/VLOOKUP($B63,표2[#ALL],2)</f>
        <v>0</v>
      </c>
      <c r="AQ63" s="356">
        <f>CS_PID!AQ63/VLOOKUP($B63,표2[#ALL],2)</f>
        <v>0</v>
      </c>
      <c r="AR63" s="356">
        <f>CS_PID!AR63/VLOOKUP($B63,표2[#ALL],2)</f>
        <v>0</v>
      </c>
      <c r="AS63" s="356">
        <f>CS_PID!AS63/VLOOKUP($B63,표2[#ALL],2)</f>
        <v>0</v>
      </c>
    </row>
    <row r="64">
      <c r="A64" s="165" t="s">
        <v>82</v>
      </c>
      <c r="B64" s="166">
        <v>331.0</v>
      </c>
      <c r="C64" s="356">
        <f>CS_PID!C64/VLOOKUP($B64,표2[#ALL],2)</f>
        <v>0.0009980793958</v>
      </c>
      <c r="D64" s="356">
        <f>CS_PID!D64/VLOOKUP($B64,표2[#ALL],2)</f>
        <v>0.005988476375</v>
      </c>
      <c r="E64" s="356">
        <f>CS_PID!E64/VLOOKUP($B64,표2[#ALL],2)</f>
        <v>0.03393469946</v>
      </c>
      <c r="F64" s="356">
        <f>CS_PID!F64/VLOOKUP($B64,표2[#ALL],2)</f>
        <v>0.09082522502</v>
      </c>
      <c r="G64" s="356">
        <f>CS_PID!G64/VLOOKUP($B64,표2[#ALL],2)</f>
        <v>0.003992317583</v>
      </c>
      <c r="H64" s="356">
        <f>CS_PID!H64/VLOOKUP($B64,표2[#ALL],2)</f>
        <v>0.0009980793958</v>
      </c>
      <c r="I64" s="356">
        <f>CS_PID!I64/VLOOKUP($B64,표2[#ALL],2)</f>
        <v>0.002994238187</v>
      </c>
      <c r="J64" s="356">
        <f>CS_PID!J64/VLOOKUP($B64,표2[#ALL],2)</f>
        <v>0.1606907827</v>
      </c>
      <c r="K64" s="356">
        <f>CS_PID!K64/VLOOKUP($B64,표2[#ALL],2)</f>
        <v>0.2026101174</v>
      </c>
      <c r="L64" s="356">
        <f>CS_PID!L64/VLOOKUP($B64,표2[#ALL],2)</f>
        <v>0.05689052556</v>
      </c>
      <c r="M64" s="356">
        <f>CS_PID!M64/VLOOKUP($B64,표2[#ALL],2)</f>
        <v>0</v>
      </c>
      <c r="N64" s="356">
        <f>CS_PID!N64/VLOOKUP($B64,표2[#ALL],2)</f>
        <v>0</v>
      </c>
      <c r="O64" s="356">
        <f>CS_PID!O64/VLOOKUP($B64,표2[#ALL],2)</f>
        <v>0.002994238187</v>
      </c>
      <c r="P64" s="356">
        <f>CS_PID!P64/VLOOKUP($B64,표2[#ALL],2)</f>
        <v>0.09781178079</v>
      </c>
      <c r="Q64" s="356">
        <f>CS_PID!Q64/VLOOKUP($B64,표2[#ALL],2)</f>
        <v>0.436160696</v>
      </c>
      <c r="R64" s="356">
        <f>CS_PID!R64/VLOOKUP($B64,표2[#ALL],2)</f>
        <v>0.1187714481</v>
      </c>
      <c r="S64" s="356">
        <f>CS_PID!S64/VLOOKUP($B64,표2[#ALL],2)</f>
        <v>0.001996158792</v>
      </c>
      <c r="T64" s="356">
        <f>CS_PID!T64/VLOOKUP($B64,표2[#ALL],2)</f>
        <v>0</v>
      </c>
      <c r="U64" s="356">
        <f>CS_PID!U64/VLOOKUP($B64,표2[#ALL],2)</f>
        <v>0</v>
      </c>
      <c r="V64" s="356">
        <f>CS_PID!V64/VLOOKUP($B64,표2[#ALL],2)</f>
        <v>0.06088284314</v>
      </c>
      <c r="W64" s="356">
        <f>CS_PID!W64/VLOOKUP($B64,표2[#ALL],2)</f>
        <v>0.3812663292</v>
      </c>
      <c r="X64" s="356">
        <f>CS_PID!X64/VLOOKUP($B64,표2[#ALL],2)</f>
        <v>0.2255659435</v>
      </c>
      <c r="Y64" s="356">
        <f>CS_PID!Y64/VLOOKUP($B64,표2[#ALL],2)</f>
        <v>0.007984635167</v>
      </c>
      <c r="Z64" s="356">
        <f>CS_PID!Z64/VLOOKUP($B64,표2[#ALL],2)</f>
        <v>0</v>
      </c>
      <c r="AA64" s="356">
        <f>CS_PID!AA64/VLOOKUP($B64,표2[#ALL],2)</f>
        <v>0</v>
      </c>
      <c r="AB64" s="356">
        <f>CS_PID!AB64/VLOOKUP($B64,표2[#ALL],2)</f>
        <v>0.01297503215</v>
      </c>
      <c r="AC64" s="356">
        <f>CS_PID!AC64/VLOOKUP($B64,표2[#ALL],2)</f>
        <v>0.3004218981</v>
      </c>
      <c r="AD64" s="356">
        <f>CS_PID!AD64/VLOOKUP($B64,표2[#ALL],2)</f>
        <v>0.05689052556</v>
      </c>
      <c r="AE64" s="356">
        <f>CS_PID!AE64/VLOOKUP($B64,표2[#ALL],2)</f>
        <v>0.002994238187</v>
      </c>
      <c r="AF64" s="356">
        <f>CS_PID!AF64/VLOOKUP($B64,표2[#ALL],2)</f>
        <v>0</v>
      </c>
      <c r="AG64" s="356">
        <f>CS_PID!AG64/VLOOKUP($B64,표2[#ALL],2)</f>
        <v>0</v>
      </c>
      <c r="AH64" s="356">
        <f>CS_PID!AH64/VLOOKUP($B64,표2[#ALL],2)</f>
        <v>0.008982714562</v>
      </c>
      <c r="AI64" s="356">
        <f>CS_PID!AI64/VLOOKUP($B64,표2[#ALL],2)</f>
        <v>0.1237618451</v>
      </c>
      <c r="AJ64" s="356">
        <f>CS_PID!AJ64/VLOOKUP($B64,표2[#ALL],2)</f>
        <v>0.05589244617</v>
      </c>
      <c r="AK64" s="356">
        <f>CS_PID!AK64/VLOOKUP($B64,표2[#ALL],2)</f>
        <v>0</v>
      </c>
      <c r="AL64" s="356">
        <f>CS_PID!AL64/VLOOKUP($B64,표2[#ALL],2)</f>
        <v>0</v>
      </c>
      <c r="AM64" s="356">
        <f>CS_PID!AM64/VLOOKUP($B64,표2[#ALL],2)</f>
        <v>0.004990396979</v>
      </c>
      <c r="AN64" s="356">
        <f>CS_PID!AN64/VLOOKUP($B64,표2[#ALL],2)</f>
        <v>0.09980793958</v>
      </c>
      <c r="AO64" s="356">
        <f>CS_PID!AO64/VLOOKUP($B64,표2[#ALL],2)</f>
        <v>0.01197695275</v>
      </c>
      <c r="AP64" s="356">
        <f>CS_PID!AP64/VLOOKUP($B64,표2[#ALL],2)</f>
        <v>0</v>
      </c>
      <c r="AQ64" s="356">
        <f>CS_PID!AQ64/VLOOKUP($B64,표2[#ALL],2)</f>
        <v>0.001996158792</v>
      </c>
      <c r="AR64" s="356">
        <f>CS_PID!AR64/VLOOKUP($B64,표2[#ALL],2)</f>
        <v>0.005988476375</v>
      </c>
      <c r="AS64" s="356">
        <f>CS_PID!AS64/VLOOKUP($B64,표2[#ALL],2)</f>
        <v>0.0009980793958</v>
      </c>
    </row>
    <row r="65">
      <c r="A65" s="165" t="s">
        <v>82</v>
      </c>
      <c r="B65" s="166">
        <v>332.0</v>
      </c>
      <c r="C65" s="356">
        <f>CS_PID!C65/VLOOKUP($B65,표2[#ALL],2)</f>
        <v>0</v>
      </c>
      <c r="D65" s="356">
        <f>CS_PID!D65/VLOOKUP($B65,표2[#ALL],2)</f>
        <v>0</v>
      </c>
      <c r="E65" s="356">
        <f>CS_PID!E65/VLOOKUP($B65,표2[#ALL],2)</f>
        <v>0.0009980793958</v>
      </c>
      <c r="F65" s="356">
        <f>CS_PID!F65/VLOOKUP($B65,표2[#ALL],2)</f>
        <v>0.01197695275</v>
      </c>
      <c r="G65" s="356">
        <f>CS_PID!G65/VLOOKUP($B65,표2[#ALL],2)</f>
        <v>0</v>
      </c>
      <c r="H65" s="356">
        <f>CS_PID!H65/VLOOKUP($B65,표2[#ALL],2)</f>
        <v>0.0009980793958</v>
      </c>
      <c r="I65" s="356">
        <f>CS_PID!I65/VLOOKUP($B65,표2[#ALL],2)</f>
        <v>0</v>
      </c>
      <c r="J65" s="356">
        <f>CS_PID!J65/VLOOKUP($B65,표2[#ALL],2)</f>
        <v>0.005988476375</v>
      </c>
      <c r="K65" s="356">
        <f>CS_PID!K65/VLOOKUP($B65,표2[#ALL],2)</f>
        <v>0.007984635167</v>
      </c>
      <c r="L65" s="356">
        <f>CS_PID!L65/VLOOKUP($B65,표2[#ALL],2)</f>
        <v>0.003992317583</v>
      </c>
      <c r="M65" s="356">
        <f>CS_PID!M65/VLOOKUP($B65,표2[#ALL],2)</f>
        <v>0</v>
      </c>
      <c r="N65" s="356">
        <f>CS_PID!N65/VLOOKUP($B65,표2[#ALL],2)</f>
        <v>0</v>
      </c>
      <c r="O65" s="356">
        <f>CS_PID!O65/VLOOKUP($B65,표2[#ALL],2)</f>
        <v>0</v>
      </c>
      <c r="P65" s="356">
        <f>CS_PID!P65/VLOOKUP($B65,표2[#ALL],2)</f>
        <v>0.008982714562</v>
      </c>
      <c r="Q65" s="356">
        <f>CS_PID!Q65/VLOOKUP($B65,표2[#ALL],2)</f>
        <v>0.03193854067</v>
      </c>
      <c r="R65" s="356">
        <f>CS_PID!R65/VLOOKUP($B65,표2[#ALL],2)</f>
        <v>0.008982714562</v>
      </c>
      <c r="S65" s="356">
        <f>CS_PID!S65/VLOOKUP($B65,표2[#ALL],2)</f>
        <v>0</v>
      </c>
      <c r="T65" s="356">
        <f>CS_PID!T65/VLOOKUP($B65,표2[#ALL],2)</f>
        <v>0</v>
      </c>
      <c r="U65" s="356">
        <f>CS_PID!U65/VLOOKUP($B65,표2[#ALL],2)</f>
        <v>0</v>
      </c>
      <c r="V65" s="356">
        <f>CS_PID!V65/VLOOKUP($B65,표2[#ALL],2)</f>
        <v>0.001996158792</v>
      </c>
      <c r="W65" s="356">
        <f>CS_PID!W65/VLOOKUP($B65,표2[#ALL],2)</f>
        <v>0.03992317583</v>
      </c>
      <c r="X65" s="356">
        <f>CS_PID!X65/VLOOKUP($B65,표2[#ALL],2)</f>
        <v>0.01297503215</v>
      </c>
      <c r="Y65" s="356">
        <f>CS_PID!Y65/VLOOKUP($B65,표2[#ALL],2)</f>
        <v>0.0009980793958</v>
      </c>
      <c r="Z65" s="356">
        <f>CS_PID!Z65/VLOOKUP($B65,표2[#ALL],2)</f>
        <v>0</v>
      </c>
      <c r="AA65" s="356">
        <f>CS_PID!AA65/VLOOKUP($B65,표2[#ALL],2)</f>
        <v>0</v>
      </c>
      <c r="AB65" s="356">
        <f>CS_PID!AB65/VLOOKUP($B65,표2[#ALL],2)</f>
        <v>0</v>
      </c>
      <c r="AC65" s="356">
        <f>CS_PID!AC65/VLOOKUP($B65,표2[#ALL],2)</f>
        <v>0.02095966731</v>
      </c>
      <c r="AD65" s="356">
        <f>CS_PID!AD65/VLOOKUP($B65,표2[#ALL],2)</f>
        <v>0.006986555771</v>
      </c>
      <c r="AE65" s="356">
        <f>CS_PID!AE65/VLOOKUP($B65,표2[#ALL],2)</f>
        <v>0</v>
      </c>
      <c r="AF65" s="356">
        <f>CS_PID!AF65/VLOOKUP($B65,표2[#ALL],2)</f>
        <v>0</v>
      </c>
      <c r="AG65" s="356">
        <f>CS_PID!AG65/VLOOKUP($B65,표2[#ALL],2)</f>
        <v>0</v>
      </c>
      <c r="AH65" s="356">
        <f>CS_PID!AH65/VLOOKUP($B65,표2[#ALL],2)</f>
        <v>0.0009980793958</v>
      </c>
      <c r="AI65" s="356">
        <f>CS_PID!AI65/VLOOKUP($B65,표2[#ALL],2)</f>
        <v>0.009980793958</v>
      </c>
      <c r="AJ65" s="356">
        <f>CS_PID!AJ65/VLOOKUP($B65,표2[#ALL],2)</f>
        <v>0.004990396979</v>
      </c>
      <c r="AK65" s="356">
        <f>CS_PID!AK65/VLOOKUP($B65,표2[#ALL],2)</f>
        <v>0</v>
      </c>
      <c r="AL65" s="356">
        <f>CS_PID!AL65/VLOOKUP($B65,표2[#ALL],2)</f>
        <v>0</v>
      </c>
      <c r="AM65" s="356">
        <f>CS_PID!AM65/VLOOKUP($B65,표2[#ALL],2)</f>
        <v>0.0009980793958</v>
      </c>
      <c r="AN65" s="356">
        <f>CS_PID!AN65/VLOOKUP($B65,표2[#ALL],2)</f>
        <v>0.009980793958</v>
      </c>
      <c r="AO65" s="356">
        <f>CS_PID!AO65/VLOOKUP($B65,표2[#ALL],2)</f>
        <v>0</v>
      </c>
      <c r="AP65" s="356">
        <f>CS_PID!AP65/VLOOKUP($B65,표2[#ALL],2)</f>
        <v>0</v>
      </c>
      <c r="AQ65" s="356">
        <f>CS_PID!AQ65/VLOOKUP($B65,표2[#ALL],2)</f>
        <v>0</v>
      </c>
      <c r="AR65" s="356">
        <f>CS_PID!AR65/VLOOKUP($B65,표2[#ALL],2)</f>
        <v>0.0009980793958</v>
      </c>
      <c r="AS65" s="356">
        <f>CS_PID!AS65/VLOOKUP($B65,표2[#ALL],2)</f>
        <v>0</v>
      </c>
    </row>
    <row r="66">
      <c r="A66" s="165" t="s">
        <v>82</v>
      </c>
      <c r="B66" s="166">
        <v>333.0</v>
      </c>
      <c r="C66" s="356">
        <f>CS_PID!C66/VLOOKUP($B66,표2[#ALL],2)</f>
        <v>0</v>
      </c>
      <c r="D66" s="356">
        <f>CS_PID!D66/VLOOKUP($B66,표2[#ALL],2)</f>
        <v>0.004990396979</v>
      </c>
      <c r="E66" s="356">
        <f>CS_PID!E66/VLOOKUP($B66,표2[#ALL],2)</f>
        <v>0.01397311154</v>
      </c>
      <c r="F66" s="356">
        <f>CS_PID!F66/VLOOKUP($B66,표2[#ALL],2)</f>
        <v>0.01397311154</v>
      </c>
      <c r="G66" s="356">
        <f>CS_PID!G66/VLOOKUP($B66,표2[#ALL],2)</f>
        <v>0.001996158792</v>
      </c>
      <c r="H66" s="356">
        <f>CS_PID!H66/VLOOKUP($B66,표2[#ALL],2)</f>
        <v>0</v>
      </c>
      <c r="I66" s="356">
        <f>CS_PID!I66/VLOOKUP($B66,표2[#ALL],2)</f>
        <v>0</v>
      </c>
      <c r="J66" s="356">
        <f>CS_PID!J66/VLOOKUP($B66,표2[#ALL],2)</f>
        <v>0.05389628737</v>
      </c>
      <c r="K66" s="356">
        <f>CS_PID!K66/VLOOKUP($B66,표2[#ALL],2)</f>
        <v>0.05190012858</v>
      </c>
      <c r="L66" s="356">
        <f>CS_PID!L66/VLOOKUP($B66,표2[#ALL],2)</f>
        <v>0.0229558261</v>
      </c>
      <c r="M66" s="356">
        <f>CS_PID!M66/VLOOKUP($B66,표2[#ALL],2)</f>
        <v>0</v>
      </c>
      <c r="N66" s="356">
        <f>CS_PID!N66/VLOOKUP($B66,표2[#ALL],2)</f>
        <v>0</v>
      </c>
      <c r="O66" s="356">
        <f>CS_PID!O66/VLOOKUP($B66,표2[#ALL],2)</f>
        <v>0.0009980793958</v>
      </c>
      <c r="P66" s="356">
        <f>CS_PID!P66/VLOOKUP($B66,표2[#ALL],2)</f>
        <v>0.0239539055</v>
      </c>
      <c r="Q66" s="356">
        <f>CS_PID!Q66/VLOOKUP($B66,표2[#ALL],2)</f>
        <v>0.1217656863</v>
      </c>
      <c r="R66" s="356">
        <f>CS_PID!R66/VLOOKUP($B66,표2[#ALL],2)</f>
        <v>0.03293662006</v>
      </c>
      <c r="S66" s="356">
        <f>CS_PID!S66/VLOOKUP($B66,표2[#ALL],2)</f>
        <v>0.0009980793958</v>
      </c>
      <c r="T66" s="356">
        <f>CS_PID!T66/VLOOKUP($B66,표2[#ALL],2)</f>
        <v>0</v>
      </c>
      <c r="U66" s="356">
        <f>CS_PID!U66/VLOOKUP($B66,표2[#ALL],2)</f>
        <v>0</v>
      </c>
      <c r="V66" s="356">
        <f>CS_PID!V66/VLOOKUP($B66,표2[#ALL],2)</f>
        <v>0.01197695275</v>
      </c>
      <c r="W66" s="356">
        <f>CS_PID!W66/VLOOKUP($B66,표2[#ALL],2)</f>
        <v>0.1297503215</v>
      </c>
      <c r="X66" s="356">
        <f>CS_PID!X66/VLOOKUP($B66,표2[#ALL],2)</f>
        <v>0.06287900194</v>
      </c>
      <c r="Y66" s="356">
        <f>CS_PID!Y66/VLOOKUP($B66,표2[#ALL],2)</f>
        <v>0.0009980793958</v>
      </c>
      <c r="Z66" s="356">
        <f>CS_PID!Z66/VLOOKUP($B66,표2[#ALL],2)</f>
        <v>0</v>
      </c>
      <c r="AA66" s="356">
        <f>CS_PID!AA66/VLOOKUP($B66,표2[#ALL],2)</f>
        <v>0</v>
      </c>
      <c r="AB66" s="356">
        <f>CS_PID!AB66/VLOOKUP($B66,표2[#ALL],2)</f>
        <v>0.004990396979</v>
      </c>
      <c r="AC66" s="356">
        <f>CS_PID!AC66/VLOOKUP($B66,표2[#ALL],2)</f>
        <v>0.09781178079</v>
      </c>
      <c r="AD66" s="356">
        <f>CS_PID!AD66/VLOOKUP($B66,표2[#ALL],2)</f>
        <v>0.0229558261</v>
      </c>
      <c r="AE66" s="356">
        <f>CS_PID!AE66/VLOOKUP($B66,표2[#ALL],2)</f>
        <v>0.0009980793958</v>
      </c>
      <c r="AF66" s="356">
        <f>CS_PID!AF66/VLOOKUP($B66,표2[#ALL],2)</f>
        <v>0</v>
      </c>
      <c r="AG66" s="356">
        <f>CS_PID!AG66/VLOOKUP($B66,표2[#ALL],2)</f>
        <v>0</v>
      </c>
      <c r="AH66" s="356">
        <f>CS_PID!AH66/VLOOKUP($B66,표2[#ALL],2)</f>
        <v>0.006986555771</v>
      </c>
      <c r="AI66" s="356">
        <f>CS_PID!AI66/VLOOKUP($B66,표2[#ALL],2)</f>
        <v>0.03792701704</v>
      </c>
      <c r="AJ66" s="356">
        <f>CS_PID!AJ66/VLOOKUP($B66,표2[#ALL],2)</f>
        <v>0.01796542912</v>
      </c>
      <c r="AK66" s="356">
        <f>CS_PID!AK66/VLOOKUP($B66,표2[#ALL],2)</f>
        <v>0</v>
      </c>
      <c r="AL66" s="356">
        <f>CS_PID!AL66/VLOOKUP($B66,표2[#ALL],2)</f>
        <v>0</v>
      </c>
      <c r="AM66" s="356">
        <f>CS_PID!AM66/VLOOKUP($B66,표2[#ALL],2)</f>
        <v>0.0009980793958</v>
      </c>
      <c r="AN66" s="356">
        <f>CS_PID!AN66/VLOOKUP($B66,표2[#ALL],2)</f>
        <v>0.03094046127</v>
      </c>
      <c r="AO66" s="356">
        <f>CS_PID!AO66/VLOOKUP($B66,표2[#ALL],2)</f>
        <v>0</v>
      </c>
      <c r="AP66" s="356">
        <f>CS_PID!AP66/VLOOKUP($B66,표2[#ALL],2)</f>
        <v>0</v>
      </c>
      <c r="AQ66" s="356">
        <f>CS_PID!AQ66/VLOOKUP($B66,표2[#ALL],2)</f>
        <v>0.0009980793958</v>
      </c>
      <c r="AR66" s="356">
        <f>CS_PID!AR66/VLOOKUP($B66,표2[#ALL],2)</f>
        <v>0</v>
      </c>
      <c r="AS66" s="356">
        <f>CS_PID!AS66/VLOOKUP($B66,표2[#ALL],2)</f>
        <v>0</v>
      </c>
    </row>
    <row r="67">
      <c r="A67" s="165" t="s">
        <v>82</v>
      </c>
      <c r="B67" s="166">
        <v>334.0</v>
      </c>
      <c r="C67" s="356">
        <f>CS_PID!C67/VLOOKUP($B67,표2[#ALL],2)</f>
        <v>0</v>
      </c>
      <c r="D67" s="356">
        <f>CS_PID!D67/VLOOKUP($B67,표2[#ALL],2)</f>
        <v>0.002994238187</v>
      </c>
      <c r="E67" s="356">
        <f>CS_PID!E67/VLOOKUP($B67,표2[#ALL],2)</f>
        <v>0.01796542912</v>
      </c>
      <c r="F67" s="356">
        <f>CS_PID!F67/VLOOKUP($B67,표2[#ALL],2)</f>
        <v>0.01297503215</v>
      </c>
      <c r="G67" s="356">
        <f>CS_PID!G67/VLOOKUP($B67,표2[#ALL],2)</f>
        <v>0</v>
      </c>
      <c r="H67" s="356">
        <f>CS_PID!H67/VLOOKUP($B67,표2[#ALL],2)</f>
        <v>0</v>
      </c>
      <c r="I67" s="356">
        <f>CS_PID!I67/VLOOKUP($B67,표2[#ALL],2)</f>
        <v>0.0009980793958</v>
      </c>
      <c r="J67" s="356">
        <f>CS_PID!J67/VLOOKUP($B67,표2[#ALL],2)</f>
        <v>0.04491357281</v>
      </c>
      <c r="K67" s="356">
        <f>CS_PID!K67/VLOOKUP($B67,표2[#ALL],2)</f>
        <v>0.04191933462</v>
      </c>
      <c r="L67" s="356">
        <f>CS_PID!L67/VLOOKUP($B67,표2[#ALL],2)</f>
        <v>0.01796542912</v>
      </c>
      <c r="M67" s="356">
        <f>CS_PID!M67/VLOOKUP($B67,표2[#ALL],2)</f>
        <v>0</v>
      </c>
      <c r="N67" s="356">
        <f>CS_PID!N67/VLOOKUP($B67,표2[#ALL],2)</f>
        <v>0</v>
      </c>
      <c r="O67" s="356">
        <f>CS_PID!O67/VLOOKUP($B67,표2[#ALL],2)</f>
        <v>0</v>
      </c>
      <c r="P67" s="356">
        <f>CS_PID!P67/VLOOKUP($B67,표2[#ALL],2)</f>
        <v>0.02894430248</v>
      </c>
      <c r="Q67" s="356">
        <f>CS_PID!Q67/VLOOKUP($B67,표2[#ALL],2)</f>
        <v>0.1018040984</v>
      </c>
      <c r="R67" s="356">
        <f>CS_PID!R67/VLOOKUP($B67,표2[#ALL],2)</f>
        <v>0.02095966731</v>
      </c>
      <c r="S67" s="356">
        <f>CS_PID!S67/VLOOKUP($B67,표2[#ALL],2)</f>
        <v>0</v>
      </c>
      <c r="T67" s="356">
        <f>CS_PID!T67/VLOOKUP($B67,표2[#ALL],2)</f>
        <v>0</v>
      </c>
      <c r="U67" s="356">
        <f>CS_PID!U67/VLOOKUP($B67,표2[#ALL],2)</f>
        <v>0</v>
      </c>
      <c r="V67" s="356">
        <f>CS_PID!V67/VLOOKUP($B67,표2[#ALL],2)</f>
        <v>0.01197695275</v>
      </c>
      <c r="W67" s="356">
        <f>CS_PID!W67/VLOOKUP($B67,표2[#ALL],2)</f>
        <v>0.0708636371</v>
      </c>
      <c r="X67" s="356">
        <f>CS_PID!X67/VLOOKUP($B67,표2[#ALL],2)</f>
        <v>0.04092125523</v>
      </c>
      <c r="Y67" s="356">
        <f>CS_PID!Y67/VLOOKUP($B67,표2[#ALL],2)</f>
        <v>0</v>
      </c>
      <c r="Z67" s="356">
        <f>CS_PID!Z67/VLOOKUP($B67,표2[#ALL],2)</f>
        <v>0</v>
      </c>
      <c r="AA67" s="356">
        <f>CS_PID!AA67/VLOOKUP($B67,표2[#ALL],2)</f>
        <v>0.0009980793958</v>
      </c>
      <c r="AB67" s="356">
        <f>CS_PID!AB67/VLOOKUP($B67,표2[#ALL],2)</f>
        <v>0.002994238187</v>
      </c>
      <c r="AC67" s="356">
        <f>CS_PID!AC67/VLOOKUP($B67,표2[#ALL],2)</f>
        <v>0.06986555771</v>
      </c>
      <c r="AD67" s="356">
        <f>CS_PID!AD67/VLOOKUP($B67,표2[#ALL],2)</f>
        <v>0.01896350852</v>
      </c>
      <c r="AE67" s="356">
        <f>CS_PID!AE67/VLOOKUP($B67,표2[#ALL],2)</f>
        <v>0.001996158792</v>
      </c>
      <c r="AF67" s="356">
        <f>CS_PID!AF67/VLOOKUP($B67,표2[#ALL],2)</f>
        <v>0</v>
      </c>
      <c r="AG67" s="356">
        <f>CS_PID!AG67/VLOOKUP($B67,표2[#ALL],2)</f>
        <v>0</v>
      </c>
      <c r="AH67" s="356">
        <f>CS_PID!AH67/VLOOKUP($B67,표2[#ALL],2)</f>
        <v>0.004990396979</v>
      </c>
      <c r="AI67" s="356">
        <f>CS_PID!AI67/VLOOKUP($B67,표2[#ALL],2)</f>
        <v>0.02195774671</v>
      </c>
      <c r="AJ67" s="356">
        <f>CS_PID!AJ67/VLOOKUP($B67,표2[#ALL],2)</f>
        <v>0.01197695275</v>
      </c>
      <c r="AK67" s="356">
        <f>CS_PID!AK67/VLOOKUP($B67,표2[#ALL],2)</f>
        <v>0.0009980793958</v>
      </c>
      <c r="AL67" s="356">
        <f>CS_PID!AL67/VLOOKUP($B67,표2[#ALL],2)</f>
        <v>0</v>
      </c>
      <c r="AM67" s="356">
        <f>CS_PID!AM67/VLOOKUP($B67,표2[#ALL],2)</f>
        <v>0</v>
      </c>
      <c r="AN67" s="356">
        <f>CS_PID!AN67/VLOOKUP($B67,표2[#ALL],2)</f>
        <v>0.01996158792</v>
      </c>
      <c r="AO67" s="356">
        <f>CS_PID!AO67/VLOOKUP($B67,표2[#ALL],2)</f>
        <v>0</v>
      </c>
      <c r="AP67" s="356">
        <f>CS_PID!AP67/VLOOKUP($B67,표2[#ALL],2)</f>
        <v>0</v>
      </c>
      <c r="AQ67" s="356">
        <f>CS_PID!AQ67/VLOOKUP($B67,표2[#ALL],2)</f>
        <v>0</v>
      </c>
      <c r="AR67" s="356">
        <f>CS_PID!AR67/VLOOKUP($B67,표2[#ALL],2)</f>
        <v>0.0009980793958</v>
      </c>
      <c r="AS67" s="356">
        <f>CS_PID!AS67/VLOOKUP($B67,표2[#ALL],2)</f>
        <v>0.0009980793958</v>
      </c>
    </row>
    <row r="68">
      <c r="A68" s="165" t="s">
        <v>82</v>
      </c>
      <c r="B68" s="166">
        <v>335.0</v>
      </c>
      <c r="C68" s="356">
        <f>CS_PID!C68/VLOOKUP($B68,표2[#ALL],2)</f>
        <v>0</v>
      </c>
      <c r="D68" s="356">
        <f>CS_PID!D68/VLOOKUP($B68,표2[#ALL],2)</f>
        <v>0.003992317583</v>
      </c>
      <c r="E68" s="356">
        <f>CS_PID!E68/VLOOKUP($B68,표2[#ALL],2)</f>
        <v>0.02095966731</v>
      </c>
      <c r="F68" s="356">
        <f>CS_PID!F68/VLOOKUP($B68,표2[#ALL],2)</f>
        <v>0.0249519849</v>
      </c>
      <c r="G68" s="356">
        <f>CS_PID!G68/VLOOKUP($B68,표2[#ALL],2)</f>
        <v>0.0009980793958</v>
      </c>
      <c r="H68" s="356">
        <f>CS_PID!H68/VLOOKUP($B68,표2[#ALL],2)</f>
        <v>0.0009980793958</v>
      </c>
      <c r="I68" s="356">
        <f>CS_PID!I68/VLOOKUP($B68,표2[#ALL],2)</f>
        <v>0.001996158792</v>
      </c>
      <c r="J68" s="356">
        <f>CS_PID!J68/VLOOKUP($B68,표2[#ALL],2)</f>
        <v>0.06687131952</v>
      </c>
      <c r="K68" s="356">
        <f>CS_PID!K68/VLOOKUP($B68,표2[#ALL],2)</f>
        <v>0.05289820798</v>
      </c>
      <c r="L68" s="356">
        <f>CS_PID!L68/VLOOKUP($B68,표2[#ALL],2)</f>
        <v>0.01796542912</v>
      </c>
      <c r="M68" s="356">
        <f>CS_PID!M68/VLOOKUP($B68,표2[#ALL],2)</f>
        <v>0.0009980793958</v>
      </c>
      <c r="N68" s="356">
        <f>CS_PID!N68/VLOOKUP($B68,표2[#ALL],2)</f>
        <v>0</v>
      </c>
      <c r="O68" s="356">
        <f>CS_PID!O68/VLOOKUP($B68,표2[#ALL],2)</f>
        <v>0</v>
      </c>
      <c r="P68" s="356">
        <f>CS_PID!P68/VLOOKUP($B68,표2[#ALL],2)</f>
        <v>0.04591165221</v>
      </c>
      <c r="Q68" s="356">
        <f>CS_PID!Q68/VLOOKUP($B68,표2[#ALL],2)</f>
        <v>0.1477157506</v>
      </c>
      <c r="R68" s="356">
        <f>CS_PID!R68/VLOOKUP($B68,표2[#ALL],2)</f>
        <v>0.03692893765</v>
      </c>
      <c r="S68" s="356">
        <f>CS_PID!S68/VLOOKUP($B68,표2[#ALL],2)</f>
        <v>0.0009980793958</v>
      </c>
      <c r="T68" s="356">
        <f>CS_PID!T68/VLOOKUP($B68,표2[#ALL],2)</f>
        <v>0</v>
      </c>
      <c r="U68" s="356">
        <f>CS_PID!U68/VLOOKUP($B68,표2[#ALL],2)</f>
        <v>0.0009980793958</v>
      </c>
      <c r="V68" s="356">
        <f>CS_PID!V68/VLOOKUP($B68,표2[#ALL],2)</f>
        <v>0.0229558261</v>
      </c>
      <c r="W68" s="356">
        <f>CS_PID!W68/VLOOKUP($B68,표2[#ALL],2)</f>
        <v>0.133742639</v>
      </c>
      <c r="X68" s="356">
        <f>CS_PID!X68/VLOOKUP($B68,표2[#ALL],2)</f>
        <v>0.07884827227</v>
      </c>
      <c r="Y68" s="356">
        <f>CS_PID!Y68/VLOOKUP($B68,표2[#ALL],2)</f>
        <v>0.001996158792</v>
      </c>
      <c r="Z68" s="356">
        <f>CS_PID!Z68/VLOOKUP($B68,표2[#ALL],2)</f>
        <v>0</v>
      </c>
      <c r="AA68" s="356">
        <f>CS_PID!AA68/VLOOKUP($B68,표2[#ALL],2)</f>
        <v>0</v>
      </c>
      <c r="AB68" s="356">
        <f>CS_PID!AB68/VLOOKUP($B68,표2[#ALL],2)</f>
        <v>0.008982714562</v>
      </c>
      <c r="AC68" s="356">
        <f>CS_PID!AC68/VLOOKUP($B68,표2[#ALL],2)</f>
        <v>0.133742639</v>
      </c>
      <c r="AD68" s="356">
        <f>CS_PID!AD68/VLOOKUP($B68,표2[#ALL],2)</f>
        <v>0.0249519849</v>
      </c>
      <c r="AE68" s="356">
        <f>CS_PID!AE68/VLOOKUP($B68,표2[#ALL],2)</f>
        <v>0.0009980793958</v>
      </c>
      <c r="AF68" s="356">
        <f>CS_PID!AF68/VLOOKUP($B68,표2[#ALL],2)</f>
        <v>0</v>
      </c>
      <c r="AG68" s="356">
        <f>CS_PID!AG68/VLOOKUP($B68,표2[#ALL],2)</f>
        <v>0</v>
      </c>
      <c r="AH68" s="356">
        <f>CS_PID!AH68/VLOOKUP($B68,표2[#ALL],2)</f>
        <v>0.005988476375</v>
      </c>
      <c r="AI68" s="356">
        <f>CS_PID!AI68/VLOOKUP($B68,표2[#ALL],2)</f>
        <v>0.03792701704</v>
      </c>
      <c r="AJ68" s="356">
        <f>CS_PID!AJ68/VLOOKUP($B68,표2[#ALL],2)</f>
        <v>0.02694814369</v>
      </c>
      <c r="AK68" s="356">
        <f>CS_PID!AK68/VLOOKUP($B68,표2[#ALL],2)</f>
        <v>0</v>
      </c>
      <c r="AL68" s="356">
        <f>CS_PID!AL68/VLOOKUP($B68,표2[#ALL],2)</f>
        <v>0</v>
      </c>
      <c r="AM68" s="356">
        <f>CS_PID!AM68/VLOOKUP($B68,표2[#ALL],2)</f>
        <v>0.001996158792</v>
      </c>
      <c r="AN68" s="356">
        <f>CS_PID!AN68/VLOOKUP($B68,표2[#ALL],2)</f>
        <v>0.02694814369</v>
      </c>
      <c r="AO68" s="356">
        <f>CS_PID!AO68/VLOOKUP($B68,표2[#ALL],2)</f>
        <v>0.001996158792</v>
      </c>
      <c r="AP68" s="356">
        <f>CS_PID!AP68/VLOOKUP($B68,표2[#ALL],2)</f>
        <v>0</v>
      </c>
      <c r="AQ68" s="356">
        <f>CS_PID!AQ68/VLOOKUP($B68,표2[#ALL],2)</f>
        <v>0</v>
      </c>
      <c r="AR68" s="356">
        <f>CS_PID!AR68/VLOOKUP($B68,표2[#ALL],2)</f>
        <v>0.001996158792</v>
      </c>
      <c r="AS68" s="356">
        <f>CS_PID!AS68/VLOOKUP($B68,표2[#ALL],2)</f>
        <v>0.0009980793958</v>
      </c>
    </row>
    <row r="69">
      <c r="A69" s="165" t="s">
        <v>82</v>
      </c>
      <c r="B69" s="166">
        <v>336.0</v>
      </c>
      <c r="C69" s="356">
        <f>CS_PID!C69/VLOOKUP($B69,표2[#ALL],2)</f>
        <v>0.0009980793958</v>
      </c>
      <c r="D69" s="356">
        <f>CS_PID!D69/VLOOKUP($B69,표2[#ALL],2)</f>
        <v>0.0009980793958</v>
      </c>
      <c r="E69" s="356">
        <f>CS_PID!E69/VLOOKUP($B69,표2[#ALL],2)</f>
        <v>0.01596927033</v>
      </c>
      <c r="F69" s="356">
        <f>CS_PID!F69/VLOOKUP($B69,표2[#ALL],2)</f>
        <v>0.01596927033</v>
      </c>
      <c r="G69" s="356">
        <f>CS_PID!G69/VLOOKUP($B69,표2[#ALL],2)</f>
        <v>0</v>
      </c>
      <c r="H69" s="356">
        <f>CS_PID!H69/VLOOKUP($B69,표2[#ALL],2)</f>
        <v>0</v>
      </c>
      <c r="I69" s="356">
        <f>CS_PID!I69/VLOOKUP($B69,표2[#ALL],2)</f>
        <v>0.001996158792</v>
      </c>
      <c r="J69" s="356">
        <f>CS_PID!J69/VLOOKUP($B69,표2[#ALL],2)</f>
        <v>0.03293662006</v>
      </c>
      <c r="K69" s="356">
        <f>CS_PID!K69/VLOOKUP($B69,표2[#ALL],2)</f>
        <v>0.04591165221</v>
      </c>
      <c r="L69" s="356">
        <f>CS_PID!L69/VLOOKUP($B69,표2[#ALL],2)</f>
        <v>0.007984635167</v>
      </c>
      <c r="M69" s="356">
        <f>CS_PID!M69/VLOOKUP($B69,표2[#ALL],2)</f>
        <v>0</v>
      </c>
      <c r="N69" s="356">
        <f>CS_PID!N69/VLOOKUP($B69,표2[#ALL],2)</f>
        <v>0</v>
      </c>
      <c r="O69" s="356">
        <f>CS_PID!O69/VLOOKUP($B69,표2[#ALL],2)</f>
        <v>0.001996158792</v>
      </c>
      <c r="P69" s="356">
        <f>CS_PID!P69/VLOOKUP($B69,표2[#ALL],2)</f>
        <v>0.0249519849</v>
      </c>
      <c r="Q69" s="356">
        <f>CS_PID!Q69/VLOOKUP($B69,표2[#ALL],2)</f>
        <v>0.1097887335</v>
      </c>
      <c r="R69" s="356">
        <f>CS_PID!R69/VLOOKUP($B69,표2[#ALL],2)</f>
        <v>0.02994238187</v>
      </c>
      <c r="S69" s="356">
        <f>CS_PID!S69/VLOOKUP($B69,표2[#ALL],2)</f>
        <v>0.0009980793958</v>
      </c>
      <c r="T69" s="356">
        <f>CS_PID!T69/VLOOKUP($B69,표2[#ALL],2)</f>
        <v>0</v>
      </c>
      <c r="U69" s="356">
        <f>CS_PID!U69/VLOOKUP($B69,표2[#ALL],2)</f>
        <v>0</v>
      </c>
      <c r="V69" s="356">
        <f>CS_PID!V69/VLOOKUP($B69,표2[#ALL],2)</f>
        <v>0.01696734973</v>
      </c>
      <c r="W69" s="356">
        <f>CS_PID!W69/VLOOKUP($B69,표2[#ALL],2)</f>
        <v>0.07785019287</v>
      </c>
      <c r="X69" s="356">
        <f>CS_PID!X69/VLOOKUP($B69,표2[#ALL],2)</f>
        <v>0.04291741402</v>
      </c>
      <c r="Y69" s="356">
        <f>CS_PID!Y69/VLOOKUP($B69,표2[#ALL],2)</f>
        <v>0</v>
      </c>
      <c r="Z69" s="356">
        <f>CS_PID!Z69/VLOOKUP($B69,표2[#ALL],2)</f>
        <v>0</v>
      </c>
      <c r="AA69" s="356">
        <f>CS_PID!AA69/VLOOKUP($B69,표2[#ALL],2)</f>
        <v>0</v>
      </c>
      <c r="AB69" s="356">
        <f>CS_PID!AB69/VLOOKUP($B69,표2[#ALL],2)</f>
        <v>0.002994238187</v>
      </c>
      <c r="AC69" s="356">
        <f>CS_PID!AC69/VLOOKUP($B69,표2[#ALL],2)</f>
        <v>0.06786939892</v>
      </c>
      <c r="AD69" s="356">
        <f>CS_PID!AD69/VLOOKUP($B69,표2[#ALL],2)</f>
        <v>0.01596927033</v>
      </c>
      <c r="AE69" s="356">
        <f>CS_PID!AE69/VLOOKUP($B69,표2[#ALL],2)</f>
        <v>0.001996158792</v>
      </c>
      <c r="AF69" s="356">
        <f>CS_PID!AF69/VLOOKUP($B69,표2[#ALL],2)</f>
        <v>0</v>
      </c>
      <c r="AG69" s="356">
        <f>CS_PID!AG69/VLOOKUP($B69,표2[#ALL],2)</f>
        <v>0</v>
      </c>
      <c r="AH69" s="356">
        <f>CS_PID!AH69/VLOOKUP($B69,표2[#ALL],2)</f>
        <v>0.001996158792</v>
      </c>
      <c r="AI69" s="356">
        <f>CS_PID!AI69/VLOOKUP($B69,표2[#ALL],2)</f>
        <v>0.0239539055</v>
      </c>
      <c r="AJ69" s="356">
        <f>CS_PID!AJ69/VLOOKUP($B69,표2[#ALL],2)</f>
        <v>0.01197695275</v>
      </c>
      <c r="AK69" s="356">
        <f>CS_PID!AK69/VLOOKUP($B69,표2[#ALL],2)</f>
        <v>0</v>
      </c>
      <c r="AL69" s="356">
        <f>CS_PID!AL69/VLOOKUP($B69,표2[#ALL],2)</f>
        <v>0</v>
      </c>
      <c r="AM69" s="356">
        <f>CS_PID!AM69/VLOOKUP($B69,표2[#ALL],2)</f>
        <v>0</v>
      </c>
      <c r="AN69" s="356">
        <f>CS_PID!AN69/VLOOKUP($B69,표2[#ALL],2)</f>
        <v>0.01097887335</v>
      </c>
      <c r="AO69" s="356">
        <f>CS_PID!AO69/VLOOKUP($B69,표2[#ALL],2)</f>
        <v>0.0009980793958</v>
      </c>
      <c r="AP69" s="356">
        <f>CS_PID!AP69/VLOOKUP($B69,표2[#ALL],2)</f>
        <v>0</v>
      </c>
      <c r="AQ69" s="356">
        <f>CS_PID!AQ69/VLOOKUP($B69,표2[#ALL],2)</f>
        <v>0</v>
      </c>
      <c r="AR69" s="356">
        <f>CS_PID!AR69/VLOOKUP($B69,표2[#ALL],2)</f>
        <v>0</v>
      </c>
      <c r="AS69" s="356">
        <f>CS_PID!AS69/VLOOKUP($B69,표2[#ALL],2)</f>
        <v>0</v>
      </c>
    </row>
    <row r="70">
      <c r="A70" s="165" t="s">
        <v>82</v>
      </c>
      <c r="B70" s="166">
        <v>337.0</v>
      </c>
      <c r="C70" s="356">
        <f>CS_PID!C70/VLOOKUP($B70,표2[#ALL],2)</f>
        <v>0.0009980793958</v>
      </c>
      <c r="D70" s="356">
        <f>CS_PID!D70/VLOOKUP($B70,표2[#ALL],2)</f>
        <v>0.002994238187</v>
      </c>
      <c r="E70" s="356">
        <f>CS_PID!E70/VLOOKUP($B70,표2[#ALL],2)</f>
        <v>0.01297503215</v>
      </c>
      <c r="F70" s="356">
        <f>CS_PID!F70/VLOOKUP($B70,표2[#ALL],2)</f>
        <v>0.006986555771</v>
      </c>
      <c r="G70" s="356">
        <f>CS_PID!G70/VLOOKUP($B70,표2[#ALL],2)</f>
        <v>0.002994238187</v>
      </c>
      <c r="H70" s="356">
        <f>CS_PID!H70/VLOOKUP($B70,표2[#ALL],2)</f>
        <v>0.0009980793958</v>
      </c>
      <c r="I70" s="356">
        <f>CS_PID!I70/VLOOKUP($B70,표2[#ALL],2)</f>
        <v>0.0009980793958</v>
      </c>
      <c r="J70" s="356">
        <f>CS_PID!J70/VLOOKUP($B70,표2[#ALL],2)</f>
        <v>0.04391549342</v>
      </c>
      <c r="K70" s="356">
        <f>CS_PID!K70/VLOOKUP($B70,표2[#ALL],2)</f>
        <v>0.06387708133</v>
      </c>
      <c r="L70" s="356">
        <f>CS_PID!L70/VLOOKUP($B70,표2[#ALL],2)</f>
        <v>0.0249519849</v>
      </c>
      <c r="M70" s="356">
        <f>CS_PID!M70/VLOOKUP($B70,표2[#ALL],2)</f>
        <v>0.0009980793958</v>
      </c>
      <c r="N70" s="356">
        <f>CS_PID!N70/VLOOKUP($B70,표2[#ALL],2)</f>
        <v>0</v>
      </c>
      <c r="O70" s="356">
        <f>CS_PID!O70/VLOOKUP($B70,표2[#ALL],2)</f>
        <v>0.001996158792</v>
      </c>
      <c r="P70" s="356">
        <f>CS_PID!P70/VLOOKUP($B70,표2[#ALL],2)</f>
        <v>0.03493277885</v>
      </c>
      <c r="Q70" s="356">
        <f>CS_PID!Q70/VLOOKUP($B70,표2[#ALL],2)</f>
        <v>0.1197695275</v>
      </c>
      <c r="R70" s="356">
        <f>CS_PID!R70/VLOOKUP($B70,표2[#ALL],2)</f>
        <v>0.03493277885</v>
      </c>
      <c r="S70" s="356">
        <f>CS_PID!S70/VLOOKUP($B70,표2[#ALL],2)</f>
        <v>0.001996158792</v>
      </c>
      <c r="T70" s="356">
        <f>CS_PID!T70/VLOOKUP($B70,표2[#ALL],2)</f>
        <v>0</v>
      </c>
      <c r="U70" s="356">
        <f>CS_PID!U70/VLOOKUP($B70,표2[#ALL],2)</f>
        <v>0.0009980793958</v>
      </c>
      <c r="V70" s="356">
        <f>CS_PID!V70/VLOOKUP($B70,표2[#ALL],2)</f>
        <v>0.01497119094</v>
      </c>
      <c r="W70" s="356">
        <f>CS_PID!W70/VLOOKUP($B70,표2[#ALL],2)</f>
        <v>0.1207676069</v>
      </c>
      <c r="X70" s="356">
        <f>CS_PID!X70/VLOOKUP($B70,표2[#ALL],2)</f>
        <v>0.06188092254</v>
      </c>
      <c r="Y70" s="356">
        <f>CS_PID!Y70/VLOOKUP($B70,표2[#ALL],2)</f>
        <v>0.0009980793958</v>
      </c>
      <c r="Z70" s="356">
        <f>CS_PID!Z70/VLOOKUP($B70,표2[#ALL],2)</f>
        <v>0</v>
      </c>
      <c r="AA70" s="356">
        <f>CS_PID!AA70/VLOOKUP($B70,표2[#ALL],2)</f>
        <v>0</v>
      </c>
      <c r="AB70" s="356">
        <f>CS_PID!AB70/VLOOKUP($B70,표2[#ALL],2)</f>
        <v>0.002994238187</v>
      </c>
      <c r="AC70" s="356">
        <f>CS_PID!AC70/VLOOKUP($B70,표2[#ALL],2)</f>
        <v>0.09781178079</v>
      </c>
      <c r="AD70" s="356">
        <f>CS_PID!AD70/VLOOKUP($B70,표2[#ALL],2)</f>
        <v>0.0239539055</v>
      </c>
      <c r="AE70" s="356">
        <f>CS_PID!AE70/VLOOKUP($B70,표2[#ALL],2)</f>
        <v>0.0009980793958</v>
      </c>
      <c r="AF70" s="356">
        <f>CS_PID!AF70/VLOOKUP($B70,표2[#ALL],2)</f>
        <v>0</v>
      </c>
      <c r="AG70" s="356">
        <f>CS_PID!AG70/VLOOKUP($B70,표2[#ALL],2)</f>
        <v>0</v>
      </c>
      <c r="AH70" s="356">
        <f>CS_PID!AH70/VLOOKUP($B70,표2[#ALL],2)</f>
        <v>0.003992317583</v>
      </c>
      <c r="AI70" s="356">
        <f>CS_PID!AI70/VLOOKUP($B70,표2[#ALL],2)</f>
        <v>0.03493277885</v>
      </c>
      <c r="AJ70" s="356">
        <f>CS_PID!AJ70/VLOOKUP($B70,표2[#ALL],2)</f>
        <v>0.01596927033</v>
      </c>
      <c r="AK70" s="356">
        <f>CS_PID!AK70/VLOOKUP($B70,표2[#ALL],2)</f>
        <v>0</v>
      </c>
      <c r="AL70" s="356">
        <f>CS_PID!AL70/VLOOKUP($B70,표2[#ALL],2)</f>
        <v>0</v>
      </c>
      <c r="AM70" s="356">
        <f>CS_PID!AM70/VLOOKUP($B70,표2[#ALL],2)</f>
        <v>0</v>
      </c>
      <c r="AN70" s="356">
        <f>CS_PID!AN70/VLOOKUP($B70,표2[#ALL],2)</f>
        <v>0.02794622308</v>
      </c>
      <c r="AO70" s="356">
        <f>CS_PID!AO70/VLOOKUP($B70,표2[#ALL],2)</f>
        <v>0.004990396979</v>
      </c>
      <c r="AP70" s="356">
        <f>CS_PID!AP70/VLOOKUP($B70,표2[#ALL],2)</f>
        <v>0</v>
      </c>
      <c r="AQ70" s="356">
        <f>CS_PID!AQ70/VLOOKUP($B70,표2[#ALL],2)</f>
        <v>0</v>
      </c>
      <c r="AR70" s="356">
        <f>CS_PID!AR70/VLOOKUP($B70,표2[#ALL],2)</f>
        <v>0.0009980793958</v>
      </c>
      <c r="AS70" s="356">
        <f>CS_PID!AS70/VLOOKUP($B70,표2[#ALL],2)</f>
        <v>0.001996158792</v>
      </c>
    </row>
    <row r="71">
      <c r="A71" s="165" t="s">
        <v>82</v>
      </c>
      <c r="B71" s="166">
        <v>338.0</v>
      </c>
      <c r="C71" s="356">
        <f>CS_PID!C71/VLOOKUP($B71,표2[#ALL],2)</f>
        <v>0</v>
      </c>
      <c r="D71" s="356">
        <f>CS_PID!D71/VLOOKUP($B71,표2[#ALL],2)</f>
        <v>0</v>
      </c>
      <c r="E71" s="356">
        <f>CS_PID!E71/VLOOKUP($B71,표2[#ALL],2)</f>
        <v>0.01297503215</v>
      </c>
      <c r="F71" s="356">
        <f>CS_PID!F71/VLOOKUP($B71,표2[#ALL],2)</f>
        <v>0.004990396979</v>
      </c>
      <c r="G71" s="356">
        <f>CS_PID!G71/VLOOKUP($B71,표2[#ALL],2)</f>
        <v>0</v>
      </c>
      <c r="H71" s="356">
        <f>CS_PID!H71/VLOOKUP($B71,표2[#ALL],2)</f>
        <v>0</v>
      </c>
      <c r="I71" s="356">
        <f>CS_PID!I71/VLOOKUP($B71,표2[#ALL],2)</f>
        <v>0.0009980793958</v>
      </c>
      <c r="J71" s="356">
        <f>CS_PID!J71/VLOOKUP($B71,표2[#ALL],2)</f>
        <v>0.01896350852</v>
      </c>
      <c r="K71" s="356">
        <f>CS_PID!K71/VLOOKUP($B71,표2[#ALL],2)</f>
        <v>0.01497119094</v>
      </c>
      <c r="L71" s="356">
        <f>CS_PID!L71/VLOOKUP($B71,표2[#ALL],2)</f>
        <v>0.002994238187</v>
      </c>
      <c r="M71" s="356">
        <f>CS_PID!M71/VLOOKUP($B71,표2[#ALL],2)</f>
        <v>0</v>
      </c>
      <c r="N71" s="356">
        <f>CS_PID!N71/VLOOKUP($B71,표2[#ALL],2)</f>
        <v>0</v>
      </c>
      <c r="O71" s="356">
        <f>CS_PID!O71/VLOOKUP($B71,표2[#ALL],2)</f>
        <v>0</v>
      </c>
      <c r="P71" s="356">
        <f>CS_PID!P71/VLOOKUP($B71,표2[#ALL],2)</f>
        <v>0.01497119094</v>
      </c>
      <c r="Q71" s="356">
        <f>CS_PID!Q71/VLOOKUP($B71,표2[#ALL],2)</f>
        <v>0.03792701704</v>
      </c>
      <c r="R71" s="356">
        <f>CS_PID!R71/VLOOKUP($B71,표2[#ALL],2)</f>
        <v>0.008982714562</v>
      </c>
      <c r="S71" s="356">
        <f>CS_PID!S71/VLOOKUP($B71,표2[#ALL],2)</f>
        <v>0.0009980793958</v>
      </c>
      <c r="T71" s="356">
        <f>CS_PID!T71/VLOOKUP($B71,표2[#ALL],2)</f>
        <v>0</v>
      </c>
      <c r="U71" s="356">
        <f>CS_PID!U71/VLOOKUP($B71,표2[#ALL],2)</f>
        <v>0</v>
      </c>
      <c r="V71" s="356">
        <f>CS_PID!V71/VLOOKUP($B71,표2[#ALL],2)</f>
        <v>0.006986555771</v>
      </c>
      <c r="W71" s="356">
        <f>CS_PID!W71/VLOOKUP($B71,표2[#ALL],2)</f>
        <v>0.04591165221</v>
      </c>
      <c r="X71" s="356">
        <f>CS_PID!X71/VLOOKUP($B71,표2[#ALL],2)</f>
        <v>0.01996158792</v>
      </c>
      <c r="Y71" s="356">
        <f>CS_PID!Y71/VLOOKUP($B71,표2[#ALL],2)</f>
        <v>0</v>
      </c>
      <c r="Z71" s="356">
        <f>CS_PID!Z71/VLOOKUP($B71,표2[#ALL],2)</f>
        <v>0</v>
      </c>
      <c r="AA71" s="356">
        <f>CS_PID!AA71/VLOOKUP($B71,표2[#ALL],2)</f>
        <v>0</v>
      </c>
      <c r="AB71" s="356">
        <f>CS_PID!AB71/VLOOKUP($B71,표2[#ALL],2)</f>
        <v>0</v>
      </c>
      <c r="AC71" s="356">
        <f>CS_PID!AC71/VLOOKUP($B71,표2[#ALL],2)</f>
        <v>0.02894430248</v>
      </c>
      <c r="AD71" s="356">
        <f>CS_PID!AD71/VLOOKUP($B71,표2[#ALL],2)</f>
        <v>0.007984635167</v>
      </c>
      <c r="AE71" s="356">
        <f>CS_PID!AE71/VLOOKUP($B71,표2[#ALL],2)</f>
        <v>0</v>
      </c>
      <c r="AF71" s="356">
        <f>CS_PID!AF71/VLOOKUP($B71,표2[#ALL],2)</f>
        <v>0</v>
      </c>
      <c r="AG71" s="356">
        <f>CS_PID!AG71/VLOOKUP($B71,표2[#ALL],2)</f>
        <v>0</v>
      </c>
      <c r="AH71" s="356">
        <f>CS_PID!AH71/VLOOKUP($B71,표2[#ALL],2)</f>
        <v>0.001996158792</v>
      </c>
      <c r="AI71" s="356">
        <f>CS_PID!AI71/VLOOKUP($B71,표2[#ALL],2)</f>
        <v>0.009980793958</v>
      </c>
      <c r="AJ71" s="356">
        <f>CS_PID!AJ71/VLOOKUP($B71,표2[#ALL],2)</f>
        <v>0.006986555771</v>
      </c>
      <c r="AK71" s="356">
        <f>CS_PID!AK71/VLOOKUP($B71,표2[#ALL],2)</f>
        <v>0</v>
      </c>
      <c r="AL71" s="356">
        <f>CS_PID!AL71/VLOOKUP($B71,표2[#ALL],2)</f>
        <v>0</v>
      </c>
      <c r="AM71" s="356">
        <f>CS_PID!AM71/VLOOKUP($B71,표2[#ALL],2)</f>
        <v>0</v>
      </c>
      <c r="AN71" s="356">
        <f>CS_PID!AN71/VLOOKUP($B71,표2[#ALL],2)</f>
        <v>0.003992317583</v>
      </c>
      <c r="AO71" s="356">
        <f>CS_PID!AO71/VLOOKUP($B71,표2[#ALL],2)</f>
        <v>0</v>
      </c>
      <c r="AP71" s="356">
        <f>CS_PID!AP71/VLOOKUP($B71,표2[#ALL],2)</f>
        <v>0</v>
      </c>
      <c r="AQ71" s="356">
        <f>CS_PID!AQ71/VLOOKUP($B71,표2[#ALL],2)</f>
        <v>0</v>
      </c>
      <c r="AR71" s="356">
        <f>CS_PID!AR71/VLOOKUP($B71,표2[#ALL],2)</f>
        <v>0.0009980793958</v>
      </c>
      <c r="AS71" s="356">
        <f>CS_PID!AS71/VLOOKUP($B71,표2[#ALL],2)</f>
        <v>0</v>
      </c>
    </row>
    <row r="72">
      <c r="A72" s="165" t="s">
        <v>82</v>
      </c>
      <c r="B72" s="166">
        <v>339.0</v>
      </c>
      <c r="C72" s="356">
        <f>CS_PID!C72/VLOOKUP($B72,표2[#ALL],2)</f>
        <v>0</v>
      </c>
      <c r="D72" s="356">
        <f>CS_PID!D72/VLOOKUP($B72,표2[#ALL],2)</f>
        <v>0.0009980793958</v>
      </c>
      <c r="E72" s="356">
        <f>CS_PID!E72/VLOOKUP($B72,표2[#ALL],2)</f>
        <v>0.0009980793958</v>
      </c>
      <c r="F72" s="356">
        <f>CS_PID!F72/VLOOKUP($B72,표2[#ALL],2)</f>
        <v>0.002994238187</v>
      </c>
      <c r="G72" s="356">
        <f>CS_PID!G72/VLOOKUP($B72,표2[#ALL],2)</f>
        <v>0</v>
      </c>
      <c r="H72" s="356">
        <f>CS_PID!H72/VLOOKUP($B72,표2[#ALL],2)</f>
        <v>0</v>
      </c>
      <c r="I72" s="356">
        <f>CS_PID!I72/VLOOKUP($B72,표2[#ALL],2)</f>
        <v>0</v>
      </c>
      <c r="J72" s="356">
        <f>CS_PID!J72/VLOOKUP($B72,표2[#ALL],2)</f>
        <v>0.006986555771</v>
      </c>
      <c r="K72" s="356">
        <f>CS_PID!K72/VLOOKUP($B72,표2[#ALL],2)</f>
        <v>0.007984635167</v>
      </c>
      <c r="L72" s="356">
        <f>CS_PID!L72/VLOOKUP($B72,표2[#ALL],2)</f>
        <v>0</v>
      </c>
      <c r="M72" s="356">
        <f>CS_PID!M72/VLOOKUP($B72,표2[#ALL],2)</f>
        <v>0</v>
      </c>
      <c r="N72" s="356">
        <f>CS_PID!N72/VLOOKUP($B72,표2[#ALL],2)</f>
        <v>0</v>
      </c>
      <c r="O72" s="356">
        <f>CS_PID!O72/VLOOKUP($B72,표2[#ALL],2)</f>
        <v>0.0009980793958</v>
      </c>
      <c r="P72" s="356">
        <f>CS_PID!P72/VLOOKUP($B72,표2[#ALL],2)</f>
        <v>0.007984635167</v>
      </c>
      <c r="Q72" s="356">
        <f>CS_PID!Q72/VLOOKUP($B72,표2[#ALL],2)</f>
        <v>0.02694814369</v>
      </c>
      <c r="R72" s="356">
        <f>CS_PID!R72/VLOOKUP($B72,표2[#ALL],2)</f>
        <v>0.009980793958</v>
      </c>
      <c r="S72" s="356">
        <f>CS_PID!S72/VLOOKUP($B72,표2[#ALL],2)</f>
        <v>0</v>
      </c>
      <c r="T72" s="356">
        <f>CS_PID!T72/VLOOKUP($B72,표2[#ALL],2)</f>
        <v>0</v>
      </c>
      <c r="U72" s="356">
        <f>CS_PID!U72/VLOOKUP($B72,표2[#ALL],2)</f>
        <v>0</v>
      </c>
      <c r="V72" s="356">
        <f>CS_PID!V72/VLOOKUP($B72,표2[#ALL],2)</f>
        <v>0.003992317583</v>
      </c>
      <c r="W72" s="356">
        <f>CS_PID!W72/VLOOKUP($B72,표2[#ALL],2)</f>
        <v>0.0229558261</v>
      </c>
      <c r="X72" s="356">
        <f>CS_PID!X72/VLOOKUP($B72,표2[#ALL],2)</f>
        <v>0.009980793958</v>
      </c>
      <c r="Y72" s="356">
        <f>CS_PID!Y72/VLOOKUP($B72,표2[#ALL],2)</f>
        <v>0</v>
      </c>
      <c r="Z72" s="356">
        <f>CS_PID!Z72/VLOOKUP($B72,표2[#ALL],2)</f>
        <v>0</v>
      </c>
      <c r="AA72" s="356">
        <f>CS_PID!AA72/VLOOKUP($B72,표2[#ALL],2)</f>
        <v>0</v>
      </c>
      <c r="AB72" s="356">
        <f>CS_PID!AB72/VLOOKUP($B72,표2[#ALL],2)</f>
        <v>0.0009980793958</v>
      </c>
      <c r="AC72" s="356">
        <f>CS_PID!AC72/VLOOKUP($B72,표2[#ALL],2)</f>
        <v>0.0229558261</v>
      </c>
      <c r="AD72" s="356">
        <f>CS_PID!AD72/VLOOKUP($B72,표2[#ALL],2)</f>
        <v>0.001996158792</v>
      </c>
      <c r="AE72" s="356">
        <f>CS_PID!AE72/VLOOKUP($B72,표2[#ALL],2)</f>
        <v>0</v>
      </c>
      <c r="AF72" s="356">
        <f>CS_PID!AF72/VLOOKUP($B72,표2[#ALL],2)</f>
        <v>0</v>
      </c>
      <c r="AG72" s="356">
        <f>CS_PID!AG72/VLOOKUP($B72,표2[#ALL],2)</f>
        <v>0</v>
      </c>
      <c r="AH72" s="356">
        <f>CS_PID!AH72/VLOOKUP($B72,표2[#ALL],2)</f>
        <v>0.0009980793958</v>
      </c>
      <c r="AI72" s="356">
        <f>CS_PID!AI72/VLOOKUP($B72,표2[#ALL],2)</f>
        <v>0.009980793958</v>
      </c>
      <c r="AJ72" s="356">
        <f>CS_PID!AJ72/VLOOKUP($B72,표2[#ALL],2)</f>
        <v>0.001996158792</v>
      </c>
      <c r="AK72" s="356">
        <f>CS_PID!AK72/VLOOKUP($B72,표2[#ALL],2)</f>
        <v>0</v>
      </c>
      <c r="AL72" s="356">
        <f>CS_PID!AL72/VLOOKUP($B72,표2[#ALL],2)</f>
        <v>0</v>
      </c>
      <c r="AM72" s="356">
        <f>CS_PID!AM72/VLOOKUP($B72,표2[#ALL],2)</f>
        <v>0</v>
      </c>
      <c r="AN72" s="356">
        <f>CS_PID!AN72/VLOOKUP($B72,표2[#ALL],2)</f>
        <v>0.004990396979</v>
      </c>
      <c r="AO72" s="356">
        <f>CS_PID!AO72/VLOOKUP($B72,표2[#ALL],2)</f>
        <v>0</v>
      </c>
      <c r="AP72" s="356">
        <f>CS_PID!AP72/VLOOKUP($B72,표2[#ALL],2)</f>
        <v>0</v>
      </c>
      <c r="AQ72" s="356">
        <f>CS_PID!AQ72/VLOOKUP($B72,표2[#ALL],2)</f>
        <v>0</v>
      </c>
      <c r="AR72" s="356">
        <f>CS_PID!AR72/VLOOKUP($B72,표2[#ALL],2)</f>
        <v>0</v>
      </c>
      <c r="AS72" s="356">
        <f>CS_PID!AS72/VLOOKUP($B72,표2[#ALL],2)</f>
        <v>0</v>
      </c>
    </row>
    <row r="73">
      <c r="A73" s="165" t="s">
        <v>82</v>
      </c>
      <c r="B73" s="166">
        <v>340.0</v>
      </c>
      <c r="C73" s="356">
        <f>CS_PID!C73/VLOOKUP($B73,표2[#ALL],2)</f>
        <v>0</v>
      </c>
      <c r="D73" s="356">
        <f>CS_PID!D73/VLOOKUP($B73,표2[#ALL],2)</f>
        <v>0.001996158792</v>
      </c>
      <c r="E73" s="356">
        <f>CS_PID!E73/VLOOKUP($B73,표2[#ALL],2)</f>
        <v>0.01297503215</v>
      </c>
      <c r="F73" s="356">
        <f>CS_PID!F73/VLOOKUP($B73,표2[#ALL],2)</f>
        <v>0.0239539055</v>
      </c>
      <c r="G73" s="356">
        <f>CS_PID!G73/VLOOKUP($B73,표2[#ALL],2)</f>
        <v>0.003992317583</v>
      </c>
      <c r="H73" s="356">
        <f>CS_PID!H73/VLOOKUP($B73,표2[#ALL],2)</f>
        <v>0</v>
      </c>
      <c r="I73" s="356">
        <f>CS_PID!I73/VLOOKUP($B73,표2[#ALL],2)</f>
        <v>0</v>
      </c>
      <c r="J73" s="356">
        <f>CS_PID!J73/VLOOKUP($B73,표2[#ALL],2)</f>
        <v>0.07285979589</v>
      </c>
      <c r="K73" s="356">
        <f>CS_PID!K73/VLOOKUP($B73,표2[#ALL],2)</f>
        <v>0.0708636371</v>
      </c>
      <c r="L73" s="356">
        <f>CS_PID!L73/VLOOKUP($B73,표2[#ALL],2)</f>
        <v>0.01796542912</v>
      </c>
      <c r="M73" s="356">
        <f>CS_PID!M73/VLOOKUP($B73,표2[#ALL],2)</f>
        <v>0.001996158792</v>
      </c>
      <c r="N73" s="356">
        <f>CS_PID!N73/VLOOKUP($B73,표2[#ALL],2)</f>
        <v>0</v>
      </c>
      <c r="O73" s="356">
        <f>CS_PID!O73/VLOOKUP($B73,표2[#ALL],2)</f>
        <v>0.0009980793958</v>
      </c>
      <c r="P73" s="356">
        <f>CS_PID!P73/VLOOKUP($B73,표2[#ALL],2)</f>
        <v>0.0229558261</v>
      </c>
      <c r="Q73" s="356">
        <f>CS_PID!Q73/VLOOKUP($B73,표2[#ALL],2)</f>
        <v>0.1766600531</v>
      </c>
      <c r="R73" s="356">
        <f>CS_PID!R73/VLOOKUP($B73,표2[#ALL],2)</f>
        <v>0.03692893765</v>
      </c>
      <c r="S73" s="356">
        <f>CS_PID!S73/VLOOKUP($B73,표2[#ALL],2)</f>
        <v>0.0009980793958</v>
      </c>
      <c r="T73" s="356">
        <f>CS_PID!T73/VLOOKUP($B73,표2[#ALL],2)</f>
        <v>0</v>
      </c>
      <c r="U73" s="356">
        <f>CS_PID!U73/VLOOKUP($B73,표2[#ALL],2)</f>
        <v>0.0009980793958</v>
      </c>
      <c r="V73" s="356">
        <f>CS_PID!V73/VLOOKUP($B73,표2[#ALL],2)</f>
        <v>0.01397311154</v>
      </c>
      <c r="W73" s="356">
        <f>CS_PID!W73/VLOOKUP($B73,표2[#ALL],2)</f>
        <v>0.1307484009</v>
      </c>
      <c r="X73" s="356">
        <f>CS_PID!X73/VLOOKUP($B73,표2[#ALL],2)</f>
        <v>0.07685211348</v>
      </c>
      <c r="Y73" s="356">
        <f>CS_PID!Y73/VLOOKUP($B73,표2[#ALL],2)</f>
        <v>0.001996158792</v>
      </c>
      <c r="Z73" s="356">
        <f>CS_PID!Z73/VLOOKUP($B73,표2[#ALL],2)</f>
        <v>0</v>
      </c>
      <c r="AA73" s="356">
        <f>CS_PID!AA73/VLOOKUP($B73,표2[#ALL],2)</f>
        <v>0</v>
      </c>
      <c r="AB73" s="356">
        <f>CS_PID!AB73/VLOOKUP($B73,표2[#ALL],2)</f>
        <v>0.005988476375</v>
      </c>
      <c r="AC73" s="356">
        <f>CS_PID!AC73/VLOOKUP($B73,표2[#ALL],2)</f>
        <v>0.143723433</v>
      </c>
      <c r="AD73" s="356">
        <f>CS_PID!AD73/VLOOKUP($B73,표2[#ALL],2)</f>
        <v>0.03393469946</v>
      </c>
      <c r="AE73" s="356">
        <f>CS_PID!AE73/VLOOKUP($B73,표2[#ALL],2)</f>
        <v>0.001996158792</v>
      </c>
      <c r="AF73" s="356">
        <f>CS_PID!AF73/VLOOKUP($B73,표2[#ALL],2)</f>
        <v>0</v>
      </c>
      <c r="AG73" s="356">
        <f>CS_PID!AG73/VLOOKUP($B73,표2[#ALL],2)</f>
        <v>0.0009980793958</v>
      </c>
      <c r="AH73" s="356">
        <f>CS_PID!AH73/VLOOKUP($B73,표2[#ALL],2)</f>
        <v>0.007984635167</v>
      </c>
      <c r="AI73" s="356">
        <f>CS_PID!AI73/VLOOKUP($B73,표2[#ALL],2)</f>
        <v>0.06188092254</v>
      </c>
      <c r="AJ73" s="356">
        <f>CS_PID!AJ73/VLOOKUP($B73,표2[#ALL],2)</f>
        <v>0.0239539055</v>
      </c>
      <c r="AK73" s="356">
        <f>CS_PID!AK73/VLOOKUP($B73,표2[#ALL],2)</f>
        <v>0</v>
      </c>
      <c r="AL73" s="356">
        <f>CS_PID!AL73/VLOOKUP($B73,표2[#ALL],2)</f>
        <v>0</v>
      </c>
      <c r="AM73" s="356">
        <f>CS_PID!AM73/VLOOKUP($B73,표2[#ALL],2)</f>
        <v>0.001996158792</v>
      </c>
      <c r="AN73" s="356">
        <f>CS_PID!AN73/VLOOKUP($B73,표2[#ALL],2)</f>
        <v>0.0249519849</v>
      </c>
      <c r="AO73" s="356">
        <f>CS_PID!AO73/VLOOKUP($B73,표2[#ALL],2)</f>
        <v>0.0009980793958</v>
      </c>
      <c r="AP73" s="356">
        <f>CS_PID!AP73/VLOOKUP($B73,표2[#ALL],2)</f>
        <v>0</v>
      </c>
      <c r="AQ73" s="356">
        <f>CS_PID!AQ73/VLOOKUP($B73,표2[#ALL],2)</f>
        <v>0</v>
      </c>
      <c r="AR73" s="356">
        <f>CS_PID!AR73/VLOOKUP($B73,표2[#ALL],2)</f>
        <v>0</v>
      </c>
      <c r="AS73" s="356">
        <f>CS_PID!AS73/VLOOKUP($B73,표2[#ALL],2)</f>
        <v>0</v>
      </c>
    </row>
    <row r="74">
      <c r="A74" s="165" t="s">
        <v>82</v>
      </c>
      <c r="B74" s="166">
        <v>341.0</v>
      </c>
      <c r="C74" s="356">
        <f>CS_PID!C74/VLOOKUP($B74,표2[#ALL],2)</f>
        <v>0.001996158792</v>
      </c>
      <c r="D74" s="356">
        <f>CS_PID!D74/VLOOKUP($B74,표2[#ALL],2)</f>
        <v>0.004990396979</v>
      </c>
      <c r="E74" s="356">
        <f>CS_PID!E74/VLOOKUP($B74,표2[#ALL],2)</f>
        <v>0.0249519849</v>
      </c>
      <c r="F74" s="356">
        <f>CS_PID!F74/VLOOKUP($B74,표2[#ALL],2)</f>
        <v>0.02894430248</v>
      </c>
      <c r="G74" s="356">
        <f>CS_PID!G74/VLOOKUP($B74,표2[#ALL],2)</f>
        <v>0.001996158792</v>
      </c>
      <c r="H74" s="356">
        <f>CS_PID!H74/VLOOKUP($B74,표2[#ALL],2)</f>
        <v>0</v>
      </c>
      <c r="I74" s="356">
        <f>CS_PID!I74/VLOOKUP($B74,표2[#ALL],2)</f>
        <v>0.001996158792</v>
      </c>
      <c r="J74" s="356">
        <f>CS_PID!J74/VLOOKUP($B74,표2[#ALL],2)</f>
        <v>0.09082522502</v>
      </c>
      <c r="K74" s="356">
        <f>CS_PID!K74/VLOOKUP($B74,표2[#ALL],2)</f>
        <v>0.09681370139</v>
      </c>
      <c r="L74" s="356">
        <f>CS_PID!L74/VLOOKUP($B74,표2[#ALL],2)</f>
        <v>0.02694814369</v>
      </c>
      <c r="M74" s="356">
        <f>CS_PID!M74/VLOOKUP($B74,표2[#ALL],2)</f>
        <v>0.001996158792</v>
      </c>
      <c r="N74" s="356">
        <f>CS_PID!N74/VLOOKUP($B74,표2[#ALL],2)</f>
        <v>0</v>
      </c>
      <c r="O74" s="356">
        <f>CS_PID!O74/VLOOKUP($B74,표2[#ALL],2)</f>
        <v>0.001996158792</v>
      </c>
      <c r="P74" s="356">
        <f>CS_PID!P74/VLOOKUP($B74,표2[#ALL],2)</f>
        <v>0.04092125523</v>
      </c>
      <c r="Q74" s="356">
        <f>CS_PID!Q74/VLOOKUP($B74,표2[#ALL],2)</f>
        <v>0.2265640229</v>
      </c>
      <c r="R74" s="356">
        <f>CS_PID!R74/VLOOKUP($B74,표2[#ALL],2)</f>
        <v>0.05190012858</v>
      </c>
      <c r="S74" s="356">
        <f>CS_PID!S74/VLOOKUP($B74,표2[#ALL],2)</f>
        <v>0.002994238187</v>
      </c>
      <c r="T74" s="356">
        <f>CS_PID!T74/VLOOKUP($B74,표2[#ALL],2)</f>
        <v>0</v>
      </c>
      <c r="U74" s="356">
        <f>CS_PID!U74/VLOOKUP($B74,표2[#ALL],2)</f>
        <v>0.0009980793958</v>
      </c>
      <c r="V74" s="356">
        <f>CS_PID!V74/VLOOKUP($B74,표2[#ALL],2)</f>
        <v>0.03393469946</v>
      </c>
      <c r="W74" s="356">
        <f>CS_PID!W74/VLOOKUP($B74,표2[#ALL],2)</f>
        <v>0.1696734973</v>
      </c>
      <c r="X74" s="356">
        <f>CS_PID!X74/VLOOKUP($B74,표2[#ALL],2)</f>
        <v>0.095815622</v>
      </c>
      <c r="Y74" s="356">
        <f>CS_PID!Y74/VLOOKUP($B74,표2[#ALL],2)</f>
        <v>0.001996158792</v>
      </c>
      <c r="Z74" s="356">
        <f>CS_PID!Z74/VLOOKUP($B74,표2[#ALL],2)</f>
        <v>0</v>
      </c>
      <c r="AA74" s="356">
        <f>CS_PID!AA74/VLOOKUP($B74,표2[#ALL],2)</f>
        <v>0</v>
      </c>
      <c r="AB74" s="356">
        <f>CS_PID!AB74/VLOOKUP($B74,표2[#ALL],2)</f>
        <v>0.007984635167</v>
      </c>
      <c r="AC74" s="356">
        <f>CS_PID!AC74/VLOOKUP($B74,표2[#ALL],2)</f>
        <v>0.1447215124</v>
      </c>
      <c r="AD74" s="356">
        <f>CS_PID!AD74/VLOOKUP($B74,표2[#ALL],2)</f>
        <v>0.04191933462</v>
      </c>
      <c r="AE74" s="356">
        <f>CS_PID!AE74/VLOOKUP($B74,표2[#ALL],2)</f>
        <v>0.0009980793958</v>
      </c>
      <c r="AF74" s="356">
        <f>CS_PID!AF74/VLOOKUP($B74,표2[#ALL],2)</f>
        <v>0</v>
      </c>
      <c r="AG74" s="356">
        <f>CS_PID!AG74/VLOOKUP($B74,표2[#ALL],2)</f>
        <v>0</v>
      </c>
      <c r="AH74" s="356">
        <f>CS_PID!AH74/VLOOKUP($B74,표2[#ALL],2)</f>
        <v>0.008982714562</v>
      </c>
      <c r="AI74" s="356">
        <f>CS_PID!AI74/VLOOKUP($B74,표2[#ALL],2)</f>
        <v>0.07485595469</v>
      </c>
      <c r="AJ74" s="356">
        <f>CS_PID!AJ74/VLOOKUP($B74,표2[#ALL],2)</f>
        <v>0.0489058904</v>
      </c>
      <c r="AK74" s="356">
        <f>CS_PID!AK74/VLOOKUP($B74,표2[#ALL],2)</f>
        <v>0</v>
      </c>
      <c r="AL74" s="356">
        <f>CS_PID!AL74/VLOOKUP($B74,표2[#ALL],2)</f>
        <v>0</v>
      </c>
      <c r="AM74" s="356">
        <f>CS_PID!AM74/VLOOKUP($B74,표2[#ALL],2)</f>
        <v>0.0009980793958</v>
      </c>
      <c r="AN74" s="356">
        <f>CS_PID!AN74/VLOOKUP($B74,표2[#ALL],2)</f>
        <v>0.0489058904</v>
      </c>
      <c r="AO74" s="356">
        <f>CS_PID!AO74/VLOOKUP($B74,표2[#ALL],2)</f>
        <v>0.005988476375</v>
      </c>
      <c r="AP74" s="356">
        <f>CS_PID!AP74/VLOOKUP($B74,표2[#ALL],2)</f>
        <v>0</v>
      </c>
      <c r="AQ74" s="356">
        <f>CS_PID!AQ74/VLOOKUP($B74,표2[#ALL],2)</f>
        <v>0</v>
      </c>
      <c r="AR74" s="356">
        <f>CS_PID!AR74/VLOOKUP($B74,표2[#ALL],2)</f>
        <v>0.001996158792</v>
      </c>
      <c r="AS74" s="356">
        <f>CS_PID!AS74/VLOOKUP($B74,표2[#ALL],2)</f>
        <v>0.0009980793958</v>
      </c>
    </row>
    <row r="75">
      <c r="A75" s="165" t="s">
        <v>82</v>
      </c>
      <c r="B75" s="166">
        <v>342.0</v>
      </c>
      <c r="C75" s="356">
        <f>CS_PID!C75/VLOOKUP($B75,표2[#ALL],2)</f>
        <v>0</v>
      </c>
      <c r="D75" s="356">
        <f>CS_PID!D75/VLOOKUP($B75,표2[#ALL],2)</f>
        <v>0.0009980793958</v>
      </c>
      <c r="E75" s="356">
        <f>CS_PID!E75/VLOOKUP($B75,표2[#ALL],2)</f>
        <v>0.01197695275</v>
      </c>
      <c r="F75" s="356">
        <f>CS_PID!F75/VLOOKUP($B75,표2[#ALL],2)</f>
        <v>0.01996158792</v>
      </c>
      <c r="G75" s="356">
        <f>CS_PID!G75/VLOOKUP($B75,표2[#ALL],2)</f>
        <v>0.001996158792</v>
      </c>
      <c r="H75" s="356">
        <f>CS_PID!H75/VLOOKUP($B75,표2[#ALL],2)</f>
        <v>0</v>
      </c>
      <c r="I75" s="356">
        <f>CS_PID!I75/VLOOKUP($B75,표2[#ALL],2)</f>
        <v>0</v>
      </c>
      <c r="J75" s="356">
        <f>CS_PID!J75/VLOOKUP($B75,표2[#ALL],2)</f>
        <v>0.05489436677</v>
      </c>
      <c r="K75" s="356">
        <f>CS_PID!K75/VLOOKUP($B75,표2[#ALL],2)</f>
        <v>0.05589244617</v>
      </c>
      <c r="L75" s="356">
        <f>CS_PID!L75/VLOOKUP($B75,표2[#ALL],2)</f>
        <v>0.01996158792</v>
      </c>
      <c r="M75" s="356">
        <f>CS_PID!M75/VLOOKUP($B75,표2[#ALL],2)</f>
        <v>0.001996158792</v>
      </c>
      <c r="N75" s="356">
        <f>CS_PID!N75/VLOOKUP($B75,표2[#ALL],2)</f>
        <v>0</v>
      </c>
      <c r="O75" s="356">
        <f>CS_PID!O75/VLOOKUP($B75,표2[#ALL],2)</f>
        <v>0.0009980793958</v>
      </c>
      <c r="P75" s="356">
        <f>CS_PID!P75/VLOOKUP($B75,표2[#ALL],2)</f>
        <v>0.02894430248</v>
      </c>
      <c r="Q75" s="356">
        <f>CS_PID!Q75/VLOOKUP($B75,표2[#ALL],2)</f>
        <v>0.1287522421</v>
      </c>
      <c r="R75" s="356">
        <f>CS_PID!R75/VLOOKUP($B75,표2[#ALL],2)</f>
        <v>0.03792701704</v>
      </c>
      <c r="S75" s="356">
        <f>CS_PID!S75/VLOOKUP($B75,표2[#ALL],2)</f>
        <v>0</v>
      </c>
      <c r="T75" s="356">
        <f>CS_PID!T75/VLOOKUP($B75,표2[#ALL],2)</f>
        <v>0</v>
      </c>
      <c r="U75" s="356">
        <f>CS_PID!U75/VLOOKUP($B75,표2[#ALL],2)</f>
        <v>0</v>
      </c>
      <c r="V75" s="356">
        <f>CS_PID!V75/VLOOKUP($B75,표2[#ALL],2)</f>
        <v>0.01497119094</v>
      </c>
      <c r="W75" s="356">
        <f>CS_PID!W75/VLOOKUP($B75,표2[#ALL],2)</f>
        <v>0.1297503215</v>
      </c>
      <c r="X75" s="356">
        <f>CS_PID!X75/VLOOKUP($B75,표2[#ALL],2)</f>
        <v>0.05689052556</v>
      </c>
      <c r="Y75" s="356">
        <f>CS_PID!Y75/VLOOKUP($B75,표2[#ALL],2)</f>
        <v>0</v>
      </c>
      <c r="Z75" s="356">
        <f>CS_PID!Z75/VLOOKUP($B75,표2[#ALL],2)</f>
        <v>0</v>
      </c>
      <c r="AA75" s="356">
        <f>CS_PID!AA75/VLOOKUP($B75,표2[#ALL],2)</f>
        <v>0</v>
      </c>
      <c r="AB75" s="356">
        <f>CS_PID!AB75/VLOOKUP($B75,표2[#ALL],2)</f>
        <v>0.006986555771</v>
      </c>
      <c r="AC75" s="356">
        <f>CS_PID!AC75/VLOOKUP($B75,표2[#ALL],2)</f>
        <v>0.08882906623</v>
      </c>
      <c r="AD75" s="356">
        <f>CS_PID!AD75/VLOOKUP($B75,표2[#ALL],2)</f>
        <v>0.03393469946</v>
      </c>
      <c r="AE75" s="356">
        <f>CS_PID!AE75/VLOOKUP($B75,표2[#ALL],2)</f>
        <v>0.0009980793958</v>
      </c>
      <c r="AF75" s="356">
        <f>CS_PID!AF75/VLOOKUP($B75,표2[#ALL],2)</f>
        <v>0</v>
      </c>
      <c r="AG75" s="356">
        <f>CS_PID!AG75/VLOOKUP($B75,표2[#ALL],2)</f>
        <v>0</v>
      </c>
      <c r="AH75" s="356">
        <f>CS_PID!AH75/VLOOKUP($B75,표2[#ALL],2)</f>
        <v>0.003992317583</v>
      </c>
      <c r="AI75" s="356">
        <f>CS_PID!AI75/VLOOKUP($B75,표2[#ALL],2)</f>
        <v>0.03692893765</v>
      </c>
      <c r="AJ75" s="356">
        <f>CS_PID!AJ75/VLOOKUP($B75,표2[#ALL],2)</f>
        <v>0.01796542912</v>
      </c>
      <c r="AK75" s="356">
        <f>CS_PID!AK75/VLOOKUP($B75,표2[#ALL],2)</f>
        <v>0</v>
      </c>
      <c r="AL75" s="356">
        <f>CS_PID!AL75/VLOOKUP($B75,표2[#ALL],2)</f>
        <v>0</v>
      </c>
      <c r="AM75" s="356">
        <f>CS_PID!AM75/VLOOKUP($B75,표2[#ALL],2)</f>
        <v>0.0009980793958</v>
      </c>
      <c r="AN75" s="356">
        <f>CS_PID!AN75/VLOOKUP($B75,표2[#ALL],2)</f>
        <v>0.0229558261</v>
      </c>
      <c r="AO75" s="356">
        <f>CS_PID!AO75/VLOOKUP($B75,표2[#ALL],2)</f>
        <v>0.003992317583</v>
      </c>
      <c r="AP75" s="356">
        <f>CS_PID!AP75/VLOOKUP($B75,표2[#ALL],2)</f>
        <v>0</v>
      </c>
      <c r="AQ75" s="356">
        <f>CS_PID!AQ75/VLOOKUP($B75,표2[#ALL],2)</f>
        <v>0</v>
      </c>
      <c r="AR75" s="356">
        <f>CS_PID!AR75/VLOOKUP($B75,표2[#ALL],2)</f>
        <v>0</v>
      </c>
      <c r="AS75" s="356">
        <f>CS_PID!AS75/VLOOKUP($B75,표2[#ALL],2)</f>
        <v>0</v>
      </c>
    </row>
    <row r="76">
      <c r="A76" s="165" t="s">
        <v>82</v>
      </c>
      <c r="B76" s="166">
        <v>343.0</v>
      </c>
      <c r="C76" s="356">
        <f>CS_PID!C76/VLOOKUP($B76,표2[#ALL],2)</f>
        <v>0</v>
      </c>
      <c r="D76" s="356">
        <f>CS_PID!D76/VLOOKUP($B76,표2[#ALL],2)</f>
        <v>0.003992317583</v>
      </c>
      <c r="E76" s="356">
        <f>CS_PID!E76/VLOOKUP($B76,표2[#ALL],2)</f>
        <v>0.01696734973</v>
      </c>
      <c r="F76" s="356">
        <f>CS_PID!F76/VLOOKUP($B76,표2[#ALL],2)</f>
        <v>0.02095966731</v>
      </c>
      <c r="G76" s="356">
        <f>CS_PID!G76/VLOOKUP($B76,표2[#ALL],2)</f>
        <v>0.002994238187</v>
      </c>
      <c r="H76" s="356">
        <f>CS_PID!H76/VLOOKUP($B76,표2[#ALL],2)</f>
        <v>0</v>
      </c>
      <c r="I76" s="356">
        <f>CS_PID!I76/VLOOKUP($B76,표2[#ALL],2)</f>
        <v>0.0009980793958</v>
      </c>
      <c r="J76" s="356">
        <f>CS_PID!J76/VLOOKUP($B76,표2[#ALL],2)</f>
        <v>0.0708636371</v>
      </c>
      <c r="K76" s="356">
        <f>CS_PID!K76/VLOOKUP($B76,표2[#ALL],2)</f>
        <v>0.0489058904</v>
      </c>
      <c r="L76" s="356">
        <f>CS_PID!L76/VLOOKUP($B76,표2[#ALL],2)</f>
        <v>0.01397311154</v>
      </c>
      <c r="M76" s="356">
        <f>CS_PID!M76/VLOOKUP($B76,표2[#ALL],2)</f>
        <v>0.0009980793958</v>
      </c>
      <c r="N76" s="356">
        <f>CS_PID!N76/VLOOKUP($B76,표2[#ALL],2)</f>
        <v>0</v>
      </c>
      <c r="O76" s="356">
        <f>CS_PID!O76/VLOOKUP($B76,표2[#ALL],2)</f>
        <v>0.0009980793958</v>
      </c>
      <c r="P76" s="356">
        <f>CS_PID!P76/VLOOKUP($B76,표2[#ALL],2)</f>
        <v>0.0249519849</v>
      </c>
      <c r="Q76" s="356">
        <f>CS_PID!Q76/VLOOKUP($B76,표2[#ALL],2)</f>
        <v>0.1267560833</v>
      </c>
      <c r="R76" s="356">
        <f>CS_PID!R76/VLOOKUP($B76,표2[#ALL],2)</f>
        <v>0.03493277885</v>
      </c>
      <c r="S76" s="356">
        <f>CS_PID!S76/VLOOKUP($B76,표2[#ALL],2)</f>
        <v>0</v>
      </c>
      <c r="T76" s="356">
        <f>CS_PID!T76/VLOOKUP($B76,표2[#ALL],2)</f>
        <v>0</v>
      </c>
      <c r="U76" s="356">
        <f>CS_PID!U76/VLOOKUP($B76,표2[#ALL],2)</f>
        <v>0</v>
      </c>
      <c r="V76" s="356">
        <f>CS_PID!V76/VLOOKUP($B76,표2[#ALL],2)</f>
        <v>0.01596927033</v>
      </c>
      <c r="W76" s="356">
        <f>CS_PID!W76/VLOOKUP($B76,표2[#ALL],2)</f>
        <v>0.1018040984</v>
      </c>
      <c r="X76" s="356">
        <f>CS_PID!X76/VLOOKUP($B76,표2[#ALL],2)</f>
        <v>0.06587324012</v>
      </c>
      <c r="Y76" s="356">
        <f>CS_PID!Y76/VLOOKUP($B76,표2[#ALL],2)</f>
        <v>0.001996158792</v>
      </c>
      <c r="Z76" s="356">
        <f>CS_PID!Z76/VLOOKUP($B76,표2[#ALL],2)</f>
        <v>0</v>
      </c>
      <c r="AA76" s="356">
        <f>CS_PID!AA76/VLOOKUP($B76,표2[#ALL],2)</f>
        <v>0</v>
      </c>
      <c r="AB76" s="356">
        <f>CS_PID!AB76/VLOOKUP($B76,표2[#ALL],2)</f>
        <v>0.005988476375</v>
      </c>
      <c r="AC76" s="356">
        <f>CS_PID!AC76/VLOOKUP($B76,표2[#ALL],2)</f>
        <v>0.1077925747</v>
      </c>
      <c r="AD76" s="356">
        <f>CS_PID!AD76/VLOOKUP($B76,표2[#ALL],2)</f>
        <v>0.02894430248</v>
      </c>
      <c r="AE76" s="356">
        <f>CS_PID!AE76/VLOOKUP($B76,표2[#ALL],2)</f>
        <v>0</v>
      </c>
      <c r="AF76" s="356">
        <f>CS_PID!AF76/VLOOKUP($B76,표2[#ALL],2)</f>
        <v>0</v>
      </c>
      <c r="AG76" s="356">
        <f>CS_PID!AG76/VLOOKUP($B76,표2[#ALL],2)</f>
        <v>0</v>
      </c>
      <c r="AH76" s="356">
        <f>CS_PID!AH76/VLOOKUP($B76,표2[#ALL],2)</f>
        <v>0.005988476375</v>
      </c>
      <c r="AI76" s="356">
        <f>CS_PID!AI76/VLOOKUP($B76,표2[#ALL],2)</f>
        <v>0.03692893765</v>
      </c>
      <c r="AJ76" s="356">
        <f>CS_PID!AJ76/VLOOKUP($B76,표2[#ALL],2)</f>
        <v>0.02195774671</v>
      </c>
      <c r="AK76" s="356">
        <f>CS_PID!AK76/VLOOKUP($B76,표2[#ALL],2)</f>
        <v>0.0009980793958</v>
      </c>
      <c r="AL76" s="356">
        <f>CS_PID!AL76/VLOOKUP($B76,표2[#ALL],2)</f>
        <v>0</v>
      </c>
      <c r="AM76" s="356">
        <f>CS_PID!AM76/VLOOKUP($B76,표2[#ALL],2)</f>
        <v>0</v>
      </c>
      <c r="AN76" s="356">
        <f>CS_PID!AN76/VLOOKUP($B76,표2[#ALL],2)</f>
        <v>0.02694814369</v>
      </c>
      <c r="AO76" s="356">
        <f>CS_PID!AO76/VLOOKUP($B76,표2[#ALL],2)</f>
        <v>0</v>
      </c>
      <c r="AP76" s="356">
        <f>CS_PID!AP76/VLOOKUP($B76,표2[#ALL],2)</f>
        <v>0</v>
      </c>
      <c r="AQ76" s="356">
        <f>CS_PID!AQ76/VLOOKUP($B76,표2[#ALL],2)</f>
        <v>0.0009980793958</v>
      </c>
      <c r="AR76" s="356">
        <f>CS_PID!AR76/VLOOKUP($B76,표2[#ALL],2)</f>
        <v>0.001996158792</v>
      </c>
      <c r="AS76" s="356">
        <f>CS_PID!AS76/VLOOKUP($B76,표2[#ALL],2)</f>
        <v>0</v>
      </c>
    </row>
    <row r="77">
      <c r="A77" s="165" t="s">
        <v>82</v>
      </c>
      <c r="B77" s="166">
        <v>344.0</v>
      </c>
      <c r="C77" s="356">
        <f>CS_PID!C77/VLOOKUP($B77,표2[#ALL],2)</f>
        <v>0</v>
      </c>
      <c r="D77" s="356">
        <f>CS_PID!D77/VLOOKUP($B77,표2[#ALL],2)</f>
        <v>0.0009980793958</v>
      </c>
      <c r="E77" s="356">
        <f>CS_PID!E77/VLOOKUP($B77,표2[#ALL],2)</f>
        <v>0.01097887335</v>
      </c>
      <c r="F77" s="356">
        <f>CS_PID!F77/VLOOKUP($B77,표2[#ALL],2)</f>
        <v>0.002994238187</v>
      </c>
      <c r="G77" s="356">
        <f>CS_PID!G77/VLOOKUP($B77,표2[#ALL],2)</f>
        <v>0</v>
      </c>
      <c r="H77" s="356">
        <f>CS_PID!H77/VLOOKUP($B77,표2[#ALL],2)</f>
        <v>0</v>
      </c>
      <c r="I77" s="356">
        <f>CS_PID!I77/VLOOKUP($B77,표2[#ALL],2)</f>
        <v>0</v>
      </c>
      <c r="J77" s="356">
        <f>CS_PID!J77/VLOOKUP($B77,표2[#ALL],2)</f>
        <v>0.02195774671</v>
      </c>
      <c r="K77" s="356">
        <f>CS_PID!K77/VLOOKUP($B77,표2[#ALL],2)</f>
        <v>0.01996158792</v>
      </c>
      <c r="L77" s="356">
        <f>CS_PID!L77/VLOOKUP($B77,표2[#ALL],2)</f>
        <v>0.004990396979</v>
      </c>
      <c r="M77" s="356">
        <f>CS_PID!M77/VLOOKUP($B77,표2[#ALL],2)</f>
        <v>0</v>
      </c>
      <c r="N77" s="356">
        <f>CS_PID!N77/VLOOKUP($B77,표2[#ALL],2)</f>
        <v>0</v>
      </c>
      <c r="O77" s="356">
        <f>CS_PID!O77/VLOOKUP($B77,표2[#ALL],2)</f>
        <v>0.0009980793958</v>
      </c>
      <c r="P77" s="356">
        <f>CS_PID!P77/VLOOKUP($B77,표2[#ALL],2)</f>
        <v>0.01097887335</v>
      </c>
      <c r="Q77" s="356">
        <f>CS_PID!Q77/VLOOKUP($B77,표2[#ALL],2)</f>
        <v>0.05190012858</v>
      </c>
      <c r="R77" s="356">
        <f>CS_PID!R77/VLOOKUP($B77,표2[#ALL],2)</f>
        <v>0.007984635167</v>
      </c>
      <c r="S77" s="356">
        <f>CS_PID!S77/VLOOKUP($B77,표2[#ALL],2)</f>
        <v>0</v>
      </c>
      <c r="T77" s="356">
        <f>CS_PID!T77/VLOOKUP($B77,표2[#ALL],2)</f>
        <v>0</v>
      </c>
      <c r="U77" s="356">
        <f>CS_PID!U77/VLOOKUP($B77,표2[#ALL],2)</f>
        <v>0</v>
      </c>
      <c r="V77" s="356">
        <f>CS_PID!V77/VLOOKUP($B77,표2[#ALL],2)</f>
        <v>0.007984635167</v>
      </c>
      <c r="W77" s="356">
        <f>CS_PID!W77/VLOOKUP($B77,표2[#ALL],2)</f>
        <v>0.04092125523</v>
      </c>
      <c r="X77" s="356">
        <f>CS_PID!X77/VLOOKUP($B77,표2[#ALL],2)</f>
        <v>0.0239539055</v>
      </c>
      <c r="Y77" s="356">
        <f>CS_PID!Y77/VLOOKUP($B77,표2[#ALL],2)</f>
        <v>0</v>
      </c>
      <c r="Z77" s="356">
        <f>CS_PID!Z77/VLOOKUP($B77,표2[#ALL],2)</f>
        <v>0</v>
      </c>
      <c r="AA77" s="356">
        <f>CS_PID!AA77/VLOOKUP($B77,표2[#ALL],2)</f>
        <v>0</v>
      </c>
      <c r="AB77" s="356">
        <f>CS_PID!AB77/VLOOKUP($B77,표2[#ALL],2)</f>
        <v>0.0009980793958</v>
      </c>
      <c r="AC77" s="356">
        <f>CS_PID!AC77/VLOOKUP($B77,표2[#ALL],2)</f>
        <v>0.03094046127</v>
      </c>
      <c r="AD77" s="356">
        <f>CS_PID!AD77/VLOOKUP($B77,표2[#ALL],2)</f>
        <v>0.009980793958</v>
      </c>
      <c r="AE77" s="356">
        <f>CS_PID!AE77/VLOOKUP($B77,표2[#ALL],2)</f>
        <v>0.0009980793958</v>
      </c>
      <c r="AF77" s="356">
        <f>CS_PID!AF77/VLOOKUP($B77,표2[#ALL],2)</f>
        <v>0</v>
      </c>
      <c r="AG77" s="356">
        <f>CS_PID!AG77/VLOOKUP($B77,표2[#ALL],2)</f>
        <v>0</v>
      </c>
      <c r="AH77" s="356">
        <f>CS_PID!AH77/VLOOKUP($B77,표2[#ALL],2)</f>
        <v>0.002994238187</v>
      </c>
      <c r="AI77" s="356">
        <f>CS_PID!AI77/VLOOKUP($B77,표2[#ALL],2)</f>
        <v>0.01497119094</v>
      </c>
      <c r="AJ77" s="356">
        <f>CS_PID!AJ77/VLOOKUP($B77,표2[#ALL],2)</f>
        <v>0.006986555771</v>
      </c>
      <c r="AK77" s="356">
        <f>CS_PID!AK77/VLOOKUP($B77,표2[#ALL],2)</f>
        <v>0</v>
      </c>
      <c r="AL77" s="356">
        <f>CS_PID!AL77/VLOOKUP($B77,표2[#ALL],2)</f>
        <v>0</v>
      </c>
      <c r="AM77" s="356">
        <f>CS_PID!AM77/VLOOKUP($B77,표2[#ALL],2)</f>
        <v>0.001996158792</v>
      </c>
      <c r="AN77" s="356">
        <f>CS_PID!AN77/VLOOKUP($B77,표2[#ALL],2)</f>
        <v>0.008982714562</v>
      </c>
      <c r="AO77" s="356">
        <f>CS_PID!AO77/VLOOKUP($B77,표2[#ALL],2)</f>
        <v>0</v>
      </c>
      <c r="AP77" s="356">
        <f>CS_PID!AP77/VLOOKUP($B77,표2[#ALL],2)</f>
        <v>0</v>
      </c>
      <c r="AQ77" s="356">
        <f>CS_PID!AQ77/VLOOKUP($B77,표2[#ALL],2)</f>
        <v>0.0009980793958</v>
      </c>
      <c r="AR77" s="356">
        <f>CS_PID!AR77/VLOOKUP($B77,표2[#ALL],2)</f>
        <v>0</v>
      </c>
      <c r="AS77" s="356">
        <f>CS_PID!AS77/VLOOKUP($B77,표2[#ALL],2)</f>
        <v>0</v>
      </c>
    </row>
    <row r="78">
      <c r="A78" s="165" t="s">
        <v>82</v>
      </c>
      <c r="B78" s="166">
        <v>345.0</v>
      </c>
      <c r="C78" s="356">
        <f>CS_PID!C78/VLOOKUP($B78,표2[#ALL],2)</f>
        <v>0</v>
      </c>
      <c r="D78" s="356">
        <f>CS_PID!D78/VLOOKUP($B78,표2[#ALL],2)</f>
        <v>0.001996158792</v>
      </c>
      <c r="E78" s="356">
        <f>CS_PID!E78/VLOOKUP($B78,표2[#ALL],2)</f>
        <v>0.01696734973</v>
      </c>
      <c r="F78" s="356">
        <f>CS_PID!F78/VLOOKUP($B78,표2[#ALL],2)</f>
        <v>0.01896350852</v>
      </c>
      <c r="G78" s="356">
        <f>CS_PID!G78/VLOOKUP($B78,표2[#ALL],2)</f>
        <v>0.001996158792</v>
      </c>
      <c r="H78" s="356">
        <f>CS_PID!H78/VLOOKUP($B78,표2[#ALL],2)</f>
        <v>0</v>
      </c>
      <c r="I78" s="356">
        <f>CS_PID!I78/VLOOKUP($B78,표2[#ALL],2)</f>
        <v>0</v>
      </c>
      <c r="J78" s="356">
        <f>CS_PID!J78/VLOOKUP($B78,표2[#ALL],2)</f>
        <v>0.04591165221</v>
      </c>
      <c r="K78" s="356">
        <f>CS_PID!K78/VLOOKUP($B78,표2[#ALL],2)</f>
        <v>0.0469097316</v>
      </c>
      <c r="L78" s="356">
        <f>CS_PID!L78/VLOOKUP($B78,표2[#ALL],2)</f>
        <v>0.01596927033</v>
      </c>
      <c r="M78" s="356">
        <f>CS_PID!M78/VLOOKUP($B78,표2[#ALL],2)</f>
        <v>0</v>
      </c>
      <c r="N78" s="356">
        <f>CS_PID!N78/VLOOKUP($B78,표2[#ALL],2)</f>
        <v>0</v>
      </c>
      <c r="O78" s="356">
        <f>CS_PID!O78/VLOOKUP($B78,표2[#ALL],2)</f>
        <v>0.002994238187</v>
      </c>
      <c r="P78" s="356">
        <f>CS_PID!P78/VLOOKUP($B78,표2[#ALL],2)</f>
        <v>0.0239539055</v>
      </c>
      <c r="Q78" s="356">
        <f>CS_PID!Q78/VLOOKUP($B78,표2[#ALL],2)</f>
        <v>0.133742639</v>
      </c>
      <c r="R78" s="356">
        <f>CS_PID!R78/VLOOKUP($B78,표2[#ALL],2)</f>
        <v>0.03692893765</v>
      </c>
      <c r="S78" s="356">
        <f>CS_PID!S78/VLOOKUP($B78,표2[#ALL],2)</f>
        <v>0</v>
      </c>
      <c r="T78" s="356">
        <f>CS_PID!T78/VLOOKUP($B78,표2[#ALL],2)</f>
        <v>0</v>
      </c>
      <c r="U78" s="356">
        <f>CS_PID!U78/VLOOKUP($B78,표2[#ALL],2)</f>
        <v>0</v>
      </c>
      <c r="V78" s="356">
        <f>CS_PID!V78/VLOOKUP($B78,표2[#ALL],2)</f>
        <v>0.01896350852</v>
      </c>
      <c r="W78" s="356">
        <f>CS_PID!W78/VLOOKUP($B78,표2[#ALL],2)</f>
        <v>0.095815622</v>
      </c>
      <c r="X78" s="356">
        <f>CS_PID!X78/VLOOKUP($B78,표2[#ALL],2)</f>
        <v>0.06786939892</v>
      </c>
      <c r="Y78" s="356">
        <f>CS_PID!Y78/VLOOKUP($B78,표2[#ALL],2)</f>
        <v>0.0009980793958</v>
      </c>
      <c r="Z78" s="356">
        <f>CS_PID!Z78/VLOOKUP($B78,표2[#ALL],2)</f>
        <v>0</v>
      </c>
      <c r="AA78" s="356">
        <f>CS_PID!AA78/VLOOKUP($B78,표2[#ALL],2)</f>
        <v>0</v>
      </c>
      <c r="AB78" s="356">
        <f>CS_PID!AB78/VLOOKUP($B78,표2[#ALL],2)</f>
        <v>0.005988476375</v>
      </c>
      <c r="AC78" s="356">
        <f>CS_PID!AC78/VLOOKUP($B78,표2[#ALL],2)</f>
        <v>0.08882906623</v>
      </c>
      <c r="AD78" s="356">
        <f>CS_PID!AD78/VLOOKUP($B78,표2[#ALL],2)</f>
        <v>0.01596927033</v>
      </c>
      <c r="AE78" s="356">
        <f>CS_PID!AE78/VLOOKUP($B78,표2[#ALL],2)</f>
        <v>0.001996158792</v>
      </c>
      <c r="AF78" s="356">
        <f>CS_PID!AF78/VLOOKUP($B78,표2[#ALL],2)</f>
        <v>0</v>
      </c>
      <c r="AG78" s="356">
        <f>CS_PID!AG78/VLOOKUP($B78,표2[#ALL],2)</f>
        <v>0</v>
      </c>
      <c r="AH78" s="356">
        <f>CS_PID!AH78/VLOOKUP($B78,표2[#ALL],2)</f>
        <v>0.002994238187</v>
      </c>
      <c r="AI78" s="356">
        <f>CS_PID!AI78/VLOOKUP($B78,표2[#ALL],2)</f>
        <v>0.03992317583</v>
      </c>
      <c r="AJ78" s="356">
        <f>CS_PID!AJ78/VLOOKUP($B78,표2[#ALL],2)</f>
        <v>0.01297503215</v>
      </c>
      <c r="AK78" s="356">
        <f>CS_PID!AK78/VLOOKUP($B78,표2[#ALL],2)</f>
        <v>0</v>
      </c>
      <c r="AL78" s="356">
        <f>CS_PID!AL78/VLOOKUP($B78,표2[#ALL],2)</f>
        <v>0</v>
      </c>
      <c r="AM78" s="356">
        <f>CS_PID!AM78/VLOOKUP($B78,표2[#ALL],2)</f>
        <v>0.003992317583</v>
      </c>
      <c r="AN78" s="356">
        <f>CS_PID!AN78/VLOOKUP($B78,표2[#ALL],2)</f>
        <v>0.01796542912</v>
      </c>
      <c r="AO78" s="356">
        <f>CS_PID!AO78/VLOOKUP($B78,표2[#ALL],2)</f>
        <v>0.002994238187</v>
      </c>
      <c r="AP78" s="356">
        <f>CS_PID!AP78/VLOOKUP($B78,표2[#ALL],2)</f>
        <v>0</v>
      </c>
      <c r="AQ78" s="356">
        <f>CS_PID!AQ78/VLOOKUP($B78,표2[#ALL],2)</f>
        <v>0</v>
      </c>
      <c r="AR78" s="356">
        <f>CS_PID!AR78/VLOOKUP($B78,표2[#ALL],2)</f>
        <v>0.001996158792</v>
      </c>
      <c r="AS78" s="356">
        <f>CS_PID!AS78/VLOOKUP($B78,표2[#ALL],2)</f>
        <v>0</v>
      </c>
    </row>
    <row r="79">
      <c r="A79" s="169" t="s">
        <v>82</v>
      </c>
      <c r="B79" s="170">
        <v>347.0</v>
      </c>
      <c r="C79" s="357">
        <f>CS_PID!C79/VLOOKUP($B79,표2[#ALL],2)</f>
        <v>0</v>
      </c>
      <c r="D79" s="357">
        <f>CS_PID!D79/VLOOKUP($B79,표2[#ALL],2)</f>
        <v>0.0009980793958</v>
      </c>
      <c r="E79" s="357">
        <f>CS_PID!E79/VLOOKUP($B79,표2[#ALL],2)</f>
        <v>0.006986555771</v>
      </c>
      <c r="F79" s="357">
        <f>CS_PID!F79/VLOOKUP($B79,표2[#ALL],2)</f>
        <v>0.006986555771</v>
      </c>
      <c r="G79" s="357">
        <f>CS_PID!G79/VLOOKUP($B79,표2[#ALL],2)</f>
        <v>0.0009980793958</v>
      </c>
      <c r="H79" s="357">
        <f>CS_PID!H79/VLOOKUP($B79,표2[#ALL],2)</f>
        <v>0.0009980793958</v>
      </c>
      <c r="I79" s="357">
        <f>CS_PID!I79/VLOOKUP($B79,표2[#ALL],2)</f>
        <v>0</v>
      </c>
      <c r="J79" s="357">
        <f>CS_PID!J79/VLOOKUP($B79,표2[#ALL],2)</f>
        <v>0.03892509644</v>
      </c>
      <c r="K79" s="357">
        <f>CS_PID!K79/VLOOKUP($B79,표2[#ALL],2)</f>
        <v>0.05788860496</v>
      </c>
      <c r="L79" s="357">
        <f>CS_PID!L79/VLOOKUP($B79,표2[#ALL],2)</f>
        <v>0.01097887335</v>
      </c>
      <c r="M79" s="357">
        <f>CS_PID!M79/VLOOKUP($B79,표2[#ALL],2)</f>
        <v>0.001996158792</v>
      </c>
      <c r="N79" s="357">
        <f>CS_PID!N79/VLOOKUP($B79,표2[#ALL],2)</f>
        <v>0</v>
      </c>
      <c r="O79" s="357">
        <f>CS_PID!O79/VLOOKUP($B79,표2[#ALL],2)</f>
        <v>0</v>
      </c>
      <c r="P79" s="357">
        <f>CS_PID!P79/VLOOKUP($B79,표2[#ALL],2)</f>
        <v>0.03293662006</v>
      </c>
      <c r="Q79" s="357">
        <f>CS_PID!Q79/VLOOKUP($B79,표2[#ALL],2)</f>
        <v>0.0948175426</v>
      </c>
      <c r="R79" s="357">
        <f>CS_PID!R79/VLOOKUP($B79,표2[#ALL],2)</f>
        <v>0.0229558261</v>
      </c>
      <c r="S79" s="357">
        <f>CS_PID!S79/VLOOKUP($B79,표2[#ALL],2)</f>
        <v>0.0009980793958</v>
      </c>
      <c r="T79" s="357">
        <f>CS_PID!T79/VLOOKUP($B79,표2[#ALL],2)</f>
        <v>0</v>
      </c>
      <c r="U79" s="357">
        <f>CS_PID!U79/VLOOKUP($B79,표2[#ALL],2)</f>
        <v>0</v>
      </c>
      <c r="V79" s="357">
        <f>CS_PID!V79/VLOOKUP($B79,표2[#ALL],2)</f>
        <v>0.009980793958</v>
      </c>
      <c r="W79" s="357">
        <f>CS_PID!W79/VLOOKUP($B79,표2[#ALL],2)</f>
        <v>0.08383866925</v>
      </c>
      <c r="X79" s="357">
        <f>CS_PID!X79/VLOOKUP($B79,표2[#ALL],2)</f>
        <v>0.04591165221</v>
      </c>
      <c r="Y79" s="357">
        <f>CS_PID!Y79/VLOOKUP($B79,표2[#ALL],2)</f>
        <v>0.001996158792</v>
      </c>
      <c r="Z79" s="357">
        <f>CS_PID!Z79/VLOOKUP($B79,표2[#ALL],2)</f>
        <v>0</v>
      </c>
      <c r="AA79" s="357">
        <f>CS_PID!AA79/VLOOKUP($B79,표2[#ALL],2)</f>
        <v>0</v>
      </c>
      <c r="AB79" s="357">
        <f>CS_PID!AB79/VLOOKUP($B79,표2[#ALL],2)</f>
        <v>0.006986555771</v>
      </c>
      <c r="AC79" s="357">
        <f>CS_PID!AC79/VLOOKUP($B79,표2[#ALL],2)</f>
        <v>0.08683290744</v>
      </c>
      <c r="AD79" s="357">
        <f>CS_PID!AD79/VLOOKUP($B79,표2[#ALL],2)</f>
        <v>0.01596927033</v>
      </c>
      <c r="AE79" s="357">
        <f>CS_PID!AE79/VLOOKUP($B79,표2[#ALL],2)</f>
        <v>0</v>
      </c>
      <c r="AF79" s="357">
        <f>CS_PID!AF79/VLOOKUP($B79,표2[#ALL],2)</f>
        <v>0</v>
      </c>
      <c r="AG79" s="357">
        <f>CS_PID!AG79/VLOOKUP($B79,표2[#ALL],2)</f>
        <v>0</v>
      </c>
      <c r="AH79" s="357">
        <f>CS_PID!AH79/VLOOKUP($B79,표2[#ALL],2)</f>
        <v>0.0009980793958</v>
      </c>
      <c r="AI79" s="357">
        <f>CS_PID!AI79/VLOOKUP($B79,표2[#ALL],2)</f>
        <v>0.02195774671</v>
      </c>
      <c r="AJ79" s="357">
        <f>CS_PID!AJ79/VLOOKUP($B79,표2[#ALL],2)</f>
        <v>0.008982714562</v>
      </c>
      <c r="AK79" s="357">
        <f>CS_PID!AK79/VLOOKUP($B79,표2[#ALL],2)</f>
        <v>0</v>
      </c>
      <c r="AL79" s="357">
        <f>CS_PID!AL79/VLOOKUP($B79,표2[#ALL],2)</f>
        <v>0</v>
      </c>
      <c r="AM79" s="357">
        <f>CS_PID!AM79/VLOOKUP($B79,표2[#ALL],2)</f>
        <v>0.002994238187</v>
      </c>
      <c r="AN79" s="357">
        <f>CS_PID!AN79/VLOOKUP($B79,표2[#ALL],2)</f>
        <v>0.01896350852</v>
      </c>
      <c r="AO79" s="357">
        <f>CS_PID!AO79/VLOOKUP($B79,표2[#ALL],2)</f>
        <v>0.004990396979</v>
      </c>
      <c r="AP79" s="357">
        <f>CS_PID!AP79/VLOOKUP($B79,표2[#ALL],2)</f>
        <v>0</v>
      </c>
      <c r="AQ79" s="357">
        <f>CS_PID!AQ79/VLOOKUP($B79,표2[#ALL],2)</f>
        <v>0</v>
      </c>
      <c r="AR79" s="357">
        <f>CS_PID!AR79/VLOOKUP($B79,표2[#ALL],2)</f>
        <v>0</v>
      </c>
      <c r="AS79" s="357">
        <f>CS_PID!AS79/VLOOKUP($B79,표2[#ALL],2)</f>
        <v>0.0009980793958</v>
      </c>
    </row>
    <row r="80">
      <c r="A80" s="173" t="s">
        <v>126</v>
      </c>
      <c r="B80" s="174">
        <v>223.0</v>
      </c>
      <c r="C80" s="358">
        <f>CS_PID!C80/VLOOKUP($B80,표2[#ALL],2)</f>
        <v>0</v>
      </c>
      <c r="D80" s="358">
        <f>CS_PID!D80/VLOOKUP($B80,표2[#ALL],2)</f>
        <v>0</v>
      </c>
      <c r="E80" s="358">
        <f>CS_PID!E80/VLOOKUP($B80,표2[#ALL],2)</f>
        <v>0</v>
      </c>
      <c r="F80" s="358">
        <f>CS_PID!F80/VLOOKUP($B80,표2[#ALL],2)</f>
        <v>0.01438937111</v>
      </c>
      <c r="G80" s="358">
        <f>CS_PID!G80/VLOOKUP($B80,표2[#ALL],2)</f>
        <v>0</v>
      </c>
      <c r="H80" s="358">
        <f>CS_PID!H80/VLOOKUP($B80,표2[#ALL],2)</f>
        <v>0</v>
      </c>
      <c r="I80" s="358">
        <f>CS_PID!I80/VLOOKUP($B80,표2[#ALL],2)</f>
        <v>0</v>
      </c>
      <c r="J80" s="358">
        <f>CS_PID!J80/VLOOKUP($B80,표2[#ALL],2)</f>
        <v>0.001798671389</v>
      </c>
      <c r="K80" s="358">
        <f>CS_PID!K80/VLOOKUP($B80,표2[#ALL],2)</f>
        <v>0.003597342777</v>
      </c>
      <c r="L80" s="358">
        <f>CS_PID!L80/VLOOKUP($B80,표2[#ALL],2)</f>
        <v>0.01438937111</v>
      </c>
      <c r="M80" s="358">
        <f>CS_PID!M80/VLOOKUP($B80,표2[#ALL],2)</f>
        <v>0</v>
      </c>
      <c r="N80" s="358">
        <f>CS_PID!N80/VLOOKUP($B80,표2[#ALL],2)</f>
        <v>0</v>
      </c>
      <c r="O80" s="358">
        <f>CS_PID!O80/VLOOKUP($B80,표2[#ALL],2)</f>
        <v>0</v>
      </c>
      <c r="P80" s="358">
        <f>CS_PID!P80/VLOOKUP($B80,표2[#ALL],2)</f>
        <v>0</v>
      </c>
      <c r="Q80" s="358">
        <f>CS_PID!Q80/VLOOKUP($B80,표2[#ALL],2)</f>
        <v>0.01259069972</v>
      </c>
      <c r="R80" s="358">
        <f>CS_PID!R80/VLOOKUP($B80,표2[#ALL],2)</f>
        <v>0.01978538527</v>
      </c>
      <c r="S80" s="358">
        <f>CS_PID!S80/VLOOKUP($B80,표2[#ALL],2)</f>
        <v>0</v>
      </c>
      <c r="T80" s="358">
        <f>CS_PID!T80/VLOOKUP($B80,표2[#ALL],2)</f>
        <v>0</v>
      </c>
      <c r="U80" s="358">
        <f>CS_PID!U80/VLOOKUP($B80,표2[#ALL],2)</f>
        <v>0</v>
      </c>
      <c r="V80" s="358">
        <f>CS_PID!V80/VLOOKUP($B80,표2[#ALL],2)</f>
        <v>0</v>
      </c>
      <c r="W80" s="358">
        <f>CS_PID!W80/VLOOKUP($B80,표2[#ALL],2)</f>
        <v>0</v>
      </c>
      <c r="X80" s="358">
        <f>CS_PID!X80/VLOOKUP($B80,표2[#ALL],2)</f>
        <v>0.01259069972</v>
      </c>
      <c r="Y80" s="358">
        <f>CS_PID!Y80/VLOOKUP($B80,표2[#ALL],2)</f>
        <v>0</v>
      </c>
      <c r="Z80" s="358">
        <f>CS_PID!Z80/VLOOKUP($B80,표2[#ALL],2)</f>
        <v>0</v>
      </c>
      <c r="AA80" s="358">
        <f>CS_PID!AA80/VLOOKUP($B80,표2[#ALL],2)</f>
        <v>0</v>
      </c>
      <c r="AB80" s="358">
        <f>CS_PID!AB80/VLOOKUP($B80,표2[#ALL],2)</f>
        <v>0</v>
      </c>
      <c r="AC80" s="358">
        <f>CS_PID!AC80/VLOOKUP($B80,표2[#ALL],2)</f>
        <v>0.001798671389</v>
      </c>
      <c r="AD80" s="358">
        <f>CS_PID!AD80/VLOOKUP($B80,표2[#ALL],2)</f>
        <v>0.005396014166</v>
      </c>
      <c r="AE80" s="358">
        <f>CS_PID!AE80/VLOOKUP($B80,표2[#ALL],2)</f>
        <v>0</v>
      </c>
      <c r="AF80" s="358">
        <f>CS_PID!AF80/VLOOKUP($B80,표2[#ALL],2)</f>
        <v>0</v>
      </c>
      <c r="AG80" s="358">
        <f>CS_PID!AG80/VLOOKUP($B80,표2[#ALL],2)</f>
        <v>0</v>
      </c>
      <c r="AH80" s="358">
        <f>CS_PID!AH80/VLOOKUP($B80,표2[#ALL],2)</f>
        <v>0</v>
      </c>
      <c r="AI80" s="358">
        <f>CS_PID!AI80/VLOOKUP($B80,표2[#ALL],2)</f>
        <v>0</v>
      </c>
      <c r="AJ80" s="358">
        <f>CS_PID!AJ80/VLOOKUP($B80,표2[#ALL],2)</f>
        <v>0.005396014166</v>
      </c>
      <c r="AK80" s="358">
        <f>CS_PID!AK80/VLOOKUP($B80,표2[#ALL],2)</f>
        <v>0</v>
      </c>
      <c r="AL80" s="358">
        <f>CS_PID!AL80/VLOOKUP($B80,표2[#ALL],2)</f>
        <v>0</v>
      </c>
      <c r="AM80" s="358">
        <f>CS_PID!AM80/VLOOKUP($B80,표2[#ALL],2)</f>
        <v>0</v>
      </c>
      <c r="AN80" s="358">
        <f>CS_PID!AN80/VLOOKUP($B80,표2[#ALL],2)</f>
        <v>0</v>
      </c>
      <c r="AO80" s="358">
        <f>CS_PID!AO80/VLOOKUP($B80,표2[#ALL],2)</f>
        <v>0</v>
      </c>
      <c r="AP80" s="358">
        <f>CS_PID!AP80/VLOOKUP($B80,표2[#ALL],2)</f>
        <v>0</v>
      </c>
      <c r="AQ80" s="358">
        <f>CS_PID!AQ80/VLOOKUP($B80,표2[#ALL],2)</f>
        <v>0</v>
      </c>
      <c r="AR80" s="358">
        <f>CS_PID!AR80/VLOOKUP($B80,표2[#ALL],2)</f>
        <v>0</v>
      </c>
      <c r="AS80" s="358">
        <f>CS_PID!AS80/VLOOKUP($B80,표2[#ALL],2)</f>
        <v>0</v>
      </c>
    </row>
    <row r="81">
      <c r="A81" s="173" t="s">
        <v>126</v>
      </c>
      <c r="B81" s="178">
        <v>224.0</v>
      </c>
      <c r="C81" s="359">
        <f>CS_PID!C81/VLOOKUP($B81,표2[#ALL],2)</f>
        <v>0</v>
      </c>
      <c r="D81" s="359">
        <f>CS_PID!D81/VLOOKUP($B81,표2[#ALL],2)</f>
        <v>0.002249956567</v>
      </c>
      <c r="E81" s="359">
        <f>CS_PID!E81/VLOOKUP($B81,표2[#ALL],2)</f>
        <v>0</v>
      </c>
      <c r="F81" s="359">
        <f>CS_PID!F81/VLOOKUP($B81,표2[#ALL],2)</f>
        <v>0.008999826269</v>
      </c>
      <c r="G81" s="359">
        <f>CS_PID!G81/VLOOKUP($B81,표2[#ALL],2)</f>
        <v>0</v>
      </c>
      <c r="H81" s="359">
        <f>CS_PID!H81/VLOOKUP($B81,표2[#ALL],2)</f>
        <v>0</v>
      </c>
      <c r="I81" s="359">
        <f>CS_PID!I81/VLOOKUP($B81,표2[#ALL],2)</f>
        <v>0</v>
      </c>
      <c r="J81" s="359">
        <f>CS_PID!J81/VLOOKUP($B81,표2[#ALL],2)</f>
        <v>0</v>
      </c>
      <c r="K81" s="359">
        <f>CS_PID!K81/VLOOKUP($B81,표2[#ALL],2)</f>
        <v>0.02024960911</v>
      </c>
      <c r="L81" s="359">
        <f>CS_PID!L81/VLOOKUP($B81,표2[#ALL],2)</f>
        <v>0.01124978284</v>
      </c>
      <c r="M81" s="359">
        <f>CS_PID!M81/VLOOKUP($B81,표2[#ALL],2)</f>
        <v>0</v>
      </c>
      <c r="N81" s="359">
        <f>CS_PID!N81/VLOOKUP($B81,표2[#ALL],2)</f>
        <v>0</v>
      </c>
      <c r="O81" s="359">
        <f>CS_PID!O81/VLOOKUP($B81,표2[#ALL],2)</f>
        <v>0</v>
      </c>
      <c r="P81" s="359">
        <f>CS_PID!P81/VLOOKUP($B81,표2[#ALL],2)</f>
        <v>0</v>
      </c>
      <c r="Q81" s="359">
        <f>CS_PID!Q81/VLOOKUP($B81,표2[#ALL],2)</f>
        <v>0.01124978284</v>
      </c>
      <c r="R81" s="359">
        <f>CS_PID!R81/VLOOKUP($B81,표2[#ALL],2)</f>
        <v>0.02024960911</v>
      </c>
      <c r="S81" s="359">
        <f>CS_PID!S81/VLOOKUP($B81,표2[#ALL],2)</f>
        <v>0.002249956567</v>
      </c>
      <c r="T81" s="359">
        <f>CS_PID!T81/VLOOKUP($B81,표2[#ALL],2)</f>
        <v>0</v>
      </c>
      <c r="U81" s="359">
        <f>CS_PID!U81/VLOOKUP($B81,표2[#ALL],2)</f>
        <v>0</v>
      </c>
      <c r="V81" s="359">
        <f>CS_PID!V81/VLOOKUP($B81,표2[#ALL],2)</f>
        <v>0</v>
      </c>
      <c r="W81" s="359">
        <f>CS_PID!W81/VLOOKUP($B81,표2[#ALL],2)</f>
        <v>0.004499913134</v>
      </c>
      <c r="X81" s="359">
        <f>CS_PID!X81/VLOOKUP($B81,표2[#ALL],2)</f>
        <v>0.006749869702</v>
      </c>
      <c r="Y81" s="359">
        <f>CS_PID!Y81/VLOOKUP($B81,표2[#ALL],2)</f>
        <v>0</v>
      </c>
      <c r="Z81" s="359">
        <f>CS_PID!Z81/VLOOKUP($B81,표2[#ALL],2)</f>
        <v>0</v>
      </c>
      <c r="AA81" s="359">
        <f>CS_PID!AA81/VLOOKUP($B81,표2[#ALL],2)</f>
        <v>0</v>
      </c>
      <c r="AB81" s="359">
        <f>CS_PID!AB81/VLOOKUP($B81,표2[#ALL],2)</f>
        <v>0</v>
      </c>
      <c r="AC81" s="359">
        <f>CS_PID!AC81/VLOOKUP($B81,표2[#ALL],2)</f>
        <v>0</v>
      </c>
      <c r="AD81" s="359">
        <f>CS_PID!AD81/VLOOKUP($B81,표2[#ALL],2)</f>
        <v>0.004499913134</v>
      </c>
      <c r="AE81" s="359">
        <f>CS_PID!AE81/VLOOKUP($B81,표2[#ALL],2)</f>
        <v>0.002249956567</v>
      </c>
      <c r="AF81" s="359">
        <f>CS_PID!AF81/VLOOKUP($B81,표2[#ALL],2)</f>
        <v>0</v>
      </c>
      <c r="AG81" s="359">
        <f>CS_PID!AG81/VLOOKUP($B81,표2[#ALL],2)</f>
        <v>0</v>
      </c>
      <c r="AH81" s="359">
        <f>CS_PID!AH81/VLOOKUP($B81,표2[#ALL],2)</f>
        <v>0</v>
      </c>
      <c r="AI81" s="359">
        <f>CS_PID!AI81/VLOOKUP($B81,표2[#ALL],2)</f>
        <v>0</v>
      </c>
      <c r="AJ81" s="359">
        <f>CS_PID!AJ81/VLOOKUP($B81,표2[#ALL],2)</f>
        <v>0.002249956567</v>
      </c>
      <c r="AK81" s="359">
        <f>CS_PID!AK81/VLOOKUP($B81,표2[#ALL],2)</f>
        <v>0</v>
      </c>
      <c r="AL81" s="359">
        <f>CS_PID!AL81/VLOOKUP($B81,표2[#ALL],2)</f>
        <v>0</v>
      </c>
      <c r="AM81" s="359">
        <f>CS_PID!AM81/VLOOKUP($B81,표2[#ALL],2)</f>
        <v>0</v>
      </c>
      <c r="AN81" s="359">
        <f>CS_PID!AN81/VLOOKUP($B81,표2[#ALL],2)</f>
        <v>0</v>
      </c>
      <c r="AO81" s="359">
        <f>CS_PID!AO81/VLOOKUP($B81,표2[#ALL],2)</f>
        <v>0</v>
      </c>
      <c r="AP81" s="359">
        <f>CS_PID!AP81/VLOOKUP($B81,표2[#ALL],2)</f>
        <v>0</v>
      </c>
      <c r="AQ81" s="359">
        <f>CS_PID!AQ81/VLOOKUP($B81,표2[#ALL],2)</f>
        <v>0</v>
      </c>
      <c r="AR81" s="359">
        <f>CS_PID!AR81/VLOOKUP($B81,표2[#ALL],2)</f>
        <v>0</v>
      </c>
      <c r="AS81" s="359">
        <f>CS_PID!AS81/VLOOKUP($B81,표2[#ALL],2)</f>
        <v>0</v>
      </c>
    </row>
    <row r="82">
      <c r="A82" s="173" t="s">
        <v>126</v>
      </c>
      <c r="B82" s="178">
        <v>225.0</v>
      </c>
      <c r="C82" s="359">
        <f>CS_PID!C82/VLOOKUP($B82,표2[#ALL],2)</f>
        <v>0</v>
      </c>
      <c r="D82" s="359">
        <f>CS_PID!D82/VLOOKUP($B82,표2[#ALL],2)</f>
        <v>0</v>
      </c>
      <c r="E82" s="359">
        <f>CS_PID!E82/VLOOKUP($B82,표2[#ALL],2)</f>
        <v>0</v>
      </c>
      <c r="F82" s="359">
        <f>CS_PID!F82/VLOOKUP($B82,표2[#ALL],2)</f>
        <v>0</v>
      </c>
      <c r="G82" s="359">
        <f>CS_PID!G82/VLOOKUP($B82,표2[#ALL],2)</f>
        <v>0</v>
      </c>
      <c r="H82" s="359">
        <f>CS_PID!H82/VLOOKUP($B82,표2[#ALL],2)</f>
        <v>0</v>
      </c>
      <c r="I82" s="359">
        <f>CS_PID!I82/VLOOKUP($B82,표2[#ALL],2)</f>
        <v>0</v>
      </c>
      <c r="J82" s="359">
        <f>CS_PID!J82/VLOOKUP($B82,표2[#ALL],2)</f>
        <v>0</v>
      </c>
      <c r="K82" s="359">
        <f>CS_PID!K82/VLOOKUP($B82,표2[#ALL],2)</f>
        <v>0</v>
      </c>
      <c r="L82" s="359">
        <f>CS_PID!L82/VLOOKUP($B82,표2[#ALL],2)</f>
        <v>0.03852910936</v>
      </c>
      <c r="M82" s="359">
        <f>CS_PID!M82/VLOOKUP($B82,표2[#ALL],2)</f>
        <v>0</v>
      </c>
      <c r="N82" s="359">
        <f>CS_PID!N82/VLOOKUP($B82,표2[#ALL],2)</f>
        <v>0</v>
      </c>
      <c r="O82" s="359">
        <f>CS_PID!O82/VLOOKUP($B82,표2[#ALL],2)</f>
        <v>0</v>
      </c>
      <c r="P82" s="359">
        <f>CS_PID!P82/VLOOKUP($B82,표2[#ALL],2)</f>
        <v>0</v>
      </c>
      <c r="Q82" s="359">
        <f>CS_PID!Q82/VLOOKUP($B82,표2[#ALL],2)</f>
        <v>0.01926455468</v>
      </c>
      <c r="R82" s="359">
        <f>CS_PID!R82/VLOOKUP($B82,표2[#ALL],2)</f>
        <v>0</v>
      </c>
      <c r="S82" s="359">
        <f>CS_PID!S82/VLOOKUP($B82,표2[#ALL],2)</f>
        <v>0</v>
      </c>
      <c r="T82" s="359">
        <f>CS_PID!T82/VLOOKUP($B82,표2[#ALL],2)</f>
        <v>0</v>
      </c>
      <c r="U82" s="359">
        <f>CS_PID!U82/VLOOKUP($B82,표2[#ALL],2)</f>
        <v>0</v>
      </c>
      <c r="V82" s="359">
        <f>CS_PID!V82/VLOOKUP($B82,표2[#ALL],2)</f>
        <v>0</v>
      </c>
      <c r="W82" s="359">
        <f>CS_PID!W82/VLOOKUP($B82,표2[#ALL],2)</f>
        <v>0</v>
      </c>
      <c r="X82" s="359">
        <f>CS_PID!X82/VLOOKUP($B82,표2[#ALL],2)</f>
        <v>0</v>
      </c>
      <c r="Y82" s="359">
        <f>CS_PID!Y82/VLOOKUP($B82,표2[#ALL],2)</f>
        <v>0</v>
      </c>
      <c r="Z82" s="359">
        <f>CS_PID!Z82/VLOOKUP($B82,표2[#ALL],2)</f>
        <v>0</v>
      </c>
      <c r="AA82" s="359">
        <f>CS_PID!AA82/VLOOKUP($B82,표2[#ALL],2)</f>
        <v>0</v>
      </c>
      <c r="AB82" s="359">
        <f>CS_PID!AB82/VLOOKUP($B82,표2[#ALL],2)</f>
        <v>0</v>
      </c>
      <c r="AC82" s="359">
        <f>CS_PID!AC82/VLOOKUP($B82,표2[#ALL],2)</f>
        <v>0</v>
      </c>
      <c r="AD82" s="359">
        <f>CS_PID!AD82/VLOOKUP($B82,표2[#ALL],2)</f>
        <v>0</v>
      </c>
      <c r="AE82" s="359">
        <f>CS_PID!AE82/VLOOKUP($B82,표2[#ALL],2)</f>
        <v>0</v>
      </c>
      <c r="AF82" s="359">
        <f>CS_PID!AF82/VLOOKUP($B82,표2[#ALL],2)</f>
        <v>0</v>
      </c>
      <c r="AG82" s="359">
        <f>CS_PID!AG82/VLOOKUP($B82,표2[#ALL],2)</f>
        <v>0</v>
      </c>
      <c r="AH82" s="359">
        <f>CS_PID!AH82/VLOOKUP($B82,표2[#ALL],2)</f>
        <v>0</v>
      </c>
      <c r="AI82" s="359">
        <f>CS_PID!AI82/VLOOKUP($B82,표2[#ALL],2)</f>
        <v>0</v>
      </c>
      <c r="AJ82" s="359">
        <f>CS_PID!AJ82/VLOOKUP($B82,표2[#ALL],2)</f>
        <v>0</v>
      </c>
      <c r="AK82" s="359">
        <f>CS_PID!AK82/VLOOKUP($B82,표2[#ALL],2)</f>
        <v>0</v>
      </c>
      <c r="AL82" s="359">
        <f>CS_PID!AL82/VLOOKUP($B82,표2[#ALL],2)</f>
        <v>0</v>
      </c>
      <c r="AM82" s="359">
        <f>CS_PID!AM82/VLOOKUP($B82,표2[#ALL],2)</f>
        <v>0</v>
      </c>
      <c r="AN82" s="359">
        <f>CS_PID!AN82/VLOOKUP($B82,표2[#ALL],2)</f>
        <v>0</v>
      </c>
      <c r="AO82" s="359">
        <f>CS_PID!AO82/VLOOKUP($B82,표2[#ALL],2)</f>
        <v>0</v>
      </c>
      <c r="AP82" s="359">
        <f>CS_PID!AP82/VLOOKUP($B82,표2[#ALL],2)</f>
        <v>0</v>
      </c>
      <c r="AQ82" s="359">
        <f>CS_PID!AQ82/VLOOKUP($B82,표2[#ALL],2)</f>
        <v>0</v>
      </c>
      <c r="AR82" s="359">
        <f>CS_PID!AR82/VLOOKUP($B82,표2[#ALL],2)</f>
        <v>0</v>
      </c>
      <c r="AS82" s="359">
        <f>CS_PID!AS82/VLOOKUP($B82,표2[#ALL],2)</f>
        <v>0</v>
      </c>
    </row>
    <row r="83">
      <c r="A83" s="173" t="s">
        <v>126</v>
      </c>
      <c r="B83" s="178">
        <v>226.0</v>
      </c>
      <c r="C83" s="359">
        <f>CS_PID!C83/VLOOKUP($B83,표2[#ALL],2)</f>
        <v>0</v>
      </c>
      <c r="D83" s="359">
        <f>CS_PID!D83/VLOOKUP($B83,표2[#ALL],2)</f>
        <v>0</v>
      </c>
      <c r="E83" s="359">
        <f>CS_PID!E83/VLOOKUP($B83,표2[#ALL],2)</f>
        <v>0</v>
      </c>
      <c r="F83" s="359">
        <f>CS_PID!F83/VLOOKUP($B83,표2[#ALL],2)</f>
        <v>0.009980793955</v>
      </c>
      <c r="G83" s="359">
        <f>CS_PID!G83/VLOOKUP($B83,표2[#ALL],2)</f>
        <v>0.002994238186</v>
      </c>
      <c r="H83" s="359">
        <f>CS_PID!H83/VLOOKUP($B83,표2[#ALL],2)</f>
        <v>0</v>
      </c>
      <c r="I83" s="359">
        <f>CS_PID!I83/VLOOKUP($B83,표2[#ALL],2)</f>
        <v>0</v>
      </c>
      <c r="J83" s="359">
        <f>CS_PID!J83/VLOOKUP($B83,표2[#ALL],2)</f>
        <v>0.0009980793955</v>
      </c>
      <c r="K83" s="359">
        <f>CS_PID!K83/VLOOKUP($B83,표2[#ALL],2)</f>
        <v>0.01497119093</v>
      </c>
      <c r="L83" s="359">
        <f>CS_PID!L83/VLOOKUP($B83,표2[#ALL],2)</f>
        <v>0.008982714559</v>
      </c>
      <c r="M83" s="359">
        <f>CS_PID!M83/VLOOKUP($B83,표2[#ALL],2)</f>
        <v>0</v>
      </c>
      <c r="N83" s="359">
        <f>CS_PID!N83/VLOOKUP($B83,표2[#ALL],2)</f>
        <v>0</v>
      </c>
      <c r="O83" s="359">
        <f>CS_PID!O83/VLOOKUP($B83,표2[#ALL],2)</f>
        <v>0</v>
      </c>
      <c r="P83" s="359">
        <f>CS_PID!P83/VLOOKUP($B83,표2[#ALL],2)</f>
        <v>0</v>
      </c>
      <c r="Q83" s="359">
        <f>CS_PID!Q83/VLOOKUP($B83,표2[#ALL],2)</f>
        <v>0.01397311154</v>
      </c>
      <c r="R83" s="359">
        <f>CS_PID!R83/VLOOKUP($B83,표2[#ALL],2)</f>
        <v>0.01097887335</v>
      </c>
      <c r="S83" s="359">
        <f>CS_PID!S83/VLOOKUP($B83,표2[#ALL],2)</f>
        <v>0.002994238186</v>
      </c>
      <c r="T83" s="359">
        <f>CS_PID!T83/VLOOKUP($B83,표2[#ALL],2)</f>
        <v>0</v>
      </c>
      <c r="U83" s="359">
        <f>CS_PID!U83/VLOOKUP($B83,표2[#ALL],2)</f>
        <v>0</v>
      </c>
      <c r="V83" s="359">
        <f>CS_PID!V83/VLOOKUP($B83,표2[#ALL],2)</f>
        <v>0</v>
      </c>
      <c r="W83" s="359">
        <f>CS_PID!W83/VLOOKUP($B83,표2[#ALL],2)</f>
        <v>0.002994238186</v>
      </c>
      <c r="X83" s="359">
        <f>CS_PID!X83/VLOOKUP($B83,표2[#ALL],2)</f>
        <v>0.01896350851</v>
      </c>
      <c r="Y83" s="359">
        <f>CS_PID!Y83/VLOOKUP($B83,표2[#ALL],2)</f>
        <v>0.006986555768</v>
      </c>
      <c r="Z83" s="359">
        <f>CS_PID!Z83/VLOOKUP($B83,표2[#ALL],2)</f>
        <v>0</v>
      </c>
      <c r="AA83" s="359">
        <f>CS_PID!AA83/VLOOKUP($B83,표2[#ALL],2)</f>
        <v>0</v>
      </c>
      <c r="AB83" s="359">
        <f>CS_PID!AB83/VLOOKUP($B83,표2[#ALL],2)</f>
        <v>0</v>
      </c>
      <c r="AC83" s="359">
        <f>CS_PID!AC83/VLOOKUP($B83,표2[#ALL],2)</f>
        <v>0.002994238186</v>
      </c>
      <c r="AD83" s="359">
        <f>CS_PID!AD83/VLOOKUP($B83,표2[#ALL],2)</f>
        <v>0.003992317582</v>
      </c>
      <c r="AE83" s="359">
        <f>CS_PID!AE83/VLOOKUP($B83,표2[#ALL],2)</f>
        <v>0</v>
      </c>
      <c r="AF83" s="359">
        <f>CS_PID!AF83/VLOOKUP($B83,표2[#ALL],2)</f>
        <v>0</v>
      </c>
      <c r="AG83" s="359">
        <f>CS_PID!AG83/VLOOKUP($B83,표2[#ALL],2)</f>
        <v>0</v>
      </c>
      <c r="AH83" s="359">
        <f>CS_PID!AH83/VLOOKUP($B83,표2[#ALL],2)</f>
        <v>0</v>
      </c>
      <c r="AI83" s="359">
        <f>CS_PID!AI83/VLOOKUP($B83,표2[#ALL],2)</f>
        <v>0</v>
      </c>
      <c r="AJ83" s="359">
        <f>CS_PID!AJ83/VLOOKUP($B83,표2[#ALL],2)</f>
        <v>0.002994238186</v>
      </c>
      <c r="AK83" s="359">
        <f>CS_PID!AK83/VLOOKUP($B83,표2[#ALL],2)</f>
        <v>0</v>
      </c>
      <c r="AL83" s="359">
        <f>CS_PID!AL83/VLOOKUP($B83,표2[#ALL],2)</f>
        <v>0</v>
      </c>
      <c r="AM83" s="359">
        <f>CS_PID!AM83/VLOOKUP($B83,표2[#ALL],2)</f>
        <v>0</v>
      </c>
      <c r="AN83" s="359">
        <f>CS_PID!AN83/VLOOKUP($B83,표2[#ALL],2)</f>
        <v>0</v>
      </c>
      <c r="AO83" s="359">
        <f>CS_PID!AO83/VLOOKUP($B83,표2[#ALL],2)</f>
        <v>0.001996158791</v>
      </c>
      <c r="AP83" s="359">
        <f>CS_PID!AP83/VLOOKUP($B83,표2[#ALL],2)</f>
        <v>0</v>
      </c>
      <c r="AQ83" s="359">
        <f>CS_PID!AQ83/VLOOKUP($B83,표2[#ALL],2)</f>
        <v>0</v>
      </c>
      <c r="AR83" s="359">
        <f>CS_PID!AR83/VLOOKUP($B83,표2[#ALL],2)</f>
        <v>0</v>
      </c>
      <c r="AS83" s="359">
        <f>CS_PID!AS83/VLOOKUP($B83,표2[#ALL],2)</f>
        <v>0</v>
      </c>
    </row>
    <row r="84">
      <c r="A84" s="173" t="s">
        <v>126</v>
      </c>
      <c r="B84" s="178">
        <v>348.0</v>
      </c>
      <c r="C84" s="359">
        <f>CS_PID!C84/VLOOKUP($B84,표2[#ALL],2)</f>
        <v>0</v>
      </c>
      <c r="D84" s="359">
        <f>CS_PID!D84/VLOOKUP($B84,표2[#ALL],2)</f>
        <v>0</v>
      </c>
      <c r="E84" s="359">
        <f>CS_PID!E84/VLOOKUP($B84,표2[#ALL],2)</f>
        <v>0.002913821463</v>
      </c>
      <c r="F84" s="359">
        <f>CS_PID!F84/VLOOKUP($B84,표2[#ALL],2)</f>
        <v>0.01165528585</v>
      </c>
      <c r="G84" s="359">
        <f>CS_PID!G84/VLOOKUP($B84,표2[#ALL],2)</f>
        <v>0.002913821463</v>
      </c>
      <c r="H84" s="359">
        <f>CS_PID!H84/VLOOKUP($B84,표2[#ALL],2)</f>
        <v>0</v>
      </c>
      <c r="I84" s="359">
        <f>CS_PID!I84/VLOOKUP($B84,표2[#ALL],2)</f>
        <v>0</v>
      </c>
      <c r="J84" s="359">
        <f>CS_PID!J84/VLOOKUP($B84,표2[#ALL],2)</f>
        <v>0.01165528585</v>
      </c>
      <c r="K84" s="359">
        <f>CS_PID!K84/VLOOKUP($B84,표2[#ALL],2)</f>
        <v>0.02622439317</v>
      </c>
      <c r="L84" s="359">
        <f>CS_PID!L84/VLOOKUP($B84,표2[#ALL],2)</f>
        <v>0.0320520361</v>
      </c>
      <c r="M84" s="359">
        <f>CS_PID!M84/VLOOKUP($B84,표2[#ALL],2)</f>
        <v>0</v>
      </c>
      <c r="N84" s="359">
        <f>CS_PID!N84/VLOOKUP($B84,표2[#ALL],2)</f>
        <v>0</v>
      </c>
      <c r="O84" s="359">
        <f>CS_PID!O84/VLOOKUP($B84,표2[#ALL],2)</f>
        <v>0</v>
      </c>
      <c r="P84" s="359">
        <f>CS_PID!P84/VLOOKUP($B84,표2[#ALL],2)</f>
        <v>0</v>
      </c>
      <c r="Q84" s="359">
        <f>CS_PID!Q84/VLOOKUP($B84,표2[#ALL],2)</f>
        <v>0.01165528585</v>
      </c>
      <c r="R84" s="359">
        <f>CS_PID!R84/VLOOKUP($B84,표2[#ALL],2)</f>
        <v>0.00874146439</v>
      </c>
      <c r="S84" s="359">
        <f>CS_PID!S84/VLOOKUP($B84,표2[#ALL],2)</f>
        <v>0</v>
      </c>
      <c r="T84" s="359">
        <f>CS_PID!T84/VLOOKUP($B84,표2[#ALL],2)</f>
        <v>0</v>
      </c>
      <c r="U84" s="359">
        <f>CS_PID!U84/VLOOKUP($B84,표2[#ALL],2)</f>
        <v>0</v>
      </c>
      <c r="V84" s="359">
        <f>CS_PID!V84/VLOOKUP($B84,표2[#ALL],2)</f>
        <v>0</v>
      </c>
      <c r="W84" s="359">
        <f>CS_PID!W84/VLOOKUP($B84,표2[#ALL],2)</f>
        <v>0</v>
      </c>
      <c r="X84" s="359">
        <f>CS_PID!X84/VLOOKUP($B84,표2[#ALL],2)</f>
        <v>0.01748292878</v>
      </c>
      <c r="Y84" s="359">
        <f>CS_PID!Y84/VLOOKUP($B84,표2[#ALL],2)</f>
        <v>0</v>
      </c>
      <c r="Z84" s="359">
        <f>CS_PID!Z84/VLOOKUP($B84,표2[#ALL],2)</f>
        <v>0</v>
      </c>
      <c r="AA84" s="359">
        <f>CS_PID!AA84/VLOOKUP($B84,표2[#ALL],2)</f>
        <v>0</v>
      </c>
      <c r="AB84" s="359">
        <f>CS_PID!AB84/VLOOKUP($B84,표2[#ALL],2)</f>
        <v>0</v>
      </c>
      <c r="AC84" s="359">
        <f>CS_PID!AC84/VLOOKUP($B84,표2[#ALL],2)</f>
        <v>0.002913821463</v>
      </c>
      <c r="AD84" s="359">
        <f>CS_PID!AD84/VLOOKUP($B84,표2[#ALL],2)</f>
        <v>0</v>
      </c>
      <c r="AE84" s="359">
        <f>CS_PID!AE84/VLOOKUP($B84,표2[#ALL],2)</f>
        <v>0.002913821463</v>
      </c>
      <c r="AF84" s="359">
        <f>CS_PID!AF84/VLOOKUP($B84,표2[#ALL],2)</f>
        <v>0</v>
      </c>
      <c r="AG84" s="359">
        <f>CS_PID!AG84/VLOOKUP($B84,표2[#ALL],2)</f>
        <v>0</v>
      </c>
      <c r="AH84" s="359">
        <f>CS_PID!AH84/VLOOKUP($B84,표2[#ALL],2)</f>
        <v>0</v>
      </c>
      <c r="AI84" s="359">
        <f>CS_PID!AI84/VLOOKUP($B84,표2[#ALL],2)</f>
        <v>0</v>
      </c>
      <c r="AJ84" s="359">
        <f>CS_PID!AJ84/VLOOKUP($B84,표2[#ALL],2)</f>
        <v>0.002913821463</v>
      </c>
      <c r="AK84" s="359">
        <f>CS_PID!AK84/VLOOKUP($B84,표2[#ALL],2)</f>
        <v>0</v>
      </c>
      <c r="AL84" s="359">
        <f>CS_PID!AL84/VLOOKUP($B84,표2[#ALL],2)</f>
        <v>0</v>
      </c>
      <c r="AM84" s="359">
        <f>CS_PID!AM84/VLOOKUP($B84,표2[#ALL],2)</f>
        <v>0</v>
      </c>
      <c r="AN84" s="359">
        <f>CS_PID!AN84/VLOOKUP($B84,표2[#ALL],2)</f>
        <v>0</v>
      </c>
      <c r="AO84" s="359">
        <f>CS_PID!AO84/VLOOKUP($B84,표2[#ALL],2)</f>
        <v>0</v>
      </c>
      <c r="AP84" s="359">
        <f>CS_PID!AP84/VLOOKUP($B84,표2[#ALL],2)</f>
        <v>0.002913821463</v>
      </c>
      <c r="AQ84" s="359">
        <f>CS_PID!AQ84/VLOOKUP($B84,표2[#ALL],2)</f>
        <v>0</v>
      </c>
      <c r="AR84" s="359">
        <f>CS_PID!AR84/VLOOKUP($B84,표2[#ALL],2)</f>
        <v>0</v>
      </c>
      <c r="AS84" s="359">
        <f>CS_PID!AS84/VLOOKUP($B84,표2[#ALL],2)</f>
        <v>0</v>
      </c>
    </row>
    <row r="85">
      <c r="A85" s="173" t="s">
        <v>126</v>
      </c>
      <c r="B85" s="178">
        <v>349.0</v>
      </c>
      <c r="C85" s="359">
        <f>CS_PID!C85/VLOOKUP($B85,표2[#ALL],2)</f>
        <v>0</v>
      </c>
      <c r="D85" s="359">
        <f>CS_PID!D85/VLOOKUP($B85,표2[#ALL],2)</f>
        <v>0</v>
      </c>
      <c r="E85" s="359">
        <f>CS_PID!E85/VLOOKUP($B85,표2[#ALL],2)</f>
        <v>0.004475430996</v>
      </c>
      <c r="F85" s="359">
        <f>CS_PID!F85/VLOOKUP($B85,표2[#ALL],2)</f>
        <v>0.008950861992</v>
      </c>
      <c r="G85" s="359">
        <f>CS_PID!G85/VLOOKUP($B85,표2[#ALL],2)</f>
        <v>0</v>
      </c>
      <c r="H85" s="359">
        <f>CS_PID!H85/VLOOKUP($B85,표2[#ALL],2)</f>
        <v>0</v>
      </c>
      <c r="I85" s="359">
        <f>CS_PID!I85/VLOOKUP($B85,표2[#ALL],2)</f>
        <v>0</v>
      </c>
      <c r="J85" s="359">
        <f>CS_PID!J85/VLOOKUP($B85,표2[#ALL],2)</f>
        <v>0.004475430996</v>
      </c>
      <c r="K85" s="359">
        <f>CS_PID!K85/VLOOKUP($B85,표2[#ALL],2)</f>
        <v>0.008950861992</v>
      </c>
      <c r="L85" s="359">
        <f>CS_PID!L85/VLOOKUP($B85,표2[#ALL],2)</f>
        <v>0.02685258598</v>
      </c>
      <c r="M85" s="359">
        <f>CS_PID!M85/VLOOKUP($B85,표2[#ALL],2)</f>
        <v>0.004475430996</v>
      </c>
      <c r="N85" s="359">
        <f>CS_PID!N85/VLOOKUP($B85,표2[#ALL],2)</f>
        <v>0</v>
      </c>
      <c r="O85" s="359">
        <f>CS_PID!O85/VLOOKUP($B85,표2[#ALL],2)</f>
        <v>0</v>
      </c>
      <c r="P85" s="359">
        <f>CS_PID!P85/VLOOKUP($B85,표2[#ALL],2)</f>
        <v>0.008950861992</v>
      </c>
      <c r="Q85" s="359">
        <f>CS_PID!Q85/VLOOKUP($B85,표2[#ALL],2)</f>
        <v>0.02685258598</v>
      </c>
      <c r="R85" s="359">
        <f>CS_PID!R85/VLOOKUP($B85,표2[#ALL],2)</f>
        <v>0.008950861992</v>
      </c>
      <c r="S85" s="359">
        <f>CS_PID!S85/VLOOKUP($B85,표2[#ALL],2)</f>
        <v>0</v>
      </c>
      <c r="T85" s="359">
        <f>CS_PID!T85/VLOOKUP($B85,표2[#ALL],2)</f>
        <v>0</v>
      </c>
      <c r="U85" s="359">
        <f>CS_PID!U85/VLOOKUP($B85,표2[#ALL],2)</f>
        <v>0</v>
      </c>
      <c r="V85" s="359">
        <f>CS_PID!V85/VLOOKUP($B85,표2[#ALL],2)</f>
        <v>0</v>
      </c>
      <c r="W85" s="359">
        <f>CS_PID!W85/VLOOKUP($B85,표2[#ALL],2)</f>
        <v>0.008950861992</v>
      </c>
      <c r="X85" s="359">
        <f>CS_PID!X85/VLOOKUP($B85,표2[#ALL],2)</f>
        <v>0.01790172398</v>
      </c>
      <c r="Y85" s="359">
        <f>CS_PID!Y85/VLOOKUP($B85,표2[#ALL],2)</f>
        <v>0</v>
      </c>
      <c r="Z85" s="359">
        <f>CS_PID!Z85/VLOOKUP($B85,표2[#ALL],2)</f>
        <v>0</v>
      </c>
      <c r="AA85" s="359">
        <f>CS_PID!AA85/VLOOKUP($B85,표2[#ALL],2)</f>
        <v>0</v>
      </c>
      <c r="AB85" s="359">
        <f>CS_PID!AB85/VLOOKUP($B85,표2[#ALL],2)</f>
        <v>0</v>
      </c>
      <c r="AC85" s="359">
        <f>CS_PID!AC85/VLOOKUP($B85,표2[#ALL],2)</f>
        <v>0</v>
      </c>
      <c r="AD85" s="359">
        <f>CS_PID!AD85/VLOOKUP($B85,표2[#ALL],2)</f>
        <v>0.01342629299</v>
      </c>
      <c r="AE85" s="359">
        <f>CS_PID!AE85/VLOOKUP($B85,표2[#ALL],2)</f>
        <v>0.004475430996</v>
      </c>
      <c r="AF85" s="359">
        <f>CS_PID!AF85/VLOOKUP($B85,표2[#ALL],2)</f>
        <v>0</v>
      </c>
      <c r="AG85" s="359">
        <f>CS_PID!AG85/VLOOKUP($B85,표2[#ALL],2)</f>
        <v>0</v>
      </c>
      <c r="AH85" s="359">
        <f>CS_PID!AH85/VLOOKUP($B85,표2[#ALL],2)</f>
        <v>0</v>
      </c>
      <c r="AI85" s="359">
        <f>CS_PID!AI85/VLOOKUP($B85,표2[#ALL],2)</f>
        <v>0</v>
      </c>
      <c r="AJ85" s="359">
        <f>CS_PID!AJ85/VLOOKUP($B85,표2[#ALL],2)</f>
        <v>0.004475430996</v>
      </c>
      <c r="AK85" s="359">
        <f>CS_PID!AK85/VLOOKUP($B85,표2[#ALL],2)</f>
        <v>0</v>
      </c>
      <c r="AL85" s="359">
        <f>CS_PID!AL85/VLOOKUP($B85,표2[#ALL],2)</f>
        <v>0</v>
      </c>
      <c r="AM85" s="359">
        <f>CS_PID!AM85/VLOOKUP($B85,표2[#ALL],2)</f>
        <v>0</v>
      </c>
      <c r="AN85" s="359">
        <f>CS_PID!AN85/VLOOKUP($B85,표2[#ALL],2)</f>
        <v>0</v>
      </c>
      <c r="AO85" s="359">
        <f>CS_PID!AO85/VLOOKUP($B85,표2[#ALL],2)</f>
        <v>0</v>
      </c>
      <c r="AP85" s="359">
        <f>CS_PID!AP85/VLOOKUP($B85,표2[#ALL],2)</f>
        <v>0</v>
      </c>
      <c r="AQ85" s="359">
        <f>CS_PID!AQ85/VLOOKUP($B85,표2[#ALL],2)</f>
        <v>0</v>
      </c>
      <c r="AR85" s="359">
        <f>CS_PID!AR85/VLOOKUP($B85,표2[#ALL],2)</f>
        <v>0</v>
      </c>
      <c r="AS85" s="359">
        <f>CS_PID!AS85/VLOOKUP($B85,표2[#ALL],2)</f>
        <v>0</v>
      </c>
    </row>
    <row r="86">
      <c r="A86" s="173" t="s">
        <v>126</v>
      </c>
      <c r="B86" s="178">
        <v>350.0</v>
      </c>
      <c r="C86" s="359">
        <f>CS_PID!C86/VLOOKUP($B86,표2[#ALL],2)</f>
        <v>0</v>
      </c>
      <c r="D86" s="359">
        <f>CS_PID!D86/VLOOKUP($B86,표2[#ALL],2)</f>
        <v>0.001340336249</v>
      </c>
      <c r="E86" s="359">
        <f>CS_PID!E86/VLOOKUP($B86,표2[#ALL],2)</f>
        <v>0.005361344996</v>
      </c>
      <c r="F86" s="359">
        <f>CS_PID!F86/VLOOKUP($B86,표2[#ALL],2)</f>
        <v>0.01072268999</v>
      </c>
      <c r="G86" s="359">
        <f>CS_PID!G86/VLOOKUP($B86,표2[#ALL],2)</f>
        <v>0.002680672498</v>
      </c>
      <c r="H86" s="359">
        <f>CS_PID!H86/VLOOKUP($B86,표2[#ALL],2)</f>
        <v>0</v>
      </c>
      <c r="I86" s="359">
        <f>CS_PID!I86/VLOOKUP($B86,표2[#ALL],2)</f>
        <v>0</v>
      </c>
      <c r="J86" s="359">
        <f>CS_PID!J86/VLOOKUP($B86,표2[#ALL],2)</f>
        <v>0.002680672498</v>
      </c>
      <c r="K86" s="359">
        <f>CS_PID!K86/VLOOKUP($B86,표2[#ALL],2)</f>
        <v>0.02010504373</v>
      </c>
      <c r="L86" s="359">
        <f>CS_PID!L86/VLOOKUP($B86,표2[#ALL],2)</f>
        <v>0.01608403499</v>
      </c>
      <c r="M86" s="359">
        <f>CS_PID!M86/VLOOKUP($B86,표2[#ALL],2)</f>
        <v>0.001340336249</v>
      </c>
      <c r="N86" s="359">
        <f>CS_PID!N86/VLOOKUP($B86,표2[#ALL],2)</f>
        <v>0</v>
      </c>
      <c r="O86" s="359">
        <f>CS_PID!O86/VLOOKUP($B86,표2[#ALL],2)</f>
        <v>0</v>
      </c>
      <c r="P86" s="359">
        <f>CS_PID!P86/VLOOKUP($B86,표2[#ALL],2)</f>
        <v>0</v>
      </c>
      <c r="Q86" s="359">
        <f>CS_PID!Q86/VLOOKUP($B86,표2[#ALL],2)</f>
        <v>0.01340336249</v>
      </c>
      <c r="R86" s="359">
        <f>CS_PID!R86/VLOOKUP($B86,표2[#ALL],2)</f>
        <v>0.01876470748</v>
      </c>
      <c r="S86" s="359">
        <f>CS_PID!S86/VLOOKUP($B86,표2[#ALL],2)</f>
        <v>0.002680672498</v>
      </c>
      <c r="T86" s="359">
        <f>CS_PID!T86/VLOOKUP($B86,표2[#ALL],2)</f>
        <v>0</v>
      </c>
      <c r="U86" s="359">
        <f>CS_PID!U86/VLOOKUP($B86,표2[#ALL],2)</f>
        <v>0</v>
      </c>
      <c r="V86" s="359">
        <f>CS_PID!V86/VLOOKUP($B86,표2[#ALL],2)</f>
        <v>0</v>
      </c>
      <c r="W86" s="359">
        <f>CS_PID!W86/VLOOKUP($B86,표2[#ALL],2)</f>
        <v>0.004021008747</v>
      </c>
      <c r="X86" s="359">
        <f>CS_PID!X86/VLOOKUP($B86,표2[#ALL],2)</f>
        <v>0.01206302624</v>
      </c>
      <c r="Y86" s="359">
        <f>CS_PID!Y86/VLOOKUP($B86,표2[#ALL],2)</f>
        <v>0.002680672498</v>
      </c>
      <c r="Z86" s="359">
        <f>CS_PID!Z86/VLOOKUP($B86,표2[#ALL],2)</f>
        <v>0</v>
      </c>
      <c r="AA86" s="359">
        <f>CS_PID!AA86/VLOOKUP($B86,표2[#ALL],2)</f>
        <v>0</v>
      </c>
      <c r="AB86" s="359">
        <f>CS_PID!AB86/VLOOKUP($B86,표2[#ALL],2)</f>
        <v>0</v>
      </c>
      <c r="AC86" s="359">
        <f>CS_PID!AC86/VLOOKUP($B86,표2[#ALL],2)</f>
        <v>0.002680672498</v>
      </c>
      <c r="AD86" s="359">
        <f>CS_PID!AD86/VLOOKUP($B86,표2[#ALL],2)</f>
        <v>0.005361344996</v>
      </c>
      <c r="AE86" s="359">
        <f>CS_PID!AE86/VLOOKUP($B86,표2[#ALL],2)</f>
        <v>0</v>
      </c>
      <c r="AF86" s="359">
        <f>CS_PID!AF86/VLOOKUP($B86,표2[#ALL],2)</f>
        <v>0</v>
      </c>
      <c r="AG86" s="359">
        <f>CS_PID!AG86/VLOOKUP($B86,표2[#ALL],2)</f>
        <v>0</v>
      </c>
      <c r="AH86" s="359">
        <f>CS_PID!AH86/VLOOKUP($B86,표2[#ALL],2)</f>
        <v>0</v>
      </c>
      <c r="AI86" s="359">
        <f>CS_PID!AI86/VLOOKUP($B86,표2[#ALL],2)</f>
        <v>0.001340336249</v>
      </c>
      <c r="AJ86" s="359">
        <f>CS_PID!AJ86/VLOOKUP($B86,표2[#ALL],2)</f>
        <v>0.001340336249</v>
      </c>
      <c r="AK86" s="359">
        <f>CS_PID!AK86/VLOOKUP($B86,표2[#ALL],2)</f>
        <v>0.002680672498</v>
      </c>
      <c r="AL86" s="359">
        <f>CS_PID!AL86/VLOOKUP($B86,표2[#ALL],2)</f>
        <v>0</v>
      </c>
      <c r="AM86" s="359">
        <f>CS_PID!AM86/VLOOKUP($B86,표2[#ALL],2)</f>
        <v>0</v>
      </c>
      <c r="AN86" s="359">
        <f>CS_PID!AN86/VLOOKUP($B86,표2[#ALL],2)</f>
        <v>0</v>
      </c>
      <c r="AO86" s="359">
        <f>CS_PID!AO86/VLOOKUP($B86,표2[#ALL],2)</f>
        <v>0</v>
      </c>
      <c r="AP86" s="359">
        <f>CS_PID!AP86/VLOOKUP($B86,표2[#ALL],2)</f>
        <v>0</v>
      </c>
      <c r="AQ86" s="359">
        <f>CS_PID!AQ86/VLOOKUP($B86,표2[#ALL],2)</f>
        <v>0</v>
      </c>
      <c r="AR86" s="359">
        <f>CS_PID!AR86/VLOOKUP($B86,표2[#ALL],2)</f>
        <v>0</v>
      </c>
      <c r="AS86" s="359">
        <f>CS_PID!AS86/VLOOKUP($B86,표2[#ALL],2)</f>
        <v>0</v>
      </c>
    </row>
    <row r="87">
      <c r="A87" s="173" t="s">
        <v>126</v>
      </c>
      <c r="B87" s="178">
        <v>351.0</v>
      </c>
      <c r="C87" s="359">
        <f>CS_PID!C87/VLOOKUP($B87,표2[#ALL],2)</f>
        <v>0</v>
      </c>
      <c r="D87" s="359">
        <f>CS_PID!D87/VLOOKUP($B87,표2[#ALL],2)</f>
        <v>0</v>
      </c>
      <c r="E87" s="359">
        <f>CS_PID!E87/VLOOKUP($B87,표2[#ALL],2)</f>
        <v>0.01679408081</v>
      </c>
      <c r="F87" s="359">
        <f>CS_PID!F87/VLOOKUP($B87,표2[#ALL],2)</f>
        <v>0.03358816162</v>
      </c>
      <c r="G87" s="359">
        <f>CS_PID!G87/VLOOKUP($B87,표2[#ALL],2)</f>
        <v>0</v>
      </c>
      <c r="H87" s="359">
        <f>CS_PID!H87/VLOOKUP($B87,표2[#ALL],2)</f>
        <v>0</v>
      </c>
      <c r="I87" s="359">
        <f>CS_PID!I87/VLOOKUP($B87,표2[#ALL],2)</f>
        <v>0</v>
      </c>
      <c r="J87" s="359">
        <f>CS_PID!J87/VLOOKUP($B87,표2[#ALL],2)</f>
        <v>0</v>
      </c>
      <c r="K87" s="359">
        <f>CS_PID!K87/VLOOKUP($B87,표2[#ALL],2)</f>
        <v>0.01679408081</v>
      </c>
      <c r="L87" s="359">
        <f>CS_PID!L87/VLOOKUP($B87,표2[#ALL],2)</f>
        <v>0.03358816162</v>
      </c>
      <c r="M87" s="359">
        <f>CS_PID!M87/VLOOKUP($B87,표2[#ALL],2)</f>
        <v>0.01679408081</v>
      </c>
      <c r="N87" s="359">
        <f>CS_PID!N87/VLOOKUP($B87,표2[#ALL],2)</f>
        <v>0</v>
      </c>
      <c r="O87" s="359">
        <f>CS_PID!O87/VLOOKUP($B87,표2[#ALL],2)</f>
        <v>0</v>
      </c>
      <c r="P87" s="359">
        <f>CS_PID!P87/VLOOKUP($B87,표2[#ALL],2)</f>
        <v>0</v>
      </c>
      <c r="Q87" s="359">
        <f>CS_PID!Q87/VLOOKUP($B87,표2[#ALL],2)</f>
        <v>0</v>
      </c>
      <c r="R87" s="359">
        <f>CS_PID!R87/VLOOKUP($B87,표2[#ALL],2)</f>
        <v>0</v>
      </c>
      <c r="S87" s="359">
        <f>CS_PID!S87/VLOOKUP($B87,표2[#ALL],2)</f>
        <v>0</v>
      </c>
      <c r="T87" s="359">
        <f>CS_PID!T87/VLOOKUP($B87,표2[#ALL],2)</f>
        <v>0</v>
      </c>
      <c r="U87" s="359">
        <f>CS_PID!U87/VLOOKUP($B87,표2[#ALL],2)</f>
        <v>0</v>
      </c>
      <c r="V87" s="359">
        <f>CS_PID!V87/VLOOKUP($B87,표2[#ALL],2)</f>
        <v>0</v>
      </c>
      <c r="W87" s="359">
        <f>CS_PID!W87/VLOOKUP($B87,표2[#ALL],2)</f>
        <v>0</v>
      </c>
      <c r="X87" s="359">
        <f>CS_PID!X87/VLOOKUP($B87,표2[#ALL],2)</f>
        <v>0.03358816162</v>
      </c>
      <c r="Y87" s="359">
        <f>CS_PID!Y87/VLOOKUP($B87,표2[#ALL],2)</f>
        <v>0</v>
      </c>
      <c r="Z87" s="359">
        <f>CS_PID!Z87/VLOOKUP($B87,표2[#ALL],2)</f>
        <v>0</v>
      </c>
      <c r="AA87" s="359">
        <f>CS_PID!AA87/VLOOKUP($B87,표2[#ALL],2)</f>
        <v>0</v>
      </c>
      <c r="AB87" s="359">
        <f>CS_PID!AB87/VLOOKUP($B87,표2[#ALL],2)</f>
        <v>0</v>
      </c>
      <c r="AC87" s="359">
        <f>CS_PID!AC87/VLOOKUP($B87,표2[#ALL],2)</f>
        <v>0.01679408081</v>
      </c>
      <c r="AD87" s="359">
        <f>CS_PID!AD87/VLOOKUP($B87,표2[#ALL],2)</f>
        <v>0</v>
      </c>
      <c r="AE87" s="359">
        <f>CS_PID!AE87/VLOOKUP($B87,표2[#ALL],2)</f>
        <v>0</v>
      </c>
      <c r="AF87" s="359">
        <f>CS_PID!AF87/VLOOKUP($B87,표2[#ALL],2)</f>
        <v>0</v>
      </c>
      <c r="AG87" s="359">
        <f>CS_PID!AG87/VLOOKUP($B87,표2[#ALL],2)</f>
        <v>0</v>
      </c>
      <c r="AH87" s="359">
        <f>CS_PID!AH87/VLOOKUP($B87,표2[#ALL],2)</f>
        <v>0</v>
      </c>
      <c r="AI87" s="359">
        <f>CS_PID!AI87/VLOOKUP($B87,표2[#ALL],2)</f>
        <v>0</v>
      </c>
      <c r="AJ87" s="359">
        <f>CS_PID!AJ87/VLOOKUP($B87,표2[#ALL],2)</f>
        <v>0</v>
      </c>
      <c r="AK87" s="359">
        <f>CS_PID!AK87/VLOOKUP($B87,표2[#ALL],2)</f>
        <v>0</v>
      </c>
      <c r="AL87" s="359">
        <f>CS_PID!AL87/VLOOKUP($B87,표2[#ALL],2)</f>
        <v>0</v>
      </c>
      <c r="AM87" s="359">
        <f>CS_PID!AM87/VLOOKUP($B87,표2[#ALL],2)</f>
        <v>0</v>
      </c>
      <c r="AN87" s="359">
        <f>CS_PID!AN87/VLOOKUP($B87,표2[#ALL],2)</f>
        <v>0</v>
      </c>
      <c r="AO87" s="359">
        <f>CS_PID!AO87/VLOOKUP($B87,표2[#ALL],2)</f>
        <v>0.01679408081</v>
      </c>
      <c r="AP87" s="359">
        <f>CS_PID!AP87/VLOOKUP($B87,표2[#ALL],2)</f>
        <v>0</v>
      </c>
      <c r="AQ87" s="359">
        <f>CS_PID!AQ87/VLOOKUP($B87,표2[#ALL],2)</f>
        <v>0</v>
      </c>
      <c r="AR87" s="359">
        <f>CS_PID!AR87/VLOOKUP($B87,표2[#ALL],2)</f>
        <v>0</v>
      </c>
      <c r="AS87" s="359">
        <f>CS_PID!AS87/VLOOKUP($B87,표2[#ALL],2)</f>
        <v>0</v>
      </c>
    </row>
    <row r="88">
      <c r="A88" s="173" t="s">
        <v>126</v>
      </c>
      <c r="B88" s="178">
        <v>352.0</v>
      </c>
      <c r="C88" s="359">
        <f>CS_PID!C88/VLOOKUP($B88,표2[#ALL],2)</f>
        <v>0</v>
      </c>
      <c r="D88" s="359">
        <f>CS_PID!D88/VLOOKUP($B88,표2[#ALL],2)</f>
        <v>0</v>
      </c>
      <c r="E88" s="359">
        <f>CS_PID!E88/VLOOKUP($B88,표2[#ALL],2)</f>
        <v>0</v>
      </c>
      <c r="F88" s="359">
        <f>CS_PID!F88/VLOOKUP($B88,표2[#ALL],2)</f>
        <v>0.016959551</v>
      </c>
      <c r="G88" s="359">
        <f>CS_PID!G88/VLOOKUP($B88,표2[#ALL],2)</f>
        <v>0</v>
      </c>
      <c r="H88" s="359">
        <f>CS_PID!H88/VLOOKUP($B88,표2[#ALL],2)</f>
        <v>0</v>
      </c>
      <c r="I88" s="359">
        <f>CS_PID!I88/VLOOKUP($B88,표2[#ALL],2)</f>
        <v>0</v>
      </c>
      <c r="J88" s="359">
        <f>CS_PID!J88/VLOOKUP($B88,표2[#ALL],2)</f>
        <v>0.006522904232</v>
      </c>
      <c r="K88" s="359">
        <f>CS_PID!K88/VLOOKUP($B88,표2[#ALL],2)</f>
        <v>0.02478703608</v>
      </c>
      <c r="L88" s="359">
        <f>CS_PID!L88/VLOOKUP($B88,표2[#ALL],2)</f>
        <v>0.01435038931</v>
      </c>
      <c r="M88" s="359">
        <f>CS_PID!M88/VLOOKUP($B88,표2[#ALL],2)</f>
        <v>0</v>
      </c>
      <c r="N88" s="359">
        <f>CS_PID!N88/VLOOKUP($B88,표2[#ALL],2)</f>
        <v>0</v>
      </c>
      <c r="O88" s="359">
        <f>CS_PID!O88/VLOOKUP($B88,표2[#ALL],2)</f>
        <v>0</v>
      </c>
      <c r="P88" s="359">
        <f>CS_PID!P88/VLOOKUP($B88,표2[#ALL],2)</f>
        <v>0.001304580846</v>
      </c>
      <c r="Q88" s="359">
        <f>CS_PID!Q88/VLOOKUP($B88,표2[#ALL],2)</f>
        <v>0.01174122762</v>
      </c>
      <c r="R88" s="359">
        <f>CS_PID!R88/VLOOKUP($B88,표2[#ALL],2)</f>
        <v>0.02217787439</v>
      </c>
      <c r="S88" s="359">
        <f>CS_PID!S88/VLOOKUP($B88,표2[#ALL],2)</f>
        <v>0.002609161693</v>
      </c>
      <c r="T88" s="359">
        <f>CS_PID!T88/VLOOKUP($B88,표2[#ALL],2)</f>
        <v>0</v>
      </c>
      <c r="U88" s="359">
        <f>CS_PID!U88/VLOOKUP($B88,표2[#ALL],2)</f>
        <v>0</v>
      </c>
      <c r="V88" s="359">
        <f>CS_PID!V88/VLOOKUP($B88,표2[#ALL],2)</f>
        <v>0.001304580846</v>
      </c>
      <c r="W88" s="359">
        <f>CS_PID!W88/VLOOKUP($B88,표2[#ALL],2)</f>
        <v>0.002609161693</v>
      </c>
      <c r="X88" s="359">
        <f>CS_PID!X88/VLOOKUP($B88,표2[#ALL],2)</f>
        <v>0.01304580846</v>
      </c>
      <c r="Y88" s="359">
        <f>CS_PID!Y88/VLOOKUP($B88,표2[#ALL],2)</f>
        <v>0</v>
      </c>
      <c r="Z88" s="359">
        <f>CS_PID!Z88/VLOOKUP($B88,표2[#ALL],2)</f>
        <v>0</v>
      </c>
      <c r="AA88" s="359">
        <f>CS_PID!AA88/VLOOKUP($B88,표2[#ALL],2)</f>
        <v>0</v>
      </c>
      <c r="AB88" s="359">
        <f>CS_PID!AB88/VLOOKUP($B88,표2[#ALL],2)</f>
        <v>0</v>
      </c>
      <c r="AC88" s="359">
        <f>CS_PID!AC88/VLOOKUP($B88,표2[#ALL],2)</f>
        <v>0.002609161693</v>
      </c>
      <c r="AD88" s="359">
        <f>CS_PID!AD88/VLOOKUP($B88,표2[#ALL],2)</f>
        <v>0.002609161693</v>
      </c>
      <c r="AE88" s="359">
        <f>CS_PID!AE88/VLOOKUP($B88,표2[#ALL],2)</f>
        <v>0.001304580846</v>
      </c>
      <c r="AF88" s="359">
        <f>CS_PID!AF88/VLOOKUP($B88,표2[#ALL],2)</f>
        <v>0</v>
      </c>
      <c r="AG88" s="359">
        <f>CS_PID!AG88/VLOOKUP($B88,표2[#ALL],2)</f>
        <v>0</v>
      </c>
      <c r="AH88" s="359">
        <f>CS_PID!AH88/VLOOKUP($B88,표2[#ALL],2)</f>
        <v>0</v>
      </c>
      <c r="AI88" s="359">
        <f>CS_PID!AI88/VLOOKUP($B88,표2[#ALL],2)</f>
        <v>0</v>
      </c>
      <c r="AJ88" s="359">
        <f>CS_PID!AJ88/VLOOKUP($B88,표2[#ALL],2)</f>
        <v>0.005218323385</v>
      </c>
      <c r="AK88" s="359">
        <f>CS_PID!AK88/VLOOKUP($B88,표2[#ALL],2)</f>
        <v>0.001304580846</v>
      </c>
      <c r="AL88" s="359">
        <f>CS_PID!AL88/VLOOKUP($B88,표2[#ALL],2)</f>
        <v>0</v>
      </c>
      <c r="AM88" s="359">
        <f>CS_PID!AM88/VLOOKUP($B88,표2[#ALL],2)</f>
        <v>0</v>
      </c>
      <c r="AN88" s="359">
        <f>CS_PID!AN88/VLOOKUP($B88,표2[#ALL],2)</f>
        <v>0</v>
      </c>
      <c r="AO88" s="359">
        <f>CS_PID!AO88/VLOOKUP($B88,표2[#ALL],2)</f>
        <v>0</v>
      </c>
      <c r="AP88" s="359">
        <f>CS_PID!AP88/VLOOKUP($B88,표2[#ALL],2)</f>
        <v>0</v>
      </c>
      <c r="AQ88" s="359">
        <f>CS_PID!AQ88/VLOOKUP($B88,표2[#ALL],2)</f>
        <v>0</v>
      </c>
      <c r="AR88" s="359">
        <f>CS_PID!AR88/VLOOKUP($B88,표2[#ALL],2)</f>
        <v>0</v>
      </c>
      <c r="AS88" s="359">
        <f>CS_PID!AS88/VLOOKUP($B88,표2[#ALL],2)</f>
        <v>0</v>
      </c>
    </row>
    <row r="89">
      <c r="A89" s="173" t="s">
        <v>126</v>
      </c>
      <c r="B89" s="178">
        <v>361.0</v>
      </c>
      <c r="C89" s="359">
        <f>CS_PID!C89/VLOOKUP($B89,표2[#ALL],2)</f>
        <v>0</v>
      </c>
      <c r="D89" s="359">
        <f>CS_PID!D89/VLOOKUP($B89,표2[#ALL],2)</f>
        <v>0</v>
      </c>
      <c r="E89" s="359">
        <f>CS_PID!E89/VLOOKUP($B89,표2[#ALL],2)</f>
        <v>0</v>
      </c>
      <c r="F89" s="359">
        <f>CS_PID!F89/VLOOKUP($B89,표2[#ALL],2)</f>
        <v>0.0238783394</v>
      </c>
      <c r="G89" s="359">
        <f>CS_PID!G89/VLOOKUP($B89,표2[#ALL],2)</f>
        <v>0.001591889293</v>
      </c>
      <c r="H89" s="359">
        <f>CS_PID!H89/VLOOKUP($B89,표2[#ALL],2)</f>
        <v>0</v>
      </c>
      <c r="I89" s="359">
        <f>CS_PID!I89/VLOOKUP($B89,표2[#ALL],2)</f>
        <v>0</v>
      </c>
      <c r="J89" s="359">
        <f>CS_PID!J89/VLOOKUP($B89,표2[#ALL],2)</f>
        <v>0</v>
      </c>
      <c r="K89" s="359">
        <f>CS_PID!K89/VLOOKUP($B89,표2[#ALL],2)</f>
        <v>0.01432700364</v>
      </c>
      <c r="L89" s="359">
        <f>CS_PID!L89/VLOOKUP($B89,표2[#ALL],2)</f>
        <v>0.01273511435</v>
      </c>
      <c r="M89" s="359">
        <f>CS_PID!M89/VLOOKUP($B89,표2[#ALL],2)</f>
        <v>0</v>
      </c>
      <c r="N89" s="359">
        <f>CS_PID!N89/VLOOKUP($B89,표2[#ALL],2)</f>
        <v>0</v>
      </c>
      <c r="O89" s="359">
        <f>CS_PID!O89/VLOOKUP($B89,표2[#ALL],2)</f>
        <v>0</v>
      </c>
      <c r="P89" s="359">
        <f>CS_PID!P89/VLOOKUP($B89,표2[#ALL],2)</f>
        <v>0</v>
      </c>
      <c r="Q89" s="359">
        <f>CS_PID!Q89/VLOOKUP($B89,표2[#ALL],2)</f>
        <v>0.01591889293</v>
      </c>
      <c r="R89" s="359">
        <f>CS_PID!R89/VLOOKUP($B89,표2[#ALL],2)</f>
        <v>0.01432700364</v>
      </c>
      <c r="S89" s="359">
        <f>CS_PID!S89/VLOOKUP($B89,표2[#ALL],2)</f>
        <v>0.003183778587</v>
      </c>
      <c r="T89" s="359">
        <f>CS_PID!T89/VLOOKUP($B89,표2[#ALL],2)</f>
        <v>0</v>
      </c>
      <c r="U89" s="359">
        <f>CS_PID!U89/VLOOKUP($B89,표2[#ALL],2)</f>
        <v>0</v>
      </c>
      <c r="V89" s="359">
        <f>CS_PID!V89/VLOOKUP($B89,표2[#ALL],2)</f>
        <v>0</v>
      </c>
      <c r="W89" s="359">
        <f>CS_PID!W89/VLOOKUP($B89,표2[#ALL],2)</f>
        <v>0.003183778587</v>
      </c>
      <c r="X89" s="359">
        <f>CS_PID!X89/VLOOKUP($B89,표2[#ALL],2)</f>
        <v>0.01114322505</v>
      </c>
      <c r="Y89" s="359">
        <f>CS_PID!Y89/VLOOKUP($B89,표2[#ALL],2)</f>
        <v>0.003183778587</v>
      </c>
      <c r="Z89" s="359">
        <f>CS_PID!Z89/VLOOKUP($B89,표2[#ALL],2)</f>
        <v>0</v>
      </c>
      <c r="AA89" s="359">
        <f>CS_PID!AA89/VLOOKUP($B89,표2[#ALL],2)</f>
        <v>0</v>
      </c>
      <c r="AB89" s="359">
        <f>CS_PID!AB89/VLOOKUP($B89,표2[#ALL],2)</f>
        <v>0</v>
      </c>
      <c r="AC89" s="359">
        <f>CS_PID!AC89/VLOOKUP($B89,표2[#ALL],2)</f>
        <v>0.001591889293</v>
      </c>
      <c r="AD89" s="359">
        <f>CS_PID!AD89/VLOOKUP($B89,표2[#ALL],2)</f>
        <v>0.003183778587</v>
      </c>
      <c r="AE89" s="359">
        <f>CS_PID!AE89/VLOOKUP($B89,표2[#ALL],2)</f>
        <v>0.001591889293</v>
      </c>
      <c r="AF89" s="359">
        <f>CS_PID!AF89/VLOOKUP($B89,표2[#ALL],2)</f>
        <v>0</v>
      </c>
      <c r="AG89" s="359">
        <f>CS_PID!AG89/VLOOKUP($B89,표2[#ALL],2)</f>
        <v>0</v>
      </c>
      <c r="AH89" s="359">
        <f>CS_PID!AH89/VLOOKUP($B89,표2[#ALL],2)</f>
        <v>0</v>
      </c>
      <c r="AI89" s="359">
        <f>CS_PID!AI89/VLOOKUP($B89,표2[#ALL],2)</f>
        <v>0</v>
      </c>
      <c r="AJ89" s="359">
        <f>CS_PID!AJ89/VLOOKUP($B89,표2[#ALL],2)</f>
        <v>0.00477566788</v>
      </c>
      <c r="AK89" s="359">
        <f>CS_PID!AK89/VLOOKUP($B89,표2[#ALL],2)</f>
        <v>0</v>
      </c>
      <c r="AL89" s="359">
        <f>CS_PID!AL89/VLOOKUP($B89,표2[#ALL],2)</f>
        <v>0</v>
      </c>
      <c r="AM89" s="359">
        <f>CS_PID!AM89/VLOOKUP($B89,표2[#ALL],2)</f>
        <v>0</v>
      </c>
      <c r="AN89" s="359">
        <f>CS_PID!AN89/VLOOKUP($B89,표2[#ALL],2)</f>
        <v>0</v>
      </c>
      <c r="AO89" s="359">
        <f>CS_PID!AO89/VLOOKUP($B89,표2[#ALL],2)</f>
        <v>0.001591889293</v>
      </c>
      <c r="AP89" s="359">
        <f>CS_PID!AP89/VLOOKUP($B89,표2[#ALL],2)</f>
        <v>0.001591889293</v>
      </c>
      <c r="AQ89" s="359">
        <f>CS_PID!AQ89/VLOOKUP($B89,표2[#ALL],2)</f>
        <v>0</v>
      </c>
      <c r="AR89" s="359">
        <f>CS_PID!AR89/VLOOKUP($B89,표2[#ALL],2)</f>
        <v>0</v>
      </c>
      <c r="AS89" s="359">
        <f>CS_PID!AS89/VLOOKUP($B89,표2[#ALL],2)</f>
        <v>0</v>
      </c>
    </row>
    <row r="90">
      <c r="A90" s="173" t="s">
        <v>126</v>
      </c>
      <c r="B90" s="178">
        <v>362.0</v>
      </c>
      <c r="C90" s="359">
        <f>CS_PID!C90/VLOOKUP($B90,표2[#ALL],2)</f>
        <v>0</v>
      </c>
      <c r="D90" s="359">
        <f>CS_PID!D90/VLOOKUP($B90,표2[#ALL],2)</f>
        <v>0</v>
      </c>
      <c r="E90" s="359">
        <f>CS_PID!E90/VLOOKUP($B90,표2[#ALL],2)</f>
        <v>0</v>
      </c>
      <c r="F90" s="359">
        <f>CS_PID!F90/VLOOKUP($B90,표2[#ALL],2)</f>
        <v>0.01464221996</v>
      </c>
      <c r="G90" s="359">
        <f>CS_PID!G90/VLOOKUP($B90,표2[#ALL],2)</f>
        <v>0.008785331977</v>
      </c>
      <c r="H90" s="359">
        <f>CS_PID!H90/VLOOKUP($B90,표2[#ALL],2)</f>
        <v>0</v>
      </c>
      <c r="I90" s="359">
        <f>CS_PID!I90/VLOOKUP($B90,표2[#ALL],2)</f>
        <v>0</v>
      </c>
      <c r="J90" s="359">
        <f>CS_PID!J90/VLOOKUP($B90,표2[#ALL],2)</f>
        <v>0.002928443992</v>
      </c>
      <c r="K90" s="359">
        <f>CS_PID!K90/VLOOKUP($B90,표2[#ALL],2)</f>
        <v>0.02635599593</v>
      </c>
      <c r="L90" s="359">
        <f>CS_PID!L90/VLOOKUP($B90,표2[#ALL],2)</f>
        <v>0.02049910795</v>
      </c>
      <c r="M90" s="359">
        <f>CS_PID!M90/VLOOKUP($B90,표2[#ALL],2)</f>
        <v>0</v>
      </c>
      <c r="N90" s="359">
        <f>CS_PID!N90/VLOOKUP($B90,표2[#ALL],2)</f>
        <v>0</v>
      </c>
      <c r="O90" s="359">
        <f>CS_PID!O90/VLOOKUP($B90,표2[#ALL],2)</f>
        <v>0</v>
      </c>
      <c r="P90" s="359">
        <f>CS_PID!P90/VLOOKUP($B90,표2[#ALL],2)</f>
        <v>0</v>
      </c>
      <c r="Q90" s="359">
        <f>CS_PID!Q90/VLOOKUP($B90,표2[#ALL],2)</f>
        <v>0.04099821589</v>
      </c>
      <c r="R90" s="359">
        <f>CS_PID!R90/VLOOKUP($B90,표2[#ALL],2)</f>
        <v>0.01757066395</v>
      </c>
      <c r="S90" s="359">
        <f>CS_PID!S90/VLOOKUP($B90,표2[#ALL],2)</f>
        <v>0</v>
      </c>
      <c r="T90" s="359">
        <f>CS_PID!T90/VLOOKUP($B90,표2[#ALL],2)</f>
        <v>0</v>
      </c>
      <c r="U90" s="359">
        <f>CS_PID!U90/VLOOKUP($B90,표2[#ALL],2)</f>
        <v>0</v>
      </c>
      <c r="V90" s="359">
        <f>CS_PID!V90/VLOOKUP($B90,표2[#ALL],2)</f>
        <v>0</v>
      </c>
      <c r="W90" s="359">
        <f>CS_PID!W90/VLOOKUP($B90,표2[#ALL],2)</f>
        <v>0.005856887985</v>
      </c>
      <c r="X90" s="359">
        <f>CS_PID!X90/VLOOKUP($B90,표2[#ALL],2)</f>
        <v>0.005856887985</v>
      </c>
      <c r="Y90" s="359">
        <f>CS_PID!Y90/VLOOKUP($B90,표2[#ALL],2)</f>
        <v>0</v>
      </c>
      <c r="Z90" s="359">
        <f>CS_PID!Z90/VLOOKUP($B90,표2[#ALL],2)</f>
        <v>0</v>
      </c>
      <c r="AA90" s="359">
        <f>CS_PID!AA90/VLOOKUP($B90,표2[#ALL],2)</f>
        <v>0</v>
      </c>
      <c r="AB90" s="359">
        <f>CS_PID!AB90/VLOOKUP($B90,표2[#ALL],2)</f>
        <v>0</v>
      </c>
      <c r="AC90" s="359">
        <f>CS_PID!AC90/VLOOKUP($B90,표2[#ALL],2)</f>
        <v>0.002928443992</v>
      </c>
      <c r="AD90" s="359">
        <f>CS_PID!AD90/VLOOKUP($B90,표2[#ALL],2)</f>
        <v>0.005856887985</v>
      </c>
      <c r="AE90" s="359">
        <f>CS_PID!AE90/VLOOKUP($B90,표2[#ALL],2)</f>
        <v>0.002928443992</v>
      </c>
      <c r="AF90" s="359">
        <f>CS_PID!AF90/VLOOKUP($B90,표2[#ALL],2)</f>
        <v>0</v>
      </c>
      <c r="AG90" s="359">
        <f>CS_PID!AG90/VLOOKUP($B90,표2[#ALL],2)</f>
        <v>0</v>
      </c>
      <c r="AH90" s="359">
        <f>CS_PID!AH90/VLOOKUP($B90,표2[#ALL],2)</f>
        <v>0</v>
      </c>
      <c r="AI90" s="359">
        <f>CS_PID!AI90/VLOOKUP($B90,표2[#ALL],2)</f>
        <v>0</v>
      </c>
      <c r="AJ90" s="359">
        <f>CS_PID!AJ90/VLOOKUP($B90,표2[#ALL],2)</f>
        <v>0.002928443992</v>
      </c>
      <c r="AK90" s="359">
        <f>CS_PID!AK90/VLOOKUP($B90,표2[#ALL],2)</f>
        <v>0.002928443992</v>
      </c>
      <c r="AL90" s="359">
        <f>CS_PID!AL90/VLOOKUP($B90,표2[#ALL],2)</f>
        <v>0</v>
      </c>
      <c r="AM90" s="359">
        <f>CS_PID!AM90/VLOOKUP($B90,표2[#ALL],2)</f>
        <v>0</v>
      </c>
      <c r="AN90" s="359">
        <f>CS_PID!AN90/VLOOKUP($B90,표2[#ALL],2)</f>
        <v>0</v>
      </c>
      <c r="AO90" s="359">
        <f>CS_PID!AO90/VLOOKUP($B90,표2[#ALL],2)</f>
        <v>0</v>
      </c>
      <c r="AP90" s="359">
        <f>CS_PID!AP90/VLOOKUP($B90,표2[#ALL],2)</f>
        <v>0</v>
      </c>
      <c r="AQ90" s="359">
        <f>CS_PID!AQ90/VLOOKUP($B90,표2[#ALL],2)</f>
        <v>0</v>
      </c>
      <c r="AR90" s="359">
        <f>CS_PID!AR90/VLOOKUP($B90,표2[#ALL],2)</f>
        <v>0</v>
      </c>
      <c r="AS90" s="359">
        <f>CS_PID!AS90/VLOOKUP($B90,표2[#ALL],2)</f>
        <v>0</v>
      </c>
    </row>
    <row r="91">
      <c r="A91" s="173" t="s">
        <v>126</v>
      </c>
      <c r="B91" s="178">
        <v>364.0</v>
      </c>
      <c r="C91" s="359">
        <f>CS_PID!C91/VLOOKUP($B91,표2[#ALL],2)</f>
        <v>0</v>
      </c>
      <c r="D91" s="359">
        <f>CS_PID!D91/VLOOKUP($B91,표2[#ALL],2)</f>
        <v>0</v>
      </c>
      <c r="E91" s="359">
        <f>CS_PID!E91/VLOOKUP($B91,표2[#ALL],2)</f>
        <v>0.009734203485</v>
      </c>
      <c r="F91" s="359">
        <f>CS_PID!F91/VLOOKUP($B91,표2[#ALL],2)</f>
        <v>0.02920261046</v>
      </c>
      <c r="G91" s="359">
        <f>CS_PID!G91/VLOOKUP($B91,표2[#ALL],2)</f>
        <v>0.00648946899</v>
      </c>
      <c r="H91" s="359">
        <f>CS_PID!H91/VLOOKUP($B91,표2[#ALL],2)</f>
        <v>0</v>
      </c>
      <c r="I91" s="359">
        <f>CS_PID!I91/VLOOKUP($B91,표2[#ALL],2)</f>
        <v>0</v>
      </c>
      <c r="J91" s="359">
        <f>CS_PID!J91/VLOOKUP($B91,표2[#ALL],2)</f>
        <v>0.003244734495</v>
      </c>
      <c r="K91" s="359">
        <f>CS_PID!K91/VLOOKUP($B91,표2[#ALL],2)</f>
        <v>0.04218154844</v>
      </c>
      <c r="L91" s="359">
        <f>CS_PID!L91/VLOOKUP($B91,표2[#ALL],2)</f>
        <v>0.003244734495</v>
      </c>
      <c r="M91" s="359">
        <f>CS_PID!M91/VLOOKUP($B91,표2[#ALL],2)</f>
        <v>0</v>
      </c>
      <c r="N91" s="359">
        <f>CS_PID!N91/VLOOKUP($B91,표2[#ALL],2)</f>
        <v>0</v>
      </c>
      <c r="O91" s="359">
        <f>CS_PID!O91/VLOOKUP($B91,표2[#ALL],2)</f>
        <v>0</v>
      </c>
      <c r="P91" s="359">
        <f>CS_PID!P91/VLOOKUP($B91,표2[#ALL],2)</f>
        <v>0</v>
      </c>
      <c r="Q91" s="359">
        <f>CS_PID!Q91/VLOOKUP($B91,표2[#ALL],2)</f>
        <v>0.01297893798</v>
      </c>
      <c r="R91" s="359">
        <f>CS_PID!R91/VLOOKUP($B91,표2[#ALL],2)</f>
        <v>0.01946840697</v>
      </c>
      <c r="S91" s="359">
        <f>CS_PID!S91/VLOOKUP($B91,표2[#ALL],2)</f>
        <v>0</v>
      </c>
      <c r="T91" s="359">
        <f>CS_PID!T91/VLOOKUP($B91,표2[#ALL],2)</f>
        <v>0</v>
      </c>
      <c r="U91" s="359">
        <f>CS_PID!U91/VLOOKUP($B91,표2[#ALL],2)</f>
        <v>0</v>
      </c>
      <c r="V91" s="359">
        <f>CS_PID!V91/VLOOKUP($B91,표2[#ALL],2)</f>
        <v>0</v>
      </c>
      <c r="W91" s="359">
        <f>CS_PID!W91/VLOOKUP($B91,표2[#ALL],2)</f>
        <v>0</v>
      </c>
      <c r="X91" s="359">
        <f>CS_PID!X91/VLOOKUP($B91,표2[#ALL],2)</f>
        <v>0.03244734495</v>
      </c>
      <c r="Y91" s="359">
        <f>CS_PID!Y91/VLOOKUP($B91,표2[#ALL],2)</f>
        <v>0.003244734495</v>
      </c>
      <c r="Z91" s="359">
        <f>CS_PID!Z91/VLOOKUP($B91,표2[#ALL],2)</f>
        <v>0</v>
      </c>
      <c r="AA91" s="359">
        <f>CS_PID!AA91/VLOOKUP($B91,표2[#ALL],2)</f>
        <v>0</v>
      </c>
      <c r="AB91" s="359">
        <f>CS_PID!AB91/VLOOKUP($B91,표2[#ALL],2)</f>
        <v>0</v>
      </c>
      <c r="AC91" s="359">
        <f>CS_PID!AC91/VLOOKUP($B91,표2[#ALL],2)</f>
        <v>0.003244734495</v>
      </c>
      <c r="AD91" s="359">
        <f>CS_PID!AD91/VLOOKUP($B91,표2[#ALL],2)</f>
        <v>0.00648946899</v>
      </c>
      <c r="AE91" s="359">
        <f>CS_PID!AE91/VLOOKUP($B91,표2[#ALL],2)</f>
        <v>0.003244734495</v>
      </c>
      <c r="AF91" s="359">
        <f>CS_PID!AF91/VLOOKUP($B91,표2[#ALL],2)</f>
        <v>0</v>
      </c>
      <c r="AG91" s="359">
        <f>CS_PID!AG91/VLOOKUP($B91,표2[#ALL],2)</f>
        <v>0</v>
      </c>
      <c r="AH91" s="359">
        <f>CS_PID!AH91/VLOOKUP($B91,표2[#ALL],2)</f>
        <v>0</v>
      </c>
      <c r="AI91" s="359">
        <f>CS_PID!AI91/VLOOKUP($B91,표2[#ALL],2)</f>
        <v>0</v>
      </c>
      <c r="AJ91" s="359">
        <f>CS_PID!AJ91/VLOOKUP($B91,표2[#ALL],2)</f>
        <v>0.009734203485</v>
      </c>
      <c r="AK91" s="359">
        <f>CS_PID!AK91/VLOOKUP($B91,표2[#ALL],2)</f>
        <v>0</v>
      </c>
      <c r="AL91" s="359">
        <f>CS_PID!AL91/VLOOKUP($B91,표2[#ALL],2)</f>
        <v>0</v>
      </c>
      <c r="AM91" s="359">
        <f>CS_PID!AM91/VLOOKUP($B91,표2[#ALL],2)</f>
        <v>0</v>
      </c>
      <c r="AN91" s="359">
        <f>CS_PID!AN91/VLOOKUP($B91,표2[#ALL],2)</f>
        <v>0</v>
      </c>
      <c r="AO91" s="359">
        <f>CS_PID!AO91/VLOOKUP($B91,표2[#ALL],2)</f>
        <v>0</v>
      </c>
      <c r="AP91" s="359">
        <f>CS_PID!AP91/VLOOKUP($B91,표2[#ALL],2)</f>
        <v>0</v>
      </c>
      <c r="AQ91" s="359">
        <f>CS_PID!AQ91/VLOOKUP($B91,표2[#ALL],2)</f>
        <v>0</v>
      </c>
      <c r="AR91" s="359">
        <f>CS_PID!AR91/VLOOKUP($B91,표2[#ALL],2)</f>
        <v>0</v>
      </c>
      <c r="AS91" s="359">
        <f>CS_PID!AS91/VLOOKUP($B91,표2[#ALL],2)</f>
        <v>0</v>
      </c>
    </row>
    <row r="92">
      <c r="A92" s="173" t="s">
        <v>126</v>
      </c>
      <c r="B92" s="178">
        <v>365.0</v>
      </c>
      <c r="C92" s="359">
        <f>CS_PID!C92/VLOOKUP($B92,표2[#ALL],2)</f>
        <v>0</v>
      </c>
      <c r="D92" s="359">
        <f>CS_PID!D92/VLOOKUP($B92,표2[#ALL],2)</f>
        <v>0</v>
      </c>
      <c r="E92" s="359">
        <f>CS_PID!E92/VLOOKUP($B92,표2[#ALL],2)</f>
        <v>0.01110316347</v>
      </c>
      <c r="F92" s="359">
        <f>CS_PID!F92/VLOOKUP($B92,표2[#ALL],2)</f>
        <v>0.01110316347</v>
      </c>
      <c r="G92" s="359">
        <f>CS_PID!G92/VLOOKUP($B92,표2[#ALL],2)</f>
        <v>0</v>
      </c>
      <c r="H92" s="359">
        <f>CS_PID!H92/VLOOKUP($B92,표2[#ALL],2)</f>
        <v>0</v>
      </c>
      <c r="I92" s="359">
        <f>CS_PID!I92/VLOOKUP($B92,표2[#ALL],2)</f>
        <v>0</v>
      </c>
      <c r="J92" s="359">
        <f>CS_PID!J92/VLOOKUP($B92,표2[#ALL],2)</f>
        <v>0.003701054489</v>
      </c>
      <c r="K92" s="359">
        <f>CS_PID!K92/VLOOKUP($B92,표2[#ALL],2)</f>
        <v>0.01850527244</v>
      </c>
      <c r="L92" s="359">
        <f>CS_PID!L92/VLOOKUP($B92,표2[#ALL],2)</f>
        <v>0.01480421796</v>
      </c>
      <c r="M92" s="359">
        <f>CS_PID!M92/VLOOKUP($B92,표2[#ALL],2)</f>
        <v>0.003701054489</v>
      </c>
      <c r="N92" s="359">
        <f>CS_PID!N92/VLOOKUP($B92,표2[#ALL],2)</f>
        <v>0</v>
      </c>
      <c r="O92" s="359">
        <f>CS_PID!O92/VLOOKUP($B92,표2[#ALL],2)</f>
        <v>0</v>
      </c>
      <c r="P92" s="359">
        <f>CS_PID!P92/VLOOKUP($B92,표2[#ALL],2)</f>
        <v>0.003701054489</v>
      </c>
      <c r="Q92" s="359">
        <f>CS_PID!Q92/VLOOKUP($B92,표2[#ALL],2)</f>
        <v>0.01480421796</v>
      </c>
      <c r="R92" s="359">
        <f>CS_PID!R92/VLOOKUP($B92,표2[#ALL],2)</f>
        <v>0.01480421796</v>
      </c>
      <c r="S92" s="359">
        <f>CS_PID!S92/VLOOKUP($B92,표2[#ALL],2)</f>
        <v>0</v>
      </c>
      <c r="T92" s="359">
        <f>CS_PID!T92/VLOOKUP($B92,표2[#ALL],2)</f>
        <v>0</v>
      </c>
      <c r="U92" s="359">
        <f>CS_PID!U92/VLOOKUP($B92,표2[#ALL],2)</f>
        <v>0</v>
      </c>
      <c r="V92" s="359">
        <f>CS_PID!V92/VLOOKUP($B92,표2[#ALL],2)</f>
        <v>0</v>
      </c>
      <c r="W92" s="359">
        <f>CS_PID!W92/VLOOKUP($B92,표2[#ALL],2)</f>
        <v>0.01110316347</v>
      </c>
      <c r="X92" s="359">
        <f>CS_PID!X92/VLOOKUP($B92,표2[#ALL],2)</f>
        <v>0.01850527244</v>
      </c>
      <c r="Y92" s="359">
        <f>CS_PID!Y92/VLOOKUP($B92,표2[#ALL],2)</f>
        <v>0</v>
      </c>
      <c r="Z92" s="359">
        <f>CS_PID!Z92/VLOOKUP($B92,표2[#ALL],2)</f>
        <v>0</v>
      </c>
      <c r="AA92" s="359">
        <f>CS_PID!AA92/VLOOKUP($B92,표2[#ALL],2)</f>
        <v>0</v>
      </c>
      <c r="AB92" s="359">
        <f>CS_PID!AB92/VLOOKUP($B92,표2[#ALL],2)</f>
        <v>0</v>
      </c>
      <c r="AC92" s="359">
        <f>CS_PID!AC92/VLOOKUP($B92,표2[#ALL],2)</f>
        <v>0</v>
      </c>
      <c r="AD92" s="359">
        <f>CS_PID!AD92/VLOOKUP($B92,표2[#ALL],2)</f>
        <v>0.007402108978</v>
      </c>
      <c r="AE92" s="359">
        <f>CS_PID!AE92/VLOOKUP($B92,표2[#ALL],2)</f>
        <v>0</v>
      </c>
      <c r="AF92" s="359">
        <f>CS_PID!AF92/VLOOKUP($B92,표2[#ALL],2)</f>
        <v>0</v>
      </c>
      <c r="AG92" s="359">
        <f>CS_PID!AG92/VLOOKUP($B92,표2[#ALL],2)</f>
        <v>0</v>
      </c>
      <c r="AH92" s="359">
        <f>CS_PID!AH92/VLOOKUP($B92,표2[#ALL],2)</f>
        <v>0</v>
      </c>
      <c r="AI92" s="359">
        <f>CS_PID!AI92/VLOOKUP($B92,표2[#ALL],2)</f>
        <v>0.003701054489</v>
      </c>
      <c r="AJ92" s="359">
        <f>CS_PID!AJ92/VLOOKUP($B92,표2[#ALL],2)</f>
        <v>0.01110316347</v>
      </c>
      <c r="AK92" s="359">
        <f>CS_PID!AK92/VLOOKUP($B92,표2[#ALL],2)</f>
        <v>0</v>
      </c>
      <c r="AL92" s="359">
        <f>CS_PID!AL92/VLOOKUP($B92,표2[#ALL],2)</f>
        <v>0</v>
      </c>
      <c r="AM92" s="359">
        <f>CS_PID!AM92/VLOOKUP($B92,표2[#ALL],2)</f>
        <v>0</v>
      </c>
      <c r="AN92" s="359">
        <f>CS_PID!AN92/VLOOKUP($B92,표2[#ALL],2)</f>
        <v>0</v>
      </c>
      <c r="AO92" s="359">
        <f>CS_PID!AO92/VLOOKUP($B92,표2[#ALL],2)</f>
        <v>0</v>
      </c>
      <c r="AP92" s="359">
        <f>CS_PID!AP92/VLOOKUP($B92,표2[#ALL],2)</f>
        <v>0</v>
      </c>
      <c r="AQ92" s="359">
        <f>CS_PID!AQ92/VLOOKUP($B92,표2[#ALL],2)</f>
        <v>0</v>
      </c>
      <c r="AR92" s="359">
        <f>CS_PID!AR92/VLOOKUP($B92,표2[#ALL],2)</f>
        <v>0</v>
      </c>
      <c r="AS92" s="359">
        <f>CS_PID!AS92/VLOOKUP($B92,표2[#ALL],2)</f>
        <v>0</v>
      </c>
    </row>
    <row r="93">
      <c r="A93" s="173" t="s">
        <v>126</v>
      </c>
      <c r="B93" s="178">
        <v>366.0</v>
      </c>
      <c r="C93" s="359">
        <f>CS_PID!C93/VLOOKUP($B93,표2[#ALL],2)</f>
        <v>0.001551141124</v>
      </c>
      <c r="D93" s="359">
        <f>CS_PID!D93/VLOOKUP($B93,표2[#ALL],2)</f>
        <v>0</v>
      </c>
      <c r="E93" s="359">
        <f>CS_PID!E93/VLOOKUP($B93,표2[#ALL],2)</f>
        <v>0.001551141124</v>
      </c>
      <c r="F93" s="359">
        <f>CS_PID!F93/VLOOKUP($B93,표2[#ALL],2)</f>
        <v>0.01706255237</v>
      </c>
      <c r="G93" s="359">
        <f>CS_PID!G93/VLOOKUP($B93,표2[#ALL],2)</f>
        <v>0.003102282249</v>
      </c>
      <c r="H93" s="359">
        <f>CS_PID!H93/VLOOKUP($B93,표2[#ALL],2)</f>
        <v>0</v>
      </c>
      <c r="I93" s="359">
        <f>CS_PID!I93/VLOOKUP($B93,표2[#ALL],2)</f>
        <v>0</v>
      </c>
      <c r="J93" s="359">
        <f>CS_PID!J93/VLOOKUP($B93,표2[#ALL],2)</f>
        <v>0.003102282249</v>
      </c>
      <c r="K93" s="359">
        <f>CS_PID!K93/VLOOKUP($B93,표2[#ALL],2)</f>
        <v>0.02481825799</v>
      </c>
      <c r="L93" s="359">
        <f>CS_PID!L93/VLOOKUP($B93,표2[#ALL],2)</f>
        <v>0.01861369349</v>
      </c>
      <c r="M93" s="359">
        <f>CS_PID!M93/VLOOKUP($B93,표2[#ALL],2)</f>
        <v>0</v>
      </c>
      <c r="N93" s="359">
        <f>CS_PID!N93/VLOOKUP($B93,표2[#ALL],2)</f>
        <v>0</v>
      </c>
      <c r="O93" s="359">
        <f>CS_PID!O93/VLOOKUP($B93,표2[#ALL],2)</f>
        <v>0</v>
      </c>
      <c r="P93" s="359">
        <f>CS_PID!P93/VLOOKUP($B93,표2[#ALL],2)</f>
        <v>0.001551141124</v>
      </c>
      <c r="Q93" s="359">
        <f>CS_PID!Q93/VLOOKUP($B93,표2[#ALL],2)</f>
        <v>0.02171597574</v>
      </c>
      <c r="R93" s="359">
        <f>CS_PID!R93/VLOOKUP($B93,표2[#ALL],2)</f>
        <v>0.012409129</v>
      </c>
      <c r="S93" s="359">
        <f>CS_PID!S93/VLOOKUP($B93,표2[#ALL],2)</f>
        <v>0.004653423373</v>
      </c>
      <c r="T93" s="359">
        <f>CS_PID!T93/VLOOKUP($B93,표2[#ALL],2)</f>
        <v>0</v>
      </c>
      <c r="U93" s="359">
        <f>CS_PID!U93/VLOOKUP($B93,표2[#ALL],2)</f>
        <v>0</v>
      </c>
      <c r="V93" s="359">
        <f>CS_PID!V93/VLOOKUP($B93,표2[#ALL],2)</f>
        <v>0</v>
      </c>
      <c r="W93" s="359">
        <f>CS_PID!W93/VLOOKUP($B93,표2[#ALL],2)</f>
        <v>0.001551141124</v>
      </c>
      <c r="X93" s="359">
        <f>CS_PID!X93/VLOOKUP($B93,표2[#ALL],2)</f>
        <v>0.01706255237</v>
      </c>
      <c r="Y93" s="359">
        <f>CS_PID!Y93/VLOOKUP($B93,표2[#ALL],2)</f>
        <v>0.001551141124</v>
      </c>
      <c r="Z93" s="359">
        <f>CS_PID!Z93/VLOOKUP($B93,표2[#ALL],2)</f>
        <v>0</v>
      </c>
      <c r="AA93" s="359">
        <f>CS_PID!AA93/VLOOKUP($B93,표2[#ALL],2)</f>
        <v>0</v>
      </c>
      <c r="AB93" s="359">
        <f>CS_PID!AB93/VLOOKUP($B93,표2[#ALL],2)</f>
        <v>0</v>
      </c>
      <c r="AC93" s="359">
        <f>CS_PID!AC93/VLOOKUP($B93,표2[#ALL],2)</f>
        <v>0</v>
      </c>
      <c r="AD93" s="359">
        <f>CS_PID!AD93/VLOOKUP($B93,표2[#ALL],2)</f>
        <v>0.003102282249</v>
      </c>
      <c r="AE93" s="359">
        <f>CS_PID!AE93/VLOOKUP($B93,표2[#ALL],2)</f>
        <v>0.001551141124</v>
      </c>
      <c r="AF93" s="359">
        <f>CS_PID!AF93/VLOOKUP($B93,표2[#ALL],2)</f>
        <v>0</v>
      </c>
      <c r="AG93" s="359">
        <f>CS_PID!AG93/VLOOKUP($B93,표2[#ALL],2)</f>
        <v>0</v>
      </c>
      <c r="AH93" s="359">
        <f>CS_PID!AH93/VLOOKUP($B93,표2[#ALL],2)</f>
        <v>0</v>
      </c>
      <c r="AI93" s="359">
        <f>CS_PID!AI93/VLOOKUP($B93,표2[#ALL],2)</f>
        <v>0</v>
      </c>
      <c r="AJ93" s="359">
        <f>CS_PID!AJ93/VLOOKUP($B93,표2[#ALL],2)</f>
        <v>0.003102282249</v>
      </c>
      <c r="AK93" s="359">
        <f>CS_PID!AK93/VLOOKUP($B93,표2[#ALL],2)</f>
        <v>0</v>
      </c>
      <c r="AL93" s="359">
        <f>CS_PID!AL93/VLOOKUP($B93,표2[#ALL],2)</f>
        <v>0</v>
      </c>
      <c r="AM93" s="359">
        <f>CS_PID!AM93/VLOOKUP($B93,표2[#ALL],2)</f>
        <v>0</v>
      </c>
      <c r="AN93" s="359">
        <f>CS_PID!AN93/VLOOKUP($B93,표2[#ALL],2)</f>
        <v>0</v>
      </c>
      <c r="AO93" s="359">
        <f>CS_PID!AO93/VLOOKUP($B93,표2[#ALL],2)</f>
        <v>0.001551141124</v>
      </c>
      <c r="AP93" s="359">
        <f>CS_PID!AP93/VLOOKUP($B93,표2[#ALL],2)</f>
        <v>0</v>
      </c>
      <c r="AQ93" s="359">
        <f>CS_PID!AQ93/VLOOKUP($B93,표2[#ALL],2)</f>
        <v>0</v>
      </c>
      <c r="AR93" s="359">
        <f>CS_PID!AR93/VLOOKUP($B93,표2[#ALL],2)</f>
        <v>0</v>
      </c>
      <c r="AS93" s="359">
        <f>CS_PID!AS93/VLOOKUP($B93,표2[#ALL],2)</f>
        <v>0</v>
      </c>
    </row>
    <row r="94">
      <c r="A94" s="173" t="s">
        <v>126</v>
      </c>
      <c r="B94" s="178">
        <v>367.0</v>
      </c>
      <c r="C94" s="359">
        <f>CS_PID!C94/VLOOKUP($B94,표2[#ALL],2)</f>
        <v>0</v>
      </c>
      <c r="D94" s="359">
        <f>CS_PID!D94/VLOOKUP($B94,표2[#ALL],2)</f>
        <v>0.002253053101</v>
      </c>
      <c r="E94" s="359">
        <f>CS_PID!E94/VLOOKUP($B94,표2[#ALL],2)</f>
        <v>0.002253053101</v>
      </c>
      <c r="F94" s="359">
        <f>CS_PID!F94/VLOOKUP($B94,표2[#ALL],2)</f>
        <v>0.01351831861</v>
      </c>
      <c r="G94" s="359">
        <f>CS_PID!G94/VLOOKUP($B94,표2[#ALL],2)</f>
        <v>0</v>
      </c>
      <c r="H94" s="359">
        <f>CS_PID!H94/VLOOKUP($B94,표2[#ALL],2)</f>
        <v>0.002253053101</v>
      </c>
      <c r="I94" s="359">
        <f>CS_PID!I94/VLOOKUP($B94,표2[#ALL],2)</f>
        <v>0</v>
      </c>
      <c r="J94" s="359">
        <f>CS_PID!J94/VLOOKUP($B94,표2[#ALL],2)</f>
        <v>0.002253053101</v>
      </c>
      <c r="K94" s="359">
        <f>CS_PID!K94/VLOOKUP($B94,표2[#ALL],2)</f>
        <v>0.009012212404</v>
      </c>
      <c r="L94" s="359">
        <f>CS_PID!L94/VLOOKUP($B94,표2[#ALL],2)</f>
        <v>0.009012212404</v>
      </c>
      <c r="M94" s="359">
        <f>CS_PID!M94/VLOOKUP($B94,표2[#ALL],2)</f>
        <v>0.002253053101</v>
      </c>
      <c r="N94" s="359">
        <f>CS_PID!N94/VLOOKUP($B94,표2[#ALL],2)</f>
        <v>0</v>
      </c>
      <c r="O94" s="359">
        <f>CS_PID!O94/VLOOKUP($B94,표2[#ALL],2)</f>
        <v>0</v>
      </c>
      <c r="P94" s="359">
        <f>CS_PID!P94/VLOOKUP($B94,표2[#ALL],2)</f>
        <v>0</v>
      </c>
      <c r="Q94" s="359">
        <f>CS_PID!Q94/VLOOKUP($B94,표2[#ALL],2)</f>
        <v>0.02253053101</v>
      </c>
      <c r="R94" s="359">
        <f>CS_PID!R94/VLOOKUP($B94,표2[#ALL],2)</f>
        <v>0.01577137171</v>
      </c>
      <c r="S94" s="359">
        <f>CS_PID!S94/VLOOKUP($B94,표2[#ALL],2)</f>
        <v>0</v>
      </c>
      <c r="T94" s="359">
        <f>CS_PID!T94/VLOOKUP($B94,표2[#ALL],2)</f>
        <v>0</v>
      </c>
      <c r="U94" s="359">
        <f>CS_PID!U94/VLOOKUP($B94,표2[#ALL],2)</f>
        <v>0</v>
      </c>
      <c r="V94" s="359">
        <f>CS_PID!V94/VLOOKUP($B94,표2[#ALL],2)</f>
        <v>0</v>
      </c>
      <c r="W94" s="359">
        <f>CS_PID!W94/VLOOKUP($B94,표2[#ALL],2)</f>
        <v>0.002253053101</v>
      </c>
      <c r="X94" s="359">
        <f>CS_PID!X94/VLOOKUP($B94,표2[#ALL],2)</f>
        <v>0.01802442481</v>
      </c>
      <c r="Y94" s="359">
        <f>CS_PID!Y94/VLOOKUP($B94,표2[#ALL],2)</f>
        <v>0.006759159303</v>
      </c>
      <c r="Z94" s="359">
        <f>CS_PID!Z94/VLOOKUP($B94,표2[#ALL],2)</f>
        <v>0</v>
      </c>
      <c r="AA94" s="359">
        <f>CS_PID!AA94/VLOOKUP($B94,표2[#ALL],2)</f>
        <v>0</v>
      </c>
      <c r="AB94" s="359">
        <f>CS_PID!AB94/VLOOKUP($B94,표2[#ALL],2)</f>
        <v>0</v>
      </c>
      <c r="AC94" s="359">
        <f>CS_PID!AC94/VLOOKUP($B94,표2[#ALL],2)</f>
        <v>0.002253053101</v>
      </c>
      <c r="AD94" s="359">
        <f>CS_PID!AD94/VLOOKUP($B94,표2[#ALL],2)</f>
        <v>0.0112652655</v>
      </c>
      <c r="AE94" s="359">
        <f>CS_PID!AE94/VLOOKUP($B94,표2[#ALL],2)</f>
        <v>0.002253053101</v>
      </c>
      <c r="AF94" s="359">
        <f>CS_PID!AF94/VLOOKUP($B94,표2[#ALL],2)</f>
        <v>0</v>
      </c>
      <c r="AG94" s="359">
        <f>CS_PID!AG94/VLOOKUP($B94,표2[#ALL],2)</f>
        <v>0</v>
      </c>
      <c r="AH94" s="359">
        <f>CS_PID!AH94/VLOOKUP($B94,표2[#ALL],2)</f>
        <v>0</v>
      </c>
      <c r="AI94" s="359">
        <f>CS_PID!AI94/VLOOKUP($B94,표2[#ALL],2)</f>
        <v>0</v>
      </c>
      <c r="AJ94" s="359">
        <f>CS_PID!AJ94/VLOOKUP($B94,표2[#ALL],2)</f>
        <v>0.002253053101</v>
      </c>
      <c r="AK94" s="359">
        <f>CS_PID!AK94/VLOOKUP($B94,표2[#ALL],2)</f>
        <v>0</v>
      </c>
      <c r="AL94" s="359">
        <f>CS_PID!AL94/VLOOKUP($B94,표2[#ALL],2)</f>
        <v>0</v>
      </c>
      <c r="AM94" s="359">
        <f>CS_PID!AM94/VLOOKUP($B94,표2[#ALL],2)</f>
        <v>0</v>
      </c>
      <c r="AN94" s="359">
        <f>CS_PID!AN94/VLOOKUP($B94,표2[#ALL],2)</f>
        <v>0</v>
      </c>
      <c r="AO94" s="359">
        <f>CS_PID!AO94/VLOOKUP($B94,표2[#ALL],2)</f>
        <v>0</v>
      </c>
      <c r="AP94" s="359">
        <f>CS_PID!AP94/VLOOKUP($B94,표2[#ALL],2)</f>
        <v>0</v>
      </c>
      <c r="AQ94" s="359">
        <f>CS_PID!AQ94/VLOOKUP($B94,표2[#ALL],2)</f>
        <v>0</v>
      </c>
      <c r="AR94" s="359">
        <f>CS_PID!AR94/VLOOKUP($B94,표2[#ALL],2)</f>
        <v>0</v>
      </c>
      <c r="AS94" s="359">
        <f>CS_PID!AS94/VLOOKUP($B94,표2[#ALL],2)</f>
        <v>0</v>
      </c>
    </row>
    <row r="95">
      <c r="A95" s="173" t="s">
        <v>126</v>
      </c>
      <c r="B95" s="178">
        <v>368.0</v>
      </c>
      <c r="C95" s="359">
        <f>CS_PID!C95/VLOOKUP($B95,표2[#ALL],2)</f>
        <v>0</v>
      </c>
      <c r="D95" s="359">
        <f>CS_PID!D95/VLOOKUP($B95,표2[#ALL],2)</f>
        <v>0</v>
      </c>
      <c r="E95" s="359">
        <f>CS_PID!E95/VLOOKUP($B95,표2[#ALL],2)</f>
        <v>0.001451726008</v>
      </c>
      <c r="F95" s="359">
        <f>CS_PID!F95/VLOOKUP($B95,표2[#ALL],2)</f>
        <v>0.01887243811</v>
      </c>
      <c r="G95" s="359">
        <f>CS_PID!G95/VLOOKUP($B95,표2[#ALL],2)</f>
        <v>0</v>
      </c>
      <c r="H95" s="359">
        <f>CS_PID!H95/VLOOKUP($B95,표2[#ALL],2)</f>
        <v>0</v>
      </c>
      <c r="I95" s="359">
        <f>CS_PID!I95/VLOOKUP($B95,표2[#ALL],2)</f>
        <v>0</v>
      </c>
      <c r="J95" s="359">
        <f>CS_PID!J95/VLOOKUP($B95,표2[#ALL],2)</f>
        <v>0.01016208206</v>
      </c>
      <c r="K95" s="359">
        <f>CS_PID!K95/VLOOKUP($B95,표2[#ALL],2)</f>
        <v>0.01887243811</v>
      </c>
      <c r="L95" s="359">
        <f>CS_PID!L95/VLOOKUP($B95,표2[#ALL],2)</f>
        <v>0.01306553408</v>
      </c>
      <c r="M95" s="359">
        <f>CS_PID!M95/VLOOKUP($B95,표2[#ALL],2)</f>
        <v>0.002903452017</v>
      </c>
      <c r="N95" s="359">
        <f>CS_PID!N95/VLOOKUP($B95,표2[#ALL],2)</f>
        <v>0</v>
      </c>
      <c r="O95" s="359">
        <f>CS_PID!O95/VLOOKUP($B95,표2[#ALL],2)</f>
        <v>0</v>
      </c>
      <c r="P95" s="359">
        <f>CS_PID!P95/VLOOKUP($B95,표2[#ALL],2)</f>
        <v>0.002903452017</v>
      </c>
      <c r="Q95" s="359">
        <f>CS_PID!Q95/VLOOKUP($B95,표2[#ALL],2)</f>
        <v>0.01596898609</v>
      </c>
      <c r="R95" s="359">
        <f>CS_PID!R95/VLOOKUP($B95,표2[#ALL],2)</f>
        <v>0.01306553408</v>
      </c>
      <c r="S95" s="359">
        <f>CS_PID!S95/VLOOKUP($B95,표2[#ALL],2)</f>
        <v>0</v>
      </c>
      <c r="T95" s="359">
        <f>CS_PID!T95/VLOOKUP($B95,표2[#ALL],2)</f>
        <v>0</v>
      </c>
      <c r="U95" s="359">
        <f>CS_PID!U95/VLOOKUP($B95,표2[#ALL],2)</f>
        <v>0</v>
      </c>
      <c r="V95" s="359">
        <f>CS_PID!V95/VLOOKUP($B95,표2[#ALL],2)</f>
        <v>0</v>
      </c>
      <c r="W95" s="359">
        <f>CS_PID!W95/VLOOKUP($B95,표2[#ALL],2)</f>
        <v>0.004355178025</v>
      </c>
      <c r="X95" s="359">
        <f>CS_PID!X95/VLOOKUP($B95,표2[#ALL],2)</f>
        <v>0.02467934214</v>
      </c>
      <c r="Y95" s="359">
        <f>CS_PID!Y95/VLOOKUP($B95,표2[#ALL],2)</f>
        <v>0.001451726008</v>
      </c>
      <c r="Z95" s="359">
        <f>CS_PID!Z95/VLOOKUP($B95,표2[#ALL],2)</f>
        <v>0</v>
      </c>
      <c r="AA95" s="359">
        <f>CS_PID!AA95/VLOOKUP($B95,표2[#ALL],2)</f>
        <v>0</v>
      </c>
      <c r="AB95" s="359">
        <f>CS_PID!AB95/VLOOKUP($B95,표2[#ALL],2)</f>
        <v>0</v>
      </c>
      <c r="AC95" s="359">
        <f>CS_PID!AC95/VLOOKUP($B95,표2[#ALL],2)</f>
        <v>0.002903452017</v>
      </c>
      <c r="AD95" s="359">
        <f>CS_PID!AD95/VLOOKUP($B95,표2[#ALL],2)</f>
        <v>0.01016208206</v>
      </c>
      <c r="AE95" s="359">
        <f>CS_PID!AE95/VLOOKUP($B95,표2[#ALL],2)</f>
        <v>0.004355178025</v>
      </c>
      <c r="AF95" s="359">
        <f>CS_PID!AF95/VLOOKUP($B95,표2[#ALL],2)</f>
        <v>0</v>
      </c>
      <c r="AG95" s="359">
        <f>CS_PID!AG95/VLOOKUP($B95,표2[#ALL],2)</f>
        <v>0</v>
      </c>
      <c r="AH95" s="359">
        <f>CS_PID!AH95/VLOOKUP($B95,표2[#ALL],2)</f>
        <v>0</v>
      </c>
      <c r="AI95" s="359">
        <f>CS_PID!AI95/VLOOKUP($B95,표2[#ALL],2)</f>
        <v>0</v>
      </c>
      <c r="AJ95" s="359">
        <f>CS_PID!AJ95/VLOOKUP($B95,표2[#ALL],2)</f>
        <v>0.002903452017</v>
      </c>
      <c r="AK95" s="359">
        <f>CS_PID!AK95/VLOOKUP($B95,표2[#ALL],2)</f>
        <v>0.001451726008</v>
      </c>
      <c r="AL95" s="359">
        <f>CS_PID!AL95/VLOOKUP($B95,표2[#ALL],2)</f>
        <v>0</v>
      </c>
      <c r="AM95" s="359">
        <f>CS_PID!AM95/VLOOKUP($B95,표2[#ALL],2)</f>
        <v>0</v>
      </c>
      <c r="AN95" s="359">
        <f>CS_PID!AN95/VLOOKUP($B95,표2[#ALL],2)</f>
        <v>0</v>
      </c>
      <c r="AO95" s="359">
        <f>CS_PID!AO95/VLOOKUP($B95,표2[#ALL],2)</f>
        <v>0</v>
      </c>
      <c r="AP95" s="359">
        <f>CS_PID!AP95/VLOOKUP($B95,표2[#ALL],2)</f>
        <v>0</v>
      </c>
      <c r="AQ95" s="359">
        <f>CS_PID!AQ95/VLOOKUP($B95,표2[#ALL],2)</f>
        <v>0</v>
      </c>
      <c r="AR95" s="359">
        <f>CS_PID!AR95/VLOOKUP($B95,표2[#ALL],2)</f>
        <v>0</v>
      </c>
      <c r="AS95" s="359">
        <f>CS_PID!AS95/VLOOKUP($B95,표2[#ALL],2)</f>
        <v>0</v>
      </c>
    </row>
    <row r="96">
      <c r="A96" s="173" t="s">
        <v>126</v>
      </c>
      <c r="B96" s="178">
        <v>369.0</v>
      </c>
      <c r="C96" s="359">
        <f>CS_PID!C96/VLOOKUP($B96,표2[#ALL],2)</f>
        <v>0</v>
      </c>
      <c r="D96" s="359">
        <f>CS_PID!D96/VLOOKUP($B96,표2[#ALL],2)</f>
        <v>0</v>
      </c>
      <c r="E96" s="359">
        <f>CS_PID!E96/VLOOKUP($B96,표2[#ALL],2)</f>
        <v>0.01499326033</v>
      </c>
      <c r="F96" s="359">
        <f>CS_PID!F96/VLOOKUP($B96,표2[#ALL],2)</f>
        <v>0.01499326033</v>
      </c>
      <c r="G96" s="359">
        <f>CS_PID!G96/VLOOKUP($B96,표2[#ALL],2)</f>
        <v>0</v>
      </c>
      <c r="H96" s="359">
        <f>CS_PID!H96/VLOOKUP($B96,표2[#ALL],2)</f>
        <v>0</v>
      </c>
      <c r="I96" s="359">
        <f>CS_PID!I96/VLOOKUP($B96,표2[#ALL],2)</f>
        <v>0</v>
      </c>
      <c r="J96" s="359">
        <f>CS_PID!J96/VLOOKUP($B96,표2[#ALL],2)</f>
        <v>0</v>
      </c>
      <c r="K96" s="359">
        <f>CS_PID!K96/VLOOKUP($B96,표2[#ALL],2)</f>
        <v>0.01499326033</v>
      </c>
      <c r="L96" s="359">
        <f>CS_PID!L96/VLOOKUP($B96,표2[#ALL],2)</f>
        <v>0</v>
      </c>
      <c r="M96" s="359">
        <f>CS_PID!M96/VLOOKUP($B96,표2[#ALL],2)</f>
        <v>0</v>
      </c>
      <c r="N96" s="359">
        <f>CS_PID!N96/VLOOKUP($B96,표2[#ALL],2)</f>
        <v>0</v>
      </c>
      <c r="O96" s="359">
        <f>CS_PID!O96/VLOOKUP($B96,표2[#ALL],2)</f>
        <v>0</v>
      </c>
      <c r="P96" s="359">
        <f>CS_PID!P96/VLOOKUP($B96,표2[#ALL],2)</f>
        <v>0</v>
      </c>
      <c r="Q96" s="359">
        <f>CS_PID!Q96/VLOOKUP($B96,표2[#ALL],2)</f>
        <v>0</v>
      </c>
      <c r="R96" s="359">
        <f>CS_PID!R96/VLOOKUP($B96,표2[#ALL],2)</f>
        <v>0.02998652067</v>
      </c>
      <c r="S96" s="359">
        <f>CS_PID!S96/VLOOKUP($B96,표2[#ALL],2)</f>
        <v>0.01499326033</v>
      </c>
      <c r="T96" s="359">
        <f>CS_PID!T96/VLOOKUP($B96,표2[#ALL],2)</f>
        <v>0</v>
      </c>
      <c r="U96" s="359">
        <f>CS_PID!U96/VLOOKUP($B96,표2[#ALL],2)</f>
        <v>0</v>
      </c>
      <c r="V96" s="359">
        <f>CS_PID!V96/VLOOKUP($B96,표2[#ALL],2)</f>
        <v>0</v>
      </c>
      <c r="W96" s="359">
        <f>CS_PID!W96/VLOOKUP($B96,표2[#ALL],2)</f>
        <v>0</v>
      </c>
      <c r="X96" s="359">
        <f>CS_PID!X96/VLOOKUP($B96,표2[#ALL],2)</f>
        <v>0</v>
      </c>
      <c r="Y96" s="359">
        <f>CS_PID!Y96/VLOOKUP($B96,표2[#ALL],2)</f>
        <v>0</v>
      </c>
      <c r="Z96" s="359">
        <f>CS_PID!Z96/VLOOKUP($B96,표2[#ALL],2)</f>
        <v>0</v>
      </c>
      <c r="AA96" s="359">
        <f>CS_PID!AA96/VLOOKUP($B96,표2[#ALL],2)</f>
        <v>0</v>
      </c>
      <c r="AB96" s="359">
        <f>CS_PID!AB96/VLOOKUP($B96,표2[#ALL],2)</f>
        <v>0</v>
      </c>
      <c r="AC96" s="359">
        <f>CS_PID!AC96/VLOOKUP($B96,표2[#ALL],2)</f>
        <v>0.02998652067</v>
      </c>
      <c r="AD96" s="359">
        <f>CS_PID!AD96/VLOOKUP($B96,표2[#ALL],2)</f>
        <v>0</v>
      </c>
      <c r="AE96" s="359">
        <f>CS_PID!AE96/VLOOKUP($B96,표2[#ALL],2)</f>
        <v>0</v>
      </c>
      <c r="AF96" s="359">
        <f>CS_PID!AF96/VLOOKUP($B96,표2[#ALL],2)</f>
        <v>0</v>
      </c>
      <c r="AG96" s="359">
        <f>CS_PID!AG96/VLOOKUP($B96,표2[#ALL],2)</f>
        <v>0</v>
      </c>
      <c r="AH96" s="359">
        <f>CS_PID!AH96/VLOOKUP($B96,표2[#ALL],2)</f>
        <v>0</v>
      </c>
      <c r="AI96" s="359">
        <f>CS_PID!AI96/VLOOKUP($B96,표2[#ALL],2)</f>
        <v>0</v>
      </c>
      <c r="AJ96" s="359">
        <f>CS_PID!AJ96/VLOOKUP($B96,표2[#ALL],2)</f>
        <v>0</v>
      </c>
      <c r="AK96" s="359">
        <f>CS_PID!AK96/VLOOKUP($B96,표2[#ALL],2)</f>
        <v>0.01499326033</v>
      </c>
      <c r="AL96" s="359">
        <f>CS_PID!AL96/VLOOKUP($B96,표2[#ALL],2)</f>
        <v>0</v>
      </c>
      <c r="AM96" s="359">
        <f>CS_PID!AM96/VLOOKUP($B96,표2[#ALL],2)</f>
        <v>0</v>
      </c>
      <c r="AN96" s="359">
        <f>CS_PID!AN96/VLOOKUP($B96,표2[#ALL],2)</f>
        <v>0</v>
      </c>
      <c r="AO96" s="359">
        <f>CS_PID!AO96/VLOOKUP($B96,표2[#ALL],2)</f>
        <v>0</v>
      </c>
      <c r="AP96" s="359">
        <f>CS_PID!AP96/VLOOKUP($B96,표2[#ALL],2)</f>
        <v>0</v>
      </c>
      <c r="AQ96" s="359">
        <f>CS_PID!AQ96/VLOOKUP($B96,표2[#ALL],2)</f>
        <v>0</v>
      </c>
      <c r="AR96" s="359">
        <f>CS_PID!AR96/VLOOKUP($B96,표2[#ALL],2)</f>
        <v>0</v>
      </c>
      <c r="AS96" s="359">
        <f>CS_PID!AS96/VLOOKUP($B96,표2[#ALL],2)</f>
        <v>0</v>
      </c>
    </row>
    <row r="97">
      <c r="A97" s="173" t="s">
        <v>126</v>
      </c>
      <c r="B97" s="178">
        <v>370.0</v>
      </c>
      <c r="C97" s="359">
        <f>CS_PID!C97/VLOOKUP($B97,표2[#ALL],2)</f>
        <v>0</v>
      </c>
      <c r="D97" s="359">
        <f>CS_PID!D97/VLOOKUP($B97,표2[#ALL],2)</f>
        <v>0</v>
      </c>
      <c r="E97" s="359">
        <f>CS_PID!E97/VLOOKUP($B97,표2[#ALL],2)</f>
        <v>0</v>
      </c>
      <c r="F97" s="359">
        <f>CS_PID!F97/VLOOKUP($B97,표2[#ALL],2)</f>
        <v>0</v>
      </c>
      <c r="G97" s="359">
        <f>CS_PID!G97/VLOOKUP($B97,표2[#ALL],2)</f>
        <v>0</v>
      </c>
      <c r="H97" s="359">
        <f>CS_PID!H97/VLOOKUP($B97,표2[#ALL],2)</f>
        <v>0</v>
      </c>
      <c r="I97" s="359">
        <f>CS_PID!I97/VLOOKUP($B97,표2[#ALL],2)</f>
        <v>0</v>
      </c>
      <c r="J97" s="359">
        <f>CS_PID!J97/VLOOKUP($B97,표2[#ALL],2)</f>
        <v>0</v>
      </c>
      <c r="K97" s="359">
        <f>CS_PID!K97/VLOOKUP($B97,표2[#ALL],2)</f>
        <v>0.03317165062</v>
      </c>
      <c r="L97" s="359">
        <f>CS_PID!L97/VLOOKUP($B97,표2[#ALL],2)</f>
        <v>0</v>
      </c>
      <c r="M97" s="359">
        <f>CS_PID!M97/VLOOKUP($B97,표2[#ALL],2)</f>
        <v>0</v>
      </c>
      <c r="N97" s="359">
        <f>CS_PID!N97/VLOOKUP($B97,표2[#ALL],2)</f>
        <v>0</v>
      </c>
      <c r="O97" s="359">
        <f>CS_PID!O97/VLOOKUP($B97,표2[#ALL],2)</f>
        <v>0</v>
      </c>
      <c r="P97" s="359">
        <f>CS_PID!P97/VLOOKUP($B97,표2[#ALL],2)</f>
        <v>0</v>
      </c>
      <c r="Q97" s="359">
        <f>CS_PID!Q97/VLOOKUP($B97,표2[#ALL],2)</f>
        <v>0</v>
      </c>
      <c r="R97" s="359">
        <f>CS_PID!R97/VLOOKUP($B97,표2[#ALL],2)</f>
        <v>0</v>
      </c>
      <c r="S97" s="359">
        <f>CS_PID!S97/VLOOKUP($B97,표2[#ALL],2)</f>
        <v>0</v>
      </c>
      <c r="T97" s="359">
        <f>CS_PID!T97/VLOOKUP($B97,표2[#ALL],2)</f>
        <v>0</v>
      </c>
      <c r="U97" s="359">
        <f>CS_PID!U97/VLOOKUP($B97,표2[#ALL],2)</f>
        <v>0</v>
      </c>
      <c r="V97" s="359">
        <f>CS_PID!V97/VLOOKUP($B97,표2[#ALL],2)</f>
        <v>0</v>
      </c>
      <c r="W97" s="359">
        <f>CS_PID!W97/VLOOKUP($B97,표2[#ALL],2)</f>
        <v>0</v>
      </c>
      <c r="X97" s="359">
        <f>CS_PID!X97/VLOOKUP($B97,표2[#ALL],2)</f>
        <v>0</v>
      </c>
      <c r="Y97" s="359">
        <f>CS_PID!Y97/VLOOKUP($B97,표2[#ALL],2)</f>
        <v>0</v>
      </c>
      <c r="Z97" s="359">
        <f>CS_PID!Z97/VLOOKUP($B97,표2[#ALL],2)</f>
        <v>0</v>
      </c>
      <c r="AA97" s="359">
        <f>CS_PID!AA97/VLOOKUP($B97,표2[#ALL],2)</f>
        <v>0</v>
      </c>
      <c r="AB97" s="359">
        <f>CS_PID!AB97/VLOOKUP($B97,표2[#ALL],2)</f>
        <v>0</v>
      </c>
      <c r="AC97" s="359">
        <f>CS_PID!AC97/VLOOKUP($B97,표2[#ALL],2)</f>
        <v>0</v>
      </c>
      <c r="AD97" s="359">
        <f>CS_PID!AD97/VLOOKUP($B97,표2[#ALL],2)</f>
        <v>0</v>
      </c>
      <c r="AE97" s="359">
        <f>CS_PID!AE97/VLOOKUP($B97,표2[#ALL],2)</f>
        <v>0</v>
      </c>
      <c r="AF97" s="359">
        <f>CS_PID!AF97/VLOOKUP($B97,표2[#ALL],2)</f>
        <v>0</v>
      </c>
      <c r="AG97" s="359">
        <f>CS_PID!AG97/VLOOKUP($B97,표2[#ALL],2)</f>
        <v>0</v>
      </c>
      <c r="AH97" s="359">
        <f>CS_PID!AH97/VLOOKUP($B97,표2[#ALL],2)</f>
        <v>0</v>
      </c>
      <c r="AI97" s="359">
        <f>CS_PID!AI97/VLOOKUP($B97,표2[#ALL],2)</f>
        <v>0</v>
      </c>
      <c r="AJ97" s="359">
        <f>CS_PID!AJ97/VLOOKUP($B97,표2[#ALL],2)</f>
        <v>0</v>
      </c>
      <c r="AK97" s="359">
        <f>CS_PID!AK97/VLOOKUP($B97,표2[#ALL],2)</f>
        <v>0</v>
      </c>
      <c r="AL97" s="359">
        <f>CS_PID!AL97/VLOOKUP($B97,표2[#ALL],2)</f>
        <v>0</v>
      </c>
      <c r="AM97" s="359">
        <f>CS_PID!AM97/VLOOKUP($B97,표2[#ALL],2)</f>
        <v>0</v>
      </c>
      <c r="AN97" s="359">
        <f>CS_PID!AN97/VLOOKUP($B97,표2[#ALL],2)</f>
        <v>0</v>
      </c>
      <c r="AO97" s="359">
        <f>CS_PID!AO97/VLOOKUP($B97,표2[#ALL],2)</f>
        <v>0</v>
      </c>
      <c r="AP97" s="359">
        <f>CS_PID!AP97/VLOOKUP($B97,표2[#ALL],2)</f>
        <v>0</v>
      </c>
      <c r="AQ97" s="359">
        <f>CS_PID!AQ97/VLOOKUP($B97,표2[#ALL],2)</f>
        <v>0</v>
      </c>
      <c r="AR97" s="359">
        <f>CS_PID!AR97/VLOOKUP($B97,표2[#ALL],2)</f>
        <v>0</v>
      </c>
      <c r="AS97" s="359">
        <f>CS_PID!AS97/VLOOKUP($B97,표2[#ALL],2)</f>
        <v>0</v>
      </c>
    </row>
    <row r="98">
      <c r="A98" s="173" t="s">
        <v>126</v>
      </c>
      <c r="B98" s="178">
        <v>371.0</v>
      </c>
      <c r="C98" s="359">
        <f>CS_PID!C98/VLOOKUP($B98,표2[#ALL],2)</f>
        <v>0</v>
      </c>
      <c r="D98" s="359">
        <f>CS_PID!D98/VLOOKUP($B98,표2[#ALL],2)</f>
        <v>0</v>
      </c>
      <c r="E98" s="359">
        <f>CS_PID!E98/VLOOKUP($B98,표2[#ALL],2)</f>
        <v>0</v>
      </c>
      <c r="F98" s="359">
        <f>CS_PID!F98/VLOOKUP($B98,표2[#ALL],2)</f>
        <v>0.04190076291</v>
      </c>
      <c r="G98" s="359">
        <f>CS_PID!G98/VLOOKUP($B98,표2[#ALL],2)</f>
        <v>0</v>
      </c>
      <c r="H98" s="359">
        <f>CS_PID!H98/VLOOKUP($B98,표2[#ALL],2)</f>
        <v>0</v>
      </c>
      <c r="I98" s="359">
        <f>CS_PID!I98/VLOOKUP($B98,표2[#ALL],2)</f>
        <v>0</v>
      </c>
      <c r="J98" s="359">
        <f>CS_PID!J98/VLOOKUP($B98,표2[#ALL],2)</f>
        <v>0</v>
      </c>
      <c r="K98" s="359">
        <f>CS_PID!K98/VLOOKUP($B98,표2[#ALL],2)</f>
        <v>0</v>
      </c>
      <c r="L98" s="359">
        <f>CS_PID!L98/VLOOKUP($B98,표2[#ALL],2)</f>
        <v>0.01396692097</v>
      </c>
      <c r="M98" s="359">
        <f>CS_PID!M98/VLOOKUP($B98,표2[#ALL],2)</f>
        <v>0</v>
      </c>
      <c r="N98" s="359">
        <f>CS_PID!N98/VLOOKUP($B98,표2[#ALL],2)</f>
        <v>0</v>
      </c>
      <c r="O98" s="359">
        <f>CS_PID!O98/VLOOKUP($B98,표2[#ALL],2)</f>
        <v>0</v>
      </c>
      <c r="P98" s="359">
        <f>CS_PID!P98/VLOOKUP($B98,표2[#ALL],2)</f>
        <v>0</v>
      </c>
      <c r="Q98" s="359">
        <f>CS_PID!Q98/VLOOKUP($B98,표2[#ALL],2)</f>
        <v>0</v>
      </c>
      <c r="R98" s="359">
        <f>CS_PID!R98/VLOOKUP($B98,표2[#ALL],2)</f>
        <v>0.01396692097</v>
      </c>
      <c r="S98" s="359">
        <f>CS_PID!S98/VLOOKUP($B98,표2[#ALL],2)</f>
        <v>0</v>
      </c>
      <c r="T98" s="359">
        <f>CS_PID!T98/VLOOKUP($B98,표2[#ALL],2)</f>
        <v>0</v>
      </c>
      <c r="U98" s="359">
        <f>CS_PID!U98/VLOOKUP($B98,표2[#ALL],2)</f>
        <v>0</v>
      </c>
      <c r="V98" s="359">
        <f>CS_PID!V98/VLOOKUP($B98,표2[#ALL],2)</f>
        <v>0</v>
      </c>
      <c r="W98" s="359">
        <f>CS_PID!W98/VLOOKUP($B98,표2[#ALL],2)</f>
        <v>0</v>
      </c>
      <c r="X98" s="359">
        <f>CS_PID!X98/VLOOKUP($B98,표2[#ALL],2)</f>
        <v>0.05586768388</v>
      </c>
      <c r="Y98" s="359">
        <f>CS_PID!Y98/VLOOKUP($B98,표2[#ALL],2)</f>
        <v>0.01396692097</v>
      </c>
      <c r="Z98" s="359">
        <f>CS_PID!Z98/VLOOKUP($B98,표2[#ALL],2)</f>
        <v>0</v>
      </c>
      <c r="AA98" s="359">
        <f>CS_PID!AA98/VLOOKUP($B98,표2[#ALL],2)</f>
        <v>0</v>
      </c>
      <c r="AB98" s="359">
        <f>CS_PID!AB98/VLOOKUP($B98,표2[#ALL],2)</f>
        <v>0</v>
      </c>
      <c r="AC98" s="359">
        <f>CS_PID!AC98/VLOOKUP($B98,표2[#ALL],2)</f>
        <v>0</v>
      </c>
      <c r="AD98" s="359">
        <f>CS_PID!AD98/VLOOKUP($B98,표2[#ALL],2)</f>
        <v>0</v>
      </c>
      <c r="AE98" s="359">
        <f>CS_PID!AE98/VLOOKUP($B98,표2[#ALL],2)</f>
        <v>0.01396692097</v>
      </c>
      <c r="AF98" s="359">
        <f>CS_PID!AF98/VLOOKUP($B98,표2[#ALL],2)</f>
        <v>0</v>
      </c>
      <c r="AG98" s="359">
        <f>CS_PID!AG98/VLOOKUP($B98,표2[#ALL],2)</f>
        <v>0</v>
      </c>
      <c r="AH98" s="359">
        <f>CS_PID!AH98/VLOOKUP($B98,표2[#ALL],2)</f>
        <v>0</v>
      </c>
      <c r="AI98" s="359">
        <f>CS_PID!AI98/VLOOKUP($B98,표2[#ALL],2)</f>
        <v>0</v>
      </c>
      <c r="AJ98" s="359">
        <f>CS_PID!AJ98/VLOOKUP($B98,표2[#ALL],2)</f>
        <v>0.02793384194</v>
      </c>
      <c r="AK98" s="359">
        <f>CS_PID!AK98/VLOOKUP($B98,표2[#ALL],2)</f>
        <v>0</v>
      </c>
      <c r="AL98" s="359">
        <f>CS_PID!AL98/VLOOKUP($B98,표2[#ALL],2)</f>
        <v>0</v>
      </c>
      <c r="AM98" s="359">
        <f>CS_PID!AM98/VLOOKUP($B98,표2[#ALL],2)</f>
        <v>0</v>
      </c>
      <c r="AN98" s="359">
        <f>CS_PID!AN98/VLOOKUP($B98,표2[#ALL],2)</f>
        <v>0</v>
      </c>
      <c r="AO98" s="359">
        <f>CS_PID!AO98/VLOOKUP($B98,표2[#ALL],2)</f>
        <v>0</v>
      </c>
      <c r="AP98" s="359">
        <f>CS_PID!AP98/VLOOKUP($B98,표2[#ALL],2)</f>
        <v>0</v>
      </c>
      <c r="AQ98" s="359">
        <f>CS_PID!AQ98/VLOOKUP($B98,표2[#ALL],2)</f>
        <v>0</v>
      </c>
      <c r="AR98" s="359">
        <f>CS_PID!AR98/VLOOKUP($B98,표2[#ALL],2)</f>
        <v>0</v>
      </c>
      <c r="AS98" s="359">
        <f>CS_PID!AS98/VLOOKUP($B98,표2[#ALL],2)</f>
        <v>0</v>
      </c>
    </row>
    <row r="99">
      <c r="A99" s="173" t="s">
        <v>126</v>
      </c>
      <c r="B99" s="178">
        <v>372.0</v>
      </c>
      <c r="C99" s="359">
        <f>CS_PID!C99/VLOOKUP($B99,표2[#ALL],2)</f>
        <v>0</v>
      </c>
      <c r="D99" s="359">
        <f>CS_PID!D99/VLOOKUP($B99,표2[#ALL],2)</f>
        <v>0</v>
      </c>
      <c r="E99" s="359">
        <f>CS_PID!E99/VLOOKUP($B99,표2[#ALL],2)</f>
        <v>0.01457675736</v>
      </c>
      <c r="F99" s="359">
        <f>CS_PID!F99/VLOOKUP($B99,표2[#ALL],2)</f>
        <v>0</v>
      </c>
      <c r="G99" s="359">
        <f>CS_PID!G99/VLOOKUP($B99,표2[#ALL],2)</f>
        <v>0</v>
      </c>
      <c r="H99" s="359">
        <f>CS_PID!H99/VLOOKUP($B99,표2[#ALL],2)</f>
        <v>0</v>
      </c>
      <c r="I99" s="359">
        <f>CS_PID!I99/VLOOKUP($B99,표2[#ALL],2)</f>
        <v>0</v>
      </c>
      <c r="J99" s="359">
        <f>CS_PID!J99/VLOOKUP($B99,표2[#ALL],2)</f>
        <v>0</v>
      </c>
      <c r="K99" s="359">
        <f>CS_PID!K99/VLOOKUP($B99,표2[#ALL],2)</f>
        <v>0</v>
      </c>
      <c r="L99" s="359">
        <f>CS_PID!L99/VLOOKUP($B99,표2[#ALL],2)</f>
        <v>0</v>
      </c>
      <c r="M99" s="359">
        <f>CS_PID!M99/VLOOKUP($B99,표2[#ALL],2)</f>
        <v>0</v>
      </c>
      <c r="N99" s="359">
        <f>CS_PID!N99/VLOOKUP($B99,표2[#ALL],2)</f>
        <v>0</v>
      </c>
      <c r="O99" s="359">
        <f>CS_PID!O99/VLOOKUP($B99,표2[#ALL],2)</f>
        <v>0</v>
      </c>
      <c r="P99" s="359">
        <f>CS_PID!P99/VLOOKUP($B99,표2[#ALL],2)</f>
        <v>0</v>
      </c>
      <c r="Q99" s="359">
        <f>CS_PID!Q99/VLOOKUP($B99,표2[#ALL],2)</f>
        <v>0.02915351473</v>
      </c>
      <c r="R99" s="359">
        <f>CS_PID!R99/VLOOKUP($B99,표2[#ALL],2)</f>
        <v>0.01457675736</v>
      </c>
      <c r="S99" s="359">
        <f>CS_PID!S99/VLOOKUP($B99,표2[#ALL],2)</f>
        <v>0</v>
      </c>
      <c r="T99" s="359">
        <f>CS_PID!T99/VLOOKUP($B99,표2[#ALL],2)</f>
        <v>0</v>
      </c>
      <c r="U99" s="359">
        <f>CS_PID!U99/VLOOKUP($B99,표2[#ALL],2)</f>
        <v>0</v>
      </c>
      <c r="V99" s="359">
        <f>CS_PID!V99/VLOOKUP($B99,표2[#ALL],2)</f>
        <v>0</v>
      </c>
      <c r="W99" s="359">
        <f>CS_PID!W99/VLOOKUP($B99,표2[#ALL],2)</f>
        <v>0</v>
      </c>
      <c r="X99" s="359">
        <f>CS_PID!X99/VLOOKUP($B99,표2[#ALL],2)</f>
        <v>0.02915351473</v>
      </c>
      <c r="Y99" s="359">
        <f>CS_PID!Y99/VLOOKUP($B99,표2[#ALL],2)</f>
        <v>0</v>
      </c>
      <c r="Z99" s="359">
        <f>CS_PID!Z99/VLOOKUP($B99,표2[#ALL],2)</f>
        <v>0</v>
      </c>
      <c r="AA99" s="359">
        <f>CS_PID!AA99/VLOOKUP($B99,표2[#ALL],2)</f>
        <v>0</v>
      </c>
      <c r="AB99" s="359">
        <f>CS_PID!AB99/VLOOKUP($B99,표2[#ALL],2)</f>
        <v>0</v>
      </c>
      <c r="AC99" s="359">
        <f>CS_PID!AC99/VLOOKUP($B99,표2[#ALL],2)</f>
        <v>0</v>
      </c>
      <c r="AD99" s="359">
        <f>CS_PID!AD99/VLOOKUP($B99,표2[#ALL],2)</f>
        <v>0</v>
      </c>
      <c r="AE99" s="359">
        <f>CS_PID!AE99/VLOOKUP($B99,표2[#ALL],2)</f>
        <v>0</v>
      </c>
      <c r="AF99" s="359">
        <f>CS_PID!AF99/VLOOKUP($B99,표2[#ALL],2)</f>
        <v>0</v>
      </c>
      <c r="AG99" s="359">
        <f>CS_PID!AG99/VLOOKUP($B99,표2[#ALL],2)</f>
        <v>0</v>
      </c>
      <c r="AH99" s="359">
        <f>CS_PID!AH99/VLOOKUP($B99,표2[#ALL],2)</f>
        <v>0</v>
      </c>
      <c r="AI99" s="359">
        <f>CS_PID!AI99/VLOOKUP($B99,표2[#ALL],2)</f>
        <v>0</v>
      </c>
      <c r="AJ99" s="359">
        <f>CS_PID!AJ99/VLOOKUP($B99,표2[#ALL],2)</f>
        <v>0</v>
      </c>
      <c r="AK99" s="359">
        <f>CS_PID!AK99/VLOOKUP($B99,표2[#ALL],2)</f>
        <v>0</v>
      </c>
      <c r="AL99" s="359">
        <f>CS_PID!AL99/VLOOKUP($B99,표2[#ALL],2)</f>
        <v>0</v>
      </c>
      <c r="AM99" s="359">
        <f>CS_PID!AM99/VLOOKUP($B99,표2[#ALL],2)</f>
        <v>0</v>
      </c>
      <c r="AN99" s="359">
        <f>CS_PID!AN99/VLOOKUP($B99,표2[#ALL],2)</f>
        <v>0</v>
      </c>
      <c r="AO99" s="359">
        <f>CS_PID!AO99/VLOOKUP($B99,표2[#ALL],2)</f>
        <v>0</v>
      </c>
      <c r="AP99" s="359">
        <f>CS_PID!AP99/VLOOKUP($B99,표2[#ALL],2)</f>
        <v>0</v>
      </c>
      <c r="AQ99" s="359">
        <f>CS_PID!AQ99/VLOOKUP($B99,표2[#ALL],2)</f>
        <v>0</v>
      </c>
      <c r="AR99" s="359">
        <f>CS_PID!AR99/VLOOKUP($B99,표2[#ALL],2)</f>
        <v>0</v>
      </c>
      <c r="AS99" s="359">
        <f>CS_PID!AS99/VLOOKUP($B99,표2[#ALL],2)</f>
        <v>0</v>
      </c>
    </row>
    <row r="100">
      <c r="A100" s="173" t="s">
        <v>126</v>
      </c>
      <c r="B100" s="178">
        <v>373.0</v>
      </c>
      <c r="C100" s="359">
        <f>CS_PID!C100/VLOOKUP($B100,표2[#ALL],2)</f>
        <v>0</v>
      </c>
      <c r="D100" s="359">
        <f>CS_PID!D100/VLOOKUP($B100,표2[#ALL],2)</f>
        <v>0</v>
      </c>
      <c r="E100" s="359">
        <f>CS_PID!E100/VLOOKUP($B100,표2[#ALL],2)</f>
        <v>0</v>
      </c>
      <c r="F100" s="359">
        <f>CS_PID!F100/VLOOKUP($B100,표2[#ALL],2)</f>
        <v>0</v>
      </c>
      <c r="G100" s="359">
        <f>CS_PID!G100/VLOOKUP($B100,표2[#ALL],2)</f>
        <v>0</v>
      </c>
      <c r="H100" s="359">
        <f>CS_PID!H100/VLOOKUP($B100,표2[#ALL],2)</f>
        <v>0</v>
      </c>
      <c r="I100" s="359">
        <f>CS_PID!I100/VLOOKUP($B100,표2[#ALL],2)</f>
        <v>0</v>
      </c>
      <c r="J100" s="359">
        <f>CS_PID!J100/VLOOKUP($B100,표2[#ALL],2)</f>
        <v>0.01094721261</v>
      </c>
      <c r="K100" s="359">
        <f>CS_PID!K100/VLOOKUP($B100,표2[#ALL],2)</f>
        <v>0.02736803152</v>
      </c>
      <c r="L100" s="359">
        <f>CS_PID!L100/VLOOKUP($B100,표2[#ALL],2)</f>
        <v>0.02189442521</v>
      </c>
      <c r="M100" s="359">
        <f>CS_PID!M100/VLOOKUP($B100,표2[#ALL],2)</f>
        <v>0</v>
      </c>
      <c r="N100" s="359">
        <f>CS_PID!N100/VLOOKUP($B100,표2[#ALL],2)</f>
        <v>0</v>
      </c>
      <c r="O100" s="359">
        <f>CS_PID!O100/VLOOKUP($B100,표2[#ALL],2)</f>
        <v>0</v>
      </c>
      <c r="P100" s="359">
        <f>CS_PID!P100/VLOOKUP($B100,표2[#ALL],2)</f>
        <v>0</v>
      </c>
      <c r="Q100" s="359">
        <f>CS_PID!Q100/VLOOKUP($B100,표2[#ALL],2)</f>
        <v>0.01642081891</v>
      </c>
      <c r="R100" s="359">
        <f>CS_PID!R100/VLOOKUP($B100,표2[#ALL],2)</f>
        <v>0.01642081891</v>
      </c>
      <c r="S100" s="359">
        <f>CS_PID!S100/VLOOKUP($B100,표2[#ALL],2)</f>
        <v>0</v>
      </c>
      <c r="T100" s="359">
        <f>CS_PID!T100/VLOOKUP($B100,표2[#ALL],2)</f>
        <v>0</v>
      </c>
      <c r="U100" s="359">
        <f>CS_PID!U100/VLOOKUP($B100,표2[#ALL],2)</f>
        <v>0</v>
      </c>
      <c r="V100" s="359">
        <f>CS_PID!V100/VLOOKUP($B100,표2[#ALL],2)</f>
        <v>0</v>
      </c>
      <c r="W100" s="359">
        <f>CS_PID!W100/VLOOKUP($B100,표2[#ALL],2)</f>
        <v>0.01094721261</v>
      </c>
      <c r="X100" s="359">
        <f>CS_PID!X100/VLOOKUP($B100,표2[#ALL],2)</f>
        <v>0.02189442521</v>
      </c>
      <c r="Y100" s="359">
        <f>CS_PID!Y100/VLOOKUP($B100,표2[#ALL],2)</f>
        <v>0</v>
      </c>
      <c r="Z100" s="359">
        <f>CS_PID!Z100/VLOOKUP($B100,표2[#ALL],2)</f>
        <v>0</v>
      </c>
      <c r="AA100" s="359">
        <f>CS_PID!AA100/VLOOKUP($B100,표2[#ALL],2)</f>
        <v>0</v>
      </c>
      <c r="AB100" s="359">
        <f>CS_PID!AB100/VLOOKUP($B100,표2[#ALL],2)</f>
        <v>0</v>
      </c>
      <c r="AC100" s="359">
        <f>CS_PID!AC100/VLOOKUP($B100,표2[#ALL],2)</f>
        <v>0</v>
      </c>
      <c r="AD100" s="359">
        <f>CS_PID!AD100/VLOOKUP($B100,표2[#ALL],2)</f>
        <v>0.005473606303</v>
      </c>
      <c r="AE100" s="359">
        <f>CS_PID!AE100/VLOOKUP($B100,표2[#ALL],2)</f>
        <v>0.005473606303</v>
      </c>
      <c r="AF100" s="359">
        <f>CS_PID!AF100/VLOOKUP($B100,표2[#ALL],2)</f>
        <v>0</v>
      </c>
      <c r="AG100" s="359">
        <f>CS_PID!AG100/VLOOKUP($B100,표2[#ALL],2)</f>
        <v>0</v>
      </c>
      <c r="AH100" s="359">
        <f>CS_PID!AH100/VLOOKUP($B100,표2[#ALL],2)</f>
        <v>0</v>
      </c>
      <c r="AI100" s="359">
        <f>CS_PID!AI100/VLOOKUP($B100,표2[#ALL],2)</f>
        <v>0</v>
      </c>
      <c r="AJ100" s="359">
        <f>CS_PID!AJ100/VLOOKUP($B100,표2[#ALL],2)</f>
        <v>0.005473606303</v>
      </c>
      <c r="AK100" s="359">
        <f>CS_PID!AK100/VLOOKUP($B100,표2[#ALL],2)</f>
        <v>0</v>
      </c>
      <c r="AL100" s="359">
        <f>CS_PID!AL100/VLOOKUP($B100,표2[#ALL],2)</f>
        <v>0</v>
      </c>
      <c r="AM100" s="359">
        <f>CS_PID!AM100/VLOOKUP($B100,표2[#ALL],2)</f>
        <v>0</v>
      </c>
      <c r="AN100" s="359">
        <f>CS_PID!AN100/VLOOKUP($B100,표2[#ALL],2)</f>
        <v>0</v>
      </c>
      <c r="AO100" s="359">
        <f>CS_PID!AO100/VLOOKUP($B100,표2[#ALL],2)</f>
        <v>0</v>
      </c>
      <c r="AP100" s="359">
        <f>CS_PID!AP100/VLOOKUP($B100,표2[#ALL],2)</f>
        <v>0</v>
      </c>
      <c r="AQ100" s="359">
        <f>CS_PID!AQ100/VLOOKUP($B100,표2[#ALL],2)</f>
        <v>0</v>
      </c>
      <c r="AR100" s="359">
        <f>CS_PID!AR100/VLOOKUP($B100,표2[#ALL],2)</f>
        <v>0</v>
      </c>
      <c r="AS100" s="359">
        <f>CS_PID!AS100/VLOOKUP($B100,표2[#ALL],2)</f>
        <v>0</v>
      </c>
    </row>
    <row r="101">
      <c r="A101" s="173" t="s">
        <v>126</v>
      </c>
      <c r="B101" s="178">
        <v>374.0</v>
      </c>
      <c r="C101" s="359">
        <f>CS_PID!C101/VLOOKUP($B101,표2[#ALL],2)</f>
        <v>0.001791524298</v>
      </c>
      <c r="D101" s="359">
        <f>CS_PID!D101/VLOOKUP($B101,표2[#ALL],2)</f>
        <v>0.001791524298</v>
      </c>
      <c r="E101" s="359">
        <f>CS_PID!E101/VLOOKUP($B101,표2[#ALL],2)</f>
        <v>0.001791524298</v>
      </c>
      <c r="F101" s="359">
        <f>CS_PID!F101/VLOOKUP($B101,표2[#ALL],2)</f>
        <v>0.01970676728</v>
      </c>
      <c r="G101" s="359">
        <f>CS_PID!G101/VLOOKUP($B101,표2[#ALL],2)</f>
        <v>0.001791524298</v>
      </c>
      <c r="H101" s="359">
        <f>CS_PID!H101/VLOOKUP($B101,표2[#ALL],2)</f>
        <v>0</v>
      </c>
      <c r="I101" s="359">
        <f>CS_PID!I101/VLOOKUP($B101,표2[#ALL],2)</f>
        <v>0</v>
      </c>
      <c r="J101" s="359">
        <f>CS_PID!J101/VLOOKUP($B101,표2[#ALL],2)</f>
        <v>0.003583048596</v>
      </c>
      <c r="K101" s="359">
        <f>CS_PID!K101/VLOOKUP($B101,표2[#ALL],2)</f>
        <v>0.01612371868</v>
      </c>
      <c r="L101" s="359">
        <f>CS_PID!L101/VLOOKUP($B101,표2[#ALL],2)</f>
        <v>0.01970676728</v>
      </c>
      <c r="M101" s="359">
        <f>CS_PID!M101/VLOOKUP($B101,표2[#ALL],2)</f>
        <v>0</v>
      </c>
      <c r="N101" s="359">
        <f>CS_PID!N101/VLOOKUP($B101,표2[#ALL],2)</f>
        <v>0</v>
      </c>
      <c r="O101" s="359">
        <f>CS_PID!O101/VLOOKUP($B101,표2[#ALL],2)</f>
        <v>0</v>
      </c>
      <c r="P101" s="359">
        <f>CS_PID!P101/VLOOKUP($B101,표2[#ALL],2)</f>
        <v>0.001791524298</v>
      </c>
      <c r="Q101" s="359">
        <f>CS_PID!Q101/VLOOKUP($B101,표2[#ALL],2)</f>
        <v>0.01254067009</v>
      </c>
      <c r="R101" s="359">
        <f>CS_PID!R101/VLOOKUP($B101,표2[#ALL],2)</f>
        <v>0.02328981588</v>
      </c>
      <c r="S101" s="359">
        <f>CS_PID!S101/VLOOKUP($B101,표2[#ALL],2)</f>
        <v>0.005374572895</v>
      </c>
      <c r="T101" s="359">
        <f>CS_PID!T101/VLOOKUP($B101,표2[#ALL],2)</f>
        <v>0</v>
      </c>
      <c r="U101" s="359">
        <f>CS_PID!U101/VLOOKUP($B101,표2[#ALL],2)</f>
        <v>0</v>
      </c>
      <c r="V101" s="359">
        <f>CS_PID!V101/VLOOKUP($B101,표2[#ALL],2)</f>
        <v>0</v>
      </c>
      <c r="W101" s="359">
        <f>CS_PID!W101/VLOOKUP($B101,표2[#ALL],2)</f>
        <v>0.003583048596</v>
      </c>
      <c r="X101" s="359">
        <f>CS_PID!X101/VLOOKUP($B101,표2[#ALL],2)</f>
        <v>0.008957621491</v>
      </c>
      <c r="Y101" s="359">
        <f>CS_PID!Y101/VLOOKUP($B101,표2[#ALL],2)</f>
        <v>0.003583048596</v>
      </c>
      <c r="Z101" s="359">
        <f>CS_PID!Z101/VLOOKUP($B101,표2[#ALL],2)</f>
        <v>0</v>
      </c>
      <c r="AA101" s="359">
        <f>CS_PID!AA101/VLOOKUP($B101,표2[#ALL],2)</f>
        <v>0</v>
      </c>
      <c r="AB101" s="359">
        <f>CS_PID!AB101/VLOOKUP($B101,표2[#ALL],2)</f>
        <v>0</v>
      </c>
      <c r="AC101" s="359">
        <f>CS_PID!AC101/VLOOKUP($B101,표2[#ALL],2)</f>
        <v>0.001791524298</v>
      </c>
      <c r="AD101" s="359">
        <f>CS_PID!AD101/VLOOKUP($B101,표2[#ALL],2)</f>
        <v>0.007166097193</v>
      </c>
      <c r="AE101" s="359">
        <f>CS_PID!AE101/VLOOKUP($B101,표2[#ALL],2)</f>
        <v>0.001791524298</v>
      </c>
      <c r="AF101" s="359">
        <f>CS_PID!AF101/VLOOKUP($B101,표2[#ALL],2)</f>
        <v>0</v>
      </c>
      <c r="AG101" s="359">
        <f>CS_PID!AG101/VLOOKUP($B101,표2[#ALL],2)</f>
        <v>0</v>
      </c>
      <c r="AH101" s="359">
        <f>CS_PID!AH101/VLOOKUP($B101,표2[#ALL],2)</f>
        <v>0.001791524298</v>
      </c>
      <c r="AI101" s="359">
        <f>CS_PID!AI101/VLOOKUP($B101,표2[#ALL],2)</f>
        <v>0</v>
      </c>
      <c r="AJ101" s="359">
        <f>CS_PID!AJ101/VLOOKUP($B101,표2[#ALL],2)</f>
        <v>0.005374572895</v>
      </c>
      <c r="AK101" s="359">
        <f>CS_PID!AK101/VLOOKUP($B101,표2[#ALL],2)</f>
        <v>0</v>
      </c>
      <c r="AL101" s="359">
        <f>CS_PID!AL101/VLOOKUP($B101,표2[#ALL],2)</f>
        <v>0</v>
      </c>
      <c r="AM101" s="359">
        <f>CS_PID!AM101/VLOOKUP($B101,표2[#ALL],2)</f>
        <v>0</v>
      </c>
      <c r="AN101" s="359">
        <f>CS_PID!AN101/VLOOKUP($B101,표2[#ALL],2)</f>
        <v>0</v>
      </c>
      <c r="AO101" s="359">
        <f>CS_PID!AO101/VLOOKUP($B101,표2[#ALL],2)</f>
        <v>0</v>
      </c>
      <c r="AP101" s="359">
        <f>CS_PID!AP101/VLOOKUP($B101,표2[#ALL],2)</f>
        <v>0</v>
      </c>
      <c r="AQ101" s="359">
        <f>CS_PID!AQ101/VLOOKUP($B101,표2[#ALL],2)</f>
        <v>0</v>
      </c>
      <c r="AR101" s="359">
        <f>CS_PID!AR101/VLOOKUP($B101,표2[#ALL],2)</f>
        <v>0</v>
      </c>
      <c r="AS101" s="359">
        <f>CS_PID!AS101/VLOOKUP($B101,표2[#ALL],2)</f>
        <v>0</v>
      </c>
    </row>
    <row r="102">
      <c r="A102" s="173" t="s">
        <v>126</v>
      </c>
      <c r="B102" s="178">
        <v>375.0</v>
      </c>
      <c r="C102" s="359">
        <f>CS_PID!C102/VLOOKUP($B102,표2[#ALL],2)</f>
        <v>0</v>
      </c>
      <c r="D102" s="359">
        <f>CS_PID!D102/VLOOKUP($B102,표2[#ALL],2)</f>
        <v>0</v>
      </c>
      <c r="E102" s="359">
        <f>CS_PID!E102/VLOOKUP($B102,표2[#ALL],2)</f>
        <v>0.006880185992</v>
      </c>
      <c r="F102" s="359">
        <f>CS_PID!F102/VLOOKUP($B102,표2[#ALL],2)</f>
        <v>0.01376037198</v>
      </c>
      <c r="G102" s="359">
        <f>CS_PID!G102/VLOOKUP($B102,표2[#ALL],2)</f>
        <v>0.02064055798</v>
      </c>
      <c r="H102" s="359">
        <f>CS_PID!H102/VLOOKUP($B102,표2[#ALL],2)</f>
        <v>0</v>
      </c>
      <c r="I102" s="359">
        <f>CS_PID!I102/VLOOKUP($B102,표2[#ALL],2)</f>
        <v>0</v>
      </c>
      <c r="J102" s="359">
        <f>CS_PID!J102/VLOOKUP($B102,표2[#ALL],2)</f>
        <v>0</v>
      </c>
      <c r="K102" s="359">
        <f>CS_PID!K102/VLOOKUP($B102,표2[#ALL],2)</f>
        <v>0.04816130194</v>
      </c>
      <c r="L102" s="359">
        <f>CS_PID!L102/VLOOKUP($B102,표2[#ALL],2)</f>
        <v>0.01376037198</v>
      </c>
      <c r="M102" s="359">
        <f>CS_PID!M102/VLOOKUP($B102,표2[#ALL],2)</f>
        <v>0</v>
      </c>
      <c r="N102" s="359">
        <f>CS_PID!N102/VLOOKUP($B102,표2[#ALL],2)</f>
        <v>0</v>
      </c>
      <c r="O102" s="359">
        <f>CS_PID!O102/VLOOKUP($B102,표2[#ALL],2)</f>
        <v>0</v>
      </c>
      <c r="P102" s="359">
        <f>CS_PID!P102/VLOOKUP($B102,표2[#ALL],2)</f>
        <v>0</v>
      </c>
      <c r="Q102" s="359">
        <f>CS_PID!Q102/VLOOKUP($B102,표2[#ALL],2)</f>
        <v>0.006880185992</v>
      </c>
      <c r="R102" s="359">
        <f>CS_PID!R102/VLOOKUP($B102,표2[#ALL],2)</f>
        <v>0.02064055798</v>
      </c>
      <c r="S102" s="359">
        <f>CS_PID!S102/VLOOKUP($B102,표2[#ALL],2)</f>
        <v>0</v>
      </c>
      <c r="T102" s="359">
        <f>CS_PID!T102/VLOOKUP($B102,표2[#ALL],2)</f>
        <v>0</v>
      </c>
      <c r="U102" s="359">
        <f>CS_PID!U102/VLOOKUP($B102,표2[#ALL],2)</f>
        <v>0</v>
      </c>
      <c r="V102" s="359">
        <f>CS_PID!V102/VLOOKUP($B102,표2[#ALL],2)</f>
        <v>0</v>
      </c>
      <c r="W102" s="359">
        <f>CS_PID!W102/VLOOKUP($B102,표2[#ALL],2)</f>
        <v>0</v>
      </c>
      <c r="X102" s="359">
        <f>CS_PID!X102/VLOOKUP($B102,표2[#ALL],2)</f>
        <v>0.01376037198</v>
      </c>
      <c r="Y102" s="359">
        <f>CS_PID!Y102/VLOOKUP($B102,표2[#ALL],2)</f>
        <v>0</v>
      </c>
      <c r="Z102" s="359">
        <f>CS_PID!Z102/VLOOKUP($B102,표2[#ALL],2)</f>
        <v>0</v>
      </c>
      <c r="AA102" s="359">
        <f>CS_PID!AA102/VLOOKUP($B102,표2[#ALL],2)</f>
        <v>0</v>
      </c>
      <c r="AB102" s="359">
        <f>CS_PID!AB102/VLOOKUP($B102,표2[#ALL],2)</f>
        <v>0</v>
      </c>
      <c r="AC102" s="359">
        <f>CS_PID!AC102/VLOOKUP($B102,표2[#ALL],2)</f>
        <v>0</v>
      </c>
      <c r="AD102" s="359">
        <f>CS_PID!AD102/VLOOKUP($B102,표2[#ALL],2)</f>
        <v>0.006880185992</v>
      </c>
      <c r="AE102" s="359">
        <f>CS_PID!AE102/VLOOKUP($B102,표2[#ALL],2)</f>
        <v>0.006880185992</v>
      </c>
      <c r="AF102" s="359">
        <f>CS_PID!AF102/VLOOKUP($B102,표2[#ALL],2)</f>
        <v>0</v>
      </c>
      <c r="AG102" s="359">
        <f>CS_PID!AG102/VLOOKUP($B102,표2[#ALL],2)</f>
        <v>0</v>
      </c>
      <c r="AH102" s="359">
        <f>CS_PID!AH102/VLOOKUP($B102,표2[#ALL],2)</f>
        <v>0</v>
      </c>
      <c r="AI102" s="359">
        <f>CS_PID!AI102/VLOOKUP($B102,표2[#ALL],2)</f>
        <v>0</v>
      </c>
      <c r="AJ102" s="359">
        <f>CS_PID!AJ102/VLOOKUP($B102,표2[#ALL],2)</f>
        <v>0</v>
      </c>
      <c r="AK102" s="359">
        <f>CS_PID!AK102/VLOOKUP($B102,표2[#ALL],2)</f>
        <v>0</v>
      </c>
      <c r="AL102" s="359">
        <f>CS_PID!AL102/VLOOKUP($B102,표2[#ALL],2)</f>
        <v>0</v>
      </c>
      <c r="AM102" s="359">
        <f>CS_PID!AM102/VLOOKUP($B102,표2[#ALL],2)</f>
        <v>0</v>
      </c>
      <c r="AN102" s="359">
        <f>CS_PID!AN102/VLOOKUP($B102,표2[#ALL],2)</f>
        <v>0</v>
      </c>
      <c r="AO102" s="359">
        <f>CS_PID!AO102/VLOOKUP($B102,표2[#ALL],2)</f>
        <v>0</v>
      </c>
      <c r="AP102" s="359">
        <f>CS_PID!AP102/VLOOKUP($B102,표2[#ALL],2)</f>
        <v>0</v>
      </c>
      <c r="AQ102" s="359">
        <f>CS_PID!AQ102/VLOOKUP($B102,표2[#ALL],2)</f>
        <v>0</v>
      </c>
      <c r="AR102" s="359">
        <f>CS_PID!AR102/VLOOKUP($B102,표2[#ALL],2)</f>
        <v>0</v>
      </c>
      <c r="AS102" s="359">
        <f>CS_PID!AS102/VLOOKUP($B102,표2[#ALL],2)</f>
        <v>0</v>
      </c>
    </row>
    <row r="103">
      <c r="A103" s="173" t="s">
        <v>126</v>
      </c>
      <c r="B103" s="178">
        <v>376.0</v>
      </c>
      <c r="C103" s="359">
        <f>CS_PID!C103/VLOOKUP($B103,표2[#ALL],2)</f>
        <v>0</v>
      </c>
      <c r="D103" s="359">
        <f>CS_PID!D103/VLOOKUP($B103,표2[#ALL],2)</f>
        <v>0.001562053367</v>
      </c>
      <c r="E103" s="359">
        <f>CS_PID!E103/VLOOKUP($B103,표2[#ALL],2)</f>
        <v>0.001562053367</v>
      </c>
      <c r="F103" s="359">
        <f>CS_PID!F103/VLOOKUP($B103,표2[#ALL],2)</f>
        <v>0.01562053367</v>
      </c>
      <c r="G103" s="359">
        <f>CS_PID!G103/VLOOKUP($B103,표2[#ALL],2)</f>
        <v>0</v>
      </c>
      <c r="H103" s="359">
        <f>CS_PID!H103/VLOOKUP($B103,표2[#ALL],2)</f>
        <v>0</v>
      </c>
      <c r="I103" s="359">
        <f>CS_PID!I103/VLOOKUP($B103,표2[#ALL],2)</f>
        <v>0</v>
      </c>
      <c r="J103" s="359">
        <f>CS_PID!J103/VLOOKUP($B103,표2[#ALL],2)</f>
        <v>0.004686160102</v>
      </c>
      <c r="K103" s="359">
        <f>CS_PID!K103/VLOOKUP($B103,표2[#ALL],2)</f>
        <v>0.03280312072</v>
      </c>
      <c r="L103" s="359">
        <f>CS_PID!L103/VLOOKUP($B103,표2[#ALL],2)</f>
        <v>0.02030669378</v>
      </c>
      <c r="M103" s="359">
        <f>CS_PID!M103/VLOOKUP($B103,표2[#ALL],2)</f>
        <v>0</v>
      </c>
      <c r="N103" s="359">
        <f>CS_PID!N103/VLOOKUP($B103,표2[#ALL],2)</f>
        <v>0</v>
      </c>
      <c r="O103" s="359">
        <f>CS_PID!O103/VLOOKUP($B103,표2[#ALL],2)</f>
        <v>0</v>
      </c>
      <c r="P103" s="359">
        <f>CS_PID!P103/VLOOKUP($B103,표2[#ALL],2)</f>
        <v>0.001562053367</v>
      </c>
      <c r="Q103" s="359">
        <f>CS_PID!Q103/VLOOKUP($B103,표2[#ALL],2)</f>
        <v>0.00624821347</v>
      </c>
      <c r="R103" s="359">
        <f>CS_PID!R103/VLOOKUP($B103,표2[#ALL],2)</f>
        <v>0.01562053367</v>
      </c>
      <c r="S103" s="359">
        <f>CS_PID!S103/VLOOKUP($B103,표2[#ALL],2)</f>
        <v>0.004686160102</v>
      </c>
      <c r="T103" s="359">
        <f>CS_PID!T103/VLOOKUP($B103,표2[#ALL],2)</f>
        <v>0</v>
      </c>
      <c r="U103" s="359">
        <f>CS_PID!U103/VLOOKUP($B103,표2[#ALL],2)</f>
        <v>0</v>
      </c>
      <c r="V103" s="359">
        <f>CS_PID!V103/VLOOKUP($B103,표2[#ALL],2)</f>
        <v>0</v>
      </c>
      <c r="W103" s="359">
        <f>CS_PID!W103/VLOOKUP($B103,표2[#ALL],2)</f>
        <v>0.004686160102</v>
      </c>
      <c r="X103" s="359">
        <f>CS_PID!X103/VLOOKUP($B103,표2[#ALL],2)</f>
        <v>0.01874464041</v>
      </c>
      <c r="Y103" s="359">
        <f>CS_PID!Y103/VLOOKUP($B103,표2[#ALL],2)</f>
        <v>0</v>
      </c>
      <c r="Z103" s="359">
        <f>CS_PID!Z103/VLOOKUP($B103,표2[#ALL],2)</f>
        <v>0</v>
      </c>
      <c r="AA103" s="359">
        <f>CS_PID!AA103/VLOOKUP($B103,표2[#ALL],2)</f>
        <v>0</v>
      </c>
      <c r="AB103" s="359">
        <f>CS_PID!AB103/VLOOKUP($B103,표2[#ALL],2)</f>
        <v>0</v>
      </c>
      <c r="AC103" s="359">
        <f>CS_PID!AC103/VLOOKUP($B103,표2[#ALL],2)</f>
        <v>0.003124106735</v>
      </c>
      <c r="AD103" s="359">
        <f>CS_PID!AD103/VLOOKUP($B103,표2[#ALL],2)</f>
        <v>0.003124106735</v>
      </c>
      <c r="AE103" s="359">
        <f>CS_PID!AE103/VLOOKUP($B103,표2[#ALL],2)</f>
        <v>0</v>
      </c>
      <c r="AF103" s="359">
        <f>CS_PID!AF103/VLOOKUP($B103,표2[#ALL],2)</f>
        <v>0</v>
      </c>
      <c r="AG103" s="359">
        <f>CS_PID!AG103/VLOOKUP($B103,표2[#ALL],2)</f>
        <v>0</v>
      </c>
      <c r="AH103" s="359">
        <f>CS_PID!AH103/VLOOKUP($B103,표2[#ALL],2)</f>
        <v>0</v>
      </c>
      <c r="AI103" s="359">
        <f>CS_PID!AI103/VLOOKUP($B103,표2[#ALL],2)</f>
        <v>0</v>
      </c>
      <c r="AJ103" s="359">
        <f>CS_PID!AJ103/VLOOKUP($B103,표2[#ALL],2)</f>
        <v>0.007810266837</v>
      </c>
      <c r="AK103" s="359">
        <f>CS_PID!AK103/VLOOKUP($B103,표2[#ALL],2)</f>
        <v>0</v>
      </c>
      <c r="AL103" s="359">
        <f>CS_PID!AL103/VLOOKUP($B103,표2[#ALL],2)</f>
        <v>0</v>
      </c>
      <c r="AM103" s="359">
        <f>CS_PID!AM103/VLOOKUP($B103,표2[#ALL],2)</f>
        <v>0</v>
      </c>
      <c r="AN103" s="359">
        <f>CS_PID!AN103/VLOOKUP($B103,표2[#ALL],2)</f>
        <v>0</v>
      </c>
      <c r="AO103" s="359">
        <f>CS_PID!AO103/VLOOKUP($B103,표2[#ALL],2)</f>
        <v>0.003124106735</v>
      </c>
      <c r="AP103" s="359">
        <f>CS_PID!AP103/VLOOKUP($B103,표2[#ALL],2)</f>
        <v>0</v>
      </c>
      <c r="AQ103" s="359">
        <f>CS_PID!AQ103/VLOOKUP($B103,표2[#ALL],2)</f>
        <v>0</v>
      </c>
      <c r="AR103" s="359">
        <f>CS_PID!AR103/VLOOKUP($B103,표2[#ALL],2)</f>
        <v>0</v>
      </c>
      <c r="AS103" s="359">
        <f>CS_PID!AS103/VLOOKUP($B103,표2[#ALL],2)</f>
        <v>0</v>
      </c>
    </row>
    <row r="104">
      <c r="A104" s="173" t="s">
        <v>126</v>
      </c>
      <c r="B104" s="178">
        <v>378.0</v>
      </c>
      <c r="C104" s="359">
        <f>CS_PID!C104/VLOOKUP($B104,표2[#ALL],2)</f>
        <v>0</v>
      </c>
      <c r="D104" s="359">
        <f>CS_PID!D104/VLOOKUP($B104,표2[#ALL],2)</f>
        <v>0</v>
      </c>
      <c r="E104" s="359">
        <f>CS_PID!E104/VLOOKUP($B104,표2[#ALL],2)</f>
        <v>0</v>
      </c>
      <c r="F104" s="359">
        <f>CS_PID!F104/VLOOKUP($B104,표2[#ALL],2)</f>
        <v>0.02788142906</v>
      </c>
      <c r="G104" s="359">
        <f>CS_PID!G104/VLOOKUP($B104,표2[#ALL],2)</f>
        <v>0</v>
      </c>
      <c r="H104" s="359">
        <f>CS_PID!H104/VLOOKUP($B104,표2[#ALL],2)</f>
        <v>0</v>
      </c>
      <c r="I104" s="359">
        <f>CS_PID!I104/VLOOKUP($B104,표2[#ALL],2)</f>
        <v>0</v>
      </c>
      <c r="J104" s="359">
        <f>CS_PID!J104/VLOOKUP($B104,표2[#ALL],2)</f>
        <v>0</v>
      </c>
      <c r="K104" s="359">
        <f>CS_PID!K104/VLOOKUP($B104,표2[#ALL],2)</f>
        <v>0.009293809685</v>
      </c>
      <c r="L104" s="359">
        <f>CS_PID!L104/VLOOKUP($B104,표2[#ALL],2)</f>
        <v>0.01858761937</v>
      </c>
      <c r="M104" s="359">
        <f>CS_PID!M104/VLOOKUP($B104,표2[#ALL],2)</f>
        <v>0</v>
      </c>
      <c r="N104" s="359">
        <f>CS_PID!N104/VLOOKUP($B104,표2[#ALL],2)</f>
        <v>0</v>
      </c>
      <c r="O104" s="359">
        <f>CS_PID!O104/VLOOKUP($B104,표2[#ALL],2)</f>
        <v>0</v>
      </c>
      <c r="P104" s="359">
        <f>CS_PID!P104/VLOOKUP($B104,표2[#ALL],2)</f>
        <v>0</v>
      </c>
      <c r="Q104" s="359">
        <f>CS_PID!Q104/VLOOKUP($B104,표2[#ALL],2)</f>
        <v>0.02788142906</v>
      </c>
      <c r="R104" s="359">
        <f>CS_PID!R104/VLOOKUP($B104,표2[#ALL],2)</f>
        <v>0</v>
      </c>
      <c r="S104" s="359">
        <f>CS_PID!S104/VLOOKUP($B104,표2[#ALL],2)</f>
        <v>0</v>
      </c>
      <c r="T104" s="359">
        <f>CS_PID!T104/VLOOKUP($B104,표2[#ALL],2)</f>
        <v>0</v>
      </c>
      <c r="U104" s="359">
        <f>CS_PID!U104/VLOOKUP($B104,표2[#ALL],2)</f>
        <v>0</v>
      </c>
      <c r="V104" s="359">
        <f>CS_PID!V104/VLOOKUP($B104,표2[#ALL],2)</f>
        <v>0</v>
      </c>
      <c r="W104" s="359">
        <f>CS_PID!W104/VLOOKUP($B104,표2[#ALL],2)</f>
        <v>0</v>
      </c>
      <c r="X104" s="359">
        <f>CS_PID!X104/VLOOKUP($B104,표2[#ALL],2)</f>
        <v>0.03717523874</v>
      </c>
      <c r="Y104" s="359">
        <f>CS_PID!Y104/VLOOKUP($B104,표2[#ALL],2)</f>
        <v>0.009293809685</v>
      </c>
      <c r="Z104" s="359">
        <f>CS_PID!Z104/VLOOKUP($B104,표2[#ALL],2)</f>
        <v>0</v>
      </c>
      <c r="AA104" s="359">
        <f>CS_PID!AA104/VLOOKUP($B104,표2[#ALL],2)</f>
        <v>0</v>
      </c>
      <c r="AB104" s="359">
        <f>CS_PID!AB104/VLOOKUP($B104,표2[#ALL],2)</f>
        <v>0</v>
      </c>
      <c r="AC104" s="359">
        <f>CS_PID!AC104/VLOOKUP($B104,표2[#ALL],2)</f>
        <v>0</v>
      </c>
      <c r="AD104" s="359">
        <f>CS_PID!AD104/VLOOKUP($B104,표2[#ALL],2)</f>
        <v>0</v>
      </c>
      <c r="AE104" s="359">
        <f>CS_PID!AE104/VLOOKUP($B104,표2[#ALL],2)</f>
        <v>0</v>
      </c>
      <c r="AF104" s="359">
        <f>CS_PID!AF104/VLOOKUP($B104,표2[#ALL],2)</f>
        <v>0</v>
      </c>
      <c r="AG104" s="359">
        <f>CS_PID!AG104/VLOOKUP($B104,표2[#ALL],2)</f>
        <v>0</v>
      </c>
      <c r="AH104" s="359">
        <f>CS_PID!AH104/VLOOKUP($B104,표2[#ALL],2)</f>
        <v>0</v>
      </c>
      <c r="AI104" s="359">
        <f>CS_PID!AI104/VLOOKUP($B104,표2[#ALL],2)</f>
        <v>0</v>
      </c>
      <c r="AJ104" s="359">
        <f>CS_PID!AJ104/VLOOKUP($B104,표2[#ALL],2)</f>
        <v>0</v>
      </c>
      <c r="AK104" s="359">
        <f>CS_PID!AK104/VLOOKUP($B104,표2[#ALL],2)</f>
        <v>0</v>
      </c>
      <c r="AL104" s="359">
        <f>CS_PID!AL104/VLOOKUP($B104,표2[#ALL],2)</f>
        <v>0</v>
      </c>
      <c r="AM104" s="359">
        <f>CS_PID!AM104/VLOOKUP($B104,표2[#ALL],2)</f>
        <v>0</v>
      </c>
      <c r="AN104" s="359">
        <f>CS_PID!AN104/VLOOKUP($B104,표2[#ALL],2)</f>
        <v>0</v>
      </c>
      <c r="AO104" s="359">
        <f>CS_PID!AO104/VLOOKUP($B104,표2[#ALL],2)</f>
        <v>0</v>
      </c>
      <c r="AP104" s="359">
        <f>CS_PID!AP104/VLOOKUP($B104,표2[#ALL],2)</f>
        <v>0</v>
      </c>
      <c r="AQ104" s="359">
        <f>CS_PID!AQ104/VLOOKUP($B104,표2[#ALL],2)</f>
        <v>0</v>
      </c>
      <c r="AR104" s="359">
        <f>CS_PID!AR104/VLOOKUP($B104,표2[#ALL],2)</f>
        <v>0</v>
      </c>
      <c r="AS104" s="359">
        <f>CS_PID!AS104/VLOOKUP($B104,표2[#ALL],2)</f>
        <v>0</v>
      </c>
    </row>
    <row r="105">
      <c r="A105" s="173" t="s">
        <v>126</v>
      </c>
      <c r="B105" s="178">
        <v>379.0</v>
      </c>
      <c r="C105" s="359">
        <f>CS_PID!C105/VLOOKUP($B105,표2[#ALL],2)</f>
        <v>0</v>
      </c>
      <c r="D105" s="359">
        <f>CS_PID!D105/VLOOKUP($B105,표2[#ALL],2)</f>
        <v>0</v>
      </c>
      <c r="E105" s="359">
        <f>CS_PID!E105/VLOOKUP($B105,표2[#ALL],2)</f>
        <v>0</v>
      </c>
      <c r="F105" s="359">
        <f>CS_PID!F105/VLOOKUP($B105,표2[#ALL],2)</f>
        <v>0.03285200438</v>
      </c>
      <c r="G105" s="359">
        <f>CS_PID!G105/VLOOKUP($B105,표2[#ALL],2)</f>
        <v>0.006570400876</v>
      </c>
      <c r="H105" s="359">
        <f>CS_PID!H105/VLOOKUP($B105,표2[#ALL],2)</f>
        <v>0</v>
      </c>
      <c r="I105" s="359">
        <f>CS_PID!I105/VLOOKUP($B105,표2[#ALL],2)</f>
        <v>0</v>
      </c>
      <c r="J105" s="359">
        <f>CS_PID!J105/VLOOKUP($B105,표2[#ALL],2)</f>
        <v>0</v>
      </c>
      <c r="K105" s="359">
        <f>CS_PID!K105/VLOOKUP($B105,표2[#ALL],2)</f>
        <v>0.02628160351</v>
      </c>
      <c r="L105" s="359">
        <f>CS_PID!L105/VLOOKUP($B105,표2[#ALL],2)</f>
        <v>0.006570400876</v>
      </c>
      <c r="M105" s="359">
        <f>CS_PID!M105/VLOOKUP($B105,표2[#ALL],2)</f>
        <v>0</v>
      </c>
      <c r="N105" s="359">
        <f>CS_PID!N105/VLOOKUP($B105,표2[#ALL],2)</f>
        <v>0</v>
      </c>
      <c r="O105" s="359">
        <f>CS_PID!O105/VLOOKUP($B105,표2[#ALL],2)</f>
        <v>0</v>
      </c>
      <c r="P105" s="359">
        <f>CS_PID!P105/VLOOKUP($B105,표2[#ALL],2)</f>
        <v>0</v>
      </c>
      <c r="Q105" s="359">
        <f>CS_PID!Q105/VLOOKUP($B105,표2[#ALL],2)</f>
        <v>0.01971120263</v>
      </c>
      <c r="R105" s="359">
        <f>CS_PID!R105/VLOOKUP($B105,표2[#ALL],2)</f>
        <v>0</v>
      </c>
      <c r="S105" s="359">
        <f>CS_PID!S105/VLOOKUP($B105,표2[#ALL],2)</f>
        <v>0</v>
      </c>
      <c r="T105" s="359">
        <f>CS_PID!T105/VLOOKUP($B105,표2[#ALL],2)</f>
        <v>0</v>
      </c>
      <c r="U105" s="359">
        <f>CS_PID!U105/VLOOKUP($B105,표2[#ALL],2)</f>
        <v>0</v>
      </c>
      <c r="V105" s="359">
        <f>CS_PID!V105/VLOOKUP($B105,표2[#ALL],2)</f>
        <v>0</v>
      </c>
      <c r="W105" s="359">
        <f>CS_PID!W105/VLOOKUP($B105,표2[#ALL],2)</f>
        <v>0.006570400876</v>
      </c>
      <c r="X105" s="359">
        <f>CS_PID!X105/VLOOKUP($B105,표2[#ALL],2)</f>
        <v>0.01314080175</v>
      </c>
      <c r="Y105" s="359">
        <f>CS_PID!Y105/VLOOKUP($B105,표2[#ALL],2)</f>
        <v>0.006570400876</v>
      </c>
      <c r="Z105" s="359">
        <f>CS_PID!Z105/VLOOKUP($B105,표2[#ALL],2)</f>
        <v>0</v>
      </c>
      <c r="AA105" s="359">
        <f>CS_PID!AA105/VLOOKUP($B105,표2[#ALL],2)</f>
        <v>0</v>
      </c>
      <c r="AB105" s="359">
        <f>CS_PID!AB105/VLOOKUP($B105,표2[#ALL],2)</f>
        <v>0</v>
      </c>
      <c r="AC105" s="359">
        <f>CS_PID!AC105/VLOOKUP($B105,표2[#ALL],2)</f>
        <v>0</v>
      </c>
      <c r="AD105" s="359">
        <f>CS_PID!AD105/VLOOKUP($B105,표2[#ALL],2)</f>
        <v>0.01314080175</v>
      </c>
      <c r="AE105" s="359">
        <f>CS_PID!AE105/VLOOKUP($B105,표2[#ALL],2)</f>
        <v>0</v>
      </c>
      <c r="AF105" s="359">
        <f>CS_PID!AF105/VLOOKUP($B105,표2[#ALL],2)</f>
        <v>0</v>
      </c>
      <c r="AG105" s="359">
        <f>CS_PID!AG105/VLOOKUP($B105,표2[#ALL],2)</f>
        <v>0</v>
      </c>
      <c r="AH105" s="359">
        <f>CS_PID!AH105/VLOOKUP($B105,표2[#ALL],2)</f>
        <v>0</v>
      </c>
      <c r="AI105" s="359">
        <f>CS_PID!AI105/VLOOKUP($B105,표2[#ALL],2)</f>
        <v>0.006570400876</v>
      </c>
      <c r="AJ105" s="359">
        <f>CS_PID!AJ105/VLOOKUP($B105,표2[#ALL],2)</f>
        <v>0</v>
      </c>
      <c r="AK105" s="359">
        <f>CS_PID!AK105/VLOOKUP($B105,표2[#ALL],2)</f>
        <v>0</v>
      </c>
      <c r="AL105" s="359">
        <f>CS_PID!AL105/VLOOKUP($B105,표2[#ALL],2)</f>
        <v>0</v>
      </c>
      <c r="AM105" s="359">
        <f>CS_PID!AM105/VLOOKUP($B105,표2[#ALL],2)</f>
        <v>0</v>
      </c>
      <c r="AN105" s="359">
        <f>CS_PID!AN105/VLOOKUP($B105,표2[#ALL],2)</f>
        <v>0</v>
      </c>
      <c r="AO105" s="359">
        <f>CS_PID!AO105/VLOOKUP($B105,표2[#ALL],2)</f>
        <v>0</v>
      </c>
      <c r="AP105" s="359">
        <f>CS_PID!AP105/VLOOKUP($B105,표2[#ALL],2)</f>
        <v>0</v>
      </c>
      <c r="AQ105" s="359">
        <f>CS_PID!AQ105/VLOOKUP($B105,표2[#ALL],2)</f>
        <v>0</v>
      </c>
      <c r="AR105" s="359">
        <f>CS_PID!AR105/VLOOKUP($B105,표2[#ALL],2)</f>
        <v>0</v>
      </c>
      <c r="AS105" s="359">
        <f>CS_PID!AS105/VLOOKUP($B105,표2[#ALL],2)</f>
        <v>0</v>
      </c>
    </row>
    <row r="106">
      <c r="A106" s="173" t="s">
        <v>126</v>
      </c>
      <c r="B106" s="178">
        <v>380.0</v>
      </c>
      <c r="C106" s="359">
        <f>CS_PID!C106/VLOOKUP($B106,표2[#ALL],2)</f>
        <v>0</v>
      </c>
      <c r="D106" s="359">
        <f>CS_PID!D106/VLOOKUP($B106,표2[#ALL],2)</f>
        <v>0</v>
      </c>
      <c r="E106" s="359">
        <f>CS_PID!E106/VLOOKUP($B106,표2[#ALL],2)</f>
        <v>0</v>
      </c>
      <c r="F106" s="359">
        <f>CS_PID!F106/VLOOKUP($B106,표2[#ALL],2)</f>
        <v>0.009838031277</v>
      </c>
      <c r="G106" s="359">
        <f>CS_PID!G106/VLOOKUP($B106,표2[#ALL],2)</f>
        <v>0</v>
      </c>
      <c r="H106" s="359">
        <f>CS_PID!H106/VLOOKUP($B106,표2[#ALL],2)</f>
        <v>0</v>
      </c>
      <c r="I106" s="359">
        <f>CS_PID!I106/VLOOKUP($B106,표2[#ALL],2)</f>
        <v>0</v>
      </c>
      <c r="J106" s="359">
        <f>CS_PID!J106/VLOOKUP($B106,표2[#ALL],2)</f>
        <v>0.009838031277</v>
      </c>
      <c r="K106" s="359">
        <f>CS_PID!K106/VLOOKUP($B106,표2[#ALL],2)</f>
        <v>0.04919015638</v>
      </c>
      <c r="L106" s="359">
        <f>CS_PID!L106/VLOOKUP($B106,표2[#ALL],2)</f>
        <v>0.01967606255</v>
      </c>
      <c r="M106" s="359">
        <f>CS_PID!M106/VLOOKUP($B106,표2[#ALL],2)</f>
        <v>0.009838031277</v>
      </c>
      <c r="N106" s="359">
        <f>CS_PID!N106/VLOOKUP($B106,표2[#ALL],2)</f>
        <v>0</v>
      </c>
      <c r="O106" s="359">
        <f>CS_PID!O106/VLOOKUP($B106,표2[#ALL],2)</f>
        <v>0</v>
      </c>
      <c r="P106" s="359">
        <f>CS_PID!P106/VLOOKUP($B106,표2[#ALL],2)</f>
        <v>0</v>
      </c>
      <c r="Q106" s="359">
        <f>CS_PID!Q106/VLOOKUP($B106,표2[#ALL],2)</f>
        <v>0.01967606255</v>
      </c>
      <c r="R106" s="359">
        <f>CS_PID!R106/VLOOKUP($B106,표2[#ALL],2)</f>
        <v>0.009838031277</v>
      </c>
      <c r="S106" s="359">
        <f>CS_PID!S106/VLOOKUP($B106,표2[#ALL],2)</f>
        <v>0</v>
      </c>
      <c r="T106" s="359">
        <f>CS_PID!T106/VLOOKUP($B106,표2[#ALL],2)</f>
        <v>0</v>
      </c>
      <c r="U106" s="359">
        <f>CS_PID!U106/VLOOKUP($B106,표2[#ALL],2)</f>
        <v>0</v>
      </c>
      <c r="V106" s="359">
        <f>CS_PID!V106/VLOOKUP($B106,표2[#ALL],2)</f>
        <v>0</v>
      </c>
      <c r="W106" s="359">
        <f>CS_PID!W106/VLOOKUP($B106,표2[#ALL],2)</f>
        <v>0</v>
      </c>
      <c r="X106" s="359">
        <f>CS_PID!X106/VLOOKUP($B106,표2[#ALL],2)</f>
        <v>0.02951409383</v>
      </c>
      <c r="Y106" s="359">
        <f>CS_PID!Y106/VLOOKUP($B106,표2[#ALL],2)</f>
        <v>0</v>
      </c>
      <c r="Z106" s="359">
        <f>CS_PID!Z106/VLOOKUP($B106,표2[#ALL],2)</f>
        <v>0</v>
      </c>
      <c r="AA106" s="359">
        <f>CS_PID!AA106/VLOOKUP($B106,표2[#ALL],2)</f>
        <v>0</v>
      </c>
      <c r="AB106" s="359">
        <f>CS_PID!AB106/VLOOKUP($B106,표2[#ALL],2)</f>
        <v>0</v>
      </c>
      <c r="AC106" s="359">
        <f>CS_PID!AC106/VLOOKUP($B106,표2[#ALL],2)</f>
        <v>0</v>
      </c>
      <c r="AD106" s="359">
        <f>CS_PID!AD106/VLOOKUP($B106,표2[#ALL],2)</f>
        <v>0</v>
      </c>
      <c r="AE106" s="359">
        <f>CS_PID!AE106/VLOOKUP($B106,표2[#ALL],2)</f>
        <v>0</v>
      </c>
      <c r="AF106" s="359">
        <f>CS_PID!AF106/VLOOKUP($B106,표2[#ALL],2)</f>
        <v>0</v>
      </c>
      <c r="AG106" s="359">
        <f>CS_PID!AG106/VLOOKUP($B106,표2[#ALL],2)</f>
        <v>0</v>
      </c>
      <c r="AH106" s="359">
        <f>CS_PID!AH106/VLOOKUP($B106,표2[#ALL],2)</f>
        <v>0</v>
      </c>
      <c r="AI106" s="359">
        <f>CS_PID!AI106/VLOOKUP($B106,표2[#ALL],2)</f>
        <v>0</v>
      </c>
      <c r="AJ106" s="359">
        <f>CS_PID!AJ106/VLOOKUP($B106,표2[#ALL],2)</f>
        <v>0.009838031277</v>
      </c>
      <c r="AK106" s="359">
        <f>CS_PID!AK106/VLOOKUP($B106,표2[#ALL],2)</f>
        <v>0</v>
      </c>
      <c r="AL106" s="359">
        <f>CS_PID!AL106/VLOOKUP($B106,표2[#ALL],2)</f>
        <v>0</v>
      </c>
      <c r="AM106" s="359">
        <f>CS_PID!AM106/VLOOKUP($B106,표2[#ALL],2)</f>
        <v>0</v>
      </c>
      <c r="AN106" s="359">
        <f>CS_PID!AN106/VLOOKUP($B106,표2[#ALL],2)</f>
        <v>0</v>
      </c>
      <c r="AO106" s="359">
        <f>CS_PID!AO106/VLOOKUP($B106,표2[#ALL],2)</f>
        <v>0</v>
      </c>
      <c r="AP106" s="359">
        <f>CS_PID!AP106/VLOOKUP($B106,표2[#ALL],2)</f>
        <v>0</v>
      </c>
      <c r="AQ106" s="359">
        <f>CS_PID!AQ106/VLOOKUP($B106,표2[#ALL],2)</f>
        <v>0</v>
      </c>
      <c r="AR106" s="359">
        <f>CS_PID!AR106/VLOOKUP($B106,표2[#ALL],2)</f>
        <v>0</v>
      </c>
      <c r="AS106" s="359">
        <f>CS_PID!AS106/VLOOKUP($B106,표2[#ALL],2)</f>
        <v>0</v>
      </c>
    </row>
    <row r="107">
      <c r="A107" s="173" t="s">
        <v>126</v>
      </c>
      <c r="B107" s="178">
        <v>381.0</v>
      </c>
      <c r="C107" s="359">
        <f>CS_PID!C107/VLOOKUP($B107,표2[#ALL],2)</f>
        <v>0</v>
      </c>
      <c r="D107" s="359">
        <f>CS_PID!D107/VLOOKUP($B107,표2[#ALL],2)</f>
        <v>0</v>
      </c>
      <c r="E107" s="359">
        <f>CS_PID!E107/VLOOKUP($B107,표2[#ALL],2)</f>
        <v>0</v>
      </c>
      <c r="F107" s="359">
        <f>CS_PID!F107/VLOOKUP($B107,표2[#ALL],2)</f>
        <v>0.01883269052</v>
      </c>
      <c r="G107" s="359">
        <f>CS_PID!G107/VLOOKUP($B107,표2[#ALL],2)</f>
        <v>0</v>
      </c>
      <c r="H107" s="359">
        <f>CS_PID!H107/VLOOKUP($B107,표2[#ALL],2)</f>
        <v>0</v>
      </c>
      <c r="I107" s="359">
        <f>CS_PID!I107/VLOOKUP($B107,표2[#ALL],2)</f>
        <v>0</v>
      </c>
      <c r="J107" s="359">
        <f>CS_PID!J107/VLOOKUP($B107,표2[#ALL],2)</f>
        <v>0</v>
      </c>
      <c r="K107" s="359">
        <f>CS_PID!K107/VLOOKUP($B107,표2[#ALL],2)</f>
        <v>0.009416345259</v>
      </c>
      <c r="L107" s="359">
        <f>CS_PID!L107/VLOOKUP($B107,표2[#ALL],2)</f>
        <v>0.01883269052</v>
      </c>
      <c r="M107" s="359">
        <f>CS_PID!M107/VLOOKUP($B107,표2[#ALL],2)</f>
        <v>0</v>
      </c>
      <c r="N107" s="359">
        <f>CS_PID!N107/VLOOKUP($B107,표2[#ALL],2)</f>
        <v>0</v>
      </c>
      <c r="O107" s="359">
        <f>CS_PID!O107/VLOOKUP($B107,표2[#ALL],2)</f>
        <v>0</v>
      </c>
      <c r="P107" s="359">
        <f>CS_PID!P107/VLOOKUP($B107,표2[#ALL],2)</f>
        <v>0</v>
      </c>
      <c r="Q107" s="359">
        <f>CS_PID!Q107/VLOOKUP($B107,표2[#ALL],2)</f>
        <v>0.03766538104</v>
      </c>
      <c r="R107" s="359">
        <f>CS_PID!R107/VLOOKUP($B107,표2[#ALL],2)</f>
        <v>0.02824903578</v>
      </c>
      <c r="S107" s="359">
        <f>CS_PID!S107/VLOOKUP($B107,표2[#ALL],2)</f>
        <v>0</v>
      </c>
      <c r="T107" s="359">
        <f>CS_PID!T107/VLOOKUP($B107,표2[#ALL],2)</f>
        <v>0</v>
      </c>
      <c r="U107" s="359">
        <f>CS_PID!U107/VLOOKUP($B107,표2[#ALL],2)</f>
        <v>0</v>
      </c>
      <c r="V107" s="359">
        <f>CS_PID!V107/VLOOKUP($B107,표2[#ALL],2)</f>
        <v>0</v>
      </c>
      <c r="W107" s="359">
        <f>CS_PID!W107/VLOOKUP($B107,표2[#ALL],2)</f>
        <v>0</v>
      </c>
      <c r="X107" s="359">
        <f>CS_PID!X107/VLOOKUP($B107,표2[#ALL],2)</f>
        <v>0.009416345259</v>
      </c>
      <c r="Y107" s="359">
        <f>CS_PID!Y107/VLOOKUP($B107,표2[#ALL],2)</f>
        <v>0.009416345259</v>
      </c>
      <c r="Z107" s="359">
        <f>CS_PID!Z107/VLOOKUP($B107,표2[#ALL],2)</f>
        <v>0</v>
      </c>
      <c r="AA107" s="359">
        <f>CS_PID!AA107/VLOOKUP($B107,표2[#ALL],2)</f>
        <v>0</v>
      </c>
      <c r="AB107" s="359">
        <f>CS_PID!AB107/VLOOKUP($B107,표2[#ALL],2)</f>
        <v>0</v>
      </c>
      <c r="AC107" s="359">
        <f>CS_PID!AC107/VLOOKUP($B107,표2[#ALL],2)</f>
        <v>0</v>
      </c>
      <c r="AD107" s="359">
        <f>CS_PID!AD107/VLOOKUP($B107,표2[#ALL],2)</f>
        <v>0</v>
      </c>
      <c r="AE107" s="359">
        <f>CS_PID!AE107/VLOOKUP($B107,표2[#ALL],2)</f>
        <v>0.009416345259</v>
      </c>
      <c r="AF107" s="359">
        <f>CS_PID!AF107/VLOOKUP($B107,표2[#ALL],2)</f>
        <v>0</v>
      </c>
      <c r="AG107" s="359">
        <f>CS_PID!AG107/VLOOKUP($B107,표2[#ALL],2)</f>
        <v>0</v>
      </c>
      <c r="AH107" s="359">
        <f>CS_PID!AH107/VLOOKUP($B107,표2[#ALL],2)</f>
        <v>0</v>
      </c>
      <c r="AI107" s="359">
        <f>CS_PID!AI107/VLOOKUP($B107,표2[#ALL],2)</f>
        <v>0</v>
      </c>
      <c r="AJ107" s="359">
        <f>CS_PID!AJ107/VLOOKUP($B107,표2[#ALL],2)</f>
        <v>0.009416345259</v>
      </c>
      <c r="AK107" s="359">
        <f>CS_PID!AK107/VLOOKUP($B107,표2[#ALL],2)</f>
        <v>0</v>
      </c>
      <c r="AL107" s="359">
        <f>CS_PID!AL107/VLOOKUP($B107,표2[#ALL],2)</f>
        <v>0</v>
      </c>
      <c r="AM107" s="359">
        <f>CS_PID!AM107/VLOOKUP($B107,표2[#ALL],2)</f>
        <v>0</v>
      </c>
      <c r="AN107" s="359">
        <f>CS_PID!AN107/VLOOKUP($B107,표2[#ALL],2)</f>
        <v>0</v>
      </c>
      <c r="AO107" s="359">
        <f>CS_PID!AO107/VLOOKUP($B107,표2[#ALL],2)</f>
        <v>0.009416345259</v>
      </c>
      <c r="AP107" s="359">
        <f>CS_PID!AP107/VLOOKUP($B107,표2[#ALL],2)</f>
        <v>0</v>
      </c>
      <c r="AQ107" s="359">
        <f>CS_PID!AQ107/VLOOKUP($B107,표2[#ALL],2)</f>
        <v>0</v>
      </c>
      <c r="AR107" s="359">
        <f>CS_PID!AR107/VLOOKUP($B107,표2[#ALL],2)</f>
        <v>0</v>
      </c>
      <c r="AS107" s="359">
        <f>CS_PID!AS107/VLOOKUP($B107,표2[#ALL],2)</f>
        <v>0</v>
      </c>
    </row>
    <row r="108">
      <c r="A108" s="173" t="s">
        <v>126</v>
      </c>
      <c r="B108" s="178">
        <v>382.0</v>
      </c>
      <c r="C108" s="359">
        <f>CS_PID!C108/VLOOKUP($B108,표2[#ALL],2)</f>
        <v>0</v>
      </c>
      <c r="D108" s="359">
        <f>CS_PID!D108/VLOOKUP($B108,표2[#ALL],2)</f>
        <v>0</v>
      </c>
      <c r="E108" s="359">
        <f>CS_PID!E108/VLOOKUP($B108,표2[#ALL],2)</f>
        <v>0</v>
      </c>
      <c r="F108" s="359">
        <f>CS_PID!F108/VLOOKUP($B108,표2[#ALL],2)</f>
        <v>0.009462826832</v>
      </c>
      <c r="G108" s="359">
        <f>CS_PID!G108/VLOOKUP($B108,표2[#ALL],2)</f>
        <v>0</v>
      </c>
      <c r="H108" s="359">
        <f>CS_PID!H108/VLOOKUP($B108,표2[#ALL],2)</f>
        <v>0</v>
      </c>
      <c r="I108" s="359">
        <f>CS_PID!I108/VLOOKUP($B108,표2[#ALL],2)</f>
        <v>0</v>
      </c>
      <c r="J108" s="359">
        <f>CS_PID!J108/VLOOKUP($B108,표2[#ALL],2)</f>
        <v>0.009462826832</v>
      </c>
      <c r="K108" s="359">
        <f>CS_PID!K108/VLOOKUP($B108,표2[#ALL],2)</f>
        <v>0.05677696099</v>
      </c>
      <c r="L108" s="359">
        <f>CS_PID!L108/VLOOKUP($B108,표2[#ALL],2)</f>
        <v>0.009462826832</v>
      </c>
      <c r="M108" s="359">
        <f>CS_PID!M108/VLOOKUP($B108,표2[#ALL],2)</f>
        <v>0</v>
      </c>
      <c r="N108" s="359">
        <f>CS_PID!N108/VLOOKUP($B108,표2[#ALL],2)</f>
        <v>0</v>
      </c>
      <c r="O108" s="359">
        <f>CS_PID!O108/VLOOKUP($B108,표2[#ALL],2)</f>
        <v>0</v>
      </c>
      <c r="P108" s="359">
        <f>CS_PID!P108/VLOOKUP($B108,표2[#ALL],2)</f>
        <v>0</v>
      </c>
      <c r="Q108" s="359">
        <f>CS_PID!Q108/VLOOKUP($B108,표2[#ALL],2)</f>
        <v>0.03785130733</v>
      </c>
      <c r="R108" s="359">
        <f>CS_PID!R108/VLOOKUP($B108,표2[#ALL],2)</f>
        <v>0.0283884805</v>
      </c>
      <c r="S108" s="359">
        <f>CS_PID!S108/VLOOKUP($B108,표2[#ALL],2)</f>
        <v>0</v>
      </c>
      <c r="T108" s="359">
        <f>CS_PID!T108/VLOOKUP($B108,표2[#ALL],2)</f>
        <v>0</v>
      </c>
      <c r="U108" s="359">
        <f>CS_PID!U108/VLOOKUP($B108,표2[#ALL],2)</f>
        <v>0</v>
      </c>
      <c r="V108" s="359">
        <f>CS_PID!V108/VLOOKUP($B108,표2[#ALL],2)</f>
        <v>0</v>
      </c>
      <c r="W108" s="359">
        <f>CS_PID!W108/VLOOKUP($B108,표2[#ALL],2)</f>
        <v>0</v>
      </c>
      <c r="X108" s="359">
        <f>CS_PID!X108/VLOOKUP($B108,표2[#ALL],2)</f>
        <v>0.009462826832</v>
      </c>
      <c r="Y108" s="359">
        <f>CS_PID!Y108/VLOOKUP($B108,표2[#ALL],2)</f>
        <v>0</v>
      </c>
      <c r="Z108" s="359">
        <f>CS_PID!Z108/VLOOKUP($B108,표2[#ALL],2)</f>
        <v>0</v>
      </c>
      <c r="AA108" s="359">
        <f>CS_PID!AA108/VLOOKUP($B108,표2[#ALL],2)</f>
        <v>0</v>
      </c>
      <c r="AB108" s="359">
        <f>CS_PID!AB108/VLOOKUP($B108,표2[#ALL],2)</f>
        <v>0</v>
      </c>
      <c r="AC108" s="359">
        <f>CS_PID!AC108/VLOOKUP($B108,표2[#ALL],2)</f>
        <v>0</v>
      </c>
      <c r="AD108" s="359">
        <f>CS_PID!AD108/VLOOKUP($B108,표2[#ALL],2)</f>
        <v>0.009462826832</v>
      </c>
      <c r="AE108" s="359">
        <f>CS_PID!AE108/VLOOKUP($B108,표2[#ALL],2)</f>
        <v>0</v>
      </c>
      <c r="AF108" s="359">
        <f>CS_PID!AF108/VLOOKUP($B108,표2[#ALL],2)</f>
        <v>0</v>
      </c>
      <c r="AG108" s="359">
        <f>CS_PID!AG108/VLOOKUP($B108,표2[#ALL],2)</f>
        <v>0</v>
      </c>
      <c r="AH108" s="359">
        <f>CS_PID!AH108/VLOOKUP($B108,표2[#ALL],2)</f>
        <v>0</v>
      </c>
      <c r="AI108" s="359">
        <f>CS_PID!AI108/VLOOKUP($B108,표2[#ALL],2)</f>
        <v>0</v>
      </c>
      <c r="AJ108" s="359">
        <f>CS_PID!AJ108/VLOOKUP($B108,표2[#ALL],2)</f>
        <v>0.009462826832</v>
      </c>
      <c r="AK108" s="359">
        <f>CS_PID!AK108/VLOOKUP($B108,표2[#ALL],2)</f>
        <v>0</v>
      </c>
      <c r="AL108" s="359">
        <f>CS_PID!AL108/VLOOKUP($B108,표2[#ALL],2)</f>
        <v>0</v>
      </c>
      <c r="AM108" s="359">
        <f>CS_PID!AM108/VLOOKUP($B108,표2[#ALL],2)</f>
        <v>0</v>
      </c>
      <c r="AN108" s="359">
        <f>CS_PID!AN108/VLOOKUP($B108,표2[#ALL],2)</f>
        <v>0</v>
      </c>
      <c r="AO108" s="359">
        <f>CS_PID!AO108/VLOOKUP($B108,표2[#ALL],2)</f>
        <v>0</v>
      </c>
      <c r="AP108" s="359">
        <f>CS_PID!AP108/VLOOKUP($B108,표2[#ALL],2)</f>
        <v>0</v>
      </c>
      <c r="AQ108" s="359">
        <f>CS_PID!AQ108/VLOOKUP($B108,표2[#ALL],2)</f>
        <v>0</v>
      </c>
      <c r="AR108" s="359">
        <f>CS_PID!AR108/VLOOKUP($B108,표2[#ALL],2)</f>
        <v>0</v>
      </c>
      <c r="AS108" s="359">
        <f>CS_PID!AS108/VLOOKUP($B108,표2[#ALL],2)</f>
        <v>0</v>
      </c>
    </row>
    <row r="109">
      <c r="A109" s="173" t="s">
        <v>126</v>
      </c>
      <c r="B109" s="178">
        <v>383.0</v>
      </c>
      <c r="C109" s="359">
        <f>CS_PID!C109/VLOOKUP($B109,표2[#ALL],2)</f>
        <v>0</v>
      </c>
      <c r="D109" s="359">
        <f>CS_PID!D109/VLOOKUP($B109,표2[#ALL],2)</f>
        <v>0.001551027556</v>
      </c>
      <c r="E109" s="359">
        <f>CS_PID!E109/VLOOKUP($B109,표2[#ALL],2)</f>
        <v>0.001551027556</v>
      </c>
      <c r="F109" s="359">
        <f>CS_PID!F109/VLOOKUP($B109,표2[#ALL],2)</f>
        <v>0.01240822045</v>
      </c>
      <c r="G109" s="359">
        <f>CS_PID!G109/VLOOKUP($B109,표2[#ALL],2)</f>
        <v>0.001551027556</v>
      </c>
      <c r="H109" s="359">
        <f>CS_PID!H109/VLOOKUP($B109,표2[#ALL],2)</f>
        <v>0</v>
      </c>
      <c r="I109" s="359">
        <f>CS_PID!I109/VLOOKUP($B109,표2[#ALL],2)</f>
        <v>0</v>
      </c>
      <c r="J109" s="359">
        <f>CS_PID!J109/VLOOKUP($B109,표2[#ALL],2)</f>
        <v>0.001551027556</v>
      </c>
      <c r="K109" s="359">
        <f>CS_PID!K109/VLOOKUP($B109,표2[#ALL],2)</f>
        <v>0.01240822045</v>
      </c>
      <c r="L109" s="359">
        <f>CS_PID!L109/VLOOKUP($B109,표2[#ALL],2)</f>
        <v>0.01551027556</v>
      </c>
      <c r="M109" s="359">
        <f>CS_PID!M109/VLOOKUP($B109,표2[#ALL],2)</f>
        <v>0</v>
      </c>
      <c r="N109" s="359">
        <f>CS_PID!N109/VLOOKUP($B109,표2[#ALL],2)</f>
        <v>0</v>
      </c>
      <c r="O109" s="359">
        <f>CS_PID!O109/VLOOKUP($B109,표2[#ALL],2)</f>
        <v>0</v>
      </c>
      <c r="P109" s="359">
        <f>CS_PID!P109/VLOOKUP($B109,표2[#ALL],2)</f>
        <v>0.001551027556</v>
      </c>
      <c r="Q109" s="359">
        <f>CS_PID!Q109/VLOOKUP($B109,표2[#ALL],2)</f>
        <v>0.01240822045</v>
      </c>
      <c r="R109" s="359">
        <f>CS_PID!R109/VLOOKUP($B109,표2[#ALL],2)</f>
        <v>0.013959248</v>
      </c>
      <c r="S109" s="359">
        <f>CS_PID!S109/VLOOKUP($B109,표2[#ALL],2)</f>
        <v>0.001551027556</v>
      </c>
      <c r="T109" s="359">
        <f>CS_PID!T109/VLOOKUP($B109,표2[#ALL],2)</f>
        <v>0</v>
      </c>
      <c r="U109" s="359">
        <f>CS_PID!U109/VLOOKUP($B109,표2[#ALL],2)</f>
        <v>0</v>
      </c>
      <c r="V109" s="359">
        <f>CS_PID!V109/VLOOKUP($B109,표2[#ALL],2)</f>
        <v>0</v>
      </c>
      <c r="W109" s="359">
        <f>CS_PID!W109/VLOOKUP($B109,표2[#ALL],2)</f>
        <v>0.006204110223</v>
      </c>
      <c r="X109" s="359">
        <f>CS_PID!X109/VLOOKUP($B109,표2[#ALL],2)</f>
        <v>0.01551027556</v>
      </c>
      <c r="Y109" s="359">
        <f>CS_PID!Y109/VLOOKUP($B109,표2[#ALL],2)</f>
        <v>0</v>
      </c>
      <c r="Z109" s="359">
        <f>CS_PID!Z109/VLOOKUP($B109,표2[#ALL],2)</f>
        <v>0</v>
      </c>
      <c r="AA109" s="359">
        <f>CS_PID!AA109/VLOOKUP($B109,표2[#ALL],2)</f>
        <v>0</v>
      </c>
      <c r="AB109" s="359">
        <f>CS_PID!AB109/VLOOKUP($B109,표2[#ALL],2)</f>
        <v>0</v>
      </c>
      <c r="AC109" s="359">
        <f>CS_PID!AC109/VLOOKUP($B109,표2[#ALL],2)</f>
        <v>0.001551027556</v>
      </c>
      <c r="AD109" s="359">
        <f>CS_PID!AD109/VLOOKUP($B109,표2[#ALL],2)</f>
        <v>0.001551027556</v>
      </c>
      <c r="AE109" s="359">
        <f>CS_PID!AE109/VLOOKUP($B109,표2[#ALL],2)</f>
        <v>0.001551027556</v>
      </c>
      <c r="AF109" s="359">
        <f>CS_PID!AF109/VLOOKUP($B109,표2[#ALL],2)</f>
        <v>0</v>
      </c>
      <c r="AG109" s="359">
        <f>CS_PID!AG109/VLOOKUP($B109,표2[#ALL],2)</f>
        <v>0</v>
      </c>
      <c r="AH109" s="359">
        <f>CS_PID!AH109/VLOOKUP($B109,표2[#ALL],2)</f>
        <v>0</v>
      </c>
      <c r="AI109" s="359">
        <f>CS_PID!AI109/VLOOKUP($B109,표2[#ALL],2)</f>
        <v>0</v>
      </c>
      <c r="AJ109" s="359">
        <f>CS_PID!AJ109/VLOOKUP($B109,표2[#ALL],2)</f>
        <v>0.007755137778</v>
      </c>
      <c r="AK109" s="359">
        <f>CS_PID!AK109/VLOOKUP($B109,표2[#ALL],2)</f>
        <v>0</v>
      </c>
      <c r="AL109" s="359">
        <f>CS_PID!AL109/VLOOKUP($B109,표2[#ALL],2)</f>
        <v>0</v>
      </c>
      <c r="AM109" s="359">
        <f>CS_PID!AM109/VLOOKUP($B109,표2[#ALL],2)</f>
        <v>0</v>
      </c>
      <c r="AN109" s="359">
        <f>CS_PID!AN109/VLOOKUP($B109,표2[#ALL],2)</f>
        <v>0</v>
      </c>
      <c r="AO109" s="359">
        <f>CS_PID!AO109/VLOOKUP($B109,표2[#ALL],2)</f>
        <v>0</v>
      </c>
      <c r="AP109" s="359">
        <f>CS_PID!AP109/VLOOKUP($B109,표2[#ALL],2)</f>
        <v>0</v>
      </c>
      <c r="AQ109" s="359">
        <f>CS_PID!AQ109/VLOOKUP($B109,표2[#ALL],2)</f>
        <v>0</v>
      </c>
      <c r="AR109" s="359">
        <f>CS_PID!AR109/VLOOKUP($B109,표2[#ALL],2)</f>
        <v>0</v>
      </c>
      <c r="AS109" s="359">
        <f>CS_PID!AS109/VLOOKUP($B109,표2[#ALL],2)</f>
        <v>0</v>
      </c>
    </row>
    <row r="110">
      <c r="A110" s="173" t="s">
        <v>126</v>
      </c>
      <c r="B110" s="178">
        <v>384.0</v>
      </c>
      <c r="C110" s="359">
        <f>CS_PID!C110/VLOOKUP($B110,표2[#ALL],2)</f>
        <v>0</v>
      </c>
      <c r="D110" s="359">
        <f>CS_PID!D110/VLOOKUP($B110,표2[#ALL],2)</f>
        <v>0</v>
      </c>
      <c r="E110" s="359">
        <f>CS_PID!E110/VLOOKUP($B110,표2[#ALL],2)</f>
        <v>0</v>
      </c>
      <c r="F110" s="359">
        <f>CS_PID!F110/VLOOKUP($B110,표2[#ALL],2)</f>
        <v>0</v>
      </c>
      <c r="G110" s="359">
        <f>CS_PID!G110/VLOOKUP($B110,표2[#ALL],2)</f>
        <v>0</v>
      </c>
      <c r="H110" s="359">
        <f>CS_PID!H110/VLOOKUP($B110,표2[#ALL],2)</f>
        <v>0</v>
      </c>
      <c r="I110" s="359">
        <f>CS_PID!I110/VLOOKUP($B110,표2[#ALL],2)</f>
        <v>0</v>
      </c>
      <c r="J110" s="359">
        <f>CS_PID!J110/VLOOKUP($B110,표2[#ALL],2)</f>
        <v>0</v>
      </c>
      <c r="K110" s="359">
        <f>CS_PID!K110/VLOOKUP($B110,표2[#ALL],2)</f>
        <v>0</v>
      </c>
      <c r="L110" s="359">
        <f>CS_PID!L110/VLOOKUP($B110,표2[#ALL],2)</f>
        <v>0.03527588906</v>
      </c>
      <c r="M110" s="359">
        <f>CS_PID!M110/VLOOKUP($B110,표2[#ALL],2)</f>
        <v>0</v>
      </c>
      <c r="N110" s="359">
        <f>CS_PID!N110/VLOOKUP($B110,표2[#ALL],2)</f>
        <v>0</v>
      </c>
      <c r="O110" s="359">
        <f>CS_PID!O110/VLOOKUP($B110,표2[#ALL],2)</f>
        <v>0</v>
      </c>
      <c r="P110" s="359">
        <f>CS_PID!P110/VLOOKUP($B110,표2[#ALL],2)</f>
        <v>0</v>
      </c>
      <c r="Q110" s="359">
        <f>CS_PID!Q110/VLOOKUP($B110,표2[#ALL],2)</f>
        <v>0.03527588906</v>
      </c>
      <c r="R110" s="359">
        <f>CS_PID!R110/VLOOKUP($B110,표2[#ALL],2)</f>
        <v>0</v>
      </c>
      <c r="S110" s="359">
        <f>CS_PID!S110/VLOOKUP($B110,표2[#ALL],2)</f>
        <v>0</v>
      </c>
      <c r="T110" s="359">
        <f>CS_PID!T110/VLOOKUP($B110,표2[#ALL],2)</f>
        <v>0</v>
      </c>
      <c r="U110" s="359">
        <f>CS_PID!U110/VLOOKUP($B110,표2[#ALL],2)</f>
        <v>0</v>
      </c>
      <c r="V110" s="359">
        <f>CS_PID!V110/VLOOKUP($B110,표2[#ALL],2)</f>
        <v>0</v>
      </c>
      <c r="W110" s="359">
        <f>CS_PID!W110/VLOOKUP($B110,표2[#ALL],2)</f>
        <v>0</v>
      </c>
      <c r="X110" s="359">
        <f>CS_PID!X110/VLOOKUP($B110,표2[#ALL],2)</f>
        <v>0</v>
      </c>
      <c r="Y110" s="359">
        <f>CS_PID!Y110/VLOOKUP($B110,표2[#ALL],2)</f>
        <v>0</v>
      </c>
      <c r="Z110" s="359">
        <f>CS_PID!Z110/VLOOKUP($B110,표2[#ALL],2)</f>
        <v>0</v>
      </c>
      <c r="AA110" s="359">
        <f>CS_PID!AA110/VLOOKUP($B110,표2[#ALL],2)</f>
        <v>0</v>
      </c>
      <c r="AB110" s="359">
        <f>CS_PID!AB110/VLOOKUP($B110,표2[#ALL],2)</f>
        <v>0</v>
      </c>
      <c r="AC110" s="359">
        <f>CS_PID!AC110/VLOOKUP($B110,표2[#ALL],2)</f>
        <v>0</v>
      </c>
      <c r="AD110" s="359">
        <f>CS_PID!AD110/VLOOKUP($B110,표2[#ALL],2)</f>
        <v>0</v>
      </c>
      <c r="AE110" s="359">
        <f>CS_PID!AE110/VLOOKUP($B110,표2[#ALL],2)</f>
        <v>0</v>
      </c>
      <c r="AF110" s="359">
        <f>CS_PID!AF110/VLOOKUP($B110,표2[#ALL],2)</f>
        <v>0</v>
      </c>
      <c r="AG110" s="359">
        <f>CS_PID!AG110/VLOOKUP($B110,표2[#ALL],2)</f>
        <v>0</v>
      </c>
      <c r="AH110" s="359">
        <f>CS_PID!AH110/VLOOKUP($B110,표2[#ALL],2)</f>
        <v>0</v>
      </c>
      <c r="AI110" s="359">
        <f>CS_PID!AI110/VLOOKUP($B110,표2[#ALL],2)</f>
        <v>0</v>
      </c>
      <c r="AJ110" s="359">
        <f>CS_PID!AJ110/VLOOKUP($B110,표2[#ALL],2)</f>
        <v>0</v>
      </c>
      <c r="AK110" s="359">
        <f>CS_PID!AK110/VLOOKUP($B110,표2[#ALL],2)</f>
        <v>0</v>
      </c>
      <c r="AL110" s="359">
        <f>CS_PID!AL110/VLOOKUP($B110,표2[#ALL],2)</f>
        <v>0</v>
      </c>
      <c r="AM110" s="359">
        <f>CS_PID!AM110/VLOOKUP($B110,표2[#ALL],2)</f>
        <v>0</v>
      </c>
      <c r="AN110" s="359">
        <f>CS_PID!AN110/VLOOKUP($B110,표2[#ALL],2)</f>
        <v>0</v>
      </c>
      <c r="AO110" s="359">
        <f>CS_PID!AO110/VLOOKUP($B110,표2[#ALL],2)</f>
        <v>0</v>
      </c>
      <c r="AP110" s="359">
        <f>CS_PID!AP110/VLOOKUP($B110,표2[#ALL],2)</f>
        <v>0</v>
      </c>
      <c r="AQ110" s="359">
        <f>CS_PID!AQ110/VLOOKUP($B110,표2[#ALL],2)</f>
        <v>0</v>
      </c>
      <c r="AR110" s="359">
        <f>CS_PID!AR110/VLOOKUP($B110,표2[#ALL],2)</f>
        <v>0</v>
      </c>
      <c r="AS110" s="359">
        <f>CS_PID!AS110/VLOOKUP($B110,표2[#ALL],2)</f>
        <v>0</v>
      </c>
    </row>
    <row r="111">
      <c r="A111" s="173" t="s">
        <v>126</v>
      </c>
      <c r="B111" s="178">
        <v>385.0</v>
      </c>
      <c r="C111" s="359">
        <f>CS_PID!C111/VLOOKUP($B111,표2[#ALL],2)</f>
        <v>0</v>
      </c>
      <c r="D111" s="359">
        <f>CS_PID!D111/VLOOKUP($B111,표2[#ALL],2)</f>
        <v>0</v>
      </c>
      <c r="E111" s="359">
        <f>CS_PID!E111/VLOOKUP($B111,표2[#ALL],2)</f>
        <v>0.002113527844</v>
      </c>
      <c r="F111" s="359">
        <f>CS_PID!F111/VLOOKUP($B111,표2[#ALL],2)</f>
        <v>0.01902175059</v>
      </c>
      <c r="G111" s="359">
        <f>CS_PID!G111/VLOOKUP($B111,표2[#ALL],2)</f>
        <v>0</v>
      </c>
      <c r="H111" s="359">
        <f>CS_PID!H111/VLOOKUP($B111,표2[#ALL],2)</f>
        <v>0</v>
      </c>
      <c r="I111" s="359">
        <f>CS_PID!I111/VLOOKUP($B111,표2[#ALL],2)</f>
        <v>0</v>
      </c>
      <c r="J111" s="359">
        <f>CS_PID!J111/VLOOKUP($B111,표2[#ALL],2)</f>
        <v>0.002113527844</v>
      </c>
      <c r="K111" s="359">
        <f>CS_PID!K111/VLOOKUP($B111,표2[#ALL],2)</f>
        <v>0.02324880628</v>
      </c>
      <c r="L111" s="359">
        <f>CS_PID!L111/VLOOKUP($B111,표2[#ALL],2)</f>
        <v>0.02324880628</v>
      </c>
      <c r="M111" s="359">
        <f>CS_PID!M111/VLOOKUP($B111,표2[#ALL],2)</f>
        <v>0.002113527844</v>
      </c>
      <c r="N111" s="359">
        <f>CS_PID!N111/VLOOKUP($B111,표2[#ALL],2)</f>
        <v>0</v>
      </c>
      <c r="O111" s="359">
        <f>CS_PID!O111/VLOOKUP($B111,표2[#ALL],2)</f>
        <v>0</v>
      </c>
      <c r="P111" s="359">
        <f>CS_PID!P111/VLOOKUP($B111,표2[#ALL],2)</f>
        <v>0</v>
      </c>
      <c r="Q111" s="359">
        <f>CS_PID!Q111/VLOOKUP($B111,표2[#ALL],2)</f>
        <v>0.01056763922</v>
      </c>
      <c r="R111" s="359">
        <f>CS_PID!R111/VLOOKUP($B111,표2[#ALL],2)</f>
        <v>0.006340583531</v>
      </c>
      <c r="S111" s="359">
        <f>CS_PID!S111/VLOOKUP($B111,표2[#ALL],2)</f>
        <v>0</v>
      </c>
      <c r="T111" s="359">
        <f>CS_PID!T111/VLOOKUP($B111,표2[#ALL],2)</f>
        <v>0</v>
      </c>
      <c r="U111" s="359">
        <f>CS_PID!U111/VLOOKUP($B111,표2[#ALL],2)</f>
        <v>0</v>
      </c>
      <c r="V111" s="359">
        <f>CS_PID!V111/VLOOKUP($B111,표2[#ALL],2)</f>
        <v>0</v>
      </c>
      <c r="W111" s="359">
        <f>CS_PID!W111/VLOOKUP($B111,표2[#ALL],2)</f>
        <v>0</v>
      </c>
      <c r="X111" s="359">
        <f>CS_PID!X111/VLOOKUP($B111,표2[#ALL],2)</f>
        <v>0.01268116706</v>
      </c>
      <c r="Y111" s="359">
        <f>CS_PID!Y111/VLOOKUP($B111,표2[#ALL],2)</f>
        <v>0</v>
      </c>
      <c r="Z111" s="359">
        <f>CS_PID!Z111/VLOOKUP($B111,표2[#ALL],2)</f>
        <v>0</v>
      </c>
      <c r="AA111" s="359">
        <f>CS_PID!AA111/VLOOKUP($B111,표2[#ALL],2)</f>
        <v>0</v>
      </c>
      <c r="AB111" s="359">
        <f>CS_PID!AB111/VLOOKUP($B111,표2[#ALL],2)</f>
        <v>0</v>
      </c>
      <c r="AC111" s="359">
        <f>CS_PID!AC111/VLOOKUP($B111,표2[#ALL],2)</f>
        <v>0.002113527844</v>
      </c>
      <c r="AD111" s="359">
        <f>CS_PID!AD111/VLOOKUP($B111,표2[#ALL],2)</f>
        <v>0.004227055688</v>
      </c>
      <c r="AE111" s="359">
        <f>CS_PID!AE111/VLOOKUP($B111,표2[#ALL],2)</f>
        <v>0</v>
      </c>
      <c r="AF111" s="359">
        <f>CS_PID!AF111/VLOOKUP($B111,표2[#ALL],2)</f>
        <v>0</v>
      </c>
      <c r="AG111" s="359">
        <f>CS_PID!AG111/VLOOKUP($B111,표2[#ALL],2)</f>
        <v>0</v>
      </c>
      <c r="AH111" s="359">
        <f>CS_PID!AH111/VLOOKUP($B111,표2[#ALL],2)</f>
        <v>0</v>
      </c>
      <c r="AI111" s="359">
        <f>CS_PID!AI111/VLOOKUP($B111,표2[#ALL],2)</f>
        <v>0</v>
      </c>
      <c r="AJ111" s="359">
        <f>CS_PID!AJ111/VLOOKUP($B111,표2[#ALL],2)</f>
        <v>0.002113527844</v>
      </c>
      <c r="AK111" s="359">
        <f>CS_PID!AK111/VLOOKUP($B111,표2[#ALL],2)</f>
        <v>0</v>
      </c>
      <c r="AL111" s="359">
        <f>CS_PID!AL111/VLOOKUP($B111,표2[#ALL],2)</f>
        <v>0</v>
      </c>
      <c r="AM111" s="359">
        <f>CS_PID!AM111/VLOOKUP($B111,표2[#ALL],2)</f>
        <v>0</v>
      </c>
      <c r="AN111" s="359">
        <f>CS_PID!AN111/VLOOKUP($B111,표2[#ALL],2)</f>
        <v>0</v>
      </c>
      <c r="AO111" s="359">
        <f>CS_PID!AO111/VLOOKUP($B111,표2[#ALL],2)</f>
        <v>0</v>
      </c>
      <c r="AP111" s="359">
        <f>CS_PID!AP111/VLOOKUP($B111,표2[#ALL],2)</f>
        <v>0</v>
      </c>
      <c r="AQ111" s="359">
        <f>CS_PID!AQ111/VLOOKUP($B111,표2[#ALL],2)</f>
        <v>0</v>
      </c>
      <c r="AR111" s="359">
        <f>CS_PID!AR111/VLOOKUP($B111,표2[#ALL],2)</f>
        <v>0</v>
      </c>
      <c r="AS111" s="359">
        <f>CS_PID!AS111/VLOOKUP($B111,표2[#ALL],2)</f>
        <v>0</v>
      </c>
    </row>
    <row r="112">
      <c r="A112" s="173" t="s">
        <v>126</v>
      </c>
      <c r="B112" s="178">
        <v>386.0</v>
      </c>
      <c r="C112" s="359">
        <f>CS_PID!C112/VLOOKUP($B112,표2[#ALL],2)</f>
        <v>0</v>
      </c>
      <c r="D112" s="359">
        <f>CS_PID!D112/VLOOKUP($B112,표2[#ALL],2)</f>
        <v>0</v>
      </c>
      <c r="E112" s="359">
        <f>CS_PID!E112/VLOOKUP($B112,표2[#ALL],2)</f>
        <v>0.001149220408</v>
      </c>
      <c r="F112" s="359">
        <f>CS_PID!F112/VLOOKUP($B112,표2[#ALL],2)</f>
        <v>0.01264142449</v>
      </c>
      <c r="G112" s="359">
        <f>CS_PID!G112/VLOOKUP($B112,표2[#ALL],2)</f>
        <v>0.002298440816</v>
      </c>
      <c r="H112" s="359">
        <f>CS_PID!H112/VLOOKUP($B112,표2[#ALL],2)</f>
        <v>0</v>
      </c>
      <c r="I112" s="359">
        <f>CS_PID!I112/VLOOKUP($B112,표2[#ALL],2)</f>
        <v>0</v>
      </c>
      <c r="J112" s="359">
        <f>CS_PID!J112/VLOOKUP($B112,표2[#ALL],2)</f>
        <v>0.001149220408</v>
      </c>
      <c r="K112" s="359">
        <f>CS_PID!K112/VLOOKUP($B112,표2[#ALL],2)</f>
        <v>0.02298440816</v>
      </c>
      <c r="L112" s="359">
        <f>CS_PID!L112/VLOOKUP($B112,표2[#ALL],2)</f>
        <v>0.01723830612</v>
      </c>
      <c r="M112" s="359">
        <f>CS_PID!M112/VLOOKUP($B112,표2[#ALL],2)</f>
        <v>0.001149220408</v>
      </c>
      <c r="N112" s="359">
        <f>CS_PID!N112/VLOOKUP($B112,표2[#ALL],2)</f>
        <v>0</v>
      </c>
      <c r="O112" s="359">
        <f>CS_PID!O112/VLOOKUP($B112,표2[#ALL],2)</f>
        <v>0</v>
      </c>
      <c r="P112" s="359">
        <f>CS_PID!P112/VLOOKUP($B112,표2[#ALL],2)</f>
        <v>0</v>
      </c>
      <c r="Q112" s="359">
        <f>CS_PID!Q112/VLOOKUP($B112,표2[#ALL],2)</f>
        <v>0.01379064489</v>
      </c>
      <c r="R112" s="359">
        <f>CS_PID!R112/VLOOKUP($B112,표2[#ALL],2)</f>
        <v>0.01149220408</v>
      </c>
      <c r="S112" s="359">
        <f>CS_PID!S112/VLOOKUP($B112,표2[#ALL],2)</f>
        <v>0.003447661223</v>
      </c>
      <c r="T112" s="359">
        <f>CS_PID!T112/VLOOKUP($B112,표2[#ALL],2)</f>
        <v>0</v>
      </c>
      <c r="U112" s="359">
        <f>CS_PID!U112/VLOOKUP($B112,표2[#ALL],2)</f>
        <v>0</v>
      </c>
      <c r="V112" s="359">
        <f>CS_PID!V112/VLOOKUP($B112,표2[#ALL],2)</f>
        <v>0.001149220408</v>
      </c>
      <c r="W112" s="359">
        <f>CS_PID!W112/VLOOKUP($B112,표2[#ALL],2)</f>
        <v>0.003447661223</v>
      </c>
      <c r="X112" s="359">
        <f>CS_PID!X112/VLOOKUP($B112,표2[#ALL],2)</f>
        <v>0.01838752652</v>
      </c>
      <c r="Y112" s="359">
        <f>CS_PID!Y112/VLOOKUP($B112,표2[#ALL],2)</f>
        <v>0.002298440816</v>
      </c>
      <c r="Z112" s="359">
        <f>CS_PID!Z112/VLOOKUP($B112,표2[#ALL],2)</f>
        <v>0</v>
      </c>
      <c r="AA112" s="359">
        <f>CS_PID!AA112/VLOOKUP($B112,표2[#ALL],2)</f>
        <v>0</v>
      </c>
      <c r="AB112" s="359">
        <f>CS_PID!AB112/VLOOKUP($B112,표2[#ALL],2)</f>
        <v>0</v>
      </c>
      <c r="AC112" s="359">
        <f>CS_PID!AC112/VLOOKUP($B112,표2[#ALL],2)</f>
        <v>0.003447661223</v>
      </c>
      <c r="AD112" s="359">
        <f>CS_PID!AD112/VLOOKUP($B112,표2[#ALL],2)</f>
        <v>0.009193763262</v>
      </c>
      <c r="AE112" s="359">
        <f>CS_PID!AE112/VLOOKUP($B112,표2[#ALL],2)</f>
        <v>0.001149220408</v>
      </c>
      <c r="AF112" s="359">
        <f>CS_PID!AF112/VLOOKUP($B112,표2[#ALL],2)</f>
        <v>0</v>
      </c>
      <c r="AG112" s="359">
        <f>CS_PID!AG112/VLOOKUP($B112,표2[#ALL],2)</f>
        <v>0</v>
      </c>
      <c r="AH112" s="359">
        <f>CS_PID!AH112/VLOOKUP($B112,표2[#ALL],2)</f>
        <v>0</v>
      </c>
      <c r="AI112" s="359">
        <f>CS_PID!AI112/VLOOKUP($B112,표2[#ALL],2)</f>
        <v>0.001149220408</v>
      </c>
      <c r="AJ112" s="359">
        <f>CS_PID!AJ112/VLOOKUP($B112,표2[#ALL],2)</f>
        <v>0.003447661223</v>
      </c>
      <c r="AK112" s="359">
        <f>CS_PID!AK112/VLOOKUP($B112,표2[#ALL],2)</f>
        <v>0</v>
      </c>
      <c r="AL112" s="359">
        <f>CS_PID!AL112/VLOOKUP($B112,표2[#ALL],2)</f>
        <v>0</v>
      </c>
      <c r="AM112" s="359">
        <f>CS_PID!AM112/VLOOKUP($B112,표2[#ALL],2)</f>
        <v>0</v>
      </c>
      <c r="AN112" s="359">
        <f>CS_PID!AN112/VLOOKUP($B112,표2[#ALL],2)</f>
        <v>0</v>
      </c>
      <c r="AO112" s="359">
        <f>CS_PID!AO112/VLOOKUP($B112,표2[#ALL],2)</f>
        <v>0.001149220408</v>
      </c>
      <c r="AP112" s="359">
        <f>CS_PID!AP112/VLOOKUP($B112,표2[#ALL],2)</f>
        <v>0</v>
      </c>
      <c r="AQ112" s="359">
        <f>CS_PID!AQ112/VLOOKUP($B112,표2[#ALL],2)</f>
        <v>0</v>
      </c>
      <c r="AR112" s="359">
        <f>CS_PID!AR112/VLOOKUP($B112,표2[#ALL],2)</f>
        <v>0</v>
      </c>
      <c r="AS112" s="359">
        <f>CS_PID!AS112/VLOOKUP($B112,표2[#ALL],2)</f>
        <v>0</v>
      </c>
    </row>
    <row r="113">
      <c r="A113" s="173" t="s">
        <v>126</v>
      </c>
      <c r="B113" s="178">
        <v>387.0</v>
      </c>
      <c r="C113" s="359">
        <f>CS_PID!C113/VLOOKUP($B113,표2[#ALL],2)</f>
        <v>0</v>
      </c>
      <c r="D113" s="359">
        <f>CS_PID!D113/VLOOKUP($B113,표2[#ALL],2)</f>
        <v>0</v>
      </c>
      <c r="E113" s="359">
        <f>CS_PID!E113/VLOOKUP($B113,표2[#ALL],2)</f>
        <v>0</v>
      </c>
      <c r="F113" s="359">
        <f>CS_PID!F113/VLOOKUP($B113,표2[#ALL],2)</f>
        <v>0.01459335457</v>
      </c>
      <c r="G113" s="359">
        <f>CS_PID!G113/VLOOKUP($B113,표2[#ALL],2)</f>
        <v>0.004864451523</v>
      </c>
      <c r="H113" s="359">
        <f>CS_PID!H113/VLOOKUP($B113,표2[#ALL],2)</f>
        <v>0</v>
      </c>
      <c r="I113" s="359">
        <f>CS_PID!I113/VLOOKUP($B113,표2[#ALL],2)</f>
        <v>0</v>
      </c>
      <c r="J113" s="359">
        <f>CS_PID!J113/VLOOKUP($B113,표2[#ALL],2)</f>
        <v>0.009728903046</v>
      </c>
      <c r="K113" s="359">
        <f>CS_PID!K113/VLOOKUP($B113,표2[#ALL],2)</f>
        <v>0.02432225762</v>
      </c>
      <c r="L113" s="359">
        <f>CS_PID!L113/VLOOKUP($B113,표2[#ALL],2)</f>
        <v>0.01216112881</v>
      </c>
      <c r="M113" s="359">
        <f>CS_PID!M113/VLOOKUP($B113,표2[#ALL],2)</f>
        <v>0</v>
      </c>
      <c r="N113" s="359">
        <f>CS_PID!N113/VLOOKUP($B113,표2[#ALL],2)</f>
        <v>0</v>
      </c>
      <c r="O113" s="359">
        <f>CS_PID!O113/VLOOKUP($B113,표2[#ALL],2)</f>
        <v>0</v>
      </c>
      <c r="P113" s="359">
        <f>CS_PID!P113/VLOOKUP($B113,표2[#ALL],2)</f>
        <v>0.002432225762</v>
      </c>
      <c r="Q113" s="359">
        <f>CS_PID!Q113/VLOOKUP($B113,표2[#ALL],2)</f>
        <v>0.01216112881</v>
      </c>
      <c r="R113" s="359">
        <f>CS_PID!R113/VLOOKUP($B113,표2[#ALL],2)</f>
        <v>0.01216112881</v>
      </c>
      <c r="S113" s="359">
        <f>CS_PID!S113/VLOOKUP($B113,표2[#ALL],2)</f>
        <v>0.002432225762</v>
      </c>
      <c r="T113" s="359">
        <f>CS_PID!T113/VLOOKUP($B113,표2[#ALL],2)</f>
        <v>0</v>
      </c>
      <c r="U113" s="359">
        <f>CS_PID!U113/VLOOKUP($B113,표2[#ALL],2)</f>
        <v>0</v>
      </c>
      <c r="V113" s="359">
        <f>CS_PID!V113/VLOOKUP($B113,표2[#ALL],2)</f>
        <v>0</v>
      </c>
      <c r="W113" s="359">
        <f>CS_PID!W113/VLOOKUP($B113,표2[#ALL],2)</f>
        <v>0.004864451523</v>
      </c>
      <c r="X113" s="359">
        <f>CS_PID!X113/VLOOKUP($B113,표2[#ALL],2)</f>
        <v>0.01702558033</v>
      </c>
      <c r="Y113" s="359">
        <f>CS_PID!Y113/VLOOKUP($B113,표2[#ALL],2)</f>
        <v>0.002432225762</v>
      </c>
      <c r="Z113" s="359">
        <f>CS_PID!Z113/VLOOKUP($B113,표2[#ALL],2)</f>
        <v>0</v>
      </c>
      <c r="AA113" s="359">
        <f>CS_PID!AA113/VLOOKUP($B113,표2[#ALL],2)</f>
        <v>0</v>
      </c>
      <c r="AB113" s="359">
        <f>CS_PID!AB113/VLOOKUP($B113,표2[#ALL],2)</f>
        <v>0</v>
      </c>
      <c r="AC113" s="359">
        <f>CS_PID!AC113/VLOOKUP($B113,표2[#ALL],2)</f>
        <v>0</v>
      </c>
      <c r="AD113" s="359">
        <f>CS_PID!AD113/VLOOKUP($B113,표2[#ALL],2)</f>
        <v>0.004864451523</v>
      </c>
      <c r="AE113" s="359">
        <f>CS_PID!AE113/VLOOKUP($B113,표2[#ALL],2)</f>
        <v>0.002432225762</v>
      </c>
      <c r="AF113" s="359">
        <f>CS_PID!AF113/VLOOKUP($B113,표2[#ALL],2)</f>
        <v>0</v>
      </c>
      <c r="AG113" s="359">
        <f>CS_PID!AG113/VLOOKUP($B113,표2[#ALL],2)</f>
        <v>0</v>
      </c>
      <c r="AH113" s="359">
        <f>CS_PID!AH113/VLOOKUP($B113,표2[#ALL],2)</f>
        <v>0</v>
      </c>
      <c r="AI113" s="359">
        <f>CS_PID!AI113/VLOOKUP($B113,표2[#ALL],2)</f>
        <v>0</v>
      </c>
      <c r="AJ113" s="359">
        <f>CS_PID!AJ113/VLOOKUP($B113,표2[#ALL],2)</f>
        <v>0.007296677285</v>
      </c>
      <c r="AK113" s="359">
        <f>CS_PID!AK113/VLOOKUP($B113,표2[#ALL],2)</f>
        <v>0</v>
      </c>
      <c r="AL113" s="359">
        <f>CS_PID!AL113/VLOOKUP($B113,표2[#ALL],2)</f>
        <v>0</v>
      </c>
      <c r="AM113" s="359">
        <f>CS_PID!AM113/VLOOKUP($B113,표2[#ALL],2)</f>
        <v>0</v>
      </c>
      <c r="AN113" s="359">
        <f>CS_PID!AN113/VLOOKUP($B113,표2[#ALL],2)</f>
        <v>0</v>
      </c>
      <c r="AO113" s="359">
        <f>CS_PID!AO113/VLOOKUP($B113,표2[#ALL],2)</f>
        <v>0</v>
      </c>
      <c r="AP113" s="359">
        <f>CS_PID!AP113/VLOOKUP($B113,표2[#ALL],2)</f>
        <v>0</v>
      </c>
      <c r="AQ113" s="359">
        <f>CS_PID!AQ113/VLOOKUP($B113,표2[#ALL],2)</f>
        <v>0</v>
      </c>
      <c r="AR113" s="359">
        <f>CS_PID!AR113/VLOOKUP($B113,표2[#ALL],2)</f>
        <v>0</v>
      </c>
      <c r="AS113" s="359">
        <f>CS_PID!AS113/VLOOKUP($B113,표2[#ALL],2)</f>
        <v>0</v>
      </c>
    </row>
    <row r="114">
      <c r="A114" s="173" t="s">
        <v>126</v>
      </c>
      <c r="B114" s="178">
        <v>388.0</v>
      </c>
      <c r="C114" s="359">
        <f>CS_PID!C114/VLOOKUP($B114,표2[#ALL],2)</f>
        <v>0</v>
      </c>
      <c r="D114" s="359">
        <f>CS_PID!D114/VLOOKUP($B114,표2[#ALL],2)</f>
        <v>0</v>
      </c>
      <c r="E114" s="359">
        <f>CS_PID!E114/VLOOKUP($B114,표2[#ALL],2)</f>
        <v>0.003525554634</v>
      </c>
      <c r="F114" s="359">
        <f>CS_PID!F114/VLOOKUP($B114,표2[#ALL],2)</f>
        <v>0.01762777317</v>
      </c>
      <c r="G114" s="359">
        <f>CS_PID!G114/VLOOKUP($B114,표2[#ALL],2)</f>
        <v>0.003525554634</v>
      </c>
      <c r="H114" s="359">
        <f>CS_PID!H114/VLOOKUP($B114,표2[#ALL],2)</f>
        <v>0</v>
      </c>
      <c r="I114" s="359">
        <f>CS_PID!I114/VLOOKUP($B114,표2[#ALL],2)</f>
        <v>0</v>
      </c>
      <c r="J114" s="359">
        <f>CS_PID!J114/VLOOKUP($B114,표2[#ALL],2)</f>
        <v>0.007051109267</v>
      </c>
      <c r="K114" s="359">
        <f>CS_PID!K114/VLOOKUP($B114,표2[#ALL],2)</f>
        <v>0.0211533278</v>
      </c>
      <c r="L114" s="359">
        <f>CS_PID!L114/VLOOKUP($B114,표2[#ALL],2)</f>
        <v>0.01410221853</v>
      </c>
      <c r="M114" s="359">
        <f>CS_PID!M114/VLOOKUP($B114,표2[#ALL],2)</f>
        <v>0.003525554634</v>
      </c>
      <c r="N114" s="359">
        <f>CS_PID!N114/VLOOKUP($B114,표2[#ALL],2)</f>
        <v>0</v>
      </c>
      <c r="O114" s="359">
        <f>CS_PID!O114/VLOOKUP($B114,표2[#ALL],2)</f>
        <v>0</v>
      </c>
      <c r="P114" s="359">
        <f>CS_PID!P114/VLOOKUP($B114,표2[#ALL],2)</f>
        <v>0</v>
      </c>
      <c r="Q114" s="359">
        <f>CS_PID!Q114/VLOOKUP($B114,표2[#ALL],2)</f>
        <v>0.003525554634</v>
      </c>
      <c r="R114" s="359">
        <f>CS_PID!R114/VLOOKUP($B114,표2[#ALL],2)</f>
        <v>0.01762777317</v>
      </c>
      <c r="S114" s="359">
        <f>CS_PID!S114/VLOOKUP($B114,표2[#ALL],2)</f>
        <v>0</v>
      </c>
      <c r="T114" s="359">
        <f>CS_PID!T114/VLOOKUP($B114,표2[#ALL],2)</f>
        <v>0</v>
      </c>
      <c r="U114" s="359">
        <f>CS_PID!U114/VLOOKUP($B114,표2[#ALL],2)</f>
        <v>0</v>
      </c>
      <c r="V114" s="359">
        <f>CS_PID!V114/VLOOKUP($B114,표2[#ALL],2)</f>
        <v>0</v>
      </c>
      <c r="W114" s="359">
        <f>CS_PID!W114/VLOOKUP($B114,표2[#ALL],2)</f>
        <v>0.007051109267</v>
      </c>
      <c r="X114" s="359">
        <f>CS_PID!X114/VLOOKUP($B114,표2[#ALL],2)</f>
        <v>0.01410221853</v>
      </c>
      <c r="Y114" s="359">
        <f>CS_PID!Y114/VLOOKUP($B114,표2[#ALL],2)</f>
        <v>0</v>
      </c>
      <c r="Z114" s="359">
        <f>CS_PID!Z114/VLOOKUP($B114,표2[#ALL],2)</f>
        <v>0</v>
      </c>
      <c r="AA114" s="359">
        <f>CS_PID!AA114/VLOOKUP($B114,표2[#ALL],2)</f>
        <v>0</v>
      </c>
      <c r="AB114" s="359">
        <f>CS_PID!AB114/VLOOKUP($B114,표2[#ALL],2)</f>
        <v>0</v>
      </c>
      <c r="AC114" s="359">
        <f>CS_PID!AC114/VLOOKUP($B114,표2[#ALL],2)</f>
        <v>0</v>
      </c>
      <c r="AD114" s="359">
        <f>CS_PID!AD114/VLOOKUP($B114,표2[#ALL],2)</f>
        <v>0.003525554634</v>
      </c>
      <c r="AE114" s="359">
        <f>CS_PID!AE114/VLOOKUP($B114,표2[#ALL],2)</f>
        <v>0.003525554634</v>
      </c>
      <c r="AF114" s="359">
        <f>CS_PID!AF114/VLOOKUP($B114,표2[#ALL],2)</f>
        <v>0</v>
      </c>
      <c r="AG114" s="359">
        <f>CS_PID!AG114/VLOOKUP($B114,표2[#ALL],2)</f>
        <v>0</v>
      </c>
      <c r="AH114" s="359">
        <f>CS_PID!AH114/VLOOKUP($B114,표2[#ALL],2)</f>
        <v>0</v>
      </c>
      <c r="AI114" s="359">
        <f>CS_PID!AI114/VLOOKUP($B114,표2[#ALL],2)</f>
        <v>0</v>
      </c>
      <c r="AJ114" s="359">
        <f>CS_PID!AJ114/VLOOKUP($B114,표2[#ALL],2)</f>
        <v>0.003525554634</v>
      </c>
      <c r="AK114" s="359">
        <f>CS_PID!AK114/VLOOKUP($B114,표2[#ALL],2)</f>
        <v>0</v>
      </c>
      <c r="AL114" s="359">
        <f>CS_PID!AL114/VLOOKUP($B114,표2[#ALL],2)</f>
        <v>0</v>
      </c>
      <c r="AM114" s="359">
        <f>CS_PID!AM114/VLOOKUP($B114,표2[#ALL],2)</f>
        <v>0</v>
      </c>
      <c r="AN114" s="359">
        <f>CS_PID!AN114/VLOOKUP($B114,표2[#ALL],2)</f>
        <v>0</v>
      </c>
      <c r="AO114" s="359">
        <f>CS_PID!AO114/VLOOKUP($B114,표2[#ALL],2)</f>
        <v>0.003525554634</v>
      </c>
      <c r="AP114" s="359">
        <f>CS_PID!AP114/VLOOKUP($B114,표2[#ALL],2)</f>
        <v>0</v>
      </c>
      <c r="AQ114" s="359">
        <f>CS_PID!AQ114/VLOOKUP($B114,표2[#ALL],2)</f>
        <v>0</v>
      </c>
      <c r="AR114" s="359">
        <f>CS_PID!AR114/VLOOKUP($B114,표2[#ALL],2)</f>
        <v>0</v>
      </c>
      <c r="AS114" s="359">
        <f>CS_PID!AS114/VLOOKUP($B114,표2[#ALL],2)</f>
        <v>0</v>
      </c>
    </row>
    <row r="115">
      <c r="A115" s="173" t="s">
        <v>126</v>
      </c>
      <c r="B115" s="178">
        <v>389.0</v>
      </c>
      <c r="C115" s="359">
        <f>CS_PID!C115/VLOOKUP($B115,표2[#ALL],2)</f>
        <v>0</v>
      </c>
      <c r="D115" s="359">
        <f>CS_PID!D115/VLOOKUP($B115,표2[#ALL],2)</f>
        <v>0</v>
      </c>
      <c r="E115" s="359">
        <f>CS_PID!E115/VLOOKUP($B115,표2[#ALL],2)</f>
        <v>0</v>
      </c>
      <c r="F115" s="359">
        <f>CS_PID!F115/VLOOKUP($B115,표2[#ALL],2)</f>
        <v>0</v>
      </c>
      <c r="G115" s="359">
        <f>CS_PID!G115/VLOOKUP($B115,표2[#ALL],2)</f>
        <v>0</v>
      </c>
      <c r="H115" s="359">
        <f>CS_PID!H115/VLOOKUP($B115,표2[#ALL],2)</f>
        <v>0</v>
      </c>
      <c r="I115" s="359">
        <f>CS_PID!I115/VLOOKUP($B115,표2[#ALL],2)</f>
        <v>0</v>
      </c>
      <c r="J115" s="359">
        <f>CS_PID!J115/VLOOKUP($B115,표2[#ALL],2)</f>
        <v>0</v>
      </c>
      <c r="K115" s="359">
        <f>CS_PID!K115/VLOOKUP($B115,표2[#ALL],2)</f>
        <v>0</v>
      </c>
      <c r="L115" s="359">
        <f>CS_PID!L115/VLOOKUP($B115,표2[#ALL],2)</f>
        <v>0</v>
      </c>
      <c r="M115" s="359">
        <f>CS_PID!M115/VLOOKUP($B115,표2[#ALL],2)</f>
        <v>0</v>
      </c>
      <c r="N115" s="359">
        <f>CS_PID!N115/VLOOKUP($B115,표2[#ALL],2)</f>
        <v>0</v>
      </c>
      <c r="O115" s="359">
        <f>CS_PID!O115/VLOOKUP($B115,표2[#ALL],2)</f>
        <v>0</v>
      </c>
      <c r="P115" s="359">
        <f>CS_PID!P115/VLOOKUP($B115,표2[#ALL],2)</f>
        <v>0</v>
      </c>
      <c r="Q115" s="359">
        <f>CS_PID!Q115/VLOOKUP($B115,표2[#ALL],2)</f>
        <v>0.01735480716</v>
      </c>
      <c r="R115" s="359">
        <f>CS_PID!R115/VLOOKUP($B115,표2[#ALL],2)</f>
        <v>0.05206442147</v>
      </c>
      <c r="S115" s="359">
        <f>CS_PID!S115/VLOOKUP($B115,표2[#ALL],2)</f>
        <v>0</v>
      </c>
      <c r="T115" s="359">
        <f>CS_PID!T115/VLOOKUP($B115,표2[#ALL],2)</f>
        <v>0</v>
      </c>
      <c r="U115" s="359">
        <f>CS_PID!U115/VLOOKUP($B115,표2[#ALL],2)</f>
        <v>0</v>
      </c>
      <c r="V115" s="359">
        <f>CS_PID!V115/VLOOKUP($B115,표2[#ALL],2)</f>
        <v>0</v>
      </c>
      <c r="W115" s="359">
        <f>CS_PID!W115/VLOOKUP($B115,표2[#ALL],2)</f>
        <v>0</v>
      </c>
      <c r="X115" s="359">
        <f>CS_PID!X115/VLOOKUP($B115,표2[#ALL],2)</f>
        <v>0.05206442147</v>
      </c>
      <c r="Y115" s="359">
        <f>CS_PID!Y115/VLOOKUP($B115,표2[#ALL],2)</f>
        <v>0.01735480716</v>
      </c>
      <c r="Z115" s="359">
        <f>CS_PID!Z115/VLOOKUP($B115,표2[#ALL],2)</f>
        <v>0</v>
      </c>
      <c r="AA115" s="359">
        <f>CS_PID!AA115/VLOOKUP($B115,표2[#ALL],2)</f>
        <v>0</v>
      </c>
      <c r="AB115" s="359">
        <f>CS_PID!AB115/VLOOKUP($B115,표2[#ALL],2)</f>
        <v>0</v>
      </c>
      <c r="AC115" s="359">
        <f>CS_PID!AC115/VLOOKUP($B115,표2[#ALL],2)</f>
        <v>0</v>
      </c>
      <c r="AD115" s="359">
        <f>CS_PID!AD115/VLOOKUP($B115,표2[#ALL],2)</f>
        <v>0</v>
      </c>
      <c r="AE115" s="359">
        <f>CS_PID!AE115/VLOOKUP($B115,표2[#ALL],2)</f>
        <v>0</v>
      </c>
      <c r="AF115" s="359">
        <f>CS_PID!AF115/VLOOKUP($B115,표2[#ALL],2)</f>
        <v>0</v>
      </c>
      <c r="AG115" s="359">
        <f>CS_PID!AG115/VLOOKUP($B115,표2[#ALL],2)</f>
        <v>0</v>
      </c>
      <c r="AH115" s="359">
        <f>CS_PID!AH115/VLOOKUP($B115,표2[#ALL],2)</f>
        <v>0</v>
      </c>
      <c r="AI115" s="359">
        <f>CS_PID!AI115/VLOOKUP($B115,표2[#ALL],2)</f>
        <v>0</v>
      </c>
      <c r="AJ115" s="359">
        <f>CS_PID!AJ115/VLOOKUP($B115,표2[#ALL],2)</f>
        <v>0</v>
      </c>
      <c r="AK115" s="359">
        <f>CS_PID!AK115/VLOOKUP($B115,표2[#ALL],2)</f>
        <v>0</v>
      </c>
      <c r="AL115" s="359">
        <f>CS_PID!AL115/VLOOKUP($B115,표2[#ALL],2)</f>
        <v>0</v>
      </c>
      <c r="AM115" s="359">
        <f>CS_PID!AM115/VLOOKUP($B115,표2[#ALL],2)</f>
        <v>0</v>
      </c>
      <c r="AN115" s="359">
        <f>CS_PID!AN115/VLOOKUP($B115,표2[#ALL],2)</f>
        <v>0</v>
      </c>
      <c r="AO115" s="359">
        <f>CS_PID!AO115/VLOOKUP($B115,표2[#ALL],2)</f>
        <v>0</v>
      </c>
      <c r="AP115" s="359">
        <f>CS_PID!AP115/VLOOKUP($B115,표2[#ALL],2)</f>
        <v>0</v>
      </c>
      <c r="AQ115" s="359">
        <f>CS_PID!AQ115/VLOOKUP($B115,표2[#ALL],2)</f>
        <v>0</v>
      </c>
      <c r="AR115" s="359">
        <f>CS_PID!AR115/VLOOKUP($B115,표2[#ALL],2)</f>
        <v>0</v>
      </c>
      <c r="AS115" s="359">
        <f>CS_PID!AS115/VLOOKUP($B115,표2[#ALL],2)</f>
        <v>0</v>
      </c>
    </row>
    <row r="116">
      <c r="A116" s="173" t="s">
        <v>126</v>
      </c>
      <c r="B116" s="178">
        <v>390.0</v>
      </c>
      <c r="C116" s="359">
        <f>CS_PID!C116/VLOOKUP($B116,표2[#ALL],2)</f>
        <v>0</v>
      </c>
      <c r="D116" s="359">
        <f>CS_PID!D116/VLOOKUP($B116,표2[#ALL],2)</f>
        <v>0</v>
      </c>
      <c r="E116" s="359">
        <f>CS_PID!E116/VLOOKUP($B116,표2[#ALL],2)</f>
        <v>0.01166316708</v>
      </c>
      <c r="F116" s="359">
        <f>CS_PID!F116/VLOOKUP($B116,표2[#ALL],2)</f>
        <v>0.03110177888</v>
      </c>
      <c r="G116" s="359">
        <f>CS_PID!G116/VLOOKUP($B116,표2[#ALL],2)</f>
        <v>0</v>
      </c>
      <c r="H116" s="359">
        <f>CS_PID!H116/VLOOKUP($B116,표2[#ALL],2)</f>
        <v>0</v>
      </c>
      <c r="I116" s="359">
        <f>CS_PID!I116/VLOOKUP($B116,표2[#ALL],2)</f>
        <v>0</v>
      </c>
      <c r="J116" s="359">
        <f>CS_PID!J116/VLOOKUP($B116,표2[#ALL],2)</f>
        <v>0.003887722361</v>
      </c>
      <c r="K116" s="359">
        <f>CS_PID!K116/VLOOKUP($B116,표2[#ALL],2)</f>
        <v>0.003887722361</v>
      </c>
      <c r="L116" s="359">
        <f>CS_PID!L116/VLOOKUP($B116,표2[#ALL],2)</f>
        <v>0.003887722361</v>
      </c>
      <c r="M116" s="359">
        <f>CS_PID!M116/VLOOKUP($B116,표2[#ALL],2)</f>
        <v>0</v>
      </c>
      <c r="N116" s="359">
        <f>CS_PID!N116/VLOOKUP($B116,표2[#ALL],2)</f>
        <v>0</v>
      </c>
      <c r="O116" s="359">
        <f>CS_PID!O116/VLOOKUP($B116,표2[#ALL],2)</f>
        <v>0</v>
      </c>
      <c r="P116" s="359">
        <f>CS_PID!P116/VLOOKUP($B116,표2[#ALL],2)</f>
        <v>0</v>
      </c>
      <c r="Q116" s="359">
        <f>CS_PID!Q116/VLOOKUP($B116,표2[#ALL],2)</f>
        <v>0.007775444721</v>
      </c>
      <c r="R116" s="359">
        <f>CS_PID!R116/VLOOKUP($B116,표2[#ALL],2)</f>
        <v>0.01555088944</v>
      </c>
      <c r="S116" s="359">
        <f>CS_PID!S116/VLOOKUP($B116,표2[#ALL],2)</f>
        <v>0.007775444721</v>
      </c>
      <c r="T116" s="359">
        <f>CS_PID!T116/VLOOKUP($B116,표2[#ALL],2)</f>
        <v>0</v>
      </c>
      <c r="U116" s="359">
        <f>CS_PID!U116/VLOOKUP($B116,표2[#ALL],2)</f>
        <v>0</v>
      </c>
      <c r="V116" s="359">
        <f>CS_PID!V116/VLOOKUP($B116,표2[#ALL],2)</f>
        <v>0</v>
      </c>
      <c r="W116" s="359">
        <f>CS_PID!W116/VLOOKUP($B116,표2[#ALL],2)</f>
        <v>0.003887722361</v>
      </c>
      <c r="X116" s="359">
        <f>CS_PID!X116/VLOOKUP($B116,표2[#ALL],2)</f>
        <v>0.03887722361</v>
      </c>
      <c r="Y116" s="359">
        <f>CS_PID!Y116/VLOOKUP($B116,표2[#ALL],2)</f>
        <v>0.003887722361</v>
      </c>
      <c r="Z116" s="359">
        <f>CS_PID!Z116/VLOOKUP($B116,표2[#ALL],2)</f>
        <v>0</v>
      </c>
      <c r="AA116" s="359">
        <f>CS_PID!AA116/VLOOKUP($B116,표2[#ALL],2)</f>
        <v>0</v>
      </c>
      <c r="AB116" s="359">
        <f>CS_PID!AB116/VLOOKUP($B116,표2[#ALL],2)</f>
        <v>0</v>
      </c>
      <c r="AC116" s="359">
        <f>CS_PID!AC116/VLOOKUP($B116,표2[#ALL],2)</f>
        <v>0.007775444721</v>
      </c>
      <c r="AD116" s="359">
        <f>CS_PID!AD116/VLOOKUP($B116,표2[#ALL],2)</f>
        <v>0.003887722361</v>
      </c>
      <c r="AE116" s="359">
        <f>CS_PID!AE116/VLOOKUP($B116,표2[#ALL],2)</f>
        <v>0</v>
      </c>
      <c r="AF116" s="359">
        <f>CS_PID!AF116/VLOOKUP($B116,표2[#ALL],2)</f>
        <v>0</v>
      </c>
      <c r="AG116" s="359">
        <f>CS_PID!AG116/VLOOKUP($B116,표2[#ALL],2)</f>
        <v>0</v>
      </c>
      <c r="AH116" s="359">
        <f>CS_PID!AH116/VLOOKUP($B116,표2[#ALL],2)</f>
        <v>0</v>
      </c>
      <c r="AI116" s="359">
        <f>CS_PID!AI116/VLOOKUP($B116,표2[#ALL],2)</f>
        <v>0.003887722361</v>
      </c>
      <c r="AJ116" s="359">
        <f>CS_PID!AJ116/VLOOKUP($B116,표2[#ALL],2)</f>
        <v>0.007775444721</v>
      </c>
      <c r="AK116" s="359">
        <f>CS_PID!AK116/VLOOKUP($B116,표2[#ALL],2)</f>
        <v>0</v>
      </c>
      <c r="AL116" s="359">
        <f>CS_PID!AL116/VLOOKUP($B116,표2[#ALL],2)</f>
        <v>0</v>
      </c>
      <c r="AM116" s="359">
        <f>CS_PID!AM116/VLOOKUP($B116,표2[#ALL],2)</f>
        <v>0</v>
      </c>
      <c r="AN116" s="359">
        <f>CS_PID!AN116/VLOOKUP($B116,표2[#ALL],2)</f>
        <v>0</v>
      </c>
      <c r="AO116" s="359">
        <f>CS_PID!AO116/VLOOKUP($B116,표2[#ALL],2)</f>
        <v>0</v>
      </c>
      <c r="AP116" s="359">
        <f>CS_PID!AP116/VLOOKUP($B116,표2[#ALL],2)</f>
        <v>0</v>
      </c>
      <c r="AQ116" s="359">
        <f>CS_PID!AQ116/VLOOKUP($B116,표2[#ALL],2)</f>
        <v>0</v>
      </c>
      <c r="AR116" s="359">
        <f>CS_PID!AR116/VLOOKUP($B116,표2[#ALL],2)</f>
        <v>0</v>
      </c>
      <c r="AS116" s="359">
        <f>CS_PID!AS116/VLOOKUP($B116,표2[#ALL],2)</f>
        <v>0</v>
      </c>
    </row>
    <row r="117">
      <c r="A117" s="173" t="s">
        <v>126</v>
      </c>
      <c r="B117" s="178">
        <v>391.0</v>
      </c>
      <c r="C117" s="359">
        <f>CS_PID!C117/VLOOKUP($B117,표2[#ALL],2)</f>
        <v>0</v>
      </c>
      <c r="D117" s="359">
        <f>CS_PID!D117/VLOOKUP($B117,표2[#ALL],2)</f>
        <v>0</v>
      </c>
      <c r="E117" s="359">
        <f>CS_PID!E117/VLOOKUP($B117,표2[#ALL],2)</f>
        <v>0.002657885371</v>
      </c>
      <c r="F117" s="359">
        <f>CS_PID!F117/VLOOKUP($B117,표2[#ALL],2)</f>
        <v>0.01993414028</v>
      </c>
      <c r="G117" s="359">
        <f>CS_PID!G117/VLOOKUP($B117,표2[#ALL],2)</f>
        <v>0</v>
      </c>
      <c r="H117" s="359">
        <f>CS_PID!H117/VLOOKUP($B117,표2[#ALL],2)</f>
        <v>0</v>
      </c>
      <c r="I117" s="359">
        <f>CS_PID!I117/VLOOKUP($B117,표2[#ALL],2)</f>
        <v>0</v>
      </c>
      <c r="J117" s="359">
        <f>CS_PID!J117/VLOOKUP($B117,표2[#ALL],2)</f>
        <v>0.006644713428</v>
      </c>
      <c r="K117" s="359">
        <f>CS_PID!K117/VLOOKUP($B117,표2[#ALL],2)</f>
        <v>0.02392096834</v>
      </c>
      <c r="L117" s="359">
        <f>CS_PID!L117/VLOOKUP($B117,표2[#ALL],2)</f>
        <v>0.01727625491</v>
      </c>
      <c r="M117" s="359">
        <f>CS_PID!M117/VLOOKUP($B117,표2[#ALL],2)</f>
        <v>0</v>
      </c>
      <c r="N117" s="359">
        <f>CS_PID!N117/VLOOKUP($B117,표2[#ALL],2)</f>
        <v>0</v>
      </c>
      <c r="O117" s="359">
        <f>CS_PID!O117/VLOOKUP($B117,표2[#ALL],2)</f>
        <v>0</v>
      </c>
      <c r="P117" s="359">
        <f>CS_PID!P117/VLOOKUP($B117,표2[#ALL],2)</f>
        <v>0.002657885371</v>
      </c>
      <c r="Q117" s="359">
        <f>CS_PID!Q117/VLOOKUP($B117,표2[#ALL],2)</f>
        <v>0.01727625491</v>
      </c>
      <c r="R117" s="359">
        <f>CS_PID!R117/VLOOKUP($B117,표2[#ALL],2)</f>
        <v>0.01196048417</v>
      </c>
      <c r="S117" s="359">
        <f>CS_PID!S117/VLOOKUP($B117,표2[#ALL],2)</f>
        <v>0.006644713428</v>
      </c>
      <c r="T117" s="359">
        <f>CS_PID!T117/VLOOKUP($B117,표2[#ALL],2)</f>
        <v>0</v>
      </c>
      <c r="U117" s="359">
        <f>CS_PID!U117/VLOOKUP($B117,표2[#ALL],2)</f>
        <v>0</v>
      </c>
      <c r="V117" s="359">
        <f>CS_PID!V117/VLOOKUP($B117,표2[#ALL],2)</f>
        <v>0</v>
      </c>
      <c r="W117" s="359">
        <f>CS_PID!W117/VLOOKUP($B117,표2[#ALL],2)</f>
        <v>0</v>
      </c>
      <c r="X117" s="359">
        <f>CS_PID!X117/VLOOKUP($B117,표2[#ALL],2)</f>
        <v>0.01594731223</v>
      </c>
      <c r="Y117" s="359">
        <f>CS_PID!Y117/VLOOKUP($B117,표2[#ALL],2)</f>
        <v>0.002657885371</v>
      </c>
      <c r="Z117" s="359">
        <f>CS_PID!Z117/VLOOKUP($B117,표2[#ALL],2)</f>
        <v>0</v>
      </c>
      <c r="AA117" s="359">
        <f>CS_PID!AA117/VLOOKUP($B117,표2[#ALL],2)</f>
        <v>0</v>
      </c>
      <c r="AB117" s="359">
        <f>CS_PID!AB117/VLOOKUP($B117,표2[#ALL],2)</f>
        <v>0</v>
      </c>
      <c r="AC117" s="359">
        <f>CS_PID!AC117/VLOOKUP($B117,표2[#ALL],2)</f>
        <v>0.005315770743</v>
      </c>
      <c r="AD117" s="359">
        <f>CS_PID!AD117/VLOOKUP($B117,표2[#ALL],2)</f>
        <v>0.002657885371</v>
      </c>
      <c r="AE117" s="359">
        <f>CS_PID!AE117/VLOOKUP($B117,표2[#ALL],2)</f>
        <v>0.001328942686</v>
      </c>
      <c r="AF117" s="359">
        <f>CS_PID!AF117/VLOOKUP($B117,표2[#ALL],2)</f>
        <v>0</v>
      </c>
      <c r="AG117" s="359">
        <f>CS_PID!AG117/VLOOKUP($B117,표2[#ALL],2)</f>
        <v>0</v>
      </c>
      <c r="AH117" s="359">
        <f>CS_PID!AH117/VLOOKUP($B117,표2[#ALL],2)</f>
        <v>0</v>
      </c>
      <c r="AI117" s="359">
        <f>CS_PID!AI117/VLOOKUP($B117,표2[#ALL],2)</f>
        <v>0</v>
      </c>
      <c r="AJ117" s="359">
        <f>CS_PID!AJ117/VLOOKUP($B117,표2[#ALL],2)</f>
        <v>0.001328942686</v>
      </c>
      <c r="AK117" s="359">
        <f>CS_PID!AK117/VLOOKUP($B117,표2[#ALL],2)</f>
        <v>0.002657885371</v>
      </c>
      <c r="AL117" s="359">
        <f>CS_PID!AL117/VLOOKUP($B117,표2[#ALL],2)</f>
        <v>0</v>
      </c>
      <c r="AM117" s="359">
        <f>CS_PID!AM117/VLOOKUP($B117,표2[#ALL],2)</f>
        <v>0</v>
      </c>
      <c r="AN117" s="359">
        <f>CS_PID!AN117/VLOOKUP($B117,표2[#ALL],2)</f>
        <v>0</v>
      </c>
      <c r="AO117" s="359">
        <f>CS_PID!AO117/VLOOKUP($B117,표2[#ALL],2)</f>
        <v>0.001328942686</v>
      </c>
      <c r="AP117" s="359">
        <f>CS_PID!AP117/VLOOKUP($B117,표2[#ALL],2)</f>
        <v>0.001328942686</v>
      </c>
      <c r="AQ117" s="359">
        <f>CS_PID!AQ117/VLOOKUP($B117,표2[#ALL],2)</f>
        <v>0</v>
      </c>
      <c r="AR117" s="359">
        <f>CS_PID!AR117/VLOOKUP($B117,표2[#ALL],2)</f>
        <v>0</v>
      </c>
      <c r="AS117" s="359">
        <f>CS_PID!AS117/VLOOKUP($B117,표2[#ALL],2)</f>
        <v>0</v>
      </c>
    </row>
    <row r="118">
      <c r="A118" s="173" t="s">
        <v>126</v>
      </c>
      <c r="B118" s="178">
        <v>392.0</v>
      </c>
      <c r="C118" s="359">
        <f>CS_PID!C118/VLOOKUP($B118,표2[#ALL],2)</f>
        <v>0</v>
      </c>
      <c r="D118" s="359">
        <f>CS_PID!D118/VLOOKUP($B118,표2[#ALL],2)</f>
        <v>0</v>
      </c>
      <c r="E118" s="359">
        <f>CS_PID!E118/VLOOKUP($B118,표2[#ALL],2)</f>
        <v>0</v>
      </c>
      <c r="F118" s="359">
        <f>CS_PID!F118/VLOOKUP($B118,표2[#ALL],2)</f>
        <v>0.02422728782</v>
      </c>
      <c r="G118" s="359">
        <f>CS_PID!G118/VLOOKUP($B118,표2[#ALL],2)</f>
        <v>0</v>
      </c>
      <c r="H118" s="359">
        <f>CS_PID!H118/VLOOKUP($B118,표2[#ALL],2)</f>
        <v>0</v>
      </c>
      <c r="I118" s="359">
        <f>CS_PID!I118/VLOOKUP($B118,표2[#ALL],2)</f>
        <v>0</v>
      </c>
      <c r="J118" s="359">
        <f>CS_PID!J118/VLOOKUP($B118,표2[#ALL],2)</f>
        <v>0</v>
      </c>
      <c r="K118" s="359">
        <f>CS_PID!K118/VLOOKUP($B118,표2[#ALL],2)</f>
        <v>0</v>
      </c>
      <c r="L118" s="359">
        <f>CS_PID!L118/VLOOKUP($B118,표2[#ALL],2)</f>
        <v>0</v>
      </c>
      <c r="M118" s="359">
        <f>CS_PID!M118/VLOOKUP($B118,표2[#ALL],2)</f>
        <v>0</v>
      </c>
      <c r="N118" s="359">
        <f>CS_PID!N118/VLOOKUP($B118,표2[#ALL],2)</f>
        <v>0</v>
      </c>
      <c r="O118" s="359">
        <f>CS_PID!O118/VLOOKUP($B118,표2[#ALL],2)</f>
        <v>0</v>
      </c>
      <c r="P118" s="359">
        <f>CS_PID!P118/VLOOKUP($B118,표2[#ALL],2)</f>
        <v>0</v>
      </c>
      <c r="Q118" s="359">
        <f>CS_PID!Q118/VLOOKUP($B118,표2[#ALL],2)</f>
        <v>0.03230305042</v>
      </c>
      <c r="R118" s="359">
        <f>CS_PID!R118/VLOOKUP($B118,표2[#ALL],2)</f>
        <v>0.008075762605</v>
      </c>
      <c r="S118" s="359">
        <f>CS_PID!S118/VLOOKUP($B118,표2[#ALL],2)</f>
        <v>0</v>
      </c>
      <c r="T118" s="359">
        <f>CS_PID!T118/VLOOKUP($B118,표2[#ALL],2)</f>
        <v>0</v>
      </c>
      <c r="U118" s="359">
        <f>CS_PID!U118/VLOOKUP($B118,표2[#ALL],2)</f>
        <v>0</v>
      </c>
      <c r="V118" s="359">
        <f>CS_PID!V118/VLOOKUP($B118,표2[#ALL],2)</f>
        <v>0</v>
      </c>
      <c r="W118" s="359">
        <f>CS_PID!W118/VLOOKUP($B118,표2[#ALL],2)</f>
        <v>0</v>
      </c>
      <c r="X118" s="359">
        <f>CS_PID!X118/VLOOKUP($B118,표2[#ALL],2)</f>
        <v>0.008075762605</v>
      </c>
      <c r="Y118" s="359">
        <f>CS_PID!Y118/VLOOKUP($B118,표2[#ALL],2)</f>
        <v>0</v>
      </c>
      <c r="Z118" s="359">
        <f>CS_PID!Z118/VLOOKUP($B118,표2[#ALL],2)</f>
        <v>0</v>
      </c>
      <c r="AA118" s="359">
        <f>CS_PID!AA118/VLOOKUP($B118,표2[#ALL],2)</f>
        <v>0</v>
      </c>
      <c r="AB118" s="359">
        <f>CS_PID!AB118/VLOOKUP($B118,표2[#ALL],2)</f>
        <v>0</v>
      </c>
      <c r="AC118" s="359">
        <f>CS_PID!AC118/VLOOKUP($B118,표2[#ALL],2)</f>
        <v>0</v>
      </c>
      <c r="AD118" s="359">
        <f>CS_PID!AD118/VLOOKUP($B118,표2[#ALL],2)</f>
        <v>0.008075762605</v>
      </c>
      <c r="AE118" s="359">
        <f>CS_PID!AE118/VLOOKUP($B118,표2[#ALL],2)</f>
        <v>0.008075762605</v>
      </c>
      <c r="AF118" s="359">
        <f>CS_PID!AF118/VLOOKUP($B118,표2[#ALL],2)</f>
        <v>0</v>
      </c>
      <c r="AG118" s="359">
        <f>CS_PID!AG118/VLOOKUP($B118,표2[#ALL],2)</f>
        <v>0</v>
      </c>
      <c r="AH118" s="359">
        <f>CS_PID!AH118/VLOOKUP($B118,표2[#ALL],2)</f>
        <v>0</v>
      </c>
      <c r="AI118" s="359">
        <f>CS_PID!AI118/VLOOKUP($B118,표2[#ALL],2)</f>
        <v>0</v>
      </c>
      <c r="AJ118" s="359">
        <f>CS_PID!AJ118/VLOOKUP($B118,표2[#ALL],2)</f>
        <v>0.008075762605</v>
      </c>
      <c r="AK118" s="359">
        <f>CS_PID!AK118/VLOOKUP($B118,표2[#ALL],2)</f>
        <v>0</v>
      </c>
      <c r="AL118" s="359">
        <f>CS_PID!AL118/VLOOKUP($B118,표2[#ALL],2)</f>
        <v>0</v>
      </c>
      <c r="AM118" s="359">
        <f>CS_PID!AM118/VLOOKUP($B118,표2[#ALL],2)</f>
        <v>0</v>
      </c>
      <c r="AN118" s="359">
        <f>CS_PID!AN118/VLOOKUP($B118,표2[#ALL],2)</f>
        <v>0</v>
      </c>
      <c r="AO118" s="359">
        <f>CS_PID!AO118/VLOOKUP($B118,표2[#ALL],2)</f>
        <v>0</v>
      </c>
      <c r="AP118" s="359">
        <f>CS_PID!AP118/VLOOKUP($B118,표2[#ALL],2)</f>
        <v>0</v>
      </c>
      <c r="AQ118" s="359">
        <f>CS_PID!AQ118/VLOOKUP($B118,표2[#ALL],2)</f>
        <v>0</v>
      </c>
      <c r="AR118" s="359">
        <f>CS_PID!AR118/VLOOKUP($B118,표2[#ALL],2)</f>
        <v>0</v>
      </c>
      <c r="AS118" s="359">
        <f>CS_PID!AS118/VLOOKUP($B118,표2[#ALL],2)</f>
        <v>0</v>
      </c>
    </row>
    <row r="119">
      <c r="A119" s="173" t="s">
        <v>126</v>
      </c>
      <c r="B119" s="178">
        <v>393.0</v>
      </c>
      <c r="C119" s="359">
        <f>CS_PID!C119/VLOOKUP($B119,표2[#ALL],2)</f>
        <v>0</v>
      </c>
      <c r="D119" s="359">
        <f>CS_PID!D119/VLOOKUP($B119,표2[#ALL],2)</f>
        <v>0</v>
      </c>
      <c r="E119" s="359">
        <f>CS_PID!E119/VLOOKUP($B119,표2[#ALL],2)</f>
        <v>0</v>
      </c>
      <c r="F119" s="359">
        <f>CS_PID!F119/VLOOKUP($B119,표2[#ALL],2)</f>
        <v>0</v>
      </c>
      <c r="G119" s="359">
        <f>CS_PID!G119/VLOOKUP($B119,표2[#ALL],2)</f>
        <v>0</v>
      </c>
      <c r="H119" s="359">
        <f>CS_PID!H119/VLOOKUP($B119,표2[#ALL],2)</f>
        <v>0</v>
      </c>
      <c r="I119" s="359">
        <f>CS_PID!I119/VLOOKUP($B119,표2[#ALL],2)</f>
        <v>0</v>
      </c>
      <c r="J119" s="359">
        <f>CS_PID!J119/VLOOKUP($B119,표2[#ALL],2)</f>
        <v>0.03164557733</v>
      </c>
      <c r="K119" s="359">
        <f>CS_PID!K119/VLOOKUP($B119,표2[#ALL],2)</f>
        <v>0.03164557733</v>
      </c>
      <c r="L119" s="359">
        <f>CS_PID!L119/VLOOKUP($B119,표2[#ALL],2)</f>
        <v>0</v>
      </c>
      <c r="M119" s="359">
        <f>CS_PID!M119/VLOOKUP($B119,표2[#ALL],2)</f>
        <v>0</v>
      </c>
      <c r="N119" s="359">
        <f>CS_PID!N119/VLOOKUP($B119,표2[#ALL],2)</f>
        <v>0</v>
      </c>
      <c r="O119" s="359">
        <f>CS_PID!O119/VLOOKUP($B119,표2[#ALL],2)</f>
        <v>0</v>
      </c>
      <c r="P119" s="359">
        <f>CS_PID!P119/VLOOKUP($B119,표2[#ALL],2)</f>
        <v>0</v>
      </c>
      <c r="Q119" s="359">
        <f>CS_PID!Q119/VLOOKUP($B119,표2[#ALL],2)</f>
        <v>0</v>
      </c>
      <c r="R119" s="359">
        <f>CS_PID!R119/VLOOKUP($B119,표2[#ALL],2)</f>
        <v>0.03164557733</v>
      </c>
      <c r="S119" s="359">
        <f>CS_PID!S119/VLOOKUP($B119,표2[#ALL],2)</f>
        <v>0</v>
      </c>
      <c r="T119" s="359">
        <f>CS_PID!T119/VLOOKUP($B119,표2[#ALL],2)</f>
        <v>0</v>
      </c>
      <c r="U119" s="359">
        <f>CS_PID!U119/VLOOKUP($B119,표2[#ALL],2)</f>
        <v>0</v>
      </c>
      <c r="V119" s="359">
        <f>CS_PID!V119/VLOOKUP($B119,표2[#ALL],2)</f>
        <v>0</v>
      </c>
      <c r="W119" s="359">
        <f>CS_PID!W119/VLOOKUP($B119,표2[#ALL],2)</f>
        <v>0.03164557733</v>
      </c>
      <c r="X119" s="359">
        <f>CS_PID!X119/VLOOKUP($B119,표2[#ALL],2)</f>
        <v>0.06329115466</v>
      </c>
      <c r="Y119" s="359">
        <f>CS_PID!Y119/VLOOKUP($B119,표2[#ALL],2)</f>
        <v>0</v>
      </c>
      <c r="Z119" s="359">
        <f>CS_PID!Z119/VLOOKUP($B119,표2[#ALL],2)</f>
        <v>0</v>
      </c>
      <c r="AA119" s="359">
        <f>CS_PID!AA119/VLOOKUP($B119,표2[#ALL],2)</f>
        <v>0</v>
      </c>
      <c r="AB119" s="359">
        <f>CS_PID!AB119/VLOOKUP($B119,표2[#ALL],2)</f>
        <v>0</v>
      </c>
      <c r="AC119" s="359">
        <f>CS_PID!AC119/VLOOKUP($B119,표2[#ALL],2)</f>
        <v>0</v>
      </c>
      <c r="AD119" s="359">
        <f>CS_PID!AD119/VLOOKUP($B119,표2[#ALL],2)</f>
        <v>0</v>
      </c>
      <c r="AE119" s="359">
        <f>CS_PID!AE119/VLOOKUP($B119,표2[#ALL],2)</f>
        <v>0</v>
      </c>
      <c r="AF119" s="359">
        <f>CS_PID!AF119/VLOOKUP($B119,표2[#ALL],2)</f>
        <v>0</v>
      </c>
      <c r="AG119" s="359">
        <f>CS_PID!AG119/VLOOKUP($B119,표2[#ALL],2)</f>
        <v>0</v>
      </c>
      <c r="AH119" s="359">
        <f>CS_PID!AH119/VLOOKUP($B119,표2[#ALL],2)</f>
        <v>0</v>
      </c>
      <c r="AI119" s="359">
        <f>CS_PID!AI119/VLOOKUP($B119,표2[#ALL],2)</f>
        <v>0</v>
      </c>
      <c r="AJ119" s="359">
        <f>CS_PID!AJ119/VLOOKUP($B119,표2[#ALL],2)</f>
        <v>0</v>
      </c>
      <c r="AK119" s="359">
        <f>CS_PID!AK119/VLOOKUP($B119,표2[#ALL],2)</f>
        <v>0</v>
      </c>
      <c r="AL119" s="359">
        <f>CS_PID!AL119/VLOOKUP($B119,표2[#ALL],2)</f>
        <v>0</v>
      </c>
      <c r="AM119" s="359">
        <f>CS_PID!AM119/VLOOKUP($B119,표2[#ALL],2)</f>
        <v>0</v>
      </c>
      <c r="AN119" s="359">
        <f>CS_PID!AN119/VLOOKUP($B119,표2[#ALL],2)</f>
        <v>0</v>
      </c>
      <c r="AO119" s="359">
        <f>CS_PID!AO119/VLOOKUP($B119,표2[#ALL],2)</f>
        <v>0</v>
      </c>
      <c r="AP119" s="359">
        <f>CS_PID!AP119/VLOOKUP($B119,표2[#ALL],2)</f>
        <v>0</v>
      </c>
      <c r="AQ119" s="359">
        <f>CS_PID!AQ119/VLOOKUP($B119,표2[#ALL],2)</f>
        <v>0</v>
      </c>
      <c r="AR119" s="359">
        <f>CS_PID!AR119/VLOOKUP($B119,표2[#ALL],2)</f>
        <v>0</v>
      </c>
      <c r="AS119" s="359">
        <f>CS_PID!AS119/VLOOKUP($B119,표2[#ALL],2)</f>
        <v>0</v>
      </c>
    </row>
    <row r="120">
      <c r="A120" s="173" t="s">
        <v>126</v>
      </c>
      <c r="B120" s="178">
        <v>394.0</v>
      </c>
      <c r="C120" s="359">
        <f>CS_PID!C120/VLOOKUP($B120,표2[#ALL],2)</f>
        <v>0</v>
      </c>
      <c r="D120" s="359">
        <f>CS_PID!D120/VLOOKUP($B120,표2[#ALL],2)</f>
        <v>0.001314606651</v>
      </c>
      <c r="E120" s="359">
        <f>CS_PID!E120/VLOOKUP($B120,표2[#ALL],2)</f>
        <v>0.002629213302</v>
      </c>
      <c r="F120" s="359">
        <f>CS_PID!F120/VLOOKUP($B120,표2[#ALL],2)</f>
        <v>0.01577527981</v>
      </c>
      <c r="G120" s="359">
        <f>CS_PID!G120/VLOOKUP($B120,표2[#ALL],2)</f>
        <v>0.003943819953</v>
      </c>
      <c r="H120" s="359">
        <f>CS_PID!H120/VLOOKUP($B120,표2[#ALL],2)</f>
        <v>0</v>
      </c>
      <c r="I120" s="359">
        <f>CS_PID!I120/VLOOKUP($B120,표2[#ALL],2)</f>
        <v>0</v>
      </c>
      <c r="J120" s="359">
        <f>CS_PID!J120/VLOOKUP($B120,표2[#ALL],2)</f>
        <v>0.002629213302</v>
      </c>
      <c r="K120" s="359">
        <f>CS_PID!K120/VLOOKUP($B120,표2[#ALL],2)</f>
        <v>0.01971909977</v>
      </c>
      <c r="L120" s="359">
        <f>CS_PID!L120/VLOOKUP($B120,표2[#ALL],2)</f>
        <v>0.009202246558</v>
      </c>
      <c r="M120" s="359">
        <f>CS_PID!M120/VLOOKUP($B120,표2[#ALL],2)</f>
        <v>0.003943819953</v>
      </c>
      <c r="N120" s="359">
        <f>CS_PID!N120/VLOOKUP($B120,표2[#ALL],2)</f>
        <v>0</v>
      </c>
      <c r="O120" s="359">
        <f>CS_PID!O120/VLOOKUP($B120,표2[#ALL],2)</f>
        <v>0</v>
      </c>
      <c r="P120" s="359">
        <f>CS_PID!P120/VLOOKUP($B120,표2[#ALL],2)</f>
        <v>0</v>
      </c>
      <c r="Q120" s="359">
        <f>CS_PID!Q120/VLOOKUP($B120,표2[#ALL],2)</f>
        <v>0.01708988647</v>
      </c>
      <c r="R120" s="359">
        <f>CS_PID!R120/VLOOKUP($B120,표2[#ALL],2)</f>
        <v>0.01183145986</v>
      </c>
      <c r="S120" s="359">
        <f>CS_PID!S120/VLOOKUP($B120,표2[#ALL],2)</f>
        <v>0.003943819953</v>
      </c>
      <c r="T120" s="359">
        <f>CS_PID!T120/VLOOKUP($B120,표2[#ALL],2)</f>
        <v>0</v>
      </c>
      <c r="U120" s="359">
        <f>CS_PID!U120/VLOOKUP($B120,표2[#ALL],2)</f>
        <v>0</v>
      </c>
      <c r="V120" s="359">
        <f>CS_PID!V120/VLOOKUP($B120,표2[#ALL],2)</f>
        <v>0.001314606651</v>
      </c>
      <c r="W120" s="359">
        <f>CS_PID!W120/VLOOKUP($B120,표2[#ALL],2)</f>
        <v>0.001314606651</v>
      </c>
      <c r="X120" s="359">
        <f>CS_PID!X120/VLOOKUP($B120,표2[#ALL],2)</f>
        <v>0.006573033256</v>
      </c>
      <c r="Y120" s="359">
        <f>CS_PID!Y120/VLOOKUP($B120,표2[#ALL],2)</f>
        <v>0.005258426605</v>
      </c>
      <c r="Z120" s="359">
        <f>CS_PID!Z120/VLOOKUP($B120,표2[#ALL],2)</f>
        <v>0</v>
      </c>
      <c r="AA120" s="359">
        <f>CS_PID!AA120/VLOOKUP($B120,표2[#ALL],2)</f>
        <v>0</v>
      </c>
      <c r="AB120" s="359">
        <f>CS_PID!AB120/VLOOKUP($B120,표2[#ALL],2)</f>
        <v>0</v>
      </c>
      <c r="AC120" s="359">
        <f>CS_PID!AC120/VLOOKUP($B120,표2[#ALL],2)</f>
        <v>0.001314606651</v>
      </c>
      <c r="AD120" s="359">
        <f>CS_PID!AD120/VLOOKUP($B120,표2[#ALL],2)</f>
        <v>0.01183145986</v>
      </c>
      <c r="AE120" s="359">
        <f>CS_PID!AE120/VLOOKUP($B120,표2[#ALL],2)</f>
        <v>0.002629213302</v>
      </c>
      <c r="AF120" s="359">
        <f>CS_PID!AF120/VLOOKUP($B120,표2[#ALL],2)</f>
        <v>0</v>
      </c>
      <c r="AG120" s="359">
        <f>CS_PID!AG120/VLOOKUP($B120,표2[#ALL],2)</f>
        <v>0</v>
      </c>
      <c r="AH120" s="359">
        <f>CS_PID!AH120/VLOOKUP($B120,표2[#ALL],2)</f>
        <v>0</v>
      </c>
      <c r="AI120" s="359">
        <f>CS_PID!AI120/VLOOKUP($B120,표2[#ALL],2)</f>
        <v>0</v>
      </c>
      <c r="AJ120" s="359">
        <f>CS_PID!AJ120/VLOOKUP($B120,표2[#ALL],2)</f>
        <v>0.002629213302</v>
      </c>
      <c r="AK120" s="359">
        <f>CS_PID!AK120/VLOOKUP($B120,표2[#ALL],2)</f>
        <v>0</v>
      </c>
      <c r="AL120" s="359">
        <f>CS_PID!AL120/VLOOKUP($B120,표2[#ALL],2)</f>
        <v>0</v>
      </c>
      <c r="AM120" s="359">
        <f>CS_PID!AM120/VLOOKUP($B120,표2[#ALL],2)</f>
        <v>0</v>
      </c>
      <c r="AN120" s="359">
        <f>CS_PID!AN120/VLOOKUP($B120,표2[#ALL],2)</f>
        <v>0</v>
      </c>
      <c r="AO120" s="359">
        <f>CS_PID!AO120/VLOOKUP($B120,표2[#ALL],2)</f>
        <v>0.002629213302</v>
      </c>
      <c r="AP120" s="359">
        <f>CS_PID!AP120/VLOOKUP($B120,표2[#ALL],2)</f>
        <v>0</v>
      </c>
      <c r="AQ120" s="359">
        <f>CS_PID!AQ120/VLOOKUP($B120,표2[#ALL],2)</f>
        <v>0</v>
      </c>
      <c r="AR120" s="359">
        <f>CS_PID!AR120/VLOOKUP($B120,표2[#ALL],2)</f>
        <v>0</v>
      </c>
      <c r="AS120" s="359">
        <f>CS_PID!AS120/VLOOKUP($B120,표2[#ALL],2)</f>
        <v>0</v>
      </c>
    </row>
    <row r="121">
      <c r="A121" s="173" t="s">
        <v>126</v>
      </c>
      <c r="B121" s="178">
        <v>395.0</v>
      </c>
      <c r="C121" s="359">
        <f>CS_PID!C121/VLOOKUP($B121,표2[#ALL],2)</f>
        <v>0</v>
      </c>
      <c r="D121" s="359">
        <f>CS_PID!D121/VLOOKUP($B121,표2[#ALL],2)</f>
        <v>0</v>
      </c>
      <c r="E121" s="359">
        <f>CS_PID!E121/VLOOKUP($B121,표2[#ALL],2)</f>
        <v>0</v>
      </c>
      <c r="F121" s="359">
        <f>CS_PID!F121/VLOOKUP($B121,표2[#ALL],2)</f>
        <v>0</v>
      </c>
      <c r="G121" s="359">
        <f>CS_PID!G121/VLOOKUP($B121,표2[#ALL],2)</f>
        <v>0</v>
      </c>
      <c r="H121" s="359">
        <f>CS_PID!H121/VLOOKUP($B121,표2[#ALL],2)</f>
        <v>0</v>
      </c>
      <c r="I121" s="359">
        <f>CS_PID!I121/VLOOKUP($B121,표2[#ALL],2)</f>
        <v>0</v>
      </c>
      <c r="J121" s="359">
        <f>CS_PID!J121/VLOOKUP($B121,표2[#ALL],2)</f>
        <v>0</v>
      </c>
      <c r="K121" s="359">
        <f>CS_PID!K121/VLOOKUP($B121,표2[#ALL],2)</f>
        <v>0</v>
      </c>
      <c r="L121" s="359">
        <f>CS_PID!L121/VLOOKUP($B121,표2[#ALL],2)</f>
        <v>0</v>
      </c>
      <c r="M121" s="359">
        <f>CS_PID!M121/VLOOKUP($B121,표2[#ALL],2)</f>
        <v>0</v>
      </c>
      <c r="N121" s="359">
        <f>CS_PID!N121/VLOOKUP($B121,표2[#ALL],2)</f>
        <v>0</v>
      </c>
      <c r="O121" s="359">
        <f>CS_PID!O121/VLOOKUP($B121,표2[#ALL],2)</f>
        <v>0</v>
      </c>
      <c r="P121" s="359">
        <f>CS_PID!P121/VLOOKUP($B121,표2[#ALL],2)</f>
        <v>0</v>
      </c>
      <c r="Q121" s="359">
        <f>CS_PID!Q121/VLOOKUP($B121,표2[#ALL],2)</f>
        <v>0</v>
      </c>
      <c r="R121" s="359">
        <f>CS_PID!R121/VLOOKUP($B121,표2[#ALL],2)</f>
        <v>0</v>
      </c>
      <c r="S121" s="359">
        <f>CS_PID!S121/VLOOKUP($B121,표2[#ALL],2)</f>
        <v>0</v>
      </c>
      <c r="T121" s="359">
        <f>CS_PID!T121/VLOOKUP($B121,표2[#ALL],2)</f>
        <v>0</v>
      </c>
      <c r="U121" s="359">
        <f>CS_PID!U121/VLOOKUP($B121,표2[#ALL],2)</f>
        <v>0</v>
      </c>
      <c r="V121" s="359">
        <f>CS_PID!V121/VLOOKUP($B121,표2[#ALL],2)</f>
        <v>0</v>
      </c>
      <c r="W121" s="359">
        <f>CS_PID!W121/VLOOKUP($B121,표2[#ALL],2)</f>
        <v>0</v>
      </c>
      <c r="X121" s="359">
        <f>CS_PID!X121/VLOOKUP($B121,표2[#ALL],2)</f>
        <v>0</v>
      </c>
      <c r="Y121" s="359">
        <f>CS_PID!Y121/VLOOKUP($B121,표2[#ALL],2)</f>
        <v>0</v>
      </c>
      <c r="Z121" s="359">
        <f>CS_PID!Z121/VLOOKUP($B121,표2[#ALL],2)</f>
        <v>0</v>
      </c>
      <c r="AA121" s="359">
        <f>CS_PID!AA121/VLOOKUP($B121,표2[#ALL],2)</f>
        <v>0</v>
      </c>
      <c r="AB121" s="359">
        <f>CS_PID!AB121/VLOOKUP($B121,표2[#ALL],2)</f>
        <v>0</v>
      </c>
      <c r="AC121" s="359">
        <f>CS_PID!AC121/VLOOKUP($B121,표2[#ALL],2)</f>
        <v>0</v>
      </c>
      <c r="AD121" s="359">
        <f>CS_PID!AD121/VLOOKUP($B121,표2[#ALL],2)</f>
        <v>0</v>
      </c>
      <c r="AE121" s="359">
        <f>CS_PID!AE121/VLOOKUP($B121,표2[#ALL],2)</f>
        <v>0</v>
      </c>
      <c r="AF121" s="359">
        <f>CS_PID!AF121/VLOOKUP($B121,표2[#ALL],2)</f>
        <v>0</v>
      </c>
      <c r="AG121" s="359">
        <f>CS_PID!AG121/VLOOKUP($B121,표2[#ALL],2)</f>
        <v>0</v>
      </c>
      <c r="AH121" s="359">
        <f>CS_PID!AH121/VLOOKUP($B121,표2[#ALL],2)</f>
        <v>0</v>
      </c>
      <c r="AI121" s="359">
        <f>CS_PID!AI121/VLOOKUP($B121,표2[#ALL],2)</f>
        <v>0</v>
      </c>
      <c r="AJ121" s="359">
        <f>CS_PID!AJ121/VLOOKUP($B121,표2[#ALL],2)</f>
        <v>0</v>
      </c>
      <c r="AK121" s="359">
        <f>CS_PID!AK121/VLOOKUP($B121,표2[#ALL],2)</f>
        <v>0.2040711963</v>
      </c>
      <c r="AL121" s="359">
        <f>CS_PID!AL121/VLOOKUP($B121,표2[#ALL],2)</f>
        <v>0</v>
      </c>
      <c r="AM121" s="359">
        <f>CS_PID!AM121/VLOOKUP($B121,표2[#ALL],2)</f>
        <v>0</v>
      </c>
      <c r="AN121" s="359">
        <f>CS_PID!AN121/VLOOKUP($B121,표2[#ALL],2)</f>
        <v>0</v>
      </c>
      <c r="AO121" s="359">
        <f>CS_PID!AO121/VLOOKUP($B121,표2[#ALL],2)</f>
        <v>0</v>
      </c>
      <c r="AP121" s="359">
        <f>CS_PID!AP121/VLOOKUP($B121,표2[#ALL],2)</f>
        <v>0</v>
      </c>
      <c r="AQ121" s="359">
        <f>CS_PID!AQ121/VLOOKUP($B121,표2[#ALL],2)</f>
        <v>0</v>
      </c>
      <c r="AR121" s="359">
        <f>CS_PID!AR121/VLOOKUP($B121,표2[#ALL],2)</f>
        <v>0</v>
      </c>
      <c r="AS121" s="359">
        <f>CS_PID!AS121/VLOOKUP($B121,표2[#ALL],2)</f>
        <v>0</v>
      </c>
    </row>
    <row r="122">
      <c r="A122" s="173" t="s">
        <v>126</v>
      </c>
      <c r="B122" s="178">
        <v>396.0</v>
      </c>
      <c r="C122" s="359">
        <f>CS_PID!C122/VLOOKUP($B122,표2[#ALL],2)</f>
        <v>0</v>
      </c>
      <c r="D122" s="359">
        <f>CS_PID!D122/VLOOKUP($B122,표2[#ALL],2)</f>
        <v>0.002417550995</v>
      </c>
      <c r="E122" s="359">
        <f>CS_PID!E122/VLOOKUP($B122,표2[#ALL],2)</f>
        <v>0.002417550995</v>
      </c>
      <c r="F122" s="359">
        <f>CS_PID!F122/VLOOKUP($B122,표2[#ALL],2)</f>
        <v>0.009670203979</v>
      </c>
      <c r="G122" s="359">
        <f>CS_PID!G122/VLOOKUP($B122,표2[#ALL],2)</f>
        <v>0.004835101989</v>
      </c>
      <c r="H122" s="359">
        <f>CS_PID!H122/VLOOKUP($B122,표2[#ALL],2)</f>
        <v>0</v>
      </c>
      <c r="I122" s="359">
        <f>CS_PID!I122/VLOOKUP($B122,표2[#ALL],2)</f>
        <v>0</v>
      </c>
      <c r="J122" s="359">
        <f>CS_PID!J122/VLOOKUP($B122,표2[#ALL],2)</f>
        <v>0.002417550995</v>
      </c>
      <c r="K122" s="359">
        <f>CS_PID!K122/VLOOKUP($B122,표2[#ALL],2)</f>
        <v>0.01450530597</v>
      </c>
      <c r="L122" s="359">
        <f>CS_PID!L122/VLOOKUP($B122,표2[#ALL],2)</f>
        <v>0.01692285696</v>
      </c>
      <c r="M122" s="359">
        <f>CS_PID!M122/VLOOKUP($B122,표2[#ALL],2)</f>
        <v>0</v>
      </c>
      <c r="N122" s="359">
        <f>CS_PID!N122/VLOOKUP($B122,표2[#ALL],2)</f>
        <v>0</v>
      </c>
      <c r="O122" s="359">
        <f>CS_PID!O122/VLOOKUP($B122,표2[#ALL],2)</f>
        <v>0</v>
      </c>
      <c r="P122" s="359">
        <f>CS_PID!P122/VLOOKUP($B122,표2[#ALL],2)</f>
        <v>0</v>
      </c>
      <c r="Q122" s="359">
        <f>CS_PID!Q122/VLOOKUP($B122,표2[#ALL],2)</f>
        <v>0.01208775497</v>
      </c>
      <c r="R122" s="359">
        <f>CS_PID!R122/VLOOKUP($B122,표2[#ALL],2)</f>
        <v>0.009670203979</v>
      </c>
      <c r="S122" s="359">
        <f>CS_PID!S122/VLOOKUP($B122,표2[#ALL],2)</f>
        <v>0.004835101989</v>
      </c>
      <c r="T122" s="359">
        <f>CS_PID!T122/VLOOKUP($B122,표2[#ALL],2)</f>
        <v>0</v>
      </c>
      <c r="U122" s="359">
        <f>CS_PID!U122/VLOOKUP($B122,표2[#ALL],2)</f>
        <v>0</v>
      </c>
      <c r="V122" s="359">
        <f>CS_PID!V122/VLOOKUP($B122,표2[#ALL],2)</f>
        <v>0</v>
      </c>
      <c r="W122" s="359">
        <f>CS_PID!W122/VLOOKUP($B122,표2[#ALL],2)</f>
        <v>0.002417550995</v>
      </c>
      <c r="X122" s="359">
        <f>CS_PID!X122/VLOOKUP($B122,표2[#ALL],2)</f>
        <v>0.01450530597</v>
      </c>
      <c r="Y122" s="359">
        <f>CS_PID!Y122/VLOOKUP($B122,표2[#ALL],2)</f>
        <v>0</v>
      </c>
      <c r="Z122" s="359">
        <f>CS_PID!Z122/VLOOKUP($B122,표2[#ALL],2)</f>
        <v>0</v>
      </c>
      <c r="AA122" s="359">
        <f>CS_PID!AA122/VLOOKUP($B122,표2[#ALL],2)</f>
        <v>0</v>
      </c>
      <c r="AB122" s="359">
        <f>CS_PID!AB122/VLOOKUP($B122,표2[#ALL],2)</f>
        <v>0</v>
      </c>
      <c r="AC122" s="359">
        <f>CS_PID!AC122/VLOOKUP($B122,표2[#ALL],2)</f>
        <v>0.004835101989</v>
      </c>
      <c r="AD122" s="359">
        <f>CS_PID!AD122/VLOOKUP($B122,표2[#ALL],2)</f>
        <v>0.004835101989</v>
      </c>
      <c r="AE122" s="359">
        <f>CS_PID!AE122/VLOOKUP($B122,표2[#ALL],2)</f>
        <v>0.002417550995</v>
      </c>
      <c r="AF122" s="359">
        <f>CS_PID!AF122/VLOOKUP($B122,표2[#ALL],2)</f>
        <v>0</v>
      </c>
      <c r="AG122" s="359">
        <f>CS_PID!AG122/VLOOKUP($B122,표2[#ALL],2)</f>
        <v>0</v>
      </c>
      <c r="AH122" s="359">
        <f>CS_PID!AH122/VLOOKUP($B122,표2[#ALL],2)</f>
        <v>0</v>
      </c>
      <c r="AI122" s="359">
        <f>CS_PID!AI122/VLOOKUP($B122,표2[#ALL],2)</f>
        <v>0</v>
      </c>
      <c r="AJ122" s="359">
        <f>CS_PID!AJ122/VLOOKUP($B122,표2[#ALL],2)</f>
        <v>0.004835101989</v>
      </c>
      <c r="AK122" s="359">
        <f>CS_PID!AK122/VLOOKUP($B122,표2[#ALL],2)</f>
        <v>0</v>
      </c>
      <c r="AL122" s="359">
        <f>CS_PID!AL122/VLOOKUP($B122,표2[#ALL],2)</f>
        <v>0</v>
      </c>
      <c r="AM122" s="359">
        <f>CS_PID!AM122/VLOOKUP($B122,표2[#ALL],2)</f>
        <v>0</v>
      </c>
      <c r="AN122" s="359">
        <f>CS_PID!AN122/VLOOKUP($B122,표2[#ALL],2)</f>
        <v>0</v>
      </c>
      <c r="AO122" s="359">
        <f>CS_PID!AO122/VLOOKUP($B122,표2[#ALL],2)</f>
        <v>0.002417550995</v>
      </c>
      <c r="AP122" s="359">
        <f>CS_PID!AP122/VLOOKUP($B122,표2[#ALL],2)</f>
        <v>0</v>
      </c>
      <c r="AQ122" s="359">
        <f>CS_PID!AQ122/VLOOKUP($B122,표2[#ALL],2)</f>
        <v>0</v>
      </c>
      <c r="AR122" s="359">
        <f>CS_PID!AR122/VLOOKUP($B122,표2[#ALL],2)</f>
        <v>0</v>
      </c>
      <c r="AS122" s="359">
        <f>CS_PID!AS122/VLOOKUP($B122,표2[#ALL],2)</f>
        <v>0</v>
      </c>
    </row>
    <row r="123">
      <c r="A123" s="173" t="s">
        <v>126</v>
      </c>
      <c r="B123" s="178">
        <v>398.0</v>
      </c>
      <c r="C123" s="359">
        <f>CS_PID!C123/VLOOKUP($B123,표2[#ALL],2)</f>
        <v>0</v>
      </c>
      <c r="D123" s="359">
        <f>CS_PID!D123/VLOOKUP($B123,표2[#ALL],2)</f>
        <v>0</v>
      </c>
      <c r="E123" s="359">
        <f>CS_PID!E123/VLOOKUP($B123,표2[#ALL],2)</f>
        <v>0.00192534148</v>
      </c>
      <c r="F123" s="359">
        <f>CS_PID!F123/VLOOKUP($B123,표2[#ALL],2)</f>
        <v>0.02502943924</v>
      </c>
      <c r="G123" s="359">
        <f>CS_PID!G123/VLOOKUP($B123,표2[#ALL],2)</f>
        <v>0</v>
      </c>
      <c r="H123" s="359">
        <f>CS_PID!H123/VLOOKUP($B123,표2[#ALL],2)</f>
        <v>0</v>
      </c>
      <c r="I123" s="359">
        <f>CS_PID!I123/VLOOKUP($B123,표2[#ALL],2)</f>
        <v>0</v>
      </c>
      <c r="J123" s="359">
        <f>CS_PID!J123/VLOOKUP($B123,표2[#ALL],2)</f>
        <v>0.00385068296</v>
      </c>
      <c r="K123" s="359">
        <f>CS_PID!K123/VLOOKUP($B123,표2[#ALL],2)</f>
        <v>0.02502943924</v>
      </c>
      <c r="L123" s="359">
        <f>CS_PID!L123/VLOOKUP($B123,표2[#ALL],2)</f>
        <v>0.0192534148</v>
      </c>
      <c r="M123" s="359">
        <f>CS_PID!M123/VLOOKUP($B123,표2[#ALL],2)</f>
        <v>0</v>
      </c>
      <c r="N123" s="359">
        <f>CS_PID!N123/VLOOKUP($B123,표2[#ALL],2)</f>
        <v>0</v>
      </c>
      <c r="O123" s="359">
        <f>CS_PID!O123/VLOOKUP($B123,표2[#ALL],2)</f>
        <v>0</v>
      </c>
      <c r="P123" s="359">
        <f>CS_PID!P123/VLOOKUP($B123,표2[#ALL],2)</f>
        <v>0</v>
      </c>
      <c r="Q123" s="359">
        <f>CS_PID!Q123/VLOOKUP($B123,표2[#ALL],2)</f>
        <v>0.01347739036</v>
      </c>
      <c r="R123" s="359">
        <f>CS_PID!R123/VLOOKUP($B123,표2[#ALL],2)</f>
        <v>0.02310409776</v>
      </c>
      <c r="S123" s="359">
        <f>CS_PID!S123/VLOOKUP($B123,표2[#ALL],2)</f>
        <v>0.00192534148</v>
      </c>
      <c r="T123" s="359">
        <f>CS_PID!T123/VLOOKUP($B123,표2[#ALL],2)</f>
        <v>0</v>
      </c>
      <c r="U123" s="359">
        <f>CS_PID!U123/VLOOKUP($B123,표2[#ALL],2)</f>
        <v>0</v>
      </c>
      <c r="V123" s="359">
        <f>CS_PID!V123/VLOOKUP($B123,표2[#ALL],2)</f>
        <v>0</v>
      </c>
      <c r="W123" s="359">
        <f>CS_PID!W123/VLOOKUP($B123,표2[#ALL],2)</f>
        <v>0</v>
      </c>
      <c r="X123" s="359">
        <f>CS_PID!X123/VLOOKUP($B123,표2[#ALL],2)</f>
        <v>0.01540273184</v>
      </c>
      <c r="Y123" s="359">
        <f>CS_PID!Y123/VLOOKUP($B123,표2[#ALL],2)</f>
        <v>0.00192534148</v>
      </c>
      <c r="Z123" s="359">
        <f>CS_PID!Z123/VLOOKUP($B123,표2[#ALL],2)</f>
        <v>0</v>
      </c>
      <c r="AA123" s="359">
        <f>CS_PID!AA123/VLOOKUP($B123,표2[#ALL],2)</f>
        <v>0</v>
      </c>
      <c r="AB123" s="359">
        <f>CS_PID!AB123/VLOOKUP($B123,표2[#ALL],2)</f>
        <v>0.00192534148</v>
      </c>
      <c r="AC123" s="359">
        <f>CS_PID!AC123/VLOOKUP($B123,표2[#ALL],2)</f>
        <v>0</v>
      </c>
      <c r="AD123" s="359">
        <f>CS_PID!AD123/VLOOKUP($B123,표2[#ALL],2)</f>
        <v>0.00577602444</v>
      </c>
      <c r="AE123" s="359">
        <f>CS_PID!AE123/VLOOKUP($B123,표2[#ALL],2)</f>
        <v>0.00577602444</v>
      </c>
      <c r="AF123" s="359">
        <f>CS_PID!AF123/VLOOKUP($B123,표2[#ALL],2)</f>
        <v>0</v>
      </c>
      <c r="AG123" s="359">
        <f>CS_PID!AG123/VLOOKUP($B123,표2[#ALL],2)</f>
        <v>0</v>
      </c>
      <c r="AH123" s="359">
        <f>CS_PID!AH123/VLOOKUP($B123,표2[#ALL],2)</f>
        <v>0</v>
      </c>
      <c r="AI123" s="359">
        <f>CS_PID!AI123/VLOOKUP($B123,표2[#ALL],2)</f>
        <v>0.00192534148</v>
      </c>
      <c r="AJ123" s="359">
        <f>CS_PID!AJ123/VLOOKUP($B123,표2[#ALL],2)</f>
        <v>0.00385068296</v>
      </c>
      <c r="AK123" s="359">
        <f>CS_PID!AK123/VLOOKUP($B123,표2[#ALL],2)</f>
        <v>0</v>
      </c>
      <c r="AL123" s="359">
        <f>CS_PID!AL123/VLOOKUP($B123,표2[#ALL],2)</f>
        <v>0</v>
      </c>
      <c r="AM123" s="359">
        <f>CS_PID!AM123/VLOOKUP($B123,표2[#ALL],2)</f>
        <v>0</v>
      </c>
      <c r="AN123" s="359">
        <f>CS_PID!AN123/VLOOKUP($B123,표2[#ALL],2)</f>
        <v>0</v>
      </c>
      <c r="AO123" s="359">
        <f>CS_PID!AO123/VLOOKUP($B123,표2[#ALL],2)</f>
        <v>0</v>
      </c>
      <c r="AP123" s="359">
        <f>CS_PID!AP123/VLOOKUP($B123,표2[#ALL],2)</f>
        <v>0</v>
      </c>
      <c r="AQ123" s="359">
        <f>CS_PID!AQ123/VLOOKUP($B123,표2[#ALL],2)</f>
        <v>0</v>
      </c>
      <c r="AR123" s="359">
        <f>CS_PID!AR123/VLOOKUP($B123,표2[#ALL],2)</f>
        <v>0</v>
      </c>
      <c r="AS123" s="359">
        <f>CS_PID!AS123/VLOOKUP($B123,표2[#ALL],2)</f>
        <v>0</v>
      </c>
    </row>
    <row r="124">
      <c r="A124" s="173" t="s">
        <v>126</v>
      </c>
      <c r="B124" s="178">
        <v>399.0</v>
      </c>
      <c r="C124" s="359">
        <f>CS_PID!C124/VLOOKUP($B124,표2[#ALL],2)</f>
        <v>0</v>
      </c>
      <c r="D124" s="359">
        <f>CS_PID!D124/VLOOKUP($B124,표2[#ALL],2)</f>
        <v>0</v>
      </c>
      <c r="E124" s="359">
        <f>CS_PID!E124/VLOOKUP($B124,표2[#ALL],2)</f>
        <v>0</v>
      </c>
      <c r="F124" s="359">
        <f>CS_PID!F124/VLOOKUP($B124,표2[#ALL],2)</f>
        <v>0.00932428359</v>
      </c>
      <c r="G124" s="359">
        <f>CS_PID!G124/VLOOKUP($B124,표2[#ALL],2)</f>
        <v>0</v>
      </c>
      <c r="H124" s="359">
        <f>CS_PID!H124/VLOOKUP($B124,표2[#ALL],2)</f>
        <v>0</v>
      </c>
      <c r="I124" s="359">
        <f>CS_PID!I124/VLOOKUP($B124,표2[#ALL],2)</f>
        <v>0</v>
      </c>
      <c r="J124" s="359">
        <f>CS_PID!J124/VLOOKUP($B124,표2[#ALL],2)</f>
        <v>0.00310809453</v>
      </c>
      <c r="K124" s="359">
        <f>CS_PID!K124/VLOOKUP($B124,표2[#ALL],2)</f>
        <v>0.01864856718</v>
      </c>
      <c r="L124" s="359">
        <f>CS_PID!L124/VLOOKUP($B124,표2[#ALL],2)</f>
        <v>0.01554047265</v>
      </c>
      <c r="M124" s="359">
        <f>CS_PID!M124/VLOOKUP($B124,표2[#ALL],2)</f>
        <v>0</v>
      </c>
      <c r="N124" s="359">
        <f>CS_PID!N124/VLOOKUP($B124,표2[#ALL],2)</f>
        <v>0</v>
      </c>
      <c r="O124" s="359">
        <f>CS_PID!O124/VLOOKUP($B124,표2[#ALL],2)</f>
        <v>0</v>
      </c>
      <c r="P124" s="359">
        <f>CS_PID!P124/VLOOKUP($B124,표2[#ALL],2)</f>
        <v>0.00621618906</v>
      </c>
      <c r="Q124" s="359">
        <f>CS_PID!Q124/VLOOKUP($B124,표2[#ALL],2)</f>
        <v>0.02175666171</v>
      </c>
      <c r="R124" s="359">
        <f>CS_PID!R124/VLOOKUP($B124,표2[#ALL],2)</f>
        <v>0.01554047265</v>
      </c>
      <c r="S124" s="359">
        <f>CS_PID!S124/VLOOKUP($B124,표2[#ALL],2)</f>
        <v>0</v>
      </c>
      <c r="T124" s="359">
        <f>CS_PID!T124/VLOOKUP($B124,표2[#ALL],2)</f>
        <v>0</v>
      </c>
      <c r="U124" s="359">
        <f>CS_PID!U124/VLOOKUP($B124,표2[#ALL],2)</f>
        <v>0</v>
      </c>
      <c r="V124" s="359">
        <f>CS_PID!V124/VLOOKUP($B124,표2[#ALL],2)</f>
        <v>0</v>
      </c>
      <c r="W124" s="359">
        <f>CS_PID!W124/VLOOKUP($B124,표2[#ALL],2)</f>
        <v>0.00932428359</v>
      </c>
      <c r="X124" s="359">
        <f>CS_PID!X124/VLOOKUP($B124,표2[#ALL],2)</f>
        <v>0.01864856718</v>
      </c>
      <c r="Y124" s="359">
        <f>CS_PID!Y124/VLOOKUP($B124,표2[#ALL],2)</f>
        <v>0</v>
      </c>
      <c r="Z124" s="359">
        <f>CS_PID!Z124/VLOOKUP($B124,표2[#ALL],2)</f>
        <v>0</v>
      </c>
      <c r="AA124" s="359">
        <f>CS_PID!AA124/VLOOKUP($B124,표2[#ALL],2)</f>
        <v>0</v>
      </c>
      <c r="AB124" s="359">
        <f>CS_PID!AB124/VLOOKUP($B124,표2[#ALL],2)</f>
        <v>0</v>
      </c>
      <c r="AC124" s="359">
        <f>CS_PID!AC124/VLOOKUP($B124,표2[#ALL],2)</f>
        <v>0</v>
      </c>
      <c r="AD124" s="359">
        <f>CS_PID!AD124/VLOOKUP($B124,표2[#ALL],2)</f>
        <v>0.00310809453</v>
      </c>
      <c r="AE124" s="359">
        <f>CS_PID!AE124/VLOOKUP($B124,표2[#ALL],2)</f>
        <v>0.00621618906</v>
      </c>
      <c r="AF124" s="359">
        <f>CS_PID!AF124/VLOOKUP($B124,표2[#ALL],2)</f>
        <v>0</v>
      </c>
      <c r="AG124" s="359">
        <f>CS_PID!AG124/VLOOKUP($B124,표2[#ALL],2)</f>
        <v>0</v>
      </c>
      <c r="AH124" s="359">
        <f>CS_PID!AH124/VLOOKUP($B124,표2[#ALL],2)</f>
        <v>0</v>
      </c>
      <c r="AI124" s="359">
        <f>CS_PID!AI124/VLOOKUP($B124,표2[#ALL],2)</f>
        <v>0</v>
      </c>
      <c r="AJ124" s="359">
        <f>CS_PID!AJ124/VLOOKUP($B124,표2[#ALL],2)</f>
        <v>0</v>
      </c>
      <c r="AK124" s="359">
        <f>CS_PID!AK124/VLOOKUP($B124,표2[#ALL],2)</f>
        <v>0.00310809453</v>
      </c>
      <c r="AL124" s="359">
        <f>CS_PID!AL124/VLOOKUP($B124,표2[#ALL],2)</f>
        <v>0</v>
      </c>
      <c r="AM124" s="359">
        <f>CS_PID!AM124/VLOOKUP($B124,표2[#ALL],2)</f>
        <v>0</v>
      </c>
      <c r="AN124" s="359">
        <f>CS_PID!AN124/VLOOKUP($B124,표2[#ALL],2)</f>
        <v>0</v>
      </c>
      <c r="AO124" s="359">
        <f>CS_PID!AO124/VLOOKUP($B124,표2[#ALL],2)</f>
        <v>0</v>
      </c>
      <c r="AP124" s="359">
        <f>CS_PID!AP124/VLOOKUP($B124,표2[#ALL],2)</f>
        <v>0</v>
      </c>
      <c r="AQ124" s="359">
        <f>CS_PID!AQ124/VLOOKUP($B124,표2[#ALL],2)</f>
        <v>0</v>
      </c>
      <c r="AR124" s="359">
        <f>CS_PID!AR124/VLOOKUP($B124,표2[#ALL],2)</f>
        <v>0</v>
      </c>
      <c r="AS124" s="359">
        <f>CS_PID!AS124/VLOOKUP($B124,표2[#ALL],2)</f>
        <v>0</v>
      </c>
    </row>
    <row r="125">
      <c r="A125" s="173" t="s">
        <v>126</v>
      </c>
      <c r="B125" s="178">
        <v>400.0</v>
      </c>
      <c r="C125" s="359">
        <f>CS_PID!C125/VLOOKUP($B125,표2[#ALL],2)</f>
        <v>0</v>
      </c>
      <c r="D125" s="359">
        <f>CS_PID!D125/VLOOKUP($B125,표2[#ALL],2)</f>
        <v>0.003965547624</v>
      </c>
      <c r="E125" s="359">
        <f>CS_PID!E125/VLOOKUP($B125,표2[#ALL],2)</f>
        <v>0.01189664287</v>
      </c>
      <c r="F125" s="359">
        <f>CS_PID!F125/VLOOKUP($B125,표2[#ALL],2)</f>
        <v>0.01189664287</v>
      </c>
      <c r="G125" s="359">
        <f>CS_PID!G125/VLOOKUP($B125,표2[#ALL],2)</f>
        <v>0</v>
      </c>
      <c r="H125" s="359">
        <f>CS_PID!H125/VLOOKUP($B125,표2[#ALL],2)</f>
        <v>0</v>
      </c>
      <c r="I125" s="359">
        <f>CS_PID!I125/VLOOKUP($B125,표2[#ALL],2)</f>
        <v>0</v>
      </c>
      <c r="J125" s="359">
        <f>CS_PID!J125/VLOOKUP($B125,표2[#ALL],2)</f>
        <v>0</v>
      </c>
      <c r="K125" s="359">
        <f>CS_PID!K125/VLOOKUP($B125,표2[#ALL],2)</f>
        <v>0.01189664287</v>
      </c>
      <c r="L125" s="359">
        <f>CS_PID!L125/VLOOKUP($B125,표2[#ALL],2)</f>
        <v>0.01189664287</v>
      </c>
      <c r="M125" s="359">
        <f>CS_PID!M125/VLOOKUP($B125,표2[#ALL],2)</f>
        <v>0</v>
      </c>
      <c r="N125" s="359">
        <f>CS_PID!N125/VLOOKUP($B125,표2[#ALL],2)</f>
        <v>0</v>
      </c>
      <c r="O125" s="359">
        <f>CS_PID!O125/VLOOKUP($B125,표2[#ALL],2)</f>
        <v>0</v>
      </c>
      <c r="P125" s="359">
        <f>CS_PID!P125/VLOOKUP($B125,표2[#ALL],2)</f>
        <v>0</v>
      </c>
      <c r="Q125" s="359">
        <f>CS_PID!Q125/VLOOKUP($B125,표2[#ALL],2)</f>
        <v>0.007931095247</v>
      </c>
      <c r="R125" s="359">
        <f>CS_PID!R125/VLOOKUP($B125,표2[#ALL],2)</f>
        <v>0.01586219049</v>
      </c>
      <c r="S125" s="359">
        <f>CS_PID!S125/VLOOKUP($B125,표2[#ALL],2)</f>
        <v>0</v>
      </c>
      <c r="T125" s="359">
        <f>CS_PID!T125/VLOOKUP($B125,표2[#ALL],2)</f>
        <v>0</v>
      </c>
      <c r="U125" s="359">
        <f>CS_PID!U125/VLOOKUP($B125,표2[#ALL],2)</f>
        <v>0</v>
      </c>
      <c r="V125" s="359">
        <f>CS_PID!V125/VLOOKUP($B125,표2[#ALL],2)</f>
        <v>0</v>
      </c>
      <c r="W125" s="359">
        <f>CS_PID!W125/VLOOKUP($B125,표2[#ALL],2)</f>
        <v>0.007931095247</v>
      </c>
      <c r="X125" s="359">
        <f>CS_PID!X125/VLOOKUP($B125,표2[#ALL],2)</f>
        <v>0.003965547624</v>
      </c>
      <c r="Y125" s="359">
        <f>CS_PID!Y125/VLOOKUP($B125,표2[#ALL],2)</f>
        <v>0</v>
      </c>
      <c r="Z125" s="359">
        <f>CS_PID!Z125/VLOOKUP($B125,표2[#ALL],2)</f>
        <v>0</v>
      </c>
      <c r="AA125" s="359">
        <f>CS_PID!AA125/VLOOKUP($B125,표2[#ALL],2)</f>
        <v>0</v>
      </c>
      <c r="AB125" s="359">
        <f>CS_PID!AB125/VLOOKUP($B125,표2[#ALL],2)</f>
        <v>0</v>
      </c>
      <c r="AC125" s="359">
        <f>CS_PID!AC125/VLOOKUP($B125,표2[#ALL],2)</f>
        <v>0.003965547624</v>
      </c>
      <c r="AD125" s="359">
        <f>CS_PID!AD125/VLOOKUP($B125,표2[#ALL],2)</f>
        <v>0.007931095247</v>
      </c>
      <c r="AE125" s="359">
        <f>CS_PID!AE125/VLOOKUP($B125,표2[#ALL],2)</f>
        <v>0</v>
      </c>
      <c r="AF125" s="359">
        <f>CS_PID!AF125/VLOOKUP($B125,표2[#ALL],2)</f>
        <v>0</v>
      </c>
      <c r="AG125" s="359">
        <f>CS_PID!AG125/VLOOKUP($B125,표2[#ALL],2)</f>
        <v>0</v>
      </c>
      <c r="AH125" s="359">
        <f>CS_PID!AH125/VLOOKUP($B125,표2[#ALL],2)</f>
        <v>0</v>
      </c>
      <c r="AI125" s="359">
        <f>CS_PID!AI125/VLOOKUP($B125,표2[#ALL],2)</f>
        <v>0</v>
      </c>
      <c r="AJ125" s="359">
        <f>CS_PID!AJ125/VLOOKUP($B125,표2[#ALL],2)</f>
        <v>0</v>
      </c>
      <c r="AK125" s="359">
        <f>CS_PID!AK125/VLOOKUP($B125,표2[#ALL],2)</f>
        <v>0</v>
      </c>
      <c r="AL125" s="359">
        <f>CS_PID!AL125/VLOOKUP($B125,표2[#ALL],2)</f>
        <v>0</v>
      </c>
      <c r="AM125" s="359">
        <f>CS_PID!AM125/VLOOKUP($B125,표2[#ALL],2)</f>
        <v>0</v>
      </c>
      <c r="AN125" s="359">
        <f>CS_PID!AN125/VLOOKUP($B125,표2[#ALL],2)</f>
        <v>0</v>
      </c>
      <c r="AO125" s="359">
        <f>CS_PID!AO125/VLOOKUP($B125,표2[#ALL],2)</f>
        <v>0</v>
      </c>
      <c r="AP125" s="359">
        <f>CS_PID!AP125/VLOOKUP($B125,표2[#ALL],2)</f>
        <v>0</v>
      </c>
      <c r="AQ125" s="359">
        <f>CS_PID!AQ125/VLOOKUP($B125,표2[#ALL],2)</f>
        <v>0</v>
      </c>
      <c r="AR125" s="359">
        <f>CS_PID!AR125/VLOOKUP($B125,표2[#ALL],2)</f>
        <v>0</v>
      </c>
      <c r="AS125" s="359">
        <f>CS_PID!AS125/VLOOKUP($B125,표2[#ALL],2)</f>
        <v>0</v>
      </c>
    </row>
    <row r="126">
      <c r="A126" s="173" t="s">
        <v>126</v>
      </c>
      <c r="B126" s="178">
        <v>402.0</v>
      </c>
      <c r="C126" s="359">
        <f>CS_PID!C126/VLOOKUP($B126,표2[#ALL],2)</f>
        <v>0</v>
      </c>
      <c r="D126" s="359">
        <f>CS_PID!D126/VLOOKUP($B126,표2[#ALL],2)</f>
        <v>0</v>
      </c>
      <c r="E126" s="359">
        <f>CS_PID!E126/VLOOKUP($B126,표2[#ALL],2)</f>
        <v>0</v>
      </c>
      <c r="F126" s="359">
        <f>CS_PID!F126/VLOOKUP($B126,표2[#ALL],2)</f>
        <v>0.00975399127</v>
      </c>
      <c r="G126" s="359">
        <f>CS_PID!G126/VLOOKUP($B126,표2[#ALL],2)</f>
        <v>0</v>
      </c>
      <c r="H126" s="359">
        <f>CS_PID!H126/VLOOKUP($B126,표2[#ALL],2)</f>
        <v>0</v>
      </c>
      <c r="I126" s="359">
        <f>CS_PID!I126/VLOOKUP($B126,표2[#ALL],2)</f>
        <v>0</v>
      </c>
      <c r="J126" s="359">
        <f>CS_PID!J126/VLOOKUP($B126,표2[#ALL],2)</f>
        <v>0.004876995635</v>
      </c>
      <c r="K126" s="359">
        <f>CS_PID!K126/VLOOKUP($B126,표2[#ALL],2)</f>
        <v>0.02438497817</v>
      </c>
      <c r="L126" s="359">
        <f>CS_PID!L126/VLOOKUP($B126,표2[#ALL],2)</f>
        <v>0.03413896944</v>
      </c>
      <c r="M126" s="359">
        <f>CS_PID!M126/VLOOKUP($B126,표2[#ALL],2)</f>
        <v>0</v>
      </c>
      <c r="N126" s="359">
        <f>CS_PID!N126/VLOOKUP($B126,표2[#ALL],2)</f>
        <v>0</v>
      </c>
      <c r="O126" s="359">
        <f>CS_PID!O126/VLOOKUP($B126,표2[#ALL],2)</f>
        <v>0</v>
      </c>
      <c r="P126" s="359">
        <f>CS_PID!P126/VLOOKUP($B126,표2[#ALL],2)</f>
        <v>0</v>
      </c>
      <c r="Q126" s="359">
        <f>CS_PID!Q126/VLOOKUP($B126,표2[#ALL],2)</f>
        <v>0.01950798254</v>
      </c>
      <c r="R126" s="359">
        <f>CS_PID!R126/VLOOKUP($B126,표2[#ALL],2)</f>
        <v>0.0146309869</v>
      </c>
      <c r="S126" s="359">
        <f>CS_PID!S126/VLOOKUP($B126,표2[#ALL],2)</f>
        <v>0.00975399127</v>
      </c>
      <c r="T126" s="359">
        <f>CS_PID!T126/VLOOKUP($B126,표2[#ALL],2)</f>
        <v>0</v>
      </c>
      <c r="U126" s="359">
        <f>CS_PID!U126/VLOOKUP($B126,표2[#ALL],2)</f>
        <v>0</v>
      </c>
      <c r="V126" s="359">
        <f>CS_PID!V126/VLOOKUP($B126,표2[#ALL],2)</f>
        <v>0</v>
      </c>
      <c r="W126" s="359">
        <f>CS_PID!W126/VLOOKUP($B126,표2[#ALL],2)</f>
        <v>0.004876995635</v>
      </c>
      <c r="X126" s="359">
        <f>CS_PID!X126/VLOOKUP($B126,표2[#ALL],2)</f>
        <v>0.02438497817</v>
      </c>
      <c r="Y126" s="359">
        <f>CS_PID!Y126/VLOOKUP($B126,표2[#ALL],2)</f>
        <v>0</v>
      </c>
      <c r="Z126" s="359">
        <f>CS_PID!Z126/VLOOKUP($B126,표2[#ALL],2)</f>
        <v>0</v>
      </c>
      <c r="AA126" s="359">
        <f>CS_PID!AA126/VLOOKUP($B126,표2[#ALL],2)</f>
        <v>0</v>
      </c>
      <c r="AB126" s="359">
        <f>CS_PID!AB126/VLOOKUP($B126,표2[#ALL],2)</f>
        <v>0</v>
      </c>
      <c r="AC126" s="359">
        <f>CS_PID!AC126/VLOOKUP($B126,표2[#ALL],2)</f>
        <v>0</v>
      </c>
      <c r="AD126" s="359">
        <f>CS_PID!AD126/VLOOKUP($B126,표2[#ALL],2)</f>
        <v>0.004876995635</v>
      </c>
      <c r="AE126" s="359">
        <f>CS_PID!AE126/VLOOKUP($B126,표2[#ALL],2)</f>
        <v>0</v>
      </c>
      <c r="AF126" s="359">
        <f>CS_PID!AF126/VLOOKUP($B126,표2[#ALL],2)</f>
        <v>0</v>
      </c>
      <c r="AG126" s="359">
        <f>CS_PID!AG126/VLOOKUP($B126,표2[#ALL],2)</f>
        <v>0</v>
      </c>
      <c r="AH126" s="359">
        <f>CS_PID!AH126/VLOOKUP($B126,표2[#ALL],2)</f>
        <v>0</v>
      </c>
      <c r="AI126" s="359">
        <f>CS_PID!AI126/VLOOKUP($B126,표2[#ALL],2)</f>
        <v>0</v>
      </c>
      <c r="AJ126" s="359">
        <f>CS_PID!AJ126/VLOOKUP($B126,표2[#ALL],2)</f>
        <v>0.00975399127</v>
      </c>
      <c r="AK126" s="359">
        <f>CS_PID!AK126/VLOOKUP($B126,표2[#ALL],2)</f>
        <v>0.004876995635</v>
      </c>
      <c r="AL126" s="359">
        <f>CS_PID!AL126/VLOOKUP($B126,표2[#ALL],2)</f>
        <v>0</v>
      </c>
      <c r="AM126" s="359">
        <f>CS_PID!AM126/VLOOKUP($B126,표2[#ALL],2)</f>
        <v>0</v>
      </c>
      <c r="AN126" s="359">
        <f>CS_PID!AN126/VLOOKUP($B126,표2[#ALL],2)</f>
        <v>0</v>
      </c>
      <c r="AO126" s="359">
        <f>CS_PID!AO126/VLOOKUP($B126,표2[#ALL],2)</f>
        <v>0</v>
      </c>
      <c r="AP126" s="359">
        <f>CS_PID!AP126/VLOOKUP($B126,표2[#ALL],2)</f>
        <v>0</v>
      </c>
      <c r="AQ126" s="359">
        <f>CS_PID!AQ126/VLOOKUP($B126,표2[#ALL],2)</f>
        <v>0</v>
      </c>
      <c r="AR126" s="359">
        <f>CS_PID!AR126/VLOOKUP($B126,표2[#ALL],2)</f>
        <v>0</v>
      </c>
      <c r="AS126" s="359">
        <f>CS_PID!AS126/VLOOKUP($B126,표2[#ALL],2)</f>
        <v>0</v>
      </c>
    </row>
    <row r="127">
      <c r="A127" s="173" t="s">
        <v>126</v>
      </c>
      <c r="B127" s="178">
        <v>403.0</v>
      </c>
      <c r="C127" s="359">
        <f>CS_PID!C127/VLOOKUP($B127,표2[#ALL],2)</f>
        <v>0</v>
      </c>
      <c r="D127" s="359">
        <f>CS_PID!D127/VLOOKUP($B127,표2[#ALL],2)</f>
        <v>0</v>
      </c>
      <c r="E127" s="359">
        <f>CS_PID!E127/VLOOKUP($B127,표2[#ALL],2)</f>
        <v>0.006913958306</v>
      </c>
      <c r="F127" s="359">
        <f>CS_PID!F127/VLOOKUP($B127,표2[#ALL],2)</f>
        <v>0.01728489576</v>
      </c>
      <c r="G127" s="359">
        <f>CS_PID!G127/VLOOKUP($B127,표2[#ALL],2)</f>
        <v>0</v>
      </c>
      <c r="H127" s="359">
        <f>CS_PID!H127/VLOOKUP($B127,표2[#ALL],2)</f>
        <v>0</v>
      </c>
      <c r="I127" s="359">
        <f>CS_PID!I127/VLOOKUP($B127,표2[#ALL],2)</f>
        <v>0</v>
      </c>
      <c r="J127" s="359">
        <f>CS_PID!J127/VLOOKUP($B127,표2[#ALL],2)</f>
        <v>0.003456979153</v>
      </c>
      <c r="K127" s="359">
        <f>CS_PID!K127/VLOOKUP($B127,표2[#ALL],2)</f>
        <v>0.02765583322</v>
      </c>
      <c r="L127" s="359">
        <f>CS_PID!L127/VLOOKUP($B127,표2[#ALL],2)</f>
        <v>0.01382791661</v>
      </c>
      <c r="M127" s="359">
        <f>CS_PID!M127/VLOOKUP($B127,표2[#ALL],2)</f>
        <v>0</v>
      </c>
      <c r="N127" s="359">
        <f>CS_PID!N127/VLOOKUP($B127,표2[#ALL],2)</f>
        <v>0</v>
      </c>
      <c r="O127" s="359">
        <f>CS_PID!O127/VLOOKUP($B127,표2[#ALL],2)</f>
        <v>0</v>
      </c>
      <c r="P127" s="359">
        <f>CS_PID!P127/VLOOKUP($B127,표2[#ALL],2)</f>
        <v>0</v>
      </c>
      <c r="Q127" s="359">
        <f>CS_PID!Q127/VLOOKUP($B127,표2[#ALL],2)</f>
        <v>0.02419885407</v>
      </c>
      <c r="R127" s="359">
        <f>CS_PID!R127/VLOOKUP($B127,표2[#ALL],2)</f>
        <v>0.02419885407</v>
      </c>
      <c r="S127" s="359">
        <f>CS_PID!S127/VLOOKUP($B127,표2[#ALL],2)</f>
        <v>0</v>
      </c>
      <c r="T127" s="359">
        <f>CS_PID!T127/VLOOKUP($B127,표2[#ALL],2)</f>
        <v>0</v>
      </c>
      <c r="U127" s="359">
        <f>CS_PID!U127/VLOOKUP($B127,표2[#ALL],2)</f>
        <v>0</v>
      </c>
      <c r="V127" s="359">
        <f>CS_PID!V127/VLOOKUP($B127,표2[#ALL],2)</f>
        <v>0</v>
      </c>
      <c r="W127" s="359">
        <f>CS_PID!W127/VLOOKUP($B127,표2[#ALL],2)</f>
        <v>0</v>
      </c>
      <c r="X127" s="359">
        <f>CS_PID!X127/VLOOKUP($B127,표2[#ALL],2)</f>
        <v>0.03456979153</v>
      </c>
      <c r="Y127" s="359">
        <f>CS_PID!Y127/VLOOKUP($B127,표2[#ALL],2)</f>
        <v>0</v>
      </c>
      <c r="Z127" s="359">
        <f>CS_PID!Z127/VLOOKUP($B127,표2[#ALL],2)</f>
        <v>0</v>
      </c>
      <c r="AA127" s="359">
        <f>CS_PID!AA127/VLOOKUP($B127,표2[#ALL],2)</f>
        <v>0</v>
      </c>
      <c r="AB127" s="359">
        <f>CS_PID!AB127/VLOOKUP($B127,표2[#ALL],2)</f>
        <v>0</v>
      </c>
      <c r="AC127" s="359">
        <f>CS_PID!AC127/VLOOKUP($B127,표2[#ALL],2)</f>
        <v>0</v>
      </c>
      <c r="AD127" s="359">
        <f>CS_PID!AD127/VLOOKUP($B127,표2[#ALL],2)</f>
        <v>0.006913958306</v>
      </c>
      <c r="AE127" s="359">
        <f>CS_PID!AE127/VLOOKUP($B127,표2[#ALL],2)</f>
        <v>0</v>
      </c>
      <c r="AF127" s="359">
        <f>CS_PID!AF127/VLOOKUP($B127,표2[#ALL],2)</f>
        <v>0</v>
      </c>
      <c r="AG127" s="359">
        <f>CS_PID!AG127/VLOOKUP($B127,표2[#ALL],2)</f>
        <v>0</v>
      </c>
      <c r="AH127" s="359">
        <f>CS_PID!AH127/VLOOKUP($B127,표2[#ALL],2)</f>
        <v>0</v>
      </c>
      <c r="AI127" s="359">
        <f>CS_PID!AI127/VLOOKUP($B127,표2[#ALL],2)</f>
        <v>0</v>
      </c>
      <c r="AJ127" s="359">
        <f>CS_PID!AJ127/VLOOKUP($B127,표2[#ALL],2)</f>
        <v>0.003456979153</v>
      </c>
      <c r="AK127" s="359">
        <f>CS_PID!AK127/VLOOKUP($B127,표2[#ALL],2)</f>
        <v>0</v>
      </c>
      <c r="AL127" s="359">
        <f>CS_PID!AL127/VLOOKUP($B127,표2[#ALL],2)</f>
        <v>0</v>
      </c>
      <c r="AM127" s="359">
        <f>CS_PID!AM127/VLOOKUP($B127,표2[#ALL],2)</f>
        <v>0</v>
      </c>
      <c r="AN127" s="359">
        <f>CS_PID!AN127/VLOOKUP($B127,표2[#ALL],2)</f>
        <v>0</v>
      </c>
      <c r="AO127" s="359">
        <f>CS_PID!AO127/VLOOKUP($B127,표2[#ALL],2)</f>
        <v>0</v>
      </c>
      <c r="AP127" s="359">
        <f>CS_PID!AP127/VLOOKUP($B127,표2[#ALL],2)</f>
        <v>0</v>
      </c>
      <c r="AQ127" s="359">
        <f>CS_PID!AQ127/VLOOKUP($B127,표2[#ALL],2)</f>
        <v>0</v>
      </c>
      <c r="AR127" s="359">
        <f>CS_PID!AR127/VLOOKUP($B127,표2[#ALL],2)</f>
        <v>0</v>
      </c>
      <c r="AS127" s="359">
        <f>CS_PID!AS127/VLOOKUP($B127,표2[#ALL],2)</f>
        <v>0</v>
      </c>
    </row>
    <row r="128">
      <c r="A128" s="181" t="s">
        <v>126</v>
      </c>
      <c r="B128" s="182">
        <v>404.0</v>
      </c>
      <c r="C128" s="360">
        <f>CS_PID!C128/VLOOKUP($B128,표2[#ALL],2)</f>
        <v>0</v>
      </c>
      <c r="D128" s="360">
        <f>CS_PID!D128/VLOOKUP($B128,표2[#ALL],2)</f>
        <v>0.0009511337352</v>
      </c>
      <c r="E128" s="360">
        <f>CS_PID!E128/VLOOKUP($B128,표2[#ALL],2)</f>
        <v>0.00190226747</v>
      </c>
      <c r="F128" s="360">
        <f>CS_PID!F128/VLOOKUP($B128,표2[#ALL],2)</f>
        <v>0.01997380844</v>
      </c>
      <c r="G128" s="360">
        <f>CS_PID!G128/VLOOKUP($B128,표2[#ALL],2)</f>
        <v>0.00190226747</v>
      </c>
      <c r="H128" s="360">
        <f>CS_PID!H128/VLOOKUP($B128,표2[#ALL],2)</f>
        <v>0</v>
      </c>
      <c r="I128" s="360">
        <f>CS_PID!I128/VLOOKUP($B128,표2[#ALL],2)</f>
        <v>0</v>
      </c>
      <c r="J128" s="360">
        <f>CS_PID!J128/VLOOKUP($B128,표2[#ALL],2)</f>
        <v>0.006657936147</v>
      </c>
      <c r="K128" s="360">
        <f>CS_PID!K128/VLOOKUP($B128,표2[#ALL],2)</f>
        <v>0.01521813976</v>
      </c>
      <c r="L128" s="360">
        <f>CS_PID!L128/VLOOKUP($B128,표2[#ALL],2)</f>
        <v>0.0161692735</v>
      </c>
      <c r="M128" s="360">
        <f>CS_PID!M128/VLOOKUP($B128,표2[#ALL],2)</f>
        <v>0</v>
      </c>
      <c r="N128" s="360">
        <f>CS_PID!N128/VLOOKUP($B128,표2[#ALL],2)</f>
        <v>0</v>
      </c>
      <c r="O128" s="360">
        <f>CS_PID!O128/VLOOKUP($B128,표2[#ALL],2)</f>
        <v>0</v>
      </c>
      <c r="P128" s="360">
        <f>CS_PID!P128/VLOOKUP($B128,표2[#ALL],2)</f>
        <v>0.0009511337352</v>
      </c>
      <c r="Q128" s="360">
        <f>CS_PID!Q128/VLOOKUP($B128,표2[#ALL],2)</f>
        <v>0.01236473856</v>
      </c>
      <c r="R128" s="360">
        <f>CS_PID!R128/VLOOKUP($B128,표2[#ALL],2)</f>
        <v>0.01426700603</v>
      </c>
      <c r="S128" s="360">
        <f>CS_PID!S128/VLOOKUP($B128,표2[#ALL],2)</f>
        <v>0.00190226747</v>
      </c>
      <c r="T128" s="360">
        <f>CS_PID!T128/VLOOKUP($B128,표2[#ALL],2)</f>
        <v>0</v>
      </c>
      <c r="U128" s="360">
        <f>CS_PID!U128/VLOOKUP($B128,표2[#ALL],2)</f>
        <v>0</v>
      </c>
      <c r="V128" s="360">
        <f>CS_PID!V128/VLOOKUP($B128,표2[#ALL],2)</f>
        <v>0</v>
      </c>
      <c r="W128" s="360">
        <f>CS_PID!W128/VLOOKUP($B128,표2[#ALL],2)</f>
        <v>0.006657936147</v>
      </c>
      <c r="X128" s="360">
        <f>CS_PID!X128/VLOOKUP($B128,표2[#ALL],2)</f>
        <v>0.02187607591</v>
      </c>
      <c r="Y128" s="360">
        <f>CS_PID!Y128/VLOOKUP($B128,표2[#ALL],2)</f>
        <v>0.0009511337352</v>
      </c>
      <c r="Z128" s="360">
        <f>CS_PID!Z128/VLOOKUP($B128,표2[#ALL],2)</f>
        <v>0</v>
      </c>
      <c r="AA128" s="360">
        <f>CS_PID!AA128/VLOOKUP($B128,표2[#ALL],2)</f>
        <v>0</v>
      </c>
      <c r="AB128" s="360">
        <f>CS_PID!AB128/VLOOKUP($B128,표2[#ALL],2)</f>
        <v>0</v>
      </c>
      <c r="AC128" s="360">
        <f>CS_PID!AC128/VLOOKUP($B128,표2[#ALL],2)</f>
        <v>0.0009511337352</v>
      </c>
      <c r="AD128" s="360">
        <f>CS_PID!AD128/VLOOKUP($B128,표2[#ALL],2)</f>
        <v>0.003804534941</v>
      </c>
      <c r="AE128" s="360">
        <f>CS_PID!AE128/VLOOKUP($B128,표2[#ALL],2)</f>
        <v>0.002853401206</v>
      </c>
      <c r="AF128" s="360">
        <f>CS_PID!AF128/VLOOKUP($B128,표2[#ALL],2)</f>
        <v>0</v>
      </c>
      <c r="AG128" s="360">
        <f>CS_PID!AG128/VLOOKUP($B128,표2[#ALL],2)</f>
        <v>0</v>
      </c>
      <c r="AH128" s="360">
        <f>CS_PID!AH128/VLOOKUP($B128,표2[#ALL],2)</f>
        <v>0</v>
      </c>
      <c r="AI128" s="360">
        <f>CS_PID!AI128/VLOOKUP($B128,표2[#ALL],2)</f>
        <v>0</v>
      </c>
      <c r="AJ128" s="360">
        <f>CS_PID!AJ128/VLOOKUP($B128,표2[#ALL],2)</f>
        <v>0.00190226747</v>
      </c>
      <c r="AK128" s="360">
        <f>CS_PID!AK128/VLOOKUP($B128,표2[#ALL],2)</f>
        <v>0</v>
      </c>
      <c r="AL128" s="360">
        <f>CS_PID!AL128/VLOOKUP($B128,표2[#ALL],2)</f>
        <v>0</v>
      </c>
      <c r="AM128" s="360">
        <f>CS_PID!AM128/VLOOKUP($B128,표2[#ALL],2)</f>
        <v>0</v>
      </c>
      <c r="AN128" s="360">
        <f>CS_PID!AN128/VLOOKUP($B128,표2[#ALL],2)</f>
        <v>0</v>
      </c>
      <c r="AO128" s="360">
        <f>CS_PID!AO128/VLOOKUP($B128,표2[#ALL],2)</f>
        <v>0</v>
      </c>
      <c r="AP128" s="360">
        <f>CS_PID!AP128/VLOOKUP($B128,표2[#ALL],2)</f>
        <v>0</v>
      </c>
      <c r="AQ128" s="360">
        <f>CS_PID!AQ128/VLOOKUP($B128,표2[#ALL],2)</f>
        <v>0</v>
      </c>
      <c r="AR128" s="360">
        <f>CS_PID!AR128/VLOOKUP($B128,표2[#ALL],2)</f>
        <v>0</v>
      </c>
      <c r="AS128" s="360">
        <f>CS_PID!AS128/VLOOKUP($B128,표2[#ALL],2)</f>
        <v>0</v>
      </c>
    </row>
    <row r="129">
      <c r="A129" s="185" t="s">
        <v>86</v>
      </c>
      <c r="B129" s="186">
        <v>410.0</v>
      </c>
      <c r="C129" s="361">
        <f>CS_PID!C129/VLOOKUP($B129,표2[#ALL],2)</f>
        <v>0</v>
      </c>
      <c r="D129" s="361">
        <f>CS_PID!D129/VLOOKUP($B129,표2[#ALL],2)</f>
        <v>0</v>
      </c>
      <c r="E129" s="361">
        <f>CS_PID!E129/VLOOKUP($B129,표2[#ALL],2)</f>
        <v>0</v>
      </c>
      <c r="F129" s="361">
        <f>CS_PID!F129/VLOOKUP($B129,표2[#ALL],2)</f>
        <v>0</v>
      </c>
      <c r="G129" s="361">
        <f>CS_PID!G129/VLOOKUP($B129,표2[#ALL],2)</f>
        <v>0</v>
      </c>
      <c r="H129" s="361">
        <f>CS_PID!H129/VLOOKUP($B129,표2[#ALL],2)</f>
        <v>0</v>
      </c>
      <c r="I129" s="361">
        <f>CS_PID!I129/VLOOKUP($B129,표2[#ALL],2)</f>
        <v>0</v>
      </c>
      <c r="J129" s="361">
        <f>CS_PID!J129/VLOOKUP($B129,표2[#ALL],2)</f>
        <v>0</v>
      </c>
      <c r="K129" s="361">
        <f>CS_PID!K129/VLOOKUP($B129,표2[#ALL],2)</f>
        <v>0</v>
      </c>
      <c r="L129" s="361">
        <f>CS_PID!L129/VLOOKUP($B129,표2[#ALL],2)</f>
        <v>0</v>
      </c>
      <c r="M129" s="361">
        <f>CS_PID!M129/VLOOKUP($B129,표2[#ALL],2)</f>
        <v>0</v>
      </c>
      <c r="N129" s="361">
        <f>CS_PID!N129/VLOOKUP($B129,표2[#ALL],2)</f>
        <v>0</v>
      </c>
      <c r="O129" s="361">
        <f>CS_PID!O129/VLOOKUP($B129,표2[#ALL],2)</f>
        <v>0.005748459485</v>
      </c>
      <c r="P129" s="361">
        <f>CS_PID!P129/VLOOKUP($B129,표2[#ALL],2)</f>
        <v>0</v>
      </c>
      <c r="Q129" s="361">
        <f>CS_PID!Q129/VLOOKUP($B129,표2[#ALL],2)</f>
        <v>0</v>
      </c>
      <c r="R129" s="361">
        <f>CS_PID!R129/VLOOKUP($B129,표2[#ALL],2)</f>
        <v>0</v>
      </c>
      <c r="S129" s="361">
        <f>CS_PID!S129/VLOOKUP($B129,표2[#ALL],2)</f>
        <v>0</v>
      </c>
      <c r="T129" s="361">
        <f>CS_PID!T129/VLOOKUP($B129,표2[#ALL],2)</f>
        <v>0</v>
      </c>
      <c r="U129" s="361">
        <f>CS_PID!U129/VLOOKUP($B129,표2[#ALL],2)</f>
        <v>0.01149691897</v>
      </c>
      <c r="V129" s="361">
        <f>CS_PID!V129/VLOOKUP($B129,표2[#ALL],2)</f>
        <v>0</v>
      </c>
      <c r="W129" s="361">
        <f>CS_PID!W129/VLOOKUP($B129,표2[#ALL],2)</f>
        <v>0.005748459485</v>
      </c>
      <c r="X129" s="361">
        <f>CS_PID!X129/VLOOKUP($B129,표2[#ALL],2)</f>
        <v>0</v>
      </c>
      <c r="Y129" s="361">
        <f>CS_PID!Y129/VLOOKUP($B129,표2[#ALL],2)</f>
        <v>0</v>
      </c>
      <c r="Z129" s="361">
        <f>CS_PID!Z129/VLOOKUP($B129,표2[#ALL],2)</f>
        <v>0</v>
      </c>
      <c r="AA129" s="361">
        <f>CS_PID!AA129/VLOOKUP($B129,표2[#ALL],2)</f>
        <v>0</v>
      </c>
      <c r="AB129" s="361">
        <f>CS_PID!AB129/VLOOKUP($B129,표2[#ALL],2)</f>
        <v>0</v>
      </c>
      <c r="AC129" s="361">
        <f>CS_PID!AC129/VLOOKUP($B129,표2[#ALL],2)</f>
        <v>0.01724537845</v>
      </c>
      <c r="AD129" s="361">
        <f>CS_PID!AD129/VLOOKUP($B129,표2[#ALL],2)</f>
        <v>0</v>
      </c>
      <c r="AE129" s="361">
        <f>CS_PID!AE129/VLOOKUP($B129,표2[#ALL],2)</f>
        <v>0</v>
      </c>
      <c r="AF129" s="361">
        <f>CS_PID!AF129/VLOOKUP($B129,표2[#ALL],2)</f>
        <v>0</v>
      </c>
      <c r="AG129" s="361">
        <f>CS_PID!AG129/VLOOKUP($B129,표2[#ALL],2)</f>
        <v>0</v>
      </c>
      <c r="AH129" s="361">
        <f>CS_PID!AH129/VLOOKUP($B129,표2[#ALL],2)</f>
        <v>0</v>
      </c>
      <c r="AI129" s="361">
        <f>CS_PID!AI129/VLOOKUP($B129,표2[#ALL],2)</f>
        <v>0.02874229742</v>
      </c>
      <c r="AJ129" s="361">
        <f>CS_PID!AJ129/VLOOKUP($B129,표2[#ALL],2)</f>
        <v>0.005748459485</v>
      </c>
      <c r="AK129" s="361">
        <f>CS_PID!AK129/VLOOKUP($B129,표2[#ALL],2)</f>
        <v>0</v>
      </c>
      <c r="AL129" s="361">
        <f>CS_PID!AL129/VLOOKUP($B129,표2[#ALL],2)</f>
        <v>0</v>
      </c>
      <c r="AM129" s="361">
        <f>CS_PID!AM129/VLOOKUP($B129,표2[#ALL],2)</f>
        <v>0.01149691897</v>
      </c>
      <c r="AN129" s="361">
        <f>CS_PID!AN129/VLOOKUP($B129,표2[#ALL],2)</f>
        <v>0.02299383794</v>
      </c>
      <c r="AO129" s="361">
        <f>CS_PID!AO129/VLOOKUP($B129,표2[#ALL],2)</f>
        <v>0</v>
      </c>
      <c r="AP129" s="361">
        <f>CS_PID!AP129/VLOOKUP($B129,표2[#ALL],2)</f>
        <v>0</v>
      </c>
      <c r="AQ129" s="361">
        <f>CS_PID!AQ129/VLOOKUP($B129,표2[#ALL],2)</f>
        <v>0.01724537845</v>
      </c>
      <c r="AR129" s="361">
        <f>CS_PID!AR129/VLOOKUP($B129,표2[#ALL],2)</f>
        <v>0.01149691897</v>
      </c>
      <c r="AS129" s="361">
        <f>CS_PID!AS129/VLOOKUP($B129,표2[#ALL],2)</f>
        <v>0</v>
      </c>
    </row>
    <row r="130">
      <c r="A130" s="189" t="s">
        <v>86</v>
      </c>
      <c r="B130" s="190">
        <v>411.0</v>
      </c>
      <c r="C130" s="362">
        <f>CS_PID!C130/VLOOKUP($B130,표2[#ALL],2)</f>
        <v>0</v>
      </c>
      <c r="D130" s="362">
        <f>CS_PID!D130/VLOOKUP($B130,표2[#ALL],2)</f>
        <v>0</v>
      </c>
      <c r="E130" s="362">
        <f>CS_PID!E130/VLOOKUP($B130,표2[#ALL],2)</f>
        <v>0.00130152578</v>
      </c>
      <c r="F130" s="362">
        <f>CS_PID!F130/VLOOKUP($B130,표2[#ALL],2)</f>
        <v>0</v>
      </c>
      <c r="G130" s="362">
        <f>CS_PID!G130/VLOOKUP($B130,표2[#ALL],2)</f>
        <v>0</v>
      </c>
      <c r="H130" s="362">
        <f>CS_PID!H130/VLOOKUP($B130,표2[#ALL],2)</f>
        <v>0</v>
      </c>
      <c r="I130" s="362">
        <f>CS_PID!I130/VLOOKUP($B130,표2[#ALL],2)</f>
        <v>0</v>
      </c>
      <c r="J130" s="362">
        <f>CS_PID!J130/VLOOKUP($B130,표2[#ALL],2)</f>
        <v>0</v>
      </c>
      <c r="K130" s="362">
        <f>CS_PID!K130/VLOOKUP($B130,표2[#ALL],2)</f>
        <v>0.00130152578</v>
      </c>
      <c r="L130" s="362">
        <f>CS_PID!L130/VLOOKUP($B130,표2[#ALL],2)</f>
        <v>0</v>
      </c>
      <c r="M130" s="362">
        <f>CS_PID!M130/VLOOKUP($B130,표2[#ALL],2)</f>
        <v>0</v>
      </c>
      <c r="N130" s="362">
        <f>CS_PID!N130/VLOOKUP($B130,표2[#ALL],2)</f>
        <v>0</v>
      </c>
      <c r="O130" s="362">
        <f>CS_PID!O130/VLOOKUP($B130,표2[#ALL],2)</f>
        <v>0</v>
      </c>
      <c r="P130" s="362">
        <f>CS_PID!P130/VLOOKUP($B130,표2[#ALL],2)</f>
        <v>0.002603051561</v>
      </c>
      <c r="Q130" s="362">
        <f>CS_PID!Q130/VLOOKUP($B130,표2[#ALL],2)</f>
        <v>0.00130152578</v>
      </c>
      <c r="R130" s="362">
        <f>CS_PID!R130/VLOOKUP($B130,표2[#ALL],2)</f>
        <v>0.00130152578</v>
      </c>
      <c r="S130" s="362">
        <f>CS_PID!S130/VLOOKUP($B130,표2[#ALL],2)</f>
        <v>0</v>
      </c>
      <c r="T130" s="362">
        <f>CS_PID!T130/VLOOKUP($B130,표2[#ALL],2)</f>
        <v>0</v>
      </c>
      <c r="U130" s="362">
        <f>CS_PID!U130/VLOOKUP($B130,표2[#ALL],2)</f>
        <v>0</v>
      </c>
      <c r="V130" s="362">
        <f>CS_PID!V130/VLOOKUP($B130,표2[#ALL],2)</f>
        <v>0.003904577341</v>
      </c>
      <c r="W130" s="362">
        <f>CS_PID!W130/VLOOKUP($B130,표2[#ALL],2)</f>
        <v>0.002603051561</v>
      </c>
      <c r="X130" s="362">
        <f>CS_PID!X130/VLOOKUP($B130,표2[#ALL],2)</f>
        <v>0.003904577341</v>
      </c>
      <c r="Y130" s="362">
        <f>CS_PID!Y130/VLOOKUP($B130,표2[#ALL],2)</f>
        <v>0</v>
      </c>
      <c r="Z130" s="362">
        <f>CS_PID!Z130/VLOOKUP($B130,표2[#ALL],2)</f>
        <v>0</v>
      </c>
      <c r="AA130" s="362">
        <f>CS_PID!AA130/VLOOKUP($B130,표2[#ALL],2)</f>
        <v>0</v>
      </c>
      <c r="AB130" s="362">
        <f>CS_PID!AB130/VLOOKUP($B130,표2[#ALL],2)</f>
        <v>0.00130152578</v>
      </c>
      <c r="AC130" s="362">
        <f>CS_PID!AC130/VLOOKUP($B130,표2[#ALL],2)</f>
        <v>0.02082441249</v>
      </c>
      <c r="AD130" s="362">
        <f>CS_PID!AD130/VLOOKUP($B130,표2[#ALL],2)</f>
        <v>0</v>
      </c>
      <c r="AE130" s="362">
        <f>CS_PID!AE130/VLOOKUP($B130,표2[#ALL],2)</f>
        <v>0</v>
      </c>
      <c r="AF130" s="362">
        <f>CS_PID!AF130/VLOOKUP($B130,표2[#ALL],2)</f>
        <v>0</v>
      </c>
      <c r="AG130" s="362">
        <f>CS_PID!AG130/VLOOKUP($B130,표2[#ALL],2)</f>
        <v>0</v>
      </c>
      <c r="AH130" s="362">
        <f>CS_PID!AH130/VLOOKUP($B130,표2[#ALL],2)</f>
        <v>0.01171373202</v>
      </c>
      <c r="AI130" s="362">
        <f>CS_PID!AI130/VLOOKUP($B130,표2[#ALL],2)</f>
        <v>0.02733204139</v>
      </c>
      <c r="AJ130" s="362">
        <f>CS_PID!AJ130/VLOOKUP($B130,표2[#ALL],2)</f>
        <v>0</v>
      </c>
      <c r="AK130" s="362">
        <f>CS_PID!AK130/VLOOKUP($B130,표2[#ALL],2)</f>
        <v>0</v>
      </c>
      <c r="AL130" s="362">
        <f>CS_PID!AL130/VLOOKUP($B130,표2[#ALL],2)</f>
        <v>0.00130152578</v>
      </c>
      <c r="AM130" s="362">
        <f>CS_PID!AM130/VLOOKUP($B130,표2[#ALL],2)</f>
        <v>0.01691983514</v>
      </c>
      <c r="AN130" s="362">
        <f>CS_PID!AN130/VLOOKUP($B130,표2[#ALL],2)</f>
        <v>0.03253814451</v>
      </c>
      <c r="AO130" s="362">
        <f>CS_PID!AO130/VLOOKUP($B130,표2[#ALL],2)</f>
        <v>0</v>
      </c>
      <c r="AP130" s="362">
        <f>CS_PID!AP130/VLOOKUP($B130,표2[#ALL],2)</f>
        <v>0</v>
      </c>
      <c r="AQ130" s="362">
        <f>CS_PID!AQ130/VLOOKUP($B130,표2[#ALL],2)</f>
        <v>0.02472898983</v>
      </c>
      <c r="AR130" s="362">
        <f>CS_PID!AR130/VLOOKUP($B130,표2[#ALL],2)</f>
        <v>0.01171373202</v>
      </c>
      <c r="AS130" s="362">
        <f>CS_PID!AS130/VLOOKUP($B130,표2[#ALL],2)</f>
        <v>0</v>
      </c>
    </row>
    <row r="131">
      <c r="A131" s="189" t="s">
        <v>86</v>
      </c>
      <c r="B131" s="190">
        <v>412.0</v>
      </c>
      <c r="C131" s="362">
        <f>CS_PID!C131/VLOOKUP($B131,표2[#ALL],2)</f>
        <v>0.0005763351729</v>
      </c>
      <c r="D131" s="362">
        <f>CS_PID!D131/VLOOKUP($B131,표2[#ALL],2)</f>
        <v>0</v>
      </c>
      <c r="E131" s="362">
        <f>CS_PID!E131/VLOOKUP($B131,표2[#ALL],2)</f>
        <v>0.0005763351729</v>
      </c>
      <c r="F131" s="362">
        <f>CS_PID!F131/VLOOKUP($B131,표2[#ALL],2)</f>
        <v>0</v>
      </c>
      <c r="G131" s="362">
        <f>CS_PID!G131/VLOOKUP($B131,표2[#ALL],2)</f>
        <v>0</v>
      </c>
      <c r="H131" s="362">
        <f>CS_PID!H131/VLOOKUP($B131,표2[#ALL],2)</f>
        <v>0</v>
      </c>
      <c r="I131" s="362">
        <f>CS_PID!I131/VLOOKUP($B131,표2[#ALL],2)</f>
        <v>0.0005763351729</v>
      </c>
      <c r="J131" s="362">
        <f>CS_PID!J131/VLOOKUP($B131,표2[#ALL],2)</f>
        <v>0.0005763351729</v>
      </c>
      <c r="K131" s="362">
        <f>CS_PID!K131/VLOOKUP($B131,표2[#ALL],2)</f>
        <v>0.0005763351729</v>
      </c>
      <c r="L131" s="362">
        <f>CS_PID!L131/VLOOKUP($B131,표2[#ALL],2)</f>
        <v>0</v>
      </c>
      <c r="M131" s="362">
        <f>CS_PID!M131/VLOOKUP($B131,표2[#ALL],2)</f>
        <v>0</v>
      </c>
      <c r="N131" s="362">
        <f>CS_PID!N131/VLOOKUP($B131,표2[#ALL],2)</f>
        <v>0</v>
      </c>
      <c r="O131" s="362">
        <f>CS_PID!O131/VLOOKUP($B131,표2[#ALL],2)</f>
        <v>0.001152670346</v>
      </c>
      <c r="P131" s="362">
        <f>CS_PID!P131/VLOOKUP($B131,표2[#ALL],2)</f>
        <v>0.002305340692</v>
      </c>
      <c r="Q131" s="362">
        <f>CS_PID!Q131/VLOOKUP($B131,표2[#ALL],2)</f>
        <v>0.002881675865</v>
      </c>
      <c r="R131" s="362">
        <f>CS_PID!R131/VLOOKUP($B131,표2[#ALL],2)</f>
        <v>0.0005763351729</v>
      </c>
      <c r="S131" s="362">
        <f>CS_PID!S131/VLOOKUP($B131,표2[#ALL],2)</f>
        <v>0</v>
      </c>
      <c r="T131" s="362">
        <f>CS_PID!T131/VLOOKUP($B131,표2[#ALL],2)</f>
        <v>0</v>
      </c>
      <c r="U131" s="362">
        <f>CS_PID!U131/VLOOKUP($B131,표2[#ALL],2)</f>
        <v>0.001152670346</v>
      </c>
      <c r="V131" s="362">
        <f>CS_PID!V131/VLOOKUP($B131,표2[#ALL],2)</f>
        <v>0.006339686902</v>
      </c>
      <c r="W131" s="362">
        <f>CS_PID!W131/VLOOKUP($B131,표2[#ALL],2)</f>
        <v>0.004610681383</v>
      </c>
      <c r="X131" s="362">
        <f>CS_PID!X131/VLOOKUP($B131,표2[#ALL],2)</f>
        <v>0.002305340692</v>
      </c>
      <c r="Y131" s="362">
        <f>CS_PID!Y131/VLOOKUP($B131,표2[#ALL],2)</f>
        <v>0</v>
      </c>
      <c r="Z131" s="362">
        <f>CS_PID!Z131/VLOOKUP($B131,표2[#ALL],2)</f>
        <v>0</v>
      </c>
      <c r="AA131" s="362">
        <f>CS_PID!AA131/VLOOKUP($B131,표2[#ALL],2)</f>
        <v>0</v>
      </c>
      <c r="AB131" s="362">
        <f>CS_PID!AB131/VLOOKUP($B131,표2[#ALL],2)</f>
        <v>0.002881675865</v>
      </c>
      <c r="AC131" s="362">
        <f>CS_PID!AC131/VLOOKUP($B131,표2[#ALL],2)</f>
        <v>0.03169843451</v>
      </c>
      <c r="AD131" s="362">
        <f>CS_PID!AD131/VLOOKUP($B131,표2[#ALL],2)</f>
        <v>0.0005763351729</v>
      </c>
      <c r="AE131" s="362">
        <f>CS_PID!AE131/VLOOKUP($B131,표2[#ALL],2)</f>
        <v>0</v>
      </c>
      <c r="AF131" s="362">
        <f>CS_PID!AF131/VLOOKUP($B131,표2[#ALL],2)</f>
        <v>0</v>
      </c>
      <c r="AG131" s="362">
        <f>CS_PID!AG131/VLOOKUP($B131,표2[#ALL],2)</f>
        <v>0</v>
      </c>
      <c r="AH131" s="362">
        <f>CS_PID!AH131/VLOOKUP($B131,표2[#ALL],2)</f>
        <v>0.01152670346</v>
      </c>
      <c r="AI131" s="362">
        <f>CS_PID!AI131/VLOOKUP($B131,표2[#ALL],2)</f>
        <v>0.02478241244</v>
      </c>
      <c r="AJ131" s="362">
        <f>CS_PID!AJ131/VLOOKUP($B131,표2[#ALL],2)</f>
        <v>0.002305340692</v>
      </c>
      <c r="AK131" s="362">
        <f>CS_PID!AK131/VLOOKUP($B131,표2[#ALL],2)</f>
        <v>0</v>
      </c>
      <c r="AL131" s="362">
        <f>CS_PID!AL131/VLOOKUP($B131,표2[#ALL],2)</f>
        <v>0</v>
      </c>
      <c r="AM131" s="362">
        <f>CS_PID!AM131/VLOOKUP($B131,표2[#ALL],2)</f>
        <v>0.02247707174</v>
      </c>
      <c r="AN131" s="362">
        <f>CS_PID!AN131/VLOOKUP($B131,표2[#ALL],2)</f>
        <v>0.04553047866</v>
      </c>
      <c r="AO131" s="362">
        <f>CS_PID!AO131/VLOOKUP($B131,표2[#ALL],2)</f>
        <v>0</v>
      </c>
      <c r="AP131" s="362">
        <f>CS_PID!AP131/VLOOKUP($B131,표2[#ALL],2)</f>
        <v>0</v>
      </c>
      <c r="AQ131" s="362">
        <f>CS_PID!AQ131/VLOOKUP($B131,표2[#ALL],2)</f>
        <v>0.03746178624</v>
      </c>
      <c r="AR131" s="362">
        <f>CS_PID!AR131/VLOOKUP($B131,표2[#ALL],2)</f>
        <v>0.007492357248</v>
      </c>
      <c r="AS131" s="362">
        <f>CS_PID!AS131/VLOOKUP($B131,표2[#ALL],2)</f>
        <v>0.0005763351729</v>
      </c>
    </row>
    <row r="132">
      <c r="A132" s="189" t="s">
        <v>86</v>
      </c>
      <c r="B132" s="190">
        <v>413.0</v>
      </c>
      <c r="C132" s="362">
        <f>CS_PID!C132/VLOOKUP($B132,표2[#ALL],2)</f>
        <v>0</v>
      </c>
      <c r="D132" s="362">
        <f>CS_PID!D132/VLOOKUP($B132,표2[#ALL],2)</f>
        <v>0</v>
      </c>
      <c r="E132" s="362">
        <f>CS_PID!E132/VLOOKUP($B132,표2[#ALL],2)</f>
        <v>0</v>
      </c>
      <c r="F132" s="362">
        <f>CS_PID!F132/VLOOKUP($B132,표2[#ALL],2)</f>
        <v>0</v>
      </c>
      <c r="G132" s="362">
        <f>CS_PID!G132/VLOOKUP($B132,표2[#ALL],2)</f>
        <v>0</v>
      </c>
      <c r="H132" s="362">
        <f>CS_PID!H132/VLOOKUP($B132,표2[#ALL],2)</f>
        <v>0</v>
      </c>
      <c r="I132" s="362">
        <f>CS_PID!I132/VLOOKUP($B132,표2[#ALL],2)</f>
        <v>0</v>
      </c>
      <c r="J132" s="362">
        <f>CS_PID!J132/VLOOKUP($B132,표2[#ALL],2)</f>
        <v>0</v>
      </c>
      <c r="K132" s="362">
        <f>CS_PID!K132/VLOOKUP($B132,표2[#ALL],2)</f>
        <v>0</v>
      </c>
      <c r="L132" s="362">
        <f>CS_PID!L132/VLOOKUP($B132,표2[#ALL],2)</f>
        <v>0</v>
      </c>
      <c r="M132" s="362">
        <f>CS_PID!M132/VLOOKUP($B132,표2[#ALL],2)</f>
        <v>0</v>
      </c>
      <c r="N132" s="362">
        <f>CS_PID!N132/VLOOKUP($B132,표2[#ALL],2)</f>
        <v>0</v>
      </c>
      <c r="O132" s="362">
        <f>CS_PID!O132/VLOOKUP($B132,표2[#ALL],2)</f>
        <v>0</v>
      </c>
      <c r="P132" s="362">
        <f>CS_PID!P132/VLOOKUP($B132,표2[#ALL],2)</f>
        <v>0.002210731723</v>
      </c>
      <c r="Q132" s="362">
        <f>CS_PID!Q132/VLOOKUP($B132,표2[#ALL],2)</f>
        <v>0</v>
      </c>
      <c r="R132" s="362">
        <f>CS_PID!R132/VLOOKUP($B132,표2[#ALL],2)</f>
        <v>0</v>
      </c>
      <c r="S132" s="362">
        <f>CS_PID!S132/VLOOKUP($B132,표2[#ALL],2)</f>
        <v>0</v>
      </c>
      <c r="T132" s="362">
        <f>CS_PID!T132/VLOOKUP($B132,표2[#ALL],2)</f>
        <v>0</v>
      </c>
      <c r="U132" s="362">
        <f>CS_PID!U132/VLOOKUP($B132,표2[#ALL],2)</f>
        <v>0.0007369105743</v>
      </c>
      <c r="V132" s="362">
        <f>CS_PID!V132/VLOOKUP($B132,표2[#ALL],2)</f>
        <v>0.004421463446</v>
      </c>
      <c r="W132" s="362">
        <f>CS_PID!W132/VLOOKUP($B132,표2[#ALL],2)</f>
        <v>0.006632195169</v>
      </c>
      <c r="X132" s="362">
        <f>CS_PID!X132/VLOOKUP($B132,표2[#ALL],2)</f>
        <v>0.0007369105743</v>
      </c>
      <c r="Y132" s="362">
        <f>CS_PID!Y132/VLOOKUP($B132,표2[#ALL],2)</f>
        <v>0</v>
      </c>
      <c r="Z132" s="362">
        <f>CS_PID!Z132/VLOOKUP($B132,표2[#ALL],2)</f>
        <v>0</v>
      </c>
      <c r="AA132" s="362">
        <f>CS_PID!AA132/VLOOKUP($B132,표2[#ALL],2)</f>
        <v>0</v>
      </c>
      <c r="AB132" s="362">
        <f>CS_PID!AB132/VLOOKUP($B132,표2[#ALL],2)</f>
        <v>0.001473821149</v>
      </c>
      <c r="AC132" s="362">
        <f>CS_PID!AC132/VLOOKUP($B132,표2[#ALL],2)</f>
        <v>0.02358113838</v>
      </c>
      <c r="AD132" s="362">
        <f>CS_PID!AD132/VLOOKUP($B132,표2[#ALL],2)</f>
        <v>0.001473821149</v>
      </c>
      <c r="AE132" s="362">
        <f>CS_PID!AE132/VLOOKUP($B132,표2[#ALL],2)</f>
        <v>0</v>
      </c>
      <c r="AF132" s="362">
        <f>CS_PID!AF132/VLOOKUP($B132,표2[#ALL],2)</f>
        <v>0</v>
      </c>
      <c r="AG132" s="362">
        <f>CS_PID!AG132/VLOOKUP($B132,표2[#ALL],2)</f>
        <v>0</v>
      </c>
      <c r="AH132" s="362">
        <f>CS_PID!AH132/VLOOKUP($B132,표2[#ALL],2)</f>
        <v>0.009579837466</v>
      </c>
      <c r="AI132" s="362">
        <f>CS_PID!AI132/VLOOKUP($B132,표2[#ALL],2)</f>
        <v>0.01989658551</v>
      </c>
      <c r="AJ132" s="362">
        <f>CS_PID!AJ132/VLOOKUP($B132,표2[#ALL],2)</f>
        <v>0.004421463446</v>
      </c>
      <c r="AK132" s="362">
        <f>CS_PID!AK132/VLOOKUP($B132,표2[#ALL],2)</f>
        <v>0</v>
      </c>
      <c r="AL132" s="362">
        <f>CS_PID!AL132/VLOOKUP($B132,표2[#ALL],2)</f>
        <v>0</v>
      </c>
      <c r="AM132" s="362">
        <f>CS_PID!AM132/VLOOKUP($B132,표2[#ALL],2)</f>
        <v>0.02137040666</v>
      </c>
      <c r="AN132" s="362">
        <f>CS_PID!AN132/VLOOKUP($B132,표2[#ALL],2)</f>
        <v>0.04053008159</v>
      </c>
      <c r="AO132" s="362">
        <f>CS_PID!AO132/VLOOKUP($B132,표2[#ALL],2)</f>
        <v>0</v>
      </c>
      <c r="AP132" s="362">
        <f>CS_PID!AP132/VLOOKUP($B132,표2[#ALL],2)</f>
        <v>0</v>
      </c>
      <c r="AQ132" s="362">
        <f>CS_PID!AQ132/VLOOKUP($B132,표2[#ALL],2)</f>
        <v>0.02800260182</v>
      </c>
      <c r="AR132" s="362">
        <f>CS_PID!AR132/VLOOKUP($B132,표2[#ALL],2)</f>
        <v>0.01031674804</v>
      </c>
      <c r="AS132" s="362">
        <f>CS_PID!AS132/VLOOKUP($B132,표2[#ALL],2)</f>
        <v>0</v>
      </c>
    </row>
    <row r="133">
      <c r="A133" s="193" t="s">
        <v>86</v>
      </c>
      <c r="B133" s="194">
        <v>415.0</v>
      </c>
      <c r="C133" s="363">
        <f>CS_PID!C133/VLOOKUP($B133,표2[#ALL],2)</f>
        <v>0</v>
      </c>
      <c r="D133" s="363">
        <f>CS_PID!D133/VLOOKUP($B133,표2[#ALL],2)</f>
        <v>0</v>
      </c>
      <c r="E133" s="363">
        <f>CS_PID!E133/VLOOKUP($B133,표2[#ALL],2)</f>
        <v>0</v>
      </c>
      <c r="F133" s="363">
        <f>CS_PID!F133/VLOOKUP($B133,표2[#ALL],2)</f>
        <v>0</v>
      </c>
      <c r="G133" s="363">
        <f>CS_PID!G133/VLOOKUP($B133,표2[#ALL],2)</f>
        <v>0</v>
      </c>
      <c r="H133" s="363">
        <f>CS_PID!H133/VLOOKUP($B133,표2[#ALL],2)</f>
        <v>0</v>
      </c>
      <c r="I133" s="363">
        <f>CS_PID!I133/VLOOKUP($B133,표2[#ALL],2)</f>
        <v>0</v>
      </c>
      <c r="J133" s="363">
        <f>CS_PID!J133/VLOOKUP($B133,표2[#ALL],2)</f>
        <v>0</v>
      </c>
      <c r="K133" s="363">
        <f>CS_PID!K133/VLOOKUP($B133,표2[#ALL],2)</f>
        <v>0</v>
      </c>
      <c r="L133" s="363">
        <f>CS_PID!L133/VLOOKUP($B133,표2[#ALL],2)</f>
        <v>0</v>
      </c>
      <c r="M133" s="363">
        <f>CS_PID!M133/VLOOKUP($B133,표2[#ALL],2)</f>
        <v>0</v>
      </c>
      <c r="N133" s="363">
        <f>CS_PID!N133/VLOOKUP($B133,표2[#ALL],2)</f>
        <v>0</v>
      </c>
      <c r="O133" s="363">
        <f>CS_PID!O133/VLOOKUP($B133,표2[#ALL],2)</f>
        <v>0</v>
      </c>
      <c r="P133" s="363">
        <f>CS_PID!P133/VLOOKUP($B133,표2[#ALL],2)</f>
        <v>0</v>
      </c>
      <c r="Q133" s="363">
        <f>CS_PID!Q133/VLOOKUP($B133,표2[#ALL],2)</f>
        <v>0.003467488859</v>
      </c>
      <c r="R133" s="363">
        <f>CS_PID!R133/VLOOKUP($B133,표2[#ALL],2)</f>
        <v>0</v>
      </c>
      <c r="S133" s="363">
        <f>CS_PID!S133/VLOOKUP($B133,표2[#ALL],2)</f>
        <v>0</v>
      </c>
      <c r="T133" s="363">
        <f>CS_PID!T133/VLOOKUP($B133,표2[#ALL],2)</f>
        <v>0</v>
      </c>
      <c r="U133" s="363">
        <f>CS_PID!U133/VLOOKUP($B133,표2[#ALL],2)</f>
        <v>0</v>
      </c>
      <c r="V133" s="363">
        <f>CS_PID!V133/VLOOKUP($B133,표2[#ALL],2)</f>
        <v>0</v>
      </c>
      <c r="W133" s="363">
        <f>CS_PID!W133/VLOOKUP($B133,표2[#ALL],2)</f>
        <v>0.003467488859</v>
      </c>
      <c r="X133" s="363">
        <f>CS_PID!X133/VLOOKUP($B133,표2[#ALL],2)</f>
        <v>0</v>
      </c>
      <c r="Y133" s="363">
        <f>CS_PID!Y133/VLOOKUP($B133,표2[#ALL],2)</f>
        <v>0</v>
      </c>
      <c r="Z133" s="363">
        <f>CS_PID!Z133/VLOOKUP($B133,표2[#ALL],2)</f>
        <v>0</v>
      </c>
      <c r="AA133" s="363">
        <f>CS_PID!AA133/VLOOKUP($B133,표2[#ALL],2)</f>
        <v>0</v>
      </c>
      <c r="AB133" s="363">
        <f>CS_PID!AB133/VLOOKUP($B133,표2[#ALL],2)</f>
        <v>0.006934977718</v>
      </c>
      <c r="AC133" s="363">
        <f>CS_PID!AC133/VLOOKUP($B133,표2[#ALL],2)</f>
        <v>0.02427242201</v>
      </c>
      <c r="AD133" s="363">
        <f>CS_PID!AD133/VLOOKUP($B133,표2[#ALL],2)</f>
        <v>0</v>
      </c>
      <c r="AE133" s="363">
        <f>CS_PID!AE133/VLOOKUP($B133,표2[#ALL],2)</f>
        <v>0</v>
      </c>
      <c r="AF133" s="363">
        <f>CS_PID!AF133/VLOOKUP($B133,표2[#ALL],2)</f>
        <v>0</v>
      </c>
      <c r="AG133" s="363">
        <f>CS_PID!AG133/VLOOKUP($B133,표2[#ALL],2)</f>
        <v>0</v>
      </c>
      <c r="AH133" s="363">
        <f>CS_PID!AH133/VLOOKUP($B133,표2[#ALL],2)</f>
        <v>0.01040246658</v>
      </c>
      <c r="AI133" s="363">
        <f>CS_PID!AI133/VLOOKUP($B133,표2[#ALL],2)</f>
        <v>0.03467488859</v>
      </c>
      <c r="AJ133" s="363">
        <f>CS_PID!AJ133/VLOOKUP($B133,표2[#ALL],2)</f>
        <v>0.003467488859</v>
      </c>
      <c r="AK133" s="363">
        <f>CS_PID!AK133/VLOOKUP($B133,표2[#ALL],2)</f>
        <v>0</v>
      </c>
      <c r="AL133" s="363">
        <f>CS_PID!AL133/VLOOKUP($B133,표2[#ALL],2)</f>
        <v>0</v>
      </c>
      <c r="AM133" s="363">
        <f>CS_PID!AM133/VLOOKUP($B133,표2[#ALL],2)</f>
        <v>0.01040246658</v>
      </c>
      <c r="AN133" s="363">
        <f>CS_PID!AN133/VLOOKUP($B133,표2[#ALL],2)</f>
        <v>0.06241479946</v>
      </c>
      <c r="AO133" s="363">
        <f>CS_PID!AO133/VLOOKUP($B133,표2[#ALL],2)</f>
        <v>0</v>
      </c>
      <c r="AP133" s="363">
        <f>CS_PID!AP133/VLOOKUP($B133,표2[#ALL],2)</f>
        <v>0.003467488859</v>
      </c>
      <c r="AQ133" s="363">
        <f>CS_PID!AQ133/VLOOKUP($B133,표2[#ALL],2)</f>
        <v>0.03120739973</v>
      </c>
      <c r="AR133" s="363">
        <f>CS_PID!AR133/VLOOKUP($B133,표2[#ALL],2)</f>
        <v>0.01040246658</v>
      </c>
      <c r="AS133" s="363">
        <f>CS_PID!AS133/VLOOKUP($B133,표2[#ALL],2)</f>
        <v>0</v>
      </c>
    </row>
    <row r="134">
      <c r="A134" s="197" t="s">
        <v>88</v>
      </c>
      <c r="B134" s="198">
        <v>420.0</v>
      </c>
      <c r="C134" s="364">
        <f>CS_PID!C134/VLOOKUP($B134,표2[#ALL],2)</f>
        <v>0</v>
      </c>
      <c r="D134" s="364">
        <f>CS_PID!D134/VLOOKUP($B134,표2[#ALL],2)</f>
        <v>0</v>
      </c>
      <c r="E134" s="364">
        <f>CS_PID!E134/VLOOKUP($B134,표2[#ALL],2)</f>
        <v>0</v>
      </c>
      <c r="F134" s="364">
        <f>CS_PID!F134/VLOOKUP($B134,표2[#ALL],2)</f>
        <v>0</v>
      </c>
      <c r="G134" s="364">
        <f>CS_PID!G134/VLOOKUP($B134,표2[#ALL],2)</f>
        <v>0</v>
      </c>
      <c r="H134" s="364">
        <f>CS_PID!H134/VLOOKUP($B134,표2[#ALL],2)</f>
        <v>0</v>
      </c>
      <c r="I134" s="364">
        <f>CS_PID!I134/VLOOKUP($B134,표2[#ALL],2)</f>
        <v>0</v>
      </c>
      <c r="J134" s="364">
        <f>CS_PID!J134/VLOOKUP($B134,표2[#ALL],2)</f>
        <v>0</v>
      </c>
      <c r="K134" s="364">
        <f>CS_PID!K134/VLOOKUP($B134,표2[#ALL],2)</f>
        <v>0</v>
      </c>
      <c r="L134" s="364">
        <f>CS_PID!L134/VLOOKUP($B134,표2[#ALL],2)</f>
        <v>0</v>
      </c>
      <c r="M134" s="364">
        <f>CS_PID!M134/VLOOKUP($B134,표2[#ALL],2)</f>
        <v>0</v>
      </c>
      <c r="N134" s="364">
        <f>CS_PID!N134/VLOOKUP($B134,표2[#ALL],2)</f>
        <v>0</v>
      </c>
      <c r="O134" s="364">
        <f>CS_PID!O134/VLOOKUP($B134,표2[#ALL],2)</f>
        <v>0</v>
      </c>
      <c r="P134" s="364">
        <f>CS_PID!P134/VLOOKUP($B134,표2[#ALL],2)</f>
        <v>0</v>
      </c>
      <c r="Q134" s="364">
        <f>CS_PID!Q134/VLOOKUP($B134,표2[#ALL],2)</f>
        <v>0</v>
      </c>
      <c r="R134" s="364">
        <f>CS_PID!R134/VLOOKUP($B134,표2[#ALL],2)</f>
        <v>0.02109750609</v>
      </c>
      <c r="S134" s="364">
        <f>CS_PID!S134/VLOOKUP($B134,표2[#ALL],2)</f>
        <v>0</v>
      </c>
      <c r="T134" s="364">
        <f>CS_PID!T134/VLOOKUP($B134,표2[#ALL],2)</f>
        <v>0</v>
      </c>
      <c r="U134" s="364">
        <f>CS_PID!U134/VLOOKUP($B134,표2[#ALL],2)</f>
        <v>0</v>
      </c>
      <c r="V134" s="364">
        <f>CS_PID!V134/VLOOKUP($B134,표2[#ALL],2)</f>
        <v>0</v>
      </c>
      <c r="W134" s="364">
        <f>CS_PID!W134/VLOOKUP($B134,표2[#ALL],2)</f>
        <v>0.02109750609</v>
      </c>
      <c r="X134" s="364">
        <f>CS_PID!X134/VLOOKUP($B134,표2[#ALL],2)</f>
        <v>0.04746938869</v>
      </c>
      <c r="Y134" s="364">
        <f>CS_PID!Y134/VLOOKUP($B134,표2[#ALL],2)</f>
        <v>0.01054875304</v>
      </c>
      <c r="Z134" s="364">
        <f>CS_PID!Z134/VLOOKUP($B134,표2[#ALL],2)</f>
        <v>0</v>
      </c>
      <c r="AA134" s="364">
        <f>CS_PID!AA134/VLOOKUP($B134,표2[#ALL],2)</f>
        <v>0</v>
      </c>
      <c r="AB134" s="364">
        <f>CS_PID!AB134/VLOOKUP($B134,표2[#ALL],2)</f>
        <v>0</v>
      </c>
      <c r="AC134" s="364">
        <f>CS_PID!AC134/VLOOKUP($B134,표2[#ALL],2)</f>
        <v>0.04746938869</v>
      </c>
      <c r="AD134" s="364">
        <f>CS_PID!AD134/VLOOKUP($B134,표2[#ALL],2)</f>
        <v>0.0738412713</v>
      </c>
      <c r="AE134" s="364">
        <f>CS_PID!AE134/VLOOKUP($B134,표2[#ALL],2)</f>
        <v>0</v>
      </c>
      <c r="AF134" s="364">
        <f>CS_PID!AF134/VLOOKUP($B134,표2[#ALL],2)</f>
        <v>0</v>
      </c>
      <c r="AG134" s="364">
        <f>CS_PID!AG134/VLOOKUP($B134,표2[#ALL],2)</f>
        <v>0</v>
      </c>
      <c r="AH134" s="364">
        <f>CS_PID!AH134/VLOOKUP($B134,표2[#ALL],2)</f>
        <v>0.005274376521</v>
      </c>
      <c r="AI134" s="364">
        <f>CS_PID!AI134/VLOOKUP($B134,표2[#ALL],2)</f>
        <v>0.12131066</v>
      </c>
      <c r="AJ134" s="364">
        <f>CS_PID!AJ134/VLOOKUP($B134,표2[#ALL],2)</f>
        <v>0.131859413</v>
      </c>
      <c r="AK134" s="364">
        <f>CS_PID!AK134/VLOOKUP($B134,표2[#ALL],2)</f>
        <v>0</v>
      </c>
      <c r="AL134" s="364">
        <f>CS_PID!AL134/VLOOKUP($B134,표2[#ALL],2)</f>
        <v>0</v>
      </c>
      <c r="AM134" s="364">
        <f>CS_PID!AM134/VLOOKUP($B134,표2[#ALL],2)</f>
        <v>0.005274376521</v>
      </c>
      <c r="AN134" s="364">
        <f>CS_PID!AN134/VLOOKUP($B134,표2[#ALL],2)</f>
        <v>0.2057006843</v>
      </c>
      <c r="AO134" s="364">
        <f>CS_PID!AO134/VLOOKUP($B134,표2[#ALL],2)</f>
        <v>0.0738412713</v>
      </c>
      <c r="AP134" s="364">
        <f>CS_PID!AP134/VLOOKUP($B134,표2[#ALL],2)</f>
        <v>0</v>
      </c>
      <c r="AQ134" s="364">
        <f>CS_PID!AQ134/VLOOKUP($B134,표2[#ALL],2)</f>
        <v>0</v>
      </c>
      <c r="AR134" s="364">
        <f>CS_PID!AR134/VLOOKUP($B134,표2[#ALL],2)</f>
        <v>0.05274376521</v>
      </c>
      <c r="AS134" s="364">
        <f>CS_PID!AS134/VLOOKUP($B134,표2[#ALL],2)</f>
        <v>0.05274376521</v>
      </c>
    </row>
    <row r="135">
      <c r="A135" s="201" t="s">
        <v>88</v>
      </c>
      <c r="B135" s="202">
        <v>421.0</v>
      </c>
      <c r="C135" s="365">
        <f>CS_PID!C135/VLOOKUP($B135,표2[#ALL],2)</f>
        <v>0.003864098098</v>
      </c>
      <c r="D135" s="365">
        <f>CS_PID!D135/VLOOKUP($B135,표2[#ALL],2)</f>
        <v>0.002576065399</v>
      </c>
      <c r="E135" s="365">
        <f>CS_PID!E135/VLOOKUP($B135,표2[#ALL],2)</f>
        <v>0</v>
      </c>
      <c r="F135" s="365">
        <f>CS_PID!F135/VLOOKUP($B135,표2[#ALL],2)</f>
        <v>0</v>
      </c>
      <c r="G135" s="365">
        <f>CS_PID!G135/VLOOKUP($B135,표2[#ALL],2)</f>
        <v>0</v>
      </c>
      <c r="H135" s="365">
        <f>CS_PID!H135/VLOOKUP($B135,표2[#ALL],2)</f>
        <v>0.002576065399</v>
      </c>
      <c r="I135" s="365">
        <f>CS_PID!I135/VLOOKUP($B135,표2[#ALL],2)</f>
        <v>0</v>
      </c>
      <c r="J135" s="365">
        <f>CS_PID!J135/VLOOKUP($B135,표2[#ALL],2)</f>
        <v>0.002576065399</v>
      </c>
      <c r="K135" s="365">
        <f>CS_PID!K135/VLOOKUP($B135,표2[#ALL],2)</f>
        <v>0.005152130798</v>
      </c>
      <c r="L135" s="365">
        <f>CS_PID!L135/VLOOKUP($B135,표2[#ALL],2)</f>
        <v>0.002576065399</v>
      </c>
      <c r="M135" s="365">
        <f>CS_PID!M135/VLOOKUP($B135,표2[#ALL],2)</f>
        <v>0</v>
      </c>
      <c r="N135" s="365">
        <f>CS_PID!N135/VLOOKUP($B135,표2[#ALL],2)</f>
        <v>0</v>
      </c>
      <c r="O135" s="365">
        <f>CS_PID!O135/VLOOKUP($B135,표2[#ALL],2)</f>
        <v>0</v>
      </c>
      <c r="P135" s="365">
        <f>CS_PID!P135/VLOOKUP($B135,표2[#ALL],2)</f>
        <v>0.009016228896</v>
      </c>
      <c r="Q135" s="365">
        <f>CS_PID!Q135/VLOOKUP($B135,표2[#ALL],2)</f>
        <v>0.002576065399</v>
      </c>
      <c r="R135" s="365">
        <f>CS_PID!R135/VLOOKUP($B135,표2[#ALL],2)</f>
        <v>0.006440163497</v>
      </c>
      <c r="S135" s="365">
        <f>CS_PID!S135/VLOOKUP($B135,표2[#ALL],2)</f>
        <v>0.001288032699</v>
      </c>
      <c r="T135" s="365">
        <f>CS_PID!T135/VLOOKUP($B135,표2[#ALL],2)</f>
        <v>0</v>
      </c>
      <c r="U135" s="365">
        <f>CS_PID!U135/VLOOKUP($B135,표2[#ALL],2)</f>
        <v>0.001288032699</v>
      </c>
      <c r="V135" s="365">
        <f>CS_PID!V135/VLOOKUP($B135,표2[#ALL],2)</f>
        <v>0.01674442509</v>
      </c>
      <c r="W135" s="365">
        <f>CS_PID!W135/VLOOKUP($B135,표2[#ALL],2)</f>
        <v>0.02060852319</v>
      </c>
      <c r="X135" s="365">
        <f>CS_PID!X135/VLOOKUP($B135,표2[#ALL],2)</f>
        <v>0.04765720988</v>
      </c>
      <c r="Y135" s="365">
        <f>CS_PID!Y135/VLOOKUP($B135,표2[#ALL],2)</f>
        <v>0.001288032699</v>
      </c>
      <c r="Z135" s="365">
        <f>CS_PID!Z135/VLOOKUP($B135,표2[#ALL],2)</f>
        <v>0</v>
      </c>
      <c r="AA135" s="365">
        <f>CS_PID!AA135/VLOOKUP($B135,표2[#ALL],2)</f>
        <v>0</v>
      </c>
      <c r="AB135" s="365">
        <f>CS_PID!AB135/VLOOKUP($B135,표2[#ALL],2)</f>
        <v>0.009016228896</v>
      </c>
      <c r="AC135" s="365">
        <f>CS_PID!AC135/VLOOKUP($B135,표2[#ALL],2)</f>
        <v>0.05796147148</v>
      </c>
      <c r="AD135" s="365">
        <f>CS_PID!AD135/VLOOKUP($B135,표2[#ALL],2)</f>
        <v>0.04765720988</v>
      </c>
      <c r="AE135" s="365">
        <f>CS_PID!AE135/VLOOKUP($B135,표2[#ALL],2)</f>
        <v>0.003864098098</v>
      </c>
      <c r="AF135" s="365">
        <f>CS_PID!AF135/VLOOKUP($B135,표2[#ALL],2)</f>
        <v>0</v>
      </c>
      <c r="AG135" s="365">
        <f>CS_PID!AG135/VLOOKUP($B135,표2[#ALL],2)</f>
        <v>0.001288032699</v>
      </c>
      <c r="AH135" s="365">
        <f>CS_PID!AH135/VLOOKUP($B135,표2[#ALL],2)</f>
        <v>0.003864098098</v>
      </c>
      <c r="AI135" s="365">
        <f>CS_PID!AI135/VLOOKUP($B135,표2[#ALL],2)</f>
        <v>0.1069067141</v>
      </c>
      <c r="AJ135" s="365">
        <f>CS_PID!AJ135/VLOOKUP($B135,표2[#ALL],2)</f>
        <v>0.1017545833</v>
      </c>
      <c r="AK135" s="365">
        <f>CS_PID!AK135/VLOOKUP($B135,표2[#ALL],2)</f>
        <v>0</v>
      </c>
      <c r="AL135" s="365">
        <f>CS_PID!AL135/VLOOKUP($B135,표2[#ALL],2)</f>
        <v>0</v>
      </c>
      <c r="AM135" s="365">
        <f>CS_PID!AM135/VLOOKUP($B135,표2[#ALL],2)</f>
        <v>0.002576065399</v>
      </c>
      <c r="AN135" s="365">
        <f>CS_PID!AN135/VLOOKUP($B135,표2[#ALL],2)</f>
        <v>0.1764604798</v>
      </c>
      <c r="AO135" s="365">
        <f>CS_PID!AO135/VLOOKUP($B135,표2[#ALL],2)</f>
        <v>0.05924950418</v>
      </c>
      <c r="AP135" s="365">
        <f>CS_PID!AP135/VLOOKUP($B135,표2[#ALL],2)</f>
        <v>0</v>
      </c>
      <c r="AQ135" s="365">
        <f>CS_PID!AQ135/VLOOKUP($B135,표2[#ALL],2)</f>
        <v>0</v>
      </c>
      <c r="AR135" s="365">
        <f>CS_PID!AR135/VLOOKUP($B135,표2[#ALL],2)</f>
        <v>0.04508114448</v>
      </c>
      <c r="AS135" s="365">
        <f>CS_PID!AS135/VLOOKUP($B135,표2[#ALL],2)</f>
        <v>0.04894524258</v>
      </c>
    </row>
    <row r="136">
      <c r="A136" s="205" t="s">
        <v>88</v>
      </c>
      <c r="B136" s="206">
        <v>422.0</v>
      </c>
      <c r="C136" s="366">
        <f>CS_PID!C136/VLOOKUP($B136,표2[#ALL],2)</f>
        <v>0.001097783794</v>
      </c>
      <c r="D136" s="366">
        <f>CS_PID!D136/VLOOKUP($B136,표2[#ALL],2)</f>
        <v>0.002195567588</v>
      </c>
      <c r="E136" s="366">
        <f>CS_PID!E136/VLOOKUP($B136,표2[#ALL],2)</f>
        <v>0</v>
      </c>
      <c r="F136" s="366">
        <f>CS_PID!F136/VLOOKUP($B136,표2[#ALL],2)</f>
        <v>0</v>
      </c>
      <c r="G136" s="366">
        <f>CS_PID!G136/VLOOKUP($B136,표2[#ALL],2)</f>
        <v>0</v>
      </c>
      <c r="H136" s="366">
        <f>CS_PID!H136/VLOOKUP($B136,표2[#ALL],2)</f>
        <v>0</v>
      </c>
      <c r="I136" s="366">
        <f>CS_PID!I136/VLOOKUP($B136,표2[#ALL],2)</f>
        <v>0</v>
      </c>
      <c r="J136" s="366">
        <f>CS_PID!J136/VLOOKUP($B136,표2[#ALL],2)</f>
        <v>0.003293351382</v>
      </c>
      <c r="K136" s="366">
        <f>CS_PID!K136/VLOOKUP($B136,표2[#ALL],2)</f>
        <v>0.005488918969</v>
      </c>
      <c r="L136" s="366">
        <f>CS_PID!L136/VLOOKUP($B136,표2[#ALL],2)</f>
        <v>0.003293351382</v>
      </c>
      <c r="M136" s="366">
        <f>CS_PID!M136/VLOOKUP($B136,표2[#ALL],2)</f>
        <v>0.001097783794</v>
      </c>
      <c r="N136" s="366">
        <f>CS_PID!N136/VLOOKUP($B136,표2[#ALL],2)</f>
        <v>0</v>
      </c>
      <c r="O136" s="366">
        <f>CS_PID!O136/VLOOKUP($B136,표2[#ALL],2)</f>
        <v>0</v>
      </c>
      <c r="P136" s="366">
        <f>CS_PID!P136/VLOOKUP($B136,표2[#ALL],2)</f>
        <v>0.008782270351</v>
      </c>
      <c r="Q136" s="366">
        <f>CS_PID!Q136/VLOOKUP($B136,표2[#ALL],2)</f>
        <v>0.004391135175</v>
      </c>
      <c r="R136" s="366">
        <f>CS_PID!R136/VLOOKUP($B136,표2[#ALL],2)</f>
        <v>0.005488918969</v>
      </c>
      <c r="S136" s="366">
        <f>CS_PID!S136/VLOOKUP($B136,표2[#ALL],2)</f>
        <v>0.003293351382</v>
      </c>
      <c r="T136" s="366">
        <f>CS_PID!T136/VLOOKUP($B136,표2[#ALL],2)</f>
        <v>0</v>
      </c>
      <c r="U136" s="366">
        <f>CS_PID!U136/VLOOKUP($B136,표2[#ALL],2)</f>
        <v>0.001097783794</v>
      </c>
      <c r="V136" s="366">
        <f>CS_PID!V136/VLOOKUP($B136,표2[#ALL],2)</f>
        <v>0.006586702763</v>
      </c>
      <c r="W136" s="366">
        <f>CS_PID!W136/VLOOKUP($B136,표2[#ALL],2)</f>
        <v>0.0175645407</v>
      </c>
      <c r="X136" s="366">
        <f>CS_PID!X136/VLOOKUP($B136,표2[#ALL],2)</f>
        <v>0.05269362211</v>
      </c>
      <c r="Y136" s="366">
        <f>CS_PID!Y136/VLOOKUP($B136,표2[#ALL],2)</f>
        <v>0.003293351382</v>
      </c>
      <c r="Z136" s="366">
        <f>CS_PID!Z136/VLOOKUP($B136,표2[#ALL],2)</f>
        <v>0</v>
      </c>
      <c r="AA136" s="366">
        <f>CS_PID!AA136/VLOOKUP($B136,표2[#ALL],2)</f>
        <v>0</v>
      </c>
      <c r="AB136" s="366">
        <f>CS_PID!AB136/VLOOKUP($B136,표2[#ALL],2)</f>
        <v>0.002195567588</v>
      </c>
      <c r="AC136" s="366">
        <f>CS_PID!AC136/VLOOKUP($B136,표2[#ALL],2)</f>
        <v>0.05269362211</v>
      </c>
      <c r="AD136" s="366">
        <f>CS_PID!AD136/VLOOKUP($B136,표2[#ALL],2)</f>
        <v>0.05159583831</v>
      </c>
      <c r="AE136" s="366">
        <f>CS_PID!AE136/VLOOKUP($B136,표2[#ALL],2)</f>
        <v>0.002195567588</v>
      </c>
      <c r="AF136" s="366">
        <f>CS_PID!AF136/VLOOKUP($B136,표2[#ALL],2)</f>
        <v>0</v>
      </c>
      <c r="AG136" s="366">
        <f>CS_PID!AG136/VLOOKUP($B136,표2[#ALL],2)</f>
        <v>0</v>
      </c>
      <c r="AH136" s="366">
        <f>CS_PID!AH136/VLOOKUP($B136,표2[#ALL],2)</f>
        <v>0.002195567588</v>
      </c>
      <c r="AI136" s="366">
        <f>CS_PID!AI136/VLOOKUP($B136,표2[#ALL],2)</f>
        <v>0.1097783794</v>
      </c>
      <c r="AJ136" s="366">
        <f>CS_PID!AJ136/VLOOKUP($B136,표2[#ALL],2)</f>
        <v>0.1020938928</v>
      </c>
      <c r="AK136" s="366">
        <f>CS_PID!AK136/VLOOKUP($B136,표2[#ALL],2)</f>
        <v>0.002195567588</v>
      </c>
      <c r="AL136" s="366">
        <f>CS_PID!AL136/VLOOKUP($B136,표2[#ALL],2)</f>
        <v>0</v>
      </c>
      <c r="AM136" s="366">
        <f>CS_PID!AM136/VLOOKUP($B136,표2[#ALL],2)</f>
        <v>0.001097783794</v>
      </c>
      <c r="AN136" s="366">
        <f>CS_PID!AN136/VLOOKUP($B136,표2[#ALL],2)</f>
        <v>0.1712542718</v>
      </c>
      <c r="AO136" s="366">
        <f>CS_PID!AO136/VLOOKUP($B136,표2[#ALL],2)</f>
        <v>0.05488918969</v>
      </c>
      <c r="AP136" s="366">
        <f>CS_PID!AP136/VLOOKUP($B136,표2[#ALL],2)</f>
        <v>0.002195567588</v>
      </c>
      <c r="AQ136" s="366">
        <f>CS_PID!AQ136/VLOOKUP($B136,표2[#ALL],2)</f>
        <v>0</v>
      </c>
      <c r="AR136" s="366">
        <f>CS_PID!AR136/VLOOKUP($B136,표2[#ALL],2)</f>
        <v>0.05159583831</v>
      </c>
      <c r="AS136" s="366">
        <f>CS_PID!AS136/VLOOKUP($B136,표2[#ALL],2)</f>
        <v>0.0537914059</v>
      </c>
    </row>
    <row r="137">
      <c r="A137" s="209" t="s">
        <v>90</v>
      </c>
      <c r="B137" s="210">
        <v>425.0</v>
      </c>
      <c r="C137" s="367">
        <f>CS_PID!C137/VLOOKUP($B137,표2[#ALL],2)</f>
        <v>0.00269500987</v>
      </c>
      <c r="D137" s="367">
        <f>CS_PID!D137/VLOOKUP($B137,표2[#ALL],2)</f>
        <v>0</v>
      </c>
      <c r="E137" s="367">
        <f>CS_PID!E137/VLOOKUP($B137,표2[#ALL],2)</f>
        <v>0.00808502961</v>
      </c>
      <c r="F137" s="367">
        <f>CS_PID!F137/VLOOKUP($B137,표2[#ALL],2)</f>
        <v>0</v>
      </c>
      <c r="G137" s="367">
        <f>CS_PID!G137/VLOOKUP($B137,표2[#ALL],2)</f>
        <v>0</v>
      </c>
      <c r="H137" s="367">
        <f>CS_PID!H137/VLOOKUP($B137,표2[#ALL],2)</f>
        <v>0</v>
      </c>
      <c r="I137" s="367">
        <f>CS_PID!I137/VLOOKUP($B137,표2[#ALL],2)</f>
        <v>0</v>
      </c>
      <c r="J137" s="367">
        <f>CS_PID!J137/VLOOKUP($B137,표2[#ALL],2)</f>
        <v>0</v>
      </c>
      <c r="K137" s="367">
        <f>CS_PID!K137/VLOOKUP($B137,표2[#ALL],2)</f>
        <v>0</v>
      </c>
      <c r="L137" s="367">
        <f>CS_PID!L137/VLOOKUP($B137,표2[#ALL],2)</f>
        <v>0</v>
      </c>
      <c r="M137" s="367">
        <f>CS_PID!M137/VLOOKUP($B137,표2[#ALL],2)</f>
        <v>0</v>
      </c>
      <c r="N137" s="367">
        <f>CS_PID!N137/VLOOKUP($B137,표2[#ALL],2)</f>
        <v>0</v>
      </c>
      <c r="O137" s="367">
        <f>CS_PID!O137/VLOOKUP($B137,표2[#ALL],2)</f>
        <v>0.00269500987</v>
      </c>
      <c r="P137" s="367">
        <f>CS_PID!P137/VLOOKUP($B137,표2[#ALL],2)</f>
        <v>0</v>
      </c>
      <c r="Q137" s="367">
        <f>CS_PID!Q137/VLOOKUP($B137,표2[#ALL],2)</f>
        <v>0</v>
      </c>
      <c r="R137" s="367">
        <f>CS_PID!R137/VLOOKUP($B137,표2[#ALL],2)</f>
        <v>0.00269500987</v>
      </c>
      <c r="S137" s="367">
        <f>CS_PID!S137/VLOOKUP($B137,표2[#ALL],2)</f>
        <v>0</v>
      </c>
      <c r="T137" s="367">
        <f>CS_PID!T137/VLOOKUP($B137,표2[#ALL],2)</f>
        <v>0</v>
      </c>
      <c r="U137" s="367">
        <f>CS_PID!U137/VLOOKUP($B137,표2[#ALL],2)</f>
        <v>0.00269500987</v>
      </c>
      <c r="V137" s="367">
        <f>CS_PID!V137/VLOOKUP($B137,표2[#ALL],2)</f>
        <v>0</v>
      </c>
      <c r="W137" s="367">
        <f>CS_PID!W137/VLOOKUP($B137,표2[#ALL],2)</f>
        <v>0.00269500987</v>
      </c>
      <c r="X137" s="367">
        <f>CS_PID!X137/VLOOKUP($B137,표2[#ALL],2)</f>
        <v>0.01617005922</v>
      </c>
      <c r="Y137" s="367">
        <f>CS_PID!Y137/VLOOKUP($B137,표2[#ALL],2)</f>
        <v>0.00269500987</v>
      </c>
      <c r="Z137" s="367">
        <f>CS_PID!Z137/VLOOKUP($B137,표2[#ALL],2)</f>
        <v>0</v>
      </c>
      <c r="AA137" s="367">
        <f>CS_PID!AA137/VLOOKUP($B137,표2[#ALL],2)</f>
        <v>0</v>
      </c>
      <c r="AB137" s="367">
        <f>CS_PID!AB137/VLOOKUP($B137,표2[#ALL],2)</f>
        <v>0</v>
      </c>
      <c r="AC137" s="367">
        <f>CS_PID!AC137/VLOOKUP($B137,표2[#ALL],2)</f>
        <v>0.00269500987</v>
      </c>
      <c r="AD137" s="367">
        <f>CS_PID!AD137/VLOOKUP($B137,표2[#ALL],2)</f>
        <v>0.01078003948</v>
      </c>
      <c r="AE137" s="367">
        <f>CS_PID!AE137/VLOOKUP($B137,표2[#ALL],2)</f>
        <v>0.00269500987</v>
      </c>
      <c r="AF137" s="367">
        <f>CS_PID!AF137/VLOOKUP($B137,표2[#ALL],2)</f>
        <v>0</v>
      </c>
      <c r="AG137" s="367">
        <f>CS_PID!AG137/VLOOKUP($B137,표2[#ALL],2)</f>
        <v>0</v>
      </c>
      <c r="AH137" s="367">
        <f>CS_PID!AH137/VLOOKUP($B137,표2[#ALL],2)</f>
        <v>0</v>
      </c>
      <c r="AI137" s="367">
        <f>CS_PID!AI137/VLOOKUP($B137,표2[#ALL],2)</f>
        <v>0.00269500987</v>
      </c>
      <c r="AJ137" s="367">
        <f>CS_PID!AJ137/VLOOKUP($B137,표2[#ALL],2)</f>
        <v>0.00808502961</v>
      </c>
      <c r="AK137" s="367">
        <f>CS_PID!AK137/VLOOKUP($B137,표2[#ALL],2)</f>
        <v>0.00808502961</v>
      </c>
      <c r="AL137" s="367">
        <f>CS_PID!AL137/VLOOKUP($B137,표2[#ALL],2)</f>
        <v>0</v>
      </c>
      <c r="AM137" s="367">
        <f>CS_PID!AM137/VLOOKUP($B137,표2[#ALL],2)</f>
        <v>0</v>
      </c>
      <c r="AN137" s="367">
        <f>CS_PID!AN137/VLOOKUP($B137,표2[#ALL],2)</f>
        <v>0</v>
      </c>
      <c r="AO137" s="367">
        <f>CS_PID!AO137/VLOOKUP($B137,표2[#ALL],2)</f>
        <v>0.01617005922</v>
      </c>
      <c r="AP137" s="367">
        <f>CS_PID!AP137/VLOOKUP($B137,표2[#ALL],2)</f>
        <v>0.01347504935</v>
      </c>
      <c r="AQ137" s="367">
        <f>CS_PID!AQ137/VLOOKUP($B137,표2[#ALL],2)</f>
        <v>0</v>
      </c>
      <c r="AR137" s="367">
        <f>CS_PID!AR137/VLOOKUP($B137,표2[#ALL],2)</f>
        <v>0.00539001974</v>
      </c>
      <c r="AS137" s="367">
        <f>CS_PID!AS137/VLOOKUP($B137,표2[#ALL],2)</f>
        <v>0.03234011844</v>
      </c>
    </row>
    <row r="138">
      <c r="A138" s="213" t="s">
        <v>90</v>
      </c>
      <c r="B138" s="214">
        <v>426.0</v>
      </c>
      <c r="C138" s="368">
        <f>CS_PID!C138/VLOOKUP($B138,표2[#ALL],2)</f>
        <v>0.001865195878</v>
      </c>
      <c r="D138" s="368">
        <f>CS_PID!D138/VLOOKUP($B138,표2[#ALL],2)</f>
        <v>0.001865195878</v>
      </c>
      <c r="E138" s="368">
        <f>CS_PID!E138/VLOOKUP($B138,표2[#ALL],2)</f>
        <v>0.0009325979388</v>
      </c>
      <c r="F138" s="368">
        <f>CS_PID!F138/VLOOKUP($B138,표2[#ALL],2)</f>
        <v>0</v>
      </c>
      <c r="G138" s="368">
        <f>CS_PID!G138/VLOOKUP($B138,표2[#ALL],2)</f>
        <v>0</v>
      </c>
      <c r="H138" s="368">
        <f>CS_PID!H138/VLOOKUP($B138,표2[#ALL],2)</f>
        <v>0</v>
      </c>
      <c r="I138" s="368">
        <f>CS_PID!I138/VLOOKUP($B138,표2[#ALL],2)</f>
        <v>0.001865195878</v>
      </c>
      <c r="J138" s="368">
        <f>CS_PID!J138/VLOOKUP($B138,표2[#ALL],2)</f>
        <v>0.0009325979388</v>
      </c>
      <c r="K138" s="368">
        <f>CS_PID!K138/VLOOKUP($B138,표2[#ALL],2)</f>
        <v>0.001865195878</v>
      </c>
      <c r="L138" s="368">
        <f>CS_PID!L138/VLOOKUP($B138,표2[#ALL],2)</f>
        <v>0.001865195878</v>
      </c>
      <c r="M138" s="368">
        <f>CS_PID!M138/VLOOKUP($B138,표2[#ALL],2)</f>
        <v>0</v>
      </c>
      <c r="N138" s="368">
        <f>CS_PID!N138/VLOOKUP($B138,표2[#ALL],2)</f>
        <v>0</v>
      </c>
      <c r="O138" s="368">
        <f>CS_PID!O138/VLOOKUP($B138,표2[#ALL],2)</f>
        <v>0</v>
      </c>
      <c r="P138" s="368">
        <f>CS_PID!P138/VLOOKUP($B138,표2[#ALL],2)</f>
        <v>0.001865195878</v>
      </c>
      <c r="Q138" s="368">
        <f>CS_PID!Q138/VLOOKUP($B138,표2[#ALL],2)</f>
        <v>0.0009325979388</v>
      </c>
      <c r="R138" s="368">
        <f>CS_PID!R138/VLOOKUP($B138,표2[#ALL],2)</f>
        <v>0.003730391755</v>
      </c>
      <c r="S138" s="368">
        <f>CS_PID!S138/VLOOKUP($B138,표2[#ALL],2)</f>
        <v>0.0009325979388</v>
      </c>
      <c r="T138" s="368">
        <f>CS_PID!T138/VLOOKUP($B138,표2[#ALL],2)</f>
        <v>0</v>
      </c>
      <c r="U138" s="368">
        <f>CS_PID!U138/VLOOKUP($B138,표2[#ALL],2)</f>
        <v>0</v>
      </c>
      <c r="V138" s="368">
        <f>CS_PID!V138/VLOOKUP($B138,표2[#ALL],2)</f>
        <v>0</v>
      </c>
      <c r="W138" s="368">
        <f>CS_PID!W138/VLOOKUP($B138,표2[#ALL],2)</f>
        <v>0.008393381449</v>
      </c>
      <c r="X138" s="368">
        <f>CS_PID!X138/VLOOKUP($B138,표2[#ALL],2)</f>
        <v>0.007460783511</v>
      </c>
      <c r="Y138" s="368">
        <f>CS_PID!Y138/VLOOKUP($B138,표2[#ALL],2)</f>
        <v>0.0009325979388</v>
      </c>
      <c r="Z138" s="368">
        <f>CS_PID!Z138/VLOOKUP($B138,표2[#ALL],2)</f>
        <v>0</v>
      </c>
      <c r="AA138" s="368">
        <f>CS_PID!AA138/VLOOKUP($B138,표2[#ALL],2)</f>
        <v>0</v>
      </c>
      <c r="AB138" s="368">
        <f>CS_PID!AB138/VLOOKUP($B138,표2[#ALL],2)</f>
        <v>0</v>
      </c>
      <c r="AC138" s="368">
        <f>CS_PID!AC138/VLOOKUP($B138,표2[#ALL],2)</f>
        <v>0.004662989694</v>
      </c>
      <c r="AD138" s="368">
        <f>CS_PID!AD138/VLOOKUP($B138,표2[#ALL],2)</f>
        <v>0.009325979388</v>
      </c>
      <c r="AE138" s="368">
        <f>CS_PID!AE138/VLOOKUP($B138,표2[#ALL],2)</f>
        <v>0.003730391755</v>
      </c>
      <c r="AF138" s="368">
        <f>CS_PID!AF138/VLOOKUP($B138,표2[#ALL],2)</f>
        <v>0</v>
      </c>
      <c r="AG138" s="368">
        <f>CS_PID!AG138/VLOOKUP($B138,표2[#ALL],2)</f>
        <v>0</v>
      </c>
      <c r="AH138" s="368">
        <f>CS_PID!AH138/VLOOKUP($B138,표2[#ALL],2)</f>
        <v>0</v>
      </c>
      <c r="AI138" s="368">
        <f>CS_PID!AI138/VLOOKUP($B138,표2[#ALL],2)</f>
        <v>0</v>
      </c>
      <c r="AJ138" s="368">
        <f>CS_PID!AJ138/VLOOKUP($B138,표2[#ALL],2)</f>
        <v>0.01865195878</v>
      </c>
      <c r="AK138" s="368">
        <f>CS_PID!AK138/VLOOKUP($B138,표2[#ALL],2)</f>
        <v>0.003730391755</v>
      </c>
      <c r="AL138" s="368">
        <f>CS_PID!AL138/VLOOKUP($B138,표2[#ALL],2)</f>
        <v>0</v>
      </c>
      <c r="AM138" s="368">
        <f>CS_PID!AM138/VLOOKUP($B138,표2[#ALL],2)</f>
        <v>0</v>
      </c>
      <c r="AN138" s="368">
        <f>CS_PID!AN138/VLOOKUP($B138,표2[#ALL],2)</f>
        <v>0</v>
      </c>
      <c r="AO138" s="368">
        <f>CS_PID!AO138/VLOOKUP($B138,표2[#ALL],2)</f>
        <v>0.01492156702</v>
      </c>
      <c r="AP138" s="368">
        <f>CS_PID!AP138/VLOOKUP($B138,표2[#ALL],2)</f>
        <v>0.01025857733</v>
      </c>
      <c r="AQ138" s="368">
        <f>CS_PID!AQ138/VLOOKUP($B138,표2[#ALL],2)</f>
        <v>0</v>
      </c>
      <c r="AR138" s="368">
        <f>CS_PID!AR138/VLOOKUP($B138,표2[#ALL],2)</f>
        <v>0</v>
      </c>
      <c r="AS138" s="368">
        <f>CS_PID!AS138/VLOOKUP($B138,표2[#ALL],2)</f>
        <v>0.02611274229</v>
      </c>
    </row>
    <row r="139">
      <c r="A139" s="213" t="s">
        <v>90</v>
      </c>
      <c r="B139" s="214">
        <v>427.0</v>
      </c>
      <c r="C139" s="368">
        <f>CS_PID!C139/VLOOKUP($B139,표2[#ALL],2)</f>
        <v>0</v>
      </c>
      <c r="D139" s="368">
        <f>CS_PID!D139/VLOOKUP($B139,표2[#ALL],2)</f>
        <v>0</v>
      </c>
      <c r="E139" s="368">
        <f>CS_PID!E139/VLOOKUP($B139,표2[#ALL],2)</f>
        <v>0.001012684235</v>
      </c>
      <c r="F139" s="368">
        <f>CS_PID!F139/VLOOKUP($B139,표2[#ALL],2)</f>
        <v>0</v>
      </c>
      <c r="G139" s="368">
        <f>CS_PID!G139/VLOOKUP($B139,표2[#ALL],2)</f>
        <v>0</v>
      </c>
      <c r="H139" s="368">
        <f>CS_PID!H139/VLOOKUP($B139,표2[#ALL],2)</f>
        <v>0.001012684235</v>
      </c>
      <c r="I139" s="368">
        <f>CS_PID!I139/VLOOKUP($B139,표2[#ALL],2)</f>
        <v>0.001012684235</v>
      </c>
      <c r="J139" s="368">
        <f>CS_PID!J139/VLOOKUP($B139,표2[#ALL],2)</f>
        <v>0</v>
      </c>
      <c r="K139" s="368">
        <f>CS_PID!K139/VLOOKUP($B139,표2[#ALL],2)</f>
        <v>0.001012684235</v>
      </c>
      <c r="L139" s="368">
        <f>CS_PID!L139/VLOOKUP($B139,표2[#ALL],2)</f>
        <v>0</v>
      </c>
      <c r="M139" s="368">
        <f>CS_PID!M139/VLOOKUP($B139,표2[#ALL],2)</f>
        <v>0</v>
      </c>
      <c r="N139" s="368">
        <f>CS_PID!N139/VLOOKUP($B139,표2[#ALL],2)</f>
        <v>0</v>
      </c>
      <c r="O139" s="368">
        <f>CS_PID!O139/VLOOKUP($B139,표2[#ALL],2)</f>
        <v>0.001012684235</v>
      </c>
      <c r="P139" s="368">
        <f>CS_PID!P139/VLOOKUP($B139,표2[#ALL],2)</f>
        <v>0</v>
      </c>
      <c r="Q139" s="368">
        <f>CS_PID!Q139/VLOOKUP($B139,표2[#ALL],2)</f>
        <v>0.006076105408</v>
      </c>
      <c r="R139" s="368">
        <f>CS_PID!R139/VLOOKUP($B139,표2[#ALL],2)</f>
        <v>0.006076105408</v>
      </c>
      <c r="S139" s="368">
        <f>CS_PID!S139/VLOOKUP($B139,표2[#ALL],2)</f>
        <v>0</v>
      </c>
      <c r="T139" s="368">
        <f>CS_PID!T139/VLOOKUP($B139,표2[#ALL],2)</f>
        <v>0</v>
      </c>
      <c r="U139" s="368">
        <f>CS_PID!U139/VLOOKUP($B139,표2[#ALL],2)</f>
        <v>0</v>
      </c>
      <c r="V139" s="368">
        <f>CS_PID!V139/VLOOKUP($B139,표2[#ALL],2)</f>
        <v>0</v>
      </c>
      <c r="W139" s="368">
        <f>CS_PID!W139/VLOOKUP($B139,표2[#ALL],2)</f>
        <v>0.003038052704</v>
      </c>
      <c r="X139" s="368">
        <f>CS_PID!X139/VLOOKUP($B139,표2[#ALL],2)</f>
        <v>0.01822831622</v>
      </c>
      <c r="Y139" s="368">
        <f>CS_PID!Y139/VLOOKUP($B139,표2[#ALL],2)</f>
        <v>0.004050736938</v>
      </c>
      <c r="Z139" s="368">
        <f>CS_PID!Z139/VLOOKUP($B139,표2[#ALL],2)</f>
        <v>0</v>
      </c>
      <c r="AA139" s="368">
        <f>CS_PID!AA139/VLOOKUP($B139,표2[#ALL],2)</f>
        <v>0</v>
      </c>
      <c r="AB139" s="368">
        <f>CS_PID!AB139/VLOOKUP($B139,표2[#ALL],2)</f>
        <v>0</v>
      </c>
      <c r="AC139" s="368">
        <f>CS_PID!AC139/VLOOKUP($B139,표2[#ALL],2)</f>
        <v>0.004050736938</v>
      </c>
      <c r="AD139" s="368">
        <f>CS_PID!AD139/VLOOKUP($B139,표2[#ALL],2)</f>
        <v>0.007088789642</v>
      </c>
      <c r="AE139" s="368">
        <f>CS_PID!AE139/VLOOKUP($B139,표2[#ALL],2)</f>
        <v>0.004050736938</v>
      </c>
      <c r="AF139" s="368">
        <f>CS_PID!AF139/VLOOKUP($B139,표2[#ALL],2)</f>
        <v>0</v>
      </c>
      <c r="AG139" s="368">
        <f>CS_PID!AG139/VLOOKUP($B139,표2[#ALL],2)</f>
        <v>0</v>
      </c>
      <c r="AH139" s="368">
        <f>CS_PID!AH139/VLOOKUP($B139,표2[#ALL],2)</f>
        <v>0</v>
      </c>
      <c r="AI139" s="368">
        <f>CS_PID!AI139/VLOOKUP($B139,표2[#ALL],2)</f>
        <v>0.003038052704</v>
      </c>
      <c r="AJ139" s="368">
        <f>CS_PID!AJ139/VLOOKUP($B139,표2[#ALL],2)</f>
        <v>0.01620294775</v>
      </c>
      <c r="AK139" s="368">
        <f>CS_PID!AK139/VLOOKUP($B139,표2[#ALL],2)</f>
        <v>0.008101473877</v>
      </c>
      <c r="AL139" s="368">
        <f>CS_PID!AL139/VLOOKUP($B139,표2[#ALL],2)</f>
        <v>0</v>
      </c>
      <c r="AM139" s="368">
        <f>CS_PID!AM139/VLOOKUP($B139,표2[#ALL],2)</f>
        <v>0</v>
      </c>
      <c r="AN139" s="368">
        <f>CS_PID!AN139/VLOOKUP($B139,표2[#ALL],2)</f>
        <v>0</v>
      </c>
      <c r="AO139" s="368">
        <f>CS_PID!AO139/VLOOKUP($B139,표2[#ALL],2)</f>
        <v>0.01721563199</v>
      </c>
      <c r="AP139" s="368">
        <f>CS_PID!AP139/VLOOKUP($B139,표2[#ALL],2)</f>
        <v>0.01113952658</v>
      </c>
      <c r="AQ139" s="368">
        <f>CS_PID!AQ139/VLOOKUP($B139,표2[#ALL],2)</f>
        <v>0</v>
      </c>
      <c r="AR139" s="368">
        <f>CS_PID!AR139/VLOOKUP($B139,표2[#ALL],2)</f>
        <v>0.001012684235</v>
      </c>
      <c r="AS139" s="368">
        <f>CS_PID!AS139/VLOOKUP($B139,표2[#ALL],2)</f>
        <v>0.0232917374</v>
      </c>
    </row>
    <row r="140">
      <c r="A140" s="213" t="s">
        <v>90</v>
      </c>
      <c r="B140" s="214">
        <v>428.0</v>
      </c>
      <c r="C140" s="368">
        <f>CS_PID!C140/VLOOKUP($B140,표2[#ALL],2)</f>
        <v>0</v>
      </c>
      <c r="D140" s="368">
        <f>CS_PID!D140/VLOOKUP($B140,표2[#ALL],2)</f>
        <v>0</v>
      </c>
      <c r="E140" s="368">
        <f>CS_PID!E140/VLOOKUP($B140,표2[#ALL],2)</f>
        <v>0.001281512664</v>
      </c>
      <c r="F140" s="368">
        <f>CS_PID!F140/VLOOKUP($B140,표2[#ALL],2)</f>
        <v>0</v>
      </c>
      <c r="G140" s="368">
        <f>CS_PID!G140/VLOOKUP($B140,표2[#ALL],2)</f>
        <v>0</v>
      </c>
      <c r="H140" s="368">
        <f>CS_PID!H140/VLOOKUP($B140,표2[#ALL],2)</f>
        <v>0</v>
      </c>
      <c r="I140" s="368">
        <f>CS_PID!I140/VLOOKUP($B140,표2[#ALL],2)</f>
        <v>0</v>
      </c>
      <c r="J140" s="368">
        <f>CS_PID!J140/VLOOKUP($B140,표2[#ALL],2)</f>
        <v>0</v>
      </c>
      <c r="K140" s="368">
        <f>CS_PID!K140/VLOOKUP($B140,표2[#ALL],2)</f>
        <v>0</v>
      </c>
      <c r="L140" s="368">
        <f>CS_PID!L140/VLOOKUP($B140,표2[#ALL],2)</f>
        <v>0.003844537992</v>
      </c>
      <c r="M140" s="368">
        <f>CS_PID!M140/VLOOKUP($B140,표2[#ALL],2)</f>
        <v>0</v>
      </c>
      <c r="N140" s="368">
        <f>CS_PID!N140/VLOOKUP($B140,표2[#ALL],2)</f>
        <v>0</v>
      </c>
      <c r="O140" s="368">
        <f>CS_PID!O140/VLOOKUP($B140,표2[#ALL],2)</f>
        <v>0</v>
      </c>
      <c r="P140" s="368">
        <f>CS_PID!P140/VLOOKUP($B140,표2[#ALL],2)</f>
        <v>0.002563025328</v>
      </c>
      <c r="Q140" s="368">
        <f>CS_PID!Q140/VLOOKUP($B140,표2[#ALL],2)</f>
        <v>0.01025210131</v>
      </c>
      <c r="R140" s="368">
        <f>CS_PID!R140/VLOOKUP($B140,표2[#ALL],2)</f>
        <v>0.001281512664</v>
      </c>
      <c r="S140" s="368">
        <f>CS_PID!S140/VLOOKUP($B140,표2[#ALL],2)</f>
        <v>0.002563025328</v>
      </c>
      <c r="T140" s="368">
        <f>CS_PID!T140/VLOOKUP($B140,표2[#ALL],2)</f>
        <v>0</v>
      </c>
      <c r="U140" s="368">
        <f>CS_PID!U140/VLOOKUP($B140,표2[#ALL],2)</f>
        <v>0</v>
      </c>
      <c r="V140" s="368">
        <f>CS_PID!V140/VLOOKUP($B140,표2[#ALL],2)</f>
        <v>0</v>
      </c>
      <c r="W140" s="368">
        <f>CS_PID!W140/VLOOKUP($B140,표2[#ALL],2)</f>
        <v>0.005126050656</v>
      </c>
      <c r="X140" s="368">
        <f>CS_PID!X140/VLOOKUP($B140,표2[#ALL],2)</f>
        <v>0.01025210131</v>
      </c>
      <c r="Y140" s="368">
        <f>CS_PID!Y140/VLOOKUP($B140,표2[#ALL],2)</f>
        <v>0</v>
      </c>
      <c r="Z140" s="368">
        <f>CS_PID!Z140/VLOOKUP($B140,표2[#ALL],2)</f>
        <v>0</v>
      </c>
      <c r="AA140" s="368">
        <f>CS_PID!AA140/VLOOKUP($B140,표2[#ALL],2)</f>
        <v>0</v>
      </c>
      <c r="AB140" s="368">
        <f>CS_PID!AB140/VLOOKUP($B140,표2[#ALL],2)</f>
        <v>0</v>
      </c>
      <c r="AC140" s="368">
        <f>CS_PID!AC140/VLOOKUP($B140,표2[#ALL],2)</f>
        <v>0.002563025328</v>
      </c>
      <c r="AD140" s="368">
        <f>CS_PID!AD140/VLOOKUP($B140,표2[#ALL],2)</f>
        <v>0.01025210131</v>
      </c>
      <c r="AE140" s="368">
        <f>CS_PID!AE140/VLOOKUP($B140,표2[#ALL],2)</f>
        <v>0.003844537992</v>
      </c>
      <c r="AF140" s="368">
        <f>CS_PID!AF140/VLOOKUP($B140,표2[#ALL],2)</f>
        <v>0</v>
      </c>
      <c r="AG140" s="368">
        <f>CS_PID!AG140/VLOOKUP($B140,표2[#ALL],2)</f>
        <v>0</v>
      </c>
      <c r="AH140" s="368">
        <f>CS_PID!AH140/VLOOKUP($B140,표2[#ALL],2)</f>
        <v>0</v>
      </c>
      <c r="AI140" s="368">
        <f>CS_PID!AI140/VLOOKUP($B140,표2[#ALL],2)</f>
        <v>0.001281512664</v>
      </c>
      <c r="AJ140" s="368">
        <f>CS_PID!AJ140/VLOOKUP($B140,표2[#ALL],2)</f>
        <v>0.02563025328</v>
      </c>
      <c r="AK140" s="368">
        <f>CS_PID!AK140/VLOOKUP($B140,표2[#ALL],2)</f>
        <v>0.003844537992</v>
      </c>
      <c r="AL140" s="368">
        <f>CS_PID!AL140/VLOOKUP($B140,표2[#ALL],2)</f>
        <v>0</v>
      </c>
      <c r="AM140" s="368">
        <f>CS_PID!AM140/VLOOKUP($B140,표2[#ALL],2)</f>
        <v>0</v>
      </c>
      <c r="AN140" s="368">
        <f>CS_PID!AN140/VLOOKUP($B140,표2[#ALL],2)</f>
        <v>0.001281512664</v>
      </c>
      <c r="AO140" s="368">
        <f>CS_PID!AO140/VLOOKUP($B140,표2[#ALL],2)</f>
        <v>0.0140966393</v>
      </c>
      <c r="AP140" s="368">
        <f>CS_PID!AP140/VLOOKUP($B140,표2[#ALL],2)</f>
        <v>0.007689075984</v>
      </c>
      <c r="AQ140" s="368">
        <f>CS_PID!AQ140/VLOOKUP($B140,표2[#ALL],2)</f>
        <v>0</v>
      </c>
      <c r="AR140" s="368">
        <f>CS_PID!AR140/VLOOKUP($B140,표2[#ALL],2)</f>
        <v>0</v>
      </c>
      <c r="AS140" s="368">
        <f>CS_PID!AS140/VLOOKUP($B140,표2[#ALL],2)</f>
        <v>0.02691176594</v>
      </c>
    </row>
    <row r="141">
      <c r="A141" s="213" t="s">
        <v>90</v>
      </c>
      <c r="B141" s="214">
        <v>429.0</v>
      </c>
      <c r="C141" s="368">
        <f>CS_PID!C141/VLOOKUP($B141,표2[#ALL],2)</f>
        <v>0</v>
      </c>
      <c r="D141" s="368">
        <f>CS_PID!D141/VLOOKUP($B141,표2[#ALL],2)</f>
        <v>0.001545635159</v>
      </c>
      <c r="E141" s="368">
        <f>CS_PID!E141/VLOOKUP($B141,표2[#ALL],2)</f>
        <v>0</v>
      </c>
      <c r="F141" s="368">
        <f>CS_PID!F141/VLOOKUP($B141,표2[#ALL],2)</f>
        <v>0.004636905478</v>
      </c>
      <c r="G141" s="368">
        <f>CS_PID!G141/VLOOKUP($B141,표2[#ALL],2)</f>
        <v>0</v>
      </c>
      <c r="H141" s="368">
        <f>CS_PID!H141/VLOOKUP($B141,표2[#ALL],2)</f>
        <v>0</v>
      </c>
      <c r="I141" s="368">
        <f>CS_PID!I141/VLOOKUP($B141,표2[#ALL],2)</f>
        <v>0</v>
      </c>
      <c r="J141" s="368">
        <f>CS_PID!J141/VLOOKUP($B141,표2[#ALL],2)</f>
        <v>0</v>
      </c>
      <c r="K141" s="368">
        <f>CS_PID!K141/VLOOKUP($B141,표2[#ALL],2)</f>
        <v>0.001545635159</v>
      </c>
      <c r="L141" s="368">
        <f>CS_PID!L141/VLOOKUP($B141,표2[#ALL],2)</f>
        <v>0.003091270319</v>
      </c>
      <c r="M141" s="368">
        <f>CS_PID!M141/VLOOKUP($B141,표2[#ALL],2)</f>
        <v>0</v>
      </c>
      <c r="N141" s="368">
        <f>CS_PID!N141/VLOOKUP($B141,표2[#ALL],2)</f>
        <v>0</v>
      </c>
      <c r="O141" s="368">
        <f>CS_PID!O141/VLOOKUP($B141,표2[#ALL],2)</f>
        <v>0</v>
      </c>
      <c r="P141" s="368">
        <f>CS_PID!P141/VLOOKUP($B141,표2[#ALL],2)</f>
        <v>0.003091270319</v>
      </c>
      <c r="Q141" s="368">
        <f>CS_PID!Q141/VLOOKUP($B141,표2[#ALL],2)</f>
        <v>0.004636905478</v>
      </c>
      <c r="R141" s="368">
        <f>CS_PID!R141/VLOOKUP($B141,표2[#ALL],2)</f>
        <v>0.009273810956</v>
      </c>
      <c r="S141" s="368">
        <f>CS_PID!S141/VLOOKUP($B141,표2[#ALL],2)</f>
        <v>0</v>
      </c>
      <c r="T141" s="368">
        <f>CS_PID!T141/VLOOKUP($B141,표2[#ALL],2)</f>
        <v>0</v>
      </c>
      <c r="U141" s="368">
        <f>CS_PID!U141/VLOOKUP($B141,표2[#ALL],2)</f>
        <v>0.001545635159</v>
      </c>
      <c r="V141" s="368">
        <f>CS_PID!V141/VLOOKUP($B141,표2[#ALL],2)</f>
        <v>0.001545635159</v>
      </c>
      <c r="W141" s="368">
        <f>CS_PID!W141/VLOOKUP($B141,표2[#ALL],2)</f>
        <v>0.007728175797</v>
      </c>
      <c r="X141" s="368">
        <f>CS_PID!X141/VLOOKUP($B141,표2[#ALL],2)</f>
        <v>0.009273810956</v>
      </c>
      <c r="Y141" s="368">
        <f>CS_PID!Y141/VLOOKUP($B141,표2[#ALL],2)</f>
        <v>0.001545635159</v>
      </c>
      <c r="Z141" s="368">
        <f>CS_PID!Z141/VLOOKUP($B141,표2[#ALL],2)</f>
        <v>0</v>
      </c>
      <c r="AA141" s="368">
        <f>CS_PID!AA141/VLOOKUP($B141,표2[#ALL],2)</f>
        <v>0</v>
      </c>
      <c r="AB141" s="368">
        <f>CS_PID!AB141/VLOOKUP($B141,표2[#ALL],2)</f>
        <v>0</v>
      </c>
      <c r="AC141" s="368">
        <f>CS_PID!AC141/VLOOKUP($B141,표2[#ALL],2)</f>
        <v>0.001545635159</v>
      </c>
      <c r="AD141" s="368">
        <f>CS_PID!AD141/VLOOKUP($B141,표2[#ALL],2)</f>
        <v>0.006182540638</v>
      </c>
      <c r="AE141" s="368">
        <f>CS_PID!AE141/VLOOKUP($B141,표2[#ALL],2)</f>
        <v>0.001545635159</v>
      </c>
      <c r="AF141" s="368">
        <f>CS_PID!AF141/VLOOKUP($B141,표2[#ALL],2)</f>
        <v>0</v>
      </c>
      <c r="AG141" s="368">
        <f>CS_PID!AG141/VLOOKUP($B141,표2[#ALL],2)</f>
        <v>0</v>
      </c>
      <c r="AH141" s="368">
        <f>CS_PID!AH141/VLOOKUP($B141,표2[#ALL],2)</f>
        <v>0</v>
      </c>
      <c r="AI141" s="368">
        <f>CS_PID!AI141/VLOOKUP($B141,표2[#ALL],2)</f>
        <v>0</v>
      </c>
      <c r="AJ141" s="368">
        <f>CS_PID!AJ141/VLOOKUP($B141,표2[#ALL],2)</f>
        <v>0.02473016255</v>
      </c>
      <c r="AK141" s="368">
        <f>CS_PID!AK141/VLOOKUP($B141,표2[#ALL],2)</f>
        <v>0</v>
      </c>
      <c r="AL141" s="368">
        <f>CS_PID!AL141/VLOOKUP($B141,표2[#ALL],2)</f>
        <v>0</v>
      </c>
      <c r="AM141" s="368">
        <f>CS_PID!AM141/VLOOKUP($B141,표2[#ALL],2)</f>
        <v>0</v>
      </c>
      <c r="AN141" s="368">
        <f>CS_PID!AN141/VLOOKUP($B141,표2[#ALL],2)</f>
        <v>0</v>
      </c>
      <c r="AO141" s="368">
        <f>CS_PID!AO141/VLOOKUP($B141,표2[#ALL],2)</f>
        <v>0.01854762191</v>
      </c>
      <c r="AP141" s="368">
        <f>CS_PID!AP141/VLOOKUP($B141,표2[#ALL],2)</f>
        <v>0.01391071643</v>
      </c>
      <c r="AQ141" s="368">
        <f>CS_PID!AQ141/VLOOKUP($B141,표2[#ALL],2)</f>
        <v>0</v>
      </c>
      <c r="AR141" s="368">
        <f>CS_PID!AR141/VLOOKUP($B141,표2[#ALL],2)</f>
        <v>0</v>
      </c>
      <c r="AS141" s="368">
        <f>CS_PID!AS141/VLOOKUP($B141,표2[#ALL],2)</f>
        <v>0.02009325707</v>
      </c>
    </row>
    <row r="142">
      <c r="A142" s="213" t="s">
        <v>90</v>
      </c>
      <c r="B142" s="214">
        <v>430.0</v>
      </c>
      <c r="C142" s="368">
        <f>CS_PID!C142/VLOOKUP($B142,표2[#ALL],2)</f>
        <v>0</v>
      </c>
      <c r="D142" s="368">
        <f>CS_PID!D142/VLOOKUP($B142,표2[#ALL],2)</f>
        <v>0</v>
      </c>
      <c r="E142" s="368">
        <f>CS_PID!E142/VLOOKUP($B142,표2[#ALL],2)</f>
        <v>0</v>
      </c>
      <c r="F142" s="368">
        <f>CS_PID!F142/VLOOKUP($B142,표2[#ALL],2)</f>
        <v>0.001278231709</v>
      </c>
      <c r="G142" s="368">
        <f>CS_PID!G142/VLOOKUP($B142,표2[#ALL],2)</f>
        <v>0.001278231709</v>
      </c>
      <c r="H142" s="368">
        <f>CS_PID!H142/VLOOKUP($B142,표2[#ALL],2)</f>
        <v>0</v>
      </c>
      <c r="I142" s="368">
        <f>CS_PID!I142/VLOOKUP($B142,표2[#ALL],2)</f>
        <v>0</v>
      </c>
      <c r="J142" s="368">
        <f>CS_PID!J142/VLOOKUP($B142,표2[#ALL],2)</f>
        <v>0.001278231709</v>
      </c>
      <c r="K142" s="368">
        <f>CS_PID!K142/VLOOKUP($B142,표2[#ALL],2)</f>
        <v>0.001278231709</v>
      </c>
      <c r="L142" s="368">
        <f>CS_PID!L142/VLOOKUP($B142,표2[#ALL],2)</f>
        <v>0.003834695128</v>
      </c>
      <c r="M142" s="368">
        <f>CS_PID!M142/VLOOKUP($B142,표2[#ALL],2)</f>
        <v>0</v>
      </c>
      <c r="N142" s="368">
        <f>CS_PID!N142/VLOOKUP($B142,표2[#ALL],2)</f>
        <v>0</v>
      </c>
      <c r="O142" s="368">
        <f>CS_PID!O142/VLOOKUP($B142,표2[#ALL],2)</f>
        <v>0</v>
      </c>
      <c r="P142" s="368">
        <f>CS_PID!P142/VLOOKUP($B142,표2[#ALL],2)</f>
        <v>0</v>
      </c>
      <c r="Q142" s="368">
        <f>CS_PID!Q142/VLOOKUP($B142,표2[#ALL],2)</f>
        <v>0.002556463419</v>
      </c>
      <c r="R142" s="368">
        <f>CS_PID!R142/VLOOKUP($B142,표2[#ALL],2)</f>
        <v>0.002556463419</v>
      </c>
      <c r="S142" s="368">
        <f>CS_PID!S142/VLOOKUP($B142,표2[#ALL],2)</f>
        <v>0.001278231709</v>
      </c>
      <c r="T142" s="368">
        <f>CS_PID!T142/VLOOKUP($B142,표2[#ALL],2)</f>
        <v>0</v>
      </c>
      <c r="U142" s="368">
        <f>CS_PID!U142/VLOOKUP($B142,표2[#ALL],2)</f>
        <v>0</v>
      </c>
      <c r="V142" s="368">
        <f>CS_PID!V142/VLOOKUP($B142,표2[#ALL],2)</f>
        <v>0</v>
      </c>
      <c r="W142" s="368">
        <f>CS_PID!W142/VLOOKUP($B142,표2[#ALL],2)</f>
        <v>0.005112926838</v>
      </c>
      <c r="X142" s="368">
        <f>CS_PID!X142/VLOOKUP($B142,표2[#ALL],2)</f>
        <v>0.01150408538</v>
      </c>
      <c r="Y142" s="368">
        <f>CS_PID!Y142/VLOOKUP($B142,표2[#ALL],2)</f>
        <v>0.002556463419</v>
      </c>
      <c r="Z142" s="368">
        <f>CS_PID!Z142/VLOOKUP($B142,표2[#ALL],2)</f>
        <v>0</v>
      </c>
      <c r="AA142" s="368">
        <f>CS_PID!AA142/VLOOKUP($B142,표2[#ALL],2)</f>
        <v>0</v>
      </c>
      <c r="AB142" s="368">
        <f>CS_PID!AB142/VLOOKUP($B142,표2[#ALL],2)</f>
        <v>0</v>
      </c>
      <c r="AC142" s="368">
        <f>CS_PID!AC142/VLOOKUP($B142,표2[#ALL],2)</f>
        <v>0.003834695128</v>
      </c>
      <c r="AD142" s="368">
        <f>CS_PID!AD142/VLOOKUP($B142,표2[#ALL],2)</f>
        <v>0.006391158547</v>
      </c>
      <c r="AE142" s="368">
        <f>CS_PID!AE142/VLOOKUP($B142,표2[#ALL],2)</f>
        <v>0.006391158547</v>
      </c>
      <c r="AF142" s="368">
        <f>CS_PID!AF142/VLOOKUP($B142,표2[#ALL],2)</f>
        <v>0</v>
      </c>
      <c r="AG142" s="368">
        <f>CS_PID!AG142/VLOOKUP($B142,표2[#ALL],2)</f>
        <v>0</v>
      </c>
      <c r="AH142" s="368">
        <f>CS_PID!AH142/VLOOKUP($B142,표2[#ALL],2)</f>
        <v>0</v>
      </c>
      <c r="AI142" s="368">
        <f>CS_PID!AI142/VLOOKUP($B142,표2[#ALL],2)</f>
        <v>0.001278231709</v>
      </c>
      <c r="AJ142" s="368">
        <f>CS_PID!AJ142/VLOOKUP($B142,표2[#ALL],2)</f>
        <v>0.01278231709</v>
      </c>
      <c r="AK142" s="368">
        <f>CS_PID!AK142/VLOOKUP($B142,표2[#ALL],2)</f>
        <v>0.005112926838</v>
      </c>
      <c r="AL142" s="368">
        <f>CS_PID!AL142/VLOOKUP($B142,표2[#ALL],2)</f>
        <v>0</v>
      </c>
      <c r="AM142" s="368">
        <f>CS_PID!AM142/VLOOKUP($B142,표2[#ALL],2)</f>
        <v>0</v>
      </c>
      <c r="AN142" s="368">
        <f>CS_PID!AN142/VLOOKUP($B142,표2[#ALL],2)</f>
        <v>0</v>
      </c>
      <c r="AO142" s="368">
        <f>CS_PID!AO142/VLOOKUP($B142,표2[#ALL],2)</f>
        <v>0.0268428659</v>
      </c>
      <c r="AP142" s="368">
        <f>CS_PID!AP142/VLOOKUP($B142,표2[#ALL],2)</f>
        <v>0.008947621966</v>
      </c>
      <c r="AQ142" s="368">
        <f>CS_PID!AQ142/VLOOKUP($B142,표2[#ALL],2)</f>
        <v>0</v>
      </c>
      <c r="AR142" s="368">
        <f>CS_PID!AR142/VLOOKUP($B142,표2[#ALL],2)</f>
        <v>0</v>
      </c>
      <c r="AS142" s="368">
        <f>CS_PID!AS142/VLOOKUP($B142,표2[#ALL],2)</f>
        <v>0.02300817077</v>
      </c>
    </row>
    <row r="143">
      <c r="A143" s="213" t="s">
        <v>90</v>
      </c>
      <c r="B143" s="214">
        <v>431.0</v>
      </c>
      <c r="C143" s="368">
        <f>CS_PID!C143/VLOOKUP($B143,표2[#ALL],2)</f>
        <v>0.0008134089125</v>
      </c>
      <c r="D143" s="368">
        <f>CS_PID!D143/VLOOKUP($B143,표2[#ALL],2)</f>
        <v>0.002033522281</v>
      </c>
      <c r="E143" s="368">
        <f>CS_PID!E143/VLOOKUP($B143,표2[#ALL],2)</f>
        <v>0</v>
      </c>
      <c r="F143" s="368">
        <f>CS_PID!F143/VLOOKUP($B143,표2[#ALL],2)</f>
        <v>0.0004067044563</v>
      </c>
      <c r="G143" s="368">
        <f>CS_PID!G143/VLOOKUP($B143,표2[#ALL],2)</f>
        <v>0</v>
      </c>
      <c r="H143" s="368">
        <f>CS_PID!H143/VLOOKUP($B143,표2[#ALL],2)</f>
        <v>0.0004067044563</v>
      </c>
      <c r="I143" s="368">
        <f>CS_PID!I143/VLOOKUP($B143,표2[#ALL],2)</f>
        <v>0.0004067044563</v>
      </c>
      <c r="J143" s="368">
        <f>CS_PID!J143/VLOOKUP($B143,표2[#ALL],2)</f>
        <v>0.001220113369</v>
      </c>
      <c r="K143" s="368">
        <f>CS_PID!K143/VLOOKUP($B143,표2[#ALL],2)</f>
        <v>0.001626817825</v>
      </c>
      <c r="L143" s="368">
        <f>CS_PID!L143/VLOOKUP($B143,표2[#ALL],2)</f>
        <v>0.002440226738</v>
      </c>
      <c r="M143" s="368">
        <f>CS_PID!M143/VLOOKUP($B143,표2[#ALL],2)</f>
        <v>0.0008134089125</v>
      </c>
      <c r="N143" s="368">
        <f>CS_PID!N143/VLOOKUP($B143,표2[#ALL],2)</f>
        <v>0</v>
      </c>
      <c r="O143" s="368">
        <f>CS_PID!O143/VLOOKUP($B143,표2[#ALL],2)</f>
        <v>0</v>
      </c>
      <c r="P143" s="368">
        <f>CS_PID!P143/VLOOKUP($B143,표2[#ALL],2)</f>
        <v>0.0008134089125</v>
      </c>
      <c r="Q143" s="368">
        <f>CS_PID!Q143/VLOOKUP($B143,표2[#ALL],2)</f>
        <v>0.004067044563</v>
      </c>
      <c r="R143" s="368">
        <f>CS_PID!R143/VLOOKUP($B143,표2[#ALL],2)</f>
        <v>0.002846931194</v>
      </c>
      <c r="S143" s="368">
        <f>CS_PID!S143/VLOOKUP($B143,표2[#ALL],2)</f>
        <v>0.001220113369</v>
      </c>
      <c r="T143" s="368">
        <f>CS_PID!T143/VLOOKUP($B143,표2[#ALL],2)</f>
        <v>0</v>
      </c>
      <c r="U143" s="368">
        <f>CS_PID!U143/VLOOKUP($B143,표2[#ALL],2)</f>
        <v>0.0004067044563</v>
      </c>
      <c r="V143" s="368">
        <f>CS_PID!V143/VLOOKUP($B143,표2[#ALL],2)</f>
        <v>0.0004067044563</v>
      </c>
      <c r="W143" s="368">
        <f>CS_PID!W143/VLOOKUP($B143,표2[#ALL],2)</f>
        <v>0.005693862388</v>
      </c>
      <c r="X143" s="368">
        <f>CS_PID!X143/VLOOKUP($B143,표2[#ALL],2)</f>
        <v>0.01382795151</v>
      </c>
      <c r="Y143" s="368">
        <f>CS_PID!Y143/VLOOKUP($B143,표2[#ALL],2)</f>
        <v>0.004473749019</v>
      </c>
      <c r="Z143" s="368">
        <f>CS_PID!Z143/VLOOKUP($B143,표2[#ALL],2)</f>
        <v>0</v>
      </c>
      <c r="AA143" s="368">
        <f>CS_PID!AA143/VLOOKUP($B143,표2[#ALL],2)</f>
        <v>0</v>
      </c>
      <c r="AB143" s="368">
        <f>CS_PID!AB143/VLOOKUP($B143,표2[#ALL],2)</f>
        <v>0</v>
      </c>
      <c r="AC143" s="368">
        <f>CS_PID!AC143/VLOOKUP($B143,표2[#ALL],2)</f>
        <v>0.004067044563</v>
      </c>
      <c r="AD143" s="368">
        <f>CS_PID!AD143/VLOOKUP($B143,표2[#ALL],2)</f>
        <v>0.007727384669</v>
      </c>
      <c r="AE143" s="368">
        <f>CS_PID!AE143/VLOOKUP($B143,표2[#ALL],2)</f>
        <v>0.002033522281</v>
      </c>
      <c r="AF143" s="368">
        <f>CS_PID!AF143/VLOOKUP($B143,표2[#ALL],2)</f>
        <v>0</v>
      </c>
      <c r="AG143" s="368">
        <f>CS_PID!AG143/VLOOKUP($B143,표2[#ALL],2)</f>
        <v>0</v>
      </c>
      <c r="AH143" s="368">
        <f>CS_PID!AH143/VLOOKUP($B143,표2[#ALL],2)</f>
        <v>0</v>
      </c>
      <c r="AI143" s="368">
        <f>CS_PID!AI143/VLOOKUP($B143,표2[#ALL],2)</f>
        <v>0.002033522281</v>
      </c>
      <c r="AJ143" s="368">
        <f>CS_PID!AJ143/VLOOKUP($B143,표2[#ALL],2)</f>
        <v>0.01830170053</v>
      </c>
      <c r="AK143" s="368">
        <f>CS_PID!AK143/VLOOKUP($B143,표2[#ALL],2)</f>
        <v>0.003660340106</v>
      </c>
      <c r="AL143" s="368">
        <f>CS_PID!AL143/VLOOKUP($B143,표2[#ALL],2)</f>
        <v>0</v>
      </c>
      <c r="AM143" s="368">
        <f>CS_PID!AM143/VLOOKUP($B143,표2[#ALL],2)</f>
        <v>0</v>
      </c>
      <c r="AN143" s="368">
        <f>CS_PID!AN143/VLOOKUP($B143,표2[#ALL],2)</f>
        <v>0.0008134089125</v>
      </c>
      <c r="AO143" s="368">
        <f>CS_PID!AO143/VLOOKUP($B143,표2[#ALL],2)</f>
        <v>0.01667488271</v>
      </c>
      <c r="AP143" s="368">
        <f>CS_PID!AP143/VLOOKUP($B143,표2[#ALL],2)</f>
        <v>0.01138772478</v>
      </c>
      <c r="AQ143" s="368">
        <f>CS_PID!AQ143/VLOOKUP($B143,표2[#ALL],2)</f>
        <v>0</v>
      </c>
      <c r="AR143" s="368">
        <f>CS_PID!AR143/VLOOKUP($B143,표2[#ALL],2)</f>
        <v>0.001220113369</v>
      </c>
      <c r="AS143" s="368">
        <f>CS_PID!AS143/VLOOKUP($B143,표2[#ALL],2)</f>
        <v>0.02318215401</v>
      </c>
    </row>
    <row r="144">
      <c r="A144" s="213" t="s">
        <v>90</v>
      </c>
      <c r="B144" s="214">
        <v>433.0</v>
      </c>
      <c r="C144" s="368">
        <f>CS_PID!C144/VLOOKUP($B144,표2[#ALL],2)</f>
        <v>0</v>
      </c>
      <c r="D144" s="368">
        <f>CS_PID!D144/VLOOKUP($B144,표2[#ALL],2)</f>
        <v>0</v>
      </c>
      <c r="E144" s="368">
        <f>CS_PID!E144/VLOOKUP($B144,표2[#ALL],2)</f>
        <v>0.00731550585</v>
      </c>
      <c r="F144" s="368">
        <f>CS_PID!F144/VLOOKUP($B144,표2[#ALL],2)</f>
        <v>0</v>
      </c>
      <c r="G144" s="368">
        <f>CS_PID!G144/VLOOKUP($B144,표2[#ALL],2)</f>
        <v>0</v>
      </c>
      <c r="H144" s="368">
        <f>CS_PID!H144/VLOOKUP($B144,표2[#ALL],2)</f>
        <v>0</v>
      </c>
      <c r="I144" s="368">
        <f>CS_PID!I144/VLOOKUP($B144,표2[#ALL],2)</f>
        <v>0</v>
      </c>
      <c r="J144" s="368">
        <f>CS_PID!J144/VLOOKUP($B144,표2[#ALL],2)</f>
        <v>0</v>
      </c>
      <c r="K144" s="368">
        <f>CS_PID!K144/VLOOKUP($B144,표2[#ALL],2)</f>
        <v>0.003657752925</v>
      </c>
      <c r="L144" s="368">
        <f>CS_PID!L144/VLOOKUP($B144,표2[#ALL],2)</f>
        <v>0</v>
      </c>
      <c r="M144" s="368">
        <f>CS_PID!M144/VLOOKUP($B144,표2[#ALL],2)</f>
        <v>0</v>
      </c>
      <c r="N144" s="368">
        <f>CS_PID!N144/VLOOKUP($B144,표2[#ALL],2)</f>
        <v>0</v>
      </c>
      <c r="O144" s="368">
        <f>CS_PID!O144/VLOOKUP($B144,표2[#ALL],2)</f>
        <v>0</v>
      </c>
      <c r="P144" s="368">
        <f>CS_PID!P144/VLOOKUP($B144,표2[#ALL],2)</f>
        <v>0</v>
      </c>
      <c r="Q144" s="368">
        <f>CS_PID!Q144/VLOOKUP($B144,표2[#ALL],2)</f>
        <v>0.003657752925</v>
      </c>
      <c r="R144" s="368">
        <f>CS_PID!R144/VLOOKUP($B144,표2[#ALL],2)</f>
        <v>0.003657752925</v>
      </c>
      <c r="S144" s="368">
        <f>CS_PID!S144/VLOOKUP($B144,표2[#ALL],2)</f>
        <v>0.00731550585</v>
      </c>
      <c r="T144" s="368">
        <f>CS_PID!T144/VLOOKUP($B144,표2[#ALL],2)</f>
        <v>0</v>
      </c>
      <c r="U144" s="368">
        <f>CS_PID!U144/VLOOKUP($B144,표2[#ALL],2)</f>
        <v>0</v>
      </c>
      <c r="V144" s="368">
        <f>CS_PID!V144/VLOOKUP($B144,표2[#ALL],2)</f>
        <v>0</v>
      </c>
      <c r="W144" s="368">
        <f>CS_PID!W144/VLOOKUP($B144,표2[#ALL],2)</f>
        <v>0.01097325878</v>
      </c>
      <c r="X144" s="368">
        <f>CS_PID!X144/VLOOKUP($B144,표2[#ALL],2)</f>
        <v>0.01097325878</v>
      </c>
      <c r="Y144" s="368">
        <f>CS_PID!Y144/VLOOKUP($B144,표2[#ALL],2)</f>
        <v>0.003657752925</v>
      </c>
      <c r="Z144" s="368">
        <f>CS_PID!Z144/VLOOKUP($B144,표2[#ALL],2)</f>
        <v>0</v>
      </c>
      <c r="AA144" s="368">
        <f>CS_PID!AA144/VLOOKUP($B144,표2[#ALL],2)</f>
        <v>0</v>
      </c>
      <c r="AB144" s="368">
        <f>CS_PID!AB144/VLOOKUP($B144,표2[#ALL],2)</f>
        <v>0.003657752925</v>
      </c>
      <c r="AC144" s="368">
        <f>CS_PID!AC144/VLOOKUP($B144,표2[#ALL],2)</f>
        <v>0.003657752925</v>
      </c>
      <c r="AD144" s="368">
        <f>CS_PID!AD144/VLOOKUP($B144,표2[#ALL],2)</f>
        <v>0.003657752925</v>
      </c>
      <c r="AE144" s="368">
        <f>CS_PID!AE144/VLOOKUP($B144,표2[#ALL],2)</f>
        <v>0</v>
      </c>
      <c r="AF144" s="368">
        <f>CS_PID!AF144/VLOOKUP($B144,표2[#ALL],2)</f>
        <v>0</v>
      </c>
      <c r="AG144" s="368">
        <f>CS_PID!AG144/VLOOKUP($B144,표2[#ALL],2)</f>
        <v>0</v>
      </c>
      <c r="AH144" s="368">
        <f>CS_PID!AH144/VLOOKUP($B144,표2[#ALL],2)</f>
        <v>0</v>
      </c>
      <c r="AI144" s="368">
        <f>CS_PID!AI144/VLOOKUP($B144,표2[#ALL],2)</f>
        <v>0</v>
      </c>
      <c r="AJ144" s="368">
        <f>CS_PID!AJ144/VLOOKUP($B144,표2[#ALL],2)</f>
        <v>0.01828876463</v>
      </c>
      <c r="AK144" s="368">
        <f>CS_PID!AK144/VLOOKUP($B144,표2[#ALL],2)</f>
        <v>0</v>
      </c>
      <c r="AL144" s="368">
        <f>CS_PID!AL144/VLOOKUP($B144,표2[#ALL],2)</f>
        <v>0</v>
      </c>
      <c r="AM144" s="368">
        <f>CS_PID!AM144/VLOOKUP($B144,표2[#ALL],2)</f>
        <v>0</v>
      </c>
      <c r="AN144" s="368">
        <f>CS_PID!AN144/VLOOKUP($B144,표2[#ALL],2)</f>
        <v>0</v>
      </c>
      <c r="AO144" s="368">
        <f>CS_PID!AO144/VLOOKUP($B144,표2[#ALL],2)</f>
        <v>0.01828876463</v>
      </c>
      <c r="AP144" s="368">
        <f>CS_PID!AP144/VLOOKUP($B144,표2[#ALL],2)</f>
        <v>0</v>
      </c>
      <c r="AQ144" s="368">
        <f>CS_PID!AQ144/VLOOKUP($B144,표2[#ALL],2)</f>
        <v>0</v>
      </c>
      <c r="AR144" s="368">
        <f>CS_PID!AR144/VLOOKUP($B144,표2[#ALL],2)</f>
        <v>0</v>
      </c>
      <c r="AS144" s="368">
        <f>CS_PID!AS144/VLOOKUP($B144,표2[#ALL],2)</f>
        <v>0.04023528218</v>
      </c>
    </row>
    <row r="145">
      <c r="A145" s="213" t="s">
        <v>90</v>
      </c>
      <c r="B145" s="214">
        <v>434.0</v>
      </c>
      <c r="C145" s="368">
        <f>CS_PID!C145/VLOOKUP($B145,표2[#ALL],2)</f>
        <v>0</v>
      </c>
      <c r="D145" s="368">
        <f>CS_PID!D145/VLOOKUP($B145,표2[#ALL],2)</f>
        <v>0.00272338291</v>
      </c>
      <c r="E145" s="368">
        <f>CS_PID!E145/VLOOKUP($B145,표2[#ALL],2)</f>
        <v>0</v>
      </c>
      <c r="F145" s="368">
        <f>CS_PID!F145/VLOOKUP($B145,표2[#ALL],2)</f>
        <v>0</v>
      </c>
      <c r="G145" s="368">
        <f>CS_PID!G145/VLOOKUP($B145,표2[#ALL],2)</f>
        <v>0</v>
      </c>
      <c r="H145" s="368">
        <f>CS_PID!H145/VLOOKUP($B145,표2[#ALL],2)</f>
        <v>0.00272338291</v>
      </c>
      <c r="I145" s="368">
        <f>CS_PID!I145/VLOOKUP($B145,표2[#ALL],2)</f>
        <v>0</v>
      </c>
      <c r="J145" s="368">
        <f>CS_PID!J145/VLOOKUP($B145,표2[#ALL],2)</f>
        <v>0</v>
      </c>
      <c r="K145" s="368">
        <f>CS_PID!K145/VLOOKUP($B145,표2[#ALL],2)</f>
        <v>0.00272338291</v>
      </c>
      <c r="L145" s="368">
        <f>CS_PID!L145/VLOOKUP($B145,표2[#ALL],2)</f>
        <v>0.005446765819</v>
      </c>
      <c r="M145" s="368">
        <f>CS_PID!M145/VLOOKUP($B145,표2[#ALL],2)</f>
        <v>0.00272338291</v>
      </c>
      <c r="N145" s="368">
        <f>CS_PID!N145/VLOOKUP($B145,표2[#ALL],2)</f>
        <v>0</v>
      </c>
      <c r="O145" s="368">
        <f>CS_PID!O145/VLOOKUP($B145,표2[#ALL],2)</f>
        <v>0.00272338291</v>
      </c>
      <c r="P145" s="368">
        <f>CS_PID!P145/VLOOKUP($B145,표2[#ALL],2)</f>
        <v>0</v>
      </c>
      <c r="Q145" s="368">
        <f>CS_PID!Q145/VLOOKUP($B145,표2[#ALL],2)</f>
        <v>0.005446765819</v>
      </c>
      <c r="R145" s="368">
        <f>CS_PID!R145/VLOOKUP($B145,표2[#ALL],2)</f>
        <v>0</v>
      </c>
      <c r="S145" s="368">
        <f>CS_PID!S145/VLOOKUP($B145,표2[#ALL],2)</f>
        <v>0.00272338291</v>
      </c>
      <c r="T145" s="368">
        <f>CS_PID!T145/VLOOKUP($B145,표2[#ALL],2)</f>
        <v>0</v>
      </c>
      <c r="U145" s="368">
        <f>CS_PID!U145/VLOOKUP($B145,표2[#ALL],2)</f>
        <v>0</v>
      </c>
      <c r="V145" s="368">
        <f>CS_PID!V145/VLOOKUP($B145,표2[#ALL],2)</f>
        <v>0</v>
      </c>
      <c r="W145" s="368">
        <f>CS_PID!W145/VLOOKUP($B145,표2[#ALL],2)</f>
        <v>0</v>
      </c>
      <c r="X145" s="368">
        <f>CS_PID!X145/VLOOKUP($B145,표2[#ALL],2)</f>
        <v>0.008170148729</v>
      </c>
      <c r="Y145" s="368">
        <f>CS_PID!Y145/VLOOKUP($B145,표2[#ALL],2)</f>
        <v>0</v>
      </c>
      <c r="Z145" s="368">
        <f>CS_PID!Z145/VLOOKUP($B145,표2[#ALL],2)</f>
        <v>0</v>
      </c>
      <c r="AA145" s="368">
        <f>CS_PID!AA145/VLOOKUP($B145,표2[#ALL],2)</f>
        <v>0</v>
      </c>
      <c r="AB145" s="368">
        <f>CS_PID!AB145/VLOOKUP($B145,표2[#ALL],2)</f>
        <v>0</v>
      </c>
      <c r="AC145" s="368">
        <f>CS_PID!AC145/VLOOKUP($B145,표2[#ALL],2)</f>
        <v>0.00272338291</v>
      </c>
      <c r="AD145" s="368">
        <f>CS_PID!AD145/VLOOKUP($B145,표2[#ALL],2)</f>
        <v>0.008170148729</v>
      </c>
      <c r="AE145" s="368">
        <f>CS_PID!AE145/VLOOKUP($B145,표2[#ALL],2)</f>
        <v>0</v>
      </c>
      <c r="AF145" s="368">
        <f>CS_PID!AF145/VLOOKUP($B145,표2[#ALL],2)</f>
        <v>0</v>
      </c>
      <c r="AG145" s="368">
        <f>CS_PID!AG145/VLOOKUP($B145,표2[#ALL],2)</f>
        <v>0</v>
      </c>
      <c r="AH145" s="368">
        <f>CS_PID!AH145/VLOOKUP($B145,표2[#ALL],2)</f>
        <v>0</v>
      </c>
      <c r="AI145" s="368">
        <f>CS_PID!AI145/VLOOKUP($B145,표2[#ALL],2)</f>
        <v>0</v>
      </c>
      <c r="AJ145" s="368">
        <f>CS_PID!AJ145/VLOOKUP($B145,표2[#ALL],2)</f>
        <v>0.02995721201</v>
      </c>
      <c r="AK145" s="368">
        <f>CS_PID!AK145/VLOOKUP($B145,표2[#ALL],2)</f>
        <v>0.005446765819</v>
      </c>
      <c r="AL145" s="368">
        <f>CS_PID!AL145/VLOOKUP($B145,표2[#ALL],2)</f>
        <v>0</v>
      </c>
      <c r="AM145" s="368">
        <f>CS_PID!AM145/VLOOKUP($B145,표2[#ALL],2)</f>
        <v>0</v>
      </c>
      <c r="AN145" s="368">
        <f>CS_PID!AN145/VLOOKUP($B145,표2[#ALL],2)</f>
        <v>0</v>
      </c>
      <c r="AO145" s="368">
        <f>CS_PID!AO145/VLOOKUP($B145,표2[#ALL],2)</f>
        <v>0.01634029746</v>
      </c>
      <c r="AP145" s="368">
        <f>CS_PID!AP145/VLOOKUP($B145,표2[#ALL],2)</f>
        <v>0.01361691455</v>
      </c>
      <c r="AQ145" s="368">
        <f>CS_PID!AQ145/VLOOKUP($B145,표2[#ALL],2)</f>
        <v>0</v>
      </c>
      <c r="AR145" s="368">
        <f>CS_PID!AR145/VLOOKUP($B145,표2[#ALL],2)</f>
        <v>0.00272338291</v>
      </c>
      <c r="AS145" s="368">
        <f>CS_PID!AS145/VLOOKUP($B145,표2[#ALL],2)</f>
        <v>0.02178706328</v>
      </c>
    </row>
    <row r="146">
      <c r="A146" s="213" t="s">
        <v>90</v>
      </c>
      <c r="B146" s="214">
        <v>435.0</v>
      </c>
      <c r="C146" s="368">
        <f>CS_PID!C146/VLOOKUP($B146,표2[#ALL],2)</f>
        <v>0</v>
      </c>
      <c r="D146" s="368">
        <f>CS_PID!D146/VLOOKUP($B146,표2[#ALL],2)</f>
        <v>0.003032225863</v>
      </c>
      <c r="E146" s="368">
        <f>CS_PID!E146/VLOOKUP($B146,표2[#ALL],2)</f>
        <v>0</v>
      </c>
      <c r="F146" s="368">
        <f>CS_PID!F146/VLOOKUP($B146,표2[#ALL],2)</f>
        <v>0</v>
      </c>
      <c r="G146" s="368">
        <f>CS_PID!G146/VLOOKUP($B146,표2[#ALL],2)</f>
        <v>0</v>
      </c>
      <c r="H146" s="368">
        <f>CS_PID!H146/VLOOKUP($B146,표2[#ALL],2)</f>
        <v>0</v>
      </c>
      <c r="I146" s="368">
        <f>CS_PID!I146/VLOOKUP($B146,표2[#ALL],2)</f>
        <v>0</v>
      </c>
      <c r="J146" s="368">
        <f>CS_PID!J146/VLOOKUP($B146,표2[#ALL],2)</f>
        <v>0.001010741954</v>
      </c>
      <c r="K146" s="368">
        <f>CS_PID!K146/VLOOKUP($B146,표2[#ALL],2)</f>
        <v>0.001010741954</v>
      </c>
      <c r="L146" s="368">
        <f>CS_PID!L146/VLOOKUP($B146,표2[#ALL],2)</f>
        <v>0</v>
      </c>
      <c r="M146" s="368">
        <f>CS_PID!M146/VLOOKUP($B146,표2[#ALL],2)</f>
        <v>0</v>
      </c>
      <c r="N146" s="368">
        <f>CS_PID!N146/VLOOKUP($B146,표2[#ALL],2)</f>
        <v>0</v>
      </c>
      <c r="O146" s="368">
        <f>CS_PID!O146/VLOOKUP($B146,표2[#ALL],2)</f>
        <v>0</v>
      </c>
      <c r="P146" s="368">
        <f>CS_PID!P146/VLOOKUP($B146,표2[#ALL],2)</f>
        <v>0</v>
      </c>
      <c r="Q146" s="368">
        <f>CS_PID!Q146/VLOOKUP($B146,표2[#ALL],2)</f>
        <v>0.002021483908</v>
      </c>
      <c r="R146" s="368">
        <f>CS_PID!R146/VLOOKUP($B146,표2[#ALL],2)</f>
        <v>0.003032225863</v>
      </c>
      <c r="S146" s="368">
        <f>CS_PID!S146/VLOOKUP($B146,표2[#ALL],2)</f>
        <v>0</v>
      </c>
      <c r="T146" s="368">
        <f>CS_PID!T146/VLOOKUP($B146,표2[#ALL],2)</f>
        <v>0</v>
      </c>
      <c r="U146" s="368">
        <f>CS_PID!U146/VLOOKUP($B146,표2[#ALL],2)</f>
        <v>0</v>
      </c>
      <c r="V146" s="368">
        <f>CS_PID!V146/VLOOKUP($B146,표2[#ALL],2)</f>
        <v>0.001010741954</v>
      </c>
      <c r="W146" s="368">
        <f>CS_PID!W146/VLOOKUP($B146,표2[#ALL],2)</f>
        <v>0.004042967817</v>
      </c>
      <c r="X146" s="368">
        <f>CS_PID!X146/VLOOKUP($B146,표2[#ALL],2)</f>
        <v>0.009096677588</v>
      </c>
      <c r="Y146" s="368">
        <f>CS_PID!Y146/VLOOKUP($B146,표2[#ALL],2)</f>
        <v>0.002021483908</v>
      </c>
      <c r="Z146" s="368">
        <f>CS_PID!Z146/VLOOKUP($B146,표2[#ALL],2)</f>
        <v>0</v>
      </c>
      <c r="AA146" s="368">
        <f>CS_PID!AA146/VLOOKUP($B146,표2[#ALL],2)</f>
        <v>0</v>
      </c>
      <c r="AB146" s="368">
        <f>CS_PID!AB146/VLOOKUP($B146,표2[#ALL],2)</f>
        <v>0</v>
      </c>
      <c r="AC146" s="368">
        <f>CS_PID!AC146/VLOOKUP($B146,표2[#ALL],2)</f>
        <v>0.005053709771</v>
      </c>
      <c r="AD146" s="368">
        <f>CS_PID!AD146/VLOOKUP($B146,표2[#ALL],2)</f>
        <v>0.01313964541</v>
      </c>
      <c r="AE146" s="368">
        <f>CS_PID!AE146/VLOOKUP($B146,표2[#ALL],2)</f>
        <v>0.005053709771</v>
      </c>
      <c r="AF146" s="368">
        <f>CS_PID!AF146/VLOOKUP($B146,표2[#ALL],2)</f>
        <v>0</v>
      </c>
      <c r="AG146" s="368">
        <f>CS_PID!AG146/VLOOKUP($B146,표2[#ALL],2)</f>
        <v>0</v>
      </c>
      <c r="AH146" s="368">
        <f>CS_PID!AH146/VLOOKUP($B146,표2[#ALL],2)</f>
        <v>0</v>
      </c>
      <c r="AI146" s="368">
        <f>CS_PID!AI146/VLOOKUP($B146,표2[#ALL],2)</f>
        <v>0.002021483908</v>
      </c>
      <c r="AJ146" s="368">
        <f>CS_PID!AJ146/VLOOKUP($B146,표2[#ALL],2)</f>
        <v>0.01617187127</v>
      </c>
      <c r="AK146" s="368">
        <f>CS_PID!AK146/VLOOKUP($B146,표2[#ALL],2)</f>
        <v>0.001010741954</v>
      </c>
      <c r="AL146" s="368">
        <f>CS_PID!AL146/VLOOKUP($B146,표2[#ALL],2)</f>
        <v>0</v>
      </c>
      <c r="AM146" s="368">
        <f>CS_PID!AM146/VLOOKUP($B146,표2[#ALL],2)</f>
        <v>0</v>
      </c>
      <c r="AN146" s="368">
        <f>CS_PID!AN146/VLOOKUP($B146,표2[#ALL],2)</f>
        <v>0.001010741954</v>
      </c>
      <c r="AO146" s="368">
        <f>CS_PID!AO146/VLOOKUP($B146,표2[#ALL],2)</f>
        <v>0.01313964541</v>
      </c>
      <c r="AP146" s="368">
        <f>CS_PID!AP146/VLOOKUP($B146,표2[#ALL],2)</f>
        <v>0.0111181615</v>
      </c>
      <c r="AQ146" s="368">
        <f>CS_PID!AQ146/VLOOKUP($B146,표2[#ALL],2)</f>
        <v>0</v>
      </c>
      <c r="AR146" s="368">
        <f>CS_PID!AR146/VLOOKUP($B146,표2[#ALL],2)</f>
        <v>0.004042967817</v>
      </c>
      <c r="AS146" s="368">
        <f>CS_PID!AS146/VLOOKUP($B146,표2[#ALL],2)</f>
        <v>0.0242578069</v>
      </c>
    </row>
    <row r="147">
      <c r="A147" s="213" t="s">
        <v>90</v>
      </c>
      <c r="B147" s="214">
        <v>436.0</v>
      </c>
      <c r="C147" s="368">
        <f>CS_PID!C147/VLOOKUP($B147,표2[#ALL],2)</f>
        <v>0</v>
      </c>
      <c r="D147" s="368">
        <f>CS_PID!D147/VLOOKUP($B147,표2[#ALL],2)</f>
        <v>0</v>
      </c>
      <c r="E147" s="368">
        <f>CS_PID!E147/VLOOKUP($B147,표2[#ALL],2)</f>
        <v>0</v>
      </c>
      <c r="F147" s="368">
        <f>CS_PID!F147/VLOOKUP($B147,표2[#ALL],2)</f>
        <v>0.02103242907</v>
      </c>
      <c r="G147" s="368">
        <f>CS_PID!G147/VLOOKUP($B147,표2[#ALL],2)</f>
        <v>0</v>
      </c>
      <c r="H147" s="368">
        <f>CS_PID!H147/VLOOKUP($B147,표2[#ALL],2)</f>
        <v>0</v>
      </c>
      <c r="I147" s="368">
        <f>CS_PID!I147/VLOOKUP($B147,표2[#ALL],2)</f>
        <v>0</v>
      </c>
      <c r="J147" s="368">
        <f>CS_PID!J147/VLOOKUP($B147,표2[#ALL],2)</f>
        <v>0</v>
      </c>
      <c r="K147" s="368">
        <f>CS_PID!K147/VLOOKUP($B147,표2[#ALL],2)</f>
        <v>0</v>
      </c>
      <c r="L147" s="368">
        <f>CS_PID!L147/VLOOKUP($B147,표2[#ALL],2)</f>
        <v>0</v>
      </c>
      <c r="M147" s="368">
        <f>CS_PID!M147/VLOOKUP($B147,표2[#ALL],2)</f>
        <v>0</v>
      </c>
      <c r="N147" s="368">
        <f>CS_PID!N147/VLOOKUP($B147,표2[#ALL],2)</f>
        <v>0</v>
      </c>
      <c r="O147" s="368">
        <f>CS_PID!O147/VLOOKUP($B147,표2[#ALL],2)</f>
        <v>0</v>
      </c>
      <c r="P147" s="368">
        <f>CS_PID!P147/VLOOKUP($B147,표2[#ALL],2)</f>
        <v>0</v>
      </c>
      <c r="Q147" s="368">
        <f>CS_PID!Q147/VLOOKUP($B147,표2[#ALL],2)</f>
        <v>0.02103242907</v>
      </c>
      <c r="R147" s="368">
        <f>CS_PID!R147/VLOOKUP($B147,표2[#ALL],2)</f>
        <v>0.02103242907</v>
      </c>
      <c r="S147" s="368">
        <f>CS_PID!S147/VLOOKUP($B147,표2[#ALL],2)</f>
        <v>0</v>
      </c>
      <c r="T147" s="368">
        <f>CS_PID!T147/VLOOKUP($B147,표2[#ALL],2)</f>
        <v>0</v>
      </c>
      <c r="U147" s="368">
        <f>CS_PID!U147/VLOOKUP($B147,표2[#ALL],2)</f>
        <v>0</v>
      </c>
      <c r="V147" s="368">
        <f>CS_PID!V147/VLOOKUP($B147,표2[#ALL],2)</f>
        <v>0</v>
      </c>
      <c r="W147" s="368">
        <f>CS_PID!W147/VLOOKUP($B147,표2[#ALL],2)</f>
        <v>0</v>
      </c>
      <c r="X147" s="368">
        <f>CS_PID!X147/VLOOKUP($B147,표2[#ALL],2)</f>
        <v>0.02103242907</v>
      </c>
      <c r="Y147" s="368">
        <f>CS_PID!Y147/VLOOKUP($B147,표2[#ALL],2)</f>
        <v>0.02103242907</v>
      </c>
      <c r="Z147" s="368">
        <f>CS_PID!Z147/VLOOKUP($B147,표2[#ALL],2)</f>
        <v>0</v>
      </c>
      <c r="AA147" s="368">
        <f>CS_PID!AA147/VLOOKUP($B147,표2[#ALL],2)</f>
        <v>0</v>
      </c>
      <c r="AB147" s="368">
        <f>CS_PID!AB147/VLOOKUP($B147,표2[#ALL],2)</f>
        <v>0</v>
      </c>
      <c r="AC147" s="368">
        <f>CS_PID!AC147/VLOOKUP($B147,표2[#ALL],2)</f>
        <v>0.02103242907</v>
      </c>
      <c r="AD147" s="368">
        <f>CS_PID!AD147/VLOOKUP($B147,표2[#ALL],2)</f>
        <v>0</v>
      </c>
      <c r="AE147" s="368">
        <f>CS_PID!AE147/VLOOKUP($B147,표2[#ALL],2)</f>
        <v>0.02103242907</v>
      </c>
      <c r="AF147" s="368">
        <f>CS_PID!AF147/VLOOKUP($B147,표2[#ALL],2)</f>
        <v>0</v>
      </c>
      <c r="AG147" s="368">
        <f>CS_PID!AG147/VLOOKUP($B147,표2[#ALL],2)</f>
        <v>0</v>
      </c>
      <c r="AH147" s="368">
        <f>CS_PID!AH147/VLOOKUP($B147,표2[#ALL],2)</f>
        <v>0</v>
      </c>
      <c r="AI147" s="368">
        <f>CS_PID!AI147/VLOOKUP($B147,표2[#ALL],2)</f>
        <v>0</v>
      </c>
      <c r="AJ147" s="368">
        <f>CS_PID!AJ147/VLOOKUP($B147,표2[#ALL],2)</f>
        <v>0.02103242907</v>
      </c>
      <c r="AK147" s="368">
        <f>CS_PID!AK147/VLOOKUP($B147,표2[#ALL],2)</f>
        <v>0</v>
      </c>
      <c r="AL147" s="368">
        <f>CS_PID!AL147/VLOOKUP($B147,표2[#ALL],2)</f>
        <v>0</v>
      </c>
      <c r="AM147" s="368">
        <f>CS_PID!AM147/VLOOKUP($B147,표2[#ALL],2)</f>
        <v>0</v>
      </c>
      <c r="AN147" s="368">
        <f>CS_PID!AN147/VLOOKUP($B147,표2[#ALL],2)</f>
        <v>0</v>
      </c>
      <c r="AO147" s="368">
        <f>CS_PID!AO147/VLOOKUP($B147,표2[#ALL],2)</f>
        <v>0</v>
      </c>
      <c r="AP147" s="368">
        <f>CS_PID!AP147/VLOOKUP($B147,표2[#ALL],2)</f>
        <v>0</v>
      </c>
      <c r="AQ147" s="368">
        <f>CS_PID!AQ147/VLOOKUP($B147,표2[#ALL],2)</f>
        <v>0</v>
      </c>
      <c r="AR147" s="368">
        <f>CS_PID!AR147/VLOOKUP($B147,표2[#ALL],2)</f>
        <v>0</v>
      </c>
      <c r="AS147" s="368">
        <f>CS_PID!AS147/VLOOKUP($B147,표2[#ALL],2)</f>
        <v>0.02103242907</v>
      </c>
    </row>
    <row r="148">
      <c r="A148" s="213" t="s">
        <v>90</v>
      </c>
      <c r="B148" s="214">
        <v>437.0</v>
      </c>
      <c r="C148" s="368">
        <f>CS_PID!C148/VLOOKUP($B148,표2[#ALL],2)</f>
        <v>0</v>
      </c>
      <c r="D148" s="368">
        <f>CS_PID!D148/VLOOKUP($B148,표2[#ALL],2)</f>
        <v>0</v>
      </c>
      <c r="E148" s="368">
        <f>CS_PID!E148/VLOOKUP($B148,표2[#ALL],2)</f>
        <v>0</v>
      </c>
      <c r="F148" s="368">
        <f>CS_PID!F148/VLOOKUP($B148,표2[#ALL],2)</f>
        <v>0</v>
      </c>
      <c r="G148" s="368">
        <f>CS_PID!G148/VLOOKUP($B148,표2[#ALL],2)</f>
        <v>0</v>
      </c>
      <c r="H148" s="368">
        <f>CS_PID!H148/VLOOKUP($B148,표2[#ALL],2)</f>
        <v>0</v>
      </c>
      <c r="I148" s="368">
        <f>CS_PID!I148/VLOOKUP($B148,표2[#ALL],2)</f>
        <v>0</v>
      </c>
      <c r="J148" s="368">
        <f>CS_PID!J148/VLOOKUP($B148,표2[#ALL],2)</f>
        <v>0.002160573694</v>
      </c>
      <c r="K148" s="368">
        <f>CS_PID!K148/VLOOKUP($B148,표2[#ALL],2)</f>
        <v>0.004321147389</v>
      </c>
      <c r="L148" s="368">
        <f>CS_PID!L148/VLOOKUP($B148,표2[#ALL],2)</f>
        <v>0.004321147389</v>
      </c>
      <c r="M148" s="368">
        <f>CS_PID!M148/VLOOKUP($B148,표2[#ALL],2)</f>
        <v>0</v>
      </c>
      <c r="N148" s="368">
        <f>CS_PID!N148/VLOOKUP($B148,표2[#ALL],2)</f>
        <v>0</v>
      </c>
      <c r="O148" s="368">
        <f>CS_PID!O148/VLOOKUP($B148,표2[#ALL],2)</f>
        <v>0</v>
      </c>
      <c r="P148" s="368">
        <f>CS_PID!P148/VLOOKUP($B148,표2[#ALL],2)</f>
        <v>0</v>
      </c>
      <c r="Q148" s="368">
        <f>CS_PID!Q148/VLOOKUP($B148,표2[#ALL],2)</f>
        <v>0.002160573694</v>
      </c>
      <c r="R148" s="368">
        <f>CS_PID!R148/VLOOKUP($B148,표2[#ALL],2)</f>
        <v>0.002160573694</v>
      </c>
      <c r="S148" s="368">
        <f>CS_PID!S148/VLOOKUP($B148,표2[#ALL],2)</f>
        <v>0.002160573694</v>
      </c>
      <c r="T148" s="368">
        <f>CS_PID!T148/VLOOKUP($B148,표2[#ALL],2)</f>
        <v>0</v>
      </c>
      <c r="U148" s="368">
        <f>CS_PID!U148/VLOOKUP($B148,표2[#ALL],2)</f>
        <v>0</v>
      </c>
      <c r="V148" s="368">
        <f>CS_PID!V148/VLOOKUP($B148,표2[#ALL],2)</f>
        <v>0</v>
      </c>
      <c r="W148" s="368">
        <f>CS_PID!W148/VLOOKUP($B148,표2[#ALL],2)</f>
        <v>0.004321147389</v>
      </c>
      <c r="X148" s="368">
        <f>CS_PID!X148/VLOOKUP($B148,표2[#ALL],2)</f>
        <v>0.01080286847</v>
      </c>
      <c r="Y148" s="368">
        <f>CS_PID!Y148/VLOOKUP($B148,표2[#ALL],2)</f>
        <v>0.002160573694</v>
      </c>
      <c r="Z148" s="368">
        <f>CS_PID!Z148/VLOOKUP($B148,표2[#ALL],2)</f>
        <v>0</v>
      </c>
      <c r="AA148" s="368">
        <f>CS_PID!AA148/VLOOKUP($B148,표2[#ALL],2)</f>
        <v>0</v>
      </c>
      <c r="AB148" s="368">
        <f>CS_PID!AB148/VLOOKUP($B148,표2[#ALL],2)</f>
        <v>0</v>
      </c>
      <c r="AC148" s="368">
        <f>CS_PID!AC148/VLOOKUP($B148,표2[#ALL],2)</f>
        <v>0</v>
      </c>
      <c r="AD148" s="368">
        <f>CS_PID!AD148/VLOOKUP($B148,표2[#ALL],2)</f>
        <v>0.004321147389</v>
      </c>
      <c r="AE148" s="368">
        <f>CS_PID!AE148/VLOOKUP($B148,표2[#ALL],2)</f>
        <v>0.004321147389</v>
      </c>
      <c r="AF148" s="368">
        <f>CS_PID!AF148/VLOOKUP($B148,표2[#ALL],2)</f>
        <v>0</v>
      </c>
      <c r="AG148" s="368">
        <f>CS_PID!AG148/VLOOKUP($B148,표2[#ALL],2)</f>
        <v>0</v>
      </c>
      <c r="AH148" s="368">
        <f>CS_PID!AH148/VLOOKUP($B148,표2[#ALL],2)</f>
        <v>0</v>
      </c>
      <c r="AI148" s="368">
        <f>CS_PID!AI148/VLOOKUP($B148,표2[#ALL],2)</f>
        <v>0.002160573694</v>
      </c>
      <c r="AJ148" s="368">
        <f>CS_PID!AJ148/VLOOKUP($B148,표2[#ALL],2)</f>
        <v>0.01728458955</v>
      </c>
      <c r="AK148" s="368">
        <f>CS_PID!AK148/VLOOKUP($B148,표2[#ALL],2)</f>
        <v>0.004321147389</v>
      </c>
      <c r="AL148" s="368">
        <f>CS_PID!AL148/VLOOKUP($B148,표2[#ALL],2)</f>
        <v>0</v>
      </c>
      <c r="AM148" s="368">
        <f>CS_PID!AM148/VLOOKUP($B148,표2[#ALL],2)</f>
        <v>0</v>
      </c>
      <c r="AN148" s="368">
        <f>CS_PID!AN148/VLOOKUP($B148,표2[#ALL],2)</f>
        <v>0</v>
      </c>
      <c r="AO148" s="368">
        <f>CS_PID!AO148/VLOOKUP($B148,표2[#ALL],2)</f>
        <v>0.02376631064</v>
      </c>
      <c r="AP148" s="368">
        <f>CS_PID!AP148/VLOOKUP($B148,표2[#ALL],2)</f>
        <v>0.01944516325</v>
      </c>
      <c r="AQ148" s="368">
        <f>CS_PID!AQ148/VLOOKUP($B148,표2[#ALL],2)</f>
        <v>0</v>
      </c>
      <c r="AR148" s="368">
        <f>CS_PID!AR148/VLOOKUP($B148,표2[#ALL],2)</f>
        <v>0</v>
      </c>
      <c r="AS148" s="368">
        <f>CS_PID!AS148/VLOOKUP($B148,표2[#ALL],2)</f>
        <v>0.01728458955</v>
      </c>
    </row>
    <row r="149">
      <c r="A149" s="213" t="s">
        <v>90</v>
      </c>
      <c r="B149" s="214">
        <v>438.0</v>
      </c>
      <c r="C149" s="368">
        <f>CS_PID!C149/VLOOKUP($B149,표2[#ALL],2)</f>
        <v>0.003531768894</v>
      </c>
      <c r="D149" s="368">
        <f>CS_PID!D149/VLOOKUP($B149,표2[#ALL],2)</f>
        <v>0</v>
      </c>
      <c r="E149" s="368">
        <f>CS_PID!E149/VLOOKUP($B149,표2[#ALL],2)</f>
        <v>0</v>
      </c>
      <c r="F149" s="368">
        <f>CS_PID!F149/VLOOKUP($B149,표2[#ALL],2)</f>
        <v>0</v>
      </c>
      <c r="G149" s="368">
        <f>CS_PID!G149/VLOOKUP($B149,표2[#ALL],2)</f>
        <v>0</v>
      </c>
      <c r="H149" s="368">
        <f>CS_PID!H149/VLOOKUP($B149,표2[#ALL],2)</f>
        <v>0</v>
      </c>
      <c r="I149" s="368">
        <f>CS_PID!I149/VLOOKUP($B149,표2[#ALL],2)</f>
        <v>0</v>
      </c>
      <c r="J149" s="368">
        <f>CS_PID!J149/VLOOKUP($B149,표2[#ALL],2)</f>
        <v>0</v>
      </c>
      <c r="K149" s="368">
        <f>CS_PID!K149/VLOOKUP($B149,표2[#ALL],2)</f>
        <v>0.001765884447</v>
      </c>
      <c r="L149" s="368">
        <f>CS_PID!L149/VLOOKUP($B149,표2[#ALL],2)</f>
        <v>0.005297653341</v>
      </c>
      <c r="M149" s="368">
        <f>CS_PID!M149/VLOOKUP($B149,표2[#ALL],2)</f>
        <v>0</v>
      </c>
      <c r="N149" s="368">
        <f>CS_PID!N149/VLOOKUP($B149,표2[#ALL],2)</f>
        <v>0</v>
      </c>
      <c r="O149" s="368">
        <f>CS_PID!O149/VLOOKUP($B149,표2[#ALL],2)</f>
        <v>0</v>
      </c>
      <c r="P149" s="368">
        <f>CS_PID!P149/VLOOKUP($B149,표2[#ALL],2)</f>
        <v>0.001765884447</v>
      </c>
      <c r="Q149" s="368">
        <f>CS_PID!Q149/VLOOKUP($B149,표2[#ALL],2)</f>
        <v>0.005297653341</v>
      </c>
      <c r="R149" s="368">
        <f>CS_PID!R149/VLOOKUP($B149,표2[#ALL],2)</f>
        <v>0.005297653341</v>
      </c>
      <c r="S149" s="368">
        <f>CS_PID!S149/VLOOKUP($B149,표2[#ALL],2)</f>
        <v>0.001765884447</v>
      </c>
      <c r="T149" s="368">
        <f>CS_PID!T149/VLOOKUP($B149,표2[#ALL],2)</f>
        <v>0</v>
      </c>
      <c r="U149" s="368">
        <f>CS_PID!U149/VLOOKUP($B149,표2[#ALL],2)</f>
        <v>0</v>
      </c>
      <c r="V149" s="368">
        <f>CS_PID!V149/VLOOKUP($B149,표2[#ALL],2)</f>
        <v>0</v>
      </c>
      <c r="W149" s="368">
        <f>CS_PID!W149/VLOOKUP($B149,표2[#ALL],2)</f>
        <v>0.005297653341</v>
      </c>
      <c r="X149" s="368">
        <f>CS_PID!X149/VLOOKUP($B149,표2[#ALL],2)</f>
        <v>0.007063537789</v>
      </c>
      <c r="Y149" s="368">
        <f>CS_PID!Y149/VLOOKUP($B149,표2[#ALL],2)</f>
        <v>0.005297653341</v>
      </c>
      <c r="Z149" s="368">
        <f>CS_PID!Z149/VLOOKUP($B149,표2[#ALL],2)</f>
        <v>0</v>
      </c>
      <c r="AA149" s="368">
        <f>CS_PID!AA149/VLOOKUP($B149,표2[#ALL],2)</f>
        <v>0</v>
      </c>
      <c r="AB149" s="368">
        <f>CS_PID!AB149/VLOOKUP($B149,표2[#ALL],2)</f>
        <v>0</v>
      </c>
      <c r="AC149" s="368">
        <f>CS_PID!AC149/VLOOKUP($B149,표2[#ALL],2)</f>
        <v>0.01059530668</v>
      </c>
      <c r="AD149" s="368">
        <f>CS_PID!AD149/VLOOKUP($B149,표2[#ALL],2)</f>
        <v>0.007063537789</v>
      </c>
      <c r="AE149" s="368">
        <f>CS_PID!AE149/VLOOKUP($B149,표2[#ALL],2)</f>
        <v>0.007063537789</v>
      </c>
      <c r="AF149" s="368">
        <f>CS_PID!AF149/VLOOKUP($B149,표2[#ALL],2)</f>
        <v>0</v>
      </c>
      <c r="AG149" s="368">
        <f>CS_PID!AG149/VLOOKUP($B149,표2[#ALL],2)</f>
        <v>0</v>
      </c>
      <c r="AH149" s="368">
        <f>CS_PID!AH149/VLOOKUP($B149,표2[#ALL],2)</f>
        <v>0</v>
      </c>
      <c r="AI149" s="368">
        <f>CS_PID!AI149/VLOOKUP($B149,표2[#ALL],2)</f>
        <v>0</v>
      </c>
      <c r="AJ149" s="368">
        <f>CS_PID!AJ149/VLOOKUP($B149,표2[#ALL],2)</f>
        <v>0.01236119113</v>
      </c>
      <c r="AK149" s="368">
        <f>CS_PID!AK149/VLOOKUP($B149,표2[#ALL],2)</f>
        <v>0.008829422236</v>
      </c>
      <c r="AL149" s="368">
        <f>CS_PID!AL149/VLOOKUP($B149,표2[#ALL],2)</f>
        <v>0</v>
      </c>
      <c r="AM149" s="368">
        <f>CS_PID!AM149/VLOOKUP($B149,표2[#ALL],2)</f>
        <v>0</v>
      </c>
      <c r="AN149" s="368">
        <f>CS_PID!AN149/VLOOKUP($B149,표2[#ALL],2)</f>
        <v>0</v>
      </c>
      <c r="AO149" s="368">
        <f>CS_PID!AO149/VLOOKUP($B149,표2[#ALL],2)</f>
        <v>0.01236119113</v>
      </c>
      <c r="AP149" s="368">
        <f>CS_PID!AP149/VLOOKUP($B149,표2[#ALL],2)</f>
        <v>0.01412707558</v>
      </c>
      <c r="AQ149" s="368">
        <f>CS_PID!AQ149/VLOOKUP($B149,표2[#ALL],2)</f>
        <v>0</v>
      </c>
      <c r="AR149" s="368">
        <f>CS_PID!AR149/VLOOKUP($B149,표2[#ALL],2)</f>
        <v>0</v>
      </c>
      <c r="AS149" s="368">
        <f>CS_PID!AS149/VLOOKUP($B149,표2[#ALL],2)</f>
        <v>0.01765884447</v>
      </c>
    </row>
    <row r="150">
      <c r="A150" s="213" t="s">
        <v>90</v>
      </c>
      <c r="B150" s="214">
        <v>439.0</v>
      </c>
      <c r="C150" s="368">
        <f>CS_PID!C150/VLOOKUP($B150,표2[#ALL],2)</f>
        <v>0</v>
      </c>
      <c r="D150" s="368">
        <f>CS_PID!D150/VLOOKUP($B150,표2[#ALL],2)</f>
        <v>0.003995904278</v>
      </c>
      <c r="E150" s="368">
        <f>CS_PID!E150/VLOOKUP($B150,표2[#ALL],2)</f>
        <v>0.002996928209</v>
      </c>
      <c r="F150" s="368">
        <f>CS_PID!F150/VLOOKUP($B150,표2[#ALL],2)</f>
        <v>0</v>
      </c>
      <c r="G150" s="368">
        <f>CS_PID!G150/VLOOKUP($B150,표2[#ALL],2)</f>
        <v>0</v>
      </c>
      <c r="H150" s="368">
        <f>CS_PID!H150/VLOOKUP($B150,표2[#ALL],2)</f>
        <v>0</v>
      </c>
      <c r="I150" s="368">
        <f>CS_PID!I150/VLOOKUP($B150,표2[#ALL],2)</f>
        <v>0</v>
      </c>
      <c r="J150" s="368">
        <f>CS_PID!J150/VLOOKUP($B150,표2[#ALL],2)</f>
        <v>0.0009989760695</v>
      </c>
      <c r="K150" s="368">
        <f>CS_PID!K150/VLOOKUP($B150,표2[#ALL],2)</f>
        <v>0.001997952139</v>
      </c>
      <c r="L150" s="368">
        <f>CS_PID!L150/VLOOKUP($B150,표2[#ALL],2)</f>
        <v>0.0009989760695</v>
      </c>
      <c r="M150" s="368">
        <f>CS_PID!M150/VLOOKUP($B150,표2[#ALL],2)</f>
        <v>0</v>
      </c>
      <c r="N150" s="368">
        <f>CS_PID!N150/VLOOKUP($B150,표2[#ALL],2)</f>
        <v>0</v>
      </c>
      <c r="O150" s="368">
        <f>CS_PID!O150/VLOOKUP($B150,표2[#ALL],2)</f>
        <v>0</v>
      </c>
      <c r="P150" s="368">
        <f>CS_PID!P150/VLOOKUP($B150,표2[#ALL],2)</f>
        <v>0</v>
      </c>
      <c r="Q150" s="368">
        <f>CS_PID!Q150/VLOOKUP($B150,표2[#ALL],2)</f>
        <v>0.003995904278</v>
      </c>
      <c r="R150" s="368">
        <f>CS_PID!R150/VLOOKUP($B150,표2[#ALL],2)</f>
        <v>0.002996928209</v>
      </c>
      <c r="S150" s="368">
        <f>CS_PID!S150/VLOOKUP($B150,표2[#ALL],2)</f>
        <v>0.001997952139</v>
      </c>
      <c r="T150" s="368">
        <f>CS_PID!T150/VLOOKUP($B150,표2[#ALL],2)</f>
        <v>0</v>
      </c>
      <c r="U150" s="368">
        <f>CS_PID!U150/VLOOKUP($B150,표2[#ALL],2)</f>
        <v>0</v>
      </c>
      <c r="V150" s="368">
        <f>CS_PID!V150/VLOOKUP($B150,표2[#ALL],2)</f>
        <v>0</v>
      </c>
      <c r="W150" s="368">
        <f>CS_PID!W150/VLOOKUP($B150,표2[#ALL],2)</f>
        <v>0.003995904278</v>
      </c>
      <c r="X150" s="368">
        <f>CS_PID!X150/VLOOKUP($B150,표2[#ALL],2)</f>
        <v>0.008990784626</v>
      </c>
      <c r="Y150" s="368">
        <f>CS_PID!Y150/VLOOKUP($B150,표2[#ALL],2)</f>
        <v>0.001997952139</v>
      </c>
      <c r="Z150" s="368">
        <f>CS_PID!Z150/VLOOKUP($B150,표2[#ALL],2)</f>
        <v>0</v>
      </c>
      <c r="AA150" s="368">
        <f>CS_PID!AA150/VLOOKUP($B150,표2[#ALL],2)</f>
        <v>0</v>
      </c>
      <c r="AB150" s="368">
        <f>CS_PID!AB150/VLOOKUP($B150,표2[#ALL],2)</f>
        <v>0.0009989760695</v>
      </c>
      <c r="AC150" s="368">
        <f>CS_PID!AC150/VLOOKUP($B150,표2[#ALL],2)</f>
        <v>0.004994880348</v>
      </c>
      <c r="AD150" s="368">
        <f>CS_PID!AD150/VLOOKUP($B150,표2[#ALL],2)</f>
        <v>0.003995904278</v>
      </c>
      <c r="AE150" s="368">
        <f>CS_PID!AE150/VLOOKUP($B150,표2[#ALL],2)</f>
        <v>0.001997952139</v>
      </c>
      <c r="AF150" s="368">
        <f>CS_PID!AF150/VLOOKUP($B150,표2[#ALL],2)</f>
        <v>0</v>
      </c>
      <c r="AG150" s="368">
        <f>CS_PID!AG150/VLOOKUP($B150,표2[#ALL],2)</f>
        <v>0</v>
      </c>
      <c r="AH150" s="368">
        <f>CS_PID!AH150/VLOOKUP($B150,표2[#ALL],2)</f>
        <v>0</v>
      </c>
      <c r="AI150" s="368">
        <f>CS_PID!AI150/VLOOKUP($B150,표2[#ALL],2)</f>
        <v>0.001997952139</v>
      </c>
      <c r="AJ150" s="368">
        <f>CS_PID!AJ150/VLOOKUP($B150,표2[#ALL],2)</f>
        <v>0.01798156925</v>
      </c>
      <c r="AK150" s="368">
        <f>CS_PID!AK150/VLOOKUP($B150,표2[#ALL],2)</f>
        <v>0.002996928209</v>
      </c>
      <c r="AL150" s="368">
        <f>CS_PID!AL150/VLOOKUP($B150,표2[#ALL],2)</f>
        <v>0</v>
      </c>
      <c r="AM150" s="368">
        <f>CS_PID!AM150/VLOOKUP($B150,표2[#ALL],2)</f>
        <v>0</v>
      </c>
      <c r="AN150" s="368">
        <f>CS_PID!AN150/VLOOKUP($B150,표2[#ALL],2)</f>
        <v>0.001997952139</v>
      </c>
      <c r="AO150" s="368">
        <f>CS_PID!AO150/VLOOKUP($B150,표2[#ALL],2)</f>
        <v>0.01898054532</v>
      </c>
      <c r="AP150" s="368">
        <f>CS_PID!AP150/VLOOKUP($B150,표2[#ALL],2)</f>
        <v>0.01398566497</v>
      </c>
      <c r="AQ150" s="368">
        <f>CS_PID!AQ150/VLOOKUP($B150,표2[#ALL],2)</f>
        <v>0</v>
      </c>
      <c r="AR150" s="368">
        <f>CS_PID!AR150/VLOOKUP($B150,표2[#ALL],2)</f>
        <v>0</v>
      </c>
      <c r="AS150" s="368">
        <f>CS_PID!AS150/VLOOKUP($B150,표2[#ALL],2)</f>
        <v>0.01698259318</v>
      </c>
    </row>
    <row r="151">
      <c r="A151" s="217" t="s">
        <v>90</v>
      </c>
      <c r="B151" s="218">
        <v>440.0</v>
      </c>
      <c r="C151" s="369">
        <f>CS_PID!C151/VLOOKUP($B151,표2[#ALL],2)</f>
        <v>0</v>
      </c>
      <c r="D151" s="369">
        <f>CS_PID!D151/VLOOKUP($B151,표2[#ALL],2)</f>
        <v>0.003114383152</v>
      </c>
      <c r="E151" s="369">
        <f>CS_PID!E151/VLOOKUP($B151,표2[#ALL],2)</f>
        <v>0</v>
      </c>
      <c r="F151" s="369">
        <f>CS_PID!F151/VLOOKUP($B151,표2[#ALL],2)</f>
        <v>0</v>
      </c>
      <c r="G151" s="369">
        <f>CS_PID!G151/VLOOKUP($B151,표2[#ALL],2)</f>
        <v>0</v>
      </c>
      <c r="H151" s="369">
        <f>CS_PID!H151/VLOOKUP($B151,표2[#ALL],2)</f>
        <v>0</v>
      </c>
      <c r="I151" s="369">
        <f>CS_PID!I151/VLOOKUP($B151,표2[#ALL],2)</f>
        <v>0</v>
      </c>
      <c r="J151" s="369">
        <f>CS_PID!J151/VLOOKUP($B151,표2[#ALL],2)</f>
        <v>0.001038127717</v>
      </c>
      <c r="K151" s="369">
        <f>CS_PID!K151/VLOOKUP($B151,표2[#ALL],2)</f>
        <v>0</v>
      </c>
      <c r="L151" s="369">
        <f>CS_PID!L151/VLOOKUP($B151,표2[#ALL],2)</f>
        <v>0.003114383152</v>
      </c>
      <c r="M151" s="369">
        <f>CS_PID!M151/VLOOKUP($B151,표2[#ALL],2)</f>
        <v>0</v>
      </c>
      <c r="N151" s="369">
        <f>CS_PID!N151/VLOOKUP($B151,표2[#ALL],2)</f>
        <v>0</v>
      </c>
      <c r="O151" s="369">
        <f>CS_PID!O151/VLOOKUP($B151,표2[#ALL],2)</f>
        <v>0</v>
      </c>
      <c r="P151" s="369">
        <f>CS_PID!P151/VLOOKUP($B151,표2[#ALL],2)</f>
        <v>0</v>
      </c>
      <c r="Q151" s="369">
        <f>CS_PID!Q151/VLOOKUP($B151,표2[#ALL],2)</f>
        <v>0.006228766304</v>
      </c>
      <c r="R151" s="369">
        <f>CS_PID!R151/VLOOKUP($B151,표2[#ALL],2)</f>
        <v>0</v>
      </c>
      <c r="S151" s="369">
        <f>CS_PID!S151/VLOOKUP($B151,표2[#ALL],2)</f>
        <v>0.002076255435</v>
      </c>
      <c r="T151" s="369">
        <f>CS_PID!T151/VLOOKUP($B151,표2[#ALL],2)</f>
        <v>0</v>
      </c>
      <c r="U151" s="369">
        <f>CS_PID!U151/VLOOKUP($B151,표2[#ALL],2)</f>
        <v>0</v>
      </c>
      <c r="V151" s="369">
        <f>CS_PID!V151/VLOOKUP($B151,표2[#ALL],2)</f>
        <v>0</v>
      </c>
      <c r="W151" s="369">
        <f>CS_PID!W151/VLOOKUP($B151,표2[#ALL],2)</f>
        <v>0.00415251087</v>
      </c>
      <c r="X151" s="369">
        <f>CS_PID!X151/VLOOKUP($B151,표2[#ALL],2)</f>
        <v>0.008305021739</v>
      </c>
      <c r="Y151" s="369">
        <f>CS_PID!Y151/VLOOKUP($B151,표2[#ALL],2)</f>
        <v>0.00415251087</v>
      </c>
      <c r="Z151" s="369">
        <f>CS_PID!Z151/VLOOKUP($B151,표2[#ALL],2)</f>
        <v>0</v>
      </c>
      <c r="AA151" s="369">
        <f>CS_PID!AA151/VLOOKUP($B151,표2[#ALL],2)</f>
        <v>0</v>
      </c>
      <c r="AB151" s="369">
        <f>CS_PID!AB151/VLOOKUP($B151,표2[#ALL],2)</f>
        <v>0</v>
      </c>
      <c r="AC151" s="369">
        <f>CS_PID!AC151/VLOOKUP($B151,표2[#ALL],2)</f>
        <v>0.00415251087</v>
      </c>
      <c r="AD151" s="369">
        <f>CS_PID!AD151/VLOOKUP($B151,표2[#ALL],2)</f>
        <v>0.006228766304</v>
      </c>
      <c r="AE151" s="369">
        <f>CS_PID!AE151/VLOOKUP($B151,표2[#ALL],2)</f>
        <v>0.003114383152</v>
      </c>
      <c r="AF151" s="369">
        <f>CS_PID!AF151/VLOOKUP($B151,표2[#ALL],2)</f>
        <v>0</v>
      </c>
      <c r="AG151" s="369">
        <f>CS_PID!AG151/VLOOKUP($B151,표2[#ALL],2)</f>
        <v>0</v>
      </c>
      <c r="AH151" s="369">
        <f>CS_PID!AH151/VLOOKUP($B151,표2[#ALL],2)</f>
        <v>0</v>
      </c>
      <c r="AI151" s="369">
        <f>CS_PID!AI151/VLOOKUP($B151,표2[#ALL],2)</f>
        <v>0</v>
      </c>
      <c r="AJ151" s="369">
        <f>CS_PID!AJ151/VLOOKUP($B151,표2[#ALL],2)</f>
        <v>0.01661004348</v>
      </c>
      <c r="AK151" s="369">
        <f>CS_PID!AK151/VLOOKUP($B151,표2[#ALL],2)</f>
        <v>0.001038127717</v>
      </c>
      <c r="AL151" s="369">
        <f>CS_PID!AL151/VLOOKUP($B151,표2[#ALL],2)</f>
        <v>0</v>
      </c>
      <c r="AM151" s="369">
        <f>CS_PID!AM151/VLOOKUP($B151,표2[#ALL],2)</f>
        <v>0</v>
      </c>
      <c r="AN151" s="369">
        <f>CS_PID!AN151/VLOOKUP($B151,표2[#ALL],2)</f>
        <v>0.002076255435</v>
      </c>
      <c r="AO151" s="369">
        <f>CS_PID!AO151/VLOOKUP($B151,표2[#ALL],2)</f>
        <v>0.02076255435</v>
      </c>
      <c r="AP151" s="369">
        <f>CS_PID!AP151/VLOOKUP($B151,표2[#ALL],2)</f>
        <v>0.009343149457</v>
      </c>
      <c r="AQ151" s="369">
        <f>CS_PID!AQ151/VLOOKUP($B151,표2[#ALL],2)</f>
        <v>0</v>
      </c>
      <c r="AR151" s="369">
        <f>CS_PID!AR151/VLOOKUP($B151,표2[#ALL],2)</f>
        <v>0</v>
      </c>
      <c r="AS151" s="369">
        <f>CS_PID!AS151/VLOOKUP($B151,표2[#ALL],2)</f>
        <v>0.02180068207</v>
      </c>
    </row>
    <row r="152">
      <c r="A152" s="370"/>
      <c r="B152" s="371"/>
      <c r="C152" s="372" t="str">
        <f>CS_PID!C152/VLOOKUP($B152,표2[#ALL],2)</f>
        <v>#N/A</v>
      </c>
      <c r="D152" s="372" t="str">
        <f>CS_PID!D152/VLOOKUP($B152,표2[#ALL],2)</f>
        <v>#N/A</v>
      </c>
      <c r="E152" s="372" t="str">
        <f>CS_PID!E152/VLOOKUP($B152,표2[#ALL],2)</f>
        <v>#N/A</v>
      </c>
      <c r="F152" s="372" t="str">
        <f>CS_PID!F152/VLOOKUP($B152,표2[#ALL],2)</f>
        <v>#N/A</v>
      </c>
      <c r="G152" s="372" t="str">
        <f>CS_PID!G152/VLOOKUP($B152,표2[#ALL],2)</f>
        <v>#N/A</v>
      </c>
      <c r="H152" s="372" t="str">
        <f>CS_PID!H152/VLOOKUP($B152,표2[#ALL],2)</f>
        <v>#N/A</v>
      </c>
      <c r="I152" s="372" t="str">
        <f>CS_PID!I152/VLOOKUP($B152,표2[#ALL],2)</f>
        <v>#N/A</v>
      </c>
      <c r="J152" s="372" t="str">
        <f>CS_PID!J152/VLOOKUP($B152,표2[#ALL],2)</f>
        <v>#N/A</v>
      </c>
      <c r="K152" s="372" t="str">
        <f>CS_PID!K152/VLOOKUP($B152,표2[#ALL],2)</f>
        <v>#N/A</v>
      </c>
      <c r="L152" s="372" t="str">
        <f>CS_PID!L152/VLOOKUP($B152,표2[#ALL],2)</f>
        <v>#N/A</v>
      </c>
      <c r="M152" s="372" t="str">
        <f>CS_PID!M152/VLOOKUP($B152,표2[#ALL],2)</f>
        <v>#N/A</v>
      </c>
      <c r="N152" s="372" t="str">
        <f>CS_PID!N152/VLOOKUP($B152,표2[#ALL],2)</f>
        <v>#N/A</v>
      </c>
      <c r="O152" s="372" t="str">
        <f>CS_PID!O152/VLOOKUP($B152,표2[#ALL],2)</f>
        <v>#N/A</v>
      </c>
      <c r="P152" s="372" t="str">
        <f>CS_PID!P152/VLOOKUP($B152,표2[#ALL],2)</f>
        <v>#N/A</v>
      </c>
      <c r="Q152" s="372" t="str">
        <f>CS_PID!Q152/VLOOKUP($B152,표2[#ALL],2)</f>
        <v>#N/A</v>
      </c>
      <c r="R152" s="372" t="str">
        <f>CS_PID!R152/VLOOKUP($B152,표2[#ALL],2)</f>
        <v>#N/A</v>
      </c>
      <c r="S152" s="372" t="str">
        <f>CS_PID!S152/VLOOKUP($B152,표2[#ALL],2)</f>
        <v>#N/A</v>
      </c>
      <c r="T152" s="372" t="str">
        <f>CS_PID!T152/VLOOKUP($B152,표2[#ALL],2)</f>
        <v>#N/A</v>
      </c>
      <c r="U152" s="372" t="str">
        <f>CS_PID!U152/VLOOKUP($B152,표2[#ALL],2)</f>
        <v>#N/A</v>
      </c>
      <c r="V152" s="372" t="str">
        <f>CS_PID!V152/VLOOKUP($B152,표2[#ALL],2)</f>
        <v>#N/A</v>
      </c>
      <c r="W152" s="372" t="str">
        <f>CS_PID!W152/VLOOKUP($B152,표2[#ALL],2)</f>
        <v>#N/A</v>
      </c>
      <c r="X152" s="372" t="str">
        <f>CS_PID!X152/VLOOKUP($B152,표2[#ALL],2)</f>
        <v>#N/A</v>
      </c>
      <c r="Y152" s="372" t="str">
        <f>CS_PID!Y152/VLOOKUP($B152,표2[#ALL],2)</f>
        <v>#N/A</v>
      </c>
      <c r="Z152" s="372" t="str">
        <f>CS_PID!Z152/VLOOKUP($B152,표2[#ALL],2)</f>
        <v>#N/A</v>
      </c>
      <c r="AA152" s="372" t="str">
        <f>CS_PID!AA152/VLOOKUP($B152,표2[#ALL],2)</f>
        <v>#N/A</v>
      </c>
      <c r="AB152" s="372" t="str">
        <f>CS_PID!AB152/VLOOKUP($B152,표2[#ALL],2)</f>
        <v>#N/A</v>
      </c>
      <c r="AC152" s="372" t="str">
        <f>CS_PID!AC152/VLOOKUP($B152,표2[#ALL],2)</f>
        <v>#N/A</v>
      </c>
      <c r="AD152" s="372" t="str">
        <f>CS_PID!AD152/VLOOKUP($B152,표2[#ALL],2)</f>
        <v>#N/A</v>
      </c>
      <c r="AE152" s="372" t="str">
        <f>CS_PID!AE152/VLOOKUP($B152,표2[#ALL],2)</f>
        <v>#N/A</v>
      </c>
      <c r="AF152" s="372" t="str">
        <f>CS_PID!AF152/VLOOKUP($B152,표2[#ALL],2)</f>
        <v>#N/A</v>
      </c>
      <c r="AG152" s="372" t="str">
        <f>CS_PID!AG152/VLOOKUP($B152,표2[#ALL],2)</f>
        <v>#N/A</v>
      </c>
      <c r="AH152" s="372" t="str">
        <f>CS_PID!AH152/VLOOKUP($B152,표2[#ALL],2)</f>
        <v>#N/A</v>
      </c>
      <c r="AI152" s="372" t="str">
        <f>CS_PID!AI152/VLOOKUP($B152,표2[#ALL],2)</f>
        <v>#N/A</v>
      </c>
      <c r="AJ152" s="372" t="str">
        <f>CS_PID!AJ152/VLOOKUP($B152,표2[#ALL],2)</f>
        <v>#N/A</v>
      </c>
      <c r="AK152" s="372" t="str">
        <f>CS_PID!AK152/VLOOKUP($B152,표2[#ALL],2)</f>
        <v>#N/A</v>
      </c>
      <c r="AL152" s="372" t="str">
        <f>CS_PID!AL152/VLOOKUP($B152,표2[#ALL],2)</f>
        <v>#N/A</v>
      </c>
      <c r="AM152" s="372" t="str">
        <f>CS_PID!AM152/VLOOKUP($B152,표2[#ALL],2)</f>
        <v>#N/A</v>
      </c>
      <c r="AN152" s="372" t="str">
        <f>CS_PID!AN152/VLOOKUP($B152,표2[#ALL],2)</f>
        <v>#N/A</v>
      </c>
      <c r="AO152" s="372" t="str">
        <f>CS_PID!AO152/VLOOKUP($B152,표2[#ALL],2)</f>
        <v>#N/A</v>
      </c>
      <c r="AP152" s="372" t="str">
        <f>CS_PID!AP152/VLOOKUP($B152,표2[#ALL],2)</f>
        <v>#N/A</v>
      </c>
      <c r="AQ152" s="372" t="str">
        <f>CS_PID!AQ152/VLOOKUP($B152,표2[#ALL],2)</f>
        <v>#N/A</v>
      </c>
      <c r="AR152" s="372" t="str">
        <f>CS_PID!AR152/VLOOKUP($B152,표2[#ALL],2)</f>
        <v>#N/A</v>
      </c>
      <c r="AS152" s="373" t="str">
        <f>CS_PID!AS152/VLOOKUP($B152,표2[#ALL],2)</f>
        <v>#N/A</v>
      </c>
    </row>
    <row r="153">
      <c r="A153" s="374"/>
      <c r="B153" s="375"/>
      <c r="C153" s="376" t="str">
        <f>CS_PID!C153/VLOOKUP($B153,표2[#ALL],2)</f>
        <v>#N/A</v>
      </c>
      <c r="D153" s="376" t="str">
        <f>CS_PID!D153/VLOOKUP($B153,표2[#ALL],2)</f>
        <v>#N/A</v>
      </c>
      <c r="E153" s="376" t="str">
        <f>CS_PID!E153/VLOOKUP($B153,표2[#ALL],2)</f>
        <v>#N/A</v>
      </c>
      <c r="F153" s="376" t="str">
        <f>CS_PID!F153/VLOOKUP($B153,표2[#ALL],2)</f>
        <v>#N/A</v>
      </c>
      <c r="G153" s="376" t="str">
        <f>CS_PID!G153/VLOOKUP($B153,표2[#ALL],2)</f>
        <v>#N/A</v>
      </c>
      <c r="H153" s="376" t="str">
        <f>CS_PID!H153/VLOOKUP($B153,표2[#ALL],2)</f>
        <v>#N/A</v>
      </c>
      <c r="I153" s="376" t="str">
        <f>CS_PID!I153/VLOOKUP($B153,표2[#ALL],2)</f>
        <v>#N/A</v>
      </c>
      <c r="J153" s="376" t="str">
        <f>CS_PID!J153/VLOOKUP($B153,표2[#ALL],2)</f>
        <v>#N/A</v>
      </c>
      <c r="K153" s="376" t="str">
        <f>CS_PID!K153/VLOOKUP($B153,표2[#ALL],2)</f>
        <v>#N/A</v>
      </c>
      <c r="L153" s="376" t="str">
        <f>CS_PID!L153/VLOOKUP($B153,표2[#ALL],2)</f>
        <v>#N/A</v>
      </c>
      <c r="M153" s="376" t="str">
        <f>CS_PID!M153/VLOOKUP($B153,표2[#ALL],2)</f>
        <v>#N/A</v>
      </c>
      <c r="N153" s="376" t="str">
        <f>CS_PID!N153/VLOOKUP($B153,표2[#ALL],2)</f>
        <v>#N/A</v>
      </c>
      <c r="O153" s="376" t="str">
        <f>CS_PID!O153/VLOOKUP($B153,표2[#ALL],2)</f>
        <v>#N/A</v>
      </c>
      <c r="P153" s="376" t="str">
        <f>CS_PID!P153/VLOOKUP($B153,표2[#ALL],2)</f>
        <v>#N/A</v>
      </c>
      <c r="Q153" s="376" t="str">
        <f>CS_PID!Q153/VLOOKUP($B153,표2[#ALL],2)</f>
        <v>#N/A</v>
      </c>
      <c r="R153" s="376" t="str">
        <f>CS_PID!R153/VLOOKUP($B153,표2[#ALL],2)</f>
        <v>#N/A</v>
      </c>
      <c r="S153" s="376" t="str">
        <f>CS_PID!S153/VLOOKUP($B153,표2[#ALL],2)</f>
        <v>#N/A</v>
      </c>
      <c r="T153" s="376" t="str">
        <f>CS_PID!T153/VLOOKUP($B153,표2[#ALL],2)</f>
        <v>#N/A</v>
      </c>
      <c r="U153" s="376" t="str">
        <f>CS_PID!U153/VLOOKUP($B153,표2[#ALL],2)</f>
        <v>#N/A</v>
      </c>
      <c r="V153" s="376" t="str">
        <f>CS_PID!V153/VLOOKUP($B153,표2[#ALL],2)</f>
        <v>#N/A</v>
      </c>
      <c r="W153" s="376" t="str">
        <f>CS_PID!W153/VLOOKUP($B153,표2[#ALL],2)</f>
        <v>#N/A</v>
      </c>
      <c r="X153" s="376" t="str">
        <f>CS_PID!X153/VLOOKUP($B153,표2[#ALL],2)</f>
        <v>#N/A</v>
      </c>
      <c r="Y153" s="376" t="str">
        <f>CS_PID!Y153/VLOOKUP($B153,표2[#ALL],2)</f>
        <v>#N/A</v>
      </c>
      <c r="Z153" s="376" t="str">
        <f>CS_PID!Z153/VLOOKUP($B153,표2[#ALL],2)</f>
        <v>#N/A</v>
      </c>
      <c r="AA153" s="376" t="str">
        <f>CS_PID!AA153/VLOOKUP($B153,표2[#ALL],2)</f>
        <v>#N/A</v>
      </c>
      <c r="AB153" s="376" t="str">
        <f>CS_PID!AB153/VLOOKUP($B153,표2[#ALL],2)</f>
        <v>#N/A</v>
      </c>
      <c r="AC153" s="376" t="str">
        <f>CS_PID!AC153/VLOOKUP($B153,표2[#ALL],2)</f>
        <v>#N/A</v>
      </c>
      <c r="AD153" s="376" t="str">
        <f>CS_PID!AD153/VLOOKUP($B153,표2[#ALL],2)</f>
        <v>#N/A</v>
      </c>
      <c r="AE153" s="376" t="str">
        <f>CS_PID!AE153/VLOOKUP($B153,표2[#ALL],2)</f>
        <v>#N/A</v>
      </c>
      <c r="AF153" s="376" t="str">
        <f>CS_PID!AF153/VLOOKUP($B153,표2[#ALL],2)</f>
        <v>#N/A</v>
      </c>
      <c r="AG153" s="376" t="str">
        <f>CS_PID!AG153/VLOOKUP($B153,표2[#ALL],2)</f>
        <v>#N/A</v>
      </c>
      <c r="AH153" s="376" t="str">
        <f>CS_PID!AH153/VLOOKUP($B153,표2[#ALL],2)</f>
        <v>#N/A</v>
      </c>
      <c r="AI153" s="376" t="str">
        <f>CS_PID!AI153/VLOOKUP($B153,표2[#ALL],2)</f>
        <v>#N/A</v>
      </c>
      <c r="AJ153" s="376" t="str">
        <f>CS_PID!AJ153/VLOOKUP($B153,표2[#ALL],2)</f>
        <v>#N/A</v>
      </c>
      <c r="AK153" s="376" t="str">
        <f>CS_PID!AK153/VLOOKUP($B153,표2[#ALL],2)</f>
        <v>#N/A</v>
      </c>
      <c r="AL153" s="376" t="str">
        <f>CS_PID!AL153/VLOOKUP($B153,표2[#ALL],2)</f>
        <v>#N/A</v>
      </c>
      <c r="AM153" s="376" t="str">
        <f>CS_PID!AM153/VLOOKUP($B153,표2[#ALL],2)</f>
        <v>#N/A</v>
      </c>
      <c r="AN153" s="376" t="str">
        <f>CS_PID!AN153/VLOOKUP($B153,표2[#ALL],2)</f>
        <v>#N/A</v>
      </c>
      <c r="AO153" s="376" t="str">
        <f>CS_PID!AO153/VLOOKUP($B153,표2[#ALL],2)</f>
        <v>#N/A</v>
      </c>
      <c r="AP153" s="376" t="str">
        <f>CS_PID!AP153/VLOOKUP($B153,표2[#ALL],2)</f>
        <v>#N/A</v>
      </c>
      <c r="AQ153" s="376" t="str">
        <f>CS_PID!AQ153/VLOOKUP($B153,표2[#ALL],2)</f>
        <v>#N/A</v>
      </c>
      <c r="AR153" s="376" t="str">
        <f>CS_PID!AR153/VLOOKUP($B153,표2[#ALL],2)</f>
        <v>#N/A</v>
      </c>
      <c r="AS153" s="377" t="str">
        <f>CS_PID!AS153/VLOOKUP($B153,표2[#ALL],2)</f>
        <v>#N/A</v>
      </c>
    </row>
    <row r="154">
      <c r="A154" s="370"/>
      <c r="B154" s="371"/>
      <c r="C154" s="372" t="str">
        <f>CS_PID!C154/VLOOKUP($B154,표2[#ALL],2)</f>
        <v>#N/A</v>
      </c>
      <c r="D154" s="372" t="str">
        <f>CS_PID!D154/VLOOKUP($B154,표2[#ALL],2)</f>
        <v>#N/A</v>
      </c>
      <c r="E154" s="372" t="str">
        <f>CS_PID!E154/VLOOKUP($B154,표2[#ALL],2)</f>
        <v>#N/A</v>
      </c>
      <c r="F154" s="372" t="str">
        <f>CS_PID!F154/VLOOKUP($B154,표2[#ALL],2)</f>
        <v>#N/A</v>
      </c>
      <c r="G154" s="372" t="str">
        <f>CS_PID!G154/VLOOKUP($B154,표2[#ALL],2)</f>
        <v>#N/A</v>
      </c>
      <c r="H154" s="372" t="str">
        <f>CS_PID!H154/VLOOKUP($B154,표2[#ALL],2)</f>
        <v>#N/A</v>
      </c>
      <c r="I154" s="372" t="str">
        <f>CS_PID!I154/VLOOKUP($B154,표2[#ALL],2)</f>
        <v>#N/A</v>
      </c>
      <c r="J154" s="372" t="str">
        <f>CS_PID!J154/VLOOKUP($B154,표2[#ALL],2)</f>
        <v>#N/A</v>
      </c>
      <c r="K154" s="372" t="str">
        <f>CS_PID!K154/VLOOKUP($B154,표2[#ALL],2)</f>
        <v>#N/A</v>
      </c>
      <c r="L154" s="372" t="str">
        <f>CS_PID!L154/VLOOKUP($B154,표2[#ALL],2)</f>
        <v>#N/A</v>
      </c>
      <c r="M154" s="372" t="str">
        <f>CS_PID!M154/VLOOKUP($B154,표2[#ALL],2)</f>
        <v>#N/A</v>
      </c>
      <c r="N154" s="372" t="str">
        <f>CS_PID!N154/VLOOKUP($B154,표2[#ALL],2)</f>
        <v>#N/A</v>
      </c>
      <c r="O154" s="372" t="str">
        <f>CS_PID!O154/VLOOKUP($B154,표2[#ALL],2)</f>
        <v>#N/A</v>
      </c>
      <c r="P154" s="372" t="str">
        <f>CS_PID!P154/VLOOKUP($B154,표2[#ALL],2)</f>
        <v>#N/A</v>
      </c>
      <c r="Q154" s="372" t="str">
        <f>CS_PID!Q154/VLOOKUP($B154,표2[#ALL],2)</f>
        <v>#N/A</v>
      </c>
      <c r="R154" s="372" t="str">
        <f>CS_PID!R154/VLOOKUP($B154,표2[#ALL],2)</f>
        <v>#N/A</v>
      </c>
      <c r="S154" s="372" t="str">
        <f>CS_PID!S154/VLOOKUP($B154,표2[#ALL],2)</f>
        <v>#N/A</v>
      </c>
      <c r="T154" s="372" t="str">
        <f>CS_PID!T154/VLOOKUP($B154,표2[#ALL],2)</f>
        <v>#N/A</v>
      </c>
      <c r="U154" s="372" t="str">
        <f>CS_PID!U154/VLOOKUP($B154,표2[#ALL],2)</f>
        <v>#N/A</v>
      </c>
      <c r="V154" s="372" t="str">
        <f>CS_PID!V154/VLOOKUP($B154,표2[#ALL],2)</f>
        <v>#N/A</v>
      </c>
      <c r="W154" s="372" t="str">
        <f>CS_PID!W154/VLOOKUP($B154,표2[#ALL],2)</f>
        <v>#N/A</v>
      </c>
      <c r="X154" s="372" t="str">
        <f>CS_PID!X154/VLOOKUP($B154,표2[#ALL],2)</f>
        <v>#N/A</v>
      </c>
      <c r="Y154" s="372" t="str">
        <f>CS_PID!Y154/VLOOKUP($B154,표2[#ALL],2)</f>
        <v>#N/A</v>
      </c>
      <c r="Z154" s="372" t="str">
        <f>CS_PID!Z154/VLOOKUP($B154,표2[#ALL],2)</f>
        <v>#N/A</v>
      </c>
      <c r="AA154" s="372" t="str">
        <f>CS_PID!AA154/VLOOKUP($B154,표2[#ALL],2)</f>
        <v>#N/A</v>
      </c>
      <c r="AB154" s="372" t="str">
        <f>CS_PID!AB154/VLOOKUP($B154,표2[#ALL],2)</f>
        <v>#N/A</v>
      </c>
      <c r="AC154" s="372" t="str">
        <f>CS_PID!AC154/VLOOKUP($B154,표2[#ALL],2)</f>
        <v>#N/A</v>
      </c>
      <c r="AD154" s="372" t="str">
        <f>CS_PID!AD154/VLOOKUP($B154,표2[#ALL],2)</f>
        <v>#N/A</v>
      </c>
      <c r="AE154" s="372" t="str">
        <f>CS_PID!AE154/VLOOKUP($B154,표2[#ALL],2)</f>
        <v>#N/A</v>
      </c>
      <c r="AF154" s="372" t="str">
        <f>CS_PID!AF154/VLOOKUP($B154,표2[#ALL],2)</f>
        <v>#N/A</v>
      </c>
      <c r="AG154" s="372" t="str">
        <f>CS_PID!AG154/VLOOKUP($B154,표2[#ALL],2)</f>
        <v>#N/A</v>
      </c>
      <c r="AH154" s="372" t="str">
        <f>CS_PID!AH154/VLOOKUP($B154,표2[#ALL],2)</f>
        <v>#N/A</v>
      </c>
      <c r="AI154" s="372" t="str">
        <f>CS_PID!AI154/VLOOKUP($B154,표2[#ALL],2)</f>
        <v>#N/A</v>
      </c>
      <c r="AJ154" s="372" t="str">
        <f>CS_PID!AJ154/VLOOKUP($B154,표2[#ALL],2)</f>
        <v>#N/A</v>
      </c>
      <c r="AK154" s="372" t="str">
        <f>CS_PID!AK154/VLOOKUP($B154,표2[#ALL],2)</f>
        <v>#N/A</v>
      </c>
      <c r="AL154" s="372" t="str">
        <f>CS_PID!AL154/VLOOKUP($B154,표2[#ALL],2)</f>
        <v>#N/A</v>
      </c>
      <c r="AM154" s="372" t="str">
        <f>CS_PID!AM154/VLOOKUP($B154,표2[#ALL],2)</f>
        <v>#N/A</v>
      </c>
      <c r="AN154" s="372" t="str">
        <f>CS_PID!AN154/VLOOKUP($B154,표2[#ALL],2)</f>
        <v>#N/A</v>
      </c>
      <c r="AO154" s="372" t="str">
        <f>CS_PID!AO154/VLOOKUP($B154,표2[#ALL],2)</f>
        <v>#N/A</v>
      </c>
      <c r="AP154" s="372" t="str">
        <f>CS_PID!AP154/VLOOKUP($B154,표2[#ALL],2)</f>
        <v>#N/A</v>
      </c>
      <c r="AQ154" s="372" t="str">
        <f>CS_PID!AQ154/VLOOKUP($B154,표2[#ALL],2)</f>
        <v>#N/A</v>
      </c>
      <c r="AR154" s="372" t="str">
        <f>CS_PID!AR154/VLOOKUP($B154,표2[#ALL],2)</f>
        <v>#N/A</v>
      </c>
      <c r="AS154" s="373" t="str">
        <f>CS_PID!AS154/VLOOKUP($B154,표2[#ALL],2)</f>
        <v>#N/A</v>
      </c>
    </row>
    <row r="155">
      <c r="A155" s="374"/>
      <c r="B155" s="375"/>
      <c r="C155" s="376" t="str">
        <f>CS_PID!C155/VLOOKUP($B155,표2[#ALL],2)</f>
        <v>#N/A</v>
      </c>
      <c r="D155" s="376" t="str">
        <f>CS_PID!D155/VLOOKUP($B155,표2[#ALL],2)</f>
        <v>#N/A</v>
      </c>
      <c r="E155" s="376" t="str">
        <f>CS_PID!E155/VLOOKUP($B155,표2[#ALL],2)</f>
        <v>#N/A</v>
      </c>
      <c r="F155" s="376" t="str">
        <f>CS_PID!F155/VLOOKUP($B155,표2[#ALL],2)</f>
        <v>#N/A</v>
      </c>
      <c r="G155" s="376" t="str">
        <f>CS_PID!G155/VLOOKUP($B155,표2[#ALL],2)</f>
        <v>#N/A</v>
      </c>
      <c r="H155" s="376" t="str">
        <f>CS_PID!H155/VLOOKUP($B155,표2[#ALL],2)</f>
        <v>#N/A</v>
      </c>
      <c r="I155" s="376" t="str">
        <f>CS_PID!I155/VLOOKUP($B155,표2[#ALL],2)</f>
        <v>#N/A</v>
      </c>
      <c r="J155" s="376" t="str">
        <f>CS_PID!J155/VLOOKUP($B155,표2[#ALL],2)</f>
        <v>#N/A</v>
      </c>
      <c r="K155" s="376" t="str">
        <f>CS_PID!K155/VLOOKUP($B155,표2[#ALL],2)</f>
        <v>#N/A</v>
      </c>
      <c r="L155" s="376" t="str">
        <f>CS_PID!L155/VLOOKUP($B155,표2[#ALL],2)</f>
        <v>#N/A</v>
      </c>
      <c r="M155" s="376" t="str">
        <f>CS_PID!M155/VLOOKUP($B155,표2[#ALL],2)</f>
        <v>#N/A</v>
      </c>
      <c r="N155" s="376" t="str">
        <f>CS_PID!N155/VLOOKUP($B155,표2[#ALL],2)</f>
        <v>#N/A</v>
      </c>
      <c r="O155" s="376" t="str">
        <f>CS_PID!O155/VLOOKUP($B155,표2[#ALL],2)</f>
        <v>#N/A</v>
      </c>
      <c r="P155" s="376" t="str">
        <f>CS_PID!P155/VLOOKUP($B155,표2[#ALL],2)</f>
        <v>#N/A</v>
      </c>
      <c r="Q155" s="376" t="str">
        <f>CS_PID!Q155/VLOOKUP($B155,표2[#ALL],2)</f>
        <v>#N/A</v>
      </c>
      <c r="R155" s="376" t="str">
        <f>CS_PID!R155/VLOOKUP($B155,표2[#ALL],2)</f>
        <v>#N/A</v>
      </c>
      <c r="S155" s="376" t="str">
        <f>CS_PID!S155/VLOOKUP($B155,표2[#ALL],2)</f>
        <v>#N/A</v>
      </c>
      <c r="T155" s="376" t="str">
        <f>CS_PID!T155/VLOOKUP($B155,표2[#ALL],2)</f>
        <v>#N/A</v>
      </c>
      <c r="U155" s="376" t="str">
        <f>CS_PID!U155/VLOOKUP($B155,표2[#ALL],2)</f>
        <v>#N/A</v>
      </c>
      <c r="V155" s="376" t="str">
        <f>CS_PID!V155/VLOOKUP($B155,표2[#ALL],2)</f>
        <v>#N/A</v>
      </c>
      <c r="W155" s="376" t="str">
        <f>CS_PID!W155/VLOOKUP($B155,표2[#ALL],2)</f>
        <v>#N/A</v>
      </c>
      <c r="X155" s="376" t="str">
        <f>CS_PID!X155/VLOOKUP($B155,표2[#ALL],2)</f>
        <v>#N/A</v>
      </c>
      <c r="Y155" s="376" t="str">
        <f>CS_PID!Y155/VLOOKUP($B155,표2[#ALL],2)</f>
        <v>#N/A</v>
      </c>
      <c r="Z155" s="376" t="str">
        <f>CS_PID!Z155/VLOOKUP($B155,표2[#ALL],2)</f>
        <v>#N/A</v>
      </c>
      <c r="AA155" s="376" t="str">
        <f>CS_PID!AA155/VLOOKUP($B155,표2[#ALL],2)</f>
        <v>#N/A</v>
      </c>
      <c r="AB155" s="376" t="str">
        <f>CS_PID!AB155/VLOOKUP($B155,표2[#ALL],2)</f>
        <v>#N/A</v>
      </c>
      <c r="AC155" s="376" t="str">
        <f>CS_PID!AC155/VLOOKUP($B155,표2[#ALL],2)</f>
        <v>#N/A</v>
      </c>
      <c r="AD155" s="376" t="str">
        <f>CS_PID!AD155/VLOOKUP($B155,표2[#ALL],2)</f>
        <v>#N/A</v>
      </c>
      <c r="AE155" s="376" t="str">
        <f>CS_PID!AE155/VLOOKUP($B155,표2[#ALL],2)</f>
        <v>#N/A</v>
      </c>
      <c r="AF155" s="376" t="str">
        <f>CS_PID!AF155/VLOOKUP($B155,표2[#ALL],2)</f>
        <v>#N/A</v>
      </c>
      <c r="AG155" s="376" t="str">
        <f>CS_PID!AG155/VLOOKUP($B155,표2[#ALL],2)</f>
        <v>#N/A</v>
      </c>
      <c r="AH155" s="376" t="str">
        <f>CS_PID!AH155/VLOOKUP($B155,표2[#ALL],2)</f>
        <v>#N/A</v>
      </c>
      <c r="AI155" s="376" t="str">
        <f>CS_PID!AI155/VLOOKUP($B155,표2[#ALL],2)</f>
        <v>#N/A</v>
      </c>
      <c r="AJ155" s="376" t="str">
        <f>CS_PID!AJ155/VLOOKUP($B155,표2[#ALL],2)</f>
        <v>#N/A</v>
      </c>
      <c r="AK155" s="376" t="str">
        <f>CS_PID!AK155/VLOOKUP($B155,표2[#ALL],2)</f>
        <v>#N/A</v>
      </c>
      <c r="AL155" s="376" t="str">
        <f>CS_PID!AL155/VLOOKUP($B155,표2[#ALL],2)</f>
        <v>#N/A</v>
      </c>
      <c r="AM155" s="376" t="str">
        <f>CS_PID!AM155/VLOOKUP($B155,표2[#ALL],2)</f>
        <v>#N/A</v>
      </c>
      <c r="AN155" s="376" t="str">
        <f>CS_PID!AN155/VLOOKUP($B155,표2[#ALL],2)</f>
        <v>#N/A</v>
      </c>
      <c r="AO155" s="376" t="str">
        <f>CS_PID!AO155/VLOOKUP($B155,표2[#ALL],2)</f>
        <v>#N/A</v>
      </c>
      <c r="AP155" s="376" t="str">
        <f>CS_PID!AP155/VLOOKUP($B155,표2[#ALL],2)</f>
        <v>#N/A</v>
      </c>
      <c r="AQ155" s="376" t="str">
        <f>CS_PID!AQ155/VLOOKUP($B155,표2[#ALL],2)</f>
        <v>#N/A</v>
      </c>
      <c r="AR155" s="376" t="str">
        <f>CS_PID!AR155/VLOOKUP($B155,표2[#ALL],2)</f>
        <v>#N/A</v>
      </c>
      <c r="AS155" s="377" t="str">
        <f>CS_PID!AS155/VLOOKUP($B155,표2[#ALL],2)</f>
        <v>#N/A</v>
      </c>
    </row>
    <row r="156">
      <c r="A156" s="370"/>
      <c r="B156" s="371"/>
      <c r="C156" s="372" t="str">
        <f>CS_PID!C156/VLOOKUP($B156,표2[#ALL],2)</f>
        <v>#N/A</v>
      </c>
      <c r="D156" s="372" t="str">
        <f>CS_PID!D156/VLOOKUP($B156,표2[#ALL],2)</f>
        <v>#N/A</v>
      </c>
      <c r="E156" s="372" t="str">
        <f>CS_PID!E156/VLOOKUP($B156,표2[#ALL],2)</f>
        <v>#N/A</v>
      </c>
      <c r="F156" s="372" t="str">
        <f>CS_PID!F156/VLOOKUP($B156,표2[#ALL],2)</f>
        <v>#N/A</v>
      </c>
      <c r="G156" s="372" t="str">
        <f>CS_PID!G156/VLOOKUP($B156,표2[#ALL],2)</f>
        <v>#N/A</v>
      </c>
      <c r="H156" s="372" t="str">
        <f>CS_PID!H156/VLOOKUP($B156,표2[#ALL],2)/HLOOKUP($A156,표1[#ALL],row(),false)</f>
        <v>#N/A</v>
      </c>
      <c r="I156" s="372" t="str">
        <f>CS_PID!I156/VLOOKUP($B156,표2[#ALL],2)/HLOOKUP($A156,표1[#ALL],row(),false)</f>
        <v>#N/A</v>
      </c>
      <c r="J156" s="372" t="str">
        <f>CS_PID!J156/VLOOKUP($B156,표2[#ALL],2)/HLOOKUP($A156,표1[#ALL],row(),false)</f>
        <v>#N/A</v>
      </c>
      <c r="K156" s="372" t="str">
        <f>CS_PID!K156/VLOOKUP($B156,표2[#ALL],2)/HLOOKUP($A156,표1[#ALL],row(),false)</f>
        <v>#N/A</v>
      </c>
      <c r="L156" s="372" t="str">
        <f>CS_PID!L156/VLOOKUP($B156,표2[#ALL],2)/HLOOKUP($A156,표1[#ALL],row(),false)</f>
        <v>#N/A</v>
      </c>
      <c r="M156" s="372" t="str">
        <f>CS_PID!M156/VLOOKUP($B156,표2[#ALL],2)/HLOOKUP($A156,표1[#ALL],row(),false)</f>
        <v>#N/A</v>
      </c>
      <c r="N156" s="372" t="str">
        <f>CS_PID!N156/VLOOKUP($B156,표2[#ALL],2)/HLOOKUP($A156,표1[#ALL],row(),false)</f>
        <v>#N/A</v>
      </c>
      <c r="O156" s="372" t="str">
        <f>CS_PID!O156/VLOOKUP($B156,표2[#ALL],2)/HLOOKUP($A156,표1[#ALL],row(),false)</f>
        <v>#N/A</v>
      </c>
      <c r="P156" s="372" t="str">
        <f>CS_PID!P156/VLOOKUP($B156,표2[#ALL],2)/HLOOKUP($A156,표1[#ALL],row(),false)</f>
        <v>#N/A</v>
      </c>
      <c r="Q156" s="372" t="str">
        <f>CS_PID!Q156/VLOOKUP($B156,표2[#ALL],2)/HLOOKUP($A156,표1[#ALL],row(),false)</f>
        <v>#N/A</v>
      </c>
      <c r="R156" s="372" t="str">
        <f>CS_PID!R156/VLOOKUP($B156,표2[#ALL],2)/HLOOKUP($A156,표1[#ALL],row(),false)</f>
        <v>#N/A</v>
      </c>
      <c r="S156" s="372" t="str">
        <f>CS_PID!S156/VLOOKUP($B156,표2[#ALL],2)/HLOOKUP($A156,표1[#ALL],row(),false)</f>
        <v>#N/A</v>
      </c>
      <c r="T156" s="372" t="str">
        <f>CS_PID!T156/VLOOKUP($B156,표2[#ALL],2)/HLOOKUP($A156,표1[#ALL],row(),false)</f>
        <v>#N/A</v>
      </c>
      <c r="U156" s="372" t="str">
        <f>CS_PID!U156/VLOOKUP($B156,표2[#ALL],2)/HLOOKUP($A156,표1[#ALL],row(),false)</f>
        <v>#N/A</v>
      </c>
      <c r="V156" s="372" t="str">
        <f>CS_PID!V156/VLOOKUP($B156,표2[#ALL],2)/HLOOKUP($A156,표1[#ALL],row(),false)</f>
        <v>#N/A</v>
      </c>
      <c r="W156" s="372" t="str">
        <f>CS_PID!W156/VLOOKUP($B156,표2[#ALL],2)/HLOOKUP($A156,표1[#ALL],row(),false)</f>
        <v>#N/A</v>
      </c>
      <c r="X156" s="372" t="str">
        <f>CS_PID!X156/VLOOKUP($B156,표2[#ALL],2)/HLOOKUP($A156,표1[#ALL],row(),false)</f>
        <v>#N/A</v>
      </c>
      <c r="Y156" s="372" t="str">
        <f>CS_PID!Y156/VLOOKUP($B156,표2[#ALL],2)/HLOOKUP($A156,표1[#ALL],row(),false)</f>
        <v>#N/A</v>
      </c>
      <c r="Z156" s="372" t="str">
        <f>CS_PID!Z156/VLOOKUP($B156,표2[#ALL],2)/HLOOKUP($A156,표1[#ALL],row(),false)</f>
        <v>#N/A</v>
      </c>
      <c r="AA156" s="372" t="str">
        <f>CS_PID!AA156/VLOOKUP($B156,표2[#ALL],2)/HLOOKUP($A156,표1[#ALL],row(),false)</f>
        <v>#N/A</v>
      </c>
      <c r="AB156" s="372" t="str">
        <f>CS_PID!AB156/VLOOKUP($B156,표2[#ALL],2)/HLOOKUP($A156,표1[#ALL],row(),false)</f>
        <v>#N/A</v>
      </c>
      <c r="AC156" s="372" t="str">
        <f>CS_PID!AC156/VLOOKUP($B156,표2[#ALL],2)/HLOOKUP($A156,표1[#ALL],row(),false)</f>
        <v>#N/A</v>
      </c>
      <c r="AD156" s="372" t="str">
        <f>CS_PID!AD156/VLOOKUP($B156,표2[#ALL],2)/HLOOKUP($A156,표1[#ALL],row(),false)</f>
        <v>#N/A</v>
      </c>
      <c r="AE156" s="372" t="str">
        <f>CS_PID!AE156/VLOOKUP($B156,표2[#ALL],2)/HLOOKUP($A156,표1[#ALL],row(),false)</f>
        <v>#N/A</v>
      </c>
      <c r="AF156" s="372" t="str">
        <f>CS_PID!AF156/VLOOKUP($B156,표2[#ALL],2)/HLOOKUP($A156,표1[#ALL],row(),false)</f>
        <v>#N/A</v>
      </c>
      <c r="AG156" s="372" t="str">
        <f>CS_PID!AG156/VLOOKUP($B156,표2[#ALL],2)/HLOOKUP($A156,표1[#ALL],row(),false)</f>
        <v>#N/A</v>
      </c>
      <c r="AH156" s="372" t="str">
        <f>CS_PID!AH156/VLOOKUP($B156,표2[#ALL],2)/HLOOKUP($A156,표1[#ALL],row(),false)</f>
        <v>#N/A</v>
      </c>
      <c r="AI156" s="372" t="str">
        <f>CS_PID!AI156/VLOOKUP($B156,표2[#ALL],2)/HLOOKUP($A156,표1[#ALL],row(),false)</f>
        <v>#N/A</v>
      </c>
      <c r="AJ156" s="372" t="str">
        <f>CS_PID!AJ156/VLOOKUP($B156,표2[#ALL],2)/HLOOKUP($A156,표1[#ALL],row(),false)</f>
        <v>#N/A</v>
      </c>
      <c r="AK156" s="372" t="str">
        <f>CS_PID!AK156/VLOOKUP($B156,표2[#ALL],2)/HLOOKUP($A156,표1[#ALL],row(),false)</f>
        <v>#N/A</v>
      </c>
      <c r="AL156" s="372" t="str">
        <f>CS_PID!AL156/VLOOKUP($B156,표2[#ALL],2)/HLOOKUP($A156,표1[#ALL],row(),false)</f>
        <v>#N/A</v>
      </c>
      <c r="AM156" s="372" t="str">
        <f>CS_PID!AM156/VLOOKUP($B156,표2[#ALL],2)/HLOOKUP($A156,표1[#ALL],row(),false)</f>
        <v>#N/A</v>
      </c>
      <c r="AN156" s="372" t="str">
        <f>CS_PID!AN156/VLOOKUP($B156,표2[#ALL],2)/HLOOKUP($A156,표1[#ALL],row(),false)</f>
        <v>#N/A</v>
      </c>
      <c r="AO156" s="372" t="str">
        <f>CS_PID!AO156/VLOOKUP($B156,표2[#ALL],2)/HLOOKUP($A156,표1[#ALL],row(),false)</f>
        <v>#N/A</v>
      </c>
      <c r="AP156" s="372" t="str">
        <f>CS_PID!AP156/VLOOKUP($B156,표2[#ALL],2)/HLOOKUP($A156,표1[#ALL],row(),false)</f>
        <v>#N/A</v>
      </c>
      <c r="AQ156" s="372" t="str">
        <f>CS_PID!AQ156/VLOOKUP($B156,표2[#ALL],2)/HLOOKUP($A156,표1[#ALL],row(),false)</f>
        <v>#N/A</v>
      </c>
      <c r="AR156" s="372" t="str">
        <f>CS_PID!AR156/VLOOKUP($B156,표2[#ALL],2)/HLOOKUP($A156,표1[#ALL],row(),false)</f>
        <v>#N/A</v>
      </c>
      <c r="AS156" s="373" t="str">
        <f>CS_PID!AS156/VLOOKUP($B156,표2[#ALL],2)/HLOOKUP($A156,표1[#ALL],row(),false)</f>
        <v>#N/A</v>
      </c>
    </row>
    <row r="157">
      <c r="A157" s="374"/>
      <c r="B157" s="375"/>
      <c r="C157" s="376" t="str">
        <f>CS_PID!C157/VLOOKUP($B157,표2[#ALL],2)</f>
        <v>#N/A</v>
      </c>
      <c r="D157" s="376" t="str">
        <f>CS_PID!D157/VLOOKUP($B157,표2[#ALL],2)</f>
        <v>#N/A</v>
      </c>
      <c r="E157" s="376" t="str">
        <f>CS_PID!E157/VLOOKUP($B157,표2[#ALL],2)</f>
        <v>#N/A</v>
      </c>
      <c r="F157" s="376" t="str">
        <f>CS_PID!F157/VLOOKUP($B157,표2[#ALL],2)</f>
        <v>#N/A</v>
      </c>
      <c r="G157" s="376" t="str">
        <f>CS_PID!G157/VLOOKUP($B157,표2[#ALL],2)</f>
        <v>#N/A</v>
      </c>
      <c r="H157" s="376" t="str">
        <f>CS_PID!H157/VLOOKUP($B157,표2[#ALL],2)/HLOOKUP($A157,표1[#ALL],row(),false)</f>
        <v>#N/A</v>
      </c>
      <c r="I157" s="376" t="str">
        <f>CS_PID!I157/VLOOKUP($B157,표2[#ALL],2)/HLOOKUP($A157,표1[#ALL],row(),false)</f>
        <v>#N/A</v>
      </c>
      <c r="J157" s="376" t="str">
        <f>CS_PID!J157/VLOOKUP($B157,표2[#ALL],2)/HLOOKUP($A157,표1[#ALL],row(),false)</f>
        <v>#N/A</v>
      </c>
      <c r="K157" s="376" t="str">
        <f>CS_PID!K157/VLOOKUP($B157,표2[#ALL],2)/HLOOKUP($A157,표1[#ALL],row(),false)</f>
        <v>#N/A</v>
      </c>
      <c r="L157" s="376" t="str">
        <f>CS_PID!L157/VLOOKUP($B157,표2[#ALL],2)/HLOOKUP($A157,표1[#ALL],row(),false)</f>
        <v>#N/A</v>
      </c>
      <c r="M157" s="376" t="str">
        <f>CS_PID!M157/VLOOKUP($B157,표2[#ALL],2)/HLOOKUP($A157,표1[#ALL],row(),false)</f>
        <v>#N/A</v>
      </c>
      <c r="N157" s="376" t="str">
        <f>CS_PID!N157/VLOOKUP($B157,표2[#ALL],2)/HLOOKUP($A157,표1[#ALL],row(),false)</f>
        <v>#N/A</v>
      </c>
      <c r="O157" s="376" t="str">
        <f>CS_PID!O157/VLOOKUP($B157,표2[#ALL],2)/HLOOKUP($A157,표1[#ALL],row(),false)</f>
        <v>#N/A</v>
      </c>
      <c r="P157" s="376" t="str">
        <f>CS_PID!P157/VLOOKUP($B157,표2[#ALL],2)/HLOOKUP($A157,표1[#ALL],row(),false)</f>
        <v>#N/A</v>
      </c>
      <c r="Q157" s="376" t="str">
        <f>CS_PID!Q157/VLOOKUP($B157,표2[#ALL],2)/HLOOKUP($A157,표1[#ALL],row(),false)</f>
        <v>#N/A</v>
      </c>
      <c r="R157" s="376" t="str">
        <f>CS_PID!R157/VLOOKUP($B157,표2[#ALL],2)/HLOOKUP($A157,표1[#ALL],row(),false)</f>
        <v>#N/A</v>
      </c>
      <c r="S157" s="376" t="str">
        <f>CS_PID!S157/VLOOKUP($B157,표2[#ALL],2)/HLOOKUP($A157,표1[#ALL],row(),false)</f>
        <v>#N/A</v>
      </c>
      <c r="T157" s="376" t="str">
        <f>CS_PID!T157/VLOOKUP($B157,표2[#ALL],2)/HLOOKUP($A157,표1[#ALL],row(),false)</f>
        <v>#N/A</v>
      </c>
      <c r="U157" s="376" t="str">
        <f>CS_PID!U157/VLOOKUP($B157,표2[#ALL],2)/HLOOKUP($A157,표1[#ALL],row(),false)</f>
        <v>#N/A</v>
      </c>
      <c r="V157" s="376" t="str">
        <f>CS_PID!V157/VLOOKUP($B157,표2[#ALL],2)/HLOOKUP($A157,표1[#ALL],row(),false)</f>
        <v>#N/A</v>
      </c>
      <c r="W157" s="376" t="str">
        <f>CS_PID!W157/VLOOKUP($B157,표2[#ALL],2)/HLOOKUP($A157,표1[#ALL],row(),false)</f>
        <v>#N/A</v>
      </c>
      <c r="X157" s="376" t="str">
        <f>CS_PID!X157/VLOOKUP($B157,표2[#ALL],2)/HLOOKUP($A157,표1[#ALL],row(),false)</f>
        <v>#N/A</v>
      </c>
      <c r="Y157" s="376" t="str">
        <f>CS_PID!Y157/VLOOKUP($B157,표2[#ALL],2)/HLOOKUP($A157,표1[#ALL],row(),false)</f>
        <v>#N/A</v>
      </c>
      <c r="Z157" s="376" t="str">
        <f>CS_PID!Z157/VLOOKUP($B157,표2[#ALL],2)/HLOOKUP($A157,표1[#ALL],row(),false)</f>
        <v>#N/A</v>
      </c>
      <c r="AA157" s="376" t="str">
        <f>CS_PID!AA157/VLOOKUP($B157,표2[#ALL],2)/HLOOKUP($A157,표1[#ALL],row(),false)</f>
        <v>#N/A</v>
      </c>
      <c r="AB157" s="376" t="str">
        <f>CS_PID!AB157/VLOOKUP($B157,표2[#ALL],2)/HLOOKUP($A157,표1[#ALL],row(),false)</f>
        <v>#N/A</v>
      </c>
      <c r="AC157" s="376" t="str">
        <f>CS_PID!AC157/VLOOKUP($B157,표2[#ALL],2)/HLOOKUP($A157,표1[#ALL],row(),false)</f>
        <v>#N/A</v>
      </c>
      <c r="AD157" s="376" t="str">
        <f>CS_PID!AD157/VLOOKUP($B157,표2[#ALL],2)/HLOOKUP($A157,표1[#ALL],row(),false)</f>
        <v>#N/A</v>
      </c>
      <c r="AE157" s="376" t="str">
        <f>CS_PID!AE157/VLOOKUP($B157,표2[#ALL],2)/HLOOKUP($A157,표1[#ALL],row(),false)</f>
        <v>#N/A</v>
      </c>
      <c r="AF157" s="376" t="str">
        <f>CS_PID!AF157/VLOOKUP($B157,표2[#ALL],2)/HLOOKUP($A157,표1[#ALL],row(),false)</f>
        <v>#N/A</v>
      </c>
      <c r="AG157" s="376" t="str">
        <f>CS_PID!AG157/VLOOKUP($B157,표2[#ALL],2)/HLOOKUP($A157,표1[#ALL],row(),false)</f>
        <v>#N/A</v>
      </c>
      <c r="AH157" s="376" t="str">
        <f>CS_PID!AH157/VLOOKUP($B157,표2[#ALL],2)/HLOOKUP($A157,표1[#ALL],row(),false)</f>
        <v>#N/A</v>
      </c>
      <c r="AI157" s="376" t="str">
        <f>CS_PID!AI157/VLOOKUP($B157,표2[#ALL],2)/HLOOKUP($A157,표1[#ALL],row(),false)</f>
        <v>#N/A</v>
      </c>
      <c r="AJ157" s="376" t="str">
        <f>CS_PID!AJ157/VLOOKUP($B157,표2[#ALL],2)/HLOOKUP($A157,표1[#ALL],row(),false)</f>
        <v>#N/A</v>
      </c>
      <c r="AK157" s="376" t="str">
        <f>CS_PID!AK157/VLOOKUP($B157,표2[#ALL],2)/HLOOKUP($A157,표1[#ALL],row(),false)</f>
        <v>#N/A</v>
      </c>
      <c r="AL157" s="376" t="str">
        <f>CS_PID!AL157/VLOOKUP($B157,표2[#ALL],2)/HLOOKUP($A157,표1[#ALL],row(),false)</f>
        <v>#N/A</v>
      </c>
      <c r="AM157" s="376" t="str">
        <f>CS_PID!AM157/VLOOKUP($B157,표2[#ALL],2)/HLOOKUP($A157,표1[#ALL],row(),false)</f>
        <v>#N/A</v>
      </c>
      <c r="AN157" s="376" t="str">
        <f>CS_PID!AN157/VLOOKUP($B157,표2[#ALL],2)/HLOOKUP($A157,표1[#ALL],row(),false)</f>
        <v>#N/A</v>
      </c>
      <c r="AO157" s="376" t="str">
        <f>CS_PID!AO157/VLOOKUP($B157,표2[#ALL],2)/HLOOKUP($A157,표1[#ALL],row(),false)</f>
        <v>#N/A</v>
      </c>
      <c r="AP157" s="376" t="str">
        <f>CS_PID!AP157/VLOOKUP($B157,표2[#ALL],2)/HLOOKUP($A157,표1[#ALL],row(),false)</f>
        <v>#N/A</v>
      </c>
      <c r="AQ157" s="376" t="str">
        <f>CS_PID!AQ157/VLOOKUP($B157,표2[#ALL],2)/HLOOKUP($A157,표1[#ALL],row(),false)</f>
        <v>#N/A</v>
      </c>
      <c r="AR157" s="376" t="str">
        <f>CS_PID!AR157/VLOOKUP($B157,표2[#ALL],2)/HLOOKUP($A157,표1[#ALL],row(),false)</f>
        <v>#N/A</v>
      </c>
      <c r="AS157" s="377" t="str">
        <f>CS_PID!AS157/VLOOKUP($B157,표2[#ALL],2)/HLOOKUP($A157,표1[#ALL],row(),false)</f>
        <v>#N/A</v>
      </c>
    </row>
    <row r="158">
      <c r="A158" s="370"/>
      <c r="B158" s="371"/>
      <c r="C158" s="372" t="str">
        <f>CS_PID!C158/VLOOKUP($B158,표2[#ALL],2)</f>
        <v>#N/A</v>
      </c>
      <c r="D158" s="372" t="str">
        <f>CS_PID!D158/VLOOKUP($B158,표2[#ALL],2)</f>
        <v>#N/A</v>
      </c>
      <c r="E158" s="372" t="str">
        <f>CS_PID!E158/VLOOKUP($B158,표2[#ALL],2)</f>
        <v>#N/A</v>
      </c>
      <c r="F158" s="372" t="str">
        <f>CS_PID!F158/VLOOKUP($B158,표2[#ALL],2)</f>
        <v>#N/A</v>
      </c>
      <c r="G158" s="372" t="str">
        <f>CS_PID!G158/VLOOKUP($B158,표2[#ALL],2)</f>
        <v>#N/A</v>
      </c>
      <c r="H158" s="372" t="str">
        <f>CS_PID!H158/VLOOKUP($B158,표2[#ALL],2)/HLOOKUP($A158,표1[#ALL],row(),false)</f>
        <v>#N/A</v>
      </c>
      <c r="I158" s="372" t="str">
        <f>CS_PID!I158/VLOOKUP($B158,표2[#ALL],2)/HLOOKUP($A158,표1[#ALL],row(),false)</f>
        <v>#N/A</v>
      </c>
      <c r="J158" s="372" t="str">
        <f>CS_PID!J158/VLOOKUP($B158,표2[#ALL],2)/HLOOKUP($A158,표1[#ALL],row(),false)</f>
        <v>#N/A</v>
      </c>
      <c r="K158" s="372" t="str">
        <f>CS_PID!K158/VLOOKUP($B158,표2[#ALL],2)/HLOOKUP($A158,표1[#ALL],row(),false)</f>
        <v>#N/A</v>
      </c>
      <c r="L158" s="372" t="str">
        <f>CS_PID!L158/VLOOKUP($B158,표2[#ALL],2)/HLOOKUP($A158,표1[#ALL],row(),false)</f>
        <v>#N/A</v>
      </c>
      <c r="M158" s="372" t="str">
        <f>CS_PID!M158/VLOOKUP($B158,표2[#ALL],2)/HLOOKUP($A158,표1[#ALL],row(),false)</f>
        <v>#N/A</v>
      </c>
      <c r="N158" s="372" t="str">
        <f>CS_PID!N158/VLOOKUP($B158,표2[#ALL],2)/HLOOKUP($A158,표1[#ALL],row(),false)</f>
        <v>#N/A</v>
      </c>
      <c r="O158" s="372" t="str">
        <f>CS_PID!O158/VLOOKUP($B158,표2[#ALL],2)/HLOOKUP($A158,표1[#ALL],row(),false)</f>
        <v>#N/A</v>
      </c>
      <c r="P158" s="372" t="str">
        <f>CS_PID!P158/VLOOKUP($B158,표2[#ALL],2)/HLOOKUP($A158,표1[#ALL],row(),false)</f>
        <v>#N/A</v>
      </c>
      <c r="Q158" s="372" t="str">
        <f>CS_PID!Q158/VLOOKUP($B158,표2[#ALL],2)/HLOOKUP($A158,표1[#ALL],row(),false)</f>
        <v>#N/A</v>
      </c>
      <c r="R158" s="372" t="str">
        <f>CS_PID!R158/VLOOKUP($B158,표2[#ALL],2)/HLOOKUP($A158,표1[#ALL],row(),false)</f>
        <v>#N/A</v>
      </c>
      <c r="S158" s="372" t="str">
        <f>CS_PID!S158/VLOOKUP($B158,표2[#ALL],2)/HLOOKUP($A158,표1[#ALL],row(),false)</f>
        <v>#N/A</v>
      </c>
      <c r="T158" s="372" t="str">
        <f>CS_PID!T158/VLOOKUP($B158,표2[#ALL],2)/HLOOKUP($A158,표1[#ALL],row(),false)</f>
        <v>#N/A</v>
      </c>
      <c r="U158" s="372" t="str">
        <f>CS_PID!U158/VLOOKUP($B158,표2[#ALL],2)/HLOOKUP($A158,표1[#ALL],row(),false)</f>
        <v>#N/A</v>
      </c>
      <c r="V158" s="372" t="str">
        <f>CS_PID!V158/VLOOKUP($B158,표2[#ALL],2)/HLOOKUP($A158,표1[#ALL],row(),false)</f>
        <v>#N/A</v>
      </c>
      <c r="W158" s="372" t="str">
        <f>CS_PID!W158/VLOOKUP($B158,표2[#ALL],2)/HLOOKUP($A158,표1[#ALL],row(),false)</f>
        <v>#N/A</v>
      </c>
      <c r="X158" s="372" t="str">
        <f>CS_PID!X158/VLOOKUP($B158,표2[#ALL],2)/HLOOKUP($A158,표1[#ALL],row(),false)</f>
        <v>#N/A</v>
      </c>
      <c r="Y158" s="372" t="str">
        <f>CS_PID!Y158/VLOOKUP($B158,표2[#ALL],2)/HLOOKUP($A158,표1[#ALL],row(),false)</f>
        <v>#N/A</v>
      </c>
      <c r="Z158" s="372" t="str">
        <f>CS_PID!Z158/VLOOKUP($B158,표2[#ALL],2)/HLOOKUP($A158,표1[#ALL],row(),false)</f>
        <v>#N/A</v>
      </c>
      <c r="AA158" s="372" t="str">
        <f>CS_PID!AA158/VLOOKUP($B158,표2[#ALL],2)/HLOOKUP($A158,표1[#ALL],row(),false)</f>
        <v>#N/A</v>
      </c>
      <c r="AB158" s="372" t="str">
        <f>CS_PID!AB158/VLOOKUP($B158,표2[#ALL],2)/HLOOKUP($A158,표1[#ALL],row(),false)</f>
        <v>#N/A</v>
      </c>
      <c r="AC158" s="372" t="str">
        <f>CS_PID!AC158/VLOOKUP($B158,표2[#ALL],2)/HLOOKUP($A158,표1[#ALL],row(),false)</f>
        <v>#N/A</v>
      </c>
      <c r="AD158" s="372" t="str">
        <f>CS_PID!AD158/VLOOKUP($B158,표2[#ALL],2)/HLOOKUP($A158,표1[#ALL],row(),false)</f>
        <v>#N/A</v>
      </c>
      <c r="AE158" s="372" t="str">
        <f>CS_PID!AE158/VLOOKUP($B158,표2[#ALL],2)/HLOOKUP($A158,표1[#ALL],row(),false)</f>
        <v>#N/A</v>
      </c>
      <c r="AF158" s="372" t="str">
        <f>CS_PID!AF158/VLOOKUP($B158,표2[#ALL],2)/HLOOKUP($A158,표1[#ALL],row(),false)</f>
        <v>#N/A</v>
      </c>
      <c r="AG158" s="372" t="str">
        <f>CS_PID!AG158/VLOOKUP($B158,표2[#ALL],2)/HLOOKUP($A158,표1[#ALL],row(),false)</f>
        <v>#N/A</v>
      </c>
      <c r="AH158" s="372" t="str">
        <f>CS_PID!AH158/VLOOKUP($B158,표2[#ALL],2)/HLOOKUP($A158,표1[#ALL],row(),false)</f>
        <v>#N/A</v>
      </c>
      <c r="AI158" s="372" t="str">
        <f>CS_PID!AI158/VLOOKUP($B158,표2[#ALL],2)/HLOOKUP($A158,표1[#ALL],row(),false)</f>
        <v>#N/A</v>
      </c>
      <c r="AJ158" s="372" t="str">
        <f>CS_PID!AJ158/VLOOKUP($B158,표2[#ALL],2)/HLOOKUP($A158,표1[#ALL],row(),false)</f>
        <v>#N/A</v>
      </c>
      <c r="AK158" s="372" t="str">
        <f>CS_PID!AK158/VLOOKUP($B158,표2[#ALL],2)/HLOOKUP($A158,표1[#ALL],row(),false)</f>
        <v>#N/A</v>
      </c>
      <c r="AL158" s="372" t="str">
        <f>CS_PID!AL158/VLOOKUP($B158,표2[#ALL],2)/HLOOKUP($A158,표1[#ALL],row(),false)</f>
        <v>#N/A</v>
      </c>
      <c r="AM158" s="372" t="str">
        <f>CS_PID!AM158/VLOOKUP($B158,표2[#ALL],2)/HLOOKUP($A158,표1[#ALL],row(),false)</f>
        <v>#N/A</v>
      </c>
      <c r="AN158" s="372" t="str">
        <f>CS_PID!AN158/VLOOKUP($B158,표2[#ALL],2)/HLOOKUP($A158,표1[#ALL],row(),false)</f>
        <v>#N/A</v>
      </c>
      <c r="AO158" s="372" t="str">
        <f>CS_PID!AO158/VLOOKUP($B158,표2[#ALL],2)/HLOOKUP($A158,표1[#ALL],row(),false)</f>
        <v>#N/A</v>
      </c>
      <c r="AP158" s="372" t="str">
        <f>CS_PID!AP158/VLOOKUP($B158,표2[#ALL],2)/HLOOKUP($A158,표1[#ALL],row(),false)</f>
        <v>#N/A</v>
      </c>
      <c r="AQ158" s="372" t="str">
        <f>CS_PID!AQ158/VLOOKUP($B158,표2[#ALL],2)/HLOOKUP($A158,표1[#ALL],row(),false)</f>
        <v>#N/A</v>
      </c>
      <c r="AR158" s="372" t="str">
        <f>CS_PID!AR158/VLOOKUP($B158,표2[#ALL],2)/HLOOKUP($A158,표1[#ALL],row(),false)</f>
        <v>#N/A</v>
      </c>
      <c r="AS158" s="373" t="str">
        <f>CS_PID!AS158/VLOOKUP($B158,표2[#ALL],2)/HLOOKUP($A158,표1[#ALL],row(),false)</f>
        <v>#N/A</v>
      </c>
    </row>
    <row r="159">
      <c r="A159" s="374"/>
      <c r="B159" s="375"/>
      <c r="C159" s="376" t="str">
        <f>CS_PID!C159/VLOOKUP($B159,표2[#ALL],2)</f>
        <v>#N/A</v>
      </c>
      <c r="D159" s="376" t="str">
        <f>CS_PID!D159/VLOOKUP($B159,표2[#ALL],2)</f>
        <v>#N/A</v>
      </c>
      <c r="E159" s="376" t="str">
        <f>CS_PID!E159/VLOOKUP($B159,표2[#ALL],2)</f>
        <v>#N/A</v>
      </c>
      <c r="F159" s="376" t="str">
        <f>CS_PID!F159/VLOOKUP($B159,표2[#ALL],2)</f>
        <v>#N/A</v>
      </c>
      <c r="G159" s="376" t="str">
        <f>CS_PID!G159/VLOOKUP($B159,표2[#ALL],2)</f>
        <v>#N/A</v>
      </c>
      <c r="H159" s="376" t="str">
        <f>CS_PID!H159/VLOOKUP($B159,표2[#ALL],2)/HLOOKUP($A159,표1[#ALL],row(),false)</f>
        <v>#N/A</v>
      </c>
      <c r="I159" s="376" t="str">
        <f>CS_PID!I159/VLOOKUP($B159,표2[#ALL],2)/HLOOKUP($A159,표1[#ALL],row(),false)</f>
        <v>#N/A</v>
      </c>
      <c r="J159" s="376" t="str">
        <f>CS_PID!J159/VLOOKUP($B159,표2[#ALL],2)/HLOOKUP($A159,표1[#ALL],row(),false)</f>
        <v>#N/A</v>
      </c>
      <c r="K159" s="376" t="str">
        <f>CS_PID!K159/VLOOKUP($B159,표2[#ALL],2)/HLOOKUP($A159,표1[#ALL],row(),false)</f>
        <v>#N/A</v>
      </c>
      <c r="L159" s="376" t="str">
        <f>CS_PID!L159/VLOOKUP($B159,표2[#ALL],2)/HLOOKUP($A159,표1[#ALL],row(),false)</f>
        <v>#N/A</v>
      </c>
      <c r="M159" s="376" t="str">
        <f>CS_PID!M159/VLOOKUP($B159,표2[#ALL],2)/HLOOKUP($A159,표1[#ALL],row(),false)</f>
        <v>#N/A</v>
      </c>
      <c r="N159" s="376" t="str">
        <f>CS_PID!N159/VLOOKUP($B159,표2[#ALL],2)/HLOOKUP($A159,표1[#ALL],row(),false)</f>
        <v>#N/A</v>
      </c>
      <c r="O159" s="376" t="str">
        <f>CS_PID!O159/VLOOKUP($B159,표2[#ALL],2)/HLOOKUP($A159,표1[#ALL],row(),false)</f>
        <v>#N/A</v>
      </c>
      <c r="P159" s="376" t="str">
        <f>CS_PID!P159/VLOOKUP($B159,표2[#ALL],2)/HLOOKUP($A159,표1[#ALL],row(),false)</f>
        <v>#N/A</v>
      </c>
      <c r="Q159" s="376" t="str">
        <f>CS_PID!Q159/VLOOKUP($B159,표2[#ALL],2)/HLOOKUP($A159,표1[#ALL],row(),false)</f>
        <v>#N/A</v>
      </c>
      <c r="R159" s="376" t="str">
        <f>CS_PID!R159/VLOOKUP($B159,표2[#ALL],2)/HLOOKUP($A159,표1[#ALL],row(),false)</f>
        <v>#N/A</v>
      </c>
      <c r="S159" s="376" t="str">
        <f>CS_PID!S159/VLOOKUP($B159,표2[#ALL],2)/HLOOKUP($A159,표1[#ALL],row(),false)</f>
        <v>#N/A</v>
      </c>
      <c r="T159" s="376" t="str">
        <f>CS_PID!T159/VLOOKUP($B159,표2[#ALL],2)/HLOOKUP($A159,표1[#ALL],row(),false)</f>
        <v>#N/A</v>
      </c>
      <c r="U159" s="376" t="str">
        <f>CS_PID!U159/VLOOKUP($B159,표2[#ALL],2)/HLOOKUP($A159,표1[#ALL],row(),false)</f>
        <v>#N/A</v>
      </c>
      <c r="V159" s="376" t="str">
        <f>CS_PID!V159/VLOOKUP($B159,표2[#ALL],2)/HLOOKUP($A159,표1[#ALL],row(),false)</f>
        <v>#N/A</v>
      </c>
      <c r="W159" s="376" t="str">
        <f>CS_PID!W159/VLOOKUP($B159,표2[#ALL],2)/HLOOKUP($A159,표1[#ALL],row(),false)</f>
        <v>#N/A</v>
      </c>
      <c r="X159" s="376" t="str">
        <f>CS_PID!X159/VLOOKUP($B159,표2[#ALL],2)/HLOOKUP($A159,표1[#ALL],row(),false)</f>
        <v>#N/A</v>
      </c>
      <c r="Y159" s="376" t="str">
        <f>CS_PID!Y159/VLOOKUP($B159,표2[#ALL],2)/HLOOKUP($A159,표1[#ALL],row(),false)</f>
        <v>#N/A</v>
      </c>
      <c r="Z159" s="376" t="str">
        <f>CS_PID!Z159/VLOOKUP($B159,표2[#ALL],2)/HLOOKUP($A159,표1[#ALL],row(),false)</f>
        <v>#N/A</v>
      </c>
      <c r="AA159" s="376" t="str">
        <f>CS_PID!AA159/VLOOKUP($B159,표2[#ALL],2)/HLOOKUP($A159,표1[#ALL],row(),false)</f>
        <v>#N/A</v>
      </c>
      <c r="AB159" s="376" t="str">
        <f>CS_PID!AB159/VLOOKUP($B159,표2[#ALL],2)/HLOOKUP($A159,표1[#ALL],row(),false)</f>
        <v>#N/A</v>
      </c>
      <c r="AC159" s="376" t="str">
        <f>CS_PID!AC159/VLOOKUP($B159,표2[#ALL],2)/HLOOKUP($A159,표1[#ALL],row(),false)</f>
        <v>#N/A</v>
      </c>
      <c r="AD159" s="376" t="str">
        <f>CS_PID!AD159/VLOOKUP($B159,표2[#ALL],2)/HLOOKUP($A159,표1[#ALL],row(),false)</f>
        <v>#N/A</v>
      </c>
      <c r="AE159" s="376" t="str">
        <f>CS_PID!AE159/VLOOKUP($B159,표2[#ALL],2)/HLOOKUP($A159,표1[#ALL],row(),false)</f>
        <v>#N/A</v>
      </c>
      <c r="AF159" s="376" t="str">
        <f>CS_PID!AF159/VLOOKUP($B159,표2[#ALL],2)/HLOOKUP($A159,표1[#ALL],row(),false)</f>
        <v>#N/A</v>
      </c>
      <c r="AG159" s="376" t="str">
        <f>CS_PID!AG159/VLOOKUP($B159,표2[#ALL],2)/HLOOKUP($A159,표1[#ALL],row(),false)</f>
        <v>#N/A</v>
      </c>
      <c r="AH159" s="376" t="str">
        <f>CS_PID!AH159/VLOOKUP($B159,표2[#ALL],2)/HLOOKUP($A159,표1[#ALL],row(),false)</f>
        <v>#N/A</v>
      </c>
      <c r="AI159" s="376" t="str">
        <f>CS_PID!AI159/VLOOKUP($B159,표2[#ALL],2)/HLOOKUP($A159,표1[#ALL],row(),false)</f>
        <v>#N/A</v>
      </c>
      <c r="AJ159" s="376" t="str">
        <f>CS_PID!AJ159/VLOOKUP($B159,표2[#ALL],2)/HLOOKUP($A159,표1[#ALL],row(),false)</f>
        <v>#N/A</v>
      </c>
      <c r="AK159" s="376" t="str">
        <f>CS_PID!AK159/VLOOKUP($B159,표2[#ALL],2)/HLOOKUP($A159,표1[#ALL],row(),false)</f>
        <v>#N/A</v>
      </c>
      <c r="AL159" s="376" t="str">
        <f>CS_PID!AL159/VLOOKUP($B159,표2[#ALL],2)/HLOOKUP($A159,표1[#ALL],row(),false)</f>
        <v>#N/A</v>
      </c>
      <c r="AM159" s="376" t="str">
        <f>CS_PID!AM159/VLOOKUP($B159,표2[#ALL],2)/HLOOKUP($A159,표1[#ALL],row(),false)</f>
        <v>#N/A</v>
      </c>
      <c r="AN159" s="376" t="str">
        <f>CS_PID!AN159/VLOOKUP($B159,표2[#ALL],2)/HLOOKUP($A159,표1[#ALL],row(),false)</f>
        <v>#N/A</v>
      </c>
      <c r="AO159" s="376" t="str">
        <f>CS_PID!AO159/VLOOKUP($B159,표2[#ALL],2)/HLOOKUP($A159,표1[#ALL],row(),false)</f>
        <v>#N/A</v>
      </c>
      <c r="AP159" s="376" t="str">
        <f>CS_PID!AP159/VLOOKUP($B159,표2[#ALL],2)/HLOOKUP($A159,표1[#ALL],row(),false)</f>
        <v>#N/A</v>
      </c>
      <c r="AQ159" s="376" t="str">
        <f>CS_PID!AQ159/VLOOKUP($B159,표2[#ALL],2)/HLOOKUP($A159,표1[#ALL],row(),false)</f>
        <v>#N/A</v>
      </c>
      <c r="AR159" s="376" t="str">
        <f>CS_PID!AR159/VLOOKUP($B159,표2[#ALL],2)/HLOOKUP($A159,표1[#ALL],row(),false)</f>
        <v>#N/A</v>
      </c>
      <c r="AS159" s="377" t="str">
        <f>CS_PID!AS159/VLOOKUP($B159,표2[#ALL],2)/HLOOKUP($A159,표1[#ALL],row(),false)</f>
        <v>#N/A</v>
      </c>
    </row>
    <row r="160">
      <c r="A160" s="370"/>
      <c r="B160" s="371"/>
      <c r="C160" s="372" t="str">
        <f>CS_PID!C160/VLOOKUP($B160,표2[#ALL],2)</f>
        <v>#N/A</v>
      </c>
      <c r="D160" s="372" t="str">
        <f>CS_PID!D160/VLOOKUP($B160,표2[#ALL],2)</f>
        <v>#N/A</v>
      </c>
      <c r="E160" s="372" t="str">
        <f>CS_PID!E160/VLOOKUP($B160,표2[#ALL],2)</f>
        <v>#N/A</v>
      </c>
      <c r="F160" s="372" t="str">
        <f>CS_PID!F160/VLOOKUP($B160,표2[#ALL],2)</f>
        <v>#N/A</v>
      </c>
      <c r="G160" s="372" t="str">
        <f>CS_PID!G160/VLOOKUP($B160,표2[#ALL],2)</f>
        <v>#N/A</v>
      </c>
      <c r="H160" s="372" t="str">
        <f>CS_PID!H160/VLOOKUP($B160,표2[#ALL],2)/HLOOKUP($A160,표1[#ALL],row(),false)</f>
        <v>#N/A</v>
      </c>
      <c r="I160" s="372" t="str">
        <f>CS_PID!I160/VLOOKUP($B160,표2[#ALL],2)/HLOOKUP($A160,표1[#ALL],row(),false)</f>
        <v>#N/A</v>
      </c>
      <c r="J160" s="372" t="str">
        <f>CS_PID!J160/VLOOKUP($B160,표2[#ALL],2)/HLOOKUP($A160,표1[#ALL],row(),false)</f>
        <v>#N/A</v>
      </c>
      <c r="K160" s="372" t="str">
        <f>CS_PID!K160/VLOOKUP($B160,표2[#ALL],2)/HLOOKUP($A160,표1[#ALL],row(),false)</f>
        <v>#N/A</v>
      </c>
      <c r="L160" s="372" t="str">
        <f>CS_PID!L160/VLOOKUP($B160,표2[#ALL],2)/HLOOKUP($A160,표1[#ALL],row(),false)</f>
        <v>#N/A</v>
      </c>
      <c r="M160" s="372" t="str">
        <f>CS_PID!M160/VLOOKUP($B160,표2[#ALL],2)/HLOOKUP($A160,표1[#ALL],row(),false)</f>
        <v>#N/A</v>
      </c>
      <c r="N160" s="372" t="str">
        <f>CS_PID!N160/VLOOKUP($B160,표2[#ALL],2)/HLOOKUP($A160,표1[#ALL],row(),false)</f>
        <v>#N/A</v>
      </c>
      <c r="O160" s="372" t="str">
        <f>CS_PID!O160/VLOOKUP($B160,표2[#ALL],2)/HLOOKUP($A160,표1[#ALL],row(),false)</f>
        <v>#N/A</v>
      </c>
      <c r="P160" s="372" t="str">
        <f>CS_PID!P160/VLOOKUP($B160,표2[#ALL],2)/HLOOKUP($A160,표1[#ALL],row(),false)</f>
        <v>#N/A</v>
      </c>
      <c r="Q160" s="372" t="str">
        <f>CS_PID!Q160/VLOOKUP($B160,표2[#ALL],2)/HLOOKUP($A160,표1[#ALL],row(),false)</f>
        <v>#N/A</v>
      </c>
      <c r="R160" s="372" t="str">
        <f>CS_PID!R160/VLOOKUP($B160,표2[#ALL],2)/HLOOKUP($A160,표1[#ALL],row(),false)</f>
        <v>#N/A</v>
      </c>
      <c r="S160" s="372" t="str">
        <f>CS_PID!S160/VLOOKUP($B160,표2[#ALL],2)/HLOOKUP($A160,표1[#ALL],row(),false)</f>
        <v>#N/A</v>
      </c>
      <c r="T160" s="372" t="str">
        <f>CS_PID!T160/VLOOKUP($B160,표2[#ALL],2)/HLOOKUP($A160,표1[#ALL],row(),false)</f>
        <v>#N/A</v>
      </c>
      <c r="U160" s="372" t="str">
        <f>CS_PID!U160/VLOOKUP($B160,표2[#ALL],2)/HLOOKUP($A160,표1[#ALL],row(),false)</f>
        <v>#N/A</v>
      </c>
      <c r="V160" s="372" t="str">
        <f>CS_PID!V160/VLOOKUP($B160,표2[#ALL],2)/HLOOKUP($A160,표1[#ALL],row(),false)</f>
        <v>#N/A</v>
      </c>
      <c r="W160" s="372" t="str">
        <f>CS_PID!W160/VLOOKUP($B160,표2[#ALL],2)/HLOOKUP($A160,표1[#ALL],row(),false)</f>
        <v>#N/A</v>
      </c>
      <c r="X160" s="372" t="str">
        <f>CS_PID!X160/VLOOKUP($B160,표2[#ALL],2)/HLOOKUP($A160,표1[#ALL],row(),false)</f>
        <v>#N/A</v>
      </c>
      <c r="Y160" s="372" t="str">
        <f>CS_PID!Y160/VLOOKUP($B160,표2[#ALL],2)/HLOOKUP($A160,표1[#ALL],row(),false)</f>
        <v>#N/A</v>
      </c>
      <c r="Z160" s="372" t="str">
        <f>CS_PID!Z160/VLOOKUP($B160,표2[#ALL],2)/HLOOKUP($A160,표1[#ALL],row(),false)</f>
        <v>#N/A</v>
      </c>
      <c r="AA160" s="372" t="str">
        <f>CS_PID!AA160/VLOOKUP($B160,표2[#ALL],2)/HLOOKUP($A160,표1[#ALL],row(),false)</f>
        <v>#N/A</v>
      </c>
      <c r="AB160" s="372" t="str">
        <f>CS_PID!AB160/VLOOKUP($B160,표2[#ALL],2)/HLOOKUP($A160,표1[#ALL],row(),false)</f>
        <v>#N/A</v>
      </c>
      <c r="AC160" s="372" t="str">
        <f>CS_PID!AC160/VLOOKUP($B160,표2[#ALL],2)/HLOOKUP($A160,표1[#ALL],row(),false)</f>
        <v>#N/A</v>
      </c>
      <c r="AD160" s="372" t="str">
        <f>CS_PID!AD160/VLOOKUP($B160,표2[#ALL],2)/HLOOKUP($A160,표1[#ALL],row(),false)</f>
        <v>#N/A</v>
      </c>
      <c r="AE160" s="372" t="str">
        <f>CS_PID!AE160/VLOOKUP($B160,표2[#ALL],2)/HLOOKUP($A160,표1[#ALL],row(),false)</f>
        <v>#N/A</v>
      </c>
      <c r="AF160" s="372" t="str">
        <f>CS_PID!AF160/VLOOKUP($B160,표2[#ALL],2)/HLOOKUP($A160,표1[#ALL],row(),false)</f>
        <v>#N/A</v>
      </c>
      <c r="AG160" s="372" t="str">
        <f>CS_PID!AG160/VLOOKUP($B160,표2[#ALL],2)/HLOOKUP($A160,표1[#ALL],row(),false)</f>
        <v>#N/A</v>
      </c>
      <c r="AH160" s="372" t="str">
        <f>CS_PID!AH160/VLOOKUP($B160,표2[#ALL],2)/HLOOKUP($A160,표1[#ALL],row(),false)</f>
        <v>#N/A</v>
      </c>
      <c r="AI160" s="372" t="str">
        <f>CS_PID!AI160/VLOOKUP($B160,표2[#ALL],2)/HLOOKUP($A160,표1[#ALL],row(),false)</f>
        <v>#N/A</v>
      </c>
      <c r="AJ160" s="372" t="str">
        <f>CS_PID!AJ160/VLOOKUP($B160,표2[#ALL],2)/HLOOKUP($A160,표1[#ALL],row(),false)</f>
        <v>#N/A</v>
      </c>
      <c r="AK160" s="372" t="str">
        <f>CS_PID!AK160/VLOOKUP($B160,표2[#ALL],2)/HLOOKUP($A160,표1[#ALL],row(),false)</f>
        <v>#N/A</v>
      </c>
      <c r="AL160" s="372" t="str">
        <f>CS_PID!AL160/VLOOKUP($B160,표2[#ALL],2)/HLOOKUP($A160,표1[#ALL],row(),false)</f>
        <v>#N/A</v>
      </c>
      <c r="AM160" s="372" t="str">
        <f>CS_PID!AM160/VLOOKUP($B160,표2[#ALL],2)/HLOOKUP($A160,표1[#ALL],row(),false)</f>
        <v>#N/A</v>
      </c>
      <c r="AN160" s="372" t="str">
        <f>CS_PID!AN160/VLOOKUP($B160,표2[#ALL],2)/HLOOKUP($A160,표1[#ALL],row(),false)</f>
        <v>#N/A</v>
      </c>
      <c r="AO160" s="372" t="str">
        <f>CS_PID!AO160/VLOOKUP($B160,표2[#ALL],2)/HLOOKUP($A160,표1[#ALL],row(),false)</f>
        <v>#N/A</v>
      </c>
      <c r="AP160" s="372" t="str">
        <f>CS_PID!AP160/VLOOKUP($B160,표2[#ALL],2)/HLOOKUP($A160,표1[#ALL],row(),false)</f>
        <v>#N/A</v>
      </c>
      <c r="AQ160" s="372" t="str">
        <f>CS_PID!AQ160/VLOOKUP($B160,표2[#ALL],2)/HLOOKUP($A160,표1[#ALL],row(),false)</f>
        <v>#N/A</v>
      </c>
      <c r="AR160" s="372" t="str">
        <f>CS_PID!AR160/VLOOKUP($B160,표2[#ALL],2)/HLOOKUP($A160,표1[#ALL],row(),false)</f>
        <v>#N/A</v>
      </c>
      <c r="AS160" s="373" t="str">
        <f>CS_PID!AS160/VLOOKUP($B160,표2[#ALL],2)/HLOOKUP($A160,표1[#ALL],row(),false)</f>
        <v>#N/A</v>
      </c>
    </row>
    <row r="161">
      <c r="A161" s="374"/>
      <c r="B161" s="375"/>
      <c r="C161" s="376" t="str">
        <f>CS_PID!C161/VLOOKUP($B161,표2[#ALL],2)</f>
        <v>#N/A</v>
      </c>
      <c r="D161" s="376" t="str">
        <f>CS_PID!D161/VLOOKUP($B161,표2[#ALL],2)</f>
        <v>#N/A</v>
      </c>
      <c r="E161" s="376" t="str">
        <f>CS_PID!E161/VLOOKUP($B161,표2[#ALL],2)</f>
        <v>#N/A</v>
      </c>
      <c r="F161" s="376" t="str">
        <f>CS_PID!F161/VLOOKUP($B161,표2[#ALL],2)</f>
        <v>#N/A</v>
      </c>
      <c r="G161" s="376" t="str">
        <f>CS_PID!G161/VLOOKUP($B161,표2[#ALL],2)</f>
        <v>#N/A</v>
      </c>
      <c r="H161" s="376" t="str">
        <f>CS_PID!H161/VLOOKUP($B161,표2[#ALL],2)/HLOOKUP($A161,표1[#ALL],row(),false)</f>
        <v>#N/A</v>
      </c>
      <c r="I161" s="376" t="str">
        <f>CS_PID!I161/VLOOKUP($B161,표2[#ALL],2)/HLOOKUP($A161,표1[#ALL],row(),false)</f>
        <v>#N/A</v>
      </c>
      <c r="J161" s="376" t="str">
        <f>CS_PID!J161/VLOOKUP($B161,표2[#ALL],2)/HLOOKUP($A161,표1[#ALL],row(),false)</f>
        <v>#N/A</v>
      </c>
      <c r="K161" s="376" t="str">
        <f>CS_PID!K161/VLOOKUP($B161,표2[#ALL],2)/HLOOKUP($A161,표1[#ALL],row(),false)</f>
        <v>#N/A</v>
      </c>
      <c r="L161" s="376" t="str">
        <f>CS_PID!L161/VLOOKUP($B161,표2[#ALL],2)/HLOOKUP($A161,표1[#ALL],row(),false)</f>
        <v>#N/A</v>
      </c>
      <c r="M161" s="376" t="str">
        <f>CS_PID!M161/VLOOKUP($B161,표2[#ALL],2)/HLOOKUP($A161,표1[#ALL],row(),false)</f>
        <v>#N/A</v>
      </c>
      <c r="N161" s="376" t="str">
        <f>CS_PID!N161/VLOOKUP($B161,표2[#ALL],2)/HLOOKUP($A161,표1[#ALL],row(),false)</f>
        <v>#N/A</v>
      </c>
      <c r="O161" s="376" t="str">
        <f>CS_PID!O161/VLOOKUP($B161,표2[#ALL],2)/HLOOKUP($A161,표1[#ALL],row(),false)</f>
        <v>#N/A</v>
      </c>
      <c r="P161" s="376" t="str">
        <f>CS_PID!P161/VLOOKUP($B161,표2[#ALL],2)/HLOOKUP($A161,표1[#ALL],row(),false)</f>
        <v>#N/A</v>
      </c>
      <c r="Q161" s="376" t="str">
        <f>CS_PID!Q161/VLOOKUP($B161,표2[#ALL],2)/HLOOKUP($A161,표1[#ALL],row(),false)</f>
        <v>#N/A</v>
      </c>
      <c r="R161" s="376" t="str">
        <f>CS_PID!R161/VLOOKUP($B161,표2[#ALL],2)/HLOOKUP($A161,표1[#ALL],row(),false)</f>
        <v>#N/A</v>
      </c>
      <c r="S161" s="376" t="str">
        <f>CS_PID!S161/VLOOKUP($B161,표2[#ALL],2)/HLOOKUP($A161,표1[#ALL],row(),false)</f>
        <v>#N/A</v>
      </c>
      <c r="T161" s="376" t="str">
        <f>CS_PID!T161/VLOOKUP($B161,표2[#ALL],2)/HLOOKUP($A161,표1[#ALL],row(),false)</f>
        <v>#N/A</v>
      </c>
      <c r="U161" s="376" t="str">
        <f>CS_PID!U161/VLOOKUP($B161,표2[#ALL],2)/HLOOKUP($A161,표1[#ALL],row(),false)</f>
        <v>#N/A</v>
      </c>
      <c r="V161" s="376" t="str">
        <f>CS_PID!V161/VLOOKUP($B161,표2[#ALL],2)/HLOOKUP($A161,표1[#ALL],row(),false)</f>
        <v>#N/A</v>
      </c>
      <c r="W161" s="376" t="str">
        <f>CS_PID!W161/VLOOKUP($B161,표2[#ALL],2)/HLOOKUP($A161,표1[#ALL],row(),false)</f>
        <v>#N/A</v>
      </c>
      <c r="X161" s="376" t="str">
        <f>CS_PID!X161/VLOOKUP($B161,표2[#ALL],2)/HLOOKUP($A161,표1[#ALL],row(),false)</f>
        <v>#N/A</v>
      </c>
      <c r="Y161" s="376" t="str">
        <f>CS_PID!Y161/VLOOKUP($B161,표2[#ALL],2)/HLOOKUP($A161,표1[#ALL],row(),false)</f>
        <v>#N/A</v>
      </c>
      <c r="Z161" s="376" t="str">
        <f>CS_PID!Z161/VLOOKUP($B161,표2[#ALL],2)/HLOOKUP($A161,표1[#ALL],row(),false)</f>
        <v>#N/A</v>
      </c>
      <c r="AA161" s="376" t="str">
        <f>CS_PID!AA161/VLOOKUP($B161,표2[#ALL],2)/HLOOKUP($A161,표1[#ALL],row(),false)</f>
        <v>#N/A</v>
      </c>
      <c r="AB161" s="376" t="str">
        <f>CS_PID!AB161/VLOOKUP($B161,표2[#ALL],2)/HLOOKUP($A161,표1[#ALL],row(),false)</f>
        <v>#N/A</v>
      </c>
      <c r="AC161" s="376" t="str">
        <f>CS_PID!AC161/VLOOKUP($B161,표2[#ALL],2)/HLOOKUP($A161,표1[#ALL],row(),false)</f>
        <v>#N/A</v>
      </c>
      <c r="AD161" s="376" t="str">
        <f>CS_PID!AD161/VLOOKUP($B161,표2[#ALL],2)/HLOOKUP($A161,표1[#ALL],row(),false)</f>
        <v>#N/A</v>
      </c>
      <c r="AE161" s="376" t="str">
        <f>CS_PID!AE161/VLOOKUP($B161,표2[#ALL],2)/HLOOKUP($A161,표1[#ALL],row(),false)</f>
        <v>#N/A</v>
      </c>
      <c r="AF161" s="376" t="str">
        <f>CS_PID!AF161/VLOOKUP($B161,표2[#ALL],2)/HLOOKUP($A161,표1[#ALL],row(),false)</f>
        <v>#N/A</v>
      </c>
      <c r="AG161" s="376" t="str">
        <f>CS_PID!AG161/VLOOKUP($B161,표2[#ALL],2)/HLOOKUP($A161,표1[#ALL],row(),false)</f>
        <v>#N/A</v>
      </c>
      <c r="AH161" s="376" t="str">
        <f>CS_PID!AH161/VLOOKUP($B161,표2[#ALL],2)/HLOOKUP($A161,표1[#ALL],row(),false)</f>
        <v>#N/A</v>
      </c>
      <c r="AI161" s="376" t="str">
        <f>CS_PID!AI161/VLOOKUP($B161,표2[#ALL],2)/HLOOKUP($A161,표1[#ALL],row(),false)</f>
        <v>#N/A</v>
      </c>
      <c r="AJ161" s="376" t="str">
        <f>CS_PID!AJ161/VLOOKUP($B161,표2[#ALL],2)/HLOOKUP($A161,표1[#ALL],row(),false)</f>
        <v>#N/A</v>
      </c>
      <c r="AK161" s="376" t="str">
        <f>CS_PID!AK161/VLOOKUP($B161,표2[#ALL],2)/HLOOKUP($A161,표1[#ALL],row(),false)</f>
        <v>#N/A</v>
      </c>
      <c r="AL161" s="376" t="str">
        <f>CS_PID!AL161/VLOOKUP($B161,표2[#ALL],2)/HLOOKUP($A161,표1[#ALL],row(),false)</f>
        <v>#N/A</v>
      </c>
      <c r="AM161" s="376" t="str">
        <f>CS_PID!AM161/VLOOKUP($B161,표2[#ALL],2)/HLOOKUP($A161,표1[#ALL],row(),false)</f>
        <v>#N/A</v>
      </c>
      <c r="AN161" s="376" t="str">
        <f>CS_PID!AN161/VLOOKUP($B161,표2[#ALL],2)/HLOOKUP($A161,표1[#ALL],row(),false)</f>
        <v>#N/A</v>
      </c>
      <c r="AO161" s="376" t="str">
        <f>CS_PID!AO161/VLOOKUP($B161,표2[#ALL],2)/HLOOKUP($A161,표1[#ALL],row(),false)</f>
        <v>#N/A</v>
      </c>
      <c r="AP161" s="376" t="str">
        <f>CS_PID!AP161/VLOOKUP($B161,표2[#ALL],2)/HLOOKUP($A161,표1[#ALL],row(),false)</f>
        <v>#N/A</v>
      </c>
      <c r="AQ161" s="376" t="str">
        <f>CS_PID!AQ161/VLOOKUP($B161,표2[#ALL],2)/HLOOKUP($A161,표1[#ALL],row(),false)</f>
        <v>#N/A</v>
      </c>
      <c r="AR161" s="376" t="str">
        <f>CS_PID!AR161/VLOOKUP($B161,표2[#ALL],2)/HLOOKUP($A161,표1[#ALL],row(),false)</f>
        <v>#N/A</v>
      </c>
      <c r="AS161" s="377" t="str">
        <f>CS_PID!AS161/VLOOKUP($B161,표2[#ALL],2)/HLOOKUP($A161,표1[#ALL],row(),false)</f>
        <v>#N/A</v>
      </c>
    </row>
    <row r="162">
      <c r="A162" s="370"/>
      <c r="B162" s="371"/>
      <c r="C162" s="372" t="str">
        <f>CS_PID!C162/VLOOKUP($B162,표2[#ALL],2)</f>
        <v>#N/A</v>
      </c>
      <c r="D162" s="372" t="str">
        <f>CS_PID!D162/VLOOKUP($B162,표2[#ALL],2)</f>
        <v>#N/A</v>
      </c>
      <c r="E162" s="372" t="str">
        <f>CS_PID!E162/VLOOKUP($B162,표2[#ALL],2)</f>
        <v>#N/A</v>
      </c>
      <c r="F162" s="372" t="str">
        <f>CS_PID!F162/VLOOKUP($B162,표2[#ALL],2)</f>
        <v>#N/A</v>
      </c>
      <c r="G162" s="372" t="str">
        <f>CS_PID!G162/VLOOKUP($B162,표2[#ALL],2)</f>
        <v>#N/A</v>
      </c>
      <c r="H162" s="372" t="str">
        <f>CS_PID!H162/VLOOKUP($B162,표2[#ALL],2)/HLOOKUP($A162,표1[#ALL],row(),false)</f>
        <v>#N/A</v>
      </c>
      <c r="I162" s="372" t="str">
        <f>CS_PID!I162/VLOOKUP($B162,표2[#ALL],2)/HLOOKUP($A162,표1[#ALL],row(),false)</f>
        <v>#N/A</v>
      </c>
      <c r="J162" s="372" t="str">
        <f>CS_PID!J162/VLOOKUP($B162,표2[#ALL],2)/HLOOKUP($A162,표1[#ALL],row(),false)</f>
        <v>#N/A</v>
      </c>
      <c r="K162" s="372" t="str">
        <f>CS_PID!K162/VLOOKUP($B162,표2[#ALL],2)/HLOOKUP($A162,표1[#ALL],row(),false)</f>
        <v>#N/A</v>
      </c>
      <c r="L162" s="372" t="str">
        <f>CS_PID!L162/VLOOKUP($B162,표2[#ALL],2)/HLOOKUP($A162,표1[#ALL],row(),false)</f>
        <v>#N/A</v>
      </c>
      <c r="M162" s="372" t="str">
        <f>CS_PID!M162/VLOOKUP($B162,표2[#ALL],2)/HLOOKUP($A162,표1[#ALL],row(),false)</f>
        <v>#N/A</v>
      </c>
      <c r="N162" s="372" t="str">
        <f>CS_PID!N162/VLOOKUP($B162,표2[#ALL],2)/HLOOKUP($A162,표1[#ALL],row(),false)</f>
        <v>#N/A</v>
      </c>
      <c r="O162" s="372" t="str">
        <f>CS_PID!O162/VLOOKUP($B162,표2[#ALL],2)/HLOOKUP($A162,표1[#ALL],row(),false)</f>
        <v>#N/A</v>
      </c>
      <c r="P162" s="372" t="str">
        <f>CS_PID!P162/VLOOKUP($B162,표2[#ALL],2)/HLOOKUP($A162,표1[#ALL],row(),false)</f>
        <v>#N/A</v>
      </c>
      <c r="Q162" s="372" t="str">
        <f>CS_PID!Q162/VLOOKUP($B162,표2[#ALL],2)/HLOOKUP($A162,표1[#ALL],row(),false)</f>
        <v>#N/A</v>
      </c>
      <c r="R162" s="372" t="str">
        <f>CS_PID!R162/VLOOKUP($B162,표2[#ALL],2)/HLOOKUP($A162,표1[#ALL],row(),false)</f>
        <v>#N/A</v>
      </c>
      <c r="S162" s="372" t="str">
        <f>CS_PID!S162/VLOOKUP($B162,표2[#ALL],2)/HLOOKUP($A162,표1[#ALL],row(),false)</f>
        <v>#N/A</v>
      </c>
      <c r="T162" s="372" t="str">
        <f>CS_PID!T162/VLOOKUP($B162,표2[#ALL],2)/HLOOKUP($A162,표1[#ALL],row(),false)</f>
        <v>#N/A</v>
      </c>
      <c r="U162" s="372" t="str">
        <f>CS_PID!U162/VLOOKUP($B162,표2[#ALL],2)/HLOOKUP($A162,표1[#ALL],row(),false)</f>
        <v>#N/A</v>
      </c>
      <c r="V162" s="372" t="str">
        <f>CS_PID!V162/VLOOKUP($B162,표2[#ALL],2)/HLOOKUP($A162,표1[#ALL],row(),false)</f>
        <v>#N/A</v>
      </c>
      <c r="W162" s="372" t="str">
        <f>CS_PID!W162/VLOOKUP($B162,표2[#ALL],2)/HLOOKUP($A162,표1[#ALL],row(),false)</f>
        <v>#N/A</v>
      </c>
      <c r="X162" s="372" t="str">
        <f>CS_PID!X162/VLOOKUP($B162,표2[#ALL],2)/HLOOKUP($A162,표1[#ALL],row(),false)</f>
        <v>#N/A</v>
      </c>
      <c r="Y162" s="372" t="str">
        <f>CS_PID!Y162/VLOOKUP($B162,표2[#ALL],2)/HLOOKUP($A162,표1[#ALL],row(),false)</f>
        <v>#N/A</v>
      </c>
      <c r="Z162" s="372" t="str">
        <f>CS_PID!Z162/VLOOKUP($B162,표2[#ALL],2)/HLOOKUP($A162,표1[#ALL],row(),false)</f>
        <v>#N/A</v>
      </c>
      <c r="AA162" s="372" t="str">
        <f>CS_PID!AA162/VLOOKUP($B162,표2[#ALL],2)/HLOOKUP($A162,표1[#ALL],row(),false)</f>
        <v>#N/A</v>
      </c>
      <c r="AB162" s="372" t="str">
        <f>CS_PID!AB162/VLOOKUP($B162,표2[#ALL],2)/HLOOKUP($A162,표1[#ALL],row(),false)</f>
        <v>#N/A</v>
      </c>
      <c r="AC162" s="372" t="str">
        <f>CS_PID!AC162/VLOOKUP($B162,표2[#ALL],2)/HLOOKUP($A162,표1[#ALL],row(),false)</f>
        <v>#N/A</v>
      </c>
      <c r="AD162" s="372" t="str">
        <f>CS_PID!AD162/VLOOKUP($B162,표2[#ALL],2)/HLOOKUP($A162,표1[#ALL],row(),false)</f>
        <v>#N/A</v>
      </c>
      <c r="AE162" s="372" t="str">
        <f>CS_PID!AE162/VLOOKUP($B162,표2[#ALL],2)/HLOOKUP($A162,표1[#ALL],row(),false)</f>
        <v>#N/A</v>
      </c>
      <c r="AF162" s="372" t="str">
        <f>CS_PID!AF162/VLOOKUP($B162,표2[#ALL],2)/HLOOKUP($A162,표1[#ALL],row(),false)</f>
        <v>#N/A</v>
      </c>
      <c r="AG162" s="372" t="str">
        <f>CS_PID!AG162/VLOOKUP($B162,표2[#ALL],2)/HLOOKUP($A162,표1[#ALL],row(),false)</f>
        <v>#N/A</v>
      </c>
      <c r="AH162" s="372" t="str">
        <f>CS_PID!AH162/VLOOKUP($B162,표2[#ALL],2)/HLOOKUP($A162,표1[#ALL],row(),false)</f>
        <v>#N/A</v>
      </c>
      <c r="AI162" s="372" t="str">
        <f>CS_PID!AI162/VLOOKUP($B162,표2[#ALL],2)/HLOOKUP($A162,표1[#ALL],row(),false)</f>
        <v>#N/A</v>
      </c>
      <c r="AJ162" s="372" t="str">
        <f>CS_PID!AJ162/VLOOKUP($B162,표2[#ALL],2)/HLOOKUP($A162,표1[#ALL],row(),false)</f>
        <v>#N/A</v>
      </c>
      <c r="AK162" s="372" t="str">
        <f>CS_PID!AK162/VLOOKUP($B162,표2[#ALL],2)/HLOOKUP($A162,표1[#ALL],row(),false)</f>
        <v>#N/A</v>
      </c>
      <c r="AL162" s="372" t="str">
        <f>CS_PID!AL162/VLOOKUP($B162,표2[#ALL],2)/HLOOKUP($A162,표1[#ALL],row(),false)</f>
        <v>#N/A</v>
      </c>
      <c r="AM162" s="372" t="str">
        <f>CS_PID!AM162/VLOOKUP($B162,표2[#ALL],2)/HLOOKUP($A162,표1[#ALL],row(),false)</f>
        <v>#N/A</v>
      </c>
      <c r="AN162" s="372" t="str">
        <f>CS_PID!AN162/VLOOKUP($B162,표2[#ALL],2)/HLOOKUP($A162,표1[#ALL],row(),false)</f>
        <v>#N/A</v>
      </c>
      <c r="AO162" s="372" t="str">
        <f>CS_PID!AO162/VLOOKUP($B162,표2[#ALL],2)/HLOOKUP($A162,표1[#ALL],row(),false)</f>
        <v>#N/A</v>
      </c>
      <c r="AP162" s="372" t="str">
        <f>CS_PID!AP162/VLOOKUP($B162,표2[#ALL],2)/HLOOKUP($A162,표1[#ALL],row(),false)</f>
        <v>#N/A</v>
      </c>
      <c r="AQ162" s="372" t="str">
        <f>CS_PID!AQ162/VLOOKUP($B162,표2[#ALL],2)/HLOOKUP($A162,표1[#ALL],row(),false)</f>
        <v>#N/A</v>
      </c>
      <c r="AR162" s="372" t="str">
        <f>CS_PID!AR162/VLOOKUP($B162,표2[#ALL],2)/HLOOKUP($A162,표1[#ALL],row(),false)</f>
        <v>#N/A</v>
      </c>
      <c r="AS162" s="373" t="str">
        <f>CS_PID!AS162/VLOOKUP($B162,표2[#ALL],2)/HLOOKUP($A162,표1[#ALL],row(),false)</f>
        <v>#N/A</v>
      </c>
    </row>
    <row r="163">
      <c r="A163" s="374"/>
      <c r="B163" s="375"/>
      <c r="C163" s="376" t="str">
        <f>CS_PID!C163/VLOOKUP($B163,표2[#ALL],2)</f>
        <v>#N/A</v>
      </c>
      <c r="D163" s="376" t="str">
        <f>CS_PID!D163/VLOOKUP($B163,표2[#ALL],2)</f>
        <v>#N/A</v>
      </c>
      <c r="E163" s="376" t="str">
        <f>CS_PID!E163/VLOOKUP($B163,표2[#ALL],2)</f>
        <v>#N/A</v>
      </c>
      <c r="F163" s="376" t="str">
        <f>CS_PID!F163/VLOOKUP($B163,표2[#ALL],2)</f>
        <v>#N/A</v>
      </c>
      <c r="G163" s="376" t="str">
        <f>CS_PID!G163/VLOOKUP($B163,표2[#ALL],2)</f>
        <v>#N/A</v>
      </c>
      <c r="H163" s="376" t="str">
        <f>CS_PID!H163/VLOOKUP($B163,표2[#ALL],2)/HLOOKUP($A163,표1[#ALL],row(),false)</f>
        <v>#N/A</v>
      </c>
      <c r="I163" s="376" t="str">
        <f>CS_PID!I163/VLOOKUP($B163,표2[#ALL],2)/HLOOKUP($A163,표1[#ALL],row(),false)</f>
        <v>#N/A</v>
      </c>
      <c r="J163" s="376" t="str">
        <f>CS_PID!J163/VLOOKUP($B163,표2[#ALL],2)/HLOOKUP($A163,표1[#ALL],row(),false)</f>
        <v>#N/A</v>
      </c>
      <c r="K163" s="376" t="str">
        <f>CS_PID!K163/VLOOKUP($B163,표2[#ALL],2)/HLOOKUP($A163,표1[#ALL],row(),false)</f>
        <v>#N/A</v>
      </c>
      <c r="L163" s="376" t="str">
        <f>CS_PID!L163/VLOOKUP($B163,표2[#ALL],2)/HLOOKUP($A163,표1[#ALL],row(),false)</f>
        <v>#N/A</v>
      </c>
      <c r="M163" s="376" t="str">
        <f>CS_PID!M163/VLOOKUP($B163,표2[#ALL],2)/HLOOKUP($A163,표1[#ALL],row(),false)</f>
        <v>#N/A</v>
      </c>
      <c r="N163" s="376" t="str">
        <f>CS_PID!N163/VLOOKUP($B163,표2[#ALL],2)/HLOOKUP($A163,표1[#ALL],row(),false)</f>
        <v>#N/A</v>
      </c>
      <c r="O163" s="376" t="str">
        <f>CS_PID!O163/VLOOKUP($B163,표2[#ALL],2)/HLOOKUP($A163,표1[#ALL],row(),false)</f>
        <v>#N/A</v>
      </c>
      <c r="P163" s="376" t="str">
        <f>CS_PID!P163/VLOOKUP($B163,표2[#ALL],2)/HLOOKUP($A163,표1[#ALL],row(),false)</f>
        <v>#N/A</v>
      </c>
      <c r="Q163" s="376" t="str">
        <f>CS_PID!Q163/VLOOKUP($B163,표2[#ALL],2)/HLOOKUP($A163,표1[#ALL],row(),false)</f>
        <v>#N/A</v>
      </c>
      <c r="R163" s="376" t="str">
        <f>CS_PID!R163/VLOOKUP($B163,표2[#ALL],2)/HLOOKUP($A163,표1[#ALL],row(),false)</f>
        <v>#N/A</v>
      </c>
      <c r="S163" s="376" t="str">
        <f>CS_PID!S163/VLOOKUP($B163,표2[#ALL],2)/HLOOKUP($A163,표1[#ALL],row(),false)</f>
        <v>#N/A</v>
      </c>
      <c r="T163" s="376" t="str">
        <f>CS_PID!T163/VLOOKUP($B163,표2[#ALL],2)/HLOOKUP($A163,표1[#ALL],row(),false)</f>
        <v>#N/A</v>
      </c>
      <c r="U163" s="376" t="str">
        <f>CS_PID!U163/VLOOKUP($B163,표2[#ALL],2)/HLOOKUP($A163,표1[#ALL],row(),false)</f>
        <v>#N/A</v>
      </c>
      <c r="V163" s="376" t="str">
        <f>CS_PID!V163/VLOOKUP($B163,표2[#ALL],2)/HLOOKUP($A163,표1[#ALL],row(),false)</f>
        <v>#N/A</v>
      </c>
      <c r="W163" s="376" t="str">
        <f>CS_PID!W163/VLOOKUP($B163,표2[#ALL],2)/HLOOKUP($A163,표1[#ALL],row(),false)</f>
        <v>#N/A</v>
      </c>
      <c r="X163" s="376" t="str">
        <f>CS_PID!X163/VLOOKUP($B163,표2[#ALL],2)/HLOOKUP($A163,표1[#ALL],row(),false)</f>
        <v>#N/A</v>
      </c>
      <c r="Y163" s="376" t="str">
        <f>CS_PID!Y163/VLOOKUP($B163,표2[#ALL],2)/HLOOKUP($A163,표1[#ALL],row(),false)</f>
        <v>#N/A</v>
      </c>
      <c r="Z163" s="376" t="str">
        <f>CS_PID!Z163/VLOOKUP($B163,표2[#ALL],2)/HLOOKUP($A163,표1[#ALL],row(),false)</f>
        <v>#N/A</v>
      </c>
      <c r="AA163" s="376" t="str">
        <f>CS_PID!AA163/VLOOKUP($B163,표2[#ALL],2)/HLOOKUP($A163,표1[#ALL],row(),false)</f>
        <v>#N/A</v>
      </c>
      <c r="AB163" s="376" t="str">
        <f>CS_PID!AB163/VLOOKUP($B163,표2[#ALL],2)/HLOOKUP($A163,표1[#ALL],row(),false)</f>
        <v>#N/A</v>
      </c>
      <c r="AC163" s="376" t="str">
        <f>CS_PID!AC163/VLOOKUP($B163,표2[#ALL],2)/HLOOKUP($A163,표1[#ALL],row(),false)</f>
        <v>#N/A</v>
      </c>
      <c r="AD163" s="376" t="str">
        <f>CS_PID!AD163/VLOOKUP($B163,표2[#ALL],2)/HLOOKUP($A163,표1[#ALL],row(),false)</f>
        <v>#N/A</v>
      </c>
      <c r="AE163" s="376" t="str">
        <f>CS_PID!AE163/VLOOKUP($B163,표2[#ALL],2)/HLOOKUP($A163,표1[#ALL],row(),false)</f>
        <v>#N/A</v>
      </c>
      <c r="AF163" s="376" t="str">
        <f>CS_PID!AF163/VLOOKUP($B163,표2[#ALL],2)/HLOOKUP($A163,표1[#ALL],row(),false)</f>
        <v>#N/A</v>
      </c>
      <c r="AG163" s="376" t="str">
        <f>CS_PID!AG163/VLOOKUP($B163,표2[#ALL],2)/HLOOKUP($A163,표1[#ALL],row(),false)</f>
        <v>#N/A</v>
      </c>
      <c r="AH163" s="376" t="str">
        <f>CS_PID!AH163/VLOOKUP($B163,표2[#ALL],2)/HLOOKUP($A163,표1[#ALL],row(),false)</f>
        <v>#N/A</v>
      </c>
      <c r="AI163" s="376" t="str">
        <f>CS_PID!AI163/VLOOKUP($B163,표2[#ALL],2)/HLOOKUP($A163,표1[#ALL],row(),false)</f>
        <v>#N/A</v>
      </c>
      <c r="AJ163" s="376" t="str">
        <f>CS_PID!AJ163/VLOOKUP($B163,표2[#ALL],2)/HLOOKUP($A163,표1[#ALL],row(),false)</f>
        <v>#N/A</v>
      </c>
      <c r="AK163" s="376" t="str">
        <f>CS_PID!AK163/VLOOKUP($B163,표2[#ALL],2)/HLOOKUP($A163,표1[#ALL],row(),false)</f>
        <v>#N/A</v>
      </c>
      <c r="AL163" s="376" t="str">
        <f>CS_PID!AL163/VLOOKUP($B163,표2[#ALL],2)/HLOOKUP($A163,표1[#ALL],row(),false)</f>
        <v>#N/A</v>
      </c>
      <c r="AM163" s="376" t="str">
        <f>CS_PID!AM163/VLOOKUP($B163,표2[#ALL],2)/HLOOKUP($A163,표1[#ALL],row(),false)</f>
        <v>#N/A</v>
      </c>
      <c r="AN163" s="376" t="str">
        <f>CS_PID!AN163/VLOOKUP($B163,표2[#ALL],2)/HLOOKUP($A163,표1[#ALL],row(),false)</f>
        <v>#N/A</v>
      </c>
      <c r="AO163" s="376" t="str">
        <f>CS_PID!AO163/VLOOKUP($B163,표2[#ALL],2)/HLOOKUP($A163,표1[#ALL],row(),false)</f>
        <v>#N/A</v>
      </c>
      <c r="AP163" s="376" t="str">
        <f>CS_PID!AP163/VLOOKUP($B163,표2[#ALL],2)/HLOOKUP($A163,표1[#ALL],row(),false)</f>
        <v>#N/A</v>
      </c>
      <c r="AQ163" s="376" t="str">
        <f>CS_PID!AQ163/VLOOKUP($B163,표2[#ALL],2)/HLOOKUP($A163,표1[#ALL],row(),false)</f>
        <v>#N/A</v>
      </c>
      <c r="AR163" s="376" t="str">
        <f>CS_PID!AR163/VLOOKUP($B163,표2[#ALL],2)/HLOOKUP($A163,표1[#ALL],row(),false)</f>
        <v>#N/A</v>
      </c>
      <c r="AS163" s="377" t="str">
        <f>CS_PID!AS163/VLOOKUP($B163,표2[#ALL],2)/HLOOKUP($A163,표1[#ALL],row(),false)</f>
        <v>#N/A</v>
      </c>
    </row>
    <row r="164">
      <c r="A164" s="370"/>
      <c r="B164" s="371"/>
      <c r="C164" s="372" t="str">
        <f>CS_PID!C164/VLOOKUP($B164,표2[#ALL],2)</f>
        <v>#N/A</v>
      </c>
      <c r="D164" s="372" t="str">
        <f>CS_PID!D164/VLOOKUP($B164,표2[#ALL],2)</f>
        <v>#N/A</v>
      </c>
      <c r="E164" s="372" t="str">
        <f>CS_PID!E164/VLOOKUP($B164,표2[#ALL],2)</f>
        <v>#N/A</v>
      </c>
      <c r="F164" s="372" t="str">
        <f>CS_PID!F164/VLOOKUP($B164,표2[#ALL],2)</f>
        <v>#N/A</v>
      </c>
      <c r="G164" s="372" t="str">
        <f>CS_PID!G164/VLOOKUP($B164,표2[#ALL],2)</f>
        <v>#N/A</v>
      </c>
      <c r="H164" s="372" t="str">
        <f>CS_PID!H164/VLOOKUP($B164,표2[#ALL],2)/HLOOKUP($A164,표1[#ALL],row(),false)</f>
        <v>#N/A</v>
      </c>
      <c r="I164" s="372" t="str">
        <f>CS_PID!I164/VLOOKUP($B164,표2[#ALL],2)/HLOOKUP($A164,표1[#ALL],row(),false)</f>
        <v>#N/A</v>
      </c>
      <c r="J164" s="372" t="str">
        <f>CS_PID!J164/VLOOKUP($B164,표2[#ALL],2)/HLOOKUP($A164,표1[#ALL],row(),false)</f>
        <v>#N/A</v>
      </c>
      <c r="K164" s="372" t="str">
        <f>CS_PID!K164/VLOOKUP($B164,표2[#ALL],2)/HLOOKUP($A164,표1[#ALL],row(),false)</f>
        <v>#N/A</v>
      </c>
      <c r="L164" s="372" t="str">
        <f>CS_PID!L164/VLOOKUP($B164,표2[#ALL],2)/HLOOKUP($A164,표1[#ALL],row(),false)</f>
        <v>#N/A</v>
      </c>
      <c r="M164" s="372" t="str">
        <f>CS_PID!M164/VLOOKUP($B164,표2[#ALL],2)/HLOOKUP($A164,표1[#ALL],row(),false)</f>
        <v>#N/A</v>
      </c>
      <c r="N164" s="372" t="str">
        <f>CS_PID!N164/VLOOKUP($B164,표2[#ALL],2)/HLOOKUP($A164,표1[#ALL],row(),false)</f>
        <v>#N/A</v>
      </c>
      <c r="O164" s="372" t="str">
        <f>CS_PID!O164/VLOOKUP($B164,표2[#ALL],2)/HLOOKUP($A164,표1[#ALL],row(),false)</f>
        <v>#N/A</v>
      </c>
      <c r="P164" s="372" t="str">
        <f>CS_PID!P164/VLOOKUP($B164,표2[#ALL],2)/HLOOKUP($A164,표1[#ALL],row(),false)</f>
        <v>#N/A</v>
      </c>
      <c r="Q164" s="372" t="str">
        <f>CS_PID!Q164/VLOOKUP($B164,표2[#ALL],2)/HLOOKUP($A164,표1[#ALL],row(),false)</f>
        <v>#N/A</v>
      </c>
      <c r="R164" s="372" t="str">
        <f>CS_PID!R164/VLOOKUP($B164,표2[#ALL],2)/HLOOKUP($A164,표1[#ALL],row(),false)</f>
        <v>#N/A</v>
      </c>
      <c r="S164" s="372" t="str">
        <f>CS_PID!S164/VLOOKUP($B164,표2[#ALL],2)/HLOOKUP($A164,표1[#ALL],row(),false)</f>
        <v>#N/A</v>
      </c>
      <c r="T164" s="372" t="str">
        <f>CS_PID!T164/VLOOKUP($B164,표2[#ALL],2)/HLOOKUP($A164,표1[#ALL],row(),false)</f>
        <v>#N/A</v>
      </c>
      <c r="U164" s="372" t="str">
        <f>CS_PID!U164/VLOOKUP($B164,표2[#ALL],2)/HLOOKUP($A164,표1[#ALL],row(),false)</f>
        <v>#N/A</v>
      </c>
      <c r="V164" s="372" t="str">
        <f>CS_PID!V164/VLOOKUP($B164,표2[#ALL],2)/HLOOKUP($A164,표1[#ALL],row(),false)</f>
        <v>#N/A</v>
      </c>
      <c r="W164" s="372" t="str">
        <f>CS_PID!W164/VLOOKUP($B164,표2[#ALL],2)/HLOOKUP($A164,표1[#ALL],row(),false)</f>
        <v>#N/A</v>
      </c>
      <c r="X164" s="372" t="str">
        <f>CS_PID!X164/VLOOKUP($B164,표2[#ALL],2)/HLOOKUP($A164,표1[#ALL],row(),false)</f>
        <v>#N/A</v>
      </c>
      <c r="Y164" s="372" t="str">
        <f>CS_PID!Y164/VLOOKUP($B164,표2[#ALL],2)/HLOOKUP($A164,표1[#ALL],row(),false)</f>
        <v>#N/A</v>
      </c>
      <c r="Z164" s="372" t="str">
        <f>CS_PID!Z164/VLOOKUP($B164,표2[#ALL],2)/HLOOKUP($A164,표1[#ALL],row(),false)</f>
        <v>#N/A</v>
      </c>
      <c r="AA164" s="372" t="str">
        <f>CS_PID!AA164/VLOOKUP($B164,표2[#ALL],2)/HLOOKUP($A164,표1[#ALL],row(),false)</f>
        <v>#N/A</v>
      </c>
      <c r="AB164" s="372" t="str">
        <f>CS_PID!AB164/VLOOKUP($B164,표2[#ALL],2)/HLOOKUP($A164,표1[#ALL],row(),false)</f>
        <v>#N/A</v>
      </c>
      <c r="AC164" s="372" t="str">
        <f>CS_PID!AC164/VLOOKUP($B164,표2[#ALL],2)/HLOOKUP($A164,표1[#ALL],row(),false)</f>
        <v>#N/A</v>
      </c>
      <c r="AD164" s="372" t="str">
        <f>CS_PID!AD164/VLOOKUP($B164,표2[#ALL],2)/HLOOKUP($A164,표1[#ALL],row(),false)</f>
        <v>#N/A</v>
      </c>
      <c r="AE164" s="372" t="str">
        <f>CS_PID!AE164/VLOOKUP($B164,표2[#ALL],2)/HLOOKUP($A164,표1[#ALL],row(),false)</f>
        <v>#N/A</v>
      </c>
      <c r="AF164" s="372" t="str">
        <f>CS_PID!AF164/VLOOKUP($B164,표2[#ALL],2)/HLOOKUP($A164,표1[#ALL],row(),false)</f>
        <v>#N/A</v>
      </c>
      <c r="AG164" s="372" t="str">
        <f>CS_PID!AG164/VLOOKUP($B164,표2[#ALL],2)/HLOOKUP($A164,표1[#ALL],row(),false)</f>
        <v>#N/A</v>
      </c>
      <c r="AH164" s="372" t="str">
        <f>CS_PID!AH164/VLOOKUP($B164,표2[#ALL],2)/HLOOKUP($A164,표1[#ALL],row(),false)</f>
        <v>#N/A</v>
      </c>
      <c r="AI164" s="372" t="str">
        <f>CS_PID!AI164/VLOOKUP($B164,표2[#ALL],2)/HLOOKUP($A164,표1[#ALL],row(),false)</f>
        <v>#N/A</v>
      </c>
      <c r="AJ164" s="372" t="str">
        <f>CS_PID!AJ164/VLOOKUP($B164,표2[#ALL],2)/HLOOKUP($A164,표1[#ALL],row(),false)</f>
        <v>#N/A</v>
      </c>
      <c r="AK164" s="372" t="str">
        <f>CS_PID!AK164/VLOOKUP($B164,표2[#ALL],2)/HLOOKUP($A164,표1[#ALL],row(),false)</f>
        <v>#N/A</v>
      </c>
      <c r="AL164" s="372" t="str">
        <f>CS_PID!AL164/VLOOKUP($B164,표2[#ALL],2)/HLOOKUP($A164,표1[#ALL],row(),false)</f>
        <v>#N/A</v>
      </c>
      <c r="AM164" s="372" t="str">
        <f>CS_PID!AM164/VLOOKUP($B164,표2[#ALL],2)/HLOOKUP($A164,표1[#ALL],row(),false)</f>
        <v>#N/A</v>
      </c>
      <c r="AN164" s="372" t="str">
        <f>CS_PID!AN164/VLOOKUP($B164,표2[#ALL],2)/HLOOKUP($A164,표1[#ALL],row(),false)</f>
        <v>#N/A</v>
      </c>
      <c r="AO164" s="372" t="str">
        <f>CS_PID!AO164/VLOOKUP($B164,표2[#ALL],2)/HLOOKUP($A164,표1[#ALL],row(),false)</f>
        <v>#N/A</v>
      </c>
      <c r="AP164" s="372" t="str">
        <f>CS_PID!AP164/VLOOKUP($B164,표2[#ALL],2)/HLOOKUP($A164,표1[#ALL],row(),false)</f>
        <v>#N/A</v>
      </c>
      <c r="AQ164" s="372" t="str">
        <f>CS_PID!AQ164/VLOOKUP($B164,표2[#ALL],2)/HLOOKUP($A164,표1[#ALL],row(),false)</f>
        <v>#N/A</v>
      </c>
      <c r="AR164" s="372" t="str">
        <f>CS_PID!AR164/VLOOKUP($B164,표2[#ALL],2)/HLOOKUP($A164,표1[#ALL],row(),false)</f>
        <v>#N/A</v>
      </c>
      <c r="AS164" s="373" t="str">
        <f>CS_PID!AS164/VLOOKUP($B164,표2[#ALL],2)/HLOOKUP($A164,표1[#ALL],row(),false)</f>
        <v>#N/A</v>
      </c>
    </row>
    <row r="165">
      <c r="A165" s="374"/>
      <c r="B165" s="375"/>
      <c r="C165" s="376" t="str">
        <f>CS_PID!C165/VLOOKUP($B165,표2[#ALL],2)</f>
        <v>#N/A</v>
      </c>
      <c r="D165" s="376" t="str">
        <f>CS_PID!D165/VLOOKUP($B165,표2[#ALL],2)</f>
        <v>#N/A</v>
      </c>
      <c r="E165" s="376" t="str">
        <f>CS_PID!E165/VLOOKUP($B165,표2[#ALL],2)</f>
        <v>#N/A</v>
      </c>
      <c r="F165" s="376" t="str">
        <f>CS_PID!F165/VLOOKUP($B165,표2[#ALL],2)</f>
        <v>#N/A</v>
      </c>
      <c r="G165" s="376" t="str">
        <f>CS_PID!G165/VLOOKUP($B165,표2[#ALL],2)</f>
        <v>#N/A</v>
      </c>
      <c r="H165" s="376" t="str">
        <f>CS_PID!H165/VLOOKUP($B165,표2[#ALL],2)/HLOOKUP($A165,표1[#ALL],row(),false)</f>
        <v>#N/A</v>
      </c>
      <c r="I165" s="376" t="str">
        <f>CS_PID!I165/VLOOKUP($B165,표2[#ALL],2)/HLOOKUP($A165,표1[#ALL],row(),false)</f>
        <v>#N/A</v>
      </c>
      <c r="J165" s="376" t="str">
        <f>CS_PID!J165/VLOOKUP($B165,표2[#ALL],2)/HLOOKUP($A165,표1[#ALL],row(),false)</f>
        <v>#N/A</v>
      </c>
      <c r="K165" s="376" t="str">
        <f>CS_PID!K165/VLOOKUP($B165,표2[#ALL],2)/HLOOKUP($A165,표1[#ALL],row(),false)</f>
        <v>#N/A</v>
      </c>
      <c r="L165" s="376" t="str">
        <f>CS_PID!L165/VLOOKUP($B165,표2[#ALL],2)/HLOOKUP($A165,표1[#ALL],row(),false)</f>
        <v>#N/A</v>
      </c>
      <c r="M165" s="376" t="str">
        <f>CS_PID!M165/VLOOKUP($B165,표2[#ALL],2)/HLOOKUP($A165,표1[#ALL],row(),false)</f>
        <v>#N/A</v>
      </c>
      <c r="N165" s="376" t="str">
        <f>CS_PID!N165/VLOOKUP($B165,표2[#ALL],2)/HLOOKUP($A165,표1[#ALL],row(),false)</f>
        <v>#N/A</v>
      </c>
      <c r="O165" s="376" t="str">
        <f>CS_PID!O165/VLOOKUP($B165,표2[#ALL],2)/HLOOKUP($A165,표1[#ALL],row(),false)</f>
        <v>#N/A</v>
      </c>
      <c r="P165" s="376" t="str">
        <f>CS_PID!P165/VLOOKUP($B165,표2[#ALL],2)/HLOOKUP($A165,표1[#ALL],row(),false)</f>
        <v>#N/A</v>
      </c>
      <c r="Q165" s="376" t="str">
        <f>CS_PID!Q165/VLOOKUP($B165,표2[#ALL],2)/HLOOKUP($A165,표1[#ALL],row(),false)</f>
        <v>#N/A</v>
      </c>
      <c r="R165" s="376" t="str">
        <f>CS_PID!R165/VLOOKUP($B165,표2[#ALL],2)/HLOOKUP($A165,표1[#ALL],row(),false)</f>
        <v>#N/A</v>
      </c>
      <c r="S165" s="376" t="str">
        <f>CS_PID!S165/VLOOKUP($B165,표2[#ALL],2)/HLOOKUP($A165,표1[#ALL],row(),false)</f>
        <v>#N/A</v>
      </c>
      <c r="T165" s="376" t="str">
        <f>CS_PID!T165/VLOOKUP($B165,표2[#ALL],2)/HLOOKUP($A165,표1[#ALL],row(),false)</f>
        <v>#N/A</v>
      </c>
      <c r="U165" s="376" t="str">
        <f>CS_PID!U165/VLOOKUP($B165,표2[#ALL],2)/HLOOKUP($A165,표1[#ALL],row(),false)</f>
        <v>#N/A</v>
      </c>
      <c r="V165" s="376" t="str">
        <f>CS_PID!V165/VLOOKUP($B165,표2[#ALL],2)/HLOOKUP($A165,표1[#ALL],row(),false)</f>
        <v>#N/A</v>
      </c>
      <c r="W165" s="376" t="str">
        <f>CS_PID!W165/VLOOKUP($B165,표2[#ALL],2)/HLOOKUP($A165,표1[#ALL],row(),false)</f>
        <v>#N/A</v>
      </c>
      <c r="X165" s="376" t="str">
        <f>CS_PID!X165/VLOOKUP($B165,표2[#ALL],2)/HLOOKUP($A165,표1[#ALL],row(),false)</f>
        <v>#N/A</v>
      </c>
      <c r="Y165" s="376" t="str">
        <f>CS_PID!Y165/VLOOKUP($B165,표2[#ALL],2)/HLOOKUP($A165,표1[#ALL],row(),false)</f>
        <v>#N/A</v>
      </c>
      <c r="Z165" s="376" t="str">
        <f>CS_PID!Z165/VLOOKUP($B165,표2[#ALL],2)/HLOOKUP($A165,표1[#ALL],row(),false)</f>
        <v>#N/A</v>
      </c>
      <c r="AA165" s="376" t="str">
        <f>CS_PID!AA165/VLOOKUP($B165,표2[#ALL],2)/HLOOKUP($A165,표1[#ALL],row(),false)</f>
        <v>#N/A</v>
      </c>
      <c r="AB165" s="376" t="str">
        <f>CS_PID!AB165/VLOOKUP($B165,표2[#ALL],2)/HLOOKUP($A165,표1[#ALL],row(),false)</f>
        <v>#N/A</v>
      </c>
      <c r="AC165" s="376" t="str">
        <f>CS_PID!AC165/VLOOKUP($B165,표2[#ALL],2)/HLOOKUP($A165,표1[#ALL],row(),false)</f>
        <v>#N/A</v>
      </c>
      <c r="AD165" s="376" t="str">
        <f>CS_PID!AD165/VLOOKUP($B165,표2[#ALL],2)/HLOOKUP($A165,표1[#ALL],row(),false)</f>
        <v>#N/A</v>
      </c>
      <c r="AE165" s="376" t="str">
        <f>CS_PID!AE165/VLOOKUP($B165,표2[#ALL],2)/HLOOKUP($A165,표1[#ALL],row(),false)</f>
        <v>#N/A</v>
      </c>
      <c r="AF165" s="376" t="str">
        <f>CS_PID!AF165/VLOOKUP($B165,표2[#ALL],2)/HLOOKUP($A165,표1[#ALL],row(),false)</f>
        <v>#N/A</v>
      </c>
      <c r="AG165" s="376" t="str">
        <f>CS_PID!AG165/VLOOKUP($B165,표2[#ALL],2)/HLOOKUP($A165,표1[#ALL],row(),false)</f>
        <v>#N/A</v>
      </c>
      <c r="AH165" s="376" t="str">
        <f>CS_PID!AH165/VLOOKUP($B165,표2[#ALL],2)/HLOOKUP($A165,표1[#ALL],row(),false)</f>
        <v>#N/A</v>
      </c>
      <c r="AI165" s="376" t="str">
        <f>CS_PID!AI165/VLOOKUP($B165,표2[#ALL],2)/HLOOKUP($A165,표1[#ALL],row(),false)</f>
        <v>#N/A</v>
      </c>
      <c r="AJ165" s="376" t="str">
        <f>CS_PID!AJ165/VLOOKUP($B165,표2[#ALL],2)/HLOOKUP($A165,표1[#ALL],row(),false)</f>
        <v>#N/A</v>
      </c>
      <c r="AK165" s="376" t="str">
        <f>CS_PID!AK165/VLOOKUP($B165,표2[#ALL],2)/HLOOKUP($A165,표1[#ALL],row(),false)</f>
        <v>#N/A</v>
      </c>
      <c r="AL165" s="376" t="str">
        <f>CS_PID!AL165/VLOOKUP($B165,표2[#ALL],2)/HLOOKUP($A165,표1[#ALL],row(),false)</f>
        <v>#N/A</v>
      </c>
      <c r="AM165" s="376" t="str">
        <f>CS_PID!AM165/VLOOKUP($B165,표2[#ALL],2)/HLOOKUP($A165,표1[#ALL],row(),false)</f>
        <v>#N/A</v>
      </c>
      <c r="AN165" s="376" t="str">
        <f>CS_PID!AN165/VLOOKUP($B165,표2[#ALL],2)/HLOOKUP($A165,표1[#ALL],row(),false)</f>
        <v>#N/A</v>
      </c>
      <c r="AO165" s="376" t="str">
        <f>CS_PID!AO165/VLOOKUP($B165,표2[#ALL],2)/HLOOKUP($A165,표1[#ALL],row(),false)</f>
        <v>#N/A</v>
      </c>
      <c r="AP165" s="376" t="str">
        <f>CS_PID!AP165/VLOOKUP($B165,표2[#ALL],2)/HLOOKUP($A165,표1[#ALL],row(),false)</f>
        <v>#N/A</v>
      </c>
      <c r="AQ165" s="376" t="str">
        <f>CS_PID!AQ165/VLOOKUP($B165,표2[#ALL],2)/HLOOKUP($A165,표1[#ALL],row(),false)</f>
        <v>#N/A</v>
      </c>
      <c r="AR165" s="376" t="str">
        <f>CS_PID!AR165/VLOOKUP($B165,표2[#ALL],2)/HLOOKUP($A165,표1[#ALL],row(),false)</f>
        <v>#N/A</v>
      </c>
      <c r="AS165" s="377" t="str">
        <f>CS_PID!AS165/VLOOKUP($B165,표2[#ALL],2)/HLOOKUP($A165,표1[#ALL],row(),false)</f>
        <v>#N/A</v>
      </c>
    </row>
    <row r="166">
      <c r="A166" s="370"/>
      <c r="B166" s="371"/>
      <c r="C166" s="372" t="str">
        <f>CS_PID!C166/VLOOKUP($B166,표2[#ALL],2)</f>
        <v>#N/A</v>
      </c>
      <c r="D166" s="372" t="str">
        <f>CS_PID!D166/VLOOKUP($B166,표2[#ALL],2)</f>
        <v>#N/A</v>
      </c>
      <c r="E166" s="372" t="str">
        <f>CS_PID!E166/VLOOKUP($B166,표2[#ALL],2)</f>
        <v>#N/A</v>
      </c>
      <c r="F166" s="372" t="str">
        <f>CS_PID!F166/VLOOKUP($B166,표2[#ALL],2)</f>
        <v>#N/A</v>
      </c>
      <c r="G166" s="372" t="str">
        <f>CS_PID!G166/VLOOKUP($B166,표2[#ALL],2)</f>
        <v>#N/A</v>
      </c>
      <c r="H166" s="372" t="str">
        <f>CS_PID!H166/VLOOKUP($B166,표2[#ALL],2)/HLOOKUP($A166,표1[#ALL],row(),false)</f>
        <v>#N/A</v>
      </c>
      <c r="I166" s="372" t="str">
        <f>CS_PID!I166/VLOOKUP($B166,표2[#ALL],2)/HLOOKUP($A166,표1[#ALL],row(),false)</f>
        <v>#N/A</v>
      </c>
      <c r="J166" s="372" t="str">
        <f>CS_PID!J166/VLOOKUP($B166,표2[#ALL],2)/HLOOKUP($A166,표1[#ALL],row(),false)</f>
        <v>#N/A</v>
      </c>
      <c r="K166" s="372" t="str">
        <f>CS_PID!K166/VLOOKUP($B166,표2[#ALL],2)/HLOOKUP($A166,표1[#ALL],row(),false)</f>
        <v>#N/A</v>
      </c>
      <c r="L166" s="372" t="str">
        <f>CS_PID!L166/VLOOKUP($B166,표2[#ALL],2)/HLOOKUP($A166,표1[#ALL],row(),false)</f>
        <v>#N/A</v>
      </c>
      <c r="M166" s="372" t="str">
        <f>CS_PID!M166/VLOOKUP($B166,표2[#ALL],2)/HLOOKUP($A166,표1[#ALL],row(),false)</f>
        <v>#N/A</v>
      </c>
      <c r="N166" s="372" t="str">
        <f>CS_PID!N166/VLOOKUP($B166,표2[#ALL],2)/HLOOKUP($A166,표1[#ALL],row(),false)</f>
        <v>#N/A</v>
      </c>
      <c r="O166" s="372" t="str">
        <f>CS_PID!O166/VLOOKUP($B166,표2[#ALL],2)/HLOOKUP($A166,표1[#ALL],row(),false)</f>
        <v>#N/A</v>
      </c>
      <c r="P166" s="372" t="str">
        <f>CS_PID!P166/VLOOKUP($B166,표2[#ALL],2)/HLOOKUP($A166,표1[#ALL],row(),false)</f>
        <v>#N/A</v>
      </c>
      <c r="Q166" s="372" t="str">
        <f>CS_PID!Q166/VLOOKUP($B166,표2[#ALL],2)/HLOOKUP($A166,표1[#ALL],row(),false)</f>
        <v>#N/A</v>
      </c>
      <c r="R166" s="372" t="str">
        <f>CS_PID!R166/VLOOKUP($B166,표2[#ALL],2)/HLOOKUP($A166,표1[#ALL],row(),false)</f>
        <v>#N/A</v>
      </c>
      <c r="S166" s="372" t="str">
        <f>CS_PID!S166/VLOOKUP($B166,표2[#ALL],2)/HLOOKUP($A166,표1[#ALL],row(),false)</f>
        <v>#N/A</v>
      </c>
      <c r="T166" s="372" t="str">
        <f>CS_PID!T166/VLOOKUP($B166,표2[#ALL],2)/HLOOKUP($A166,표1[#ALL],row(),false)</f>
        <v>#N/A</v>
      </c>
      <c r="U166" s="372" t="str">
        <f>CS_PID!U166/VLOOKUP($B166,표2[#ALL],2)/HLOOKUP($A166,표1[#ALL],row(),false)</f>
        <v>#N/A</v>
      </c>
      <c r="V166" s="372" t="str">
        <f>CS_PID!V166/VLOOKUP($B166,표2[#ALL],2)/HLOOKUP($A166,표1[#ALL],row(),false)</f>
        <v>#N/A</v>
      </c>
      <c r="W166" s="372" t="str">
        <f>CS_PID!W166/VLOOKUP($B166,표2[#ALL],2)/HLOOKUP($A166,표1[#ALL],row(),false)</f>
        <v>#N/A</v>
      </c>
      <c r="X166" s="372" t="str">
        <f>CS_PID!X166/VLOOKUP($B166,표2[#ALL],2)/HLOOKUP($A166,표1[#ALL],row(),false)</f>
        <v>#N/A</v>
      </c>
      <c r="Y166" s="372" t="str">
        <f>CS_PID!Y166/VLOOKUP($B166,표2[#ALL],2)/HLOOKUP($A166,표1[#ALL],row(),false)</f>
        <v>#N/A</v>
      </c>
      <c r="Z166" s="372" t="str">
        <f>CS_PID!Z166/VLOOKUP($B166,표2[#ALL],2)/HLOOKUP($A166,표1[#ALL],row(),false)</f>
        <v>#N/A</v>
      </c>
      <c r="AA166" s="372" t="str">
        <f>CS_PID!AA166/VLOOKUP($B166,표2[#ALL],2)/HLOOKUP($A166,표1[#ALL],row(),false)</f>
        <v>#N/A</v>
      </c>
      <c r="AB166" s="372" t="str">
        <f>CS_PID!AB166/VLOOKUP($B166,표2[#ALL],2)/HLOOKUP($A166,표1[#ALL],row(),false)</f>
        <v>#N/A</v>
      </c>
      <c r="AC166" s="372" t="str">
        <f>CS_PID!AC166/VLOOKUP($B166,표2[#ALL],2)/HLOOKUP($A166,표1[#ALL],row(),false)</f>
        <v>#N/A</v>
      </c>
      <c r="AD166" s="372" t="str">
        <f>CS_PID!AD166/VLOOKUP($B166,표2[#ALL],2)/HLOOKUP($A166,표1[#ALL],row(),false)</f>
        <v>#N/A</v>
      </c>
      <c r="AE166" s="372" t="str">
        <f>CS_PID!AE166/VLOOKUP($B166,표2[#ALL],2)/HLOOKUP($A166,표1[#ALL],row(),false)</f>
        <v>#N/A</v>
      </c>
      <c r="AF166" s="372" t="str">
        <f>CS_PID!AF166/VLOOKUP($B166,표2[#ALL],2)/HLOOKUP($A166,표1[#ALL],row(),false)</f>
        <v>#N/A</v>
      </c>
      <c r="AG166" s="372" t="str">
        <f>CS_PID!AG166/VLOOKUP($B166,표2[#ALL],2)/HLOOKUP($A166,표1[#ALL],row(),false)</f>
        <v>#N/A</v>
      </c>
      <c r="AH166" s="372" t="str">
        <f>CS_PID!AH166/VLOOKUP($B166,표2[#ALL],2)/HLOOKUP($A166,표1[#ALL],row(),false)</f>
        <v>#N/A</v>
      </c>
      <c r="AI166" s="372" t="str">
        <f>CS_PID!AI166/VLOOKUP($B166,표2[#ALL],2)/HLOOKUP($A166,표1[#ALL],row(),false)</f>
        <v>#N/A</v>
      </c>
      <c r="AJ166" s="372" t="str">
        <f>CS_PID!AJ166/VLOOKUP($B166,표2[#ALL],2)/HLOOKUP($A166,표1[#ALL],row(),false)</f>
        <v>#N/A</v>
      </c>
      <c r="AK166" s="372" t="str">
        <f>CS_PID!AK166/VLOOKUP($B166,표2[#ALL],2)/HLOOKUP($A166,표1[#ALL],row(),false)</f>
        <v>#N/A</v>
      </c>
      <c r="AL166" s="372" t="str">
        <f>CS_PID!AL166/VLOOKUP($B166,표2[#ALL],2)/HLOOKUP($A166,표1[#ALL],row(),false)</f>
        <v>#N/A</v>
      </c>
      <c r="AM166" s="372" t="str">
        <f>CS_PID!AM166/VLOOKUP($B166,표2[#ALL],2)/HLOOKUP($A166,표1[#ALL],row(),false)</f>
        <v>#N/A</v>
      </c>
      <c r="AN166" s="372" t="str">
        <f>CS_PID!AN166/VLOOKUP($B166,표2[#ALL],2)/HLOOKUP($A166,표1[#ALL],row(),false)</f>
        <v>#N/A</v>
      </c>
      <c r="AO166" s="372" t="str">
        <f>CS_PID!AO166/VLOOKUP($B166,표2[#ALL],2)/HLOOKUP($A166,표1[#ALL],row(),false)</f>
        <v>#N/A</v>
      </c>
      <c r="AP166" s="372" t="str">
        <f>CS_PID!AP166/VLOOKUP($B166,표2[#ALL],2)/HLOOKUP($A166,표1[#ALL],row(),false)</f>
        <v>#N/A</v>
      </c>
      <c r="AQ166" s="372" t="str">
        <f>CS_PID!AQ166/VLOOKUP($B166,표2[#ALL],2)/HLOOKUP($A166,표1[#ALL],row(),false)</f>
        <v>#N/A</v>
      </c>
      <c r="AR166" s="372" t="str">
        <f>CS_PID!AR166/VLOOKUP($B166,표2[#ALL],2)/HLOOKUP($A166,표1[#ALL],row(),false)</f>
        <v>#N/A</v>
      </c>
      <c r="AS166" s="373" t="str">
        <f>CS_PID!AS166/VLOOKUP($B166,표2[#ALL],2)/HLOOKUP($A166,표1[#ALL],row(),false)</f>
        <v>#N/A</v>
      </c>
    </row>
    <row r="167">
      <c r="A167" s="374"/>
      <c r="B167" s="375"/>
      <c r="C167" s="376" t="str">
        <f>CS_PID!C167/VLOOKUP($B167,표2[#ALL],2)</f>
        <v>#N/A</v>
      </c>
      <c r="D167" s="376" t="str">
        <f>CS_PID!D167/VLOOKUP($B167,표2[#ALL],2)</f>
        <v>#N/A</v>
      </c>
      <c r="E167" s="376" t="str">
        <f>CS_PID!E167/VLOOKUP($B167,표2[#ALL],2)</f>
        <v>#N/A</v>
      </c>
      <c r="F167" s="376" t="str">
        <f>CS_PID!F167/VLOOKUP($B167,표2[#ALL],2)</f>
        <v>#N/A</v>
      </c>
      <c r="G167" s="376" t="str">
        <f>CS_PID!G167/VLOOKUP($B167,표2[#ALL],2)</f>
        <v>#N/A</v>
      </c>
      <c r="H167" s="376" t="str">
        <f>CS_PID!H167/VLOOKUP($B167,표2[#ALL],2)/HLOOKUP($A167,표1[#ALL],row(),false)</f>
        <v>#N/A</v>
      </c>
      <c r="I167" s="376" t="str">
        <f>CS_PID!I167/VLOOKUP($B167,표2[#ALL],2)/HLOOKUP($A167,표1[#ALL],row(),false)</f>
        <v>#N/A</v>
      </c>
      <c r="J167" s="376" t="str">
        <f>CS_PID!J167/VLOOKUP($B167,표2[#ALL],2)/HLOOKUP($A167,표1[#ALL],row(),false)</f>
        <v>#N/A</v>
      </c>
      <c r="K167" s="376" t="str">
        <f>CS_PID!K167/VLOOKUP($B167,표2[#ALL],2)/HLOOKUP($A167,표1[#ALL],row(),false)</f>
        <v>#N/A</v>
      </c>
      <c r="L167" s="376" t="str">
        <f>CS_PID!L167/VLOOKUP($B167,표2[#ALL],2)/HLOOKUP($A167,표1[#ALL],row(),false)</f>
        <v>#N/A</v>
      </c>
      <c r="M167" s="376" t="str">
        <f>CS_PID!M167/VLOOKUP($B167,표2[#ALL],2)/HLOOKUP($A167,표1[#ALL],row(),false)</f>
        <v>#N/A</v>
      </c>
      <c r="N167" s="376" t="str">
        <f>CS_PID!N167/VLOOKUP($B167,표2[#ALL],2)/HLOOKUP($A167,표1[#ALL],row(),false)</f>
        <v>#N/A</v>
      </c>
      <c r="O167" s="376" t="str">
        <f>CS_PID!O167/VLOOKUP($B167,표2[#ALL],2)/HLOOKUP($A167,표1[#ALL],row(),false)</f>
        <v>#N/A</v>
      </c>
      <c r="P167" s="376" t="str">
        <f>CS_PID!P167/VLOOKUP($B167,표2[#ALL],2)/HLOOKUP($A167,표1[#ALL],row(),false)</f>
        <v>#N/A</v>
      </c>
      <c r="Q167" s="376" t="str">
        <f>CS_PID!Q167/VLOOKUP($B167,표2[#ALL],2)/HLOOKUP($A167,표1[#ALL],row(),false)</f>
        <v>#N/A</v>
      </c>
      <c r="R167" s="376" t="str">
        <f>CS_PID!R167/VLOOKUP($B167,표2[#ALL],2)/HLOOKUP($A167,표1[#ALL],row(),false)</f>
        <v>#N/A</v>
      </c>
      <c r="S167" s="376" t="str">
        <f>CS_PID!S167/VLOOKUP($B167,표2[#ALL],2)/HLOOKUP($A167,표1[#ALL],row(),false)</f>
        <v>#N/A</v>
      </c>
      <c r="T167" s="376" t="str">
        <f>CS_PID!T167/VLOOKUP($B167,표2[#ALL],2)/HLOOKUP($A167,표1[#ALL],row(),false)</f>
        <v>#N/A</v>
      </c>
      <c r="U167" s="376" t="str">
        <f>CS_PID!U167/VLOOKUP($B167,표2[#ALL],2)/HLOOKUP($A167,표1[#ALL],row(),false)</f>
        <v>#N/A</v>
      </c>
      <c r="V167" s="376" t="str">
        <f>CS_PID!V167/VLOOKUP($B167,표2[#ALL],2)/HLOOKUP($A167,표1[#ALL],row(),false)</f>
        <v>#N/A</v>
      </c>
      <c r="W167" s="376" t="str">
        <f>CS_PID!W167/VLOOKUP($B167,표2[#ALL],2)/HLOOKUP($A167,표1[#ALL],row(),false)</f>
        <v>#N/A</v>
      </c>
      <c r="X167" s="376" t="str">
        <f>CS_PID!X167/VLOOKUP($B167,표2[#ALL],2)/HLOOKUP($A167,표1[#ALL],row(),false)</f>
        <v>#N/A</v>
      </c>
      <c r="Y167" s="376" t="str">
        <f>CS_PID!Y167/VLOOKUP($B167,표2[#ALL],2)/HLOOKUP($A167,표1[#ALL],row(),false)</f>
        <v>#N/A</v>
      </c>
      <c r="Z167" s="376" t="str">
        <f>CS_PID!Z167/VLOOKUP($B167,표2[#ALL],2)/HLOOKUP($A167,표1[#ALL],row(),false)</f>
        <v>#N/A</v>
      </c>
      <c r="AA167" s="376" t="str">
        <f>CS_PID!AA167/VLOOKUP($B167,표2[#ALL],2)/HLOOKUP($A167,표1[#ALL],row(),false)</f>
        <v>#N/A</v>
      </c>
      <c r="AB167" s="376" t="str">
        <f>CS_PID!AB167/VLOOKUP($B167,표2[#ALL],2)/HLOOKUP($A167,표1[#ALL],row(),false)</f>
        <v>#N/A</v>
      </c>
      <c r="AC167" s="376" t="str">
        <f>CS_PID!AC167/VLOOKUP($B167,표2[#ALL],2)/HLOOKUP($A167,표1[#ALL],row(),false)</f>
        <v>#N/A</v>
      </c>
      <c r="AD167" s="376" t="str">
        <f>CS_PID!AD167/VLOOKUP($B167,표2[#ALL],2)/HLOOKUP($A167,표1[#ALL],row(),false)</f>
        <v>#N/A</v>
      </c>
      <c r="AE167" s="376" t="str">
        <f>CS_PID!AE167/VLOOKUP($B167,표2[#ALL],2)/HLOOKUP($A167,표1[#ALL],row(),false)</f>
        <v>#N/A</v>
      </c>
      <c r="AF167" s="376" t="str">
        <f>CS_PID!AF167/VLOOKUP($B167,표2[#ALL],2)/HLOOKUP($A167,표1[#ALL],row(),false)</f>
        <v>#N/A</v>
      </c>
      <c r="AG167" s="376" t="str">
        <f>CS_PID!AG167/VLOOKUP($B167,표2[#ALL],2)/HLOOKUP($A167,표1[#ALL],row(),false)</f>
        <v>#N/A</v>
      </c>
      <c r="AH167" s="376" t="str">
        <f>CS_PID!AH167/VLOOKUP($B167,표2[#ALL],2)/HLOOKUP($A167,표1[#ALL],row(),false)</f>
        <v>#N/A</v>
      </c>
      <c r="AI167" s="376" t="str">
        <f>CS_PID!AI167/VLOOKUP($B167,표2[#ALL],2)/HLOOKUP($A167,표1[#ALL],row(),false)</f>
        <v>#N/A</v>
      </c>
      <c r="AJ167" s="376" t="str">
        <f>CS_PID!AJ167/VLOOKUP($B167,표2[#ALL],2)/HLOOKUP($A167,표1[#ALL],row(),false)</f>
        <v>#N/A</v>
      </c>
      <c r="AK167" s="376" t="str">
        <f>CS_PID!AK167/VLOOKUP($B167,표2[#ALL],2)/HLOOKUP($A167,표1[#ALL],row(),false)</f>
        <v>#N/A</v>
      </c>
      <c r="AL167" s="376" t="str">
        <f>CS_PID!AL167/VLOOKUP($B167,표2[#ALL],2)/HLOOKUP($A167,표1[#ALL],row(),false)</f>
        <v>#N/A</v>
      </c>
      <c r="AM167" s="376" t="str">
        <f>CS_PID!AM167/VLOOKUP($B167,표2[#ALL],2)/HLOOKUP($A167,표1[#ALL],row(),false)</f>
        <v>#N/A</v>
      </c>
      <c r="AN167" s="376" t="str">
        <f>CS_PID!AN167/VLOOKUP($B167,표2[#ALL],2)/HLOOKUP($A167,표1[#ALL],row(),false)</f>
        <v>#N/A</v>
      </c>
      <c r="AO167" s="376" t="str">
        <f>CS_PID!AO167/VLOOKUP($B167,표2[#ALL],2)/HLOOKUP($A167,표1[#ALL],row(),false)</f>
        <v>#N/A</v>
      </c>
      <c r="AP167" s="376" t="str">
        <f>CS_PID!AP167/VLOOKUP($B167,표2[#ALL],2)/HLOOKUP($A167,표1[#ALL],row(),false)</f>
        <v>#N/A</v>
      </c>
      <c r="AQ167" s="376" t="str">
        <f>CS_PID!AQ167/VLOOKUP($B167,표2[#ALL],2)/HLOOKUP($A167,표1[#ALL],row(),false)</f>
        <v>#N/A</v>
      </c>
      <c r="AR167" s="376" t="str">
        <f>CS_PID!AR167/VLOOKUP($B167,표2[#ALL],2)/HLOOKUP($A167,표1[#ALL],row(),false)</f>
        <v>#N/A</v>
      </c>
      <c r="AS167" s="377" t="str">
        <f>CS_PID!AS167/VLOOKUP($B167,표2[#ALL],2)/HLOOKUP($A167,표1[#ALL],row(),false)</f>
        <v>#N/A</v>
      </c>
    </row>
    <row r="168">
      <c r="A168" s="370"/>
      <c r="B168" s="371"/>
      <c r="C168" s="372" t="str">
        <f>CS_PID!C168/VLOOKUP($B168,표2[#ALL],2)</f>
        <v>#N/A</v>
      </c>
      <c r="D168" s="372" t="str">
        <f>CS_PID!D168/VLOOKUP($B168,표2[#ALL],2)</f>
        <v>#N/A</v>
      </c>
      <c r="E168" s="372" t="str">
        <f>CS_PID!E168/VLOOKUP($B168,표2[#ALL],2)</f>
        <v>#N/A</v>
      </c>
      <c r="F168" s="372" t="str">
        <f>CS_PID!F168/VLOOKUP($B168,표2[#ALL],2)</f>
        <v>#N/A</v>
      </c>
      <c r="G168" s="372" t="str">
        <f>CS_PID!G168/VLOOKUP($B168,표2[#ALL],2)</f>
        <v>#N/A</v>
      </c>
      <c r="H168" s="372" t="str">
        <f>CS_PID!H168/VLOOKUP($B168,표2[#ALL],2)/HLOOKUP($A168,표1[#ALL],row(),false)</f>
        <v>#N/A</v>
      </c>
      <c r="I168" s="372" t="str">
        <f>CS_PID!I168/VLOOKUP($B168,표2[#ALL],2)/HLOOKUP($A168,표1[#ALL],row(),false)</f>
        <v>#N/A</v>
      </c>
      <c r="J168" s="372" t="str">
        <f>CS_PID!J168/VLOOKUP($B168,표2[#ALL],2)/HLOOKUP($A168,표1[#ALL],row(),false)</f>
        <v>#N/A</v>
      </c>
      <c r="K168" s="372" t="str">
        <f>CS_PID!K168/VLOOKUP($B168,표2[#ALL],2)/HLOOKUP($A168,표1[#ALL],row(),false)</f>
        <v>#N/A</v>
      </c>
      <c r="L168" s="372" t="str">
        <f>CS_PID!L168/VLOOKUP($B168,표2[#ALL],2)/HLOOKUP($A168,표1[#ALL],row(),false)</f>
        <v>#N/A</v>
      </c>
      <c r="M168" s="372" t="str">
        <f>CS_PID!M168/VLOOKUP($B168,표2[#ALL],2)/HLOOKUP($A168,표1[#ALL],row(),false)</f>
        <v>#N/A</v>
      </c>
      <c r="N168" s="372" t="str">
        <f>CS_PID!N168/VLOOKUP($B168,표2[#ALL],2)/HLOOKUP($A168,표1[#ALL],row(),false)</f>
        <v>#N/A</v>
      </c>
      <c r="O168" s="372" t="str">
        <f>CS_PID!O168/VLOOKUP($B168,표2[#ALL],2)/HLOOKUP($A168,표1[#ALL],row(),false)</f>
        <v>#N/A</v>
      </c>
      <c r="P168" s="372" t="str">
        <f>CS_PID!P168/VLOOKUP($B168,표2[#ALL],2)/HLOOKUP($A168,표1[#ALL],row(),false)</f>
        <v>#N/A</v>
      </c>
      <c r="Q168" s="372" t="str">
        <f>CS_PID!Q168/VLOOKUP($B168,표2[#ALL],2)/HLOOKUP($A168,표1[#ALL],row(),false)</f>
        <v>#N/A</v>
      </c>
      <c r="R168" s="372" t="str">
        <f>CS_PID!R168/VLOOKUP($B168,표2[#ALL],2)/HLOOKUP($A168,표1[#ALL],row(),false)</f>
        <v>#N/A</v>
      </c>
      <c r="S168" s="372" t="str">
        <f>CS_PID!S168/VLOOKUP($B168,표2[#ALL],2)/HLOOKUP($A168,표1[#ALL],row(),false)</f>
        <v>#N/A</v>
      </c>
      <c r="T168" s="372" t="str">
        <f>CS_PID!T168/VLOOKUP($B168,표2[#ALL],2)/HLOOKUP($A168,표1[#ALL],row(),false)</f>
        <v>#N/A</v>
      </c>
      <c r="U168" s="372" t="str">
        <f>CS_PID!U168/VLOOKUP($B168,표2[#ALL],2)/HLOOKUP($A168,표1[#ALL],row(),false)</f>
        <v>#N/A</v>
      </c>
      <c r="V168" s="372" t="str">
        <f>CS_PID!V168/VLOOKUP($B168,표2[#ALL],2)/HLOOKUP($A168,표1[#ALL],row(),false)</f>
        <v>#N/A</v>
      </c>
      <c r="W168" s="372" t="str">
        <f>CS_PID!W168/VLOOKUP($B168,표2[#ALL],2)/HLOOKUP($A168,표1[#ALL],row(),false)</f>
        <v>#N/A</v>
      </c>
      <c r="X168" s="372" t="str">
        <f>CS_PID!X168/VLOOKUP($B168,표2[#ALL],2)/HLOOKUP($A168,표1[#ALL],row(),false)</f>
        <v>#N/A</v>
      </c>
      <c r="Y168" s="372" t="str">
        <f>CS_PID!Y168/VLOOKUP($B168,표2[#ALL],2)/HLOOKUP($A168,표1[#ALL],row(),false)</f>
        <v>#N/A</v>
      </c>
      <c r="Z168" s="372" t="str">
        <f>CS_PID!Z168/VLOOKUP($B168,표2[#ALL],2)/HLOOKUP($A168,표1[#ALL],row(),false)</f>
        <v>#N/A</v>
      </c>
      <c r="AA168" s="372" t="str">
        <f>CS_PID!AA168/VLOOKUP($B168,표2[#ALL],2)/HLOOKUP($A168,표1[#ALL],row(),false)</f>
        <v>#N/A</v>
      </c>
      <c r="AB168" s="372" t="str">
        <f>CS_PID!AB168/VLOOKUP($B168,표2[#ALL],2)/HLOOKUP($A168,표1[#ALL],row(),false)</f>
        <v>#N/A</v>
      </c>
      <c r="AC168" s="372" t="str">
        <f>CS_PID!AC168/VLOOKUP($B168,표2[#ALL],2)/HLOOKUP($A168,표1[#ALL],row(),false)</f>
        <v>#N/A</v>
      </c>
      <c r="AD168" s="372" t="str">
        <f>CS_PID!AD168/VLOOKUP($B168,표2[#ALL],2)/HLOOKUP($A168,표1[#ALL],row(),false)</f>
        <v>#N/A</v>
      </c>
      <c r="AE168" s="372" t="str">
        <f>CS_PID!AE168/VLOOKUP($B168,표2[#ALL],2)/HLOOKUP($A168,표1[#ALL],row(),false)</f>
        <v>#N/A</v>
      </c>
      <c r="AF168" s="372" t="str">
        <f>CS_PID!AF168/VLOOKUP($B168,표2[#ALL],2)/HLOOKUP($A168,표1[#ALL],row(),false)</f>
        <v>#N/A</v>
      </c>
      <c r="AG168" s="372" t="str">
        <f>CS_PID!AG168/VLOOKUP($B168,표2[#ALL],2)/HLOOKUP($A168,표1[#ALL],row(),false)</f>
        <v>#N/A</v>
      </c>
      <c r="AH168" s="372" t="str">
        <f>CS_PID!AH168/VLOOKUP($B168,표2[#ALL],2)/HLOOKUP($A168,표1[#ALL],row(),false)</f>
        <v>#N/A</v>
      </c>
      <c r="AI168" s="372" t="str">
        <f>CS_PID!AI168/VLOOKUP($B168,표2[#ALL],2)/HLOOKUP($A168,표1[#ALL],row(),false)</f>
        <v>#N/A</v>
      </c>
      <c r="AJ168" s="372" t="str">
        <f>CS_PID!AJ168/VLOOKUP($B168,표2[#ALL],2)/HLOOKUP($A168,표1[#ALL],row(),false)</f>
        <v>#N/A</v>
      </c>
      <c r="AK168" s="372" t="str">
        <f>CS_PID!AK168/VLOOKUP($B168,표2[#ALL],2)/HLOOKUP($A168,표1[#ALL],row(),false)</f>
        <v>#N/A</v>
      </c>
      <c r="AL168" s="372" t="str">
        <f>CS_PID!AL168/VLOOKUP($B168,표2[#ALL],2)/HLOOKUP($A168,표1[#ALL],row(),false)</f>
        <v>#N/A</v>
      </c>
      <c r="AM168" s="372" t="str">
        <f>CS_PID!AM168/VLOOKUP($B168,표2[#ALL],2)/HLOOKUP($A168,표1[#ALL],row(),false)</f>
        <v>#N/A</v>
      </c>
      <c r="AN168" s="372" t="str">
        <f>CS_PID!AN168/VLOOKUP($B168,표2[#ALL],2)/HLOOKUP($A168,표1[#ALL],row(),false)</f>
        <v>#N/A</v>
      </c>
      <c r="AO168" s="372" t="str">
        <f>CS_PID!AO168/VLOOKUP($B168,표2[#ALL],2)/HLOOKUP($A168,표1[#ALL],row(),false)</f>
        <v>#N/A</v>
      </c>
      <c r="AP168" s="372" t="str">
        <f>CS_PID!AP168/VLOOKUP($B168,표2[#ALL],2)/HLOOKUP($A168,표1[#ALL],row(),false)</f>
        <v>#N/A</v>
      </c>
      <c r="AQ168" s="372" t="str">
        <f>CS_PID!AQ168/VLOOKUP($B168,표2[#ALL],2)/HLOOKUP($A168,표1[#ALL],row(),false)</f>
        <v>#N/A</v>
      </c>
      <c r="AR168" s="372" t="str">
        <f>CS_PID!AR168/VLOOKUP($B168,표2[#ALL],2)/HLOOKUP($A168,표1[#ALL],row(),false)</f>
        <v>#N/A</v>
      </c>
      <c r="AS168" s="373" t="str">
        <f>CS_PID!AS168/VLOOKUP($B168,표2[#ALL],2)/HLOOKUP($A168,표1[#ALL],row(),false)</f>
        <v>#N/A</v>
      </c>
    </row>
    <row r="169">
      <c r="A169" s="374"/>
      <c r="B169" s="375"/>
      <c r="C169" s="376" t="str">
        <f>CS_PID!C169/VLOOKUP($B169,표2[#ALL],2)</f>
        <v>#N/A</v>
      </c>
      <c r="D169" s="376" t="str">
        <f>CS_PID!D169/VLOOKUP($B169,표2[#ALL],2)</f>
        <v>#N/A</v>
      </c>
      <c r="E169" s="376" t="str">
        <f>CS_PID!E169/VLOOKUP($B169,표2[#ALL],2)</f>
        <v>#N/A</v>
      </c>
      <c r="F169" s="376" t="str">
        <f>CS_PID!F169/VLOOKUP($B169,표2[#ALL],2)</f>
        <v>#N/A</v>
      </c>
      <c r="G169" s="376" t="str">
        <f>CS_PID!G169/VLOOKUP($B169,표2[#ALL],2)</f>
        <v>#N/A</v>
      </c>
      <c r="H169" s="376" t="str">
        <f>CS_PID!H169/VLOOKUP($B169,표2[#ALL],2)/HLOOKUP($A169,표1[#ALL],row(),false)</f>
        <v>#N/A</v>
      </c>
      <c r="I169" s="376" t="str">
        <f>CS_PID!I169/VLOOKUP($B169,표2[#ALL],2)/HLOOKUP($A169,표1[#ALL],row(),false)</f>
        <v>#N/A</v>
      </c>
      <c r="J169" s="376" t="str">
        <f>CS_PID!J169/VLOOKUP($B169,표2[#ALL],2)/HLOOKUP($A169,표1[#ALL],row(),false)</f>
        <v>#N/A</v>
      </c>
      <c r="K169" s="376" t="str">
        <f>CS_PID!K169/VLOOKUP($B169,표2[#ALL],2)/HLOOKUP($A169,표1[#ALL],row(),false)</f>
        <v>#N/A</v>
      </c>
      <c r="L169" s="376" t="str">
        <f>CS_PID!L169/VLOOKUP($B169,표2[#ALL],2)/HLOOKUP($A169,표1[#ALL],row(),false)</f>
        <v>#N/A</v>
      </c>
      <c r="M169" s="376" t="str">
        <f>CS_PID!M169/VLOOKUP($B169,표2[#ALL],2)/HLOOKUP($A169,표1[#ALL],row(),false)</f>
        <v>#N/A</v>
      </c>
      <c r="N169" s="376" t="str">
        <f>CS_PID!N169/VLOOKUP($B169,표2[#ALL],2)/HLOOKUP($A169,표1[#ALL],row(),false)</f>
        <v>#N/A</v>
      </c>
      <c r="O169" s="376" t="str">
        <f>CS_PID!O169/VLOOKUP($B169,표2[#ALL],2)/HLOOKUP($A169,표1[#ALL],row(),false)</f>
        <v>#N/A</v>
      </c>
      <c r="P169" s="376" t="str">
        <f>CS_PID!P169/VLOOKUP($B169,표2[#ALL],2)/HLOOKUP($A169,표1[#ALL],row(),false)</f>
        <v>#N/A</v>
      </c>
      <c r="Q169" s="376" t="str">
        <f>CS_PID!Q169/VLOOKUP($B169,표2[#ALL],2)/HLOOKUP($A169,표1[#ALL],row(),false)</f>
        <v>#N/A</v>
      </c>
      <c r="R169" s="376" t="str">
        <f>CS_PID!R169/VLOOKUP($B169,표2[#ALL],2)/HLOOKUP($A169,표1[#ALL],row(),false)</f>
        <v>#N/A</v>
      </c>
      <c r="S169" s="376" t="str">
        <f>CS_PID!S169/VLOOKUP($B169,표2[#ALL],2)/HLOOKUP($A169,표1[#ALL],row(),false)</f>
        <v>#N/A</v>
      </c>
      <c r="T169" s="376" t="str">
        <f>CS_PID!T169/VLOOKUP($B169,표2[#ALL],2)/HLOOKUP($A169,표1[#ALL],row(),false)</f>
        <v>#N/A</v>
      </c>
      <c r="U169" s="376" t="str">
        <f>CS_PID!U169/VLOOKUP($B169,표2[#ALL],2)/HLOOKUP($A169,표1[#ALL],row(),false)</f>
        <v>#N/A</v>
      </c>
      <c r="V169" s="376" t="str">
        <f>CS_PID!V169/VLOOKUP($B169,표2[#ALL],2)/HLOOKUP($A169,표1[#ALL],row(),false)</f>
        <v>#N/A</v>
      </c>
      <c r="W169" s="376" t="str">
        <f>CS_PID!W169/VLOOKUP($B169,표2[#ALL],2)/HLOOKUP($A169,표1[#ALL],row(),false)</f>
        <v>#N/A</v>
      </c>
      <c r="X169" s="376" t="str">
        <f>CS_PID!X169/VLOOKUP($B169,표2[#ALL],2)/HLOOKUP($A169,표1[#ALL],row(),false)</f>
        <v>#N/A</v>
      </c>
      <c r="Y169" s="376" t="str">
        <f>CS_PID!Y169/VLOOKUP($B169,표2[#ALL],2)/HLOOKUP($A169,표1[#ALL],row(),false)</f>
        <v>#N/A</v>
      </c>
      <c r="Z169" s="376" t="str">
        <f>CS_PID!Z169/VLOOKUP($B169,표2[#ALL],2)/HLOOKUP($A169,표1[#ALL],row(),false)</f>
        <v>#N/A</v>
      </c>
      <c r="AA169" s="376" t="str">
        <f>CS_PID!AA169/VLOOKUP($B169,표2[#ALL],2)/HLOOKUP($A169,표1[#ALL],row(),false)</f>
        <v>#N/A</v>
      </c>
      <c r="AB169" s="376" t="str">
        <f>CS_PID!AB169/VLOOKUP($B169,표2[#ALL],2)/HLOOKUP($A169,표1[#ALL],row(),false)</f>
        <v>#N/A</v>
      </c>
      <c r="AC169" s="376" t="str">
        <f>CS_PID!AC169/VLOOKUP($B169,표2[#ALL],2)/HLOOKUP($A169,표1[#ALL],row(),false)</f>
        <v>#N/A</v>
      </c>
      <c r="AD169" s="376" t="str">
        <f>CS_PID!AD169/VLOOKUP($B169,표2[#ALL],2)/HLOOKUP($A169,표1[#ALL],row(),false)</f>
        <v>#N/A</v>
      </c>
      <c r="AE169" s="376" t="str">
        <f>CS_PID!AE169/VLOOKUP($B169,표2[#ALL],2)/HLOOKUP($A169,표1[#ALL],row(),false)</f>
        <v>#N/A</v>
      </c>
      <c r="AF169" s="376" t="str">
        <f>CS_PID!AF169/VLOOKUP($B169,표2[#ALL],2)/HLOOKUP($A169,표1[#ALL],row(),false)</f>
        <v>#N/A</v>
      </c>
      <c r="AG169" s="376" t="str">
        <f>CS_PID!AG169/VLOOKUP($B169,표2[#ALL],2)/HLOOKUP($A169,표1[#ALL],row(),false)</f>
        <v>#N/A</v>
      </c>
      <c r="AH169" s="376" t="str">
        <f>CS_PID!AH169/VLOOKUP($B169,표2[#ALL],2)/HLOOKUP($A169,표1[#ALL],row(),false)</f>
        <v>#N/A</v>
      </c>
      <c r="AI169" s="376" t="str">
        <f>CS_PID!AI169/VLOOKUP($B169,표2[#ALL],2)/HLOOKUP($A169,표1[#ALL],row(),false)</f>
        <v>#N/A</v>
      </c>
      <c r="AJ169" s="376" t="str">
        <f>CS_PID!AJ169/VLOOKUP($B169,표2[#ALL],2)/HLOOKUP($A169,표1[#ALL],row(),false)</f>
        <v>#N/A</v>
      </c>
      <c r="AK169" s="376" t="str">
        <f>CS_PID!AK169/VLOOKUP($B169,표2[#ALL],2)/HLOOKUP($A169,표1[#ALL],row(),false)</f>
        <v>#N/A</v>
      </c>
      <c r="AL169" s="376" t="str">
        <f>CS_PID!AL169/VLOOKUP($B169,표2[#ALL],2)/HLOOKUP($A169,표1[#ALL],row(),false)</f>
        <v>#N/A</v>
      </c>
      <c r="AM169" s="376" t="str">
        <f>CS_PID!AM169/VLOOKUP($B169,표2[#ALL],2)/HLOOKUP($A169,표1[#ALL],row(),false)</f>
        <v>#N/A</v>
      </c>
      <c r="AN169" s="376" t="str">
        <f>CS_PID!AN169/VLOOKUP($B169,표2[#ALL],2)/HLOOKUP($A169,표1[#ALL],row(),false)</f>
        <v>#N/A</v>
      </c>
      <c r="AO169" s="376" t="str">
        <f>CS_PID!AO169/VLOOKUP($B169,표2[#ALL],2)/HLOOKUP($A169,표1[#ALL],row(),false)</f>
        <v>#N/A</v>
      </c>
      <c r="AP169" s="376" t="str">
        <f>CS_PID!AP169/VLOOKUP($B169,표2[#ALL],2)/HLOOKUP($A169,표1[#ALL],row(),false)</f>
        <v>#N/A</v>
      </c>
      <c r="AQ169" s="376" t="str">
        <f>CS_PID!AQ169/VLOOKUP($B169,표2[#ALL],2)/HLOOKUP($A169,표1[#ALL],row(),false)</f>
        <v>#N/A</v>
      </c>
      <c r="AR169" s="376" t="str">
        <f>CS_PID!AR169/VLOOKUP($B169,표2[#ALL],2)/HLOOKUP($A169,표1[#ALL],row(),false)</f>
        <v>#N/A</v>
      </c>
      <c r="AS169" s="377" t="str">
        <f>CS_PID!AS169/VLOOKUP($B169,표2[#ALL],2)/HLOOKUP($A169,표1[#ALL],row(),false)</f>
        <v>#N/A</v>
      </c>
    </row>
    <row r="170">
      <c r="A170" s="370"/>
      <c r="B170" s="371"/>
      <c r="C170" s="372" t="str">
        <f>CS_PID!C170/VLOOKUP($B170,표2[#ALL],2)</f>
        <v>#N/A</v>
      </c>
      <c r="D170" s="372" t="str">
        <f>CS_PID!D170/VLOOKUP($B170,표2[#ALL],2)</f>
        <v>#N/A</v>
      </c>
      <c r="E170" s="372" t="str">
        <f>CS_PID!E170/VLOOKUP($B170,표2[#ALL],2)</f>
        <v>#N/A</v>
      </c>
      <c r="F170" s="372" t="str">
        <f>CS_PID!F170/VLOOKUP($B170,표2[#ALL],2)</f>
        <v>#N/A</v>
      </c>
      <c r="G170" s="372" t="str">
        <f>CS_PID!G170/VLOOKUP($B170,표2[#ALL],2)</f>
        <v>#N/A</v>
      </c>
      <c r="H170" s="372" t="str">
        <f>CS_PID!H170/VLOOKUP($B170,표2[#ALL],2)/HLOOKUP($A170,표1[#ALL],row(),false)</f>
        <v>#N/A</v>
      </c>
      <c r="I170" s="372" t="str">
        <f>CS_PID!I170/VLOOKUP($B170,표2[#ALL],2)/HLOOKUP($A170,표1[#ALL],row(),false)</f>
        <v>#N/A</v>
      </c>
      <c r="J170" s="372" t="str">
        <f>CS_PID!J170/VLOOKUP($B170,표2[#ALL],2)/HLOOKUP($A170,표1[#ALL],row(),false)</f>
        <v>#N/A</v>
      </c>
      <c r="K170" s="372" t="str">
        <f>CS_PID!K170/VLOOKUP($B170,표2[#ALL],2)/HLOOKUP($A170,표1[#ALL],row(),false)</f>
        <v>#N/A</v>
      </c>
      <c r="L170" s="372" t="str">
        <f>CS_PID!L170/VLOOKUP($B170,표2[#ALL],2)/HLOOKUP($A170,표1[#ALL],row(),false)</f>
        <v>#N/A</v>
      </c>
      <c r="M170" s="372" t="str">
        <f>CS_PID!M170/VLOOKUP($B170,표2[#ALL],2)/HLOOKUP($A170,표1[#ALL],row(),false)</f>
        <v>#N/A</v>
      </c>
      <c r="N170" s="372" t="str">
        <f>CS_PID!N170/VLOOKUP($B170,표2[#ALL],2)/HLOOKUP($A170,표1[#ALL],row(),false)</f>
        <v>#N/A</v>
      </c>
      <c r="O170" s="372" t="str">
        <f>CS_PID!O170/VLOOKUP($B170,표2[#ALL],2)/HLOOKUP($A170,표1[#ALL],row(),false)</f>
        <v>#N/A</v>
      </c>
      <c r="P170" s="372" t="str">
        <f>CS_PID!P170/VLOOKUP($B170,표2[#ALL],2)/HLOOKUP($A170,표1[#ALL],row(),false)</f>
        <v>#N/A</v>
      </c>
      <c r="Q170" s="372" t="str">
        <f>CS_PID!Q170/VLOOKUP($B170,표2[#ALL],2)/HLOOKUP($A170,표1[#ALL],row(),false)</f>
        <v>#N/A</v>
      </c>
      <c r="R170" s="372" t="str">
        <f>CS_PID!R170/VLOOKUP($B170,표2[#ALL],2)/HLOOKUP($A170,표1[#ALL],row(),false)</f>
        <v>#N/A</v>
      </c>
      <c r="S170" s="372" t="str">
        <f>CS_PID!S170/VLOOKUP($B170,표2[#ALL],2)/HLOOKUP($A170,표1[#ALL],row(),false)</f>
        <v>#N/A</v>
      </c>
      <c r="T170" s="372" t="str">
        <f>CS_PID!T170/VLOOKUP($B170,표2[#ALL],2)/HLOOKUP($A170,표1[#ALL],row(),false)</f>
        <v>#N/A</v>
      </c>
      <c r="U170" s="372" t="str">
        <f>CS_PID!U170/VLOOKUP($B170,표2[#ALL],2)/HLOOKUP($A170,표1[#ALL],row(),false)</f>
        <v>#N/A</v>
      </c>
      <c r="V170" s="372" t="str">
        <f>CS_PID!V170/VLOOKUP($B170,표2[#ALL],2)/HLOOKUP($A170,표1[#ALL],row(),false)</f>
        <v>#N/A</v>
      </c>
      <c r="W170" s="372" t="str">
        <f>CS_PID!W170/VLOOKUP($B170,표2[#ALL],2)/HLOOKUP($A170,표1[#ALL],row(),false)</f>
        <v>#N/A</v>
      </c>
      <c r="X170" s="372" t="str">
        <f>CS_PID!X170/VLOOKUP($B170,표2[#ALL],2)/HLOOKUP($A170,표1[#ALL],row(),false)</f>
        <v>#N/A</v>
      </c>
      <c r="Y170" s="372" t="str">
        <f>CS_PID!Y170/VLOOKUP($B170,표2[#ALL],2)/HLOOKUP($A170,표1[#ALL],row(),false)</f>
        <v>#N/A</v>
      </c>
      <c r="Z170" s="372" t="str">
        <f>CS_PID!Z170/VLOOKUP($B170,표2[#ALL],2)/HLOOKUP($A170,표1[#ALL],row(),false)</f>
        <v>#N/A</v>
      </c>
      <c r="AA170" s="372" t="str">
        <f>CS_PID!AA170/VLOOKUP($B170,표2[#ALL],2)/HLOOKUP($A170,표1[#ALL],row(),false)</f>
        <v>#N/A</v>
      </c>
      <c r="AB170" s="372" t="str">
        <f>CS_PID!AB170/VLOOKUP($B170,표2[#ALL],2)/HLOOKUP($A170,표1[#ALL],row(),false)</f>
        <v>#N/A</v>
      </c>
      <c r="AC170" s="372" t="str">
        <f>CS_PID!AC170/VLOOKUP($B170,표2[#ALL],2)/HLOOKUP($A170,표1[#ALL],row(),false)</f>
        <v>#N/A</v>
      </c>
      <c r="AD170" s="372" t="str">
        <f>CS_PID!AD170/VLOOKUP($B170,표2[#ALL],2)/HLOOKUP($A170,표1[#ALL],row(),false)</f>
        <v>#N/A</v>
      </c>
      <c r="AE170" s="372" t="str">
        <f>CS_PID!AE170/VLOOKUP($B170,표2[#ALL],2)/HLOOKUP($A170,표1[#ALL],row(),false)</f>
        <v>#N/A</v>
      </c>
      <c r="AF170" s="372" t="str">
        <f>CS_PID!AF170/VLOOKUP($B170,표2[#ALL],2)/HLOOKUP($A170,표1[#ALL],row(),false)</f>
        <v>#N/A</v>
      </c>
      <c r="AG170" s="372" t="str">
        <f>CS_PID!AG170/VLOOKUP($B170,표2[#ALL],2)/HLOOKUP($A170,표1[#ALL],row(),false)</f>
        <v>#N/A</v>
      </c>
      <c r="AH170" s="372" t="str">
        <f>CS_PID!AH170/VLOOKUP($B170,표2[#ALL],2)/HLOOKUP($A170,표1[#ALL],row(),false)</f>
        <v>#N/A</v>
      </c>
      <c r="AI170" s="372" t="str">
        <f>CS_PID!AI170/VLOOKUP($B170,표2[#ALL],2)/HLOOKUP($A170,표1[#ALL],row(),false)</f>
        <v>#N/A</v>
      </c>
      <c r="AJ170" s="372" t="str">
        <f>CS_PID!AJ170/VLOOKUP($B170,표2[#ALL],2)/HLOOKUP($A170,표1[#ALL],row(),false)</f>
        <v>#N/A</v>
      </c>
      <c r="AK170" s="372" t="str">
        <f>CS_PID!AK170/VLOOKUP($B170,표2[#ALL],2)/HLOOKUP($A170,표1[#ALL],row(),false)</f>
        <v>#N/A</v>
      </c>
      <c r="AL170" s="372" t="str">
        <f>CS_PID!AL170/VLOOKUP($B170,표2[#ALL],2)/HLOOKUP($A170,표1[#ALL],row(),false)</f>
        <v>#N/A</v>
      </c>
      <c r="AM170" s="372" t="str">
        <f>CS_PID!AM170/VLOOKUP($B170,표2[#ALL],2)/HLOOKUP($A170,표1[#ALL],row(),false)</f>
        <v>#N/A</v>
      </c>
      <c r="AN170" s="372" t="str">
        <f>CS_PID!AN170/VLOOKUP($B170,표2[#ALL],2)/HLOOKUP($A170,표1[#ALL],row(),false)</f>
        <v>#N/A</v>
      </c>
      <c r="AO170" s="372" t="str">
        <f>CS_PID!AO170/VLOOKUP($B170,표2[#ALL],2)/HLOOKUP($A170,표1[#ALL],row(),false)</f>
        <v>#N/A</v>
      </c>
      <c r="AP170" s="372" t="str">
        <f>CS_PID!AP170/VLOOKUP($B170,표2[#ALL],2)/HLOOKUP($A170,표1[#ALL],row(),false)</f>
        <v>#N/A</v>
      </c>
      <c r="AQ170" s="372" t="str">
        <f>CS_PID!AQ170/VLOOKUP($B170,표2[#ALL],2)/HLOOKUP($A170,표1[#ALL],row(),false)</f>
        <v>#N/A</v>
      </c>
      <c r="AR170" s="372" t="str">
        <f>CS_PID!AR170/VLOOKUP($B170,표2[#ALL],2)/HLOOKUP($A170,표1[#ALL],row(),false)</f>
        <v>#N/A</v>
      </c>
      <c r="AS170" s="373" t="str">
        <f>CS_PID!AS170/VLOOKUP($B170,표2[#ALL],2)/HLOOKUP($A170,표1[#ALL],row(),false)</f>
        <v>#N/A</v>
      </c>
    </row>
    <row r="171">
      <c r="A171" s="374"/>
      <c r="B171" s="375"/>
      <c r="C171" s="376" t="str">
        <f>CS_PID!C171/VLOOKUP($B171,표2[#ALL],2)</f>
        <v>#N/A</v>
      </c>
      <c r="D171" s="376" t="str">
        <f>CS_PID!D171/VLOOKUP($B171,표2[#ALL],2)</f>
        <v>#N/A</v>
      </c>
      <c r="E171" s="376" t="str">
        <f>CS_PID!E171/VLOOKUP($B171,표2[#ALL],2)</f>
        <v>#N/A</v>
      </c>
      <c r="F171" s="376" t="str">
        <f>CS_PID!F171/VLOOKUP($B171,표2[#ALL],2)</f>
        <v>#N/A</v>
      </c>
      <c r="G171" s="376" t="str">
        <f>CS_PID!G171/VLOOKUP($B171,표2[#ALL],2)</f>
        <v>#N/A</v>
      </c>
      <c r="H171" s="376" t="str">
        <f>CS_PID!H171/VLOOKUP($B171,표2[#ALL],2)/HLOOKUP($A171,표1[#ALL],row(),false)</f>
        <v>#N/A</v>
      </c>
      <c r="I171" s="376" t="str">
        <f>CS_PID!I171/VLOOKUP($B171,표2[#ALL],2)/HLOOKUP($A171,표1[#ALL],row(),false)</f>
        <v>#N/A</v>
      </c>
      <c r="J171" s="376" t="str">
        <f>CS_PID!J171/VLOOKUP($B171,표2[#ALL],2)/HLOOKUP($A171,표1[#ALL],row(),false)</f>
        <v>#N/A</v>
      </c>
      <c r="K171" s="376" t="str">
        <f>CS_PID!K171/VLOOKUP($B171,표2[#ALL],2)/HLOOKUP($A171,표1[#ALL],row(),false)</f>
        <v>#N/A</v>
      </c>
      <c r="L171" s="376" t="str">
        <f>CS_PID!L171/VLOOKUP($B171,표2[#ALL],2)/HLOOKUP($A171,표1[#ALL],row(),false)</f>
        <v>#N/A</v>
      </c>
      <c r="M171" s="376" t="str">
        <f>CS_PID!M171/VLOOKUP($B171,표2[#ALL],2)/HLOOKUP($A171,표1[#ALL],row(),false)</f>
        <v>#N/A</v>
      </c>
      <c r="N171" s="376" t="str">
        <f>CS_PID!N171/VLOOKUP($B171,표2[#ALL],2)/HLOOKUP($A171,표1[#ALL],row(),false)</f>
        <v>#N/A</v>
      </c>
      <c r="O171" s="376" t="str">
        <f>CS_PID!O171/VLOOKUP($B171,표2[#ALL],2)/HLOOKUP($A171,표1[#ALL],row(),false)</f>
        <v>#N/A</v>
      </c>
      <c r="P171" s="376" t="str">
        <f>CS_PID!P171/VLOOKUP($B171,표2[#ALL],2)/HLOOKUP($A171,표1[#ALL],row(),false)</f>
        <v>#N/A</v>
      </c>
      <c r="Q171" s="376" t="str">
        <f>CS_PID!Q171/VLOOKUP($B171,표2[#ALL],2)/HLOOKUP($A171,표1[#ALL],row(),false)</f>
        <v>#N/A</v>
      </c>
      <c r="R171" s="376" t="str">
        <f>CS_PID!R171/VLOOKUP($B171,표2[#ALL],2)/HLOOKUP($A171,표1[#ALL],row(),false)</f>
        <v>#N/A</v>
      </c>
      <c r="S171" s="376" t="str">
        <f>CS_PID!S171/VLOOKUP($B171,표2[#ALL],2)/HLOOKUP($A171,표1[#ALL],row(),false)</f>
        <v>#N/A</v>
      </c>
      <c r="T171" s="376" t="str">
        <f>CS_PID!T171/VLOOKUP($B171,표2[#ALL],2)/HLOOKUP($A171,표1[#ALL],row(),false)</f>
        <v>#N/A</v>
      </c>
      <c r="U171" s="376" t="str">
        <f>CS_PID!U171/VLOOKUP($B171,표2[#ALL],2)/HLOOKUP($A171,표1[#ALL],row(),false)</f>
        <v>#N/A</v>
      </c>
      <c r="V171" s="376" t="str">
        <f>CS_PID!V171/VLOOKUP($B171,표2[#ALL],2)/HLOOKUP($A171,표1[#ALL],row(),false)</f>
        <v>#N/A</v>
      </c>
      <c r="W171" s="376" t="str">
        <f>CS_PID!W171/VLOOKUP($B171,표2[#ALL],2)/HLOOKUP($A171,표1[#ALL],row(),false)</f>
        <v>#N/A</v>
      </c>
      <c r="X171" s="376" t="str">
        <f>CS_PID!X171/VLOOKUP($B171,표2[#ALL],2)/HLOOKUP($A171,표1[#ALL],row(),false)</f>
        <v>#N/A</v>
      </c>
      <c r="Y171" s="376" t="str">
        <f>CS_PID!Y171/VLOOKUP($B171,표2[#ALL],2)/HLOOKUP($A171,표1[#ALL],row(),false)</f>
        <v>#N/A</v>
      </c>
      <c r="Z171" s="376" t="str">
        <f>CS_PID!Z171/VLOOKUP($B171,표2[#ALL],2)/HLOOKUP($A171,표1[#ALL],row(),false)</f>
        <v>#N/A</v>
      </c>
      <c r="AA171" s="376" t="str">
        <f>CS_PID!AA171/VLOOKUP($B171,표2[#ALL],2)/HLOOKUP($A171,표1[#ALL],row(),false)</f>
        <v>#N/A</v>
      </c>
      <c r="AB171" s="376" t="str">
        <f>CS_PID!AB171/VLOOKUP($B171,표2[#ALL],2)/HLOOKUP($A171,표1[#ALL],row(),false)</f>
        <v>#N/A</v>
      </c>
      <c r="AC171" s="376" t="str">
        <f>CS_PID!AC171/VLOOKUP($B171,표2[#ALL],2)/HLOOKUP($A171,표1[#ALL],row(),false)</f>
        <v>#N/A</v>
      </c>
      <c r="AD171" s="376" t="str">
        <f>CS_PID!AD171/VLOOKUP($B171,표2[#ALL],2)/HLOOKUP($A171,표1[#ALL],row(),false)</f>
        <v>#N/A</v>
      </c>
      <c r="AE171" s="376" t="str">
        <f>CS_PID!AE171/VLOOKUP($B171,표2[#ALL],2)/HLOOKUP($A171,표1[#ALL],row(),false)</f>
        <v>#N/A</v>
      </c>
      <c r="AF171" s="376" t="str">
        <f>CS_PID!AF171/VLOOKUP($B171,표2[#ALL],2)/HLOOKUP($A171,표1[#ALL],row(),false)</f>
        <v>#N/A</v>
      </c>
      <c r="AG171" s="376" t="str">
        <f>CS_PID!AG171/VLOOKUP($B171,표2[#ALL],2)/HLOOKUP($A171,표1[#ALL],row(),false)</f>
        <v>#N/A</v>
      </c>
      <c r="AH171" s="376" t="str">
        <f>CS_PID!AH171/VLOOKUP($B171,표2[#ALL],2)/HLOOKUP($A171,표1[#ALL],row(),false)</f>
        <v>#N/A</v>
      </c>
      <c r="AI171" s="376" t="str">
        <f>CS_PID!AI171/VLOOKUP($B171,표2[#ALL],2)/HLOOKUP($A171,표1[#ALL],row(),false)</f>
        <v>#N/A</v>
      </c>
      <c r="AJ171" s="376" t="str">
        <f>CS_PID!AJ171/VLOOKUP($B171,표2[#ALL],2)/HLOOKUP($A171,표1[#ALL],row(),false)</f>
        <v>#N/A</v>
      </c>
      <c r="AK171" s="376" t="str">
        <f>CS_PID!AK171/VLOOKUP($B171,표2[#ALL],2)/HLOOKUP($A171,표1[#ALL],row(),false)</f>
        <v>#N/A</v>
      </c>
      <c r="AL171" s="376" t="str">
        <f>CS_PID!AL171/VLOOKUP($B171,표2[#ALL],2)/HLOOKUP($A171,표1[#ALL],row(),false)</f>
        <v>#N/A</v>
      </c>
      <c r="AM171" s="376" t="str">
        <f>CS_PID!AM171/VLOOKUP($B171,표2[#ALL],2)/HLOOKUP($A171,표1[#ALL],row(),false)</f>
        <v>#N/A</v>
      </c>
      <c r="AN171" s="376" t="str">
        <f>CS_PID!AN171/VLOOKUP($B171,표2[#ALL],2)/HLOOKUP($A171,표1[#ALL],row(),false)</f>
        <v>#N/A</v>
      </c>
      <c r="AO171" s="376" t="str">
        <f>CS_PID!AO171/VLOOKUP($B171,표2[#ALL],2)/HLOOKUP($A171,표1[#ALL],row(),false)</f>
        <v>#N/A</v>
      </c>
      <c r="AP171" s="376" t="str">
        <f>CS_PID!AP171/VLOOKUP($B171,표2[#ALL],2)/HLOOKUP($A171,표1[#ALL],row(),false)</f>
        <v>#N/A</v>
      </c>
      <c r="AQ171" s="376" t="str">
        <f>CS_PID!AQ171/VLOOKUP($B171,표2[#ALL],2)/HLOOKUP($A171,표1[#ALL],row(),false)</f>
        <v>#N/A</v>
      </c>
      <c r="AR171" s="376" t="str">
        <f>CS_PID!AR171/VLOOKUP($B171,표2[#ALL],2)/HLOOKUP($A171,표1[#ALL],row(),false)</f>
        <v>#N/A</v>
      </c>
      <c r="AS171" s="377" t="str">
        <f>CS_PID!AS171/VLOOKUP($B171,표2[#ALL],2)/HLOOKUP($A171,표1[#ALL],row(),false)</f>
        <v>#N/A</v>
      </c>
    </row>
    <row r="172">
      <c r="A172" s="370"/>
      <c r="B172" s="371"/>
      <c r="C172" s="372" t="str">
        <f>CS_PID!C172/VLOOKUP($B172,표2[#ALL],2)</f>
        <v>#N/A</v>
      </c>
      <c r="D172" s="372" t="str">
        <f>CS_PID!D172/VLOOKUP($B172,표2[#ALL],2)</f>
        <v>#N/A</v>
      </c>
      <c r="E172" s="372" t="str">
        <f>CS_PID!E172/VLOOKUP($B172,표2[#ALL],2)</f>
        <v>#N/A</v>
      </c>
      <c r="F172" s="372" t="str">
        <f>CS_PID!F172/VLOOKUP($B172,표2[#ALL],2)</f>
        <v>#N/A</v>
      </c>
      <c r="G172" s="372" t="str">
        <f>CS_PID!G172/VLOOKUP($B172,표2[#ALL],2)</f>
        <v>#N/A</v>
      </c>
      <c r="H172" s="372" t="str">
        <f>CS_PID!H172/VLOOKUP($B172,표2[#ALL],2)/HLOOKUP($A172,표1[#ALL],row(),false)</f>
        <v>#N/A</v>
      </c>
      <c r="I172" s="372" t="str">
        <f>CS_PID!I172/VLOOKUP($B172,표2[#ALL],2)/HLOOKUP($A172,표1[#ALL],row(),false)</f>
        <v>#N/A</v>
      </c>
      <c r="J172" s="372" t="str">
        <f>CS_PID!J172/VLOOKUP($B172,표2[#ALL],2)/HLOOKUP($A172,표1[#ALL],row(),false)</f>
        <v>#N/A</v>
      </c>
      <c r="K172" s="372" t="str">
        <f>CS_PID!K172/VLOOKUP($B172,표2[#ALL],2)/HLOOKUP($A172,표1[#ALL],row(),false)</f>
        <v>#N/A</v>
      </c>
      <c r="L172" s="372" t="str">
        <f>CS_PID!L172/VLOOKUP($B172,표2[#ALL],2)/HLOOKUP($A172,표1[#ALL],row(),false)</f>
        <v>#N/A</v>
      </c>
      <c r="M172" s="372" t="str">
        <f>CS_PID!M172/VLOOKUP($B172,표2[#ALL],2)/HLOOKUP($A172,표1[#ALL],row(),false)</f>
        <v>#N/A</v>
      </c>
      <c r="N172" s="372" t="str">
        <f>CS_PID!N172/VLOOKUP($B172,표2[#ALL],2)/HLOOKUP($A172,표1[#ALL],row(),false)</f>
        <v>#N/A</v>
      </c>
      <c r="O172" s="372" t="str">
        <f>CS_PID!O172/VLOOKUP($B172,표2[#ALL],2)/HLOOKUP($A172,표1[#ALL],row(),false)</f>
        <v>#N/A</v>
      </c>
      <c r="P172" s="372" t="str">
        <f>CS_PID!P172/VLOOKUP($B172,표2[#ALL],2)/HLOOKUP($A172,표1[#ALL],row(),false)</f>
        <v>#N/A</v>
      </c>
      <c r="Q172" s="372" t="str">
        <f>CS_PID!Q172/VLOOKUP($B172,표2[#ALL],2)/HLOOKUP($A172,표1[#ALL],row(),false)</f>
        <v>#N/A</v>
      </c>
      <c r="R172" s="372" t="str">
        <f>CS_PID!R172/VLOOKUP($B172,표2[#ALL],2)/HLOOKUP($A172,표1[#ALL],row(),false)</f>
        <v>#N/A</v>
      </c>
      <c r="S172" s="372" t="str">
        <f>CS_PID!S172/VLOOKUP($B172,표2[#ALL],2)/HLOOKUP($A172,표1[#ALL],row(),false)</f>
        <v>#N/A</v>
      </c>
      <c r="T172" s="372" t="str">
        <f>CS_PID!T172/VLOOKUP($B172,표2[#ALL],2)/HLOOKUP($A172,표1[#ALL],row(),false)</f>
        <v>#N/A</v>
      </c>
      <c r="U172" s="372" t="str">
        <f>CS_PID!U172/VLOOKUP($B172,표2[#ALL],2)/HLOOKUP($A172,표1[#ALL],row(),false)</f>
        <v>#N/A</v>
      </c>
      <c r="V172" s="372" t="str">
        <f>CS_PID!V172/VLOOKUP($B172,표2[#ALL],2)/HLOOKUP($A172,표1[#ALL],row(),false)</f>
        <v>#N/A</v>
      </c>
      <c r="W172" s="372" t="str">
        <f>CS_PID!W172/VLOOKUP($B172,표2[#ALL],2)/HLOOKUP($A172,표1[#ALL],row(),false)</f>
        <v>#N/A</v>
      </c>
      <c r="X172" s="372" t="str">
        <f>CS_PID!X172/VLOOKUP($B172,표2[#ALL],2)/HLOOKUP($A172,표1[#ALL],row(),false)</f>
        <v>#N/A</v>
      </c>
      <c r="Y172" s="372" t="str">
        <f>CS_PID!Y172/VLOOKUP($B172,표2[#ALL],2)/HLOOKUP($A172,표1[#ALL],row(),false)</f>
        <v>#N/A</v>
      </c>
      <c r="Z172" s="372" t="str">
        <f>CS_PID!Z172/VLOOKUP($B172,표2[#ALL],2)/HLOOKUP($A172,표1[#ALL],row(),false)</f>
        <v>#N/A</v>
      </c>
      <c r="AA172" s="372" t="str">
        <f>CS_PID!AA172/VLOOKUP($B172,표2[#ALL],2)/HLOOKUP($A172,표1[#ALL],row(),false)</f>
        <v>#N/A</v>
      </c>
      <c r="AB172" s="372" t="str">
        <f>CS_PID!AB172/VLOOKUP($B172,표2[#ALL],2)/HLOOKUP($A172,표1[#ALL],row(),false)</f>
        <v>#N/A</v>
      </c>
      <c r="AC172" s="372" t="str">
        <f>CS_PID!AC172/VLOOKUP($B172,표2[#ALL],2)/HLOOKUP($A172,표1[#ALL],row(),false)</f>
        <v>#N/A</v>
      </c>
      <c r="AD172" s="372" t="str">
        <f>CS_PID!AD172/VLOOKUP($B172,표2[#ALL],2)/HLOOKUP($A172,표1[#ALL],row(),false)</f>
        <v>#N/A</v>
      </c>
      <c r="AE172" s="372" t="str">
        <f>CS_PID!AE172/VLOOKUP($B172,표2[#ALL],2)/HLOOKUP($A172,표1[#ALL],row(),false)</f>
        <v>#N/A</v>
      </c>
      <c r="AF172" s="372" t="str">
        <f>CS_PID!AF172/VLOOKUP($B172,표2[#ALL],2)/HLOOKUP($A172,표1[#ALL],row(),false)</f>
        <v>#N/A</v>
      </c>
      <c r="AG172" s="372" t="str">
        <f>CS_PID!AG172/VLOOKUP($B172,표2[#ALL],2)/HLOOKUP($A172,표1[#ALL],row(),false)</f>
        <v>#N/A</v>
      </c>
      <c r="AH172" s="372" t="str">
        <f>CS_PID!AH172/VLOOKUP($B172,표2[#ALL],2)/HLOOKUP($A172,표1[#ALL],row(),false)</f>
        <v>#N/A</v>
      </c>
      <c r="AI172" s="372" t="str">
        <f>CS_PID!AI172/VLOOKUP($B172,표2[#ALL],2)/HLOOKUP($A172,표1[#ALL],row(),false)</f>
        <v>#N/A</v>
      </c>
      <c r="AJ172" s="372" t="str">
        <f>CS_PID!AJ172/VLOOKUP($B172,표2[#ALL],2)/HLOOKUP($A172,표1[#ALL],row(),false)</f>
        <v>#N/A</v>
      </c>
      <c r="AK172" s="372" t="str">
        <f>CS_PID!AK172/VLOOKUP($B172,표2[#ALL],2)/HLOOKUP($A172,표1[#ALL],row(),false)</f>
        <v>#N/A</v>
      </c>
      <c r="AL172" s="372" t="str">
        <f>CS_PID!AL172/VLOOKUP($B172,표2[#ALL],2)/HLOOKUP($A172,표1[#ALL],row(),false)</f>
        <v>#N/A</v>
      </c>
      <c r="AM172" s="372" t="str">
        <f>CS_PID!AM172/VLOOKUP($B172,표2[#ALL],2)/HLOOKUP($A172,표1[#ALL],row(),false)</f>
        <v>#N/A</v>
      </c>
      <c r="AN172" s="372" t="str">
        <f>CS_PID!AN172/VLOOKUP($B172,표2[#ALL],2)/HLOOKUP($A172,표1[#ALL],row(),false)</f>
        <v>#N/A</v>
      </c>
      <c r="AO172" s="372" t="str">
        <f>CS_PID!AO172/VLOOKUP($B172,표2[#ALL],2)/HLOOKUP($A172,표1[#ALL],row(),false)</f>
        <v>#N/A</v>
      </c>
      <c r="AP172" s="372" t="str">
        <f>CS_PID!AP172/VLOOKUP($B172,표2[#ALL],2)/HLOOKUP($A172,표1[#ALL],row(),false)</f>
        <v>#N/A</v>
      </c>
      <c r="AQ172" s="372" t="str">
        <f>CS_PID!AQ172/VLOOKUP($B172,표2[#ALL],2)/HLOOKUP($A172,표1[#ALL],row(),false)</f>
        <v>#N/A</v>
      </c>
      <c r="AR172" s="372" t="str">
        <f>CS_PID!AR172/VLOOKUP($B172,표2[#ALL],2)/HLOOKUP($A172,표1[#ALL],row(),false)</f>
        <v>#N/A</v>
      </c>
      <c r="AS172" s="373" t="str">
        <f>CS_PID!AS172/VLOOKUP($B172,표2[#ALL],2)/HLOOKUP($A172,표1[#ALL],row(),false)</f>
        <v>#N/A</v>
      </c>
    </row>
    <row r="173">
      <c r="A173" s="374"/>
      <c r="B173" s="375"/>
      <c r="C173" s="376" t="str">
        <f>CS_PID!C173/VLOOKUP($B173,표2[#ALL],2)</f>
        <v>#N/A</v>
      </c>
      <c r="D173" s="376" t="str">
        <f>CS_PID!D173/VLOOKUP($B173,표2[#ALL],2)</f>
        <v>#N/A</v>
      </c>
      <c r="E173" s="376" t="str">
        <f>CS_PID!E173/VLOOKUP($B173,표2[#ALL],2)</f>
        <v>#N/A</v>
      </c>
      <c r="F173" s="376" t="str">
        <f>CS_PID!F173/VLOOKUP($B173,표2[#ALL],2)</f>
        <v>#N/A</v>
      </c>
      <c r="G173" s="376" t="str">
        <f>CS_PID!G173/VLOOKUP($B173,표2[#ALL],2)</f>
        <v>#N/A</v>
      </c>
      <c r="H173" s="376" t="str">
        <f>CS_PID!H173/VLOOKUP($B173,표2[#ALL],2)/HLOOKUP($A173,표1[#ALL],row(),false)</f>
        <v>#N/A</v>
      </c>
      <c r="I173" s="376" t="str">
        <f>CS_PID!I173/VLOOKUP($B173,표2[#ALL],2)/HLOOKUP($A173,표1[#ALL],row(),false)</f>
        <v>#N/A</v>
      </c>
      <c r="J173" s="376" t="str">
        <f>CS_PID!J173/VLOOKUP($B173,표2[#ALL],2)/HLOOKUP($A173,표1[#ALL],row(),false)</f>
        <v>#N/A</v>
      </c>
      <c r="K173" s="376" t="str">
        <f>CS_PID!K173/VLOOKUP($B173,표2[#ALL],2)/HLOOKUP($A173,표1[#ALL],row(),false)</f>
        <v>#N/A</v>
      </c>
      <c r="L173" s="376" t="str">
        <f>CS_PID!L173/VLOOKUP($B173,표2[#ALL],2)/HLOOKUP($A173,표1[#ALL],row(),false)</f>
        <v>#N/A</v>
      </c>
      <c r="M173" s="376" t="str">
        <f>CS_PID!M173/VLOOKUP($B173,표2[#ALL],2)/HLOOKUP($A173,표1[#ALL],row(),false)</f>
        <v>#N/A</v>
      </c>
      <c r="N173" s="376" t="str">
        <f>CS_PID!N173/VLOOKUP($B173,표2[#ALL],2)/HLOOKUP($A173,표1[#ALL],row(),false)</f>
        <v>#N/A</v>
      </c>
      <c r="O173" s="376" t="str">
        <f>CS_PID!O173/VLOOKUP($B173,표2[#ALL],2)/HLOOKUP($A173,표1[#ALL],row(),false)</f>
        <v>#N/A</v>
      </c>
      <c r="P173" s="376" t="str">
        <f>CS_PID!P173/VLOOKUP($B173,표2[#ALL],2)/HLOOKUP($A173,표1[#ALL],row(),false)</f>
        <v>#N/A</v>
      </c>
      <c r="Q173" s="376" t="str">
        <f>CS_PID!Q173/VLOOKUP($B173,표2[#ALL],2)/HLOOKUP($A173,표1[#ALL],row(),false)</f>
        <v>#N/A</v>
      </c>
      <c r="R173" s="376" t="str">
        <f>CS_PID!R173/VLOOKUP($B173,표2[#ALL],2)/HLOOKUP($A173,표1[#ALL],row(),false)</f>
        <v>#N/A</v>
      </c>
      <c r="S173" s="376" t="str">
        <f>CS_PID!S173/VLOOKUP($B173,표2[#ALL],2)/HLOOKUP($A173,표1[#ALL],row(),false)</f>
        <v>#N/A</v>
      </c>
      <c r="T173" s="376" t="str">
        <f>CS_PID!T173/VLOOKUP($B173,표2[#ALL],2)/HLOOKUP($A173,표1[#ALL],row(),false)</f>
        <v>#N/A</v>
      </c>
      <c r="U173" s="376" t="str">
        <f>CS_PID!U173/VLOOKUP($B173,표2[#ALL],2)/HLOOKUP($A173,표1[#ALL],row(),false)</f>
        <v>#N/A</v>
      </c>
      <c r="V173" s="376" t="str">
        <f>CS_PID!V173/VLOOKUP($B173,표2[#ALL],2)/HLOOKUP($A173,표1[#ALL],row(),false)</f>
        <v>#N/A</v>
      </c>
      <c r="W173" s="376" t="str">
        <f>CS_PID!W173/VLOOKUP($B173,표2[#ALL],2)/HLOOKUP($A173,표1[#ALL],row(),false)</f>
        <v>#N/A</v>
      </c>
      <c r="X173" s="376" t="str">
        <f>CS_PID!X173/VLOOKUP($B173,표2[#ALL],2)/HLOOKUP($A173,표1[#ALL],row(),false)</f>
        <v>#N/A</v>
      </c>
      <c r="Y173" s="376" t="str">
        <f>CS_PID!Y173/VLOOKUP($B173,표2[#ALL],2)/HLOOKUP($A173,표1[#ALL],row(),false)</f>
        <v>#N/A</v>
      </c>
      <c r="Z173" s="376" t="str">
        <f>CS_PID!Z173/VLOOKUP($B173,표2[#ALL],2)/HLOOKUP($A173,표1[#ALL],row(),false)</f>
        <v>#N/A</v>
      </c>
      <c r="AA173" s="376" t="str">
        <f>CS_PID!AA173/VLOOKUP($B173,표2[#ALL],2)/HLOOKUP($A173,표1[#ALL],row(),false)</f>
        <v>#N/A</v>
      </c>
      <c r="AB173" s="376" t="str">
        <f>CS_PID!AB173/VLOOKUP($B173,표2[#ALL],2)/HLOOKUP($A173,표1[#ALL],row(),false)</f>
        <v>#N/A</v>
      </c>
      <c r="AC173" s="376" t="str">
        <f>CS_PID!AC173/VLOOKUP($B173,표2[#ALL],2)/HLOOKUP($A173,표1[#ALL],row(),false)</f>
        <v>#N/A</v>
      </c>
      <c r="AD173" s="376" t="str">
        <f>CS_PID!AD173/VLOOKUP($B173,표2[#ALL],2)/HLOOKUP($A173,표1[#ALL],row(),false)</f>
        <v>#N/A</v>
      </c>
      <c r="AE173" s="376" t="str">
        <f>CS_PID!AE173/VLOOKUP($B173,표2[#ALL],2)/HLOOKUP($A173,표1[#ALL],row(),false)</f>
        <v>#N/A</v>
      </c>
      <c r="AF173" s="376" t="str">
        <f>CS_PID!AF173/VLOOKUP($B173,표2[#ALL],2)/HLOOKUP($A173,표1[#ALL],row(),false)</f>
        <v>#N/A</v>
      </c>
      <c r="AG173" s="376" t="str">
        <f>CS_PID!AG173/VLOOKUP($B173,표2[#ALL],2)/HLOOKUP($A173,표1[#ALL],row(),false)</f>
        <v>#N/A</v>
      </c>
      <c r="AH173" s="376" t="str">
        <f>CS_PID!AH173/VLOOKUP($B173,표2[#ALL],2)/HLOOKUP($A173,표1[#ALL],row(),false)</f>
        <v>#N/A</v>
      </c>
      <c r="AI173" s="376" t="str">
        <f>CS_PID!AI173/VLOOKUP($B173,표2[#ALL],2)/HLOOKUP($A173,표1[#ALL],row(),false)</f>
        <v>#N/A</v>
      </c>
      <c r="AJ173" s="376" t="str">
        <f>CS_PID!AJ173/VLOOKUP($B173,표2[#ALL],2)/HLOOKUP($A173,표1[#ALL],row(),false)</f>
        <v>#N/A</v>
      </c>
      <c r="AK173" s="376" t="str">
        <f>CS_PID!AK173/VLOOKUP($B173,표2[#ALL],2)/HLOOKUP($A173,표1[#ALL],row(),false)</f>
        <v>#N/A</v>
      </c>
      <c r="AL173" s="376" t="str">
        <f>CS_PID!AL173/VLOOKUP($B173,표2[#ALL],2)/HLOOKUP($A173,표1[#ALL],row(),false)</f>
        <v>#N/A</v>
      </c>
      <c r="AM173" s="376" t="str">
        <f>CS_PID!AM173/VLOOKUP($B173,표2[#ALL],2)/HLOOKUP($A173,표1[#ALL],row(),false)</f>
        <v>#N/A</v>
      </c>
      <c r="AN173" s="376" t="str">
        <f>CS_PID!AN173/VLOOKUP($B173,표2[#ALL],2)/HLOOKUP($A173,표1[#ALL],row(),false)</f>
        <v>#N/A</v>
      </c>
      <c r="AO173" s="376" t="str">
        <f>CS_PID!AO173/VLOOKUP($B173,표2[#ALL],2)/HLOOKUP($A173,표1[#ALL],row(),false)</f>
        <v>#N/A</v>
      </c>
      <c r="AP173" s="376" t="str">
        <f>CS_PID!AP173/VLOOKUP($B173,표2[#ALL],2)/HLOOKUP($A173,표1[#ALL],row(),false)</f>
        <v>#N/A</v>
      </c>
      <c r="AQ173" s="376" t="str">
        <f>CS_PID!AQ173/VLOOKUP($B173,표2[#ALL],2)/HLOOKUP($A173,표1[#ALL],row(),false)</f>
        <v>#N/A</v>
      </c>
      <c r="AR173" s="376" t="str">
        <f>CS_PID!AR173/VLOOKUP($B173,표2[#ALL],2)/HLOOKUP($A173,표1[#ALL],row(),false)</f>
        <v>#N/A</v>
      </c>
      <c r="AS173" s="377" t="str">
        <f>CS_PID!AS173/VLOOKUP($B173,표2[#ALL],2)/HLOOKUP($A173,표1[#ALL],row(),false)</f>
        <v>#N/A</v>
      </c>
    </row>
    <row r="174">
      <c r="A174" s="370"/>
      <c r="B174" s="371"/>
      <c r="C174" s="372" t="str">
        <f>CS_PID!C174/VLOOKUP($B174,표2[#ALL],2)</f>
        <v>#N/A</v>
      </c>
      <c r="D174" s="372" t="str">
        <f>CS_PID!D174/VLOOKUP($B174,표2[#ALL],2)</f>
        <v>#N/A</v>
      </c>
      <c r="E174" s="372" t="str">
        <f>CS_PID!E174/VLOOKUP($B174,표2[#ALL],2)</f>
        <v>#N/A</v>
      </c>
      <c r="F174" s="372" t="str">
        <f>CS_PID!F174/VLOOKUP($B174,표2[#ALL],2)</f>
        <v>#N/A</v>
      </c>
      <c r="G174" s="372" t="str">
        <f>CS_PID!G174/VLOOKUP($B174,표2[#ALL],2)</f>
        <v>#N/A</v>
      </c>
      <c r="H174" s="372" t="str">
        <f>CS_PID!H174/VLOOKUP($B174,표2[#ALL],2)/HLOOKUP($A174,표1[#ALL],row(),false)</f>
        <v>#N/A</v>
      </c>
      <c r="I174" s="372" t="str">
        <f>CS_PID!I174/VLOOKUP($B174,표2[#ALL],2)/HLOOKUP($A174,표1[#ALL],row(),false)</f>
        <v>#N/A</v>
      </c>
      <c r="J174" s="372" t="str">
        <f>CS_PID!J174/VLOOKUP($B174,표2[#ALL],2)/HLOOKUP($A174,표1[#ALL],row(),false)</f>
        <v>#N/A</v>
      </c>
      <c r="K174" s="372" t="str">
        <f>CS_PID!K174/VLOOKUP($B174,표2[#ALL],2)/HLOOKUP($A174,표1[#ALL],row(),false)</f>
        <v>#N/A</v>
      </c>
      <c r="L174" s="372" t="str">
        <f>CS_PID!L174/VLOOKUP($B174,표2[#ALL],2)/HLOOKUP($A174,표1[#ALL],row(),false)</f>
        <v>#N/A</v>
      </c>
      <c r="M174" s="372" t="str">
        <f>CS_PID!M174/VLOOKUP($B174,표2[#ALL],2)/HLOOKUP($A174,표1[#ALL],row(),false)</f>
        <v>#N/A</v>
      </c>
      <c r="N174" s="372" t="str">
        <f>CS_PID!N174/VLOOKUP($B174,표2[#ALL],2)/HLOOKUP($A174,표1[#ALL],row(),false)</f>
        <v>#N/A</v>
      </c>
      <c r="O174" s="372" t="str">
        <f>CS_PID!O174/VLOOKUP($B174,표2[#ALL],2)/HLOOKUP($A174,표1[#ALL],row(),false)</f>
        <v>#N/A</v>
      </c>
      <c r="P174" s="372" t="str">
        <f>CS_PID!P174/VLOOKUP($B174,표2[#ALL],2)/HLOOKUP($A174,표1[#ALL],row(),false)</f>
        <v>#N/A</v>
      </c>
      <c r="Q174" s="372" t="str">
        <f>CS_PID!Q174/VLOOKUP($B174,표2[#ALL],2)/HLOOKUP($A174,표1[#ALL],row(),false)</f>
        <v>#N/A</v>
      </c>
      <c r="R174" s="372" t="str">
        <f>CS_PID!R174/VLOOKUP($B174,표2[#ALL],2)/HLOOKUP($A174,표1[#ALL],row(),false)</f>
        <v>#N/A</v>
      </c>
      <c r="S174" s="372" t="str">
        <f>CS_PID!S174/VLOOKUP($B174,표2[#ALL],2)/HLOOKUP($A174,표1[#ALL],row(),false)</f>
        <v>#N/A</v>
      </c>
      <c r="T174" s="372" t="str">
        <f>CS_PID!T174/VLOOKUP($B174,표2[#ALL],2)/HLOOKUP($A174,표1[#ALL],row(),false)</f>
        <v>#N/A</v>
      </c>
      <c r="U174" s="372" t="str">
        <f>CS_PID!U174/VLOOKUP($B174,표2[#ALL],2)/HLOOKUP($A174,표1[#ALL],row(),false)</f>
        <v>#N/A</v>
      </c>
      <c r="V174" s="372" t="str">
        <f>CS_PID!V174/VLOOKUP($B174,표2[#ALL],2)/HLOOKUP($A174,표1[#ALL],row(),false)</f>
        <v>#N/A</v>
      </c>
      <c r="W174" s="372" t="str">
        <f>CS_PID!W174/VLOOKUP($B174,표2[#ALL],2)/HLOOKUP($A174,표1[#ALL],row(),false)</f>
        <v>#N/A</v>
      </c>
      <c r="X174" s="372" t="str">
        <f>CS_PID!X174/VLOOKUP($B174,표2[#ALL],2)/HLOOKUP($A174,표1[#ALL],row(),false)</f>
        <v>#N/A</v>
      </c>
      <c r="Y174" s="372" t="str">
        <f>CS_PID!Y174/VLOOKUP($B174,표2[#ALL],2)/HLOOKUP($A174,표1[#ALL],row(),false)</f>
        <v>#N/A</v>
      </c>
      <c r="Z174" s="372" t="str">
        <f>CS_PID!Z174/VLOOKUP($B174,표2[#ALL],2)/HLOOKUP($A174,표1[#ALL],row(),false)</f>
        <v>#N/A</v>
      </c>
      <c r="AA174" s="372" t="str">
        <f>CS_PID!AA174/VLOOKUP($B174,표2[#ALL],2)/HLOOKUP($A174,표1[#ALL],row(),false)</f>
        <v>#N/A</v>
      </c>
      <c r="AB174" s="372" t="str">
        <f>CS_PID!AB174/VLOOKUP($B174,표2[#ALL],2)/HLOOKUP($A174,표1[#ALL],row(),false)</f>
        <v>#N/A</v>
      </c>
      <c r="AC174" s="372" t="str">
        <f>CS_PID!AC174/VLOOKUP($B174,표2[#ALL],2)/HLOOKUP($A174,표1[#ALL],row(),false)</f>
        <v>#N/A</v>
      </c>
      <c r="AD174" s="372" t="str">
        <f>CS_PID!AD174/VLOOKUP($B174,표2[#ALL],2)/HLOOKUP($A174,표1[#ALL],row(),false)</f>
        <v>#N/A</v>
      </c>
      <c r="AE174" s="372" t="str">
        <f>CS_PID!AE174/VLOOKUP($B174,표2[#ALL],2)/HLOOKUP($A174,표1[#ALL],row(),false)</f>
        <v>#N/A</v>
      </c>
      <c r="AF174" s="372" t="str">
        <f>CS_PID!AF174/VLOOKUP($B174,표2[#ALL],2)/HLOOKUP($A174,표1[#ALL],row(),false)</f>
        <v>#N/A</v>
      </c>
      <c r="AG174" s="372" t="str">
        <f>CS_PID!AG174/VLOOKUP($B174,표2[#ALL],2)/HLOOKUP($A174,표1[#ALL],row(),false)</f>
        <v>#N/A</v>
      </c>
      <c r="AH174" s="372" t="str">
        <f>CS_PID!AH174/VLOOKUP($B174,표2[#ALL],2)/HLOOKUP($A174,표1[#ALL],row(),false)</f>
        <v>#N/A</v>
      </c>
      <c r="AI174" s="372" t="str">
        <f>CS_PID!AI174/VLOOKUP($B174,표2[#ALL],2)/HLOOKUP($A174,표1[#ALL],row(),false)</f>
        <v>#N/A</v>
      </c>
      <c r="AJ174" s="372" t="str">
        <f>CS_PID!AJ174/VLOOKUP($B174,표2[#ALL],2)/HLOOKUP($A174,표1[#ALL],row(),false)</f>
        <v>#N/A</v>
      </c>
      <c r="AK174" s="372" t="str">
        <f>CS_PID!AK174/VLOOKUP($B174,표2[#ALL],2)/HLOOKUP($A174,표1[#ALL],row(),false)</f>
        <v>#N/A</v>
      </c>
      <c r="AL174" s="372" t="str">
        <f>CS_PID!AL174/VLOOKUP($B174,표2[#ALL],2)/HLOOKUP($A174,표1[#ALL],row(),false)</f>
        <v>#N/A</v>
      </c>
      <c r="AM174" s="372" t="str">
        <f>CS_PID!AM174/VLOOKUP($B174,표2[#ALL],2)/HLOOKUP($A174,표1[#ALL],row(),false)</f>
        <v>#N/A</v>
      </c>
      <c r="AN174" s="372" t="str">
        <f>CS_PID!AN174/VLOOKUP($B174,표2[#ALL],2)/HLOOKUP($A174,표1[#ALL],row(),false)</f>
        <v>#N/A</v>
      </c>
      <c r="AO174" s="372" t="str">
        <f>CS_PID!AO174/VLOOKUP($B174,표2[#ALL],2)/HLOOKUP($A174,표1[#ALL],row(),false)</f>
        <v>#N/A</v>
      </c>
      <c r="AP174" s="372" t="str">
        <f>CS_PID!AP174/VLOOKUP($B174,표2[#ALL],2)/HLOOKUP($A174,표1[#ALL],row(),false)</f>
        <v>#N/A</v>
      </c>
      <c r="AQ174" s="372" t="str">
        <f>CS_PID!AQ174/VLOOKUP($B174,표2[#ALL],2)/HLOOKUP($A174,표1[#ALL],row(),false)</f>
        <v>#N/A</v>
      </c>
      <c r="AR174" s="372" t="str">
        <f>CS_PID!AR174/VLOOKUP($B174,표2[#ALL],2)/HLOOKUP($A174,표1[#ALL],row(),false)</f>
        <v>#N/A</v>
      </c>
      <c r="AS174" s="373" t="str">
        <f>CS_PID!AS174/VLOOKUP($B174,표2[#ALL],2)/HLOOKUP($A174,표1[#ALL],row(),false)</f>
        <v>#N/A</v>
      </c>
    </row>
    <row r="175">
      <c r="A175" s="374"/>
      <c r="B175" s="375"/>
      <c r="C175" s="376" t="str">
        <f>CS_PID!C175/VLOOKUP($B175,표2[#ALL],2)</f>
        <v>#N/A</v>
      </c>
      <c r="D175" s="376" t="str">
        <f>CS_PID!D175/VLOOKUP($B175,표2[#ALL],2)</f>
        <v>#N/A</v>
      </c>
      <c r="E175" s="376" t="str">
        <f>CS_PID!E175/VLOOKUP($B175,표2[#ALL],2)</f>
        <v>#N/A</v>
      </c>
      <c r="F175" s="376" t="str">
        <f>CS_PID!F175/VLOOKUP($B175,표2[#ALL],2)</f>
        <v>#N/A</v>
      </c>
      <c r="G175" s="376" t="str">
        <f>CS_PID!G175/VLOOKUP($B175,표2[#ALL],2)</f>
        <v>#N/A</v>
      </c>
      <c r="H175" s="376" t="str">
        <f>CS_PID!H175/VLOOKUP($B175,표2[#ALL],2)/HLOOKUP($A175,표1[#ALL],row(),false)</f>
        <v>#N/A</v>
      </c>
      <c r="I175" s="376" t="str">
        <f>CS_PID!I175/VLOOKUP($B175,표2[#ALL],2)/HLOOKUP($A175,표1[#ALL],row(),false)</f>
        <v>#N/A</v>
      </c>
      <c r="J175" s="376" t="str">
        <f>CS_PID!J175/VLOOKUP($B175,표2[#ALL],2)/HLOOKUP($A175,표1[#ALL],row(),false)</f>
        <v>#N/A</v>
      </c>
      <c r="K175" s="376" t="str">
        <f>CS_PID!K175/VLOOKUP($B175,표2[#ALL],2)/HLOOKUP($A175,표1[#ALL],row(),false)</f>
        <v>#N/A</v>
      </c>
      <c r="L175" s="376" t="str">
        <f>CS_PID!L175/VLOOKUP($B175,표2[#ALL],2)/HLOOKUP($A175,표1[#ALL],row(),false)</f>
        <v>#N/A</v>
      </c>
      <c r="M175" s="376" t="str">
        <f>CS_PID!M175/VLOOKUP($B175,표2[#ALL],2)/HLOOKUP($A175,표1[#ALL],row(),false)</f>
        <v>#N/A</v>
      </c>
      <c r="N175" s="376" t="str">
        <f>CS_PID!N175/VLOOKUP($B175,표2[#ALL],2)/HLOOKUP($A175,표1[#ALL],row(),false)</f>
        <v>#N/A</v>
      </c>
      <c r="O175" s="376" t="str">
        <f>CS_PID!O175/VLOOKUP($B175,표2[#ALL],2)/HLOOKUP($A175,표1[#ALL],row(),false)</f>
        <v>#N/A</v>
      </c>
      <c r="P175" s="376" t="str">
        <f>CS_PID!P175/VLOOKUP($B175,표2[#ALL],2)/HLOOKUP($A175,표1[#ALL],row(),false)</f>
        <v>#N/A</v>
      </c>
      <c r="Q175" s="376" t="str">
        <f>CS_PID!Q175/VLOOKUP($B175,표2[#ALL],2)/HLOOKUP($A175,표1[#ALL],row(),false)</f>
        <v>#N/A</v>
      </c>
      <c r="R175" s="376" t="str">
        <f>CS_PID!R175/VLOOKUP($B175,표2[#ALL],2)/HLOOKUP($A175,표1[#ALL],row(),false)</f>
        <v>#N/A</v>
      </c>
      <c r="S175" s="376" t="str">
        <f>CS_PID!S175/VLOOKUP($B175,표2[#ALL],2)/HLOOKUP($A175,표1[#ALL],row(),false)</f>
        <v>#N/A</v>
      </c>
      <c r="T175" s="376" t="str">
        <f>CS_PID!T175/VLOOKUP($B175,표2[#ALL],2)/HLOOKUP($A175,표1[#ALL],row(),false)</f>
        <v>#N/A</v>
      </c>
      <c r="U175" s="376" t="str">
        <f>CS_PID!U175/VLOOKUP($B175,표2[#ALL],2)/HLOOKUP($A175,표1[#ALL],row(),false)</f>
        <v>#N/A</v>
      </c>
      <c r="V175" s="376" t="str">
        <f>CS_PID!V175/VLOOKUP($B175,표2[#ALL],2)/HLOOKUP($A175,표1[#ALL],row(),false)</f>
        <v>#N/A</v>
      </c>
      <c r="W175" s="376" t="str">
        <f>CS_PID!W175/VLOOKUP($B175,표2[#ALL],2)/HLOOKUP($A175,표1[#ALL],row(),false)</f>
        <v>#N/A</v>
      </c>
      <c r="X175" s="376" t="str">
        <f>CS_PID!X175/VLOOKUP($B175,표2[#ALL],2)/HLOOKUP($A175,표1[#ALL],row(),false)</f>
        <v>#N/A</v>
      </c>
      <c r="Y175" s="376" t="str">
        <f>CS_PID!Y175/VLOOKUP($B175,표2[#ALL],2)/HLOOKUP($A175,표1[#ALL],row(),false)</f>
        <v>#N/A</v>
      </c>
      <c r="Z175" s="376" t="str">
        <f>CS_PID!Z175/VLOOKUP($B175,표2[#ALL],2)/HLOOKUP($A175,표1[#ALL],row(),false)</f>
        <v>#N/A</v>
      </c>
      <c r="AA175" s="376" t="str">
        <f>CS_PID!AA175/VLOOKUP($B175,표2[#ALL],2)/HLOOKUP($A175,표1[#ALL],row(),false)</f>
        <v>#N/A</v>
      </c>
      <c r="AB175" s="376" t="str">
        <f>CS_PID!AB175/VLOOKUP($B175,표2[#ALL],2)/HLOOKUP($A175,표1[#ALL],row(),false)</f>
        <v>#N/A</v>
      </c>
      <c r="AC175" s="376" t="str">
        <f>CS_PID!AC175/VLOOKUP($B175,표2[#ALL],2)/HLOOKUP($A175,표1[#ALL],row(),false)</f>
        <v>#N/A</v>
      </c>
      <c r="AD175" s="376" t="str">
        <f>CS_PID!AD175/VLOOKUP($B175,표2[#ALL],2)/HLOOKUP($A175,표1[#ALL],row(),false)</f>
        <v>#N/A</v>
      </c>
      <c r="AE175" s="376" t="str">
        <f>CS_PID!AE175/VLOOKUP($B175,표2[#ALL],2)/HLOOKUP($A175,표1[#ALL],row(),false)</f>
        <v>#N/A</v>
      </c>
      <c r="AF175" s="376" t="str">
        <f>CS_PID!AF175/VLOOKUP($B175,표2[#ALL],2)/HLOOKUP($A175,표1[#ALL],row(),false)</f>
        <v>#N/A</v>
      </c>
      <c r="AG175" s="376" t="str">
        <f>CS_PID!AG175/VLOOKUP($B175,표2[#ALL],2)/HLOOKUP($A175,표1[#ALL],row(),false)</f>
        <v>#N/A</v>
      </c>
      <c r="AH175" s="376" t="str">
        <f>CS_PID!AH175/VLOOKUP($B175,표2[#ALL],2)/HLOOKUP($A175,표1[#ALL],row(),false)</f>
        <v>#N/A</v>
      </c>
      <c r="AI175" s="376" t="str">
        <f>CS_PID!AI175/VLOOKUP($B175,표2[#ALL],2)/HLOOKUP($A175,표1[#ALL],row(),false)</f>
        <v>#N/A</v>
      </c>
      <c r="AJ175" s="376" t="str">
        <f>CS_PID!AJ175/VLOOKUP($B175,표2[#ALL],2)/HLOOKUP($A175,표1[#ALL],row(),false)</f>
        <v>#N/A</v>
      </c>
      <c r="AK175" s="376" t="str">
        <f>CS_PID!AK175/VLOOKUP($B175,표2[#ALL],2)/HLOOKUP($A175,표1[#ALL],row(),false)</f>
        <v>#N/A</v>
      </c>
      <c r="AL175" s="376" t="str">
        <f>CS_PID!AL175/VLOOKUP($B175,표2[#ALL],2)/HLOOKUP($A175,표1[#ALL],row(),false)</f>
        <v>#N/A</v>
      </c>
      <c r="AM175" s="376" t="str">
        <f>CS_PID!AM175/VLOOKUP($B175,표2[#ALL],2)/HLOOKUP($A175,표1[#ALL],row(),false)</f>
        <v>#N/A</v>
      </c>
      <c r="AN175" s="376" t="str">
        <f>CS_PID!AN175/VLOOKUP($B175,표2[#ALL],2)/HLOOKUP($A175,표1[#ALL],row(),false)</f>
        <v>#N/A</v>
      </c>
      <c r="AO175" s="376" t="str">
        <f>CS_PID!AO175/VLOOKUP($B175,표2[#ALL],2)/HLOOKUP($A175,표1[#ALL],row(),false)</f>
        <v>#N/A</v>
      </c>
      <c r="AP175" s="376" t="str">
        <f>CS_PID!AP175/VLOOKUP($B175,표2[#ALL],2)/HLOOKUP($A175,표1[#ALL],row(),false)</f>
        <v>#N/A</v>
      </c>
      <c r="AQ175" s="376" t="str">
        <f>CS_PID!AQ175/VLOOKUP($B175,표2[#ALL],2)/HLOOKUP($A175,표1[#ALL],row(),false)</f>
        <v>#N/A</v>
      </c>
      <c r="AR175" s="376" t="str">
        <f>CS_PID!AR175/VLOOKUP($B175,표2[#ALL],2)/HLOOKUP($A175,표1[#ALL],row(),false)</f>
        <v>#N/A</v>
      </c>
      <c r="AS175" s="377" t="str">
        <f>CS_PID!AS175/VLOOKUP($B175,표2[#ALL],2)/HLOOKUP($A175,표1[#ALL],row(),false)</f>
        <v>#N/A</v>
      </c>
    </row>
    <row r="176">
      <c r="A176" s="370"/>
      <c r="B176" s="371"/>
      <c r="C176" s="372" t="str">
        <f>CS_PID!C176/VLOOKUP($B176,표2[#ALL],2)</f>
        <v>#N/A</v>
      </c>
      <c r="D176" s="372" t="str">
        <f>CS_PID!D176/VLOOKUP($B176,표2[#ALL],2)</f>
        <v>#N/A</v>
      </c>
      <c r="E176" s="372" t="str">
        <f>CS_PID!E176/VLOOKUP($B176,표2[#ALL],2)</f>
        <v>#N/A</v>
      </c>
      <c r="F176" s="372" t="str">
        <f>CS_PID!F176/VLOOKUP($B176,표2[#ALL],2)</f>
        <v>#N/A</v>
      </c>
      <c r="G176" s="372" t="str">
        <f>CS_PID!G176/VLOOKUP($B176,표2[#ALL],2)</f>
        <v>#N/A</v>
      </c>
      <c r="H176" s="372" t="str">
        <f>CS_PID!H176/VLOOKUP($B176,표2[#ALL],2)/HLOOKUP($A176,표1[#ALL],row(),false)</f>
        <v>#N/A</v>
      </c>
      <c r="I176" s="372" t="str">
        <f>CS_PID!I176/VLOOKUP($B176,표2[#ALL],2)/HLOOKUP($A176,표1[#ALL],row(),false)</f>
        <v>#N/A</v>
      </c>
      <c r="J176" s="372" t="str">
        <f>CS_PID!J176/VLOOKUP($B176,표2[#ALL],2)/HLOOKUP($A176,표1[#ALL],row(),false)</f>
        <v>#N/A</v>
      </c>
      <c r="K176" s="372" t="str">
        <f>CS_PID!K176/VLOOKUP($B176,표2[#ALL],2)/HLOOKUP($A176,표1[#ALL],row(),false)</f>
        <v>#N/A</v>
      </c>
      <c r="L176" s="372" t="str">
        <f>CS_PID!L176/VLOOKUP($B176,표2[#ALL],2)/HLOOKUP($A176,표1[#ALL],row(),false)</f>
        <v>#N/A</v>
      </c>
      <c r="M176" s="372" t="str">
        <f>CS_PID!M176/VLOOKUP($B176,표2[#ALL],2)/HLOOKUP($A176,표1[#ALL],row(),false)</f>
        <v>#N/A</v>
      </c>
      <c r="N176" s="372" t="str">
        <f>CS_PID!N176/VLOOKUP($B176,표2[#ALL],2)/HLOOKUP($A176,표1[#ALL],row(),false)</f>
        <v>#N/A</v>
      </c>
      <c r="O176" s="372" t="str">
        <f>CS_PID!O176/VLOOKUP($B176,표2[#ALL],2)/HLOOKUP($A176,표1[#ALL],row(),false)</f>
        <v>#N/A</v>
      </c>
      <c r="P176" s="372" t="str">
        <f>CS_PID!P176/VLOOKUP($B176,표2[#ALL],2)/HLOOKUP($A176,표1[#ALL],row(),false)</f>
        <v>#N/A</v>
      </c>
      <c r="Q176" s="372" t="str">
        <f>CS_PID!Q176/VLOOKUP($B176,표2[#ALL],2)/HLOOKUP($A176,표1[#ALL],row(),false)</f>
        <v>#N/A</v>
      </c>
      <c r="R176" s="372" t="str">
        <f>CS_PID!R176/VLOOKUP($B176,표2[#ALL],2)/HLOOKUP($A176,표1[#ALL],row(),false)</f>
        <v>#N/A</v>
      </c>
      <c r="S176" s="372" t="str">
        <f>CS_PID!S176/VLOOKUP($B176,표2[#ALL],2)/HLOOKUP($A176,표1[#ALL],row(),false)</f>
        <v>#N/A</v>
      </c>
      <c r="T176" s="372" t="str">
        <f>CS_PID!T176/VLOOKUP($B176,표2[#ALL],2)/HLOOKUP($A176,표1[#ALL],row(),false)</f>
        <v>#N/A</v>
      </c>
      <c r="U176" s="372" t="str">
        <f>CS_PID!U176/VLOOKUP($B176,표2[#ALL],2)/HLOOKUP($A176,표1[#ALL],row(),false)</f>
        <v>#N/A</v>
      </c>
      <c r="V176" s="372" t="str">
        <f>CS_PID!V176/VLOOKUP($B176,표2[#ALL],2)/HLOOKUP($A176,표1[#ALL],row(),false)</f>
        <v>#N/A</v>
      </c>
      <c r="W176" s="372" t="str">
        <f>CS_PID!W176/VLOOKUP($B176,표2[#ALL],2)/HLOOKUP($A176,표1[#ALL],row(),false)</f>
        <v>#N/A</v>
      </c>
      <c r="X176" s="372" t="str">
        <f>CS_PID!X176/VLOOKUP($B176,표2[#ALL],2)/HLOOKUP($A176,표1[#ALL],row(),false)</f>
        <v>#N/A</v>
      </c>
      <c r="Y176" s="372" t="str">
        <f>CS_PID!Y176/VLOOKUP($B176,표2[#ALL],2)/HLOOKUP($A176,표1[#ALL],row(),false)</f>
        <v>#N/A</v>
      </c>
      <c r="Z176" s="372" t="str">
        <f>CS_PID!Z176/VLOOKUP($B176,표2[#ALL],2)/HLOOKUP($A176,표1[#ALL],row(),false)</f>
        <v>#N/A</v>
      </c>
      <c r="AA176" s="372" t="str">
        <f>CS_PID!AA176/VLOOKUP($B176,표2[#ALL],2)/HLOOKUP($A176,표1[#ALL],row(),false)</f>
        <v>#N/A</v>
      </c>
      <c r="AB176" s="372" t="str">
        <f>CS_PID!AB176/VLOOKUP($B176,표2[#ALL],2)/HLOOKUP($A176,표1[#ALL],row(),false)</f>
        <v>#N/A</v>
      </c>
      <c r="AC176" s="372" t="str">
        <f>CS_PID!AC176/VLOOKUP($B176,표2[#ALL],2)/HLOOKUP($A176,표1[#ALL],row(),false)</f>
        <v>#N/A</v>
      </c>
      <c r="AD176" s="372" t="str">
        <f>CS_PID!AD176/VLOOKUP($B176,표2[#ALL],2)/HLOOKUP($A176,표1[#ALL],row(),false)</f>
        <v>#N/A</v>
      </c>
      <c r="AE176" s="372" t="str">
        <f>CS_PID!AE176/VLOOKUP($B176,표2[#ALL],2)/HLOOKUP($A176,표1[#ALL],row(),false)</f>
        <v>#N/A</v>
      </c>
      <c r="AF176" s="372" t="str">
        <f>CS_PID!AF176/VLOOKUP($B176,표2[#ALL],2)/HLOOKUP($A176,표1[#ALL],row(),false)</f>
        <v>#N/A</v>
      </c>
      <c r="AG176" s="372" t="str">
        <f>CS_PID!AG176/VLOOKUP($B176,표2[#ALL],2)/HLOOKUP($A176,표1[#ALL],row(),false)</f>
        <v>#N/A</v>
      </c>
      <c r="AH176" s="372" t="str">
        <f>CS_PID!AH176/VLOOKUP($B176,표2[#ALL],2)/HLOOKUP($A176,표1[#ALL],row(),false)</f>
        <v>#N/A</v>
      </c>
      <c r="AI176" s="372" t="str">
        <f>CS_PID!AI176/VLOOKUP($B176,표2[#ALL],2)/HLOOKUP($A176,표1[#ALL],row(),false)</f>
        <v>#N/A</v>
      </c>
      <c r="AJ176" s="372" t="str">
        <f>CS_PID!AJ176/VLOOKUP($B176,표2[#ALL],2)/HLOOKUP($A176,표1[#ALL],row(),false)</f>
        <v>#N/A</v>
      </c>
      <c r="AK176" s="372" t="str">
        <f>CS_PID!AK176/VLOOKUP($B176,표2[#ALL],2)/HLOOKUP($A176,표1[#ALL],row(),false)</f>
        <v>#N/A</v>
      </c>
      <c r="AL176" s="372" t="str">
        <f>CS_PID!AL176/VLOOKUP($B176,표2[#ALL],2)/HLOOKUP($A176,표1[#ALL],row(),false)</f>
        <v>#N/A</v>
      </c>
      <c r="AM176" s="372" t="str">
        <f>CS_PID!AM176/VLOOKUP($B176,표2[#ALL],2)/HLOOKUP($A176,표1[#ALL],row(),false)</f>
        <v>#N/A</v>
      </c>
      <c r="AN176" s="372" t="str">
        <f>CS_PID!AN176/VLOOKUP($B176,표2[#ALL],2)/HLOOKUP($A176,표1[#ALL],row(),false)</f>
        <v>#N/A</v>
      </c>
      <c r="AO176" s="372" t="str">
        <f>CS_PID!AO176/VLOOKUP($B176,표2[#ALL],2)/HLOOKUP($A176,표1[#ALL],row(),false)</f>
        <v>#N/A</v>
      </c>
      <c r="AP176" s="372" t="str">
        <f>CS_PID!AP176/VLOOKUP($B176,표2[#ALL],2)/HLOOKUP($A176,표1[#ALL],row(),false)</f>
        <v>#N/A</v>
      </c>
      <c r="AQ176" s="372" t="str">
        <f>CS_PID!AQ176/VLOOKUP($B176,표2[#ALL],2)/HLOOKUP($A176,표1[#ALL],row(),false)</f>
        <v>#N/A</v>
      </c>
      <c r="AR176" s="372" t="str">
        <f>CS_PID!AR176/VLOOKUP($B176,표2[#ALL],2)/HLOOKUP($A176,표1[#ALL],row(),false)</f>
        <v>#N/A</v>
      </c>
      <c r="AS176" s="373" t="str">
        <f>CS_PID!AS176/VLOOKUP($B176,표2[#ALL],2)/HLOOKUP($A176,표1[#ALL],row(),false)</f>
        <v>#N/A</v>
      </c>
    </row>
    <row r="177">
      <c r="A177" s="374"/>
      <c r="B177" s="375"/>
      <c r="C177" s="376" t="str">
        <f>CS_PID!C177/VLOOKUP($B177,표2[#ALL],2)</f>
        <v>#N/A</v>
      </c>
      <c r="D177" s="376" t="str">
        <f>CS_PID!D177/VLOOKUP($B177,표2[#ALL],2)</f>
        <v>#N/A</v>
      </c>
      <c r="E177" s="376" t="str">
        <f>CS_PID!E177/VLOOKUP($B177,표2[#ALL],2)</f>
        <v>#N/A</v>
      </c>
      <c r="F177" s="376" t="str">
        <f>CS_PID!F177/VLOOKUP($B177,표2[#ALL],2)</f>
        <v>#N/A</v>
      </c>
      <c r="G177" s="376" t="str">
        <f>CS_PID!G177/VLOOKUP($B177,표2[#ALL],2)</f>
        <v>#N/A</v>
      </c>
      <c r="H177" s="376" t="str">
        <f>CS_PID!H177/VLOOKUP($B177,표2[#ALL],2)/HLOOKUP($A177,표1[#ALL],row(),false)</f>
        <v>#N/A</v>
      </c>
      <c r="I177" s="376" t="str">
        <f>CS_PID!I177/VLOOKUP($B177,표2[#ALL],2)/HLOOKUP($A177,표1[#ALL],row(),false)</f>
        <v>#N/A</v>
      </c>
      <c r="J177" s="376" t="str">
        <f>CS_PID!J177/VLOOKUP($B177,표2[#ALL],2)/HLOOKUP($A177,표1[#ALL],row(),false)</f>
        <v>#N/A</v>
      </c>
      <c r="K177" s="376" t="str">
        <f>CS_PID!K177/VLOOKUP($B177,표2[#ALL],2)/HLOOKUP($A177,표1[#ALL],row(),false)</f>
        <v>#N/A</v>
      </c>
      <c r="L177" s="376" t="str">
        <f>CS_PID!L177/VLOOKUP($B177,표2[#ALL],2)/HLOOKUP($A177,표1[#ALL],row(),false)</f>
        <v>#N/A</v>
      </c>
      <c r="M177" s="376" t="str">
        <f>CS_PID!M177/VLOOKUP($B177,표2[#ALL],2)/HLOOKUP($A177,표1[#ALL],row(),false)</f>
        <v>#N/A</v>
      </c>
      <c r="N177" s="376" t="str">
        <f>CS_PID!N177/VLOOKUP($B177,표2[#ALL],2)/HLOOKUP($A177,표1[#ALL],row(),false)</f>
        <v>#N/A</v>
      </c>
      <c r="O177" s="376" t="str">
        <f>CS_PID!O177/VLOOKUP($B177,표2[#ALL],2)/HLOOKUP($A177,표1[#ALL],row(),false)</f>
        <v>#N/A</v>
      </c>
      <c r="P177" s="376" t="str">
        <f>CS_PID!P177/VLOOKUP($B177,표2[#ALL],2)/HLOOKUP($A177,표1[#ALL],row(),false)</f>
        <v>#N/A</v>
      </c>
      <c r="Q177" s="376" t="str">
        <f>CS_PID!Q177/VLOOKUP($B177,표2[#ALL],2)/HLOOKUP($A177,표1[#ALL],row(),false)</f>
        <v>#N/A</v>
      </c>
      <c r="R177" s="376" t="str">
        <f>CS_PID!R177/VLOOKUP($B177,표2[#ALL],2)/HLOOKUP($A177,표1[#ALL],row(),false)</f>
        <v>#N/A</v>
      </c>
      <c r="S177" s="376" t="str">
        <f>CS_PID!S177/VLOOKUP($B177,표2[#ALL],2)/HLOOKUP($A177,표1[#ALL],row(),false)</f>
        <v>#N/A</v>
      </c>
      <c r="T177" s="376" t="str">
        <f>CS_PID!T177/VLOOKUP($B177,표2[#ALL],2)/HLOOKUP($A177,표1[#ALL],row(),false)</f>
        <v>#N/A</v>
      </c>
      <c r="U177" s="376" t="str">
        <f>CS_PID!U177/VLOOKUP($B177,표2[#ALL],2)/HLOOKUP($A177,표1[#ALL],row(),false)</f>
        <v>#N/A</v>
      </c>
      <c r="V177" s="376" t="str">
        <f>CS_PID!V177/VLOOKUP($B177,표2[#ALL],2)/HLOOKUP($A177,표1[#ALL],row(),false)</f>
        <v>#N/A</v>
      </c>
      <c r="W177" s="376" t="str">
        <f>CS_PID!W177/VLOOKUP($B177,표2[#ALL],2)/HLOOKUP($A177,표1[#ALL],row(),false)</f>
        <v>#N/A</v>
      </c>
      <c r="X177" s="376" t="str">
        <f>CS_PID!X177/VLOOKUP($B177,표2[#ALL],2)/HLOOKUP($A177,표1[#ALL],row(),false)</f>
        <v>#N/A</v>
      </c>
      <c r="Y177" s="376" t="str">
        <f>CS_PID!Y177/VLOOKUP($B177,표2[#ALL],2)/HLOOKUP($A177,표1[#ALL],row(),false)</f>
        <v>#N/A</v>
      </c>
      <c r="Z177" s="376" t="str">
        <f>CS_PID!Z177/VLOOKUP($B177,표2[#ALL],2)/HLOOKUP($A177,표1[#ALL],row(),false)</f>
        <v>#N/A</v>
      </c>
      <c r="AA177" s="376" t="str">
        <f>CS_PID!AA177/VLOOKUP($B177,표2[#ALL],2)/HLOOKUP($A177,표1[#ALL],row(),false)</f>
        <v>#N/A</v>
      </c>
      <c r="AB177" s="376" t="str">
        <f>CS_PID!AB177/VLOOKUP($B177,표2[#ALL],2)/HLOOKUP($A177,표1[#ALL],row(),false)</f>
        <v>#N/A</v>
      </c>
      <c r="AC177" s="376" t="str">
        <f>CS_PID!AC177/VLOOKUP($B177,표2[#ALL],2)/HLOOKUP($A177,표1[#ALL],row(),false)</f>
        <v>#N/A</v>
      </c>
      <c r="AD177" s="376" t="str">
        <f>CS_PID!AD177/VLOOKUP($B177,표2[#ALL],2)/HLOOKUP($A177,표1[#ALL],row(),false)</f>
        <v>#N/A</v>
      </c>
      <c r="AE177" s="376" t="str">
        <f>CS_PID!AE177/VLOOKUP($B177,표2[#ALL],2)/HLOOKUP($A177,표1[#ALL],row(),false)</f>
        <v>#N/A</v>
      </c>
      <c r="AF177" s="376" t="str">
        <f>CS_PID!AF177/VLOOKUP($B177,표2[#ALL],2)/HLOOKUP($A177,표1[#ALL],row(),false)</f>
        <v>#N/A</v>
      </c>
      <c r="AG177" s="376" t="str">
        <f>CS_PID!AG177/VLOOKUP($B177,표2[#ALL],2)/HLOOKUP($A177,표1[#ALL],row(),false)</f>
        <v>#N/A</v>
      </c>
      <c r="AH177" s="376" t="str">
        <f>CS_PID!AH177/VLOOKUP($B177,표2[#ALL],2)/HLOOKUP($A177,표1[#ALL],row(),false)</f>
        <v>#N/A</v>
      </c>
      <c r="AI177" s="376" t="str">
        <f>CS_PID!AI177/VLOOKUP($B177,표2[#ALL],2)/HLOOKUP($A177,표1[#ALL],row(),false)</f>
        <v>#N/A</v>
      </c>
      <c r="AJ177" s="376" t="str">
        <f>CS_PID!AJ177/VLOOKUP($B177,표2[#ALL],2)/HLOOKUP($A177,표1[#ALL],row(),false)</f>
        <v>#N/A</v>
      </c>
      <c r="AK177" s="376" t="str">
        <f>CS_PID!AK177/VLOOKUP($B177,표2[#ALL],2)/HLOOKUP($A177,표1[#ALL],row(),false)</f>
        <v>#N/A</v>
      </c>
      <c r="AL177" s="376" t="str">
        <f>CS_PID!AL177/VLOOKUP($B177,표2[#ALL],2)/HLOOKUP($A177,표1[#ALL],row(),false)</f>
        <v>#N/A</v>
      </c>
      <c r="AM177" s="376" t="str">
        <f>CS_PID!AM177/VLOOKUP($B177,표2[#ALL],2)/HLOOKUP($A177,표1[#ALL],row(),false)</f>
        <v>#N/A</v>
      </c>
      <c r="AN177" s="376" t="str">
        <f>CS_PID!AN177/VLOOKUP($B177,표2[#ALL],2)/HLOOKUP($A177,표1[#ALL],row(),false)</f>
        <v>#N/A</v>
      </c>
      <c r="AO177" s="376" t="str">
        <f>CS_PID!AO177/VLOOKUP($B177,표2[#ALL],2)/HLOOKUP($A177,표1[#ALL],row(),false)</f>
        <v>#N/A</v>
      </c>
      <c r="AP177" s="376" t="str">
        <f>CS_PID!AP177/VLOOKUP($B177,표2[#ALL],2)/HLOOKUP($A177,표1[#ALL],row(),false)</f>
        <v>#N/A</v>
      </c>
      <c r="AQ177" s="376" t="str">
        <f>CS_PID!AQ177/VLOOKUP($B177,표2[#ALL],2)/HLOOKUP($A177,표1[#ALL],row(),false)</f>
        <v>#N/A</v>
      </c>
      <c r="AR177" s="376" t="str">
        <f>CS_PID!AR177/VLOOKUP($B177,표2[#ALL],2)/HLOOKUP($A177,표1[#ALL],row(),false)</f>
        <v>#N/A</v>
      </c>
      <c r="AS177" s="377" t="str">
        <f>CS_PID!AS177/VLOOKUP($B177,표2[#ALL],2)/HLOOKUP($A177,표1[#ALL],row(),false)</f>
        <v>#N/A</v>
      </c>
    </row>
    <row r="178">
      <c r="A178" s="370"/>
      <c r="B178" s="371"/>
      <c r="C178" s="372" t="str">
        <f>CS_PID!C178/VLOOKUP($B178,표2[#ALL],2)</f>
        <v>#N/A</v>
      </c>
      <c r="D178" s="372" t="str">
        <f>CS_PID!D178/VLOOKUP($B178,표2[#ALL],2)</f>
        <v>#N/A</v>
      </c>
      <c r="E178" s="372" t="str">
        <f>CS_PID!E178/VLOOKUP($B178,표2[#ALL],2)</f>
        <v>#N/A</v>
      </c>
      <c r="F178" s="372" t="str">
        <f>CS_PID!F178/VLOOKUP($B178,표2[#ALL],2)</f>
        <v>#N/A</v>
      </c>
      <c r="G178" s="372" t="str">
        <f>CS_PID!G178/VLOOKUP($B178,표2[#ALL],2)</f>
        <v>#N/A</v>
      </c>
      <c r="H178" s="372" t="str">
        <f>CS_PID!H178/VLOOKUP($B178,표2[#ALL],2)/HLOOKUP($A178,표1[#ALL],row(),false)</f>
        <v>#N/A</v>
      </c>
      <c r="I178" s="372" t="str">
        <f>CS_PID!I178/VLOOKUP($B178,표2[#ALL],2)/HLOOKUP($A178,표1[#ALL],row(),false)</f>
        <v>#N/A</v>
      </c>
      <c r="J178" s="372" t="str">
        <f>CS_PID!J178/VLOOKUP($B178,표2[#ALL],2)/HLOOKUP($A178,표1[#ALL],row(),false)</f>
        <v>#N/A</v>
      </c>
      <c r="K178" s="372" t="str">
        <f>CS_PID!K178/VLOOKUP($B178,표2[#ALL],2)/HLOOKUP($A178,표1[#ALL],row(),false)</f>
        <v>#N/A</v>
      </c>
      <c r="L178" s="372" t="str">
        <f>CS_PID!L178/VLOOKUP($B178,표2[#ALL],2)/HLOOKUP($A178,표1[#ALL],row(),false)</f>
        <v>#N/A</v>
      </c>
      <c r="M178" s="372" t="str">
        <f>CS_PID!M178/VLOOKUP($B178,표2[#ALL],2)/HLOOKUP($A178,표1[#ALL],row(),false)</f>
        <v>#N/A</v>
      </c>
      <c r="N178" s="372" t="str">
        <f>CS_PID!N178/VLOOKUP($B178,표2[#ALL],2)/HLOOKUP($A178,표1[#ALL],row(),false)</f>
        <v>#N/A</v>
      </c>
      <c r="O178" s="372" t="str">
        <f>CS_PID!O178/VLOOKUP($B178,표2[#ALL],2)/HLOOKUP($A178,표1[#ALL],row(),false)</f>
        <v>#N/A</v>
      </c>
      <c r="P178" s="372" t="str">
        <f>CS_PID!P178/VLOOKUP($B178,표2[#ALL],2)/HLOOKUP($A178,표1[#ALL],row(),false)</f>
        <v>#N/A</v>
      </c>
      <c r="Q178" s="372" t="str">
        <f>CS_PID!Q178/VLOOKUP($B178,표2[#ALL],2)/HLOOKUP($A178,표1[#ALL],row(),false)</f>
        <v>#N/A</v>
      </c>
      <c r="R178" s="372" t="str">
        <f>CS_PID!R178/VLOOKUP($B178,표2[#ALL],2)/HLOOKUP($A178,표1[#ALL],row(),false)</f>
        <v>#N/A</v>
      </c>
      <c r="S178" s="372" t="str">
        <f>CS_PID!S178/VLOOKUP($B178,표2[#ALL],2)/HLOOKUP($A178,표1[#ALL],row(),false)</f>
        <v>#N/A</v>
      </c>
      <c r="T178" s="372" t="str">
        <f>CS_PID!T178/VLOOKUP($B178,표2[#ALL],2)/HLOOKUP($A178,표1[#ALL],row(),false)</f>
        <v>#N/A</v>
      </c>
      <c r="U178" s="372" t="str">
        <f>CS_PID!U178/VLOOKUP($B178,표2[#ALL],2)/HLOOKUP($A178,표1[#ALL],row(),false)</f>
        <v>#N/A</v>
      </c>
      <c r="V178" s="372" t="str">
        <f>CS_PID!V178/VLOOKUP($B178,표2[#ALL],2)/HLOOKUP($A178,표1[#ALL],row(),false)</f>
        <v>#N/A</v>
      </c>
      <c r="W178" s="372" t="str">
        <f>CS_PID!W178/VLOOKUP($B178,표2[#ALL],2)/HLOOKUP($A178,표1[#ALL],row(),false)</f>
        <v>#N/A</v>
      </c>
      <c r="X178" s="372" t="str">
        <f>CS_PID!X178/VLOOKUP($B178,표2[#ALL],2)/HLOOKUP($A178,표1[#ALL],row(),false)</f>
        <v>#N/A</v>
      </c>
      <c r="Y178" s="372" t="str">
        <f>CS_PID!Y178/VLOOKUP($B178,표2[#ALL],2)/HLOOKUP($A178,표1[#ALL],row(),false)</f>
        <v>#N/A</v>
      </c>
      <c r="Z178" s="372" t="str">
        <f>CS_PID!Z178/VLOOKUP($B178,표2[#ALL],2)/HLOOKUP($A178,표1[#ALL],row(),false)</f>
        <v>#N/A</v>
      </c>
      <c r="AA178" s="372" t="str">
        <f>CS_PID!AA178/VLOOKUP($B178,표2[#ALL],2)/HLOOKUP($A178,표1[#ALL],row(),false)</f>
        <v>#N/A</v>
      </c>
      <c r="AB178" s="372" t="str">
        <f>CS_PID!AB178/VLOOKUP($B178,표2[#ALL],2)/HLOOKUP($A178,표1[#ALL],row(),false)</f>
        <v>#N/A</v>
      </c>
      <c r="AC178" s="372" t="str">
        <f>CS_PID!AC178/VLOOKUP($B178,표2[#ALL],2)/HLOOKUP($A178,표1[#ALL],row(),false)</f>
        <v>#N/A</v>
      </c>
      <c r="AD178" s="372" t="str">
        <f>CS_PID!AD178/VLOOKUP($B178,표2[#ALL],2)/HLOOKUP($A178,표1[#ALL],row(),false)</f>
        <v>#N/A</v>
      </c>
      <c r="AE178" s="372" t="str">
        <f>CS_PID!AE178/VLOOKUP($B178,표2[#ALL],2)/HLOOKUP($A178,표1[#ALL],row(),false)</f>
        <v>#N/A</v>
      </c>
      <c r="AF178" s="372" t="str">
        <f>CS_PID!AF178/VLOOKUP($B178,표2[#ALL],2)/HLOOKUP($A178,표1[#ALL],row(),false)</f>
        <v>#N/A</v>
      </c>
      <c r="AG178" s="372" t="str">
        <f>CS_PID!AG178/VLOOKUP($B178,표2[#ALL],2)/HLOOKUP($A178,표1[#ALL],row(),false)</f>
        <v>#N/A</v>
      </c>
      <c r="AH178" s="372" t="str">
        <f>CS_PID!AH178/VLOOKUP($B178,표2[#ALL],2)/HLOOKUP($A178,표1[#ALL],row(),false)</f>
        <v>#N/A</v>
      </c>
      <c r="AI178" s="372" t="str">
        <f>CS_PID!AI178/VLOOKUP($B178,표2[#ALL],2)/HLOOKUP($A178,표1[#ALL],row(),false)</f>
        <v>#N/A</v>
      </c>
      <c r="AJ178" s="372" t="str">
        <f>CS_PID!AJ178/VLOOKUP($B178,표2[#ALL],2)/HLOOKUP($A178,표1[#ALL],row(),false)</f>
        <v>#N/A</v>
      </c>
      <c r="AK178" s="372" t="str">
        <f>CS_PID!AK178/VLOOKUP($B178,표2[#ALL],2)/HLOOKUP($A178,표1[#ALL],row(),false)</f>
        <v>#N/A</v>
      </c>
      <c r="AL178" s="372" t="str">
        <f>CS_PID!AL178/VLOOKUP($B178,표2[#ALL],2)/HLOOKUP($A178,표1[#ALL],row(),false)</f>
        <v>#N/A</v>
      </c>
      <c r="AM178" s="372" t="str">
        <f>CS_PID!AM178/VLOOKUP($B178,표2[#ALL],2)/HLOOKUP($A178,표1[#ALL],row(),false)</f>
        <v>#N/A</v>
      </c>
      <c r="AN178" s="372" t="str">
        <f>CS_PID!AN178/VLOOKUP($B178,표2[#ALL],2)/HLOOKUP($A178,표1[#ALL],row(),false)</f>
        <v>#N/A</v>
      </c>
      <c r="AO178" s="372" t="str">
        <f>CS_PID!AO178/VLOOKUP($B178,표2[#ALL],2)/HLOOKUP($A178,표1[#ALL],row(),false)</f>
        <v>#N/A</v>
      </c>
      <c r="AP178" s="372" t="str">
        <f>CS_PID!AP178/VLOOKUP($B178,표2[#ALL],2)/HLOOKUP($A178,표1[#ALL],row(),false)</f>
        <v>#N/A</v>
      </c>
      <c r="AQ178" s="372" t="str">
        <f>CS_PID!AQ178/VLOOKUP($B178,표2[#ALL],2)/HLOOKUP($A178,표1[#ALL],row(),false)</f>
        <v>#N/A</v>
      </c>
      <c r="AR178" s="372" t="str">
        <f>CS_PID!AR178/VLOOKUP($B178,표2[#ALL],2)/HLOOKUP($A178,표1[#ALL],row(),false)</f>
        <v>#N/A</v>
      </c>
      <c r="AS178" s="373" t="str">
        <f>CS_PID!AS178/VLOOKUP($B178,표2[#ALL],2)/HLOOKUP($A178,표1[#ALL],row(),false)</f>
        <v>#N/A</v>
      </c>
    </row>
    <row r="179">
      <c r="A179" s="374"/>
      <c r="B179" s="375"/>
      <c r="C179" s="376" t="str">
        <f>CS_PID!C179/VLOOKUP($B179,표2[#ALL],2)</f>
        <v>#N/A</v>
      </c>
      <c r="D179" s="376" t="str">
        <f>CS_PID!D179/VLOOKUP($B179,표2[#ALL],2)</f>
        <v>#N/A</v>
      </c>
      <c r="E179" s="376" t="str">
        <f>CS_PID!E179/VLOOKUP($B179,표2[#ALL],2)</f>
        <v>#N/A</v>
      </c>
      <c r="F179" s="376" t="str">
        <f>CS_PID!F179/VLOOKUP($B179,표2[#ALL],2)</f>
        <v>#N/A</v>
      </c>
      <c r="G179" s="376" t="str">
        <f>CS_PID!G179/VLOOKUP($B179,표2[#ALL],2)</f>
        <v>#N/A</v>
      </c>
      <c r="H179" s="376" t="str">
        <f>CS_PID!H179/VLOOKUP($B179,표2[#ALL],2)/HLOOKUP($A179,표1[#ALL],row(),false)</f>
        <v>#N/A</v>
      </c>
      <c r="I179" s="376" t="str">
        <f>CS_PID!I179/VLOOKUP($B179,표2[#ALL],2)/HLOOKUP($A179,표1[#ALL],row(),false)</f>
        <v>#N/A</v>
      </c>
      <c r="J179" s="376" t="str">
        <f>CS_PID!J179/VLOOKUP($B179,표2[#ALL],2)/HLOOKUP($A179,표1[#ALL],row(),false)</f>
        <v>#N/A</v>
      </c>
      <c r="K179" s="376" t="str">
        <f>CS_PID!K179/VLOOKUP($B179,표2[#ALL],2)/HLOOKUP($A179,표1[#ALL],row(),false)</f>
        <v>#N/A</v>
      </c>
      <c r="L179" s="376" t="str">
        <f>CS_PID!L179/VLOOKUP($B179,표2[#ALL],2)/HLOOKUP($A179,표1[#ALL],row(),false)</f>
        <v>#N/A</v>
      </c>
      <c r="M179" s="376" t="str">
        <f>CS_PID!M179/VLOOKUP($B179,표2[#ALL],2)/HLOOKUP($A179,표1[#ALL],row(),false)</f>
        <v>#N/A</v>
      </c>
      <c r="N179" s="376" t="str">
        <f>CS_PID!N179/VLOOKUP($B179,표2[#ALL],2)/HLOOKUP($A179,표1[#ALL],row(),false)</f>
        <v>#N/A</v>
      </c>
      <c r="O179" s="376" t="str">
        <f>CS_PID!O179/VLOOKUP($B179,표2[#ALL],2)/HLOOKUP($A179,표1[#ALL],row(),false)</f>
        <v>#N/A</v>
      </c>
      <c r="P179" s="376" t="str">
        <f>CS_PID!P179/VLOOKUP($B179,표2[#ALL],2)/HLOOKUP($A179,표1[#ALL],row(),false)</f>
        <v>#N/A</v>
      </c>
      <c r="Q179" s="376" t="str">
        <f>CS_PID!Q179/VLOOKUP($B179,표2[#ALL],2)/HLOOKUP($A179,표1[#ALL],row(),false)</f>
        <v>#N/A</v>
      </c>
      <c r="R179" s="376" t="str">
        <f>CS_PID!R179/VLOOKUP($B179,표2[#ALL],2)/HLOOKUP($A179,표1[#ALL],row(),false)</f>
        <v>#N/A</v>
      </c>
      <c r="S179" s="376" t="str">
        <f>CS_PID!S179/VLOOKUP($B179,표2[#ALL],2)/HLOOKUP($A179,표1[#ALL],row(),false)</f>
        <v>#N/A</v>
      </c>
      <c r="T179" s="376" t="str">
        <f>CS_PID!T179/VLOOKUP($B179,표2[#ALL],2)/HLOOKUP($A179,표1[#ALL],row(),false)</f>
        <v>#N/A</v>
      </c>
      <c r="U179" s="376" t="str">
        <f>CS_PID!U179/VLOOKUP($B179,표2[#ALL],2)/HLOOKUP($A179,표1[#ALL],row(),false)</f>
        <v>#N/A</v>
      </c>
      <c r="V179" s="376" t="str">
        <f>CS_PID!V179/VLOOKUP($B179,표2[#ALL],2)/HLOOKUP($A179,표1[#ALL],row(),false)</f>
        <v>#N/A</v>
      </c>
      <c r="W179" s="376" t="str">
        <f>CS_PID!W179/VLOOKUP($B179,표2[#ALL],2)/HLOOKUP($A179,표1[#ALL],row(),false)</f>
        <v>#N/A</v>
      </c>
      <c r="X179" s="376" t="str">
        <f>CS_PID!X179/VLOOKUP($B179,표2[#ALL],2)/HLOOKUP($A179,표1[#ALL],row(),false)</f>
        <v>#N/A</v>
      </c>
      <c r="Y179" s="376" t="str">
        <f>CS_PID!Y179/VLOOKUP($B179,표2[#ALL],2)/HLOOKUP($A179,표1[#ALL],row(),false)</f>
        <v>#N/A</v>
      </c>
      <c r="Z179" s="376" t="str">
        <f>CS_PID!Z179/VLOOKUP($B179,표2[#ALL],2)/HLOOKUP($A179,표1[#ALL],row(),false)</f>
        <v>#N/A</v>
      </c>
      <c r="AA179" s="376" t="str">
        <f>CS_PID!AA179/VLOOKUP($B179,표2[#ALL],2)/HLOOKUP($A179,표1[#ALL],row(),false)</f>
        <v>#N/A</v>
      </c>
      <c r="AB179" s="376" t="str">
        <f>CS_PID!AB179/VLOOKUP($B179,표2[#ALL],2)/HLOOKUP($A179,표1[#ALL],row(),false)</f>
        <v>#N/A</v>
      </c>
      <c r="AC179" s="376" t="str">
        <f>CS_PID!AC179/VLOOKUP($B179,표2[#ALL],2)/HLOOKUP($A179,표1[#ALL],row(),false)</f>
        <v>#N/A</v>
      </c>
      <c r="AD179" s="376" t="str">
        <f>CS_PID!AD179/VLOOKUP($B179,표2[#ALL],2)/HLOOKUP($A179,표1[#ALL],row(),false)</f>
        <v>#N/A</v>
      </c>
      <c r="AE179" s="376" t="str">
        <f>CS_PID!AE179/VLOOKUP($B179,표2[#ALL],2)/HLOOKUP($A179,표1[#ALL],row(),false)</f>
        <v>#N/A</v>
      </c>
      <c r="AF179" s="376" t="str">
        <f>CS_PID!AF179/VLOOKUP($B179,표2[#ALL],2)/HLOOKUP($A179,표1[#ALL],row(),false)</f>
        <v>#N/A</v>
      </c>
      <c r="AG179" s="376" t="str">
        <f>CS_PID!AG179/VLOOKUP($B179,표2[#ALL],2)/HLOOKUP($A179,표1[#ALL],row(),false)</f>
        <v>#N/A</v>
      </c>
      <c r="AH179" s="376" t="str">
        <f>CS_PID!AH179/VLOOKUP($B179,표2[#ALL],2)/HLOOKUP($A179,표1[#ALL],row(),false)</f>
        <v>#N/A</v>
      </c>
      <c r="AI179" s="376" t="str">
        <f>CS_PID!AI179/VLOOKUP($B179,표2[#ALL],2)/HLOOKUP($A179,표1[#ALL],row(),false)</f>
        <v>#N/A</v>
      </c>
      <c r="AJ179" s="376" t="str">
        <f>CS_PID!AJ179/VLOOKUP($B179,표2[#ALL],2)/HLOOKUP($A179,표1[#ALL],row(),false)</f>
        <v>#N/A</v>
      </c>
      <c r="AK179" s="376" t="str">
        <f>CS_PID!AK179/VLOOKUP($B179,표2[#ALL],2)/HLOOKUP($A179,표1[#ALL],row(),false)</f>
        <v>#N/A</v>
      </c>
      <c r="AL179" s="376" t="str">
        <f>CS_PID!AL179/VLOOKUP($B179,표2[#ALL],2)/HLOOKUP($A179,표1[#ALL],row(),false)</f>
        <v>#N/A</v>
      </c>
      <c r="AM179" s="376" t="str">
        <f>CS_PID!AM179/VLOOKUP($B179,표2[#ALL],2)/HLOOKUP($A179,표1[#ALL],row(),false)</f>
        <v>#N/A</v>
      </c>
      <c r="AN179" s="376" t="str">
        <f>CS_PID!AN179/VLOOKUP($B179,표2[#ALL],2)/HLOOKUP($A179,표1[#ALL],row(),false)</f>
        <v>#N/A</v>
      </c>
      <c r="AO179" s="376" t="str">
        <f>CS_PID!AO179/VLOOKUP($B179,표2[#ALL],2)/HLOOKUP($A179,표1[#ALL],row(),false)</f>
        <v>#N/A</v>
      </c>
      <c r="AP179" s="376" t="str">
        <f>CS_PID!AP179/VLOOKUP($B179,표2[#ALL],2)/HLOOKUP($A179,표1[#ALL],row(),false)</f>
        <v>#N/A</v>
      </c>
      <c r="AQ179" s="376" t="str">
        <f>CS_PID!AQ179/VLOOKUP($B179,표2[#ALL],2)/HLOOKUP($A179,표1[#ALL],row(),false)</f>
        <v>#N/A</v>
      </c>
      <c r="AR179" s="376" t="str">
        <f>CS_PID!AR179/VLOOKUP($B179,표2[#ALL],2)/HLOOKUP($A179,표1[#ALL],row(),false)</f>
        <v>#N/A</v>
      </c>
      <c r="AS179" s="377" t="str">
        <f>CS_PID!AS179/VLOOKUP($B179,표2[#ALL],2)/HLOOKUP($A179,표1[#ALL],row(),false)</f>
        <v>#N/A</v>
      </c>
    </row>
    <row r="180">
      <c r="A180" s="370"/>
      <c r="B180" s="371"/>
      <c r="C180" s="372" t="str">
        <f>CS_PID!C180/VLOOKUP($B180,표2[#ALL],2)</f>
        <v>#N/A</v>
      </c>
      <c r="D180" s="372" t="str">
        <f>CS_PID!D180/VLOOKUP($B180,표2[#ALL],2)</f>
        <v>#N/A</v>
      </c>
      <c r="E180" s="372" t="str">
        <f>CS_PID!E180/VLOOKUP($B180,표2[#ALL],2)</f>
        <v>#N/A</v>
      </c>
      <c r="F180" s="372" t="str">
        <f>CS_PID!F180/VLOOKUP($B180,표2[#ALL],2)</f>
        <v>#N/A</v>
      </c>
      <c r="G180" s="372" t="str">
        <f>CS_PID!G180/VLOOKUP($B180,표2[#ALL],2)</f>
        <v>#N/A</v>
      </c>
      <c r="H180" s="372" t="str">
        <f>CS_PID!H180/VLOOKUP($B180,표2[#ALL],2)/HLOOKUP($A180,표1[#ALL],row(),false)</f>
        <v>#N/A</v>
      </c>
      <c r="I180" s="372" t="str">
        <f>CS_PID!I180/VLOOKUP($B180,표2[#ALL],2)/HLOOKUP($A180,표1[#ALL],row(),false)</f>
        <v>#N/A</v>
      </c>
      <c r="J180" s="372" t="str">
        <f>CS_PID!J180/VLOOKUP($B180,표2[#ALL],2)/HLOOKUP($A180,표1[#ALL],row(),false)</f>
        <v>#N/A</v>
      </c>
      <c r="K180" s="372" t="str">
        <f>CS_PID!K180/VLOOKUP($B180,표2[#ALL],2)/HLOOKUP($A180,표1[#ALL],row(),false)</f>
        <v>#N/A</v>
      </c>
      <c r="L180" s="372" t="str">
        <f>CS_PID!L180/VLOOKUP($B180,표2[#ALL],2)/HLOOKUP($A180,표1[#ALL],row(),false)</f>
        <v>#N/A</v>
      </c>
      <c r="M180" s="372" t="str">
        <f>CS_PID!M180/VLOOKUP($B180,표2[#ALL],2)/HLOOKUP($A180,표1[#ALL],row(),false)</f>
        <v>#N/A</v>
      </c>
      <c r="N180" s="372" t="str">
        <f>CS_PID!N180/VLOOKUP($B180,표2[#ALL],2)/HLOOKUP($A180,표1[#ALL],row(),false)</f>
        <v>#N/A</v>
      </c>
      <c r="O180" s="372" t="str">
        <f>CS_PID!O180/VLOOKUP($B180,표2[#ALL],2)/HLOOKUP($A180,표1[#ALL],row(),false)</f>
        <v>#N/A</v>
      </c>
      <c r="P180" s="372" t="str">
        <f>CS_PID!P180/VLOOKUP($B180,표2[#ALL],2)/HLOOKUP($A180,표1[#ALL],row(),false)</f>
        <v>#N/A</v>
      </c>
      <c r="Q180" s="372" t="str">
        <f>CS_PID!Q180/VLOOKUP($B180,표2[#ALL],2)/HLOOKUP($A180,표1[#ALL],row(),false)</f>
        <v>#N/A</v>
      </c>
      <c r="R180" s="372" t="str">
        <f>CS_PID!R180/VLOOKUP($B180,표2[#ALL],2)/HLOOKUP($A180,표1[#ALL],row(),false)</f>
        <v>#N/A</v>
      </c>
      <c r="S180" s="372" t="str">
        <f>CS_PID!S180/VLOOKUP($B180,표2[#ALL],2)/HLOOKUP($A180,표1[#ALL],row(),false)</f>
        <v>#N/A</v>
      </c>
      <c r="T180" s="372" t="str">
        <f>CS_PID!T180/VLOOKUP($B180,표2[#ALL],2)/HLOOKUP($A180,표1[#ALL],row(),false)</f>
        <v>#N/A</v>
      </c>
      <c r="U180" s="372" t="str">
        <f>CS_PID!U180/VLOOKUP($B180,표2[#ALL],2)/HLOOKUP($A180,표1[#ALL],row(),false)</f>
        <v>#N/A</v>
      </c>
      <c r="V180" s="372" t="str">
        <f>CS_PID!V180/VLOOKUP($B180,표2[#ALL],2)/HLOOKUP($A180,표1[#ALL],row(),false)</f>
        <v>#N/A</v>
      </c>
      <c r="W180" s="372" t="str">
        <f>CS_PID!W180/VLOOKUP($B180,표2[#ALL],2)/HLOOKUP($A180,표1[#ALL],row(),false)</f>
        <v>#N/A</v>
      </c>
      <c r="X180" s="372" t="str">
        <f>CS_PID!X180/VLOOKUP($B180,표2[#ALL],2)/HLOOKUP($A180,표1[#ALL],row(),false)</f>
        <v>#N/A</v>
      </c>
      <c r="Y180" s="372" t="str">
        <f>CS_PID!Y180/VLOOKUP($B180,표2[#ALL],2)/HLOOKUP($A180,표1[#ALL],row(),false)</f>
        <v>#N/A</v>
      </c>
      <c r="Z180" s="372" t="str">
        <f>CS_PID!Z180/VLOOKUP($B180,표2[#ALL],2)/HLOOKUP($A180,표1[#ALL],row(),false)</f>
        <v>#N/A</v>
      </c>
      <c r="AA180" s="372" t="str">
        <f>CS_PID!AA180/VLOOKUP($B180,표2[#ALL],2)/HLOOKUP($A180,표1[#ALL],row(),false)</f>
        <v>#N/A</v>
      </c>
      <c r="AB180" s="372" t="str">
        <f>CS_PID!AB180/VLOOKUP($B180,표2[#ALL],2)/HLOOKUP($A180,표1[#ALL],row(),false)</f>
        <v>#N/A</v>
      </c>
      <c r="AC180" s="372" t="str">
        <f>CS_PID!AC180/VLOOKUP($B180,표2[#ALL],2)/HLOOKUP($A180,표1[#ALL],row(),false)</f>
        <v>#N/A</v>
      </c>
      <c r="AD180" s="372" t="str">
        <f>CS_PID!AD180/VLOOKUP($B180,표2[#ALL],2)/HLOOKUP($A180,표1[#ALL],row(),false)</f>
        <v>#N/A</v>
      </c>
      <c r="AE180" s="372" t="str">
        <f>CS_PID!AE180/VLOOKUP($B180,표2[#ALL],2)/HLOOKUP($A180,표1[#ALL],row(),false)</f>
        <v>#N/A</v>
      </c>
      <c r="AF180" s="372" t="str">
        <f>CS_PID!AF180/VLOOKUP($B180,표2[#ALL],2)/HLOOKUP($A180,표1[#ALL],row(),false)</f>
        <v>#N/A</v>
      </c>
      <c r="AG180" s="372" t="str">
        <f>CS_PID!AG180/VLOOKUP($B180,표2[#ALL],2)/HLOOKUP($A180,표1[#ALL],row(),false)</f>
        <v>#N/A</v>
      </c>
      <c r="AH180" s="372" t="str">
        <f>CS_PID!AH180/VLOOKUP($B180,표2[#ALL],2)/HLOOKUP($A180,표1[#ALL],row(),false)</f>
        <v>#N/A</v>
      </c>
      <c r="AI180" s="372" t="str">
        <f>CS_PID!AI180/VLOOKUP($B180,표2[#ALL],2)/HLOOKUP($A180,표1[#ALL],row(),false)</f>
        <v>#N/A</v>
      </c>
      <c r="AJ180" s="372" t="str">
        <f>CS_PID!AJ180/VLOOKUP($B180,표2[#ALL],2)/HLOOKUP($A180,표1[#ALL],row(),false)</f>
        <v>#N/A</v>
      </c>
      <c r="AK180" s="372" t="str">
        <f>CS_PID!AK180/VLOOKUP($B180,표2[#ALL],2)/HLOOKUP($A180,표1[#ALL],row(),false)</f>
        <v>#N/A</v>
      </c>
      <c r="AL180" s="372" t="str">
        <f>CS_PID!AL180/VLOOKUP($B180,표2[#ALL],2)/HLOOKUP($A180,표1[#ALL],row(),false)</f>
        <v>#N/A</v>
      </c>
      <c r="AM180" s="372" t="str">
        <f>CS_PID!AM180/VLOOKUP($B180,표2[#ALL],2)/HLOOKUP($A180,표1[#ALL],row(),false)</f>
        <v>#N/A</v>
      </c>
      <c r="AN180" s="372" t="str">
        <f>CS_PID!AN180/VLOOKUP($B180,표2[#ALL],2)/HLOOKUP($A180,표1[#ALL],row(),false)</f>
        <v>#N/A</v>
      </c>
      <c r="AO180" s="372" t="str">
        <f>CS_PID!AO180/VLOOKUP($B180,표2[#ALL],2)/HLOOKUP($A180,표1[#ALL],row(),false)</f>
        <v>#N/A</v>
      </c>
      <c r="AP180" s="372" t="str">
        <f>CS_PID!AP180/VLOOKUP($B180,표2[#ALL],2)/HLOOKUP($A180,표1[#ALL],row(),false)</f>
        <v>#N/A</v>
      </c>
      <c r="AQ180" s="372" t="str">
        <f>CS_PID!AQ180/VLOOKUP($B180,표2[#ALL],2)/HLOOKUP($A180,표1[#ALL],row(),false)</f>
        <v>#N/A</v>
      </c>
      <c r="AR180" s="372" t="str">
        <f>CS_PID!AR180/VLOOKUP($B180,표2[#ALL],2)/HLOOKUP($A180,표1[#ALL],row(),false)</f>
        <v>#N/A</v>
      </c>
      <c r="AS180" s="373" t="str">
        <f>CS_PID!AS180/VLOOKUP($B180,표2[#ALL],2)/HLOOKUP($A180,표1[#ALL],row(),false)</f>
        <v>#N/A</v>
      </c>
    </row>
    <row r="181">
      <c r="A181" s="374"/>
      <c r="B181" s="375"/>
      <c r="C181" s="376" t="str">
        <f>CS_PID!C181/VLOOKUP($B181,표2[#ALL],2)</f>
        <v>#N/A</v>
      </c>
      <c r="D181" s="376" t="str">
        <f>CS_PID!D181/VLOOKUP($B181,표2[#ALL],2)</f>
        <v>#N/A</v>
      </c>
      <c r="E181" s="376" t="str">
        <f>CS_PID!E181/VLOOKUP($B181,표2[#ALL],2)</f>
        <v>#N/A</v>
      </c>
      <c r="F181" s="376" t="str">
        <f>CS_PID!F181/VLOOKUP($B181,표2[#ALL],2)</f>
        <v>#N/A</v>
      </c>
      <c r="G181" s="376" t="str">
        <f>CS_PID!G181/VLOOKUP($B181,표2[#ALL],2)</f>
        <v>#N/A</v>
      </c>
      <c r="H181" s="376" t="str">
        <f>CS_PID!H181/VLOOKUP($B181,표2[#ALL],2)/HLOOKUP($A181,표1[#ALL],row(),false)</f>
        <v>#N/A</v>
      </c>
      <c r="I181" s="376" t="str">
        <f>CS_PID!I181/VLOOKUP($B181,표2[#ALL],2)/HLOOKUP($A181,표1[#ALL],row(),false)</f>
        <v>#N/A</v>
      </c>
      <c r="J181" s="376" t="str">
        <f>CS_PID!J181/VLOOKUP($B181,표2[#ALL],2)/HLOOKUP($A181,표1[#ALL],row(),false)</f>
        <v>#N/A</v>
      </c>
      <c r="K181" s="376" t="str">
        <f>CS_PID!K181/VLOOKUP($B181,표2[#ALL],2)/HLOOKUP($A181,표1[#ALL],row(),false)</f>
        <v>#N/A</v>
      </c>
      <c r="L181" s="376" t="str">
        <f>CS_PID!L181/VLOOKUP($B181,표2[#ALL],2)/HLOOKUP($A181,표1[#ALL],row(),false)</f>
        <v>#N/A</v>
      </c>
      <c r="M181" s="376" t="str">
        <f>CS_PID!M181/VLOOKUP($B181,표2[#ALL],2)/HLOOKUP($A181,표1[#ALL],row(),false)</f>
        <v>#N/A</v>
      </c>
      <c r="N181" s="376" t="str">
        <f>CS_PID!N181/VLOOKUP($B181,표2[#ALL],2)/HLOOKUP($A181,표1[#ALL],row(),false)</f>
        <v>#N/A</v>
      </c>
      <c r="O181" s="376" t="str">
        <f>CS_PID!O181/VLOOKUP($B181,표2[#ALL],2)/HLOOKUP($A181,표1[#ALL],row(),false)</f>
        <v>#N/A</v>
      </c>
      <c r="P181" s="376" t="str">
        <f>CS_PID!P181/VLOOKUP($B181,표2[#ALL],2)/HLOOKUP($A181,표1[#ALL],row(),false)</f>
        <v>#N/A</v>
      </c>
      <c r="Q181" s="376" t="str">
        <f>CS_PID!Q181/VLOOKUP($B181,표2[#ALL],2)/HLOOKUP($A181,표1[#ALL],row(),false)</f>
        <v>#N/A</v>
      </c>
      <c r="R181" s="376" t="str">
        <f>CS_PID!R181/VLOOKUP($B181,표2[#ALL],2)/HLOOKUP($A181,표1[#ALL],row(),false)</f>
        <v>#N/A</v>
      </c>
      <c r="S181" s="376" t="str">
        <f>CS_PID!S181/VLOOKUP($B181,표2[#ALL],2)/HLOOKUP($A181,표1[#ALL],row(),false)</f>
        <v>#N/A</v>
      </c>
      <c r="T181" s="376" t="str">
        <f>CS_PID!T181/VLOOKUP($B181,표2[#ALL],2)/HLOOKUP($A181,표1[#ALL],row(),false)</f>
        <v>#N/A</v>
      </c>
      <c r="U181" s="376" t="str">
        <f>CS_PID!U181/VLOOKUP($B181,표2[#ALL],2)/HLOOKUP($A181,표1[#ALL],row(),false)</f>
        <v>#N/A</v>
      </c>
      <c r="V181" s="376" t="str">
        <f>CS_PID!V181/VLOOKUP($B181,표2[#ALL],2)/HLOOKUP($A181,표1[#ALL],row(),false)</f>
        <v>#N/A</v>
      </c>
      <c r="W181" s="376" t="str">
        <f>CS_PID!W181/VLOOKUP($B181,표2[#ALL],2)/HLOOKUP($A181,표1[#ALL],row(),false)</f>
        <v>#N/A</v>
      </c>
      <c r="X181" s="376" t="str">
        <f>CS_PID!X181/VLOOKUP($B181,표2[#ALL],2)/HLOOKUP($A181,표1[#ALL],row(),false)</f>
        <v>#N/A</v>
      </c>
      <c r="Y181" s="376" t="str">
        <f>CS_PID!Y181/VLOOKUP($B181,표2[#ALL],2)/HLOOKUP($A181,표1[#ALL],row(),false)</f>
        <v>#N/A</v>
      </c>
      <c r="Z181" s="376" t="str">
        <f>CS_PID!Z181/VLOOKUP($B181,표2[#ALL],2)/HLOOKUP($A181,표1[#ALL],row(),false)</f>
        <v>#N/A</v>
      </c>
      <c r="AA181" s="376" t="str">
        <f>CS_PID!AA181/VLOOKUP($B181,표2[#ALL],2)/HLOOKUP($A181,표1[#ALL],row(),false)</f>
        <v>#N/A</v>
      </c>
      <c r="AB181" s="376" t="str">
        <f>CS_PID!AB181/VLOOKUP($B181,표2[#ALL],2)/HLOOKUP($A181,표1[#ALL],row(),false)</f>
        <v>#N/A</v>
      </c>
      <c r="AC181" s="376" t="str">
        <f>CS_PID!AC181/VLOOKUP($B181,표2[#ALL],2)/HLOOKUP($A181,표1[#ALL],row(),false)</f>
        <v>#N/A</v>
      </c>
      <c r="AD181" s="376" t="str">
        <f>CS_PID!AD181/VLOOKUP($B181,표2[#ALL],2)/HLOOKUP($A181,표1[#ALL],row(),false)</f>
        <v>#N/A</v>
      </c>
      <c r="AE181" s="376" t="str">
        <f>CS_PID!AE181/VLOOKUP($B181,표2[#ALL],2)/HLOOKUP($A181,표1[#ALL],row(),false)</f>
        <v>#N/A</v>
      </c>
      <c r="AF181" s="376" t="str">
        <f>CS_PID!AF181/VLOOKUP($B181,표2[#ALL],2)/HLOOKUP($A181,표1[#ALL],row(),false)</f>
        <v>#N/A</v>
      </c>
      <c r="AG181" s="376" t="str">
        <f>CS_PID!AG181/VLOOKUP($B181,표2[#ALL],2)/HLOOKUP($A181,표1[#ALL],row(),false)</f>
        <v>#N/A</v>
      </c>
      <c r="AH181" s="376" t="str">
        <f>CS_PID!AH181/VLOOKUP($B181,표2[#ALL],2)/HLOOKUP($A181,표1[#ALL],row(),false)</f>
        <v>#N/A</v>
      </c>
      <c r="AI181" s="376" t="str">
        <f>CS_PID!AI181/VLOOKUP($B181,표2[#ALL],2)/HLOOKUP($A181,표1[#ALL],row(),false)</f>
        <v>#N/A</v>
      </c>
      <c r="AJ181" s="376" t="str">
        <f>CS_PID!AJ181/VLOOKUP($B181,표2[#ALL],2)/HLOOKUP($A181,표1[#ALL],row(),false)</f>
        <v>#N/A</v>
      </c>
      <c r="AK181" s="376" t="str">
        <f>CS_PID!AK181/VLOOKUP($B181,표2[#ALL],2)/HLOOKUP($A181,표1[#ALL],row(),false)</f>
        <v>#N/A</v>
      </c>
      <c r="AL181" s="376" t="str">
        <f>CS_PID!AL181/VLOOKUP($B181,표2[#ALL],2)/HLOOKUP($A181,표1[#ALL],row(),false)</f>
        <v>#N/A</v>
      </c>
      <c r="AM181" s="376" t="str">
        <f>CS_PID!AM181/VLOOKUP($B181,표2[#ALL],2)/HLOOKUP($A181,표1[#ALL],row(),false)</f>
        <v>#N/A</v>
      </c>
      <c r="AN181" s="376" t="str">
        <f>CS_PID!AN181/VLOOKUP($B181,표2[#ALL],2)/HLOOKUP($A181,표1[#ALL],row(),false)</f>
        <v>#N/A</v>
      </c>
      <c r="AO181" s="376" t="str">
        <f>CS_PID!AO181/VLOOKUP($B181,표2[#ALL],2)/HLOOKUP($A181,표1[#ALL],row(),false)</f>
        <v>#N/A</v>
      </c>
      <c r="AP181" s="376" t="str">
        <f>CS_PID!AP181/VLOOKUP($B181,표2[#ALL],2)/HLOOKUP($A181,표1[#ALL],row(),false)</f>
        <v>#N/A</v>
      </c>
      <c r="AQ181" s="376" t="str">
        <f>CS_PID!AQ181/VLOOKUP($B181,표2[#ALL],2)/HLOOKUP($A181,표1[#ALL],row(),false)</f>
        <v>#N/A</v>
      </c>
      <c r="AR181" s="376" t="str">
        <f>CS_PID!AR181/VLOOKUP($B181,표2[#ALL],2)/HLOOKUP($A181,표1[#ALL],row(),false)</f>
        <v>#N/A</v>
      </c>
      <c r="AS181" s="377" t="str">
        <f>CS_PID!AS181/VLOOKUP($B181,표2[#ALL],2)/HLOOKUP($A181,표1[#ALL],row(),false)</f>
        <v>#N/A</v>
      </c>
    </row>
    <row r="182">
      <c r="A182" s="370"/>
      <c r="B182" s="371"/>
      <c r="C182" s="372" t="str">
        <f>CS_PID!C182/VLOOKUP($B182,표2[#ALL],2)</f>
        <v>#N/A</v>
      </c>
      <c r="D182" s="372" t="str">
        <f>CS_PID!D182/VLOOKUP($B182,표2[#ALL],2)</f>
        <v>#N/A</v>
      </c>
      <c r="E182" s="372" t="str">
        <f>CS_PID!E182/VLOOKUP($B182,표2[#ALL],2)</f>
        <v>#N/A</v>
      </c>
      <c r="F182" s="372" t="str">
        <f>CS_PID!F182/VLOOKUP($B182,표2[#ALL],2)</f>
        <v>#N/A</v>
      </c>
      <c r="G182" s="372" t="str">
        <f>CS_PID!G182/VLOOKUP($B182,표2[#ALL],2)</f>
        <v>#N/A</v>
      </c>
      <c r="H182" s="372" t="str">
        <f>CS_PID!H182/VLOOKUP($B182,표2[#ALL],2)/HLOOKUP($A182,표1[#ALL],row(),false)</f>
        <v>#N/A</v>
      </c>
      <c r="I182" s="372" t="str">
        <f>CS_PID!I182/VLOOKUP($B182,표2[#ALL],2)/HLOOKUP($A182,표1[#ALL],row(),false)</f>
        <v>#N/A</v>
      </c>
      <c r="J182" s="372" t="str">
        <f>CS_PID!J182/VLOOKUP($B182,표2[#ALL],2)/HLOOKUP($A182,표1[#ALL],row(),false)</f>
        <v>#N/A</v>
      </c>
      <c r="K182" s="372" t="str">
        <f>CS_PID!K182/VLOOKUP($B182,표2[#ALL],2)/HLOOKUP($A182,표1[#ALL],row(),false)</f>
        <v>#N/A</v>
      </c>
      <c r="L182" s="372" t="str">
        <f>CS_PID!L182/VLOOKUP($B182,표2[#ALL],2)/HLOOKUP($A182,표1[#ALL],row(),false)</f>
        <v>#N/A</v>
      </c>
      <c r="M182" s="372" t="str">
        <f>CS_PID!M182/VLOOKUP($B182,표2[#ALL],2)/HLOOKUP($A182,표1[#ALL],row(),false)</f>
        <v>#N/A</v>
      </c>
      <c r="N182" s="372" t="str">
        <f>CS_PID!N182/VLOOKUP($B182,표2[#ALL],2)/HLOOKUP($A182,표1[#ALL],row(),false)</f>
        <v>#N/A</v>
      </c>
      <c r="O182" s="372" t="str">
        <f>CS_PID!O182/VLOOKUP($B182,표2[#ALL],2)/HLOOKUP($A182,표1[#ALL],row(),false)</f>
        <v>#N/A</v>
      </c>
      <c r="P182" s="372" t="str">
        <f>CS_PID!P182/VLOOKUP($B182,표2[#ALL],2)/HLOOKUP($A182,표1[#ALL],row(),false)</f>
        <v>#N/A</v>
      </c>
      <c r="Q182" s="372" t="str">
        <f>CS_PID!Q182/VLOOKUP($B182,표2[#ALL],2)/HLOOKUP($A182,표1[#ALL],row(),false)</f>
        <v>#N/A</v>
      </c>
      <c r="R182" s="372" t="str">
        <f>CS_PID!R182/VLOOKUP($B182,표2[#ALL],2)/HLOOKUP($A182,표1[#ALL],row(),false)</f>
        <v>#N/A</v>
      </c>
      <c r="S182" s="372" t="str">
        <f>CS_PID!S182/VLOOKUP($B182,표2[#ALL],2)/HLOOKUP($A182,표1[#ALL],row(),false)</f>
        <v>#N/A</v>
      </c>
      <c r="T182" s="372" t="str">
        <f>CS_PID!T182/VLOOKUP($B182,표2[#ALL],2)/HLOOKUP($A182,표1[#ALL],row(),false)</f>
        <v>#N/A</v>
      </c>
      <c r="U182" s="372" t="str">
        <f>CS_PID!U182/VLOOKUP($B182,표2[#ALL],2)/HLOOKUP($A182,표1[#ALL],row(),false)</f>
        <v>#N/A</v>
      </c>
      <c r="V182" s="372" t="str">
        <f>CS_PID!V182/VLOOKUP($B182,표2[#ALL],2)/HLOOKUP($A182,표1[#ALL],row(),false)</f>
        <v>#N/A</v>
      </c>
      <c r="W182" s="372" t="str">
        <f>CS_PID!W182/VLOOKUP($B182,표2[#ALL],2)/HLOOKUP($A182,표1[#ALL],row(),false)</f>
        <v>#N/A</v>
      </c>
      <c r="X182" s="372" t="str">
        <f>CS_PID!X182/VLOOKUP($B182,표2[#ALL],2)/HLOOKUP($A182,표1[#ALL],row(),false)</f>
        <v>#N/A</v>
      </c>
      <c r="Y182" s="372" t="str">
        <f>CS_PID!Y182/VLOOKUP($B182,표2[#ALL],2)/HLOOKUP($A182,표1[#ALL],row(),false)</f>
        <v>#N/A</v>
      </c>
      <c r="Z182" s="372" t="str">
        <f>CS_PID!Z182/VLOOKUP($B182,표2[#ALL],2)/HLOOKUP($A182,표1[#ALL],row(),false)</f>
        <v>#N/A</v>
      </c>
      <c r="AA182" s="372" t="str">
        <f>CS_PID!AA182/VLOOKUP($B182,표2[#ALL],2)/HLOOKUP($A182,표1[#ALL],row(),false)</f>
        <v>#N/A</v>
      </c>
      <c r="AB182" s="372" t="str">
        <f>CS_PID!AB182/VLOOKUP($B182,표2[#ALL],2)/HLOOKUP($A182,표1[#ALL],row(),false)</f>
        <v>#N/A</v>
      </c>
      <c r="AC182" s="372" t="str">
        <f>CS_PID!AC182/VLOOKUP($B182,표2[#ALL],2)/HLOOKUP($A182,표1[#ALL],row(),false)</f>
        <v>#N/A</v>
      </c>
      <c r="AD182" s="372" t="str">
        <f>CS_PID!AD182/VLOOKUP($B182,표2[#ALL],2)/HLOOKUP($A182,표1[#ALL],row(),false)</f>
        <v>#N/A</v>
      </c>
      <c r="AE182" s="372" t="str">
        <f>CS_PID!AE182/VLOOKUP($B182,표2[#ALL],2)/HLOOKUP($A182,표1[#ALL],row(),false)</f>
        <v>#N/A</v>
      </c>
      <c r="AF182" s="372" t="str">
        <f>CS_PID!AF182/VLOOKUP($B182,표2[#ALL],2)/HLOOKUP($A182,표1[#ALL],row(),false)</f>
        <v>#N/A</v>
      </c>
      <c r="AG182" s="372" t="str">
        <f>CS_PID!AG182/VLOOKUP($B182,표2[#ALL],2)/HLOOKUP($A182,표1[#ALL],row(),false)</f>
        <v>#N/A</v>
      </c>
      <c r="AH182" s="372" t="str">
        <f>CS_PID!AH182/VLOOKUP($B182,표2[#ALL],2)/HLOOKUP($A182,표1[#ALL],row(),false)</f>
        <v>#N/A</v>
      </c>
      <c r="AI182" s="372" t="str">
        <f>CS_PID!AI182/VLOOKUP($B182,표2[#ALL],2)/HLOOKUP($A182,표1[#ALL],row(),false)</f>
        <v>#N/A</v>
      </c>
      <c r="AJ182" s="372" t="str">
        <f>CS_PID!AJ182/VLOOKUP($B182,표2[#ALL],2)/HLOOKUP($A182,표1[#ALL],row(),false)</f>
        <v>#N/A</v>
      </c>
      <c r="AK182" s="372" t="str">
        <f>CS_PID!AK182/VLOOKUP($B182,표2[#ALL],2)/HLOOKUP($A182,표1[#ALL],row(),false)</f>
        <v>#N/A</v>
      </c>
      <c r="AL182" s="372" t="str">
        <f>CS_PID!AL182/VLOOKUP($B182,표2[#ALL],2)/HLOOKUP($A182,표1[#ALL],row(),false)</f>
        <v>#N/A</v>
      </c>
      <c r="AM182" s="372" t="str">
        <f>CS_PID!AM182/VLOOKUP($B182,표2[#ALL],2)/HLOOKUP($A182,표1[#ALL],row(),false)</f>
        <v>#N/A</v>
      </c>
      <c r="AN182" s="372" t="str">
        <f>CS_PID!AN182/VLOOKUP($B182,표2[#ALL],2)/HLOOKUP($A182,표1[#ALL],row(),false)</f>
        <v>#N/A</v>
      </c>
      <c r="AO182" s="372" t="str">
        <f>CS_PID!AO182/VLOOKUP($B182,표2[#ALL],2)/HLOOKUP($A182,표1[#ALL],row(),false)</f>
        <v>#N/A</v>
      </c>
      <c r="AP182" s="372" t="str">
        <f>CS_PID!AP182/VLOOKUP($B182,표2[#ALL],2)/HLOOKUP($A182,표1[#ALL],row(),false)</f>
        <v>#N/A</v>
      </c>
      <c r="AQ182" s="372" t="str">
        <f>CS_PID!AQ182/VLOOKUP($B182,표2[#ALL],2)/HLOOKUP($A182,표1[#ALL],row(),false)</f>
        <v>#N/A</v>
      </c>
      <c r="AR182" s="372" t="str">
        <f>CS_PID!AR182/VLOOKUP($B182,표2[#ALL],2)/HLOOKUP($A182,표1[#ALL],row(),false)</f>
        <v>#N/A</v>
      </c>
      <c r="AS182" s="373" t="str">
        <f>CS_PID!AS182/VLOOKUP($B182,표2[#ALL],2)/HLOOKUP($A182,표1[#ALL],row(),false)</f>
        <v>#N/A</v>
      </c>
    </row>
    <row r="183">
      <c r="A183" s="374"/>
      <c r="B183" s="375"/>
      <c r="C183" s="376" t="str">
        <f>CS_PID!C183/VLOOKUP($B183,표2[#ALL],2)</f>
        <v>#N/A</v>
      </c>
      <c r="D183" s="376" t="str">
        <f>CS_PID!D183/VLOOKUP($B183,표2[#ALL],2)</f>
        <v>#N/A</v>
      </c>
      <c r="E183" s="376" t="str">
        <f>CS_PID!E183/VLOOKUP($B183,표2[#ALL],2)</f>
        <v>#N/A</v>
      </c>
      <c r="F183" s="376" t="str">
        <f>CS_PID!F183/VLOOKUP($B183,표2[#ALL],2)</f>
        <v>#N/A</v>
      </c>
      <c r="G183" s="376" t="str">
        <f>CS_PID!G183/VLOOKUP($B183,표2[#ALL],2)</f>
        <v>#N/A</v>
      </c>
      <c r="H183" s="376" t="str">
        <f>CS_PID!H183/VLOOKUP($B183,표2[#ALL],2)/HLOOKUP($A183,표1[#ALL],row(),false)</f>
        <v>#N/A</v>
      </c>
      <c r="I183" s="376" t="str">
        <f>CS_PID!I183/VLOOKUP($B183,표2[#ALL],2)/HLOOKUP($A183,표1[#ALL],row(),false)</f>
        <v>#N/A</v>
      </c>
      <c r="J183" s="376" t="str">
        <f>CS_PID!J183/VLOOKUP($B183,표2[#ALL],2)/HLOOKUP($A183,표1[#ALL],row(),false)</f>
        <v>#N/A</v>
      </c>
      <c r="K183" s="376" t="str">
        <f>CS_PID!K183/VLOOKUP($B183,표2[#ALL],2)/HLOOKUP($A183,표1[#ALL],row(),false)</f>
        <v>#N/A</v>
      </c>
      <c r="L183" s="376" t="str">
        <f>CS_PID!L183/VLOOKUP($B183,표2[#ALL],2)/HLOOKUP($A183,표1[#ALL],row(),false)</f>
        <v>#N/A</v>
      </c>
      <c r="M183" s="376" t="str">
        <f>CS_PID!M183/VLOOKUP($B183,표2[#ALL],2)/HLOOKUP($A183,표1[#ALL],row(),false)</f>
        <v>#N/A</v>
      </c>
      <c r="N183" s="376" t="str">
        <f>CS_PID!N183/VLOOKUP($B183,표2[#ALL],2)/HLOOKUP($A183,표1[#ALL],row(),false)</f>
        <v>#N/A</v>
      </c>
      <c r="O183" s="376" t="str">
        <f>CS_PID!O183/VLOOKUP($B183,표2[#ALL],2)/HLOOKUP($A183,표1[#ALL],row(),false)</f>
        <v>#N/A</v>
      </c>
      <c r="P183" s="376" t="str">
        <f>CS_PID!P183/VLOOKUP($B183,표2[#ALL],2)/HLOOKUP($A183,표1[#ALL],row(),false)</f>
        <v>#N/A</v>
      </c>
      <c r="Q183" s="376" t="str">
        <f>CS_PID!Q183/VLOOKUP($B183,표2[#ALL],2)/HLOOKUP($A183,표1[#ALL],row(),false)</f>
        <v>#N/A</v>
      </c>
      <c r="R183" s="376" t="str">
        <f>CS_PID!R183/VLOOKUP($B183,표2[#ALL],2)/HLOOKUP($A183,표1[#ALL],row(),false)</f>
        <v>#N/A</v>
      </c>
      <c r="S183" s="376" t="str">
        <f>CS_PID!S183/VLOOKUP($B183,표2[#ALL],2)/HLOOKUP($A183,표1[#ALL],row(),false)</f>
        <v>#N/A</v>
      </c>
      <c r="T183" s="376" t="str">
        <f>CS_PID!T183/VLOOKUP($B183,표2[#ALL],2)/HLOOKUP($A183,표1[#ALL],row(),false)</f>
        <v>#N/A</v>
      </c>
      <c r="U183" s="376" t="str">
        <f>CS_PID!U183/VLOOKUP($B183,표2[#ALL],2)/HLOOKUP($A183,표1[#ALL],row(),false)</f>
        <v>#N/A</v>
      </c>
      <c r="V183" s="376" t="str">
        <f>CS_PID!V183/VLOOKUP($B183,표2[#ALL],2)/HLOOKUP($A183,표1[#ALL],row(),false)</f>
        <v>#N/A</v>
      </c>
      <c r="W183" s="376" t="str">
        <f>CS_PID!W183/VLOOKUP($B183,표2[#ALL],2)/HLOOKUP($A183,표1[#ALL],row(),false)</f>
        <v>#N/A</v>
      </c>
      <c r="X183" s="376" t="str">
        <f>CS_PID!X183/VLOOKUP($B183,표2[#ALL],2)/HLOOKUP($A183,표1[#ALL],row(),false)</f>
        <v>#N/A</v>
      </c>
      <c r="Y183" s="376" t="str">
        <f>CS_PID!Y183/VLOOKUP($B183,표2[#ALL],2)/HLOOKUP($A183,표1[#ALL],row(),false)</f>
        <v>#N/A</v>
      </c>
      <c r="Z183" s="376" t="str">
        <f>CS_PID!Z183/VLOOKUP($B183,표2[#ALL],2)/HLOOKUP($A183,표1[#ALL],row(),false)</f>
        <v>#N/A</v>
      </c>
      <c r="AA183" s="376" t="str">
        <f>CS_PID!AA183/VLOOKUP($B183,표2[#ALL],2)/HLOOKUP($A183,표1[#ALL],row(),false)</f>
        <v>#N/A</v>
      </c>
      <c r="AB183" s="376" t="str">
        <f>CS_PID!AB183/VLOOKUP($B183,표2[#ALL],2)/HLOOKUP($A183,표1[#ALL],row(),false)</f>
        <v>#N/A</v>
      </c>
      <c r="AC183" s="376" t="str">
        <f>CS_PID!AC183/VLOOKUP($B183,표2[#ALL],2)/HLOOKUP($A183,표1[#ALL],row(),false)</f>
        <v>#N/A</v>
      </c>
      <c r="AD183" s="376" t="str">
        <f>CS_PID!AD183/VLOOKUP($B183,표2[#ALL],2)/HLOOKUP($A183,표1[#ALL],row(),false)</f>
        <v>#N/A</v>
      </c>
      <c r="AE183" s="376" t="str">
        <f>CS_PID!AE183/VLOOKUP($B183,표2[#ALL],2)/HLOOKUP($A183,표1[#ALL],row(),false)</f>
        <v>#N/A</v>
      </c>
      <c r="AF183" s="376" t="str">
        <f>CS_PID!AF183/VLOOKUP($B183,표2[#ALL],2)/HLOOKUP($A183,표1[#ALL],row(),false)</f>
        <v>#N/A</v>
      </c>
      <c r="AG183" s="376" t="str">
        <f>CS_PID!AG183/VLOOKUP($B183,표2[#ALL],2)/HLOOKUP($A183,표1[#ALL],row(),false)</f>
        <v>#N/A</v>
      </c>
      <c r="AH183" s="376" t="str">
        <f>CS_PID!AH183/VLOOKUP($B183,표2[#ALL],2)/HLOOKUP($A183,표1[#ALL],row(),false)</f>
        <v>#N/A</v>
      </c>
      <c r="AI183" s="376" t="str">
        <f>CS_PID!AI183/VLOOKUP($B183,표2[#ALL],2)/HLOOKUP($A183,표1[#ALL],row(),false)</f>
        <v>#N/A</v>
      </c>
      <c r="AJ183" s="376" t="str">
        <f>CS_PID!AJ183/VLOOKUP($B183,표2[#ALL],2)/HLOOKUP($A183,표1[#ALL],row(),false)</f>
        <v>#N/A</v>
      </c>
      <c r="AK183" s="376" t="str">
        <f>CS_PID!AK183/VLOOKUP($B183,표2[#ALL],2)/HLOOKUP($A183,표1[#ALL],row(),false)</f>
        <v>#N/A</v>
      </c>
      <c r="AL183" s="376" t="str">
        <f>CS_PID!AL183/VLOOKUP($B183,표2[#ALL],2)/HLOOKUP($A183,표1[#ALL],row(),false)</f>
        <v>#N/A</v>
      </c>
      <c r="AM183" s="376" t="str">
        <f>CS_PID!AM183/VLOOKUP($B183,표2[#ALL],2)/HLOOKUP($A183,표1[#ALL],row(),false)</f>
        <v>#N/A</v>
      </c>
      <c r="AN183" s="376" t="str">
        <f>CS_PID!AN183/VLOOKUP($B183,표2[#ALL],2)/HLOOKUP($A183,표1[#ALL],row(),false)</f>
        <v>#N/A</v>
      </c>
      <c r="AO183" s="376" t="str">
        <f>CS_PID!AO183/VLOOKUP($B183,표2[#ALL],2)/HLOOKUP($A183,표1[#ALL],row(),false)</f>
        <v>#N/A</v>
      </c>
      <c r="AP183" s="376" t="str">
        <f>CS_PID!AP183/VLOOKUP($B183,표2[#ALL],2)/HLOOKUP($A183,표1[#ALL],row(),false)</f>
        <v>#N/A</v>
      </c>
      <c r="AQ183" s="376" t="str">
        <f>CS_PID!AQ183/VLOOKUP($B183,표2[#ALL],2)/HLOOKUP($A183,표1[#ALL],row(),false)</f>
        <v>#N/A</v>
      </c>
      <c r="AR183" s="376" t="str">
        <f>CS_PID!AR183/VLOOKUP($B183,표2[#ALL],2)/HLOOKUP($A183,표1[#ALL],row(),false)</f>
        <v>#N/A</v>
      </c>
      <c r="AS183" s="377" t="str">
        <f>CS_PID!AS183/VLOOKUP($B183,표2[#ALL],2)/HLOOKUP($A183,표1[#ALL],row(),false)</f>
        <v>#N/A</v>
      </c>
    </row>
    <row r="184">
      <c r="A184" s="370"/>
      <c r="B184" s="371"/>
      <c r="C184" s="372" t="str">
        <f>CS_PID!C184/VLOOKUP($B184,표2[#ALL],2)</f>
        <v>#N/A</v>
      </c>
      <c r="D184" s="372" t="str">
        <f>CS_PID!D184/VLOOKUP($B184,표2[#ALL],2)</f>
        <v>#N/A</v>
      </c>
      <c r="E184" s="372" t="str">
        <f>CS_PID!E184/VLOOKUP($B184,표2[#ALL],2)</f>
        <v>#N/A</v>
      </c>
      <c r="F184" s="372" t="str">
        <f>CS_PID!F184/VLOOKUP($B184,표2[#ALL],2)</f>
        <v>#N/A</v>
      </c>
      <c r="G184" s="372" t="str">
        <f>CS_PID!G184/VLOOKUP($B184,표2[#ALL],2)</f>
        <v>#N/A</v>
      </c>
      <c r="H184" s="372" t="str">
        <f>CS_PID!H184/VLOOKUP($B184,표2[#ALL],2)/HLOOKUP($A184,표1[#ALL],row(),false)</f>
        <v>#N/A</v>
      </c>
      <c r="I184" s="372" t="str">
        <f>CS_PID!I184/VLOOKUP($B184,표2[#ALL],2)/HLOOKUP($A184,표1[#ALL],row(),false)</f>
        <v>#N/A</v>
      </c>
      <c r="J184" s="372" t="str">
        <f>CS_PID!J184/VLOOKUP($B184,표2[#ALL],2)/HLOOKUP($A184,표1[#ALL],row(),false)</f>
        <v>#N/A</v>
      </c>
      <c r="K184" s="372" t="str">
        <f>CS_PID!K184/VLOOKUP($B184,표2[#ALL],2)/HLOOKUP($A184,표1[#ALL],row(),false)</f>
        <v>#N/A</v>
      </c>
      <c r="L184" s="372" t="str">
        <f>CS_PID!L184/VLOOKUP($B184,표2[#ALL],2)/HLOOKUP($A184,표1[#ALL],row(),false)</f>
        <v>#N/A</v>
      </c>
      <c r="M184" s="372" t="str">
        <f>CS_PID!M184/VLOOKUP($B184,표2[#ALL],2)/HLOOKUP($A184,표1[#ALL],row(),false)</f>
        <v>#N/A</v>
      </c>
      <c r="N184" s="372" t="str">
        <f>CS_PID!N184/VLOOKUP($B184,표2[#ALL],2)/HLOOKUP($A184,표1[#ALL],row(),false)</f>
        <v>#N/A</v>
      </c>
      <c r="O184" s="372" t="str">
        <f>CS_PID!O184/VLOOKUP($B184,표2[#ALL],2)/HLOOKUP($A184,표1[#ALL],row(),false)</f>
        <v>#N/A</v>
      </c>
      <c r="P184" s="372" t="str">
        <f>CS_PID!P184/VLOOKUP($B184,표2[#ALL],2)/HLOOKUP($A184,표1[#ALL],row(),false)</f>
        <v>#N/A</v>
      </c>
      <c r="Q184" s="372" t="str">
        <f>CS_PID!Q184/VLOOKUP($B184,표2[#ALL],2)/HLOOKUP($A184,표1[#ALL],row(),false)</f>
        <v>#N/A</v>
      </c>
      <c r="R184" s="372" t="str">
        <f>CS_PID!R184/VLOOKUP($B184,표2[#ALL],2)/HLOOKUP($A184,표1[#ALL],row(),false)</f>
        <v>#N/A</v>
      </c>
      <c r="S184" s="372" t="str">
        <f>CS_PID!S184/VLOOKUP($B184,표2[#ALL],2)/HLOOKUP($A184,표1[#ALL],row(),false)</f>
        <v>#N/A</v>
      </c>
      <c r="T184" s="372" t="str">
        <f>CS_PID!T184/VLOOKUP($B184,표2[#ALL],2)/HLOOKUP($A184,표1[#ALL],row(),false)</f>
        <v>#N/A</v>
      </c>
      <c r="U184" s="372" t="str">
        <f>CS_PID!U184/VLOOKUP($B184,표2[#ALL],2)/HLOOKUP($A184,표1[#ALL],row(),false)</f>
        <v>#N/A</v>
      </c>
      <c r="V184" s="372" t="str">
        <f>CS_PID!V184/VLOOKUP($B184,표2[#ALL],2)/HLOOKUP($A184,표1[#ALL],row(),false)</f>
        <v>#N/A</v>
      </c>
      <c r="W184" s="372" t="str">
        <f>CS_PID!W184/VLOOKUP($B184,표2[#ALL],2)/HLOOKUP($A184,표1[#ALL],row(),false)</f>
        <v>#N/A</v>
      </c>
      <c r="X184" s="372" t="str">
        <f>CS_PID!X184/VLOOKUP($B184,표2[#ALL],2)/HLOOKUP($A184,표1[#ALL],row(),false)</f>
        <v>#N/A</v>
      </c>
      <c r="Y184" s="372" t="str">
        <f>CS_PID!Y184/VLOOKUP($B184,표2[#ALL],2)/HLOOKUP($A184,표1[#ALL],row(),false)</f>
        <v>#N/A</v>
      </c>
      <c r="Z184" s="372" t="str">
        <f>CS_PID!Z184/VLOOKUP($B184,표2[#ALL],2)/HLOOKUP($A184,표1[#ALL],row(),false)</f>
        <v>#N/A</v>
      </c>
      <c r="AA184" s="372" t="str">
        <f>CS_PID!AA184/VLOOKUP($B184,표2[#ALL],2)/HLOOKUP($A184,표1[#ALL],row(),false)</f>
        <v>#N/A</v>
      </c>
      <c r="AB184" s="372" t="str">
        <f>CS_PID!AB184/VLOOKUP($B184,표2[#ALL],2)/HLOOKUP($A184,표1[#ALL],row(),false)</f>
        <v>#N/A</v>
      </c>
      <c r="AC184" s="372" t="str">
        <f>CS_PID!AC184/VLOOKUP($B184,표2[#ALL],2)/HLOOKUP($A184,표1[#ALL],row(),false)</f>
        <v>#N/A</v>
      </c>
      <c r="AD184" s="372" t="str">
        <f>CS_PID!AD184/VLOOKUP($B184,표2[#ALL],2)/HLOOKUP($A184,표1[#ALL],row(),false)</f>
        <v>#N/A</v>
      </c>
      <c r="AE184" s="372" t="str">
        <f>CS_PID!AE184/VLOOKUP($B184,표2[#ALL],2)/HLOOKUP($A184,표1[#ALL],row(),false)</f>
        <v>#N/A</v>
      </c>
      <c r="AF184" s="372" t="str">
        <f>CS_PID!AF184/VLOOKUP($B184,표2[#ALL],2)/HLOOKUP($A184,표1[#ALL],row(),false)</f>
        <v>#N/A</v>
      </c>
      <c r="AG184" s="372" t="str">
        <f>CS_PID!AG184/VLOOKUP($B184,표2[#ALL],2)/HLOOKUP($A184,표1[#ALL],row(),false)</f>
        <v>#N/A</v>
      </c>
      <c r="AH184" s="372" t="str">
        <f>CS_PID!AH184/VLOOKUP($B184,표2[#ALL],2)/HLOOKUP($A184,표1[#ALL],row(),false)</f>
        <v>#N/A</v>
      </c>
      <c r="AI184" s="372" t="str">
        <f>CS_PID!AI184/VLOOKUP($B184,표2[#ALL],2)/HLOOKUP($A184,표1[#ALL],row(),false)</f>
        <v>#N/A</v>
      </c>
      <c r="AJ184" s="372" t="str">
        <f>CS_PID!AJ184/VLOOKUP($B184,표2[#ALL],2)/HLOOKUP($A184,표1[#ALL],row(),false)</f>
        <v>#N/A</v>
      </c>
      <c r="AK184" s="372" t="str">
        <f>CS_PID!AK184/VLOOKUP($B184,표2[#ALL],2)/HLOOKUP($A184,표1[#ALL],row(),false)</f>
        <v>#N/A</v>
      </c>
      <c r="AL184" s="372" t="str">
        <f>CS_PID!AL184/VLOOKUP($B184,표2[#ALL],2)/HLOOKUP($A184,표1[#ALL],row(),false)</f>
        <v>#N/A</v>
      </c>
      <c r="AM184" s="372" t="str">
        <f>CS_PID!AM184/VLOOKUP($B184,표2[#ALL],2)/HLOOKUP($A184,표1[#ALL],row(),false)</f>
        <v>#N/A</v>
      </c>
      <c r="AN184" s="372" t="str">
        <f>CS_PID!AN184/VLOOKUP($B184,표2[#ALL],2)/HLOOKUP($A184,표1[#ALL],row(),false)</f>
        <v>#N/A</v>
      </c>
      <c r="AO184" s="372" t="str">
        <f>CS_PID!AO184/VLOOKUP($B184,표2[#ALL],2)/HLOOKUP($A184,표1[#ALL],row(),false)</f>
        <v>#N/A</v>
      </c>
      <c r="AP184" s="372" t="str">
        <f>CS_PID!AP184/VLOOKUP($B184,표2[#ALL],2)/HLOOKUP($A184,표1[#ALL],row(),false)</f>
        <v>#N/A</v>
      </c>
      <c r="AQ184" s="372" t="str">
        <f>CS_PID!AQ184/VLOOKUP($B184,표2[#ALL],2)/HLOOKUP($A184,표1[#ALL],row(),false)</f>
        <v>#N/A</v>
      </c>
      <c r="AR184" s="372" t="str">
        <f>CS_PID!AR184/VLOOKUP($B184,표2[#ALL],2)/HLOOKUP($A184,표1[#ALL],row(),false)</f>
        <v>#N/A</v>
      </c>
      <c r="AS184" s="373" t="str">
        <f>CS_PID!AS184/VLOOKUP($B184,표2[#ALL],2)/HLOOKUP($A184,표1[#ALL],row(),false)</f>
        <v>#N/A</v>
      </c>
    </row>
    <row r="185">
      <c r="A185" s="374"/>
      <c r="B185" s="375"/>
      <c r="C185" s="376" t="str">
        <f>CS_PID!C185/VLOOKUP($B185,표2[#ALL],2)</f>
        <v>#N/A</v>
      </c>
      <c r="D185" s="376" t="str">
        <f>CS_PID!D185/VLOOKUP($B185,표2[#ALL],2)</f>
        <v>#N/A</v>
      </c>
      <c r="E185" s="376" t="str">
        <f>CS_PID!E185/VLOOKUP($B185,표2[#ALL],2)</f>
        <v>#N/A</v>
      </c>
      <c r="F185" s="376" t="str">
        <f>CS_PID!F185/VLOOKUP($B185,표2[#ALL],2)</f>
        <v>#N/A</v>
      </c>
      <c r="G185" s="376" t="str">
        <f>CS_PID!G185/VLOOKUP($B185,표2[#ALL],2)</f>
        <v>#N/A</v>
      </c>
      <c r="H185" s="376" t="str">
        <f>CS_PID!H185/VLOOKUP($B185,표2[#ALL],2)/HLOOKUP($A185,표1[#ALL],row(),false)</f>
        <v>#N/A</v>
      </c>
      <c r="I185" s="376" t="str">
        <f>CS_PID!I185/VLOOKUP($B185,표2[#ALL],2)/HLOOKUP($A185,표1[#ALL],row(),false)</f>
        <v>#N/A</v>
      </c>
      <c r="J185" s="376" t="str">
        <f>CS_PID!J185/VLOOKUP($B185,표2[#ALL],2)/HLOOKUP($A185,표1[#ALL],row(),false)</f>
        <v>#N/A</v>
      </c>
      <c r="K185" s="376" t="str">
        <f>CS_PID!K185/VLOOKUP($B185,표2[#ALL],2)/HLOOKUP($A185,표1[#ALL],row(),false)</f>
        <v>#N/A</v>
      </c>
      <c r="L185" s="376" t="str">
        <f>CS_PID!L185/VLOOKUP($B185,표2[#ALL],2)/HLOOKUP($A185,표1[#ALL],row(),false)</f>
        <v>#N/A</v>
      </c>
      <c r="M185" s="376" t="str">
        <f>CS_PID!M185/VLOOKUP($B185,표2[#ALL],2)/HLOOKUP($A185,표1[#ALL],row(),false)</f>
        <v>#N/A</v>
      </c>
      <c r="N185" s="376" t="str">
        <f>CS_PID!N185/VLOOKUP($B185,표2[#ALL],2)/HLOOKUP($A185,표1[#ALL],row(),false)</f>
        <v>#N/A</v>
      </c>
      <c r="O185" s="376" t="str">
        <f>CS_PID!O185/VLOOKUP($B185,표2[#ALL],2)/HLOOKUP($A185,표1[#ALL],row(),false)</f>
        <v>#N/A</v>
      </c>
      <c r="P185" s="376" t="str">
        <f>CS_PID!P185/VLOOKUP($B185,표2[#ALL],2)/HLOOKUP($A185,표1[#ALL],row(),false)</f>
        <v>#N/A</v>
      </c>
      <c r="Q185" s="376" t="str">
        <f>CS_PID!Q185/VLOOKUP($B185,표2[#ALL],2)/HLOOKUP($A185,표1[#ALL],row(),false)</f>
        <v>#N/A</v>
      </c>
      <c r="R185" s="376" t="str">
        <f>CS_PID!R185/VLOOKUP($B185,표2[#ALL],2)/HLOOKUP($A185,표1[#ALL],row(),false)</f>
        <v>#N/A</v>
      </c>
      <c r="S185" s="376" t="str">
        <f>CS_PID!S185/VLOOKUP($B185,표2[#ALL],2)/HLOOKUP($A185,표1[#ALL],row(),false)</f>
        <v>#N/A</v>
      </c>
      <c r="T185" s="376" t="str">
        <f>CS_PID!T185/VLOOKUP($B185,표2[#ALL],2)/HLOOKUP($A185,표1[#ALL],row(),false)</f>
        <v>#N/A</v>
      </c>
      <c r="U185" s="376" t="str">
        <f>CS_PID!U185/VLOOKUP($B185,표2[#ALL],2)/HLOOKUP($A185,표1[#ALL],row(),false)</f>
        <v>#N/A</v>
      </c>
      <c r="V185" s="376" t="str">
        <f>CS_PID!V185/VLOOKUP($B185,표2[#ALL],2)/HLOOKUP($A185,표1[#ALL],row(),false)</f>
        <v>#N/A</v>
      </c>
      <c r="W185" s="376" t="str">
        <f>CS_PID!W185/VLOOKUP($B185,표2[#ALL],2)/HLOOKUP($A185,표1[#ALL],row(),false)</f>
        <v>#N/A</v>
      </c>
      <c r="X185" s="376" t="str">
        <f>CS_PID!X185/VLOOKUP($B185,표2[#ALL],2)/HLOOKUP($A185,표1[#ALL],row(),false)</f>
        <v>#N/A</v>
      </c>
      <c r="Y185" s="376" t="str">
        <f>CS_PID!Y185/VLOOKUP($B185,표2[#ALL],2)/HLOOKUP($A185,표1[#ALL],row(),false)</f>
        <v>#N/A</v>
      </c>
      <c r="Z185" s="376" t="str">
        <f>CS_PID!Z185/VLOOKUP($B185,표2[#ALL],2)/HLOOKUP($A185,표1[#ALL],row(),false)</f>
        <v>#N/A</v>
      </c>
      <c r="AA185" s="376" t="str">
        <f>CS_PID!AA185/VLOOKUP($B185,표2[#ALL],2)/HLOOKUP($A185,표1[#ALL],row(),false)</f>
        <v>#N/A</v>
      </c>
      <c r="AB185" s="376" t="str">
        <f>CS_PID!AB185/VLOOKUP($B185,표2[#ALL],2)/HLOOKUP($A185,표1[#ALL],row(),false)</f>
        <v>#N/A</v>
      </c>
      <c r="AC185" s="376" t="str">
        <f>CS_PID!AC185/VLOOKUP($B185,표2[#ALL],2)/HLOOKUP($A185,표1[#ALL],row(),false)</f>
        <v>#N/A</v>
      </c>
      <c r="AD185" s="376" t="str">
        <f>CS_PID!AD185/VLOOKUP($B185,표2[#ALL],2)/HLOOKUP($A185,표1[#ALL],row(),false)</f>
        <v>#N/A</v>
      </c>
      <c r="AE185" s="376" t="str">
        <f>CS_PID!AE185/VLOOKUP($B185,표2[#ALL],2)/HLOOKUP($A185,표1[#ALL],row(),false)</f>
        <v>#N/A</v>
      </c>
      <c r="AF185" s="376" t="str">
        <f>CS_PID!AF185/VLOOKUP($B185,표2[#ALL],2)/HLOOKUP($A185,표1[#ALL],row(),false)</f>
        <v>#N/A</v>
      </c>
      <c r="AG185" s="376" t="str">
        <f>CS_PID!AG185/VLOOKUP($B185,표2[#ALL],2)/HLOOKUP($A185,표1[#ALL],row(),false)</f>
        <v>#N/A</v>
      </c>
      <c r="AH185" s="376" t="str">
        <f>CS_PID!AH185/VLOOKUP($B185,표2[#ALL],2)/HLOOKUP($A185,표1[#ALL],row(),false)</f>
        <v>#N/A</v>
      </c>
      <c r="AI185" s="376" t="str">
        <f>CS_PID!AI185/VLOOKUP($B185,표2[#ALL],2)/HLOOKUP($A185,표1[#ALL],row(),false)</f>
        <v>#N/A</v>
      </c>
      <c r="AJ185" s="376" t="str">
        <f>CS_PID!AJ185/VLOOKUP($B185,표2[#ALL],2)/HLOOKUP($A185,표1[#ALL],row(),false)</f>
        <v>#N/A</v>
      </c>
      <c r="AK185" s="376" t="str">
        <f>CS_PID!AK185/VLOOKUP($B185,표2[#ALL],2)/HLOOKUP($A185,표1[#ALL],row(),false)</f>
        <v>#N/A</v>
      </c>
      <c r="AL185" s="376" t="str">
        <f>CS_PID!AL185/VLOOKUP($B185,표2[#ALL],2)/HLOOKUP($A185,표1[#ALL],row(),false)</f>
        <v>#N/A</v>
      </c>
      <c r="AM185" s="376" t="str">
        <f>CS_PID!AM185/VLOOKUP($B185,표2[#ALL],2)/HLOOKUP($A185,표1[#ALL],row(),false)</f>
        <v>#N/A</v>
      </c>
      <c r="AN185" s="376" t="str">
        <f>CS_PID!AN185/VLOOKUP($B185,표2[#ALL],2)/HLOOKUP($A185,표1[#ALL],row(),false)</f>
        <v>#N/A</v>
      </c>
      <c r="AO185" s="376" t="str">
        <f>CS_PID!AO185/VLOOKUP($B185,표2[#ALL],2)/HLOOKUP($A185,표1[#ALL],row(),false)</f>
        <v>#N/A</v>
      </c>
      <c r="AP185" s="376" t="str">
        <f>CS_PID!AP185/VLOOKUP($B185,표2[#ALL],2)/HLOOKUP($A185,표1[#ALL],row(),false)</f>
        <v>#N/A</v>
      </c>
      <c r="AQ185" s="376" t="str">
        <f>CS_PID!AQ185/VLOOKUP($B185,표2[#ALL],2)/HLOOKUP($A185,표1[#ALL],row(),false)</f>
        <v>#N/A</v>
      </c>
      <c r="AR185" s="376" t="str">
        <f>CS_PID!AR185/VLOOKUP($B185,표2[#ALL],2)/HLOOKUP($A185,표1[#ALL],row(),false)</f>
        <v>#N/A</v>
      </c>
      <c r="AS185" s="377" t="str">
        <f>CS_PID!AS185/VLOOKUP($B185,표2[#ALL],2)/HLOOKUP($A185,표1[#ALL],row(),false)</f>
        <v>#N/A</v>
      </c>
    </row>
    <row r="186">
      <c r="A186" s="370"/>
      <c r="B186" s="371"/>
      <c r="C186" s="372" t="str">
        <f>CS_PID!C186/VLOOKUP($B186,표2[#ALL],2)</f>
        <v>#N/A</v>
      </c>
      <c r="D186" s="372" t="str">
        <f>CS_PID!D186/VLOOKUP($B186,표2[#ALL],2)</f>
        <v>#N/A</v>
      </c>
      <c r="E186" s="372" t="str">
        <f>CS_PID!E186/VLOOKUP($B186,표2[#ALL],2)</f>
        <v>#N/A</v>
      </c>
      <c r="F186" s="372" t="str">
        <f>CS_PID!F186/VLOOKUP($B186,표2[#ALL],2)</f>
        <v>#N/A</v>
      </c>
      <c r="G186" s="372" t="str">
        <f>CS_PID!G186/VLOOKUP($B186,표2[#ALL],2)</f>
        <v>#N/A</v>
      </c>
      <c r="H186" s="372" t="str">
        <f>CS_PID!H186/VLOOKUP($B186,표2[#ALL],2)/HLOOKUP($A186,표1[#ALL],row(),false)</f>
        <v>#N/A</v>
      </c>
      <c r="I186" s="372" t="str">
        <f>CS_PID!I186/VLOOKUP($B186,표2[#ALL],2)/HLOOKUP($A186,표1[#ALL],row(),false)</f>
        <v>#N/A</v>
      </c>
      <c r="J186" s="372" t="str">
        <f>CS_PID!J186/VLOOKUP($B186,표2[#ALL],2)/HLOOKUP($A186,표1[#ALL],row(),false)</f>
        <v>#N/A</v>
      </c>
      <c r="K186" s="372" t="str">
        <f>CS_PID!K186/VLOOKUP($B186,표2[#ALL],2)/HLOOKUP($A186,표1[#ALL],row(),false)</f>
        <v>#N/A</v>
      </c>
      <c r="L186" s="372" t="str">
        <f>CS_PID!L186/VLOOKUP($B186,표2[#ALL],2)/HLOOKUP($A186,표1[#ALL],row(),false)</f>
        <v>#N/A</v>
      </c>
      <c r="M186" s="372" t="str">
        <f>CS_PID!M186/VLOOKUP($B186,표2[#ALL],2)/HLOOKUP($A186,표1[#ALL],row(),false)</f>
        <v>#N/A</v>
      </c>
      <c r="N186" s="372" t="str">
        <f>CS_PID!N186/VLOOKUP($B186,표2[#ALL],2)/HLOOKUP($A186,표1[#ALL],row(),false)</f>
        <v>#N/A</v>
      </c>
      <c r="O186" s="372" t="str">
        <f>CS_PID!O186/VLOOKUP($B186,표2[#ALL],2)/HLOOKUP($A186,표1[#ALL],row(),false)</f>
        <v>#N/A</v>
      </c>
      <c r="P186" s="372" t="str">
        <f>CS_PID!P186/VLOOKUP($B186,표2[#ALL],2)/HLOOKUP($A186,표1[#ALL],row(),false)</f>
        <v>#N/A</v>
      </c>
      <c r="Q186" s="372" t="str">
        <f>CS_PID!Q186/VLOOKUP($B186,표2[#ALL],2)/HLOOKUP($A186,표1[#ALL],row(),false)</f>
        <v>#N/A</v>
      </c>
      <c r="R186" s="372" t="str">
        <f>CS_PID!R186/VLOOKUP($B186,표2[#ALL],2)/HLOOKUP($A186,표1[#ALL],row(),false)</f>
        <v>#N/A</v>
      </c>
      <c r="S186" s="372" t="str">
        <f>CS_PID!S186/VLOOKUP($B186,표2[#ALL],2)/HLOOKUP($A186,표1[#ALL],row(),false)</f>
        <v>#N/A</v>
      </c>
      <c r="T186" s="372" t="str">
        <f>CS_PID!T186/VLOOKUP($B186,표2[#ALL],2)/HLOOKUP($A186,표1[#ALL],row(),false)</f>
        <v>#N/A</v>
      </c>
      <c r="U186" s="372" t="str">
        <f>CS_PID!U186/VLOOKUP($B186,표2[#ALL],2)/HLOOKUP($A186,표1[#ALL],row(),false)</f>
        <v>#N/A</v>
      </c>
      <c r="V186" s="372" t="str">
        <f>CS_PID!V186/VLOOKUP($B186,표2[#ALL],2)/HLOOKUP($A186,표1[#ALL],row(),false)</f>
        <v>#N/A</v>
      </c>
      <c r="W186" s="372" t="str">
        <f>CS_PID!W186/VLOOKUP($B186,표2[#ALL],2)/HLOOKUP($A186,표1[#ALL],row(),false)</f>
        <v>#N/A</v>
      </c>
      <c r="X186" s="372" t="str">
        <f>CS_PID!X186/VLOOKUP($B186,표2[#ALL],2)/HLOOKUP($A186,표1[#ALL],row(),false)</f>
        <v>#N/A</v>
      </c>
      <c r="Y186" s="372" t="str">
        <f>CS_PID!Y186/VLOOKUP($B186,표2[#ALL],2)/HLOOKUP($A186,표1[#ALL],row(),false)</f>
        <v>#N/A</v>
      </c>
      <c r="Z186" s="372" t="str">
        <f>CS_PID!Z186/VLOOKUP($B186,표2[#ALL],2)/HLOOKUP($A186,표1[#ALL],row(),false)</f>
        <v>#N/A</v>
      </c>
      <c r="AA186" s="372" t="str">
        <f>CS_PID!AA186/VLOOKUP($B186,표2[#ALL],2)/HLOOKUP($A186,표1[#ALL],row(),false)</f>
        <v>#N/A</v>
      </c>
      <c r="AB186" s="372" t="str">
        <f>CS_PID!AB186/VLOOKUP($B186,표2[#ALL],2)/HLOOKUP($A186,표1[#ALL],row(),false)</f>
        <v>#N/A</v>
      </c>
      <c r="AC186" s="372" t="str">
        <f>CS_PID!AC186/VLOOKUP($B186,표2[#ALL],2)/HLOOKUP($A186,표1[#ALL],row(),false)</f>
        <v>#N/A</v>
      </c>
      <c r="AD186" s="372" t="str">
        <f>CS_PID!AD186/VLOOKUP($B186,표2[#ALL],2)/HLOOKUP($A186,표1[#ALL],row(),false)</f>
        <v>#N/A</v>
      </c>
      <c r="AE186" s="372" t="str">
        <f>CS_PID!AE186/VLOOKUP($B186,표2[#ALL],2)/HLOOKUP($A186,표1[#ALL],row(),false)</f>
        <v>#N/A</v>
      </c>
      <c r="AF186" s="372" t="str">
        <f>CS_PID!AF186/VLOOKUP($B186,표2[#ALL],2)/HLOOKUP($A186,표1[#ALL],row(),false)</f>
        <v>#N/A</v>
      </c>
      <c r="AG186" s="372" t="str">
        <f>CS_PID!AG186/VLOOKUP($B186,표2[#ALL],2)/HLOOKUP($A186,표1[#ALL],row(),false)</f>
        <v>#N/A</v>
      </c>
      <c r="AH186" s="372" t="str">
        <f>CS_PID!AH186/VLOOKUP($B186,표2[#ALL],2)/HLOOKUP($A186,표1[#ALL],row(),false)</f>
        <v>#N/A</v>
      </c>
      <c r="AI186" s="372" t="str">
        <f>CS_PID!AI186/VLOOKUP($B186,표2[#ALL],2)/HLOOKUP($A186,표1[#ALL],row(),false)</f>
        <v>#N/A</v>
      </c>
      <c r="AJ186" s="372" t="str">
        <f>CS_PID!AJ186/VLOOKUP($B186,표2[#ALL],2)/HLOOKUP($A186,표1[#ALL],row(),false)</f>
        <v>#N/A</v>
      </c>
      <c r="AK186" s="372" t="str">
        <f>CS_PID!AK186/VLOOKUP($B186,표2[#ALL],2)/HLOOKUP($A186,표1[#ALL],row(),false)</f>
        <v>#N/A</v>
      </c>
      <c r="AL186" s="372" t="str">
        <f>CS_PID!AL186/VLOOKUP($B186,표2[#ALL],2)/HLOOKUP($A186,표1[#ALL],row(),false)</f>
        <v>#N/A</v>
      </c>
      <c r="AM186" s="372" t="str">
        <f>CS_PID!AM186/VLOOKUP($B186,표2[#ALL],2)/HLOOKUP($A186,표1[#ALL],row(),false)</f>
        <v>#N/A</v>
      </c>
      <c r="AN186" s="372" t="str">
        <f>CS_PID!AN186/VLOOKUP($B186,표2[#ALL],2)/HLOOKUP($A186,표1[#ALL],row(),false)</f>
        <v>#N/A</v>
      </c>
      <c r="AO186" s="372" t="str">
        <f>CS_PID!AO186/VLOOKUP($B186,표2[#ALL],2)/HLOOKUP($A186,표1[#ALL],row(),false)</f>
        <v>#N/A</v>
      </c>
      <c r="AP186" s="372" t="str">
        <f>CS_PID!AP186/VLOOKUP($B186,표2[#ALL],2)/HLOOKUP($A186,표1[#ALL],row(),false)</f>
        <v>#N/A</v>
      </c>
      <c r="AQ186" s="372" t="str">
        <f>CS_PID!AQ186/VLOOKUP($B186,표2[#ALL],2)/HLOOKUP($A186,표1[#ALL],row(),false)</f>
        <v>#N/A</v>
      </c>
      <c r="AR186" s="372" t="str">
        <f>CS_PID!AR186/VLOOKUP($B186,표2[#ALL],2)/HLOOKUP($A186,표1[#ALL],row(),false)</f>
        <v>#N/A</v>
      </c>
      <c r="AS186" s="373" t="str">
        <f>CS_PID!AS186/VLOOKUP($B186,표2[#ALL],2)/HLOOKUP($A186,표1[#ALL],row(),false)</f>
        <v>#N/A</v>
      </c>
    </row>
    <row r="187">
      <c r="A187" s="374"/>
      <c r="B187" s="375"/>
      <c r="C187" s="376" t="str">
        <f>CS_PID!C187/VLOOKUP($B187,표2[#ALL],2)</f>
        <v>#N/A</v>
      </c>
      <c r="D187" s="376" t="str">
        <f>CS_PID!D187/VLOOKUP($B187,표2[#ALL],2)</f>
        <v>#N/A</v>
      </c>
      <c r="E187" s="376" t="str">
        <f>CS_PID!E187/VLOOKUP($B187,표2[#ALL],2)</f>
        <v>#N/A</v>
      </c>
      <c r="F187" s="376" t="str">
        <f>CS_PID!F187/VLOOKUP($B187,표2[#ALL],2)</f>
        <v>#N/A</v>
      </c>
      <c r="G187" s="376" t="str">
        <f>CS_PID!G187/VLOOKUP($B187,표2[#ALL],2)</f>
        <v>#N/A</v>
      </c>
      <c r="H187" s="376" t="str">
        <f>CS_PID!H187/VLOOKUP($B187,표2[#ALL],2)/HLOOKUP($A187,표1[#ALL],row(),false)</f>
        <v>#N/A</v>
      </c>
      <c r="I187" s="376" t="str">
        <f>CS_PID!I187/VLOOKUP($B187,표2[#ALL],2)/HLOOKUP($A187,표1[#ALL],row(),false)</f>
        <v>#N/A</v>
      </c>
      <c r="J187" s="376" t="str">
        <f>CS_PID!J187/VLOOKUP($B187,표2[#ALL],2)/HLOOKUP($A187,표1[#ALL],row(),false)</f>
        <v>#N/A</v>
      </c>
      <c r="K187" s="376" t="str">
        <f>CS_PID!K187/VLOOKUP($B187,표2[#ALL],2)/HLOOKUP($A187,표1[#ALL],row(),false)</f>
        <v>#N/A</v>
      </c>
      <c r="L187" s="376" t="str">
        <f>CS_PID!L187/VLOOKUP($B187,표2[#ALL],2)/HLOOKUP($A187,표1[#ALL],row(),false)</f>
        <v>#N/A</v>
      </c>
      <c r="M187" s="376" t="str">
        <f>CS_PID!M187/VLOOKUP($B187,표2[#ALL],2)/HLOOKUP($A187,표1[#ALL],row(),false)</f>
        <v>#N/A</v>
      </c>
      <c r="N187" s="376" t="str">
        <f>CS_PID!N187/VLOOKUP($B187,표2[#ALL],2)/HLOOKUP($A187,표1[#ALL],row(),false)</f>
        <v>#N/A</v>
      </c>
      <c r="O187" s="376" t="str">
        <f>CS_PID!O187/VLOOKUP($B187,표2[#ALL],2)/HLOOKUP($A187,표1[#ALL],row(),false)</f>
        <v>#N/A</v>
      </c>
      <c r="P187" s="376" t="str">
        <f>CS_PID!P187/VLOOKUP($B187,표2[#ALL],2)/HLOOKUP($A187,표1[#ALL],row(),false)</f>
        <v>#N/A</v>
      </c>
      <c r="Q187" s="376" t="str">
        <f>CS_PID!Q187/VLOOKUP($B187,표2[#ALL],2)/HLOOKUP($A187,표1[#ALL],row(),false)</f>
        <v>#N/A</v>
      </c>
      <c r="R187" s="376" t="str">
        <f>CS_PID!R187/VLOOKUP($B187,표2[#ALL],2)/HLOOKUP($A187,표1[#ALL],row(),false)</f>
        <v>#N/A</v>
      </c>
      <c r="S187" s="376" t="str">
        <f>CS_PID!S187/VLOOKUP($B187,표2[#ALL],2)/HLOOKUP($A187,표1[#ALL],row(),false)</f>
        <v>#N/A</v>
      </c>
      <c r="T187" s="376" t="str">
        <f>CS_PID!T187/VLOOKUP($B187,표2[#ALL],2)/HLOOKUP($A187,표1[#ALL],row(),false)</f>
        <v>#N/A</v>
      </c>
      <c r="U187" s="376" t="str">
        <f>CS_PID!U187/VLOOKUP($B187,표2[#ALL],2)/HLOOKUP($A187,표1[#ALL],row(),false)</f>
        <v>#N/A</v>
      </c>
      <c r="V187" s="376" t="str">
        <f>CS_PID!V187/VLOOKUP($B187,표2[#ALL],2)/HLOOKUP($A187,표1[#ALL],row(),false)</f>
        <v>#N/A</v>
      </c>
      <c r="W187" s="376" t="str">
        <f>CS_PID!W187/VLOOKUP($B187,표2[#ALL],2)/HLOOKUP($A187,표1[#ALL],row(),false)</f>
        <v>#N/A</v>
      </c>
      <c r="X187" s="376" t="str">
        <f>CS_PID!X187/VLOOKUP($B187,표2[#ALL],2)/HLOOKUP($A187,표1[#ALL],row(),false)</f>
        <v>#N/A</v>
      </c>
      <c r="Y187" s="376" t="str">
        <f>CS_PID!Y187/VLOOKUP($B187,표2[#ALL],2)/HLOOKUP($A187,표1[#ALL],row(),false)</f>
        <v>#N/A</v>
      </c>
      <c r="Z187" s="376" t="str">
        <f>CS_PID!Z187/VLOOKUP($B187,표2[#ALL],2)/HLOOKUP($A187,표1[#ALL],row(),false)</f>
        <v>#N/A</v>
      </c>
      <c r="AA187" s="376" t="str">
        <f>CS_PID!AA187/VLOOKUP($B187,표2[#ALL],2)/HLOOKUP($A187,표1[#ALL],row(),false)</f>
        <v>#N/A</v>
      </c>
      <c r="AB187" s="376" t="str">
        <f>CS_PID!AB187/VLOOKUP($B187,표2[#ALL],2)/HLOOKUP($A187,표1[#ALL],row(),false)</f>
        <v>#N/A</v>
      </c>
      <c r="AC187" s="376" t="str">
        <f>CS_PID!AC187/VLOOKUP($B187,표2[#ALL],2)/HLOOKUP($A187,표1[#ALL],row(),false)</f>
        <v>#N/A</v>
      </c>
      <c r="AD187" s="376" t="str">
        <f>CS_PID!AD187/VLOOKUP($B187,표2[#ALL],2)/HLOOKUP($A187,표1[#ALL],row(),false)</f>
        <v>#N/A</v>
      </c>
      <c r="AE187" s="376" t="str">
        <f>CS_PID!AE187/VLOOKUP($B187,표2[#ALL],2)/HLOOKUP($A187,표1[#ALL],row(),false)</f>
        <v>#N/A</v>
      </c>
      <c r="AF187" s="376" t="str">
        <f>CS_PID!AF187/VLOOKUP($B187,표2[#ALL],2)/HLOOKUP($A187,표1[#ALL],row(),false)</f>
        <v>#N/A</v>
      </c>
      <c r="AG187" s="376" t="str">
        <f>CS_PID!AG187/VLOOKUP($B187,표2[#ALL],2)/HLOOKUP($A187,표1[#ALL],row(),false)</f>
        <v>#N/A</v>
      </c>
      <c r="AH187" s="376" t="str">
        <f>CS_PID!AH187/VLOOKUP($B187,표2[#ALL],2)/HLOOKUP($A187,표1[#ALL],row(),false)</f>
        <v>#N/A</v>
      </c>
      <c r="AI187" s="376" t="str">
        <f>CS_PID!AI187/VLOOKUP($B187,표2[#ALL],2)/HLOOKUP($A187,표1[#ALL],row(),false)</f>
        <v>#N/A</v>
      </c>
      <c r="AJ187" s="376" t="str">
        <f>CS_PID!AJ187/VLOOKUP($B187,표2[#ALL],2)/HLOOKUP($A187,표1[#ALL],row(),false)</f>
        <v>#N/A</v>
      </c>
      <c r="AK187" s="376" t="str">
        <f>CS_PID!AK187/VLOOKUP($B187,표2[#ALL],2)/HLOOKUP($A187,표1[#ALL],row(),false)</f>
        <v>#N/A</v>
      </c>
      <c r="AL187" s="376" t="str">
        <f>CS_PID!AL187/VLOOKUP($B187,표2[#ALL],2)/HLOOKUP($A187,표1[#ALL],row(),false)</f>
        <v>#N/A</v>
      </c>
      <c r="AM187" s="376" t="str">
        <f>CS_PID!AM187/VLOOKUP($B187,표2[#ALL],2)/HLOOKUP($A187,표1[#ALL],row(),false)</f>
        <v>#N/A</v>
      </c>
      <c r="AN187" s="376" t="str">
        <f>CS_PID!AN187/VLOOKUP($B187,표2[#ALL],2)/HLOOKUP($A187,표1[#ALL],row(),false)</f>
        <v>#N/A</v>
      </c>
      <c r="AO187" s="376" t="str">
        <f>CS_PID!AO187/VLOOKUP($B187,표2[#ALL],2)/HLOOKUP($A187,표1[#ALL],row(),false)</f>
        <v>#N/A</v>
      </c>
      <c r="AP187" s="376" t="str">
        <f>CS_PID!AP187/VLOOKUP($B187,표2[#ALL],2)/HLOOKUP($A187,표1[#ALL],row(),false)</f>
        <v>#N/A</v>
      </c>
      <c r="AQ187" s="376" t="str">
        <f>CS_PID!AQ187/VLOOKUP($B187,표2[#ALL],2)/HLOOKUP($A187,표1[#ALL],row(),false)</f>
        <v>#N/A</v>
      </c>
      <c r="AR187" s="376" t="str">
        <f>CS_PID!AR187/VLOOKUP($B187,표2[#ALL],2)/HLOOKUP($A187,표1[#ALL],row(),false)</f>
        <v>#N/A</v>
      </c>
      <c r="AS187" s="377" t="str">
        <f>CS_PID!AS187/VLOOKUP($B187,표2[#ALL],2)/HLOOKUP($A187,표1[#ALL],row(),false)</f>
        <v>#N/A</v>
      </c>
    </row>
    <row r="188">
      <c r="A188" s="370"/>
      <c r="B188" s="371"/>
      <c r="C188" s="372" t="str">
        <f>CS_PID!C188/VLOOKUP($B188,표2[#ALL],2)</f>
        <v>#N/A</v>
      </c>
      <c r="D188" s="372" t="str">
        <f>CS_PID!D188/VLOOKUP($B188,표2[#ALL],2)</f>
        <v>#N/A</v>
      </c>
      <c r="E188" s="372" t="str">
        <f>CS_PID!E188/VLOOKUP($B188,표2[#ALL],2)</f>
        <v>#N/A</v>
      </c>
      <c r="F188" s="372" t="str">
        <f>CS_PID!F188/VLOOKUP($B188,표2[#ALL],2)</f>
        <v>#N/A</v>
      </c>
      <c r="G188" s="372" t="str">
        <f>CS_PID!G188/VLOOKUP($B188,표2[#ALL],2)</f>
        <v>#N/A</v>
      </c>
      <c r="H188" s="372" t="str">
        <f>CS_PID!H188/VLOOKUP($B188,표2[#ALL],2)/HLOOKUP($A188,표1[#ALL],row(),false)</f>
        <v>#N/A</v>
      </c>
      <c r="I188" s="372" t="str">
        <f>CS_PID!I188/VLOOKUP($B188,표2[#ALL],2)/HLOOKUP($A188,표1[#ALL],row(),false)</f>
        <v>#N/A</v>
      </c>
      <c r="J188" s="372" t="str">
        <f>CS_PID!J188/VLOOKUP($B188,표2[#ALL],2)/HLOOKUP($A188,표1[#ALL],row(),false)</f>
        <v>#N/A</v>
      </c>
      <c r="K188" s="372" t="str">
        <f>CS_PID!K188/VLOOKUP($B188,표2[#ALL],2)/HLOOKUP($A188,표1[#ALL],row(),false)</f>
        <v>#N/A</v>
      </c>
      <c r="L188" s="372" t="str">
        <f>CS_PID!L188/VLOOKUP($B188,표2[#ALL],2)/HLOOKUP($A188,표1[#ALL],row(),false)</f>
        <v>#N/A</v>
      </c>
      <c r="M188" s="372" t="str">
        <f>CS_PID!M188/VLOOKUP($B188,표2[#ALL],2)/HLOOKUP($A188,표1[#ALL],row(),false)</f>
        <v>#N/A</v>
      </c>
      <c r="N188" s="372" t="str">
        <f>CS_PID!N188/VLOOKUP($B188,표2[#ALL],2)/HLOOKUP($A188,표1[#ALL],row(),false)</f>
        <v>#N/A</v>
      </c>
      <c r="O188" s="372" t="str">
        <f>CS_PID!O188/VLOOKUP($B188,표2[#ALL],2)/HLOOKUP($A188,표1[#ALL],row(),false)</f>
        <v>#N/A</v>
      </c>
      <c r="P188" s="372" t="str">
        <f>CS_PID!P188/VLOOKUP($B188,표2[#ALL],2)/HLOOKUP($A188,표1[#ALL],row(),false)</f>
        <v>#N/A</v>
      </c>
      <c r="Q188" s="372" t="str">
        <f>CS_PID!Q188/VLOOKUP($B188,표2[#ALL],2)/HLOOKUP($A188,표1[#ALL],row(),false)</f>
        <v>#N/A</v>
      </c>
      <c r="R188" s="372" t="str">
        <f>CS_PID!R188/VLOOKUP($B188,표2[#ALL],2)/HLOOKUP($A188,표1[#ALL],row(),false)</f>
        <v>#N/A</v>
      </c>
      <c r="S188" s="372" t="str">
        <f>CS_PID!S188/VLOOKUP($B188,표2[#ALL],2)/HLOOKUP($A188,표1[#ALL],row(),false)</f>
        <v>#N/A</v>
      </c>
      <c r="T188" s="372" t="str">
        <f>CS_PID!T188/VLOOKUP($B188,표2[#ALL],2)/HLOOKUP($A188,표1[#ALL],row(),false)</f>
        <v>#N/A</v>
      </c>
      <c r="U188" s="372" t="str">
        <f>CS_PID!U188/VLOOKUP($B188,표2[#ALL],2)/HLOOKUP($A188,표1[#ALL],row(),false)</f>
        <v>#N/A</v>
      </c>
      <c r="V188" s="372" t="str">
        <f>CS_PID!V188/VLOOKUP($B188,표2[#ALL],2)/HLOOKUP($A188,표1[#ALL],row(),false)</f>
        <v>#N/A</v>
      </c>
      <c r="W188" s="372" t="str">
        <f>CS_PID!W188/VLOOKUP($B188,표2[#ALL],2)/HLOOKUP($A188,표1[#ALL],row(),false)</f>
        <v>#N/A</v>
      </c>
      <c r="X188" s="372" t="str">
        <f>CS_PID!X188/VLOOKUP($B188,표2[#ALL],2)/HLOOKUP($A188,표1[#ALL],row(),false)</f>
        <v>#N/A</v>
      </c>
      <c r="Y188" s="372" t="str">
        <f>CS_PID!Y188/VLOOKUP($B188,표2[#ALL],2)/HLOOKUP($A188,표1[#ALL],row(),false)</f>
        <v>#N/A</v>
      </c>
      <c r="Z188" s="372" t="str">
        <f>CS_PID!Z188/VLOOKUP($B188,표2[#ALL],2)/HLOOKUP($A188,표1[#ALL],row(),false)</f>
        <v>#N/A</v>
      </c>
      <c r="AA188" s="372" t="str">
        <f>CS_PID!AA188/VLOOKUP($B188,표2[#ALL],2)/HLOOKUP($A188,표1[#ALL],row(),false)</f>
        <v>#N/A</v>
      </c>
      <c r="AB188" s="372" t="str">
        <f>CS_PID!AB188/VLOOKUP($B188,표2[#ALL],2)/HLOOKUP($A188,표1[#ALL],row(),false)</f>
        <v>#N/A</v>
      </c>
      <c r="AC188" s="372" t="str">
        <f>CS_PID!AC188/VLOOKUP($B188,표2[#ALL],2)/HLOOKUP($A188,표1[#ALL],row(),false)</f>
        <v>#N/A</v>
      </c>
      <c r="AD188" s="372" t="str">
        <f>CS_PID!AD188/VLOOKUP($B188,표2[#ALL],2)/HLOOKUP($A188,표1[#ALL],row(),false)</f>
        <v>#N/A</v>
      </c>
      <c r="AE188" s="372" t="str">
        <f>CS_PID!AE188/VLOOKUP($B188,표2[#ALL],2)/HLOOKUP($A188,표1[#ALL],row(),false)</f>
        <v>#N/A</v>
      </c>
      <c r="AF188" s="372" t="str">
        <f>CS_PID!AF188/VLOOKUP($B188,표2[#ALL],2)/HLOOKUP($A188,표1[#ALL],row(),false)</f>
        <v>#N/A</v>
      </c>
      <c r="AG188" s="372" t="str">
        <f>CS_PID!AG188/VLOOKUP($B188,표2[#ALL],2)/HLOOKUP($A188,표1[#ALL],row(),false)</f>
        <v>#N/A</v>
      </c>
      <c r="AH188" s="372" t="str">
        <f>CS_PID!AH188/VLOOKUP($B188,표2[#ALL],2)/HLOOKUP($A188,표1[#ALL],row(),false)</f>
        <v>#N/A</v>
      </c>
      <c r="AI188" s="372" t="str">
        <f>CS_PID!AI188/VLOOKUP($B188,표2[#ALL],2)/HLOOKUP($A188,표1[#ALL],row(),false)</f>
        <v>#N/A</v>
      </c>
      <c r="AJ188" s="372" t="str">
        <f>CS_PID!AJ188/VLOOKUP($B188,표2[#ALL],2)/HLOOKUP($A188,표1[#ALL],row(),false)</f>
        <v>#N/A</v>
      </c>
      <c r="AK188" s="372" t="str">
        <f>CS_PID!AK188/VLOOKUP($B188,표2[#ALL],2)/HLOOKUP($A188,표1[#ALL],row(),false)</f>
        <v>#N/A</v>
      </c>
      <c r="AL188" s="372" t="str">
        <f>CS_PID!AL188/VLOOKUP($B188,표2[#ALL],2)/HLOOKUP($A188,표1[#ALL],row(),false)</f>
        <v>#N/A</v>
      </c>
      <c r="AM188" s="372" t="str">
        <f>CS_PID!AM188/VLOOKUP($B188,표2[#ALL],2)/HLOOKUP($A188,표1[#ALL],row(),false)</f>
        <v>#N/A</v>
      </c>
      <c r="AN188" s="372" t="str">
        <f>CS_PID!AN188/VLOOKUP($B188,표2[#ALL],2)/HLOOKUP($A188,표1[#ALL],row(),false)</f>
        <v>#N/A</v>
      </c>
      <c r="AO188" s="372" t="str">
        <f>CS_PID!AO188/VLOOKUP($B188,표2[#ALL],2)/HLOOKUP($A188,표1[#ALL],row(),false)</f>
        <v>#N/A</v>
      </c>
      <c r="AP188" s="372" t="str">
        <f>CS_PID!AP188/VLOOKUP($B188,표2[#ALL],2)/HLOOKUP($A188,표1[#ALL],row(),false)</f>
        <v>#N/A</v>
      </c>
      <c r="AQ188" s="372" t="str">
        <f>CS_PID!AQ188/VLOOKUP($B188,표2[#ALL],2)/HLOOKUP($A188,표1[#ALL],row(),false)</f>
        <v>#N/A</v>
      </c>
      <c r="AR188" s="372" t="str">
        <f>CS_PID!AR188/VLOOKUP($B188,표2[#ALL],2)/HLOOKUP($A188,표1[#ALL],row(),false)</f>
        <v>#N/A</v>
      </c>
      <c r="AS188" s="373" t="str">
        <f>CS_PID!AS188/VLOOKUP($B188,표2[#ALL],2)/HLOOKUP($A188,표1[#ALL],row(),false)</f>
        <v>#N/A</v>
      </c>
    </row>
    <row r="189">
      <c r="A189" s="374"/>
      <c r="B189" s="375"/>
      <c r="C189" s="376" t="str">
        <f>CS_PID!C189/VLOOKUP($B189,표2[#ALL],2)</f>
        <v>#N/A</v>
      </c>
      <c r="D189" s="376" t="str">
        <f>CS_PID!D189/VLOOKUP($B189,표2[#ALL],2)</f>
        <v>#N/A</v>
      </c>
      <c r="E189" s="376" t="str">
        <f>CS_PID!E189/VLOOKUP($B189,표2[#ALL],2)</f>
        <v>#N/A</v>
      </c>
      <c r="F189" s="376" t="str">
        <f>CS_PID!F189/VLOOKUP($B189,표2[#ALL],2)</f>
        <v>#N/A</v>
      </c>
      <c r="G189" s="376" t="str">
        <f>CS_PID!G189/VLOOKUP($B189,표2[#ALL],2)</f>
        <v>#N/A</v>
      </c>
      <c r="H189" s="376" t="str">
        <f>CS_PID!H189/VLOOKUP($B189,표2[#ALL],2)/HLOOKUP($A189,표1[#ALL],row(),false)</f>
        <v>#N/A</v>
      </c>
      <c r="I189" s="376" t="str">
        <f>CS_PID!I189/VLOOKUP($B189,표2[#ALL],2)/HLOOKUP($A189,표1[#ALL],row(),false)</f>
        <v>#N/A</v>
      </c>
      <c r="J189" s="376" t="str">
        <f>CS_PID!J189/VLOOKUP($B189,표2[#ALL],2)/HLOOKUP($A189,표1[#ALL],row(),false)</f>
        <v>#N/A</v>
      </c>
      <c r="K189" s="376" t="str">
        <f>CS_PID!K189/VLOOKUP($B189,표2[#ALL],2)/HLOOKUP($A189,표1[#ALL],row(),false)</f>
        <v>#N/A</v>
      </c>
      <c r="L189" s="376" t="str">
        <f>CS_PID!L189/VLOOKUP($B189,표2[#ALL],2)/HLOOKUP($A189,표1[#ALL],row(),false)</f>
        <v>#N/A</v>
      </c>
      <c r="M189" s="376" t="str">
        <f>CS_PID!M189/VLOOKUP($B189,표2[#ALL],2)/HLOOKUP($A189,표1[#ALL],row(),false)</f>
        <v>#N/A</v>
      </c>
      <c r="N189" s="376" t="str">
        <f>CS_PID!N189/VLOOKUP($B189,표2[#ALL],2)/HLOOKUP($A189,표1[#ALL],row(),false)</f>
        <v>#N/A</v>
      </c>
      <c r="O189" s="376" t="str">
        <f>CS_PID!O189/VLOOKUP($B189,표2[#ALL],2)/HLOOKUP($A189,표1[#ALL],row(),false)</f>
        <v>#N/A</v>
      </c>
      <c r="P189" s="376" t="str">
        <f>CS_PID!P189/VLOOKUP($B189,표2[#ALL],2)/HLOOKUP($A189,표1[#ALL],row(),false)</f>
        <v>#N/A</v>
      </c>
      <c r="Q189" s="376" t="str">
        <f>CS_PID!Q189/VLOOKUP($B189,표2[#ALL],2)/HLOOKUP($A189,표1[#ALL],row(),false)</f>
        <v>#N/A</v>
      </c>
      <c r="R189" s="376" t="str">
        <f>CS_PID!R189/VLOOKUP($B189,표2[#ALL],2)/HLOOKUP($A189,표1[#ALL],row(),false)</f>
        <v>#N/A</v>
      </c>
      <c r="S189" s="376" t="str">
        <f>CS_PID!S189/VLOOKUP($B189,표2[#ALL],2)/HLOOKUP($A189,표1[#ALL],row(),false)</f>
        <v>#N/A</v>
      </c>
      <c r="T189" s="376" t="str">
        <f>CS_PID!T189/VLOOKUP($B189,표2[#ALL],2)/HLOOKUP($A189,표1[#ALL],row(),false)</f>
        <v>#N/A</v>
      </c>
      <c r="U189" s="376" t="str">
        <f>CS_PID!U189/VLOOKUP($B189,표2[#ALL],2)/HLOOKUP($A189,표1[#ALL],row(),false)</f>
        <v>#N/A</v>
      </c>
      <c r="V189" s="376" t="str">
        <f>CS_PID!V189/VLOOKUP($B189,표2[#ALL],2)/HLOOKUP($A189,표1[#ALL],row(),false)</f>
        <v>#N/A</v>
      </c>
      <c r="W189" s="376" t="str">
        <f>CS_PID!W189/VLOOKUP($B189,표2[#ALL],2)/HLOOKUP($A189,표1[#ALL],row(),false)</f>
        <v>#N/A</v>
      </c>
      <c r="X189" s="376" t="str">
        <f>CS_PID!X189/VLOOKUP($B189,표2[#ALL],2)/HLOOKUP($A189,표1[#ALL],row(),false)</f>
        <v>#N/A</v>
      </c>
      <c r="Y189" s="376" t="str">
        <f>CS_PID!Y189/VLOOKUP($B189,표2[#ALL],2)/HLOOKUP($A189,표1[#ALL],row(),false)</f>
        <v>#N/A</v>
      </c>
      <c r="Z189" s="376" t="str">
        <f>CS_PID!Z189/VLOOKUP($B189,표2[#ALL],2)/HLOOKUP($A189,표1[#ALL],row(),false)</f>
        <v>#N/A</v>
      </c>
      <c r="AA189" s="376" t="str">
        <f>CS_PID!AA189/VLOOKUP($B189,표2[#ALL],2)/HLOOKUP($A189,표1[#ALL],row(),false)</f>
        <v>#N/A</v>
      </c>
      <c r="AB189" s="376" t="str">
        <f>CS_PID!AB189/VLOOKUP($B189,표2[#ALL],2)/HLOOKUP($A189,표1[#ALL],row(),false)</f>
        <v>#N/A</v>
      </c>
      <c r="AC189" s="376" t="str">
        <f>CS_PID!AC189/VLOOKUP($B189,표2[#ALL],2)/HLOOKUP($A189,표1[#ALL],row(),false)</f>
        <v>#N/A</v>
      </c>
      <c r="AD189" s="376" t="str">
        <f>CS_PID!AD189/VLOOKUP($B189,표2[#ALL],2)/HLOOKUP($A189,표1[#ALL],row(),false)</f>
        <v>#N/A</v>
      </c>
      <c r="AE189" s="376" t="str">
        <f>CS_PID!AE189/VLOOKUP($B189,표2[#ALL],2)/HLOOKUP($A189,표1[#ALL],row(),false)</f>
        <v>#N/A</v>
      </c>
      <c r="AF189" s="376" t="str">
        <f>CS_PID!AF189/VLOOKUP($B189,표2[#ALL],2)/HLOOKUP($A189,표1[#ALL],row(),false)</f>
        <v>#N/A</v>
      </c>
      <c r="AG189" s="376" t="str">
        <f>CS_PID!AG189/VLOOKUP($B189,표2[#ALL],2)/HLOOKUP($A189,표1[#ALL],row(),false)</f>
        <v>#N/A</v>
      </c>
      <c r="AH189" s="376" t="str">
        <f>CS_PID!AH189/VLOOKUP($B189,표2[#ALL],2)/HLOOKUP($A189,표1[#ALL],row(),false)</f>
        <v>#N/A</v>
      </c>
      <c r="AI189" s="376" t="str">
        <f>CS_PID!AI189/VLOOKUP($B189,표2[#ALL],2)/HLOOKUP($A189,표1[#ALL],row(),false)</f>
        <v>#N/A</v>
      </c>
      <c r="AJ189" s="376" t="str">
        <f>CS_PID!AJ189/VLOOKUP($B189,표2[#ALL],2)/HLOOKUP($A189,표1[#ALL],row(),false)</f>
        <v>#N/A</v>
      </c>
      <c r="AK189" s="376" t="str">
        <f>CS_PID!AK189/VLOOKUP($B189,표2[#ALL],2)/HLOOKUP($A189,표1[#ALL],row(),false)</f>
        <v>#N/A</v>
      </c>
      <c r="AL189" s="376" t="str">
        <f>CS_PID!AL189/VLOOKUP($B189,표2[#ALL],2)/HLOOKUP($A189,표1[#ALL],row(),false)</f>
        <v>#N/A</v>
      </c>
      <c r="AM189" s="376" t="str">
        <f>CS_PID!AM189/VLOOKUP($B189,표2[#ALL],2)/HLOOKUP($A189,표1[#ALL],row(),false)</f>
        <v>#N/A</v>
      </c>
      <c r="AN189" s="376" t="str">
        <f>CS_PID!AN189/VLOOKUP($B189,표2[#ALL],2)/HLOOKUP($A189,표1[#ALL],row(),false)</f>
        <v>#N/A</v>
      </c>
      <c r="AO189" s="376" t="str">
        <f>CS_PID!AO189/VLOOKUP($B189,표2[#ALL],2)/HLOOKUP($A189,표1[#ALL],row(),false)</f>
        <v>#N/A</v>
      </c>
      <c r="AP189" s="376" t="str">
        <f>CS_PID!AP189/VLOOKUP($B189,표2[#ALL],2)/HLOOKUP($A189,표1[#ALL],row(),false)</f>
        <v>#N/A</v>
      </c>
      <c r="AQ189" s="376" t="str">
        <f>CS_PID!AQ189/VLOOKUP($B189,표2[#ALL],2)/HLOOKUP($A189,표1[#ALL],row(),false)</f>
        <v>#N/A</v>
      </c>
      <c r="AR189" s="376" t="str">
        <f>CS_PID!AR189/VLOOKUP($B189,표2[#ALL],2)/HLOOKUP($A189,표1[#ALL],row(),false)</f>
        <v>#N/A</v>
      </c>
      <c r="AS189" s="377" t="str">
        <f>CS_PID!AS189/VLOOKUP($B189,표2[#ALL],2)/HLOOKUP($A189,표1[#ALL],row(),false)</f>
        <v>#N/A</v>
      </c>
    </row>
    <row r="190">
      <c r="A190" s="370"/>
      <c r="B190" s="371"/>
      <c r="C190" s="372" t="str">
        <f>CS_PID!C190/VLOOKUP($B190,표2[#ALL],2)</f>
        <v>#N/A</v>
      </c>
      <c r="D190" s="372" t="str">
        <f>CS_PID!D190/VLOOKUP($B190,표2[#ALL],2)</f>
        <v>#N/A</v>
      </c>
      <c r="E190" s="372" t="str">
        <f>CS_PID!E190/VLOOKUP($B190,표2[#ALL],2)</f>
        <v>#N/A</v>
      </c>
      <c r="F190" s="372" t="str">
        <f>CS_PID!F190/VLOOKUP($B190,표2[#ALL],2)</f>
        <v>#N/A</v>
      </c>
      <c r="G190" s="372" t="str">
        <f>CS_PID!G190/VLOOKUP($B190,표2[#ALL],2)</f>
        <v>#N/A</v>
      </c>
      <c r="H190" s="372" t="str">
        <f>CS_PID!H190/VLOOKUP($B190,표2[#ALL],2)/HLOOKUP($A190,표1[#ALL],row(),false)</f>
        <v>#N/A</v>
      </c>
      <c r="I190" s="372" t="str">
        <f>CS_PID!I190/VLOOKUP($B190,표2[#ALL],2)/HLOOKUP($A190,표1[#ALL],row(),false)</f>
        <v>#N/A</v>
      </c>
      <c r="J190" s="372" t="str">
        <f>CS_PID!J190/VLOOKUP($B190,표2[#ALL],2)/HLOOKUP($A190,표1[#ALL],row(),false)</f>
        <v>#N/A</v>
      </c>
      <c r="K190" s="372" t="str">
        <f>CS_PID!K190/VLOOKUP($B190,표2[#ALL],2)/HLOOKUP($A190,표1[#ALL],row(),false)</f>
        <v>#N/A</v>
      </c>
      <c r="L190" s="372" t="str">
        <f>CS_PID!L190/VLOOKUP($B190,표2[#ALL],2)/HLOOKUP($A190,표1[#ALL],row(),false)</f>
        <v>#N/A</v>
      </c>
      <c r="M190" s="372" t="str">
        <f>CS_PID!M190/VLOOKUP($B190,표2[#ALL],2)/HLOOKUP($A190,표1[#ALL],row(),false)</f>
        <v>#N/A</v>
      </c>
      <c r="N190" s="372" t="str">
        <f>CS_PID!N190/VLOOKUP($B190,표2[#ALL],2)/HLOOKUP($A190,표1[#ALL],row(),false)</f>
        <v>#N/A</v>
      </c>
      <c r="O190" s="372" t="str">
        <f>CS_PID!O190/VLOOKUP($B190,표2[#ALL],2)/HLOOKUP($A190,표1[#ALL],row(),false)</f>
        <v>#N/A</v>
      </c>
      <c r="P190" s="372" t="str">
        <f>CS_PID!P190/VLOOKUP($B190,표2[#ALL],2)/HLOOKUP($A190,표1[#ALL],row(),false)</f>
        <v>#N/A</v>
      </c>
      <c r="Q190" s="372" t="str">
        <f>CS_PID!Q190/VLOOKUP($B190,표2[#ALL],2)/HLOOKUP($A190,표1[#ALL],row(),false)</f>
        <v>#N/A</v>
      </c>
      <c r="R190" s="372" t="str">
        <f>CS_PID!R190/VLOOKUP($B190,표2[#ALL],2)/HLOOKUP($A190,표1[#ALL],row(),false)</f>
        <v>#N/A</v>
      </c>
      <c r="S190" s="372" t="str">
        <f>CS_PID!S190/VLOOKUP($B190,표2[#ALL],2)/HLOOKUP($A190,표1[#ALL],row(),false)</f>
        <v>#N/A</v>
      </c>
      <c r="T190" s="372" t="str">
        <f>CS_PID!T190/VLOOKUP($B190,표2[#ALL],2)/HLOOKUP($A190,표1[#ALL],row(),false)</f>
        <v>#N/A</v>
      </c>
      <c r="U190" s="372" t="str">
        <f>CS_PID!U190/VLOOKUP($B190,표2[#ALL],2)/HLOOKUP($A190,표1[#ALL],row(),false)</f>
        <v>#N/A</v>
      </c>
      <c r="V190" s="372" t="str">
        <f>CS_PID!V190/VLOOKUP($B190,표2[#ALL],2)/HLOOKUP($A190,표1[#ALL],row(),false)</f>
        <v>#N/A</v>
      </c>
      <c r="W190" s="372" t="str">
        <f>CS_PID!W190/VLOOKUP($B190,표2[#ALL],2)/HLOOKUP($A190,표1[#ALL],row(),false)</f>
        <v>#N/A</v>
      </c>
      <c r="X190" s="372" t="str">
        <f>CS_PID!X190/VLOOKUP($B190,표2[#ALL],2)/HLOOKUP($A190,표1[#ALL],row(),false)</f>
        <v>#N/A</v>
      </c>
      <c r="Y190" s="372" t="str">
        <f>CS_PID!Y190/VLOOKUP($B190,표2[#ALL],2)/HLOOKUP($A190,표1[#ALL],row(),false)</f>
        <v>#N/A</v>
      </c>
      <c r="Z190" s="372" t="str">
        <f>CS_PID!Z190/VLOOKUP($B190,표2[#ALL],2)/HLOOKUP($A190,표1[#ALL],row(),false)</f>
        <v>#N/A</v>
      </c>
      <c r="AA190" s="372" t="str">
        <f>CS_PID!AA190/VLOOKUP($B190,표2[#ALL],2)/HLOOKUP($A190,표1[#ALL],row(),false)</f>
        <v>#N/A</v>
      </c>
      <c r="AB190" s="372" t="str">
        <f>CS_PID!AB190/VLOOKUP($B190,표2[#ALL],2)/HLOOKUP($A190,표1[#ALL],row(),false)</f>
        <v>#N/A</v>
      </c>
      <c r="AC190" s="372" t="str">
        <f>CS_PID!AC190/VLOOKUP($B190,표2[#ALL],2)/HLOOKUP($A190,표1[#ALL],row(),false)</f>
        <v>#N/A</v>
      </c>
      <c r="AD190" s="372" t="str">
        <f>CS_PID!AD190/VLOOKUP($B190,표2[#ALL],2)/HLOOKUP($A190,표1[#ALL],row(),false)</f>
        <v>#N/A</v>
      </c>
      <c r="AE190" s="372" t="str">
        <f>CS_PID!AE190/VLOOKUP($B190,표2[#ALL],2)/HLOOKUP($A190,표1[#ALL],row(),false)</f>
        <v>#N/A</v>
      </c>
      <c r="AF190" s="372" t="str">
        <f>CS_PID!AF190/VLOOKUP($B190,표2[#ALL],2)/HLOOKUP($A190,표1[#ALL],row(),false)</f>
        <v>#N/A</v>
      </c>
      <c r="AG190" s="372" t="str">
        <f>CS_PID!AG190/VLOOKUP($B190,표2[#ALL],2)/HLOOKUP($A190,표1[#ALL],row(),false)</f>
        <v>#N/A</v>
      </c>
      <c r="AH190" s="372" t="str">
        <f>CS_PID!AH190/VLOOKUP($B190,표2[#ALL],2)/HLOOKUP($A190,표1[#ALL],row(),false)</f>
        <v>#N/A</v>
      </c>
      <c r="AI190" s="372" t="str">
        <f>CS_PID!AI190/VLOOKUP($B190,표2[#ALL],2)/HLOOKUP($A190,표1[#ALL],row(),false)</f>
        <v>#N/A</v>
      </c>
      <c r="AJ190" s="372" t="str">
        <f>CS_PID!AJ190/VLOOKUP($B190,표2[#ALL],2)/HLOOKUP($A190,표1[#ALL],row(),false)</f>
        <v>#N/A</v>
      </c>
      <c r="AK190" s="372" t="str">
        <f>CS_PID!AK190/VLOOKUP($B190,표2[#ALL],2)/HLOOKUP($A190,표1[#ALL],row(),false)</f>
        <v>#N/A</v>
      </c>
      <c r="AL190" s="372" t="str">
        <f>CS_PID!AL190/VLOOKUP($B190,표2[#ALL],2)/HLOOKUP($A190,표1[#ALL],row(),false)</f>
        <v>#N/A</v>
      </c>
      <c r="AM190" s="372" t="str">
        <f>CS_PID!AM190/VLOOKUP($B190,표2[#ALL],2)/HLOOKUP($A190,표1[#ALL],row(),false)</f>
        <v>#N/A</v>
      </c>
      <c r="AN190" s="372" t="str">
        <f>CS_PID!AN190/VLOOKUP($B190,표2[#ALL],2)/HLOOKUP($A190,표1[#ALL],row(),false)</f>
        <v>#N/A</v>
      </c>
      <c r="AO190" s="372" t="str">
        <f>CS_PID!AO190/VLOOKUP($B190,표2[#ALL],2)/HLOOKUP($A190,표1[#ALL],row(),false)</f>
        <v>#N/A</v>
      </c>
      <c r="AP190" s="372" t="str">
        <f>CS_PID!AP190/VLOOKUP($B190,표2[#ALL],2)/HLOOKUP($A190,표1[#ALL],row(),false)</f>
        <v>#N/A</v>
      </c>
      <c r="AQ190" s="372" t="str">
        <f>CS_PID!AQ190/VLOOKUP($B190,표2[#ALL],2)/HLOOKUP($A190,표1[#ALL],row(),false)</f>
        <v>#N/A</v>
      </c>
      <c r="AR190" s="372" t="str">
        <f>CS_PID!AR190/VLOOKUP($B190,표2[#ALL],2)/HLOOKUP($A190,표1[#ALL],row(),false)</f>
        <v>#N/A</v>
      </c>
      <c r="AS190" s="373" t="str">
        <f>CS_PID!AS190/VLOOKUP($B190,표2[#ALL],2)/HLOOKUP($A190,표1[#ALL],row(),false)</f>
        <v>#N/A</v>
      </c>
    </row>
    <row r="191">
      <c r="A191" s="374"/>
      <c r="B191" s="375"/>
      <c r="C191" s="376" t="str">
        <f>CS_PID!C191/VLOOKUP($B191,표2[#ALL],2)</f>
        <v>#N/A</v>
      </c>
      <c r="D191" s="376" t="str">
        <f>CS_PID!D191/VLOOKUP($B191,표2[#ALL],2)</f>
        <v>#N/A</v>
      </c>
      <c r="E191" s="376" t="str">
        <f>CS_PID!E191/VLOOKUP($B191,표2[#ALL],2)</f>
        <v>#N/A</v>
      </c>
      <c r="F191" s="376" t="str">
        <f>CS_PID!F191/VLOOKUP($B191,표2[#ALL],2)</f>
        <v>#N/A</v>
      </c>
      <c r="G191" s="376" t="str">
        <f>CS_PID!G191/VLOOKUP($B191,표2[#ALL],2)</f>
        <v>#N/A</v>
      </c>
      <c r="H191" s="376" t="str">
        <f>CS_PID!H191/VLOOKUP($B191,표2[#ALL],2)/HLOOKUP($A191,표1[#ALL],row(),false)</f>
        <v>#N/A</v>
      </c>
      <c r="I191" s="376" t="str">
        <f>CS_PID!I191/VLOOKUP($B191,표2[#ALL],2)/HLOOKUP($A191,표1[#ALL],row(),false)</f>
        <v>#N/A</v>
      </c>
      <c r="J191" s="376" t="str">
        <f>CS_PID!J191/VLOOKUP($B191,표2[#ALL],2)/HLOOKUP($A191,표1[#ALL],row(),false)</f>
        <v>#N/A</v>
      </c>
      <c r="K191" s="376" t="str">
        <f>CS_PID!K191/VLOOKUP($B191,표2[#ALL],2)/HLOOKUP($A191,표1[#ALL],row(),false)</f>
        <v>#N/A</v>
      </c>
      <c r="L191" s="376" t="str">
        <f>CS_PID!L191/VLOOKUP($B191,표2[#ALL],2)/HLOOKUP($A191,표1[#ALL],row(),false)</f>
        <v>#N/A</v>
      </c>
      <c r="M191" s="376" t="str">
        <f>CS_PID!M191/VLOOKUP($B191,표2[#ALL],2)/HLOOKUP($A191,표1[#ALL],row(),false)</f>
        <v>#N/A</v>
      </c>
      <c r="N191" s="376" t="str">
        <f>CS_PID!N191/VLOOKUP($B191,표2[#ALL],2)/HLOOKUP($A191,표1[#ALL],row(),false)</f>
        <v>#N/A</v>
      </c>
      <c r="O191" s="376" t="str">
        <f>CS_PID!O191/VLOOKUP($B191,표2[#ALL],2)/HLOOKUP($A191,표1[#ALL],row(),false)</f>
        <v>#N/A</v>
      </c>
      <c r="P191" s="376" t="str">
        <f>CS_PID!P191/VLOOKUP($B191,표2[#ALL],2)/HLOOKUP($A191,표1[#ALL],row(),false)</f>
        <v>#N/A</v>
      </c>
      <c r="Q191" s="376" t="str">
        <f>CS_PID!Q191/VLOOKUP($B191,표2[#ALL],2)/HLOOKUP($A191,표1[#ALL],row(),false)</f>
        <v>#N/A</v>
      </c>
      <c r="R191" s="376" t="str">
        <f>CS_PID!R191/VLOOKUP($B191,표2[#ALL],2)/HLOOKUP($A191,표1[#ALL],row(),false)</f>
        <v>#N/A</v>
      </c>
      <c r="S191" s="376" t="str">
        <f>CS_PID!S191/VLOOKUP($B191,표2[#ALL],2)/HLOOKUP($A191,표1[#ALL],row(),false)</f>
        <v>#N/A</v>
      </c>
      <c r="T191" s="376" t="str">
        <f>CS_PID!T191/VLOOKUP($B191,표2[#ALL],2)/HLOOKUP($A191,표1[#ALL],row(),false)</f>
        <v>#N/A</v>
      </c>
      <c r="U191" s="376" t="str">
        <f>CS_PID!U191/VLOOKUP($B191,표2[#ALL],2)/HLOOKUP($A191,표1[#ALL],row(),false)</f>
        <v>#N/A</v>
      </c>
      <c r="V191" s="376" t="str">
        <f>CS_PID!V191/VLOOKUP($B191,표2[#ALL],2)/HLOOKUP($A191,표1[#ALL],row(),false)</f>
        <v>#N/A</v>
      </c>
      <c r="W191" s="376" t="str">
        <f>CS_PID!W191/VLOOKUP($B191,표2[#ALL],2)/HLOOKUP($A191,표1[#ALL],row(),false)</f>
        <v>#N/A</v>
      </c>
      <c r="X191" s="376" t="str">
        <f>CS_PID!X191/VLOOKUP($B191,표2[#ALL],2)/HLOOKUP($A191,표1[#ALL],row(),false)</f>
        <v>#N/A</v>
      </c>
      <c r="Y191" s="376" t="str">
        <f>CS_PID!Y191/VLOOKUP($B191,표2[#ALL],2)/HLOOKUP($A191,표1[#ALL],row(),false)</f>
        <v>#N/A</v>
      </c>
      <c r="Z191" s="376" t="str">
        <f>CS_PID!Z191/VLOOKUP($B191,표2[#ALL],2)/HLOOKUP($A191,표1[#ALL],row(),false)</f>
        <v>#N/A</v>
      </c>
      <c r="AA191" s="376" t="str">
        <f>CS_PID!AA191/VLOOKUP($B191,표2[#ALL],2)/HLOOKUP($A191,표1[#ALL],row(),false)</f>
        <v>#N/A</v>
      </c>
      <c r="AB191" s="376" t="str">
        <f>CS_PID!AB191/VLOOKUP($B191,표2[#ALL],2)/HLOOKUP($A191,표1[#ALL],row(),false)</f>
        <v>#N/A</v>
      </c>
      <c r="AC191" s="376" t="str">
        <f>CS_PID!AC191/VLOOKUP($B191,표2[#ALL],2)/HLOOKUP($A191,표1[#ALL],row(),false)</f>
        <v>#N/A</v>
      </c>
      <c r="AD191" s="376" t="str">
        <f>CS_PID!AD191/VLOOKUP($B191,표2[#ALL],2)/HLOOKUP($A191,표1[#ALL],row(),false)</f>
        <v>#N/A</v>
      </c>
      <c r="AE191" s="376" t="str">
        <f>CS_PID!AE191/VLOOKUP($B191,표2[#ALL],2)/HLOOKUP($A191,표1[#ALL],row(),false)</f>
        <v>#N/A</v>
      </c>
      <c r="AF191" s="376" t="str">
        <f>CS_PID!AF191/VLOOKUP($B191,표2[#ALL],2)/HLOOKUP($A191,표1[#ALL],row(),false)</f>
        <v>#N/A</v>
      </c>
      <c r="AG191" s="376" t="str">
        <f>CS_PID!AG191/VLOOKUP($B191,표2[#ALL],2)/HLOOKUP($A191,표1[#ALL],row(),false)</f>
        <v>#N/A</v>
      </c>
      <c r="AH191" s="376" t="str">
        <f>CS_PID!AH191/VLOOKUP($B191,표2[#ALL],2)/HLOOKUP($A191,표1[#ALL],row(),false)</f>
        <v>#N/A</v>
      </c>
      <c r="AI191" s="376" t="str">
        <f>CS_PID!AI191/VLOOKUP($B191,표2[#ALL],2)/HLOOKUP($A191,표1[#ALL],row(),false)</f>
        <v>#N/A</v>
      </c>
      <c r="AJ191" s="376" t="str">
        <f>CS_PID!AJ191/VLOOKUP($B191,표2[#ALL],2)/HLOOKUP($A191,표1[#ALL],row(),false)</f>
        <v>#N/A</v>
      </c>
      <c r="AK191" s="376" t="str">
        <f>CS_PID!AK191/VLOOKUP($B191,표2[#ALL],2)/HLOOKUP($A191,표1[#ALL],row(),false)</f>
        <v>#N/A</v>
      </c>
      <c r="AL191" s="376" t="str">
        <f>CS_PID!AL191/VLOOKUP($B191,표2[#ALL],2)/HLOOKUP($A191,표1[#ALL],row(),false)</f>
        <v>#N/A</v>
      </c>
      <c r="AM191" s="376" t="str">
        <f>CS_PID!AM191/VLOOKUP($B191,표2[#ALL],2)/HLOOKUP($A191,표1[#ALL],row(),false)</f>
        <v>#N/A</v>
      </c>
      <c r="AN191" s="376" t="str">
        <f>CS_PID!AN191/VLOOKUP($B191,표2[#ALL],2)/HLOOKUP($A191,표1[#ALL],row(),false)</f>
        <v>#N/A</v>
      </c>
      <c r="AO191" s="376" t="str">
        <f>CS_PID!AO191/VLOOKUP($B191,표2[#ALL],2)/HLOOKUP($A191,표1[#ALL],row(),false)</f>
        <v>#N/A</v>
      </c>
      <c r="AP191" s="376" t="str">
        <f>CS_PID!AP191/VLOOKUP($B191,표2[#ALL],2)/HLOOKUP($A191,표1[#ALL],row(),false)</f>
        <v>#N/A</v>
      </c>
      <c r="AQ191" s="376" t="str">
        <f>CS_PID!AQ191/VLOOKUP($B191,표2[#ALL],2)/HLOOKUP($A191,표1[#ALL],row(),false)</f>
        <v>#N/A</v>
      </c>
      <c r="AR191" s="376" t="str">
        <f>CS_PID!AR191/VLOOKUP($B191,표2[#ALL],2)/HLOOKUP($A191,표1[#ALL],row(),false)</f>
        <v>#N/A</v>
      </c>
      <c r="AS191" s="377" t="str">
        <f>CS_PID!AS191/VLOOKUP($B191,표2[#ALL],2)/HLOOKUP($A191,표1[#ALL],row(),false)</f>
        <v>#N/A</v>
      </c>
    </row>
    <row r="192">
      <c r="A192" s="370"/>
      <c r="B192" s="371"/>
      <c r="C192" s="372" t="str">
        <f>CS_PID!C192/VLOOKUP($B192,표2[#ALL],2)</f>
        <v>#N/A</v>
      </c>
      <c r="D192" s="372" t="str">
        <f>CS_PID!D192/VLOOKUP($B192,표2[#ALL],2)</f>
        <v>#N/A</v>
      </c>
      <c r="E192" s="372" t="str">
        <f>CS_PID!E192/VLOOKUP($B192,표2[#ALL],2)</f>
        <v>#N/A</v>
      </c>
      <c r="F192" s="372" t="str">
        <f>CS_PID!F192/VLOOKUP($B192,표2[#ALL],2)</f>
        <v>#N/A</v>
      </c>
      <c r="G192" s="372" t="str">
        <f>CS_PID!G192/VLOOKUP($B192,표2[#ALL],2)</f>
        <v>#N/A</v>
      </c>
      <c r="H192" s="372" t="str">
        <f>CS_PID!H192/VLOOKUP($B192,표2[#ALL],2)/HLOOKUP($A192,표1[#ALL],row(),false)</f>
        <v>#N/A</v>
      </c>
      <c r="I192" s="372" t="str">
        <f>CS_PID!I192/VLOOKUP($B192,표2[#ALL],2)/HLOOKUP($A192,표1[#ALL],row(),false)</f>
        <v>#N/A</v>
      </c>
      <c r="J192" s="372" t="str">
        <f>CS_PID!J192/VLOOKUP($B192,표2[#ALL],2)/HLOOKUP($A192,표1[#ALL],row(),false)</f>
        <v>#N/A</v>
      </c>
      <c r="K192" s="372" t="str">
        <f>CS_PID!K192/VLOOKUP($B192,표2[#ALL],2)/HLOOKUP($A192,표1[#ALL],row(),false)</f>
        <v>#N/A</v>
      </c>
      <c r="L192" s="372" t="str">
        <f>CS_PID!L192/VLOOKUP($B192,표2[#ALL],2)/HLOOKUP($A192,표1[#ALL],row(),false)</f>
        <v>#N/A</v>
      </c>
      <c r="M192" s="372" t="str">
        <f>CS_PID!M192/VLOOKUP($B192,표2[#ALL],2)/HLOOKUP($A192,표1[#ALL],row(),false)</f>
        <v>#N/A</v>
      </c>
      <c r="N192" s="372" t="str">
        <f>CS_PID!N192/VLOOKUP($B192,표2[#ALL],2)/HLOOKUP($A192,표1[#ALL],row(),false)</f>
        <v>#N/A</v>
      </c>
      <c r="O192" s="372" t="str">
        <f>CS_PID!O192/VLOOKUP($B192,표2[#ALL],2)/HLOOKUP($A192,표1[#ALL],row(),false)</f>
        <v>#N/A</v>
      </c>
      <c r="P192" s="372" t="str">
        <f>CS_PID!P192/VLOOKUP($B192,표2[#ALL],2)/HLOOKUP($A192,표1[#ALL],row(),false)</f>
        <v>#N/A</v>
      </c>
      <c r="Q192" s="372" t="str">
        <f>CS_PID!Q192/VLOOKUP($B192,표2[#ALL],2)/HLOOKUP($A192,표1[#ALL],row(),false)</f>
        <v>#N/A</v>
      </c>
      <c r="R192" s="372" t="str">
        <f>CS_PID!R192/VLOOKUP($B192,표2[#ALL],2)/HLOOKUP($A192,표1[#ALL],row(),false)</f>
        <v>#N/A</v>
      </c>
      <c r="S192" s="372" t="str">
        <f>CS_PID!S192/VLOOKUP($B192,표2[#ALL],2)/HLOOKUP($A192,표1[#ALL],row(),false)</f>
        <v>#N/A</v>
      </c>
      <c r="T192" s="372" t="str">
        <f>CS_PID!T192/VLOOKUP($B192,표2[#ALL],2)/HLOOKUP($A192,표1[#ALL],row(),false)</f>
        <v>#N/A</v>
      </c>
      <c r="U192" s="372" t="str">
        <f>CS_PID!U192/VLOOKUP($B192,표2[#ALL],2)/HLOOKUP($A192,표1[#ALL],row(),false)</f>
        <v>#N/A</v>
      </c>
      <c r="V192" s="372" t="str">
        <f>CS_PID!V192/VLOOKUP($B192,표2[#ALL],2)/HLOOKUP($A192,표1[#ALL],row(),false)</f>
        <v>#N/A</v>
      </c>
      <c r="W192" s="372" t="str">
        <f>CS_PID!W192/VLOOKUP($B192,표2[#ALL],2)/HLOOKUP($A192,표1[#ALL],row(),false)</f>
        <v>#N/A</v>
      </c>
      <c r="X192" s="372" t="str">
        <f>CS_PID!X192/VLOOKUP($B192,표2[#ALL],2)/HLOOKUP($A192,표1[#ALL],row(),false)</f>
        <v>#N/A</v>
      </c>
      <c r="Y192" s="372" t="str">
        <f>CS_PID!Y192/VLOOKUP($B192,표2[#ALL],2)/HLOOKUP($A192,표1[#ALL],row(),false)</f>
        <v>#N/A</v>
      </c>
      <c r="Z192" s="372" t="str">
        <f>CS_PID!Z192/VLOOKUP($B192,표2[#ALL],2)/HLOOKUP($A192,표1[#ALL],row(),false)</f>
        <v>#N/A</v>
      </c>
      <c r="AA192" s="372" t="str">
        <f>CS_PID!AA192/VLOOKUP($B192,표2[#ALL],2)/HLOOKUP($A192,표1[#ALL],row(),false)</f>
        <v>#N/A</v>
      </c>
      <c r="AB192" s="372" t="str">
        <f>CS_PID!AB192/VLOOKUP($B192,표2[#ALL],2)/HLOOKUP($A192,표1[#ALL],row(),false)</f>
        <v>#N/A</v>
      </c>
      <c r="AC192" s="372" t="str">
        <f>CS_PID!AC192/VLOOKUP($B192,표2[#ALL],2)/HLOOKUP($A192,표1[#ALL],row(),false)</f>
        <v>#N/A</v>
      </c>
      <c r="AD192" s="372" t="str">
        <f>CS_PID!AD192/VLOOKUP($B192,표2[#ALL],2)/HLOOKUP($A192,표1[#ALL],row(),false)</f>
        <v>#N/A</v>
      </c>
      <c r="AE192" s="372" t="str">
        <f>CS_PID!AE192/VLOOKUP($B192,표2[#ALL],2)/HLOOKUP($A192,표1[#ALL],row(),false)</f>
        <v>#N/A</v>
      </c>
      <c r="AF192" s="372" t="str">
        <f>CS_PID!AF192/VLOOKUP($B192,표2[#ALL],2)/HLOOKUP($A192,표1[#ALL],row(),false)</f>
        <v>#N/A</v>
      </c>
      <c r="AG192" s="372" t="str">
        <f>CS_PID!AG192/VLOOKUP($B192,표2[#ALL],2)/HLOOKUP($A192,표1[#ALL],row(),false)</f>
        <v>#N/A</v>
      </c>
      <c r="AH192" s="372" t="str">
        <f>CS_PID!AH192/VLOOKUP($B192,표2[#ALL],2)/HLOOKUP($A192,표1[#ALL],row(),false)</f>
        <v>#N/A</v>
      </c>
      <c r="AI192" s="372" t="str">
        <f>CS_PID!AI192/VLOOKUP($B192,표2[#ALL],2)/HLOOKUP($A192,표1[#ALL],row(),false)</f>
        <v>#N/A</v>
      </c>
      <c r="AJ192" s="372" t="str">
        <f>CS_PID!AJ192/VLOOKUP($B192,표2[#ALL],2)/HLOOKUP($A192,표1[#ALL],row(),false)</f>
        <v>#N/A</v>
      </c>
      <c r="AK192" s="372" t="str">
        <f>CS_PID!AK192/VLOOKUP($B192,표2[#ALL],2)/HLOOKUP($A192,표1[#ALL],row(),false)</f>
        <v>#N/A</v>
      </c>
      <c r="AL192" s="372" t="str">
        <f>CS_PID!AL192/VLOOKUP($B192,표2[#ALL],2)/HLOOKUP($A192,표1[#ALL],row(),false)</f>
        <v>#N/A</v>
      </c>
      <c r="AM192" s="372" t="str">
        <f>CS_PID!AM192/VLOOKUP($B192,표2[#ALL],2)/HLOOKUP($A192,표1[#ALL],row(),false)</f>
        <v>#N/A</v>
      </c>
      <c r="AN192" s="372" t="str">
        <f>CS_PID!AN192/VLOOKUP($B192,표2[#ALL],2)/HLOOKUP($A192,표1[#ALL],row(),false)</f>
        <v>#N/A</v>
      </c>
      <c r="AO192" s="372" t="str">
        <f>CS_PID!AO192/VLOOKUP($B192,표2[#ALL],2)/HLOOKUP($A192,표1[#ALL],row(),false)</f>
        <v>#N/A</v>
      </c>
      <c r="AP192" s="372" t="str">
        <f>CS_PID!AP192/VLOOKUP($B192,표2[#ALL],2)/HLOOKUP($A192,표1[#ALL],row(),false)</f>
        <v>#N/A</v>
      </c>
      <c r="AQ192" s="372" t="str">
        <f>CS_PID!AQ192/VLOOKUP($B192,표2[#ALL],2)/HLOOKUP($A192,표1[#ALL],row(),false)</f>
        <v>#N/A</v>
      </c>
      <c r="AR192" s="372" t="str">
        <f>CS_PID!AR192/VLOOKUP($B192,표2[#ALL],2)/HLOOKUP($A192,표1[#ALL],row(),false)</f>
        <v>#N/A</v>
      </c>
      <c r="AS192" s="373" t="str">
        <f>CS_PID!AS192/VLOOKUP($B192,표2[#ALL],2)/HLOOKUP($A192,표1[#ALL],row(),false)</f>
        <v>#N/A</v>
      </c>
    </row>
    <row r="193">
      <c r="A193" s="374"/>
      <c r="B193" s="375"/>
      <c r="C193" s="376" t="str">
        <f>CS_PID!C193/VLOOKUP($B193,표2[#ALL],2)</f>
        <v>#N/A</v>
      </c>
      <c r="D193" s="376" t="str">
        <f>CS_PID!D193/VLOOKUP($B193,표2[#ALL],2)</f>
        <v>#N/A</v>
      </c>
      <c r="E193" s="376" t="str">
        <f>CS_PID!E193/VLOOKUP($B193,표2[#ALL],2)</f>
        <v>#N/A</v>
      </c>
      <c r="F193" s="376" t="str">
        <f>CS_PID!F193/VLOOKUP($B193,표2[#ALL],2)</f>
        <v>#N/A</v>
      </c>
      <c r="G193" s="376" t="str">
        <f>CS_PID!G193/VLOOKUP($B193,표2[#ALL],2)</f>
        <v>#N/A</v>
      </c>
      <c r="H193" s="376" t="str">
        <f>CS_PID!H193/VLOOKUP($B193,표2[#ALL],2)/HLOOKUP($A193,표1[#ALL],row(),false)</f>
        <v>#N/A</v>
      </c>
      <c r="I193" s="376" t="str">
        <f>CS_PID!I193/VLOOKUP($B193,표2[#ALL],2)/HLOOKUP($A193,표1[#ALL],row(),false)</f>
        <v>#N/A</v>
      </c>
      <c r="J193" s="376" t="str">
        <f>CS_PID!J193/VLOOKUP($B193,표2[#ALL],2)/HLOOKUP($A193,표1[#ALL],row(),false)</f>
        <v>#N/A</v>
      </c>
      <c r="K193" s="376" t="str">
        <f>CS_PID!K193/VLOOKUP($B193,표2[#ALL],2)/HLOOKUP($A193,표1[#ALL],row(),false)</f>
        <v>#N/A</v>
      </c>
      <c r="L193" s="376" t="str">
        <f>CS_PID!L193/VLOOKUP($B193,표2[#ALL],2)/HLOOKUP($A193,표1[#ALL],row(),false)</f>
        <v>#N/A</v>
      </c>
      <c r="M193" s="376" t="str">
        <f>CS_PID!M193/VLOOKUP($B193,표2[#ALL],2)/HLOOKUP($A193,표1[#ALL],row(),false)</f>
        <v>#N/A</v>
      </c>
      <c r="N193" s="376" t="str">
        <f>CS_PID!N193/VLOOKUP($B193,표2[#ALL],2)/HLOOKUP($A193,표1[#ALL],row(),false)</f>
        <v>#N/A</v>
      </c>
      <c r="O193" s="376" t="str">
        <f>CS_PID!O193/VLOOKUP($B193,표2[#ALL],2)/HLOOKUP($A193,표1[#ALL],row(),false)</f>
        <v>#N/A</v>
      </c>
      <c r="P193" s="376" t="str">
        <f>CS_PID!P193/VLOOKUP($B193,표2[#ALL],2)/HLOOKUP($A193,표1[#ALL],row(),false)</f>
        <v>#N/A</v>
      </c>
      <c r="Q193" s="376" t="str">
        <f>CS_PID!Q193/VLOOKUP($B193,표2[#ALL],2)/HLOOKUP($A193,표1[#ALL],row(),false)</f>
        <v>#N/A</v>
      </c>
      <c r="R193" s="376" t="str">
        <f>CS_PID!R193/VLOOKUP($B193,표2[#ALL],2)/HLOOKUP($A193,표1[#ALL],row(),false)</f>
        <v>#N/A</v>
      </c>
      <c r="S193" s="376" t="str">
        <f>CS_PID!S193/VLOOKUP($B193,표2[#ALL],2)/HLOOKUP($A193,표1[#ALL],row(),false)</f>
        <v>#N/A</v>
      </c>
      <c r="T193" s="376" t="str">
        <f>CS_PID!T193/VLOOKUP($B193,표2[#ALL],2)/HLOOKUP($A193,표1[#ALL],row(),false)</f>
        <v>#N/A</v>
      </c>
      <c r="U193" s="376" t="str">
        <f>CS_PID!U193/VLOOKUP($B193,표2[#ALL],2)/HLOOKUP($A193,표1[#ALL],row(),false)</f>
        <v>#N/A</v>
      </c>
      <c r="V193" s="376" t="str">
        <f>CS_PID!V193/VLOOKUP($B193,표2[#ALL],2)/HLOOKUP($A193,표1[#ALL],row(),false)</f>
        <v>#N/A</v>
      </c>
      <c r="W193" s="376" t="str">
        <f>CS_PID!W193/VLOOKUP($B193,표2[#ALL],2)/HLOOKUP($A193,표1[#ALL],row(),false)</f>
        <v>#N/A</v>
      </c>
      <c r="X193" s="376" t="str">
        <f>CS_PID!X193/VLOOKUP($B193,표2[#ALL],2)/HLOOKUP($A193,표1[#ALL],row(),false)</f>
        <v>#N/A</v>
      </c>
      <c r="Y193" s="376" t="str">
        <f>CS_PID!Y193/VLOOKUP($B193,표2[#ALL],2)/HLOOKUP($A193,표1[#ALL],row(),false)</f>
        <v>#N/A</v>
      </c>
      <c r="Z193" s="376" t="str">
        <f>CS_PID!Z193/VLOOKUP($B193,표2[#ALL],2)/HLOOKUP($A193,표1[#ALL],row(),false)</f>
        <v>#N/A</v>
      </c>
      <c r="AA193" s="376" t="str">
        <f>CS_PID!AA193/VLOOKUP($B193,표2[#ALL],2)/HLOOKUP($A193,표1[#ALL],row(),false)</f>
        <v>#N/A</v>
      </c>
      <c r="AB193" s="376" t="str">
        <f>CS_PID!AB193/VLOOKUP($B193,표2[#ALL],2)/HLOOKUP($A193,표1[#ALL],row(),false)</f>
        <v>#N/A</v>
      </c>
      <c r="AC193" s="376" t="str">
        <f>CS_PID!AC193/VLOOKUP($B193,표2[#ALL],2)/HLOOKUP($A193,표1[#ALL],row(),false)</f>
        <v>#N/A</v>
      </c>
      <c r="AD193" s="376" t="str">
        <f>CS_PID!AD193/VLOOKUP($B193,표2[#ALL],2)/HLOOKUP($A193,표1[#ALL],row(),false)</f>
        <v>#N/A</v>
      </c>
      <c r="AE193" s="376" t="str">
        <f>CS_PID!AE193/VLOOKUP($B193,표2[#ALL],2)/HLOOKUP($A193,표1[#ALL],row(),false)</f>
        <v>#N/A</v>
      </c>
      <c r="AF193" s="376" t="str">
        <f>CS_PID!AF193/VLOOKUP($B193,표2[#ALL],2)/HLOOKUP($A193,표1[#ALL],row(),false)</f>
        <v>#N/A</v>
      </c>
      <c r="AG193" s="376" t="str">
        <f>CS_PID!AG193/VLOOKUP($B193,표2[#ALL],2)/HLOOKUP($A193,표1[#ALL],row(),false)</f>
        <v>#N/A</v>
      </c>
      <c r="AH193" s="376" t="str">
        <f>CS_PID!AH193/VLOOKUP($B193,표2[#ALL],2)/HLOOKUP($A193,표1[#ALL],row(),false)</f>
        <v>#N/A</v>
      </c>
      <c r="AI193" s="376" t="str">
        <f>CS_PID!AI193/VLOOKUP($B193,표2[#ALL],2)/HLOOKUP($A193,표1[#ALL],row(),false)</f>
        <v>#N/A</v>
      </c>
      <c r="AJ193" s="376" t="str">
        <f>CS_PID!AJ193/VLOOKUP($B193,표2[#ALL],2)/HLOOKUP($A193,표1[#ALL],row(),false)</f>
        <v>#N/A</v>
      </c>
      <c r="AK193" s="376" t="str">
        <f>CS_PID!AK193/VLOOKUP($B193,표2[#ALL],2)/HLOOKUP($A193,표1[#ALL],row(),false)</f>
        <v>#N/A</v>
      </c>
      <c r="AL193" s="376" t="str">
        <f>CS_PID!AL193/VLOOKUP($B193,표2[#ALL],2)/HLOOKUP($A193,표1[#ALL],row(),false)</f>
        <v>#N/A</v>
      </c>
      <c r="AM193" s="376" t="str">
        <f>CS_PID!AM193/VLOOKUP($B193,표2[#ALL],2)/HLOOKUP($A193,표1[#ALL],row(),false)</f>
        <v>#N/A</v>
      </c>
      <c r="AN193" s="376" t="str">
        <f>CS_PID!AN193/VLOOKUP($B193,표2[#ALL],2)/HLOOKUP($A193,표1[#ALL],row(),false)</f>
        <v>#N/A</v>
      </c>
      <c r="AO193" s="376" t="str">
        <f>CS_PID!AO193/VLOOKUP($B193,표2[#ALL],2)/HLOOKUP($A193,표1[#ALL],row(),false)</f>
        <v>#N/A</v>
      </c>
      <c r="AP193" s="376" t="str">
        <f>CS_PID!AP193/VLOOKUP($B193,표2[#ALL],2)/HLOOKUP($A193,표1[#ALL],row(),false)</f>
        <v>#N/A</v>
      </c>
      <c r="AQ193" s="376" t="str">
        <f>CS_PID!AQ193/VLOOKUP($B193,표2[#ALL],2)/HLOOKUP($A193,표1[#ALL],row(),false)</f>
        <v>#N/A</v>
      </c>
      <c r="AR193" s="376" t="str">
        <f>CS_PID!AR193/VLOOKUP($B193,표2[#ALL],2)/HLOOKUP($A193,표1[#ALL],row(),false)</f>
        <v>#N/A</v>
      </c>
      <c r="AS193" s="377" t="str">
        <f>CS_PID!AS193/VLOOKUP($B193,표2[#ALL],2)/HLOOKUP($A193,표1[#ALL],row(),false)</f>
        <v>#N/A</v>
      </c>
    </row>
    <row r="194">
      <c r="A194" s="370"/>
      <c r="B194" s="371"/>
      <c r="C194" s="372" t="str">
        <f>CS_PID!C194/VLOOKUP($B194,표2[#ALL],2)</f>
        <v>#N/A</v>
      </c>
      <c r="D194" s="372" t="str">
        <f>CS_PID!D194/VLOOKUP($B194,표2[#ALL],2)</f>
        <v>#N/A</v>
      </c>
      <c r="E194" s="372" t="str">
        <f>CS_PID!E194/VLOOKUP($B194,표2[#ALL],2)</f>
        <v>#N/A</v>
      </c>
      <c r="F194" s="372" t="str">
        <f>CS_PID!F194/VLOOKUP($B194,표2[#ALL],2)</f>
        <v>#N/A</v>
      </c>
      <c r="G194" s="372" t="str">
        <f>CS_PID!G194/VLOOKUP($B194,표2[#ALL],2)</f>
        <v>#N/A</v>
      </c>
      <c r="H194" s="372" t="str">
        <f>CS_PID!H194/VLOOKUP($B194,표2[#ALL],2)/HLOOKUP($A194,표1[#ALL],row(),false)</f>
        <v>#N/A</v>
      </c>
      <c r="I194" s="372" t="str">
        <f>CS_PID!I194/VLOOKUP($B194,표2[#ALL],2)/HLOOKUP($A194,표1[#ALL],row(),false)</f>
        <v>#N/A</v>
      </c>
      <c r="J194" s="372" t="str">
        <f>CS_PID!J194/VLOOKUP($B194,표2[#ALL],2)/HLOOKUP($A194,표1[#ALL],row(),false)</f>
        <v>#N/A</v>
      </c>
      <c r="K194" s="372" t="str">
        <f>CS_PID!K194/VLOOKUP($B194,표2[#ALL],2)/HLOOKUP($A194,표1[#ALL],row(),false)</f>
        <v>#N/A</v>
      </c>
      <c r="L194" s="372" t="str">
        <f>CS_PID!L194/VLOOKUP($B194,표2[#ALL],2)/HLOOKUP($A194,표1[#ALL],row(),false)</f>
        <v>#N/A</v>
      </c>
      <c r="M194" s="372" t="str">
        <f>CS_PID!M194/VLOOKUP($B194,표2[#ALL],2)/HLOOKUP($A194,표1[#ALL],row(),false)</f>
        <v>#N/A</v>
      </c>
      <c r="N194" s="372" t="str">
        <f>CS_PID!N194/VLOOKUP($B194,표2[#ALL],2)/HLOOKUP($A194,표1[#ALL],row(),false)</f>
        <v>#N/A</v>
      </c>
      <c r="O194" s="372" t="str">
        <f>CS_PID!O194/VLOOKUP($B194,표2[#ALL],2)/HLOOKUP($A194,표1[#ALL],row(),false)</f>
        <v>#N/A</v>
      </c>
      <c r="P194" s="372" t="str">
        <f>CS_PID!P194/VLOOKUP($B194,표2[#ALL],2)/HLOOKUP($A194,표1[#ALL],row(),false)</f>
        <v>#N/A</v>
      </c>
      <c r="Q194" s="372" t="str">
        <f>CS_PID!Q194/VLOOKUP($B194,표2[#ALL],2)/HLOOKUP($A194,표1[#ALL],row(),false)</f>
        <v>#N/A</v>
      </c>
      <c r="R194" s="372" t="str">
        <f>CS_PID!R194/VLOOKUP($B194,표2[#ALL],2)/HLOOKUP($A194,표1[#ALL],row(),false)</f>
        <v>#N/A</v>
      </c>
      <c r="S194" s="372" t="str">
        <f>CS_PID!S194/VLOOKUP($B194,표2[#ALL],2)/HLOOKUP($A194,표1[#ALL],row(),false)</f>
        <v>#N/A</v>
      </c>
      <c r="T194" s="372" t="str">
        <f>CS_PID!T194/VLOOKUP($B194,표2[#ALL],2)/HLOOKUP($A194,표1[#ALL],row(),false)</f>
        <v>#N/A</v>
      </c>
      <c r="U194" s="372" t="str">
        <f>CS_PID!U194/VLOOKUP($B194,표2[#ALL],2)/HLOOKUP($A194,표1[#ALL],row(),false)</f>
        <v>#N/A</v>
      </c>
      <c r="V194" s="372" t="str">
        <f>CS_PID!V194/VLOOKUP($B194,표2[#ALL],2)/HLOOKUP($A194,표1[#ALL],row(),false)</f>
        <v>#N/A</v>
      </c>
      <c r="W194" s="372" t="str">
        <f>CS_PID!W194/VLOOKUP($B194,표2[#ALL],2)/HLOOKUP($A194,표1[#ALL],row(),false)</f>
        <v>#N/A</v>
      </c>
      <c r="X194" s="372" t="str">
        <f>CS_PID!X194/VLOOKUP($B194,표2[#ALL],2)/HLOOKUP($A194,표1[#ALL],row(),false)</f>
        <v>#N/A</v>
      </c>
      <c r="Y194" s="372" t="str">
        <f>CS_PID!Y194/VLOOKUP($B194,표2[#ALL],2)/HLOOKUP($A194,표1[#ALL],row(),false)</f>
        <v>#N/A</v>
      </c>
      <c r="Z194" s="372" t="str">
        <f>CS_PID!Z194/VLOOKUP($B194,표2[#ALL],2)/HLOOKUP($A194,표1[#ALL],row(),false)</f>
        <v>#N/A</v>
      </c>
      <c r="AA194" s="372" t="str">
        <f>CS_PID!AA194/VLOOKUP($B194,표2[#ALL],2)/HLOOKUP($A194,표1[#ALL],row(),false)</f>
        <v>#N/A</v>
      </c>
      <c r="AB194" s="372" t="str">
        <f>CS_PID!AB194/VLOOKUP($B194,표2[#ALL],2)/HLOOKUP($A194,표1[#ALL],row(),false)</f>
        <v>#N/A</v>
      </c>
      <c r="AC194" s="372" t="str">
        <f>CS_PID!AC194/VLOOKUP($B194,표2[#ALL],2)/HLOOKUP($A194,표1[#ALL],row(),false)</f>
        <v>#N/A</v>
      </c>
      <c r="AD194" s="372" t="str">
        <f>CS_PID!AD194/VLOOKUP($B194,표2[#ALL],2)/HLOOKUP($A194,표1[#ALL],row(),false)</f>
        <v>#N/A</v>
      </c>
      <c r="AE194" s="372" t="str">
        <f>CS_PID!AE194/VLOOKUP($B194,표2[#ALL],2)/HLOOKUP($A194,표1[#ALL],row(),false)</f>
        <v>#N/A</v>
      </c>
      <c r="AF194" s="372" t="str">
        <f>CS_PID!AF194/VLOOKUP($B194,표2[#ALL],2)/HLOOKUP($A194,표1[#ALL],row(),false)</f>
        <v>#N/A</v>
      </c>
      <c r="AG194" s="372" t="str">
        <f>CS_PID!AG194/VLOOKUP($B194,표2[#ALL],2)/HLOOKUP($A194,표1[#ALL],row(),false)</f>
        <v>#N/A</v>
      </c>
      <c r="AH194" s="372" t="str">
        <f>CS_PID!AH194/VLOOKUP($B194,표2[#ALL],2)/HLOOKUP($A194,표1[#ALL],row(),false)</f>
        <v>#N/A</v>
      </c>
      <c r="AI194" s="372" t="str">
        <f>CS_PID!AI194/VLOOKUP($B194,표2[#ALL],2)/HLOOKUP($A194,표1[#ALL],row(),false)</f>
        <v>#N/A</v>
      </c>
      <c r="AJ194" s="372" t="str">
        <f>CS_PID!AJ194/VLOOKUP($B194,표2[#ALL],2)/HLOOKUP($A194,표1[#ALL],row(),false)</f>
        <v>#N/A</v>
      </c>
      <c r="AK194" s="372" t="str">
        <f>CS_PID!AK194/VLOOKUP($B194,표2[#ALL],2)/HLOOKUP($A194,표1[#ALL],row(),false)</f>
        <v>#N/A</v>
      </c>
      <c r="AL194" s="372" t="str">
        <f>CS_PID!AL194/VLOOKUP($B194,표2[#ALL],2)/HLOOKUP($A194,표1[#ALL],row(),false)</f>
        <v>#N/A</v>
      </c>
      <c r="AM194" s="372" t="str">
        <f>CS_PID!AM194/VLOOKUP($B194,표2[#ALL],2)/HLOOKUP($A194,표1[#ALL],row(),false)</f>
        <v>#N/A</v>
      </c>
      <c r="AN194" s="372" t="str">
        <f>CS_PID!AN194/VLOOKUP($B194,표2[#ALL],2)/HLOOKUP($A194,표1[#ALL],row(),false)</f>
        <v>#N/A</v>
      </c>
      <c r="AO194" s="372" t="str">
        <f>CS_PID!AO194/VLOOKUP($B194,표2[#ALL],2)/HLOOKUP($A194,표1[#ALL],row(),false)</f>
        <v>#N/A</v>
      </c>
      <c r="AP194" s="372" t="str">
        <f>CS_PID!AP194/VLOOKUP($B194,표2[#ALL],2)/HLOOKUP($A194,표1[#ALL],row(),false)</f>
        <v>#N/A</v>
      </c>
      <c r="AQ194" s="372" t="str">
        <f>CS_PID!AQ194/VLOOKUP($B194,표2[#ALL],2)/HLOOKUP($A194,표1[#ALL],row(),false)</f>
        <v>#N/A</v>
      </c>
      <c r="AR194" s="372" t="str">
        <f>CS_PID!AR194/VLOOKUP($B194,표2[#ALL],2)/HLOOKUP($A194,표1[#ALL],row(),false)</f>
        <v>#N/A</v>
      </c>
      <c r="AS194" s="373" t="str">
        <f>CS_PID!AS194/VLOOKUP($B194,표2[#ALL],2)/HLOOKUP($A194,표1[#ALL],row(),false)</f>
        <v>#N/A</v>
      </c>
    </row>
    <row r="195">
      <c r="A195" s="374"/>
      <c r="B195" s="375"/>
      <c r="C195" s="376" t="str">
        <f>CS_PID!C195/VLOOKUP($B195,표2[#ALL],2)</f>
        <v>#N/A</v>
      </c>
      <c r="D195" s="376" t="str">
        <f>CS_PID!D195/VLOOKUP($B195,표2[#ALL],2)</f>
        <v>#N/A</v>
      </c>
      <c r="E195" s="376" t="str">
        <f>CS_PID!E195/VLOOKUP($B195,표2[#ALL],2)</f>
        <v>#N/A</v>
      </c>
      <c r="F195" s="376" t="str">
        <f>CS_PID!F195/VLOOKUP($B195,표2[#ALL],2)</f>
        <v>#N/A</v>
      </c>
      <c r="G195" s="376" t="str">
        <f>CS_PID!G195/VLOOKUP($B195,표2[#ALL],2)</f>
        <v>#N/A</v>
      </c>
      <c r="H195" s="376" t="str">
        <f>CS_PID!H195/VLOOKUP($B195,표2[#ALL],2)/HLOOKUP($A195,표1[#ALL],row(),false)</f>
        <v>#N/A</v>
      </c>
      <c r="I195" s="376" t="str">
        <f>CS_PID!I195/VLOOKUP($B195,표2[#ALL],2)/HLOOKUP($A195,표1[#ALL],row(),false)</f>
        <v>#N/A</v>
      </c>
      <c r="J195" s="376" t="str">
        <f>CS_PID!J195/VLOOKUP($B195,표2[#ALL],2)/HLOOKUP($A195,표1[#ALL],row(),false)</f>
        <v>#N/A</v>
      </c>
      <c r="K195" s="376" t="str">
        <f>CS_PID!K195/VLOOKUP($B195,표2[#ALL],2)/HLOOKUP($A195,표1[#ALL],row(),false)</f>
        <v>#N/A</v>
      </c>
      <c r="L195" s="376" t="str">
        <f>CS_PID!L195/VLOOKUP($B195,표2[#ALL],2)/HLOOKUP($A195,표1[#ALL],row(),false)</f>
        <v>#N/A</v>
      </c>
      <c r="M195" s="376" t="str">
        <f>CS_PID!M195/VLOOKUP($B195,표2[#ALL],2)/HLOOKUP($A195,표1[#ALL],row(),false)</f>
        <v>#N/A</v>
      </c>
      <c r="N195" s="376" t="str">
        <f>CS_PID!N195/VLOOKUP($B195,표2[#ALL],2)/HLOOKUP($A195,표1[#ALL],row(),false)</f>
        <v>#N/A</v>
      </c>
      <c r="O195" s="376" t="str">
        <f>CS_PID!O195/VLOOKUP($B195,표2[#ALL],2)/HLOOKUP($A195,표1[#ALL],row(),false)</f>
        <v>#N/A</v>
      </c>
      <c r="P195" s="376" t="str">
        <f>CS_PID!P195/VLOOKUP($B195,표2[#ALL],2)/HLOOKUP($A195,표1[#ALL],row(),false)</f>
        <v>#N/A</v>
      </c>
      <c r="Q195" s="376" t="str">
        <f>CS_PID!Q195/VLOOKUP($B195,표2[#ALL],2)/HLOOKUP($A195,표1[#ALL],row(),false)</f>
        <v>#N/A</v>
      </c>
      <c r="R195" s="376" t="str">
        <f>CS_PID!R195/VLOOKUP($B195,표2[#ALL],2)/HLOOKUP($A195,표1[#ALL],row(),false)</f>
        <v>#N/A</v>
      </c>
      <c r="S195" s="376" t="str">
        <f>CS_PID!S195/VLOOKUP($B195,표2[#ALL],2)/HLOOKUP($A195,표1[#ALL],row(),false)</f>
        <v>#N/A</v>
      </c>
      <c r="T195" s="376" t="str">
        <f>CS_PID!T195/VLOOKUP($B195,표2[#ALL],2)/HLOOKUP($A195,표1[#ALL],row(),false)</f>
        <v>#N/A</v>
      </c>
      <c r="U195" s="376" t="str">
        <f>CS_PID!U195/VLOOKUP($B195,표2[#ALL],2)/HLOOKUP($A195,표1[#ALL],row(),false)</f>
        <v>#N/A</v>
      </c>
      <c r="V195" s="376" t="str">
        <f>CS_PID!V195/VLOOKUP($B195,표2[#ALL],2)/HLOOKUP($A195,표1[#ALL],row(),false)</f>
        <v>#N/A</v>
      </c>
      <c r="W195" s="376" t="str">
        <f>CS_PID!W195/VLOOKUP($B195,표2[#ALL],2)/HLOOKUP($A195,표1[#ALL],row(),false)</f>
        <v>#N/A</v>
      </c>
      <c r="X195" s="376" t="str">
        <f>CS_PID!X195/VLOOKUP($B195,표2[#ALL],2)/HLOOKUP($A195,표1[#ALL],row(),false)</f>
        <v>#N/A</v>
      </c>
      <c r="Y195" s="376" t="str">
        <f>CS_PID!Y195/VLOOKUP($B195,표2[#ALL],2)/HLOOKUP($A195,표1[#ALL],row(),false)</f>
        <v>#N/A</v>
      </c>
      <c r="Z195" s="376" t="str">
        <f>CS_PID!Z195/VLOOKUP($B195,표2[#ALL],2)/HLOOKUP($A195,표1[#ALL],row(),false)</f>
        <v>#N/A</v>
      </c>
      <c r="AA195" s="376" t="str">
        <f>CS_PID!AA195/VLOOKUP($B195,표2[#ALL],2)/HLOOKUP($A195,표1[#ALL],row(),false)</f>
        <v>#N/A</v>
      </c>
      <c r="AB195" s="376" t="str">
        <f>CS_PID!AB195/VLOOKUP($B195,표2[#ALL],2)/HLOOKUP($A195,표1[#ALL],row(),false)</f>
        <v>#N/A</v>
      </c>
      <c r="AC195" s="376" t="str">
        <f>CS_PID!AC195/VLOOKUP($B195,표2[#ALL],2)/HLOOKUP($A195,표1[#ALL],row(),false)</f>
        <v>#N/A</v>
      </c>
      <c r="AD195" s="376" t="str">
        <f>CS_PID!AD195/VLOOKUP($B195,표2[#ALL],2)/HLOOKUP($A195,표1[#ALL],row(),false)</f>
        <v>#N/A</v>
      </c>
      <c r="AE195" s="376" t="str">
        <f>CS_PID!AE195/VLOOKUP($B195,표2[#ALL],2)/HLOOKUP($A195,표1[#ALL],row(),false)</f>
        <v>#N/A</v>
      </c>
      <c r="AF195" s="376" t="str">
        <f>CS_PID!AF195/VLOOKUP($B195,표2[#ALL],2)/HLOOKUP($A195,표1[#ALL],row(),false)</f>
        <v>#N/A</v>
      </c>
      <c r="AG195" s="376" t="str">
        <f>CS_PID!AG195/VLOOKUP($B195,표2[#ALL],2)/HLOOKUP($A195,표1[#ALL],row(),false)</f>
        <v>#N/A</v>
      </c>
      <c r="AH195" s="376" t="str">
        <f>CS_PID!AH195/VLOOKUP($B195,표2[#ALL],2)/HLOOKUP($A195,표1[#ALL],row(),false)</f>
        <v>#N/A</v>
      </c>
      <c r="AI195" s="376" t="str">
        <f>CS_PID!AI195/VLOOKUP($B195,표2[#ALL],2)/HLOOKUP($A195,표1[#ALL],row(),false)</f>
        <v>#N/A</v>
      </c>
      <c r="AJ195" s="376" t="str">
        <f>CS_PID!AJ195/VLOOKUP($B195,표2[#ALL],2)/HLOOKUP($A195,표1[#ALL],row(),false)</f>
        <v>#N/A</v>
      </c>
      <c r="AK195" s="376" t="str">
        <f>CS_PID!AK195/VLOOKUP($B195,표2[#ALL],2)/HLOOKUP($A195,표1[#ALL],row(),false)</f>
        <v>#N/A</v>
      </c>
      <c r="AL195" s="376" t="str">
        <f>CS_PID!AL195/VLOOKUP($B195,표2[#ALL],2)/HLOOKUP($A195,표1[#ALL],row(),false)</f>
        <v>#N/A</v>
      </c>
      <c r="AM195" s="376" t="str">
        <f>CS_PID!AM195/VLOOKUP($B195,표2[#ALL],2)/HLOOKUP($A195,표1[#ALL],row(),false)</f>
        <v>#N/A</v>
      </c>
      <c r="AN195" s="376" t="str">
        <f>CS_PID!AN195/VLOOKUP($B195,표2[#ALL],2)/HLOOKUP($A195,표1[#ALL],row(),false)</f>
        <v>#N/A</v>
      </c>
      <c r="AO195" s="376" t="str">
        <f>CS_PID!AO195/VLOOKUP($B195,표2[#ALL],2)/HLOOKUP($A195,표1[#ALL],row(),false)</f>
        <v>#N/A</v>
      </c>
      <c r="AP195" s="376" t="str">
        <f>CS_PID!AP195/VLOOKUP($B195,표2[#ALL],2)/HLOOKUP($A195,표1[#ALL],row(),false)</f>
        <v>#N/A</v>
      </c>
      <c r="AQ195" s="376" t="str">
        <f>CS_PID!AQ195/VLOOKUP($B195,표2[#ALL],2)/HLOOKUP($A195,표1[#ALL],row(),false)</f>
        <v>#N/A</v>
      </c>
      <c r="AR195" s="376" t="str">
        <f>CS_PID!AR195/VLOOKUP($B195,표2[#ALL],2)/HLOOKUP($A195,표1[#ALL],row(),false)</f>
        <v>#N/A</v>
      </c>
      <c r="AS195" s="377" t="str">
        <f>CS_PID!AS195/VLOOKUP($B195,표2[#ALL],2)/HLOOKUP($A195,표1[#ALL],row(),false)</f>
        <v>#N/A</v>
      </c>
    </row>
    <row r="196">
      <c r="A196" s="370"/>
      <c r="B196" s="371"/>
      <c r="C196" s="372" t="str">
        <f>CS_PID!C196/VLOOKUP($B196,표2[#ALL],2)</f>
        <v>#N/A</v>
      </c>
      <c r="D196" s="372" t="str">
        <f>CS_PID!D196/VLOOKUP($B196,표2[#ALL],2)</f>
        <v>#N/A</v>
      </c>
      <c r="E196" s="372" t="str">
        <f>CS_PID!E196/VLOOKUP($B196,표2[#ALL],2)</f>
        <v>#N/A</v>
      </c>
      <c r="F196" s="372" t="str">
        <f>CS_PID!F196/VLOOKUP($B196,표2[#ALL],2)</f>
        <v>#N/A</v>
      </c>
      <c r="G196" s="372" t="str">
        <f>CS_PID!G196/VLOOKUP($B196,표2[#ALL],2)</f>
        <v>#N/A</v>
      </c>
      <c r="H196" s="372" t="str">
        <f>CS_PID!H196/VLOOKUP($B196,표2[#ALL],2)/HLOOKUP($A196,표1[#ALL],row(),false)</f>
        <v>#N/A</v>
      </c>
      <c r="I196" s="372" t="str">
        <f>CS_PID!I196/VLOOKUP($B196,표2[#ALL],2)/HLOOKUP($A196,표1[#ALL],row(),false)</f>
        <v>#N/A</v>
      </c>
      <c r="J196" s="372" t="str">
        <f>CS_PID!J196/VLOOKUP($B196,표2[#ALL],2)/HLOOKUP($A196,표1[#ALL],row(),false)</f>
        <v>#N/A</v>
      </c>
      <c r="K196" s="372" t="str">
        <f>CS_PID!K196/VLOOKUP($B196,표2[#ALL],2)/HLOOKUP($A196,표1[#ALL],row(),false)</f>
        <v>#N/A</v>
      </c>
      <c r="L196" s="372" t="str">
        <f>CS_PID!L196/VLOOKUP($B196,표2[#ALL],2)/HLOOKUP($A196,표1[#ALL],row(),false)</f>
        <v>#N/A</v>
      </c>
      <c r="M196" s="372" t="str">
        <f>CS_PID!M196/VLOOKUP($B196,표2[#ALL],2)/HLOOKUP($A196,표1[#ALL],row(),false)</f>
        <v>#N/A</v>
      </c>
      <c r="N196" s="372" t="str">
        <f>CS_PID!N196/VLOOKUP($B196,표2[#ALL],2)/HLOOKUP($A196,표1[#ALL],row(),false)</f>
        <v>#N/A</v>
      </c>
      <c r="O196" s="372" t="str">
        <f>CS_PID!O196/VLOOKUP($B196,표2[#ALL],2)/HLOOKUP($A196,표1[#ALL],row(),false)</f>
        <v>#N/A</v>
      </c>
      <c r="P196" s="372" t="str">
        <f>CS_PID!P196/VLOOKUP($B196,표2[#ALL],2)/HLOOKUP($A196,표1[#ALL],row(),false)</f>
        <v>#N/A</v>
      </c>
      <c r="Q196" s="372" t="str">
        <f>CS_PID!Q196/VLOOKUP($B196,표2[#ALL],2)/HLOOKUP($A196,표1[#ALL],row(),false)</f>
        <v>#N/A</v>
      </c>
      <c r="R196" s="372" t="str">
        <f>CS_PID!R196/VLOOKUP($B196,표2[#ALL],2)/HLOOKUP($A196,표1[#ALL],row(),false)</f>
        <v>#N/A</v>
      </c>
      <c r="S196" s="372" t="str">
        <f>CS_PID!S196/VLOOKUP($B196,표2[#ALL],2)/HLOOKUP($A196,표1[#ALL],row(),false)</f>
        <v>#N/A</v>
      </c>
      <c r="T196" s="372" t="str">
        <f>CS_PID!T196/VLOOKUP($B196,표2[#ALL],2)/HLOOKUP($A196,표1[#ALL],row(),false)</f>
        <v>#N/A</v>
      </c>
      <c r="U196" s="372" t="str">
        <f>CS_PID!U196/VLOOKUP($B196,표2[#ALL],2)/HLOOKUP($A196,표1[#ALL],row(),false)</f>
        <v>#N/A</v>
      </c>
      <c r="V196" s="372" t="str">
        <f>CS_PID!V196/VLOOKUP($B196,표2[#ALL],2)/HLOOKUP($A196,표1[#ALL],row(),false)</f>
        <v>#N/A</v>
      </c>
      <c r="W196" s="372" t="str">
        <f>CS_PID!W196/VLOOKUP($B196,표2[#ALL],2)/HLOOKUP($A196,표1[#ALL],row(),false)</f>
        <v>#N/A</v>
      </c>
      <c r="X196" s="372" t="str">
        <f>CS_PID!X196/VLOOKUP($B196,표2[#ALL],2)/HLOOKUP($A196,표1[#ALL],row(),false)</f>
        <v>#N/A</v>
      </c>
      <c r="Y196" s="372" t="str">
        <f>CS_PID!Y196/VLOOKUP($B196,표2[#ALL],2)/HLOOKUP($A196,표1[#ALL],row(),false)</f>
        <v>#N/A</v>
      </c>
      <c r="Z196" s="372" t="str">
        <f>CS_PID!Z196/VLOOKUP($B196,표2[#ALL],2)/HLOOKUP($A196,표1[#ALL],row(),false)</f>
        <v>#N/A</v>
      </c>
      <c r="AA196" s="372" t="str">
        <f>CS_PID!AA196/VLOOKUP($B196,표2[#ALL],2)/HLOOKUP($A196,표1[#ALL],row(),false)</f>
        <v>#N/A</v>
      </c>
      <c r="AB196" s="372" t="str">
        <f>CS_PID!AB196/VLOOKUP($B196,표2[#ALL],2)/HLOOKUP($A196,표1[#ALL],row(),false)</f>
        <v>#N/A</v>
      </c>
      <c r="AC196" s="372" t="str">
        <f>CS_PID!AC196/VLOOKUP($B196,표2[#ALL],2)/HLOOKUP($A196,표1[#ALL],row(),false)</f>
        <v>#N/A</v>
      </c>
      <c r="AD196" s="372" t="str">
        <f>CS_PID!AD196/VLOOKUP($B196,표2[#ALL],2)/HLOOKUP($A196,표1[#ALL],row(),false)</f>
        <v>#N/A</v>
      </c>
      <c r="AE196" s="372" t="str">
        <f>CS_PID!AE196/VLOOKUP($B196,표2[#ALL],2)/HLOOKUP($A196,표1[#ALL],row(),false)</f>
        <v>#N/A</v>
      </c>
      <c r="AF196" s="372" t="str">
        <f>CS_PID!AF196/VLOOKUP($B196,표2[#ALL],2)/HLOOKUP($A196,표1[#ALL],row(),false)</f>
        <v>#N/A</v>
      </c>
      <c r="AG196" s="372" t="str">
        <f>CS_PID!AG196/VLOOKUP($B196,표2[#ALL],2)/HLOOKUP($A196,표1[#ALL],row(),false)</f>
        <v>#N/A</v>
      </c>
      <c r="AH196" s="372" t="str">
        <f>CS_PID!AH196/VLOOKUP($B196,표2[#ALL],2)/HLOOKUP($A196,표1[#ALL],row(),false)</f>
        <v>#N/A</v>
      </c>
      <c r="AI196" s="372" t="str">
        <f>CS_PID!AI196/VLOOKUP($B196,표2[#ALL],2)/HLOOKUP($A196,표1[#ALL],row(),false)</f>
        <v>#N/A</v>
      </c>
      <c r="AJ196" s="372" t="str">
        <f>CS_PID!AJ196/VLOOKUP($B196,표2[#ALL],2)/HLOOKUP($A196,표1[#ALL],row(),false)</f>
        <v>#N/A</v>
      </c>
      <c r="AK196" s="372" t="str">
        <f>CS_PID!AK196/VLOOKUP($B196,표2[#ALL],2)/HLOOKUP($A196,표1[#ALL],row(),false)</f>
        <v>#N/A</v>
      </c>
      <c r="AL196" s="372" t="str">
        <f>CS_PID!AL196/VLOOKUP($B196,표2[#ALL],2)/HLOOKUP($A196,표1[#ALL],row(),false)</f>
        <v>#N/A</v>
      </c>
      <c r="AM196" s="372" t="str">
        <f>CS_PID!AM196/VLOOKUP($B196,표2[#ALL],2)/HLOOKUP($A196,표1[#ALL],row(),false)</f>
        <v>#N/A</v>
      </c>
      <c r="AN196" s="372" t="str">
        <f>CS_PID!AN196/VLOOKUP($B196,표2[#ALL],2)/HLOOKUP($A196,표1[#ALL],row(),false)</f>
        <v>#N/A</v>
      </c>
      <c r="AO196" s="372" t="str">
        <f>CS_PID!AO196/VLOOKUP($B196,표2[#ALL],2)/HLOOKUP($A196,표1[#ALL],row(),false)</f>
        <v>#N/A</v>
      </c>
      <c r="AP196" s="372" t="str">
        <f>CS_PID!AP196/VLOOKUP($B196,표2[#ALL],2)/HLOOKUP($A196,표1[#ALL],row(),false)</f>
        <v>#N/A</v>
      </c>
      <c r="AQ196" s="372" t="str">
        <f>CS_PID!AQ196/VLOOKUP($B196,표2[#ALL],2)/HLOOKUP($A196,표1[#ALL],row(),false)</f>
        <v>#N/A</v>
      </c>
      <c r="AR196" s="372" t="str">
        <f>CS_PID!AR196/VLOOKUP($B196,표2[#ALL],2)/HLOOKUP($A196,표1[#ALL],row(),false)</f>
        <v>#N/A</v>
      </c>
      <c r="AS196" s="373" t="str">
        <f>CS_PID!AS196/VLOOKUP($B196,표2[#ALL],2)/HLOOKUP($A196,표1[#ALL],row(),false)</f>
        <v>#N/A</v>
      </c>
    </row>
    <row r="197">
      <c r="A197" s="374"/>
      <c r="B197" s="375"/>
      <c r="C197" s="376" t="str">
        <f>CS_PID!C197/VLOOKUP($B197,표2[#ALL],2)</f>
        <v>#N/A</v>
      </c>
      <c r="D197" s="376" t="str">
        <f>CS_PID!D197/VLOOKUP($B197,표2[#ALL],2)</f>
        <v>#N/A</v>
      </c>
      <c r="E197" s="376" t="str">
        <f>CS_PID!E197/VLOOKUP($B197,표2[#ALL],2)</f>
        <v>#N/A</v>
      </c>
      <c r="F197" s="376" t="str">
        <f>CS_PID!F197/VLOOKUP($B197,표2[#ALL],2)</f>
        <v>#N/A</v>
      </c>
      <c r="G197" s="376" t="str">
        <f>CS_PID!G197/VLOOKUP($B197,표2[#ALL],2)</f>
        <v>#N/A</v>
      </c>
      <c r="H197" s="376" t="str">
        <f>CS_PID!H197/VLOOKUP($B197,표2[#ALL],2)/HLOOKUP($A197,표1[#ALL],row(),false)</f>
        <v>#N/A</v>
      </c>
      <c r="I197" s="376" t="str">
        <f>CS_PID!I197/VLOOKUP($B197,표2[#ALL],2)/HLOOKUP($A197,표1[#ALL],row(),false)</f>
        <v>#N/A</v>
      </c>
      <c r="J197" s="376" t="str">
        <f>CS_PID!J197/VLOOKUP($B197,표2[#ALL],2)/HLOOKUP($A197,표1[#ALL],row(),false)</f>
        <v>#N/A</v>
      </c>
      <c r="K197" s="376" t="str">
        <f>CS_PID!K197/VLOOKUP($B197,표2[#ALL],2)/HLOOKUP($A197,표1[#ALL],row(),false)</f>
        <v>#N/A</v>
      </c>
      <c r="L197" s="376" t="str">
        <f>CS_PID!L197/VLOOKUP($B197,표2[#ALL],2)/HLOOKUP($A197,표1[#ALL],row(),false)</f>
        <v>#N/A</v>
      </c>
      <c r="M197" s="376" t="str">
        <f>CS_PID!M197/VLOOKUP($B197,표2[#ALL],2)/HLOOKUP($A197,표1[#ALL],row(),false)</f>
        <v>#N/A</v>
      </c>
      <c r="N197" s="376" t="str">
        <f>CS_PID!N197/VLOOKUP($B197,표2[#ALL],2)/HLOOKUP($A197,표1[#ALL],row(),false)</f>
        <v>#N/A</v>
      </c>
      <c r="O197" s="376" t="str">
        <f>CS_PID!O197/VLOOKUP($B197,표2[#ALL],2)/HLOOKUP($A197,표1[#ALL],row(),false)</f>
        <v>#N/A</v>
      </c>
      <c r="P197" s="376" t="str">
        <f>CS_PID!P197/VLOOKUP($B197,표2[#ALL],2)/HLOOKUP($A197,표1[#ALL],row(),false)</f>
        <v>#N/A</v>
      </c>
      <c r="Q197" s="376" t="str">
        <f>CS_PID!Q197/VLOOKUP($B197,표2[#ALL],2)/HLOOKUP($A197,표1[#ALL],row(),false)</f>
        <v>#N/A</v>
      </c>
      <c r="R197" s="376" t="str">
        <f>CS_PID!R197/VLOOKUP($B197,표2[#ALL],2)/HLOOKUP($A197,표1[#ALL],row(),false)</f>
        <v>#N/A</v>
      </c>
      <c r="S197" s="376" t="str">
        <f>CS_PID!S197/VLOOKUP($B197,표2[#ALL],2)/HLOOKUP($A197,표1[#ALL],row(),false)</f>
        <v>#N/A</v>
      </c>
      <c r="T197" s="376" t="str">
        <f>CS_PID!T197/VLOOKUP($B197,표2[#ALL],2)/HLOOKUP($A197,표1[#ALL],row(),false)</f>
        <v>#N/A</v>
      </c>
      <c r="U197" s="376" t="str">
        <f>CS_PID!U197/VLOOKUP($B197,표2[#ALL],2)/HLOOKUP($A197,표1[#ALL],row(),false)</f>
        <v>#N/A</v>
      </c>
      <c r="V197" s="376" t="str">
        <f>CS_PID!V197/VLOOKUP($B197,표2[#ALL],2)/HLOOKUP($A197,표1[#ALL],row(),false)</f>
        <v>#N/A</v>
      </c>
      <c r="W197" s="376" t="str">
        <f>CS_PID!W197/VLOOKUP($B197,표2[#ALL],2)/HLOOKUP($A197,표1[#ALL],row(),false)</f>
        <v>#N/A</v>
      </c>
      <c r="X197" s="376" t="str">
        <f>CS_PID!X197/VLOOKUP($B197,표2[#ALL],2)/HLOOKUP($A197,표1[#ALL],row(),false)</f>
        <v>#N/A</v>
      </c>
      <c r="Y197" s="376" t="str">
        <f>CS_PID!Y197/VLOOKUP($B197,표2[#ALL],2)/HLOOKUP($A197,표1[#ALL],row(),false)</f>
        <v>#N/A</v>
      </c>
      <c r="Z197" s="376" t="str">
        <f>CS_PID!Z197/VLOOKUP($B197,표2[#ALL],2)/HLOOKUP($A197,표1[#ALL],row(),false)</f>
        <v>#N/A</v>
      </c>
      <c r="AA197" s="376" t="str">
        <f>CS_PID!AA197/VLOOKUP($B197,표2[#ALL],2)/HLOOKUP($A197,표1[#ALL],row(),false)</f>
        <v>#N/A</v>
      </c>
      <c r="AB197" s="376" t="str">
        <f>CS_PID!AB197/VLOOKUP($B197,표2[#ALL],2)/HLOOKUP($A197,표1[#ALL],row(),false)</f>
        <v>#N/A</v>
      </c>
      <c r="AC197" s="376" t="str">
        <f>CS_PID!AC197/VLOOKUP($B197,표2[#ALL],2)/HLOOKUP($A197,표1[#ALL],row(),false)</f>
        <v>#N/A</v>
      </c>
      <c r="AD197" s="376" t="str">
        <f>CS_PID!AD197/VLOOKUP($B197,표2[#ALL],2)/HLOOKUP($A197,표1[#ALL],row(),false)</f>
        <v>#N/A</v>
      </c>
      <c r="AE197" s="376" t="str">
        <f>CS_PID!AE197/VLOOKUP($B197,표2[#ALL],2)/HLOOKUP($A197,표1[#ALL],row(),false)</f>
        <v>#N/A</v>
      </c>
      <c r="AF197" s="376" t="str">
        <f>CS_PID!AF197/VLOOKUP($B197,표2[#ALL],2)/HLOOKUP($A197,표1[#ALL],row(),false)</f>
        <v>#N/A</v>
      </c>
      <c r="AG197" s="376" t="str">
        <f>CS_PID!AG197/VLOOKUP($B197,표2[#ALL],2)/HLOOKUP($A197,표1[#ALL],row(),false)</f>
        <v>#N/A</v>
      </c>
      <c r="AH197" s="376" t="str">
        <f>CS_PID!AH197/VLOOKUP($B197,표2[#ALL],2)/HLOOKUP($A197,표1[#ALL],row(),false)</f>
        <v>#N/A</v>
      </c>
      <c r="AI197" s="376" t="str">
        <f>CS_PID!AI197/VLOOKUP($B197,표2[#ALL],2)/HLOOKUP($A197,표1[#ALL],row(),false)</f>
        <v>#N/A</v>
      </c>
      <c r="AJ197" s="376" t="str">
        <f>CS_PID!AJ197/VLOOKUP($B197,표2[#ALL],2)/HLOOKUP($A197,표1[#ALL],row(),false)</f>
        <v>#N/A</v>
      </c>
      <c r="AK197" s="376" t="str">
        <f>CS_PID!AK197/VLOOKUP($B197,표2[#ALL],2)/HLOOKUP($A197,표1[#ALL],row(),false)</f>
        <v>#N/A</v>
      </c>
      <c r="AL197" s="376" t="str">
        <f>CS_PID!AL197/VLOOKUP($B197,표2[#ALL],2)/HLOOKUP($A197,표1[#ALL],row(),false)</f>
        <v>#N/A</v>
      </c>
      <c r="AM197" s="376" t="str">
        <f>CS_PID!AM197/VLOOKUP($B197,표2[#ALL],2)/HLOOKUP($A197,표1[#ALL],row(),false)</f>
        <v>#N/A</v>
      </c>
      <c r="AN197" s="376" t="str">
        <f>CS_PID!AN197/VLOOKUP($B197,표2[#ALL],2)/HLOOKUP($A197,표1[#ALL],row(),false)</f>
        <v>#N/A</v>
      </c>
      <c r="AO197" s="376" t="str">
        <f>CS_PID!AO197/VLOOKUP($B197,표2[#ALL],2)/HLOOKUP($A197,표1[#ALL],row(),false)</f>
        <v>#N/A</v>
      </c>
      <c r="AP197" s="376" t="str">
        <f>CS_PID!AP197/VLOOKUP($B197,표2[#ALL],2)/HLOOKUP($A197,표1[#ALL],row(),false)</f>
        <v>#N/A</v>
      </c>
      <c r="AQ197" s="376" t="str">
        <f>CS_PID!AQ197/VLOOKUP($B197,표2[#ALL],2)/HLOOKUP($A197,표1[#ALL],row(),false)</f>
        <v>#N/A</v>
      </c>
      <c r="AR197" s="376" t="str">
        <f>CS_PID!AR197/VLOOKUP($B197,표2[#ALL],2)/HLOOKUP($A197,표1[#ALL],row(),false)</f>
        <v>#N/A</v>
      </c>
      <c r="AS197" s="377" t="str">
        <f>CS_PID!AS197/VLOOKUP($B197,표2[#ALL],2)/HLOOKUP($A197,표1[#ALL],row(),false)</f>
        <v>#N/A</v>
      </c>
    </row>
    <row r="198">
      <c r="A198" s="370"/>
      <c r="B198" s="371"/>
      <c r="C198" s="372" t="str">
        <f>CS_PID!C198/VLOOKUP($B198,표2[#ALL],2)</f>
        <v>#N/A</v>
      </c>
      <c r="D198" s="372" t="str">
        <f>CS_PID!D198/VLOOKUP($B198,표2[#ALL],2)</f>
        <v>#N/A</v>
      </c>
      <c r="E198" s="372" t="str">
        <f>CS_PID!E198/VLOOKUP($B198,표2[#ALL],2)</f>
        <v>#N/A</v>
      </c>
      <c r="F198" s="372" t="str">
        <f>CS_PID!F198/VLOOKUP($B198,표2[#ALL],2)</f>
        <v>#N/A</v>
      </c>
      <c r="G198" s="372" t="str">
        <f>CS_PID!G198/VLOOKUP($B198,표2[#ALL],2)</f>
        <v>#N/A</v>
      </c>
      <c r="H198" s="372" t="str">
        <f>CS_PID!H198/VLOOKUP($B198,표2[#ALL],2)/HLOOKUP($A198,표1[#ALL],row(),false)</f>
        <v>#N/A</v>
      </c>
      <c r="I198" s="372" t="str">
        <f>CS_PID!I198/VLOOKUP($B198,표2[#ALL],2)/HLOOKUP($A198,표1[#ALL],row(),false)</f>
        <v>#N/A</v>
      </c>
      <c r="J198" s="372" t="str">
        <f>CS_PID!J198/VLOOKUP($B198,표2[#ALL],2)/HLOOKUP($A198,표1[#ALL],row(),false)</f>
        <v>#N/A</v>
      </c>
      <c r="K198" s="372" t="str">
        <f>CS_PID!K198/VLOOKUP($B198,표2[#ALL],2)/HLOOKUP($A198,표1[#ALL],row(),false)</f>
        <v>#N/A</v>
      </c>
      <c r="L198" s="372" t="str">
        <f>CS_PID!L198/VLOOKUP($B198,표2[#ALL],2)/HLOOKUP($A198,표1[#ALL],row(),false)</f>
        <v>#N/A</v>
      </c>
      <c r="M198" s="372" t="str">
        <f>CS_PID!M198/VLOOKUP($B198,표2[#ALL],2)/HLOOKUP($A198,표1[#ALL],row(),false)</f>
        <v>#N/A</v>
      </c>
      <c r="N198" s="372" t="str">
        <f>CS_PID!N198/VLOOKUP($B198,표2[#ALL],2)/HLOOKUP($A198,표1[#ALL],row(),false)</f>
        <v>#N/A</v>
      </c>
      <c r="O198" s="372" t="str">
        <f>CS_PID!O198/VLOOKUP($B198,표2[#ALL],2)/HLOOKUP($A198,표1[#ALL],row(),false)</f>
        <v>#N/A</v>
      </c>
      <c r="P198" s="372" t="str">
        <f>CS_PID!P198/VLOOKUP($B198,표2[#ALL],2)/HLOOKUP($A198,표1[#ALL],row(),false)</f>
        <v>#N/A</v>
      </c>
      <c r="Q198" s="372" t="str">
        <f>CS_PID!Q198/VLOOKUP($B198,표2[#ALL],2)/HLOOKUP($A198,표1[#ALL],row(),false)</f>
        <v>#N/A</v>
      </c>
      <c r="R198" s="372" t="str">
        <f>CS_PID!R198/VLOOKUP($B198,표2[#ALL],2)/HLOOKUP($A198,표1[#ALL],row(),false)</f>
        <v>#N/A</v>
      </c>
      <c r="S198" s="372" t="str">
        <f>CS_PID!S198/VLOOKUP($B198,표2[#ALL],2)/HLOOKUP($A198,표1[#ALL],row(),false)</f>
        <v>#N/A</v>
      </c>
      <c r="T198" s="372" t="str">
        <f>CS_PID!T198/VLOOKUP($B198,표2[#ALL],2)/HLOOKUP($A198,표1[#ALL],row(),false)</f>
        <v>#N/A</v>
      </c>
      <c r="U198" s="372" t="str">
        <f>CS_PID!U198/VLOOKUP($B198,표2[#ALL],2)/HLOOKUP($A198,표1[#ALL],row(),false)</f>
        <v>#N/A</v>
      </c>
      <c r="V198" s="372" t="str">
        <f>CS_PID!V198/VLOOKUP($B198,표2[#ALL],2)/HLOOKUP($A198,표1[#ALL],row(),false)</f>
        <v>#N/A</v>
      </c>
      <c r="W198" s="372" t="str">
        <f>CS_PID!W198/VLOOKUP($B198,표2[#ALL],2)/HLOOKUP($A198,표1[#ALL],row(),false)</f>
        <v>#N/A</v>
      </c>
      <c r="X198" s="372" t="str">
        <f>CS_PID!X198/VLOOKUP($B198,표2[#ALL],2)/HLOOKUP($A198,표1[#ALL],row(),false)</f>
        <v>#N/A</v>
      </c>
      <c r="Y198" s="372" t="str">
        <f>CS_PID!Y198/VLOOKUP($B198,표2[#ALL],2)/HLOOKUP($A198,표1[#ALL],row(),false)</f>
        <v>#N/A</v>
      </c>
      <c r="Z198" s="372" t="str">
        <f>CS_PID!Z198/VLOOKUP($B198,표2[#ALL],2)/HLOOKUP($A198,표1[#ALL],row(),false)</f>
        <v>#N/A</v>
      </c>
      <c r="AA198" s="372" t="str">
        <f>CS_PID!AA198/VLOOKUP($B198,표2[#ALL],2)/HLOOKUP($A198,표1[#ALL],row(),false)</f>
        <v>#N/A</v>
      </c>
      <c r="AB198" s="372" t="str">
        <f>CS_PID!AB198/VLOOKUP($B198,표2[#ALL],2)/HLOOKUP($A198,표1[#ALL],row(),false)</f>
        <v>#N/A</v>
      </c>
      <c r="AC198" s="372" t="str">
        <f>CS_PID!AC198/VLOOKUP($B198,표2[#ALL],2)/HLOOKUP($A198,표1[#ALL],row(),false)</f>
        <v>#N/A</v>
      </c>
      <c r="AD198" s="372" t="str">
        <f>CS_PID!AD198/VLOOKUP($B198,표2[#ALL],2)/HLOOKUP($A198,표1[#ALL],row(),false)</f>
        <v>#N/A</v>
      </c>
      <c r="AE198" s="372" t="str">
        <f>CS_PID!AE198/VLOOKUP($B198,표2[#ALL],2)/HLOOKUP($A198,표1[#ALL],row(),false)</f>
        <v>#N/A</v>
      </c>
      <c r="AF198" s="372" t="str">
        <f>CS_PID!AF198/VLOOKUP($B198,표2[#ALL],2)/HLOOKUP($A198,표1[#ALL],row(),false)</f>
        <v>#N/A</v>
      </c>
      <c r="AG198" s="372" t="str">
        <f>CS_PID!AG198/VLOOKUP($B198,표2[#ALL],2)/HLOOKUP($A198,표1[#ALL],row(),false)</f>
        <v>#N/A</v>
      </c>
      <c r="AH198" s="372" t="str">
        <f>CS_PID!AH198/VLOOKUP($B198,표2[#ALL],2)/HLOOKUP($A198,표1[#ALL],row(),false)</f>
        <v>#N/A</v>
      </c>
      <c r="AI198" s="372" t="str">
        <f>CS_PID!AI198/VLOOKUP($B198,표2[#ALL],2)/HLOOKUP($A198,표1[#ALL],row(),false)</f>
        <v>#N/A</v>
      </c>
      <c r="AJ198" s="372" t="str">
        <f>CS_PID!AJ198/VLOOKUP($B198,표2[#ALL],2)/HLOOKUP($A198,표1[#ALL],row(),false)</f>
        <v>#N/A</v>
      </c>
      <c r="AK198" s="372" t="str">
        <f>CS_PID!AK198/VLOOKUP($B198,표2[#ALL],2)/HLOOKUP($A198,표1[#ALL],row(),false)</f>
        <v>#N/A</v>
      </c>
      <c r="AL198" s="372" t="str">
        <f>CS_PID!AL198/VLOOKUP($B198,표2[#ALL],2)/HLOOKUP($A198,표1[#ALL],row(),false)</f>
        <v>#N/A</v>
      </c>
      <c r="AM198" s="372" t="str">
        <f>CS_PID!AM198/VLOOKUP($B198,표2[#ALL],2)/HLOOKUP($A198,표1[#ALL],row(),false)</f>
        <v>#N/A</v>
      </c>
      <c r="AN198" s="372" t="str">
        <f>CS_PID!AN198/VLOOKUP($B198,표2[#ALL],2)/HLOOKUP($A198,표1[#ALL],row(),false)</f>
        <v>#N/A</v>
      </c>
      <c r="AO198" s="372" t="str">
        <f>CS_PID!AO198/VLOOKUP($B198,표2[#ALL],2)/HLOOKUP($A198,표1[#ALL],row(),false)</f>
        <v>#N/A</v>
      </c>
      <c r="AP198" s="372" t="str">
        <f>CS_PID!AP198/VLOOKUP($B198,표2[#ALL],2)/HLOOKUP($A198,표1[#ALL],row(),false)</f>
        <v>#N/A</v>
      </c>
      <c r="AQ198" s="372" t="str">
        <f>CS_PID!AQ198/VLOOKUP($B198,표2[#ALL],2)/HLOOKUP($A198,표1[#ALL],row(),false)</f>
        <v>#N/A</v>
      </c>
      <c r="AR198" s="372" t="str">
        <f>CS_PID!AR198/VLOOKUP($B198,표2[#ALL],2)/HLOOKUP($A198,표1[#ALL],row(),false)</f>
        <v>#N/A</v>
      </c>
      <c r="AS198" s="373" t="str">
        <f>CS_PID!AS198/VLOOKUP($B198,표2[#ALL],2)/HLOOKUP($A198,표1[#ALL],row(),false)</f>
        <v>#N/A</v>
      </c>
    </row>
    <row r="199">
      <c r="A199" s="374"/>
      <c r="B199" s="375"/>
      <c r="C199" s="376" t="str">
        <f>CS_PID!C199/VLOOKUP($B199,표2[#ALL],2)</f>
        <v>#N/A</v>
      </c>
      <c r="D199" s="376" t="str">
        <f>CS_PID!D199/VLOOKUP($B199,표2[#ALL],2)</f>
        <v>#N/A</v>
      </c>
      <c r="E199" s="376" t="str">
        <f>CS_PID!E199/VLOOKUP($B199,표2[#ALL],2)</f>
        <v>#N/A</v>
      </c>
      <c r="F199" s="376" t="str">
        <f>CS_PID!F199/VLOOKUP($B199,표2[#ALL],2)</f>
        <v>#N/A</v>
      </c>
      <c r="G199" s="376" t="str">
        <f>CS_PID!G199/VLOOKUP($B199,표2[#ALL],2)</f>
        <v>#N/A</v>
      </c>
      <c r="H199" s="376" t="str">
        <f>CS_PID!H199/VLOOKUP($B199,표2[#ALL],2)/HLOOKUP($A199,표1[#ALL],row(),false)</f>
        <v>#N/A</v>
      </c>
      <c r="I199" s="376" t="str">
        <f>CS_PID!I199/VLOOKUP($B199,표2[#ALL],2)/HLOOKUP($A199,표1[#ALL],row(),false)</f>
        <v>#N/A</v>
      </c>
      <c r="J199" s="376" t="str">
        <f>CS_PID!J199/VLOOKUP($B199,표2[#ALL],2)/HLOOKUP($A199,표1[#ALL],row(),false)</f>
        <v>#N/A</v>
      </c>
      <c r="K199" s="376" t="str">
        <f>CS_PID!K199/VLOOKUP($B199,표2[#ALL],2)/HLOOKUP($A199,표1[#ALL],row(),false)</f>
        <v>#N/A</v>
      </c>
      <c r="L199" s="376" t="str">
        <f>CS_PID!L199/VLOOKUP($B199,표2[#ALL],2)/HLOOKUP($A199,표1[#ALL],row(),false)</f>
        <v>#N/A</v>
      </c>
      <c r="M199" s="376" t="str">
        <f>CS_PID!M199/VLOOKUP($B199,표2[#ALL],2)/HLOOKUP($A199,표1[#ALL],row(),false)</f>
        <v>#N/A</v>
      </c>
      <c r="N199" s="376" t="str">
        <f>CS_PID!N199/VLOOKUP($B199,표2[#ALL],2)/HLOOKUP($A199,표1[#ALL],row(),false)</f>
        <v>#N/A</v>
      </c>
      <c r="O199" s="376" t="str">
        <f>CS_PID!O199/VLOOKUP($B199,표2[#ALL],2)/HLOOKUP($A199,표1[#ALL],row(),false)</f>
        <v>#N/A</v>
      </c>
      <c r="P199" s="376" t="str">
        <f>CS_PID!P199/VLOOKUP($B199,표2[#ALL],2)/HLOOKUP($A199,표1[#ALL],row(),false)</f>
        <v>#N/A</v>
      </c>
      <c r="Q199" s="376" t="str">
        <f>CS_PID!Q199/VLOOKUP($B199,표2[#ALL],2)/HLOOKUP($A199,표1[#ALL],row(),false)</f>
        <v>#N/A</v>
      </c>
      <c r="R199" s="376" t="str">
        <f>CS_PID!R199/VLOOKUP($B199,표2[#ALL],2)/HLOOKUP($A199,표1[#ALL],row(),false)</f>
        <v>#N/A</v>
      </c>
      <c r="S199" s="376" t="str">
        <f>CS_PID!S199/VLOOKUP($B199,표2[#ALL],2)/HLOOKUP($A199,표1[#ALL],row(),false)</f>
        <v>#N/A</v>
      </c>
      <c r="T199" s="376" t="str">
        <f>CS_PID!T199/VLOOKUP($B199,표2[#ALL],2)/HLOOKUP($A199,표1[#ALL],row(),false)</f>
        <v>#N/A</v>
      </c>
      <c r="U199" s="376" t="str">
        <f>CS_PID!U199/VLOOKUP($B199,표2[#ALL],2)/HLOOKUP($A199,표1[#ALL],row(),false)</f>
        <v>#N/A</v>
      </c>
      <c r="V199" s="376" t="str">
        <f>CS_PID!V199/VLOOKUP($B199,표2[#ALL],2)/HLOOKUP($A199,표1[#ALL],row(),false)</f>
        <v>#N/A</v>
      </c>
      <c r="W199" s="376" t="str">
        <f>CS_PID!W199/VLOOKUP($B199,표2[#ALL],2)/HLOOKUP($A199,표1[#ALL],row(),false)</f>
        <v>#N/A</v>
      </c>
      <c r="X199" s="376" t="str">
        <f>CS_PID!X199/VLOOKUP($B199,표2[#ALL],2)/HLOOKUP($A199,표1[#ALL],row(),false)</f>
        <v>#N/A</v>
      </c>
      <c r="Y199" s="376" t="str">
        <f>CS_PID!Y199/VLOOKUP($B199,표2[#ALL],2)/HLOOKUP($A199,표1[#ALL],row(),false)</f>
        <v>#N/A</v>
      </c>
      <c r="Z199" s="376" t="str">
        <f>CS_PID!Z199/VLOOKUP($B199,표2[#ALL],2)/HLOOKUP($A199,표1[#ALL],row(),false)</f>
        <v>#N/A</v>
      </c>
      <c r="AA199" s="376" t="str">
        <f>CS_PID!AA199/VLOOKUP($B199,표2[#ALL],2)/HLOOKUP($A199,표1[#ALL],row(),false)</f>
        <v>#N/A</v>
      </c>
      <c r="AB199" s="376" t="str">
        <f>CS_PID!AB199/VLOOKUP($B199,표2[#ALL],2)/HLOOKUP($A199,표1[#ALL],row(),false)</f>
        <v>#N/A</v>
      </c>
      <c r="AC199" s="376" t="str">
        <f>CS_PID!AC199/VLOOKUP($B199,표2[#ALL],2)/HLOOKUP($A199,표1[#ALL],row(),false)</f>
        <v>#N/A</v>
      </c>
      <c r="AD199" s="376" t="str">
        <f>CS_PID!AD199/VLOOKUP($B199,표2[#ALL],2)/HLOOKUP($A199,표1[#ALL],row(),false)</f>
        <v>#N/A</v>
      </c>
      <c r="AE199" s="376" t="str">
        <f>CS_PID!AE199/VLOOKUP($B199,표2[#ALL],2)/HLOOKUP($A199,표1[#ALL],row(),false)</f>
        <v>#N/A</v>
      </c>
      <c r="AF199" s="376" t="str">
        <f>CS_PID!AF199/VLOOKUP($B199,표2[#ALL],2)/HLOOKUP($A199,표1[#ALL],row(),false)</f>
        <v>#N/A</v>
      </c>
      <c r="AG199" s="376" t="str">
        <f>CS_PID!AG199/VLOOKUP($B199,표2[#ALL],2)/HLOOKUP($A199,표1[#ALL],row(),false)</f>
        <v>#N/A</v>
      </c>
      <c r="AH199" s="376" t="str">
        <f>CS_PID!AH199/VLOOKUP($B199,표2[#ALL],2)/HLOOKUP($A199,표1[#ALL],row(),false)</f>
        <v>#N/A</v>
      </c>
      <c r="AI199" s="376" t="str">
        <f>CS_PID!AI199/VLOOKUP($B199,표2[#ALL],2)/HLOOKUP($A199,표1[#ALL],row(),false)</f>
        <v>#N/A</v>
      </c>
      <c r="AJ199" s="376" t="str">
        <f>CS_PID!AJ199/VLOOKUP($B199,표2[#ALL],2)/HLOOKUP($A199,표1[#ALL],row(),false)</f>
        <v>#N/A</v>
      </c>
      <c r="AK199" s="376" t="str">
        <f>CS_PID!AK199/VLOOKUP($B199,표2[#ALL],2)/HLOOKUP($A199,표1[#ALL],row(),false)</f>
        <v>#N/A</v>
      </c>
      <c r="AL199" s="376" t="str">
        <f>CS_PID!AL199/VLOOKUP($B199,표2[#ALL],2)/HLOOKUP($A199,표1[#ALL],row(),false)</f>
        <v>#N/A</v>
      </c>
      <c r="AM199" s="376" t="str">
        <f>CS_PID!AM199/VLOOKUP($B199,표2[#ALL],2)/HLOOKUP($A199,표1[#ALL],row(),false)</f>
        <v>#N/A</v>
      </c>
      <c r="AN199" s="376" t="str">
        <f>CS_PID!AN199/VLOOKUP($B199,표2[#ALL],2)/HLOOKUP($A199,표1[#ALL],row(),false)</f>
        <v>#N/A</v>
      </c>
      <c r="AO199" s="376" t="str">
        <f>CS_PID!AO199/VLOOKUP($B199,표2[#ALL],2)/HLOOKUP($A199,표1[#ALL],row(),false)</f>
        <v>#N/A</v>
      </c>
      <c r="AP199" s="376" t="str">
        <f>CS_PID!AP199/VLOOKUP($B199,표2[#ALL],2)/HLOOKUP($A199,표1[#ALL],row(),false)</f>
        <v>#N/A</v>
      </c>
      <c r="AQ199" s="376" t="str">
        <f>CS_PID!AQ199/VLOOKUP($B199,표2[#ALL],2)/HLOOKUP($A199,표1[#ALL],row(),false)</f>
        <v>#N/A</v>
      </c>
      <c r="AR199" s="376" t="str">
        <f>CS_PID!AR199/VLOOKUP($B199,표2[#ALL],2)/HLOOKUP($A199,표1[#ALL],row(),false)</f>
        <v>#N/A</v>
      </c>
      <c r="AS199" s="377" t="str">
        <f>CS_PID!AS199/VLOOKUP($B199,표2[#ALL],2)/HLOOKUP($A199,표1[#ALL],row(),false)</f>
        <v>#N/A</v>
      </c>
    </row>
    <row r="200">
      <c r="A200" s="370"/>
      <c r="B200" s="371"/>
      <c r="C200" s="372" t="str">
        <f>CS_PID!C200/VLOOKUP($B200,표2[#ALL],2)</f>
        <v>#N/A</v>
      </c>
      <c r="D200" s="372" t="str">
        <f>CS_PID!D200/VLOOKUP($B200,표2[#ALL],2)</f>
        <v>#N/A</v>
      </c>
      <c r="E200" s="372" t="str">
        <f>CS_PID!E200/VLOOKUP($B200,표2[#ALL],2)</f>
        <v>#N/A</v>
      </c>
      <c r="F200" s="372" t="str">
        <f>CS_PID!F200/VLOOKUP($B200,표2[#ALL],2)</f>
        <v>#N/A</v>
      </c>
      <c r="G200" s="372" t="str">
        <f>CS_PID!G200/VLOOKUP($B200,표2[#ALL],2)</f>
        <v>#N/A</v>
      </c>
      <c r="H200" s="372" t="str">
        <f>CS_PID!H200/VLOOKUP($B200,표2[#ALL],2)/HLOOKUP($A200,표1[#ALL],row(),false)</f>
        <v>#N/A</v>
      </c>
      <c r="I200" s="372" t="str">
        <f>CS_PID!I200/VLOOKUP($B200,표2[#ALL],2)/HLOOKUP($A200,표1[#ALL],row(),false)</f>
        <v>#N/A</v>
      </c>
      <c r="J200" s="372" t="str">
        <f>CS_PID!J200/VLOOKUP($B200,표2[#ALL],2)/HLOOKUP($A200,표1[#ALL],row(),false)</f>
        <v>#N/A</v>
      </c>
      <c r="K200" s="372" t="str">
        <f>CS_PID!K200/VLOOKUP($B200,표2[#ALL],2)/HLOOKUP($A200,표1[#ALL],row(),false)</f>
        <v>#N/A</v>
      </c>
      <c r="L200" s="372" t="str">
        <f>CS_PID!L200/VLOOKUP($B200,표2[#ALL],2)/HLOOKUP($A200,표1[#ALL],row(),false)</f>
        <v>#N/A</v>
      </c>
      <c r="M200" s="372" t="str">
        <f>CS_PID!M200/VLOOKUP($B200,표2[#ALL],2)/HLOOKUP($A200,표1[#ALL],row(),false)</f>
        <v>#N/A</v>
      </c>
      <c r="N200" s="372" t="str">
        <f>CS_PID!N200/VLOOKUP($B200,표2[#ALL],2)/HLOOKUP($A200,표1[#ALL],row(),false)</f>
        <v>#N/A</v>
      </c>
      <c r="O200" s="372" t="str">
        <f>CS_PID!O200/VLOOKUP($B200,표2[#ALL],2)/HLOOKUP($A200,표1[#ALL],row(),false)</f>
        <v>#N/A</v>
      </c>
      <c r="P200" s="372" t="str">
        <f>CS_PID!P200/VLOOKUP($B200,표2[#ALL],2)/HLOOKUP($A200,표1[#ALL],row(),false)</f>
        <v>#N/A</v>
      </c>
      <c r="Q200" s="372" t="str">
        <f>CS_PID!Q200/VLOOKUP($B200,표2[#ALL],2)/HLOOKUP($A200,표1[#ALL],row(),false)</f>
        <v>#N/A</v>
      </c>
      <c r="R200" s="372" t="str">
        <f>CS_PID!R200/VLOOKUP($B200,표2[#ALL],2)/HLOOKUP($A200,표1[#ALL],row(),false)</f>
        <v>#N/A</v>
      </c>
      <c r="S200" s="372" t="str">
        <f>CS_PID!S200/VLOOKUP($B200,표2[#ALL],2)/HLOOKUP($A200,표1[#ALL],row(),false)</f>
        <v>#N/A</v>
      </c>
      <c r="T200" s="372" t="str">
        <f>CS_PID!T200/VLOOKUP($B200,표2[#ALL],2)/HLOOKUP($A200,표1[#ALL],row(),false)</f>
        <v>#N/A</v>
      </c>
      <c r="U200" s="372" t="str">
        <f>CS_PID!U200/VLOOKUP($B200,표2[#ALL],2)/HLOOKUP($A200,표1[#ALL],row(),false)</f>
        <v>#N/A</v>
      </c>
      <c r="V200" s="372" t="str">
        <f>CS_PID!V200/VLOOKUP($B200,표2[#ALL],2)/HLOOKUP($A200,표1[#ALL],row(),false)</f>
        <v>#N/A</v>
      </c>
      <c r="W200" s="372" t="str">
        <f>CS_PID!W200/VLOOKUP($B200,표2[#ALL],2)/HLOOKUP($A200,표1[#ALL],row(),false)</f>
        <v>#N/A</v>
      </c>
      <c r="X200" s="372" t="str">
        <f>CS_PID!X200/VLOOKUP($B200,표2[#ALL],2)/HLOOKUP($A200,표1[#ALL],row(),false)</f>
        <v>#N/A</v>
      </c>
      <c r="Y200" s="372" t="str">
        <f>CS_PID!Y200/VLOOKUP($B200,표2[#ALL],2)/HLOOKUP($A200,표1[#ALL],row(),false)</f>
        <v>#N/A</v>
      </c>
      <c r="Z200" s="372" t="str">
        <f>CS_PID!Z200/VLOOKUP($B200,표2[#ALL],2)/HLOOKUP($A200,표1[#ALL],row(),false)</f>
        <v>#N/A</v>
      </c>
      <c r="AA200" s="372" t="str">
        <f>CS_PID!AA200/VLOOKUP($B200,표2[#ALL],2)/HLOOKUP($A200,표1[#ALL],row(),false)</f>
        <v>#N/A</v>
      </c>
      <c r="AB200" s="372" t="str">
        <f>CS_PID!AB200/VLOOKUP($B200,표2[#ALL],2)/HLOOKUP($A200,표1[#ALL],row(),false)</f>
        <v>#N/A</v>
      </c>
      <c r="AC200" s="372" t="str">
        <f>CS_PID!AC200/VLOOKUP($B200,표2[#ALL],2)/HLOOKUP($A200,표1[#ALL],row(),false)</f>
        <v>#N/A</v>
      </c>
      <c r="AD200" s="372" t="str">
        <f>CS_PID!AD200/VLOOKUP($B200,표2[#ALL],2)/HLOOKUP($A200,표1[#ALL],row(),false)</f>
        <v>#N/A</v>
      </c>
      <c r="AE200" s="372" t="str">
        <f>CS_PID!AE200/VLOOKUP($B200,표2[#ALL],2)/HLOOKUP($A200,표1[#ALL],row(),false)</f>
        <v>#N/A</v>
      </c>
      <c r="AF200" s="372" t="str">
        <f>CS_PID!AF200/VLOOKUP($B200,표2[#ALL],2)/HLOOKUP($A200,표1[#ALL],row(),false)</f>
        <v>#N/A</v>
      </c>
      <c r="AG200" s="372" t="str">
        <f>CS_PID!AG200/VLOOKUP($B200,표2[#ALL],2)/HLOOKUP($A200,표1[#ALL],row(),false)</f>
        <v>#N/A</v>
      </c>
      <c r="AH200" s="372" t="str">
        <f>CS_PID!AH200/VLOOKUP($B200,표2[#ALL],2)/HLOOKUP($A200,표1[#ALL],row(),false)</f>
        <v>#N/A</v>
      </c>
      <c r="AI200" s="372" t="str">
        <f>CS_PID!AI200/VLOOKUP($B200,표2[#ALL],2)/HLOOKUP($A200,표1[#ALL],row(),false)</f>
        <v>#N/A</v>
      </c>
      <c r="AJ200" s="372" t="str">
        <f>CS_PID!AJ200/VLOOKUP($B200,표2[#ALL],2)/HLOOKUP($A200,표1[#ALL],row(),false)</f>
        <v>#N/A</v>
      </c>
      <c r="AK200" s="372" t="str">
        <f>CS_PID!AK200/VLOOKUP($B200,표2[#ALL],2)/HLOOKUP($A200,표1[#ALL],row(),false)</f>
        <v>#N/A</v>
      </c>
      <c r="AL200" s="372" t="str">
        <f>CS_PID!AL200/VLOOKUP($B200,표2[#ALL],2)/HLOOKUP($A200,표1[#ALL],row(),false)</f>
        <v>#N/A</v>
      </c>
      <c r="AM200" s="372" t="str">
        <f>CS_PID!AM200/VLOOKUP($B200,표2[#ALL],2)/HLOOKUP($A200,표1[#ALL],row(),false)</f>
        <v>#N/A</v>
      </c>
      <c r="AN200" s="372" t="str">
        <f>CS_PID!AN200/VLOOKUP($B200,표2[#ALL],2)/HLOOKUP($A200,표1[#ALL],row(),false)</f>
        <v>#N/A</v>
      </c>
      <c r="AO200" s="372" t="str">
        <f>CS_PID!AO200/VLOOKUP($B200,표2[#ALL],2)/HLOOKUP($A200,표1[#ALL],row(),false)</f>
        <v>#N/A</v>
      </c>
      <c r="AP200" s="372" t="str">
        <f>CS_PID!AP200/VLOOKUP($B200,표2[#ALL],2)/HLOOKUP($A200,표1[#ALL],row(),false)</f>
        <v>#N/A</v>
      </c>
      <c r="AQ200" s="372" t="str">
        <f>CS_PID!AQ200/VLOOKUP($B200,표2[#ALL],2)/HLOOKUP($A200,표1[#ALL],row(),false)</f>
        <v>#N/A</v>
      </c>
      <c r="AR200" s="372" t="str">
        <f>CS_PID!AR200/VLOOKUP($B200,표2[#ALL],2)/HLOOKUP($A200,표1[#ALL],row(),false)</f>
        <v>#N/A</v>
      </c>
      <c r="AS200" s="373" t="str">
        <f>CS_PID!AS200/VLOOKUP($B200,표2[#ALL],2)/HLOOKUP($A200,표1[#ALL],row(),false)</f>
        <v>#N/A</v>
      </c>
    </row>
    <row r="201">
      <c r="A201" s="374"/>
      <c r="B201" s="375"/>
      <c r="C201" s="376" t="str">
        <f>CS_PID!C201/VLOOKUP($B201,표2[#ALL],2)</f>
        <v>#N/A</v>
      </c>
      <c r="D201" s="376" t="str">
        <f>CS_PID!D201/VLOOKUP($B201,표2[#ALL],2)</f>
        <v>#N/A</v>
      </c>
      <c r="E201" s="376" t="str">
        <f>CS_PID!E201/VLOOKUP($B201,표2[#ALL],2)</f>
        <v>#N/A</v>
      </c>
      <c r="F201" s="376" t="str">
        <f>CS_PID!F201/VLOOKUP($B201,표2[#ALL],2)</f>
        <v>#N/A</v>
      </c>
      <c r="G201" s="376" t="str">
        <f>CS_PID!G201/VLOOKUP($B201,표2[#ALL],2)</f>
        <v>#N/A</v>
      </c>
      <c r="H201" s="376" t="str">
        <f>CS_PID!H201/VLOOKUP($B201,표2[#ALL],2)/HLOOKUP($A201,표1[#ALL],row(),false)</f>
        <v>#N/A</v>
      </c>
      <c r="I201" s="376" t="str">
        <f>CS_PID!I201/VLOOKUP($B201,표2[#ALL],2)/HLOOKUP($A201,표1[#ALL],row(),false)</f>
        <v>#N/A</v>
      </c>
      <c r="J201" s="376" t="str">
        <f>CS_PID!J201/VLOOKUP($B201,표2[#ALL],2)/HLOOKUP($A201,표1[#ALL],row(),false)</f>
        <v>#N/A</v>
      </c>
      <c r="K201" s="376" t="str">
        <f>CS_PID!K201/VLOOKUP($B201,표2[#ALL],2)/HLOOKUP($A201,표1[#ALL],row(),false)</f>
        <v>#N/A</v>
      </c>
      <c r="L201" s="376" t="str">
        <f>CS_PID!L201/VLOOKUP($B201,표2[#ALL],2)/HLOOKUP($A201,표1[#ALL],row(),false)</f>
        <v>#N/A</v>
      </c>
      <c r="M201" s="376" t="str">
        <f>CS_PID!M201/VLOOKUP($B201,표2[#ALL],2)/HLOOKUP($A201,표1[#ALL],row(),false)</f>
        <v>#N/A</v>
      </c>
      <c r="N201" s="376" t="str">
        <f>CS_PID!N201/VLOOKUP($B201,표2[#ALL],2)/HLOOKUP($A201,표1[#ALL],row(),false)</f>
        <v>#N/A</v>
      </c>
      <c r="O201" s="376" t="str">
        <f>CS_PID!O201/VLOOKUP($B201,표2[#ALL],2)/HLOOKUP($A201,표1[#ALL],row(),false)</f>
        <v>#N/A</v>
      </c>
      <c r="P201" s="376" t="str">
        <f>CS_PID!P201/VLOOKUP($B201,표2[#ALL],2)/HLOOKUP($A201,표1[#ALL],row(),false)</f>
        <v>#N/A</v>
      </c>
      <c r="Q201" s="376" t="str">
        <f>CS_PID!Q201/VLOOKUP($B201,표2[#ALL],2)/HLOOKUP($A201,표1[#ALL],row(),false)</f>
        <v>#N/A</v>
      </c>
      <c r="R201" s="376" t="str">
        <f>CS_PID!R201/VLOOKUP($B201,표2[#ALL],2)/HLOOKUP($A201,표1[#ALL],row(),false)</f>
        <v>#N/A</v>
      </c>
      <c r="S201" s="376" t="str">
        <f>CS_PID!S201/VLOOKUP($B201,표2[#ALL],2)/HLOOKUP($A201,표1[#ALL],row(),false)</f>
        <v>#N/A</v>
      </c>
      <c r="T201" s="376" t="str">
        <f>CS_PID!T201/VLOOKUP($B201,표2[#ALL],2)/HLOOKUP($A201,표1[#ALL],row(),false)</f>
        <v>#N/A</v>
      </c>
      <c r="U201" s="376" t="str">
        <f>CS_PID!U201/VLOOKUP($B201,표2[#ALL],2)/HLOOKUP($A201,표1[#ALL],row(),false)</f>
        <v>#N/A</v>
      </c>
      <c r="V201" s="376" t="str">
        <f>CS_PID!V201/VLOOKUP($B201,표2[#ALL],2)/HLOOKUP($A201,표1[#ALL],row(),false)</f>
        <v>#N/A</v>
      </c>
      <c r="W201" s="376" t="str">
        <f>CS_PID!W201/VLOOKUP($B201,표2[#ALL],2)/HLOOKUP($A201,표1[#ALL],row(),false)</f>
        <v>#N/A</v>
      </c>
      <c r="X201" s="376" t="str">
        <f>CS_PID!X201/VLOOKUP($B201,표2[#ALL],2)/HLOOKUP($A201,표1[#ALL],row(),false)</f>
        <v>#N/A</v>
      </c>
      <c r="Y201" s="376" t="str">
        <f>CS_PID!Y201/VLOOKUP($B201,표2[#ALL],2)/HLOOKUP($A201,표1[#ALL],row(),false)</f>
        <v>#N/A</v>
      </c>
      <c r="Z201" s="376" t="str">
        <f>CS_PID!Z201/VLOOKUP($B201,표2[#ALL],2)/HLOOKUP($A201,표1[#ALL],row(),false)</f>
        <v>#N/A</v>
      </c>
      <c r="AA201" s="376" t="str">
        <f>CS_PID!AA201/VLOOKUP($B201,표2[#ALL],2)/HLOOKUP($A201,표1[#ALL],row(),false)</f>
        <v>#N/A</v>
      </c>
      <c r="AB201" s="376" t="str">
        <f>CS_PID!AB201/VLOOKUP($B201,표2[#ALL],2)/HLOOKUP($A201,표1[#ALL],row(),false)</f>
        <v>#N/A</v>
      </c>
      <c r="AC201" s="376" t="str">
        <f>CS_PID!AC201/VLOOKUP($B201,표2[#ALL],2)/HLOOKUP($A201,표1[#ALL],row(),false)</f>
        <v>#N/A</v>
      </c>
      <c r="AD201" s="376" t="str">
        <f>CS_PID!AD201/VLOOKUP($B201,표2[#ALL],2)/HLOOKUP($A201,표1[#ALL],row(),false)</f>
        <v>#N/A</v>
      </c>
      <c r="AE201" s="376" t="str">
        <f>CS_PID!AE201/VLOOKUP($B201,표2[#ALL],2)/HLOOKUP($A201,표1[#ALL],row(),false)</f>
        <v>#N/A</v>
      </c>
      <c r="AF201" s="376" t="str">
        <f>CS_PID!AF201/VLOOKUP($B201,표2[#ALL],2)/HLOOKUP($A201,표1[#ALL],row(),false)</f>
        <v>#N/A</v>
      </c>
      <c r="AG201" s="376" t="str">
        <f>CS_PID!AG201/VLOOKUP($B201,표2[#ALL],2)/HLOOKUP($A201,표1[#ALL],row(),false)</f>
        <v>#N/A</v>
      </c>
      <c r="AH201" s="376" t="str">
        <f>CS_PID!AH201/VLOOKUP($B201,표2[#ALL],2)/HLOOKUP($A201,표1[#ALL],row(),false)</f>
        <v>#N/A</v>
      </c>
      <c r="AI201" s="376" t="str">
        <f>CS_PID!AI201/VLOOKUP($B201,표2[#ALL],2)/HLOOKUP($A201,표1[#ALL],row(),false)</f>
        <v>#N/A</v>
      </c>
      <c r="AJ201" s="376" t="str">
        <f>CS_PID!AJ201/VLOOKUP($B201,표2[#ALL],2)/HLOOKUP($A201,표1[#ALL],row(),false)</f>
        <v>#N/A</v>
      </c>
      <c r="AK201" s="376" t="str">
        <f>CS_PID!AK201/VLOOKUP($B201,표2[#ALL],2)/HLOOKUP($A201,표1[#ALL],row(),false)</f>
        <v>#N/A</v>
      </c>
      <c r="AL201" s="376" t="str">
        <f>CS_PID!AL201/VLOOKUP($B201,표2[#ALL],2)/HLOOKUP($A201,표1[#ALL],row(),false)</f>
        <v>#N/A</v>
      </c>
      <c r="AM201" s="376" t="str">
        <f>CS_PID!AM201/VLOOKUP($B201,표2[#ALL],2)/HLOOKUP($A201,표1[#ALL],row(),false)</f>
        <v>#N/A</v>
      </c>
      <c r="AN201" s="376" t="str">
        <f>CS_PID!AN201/VLOOKUP($B201,표2[#ALL],2)/HLOOKUP($A201,표1[#ALL],row(),false)</f>
        <v>#N/A</v>
      </c>
      <c r="AO201" s="376" t="str">
        <f>CS_PID!AO201/VLOOKUP($B201,표2[#ALL],2)/HLOOKUP($A201,표1[#ALL],row(),false)</f>
        <v>#N/A</v>
      </c>
      <c r="AP201" s="376" t="str">
        <f>CS_PID!AP201/VLOOKUP($B201,표2[#ALL],2)/HLOOKUP($A201,표1[#ALL],row(),false)</f>
        <v>#N/A</v>
      </c>
      <c r="AQ201" s="376" t="str">
        <f>CS_PID!AQ201/VLOOKUP($B201,표2[#ALL],2)/HLOOKUP($A201,표1[#ALL],row(),false)</f>
        <v>#N/A</v>
      </c>
      <c r="AR201" s="376" t="str">
        <f>CS_PID!AR201/VLOOKUP($B201,표2[#ALL],2)/HLOOKUP($A201,표1[#ALL],row(),false)</f>
        <v>#N/A</v>
      </c>
      <c r="AS201" s="377" t="str">
        <f>CS_PID!AS201/VLOOKUP($B201,표2[#ALL],2)/HLOOKUP($A201,표1[#ALL],row(),false)</f>
        <v>#N/A</v>
      </c>
    </row>
    <row r="202">
      <c r="A202" s="370"/>
      <c r="B202" s="371"/>
      <c r="C202" s="372" t="str">
        <f>CS_PID!C202/VLOOKUP($B202,표2[#ALL],2)</f>
        <v>#N/A</v>
      </c>
      <c r="D202" s="372" t="str">
        <f>CS_PID!D202/VLOOKUP($B202,표2[#ALL],2)</f>
        <v>#N/A</v>
      </c>
      <c r="E202" s="372" t="str">
        <f>CS_PID!E202/VLOOKUP($B202,표2[#ALL],2)</f>
        <v>#N/A</v>
      </c>
      <c r="F202" s="372" t="str">
        <f>CS_PID!F202/VLOOKUP($B202,표2[#ALL],2)</f>
        <v>#N/A</v>
      </c>
      <c r="G202" s="372" t="str">
        <f>CS_PID!G202/VLOOKUP($B202,표2[#ALL],2)</f>
        <v>#N/A</v>
      </c>
      <c r="H202" s="372" t="str">
        <f>CS_PID!H202/VLOOKUP($B202,표2[#ALL],2)/HLOOKUP($A202,표1[#ALL],row(),false)</f>
        <v>#N/A</v>
      </c>
      <c r="I202" s="372" t="str">
        <f>CS_PID!I202/VLOOKUP($B202,표2[#ALL],2)/HLOOKUP($A202,표1[#ALL],row(),false)</f>
        <v>#N/A</v>
      </c>
      <c r="J202" s="372" t="str">
        <f>CS_PID!J202/VLOOKUP($B202,표2[#ALL],2)/HLOOKUP($A202,표1[#ALL],row(),false)</f>
        <v>#N/A</v>
      </c>
      <c r="K202" s="372" t="str">
        <f>CS_PID!K202/VLOOKUP($B202,표2[#ALL],2)/HLOOKUP($A202,표1[#ALL],row(),false)</f>
        <v>#N/A</v>
      </c>
      <c r="L202" s="372" t="str">
        <f>CS_PID!L202/VLOOKUP($B202,표2[#ALL],2)/HLOOKUP($A202,표1[#ALL],row(),false)</f>
        <v>#N/A</v>
      </c>
      <c r="M202" s="372" t="str">
        <f>CS_PID!M202/VLOOKUP($B202,표2[#ALL],2)/HLOOKUP($A202,표1[#ALL],row(),false)</f>
        <v>#N/A</v>
      </c>
      <c r="N202" s="372" t="str">
        <f>CS_PID!N202/VLOOKUP($B202,표2[#ALL],2)/HLOOKUP($A202,표1[#ALL],row(),false)</f>
        <v>#N/A</v>
      </c>
      <c r="O202" s="372" t="str">
        <f>CS_PID!O202/VLOOKUP($B202,표2[#ALL],2)/HLOOKUP($A202,표1[#ALL],row(),false)</f>
        <v>#N/A</v>
      </c>
      <c r="P202" s="372" t="str">
        <f>CS_PID!P202/VLOOKUP($B202,표2[#ALL],2)/HLOOKUP($A202,표1[#ALL],row(),false)</f>
        <v>#N/A</v>
      </c>
      <c r="Q202" s="372" t="str">
        <f>CS_PID!Q202/VLOOKUP($B202,표2[#ALL],2)/HLOOKUP($A202,표1[#ALL],row(),false)</f>
        <v>#N/A</v>
      </c>
      <c r="R202" s="372" t="str">
        <f>CS_PID!R202/VLOOKUP($B202,표2[#ALL],2)/HLOOKUP($A202,표1[#ALL],row(),false)</f>
        <v>#N/A</v>
      </c>
      <c r="S202" s="372" t="str">
        <f>CS_PID!S202/VLOOKUP($B202,표2[#ALL],2)/HLOOKUP($A202,표1[#ALL],row(),false)</f>
        <v>#N/A</v>
      </c>
      <c r="T202" s="372" t="str">
        <f>CS_PID!T202/VLOOKUP($B202,표2[#ALL],2)/HLOOKUP($A202,표1[#ALL],row(),false)</f>
        <v>#N/A</v>
      </c>
      <c r="U202" s="372" t="str">
        <f>CS_PID!U202/VLOOKUP($B202,표2[#ALL],2)/HLOOKUP($A202,표1[#ALL],row(),false)</f>
        <v>#N/A</v>
      </c>
      <c r="V202" s="372" t="str">
        <f>CS_PID!V202/VLOOKUP($B202,표2[#ALL],2)/HLOOKUP($A202,표1[#ALL],row(),false)</f>
        <v>#N/A</v>
      </c>
      <c r="W202" s="372" t="str">
        <f>CS_PID!W202/VLOOKUP($B202,표2[#ALL],2)/HLOOKUP($A202,표1[#ALL],row(),false)</f>
        <v>#N/A</v>
      </c>
      <c r="X202" s="372" t="str">
        <f>CS_PID!X202/VLOOKUP($B202,표2[#ALL],2)/HLOOKUP($A202,표1[#ALL],row(),false)</f>
        <v>#N/A</v>
      </c>
      <c r="Y202" s="372" t="str">
        <f>CS_PID!Y202/VLOOKUP($B202,표2[#ALL],2)/HLOOKUP($A202,표1[#ALL],row(),false)</f>
        <v>#N/A</v>
      </c>
      <c r="Z202" s="372" t="str">
        <f>CS_PID!Z202/VLOOKUP($B202,표2[#ALL],2)/HLOOKUP($A202,표1[#ALL],row(),false)</f>
        <v>#N/A</v>
      </c>
      <c r="AA202" s="372" t="str">
        <f>CS_PID!AA202/VLOOKUP($B202,표2[#ALL],2)/HLOOKUP($A202,표1[#ALL],row(),false)</f>
        <v>#N/A</v>
      </c>
      <c r="AB202" s="372" t="str">
        <f>CS_PID!AB202/VLOOKUP($B202,표2[#ALL],2)/HLOOKUP($A202,표1[#ALL],row(),false)</f>
        <v>#N/A</v>
      </c>
      <c r="AC202" s="372" t="str">
        <f>CS_PID!AC202/VLOOKUP($B202,표2[#ALL],2)/HLOOKUP($A202,표1[#ALL],row(),false)</f>
        <v>#N/A</v>
      </c>
      <c r="AD202" s="372" t="str">
        <f>CS_PID!AD202/VLOOKUP($B202,표2[#ALL],2)/HLOOKUP($A202,표1[#ALL],row(),false)</f>
        <v>#N/A</v>
      </c>
      <c r="AE202" s="372" t="str">
        <f>CS_PID!AE202/VLOOKUP($B202,표2[#ALL],2)/HLOOKUP($A202,표1[#ALL],row(),false)</f>
        <v>#N/A</v>
      </c>
      <c r="AF202" s="372" t="str">
        <f>CS_PID!AF202/VLOOKUP($B202,표2[#ALL],2)/HLOOKUP($A202,표1[#ALL],row(),false)</f>
        <v>#N/A</v>
      </c>
      <c r="AG202" s="372" t="str">
        <f>CS_PID!AG202/VLOOKUP($B202,표2[#ALL],2)/HLOOKUP($A202,표1[#ALL],row(),false)</f>
        <v>#N/A</v>
      </c>
      <c r="AH202" s="372" t="str">
        <f>CS_PID!AH202/VLOOKUP($B202,표2[#ALL],2)/HLOOKUP($A202,표1[#ALL],row(),false)</f>
        <v>#N/A</v>
      </c>
      <c r="AI202" s="372" t="str">
        <f>CS_PID!AI202/VLOOKUP($B202,표2[#ALL],2)/HLOOKUP($A202,표1[#ALL],row(),false)</f>
        <v>#N/A</v>
      </c>
      <c r="AJ202" s="372" t="str">
        <f>CS_PID!AJ202/VLOOKUP($B202,표2[#ALL],2)/HLOOKUP($A202,표1[#ALL],row(),false)</f>
        <v>#N/A</v>
      </c>
      <c r="AK202" s="372" t="str">
        <f>CS_PID!AK202/VLOOKUP($B202,표2[#ALL],2)/HLOOKUP($A202,표1[#ALL],row(),false)</f>
        <v>#N/A</v>
      </c>
      <c r="AL202" s="372" t="str">
        <f>CS_PID!AL202/VLOOKUP($B202,표2[#ALL],2)/HLOOKUP($A202,표1[#ALL],row(),false)</f>
        <v>#N/A</v>
      </c>
      <c r="AM202" s="372" t="str">
        <f>CS_PID!AM202/VLOOKUP($B202,표2[#ALL],2)/HLOOKUP($A202,표1[#ALL],row(),false)</f>
        <v>#N/A</v>
      </c>
      <c r="AN202" s="372" t="str">
        <f>CS_PID!AN202/VLOOKUP($B202,표2[#ALL],2)/HLOOKUP($A202,표1[#ALL],row(),false)</f>
        <v>#N/A</v>
      </c>
      <c r="AO202" s="372" t="str">
        <f>CS_PID!AO202/VLOOKUP($B202,표2[#ALL],2)/HLOOKUP($A202,표1[#ALL],row(),false)</f>
        <v>#N/A</v>
      </c>
      <c r="AP202" s="372" t="str">
        <f>CS_PID!AP202/VLOOKUP($B202,표2[#ALL],2)/HLOOKUP($A202,표1[#ALL],row(),false)</f>
        <v>#N/A</v>
      </c>
      <c r="AQ202" s="372" t="str">
        <f>CS_PID!AQ202/VLOOKUP($B202,표2[#ALL],2)/HLOOKUP($A202,표1[#ALL],row(),false)</f>
        <v>#N/A</v>
      </c>
      <c r="AR202" s="372" t="str">
        <f>CS_PID!AR202/VLOOKUP($B202,표2[#ALL],2)/HLOOKUP($A202,표1[#ALL],row(),false)</f>
        <v>#N/A</v>
      </c>
      <c r="AS202" s="373" t="str">
        <f>CS_PID!AS202/VLOOKUP($B202,표2[#ALL],2)/HLOOKUP($A202,표1[#ALL],row(),false)</f>
        <v>#N/A</v>
      </c>
    </row>
    <row r="203">
      <c r="A203" s="374"/>
      <c r="B203" s="375"/>
      <c r="C203" s="376" t="str">
        <f>CS_PID!C203/VLOOKUP($B203,표2[#ALL],2)</f>
        <v>#N/A</v>
      </c>
      <c r="D203" s="376" t="str">
        <f>CS_PID!D203/VLOOKUP($B203,표2[#ALL],2)</f>
        <v>#N/A</v>
      </c>
      <c r="E203" s="376" t="str">
        <f>CS_PID!E203/VLOOKUP($B203,표2[#ALL],2)</f>
        <v>#N/A</v>
      </c>
      <c r="F203" s="376" t="str">
        <f>CS_PID!F203/VLOOKUP($B203,표2[#ALL],2)</f>
        <v>#N/A</v>
      </c>
      <c r="G203" s="376" t="str">
        <f>CS_PID!G203/VLOOKUP($B203,표2[#ALL],2)</f>
        <v>#N/A</v>
      </c>
      <c r="H203" s="376" t="str">
        <f>CS_PID!H203/VLOOKUP($B203,표2[#ALL],2)/HLOOKUP($A203,표1[#ALL],row(),false)</f>
        <v>#N/A</v>
      </c>
      <c r="I203" s="376" t="str">
        <f>CS_PID!I203/VLOOKUP($B203,표2[#ALL],2)/HLOOKUP($A203,표1[#ALL],row(),false)</f>
        <v>#N/A</v>
      </c>
      <c r="J203" s="376" t="str">
        <f>CS_PID!J203/VLOOKUP($B203,표2[#ALL],2)/HLOOKUP($A203,표1[#ALL],row(),false)</f>
        <v>#N/A</v>
      </c>
      <c r="K203" s="376" t="str">
        <f>CS_PID!K203/VLOOKUP($B203,표2[#ALL],2)/HLOOKUP($A203,표1[#ALL],row(),false)</f>
        <v>#N/A</v>
      </c>
      <c r="L203" s="376" t="str">
        <f>CS_PID!L203/VLOOKUP($B203,표2[#ALL],2)/HLOOKUP($A203,표1[#ALL],row(),false)</f>
        <v>#N/A</v>
      </c>
      <c r="M203" s="376" t="str">
        <f>CS_PID!M203/VLOOKUP($B203,표2[#ALL],2)/HLOOKUP($A203,표1[#ALL],row(),false)</f>
        <v>#N/A</v>
      </c>
      <c r="N203" s="376" t="str">
        <f>CS_PID!N203/VLOOKUP($B203,표2[#ALL],2)/HLOOKUP($A203,표1[#ALL],row(),false)</f>
        <v>#N/A</v>
      </c>
      <c r="O203" s="376" t="str">
        <f>CS_PID!O203/VLOOKUP($B203,표2[#ALL],2)/HLOOKUP($A203,표1[#ALL],row(),false)</f>
        <v>#N/A</v>
      </c>
      <c r="P203" s="376" t="str">
        <f>CS_PID!P203/VLOOKUP($B203,표2[#ALL],2)/HLOOKUP($A203,표1[#ALL],row(),false)</f>
        <v>#N/A</v>
      </c>
      <c r="Q203" s="376" t="str">
        <f>CS_PID!Q203/VLOOKUP($B203,표2[#ALL],2)/HLOOKUP($A203,표1[#ALL],row(),false)</f>
        <v>#N/A</v>
      </c>
      <c r="R203" s="376" t="str">
        <f>CS_PID!R203/VLOOKUP($B203,표2[#ALL],2)/HLOOKUP($A203,표1[#ALL],row(),false)</f>
        <v>#N/A</v>
      </c>
      <c r="S203" s="376" t="str">
        <f>CS_PID!S203/VLOOKUP($B203,표2[#ALL],2)/HLOOKUP($A203,표1[#ALL],row(),false)</f>
        <v>#N/A</v>
      </c>
      <c r="T203" s="376" t="str">
        <f>CS_PID!T203/VLOOKUP($B203,표2[#ALL],2)/HLOOKUP($A203,표1[#ALL],row(),false)</f>
        <v>#N/A</v>
      </c>
      <c r="U203" s="376" t="str">
        <f>CS_PID!U203/VLOOKUP($B203,표2[#ALL],2)/HLOOKUP($A203,표1[#ALL],row(),false)</f>
        <v>#N/A</v>
      </c>
      <c r="V203" s="376" t="str">
        <f>CS_PID!V203/VLOOKUP($B203,표2[#ALL],2)/HLOOKUP($A203,표1[#ALL],row(),false)</f>
        <v>#N/A</v>
      </c>
      <c r="W203" s="376" t="str">
        <f>CS_PID!W203/VLOOKUP($B203,표2[#ALL],2)/HLOOKUP($A203,표1[#ALL],row(),false)</f>
        <v>#N/A</v>
      </c>
      <c r="X203" s="376" t="str">
        <f>CS_PID!X203/VLOOKUP($B203,표2[#ALL],2)/HLOOKUP($A203,표1[#ALL],row(),false)</f>
        <v>#N/A</v>
      </c>
      <c r="Y203" s="376" t="str">
        <f>CS_PID!Y203/VLOOKUP($B203,표2[#ALL],2)/HLOOKUP($A203,표1[#ALL],row(),false)</f>
        <v>#N/A</v>
      </c>
      <c r="Z203" s="376" t="str">
        <f>CS_PID!Z203/VLOOKUP($B203,표2[#ALL],2)/HLOOKUP($A203,표1[#ALL],row(),false)</f>
        <v>#N/A</v>
      </c>
      <c r="AA203" s="376" t="str">
        <f>CS_PID!AA203/VLOOKUP($B203,표2[#ALL],2)/HLOOKUP($A203,표1[#ALL],row(),false)</f>
        <v>#N/A</v>
      </c>
      <c r="AB203" s="376" t="str">
        <f>CS_PID!AB203/VLOOKUP($B203,표2[#ALL],2)/HLOOKUP($A203,표1[#ALL],row(),false)</f>
        <v>#N/A</v>
      </c>
      <c r="AC203" s="376" t="str">
        <f>CS_PID!AC203/VLOOKUP($B203,표2[#ALL],2)/HLOOKUP($A203,표1[#ALL],row(),false)</f>
        <v>#N/A</v>
      </c>
      <c r="AD203" s="376" t="str">
        <f>CS_PID!AD203/VLOOKUP($B203,표2[#ALL],2)/HLOOKUP($A203,표1[#ALL],row(),false)</f>
        <v>#N/A</v>
      </c>
      <c r="AE203" s="376" t="str">
        <f>CS_PID!AE203/VLOOKUP($B203,표2[#ALL],2)/HLOOKUP($A203,표1[#ALL],row(),false)</f>
        <v>#N/A</v>
      </c>
      <c r="AF203" s="376" t="str">
        <f>CS_PID!AF203/VLOOKUP($B203,표2[#ALL],2)/HLOOKUP($A203,표1[#ALL],row(),false)</f>
        <v>#N/A</v>
      </c>
      <c r="AG203" s="376" t="str">
        <f>CS_PID!AG203/VLOOKUP($B203,표2[#ALL],2)/HLOOKUP($A203,표1[#ALL],row(),false)</f>
        <v>#N/A</v>
      </c>
      <c r="AH203" s="376" t="str">
        <f>CS_PID!AH203/VLOOKUP($B203,표2[#ALL],2)/HLOOKUP($A203,표1[#ALL],row(),false)</f>
        <v>#N/A</v>
      </c>
      <c r="AI203" s="376" t="str">
        <f>CS_PID!AI203/VLOOKUP($B203,표2[#ALL],2)/HLOOKUP($A203,표1[#ALL],row(),false)</f>
        <v>#N/A</v>
      </c>
      <c r="AJ203" s="376" t="str">
        <f>CS_PID!AJ203/VLOOKUP($B203,표2[#ALL],2)/HLOOKUP($A203,표1[#ALL],row(),false)</f>
        <v>#N/A</v>
      </c>
      <c r="AK203" s="376" t="str">
        <f>CS_PID!AK203/VLOOKUP($B203,표2[#ALL],2)/HLOOKUP($A203,표1[#ALL],row(),false)</f>
        <v>#N/A</v>
      </c>
      <c r="AL203" s="376" t="str">
        <f>CS_PID!AL203/VLOOKUP($B203,표2[#ALL],2)/HLOOKUP($A203,표1[#ALL],row(),false)</f>
        <v>#N/A</v>
      </c>
      <c r="AM203" s="376" t="str">
        <f>CS_PID!AM203/VLOOKUP($B203,표2[#ALL],2)/HLOOKUP($A203,표1[#ALL],row(),false)</f>
        <v>#N/A</v>
      </c>
      <c r="AN203" s="376" t="str">
        <f>CS_PID!AN203/VLOOKUP($B203,표2[#ALL],2)/HLOOKUP($A203,표1[#ALL],row(),false)</f>
        <v>#N/A</v>
      </c>
      <c r="AO203" s="376" t="str">
        <f>CS_PID!AO203/VLOOKUP($B203,표2[#ALL],2)/HLOOKUP($A203,표1[#ALL],row(),false)</f>
        <v>#N/A</v>
      </c>
      <c r="AP203" s="376" t="str">
        <f>CS_PID!AP203/VLOOKUP($B203,표2[#ALL],2)/HLOOKUP($A203,표1[#ALL],row(),false)</f>
        <v>#N/A</v>
      </c>
      <c r="AQ203" s="376" t="str">
        <f>CS_PID!AQ203/VLOOKUP($B203,표2[#ALL],2)/HLOOKUP($A203,표1[#ALL],row(),false)</f>
        <v>#N/A</v>
      </c>
      <c r="AR203" s="376" t="str">
        <f>CS_PID!AR203/VLOOKUP($B203,표2[#ALL],2)/HLOOKUP($A203,표1[#ALL],row(),false)</f>
        <v>#N/A</v>
      </c>
      <c r="AS203" s="377" t="str">
        <f>CS_PID!AS203/VLOOKUP($B203,표2[#ALL],2)/HLOOKUP($A203,표1[#ALL],row(),false)</f>
        <v>#N/A</v>
      </c>
    </row>
    <row r="204">
      <c r="A204" s="370"/>
      <c r="B204" s="371"/>
      <c r="C204" s="372" t="str">
        <f>CS_PID!C204/VLOOKUP($B204,표2[#ALL],2)</f>
        <v>#N/A</v>
      </c>
      <c r="D204" s="372" t="str">
        <f>CS_PID!D204/VLOOKUP($B204,표2[#ALL],2)</f>
        <v>#N/A</v>
      </c>
      <c r="E204" s="372" t="str">
        <f>CS_PID!E204/VLOOKUP($B204,표2[#ALL],2)</f>
        <v>#N/A</v>
      </c>
      <c r="F204" s="372" t="str">
        <f>CS_PID!F204/VLOOKUP($B204,표2[#ALL],2)</f>
        <v>#N/A</v>
      </c>
      <c r="G204" s="372" t="str">
        <f>CS_PID!G204/VLOOKUP($B204,표2[#ALL],2)</f>
        <v>#N/A</v>
      </c>
      <c r="H204" s="372" t="str">
        <f>CS_PID!H204/VLOOKUP($B204,표2[#ALL],2)/HLOOKUP($A204,표1[#ALL],row(),false)</f>
        <v>#N/A</v>
      </c>
      <c r="I204" s="372" t="str">
        <f>CS_PID!I204/VLOOKUP($B204,표2[#ALL],2)/HLOOKUP($A204,표1[#ALL],row(),false)</f>
        <v>#N/A</v>
      </c>
      <c r="J204" s="372" t="str">
        <f>CS_PID!J204/VLOOKUP($B204,표2[#ALL],2)/HLOOKUP($A204,표1[#ALL],row(),false)</f>
        <v>#N/A</v>
      </c>
      <c r="K204" s="372" t="str">
        <f>CS_PID!K204/VLOOKUP($B204,표2[#ALL],2)/HLOOKUP($A204,표1[#ALL],row(),false)</f>
        <v>#N/A</v>
      </c>
      <c r="L204" s="372" t="str">
        <f>CS_PID!L204/VLOOKUP($B204,표2[#ALL],2)/HLOOKUP($A204,표1[#ALL],row(),false)</f>
        <v>#N/A</v>
      </c>
      <c r="M204" s="372" t="str">
        <f>CS_PID!M204/VLOOKUP($B204,표2[#ALL],2)/HLOOKUP($A204,표1[#ALL],row(),false)</f>
        <v>#N/A</v>
      </c>
      <c r="N204" s="372" t="str">
        <f>CS_PID!N204/VLOOKUP($B204,표2[#ALL],2)/HLOOKUP($A204,표1[#ALL],row(),false)</f>
        <v>#N/A</v>
      </c>
      <c r="O204" s="372" t="str">
        <f>CS_PID!O204/VLOOKUP($B204,표2[#ALL],2)/HLOOKUP($A204,표1[#ALL],row(),false)</f>
        <v>#N/A</v>
      </c>
      <c r="P204" s="372" t="str">
        <f>CS_PID!P204/VLOOKUP($B204,표2[#ALL],2)/HLOOKUP($A204,표1[#ALL],row(),false)</f>
        <v>#N/A</v>
      </c>
      <c r="Q204" s="372" t="str">
        <f>CS_PID!Q204/VLOOKUP($B204,표2[#ALL],2)/HLOOKUP($A204,표1[#ALL],row(),false)</f>
        <v>#N/A</v>
      </c>
      <c r="R204" s="372" t="str">
        <f>CS_PID!R204/VLOOKUP($B204,표2[#ALL],2)/HLOOKUP($A204,표1[#ALL],row(),false)</f>
        <v>#N/A</v>
      </c>
      <c r="S204" s="372" t="str">
        <f>CS_PID!S204/VLOOKUP($B204,표2[#ALL],2)/HLOOKUP($A204,표1[#ALL],row(),false)</f>
        <v>#N/A</v>
      </c>
      <c r="T204" s="372" t="str">
        <f>CS_PID!T204/VLOOKUP($B204,표2[#ALL],2)/HLOOKUP($A204,표1[#ALL],row(),false)</f>
        <v>#N/A</v>
      </c>
      <c r="U204" s="372" t="str">
        <f>CS_PID!U204/VLOOKUP($B204,표2[#ALL],2)/HLOOKUP($A204,표1[#ALL],row(),false)</f>
        <v>#N/A</v>
      </c>
      <c r="V204" s="372" t="str">
        <f>CS_PID!V204/VLOOKUP($B204,표2[#ALL],2)/HLOOKUP($A204,표1[#ALL],row(),false)</f>
        <v>#N/A</v>
      </c>
      <c r="W204" s="372" t="str">
        <f>CS_PID!W204/VLOOKUP($B204,표2[#ALL],2)/HLOOKUP($A204,표1[#ALL],row(),false)</f>
        <v>#N/A</v>
      </c>
      <c r="X204" s="372" t="str">
        <f>CS_PID!X204/VLOOKUP($B204,표2[#ALL],2)/HLOOKUP($A204,표1[#ALL],row(),false)</f>
        <v>#N/A</v>
      </c>
      <c r="Y204" s="372" t="str">
        <f>CS_PID!Y204/VLOOKUP($B204,표2[#ALL],2)/HLOOKUP($A204,표1[#ALL],row(),false)</f>
        <v>#N/A</v>
      </c>
      <c r="Z204" s="372" t="str">
        <f>CS_PID!Z204/VLOOKUP($B204,표2[#ALL],2)/HLOOKUP($A204,표1[#ALL],row(),false)</f>
        <v>#N/A</v>
      </c>
      <c r="AA204" s="372" t="str">
        <f>CS_PID!AA204/VLOOKUP($B204,표2[#ALL],2)/HLOOKUP($A204,표1[#ALL],row(),false)</f>
        <v>#N/A</v>
      </c>
      <c r="AB204" s="372" t="str">
        <f>CS_PID!AB204/VLOOKUP($B204,표2[#ALL],2)/HLOOKUP($A204,표1[#ALL],row(),false)</f>
        <v>#N/A</v>
      </c>
      <c r="AC204" s="372" t="str">
        <f>CS_PID!AC204/VLOOKUP($B204,표2[#ALL],2)/HLOOKUP($A204,표1[#ALL],row(),false)</f>
        <v>#N/A</v>
      </c>
      <c r="AD204" s="372" t="str">
        <f>CS_PID!AD204/VLOOKUP($B204,표2[#ALL],2)/HLOOKUP($A204,표1[#ALL],row(),false)</f>
        <v>#N/A</v>
      </c>
      <c r="AE204" s="372" t="str">
        <f>CS_PID!AE204/VLOOKUP($B204,표2[#ALL],2)/HLOOKUP($A204,표1[#ALL],row(),false)</f>
        <v>#N/A</v>
      </c>
      <c r="AF204" s="372" t="str">
        <f>CS_PID!AF204/VLOOKUP($B204,표2[#ALL],2)/HLOOKUP($A204,표1[#ALL],row(),false)</f>
        <v>#N/A</v>
      </c>
      <c r="AG204" s="372" t="str">
        <f>CS_PID!AG204/VLOOKUP($B204,표2[#ALL],2)/HLOOKUP($A204,표1[#ALL],row(),false)</f>
        <v>#N/A</v>
      </c>
      <c r="AH204" s="372" t="str">
        <f>CS_PID!AH204/VLOOKUP($B204,표2[#ALL],2)/HLOOKUP($A204,표1[#ALL],row(),false)</f>
        <v>#N/A</v>
      </c>
      <c r="AI204" s="372" t="str">
        <f>CS_PID!AI204/VLOOKUP($B204,표2[#ALL],2)/HLOOKUP($A204,표1[#ALL],row(),false)</f>
        <v>#N/A</v>
      </c>
      <c r="AJ204" s="372" t="str">
        <f>CS_PID!AJ204/VLOOKUP($B204,표2[#ALL],2)/HLOOKUP($A204,표1[#ALL],row(),false)</f>
        <v>#N/A</v>
      </c>
      <c r="AK204" s="372" t="str">
        <f>CS_PID!AK204/VLOOKUP($B204,표2[#ALL],2)/HLOOKUP($A204,표1[#ALL],row(),false)</f>
        <v>#N/A</v>
      </c>
      <c r="AL204" s="372" t="str">
        <f>CS_PID!AL204/VLOOKUP($B204,표2[#ALL],2)/HLOOKUP($A204,표1[#ALL],row(),false)</f>
        <v>#N/A</v>
      </c>
      <c r="AM204" s="372" t="str">
        <f>CS_PID!AM204/VLOOKUP($B204,표2[#ALL],2)/HLOOKUP($A204,표1[#ALL],row(),false)</f>
        <v>#N/A</v>
      </c>
      <c r="AN204" s="372" t="str">
        <f>CS_PID!AN204/VLOOKUP($B204,표2[#ALL],2)/HLOOKUP($A204,표1[#ALL],row(),false)</f>
        <v>#N/A</v>
      </c>
      <c r="AO204" s="372" t="str">
        <f>CS_PID!AO204/VLOOKUP($B204,표2[#ALL],2)/HLOOKUP($A204,표1[#ALL],row(),false)</f>
        <v>#N/A</v>
      </c>
      <c r="AP204" s="372" t="str">
        <f>CS_PID!AP204/VLOOKUP($B204,표2[#ALL],2)/HLOOKUP($A204,표1[#ALL],row(),false)</f>
        <v>#N/A</v>
      </c>
      <c r="AQ204" s="372" t="str">
        <f>CS_PID!AQ204/VLOOKUP($B204,표2[#ALL],2)/HLOOKUP($A204,표1[#ALL],row(),false)</f>
        <v>#N/A</v>
      </c>
      <c r="AR204" s="372" t="str">
        <f>CS_PID!AR204/VLOOKUP($B204,표2[#ALL],2)/HLOOKUP($A204,표1[#ALL],row(),false)</f>
        <v>#N/A</v>
      </c>
      <c r="AS204" s="373" t="str">
        <f>CS_PID!AS204/VLOOKUP($B204,표2[#ALL],2)/HLOOKUP($A204,표1[#ALL],row(),false)</f>
        <v>#N/A</v>
      </c>
    </row>
    <row r="205">
      <c r="A205" s="374"/>
      <c r="B205" s="375"/>
      <c r="C205" s="376" t="str">
        <f>CS_PID!C205/VLOOKUP($B205,표2[#ALL],2)</f>
        <v>#N/A</v>
      </c>
      <c r="D205" s="376" t="str">
        <f>CS_PID!D205/VLOOKUP($B205,표2[#ALL],2)</f>
        <v>#N/A</v>
      </c>
      <c r="E205" s="376" t="str">
        <f>CS_PID!E205/VLOOKUP($B205,표2[#ALL],2)</f>
        <v>#N/A</v>
      </c>
      <c r="F205" s="376" t="str">
        <f>CS_PID!F205/VLOOKUP($B205,표2[#ALL],2)</f>
        <v>#N/A</v>
      </c>
      <c r="G205" s="376" t="str">
        <f>CS_PID!G205/VLOOKUP($B205,표2[#ALL],2)</f>
        <v>#N/A</v>
      </c>
      <c r="H205" s="376" t="str">
        <f>CS_PID!H205/VLOOKUP($B205,표2[#ALL],2)/HLOOKUP($A205,표1[#ALL],row(),false)</f>
        <v>#N/A</v>
      </c>
      <c r="I205" s="376" t="str">
        <f>CS_PID!I205/VLOOKUP($B205,표2[#ALL],2)/HLOOKUP($A205,표1[#ALL],row(),false)</f>
        <v>#N/A</v>
      </c>
      <c r="J205" s="376" t="str">
        <f>CS_PID!J205/VLOOKUP($B205,표2[#ALL],2)/HLOOKUP($A205,표1[#ALL],row(),false)</f>
        <v>#N/A</v>
      </c>
      <c r="K205" s="376" t="str">
        <f>CS_PID!K205/VLOOKUP($B205,표2[#ALL],2)/HLOOKUP($A205,표1[#ALL],row(),false)</f>
        <v>#N/A</v>
      </c>
      <c r="L205" s="376" t="str">
        <f>CS_PID!L205/VLOOKUP($B205,표2[#ALL],2)/HLOOKUP($A205,표1[#ALL],row(),false)</f>
        <v>#N/A</v>
      </c>
      <c r="M205" s="376" t="str">
        <f>CS_PID!M205/VLOOKUP($B205,표2[#ALL],2)/HLOOKUP($A205,표1[#ALL],row(),false)</f>
        <v>#N/A</v>
      </c>
      <c r="N205" s="376" t="str">
        <f>CS_PID!N205/VLOOKUP($B205,표2[#ALL],2)/HLOOKUP($A205,표1[#ALL],row(),false)</f>
        <v>#N/A</v>
      </c>
      <c r="O205" s="376" t="str">
        <f>CS_PID!O205/VLOOKUP($B205,표2[#ALL],2)/HLOOKUP($A205,표1[#ALL],row(),false)</f>
        <v>#N/A</v>
      </c>
      <c r="P205" s="376" t="str">
        <f>CS_PID!P205/VLOOKUP($B205,표2[#ALL],2)/HLOOKUP($A205,표1[#ALL],row(),false)</f>
        <v>#N/A</v>
      </c>
      <c r="Q205" s="376" t="str">
        <f>CS_PID!Q205/VLOOKUP($B205,표2[#ALL],2)/HLOOKUP($A205,표1[#ALL],row(),false)</f>
        <v>#N/A</v>
      </c>
      <c r="R205" s="376" t="str">
        <f>CS_PID!R205/VLOOKUP($B205,표2[#ALL],2)/HLOOKUP($A205,표1[#ALL],row(),false)</f>
        <v>#N/A</v>
      </c>
      <c r="S205" s="376" t="str">
        <f>CS_PID!S205/VLOOKUP($B205,표2[#ALL],2)/HLOOKUP($A205,표1[#ALL],row(),false)</f>
        <v>#N/A</v>
      </c>
      <c r="T205" s="376" t="str">
        <f>CS_PID!T205/VLOOKUP($B205,표2[#ALL],2)/HLOOKUP($A205,표1[#ALL],row(),false)</f>
        <v>#N/A</v>
      </c>
      <c r="U205" s="376" t="str">
        <f>CS_PID!U205/VLOOKUP($B205,표2[#ALL],2)/HLOOKUP($A205,표1[#ALL],row(),false)</f>
        <v>#N/A</v>
      </c>
      <c r="V205" s="376" t="str">
        <f>CS_PID!V205/VLOOKUP($B205,표2[#ALL],2)/HLOOKUP($A205,표1[#ALL],row(),false)</f>
        <v>#N/A</v>
      </c>
      <c r="W205" s="376" t="str">
        <f>CS_PID!W205/VLOOKUP($B205,표2[#ALL],2)/HLOOKUP($A205,표1[#ALL],row(),false)</f>
        <v>#N/A</v>
      </c>
      <c r="X205" s="376" t="str">
        <f>CS_PID!X205/VLOOKUP($B205,표2[#ALL],2)/HLOOKUP($A205,표1[#ALL],row(),false)</f>
        <v>#N/A</v>
      </c>
      <c r="Y205" s="376" t="str">
        <f>CS_PID!Y205/VLOOKUP($B205,표2[#ALL],2)/HLOOKUP($A205,표1[#ALL],row(),false)</f>
        <v>#N/A</v>
      </c>
      <c r="Z205" s="376" t="str">
        <f>CS_PID!Z205/VLOOKUP($B205,표2[#ALL],2)/HLOOKUP($A205,표1[#ALL],row(),false)</f>
        <v>#N/A</v>
      </c>
      <c r="AA205" s="376" t="str">
        <f>CS_PID!AA205/VLOOKUP($B205,표2[#ALL],2)/HLOOKUP($A205,표1[#ALL],row(),false)</f>
        <v>#N/A</v>
      </c>
      <c r="AB205" s="376" t="str">
        <f>CS_PID!AB205/VLOOKUP($B205,표2[#ALL],2)/HLOOKUP($A205,표1[#ALL],row(),false)</f>
        <v>#N/A</v>
      </c>
      <c r="AC205" s="376" t="str">
        <f>CS_PID!AC205/VLOOKUP($B205,표2[#ALL],2)/HLOOKUP($A205,표1[#ALL],row(),false)</f>
        <v>#N/A</v>
      </c>
      <c r="AD205" s="376" t="str">
        <f>CS_PID!AD205/VLOOKUP($B205,표2[#ALL],2)/HLOOKUP($A205,표1[#ALL],row(),false)</f>
        <v>#N/A</v>
      </c>
      <c r="AE205" s="376" t="str">
        <f>CS_PID!AE205/VLOOKUP($B205,표2[#ALL],2)/HLOOKUP($A205,표1[#ALL],row(),false)</f>
        <v>#N/A</v>
      </c>
      <c r="AF205" s="376" t="str">
        <f>CS_PID!AF205/VLOOKUP($B205,표2[#ALL],2)/HLOOKUP($A205,표1[#ALL],row(),false)</f>
        <v>#N/A</v>
      </c>
      <c r="AG205" s="376" t="str">
        <f>CS_PID!AG205/VLOOKUP($B205,표2[#ALL],2)/HLOOKUP($A205,표1[#ALL],row(),false)</f>
        <v>#N/A</v>
      </c>
      <c r="AH205" s="376" t="str">
        <f>CS_PID!AH205/VLOOKUP($B205,표2[#ALL],2)/HLOOKUP($A205,표1[#ALL],row(),false)</f>
        <v>#N/A</v>
      </c>
      <c r="AI205" s="376" t="str">
        <f>CS_PID!AI205/VLOOKUP($B205,표2[#ALL],2)/HLOOKUP($A205,표1[#ALL],row(),false)</f>
        <v>#N/A</v>
      </c>
      <c r="AJ205" s="376" t="str">
        <f>CS_PID!AJ205/VLOOKUP($B205,표2[#ALL],2)/HLOOKUP($A205,표1[#ALL],row(),false)</f>
        <v>#N/A</v>
      </c>
      <c r="AK205" s="376" t="str">
        <f>CS_PID!AK205/VLOOKUP($B205,표2[#ALL],2)/HLOOKUP($A205,표1[#ALL],row(),false)</f>
        <v>#N/A</v>
      </c>
      <c r="AL205" s="376" t="str">
        <f>CS_PID!AL205/VLOOKUP($B205,표2[#ALL],2)/HLOOKUP($A205,표1[#ALL],row(),false)</f>
        <v>#N/A</v>
      </c>
      <c r="AM205" s="376" t="str">
        <f>CS_PID!AM205/VLOOKUP($B205,표2[#ALL],2)/HLOOKUP($A205,표1[#ALL],row(),false)</f>
        <v>#N/A</v>
      </c>
      <c r="AN205" s="376" t="str">
        <f>CS_PID!AN205/VLOOKUP($B205,표2[#ALL],2)/HLOOKUP($A205,표1[#ALL],row(),false)</f>
        <v>#N/A</v>
      </c>
      <c r="AO205" s="376" t="str">
        <f>CS_PID!AO205/VLOOKUP($B205,표2[#ALL],2)/HLOOKUP($A205,표1[#ALL],row(),false)</f>
        <v>#N/A</v>
      </c>
      <c r="AP205" s="376" t="str">
        <f>CS_PID!AP205/VLOOKUP($B205,표2[#ALL],2)/HLOOKUP($A205,표1[#ALL],row(),false)</f>
        <v>#N/A</v>
      </c>
      <c r="AQ205" s="376" t="str">
        <f>CS_PID!AQ205/VLOOKUP($B205,표2[#ALL],2)/HLOOKUP($A205,표1[#ALL],row(),false)</f>
        <v>#N/A</v>
      </c>
      <c r="AR205" s="376" t="str">
        <f>CS_PID!AR205/VLOOKUP($B205,표2[#ALL],2)/HLOOKUP($A205,표1[#ALL],row(),false)</f>
        <v>#N/A</v>
      </c>
      <c r="AS205" s="377" t="str">
        <f>CS_PID!AS205/VLOOKUP($B205,표2[#ALL],2)/HLOOKUP($A205,표1[#ALL],row(),false)</f>
        <v>#N/A</v>
      </c>
    </row>
    <row r="206">
      <c r="A206" s="370"/>
      <c r="B206" s="371"/>
      <c r="C206" s="372" t="str">
        <f>CS_PID!C206/VLOOKUP($B206,표2[#ALL],2)</f>
        <v>#N/A</v>
      </c>
      <c r="D206" s="372" t="str">
        <f>CS_PID!D206/VLOOKUP($B206,표2[#ALL],2)</f>
        <v>#N/A</v>
      </c>
      <c r="E206" s="372" t="str">
        <f>CS_PID!E206/VLOOKUP($B206,표2[#ALL],2)</f>
        <v>#N/A</v>
      </c>
      <c r="F206" s="372" t="str">
        <f>CS_PID!F206/VLOOKUP($B206,표2[#ALL],2)</f>
        <v>#N/A</v>
      </c>
      <c r="G206" s="372" t="str">
        <f>CS_PID!G206/VLOOKUP($B206,표2[#ALL],2)</f>
        <v>#N/A</v>
      </c>
      <c r="H206" s="372" t="str">
        <f>CS_PID!H206/VLOOKUP($B206,표2[#ALL],2)/HLOOKUP($A206,표1[#ALL],row(),false)</f>
        <v>#N/A</v>
      </c>
      <c r="I206" s="372" t="str">
        <f>CS_PID!I206/VLOOKUP($B206,표2[#ALL],2)/HLOOKUP($A206,표1[#ALL],row(),false)</f>
        <v>#N/A</v>
      </c>
      <c r="J206" s="372" t="str">
        <f>CS_PID!J206/VLOOKUP($B206,표2[#ALL],2)/HLOOKUP($A206,표1[#ALL],row(),false)</f>
        <v>#N/A</v>
      </c>
      <c r="K206" s="372" t="str">
        <f>CS_PID!K206/VLOOKUP($B206,표2[#ALL],2)/HLOOKUP($A206,표1[#ALL],row(),false)</f>
        <v>#N/A</v>
      </c>
      <c r="L206" s="372" t="str">
        <f>CS_PID!L206/VLOOKUP($B206,표2[#ALL],2)/HLOOKUP($A206,표1[#ALL],row(),false)</f>
        <v>#N/A</v>
      </c>
      <c r="M206" s="372" t="str">
        <f>CS_PID!M206/VLOOKUP($B206,표2[#ALL],2)/HLOOKUP($A206,표1[#ALL],row(),false)</f>
        <v>#N/A</v>
      </c>
      <c r="N206" s="372" t="str">
        <f>CS_PID!N206/VLOOKUP($B206,표2[#ALL],2)/HLOOKUP($A206,표1[#ALL],row(),false)</f>
        <v>#N/A</v>
      </c>
      <c r="O206" s="372" t="str">
        <f>CS_PID!O206/VLOOKUP($B206,표2[#ALL],2)/HLOOKUP($A206,표1[#ALL],row(),false)</f>
        <v>#N/A</v>
      </c>
      <c r="P206" s="372" t="str">
        <f>CS_PID!P206/VLOOKUP($B206,표2[#ALL],2)/HLOOKUP($A206,표1[#ALL],row(),false)</f>
        <v>#N/A</v>
      </c>
      <c r="Q206" s="372" t="str">
        <f>CS_PID!Q206/VLOOKUP($B206,표2[#ALL],2)/HLOOKUP($A206,표1[#ALL],row(),false)</f>
        <v>#N/A</v>
      </c>
      <c r="R206" s="372" t="str">
        <f>CS_PID!R206/VLOOKUP($B206,표2[#ALL],2)/HLOOKUP($A206,표1[#ALL],row(),false)</f>
        <v>#N/A</v>
      </c>
      <c r="S206" s="372" t="str">
        <f>CS_PID!S206/VLOOKUP($B206,표2[#ALL],2)/HLOOKUP($A206,표1[#ALL],row(),false)</f>
        <v>#N/A</v>
      </c>
      <c r="T206" s="372" t="str">
        <f>CS_PID!T206/VLOOKUP($B206,표2[#ALL],2)/HLOOKUP($A206,표1[#ALL],row(),false)</f>
        <v>#N/A</v>
      </c>
      <c r="U206" s="372" t="str">
        <f>CS_PID!U206/VLOOKUP($B206,표2[#ALL],2)/HLOOKUP($A206,표1[#ALL],row(),false)</f>
        <v>#N/A</v>
      </c>
      <c r="V206" s="372" t="str">
        <f>CS_PID!V206/VLOOKUP($B206,표2[#ALL],2)/HLOOKUP($A206,표1[#ALL],row(),false)</f>
        <v>#N/A</v>
      </c>
      <c r="W206" s="372" t="str">
        <f>CS_PID!W206/VLOOKUP($B206,표2[#ALL],2)/HLOOKUP($A206,표1[#ALL],row(),false)</f>
        <v>#N/A</v>
      </c>
      <c r="X206" s="372" t="str">
        <f>CS_PID!X206/VLOOKUP($B206,표2[#ALL],2)/HLOOKUP($A206,표1[#ALL],row(),false)</f>
        <v>#N/A</v>
      </c>
      <c r="Y206" s="372" t="str">
        <f>CS_PID!Y206/VLOOKUP($B206,표2[#ALL],2)/HLOOKUP($A206,표1[#ALL],row(),false)</f>
        <v>#N/A</v>
      </c>
      <c r="Z206" s="372" t="str">
        <f>CS_PID!Z206/VLOOKUP($B206,표2[#ALL],2)/HLOOKUP($A206,표1[#ALL],row(),false)</f>
        <v>#N/A</v>
      </c>
      <c r="AA206" s="372" t="str">
        <f>CS_PID!AA206/VLOOKUP($B206,표2[#ALL],2)/HLOOKUP($A206,표1[#ALL],row(),false)</f>
        <v>#N/A</v>
      </c>
      <c r="AB206" s="372" t="str">
        <f>CS_PID!AB206/VLOOKUP($B206,표2[#ALL],2)/HLOOKUP($A206,표1[#ALL],row(),false)</f>
        <v>#N/A</v>
      </c>
      <c r="AC206" s="372" t="str">
        <f>CS_PID!AC206/VLOOKUP($B206,표2[#ALL],2)/HLOOKUP($A206,표1[#ALL],row(),false)</f>
        <v>#N/A</v>
      </c>
      <c r="AD206" s="372" t="str">
        <f>CS_PID!AD206/VLOOKUP($B206,표2[#ALL],2)/HLOOKUP($A206,표1[#ALL],row(),false)</f>
        <v>#N/A</v>
      </c>
      <c r="AE206" s="372" t="str">
        <f>CS_PID!AE206/VLOOKUP($B206,표2[#ALL],2)/HLOOKUP($A206,표1[#ALL],row(),false)</f>
        <v>#N/A</v>
      </c>
      <c r="AF206" s="372" t="str">
        <f>CS_PID!AF206/VLOOKUP($B206,표2[#ALL],2)/HLOOKUP($A206,표1[#ALL],row(),false)</f>
        <v>#N/A</v>
      </c>
      <c r="AG206" s="372" t="str">
        <f>CS_PID!AG206/VLOOKUP($B206,표2[#ALL],2)/HLOOKUP($A206,표1[#ALL],row(),false)</f>
        <v>#N/A</v>
      </c>
      <c r="AH206" s="372" t="str">
        <f>CS_PID!AH206/VLOOKUP($B206,표2[#ALL],2)/HLOOKUP($A206,표1[#ALL],row(),false)</f>
        <v>#N/A</v>
      </c>
      <c r="AI206" s="372" t="str">
        <f>CS_PID!AI206/VLOOKUP($B206,표2[#ALL],2)/HLOOKUP($A206,표1[#ALL],row(),false)</f>
        <v>#N/A</v>
      </c>
      <c r="AJ206" s="372" t="str">
        <f>CS_PID!AJ206/VLOOKUP($B206,표2[#ALL],2)/HLOOKUP($A206,표1[#ALL],row(),false)</f>
        <v>#N/A</v>
      </c>
      <c r="AK206" s="372" t="str">
        <f>CS_PID!AK206/VLOOKUP($B206,표2[#ALL],2)/HLOOKUP($A206,표1[#ALL],row(),false)</f>
        <v>#N/A</v>
      </c>
      <c r="AL206" s="372" t="str">
        <f>CS_PID!AL206/VLOOKUP($B206,표2[#ALL],2)/HLOOKUP($A206,표1[#ALL],row(),false)</f>
        <v>#N/A</v>
      </c>
      <c r="AM206" s="372" t="str">
        <f>CS_PID!AM206/VLOOKUP($B206,표2[#ALL],2)/HLOOKUP($A206,표1[#ALL],row(),false)</f>
        <v>#N/A</v>
      </c>
      <c r="AN206" s="372" t="str">
        <f>CS_PID!AN206/VLOOKUP($B206,표2[#ALL],2)/HLOOKUP($A206,표1[#ALL],row(),false)</f>
        <v>#N/A</v>
      </c>
      <c r="AO206" s="372" t="str">
        <f>CS_PID!AO206/VLOOKUP($B206,표2[#ALL],2)/HLOOKUP($A206,표1[#ALL],row(),false)</f>
        <v>#N/A</v>
      </c>
      <c r="AP206" s="372" t="str">
        <f>CS_PID!AP206/VLOOKUP($B206,표2[#ALL],2)/HLOOKUP($A206,표1[#ALL],row(),false)</f>
        <v>#N/A</v>
      </c>
      <c r="AQ206" s="372" t="str">
        <f>CS_PID!AQ206/VLOOKUP($B206,표2[#ALL],2)/HLOOKUP($A206,표1[#ALL],row(),false)</f>
        <v>#N/A</v>
      </c>
      <c r="AR206" s="372" t="str">
        <f>CS_PID!AR206/VLOOKUP($B206,표2[#ALL],2)/HLOOKUP($A206,표1[#ALL],row(),false)</f>
        <v>#N/A</v>
      </c>
      <c r="AS206" s="373" t="str">
        <f>CS_PID!AS206/VLOOKUP($B206,표2[#ALL],2)/HLOOKUP($A206,표1[#ALL],row(),false)</f>
        <v>#N/A</v>
      </c>
    </row>
    <row r="207">
      <c r="A207" s="374"/>
      <c r="B207" s="375"/>
      <c r="C207" s="376" t="str">
        <f>CS_PID!C207/VLOOKUP($B207,표2[#ALL],2)</f>
        <v>#N/A</v>
      </c>
      <c r="D207" s="376" t="str">
        <f>CS_PID!D207/VLOOKUP($B207,표2[#ALL],2)</f>
        <v>#N/A</v>
      </c>
      <c r="E207" s="376" t="str">
        <f>CS_PID!E207/VLOOKUP($B207,표2[#ALL],2)</f>
        <v>#N/A</v>
      </c>
      <c r="F207" s="376" t="str">
        <f>CS_PID!F207/VLOOKUP($B207,표2[#ALL],2)</f>
        <v>#N/A</v>
      </c>
      <c r="G207" s="376" t="str">
        <f>CS_PID!G207/VLOOKUP($B207,표2[#ALL],2)</f>
        <v>#N/A</v>
      </c>
      <c r="H207" s="376" t="str">
        <f>CS_PID!H207/VLOOKUP($B207,표2[#ALL],2)/HLOOKUP($A207,표1[#ALL],row(),false)</f>
        <v>#N/A</v>
      </c>
      <c r="I207" s="376" t="str">
        <f>CS_PID!I207/VLOOKUP($B207,표2[#ALL],2)/HLOOKUP($A207,표1[#ALL],row(),false)</f>
        <v>#N/A</v>
      </c>
      <c r="J207" s="376" t="str">
        <f>CS_PID!J207/VLOOKUP($B207,표2[#ALL],2)/HLOOKUP($A207,표1[#ALL],row(),false)</f>
        <v>#N/A</v>
      </c>
      <c r="K207" s="376" t="str">
        <f>CS_PID!K207/VLOOKUP($B207,표2[#ALL],2)/HLOOKUP($A207,표1[#ALL],row(),false)</f>
        <v>#N/A</v>
      </c>
      <c r="L207" s="376" t="str">
        <f>CS_PID!L207/VLOOKUP($B207,표2[#ALL],2)/HLOOKUP($A207,표1[#ALL],row(),false)</f>
        <v>#N/A</v>
      </c>
      <c r="M207" s="376" t="str">
        <f>CS_PID!M207/VLOOKUP($B207,표2[#ALL],2)/HLOOKUP($A207,표1[#ALL],row(),false)</f>
        <v>#N/A</v>
      </c>
      <c r="N207" s="376" t="str">
        <f>CS_PID!N207/VLOOKUP($B207,표2[#ALL],2)/HLOOKUP($A207,표1[#ALL],row(),false)</f>
        <v>#N/A</v>
      </c>
      <c r="O207" s="376" t="str">
        <f>CS_PID!O207/VLOOKUP($B207,표2[#ALL],2)/HLOOKUP($A207,표1[#ALL],row(),false)</f>
        <v>#N/A</v>
      </c>
      <c r="P207" s="376" t="str">
        <f>CS_PID!P207/VLOOKUP($B207,표2[#ALL],2)/HLOOKUP($A207,표1[#ALL],row(),false)</f>
        <v>#N/A</v>
      </c>
      <c r="Q207" s="376" t="str">
        <f>CS_PID!Q207/VLOOKUP($B207,표2[#ALL],2)/HLOOKUP($A207,표1[#ALL],row(),false)</f>
        <v>#N/A</v>
      </c>
      <c r="R207" s="376" t="str">
        <f>CS_PID!R207/VLOOKUP($B207,표2[#ALL],2)/HLOOKUP($A207,표1[#ALL],row(),false)</f>
        <v>#N/A</v>
      </c>
      <c r="S207" s="376" t="str">
        <f>CS_PID!S207/VLOOKUP($B207,표2[#ALL],2)/HLOOKUP($A207,표1[#ALL],row(),false)</f>
        <v>#N/A</v>
      </c>
      <c r="T207" s="376" t="str">
        <f>CS_PID!T207/VLOOKUP($B207,표2[#ALL],2)/HLOOKUP($A207,표1[#ALL],row(),false)</f>
        <v>#N/A</v>
      </c>
      <c r="U207" s="376" t="str">
        <f>CS_PID!U207/VLOOKUP($B207,표2[#ALL],2)/HLOOKUP($A207,표1[#ALL],row(),false)</f>
        <v>#N/A</v>
      </c>
      <c r="V207" s="376" t="str">
        <f>CS_PID!V207/VLOOKUP($B207,표2[#ALL],2)/HLOOKUP($A207,표1[#ALL],row(),false)</f>
        <v>#N/A</v>
      </c>
      <c r="W207" s="376" t="str">
        <f>CS_PID!W207/VLOOKUP($B207,표2[#ALL],2)/HLOOKUP($A207,표1[#ALL],row(),false)</f>
        <v>#N/A</v>
      </c>
      <c r="X207" s="376" t="str">
        <f>CS_PID!X207/VLOOKUP($B207,표2[#ALL],2)/HLOOKUP($A207,표1[#ALL],row(),false)</f>
        <v>#N/A</v>
      </c>
      <c r="Y207" s="376" t="str">
        <f>CS_PID!Y207/VLOOKUP($B207,표2[#ALL],2)/HLOOKUP($A207,표1[#ALL],row(),false)</f>
        <v>#N/A</v>
      </c>
      <c r="Z207" s="376" t="str">
        <f>CS_PID!Z207/VLOOKUP($B207,표2[#ALL],2)/HLOOKUP($A207,표1[#ALL],row(),false)</f>
        <v>#N/A</v>
      </c>
      <c r="AA207" s="376" t="str">
        <f>CS_PID!AA207/VLOOKUP($B207,표2[#ALL],2)/HLOOKUP($A207,표1[#ALL],row(),false)</f>
        <v>#N/A</v>
      </c>
      <c r="AB207" s="376" t="str">
        <f>CS_PID!AB207/VLOOKUP($B207,표2[#ALL],2)/HLOOKUP($A207,표1[#ALL],row(),false)</f>
        <v>#N/A</v>
      </c>
      <c r="AC207" s="376" t="str">
        <f>CS_PID!AC207/VLOOKUP($B207,표2[#ALL],2)/HLOOKUP($A207,표1[#ALL],row(),false)</f>
        <v>#N/A</v>
      </c>
      <c r="AD207" s="376" t="str">
        <f>CS_PID!AD207/VLOOKUP($B207,표2[#ALL],2)/HLOOKUP($A207,표1[#ALL],row(),false)</f>
        <v>#N/A</v>
      </c>
      <c r="AE207" s="376" t="str">
        <f>CS_PID!AE207/VLOOKUP($B207,표2[#ALL],2)/HLOOKUP($A207,표1[#ALL],row(),false)</f>
        <v>#N/A</v>
      </c>
      <c r="AF207" s="376" t="str">
        <f>CS_PID!AF207/VLOOKUP($B207,표2[#ALL],2)/HLOOKUP($A207,표1[#ALL],row(),false)</f>
        <v>#N/A</v>
      </c>
      <c r="AG207" s="376" t="str">
        <f>CS_PID!AG207/VLOOKUP($B207,표2[#ALL],2)/HLOOKUP($A207,표1[#ALL],row(),false)</f>
        <v>#N/A</v>
      </c>
      <c r="AH207" s="376" t="str">
        <f>CS_PID!AH207/VLOOKUP($B207,표2[#ALL],2)/HLOOKUP($A207,표1[#ALL],row(),false)</f>
        <v>#N/A</v>
      </c>
      <c r="AI207" s="376" t="str">
        <f>CS_PID!AI207/VLOOKUP($B207,표2[#ALL],2)/HLOOKUP($A207,표1[#ALL],row(),false)</f>
        <v>#N/A</v>
      </c>
      <c r="AJ207" s="376" t="str">
        <f>CS_PID!AJ207/VLOOKUP($B207,표2[#ALL],2)/HLOOKUP($A207,표1[#ALL],row(),false)</f>
        <v>#N/A</v>
      </c>
      <c r="AK207" s="376" t="str">
        <f>CS_PID!AK207/VLOOKUP($B207,표2[#ALL],2)/HLOOKUP($A207,표1[#ALL],row(),false)</f>
        <v>#N/A</v>
      </c>
      <c r="AL207" s="376" t="str">
        <f>CS_PID!AL207/VLOOKUP($B207,표2[#ALL],2)/HLOOKUP($A207,표1[#ALL],row(),false)</f>
        <v>#N/A</v>
      </c>
      <c r="AM207" s="376" t="str">
        <f>CS_PID!AM207/VLOOKUP($B207,표2[#ALL],2)/HLOOKUP($A207,표1[#ALL],row(),false)</f>
        <v>#N/A</v>
      </c>
      <c r="AN207" s="376" t="str">
        <f>CS_PID!AN207/VLOOKUP($B207,표2[#ALL],2)/HLOOKUP($A207,표1[#ALL],row(),false)</f>
        <v>#N/A</v>
      </c>
      <c r="AO207" s="376" t="str">
        <f>CS_PID!AO207/VLOOKUP($B207,표2[#ALL],2)/HLOOKUP($A207,표1[#ALL],row(),false)</f>
        <v>#N/A</v>
      </c>
      <c r="AP207" s="376" t="str">
        <f>CS_PID!AP207/VLOOKUP($B207,표2[#ALL],2)/HLOOKUP($A207,표1[#ALL],row(),false)</f>
        <v>#N/A</v>
      </c>
      <c r="AQ207" s="376" t="str">
        <f>CS_PID!AQ207/VLOOKUP($B207,표2[#ALL],2)/HLOOKUP($A207,표1[#ALL],row(),false)</f>
        <v>#N/A</v>
      </c>
      <c r="AR207" s="376" t="str">
        <f>CS_PID!AR207/VLOOKUP($B207,표2[#ALL],2)/HLOOKUP($A207,표1[#ALL],row(),false)</f>
        <v>#N/A</v>
      </c>
      <c r="AS207" s="377" t="str">
        <f>CS_PID!AS207/VLOOKUP($B207,표2[#ALL],2)/HLOOKUP($A207,표1[#ALL],row(),false)</f>
        <v>#N/A</v>
      </c>
    </row>
    <row r="208">
      <c r="A208" s="370"/>
      <c r="B208" s="371"/>
      <c r="C208" s="372" t="str">
        <f>CS_PID!C208/VLOOKUP($B208,표2[#ALL],2)</f>
        <v>#N/A</v>
      </c>
      <c r="D208" s="372" t="str">
        <f>CS_PID!D208/VLOOKUP($B208,표2[#ALL],2)</f>
        <v>#N/A</v>
      </c>
      <c r="E208" s="372" t="str">
        <f>CS_PID!E208/VLOOKUP($B208,표2[#ALL],2)</f>
        <v>#N/A</v>
      </c>
      <c r="F208" s="372" t="str">
        <f>CS_PID!F208/VLOOKUP($B208,표2[#ALL],2)</f>
        <v>#N/A</v>
      </c>
      <c r="G208" s="372" t="str">
        <f>CS_PID!G208/VLOOKUP($B208,표2[#ALL],2)</f>
        <v>#N/A</v>
      </c>
      <c r="H208" s="372" t="str">
        <f>CS_PID!H208/VLOOKUP($B208,표2[#ALL],2)/HLOOKUP($A208,표1[#ALL],row(),false)</f>
        <v>#N/A</v>
      </c>
      <c r="I208" s="372" t="str">
        <f>CS_PID!I208/VLOOKUP($B208,표2[#ALL],2)/HLOOKUP($A208,표1[#ALL],row(),false)</f>
        <v>#N/A</v>
      </c>
      <c r="J208" s="372" t="str">
        <f>CS_PID!J208/VLOOKUP($B208,표2[#ALL],2)/HLOOKUP($A208,표1[#ALL],row(),false)</f>
        <v>#N/A</v>
      </c>
      <c r="K208" s="372" t="str">
        <f>CS_PID!K208/VLOOKUP($B208,표2[#ALL],2)/HLOOKUP($A208,표1[#ALL],row(),false)</f>
        <v>#N/A</v>
      </c>
      <c r="L208" s="372" t="str">
        <f>CS_PID!L208/VLOOKUP($B208,표2[#ALL],2)/HLOOKUP($A208,표1[#ALL],row(),false)</f>
        <v>#N/A</v>
      </c>
      <c r="M208" s="372" t="str">
        <f>CS_PID!M208/VLOOKUP($B208,표2[#ALL],2)/HLOOKUP($A208,표1[#ALL],row(),false)</f>
        <v>#N/A</v>
      </c>
      <c r="N208" s="372" t="str">
        <f>CS_PID!N208/VLOOKUP($B208,표2[#ALL],2)/HLOOKUP($A208,표1[#ALL],row(),false)</f>
        <v>#N/A</v>
      </c>
      <c r="O208" s="372" t="str">
        <f>CS_PID!O208/VLOOKUP($B208,표2[#ALL],2)/HLOOKUP($A208,표1[#ALL],row(),false)</f>
        <v>#N/A</v>
      </c>
      <c r="P208" s="372" t="str">
        <f>CS_PID!P208/VLOOKUP($B208,표2[#ALL],2)/HLOOKUP($A208,표1[#ALL],row(),false)</f>
        <v>#N/A</v>
      </c>
      <c r="Q208" s="372" t="str">
        <f>CS_PID!Q208/VLOOKUP($B208,표2[#ALL],2)/HLOOKUP($A208,표1[#ALL],row(),false)</f>
        <v>#N/A</v>
      </c>
      <c r="R208" s="372" t="str">
        <f>CS_PID!R208/VLOOKUP($B208,표2[#ALL],2)/HLOOKUP($A208,표1[#ALL],row(),false)</f>
        <v>#N/A</v>
      </c>
      <c r="S208" s="372" t="str">
        <f>CS_PID!S208/VLOOKUP($B208,표2[#ALL],2)/HLOOKUP($A208,표1[#ALL],row(),false)</f>
        <v>#N/A</v>
      </c>
      <c r="T208" s="372" t="str">
        <f>CS_PID!T208/VLOOKUP($B208,표2[#ALL],2)/HLOOKUP($A208,표1[#ALL],row(),false)</f>
        <v>#N/A</v>
      </c>
      <c r="U208" s="372" t="str">
        <f>CS_PID!U208/VLOOKUP($B208,표2[#ALL],2)/HLOOKUP($A208,표1[#ALL],row(),false)</f>
        <v>#N/A</v>
      </c>
      <c r="V208" s="372" t="str">
        <f>CS_PID!V208/VLOOKUP($B208,표2[#ALL],2)/HLOOKUP($A208,표1[#ALL],row(),false)</f>
        <v>#N/A</v>
      </c>
      <c r="W208" s="372" t="str">
        <f>CS_PID!W208/VLOOKUP($B208,표2[#ALL],2)/HLOOKUP($A208,표1[#ALL],row(),false)</f>
        <v>#N/A</v>
      </c>
      <c r="X208" s="372" t="str">
        <f>CS_PID!X208/VLOOKUP($B208,표2[#ALL],2)/HLOOKUP($A208,표1[#ALL],row(),false)</f>
        <v>#N/A</v>
      </c>
      <c r="Y208" s="372" t="str">
        <f>CS_PID!Y208/VLOOKUP($B208,표2[#ALL],2)/HLOOKUP($A208,표1[#ALL],row(),false)</f>
        <v>#N/A</v>
      </c>
      <c r="Z208" s="372" t="str">
        <f>CS_PID!Z208/VLOOKUP($B208,표2[#ALL],2)/HLOOKUP($A208,표1[#ALL],row(),false)</f>
        <v>#N/A</v>
      </c>
      <c r="AA208" s="372" t="str">
        <f>CS_PID!AA208/VLOOKUP($B208,표2[#ALL],2)/HLOOKUP($A208,표1[#ALL],row(),false)</f>
        <v>#N/A</v>
      </c>
      <c r="AB208" s="372" t="str">
        <f>CS_PID!AB208/VLOOKUP($B208,표2[#ALL],2)/HLOOKUP($A208,표1[#ALL],row(),false)</f>
        <v>#N/A</v>
      </c>
      <c r="AC208" s="372" t="str">
        <f>CS_PID!AC208/VLOOKUP($B208,표2[#ALL],2)/HLOOKUP($A208,표1[#ALL],row(),false)</f>
        <v>#N/A</v>
      </c>
      <c r="AD208" s="372" t="str">
        <f>CS_PID!AD208/VLOOKUP($B208,표2[#ALL],2)/HLOOKUP($A208,표1[#ALL],row(),false)</f>
        <v>#N/A</v>
      </c>
      <c r="AE208" s="372" t="str">
        <f>CS_PID!AE208/VLOOKUP($B208,표2[#ALL],2)/HLOOKUP($A208,표1[#ALL],row(),false)</f>
        <v>#N/A</v>
      </c>
      <c r="AF208" s="372" t="str">
        <f>CS_PID!AF208/VLOOKUP($B208,표2[#ALL],2)/HLOOKUP($A208,표1[#ALL],row(),false)</f>
        <v>#N/A</v>
      </c>
      <c r="AG208" s="372" t="str">
        <f>CS_PID!AG208/VLOOKUP($B208,표2[#ALL],2)/HLOOKUP($A208,표1[#ALL],row(),false)</f>
        <v>#N/A</v>
      </c>
      <c r="AH208" s="372" t="str">
        <f>CS_PID!AH208/VLOOKUP($B208,표2[#ALL],2)/HLOOKUP($A208,표1[#ALL],row(),false)</f>
        <v>#N/A</v>
      </c>
      <c r="AI208" s="372" t="str">
        <f>CS_PID!AI208/VLOOKUP($B208,표2[#ALL],2)/HLOOKUP($A208,표1[#ALL],row(),false)</f>
        <v>#N/A</v>
      </c>
      <c r="AJ208" s="372" t="str">
        <f>CS_PID!AJ208/VLOOKUP($B208,표2[#ALL],2)/HLOOKUP($A208,표1[#ALL],row(),false)</f>
        <v>#N/A</v>
      </c>
      <c r="AK208" s="372" t="str">
        <f>CS_PID!AK208/VLOOKUP($B208,표2[#ALL],2)/HLOOKUP($A208,표1[#ALL],row(),false)</f>
        <v>#N/A</v>
      </c>
      <c r="AL208" s="372" t="str">
        <f>CS_PID!AL208/VLOOKUP($B208,표2[#ALL],2)/HLOOKUP($A208,표1[#ALL],row(),false)</f>
        <v>#N/A</v>
      </c>
      <c r="AM208" s="372" t="str">
        <f>CS_PID!AM208/VLOOKUP($B208,표2[#ALL],2)/HLOOKUP($A208,표1[#ALL],row(),false)</f>
        <v>#N/A</v>
      </c>
      <c r="AN208" s="372" t="str">
        <f>CS_PID!AN208/VLOOKUP($B208,표2[#ALL],2)/HLOOKUP($A208,표1[#ALL],row(),false)</f>
        <v>#N/A</v>
      </c>
      <c r="AO208" s="372" t="str">
        <f>CS_PID!AO208/VLOOKUP($B208,표2[#ALL],2)/HLOOKUP($A208,표1[#ALL],row(),false)</f>
        <v>#N/A</v>
      </c>
      <c r="AP208" s="372" t="str">
        <f>CS_PID!AP208/VLOOKUP($B208,표2[#ALL],2)/HLOOKUP($A208,표1[#ALL],row(),false)</f>
        <v>#N/A</v>
      </c>
      <c r="AQ208" s="372" t="str">
        <f>CS_PID!AQ208/VLOOKUP($B208,표2[#ALL],2)/HLOOKUP($A208,표1[#ALL],row(),false)</f>
        <v>#N/A</v>
      </c>
      <c r="AR208" s="372" t="str">
        <f>CS_PID!AR208/VLOOKUP($B208,표2[#ALL],2)/HLOOKUP($A208,표1[#ALL],row(),false)</f>
        <v>#N/A</v>
      </c>
      <c r="AS208" s="373" t="str">
        <f>CS_PID!AS208/VLOOKUP($B208,표2[#ALL],2)/HLOOKUP($A208,표1[#ALL],row(),false)</f>
        <v>#N/A</v>
      </c>
    </row>
    <row r="209">
      <c r="A209" s="374"/>
      <c r="B209" s="375"/>
      <c r="C209" s="376" t="str">
        <f>CS_PID!C209/VLOOKUP($B209,표2[#ALL],2)</f>
        <v>#N/A</v>
      </c>
      <c r="D209" s="376" t="str">
        <f>CS_PID!D209/VLOOKUP($B209,표2[#ALL],2)</f>
        <v>#N/A</v>
      </c>
      <c r="E209" s="376" t="str">
        <f>CS_PID!E209/VLOOKUP($B209,표2[#ALL],2)</f>
        <v>#N/A</v>
      </c>
      <c r="F209" s="376" t="str">
        <f>CS_PID!F209/VLOOKUP($B209,표2[#ALL],2)</f>
        <v>#N/A</v>
      </c>
      <c r="G209" s="376" t="str">
        <f>CS_PID!G209/VLOOKUP($B209,표2[#ALL],2)</f>
        <v>#N/A</v>
      </c>
      <c r="H209" s="376" t="str">
        <f>CS_PID!H209/VLOOKUP($B209,표2[#ALL],2)/HLOOKUP($A209,표1[#ALL],row(),false)</f>
        <v>#N/A</v>
      </c>
      <c r="I209" s="376" t="str">
        <f>CS_PID!I209/VLOOKUP($B209,표2[#ALL],2)/HLOOKUP($A209,표1[#ALL],row(),false)</f>
        <v>#N/A</v>
      </c>
      <c r="J209" s="376" t="str">
        <f>CS_PID!J209/VLOOKUP($B209,표2[#ALL],2)/HLOOKUP($A209,표1[#ALL],row(),false)</f>
        <v>#N/A</v>
      </c>
      <c r="K209" s="376" t="str">
        <f>CS_PID!K209/VLOOKUP($B209,표2[#ALL],2)/HLOOKUP($A209,표1[#ALL],row(),false)</f>
        <v>#N/A</v>
      </c>
      <c r="L209" s="376" t="str">
        <f>CS_PID!L209/VLOOKUP($B209,표2[#ALL],2)/HLOOKUP($A209,표1[#ALL],row(),false)</f>
        <v>#N/A</v>
      </c>
      <c r="M209" s="376" t="str">
        <f>CS_PID!M209/VLOOKUP($B209,표2[#ALL],2)/HLOOKUP($A209,표1[#ALL],row(),false)</f>
        <v>#N/A</v>
      </c>
      <c r="N209" s="376" t="str">
        <f>CS_PID!N209/VLOOKUP($B209,표2[#ALL],2)/HLOOKUP($A209,표1[#ALL],row(),false)</f>
        <v>#N/A</v>
      </c>
      <c r="O209" s="376" t="str">
        <f>CS_PID!O209/VLOOKUP($B209,표2[#ALL],2)/HLOOKUP($A209,표1[#ALL],row(),false)</f>
        <v>#N/A</v>
      </c>
      <c r="P209" s="376" t="str">
        <f>CS_PID!P209/VLOOKUP($B209,표2[#ALL],2)/HLOOKUP($A209,표1[#ALL],row(),false)</f>
        <v>#N/A</v>
      </c>
      <c r="Q209" s="376" t="str">
        <f>CS_PID!Q209/VLOOKUP($B209,표2[#ALL],2)/HLOOKUP($A209,표1[#ALL],row(),false)</f>
        <v>#N/A</v>
      </c>
      <c r="R209" s="376" t="str">
        <f>CS_PID!R209/VLOOKUP($B209,표2[#ALL],2)/HLOOKUP($A209,표1[#ALL],row(),false)</f>
        <v>#N/A</v>
      </c>
      <c r="S209" s="376" t="str">
        <f>CS_PID!S209/VLOOKUP($B209,표2[#ALL],2)/HLOOKUP($A209,표1[#ALL],row(),false)</f>
        <v>#N/A</v>
      </c>
      <c r="T209" s="376" t="str">
        <f>CS_PID!T209/VLOOKUP($B209,표2[#ALL],2)/HLOOKUP($A209,표1[#ALL],row(),false)</f>
        <v>#N/A</v>
      </c>
      <c r="U209" s="376" t="str">
        <f>CS_PID!U209/VLOOKUP($B209,표2[#ALL],2)/HLOOKUP($A209,표1[#ALL],row(),false)</f>
        <v>#N/A</v>
      </c>
      <c r="V209" s="376" t="str">
        <f>CS_PID!V209/VLOOKUP($B209,표2[#ALL],2)/HLOOKUP($A209,표1[#ALL],row(),false)</f>
        <v>#N/A</v>
      </c>
      <c r="W209" s="376" t="str">
        <f>CS_PID!W209/VLOOKUP($B209,표2[#ALL],2)/HLOOKUP($A209,표1[#ALL],row(),false)</f>
        <v>#N/A</v>
      </c>
      <c r="X209" s="376" t="str">
        <f>CS_PID!X209/VLOOKUP($B209,표2[#ALL],2)/HLOOKUP($A209,표1[#ALL],row(),false)</f>
        <v>#N/A</v>
      </c>
      <c r="Y209" s="376" t="str">
        <f>CS_PID!Y209/VLOOKUP($B209,표2[#ALL],2)/HLOOKUP($A209,표1[#ALL],row(),false)</f>
        <v>#N/A</v>
      </c>
      <c r="Z209" s="376" t="str">
        <f>CS_PID!Z209/VLOOKUP($B209,표2[#ALL],2)/HLOOKUP($A209,표1[#ALL],row(),false)</f>
        <v>#N/A</v>
      </c>
      <c r="AA209" s="376" t="str">
        <f>CS_PID!AA209/VLOOKUP($B209,표2[#ALL],2)/HLOOKUP($A209,표1[#ALL],row(),false)</f>
        <v>#N/A</v>
      </c>
      <c r="AB209" s="376" t="str">
        <f>CS_PID!AB209/VLOOKUP($B209,표2[#ALL],2)/HLOOKUP($A209,표1[#ALL],row(),false)</f>
        <v>#N/A</v>
      </c>
      <c r="AC209" s="376" t="str">
        <f>CS_PID!AC209/VLOOKUP($B209,표2[#ALL],2)/HLOOKUP($A209,표1[#ALL],row(),false)</f>
        <v>#N/A</v>
      </c>
      <c r="AD209" s="376" t="str">
        <f>CS_PID!AD209/VLOOKUP($B209,표2[#ALL],2)/HLOOKUP($A209,표1[#ALL],row(),false)</f>
        <v>#N/A</v>
      </c>
      <c r="AE209" s="376" t="str">
        <f>CS_PID!AE209/VLOOKUP($B209,표2[#ALL],2)/HLOOKUP($A209,표1[#ALL],row(),false)</f>
        <v>#N/A</v>
      </c>
      <c r="AF209" s="376" t="str">
        <f>CS_PID!AF209/VLOOKUP($B209,표2[#ALL],2)/HLOOKUP($A209,표1[#ALL],row(),false)</f>
        <v>#N/A</v>
      </c>
      <c r="AG209" s="376" t="str">
        <f>CS_PID!AG209/VLOOKUP($B209,표2[#ALL],2)/HLOOKUP($A209,표1[#ALL],row(),false)</f>
        <v>#N/A</v>
      </c>
      <c r="AH209" s="376" t="str">
        <f>CS_PID!AH209/VLOOKUP($B209,표2[#ALL],2)/HLOOKUP($A209,표1[#ALL],row(),false)</f>
        <v>#N/A</v>
      </c>
      <c r="AI209" s="376" t="str">
        <f>CS_PID!AI209/VLOOKUP($B209,표2[#ALL],2)/HLOOKUP($A209,표1[#ALL],row(),false)</f>
        <v>#N/A</v>
      </c>
      <c r="AJ209" s="376" t="str">
        <f>CS_PID!AJ209/VLOOKUP($B209,표2[#ALL],2)/HLOOKUP($A209,표1[#ALL],row(),false)</f>
        <v>#N/A</v>
      </c>
      <c r="AK209" s="376" t="str">
        <f>CS_PID!AK209/VLOOKUP($B209,표2[#ALL],2)/HLOOKUP($A209,표1[#ALL],row(),false)</f>
        <v>#N/A</v>
      </c>
      <c r="AL209" s="376" t="str">
        <f>CS_PID!AL209/VLOOKUP($B209,표2[#ALL],2)/HLOOKUP($A209,표1[#ALL],row(),false)</f>
        <v>#N/A</v>
      </c>
      <c r="AM209" s="376" t="str">
        <f>CS_PID!AM209/VLOOKUP($B209,표2[#ALL],2)/HLOOKUP($A209,표1[#ALL],row(),false)</f>
        <v>#N/A</v>
      </c>
      <c r="AN209" s="376" t="str">
        <f>CS_PID!AN209/VLOOKUP($B209,표2[#ALL],2)/HLOOKUP($A209,표1[#ALL],row(),false)</f>
        <v>#N/A</v>
      </c>
      <c r="AO209" s="376" t="str">
        <f>CS_PID!AO209/VLOOKUP($B209,표2[#ALL],2)/HLOOKUP($A209,표1[#ALL],row(),false)</f>
        <v>#N/A</v>
      </c>
      <c r="AP209" s="376" t="str">
        <f>CS_PID!AP209/VLOOKUP($B209,표2[#ALL],2)/HLOOKUP($A209,표1[#ALL],row(),false)</f>
        <v>#N/A</v>
      </c>
      <c r="AQ209" s="376" t="str">
        <f>CS_PID!AQ209/VLOOKUP($B209,표2[#ALL],2)/HLOOKUP($A209,표1[#ALL],row(),false)</f>
        <v>#N/A</v>
      </c>
      <c r="AR209" s="376" t="str">
        <f>CS_PID!AR209/VLOOKUP($B209,표2[#ALL],2)/HLOOKUP($A209,표1[#ALL],row(),false)</f>
        <v>#N/A</v>
      </c>
      <c r="AS209" s="377" t="str">
        <f>CS_PID!AS209/VLOOKUP($B209,표2[#ALL],2)/HLOOKUP($A209,표1[#ALL],row(),false)</f>
        <v>#N/A</v>
      </c>
    </row>
    <row r="210">
      <c r="A210" s="370"/>
      <c r="B210" s="371"/>
      <c r="C210" s="372" t="str">
        <f>CS_PID!C210/VLOOKUP($B210,표2[#ALL],2)</f>
        <v>#N/A</v>
      </c>
      <c r="D210" s="372" t="str">
        <f>CS_PID!D210/VLOOKUP($B210,표2[#ALL],2)</f>
        <v>#N/A</v>
      </c>
      <c r="E210" s="372" t="str">
        <f>CS_PID!E210/VLOOKUP($B210,표2[#ALL],2)</f>
        <v>#N/A</v>
      </c>
      <c r="F210" s="372" t="str">
        <f>CS_PID!F210/VLOOKUP($B210,표2[#ALL],2)</f>
        <v>#N/A</v>
      </c>
      <c r="G210" s="372" t="str">
        <f>CS_PID!G210/VLOOKUP($B210,표2[#ALL],2)</f>
        <v>#N/A</v>
      </c>
      <c r="H210" s="372" t="str">
        <f>CS_PID!H210/VLOOKUP($B210,표2[#ALL],2)/HLOOKUP($A210,표1[#ALL],row(),false)</f>
        <v>#N/A</v>
      </c>
      <c r="I210" s="372" t="str">
        <f>CS_PID!I210/VLOOKUP($B210,표2[#ALL],2)/HLOOKUP($A210,표1[#ALL],row(),false)</f>
        <v>#N/A</v>
      </c>
      <c r="J210" s="372" t="str">
        <f>CS_PID!J210/VLOOKUP($B210,표2[#ALL],2)/HLOOKUP($A210,표1[#ALL],row(),false)</f>
        <v>#N/A</v>
      </c>
      <c r="K210" s="372" t="str">
        <f>CS_PID!K210/VLOOKUP($B210,표2[#ALL],2)/HLOOKUP($A210,표1[#ALL],row(),false)</f>
        <v>#N/A</v>
      </c>
      <c r="L210" s="372" t="str">
        <f>CS_PID!L210/VLOOKUP($B210,표2[#ALL],2)/HLOOKUP($A210,표1[#ALL],row(),false)</f>
        <v>#N/A</v>
      </c>
      <c r="M210" s="372" t="str">
        <f>CS_PID!M210/VLOOKUP($B210,표2[#ALL],2)/HLOOKUP($A210,표1[#ALL],row(),false)</f>
        <v>#N/A</v>
      </c>
      <c r="N210" s="372" t="str">
        <f>CS_PID!N210/VLOOKUP($B210,표2[#ALL],2)/HLOOKUP($A210,표1[#ALL],row(),false)</f>
        <v>#N/A</v>
      </c>
      <c r="O210" s="372" t="str">
        <f>CS_PID!O210/VLOOKUP($B210,표2[#ALL],2)/HLOOKUP($A210,표1[#ALL],row(),false)</f>
        <v>#N/A</v>
      </c>
      <c r="P210" s="372" t="str">
        <f>CS_PID!P210/VLOOKUP($B210,표2[#ALL],2)/HLOOKUP($A210,표1[#ALL],row(),false)</f>
        <v>#N/A</v>
      </c>
      <c r="Q210" s="372" t="str">
        <f>CS_PID!Q210/VLOOKUP($B210,표2[#ALL],2)/HLOOKUP($A210,표1[#ALL],row(),false)</f>
        <v>#N/A</v>
      </c>
      <c r="R210" s="372" t="str">
        <f>CS_PID!R210/VLOOKUP($B210,표2[#ALL],2)/HLOOKUP($A210,표1[#ALL],row(),false)</f>
        <v>#N/A</v>
      </c>
      <c r="S210" s="372" t="str">
        <f>CS_PID!S210/VLOOKUP($B210,표2[#ALL],2)/HLOOKUP($A210,표1[#ALL],row(),false)</f>
        <v>#N/A</v>
      </c>
      <c r="T210" s="372" t="str">
        <f>CS_PID!T210/VLOOKUP($B210,표2[#ALL],2)/HLOOKUP($A210,표1[#ALL],row(),false)</f>
        <v>#N/A</v>
      </c>
      <c r="U210" s="372" t="str">
        <f>CS_PID!U210/VLOOKUP($B210,표2[#ALL],2)/HLOOKUP($A210,표1[#ALL],row(),false)</f>
        <v>#N/A</v>
      </c>
      <c r="V210" s="372" t="str">
        <f>CS_PID!V210/VLOOKUP($B210,표2[#ALL],2)/HLOOKUP($A210,표1[#ALL],row(),false)</f>
        <v>#N/A</v>
      </c>
      <c r="W210" s="372" t="str">
        <f>CS_PID!W210/VLOOKUP($B210,표2[#ALL],2)/HLOOKUP($A210,표1[#ALL],row(),false)</f>
        <v>#N/A</v>
      </c>
      <c r="X210" s="372" t="str">
        <f>CS_PID!X210/VLOOKUP($B210,표2[#ALL],2)/HLOOKUP($A210,표1[#ALL],row(),false)</f>
        <v>#N/A</v>
      </c>
      <c r="Y210" s="372" t="str">
        <f>CS_PID!Y210/VLOOKUP($B210,표2[#ALL],2)/HLOOKUP($A210,표1[#ALL],row(),false)</f>
        <v>#N/A</v>
      </c>
      <c r="Z210" s="372" t="str">
        <f>CS_PID!Z210/VLOOKUP($B210,표2[#ALL],2)/HLOOKUP($A210,표1[#ALL],row(),false)</f>
        <v>#N/A</v>
      </c>
      <c r="AA210" s="372" t="str">
        <f>CS_PID!AA210/VLOOKUP($B210,표2[#ALL],2)/HLOOKUP($A210,표1[#ALL],row(),false)</f>
        <v>#N/A</v>
      </c>
      <c r="AB210" s="372" t="str">
        <f>CS_PID!AB210/VLOOKUP($B210,표2[#ALL],2)/HLOOKUP($A210,표1[#ALL],row(),false)</f>
        <v>#N/A</v>
      </c>
      <c r="AC210" s="372" t="str">
        <f>CS_PID!AC210/VLOOKUP($B210,표2[#ALL],2)/HLOOKUP($A210,표1[#ALL],row(),false)</f>
        <v>#N/A</v>
      </c>
      <c r="AD210" s="372" t="str">
        <f>CS_PID!AD210/VLOOKUP($B210,표2[#ALL],2)/HLOOKUP($A210,표1[#ALL],row(),false)</f>
        <v>#N/A</v>
      </c>
      <c r="AE210" s="372" t="str">
        <f>CS_PID!AE210/VLOOKUP($B210,표2[#ALL],2)/HLOOKUP($A210,표1[#ALL],row(),false)</f>
        <v>#N/A</v>
      </c>
      <c r="AF210" s="372" t="str">
        <f>CS_PID!AF210/VLOOKUP($B210,표2[#ALL],2)/HLOOKUP($A210,표1[#ALL],row(),false)</f>
        <v>#N/A</v>
      </c>
      <c r="AG210" s="372" t="str">
        <f>CS_PID!AG210/VLOOKUP($B210,표2[#ALL],2)/HLOOKUP($A210,표1[#ALL],row(),false)</f>
        <v>#N/A</v>
      </c>
      <c r="AH210" s="372" t="str">
        <f>CS_PID!AH210/VLOOKUP($B210,표2[#ALL],2)/HLOOKUP($A210,표1[#ALL],row(),false)</f>
        <v>#N/A</v>
      </c>
      <c r="AI210" s="372" t="str">
        <f>CS_PID!AI210/VLOOKUP($B210,표2[#ALL],2)/HLOOKUP($A210,표1[#ALL],row(),false)</f>
        <v>#N/A</v>
      </c>
      <c r="AJ210" s="372" t="str">
        <f>CS_PID!AJ210/VLOOKUP($B210,표2[#ALL],2)/HLOOKUP($A210,표1[#ALL],row(),false)</f>
        <v>#N/A</v>
      </c>
      <c r="AK210" s="372" t="str">
        <f>CS_PID!AK210/VLOOKUP($B210,표2[#ALL],2)/HLOOKUP($A210,표1[#ALL],row(),false)</f>
        <v>#N/A</v>
      </c>
      <c r="AL210" s="372" t="str">
        <f>CS_PID!AL210/VLOOKUP($B210,표2[#ALL],2)/HLOOKUP($A210,표1[#ALL],row(),false)</f>
        <v>#N/A</v>
      </c>
      <c r="AM210" s="372" t="str">
        <f>CS_PID!AM210/VLOOKUP($B210,표2[#ALL],2)/HLOOKUP($A210,표1[#ALL],row(),false)</f>
        <v>#N/A</v>
      </c>
      <c r="AN210" s="372" t="str">
        <f>CS_PID!AN210/VLOOKUP($B210,표2[#ALL],2)/HLOOKUP($A210,표1[#ALL],row(),false)</f>
        <v>#N/A</v>
      </c>
      <c r="AO210" s="372" t="str">
        <f>CS_PID!AO210/VLOOKUP($B210,표2[#ALL],2)/HLOOKUP($A210,표1[#ALL],row(),false)</f>
        <v>#N/A</v>
      </c>
      <c r="AP210" s="372" t="str">
        <f>CS_PID!AP210/VLOOKUP($B210,표2[#ALL],2)/HLOOKUP($A210,표1[#ALL],row(),false)</f>
        <v>#N/A</v>
      </c>
      <c r="AQ210" s="372" t="str">
        <f>CS_PID!AQ210/VLOOKUP($B210,표2[#ALL],2)/HLOOKUP($A210,표1[#ALL],row(),false)</f>
        <v>#N/A</v>
      </c>
      <c r="AR210" s="372" t="str">
        <f>CS_PID!AR210/VLOOKUP($B210,표2[#ALL],2)/HLOOKUP($A210,표1[#ALL],row(),false)</f>
        <v>#N/A</v>
      </c>
      <c r="AS210" s="373" t="str">
        <f>CS_PID!AS210/VLOOKUP($B210,표2[#ALL],2)/HLOOKUP($A210,표1[#ALL],row(),false)</f>
        <v>#N/A</v>
      </c>
    </row>
    <row r="211">
      <c r="A211" s="374"/>
      <c r="B211" s="375"/>
      <c r="C211" s="376" t="str">
        <f>CS_PID!C211/VLOOKUP($B211,표2[#ALL],2)</f>
        <v>#N/A</v>
      </c>
      <c r="D211" s="376" t="str">
        <f>CS_PID!D211/VLOOKUP($B211,표2[#ALL],2)</f>
        <v>#N/A</v>
      </c>
      <c r="E211" s="376" t="str">
        <f>CS_PID!E211/VLOOKUP($B211,표2[#ALL],2)</f>
        <v>#N/A</v>
      </c>
      <c r="F211" s="376" t="str">
        <f>CS_PID!F211/VLOOKUP($B211,표2[#ALL],2)</f>
        <v>#N/A</v>
      </c>
      <c r="G211" s="376" t="str">
        <f>CS_PID!G211/VLOOKUP($B211,표2[#ALL],2)</f>
        <v>#N/A</v>
      </c>
      <c r="H211" s="376" t="str">
        <f>CS_PID!H211/VLOOKUP($B211,표2[#ALL],2)/HLOOKUP($A211,표1[#ALL],row(),false)</f>
        <v>#N/A</v>
      </c>
      <c r="I211" s="376" t="str">
        <f>CS_PID!I211/VLOOKUP($B211,표2[#ALL],2)/HLOOKUP($A211,표1[#ALL],row(),false)</f>
        <v>#N/A</v>
      </c>
      <c r="J211" s="376" t="str">
        <f>CS_PID!J211/VLOOKUP($B211,표2[#ALL],2)/HLOOKUP($A211,표1[#ALL],row(),false)</f>
        <v>#N/A</v>
      </c>
      <c r="K211" s="376" t="str">
        <f>CS_PID!K211/VLOOKUP($B211,표2[#ALL],2)/HLOOKUP($A211,표1[#ALL],row(),false)</f>
        <v>#N/A</v>
      </c>
      <c r="L211" s="376" t="str">
        <f>CS_PID!L211/VLOOKUP($B211,표2[#ALL],2)/HLOOKUP($A211,표1[#ALL],row(),false)</f>
        <v>#N/A</v>
      </c>
      <c r="M211" s="376" t="str">
        <f>CS_PID!M211/VLOOKUP($B211,표2[#ALL],2)/HLOOKUP($A211,표1[#ALL],row(),false)</f>
        <v>#N/A</v>
      </c>
      <c r="N211" s="376" t="str">
        <f>CS_PID!N211/VLOOKUP($B211,표2[#ALL],2)/HLOOKUP($A211,표1[#ALL],row(),false)</f>
        <v>#N/A</v>
      </c>
      <c r="O211" s="376" t="str">
        <f>CS_PID!O211/VLOOKUP($B211,표2[#ALL],2)/HLOOKUP($A211,표1[#ALL],row(),false)</f>
        <v>#N/A</v>
      </c>
      <c r="P211" s="376" t="str">
        <f>CS_PID!P211/VLOOKUP($B211,표2[#ALL],2)/HLOOKUP($A211,표1[#ALL],row(),false)</f>
        <v>#N/A</v>
      </c>
      <c r="Q211" s="376" t="str">
        <f>CS_PID!Q211/VLOOKUP($B211,표2[#ALL],2)/HLOOKUP($A211,표1[#ALL],row(),false)</f>
        <v>#N/A</v>
      </c>
      <c r="R211" s="376" t="str">
        <f>CS_PID!R211/VLOOKUP($B211,표2[#ALL],2)/HLOOKUP($A211,표1[#ALL],row(),false)</f>
        <v>#N/A</v>
      </c>
      <c r="S211" s="376" t="str">
        <f>CS_PID!S211/VLOOKUP($B211,표2[#ALL],2)/HLOOKUP($A211,표1[#ALL],row(),false)</f>
        <v>#N/A</v>
      </c>
      <c r="T211" s="376" t="str">
        <f>CS_PID!T211/VLOOKUP($B211,표2[#ALL],2)/HLOOKUP($A211,표1[#ALL],row(),false)</f>
        <v>#N/A</v>
      </c>
      <c r="U211" s="376" t="str">
        <f>CS_PID!U211/VLOOKUP($B211,표2[#ALL],2)/HLOOKUP($A211,표1[#ALL],row(),false)</f>
        <v>#N/A</v>
      </c>
      <c r="V211" s="376" t="str">
        <f>CS_PID!V211/VLOOKUP($B211,표2[#ALL],2)/HLOOKUP($A211,표1[#ALL],row(),false)</f>
        <v>#N/A</v>
      </c>
      <c r="W211" s="376" t="str">
        <f>CS_PID!W211/VLOOKUP($B211,표2[#ALL],2)/HLOOKUP($A211,표1[#ALL],row(),false)</f>
        <v>#N/A</v>
      </c>
      <c r="X211" s="376" t="str">
        <f>CS_PID!X211/VLOOKUP($B211,표2[#ALL],2)/HLOOKUP($A211,표1[#ALL],row(),false)</f>
        <v>#N/A</v>
      </c>
      <c r="Y211" s="376" t="str">
        <f>CS_PID!Y211/VLOOKUP($B211,표2[#ALL],2)/HLOOKUP($A211,표1[#ALL],row(),false)</f>
        <v>#N/A</v>
      </c>
      <c r="Z211" s="376" t="str">
        <f>CS_PID!Z211/VLOOKUP($B211,표2[#ALL],2)/HLOOKUP($A211,표1[#ALL],row(),false)</f>
        <v>#N/A</v>
      </c>
      <c r="AA211" s="376" t="str">
        <f>CS_PID!AA211/VLOOKUP($B211,표2[#ALL],2)/HLOOKUP($A211,표1[#ALL],row(),false)</f>
        <v>#N/A</v>
      </c>
      <c r="AB211" s="376" t="str">
        <f>CS_PID!AB211/VLOOKUP($B211,표2[#ALL],2)/HLOOKUP($A211,표1[#ALL],row(),false)</f>
        <v>#N/A</v>
      </c>
      <c r="AC211" s="376" t="str">
        <f>CS_PID!AC211/VLOOKUP($B211,표2[#ALL],2)/HLOOKUP($A211,표1[#ALL],row(),false)</f>
        <v>#N/A</v>
      </c>
      <c r="AD211" s="376" t="str">
        <f>CS_PID!AD211/VLOOKUP($B211,표2[#ALL],2)/HLOOKUP($A211,표1[#ALL],row(),false)</f>
        <v>#N/A</v>
      </c>
      <c r="AE211" s="376" t="str">
        <f>CS_PID!AE211/VLOOKUP($B211,표2[#ALL],2)/HLOOKUP($A211,표1[#ALL],row(),false)</f>
        <v>#N/A</v>
      </c>
      <c r="AF211" s="376" t="str">
        <f>CS_PID!AF211/VLOOKUP($B211,표2[#ALL],2)/HLOOKUP($A211,표1[#ALL],row(),false)</f>
        <v>#N/A</v>
      </c>
      <c r="AG211" s="376" t="str">
        <f>CS_PID!AG211/VLOOKUP($B211,표2[#ALL],2)/HLOOKUP($A211,표1[#ALL],row(),false)</f>
        <v>#N/A</v>
      </c>
      <c r="AH211" s="376" t="str">
        <f>CS_PID!AH211/VLOOKUP($B211,표2[#ALL],2)/HLOOKUP($A211,표1[#ALL],row(),false)</f>
        <v>#N/A</v>
      </c>
      <c r="AI211" s="376" t="str">
        <f>CS_PID!AI211/VLOOKUP($B211,표2[#ALL],2)/HLOOKUP($A211,표1[#ALL],row(),false)</f>
        <v>#N/A</v>
      </c>
      <c r="AJ211" s="376" t="str">
        <f>CS_PID!AJ211/VLOOKUP($B211,표2[#ALL],2)/HLOOKUP($A211,표1[#ALL],row(),false)</f>
        <v>#N/A</v>
      </c>
      <c r="AK211" s="376" t="str">
        <f>CS_PID!AK211/VLOOKUP($B211,표2[#ALL],2)/HLOOKUP($A211,표1[#ALL],row(),false)</f>
        <v>#N/A</v>
      </c>
      <c r="AL211" s="376" t="str">
        <f>CS_PID!AL211/VLOOKUP($B211,표2[#ALL],2)/HLOOKUP($A211,표1[#ALL],row(),false)</f>
        <v>#N/A</v>
      </c>
      <c r="AM211" s="376" t="str">
        <f>CS_PID!AM211/VLOOKUP($B211,표2[#ALL],2)/HLOOKUP($A211,표1[#ALL],row(),false)</f>
        <v>#N/A</v>
      </c>
      <c r="AN211" s="376" t="str">
        <f>CS_PID!AN211/VLOOKUP($B211,표2[#ALL],2)/HLOOKUP($A211,표1[#ALL],row(),false)</f>
        <v>#N/A</v>
      </c>
      <c r="AO211" s="376" t="str">
        <f>CS_PID!AO211/VLOOKUP($B211,표2[#ALL],2)/HLOOKUP($A211,표1[#ALL],row(),false)</f>
        <v>#N/A</v>
      </c>
      <c r="AP211" s="376" t="str">
        <f>CS_PID!AP211/VLOOKUP($B211,표2[#ALL],2)/HLOOKUP($A211,표1[#ALL],row(),false)</f>
        <v>#N/A</v>
      </c>
      <c r="AQ211" s="376" t="str">
        <f>CS_PID!AQ211/VLOOKUP($B211,표2[#ALL],2)/HLOOKUP($A211,표1[#ALL],row(),false)</f>
        <v>#N/A</v>
      </c>
      <c r="AR211" s="376" t="str">
        <f>CS_PID!AR211/VLOOKUP($B211,표2[#ALL],2)/HLOOKUP($A211,표1[#ALL],row(),false)</f>
        <v>#N/A</v>
      </c>
      <c r="AS211" s="377" t="str">
        <f>CS_PID!AS211/VLOOKUP($B211,표2[#ALL],2)/HLOOKUP($A211,표1[#ALL],row(),false)</f>
        <v>#N/A</v>
      </c>
    </row>
    <row r="212">
      <c r="A212" s="370"/>
      <c r="B212" s="371"/>
      <c r="C212" s="372" t="str">
        <f>CS_PID!C212/VLOOKUP($B212,표2[#ALL],2)</f>
        <v>#N/A</v>
      </c>
      <c r="D212" s="372" t="str">
        <f>CS_PID!D212/VLOOKUP($B212,표2[#ALL],2)</f>
        <v>#N/A</v>
      </c>
      <c r="E212" s="372" t="str">
        <f>CS_PID!E212/VLOOKUP($B212,표2[#ALL],2)</f>
        <v>#N/A</v>
      </c>
      <c r="F212" s="372" t="str">
        <f>CS_PID!F212/VLOOKUP($B212,표2[#ALL],2)</f>
        <v>#N/A</v>
      </c>
      <c r="G212" s="372" t="str">
        <f>CS_PID!G212/VLOOKUP($B212,표2[#ALL],2)</f>
        <v>#N/A</v>
      </c>
      <c r="H212" s="372" t="str">
        <f>CS_PID!H212/VLOOKUP($B212,표2[#ALL],2)/HLOOKUP($A212,표1[#ALL],row(),false)</f>
        <v>#N/A</v>
      </c>
      <c r="I212" s="372" t="str">
        <f>CS_PID!I212/VLOOKUP($B212,표2[#ALL],2)/HLOOKUP($A212,표1[#ALL],row(),false)</f>
        <v>#N/A</v>
      </c>
      <c r="J212" s="372" t="str">
        <f>CS_PID!J212/VLOOKUP($B212,표2[#ALL],2)/HLOOKUP($A212,표1[#ALL],row(),false)</f>
        <v>#N/A</v>
      </c>
      <c r="K212" s="372" t="str">
        <f>CS_PID!K212/VLOOKUP($B212,표2[#ALL],2)/HLOOKUP($A212,표1[#ALL],row(),false)</f>
        <v>#N/A</v>
      </c>
      <c r="L212" s="372" t="str">
        <f>CS_PID!L212/VLOOKUP($B212,표2[#ALL],2)/HLOOKUP($A212,표1[#ALL],row(),false)</f>
        <v>#N/A</v>
      </c>
      <c r="M212" s="372" t="str">
        <f>CS_PID!M212/VLOOKUP($B212,표2[#ALL],2)/HLOOKUP($A212,표1[#ALL],row(),false)</f>
        <v>#N/A</v>
      </c>
      <c r="N212" s="372" t="str">
        <f>CS_PID!N212/VLOOKUP($B212,표2[#ALL],2)/HLOOKUP($A212,표1[#ALL],row(),false)</f>
        <v>#N/A</v>
      </c>
      <c r="O212" s="372" t="str">
        <f>CS_PID!O212/VLOOKUP($B212,표2[#ALL],2)/HLOOKUP($A212,표1[#ALL],row(),false)</f>
        <v>#N/A</v>
      </c>
      <c r="P212" s="372" t="str">
        <f>CS_PID!P212/VLOOKUP($B212,표2[#ALL],2)/HLOOKUP($A212,표1[#ALL],row(),false)</f>
        <v>#N/A</v>
      </c>
      <c r="Q212" s="372" t="str">
        <f>CS_PID!Q212/VLOOKUP($B212,표2[#ALL],2)/HLOOKUP($A212,표1[#ALL],row(),false)</f>
        <v>#N/A</v>
      </c>
      <c r="R212" s="372" t="str">
        <f>CS_PID!R212/VLOOKUP($B212,표2[#ALL],2)/HLOOKUP($A212,표1[#ALL],row(),false)</f>
        <v>#N/A</v>
      </c>
      <c r="S212" s="372" t="str">
        <f>CS_PID!S212/VLOOKUP($B212,표2[#ALL],2)/HLOOKUP($A212,표1[#ALL],row(),false)</f>
        <v>#N/A</v>
      </c>
      <c r="T212" s="372" t="str">
        <f>CS_PID!T212/VLOOKUP($B212,표2[#ALL],2)/HLOOKUP($A212,표1[#ALL],row(),false)</f>
        <v>#N/A</v>
      </c>
      <c r="U212" s="372" t="str">
        <f>CS_PID!U212/VLOOKUP($B212,표2[#ALL],2)/HLOOKUP($A212,표1[#ALL],row(),false)</f>
        <v>#N/A</v>
      </c>
      <c r="V212" s="372" t="str">
        <f>CS_PID!V212/VLOOKUP($B212,표2[#ALL],2)/HLOOKUP($A212,표1[#ALL],row(),false)</f>
        <v>#N/A</v>
      </c>
      <c r="W212" s="372" t="str">
        <f>CS_PID!W212/VLOOKUP($B212,표2[#ALL],2)/HLOOKUP($A212,표1[#ALL],row(),false)</f>
        <v>#N/A</v>
      </c>
      <c r="X212" s="372" t="str">
        <f>CS_PID!X212/VLOOKUP($B212,표2[#ALL],2)/HLOOKUP($A212,표1[#ALL],row(),false)</f>
        <v>#N/A</v>
      </c>
      <c r="Y212" s="372" t="str">
        <f>CS_PID!Y212/VLOOKUP($B212,표2[#ALL],2)/HLOOKUP($A212,표1[#ALL],row(),false)</f>
        <v>#N/A</v>
      </c>
      <c r="Z212" s="372" t="str">
        <f>CS_PID!Z212/VLOOKUP($B212,표2[#ALL],2)/HLOOKUP($A212,표1[#ALL],row(),false)</f>
        <v>#N/A</v>
      </c>
      <c r="AA212" s="372" t="str">
        <f>CS_PID!AA212/VLOOKUP($B212,표2[#ALL],2)/HLOOKUP($A212,표1[#ALL],row(),false)</f>
        <v>#N/A</v>
      </c>
      <c r="AB212" s="372" t="str">
        <f>CS_PID!AB212/VLOOKUP($B212,표2[#ALL],2)/HLOOKUP($A212,표1[#ALL],row(),false)</f>
        <v>#N/A</v>
      </c>
      <c r="AC212" s="372" t="str">
        <f>CS_PID!AC212/VLOOKUP($B212,표2[#ALL],2)/HLOOKUP($A212,표1[#ALL],row(),false)</f>
        <v>#N/A</v>
      </c>
      <c r="AD212" s="372" t="str">
        <f>CS_PID!AD212/VLOOKUP($B212,표2[#ALL],2)/HLOOKUP($A212,표1[#ALL],row(),false)</f>
        <v>#N/A</v>
      </c>
      <c r="AE212" s="372" t="str">
        <f>CS_PID!AE212/VLOOKUP($B212,표2[#ALL],2)/HLOOKUP($A212,표1[#ALL],row(),false)</f>
        <v>#N/A</v>
      </c>
      <c r="AF212" s="372" t="str">
        <f>CS_PID!AF212/VLOOKUP($B212,표2[#ALL],2)/HLOOKUP($A212,표1[#ALL],row(),false)</f>
        <v>#N/A</v>
      </c>
      <c r="AG212" s="372" t="str">
        <f>CS_PID!AG212/VLOOKUP($B212,표2[#ALL],2)/HLOOKUP($A212,표1[#ALL],row(),false)</f>
        <v>#N/A</v>
      </c>
      <c r="AH212" s="372" t="str">
        <f>CS_PID!AH212/VLOOKUP($B212,표2[#ALL],2)/HLOOKUP($A212,표1[#ALL],row(),false)</f>
        <v>#N/A</v>
      </c>
      <c r="AI212" s="372" t="str">
        <f>CS_PID!AI212/VLOOKUP($B212,표2[#ALL],2)/HLOOKUP($A212,표1[#ALL],row(),false)</f>
        <v>#N/A</v>
      </c>
      <c r="AJ212" s="372" t="str">
        <f>CS_PID!AJ212/VLOOKUP($B212,표2[#ALL],2)/HLOOKUP($A212,표1[#ALL],row(),false)</f>
        <v>#N/A</v>
      </c>
      <c r="AK212" s="372" t="str">
        <f>CS_PID!AK212/VLOOKUP($B212,표2[#ALL],2)/HLOOKUP($A212,표1[#ALL],row(),false)</f>
        <v>#N/A</v>
      </c>
      <c r="AL212" s="372" t="str">
        <f>CS_PID!AL212/VLOOKUP($B212,표2[#ALL],2)/HLOOKUP($A212,표1[#ALL],row(),false)</f>
        <v>#N/A</v>
      </c>
      <c r="AM212" s="372" t="str">
        <f>CS_PID!AM212/VLOOKUP($B212,표2[#ALL],2)/HLOOKUP($A212,표1[#ALL],row(),false)</f>
        <v>#N/A</v>
      </c>
      <c r="AN212" s="372" t="str">
        <f>CS_PID!AN212/VLOOKUP($B212,표2[#ALL],2)/HLOOKUP($A212,표1[#ALL],row(),false)</f>
        <v>#N/A</v>
      </c>
      <c r="AO212" s="372" t="str">
        <f>CS_PID!AO212/VLOOKUP($B212,표2[#ALL],2)/HLOOKUP($A212,표1[#ALL],row(),false)</f>
        <v>#N/A</v>
      </c>
      <c r="AP212" s="372" t="str">
        <f>CS_PID!AP212/VLOOKUP($B212,표2[#ALL],2)/HLOOKUP($A212,표1[#ALL],row(),false)</f>
        <v>#N/A</v>
      </c>
      <c r="AQ212" s="372" t="str">
        <f>CS_PID!AQ212/VLOOKUP($B212,표2[#ALL],2)/HLOOKUP($A212,표1[#ALL],row(),false)</f>
        <v>#N/A</v>
      </c>
      <c r="AR212" s="372" t="str">
        <f>CS_PID!AR212/VLOOKUP($B212,표2[#ALL],2)/HLOOKUP($A212,표1[#ALL],row(),false)</f>
        <v>#N/A</v>
      </c>
      <c r="AS212" s="373" t="str">
        <f>CS_PID!AS212/VLOOKUP($B212,표2[#ALL],2)/HLOOKUP($A212,표1[#ALL],row(),false)</f>
        <v>#N/A</v>
      </c>
    </row>
    <row r="213">
      <c r="A213" s="374"/>
      <c r="B213" s="375"/>
      <c r="C213" s="376" t="str">
        <f>CS_PID!C213/VLOOKUP($B213,표2[#ALL],2)</f>
        <v>#N/A</v>
      </c>
      <c r="D213" s="376" t="str">
        <f>CS_PID!D213/VLOOKUP($B213,표2[#ALL],2)</f>
        <v>#N/A</v>
      </c>
      <c r="E213" s="376" t="str">
        <f>CS_PID!E213/VLOOKUP($B213,표2[#ALL],2)</f>
        <v>#N/A</v>
      </c>
      <c r="F213" s="376" t="str">
        <f>CS_PID!F213/VLOOKUP($B213,표2[#ALL],2)</f>
        <v>#N/A</v>
      </c>
      <c r="G213" s="376" t="str">
        <f>CS_PID!G213/VLOOKUP($B213,표2[#ALL],2)</f>
        <v>#N/A</v>
      </c>
      <c r="H213" s="376" t="str">
        <f>CS_PID!H213/VLOOKUP($B213,표2[#ALL],2)/HLOOKUP($A213,표1[#ALL],row(),false)</f>
        <v>#N/A</v>
      </c>
      <c r="I213" s="376" t="str">
        <f>CS_PID!I213/VLOOKUP($B213,표2[#ALL],2)/HLOOKUP($A213,표1[#ALL],row(),false)</f>
        <v>#N/A</v>
      </c>
      <c r="J213" s="376" t="str">
        <f>CS_PID!J213/VLOOKUP($B213,표2[#ALL],2)/HLOOKUP($A213,표1[#ALL],row(),false)</f>
        <v>#N/A</v>
      </c>
      <c r="K213" s="376" t="str">
        <f>CS_PID!K213/VLOOKUP($B213,표2[#ALL],2)/HLOOKUP($A213,표1[#ALL],row(),false)</f>
        <v>#N/A</v>
      </c>
      <c r="L213" s="376" t="str">
        <f>CS_PID!L213/VLOOKUP($B213,표2[#ALL],2)/HLOOKUP($A213,표1[#ALL],row(),false)</f>
        <v>#N/A</v>
      </c>
      <c r="M213" s="376" t="str">
        <f>CS_PID!M213/VLOOKUP($B213,표2[#ALL],2)/HLOOKUP($A213,표1[#ALL],row(),false)</f>
        <v>#N/A</v>
      </c>
      <c r="N213" s="376" t="str">
        <f>CS_PID!N213/VLOOKUP($B213,표2[#ALL],2)/HLOOKUP($A213,표1[#ALL],row(),false)</f>
        <v>#N/A</v>
      </c>
      <c r="O213" s="376" t="str">
        <f>CS_PID!O213/VLOOKUP($B213,표2[#ALL],2)/HLOOKUP($A213,표1[#ALL],row(),false)</f>
        <v>#N/A</v>
      </c>
      <c r="P213" s="376" t="str">
        <f>CS_PID!P213/VLOOKUP($B213,표2[#ALL],2)/HLOOKUP($A213,표1[#ALL],row(),false)</f>
        <v>#N/A</v>
      </c>
      <c r="Q213" s="376" t="str">
        <f>CS_PID!Q213/VLOOKUP($B213,표2[#ALL],2)/HLOOKUP($A213,표1[#ALL],row(),false)</f>
        <v>#N/A</v>
      </c>
      <c r="R213" s="376" t="str">
        <f>CS_PID!R213/VLOOKUP($B213,표2[#ALL],2)/HLOOKUP($A213,표1[#ALL],row(),false)</f>
        <v>#N/A</v>
      </c>
      <c r="S213" s="376" t="str">
        <f>CS_PID!S213/VLOOKUP($B213,표2[#ALL],2)/HLOOKUP($A213,표1[#ALL],row(),false)</f>
        <v>#N/A</v>
      </c>
      <c r="T213" s="376" t="str">
        <f>CS_PID!T213/VLOOKUP($B213,표2[#ALL],2)/HLOOKUP($A213,표1[#ALL],row(),false)</f>
        <v>#N/A</v>
      </c>
      <c r="U213" s="376" t="str">
        <f>CS_PID!U213/VLOOKUP($B213,표2[#ALL],2)/HLOOKUP($A213,표1[#ALL],row(),false)</f>
        <v>#N/A</v>
      </c>
      <c r="V213" s="376" t="str">
        <f>CS_PID!V213/VLOOKUP($B213,표2[#ALL],2)/HLOOKUP($A213,표1[#ALL],row(),false)</f>
        <v>#N/A</v>
      </c>
      <c r="W213" s="376" t="str">
        <f>CS_PID!W213/VLOOKUP($B213,표2[#ALL],2)/HLOOKUP($A213,표1[#ALL],row(),false)</f>
        <v>#N/A</v>
      </c>
      <c r="X213" s="376" t="str">
        <f>CS_PID!X213/VLOOKUP($B213,표2[#ALL],2)/HLOOKUP($A213,표1[#ALL],row(),false)</f>
        <v>#N/A</v>
      </c>
      <c r="Y213" s="376" t="str">
        <f>CS_PID!Y213/VLOOKUP($B213,표2[#ALL],2)/HLOOKUP($A213,표1[#ALL],row(),false)</f>
        <v>#N/A</v>
      </c>
      <c r="Z213" s="376" t="str">
        <f>CS_PID!Z213/VLOOKUP($B213,표2[#ALL],2)/HLOOKUP($A213,표1[#ALL],row(),false)</f>
        <v>#N/A</v>
      </c>
      <c r="AA213" s="376" t="str">
        <f>CS_PID!AA213/VLOOKUP($B213,표2[#ALL],2)/HLOOKUP($A213,표1[#ALL],row(),false)</f>
        <v>#N/A</v>
      </c>
      <c r="AB213" s="376" t="str">
        <f>CS_PID!AB213/VLOOKUP($B213,표2[#ALL],2)/HLOOKUP($A213,표1[#ALL],row(),false)</f>
        <v>#N/A</v>
      </c>
      <c r="AC213" s="376" t="str">
        <f>CS_PID!AC213/VLOOKUP($B213,표2[#ALL],2)/HLOOKUP($A213,표1[#ALL],row(),false)</f>
        <v>#N/A</v>
      </c>
      <c r="AD213" s="376" t="str">
        <f>CS_PID!AD213/VLOOKUP($B213,표2[#ALL],2)/HLOOKUP($A213,표1[#ALL],row(),false)</f>
        <v>#N/A</v>
      </c>
      <c r="AE213" s="376" t="str">
        <f>CS_PID!AE213/VLOOKUP($B213,표2[#ALL],2)/HLOOKUP($A213,표1[#ALL],row(),false)</f>
        <v>#N/A</v>
      </c>
      <c r="AF213" s="376" t="str">
        <f>CS_PID!AF213/VLOOKUP($B213,표2[#ALL],2)/HLOOKUP($A213,표1[#ALL],row(),false)</f>
        <v>#N/A</v>
      </c>
      <c r="AG213" s="376" t="str">
        <f>CS_PID!AG213/VLOOKUP($B213,표2[#ALL],2)/HLOOKUP($A213,표1[#ALL],row(),false)</f>
        <v>#N/A</v>
      </c>
      <c r="AH213" s="376" t="str">
        <f>CS_PID!AH213/VLOOKUP($B213,표2[#ALL],2)/HLOOKUP($A213,표1[#ALL],row(),false)</f>
        <v>#N/A</v>
      </c>
      <c r="AI213" s="376" t="str">
        <f>CS_PID!AI213/VLOOKUP($B213,표2[#ALL],2)/HLOOKUP($A213,표1[#ALL],row(),false)</f>
        <v>#N/A</v>
      </c>
      <c r="AJ213" s="376" t="str">
        <f>CS_PID!AJ213/VLOOKUP($B213,표2[#ALL],2)/HLOOKUP($A213,표1[#ALL],row(),false)</f>
        <v>#N/A</v>
      </c>
      <c r="AK213" s="376" t="str">
        <f>CS_PID!AK213/VLOOKUP($B213,표2[#ALL],2)/HLOOKUP($A213,표1[#ALL],row(),false)</f>
        <v>#N/A</v>
      </c>
      <c r="AL213" s="376" t="str">
        <f>CS_PID!AL213/VLOOKUP($B213,표2[#ALL],2)/HLOOKUP($A213,표1[#ALL],row(),false)</f>
        <v>#N/A</v>
      </c>
      <c r="AM213" s="376" t="str">
        <f>CS_PID!AM213/VLOOKUP($B213,표2[#ALL],2)/HLOOKUP($A213,표1[#ALL],row(),false)</f>
        <v>#N/A</v>
      </c>
      <c r="AN213" s="376" t="str">
        <f>CS_PID!AN213/VLOOKUP($B213,표2[#ALL],2)/HLOOKUP($A213,표1[#ALL],row(),false)</f>
        <v>#N/A</v>
      </c>
      <c r="AO213" s="376" t="str">
        <f>CS_PID!AO213/VLOOKUP($B213,표2[#ALL],2)/HLOOKUP($A213,표1[#ALL],row(),false)</f>
        <v>#N/A</v>
      </c>
      <c r="AP213" s="376" t="str">
        <f>CS_PID!AP213/VLOOKUP($B213,표2[#ALL],2)/HLOOKUP($A213,표1[#ALL],row(),false)</f>
        <v>#N/A</v>
      </c>
      <c r="AQ213" s="376" t="str">
        <f>CS_PID!AQ213/VLOOKUP($B213,표2[#ALL],2)/HLOOKUP($A213,표1[#ALL],row(),false)</f>
        <v>#N/A</v>
      </c>
      <c r="AR213" s="376" t="str">
        <f>CS_PID!AR213/VLOOKUP($B213,표2[#ALL],2)/HLOOKUP($A213,표1[#ALL],row(),false)</f>
        <v>#N/A</v>
      </c>
      <c r="AS213" s="377" t="str">
        <f>CS_PID!AS213/VLOOKUP($B213,표2[#ALL],2)/HLOOKUP($A213,표1[#ALL],row(),false)</f>
        <v>#N/A</v>
      </c>
    </row>
    <row r="214">
      <c r="A214" s="370"/>
      <c r="B214" s="371"/>
      <c r="C214" s="372" t="str">
        <f>CS_PID!C214/VLOOKUP($B214,표2[#ALL],2)</f>
        <v>#N/A</v>
      </c>
      <c r="D214" s="372" t="str">
        <f>CS_PID!D214/VLOOKUP($B214,표2[#ALL],2)</f>
        <v>#N/A</v>
      </c>
      <c r="E214" s="372" t="str">
        <f>CS_PID!E214/VLOOKUP($B214,표2[#ALL],2)</f>
        <v>#N/A</v>
      </c>
      <c r="F214" s="372" t="str">
        <f>CS_PID!F214/VLOOKUP($B214,표2[#ALL],2)</f>
        <v>#N/A</v>
      </c>
      <c r="G214" s="372" t="str">
        <f>CS_PID!G214/VLOOKUP($B214,표2[#ALL],2)</f>
        <v>#N/A</v>
      </c>
      <c r="H214" s="372" t="str">
        <f>CS_PID!H214/VLOOKUP($B214,표2[#ALL],2)/HLOOKUP($A214,표1[#ALL],row(),false)</f>
        <v>#N/A</v>
      </c>
      <c r="I214" s="372" t="str">
        <f>CS_PID!I214/VLOOKUP($B214,표2[#ALL],2)/HLOOKUP($A214,표1[#ALL],row(),false)</f>
        <v>#N/A</v>
      </c>
      <c r="J214" s="372" t="str">
        <f>CS_PID!J214/VLOOKUP($B214,표2[#ALL],2)/HLOOKUP($A214,표1[#ALL],row(),false)</f>
        <v>#N/A</v>
      </c>
      <c r="K214" s="372" t="str">
        <f>CS_PID!K214/VLOOKUP($B214,표2[#ALL],2)/HLOOKUP($A214,표1[#ALL],row(),false)</f>
        <v>#N/A</v>
      </c>
      <c r="L214" s="372" t="str">
        <f>CS_PID!L214/VLOOKUP($B214,표2[#ALL],2)/HLOOKUP($A214,표1[#ALL],row(),false)</f>
        <v>#N/A</v>
      </c>
      <c r="M214" s="372" t="str">
        <f>CS_PID!M214/VLOOKUP($B214,표2[#ALL],2)/HLOOKUP($A214,표1[#ALL],row(),false)</f>
        <v>#N/A</v>
      </c>
      <c r="N214" s="372" t="str">
        <f>CS_PID!N214/VLOOKUP($B214,표2[#ALL],2)/HLOOKUP($A214,표1[#ALL],row(),false)</f>
        <v>#N/A</v>
      </c>
      <c r="O214" s="372" t="str">
        <f>CS_PID!O214/VLOOKUP($B214,표2[#ALL],2)/HLOOKUP($A214,표1[#ALL],row(),false)</f>
        <v>#N/A</v>
      </c>
      <c r="P214" s="372" t="str">
        <f>CS_PID!P214/VLOOKUP($B214,표2[#ALL],2)/HLOOKUP($A214,표1[#ALL],row(),false)</f>
        <v>#N/A</v>
      </c>
      <c r="Q214" s="372" t="str">
        <f>CS_PID!Q214/VLOOKUP($B214,표2[#ALL],2)/HLOOKUP($A214,표1[#ALL],row(),false)</f>
        <v>#N/A</v>
      </c>
      <c r="R214" s="372" t="str">
        <f>CS_PID!R214/VLOOKUP($B214,표2[#ALL],2)/HLOOKUP($A214,표1[#ALL],row(),false)</f>
        <v>#N/A</v>
      </c>
      <c r="S214" s="372" t="str">
        <f>CS_PID!S214/VLOOKUP($B214,표2[#ALL],2)/HLOOKUP($A214,표1[#ALL],row(),false)</f>
        <v>#N/A</v>
      </c>
      <c r="T214" s="372" t="str">
        <f>CS_PID!T214/VLOOKUP($B214,표2[#ALL],2)/HLOOKUP($A214,표1[#ALL],row(),false)</f>
        <v>#N/A</v>
      </c>
      <c r="U214" s="372" t="str">
        <f>CS_PID!U214/VLOOKUP($B214,표2[#ALL],2)/HLOOKUP($A214,표1[#ALL],row(),false)</f>
        <v>#N/A</v>
      </c>
      <c r="V214" s="372" t="str">
        <f>CS_PID!V214/VLOOKUP($B214,표2[#ALL],2)/HLOOKUP($A214,표1[#ALL],row(),false)</f>
        <v>#N/A</v>
      </c>
      <c r="W214" s="372" t="str">
        <f>CS_PID!W214/VLOOKUP($B214,표2[#ALL],2)/HLOOKUP($A214,표1[#ALL],row(),false)</f>
        <v>#N/A</v>
      </c>
      <c r="X214" s="372" t="str">
        <f>CS_PID!X214/VLOOKUP($B214,표2[#ALL],2)/HLOOKUP($A214,표1[#ALL],row(),false)</f>
        <v>#N/A</v>
      </c>
      <c r="Y214" s="372" t="str">
        <f>CS_PID!Y214/VLOOKUP($B214,표2[#ALL],2)/HLOOKUP($A214,표1[#ALL],row(),false)</f>
        <v>#N/A</v>
      </c>
      <c r="Z214" s="372" t="str">
        <f>CS_PID!Z214/VLOOKUP($B214,표2[#ALL],2)/HLOOKUP($A214,표1[#ALL],row(),false)</f>
        <v>#N/A</v>
      </c>
      <c r="AA214" s="372" t="str">
        <f>CS_PID!AA214/VLOOKUP($B214,표2[#ALL],2)/HLOOKUP($A214,표1[#ALL],row(),false)</f>
        <v>#N/A</v>
      </c>
      <c r="AB214" s="372" t="str">
        <f>CS_PID!AB214/VLOOKUP($B214,표2[#ALL],2)/HLOOKUP($A214,표1[#ALL],row(),false)</f>
        <v>#N/A</v>
      </c>
      <c r="AC214" s="372" t="str">
        <f>CS_PID!AC214/VLOOKUP($B214,표2[#ALL],2)/HLOOKUP($A214,표1[#ALL],row(),false)</f>
        <v>#N/A</v>
      </c>
      <c r="AD214" s="372" t="str">
        <f>CS_PID!AD214/VLOOKUP($B214,표2[#ALL],2)/HLOOKUP($A214,표1[#ALL],row(),false)</f>
        <v>#N/A</v>
      </c>
      <c r="AE214" s="372" t="str">
        <f>CS_PID!AE214/VLOOKUP($B214,표2[#ALL],2)/HLOOKUP($A214,표1[#ALL],row(),false)</f>
        <v>#N/A</v>
      </c>
      <c r="AF214" s="372" t="str">
        <f>CS_PID!AF214/VLOOKUP($B214,표2[#ALL],2)/HLOOKUP($A214,표1[#ALL],row(),false)</f>
        <v>#N/A</v>
      </c>
      <c r="AG214" s="372" t="str">
        <f>CS_PID!AG214/VLOOKUP($B214,표2[#ALL],2)/HLOOKUP($A214,표1[#ALL],row(),false)</f>
        <v>#N/A</v>
      </c>
      <c r="AH214" s="372" t="str">
        <f>CS_PID!AH214/VLOOKUP($B214,표2[#ALL],2)/HLOOKUP($A214,표1[#ALL],row(),false)</f>
        <v>#N/A</v>
      </c>
      <c r="AI214" s="372" t="str">
        <f>CS_PID!AI214/VLOOKUP($B214,표2[#ALL],2)/HLOOKUP($A214,표1[#ALL],row(),false)</f>
        <v>#N/A</v>
      </c>
      <c r="AJ214" s="372" t="str">
        <f>CS_PID!AJ214/VLOOKUP($B214,표2[#ALL],2)/HLOOKUP($A214,표1[#ALL],row(),false)</f>
        <v>#N/A</v>
      </c>
      <c r="AK214" s="372" t="str">
        <f>CS_PID!AK214/VLOOKUP($B214,표2[#ALL],2)/HLOOKUP($A214,표1[#ALL],row(),false)</f>
        <v>#N/A</v>
      </c>
      <c r="AL214" s="372" t="str">
        <f>CS_PID!AL214/VLOOKUP($B214,표2[#ALL],2)/HLOOKUP($A214,표1[#ALL],row(),false)</f>
        <v>#N/A</v>
      </c>
      <c r="AM214" s="372" t="str">
        <f>CS_PID!AM214/VLOOKUP($B214,표2[#ALL],2)/HLOOKUP($A214,표1[#ALL],row(),false)</f>
        <v>#N/A</v>
      </c>
      <c r="AN214" s="372" t="str">
        <f>CS_PID!AN214/VLOOKUP($B214,표2[#ALL],2)/HLOOKUP($A214,표1[#ALL],row(),false)</f>
        <v>#N/A</v>
      </c>
      <c r="AO214" s="372" t="str">
        <f>CS_PID!AO214/VLOOKUP($B214,표2[#ALL],2)/HLOOKUP($A214,표1[#ALL],row(),false)</f>
        <v>#N/A</v>
      </c>
      <c r="AP214" s="372" t="str">
        <f>CS_PID!AP214/VLOOKUP($B214,표2[#ALL],2)/HLOOKUP($A214,표1[#ALL],row(),false)</f>
        <v>#N/A</v>
      </c>
      <c r="AQ214" s="372" t="str">
        <f>CS_PID!AQ214/VLOOKUP($B214,표2[#ALL],2)/HLOOKUP($A214,표1[#ALL],row(),false)</f>
        <v>#N/A</v>
      </c>
      <c r="AR214" s="372" t="str">
        <f>CS_PID!AR214/VLOOKUP($B214,표2[#ALL],2)/HLOOKUP($A214,표1[#ALL],row(),false)</f>
        <v>#N/A</v>
      </c>
      <c r="AS214" s="373" t="str">
        <f>CS_PID!AS214/VLOOKUP($B214,표2[#ALL],2)/HLOOKUP($A214,표1[#ALL],row(),false)</f>
        <v>#N/A</v>
      </c>
    </row>
    <row r="215">
      <c r="A215" s="374"/>
      <c r="B215" s="375"/>
      <c r="C215" s="376" t="str">
        <f>CS_PID!C215/VLOOKUP($B215,표2[#ALL],2)</f>
        <v>#N/A</v>
      </c>
      <c r="D215" s="376" t="str">
        <f>CS_PID!D215/VLOOKUP($B215,표2[#ALL],2)</f>
        <v>#N/A</v>
      </c>
      <c r="E215" s="376" t="str">
        <f>CS_PID!E215/VLOOKUP($B215,표2[#ALL],2)</f>
        <v>#N/A</v>
      </c>
      <c r="F215" s="376" t="str">
        <f>CS_PID!F215/VLOOKUP($B215,표2[#ALL],2)</f>
        <v>#N/A</v>
      </c>
      <c r="G215" s="376" t="str">
        <f>CS_PID!G215/VLOOKUP($B215,표2[#ALL],2)</f>
        <v>#N/A</v>
      </c>
      <c r="H215" s="376" t="str">
        <f>CS_PID!H215/VLOOKUP($B215,표2[#ALL],2)/HLOOKUP($A215,표1[#ALL],row(),false)</f>
        <v>#N/A</v>
      </c>
      <c r="I215" s="376" t="str">
        <f>CS_PID!I215/VLOOKUP($B215,표2[#ALL],2)/HLOOKUP($A215,표1[#ALL],row(),false)</f>
        <v>#N/A</v>
      </c>
      <c r="J215" s="376" t="str">
        <f>CS_PID!J215/VLOOKUP($B215,표2[#ALL],2)/HLOOKUP($A215,표1[#ALL],row(),false)</f>
        <v>#N/A</v>
      </c>
      <c r="K215" s="376" t="str">
        <f>CS_PID!K215/VLOOKUP($B215,표2[#ALL],2)/HLOOKUP($A215,표1[#ALL],row(),false)</f>
        <v>#N/A</v>
      </c>
      <c r="L215" s="376" t="str">
        <f>CS_PID!L215/VLOOKUP($B215,표2[#ALL],2)/HLOOKUP($A215,표1[#ALL],row(),false)</f>
        <v>#N/A</v>
      </c>
      <c r="M215" s="376" t="str">
        <f>CS_PID!M215/VLOOKUP($B215,표2[#ALL],2)/HLOOKUP($A215,표1[#ALL],row(),false)</f>
        <v>#N/A</v>
      </c>
      <c r="N215" s="376" t="str">
        <f>CS_PID!N215/VLOOKUP($B215,표2[#ALL],2)/HLOOKUP($A215,표1[#ALL],row(),false)</f>
        <v>#N/A</v>
      </c>
      <c r="O215" s="376" t="str">
        <f>CS_PID!O215/VLOOKUP($B215,표2[#ALL],2)/HLOOKUP($A215,표1[#ALL],row(),false)</f>
        <v>#N/A</v>
      </c>
      <c r="P215" s="376" t="str">
        <f>CS_PID!P215/VLOOKUP($B215,표2[#ALL],2)/HLOOKUP($A215,표1[#ALL],row(),false)</f>
        <v>#N/A</v>
      </c>
      <c r="Q215" s="376" t="str">
        <f>CS_PID!Q215/VLOOKUP($B215,표2[#ALL],2)/HLOOKUP($A215,표1[#ALL],row(),false)</f>
        <v>#N/A</v>
      </c>
      <c r="R215" s="376" t="str">
        <f>CS_PID!R215/VLOOKUP($B215,표2[#ALL],2)/HLOOKUP($A215,표1[#ALL],row(),false)</f>
        <v>#N/A</v>
      </c>
      <c r="S215" s="376" t="str">
        <f>CS_PID!S215/VLOOKUP($B215,표2[#ALL],2)/HLOOKUP($A215,표1[#ALL],row(),false)</f>
        <v>#N/A</v>
      </c>
      <c r="T215" s="376" t="str">
        <f>CS_PID!T215/VLOOKUP($B215,표2[#ALL],2)/HLOOKUP($A215,표1[#ALL],row(),false)</f>
        <v>#N/A</v>
      </c>
      <c r="U215" s="376" t="str">
        <f>CS_PID!U215/VLOOKUP($B215,표2[#ALL],2)/HLOOKUP($A215,표1[#ALL],row(),false)</f>
        <v>#N/A</v>
      </c>
      <c r="V215" s="376" t="str">
        <f>CS_PID!V215/VLOOKUP($B215,표2[#ALL],2)/HLOOKUP($A215,표1[#ALL],row(),false)</f>
        <v>#N/A</v>
      </c>
      <c r="W215" s="376" t="str">
        <f>CS_PID!W215/VLOOKUP($B215,표2[#ALL],2)/HLOOKUP($A215,표1[#ALL],row(),false)</f>
        <v>#N/A</v>
      </c>
      <c r="X215" s="376" t="str">
        <f>CS_PID!X215/VLOOKUP($B215,표2[#ALL],2)/HLOOKUP($A215,표1[#ALL],row(),false)</f>
        <v>#N/A</v>
      </c>
      <c r="Y215" s="376" t="str">
        <f>CS_PID!Y215/VLOOKUP($B215,표2[#ALL],2)/HLOOKUP($A215,표1[#ALL],row(),false)</f>
        <v>#N/A</v>
      </c>
      <c r="Z215" s="376" t="str">
        <f>CS_PID!Z215/VLOOKUP($B215,표2[#ALL],2)/HLOOKUP($A215,표1[#ALL],row(),false)</f>
        <v>#N/A</v>
      </c>
      <c r="AA215" s="376" t="str">
        <f>CS_PID!AA215/VLOOKUP($B215,표2[#ALL],2)/HLOOKUP($A215,표1[#ALL],row(),false)</f>
        <v>#N/A</v>
      </c>
      <c r="AB215" s="376" t="str">
        <f>CS_PID!AB215/VLOOKUP($B215,표2[#ALL],2)/HLOOKUP($A215,표1[#ALL],row(),false)</f>
        <v>#N/A</v>
      </c>
      <c r="AC215" s="376" t="str">
        <f>CS_PID!AC215/VLOOKUP($B215,표2[#ALL],2)/HLOOKUP($A215,표1[#ALL],row(),false)</f>
        <v>#N/A</v>
      </c>
      <c r="AD215" s="376" t="str">
        <f>CS_PID!AD215/VLOOKUP($B215,표2[#ALL],2)/HLOOKUP($A215,표1[#ALL],row(),false)</f>
        <v>#N/A</v>
      </c>
      <c r="AE215" s="376" t="str">
        <f>CS_PID!AE215/VLOOKUP($B215,표2[#ALL],2)/HLOOKUP($A215,표1[#ALL],row(),false)</f>
        <v>#N/A</v>
      </c>
      <c r="AF215" s="376" t="str">
        <f>CS_PID!AF215/VLOOKUP($B215,표2[#ALL],2)/HLOOKUP($A215,표1[#ALL],row(),false)</f>
        <v>#N/A</v>
      </c>
      <c r="AG215" s="376" t="str">
        <f>CS_PID!AG215/VLOOKUP($B215,표2[#ALL],2)/HLOOKUP($A215,표1[#ALL],row(),false)</f>
        <v>#N/A</v>
      </c>
      <c r="AH215" s="376" t="str">
        <f>CS_PID!AH215/VLOOKUP($B215,표2[#ALL],2)/HLOOKUP($A215,표1[#ALL],row(),false)</f>
        <v>#N/A</v>
      </c>
      <c r="AI215" s="376" t="str">
        <f>CS_PID!AI215/VLOOKUP($B215,표2[#ALL],2)/HLOOKUP($A215,표1[#ALL],row(),false)</f>
        <v>#N/A</v>
      </c>
      <c r="AJ215" s="376" t="str">
        <f>CS_PID!AJ215/VLOOKUP($B215,표2[#ALL],2)/HLOOKUP($A215,표1[#ALL],row(),false)</f>
        <v>#N/A</v>
      </c>
      <c r="AK215" s="376" t="str">
        <f>CS_PID!AK215/VLOOKUP($B215,표2[#ALL],2)/HLOOKUP($A215,표1[#ALL],row(),false)</f>
        <v>#N/A</v>
      </c>
      <c r="AL215" s="376" t="str">
        <f>CS_PID!AL215/VLOOKUP($B215,표2[#ALL],2)/HLOOKUP($A215,표1[#ALL],row(),false)</f>
        <v>#N/A</v>
      </c>
      <c r="AM215" s="376" t="str">
        <f>CS_PID!AM215/VLOOKUP($B215,표2[#ALL],2)/HLOOKUP($A215,표1[#ALL],row(),false)</f>
        <v>#N/A</v>
      </c>
      <c r="AN215" s="376" t="str">
        <f>CS_PID!AN215/VLOOKUP($B215,표2[#ALL],2)/HLOOKUP($A215,표1[#ALL],row(),false)</f>
        <v>#N/A</v>
      </c>
      <c r="AO215" s="376" t="str">
        <f>CS_PID!AO215/VLOOKUP($B215,표2[#ALL],2)/HLOOKUP($A215,표1[#ALL],row(),false)</f>
        <v>#N/A</v>
      </c>
      <c r="AP215" s="376" t="str">
        <f>CS_PID!AP215/VLOOKUP($B215,표2[#ALL],2)/HLOOKUP($A215,표1[#ALL],row(),false)</f>
        <v>#N/A</v>
      </c>
      <c r="AQ215" s="376" t="str">
        <f>CS_PID!AQ215/VLOOKUP($B215,표2[#ALL],2)/HLOOKUP($A215,표1[#ALL],row(),false)</f>
        <v>#N/A</v>
      </c>
      <c r="AR215" s="376" t="str">
        <f>CS_PID!AR215/VLOOKUP($B215,표2[#ALL],2)/HLOOKUP($A215,표1[#ALL],row(),false)</f>
        <v>#N/A</v>
      </c>
      <c r="AS215" s="377" t="str">
        <f>CS_PID!AS215/VLOOKUP($B215,표2[#ALL],2)/HLOOKUP($A215,표1[#ALL],row(),false)</f>
        <v>#N/A</v>
      </c>
    </row>
    <row r="216">
      <c r="A216" s="370"/>
      <c r="B216" s="371"/>
      <c r="C216" s="372" t="str">
        <f>CS_PID!C216/VLOOKUP($B216,표2[#ALL],2)</f>
        <v>#N/A</v>
      </c>
      <c r="D216" s="372" t="str">
        <f>CS_PID!D216/VLOOKUP($B216,표2[#ALL],2)</f>
        <v>#N/A</v>
      </c>
      <c r="E216" s="372" t="str">
        <f>CS_PID!E216/VLOOKUP($B216,표2[#ALL],2)</f>
        <v>#N/A</v>
      </c>
      <c r="F216" s="372" t="str">
        <f>CS_PID!F216/VLOOKUP($B216,표2[#ALL],2)</f>
        <v>#N/A</v>
      </c>
      <c r="G216" s="372" t="str">
        <f>CS_PID!G216/VLOOKUP($B216,표2[#ALL],2)</f>
        <v>#N/A</v>
      </c>
      <c r="H216" s="372" t="str">
        <f>CS_PID!H216/VLOOKUP($B216,표2[#ALL],2)/HLOOKUP($A216,표1[#ALL],row(),false)</f>
        <v>#N/A</v>
      </c>
      <c r="I216" s="372" t="str">
        <f>CS_PID!I216/VLOOKUP($B216,표2[#ALL],2)/HLOOKUP($A216,표1[#ALL],row(),false)</f>
        <v>#N/A</v>
      </c>
      <c r="J216" s="372" t="str">
        <f>CS_PID!J216/VLOOKUP($B216,표2[#ALL],2)/HLOOKUP($A216,표1[#ALL],row(),false)</f>
        <v>#N/A</v>
      </c>
      <c r="K216" s="372" t="str">
        <f>CS_PID!K216/VLOOKUP($B216,표2[#ALL],2)/HLOOKUP($A216,표1[#ALL],row(),false)</f>
        <v>#N/A</v>
      </c>
      <c r="L216" s="372" t="str">
        <f>CS_PID!L216/VLOOKUP($B216,표2[#ALL],2)/HLOOKUP($A216,표1[#ALL],row(),false)</f>
        <v>#N/A</v>
      </c>
      <c r="M216" s="372" t="str">
        <f>CS_PID!M216/VLOOKUP($B216,표2[#ALL],2)/HLOOKUP($A216,표1[#ALL],row(),false)</f>
        <v>#N/A</v>
      </c>
      <c r="N216" s="372" t="str">
        <f>CS_PID!N216/VLOOKUP($B216,표2[#ALL],2)/HLOOKUP($A216,표1[#ALL],row(),false)</f>
        <v>#N/A</v>
      </c>
      <c r="O216" s="372" t="str">
        <f>CS_PID!O216/VLOOKUP($B216,표2[#ALL],2)/HLOOKUP($A216,표1[#ALL],row(),false)</f>
        <v>#N/A</v>
      </c>
      <c r="P216" s="372" t="str">
        <f>CS_PID!P216/VLOOKUP($B216,표2[#ALL],2)/HLOOKUP($A216,표1[#ALL],row(),false)</f>
        <v>#N/A</v>
      </c>
      <c r="Q216" s="372" t="str">
        <f>CS_PID!Q216/VLOOKUP($B216,표2[#ALL],2)/HLOOKUP($A216,표1[#ALL],row(),false)</f>
        <v>#N/A</v>
      </c>
      <c r="R216" s="372" t="str">
        <f>CS_PID!R216/VLOOKUP($B216,표2[#ALL],2)/HLOOKUP($A216,표1[#ALL],row(),false)</f>
        <v>#N/A</v>
      </c>
      <c r="S216" s="372" t="str">
        <f>CS_PID!S216/VLOOKUP($B216,표2[#ALL],2)/HLOOKUP($A216,표1[#ALL],row(),false)</f>
        <v>#N/A</v>
      </c>
      <c r="T216" s="372" t="str">
        <f>CS_PID!T216/VLOOKUP($B216,표2[#ALL],2)/HLOOKUP($A216,표1[#ALL],row(),false)</f>
        <v>#N/A</v>
      </c>
      <c r="U216" s="372" t="str">
        <f>CS_PID!U216/VLOOKUP($B216,표2[#ALL],2)/HLOOKUP($A216,표1[#ALL],row(),false)</f>
        <v>#N/A</v>
      </c>
      <c r="V216" s="372" t="str">
        <f>CS_PID!V216/VLOOKUP($B216,표2[#ALL],2)/HLOOKUP($A216,표1[#ALL],row(),false)</f>
        <v>#N/A</v>
      </c>
      <c r="W216" s="372" t="str">
        <f>CS_PID!W216/VLOOKUP($B216,표2[#ALL],2)/HLOOKUP($A216,표1[#ALL],row(),false)</f>
        <v>#N/A</v>
      </c>
      <c r="X216" s="372" t="str">
        <f>CS_PID!X216/VLOOKUP($B216,표2[#ALL],2)/HLOOKUP($A216,표1[#ALL],row(),false)</f>
        <v>#N/A</v>
      </c>
      <c r="Y216" s="372" t="str">
        <f>CS_PID!Y216/VLOOKUP($B216,표2[#ALL],2)/HLOOKUP($A216,표1[#ALL],row(),false)</f>
        <v>#N/A</v>
      </c>
      <c r="Z216" s="372" t="str">
        <f>CS_PID!Z216/VLOOKUP($B216,표2[#ALL],2)/HLOOKUP($A216,표1[#ALL],row(),false)</f>
        <v>#N/A</v>
      </c>
      <c r="AA216" s="372" t="str">
        <f>CS_PID!AA216/VLOOKUP($B216,표2[#ALL],2)/HLOOKUP($A216,표1[#ALL],row(),false)</f>
        <v>#N/A</v>
      </c>
      <c r="AB216" s="372" t="str">
        <f>CS_PID!AB216/VLOOKUP($B216,표2[#ALL],2)/HLOOKUP($A216,표1[#ALL],row(),false)</f>
        <v>#N/A</v>
      </c>
      <c r="AC216" s="372" t="str">
        <f>CS_PID!AC216/VLOOKUP($B216,표2[#ALL],2)/HLOOKUP($A216,표1[#ALL],row(),false)</f>
        <v>#N/A</v>
      </c>
      <c r="AD216" s="372" t="str">
        <f>CS_PID!AD216/VLOOKUP($B216,표2[#ALL],2)/HLOOKUP($A216,표1[#ALL],row(),false)</f>
        <v>#N/A</v>
      </c>
      <c r="AE216" s="372" t="str">
        <f>CS_PID!AE216/VLOOKUP($B216,표2[#ALL],2)/HLOOKUP($A216,표1[#ALL],row(),false)</f>
        <v>#N/A</v>
      </c>
      <c r="AF216" s="372" t="str">
        <f>CS_PID!AF216/VLOOKUP($B216,표2[#ALL],2)/HLOOKUP($A216,표1[#ALL],row(),false)</f>
        <v>#N/A</v>
      </c>
      <c r="AG216" s="372" t="str">
        <f>CS_PID!AG216/VLOOKUP($B216,표2[#ALL],2)/HLOOKUP($A216,표1[#ALL],row(),false)</f>
        <v>#N/A</v>
      </c>
      <c r="AH216" s="372" t="str">
        <f>CS_PID!AH216/VLOOKUP($B216,표2[#ALL],2)/HLOOKUP($A216,표1[#ALL],row(),false)</f>
        <v>#N/A</v>
      </c>
      <c r="AI216" s="372" t="str">
        <f>CS_PID!AI216/VLOOKUP($B216,표2[#ALL],2)/HLOOKUP($A216,표1[#ALL],row(),false)</f>
        <v>#N/A</v>
      </c>
      <c r="AJ216" s="372" t="str">
        <f>CS_PID!AJ216/VLOOKUP($B216,표2[#ALL],2)/HLOOKUP($A216,표1[#ALL],row(),false)</f>
        <v>#N/A</v>
      </c>
      <c r="AK216" s="372" t="str">
        <f>CS_PID!AK216/VLOOKUP($B216,표2[#ALL],2)/HLOOKUP($A216,표1[#ALL],row(),false)</f>
        <v>#N/A</v>
      </c>
      <c r="AL216" s="372" t="str">
        <f>CS_PID!AL216/VLOOKUP($B216,표2[#ALL],2)/HLOOKUP($A216,표1[#ALL],row(),false)</f>
        <v>#N/A</v>
      </c>
      <c r="AM216" s="372" t="str">
        <f>CS_PID!AM216/VLOOKUP($B216,표2[#ALL],2)/HLOOKUP($A216,표1[#ALL],row(),false)</f>
        <v>#N/A</v>
      </c>
      <c r="AN216" s="372" t="str">
        <f>CS_PID!AN216/VLOOKUP($B216,표2[#ALL],2)/HLOOKUP($A216,표1[#ALL],row(),false)</f>
        <v>#N/A</v>
      </c>
      <c r="AO216" s="372" t="str">
        <f>CS_PID!AO216/VLOOKUP($B216,표2[#ALL],2)/HLOOKUP($A216,표1[#ALL],row(),false)</f>
        <v>#N/A</v>
      </c>
      <c r="AP216" s="372" t="str">
        <f>CS_PID!AP216/VLOOKUP($B216,표2[#ALL],2)/HLOOKUP($A216,표1[#ALL],row(),false)</f>
        <v>#N/A</v>
      </c>
      <c r="AQ216" s="372" t="str">
        <f>CS_PID!AQ216/VLOOKUP($B216,표2[#ALL],2)/HLOOKUP($A216,표1[#ALL],row(),false)</f>
        <v>#N/A</v>
      </c>
      <c r="AR216" s="372" t="str">
        <f>CS_PID!AR216/VLOOKUP($B216,표2[#ALL],2)/HLOOKUP($A216,표1[#ALL],row(),false)</f>
        <v>#N/A</v>
      </c>
      <c r="AS216" s="373" t="str">
        <f>CS_PID!AS216/VLOOKUP($B216,표2[#ALL],2)/HLOOKUP($A216,표1[#ALL],row(),false)</f>
        <v>#N/A</v>
      </c>
    </row>
    <row r="217">
      <c r="A217" s="374"/>
      <c r="B217" s="375"/>
      <c r="C217" s="376" t="str">
        <f>CS_PID!C217/VLOOKUP($B217,표2[#ALL],2)</f>
        <v>#N/A</v>
      </c>
      <c r="D217" s="376" t="str">
        <f>CS_PID!D217/VLOOKUP($B217,표2[#ALL],2)</f>
        <v>#N/A</v>
      </c>
      <c r="E217" s="376" t="str">
        <f>CS_PID!E217/VLOOKUP($B217,표2[#ALL],2)</f>
        <v>#N/A</v>
      </c>
      <c r="F217" s="376" t="str">
        <f>CS_PID!F217/VLOOKUP($B217,표2[#ALL],2)</f>
        <v>#N/A</v>
      </c>
      <c r="G217" s="376" t="str">
        <f>CS_PID!G217/VLOOKUP($B217,표2[#ALL],2)</f>
        <v>#N/A</v>
      </c>
      <c r="H217" s="376" t="str">
        <f>CS_PID!H217/VLOOKUP($B217,표2[#ALL],2)/HLOOKUP($A217,표1[#ALL],row(),false)</f>
        <v>#N/A</v>
      </c>
      <c r="I217" s="376" t="str">
        <f>CS_PID!I217/VLOOKUP($B217,표2[#ALL],2)/HLOOKUP($A217,표1[#ALL],row(),false)</f>
        <v>#N/A</v>
      </c>
      <c r="J217" s="376" t="str">
        <f>CS_PID!J217/VLOOKUP($B217,표2[#ALL],2)/HLOOKUP($A217,표1[#ALL],row(),false)</f>
        <v>#N/A</v>
      </c>
      <c r="K217" s="376" t="str">
        <f>CS_PID!K217/VLOOKUP($B217,표2[#ALL],2)/HLOOKUP($A217,표1[#ALL],row(),false)</f>
        <v>#N/A</v>
      </c>
      <c r="L217" s="376" t="str">
        <f>CS_PID!L217/VLOOKUP($B217,표2[#ALL],2)/HLOOKUP($A217,표1[#ALL],row(),false)</f>
        <v>#N/A</v>
      </c>
      <c r="M217" s="376" t="str">
        <f>CS_PID!M217/VLOOKUP($B217,표2[#ALL],2)/HLOOKUP($A217,표1[#ALL],row(),false)</f>
        <v>#N/A</v>
      </c>
      <c r="N217" s="376" t="str">
        <f>CS_PID!N217/VLOOKUP($B217,표2[#ALL],2)/HLOOKUP($A217,표1[#ALL],row(),false)</f>
        <v>#N/A</v>
      </c>
      <c r="O217" s="376" t="str">
        <f>CS_PID!O217/VLOOKUP($B217,표2[#ALL],2)/HLOOKUP($A217,표1[#ALL],row(),false)</f>
        <v>#N/A</v>
      </c>
      <c r="P217" s="376" t="str">
        <f>CS_PID!P217/VLOOKUP($B217,표2[#ALL],2)/HLOOKUP($A217,표1[#ALL],row(),false)</f>
        <v>#N/A</v>
      </c>
      <c r="Q217" s="376" t="str">
        <f>CS_PID!Q217/VLOOKUP($B217,표2[#ALL],2)/HLOOKUP($A217,표1[#ALL],row(),false)</f>
        <v>#N/A</v>
      </c>
      <c r="R217" s="376" t="str">
        <f>CS_PID!R217/VLOOKUP($B217,표2[#ALL],2)/HLOOKUP($A217,표1[#ALL],row(),false)</f>
        <v>#N/A</v>
      </c>
      <c r="S217" s="376" t="str">
        <f>CS_PID!S217/VLOOKUP($B217,표2[#ALL],2)/HLOOKUP($A217,표1[#ALL],row(),false)</f>
        <v>#N/A</v>
      </c>
      <c r="T217" s="376" t="str">
        <f>CS_PID!T217/VLOOKUP($B217,표2[#ALL],2)/HLOOKUP($A217,표1[#ALL],row(),false)</f>
        <v>#N/A</v>
      </c>
      <c r="U217" s="376" t="str">
        <f>CS_PID!U217/VLOOKUP($B217,표2[#ALL],2)/HLOOKUP($A217,표1[#ALL],row(),false)</f>
        <v>#N/A</v>
      </c>
      <c r="V217" s="376" t="str">
        <f>CS_PID!V217/VLOOKUP($B217,표2[#ALL],2)/HLOOKUP($A217,표1[#ALL],row(),false)</f>
        <v>#N/A</v>
      </c>
      <c r="W217" s="376" t="str">
        <f>CS_PID!W217/VLOOKUP($B217,표2[#ALL],2)/HLOOKUP($A217,표1[#ALL],row(),false)</f>
        <v>#N/A</v>
      </c>
      <c r="X217" s="376" t="str">
        <f>CS_PID!X217/VLOOKUP($B217,표2[#ALL],2)/HLOOKUP($A217,표1[#ALL],row(),false)</f>
        <v>#N/A</v>
      </c>
      <c r="Y217" s="376" t="str">
        <f>CS_PID!Y217/VLOOKUP($B217,표2[#ALL],2)/HLOOKUP($A217,표1[#ALL],row(),false)</f>
        <v>#N/A</v>
      </c>
      <c r="Z217" s="376" t="str">
        <f>CS_PID!Z217/VLOOKUP($B217,표2[#ALL],2)/HLOOKUP($A217,표1[#ALL],row(),false)</f>
        <v>#N/A</v>
      </c>
      <c r="AA217" s="376" t="str">
        <f>CS_PID!AA217/VLOOKUP($B217,표2[#ALL],2)/HLOOKUP($A217,표1[#ALL],row(),false)</f>
        <v>#N/A</v>
      </c>
      <c r="AB217" s="376" t="str">
        <f>CS_PID!AB217/VLOOKUP($B217,표2[#ALL],2)/HLOOKUP($A217,표1[#ALL],row(),false)</f>
        <v>#N/A</v>
      </c>
      <c r="AC217" s="376" t="str">
        <f>CS_PID!AC217/VLOOKUP($B217,표2[#ALL],2)/HLOOKUP($A217,표1[#ALL],row(),false)</f>
        <v>#N/A</v>
      </c>
      <c r="AD217" s="376" t="str">
        <f>CS_PID!AD217/VLOOKUP($B217,표2[#ALL],2)/HLOOKUP($A217,표1[#ALL],row(),false)</f>
        <v>#N/A</v>
      </c>
      <c r="AE217" s="376" t="str">
        <f>CS_PID!AE217/VLOOKUP($B217,표2[#ALL],2)/HLOOKUP($A217,표1[#ALL],row(),false)</f>
        <v>#N/A</v>
      </c>
      <c r="AF217" s="376" t="str">
        <f>CS_PID!AF217/VLOOKUP($B217,표2[#ALL],2)/HLOOKUP($A217,표1[#ALL],row(),false)</f>
        <v>#N/A</v>
      </c>
      <c r="AG217" s="376" t="str">
        <f>CS_PID!AG217/VLOOKUP($B217,표2[#ALL],2)/HLOOKUP($A217,표1[#ALL],row(),false)</f>
        <v>#N/A</v>
      </c>
      <c r="AH217" s="376" t="str">
        <f>CS_PID!AH217/VLOOKUP($B217,표2[#ALL],2)/HLOOKUP($A217,표1[#ALL],row(),false)</f>
        <v>#N/A</v>
      </c>
      <c r="AI217" s="376" t="str">
        <f>CS_PID!AI217/VLOOKUP($B217,표2[#ALL],2)/HLOOKUP($A217,표1[#ALL],row(),false)</f>
        <v>#N/A</v>
      </c>
      <c r="AJ217" s="376" t="str">
        <f>CS_PID!AJ217/VLOOKUP($B217,표2[#ALL],2)/HLOOKUP($A217,표1[#ALL],row(),false)</f>
        <v>#N/A</v>
      </c>
      <c r="AK217" s="376" t="str">
        <f>CS_PID!AK217/VLOOKUP($B217,표2[#ALL],2)/HLOOKUP($A217,표1[#ALL],row(),false)</f>
        <v>#N/A</v>
      </c>
      <c r="AL217" s="376" t="str">
        <f>CS_PID!AL217/VLOOKUP($B217,표2[#ALL],2)/HLOOKUP($A217,표1[#ALL],row(),false)</f>
        <v>#N/A</v>
      </c>
      <c r="AM217" s="376" t="str">
        <f>CS_PID!AM217/VLOOKUP($B217,표2[#ALL],2)/HLOOKUP($A217,표1[#ALL],row(),false)</f>
        <v>#N/A</v>
      </c>
      <c r="AN217" s="376" t="str">
        <f>CS_PID!AN217/VLOOKUP($B217,표2[#ALL],2)/HLOOKUP($A217,표1[#ALL],row(),false)</f>
        <v>#N/A</v>
      </c>
      <c r="AO217" s="376" t="str">
        <f>CS_PID!AO217/VLOOKUP($B217,표2[#ALL],2)/HLOOKUP($A217,표1[#ALL],row(),false)</f>
        <v>#N/A</v>
      </c>
      <c r="AP217" s="376" t="str">
        <f>CS_PID!AP217/VLOOKUP($B217,표2[#ALL],2)/HLOOKUP($A217,표1[#ALL],row(),false)</f>
        <v>#N/A</v>
      </c>
      <c r="AQ217" s="376" t="str">
        <f>CS_PID!AQ217/VLOOKUP($B217,표2[#ALL],2)/HLOOKUP($A217,표1[#ALL],row(),false)</f>
        <v>#N/A</v>
      </c>
      <c r="AR217" s="376" t="str">
        <f>CS_PID!AR217/VLOOKUP($B217,표2[#ALL],2)/HLOOKUP($A217,표1[#ALL],row(),false)</f>
        <v>#N/A</v>
      </c>
      <c r="AS217" s="377" t="str">
        <f>CS_PID!AS217/VLOOKUP($B217,표2[#ALL],2)/HLOOKUP($A217,표1[#ALL],row(),false)</f>
        <v>#N/A</v>
      </c>
    </row>
    <row r="218">
      <c r="A218" s="370"/>
      <c r="B218" s="371"/>
      <c r="C218" s="372" t="str">
        <f>CS_PID!C218/VLOOKUP($B218,표2[#ALL],2)</f>
        <v>#N/A</v>
      </c>
      <c r="D218" s="372" t="str">
        <f>CS_PID!D218/VLOOKUP($B218,표2[#ALL],2)</f>
        <v>#N/A</v>
      </c>
      <c r="E218" s="372" t="str">
        <f>CS_PID!E218/VLOOKUP($B218,표2[#ALL],2)</f>
        <v>#N/A</v>
      </c>
      <c r="F218" s="372" t="str">
        <f>CS_PID!F218/VLOOKUP($B218,표2[#ALL],2)</f>
        <v>#N/A</v>
      </c>
      <c r="G218" s="372" t="str">
        <f>CS_PID!G218/VLOOKUP($B218,표2[#ALL],2)</f>
        <v>#N/A</v>
      </c>
      <c r="H218" s="372" t="str">
        <f>CS_PID!H218/VLOOKUP($B218,표2[#ALL],2)/HLOOKUP($A218,표1[#ALL],row(),false)</f>
        <v>#N/A</v>
      </c>
      <c r="I218" s="372" t="str">
        <f>CS_PID!I218/VLOOKUP($B218,표2[#ALL],2)/HLOOKUP($A218,표1[#ALL],row(),false)</f>
        <v>#N/A</v>
      </c>
      <c r="J218" s="372" t="str">
        <f>CS_PID!J218/VLOOKUP($B218,표2[#ALL],2)/HLOOKUP($A218,표1[#ALL],row(),false)</f>
        <v>#N/A</v>
      </c>
      <c r="K218" s="372" t="str">
        <f>CS_PID!K218/VLOOKUP($B218,표2[#ALL],2)/HLOOKUP($A218,표1[#ALL],row(),false)</f>
        <v>#N/A</v>
      </c>
      <c r="L218" s="372" t="str">
        <f>CS_PID!L218/VLOOKUP($B218,표2[#ALL],2)/HLOOKUP($A218,표1[#ALL],row(),false)</f>
        <v>#N/A</v>
      </c>
      <c r="M218" s="372" t="str">
        <f>CS_PID!M218/VLOOKUP($B218,표2[#ALL],2)/HLOOKUP($A218,표1[#ALL],row(),false)</f>
        <v>#N/A</v>
      </c>
      <c r="N218" s="372" t="str">
        <f>CS_PID!N218/VLOOKUP($B218,표2[#ALL],2)/HLOOKUP($A218,표1[#ALL],row(),false)</f>
        <v>#N/A</v>
      </c>
      <c r="O218" s="372" t="str">
        <f>CS_PID!O218/VLOOKUP($B218,표2[#ALL],2)/HLOOKUP($A218,표1[#ALL],row(),false)</f>
        <v>#N/A</v>
      </c>
      <c r="P218" s="372" t="str">
        <f>CS_PID!P218/VLOOKUP($B218,표2[#ALL],2)/HLOOKUP($A218,표1[#ALL],row(),false)</f>
        <v>#N/A</v>
      </c>
      <c r="Q218" s="372" t="str">
        <f>CS_PID!Q218/VLOOKUP($B218,표2[#ALL],2)/HLOOKUP($A218,표1[#ALL],row(),false)</f>
        <v>#N/A</v>
      </c>
      <c r="R218" s="372" t="str">
        <f>CS_PID!R218/VLOOKUP($B218,표2[#ALL],2)/HLOOKUP($A218,표1[#ALL],row(),false)</f>
        <v>#N/A</v>
      </c>
      <c r="S218" s="372" t="str">
        <f>CS_PID!S218/VLOOKUP($B218,표2[#ALL],2)/HLOOKUP($A218,표1[#ALL],row(),false)</f>
        <v>#N/A</v>
      </c>
      <c r="T218" s="372" t="str">
        <f>CS_PID!T218/VLOOKUP($B218,표2[#ALL],2)/HLOOKUP($A218,표1[#ALL],row(),false)</f>
        <v>#N/A</v>
      </c>
      <c r="U218" s="372" t="str">
        <f>CS_PID!U218/VLOOKUP($B218,표2[#ALL],2)/HLOOKUP($A218,표1[#ALL],row(),false)</f>
        <v>#N/A</v>
      </c>
      <c r="V218" s="372" t="str">
        <f>CS_PID!V218/VLOOKUP($B218,표2[#ALL],2)/HLOOKUP($A218,표1[#ALL],row(),false)</f>
        <v>#N/A</v>
      </c>
      <c r="W218" s="372" t="str">
        <f>CS_PID!W218/VLOOKUP($B218,표2[#ALL],2)/HLOOKUP($A218,표1[#ALL],row(),false)</f>
        <v>#N/A</v>
      </c>
      <c r="X218" s="372" t="str">
        <f>CS_PID!X218/VLOOKUP($B218,표2[#ALL],2)/HLOOKUP($A218,표1[#ALL],row(),false)</f>
        <v>#N/A</v>
      </c>
      <c r="Y218" s="372" t="str">
        <f>CS_PID!Y218/VLOOKUP($B218,표2[#ALL],2)/HLOOKUP($A218,표1[#ALL],row(),false)</f>
        <v>#N/A</v>
      </c>
      <c r="Z218" s="372" t="str">
        <f>CS_PID!Z218/VLOOKUP($B218,표2[#ALL],2)/HLOOKUP($A218,표1[#ALL],row(),false)</f>
        <v>#N/A</v>
      </c>
      <c r="AA218" s="372" t="str">
        <f>CS_PID!AA218/VLOOKUP($B218,표2[#ALL],2)/HLOOKUP($A218,표1[#ALL],row(),false)</f>
        <v>#N/A</v>
      </c>
      <c r="AB218" s="372" t="str">
        <f>CS_PID!AB218/VLOOKUP($B218,표2[#ALL],2)/HLOOKUP($A218,표1[#ALL],row(),false)</f>
        <v>#N/A</v>
      </c>
      <c r="AC218" s="372" t="str">
        <f>CS_PID!AC218/VLOOKUP($B218,표2[#ALL],2)/HLOOKUP($A218,표1[#ALL],row(),false)</f>
        <v>#N/A</v>
      </c>
      <c r="AD218" s="372" t="str">
        <f>CS_PID!AD218/VLOOKUP($B218,표2[#ALL],2)/HLOOKUP($A218,표1[#ALL],row(),false)</f>
        <v>#N/A</v>
      </c>
      <c r="AE218" s="372" t="str">
        <f>CS_PID!AE218/VLOOKUP($B218,표2[#ALL],2)/HLOOKUP($A218,표1[#ALL],row(),false)</f>
        <v>#N/A</v>
      </c>
      <c r="AF218" s="372" t="str">
        <f>CS_PID!AF218/VLOOKUP($B218,표2[#ALL],2)/HLOOKUP($A218,표1[#ALL],row(),false)</f>
        <v>#N/A</v>
      </c>
      <c r="AG218" s="372" t="str">
        <f>CS_PID!AG218/VLOOKUP($B218,표2[#ALL],2)/HLOOKUP($A218,표1[#ALL],row(),false)</f>
        <v>#N/A</v>
      </c>
      <c r="AH218" s="372" t="str">
        <f>CS_PID!AH218/VLOOKUP($B218,표2[#ALL],2)/HLOOKUP($A218,표1[#ALL],row(),false)</f>
        <v>#N/A</v>
      </c>
      <c r="AI218" s="372" t="str">
        <f>CS_PID!AI218/VLOOKUP($B218,표2[#ALL],2)/HLOOKUP($A218,표1[#ALL],row(),false)</f>
        <v>#N/A</v>
      </c>
      <c r="AJ218" s="372" t="str">
        <f>CS_PID!AJ218/VLOOKUP($B218,표2[#ALL],2)/HLOOKUP($A218,표1[#ALL],row(),false)</f>
        <v>#N/A</v>
      </c>
      <c r="AK218" s="372" t="str">
        <f>CS_PID!AK218/VLOOKUP($B218,표2[#ALL],2)/HLOOKUP($A218,표1[#ALL],row(),false)</f>
        <v>#N/A</v>
      </c>
      <c r="AL218" s="372" t="str">
        <f>CS_PID!AL218/VLOOKUP($B218,표2[#ALL],2)/HLOOKUP($A218,표1[#ALL],row(),false)</f>
        <v>#N/A</v>
      </c>
      <c r="AM218" s="372" t="str">
        <f>CS_PID!AM218/VLOOKUP($B218,표2[#ALL],2)/HLOOKUP($A218,표1[#ALL],row(),false)</f>
        <v>#N/A</v>
      </c>
      <c r="AN218" s="372" t="str">
        <f>CS_PID!AN218/VLOOKUP($B218,표2[#ALL],2)/HLOOKUP($A218,표1[#ALL],row(),false)</f>
        <v>#N/A</v>
      </c>
      <c r="AO218" s="372" t="str">
        <f>CS_PID!AO218/VLOOKUP($B218,표2[#ALL],2)/HLOOKUP($A218,표1[#ALL],row(),false)</f>
        <v>#N/A</v>
      </c>
      <c r="AP218" s="372" t="str">
        <f>CS_PID!AP218/VLOOKUP($B218,표2[#ALL],2)/HLOOKUP($A218,표1[#ALL],row(),false)</f>
        <v>#N/A</v>
      </c>
      <c r="AQ218" s="372" t="str">
        <f>CS_PID!AQ218/VLOOKUP($B218,표2[#ALL],2)/HLOOKUP($A218,표1[#ALL],row(),false)</f>
        <v>#N/A</v>
      </c>
      <c r="AR218" s="372" t="str">
        <f>CS_PID!AR218/VLOOKUP($B218,표2[#ALL],2)/HLOOKUP($A218,표1[#ALL],row(),false)</f>
        <v>#N/A</v>
      </c>
      <c r="AS218" s="373" t="str">
        <f>CS_PID!AS218/VLOOKUP($B218,표2[#ALL],2)/HLOOKUP($A218,표1[#ALL],row(),false)</f>
        <v>#N/A</v>
      </c>
    </row>
    <row r="219">
      <c r="A219" s="374"/>
      <c r="B219" s="375"/>
      <c r="C219" s="376" t="str">
        <f>CS_PID!C219/VLOOKUP($B219,표2[#ALL],2)</f>
        <v>#N/A</v>
      </c>
      <c r="D219" s="376" t="str">
        <f>CS_PID!D219/VLOOKUP($B219,표2[#ALL],2)</f>
        <v>#N/A</v>
      </c>
      <c r="E219" s="376" t="str">
        <f>CS_PID!E219/VLOOKUP($B219,표2[#ALL],2)</f>
        <v>#N/A</v>
      </c>
      <c r="F219" s="376" t="str">
        <f>CS_PID!F219/VLOOKUP($B219,표2[#ALL],2)</f>
        <v>#N/A</v>
      </c>
      <c r="G219" s="376" t="str">
        <f>CS_PID!G219/VLOOKUP($B219,표2[#ALL],2)</f>
        <v>#N/A</v>
      </c>
      <c r="H219" s="376" t="str">
        <f>CS_PID!H219/VLOOKUP($B219,표2[#ALL],2)/HLOOKUP($A219,표1[#ALL],row(),false)</f>
        <v>#N/A</v>
      </c>
      <c r="I219" s="376" t="str">
        <f>CS_PID!I219/VLOOKUP($B219,표2[#ALL],2)/HLOOKUP($A219,표1[#ALL],row(),false)</f>
        <v>#N/A</v>
      </c>
      <c r="J219" s="376" t="str">
        <f>CS_PID!J219/VLOOKUP($B219,표2[#ALL],2)/HLOOKUP($A219,표1[#ALL],row(),false)</f>
        <v>#N/A</v>
      </c>
      <c r="K219" s="376" t="str">
        <f>CS_PID!K219/VLOOKUP($B219,표2[#ALL],2)/HLOOKUP($A219,표1[#ALL],row(),false)</f>
        <v>#N/A</v>
      </c>
      <c r="L219" s="376" t="str">
        <f>CS_PID!L219/VLOOKUP($B219,표2[#ALL],2)/HLOOKUP($A219,표1[#ALL],row(),false)</f>
        <v>#N/A</v>
      </c>
      <c r="M219" s="376" t="str">
        <f>CS_PID!M219/VLOOKUP($B219,표2[#ALL],2)/HLOOKUP($A219,표1[#ALL],row(),false)</f>
        <v>#N/A</v>
      </c>
      <c r="N219" s="376" t="str">
        <f>CS_PID!N219/VLOOKUP($B219,표2[#ALL],2)/HLOOKUP($A219,표1[#ALL],row(),false)</f>
        <v>#N/A</v>
      </c>
      <c r="O219" s="376" t="str">
        <f>CS_PID!O219/VLOOKUP($B219,표2[#ALL],2)/HLOOKUP($A219,표1[#ALL],row(),false)</f>
        <v>#N/A</v>
      </c>
      <c r="P219" s="376" t="str">
        <f>CS_PID!P219/VLOOKUP($B219,표2[#ALL],2)/HLOOKUP($A219,표1[#ALL],row(),false)</f>
        <v>#N/A</v>
      </c>
      <c r="Q219" s="376" t="str">
        <f>CS_PID!Q219/VLOOKUP($B219,표2[#ALL],2)/HLOOKUP($A219,표1[#ALL],row(),false)</f>
        <v>#N/A</v>
      </c>
      <c r="R219" s="376" t="str">
        <f>CS_PID!R219/VLOOKUP($B219,표2[#ALL],2)/HLOOKUP($A219,표1[#ALL],row(),false)</f>
        <v>#N/A</v>
      </c>
      <c r="S219" s="376" t="str">
        <f>CS_PID!S219/VLOOKUP($B219,표2[#ALL],2)/HLOOKUP($A219,표1[#ALL],row(),false)</f>
        <v>#N/A</v>
      </c>
      <c r="T219" s="376" t="str">
        <f>CS_PID!T219/VLOOKUP($B219,표2[#ALL],2)/HLOOKUP($A219,표1[#ALL],row(),false)</f>
        <v>#N/A</v>
      </c>
      <c r="U219" s="376" t="str">
        <f>CS_PID!U219/VLOOKUP($B219,표2[#ALL],2)/HLOOKUP($A219,표1[#ALL],row(),false)</f>
        <v>#N/A</v>
      </c>
      <c r="V219" s="376" t="str">
        <f>CS_PID!V219/VLOOKUP($B219,표2[#ALL],2)/HLOOKUP($A219,표1[#ALL],row(),false)</f>
        <v>#N/A</v>
      </c>
      <c r="W219" s="376" t="str">
        <f>CS_PID!W219/VLOOKUP($B219,표2[#ALL],2)/HLOOKUP($A219,표1[#ALL],row(),false)</f>
        <v>#N/A</v>
      </c>
      <c r="X219" s="376" t="str">
        <f>CS_PID!X219/VLOOKUP($B219,표2[#ALL],2)/HLOOKUP($A219,표1[#ALL],row(),false)</f>
        <v>#N/A</v>
      </c>
      <c r="Y219" s="376" t="str">
        <f>CS_PID!Y219/VLOOKUP($B219,표2[#ALL],2)/HLOOKUP($A219,표1[#ALL],row(),false)</f>
        <v>#N/A</v>
      </c>
      <c r="Z219" s="376" t="str">
        <f>CS_PID!Z219/VLOOKUP($B219,표2[#ALL],2)/HLOOKUP($A219,표1[#ALL],row(),false)</f>
        <v>#N/A</v>
      </c>
      <c r="AA219" s="376" t="str">
        <f>CS_PID!AA219/VLOOKUP($B219,표2[#ALL],2)/HLOOKUP($A219,표1[#ALL],row(),false)</f>
        <v>#N/A</v>
      </c>
      <c r="AB219" s="376" t="str">
        <f>CS_PID!AB219/VLOOKUP($B219,표2[#ALL],2)/HLOOKUP($A219,표1[#ALL],row(),false)</f>
        <v>#N/A</v>
      </c>
      <c r="AC219" s="376" t="str">
        <f>CS_PID!AC219/VLOOKUP($B219,표2[#ALL],2)/HLOOKUP($A219,표1[#ALL],row(),false)</f>
        <v>#N/A</v>
      </c>
      <c r="AD219" s="376" t="str">
        <f>CS_PID!AD219/VLOOKUP($B219,표2[#ALL],2)/HLOOKUP($A219,표1[#ALL],row(),false)</f>
        <v>#N/A</v>
      </c>
      <c r="AE219" s="376" t="str">
        <f>CS_PID!AE219/VLOOKUP($B219,표2[#ALL],2)/HLOOKUP($A219,표1[#ALL],row(),false)</f>
        <v>#N/A</v>
      </c>
      <c r="AF219" s="376" t="str">
        <f>CS_PID!AF219/VLOOKUP($B219,표2[#ALL],2)/HLOOKUP($A219,표1[#ALL],row(),false)</f>
        <v>#N/A</v>
      </c>
      <c r="AG219" s="376" t="str">
        <f>CS_PID!AG219/VLOOKUP($B219,표2[#ALL],2)/HLOOKUP($A219,표1[#ALL],row(),false)</f>
        <v>#N/A</v>
      </c>
      <c r="AH219" s="376" t="str">
        <f>CS_PID!AH219/VLOOKUP($B219,표2[#ALL],2)/HLOOKUP($A219,표1[#ALL],row(),false)</f>
        <v>#N/A</v>
      </c>
      <c r="AI219" s="376" t="str">
        <f>CS_PID!AI219/VLOOKUP($B219,표2[#ALL],2)/HLOOKUP($A219,표1[#ALL],row(),false)</f>
        <v>#N/A</v>
      </c>
      <c r="AJ219" s="376" t="str">
        <f>CS_PID!AJ219/VLOOKUP($B219,표2[#ALL],2)/HLOOKUP($A219,표1[#ALL],row(),false)</f>
        <v>#N/A</v>
      </c>
      <c r="AK219" s="376" t="str">
        <f>CS_PID!AK219/VLOOKUP($B219,표2[#ALL],2)/HLOOKUP($A219,표1[#ALL],row(),false)</f>
        <v>#N/A</v>
      </c>
      <c r="AL219" s="376" t="str">
        <f>CS_PID!AL219/VLOOKUP($B219,표2[#ALL],2)/HLOOKUP($A219,표1[#ALL],row(),false)</f>
        <v>#N/A</v>
      </c>
      <c r="AM219" s="376" t="str">
        <f>CS_PID!AM219/VLOOKUP($B219,표2[#ALL],2)/HLOOKUP($A219,표1[#ALL],row(),false)</f>
        <v>#N/A</v>
      </c>
      <c r="AN219" s="376" t="str">
        <f>CS_PID!AN219/VLOOKUP($B219,표2[#ALL],2)/HLOOKUP($A219,표1[#ALL],row(),false)</f>
        <v>#N/A</v>
      </c>
      <c r="AO219" s="376" t="str">
        <f>CS_PID!AO219/VLOOKUP($B219,표2[#ALL],2)/HLOOKUP($A219,표1[#ALL],row(),false)</f>
        <v>#N/A</v>
      </c>
      <c r="AP219" s="376" t="str">
        <f>CS_PID!AP219/VLOOKUP($B219,표2[#ALL],2)/HLOOKUP($A219,표1[#ALL],row(),false)</f>
        <v>#N/A</v>
      </c>
      <c r="AQ219" s="376" t="str">
        <f>CS_PID!AQ219/VLOOKUP($B219,표2[#ALL],2)/HLOOKUP($A219,표1[#ALL],row(),false)</f>
        <v>#N/A</v>
      </c>
      <c r="AR219" s="376" t="str">
        <f>CS_PID!AR219/VLOOKUP($B219,표2[#ALL],2)/HLOOKUP($A219,표1[#ALL],row(),false)</f>
        <v>#N/A</v>
      </c>
      <c r="AS219" s="377" t="str">
        <f>CS_PID!AS219/VLOOKUP($B219,표2[#ALL],2)/HLOOKUP($A219,표1[#ALL],row(),false)</f>
        <v>#N/A</v>
      </c>
    </row>
    <row r="220">
      <c r="A220" s="370"/>
      <c r="B220" s="371"/>
      <c r="C220" s="372" t="str">
        <f>CS_PID!C220/VLOOKUP($B220,표2[#ALL],2)</f>
        <v>#N/A</v>
      </c>
      <c r="D220" s="372" t="str">
        <f>CS_PID!D220/VLOOKUP($B220,표2[#ALL],2)</f>
        <v>#N/A</v>
      </c>
      <c r="E220" s="372" t="str">
        <f>CS_PID!E220/VLOOKUP($B220,표2[#ALL],2)</f>
        <v>#N/A</v>
      </c>
      <c r="F220" s="372" t="str">
        <f>CS_PID!F220/VLOOKUP($B220,표2[#ALL],2)</f>
        <v>#N/A</v>
      </c>
      <c r="G220" s="372" t="str">
        <f>CS_PID!G220/VLOOKUP($B220,표2[#ALL],2)</f>
        <v>#N/A</v>
      </c>
      <c r="H220" s="372" t="str">
        <f>CS_PID!H220/VLOOKUP($B220,표2[#ALL],2)/HLOOKUP($A220,표1[#ALL],row(),false)</f>
        <v>#N/A</v>
      </c>
      <c r="I220" s="372" t="str">
        <f>CS_PID!I220/VLOOKUP($B220,표2[#ALL],2)/HLOOKUP($A220,표1[#ALL],row(),false)</f>
        <v>#N/A</v>
      </c>
      <c r="J220" s="372" t="str">
        <f>CS_PID!J220/VLOOKUP($B220,표2[#ALL],2)/HLOOKUP($A220,표1[#ALL],row(),false)</f>
        <v>#N/A</v>
      </c>
      <c r="K220" s="372" t="str">
        <f>CS_PID!K220/VLOOKUP($B220,표2[#ALL],2)/HLOOKUP($A220,표1[#ALL],row(),false)</f>
        <v>#N/A</v>
      </c>
      <c r="L220" s="372" t="str">
        <f>CS_PID!L220/VLOOKUP($B220,표2[#ALL],2)/HLOOKUP($A220,표1[#ALL],row(),false)</f>
        <v>#N/A</v>
      </c>
      <c r="M220" s="372" t="str">
        <f>CS_PID!M220/VLOOKUP($B220,표2[#ALL],2)/HLOOKUP($A220,표1[#ALL],row(),false)</f>
        <v>#N/A</v>
      </c>
      <c r="N220" s="372" t="str">
        <f>CS_PID!N220/VLOOKUP($B220,표2[#ALL],2)/HLOOKUP($A220,표1[#ALL],row(),false)</f>
        <v>#N/A</v>
      </c>
      <c r="O220" s="372" t="str">
        <f>CS_PID!O220/VLOOKUP($B220,표2[#ALL],2)/HLOOKUP($A220,표1[#ALL],row(),false)</f>
        <v>#N/A</v>
      </c>
      <c r="P220" s="372" t="str">
        <f>CS_PID!P220/VLOOKUP($B220,표2[#ALL],2)/HLOOKUP($A220,표1[#ALL],row(),false)</f>
        <v>#N/A</v>
      </c>
      <c r="Q220" s="372" t="str">
        <f>CS_PID!Q220/VLOOKUP($B220,표2[#ALL],2)/HLOOKUP($A220,표1[#ALL],row(),false)</f>
        <v>#N/A</v>
      </c>
      <c r="R220" s="372" t="str">
        <f>CS_PID!R220/VLOOKUP($B220,표2[#ALL],2)/HLOOKUP($A220,표1[#ALL],row(),false)</f>
        <v>#N/A</v>
      </c>
      <c r="S220" s="372" t="str">
        <f>CS_PID!S220/VLOOKUP($B220,표2[#ALL],2)/HLOOKUP($A220,표1[#ALL],row(),false)</f>
        <v>#N/A</v>
      </c>
      <c r="T220" s="372" t="str">
        <f>CS_PID!T220/VLOOKUP($B220,표2[#ALL],2)/HLOOKUP($A220,표1[#ALL],row(),false)</f>
        <v>#N/A</v>
      </c>
      <c r="U220" s="372" t="str">
        <f>CS_PID!U220/VLOOKUP($B220,표2[#ALL],2)/HLOOKUP($A220,표1[#ALL],row(),false)</f>
        <v>#N/A</v>
      </c>
      <c r="V220" s="372" t="str">
        <f>CS_PID!V220/VLOOKUP($B220,표2[#ALL],2)/HLOOKUP($A220,표1[#ALL],row(),false)</f>
        <v>#N/A</v>
      </c>
      <c r="W220" s="372" t="str">
        <f>CS_PID!W220/VLOOKUP($B220,표2[#ALL],2)/HLOOKUP($A220,표1[#ALL],row(),false)</f>
        <v>#N/A</v>
      </c>
      <c r="X220" s="372" t="str">
        <f>CS_PID!X220/VLOOKUP($B220,표2[#ALL],2)/HLOOKUP($A220,표1[#ALL],row(),false)</f>
        <v>#N/A</v>
      </c>
      <c r="Y220" s="372" t="str">
        <f>CS_PID!Y220/VLOOKUP($B220,표2[#ALL],2)/HLOOKUP($A220,표1[#ALL],row(),false)</f>
        <v>#N/A</v>
      </c>
      <c r="Z220" s="372" t="str">
        <f>CS_PID!Z220/VLOOKUP($B220,표2[#ALL],2)/HLOOKUP($A220,표1[#ALL],row(),false)</f>
        <v>#N/A</v>
      </c>
      <c r="AA220" s="372" t="str">
        <f>CS_PID!AA220/VLOOKUP($B220,표2[#ALL],2)/HLOOKUP($A220,표1[#ALL],row(),false)</f>
        <v>#N/A</v>
      </c>
      <c r="AB220" s="372" t="str">
        <f>CS_PID!AB220/VLOOKUP($B220,표2[#ALL],2)/HLOOKUP($A220,표1[#ALL],row(),false)</f>
        <v>#N/A</v>
      </c>
      <c r="AC220" s="372" t="str">
        <f>CS_PID!AC220/VLOOKUP($B220,표2[#ALL],2)/HLOOKUP($A220,표1[#ALL],row(),false)</f>
        <v>#N/A</v>
      </c>
      <c r="AD220" s="372" t="str">
        <f>CS_PID!AD220/VLOOKUP($B220,표2[#ALL],2)/HLOOKUP($A220,표1[#ALL],row(),false)</f>
        <v>#N/A</v>
      </c>
      <c r="AE220" s="372" t="str">
        <f>CS_PID!AE220/VLOOKUP($B220,표2[#ALL],2)/HLOOKUP($A220,표1[#ALL],row(),false)</f>
        <v>#N/A</v>
      </c>
      <c r="AF220" s="372" t="str">
        <f>CS_PID!AF220/VLOOKUP($B220,표2[#ALL],2)/HLOOKUP($A220,표1[#ALL],row(),false)</f>
        <v>#N/A</v>
      </c>
      <c r="AG220" s="372" t="str">
        <f>CS_PID!AG220/VLOOKUP($B220,표2[#ALL],2)/HLOOKUP($A220,표1[#ALL],row(),false)</f>
        <v>#N/A</v>
      </c>
      <c r="AH220" s="372" t="str">
        <f>CS_PID!AH220/VLOOKUP($B220,표2[#ALL],2)/HLOOKUP($A220,표1[#ALL],row(),false)</f>
        <v>#N/A</v>
      </c>
      <c r="AI220" s="372" t="str">
        <f>CS_PID!AI220/VLOOKUP($B220,표2[#ALL],2)/HLOOKUP($A220,표1[#ALL],row(),false)</f>
        <v>#N/A</v>
      </c>
      <c r="AJ220" s="372" t="str">
        <f>CS_PID!AJ220/VLOOKUP($B220,표2[#ALL],2)/HLOOKUP($A220,표1[#ALL],row(),false)</f>
        <v>#N/A</v>
      </c>
      <c r="AK220" s="372" t="str">
        <f>CS_PID!AK220/VLOOKUP($B220,표2[#ALL],2)/HLOOKUP($A220,표1[#ALL],row(),false)</f>
        <v>#N/A</v>
      </c>
      <c r="AL220" s="372" t="str">
        <f>CS_PID!AL220/VLOOKUP($B220,표2[#ALL],2)/HLOOKUP($A220,표1[#ALL],row(),false)</f>
        <v>#N/A</v>
      </c>
      <c r="AM220" s="372" t="str">
        <f>CS_PID!AM220/VLOOKUP($B220,표2[#ALL],2)/HLOOKUP($A220,표1[#ALL],row(),false)</f>
        <v>#N/A</v>
      </c>
      <c r="AN220" s="372" t="str">
        <f>CS_PID!AN220/VLOOKUP($B220,표2[#ALL],2)/HLOOKUP($A220,표1[#ALL],row(),false)</f>
        <v>#N/A</v>
      </c>
      <c r="AO220" s="372" t="str">
        <f>CS_PID!AO220/VLOOKUP($B220,표2[#ALL],2)/HLOOKUP($A220,표1[#ALL],row(),false)</f>
        <v>#N/A</v>
      </c>
      <c r="AP220" s="372" t="str">
        <f>CS_PID!AP220/VLOOKUP($B220,표2[#ALL],2)/HLOOKUP($A220,표1[#ALL],row(),false)</f>
        <v>#N/A</v>
      </c>
      <c r="AQ220" s="372" t="str">
        <f>CS_PID!AQ220/VLOOKUP($B220,표2[#ALL],2)/HLOOKUP($A220,표1[#ALL],row(),false)</f>
        <v>#N/A</v>
      </c>
      <c r="AR220" s="372" t="str">
        <f>CS_PID!AR220/VLOOKUP($B220,표2[#ALL],2)/HLOOKUP($A220,표1[#ALL],row(),false)</f>
        <v>#N/A</v>
      </c>
      <c r="AS220" s="373" t="str">
        <f>CS_PID!AS220/VLOOKUP($B220,표2[#ALL],2)/HLOOKUP($A220,표1[#ALL],row(),false)</f>
        <v>#N/A</v>
      </c>
    </row>
    <row r="221">
      <c r="A221" s="374"/>
      <c r="B221" s="375"/>
      <c r="C221" s="376" t="str">
        <f>CS_PID!C221/VLOOKUP($B221,표2[#ALL],2)</f>
        <v>#N/A</v>
      </c>
      <c r="D221" s="376" t="str">
        <f>CS_PID!D221/VLOOKUP($B221,표2[#ALL],2)</f>
        <v>#N/A</v>
      </c>
      <c r="E221" s="376" t="str">
        <f>CS_PID!E221/VLOOKUP($B221,표2[#ALL],2)</f>
        <v>#N/A</v>
      </c>
      <c r="F221" s="376" t="str">
        <f>CS_PID!F221/VLOOKUP($B221,표2[#ALL],2)</f>
        <v>#N/A</v>
      </c>
      <c r="G221" s="376" t="str">
        <f>CS_PID!G221/VLOOKUP($B221,표2[#ALL],2)</f>
        <v>#N/A</v>
      </c>
      <c r="H221" s="376" t="str">
        <f>CS_PID!H221/VLOOKUP($B221,표2[#ALL],2)/HLOOKUP($A221,표1[#ALL],row(),false)</f>
        <v>#N/A</v>
      </c>
      <c r="I221" s="376" t="str">
        <f>CS_PID!I221/VLOOKUP($B221,표2[#ALL],2)/HLOOKUP($A221,표1[#ALL],row(),false)</f>
        <v>#N/A</v>
      </c>
      <c r="J221" s="376" t="str">
        <f>CS_PID!J221/VLOOKUP($B221,표2[#ALL],2)/HLOOKUP($A221,표1[#ALL],row(),false)</f>
        <v>#N/A</v>
      </c>
      <c r="K221" s="376" t="str">
        <f>CS_PID!K221/VLOOKUP($B221,표2[#ALL],2)/HLOOKUP($A221,표1[#ALL],row(),false)</f>
        <v>#N/A</v>
      </c>
      <c r="L221" s="376" t="str">
        <f>CS_PID!L221/VLOOKUP($B221,표2[#ALL],2)/HLOOKUP($A221,표1[#ALL],row(),false)</f>
        <v>#N/A</v>
      </c>
      <c r="M221" s="376" t="str">
        <f>CS_PID!M221/VLOOKUP($B221,표2[#ALL],2)/HLOOKUP($A221,표1[#ALL],row(),false)</f>
        <v>#N/A</v>
      </c>
      <c r="N221" s="376" t="str">
        <f>CS_PID!N221/VLOOKUP($B221,표2[#ALL],2)/HLOOKUP($A221,표1[#ALL],row(),false)</f>
        <v>#N/A</v>
      </c>
      <c r="O221" s="376" t="str">
        <f>CS_PID!O221/VLOOKUP($B221,표2[#ALL],2)/HLOOKUP($A221,표1[#ALL],row(),false)</f>
        <v>#N/A</v>
      </c>
      <c r="P221" s="376" t="str">
        <f>CS_PID!P221/VLOOKUP($B221,표2[#ALL],2)/HLOOKUP($A221,표1[#ALL],row(),false)</f>
        <v>#N/A</v>
      </c>
      <c r="Q221" s="376" t="str">
        <f>CS_PID!Q221/VLOOKUP($B221,표2[#ALL],2)/HLOOKUP($A221,표1[#ALL],row(),false)</f>
        <v>#N/A</v>
      </c>
      <c r="R221" s="376" t="str">
        <f>CS_PID!R221/VLOOKUP($B221,표2[#ALL],2)/HLOOKUP($A221,표1[#ALL],row(),false)</f>
        <v>#N/A</v>
      </c>
      <c r="S221" s="376" t="str">
        <f>CS_PID!S221/VLOOKUP($B221,표2[#ALL],2)/HLOOKUP($A221,표1[#ALL],row(),false)</f>
        <v>#N/A</v>
      </c>
      <c r="T221" s="376" t="str">
        <f>CS_PID!T221/VLOOKUP($B221,표2[#ALL],2)/HLOOKUP($A221,표1[#ALL],row(),false)</f>
        <v>#N/A</v>
      </c>
      <c r="U221" s="376" t="str">
        <f>CS_PID!U221/VLOOKUP($B221,표2[#ALL],2)/HLOOKUP($A221,표1[#ALL],row(),false)</f>
        <v>#N/A</v>
      </c>
      <c r="V221" s="376" t="str">
        <f>CS_PID!V221/VLOOKUP($B221,표2[#ALL],2)/HLOOKUP($A221,표1[#ALL],row(),false)</f>
        <v>#N/A</v>
      </c>
      <c r="W221" s="376" t="str">
        <f>CS_PID!W221/VLOOKUP($B221,표2[#ALL],2)/HLOOKUP($A221,표1[#ALL],row(),false)</f>
        <v>#N/A</v>
      </c>
      <c r="X221" s="376" t="str">
        <f>CS_PID!X221/VLOOKUP($B221,표2[#ALL],2)/HLOOKUP($A221,표1[#ALL],row(),false)</f>
        <v>#N/A</v>
      </c>
      <c r="Y221" s="376" t="str">
        <f>CS_PID!Y221/VLOOKUP($B221,표2[#ALL],2)/HLOOKUP($A221,표1[#ALL],row(),false)</f>
        <v>#N/A</v>
      </c>
      <c r="Z221" s="376" t="str">
        <f>CS_PID!Z221/VLOOKUP($B221,표2[#ALL],2)/HLOOKUP($A221,표1[#ALL],row(),false)</f>
        <v>#N/A</v>
      </c>
      <c r="AA221" s="376" t="str">
        <f>CS_PID!AA221/VLOOKUP($B221,표2[#ALL],2)/HLOOKUP($A221,표1[#ALL],row(),false)</f>
        <v>#N/A</v>
      </c>
      <c r="AB221" s="376" t="str">
        <f>CS_PID!AB221/VLOOKUP($B221,표2[#ALL],2)/HLOOKUP($A221,표1[#ALL],row(),false)</f>
        <v>#N/A</v>
      </c>
      <c r="AC221" s="376" t="str">
        <f>CS_PID!AC221/VLOOKUP($B221,표2[#ALL],2)/HLOOKUP($A221,표1[#ALL],row(),false)</f>
        <v>#N/A</v>
      </c>
      <c r="AD221" s="376" t="str">
        <f>CS_PID!AD221/VLOOKUP($B221,표2[#ALL],2)/HLOOKUP($A221,표1[#ALL],row(),false)</f>
        <v>#N/A</v>
      </c>
      <c r="AE221" s="376" t="str">
        <f>CS_PID!AE221/VLOOKUP($B221,표2[#ALL],2)/HLOOKUP($A221,표1[#ALL],row(),false)</f>
        <v>#N/A</v>
      </c>
      <c r="AF221" s="376" t="str">
        <f>CS_PID!AF221/VLOOKUP($B221,표2[#ALL],2)/HLOOKUP($A221,표1[#ALL],row(),false)</f>
        <v>#N/A</v>
      </c>
      <c r="AG221" s="376" t="str">
        <f>CS_PID!AG221/VLOOKUP($B221,표2[#ALL],2)/HLOOKUP($A221,표1[#ALL],row(),false)</f>
        <v>#N/A</v>
      </c>
      <c r="AH221" s="376" t="str">
        <f>CS_PID!AH221/VLOOKUP($B221,표2[#ALL],2)/HLOOKUP($A221,표1[#ALL],row(),false)</f>
        <v>#N/A</v>
      </c>
      <c r="AI221" s="376" t="str">
        <f>CS_PID!AI221/VLOOKUP($B221,표2[#ALL],2)/HLOOKUP($A221,표1[#ALL],row(),false)</f>
        <v>#N/A</v>
      </c>
      <c r="AJ221" s="376" t="str">
        <f>CS_PID!AJ221/VLOOKUP($B221,표2[#ALL],2)/HLOOKUP($A221,표1[#ALL],row(),false)</f>
        <v>#N/A</v>
      </c>
      <c r="AK221" s="376" t="str">
        <f>CS_PID!AK221/VLOOKUP($B221,표2[#ALL],2)/HLOOKUP($A221,표1[#ALL],row(),false)</f>
        <v>#N/A</v>
      </c>
      <c r="AL221" s="376" t="str">
        <f>CS_PID!AL221/VLOOKUP($B221,표2[#ALL],2)/HLOOKUP($A221,표1[#ALL],row(),false)</f>
        <v>#N/A</v>
      </c>
      <c r="AM221" s="376" t="str">
        <f>CS_PID!AM221/VLOOKUP($B221,표2[#ALL],2)/HLOOKUP($A221,표1[#ALL],row(),false)</f>
        <v>#N/A</v>
      </c>
      <c r="AN221" s="376" t="str">
        <f>CS_PID!AN221/VLOOKUP($B221,표2[#ALL],2)/HLOOKUP($A221,표1[#ALL],row(),false)</f>
        <v>#N/A</v>
      </c>
      <c r="AO221" s="376" t="str">
        <f>CS_PID!AO221/VLOOKUP($B221,표2[#ALL],2)/HLOOKUP($A221,표1[#ALL],row(),false)</f>
        <v>#N/A</v>
      </c>
      <c r="AP221" s="376" t="str">
        <f>CS_PID!AP221/VLOOKUP($B221,표2[#ALL],2)/HLOOKUP($A221,표1[#ALL],row(),false)</f>
        <v>#N/A</v>
      </c>
      <c r="AQ221" s="376" t="str">
        <f>CS_PID!AQ221/VLOOKUP($B221,표2[#ALL],2)/HLOOKUP($A221,표1[#ALL],row(),false)</f>
        <v>#N/A</v>
      </c>
      <c r="AR221" s="376" t="str">
        <f>CS_PID!AR221/VLOOKUP($B221,표2[#ALL],2)/HLOOKUP($A221,표1[#ALL],row(),false)</f>
        <v>#N/A</v>
      </c>
      <c r="AS221" s="377" t="str">
        <f>CS_PID!AS221/VLOOKUP($B221,표2[#ALL],2)/HLOOKUP($A221,표1[#ALL],row(),false)</f>
        <v>#N/A</v>
      </c>
    </row>
    <row r="222">
      <c r="A222" s="370"/>
      <c r="B222" s="371"/>
      <c r="C222" s="372" t="str">
        <f>CS_PID!C222/VLOOKUP($B222,표2[#ALL],2)</f>
        <v>#N/A</v>
      </c>
      <c r="D222" s="372" t="str">
        <f>CS_PID!D222/VLOOKUP($B222,표2[#ALL],2)</f>
        <v>#N/A</v>
      </c>
      <c r="E222" s="372" t="str">
        <f>CS_PID!E222/VLOOKUP($B222,표2[#ALL],2)</f>
        <v>#N/A</v>
      </c>
      <c r="F222" s="372" t="str">
        <f>CS_PID!F222/VLOOKUP($B222,표2[#ALL],2)</f>
        <v>#N/A</v>
      </c>
      <c r="G222" s="372" t="str">
        <f>CS_PID!G222/VLOOKUP($B222,표2[#ALL],2)</f>
        <v>#N/A</v>
      </c>
      <c r="H222" s="372" t="str">
        <f>CS_PID!H222/VLOOKUP($B222,표2[#ALL],2)/HLOOKUP($A222,표1[#ALL],row(),false)</f>
        <v>#N/A</v>
      </c>
      <c r="I222" s="372" t="str">
        <f>CS_PID!I222/VLOOKUP($B222,표2[#ALL],2)/HLOOKUP($A222,표1[#ALL],row(),false)</f>
        <v>#N/A</v>
      </c>
      <c r="J222" s="372" t="str">
        <f>CS_PID!J222/VLOOKUP($B222,표2[#ALL],2)/HLOOKUP($A222,표1[#ALL],row(),false)</f>
        <v>#N/A</v>
      </c>
      <c r="K222" s="372" t="str">
        <f>CS_PID!K222/VLOOKUP($B222,표2[#ALL],2)/HLOOKUP($A222,표1[#ALL],row(),false)</f>
        <v>#N/A</v>
      </c>
      <c r="L222" s="372" t="str">
        <f>CS_PID!L222/VLOOKUP($B222,표2[#ALL],2)/HLOOKUP($A222,표1[#ALL],row(),false)</f>
        <v>#N/A</v>
      </c>
      <c r="M222" s="372" t="str">
        <f>CS_PID!M222/VLOOKUP($B222,표2[#ALL],2)/HLOOKUP($A222,표1[#ALL],row(),false)</f>
        <v>#N/A</v>
      </c>
      <c r="N222" s="372" t="str">
        <f>CS_PID!N222/VLOOKUP($B222,표2[#ALL],2)/HLOOKUP($A222,표1[#ALL],row(),false)</f>
        <v>#N/A</v>
      </c>
      <c r="O222" s="372" t="str">
        <f>CS_PID!O222/VLOOKUP($B222,표2[#ALL],2)/HLOOKUP($A222,표1[#ALL],row(),false)</f>
        <v>#N/A</v>
      </c>
      <c r="P222" s="372" t="str">
        <f>CS_PID!P222/VLOOKUP($B222,표2[#ALL],2)/HLOOKUP($A222,표1[#ALL],row(),false)</f>
        <v>#N/A</v>
      </c>
      <c r="Q222" s="372" t="str">
        <f>CS_PID!Q222/VLOOKUP($B222,표2[#ALL],2)/HLOOKUP($A222,표1[#ALL],row(),false)</f>
        <v>#N/A</v>
      </c>
      <c r="R222" s="372" t="str">
        <f>CS_PID!R222/VLOOKUP($B222,표2[#ALL],2)/HLOOKUP($A222,표1[#ALL],row(),false)</f>
        <v>#N/A</v>
      </c>
      <c r="S222" s="372" t="str">
        <f>CS_PID!S222/VLOOKUP($B222,표2[#ALL],2)/HLOOKUP($A222,표1[#ALL],row(),false)</f>
        <v>#N/A</v>
      </c>
      <c r="T222" s="372" t="str">
        <f>CS_PID!T222/VLOOKUP($B222,표2[#ALL],2)/HLOOKUP($A222,표1[#ALL],row(),false)</f>
        <v>#N/A</v>
      </c>
      <c r="U222" s="372" t="str">
        <f>CS_PID!U222/VLOOKUP($B222,표2[#ALL],2)/HLOOKUP($A222,표1[#ALL],row(),false)</f>
        <v>#N/A</v>
      </c>
      <c r="V222" s="372" t="str">
        <f>CS_PID!V222/VLOOKUP($B222,표2[#ALL],2)/HLOOKUP($A222,표1[#ALL],row(),false)</f>
        <v>#N/A</v>
      </c>
      <c r="W222" s="372" t="str">
        <f>CS_PID!W222/VLOOKUP($B222,표2[#ALL],2)/HLOOKUP($A222,표1[#ALL],row(),false)</f>
        <v>#N/A</v>
      </c>
      <c r="X222" s="372" t="str">
        <f>CS_PID!X222/VLOOKUP($B222,표2[#ALL],2)/HLOOKUP($A222,표1[#ALL],row(),false)</f>
        <v>#N/A</v>
      </c>
      <c r="Y222" s="372" t="str">
        <f>CS_PID!Y222/VLOOKUP($B222,표2[#ALL],2)/HLOOKUP($A222,표1[#ALL],row(),false)</f>
        <v>#N/A</v>
      </c>
      <c r="Z222" s="372" t="str">
        <f>CS_PID!Z222/VLOOKUP($B222,표2[#ALL],2)/HLOOKUP($A222,표1[#ALL],row(),false)</f>
        <v>#N/A</v>
      </c>
      <c r="AA222" s="372" t="str">
        <f>CS_PID!AA222/VLOOKUP($B222,표2[#ALL],2)/HLOOKUP($A222,표1[#ALL],row(),false)</f>
        <v>#N/A</v>
      </c>
      <c r="AB222" s="372" t="str">
        <f>CS_PID!AB222/VLOOKUP($B222,표2[#ALL],2)/HLOOKUP($A222,표1[#ALL],row(),false)</f>
        <v>#N/A</v>
      </c>
      <c r="AC222" s="372" t="str">
        <f>CS_PID!AC222/VLOOKUP($B222,표2[#ALL],2)/HLOOKUP($A222,표1[#ALL],row(),false)</f>
        <v>#N/A</v>
      </c>
      <c r="AD222" s="372" t="str">
        <f>CS_PID!AD222/VLOOKUP($B222,표2[#ALL],2)/HLOOKUP($A222,표1[#ALL],row(),false)</f>
        <v>#N/A</v>
      </c>
      <c r="AE222" s="372" t="str">
        <f>CS_PID!AE222/VLOOKUP($B222,표2[#ALL],2)/HLOOKUP($A222,표1[#ALL],row(),false)</f>
        <v>#N/A</v>
      </c>
      <c r="AF222" s="372" t="str">
        <f>CS_PID!AF222/VLOOKUP($B222,표2[#ALL],2)/HLOOKUP($A222,표1[#ALL],row(),false)</f>
        <v>#N/A</v>
      </c>
      <c r="AG222" s="372" t="str">
        <f>CS_PID!AG222/VLOOKUP($B222,표2[#ALL],2)/HLOOKUP($A222,표1[#ALL],row(),false)</f>
        <v>#N/A</v>
      </c>
      <c r="AH222" s="372" t="str">
        <f>CS_PID!AH222/VLOOKUP($B222,표2[#ALL],2)/HLOOKUP($A222,표1[#ALL],row(),false)</f>
        <v>#N/A</v>
      </c>
      <c r="AI222" s="372" t="str">
        <f>CS_PID!AI222/VLOOKUP($B222,표2[#ALL],2)/HLOOKUP($A222,표1[#ALL],row(),false)</f>
        <v>#N/A</v>
      </c>
      <c r="AJ222" s="372" t="str">
        <f>CS_PID!AJ222/VLOOKUP($B222,표2[#ALL],2)/HLOOKUP($A222,표1[#ALL],row(),false)</f>
        <v>#N/A</v>
      </c>
      <c r="AK222" s="372" t="str">
        <f>CS_PID!AK222/VLOOKUP($B222,표2[#ALL],2)/HLOOKUP($A222,표1[#ALL],row(),false)</f>
        <v>#N/A</v>
      </c>
      <c r="AL222" s="372" t="str">
        <f>CS_PID!AL222/VLOOKUP($B222,표2[#ALL],2)/HLOOKUP($A222,표1[#ALL],row(),false)</f>
        <v>#N/A</v>
      </c>
      <c r="AM222" s="372" t="str">
        <f>CS_PID!AM222/VLOOKUP($B222,표2[#ALL],2)/HLOOKUP($A222,표1[#ALL],row(),false)</f>
        <v>#N/A</v>
      </c>
      <c r="AN222" s="372" t="str">
        <f>CS_PID!AN222/VLOOKUP($B222,표2[#ALL],2)/HLOOKUP($A222,표1[#ALL],row(),false)</f>
        <v>#N/A</v>
      </c>
      <c r="AO222" s="372" t="str">
        <f>CS_PID!AO222/VLOOKUP($B222,표2[#ALL],2)/HLOOKUP($A222,표1[#ALL],row(),false)</f>
        <v>#N/A</v>
      </c>
      <c r="AP222" s="372" t="str">
        <f>CS_PID!AP222/VLOOKUP($B222,표2[#ALL],2)/HLOOKUP($A222,표1[#ALL],row(),false)</f>
        <v>#N/A</v>
      </c>
      <c r="AQ222" s="372" t="str">
        <f>CS_PID!AQ222/VLOOKUP($B222,표2[#ALL],2)/HLOOKUP($A222,표1[#ALL],row(),false)</f>
        <v>#N/A</v>
      </c>
      <c r="AR222" s="372" t="str">
        <f>CS_PID!AR222/VLOOKUP($B222,표2[#ALL],2)/HLOOKUP($A222,표1[#ALL],row(),false)</f>
        <v>#N/A</v>
      </c>
      <c r="AS222" s="373" t="str">
        <f>CS_PID!AS222/VLOOKUP($B222,표2[#ALL],2)/HLOOKUP($A222,표1[#ALL],row(),false)</f>
        <v>#N/A</v>
      </c>
    </row>
    <row r="223">
      <c r="A223" s="374"/>
      <c r="B223" s="375"/>
      <c r="C223" s="376" t="str">
        <f>CS_PID!C223/VLOOKUP($B223,표2[#ALL],2)</f>
        <v>#N/A</v>
      </c>
      <c r="D223" s="376" t="str">
        <f>CS_PID!D223/VLOOKUP($B223,표2[#ALL],2)</f>
        <v>#N/A</v>
      </c>
      <c r="E223" s="376" t="str">
        <f>CS_PID!E223/VLOOKUP($B223,표2[#ALL],2)</f>
        <v>#N/A</v>
      </c>
      <c r="F223" s="376" t="str">
        <f>CS_PID!F223/VLOOKUP($B223,표2[#ALL],2)</f>
        <v>#N/A</v>
      </c>
      <c r="G223" s="376" t="str">
        <f>CS_PID!G223/VLOOKUP($B223,표2[#ALL],2)</f>
        <v>#N/A</v>
      </c>
      <c r="H223" s="376" t="str">
        <f>CS_PID!H223/VLOOKUP($B223,표2[#ALL],2)/HLOOKUP($A223,표1[#ALL],row(),false)</f>
        <v>#N/A</v>
      </c>
      <c r="I223" s="376" t="str">
        <f>CS_PID!I223/VLOOKUP($B223,표2[#ALL],2)/HLOOKUP($A223,표1[#ALL],row(),false)</f>
        <v>#N/A</v>
      </c>
      <c r="J223" s="376" t="str">
        <f>CS_PID!J223/VLOOKUP($B223,표2[#ALL],2)/HLOOKUP($A223,표1[#ALL],row(),false)</f>
        <v>#N/A</v>
      </c>
      <c r="K223" s="376" t="str">
        <f>CS_PID!K223/VLOOKUP($B223,표2[#ALL],2)/HLOOKUP($A223,표1[#ALL],row(),false)</f>
        <v>#N/A</v>
      </c>
      <c r="L223" s="376" t="str">
        <f>CS_PID!L223/VLOOKUP($B223,표2[#ALL],2)/HLOOKUP($A223,표1[#ALL],row(),false)</f>
        <v>#N/A</v>
      </c>
      <c r="M223" s="376" t="str">
        <f>CS_PID!M223/VLOOKUP($B223,표2[#ALL],2)/HLOOKUP($A223,표1[#ALL],row(),false)</f>
        <v>#N/A</v>
      </c>
      <c r="N223" s="376" t="str">
        <f>CS_PID!N223/VLOOKUP($B223,표2[#ALL],2)/HLOOKUP($A223,표1[#ALL],row(),false)</f>
        <v>#N/A</v>
      </c>
      <c r="O223" s="376" t="str">
        <f>CS_PID!O223/VLOOKUP($B223,표2[#ALL],2)/HLOOKUP($A223,표1[#ALL],row(),false)</f>
        <v>#N/A</v>
      </c>
      <c r="P223" s="376" t="str">
        <f>CS_PID!P223/VLOOKUP($B223,표2[#ALL],2)/HLOOKUP($A223,표1[#ALL],row(),false)</f>
        <v>#N/A</v>
      </c>
      <c r="Q223" s="376" t="str">
        <f>CS_PID!Q223/VLOOKUP($B223,표2[#ALL],2)/HLOOKUP($A223,표1[#ALL],row(),false)</f>
        <v>#N/A</v>
      </c>
      <c r="R223" s="376" t="str">
        <f>CS_PID!R223/VLOOKUP($B223,표2[#ALL],2)/HLOOKUP($A223,표1[#ALL],row(),false)</f>
        <v>#N/A</v>
      </c>
      <c r="S223" s="376" t="str">
        <f>CS_PID!S223/VLOOKUP($B223,표2[#ALL],2)/HLOOKUP($A223,표1[#ALL],row(),false)</f>
        <v>#N/A</v>
      </c>
      <c r="T223" s="376" t="str">
        <f>CS_PID!T223/VLOOKUP($B223,표2[#ALL],2)/HLOOKUP($A223,표1[#ALL],row(),false)</f>
        <v>#N/A</v>
      </c>
      <c r="U223" s="376" t="str">
        <f>CS_PID!U223/VLOOKUP($B223,표2[#ALL],2)/HLOOKUP($A223,표1[#ALL],row(),false)</f>
        <v>#N/A</v>
      </c>
      <c r="V223" s="376" t="str">
        <f>CS_PID!V223/VLOOKUP($B223,표2[#ALL],2)/HLOOKUP($A223,표1[#ALL],row(),false)</f>
        <v>#N/A</v>
      </c>
      <c r="W223" s="376" t="str">
        <f>CS_PID!W223/VLOOKUP($B223,표2[#ALL],2)/HLOOKUP($A223,표1[#ALL],row(),false)</f>
        <v>#N/A</v>
      </c>
      <c r="X223" s="376" t="str">
        <f>CS_PID!X223/VLOOKUP($B223,표2[#ALL],2)/HLOOKUP($A223,표1[#ALL],row(),false)</f>
        <v>#N/A</v>
      </c>
      <c r="Y223" s="376" t="str">
        <f>CS_PID!Y223/VLOOKUP($B223,표2[#ALL],2)/HLOOKUP($A223,표1[#ALL],row(),false)</f>
        <v>#N/A</v>
      </c>
      <c r="Z223" s="376" t="str">
        <f>CS_PID!Z223/VLOOKUP($B223,표2[#ALL],2)/HLOOKUP($A223,표1[#ALL],row(),false)</f>
        <v>#N/A</v>
      </c>
      <c r="AA223" s="376" t="str">
        <f>CS_PID!AA223/VLOOKUP($B223,표2[#ALL],2)/HLOOKUP($A223,표1[#ALL],row(),false)</f>
        <v>#N/A</v>
      </c>
      <c r="AB223" s="376" t="str">
        <f>CS_PID!AB223/VLOOKUP($B223,표2[#ALL],2)/HLOOKUP($A223,표1[#ALL],row(),false)</f>
        <v>#N/A</v>
      </c>
      <c r="AC223" s="376" t="str">
        <f>CS_PID!AC223/VLOOKUP($B223,표2[#ALL],2)/HLOOKUP($A223,표1[#ALL],row(),false)</f>
        <v>#N/A</v>
      </c>
      <c r="AD223" s="376" t="str">
        <f>CS_PID!AD223/VLOOKUP($B223,표2[#ALL],2)/HLOOKUP($A223,표1[#ALL],row(),false)</f>
        <v>#N/A</v>
      </c>
      <c r="AE223" s="376" t="str">
        <f>CS_PID!AE223/VLOOKUP($B223,표2[#ALL],2)/HLOOKUP($A223,표1[#ALL],row(),false)</f>
        <v>#N/A</v>
      </c>
      <c r="AF223" s="376" t="str">
        <f>CS_PID!AF223/VLOOKUP($B223,표2[#ALL],2)/HLOOKUP($A223,표1[#ALL],row(),false)</f>
        <v>#N/A</v>
      </c>
      <c r="AG223" s="376" t="str">
        <f>CS_PID!AG223/VLOOKUP($B223,표2[#ALL],2)/HLOOKUP($A223,표1[#ALL],row(),false)</f>
        <v>#N/A</v>
      </c>
      <c r="AH223" s="376" t="str">
        <f>CS_PID!AH223/VLOOKUP($B223,표2[#ALL],2)/HLOOKUP($A223,표1[#ALL],row(),false)</f>
        <v>#N/A</v>
      </c>
      <c r="AI223" s="376" t="str">
        <f>CS_PID!AI223/VLOOKUP($B223,표2[#ALL],2)/HLOOKUP($A223,표1[#ALL],row(),false)</f>
        <v>#N/A</v>
      </c>
      <c r="AJ223" s="376" t="str">
        <f>CS_PID!AJ223/VLOOKUP($B223,표2[#ALL],2)/HLOOKUP($A223,표1[#ALL],row(),false)</f>
        <v>#N/A</v>
      </c>
      <c r="AK223" s="376" t="str">
        <f>CS_PID!AK223/VLOOKUP($B223,표2[#ALL],2)/HLOOKUP($A223,표1[#ALL],row(),false)</f>
        <v>#N/A</v>
      </c>
      <c r="AL223" s="376" t="str">
        <f>CS_PID!AL223/VLOOKUP($B223,표2[#ALL],2)/HLOOKUP($A223,표1[#ALL],row(),false)</f>
        <v>#N/A</v>
      </c>
      <c r="AM223" s="376" t="str">
        <f>CS_PID!AM223/VLOOKUP($B223,표2[#ALL],2)/HLOOKUP($A223,표1[#ALL],row(),false)</f>
        <v>#N/A</v>
      </c>
      <c r="AN223" s="376" t="str">
        <f>CS_PID!AN223/VLOOKUP($B223,표2[#ALL],2)/HLOOKUP($A223,표1[#ALL],row(),false)</f>
        <v>#N/A</v>
      </c>
      <c r="AO223" s="376" t="str">
        <f>CS_PID!AO223/VLOOKUP($B223,표2[#ALL],2)/HLOOKUP($A223,표1[#ALL],row(),false)</f>
        <v>#N/A</v>
      </c>
      <c r="AP223" s="376" t="str">
        <f>CS_PID!AP223/VLOOKUP($B223,표2[#ALL],2)/HLOOKUP($A223,표1[#ALL],row(),false)</f>
        <v>#N/A</v>
      </c>
      <c r="AQ223" s="376" t="str">
        <f>CS_PID!AQ223/VLOOKUP($B223,표2[#ALL],2)/HLOOKUP($A223,표1[#ALL],row(),false)</f>
        <v>#N/A</v>
      </c>
      <c r="AR223" s="376" t="str">
        <f>CS_PID!AR223/VLOOKUP($B223,표2[#ALL],2)/HLOOKUP($A223,표1[#ALL],row(),false)</f>
        <v>#N/A</v>
      </c>
      <c r="AS223" s="377" t="str">
        <f>CS_PID!AS223/VLOOKUP($B223,표2[#ALL],2)/HLOOKUP($A223,표1[#ALL],row(),false)</f>
        <v>#N/A</v>
      </c>
    </row>
    <row r="224">
      <c r="A224" s="370"/>
      <c r="B224" s="371"/>
      <c r="C224" s="372" t="str">
        <f>CS_PID!C224/VLOOKUP($B224,표2[#ALL],2)</f>
        <v>#N/A</v>
      </c>
      <c r="D224" s="372" t="str">
        <f>CS_PID!D224/VLOOKUP($B224,표2[#ALL],2)</f>
        <v>#N/A</v>
      </c>
      <c r="E224" s="372" t="str">
        <f>CS_PID!E224/VLOOKUP($B224,표2[#ALL],2)</f>
        <v>#N/A</v>
      </c>
      <c r="F224" s="372" t="str">
        <f>CS_PID!F224/VLOOKUP($B224,표2[#ALL],2)</f>
        <v>#N/A</v>
      </c>
      <c r="G224" s="372" t="str">
        <f>CS_PID!G224/VLOOKUP($B224,표2[#ALL],2)</f>
        <v>#N/A</v>
      </c>
      <c r="H224" s="372" t="str">
        <f>CS_PID!H224/VLOOKUP($B224,표2[#ALL],2)/HLOOKUP($A224,표1[#ALL],row(),false)</f>
        <v>#N/A</v>
      </c>
      <c r="I224" s="372" t="str">
        <f>CS_PID!I224/VLOOKUP($B224,표2[#ALL],2)/HLOOKUP($A224,표1[#ALL],row(),false)</f>
        <v>#N/A</v>
      </c>
      <c r="J224" s="372" t="str">
        <f>CS_PID!J224/VLOOKUP($B224,표2[#ALL],2)/HLOOKUP($A224,표1[#ALL],row(),false)</f>
        <v>#N/A</v>
      </c>
      <c r="K224" s="372" t="str">
        <f>CS_PID!K224/VLOOKUP($B224,표2[#ALL],2)/HLOOKUP($A224,표1[#ALL],row(),false)</f>
        <v>#N/A</v>
      </c>
      <c r="L224" s="372" t="str">
        <f>CS_PID!L224/VLOOKUP($B224,표2[#ALL],2)/HLOOKUP($A224,표1[#ALL],row(),false)</f>
        <v>#N/A</v>
      </c>
      <c r="M224" s="372" t="str">
        <f>CS_PID!M224/VLOOKUP($B224,표2[#ALL],2)/HLOOKUP($A224,표1[#ALL],row(),false)</f>
        <v>#N/A</v>
      </c>
      <c r="N224" s="372" t="str">
        <f>CS_PID!N224/VLOOKUP($B224,표2[#ALL],2)/HLOOKUP($A224,표1[#ALL],row(),false)</f>
        <v>#N/A</v>
      </c>
      <c r="O224" s="372" t="str">
        <f>CS_PID!O224/VLOOKUP($B224,표2[#ALL],2)/HLOOKUP($A224,표1[#ALL],row(),false)</f>
        <v>#N/A</v>
      </c>
      <c r="P224" s="372" t="str">
        <f>CS_PID!P224/VLOOKUP($B224,표2[#ALL],2)/HLOOKUP($A224,표1[#ALL],row(),false)</f>
        <v>#N/A</v>
      </c>
      <c r="Q224" s="372" t="str">
        <f>CS_PID!Q224/VLOOKUP($B224,표2[#ALL],2)/HLOOKUP($A224,표1[#ALL],row(),false)</f>
        <v>#N/A</v>
      </c>
      <c r="R224" s="372" t="str">
        <f>CS_PID!R224/VLOOKUP($B224,표2[#ALL],2)/HLOOKUP($A224,표1[#ALL],row(),false)</f>
        <v>#N/A</v>
      </c>
      <c r="S224" s="372" t="str">
        <f>CS_PID!S224/VLOOKUP($B224,표2[#ALL],2)/HLOOKUP($A224,표1[#ALL],row(),false)</f>
        <v>#N/A</v>
      </c>
      <c r="T224" s="372" t="str">
        <f>CS_PID!T224/VLOOKUP($B224,표2[#ALL],2)/HLOOKUP($A224,표1[#ALL],row(),false)</f>
        <v>#N/A</v>
      </c>
      <c r="U224" s="372" t="str">
        <f>CS_PID!U224/VLOOKUP($B224,표2[#ALL],2)/HLOOKUP($A224,표1[#ALL],row(),false)</f>
        <v>#N/A</v>
      </c>
      <c r="V224" s="372" t="str">
        <f>CS_PID!V224/VLOOKUP($B224,표2[#ALL],2)/HLOOKUP($A224,표1[#ALL],row(),false)</f>
        <v>#N/A</v>
      </c>
      <c r="W224" s="372" t="str">
        <f>CS_PID!W224/VLOOKUP($B224,표2[#ALL],2)/HLOOKUP($A224,표1[#ALL],row(),false)</f>
        <v>#N/A</v>
      </c>
      <c r="X224" s="372" t="str">
        <f>CS_PID!X224/VLOOKUP($B224,표2[#ALL],2)/HLOOKUP($A224,표1[#ALL],row(),false)</f>
        <v>#N/A</v>
      </c>
      <c r="Y224" s="372" t="str">
        <f>CS_PID!Y224/VLOOKUP($B224,표2[#ALL],2)/HLOOKUP($A224,표1[#ALL],row(),false)</f>
        <v>#N/A</v>
      </c>
      <c r="Z224" s="372" t="str">
        <f>CS_PID!Z224/VLOOKUP($B224,표2[#ALL],2)/HLOOKUP($A224,표1[#ALL],row(),false)</f>
        <v>#N/A</v>
      </c>
      <c r="AA224" s="372" t="str">
        <f>CS_PID!AA224/VLOOKUP($B224,표2[#ALL],2)/HLOOKUP($A224,표1[#ALL],row(),false)</f>
        <v>#N/A</v>
      </c>
      <c r="AB224" s="372" t="str">
        <f>CS_PID!AB224/VLOOKUP($B224,표2[#ALL],2)/HLOOKUP($A224,표1[#ALL],row(),false)</f>
        <v>#N/A</v>
      </c>
      <c r="AC224" s="372" t="str">
        <f>CS_PID!AC224/VLOOKUP($B224,표2[#ALL],2)/HLOOKUP($A224,표1[#ALL],row(),false)</f>
        <v>#N/A</v>
      </c>
      <c r="AD224" s="372" t="str">
        <f>CS_PID!AD224/VLOOKUP($B224,표2[#ALL],2)/HLOOKUP($A224,표1[#ALL],row(),false)</f>
        <v>#N/A</v>
      </c>
      <c r="AE224" s="372" t="str">
        <f>CS_PID!AE224/VLOOKUP($B224,표2[#ALL],2)/HLOOKUP($A224,표1[#ALL],row(),false)</f>
        <v>#N/A</v>
      </c>
      <c r="AF224" s="372" t="str">
        <f>CS_PID!AF224/VLOOKUP($B224,표2[#ALL],2)/HLOOKUP($A224,표1[#ALL],row(),false)</f>
        <v>#N/A</v>
      </c>
      <c r="AG224" s="372" t="str">
        <f>CS_PID!AG224/VLOOKUP($B224,표2[#ALL],2)/HLOOKUP($A224,표1[#ALL],row(),false)</f>
        <v>#N/A</v>
      </c>
      <c r="AH224" s="372" t="str">
        <f>CS_PID!AH224/VLOOKUP($B224,표2[#ALL],2)/HLOOKUP($A224,표1[#ALL],row(),false)</f>
        <v>#N/A</v>
      </c>
      <c r="AI224" s="372" t="str">
        <f>CS_PID!AI224/VLOOKUP($B224,표2[#ALL],2)/HLOOKUP($A224,표1[#ALL],row(),false)</f>
        <v>#N/A</v>
      </c>
      <c r="AJ224" s="372" t="str">
        <f>CS_PID!AJ224/VLOOKUP($B224,표2[#ALL],2)/HLOOKUP($A224,표1[#ALL],row(),false)</f>
        <v>#N/A</v>
      </c>
      <c r="AK224" s="372" t="str">
        <f>CS_PID!AK224/VLOOKUP($B224,표2[#ALL],2)/HLOOKUP($A224,표1[#ALL],row(),false)</f>
        <v>#N/A</v>
      </c>
      <c r="AL224" s="372" t="str">
        <f>CS_PID!AL224/VLOOKUP($B224,표2[#ALL],2)/HLOOKUP($A224,표1[#ALL],row(),false)</f>
        <v>#N/A</v>
      </c>
      <c r="AM224" s="372" t="str">
        <f>CS_PID!AM224/VLOOKUP($B224,표2[#ALL],2)/HLOOKUP($A224,표1[#ALL],row(),false)</f>
        <v>#N/A</v>
      </c>
      <c r="AN224" s="372" t="str">
        <f>CS_PID!AN224/VLOOKUP($B224,표2[#ALL],2)/HLOOKUP($A224,표1[#ALL],row(),false)</f>
        <v>#N/A</v>
      </c>
      <c r="AO224" s="372" t="str">
        <f>CS_PID!AO224/VLOOKUP($B224,표2[#ALL],2)/HLOOKUP($A224,표1[#ALL],row(),false)</f>
        <v>#N/A</v>
      </c>
      <c r="AP224" s="372" t="str">
        <f>CS_PID!AP224/VLOOKUP($B224,표2[#ALL],2)/HLOOKUP($A224,표1[#ALL],row(),false)</f>
        <v>#N/A</v>
      </c>
      <c r="AQ224" s="372" t="str">
        <f>CS_PID!AQ224/VLOOKUP($B224,표2[#ALL],2)/HLOOKUP($A224,표1[#ALL],row(),false)</f>
        <v>#N/A</v>
      </c>
      <c r="AR224" s="372" t="str">
        <f>CS_PID!AR224/VLOOKUP($B224,표2[#ALL],2)/HLOOKUP($A224,표1[#ALL],row(),false)</f>
        <v>#N/A</v>
      </c>
      <c r="AS224" s="373" t="str">
        <f>CS_PID!AS224/VLOOKUP($B224,표2[#ALL],2)/HLOOKUP($A224,표1[#ALL],row(),false)</f>
        <v>#N/A</v>
      </c>
    </row>
    <row r="225">
      <c r="A225" s="374"/>
      <c r="B225" s="375"/>
      <c r="C225" s="376" t="str">
        <f>CS_PID!C225/VLOOKUP($B225,표2[#ALL],2)</f>
        <v>#N/A</v>
      </c>
      <c r="D225" s="376" t="str">
        <f>CS_PID!D225/VLOOKUP($B225,표2[#ALL],2)</f>
        <v>#N/A</v>
      </c>
      <c r="E225" s="376" t="str">
        <f>CS_PID!E225/VLOOKUP($B225,표2[#ALL],2)</f>
        <v>#N/A</v>
      </c>
      <c r="F225" s="376" t="str">
        <f>CS_PID!F225/VLOOKUP($B225,표2[#ALL],2)</f>
        <v>#N/A</v>
      </c>
      <c r="G225" s="376" t="str">
        <f>CS_PID!G225/VLOOKUP($B225,표2[#ALL],2)</f>
        <v>#N/A</v>
      </c>
      <c r="H225" s="376" t="str">
        <f>CS_PID!H225/VLOOKUP($B225,표2[#ALL],2)/HLOOKUP($A225,표1[#ALL],row(),false)</f>
        <v>#N/A</v>
      </c>
      <c r="I225" s="376" t="str">
        <f>CS_PID!I225/VLOOKUP($B225,표2[#ALL],2)/HLOOKUP($A225,표1[#ALL],row(),false)</f>
        <v>#N/A</v>
      </c>
      <c r="J225" s="376" t="str">
        <f>CS_PID!J225/VLOOKUP($B225,표2[#ALL],2)/HLOOKUP($A225,표1[#ALL],row(),false)</f>
        <v>#N/A</v>
      </c>
      <c r="K225" s="376" t="str">
        <f>CS_PID!K225/VLOOKUP($B225,표2[#ALL],2)/HLOOKUP($A225,표1[#ALL],row(),false)</f>
        <v>#N/A</v>
      </c>
      <c r="L225" s="376" t="str">
        <f>CS_PID!L225/VLOOKUP($B225,표2[#ALL],2)/HLOOKUP($A225,표1[#ALL],row(),false)</f>
        <v>#N/A</v>
      </c>
      <c r="M225" s="376" t="str">
        <f>CS_PID!M225/VLOOKUP($B225,표2[#ALL],2)/HLOOKUP($A225,표1[#ALL],row(),false)</f>
        <v>#N/A</v>
      </c>
      <c r="N225" s="376" t="str">
        <f>CS_PID!N225/VLOOKUP($B225,표2[#ALL],2)/HLOOKUP($A225,표1[#ALL],row(),false)</f>
        <v>#N/A</v>
      </c>
      <c r="O225" s="376" t="str">
        <f>CS_PID!O225/VLOOKUP($B225,표2[#ALL],2)/HLOOKUP($A225,표1[#ALL],row(),false)</f>
        <v>#N/A</v>
      </c>
      <c r="P225" s="376" t="str">
        <f>CS_PID!P225/VLOOKUP($B225,표2[#ALL],2)/HLOOKUP($A225,표1[#ALL],row(),false)</f>
        <v>#N/A</v>
      </c>
      <c r="Q225" s="376" t="str">
        <f>CS_PID!Q225/VLOOKUP($B225,표2[#ALL],2)/HLOOKUP($A225,표1[#ALL],row(),false)</f>
        <v>#N/A</v>
      </c>
      <c r="R225" s="376" t="str">
        <f>CS_PID!R225/VLOOKUP($B225,표2[#ALL],2)/HLOOKUP($A225,표1[#ALL],row(),false)</f>
        <v>#N/A</v>
      </c>
      <c r="S225" s="376" t="str">
        <f>CS_PID!S225/VLOOKUP($B225,표2[#ALL],2)/HLOOKUP($A225,표1[#ALL],row(),false)</f>
        <v>#N/A</v>
      </c>
      <c r="T225" s="376" t="str">
        <f>CS_PID!T225/VLOOKUP($B225,표2[#ALL],2)/HLOOKUP($A225,표1[#ALL],row(),false)</f>
        <v>#N/A</v>
      </c>
      <c r="U225" s="376" t="str">
        <f>CS_PID!U225/VLOOKUP($B225,표2[#ALL],2)/HLOOKUP($A225,표1[#ALL],row(),false)</f>
        <v>#N/A</v>
      </c>
      <c r="V225" s="376" t="str">
        <f>CS_PID!V225/VLOOKUP($B225,표2[#ALL],2)/HLOOKUP($A225,표1[#ALL],row(),false)</f>
        <v>#N/A</v>
      </c>
      <c r="W225" s="376" t="str">
        <f>CS_PID!W225/VLOOKUP($B225,표2[#ALL],2)/HLOOKUP($A225,표1[#ALL],row(),false)</f>
        <v>#N/A</v>
      </c>
      <c r="X225" s="376" t="str">
        <f>CS_PID!X225/VLOOKUP($B225,표2[#ALL],2)/HLOOKUP($A225,표1[#ALL],row(),false)</f>
        <v>#N/A</v>
      </c>
      <c r="Y225" s="376" t="str">
        <f>CS_PID!Y225/VLOOKUP($B225,표2[#ALL],2)/HLOOKUP($A225,표1[#ALL],row(),false)</f>
        <v>#N/A</v>
      </c>
      <c r="Z225" s="376" t="str">
        <f>CS_PID!Z225/VLOOKUP($B225,표2[#ALL],2)/HLOOKUP($A225,표1[#ALL],row(),false)</f>
        <v>#N/A</v>
      </c>
      <c r="AA225" s="376" t="str">
        <f>CS_PID!AA225/VLOOKUP($B225,표2[#ALL],2)/HLOOKUP($A225,표1[#ALL],row(),false)</f>
        <v>#N/A</v>
      </c>
      <c r="AB225" s="376" t="str">
        <f>CS_PID!AB225/VLOOKUP($B225,표2[#ALL],2)/HLOOKUP($A225,표1[#ALL],row(),false)</f>
        <v>#N/A</v>
      </c>
      <c r="AC225" s="376" t="str">
        <f>CS_PID!AC225/VLOOKUP($B225,표2[#ALL],2)/HLOOKUP($A225,표1[#ALL],row(),false)</f>
        <v>#N/A</v>
      </c>
      <c r="AD225" s="376" t="str">
        <f>CS_PID!AD225/VLOOKUP($B225,표2[#ALL],2)/HLOOKUP($A225,표1[#ALL],row(),false)</f>
        <v>#N/A</v>
      </c>
      <c r="AE225" s="376" t="str">
        <f>CS_PID!AE225/VLOOKUP($B225,표2[#ALL],2)/HLOOKUP($A225,표1[#ALL],row(),false)</f>
        <v>#N/A</v>
      </c>
      <c r="AF225" s="376" t="str">
        <f>CS_PID!AF225/VLOOKUP($B225,표2[#ALL],2)/HLOOKUP($A225,표1[#ALL],row(),false)</f>
        <v>#N/A</v>
      </c>
      <c r="AG225" s="376" t="str">
        <f>CS_PID!AG225/VLOOKUP($B225,표2[#ALL],2)/HLOOKUP($A225,표1[#ALL],row(),false)</f>
        <v>#N/A</v>
      </c>
      <c r="AH225" s="376" t="str">
        <f>CS_PID!AH225/VLOOKUP($B225,표2[#ALL],2)/HLOOKUP($A225,표1[#ALL],row(),false)</f>
        <v>#N/A</v>
      </c>
      <c r="AI225" s="376" t="str">
        <f>CS_PID!AI225/VLOOKUP($B225,표2[#ALL],2)/HLOOKUP($A225,표1[#ALL],row(),false)</f>
        <v>#N/A</v>
      </c>
      <c r="AJ225" s="376" t="str">
        <f>CS_PID!AJ225/VLOOKUP($B225,표2[#ALL],2)/HLOOKUP($A225,표1[#ALL],row(),false)</f>
        <v>#N/A</v>
      </c>
      <c r="AK225" s="376" t="str">
        <f>CS_PID!AK225/VLOOKUP($B225,표2[#ALL],2)/HLOOKUP($A225,표1[#ALL],row(),false)</f>
        <v>#N/A</v>
      </c>
      <c r="AL225" s="376" t="str">
        <f>CS_PID!AL225/VLOOKUP($B225,표2[#ALL],2)/HLOOKUP($A225,표1[#ALL],row(),false)</f>
        <v>#N/A</v>
      </c>
      <c r="AM225" s="376" t="str">
        <f>CS_PID!AM225/VLOOKUP($B225,표2[#ALL],2)/HLOOKUP($A225,표1[#ALL],row(),false)</f>
        <v>#N/A</v>
      </c>
      <c r="AN225" s="376" t="str">
        <f>CS_PID!AN225/VLOOKUP($B225,표2[#ALL],2)/HLOOKUP($A225,표1[#ALL],row(),false)</f>
        <v>#N/A</v>
      </c>
      <c r="AO225" s="376" t="str">
        <f>CS_PID!AO225/VLOOKUP($B225,표2[#ALL],2)/HLOOKUP($A225,표1[#ALL],row(),false)</f>
        <v>#N/A</v>
      </c>
      <c r="AP225" s="376" t="str">
        <f>CS_PID!AP225/VLOOKUP($B225,표2[#ALL],2)/HLOOKUP($A225,표1[#ALL],row(),false)</f>
        <v>#N/A</v>
      </c>
      <c r="AQ225" s="376" t="str">
        <f>CS_PID!AQ225/VLOOKUP($B225,표2[#ALL],2)/HLOOKUP($A225,표1[#ALL],row(),false)</f>
        <v>#N/A</v>
      </c>
      <c r="AR225" s="376" t="str">
        <f>CS_PID!AR225/VLOOKUP($B225,표2[#ALL],2)/HLOOKUP($A225,표1[#ALL],row(),false)</f>
        <v>#N/A</v>
      </c>
      <c r="AS225" s="377" t="str">
        <f>CS_PID!AS225/VLOOKUP($B225,표2[#ALL],2)/HLOOKUP($A225,표1[#ALL],row(),false)</f>
        <v>#N/A</v>
      </c>
    </row>
    <row r="226">
      <c r="A226" s="370"/>
      <c r="B226" s="371"/>
      <c r="C226" s="372" t="str">
        <f>CS_PID!C226/VLOOKUP($B226,표2[#ALL],2)</f>
        <v>#N/A</v>
      </c>
      <c r="D226" s="372" t="str">
        <f>CS_PID!D226/VLOOKUP($B226,표2[#ALL],2)</f>
        <v>#N/A</v>
      </c>
      <c r="E226" s="372" t="str">
        <f>CS_PID!E226/VLOOKUP($B226,표2[#ALL],2)</f>
        <v>#N/A</v>
      </c>
      <c r="F226" s="372" t="str">
        <f>CS_PID!F226/VLOOKUP($B226,표2[#ALL],2)</f>
        <v>#N/A</v>
      </c>
      <c r="G226" s="372" t="str">
        <f>CS_PID!G226/VLOOKUP($B226,표2[#ALL],2)</f>
        <v>#N/A</v>
      </c>
      <c r="H226" s="372" t="str">
        <f>CS_PID!H226/VLOOKUP($B226,표2[#ALL],2)/HLOOKUP($A226,표1[#ALL],row(),false)</f>
        <v>#N/A</v>
      </c>
      <c r="I226" s="372" t="str">
        <f>CS_PID!I226/VLOOKUP($B226,표2[#ALL],2)/HLOOKUP($A226,표1[#ALL],row(),false)</f>
        <v>#N/A</v>
      </c>
      <c r="J226" s="372" t="str">
        <f>CS_PID!J226/VLOOKUP($B226,표2[#ALL],2)/HLOOKUP($A226,표1[#ALL],row(),false)</f>
        <v>#N/A</v>
      </c>
      <c r="K226" s="372" t="str">
        <f>CS_PID!K226/VLOOKUP($B226,표2[#ALL],2)/HLOOKUP($A226,표1[#ALL],row(),false)</f>
        <v>#N/A</v>
      </c>
      <c r="L226" s="372" t="str">
        <f>CS_PID!L226/VLOOKUP($B226,표2[#ALL],2)/HLOOKUP($A226,표1[#ALL],row(),false)</f>
        <v>#N/A</v>
      </c>
      <c r="M226" s="372" t="str">
        <f>CS_PID!M226/VLOOKUP($B226,표2[#ALL],2)/HLOOKUP($A226,표1[#ALL],row(),false)</f>
        <v>#N/A</v>
      </c>
      <c r="N226" s="372" t="str">
        <f>CS_PID!N226/VLOOKUP($B226,표2[#ALL],2)/HLOOKUP($A226,표1[#ALL],row(),false)</f>
        <v>#N/A</v>
      </c>
      <c r="O226" s="372" t="str">
        <f>CS_PID!O226/VLOOKUP($B226,표2[#ALL],2)/HLOOKUP($A226,표1[#ALL],row(),false)</f>
        <v>#N/A</v>
      </c>
      <c r="P226" s="372" t="str">
        <f>CS_PID!P226/VLOOKUP($B226,표2[#ALL],2)/HLOOKUP($A226,표1[#ALL],row(),false)</f>
        <v>#N/A</v>
      </c>
      <c r="Q226" s="372" t="str">
        <f>CS_PID!Q226/VLOOKUP($B226,표2[#ALL],2)/HLOOKUP($A226,표1[#ALL],row(),false)</f>
        <v>#N/A</v>
      </c>
      <c r="R226" s="372" t="str">
        <f>CS_PID!R226/VLOOKUP($B226,표2[#ALL],2)/HLOOKUP($A226,표1[#ALL],row(),false)</f>
        <v>#N/A</v>
      </c>
      <c r="S226" s="372" t="str">
        <f>CS_PID!S226/VLOOKUP($B226,표2[#ALL],2)/HLOOKUP($A226,표1[#ALL],row(),false)</f>
        <v>#N/A</v>
      </c>
      <c r="T226" s="372" t="str">
        <f>CS_PID!T226/VLOOKUP($B226,표2[#ALL],2)/HLOOKUP($A226,표1[#ALL],row(),false)</f>
        <v>#N/A</v>
      </c>
      <c r="U226" s="372" t="str">
        <f>CS_PID!U226/VLOOKUP($B226,표2[#ALL],2)/HLOOKUP($A226,표1[#ALL],row(),false)</f>
        <v>#N/A</v>
      </c>
      <c r="V226" s="372" t="str">
        <f>CS_PID!V226/VLOOKUP($B226,표2[#ALL],2)/HLOOKUP($A226,표1[#ALL],row(),false)</f>
        <v>#N/A</v>
      </c>
      <c r="W226" s="372" t="str">
        <f>CS_PID!W226/VLOOKUP($B226,표2[#ALL],2)/HLOOKUP($A226,표1[#ALL],row(),false)</f>
        <v>#N/A</v>
      </c>
      <c r="X226" s="372" t="str">
        <f>CS_PID!X226/VLOOKUP($B226,표2[#ALL],2)/HLOOKUP($A226,표1[#ALL],row(),false)</f>
        <v>#N/A</v>
      </c>
      <c r="Y226" s="372" t="str">
        <f>CS_PID!Y226/VLOOKUP($B226,표2[#ALL],2)/HLOOKUP($A226,표1[#ALL],row(),false)</f>
        <v>#N/A</v>
      </c>
      <c r="Z226" s="372" t="str">
        <f>CS_PID!Z226/VLOOKUP($B226,표2[#ALL],2)/HLOOKUP($A226,표1[#ALL],row(),false)</f>
        <v>#N/A</v>
      </c>
      <c r="AA226" s="372" t="str">
        <f>CS_PID!AA226/VLOOKUP($B226,표2[#ALL],2)/HLOOKUP($A226,표1[#ALL],row(),false)</f>
        <v>#N/A</v>
      </c>
      <c r="AB226" s="372" t="str">
        <f>CS_PID!AB226/VLOOKUP($B226,표2[#ALL],2)/HLOOKUP($A226,표1[#ALL],row(),false)</f>
        <v>#N/A</v>
      </c>
      <c r="AC226" s="372" t="str">
        <f>CS_PID!AC226/VLOOKUP($B226,표2[#ALL],2)/HLOOKUP($A226,표1[#ALL],row(),false)</f>
        <v>#N/A</v>
      </c>
      <c r="AD226" s="372" t="str">
        <f>CS_PID!AD226/VLOOKUP($B226,표2[#ALL],2)/HLOOKUP($A226,표1[#ALL],row(),false)</f>
        <v>#N/A</v>
      </c>
      <c r="AE226" s="372" t="str">
        <f>CS_PID!AE226/VLOOKUP($B226,표2[#ALL],2)/HLOOKUP($A226,표1[#ALL],row(),false)</f>
        <v>#N/A</v>
      </c>
      <c r="AF226" s="372" t="str">
        <f>CS_PID!AF226/VLOOKUP($B226,표2[#ALL],2)/HLOOKUP($A226,표1[#ALL],row(),false)</f>
        <v>#N/A</v>
      </c>
      <c r="AG226" s="372" t="str">
        <f>CS_PID!AG226/VLOOKUP($B226,표2[#ALL],2)/HLOOKUP($A226,표1[#ALL],row(),false)</f>
        <v>#N/A</v>
      </c>
      <c r="AH226" s="372" t="str">
        <f>CS_PID!AH226/VLOOKUP($B226,표2[#ALL],2)/HLOOKUP($A226,표1[#ALL],row(),false)</f>
        <v>#N/A</v>
      </c>
      <c r="AI226" s="372" t="str">
        <f>CS_PID!AI226/VLOOKUP($B226,표2[#ALL],2)/HLOOKUP($A226,표1[#ALL],row(),false)</f>
        <v>#N/A</v>
      </c>
      <c r="AJ226" s="372" t="str">
        <f>CS_PID!AJ226/VLOOKUP($B226,표2[#ALL],2)/HLOOKUP($A226,표1[#ALL],row(),false)</f>
        <v>#N/A</v>
      </c>
      <c r="AK226" s="372" t="str">
        <f>CS_PID!AK226/VLOOKUP($B226,표2[#ALL],2)/HLOOKUP($A226,표1[#ALL],row(),false)</f>
        <v>#N/A</v>
      </c>
      <c r="AL226" s="372" t="str">
        <f>CS_PID!AL226/VLOOKUP($B226,표2[#ALL],2)/HLOOKUP($A226,표1[#ALL],row(),false)</f>
        <v>#N/A</v>
      </c>
      <c r="AM226" s="372" t="str">
        <f>CS_PID!AM226/VLOOKUP($B226,표2[#ALL],2)/HLOOKUP($A226,표1[#ALL],row(),false)</f>
        <v>#N/A</v>
      </c>
      <c r="AN226" s="372" t="str">
        <f>CS_PID!AN226/VLOOKUP($B226,표2[#ALL],2)/HLOOKUP($A226,표1[#ALL],row(),false)</f>
        <v>#N/A</v>
      </c>
      <c r="AO226" s="372" t="str">
        <f>CS_PID!AO226/VLOOKUP($B226,표2[#ALL],2)/HLOOKUP($A226,표1[#ALL],row(),false)</f>
        <v>#N/A</v>
      </c>
      <c r="AP226" s="372" t="str">
        <f>CS_PID!AP226/VLOOKUP($B226,표2[#ALL],2)/HLOOKUP($A226,표1[#ALL],row(),false)</f>
        <v>#N/A</v>
      </c>
      <c r="AQ226" s="372" t="str">
        <f>CS_PID!AQ226/VLOOKUP($B226,표2[#ALL],2)/HLOOKUP($A226,표1[#ALL],row(),false)</f>
        <v>#N/A</v>
      </c>
      <c r="AR226" s="372" t="str">
        <f>CS_PID!AR226/VLOOKUP($B226,표2[#ALL],2)/HLOOKUP($A226,표1[#ALL],row(),false)</f>
        <v>#N/A</v>
      </c>
      <c r="AS226" s="373" t="str">
        <f>CS_PID!AS226/VLOOKUP($B226,표2[#ALL],2)/HLOOKUP($A226,표1[#ALL],row(),false)</f>
        <v>#N/A</v>
      </c>
    </row>
    <row r="227">
      <c r="A227" s="374"/>
      <c r="B227" s="375"/>
      <c r="C227" s="376" t="str">
        <f>CS_PID!C227/VLOOKUP($B227,표2[#ALL],2)</f>
        <v>#N/A</v>
      </c>
      <c r="D227" s="376" t="str">
        <f>CS_PID!D227/VLOOKUP($B227,표2[#ALL],2)</f>
        <v>#N/A</v>
      </c>
      <c r="E227" s="376" t="str">
        <f>CS_PID!E227/VLOOKUP($B227,표2[#ALL],2)</f>
        <v>#N/A</v>
      </c>
      <c r="F227" s="376" t="str">
        <f>CS_PID!F227/VLOOKUP($B227,표2[#ALL],2)</f>
        <v>#N/A</v>
      </c>
      <c r="G227" s="376" t="str">
        <f>CS_PID!G227/VLOOKUP($B227,표2[#ALL],2)</f>
        <v>#N/A</v>
      </c>
      <c r="H227" s="376" t="str">
        <f>CS_PID!H227/VLOOKUP($B227,표2[#ALL],2)/HLOOKUP($A227,표1[#ALL],row(),false)</f>
        <v>#N/A</v>
      </c>
      <c r="I227" s="376" t="str">
        <f>CS_PID!I227/VLOOKUP($B227,표2[#ALL],2)/HLOOKUP($A227,표1[#ALL],row(),false)</f>
        <v>#N/A</v>
      </c>
      <c r="J227" s="376" t="str">
        <f>CS_PID!J227/VLOOKUP($B227,표2[#ALL],2)/HLOOKUP($A227,표1[#ALL],row(),false)</f>
        <v>#N/A</v>
      </c>
      <c r="K227" s="376" t="str">
        <f>CS_PID!K227/VLOOKUP($B227,표2[#ALL],2)/HLOOKUP($A227,표1[#ALL],row(),false)</f>
        <v>#N/A</v>
      </c>
      <c r="L227" s="376" t="str">
        <f>CS_PID!L227/VLOOKUP($B227,표2[#ALL],2)/HLOOKUP($A227,표1[#ALL],row(),false)</f>
        <v>#N/A</v>
      </c>
      <c r="M227" s="376" t="str">
        <f>CS_PID!M227/VLOOKUP($B227,표2[#ALL],2)/HLOOKUP($A227,표1[#ALL],row(),false)</f>
        <v>#N/A</v>
      </c>
      <c r="N227" s="376" t="str">
        <f>CS_PID!N227/VLOOKUP($B227,표2[#ALL],2)/HLOOKUP($A227,표1[#ALL],row(),false)</f>
        <v>#N/A</v>
      </c>
      <c r="O227" s="376" t="str">
        <f>CS_PID!O227/VLOOKUP($B227,표2[#ALL],2)/HLOOKUP($A227,표1[#ALL],row(),false)</f>
        <v>#N/A</v>
      </c>
      <c r="P227" s="376" t="str">
        <f>CS_PID!P227/VLOOKUP($B227,표2[#ALL],2)/HLOOKUP($A227,표1[#ALL],row(),false)</f>
        <v>#N/A</v>
      </c>
      <c r="Q227" s="376" t="str">
        <f>CS_PID!Q227/VLOOKUP($B227,표2[#ALL],2)/HLOOKUP($A227,표1[#ALL],row(),false)</f>
        <v>#N/A</v>
      </c>
      <c r="R227" s="376" t="str">
        <f>CS_PID!R227/VLOOKUP($B227,표2[#ALL],2)/HLOOKUP($A227,표1[#ALL],row(),false)</f>
        <v>#N/A</v>
      </c>
      <c r="S227" s="376" t="str">
        <f>CS_PID!S227/VLOOKUP($B227,표2[#ALL],2)/HLOOKUP($A227,표1[#ALL],row(),false)</f>
        <v>#N/A</v>
      </c>
      <c r="T227" s="376" t="str">
        <f>CS_PID!T227/VLOOKUP($B227,표2[#ALL],2)/HLOOKUP($A227,표1[#ALL],row(),false)</f>
        <v>#N/A</v>
      </c>
      <c r="U227" s="376" t="str">
        <f>CS_PID!U227/VLOOKUP($B227,표2[#ALL],2)/HLOOKUP($A227,표1[#ALL],row(),false)</f>
        <v>#N/A</v>
      </c>
      <c r="V227" s="376" t="str">
        <f>CS_PID!V227/VLOOKUP($B227,표2[#ALL],2)/HLOOKUP($A227,표1[#ALL],row(),false)</f>
        <v>#N/A</v>
      </c>
      <c r="W227" s="376" t="str">
        <f>CS_PID!W227/VLOOKUP($B227,표2[#ALL],2)/HLOOKUP($A227,표1[#ALL],row(),false)</f>
        <v>#N/A</v>
      </c>
      <c r="X227" s="376" t="str">
        <f>CS_PID!X227/VLOOKUP($B227,표2[#ALL],2)/HLOOKUP($A227,표1[#ALL],row(),false)</f>
        <v>#N/A</v>
      </c>
      <c r="Y227" s="376" t="str">
        <f>CS_PID!Y227/VLOOKUP($B227,표2[#ALL],2)/HLOOKUP($A227,표1[#ALL],row(),false)</f>
        <v>#N/A</v>
      </c>
      <c r="Z227" s="376" t="str">
        <f>CS_PID!Z227/VLOOKUP($B227,표2[#ALL],2)/HLOOKUP($A227,표1[#ALL],row(),false)</f>
        <v>#N/A</v>
      </c>
      <c r="AA227" s="376" t="str">
        <f>CS_PID!AA227/VLOOKUP($B227,표2[#ALL],2)/HLOOKUP($A227,표1[#ALL],row(),false)</f>
        <v>#N/A</v>
      </c>
      <c r="AB227" s="376" t="str">
        <f>CS_PID!AB227/VLOOKUP($B227,표2[#ALL],2)/HLOOKUP($A227,표1[#ALL],row(),false)</f>
        <v>#N/A</v>
      </c>
      <c r="AC227" s="376" t="str">
        <f>CS_PID!AC227/VLOOKUP($B227,표2[#ALL],2)/HLOOKUP($A227,표1[#ALL],row(),false)</f>
        <v>#N/A</v>
      </c>
      <c r="AD227" s="376" t="str">
        <f>CS_PID!AD227/VLOOKUP($B227,표2[#ALL],2)/HLOOKUP($A227,표1[#ALL],row(),false)</f>
        <v>#N/A</v>
      </c>
      <c r="AE227" s="376" t="str">
        <f>CS_PID!AE227/VLOOKUP($B227,표2[#ALL],2)/HLOOKUP($A227,표1[#ALL],row(),false)</f>
        <v>#N/A</v>
      </c>
      <c r="AF227" s="376" t="str">
        <f>CS_PID!AF227/VLOOKUP($B227,표2[#ALL],2)/HLOOKUP($A227,표1[#ALL],row(),false)</f>
        <v>#N/A</v>
      </c>
      <c r="AG227" s="376" t="str">
        <f>CS_PID!AG227/VLOOKUP($B227,표2[#ALL],2)/HLOOKUP($A227,표1[#ALL],row(),false)</f>
        <v>#N/A</v>
      </c>
      <c r="AH227" s="376" t="str">
        <f>CS_PID!AH227/VLOOKUP($B227,표2[#ALL],2)/HLOOKUP($A227,표1[#ALL],row(),false)</f>
        <v>#N/A</v>
      </c>
      <c r="AI227" s="376" t="str">
        <f>CS_PID!AI227/VLOOKUP($B227,표2[#ALL],2)/HLOOKUP($A227,표1[#ALL],row(),false)</f>
        <v>#N/A</v>
      </c>
      <c r="AJ227" s="376" t="str">
        <f>CS_PID!AJ227/VLOOKUP($B227,표2[#ALL],2)/HLOOKUP($A227,표1[#ALL],row(),false)</f>
        <v>#N/A</v>
      </c>
      <c r="AK227" s="376" t="str">
        <f>CS_PID!AK227/VLOOKUP($B227,표2[#ALL],2)/HLOOKUP($A227,표1[#ALL],row(),false)</f>
        <v>#N/A</v>
      </c>
      <c r="AL227" s="376" t="str">
        <f>CS_PID!AL227/VLOOKUP($B227,표2[#ALL],2)/HLOOKUP($A227,표1[#ALL],row(),false)</f>
        <v>#N/A</v>
      </c>
      <c r="AM227" s="376" t="str">
        <f>CS_PID!AM227/VLOOKUP($B227,표2[#ALL],2)/HLOOKUP($A227,표1[#ALL],row(),false)</f>
        <v>#N/A</v>
      </c>
      <c r="AN227" s="376" t="str">
        <f>CS_PID!AN227/VLOOKUP($B227,표2[#ALL],2)/HLOOKUP($A227,표1[#ALL],row(),false)</f>
        <v>#N/A</v>
      </c>
      <c r="AO227" s="376" t="str">
        <f>CS_PID!AO227/VLOOKUP($B227,표2[#ALL],2)/HLOOKUP($A227,표1[#ALL],row(),false)</f>
        <v>#N/A</v>
      </c>
      <c r="AP227" s="376" t="str">
        <f>CS_PID!AP227/VLOOKUP($B227,표2[#ALL],2)/HLOOKUP($A227,표1[#ALL],row(),false)</f>
        <v>#N/A</v>
      </c>
      <c r="AQ227" s="376" t="str">
        <f>CS_PID!AQ227/VLOOKUP($B227,표2[#ALL],2)/HLOOKUP($A227,표1[#ALL],row(),false)</f>
        <v>#N/A</v>
      </c>
      <c r="AR227" s="376" t="str">
        <f>CS_PID!AR227/VLOOKUP($B227,표2[#ALL],2)/HLOOKUP($A227,표1[#ALL],row(),false)</f>
        <v>#N/A</v>
      </c>
      <c r="AS227" s="377" t="str">
        <f>CS_PID!AS227/VLOOKUP($B227,표2[#ALL],2)/HLOOKUP($A227,표1[#ALL],row(),false)</f>
        <v>#N/A</v>
      </c>
    </row>
    <row r="228">
      <c r="A228" s="370"/>
      <c r="B228" s="371"/>
      <c r="C228" s="372" t="str">
        <f>CS_PID!C228/VLOOKUP($B228,표2[#ALL],2)</f>
        <v>#N/A</v>
      </c>
      <c r="D228" s="372" t="str">
        <f>CS_PID!D228/VLOOKUP($B228,표2[#ALL],2)</f>
        <v>#N/A</v>
      </c>
      <c r="E228" s="372" t="str">
        <f>CS_PID!E228/VLOOKUP($B228,표2[#ALL],2)</f>
        <v>#N/A</v>
      </c>
      <c r="F228" s="372" t="str">
        <f>CS_PID!F228/VLOOKUP($B228,표2[#ALL],2)</f>
        <v>#N/A</v>
      </c>
      <c r="G228" s="372" t="str">
        <f>CS_PID!G228/VLOOKUP($B228,표2[#ALL],2)</f>
        <v>#N/A</v>
      </c>
      <c r="H228" s="372" t="str">
        <f>CS_PID!H228/VLOOKUP($B228,표2[#ALL],2)/HLOOKUP($A228,표1[#ALL],row(),false)</f>
        <v>#N/A</v>
      </c>
      <c r="I228" s="372" t="str">
        <f>CS_PID!I228/VLOOKUP($B228,표2[#ALL],2)/HLOOKUP($A228,표1[#ALL],row(),false)</f>
        <v>#N/A</v>
      </c>
      <c r="J228" s="372" t="str">
        <f>CS_PID!J228/VLOOKUP($B228,표2[#ALL],2)/HLOOKUP($A228,표1[#ALL],row(),false)</f>
        <v>#N/A</v>
      </c>
      <c r="K228" s="372" t="str">
        <f>CS_PID!K228/VLOOKUP($B228,표2[#ALL],2)/HLOOKUP($A228,표1[#ALL],row(),false)</f>
        <v>#N/A</v>
      </c>
      <c r="L228" s="372" t="str">
        <f>CS_PID!L228/VLOOKUP($B228,표2[#ALL],2)/HLOOKUP($A228,표1[#ALL],row(),false)</f>
        <v>#N/A</v>
      </c>
      <c r="M228" s="372" t="str">
        <f>CS_PID!M228/VLOOKUP($B228,표2[#ALL],2)/HLOOKUP($A228,표1[#ALL],row(),false)</f>
        <v>#N/A</v>
      </c>
      <c r="N228" s="372" t="str">
        <f>CS_PID!N228/VLOOKUP($B228,표2[#ALL],2)/HLOOKUP($A228,표1[#ALL],row(),false)</f>
        <v>#N/A</v>
      </c>
      <c r="O228" s="372" t="str">
        <f>CS_PID!O228/VLOOKUP($B228,표2[#ALL],2)/HLOOKUP($A228,표1[#ALL],row(),false)</f>
        <v>#N/A</v>
      </c>
      <c r="P228" s="372" t="str">
        <f>CS_PID!P228/VLOOKUP($B228,표2[#ALL],2)/HLOOKUP($A228,표1[#ALL],row(),false)</f>
        <v>#N/A</v>
      </c>
      <c r="Q228" s="372" t="str">
        <f>CS_PID!Q228/VLOOKUP($B228,표2[#ALL],2)/HLOOKUP($A228,표1[#ALL],row(),false)</f>
        <v>#N/A</v>
      </c>
      <c r="R228" s="372" t="str">
        <f>CS_PID!R228/VLOOKUP($B228,표2[#ALL],2)/HLOOKUP($A228,표1[#ALL],row(),false)</f>
        <v>#N/A</v>
      </c>
      <c r="S228" s="372" t="str">
        <f>CS_PID!S228/VLOOKUP($B228,표2[#ALL],2)/HLOOKUP($A228,표1[#ALL],row(),false)</f>
        <v>#N/A</v>
      </c>
      <c r="T228" s="372" t="str">
        <f>CS_PID!T228/VLOOKUP($B228,표2[#ALL],2)/HLOOKUP($A228,표1[#ALL],row(),false)</f>
        <v>#N/A</v>
      </c>
      <c r="U228" s="372" t="str">
        <f>CS_PID!U228/VLOOKUP($B228,표2[#ALL],2)/HLOOKUP($A228,표1[#ALL],row(),false)</f>
        <v>#N/A</v>
      </c>
      <c r="V228" s="372" t="str">
        <f>CS_PID!V228/VLOOKUP($B228,표2[#ALL],2)/HLOOKUP($A228,표1[#ALL],row(),false)</f>
        <v>#N/A</v>
      </c>
      <c r="W228" s="372" t="str">
        <f>CS_PID!W228/VLOOKUP($B228,표2[#ALL],2)/HLOOKUP($A228,표1[#ALL],row(),false)</f>
        <v>#N/A</v>
      </c>
      <c r="X228" s="372" t="str">
        <f>CS_PID!X228/VLOOKUP($B228,표2[#ALL],2)/HLOOKUP($A228,표1[#ALL],row(),false)</f>
        <v>#N/A</v>
      </c>
      <c r="Y228" s="372" t="str">
        <f>CS_PID!Y228/VLOOKUP($B228,표2[#ALL],2)/HLOOKUP($A228,표1[#ALL],row(),false)</f>
        <v>#N/A</v>
      </c>
      <c r="Z228" s="372" t="str">
        <f>CS_PID!Z228/VLOOKUP($B228,표2[#ALL],2)/HLOOKUP($A228,표1[#ALL],row(),false)</f>
        <v>#N/A</v>
      </c>
      <c r="AA228" s="372" t="str">
        <f>CS_PID!AA228/VLOOKUP($B228,표2[#ALL],2)/HLOOKUP($A228,표1[#ALL],row(),false)</f>
        <v>#N/A</v>
      </c>
      <c r="AB228" s="372" t="str">
        <f>CS_PID!AB228/VLOOKUP($B228,표2[#ALL],2)/HLOOKUP($A228,표1[#ALL],row(),false)</f>
        <v>#N/A</v>
      </c>
      <c r="AC228" s="372" t="str">
        <f>CS_PID!AC228/VLOOKUP($B228,표2[#ALL],2)/HLOOKUP($A228,표1[#ALL],row(),false)</f>
        <v>#N/A</v>
      </c>
      <c r="AD228" s="372" t="str">
        <f>CS_PID!AD228/VLOOKUP($B228,표2[#ALL],2)/HLOOKUP($A228,표1[#ALL],row(),false)</f>
        <v>#N/A</v>
      </c>
      <c r="AE228" s="372" t="str">
        <f>CS_PID!AE228/VLOOKUP($B228,표2[#ALL],2)/HLOOKUP($A228,표1[#ALL],row(),false)</f>
        <v>#N/A</v>
      </c>
      <c r="AF228" s="372" t="str">
        <f>CS_PID!AF228/VLOOKUP($B228,표2[#ALL],2)/HLOOKUP($A228,표1[#ALL],row(),false)</f>
        <v>#N/A</v>
      </c>
      <c r="AG228" s="372" t="str">
        <f>CS_PID!AG228/VLOOKUP($B228,표2[#ALL],2)/HLOOKUP($A228,표1[#ALL],row(),false)</f>
        <v>#N/A</v>
      </c>
      <c r="AH228" s="372" t="str">
        <f>CS_PID!AH228/VLOOKUP($B228,표2[#ALL],2)/HLOOKUP($A228,표1[#ALL],row(),false)</f>
        <v>#N/A</v>
      </c>
      <c r="AI228" s="372" t="str">
        <f>CS_PID!AI228/VLOOKUP($B228,표2[#ALL],2)/HLOOKUP($A228,표1[#ALL],row(),false)</f>
        <v>#N/A</v>
      </c>
      <c r="AJ228" s="372" t="str">
        <f>CS_PID!AJ228/VLOOKUP($B228,표2[#ALL],2)/HLOOKUP($A228,표1[#ALL],row(),false)</f>
        <v>#N/A</v>
      </c>
      <c r="AK228" s="372" t="str">
        <f>CS_PID!AK228/VLOOKUP($B228,표2[#ALL],2)/HLOOKUP($A228,표1[#ALL],row(),false)</f>
        <v>#N/A</v>
      </c>
      <c r="AL228" s="372" t="str">
        <f>CS_PID!AL228/VLOOKUP($B228,표2[#ALL],2)/HLOOKUP($A228,표1[#ALL],row(),false)</f>
        <v>#N/A</v>
      </c>
      <c r="AM228" s="372" t="str">
        <f>CS_PID!AM228/VLOOKUP($B228,표2[#ALL],2)/HLOOKUP($A228,표1[#ALL],row(),false)</f>
        <v>#N/A</v>
      </c>
      <c r="AN228" s="372" t="str">
        <f>CS_PID!AN228/VLOOKUP($B228,표2[#ALL],2)/HLOOKUP($A228,표1[#ALL],row(),false)</f>
        <v>#N/A</v>
      </c>
      <c r="AO228" s="372" t="str">
        <f>CS_PID!AO228/VLOOKUP($B228,표2[#ALL],2)/HLOOKUP($A228,표1[#ALL],row(),false)</f>
        <v>#N/A</v>
      </c>
      <c r="AP228" s="372" t="str">
        <f>CS_PID!AP228/VLOOKUP($B228,표2[#ALL],2)/HLOOKUP($A228,표1[#ALL],row(),false)</f>
        <v>#N/A</v>
      </c>
      <c r="AQ228" s="372" t="str">
        <f>CS_PID!AQ228/VLOOKUP($B228,표2[#ALL],2)/HLOOKUP($A228,표1[#ALL],row(),false)</f>
        <v>#N/A</v>
      </c>
      <c r="AR228" s="372" t="str">
        <f>CS_PID!AR228/VLOOKUP($B228,표2[#ALL],2)/HLOOKUP($A228,표1[#ALL],row(),false)</f>
        <v>#N/A</v>
      </c>
      <c r="AS228" s="373" t="str">
        <f>CS_PID!AS228/VLOOKUP($B228,표2[#ALL],2)/HLOOKUP($A228,표1[#ALL],row(),false)</f>
        <v>#N/A</v>
      </c>
    </row>
    <row r="229">
      <c r="A229" s="374"/>
      <c r="B229" s="375"/>
      <c r="C229" s="376" t="str">
        <f>CS_PID!C229/VLOOKUP($B229,표2[#ALL],2)</f>
        <v>#N/A</v>
      </c>
      <c r="D229" s="376" t="str">
        <f>CS_PID!D229/VLOOKUP($B229,표2[#ALL],2)</f>
        <v>#N/A</v>
      </c>
      <c r="E229" s="376" t="str">
        <f>CS_PID!E229/VLOOKUP($B229,표2[#ALL],2)</f>
        <v>#N/A</v>
      </c>
      <c r="F229" s="376" t="str">
        <f>CS_PID!F229/VLOOKUP($B229,표2[#ALL],2)</f>
        <v>#N/A</v>
      </c>
      <c r="G229" s="376" t="str">
        <f>CS_PID!G229/VLOOKUP($B229,표2[#ALL],2)</f>
        <v>#N/A</v>
      </c>
      <c r="H229" s="376" t="str">
        <f>CS_PID!H229/VLOOKUP($B229,표2[#ALL],2)/HLOOKUP($A229,표1[#ALL],row(),false)</f>
        <v>#N/A</v>
      </c>
      <c r="I229" s="376" t="str">
        <f>CS_PID!I229/VLOOKUP($B229,표2[#ALL],2)/HLOOKUP($A229,표1[#ALL],row(),false)</f>
        <v>#N/A</v>
      </c>
      <c r="J229" s="376" t="str">
        <f>CS_PID!J229/VLOOKUP($B229,표2[#ALL],2)/HLOOKUP($A229,표1[#ALL],row(),false)</f>
        <v>#N/A</v>
      </c>
      <c r="K229" s="376" t="str">
        <f>CS_PID!K229/VLOOKUP($B229,표2[#ALL],2)/HLOOKUP($A229,표1[#ALL],row(),false)</f>
        <v>#N/A</v>
      </c>
      <c r="L229" s="376" t="str">
        <f>CS_PID!L229/VLOOKUP($B229,표2[#ALL],2)/HLOOKUP($A229,표1[#ALL],row(),false)</f>
        <v>#N/A</v>
      </c>
      <c r="M229" s="376" t="str">
        <f>CS_PID!M229/VLOOKUP($B229,표2[#ALL],2)/HLOOKUP($A229,표1[#ALL],row(),false)</f>
        <v>#N/A</v>
      </c>
      <c r="N229" s="376" t="str">
        <f>CS_PID!N229/VLOOKUP($B229,표2[#ALL],2)/HLOOKUP($A229,표1[#ALL],row(),false)</f>
        <v>#N/A</v>
      </c>
      <c r="O229" s="376" t="str">
        <f>CS_PID!O229/VLOOKUP($B229,표2[#ALL],2)/HLOOKUP($A229,표1[#ALL],row(),false)</f>
        <v>#N/A</v>
      </c>
      <c r="P229" s="376" t="str">
        <f>CS_PID!P229/VLOOKUP($B229,표2[#ALL],2)/HLOOKUP($A229,표1[#ALL],row(),false)</f>
        <v>#N/A</v>
      </c>
      <c r="Q229" s="376" t="str">
        <f>CS_PID!Q229/VLOOKUP($B229,표2[#ALL],2)/HLOOKUP($A229,표1[#ALL],row(),false)</f>
        <v>#N/A</v>
      </c>
      <c r="R229" s="376" t="str">
        <f>CS_PID!R229/VLOOKUP($B229,표2[#ALL],2)/HLOOKUP($A229,표1[#ALL],row(),false)</f>
        <v>#N/A</v>
      </c>
      <c r="S229" s="376" t="str">
        <f>CS_PID!S229/VLOOKUP($B229,표2[#ALL],2)/HLOOKUP($A229,표1[#ALL],row(),false)</f>
        <v>#N/A</v>
      </c>
      <c r="T229" s="376" t="str">
        <f>CS_PID!T229/VLOOKUP($B229,표2[#ALL],2)/HLOOKUP($A229,표1[#ALL],row(),false)</f>
        <v>#N/A</v>
      </c>
      <c r="U229" s="376" t="str">
        <f>CS_PID!U229/VLOOKUP($B229,표2[#ALL],2)/HLOOKUP($A229,표1[#ALL],row(),false)</f>
        <v>#N/A</v>
      </c>
      <c r="V229" s="376" t="str">
        <f>CS_PID!V229/VLOOKUP($B229,표2[#ALL],2)/HLOOKUP($A229,표1[#ALL],row(),false)</f>
        <v>#N/A</v>
      </c>
      <c r="W229" s="376" t="str">
        <f>CS_PID!W229/VLOOKUP($B229,표2[#ALL],2)/HLOOKUP($A229,표1[#ALL],row(),false)</f>
        <v>#N/A</v>
      </c>
      <c r="X229" s="376" t="str">
        <f>CS_PID!X229/VLOOKUP($B229,표2[#ALL],2)/HLOOKUP($A229,표1[#ALL],row(),false)</f>
        <v>#N/A</v>
      </c>
      <c r="Y229" s="376" t="str">
        <f>CS_PID!Y229/VLOOKUP($B229,표2[#ALL],2)/HLOOKUP($A229,표1[#ALL],row(),false)</f>
        <v>#N/A</v>
      </c>
      <c r="Z229" s="376" t="str">
        <f>CS_PID!Z229/VLOOKUP($B229,표2[#ALL],2)/HLOOKUP($A229,표1[#ALL],row(),false)</f>
        <v>#N/A</v>
      </c>
      <c r="AA229" s="376" t="str">
        <f>CS_PID!AA229/VLOOKUP($B229,표2[#ALL],2)/HLOOKUP($A229,표1[#ALL],row(),false)</f>
        <v>#N/A</v>
      </c>
      <c r="AB229" s="376" t="str">
        <f>CS_PID!AB229/VLOOKUP($B229,표2[#ALL],2)/HLOOKUP($A229,표1[#ALL],row(),false)</f>
        <v>#N/A</v>
      </c>
      <c r="AC229" s="376" t="str">
        <f>CS_PID!AC229/VLOOKUP($B229,표2[#ALL],2)/HLOOKUP($A229,표1[#ALL],row(),false)</f>
        <v>#N/A</v>
      </c>
      <c r="AD229" s="376" t="str">
        <f>CS_PID!AD229/VLOOKUP($B229,표2[#ALL],2)/HLOOKUP($A229,표1[#ALL],row(),false)</f>
        <v>#N/A</v>
      </c>
      <c r="AE229" s="376" t="str">
        <f>CS_PID!AE229/VLOOKUP($B229,표2[#ALL],2)/HLOOKUP($A229,표1[#ALL],row(),false)</f>
        <v>#N/A</v>
      </c>
      <c r="AF229" s="376" t="str">
        <f>CS_PID!AF229/VLOOKUP($B229,표2[#ALL],2)/HLOOKUP($A229,표1[#ALL],row(),false)</f>
        <v>#N/A</v>
      </c>
      <c r="AG229" s="376" t="str">
        <f>CS_PID!AG229/VLOOKUP($B229,표2[#ALL],2)/HLOOKUP($A229,표1[#ALL],row(),false)</f>
        <v>#N/A</v>
      </c>
      <c r="AH229" s="376" t="str">
        <f>CS_PID!AH229/VLOOKUP($B229,표2[#ALL],2)/HLOOKUP($A229,표1[#ALL],row(),false)</f>
        <v>#N/A</v>
      </c>
      <c r="AI229" s="376" t="str">
        <f>CS_PID!AI229/VLOOKUP($B229,표2[#ALL],2)/HLOOKUP($A229,표1[#ALL],row(),false)</f>
        <v>#N/A</v>
      </c>
      <c r="AJ229" s="376" t="str">
        <f>CS_PID!AJ229/VLOOKUP($B229,표2[#ALL],2)/HLOOKUP($A229,표1[#ALL],row(),false)</f>
        <v>#N/A</v>
      </c>
      <c r="AK229" s="376" t="str">
        <f>CS_PID!AK229/VLOOKUP($B229,표2[#ALL],2)/HLOOKUP($A229,표1[#ALL],row(),false)</f>
        <v>#N/A</v>
      </c>
      <c r="AL229" s="376" t="str">
        <f>CS_PID!AL229/VLOOKUP($B229,표2[#ALL],2)/HLOOKUP($A229,표1[#ALL],row(),false)</f>
        <v>#N/A</v>
      </c>
      <c r="AM229" s="376" t="str">
        <f>CS_PID!AM229/VLOOKUP($B229,표2[#ALL],2)/HLOOKUP($A229,표1[#ALL],row(),false)</f>
        <v>#N/A</v>
      </c>
      <c r="AN229" s="376" t="str">
        <f>CS_PID!AN229/VLOOKUP($B229,표2[#ALL],2)/HLOOKUP($A229,표1[#ALL],row(),false)</f>
        <v>#N/A</v>
      </c>
      <c r="AO229" s="376" t="str">
        <f>CS_PID!AO229/VLOOKUP($B229,표2[#ALL],2)/HLOOKUP($A229,표1[#ALL],row(),false)</f>
        <v>#N/A</v>
      </c>
      <c r="AP229" s="376" t="str">
        <f>CS_PID!AP229/VLOOKUP($B229,표2[#ALL],2)/HLOOKUP($A229,표1[#ALL],row(),false)</f>
        <v>#N/A</v>
      </c>
      <c r="AQ229" s="376" t="str">
        <f>CS_PID!AQ229/VLOOKUP($B229,표2[#ALL],2)/HLOOKUP($A229,표1[#ALL],row(),false)</f>
        <v>#N/A</v>
      </c>
      <c r="AR229" s="376" t="str">
        <f>CS_PID!AR229/VLOOKUP($B229,표2[#ALL],2)/HLOOKUP($A229,표1[#ALL],row(),false)</f>
        <v>#N/A</v>
      </c>
      <c r="AS229" s="377" t="str">
        <f>CS_PID!AS229/VLOOKUP($B229,표2[#ALL],2)/HLOOKUP($A229,표1[#ALL],row(),false)</f>
        <v>#N/A</v>
      </c>
    </row>
    <row r="230">
      <c r="A230" s="370"/>
      <c r="B230" s="371"/>
      <c r="C230" s="372" t="str">
        <f>CS_PID!C230/VLOOKUP($B230,표2[#ALL],2)</f>
        <v>#N/A</v>
      </c>
      <c r="D230" s="372" t="str">
        <f>CS_PID!D230/VLOOKUP($B230,표2[#ALL],2)</f>
        <v>#N/A</v>
      </c>
      <c r="E230" s="372" t="str">
        <f>CS_PID!E230/VLOOKUP($B230,표2[#ALL],2)</f>
        <v>#N/A</v>
      </c>
      <c r="F230" s="372" t="str">
        <f>CS_PID!F230/VLOOKUP($B230,표2[#ALL],2)</f>
        <v>#N/A</v>
      </c>
      <c r="G230" s="372" t="str">
        <f>CS_PID!G230/VLOOKUP($B230,표2[#ALL],2)</f>
        <v>#N/A</v>
      </c>
      <c r="H230" s="372" t="str">
        <f>CS_PID!H230/VLOOKUP($B230,표2[#ALL],2)/HLOOKUP($A230,표1[#ALL],row(),false)</f>
        <v>#N/A</v>
      </c>
      <c r="I230" s="372" t="str">
        <f>CS_PID!I230/VLOOKUP($B230,표2[#ALL],2)/HLOOKUP($A230,표1[#ALL],row(),false)</f>
        <v>#N/A</v>
      </c>
      <c r="J230" s="372" t="str">
        <f>CS_PID!J230/VLOOKUP($B230,표2[#ALL],2)/HLOOKUP($A230,표1[#ALL],row(),false)</f>
        <v>#N/A</v>
      </c>
      <c r="K230" s="372" t="str">
        <f>CS_PID!K230/VLOOKUP($B230,표2[#ALL],2)/HLOOKUP($A230,표1[#ALL],row(),false)</f>
        <v>#N/A</v>
      </c>
      <c r="L230" s="372" t="str">
        <f>CS_PID!L230/VLOOKUP($B230,표2[#ALL],2)/HLOOKUP($A230,표1[#ALL],row(),false)</f>
        <v>#N/A</v>
      </c>
      <c r="M230" s="372" t="str">
        <f>CS_PID!M230/VLOOKUP($B230,표2[#ALL],2)/HLOOKUP($A230,표1[#ALL],row(),false)</f>
        <v>#N/A</v>
      </c>
      <c r="N230" s="372" t="str">
        <f>CS_PID!N230/VLOOKUP($B230,표2[#ALL],2)/HLOOKUP($A230,표1[#ALL],row(),false)</f>
        <v>#N/A</v>
      </c>
      <c r="O230" s="372" t="str">
        <f>CS_PID!O230/VLOOKUP($B230,표2[#ALL],2)/HLOOKUP($A230,표1[#ALL],row(),false)</f>
        <v>#N/A</v>
      </c>
      <c r="P230" s="372" t="str">
        <f>CS_PID!P230/VLOOKUP($B230,표2[#ALL],2)/HLOOKUP($A230,표1[#ALL],row(),false)</f>
        <v>#N/A</v>
      </c>
      <c r="Q230" s="372" t="str">
        <f>CS_PID!Q230/VLOOKUP($B230,표2[#ALL],2)/HLOOKUP($A230,표1[#ALL],row(),false)</f>
        <v>#N/A</v>
      </c>
      <c r="R230" s="372" t="str">
        <f>CS_PID!R230/VLOOKUP($B230,표2[#ALL],2)/HLOOKUP($A230,표1[#ALL],row(),false)</f>
        <v>#N/A</v>
      </c>
      <c r="S230" s="372" t="str">
        <f>CS_PID!S230/VLOOKUP($B230,표2[#ALL],2)/HLOOKUP($A230,표1[#ALL],row(),false)</f>
        <v>#N/A</v>
      </c>
      <c r="T230" s="372" t="str">
        <f>CS_PID!T230/VLOOKUP($B230,표2[#ALL],2)/HLOOKUP($A230,표1[#ALL],row(),false)</f>
        <v>#N/A</v>
      </c>
      <c r="U230" s="372" t="str">
        <f>CS_PID!U230/VLOOKUP($B230,표2[#ALL],2)/HLOOKUP($A230,표1[#ALL],row(),false)</f>
        <v>#N/A</v>
      </c>
      <c r="V230" s="372" t="str">
        <f>CS_PID!V230/VLOOKUP($B230,표2[#ALL],2)/HLOOKUP($A230,표1[#ALL],row(),false)</f>
        <v>#N/A</v>
      </c>
      <c r="W230" s="372" t="str">
        <f>CS_PID!W230/VLOOKUP($B230,표2[#ALL],2)/HLOOKUP($A230,표1[#ALL],row(),false)</f>
        <v>#N/A</v>
      </c>
      <c r="X230" s="372" t="str">
        <f>CS_PID!X230/VLOOKUP($B230,표2[#ALL],2)/HLOOKUP($A230,표1[#ALL],row(),false)</f>
        <v>#N/A</v>
      </c>
      <c r="Y230" s="372" t="str">
        <f>CS_PID!Y230/VLOOKUP($B230,표2[#ALL],2)/HLOOKUP($A230,표1[#ALL],row(),false)</f>
        <v>#N/A</v>
      </c>
      <c r="Z230" s="372" t="str">
        <f>CS_PID!Z230/VLOOKUP($B230,표2[#ALL],2)/HLOOKUP($A230,표1[#ALL],row(),false)</f>
        <v>#N/A</v>
      </c>
      <c r="AA230" s="372" t="str">
        <f>CS_PID!AA230/VLOOKUP($B230,표2[#ALL],2)/HLOOKUP($A230,표1[#ALL],row(),false)</f>
        <v>#N/A</v>
      </c>
      <c r="AB230" s="372" t="str">
        <f>CS_PID!AB230/VLOOKUP($B230,표2[#ALL],2)/HLOOKUP($A230,표1[#ALL],row(),false)</f>
        <v>#N/A</v>
      </c>
      <c r="AC230" s="372" t="str">
        <f>CS_PID!AC230/VLOOKUP($B230,표2[#ALL],2)/HLOOKUP($A230,표1[#ALL],row(),false)</f>
        <v>#N/A</v>
      </c>
      <c r="AD230" s="372" t="str">
        <f>CS_PID!AD230/VLOOKUP($B230,표2[#ALL],2)/HLOOKUP($A230,표1[#ALL],row(),false)</f>
        <v>#N/A</v>
      </c>
      <c r="AE230" s="372" t="str">
        <f>CS_PID!AE230/VLOOKUP($B230,표2[#ALL],2)/HLOOKUP($A230,표1[#ALL],row(),false)</f>
        <v>#N/A</v>
      </c>
      <c r="AF230" s="372" t="str">
        <f>CS_PID!AF230/VLOOKUP($B230,표2[#ALL],2)/HLOOKUP($A230,표1[#ALL],row(),false)</f>
        <v>#N/A</v>
      </c>
      <c r="AG230" s="372" t="str">
        <f>CS_PID!AG230/VLOOKUP($B230,표2[#ALL],2)/HLOOKUP($A230,표1[#ALL],row(),false)</f>
        <v>#N/A</v>
      </c>
      <c r="AH230" s="372" t="str">
        <f>CS_PID!AH230/VLOOKUP($B230,표2[#ALL],2)/HLOOKUP($A230,표1[#ALL],row(),false)</f>
        <v>#N/A</v>
      </c>
      <c r="AI230" s="372" t="str">
        <f>CS_PID!AI230/VLOOKUP($B230,표2[#ALL],2)/HLOOKUP($A230,표1[#ALL],row(),false)</f>
        <v>#N/A</v>
      </c>
      <c r="AJ230" s="372" t="str">
        <f>CS_PID!AJ230/VLOOKUP($B230,표2[#ALL],2)/HLOOKUP($A230,표1[#ALL],row(),false)</f>
        <v>#N/A</v>
      </c>
      <c r="AK230" s="372" t="str">
        <f>CS_PID!AK230/VLOOKUP($B230,표2[#ALL],2)/HLOOKUP($A230,표1[#ALL],row(),false)</f>
        <v>#N/A</v>
      </c>
      <c r="AL230" s="372" t="str">
        <f>CS_PID!AL230/VLOOKUP($B230,표2[#ALL],2)/HLOOKUP($A230,표1[#ALL],row(),false)</f>
        <v>#N/A</v>
      </c>
      <c r="AM230" s="372" t="str">
        <f>CS_PID!AM230/VLOOKUP($B230,표2[#ALL],2)/HLOOKUP($A230,표1[#ALL],row(),false)</f>
        <v>#N/A</v>
      </c>
      <c r="AN230" s="372" t="str">
        <f>CS_PID!AN230/VLOOKUP($B230,표2[#ALL],2)/HLOOKUP($A230,표1[#ALL],row(),false)</f>
        <v>#N/A</v>
      </c>
      <c r="AO230" s="372" t="str">
        <f>CS_PID!AO230/VLOOKUP($B230,표2[#ALL],2)/HLOOKUP($A230,표1[#ALL],row(),false)</f>
        <v>#N/A</v>
      </c>
      <c r="AP230" s="372" t="str">
        <f>CS_PID!AP230/VLOOKUP($B230,표2[#ALL],2)/HLOOKUP($A230,표1[#ALL],row(),false)</f>
        <v>#N/A</v>
      </c>
      <c r="AQ230" s="372" t="str">
        <f>CS_PID!AQ230/VLOOKUP($B230,표2[#ALL],2)/HLOOKUP($A230,표1[#ALL],row(),false)</f>
        <v>#N/A</v>
      </c>
      <c r="AR230" s="372" t="str">
        <f>CS_PID!AR230/VLOOKUP($B230,표2[#ALL],2)/HLOOKUP($A230,표1[#ALL],row(),false)</f>
        <v>#N/A</v>
      </c>
      <c r="AS230" s="373" t="str">
        <f>CS_PID!AS230/VLOOKUP($B230,표2[#ALL],2)/HLOOKUP($A230,표1[#ALL],row(),false)</f>
        <v>#N/A</v>
      </c>
    </row>
    <row r="231">
      <c r="A231" s="374"/>
      <c r="B231" s="375"/>
      <c r="C231" s="376" t="str">
        <f>CS_PID!C231/VLOOKUP($B231,표2[#ALL],2)</f>
        <v>#N/A</v>
      </c>
      <c r="D231" s="376" t="str">
        <f>CS_PID!D231/VLOOKUP($B231,표2[#ALL],2)</f>
        <v>#N/A</v>
      </c>
      <c r="E231" s="376" t="str">
        <f>CS_PID!E231/VLOOKUP($B231,표2[#ALL],2)</f>
        <v>#N/A</v>
      </c>
      <c r="F231" s="376" t="str">
        <f>CS_PID!F231/VLOOKUP($B231,표2[#ALL],2)</f>
        <v>#N/A</v>
      </c>
      <c r="G231" s="376" t="str">
        <f>CS_PID!G231/VLOOKUP($B231,표2[#ALL],2)</f>
        <v>#N/A</v>
      </c>
      <c r="H231" s="376" t="str">
        <f>CS_PID!H231/VLOOKUP($B231,표2[#ALL],2)/HLOOKUP($A231,표1[#ALL],row(),false)</f>
        <v>#N/A</v>
      </c>
      <c r="I231" s="376" t="str">
        <f>CS_PID!I231/VLOOKUP($B231,표2[#ALL],2)/HLOOKUP($A231,표1[#ALL],row(),false)</f>
        <v>#N/A</v>
      </c>
      <c r="J231" s="376" t="str">
        <f>CS_PID!J231/VLOOKUP($B231,표2[#ALL],2)/HLOOKUP($A231,표1[#ALL],row(),false)</f>
        <v>#N/A</v>
      </c>
      <c r="K231" s="376" t="str">
        <f>CS_PID!K231/VLOOKUP($B231,표2[#ALL],2)/HLOOKUP($A231,표1[#ALL],row(),false)</f>
        <v>#N/A</v>
      </c>
      <c r="L231" s="376" t="str">
        <f>CS_PID!L231/VLOOKUP($B231,표2[#ALL],2)/HLOOKUP($A231,표1[#ALL],row(),false)</f>
        <v>#N/A</v>
      </c>
      <c r="M231" s="376" t="str">
        <f>CS_PID!M231/VLOOKUP($B231,표2[#ALL],2)/HLOOKUP($A231,표1[#ALL],row(),false)</f>
        <v>#N/A</v>
      </c>
      <c r="N231" s="376" t="str">
        <f>CS_PID!N231/VLOOKUP($B231,표2[#ALL],2)/HLOOKUP($A231,표1[#ALL],row(),false)</f>
        <v>#N/A</v>
      </c>
      <c r="O231" s="376" t="str">
        <f>CS_PID!O231/VLOOKUP($B231,표2[#ALL],2)/HLOOKUP($A231,표1[#ALL],row(),false)</f>
        <v>#N/A</v>
      </c>
      <c r="P231" s="376" t="str">
        <f>CS_PID!P231/VLOOKUP($B231,표2[#ALL],2)/HLOOKUP($A231,표1[#ALL],row(),false)</f>
        <v>#N/A</v>
      </c>
      <c r="Q231" s="376" t="str">
        <f>CS_PID!Q231/VLOOKUP($B231,표2[#ALL],2)/HLOOKUP($A231,표1[#ALL],row(),false)</f>
        <v>#N/A</v>
      </c>
      <c r="R231" s="376" t="str">
        <f>CS_PID!R231/VLOOKUP($B231,표2[#ALL],2)/HLOOKUP($A231,표1[#ALL],row(),false)</f>
        <v>#N/A</v>
      </c>
      <c r="S231" s="376" t="str">
        <f>CS_PID!S231/VLOOKUP($B231,표2[#ALL],2)/HLOOKUP($A231,표1[#ALL],row(),false)</f>
        <v>#N/A</v>
      </c>
      <c r="T231" s="376" t="str">
        <f>CS_PID!T231/VLOOKUP($B231,표2[#ALL],2)/HLOOKUP($A231,표1[#ALL],row(),false)</f>
        <v>#N/A</v>
      </c>
      <c r="U231" s="376" t="str">
        <f>CS_PID!U231/VLOOKUP($B231,표2[#ALL],2)/HLOOKUP($A231,표1[#ALL],row(),false)</f>
        <v>#N/A</v>
      </c>
      <c r="V231" s="376" t="str">
        <f>CS_PID!V231/VLOOKUP($B231,표2[#ALL],2)/HLOOKUP($A231,표1[#ALL],row(),false)</f>
        <v>#N/A</v>
      </c>
      <c r="W231" s="376" t="str">
        <f>CS_PID!W231/VLOOKUP($B231,표2[#ALL],2)/HLOOKUP($A231,표1[#ALL],row(),false)</f>
        <v>#N/A</v>
      </c>
      <c r="X231" s="376" t="str">
        <f>CS_PID!X231/VLOOKUP($B231,표2[#ALL],2)/HLOOKUP($A231,표1[#ALL],row(),false)</f>
        <v>#N/A</v>
      </c>
      <c r="Y231" s="376" t="str">
        <f>CS_PID!Y231/VLOOKUP($B231,표2[#ALL],2)/HLOOKUP($A231,표1[#ALL],row(),false)</f>
        <v>#N/A</v>
      </c>
      <c r="Z231" s="376" t="str">
        <f>CS_PID!Z231/VLOOKUP($B231,표2[#ALL],2)/HLOOKUP($A231,표1[#ALL],row(),false)</f>
        <v>#N/A</v>
      </c>
      <c r="AA231" s="376" t="str">
        <f>CS_PID!AA231/VLOOKUP($B231,표2[#ALL],2)/HLOOKUP($A231,표1[#ALL],row(),false)</f>
        <v>#N/A</v>
      </c>
      <c r="AB231" s="376" t="str">
        <f>CS_PID!AB231/VLOOKUP($B231,표2[#ALL],2)/HLOOKUP($A231,표1[#ALL],row(),false)</f>
        <v>#N/A</v>
      </c>
      <c r="AC231" s="376" t="str">
        <f>CS_PID!AC231/VLOOKUP($B231,표2[#ALL],2)/HLOOKUP($A231,표1[#ALL],row(),false)</f>
        <v>#N/A</v>
      </c>
      <c r="AD231" s="376" t="str">
        <f>CS_PID!AD231/VLOOKUP($B231,표2[#ALL],2)/HLOOKUP($A231,표1[#ALL],row(),false)</f>
        <v>#N/A</v>
      </c>
      <c r="AE231" s="376" t="str">
        <f>CS_PID!AE231/VLOOKUP($B231,표2[#ALL],2)/HLOOKUP($A231,표1[#ALL],row(),false)</f>
        <v>#N/A</v>
      </c>
      <c r="AF231" s="376" t="str">
        <f>CS_PID!AF231/VLOOKUP($B231,표2[#ALL],2)/HLOOKUP($A231,표1[#ALL],row(),false)</f>
        <v>#N/A</v>
      </c>
      <c r="AG231" s="376" t="str">
        <f>CS_PID!AG231/VLOOKUP($B231,표2[#ALL],2)/HLOOKUP($A231,표1[#ALL],row(),false)</f>
        <v>#N/A</v>
      </c>
      <c r="AH231" s="376" t="str">
        <f>CS_PID!AH231/VLOOKUP($B231,표2[#ALL],2)/HLOOKUP($A231,표1[#ALL],row(),false)</f>
        <v>#N/A</v>
      </c>
      <c r="AI231" s="376" t="str">
        <f>CS_PID!AI231/VLOOKUP($B231,표2[#ALL],2)/HLOOKUP($A231,표1[#ALL],row(),false)</f>
        <v>#N/A</v>
      </c>
      <c r="AJ231" s="376" t="str">
        <f>CS_PID!AJ231/VLOOKUP($B231,표2[#ALL],2)/HLOOKUP($A231,표1[#ALL],row(),false)</f>
        <v>#N/A</v>
      </c>
      <c r="AK231" s="376" t="str">
        <f>CS_PID!AK231/VLOOKUP($B231,표2[#ALL],2)/HLOOKUP($A231,표1[#ALL],row(),false)</f>
        <v>#N/A</v>
      </c>
      <c r="AL231" s="376" t="str">
        <f>CS_PID!AL231/VLOOKUP($B231,표2[#ALL],2)/HLOOKUP($A231,표1[#ALL],row(),false)</f>
        <v>#N/A</v>
      </c>
      <c r="AM231" s="376" t="str">
        <f>CS_PID!AM231/VLOOKUP($B231,표2[#ALL],2)/HLOOKUP($A231,표1[#ALL],row(),false)</f>
        <v>#N/A</v>
      </c>
      <c r="AN231" s="376" t="str">
        <f>CS_PID!AN231/VLOOKUP($B231,표2[#ALL],2)/HLOOKUP($A231,표1[#ALL],row(),false)</f>
        <v>#N/A</v>
      </c>
      <c r="AO231" s="376" t="str">
        <f>CS_PID!AO231/VLOOKUP($B231,표2[#ALL],2)/HLOOKUP($A231,표1[#ALL],row(),false)</f>
        <v>#N/A</v>
      </c>
      <c r="AP231" s="376" t="str">
        <f>CS_PID!AP231/VLOOKUP($B231,표2[#ALL],2)/HLOOKUP($A231,표1[#ALL],row(),false)</f>
        <v>#N/A</v>
      </c>
      <c r="AQ231" s="376" t="str">
        <f>CS_PID!AQ231/VLOOKUP($B231,표2[#ALL],2)/HLOOKUP($A231,표1[#ALL],row(),false)</f>
        <v>#N/A</v>
      </c>
      <c r="AR231" s="376" t="str">
        <f>CS_PID!AR231/VLOOKUP($B231,표2[#ALL],2)/HLOOKUP($A231,표1[#ALL],row(),false)</f>
        <v>#N/A</v>
      </c>
      <c r="AS231" s="377" t="str">
        <f>CS_PID!AS231/VLOOKUP($B231,표2[#ALL],2)/HLOOKUP($A231,표1[#ALL],row(),false)</f>
        <v>#N/A</v>
      </c>
    </row>
    <row r="232">
      <c r="A232" s="370"/>
      <c r="B232" s="371"/>
      <c r="C232" s="372" t="str">
        <f>CS_PID!C232/VLOOKUP($B232,표2[#ALL],2)</f>
        <v>#N/A</v>
      </c>
      <c r="D232" s="372" t="str">
        <f>CS_PID!D232/VLOOKUP($B232,표2[#ALL],2)</f>
        <v>#N/A</v>
      </c>
      <c r="E232" s="372" t="str">
        <f>CS_PID!E232/VLOOKUP($B232,표2[#ALL],2)</f>
        <v>#N/A</v>
      </c>
      <c r="F232" s="372" t="str">
        <f>CS_PID!F232/VLOOKUP($B232,표2[#ALL],2)</f>
        <v>#N/A</v>
      </c>
      <c r="G232" s="372" t="str">
        <f>CS_PID!G232/VLOOKUP($B232,표2[#ALL],2)</f>
        <v>#N/A</v>
      </c>
      <c r="H232" s="372" t="str">
        <f>CS_PID!H232/VLOOKUP($B232,표2[#ALL],2)/HLOOKUP($A232,표1[#ALL],row(),false)</f>
        <v>#N/A</v>
      </c>
      <c r="I232" s="372" t="str">
        <f>CS_PID!I232/VLOOKUP($B232,표2[#ALL],2)/HLOOKUP($A232,표1[#ALL],row(),false)</f>
        <v>#N/A</v>
      </c>
      <c r="J232" s="372" t="str">
        <f>CS_PID!J232/VLOOKUP($B232,표2[#ALL],2)/HLOOKUP($A232,표1[#ALL],row(),false)</f>
        <v>#N/A</v>
      </c>
      <c r="K232" s="372" t="str">
        <f>CS_PID!K232/VLOOKUP($B232,표2[#ALL],2)/HLOOKUP($A232,표1[#ALL],row(),false)</f>
        <v>#N/A</v>
      </c>
      <c r="L232" s="372" t="str">
        <f>CS_PID!L232/VLOOKUP($B232,표2[#ALL],2)/HLOOKUP($A232,표1[#ALL],row(),false)</f>
        <v>#N/A</v>
      </c>
      <c r="M232" s="372" t="str">
        <f>CS_PID!M232/VLOOKUP($B232,표2[#ALL],2)/HLOOKUP($A232,표1[#ALL],row(),false)</f>
        <v>#N/A</v>
      </c>
      <c r="N232" s="372" t="str">
        <f>CS_PID!N232/VLOOKUP($B232,표2[#ALL],2)/HLOOKUP($A232,표1[#ALL],row(),false)</f>
        <v>#N/A</v>
      </c>
      <c r="O232" s="372" t="str">
        <f>CS_PID!O232/VLOOKUP($B232,표2[#ALL],2)/HLOOKUP($A232,표1[#ALL],row(),false)</f>
        <v>#N/A</v>
      </c>
      <c r="P232" s="372" t="str">
        <f>CS_PID!P232/VLOOKUP($B232,표2[#ALL],2)/HLOOKUP($A232,표1[#ALL],row(),false)</f>
        <v>#N/A</v>
      </c>
      <c r="Q232" s="372" t="str">
        <f>CS_PID!Q232/VLOOKUP($B232,표2[#ALL],2)/HLOOKUP($A232,표1[#ALL],row(),false)</f>
        <v>#N/A</v>
      </c>
      <c r="R232" s="372" t="str">
        <f>CS_PID!R232/VLOOKUP($B232,표2[#ALL],2)/HLOOKUP($A232,표1[#ALL],row(),false)</f>
        <v>#N/A</v>
      </c>
      <c r="S232" s="372" t="str">
        <f>CS_PID!S232/VLOOKUP($B232,표2[#ALL],2)/HLOOKUP($A232,표1[#ALL],row(),false)</f>
        <v>#N/A</v>
      </c>
      <c r="T232" s="372" t="str">
        <f>CS_PID!T232/VLOOKUP($B232,표2[#ALL],2)/HLOOKUP($A232,표1[#ALL],row(),false)</f>
        <v>#N/A</v>
      </c>
      <c r="U232" s="372" t="str">
        <f>CS_PID!U232/VLOOKUP($B232,표2[#ALL],2)/HLOOKUP($A232,표1[#ALL],row(),false)</f>
        <v>#N/A</v>
      </c>
      <c r="V232" s="372" t="str">
        <f>CS_PID!V232/VLOOKUP($B232,표2[#ALL],2)/HLOOKUP($A232,표1[#ALL],row(),false)</f>
        <v>#N/A</v>
      </c>
      <c r="W232" s="372" t="str">
        <f>CS_PID!W232/VLOOKUP($B232,표2[#ALL],2)/HLOOKUP($A232,표1[#ALL],row(),false)</f>
        <v>#N/A</v>
      </c>
      <c r="X232" s="372" t="str">
        <f>CS_PID!X232/VLOOKUP($B232,표2[#ALL],2)/HLOOKUP($A232,표1[#ALL],row(),false)</f>
        <v>#N/A</v>
      </c>
      <c r="Y232" s="372" t="str">
        <f>CS_PID!Y232/VLOOKUP($B232,표2[#ALL],2)/HLOOKUP($A232,표1[#ALL],row(),false)</f>
        <v>#N/A</v>
      </c>
      <c r="Z232" s="372" t="str">
        <f>CS_PID!Z232/VLOOKUP($B232,표2[#ALL],2)/HLOOKUP($A232,표1[#ALL],row(),false)</f>
        <v>#N/A</v>
      </c>
      <c r="AA232" s="372" t="str">
        <f>CS_PID!AA232/VLOOKUP($B232,표2[#ALL],2)/HLOOKUP($A232,표1[#ALL],row(),false)</f>
        <v>#N/A</v>
      </c>
      <c r="AB232" s="372" t="str">
        <f>CS_PID!AB232/VLOOKUP($B232,표2[#ALL],2)/HLOOKUP($A232,표1[#ALL],row(),false)</f>
        <v>#N/A</v>
      </c>
      <c r="AC232" s="372" t="str">
        <f>CS_PID!AC232/VLOOKUP($B232,표2[#ALL],2)/HLOOKUP($A232,표1[#ALL],row(),false)</f>
        <v>#N/A</v>
      </c>
      <c r="AD232" s="372" t="str">
        <f>CS_PID!AD232/VLOOKUP($B232,표2[#ALL],2)/HLOOKUP($A232,표1[#ALL],row(),false)</f>
        <v>#N/A</v>
      </c>
      <c r="AE232" s="372" t="str">
        <f>CS_PID!AE232/VLOOKUP($B232,표2[#ALL],2)/HLOOKUP($A232,표1[#ALL],row(),false)</f>
        <v>#N/A</v>
      </c>
      <c r="AF232" s="372" t="str">
        <f>CS_PID!AF232/VLOOKUP($B232,표2[#ALL],2)/HLOOKUP($A232,표1[#ALL],row(),false)</f>
        <v>#N/A</v>
      </c>
      <c r="AG232" s="372" t="str">
        <f>CS_PID!AG232/VLOOKUP($B232,표2[#ALL],2)/HLOOKUP($A232,표1[#ALL],row(),false)</f>
        <v>#N/A</v>
      </c>
      <c r="AH232" s="372" t="str">
        <f>CS_PID!AH232/VLOOKUP($B232,표2[#ALL],2)/HLOOKUP($A232,표1[#ALL],row(),false)</f>
        <v>#N/A</v>
      </c>
      <c r="AI232" s="372" t="str">
        <f>CS_PID!AI232/VLOOKUP($B232,표2[#ALL],2)/HLOOKUP($A232,표1[#ALL],row(),false)</f>
        <v>#N/A</v>
      </c>
      <c r="AJ232" s="372" t="str">
        <f>CS_PID!AJ232/VLOOKUP($B232,표2[#ALL],2)/HLOOKUP($A232,표1[#ALL],row(),false)</f>
        <v>#N/A</v>
      </c>
      <c r="AK232" s="372" t="str">
        <f>CS_PID!AK232/VLOOKUP($B232,표2[#ALL],2)/HLOOKUP($A232,표1[#ALL],row(),false)</f>
        <v>#N/A</v>
      </c>
      <c r="AL232" s="372" t="str">
        <f>CS_PID!AL232/VLOOKUP($B232,표2[#ALL],2)/HLOOKUP($A232,표1[#ALL],row(),false)</f>
        <v>#N/A</v>
      </c>
      <c r="AM232" s="372" t="str">
        <f>CS_PID!AM232/VLOOKUP($B232,표2[#ALL],2)/HLOOKUP($A232,표1[#ALL],row(),false)</f>
        <v>#N/A</v>
      </c>
      <c r="AN232" s="372" t="str">
        <f>CS_PID!AN232/VLOOKUP($B232,표2[#ALL],2)/HLOOKUP($A232,표1[#ALL],row(),false)</f>
        <v>#N/A</v>
      </c>
      <c r="AO232" s="372" t="str">
        <f>CS_PID!AO232/VLOOKUP($B232,표2[#ALL],2)/HLOOKUP($A232,표1[#ALL],row(),false)</f>
        <v>#N/A</v>
      </c>
      <c r="AP232" s="372" t="str">
        <f>CS_PID!AP232/VLOOKUP($B232,표2[#ALL],2)/HLOOKUP($A232,표1[#ALL],row(),false)</f>
        <v>#N/A</v>
      </c>
      <c r="AQ232" s="372" t="str">
        <f>CS_PID!AQ232/VLOOKUP($B232,표2[#ALL],2)/HLOOKUP($A232,표1[#ALL],row(),false)</f>
        <v>#N/A</v>
      </c>
      <c r="AR232" s="372" t="str">
        <f>CS_PID!AR232/VLOOKUP($B232,표2[#ALL],2)/HLOOKUP($A232,표1[#ALL],row(),false)</f>
        <v>#N/A</v>
      </c>
      <c r="AS232" s="373" t="str">
        <f>CS_PID!AS232/VLOOKUP($B232,표2[#ALL],2)/HLOOKUP($A232,표1[#ALL],row(),false)</f>
        <v>#N/A</v>
      </c>
    </row>
    <row r="233">
      <c r="A233" s="374"/>
      <c r="B233" s="375"/>
      <c r="C233" s="376" t="str">
        <f>CS_PID!C233/VLOOKUP($B233,표2[#ALL],2)</f>
        <v>#N/A</v>
      </c>
      <c r="D233" s="376" t="str">
        <f>CS_PID!D233/VLOOKUP($B233,표2[#ALL],2)</f>
        <v>#N/A</v>
      </c>
      <c r="E233" s="376" t="str">
        <f>CS_PID!E233/VLOOKUP($B233,표2[#ALL],2)</f>
        <v>#N/A</v>
      </c>
      <c r="F233" s="376" t="str">
        <f>CS_PID!F233/VLOOKUP($B233,표2[#ALL],2)</f>
        <v>#N/A</v>
      </c>
      <c r="G233" s="376" t="str">
        <f>CS_PID!G233/VLOOKUP($B233,표2[#ALL],2)</f>
        <v>#N/A</v>
      </c>
      <c r="H233" s="376" t="str">
        <f>CS_PID!H233/VLOOKUP($B233,표2[#ALL],2)/HLOOKUP($A233,표1[#ALL],row(),false)</f>
        <v>#N/A</v>
      </c>
      <c r="I233" s="376" t="str">
        <f>CS_PID!I233/VLOOKUP($B233,표2[#ALL],2)/HLOOKUP($A233,표1[#ALL],row(),false)</f>
        <v>#N/A</v>
      </c>
      <c r="J233" s="376" t="str">
        <f>CS_PID!J233/VLOOKUP($B233,표2[#ALL],2)/HLOOKUP($A233,표1[#ALL],row(),false)</f>
        <v>#N/A</v>
      </c>
      <c r="K233" s="376" t="str">
        <f>CS_PID!K233/VLOOKUP($B233,표2[#ALL],2)/HLOOKUP($A233,표1[#ALL],row(),false)</f>
        <v>#N/A</v>
      </c>
      <c r="L233" s="376" t="str">
        <f>CS_PID!L233/VLOOKUP($B233,표2[#ALL],2)/HLOOKUP($A233,표1[#ALL],row(),false)</f>
        <v>#N/A</v>
      </c>
      <c r="M233" s="376" t="str">
        <f>CS_PID!M233/VLOOKUP($B233,표2[#ALL],2)/HLOOKUP($A233,표1[#ALL],row(),false)</f>
        <v>#N/A</v>
      </c>
      <c r="N233" s="376" t="str">
        <f>CS_PID!N233/VLOOKUP($B233,표2[#ALL],2)/HLOOKUP($A233,표1[#ALL],row(),false)</f>
        <v>#N/A</v>
      </c>
      <c r="O233" s="376" t="str">
        <f>CS_PID!O233/VLOOKUP($B233,표2[#ALL],2)/HLOOKUP($A233,표1[#ALL],row(),false)</f>
        <v>#N/A</v>
      </c>
      <c r="P233" s="376" t="str">
        <f>CS_PID!P233/VLOOKUP($B233,표2[#ALL],2)/HLOOKUP($A233,표1[#ALL],row(),false)</f>
        <v>#N/A</v>
      </c>
      <c r="Q233" s="376" t="str">
        <f>CS_PID!Q233/VLOOKUP($B233,표2[#ALL],2)/HLOOKUP($A233,표1[#ALL],row(),false)</f>
        <v>#N/A</v>
      </c>
      <c r="R233" s="376" t="str">
        <f>CS_PID!R233/VLOOKUP($B233,표2[#ALL],2)/HLOOKUP($A233,표1[#ALL],row(),false)</f>
        <v>#N/A</v>
      </c>
      <c r="S233" s="376" t="str">
        <f>CS_PID!S233/VLOOKUP($B233,표2[#ALL],2)/HLOOKUP($A233,표1[#ALL],row(),false)</f>
        <v>#N/A</v>
      </c>
      <c r="T233" s="376" t="str">
        <f>CS_PID!T233/VLOOKUP($B233,표2[#ALL],2)/HLOOKUP($A233,표1[#ALL],row(),false)</f>
        <v>#N/A</v>
      </c>
      <c r="U233" s="376" t="str">
        <f>CS_PID!U233/VLOOKUP($B233,표2[#ALL],2)/HLOOKUP($A233,표1[#ALL],row(),false)</f>
        <v>#N/A</v>
      </c>
      <c r="V233" s="376" t="str">
        <f>CS_PID!V233/VLOOKUP($B233,표2[#ALL],2)/HLOOKUP($A233,표1[#ALL],row(),false)</f>
        <v>#N/A</v>
      </c>
      <c r="W233" s="376" t="str">
        <f>CS_PID!W233/VLOOKUP($B233,표2[#ALL],2)/HLOOKUP($A233,표1[#ALL],row(),false)</f>
        <v>#N/A</v>
      </c>
      <c r="X233" s="376" t="str">
        <f>CS_PID!X233/VLOOKUP($B233,표2[#ALL],2)/HLOOKUP($A233,표1[#ALL],row(),false)</f>
        <v>#N/A</v>
      </c>
      <c r="Y233" s="376" t="str">
        <f>CS_PID!Y233/VLOOKUP($B233,표2[#ALL],2)/HLOOKUP($A233,표1[#ALL],row(),false)</f>
        <v>#N/A</v>
      </c>
      <c r="Z233" s="376" t="str">
        <f>CS_PID!Z233/VLOOKUP($B233,표2[#ALL],2)/HLOOKUP($A233,표1[#ALL],row(),false)</f>
        <v>#N/A</v>
      </c>
      <c r="AA233" s="376" t="str">
        <f>CS_PID!AA233/VLOOKUP($B233,표2[#ALL],2)/HLOOKUP($A233,표1[#ALL],row(),false)</f>
        <v>#N/A</v>
      </c>
      <c r="AB233" s="376" t="str">
        <f>CS_PID!AB233/VLOOKUP($B233,표2[#ALL],2)/HLOOKUP($A233,표1[#ALL],row(),false)</f>
        <v>#N/A</v>
      </c>
      <c r="AC233" s="376" t="str">
        <f>CS_PID!AC233/VLOOKUP($B233,표2[#ALL],2)/HLOOKUP($A233,표1[#ALL],row(),false)</f>
        <v>#N/A</v>
      </c>
      <c r="AD233" s="376" t="str">
        <f>CS_PID!AD233/VLOOKUP($B233,표2[#ALL],2)/HLOOKUP($A233,표1[#ALL],row(),false)</f>
        <v>#N/A</v>
      </c>
      <c r="AE233" s="376" t="str">
        <f>CS_PID!AE233/VLOOKUP($B233,표2[#ALL],2)/HLOOKUP($A233,표1[#ALL],row(),false)</f>
        <v>#N/A</v>
      </c>
      <c r="AF233" s="376" t="str">
        <f>CS_PID!AF233/VLOOKUP($B233,표2[#ALL],2)/HLOOKUP($A233,표1[#ALL],row(),false)</f>
        <v>#N/A</v>
      </c>
      <c r="AG233" s="376" t="str">
        <f>CS_PID!AG233/VLOOKUP($B233,표2[#ALL],2)/HLOOKUP($A233,표1[#ALL],row(),false)</f>
        <v>#N/A</v>
      </c>
      <c r="AH233" s="376" t="str">
        <f>CS_PID!AH233/VLOOKUP($B233,표2[#ALL],2)/HLOOKUP($A233,표1[#ALL],row(),false)</f>
        <v>#N/A</v>
      </c>
      <c r="AI233" s="376" t="str">
        <f>CS_PID!AI233/VLOOKUP($B233,표2[#ALL],2)/HLOOKUP($A233,표1[#ALL],row(),false)</f>
        <v>#N/A</v>
      </c>
      <c r="AJ233" s="376" t="str">
        <f>CS_PID!AJ233/VLOOKUP($B233,표2[#ALL],2)/HLOOKUP($A233,표1[#ALL],row(),false)</f>
        <v>#N/A</v>
      </c>
      <c r="AK233" s="376" t="str">
        <f>CS_PID!AK233/VLOOKUP($B233,표2[#ALL],2)/HLOOKUP($A233,표1[#ALL],row(),false)</f>
        <v>#N/A</v>
      </c>
      <c r="AL233" s="376" t="str">
        <f>CS_PID!AL233/VLOOKUP($B233,표2[#ALL],2)/HLOOKUP($A233,표1[#ALL],row(),false)</f>
        <v>#N/A</v>
      </c>
      <c r="AM233" s="376" t="str">
        <f>CS_PID!AM233/VLOOKUP($B233,표2[#ALL],2)/HLOOKUP($A233,표1[#ALL],row(),false)</f>
        <v>#N/A</v>
      </c>
      <c r="AN233" s="376" t="str">
        <f>CS_PID!AN233/VLOOKUP($B233,표2[#ALL],2)/HLOOKUP($A233,표1[#ALL],row(),false)</f>
        <v>#N/A</v>
      </c>
      <c r="AO233" s="376" t="str">
        <f>CS_PID!AO233/VLOOKUP($B233,표2[#ALL],2)/HLOOKUP($A233,표1[#ALL],row(),false)</f>
        <v>#N/A</v>
      </c>
      <c r="AP233" s="376" t="str">
        <f>CS_PID!AP233/VLOOKUP($B233,표2[#ALL],2)/HLOOKUP($A233,표1[#ALL],row(),false)</f>
        <v>#N/A</v>
      </c>
      <c r="AQ233" s="376" t="str">
        <f>CS_PID!AQ233/VLOOKUP($B233,표2[#ALL],2)/HLOOKUP($A233,표1[#ALL],row(),false)</f>
        <v>#N/A</v>
      </c>
      <c r="AR233" s="376" t="str">
        <f>CS_PID!AR233/VLOOKUP($B233,표2[#ALL],2)/HLOOKUP($A233,표1[#ALL],row(),false)</f>
        <v>#N/A</v>
      </c>
      <c r="AS233" s="377" t="str">
        <f>CS_PID!AS233/VLOOKUP($B233,표2[#ALL],2)/HLOOKUP($A233,표1[#ALL],row(),false)</f>
        <v>#N/A</v>
      </c>
    </row>
    <row r="234">
      <c r="A234" s="370"/>
      <c r="B234" s="371"/>
      <c r="C234" s="372" t="str">
        <f>CS_PID!C234/VLOOKUP($B234,표2[#ALL],2)</f>
        <v>#N/A</v>
      </c>
      <c r="D234" s="372" t="str">
        <f>CS_PID!D234/VLOOKUP($B234,표2[#ALL],2)</f>
        <v>#N/A</v>
      </c>
      <c r="E234" s="372" t="str">
        <f>CS_PID!E234/VLOOKUP($B234,표2[#ALL],2)</f>
        <v>#N/A</v>
      </c>
      <c r="F234" s="372" t="str">
        <f>CS_PID!F234/VLOOKUP($B234,표2[#ALL],2)</f>
        <v>#N/A</v>
      </c>
      <c r="G234" s="372" t="str">
        <f>CS_PID!G234/VLOOKUP($B234,표2[#ALL],2)</f>
        <v>#N/A</v>
      </c>
      <c r="H234" s="372" t="str">
        <f>CS_PID!H234/VLOOKUP($B234,표2[#ALL],2)/HLOOKUP($A234,표1[#ALL],row(),false)</f>
        <v>#N/A</v>
      </c>
      <c r="I234" s="372" t="str">
        <f>CS_PID!I234/VLOOKUP($B234,표2[#ALL],2)/HLOOKUP($A234,표1[#ALL],row(),false)</f>
        <v>#N/A</v>
      </c>
      <c r="J234" s="372" t="str">
        <f>CS_PID!J234/VLOOKUP($B234,표2[#ALL],2)/HLOOKUP($A234,표1[#ALL],row(),false)</f>
        <v>#N/A</v>
      </c>
      <c r="K234" s="372" t="str">
        <f>CS_PID!K234/VLOOKUP($B234,표2[#ALL],2)/HLOOKUP($A234,표1[#ALL],row(),false)</f>
        <v>#N/A</v>
      </c>
      <c r="L234" s="372" t="str">
        <f>CS_PID!L234/VLOOKUP($B234,표2[#ALL],2)/HLOOKUP($A234,표1[#ALL],row(),false)</f>
        <v>#N/A</v>
      </c>
      <c r="M234" s="372" t="str">
        <f>CS_PID!M234/VLOOKUP($B234,표2[#ALL],2)/HLOOKUP($A234,표1[#ALL],row(),false)</f>
        <v>#N/A</v>
      </c>
      <c r="N234" s="372" t="str">
        <f>CS_PID!N234/VLOOKUP($B234,표2[#ALL],2)/HLOOKUP($A234,표1[#ALL],row(),false)</f>
        <v>#N/A</v>
      </c>
      <c r="O234" s="372" t="str">
        <f>CS_PID!O234/VLOOKUP($B234,표2[#ALL],2)/HLOOKUP($A234,표1[#ALL],row(),false)</f>
        <v>#N/A</v>
      </c>
      <c r="P234" s="372" t="str">
        <f>CS_PID!P234/VLOOKUP($B234,표2[#ALL],2)/HLOOKUP($A234,표1[#ALL],row(),false)</f>
        <v>#N/A</v>
      </c>
      <c r="Q234" s="372" t="str">
        <f>CS_PID!Q234/VLOOKUP($B234,표2[#ALL],2)/HLOOKUP($A234,표1[#ALL],row(),false)</f>
        <v>#N/A</v>
      </c>
      <c r="R234" s="372" t="str">
        <f>CS_PID!R234/VLOOKUP($B234,표2[#ALL],2)/HLOOKUP($A234,표1[#ALL],row(),false)</f>
        <v>#N/A</v>
      </c>
      <c r="S234" s="372" t="str">
        <f>CS_PID!S234/VLOOKUP($B234,표2[#ALL],2)/HLOOKUP($A234,표1[#ALL],row(),false)</f>
        <v>#N/A</v>
      </c>
      <c r="T234" s="372" t="str">
        <f>CS_PID!T234/VLOOKUP($B234,표2[#ALL],2)/HLOOKUP($A234,표1[#ALL],row(),false)</f>
        <v>#N/A</v>
      </c>
      <c r="U234" s="372" t="str">
        <f>CS_PID!U234/VLOOKUP($B234,표2[#ALL],2)/HLOOKUP($A234,표1[#ALL],row(),false)</f>
        <v>#N/A</v>
      </c>
      <c r="V234" s="372" t="str">
        <f>CS_PID!V234/VLOOKUP($B234,표2[#ALL],2)/HLOOKUP($A234,표1[#ALL],row(),false)</f>
        <v>#N/A</v>
      </c>
      <c r="W234" s="372" t="str">
        <f>CS_PID!W234/VLOOKUP($B234,표2[#ALL],2)/HLOOKUP($A234,표1[#ALL],row(),false)</f>
        <v>#N/A</v>
      </c>
      <c r="X234" s="372" t="str">
        <f>CS_PID!X234/VLOOKUP($B234,표2[#ALL],2)/HLOOKUP($A234,표1[#ALL],row(),false)</f>
        <v>#N/A</v>
      </c>
      <c r="Y234" s="372" t="str">
        <f>CS_PID!Y234/VLOOKUP($B234,표2[#ALL],2)/HLOOKUP($A234,표1[#ALL],row(),false)</f>
        <v>#N/A</v>
      </c>
      <c r="Z234" s="372" t="str">
        <f>CS_PID!Z234/VLOOKUP($B234,표2[#ALL],2)/HLOOKUP($A234,표1[#ALL],row(),false)</f>
        <v>#N/A</v>
      </c>
      <c r="AA234" s="372" t="str">
        <f>CS_PID!AA234/VLOOKUP($B234,표2[#ALL],2)/HLOOKUP($A234,표1[#ALL],row(),false)</f>
        <v>#N/A</v>
      </c>
      <c r="AB234" s="372" t="str">
        <f>CS_PID!AB234/VLOOKUP($B234,표2[#ALL],2)/HLOOKUP($A234,표1[#ALL],row(),false)</f>
        <v>#N/A</v>
      </c>
      <c r="AC234" s="372" t="str">
        <f>CS_PID!AC234/VLOOKUP($B234,표2[#ALL],2)/HLOOKUP($A234,표1[#ALL],row(),false)</f>
        <v>#N/A</v>
      </c>
      <c r="AD234" s="372" t="str">
        <f>CS_PID!AD234/VLOOKUP($B234,표2[#ALL],2)/HLOOKUP($A234,표1[#ALL],row(),false)</f>
        <v>#N/A</v>
      </c>
      <c r="AE234" s="372" t="str">
        <f>CS_PID!AE234/VLOOKUP($B234,표2[#ALL],2)/HLOOKUP($A234,표1[#ALL],row(),false)</f>
        <v>#N/A</v>
      </c>
      <c r="AF234" s="372" t="str">
        <f>CS_PID!AF234/VLOOKUP($B234,표2[#ALL],2)/HLOOKUP($A234,표1[#ALL],row(),false)</f>
        <v>#N/A</v>
      </c>
      <c r="AG234" s="372" t="str">
        <f>CS_PID!AG234/VLOOKUP($B234,표2[#ALL],2)/HLOOKUP($A234,표1[#ALL],row(),false)</f>
        <v>#N/A</v>
      </c>
      <c r="AH234" s="372" t="str">
        <f>CS_PID!AH234/VLOOKUP($B234,표2[#ALL],2)/HLOOKUP($A234,표1[#ALL],row(),false)</f>
        <v>#N/A</v>
      </c>
      <c r="AI234" s="372" t="str">
        <f>CS_PID!AI234/VLOOKUP($B234,표2[#ALL],2)/HLOOKUP($A234,표1[#ALL],row(),false)</f>
        <v>#N/A</v>
      </c>
      <c r="AJ234" s="372" t="str">
        <f>CS_PID!AJ234/VLOOKUP($B234,표2[#ALL],2)/HLOOKUP($A234,표1[#ALL],row(),false)</f>
        <v>#N/A</v>
      </c>
      <c r="AK234" s="372" t="str">
        <f>CS_PID!AK234/VLOOKUP($B234,표2[#ALL],2)/HLOOKUP($A234,표1[#ALL],row(),false)</f>
        <v>#N/A</v>
      </c>
      <c r="AL234" s="372" t="str">
        <f>CS_PID!AL234/VLOOKUP($B234,표2[#ALL],2)/HLOOKUP($A234,표1[#ALL],row(),false)</f>
        <v>#N/A</v>
      </c>
      <c r="AM234" s="372" t="str">
        <f>CS_PID!AM234/VLOOKUP($B234,표2[#ALL],2)/HLOOKUP($A234,표1[#ALL],row(),false)</f>
        <v>#N/A</v>
      </c>
      <c r="AN234" s="372" t="str">
        <f>CS_PID!AN234/VLOOKUP($B234,표2[#ALL],2)/HLOOKUP($A234,표1[#ALL],row(),false)</f>
        <v>#N/A</v>
      </c>
      <c r="AO234" s="372" t="str">
        <f>CS_PID!AO234/VLOOKUP($B234,표2[#ALL],2)/HLOOKUP($A234,표1[#ALL],row(),false)</f>
        <v>#N/A</v>
      </c>
      <c r="AP234" s="372" t="str">
        <f>CS_PID!AP234/VLOOKUP($B234,표2[#ALL],2)/HLOOKUP($A234,표1[#ALL],row(),false)</f>
        <v>#N/A</v>
      </c>
      <c r="AQ234" s="372" t="str">
        <f>CS_PID!AQ234/VLOOKUP($B234,표2[#ALL],2)/HLOOKUP($A234,표1[#ALL],row(),false)</f>
        <v>#N/A</v>
      </c>
      <c r="AR234" s="372" t="str">
        <f>CS_PID!AR234/VLOOKUP($B234,표2[#ALL],2)/HLOOKUP($A234,표1[#ALL],row(),false)</f>
        <v>#N/A</v>
      </c>
      <c r="AS234" s="373" t="str">
        <f>CS_PID!AS234/VLOOKUP($B234,표2[#ALL],2)/HLOOKUP($A234,표1[#ALL],row(),false)</f>
        <v>#N/A</v>
      </c>
    </row>
    <row r="235">
      <c r="A235" s="374"/>
      <c r="B235" s="375"/>
      <c r="C235" s="376" t="str">
        <f>CS_PID!C235/VLOOKUP($B235,표2[#ALL],2)</f>
        <v>#N/A</v>
      </c>
      <c r="D235" s="376" t="str">
        <f>CS_PID!D235/VLOOKUP($B235,표2[#ALL],2)</f>
        <v>#N/A</v>
      </c>
      <c r="E235" s="376" t="str">
        <f>CS_PID!E235/VLOOKUP($B235,표2[#ALL],2)</f>
        <v>#N/A</v>
      </c>
      <c r="F235" s="376" t="str">
        <f>CS_PID!F235/VLOOKUP($B235,표2[#ALL],2)</f>
        <v>#N/A</v>
      </c>
      <c r="G235" s="376" t="str">
        <f>CS_PID!G235/VLOOKUP($B235,표2[#ALL],2)</f>
        <v>#N/A</v>
      </c>
      <c r="H235" s="376" t="str">
        <f>CS_PID!H235/VLOOKUP($B235,표2[#ALL],2)/HLOOKUP($A235,표1[#ALL],row(),false)</f>
        <v>#N/A</v>
      </c>
      <c r="I235" s="376" t="str">
        <f>CS_PID!I235/VLOOKUP($B235,표2[#ALL],2)/HLOOKUP($A235,표1[#ALL],row(),false)</f>
        <v>#N/A</v>
      </c>
      <c r="J235" s="376" t="str">
        <f>CS_PID!J235/VLOOKUP($B235,표2[#ALL],2)/HLOOKUP($A235,표1[#ALL],row(),false)</f>
        <v>#N/A</v>
      </c>
      <c r="K235" s="376" t="str">
        <f>CS_PID!K235/VLOOKUP($B235,표2[#ALL],2)/HLOOKUP($A235,표1[#ALL],row(),false)</f>
        <v>#N/A</v>
      </c>
      <c r="L235" s="376" t="str">
        <f>CS_PID!L235/VLOOKUP($B235,표2[#ALL],2)/HLOOKUP($A235,표1[#ALL],row(),false)</f>
        <v>#N/A</v>
      </c>
      <c r="M235" s="376" t="str">
        <f>CS_PID!M235/VLOOKUP($B235,표2[#ALL],2)/HLOOKUP($A235,표1[#ALL],row(),false)</f>
        <v>#N/A</v>
      </c>
      <c r="N235" s="376" t="str">
        <f>CS_PID!N235/VLOOKUP($B235,표2[#ALL],2)/HLOOKUP($A235,표1[#ALL],row(),false)</f>
        <v>#N/A</v>
      </c>
      <c r="O235" s="376" t="str">
        <f>CS_PID!O235/VLOOKUP($B235,표2[#ALL],2)/HLOOKUP($A235,표1[#ALL],row(),false)</f>
        <v>#N/A</v>
      </c>
      <c r="P235" s="376" t="str">
        <f>CS_PID!P235/VLOOKUP($B235,표2[#ALL],2)/HLOOKUP($A235,표1[#ALL],row(),false)</f>
        <v>#N/A</v>
      </c>
      <c r="Q235" s="376" t="str">
        <f>CS_PID!Q235/VLOOKUP($B235,표2[#ALL],2)/HLOOKUP($A235,표1[#ALL],row(),false)</f>
        <v>#N/A</v>
      </c>
      <c r="R235" s="376" t="str">
        <f>CS_PID!R235/VLOOKUP($B235,표2[#ALL],2)/HLOOKUP($A235,표1[#ALL],row(),false)</f>
        <v>#N/A</v>
      </c>
      <c r="S235" s="376" t="str">
        <f>CS_PID!S235/VLOOKUP($B235,표2[#ALL],2)/HLOOKUP($A235,표1[#ALL],row(),false)</f>
        <v>#N/A</v>
      </c>
      <c r="T235" s="376" t="str">
        <f>CS_PID!T235/VLOOKUP($B235,표2[#ALL],2)/HLOOKUP($A235,표1[#ALL],row(),false)</f>
        <v>#N/A</v>
      </c>
      <c r="U235" s="376" t="str">
        <f>CS_PID!U235/VLOOKUP($B235,표2[#ALL],2)/HLOOKUP($A235,표1[#ALL],row(),false)</f>
        <v>#N/A</v>
      </c>
      <c r="V235" s="376" t="str">
        <f>CS_PID!V235/VLOOKUP($B235,표2[#ALL],2)/HLOOKUP($A235,표1[#ALL],row(),false)</f>
        <v>#N/A</v>
      </c>
      <c r="W235" s="376" t="str">
        <f>CS_PID!W235/VLOOKUP($B235,표2[#ALL],2)/HLOOKUP($A235,표1[#ALL],row(),false)</f>
        <v>#N/A</v>
      </c>
      <c r="X235" s="376" t="str">
        <f>CS_PID!X235/VLOOKUP($B235,표2[#ALL],2)/HLOOKUP($A235,표1[#ALL],row(),false)</f>
        <v>#N/A</v>
      </c>
      <c r="Y235" s="376" t="str">
        <f>CS_PID!Y235/VLOOKUP($B235,표2[#ALL],2)/HLOOKUP($A235,표1[#ALL],row(),false)</f>
        <v>#N/A</v>
      </c>
      <c r="Z235" s="376" t="str">
        <f>CS_PID!Z235/VLOOKUP($B235,표2[#ALL],2)/HLOOKUP($A235,표1[#ALL],row(),false)</f>
        <v>#N/A</v>
      </c>
      <c r="AA235" s="376" t="str">
        <f>CS_PID!AA235/VLOOKUP($B235,표2[#ALL],2)/HLOOKUP($A235,표1[#ALL],row(),false)</f>
        <v>#N/A</v>
      </c>
      <c r="AB235" s="376" t="str">
        <f>CS_PID!AB235/VLOOKUP($B235,표2[#ALL],2)/HLOOKUP($A235,표1[#ALL],row(),false)</f>
        <v>#N/A</v>
      </c>
      <c r="AC235" s="376" t="str">
        <f>CS_PID!AC235/VLOOKUP($B235,표2[#ALL],2)/HLOOKUP($A235,표1[#ALL],row(),false)</f>
        <v>#N/A</v>
      </c>
      <c r="AD235" s="376" t="str">
        <f>CS_PID!AD235/VLOOKUP($B235,표2[#ALL],2)/HLOOKUP($A235,표1[#ALL],row(),false)</f>
        <v>#N/A</v>
      </c>
      <c r="AE235" s="376" t="str">
        <f>CS_PID!AE235/VLOOKUP($B235,표2[#ALL],2)/HLOOKUP($A235,표1[#ALL],row(),false)</f>
        <v>#N/A</v>
      </c>
      <c r="AF235" s="376" t="str">
        <f>CS_PID!AF235/VLOOKUP($B235,표2[#ALL],2)/HLOOKUP($A235,표1[#ALL],row(),false)</f>
        <v>#N/A</v>
      </c>
      <c r="AG235" s="376" t="str">
        <f>CS_PID!AG235/VLOOKUP($B235,표2[#ALL],2)/HLOOKUP($A235,표1[#ALL],row(),false)</f>
        <v>#N/A</v>
      </c>
      <c r="AH235" s="376" t="str">
        <f>CS_PID!AH235/VLOOKUP($B235,표2[#ALL],2)/HLOOKUP($A235,표1[#ALL],row(),false)</f>
        <v>#N/A</v>
      </c>
      <c r="AI235" s="376" t="str">
        <f>CS_PID!AI235/VLOOKUP($B235,표2[#ALL],2)/HLOOKUP($A235,표1[#ALL],row(),false)</f>
        <v>#N/A</v>
      </c>
      <c r="AJ235" s="376" t="str">
        <f>CS_PID!AJ235/VLOOKUP($B235,표2[#ALL],2)/HLOOKUP($A235,표1[#ALL],row(),false)</f>
        <v>#N/A</v>
      </c>
      <c r="AK235" s="376" t="str">
        <f>CS_PID!AK235/VLOOKUP($B235,표2[#ALL],2)/HLOOKUP($A235,표1[#ALL],row(),false)</f>
        <v>#N/A</v>
      </c>
      <c r="AL235" s="376" t="str">
        <f>CS_PID!AL235/VLOOKUP($B235,표2[#ALL],2)/HLOOKUP($A235,표1[#ALL],row(),false)</f>
        <v>#N/A</v>
      </c>
      <c r="AM235" s="376" t="str">
        <f>CS_PID!AM235/VLOOKUP($B235,표2[#ALL],2)/HLOOKUP($A235,표1[#ALL],row(),false)</f>
        <v>#N/A</v>
      </c>
      <c r="AN235" s="376" t="str">
        <f>CS_PID!AN235/VLOOKUP($B235,표2[#ALL],2)/HLOOKUP($A235,표1[#ALL],row(),false)</f>
        <v>#N/A</v>
      </c>
      <c r="AO235" s="376" t="str">
        <f>CS_PID!AO235/VLOOKUP($B235,표2[#ALL],2)/HLOOKUP($A235,표1[#ALL],row(),false)</f>
        <v>#N/A</v>
      </c>
      <c r="AP235" s="376" t="str">
        <f>CS_PID!AP235/VLOOKUP($B235,표2[#ALL],2)/HLOOKUP($A235,표1[#ALL],row(),false)</f>
        <v>#N/A</v>
      </c>
      <c r="AQ235" s="376" t="str">
        <f>CS_PID!AQ235/VLOOKUP($B235,표2[#ALL],2)/HLOOKUP($A235,표1[#ALL],row(),false)</f>
        <v>#N/A</v>
      </c>
      <c r="AR235" s="376" t="str">
        <f>CS_PID!AR235/VLOOKUP($B235,표2[#ALL],2)/HLOOKUP($A235,표1[#ALL],row(),false)</f>
        <v>#N/A</v>
      </c>
      <c r="AS235" s="377" t="str">
        <f>CS_PID!AS235/VLOOKUP($B235,표2[#ALL],2)/HLOOKUP($A235,표1[#ALL],row(),false)</f>
        <v>#N/A</v>
      </c>
    </row>
    <row r="236">
      <c r="A236" s="370"/>
      <c r="B236" s="371"/>
      <c r="C236" s="372" t="str">
        <f>CS_PID!C236/VLOOKUP($B236,표2[#ALL],2)</f>
        <v>#N/A</v>
      </c>
      <c r="D236" s="372" t="str">
        <f>CS_PID!D236/VLOOKUP($B236,표2[#ALL],2)</f>
        <v>#N/A</v>
      </c>
      <c r="E236" s="372" t="str">
        <f>CS_PID!E236/VLOOKUP($B236,표2[#ALL],2)</f>
        <v>#N/A</v>
      </c>
      <c r="F236" s="372" t="str">
        <f>CS_PID!F236/VLOOKUP($B236,표2[#ALL],2)</f>
        <v>#N/A</v>
      </c>
      <c r="G236" s="372" t="str">
        <f>CS_PID!G236/VLOOKUP($B236,표2[#ALL],2)</f>
        <v>#N/A</v>
      </c>
      <c r="H236" s="372" t="str">
        <f>CS_PID!H236/VLOOKUP($B236,표2[#ALL],2)/HLOOKUP($A236,표1[#ALL],row(),false)</f>
        <v>#N/A</v>
      </c>
      <c r="I236" s="372" t="str">
        <f>CS_PID!I236/VLOOKUP($B236,표2[#ALL],2)/HLOOKUP($A236,표1[#ALL],row(),false)</f>
        <v>#N/A</v>
      </c>
      <c r="J236" s="372" t="str">
        <f>CS_PID!J236/VLOOKUP($B236,표2[#ALL],2)/HLOOKUP($A236,표1[#ALL],row(),false)</f>
        <v>#N/A</v>
      </c>
      <c r="K236" s="372" t="str">
        <f>CS_PID!K236/VLOOKUP($B236,표2[#ALL],2)/HLOOKUP($A236,표1[#ALL],row(),false)</f>
        <v>#N/A</v>
      </c>
      <c r="L236" s="372" t="str">
        <f>CS_PID!L236/VLOOKUP($B236,표2[#ALL],2)/HLOOKUP($A236,표1[#ALL],row(),false)</f>
        <v>#N/A</v>
      </c>
      <c r="M236" s="372" t="str">
        <f>CS_PID!M236/VLOOKUP($B236,표2[#ALL],2)/HLOOKUP($A236,표1[#ALL],row(),false)</f>
        <v>#N/A</v>
      </c>
      <c r="N236" s="372" t="str">
        <f>CS_PID!N236/VLOOKUP($B236,표2[#ALL],2)/HLOOKUP($A236,표1[#ALL],row(),false)</f>
        <v>#N/A</v>
      </c>
      <c r="O236" s="372" t="str">
        <f>CS_PID!O236/VLOOKUP($B236,표2[#ALL],2)/HLOOKUP($A236,표1[#ALL],row(),false)</f>
        <v>#N/A</v>
      </c>
      <c r="P236" s="372" t="str">
        <f>CS_PID!P236/VLOOKUP($B236,표2[#ALL],2)/HLOOKUP($A236,표1[#ALL],row(),false)</f>
        <v>#N/A</v>
      </c>
      <c r="Q236" s="372" t="str">
        <f>CS_PID!Q236/VLOOKUP($B236,표2[#ALL],2)/HLOOKUP($A236,표1[#ALL],row(),false)</f>
        <v>#N/A</v>
      </c>
      <c r="R236" s="372" t="str">
        <f>CS_PID!R236/VLOOKUP($B236,표2[#ALL],2)/HLOOKUP($A236,표1[#ALL],row(),false)</f>
        <v>#N/A</v>
      </c>
      <c r="S236" s="372" t="str">
        <f>CS_PID!S236/VLOOKUP($B236,표2[#ALL],2)/HLOOKUP($A236,표1[#ALL],row(),false)</f>
        <v>#N/A</v>
      </c>
      <c r="T236" s="372" t="str">
        <f>CS_PID!T236/VLOOKUP($B236,표2[#ALL],2)/HLOOKUP($A236,표1[#ALL],row(),false)</f>
        <v>#N/A</v>
      </c>
      <c r="U236" s="372" t="str">
        <f>CS_PID!U236/VLOOKUP($B236,표2[#ALL],2)/HLOOKUP($A236,표1[#ALL],row(),false)</f>
        <v>#N/A</v>
      </c>
      <c r="V236" s="372" t="str">
        <f>CS_PID!V236/VLOOKUP($B236,표2[#ALL],2)/HLOOKUP($A236,표1[#ALL],row(),false)</f>
        <v>#N/A</v>
      </c>
      <c r="W236" s="372" t="str">
        <f>CS_PID!W236/VLOOKUP($B236,표2[#ALL],2)/HLOOKUP($A236,표1[#ALL],row(),false)</f>
        <v>#N/A</v>
      </c>
      <c r="X236" s="372" t="str">
        <f>CS_PID!X236/VLOOKUP($B236,표2[#ALL],2)/HLOOKUP($A236,표1[#ALL],row(),false)</f>
        <v>#N/A</v>
      </c>
      <c r="Y236" s="372" t="str">
        <f>CS_PID!Y236/VLOOKUP($B236,표2[#ALL],2)/HLOOKUP($A236,표1[#ALL],row(),false)</f>
        <v>#N/A</v>
      </c>
      <c r="Z236" s="372" t="str">
        <f>CS_PID!Z236/VLOOKUP($B236,표2[#ALL],2)/HLOOKUP($A236,표1[#ALL],row(),false)</f>
        <v>#N/A</v>
      </c>
      <c r="AA236" s="372" t="str">
        <f>CS_PID!AA236/VLOOKUP($B236,표2[#ALL],2)/HLOOKUP($A236,표1[#ALL],row(),false)</f>
        <v>#N/A</v>
      </c>
      <c r="AB236" s="372" t="str">
        <f>CS_PID!AB236/VLOOKUP($B236,표2[#ALL],2)/HLOOKUP($A236,표1[#ALL],row(),false)</f>
        <v>#N/A</v>
      </c>
      <c r="AC236" s="372" t="str">
        <f>CS_PID!AC236/VLOOKUP($B236,표2[#ALL],2)/HLOOKUP($A236,표1[#ALL],row(),false)</f>
        <v>#N/A</v>
      </c>
      <c r="AD236" s="372" t="str">
        <f>CS_PID!AD236/VLOOKUP($B236,표2[#ALL],2)/HLOOKUP($A236,표1[#ALL],row(),false)</f>
        <v>#N/A</v>
      </c>
      <c r="AE236" s="372" t="str">
        <f>CS_PID!AE236/VLOOKUP($B236,표2[#ALL],2)/HLOOKUP($A236,표1[#ALL],row(),false)</f>
        <v>#N/A</v>
      </c>
      <c r="AF236" s="372" t="str">
        <f>CS_PID!AF236/VLOOKUP($B236,표2[#ALL],2)/HLOOKUP($A236,표1[#ALL],row(),false)</f>
        <v>#N/A</v>
      </c>
      <c r="AG236" s="372" t="str">
        <f>CS_PID!AG236/VLOOKUP($B236,표2[#ALL],2)/HLOOKUP($A236,표1[#ALL],row(),false)</f>
        <v>#N/A</v>
      </c>
      <c r="AH236" s="372" t="str">
        <f>CS_PID!AH236/VLOOKUP($B236,표2[#ALL],2)/HLOOKUP($A236,표1[#ALL],row(),false)</f>
        <v>#N/A</v>
      </c>
      <c r="AI236" s="372" t="str">
        <f>CS_PID!AI236/VLOOKUP($B236,표2[#ALL],2)/HLOOKUP($A236,표1[#ALL],row(),false)</f>
        <v>#N/A</v>
      </c>
      <c r="AJ236" s="372" t="str">
        <f>CS_PID!AJ236/VLOOKUP($B236,표2[#ALL],2)/HLOOKUP($A236,표1[#ALL],row(),false)</f>
        <v>#N/A</v>
      </c>
      <c r="AK236" s="372" t="str">
        <f>CS_PID!AK236/VLOOKUP($B236,표2[#ALL],2)/HLOOKUP($A236,표1[#ALL],row(),false)</f>
        <v>#N/A</v>
      </c>
      <c r="AL236" s="372" t="str">
        <f>CS_PID!AL236/VLOOKUP($B236,표2[#ALL],2)/HLOOKUP($A236,표1[#ALL],row(),false)</f>
        <v>#N/A</v>
      </c>
      <c r="AM236" s="372" t="str">
        <f>CS_PID!AM236/VLOOKUP($B236,표2[#ALL],2)/HLOOKUP($A236,표1[#ALL],row(),false)</f>
        <v>#N/A</v>
      </c>
      <c r="AN236" s="372" t="str">
        <f>CS_PID!AN236/VLOOKUP($B236,표2[#ALL],2)/HLOOKUP($A236,표1[#ALL],row(),false)</f>
        <v>#N/A</v>
      </c>
      <c r="AO236" s="372" t="str">
        <f>CS_PID!AO236/VLOOKUP($B236,표2[#ALL],2)/HLOOKUP($A236,표1[#ALL],row(),false)</f>
        <v>#N/A</v>
      </c>
      <c r="AP236" s="372" t="str">
        <f>CS_PID!AP236/VLOOKUP($B236,표2[#ALL],2)/HLOOKUP($A236,표1[#ALL],row(),false)</f>
        <v>#N/A</v>
      </c>
      <c r="AQ236" s="372" t="str">
        <f>CS_PID!AQ236/VLOOKUP($B236,표2[#ALL],2)/HLOOKUP($A236,표1[#ALL],row(),false)</f>
        <v>#N/A</v>
      </c>
      <c r="AR236" s="372" t="str">
        <f>CS_PID!AR236/VLOOKUP($B236,표2[#ALL],2)/HLOOKUP($A236,표1[#ALL],row(),false)</f>
        <v>#N/A</v>
      </c>
      <c r="AS236" s="373" t="str">
        <f>CS_PID!AS236/VLOOKUP($B236,표2[#ALL],2)/HLOOKUP($A236,표1[#ALL],row(),false)</f>
        <v>#N/A</v>
      </c>
    </row>
    <row r="237">
      <c r="A237" s="374"/>
      <c r="B237" s="375"/>
      <c r="C237" s="376" t="str">
        <f>CS_PID!C237/VLOOKUP($B237,표2[#ALL],2)</f>
        <v>#N/A</v>
      </c>
      <c r="D237" s="376" t="str">
        <f>CS_PID!D237/VLOOKUP($B237,표2[#ALL],2)</f>
        <v>#N/A</v>
      </c>
      <c r="E237" s="376" t="str">
        <f>CS_PID!E237/VLOOKUP($B237,표2[#ALL],2)</f>
        <v>#N/A</v>
      </c>
      <c r="F237" s="376" t="str">
        <f>CS_PID!F237/VLOOKUP($B237,표2[#ALL],2)</f>
        <v>#N/A</v>
      </c>
      <c r="G237" s="376" t="str">
        <f>CS_PID!G237/VLOOKUP($B237,표2[#ALL],2)</f>
        <v>#N/A</v>
      </c>
      <c r="H237" s="376" t="str">
        <f>CS_PID!H237/VLOOKUP($B237,표2[#ALL],2)/HLOOKUP($A237,표1[#ALL],row(),false)</f>
        <v>#N/A</v>
      </c>
      <c r="I237" s="376" t="str">
        <f>CS_PID!I237/VLOOKUP($B237,표2[#ALL],2)/HLOOKUP($A237,표1[#ALL],row(),false)</f>
        <v>#N/A</v>
      </c>
      <c r="J237" s="376" t="str">
        <f>CS_PID!J237/VLOOKUP($B237,표2[#ALL],2)/HLOOKUP($A237,표1[#ALL],row(),false)</f>
        <v>#N/A</v>
      </c>
      <c r="K237" s="376" t="str">
        <f>CS_PID!K237/VLOOKUP($B237,표2[#ALL],2)/HLOOKUP($A237,표1[#ALL],row(),false)</f>
        <v>#N/A</v>
      </c>
      <c r="L237" s="376" t="str">
        <f>CS_PID!L237/VLOOKUP($B237,표2[#ALL],2)/HLOOKUP($A237,표1[#ALL],row(),false)</f>
        <v>#N/A</v>
      </c>
      <c r="M237" s="376" t="str">
        <f>CS_PID!M237/VLOOKUP($B237,표2[#ALL],2)/HLOOKUP($A237,표1[#ALL],row(),false)</f>
        <v>#N/A</v>
      </c>
      <c r="N237" s="376" t="str">
        <f>CS_PID!N237/VLOOKUP($B237,표2[#ALL],2)/HLOOKUP($A237,표1[#ALL],row(),false)</f>
        <v>#N/A</v>
      </c>
      <c r="O237" s="376" t="str">
        <f>CS_PID!O237/VLOOKUP($B237,표2[#ALL],2)/HLOOKUP($A237,표1[#ALL],row(),false)</f>
        <v>#N/A</v>
      </c>
      <c r="P237" s="376" t="str">
        <f>CS_PID!P237/VLOOKUP($B237,표2[#ALL],2)/HLOOKUP($A237,표1[#ALL],row(),false)</f>
        <v>#N/A</v>
      </c>
      <c r="Q237" s="376" t="str">
        <f>CS_PID!Q237/VLOOKUP($B237,표2[#ALL],2)/HLOOKUP($A237,표1[#ALL],row(),false)</f>
        <v>#N/A</v>
      </c>
      <c r="R237" s="376" t="str">
        <f>CS_PID!R237/VLOOKUP($B237,표2[#ALL],2)/HLOOKUP($A237,표1[#ALL],row(),false)</f>
        <v>#N/A</v>
      </c>
      <c r="S237" s="376" t="str">
        <f>CS_PID!S237/VLOOKUP($B237,표2[#ALL],2)/HLOOKUP($A237,표1[#ALL],row(),false)</f>
        <v>#N/A</v>
      </c>
      <c r="T237" s="376" t="str">
        <f>CS_PID!T237/VLOOKUP($B237,표2[#ALL],2)/HLOOKUP($A237,표1[#ALL],row(),false)</f>
        <v>#N/A</v>
      </c>
      <c r="U237" s="376" t="str">
        <f>CS_PID!U237/VLOOKUP($B237,표2[#ALL],2)/HLOOKUP($A237,표1[#ALL],row(),false)</f>
        <v>#N/A</v>
      </c>
      <c r="V237" s="376" t="str">
        <f>CS_PID!V237/VLOOKUP($B237,표2[#ALL],2)/HLOOKUP($A237,표1[#ALL],row(),false)</f>
        <v>#N/A</v>
      </c>
      <c r="W237" s="376" t="str">
        <f>CS_PID!W237/VLOOKUP($B237,표2[#ALL],2)/HLOOKUP($A237,표1[#ALL],row(),false)</f>
        <v>#N/A</v>
      </c>
      <c r="X237" s="376" t="str">
        <f>CS_PID!X237/VLOOKUP($B237,표2[#ALL],2)/HLOOKUP($A237,표1[#ALL],row(),false)</f>
        <v>#N/A</v>
      </c>
      <c r="Y237" s="376" t="str">
        <f>CS_PID!Y237/VLOOKUP($B237,표2[#ALL],2)/HLOOKUP($A237,표1[#ALL],row(),false)</f>
        <v>#N/A</v>
      </c>
      <c r="Z237" s="376" t="str">
        <f>CS_PID!Z237/VLOOKUP($B237,표2[#ALL],2)/HLOOKUP($A237,표1[#ALL],row(),false)</f>
        <v>#N/A</v>
      </c>
      <c r="AA237" s="376" t="str">
        <f>CS_PID!AA237/VLOOKUP($B237,표2[#ALL],2)/HLOOKUP($A237,표1[#ALL],row(),false)</f>
        <v>#N/A</v>
      </c>
      <c r="AB237" s="376" t="str">
        <f>CS_PID!AB237/VLOOKUP($B237,표2[#ALL],2)/HLOOKUP($A237,표1[#ALL],row(),false)</f>
        <v>#N/A</v>
      </c>
      <c r="AC237" s="376" t="str">
        <f>CS_PID!AC237/VLOOKUP($B237,표2[#ALL],2)/HLOOKUP($A237,표1[#ALL],row(),false)</f>
        <v>#N/A</v>
      </c>
      <c r="AD237" s="376" t="str">
        <f>CS_PID!AD237/VLOOKUP($B237,표2[#ALL],2)/HLOOKUP($A237,표1[#ALL],row(),false)</f>
        <v>#N/A</v>
      </c>
      <c r="AE237" s="376" t="str">
        <f>CS_PID!AE237/VLOOKUP($B237,표2[#ALL],2)/HLOOKUP($A237,표1[#ALL],row(),false)</f>
        <v>#N/A</v>
      </c>
      <c r="AF237" s="376" t="str">
        <f>CS_PID!AF237/VLOOKUP($B237,표2[#ALL],2)/HLOOKUP($A237,표1[#ALL],row(),false)</f>
        <v>#N/A</v>
      </c>
      <c r="AG237" s="376" t="str">
        <f>CS_PID!AG237/VLOOKUP($B237,표2[#ALL],2)/HLOOKUP($A237,표1[#ALL],row(),false)</f>
        <v>#N/A</v>
      </c>
      <c r="AH237" s="376" t="str">
        <f>CS_PID!AH237/VLOOKUP($B237,표2[#ALL],2)/HLOOKUP($A237,표1[#ALL],row(),false)</f>
        <v>#N/A</v>
      </c>
      <c r="AI237" s="376" t="str">
        <f>CS_PID!AI237/VLOOKUP($B237,표2[#ALL],2)/HLOOKUP($A237,표1[#ALL],row(),false)</f>
        <v>#N/A</v>
      </c>
      <c r="AJ237" s="376" t="str">
        <f>CS_PID!AJ237/VLOOKUP($B237,표2[#ALL],2)/HLOOKUP($A237,표1[#ALL],row(),false)</f>
        <v>#N/A</v>
      </c>
      <c r="AK237" s="376" t="str">
        <f>CS_PID!AK237/VLOOKUP($B237,표2[#ALL],2)/HLOOKUP($A237,표1[#ALL],row(),false)</f>
        <v>#N/A</v>
      </c>
      <c r="AL237" s="376" t="str">
        <f>CS_PID!AL237/VLOOKUP($B237,표2[#ALL],2)/HLOOKUP($A237,표1[#ALL],row(),false)</f>
        <v>#N/A</v>
      </c>
      <c r="AM237" s="376" t="str">
        <f>CS_PID!AM237/VLOOKUP($B237,표2[#ALL],2)/HLOOKUP($A237,표1[#ALL],row(),false)</f>
        <v>#N/A</v>
      </c>
      <c r="AN237" s="376" t="str">
        <f>CS_PID!AN237/VLOOKUP($B237,표2[#ALL],2)/HLOOKUP($A237,표1[#ALL],row(),false)</f>
        <v>#N/A</v>
      </c>
      <c r="AO237" s="376" t="str">
        <f>CS_PID!AO237/VLOOKUP($B237,표2[#ALL],2)/HLOOKUP($A237,표1[#ALL],row(),false)</f>
        <v>#N/A</v>
      </c>
      <c r="AP237" s="376" t="str">
        <f>CS_PID!AP237/VLOOKUP($B237,표2[#ALL],2)/HLOOKUP($A237,표1[#ALL],row(),false)</f>
        <v>#N/A</v>
      </c>
      <c r="AQ237" s="376" t="str">
        <f>CS_PID!AQ237/VLOOKUP($B237,표2[#ALL],2)/HLOOKUP($A237,표1[#ALL],row(),false)</f>
        <v>#N/A</v>
      </c>
      <c r="AR237" s="376" t="str">
        <f>CS_PID!AR237/VLOOKUP($B237,표2[#ALL],2)/HLOOKUP($A237,표1[#ALL],row(),false)</f>
        <v>#N/A</v>
      </c>
      <c r="AS237" s="377" t="str">
        <f>CS_PID!AS237/VLOOKUP($B237,표2[#ALL],2)/HLOOKUP($A237,표1[#ALL],row(),false)</f>
        <v>#N/A</v>
      </c>
    </row>
    <row r="238">
      <c r="A238" s="370"/>
      <c r="B238" s="371"/>
      <c r="C238" s="372" t="str">
        <f>CS_PID!C238/VLOOKUP($B238,표2[#ALL],2)</f>
        <v>#N/A</v>
      </c>
      <c r="D238" s="372" t="str">
        <f>CS_PID!D238/VLOOKUP($B238,표2[#ALL],2)</f>
        <v>#N/A</v>
      </c>
      <c r="E238" s="372" t="str">
        <f>CS_PID!E238/VLOOKUP($B238,표2[#ALL],2)</f>
        <v>#N/A</v>
      </c>
      <c r="F238" s="372" t="str">
        <f>CS_PID!F238/VLOOKUP($B238,표2[#ALL],2)</f>
        <v>#N/A</v>
      </c>
      <c r="G238" s="372" t="str">
        <f>CS_PID!G238/VLOOKUP($B238,표2[#ALL],2)</f>
        <v>#N/A</v>
      </c>
      <c r="H238" s="372" t="str">
        <f>CS_PID!H238/VLOOKUP($B238,표2[#ALL],2)/HLOOKUP($A238,표1[#ALL],row(),false)</f>
        <v>#N/A</v>
      </c>
      <c r="I238" s="372" t="str">
        <f>CS_PID!I238/VLOOKUP($B238,표2[#ALL],2)/HLOOKUP($A238,표1[#ALL],row(),false)</f>
        <v>#N/A</v>
      </c>
      <c r="J238" s="372" t="str">
        <f>CS_PID!J238/VLOOKUP($B238,표2[#ALL],2)/HLOOKUP($A238,표1[#ALL],row(),false)</f>
        <v>#N/A</v>
      </c>
      <c r="K238" s="372" t="str">
        <f>CS_PID!K238/VLOOKUP($B238,표2[#ALL],2)/HLOOKUP($A238,표1[#ALL],row(),false)</f>
        <v>#N/A</v>
      </c>
      <c r="L238" s="372" t="str">
        <f>CS_PID!L238/VLOOKUP($B238,표2[#ALL],2)/HLOOKUP($A238,표1[#ALL],row(),false)</f>
        <v>#N/A</v>
      </c>
      <c r="M238" s="372" t="str">
        <f>CS_PID!M238/VLOOKUP($B238,표2[#ALL],2)/HLOOKUP($A238,표1[#ALL],row(),false)</f>
        <v>#N/A</v>
      </c>
      <c r="N238" s="372" t="str">
        <f>CS_PID!N238/VLOOKUP($B238,표2[#ALL],2)/HLOOKUP($A238,표1[#ALL],row(),false)</f>
        <v>#N/A</v>
      </c>
      <c r="O238" s="372" t="str">
        <f>CS_PID!O238/VLOOKUP($B238,표2[#ALL],2)/HLOOKUP($A238,표1[#ALL],row(),false)</f>
        <v>#N/A</v>
      </c>
      <c r="P238" s="372" t="str">
        <f>CS_PID!P238/VLOOKUP($B238,표2[#ALL],2)/HLOOKUP($A238,표1[#ALL],row(),false)</f>
        <v>#N/A</v>
      </c>
      <c r="Q238" s="372" t="str">
        <f>CS_PID!Q238/VLOOKUP($B238,표2[#ALL],2)/HLOOKUP($A238,표1[#ALL],row(),false)</f>
        <v>#N/A</v>
      </c>
      <c r="R238" s="372" t="str">
        <f>CS_PID!R238/VLOOKUP($B238,표2[#ALL],2)/HLOOKUP($A238,표1[#ALL],row(),false)</f>
        <v>#N/A</v>
      </c>
      <c r="S238" s="372" t="str">
        <f>CS_PID!S238/VLOOKUP($B238,표2[#ALL],2)/HLOOKUP($A238,표1[#ALL],row(),false)</f>
        <v>#N/A</v>
      </c>
      <c r="T238" s="372" t="str">
        <f>CS_PID!T238/VLOOKUP($B238,표2[#ALL],2)/HLOOKUP($A238,표1[#ALL],row(),false)</f>
        <v>#N/A</v>
      </c>
      <c r="U238" s="372" t="str">
        <f>CS_PID!U238/VLOOKUP($B238,표2[#ALL],2)/HLOOKUP($A238,표1[#ALL],row(),false)</f>
        <v>#N/A</v>
      </c>
      <c r="V238" s="372" t="str">
        <f>CS_PID!V238/VLOOKUP($B238,표2[#ALL],2)/HLOOKUP($A238,표1[#ALL],row(),false)</f>
        <v>#N/A</v>
      </c>
      <c r="W238" s="372" t="str">
        <f>CS_PID!W238/VLOOKUP($B238,표2[#ALL],2)/HLOOKUP($A238,표1[#ALL],row(),false)</f>
        <v>#N/A</v>
      </c>
      <c r="X238" s="372" t="str">
        <f>CS_PID!X238/VLOOKUP($B238,표2[#ALL],2)/HLOOKUP($A238,표1[#ALL],row(),false)</f>
        <v>#N/A</v>
      </c>
      <c r="Y238" s="372" t="str">
        <f>CS_PID!Y238/VLOOKUP($B238,표2[#ALL],2)/HLOOKUP($A238,표1[#ALL],row(),false)</f>
        <v>#N/A</v>
      </c>
      <c r="Z238" s="372" t="str">
        <f>CS_PID!Z238/VLOOKUP($B238,표2[#ALL],2)/HLOOKUP($A238,표1[#ALL],row(),false)</f>
        <v>#N/A</v>
      </c>
      <c r="AA238" s="372" t="str">
        <f>CS_PID!AA238/VLOOKUP($B238,표2[#ALL],2)/HLOOKUP($A238,표1[#ALL],row(),false)</f>
        <v>#N/A</v>
      </c>
      <c r="AB238" s="372" t="str">
        <f>CS_PID!AB238/VLOOKUP($B238,표2[#ALL],2)/HLOOKUP($A238,표1[#ALL],row(),false)</f>
        <v>#N/A</v>
      </c>
      <c r="AC238" s="372" t="str">
        <f>CS_PID!AC238/VLOOKUP($B238,표2[#ALL],2)/HLOOKUP($A238,표1[#ALL],row(),false)</f>
        <v>#N/A</v>
      </c>
      <c r="AD238" s="372" t="str">
        <f>CS_PID!AD238/VLOOKUP($B238,표2[#ALL],2)/HLOOKUP($A238,표1[#ALL],row(),false)</f>
        <v>#N/A</v>
      </c>
      <c r="AE238" s="372" t="str">
        <f>CS_PID!AE238/VLOOKUP($B238,표2[#ALL],2)/HLOOKUP($A238,표1[#ALL],row(),false)</f>
        <v>#N/A</v>
      </c>
      <c r="AF238" s="372" t="str">
        <f>CS_PID!AF238/VLOOKUP($B238,표2[#ALL],2)/HLOOKUP($A238,표1[#ALL],row(),false)</f>
        <v>#N/A</v>
      </c>
      <c r="AG238" s="372" t="str">
        <f>CS_PID!AG238/VLOOKUP($B238,표2[#ALL],2)/HLOOKUP($A238,표1[#ALL],row(),false)</f>
        <v>#N/A</v>
      </c>
      <c r="AH238" s="372" t="str">
        <f>CS_PID!AH238/VLOOKUP($B238,표2[#ALL],2)/HLOOKUP($A238,표1[#ALL],row(),false)</f>
        <v>#N/A</v>
      </c>
      <c r="AI238" s="372" t="str">
        <f>CS_PID!AI238/VLOOKUP($B238,표2[#ALL],2)/HLOOKUP($A238,표1[#ALL],row(),false)</f>
        <v>#N/A</v>
      </c>
      <c r="AJ238" s="372" t="str">
        <f>CS_PID!AJ238/VLOOKUP($B238,표2[#ALL],2)/HLOOKUP($A238,표1[#ALL],row(),false)</f>
        <v>#N/A</v>
      </c>
      <c r="AK238" s="372" t="str">
        <f>CS_PID!AK238/VLOOKUP($B238,표2[#ALL],2)/HLOOKUP($A238,표1[#ALL],row(),false)</f>
        <v>#N/A</v>
      </c>
      <c r="AL238" s="372" t="str">
        <f>CS_PID!AL238/VLOOKUP($B238,표2[#ALL],2)/HLOOKUP($A238,표1[#ALL],row(),false)</f>
        <v>#N/A</v>
      </c>
      <c r="AM238" s="372" t="str">
        <f>CS_PID!AM238/VLOOKUP($B238,표2[#ALL],2)/HLOOKUP($A238,표1[#ALL],row(),false)</f>
        <v>#N/A</v>
      </c>
      <c r="AN238" s="372" t="str">
        <f>CS_PID!AN238/VLOOKUP($B238,표2[#ALL],2)/HLOOKUP($A238,표1[#ALL],row(),false)</f>
        <v>#N/A</v>
      </c>
      <c r="AO238" s="372" t="str">
        <f>CS_PID!AO238/VLOOKUP($B238,표2[#ALL],2)/HLOOKUP($A238,표1[#ALL],row(),false)</f>
        <v>#N/A</v>
      </c>
      <c r="AP238" s="372" t="str">
        <f>CS_PID!AP238/VLOOKUP($B238,표2[#ALL],2)/HLOOKUP($A238,표1[#ALL],row(),false)</f>
        <v>#N/A</v>
      </c>
      <c r="AQ238" s="372" t="str">
        <f>CS_PID!AQ238/VLOOKUP($B238,표2[#ALL],2)/HLOOKUP($A238,표1[#ALL],row(),false)</f>
        <v>#N/A</v>
      </c>
      <c r="AR238" s="372" t="str">
        <f>CS_PID!AR238/VLOOKUP($B238,표2[#ALL],2)/HLOOKUP($A238,표1[#ALL],row(),false)</f>
        <v>#N/A</v>
      </c>
      <c r="AS238" s="373" t="str">
        <f>CS_PID!AS238/VLOOKUP($B238,표2[#ALL],2)/HLOOKUP($A238,표1[#ALL],row(),false)</f>
        <v>#N/A</v>
      </c>
    </row>
    <row r="239">
      <c r="A239" s="374"/>
      <c r="B239" s="375"/>
      <c r="C239" s="376" t="str">
        <f>CS_PID!C239/VLOOKUP($B239,표2[#ALL],2)</f>
        <v>#N/A</v>
      </c>
      <c r="D239" s="376" t="str">
        <f>CS_PID!D239/VLOOKUP($B239,표2[#ALL],2)</f>
        <v>#N/A</v>
      </c>
      <c r="E239" s="376" t="str">
        <f>CS_PID!E239/VLOOKUP($B239,표2[#ALL],2)</f>
        <v>#N/A</v>
      </c>
      <c r="F239" s="376" t="str">
        <f>CS_PID!F239/VLOOKUP($B239,표2[#ALL],2)</f>
        <v>#N/A</v>
      </c>
      <c r="G239" s="376" t="str">
        <f>CS_PID!G239/VLOOKUP($B239,표2[#ALL],2)</f>
        <v>#N/A</v>
      </c>
      <c r="H239" s="376" t="str">
        <f>CS_PID!H239/VLOOKUP($B239,표2[#ALL],2)/HLOOKUP($A239,표1[#ALL],row(),false)</f>
        <v>#N/A</v>
      </c>
      <c r="I239" s="376" t="str">
        <f>CS_PID!I239/VLOOKUP($B239,표2[#ALL],2)/HLOOKUP($A239,표1[#ALL],row(),false)</f>
        <v>#N/A</v>
      </c>
      <c r="J239" s="376" t="str">
        <f>CS_PID!J239/VLOOKUP($B239,표2[#ALL],2)/HLOOKUP($A239,표1[#ALL],row(),false)</f>
        <v>#N/A</v>
      </c>
      <c r="K239" s="376" t="str">
        <f>CS_PID!K239/VLOOKUP($B239,표2[#ALL],2)/HLOOKUP($A239,표1[#ALL],row(),false)</f>
        <v>#N/A</v>
      </c>
      <c r="L239" s="376" t="str">
        <f>CS_PID!L239/VLOOKUP($B239,표2[#ALL],2)/HLOOKUP($A239,표1[#ALL],row(),false)</f>
        <v>#N/A</v>
      </c>
      <c r="M239" s="376" t="str">
        <f>CS_PID!M239/VLOOKUP($B239,표2[#ALL],2)/HLOOKUP($A239,표1[#ALL],row(),false)</f>
        <v>#N/A</v>
      </c>
      <c r="N239" s="376" t="str">
        <f>CS_PID!N239/VLOOKUP($B239,표2[#ALL],2)/HLOOKUP($A239,표1[#ALL],row(),false)</f>
        <v>#N/A</v>
      </c>
      <c r="O239" s="376" t="str">
        <f>CS_PID!O239/VLOOKUP($B239,표2[#ALL],2)/HLOOKUP($A239,표1[#ALL],row(),false)</f>
        <v>#N/A</v>
      </c>
      <c r="P239" s="376" t="str">
        <f>CS_PID!P239/VLOOKUP($B239,표2[#ALL],2)/HLOOKUP($A239,표1[#ALL],row(),false)</f>
        <v>#N/A</v>
      </c>
      <c r="Q239" s="376" t="str">
        <f>CS_PID!Q239/VLOOKUP($B239,표2[#ALL],2)/HLOOKUP($A239,표1[#ALL],row(),false)</f>
        <v>#N/A</v>
      </c>
      <c r="R239" s="376" t="str">
        <f>CS_PID!R239/VLOOKUP($B239,표2[#ALL],2)/HLOOKUP($A239,표1[#ALL],row(),false)</f>
        <v>#N/A</v>
      </c>
      <c r="S239" s="376" t="str">
        <f>CS_PID!S239/VLOOKUP($B239,표2[#ALL],2)/HLOOKUP($A239,표1[#ALL],row(),false)</f>
        <v>#N/A</v>
      </c>
      <c r="T239" s="376" t="str">
        <f>CS_PID!T239/VLOOKUP($B239,표2[#ALL],2)/HLOOKUP($A239,표1[#ALL],row(),false)</f>
        <v>#N/A</v>
      </c>
      <c r="U239" s="376" t="str">
        <f>CS_PID!U239/VLOOKUP($B239,표2[#ALL],2)/HLOOKUP($A239,표1[#ALL],row(),false)</f>
        <v>#N/A</v>
      </c>
      <c r="V239" s="376" t="str">
        <f>CS_PID!V239/VLOOKUP($B239,표2[#ALL],2)/HLOOKUP($A239,표1[#ALL],row(),false)</f>
        <v>#N/A</v>
      </c>
      <c r="W239" s="376" t="str">
        <f>CS_PID!W239/VLOOKUP($B239,표2[#ALL],2)/HLOOKUP($A239,표1[#ALL],row(),false)</f>
        <v>#N/A</v>
      </c>
      <c r="X239" s="376" t="str">
        <f>CS_PID!X239/VLOOKUP($B239,표2[#ALL],2)/HLOOKUP($A239,표1[#ALL],row(),false)</f>
        <v>#N/A</v>
      </c>
      <c r="Y239" s="376" t="str">
        <f>CS_PID!Y239/VLOOKUP($B239,표2[#ALL],2)/HLOOKUP($A239,표1[#ALL],row(),false)</f>
        <v>#N/A</v>
      </c>
      <c r="Z239" s="376" t="str">
        <f>CS_PID!Z239/VLOOKUP($B239,표2[#ALL],2)/HLOOKUP($A239,표1[#ALL],row(),false)</f>
        <v>#N/A</v>
      </c>
      <c r="AA239" s="376" t="str">
        <f>CS_PID!AA239/VLOOKUP($B239,표2[#ALL],2)/HLOOKUP($A239,표1[#ALL],row(),false)</f>
        <v>#N/A</v>
      </c>
      <c r="AB239" s="376" t="str">
        <f>CS_PID!AB239/VLOOKUP($B239,표2[#ALL],2)/HLOOKUP($A239,표1[#ALL],row(),false)</f>
        <v>#N/A</v>
      </c>
      <c r="AC239" s="376" t="str">
        <f>CS_PID!AC239/VLOOKUP($B239,표2[#ALL],2)/HLOOKUP($A239,표1[#ALL],row(),false)</f>
        <v>#N/A</v>
      </c>
      <c r="AD239" s="376" t="str">
        <f>CS_PID!AD239/VLOOKUP($B239,표2[#ALL],2)/HLOOKUP($A239,표1[#ALL],row(),false)</f>
        <v>#N/A</v>
      </c>
      <c r="AE239" s="376" t="str">
        <f>CS_PID!AE239/VLOOKUP($B239,표2[#ALL],2)/HLOOKUP($A239,표1[#ALL],row(),false)</f>
        <v>#N/A</v>
      </c>
      <c r="AF239" s="376" t="str">
        <f>CS_PID!AF239/VLOOKUP($B239,표2[#ALL],2)/HLOOKUP($A239,표1[#ALL],row(),false)</f>
        <v>#N/A</v>
      </c>
      <c r="AG239" s="376" t="str">
        <f>CS_PID!AG239/VLOOKUP($B239,표2[#ALL],2)/HLOOKUP($A239,표1[#ALL],row(),false)</f>
        <v>#N/A</v>
      </c>
      <c r="AH239" s="376" t="str">
        <f>CS_PID!AH239/VLOOKUP($B239,표2[#ALL],2)/HLOOKUP($A239,표1[#ALL],row(),false)</f>
        <v>#N/A</v>
      </c>
      <c r="AI239" s="376" t="str">
        <f>CS_PID!AI239/VLOOKUP($B239,표2[#ALL],2)/HLOOKUP($A239,표1[#ALL],row(),false)</f>
        <v>#N/A</v>
      </c>
      <c r="AJ239" s="376" t="str">
        <f>CS_PID!AJ239/VLOOKUP($B239,표2[#ALL],2)/HLOOKUP($A239,표1[#ALL],row(),false)</f>
        <v>#N/A</v>
      </c>
      <c r="AK239" s="376" t="str">
        <f>CS_PID!AK239/VLOOKUP($B239,표2[#ALL],2)/HLOOKUP($A239,표1[#ALL],row(),false)</f>
        <v>#N/A</v>
      </c>
      <c r="AL239" s="376" t="str">
        <f>CS_PID!AL239/VLOOKUP($B239,표2[#ALL],2)/HLOOKUP($A239,표1[#ALL],row(),false)</f>
        <v>#N/A</v>
      </c>
      <c r="AM239" s="376" t="str">
        <f>CS_PID!AM239/VLOOKUP($B239,표2[#ALL],2)/HLOOKUP($A239,표1[#ALL],row(),false)</f>
        <v>#N/A</v>
      </c>
      <c r="AN239" s="376" t="str">
        <f>CS_PID!AN239/VLOOKUP($B239,표2[#ALL],2)/HLOOKUP($A239,표1[#ALL],row(),false)</f>
        <v>#N/A</v>
      </c>
      <c r="AO239" s="376" t="str">
        <f>CS_PID!AO239/VLOOKUP($B239,표2[#ALL],2)/HLOOKUP($A239,표1[#ALL],row(),false)</f>
        <v>#N/A</v>
      </c>
      <c r="AP239" s="376" t="str">
        <f>CS_PID!AP239/VLOOKUP($B239,표2[#ALL],2)/HLOOKUP($A239,표1[#ALL],row(),false)</f>
        <v>#N/A</v>
      </c>
      <c r="AQ239" s="376" t="str">
        <f>CS_PID!AQ239/VLOOKUP($B239,표2[#ALL],2)/HLOOKUP($A239,표1[#ALL],row(),false)</f>
        <v>#N/A</v>
      </c>
      <c r="AR239" s="376" t="str">
        <f>CS_PID!AR239/VLOOKUP($B239,표2[#ALL],2)/HLOOKUP($A239,표1[#ALL],row(),false)</f>
        <v>#N/A</v>
      </c>
      <c r="AS239" s="377" t="str">
        <f>CS_PID!AS239/VLOOKUP($B239,표2[#ALL],2)/HLOOKUP($A239,표1[#ALL],row(),false)</f>
        <v>#N/A</v>
      </c>
    </row>
    <row r="240">
      <c r="A240" s="370"/>
      <c r="B240" s="371"/>
      <c r="C240" s="372" t="str">
        <f>CS_PID!C240/VLOOKUP($B240,표2[#ALL],2)</f>
        <v>#N/A</v>
      </c>
      <c r="D240" s="372" t="str">
        <f>CS_PID!D240/VLOOKUP($B240,표2[#ALL],2)</f>
        <v>#N/A</v>
      </c>
      <c r="E240" s="372" t="str">
        <f>CS_PID!E240/VLOOKUP($B240,표2[#ALL],2)</f>
        <v>#N/A</v>
      </c>
      <c r="F240" s="372" t="str">
        <f>CS_PID!F240/VLOOKUP($B240,표2[#ALL],2)</f>
        <v>#N/A</v>
      </c>
      <c r="G240" s="372" t="str">
        <f>CS_PID!G240/VLOOKUP($B240,표2[#ALL],2)</f>
        <v>#N/A</v>
      </c>
      <c r="H240" s="372" t="str">
        <f>CS_PID!H240/VLOOKUP($B240,표2[#ALL],2)/HLOOKUP($A240,표1[#ALL],row(),false)</f>
        <v>#N/A</v>
      </c>
      <c r="I240" s="372" t="str">
        <f>CS_PID!I240/VLOOKUP($B240,표2[#ALL],2)/HLOOKUP($A240,표1[#ALL],row(),false)</f>
        <v>#N/A</v>
      </c>
      <c r="J240" s="372" t="str">
        <f>CS_PID!J240/VLOOKUP($B240,표2[#ALL],2)/HLOOKUP($A240,표1[#ALL],row(),false)</f>
        <v>#N/A</v>
      </c>
      <c r="K240" s="372" t="str">
        <f>CS_PID!K240/VLOOKUP($B240,표2[#ALL],2)/HLOOKUP($A240,표1[#ALL],row(),false)</f>
        <v>#N/A</v>
      </c>
      <c r="L240" s="372" t="str">
        <f>CS_PID!L240/VLOOKUP($B240,표2[#ALL],2)/HLOOKUP($A240,표1[#ALL],row(),false)</f>
        <v>#N/A</v>
      </c>
      <c r="M240" s="372" t="str">
        <f>CS_PID!M240/VLOOKUP($B240,표2[#ALL],2)/HLOOKUP($A240,표1[#ALL],row(),false)</f>
        <v>#N/A</v>
      </c>
      <c r="N240" s="372" t="str">
        <f>CS_PID!N240/VLOOKUP($B240,표2[#ALL],2)/HLOOKUP($A240,표1[#ALL],row(),false)</f>
        <v>#N/A</v>
      </c>
      <c r="O240" s="372" t="str">
        <f>CS_PID!O240/VLOOKUP($B240,표2[#ALL],2)/HLOOKUP($A240,표1[#ALL],row(),false)</f>
        <v>#N/A</v>
      </c>
      <c r="P240" s="372" t="str">
        <f>CS_PID!P240/VLOOKUP($B240,표2[#ALL],2)/HLOOKUP($A240,표1[#ALL],row(),false)</f>
        <v>#N/A</v>
      </c>
      <c r="Q240" s="372" t="str">
        <f>CS_PID!Q240/VLOOKUP($B240,표2[#ALL],2)/HLOOKUP($A240,표1[#ALL],row(),false)</f>
        <v>#N/A</v>
      </c>
      <c r="R240" s="372" t="str">
        <f>CS_PID!R240/VLOOKUP($B240,표2[#ALL],2)/HLOOKUP($A240,표1[#ALL],row(),false)</f>
        <v>#N/A</v>
      </c>
      <c r="S240" s="372" t="str">
        <f>CS_PID!S240/VLOOKUP($B240,표2[#ALL],2)/HLOOKUP($A240,표1[#ALL],row(),false)</f>
        <v>#N/A</v>
      </c>
      <c r="T240" s="372" t="str">
        <f>CS_PID!T240/VLOOKUP($B240,표2[#ALL],2)/HLOOKUP($A240,표1[#ALL],row(),false)</f>
        <v>#N/A</v>
      </c>
      <c r="U240" s="372" t="str">
        <f>CS_PID!U240/VLOOKUP($B240,표2[#ALL],2)/HLOOKUP($A240,표1[#ALL],row(),false)</f>
        <v>#N/A</v>
      </c>
      <c r="V240" s="372" t="str">
        <f>CS_PID!V240/VLOOKUP($B240,표2[#ALL],2)/HLOOKUP($A240,표1[#ALL],row(),false)</f>
        <v>#N/A</v>
      </c>
      <c r="W240" s="372" t="str">
        <f>CS_PID!W240/VLOOKUP($B240,표2[#ALL],2)/HLOOKUP($A240,표1[#ALL],row(),false)</f>
        <v>#N/A</v>
      </c>
      <c r="X240" s="372" t="str">
        <f>CS_PID!X240/VLOOKUP($B240,표2[#ALL],2)/HLOOKUP($A240,표1[#ALL],row(),false)</f>
        <v>#N/A</v>
      </c>
      <c r="Y240" s="372" t="str">
        <f>CS_PID!Y240/VLOOKUP($B240,표2[#ALL],2)/HLOOKUP($A240,표1[#ALL],row(),false)</f>
        <v>#N/A</v>
      </c>
      <c r="Z240" s="372" t="str">
        <f>CS_PID!Z240/VLOOKUP($B240,표2[#ALL],2)/HLOOKUP($A240,표1[#ALL],row(),false)</f>
        <v>#N/A</v>
      </c>
      <c r="AA240" s="372" t="str">
        <f>CS_PID!AA240/VLOOKUP($B240,표2[#ALL],2)/HLOOKUP($A240,표1[#ALL],row(),false)</f>
        <v>#N/A</v>
      </c>
      <c r="AB240" s="372" t="str">
        <f>CS_PID!AB240/VLOOKUP($B240,표2[#ALL],2)/HLOOKUP($A240,표1[#ALL],row(),false)</f>
        <v>#N/A</v>
      </c>
      <c r="AC240" s="372" t="str">
        <f>CS_PID!AC240/VLOOKUP($B240,표2[#ALL],2)/HLOOKUP($A240,표1[#ALL],row(),false)</f>
        <v>#N/A</v>
      </c>
      <c r="AD240" s="372" t="str">
        <f>CS_PID!AD240/VLOOKUP($B240,표2[#ALL],2)/HLOOKUP($A240,표1[#ALL],row(),false)</f>
        <v>#N/A</v>
      </c>
      <c r="AE240" s="372" t="str">
        <f>CS_PID!AE240/VLOOKUP($B240,표2[#ALL],2)/HLOOKUP($A240,표1[#ALL],row(),false)</f>
        <v>#N/A</v>
      </c>
      <c r="AF240" s="372" t="str">
        <f>CS_PID!AF240/VLOOKUP($B240,표2[#ALL],2)/HLOOKUP($A240,표1[#ALL],row(),false)</f>
        <v>#N/A</v>
      </c>
      <c r="AG240" s="372" t="str">
        <f>CS_PID!AG240/VLOOKUP($B240,표2[#ALL],2)/HLOOKUP($A240,표1[#ALL],row(),false)</f>
        <v>#N/A</v>
      </c>
      <c r="AH240" s="372" t="str">
        <f>CS_PID!AH240/VLOOKUP($B240,표2[#ALL],2)/HLOOKUP($A240,표1[#ALL],row(),false)</f>
        <v>#N/A</v>
      </c>
      <c r="AI240" s="372" t="str">
        <f>CS_PID!AI240/VLOOKUP($B240,표2[#ALL],2)/HLOOKUP($A240,표1[#ALL],row(),false)</f>
        <v>#N/A</v>
      </c>
      <c r="AJ240" s="372" t="str">
        <f>CS_PID!AJ240/VLOOKUP($B240,표2[#ALL],2)/HLOOKUP($A240,표1[#ALL],row(),false)</f>
        <v>#N/A</v>
      </c>
      <c r="AK240" s="372" t="str">
        <f>CS_PID!AK240/VLOOKUP($B240,표2[#ALL],2)/HLOOKUP($A240,표1[#ALL],row(),false)</f>
        <v>#N/A</v>
      </c>
      <c r="AL240" s="372" t="str">
        <f>CS_PID!AL240/VLOOKUP($B240,표2[#ALL],2)/HLOOKUP($A240,표1[#ALL],row(),false)</f>
        <v>#N/A</v>
      </c>
      <c r="AM240" s="372" t="str">
        <f>CS_PID!AM240/VLOOKUP($B240,표2[#ALL],2)/HLOOKUP($A240,표1[#ALL],row(),false)</f>
        <v>#N/A</v>
      </c>
      <c r="AN240" s="372" t="str">
        <f>CS_PID!AN240/VLOOKUP($B240,표2[#ALL],2)/HLOOKUP($A240,표1[#ALL],row(),false)</f>
        <v>#N/A</v>
      </c>
      <c r="AO240" s="372" t="str">
        <f>CS_PID!AO240/VLOOKUP($B240,표2[#ALL],2)/HLOOKUP($A240,표1[#ALL],row(),false)</f>
        <v>#N/A</v>
      </c>
      <c r="AP240" s="372" t="str">
        <f>CS_PID!AP240/VLOOKUP($B240,표2[#ALL],2)/HLOOKUP($A240,표1[#ALL],row(),false)</f>
        <v>#N/A</v>
      </c>
      <c r="AQ240" s="372" t="str">
        <f>CS_PID!AQ240/VLOOKUP($B240,표2[#ALL],2)/HLOOKUP($A240,표1[#ALL],row(),false)</f>
        <v>#N/A</v>
      </c>
      <c r="AR240" s="372" t="str">
        <f>CS_PID!AR240/VLOOKUP($B240,표2[#ALL],2)/HLOOKUP($A240,표1[#ALL],row(),false)</f>
        <v>#N/A</v>
      </c>
      <c r="AS240" s="373" t="str">
        <f>CS_PID!AS240/VLOOKUP($B240,표2[#ALL],2)/HLOOKUP($A240,표1[#ALL],row(),false)</f>
        <v>#N/A</v>
      </c>
    </row>
    <row r="241">
      <c r="A241" s="374"/>
      <c r="B241" s="375"/>
      <c r="C241" s="376" t="str">
        <f>CS_PID!C241/VLOOKUP($B241,표2[#ALL],2)</f>
        <v>#N/A</v>
      </c>
      <c r="D241" s="376" t="str">
        <f>CS_PID!D241/VLOOKUP($B241,표2[#ALL],2)</f>
        <v>#N/A</v>
      </c>
      <c r="E241" s="376" t="str">
        <f>CS_PID!E241/VLOOKUP($B241,표2[#ALL],2)</f>
        <v>#N/A</v>
      </c>
      <c r="F241" s="376" t="str">
        <f>CS_PID!F241/VLOOKUP($B241,표2[#ALL],2)</f>
        <v>#N/A</v>
      </c>
      <c r="G241" s="376" t="str">
        <f>CS_PID!G241/VLOOKUP($B241,표2[#ALL],2)</f>
        <v>#N/A</v>
      </c>
      <c r="H241" s="376" t="str">
        <f>CS_PID!H241/VLOOKUP($B241,표2[#ALL],2)/HLOOKUP($A241,표1[#ALL],row(),false)</f>
        <v>#N/A</v>
      </c>
      <c r="I241" s="376" t="str">
        <f>CS_PID!I241/VLOOKUP($B241,표2[#ALL],2)/HLOOKUP($A241,표1[#ALL],row(),false)</f>
        <v>#N/A</v>
      </c>
      <c r="J241" s="376" t="str">
        <f>CS_PID!J241/VLOOKUP($B241,표2[#ALL],2)/HLOOKUP($A241,표1[#ALL],row(),false)</f>
        <v>#N/A</v>
      </c>
      <c r="K241" s="376" t="str">
        <f>CS_PID!K241/VLOOKUP($B241,표2[#ALL],2)/HLOOKUP($A241,표1[#ALL],row(),false)</f>
        <v>#N/A</v>
      </c>
      <c r="L241" s="376" t="str">
        <f>CS_PID!L241/VLOOKUP($B241,표2[#ALL],2)/HLOOKUP($A241,표1[#ALL],row(),false)</f>
        <v>#N/A</v>
      </c>
      <c r="M241" s="376" t="str">
        <f>CS_PID!M241/VLOOKUP($B241,표2[#ALL],2)/HLOOKUP($A241,표1[#ALL],row(),false)</f>
        <v>#N/A</v>
      </c>
      <c r="N241" s="376" t="str">
        <f>CS_PID!N241/VLOOKUP($B241,표2[#ALL],2)/HLOOKUP($A241,표1[#ALL],row(),false)</f>
        <v>#N/A</v>
      </c>
      <c r="O241" s="376" t="str">
        <f>CS_PID!O241/VLOOKUP($B241,표2[#ALL],2)/HLOOKUP($A241,표1[#ALL],row(),false)</f>
        <v>#N/A</v>
      </c>
      <c r="P241" s="376" t="str">
        <f>CS_PID!P241/VLOOKUP($B241,표2[#ALL],2)/HLOOKUP($A241,표1[#ALL],row(),false)</f>
        <v>#N/A</v>
      </c>
      <c r="Q241" s="376" t="str">
        <f>CS_PID!Q241/VLOOKUP($B241,표2[#ALL],2)/HLOOKUP($A241,표1[#ALL],row(),false)</f>
        <v>#N/A</v>
      </c>
      <c r="R241" s="376" t="str">
        <f>CS_PID!R241/VLOOKUP($B241,표2[#ALL],2)/HLOOKUP($A241,표1[#ALL],row(),false)</f>
        <v>#N/A</v>
      </c>
      <c r="S241" s="376" t="str">
        <f>CS_PID!S241/VLOOKUP($B241,표2[#ALL],2)/HLOOKUP($A241,표1[#ALL],row(),false)</f>
        <v>#N/A</v>
      </c>
      <c r="T241" s="376" t="str">
        <f>CS_PID!T241/VLOOKUP($B241,표2[#ALL],2)/HLOOKUP($A241,표1[#ALL],row(),false)</f>
        <v>#N/A</v>
      </c>
      <c r="U241" s="376" t="str">
        <f>CS_PID!U241/VLOOKUP($B241,표2[#ALL],2)/HLOOKUP($A241,표1[#ALL],row(),false)</f>
        <v>#N/A</v>
      </c>
      <c r="V241" s="376" t="str">
        <f>CS_PID!V241/VLOOKUP($B241,표2[#ALL],2)/HLOOKUP($A241,표1[#ALL],row(),false)</f>
        <v>#N/A</v>
      </c>
      <c r="W241" s="376" t="str">
        <f>CS_PID!W241/VLOOKUP($B241,표2[#ALL],2)/HLOOKUP($A241,표1[#ALL],row(),false)</f>
        <v>#N/A</v>
      </c>
      <c r="X241" s="376" t="str">
        <f>CS_PID!X241/VLOOKUP($B241,표2[#ALL],2)/HLOOKUP($A241,표1[#ALL],row(),false)</f>
        <v>#N/A</v>
      </c>
      <c r="Y241" s="376" t="str">
        <f>CS_PID!Y241/VLOOKUP($B241,표2[#ALL],2)/HLOOKUP($A241,표1[#ALL],row(),false)</f>
        <v>#N/A</v>
      </c>
      <c r="Z241" s="376" t="str">
        <f>CS_PID!Z241/VLOOKUP($B241,표2[#ALL],2)/HLOOKUP($A241,표1[#ALL],row(),false)</f>
        <v>#N/A</v>
      </c>
      <c r="AA241" s="376" t="str">
        <f>CS_PID!AA241/VLOOKUP($B241,표2[#ALL],2)/HLOOKUP($A241,표1[#ALL],row(),false)</f>
        <v>#N/A</v>
      </c>
      <c r="AB241" s="376" t="str">
        <f>CS_PID!AB241/VLOOKUP($B241,표2[#ALL],2)/HLOOKUP($A241,표1[#ALL],row(),false)</f>
        <v>#N/A</v>
      </c>
      <c r="AC241" s="376" t="str">
        <f>CS_PID!AC241/VLOOKUP($B241,표2[#ALL],2)/HLOOKUP($A241,표1[#ALL],row(),false)</f>
        <v>#N/A</v>
      </c>
      <c r="AD241" s="376" t="str">
        <f>CS_PID!AD241/VLOOKUP($B241,표2[#ALL],2)/HLOOKUP($A241,표1[#ALL],row(),false)</f>
        <v>#N/A</v>
      </c>
      <c r="AE241" s="376" t="str">
        <f>CS_PID!AE241/VLOOKUP($B241,표2[#ALL],2)/HLOOKUP($A241,표1[#ALL],row(),false)</f>
        <v>#N/A</v>
      </c>
      <c r="AF241" s="376" t="str">
        <f>CS_PID!AF241/VLOOKUP($B241,표2[#ALL],2)/HLOOKUP($A241,표1[#ALL],row(),false)</f>
        <v>#N/A</v>
      </c>
      <c r="AG241" s="376" t="str">
        <f>CS_PID!AG241/VLOOKUP($B241,표2[#ALL],2)/HLOOKUP($A241,표1[#ALL],row(),false)</f>
        <v>#N/A</v>
      </c>
      <c r="AH241" s="376" t="str">
        <f>CS_PID!AH241/VLOOKUP($B241,표2[#ALL],2)/HLOOKUP($A241,표1[#ALL],row(),false)</f>
        <v>#N/A</v>
      </c>
      <c r="AI241" s="376" t="str">
        <f>CS_PID!AI241/VLOOKUP($B241,표2[#ALL],2)/HLOOKUP($A241,표1[#ALL],row(),false)</f>
        <v>#N/A</v>
      </c>
      <c r="AJ241" s="376" t="str">
        <f>CS_PID!AJ241/VLOOKUP($B241,표2[#ALL],2)/HLOOKUP($A241,표1[#ALL],row(),false)</f>
        <v>#N/A</v>
      </c>
      <c r="AK241" s="376" t="str">
        <f>CS_PID!AK241/VLOOKUP($B241,표2[#ALL],2)/HLOOKUP($A241,표1[#ALL],row(),false)</f>
        <v>#N/A</v>
      </c>
      <c r="AL241" s="376" t="str">
        <f>CS_PID!AL241/VLOOKUP($B241,표2[#ALL],2)/HLOOKUP($A241,표1[#ALL],row(),false)</f>
        <v>#N/A</v>
      </c>
      <c r="AM241" s="376" t="str">
        <f>CS_PID!AM241/VLOOKUP($B241,표2[#ALL],2)/HLOOKUP($A241,표1[#ALL],row(),false)</f>
        <v>#N/A</v>
      </c>
      <c r="AN241" s="376" t="str">
        <f>CS_PID!AN241/VLOOKUP($B241,표2[#ALL],2)/HLOOKUP($A241,표1[#ALL],row(),false)</f>
        <v>#N/A</v>
      </c>
      <c r="AO241" s="376" t="str">
        <f>CS_PID!AO241/VLOOKUP($B241,표2[#ALL],2)/HLOOKUP($A241,표1[#ALL],row(),false)</f>
        <v>#N/A</v>
      </c>
      <c r="AP241" s="376" t="str">
        <f>CS_PID!AP241/VLOOKUP($B241,표2[#ALL],2)/HLOOKUP($A241,표1[#ALL],row(),false)</f>
        <v>#N/A</v>
      </c>
      <c r="AQ241" s="376" t="str">
        <f>CS_PID!AQ241/VLOOKUP($B241,표2[#ALL],2)/HLOOKUP($A241,표1[#ALL],row(),false)</f>
        <v>#N/A</v>
      </c>
      <c r="AR241" s="376" t="str">
        <f>CS_PID!AR241/VLOOKUP($B241,표2[#ALL],2)/HLOOKUP($A241,표1[#ALL],row(),false)</f>
        <v>#N/A</v>
      </c>
      <c r="AS241" s="377" t="str">
        <f>CS_PID!AS241/VLOOKUP($B241,표2[#ALL],2)/HLOOKUP($A241,표1[#ALL],row(),false)</f>
        <v>#N/A</v>
      </c>
    </row>
    <row r="242">
      <c r="A242" s="370"/>
      <c r="B242" s="371"/>
      <c r="C242" s="372" t="str">
        <f>CS_PID!C242/VLOOKUP($B242,표2[#ALL],2)</f>
        <v>#N/A</v>
      </c>
      <c r="D242" s="372" t="str">
        <f>CS_PID!D242/VLOOKUP($B242,표2[#ALL],2)</f>
        <v>#N/A</v>
      </c>
      <c r="E242" s="372" t="str">
        <f>CS_PID!E242/VLOOKUP($B242,표2[#ALL],2)</f>
        <v>#N/A</v>
      </c>
      <c r="F242" s="372" t="str">
        <f>CS_PID!F242/VLOOKUP($B242,표2[#ALL],2)</f>
        <v>#N/A</v>
      </c>
      <c r="G242" s="372" t="str">
        <f>CS_PID!G242/VLOOKUP($B242,표2[#ALL],2)</f>
        <v>#N/A</v>
      </c>
      <c r="H242" s="372" t="str">
        <f>CS_PID!H242/VLOOKUP($B242,표2[#ALL],2)/HLOOKUP($A242,표1[#ALL],row(),false)</f>
        <v>#N/A</v>
      </c>
      <c r="I242" s="372" t="str">
        <f>CS_PID!I242/VLOOKUP($B242,표2[#ALL],2)/HLOOKUP($A242,표1[#ALL],row(),false)</f>
        <v>#N/A</v>
      </c>
      <c r="J242" s="372" t="str">
        <f>CS_PID!J242/VLOOKUP($B242,표2[#ALL],2)/HLOOKUP($A242,표1[#ALL],row(),false)</f>
        <v>#N/A</v>
      </c>
      <c r="K242" s="372" t="str">
        <f>CS_PID!K242/VLOOKUP($B242,표2[#ALL],2)/HLOOKUP($A242,표1[#ALL],row(),false)</f>
        <v>#N/A</v>
      </c>
      <c r="L242" s="372" t="str">
        <f>CS_PID!L242/VLOOKUP($B242,표2[#ALL],2)/HLOOKUP($A242,표1[#ALL],row(),false)</f>
        <v>#N/A</v>
      </c>
      <c r="M242" s="372" t="str">
        <f>CS_PID!M242/VLOOKUP($B242,표2[#ALL],2)/HLOOKUP($A242,표1[#ALL],row(),false)</f>
        <v>#N/A</v>
      </c>
      <c r="N242" s="372" t="str">
        <f>CS_PID!N242/VLOOKUP($B242,표2[#ALL],2)/HLOOKUP($A242,표1[#ALL],row(),false)</f>
        <v>#N/A</v>
      </c>
      <c r="O242" s="372" t="str">
        <f>CS_PID!O242/VLOOKUP($B242,표2[#ALL],2)/HLOOKUP($A242,표1[#ALL],row(),false)</f>
        <v>#N/A</v>
      </c>
      <c r="P242" s="372" t="str">
        <f>CS_PID!P242/VLOOKUP($B242,표2[#ALL],2)/HLOOKUP($A242,표1[#ALL],row(),false)</f>
        <v>#N/A</v>
      </c>
      <c r="Q242" s="372" t="str">
        <f>CS_PID!Q242/VLOOKUP($B242,표2[#ALL],2)/HLOOKUP($A242,표1[#ALL],row(),false)</f>
        <v>#N/A</v>
      </c>
      <c r="R242" s="372" t="str">
        <f>CS_PID!R242/VLOOKUP($B242,표2[#ALL],2)/HLOOKUP($A242,표1[#ALL],row(),false)</f>
        <v>#N/A</v>
      </c>
      <c r="S242" s="372" t="str">
        <f>CS_PID!S242/VLOOKUP($B242,표2[#ALL],2)/HLOOKUP($A242,표1[#ALL],row(),false)</f>
        <v>#N/A</v>
      </c>
      <c r="T242" s="372" t="str">
        <f>CS_PID!T242/VLOOKUP($B242,표2[#ALL],2)/HLOOKUP($A242,표1[#ALL],row(),false)</f>
        <v>#N/A</v>
      </c>
      <c r="U242" s="372" t="str">
        <f>CS_PID!U242/VLOOKUP($B242,표2[#ALL],2)/HLOOKUP($A242,표1[#ALL],row(),false)</f>
        <v>#N/A</v>
      </c>
      <c r="V242" s="372" t="str">
        <f>CS_PID!V242/VLOOKUP($B242,표2[#ALL],2)/HLOOKUP($A242,표1[#ALL],row(),false)</f>
        <v>#N/A</v>
      </c>
      <c r="W242" s="372" t="str">
        <f>CS_PID!W242/VLOOKUP($B242,표2[#ALL],2)/HLOOKUP($A242,표1[#ALL],row(),false)</f>
        <v>#N/A</v>
      </c>
      <c r="X242" s="372" t="str">
        <f>CS_PID!X242/VLOOKUP($B242,표2[#ALL],2)/HLOOKUP($A242,표1[#ALL],row(),false)</f>
        <v>#N/A</v>
      </c>
      <c r="Y242" s="372" t="str">
        <f>CS_PID!Y242/VLOOKUP($B242,표2[#ALL],2)/HLOOKUP($A242,표1[#ALL],row(),false)</f>
        <v>#N/A</v>
      </c>
      <c r="Z242" s="372" t="str">
        <f>CS_PID!Z242/VLOOKUP($B242,표2[#ALL],2)/HLOOKUP($A242,표1[#ALL],row(),false)</f>
        <v>#N/A</v>
      </c>
      <c r="AA242" s="372" t="str">
        <f>CS_PID!AA242/VLOOKUP($B242,표2[#ALL],2)/HLOOKUP($A242,표1[#ALL],row(),false)</f>
        <v>#N/A</v>
      </c>
      <c r="AB242" s="372" t="str">
        <f>CS_PID!AB242/VLOOKUP($B242,표2[#ALL],2)/HLOOKUP($A242,표1[#ALL],row(),false)</f>
        <v>#N/A</v>
      </c>
      <c r="AC242" s="372" t="str">
        <f>CS_PID!AC242/VLOOKUP($B242,표2[#ALL],2)/HLOOKUP($A242,표1[#ALL],row(),false)</f>
        <v>#N/A</v>
      </c>
      <c r="AD242" s="372" t="str">
        <f>CS_PID!AD242/VLOOKUP($B242,표2[#ALL],2)/HLOOKUP($A242,표1[#ALL],row(),false)</f>
        <v>#N/A</v>
      </c>
      <c r="AE242" s="372" t="str">
        <f>CS_PID!AE242/VLOOKUP($B242,표2[#ALL],2)/HLOOKUP($A242,표1[#ALL],row(),false)</f>
        <v>#N/A</v>
      </c>
      <c r="AF242" s="372" t="str">
        <f>CS_PID!AF242/VLOOKUP($B242,표2[#ALL],2)/HLOOKUP($A242,표1[#ALL],row(),false)</f>
        <v>#N/A</v>
      </c>
      <c r="AG242" s="372" t="str">
        <f>CS_PID!AG242/VLOOKUP($B242,표2[#ALL],2)/HLOOKUP($A242,표1[#ALL],row(),false)</f>
        <v>#N/A</v>
      </c>
      <c r="AH242" s="372" t="str">
        <f>CS_PID!AH242/VLOOKUP($B242,표2[#ALL],2)/HLOOKUP($A242,표1[#ALL],row(),false)</f>
        <v>#N/A</v>
      </c>
      <c r="AI242" s="372" t="str">
        <f>CS_PID!AI242/VLOOKUP($B242,표2[#ALL],2)/HLOOKUP($A242,표1[#ALL],row(),false)</f>
        <v>#N/A</v>
      </c>
      <c r="AJ242" s="372" t="str">
        <f>CS_PID!AJ242/VLOOKUP($B242,표2[#ALL],2)/HLOOKUP($A242,표1[#ALL],row(),false)</f>
        <v>#N/A</v>
      </c>
      <c r="AK242" s="372" t="str">
        <f>CS_PID!AK242/VLOOKUP($B242,표2[#ALL],2)/HLOOKUP($A242,표1[#ALL],row(),false)</f>
        <v>#N/A</v>
      </c>
      <c r="AL242" s="372" t="str">
        <f>CS_PID!AL242/VLOOKUP($B242,표2[#ALL],2)/HLOOKUP($A242,표1[#ALL],row(),false)</f>
        <v>#N/A</v>
      </c>
      <c r="AM242" s="372" t="str">
        <f>CS_PID!AM242/VLOOKUP($B242,표2[#ALL],2)/HLOOKUP($A242,표1[#ALL],row(),false)</f>
        <v>#N/A</v>
      </c>
      <c r="AN242" s="372" t="str">
        <f>CS_PID!AN242/VLOOKUP($B242,표2[#ALL],2)/HLOOKUP($A242,표1[#ALL],row(),false)</f>
        <v>#N/A</v>
      </c>
      <c r="AO242" s="372" t="str">
        <f>CS_PID!AO242/VLOOKUP($B242,표2[#ALL],2)/HLOOKUP($A242,표1[#ALL],row(),false)</f>
        <v>#N/A</v>
      </c>
      <c r="AP242" s="372" t="str">
        <f>CS_PID!AP242/VLOOKUP($B242,표2[#ALL],2)/HLOOKUP($A242,표1[#ALL],row(),false)</f>
        <v>#N/A</v>
      </c>
      <c r="AQ242" s="372" t="str">
        <f>CS_PID!AQ242/VLOOKUP($B242,표2[#ALL],2)/HLOOKUP($A242,표1[#ALL],row(),false)</f>
        <v>#N/A</v>
      </c>
      <c r="AR242" s="372" t="str">
        <f>CS_PID!AR242/VLOOKUP($B242,표2[#ALL],2)/HLOOKUP($A242,표1[#ALL],row(),false)</f>
        <v>#N/A</v>
      </c>
      <c r="AS242" s="373" t="str">
        <f>CS_PID!AS242/VLOOKUP($B242,표2[#ALL],2)/HLOOKUP($A242,표1[#ALL],row(),false)</f>
        <v>#N/A</v>
      </c>
    </row>
    <row r="243">
      <c r="A243" s="374"/>
      <c r="B243" s="375"/>
      <c r="C243" s="376" t="str">
        <f>CS_PID!C243/VLOOKUP($B243,표2[#ALL],2)</f>
        <v>#N/A</v>
      </c>
      <c r="D243" s="376" t="str">
        <f>CS_PID!D243/VLOOKUP($B243,표2[#ALL],2)</f>
        <v>#N/A</v>
      </c>
      <c r="E243" s="376" t="str">
        <f>CS_PID!E243/VLOOKUP($B243,표2[#ALL],2)</f>
        <v>#N/A</v>
      </c>
      <c r="F243" s="376" t="str">
        <f>CS_PID!F243/VLOOKUP($B243,표2[#ALL],2)</f>
        <v>#N/A</v>
      </c>
      <c r="G243" s="376" t="str">
        <f>CS_PID!G243/VLOOKUP($B243,표2[#ALL],2)</f>
        <v>#N/A</v>
      </c>
      <c r="H243" s="376" t="str">
        <f>CS_PID!H243/VLOOKUP($B243,표2[#ALL],2)/HLOOKUP($A243,표1[#ALL],row(),false)</f>
        <v>#N/A</v>
      </c>
      <c r="I243" s="376" t="str">
        <f>CS_PID!I243/VLOOKUP($B243,표2[#ALL],2)/HLOOKUP($A243,표1[#ALL],row(),false)</f>
        <v>#N/A</v>
      </c>
      <c r="J243" s="376" t="str">
        <f>CS_PID!J243/VLOOKUP($B243,표2[#ALL],2)/HLOOKUP($A243,표1[#ALL],row(),false)</f>
        <v>#N/A</v>
      </c>
      <c r="K243" s="376" t="str">
        <f>CS_PID!K243/VLOOKUP($B243,표2[#ALL],2)/HLOOKUP($A243,표1[#ALL],row(),false)</f>
        <v>#N/A</v>
      </c>
      <c r="L243" s="376" t="str">
        <f>CS_PID!L243/VLOOKUP($B243,표2[#ALL],2)/HLOOKUP($A243,표1[#ALL],row(),false)</f>
        <v>#N/A</v>
      </c>
      <c r="M243" s="376" t="str">
        <f>CS_PID!M243/VLOOKUP($B243,표2[#ALL],2)/HLOOKUP($A243,표1[#ALL],row(),false)</f>
        <v>#N/A</v>
      </c>
      <c r="N243" s="376" t="str">
        <f>CS_PID!N243/VLOOKUP($B243,표2[#ALL],2)/HLOOKUP($A243,표1[#ALL],row(),false)</f>
        <v>#N/A</v>
      </c>
      <c r="O243" s="376" t="str">
        <f>CS_PID!O243/VLOOKUP($B243,표2[#ALL],2)/HLOOKUP($A243,표1[#ALL],row(),false)</f>
        <v>#N/A</v>
      </c>
      <c r="P243" s="376" t="str">
        <f>CS_PID!P243/VLOOKUP($B243,표2[#ALL],2)/HLOOKUP($A243,표1[#ALL],row(),false)</f>
        <v>#N/A</v>
      </c>
      <c r="Q243" s="376" t="str">
        <f>CS_PID!Q243/VLOOKUP($B243,표2[#ALL],2)/HLOOKUP($A243,표1[#ALL],row(),false)</f>
        <v>#N/A</v>
      </c>
      <c r="R243" s="376" t="str">
        <f>CS_PID!R243/VLOOKUP($B243,표2[#ALL],2)/HLOOKUP($A243,표1[#ALL],row(),false)</f>
        <v>#N/A</v>
      </c>
      <c r="S243" s="376" t="str">
        <f>CS_PID!S243/VLOOKUP($B243,표2[#ALL],2)/HLOOKUP($A243,표1[#ALL],row(),false)</f>
        <v>#N/A</v>
      </c>
      <c r="T243" s="376" t="str">
        <f>CS_PID!T243/VLOOKUP($B243,표2[#ALL],2)/HLOOKUP($A243,표1[#ALL],row(),false)</f>
        <v>#N/A</v>
      </c>
      <c r="U243" s="376" t="str">
        <f>CS_PID!U243/VLOOKUP($B243,표2[#ALL],2)/HLOOKUP($A243,표1[#ALL],row(),false)</f>
        <v>#N/A</v>
      </c>
      <c r="V243" s="376" t="str">
        <f>CS_PID!V243/VLOOKUP($B243,표2[#ALL],2)/HLOOKUP($A243,표1[#ALL],row(),false)</f>
        <v>#N/A</v>
      </c>
      <c r="W243" s="376" t="str">
        <f>CS_PID!W243/VLOOKUP($B243,표2[#ALL],2)/HLOOKUP($A243,표1[#ALL],row(),false)</f>
        <v>#N/A</v>
      </c>
      <c r="X243" s="376" t="str">
        <f>CS_PID!X243/VLOOKUP($B243,표2[#ALL],2)/HLOOKUP($A243,표1[#ALL],row(),false)</f>
        <v>#N/A</v>
      </c>
      <c r="Y243" s="376" t="str">
        <f>CS_PID!Y243/VLOOKUP($B243,표2[#ALL],2)/HLOOKUP($A243,표1[#ALL],row(),false)</f>
        <v>#N/A</v>
      </c>
      <c r="Z243" s="376" t="str">
        <f>CS_PID!Z243/VLOOKUP($B243,표2[#ALL],2)/HLOOKUP($A243,표1[#ALL],row(),false)</f>
        <v>#N/A</v>
      </c>
      <c r="AA243" s="376" t="str">
        <f>CS_PID!AA243/VLOOKUP($B243,표2[#ALL],2)/HLOOKUP($A243,표1[#ALL],row(),false)</f>
        <v>#N/A</v>
      </c>
      <c r="AB243" s="376" t="str">
        <f>CS_PID!AB243/VLOOKUP($B243,표2[#ALL],2)/HLOOKUP($A243,표1[#ALL],row(),false)</f>
        <v>#N/A</v>
      </c>
      <c r="AC243" s="376" t="str">
        <f>CS_PID!AC243/VLOOKUP($B243,표2[#ALL],2)/HLOOKUP($A243,표1[#ALL],row(),false)</f>
        <v>#N/A</v>
      </c>
      <c r="AD243" s="376" t="str">
        <f>CS_PID!AD243/VLOOKUP($B243,표2[#ALL],2)/HLOOKUP($A243,표1[#ALL],row(),false)</f>
        <v>#N/A</v>
      </c>
      <c r="AE243" s="376" t="str">
        <f>CS_PID!AE243/VLOOKUP($B243,표2[#ALL],2)/HLOOKUP($A243,표1[#ALL],row(),false)</f>
        <v>#N/A</v>
      </c>
      <c r="AF243" s="376" t="str">
        <f>CS_PID!AF243/VLOOKUP($B243,표2[#ALL],2)/HLOOKUP($A243,표1[#ALL],row(),false)</f>
        <v>#N/A</v>
      </c>
      <c r="AG243" s="376" t="str">
        <f>CS_PID!AG243/VLOOKUP($B243,표2[#ALL],2)/HLOOKUP($A243,표1[#ALL],row(),false)</f>
        <v>#N/A</v>
      </c>
      <c r="AH243" s="376" t="str">
        <f>CS_PID!AH243/VLOOKUP($B243,표2[#ALL],2)/HLOOKUP($A243,표1[#ALL],row(),false)</f>
        <v>#N/A</v>
      </c>
      <c r="AI243" s="376" t="str">
        <f>CS_PID!AI243/VLOOKUP($B243,표2[#ALL],2)/HLOOKUP($A243,표1[#ALL],row(),false)</f>
        <v>#N/A</v>
      </c>
      <c r="AJ243" s="376" t="str">
        <f>CS_PID!AJ243/VLOOKUP($B243,표2[#ALL],2)/HLOOKUP($A243,표1[#ALL],row(),false)</f>
        <v>#N/A</v>
      </c>
      <c r="AK243" s="376" t="str">
        <f>CS_PID!AK243/VLOOKUP($B243,표2[#ALL],2)/HLOOKUP($A243,표1[#ALL],row(),false)</f>
        <v>#N/A</v>
      </c>
      <c r="AL243" s="376" t="str">
        <f>CS_PID!AL243/VLOOKUP($B243,표2[#ALL],2)/HLOOKUP($A243,표1[#ALL],row(),false)</f>
        <v>#N/A</v>
      </c>
      <c r="AM243" s="376" t="str">
        <f>CS_PID!AM243/VLOOKUP($B243,표2[#ALL],2)/HLOOKUP($A243,표1[#ALL],row(),false)</f>
        <v>#N/A</v>
      </c>
      <c r="AN243" s="376" t="str">
        <f>CS_PID!AN243/VLOOKUP($B243,표2[#ALL],2)/HLOOKUP($A243,표1[#ALL],row(),false)</f>
        <v>#N/A</v>
      </c>
      <c r="AO243" s="376" t="str">
        <f>CS_PID!AO243/VLOOKUP($B243,표2[#ALL],2)/HLOOKUP($A243,표1[#ALL],row(),false)</f>
        <v>#N/A</v>
      </c>
      <c r="AP243" s="376" t="str">
        <f>CS_PID!AP243/VLOOKUP($B243,표2[#ALL],2)/HLOOKUP($A243,표1[#ALL],row(),false)</f>
        <v>#N/A</v>
      </c>
      <c r="AQ243" s="376" t="str">
        <f>CS_PID!AQ243/VLOOKUP($B243,표2[#ALL],2)/HLOOKUP($A243,표1[#ALL],row(),false)</f>
        <v>#N/A</v>
      </c>
      <c r="AR243" s="376" t="str">
        <f>CS_PID!AR243/VLOOKUP($B243,표2[#ALL],2)/HLOOKUP($A243,표1[#ALL],row(),false)</f>
        <v>#N/A</v>
      </c>
      <c r="AS243" s="377" t="str">
        <f>CS_PID!AS243/VLOOKUP($B243,표2[#ALL],2)/HLOOKUP($A243,표1[#ALL],row(),false)</f>
        <v>#N/A</v>
      </c>
    </row>
    <row r="244">
      <c r="A244" s="370"/>
      <c r="B244" s="371"/>
      <c r="C244" s="372" t="str">
        <f>CS_PID!C244/VLOOKUP($B244,표2[#ALL],2)</f>
        <v>#N/A</v>
      </c>
      <c r="D244" s="372" t="str">
        <f>CS_PID!D244/VLOOKUP($B244,표2[#ALL],2)</f>
        <v>#N/A</v>
      </c>
      <c r="E244" s="372" t="str">
        <f>CS_PID!E244/VLOOKUP($B244,표2[#ALL],2)</f>
        <v>#N/A</v>
      </c>
      <c r="F244" s="372" t="str">
        <f>CS_PID!F244/VLOOKUP($B244,표2[#ALL],2)</f>
        <v>#N/A</v>
      </c>
      <c r="G244" s="372" t="str">
        <f>CS_PID!G244/VLOOKUP($B244,표2[#ALL],2)</f>
        <v>#N/A</v>
      </c>
      <c r="H244" s="372" t="str">
        <f>CS_PID!H244/VLOOKUP($B244,표2[#ALL],2)/HLOOKUP($A244,표1[#ALL],row(),false)</f>
        <v>#N/A</v>
      </c>
      <c r="I244" s="372" t="str">
        <f>CS_PID!I244/VLOOKUP($B244,표2[#ALL],2)/HLOOKUP($A244,표1[#ALL],row(),false)</f>
        <v>#N/A</v>
      </c>
      <c r="J244" s="372" t="str">
        <f>CS_PID!J244/VLOOKUP($B244,표2[#ALL],2)/HLOOKUP($A244,표1[#ALL],row(),false)</f>
        <v>#N/A</v>
      </c>
      <c r="K244" s="372" t="str">
        <f>CS_PID!K244/VLOOKUP($B244,표2[#ALL],2)/HLOOKUP($A244,표1[#ALL],row(),false)</f>
        <v>#N/A</v>
      </c>
      <c r="L244" s="372" t="str">
        <f>CS_PID!L244/VLOOKUP($B244,표2[#ALL],2)/HLOOKUP($A244,표1[#ALL],row(),false)</f>
        <v>#N/A</v>
      </c>
      <c r="M244" s="372" t="str">
        <f>CS_PID!M244/VLOOKUP($B244,표2[#ALL],2)/HLOOKUP($A244,표1[#ALL],row(),false)</f>
        <v>#N/A</v>
      </c>
      <c r="N244" s="372" t="str">
        <f>CS_PID!N244/VLOOKUP($B244,표2[#ALL],2)/HLOOKUP($A244,표1[#ALL],row(),false)</f>
        <v>#N/A</v>
      </c>
      <c r="O244" s="372" t="str">
        <f>CS_PID!O244/VLOOKUP($B244,표2[#ALL],2)/HLOOKUP($A244,표1[#ALL],row(),false)</f>
        <v>#N/A</v>
      </c>
      <c r="P244" s="372" t="str">
        <f>CS_PID!P244/VLOOKUP($B244,표2[#ALL],2)/HLOOKUP($A244,표1[#ALL],row(),false)</f>
        <v>#N/A</v>
      </c>
      <c r="Q244" s="372" t="str">
        <f>CS_PID!Q244/VLOOKUP($B244,표2[#ALL],2)/HLOOKUP($A244,표1[#ALL],row(),false)</f>
        <v>#N/A</v>
      </c>
      <c r="R244" s="372" t="str">
        <f>CS_PID!R244/VLOOKUP($B244,표2[#ALL],2)/HLOOKUP($A244,표1[#ALL],row(),false)</f>
        <v>#N/A</v>
      </c>
      <c r="S244" s="372" t="str">
        <f>CS_PID!S244/VLOOKUP($B244,표2[#ALL],2)/HLOOKUP($A244,표1[#ALL],row(),false)</f>
        <v>#N/A</v>
      </c>
      <c r="T244" s="372" t="str">
        <f>CS_PID!T244/VLOOKUP($B244,표2[#ALL],2)/HLOOKUP($A244,표1[#ALL],row(),false)</f>
        <v>#N/A</v>
      </c>
      <c r="U244" s="372" t="str">
        <f>CS_PID!U244/VLOOKUP($B244,표2[#ALL],2)/HLOOKUP($A244,표1[#ALL],row(),false)</f>
        <v>#N/A</v>
      </c>
      <c r="V244" s="372" t="str">
        <f>CS_PID!V244/VLOOKUP($B244,표2[#ALL],2)/HLOOKUP($A244,표1[#ALL],row(),false)</f>
        <v>#N/A</v>
      </c>
      <c r="W244" s="372" t="str">
        <f>CS_PID!W244/VLOOKUP($B244,표2[#ALL],2)/HLOOKUP($A244,표1[#ALL],row(),false)</f>
        <v>#N/A</v>
      </c>
      <c r="X244" s="372" t="str">
        <f>CS_PID!X244/VLOOKUP($B244,표2[#ALL],2)/HLOOKUP($A244,표1[#ALL],row(),false)</f>
        <v>#N/A</v>
      </c>
      <c r="Y244" s="372" t="str">
        <f>CS_PID!Y244/VLOOKUP($B244,표2[#ALL],2)/HLOOKUP($A244,표1[#ALL],row(),false)</f>
        <v>#N/A</v>
      </c>
      <c r="Z244" s="372" t="str">
        <f>CS_PID!Z244/VLOOKUP($B244,표2[#ALL],2)/HLOOKUP($A244,표1[#ALL],row(),false)</f>
        <v>#N/A</v>
      </c>
      <c r="AA244" s="372" t="str">
        <f>CS_PID!AA244/VLOOKUP($B244,표2[#ALL],2)/HLOOKUP($A244,표1[#ALL],row(),false)</f>
        <v>#N/A</v>
      </c>
      <c r="AB244" s="372" t="str">
        <f>CS_PID!AB244/VLOOKUP($B244,표2[#ALL],2)/HLOOKUP($A244,표1[#ALL],row(),false)</f>
        <v>#N/A</v>
      </c>
      <c r="AC244" s="372" t="str">
        <f>CS_PID!AC244/VLOOKUP($B244,표2[#ALL],2)/HLOOKUP($A244,표1[#ALL],row(),false)</f>
        <v>#N/A</v>
      </c>
      <c r="AD244" s="372" t="str">
        <f>CS_PID!AD244/VLOOKUP($B244,표2[#ALL],2)/HLOOKUP($A244,표1[#ALL],row(),false)</f>
        <v>#N/A</v>
      </c>
      <c r="AE244" s="372" t="str">
        <f>CS_PID!AE244/VLOOKUP($B244,표2[#ALL],2)/HLOOKUP($A244,표1[#ALL],row(),false)</f>
        <v>#N/A</v>
      </c>
      <c r="AF244" s="372" t="str">
        <f>CS_PID!AF244/VLOOKUP($B244,표2[#ALL],2)/HLOOKUP($A244,표1[#ALL],row(),false)</f>
        <v>#N/A</v>
      </c>
      <c r="AG244" s="372" t="str">
        <f>CS_PID!AG244/VLOOKUP($B244,표2[#ALL],2)/HLOOKUP($A244,표1[#ALL],row(),false)</f>
        <v>#N/A</v>
      </c>
      <c r="AH244" s="372" t="str">
        <f>CS_PID!AH244/VLOOKUP($B244,표2[#ALL],2)/HLOOKUP($A244,표1[#ALL],row(),false)</f>
        <v>#N/A</v>
      </c>
      <c r="AI244" s="372" t="str">
        <f>CS_PID!AI244/VLOOKUP($B244,표2[#ALL],2)/HLOOKUP($A244,표1[#ALL],row(),false)</f>
        <v>#N/A</v>
      </c>
      <c r="AJ244" s="372" t="str">
        <f>CS_PID!AJ244/VLOOKUP($B244,표2[#ALL],2)/HLOOKUP($A244,표1[#ALL],row(),false)</f>
        <v>#N/A</v>
      </c>
      <c r="AK244" s="372" t="str">
        <f>CS_PID!AK244/VLOOKUP($B244,표2[#ALL],2)/HLOOKUP($A244,표1[#ALL],row(),false)</f>
        <v>#N/A</v>
      </c>
      <c r="AL244" s="372" t="str">
        <f>CS_PID!AL244/VLOOKUP($B244,표2[#ALL],2)/HLOOKUP($A244,표1[#ALL],row(),false)</f>
        <v>#N/A</v>
      </c>
      <c r="AM244" s="372" t="str">
        <f>CS_PID!AM244/VLOOKUP($B244,표2[#ALL],2)/HLOOKUP($A244,표1[#ALL],row(),false)</f>
        <v>#N/A</v>
      </c>
      <c r="AN244" s="372" t="str">
        <f>CS_PID!AN244/VLOOKUP($B244,표2[#ALL],2)/HLOOKUP($A244,표1[#ALL],row(),false)</f>
        <v>#N/A</v>
      </c>
      <c r="AO244" s="372" t="str">
        <f>CS_PID!AO244/VLOOKUP($B244,표2[#ALL],2)/HLOOKUP($A244,표1[#ALL],row(),false)</f>
        <v>#N/A</v>
      </c>
      <c r="AP244" s="372" t="str">
        <f>CS_PID!AP244/VLOOKUP($B244,표2[#ALL],2)/HLOOKUP($A244,표1[#ALL],row(),false)</f>
        <v>#N/A</v>
      </c>
      <c r="AQ244" s="372" t="str">
        <f>CS_PID!AQ244/VLOOKUP($B244,표2[#ALL],2)/HLOOKUP($A244,표1[#ALL],row(),false)</f>
        <v>#N/A</v>
      </c>
      <c r="AR244" s="372" t="str">
        <f>CS_PID!AR244/VLOOKUP($B244,표2[#ALL],2)/HLOOKUP($A244,표1[#ALL],row(),false)</f>
        <v>#N/A</v>
      </c>
      <c r="AS244" s="373" t="str">
        <f>CS_PID!AS244/VLOOKUP($B244,표2[#ALL],2)/HLOOKUP($A244,표1[#ALL],row(),false)</f>
        <v>#N/A</v>
      </c>
    </row>
    <row r="245">
      <c r="A245" s="374"/>
      <c r="B245" s="375"/>
      <c r="C245" s="376" t="str">
        <f>CS_PID!C245/VLOOKUP($B245,표2[#ALL],2)</f>
        <v>#N/A</v>
      </c>
      <c r="D245" s="376" t="str">
        <f>CS_PID!D245/VLOOKUP($B245,표2[#ALL],2)</f>
        <v>#N/A</v>
      </c>
      <c r="E245" s="376" t="str">
        <f>CS_PID!E245/VLOOKUP($B245,표2[#ALL],2)</f>
        <v>#N/A</v>
      </c>
      <c r="F245" s="376" t="str">
        <f>CS_PID!F245/VLOOKUP($B245,표2[#ALL],2)</f>
        <v>#N/A</v>
      </c>
      <c r="G245" s="376" t="str">
        <f>CS_PID!G245/VLOOKUP($B245,표2[#ALL],2)</f>
        <v>#N/A</v>
      </c>
      <c r="H245" s="376" t="str">
        <f>CS_PID!H245/VLOOKUP($B245,표2[#ALL],2)/HLOOKUP($A245,표1[#ALL],row(),false)</f>
        <v>#N/A</v>
      </c>
      <c r="I245" s="376" t="str">
        <f>CS_PID!I245/VLOOKUP($B245,표2[#ALL],2)/HLOOKUP($A245,표1[#ALL],row(),false)</f>
        <v>#N/A</v>
      </c>
      <c r="J245" s="376" t="str">
        <f>CS_PID!J245/VLOOKUP($B245,표2[#ALL],2)/HLOOKUP($A245,표1[#ALL],row(),false)</f>
        <v>#N/A</v>
      </c>
      <c r="K245" s="376" t="str">
        <f>CS_PID!K245/VLOOKUP($B245,표2[#ALL],2)/HLOOKUP($A245,표1[#ALL],row(),false)</f>
        <v>#N/A</v>
      </c>
      <c r="L245" s="376" t="str">
        <f>CS_PID!L245/VLOOKUP($B245,표2[#ALL],2)/HLOOKUP($A245,표1[#ALL],row(),false)</f>
        <v>#N/A</v>
      </c>
      <c r="M245" s="376" t="str">
        <f>CS_PID!M245/VLOOKUP($B245,표2[#ALL],2)/HLOOKUP($A245,표1[#ALL],row(),false)</f>
        <v>#N/A</v>
      </c>
      <c r="N245" s="376" t="str">
        <f>CS_PID!N245/VLOOKUP($B245,표2[#ALL],2)/HLOOKUP($A245,표1[#ALL],row(),false)</f>
        <v>#N/A</v>
      </c>
      <c r="O245" s="376" t="str">
        <f>CS_PID!O245/VLOOKUP($B245,표2[#ALL],2)/HLOOKUP($A245,표1[#ALL],row(),false)</f>
        <v>#N/A</v>
      </c>
      <c r="P245" s="376" t="str">
        <f>CS_PID!P245/VLOOKUP($B245,표2[#ALL],2)/HLOOKUP($A245,표1[#ALL],row(),false)</f>
        <v>#N/A</v>
      </c>
      <c r="Q245" s="376" t="str">
        <f>CS_PID!Q245/VLOOKUP($B245,표2[#ALL],2)/HLOOKUP($A245,표1[#ALL],row(),false)</f>
        <v>#N/A</v>
      </c>
      <c r="R245" s="376" t="str">
        <f>CS_PID!R245/VLOOKUP($B245,표2[#ALL],2)/HLOOKUP($A245,표1[#ALL],row(),false)</f>
        <v>#N/A</v>
      </c>
      <c r="S245" s="376" t="str">
        <f>CS_PID!S245/VLOOKUP($B245,표2[#ALL],2)/HLOOKUP($A245,표1[#ALL],row(),false)</f>
        <v>#N/A</v>
      </c>
      <c r="T245" s="376" t="str">
        <f>CS_PID!T245/VLOOKUP($B245,표2[#ALL],2)/HLOOKUP($A245,표1[#ALL],row(),false)</f>
        <v>#N/A</v>
      </c>
      <c r="U245" s="376" t="str">
        <f>CS_PID!U245/VLOOKUP($B245,표2[#ALL],2)/HLOOKUP($A245,표1[#ALL],row(),false)</f>
        <v>#N/A</v>
      </c>
      <c r="V245" s="376" t="str">
        <f>CS_PID!V245/VLOOKUP($B245,표2[#ALL],2)/HLOOKUP($A245,표1[#ALL],row(),false)</f>
        <v>#N/A</v>
      </c>
      <c r="W245" s="376" t="str">
        <f>CS_PID!W245/VLOOKUP($B245,표2[#ALL],2)/HLOOKUP($A245,표1[#ALL],row(),false)</f>
        <v>#N/A</v>
      </c>
      <c r="X245" s="376" t="str">
        <f>CS_PID!X245/VLOOKUP($B245,표2[#ALL],2)/HLOOKUP($A245,표1[#ALL],row(),false)</f>
        <v>#N/A</v>
      </c>
      <c r="Y245" s="376" t="str">
        <f>CS_PID!Y245/VLOOKUP($B245,표2[#ALL],2)/HLOOKUP($A245,표1[#ALL],row(),false)</f>
        <v>#N/A</v>
      </c>
      <c r="Z245" s="376" t="str">
        <f>CS_PID!Z245/VLOOKUP($B245,표2[#ALL],2)/HLOOKUP($A245,표1[#ALL],row(),false)</f>
        <v>#N/A</v>
      </c>
      <c r="AA245" s="376" t="str">
        <f>CS_PID!AA245/VLOOKUP($B245,표2[#ALL],2)/HLOOKUP($A245,표1[#ALL],row(),false)</f>
        <v>#N/A</v>
      </c>
      <c r="AB245" s="376" t="str">
        <f>CS_PID!AB245/VLOOKUP($B245,표2[#ALL],2)/HLOOKUP($A245,표1[#ALL],row(),false)</f>
        <v>#N/A</v>
      </c>
      <c r="AC245" s="376" t="str">
        <f>CS_PID!AC245/VLOOKUP($B245,표2[#ALL],2)/HLOOKUP($A245,표1[#ALL],row(),false)</f>
        <v>#N/A</v>
      </c>
      <c r="AD245" s="376" t="str">
        <f>CS_PID!AD245/VLOOKUP($B245,표2[#ALL],2)/HLOOKUP($A245,표1[#ALL],row(),false)</f>
        <v>#N/A</v>
      </c>
      <c r="AE245" s="376" t="str">
        <f>CS_PID!AE245/VLOOKUP($B245,표2[#ALL],2)/HLOOKUP($A245,표1[#ALL],row(),false)</f>
        <v>#N/A</v>
      </c>
      <c r="AF245" s="376" t="str">
        <f>CS_PID!AF245/VLOOKUP($B245,표2[#ALL],2)/HLOOKUP($A245,표1[#ALL],row(),false)</f>
        <v>#N/A</v>
      </c>
      <c r="AG245" s="376" t="str">
        <f>CS_PID!AG245/VLOOKUP($B245,표2[#ALL],2)/HLOOKUP($A245,표1[#ALL],row(),false)</f>
        <v>#N/A</v>
      </c>
      <c r="AH245" s="376" t="str">
        <f>CS_PID!AH245/VLOOKUP($B245,표2[#ALL],2)/HLOOKUP($A245,표1[#ALL],row(),false)</f>
        <v>#N/A</v>
      </c>
      <c r="AI245" s="376" t="str">
        <f>CS_PID!AI245/VLOOKUP($B245,표2[#ALL],2)/HLOOKUP($A245,표1[#ALL],row(),false)</f>
        <v>#N/A</v>
      </c>
      <c r="AJ245" s="376" t="str">
        <f>CS_PID!AJ245/VLOOKUP($B245,표2[#ALL],2)/HLOOKUP($A245,표1[#ALL],row(),false)</f>
        <v>#N/A</v>
      </c>
      <c r="AK245" s="376" t="str">
        <f>CS_PID!AK245/VLOOKUP($B245,표2[#ALL],2)/HLOOKUP($A245,표1[#ALL],row(),false)</f>
        <v>#N/A</v>
      </c>
      <c r="AL245" s="376" t="str">
        <f>CS_PID!AL245/VLOOKUP($B245,표2[#ALL],2)/HLOOKUP($A245,표1[#ALL],row(),false)</f>
        <v>#N/A</v>
      </c>
      <c r="AM245" s="376" t="str">
        <f>CS_PID!AM245/VLOOKUP($B245,표2[#ALL],2)/HLOOKUP($A245,표1[#ALL],row(),false)</f>
        <v>#N/A</v>
      </c>
      <c r="AN245" s="376" t="str">
        <f>CS_PID!AN245/VLOOKUP($B245,표2[#ALL],2)/HLOOKUP($A245,표1[#ALL],row(),false)</f>
        <v>#N/A</v>
      </c>
      <c r="AO245" s="376" t="str">
        <f>CS_PID!AO245/VLOOKUP($B245,표2[#ALL],2)/HLOOKUP($A245,표1[#ALL],row(),false)</f>
        <v>#N/A</v>
      </c>
      <c r="AP245" s="376" t="str">
        <f>CS_PID!AP245/VLOOKUP($B245,표2[#ALL],2)/HLOOKUP($A245,표1[#ALL],row(),false)</f>
        <v>#N/A</v>
      </c>
      <c r="AQ245" s="376" t="str">
        <f>CS_PID!AQ245/VLOOKUP($B245,표2[#ALL],2)/HLOOKUP($A245,표1[#ALL],row(),false)</f>
        <v>#N/A</v>
      </c>
      <c r="AR245" s="376" t="str">
        <f>CS_PID!AR245/VLOOKUP($B245,표2[#ALL],2)/HLOOKUP($A245,표1[#ALL],row(),false)</f>
        <v>#N/A</v>
      </c>
      <c r="AS245" s="377" t="str">
        <f>CS_PID!AS245/VLOOKUP($B245,표2[#ALL],2)/HLOOKUP($A245,표1[#ALL],row(),false)</f>
        <v>#N/A</v>
      </c>
    </row>
    <row r="246">
      <c r="A246" s="370"/>
      <c r="B246" s="371"/>
      <c r="C246" s="372" t="str">
        <f>CS_PID!C246/VLOOKUP($B246,표2[#ALL],2)</f>
        <v>#N/A</v>
      </c>
      <c r="D246" s="372" t="str">
        <f>CS_PID!D246/VLOOKUP($B246,표2[#ALL],2)</f>
        <v>#N/A</v>
      </c>
      <c r="E246" s="372" t="str">
        <f>CS_PID!E246/VLOOKUP($B246,표2[#ALL],2)</f>
        <v>#N/A</v>
      </c>
      <c r="F246" s="372" t="str">
        <f>CS_PID!F246/VLOOKUP($B246,표2[#ALL],2)</f>
        <v>#N/A</v>
      </c>
      <c r="G246" s="372" t="str">
        <f>CS_PID!G246/VLOOKUP($B246,표2[#ALL],2)</f>
        <v>#N/A</v>
      </c>
      <c r="H246" s="372" t="str">
        <f>CS_PID!H246/VLOOKUP($B246,표2[#ALL],2)/HLOOKUP($A246,표1[#ALL],row(),false)</f>
        <v>#N/A</v>
      </c>
      <c r="I246" s="372" t="str">
        <f>CS_PID!I246/VLOOKUP($B246,표2[#ALL],2)/HLOOKUP($A246,표1[#ALL],row(),false)</f>
        <v>#N/A</v>
      </c>
      <c r="J246" s="372" t="str">
        <f>CS_PID!J246/VLOOKUP($B246,표2[#ALL],2)/HLOOKUP($A246,표1[#ALL],row(),false)</f>
        <v>#N/A</v>
      </c>
      <c r="K246" s="372" t="str">
        <f>CS_PID!K246/VLOOKUP($B246,표2[#ALL],2)/HLOOKUP($A246,표1[#ALL],row(),false)</f>
        <v>#N/A</v>
      </c>
      <c r="L246" s="372" t="str">
        <f>CS_PID!L246/VLOOKUP($B246,표2[#ALL],2)/HLOOKUP($A246,표1[#ALL],row(),false)</f>
        <v>#N/A</v>
      </c>
      <c r="M246" s="372" t="str">
        <f>CS_PID!M246/VLOOKUP($B246,표2[#ALL],2)/HLOOKUP($A246,표1[#ALL],row(),false)</f>
        <v>#N/A</v>
      </c>
      <c r="N246" s="372" t="str">
        <f>CS_PID!N246/VLOOKUP($B246,표2[#ALL],2)/HLOOKUP($A246,표1[#ALL],row(),false)</f>
        <v>#N/A</v>
      </c>
      <c r="O246" s="372" t="str">
        <f>CS_PID!O246/VLOOKUP($B246,표2[#ALL],2)/HLOOKUP($A246,표1[#ALL],row(),false)</f>
        <v>#N/A</v>
      </c>
      <c r="P246" s="372" t="str">
        <f>CS_PID!P246/VLOOKUP($B246,표2[#ALL],2)/HLOOKUP($A246,표1[#ALL],row(),false)</f>
        <v>#N/A</v>
      </c>
      <c r="Q246" s="372" t="str">
        <f>CS_PID!Q246/VLOOKUP($B246,표2[#ALL],2)/HLOOKUP($A246,표1[#ALL],row(),false)</f>
        <v>#N/A</v>
      </c>
      <c r="R246" s="372" t="str">
        <f>CS_PID!R246/VLOOKUP($B246,표2[#ALL],2)/HLOOKUP($A246,표1[#ALL],row(),false)</f>
        <v>#N/A</v>
      </c>
      <c r="S246" s="372" t="str">
        <f>CS_PID!S246/VLOOKUP($B246,표2[#ALL],2)/HLOOKUP($A246,표1[#ALL],row(),false)</f>
        <v>#N/A</v>
      </c>
      <c r="T246" s="372" t="str">
        <f>CS_PID!T246/VLOOKUP($B246,표2[#ALL],2)/HLOOKUP($A246,표1[#ALL],row(),false)</f>
        <v>#N/A</v>
      </c>
      <c r="U246" s="372" t="str">
        <f>CS_PID!U246/VLOOKUP($B246,표2[#ALL],2)/HLOOKUP($A246,표1[#ALL],row(),false)</f>
        <v>#N/A</v>
      </c>
      <c r="V246" s="372" t="str">
        <f>CS_PID!V246/VLOOKUP($B246,표2[#ALL],2)/HLOOKUP($A246,표1[#ALL],row(),false)</f>
        <v>#N/A</v>
      </c>
      <c r="W246" s="372" t="str">
        <f>CS_PID!W246/VLOOKUP($B246,표2[#ALL],2)/HLOOKUP($A246,표1[#ALL],row(),false)</f>
        <v>#N/A</v>
      </c>
      <c r="X246" s="372" t="str">
        <f>CS_PID!X246/VLOOKUP($B246,표2[#ALL],2)/HLOOKUP($A246,표1[#ALL],row(),false)</f>
        <v>#N/A</v>
      </c>
      <c r="Y246" s="372" t="str">
        <f>CS_PID!Y246/VLOOKUP($B246,표2[#ALL],2)/HLOOKUP($A246,표1[#ALL],row(),false)</f>
        <v>#N/A</v>
      </c>
      <c r="Z246" s="372" t="str">
        <f>CS_PID!Z246/VLOOKUP($B246,표2[#ALL],2)/HLOOKUP($A246,표1[#ALL],row(),false)</f>
        <v>#N/A</v>
      </c>
      <c r="AA246" s="372" t="str">
        <f>CS_PID!AA246/VLOOKUP($B246,표2[#ALL],2)/HLOOKUP($A246,표1[#ALL],row(),false)</f>
        <v>#N/A</v>
      </c>
      <c r="AB246" s="372" t="str">
        <f>CS_PID!AB246/VLOOKUP($B246,표2[#ALL],2)/HLOOKUP($A246,표1[#ALL],row(),false)</f>
        <v>#N/A</v>
      </c>
      <c r="AC246" s="372" t="str">
        <f>CS_PID!AC246/VLOOKUP($B246,표2[#ALL],2)/HLOOKUP($A246,표1[#ALL],row(),false)</f>
        <v>#N/A</v>
      </c>
      <c r="AD246" s="372" t="str">
        <f>CS_PID!AD246/VLOOKUP($B246,표2[#ALL],2)/HLOOKUP($A246,표1[#ALL],row(),false)</f>
        <v>#N/A</v>
      </c>
      <c r="AE246" s="372" t="str">
        <f>CS_PID!AE246/VLOOKUP($B246,표2[#ALL],2)/HLOOKUP($A246,표1[#ALL],row(),false)</f>
        <v>#N/A</v>
      </c>
      <c r="AF246" s="372" t="str">
        <f>CS_PID!AF246/VLOOKUP($B246,표2[#ALL],2)/HLOOKUP($A246,표1[#ALL],row(),false)</f>
        <v>#N/A</v>
      </c>
      <c r="AG246" s="372" t="str">
        <f>CS_PID!AG246/VLOOKUP($B246,표2[#ALL],2)/HLOOKUP($A246,표1[#ALL],row(),false)</f>
        <v>#N/A</v>
      </c>
      <c r="AH246" s="372" t="str">
        <f>CS_PID!AH246/VLOOKUP($B246,표2[#ALL],2)/HLOOKUP($A246,표1[#ALL],row(),false)</f>
        <v>#N/A</v>
      </c>
      <c r="AI246" s="372" t="str">
        <f>CS_PID!AI246/VLOOKUP($B246,표2[#ALL],2)/HLOOKUP($A246,표1[#ALL],row(),false)</f>
        <v>#N/A</v>
      </c>
      <c r="AJ246" s="372" t="str">
        <f>CS_PID!AJ246/VLOOKUP($B246,표2[#ALL],2)/HLOOKUP($A246,표1[#ALL],row(),false)</f>
        <v>#N/A</v>
      </c>
      <c r="AK246" s="372" t="str">
        <f>CS_PID!AK246/VLOOKUP($B246,표2[#ALL],2)/HLOOKUP($A246,표1[#ALL],row(),false)</f>
        <v>#N/A</v>
      </c>
      <c r="AL246" s="372" t="str">
        <f>CS_PID!AL246/VLOOKUP($B246,표2[#ALL],2)/HLOOKUP($A246,표1[#ALL],row(),false)</f>
        <v>#N/A</v>
      </c>
      <c r="AM246" s="372" t="str">
        <f>CS_PID!AM246/VLOOKUP($B246,표2[#ALL],2)/HLOOKUP($A246,표1[#ALL],row(),false)</f>
        <v>#N/A</v>
      </c>
      <c r="AN246" s="372" t="str">
        <f>CS_PID!AN246/VLOOKUP($B246,표2[#ALL],2)/HLOOKUP($A246,표1[#ALL],row(),false)</f>
        <v>#N/A</v>
      </c>
      <c r="AO246" s="372" t="str">
        <f>CS_PID!AO246/VLOOKUP($B246,표2[#ALL],2)/HLOOKUP($A246,표1[#ALL],row(),false)</f>
        <v>#N/A</v>
      </c>
      <c r="AP246" s="372" t="str">
        <f>CS_PID!AP246/VLOOKUP($B246,표2[#ALL],2)/HLOOKUP($A246,표1[#ALL],row(),false)</f>
        <v>#N/A</v>
      </c>
      <c r="AQ246" s="372" t="str">
        <f>CS_PID!AQ246/VLOOKUP($B246,표2[#ALL],2)/HLOOKUP($A246,표1[#ALL],row(),false)</f>
        <v>#N/A</v>
      </c>
      <c r="AR246" s="372" t="str">
        <f>CS_PID!AR246/VLOOKUP($B246,표2[#ALL],2)/HLOOKUP($A246,표1[#ALL],row(),false)</f>
        <v>#N/A</v>
      </c>
      <c r="AS246" s="373" t="str">
        <f>CS_PID!AS246/VLOOKUP($B246,표2[#ALL],2)/HLOOKUP($A246,표1[#ALL],row(),false)</f>
        <v>#N/A</v>
      </c>
    </row>
    <row r="247">
      <c r="A247" s="374"/>
      <c r="B247" s="375"/>
      <c r="C247" s="376" t="str">
        <f>CS_PID!C247/VLOOKUP($B247,표2[#ALL],2)</f>
        <v>#N/A</v>
      </c>
      <c r="D247" s="376" t="str">
        <f>CS_PID!D247/VLOOKUP($B247,표2[#ALL],2)</f>
        <v>#N/A</v>
      </c>
      <c r="E247" s="376" t="str">
        <f>CS_PID!E247/VLOOKUP($B247,표2[#ALL],2)</f>
        <v>#N/A</v>
      </c>
      <c r="F247" s="376" t="str">
        <f>CS_PID!F247/VLOOKUP($B247,표2[#ALL],2)</f>
        <v>#N/A</v>
      </c>
      <c r="G247" s="376" t="str">
        <f>CS_PID!G247/VLOOKUP($B247,표2[#ALL],2)</f>
        <v>#N/A</v>
      </c>
      <c r="H247" s="376" t="str">
        <f>CS_PID!H247/VLOOKUP($B247,표2[#ALL],2)/HLOOKUP($A247,표1[#ALL],row(),false)</f>
        <v>#N/A</v>
      </c>
      <c r="I247" s="376" t="str">
        <f>CS_PID!I247/VLOOKUP($B247,표2[#ALL],2)/HLOOKUP($A247,표1[#ALL],row(),false)</f>
        <v>#N/A</v>
      </c>
      <c r="J247" s="376" t="str">
        <f>CS_PID!J247/VLOOKUP($B247,표2[#ALL],2)/HLOOKUP($A247,표1[#ALL],row(),false)</f>
        <v>#N/A</v>
      </c>
      <c r="K247" s="376" t="str">
        <f>CS_PID!K247/VLOOKUP($B247,표2[#ALL],2)/HLOOKUP($A247,표1[#ALL],row(),false)</f>
        <v>#N/A</v>
      </c>
      <c r="L247" s="376" t="str">
        <f>CS_PID!L247/VLOOKUP($B247,표2[#ALL],2)/HLOOKUP($A247,표1[#ALL],row(),false)</f>
        <v>#N/A</v>
      </c>
      <c r="M247" s="376" t="str">
        <f>CS_PID!M247/VLOOKUP($B247,표2[#ALL],2)/HLOOKUP($A247,표1[#ALL],row(),false)</f>
        <v>#N/A</v>
      </c>
      <c r="N247" s="376" t="str">
        <f>CS_PID!N247/VLOOKUP($B247,표2[#ALL],2)/HLOOKUP($A247,표1[#ALL],row(),false)</f>
        <v>#N/A</v>
      </c>
      <c r="O247" s="376" t="str">
        <f>CS_PID!O247/VLOOKUP($B247,표2[#ALL],2)/HLOOKUP($A247,표1[#ALL],row(),false)</f>
        <v>#N/A</v>
      </c>
      <c r="P247" s="376" t="str">
        <f>CS_PID!P247/VLOOKUP($B247,표2[#ALL],2)/HLOOKUP($A247,표1[#ALL],row(),false)</f>
        <v>#N/A</v>
      </c>
      <c r="Q247" s="376" t="str">
        <f>CS_PID!Q247/VLOOKUP($B247,표2[#ALL],2)/HLOOKUP($A247,표1[#ALL],row(),false)</f>
        <v>#N/A</v>
      </c>
      <c r="R247" s="376" t="str">
        <f>CS_PID!R247/VLOOKUP($B247,표2[#ALL],2)/HLOOKUP($A247,표1[#ALL],row(),false)</f>
        <v>#N/A</v>
      </c>
      <c r="S247" s="376" t="str">
        <f>CS_PID!S247/VLOOKUP($B247,표2[#ALL],2)/HLOOKUP($A247,표1[#ALL],row(),false)</f>
        <v>#N/A</v>
      </c>
      <c r="T247" s="376" t="str">
        <f>CS_PID!T247/VLOOKUP($B247,표2[#ALL],2)/HLOOKUP($A247,표1[#ALL],row(),false)</f>
        <v>#N/A</v>
      </c>
      <c r="U247" s="376" t="str">
        <f>CS_PID!U247/VLOOKUP($B247,표2[#ALL],2)/HLOOKUP($A247,표1[#ALL],row(),false)</f>
        <v>#N/A</v>
      </c>
      <c r="V247" s="376" t="str">
        <f>CS_PID!V247/VLOOKUP($B247,표2[#ALL],2)/HLOOKUP($A247,표1[#ALL],row(),false)</f>
        <v>#N/A</v>
      </c>
      <c r="W247" s="376" t="str">
        <f>CS_PID!W247/VLOOKUP($B247,표2[#ALL],2)/HLOOKUP($A247,표1[#ALL],row(),false)</f>
        <v>#N/A</v>
      </c>
      <c r="X247" s="376" t="str">
        <f>CS_PID!X247/VLOOKUP($B247,표2[#ALL],2)/HLOOKUP($A247,표1[#ALL],row(),false)</f>
        <v>#N/A</v>
      </c>
      <c r="Y247" s="376" t="str">
        <f>CS_PID!Y247/VLOOKUP($B247,표2[#ALL],2)/HLOOKUP($A247,표1[#ALL],row(),false)</f>
        <v>#N/A</v>
      </c>
      <c r="Z247" s="376" t="str">
        <f>CS_PID!Z247/VLOOKUP($B247,표2[#ALL],2)/HLOOKUP($A247,표1[#ALL],row(),false)</f>
        <v>#N/A</v>
      </c>
      <c r="AA247" s="376" t="str">
        <f>CS_PID!AA247/VLOOKUP($B247,표2[#ALL],2)/HLOOKUP($A247,표1[#ALL],row(),false)</f>
        <v>#N/A</v>
      </c>
      <c r="AB247" s="376" t="str">
        <f>CS_PID!AB247/VLOOKUP($B247,표2[#ALL],2)/HLOOKUP($A247,표1[#ALL],row(),false)</f>
        <v>#N/A</v>
      </c>
      <c r="AC247" s="376" t="str">
        <f>CS_PID!AC247/VLOOKUP($B247,표2[#ALL],2)/HLOOKUP($A247,표1[#ALL],row(),false)</f>
        <v>#N/A</v>
      </c>
      <c r="AD247" s="376" t="str">
        <f>CS_PID!AD247/VLOOKUP($B247,표2[#ALL],2)/HLOOKUP($A247,표1[#ALL],row(),false)</f>
        <v>#N/A</v>
      </c>
      <c r="AE247" s="376" t="str">
        <f>CS_PID!AE247/VLOOKUP($B247,표2[#ALL],2)/HLOOKUP($A247,표1[#ALL],row(),false)</f>
        <v>#N/A</v>
      </c>
      <c r="AF247" s="376" t="str">
        <f>CS_PID!AF247/VLOOKUP($B247,표2[#ALL],2)/HLOOKUP($A247,표1[#ALL],row(),false)</f>
        <v>#N/A</v>
      </c>
      <c r="AG247" s="376" t="str">
        <f>CS_PID!AG247/VLOOKUP($B247,표2[#ALL],2)/HLOOKUP($A247,표1[#ALL],row(),false)</f>
        <v>#N/A</v>
      </c>
      <c r="AH247" s="376" t="str">
        <f>CS_PID!AH247/VLOOKUP($B247,표2[#ALL],2)/HLOOKUP($A247,표1[#ALL],row(),false)</f>
        <v>#N/A</v>
      </c>
      <c r="AI247" s="376" t="str">
        <f>CS_PID!AI247/VLOOKUP($B247,표2[#ALL],2)/HLOOKUP($A247,표1[#ALL],row(),false)</f>
        <v>#N/A</v>
      </c>
      <c r="AJ247" s="376" t="str">
        <f>CS_PID!AJ247/VLOOKUP($B247,표2[#ALL],2)/HLOOKUP($A247,표1[#ALL],row(),false)</f>
        <v>#N/A</v>
      </c>
      <c r="AK247" s="376" t="str">
        <f>CS_PID!AK247/VLOOKUP($B247,표2[#ALL],2)/HLOOKUP($A247,표1[#ALL],row(),false)</f>
        <v>#N/A</v>
      </c>
      <c r="AL247" s="376" t="str">
        <f>CS_PID!AL247/VLOOKUP($B247,표2[#ALL],2)/HLOOKUP($A247,표1[#ALL],row(),false)</f>
        <v>#N/A</v>
      </c>
      <c r="AM247" s="376" t="str">
        <f>CS_PID!AM247/VLOOKUP($B247,표2[#ALL],2)/HLOOKUP($A247,표1[#ALL],row(),false)</f>
        <v>#N/A</v>
      </c>
      <c r="AN247" s="376" t="str">
        <f>CS_PID!AN247/VLOOKUP($B247,표2[#ALL],2)/HLOOKUP($A247,표1[#ALL],row(),false)</f>
        <v>#N/A</v>
      </c>
      <c r="AO247" s="376" t="str">
        <f>CS_PID!AO247/VLOOKUP($B247,표2[#ALL],2)/HLOOKUP($A247,표1[#ALL],row(),false)</f>
        <v>#N/A</v>
      </c>
      <c r="AP247" s="376" t="str">
        <f>CS_PID!AP247/VLOOKUP($B247,표2[#ALL],2)/HLOOKUP($A247,표1[#ALL],row(),false)</f>
        <v>#N/A</v>
      </c>
      <c r="AQ247" s="376" t="str">
        <f>CS_PID!AQ247/VLOOKUP($B247,표2[#ALL],2)/HLOOKUP($A247,표1[#ALL],row(),false)</f>
        <v>#N/A</v>
      </c>
      <c r="AR247" s="376" t="str">
        <f>CS_PID!AR247/VLOOKUP($B247,표2[#ALL],2)/HLOOKUP($A247,표1[#ALL],row(),false)</f>
        <v>#N/A</v>
      </c>
      <c r="AS247" s="377" t="str">
        <f>CS_PID!AS247/VLOOKUP($B247,표2[#ALL],2)/HLOOKUP($A247,표1[#ALL],row(),false)</f>
        <v>#N/A</v>
      </c>
    </row>
    <row r="248">
      <c r="A248" s="370"/>
      <c r="B248" s="371"/>
      <c r="C248" s="372" t="str">
        <f>CS_PID!C248/VLOOKUP($B248,표2[#ALL],2)</f>
        <v>#N/A</v>
      </c>
      <c r="D248" s="372" t="str">
        <f>CS_PID!D248/VLOOKUP($B248,표2[#ALL],2)</f>
        <v>#N/A</v>
      </c>
      <c r="E248" s="372" t="str">
        <f>CS_PID!E248/VLOOKUP($B248,표2[#ALL],2)</f>
        <v>#N/A</v>
      </c>
      <c r="F248" s="372" t="str">
        <f>CS_PID!F248/VLOOKUP($B248,표2[#ALL],2)</f>
        <v>#N/A</v>
      </c>
      <c r="G248" s="372" t="str">
        <f>CS_PID!G248/VLOOKUP($B248,표2[#ALL],2)</f>
        <v>#N/A</v>
      </c>
      <c r="H248" s="372" t="str">
        <f>CS_PID!H248/VLOOKUP($B248,표2[#ALL],2)/HLOOKUP($A248,표1[#ALL],row(),false)</f>
        <v>#N/A</v>
      </c>
      <c r="I248" s="372" t="str">
        <f>CS_PID!I248/VLOOKUP($B248,표2[#ALL],2)/HLOOKUP($A248,표1[#ALL],row(),false)</f>
        <v>#N/A</v>
      </c>
      <c r="J248" s="372" t="str">
        <f>CS_PID!J248/VLOOKUP($B248,표2[#ALL],2)/HLOOKUP($A248,표1[#ALL],row(),false)</f>
        <v>#N/A</v>
      </c>
      <c r="K248" s="372" t="str">
        <f>CS_PID!K248/VLOOKUP($B248,표2[#ALL],2)/HLOOKUP($A248,표1[#ALL],row(),false)</f>
        <v>#N/A</v>
      </c>
      <c r="L248" s="372" t="str">
        <f>CS_PID!L248/VLOOKUP($B248,표2[#ALL],2)/HLOOKUP($A248,표1[#ALL],row(),false)</f>
        <v>#N/A</v>
      </c>
      <c r="M248" s="372" t="str">
        <f>CS_PID!M248/VLOOKUP($B248,표2[#ALL],2)/HLOOKUP($A248,표1[#ALL],row(),false)</f>
        <v>#N/A</v>
      </c>
      <c r="N248" s="372" t="str">
        <f>CS_PID!N248/VLOOKUP($B248,표2[#ALL],2)/HLOOKUP($A248,표1[#ALL],row(),false)</f>
        <v>#N/A</v>
      </c>
      <c r="O248" s="372" t="str">
        <f>CS_PID!O248/VLOOKUP($B248,표2[#ALL],2)/HLOOKUP($A248,표1[#ALL],row(),false)</f>
        <v>#N/A</v>
      </c>
      <c r="P248" s="372" t="str">
        <f>CS_PID!P248/VLOOKUP($B248,표2[#ALL],2)/HLOOKUP($A248,표1[#ALL],row(),false)</f>
        <v>#N/A</v>
      </c>
      <c r="Q248" s="372" t="str">
        <f>CS_PID!Q248/VLOOKUP($B248,표2[#ALL],2)/HLOOKUP($A248,표1[#ALL],row(),false)</f>
        <v>#N/A</v>
      </c>
      <c r="R248" s="372" t="str">
        <f>CS_PID!R248/VLOOKUP($B248,표2[#ALL],2)/HLOOKUP($A248,표1[#ALL],row(),false)</f>
        <v>#N/A</v>
      </c>
      <c r="S248" s="372" t="str">
        <f>CS_PID!S248/VLOOKUP($B248,표2[#ALL],2)/HLOOKUP($A248,표1[#ALL],row(),false)</f>
        <v>#N/A</v>
      </c>
      <c r="T248" s="372" t="str">
        <f>CS_PID!T248/VLOOKUP($B248,표2[#ALL],2)/HLOOKUP($A248,표1[#ALL],row(),false)</f>
        <v>#N/A</v>
      </c>
      <c r="U248" s="372" t="str">
        <f>CS_PID!U248/VLOOKUP($B248,표2[#ALL],2)/HLOOKUP($A248,표1[#ALL],row(),false)</f>
        <v>#N/A</v>
      </c>
      <c r="V248" s="372" t="str">
        <f>CS_PID!V248/VLOOKUP($B248,표2[#ALL],2)/HLOOKUP($A248,표1[#ALL],row(),false)</f>
        <v>#N/A</v>
      </c>
      <c r="W248" s="372" t="str">
        <f>CS_PID!W248/VLOOKUP($B248,표2[#ALL],2)/HLOOKUP($A248,표1[#ALL],row(),false)</f>
        <v>#N/A</v>
      </c>
      <c r="X248" s="372" t="str">
        <f>CS_PID!X248/VLOOKUP($B248,표2[#ALL],2)/HLOOKUP($A248,표1[#ALL],row(),false)</f>
        <v>#N/A</v>
      </c>
      <c r="Y248" s="372" t="str">
        <f>CS_PID!Y248/VLOOKUP($B248,표2[#ALL],2)/HLOOKUP($A248,표1[#ALL],row(),false)</f>
        <v>#N/A</v>
      </c>
      <c r="Z248" s="372" t="str">
        <f>CS_PID!Z248/VLOOKUP($B248,표2[#ALL],2)/HLOOKUP($A248,표1[#ALL],row(),false)</f>
        <v>#N/A</v>
      </c>
      <c r="AA248" s="372" t="str">
        <f>CS_PID!AA248/VLOOKUP($B248,표2[#ALL],2)/HLOOKUP($A248,표1[#ALL],row(),false)</f>
        <v>#N/A</v>
      </c>
      <c r="AB248" s="372" t="str">
        <f>CS_PID!AB248/VLOOKUP($B248,표2[#ALL],2)/HLOOKUP($A248,표1[#ALL],row(),false)</f>
        <v>#N/A</v>
      </c>
      <c r="AC248" s="372" t="str">
        <f>CS_PID!AC248/VLOOKUP($B248,표2[#ALL],2)/HLOOKUP($A248,표1[#ALL],row(),false)</f>
        <v>#N/A</v>
      </c>
      <c r="AD248" s="372" t="str">
        <f>CS_PID!AD248/VLOOKUP($B248,표2[#ALL],2)/HLOOKUP($A248,표1[#ALL],row(),false)</f>
        <v>#N/A</v>
      </c>
      <c r="AE248" s="372" t="str">
        <f>CS_PID!AE248/VLOOKUP($B248,표2[#ALL],2)/HLOOKUP($A248,표1[#ALL],row(),false)</f>
        <v>#N/A</v>
      </c>
      <c r="AF248" s="372" t="str">
        <f>CS_PID!AF248/VLOOKUP($B248,표2[#ALL],2)/HLOOKUP($A248,표1[#ALL],row(),false)</f>
        <v>#N/A</v>
      </c>
      <c r="AG248" s="372" t="str">
        <f>CS_PID!AG248/VLOOKUP($B248,표2[#ALL],2)/HLOOKUP($A248,표1[#ALL],row(),false)</f>
        <v>#N/A</v>
      </c>
      <c r="AH248" s="372" t="str">
        <f>CS_PID!AH248/VLOOKUP($B248,표2[#ALL],2)/HLOOKUP($A248,표1[#ALL],row(),false)</f>
        <v>#N/A</v>
      </c>
      <c r="AI248" s="372" t="str">
        <f>CS_PID!AI248/VLOOKUP($B248,표2[#ALL],2)/HLOOKUP($A248,표1[#ALL],row(),false)</f>
        <v>#N/A</v>
      </c>
      <c r="AJ248" s="372" t="str">
        <f>CS_PID!AJ248/VLOOKUP($B248,표2[#ALL],2)/HLOOKUP($A248,표1[#ALL],row(),false)</f>
        <v>#N/A</v>
      </c>
      <c r="AK248" s="372" t="str">
        <f>CS_PID!AK248/VLOOKUP($B248,표2[#ALL],2)/HLOOKUP($A248,표1[#ALL],row(),false)</f>
        <v>#N/A</v>
      </c>
      <c r="AL248" s="372" t="str">
        <f>CS_PID!AL248/VLOOKUP($B248,표2[#ALL],2)/HLOOKUP($A248,표1[#ALL],row(),false)</f>
        <v>#N/A</v>
      </c>
      <c r="AM248" s="372" t="str">
        <f>CS_PID!AM248/VLOOKUP($B248,표2[#ALL],2)/HLOOKUP($A248,표1[#ALL],row(),false)</f>
        <v>#N/A</v>
      </c>
      <c r="AN248" s="372" t="str">
        <f>CS_PID!AN248/VLOOKUP($B248,표2[#ALL],2)/HLOOKUP($A248,표1[#ALL],row(),false)</f>
        <v>#N/A</v>
      </c>
      <c r="AO248" s="372" t="str">
        <f>CS_PID!AO248/VLOOKUP($B248,표2[#ALL],2)/HLOOKUP($A248,표1[#ALL],row(),false)</f>
        <v>#N/A</v>
      </c>
      <c r="AP248" s="372" t="str">
        <f>CS_PID!AP248/VLOOKUP($B248,표2[#ALL],2)/HLOOKUP($A248,표1[#ALL],row(),false)</f>
        <v>#N/A</v>
      </c>
      <c r="AQ248" s="372" t="str">
        <f>CS_PID!AQ248/VLOOKUP($B248,표2[#ALL],2)/HLOOKUP($A248,표1[#ALL],row(),false)</f>
        <v>#N/A</v>
      </c>
      <c r="AR248" s="372" t="str">
        <f>CS_PID!AR248/VLOOKUP($B248,표2[#ALL],2)/HLOOKUP($A248,표1[#ALL],row(),false)</f>
        <v>#N/A</v>
      </c>
      <c r="AS248" s="373" t="str">
        <f>CS_PID!AS248/VLOOKUP($B248,표2[#ALL],2)/HLOOKUP($A248,표1[#ALL],row(),false)</f>
        <v>#N/A</v>
      </c>
    </row>
    <row r="249">
      <c r="A249" s="374"/>
      <c r="B249" s="375"/>
      <c r="C249" s="376" t="str">
        <f>CS_PID!C249/VLOOKUP($B249,표2[#ALL],2)</f>
        <v>#N/A</v>
      </c>
      <c r="D249" s="376" t="str">
        <f>CS_PID!D249/VLOOKUP($B249,표2[#ALL],2)</f>
        <v>#N/A</v>
      </c>
      <c r="E249" s="376" t="str">
        <f>CS_PID!E249/VLOOKUP($B249,표2[#ALL],2)</f>
        <v>#N/A</v>
      </c>
      <c r="F249" s="376" t="str">
        <f>CS_PID!F249/VLOOKUP($B249,표2[#ALL],2)</f>
        <v>#N/A</v>
      </c>
      <c r="G249" s="376" t="str">
        <f>CS_PID!G249/VLOOKUP($B249,표2[#ALL],2)</f>
        <v>#N/A</v>
      </c>
      <c r="H249" s="376" t="str">
        <f>CS_PID!H249/VLOOKUP($B249,표2[#ALL],2)/HLOOKUP($A249,표1[#ALL],row(),false)</f>
        <v>#N/A</v>
      </c>
      <c r="I249" s="376" t="str">
        <f>CS_PID!I249/VLOOKUP($B249,표2[#ALL],2)/HLOOKUP($A249,표1[#ALL],row(),false)</f>
        <v>#N/A</v>
      </c>
      <c r="J249" s="376" t="str">
        <f>CS_PID!J249/VLOOKUP($B249,표2[#ALL],2)/HLOOKUP($A249,표1[#ALL],row(),false)</f>
        <v>#N/A</v>
      </c>
      <c r="K249" s="376" t="str">
        <f>CS_PID!K249/VLOOKUP($B249,표2[#ALL],2)/HLOOKUP($A249,표1[#ALL],row(),false)</f>
        <v>#N/A</v>
      </c>
      <c r="L249" s="376" t="str">
        <f>CS_PID!L249/VLOOKUP($B249,표2[#ALL],2)/HLOOKUP($A249,표1[#ALL],row(),false)</f>
        <v>#N/A</v>
      </c>
      <c r="M249" s="376" t="str">
        <f>CS_PID!M249/VLOOKUP($B249,표2[#ALL],2)/HLOOKUP($A249,표1[#ALL],row(),false)</f>
        <v>#N/A</v>
      </c>
      <c r="N249" s="376" t="str">
        <f>CS_PID!N249/VLOOKUP($B249,표2[#ALL],2)/HLOOKUP($A249,표1[#ALL],row(),false)</f>
        <v>#N/A</v>
      </c>
      <c r="O249" s="376" t="str">
        <f>CS_PID!O249/VLOOKUP($B249,표2[#ALL],2)/HLOOKUP($A249,표1[#ALL],row(),false)</f>
        <v>#N/A</v>
      </c>
      <c r="P249" s="376" t="str">
        <f>CS_PID!P249/VLOOKUP($B249,표2[#ALL],2)/HLOOKUP($A249,표1[#ALL],row(),false)</f>
        <v>#N/A</v>
      </c>
      <c r="Q249" s="376" t="str">
        <f>CS_PID!Q249/VLOOKUP($B249,표2[#ALL],2)/HLOOKUP($A249,표1[#ALL],row(),false)</f>
        <v>#N/A</v>
      </c>
      <c r="R249" s="376" t="str">
        <f>CS_PID!R249/VLOOKUP($B249,표2[#ALL],2)/HLOOKUP($A249,표1[#ALL],row(),false)</f>
        <v>#N/A</v>
      </c>
      <c r="S249" s="376" t="str">
        <f>CS_PID!S249/VLOOKUP($B249,표2[#ALL],2)/HLOOKUP($A249,표1[#ALL],row(),false)</f>
        <v>#N/A</v>
      </c>
      <c r="T249" s="376" t="str">
        <f>CS_PID!T249/VLOOKUP($B249,표2[#ALL],2)/HLOOKUP($A249,표1[#ALL],row(),false)</f>
        <v>#N/A</v>
      </c>
      <c r="U249" s="376" t="str">
        <f>CS_PID!U249/VLOOKUP($B249,표2[#ALL],2)/HLOOKUP($A249,표1[#ALL],row(),false)</f>
        <v>#N/A</v>
      </c>
      <c r="V249" s="376" t="str">
        <f>CS_PID!V249/VLOOKUP($B249,표2[#ALL],2)/HLOOKUP($A249,표1[#ALL],row(),false)</f>
        <v>#N/A</v>
      </c>
      <c r="W249" s="376" t="str">
        <f>CS_PID!W249/VLOOKUP($B249,표2[#ALL],2)/HLOOKUP($A249,표1[#ALL],row(),false)</f>
        <v>#N/A</v>
      </c>
      <c r="X249" s="376" t="str">
        <f>CS_PID!X249/VLOOKUP($B249,표2[#ALL],2)/HLOOKUP($A249,표1[#ALL],row(),false)</f>
        <v>#N/A</v>
      </c>
      <c r="Y249" s="376" t="str">
        <f>CS_PID!Y249/VLOOKUP($B249,표2[#ALL],2)/HLOOKUP($A249,표1[#ALL],row(),false)</f>
        <v>#N/A</v>
      </c>
      <c r="Z249" s="376" t="str">
        <f>CS_PID!Z249/VLOOKUP($B249,표2[#ALL],2)/HLOOKUP($A249,표1[#ALL],row(),false)</f>
        <v>#N/A</v>
      </c>
      <c r="AA249" s="376" t="str">
        <f>CS_PID!AA249/VLOOKUP($B249,표2[#ALL],2)/HLOOKUP($A249,표1[#ALL],row(),false)</f>
        <v>#N/A</v>
      </c>
      <c r="AB249" s="376" t="str">
        <f>CS_PID!AB249/VLOOKUP($B249,표2[#ALL],2)/HLOOKUP($A249,표1[#ALL],row(),false)</f>
        <v>#N/A</v>
      </c>
      <c r="AC249" s="376" t="str">
        <f>CS_PID!AC249/VLOOKUP($B249,표2[#ALL],2)/HLOOKUP($A249,표1[#ALL],row(),false)</f>
        <v>#N/A</v>
      </c>
      <c r="AD249" s="376" t="str">
        <f>CS_PID!AD249/VLOOKUP($B249,표2[#ALL],2)/HLOOKUP($A249,표1[#ALL],row(),false)</f>
        <v>#N/A</v>
      </c>
      <c r="AE249" s="376" t="str">
        <f>CS_PID!AE249/VLOOKUP($B249,표2[#ALL],2)/HLOOKUP($A249,표1[#ALL],row(),false)</f>
        <v>#N/A</v>
      </c>
      <c r="AF249" s="376" t="str">
        <f>CS_PID!AF249/VLOOKUP($B249,표2[#ALL],2)/HLOOKUP($A249,표1[#ALL],row(),false)</f>
        <v>#N/A</v>
      </c>
      <c r="AG249" s="376" t="str">
        <f>CS_PID!AG249/VLOOKUP($B249,표2[#ALL],2)/HLOOKUP($A249,표1[#ALL],row(),false)</f>
        <v>#N/A</v>
      </c>
      <c r="AH249" s="376" t="str">
        <f>CS_PID!AH249/VLOOKUP($B249,표2[#ALL],2)/HLOOKUP($A249,표1[#ALL],row(),false)</f>
        <v>#N/A</v>
      </c>
      <c r="AI249" s="376" t="str">
        <f>CS_PID!AI249/VLOOKUP($B249,표2[#ALL],2)/HLOOKUP($A249,표1[#ALL],row(),false)</f>
        <v>#N/A</v>
      </c>
      <c r="AJ249" s="376" t="str">
        <f>CS_PID!AJ249/VLOOKUP($B249,표2[#ALL],2)/HLOOKUP($A249,표1[#ALL],row(),false)</f>
        <v>#N/A</v>
      </c>
      <c r="AK249" s="376" t="str">
        <f>CS_PID!AK249/VLOOKUP($B249,표2[#ALL],2)/HLOOKUP($A249,표1[#ALL],row(),false)</f>
        <v>#N/A</v>
      </c>
      <c r="AL249" s="376" t="str">
        <f>CS_PID!AL249/VLOOKUP($B249,표2[#ALL],2)/HLOOKUP($A249,표1[#ALL],row(),false)</f>
        <v>#N/A</v>
      </c>
      <c r="AM249" s="376" t="str">
        <f>CS_PID!AM249/VLOOKUP($B249,표2[#ALL],2)/HLOOKUP($A249,표1[#ALL],row(),false)</f>
        <v>#N/A</v>
      </c>
      <c r="AN249" s="376" t="str">
        <f>CS_PID!AN249/VLOOKUP($B249,표2[#ALL],2)/HLOOKUP($A249,표1[#ALL],row(),false)</f>
        <v>#N/A</v>
      </c>
      <c r="AO249" s="376" t="str">
        <f>CS_PID!AO249/VLOOKUP($B249,표2[#ALL],2)/HLOOKUP($A249,표1[#ALL],row(),false)</f>
        <v>#N/A</v>
      </c>
      <c r="AP249" s="376" t="str">
        <f>CS_PID!AP249/VLOOKUP($B249,표2[#ALL],2)/HLOOKUP($A249,표1[#ALL],row(),false)</f>
        <v>#N/A</v>
      </c>
      <c r="AQ249" s="376" t="str">
        <f>CS_PID!AQ249/VLOOKUP($B249,표2[#ALL],2)/HLOOKUP($A249,표1[#ALL],row(),false)</f>
        <v>#N/A</v>
      </c>
      <c r="AR249" s="376" t="str">
        <f>CS_PID!AR249/VLOOKUP($B249,표2[#ALL],2)/HLOOKUP($A249,표1[#ALL],row(),false)</f>
        <v>#N/A</v>
      </c>
      <c r="AS249" s="377" t="str">
        <f>CS_PID!AS249/VLOOKUP($B249,표2[#ALL],2)/HLOOKUP($A249,표1[#ALL],row(),false)</f>
        <v>#N/A</v>
      </c>
    </row>
    <row r="250">
      <c r="A250" s="370"/>
      <c r="B250" s="371"/>
      <c r="C250" s="372" t="str">
        <f>CS_PID!C250/VLOOKUP($B250,표2[#ALL],2)</f>
        <v>#N/A</v>
      </c>
      <c r="D250" s="372" t="str">
        <f>CS_PID!D250/VLOOKUP($B250,표2[#ALL],2)</f>
        <v>#N/A</v>
      </c>
      <c r="E250" s="372" t="str">
        <f>CS_PID!E250/VLOOKUP($B250,표2[#ALL],2)</f>
        <v>#N/A</v>
      </c>
      <c r="F250" s="372" t="str">
        <f>CS_PID!F250/VLOOKUP($B250,표2[#ALL],2)</f>
        <v>#N/A</v>
      </c>
      <c r="G250" s="372" t="str">
        <f>CS_PID!G250/VLOOKUP($B250,표2[#ALL],2)</f>
        <v>#N/A</v>
      </c>
      <c r="H250" s="372" t="str">
        <f>CS_PID!H250/VLOOKUP($B250,표2[#ALL],2)/HLOOKUP($A250,표1[#ALL],row(),false)</f>
        <v>#N/A</v>
      </c>
      <c r="I250" s="372" t="str">
        <f>CS_PID!I250/VLOOKUP($B250,표2[#ALL],2)/HLOOKUP($A250,표1[#ALL],row(),false)</f>
        <v>#N/A</v>
      </c>
      <c r="J250" s="372" t="str">
        <f>CS_PID!J250/VLOOKUP($B250,표2[#ALL],2)/HLOOKUP($A250,표1[#ALL],row(),false)</f>
        <v>#N/A</v>
      </c>
      <c r="K250" s="372" t="str">
        <f>CS_PID!K250/VLOOKUP($B250,표2[#ALL],2)/HLOOKUP($A250,표1[#ALL],row(),false)</f>
        <v>#N/A</v>
      </c>
      <c r="L250" s="372" t="str">
        <f>CS_PID!L250/VLOOKUP($B250,표2[#ALL],2)/HLOOKUP($A250,표1[#ALL],row(),false)</f>
        <v>#N/A</v>
      </c>
      <c r="M250" s="372" t="str">
        <f>CS_PID!M250/VLOOKUP($B250,표2[#ALL],2)/HLOOKUP($A250,표1[#ALL],row(),false)</f>
        <v>#N/A</v>
      </c>
      <c r="N250" s="372" t="str">
        <f>CS_PID!N250/VLOOKUP($B250,표2[#ALL],2)/HLOOKUP($A250,표1[#ALL],row(),false)</f>
        <v>#N/A</v>
      </c>
      <c r="O250" s="372" t="str">
        <f>CS_PID!O250/VLOOKUP($B250,표2[#ALL],2)/HLOOKUP($A250,표1[#ALL],row(),false)</f>
        <v>#N/A</v>
      </c>
      <c r="P250" s="372" t="str">
        <f>CS_PID!P250/VLOOKUP($B250,표2[#ALL],2)/HLOOKUP($A250,표1[#ALL],row(),false)</f>
        <v>#N/A</v>
      </c>
      <c r="Q250" s="372" t="str">
        <f>CS_PID!Q250/VLOOKUP($B250,표2[#ALL],2)/HLOOKUP($A250,표1[#ALL],row(),false)</f>
        <v>#N/A</v>
      </c>
      <c r="R250" s="372" t="str">
        <f>CS_PID!R250/VLOOKUP($B250,표2[#ALL],2)/HLOOKUP($A250,표1[#ALL],row(),false)</f>
        <v>#N/A</v>
      </c>
      <c r="S250" s="372" t="str">
        <f>CS_PID!S250/VLOOKUP($B250,표2[#ALL],2)/HLOOKUP($A250,표1[#ALL],row(),false)</f>
        <v>#N/A</v>
      </c>
      <c r="T250" s="372" t="str">
        <f>CS_PID!T250/VLOOKUP($B250,표2[#ALL],2)/HLOOKUP($A250,표1[#ALL],row(),false)</f>
        <v>#N/A</v>
      </c>
      <c r="U250" s="372" t="str">
        <f>CS_PID!U250/VLOOKUP($B250,표2[#ALL],2)/HLOOKUP($A250,표1[#ALL],row(),false)</f>
        <v>#N/A</v>
      </c>
      <c r="V250" s="372" t="str">
        <f>CS_PID!V250/VLOOKUP($B250,표2[#ALL],2)/HLOOKUP($A250,표1[#ALL],row(),false)</f>
        <v>#N/A</v>
      </c>
      <c r="W250" s="372" t="str">
        <f>CS_PID!W250/VLOOKUP($B250,표2[#ALL],2)/HLOOKUP($A250,표1[#ALL],row(),false)</f>
        <v>#N/A</v>
      </c>
      <c r="X250" s="372" t="str">
        <f>CS_PID!X250/VLOOKUP($B250,표2[#ALL],2)/HLOOKUP($A250,표1[#ALL],row(),false)</f>
        <v>#N/A</v>
      </c>
      <c r="Y250" s="372" t="str">
        <f>CS_PID!Y250/VLOOKUP($B250,표2[#ALL],2)/HLOOKUP($A250,표1[#ALL],row(),false)</f>
        <v>#N/A</v>
      </c>
      <c r="Z250" s="372" t="str">
        <f>CS_PID!Z250/VLOOKUP($B250,표2[#ALL],2)/HLOOKUP($A250,표1[#ALL],row(),false)</f>
        <v>#N/A</v>
      </c>
      <c r="AA250" s="372" t="str">
        <f>CS_PID!AA250/VLOOKUP($B250,표2[#ALL],2)/HLOOKUP($A250,표1[#ALL],row(),false)</f>
        <v>#N/A</v>
      </c>
      <c r="AB250" s="372" t="str">
        <f>CS_PID!AB250/VLOOKUP($B250,표2[#ALL],2)/HLOOKUP($A250,표1[#ALL],row(),false)</f>
        <v>#N/A</v>
      </c>
      <c r="AC250" s="372" t="str">
        <f>CS_PID!AC250/VLOOKUP($B250,표2[#ALL],2)/HLOOKUP($A250,표1[#ALL],row(),false)</f>
        <v>#N/A</v>
      </c>
      <c r="AD250" s="372" t="str">
        <f>CS_PID!AD250/VLOOKUP($B250,표2[#ALL],2)/HLOOKUP($A250,표1[#ALL],row(),false)</f>
        <v>#N/A</v>
      </c>
      <c r="AE250" s="372" t="str">
        <f>CS_PID!AE250/VLOOKUP($B250,표2[#ALL],2)/HLOOKUP($A250,표1[#ALL],row(),false)</f>
        <v>#N/A</v>
      </c>
      <c r="AF250" s="372" t="str">
        <f>CS_PID!AF250/VLOOKUP($B250,표2[#ALL],2)/HLOOKUP($A250,표1[#ALL],row(),false)</f>
        <v>#N/A</v>
      </c>
      <c r="AG250" s="372" t="str">
        <f>CS_PID!AG250/VLOOKUP($B250,표2[#ALL],2)/HLOOKUP($A250,표1[#ALL],row(),false)</f>
        <v>#N/A</v>
      </c>
      <c r="AH250" s="372" t="str">
        <f>CS_PID!AH250/VLOOKUP($B250,표2[#ALL],2)/HLOOKUP($A250,표1[#ALL],row(),false)</f>
        <v>#N/A</v>
      </c>
      <c r="AI250" s="372" t="str">
        <f>CS_PID!AI250/VLOOKUP($B250,표2[#ALL],2)/HLOOKUP($A250,표1[#ALL],row(),false)</f>
        <v>#N/A</v>
      </c>
      <c r="AJ250" s="372" t="str">
        <f>CS_PID!AJ250/VLOOKUP($B250,표2[#ALL],2)/HLOOKUP($A250,표1[#ALL],row(),false)</f>
        <v>#N/A</v>
      </c>
      <c r="AK250" s="372" t="str">
        <f>CS_PID!AK250/VLOOKUP($B250,표2[#ALL],2)/HLOOKUP($A250,표1[#ALL],row(),false)</f>
        <v>#N/A</v>
      </c>
      <c r="AL250" s="372" t="str">
        <f>CS_PID!AL250/VLOOKUP($B250,표2[#ALL],2)/HLOOKUP($A250,표1[#ALL],row(),false)</f>
        <v>#N/A</v>
      </c>
      <c r="AM250" s="372" t="str">
        <f>CS_PID!AM250/VLOOKUP($B250,표2[#ALL],2)/HLOOKUP($A250,표1[#ALL],row(),false)</f>
        <v>#N/A</v>
      </c>
      <c r="AN250" s="372" t="str">
        <f>CS_PID!AN250/VLOOKUP($B250,표2[#ALL],2)/HLOOKUP($A250,표1[#ALL],row(),false)</f>
        <v>#N/A</v>
      </c>
      <c r="AO250" s="372" t="str">
        <f>CS_PID!AO250/VLOOKUP($B250,표2[#ALL],2)/HLOOKUP($A250,표1[#ALL],row(),false)</f>
        <v>#N/A</v>
      </c>
      <c r="AP250" s="372" t="str">
        <f>CS_PID!AP250/VLOOKUP($B250,표2[#ALL],2)/HLOOKUP($A250,표1[#ALL],row(),false)</f>
        <v>#N/A</v>
      </c>
      <c r="AQ250" s="372" t="str">
        <f>CS_PID!AQ250/VLOOKUP($B250,표2[#ALL],2)/HLOOKUP($A250,표1[#ALL],row(),false)</f>
        <v>#N/A</v>
      </c>
      <c r="AR250" s="372" t="str">
        <f>CS_PID!AR250/VLOOKUP($B250,표2[#ALL],2)/HLOOKUP($A250,표1[#ALL],row(),false)</f>
        <v>#N/A</v>
      </c>
      <c r="AS250" s="373" t="str">
        <f>CS_PID!AS250/VLOOKUP($B250,표2[#ALL],2)/HLOOKUP($A250,표1[#ALL],row(),false)</f>
        <v>#N/A</v>
      </c>
    </row>
    <row r="251">
      <c r="A251" s="374"/>
      <c r="B251" s="375"/>
      <c r="C251" s="376" t="str">
        <f>CS_PID!C251/VLOOKUP($B251,표2[#ALL],2)</f>
        <v>#N/A</v>
      </c>
      <c r="D251" s="376" t="str">
        <f>CS_PID!D251/VLOOKUP($B251,표2[#ALL],2)</f>
        <v>#N/A</v>
      </c>
      <c r="E251" s="376" t="str">
        <f>CS_PID!E251/VLOOKUP($B251,표2[#ALL],2)</f>
        <v>#N/A</v>
      </c>
      <c r="F251" s="376" t="str">
        <f>CS_PID!F251/VLOOKUP($B251,표2[#ALL],2)</f>
        <v>#N/A</v>
      </c>
      <c r="G251" s="376" t="str">
        <f>CS_PID!G251/VLOOKUP($B251,표2[#ALL],2)</f>
        <v>#N/A</v>
      </c>
      <c r="H251" s="376" t="str">
        <f>CS_PID!H251/VLOOKUP($B251,표2[#ALL],2)/HLOOKUP($A251,표1[#ALL],row(),false)</f>
        <v>#N/A</v>
      </c>
      <c r="I251" s="376" t="str">
        <f>CS_PID!I251/VLOOKUP($B251,표2[#ALL],2)/HLOOKUP($A251,표1[#ALL],row(),false)</f>
        <v>#N/A</v>
      </c>
      <c r="J251" s="376" t="str">
        <f>CS_PID!J251/VLOOKUP($B251,표2[#ALL],2)/HLOOKUP($A251,표1[#ALL],row(),false)</f>
        <v>#N/A</v>
      </c>
      <c r="K251" s="376" t="str">
        <f>CS_PID!K251/VLOOKUP($B251,표2[#ALL],2)/HLOOKUP($A251,표1[#ALL],row(),false)</f>
        <v>#N/A</v>
      </c>
      <c r="L251" s="376" t="str">
        <f>CS_PID!L251/VLOOKUP($B251,표2[#ALL],2)/HLOOKUP($A251,표1[#ALL],row(),false)</f>
        <v>#N/A</v>
      </c>
      <c r="M251" s="376" t="str">
        <f>CS_PID!M251/VLOOKUP($B251,표2[#ALL],2)/HLOOKUP($A251,표1[#ALL],row(),false)</f>
        <v>#N/A</v>
      </c>
      <c r="N251" s="376" t="str">
        <f>CS_PID!N251/VLOOKUP($B251,표2[#ALL],2)/HLOOKUP($A251,표1[#ALL],row(),false)</f>
        <v>#N/A</v>
      </c>
      <c r="O251" s="376" t="str">
        <f>CS_PID!O251/VLOOKUP($B251,표2[#ALL],2)/HLOOKUP($A251,표1[#ALL],row(),false)</f>
        <v>#N/A</v>
      </c>
      <c r="P251" s="376" t="str">
        <f>CS_PID!P251/VLOOKUP($B251,표2[#ALL],2)/HLOOKUP($A251,표1[#ALL],row(),false)</f>
        <v>#N/A</v>
      </c>
      <c r="Q251" s="376" t="str">
        <f>CS_PID!Q251/VLOOKUP($B251,표2[#ALL],2)/HLOOKUP($A251,표1[#ALL],row(),false)</f>
        <v>#N/A</v>
      </c>
      <c r="R251" s="376" t="str">
        <f>CS_PID!R251/VLOOKUP($B251,표2[#ALL],2)/HLOOKUP($A251,표1[#ALL],row(),false)</f>
        <v>#N/A</v>
      </c>
      <c r="S251" s="376" t="str">
        <f>CS_PID!S251/VLOOKUP($B251,표2[#ALL],2)/HLOOKUP($A251,표1[#ALL],row(),false)</f>
        <v>#N/A</v>
      </c>
      <c r="T251" s="376" t="str">
        <f>CS_PID!T251/VLOOKUP($B251,표2[#ALL],2)/HLOOKUP($A251,표1[#ALL],row(),false)</f>
        <v>#N/A</v>
      </c>
      <c r="U251" s="376" t="str">
        <f>CS_PID!U251/VLOOKUP($B251,표2[#ALL],2)/HLOOKUP($A251,표1[#ALL],row(),false)</f>
        <v>#N/A</v>
      </c>
      <c r="V251" s="376" t="str">
        <f>CS_PID!V251/VLOOKUP($B251,표2[#ALL],2)/HLOOKUP($A251,표1[#ALL],row(),false)</f>
        <v>#N/A</v>
      </c>
      <c r="W251" s="376" t="str">
        <f>CS_PID!W251/VLOOKUP($B251,표2[#ALL],2)/HLOOKUP($A251,표1[#ALL],row(),false)</f>
        <v>#N/A</v>
      </c>
      <c r="X251" s="376" t="str">
        <f>CS_PID!X251/VLOOKUP($B251,표2[#ALL],2)/HLOOKUP($A251,표1[#ALL],row(),false)</f>
        <v>#N/A</v>
      </c>
      <c r="Y251" s="376" t="str">
        <f>CS_PID!Y251/VLOOKUP($B251,표2[#ALL],2)/HLOOKUP($A251,표1[#ALL],row(),false)</f>
        <v>#N/A</v>
      </c>
      <c r="Z251" s="376" t="str">
        <f>CS_PID!Z251/VLOOKUP($B251,표2[#ALL],2)/HLOOKUP($A251,표1[#ALL],row(),false)</f>
        <v>#N/A</v>
      </c>
      <c r="AA251" s="376" t="str">
        <f>CS_PID!AA251/VLOOKUP($B251,표2[#ALL],2)/HLOOKUP($A251,표1[#ALL],row(),false)</f>
        <v>#N/A</v>
      </c>
      <c r="AB251" s="376" t="str">
        <f>CS_PID!AB251/VLOOKUP($B251,표2[#ALL],2)/HLOOKUP($A251,표1[#ALL],row(),false)</f>
        <v>#N/A</v>
      </c>
      <c r="AC251" s="376" t="str">
        <f>CS_PID!AC251/VLOOKUP($B251,표2[#ALL],2)/HLOOKUP($A251,표1[#ALL],row(),false)</f>
        <v>#N/A</v>
      </c>
      <c r="AD251" s="376" t="str">
        <f>CS_PID!AD251/VLOOKUP($B251,표2[#ALL],2)/HLOOKUP($A251,표1[#ALL],row(),false)</f>
        <v>#N/A</v>
      </c>
      <c r="AE251" s="376" t="str">
        <f>CS_PID!AE251/VLOOKUP($B251,표2[#ALL],2)/HLOOKUP($A251,표1[#ALL],row(),false)</f>
        <v>#N/A</v>
      </c>
      <c r="AF251" s="376" t="str">
        <f>CS_PID!AF251/VLOOKUP($B251,표2[#ALL],2)/HLOOKUP($A251,표1[#ALL],row(),false)</f>
        <v>#N/A</v>
      </c>
      <c r="AG251" s="376" t="str">
        <f>CS_PID!AG251/VLOOKUP($B251,표2[#ALL],2)/HLOOKUP($A251,표1[#ALL],row(),false)</f>
        <v>#N/A</v>
      </c>
      <c r="AH251" s="376" t="str">
        <f>CS_PID!AH251/VLOOKUP($B251,표2[#ALL],2)/HLOOKUP($A251,표1[#ALL],row(),false)</f>
        <v>#N/A</v>
      </c>
      <c r="AI251" s="376" t="str">
        <f>CS_PID!AI251/VLOOKUP($B251,표2[#ALL],2)/HLOOKUP($A251,표1[#ALL],row(),false)</f>
        <v>#N/A</v>
      </c>
      <c r="AJ251" s="376" t="str">
        <f>CS_PID!AJ251/VLOOKUP($B251,표2[#ALL],2)/HLOOKUP($A251,표1[#ALL],row(),false)</f>
        <v>#N/A</v>
      </c>
      <c r="AK251" s="376" t="str">
        <f>CS_PID!AK251/VLOOKUP($B251,표2[#ALL],2)/HLOOKUP($A251,표1[#ALL],row(),false)</f>
        <v>#N/A</v>
      </c>
      <c r="AL251" s="376" t="str">
        <f>CS_PID!AL251/VLOOKUP($B251,표2[#ALL],2)/HLOOKUP($A251,표1[#ALL],row(),false)</f>
        <v>#N/A</v>
      </c>
      <c r="AM251" s="376" t="str">
        <f>CS_PID!AM251/VLOOKUP($B251,표2[#ALL],2)/HLOOKUP($A251,표1[#ALL],row(),false)</f>
        <v>#N/A</v>
      </c>
      <c r="AN251" s="376" t="str">
        <f>CS_PID!AN251/VLOOKUP($B251,표2[#ALL],2)/HLOOKUP($A251,표1[#ALL],row(),false)</f>
        <v>#N/A</v>
      </c>
      <c r="AO251" s="376" t="str">
        <f>CS_PID!AO251/VLOOKUP($B251,표2[#ALL],2)/HLOOKUP($A251,표1[#ALL],row(),false)</f>
        <v>#N/A</v>
      </c>
      <c r="AP251" s="376" t="str">
        <f>CS_PID!AP251/VLOOKUP($B251,표2[#ALL],2)/HLOOKUP($A251,표1[#ALL],row(),false)</f>
        <v>#N/A</v>
      </c>
      <c r="AQ251" s="376" t="str">
        <f>CS_PID!AQ251/VLOOKUP($B251,표2[#ALL],2)/HLOOKUP($A251,표1[#ALL],row(),false)</f>
        <v>#N/A</v>
      </c>
      <c r="AR251" s="376" t="str">
        <f>CS_PID!AR251/VLOOKUP($B251,표2[#ALL],2)/HLOOKUP($A251,표1[#ALL],row(),false)</f>
        <v>#N/A</v>
      </c>
      <c r="AS251" s="377" t="str">
        <f>CS_PID!AS251/VLOOKUP($B251,표2[#ALL],2)/HLOOKUP($A251,표1[#ALL],row(),false)</f>
        <v>#N/A</v>
      </c>
    </row>
    <row r="252">
      <c r="A252" s="370"/>
      <c r="B252" s="371"/>
      <c r="C252" s="372" t="str">
        <f>CS_PID!C252/VLOOKUP($B252,표2[#ALL],2)</f>
        <v>#N/A</v>
      </c>
      <c r="D252" s="372" t="str">
        <f>CS_PID!D252/VLOOKUP($B252,표2[#ALL],2)</f>
        <v>#N/A</v>
      </c>
      <c r="E252" s="372" t="str">
        <f>CS_PID!E252/VLOOKUP($B252,표2[#ALL],2)</f>
        <v>#N/A</v>
      </c>
      <c r="F252" s="372" t="str">
        <f>CS_PID!F252/VLOOKUP($B252,표2[#ALL],2)</f>
        <v>#N/A</v>
      </c>
      <c r="G252" s="372" t="str">
        <f>CS_PID!G252/VLOOKUP($B252,표2[#ALL],2)</f>
        <v>#N/A</v>
      </c>
      <c r="H252" s="372" t="str">
        <f>CS_PID!H252/VLOOKUP($B252,표2[#ALL],2)/HLOOKUP($A252,표1[#ALL],row(),false)</f>
        <v>#N/A</v>
      </c>
      <c r="I252" s="372" t="str">
        <f>CS_PID!I252/VLOOKUP($B252,표2[#ALL],2)/HLOOKUP($A252,표1[#ALL],row(),false)</f>
        <v>#N/A</v>
      </c>
      <c r="J252" s="372" t="str">
        <f>CS_PID!J252/VLOOKUP($B252,표2[#ALL],2)/HLOOKUP($A252,표1[#ALL],row(),false)</f>
        <v>#N/A</v>
      </c>
      <c r="K252" s="372" t="str">
        <f>CS_PID!K252/VLOOKUP($B252,표2[#ALL],2)/HLOOKUP($A252,표1[#ALL],row(),false)</f>
        <v>#N/A</v>
      </c>
      <c r="L252" s="372" t="str">
        <f>CS_PID!L252/VLOOKUP($B252,표2[#ALL],2)/HLOOKUP($A252,표1[#ALL],row(),false)</f>
        <v>#N/A</v>
      </c>
      <c r="M252" s="372" t="str">
        <f>CS_PID!M252/VLOOKUP($B252,표2[#ALL],2)/HLOOKUP($A252,표1[#ALL],row(),false)</f>
        <v>#N/A</v>
      </c>
      <c r="N252" s="372" t="str">
        <f>CS_PID!N252/VLOOKUP($B252,표2[#ALL],2)/HLOOKUP($A252,표1[#ALL],row(),false)</f>
        <v>#N/A</v>
      </c>
      <c r="O252" s="372" t="str">
        <f>CS_PID!O252/VLOOKUP($B252,표2[#ALL],2)/HLOOKUP($A252,표1[#ALL],row(),false)</f>
        <v>#N/A</v>
      </c>
      <c r="P252" s="372" t="str">
        <f>CS_PID!P252/VLOOKUP($B252,표2[#ALL],2)/HLOOKUP($A252,표1[#ALL],row(),false)</f>
        <v>#N/A</v>
      </c>
      <c r="Q252" s="372" t="str">
        <f>CS_PID!Q252/VLOOKUP($B252,표2[#ALL],2)/HLOOKUP($A252,표1[#ALL],row(),false)</f>
        <v>#N/A</v>
      </c>
      <c r="R252" s="372" t="str">
        <f>CS_PID!R252/VLOOKUP($B252,표2[#ALL],2)/HLOOKUP($A252,표1[#ALL],row(),false)</f>
        <v>#N/A</v>
      </c>
      <c r="S252" s="372" t="str">
        <f>CS_PID!S252/VLOOKUP($B252,표2[#ALL],2)/HLOOKUP($A252,표1[#ALL],row(),false)</f>
        <v>#N/A</v>
      </c>
      <c r="T252" s="372" t="str">
        <f>CS_PID!T252/VLOOKUP($B252,표2[#ALL],2)/HLOOKUP($A252,표1[#ALL],row(),false)</f>
        <v>#N/A</v>
      </c>
      <c r="U252" s="372" t="str">
        <f>CS_PID!U252/VLOOKUP($B252,표2[#ALL],2)/HLOOKUP($A252,표1[#ALL],row(),false)</f>
        <v>#N/A</v>
      </c>
      <c r="V252" s="372" t="str">
        <f>CS_PID!V252/VLOOKUP($B252,표2[#ALL],2)/HLOOKUP($A252,표1[#ALL],row(),false)</f>
        <v>#N/A</v>
      </c>
      <c r="W252" s="372" t="str">
        <f>CS_PID!W252/VLOOKUP($B252,표2[#ALL],2)/HLOOKUP($A252,표1[#ALL],row(),false)</f>
        <v>#N/A</v>
      </c>
      <c r="X252" s="372" t="str">
        <f>CS_PID!X252/VLOOKUP($B252,표2[#ALL],2)/HLOOKUP($A252,표1[#ALL],row(),false)</f>
        <v>#N/A</v>
      </c>
      <c r="Y252" s="372" t="str">
        <f>CS_PID!Y252/VLOOKUP($B252,표2[#ALL],2)/HLOOKUP($A252,표1[#ALL],row(),false)</f>
        <v>#N/A</v>
      </c>
      <c r="Z252" s="372" t="str">
        <f>CS_PID!Z252/VLOOKUP($B252,표2[#ALL],2)/HLOOKUP($A252,표1[#ALL],row(),false)</f>
        <v>#N/A</v>
      </c>
      <c r="AA252" s="372" t="str">
        <f>CS_PID!AA252/VLOOKUP($B252,표2[#ALL],2)/HLOOKUP($A252,표1[#ALL],row(),false)</f>
        <v>#N/A</v>
      </c>
      <c r="AB252" s="372" t="str">
        <f>CS_PID!AB252/VLOOKUP($B252,표2[#ALL],2)/HLOOKUP($A252,표1[#ALL],row(),false)</f>
        <v>#N/A</v>
      </c>
      <c r="AC252" s="372" t="str">
        <f>CS_PID!AC252/VLOOKUP($B252,표2[#ALL],2)/HLOOKUP($A252,표1[#ALL],row(),false)</f>
        <v>#N/A</v>
      </c>
      <c r="AD252" s="372" t="str">
        <f>CS_PID!AD252/VLOOKUP($B252,표2[#ALL],2)/HLOOKUP($A252,표1[#ALL],row(),false)</f>
        <v>#N/A</v>
      </c>
      <c r="AE252" s="372" t="str">
        <f>CS_PID!AE252/VLOOKUP($B252,표2[#ALL],2)/HLOOKUP($A252,표1[#ALL],row(),false)</f>
        <v>#N/A</v>
      </c>
      <c r="AF252" s="372" t="str">
        <f>CS_PID!AF252/VLOOKUP($B252,표2[#ALL],2)/HLOOKUP($A252,표1[#ALL],row(),false)</f>
        <v>#N/A</v>
      </c>
      <c r="AG252" s="372" t="str">
        <f>CS_PID!AG252/VLOOKUP($B252,표2[#ALL],2)/HLOOKUP($A252,표1[#ALL],row(),false)</f>
        <v>#N/A</v>
      </c>
      <c r="AH252" s="372" t="str">
        <f>CS_PID!AH252/VLOOKUP($B252,표2[#ALL],2)/HLOOKUP($A252,표1[#ALL],row(),false)</f>
        <v>#N/A</v>
      </c>
      <c r="AI252" s="372" t="str">
        <f>CS_PID!AI252/VLOOKUP($B252,표2[#ALL],2)/HLOOKUP($A252,표1[#ALL],row(),false)</f>
        <v>#N/A</v>
      </c>
      <c r="AJ252" s="372" t="str">
        <f>CS_PID!AJ252/VLOOKUP($B252,표2[#ALL],2)/HLOOKUP($A252,표1[#ALL],row(),false)</f>
        <v>#N/A</v>
      </c>
      <c r="AK252" s="372" t="str">
        <f>CS_PID!AK252/VLOOKUP($B252,표2[#ALL],2)/HLOOKUP($A252,표1[#ALL],row(),false)</f>
        <v>#N/A</v>
      </c>
      <c r="AL252" s="372" t="str">
        <f>CS_PID!AL252/VLOOKUP($B252,표2[#ALL],2)/HLOOKUP($A252,표1[#ALL],row(),false)</f>
        <v>#N/A</v>
      </c>
      <c r="AM252" s="372" t="str">
        <f>CS_PID!AM252/VLOOKUP($B252,표2[#ALL],2)/HLOOKUP($A252,표1[#ALL],row(),false)</f>
        <v>#N/A</v>
      </c>
      <c r="AN252" s="372" t="str">
        <f>CS_PID!AN252/VLOOKUP($B252,표2[#ALL],2)/HLOOKUP($A252,표1[#ALL],row(),false)</f>
        <v>#N/A</v>
      </c>
      <c r="AO252" s="372" t="str">
        <f>CS_PID!AO252/VLOOKUP($B252,표2[#ALL],2)/HLOOKUP($A252,표1[#ALL],row(),false)</f>
        <v>#N/A</v>
      </c>
      <c r="AP252" s="372" t="str">
        <f>CS_PID!AP252/VLOOKUP($B252,표2[#ALL],2)/HLOOKUP($A252,표1[#ALL],row(),false)</f>
        <v>#N/A</v>
      </c>
      <c r="AQ252" s="372" t="str">
        <f>CS_PID!AQ252/VLOOKUP($B252,표2[#ALL],2)/HLOOKUP($A252,표1[#ALL],row(),false)</f>
        <v>#N/A</v>
      </c>
      <c r="AR252" s="372" t="str">
        <f>CS_PID!AR252/VLOOKUP($B252,표2[#ALL],2)/HLOOKUP($A252,표1[#ALL],row(),false)</f>
        <v>#N/A</v>
      </c>
      <c r="AS252" s="373" t="str">
        <f>CS_PID!AS252/VLOOKUP($B252,표2[#ALL],2)/HLOOKUP($A252,표1[#ALL],row(),false)</f>
        <v>#N/A</v>
      </c>
    </row>
    <row r="253">
      <c r="A253" s="374"/>
      <c r="B253" s="375"/>
      <c r="C253" s="376" t="str">
        <f>CS_PID!C253/VLOOKUP($B253,표2[#ALL],2)</f>
        <v>#N/A</v>
      </c>
      <c r="D253" s="376" t="str">
        <f>CS_PID!D253/VLOOKUP($B253,표2[#ALL],2)</f>
        <v>#N/A</v>
      </c>
      <c r="E253" s="376" t="str">
        <f>CS_PID!E253/VLOOKUP($B253,표2[#ALL],2)</f>
        <v>#N/A</v>
      </c>
      <c r="F253" s="376" t="str">
        <f>CS_PID!F253/VLOOKUP($B253,표2[#ALL],2)</f>
        <v>#N/A</v>
      </c>
      <c r="G253" s="376" t="str">
        <f>CS_PID!G253/VLOOKUP($B253,표2[#ALL],2)</f>
        <v>#N/A</v>
      </c>
      <c r="H253" s="376" t="str">
        <f>CS_PID!H253/VLOOKUP($B253,표2[#ALL],2)/HLOOKUP($A253,표1[#ALL],row(),false)</f>
        <v>#N/A</v>
      </c>
      <c r="I253" s="376" t="str">
        <f>CS_PID!I253/VLOOKUP($B253,표2[#ALL],2)/HLOOKUP($A253,표1[#ALL],row(),false)</f>
        <v>#N/A</v>
      </c>
      <c r="J253" s="376" t="str">
        <f>CS_PID!J253/VLOOKUP($B253,표2[#ALL],2)/HLOOKUP($A253,표1[#ALL],row(),false)</f>
        <v>#N/A</v>
      </c>
      <c r="K253" s="376" t="str">
        <f>CS_PID!K253/VLOOKUP($B253,표2[#ALL],2)/HLOOKUP($A253,표1[#ALL],row(),false)</f>
        <v>#N/A</v>
      </c>
      <c r="L253" s="376" t="str">
        <f>CS_PID!L253/VLOOKUP($B253,표2[#ALL],2)/HLOOKUP($A253,표1[#ALL],row(),false)</f>
        <v>#N/A</v>
      </c>
      <c r="M253" s="376" t="str">
        <f>CS_PID!M253/VLOOKUP($B253,표2[#ALL],2)/HLOOKUP($A253,표1[#ALL],row(),false)</f>
        <v>#N/A</v>
      </c>
      <c r="N253" s="376" t="str">
        <f>CS_PID!N253/VLOOKUP($B253,표2[#ALL],2)/HLOOKUP($A253,표1[#ALL],row(),false)</f>
        <v>#N/A</v>
      </c>
      <c r="O253" s="376" t="str">
        <f>CS_PID!O253/VLOOKUP($B253,표2[#ALL],2)/HLOOKUP($A253,표1[#ALL],row(),false)</f>
        <v>#N/A</v>
      </c>
      <c r="P253" s="376" t="str">
        <f>CS_PID!P253/VLOOKUP($B253,표2[#ALL],2)/HLOOKUP($A253,표1[#ALL],row(),false)</f>
        <v>#N/A</v>
      </c>
      <c r="Q253" s="376" t="str">
        <f>CS_PID!Q253/VLOOKUP($B253,표2[#ALL],2)/HLOOKUP($A253,표1[#ALL],row(),false)</f>
        <v>#N/A</v>
      </c>
      <c r="R253" s="376" t="str">
        <f>CS_PID!R253/VLOOKUP($B253,표2[#ALL],2)/HLOOKUP($A253,표1[#ALL],row(),false)</f>
        <v>#N/A</v>
      </c>
      <c r="S253" s="376" t="str">
        <f>CS_PID!S253/VLOOKUP($B253,표2[#ALL],2)/HLOOKUP($A253,표1[#ALL],row(),false)</f>
        <v>#N/A</v>
      </c>
      <c r="T253" s="376" t="str">
        <f>CS_PID!T253/VLOOKUP($B253,표2[#ALL],2)/HLOOKUP($A253,표1[#ALL],row(),false)</f>
        <v>#N/A</v>
      </c>
      <c r="U253" s="376" t="str">
        <f>CS_PID!U253/VLOOKUP($B253,표2[#ALL],2)/HLOOKUP($A253,표1[#ALL],row(),false)</f>
        <v>#N/A</v>
      </c>
      <c r="V253" s="376" t="str">
        <f>CS_PID!V253/VLOOKUP($B253,표2[#ALL],2)/HLOOKUP($A253,표1[#ALL],row(),false)</f>
        <v>#N/A</v>
      </c>
      <c r="W253" s="376" t="str">
        <f>CS_PID!W253/VLOOKUP($B253,표2[#ALL],2)/HLOOKUP($A253,표1[#ALL],row(),false)</f>
        <v>#N/A</v>
      </c>
      <c r="X253" s="376" t="str">
        <f>CS_PID!X253/VLOOKUP($B253,표2[#ALL],2)/HLOOKUP($A253,표1[#ALL],row(),false)</f>
        <v>#N/A</v>
      </c>
      <c r="Y253" s="376" t="str">
        <f>CS_PID!Y253/VLOOKUP($B253,표2[#ALL],2)/HLOOKUP($A253,표1[#ALL],row(),false)</f>
        <v>#N/A</v>
      </c>
      <c r="Z253" s="376" t="str">
        <f>CS_PID!Z253/VLOOKUP($B253,표2[#ALL],2)/HLOOKUP($A253,표1[#ALL],row(),false)</f>
        <v>#N/A</v>
      </c>
      <c r="AA253" s="376" t="str">
        <f>CS_PID!AA253/VLOOKUP($B253,표2[#ALL],2)/HLOOKUP($A253,표1[#ALL],row(),false)</f>
        <v>#N/A</v>
      </c>
      <c r="AB253" s="376" t="str">
        <f>CS_PID!AB253/VLOOKUP($B253,표2[#ALL],2)/HLOOKUP($A253,표1[#ALL],row(),false)</f>
        <v>#N/A</v>
      </c>
      <c r="AC253" s="376" t="str">
        <f>CS_PID!AC253/VLOOKUP($B253,표2[#ALL],2)/HLOOKUP($A253,표1[#ALL],row(),false)</f>
        <v>#N/A</v>
      </c>
      <c r="AD253" s="376" t="str">
        <f>CS_PID!AD253/VLOOKUP($B253,표2[#ALL],2)/HLOOKUP($A253,표1[#ALL],row(),false)</f>
        <v>#N/A</v>
      </c>
      <c r="AE253" s="376" t="str">
        <f>CS_PID!AE253/VLOOKUP($B253,표2[#ALL],2)/HLOOKUP($A253,표1[#ALL],row(),false)</f>
        <v>#N/A</v>
      </c>
      <c r="AF253" s="376" t="str">
        <f>CS_PID!AF253/VLOOKUP($B253,표2[#ALL],2)/HLOOKUP($A253,표1[#ALL],row(),false)</f>
        <v>#N/A</v>
      </c>
      <c r="AG253" s="376" t="str">
        <f>CS_PID!AG253/VLOOKUP($B253,표2[#ALL],2)/HLOOKUP($A253,표1[#ALL],row(),false)</f>
        <v>#N/A</v>
      </c>
      <c r="AH253" s="376" t="str">
        <f>CS_PID!AH253/VLOOKUP($B253,표2[#ALL],2)/HLOOKUP($A253,표1[#ALL],row(),false)</f>
        <v>#N/A</v>
      </c>
      <c r="AI253" s="376" t="str">
        <f>CS_PID!AI253/VLOOKUP($B253,표2[#ALL],2)/HLOOKUP($A253,표1[#ALL],row(),false)</f>
        <v>#N/A</v>
      </c>
      <c r="AJ253" s="376" t="str">
        <f>CS_PID!AJ253/VLOOKUP($B253,표2[#ALL],2)/HLOOKUP($A253,표1[#ALL],row(),false)</f>
        <v>#N/A</v>
      </c>
      <c r="AK253" s="376" t="str">
        <f>CS_PID!AK253/VLOOKUP($B253,표2[#ALL],2)/HLOOKUP($A253,표1[#ALL],row(),false)</f>
        <v>#N/A</v>
      </c>
      <c r="AL253" s="376" t="str">
        <f>CS_PID!AL253/VLOOKUP($B253,표2[#ALL],2)/HLOOKUP($A253,표1[#ALL],row(),false)</f>
        <v>#N/A</v>
      </c>
      <c r="AM253" s="376" t="str">
        <f>CS_PID!AM253/VLOOKUP($B253,표2[#ALL],2)/HLOOKUP($A253,표1[#ALL],row(),false)</f>
        <v>#N/A</v>
      </c>
      <c r="AN253" s="376" t="str">
        <f>CS_PID!AN253/VLOOKUP($B253,표2[#ALL],2)/HLOOKUP($A253,표1[#ALL],row(),false)</f>
        <v>#N/A</v>
      </c>
      <c r="AO253" s="376" t="str">
        <f>CS_PID!AO253/VLOOKUP($B253,표2[#ALL],2)/HLOOKUP($A253,표1[#ALL],row(),false)</f>
        <v>#N/A</v>
      </c>
      <c r="AP253" s="376" t="str">
        <f>CS_PID!AP253/VLOOKUP($B253,표2[#ALL],2)/HLOOKUP($A253,표1[#ALL],row(),false)</f>
        <v>#N/A</v>
      </c>
      <c r="AQ253" s="376" t="str">
        <f>CS_PID!AQ253/VLOOKUP($B253,표2[#ALL],2)/HLOOKUP($A253,표1[#ALL],row(),false)</f>
        <v>#N/A</v>
      </c>
      <c r="AR253" s="376" t="str">
        <f>CS_PID!AR253/VLOOKUP($B253,표2[#ALL],2)/HLOOKUP($A253,표1[#ALL],row(),false)</f>
        <v>#N/A</v>
      </c>
      <c r="AS253" s="377" t="str">
        <f>CS_PID!AS253/VLOOKUP($B253,표2[#ALL],2)/HLOOKUP($A253,표1[#ALL],row(),false)</f>
        <v>#N/A</v>
      </c>
    </row>
    <row r="254">
      <c r="A254" s="370"/>
      <c r="B254" s="371"/>
      <c r="C254" s="372" t="str">
        <f>CS_PID!C254/VLOOKUP($B254,표2[#ALL],2)</f>
        <v>#N/A</v>
      </c>
      <c r="D254" s="372" t="str">
        <f>CS_PID!D254/VLOOKUP($B254,표2[#ALL],2)</f>
        <v>#N/A</v>
      </c>
      <c r="E254" s="372" t="str">
        <f>CS_PID!E254/VLOOKUP($B254,표2[#ALL],2)</f>
        <v>#N/A</v>
      </c>
      <c r="F254" s="372" t="str">
        <f>CS_PID!F254/VLOOKUP($B254,표2[#ALL],2)</f>
        <v>#N/A</v>
      </c>
      <c r="G254" s="372" t="str">
        <f>CS_PID!G254/VLOOKUP($B254,표2[#ALL],2)</f>
        <v>#N/A</v>
      </c>
      <c r="H254" s="372" t="str">
        <f>CS_PID!H254/VLOOKUP($B254,표2[#ALL],2)/HLOOKUP($A254,표1[#ALL],row(),false)</f>
        <v>#N/A</v>
      </c>
      <c r="I254" s="372" t="str">
        <f>CS_PID!I254/VLOOKUP($B254,표2[#ALL],2)/HLOOKUP($A254,표1[#ALL],row(),false)</f>
        <v>#N/A</v>
      </c>
      <c r="J254" s="372" t="str">
        <f>CS_PID!J254/VLOOKUP($B254,표2[#ALL],2)/HLOOKUP($A254,표1[#ALL],row(),false)</f>
        <v>#N/A</v>
      </c>
      <c r="K254" s="372" t="str">
        <f>CS_PID!K254/VLOOKUP($B254,표2[#ALL],2)/HLOOKUP($A254,표1[#ALL],row(),false)</f>
        <v>#N/A</v>
      </c>
      <c r="L254" s="372" t="str">
        <f>CS_PID!L254/VLOOKUP($B254,표2[#ALL],2)/HLOOKUP($A254,표1[#ALL],row(),false)</f>
        <v>#N/A</v>
      </c>
      <c r="M254" s="372" t="str">
        <f>CS_PID!M254/VLOOKUP($B254,표2[#ALL],2)/HLOOKUP($A254,표1[#ALL],row(),false)</f>
        <v>#N/A</v>
      </c>
      <c r="N254" s="372" t="str">
        <f>CS_PID!N254/VLOOKUP($B254,표2[#ALL],2)/HLOOKUP($A254,표1[#ALL],row(),false)</f>
        <v>#N/A</v>
      </c>
      <c r="O254" s="372" t="str">
        <f>CS_PID!O254/VLOOKUP($B254,표2[#ALL],2)/HLOOKUP($A254,표1[#ALL],row(),false)</f>
        <v>#N/A</v>
      </c>
      <c r="P254" s="372" t="str">
        <f>CS_PID!P254/VLOOKUP($B254,표2[#ALL],2)/HLOOKUP($A254,표1[#ALL],row(),false)</f>
        <v>#N/A</v>
      </c>
      <c r="Q254" s="372" t="str">
        <f>CS_PID!Q254/VLOOKUP($B254,표2[#ALL],2)/HLOOKUP($A254,표1[#ALL],row(),false)</f>
        <v>#N/A</v>
      </c>
      <c r="R254" s="372" t="str">
        <f>CS_PID!R254/VLOOKUP($B254,표2[#ALL],2)/HLOOKUP($A254,표1[#ALL],row(),false)</f>
        <v>#N/A</v>
      </c>
      <c r="S254" s="372" t="str">
        <f>CS_PID!S254/VLOOKUP($B254,표2[#ALL],2)/HLOOKUP($A254,표1[#ALL],row(),false)</f>
        <v>#N/A</v>
      </c>
      <c r="T254" s="372" t="str">
        <f>CS_PID!T254/VLOOKUP($B254,표2[#ALL],2)/HLOOKUP($A254,표1[#ALL],row(),false)</f>
        <v>#N/A</v>
      </c>
      <c r="U254" s="372" t="str">
        <f>CS_PID!U254/VLOOKUP($B254,표2[#ALL],2)/HLOOKUP($A254,표1[#ALL],row(),false)</f>
        <v>#N/A</v>
      </c>
      <c r="V254" s="372" t="str">
        <f>CS_PID!V254/VLOOKUP($B254,표2[#ALL],2)/HLOOKUP($A254,표1[#ALL],row(),false)</f>
        <v>#N/A</v>
      </c>
      <c r="W254" s="372" t="str">
        <f>CS_PID!W254/VLOOKUP($B254,표2[#ALL],2)/HLOOKUP($A254,표1[#ALL],row(),false)</f>
        <v>#N/A</v>
      </c>
      <c r="X254" s="372" t="str">
        <f>CS_PID!X254/VLOOKUP($B254,표2[#ALL],2)/HLOOKUP($A254,표1[#ALL],row(),false)</f>
        <v>#N/A</v>
      </c>
      <c r="Y254" s="372" t="str">
        <f>CS_PID!Y254/VLOOKUP($B254,표2[#ALL],2)/HLOOKUP($A254,표1[#ALL],row(),false)</f>
        <v>#N/A</v>
      </c>
      <c r="Z254" s="372" t="str">
        <f>CS_PID!Z254/VLOOKUP($B254,표2[#ALL],2)/HLOOKUP($A254,표1[#ALL],row(),false)</f>
        <v>#N/A</v>
      </c>
      <c r="AA254" s="372" t="str">
        <f>CS_PID!AA254/VLOOKUP($B254,표2[#ALL],2)/HLOOKUP($A254,표1[#ALL],row(),false)</f>
        <v>#N/A</v>
      </c>
      <c r="AB254" s="372" t="str">
        <f>CS_PID!AB254/VLOOKUP($B254,표2[#ALL],2)/HLOOKUP($A254,표1[#ALL],row(),false)</f>
        <v>#N/A</v>
      </c>
      <c r="AC254" s="372" t="str">
        <f>CS_PID!AC254/VLOOKUP($B254,표2[#ALL],2)/HLOOKUP($A254,표1[#ALL],row(),false)</f>
        <v>#N/A</v>
      </c>
      <c r="AD254" s="372" t="str">
        <f>CS_PID!AD254/VLOOKUP($B254,표2[#ALL],2)/HLOOKUP($A254,표1[#ALL],row(),false)</f>
        <v>#N/A</v>
      </c>
      <c r="AE254" s="372" t="str">
        <f>CS_PID!AE254/VLOOKUP($B254,표2[#ALL],2)/HLOOKUP($A254,표1[#ALL],row(),false)</f>
        <v>#N/A</v>
      </c>
      <c r="AF254" s="372" t="str">
        <f>CS_PID!AF254/VLOOKUP($B254,표2[#ALL],2)/HLOOKUP($A254,표1[#ALL],row(),false)</f>
        <v>#N/A</v>
      </c>
      <c r="AG254" s="372" t="str">
        <f>CS_PID!AG254/VLOOKUP($B254,표2[#ALL],2)/HLOOKUP($A254,표1[#ALL],row(),false)</f>
        <v>#N/A</v>
      </c>
      <c r="AH254" s="372" t="str">
        <f>CS_PID!AH254/VLOOKUP($B254,표2[#ALL],2)/HLOOKUP($A254,표1[#ALL],row(),false)</f>
        <v>#N/A</v>
      </c>
      <c r="AI254" s="372" t="str">
        <f>CS_PID!AI254/VLOOKUP($B254,표2[#ALL],2)/HLOOKUP($A254,표1[#ALL],row(),false)</f>
        <v>#N/A</v>
      </c>
      <c r="AJ254" s="372" t="str">
        <f>CS_PID!AJ254/VLOOKUP($B254,표2[#ALL],2)/HLOOKUP($A254,표1[#ALL],row(),false)</f>
        <v>#N/A</v>
      </c>
      <c r="AK254" s="372" t="str">
        <f>CS_PID!AK254/VLOOKUP($B254,표2[#ALL],2)/HLOOKUP($A254,표1[#ALL],row(),false)</f>
        <v>#N/A</v>
      </c>
      <c r="AL254" s="372" t="str">
        <f>CS_PID!AL254/VLOOKUP($B254,표2[#ALL],2)/HLOOKUP($A254,표1[#ALL],row(),false)</f>
        <v>#N/A</v>
      </c>
      <c r="AM254" s="372" t="str">
        <f>CS_PID!AM254/VLOOKUP($B254,표2[#ALL],2)/HLOOKUP($A254,표1[#ALL],row(),false)</f>
        <v>#N/A</v>
      </c>
      <c r="AN254" s="372" t="str">
        <f>CS_PID!AN254/VLOOKUP($B254,표2[#ALL],2)/HLOOKUP($A254,표1[#ALL],row(),false)</f>
        <v>#N/A</v>
      </c>
      <c r="AO254" s="372" t="str">
        <f>CS_PID!AO254/VLOOKUP($B254,표2[#ALL],2)/HLOOKUP($A254,표1[#ALL],row(),false)</f>
        <v>#N/A</v>
      </c>
      <c r="AP254" s="372" t="str">
        <f>CS_PID!AP254/VLOOKUP($B254,표2[#ALL],2)/HLOOKUP($A254,표1[#ALL],row(),false)</f>
        <v>#N/A</v>
      </c>
      <c r="AQ254" s="372" t="str">
        <f>CS_PID!AQ254/VLOOKUP($B254,표2[#ALL],2)/HLOOKUP($A254,표1[#ALL],row(),false)</f>
        <v>#N/A</v>
      </c>
      <c r="AR254" s="372" t="str">
        <f>CS_PID!AR254/VLOOKUP($B254,표2[#ALL],2)/HLOOKUP($A254,표1[#ALL],row(),false)</f>
        <v>#N/A</v>
      </c>
      <c r="AS254" s="373" t="str">
        <f>CS_PID!AS254/VLOOKUP($B254,표2[#ALL],2)/HLOOKUP($A254,표1[#ALL],row(),false)</f>
        <v>#N/A</v>
      </c>
    </row>
    <row r="255">
      <c r="A255" s="374"/>
      <c r="B255" s="375"/>
      <c r="C255" s="376" t="str">
        <f>CS_PID!C255/VLOOKUP($B255,표2[#ALL],2)</f>
        <v>#N/A</v>
      </c>
      <c r="D255" s="376" t="str">
        <f>CS_PID!D255/VLOOKUP($B255,표2[#ALL],2)</f>
        <v>#N/A</v>
      </c>
      <c r="E255" s="376" t="str">
        <f>CS_PID!E255/VLOOKUP($B255,표2[#ALL],2)</f>
        <v>#N/A</v>
      </c>
      <c r="F255" s="376" t="str">
        <f>CS_PID!F255/VLOOKUP($B255,표2[#ALL],2)</f>
        <v>#N/A</v>
      </c>
      <c r="G255" s="376" t="str">
        <f>CS_PID!G255/VLOOKUP($B255,표2[#ALL],2)</f>
        <v>#N/A</v>
      </c>
      <c r="H255" s="376" t="str">
        <f>CS_PID!H255/VLOOKUP($B255,표2[#ALL],2)/HLOOKUP($A255,표1[#ALL],row(),false)</f>
        <v>#N/A</v>
      </c>
      <c r="I255" s="376" t="str">
        <f>CS_PID!I255/VLOOKUP($B255,표2[#ALL],2)/HLOOKUP($A255,표1[#ALL],row(),false)</f>
        <v>#N/A</v>
      </c>
      <c r="J255" s="376" t="str">
        <f>CS_PID!J255/VLOOKUP($B255,표2[#ALL],2)/HLOOKUP($A255,표1[#ALL],row(),false)</f>
        <v>#N/A</v>
      </c>
      <c r="K255" s="376" t="str">
        <f>CS_PID!K255/VLOOKUP($B255,표2[#ALL],2)/HLOOKUP($A255,표1[#ALL],row(),false)</f>
        <v>#N/A</v>
      </c>
      <c r="L255" s="376" t="str">
        <f>CS_PID!L255/VLOOKUP($B255,표2[#ALL],2)/HLOOKUP($A255,표1[#ALL],row(),false)</f>
        <v>#N/A</v>
      </c>
      <c r="M255" s="376" t="str">
        <f>CS_PID!M255/VLOOKUP($B255,표2[#ALL],2)/HLOOKUP($A255,표1[#ALL],row(),false)</f>
        <v>#N/A</v>
      </c>
      <c r="N255" s="376" t="str">
        <f>CS_PID!N255/VLOOKUP($B255,표2[#ALL],2)/HLOOKUP($A255,표1[#ALL],row(),false)</f>
        <v>#N/A</v>
      </c>
      <c r="O255" s="376" t="str">
        <f>CS_PID!O255/VLOOKUP($B255,표2[#ALL],2)/HLOOKUP($A255,표1[#ALL],row(),false)</f>
        <v>#N/A</v>
      </c>
      <c r="P255" s="376" t="str">
        <f>CS_PID!P255/VLOOKUP($B255,표2[#ALL],2)/HLOOKUP($A255,표1[#ALL],row(),false)</f>
        <v>#N/A</v>
      </c>
      <c r="Q255" s="376" t="str">
        <f>CS_PID!Q255/VLOOKUP($B255,표2[#ALL],2)/HLOOKUP($A255,표1[#ALL],row(),false)</f>
        <v>#N/A</v>
      </c>
      <c r="R255" s="376" t="str">
        <f>CS_PID!R255/VLOOKUP($B255,표2[#ALL],2)/HLOOKUP($A255,표1[#ALL],row(),false)</f>
        <v>#N/A</v>
      </c>
      <c r="S255" s="376" t="str">
        <f>CS_PID!S255/VLOOKUP($B255,표2[#ALL],2)/HLOOKUP($A255,표1[#ALL],row(),false)</f>
        <v>#N/A</v>
      </c>
      <c r="T255" s="376" t="str">
        <f>CS_PID!T255/VLOOKUP($B255,표2[#ALL],2)/HLOOKUP($A255,표1[#ALL],row(),false)</f>
        <v>#N/A</v>
      </c>
      <c r="U255" s="376" t="str">
        <f>CS_PID!U255/VLOOKUP($B255,표2[#ALL],2)/HLOOKUP($A255,표1[#ALL],row(),false)</f>
        <v>#N/A</v>
      </c>
      <c r="V255" s="376" t="str">
        <f>CS_PID!V255/VLOOKUP($B255,표2[#ALL],2)/HLOOKUP($A255,표1[#ALL],row(),false)</f>
        <v>#N/A</v>
      </c>
      <c r="W255" s="376" t="str">
        <f>CS_PID!W255/VLOOKUP($B255,표2[#ALL],2)/HLOOKUP($A255,표1[#ALL],row(),false)</f>
        <v>#N/A</v>
      </c>
      <c r="X255" s="376" t="str">
        <f>CS_PID!X255/VLOOKUP($B255,표2[#ALL],2)/HLOOKUP($A255,표1[#ALL],row(),false)</f>
        <v>#N/A</v>
      </c>
      <c r="Y255" s="376" t="str">
        <f>CS_PID!Y255/VLOOKUP($B255,표2[#ALL],2)/HLOOKUP($A255,표1[#ALL],row(),false)</f>
        <v>#N/A</v>
      </c>
      <c r="Z255" s="376" t="str">
        <f>CS_PID!Z255/VLOOKUP($B255,표2[#ALL],2)/HLOOKUP($A255,표1[#ALL],row(),false)</f>
        <v>#N/A</v>
      </c>
      <c r="AA255" s="376" t="str">
        <f>CS_PID!AA255/VLOOKUP($B255,표2[#ALL],2)/HLOOKUP($A255,표1[#ALL],row(),false)</f>
        <v>#N/A</v>
      </c>
      <c r="AB255" s="376" t="str">
        <f>CS_PID!AB255/VLOOKUP($B255,표2[#ALL],2)/HLOOKUP($A255,표1[#ALL],row(),false)</f>
        <v>#N/A</v>
      </c>
      <c r="AC255" s="376" t="str">
        <f>CS_PID!AC255/VLOOKUP($B255,표2[#ALL],2)/HLOOKUP($A255,표1[#ALL],row(),false)</f>
        <v>#N/A</v>
      </c>
      <c r="AD255" s="376" t="str">
        <f>CS_PID!AD255/VLOOKUP($B255,표2[#ALL],2)/HLOOKUP($A255,표1[#ALL],row(),false)</f>
        <v>#N/A</v>
      </c>
      <c r="AE255" s="376" t="str">
        <f>CS_PID!AE255/VLOOKUP($B255,표2[#ALL],2)/HLOOKUP($A255,표1[#ALL],row(),false)</f>
        <v>#N/A</v>
      </c>
      <c r="AF255" s="376" t="str">
        <f>CS_PID!AF255/VLOOKUP($B255,표2[#ALL],2)/HLOOKUP($A255,표1[#ALL],row(),false)</f>
        <v>#N/A</v>
      </c>
      <c r="AG255" s="376" t="str">
        <f>CS_PID!AG255/VLOOKUP($B255,표2[#ALL],2)/HLOOKUP($A255,표1[#ALL],row(),false)</f>
        <v>#N/A</v>
      </c>
      <c r="AH255" s="376" t="str">
        <f>CS_PID!AH255/VLOOKUP($B255,표2[#ALL],2)/HLOOKUP($A255,표1[#ALL],row(),false)</f>
        <v>#N/A</v>
      </c>
      <c r="AI255" s="376" t="str">
        <f>CS_PID!AI255/VLOOKUP($B255,표2[#ALL],2)/HLOOKUP($A255,표1[#ALL],row(),false)</f>
        <v>#N/A</v>
      </c>
      <c r="AJ255" s="376" t="str">
        <f>CS_PID!AJ255/VLOOKUP($B255,표2[#ALL],2)/HLOOKUP($A255,표1[#ALL],row(),false)</f>
        <v>#N/A</v>
      </c>
      <c r="AK255" s="376" t="str">
        <f>CS_PID!AK255/VLOOKUP($B255,표2[#ALL],2)/HLOOKUP($A255,표1[#ALL],row(),false)</f>
        <v>#N/A</v>
      </c>
      <c r="AL255" s="376" t="str">
        <f>CS_PID!AL255/VLOOKUP($B255,표2[#ALL],2)/HLOOKUP($A255,표1[#ALL],row(),false)</f>
        <v>#N/A</v>
      </c>
      <c r="AM255" s="376" t="str">
        <f>CS_PID!AM255/VLOOKUP($B255,표2[#ALL],2)/HLOOKUP($A255,표1[#ALL],row(),false)</f>
        <v>#N/A</v>
      </c>
      <c r="AN255" s="376" t="str">
        <f>CS_PID!AN255/VLOOKUP($B255,표2[#ALL],2)/HLOOKUP($A255,표1[#ALL],row(),false)</f>
        <v>#N/A</v>
      </c>
      <c r="AO255" s="376" t="str">
        <f>CS_PID!AO255/VLOOKUP($B255,표2[#ALL],2)/HLOOKUP($A255,표1[#ALL],row(),false)</f>
        <v>#N/A</v>
      </c>
      <c r="AP255" s="376" t="str">
        <f>CS_PID!AP255/VLOOKUP($B255,표2[#ALL],2)/HLOOKUP($A255,표1[#ALL],row(),false)</f>
        <v>#N/A</v>
      </c>
      <c r="AQ255" s="376" t="str">
        <f>CS_PID!AQ255/VLOOKUP($B255,표2[#ALL],2)/HLOOKUP($A255,표1[#ALL],row(),false)</f>
        <v>#N/A</v>
      </c>
      <c r="AR255" s="376" t="str">
        <f>CS_PID!AR255/VLOOKUP($B255,표2[#ALL],2)/HLOOKUP($A255,표1[#ALL],row(),false)</f>
        <v>#N/A</v>
      </c>
      <c r="AS255" s="377" t="str">
        <f>CS_PID!AS255/VLOOKUP($B255,표2[#ALL],2)/HLOOKUP($A255,표1[#ALL],row(),false)</f>
        <v>#N/A</v>
      </c>
    </row>
    <row r="256">
      <c r="A256" s="370"/>
      <c r="B256" s="371"/>
      <c r="C256" s="372" t="str">
        <f>CS_PID!C256/VLOOKUP($B256,표2[#ALL],2)</f>
        <v>#N/A</v>
      </c>
      <c r="D256" s="372" t="str">
        <f>CS_PID!D256/VLOOKUP($B256,표2[#ALL],2)</f>
        <v>#N/A</v>
      </c>
      <c r="E256" s="372" t="str">
        <f>CS_PID!E256/VLOOKUP($B256,표2[#ALL],2)</f>
        <v>#N/A</v>
      </c>
      <c r="F256" s="372" t="str">
        <f>CS_PID!F256/VLOOKUP($B256,표2[#ALL],2)</f>
        <v>#N/A</v>
      </c>
      <c r="G256" s="372" t="str">
        <f>CS_PID!G256/VLOOKUP($B256,표2[#ALL],2)</f>
        <v>#N/A</v>
      </c>
      <c r="H256" s="372" t="str">
        <f>CS_PID!H256/VLOOKUP($B256,표2[#ALL],2)/HLOOKUP($A256,표1[#ALL],row(),false)</f>
        <v>#N/A</v>
      </c>
      <c r="I256" s="372" t="str">
        <f>CS_PID!I256/VLOOKUP($B256,표2[#ALL],2)/HLOOKUP($A256,표1[#ALL],row(),false)</f>
        <v>#N/A</v>
      </c>
      <c r="J256" s="372" t="str">
        <f>CS_PID!J256/VLOOKUP($B256,표2[#ALL],2)/HLOOKUP($A256,표1[#ALL],row(),false)</f>
        <v>#N/A</v>
      </c>
      <c r="K256" s="372" t="str">
        <f>CS_PID!K256/VLOOKUP($B256,표2[#ALL],2)/HLOOKUP($A256,표1[#ALL],row(),false)</f>
        <v>#N/A</v>
      </c>
      <c r="L256" s="372" t="str">
        <f>CS_PID!L256/VLOOKUP($B256,표2[#ALL],2)/HLOOKUP($A256,표1[#ALL],row(),false)</f>
        <v>#N/A</v>
      </c>
      <c r="M256" s="372" t="str">
        <f>CS_PID!M256/VLOOKUP($B256,표2[#ALL],2)/HLOOKUP($A256,표1[#ALL],row(),false)</f>
        <v>#N/A</v>
      </c>
      <c r="N256" s="372" t="str">
        <f>CS_PID!N256/VLOOKUP($B256,표2[#ALL],2)/HLOOKUP($A256,표1[#ALL],row(),false)</f>
        <v>#N/A</v>
      </c>
      <c r="O256" s="372" t="str">
        <f>CS_PID!O256/VLOOKUP($B256,표2[#ALL],2)/HLOOKUP($A256,표1[#ALL],row(),false)</f>
        <v>#N/A</v>
      </c>
      <c r="P256" s="372" t="str">
        <f>CS_PID!P256/VLOOKUP($B256,표2[#ALL],2)/HLOOKUP($A256,표1[#ALL],row(),false)</f>
        <v>#N/A</v>
      </c>
      <c r="Q256" s="372" t="str">
        <f>CS_PID!Q256/VLOOKUP($B256,표2[#ALL],2)/HLOOKUP($A256,표1[#ALL],row(),false)</f>
        <v>#N/A</v>
      </c>
      <c r="R256" s="372" t="str">
        <f>CS_PID!R256/VLOOKUP($B256,표2[#ALL],2)/HLOOKUP($A256,표1[#ALL],row(),false)</f>
        <v>#N/A</v>
      </c>
      <c r="S256" s="372" t="str">
        <f>CS_PID!S256/VLOOKUP($B256,표2[#ALL],2)/HLOOKUP($A256,표1[#ALL],row(),false)</f>
        <v>#N/A</v>
      </c>
      <c r="T256" s="372" t="str">
        <f>CS_PID!T256/VLOOKUP($B256,표2[#ALL],2)/HLOOKUP($A256,표1[#ALL],row(),false)</f>
        <v>#N/A</v>
      </c>
      <c r="U256" s="372" t="str">
        <f>CS_PID!U256/VLOOKUP($B256,표2[#ALL],2)/HLOOKUP($A256,표1[#ALL],row(),false)</f>
        <v>#N/A</v>
      </c>
      <c r="V256" s="372" t="str">
        <f>CS_PID!V256/VLOOKUP($B256,표2[#ALL],2)/HLOOKUP($A256,표1[#ALL],row(),false)</f>
        <v>#N/A</v>
      </c>
      <c r="W256" s="372" t="str">
        <f>CS_PID!W256/VLOOKUP($B256,표2[#ALL],2)/HLOOKUP($A256,표1[#ALL],row(),false)</f>
        <v>#N/A</v>
      </c>
      <c r="X256" s="372" t="str">
        <f>CS_PID!X256/VLOOKUP($B256,표2[#ALL],2)/HLOOKUP($A256,표1[#ALL],row(),false)</f>
        <v>#N/A</v>
      </c>
      <c r="Y256" s="372" t="str">
        <f>CS_PID!Y256/VLOOKUP($B256,표2[#ALL],2)/HLOOKUP($A256,표1[#ALL],row(),false)</f>
        <v>#N/A</v>
      </c>
      <c r="Z256" s="372" t="str">
        <f>CS_PID!Z256/VLOOKUP($B256,표2[#ALL],2)/HLOOKUP($A256,표1[#ALL],row(),false)</f>
        <v>#N/A</v>
      </c>
      <c r="AA256" s="372" t="str">
        <f>CS_PID!AA256/VLOOKUP($B256,표2[#ALL],2)/HLOOKUP($A256,표1[#ALL],row(),false)</f>
        <v>#N/A</v>
      </c>
      <c r="AB256" s="372" t="str">
        <f>CS_PID!AB256/VLOOKUP($B256,표2[#ALL],2)/HLOOKUP($A256,표1[#ALL],row(),false)</f>
        <v>#N/A</v>
      </c>
      <c r="AC256" s="372" t="str">
        <f>CS_PID!AC256/VLOOKUP($B256,표2[#ALL],2)/HLOOKUP($A256,표1[#ALL],row(),false)</f>
        <v>#N/A</v>
      </c>
      <c r="AD256" s="372" t="str">
        <f>CS_PID!AD256/VLOOKUP($B256,표2[#ALL],2)/HLOOKUP($A256,표1[#ALL],row(),false)</f>
        <v>#N/A</v>
      </c>
      <c r="AE256" s="372" t="str">
        <f>CS_PID!AE256/VLOOKUP($B256,표2[#ALL],2)/HLOOKUP($A256,표1[#ALL],row(),false)</f>
        <v>#N/A</v>
      </c>
      <c r="AF256" s="372" t="str">
        <f>CS_PID!AF256/VLOOKUP($B256,표2[#ALL],2)/HLOOKUP($A256,표1[#ALL],row(),false)</f>
        <v>#N/A</v>
      </c>
      <c r="AG256" s="372" t="str">
        <f>CS_PID!AG256/VLOOKUP($B256,표2[#ALL],2)/HLOOKUP($A256,표1[#ALL],row(),false)</f>
        <v>#N/A</v>
      </c>
      <c r="AH256" s="372" t="str">
        <f>CS_PID!AH256/VLOOKUP($B256,표2[#ALL],2)/HLOOKUP($A256,표1[#ALL],row(),false)</f>
        <v>#N/A</v>
      </c>
      <c r="AI256" s="372" t="str">
        <f>CS_PID!AI256/VLOOKUP($B256,표2[#ALL],2)/HLOOKUP($A256,표1[#ALL],row(),false)</f>
        <v>#N/A</v>
      </c>
      <c r="AJ256" s="372" t="str">
        <f>CS_PID!AJ256/VLOOKUP($B256,표2[#ALL],2)/HLOOKUP($A256,표1[#ALL],row(),false)</f>
        <v>#N/A</v>
      </c>
      <c r="AK256" s="372" t="str">
        <f>CS_PID!AK256/VLOOKUP($B256,표2[#ALL],2)/HLOOKUP($A256,표1[#ALL],row(),false)</f>
        <v>#N/A</v>
      </c>
      <c r="AL256" s="372" t="str">
        <f>CS_PID!AL256/VLOOKUP($B256,표2[#ALL],2)/HLOOKUP($A256,표1[#ALL],row(),false)</f>
        <v>#N/A</v>
      </c>
      <c r="AM256" s="372" t="str">
        <f>CS_PID!AM256/VLOOKUP($B256,표2[#ALL],2)/HLOOKUP($A256,표1[#ALL],row(),false)</f>
        <v>#N/A</v>
      </c>
      <c r="AN256" s="372" t="str">
        <f>CS_PID!AN256/VLOOKUP($B256,표2[#ALL],2)/HLOOKUP($A256,표1[#ALL],row(),false)</f>
        <v>#N/A</v>
      </c>
      <c r="AO256" s="372" t="str">
        <f>CS_PID!AO256/VLOOKUP($B256,표2[#ALL],2)/HLOOKUP($A256,표1[#ALL],row(),false)</f>
        <v>#N/A</v>
      </c>
      <c r="AP256" s="372" t="str">
        <f>CS_PID!AP256/VLOOKUP($B256,표2[#ALL],2)/HLOOKUP($A256,표1[#ALL],row(),false)</f>
        <v>#N/A</v>
      </c>
      <c r="AQ256" s="372" t="str">
        <f>CS_PID!AQ256/VLOOKUP($B256,표2[#ALL],2)/HLOOKUP($A256,표1[#ALL],row(),false)</f>
        <v>#N/A</v>
      </c>
      <c r="AR256" s="372" t="str">
        <f>CS_PID!AR256/VLOOKUP($B256,표2[#ALL],2)/HLOOKUP($A256,표1[#ALL],row(),false)</f>
        <v>#N/A</v>
      </c>
      <c r="AS256" s="373" t="str">
        <f>CS_PID!AS256/VLOOKUP($B256,표2[#ALL],2)/HLOOKUP($A256,표1[#ALL],row(),false)</f>
        <v>#N/A</v>
      </c>
    </row>
    <row r="257">
      <c r="A257" s="374"/>
      <c r="B257" s="375"/>
      <c r="C257" s="376" t="str">
        <f>CS_PID!C257/VLOOKUP($B257,표2[#ALL],2)</f>
        <v>#N/A</v>
      </c>
      <c r="D257" s="376" t="str">
        <f>CS_PID!D257/VLOOKUP($B257,표2[#ALL],2)</f>
        <v>#N/A</v>
      </c>
      <c r="E257" s="376" t="str">
        <f>CS_PID!E257/VLOOKUP($B257,표2[#ALL],2)</f>
        <v>#N/A</v>
      </c>
      <c r="F257" s="376" t="str">
        <f>CS_PID!F257/VLOOKUP($B257,표2[#ALL],2)</f>
        <v>#N/A</v>
      </c>
      <c r="G257" s="376" t="str">
        <f>CS_PID!G257/VLOOKUP($B257,표2[#ALL],2)</f>
        <v>#N/A</v>
      </c>
      <c r="H257" s="376" t="str">
        <f>CS_PID!H257/VLOOKUP($B257,표2[#ALL],2)/HLOOKUP($A257,표1[#ALL],row(),false)</f>
        <v>#N/A</v>
      </c>
      <c r="I257" s="376" t="str">
        <f>CS_PID!I257/VLOOKUP($B257,표2[#ALL],2)/HLOOKUP($A257,표1[#ALL],row(),false)</f>
        <v>#N/A</v>
      </c>
      <c r="J257" s="376" t="str">
        <f>CS_PID!J257/VLOOKUP($B257,표2[#ALL],2)/HLOOKUP($A257,표1[#ALL],row(),false)</f>
        <v>#N/A</v>
      </c>
      <c r="K257" s="376" t="str">
        <f>CS_PID!K257/VLOOKUP($B257,표2[#ALL],2)/HLOOKUP($A257,표1[#ALL],row(),false)</f>
        <v>#N/A</v>
      </c>
      <c r="L257" s="376" t="str">
        <f>CS_PID!L257/VLOOKUP($B257,표2[#ALL],2)/HLOOKUP($A257,표1[#ALL],row(),false)</f>
        <v>#N/A</v>
      </c>
      <c r="M257" s="376" t="str">
        <f>CS_PID!M257/VLOOKUP($B257,표2[#ALL],2)/HLOOKUP($A257,표1[#ALL],row(),false)</f>
        <v>#N/A</v>
      </c>
      <c r="N257" s="376" t="str">
        <f>CS_PID!N257/VLOOKUP($B257,표2[#ALL],2)/HLOOKUP($A257,표1[#ALL],row(),false)</f>
        <v>#N/A</v>
      </c>
      <c r="O257" s="376" t="str">
        <f>CS_PID!O257/VLOOKUP($B257,표2[#ALL],2)/HLOOKUP($A257,표1[#ALL],row(),false)</f>
        <v>#N/A</v>
      </c>
      <c r="P257" s="376" t="str">
        <f>CS_PID!P257/VLOOKUP($B257,표2[#ALL],2)/HLOOKUP($A257,표1[#ALL],row(),false)</f>
        <v>#N/A</v>
      </c>
      <c r="Q257" s="376" t="str">
        <f>CS_PID!Q257/VLOOKUP($B257,표2[#ALL],2)/HLOOKUP($A257,표1[#ALL],row(),false)</f>
        <v>#N/A</v>
      </c>
      <c r="R257" s="376" t="str">
        <f>CS_PID!R257/VLOOKUP($B257,표2[#ALL],2)/HLOOKUP($A257,표1[#ALL],row(),false)</f>
        <v>#N/A</v>
      </c>
      <c r="S257" s="376" t="str">
        <f>CS_PID!S257/VLOOKUP($B257,표2[#ALL],2)/HLOOKUP($A257,표1[#ALL],row(),false)</f>
        <v>#N/A</v>
      </c>
      <c r="T257" s="376" t="str">
        <f>CS_PID!T257/VLOOKUP($B257,표2[#ALL],2)/HLOOKUP($A257,표1[#ALL],row(),false)</f>
        <v>#N/A</v>
      </c>
      <c r="U257" s="376" t="str">
        <f>CS_PID!U257/VLOOKUP($B257,표2[#ALL],2)/HLOOKUP($A257,표1[#ALL],row(),false)</f>
        <v>#N/A</v>
      </c>
      <c r="V257" s="376" t="str">
        <f>CS_PID!V257/VLOOKUP($B257,표2[#ALL],2)/HLOOKUP($A257,표1[#ALL],row(),false)</f>
        <v>#N/A</v>
      </c>
      <c r="W257" s="376" t="str">
        <f>CS_PID!W257/VLOOKUP($B257,표2[#ALL],2)/HLOOKUP($A257,표1[#ALL],row(),false)</f>
        <v>#N/A</v>
      </c>
      <c r="X257" s="376" t="str">
        <f>CS_PID!X257/VLOOKUP($B257,표2[#ALL],2)/HLOOKUP($A257,표1[#ALL],row(),false)</f>
        <v>#N/A</v>
      </c>
      <c r="Y257" s="376" t="str">
        <f>CS_PID!Y257/VLOOKUP($B257,표2[#ALL],2)/HLOOKUP($A257,표1[#ALL],row(),false)</f>
        <v>#N/A</v>
      </c>
      <c r="Z257" s="376" t="str">
        <f>CS_PID!Z257/VLOOKUP($B257,표2[#ALL],2)/HLOOKUP($A257,표1[#ALL],row(),false)</f>
        <v>#N/A</v>
      </c>
      <c r="AA257" s="376" t="str">
        <f>CS_PID!AA257/VLOOKUP($B257,표2[#ALL],2)/HLOOKUP($A257,표1[#ALL],row(),false)</f>
        <v>#N/A</v>
      </c>
      <c r="AB257" s="376" t="str">
        <f>CS_PID!AB257/VLOOKUP($B257,표2[#ALL],2)/HLOOKUP($A257,표1[#ALL],row(),false)</f>
        <v>#N/A</v>
      </c>
      <c r="AC257" s="376" t="str">
        <f>CS_PID!AC257/VLOOKUP($B257,표2[#ALL],2)/HLOOKUP($A257,표1[#ALL],row(),false)</f>
        <v>#N/A</v>
      </c>
      <c r="AD257" s="376" t="str">
        <f>CS_PID!AD257/VLOOKUP($B257,표2[#ALL],2)/HLOOKUP($A257,표1[#ALL],row(),false)</f>
        <v>#N/A</v>
      </c>
      <c r="AE257" s="376" t="str">
        <f>CS_PID!AE257/VLOOKUP($B257,표2[#ALL],2)/HLOOKUP($A257,표1[#ALL],row(),false)</f>
        <v>#N/A</v>
      </c>
      <c r="AF257" s="376" t="str">
        <f>CS_PID!AF257/VLOOKUP($B257,표2[#ALL],2)/HLOOKUP($A257,표1[#ALL],row(),false)</f>
        <v>#N/A</v>
      </c>
      <c r="AG257" s="376" t="str">
        <f>CS_PID!AG257/VLOOKUP($B257,표2[#ALL],2)/HLOOKUP($A257,표1[#ALL],row(),false)</f>
        <v>#N/A</v>
      </c>
      <c r="AH257" s="376" t="str">
        <f>CS_PID!AH257/VLOOKUP($B257,표2[#ALL],2)/HLOOKUP($A257,표1[#ALL],row(),false)</f>
        <v>#N/A</v>
      </c>
      <c r="AI257" s="376" t="str">
        <f>CS_PID!AI257/VLOOKUP($B257,표2[#ALL],2)/HLOOKUP($A257,표1[#ALL],row(),false)</f>
        <v>#N/A</v>
      </c>
      <c r="AJ257" s="376" t="str">
        <f>CS_PID!AJ257/VLOOKUP($B257,표2[#ALL],2)/HLOOKUP($A257,표1[#ALL],row(),false)</f>
        <v>#N/A</v>
      </c>
      <c r="AK257" s="376" t="str">
        <f>CS_PID!AK257/VLOOKUP($B257,표2[#ALL],2)/HLOOKUP($A257,표1[#ALL],row(),false)</f>
        <v>#N/A</v>
      </c>
      <c r="AL257" s="376" t="str">
        <f>CS_PID!AL257/VLOOKUP($B257,표2[#ALL],2)/HLOOKUP($A257,표1[#ALL],row(),false)</f>
        <v>#N/A</v>
      </c>
      <c r="AM257" s="376" t="str">
        <f>CS_PID!AM257/VLOOKUP($B257,표2[#ALL],2)/HLOOKUP($A257,표1[#ALL],row(),false)</f>
        <v>#N/A</v>
      </c>
      <c r="AN257" s="376" t="str">
        <f>CS_PID!AN257/VLOOKUP($B257,표2[#ALL],2)/HLOOKUP($A257,표1[#ALL],row(),false)</f>
        <v>#N/A</v>
      </c>
      <c r="AO257" s="376" t="str">
        <f>CS_PID!AO257/VLOOKUP($B257,표2[#ALL],2)/HLOOKUP($A257,표1[#ALL],row(),false)</f>
        <v>#N/A</v>
      </c>
      <c r="AP257" s="376" t="str">
        <f>CS_PID!AP257/VLOOKUP($B257,표2[#ALL],2)/HLOOKUP($A257,표1[#ALL],row(),false)</f>
        <v>#N/A</v>
      </c>
      <c r="AQ257" s="376" t="str">
        <f>CS_PID!AQ257/VLOOKUP($B257,표2[#ALL],2)/HLOOKUP($A257,표1[#ALL],row(),false)</f>
        <v>#N/A</v>
      </c>
      <c r="AR257" s="376" t="str">
        <f>CS_PID!AR257/VLOOKUP($B257,표2[#ALL],2)/HLOOKUP($A257,표1[#ALL],row(),false)</f>
        <v>#N/A</v>
      </c>
      <c r="AS257" s="377" t="str">
        <f>CS_PID!AS257/VLOOKUP($B257,표2[#ALL],2)/HLOOKUP($A257,표1[#ALL],row(),false)</f>
        <v>#N/A</v>
      </c>
    </row>
    <row r="258">
      <c r="A258" s="370"/>
      <c r="B258" s="371"/>
      <c r="C258" s="372" t="str">
        <f>CS_PID!C258/VLOOKUP($B258,표2[#ALL],2)</f>
        <v>#N/A</v>
      </c>
      <c r="D258" s="372" t="str">
        <f>CS_PID!D258/VLOOKUP($B258,표2[#ALL],2)</f>
        <v>#N/A</v>
      </c>
      <c r="E258" s="372" t="str">
        <f>CS_PID!E258/VLOOKUP($B258,표2[#ALL],2)</f>
        <v>#N/A</v>
      </c>
      <c r="F258" s="372" t="str">
        <f>CS_PID!F258/VLOOKUP($B258,표2[#ALL],2)</f>
        <v>#N/A</v>
      </c>
      <c r="G258" s="372" t="str">
        <f>CS_PID!G258/VLOOKUP($B258,표2[#ALL],2)</f>
        <v>#N/A</v>
      </c>
      <c r="H258" s="372" t="str">
        <f>CS_PID!H258/VLOOKUP($B258,표2[#ALL],2)/HLOOKUP($A258,표1[#ALL],row(),false)</f>
        <v>#N/A</v>
      </c>
      <c r="I258" s="372" t="str">
        <f>CS_PID!I258/VLOOKUP($B258,표2[#ALL],2)/HLOOKUP($A258,표1[#ALL],row(),false)</f>
        <v>#N/A</v>
      </c>
      <c r="J258" s="372" t="str">
        <f>CS_PID!J258/VLOOKUP($B258,표2[#ALL],2)/HLOOKUP($A258,표1[#ALL],row(),false)</f>
        <v>#N/A</v>
      </c>
      <c r="K258" s="372" t="str">
        <f>CS_PID!K258/VLOOKUP($B258,표2[#ALL],2)/HLOOKUP($A258,표1[#ALL],row(),false)</f>
        <v>#N/A</v>
      </c>
      <c r="L258" s="372" t="str">
        <f>CS_PID!L258/VLOOKUP($B258,표2[#ALL],2)/HLOOKUP($A258,표1[#ALL],row(),false)</f>
        <v>#N/A</v>
      </c>
      <c r="M258" s="372" t="str">
        <f>CS_PID!M258/VLOOKUP($B258,표2[#ALL],2)/HLOOKUP($A258,표1[#ALL],row(),false)</f>
        <v>#N/A</v>
      </c>
      <c r="N258" s="372" t="str">
        <f>CS_PID!N258/VLOOKUP($B258,표2[#ALL],2)/HLOOKUP($A258,표1[#ALL],row(),false)</f>
        <v>#N/A</v>
      </c>
      <c r="O258" s="372" t="str">
        <f>CS_PID!O258/VLOOKUP($B258,표2[#ALL],2)/HLOOKUP($A258,표1[#ALL],row(),false)</f>
        <v>#N/A</v>
      </c>
      <c r="P258" s="372" t="str">
        <f>CS_PID!P258/VLOOKUP($B258,표2[#ALL],2)/HLOOKUP($A258,표1[#ALL],row(),false)</f>
        <v>#N/A</v>
      </c>
      <c r="Q258" s="372" t="str">
        <f>CS_PID!Q258/VLOOKUP($B258,표2[#ALL],2)/HLOOKUP($A258,표1[#ALL],row(),false)</f>
        <v>#N/A</v>
      </c>
      <c r="R258" s="372" t="str">
        <f>CS_PID!R258/VLOOKUP($B258,표2[#ALL],2)/HLOOKUP($A258,표1[#ALL],row(),false)</f>
        <v>#N/A</v>
      </c>
      <c r="S258" s="372" t="str">
        <f>CS_PID!S258/VLOOKUP($B258,표2[#ALL],2)/HLOOKUP($A258,표1[#ALL],row(),false)</f>
        <v>#N/A</v>
      </c>
      <c r="T258" s="372" t="str">
        <f>CS_PID!T258/VLOOKUP($B258,표2[#ALL],2)/HLOOKUP($A258,표1[#ALL],row(),false)</f>
        <v>#N/A</v>
      </c>
      <c r="U258" s="372" t="str">
        <f>CS_PID!U258/VLOOKUP($B258,표2[#ALL],2)/HLOOKUP($A258,표1[#ALL],row(),false)</f>
        <v>#N/A</v>
      </c>
      <c r="V258" s="372" t="str">
        <f>CS_PID!V258/VLOOKUP($B258,표2[#ALL],2)/HLOOKUP($A258,표1[#ALL],row(),false)</f>
        <v>#N/A</v>
      </c>
      <c r="W258" s="372" t="str">
        <f>CS_PID!W258/VLOOKUP($B258,표2[#ALL],2)/HLOOKUP($A258,표1[#ALL],row(),false)</f>
        <v>#N/A</v>
      </c>
      <c r="X258" s="372" t="str">
        <f>CS_PID!X258/VLOOKUP($B258,표2[#ALL],2)/HLOOKUP($A258,표1[#ALL],row(),false)</f>
        <v>#N/A</v>
      </c>
      <c r="Y258" s="372" t="str">
        <f>CS_PID!Y258/VLOOKUP($B258,표2[#ALL],2)/HLOOKUP($A258,표1[#ALL],row(),false)</f>
        <v>#N/A</v>
      </c>
      <c r="Z258" s="372" t="str">
        <f>CS_PID!Z258/VLOOKUP($B258,표2[#ALL],2)/HLOOKUP($A258,표1[#ALL],row(),false)</f>
        <v>#N/A</v>
      </c>
      <c r="AA258" s="372" t="str">
        <f>CS_PID!AA258/VLOOKUP($B258,표2[#ALL],2)/HLOOKUP($A258,표1[#ALL],row(),false)</f>
        <v>#N/A</v>
      </c>
      <c r="AB258" s="372" t="str">
        <f>CS_PID!AB258/VLOOKUP($B258,표2[#ALL],2)/HLOOKUP($A258,표1[#ALL],row(),false)</f>
        <v>#N/A</v>
      </c>
      <c r="AC258" s="372" t="str">
        <f>CS_PID!AC258/VLOOKUP($B258,표2[#ALL],2)/HLOOKUP($A258,표1[#ALL],row(),false)</f>
        <v>#N/A</v>
      </c>
      <c r="AD258" s="372" t="str">
        <f>CS_PID!AD258/VLOOKUP($B258,표2[#ALL],2)/HLOOKUP($A258,표1[#ALL],row(),false)</f>
        <v>#N/A</v>
      </c>
      <c r="AE258" s="372" t="str">
        <f>CS_PID!AE258/VLOOKUP($B258,표2[#ALL],2)/HLOOKUP($A258,표1[#ALL],row(),false)</f>
        <v>#N/A</v>
      </c>
      <c r="AF258" s="372" t="str">
        <f>CS_PID!AF258/VLOOKUP($B258,표2[#ALL],2)/HLOOKUP($A258,표1[#ALL],row(),false)</f>
        <v>#N/A</v>
      </c>
      <c r="AG258" s="372" t="str">
        <f>CS_PID!AG258/VLOOKUP($B258,표2[#ALL],2)/HLOOKUP($A258,표1[#ALL],row(),false)</f>
        <v>#N/A</v>
      </c>
      <c r="AH258" s="372" t="str">
        <f>CS_PID!AH258/VLOOKUP($B258,표2[#ALL],2)/HLOOKUP($A258,표1[#ALL],row(),false)</f>
        <v>#N/A</v>
      </c>
      <c r="AI258" s="372" t="str">
        <f>CS_PID!AI258/VLOOKUP($B258,표2[#ALL],2)/HLOOKUP($A258,표1[#ALL],row(),false)</f>
        <v>#N/A</v>
      </c>
      <c r="AJ258" s="372" t="str">
        <f>CS_PID!AJ258/VLOOKUP($B258,표2[#ALL],2)/HLOOKUP($A258,표1[#ALL],row(),false)</f>
        <v>#N/A</v>
      </c>
      <c r="AK258" s="372" t="str">
        <f>CS_PID!AK258/VLOOKUP($B258,표2[#ALL],2)/HLOOKUP($A258,표1[#ALL],row(),false)</f>
        <v>#N/A</v>
      </c>
      <c r="AL258" s="372" t="str">
        <f>CS_PID!AL258/VLOOKUP($B258,표2[#ALL],2)/HLOOKUP($A258,표1[#ALL],row(),false)</f>
        <v>#N/A</v>
      </c>
      <c r="AM258" s="372" t="str">
        <f>CS_PID!AM258/VLOOKUP($B258,표2[#ALL],2)/HLOOKUP($A258,표1[#ALL],row(),false)</f>
        <v>#N/A</v>
      </c>
      <c r="AN258" s="372" t="str">
        <f>CS_PID!AN258/VLOOKUP($B258,표2[#ALL],2)/HLOOKUP($A258,표1[#ALL],row(),false)</f>
        <v>#N/A</v>
      </c>
      <c r="AO258" s="372" t="str">
        <f>CS_PID!AO258/VLOOKUP($B258,표2[#ALL],2)/HLOOKUP($A258,표1[#ALL],row(),false)</f>
        <v>#N/A</v>
      </c>
      <c r="AP258" s="372" t="str">
        <f>CS_PID!AP258/VLOOKUP($B258,표2[#ALL],2)/HLOOKUP($A258,표1[#ALL],row(),false)</f>
        <v>#N/A</v>
      </c>
      <c r="AQ258" s="372" t="str">
        <f>CS_PID!AQ258/VLOOKUP($B258,표2[#ALL],2)/HLOOKUP($A258,표1[#ALL],row(),false)</f>
        <v>#N/A</v>
      </c>
      <c r="AR258" s="372" t="str">
        <f>CS_PID!AR258/VLOOKUP($B258,표2[#ALL],2)/HLOOKUP($A258,표1[#ALL],row(),false)</f>
        <v>#N/A</v>
      </c>
      <c r="AS258" s="373" t="str">
        <f>CS_PID!AS258/VLOOKUP($B258,표2[#ALL],2)/HLOOKUP($A258,표1[#ALL],row(),false)</f>
        <v>#N/A</v>
      </c>
    </row>
    <row r="259">
      <c r="A259" s="374"/>
      <c r="B259" s="375"/>
      <c r="C259" s="376" t="str">
        <f>CS_PID!C259/VLOOKUP($B259,표2[#ALL],2)</f>
        <v>#N/A</v>
      </c>
      <c r="D259" s="376" t="str">
        <f>CS_PID!D259/VLOOKUP($B259,표2[#ALL],2)</f>
        <v>#N/A</v>
      </c>
      <c r="E259" s="376" t="str">
        <f>CS_PID!E259/VLOOKUP($B259,표2[#ALL],2)</f>
        <v>#N/A</v>
      </c>
      <c r="F259" s="376" t="str">
        <f>CS_PID!F259/VLOOKUP($B259,표2[#ALL],2)</f>
        <v>#N/A</v>
      </c>
      <c r="G259" s="376" t="str">
        <f>CS_PID!G259/VLOOKUP($B259,표2[#ALL],2)</f>
        <v>#N/A</v>
      </c>
      <c r="H259" s="376" t="str">
        <f>CS_PID!H259/VLOOKUP($B259,표2[#ALL],2)/HLOOKUP($A259,표1[#ALL],row(),false)</f>
        <v>#N/A</v>
      </c>
      <c r="I259" s="376" t="str">
        <f>CS_PID!I259/VLOOKUP($B259,표2[#ALL],2)/HLOOKUP($A259,표1[#ALL],row(),false)</f>
        <v>#N/A</v>
      </c>
      <c r="J259" s="376" t="str">
        <f>CS_PID!J259/VLOOKUP($B259,표2[#ALL],2)/HLOOKUP($A259,표1[#ALL],row(),false)</f>
        <v>#N/A</v>
      </c>
      <c r="K259" s="376" t="str">
        <f>CS_PID!K259/VLOOKUP($B259,표2[#ALL],2)/HLOOKUP($A259,표1[#ALL],row(),false)</f>
        <v>#N/A</v>
      </c>
      <c r="L259" s="376" t="str">
        <f>CS_PID!L259/VLOOKUP($B259,표2[#ALL],2)/HLOOKUP($A259,표1[#ALL],row(),false)</f>
        <v>#N/A</v>
      </c>
      <c r="M259" s="376" t="str">
        <f>CS_PID!M259/VLOOKUP($B259,표2[#ALL],2)/HLOOKUP($A259,표1[#ALL],row(),false)</f>
        <v>#N/A</v>
      </c>
      <c r="N259" s="376" t="str">
        <f>CS_PID!N259/VLOOKUP($B259,표2[#ALL],2)/HLOOKUP($A259,표1[#ALL],row(),false)</f>
        <v>#N/A</v>
      </c>
      <c r="O259" s="376" t="str">
        <f>CS_PID!O259/VLOOKUP($B259,표2[#ALL],2)/HLOOKUP($A259,표1[#ALL],row(),false)</f>
        <v>#N/A</v>
      </c>
      <c r="P259" s="376" t="str">
        <f>CS_PID!P259/VLOOKUP($B259,표2[#ALL],2)/HLOOKUP($A259,표1[#ALL],row(),false)</f>
        <v>#N/A</v>
      </c>
      <c r="Q259" s="376" t="str">
        <f>CS_PID!Q259/VLOOKUP($B259,표2[#ALL],2)/HLOOKUP($A259,표1[#ALL],row(),false)</f>
        <v>#N/A</v>
      </c>
      <c r="R259" s="376" t="str">
        <f>CS_PID!R259/VLOOKUP($B259,표2[#ALL],2)/HLOOKUP($A259,표1[#ALL],row(),false)</f>
        <v>#N/A</v>
      </c>
      <c r="S259" s="376" t="str">
        <f>CS_PID!S259/VLOOKUP($B259,표2[#ALL],2)/HLOOKUP($A259,표1[#ALL],row(),false)</f>
        <v>#N/A</v>
      </c>
      <c r="T259" s="376" t="str">
        <f>CS_PID!T259/VLOOKUP($B259,표2[#ALL],2)/HLOOKUP($A259,표1[#ALL],row(),false)</f>
        <v>#N/A</v>
      </c>
      <c r="U259" s="376" t="str">
        <f>CS_PID!U259/VLOOKUP($B259,표2[#ALL],2)/HLOOKUP($A259,표1[#ALL],row(),false)</f>
        <v>#N/A</v>
      </c>
      <c r="V259" s="376" t="str">
        <f>CS_PID!V259/VLOOKUP($B259,표2[#ALL],2)/HLOOKUP($A259,표1[#ALL],row(),false)</f>
        <v>#N/A</v>
      </c>
      <c r="W259" s="376" t="str">
        <f>CS_PID!W259/VLOOKUP($B259,표2[#ALL],2)/HLOOKUP($A259,표1[#ALL],row(),false)</f>
        <v>#N/A</v>
      </c>
      <c r="X259" s="376" t="str">
        <f>CS_PID!X259/VLOOKUP($B259,표2[#ALL],2)/HLOOKUP($A259,표1[#ALL],row(),false)</f>
        <v>#N/A</v>
      </c>
      <c r="Y259" s="376" t="str">
        <f>CS_PID!Y259/VLOOKUP($B259,표2[#ALL],2)/HLOOKUP($A259,표1[#ALL],row(),false)</f>
        <v>#N/A</v>
      </c>
      <c r="Z259" s="376" t="str">
        <f>CS_PID!Z259/VLOOKUP($B259,표2[#ALL],2)/HLOOKUP($A259,표1[#ALL],row(),false)</f>
        <v>#N/A</v>
      </c>
      <c r="AA259" s="376" t="str">
        <f>CS_PID!AA259/VLOOKUP($B259,표2[#ALL],2)/HLOOKUP($A259,표1[#ALL],row(),false)</f>
        <v>#N/A</v>
      </c>
      <c r="AB259" s="376" t="str">
        <f>CS_PID!AB259/VLOOKUP($B259,표2[#ALL],2)/HLOOKUP($A259,표1[#ALL],row(),false)</f>
        <v>#N/A</v>
      </c>
      <c r="AC259" s="376" t="str">
        <f>CS_PID!AC259/VLOOKUP($B259,표2[#ALL],2)/HLOOKUP($A259,표1[#ALL],row(),false)</f>
        <v>#N/A</v>
      </c>
      <c r="AD259" s="376" t="str">
        <f>CS_PID!AD259/VLOOKUP($B259,표2[#ALL],2)/HLOOKUP($A259,표1[#ALL],row(),false)</f>
        <v>#N/A</v>
      </c>
      <c r="AE259" s="376" t="str">
        <f>CS_PID!AE259/VLOOKUP($B259,표2[#ALL],2)/HLOOKUP($A259,표1[#ALL],row(),false)</f>
        <v>#N/A</v>
      </c>
      <c r="AF259" s="376" t="str">
        <f>CS_PID!AF259/VLOOKUP($B259,표2[#ALL],2)/HLOOKUP($A259,표1[#ALL],row(),false)</f>
        <v>#N/A</v>
      </c>
      <c r="AG259" s="376" t="str">
        <f>CS_PID!AG259/VLOOKUP($B259,표2[#ALL],2)/HLOOKUP($A259,표1[#ALL],row(),false)</f>
        <v>#N/A</v>
      </c>
      <c r="AH259" s="376" t="str">
        <f>CS_PID!AH259/VLOOKUP($B259,표2[#ALL],2)/HLOOKUP($A259,표1[#ALL],row(),false)</f>
        <v>#N/A</v>
      </c>
      <c r="AI259" s="376" t="str">
        <f>CS_PID!AI259/VLOOKUP($B259,표2[#ALL],2)/HLOOKUP($A259,표1[#ALL],row(),false)</f>
        <v>#N/A</v>
      </c>
      <c r="AJ259" s="376" t="str">
        <f>CS_PID!AJ259/VLOOKUP($B259,표2[#ALL],2)/HLOOKUP($A259,표1[#ALL],row(),false)</f>
        <v>#N/A</v>
      </c>
      <c r="AK259" s="376" t="str">
        <f>CS_PID!AK259/VLOOKUP($B259,표2[#ALL],2)/HLOOKUP($A259,표1[#ALL],row(),false)</f>
        <v>#N/A</v>
      </c>
      <c r="AL259" s="376" t="str">
        <f>CS_PID!AL259/VLOOKUP($B259,표2[#ALL],2)/HLOOKUP($A259,표1[#ALL],row(),false)</f>
        <v>#N/A</v>
      </c>
      <c r="AM259" s="376" t="str">
        <f>CS_PID!AM259/VLOOKUP($B259,표2[#ALL],2)/HLOOKUP($A259,표1[#ALL],row(),false)</f>
        <v>#N/A</v>
      </c>
      <c r="AN259" s="376" t="str">
        <f>CS_PID!AN259/VLOOKUP($B259,표2[#ALL],2)/HLOOKUP($A259,표1[#ALL],row(),false)</f>
        <v>#N/A</v>
      </c>
      <c r="AO259" s="376" t="str">
        <f>CS_PID!AO259/VLOOKUP($B259,표2[#ALL],2)/HLOOKUP($A259,표1[#ALL],row(),false)</f>
        <v>#N/A</v>
      </c>
      <c r="AP259" s="376" t="str">
        <f>CS_PID!AP259/VLOOKUP($B259,표2[#ALL],2)/HLOOKUP($A259,표1[#ALL],row(),false)</f>
        <v>#N/A</v>
      </c>
      <c r="AQ259" s="376" t="str">
        <f>CS_PID!AQ259/VLOOKUP($B259,표2[#ALL],2)/HLOOKUP($A259,표1[#ALL],row(),false)</f>
        <v>#N/A</v>
      </c>
      <c r="AR259" s="376" t="str">
        <f>CS_PID!AR259/VLOOKUP($B259,표2[#ALL],2)/HLOOKUP($A259,표1[#ALL],row(),false)</f>
        <v>#N/A</v>
      </c>
      <c r="AS259" s="377" t="str">
        <f>CS_PID!AS259/VLOOKUP($B259,표2[#ALL],2)/HLOOKUP($A259,표1[#ALL],row(),false)</f>
        <v>#N/A</v>
      </c>
    </row>
    <row r="260">
      <c r="A260" s="370"/>
      <c r="B260" s="371"/>
      <c r="C260" s="372" t="str">
        <f>CS_PID!C260/VLOOKUP($B260,표2[#ALL],2)</f>
        <v>#N/A</v>
      </c>
      <c r="D260" s="372" t="str">
        <f>CS_PID!D260/VLOOKUP($B260,표2[#ALL],2)</f>
        <v>#N/A</v>
      </c>
      <c r="E260" s="372" t="str">
        <f>CS_PID!E260/VLOOKUP($B260,표2[#ALL],2)</f>
        <v>#N/A</v>
      </c>
      <c r="F260" s="372" t="str">
        <f>CS_PID!F260/VLOOKUP($B260,표2[#ALL],2)</f>
        <v>#N/A</v>
      </c>
      <c r="G260" s="372" t="str">
        <f>CS_PID!G260/VLOOKUP($B260,표2[#ALL],2)</f>
        <v>#N/A</v>
      </c>
      <c r="H260" s="372" t="str">
        <f>CS_PID!H260/VLOOKUP($B260,표2[#ALL],2)/HLOOKUP($A260,표1[#ALL],row(),false)</f>
        <v>#N/A</v>
      </c>
      <c r="I260" s="372" t="str">
        <f>CS_PID!I260/VLOOKUP($B260,표2[#ALL],2)/HLOOKUP($A260,표1[#ALL],row(),false)</f>
        <v>#N/A</v>
      </c>
      <c r="J260" s="372" t="str">
        <f>CS_PID!J260/VLOOKUP($B260,표2[#ALL],2)/HLOOKUP($A260,표1[#ALL],row(),false)</f>
        <v>#N/A</v>
      </c>
      <c r="K260" s="372" t="str">
        <f>CS_PID!K260/VLOOKUP($B260,표2[#ALL],2)/HLOOKUP($A260,표1[#ALL],row(),false)</f>
        <v>#N/A</v>
      </c>
      <c r="L260" s="372" t="str">
        <f>CS_PID!L260/VLOOKUP($B260,표2[#ALL],2)/HLOOKUP($A260,표1[#ALL],row(),false)</f>
        <v>#N/A</v>
      </c>
      <c r="M260" s="372" t="str">
        <f>CS_PID!M260/VLOOKUP($B260,표2[#ALL],2)/HLOOKUP($A260,표1[#ALL],row(),false)</f>
        <v>#N/A</v>
      </c>
      <c r="N260" s="372" t="str">
        <f>CS_PID!N260/VLOOKUP($B260,표2[#ALL],2)/HLOOKUP($A260,표1[#ALL],row(),false)</f>
        <v>#N/A</v>
      </c>
      <c r="O260" s="372" t="str">
        <f>CS_PID!O260/VLOOKUP($B260,표2[#ALL],2)/HLOOKUP($A260,표1[#ALL],row(),false)</f>
        <v>#N/A</v>
      </c>
      <c r="P260" s="372" t="str">
        <f>CS_PID!P260/VLOOKUP($B260,표2[#ALL],2)/HLOOKUP($A260,표1[#ALL],row(),false)</f>
        <v>#N/A</v>
      </c>
      <c r="Q260" s="372" t="str">
        <f>CS_PID!Q260/VLOOKUP($B260,표2[#ALL],2)/HLOOKUP($A260,표1[#ALL],row(),false)</f>
        <v>#N/A</v>
      </c>
      <c r="R260" s="372" t="str">
        <f>CS_PID!R260/VLOOKUP($B260,표2[#ALL],2)/HLOOKUP($A260,표1[#ALL],row(),false)</f>
        <v>#N/A</v>
      </c>
      <c r="S260" s="372" t="str">
        <f>CS_PID!S260/VLOOKUP($B260,표2[#ALL],2)/HLOOKUP($A260,표1[#ALL],row(),false)</f>
        <v>#N/A</v>
      </c>
      <c r="T260" s="372" t="str">
        <f>CS_PID!T260/VLOOKUP($B260,표2[#ALL],2)/HLOOKUP($A260,표1[#ALL],row(),false)</f>
        <v>#N/A</v>
      </c>
      <c r="U260" s="372" t="str">
        <f>CS_PID!U260/VLOOKUP($B260,표2[#ALL],2)/HLOOKUP($A260,표1[#ALL],row(),false)</f>
        <v>#N/A</v>
      </c>
      <c r="V260" s="372" t="str">
        <f>CS_PID!V260/VLOOKUP($B260,표2[#ALL],2)/HLOOKUP($A260,표1[#ALL],row(),false)</f>
        <v>#N/A</v>
      </c>
      <c r="W260" s="372" t="str">
        <f>CS_PID!W260/VLOOKUP($B260,표2[#ALL],2)/HLOOKUP($A260,표1[#ALL],row(),false)</f>
        <v>#N/A</v>
      </c>
      <c r="X260" s="372" t="str">
        <f>CS_PID!X260/VLOOKUP($B260,표2[#ALL],2)/HLOOKUP($A260,표1[#ALL],row(),false)</f>
        <v>#N/A</v>
      </c>
      <c r="Y260" s="372" t="str">
        <f>CS_PID!Y260/VLOOKUP($B260,표2[#ALL],2)/HLOOKUP($A260,표1[#ALL],row(),false)</f>
        <v>#N/A</v>
      </c>
      <c r="Z260" s="372" t="str">
        <f>CS_PID!Z260/VLOOKUP($B260,표2[#ALL],2)/HLOOKUP($A260,표1[#ALL],row(),false)</f>
        <v>#N/A</v>
      </c>
      <c r="AA260" s="372" t="str">
        <f>CS_PID!AA260/VLOOKUP($B260,표2[#ALL],2)/HLOOKUP($A260,표1[#ALL],row(),false)</f>
        <v>#N/A</v>
      </c>
      <c r="AB260" s="372" t="str">
        <f>CS_PID!AB260/VLOOKUP($B260,표2[#ALL],2)/HLOOKUP($A260,표1[#ALL],row(),false)</f>
        <v>#N/A</v>
      </c>
      <c r="AC260" s="372" t="str">
        <f>CS_PID!AC260/VLOOKUP($B260,표2[#ALL],2)/HLOOKUP($A260,표1[#ALL],row(),false)</f>
        <v>#N/A</v>
      </c>
      <c r="AD260" s="372" t="str">
        <f>CS_PID!AD260/VLOOKUP($B260,표2[#ALL],2)/HLOOKUP($A260,표1[#ALL],row(),false)</f>
        <v>#N/A</v>
      </c>
      <c r="AE260" s="372" t="str">
        <f>CS_PID!AE260/VLOOKUP($B260,표2[#ALL],2)/HLOOKUP($A260,표1[#ALL],row(),false)</f>
        <v>#N/A</v>
      </c>
      <c r="AF260" s="372" t="str">
        <f>CS_PID!AF260/VLOOKUP($B260,표2[#ALL],2)/HLOOKUP($A260,표1[#ALL],row(),false)</f>
        <v>#N/A</v>
      </c>
      <c r="AG260" s="372" t="str">
        <f>CS_PID!AG260/VLOOKUP($B260,표2[#ALL],2)/HLOOKUP($A260,표1[#ALL],row(),false)</f>
        <v>#N/A</v>
      </c>
      <c r="AH260" s="372" t="str">
        <f>CS_PID!AH260/VLOOKUP($B260,표2[#ALL],2)/HLOOKUP($A260,표1[#ALL],row(),false)</f>
        <v>#N/A</v>
      </c>
      <c r="AI260" s="372" t="str">
        <f>CS_PID!AI260/VLOOKUP($B260,표2[#ALL],2)/HLOOKUP($A260,표1[#ALL],row(),false)</f>
        <v>#N/A</v>
      </c>
      <c r="AJ260" s="372" t="str">
        <f>CS_PID!AJ260/VLOOKUP($B260,표2[#ALL],2)/HLOOKUP($A260,표1[#ALL],row(),false)</f>
        <v>#N/A</v>
      </c>
      <c r="AK260" s="372" t="str">
        <f>CS_PID!AK260/VLOOKUP($B260,표2[#ALL],2)/HLOOKUP($A260,표1[#ALL],row(),false)</f>
        <v>#N/A</v>
      </c>
      <c r="AL260" s="372" t="str">
        <f>CS_PID!AL260/VLOOKUP($B260,표2[#ALL],2)/HLOOKUP($A260,표1[#ALL],row(),false)</f>
        <v>#N/A</v>
      </c>
      <c r="AM260" s="372" t="str">
        <f>CS_PID!AM260/VLOOKUP($B260,표2[#ALL],2)/HLOOKUP($A260,표1[#ALL],row(),false)</f>
        <v>#N/A</v>
      </c>
      <c r="AN260" s="372" t="str">
        <f>CS_PID!AN260/VLOOKUP($B260,표2[#ALL],2)/HLOOKUP($A260,표1[#ALL],row(),false)</f>
        <v>#N/A</v>
      </c>
      <c r="AO260" s="372" t="str">
        <f>CS_PID!AO260/VLOOKUP($B260,표2[#ALL],2)/HLOOKUP($A260,표1[#ALL],row(),false)</f>
        <v>#N/A</v>
      </c>
      <c r="AP260" s="372" t="str">
        <f>CS_PID!AP260/VLOOKUP($B260,표2[#ALL],2)/HLOOKUP($A260,표1[#ALL],row(),false)</f>
        <v>#N/A</v>
      </c>
      <c r="AQ260" s="372" t="str">
        <f>CS_PID!AQ260/VLOOKUP($B260,표2[#ALL],2)/HLOOKUP($A260,표1[#ALL],row(),false)</f>
        <v>#N/A</v>
      </c>
      <c r="AR260" s="372" t="str">
        <f>CS_PID!AR260/VLOOKUP($B260,표2[#ALL],2)/HLOOKUP($A260,표1[#ALL],row(),false)</f>
        <v>#N/A</v>
      </c>
      <c r="AS260" s="373" t="str">
        <f>CS_PID!AS260/VLOOKUP($B260,표2[#ALL],2)/HLOOKUP($A260,표1[#ALL],row(),false)</f>
        <v>#N/A</v>
      </c>
    </row>
    <row r="261">
      <c r="A261" s="374"/>
      <c r="B261" s="375"/>
      <c r="C261" s="376" t="str">
        <f>CS_PID!C261/VLOOKUP($B261,표2[#ALL],2)</f>
        <v>#N/A</v>
      </c>
      <c r="D261" s="376" t="str">
        <f>CS_PID!D261/VLOOKUP($B261,표2[#ALL],2)</f>
        <v>#N/A</v>
      </c>
      <c r="E261" s="376" t="str">
        <f>CS_PID!E261/VLOOKUP($B261,표2[#ALL],2)</f>
        <v>#N/A</v>
      </c>
      <c r="F261" s="376" t="str">
        <f>CS_PID!F261/VLOOKUP($B261,표2[#ALL],2)</f>
        <v>#N/A</v>
      </c>
      <c r="G261" s="376" t="str">
        <f>CS_PID!G261/VLOOKUP($B261,표2[#ALL],2)</f>
        <v>#N/A</v>
      </c>
      <c r="H261" s="376" t="str">
        <f>CS_PID!H261/VLOOKUP($B261,표2[#ALL],2)/HLOOKUP($A261,표1[#ALL],row(),false)</f>
        <v>#N/A</v>
      </c>
      <c r="I261" s="376" t="str">
        <f>CS_PID!I261/VLOOKUP($B261,표2[#ALL],2)/HLOOKUP($A261,표1[#ALL],row(),false)</f>
        <v>#N/A</v>
      </c>
      <c r="J261" s="376" t="str">
        <f>CS_PID!J261/VLOOKUP($B261,표2[#ALL],2)/HLOOKUP($A261,표1[#ALL],row(),false)</f>
        <v>#N/A</v>
      </c>
      <c r="K261" s="376" t="str">
        <f>CS_PID!K261/VLOOKUP($B261,표2[#ALL],2)/HLOOKUP($A261,표1[#ALL],row(),false)</f>
        <v>#N/A</v>
      </c>
      <c r="L261" s="376" t="str">
        <f>CS_PID!L261/VLOOKUP($B261,표2[#ALL],2)/HLOOKUP($A261,표1[#ALL],row(),false)</f>
        <v>#N/A</v>
      </c>
      <c r="M261" s="376" t="str">
        <f>CS_PID!M261/VLOOKUP($B261,표2[#ALL],2)/HLOOKUP($A261,표1[#ALL],row(),false)</f>
        <v>#N/A</v>
      </c>
      <c r="N261" s="376" t="str">
        <f>CS_PID!N261/VLOOKUP($B261,표2[#ALL],2)/HLOOKUP($A261,표1[#ALL],row(),false)</f>
        <v>#N/A</v>
      </c>
      <c r="O261" s="376" t="str">
        <f>CS_PID!O261/VLOOKUP($B261,표2[#ALL],2)/HLOOKUP($A261,표1[#ALL],row(),false)</f>
        <v>#N/A</v>
      </c>
      <c r="P261" s="376" t="str">
        <f>CS_PID!P261/VLOOKUP($B261,표2[#ALL],2)/HLOOKUP($A261,표1[#ALL],row(),false)</f>
        <v>#N/A</v>
      </c>
      <c r="Q261" s="376" t="str">
        <f>CS_PID!Q261/VLOOKUP($B261,표2[#ALL],2)/HLOOKUP($A261,표1[#ALL],row(),false)</f>
        <v>#N/A</v>
      </c>
      <c r="R261" s="376" t="str">
        <f>CS_PID!R261/VLOOKUP($B261,표2[#ALL],2)/HLOOKUP($A261,표1[#ALL],row(),false)</f>
        <v>#N/A</v>
      </c>
      <c r="S261" s="376" t="str">
        <f>CS_PID!S261/VLOOKUP($B261,표2[#ALL],2)/HLOOKUP($A261,표1[#ALL],row(),false)</f>
        <v>#N/A</v>
      </c>
      <c r="T261" s="376" t="str">
        <f>CS_PID!T261/VLOOKUP($B261,표2[#ALL],2)/HLOOKUP($A261,표1[#ALL],row(),false)</f>
        <v>#N/A</v>
      </c>
      <c r="U261" s="376" t="str">
        <f>CS_PID!U261/VLOOKUP($B261,표2[#ALL],2)/HLOOKUP($A261,표1[#ALL],row(),false)</f>
        <v>#N/A</v>
      </c>
      <c r="V261" s="376" t="str">
        <f>CS_PID!V261/VLOOKUP($B261,표2[#ALL],2)/HLOOKUP($A261,표1[#ALL],row(),false)</f>
        <v>#N/A</v>
      </c>
      <c r="W261" s="376" t="str">
        <f>CS_PID!W261/VLOOKUP($B261,표2[#ALL],2)/HLOOKUP($A261,표1[#ALL],row(),false)</f>
        <v>#N/A</v>
      </c>
      <c r="X261" s="376" t="str">
        <f>CS_PID!X261/VLOOKUP($B261,표2[#ALL],2)/HLOOKUP($A261,표1[#ALL],row(),false)</f>
        <v>#N/A</v>
      </c>
      <c r="Y261" s="376" t="str">
        <f>CS_PID!Y261/VLOOKUP($B261,표2[#ALL],2)/HLOOKUP($A261,표1[#ALL],row(),false)</f>
        <v>#N/A</v>
      </c>
      <c r="Z261" s="376" t="str">
        <f>CS_PID!Z261/VLOOKUP($B261,표2[#ALL],2)/HLOOKUP($A261,표1[#ALL],row(),false)</f>
        <v>#N/A</v>
      </c>
      <c r="AA261" s="376" t="str">
        <f>CS_PID!AA261/VLOOKUP($B261,표2[#ALL],2)/HLOOKUP($A261,표1[#ALL],row(),false)</f>
        <v>#N/A</v>
      </c>
      <c r="AB261" s="376" t="str">
        <f>CS_PID!AB261/VLOOKUP($B261,표2[#ALL],2)/HLOOKUP($A261,표1[#ALL],row(),false)</f>
        <v>#N/A</v>
      </c>
      <c r="AC261" s="376" t="str">
        <f>CS_PID!AC261/VLOOKUP($B261,표2[#ALL],2)/HLOOKUP($A261,표1[#ALL],row(),false)</f>
        <v>#N/A</v>
      </c>
      <c r="AD261" s="376" t="str">
        <f>CS_PID!AD261/VLOOKUP($B261,표2[#ALL],2)/HLOOKUP($A261,표1[#ALL],row(),false)</f>
        <v>#N/A</v>
      </c>
      <c r="AE261" s="376" t="str">
        <f>CS_PID!AE261/VLOOKUP($B261,표2[#ALL],2)/HLOOKUP($A261,표1[#ALL],row(),false)</f>
        <v>#N/A</v>
      </c>
      <c r="AF261" s="376" t="str">
        <f>CS_PID!AF261/VLOOKUP($B261,표2[#ALL],2)/HLOOKUP($A261,표1[#ALL],row(),false)</f>
        <v>#N/A</v>
      </c>
      <c r="AG261" s="376" t="str">
        <f>CS_PID!AG261/VLOOKUP($B261,표2[#ALL],2)/HLOOKUP($A261,표1[#ALL],row(),false)</f>
        <v>#N/A</v>
      </c>
      <c r="AH261" s="376" t="str">
        <f>CS_PID!AH261/VLOOKUP($B261,표2[#ALL],2)/HLOOKUP($A261,표1[#ALL],row(),false)</f>
        <v>#N/A</v>
      </c>
      <c r="AI261" s="376" t="str">
        <f>CS_PID!AI261/VLOOKUP($B261,표2[#ALL],2)/HLOOKUP($A261,표1[#ALL],row(),false)</f>
        <v>#N/A</v>
      </c>
      <c r="AJ261" s="376" t="str">
        <f>CS_PID!AJ261/VLOOKUP($B261,표2[#ALL],2)/HLOOKUP($A261,표1[#ALL],row(),false)</f>
        <v>#N/A</v>
      </c>
      <c r="AK261" s="376" t="str">
        <f>CS_PID!AK261/VLOOKUP($B261,표2[#ALL],2)/HLOOKUP($A261,표1[#ALL],row(),false)</f>
        <v>#N/A</v>
      </c>
      <c r="AL261" s="376" t="str">
        <f>CS_PID!AL261/VLOOKUP($B261,표2[#ALL],2)/HLOOKUP($A261,표1[#ALL],row(),false)</f>
        <v>#N/A</v>
      </c>
      <c r="AM261" s="376" t="str">
        <f>CS_PID!AM261/VLOOKUP($B261,표2[#ALL],2)/HLOOKUP($A261,표1[#ALL],row(),false)</f>
        <v>#N/A</v>
      </c>
      <c r="AN261" s="376" t="str">
        <f>CS_PID!AN261/VLOOKUP($B261,표2[#ALL],2)/HLOOKUP($A261,표1[#ALL],row(),false)</f>
        <v>#N/A</v>
      </c>
      <c r="AO261" s="376" t="str">
        <f>CS_PID!AO261/VLOOKUP($B261,표2[#ALL],2)/HLOOKUP($A261,표1[#ALL],row(),false)</f>
        <v>#N/A</v>
      </c>
      <c r="AP261" s="376" t="str">
        <f>CS_PID!AP261/VLOOKUP($B261,표2[#ALL],2)/HLOOKUP($A261,표1[#ALL],row(),false)</f>
        <v>#N/A</v>
      </c>
      <c r="AQ261" s="376" t="str">
        <f>CS_PID!AQ261/VLOOKUP($B261,표2[#ALL],2)/HLOOKUP($A261,표1[#ALL],row(),false)</f>
        <v>#N/A</v>
      </c>
      <c r="AR261" s="376" t="str">
        <f>CS_PID!AR261/VLOOKUP($B261,표2[#ALL],2)/HLOOKUP($A261,표1[#ALL],row(),false)</f>
        <v>#N/A</v>
      </c>
      <c r="AS261" s="377" t="str">
        <f>CS_PID!AS261/VLOOKUP($B261,표2[#ALL],2)/HLOOKUP($A261,표1[#ALL],row(),false)</f>
        <v>#N/A</v>
      </c>
    </row>
    <row r="262">
      <c r="A262" s="370"/>
      <c r="B262" s="371"/>
      <c r="C262" s="372" t="str">
        <f>CS_PID!C262/VLOOKUP($B262,표2[#ALL],2)</f>
        <v>#N/A</v>
      </c>
      <c r="D262" s="372" t="str">
        <f>CS_PID!D262/VLOOKUP($B262,표2[#ALL],2)</f>
        <v>#N/A</v>
      </c>
      <c r="E262" s="372" t="str">
        <f>CS_PID!E262/VLOOKUP($B262,표2[#ALL],2)</f>
        <v>#N/A</v>
      </c>
      <c r="F262" s="372" t="str">
        <f>CS_PID!F262/VLOOKUP($B262,표2[#ALL],2)</f>
        <v>#N/A</v>
      </c>
      <c r="G262" s="372" t="str">
        <f>CS_PID!G262/VLOOKUP($B262,표2[#ALL],2)</f>
        <v>#N/A</v>
      </c>
      <c r="H262" s="372" t="str">
        <f>CS_PID!H262/VLOOKUP($B262,표2[#ALL],2)/HLOOKUP($A262,표1[#ALL],row(),false)</f>
        <v>#N/A</v>
      </c>
      <c r="I262" s="372" t="str">
        <f>CS_PID!I262/VLOOKUP($B262,표2[#ALL],2)/HLOOKUP($A262,표1[#ALL],row(),false)</f>
        <v>#N/A</v>
      </c>
      <c r="J262" s="372" t="str">
        <f>CS_PID!J262/VLOOKUP($B262,표2[#ALL],2)/HLOOKUP($A262,표1[#ALL],row(),false)</f>
        <v>#N/A</v>
      </c>
      <c r="K262" s="372" t="str">
        <f>CS_PID!K262/VLOOKUP($B262,표2[#ALL],2)/HLOOKUP($A262,표1[#ALL],row(),false)</f>
        <v>#N/A</v>
      </c>
      <c r="L262" s="372" t="str">
        <f>CS_PID!L262/VLOOKUP($B262,표2[#ALL],2)/HLOOKUP($A262,표1[#ALL],row(),false)</f>
        <v>#N/A</v>
      </c>
      <c r="M262" s="372" t="str">
        <f>CS_PID!M262/VLOOKUP($B262,표2[#ALL],2)/HLOOKUP($A262,표1[#ALL],row(),false)</f>
        <v>#N/A</v>
      </c>
      <c r="N262" s="372" t="str">
        <f>CS_PID!N262/VLOOKUP($B262,표2[#ALL],2)/HLOOKUP($A262,표1[#ALL],row(),false)</f>
        <v>#N/A</v>
      </c>
      <c r="O262" s="372" t="str">
        <f>CS_PID!O262/VLOOKUP($B262,표2[#ALL],2)/HLOOKUP($A262,표1[#ALL],row(),false)</f>
        <v>#N/A</v>
      </c>
      <c r="P262" s="372" t="str">
        <f>CS_PID!P262/VLOOKUP($B262,표2[#ALL],2)/HLOOKUP($A262,표1[#ALL],row(),false)</f>
        <v>#N/A</v>
      </c>
      <c r="Q262" s="372" t="str">
        <f>CS_PID!Q262/VLOOKUP($B262,표2[#ALL],2)/HLOOKUP($A262,표1[#ALL],row(),false)</f>
        <v>#N/A</v>
      </c>
      <c r="R262" s="372" t="str">
        <f>CS_PID!R262/VLOOKUP($B262,표2[#ALL],2)/HLOOKUP($A262,표1[#ALL],row(),false)</f>
        <v>#N/A</v>
      </c>
      <c r="S262" s="372" t="str">
        <f>CS_PID!S262/VLOOKUP($B262,표2[#ALL],2)/HLOOKUP($A262,표1[#ALL],row(),false)</f>
        <v>#N/A</v>
      </c>
      <c r="T262" s="372" t="str">
        <f>CS_PID!T262/VLOOKUP($B262,표2[#ALL],2)/HLOOKUP($A262,표1[#ALL],row(),false)</f>
        <v>#N/A</v>
      </c>
      <c r="U262" s="372" t="str">
        <f>CS_PID!U262/VLOOKUP($B262,표2[#ALL],2)/HLOOKUP($A262,표1[#ALL],row(),false)</f>
        <v>#N/A</v>
      </c>
      <c r="V262" s="372" t="str">
        <f>CS_PID!V262/VLOOKUP($B262,표2[#ALL],2)/HLOOKUP($A262,표1[#ALL],row(),false)</f>
        <v>#N/A</v>
      </c>
      <c r="W262" s="372" t="str">
        <f>CS_PID!W262/VLOOKUP($B262,표2[#ALL],2)/HLOOKUP($A262,표1[#ALL],row(),false)</f>
        <v>#N/A</v>
      </c>
      <c r="X262" s="372" t="str">
        <f>CS_PID!X262/VLOOKUP($B262,표2[#ALL],2)/HLOOKUP($A262,표1[#ALL],row(),false)</f>
        <v>#N/A</v>
      </c>
      <c r="Y262" s="372" t="str">
        <f>CS_PID!Y262/VLOOKUP($B262,표2[#ALL],2)/HLOOKUP($A262,표1[#ALL],row(),false)</f>
        <v>#N/A</v>
      </c>
      <c r="Z262" s="372" t="str">
        <f>CS_PID!Z262/VLOOKUP($B262,표2[#ALL],2)/HLOOKUP($A262,표1[#ALL],row(),false)</f>
        <v>#N/A</v>
      </c>
      <c r="AA262" s="372" t="str">
        <f>CS_PID!AA262/VLOOKUP($B262,표2[#ALL],2)/HLOOKUP($A262,표1[#ALL],row(),false)</f>
        <v>#N/A</v>
      </c>
      <c r="AB262" s="372" t="str">
        <f>CS_PID!AB262/VLOOKUP($B262,표2[#ALL],2)/HLOOKUP($A262,표1[#ALL],row(),false)</f>
        <v>#N/A</v>
      </c>
      <c r="AC262" s="372" t="str">
        <f>CS_PID!AC262/VLOOKUP($B262,표2[#ALL],2)/HLOOKUP($A262,표1[#ALL],row(),false)</f>
        <v>#N/A</v>
      </c>
      <c r="AD262" s="372" t="str">
        <f>CS_PID!AD262/VLOOKUP($B262,표2[#ALL],2)/HLOOKUP($A262,표1[#ALL],row(),false)</f>
        <v>#N/A</v>
      </c>
      <c r="AE262" s="372" t="str">
        <f>CS_PID!AE262/VLOOKUP($B262,표2[#ALL],2)/HLOOKUP($A262,표1[#ALL],row(),false)</f>
        <v>#N/A</v>
      </c>
      <c r="AF262" s="372" t="str">
        <f>CS_PID!AF262/VLOOKUP($B262,표2[#ALL],2)/HLOOKUP($A262,표1[#ALL],row(),false)</f>
        <v>#N/A</v>
      </c>
      <c r="AG262" s="372" t="str">
        <f>CS_PID!AG262/VLOOKUP($B262,표2[#ALL],2)/HLOOKUP($A262,표1[#ALL],row(),false)</f>
        <v>#N/A</v>
      </c>
      <c r="AH262" s="372" t="str">
        <f>CS_PID!AH262/VLOOKUP($B262,표2[#ALL],2)/HLOOKUP($A262,표1[#ALL],row(),false)</f>
        <v>#N/A</v>
      </c>
      <c r="AI262" s="372" t="str">
        <f>CS_PID!AI262/VLOOKUP($B262,표2[#ALL],2)/HLOOKUP($A262,표1[#ALL],row(),false)</f>
        <v>#N/A</v>
      </c>
      <c r="AJ262" s="372" t="str">
        <f>CS_PID!AJ262/VLOOKUP($B262,표2[#ALL],2)/HLOOKUP($A262,표1[#ALL],row(),false)</f>
        <v>#N/A</v>
      </c>
      <c r="AK262" s="372" t="str">
        <f>CS_PID!AK262/VLOOKUP($B262,표2[#ALL],2)/HLOOKUP($A262,표1[#ALL],row(),false)</f>
        <v>#N/A</v>
      </c>
      <c r="AL262" s="372" t="str">
        <f>CS_PID!AL262/VLOOKUP($B262,표2[#ALL],2)/HLOOKUP($A262,표1[#ALL],row(),false)</f>
        <v>#N/A</v>
      </c>
      <c r="AM262" s="372" t="str">
        <f>CS_PID!AM262/VLOOKUP($B262,표2[#ALL],2)/HLOOKUP($A262,표1[#ALL],row(),false)</f>
        <v>#N/A</v>
      </c>
      <c r="AN262" s="372" t="str">
        <f>CS_PID!AN262/VLOOKUP($B262,표2[#ALL],2)/HLOOKUP($A262,표1[#ALL],row(),false)</f>
        <v>#N/A</v>
      </c>
      <c r="AO262" s="372" t="str">
        <f>CS_PID!AO262/VLOOKUP($B262,표2[#ALL],2)/HLOOKUP($A262,표1[#ALL],row(),false)</f>
        <v>#N/A</v>
      </c>
      <c r="AP262" s="372" t="str">
        <f>CS_PID!AP262/VLOOKUP($B262,표2[#ALL],2)/HLOOKUP($A262,표1[#ALL],row(),false)</f>
        <v>#N/A</v>
      </c>
      <c r="AQ262" s="372" t="str">
        <f>CS_PID!AQ262/VLOOKUP($B262,표2[#ALL],2)/HLOOKUP($A262,표1[#ALL],row(),false)</f>
        <v>#N/A</v>
      </c>
      <c r="AR262" s="372" t="str">
        <f>CS_PID!AR262/VLOOKUP($B262,표2[#ALL],2)/HLOOKUP($A262,표1[#ALL],row(),false)</f>
        <v>#N/A</v>
      </c>
      <c r="AS262" s="373" t="str">
        <f>CS_PID!AS262/VLOOKUP($B262,표2[#ALL],2)/HLOOKUP($A262,표1[#ALL],row(),false)</f>
        <v>#N/A</v>
      </c>
    </row>
    <row r="263">
      <c r="A263" s="374"/>
      <c r="B263" s="375"/>
      <c r="C263" s="376" t="str">
        <f>CS_PID!C263/VLOOKUP($B263,표2[#ALL],2)</f>
        <v>#N/A</v>
      </c>
      <c r="D263" s="376" t="str">
        <f>CS_PID!D263/VLOOKUP($B263,표2[#ALL],2)</f>
        <v>#N/A</v>
      </c>
      <c r="E263" s="376" t="str">
        <f>CS_PID!E263/VLOOKUP($B263,표2[#ALL],2)</f>
        <v>#N/A</v>
      </c>
      <c r="F263" s="376" t="str">
        <f>CS_PID!F263/VLOOKUP($B263,표2[#ALL],2)</f>
        <v>#N/A</v>
      </c>
      <c r="G263" s="376" t="str">
        <f>CS_PID!G263/VLOOKUP($B263,표2[#ALL],2)</f>
        <v>#N/A</v>
      </c>
      <c r="H263" s="376" t="str">
        <f>CS_PID!H263/VLOOKUP($B263,표2[#ALL],2)/HLOOKUP($A263,표1[#ALL],row(),false)</f>
        <v>#N/A</v>
      </c>
      <c r="I263" s="376" t="str">
        <f>CS_PID!I263/VLOOKUP($B263,표2[#ALL],2)/HLOOKUP($A263,표1[#ALL],row(),false)</f>
        <v>#N/A</v>
      </c>
      <c r="J263" s="376" t="str">
        <f>CS_PID!J263/VLOOKUP($B263,표2[#ALL],2)/HLOOKUP($A263,표1[#ALL],row(),false)</f>
        <v>#N/A</v>
      </c>
      <c r="K263" s="376" t="str">
        <f>CS_PID!K263/VLOOKUP($B263,표2[#ALL],2)/HLOOKUP($A263,표1[#ALL],row(),false)</f>
        <v>#N/A</v>
      </c>
      <c r="L263" s="376" t="str">
        <f>CS_PID!L263/VLOOKUP($B263,표2[#ALL],2)/HLOOKUP($A263,표1[#ALL],row(),false)</f>
        <v>#N/A</v>
      </c>
      <c r="M263" s="376" t="str">
        <f>CS_PID!M263/VLOOKUP($B263,표2[#ALL],2)/HLOOKUP($A263,표1[#ALL],row(),false)</f>
        <v>#N/A</v>
      </c>
      <c r="N263" s="376" t="str">
        <f>CS_PID!N263/VLOOKUP($B263,표2[#ALL],2)/HLOOKUP($A263,표1[#ALL],row(),false)</f>
        <v>#N/A</v>
      </c>
      <c r="O263" s="376" t="str">
        <f>CS_PID!O263/VLOOKUP($B263,표2[#ALL],2)/HLOOKUP($A263,표1[#ALL],row(),false)</f>
        <v>#N/A</v>
      </c>
      <c r="P263" s="376" t="str">
        <f>CS_PID!P263/VLOOKUP($B263,표2[#ALL],2)/HLOOKUP($A263,표1[#ALL],row(),false)</f>
        <v>#N/A</v>
      </c>
      <c r="Q263" s="376" t="str">
        <f>CS_PID!Q263/VLOOKUP($B263,표2[#ALL],2)/HLOOKUP($A263,표1[#ALL],row(),false)</f>
        <v>#N/A</v>
      </c>
      <c r="R263" s="376" t="str">
        <f>CS_PID!R263/VLOOKUP($B263,표2[#ALL],2)/HLOOKUP($A263,표1[#ALL],row(),false)</f>
        <v>#N/A</v>
      </c>
      <c r="S263" s="376" t="str">
        <f>CS_PID!S263/VLOOKUP($B263,표2[#ALL],2)/HLOOKUP($A263,표1[#ALL],row(),false)</f>
        <v>#N/A</v>
      </c>
      <c r="T263" s="376" t="str">
        <f>CS_PID!T263/VLOOKUP($B263,표2[#ALL],2)/HLOOKUP($A263,표1[#ALL],row(),false)</f>
        <v>#N/A</v>
      </c>
      <c r="U263" s="376" t="str">
        <f>CS_PID!U263/VLOOKUP($B263,표2[#ALL],2)/HLOOKUP($A263,표1[#ALL],row(),false)</f>
        <v>#N/A</v>
      </c>
      <c r="V263" s="376" t="str">
        <f>CS_PID!V263/VLOOKUP($B263,표2[#ALL],2)/HLOOKUP($A263,표1[#ALL],row(),false)</f>
        <v>#N/A</v>
      </c>
      <c r="W263" s="376" t="str">
        <f>CS_PID!W263/VLOOKUP($B263,표2[#ALL],2)/HLOOKUP($A263,표1[#ALL],row(),false)</f>
        <v>#N/A</v>
      </c>
      <c r="X263" s="376" t="str">
        <f>CS_PID!X263/VLOOKUP($B263,표2[#ALL],2)/HLOOKUP($A263,표1[#ALL],row(),false)</f>
        <v>#N/A</v>
      </c>
      <c r="Y263" s="376" t="str">
        <f>CS_PID!Y263/VLOOKUP($B263,표2[#ALL],2)/HLOOKUP($A263,표1[#ALL],row(),false)</f>
        <v>#N/A</v>
      </c>
      <c r="Z263" s="376" t="str">
        <f>CS_PID!Z263/VLOOKUP($B263,표2[#ALL],2)/HLOOKUP($A263,표1[#ALL],row(),false)</f>
        <v>#N/A</v>
      </c>
      <c r="AA263" s="376" t="str">
        <f>CS_PID!AA263/VLOOKUP($B263,표2[#ALL],2)/HLOOKUP($A263,표1[#ALL],row(),false)</f>
        <v>#N/A</v>
      </c>
      <c r="AB263" s="376" t="str">
        <f>CS_PID!AB263/VLOOKUP($B263,표2[#ALL],2)/HLOOKUP($A263,표1[#ALL],row(),false)</f>
        <v>#N/A</v>
      </c>
      <c r="AC263" s="376" t="str">
        <f>CS_PID!AC263/VLOOKUP($B263,표2[#ALL],2)/HLOOKUP($A263,표1[#ALL],row(),false)</f>
        <v>#N/A</v>
      </c>
      <c r="AD263" s="376" t="str">
        <f>CS_PID!AD263/VLOOKUP($B263,표2[#ALL],2)/HLOOKUP($A263,표1[#ALL],row(),false)</f>
        <v>#N/A</v>
      </c>
      <c r="AE263" s="376" t="str">
        <f>CS_PID!AE263/VLOOKUP($B263,표2[#ALL],2)/HLOOKUP($A263,표1[#ALL],row(),false)</f>
        <v>#N/A</v>
      </c>
      <c r="AF263" s="376" t="str">
        <f>CS_PID!AF263/VLOOKUP($B263,표2[#ALL],2)/HLOOKUP($A263,표1[#ALL],row(),false)</f>
        <v>#N/A</v>
      </c>
      <c r="AG263" s="376" t="str">
        <f>CS_PID!AG263/VLOOKUP($B263,표2[#ALL],2)/HLOOKUP($A263,표1[#ALL],row(),false)</f>
        <v>#N/A</v>
      </c>
      <c r="AH263" s="376" t="str">
        <f>CS_PID!AH263/VLOOKUP($B263,표2[#ALL],2)/HLOOKUP($A263,표1[#ALL],row(),false)</f>
        <v>#N/A</v>
      </c>
      <c r="AI263" s="376" t="str">
        <f>CS_PID!AI263/VLOOKUP($B263,표2[#ALL],2)/HLOOKUP($A263,표1[#ALL],row(),false)</f>
        <v>#N/A</v>
      </c>
      <c r="AJ263" s="376" t="str">
        <f>CS_PID!AJ263/VLOOKUP($B263,표2[#ALL],2)/HLOOKUP($A263,표1[#ALL],row(),false)</f>
        <v>#N/A</v>
      </c>
      <c r="AK263" s="376" t="str">
        <f>CS_PID!AK263/VLOOKUP($B263,표2[#ALL],2)/HLOOKUP($A263,표1[#ALL],row(),false)</f>
        <v>#N/A</v>
      </c>
      <c r="AL263" s="376" t="str">
        <f>CS_PID!AL263/VLOOKUP($B263,표2[#ALL],2)/HLOOKUP($A263,표1[#ALL],row(),false)</f>
        <v>#N/A</v>
      </c>
      <c r="AM263" s="376" t="str">
        <f>CS_PID!AM263/VLOOKUP($B263,표2[#ALL],2)/HLOOKUP($A263,표1[#ALL],row(),false)</f>
        <v>#N/A</v>
      </c>
      <c r="AN263" s="376" t="str">
        <f>CS_PID!AN263/VLOOKUP($B263,표2[#ALL],2)/HLOOKUP($A263,표1[#ALL],row(),false)</f>
        <v>#N/A</v>
      </c>
      <c r="AO263" s="376" t="str">
        <f>CS_PID!AO263/VLOOKUP($B263,표2[#ALL],2)/HLOOKUP($A263,표1[#ALL],row(),false)</f>
        <v>#N/A</v>
      </c>
      <c r="AP263" s="376" t="str">
        <f>CS_PID!AP263/VLOOKUP($B263,표2[#ALL],2)/HLOOKUP($A263,표1[#ALL],row(),false)</f>
        <v>#N/A</v>
      </c>
      <c r="AQ263" s="376" t="str">
        <f>CS_PID!AQ263/VLOOKUP($B263,표2[#ALL],2)/HLOOKUP($A263,표1[#ALL],row(),false)</f>
        <v>#N/A</v>
      </c>
      <c r="AR263" s="376" t="str">
        <f>CS_PID!AR263/VLOOKUP($B263,표2[#ALL],2)/HLOOKUP($A263,표1[#ALL],row(),false)</f>
        <v>#N/A</v>
      </c>
      <c r="AS263" s="377" t="str">
        <f>CS_PID!AS263/VLOOKUP($B263,표2[#ALL],2)/HLOOKUP($A263,표1[#ALL],row(),false)</f>
        <v>#N/A</v>
      </c>
    </row>
    <row r="264">
      <c r="A264" s="370"/>
      <c r="B264" s="371"/>
      <c r="C264" s="372" t="str">
        <f>CS_PID!C264/VLOOKUP($B264,표2[#ALL],2)</f>
        <v>#N/A</v>
      </c>
      <c r="D264" s="372" t="str">
        <f>CS_PID!D264/VLOOKUP($B264,표2[#ALL],2)</f>
        <v>#N/A</v>
      </c>
      <c r="E264" s="372" t="str">
        <f>CS_PID!E264/VLOOKUP($B264,표2[#ALL],2)</f>
        <v>#N/A</v>
      </c>
      <c r="F264" s="372" t="str">
        <f>CS_PID!F264/VLOOKUP($B264,표2[#ALL],2)</f>
        <v>#N/A</v>
      </c>
      <c r="G264" s="372" t="str">
        <f>CS_PID!G264/VLOOKUP($B264,표2[#ALL],2)</f>
        <v>#N/A</v>
      </c>
      <c r="H264" s="372" t="str">
        <f>CS_PID!H264/VLOOKUP($B264,표2[#ALL],2)/HLOOKUP($A264,표1[#ALL],row(),false)</f>
        <v>#N/A</v>
      </c>
      <c r="I264" s="372" t="str">
        <f>CS_PID!I264/VLOOKUP($B264,표2[#ALL],2)/HLOOKUP($A264,표1[#ALL],row(),false)</f>
        <v>#N/A</v>
      </c>
      <c r="J264" s="372" t="str">
        <f>CS_PID!J264/VLOOKUP($B264,표2[#ALL],2)/HLOOKUP($A264,표1[#ALL],row(),false)</f>
        <v>#N/A</v>
      </c>
      <c r="K264" s="372" t="str">
        <f>CS_PID!K264/VLOOKUP($B264,표2[#ALL],2)/HLOOKUP($A264,표1[#ALL],row(),false)</f>
        <v>#N/A</v>
      </c>
      <c r="L264" s="372" t="str">
        <f>CS_PID!L264/VLOOKUP($B264,표2[#ALL],2)/HLOOKUP($A264,표1[#ALL],row(),false)</f>
        <v>#N/A</v>
      </c>
      <c r="M264" s="372" t="str">
        <f>CS_PID!M264/VLOOKUP($B264,표2[#ALL],2)/HLOOKUP($A264,표1[#ALL],row(),false)</f>
        <v>#N/A</v>
      </c>
      <c r="N264" s="372" t="str">
        <f>CS_PID!N264/VLOOKUP($B264,표2[#ALL],2)/HLOOKUP($A264,표1[#ALL],row(),false)</f>
        <v>#N/A</v>
      </c>
      <c r="O264" s="372" t="str">
        <f>CS_PID!O264/VLOOKUP($B264,표2[#ALL],2)/HLOOKUP($A264,표1[#ALL],row(),false)</f>
        <v>#N/A</v>
      </c>
      <c r="P264" s="372" t="str">
        <f>CS_PID!P264/VLOOKUP($B264,표2[#ALL],2)/HLOOKUP($A264,표1[#ALL],row(),false)</f>
        <v>#N/A</v>
      </c>
      <c r="Q264" s="372" t="str">
        <f>CS_PID!Q264/VLOOKUP($B264,표2[#ALL],2)/HLOOKUP($A264,표1[#ALL],row(),false)</f>
        <v>#N/A</v>
      </c>
      <c r="R264" s="372" t="str">
        <f>CS_PID!R264/VLOOKUP($B264,표2[#ALL],2)/HLOOKUP($A264,표1[#ALL],row(),false)</f>
        <v>#N/A</v>
      </c>
      <c r="S264" s="372" t="str">
        <f>CS_PID!S264/VLOOKUP($B264,표2[#ALL],2)/HLOOKUP($A264,표1[#ALL],row(),false)</f>
        <v>#N/A</v>
      </c>
      <c r="T264" s="372" t="str">
        <f>CS_PID!T264/VLOOKUP($B264,표2[#ALL],2)/HLOOKUP($A264,표1[#ALL],row(),false)</f>
        <v>#N/A</v>
      </c>
      <c r="U264" s="372" t="str">
        <f>CS_PID!U264/VLOOKUP($B264,표2[#ALL],2)/HLOOKUP($A264,표1[#ALL],row(),false)</f>
        <v>#N/A</v>
      </c>
      <c r="V264" s="372" t="str">
        <f>CS_PID!V264/VLOOKUP($B264,표2[#ALL],2)/HLOOKUP($A264,표1[#ALL],row(),false)</f>
        <v>#N/A</v>
      </c>
      <c r="W264" s="372" t="str">
        <f>CS_PID!W264/VLOOKUP($B264,표2[#ALL],2)/HLOOKUP($A264,표1[#ALL],row(),false)</f>
        <v>#N/A</v>
      </c>
      <c r="X264" s="372" t="str">
        <f>CS_PID!X264/VLOOKUP($B264,표2[#ALL],2)/HLOOKUP($A264,표1[#ALL],row(),false)</f>
        <v>#N/A</v>
      </c>
      <c r="Y264" s="372" t="str">
        <f>CS_PID!Y264/VLOOKUP($B264,표2[#ALL],2)/HLOOKUP($A264,표1[#ALL],row(),false)</f>
        <v>#N/A</v>
      </c>
      <c r="Z264" s="372" t="str">
        <f>CS_PID!Z264/VLOOKUP($B264,표2[#ALL],2)/HLOOKUP($A264,표1[#ALL],row(),false)</f>
        <v>#N/A</v>
      </c>
      <c r="AA264" s="372" t="str">
        <f>CS_PID!AA264/VLOOKUP($B264,표2[#ALL],2)/HLOOKUP($A264,표1[#ALL],row(),false)</f>
        <v>#N/A</v>
      </c>
      <c r="AB264" s="372" t="str">
        <f>CS_PID!AB264/VLOOKUP($B264,표2[#ALL],2)/HLOOKUP($A264,표1[#ALL],row(),false)</f>
        <v>#N/A</v>
      </c>
      <c r="AC264" s="372" t="str">
        <f>CS_PID!AC264/VLOOKUP($B264,표2[#ALL],2)/HLOOKUP($A264,표1[#ALL],row(),false)</f>
        <v>#N/A</v>
      </c>
      <c r="AD264" s="372" t="str">
        <f>CS_PID!AD264/VLOOKUP($B264,표2[#ALL],2)/HLOOKUP($A264,표1[#ALL],row(),false)</f>
        <v>#N/A</v>
      </c>
      <c r="AE264" s="372" t="str">
        <f>CS_PID!AE264/VLOOKUP($B264,표2[#ALL],2)/HLOOKUP($A264,표1[#ALL],row(),false)</f>
        <v>#N/A</v>
      </c>
      <c r="AF264" s="372" t="str">
        <f>CS_PID!AF264/VLOOKUP($B264,표2[#ALL],2)/HLOOKUP($A264,표1[#ALL],row(),false)</f>
        <v>#N/A</v>
      </c>
      <c r="AG264" s="372" t="str">
        <f>CS_PID!AG264/VLOOKUP($B264,표2[#ALL],2)/HLOOKUP($A264,표1[#ALL],row(),false)</f>
        <v>#N/A</v>
      </c>
      <c r="AH264" s="372" t="str">
        <f>CS_PID!AH264/VLOOKUP($B264,표2[#ALL],2)/HLOOKUP($A264,표1[#ALL],row(),false)</f>
        <v>#N/A</v>
      </c>
      <c r="AI264" s="372" t="str">
        <f>CS_PID!AI264/VLOOKUP($B264,표2[#ALL],2)/HLOOKUP($A264,표1[#ALL],row(),false)</f>
        <v>#N/A</v>
      </c>
      <c r="AJ264" s="372" t="str">
        <f>CS_PID!AJ264/VLOOKUP($B264,표2[#ALL],2)/HLOOKUP($A264,표1[#ALL],row(),false)</f>
        <v>#N/A</v>
      </c>
      <c r="AK264" s="372" t="str">
        <f>CS_PID!AK264/VLOOKUP($B264,표2[#ALL],2)/HLOOKUP($A264,표1[#ALL],row(),false)</f>
        <v>#N/A</v>
      </c>
      <c r="AL264" s="372" t="str">
        <f>CS_PID!AL264/VLOOKUP($B264,표2[#ALL],2)/HLOOKUP($A264,표1[#ALL],row(),false)</f>
        <v>#N/A</v>
      </c>
      <c r="AM264" s="372" t="str">
        <f>CS_PID!AM264/VLOOKUP($B264,표2[#ALL],2)/HLOOKUP($A264,표1[#ALL],row(),false)</f>
        <v>#N/A</v>
      </c>
      <c r="AN264" s="372" t="str">
        <f>CS_PID!AN264/VLOOKUP($B264,표2[#ALL],2)/HLOOKUP($A264,표1[#ALL],row(),false)</f>
        <v>#N/A</v>
      </c>
      <c r="AO264" s="372" t="str">
        <f>CS_PID!AO264/VLOOKUP($B264,표2[#ALL],2)/HLOOKUP($A264,표1[#ALL],row(),false)</f>
        <v>#N/A</v>
      </c>
      <c r="AP264" s="372" t="str">
        <f>CS_PID!AP264/VLOOKUP($B264,표2[#ALL],2)/HLOOKUP($A264,표1[#ALL],row(),false)</f>
        <v>#N/A</v>
      </c>
      <c r="AQ264" s="372" t="str">
        <f>CS_PID!AQ264/VLOOKUP($B264,표2[#ALL],2)/HLOOKUP($A264,표1[#ALL],row(),false)</f>
        <v>#N/A</v>
      </c>
      <c r="AR264" s="372" t="str">
        <f>CS_PID!AR264/VLOOKUP($B264,표2[#ALL],2)/HLOOKUP($A264,표1[#ALL],row(),false)</f>
        <v>#N/A</v>
      </c>
      <c r="AS264" s="373" t="str">
        <f>CS_PID!AS264/VLOOKUP($B264,표2[#ALL],2)/HLOOKUP($A264,표1[#ALL],row(),false)</f>
        <v>#N/A</v>
      </c>
    </row>
    <row r="265">
      <c r="A265" s="374"/>
      <c r="B265" s="375"/>
      <c r="C265" s="376" t="str">
        <f>CS_PID!C265/VLOOKUP($B265,표2[#ALL],2)</f>
        <v>#N/A</v>
      </c>
      <c r="D265" s="376" t="str">
        <f>CS_PID!D265/VLOOKUP($B265,표2[#ALL],2)</f>
        <v>#N/A</v>
      </c>
      <c r="E265" s="376" t="str">
        <f>CS_PID!E265/VLOOKUP($B265,표2[#ALL],2)</f>
        <v>#N/A</v>
      </c>
      <c r="F265" s="376" t="str">
        <f>CS_PID!F265/VLOOKUP($B265,표2[#ALL],2)</f>
        <v>#N/A</v>
      </c>
      <c r="G265" s="376" t="str">
        <f>CS_PID!G265/VLOOKUP($B265,표2[#ALL],2)</f>
        <v>#N/A</v>
      </c>
      <c r="H265" s="376" t="str">
        <f>CS_PID!H265/VLOOKUP($B265,표2[#ALL],2)/HLOOKUP($A265,표1[#ALL],row(),false)</f>
        <v>#N/A</v>
      </c>
      <c r="I265" s="376" t="str">
        <f>CS_PID!I265/VLOOKUP($B265,표2[#ALL],2)/HLOOKUP($A265,표1[#ALL],row(),false)</f>
        <v>#N/A</v>
      </c>
      <c r="J265" s="376" t="str">
        <f>CS_PID!J265/VLOOKUP($B265,표2[#ALL],2)/HLOOKUP($A265,표1[#ALL],row(),false)</f>
        <v>#N/A</v>
      </c>
      <c r="K265" s="376" t="str">
        <f>CS_PID!K265/VLOOKUP($B265,표2[#ALL],2)/HLOOKUP($A265,표1[#ALL],row(),false)</f>
        <v>#N/A</v>
      </c>
      <c r="L265" s="376" t="str">
        <f>CS_PID!L265/VLOOKUP($B265,표2[#ALL],2)/HLOOKUP($A265,표1[#ALL],row(),false)</f>
        <v>#N/A</v>
      </c>
      <c r="M265" s="376" t="str">
        <f>CS_PID!M265/VLOOKUP($B265,표2[#ALL],2)/HLOOKUP($A265,표1[#ALL],row(),false)</f>
        <v>#N/A</v>
      </c>
      <c r="N265" s="376" t="str">
        <f>CS_PID!N265/VLOOKUP($B265,표2[#ALL],2)/HLOOKUP($A265,표1[#ALL],row(),false)</f>
        <v>#N/A</v>
      </c>
      <c r="O265" s="376" t="str">
        <f>CS_PID!O265/VLOOKUP($B265,표2[#ALL],2)/HLOOKUP($A265,표1[#ALL],row(),false)</f>
        <v>#N/A</v>
      </c>
      <c r="P265" s="376" t="str">
        <f>CS_PID!P265/VLOOKUP($B265,표2[#ALL],2)/HLOOKUP($A265,표1[#ALL],row(),false)</f>
        <v>#N/A</v>
      </c>
      <c r="Q265" s="376" t="str">
        <f>CS_PID!Q265/VLOOKUP($B265,표2[#ALL],2)/HLOOKUP($A265,표1[#ALL],row(),false)</f>
        <v>#N/A</v>
      </c>
      <c r="R265" s="376" t="str">
        <f>CS_PID!R265/VLOOKUP($B265,표2[#ALL],2)/HLOOKUP($A265,표1[#ALL],row(),false)</f>
        <v>#N/A</v>
      </c>
      <c r="S265" s="376" t="str">
        <f>CS_PID!S265/VLOOKUP($B265,표2[#ALL],2)/HLOOKUP($A265,표1[#ALL],row(),false)</f>
        <v>#N/A</v>
      </c>
      <c r="T265" s="376" t="str">
        <f>CS_PID!T265/VLOOKUP($B265,표2[#ALL],2)/HLOOKUP($A265,표1[#ALL],row(),false)</f>
        <v>#N/A</v>
      </c>
      <c r="U265" s="376" t="str">
        <f>CS_PID!U265/VLOOKUP($B265,표2[#ALL],2)/HLOOKUP($A265,표1[#ALL],row(),false)</f>
        <v>#N/A</v>
      </c>
      <c r="V265" s="376" t="str">
        <f>CS_PID!V265/VLOOKUP($B265,표2[#ALL],2)/HLOOKUP($A265,표1[#ALL],row(),false)</f>
        <v>#N/A</v>
      </c>
      <c r="W265" s="376" t="str">
        <f>CS_PID!W265/VLOOKUP($B265,표2[#ALL],2)/HLOOKUP($A265,표1[#ALL],row(),false)</f>
        <v>#N/A</v>
      </c>
      <c r="X265" s="376" t="str">
        <f>CS_PID!X265/VLOOKUP($B265,표2[#ALL],2)/HLOOKUP($A265,표1[#ALL],row(),false)</f>
        <v>#N/A</v>
      </c>
      <c r="Y265" s="376" t="str">
        <f>CS_PID!Y265/VLOOKUP($B265,표2[#ALL],2)/HLOOKUP($A265,표1[#ALL],row(),false)</f>
        <v>#N/A</v>
      </c>
      <c r="Z265" s="376" t="str">
        <f>CS_PID!Z265/VLOOKUP($B265,표2[#ALL],2)/HLOOKUP($A265,표1[#ALL],row(),false)</f>
        <v>#N/A</v>
      </c>
      <c r="AA265" s="376" t="str">
        <f>CS_PID!AA265/VLOOKUP($B265,표2[#ALL],2)/HLOOKUP($A265,표1[#ALL],row(),false)</f>
        <v>#N/A</v>
      </c>
      <c r="AB265" s="376" t="str">
        <f>CS_PID!AB265/VLOOKUP($B265,표2[#ALL],2)/HLOOKUP($A265,표1[#ALL],row(),false)</f>
        <v>#N/A</v>
      </c>
      <c r="AC265" s="376" t="str">
        <f>CS_PID!AC265/VLOOKUP($B265,표2[#ALL],2)/HLOOKUP($A265,표1[#ALL],row(),false)</f>
        <v>#N/A</v>
      </c>
      <c r="AD265" s="376" t="str">
        <f>CS_PID!AD265/VLOOKUP($B265,표2[#ALL],2)/HLOOKUP($A265,표1[#ALL],row(),false)</f>
        <v>#N/A</v>
      </c>
      <c r="AE265" s="376" t="str">
        <f>CS_PID!AE265/VLOOKUP($B265,표2[#ALL],2)/HLOOKUP($A265,표1[#ALL],row(),false)</f>
        <v>#N/A</v>
      </c>
      <c r="AF265" s="376" t="str">
        <f>CS_PID!AF265/VLOOKUP($B265,표2[#ALL],2)/HLOOKUP($A265,표1[#ALL],row(),false)</f>
        <v>#N/A</v>
      </c>
      <c r="AG265" s="376" t="str">
        <f>CS_PID!AG265/VLOOKUP($B265,표2[#ALL],2)/HLOOKUP($A265,표1[#ALL],row(),false)</f>
        <v>#N/A</v>
      </c>
      <c r="AH265" s="376" t="str">
        <f>CS_PID!AH265/VLOOKUP($B265,표2[#ALL],2)/HLOOKUP($A265,표1[#ALL],row(),false)</f>
        <v>#N/A</v>
      </c>
      <c r="AI265" s="376" t="str">
        <f>CS_PID!AI265/VLOOKUP($B265,표2[#ALL],2)/HLOOKUP($A265,표1[#ALL],row(),false)</f>
        <v>#N/A</v>
      </c>
      <c r="AJ265" s="376" t="str">
        <f>CS_PID!AJ265/VLOOKUP($B265,표2[#ALL],2)/HLOOKUP($A265,표1[#ALL],row(),false)</f>
        <v>#N/A</v>
      </c>
      <c r="AK265" s="376" t="str">
        <f>CS_PID!AK265/VLOOKUP($B265,표2[#ALL],2)/HLOOKUP($A265,표1[#ALL],row(),false)</f>
        <v>#N/A</v>
      </c>
      <c r="AL265" s="376" t="str">
        <f>CS_PID!AL265/VLOOKUP($B265,표2[#ALL],2)/HLOOKUP($A265,표1[#ALL],row(),false)</f>
        <v>#N/A</v>
      </c>
      <c r="AM265" s="376" t="str">
        <f>CS_PID!AM265/VLOOKUP($B265,표2[#ALL],2)/HLOOKUP($A265,표1[#ALL],row(),false)</f>
        <v>#N/A</v>
      </c>
      <c r="AN265" s="376" t="str">
        <f>CS_PID!AN265/VLOOKUP($B265,표2[#ALL],2)/HLOOKUP($A265,표1[#ALL],row(),false)</f>
        <v>#N/A</v>
      </c>
      <c r="AO265" s="376" t="str">
        <f>CS_PID!AO265/VLOOKUP($B265,표2[#ALL],2)/HLOOKUP($A265,표1[#ALL],row(),false)</f>
        <v>#N/A</v>
      </c>
      <c r="AP265" s="376" t="str">
        <f>CS_PID!AP265/VLOOKUP($B265,표2[#ALL],2)/HLOOKUP($A265,표1[#ALL],row(),false)</f>
        <v>#N/A</v>
      </c>
      <c r="AQ265" s="376" t="str">
        <f>CS_PID!AQ265/VLOOKUP($B265,표2[#ALL],2)/HLOOKUP($A265,표1[#ALL],row(),false)</f>
        <v>#N/A</v>
      </c>
      <c r="AR265" s="376" t="str">
        <f>CS_PID!AR265/VLOOKUP($B265,표2[#ALL],2)/HLOOKUP($A265,표1[#ALL],row(),false)</f>
        <v>#N/A</v>
      </c>
      <c r="AS265" s="377" t="str">
        <f>CS_PID!AS265/VLOOKUP($B265,표2[#ALL],2)/HLOOKUP($A265,표1[#ALL],row(),false)</f>
        <v>#N/A</v>
      </c>
    </row>
    <row r="266">
      <c r="A266" s="370"/>
      <c r="B266" s="371"/>
      <c r="C266" s="372" t="str">
        <f>CS_PID!C266/VLOOKUP($B266,표2[#ALL],2)</f>
        <v>#N/A</v>
      </c>
      <c r="D266" s="372" t="str">
        <f>CS_PID!D266/VLOOKUP($B266,표2[#ALL],2)</f>
        <v>#N/A</v>
      </c>
      <c r="E266" s="372" t="str">
        <f>CS_PID!E266/VLOOKUP($B266,표2[#ALL],2)</f>
        <v>#N/A</v>
      </c>
      <c r="F266" s="372" t="str">
        <f>CS_PID!F266/VLOOKUP($B266,표2[#ALL],2)</f>
        <v>#N/A</v>
      </c>
      <c r="G266" s="372" t="str">
        <f>CS_PID!G266/VLOOKUP($B266,표2[#ALL],2)</f>
        <v>#N/A</v>
      </c>
      <c r="H266" s="372" t="str">
        <f>CS_PID!H266/VLOOKUP($B266,표2[#ALL],2)/HLOOKUP($A266,표1[#ALL],row(),false)</f>
        <v>#N/A</v>
      </c>
      <c r="I266" s="372" t="str">
        <f>CS_PID!I266/VLOOKUP($B266,표2[#ALL],2)/HLOOKUP($A266,표1[#ALL],row(),false)</f>
        <v>#N/A</v>
      </c>
      <c r="J266" s="372" t="str">
        <f>CS_PID!J266/VLOOKUP($B266,표2[#ALL],2)/HLOOKUP($A266,표1[#ALL],row(),false)</f>
        <v>#N/A</v>
      </c>
      <c r="K266" s="372" t="str">
        <f>CS_PID!K266/VLOOKUP($B266,표2[#ALL],2)/HLOOKUP($A266,표1[#ALL],row(),false)</f>
        <v>#N/A</v>
      </c>
      <c r="L266" s="372" t="str">
        <f>CS_PID!L266/VLOOKUP($B266,표2[#ALL],2)/HLOOKUP($A266,표1[#ALL],row(),false)</f>
        <v>#N/A</v>
      </c>
      <c r="M266" s="372" t="str">
        <f>CS_PID!M266/VLOOKUP($B266,표2[#ALL],2)/HLOOKUP($A266,표1[#ALL],row(),false)</f>
        <v>#N/A</v>
      </c>
      <c r="N266" s="372" t="str">
        <f>CS_PID!N266/VLOOKUP($B266,표2[#ALL],2)/HLOOKUP($A266,표1[#ALL],row(),false)</f>
        <v>#N/A</v>
      </c>
      <c r="O266" s="372" t="str">
        <f>CS_PID!O266/VLOOKUP($B266,표2[#ALL],2)/HLOOKUP($A266,표1[#ALL],row(),false)</f>
        <v>#N/A</v>
      </c>
      <c r="P266" s="372" t="str">
        <f>CS_PID!P266/VLOOKUP($B266,표2[#ALL],2)/HLOOKUP($A266,표1[#ALL],row(),false)</f>
        <v>#N/A</v>
      </c>
      <c r="Q266" s="372" t="str">
        <f>CS_PID!Q266/VLOOKUP($B266,표2[#ALL],2)/HLOOKUP($A266,표1[#ALL],row(),false)</f>
        <v>#N/A</v>
      </c>
      <c r="R266" s="372" t="str">
        <f>CS_PID!R266/VLOOKUP($B266,표2[#ALL],2)/HLOOKUP($A266,표1[#ALL],row(),false)</f>
        <v>#N/A</v>
      </c>
      <c r="S266" s="372" t="str">
        <f>CS_PID!S266/VLOOKUP($B266,표2[#ALL],2)/HLOOKUP($A266,표1[#ALL],row(),false)</f>
        <v>#N/A</v>
      </c>
      <c r="T266" s="372" t="str">
        <f>CS_PID!T266/VLOOKUP($B266,표2[#ALL],2)/HLOOKUP($A266,표1[#ALL],row(),false)</f>
        <v>#N/A</v>
      </c>
      <c r="U266" s="372" t="str">
        <f>CS_PID!U266/VLOOKUP($B266,표2[#ALL],2)/HLOOKUP($A266,표1[#ALL],row(),false)</f>
        <v>#N/A</v>
      </c>
      <c r="V266" s="372" t="str">
        <f>CS_PID!V266/VLOOKUP($B266,표2[#ALL],2)/HLOOKUP($A266,표1[#ALL],row(),false)</f>
        <v>#N/A</v>
      </c>
      <c r="W266" s="372" t="str">
        <f>CS_PID!W266/VLOOKUP($B266,표2[#ALL],2)/HLOOKUP($A266,표1[#ALL],row(),false)</f>
        <v>#N/A</v>
      </c>
      <c r="X266" s="372" t="str">
        <f>CS_PID!X266/VLOOKUP($B266,표2[#ALL],2)/HLOOKUP($A266,표1[#ALL],row(),false)</f>
        <v>#N/A</v>
      </c>
      <c r="Y266" s="372" t="str">
        <f>CS_PID!Y266/VLOOKUP($B266,표2[#ALL],2)/HLOOKUP($A266,표1[#ALL],row(),false)</f>
        <v>#N/A</v>
      </c>
      <c r="Z266" s="372" t="str">
        <f>CS_PID!Z266/VLOOKUP($B266,표2[#ALL],2)/HLOOKUP($A266,표1[#ALL],row(),false)</f>
        <v>#N/A</v>
      </c>
      <c r="AA266" s="372" t="str">
        <f>CS_PID!AA266/VLOOKUP($B266,표2[#ALL],2)/HLOOKUP($A266,표1[#ALL],row(),false)</f>
        <v>#N/A</v>
      </c>
      <c r="AB266" s="372" t="str">
        <f>CS_PID!AB266/VLOOKUP($B266,표2[#ALL],2)/HLOOKUP($A266,표1[#ALL],row(),false)</f>
        <v>#N/A</v>
      </c>
      <c r="AC266" s="372" t="str">
        <f>CS_PID!AC266/VLOOKUP($B266,표2[#ALL],2)/HLOOKUP($A266,표1[#ALL],row(),false)</f>
        <v>#N/A</v>
      </c>
      <c r="AD266" s="372" t="str">
        <f>CS_PID!AD266/VLOOKUP($B266,표2[#ALL],2)/HLOOKUP($A266,표1[#ALL],row(),false)</f>
        <v>#N/A</v>
      </c>
      <c r="AE266" s="372" t="str">
        <f>CS_PID!AE266/VLOOKUP($B266,표2[#ALL],2)/HLOOKUP($A266,표1[#ALL],row(),false)</f>
        <v>#N/A</v>
      </c>
      <c r="AF266" s="372" t="str">
        <f>CS_PID!AF266/VLOOKUP($B266,표2[#ALL],2)/HLOOKUP($A266,표1[#ALL],row(),false)</f>
        <v>#N/A</v>
      </c>
      <c r="AG266" s="372" t="str">
        <f>CS_PID!AG266/VLOOKUP($B266,표2[#ALL],2)/HLOOKUP($A266,표1[#ALL],row(),false)</f>
        <v>#N/A</v>
      </c>
      <c r="AH266" s="372" t="str">
        <f>CS_PID!AH266/VLOOKUP($B266,표2[#ALL],2)/HLOOKUP($A266,표1[#ALL],row(),false)</f>
        <v>#N/A</v>
      </c>
      <c r="AI266" s="372" t="str">
        <f>CS_PID!AI266/VLOOKUP($B266,표2[#ALL],2)/HLOOKUP($A266,표1[#ALL],row(),false)</f>
        <v>#N/A</v>
      </c>
      <c r="AJ266" s="372" t="str">
        <f>CS_PID!AJ266/VLOOKUP($B266,표2[#ALL],2)/HLOOKUP($A266,표1[#ALL],row(),false)</f>
        <v>#N/A</v>
      </c>
      <c r="AK266" s="372" t="str">
        <f>CS_PID!AK266/VLOOKUP($B266,표2[#ALL],2)/HLOOKUP($A266,표1[#ALL],row(),false)</f>
        <v>#N/A</v>
      </c>
      <c r="AL266" s="372" t="str">
        <f>CS_PID!AL266/VLOOKUP($B266,표2[#ALL],2)/HLOOKUP($A266,표1[#ALL],row(),false)</f>
        <v>#N/A</v>
      </c>
      <c r="AM266" s="372" t="str">
        <f>CS_PID!AM266/VLOOKUP($B266,표2[#ALL],2)/HLOOKUP($A266,표1[#ALL],row(),false)</f>
        <v>#N/A</v>
      </c>
      <c r="AN266" s="372" t="str">
        <f>CS_PID!AN266/VLOOKUP($B266,표2[#ALL],2)/HLOOKUP($A266,표1[#ALL],row(),false)</f>
        <v>#N/A</v>
      </c>
      <c r="AO266" s="372" t="str">
        <f>CS_PID!AO266/VLOOKUP($B266,표2[#ALL],2)/HLOOKUP($A266,표1[#ALL],row(),false)</f>
        <v>#N/A</v>
      </c>
      <c r="AP266" s="372" t="str">
        <f>CS_PID!AP266/VLOOKUP($B266,표2[#ALL],2)/HLOOKUP($A266,표1[#ALL],row(),false)</f>
        <v>#N/A</v>
      </c>
      <c r="AQ266" s="372" t="str">
        <f>CS_PID!AQ266/VLOOKUP($B266,표2[#ALL],2)/HLOOKUP($A266,표1[#ALL],row(),false)</f>
        <v>#N/A</v>
      </c>
      <c r="AR266" s="372" t="str">
        <f>CS_PID!AR266/VLOOKUP($B266,표2[#ALL],2)/HLOOKUP($A266,표1[#ALL],row(),false)</f>
        <v>#N/A</v>
      </c>
      <c r="AS266" s="373" t="str">
        <f>CS_PID!AS266/VLOOKUP($B266,표2[#ALL],2)/HLOOKUP($A266,표1[#ALL],row(),false)</f>
        <v>#N/A</v>
      </c>
    </row>
    <row r="267">
      <c r="A267" s="374"/>
      <c r="B267" s="375"/>
      <c r="C267" s="376" t="str">
        <f>CS_PID!C267/VLOOKUP($B267,표2[#ALL],2)</f>
        <v>#N/A</v>
      </c>
      <c r="D267" s="376" t="str">
        <f>CS_PID!D267/VLOOKUP($B267,표2[#ALL],2)</f>
        <v>#N/A</v>
      </c>
      <c r="E267" s="376" t="str">
        <f>CS_PID!E267/VLOOKUP($B267,표2[#ALL],2)</f>
        <v>#N/A</v>
      </c>
      <c r="F267" s="376" t="str">
        <f>CS_PID!F267/VLOOKUP($B267,표2[#ALL],2)</f>
        <v>#N/A</v>
      </c>
      <c r="G267" s="376" t="str">
        <f>CS_PID!G267/VLOOKUP($B267,표2[#ALL],2)</f>
        <v>#N/A</v>
      </c>
      <c r="H267" s="376" t="str">
        <f>CS_PID!H267/VLOOKUP($B267,표2[#ALL],2)/HLOOKUP($A267,표1[#ALL],row(),false)</f>
        <v>#N/A</v>
      </c>
      <c r="I267" s="376" t="str">
        <f>CS_PID!I267/VLOOKUP($B267,표2[#ALL],2)/HLOOKUP($A267,표1[#ALL],row(),false)</f>
        <v>#N/A</v>
      </c>
      <c r="J267" s="376" t="str">
        <f>CS_PID!J267/VLOOKUP($B267,표2[#ALL],2)/HLOOKUP($A267,표1[#ALL],row(),false)</f>
        <v>#N/A</v>
      </c>
      <c r="K267" s="376" t="str">
        <f>CS_PID!K267/VLOOKUP($B267,표2[#ALL],2)/HLOOKUP($A267,표1[#ALL],row(),false)</f>
        <v>#N/A</v>
      </c>
      <c r="L267" s="376" t="str">
        <f>CS_PID!L267/VLOOKUP($B267,표2[#ALL],2)/HLOOKUP($A267,표1[#ALL],row(),false)</f>
        <v>#N/A</v>
      </c>
      <c r="M267" s="376" t="str">
        <f>CS_PID!M267/VLOOKUP($B267,표2[#ALL],2)/HLOOKUP($A267,표1[#ALL],row(),false)</f>
        <v>#N/A</v>
      </c>
      <c r="N267" s="376" t="str">
        <f>CS_PID!N267/VLOOKUP($B267,표2[#ALL],2)/HLOOKUP($A267,표1[#ALL],row(),false)</f>
        <v>#N/A</v>
      </c>
      <c r="O267" s="376" t="str">
        <f>CS_PID!O267/VLOOKUP($B267,표2[#ALL],2)/HLOOKUP($A267,표1[#ALL],row(),false)</f>
        <v>#N/A</v>
      </c>
      <c r="P267" s="376" t="str">
        <f>CS_PID!P267/VLOOKUP($B267,표2[#ALL],2)/HLOOKUP($A267,표1[#ALL],row(),false)</f>
        <v>#N/A</v>
      </c>
      <c r="Q267" s="376" t="str">
        <f>CS_PID!Q267/VLOOKUP($B267,표2[#ALL],2)/HLOOKUP($A267,표1[#ALL],row(),false)</f>
        <v>#N/A</v>
      </c>
      <c r="R267" s="376" t="str">
        <f>CS_PID!R267/VLOOKUP($B267,표2[#ALL],2)/HLOOKUP($A267,표1[#ALL],row(),false)</f>
        <v>#N/A</v>
      </c>
      <c r="S267" s="376" t="str">
        <f>CS_PID!S267/VLOOKUP($B267,표2[#ALL],2)/HLOOKUP($A267,표1[#ALL],row(),false)</f>
        <v>#N/A</v>
      </c>
      <c r="T267" s="376" t="str">
        <f>CS_PID!T267/VLOOKUP($B267,표2[#ALL],2)/HLOOKUP($A267,표1[#ALL],row(),false)</f>
        <v>#N/A</v>
      </c>
      <c r="U267" s="376" t="str">
        <f>CS_PID!U267/VLOOKUP($B267,표2[#ALL],2)/HLOOKUP($A267,표1[#ALL],row(),false)</f>
        <v>#N/A</v>
      </c>
      <c r="V267" s="376" t="str">
        <f>CS_PID!V267/VLOOKUP($B267,표2[#ALL],2)/HLOOKUP($A267,표1[#ALL],row(),false)</f>
        <v>#N/A</v>
      </c>
      <c r="W267" s="376" t="str">
        <f>CS_PID!W267/VLOOKUP($B267,표2[#ALL],2)/HLOOKUP($A267,표1[#ALL],row(),false)</f>
        <v>#N/A</v>
      </c>
      <c r="X267" s="376" t="str">
        <f>CS_PID!X267/VLOOKUP($B267,표2[#ALL],2)/HLOOKUP($A267,표1[#ALL],row(),false)</f>
        <v>#N/A</v>
      </c>
      <c r="Y267" s="376" t="str">
        <f>CS_PID!Y267/VLOOKUP($B267,표2[#ALL],2)/HLOOKUP($A267,표1[#ALL],row(),false)</f>
        <v>#N/A</v>
      </c>
      <c r="Z267" s="376" t="str">
        <f>CS_PID!Z267/VLOOKUP($B267,표2[#ALL],2)/HLOOKUP($A267,표1[#ALL],row(),false)</f>
        <v>#N/A</v>
      </c>
      <c r="AA267" s="376" t="str">
        <f>CS_PID!AA267/VLOOKUP($B267,표2[#ALL],2)/HLOOKUP($A267,표1[#ALL],row(),false)</f>
        <v>#N/A</v>
      </c>
      <c r="AB267" s="376" t="str">
        <f>CS_PID!AB267/VLOOKUP($B267,표2[#ALL],2)/HLOOKUP($A267,표1[#ALL],row(),false)</f>
        <v>#N/A</v>
      </c>
      <c r="AC267" s="376" t="str">
        <f>CS_PID!AC267/VLOOKUP($B267,표2[#ALL],2)/HLOOKUP($A267,표1[#ALL],row(),false)</f>
        <v>#N/A</v>
      </c>
      <c r="AD267" s="376" t="str">
        <f>CS_PID!AD267/VLOOKUP($B267,표2[#ALL],2)/HLOOKUP($A267,표1[#ALL],row(),false)</f>
        <v>#N/A</v>
      </c>
      <c r="AE267" s="376" t="str">
        <f>CS_PID!AE267/VLOOKUP($B267,표2[#ALL],2)/HLOOKUP($A267,표1[#ALL],row(),false)</f>
        <v>#N/A</v>
      </c>
      <c r="AF267" s="376" t="str">
        <f>CS_PID!AF267/VLOOKUP($B267,표2[#ALL],2)/HLOOKUP($A267,표1[#ALL],row(),false)</f>
        <v>#N/A</v>
      </c>
      <c r="AG267" s="376" t="str">
        <f>CS_PID!AG267/VLOOKUP($B267,표2[#ALL],2)/HLOOKUP($A267,표1[#ALL],row(),false)</f>
        <v>#N/A</v>
      </c>
      <c r="AH267" s="376" t="str">
        <f>CS_PID!AH267/VLOOKUP($B267,표2[#ALL],2)/HLOOKUP($A267,표1[#ALL],row(),false)</f>
        <v>#N/A</v>
      </c>
      <c r="AI267" s="376" t="str">
        <f>CS_PID!AI267/VLOOKUP($B267,표2[#ALL],2)/HLOOKUP($A267,표1[#ALL],row(),false)</f>
        <v>#N/A</v>
      </c>
      <c r="AJ267" s="376" t="str">
        <f>CS_PID!AJ267/VLOOKUP($B267,표2[#ALL],2)/HLOOKUP($A267,표1[#ALL],row(),false)</f>
        <v>#N/A</v>
      </c>
      <c r="AK267" s="376" t="str">
        <f>CS_PID!AK267/VLOOKUP($B267,표2[#ALL],2)/HLOOKUP($A267,표1[#ALL],row(),false)</f>
        <v>#N/A</v>
      </c>
      <c r="AL267" s="376" t="str">
        <f>CS_PID!AL267/VLOOKUP($B267,표2[#ALL],2)/HLOOKUP($A267,표1[#ALL],row(),false)</f>
        <v>#N/A</v>
      </c>
      <c r="AM267" s="376" t="str">
        <f>CS_PID!AM267/VLOOKUP($B267,표2[#ALL],2)/HLOOKUP($A267,표1[#ALL],row(),false)</f>
        <v>#N/A</v>
      </c>
      <c r="AN267" s="376" t="str">
        <f>CS_PID!AN267/VLOOKUP($B267,표2[#ALL],2)/HLOOKUP($A267,표1[#ALL],row(),false)</f>
        <v>#N/A</v>
      </c>
      <c r="AO267" s="376" t="str">
        <f>CS_PID!AO267/VLOOKUP($B267,표2[#ALL],2)/HLOOKUP($A267,표1[#ALL],row(),false)</f>
        <v>#N/A</v>
      </c>
      <c r="AP267" s="376" t="str">
        <f>CS_PID!AP267/VLOOKUP($B267,표2[#ALL],2)/HLOOKUP($A267,표1[#ALL],row(),false)</f>
        <v>#N/A</v>
      </c>
      <c r="AQ267" s="376" t="str">
        <f>CS_PID!AQ267/VLOOKUP($B267,표2[#ALL],2)/HLOOKUP($A267,표1[#ALL],row(),false)</f>
        <v>#N/A</v>
      </c>
      <c r="AR267" s="376" t="str">
        <f>CS_PID!AR267/VLOOKUP($B267,표2[#ALL],2)/HLOOKUP($A267,표1[#ALL],row(),false)</f>
        <v>#N/A</v>
      </c>
      <c r="AS267" s="377" t="str">
        <f>CS_PID!AS267/VLOOKUP($B267,표2[#ALL],2)/HLOOKUP($A267,표1[#ALL],row(),false)</f>
        <v>#N/A</v>
      </c>
    </row>
    <row r="268">
      <c r="A268" s="370"/>
      <c r="B268" s="371"/>
      <c r="C268" s="372" t="str">
        <f>CS_PID!C268/VLOOKUP($B268,표2[#ALL],2)</f>
        <v>#N/A</v>
      </c>
      <c r="D268" s="372" t="str">
        <f>CS_PID!D268/VLOOKUP($B268,표2[#ALL],2)</f>
        <v>#N/A</v>
      </c>
      <c r="E268" s="372" t="str">
        <f>CS_PID!E268/VLOOKUP($B268,표2[#ALL],2)</f>
        <v>#N/A</v>
      </c>
      <c r="F268" s="372" t="str">
        <f>CS_PID!F268/VLOOKUP($B268,표2[#ALL],2)</f>
        <v>#N/A</v>
      </c>
      <c r="G268" s="372" t="str">
        <f>CS_PID!G268/VLOOKUP($B268,표2[#ALL],2)</f>
        <v>#N/A</v>
      </c>
      <c r="H268" s="372" t="str">
        <f>CS_PID!H268/VLOOKUP($B268,표2[#ALL],2)/HLOOKUP($A268,표1[#ALL],row(),false)</f>
        <v>#N/A</v>
      </c>
      <c r="I268" s="372" t="str">
        <f>CS_PID!I268/VLOOKUP($B268,표2[#ALL],2)/HLOOKUP($A268,표1[#ALL],row(),false)</f>
        <v>#N/A</v>
      </c>
      <c r="J268" s="372" t="str">
        <f>CS_PID!J268/VLOOKUP($B268,표2[#ALL],2)/HLOOKUP($A268,표1[#ALL],row(),false)</f>
        <v>#N/A</v>
      </c>
      <c r="K268" s="372" t="str">
        <f>CS_PID!K268/VLOOKUP($B268,표2[#ALL],2)/HLOOKUP($A268,표1[#ALL],row(),false)</f>
        <v>#N/A</v>
      </c>
      <c r="L268" s="372" t="str">
        <f>CS_PID!L268/VLOOKUP($B268,표2[#ALL],2)/HLOOKUP($A268,표1[#ALL],row(),false)</f>
        <v>#N/A</v>
      </c>
      <c r="M268" s="372" t="str">
        <f>CS_PID!M268/VLOOKUP($B268,표2[#ALL],2)/HLOOKUP($A268,표1[#ALL],row(),false)</f>
        <v>#N/A</v>
      </c>
      <c r="N268" s="372" t="str">
        <f>CS_PID!N268/VLOOKUP($B268,표2[#ALL],2)/HLOOKUP($A268,표1[#ALL],row(),false)</f>
        <v>#N/A</v>
      </c>
      <c r="O268" s="372" t="str">
        <f>CS_PID!O268/VLOOKUP($B268,표2[#ALL],2)/HLOOKUP($A268,표1[#ALL],row(),false)</f>
        <v>#N/A</v>
      </c>
      <c r="P268" s="372" t="str">
        <f>CS_PID!P268/VLOOKUP($B268,표2[#ALL],2)/HLOOKUP($A268,표1[#ALL],row(),false)</f>
        <v>#N/A</v>
      </c>
      <c r="Q268" s="372" t="str">
        <f>CS_PID!Q268/VLOOKUP($B268,표2[#ALL],2)/HLOOKUP($A268,표1[#ALL],row(),false)</f>
        <v>#N/A</v>
      </c>
      <c r="R268" s="372" t="str">
        <f>CS_PID!R268/VLOOKUP($B268,표2[#ALL],2)/HLOOKUP($A268,표1[#ALL],row(),false)</f>
        <v>#N/A</v>
      </c>
      <c r="S268" s="372" t="str">
        <f>CS_PID!S268/VLOOKUP($B268,표2[#ALL],2)/HLOOKUP($A268,표1[#ALL],row(),false)</f>
        <v>#N/A</v>
      </c>
      <c r="T268" s="372" t="str">
        <f>CS_PID!T268/VLOOKUP($B268,표2[#ALL],2)/HLOOKUP($A268,표1[#ALL],row(),false)</f>
        <v>#N/A</v>
      </c>
      <c r="U268" s="372" t="str">
        <f>CS_PID!U268/VLOOKUP($B268,표2[#ALL],2)/HLOOKUP($A268,표1[#ALL],row(),false)</f>
        <v>#N/A</v>
      </c>
      <c r="V268" s="372" t="str">
        <f>CS_PID!V268/VLOOKUP($B268,표2[#ALL],2)/HLOOKUP($A268,표1[#ALL],row(),false)</f>
        <v>#N/A</v>
      </c>
      <c r="W268" s="372" t="str">
        <f>CS_PID!W268/VLOOKUP($B268,표2[#ALL],2)/HLOOKUP($A268,표1[#ALL],row(),false)</f>
        <v>#N/A</v>
      </c>
      <c r="X268" s="372" t="str">
        <f>CS_PID!X268/VLOOKUP($B268,표2[#ALL],2)/HLOOKUP($A268,표1[#ALL],row(),false)</f>
        <v>#N/A</v>
      </c>
      <c r="Y268" s="372" t="str">
        <f>CS_PID!Y268/VLOOKUP($B268,표2[#ALL],2)/HLOOKUP($A268,표1[#ALL],row(),false)</f>
        <v>#N/A</v>
      </c>
      <c r="Z268" s="372" t="str">
        <f>CS_PID!Z268/VLOOKUP($B268,표2[#ALL],2)/HLOOKUP($A268,표1[#ALL],row(),false)</f>
        <v>#N/A</v>
      </c>
      <c r="AA268" s="372" t="str">
        <f>CS_PID!AA268/VLOOKUP($B268,표2[#ALL],2)/HLOOKUP($A268,표1[#ALL],row(),false)</f>
        <v>#N/A</v>
      </c>
      <c r="AB268" s="372" t="str">
        <f>CS_PID!AB268/VLOOKUP($B268,표2[#ALL],2)/HLOOKUP($A268,표1[#ALL],row(),false)</f>
        <v>#N/A</v>
      </c>
      <c r="AC268" s="372" t="str">
        <f>CS_PID!AC268/VLOOKUP($B268,표2[#ALL],2)/HLOOKUP($A268,표1[#ALL],row(),false)</f>
        <v>#N/A</v>
      </c>
      <c r="AD268" s="372" t="str">
        <f>CS_PID!AD268/VLOOKUP($B268,표2[#ALL],2)/HLOOKUP($A268,표1[#ALL],row(),false)</f>
        <v>#N/A</v>
      </c>
      <c r="AE268" s="372" t="str">
        <f>CS_PID!AE268/VLOOKUP($B268,표2[#ALL],2)/HLOOKUP($A268,표1[#ALL],row(),false)</f>
        <v>#N/A</v>
      </c>
      <c r="AF268" s="372" t="str">
        <f>CS_PID!AF268/VLOOKUP($B268,표2[#ALL],2)/HLOOKUP($A268,표1[#ALL],row(),false)</f>
        <v>#N/A</v>
      </c>
      <c r="AG268" s="372" t="str">
        <f>CS_PID!AG268/VLOOKUP($B268,표2[#ALL],2)/HLOOKUP($A268,표1[#ALL],row(),false)</f>
        <v>#N/A</v>
      </c>
      <c r="AH268" s="372" t="str">
        <f>CS_PID!AH268/VLOOKUP($B268,표2[#ALL],2)/HLOOKUP($A268,표1[#ALL],row(),false)</f>
        <v>#N/A</v>
      </c>
      <c r="AI268" s="372" t="str">
        <f>CS_PID!AI268/VLOOKUP($B268,표2[#ALL],2)/HLOOKUP($A268,표1[#ALL],row(),false)</f>
        <v>#N/A</v>
      </c>
      <c r="AJ268" s="372" t="str">
        <f>CS_PID!AJ268/VLOOKUP($B268,표2[#ALL],2)/HLOOKUP($A268,표1[#ALL],row(),false)</f>
        <v>#N/A</v>
      </c>
      <c r="AK268" s="372" t="str">
        <f>CS_PID!AK268/VLOOKUP($B268,표2[#ALL],2)/HLOOKUP($A268,표1[#ALL],row(),false)</f>
        <v>#N/A</v>
      </c>
      <c r="AL268" s="372" t="str">
        <f>CS_PID!AL268/VLOOKUP($B268,표2[#ALL],2)/HLOOKUP($A268,표1[#ALL],row(),false)</f>
        <v>#N/A</v>
      </c>
      <c r="AM268" s="372" t="str">
        <f>CS_PID!AM268/VLOOKUP($B268,표2[#ALL],2)/HLOOKUP($A268,표1[#ALL],row(),false)</f>
        <v>#N/A</v>
      </c>
      <c r="AN268" s="372" t="str">
        <f>CS_PID!AN268/VLOOKUP($B268,표2[#ALL],2)/HLOOKUP($A268,표1[#ALL],row(),false)</f>
        <v>#N/A</v>
      </c>
      <c r="AO268" s="372" t="str">
        <f>CS_PID!AO268/VLOOKUP($B268,표2[#ALL],2)/HLOOKUP($A268,표1[#ALL],row(),false)</f>
        <v>#N/A</v>
      </c>
      <c r="AP268" s="372" t="str">
        <f>CS_PID!AP268/VLOOKUP($B268,표2[#ALL],2)/HLOOKUP($A268,표1[#ALL],row(),false)</f>
        <v>#N/A</v>
      </c>
      <c r="AQ268" s="372" t="str">
        <f>CS_PID!AQ268/VLOOKUP($B268,표2[#ALL],2)/HLOOKUP($A268,표1[#ALL],row(),false)</f>
        <v>#N/A</v>
      </c>
      <c r="AR268" s="372" t="str">
        <f>CS_PID!AR268/VLOOKUP($B268,표2[#ALL],2)/HLOOKUP($A268,표1[#ALL],row(),false)</f>
        <v>#N/A</v>
      </c>
      <c r="AS268" s="373" t="str">
        <f>CS_PID!AS268/VLOOKUP($B268,표2[#ALL],2)/HLOOKUP($A268,표1[#ALL],row(),false)</f>
        <v>#N/A</v>
      </c>
    </row>
    <row r="269">
      <c r="A269" s="374"/>
      <c r="B269" s="375"/>
      <c r="C269" s="376" t="str">
        <f>CS_PID!C269/VLOOKUP($B269,표2[#ALL],2)</f>
        <v>#N/A</v>
      </c>
      <c r="D269" s="376" t="str">
        <f>CS_PID!D269/VLOOKUP($B269,표2[#ALL],2)</f>
        <v>#N/A</v>
      </c>
      <c r="E269" s="376" t="str">
        <f>CS_PID!E269/VLOOKUP($B269,표2[#ALL],2)</f>
        <v>#N/A</v>
      </c>
      <c r="F269" s="376" t="str">
        <f>CS_PID!F269/VLOOKUP($B269,표2[#ALL],2)</f>
        <v>#N/A</v>
      </c>
      <c r="G269" s="376" t="str">
        <f>CS_PID!G269/VLOOKUP($B269,표2[#ALL],2)</f>
        <v>#N/A</v>
      </c>
      <c r="H269" s="376" t="str">
        <f>CS_PID!H269/VLOOKUP($B269,표2[#ALL],2)/HLOOKUP($A269,표1[#ALL],row(),false)</f>
        <v>#N/A</v>
      </c>
      <c r="I269" s="376" t="str">
        <f>CS_PID!I269/VLOOKUP($B269,표2[#ALL],2)/HLOOKUP($A269,표1[#ALL],row(),false)</f>
        <v>#N/A</v>
      </c>
      <c r="J269" s="376" t="str">
        <f>CS_PID!J269/VLOOKUP($B269,표2[#ALL],2)/HLOOKUP($A269,표1[#ALL],row(),false)</f>
        <v>#N/A</v>
      </c>
      <c r="K269" s="376" t="str">
        <f>CS_PID!K269/VLOOKUP($B269,표2[#ALL],2)/HLOOKUP($A269,표1[#ALL],row(),false)</f>
        <v>#N/A</v>
      </c>
      <c r="L269" s="376" t="str">
        <f>CS_PID!L269/VLOOKUP($B269,표2[#ALL],2)/HLOOKUP($A269,표1[#ALL],row(),false)</f>
        <v>#N/A</v>
      </c>
      <c r="M269" s="376" t="str">
        <f>CS_PID!M269/VLOOKUP($B269,표2[#ALL],2)/HLOOKUP($A269,표1[#ALL],row(),false)</f>
        <v>#N/A</v>
      </c>
      <c r="N269" s="376" t="str">
        <f>CS_PID!N269/VLOOKUP($B269,표2[#ALL],2)/HLOOKUP($A269,표1[#ALL],row(),false)</f>
        <v>#N/A</v>
      </c>
      <c r="O269" s="376" t="str">
        <f>CS_PID!O269/VLOOKUP($B269,표2[#ALL],2)/HLOOKUP($A269,표1[#ALL],row(),false)</f>
        <v>#N/A</v>
      </c>
      <c r="P269" s="376" t="str">
        <f>CS_PID!P269/VLOOKUP($B269,표2[#ALL],2)/HLOOKUP($A269,표1[#ALL],row(),false)</f>
        <v>#N/A</v>
      </c>
      <c r="Q269" s="376" t="str">
        <f>CS_PID!Q269/VLOOKUP($B269,표2[#ALL],2)/HLOOKUP($A269,표1[#ALL],row(),false)</f>
        <v>#N/A</v>
      </c>
      <c r="R269" s="376" t="str">
        <f>CS_PID!R269/VLOOKUP($B269,표2[#ALL],2)/HLOOKUP($A269,표1[#ALL],row(),false)</f>
        <v>#N/A</v>
      </c>
      <c r="S269" s="376" t="str">
        <f>CS_PID!S269/VLOOKUP($B269,표2[#ALL],2)/HLOOKUP($A269,표1[#ALL],row(),false)</f>
        <v>#N/A</v>
      </c>
      <c r="T269" s="376" t="str">
        <f>CS_PID!T269/VLOOKUP($B269,표2[#ALL],2)/HLOOKUP($A269,표1[#ALL],row(),false)</f>
        <v>#N/A</v>
      </c>
      <c r="U269" s="376" t="str">
        <f>CS_PID!U269/VLOOKUP($B269,표2[#ALL],2)/HLOOKUP($A269,표1[#ALL],row(),false)</f>
        <v>#N/A</v>
      </c>
      <c r="V269" s="376" t="str">
        <f>CS_PID!V269/VLOOKUP($B269,표2[#ALL],2)/HLOOKUP($A269,표1[#ALL],row(),false)</f>
        <v>#N/A</v>
      </c>
      <c r="W269" s="376" t="str">
        <f>CS_PID!W269/VLOOKUP($B269,표2[#ALL],2)/HLOOKUP($A269,표1[#ALL],row(),false)</f>
        <v>#N/A</v>
      </c>
      <c r="X269" s="376" t="str">
        <f>CS_PID!X269/VLOOKUP($B269,표2[#ALL],2)/HLOOKUP($A269,표1[#ALL],row(),false)</f>
        <v>#N/A</v>
      </c>
      <c r="Y269" s="376" t="str">
        <f>CS_PID!Y269/VLOOKUP($B269,표2[#ALL],2)/HLOOKUP($A269,표1[#ALL],row(),false)</f>
        <v>#N/A</v>
      </c>
      <c r="Z269" s="376" t="str">
        <f>CS_PID!Z269/VLOOKUP($B269,표2[#ALL],2)/HLOOKUP($A269,표1[#ALL],row(),false)</f>
        <v>#N/A</v>
      </c>
      <c r="AA269" s="376" t="str">
        <f>CS_PID!AA269/VLOOKUP($B269,표2[#ALL],2)/HLOOKUP($A269,표1[#ALL],row(),false)</f>
        <v>#N/A</v>
      </c>
      <c r="AB269" s="376" t="str">
        <f>CS_PID!AB269/VLOOKUP($B269,표2[#ALL],2)/HLOOKUP($A269,표1[#ALL],row(),false)</f>
        <v>#N/A</v>
      </c>
      <c r="AC269" s="376" t="str">
        <f>CS_PID!AC269/VLOOKUP($B269,표2[#ALL],2)/HLOOKUP($A269,표1[#ALL],row(),false)</f>
        <v>#N/A</v>
      </c>
      <c r="AD269" s="376" t="str">
        <f>CS_PID!AD269/VLOOKUP($B269,표2[#ALL],2)/HLOOKUP($A269,표1[#ALL],row(),false)</f>
        <v>#N/A</v>
      </c>
      <c r="AE269" s="376" t="str">
        <f>CS_PID!AE269/VLOOKUP($B269,표2[#ALL],2)/HLOOKUP($A269,표1[#ALL],row(),false)</f>
        <v>#N/A</v>
      </c>
      <c r="AF269" s="376" t="str">
        <f>CS_PID!AF269/VLOOKUP($B269,표2[#ALL],2)/HLOOKUP($A269,표1[#ALL],row(),false)</f>
        <v>#N/A</v>
      </c>
      <c r="AG269" s="376" t="str">
        <f>CS_PID!AG269/VLOOKUP($B269,표2[#ALL],2)/HLOOKUP($A269,표1[#ALL],row(),false)</f>
        <v>#N/A</v>
      </c>
      <c r="AH269" s="376" t="str">
        <f>CS_PID!AH269/VLOOKUP($B269,표2[#ALL],2)/HLOOKUP($A269,표1[#ALL],row(),false)</f>
        <v>#N/A</v>
      </c>
      <c r="AI269" s="376" t="str">
        <f>CS_PID!AI269/VLOOKUP($B269,표2[#ALL],2)/HLOOKUP($A269,표1[#ALL],row(),false)</f>
        <v>#N/A</v>
      </c>
      <c r="AJ269" s="376" t="str">
        <f>CS_PID!AJ269/VLOOKUP($B269,표2[#ALL],2)/HLOOKUP($A269,표1[#ALL],row(),false)</f>
        <v>#N/A</v>
      </c>
      <c r="AK269" s="376" t="str">
        <f>CS_PID!AK269/VLOOKUP($B269,표2[#ALL],2)/HLOOKUP($A269,표1[#ALL],row(),false)</f>
        <v>#N/A</v>
      </c>
      <c r="AL269" s="376" t="str">
        <f>CS_PID!AL269/VLOOKUP($B269,표2[#ALL],2)/HLOOKUP($A269,표1[#ALL],row(),false)</f>
        <v>#N/A</v>
      </c>
      <c r="AM269" s="376" t="str">
        <f>CS_PID!AM269/VLOOKUP($B269,표2[#ALL],2)/HLOOKUP($A269,표1[#ALL],row(),false)</f>
        <v>#N/A</v>
      </c>
      <c r="AN269" s="376" t="str">
        <f>CS_PID!AN269/VLOOKUP($B269,표2[#ALL],2)/HLOOKUP($A269,표1[#ALL],row(),false)</f>
        <v>#N/A</v>
      </c>
      <c r="AO269" s="376" t="str">
        <f>CS_PID!AO269/VLOOKUP($B269,표2[#ALL],2)/HLOOKUP($A269,표1[#ALL],row(),false)</f>
        <v>#N/A</v>
      </c>
      <c r="AP269" s="376" t="str">
        <f>CS_PID!AP269/VLOOKUP($B269,표2[#ALL],2)/HLOOKUP($A269,표1[#ALL],row(),false)</f>
        <v>#N/A</v>
      </c>
      <c r="AQ269" s="376" t="str">
        <f>CS_PID!AQ269/VLOOKUP($B269,표2[#ALL],2)/HLOOKUP($A269,표1[#ALL],row(),false)</f>
        <v>#N/A</v>
      </c>
      <c r="AR269" s="376" t="str">
        <f>CS_PID!AR269/VLOOKUP($B269,표2[#ALL],2)/HLOOKUP($A269,표1[#ALL],row(),false)</f>
        <v>#N/A</v>
      </c>
      <c r="AS269" s="377" t="str">
        <f>CS_PID!AS269/VLOOKUP($B269,표2[#ALL],2)/HLOOKUP($A269,표1[#ALL],row(),false)</f>
        <v>#N/A</v>
      </c>
    </row>
    <row r="270">
      <c r="A270" s="370"/>
      <c r="B270" s="371"/>
      <c r="C270" s="372" t="str">
        <f>CS_PID!C270/VLOOKUP($B270,표2[#ALL],2)</f>
        <v>#N/A</v>
      </c>
      <c r="D270" s="372" t="str">
        <f>CS_PID!D270/VLOOKUP($B270,표2[#ALL],2)</f>
        <v>#N/A</v>
      </c>
      <c r="E270" s="372" t="str">
        <f>CS_PID!E270/VLOOKUP($B270,표2[#ALL],2)</f>
        <v>#N/A</v>
      </c>
      <c r="F270" s="372" t="str">
        <f>CS_PID!F270/VLOOKUP($B270,표2[#ALL],2)</f>
        <v>#N/A</v>
      </c>
      <c r="G270" s="372" t="str">
        <f>CS_PID!G270/VLOOKUP($B270,표2[#ALL],2)</f>
        <v>#N/A</v>
      </c>
      <c r="H270" s="372" t="str">
        <f>CS_PID!H270/VLOOKUP($B270,표2[#ALL],2)/HLOOKUP($A270,표1[#ALL],row(),false)</f>
        <v>#N/A</v>
      </c>
      <c r="I270" s="372" t="str">
        <f>CS_PID!I270/VLOOKUP($B270,표2[#ALL],2)/HLOOKUP($A270,표1[#ALL],row(),false)</f>
        <v>#N/A</v>
      </c>
      <c r="J270" s="372" t="str">
        <f>CS_PID!J270/VLOOKUP($B270,표2[#ALL],2)/HLOOKUP($A270,표1[#ALL],row(),false)</f>
        <v>#N/A</v>
      </c>
      <c r="K270" s="372" t="str">
        <f>CS_PID!K270/VLOOKUP($B270,표2[#ALL],2)/HLOOKUP($A270,표1[#ALL],row(),false)</f>
        <v>#N/A</v>
      </c>
      <c r="L270" s="372" t="str">
        <f>CS_PID!L270/VLOOKUP($B270,표2[#ALL],2)/HLOOKUP($A270,표1[#ALL],row(),false)</f>
        <v>#N/A</v>
      </c>
      <c r="M270" s="372" t="str">
        <f>CS_PID!M270/VLOOKUP($B270,표2[#ALL],2)/HLOOKUP($A270,표1[#ALL],row(),false)</f>
        <v>#N/A</v>
      </c>
      <c r="N270" s="372" t="str">
        <f>CS_PID!N270/VLOOKUP($B270,표2[#ALL],2)/HLOOKUP($A270,표1[#ALL],row(),false)</f>
        <v>#N/A</v>
      </c>
      <c r="O270" s="372" t="str">
        <f>CS_PID!O270/VLOOKUP($B270,표2[#ALL],2)/HLOOKUP($A270,표1[#ALL],row(),false)</f>
        <v>#N/A</v>
      </c>
      <c r="P270" s="372" t="str">
        <f>CS_PID!P270/VLOOKUP($B270,표2[#ALL],2)/HLOOKUP($A270,표1[#ALL],row(),false)</f>
        <v>#N/A</v>
      </c>
      <c r="Q270" s="372" t="str">
        <f>CS_PID!Q270/VLOOKUP($B270,표2[#ALL],2)/HLOOKUP($A270,표1[#ALL],row(),false)</f>
        <v>#N/A</v>
      </c>
      <c r="R270" s="372" t="str">
        <f>CS_PID!R270/VLOOKUP($B270,표2[#ALL],2)/HLOOKUP($A270,표1[#ALL],row(),false)</f>
        <v>#N/A</v>
      </c>
      <c r="S270" s="372" t="str">
        <f>CS_PID!S270/VLOOKUP($B270,표2[#ALL],2)/HLOOKUP($A270,표1[#ALL],row(),false)</f>
        <v>#N/A</v>
      </c>
      <c r="T270" s="372" t="str">
        <f>CS_PID!T270/VLOOKUP($B270,표2[#ALL],2)/HLOOKUP($A270,표1[#ALL],row(),false)</f>
        <v>#N/A</v>
      </c>
      <c r="U270" s="372" t="str">
        <f>CS_PID!U270/VLOOKUP($B270,표2[#ALL],2)/HLOOKUP($A270,표1[#ALL],row(),false)</f>
        <v>#N/A</v>
      </c>
      <c r="V270" s="372" t="str">
        <f>CS_PID!V270/VLOOKUP($B270,표2[#ALL],2)/HLOOKUP($A270,표1[#ALL],row(),false)</f>
        <v>#N/A</v>
      </c>
      <c r="W270" s="372" t="str">
        <f>CS_PID!W270/VLOOKUP($B270,표2[#ALL],2)/HLOOKUP($A270,표1[#ALL],row(),false)</f>
        <v>#N/A</v>
      </c>
      <c r="X270" s="372" t="str">
        <f>CS_PID!X270/VLOOKUP($B270,표2[#ALL],2)/HLOOKUP($A270,표1[#ALL],row(),false)</f>
        <v>#N/A</v>
      </c>
      <c r="Y270" s="372" t="str">
        <f>CS_PID!Y270/VLOOKUP($B270,표2[#ALL],2)/HLOOKUP($A270,표1[#ALL],row(),false)</f>
        <v>#N/A</v>
      </c>
      <c r="Z270" s="372" t="str">
        <f>CS_PID!Z270/VLOOKUP($B270,표2[#ALL],2)/HLOOKUP($A270,표1[#ALL],row(),false)</f>
        <v>#N/A</v>
      </c>
      <c r="AA270" s="372" t="str">
        <f>CS_PID!AA270/VLOOKUP($B270,표2[#ALL],2)/HLOOKUP($A270,표1[#ALL],row(),false)</f>
        <v>#N/A</v>
      </c>
      <c r="AB270" s="372" t="str">
        <f>CS_PID!AB270/VLOOKUP($B270,표2[#ALL],2)/HLOOKUP($A270,표1[#ALL],row(),false)</f>
        <v>#N/A</v>
      </c>
      <c r="AC270" s="372" t="str">
        <f>CS_PID!AC270/VLOOKUP($B270,표2[#ALL],2)/HLOOKUP($A270,표1[#ALL],row(),false)</f>
        <v>#N/A</v>
      </c>
      <c r="AD270" s="372" t="str">
        <f>CS_PID!AD270/VLOOKUP($B270,표2[#ALL],2)/HLOOKUP($A270,표1[#ALL],row(),false)</f>
        <v>#N/A</v>
      </c>
      <c r="AE270" s="372" t="str">
        <f>CS_PID!AE270/VLOOKUP($B270,표2[#ALL],2)/HLOOKUP($A270,표1[#ALL],row(),false)</f>
        <v>#N/A</v>
      </c>
      <c r="AF270" s="372" t="str">
        <f>CS_PID!AF270/VLOOKUP($B270,표2[#ALL],2)/HLOOKUP($A270,표1[#ALL],row(),false)</f>
        <v>#N/A</v>
      </c>
      <c r="AG270" s="372" t="str">
        <f>CS_PID!AG270/VLOOKUP($B270,표2[#ALL],2)/HLOOKUP($A270,표1[#ALL],row(),false)</f>
        <v>#N/A</v>
      </c>
      <c r="AH270" s="372" t="str">
        <f>CS_PID!AH270/VLOOKUP($B270,표2[#ALL],2)/HLOOKUP($A270,표1[#ALL],row(),false)</f>
        <v>#N/A</v>
      </c>
      <c r="AI270" s="372" t="str">
        <f>CS_PID!AI270/VLOOKUP($B270,표2[#ALL],2)/HLOOKUP($A270,표1[#ALL],row(),false)</f>
        <v>#N/A</v>
      </c>
      <c r="AJ270" s="372" t="str">
        <f>CS_PID!AJ270/VLOOKUP($B270,표2[#ALL],2)/HLOOKUP($A270,표1[#ALL],row(),false)</f>
        <v>#N/A</v>
      </c>
      <c r="AK270" s="372" t="str">
        <f>CS_PID!AK270/VLOOKUP($B270,표2[#ALL],2)/HLOOKUP($A270,표1[#ALL],row(),false)</f>
        <v>#N/A</v>
      </c>
      <c r="AL270" s="372" t="str">
        <f>CS_PID!AL270/VLOOKUP($B270,표2[#ALL],2)/HLOOKUP($A270,표1[#ALL],row(),false)</f>
        <v>#N/A</v>
      </c>
      <c r="AM270" s="372" t="str">
        <f>CS_PID!AM270/VLOOKUP($B270,표2[#ALL],2)/HLOOKUP($A270,표1[#ALL],row(),false)</f>
        <v>#N/A</v>
      </c>
      <c r="AN270" s="372" t="str">
        <f>CS_PID!AN270/VLOOKUP($B270,표2[#ALL],2)/HLOOKUP($A270,표1[#ALL],row(),false)</f>
        <v>#N/A</v>
      </c>
      <c r="AO270" s="372" t="str">
        <f>CS_PID!AO270/VLOOKUP($B270,표2[#ALL],2)/HLOOKUP($A270,표1[#ALL],row(),false)</f>
        <v>#N/A</v>
      </c>
      <c r="AP270" s="372" t="str">
        <f>CS_PID!AP270/VLOOKUP($B270,표2[#ALL],2)/HLOOKUP($A270,표1[#ALL],row(),false)</f>
        <v>#N/A</v>
      </c>
      <c r="AQ270" s="372" t="str">
        <f>CS_PID!AQ270/VLOOKUP($B270,표2[#ALL],2)/HLOOKUP($A270,표1[#ALL],row(),false)</f>
        <v>#N/A</v>
      </c>
      <c r="AR270" s="372" t="str">
        <f>CS_PID!AR270/VLOOKUP($B270,표2[#ALL],2)/HLOOKUP($A270,표1[#ALL],row(),false)</f>
        <v>#N/A</v>
      </c>
      <c r="AS270" s="373" t="str">
        <f>CS_PID!AS270/VLOOKUP($B270,표2[#ALL],2)/HLOOKUP($A270,표1[#ALL],row(),false)</f>
        <v>#N/A</v>
      </c>
    </row>
    <row r="271">
      <c r="A271" s="374"/>
      <c r="B271" s="375"/>
      <c r="C271" s="376" t="str">
        <f>CS_PID!C271/VLOOKUP($B271,표2[#ALL],2)</f>
        <v>#N/A</v>
      </c>
      <c r="D271" s="376" t="str">
        <f>CS_PID!D271/VLOOKUP($B271,표2[#ALL],2)</f>
        <v>#N/A</v>
      </c>
      <c r="E271" s="376" t="str">
        <f>CS_PID!E271/VLOOKUP($B271,표2[#ALL],2)</f>
        <v>#N/A</v>
      </c>
      <c r="F271" s="376" t="str">
        <f>CS_PID!F271/VLOOKUP($B271,표2[#ALL],2)</f>
        <v>#N/A</v>
      </c>
      <c r="G271" s="376" t="str">
        <f>CS_PID!G271/VLOOKUP($B271,표2[#ALL],2)</f>
        <v>#N/A</v>
      </c>
      <c r="H271" s="376" t="str">
        <f>CS_PID!H271/VLOOKUP($B271,표2[#ALL],2)/HLOOKUP($A271,표1[#ALL],row(),false)</f>
        <v>#N/A</v>
      </c>
      <c r="I271" s="376" t="str">
        <f>CS_PID!I271/VLOOKUP($B271,표2[#ALL],2)/HLOOKUP($A271,표1[#ALL],row(),false)</f>
        <v>#N/A</v>
      </c>
      <c r="J271" s="376" t="str">
        <f>CS_PID!J271/VLOOKUP($B271,표2[#ALL],2)/HLOOKUP($A271,표1[#ALL],row(),false)</f>
        <v>#N/A</v>
      </c>
      <c r="K271" s="376" t="str">
        <f>CS_PID!K271/VLOOKUP($B271,표2[#ALL],2)/HLOOKUP($A271,표1[#ALL],row(),false)</f>
        <v>#N/A</v>
      </c>
      <c r="L271" s="376" t="str">
        <f>CS_PID!L271/VLOOKUP($B271,표2[#ALL],2)/HLOOKUP($A271,표1[#ALL],row(),false)</f>
        <v>#N/A</v>
      </c>
      <c r="M271" s="376" t="str">
        <f>CS_PID!M271/VLOOKUP($B271,표2[#ALL],2)/HLOOKUP($A271,표1[#ALL],row(),false)</f>
        <v>#N/A</v>
      </c>
      <c r="N271" s="376" t="str">
        <f>CS_PID!N271/VLOOKUP($B271,표2[#ALL],2)/HLOOKUP($A271,표1[#ALL],row(),false)</f>
        <v>#N/A</v>
      </c>
      <c r="O271" s="376" t="str">
        <f>CS_PID!O271/VLOOKUP($B271,표2[#ALL],2)/HLOOKUP($A271,표1[#ALL],row(),false)</f>
        <v>#N/A</v>
      </c>
      <c r="P271" s="376" t="str">
        <f>CS_PID!P271/VLOOKUP($B271,표2[#ALL],2)/HLOOKUP($A271,표1[#ALL],row(),false)</f>
        <v>#N/A</v>
      </c>
      <c r="Q271" s="376" t="str">
        <f>CS_PID!Q271/VLOOKUP($B271,표2[#ALL],2)/HLOOKUP($A271,표1[#ALL],row(),false)</f>
        <v>#N/A</v>
      </c>
      <c r="R271" s="376" t="str">
        <f>CS_PID!R271/VLOOKUP($B271,표2[#ALL],2)/HLOOKUP($A271,표1[#ALL],row(),false)</f>
        <v>#N/A</v>
      </c>
      <c r="S271" s="376" t="str">
        <f>CS_PID!S271/VLOOKUP($B271,표2[#ALL],2)/HLOOKUP($A271,표1[#ALL],row(),false)</f>
        <v>#N/A</v>
      </c>
      <c r="T271" s="376" t="str">
        <f>CS_PID!T271/VLOOKUP($B271,표2[#ALL],2)/HLOOKUP($A271,표1[#ALL],row(),false)</f>
        <v>#N/A</v>
      </c>
      <c r="U271" s="376" t="str">
        <f>CS_PID!U271/VLOOKUP($B271,표2[#ALL],2)/HLOOKUP($A271,표1[#ALL],row(),false)</f>
        <v>#N/A</v>
      </c>
      <c r="V271" s="376" t="str">
        <f>CS_PID!V271/VLOOKUP($B271,표2[#ALL],2)/HLOOKUP($A271,표1[#ALL],row(),false)</f>
        <v>#N/A</v>
      </c>
      <c r="W271" s="376" t="str">
        <f>CS_PID!W271/VLOOKUP($B271,표2[#ALL],2)/HLOOKUP($A271,표1[#ALL],row(),false)</f>
        <v>#N/A</v>
      </c>
      <c r="X271" s="376" t="str">
        <f>CS_PID!X271/VLOOKUP($B271,표2[#ALL],2)/HLOOKUP($A271,표1[#ALL],row(),false)</f>
        <v>#N/A</v>
      </c>
      <c r="Y271" s="376" t="str">
        <f>CS_PID!Y271/VLOOKUP($B271,표2[#ALL],2)/HLOOKUP($A271,표1[#ALL],row(),false)</f>
        <v>#N/A</v>
      </c>
      <c r="Z271" s="376" t="str">
        <f>CS_PID!Z271/VLOOKUP($B271,표2[#ALL],2)/HLOOKUP($A271,표1[#ALL],row(),false)</f>
        <v>#N/A</v>
      </c>
      <c r="AA271" s="376" t="str">
        <f>CS_PID!AA271/VLOOKUP($B271,표2[#ALL],2)/HLOOKUP($A271,표1[#ALL],row(),false)</f>
        <v>#N/A</v>
      </c>
      <c r="AB271" s="376" t="str">
        <f>CS_PID!AB271/VLOOKUP($B271,표2[#ALL],2)/HLOOKUP($A271,표1[#ALL],row(),false)</f>
        <v>#N/A</v>
      </c>
      <c r="AC271" s="376" t="str">
        <f>CS_PID!AC271/VLOOKUP($B271,표2[#ALL],2)/HLOOKUP($A271,표1[#ALL],row(),false)</f>
        <v>#N/A</v>
      </c>
      <c r="AD271" s="376" t="str">
        <f>CS_PID!AD271/VLOOKUP($B271,표2[#ALL],2)/HLOOKUP($A271,표1[#ALL],row(),false)</f>
        <v>#N/A</v>
      </c>
      <c r="AE271" s="376" t="str">
        <f>CS_PID!AE271/VLOOKUP($B271,표2[#ALL],2)/HLOOKUP($A271,표1[#ALL],row(),false)</f>
        <v>#N/A</v>
      </c>
      <c r="AF271" s="376" t="str">
        <f>CS_PID!AF271/VLOOKUP($B271,표2[#ALL],2)/HLOOKUP($A271,표1[#ALL],row(),false)</f>
        <v>#N/A</v>
      </c>
      <c r="AG271" s="376" t="str">
        <f>CS_PID!AG271/VLOOKUP($B271,표2[#ALL],2)/HLOOKUP($A271,표1[#ALL],row(),false)</f>
        <v>#N/A</v>
      </c>
      <c r="AH271" s="376" t="str">
        <f>CS_PID!AH271/VLOOKUP($B271,표2[#ALL],2)/HLOOKUP($A271,표1[#ALL],row(),false)</f>
        <v>#N/A</v>
      </c>
      <c r="AI271" s="376" t="str">
        <f>CS_PID!AI271/VLOOKUP($B271,표2[#ALL],2)/HLOOKUP($A271,표1[#ALL],row(),false)</f>
        <v>#N/A</v>
      </c>
      <c r="AJ271" s="376" t="str">
        <f>CS_PID!AJ271/VLOOKUP($B271,표2[#ALL],2)/HLOOKUP($A271,표1[#ALL],row(),false)</f>
        <v>#N/A</v>
      </c>
      <c r="AK271" s="376" t="str">
        <f>CS_PID!AK271/VLOOKUP($B271,표2[#ALL],2)/HLOOKUP($A271,표1[#ALL],row(),false)</f>
        <v>#N/A</v>
      </c>
      <c r="AL271" s="376" t="str">
        <f>CS_PID!AL271/VLOOKUP($B271,표2[#ALL],2)/HLOOKUP($A271,표1[#ALL],row(),false)</f>
        <v>#N/A</v>
      </c>
      <c r="AM271" s="376" t="str">
        <f>CS_PID!AM271/VLOOKUP($B271,표2[#ALL],2)/HLOOKUP($A271,표1[#ALL],row(),false)</f>
        <v>#N/A</v>
      </c>
      <c r="AN271" s="376" t="str">
        <f>CS_PID!AN271/VLOOKUP($B271,표2[#ALL],2)/HLOOKUP($A271,표1[#ALL],row(),false)</f>
        <v>#N/A</v>
      </c>
      <c r="AO271" s="376" t="str">
        <f>CS_PID!AO271/VLOOKUP($B271,표2[#ALL],2)/HLOOKUP($A271,표1[#ALL],row(),false)</f>
        <v>#N/A</v>
      </c>
      <c r="AP271" s="376" t="str">
        <f>CS_PID!AP271/VLOOKUP($B271,표2[#ALL],2)/HLOOKUP($A271,표1[#ALL],row(),false)</f>
        <v>#N/A</v>
      </c>
      <c r="AQ271" s="376" t="str">
        <f>CS_PID!AQ271/VLOOKUP($B271,표2[#ALL],2)/HLOOKUP($A271,표1[#ALL],row(),false)</f>
        <v>#N/A</v>
      </c>
      <c r="AR271" s="376" t="str">
        <f>CS_PID!AR271/VLOOKUP($B271,표2[#ALL],2)/HLOOKUP($A271,표1[#ALL],row(),false)</f>
        <v>#N/A</v>
      </c>
      <c r="AS271" s="377" t="str">
        <f>CS_PID!AS271/VLOOKUP($B271,표2[#ALL],2)/HLOOKUP($A271,표1[#ALL],row(),false)</f>
        <v>#N/A</v>
      </c>
    </row>
    <row r="272">
      <c r="A272" s="370"/>
      <c r="B272" s="371"/>
      <c r="C272" s="372" t="str">
        <f>CS_PID!C272/VLOOKUP($B272,표2[#ALL],2)</f>
        <v>#N/A</v>
      </c>
      <c r="D272" s="372" t="str">
        <f>CS_PID!D272/VLOOKUP($B272,표2[#ALL],2)</f>
        <v>#N/A</v>
      </c>
      <c r="E272" s="372" t="str">
        <f>CS_PID!E272/VLOOKUP($B272,표2[#ALL],2)</f>
        <v>#N/A</v>
      </c>
      <c r="F272" s="372" t="str">
        <f>CS_PID!F272/VLOOKUP($B272,표2[#ALL],2)</f>
        <v>#N/A</v>
      </c>
      <c r="G272" s="372" t="str">
        <f>CS_PID!G272/VLOOKUP($B272,표2[#ALL],2)</f>
        <v>#N/A</v>
      </c>
      <c r="H272" s="372" t="str">
        <f>CS_PID!H272/VLOOKUP($B272,표2[#ALL],2)/HLOOKUP($A272,표1[#ALL],row(),false)</f>
        <v>#N/A</v>
      </c>
      <c r="I272" s="372" t="str">
        <f>CS_PID!I272/VLOOKUP($B272,표2[#ALL],2)/HLOOKUP($A272,표1[#ALL],row(),false)</f>
        <v>#N/A</v>
      </c>
      <c r="J272" s="372" t="str">
        <f>CS_PID!J272/VLOOKUP($B272,표2[#ALL],2)/HLOOKUP($A272,표1[#ALL],row(),false)</f>
        <v>#N/A</v>
      </c>
      <c r="K272" s="372" t="str">
        <f>CS_PID!K272/VLOOKUP($B272,표2[#ALL],2)/HLOOKUP($A272,표1[#ALL],row(),false)</f>
        <v>#N/A</v>
      </c>
      <c r="L272" s="372" t="str">
        <f>CS_PID!L272/VLOOKUP($B272,표2[#ALL],2)/HLOOKUP($A272,표1[#ALL],row(),false)</f>
        <v>#N/A</v>
      </c>
      <c r="M272" s="372" t="str">
        <f>CS_PID!M272/VLOOKUP($B272,표2[#ALL],2)/HLOOKUP($A272,표1[#ALL],row(),false)</f>
        <v>#N/A</v>
      </c>
      <c r="N272" s="372" t="str">
        <f>CS_PID!N272/VLOOKUP($B272,표2[#ALL],2)/HLOOKUP($A272,표1[#ALL],row(),false)</f>
        <v>#N/A</v>
      </c>
      <c r="O272" s="372" t="str">
        <f>CS_PID!O272/VLOOKUP($B272,표2[#ALL],2)/HLOOKUP($A272,표1[#ALL],row(),false)</f>
        <v>#N/A</v>
      </c>
      <c r="P272" s="372" t="str">
        <f>CS_PID!P272/VLOOKUP($B272,표2[#ALL],2)/HLOOKUP($A272,표1[#ALL],row(),false)</f>
        <v>#N/A</v>
      </c>
      <c r="Q272" s="372" t="str">
        <f>CS_PID!Q272/VLOOKUP($B272,표2[#ALL],2)/HLOOKUP($A272,표1[#ALL],row(),false)</f>
        <v>#N/A</v>
      </c>
      <c r="R272" s="372" t="str">
        <f>CS_PID!R272/VLOOKUP($B272,표2[#ALL],2)/HLOOKUP($A272,표1[#ALL],row(),false)</f>
        <v>#N/A</v>
      </c>
      <c r="S272" s="372" t="str">
        <f>CS_PID!S272/VLOOKUP($B272,표2[#ALL],2)/HLOOKUP($A272,표1[#ALL],row(),false)</f>
        <v>#N/A</v>
      </c>
      <c r="T272" s="372" t="str">
        <f>CS_PID!T272/VLOOKUP($B272,표2[#ALL],2)/HLOOKUP($A272,표1[#ALL],row(),false)</f>
        <v>#N/A</v>
      </c>
      <c r="U272" s="372" t="str">
        <f>CS_PID!U272/VLOOKUP($B272,표2[#ALL],2)/HLOOKUP($A272,표1[#ALL],row(),false)</f>
        <v>#N/A</v>
      </c>
      <c r="V272" s="372" t="str">
        <f>CS_PID!V272/VLOOKUP($B272,표2[#ALL],2)/HLOOKUP($A272,표1[#ALL],row(),false)</f>
        <v>#N/A</v>
      </c>
      <c r="W272" s="372" t="str">
        <f>CS_PID!W272/VLOOKUP($B272,표2[#ALL],2)/HLOOKUP($A272,표1[#ALL],row(),false)</f>
        <v>#N/A</v>
      </c>
      <c r="X272" s="372" t="str">
        <f>CS_PID!X272/VLOOKUP($B272,표2[#ALL],2)/HLOOKUP($A272,표1[#ALL],row(),false)</f>
        <v>#N/A</v>
      </c>
      <c r="Y272" s="372" t="str">
        <f>CS_PID!Y272/VLOOKUP($B272,표2[#ALL],2)/HLOOKUP($A272,표1[#ALL],row(),false)</f>
        <v>#N/A</v>
      </c>
      <c r="Z272" s="372" t="str">
        <f>CS_PID!Z272/VLOOKUP($B272,표2[#ALL],2)/HLOOKUP($A272,표1[#ALL],row(),false)</f>
        <v>#N/A</v>
      </c>
      <c r="AA272" s="372" t="str">
        <f>CS_PID!AA272/VLOOKUP($B272,표2[#ALL],2)/HLOOKUP($A272,표1[#ALL],row(),false)</f>
        <v>#N/A</v>
      </c>
      <c r="AB272" s="372" t="str">
        <f>CS_PID!AB272/VLOOKUP($B272,표2[#ALL],2)/HLOOKUP($A272,표1[#ALL],row(),false)</f>
        <v>#N/A</v>
      </c>
      <c r="AC272" s="372" t="str">
        <f>CS_PID!AC272/VLOOKUP($B272,표2[#ALL],2)/HLOOKUP($A272,표1[#ALL],row(),false)</f>
        <v>#N/A</v>
      </c>
      <c r="AD272" s="372" t="str">
        <f>CS_PID!AD272/VLOOKUP($B272,표2[#ALL],2)/HLOOKUP($A272,표1[#ALL],row(),false)</f>
        <v>#N/A</v>
      </c>
      <c r="AE272" s="372" t="str">
        <f>CS_PID!AE272/VLOOKUP($B272,표2[#ALL],2)/HLOOKUP($A272,표1[#ALL],row(),false)</f>
        <v>#N/A</v>
      </c>
      <c r="AF272" s="372" t="str">
        <f>CS_PID!AF272/VLOOKUP($B272,표2[#ALL],2)/HLOOKUP($A272,표1[#ALL],row(),false)</f>
        <v>#N/A</v>
      </c>
      <c r="AG272" s="372" t="str">
        <f>CS_PID!AG272/VLOOKUP($B272,표2[#ALL],2)/HLOOKUP($A272,표1[#ALL],row(),false)</f>
        <v>#N/A</v>
      </c>
      <c r="AH272" s="372" t="str">
        <f>CS_PID!AH272/VLOOKUP($B272,표2[#ALL],2)/HLOOKUP($A272,표1[#ALL],row(),false)</f>
        <v>#N/A</v>
      </c>
      <c r="AI272" s="372" t="str">
        <f>CS_PID!AI272/VLOOKUP($B272,표2[#ALL],2)/HLOOKUP($A272,표1[#ALL],row(),false)</f>
        <v>#N/A</v>
      </c>
      <c r="AJ272" s="372" t="str">
        <f>CS_PID!AJ272/VLOOKUP($B272,표2[#ALL],2)/HLOOKUP($A272,표1[#ALL],row(),false)</f>
        <v>#N/A</v>
      </c>
      <c r="AK272" s="372" t="str">
        <f>CS_PID!AK272/VLOOKUP($B272,표2[#ALL],2)/HLOOKUP($A272,표1[#ALL],row(),false)</f>
        <v>#N/A</v>
      </c>
      <c r="AL272" s="372" t="str">
        <f>CS_PID!AL272/VLOOKUP($B272,표2[#ALL],2)/HLOOKUP($A272,표1[#ALL],row(),false)</f>
        <v>#N/A</v>
      </c>
      <c r="AM272" s="372" t="str">
        <f>CS_PID!AM272/VLOOKUP($B272,표2[#ALL],2)/HLOOKUP($A272,표1[#ALL],row(),false)</f>
        <v>#N/A</v>
      </c>
      <c r="AN272" s="372" t="str">
        <f>CS_PID!AN272/VLOOKUP($B272,표2[#ALL],2)/HLOOKUP($A272,표1[#ALL],row(),false)</f>
        <v>#N/A</v>
      </c>
      <c r="AO272" s="372" t="str">
        <f>CS_PID!AO272/VLOOKUP($B272,표2[#ALL],2)/HLOOKUP($A272,표1[#ALL],row(),false)</f>
        <v>#N/A</v>
      </c>
      <c r="AP272" s="372" t="str">
        <f>CS_PID!AP272/VLOOKUP($B272,표2[#ALL],2)/HLOOKUP($A272,표1[#ALL],row(),false)</f>
        <v>#N/A</v>
      </c>
      <c r="AQ272" s="372" t="str">
        <f>CS_PID!AQ272/VLOOKUP($B272,표2[#ALL],2)/HLOOKUP($A272,표1[#ALL],row(),false)</f>
        <v>#N/A</v>
      </c>
      <c r="AR272" s="372" t="str">
        <f>CS_PID!AR272/VLOOKUP($B272,표2[#ALL],2)/HLOOKUP($A272,표1[#ALL],row(),false)</f>
        <v>#N/A</v>
      </c>
      <c r="AS272" s="373" t="str">
        <f>CS_PID!AS272/VLOOKUP($B272,표2[#ALL],2)/HLOOKUP($A272,표1[#ALL],row(),false)</f>
        <v>#N/A</v>
      </c>
    </row>
    <row r="273">
      <c r="A273" s="374"/>
      <c r="B273" s="375"/>
      <c r="C273" s="376" t="str">
        <f>CS_PID!C273/VLOOKUP($B273,표2[#ALL],2)</f>
        <v>#N/A</v>
      </c>
      <c r="D273" s="376" t="str">
        <f>CS_PID!D273/VLOOKUP($B273,표2[#ALL],2)</f>
        <v>#N/A</v>
      </c>
      <c r="E273" s="376" t="str">
        <f>CS_PID!E273/VLOOKUP($B273,표2[#ALL],2)</f>
        <v>#N/A</v>
      </c>
      <c r="F273" s="376" t="str">
        <f>CS_PID!F273/VLOOKUP($B273,표2[#ALL],2)</f>
        <v>#N/A</v>
      </c>
      <c r="G273" s="376" t="str">
        <f>CS_PID!G273/VLOOKUP($B273,표2[#ALL],2)</f>
        <v>#N/A</v>
      </c>
      <c r="H273" s="376" t="str">
        <f>CS_PID!H273/VLOOKUP($B273,표2[#ALL],2)/HLOOKUP($A273,표1[#ALL],row(),false)</f>
        <v>#N/A</v>
      </c>
      <c r="I273" s="376" t="str">
        <f>CS_PID!I273/VLOOKUP($B273,표2[#ALL],2)/HLOOKUP($A273,표1[#ALL],row(),false)</f>
        <v>#N/A</v>
      </c>
      <c r="J273" s="376" t="str">
        <f>CS_PID!J273/VLOOKUP($B273,표2[#ALL],2)/HLOOKUP($A273,표1[#ALL],row(),false)</f>
        <v>#N/A</v>
      </c>
      <c r="K273" s="376" t="str">
        <f>CS_PID!K273/VLOOKUP($B273,표2[#ALL],2)/HLOOKUP($A273,표1[#ALL],row(),false)</f>
        <v>#N/A</v>
      </c>
      <c r="L273" s="376" t="str">
        <f>CS_PID!L273/VLOOKUP($B273,표2[#ALL],2)/HLOOKUP($A273,표1[#ALL],row(),false)</f>
        <v>#N/A</v>
      </c>
      <c r="M273" s="376" t="str">
        <f>CS_PID!M273/VLOOKUP($B273,표2[#ALL],2)/HLOOKUP($A273,표1[#ALL],row(),false)</f>
        <v>#N/A</v>
      </c>
      <c r="N273" s="376" t="str">
        <f>CS_PID!N273/VLOOKUP($B273,표2[#ALL],2)/HLOOKUP($A273,표1[#ALL],row(),false)</f>
        <v>#N/A</v>
      </c>
      <c r="O273" s="376" t="str">
        <f>CS_PID!O273/VLOOKUP($B273,표2[#ALL],2)/HLOOKUP($A273,표1[#ALL],row(),false)</f>
        <v>#N/A</v>
      </c>
      <c r="P273" s="376" t="str">
        <f>CS_PID!P273/VLOOKUP($B273,표2[#ALL],2)/HLOOKUP($A273,표1[#ALL],row(),false)</f>
        <v>#N/A</v>
      </c>
      <c r="Q273" s="376" t="str">
        <f>CS_PID!Q273/VLOOKUP($B273,표2[#ALL],2)/HLOOKUP($A273,표1[#ALL],row(),false)</f>
        <v>#N/A</v>
      </c>
      <c r="R273" s="376" t="str">
        <f>CS_PID!R273/VLOOKUP($B273,표2[#ALL],2)/HLOOKUP($A273,표1[#ALL],row(),false)</f>
        <v>#N/A</v>
      </c>
      <c r="S273" s="376" t="str">
        <f>CS_PID!S273/VLOOKUP($B273,표2[#ALL],2)/HLOOKUP($A273,표1[#ALL],row(),false)</f>
        <v>#N/A</v>
      </c>
      <c r="T273" s="376" t="str">
        <f>CS_PID!T273/VLOOKUP($B273,표2[#ALL],2)/HLOOKUP($A273,표1[#ALL],row(),false)</f>
        <v>#N/A</v>
      </c>
      <c r="U273" s="376" t="str">
        <f>CS_PID!U273/VLOOKUP($B273,표2[#ALL],2)/HLOOKUP($A273,표1[#ALL],row(),false)</f>
        <v>#N/A</v>
      </c>
      <c r="V273" s="376" t="str">
        <f>CS_PID!V273/VLOOKUP($B273,표2[#ALL],2)/HLOOKUP($A273,표1[#ALL],row(),false)</f>
        <v>#N/A</v>
      </c>
      <c r="W273" s="376" t="str">
        <f>CS_PID!W273/VLOOKUP($B273,표2[#ALL],2)/HLOOKUP($A273,표1[#ALL],row(),false)</f>
        <v>#N/A</v>
      </c>
      <c r="X273" s="376" t="str">
        <f>CS_PID!X273/VLOOKUP($B273,표2[#ALL],2)/HLOOKUP($A273,표1[#ALL],row(),false)</f>
        <v>#N/A</v>
      </c>
      <c r="Y273" s="376" t="str">
        <f>CS_PID!Y273/VLOOKUP($B273,표2[#ALL],2)/HLOOKUP($A273,표1[#ALL],row(),false)</f>
        <v>#N/A</v>
      </c>
      <c r="Z273" s="376" t="str">
        <f>CS_PID!Z273/VLOOKUP($B273,표2[#ALL],2)/HLOOKUP($A273,표1[#ALL],row(),false)</f>
        <v>#N/A</v>
      </c>
      <c r="AA273" s="376" t="str">
        <f>CS_PID!AA273/VLOOKUP($B273,표2[#ALL],2)/HLOOKUP($A273,표1[#ALL],row(),false)</f>
        <v>#N/A</v>
      </c>
      <c r="AB273" s="376" t="str">
        <f>CS_PID!AB273/VLOOKUP($B273,표2[#ALL],2)/HLOOKUP($A273,표1[#ALL],row(),false)</f>
        <v>#N/A</v>
      </c>
      <c r="AC273" s="376" t="str">
        <f>CS_PID!AC273/VLOOKUP($B273,표2[#ALL],2)/HLOOKUP($A273,표1[#ALL],row(),false)</f>
        <v>#N/A</v>
      </c>
      <c r="AD273" s="376" t="str">
        <f>CS_PID!AD273/VLOOKUP($B273,표2[#ALL],2)/HLOOKUP($A273,표1[#ALL],row(),false)</f>
        <v>#N/A</v>
      </c>
      <c r="AE273" s="376" t="str">
        <f>CS_PID!AE273/VLOOKUP($B273,표2[#ALL],2)/HLOOKUP($A273,표1[#ALL],row(),false)</f>
        <v>#N/A</v>
      </c>
      <c r="AF273" s="376" t="str">
        <f>CS_PID!AF273/VLOOKUP($B273,표2[#ALL],2)/HLOOKUP($A273,표1[#ALL],row(),false)</f>
        <v>#N/A</v>
      </c>
      <c r="AG273" s="376" t="str">
        <f>CS_PID!AG273/VLOOKUP($B273,표2[#ALL],2)/HLOOKUP($A273,표1[#ALL],row(),false)</f>
        <v>#N/A</v>
      </c>
      <c r="AH273" s="376" t="str">
        <f>CS_PID!AH273/VLOOKUP($B273,표2[#ALL],2)/HLOOKUP($A273,표1[#ALL],row(),false)</f>
        <v>#N/A</v>
      </c>
      <c r="AI273" s="376" t="str">
        <f>CS_PID!AI273/VLOOKUP($B273,표2[#ALL],2)/HLOOKUP($A273,표1[#ALL],row(),false)</f>
        <v>#N/A</v>
      </c>
      <c r="AJ273" s="376" t="str">
        <f>CS_PID!AJ273/VLOOKUP($B273,표2[#ALL],2)/HLOOKUP($A273,표1[#ALL],row(),false)</f>
        <v>#N/A</v>
      </c>
      <c r="AK273" s="376" t="str">
        <f>CS_PID!AK273/VLOOKUP($B273,표2[#ALL],2)/HLOOKUP($A273,표1[#ALL],row(),false)</f>
        <v>#N/A</v>
      </c>
      <c r="AL273" s="376" t="str">
        <f>CS_PID!AL273/VLOOKUP($B273,표2[#ALL],2)/HLOOKUP($A273,표1[#ALL],row(),false)</f>
        <v>#N/A</v>
      </c>
      <c r="AM273" s="376" t="str">
        <f>CS_PID!AM273/VLOOKUP($B273,표2[#ALL],2)/HLOOKUP($A273,표1[#ALL],row(),false)</f>
        <v>#N/A</v>
      </c>
      <c r="AN273" s="376" t="str">
        <f>CS_PID!AN273/VLOOKUP($B273,표2[#ALL],2)/HLOOKUP($A273,표1[#ALL],row(),false)</f>
        <v>#N/A</v>
      </c>
      <c r="AO273" s="376" t="str">
        <f>CS_PID!AO273/VLOOKUP($B273,표2[#ALL],2)/HLOOKUP($A273,표1[#ALL],row(),false)</f>
        <v>#N/A</v>
      </c>
      <c r="AP273" s="376" t="str">
        <f>CS_PID!AP273/VLOOKUP($B273,표2[#ALL],2)/HLOOKUP($A273,표1[#ALL],row(),false)</f>
        <v>#N/A</v>
      </c>
      <c r="AQ273" s="376" t="str">
        <f>CS_PID!AQ273/VLOOKUP($B273,표2[#ALL],2)/HLOOKUP($A273,표1[#ALL],row(),false)</f>
        <v>#N/A</v>
      </c>
      <c r="AR273" s="376" t="str">
        <f>CS_PID!AR273/VLOOKUP($B273,표2[#ALL],2)/HLOOKUP($A273,표1[#ALL],row(),false)</f>
        <v>#N/A</v>
      </c>
      <c r="AS273" s="377" t="str">
        <f>CS_PID!AS273/VLOOKUP($B273,표2[#ALL],2)/HLOOKUP($A273,표1[#ALL],row(),false)</f>
        <v>#N/A</v>
      </c>
    </row>
    <row r="274">
      <c r="A274" s="370"/>
      <c r="B274" s="371"/>
      <c r="C274" s="372" t="str">
        <f>CS_PID!C274/VLOOKUP($B274,표2[#ALL],2)</f>
        <v>#N/A</v>
      </c>
      <c r="D274" s="372" t="str">
        <f>CS_PID!D274/VLOOKUP($B274,표2[#ALL],2)</f>
        <v>#N/A</v>
      </c>
      <c r="E274" s="372" t="str">
        <f>CS_PID!E274/VLOOKUP($B274,표2[#ALL],2)</f>
        <v>#N/A</v>
      </c>
      <c r="F274" s="372" t="str">
        <f>CS_PID!F274/VLOOKUP($B274,표2[#ALL],2)</f>
        <v>#N/A</v>
      </c>
      <c r="G274" s="372" t="str">
        <f>CS_PID!G274/VLOOKUP($B274,표2[#ALL],2)</f>
        <v>#N/A</v>
      </c>
      <c r="H274" s="372" t="str">
        <f>CS_PID!H274/VLOOKUP($B274,표2[#ALL],2)/HLOOKUP($A274,표1[#ALL],row(),false)</f>
        <v>#N/A</v>
      </c>
      <c r="I274" s="372" t="str">
        <f>CS_PID!I274/VLOOKUP($B274,표2[#ALL],2)/HLOOKUP($A274,표1[#ALL],row(),false)</f>
        <v>#N/A</v>
      </c>
      <c r="J274" s="372" t="str">
        <f>CS_PID!J274/VLOOKUP($B274,표2[#ALL],2)/HLOOKUP($A274,표1[#ALL],row(),false)</f>
        <v>#N/A</v>
      </c>
      <c r="K274" s="372" t="str">
        <f>CS_PID!K274/VLOOKUP($B274,표2[#ALL],2)/HLOOKUP($A274,표1[#ALL],row(),false)</f>
        <v>#N/A</v>
      </c>
      <c r="L274" s="372" t="str">
        <f>CS_PID!L274/VLOOKUP($B274,표2[#ALL],2)/HLOOKUP($A274,표1[#ALL],row(),false)</f>
        <v>#N/A</v>
      </c>
      <c r="M274" s="372" t="str">
        <f>CS_PID!M274/VLOOKUP($B274,표2[#ALL],2)/HLOOKUP($A274,표1[#ALL],row(),false)</f>
        <v>#N/A</v>
      </c>
      <c r="N274" s="372" t="str">
        <f>CS_PID!N274/VLOOKUP($B274,표2[#ALL],2)/HLOOKUP($A274,표1[#ALL],row(),false)</f>
        <v>#N/A</v>
      </c>
      <c r="O274" s="372" t="str">
        <f>CS_PID!O274/VLOOKUP($B274,표2[#ALL],2)/HLOOKUP($A274,표1[#ALL],row(),false)</f>
        <v>#N/A</v>
      </c>
      <c r="P274" s="372" t="str">
        <f>CS_PID!P274/VLOOKUP($B274,표2[#ALL],2)/HLOOKUP($A274,표1[#ALL],row(),false)</f>
        <v>#N/A</v>
      </c>
      <c r="Q274" s="372" t="str">
        <f>CS_PID!Q274/VLOOKUP($B274,표2[#ALL],2)/HLOOKUP($A274,표1[#ALL],row(),false)</f>
        <v>#N/A</v>
      </c>
      <c r="R274" s="372" t="str">
        <f>CS_PID!R274/VLOOKUP($B274,표2[#ALL],2)/HLOOKUP($A274,표1[#ALL],row(),false)</f>
        <v>#N/A</v>
      </c>
      <c r="S274" s="372" t="str">
        <f>CS_PID!S274/VLOOKUP($B274,표2[#ALL],2)/HLOOKUP($A274,표1[#ALL],row(),false)</f>
        <v>#N/A</v>
      </c>
      <c r="T274" s="372" t="str">
        <f>CS_PID!T274/VLOOKUP($B274,표2[#ALL],2)/HLOOKUP($A274,표1[#ALL],row(),false)</f>
        <v>#N/A</v>
      </c>
      <c r="U274" s="372" t="str">
        <f>CS_PID!U274/VLOOKUP($B274,표2[#ALL],2)/HLOOKUP($A274,표1[#ALL],row(),false)</f>
        <v>#N/A</v>
      </c>
      <c r="V274" s="372" t="str">
        <f>CS_PID!V274/VLOOKUP($B274,표2[#ALL],2)/HLOOKUP($A274,표1[#ALL],row(),false)</f>
        <v>#N/A</v>
      </c>
      <c r="W274" s="372" t="str">
        <f>CS_PID!W274/VLOOKUP($B274,표2[#ALL],2)/HLOOKUP($A274,표1[#ALL],row(),false)</f>
        <v>#N/A</v>
      </c>
      <c r="X274" s="372" t="str">
        <f>CS_PID!X274/VLOOKUP($B274,표2[#ALL],2)/HLOOKUP($A274,표1[#ALL],row(),false)</f>
        <v>#N/A</v>
      </c>
      <c r="Y274" s="372" t="str">
        <f>CS_PID!Y274/VLOOKUP($B274,표2[#ALL],2)/HLOOKUP($A274,표1[#ALL],row(),false)</f>
        <v>#N/A</v>
      </c>
      <c r="Z274" s="372" t="str">
        <f>CS_PID!Z274/VLOOKUP($B274,표2[#ALL],2)/HLOOKUP($A274,표1[#ALL],row(),false)</f>
        <v>#N/A</v>
      </c>
      <c r="AA274" s="372" t="str">
        <f>CS_PID!AA274/VLOOKUP($B274,표2[#ALL],2)/HLOOKUP($A274,표1[#ALL],row(),false)</f>
        <v>#N/A</v>
      </c>
      <c r="AB274" s="372" t="str">
        <f>CS_PID!AB274/VLOOKUP($B274,표2[#ALL],2)/HLOOKUP($A274,표1[#ALL],row(),false)</f>
        <v>#N/A</v>
      </c>
      <c r="AC274" s="372" t="str">
        <f>CS_PID!AC274/VLOOKUP($B274,표2[#ALL],2)/HLOOKUP($A274,표1[#ALL],row(),false)</f>
        <v>#N/A</v>
      </c>
      <c r="AD274" s="372" t="str">
        <f>CS_PID!AD274/VLOOKUP($B274,표2[#ALL],2)/HLOOKUP($A274,표1[#ALL],row(),false)</f>
        <v>#N/A</v>
      </c>
      <c r="AE274" s="372" t="str">
        <f>CS_PID!AE274/VLOOKUP($B274,표2[#ALL],2)/HLOOKUP($A274,표1[#ALL],row(),false)</f>
        <v>#N/A</v>
      </c>
      <c r="AF274" s="372" t="str">
        <f>CS_PID!AF274/VLOOKUP($B274,표2[#ALL],2)/HLOOKUP($A274,표1[#ALL],row(),false)</f>
        <v>#N/A</v>
      </c>
      <c r="AG274" s="372" t="str">
        <f>CS_PID!AG274/VLOOKUP($B274,표2[#ALL],2)/HLOOKUP($A274,표1[#ALL],row(),false)</f>
        <v>#N/A</v>
      </c>
      <c r="AH274" s="372" t="str">
        <f>CS_PID!AH274/VLOOKUP($B274,표2[#ALL],2)/HLOOKUP($A274,표1[#ALL],row(),false)</f>
        <v>#N/A</v>
      </c>
      <c r="AI274" s="372" t="str">
        <f>CS_PID!AI274/VLOOKUP($B274,표2[#ALL],2)/HLOOKUP($A274,표1[#ALL],row(),false)</f>
        <v>#N/A</v>
      </c>
      <c r="AJ274" s="372" t="str">
        <f>CS_PID!AJ274/VLOOKUP($B274,표2[#ALL],2)/HLOOKUP($A274,표1[#ALL],row(),false)</f>
        <v>#N/A</v>
      </c>
      <c r="AK274" s="372" t="str">
        <f>CS_PID!AK274/VLOOKUP($B274,표2[#ALL],2)/HLOOKUP($A274,표1[#ALL],row(),false)</f>
        <v>#N/A</v>
      </c>
      <c r="AL274" s="372" t="str">
        <f>CS_PID!AL274/VLOOKUP($B274,표2[#ALL],2)/HLOOKUP($A274,표1[#ALL],row(),false)</f>
        <v>#N/A</v>
      </c>
      <c r="AM274" s="372" t="str">
        <f>CS_PID!AM274/VLOOKUP($B274,표2[#ALL],2)/HLOOKUP($A274,표1[#ALL],row(),false)</f>
        <v>#N/A</v>
      </c>
      <c r="AN274" s="372" t="str">
        <f>CS_PID!AN274/VLOOKUP($B274,표2[#ALL],2)/HLOOKUP($A274,표1[#ALL],row(),false)</f>
        <v>#N/A</v>
      </c>
      <c r="AO274" s="372" t="str">
        <f>CS_PID!AO274/VLOOKUP($B274,표2[#ALL],2)/HLOOKUP($A274,표1[#ALL],row(),false)</f>
        <v>#N/A</v>
      </c>
      <c r="AP274" s="372" t="str">
        <f>CS_PID!AP274/VLOOKUP($B274,표2[#ALL],2)/HLOOKUP($A274,표1[#ALL],row(),false)</f>
        <v>#N/A</v>
      </c>
      <c r="AQ274" s="372" t="str">
        <f>CS_PID!AQ274/VLOOKUP($B274,표2[#ALL],2)/HLOOKUP($A274,표1[#ALL],row(),false)</f>
        <v>#N/A</v>
      </c>
      <c r="AR274" s="372" t="str">
        <f>CS_PID!AR274/VLOOKUP($B274,표2[#ALL],2)/HLOOKUP($A274,표1[#ALL],row(),false)</f>
        <v>#N/A</v>
      </c>
      <c r="AS274" s="373" t="str">
        <f>CS_PID!AS274/VLOOKUP($B274,표2[#ALL],2)/HLOOKUP($A274,표1[#ALL],row(),false)</f>
        <v>#N/A</v>
      </c>
    </row>
    <row r="275">
      <c r="A275" s="374"/>
      <c r="B275" s="375"/>
      <c r="C275" s="376" t="str">
        <f>CS_PID!C275/VLOOKUP($B275,표2[#ALL],2)</f>
        <v>#N/A</v>
      </c>
      <c r="D275" s="376" t="str">
        <f>CS_PID!D275/VLOOKUP($B275,표2[#ALL],2)</f>
        <v>#N/A</v>
      </c>
      <c r="E275" s="376" t="str">
        <f>CS_PID!E275/VLOOKUP($B275,표2[#ALL],2)</f>
        <v>#N/A</v>
      </c>
      <c r="F275" s="376" t="str">
        <f>CS_PID!F275/VLOOKUP($B275,표2[#ALL],2)</f>
        <v>#N/A</v>
      </c>
      <c r="G275" s="376" t="str">
        <f>CS_PID!G275/VLOOKUP($B275,표2[#ALL],2)</f>
        <v>#N/A</v>
      </c>
      <c r="H275" s="376" t="str">
        <f>CS_PID!H275/VLOOKUP($B275,표2[#ALL],2)/HLOOKUP($A275,표1[#ALL],row(),false)</f>
        <v>#N/A</v>
      </c>
      <c r="I275" s="376" t="str">
        <f>CS_PID!I275/VLOOKUP($B275,표2[#ALL],2)/HLOOKUP($A275,표1[#ALL],row(),false)</f>
        <v>#N/A</v>
      </c>
      <c r="J275" s="376" t="str">
        <f>CS_PID!J275/VLOOKUP($B275,표2[#ALL],2)/HLOOKUP($A275,표1[#ALL],row(),false)</f>
        <v>#N/A</v>
      </c>
      <c r="K275" s="376" t="str">
        <f>CS_PID!K275/VLOOKUP($B275,표2[#ALL],2)/HLOOKUP($A275,표1[#ALL],row(),false)</f>
        <v>#N/A</v>
      </c>
      <c r="L275" s="376" t="str">
        <f>CS_PID!L275/VLOOKUP($B275,표2[#ALL],2)/HLOOKUP($A275,표1[#ALL],row(),false)</f>
        <v>#N/A</v>
      </c>
      <c r="M275" s="376" t="str">
        <f>CS_PID!M275/VLOOKUP($B275,표2[#ALL],2)/HLOOKUP($A275,표1[#ALL],row(),false)</f>
        <v>#N/A</v>
      </c>
      <c r="N275" s="376" t="str">
        <f>CS_PID!N275/VLOOKUP($B275,표2[#ALL],2)/HLOOKUP($A275,표1[#ALL],row(),false)</f>
        <v>#N/A</v>
      </c>
      <c r="O275" s="376" t="str">
        <f>CS_PID!O275/VLOOKUP($B275,표2[#ALL],2)/HLOOKUP($A275,표1[#ALL],row(),false)</f>
        <v>#N/A</v>
      </c>
      <c r="P275" s="376" t="str">
        <f>CS_PID!P275/VLOOKUP($B275,표2[#ALL],2)/HLOOKUP($A275,표1[#ALL],row(),false)</f>
        <v>#N/A</v>
      </c>
      <c r="Q275" s="376" t="str">
        <f>CS_PID!Q275/VLOOKUP($B275,표2[#ALL],2)/HLOOKUP($A275,표1[#ALL],row(),false)</f>
        <v>#N/A</v>
      </c>
      <c r="R275" s="376" t="str">
        <f>CS_PID!R275/VLOOKUP($B275,표2[#ALL],2)/HLOOKUP($A275,표1[#ALL],row(),false)</f>
        <v>#N/A</v>
      </c>
      <c r="S275" s="376" t="str">
        <f>CS_PID!S275/VLOOKUP($B275,표2[#ALL],2)/HLOOKUP($A275,표1[#ALL],row(),false)</f>
        <v>#N/A</v>
      </c>
      <c r="T275" s="376" t="str">
        <f>CS_PID!T275/VLOOKUP($B275,표2[#ALL],2)/HLOOKUP($A275,표1[#ALL],row(),false)</f>
        <v>#N/A</v>
      </c>
      <c r="U275" s="376" t="str">
        <f>CS_PID!U275/VLOOKUP($B275,표2[#ALL],2)/HLOOKUP($A275,표1[#ALL],row(),false)</f>
        <v>#N/A</v>
      </c>
      <c r="V275" s="376" t="str">
        <f>CS_PID!V275/VLOOKUP($B275,표2[#ALL],2)/HLOOKUP($A275,표1[#ALL],row(),false)</f>
        <v>#N/A</v>
      </c>
      <c r="W275" s="376" t="str">
        <f>CS_PID!W275/VLOOKUP($B275,표2[#ALL],2)/HLOOKUP($A275,표1[#ALL],row(),false)</f>
        <v>#N/A</v>
      </c>
      <c r="X275" s="376" t="str">
        <f>CS_PID!X275/VLOOKUP($B275,표2[#ALL],2)/HLOOKUP($A275,표1[#ALL],row(),false)</f>
        <v>#N/A</v>
      </c>
      <c r="Y275" s="376" t="str">
        <f>CS_PID!Y275/VLOOKUP($B275,표2[#ALL],2)/HLOOKUP($A275,표1[#ALL],row(),false)</f>
        <v>#N/A</v>
      </c>
      <c r="Z275" s="376" t="str">
        <f>CS_PID!Z275/VLOOKUP($B275,표2[#ALL],2)/HLOOKUP($A275,표1[#ALL],row(),false)</f>
        <v>#N/A</v>
      </c>
      <c r="AA275" s="376" t="str">
        <f>CS_PID!AA275/VLOOKUP($B275,표2[#ALL],2)/HLOOKUP($A275,표1[#ALL],row(),false)</f>
        <v>#N/A</v>
      </c>
      <c r="AB275" s="376" t="str">
        <f>CS_PID!AB275/VLOOKUP($B275,표2[#ALL],2)/HLOOKUP($A275,표1[#ALL],row(),false)</f>
        <v>#N/A</v>
      </c>
      <c r="AC275" s="376" t="str">
        <f>CS_PID!AC275/VLOOKUP($B275,표2[#ALL],2)/HLOOKUP($A275,표1[#ALL],row(),false)</f>
        <v>#N/A</v>
      </c>
      <c r="AD275" s="376" t="str">
        <f>CS_PID!AD275/VLOOKUP($B275,표2[#ALL],2)/HLOOKUP($A275,표1[#ALL],row(),false)</f>
        <v>#N/A</v>
      </c>
      <c r="AE275" s="376" t="str">
        <f>CS_PID!AE275/VLOOKUP($B275,표2[#ALL],2)/HLOOKUP($A275,표1[#ALL],row(),false)</f>
        <v>#N/A</v>
      </c>
      <c r="AF275" s="376" t="str">
        <f>CS_PID!AF275/VLOOKUP($B275,표2[#ALL],2)/HLOOKUP($A275,표1[#ALL],row(),false)</f>
        <v>#N/A</v>
      </c>
      <c r="AG275" s="376" t="str">
        <f>CS_PID!AG275/VLOOKUP($B275,표2[#ALL],2)/HLOOKUP($A275,표1[#ALL],row(),false)</f>
        <v>#N/A</v>
      </c>
      <c r="AH275" s="376" t="str">
        <f>CS_PID!AH275/VLOOKUP($B275,표2[#ALL],2)/HLOOKUP($A275,표1[#ALL],row(),false)</f>
        <v>#N/A</v>
      </c>
      <c r="AI275" s="376" t="str">
        <f>CS_PID!AI275/VLOOKUP($B275,표2[#ALL],2)/HLOOKUP($A275,표1[#ALL],row(),false)</f>
        <v>#N/A</v>
      </c>
      <c r="AJ275" s="376" t="str">
        <f>CS_PID!AJ275/VLOOKUP($B275,표2[#ALL],2)/HLOOKUP($A275,표1[#ALL],row(),false)</f>
        <v>#N/A</v>
      </c>
      <c r="AK275" s="376" t="str">
        <f>CS_PID!AK275/VLOOKUP($B275,표2[#ALL],2)/HLOOKUP($A275,표1[#ALL],row(),false)</f>
        <v>#N/A</v>
      </c>
      <c r="AL275" s="376" t="str">
        <f>CS_PID!AL275/VLOOKUP($B275,표2[#ALL],2)/HLOOKUP($A275,표1[#ALL],row(),false)</f>
        <v>#N/A</v>
      </c>
      <c r="AM275" s="376" t="str">
        <f>CS_PID!AM275/VLOOKUP($B275,표2[#ALL],2)/HLOOKUP($A275,표1[#ALL],row(),false)</f>
        <v>#N/A</v>
      </c>
      <c r="AN275" s="376" t="str">
        <f>CS_PID!AN275/VLOOKUP($B275,표2[#ALL],2)/HLOOKUP($A275,표1[#ALL],row(),false)</f>
        <v>#N/A</v>
      </c>
      <c r="AO275" s="376" t="str">
        <f>CS_PID!AO275/VLOOKUP($B275,표2[#ALL],2)/HLOOKUP($A275,표1[#ALL],row(),false)</f>
        <v>#N/A</v>
      </c>
      <c r="AP275" s="376" t="str">
        <f>CS_PID!AP275/VLOOKUP($B275,표2[#ALL],2)/HLOOKUP($A275,표1[#ALL],row(),false)</f>
        <v>#N/A</v>
      </c>
      <c r="AQ275" s="376" t="str">
        <f>CS_PID!AQ275/VLOOKUP($B275,표2[#ALL],2)/HLOOKUP($A275,표1[#ALL],row(),false)</f>
        <v>#N/A</v>
      </c>
      <c r="AR275" s="376" t="str">
        <f>CS_PID!AR275/VLOOKUP($B275,표2[#ALL],2)/HLOOKUP($A275,표1[#ALL],row(),false)</f>
        <v>#N/A</v>
      </c>
      <c r="AS275" s="377" t="str">
        <f>CS_PID!AS275/VLOOKUP($B275,표2[#ALL],2)/HLOOKUP($A275,표1[#ALL],row(),false)</f>
        <v>#N/A</v>
      </c>
    </row>
    <row r="276">
      <c r="A276" s="370"/>
      <c r="B276" s="371"/>
      <c r="C276" s="372" t="str">
        <f>CS_PID!C276/VLOOKUP($B276,표2[#ALL],2)</f>
        <v>#N/A</v>
      </c>
      <c r="D276" s="372" t="str">
        <f>CS_PID!D276/VLOOKUP($B276,표2[#ALL],2)</f>
        <v>#N/A</v>
      </c>
      <c r="E276" s="372" t="str">
        <f>CS_PID!E276/VLOOKUP($B276,표2[#ALL],2)</f>
        <v>#N/A</v>
      </c>
      <c r="F276" s="372" t="str">
        <f>CS_PID!F276/VLOOKUP($B276,표2[#ALL],2)</f>
        <v>#N/A</v>
      </c>
      <c r="G276" s="372" t="str">
        <f>CS_PID!G276/VLOOKUP($B276,표2[#ALL],2)</f>
        <v>#N/A</v>
      </c>
      <c r="H276" s="372" t="str">
        <f>CS_PID!H276/VLOOKUP($B276,표2[#ALL],2)/HLOOKUP($A276,표1[#ALL],row(),false)</f>
        <v>#N/A</v>
      </c>
      <c r="I276" s="372" t="str">
        <f>CS_PID!I276/VLOOKUP($B276,표2[#ALL],2)/HLOOKUP($A276,표1[#ALL],row(),false)</f>
        <v>#N/A</v>
      </c>
      <c r="J276" s="372" t="str">
        <f>CS_PID!J276/VLOOKUP($B276,표2[#ALL],2)/HLOOKUP($A276,표1[#ALL],row(),false)</f>
        <v>#N/A</v>
      </c>
      <c r="K276" s="372" t="str">
        <f>CS_PID!K276/VLOOKUP($B276,표2[#ALL],2)/HLOOKUP($A276,표1[#ALL],row(),false)</f>
        <v>#N/A</v>
      </c>
      <c r="L276" s="372" t="str">
        <f>CS_PID!L276/VLOOKUP($B276,표2[#ALL],2)/HLOOKUP($A276,표1[#ALL],row(),false)</f>
        <v>#N/A</v>
      </c>
      <c r="M276" s="372" t="str">
        <f>CS_PID!M276/VLOOKUP($B276,표2[#ALL],2)/HLOOKUP($A276,표1[#ALL],row(),false)</f>
        <v>#N/A</v>
      </c>
      <c r="N276" s="372" t="str">
        <f>CS_PID!N276/VLOOKUP($B276,표2[#ALL],2)/HLOOKUP($A276,표1[#ALL],row(),false)</f>
        <v>#N/A</v>
      </c>
      <c r="O276" s="372" t="str">
        <f>CS_PID!O276/VLOOKUP($B276,표2[#ALL],2)/HLOOKUP($A276,표1[#ALL],row(),false)</f>
        <v>#N/A</v>
      </c>
      <c r="P276" s="372" t="str">
        <f>CS_PID!P276/VLOOKUP($B276,표2[#ALL],2)/HLOOKUP($A276,표1[#ALL],row(),false)</f>
        <v>#N/A</v>
      </c>
      <c r="Q276" s="372" t="str">
        <f>CS_PID!Q276/VLOOKUP($B276,표2[#ALL],2)/HLOOKUP($A276,표1[#ALL],row(),false)</f>
        <v>#N/A</v>
      </c>
      <c r="R276" s="372" t="str">
        <f>CS_PID!R276/VLOOKUP($B276,표2[#ALL],2)/HLOOKUP($A276,표1[#ALL],row(),false)</f>
        <v>#N/A</v>
      </c>
      <c r="S276" s="372" t="str">
        <f>CS_PID!S276/VLOOKUP($B276,표2[#ALL],2)/HLOOKUP($A276,표1[#ALL],row(),false)</f>
        <v>#N/A</v>
      </c>
      <c r="T276" s="372" t="str">
        <f>CS_PID!T276/VLOOKUP($B276,표2[#ALL],2)/HLOOKUP($A276,표1[#ALL],row(),false)</f>
        <v>#N/A</v>
      </c>
      <c r="U276" s="372" t="str">
        <f>CS_PID!U276/VLOOKUP($B276,표2[#ALL],2)/HLOOKUP($A276,표1[#ALL],row(),false)</f>
        <v>#N/A</v>
      </c>
      <c r="V276" s="372" t="str">
        <f>CS_PID!V276/VLOOKUP($B276,표2[#ALL],2)/HLOOKUP($A276,표1[#ALL],row(),false)</f>
        <v>#N/A</v>
      </c>
      <c r="W276" s="372" t="str">
        <f>CS_PID!W276/VLOOKUP($B276,표2[#ALL],2)/HLOOKUP($A276,표1[#ALL],row(),false)</f>
        <v>#N/A</v>
      </c>
      <c r="X276" s="372" t="str">
        <f>CS_PID!X276/VLOOKUP($B276,표2[#ALL],2)/HLOOKUP($A276,표1[#ALL],row(),false)</f>
        <v>#N/A</v>
      </c>
      <c r="Y276" s="372" t="str">
        <f>CS_PID!Y276/VLOOKUP($B276,표2[#ALL],2)/HLOOKUP($A276,표1[#ALL],row(),false)</f>
        <v>#N/A</v>
      </c>
      <c r="Z276" s="372" t="str">
        <f>CS_PID!Z276/VLOOKUP($B276,표2[#ALL],2)/HLOOKUP($A276,표1[#ALL],row(),false)</f>
        <v>#N/A</v>
      </c>
      <c r="AA276" s="372" t="str">
        <f>CS_PID!AA276/VLOOKUP($B276,표2[#ALL],2)/HLOOKUP($A276,표1[#ALL],row(),false)</f>
        <v>#N/A</v>
      </c>
      <c r="AB276" s="372" t="str">
        <f>CS_PID!AB276/VLOOKUP($B276,표2[#ALL],2)/HLOOKUP($A276,표1[#ALL],row(),false)</f>
        <v>#N/A</v>
      </c>
      <c r="AC276" s="372" t="str">
        <f>CS_PID!AC276/VLOOKUP($B276,표2[#ALL],2)/HLOOKUP($A276,표1[#ALL],row(),false)</f>
        <v>#N/A</v>
      </c>
      <c r="AD276" s="372" t="str">
        <f>CS_PID!AD276/VLOOKUP($B276,표2[#ALL],2)/HLOOKUP($A276,표1[#ALL],row(),false)</f>
        <v>#N/A</v>
      </c>
      <c r="AE276" s="372" t="str">
        <f>CS_PID!AE276/VLOOKUP($B276,표2[#ALL],2)/HLOOKUP($A276,표1[#ALL],row(),false)</f>
        <v>#N/A</v>
      </c>
      <c r="AF276" s="372" t="str">
        <f>CS_PID!AF276/VLOOKUP($B276,표2[#ALL],2)/HLOOKUP($A276,표1[#ALL],row(),false)</f>
        <v>#N/A</v>
      </c>
      <c r="AG276" s="372" t="str">
        <f>CS_PID!AG276/VLOOKUP($B276,표2[#ALL],2)/HLOOKUP($A276,표1[#ALL],row(),false)</f>
        <v>#N/A</v>
      </c>
      <c r="AH276" s="372" t="str">
        <f>CS_PID!AH276/VLOOKUP($B276,표2[#ALL],2)/HLOOKUP($A276,표1[#ALL],row(),false)</f>
        <v>#N/A</v>
      </c>
      <c r="AI276" s="372" t="str">
        <f>CS_PID!AI276/VLOOKUP($B276,표2[#ALL],2)/HLOOKUP($A276,표1[#ALL],row(),false)</f>
        <v>#N/A</v>
      </c>
      <c r="AJ276" s="372" t="str">
        <f>CS_PID!AJ276/VLOOKUP($B276,표2[#ALL],2)/HLOOKUP($A276,표1[#ALL],row(),false)</f>
        <v>#N/A</v>
      </c>
      <c r="AK276" s="372" t="str">
        <f>CS_PID!AK276/VLOOKUP($B276,표2[#ALL],2)/HLOOKUP($A276,표1[#ALL],row(),false)</f>
        <v>#N/A</v>
      </c>
      <c r="AL276" s="372" t="str">
        <f>CS_PID!AL276/VLOOKUP($B276,표2[#ALL],2)/HLOOKUP($A276,표1[#ALL],row(),false)</f>
        <v>#N/A</v>
      </c>
      <c r="AM276" s="372" t="str">
        <f>CS_PID!AM276/VLOOKUP($B276,표2[#ALL],2)/HLOOKUP($A276,표1[#ALL],row(),false)</f>
        <v>#N/A</v>
      </c>
      <c r="AN276" s="372" t="str">
        <f>CS_PID!AN276/VLOOKUP($B276,표2[#ALL],2)/HLOOKUP($A276,표1[#ALL],row(),false)</f>
        <v>#N/A</v>
      </c>
      <c r="AO276" s="372" t="str">
        <f>CS_PID!AO276/VLOOKUP($B276,표2[#ALL],2)/HLOOKUP($A276,표1[#ALL],row(),false)</f>
        <v>#N/A</v>
      </c>
      <c r="AP276" s="372" t="str">
        <f>CS_PID!AP276/VLOOKUP($B276,표2[#ALL],2)/HLOOKUP($A276,표1[#ALL],row(),false)</f>
        <v>#N/A</v>
      </c>
      <c r="AQ276" s="372" t="str">
        <f>CS_PID!AQ276/VLOOKUP($B276,표2[#ALL],2)/HLOOKUP($A276,표1[#ALL],row(),false)</f>
        <v>#N/A</v>
      </c>
      <c r="AR276" s="372" t="str">
        <f>CS_PID!AR276/VLOOKUP($B276,표2[#ALL],2)/HLOOKUP($A276,표1[#ALL],row(),false)</f>
        <v>#N/A</v>
      </c>
      <c r="AS276" s="373" t="str">
        <f>CS_PID!AS276/VLOOKUP($B276,표2[#ALL],2)/HLOOKUP($A276,표1[#ALL],row(),false)</f>
        <v>#N/A</v>
      </c>
    </row>
    <row r="277">
      <c r="A277" s="374"/>
      <c r="B277" s="375"/>
      <c r="C277" s="376" t="str">
        <f>CS_PID!C277/VLOOKUP($B277,표2[#ALL],2)</f>
        <v>#N/A</v>
      </c>
      <c r="D277" s="376" t="str">
        <f>CS_PID!D277/VLOOKUP($B277,표2[#ALL],2)</f>
        <v>#N/A</v>
      </c>
      <c r="E277" s="376" t="str">
        <f>CS_PID!E277/VLOOKUP($B277,표2[#ALL],2)</f>
        <v>#N/A</v>
      </c>
      <c r="F277" s="376" t="str">
        <f>CS_PID!F277/VLOOKUP($B277,표2[#ALL],2)</f>
        <v>#N/A</v>
      </c>
      <c r="G277" s="376" t="str">
        <f>CS_PID!G277/VLOOKUP($B277,표2[#ALL],2)</f>
        <v>#N/A</v>
      </c>
      <c r="H277" s="376" t="str">
        <f>CS_PID!H277/VLOOKUP($B277,표2[#ALL],2)/HLOOKUP($A277,표1[#ALL],row(),false)</f>
        <v>#N/A</v>
      </c>
      <c r="I277" s="376" t="str">
        <f>CS_PID!I277/VLOOKUP($B277,표2[#ALL],2)/HLOOKUP($A277,표1[#ALL],row(),false)</f>
        <v>#N/A</v>
      </c>
      <c r="J277" s="376" t="str">
        <f>CS_PID!J277/VLOOKUP($B277,표2[#ALL],2)/HLOOKUP($A277,표1[#ALL],row(),false)</f>
        <v>#N/A</v>
      </c>
      <c r="K277" s="376" t="str">
        <f>CS_PID!K277/VLOOKUP($B277,표2[#ALL],2)/HLOOKUP($A277,표1[#ALL],row(),false)</f>
        <v>#N/A</v>
      </c>
      <c r="L277" s="376" t="str">
        <f>CS_PID!L277/VLOOKUP($B277,표2[#ALL],2)/HLOOKUP($A277,표1[#ALL],row(),false)</f>
        <v>#N/A</v>
      </c>
      <c r="M277" s="376" t="str">
        <f>CS_PID!M277/VLOOKUP($B277,표2[#ALL],2)/HLOOKUP($A277,표1[#ALL],row(),false)</f>
        <v>#N/A</v>
      </c>
      <c r="N277" s="376" t="str">
        <f>CS_PID!N277/VLOOKUP($B277,표2[#ALL],2)/HLOOKUP($A277,표1[#ALL],row(),false)</f>
        <v>#N/A</v>
      </c>
      <c r="O277" s="376" t="str">
        <f>CS_PID!O277/VLOOKUP($B277,표2[#ALL],2)/HLOOKUP($A277,표1[#ALL],row(),false)</f>
        <v>#N/A</v>
      </c>
      <c r="P277" s="376" t="str">
        <f>CS_PID!P277/VLOOKUP($B277,표2[#ALL],2)/HLOOKUP($A277,표1[#ALL],row(),false)</f>
        <v>#N/A</v>
      </c>
      <c r="Q277" s="376" t="str">
        <f>CS_PID!Q277/VLOOKUP($B277,표2[#ALL],2)/HLOOKUP($A277,표1[#ALL],row(),false)</f>
        <v>#N/A</v>
      </c>
      <c r="R277" s="376" t="str">
        <f>CS_PID!R277/VLOOKUP($B277,표2[#ALL],2)/HLOOKUP($A277,표1[#ALL],row(),false)</f>
        <v>#N/A</v>
      </c>
      <c r="S277" s="376" t="str">
        <f>CS_PID!S277/VLOOKUP($B277,표2[#ALL],2)/HLOOKUP($A277,표1[#ALL],row(),false)</f>
        <v>#N/A</v>
      </c>
      <c r="T277" s="376" t="str">
        <f>CS_PID!T277/VLOOKUP($B277,표2[#ALL],2)/HLOOKUP($A277,표1[#ALL],row(),false)</f>
        <v>#N/A</v>
      </c>
      <c r="U277" s="376" t="str">
        <f>CS_PID!U277/VLOOKUP($B277,표2[#ALL],2)/HLOOKUP($A277,표1[#ALL],row(),false)</f>
        <v>#N/A</v>
      </c>
      <c r="V277" s="376" t="str">
        <f>CS_PID!V277/VLOOKUP($B277,표2[#ALL],2)/HLOOKUP($A277,표1[#ALL],row(),false)</f>
        <v>#N/A</v>
      </c>
      <c r="W277" s="376" t="str">
        <f>CS_PID!W277/VLOOKUP($B277,표2[#ALL],2)/HLOOKUP($A277,표1[#ALL],row(),false)</f>
        <v>#N/A</v>
      </c>
      <c r="X277" s="376" t="str">
        <f>CS_PID!X277/VLOOKUP($B277,표2[#ALL],2)/HLOOKUP($A277,표1[#ALL],row(),false)</f>
        <v>#N/A</v>
      </c>
      <c r="Y277" s="376" t="str">
        <f>CS_PID!Y277/VLOOKUP($B277,표2[#ALL],2)/HLOOKUP($A277,표1[#ALL],row(),false)</f>
        <v>#N/A</v>
      </c>
      <c r="Z277" s="376" t="str">
        <f>CS_PID!Z277/VLOOKUP($B277,표2[#ALL],2)/HLOOKUP($A277,표1[#ALL],row(),false)</f>
        <v>#N/A</v>
      </c>
      <c r="AA277" s="376" t="str">
        <f>CS_PID!AA277/VLOOKUP($B277,표2[#ALL],2)/HLOOKUP($A277,표1[#ALL],row(),false)</f>
        <v>#N/A</v>
      </c>
      <c r="AB277" s="376" t="str">
        <f>CS_PID!AB277/VLOOKUP($B277,표2[#ALL],2)/HLOOKUP($A277,표1[#ALL],row(),false)</f>
        <v>#N/A</v>
      </c>
      <c r="AC277" s="376" t="str">
        <f>CS_PID!AC277/VLOOKUP($B277,표2[#ALL],2)/HLOOKUP($A277,표1[#ALL],row(),false)</f>
        <v>#N/A</v>
      </c>
      <c r="AD277" s="376" t="str">
        <f>CS_PID!AD277/VLOOKUP($B277,표2[#ALL],2)/HLOOKUP($A277,표1[#ALL],row(),false)</f>
        <v>#N/A</v>
      </c>
      <c r="AE277" s="376" t="str">
        <f>CS_PID!AE277/VLOOKUP($B277,표2[#ALL],2)/HLOOKUP($A277,표1[#ALL],row(),false)</f>
        <v>#N/A</v>
      </c>
      <c r="AF277" s="376" t="str">
        <f>CS_PID!AF277/VLOOKUP($B277,표2[#ALL],2)/HLOOKUP($A277,표1[#ALL],row(),false)</f>
        <v>#N/A</v>
      </c>
      <c r="AG277" s="376" t="str">
        <f>CS_PID!AG277/VLOOKUP($B277,표2[#ALL],2)/HLOOKUP($A277,표1[#ALL],row(),false)</f>
        <v>#N/A</v>
      </c>
      <c r="AH277" s="376" t="str">
        <f>CS_PID!AH277/VLOOKUP($B277,표2[#ALL],2)/HLOOKUP($A277,표1[#ALL],row(),false)</f>
        <v>#N/A</v>
      </c>
      <c r="AI277" s="376" t="str">
        <f>CS_PID!AI277/VLOOKUP($B277,표2[#ALL],2)/HLOOKUP($A277,표1[#ALL],row(),false)</f>
        <v>#N/A</v>
      </c>
      <c r="AJ277" s="376" t="str">
        <f>CS_PID!AJ277/VLOOKUP($B277,표2[#ALL],2)/HLOOKUP($A277,표1[#ALL],row(),false)</f>
        <v>#N/A</v>
      </c>
      <c r="AK277" s="376" t="str">
        <f>CS_PID!AK277/VLOOKUP($B277,표2[#ALL],2)/HLOOKUP($A277,표1[#ALL],row(),false)</f>
        <v>#N/A</v>
      </c>
      <c r="AL277" s="376" t="str">
        <f>CS_PID!AL277/VLOOKUP($B277,표2[#ALL],2)/HLOOKUP($A277,표1[#ALL],row(),false)</f>
        <v>#N/A</v>
      </c>
      <c r="AM277" s="376" t="str">
        <f>CS_PID!AM277/VLOOKUP($B277,표2[#ALL],2)/HLOOKUP($A277,표1[#ALL],row(),false)</f>
        <v>#N/A</v>
      </c>
      <c r="AN277" s="376" t="str">
        <f>CS_PID!AN277/VLOOKUP($B277,표2[#ALL],2)/HLOOKUP($A277,표1[#ALL],row(),false)</f>
        <v>#N/A</v>
      </c>
      <c r="AO277" s="376" t="str">
        <f>CS_PID!AO277/VLOOKUP($B277,표2[#ALL],2)/HLOOKUP($A277,표1[#ALL],row(),false)</f>
        <v>#N/A</v>
      </c>
      <c r="AP277" s="376" t="str">
        <f>CS_PID!AP277/VLOOKUP($B277,표2[#ALL],2)/HLOOKUP($A277,표1[#ALL],row(),false)</f>
        <v>#N/A</v>
      </c>
      <c r="AQ277" s="376" t="str">
        <f>CS_PID!AQ277/VLOOKUP($B277,표2[#ALL],2)/HLOOKUP($A277,표1[#ALL],row(),false)</f>
        <v>#N/A</v>
      </c>
      <c r="AR277" s="376" t="str">
        <f>CS_PID!AR277/VLOOKUP($B277,표2[#ALL],2)/HLOOKUP($A277,표1[#ALL],row(),false)</f>
        <v>#N/A</v>
      </c>
      <c r="AS277" s="377" t="str">
        <f>CS_PID!AS277/VLOOKUP($B277,표2[#ALL],2)/HLOOKUP($A277,표1[#ALL],row(),false)</f>
        <v>#N/A</v>
      </c>
    </row>
    <row r="278">
      <c r="A278" s="370"/>
      <c r="B278" s="371"/>
      <c r="C278" s="372" t="str">
        <f>CS_PID!C278/VLOOKUP($B278,표2[#ALL],2)</f>
        <v>#N/A</v>
      </c>
      <c r="D278" s="372" t="str">
        <f>CS_PID!D278/VLOOKUP($B278,표2[#ALL],2)</f>
        <v>#N/A</v>
      </c>
      <c r="E278" s="372" t="str">
        <f>CS_PID!E278/VLOOKUP($B278,표2[#ALL],2)</f>
        <v>#N/A</v>
      </c>
      <c r="F278" s="372" t="str">
        <f>CS_PID!F278/VLOOKUP($B278,표2[#ALL],2)</f>
        <v>#N/A</v>
      </c>
      <c r="G278" s="372" t="str">
        <f>CS_PID!G278/VLOOKUP($B278,표2[#ALL],2)</f>
        <v>#N/A</v>
      </c>
      <c r="H278" s="372" t="str">
        <f>CS_PID!H278/VLOOKUP($B278,표2[#ALL],2)/HLOOKUP($A278,표1[#ALL],row(),false)</f>
        <v>#N/A</v>
      </c>
      <c r="I278" s="372" t="str">
        <f>CS_PID!I278/VLOOKUP($B278,표2[#ALL],2)/HLOOKUP($A278,표1[#ALL],row(),false)</f>
        <v>#N/A</v>
      </c>
      <c r="J278" s="372" t="str">
        <f>CS_PID!J278/VLOOKUP($B278,표2[#ALL],2)/HLOOKUP($A278,표1[#ALL],row(),false)</f>
        <v>#N/A</v>
      </c>
      <c r="K278" s="372" t="str">
        <f>CS_PID!K278/VLOOKUP($B278,표2[#ALL],2)/HLOOKUP($A278,표1[#ALL],row(),false)</f>
        <v>#N/A</v>
      </c>
      <c r="L278" s="372" t="str">
        <f>CS_PID!L278/VLOOKUP($B278,표2[#ALL],2)/HLOOKUP($A278,표1[#ALL],row(),false)</f>
        <v>#N/A</v>
      </c>
      <c r="M278" s="372" t="str">
        <f>CS_PID!M278/VLOOKUP($B278,표2[#ALL],2)/HLOOKUP($A278,표1[#ALL],row(),false)</f>
        <v>#N/A</v>
      </c>
      <c r="N278" s="372" t="str">
        <f>CS_PID!N278/VLOOKUP($B278,표2[#ALL],2)/HLOOKUP($A278,표1[#ALL],row(),false)</f>
        <v>#N/A</v>
      </c>
      <c r="O278" s="372" t="str">
        <f>CS_PID!O278/VLOOKUP($B278,표2[#ALL],2)/HLOOKUP($A278,표1[#ALL],row(),false)</f>
        <v>#N/A</v>
      </c>
      <c r="P278" s="372" t="str">
        <f>CS_PID!P278/VLOOKUP($B278,표2[#ALL],2)/HLOOKUP($A278,표1[#ALL],row(),false)</f>
        <v>#N/A</v>
      </c>
      <c r="Q278" s="372" t="str">
        <f>CS_PID!Q278/VLOOKUP($B278,표2[#ALL],2)/HLOOKUP($A278,표1[#ALL],row(),false)</f>
        <v>#N/A</v>
      </c>
      <c r="R278" s="372" t="str">
        <f>CS_PID!R278/VLOOKUP($B278,표2[#ALL],2)/HLOOKUP($A278,표1[#ALL],row(),false)</f>
        <v>#N/A</v>
      </c>
      <c r="S278" s="372" t="str">
        <f>CS_PID!S278/VLOOKUP($B278,표2[#ALL],2)/HLOOKUP($A278,표1[#ALL],row(),false)</f>
        <v>#N/A</v>
      </c>
      <c r="T278" s="372" t="str">
        <f>CS_PID!T278/VLOOKUP($B278,표2[#ALL],2)/HLOOKUP($A278,표1[#ALL],row(),false)</f>
        <v>#N/A</v>
      </c>
      <c r="U278" s="372" t="str">
        <f>CS_PID!U278/VLOOKUP($B278,표2[#ALL],2)/HLOOKUP($A278,표1[#ALL],row(),false)</f>
        <v>#N/A</v>
      </c>
      <c r="V278" s="372" t="str">
        <f>CS_PID!V278/VLOOKUP($B278,표2[#ALL],2)/HLOOKUP($A278,표1[#ALL],row(),false)</f>
        <v>#N/A</v>
      </c>
      <c r="W278" s="372" t="str">
        <f>CS_PID!W278/VLOOKUP($B278,표2[#ALL],2)/HLOOKUP($A278,표1[#ALL],row(),false)</f>
        <v>#N/A</v>
      </c>
      <c r="X278" s="372" t="str">
        <f>CS_PID!X278/VLOOKUP($B278,표2[#ALL],2)/HLOOKUP($A278,표1[#ALL],row(),false)</f>
        <v>#N/A</v>
      </c>
      <c r="Y278" s="372" t="str">
        <f>CS_PID!Y278/VLOOKUP($B278,표2[#ALL],2)/HLOOKUP($A278,표1[#ALL],row(),false)</f>
        <v>#N/A</v>
      </c>
      <c r="Z278" s="372" t="str">
        <f>CS_PID!Z278/VLOOKUP($B278,표2[#ALL],2)/HLOOKUP($A278,표1[#ALL],row(),false)</f>
        <v>#N/A</v>
      </c>
      <c r="AA278" s="372" t="str">
        <f>CS_PID!AA278/VLOOKUP($B278,표2[#ALL],2)/HLOOKUP($A278,표1[#ALL],row(),false)</f>
        <v>#N/A</v>
      </c>
      <c r="AB278" s="372" t="str">
        <f>CS_PID!AB278/VLOOKUP($B278,표2[#ALL],2)/HLOOKUP($A278,표1[#ALL],row(),false)</f>
        <v>#N/A</v>
      </c>
      <c r="AC278" s="372" t="str">
        <f>CS_PID!AC278/VLOOKUP($B278,표2[#ALL],2)/HLOOKUP($A278,표1[#ALL],row(),false)</f>
        <v>#N/A</v>
      </c>
      <c r="AD278" s="372" t="str">
        <f>CS_PID!AD278/VLOOKUP($B278,표2[#ALL],2)/HLOOKUP($A278,표1[#ALL],row(),false)</f>
        <v>#N/A</v>
      </c>
      <c r="AE278" s="372" t="str">
        <f>CS_PID!AE278/VLOOKUP($B278,표2[#ALL],2)/HLOOKUP($A278,표1[#ALL],row(),false)</f>
        <v>#N/A</v>
      </c>
      <c r="AF278" s="372" t="str">
        <f>CS_PID!AF278/VLOOKUP($B278,표2[#ALL],2)/HLOOKUP($A278,표1[#ALL],row(),false)</f>
        <v>#N/A</v>
      </c>
      <c r="AG278" s="372" t="str">
        <f>CS_PID!AG278/VLOOKUP($B278,표2[#ALL],2)/HLOOKUP($A278,표1[#ALL],row(),false)</f>
        <v>#N/A</v>
      </c>
      <c r="AH278" s="372" t="str">
        <f>CS_PID!AH278/VLOOKUP($B278,표2[#ALL],2)/HLOOKUP($A278,표1[#ALL],row(),false)</f>
        <v>#N/A</v>
      </c>
      <c r="AI278" s="372" t="str">
        <f>CS_PID!AI278/VLOOKUP($B278,표2[#ALL],2)/HLOOKUP($A278,표1[#ALL],row(),false)</f>
        <v>#N/A</v>
      </c>
      <c r="AJ278" s="372" t="str">
        <f>CS_PID!AJ278/VLOOKUP($B278,표2[#ALL],2)/HLOOKUP($A278,표1[#ALL],row(),false)</f>
        <v>#N/A</v>
      </c>
      <c r="AK278" s="372" t="str">
        <f>CS_PID!AK278/VLOOKUP($B278,표2[#ALL],2)/HLOOKUP($A278,표1[#ALL],row(),false)</f>
        <v>#N/A</v>
      </c>
      <c r="AL278" s="372" t="str">
        <f>CS_PID!AL278/VLOOKUP($B278,표2[#ALL],2)/HLOOKUP($A278,표1[#ALL],row(),false)</f>
        <v>#N/A</v>
      </c>
      <c r="AM278" s="372" t="str">
        <f>CS_PID!AM278/VLOOKUP($B278,표2[#ALL],2)/HLOOKUP($A278,표1[#ALL],row(),false)</f>
        <v>#N/A</v>
      </c>
      <c r="AN278" s="372" t="str">
        <f>CS_PID!AN278/VLOOKUP($B278,표2[#ALL],2)/HLOOKUP($A278,표1[#ALL],row(),false)</f>
        <v>#N/A</v>
      </c>
      <c r="AO278" s="372" t="str">
        <f>CS_PID!AO278/VLOOKUP($B278,표2[#ALL],2)/HLOOKUP($A278,표1[#ALL],row(),false)</f>
        <v>#N/A</v>
      </c>
      <c r="AP278" s="372" t="str">
        <f>CS_PID!AP278/VLOOKUP($B278,표2[#ALL],2)/HLOOKUP($A278,표1[#ALL],row(),false)</f>
        <v>#N/A</v>
      </c>
      <c r="AQ278" s="372" t="str">
        <f>CS_PID!AQ278/VLOOKUP($B278,표2[#ALL],2)/HLOOKUP($A278,표1[#ALL],row(),false)</f>
        <v>#N/A</v>
      </c>
      <c r="AR278" s="372" t="str">
        <f>CS_PID!AR278/VLOOKUP($B278,표2[#ALL],2)/HLOOKUP($A278,표1[#ALL],row(),false)</f>
        <v>#N/A</v>
      </c>
      <c r="AS278" s="373" t="str">
        <f>CS_PID!AS278/VLOOKUP($B278,표2[#ALL],2)/HLOOKUP($A278,표1[#ALL],row(),false)</f>
        <v>#N/A</v>
      </c>
    </row>
    <row r="279">
      <c r="A279" s="374"/>
      <c r="B279" s="375"/>
      <c r="C279" s="376" t="str">
        <f>CS_PID!C279/VLOOKUP($B279,표2[#ALL],2)</f>
        <v>#N/A</v>
      </c>
      <c r="D279" s="376" t="str">
        <f>CS_PID!D279/VLOOKUP($B279,표2[#ALL],2)</f>
        <v>#N/A</v>
      </c>
      <c r="E279" s="376" t="str">
        <f>CS_PID!E279/VLOOKUP($B279,표2[#ALL],2)</f>
        <v>#N/A</v>
      </c>
      <c r="F279" s="376" t="str">
        <f>CS_PID!F279/VLOOKUP($B279,표2[#ALL],2)</f>
        <v>#N/A</v>
      </c>
      <c r="G279" s="376" t="str">
        <f>CS_PID!G279/VLOOKUP($B279,표2[#ALL],2)</f>
        <v>#N/A</v>
      </c>
      <c r="H279" s="376" t="str">
        <f>CS_PID!H279/VLOOKUP($B279,표2[#ALL],2)/HLOOKUP($A279,표1[#ALL],row(),false)</f>
        <v>#N/A</v>
      </c>
      <c r="I279" s="376" t="str">
        <f>CS_PID!I279/VLOOKUP($B279,표2[#ALL],2)/HLOOKUP($A279,표1[#ALL],row(),false)</f>
        <v>#N/A</v>
      </c>
      <c r="J279" s="376" t="str">
        <f>CS_PID!J279/VLOOKUP($B279,표2[#ALL],2)/HLOOKUP($A279,표1[#ALL],row(),false)</f>
        <v>#N/A</v>
      </c>
      <c r="K279" s="376" t="str">
        <f>CS_PID!K279/VLOOKUP($B279,표2[#ALL],2)/HLOOKUP($A279,표1[#ALL],row(),false)</f>
        <v>#N/A</v>
      </c>
      <c r="L279" s="376" t="str">
        <f>CS_PID!L279/VLOOKUP($B279,표2[#ALL],2)/HLOOKUP($A279,표1[#ALL],row(),false)</f>
        <v>#N/A</v>
      </c>
      <c r="M279" s="376" t="str">
        <f>CS_PID!M279/VLOOKUP($B279,표2[#ALL],2)/HLOOKUP($A279,표1[#ALL],row(),false)</f>
        <v>#N/A</v>
      </c>
      <c r="N279" s="376" t="str">
        <f>CS_PID!N279/VLOOKUP($B279,표2[#ALL],2)/HLOOKUP($A279,표1[#ALL],row(),false)</f>
        <v>#N/A</v>
      </c>
      <c r="O279" s="376" t="str">
        <f>CS_PID!O279/VLOOKUP($B279,표2[#ALL],2)/HLOOKUP($A279,표1[#ALL],row(),false)</f>
        <v>#N/A</v>
      </c>
      <c r="P279" s="376" t="str">
        <f>CS_PID!P279/VLOOKUP($B279,표2[#ALL],2)/HLOOKUP($A279,표1[#ALL],row(),false)</f>
        <v>#N/A</v>
      </c>
      <c r="Q279" s="376" t="str">
        <f>CS_PID!Q279/VLOOKUP($B279,표2[#ALL],2)/HLOOKUP($A279,표1[#ALL],row(),false)</f>
        <v>#N/A</v>
      </c>
      <c r="R279" s="376" t="str">
        <f>CS_PID!R279/VLOOKUP($B279,표2[#ALL],2)/HLOOKUP($A279,표1[#ALL],row(),false)</f>
        <v>#N/A</v>
      </c>
      <c r="S279" s="376" t="str">
        <f>CS_PID!S279/VLOOKUP($B279,표2[#ALL],2)/HLOOKUP($A279,표1[#ALL],row(),false)</f>
        <v>#N/A</v>
      </c>
      <c r="T279" s="376" t="str">
        <f>CS_PID!T279/VLOOKUP($B279,표2[#ALL],2)/HLOOKUP($A279,표1[#ALL],row(),false)</f>
        <v>#N/A</v>
      </c>
      <c r="U279" s="376" t="str">
        <f>CS_PID!U279/VLOOKUP($B279,표2[#ALL],2)/HLOOKUP($A279,표1[#ALL],row(),false)</f>
        <v>#N/A</v>
      </c>
      <c r="V279" s="376" t="str">
        <f>CS_PID!V279/VLOOKUP($B279,표2[#ALL],2)/HLOOKUP($A279,표1[#ALL],row(),false)</f>
        <v>#N/A</v>
      </c>
      <c r="W279" s="376" t="str">
        <f>CS_PID!W279/VLOOKUP($B279,표2[#ALL],2)/HLOOKUP($A279,표1[#ALL],row(),false)</f>
        <v>#N/A</v>
      </c>
      <c r="X279" s="376" t="str">
        <f>CS_PID!X279/VLOOKUP($B279,표2[#ALL],2)/HLOOKUP($A279,표1[#ALL],row(),false)</f>
        <v>#N/A</v>
      </c>
      <c r="Y279" s="376" t="str">
        <f>CS_PID!Y279/VLOOKUP($B279,표2[#ALL],2)/HLOOKUP($A279,표1[#ALL],row(),false)</f>
        <v>#N/A</v>
      </c>
      <c r="Z279" s="376" t="str">
        <f>CS_PID!Z279/VLOOKUP($B279,표2[#ALL],2)/HLOOKUP($A279,표1[#ALL],row(),false)</f>
        <v>#N/A</v>
      </c>
      <c r="AA279" s="376" t="str">
        <f>CS_PID!AA279/VLOOKUP($B279,표2[#ALL],2)/HLOOKUP($A279,표1[#ALL],row(),false)</f>
        <v>#N/A</v>
      </c>
      <c r="AB279" s="376" t="str">
        <f>CS_PID!AB279/VLOOKUP($B279,표2[#ALL],2)/HLOOKUP($A279,표1[#ALL],row(),false)</f>
        <v>#N/A</v>
      </c>
      <c r="AC279" s="376" t="str">
        <f>CS_PID!AC279/VLOOKUP($B279,표2[#ALL],2)/HLOOKUP($A279,표1[#ALL],row(),false)</f>
        <v>#N/A</v>
      </c>
      <c r="AD279" s="376" t="str">
        <f>CS_PID!AD279/VLOOKUP($B279,표2[#ALL],2)/HLOOKUP($A279,표1[#ALL],row(),false)</f>
        <v>#N/A</v>
      </c>
      <c r="AE279" s="376" t="str">
        <f>CS_PID!AE279/VLOOKUP($B279,표2[#ALL],2)/HLOOKUP($A279,표1[#ALL],row(),false)</f>
        <v>#N/A</v>
      </c>
      <c r="AF279" s="376" t="str">
        <f>CS_PID!AF279/VLOOKUP($B279,표2[#ALL],2)/HLOOKUP($A279,표1[#ALL],row(),false)</f>
        <v>#N/A</v>
      </c>
      <c r="AG279" s="376" t="str">
        <f>CS_PID!AG279/VLOOKUP($B279,표2[#ALL],2)/HLOOKUP($A279,표1[#ALL],row(),false)</f>
        <v>#N/A</v>
      </c>
      <c r="AH279" s="376" t="str">
        <f>CS_PID!AH279/VLOOKUP($B279,표2[#ALL],2)/HLOOKUP($A279,표1[#ALL],row(),false)</f>
        <v>#N/A</v>
      </c>
      <c r="AI279" s="376" t="str">
        <f>CS_PID!AI279/VLOOKUP($B279,표2[#ALL],2)/HLOOKUP($A279,표1[#ALL],row(),false)</f>
        <v>#N/A</v>
      </c>
      <c r="AJ279" s="376" t="str">
        <f>CS_PID!AJ279/VLOOKUP($B279,표2[#ALL],2)/HLOOKUP($A279,표1[#ALL],row(),false)</f>
        <v>#N/A</v>
      </c>
      <c r="AK279" s="376" t="str">
        <f>CS_PID!AK279/VLOOKUP($B279,표2[#ALL],2)/HLOOKUP($A279,표1[#ALL],row(),false)</f>
        <v>#N/A</v>
      </c>
      <c r="AL279" s="376" t="str">
        <f>CS_PID!AL279/VLOOKUP($B279,표2[#ALL],2)/HLOOKUP($A279,표1[#ALL],row(),false)</f>
        <v>#N/A</v>
      </c>
      <c r="AM279" s="376" t="str">
        <f>CS_PID!AM279/VLOOKUP($B279,표2[#ALL],2)/HLOOKUP($A279,표1[#ALL],row(),false)</f>
        <v>#N/A</v>
      </c>
      <c r="AN279" s="376" t="str">
        <f>CS_PID!AN279/VLOOKUP($B279,표2[#ALL],2)/HLOOKUP($A279,표1[#ALL],row(),false)</f>
        <v>#N/A</v>
      </c>
      <c r="AO279" s="376" t="str">
        <f>CS_PID!AO279/VLOOKUP($B279,표2[#ALL],2)/HLOOKUP($A279,표1[#ALL],row(),false)</f>
        <v>#N/A</v>
      </c>
      <c r="AP279" s="376" t="str">
        <f>CS_PID!AP279/VLOOKUP($B279,표2[#ALL],2)/HLOOKUP($A279,표1[#ALL],row(),false)</f>
        <v>#N/A</v>
      </c>
      <c r="AQ279" s="376" t="str">
        <f>CS_PID!AQ279/VLOOKUP($B279,표2[#ALL],2)/HLOOKUP($A279,표1[#ALL],row(),false)</f>
        <v>#N/A</v>
      </c>
      <c r="AR279" s="376" t="str">
        <f>CS_PID!AR279/VLOOKUP($B279,표2[#ALL],2)/HLOOKUP($A279,표1[#ALL],row(),false)</f>
        <v>#N/A</v>
      </c>
      <c r="AS279" s="377" t="str">
        <f>CS_PID!AS279/VLOOKUP($B279,표2[#ALL],2)/HLOOKUP($A279,표1[#ALL],row(),false)</f>
        <v>#N/A</v>
      </c>
    </row>
    <row r="280">
      <c r="A280" s="370"/>
      <c r="B280" s="371"/>
      <c r="C280" s="372" t="str">
        <f>CS_PID!C280/VLOOKUP($B280,표2[#ALL],2)</f>
        <v>#N/A</v>
      </c>
      <c r="D280" s="372" t="str">
        <f>CS_PID!D280/VLOOKUP($B280,표2[#ALL],2)</f>
        <v>#N/A</v>
      </c>
      <c r="E280" s="372" t="str">
        <f>CS_PID!E280/VLOOKUP($B280,표2[#ALL],2)</f>
        <v>#N/A</v>
      </c>
      <c r="F280" s="372" t="str">
        <f>CS_PID!F280/VLOOKUP($B280,표2[#ALL],2)</f>
        <v>#N/A</v>
      </c>
      <c r="G280" s="372" t="str">
        <f>CS_PID!G280/VLOOKUP($B280,표2[#ALL],2)</f>
        <v>#N/A</v>
      </c>
      <c r="H280" s="372" t="str">
        <f>CS_PID!H280/VLOOKUP($B280,표2[#ALL],2)/HLOOKUP($A280,표1[#ALL],row(),false)</f>
        <v>#N/A</v>
      </c>
      <c r="I280" s="372" t="str">
        <f>CS_PID!I280/VLOOKUP($B280,표2[#ALL],2)/HLOOKUP($A280,표1[#ALL],row(),false)</f>
        <v>#N/A</v>
      </c>
      <c r="J280" s="372" t="str">
        <f>CS_PID!J280/VLOOKUP($B280,표2[#ALL],2)/HLOOKUP($A280,표1[#ALL],row(),false)</f>
        <v>#N/A</v>
      </c>
      <c r="K280" s="372" t="str">
        <f>CS_PID!K280/VLOOKUP($B280,표2[#ALL],2)/HLOOKUP($A280,표1[#ALL],row(),false)</f>
        <v>#N/A</v>
      </c>
      <c r="L280" s="372" t="str">
        <f>CS_PID!L280/VLOOKUP($B280,표2[#ALL],2)/HLOOKUP($A280,표1[#ALL],row(),false)</f>
        <v>#N/A</v>
      </c>
      <c r="M280" s="372" t="str">
        <f>CS_PID!M280/VLOOKUP($B280,표2[#ALL],2)/HLOOKUP($A280,표1[#ALL],row(),false)</f>
        <v>#N/A</v>
      </c>
      <c r="N280" s="372" t="str">
        <f>CS_PID!N280/VLOOKUP($B280,표2[#ALL],2)/HLOOKUP($A280,표1[#ALL],row(),false)</f>
        <v>#N/A</v>
      </c>
      <c r="O280" s="372" t="str">
        <f>CS_PID!O280/VLOOKUP($B280,표2[#ALL],2)/HLOOKUP($A280,표1[#ALL],row(),false)</f>
        <v>#N/A</v>
      </c>
      <c r="P280" s="372" t="str">
        <f>CS_PID!P280/VLOOKUP($B280,표2[#ALL],2)/HLOOKUP($A280,표1[#ALL],row(),false)</f>
        <v>#N/A</v>
      </c>
      <c r="Q280" s="372" t="str">
        <f>CS_PID!Q280/VLOOKUP($B280,표2[#ALL],2)/HLOOKUP($A280,표1[#ALL],row(),false)</f>
        <v>#N/A</v>
      </c>
      <c r="R280" s="372" t="str">
        <f>CS_PID!R280/VLOOKUP($B280,표2[#ALL],2)/HLOOKUP($A280,표1[#ALL],row(),false)</f>
        <v>#N/A</v>
      </c>
      <c r="S280" s="372" t="str">
        <f>CS_PID!S280/VLOOKUP($B280,표2[#ALL],2)/HLOOKUP($A280,표1[#ALL],row(),false)</f>
        <v>#N/A</v>
      </c>
      <c r="T280" s="372" t="str">
        <f>CS_PID!T280/VLOOKUP($B280,표2[#ALL],2)/HLOOKUP($A280,표1[#ALL],row(),false)</f>
        <v>#N/A</v>
      </c>
      <c r="U280" s="372" t="str">
        <f>CS_PID!U280/VLOOKUP($B280,표2[#ALL],2)/HLOOKUP($A280,표1[#ALL],row(),false)</f>
        <v>#N/A</v>
      </c>
      <c r="V280" s="372" t="str">
        <f>CS_PID!V280/VLOOKUP($B280,표2[#ALL],2)/HLOOKUP($A280,표1[#ALL],row(),false)</f>
        <v>#N/A</v>
      </c>
      <c r="W280" s="372" t="str">
        <f>CS_PID!W280/VLOOKUP($B280,표2[#ALL],2)/HLOOKUP($A280,표1[#ALL],row(),false)</f>
        <v>#N/A</v>
      </c>
      <c r="X280" s="372" t="str">
        <f>CS_PID!X280/VLOOKUP($B280,표2[#ALL],2)/HLOOKUP($A280,표1[#ALL],row(),false)</f>
        <v>#N/A</v>
      </c>
      <c r="Y280" s="372" t="str">
        <f>CS_PID!Y280/VLOOKUP($B280,표2[#ALL],2)/HLOOKUP($A280,표1[#ALL],row(),false)</f>
        <v>#N/A</v>
      </c>
      <c r="Z280" s="372" t="str">
        <f>CS_PID!Z280/VLOOKUP($B280,표2[#ALL],2)/HLOOKUP($A280,표1[#ALL],row(),false)</f>
        <v>#N/A</v>
      </c>
      <c r="AA280" s="372" t="str">
        <f>CS_PID!AA280/VLOOKUP($B280,표2[#ALL],2)/HLOOKUP($A280,표1[#ALL],row(),false)</f>
        <v>#N/A</v>
      </c>
      <c r="AB280" s="372" t="str">
        <f>CS_PID!AB280/VLOOKUP($B280,표2[#ALL],2)/HLOOKUP($A280,표1[#ALL],row(),false)</f>
        <v>#N/A</v>
      </c>
      <c r="AC280" s="372" t="str">
        <f>CS_PID!AC280/VLOOKUP($B280,표2[#ALL],2)/HLOOKUP($A280,표1[#ALL],row(),false)</f>
        <v>#N/A</v>
      </c>
      <c r="AD280" s="372" t="str">
        <f>CS_PID!AD280/VLOOKUP($B280,표2[#ALL],2)/HLOOKUP($A280,표1[#ALL],row(),false)</f>
        <v>#N/A</v>
      </c>
      <c r="AE280" s="372" t="str">
        <f>CS_PID!AE280/VLOOKUP($B280,표2[#ALL],2)/HLOOKUP($A280,표1[#ALL],row(),false)</f>
        <v>#N/A</v>
      </c>
      <c r="AF280" s="372" t="str">
        <f>CS_PID!AF280/VLOOKUP($B280,표2[#ALL],2)/HLOOKUP($A280,표1[#ALL],row(),false)</f>
        <v>#N/A</v>
      </c>
      <c r="AG280" s="372" t="str">
        <f>CS_PID!AG280/VLOOKUP($B280,표2[#ALL],2)/HLOOKUP($A280,표1[#ALL],row(),false)</f>
        <v>#N/A</v>
      </c>
      <c r="AH280" s="372" t="str">
        <f>CS_PID!AH280/VLOOKUP($B280,표2[#ALL],2)/HLOOKUP($A280,표1[#ALL],row(),false)</f>
        <v>#N/A</v>
      </c>
      <c r="AI280" s="372" t="str">
        <f>CS_PID!AI280/VLOOKUP($B280,표2[#ALL],2)/HLOOKUP($A280,표1[#ALL],row(),false)</f>
        <v>#N/A</v>
      </c>
      <c r="AJ280" s="372" t="str">
        <f>CS_PID!AJ280/VLOOKUP($B280,표2[#ALL],2)/HLOOKUP($A280,표1[#ALL],row(),false)</f>
        <v>#N/A</v>
      </c>
      <c r="AK280" s="372" t="str">
        <f>CS_PID!AK280/VLOOKUP($B280,표2[#ALL],2)/HLOOKUP($A280,표1[#ALL],row(),false)</f>
        <v>#N/A</v>
      </c>
      <c r="AL280" s="372" t="str">
        <f>CS_PID!AL280/VLOOKUP($B280,표2[#ALL],2)/HLOOKUP($A280,표1[#ALL],row(),false)</f>
        <v>#N/A</v>
      </c>
      <c r="AM280" s="372" t="str">
        <f>CS_PID!AM280/VLOOKUP($B280,표2[#ALL],2)/HLOOKUP($A280,표1[#ALL],row(),false)</f>
        <v>#N/A</v>
      </c>
      <c r="AN280" s="372" t="str">
        <f>CS_PID!AN280/VLOOKUP($B280,표2[#ALL],2)/HLOOKUP($A280,표1[#ALL],row(),false)</f>
        <v>#N/A</v>
      </c>
      <c r="AO280" s="372" t="str">
        <f>CS_PID!AO280/VLOOKUP($B280,표2[#ALL],2)/HLOOKUP($A280,표1[#ALL],row(),false)</f>
        <v>#N/A</v>
      </c>
      <c r="AP280" s="372" t="str">
        <f>CS_PID!AP280/VLOOKUP($B280,표2[#ALL],2)/HLOOKUP($A280,표1[#ALL],row(),false)</f>
        <v>#N/A</v>
      </c>
      <c r="AQ280" s="372" t="str">
        <f>CS_PID!AQ280/VLOOKUP($B280,표2[#ALL],2)/HLOOKUP($A280,표1[#ALL],row(),false)</f>
        <v>#N/A</v>
      </c>
      <c r="AR280" s="372" t="str">
        <f>CS_PID!AR280/VLOOKUP($B280,표2[#ALL],2)/HLOOKUP($A280,표1[#ALL],row(),false)</f>
        <v>#N/A</v>
      </c>
      <c r="AS280" s="373" t="str">
        <f>CS_PID!AS280/VLOOKUP($B280,표2[#ALL],2)/HLOOKUP($A280,표1[#ALL],row(),false)</f>
        <v>#N/A</v>
      </c>
    </row>
    <row r="281">
      <c r="A281" s="374"/>
      <c r="B281" s="375"/>
      <c r="C281" s="376" t="str">
        <f>CS_PID!C281/VLOOKUP($B281,표2[#ALL],2)</f>
        <v>#N/A</v>
      </c>
      <c r="D281" s="376" t="str">
        <f>CS_PID!D281/VLOOKUP($B281,표2[#ALL],2)</f>
        <v>#N/A</v>
      </c>
      <c r="E281" s="376" t="str">
        <f>CS_PID!E281/VLOOKUP($B281,표2[#ALL],2)</f>
        <v>#N/A</v>
      </c>
      <c r="F281" s="376" t="str">
        <f>CS_PID!F281/VLOOKUP($B281,표2[#ALL],2)</f>
        <v>#N/A</v>
      </c>
      <c r="G281" s="376" t="str">
        <f>CS_PID!G281/VLOOKUP($B281,표2[#ALL],2)</f>
        <v>#N/A</v>
      </c>
      <c r="H281" s="376" t="str">
        <f>CS_PID!H281/VLOOKUP($B281,표2[#ALL],2)/HLOOKUP($A281,표1[#ALL],row(),false)</f>
        <v>#N/A</v>
      </c>
      <c r="I281" s="376" t="str">
        <f>CS_PID!I281/VLOOKUP($B281,표2[#ALL],2)/HLOOKUP($A281,표1[#ALL],row(),false)</f>
        <v>#N/A</v>
      </c>
      <c r="J281" s="376" t="str">
        <f>CS_PID!J281/VLOOKUP($B281,표2[#ALL],2)/HLOOKUP($A281,표1[#ALL],row(),false)</f>
        <v>#N/A</v>
      </c>
      <c r="K281" s="376" t="str">
        <f>CS_PID!K281/VLOOKUP($B281,표2[#ALL],2)/HLOOKUP($A281,표1[#ALL],row(),false)</f>
        <v>#N/A</v>
      </c>
      <c r="L281" s="376" t="str">
        <f>CS_PID!L281/VLOOKUP($B281,표2[#ALL],2)/HLOOKUP($A281,표1[#ALL],row(),false)</f>
        <v>#N/A</v>
      </c>
      <c r="M281" s="376" t="str">
        <f>CS_PID!M281/VLOOKUP($B281,표2[#ALL],2)/HLOOKUP($A281,표1[#ALL],row(),false)</f>
        <v>#N/A</v>
      </c>
      <c r="N281" s="376" t="str">
        <f>CS_PID!N281/VLOOKUP($B281,표2[#ALL],2)/HLOOKUP($A281,표1[#ALL],row(),false)</f>
        <v>#N/A</v>
      </c>
      <c r="O281" s="376" t="str">
        <f>CS_PID!O281/VLOOKUP($B281,표2[#ALL],2)/HLOOKUP($A281,표1[#ALL],row(),false)</f>
        <v>#N/A</v>
      </c>
      <c r="P281" s="376" t="str">
        <f>CS_PID!P281/VLOOKUP($B281,표2[#ALL],2)/HLOOKUP($A281,표1[#ALL],row(),false)</f>
        <v>#N/A</v>
      </c>
      <c r="Q281" s="376" t="str">
        <f>CS_PID!Q281/VLOOKUP($B281,표2[#ALL],2)/HLOOKUP($A281,표1[#ALL],row(),false)</f>
        <v>#N/A</v>
      </c>
      <c r="R281" s="376" t="str">
        <f>CS_PID!R281/VLOOKUP($B281,표2[#ALL],2)/HLOOKUP($A281,표1[#ALL],row(),false)</f>
        <v>#N/A</v>
      </c>
      <c r="S281" s="376" t="str">
        <f>CS_PID!S281/VLOOKUP($B281,표2[#ALL],2)/HLOOKUP($A281,표1[#ALL],row(),false)</f>
        <v>#N/A</v>
      </c>
      <c r="T281" s="376" t="str">
        <f>CS_PID!T281/VLOOKUP($B281,표2[#ALL],2)/HLOOKUP($A281,표1[#ALL],row(),false)</f>
        <v>#N/A</v>
      </c>
      <c r="U281" s="376" t="str">
        <f>CS_PID!U281/VLOOKUP($B281,표2[#ALL],2)/HLOOKUP($A281,표1[#ALL],row(),false)</f>
        <v>#N/A</v>
      </c>
      <c r="V281" s="376" t="str">
        <f>CS_PID!V281/VLOOKUP($B281,표2[#ALL],2)/HLOOKUP($A281,표1[#ALL],row(),false)</f>
        <v>#N/A</v>
      </c>
      <c r="W281" s="376" t="str">
        <f>CS_PID!W281/VLOOKUP($B281,표2[#ALL],2)/HLOOKUP($A281,표1[#ALL],row(),false)</f>
        <v>#N/A</v>
      </c>
      <c r="X281" s="376" t="str">
        <f>CS_PID!X281/VLOOKUP($B281,표2[#ALL],2)/HLOOKUP($A281,표1[#ALL],row(),false)</f>
        <v>#N/A</v>
      </c>
      <c r="Y281" s="376" t="str">
        <f>CS_PID!Y281/VLOOKUP($B281,표2[#ALL],2)/HLOOKUP($A281,표1[#ALL],row(),false)</f>
        <v>#N/A</v>
      </c>
      <c r="Z281" s="376" t="str">
        <f>CS_PID!Z281/VLOOKUP($B281,표2[#ALL],2)/HLOOKUP($A281,표1[#ALL],row(),false)</f>
        <v>#N/A</v>
      </c>
      <c r="AA281" s="376" t="str">
        <f>CS_PID!AA281/VLOOKUP($B281,표2[#ALL],2)/HLOOKUP($A281,표1[#ALL],row(),false)</f>
        <v>#N/A</v>
      </c>
      <c r="AB281" s="376" t="str">
        <f>CS_PID!AB281/VLOOKUP($B281,표2[#ALL],2)/HLOOKUP($A281,표1[#ALL],row(),false)</f>
        <v>#N/A</v>
      </c>
      <c r="AC281" s="376" t="str">
        <f>CS_PID!AC281/VLOOKUP($B281,표2[#ALL],2)/HLOOKUP($A281,표1[#ALL],row(),false)</f>
        <v>#N/A</v>
      </c>
      <c r="AD281" s="376" t="str">
        <f>CS_PID!AD281/VLOOKUP($B281,표2[#ALL],2)/HLOOKUP($A281,표1[#ALL],row(),false)</f>
        <v>#N/A</v>
      </c>
      <c r="AE281" s="376" t="str">
        <f>CS_PID!AE281/VLOOKUP($B281,표2[#ALL],2)/HLOOKUP($A281,표1[#ALL],row(),false)</f>
        <v>#N/A</v>
      </c>
      <c r="AF281" s="376" t="str">
        <f>CS_PID!AF281/VLOOKUP($B281,표2[#ALL],2)/HLOOKUP($A281,표1[#ALL],row(),false)</f>
        <v>#N/A</v>
      </c>
      <c r="AG281" s="376" t="str">
        <f>CS_PID!AG281/VLOOKUP($B281,표2[#ALL],2)/HLOOKUP($A281,표1[#ALL],row(),false)</f>
        <v>#N/A</v>
      </c>
      <c r="AH281" s="376" t="str">
        <f>CS_PID!AH281/VLOOKUP($B281,표2[#ALL],2)/HLOOKUP($A281,표1[#ALL],row(),false)</f>
        <v>#N/A</v>
      </c>
      <c r="AI281" s="376" t="str">
        <f>CS_PID!AI281/VLOOKUP($B281,표2[#ALL],2)/HLOOKUP($A281,표1[#ALL],row(),false)</f>
        <v>#N/A</v>
      </c>
      <c r="AJ281" s="376" t="str">
        <f>CS_PID!AJ281/VLOOKUP($B281,표2[#ALL],2)/HLOOKUP($A281,표1[#ALL],row(),false)</f>
        <v>#N/A</v>
      </c>
      <c r="AK281" s="376" t="str">
        <f>CS_PID!AK281/VLOOKUP($B281,표2[#ALL],2)/HLOOKUP($A281,표1[#ALL],row(),false)</f>
        <v>#N/A</v>
      </c>
      <c r="AL281" s="376" t="str">
        <f>CS_PID!AL281/VLOOKUP($B281,표2[#ALL],2)/HLOOKUP($A281,표1[#ALL],row(),false)</f>
        <v>#N/A</v>
      </c>
      <c r="AM281" s="376" t="str">
        <f>CS_PID!AM281/VLOOKUP($B281,표2[#ALL],2)/HLOOKUP($A281,표1[#ALL],row(),false)</f>
        <v>#N/A</v>
      </c>
      <c r="AN281" s="376" t="str">
        <f>CS_PID!AN281/VLOOKUP($B281,표2[#ALL],2)/HLOOKUP($A281,표1[#ALL],row(),false)</f>
        <v>#N/A</v>
      </c>
      <c r="AO281" s="376" t="str">
        <f>CS_PID!AO281/VLOOKUP($B281,표2[#ALL],2)/HLOOKUP($A281,표1[#ALL],row(),false)</f>
        <v>#N/A</v>
      </c>
      <c r="AP281" s="376" t="str">
        <f>CS_PID!AP281/VLOOKUP($B281,표2[#ALL],2)/HLOOKUP($A281,표1[#ALL],row(),false)</f>
        <v>#N/A</v>
      </c>
      <c r="AQ281" s="376" t="str">
        <f>CS_PID!AQ281/VLOOKUP($B281,표2[#ALL],2)/HLOOKUP($A281,표1[#ALL],row(),false)</f>
        <v>#N/A</v>
      </c>
      <c r="AR281" s="376" t="str">
        <f>CS_PID!AR281/VLOOKUP($B281,표2[#ALL],2)/HLOOKUP($A281,표1[#ALL],row(),false)</f>
        <v>#N/A</v>
      </c>
      <c r="AS281" s="377" t="str">
        <f>CS_PID!AS281/VLOOKUP($B281,표2[#ALL],2)/HLOOKUP($A281,표1[#ALL],row(),false)</f>
        <v>#N/A</v>
      </c>
    </row>
    <row r="282">
      <c r="A282" s="370"/>
      <c r="B282" s="371"/>
      <c r="C282" s="372" t="str">
        <f>CS_PID!C282/VLOOKUP($B282,표2[#ALL],2)</f>
        <v>#N/A</v>
      </c>
      <c r="D282" s="372" t="str">
        <f>CS_PID!D282/VLOOKUP($B282,표2[#ALL],2)</f>
        <v>#N/A</v>
      </c>
      <c r="E282" s="372" t="str">
        <f>CS_PID!E282/VLOOKUP($B282,표2[#ALL],2)</f>
        <v>#N/A</v>
      </c>
      <c r="F282" s="372" t="str">
        <f>CS_PID!F282/VLOOKUP($B282,표2[#ALL],2)</f>
        <v>#N/A</v>
      </c>
      <c r="G282" s="372" t="str">
        <f>CS_PID!G282/VLOOKUP($B282,표2[#ALL],2)</f>
        <v>#N/A</v>
      </c>
      <c r="H282" s="372" t="str">
        <f>CS_PID!H282/VLOOKUP($B282,표2[#ALL],2)/HLOOKUP($A282,표1[#ALL],row(),false)</f>
        <v>#N/A</v>
      </c>
      <c r="I282" s="372" t="str">
        <f>CS_PID!I282/VLOOKUP($B282,표2[#ALL],2)/HLOOKUP($A282,표1[#ALL],row(),false)</f>
        <v>#N/A</v>
      </c>
      <c r="J282" s="372" t="str">
        <f>CS_PID!J282/VLOOKUP($B282,표2[#ALL],2)/HLOOKUP($A282,표1[#ALL],row(),false)</f>
        <v>#N/A</v>
      </c>
      <c r="K282" s="372" t="str">
        <f>CS_PID!K282/VLOOKUP($B282,표2[#ALL],2)/HLOOKUP($A282,표1[#ALL],row(),false)</f>
        <v>#N/A</v>
      </c>
      <c r="L282" s="372" t="str">
        <f>CS_PID!L282/VLOOKUP($B282,표2[#ALL],2)/HLOOKUP($A282,표1[#ALL],row(),false)</f>
        <v>#N/A</v>
      </c>
      <c r="M282" s="372" t="str">
        <f>CS_PID!M282/VLOOKUP($B282,표2[#ALL],2)/HLOOKUP($A282,표1[#ALL],row(),false)</f>
        <v>#N/A</v>
      </c>
      <c r="N282" s="372" t="str">
        <f>CS_PID!N282/VLOOKUP($B282,표2[#ALL],2)/HLOOKUP($A282,표1[#ALL],row(),false)</f>
        <v>#N/A</v>
      </c>
      <c r="O282" s="372" t="str">
        <f>CS_PID!O282/VLOOKUP($B282,표2[#ALL],2)/HLOOKUP($A282,표1[#ALL],row(),false)</f>
        <v>#N/A</v>
      </c>
      <c r="P282" s="372" t="str">
        <f>CS_PID!P282/VLOOKUP($B282,표2[#ALL],2)/HLOOKUP($A282,표1[#ALL],row(),false)</f>
        <v>#N/A</v>
      </c>
      <c r="Q282" s="372" t="str">
        <f>CS_PID!Q282/VLOOKUP($B282,표2[#ALL],2)/HLOOKUP($A282,표1[#ALL],row(),false)</f>
        <v>#N/A</v>
      </c>
      <c r="R282" s="372" t="str">
        <f>CS_PID!R282/VLOOKUP($B282,표2[#ALL],2)/HLOOKUP($A282,표1[#ALL],row(),false)</f>
        <v>#N/A</v>
      </c>
      <c r="S282" s="372" t="str">
        <f>CS_PID!S282/VLOOKUP($B282,표2[#ALL],2)/HLOOKUP($A282,표1[#ALL],row(),false)</f>
        <v>#N/A</v>
      </c>
      <c r="T282" s="372" t="str">
        <f>CS_PID!T282/VLOOKUP($B282,표2[#ALL],2)/HLOOKUP($A282,표1[#ALL],row(),false)</f>
        <v>#N/A</v>
      </c>
      <c r="U282" s="372" t="str">
        <f>CS_PID!U282/VLOOKUP($B282,표2[#ALL],2)/HLOOKUP($A282,표1[#ALL],row(),false)</f>
        <v>#N/A</v>
      </c>
      <c r="V282" s="372" t="str">
        <f>CS_PID!V282/VLOOKUP($B282,표2[#ALL],2)/HLOOKUP($A282,표1[#ALL],row(),false)</f>
        <v>#N/A</v>
      </c>
      <c r="W282" s="372" t="str">
        <f>CS_PID!W282/VLOOKUP($B282,표2[#ALL],2)/HLOOKUP($A282,표1[#ALL],row(),false)</f>
        <v>#N/A</v>
      </c>
      <c r="X282" s="372" t="str">
        <f>CS_PID!X282/VLOOKUP($B282,표2[#ALL],2)/HLOOKUP($A282,표1[#ALL],row(),false)</f>
        <v>#N/A</v>
      </c>
      <c r="Y282" s="372" t="str">
        <f>CS_PID!Y282/VLOOKUP($B282,표2[#ALL],2)/HLOOKUP($A282,표1[#ALL],row(),false)</f>
        <v>#N/A</v>
      </c>
      <c r="Z282" s="372" t="str">
        <f>CS_PID!Z282/VLOOKUP($B282,표2[#ALL],2)/HLOOKUP($A282,표1[#ALL],row(),false)</f>
        <v>#N/A</v>
      </c>
      <c r="AA282" s="372" t="str">
        <f>CS_PID!AA282/VLOOKUP($B282,표2[#ALL],2)/HLOOKUP($A282,표1[#ALL],row(),false)</f>
        <v>#N/A</v>
      </c>
      <c r="AB282" s="372" t="str">
        <f>CS_PID!AB282/VLOOKUP($B282,표2[#ALL],2)/HLOOKUP($A282,표1[#ALL],row(),false)</f>
        <v>#N/A</v>
      </c>
      <c r="AC282" s="372" t="str">
        <f>CS_PID!AC282/VLOOKUP($B282,표2[#ALL],2)/HLOOKUP($A282,표1[#ALL],row(),false)</f>
        <v>#N/A</v>
      </c>
      <c r="AD282" s="372" t="str">
        <f>CS_PID!AD282/VLOOKUP($B282,표2[#ALL],2)/HLOOKUP($A282,표1[#ALL],row(),false)</f>
        <v>#N/A</v>
      </c>
      <c r="AE282" s="372" t="str">
        <f>CS_PID!AE282/VLOOKUP($B282,표2[#ALL],2)/HLOOKUP($A282,표1[#ALL],row(),false)</f>
        <v>#N/A</v>
      </c>
      <c r="AF282" s="372" t="str">
        <f>CS_PID!AF282/VLOOKUP($B282,표2[#ALL],2)/HLOOKUP($A282,표1[#ALL],row(),false)</f>
        <v>#N/A</v>
      </c>
      <c r="AG282" s="372" t="str">
        <f>CS_PID!AG282/VLOOKUP($B282,표2[#ALL],2)/HLOOKUP($A282,표1[#ALL],row(),false)</f>
        <v>#N/A</v>
      </c>
      <c r="AH282" s="372" t="str">
        <f>CS_PID!AH282/VLOOKUP($B282,표2[#ALL],2)/HLOOKUP($A282,표1[#ALL],row(),false)</f>
        <v>#N/A</v>
      </c>
      <c r="AI282" s="372" t="str">
        <f>CS_PID!AI282/VLOOKUP($B282,표2[#ALL],2)/HLOOKUP($A282,표1[#ALL],row(),false)</f>
        <v>#N/A</v>
      </c>
      <c r="AJ282" s="372" t="str">
        <f>CS_PID!AJ282/VLOOKUP($B282,표2[#ALL],2)/HLOOKUP($A282,표1[#ALL],row(),false)</f>
        <v>#N/A</v>
      </c>
      <c r="AK282" s="372" t="str">
        <f>CS_PID!AK282/VLOOKUP($B282,표2[#ALL],2)/HLOOKUP($A282,표1[#ALL],row(),false)</f>
        <v>#N/A</v>
      </c>
      <c r="AL282" s="372" t="str">
        <f>CS_PID!AL282/VLOOKUP($B282,표2[#ALL],2)/HLOOKUP($A282,표1[#ALL],row(),false)</f>
        <v>#N/A</v>
      </c>
      <c r="AM282" s="372" t="str">
        <f>CS_PID!AM282/VLOOKUP($B282,표2[#ALL],2)/HLOOKUP($A282,표1[#ALL],row(),false)</f>
        <v>#N/A</v>
      </c>
      <c r="AN282" s="372" t="str">
        <f>CS_PID!AN282/VLOOKUP($B282,표2[#ALL],2)/HLOOKUP($A282,표1[#ALL],row(),false)</f>
        <v>#N/A</v>
      </c>
      <c r="AO282" s="372" t="str">
        <f>CS_PID!AO282/VLOOKUP($B282,표2[#ALL],2)/HLOOKUP($A282,표1[#ALL],row(),false)</f>
        <v>#N/A</v>
      </c>
      <c r="AP282" s="372" t="str">
        <f>CS_PID!AP282/VLOOKUP($B282,표2[#ALL],2)/HLOOKUP($A282,표1[#ALL],row(),false)</f>
        <v>#N/A</v>
      </c>
      <c r="AQ282" s="372" t="str">
        <f>CS_PID!AQ282/VLOOKUP($B282,표2[#ALL],2)/HLOOKUP($A282,표1[#ALL],row(),false)</f>
        <v>#N/A</v>
      </c>
      <c r="AR282" s="372" t="str">
        <f>CS_PID!AR282/VLOOKUP($B282,표2[#ALL],2)/HLOOKUP($A282,표1[#ALL],row(),false)</f>
        <v>#N/A</v>
      </c>
      <c r="AS282" s="373" t="str">
        <f>CS_PID!AS282/VLOOKUP($B282,표2[#ALL],2)/HLOOKUP($A282,표1[#ALL],row(),false)</f>
        <v>#N/A</v>
      </c>
    </row>
    <row r="283">
      <c r="A283" s="374"/>
      <c r="B283" s="375"/>
      <c r="C283" s="376" t="str">
        <f>CS_PID!C283/VLOOKUP($B283,표2[#ALL],2)</f>
        <v>#N/A</v>
      </c>
      <c r="D283" s="376" t="str">
        <f>CS_PID!D283/VLOOKUP($B283,표2[#ALL],2)</f>
        <v>#N/A</v>
      </c>
      <c r="E283" s="376" t="str">
        <f>CS_PID!E283/VLOOKUP($B283,표2[#ALL],2)</f>
        <v>#N/A</v>
      </c>
      <c r="F283" s="376" t="str">
        <f>CS_PID!F283/VLOOKUP($B283,표2[#ALL],2)</f>
        <v>#N/A</v>
      </c>
      <c r="G283" s="376" t="str">
        <f>CS_PID!G283/VLOOKUP($B283,표2[#ALL],2)</f>
        <v>#N/A</v>
      </c>
      <c r="H283" s="376" t="str">
        <f>CS_PID!H283/VLOOKUP($B283,표2[#ALL],2)/HLOOKUP($A283,표1[#ALL],row(),false)</f>
        <v>#N/A</v>
      </c>
      <c r="I283" s="376" t="str">
        <f>CS_PID!I283/VLOOKUP($B283,표2[#ALL],2)/HLOOKUP($A283,표1[#ALL],row(),false)</f>
        <v>#N/A</v>
      </c>
      <c r="J283" s="376" t="str">
        <f>CS_PID!J283/VLOOKUP($B283,표2[#ALL],2)/HLOOKUP($A283,표1[#ALL],row(),false)</f>
        <v>#N/A</v>
      </c>
      <c r="K283" s="376" t="str">
        <f>CS_PID!K283/VLOOKUP($B283,표2[#ALL],2)/HLOOKUP($A283,표1[#ALL],row(),false)</f>
        <v>#N/A</v>
      </c>
      <c r="L283" s="376" t="str">
        <f>CS_PID!L283/VLOOKUP($B283,표2[#ALL],2)/HLOOKUP($A283,표1[#ALL],row(),false)</f>
        <v>#N/A</v>
      </c>
      <c r="M283" s="376" t="str">
        <f>CS_PID!M283/VLOOKUP($B283,표2[#ALL],2)/HLOOKUP($A283,표1[#ALL],row(),false)</f>
        <v>#N/A</v>
      </c>
      <c r="N283" s="376" t="str">
        <f>CS_PID!N283/VLOOKUP($B283,표2[#ALL],2)/HLOOKUP($A283,표1[#ALL],row(),false)</f>
        <v>#N/A</v>
      </c>
      <c r="O283" s="376" t="str">
        <f>CS_PID!O283/VLOOKUP($B283,표2[#ALL],2)/HLOOKUP($A283,표1[#ALL],row(),false)</f>
        <v>#N/A</v>
      </c>
      <c r="P283" s="376" t="str">
        <f>CS_PID!P283/VLOOKUP($B283,표2[#ALL],2)/HLOOKUP($A283,표1[#ALL],row(),false)</f>
        <v>#N/A</v>
      </c>
      <c r="Q283" s="376" t="str">
        <f>CS_PID!Q283/VLOOKUP($B283,표2[#ALL],2)/HLOOKUP($A283,표1[#ALL],row(),false)</f>
        <v>#N/A</v>
      </c>
      <c r="R283" s="376" t="str">
        <f>CS_PID!R283/VLOOKUP($B283,표2[#ALL],2)/HLOOKUP($A283,표1[#ALL],row(),false)</f>
        <v>#N/A</v>
      </c>
      <c r="S283" s="376" t="str">
        <f>CS_PID!S283/VLOOKUP($B283,표2[#ALL],2)/HLOOKUP($A283,표1[#ALL],row(),false)</f>
        <v>#N/A</v>
      </c>
      <c r="T283" s="376" t="str">
        <f>CS_PID!T283/VLOOKUP($B283,표2[#ALL],2)/HLOOKUP($A283,표1[#ALL],row(),false)</f>
        <v>#N/A</v>
      </c>
      <c r="U283" s="376" t="str">
        <f>CS_PID!U283/VLOOKUP($B283,표2[#ALL],2)/HLOOKUP($A283,표1[#ALL],row(),false)</f>
        <v>#N/A</v>
      </c>
      <c r="V283" s="376" t="str">
        <f>CS_PID!V283/VLOOKUP($B283,표2[#ALL],2)/HLOOKUP($A283,표1[#ALL],row(),false)</f>
        <v>#N/A</v>
      </c>
      <c r="W283" s="376" t="str">
        <f>CS_PID!W283/VLOOKUP($B283,표2[#ALL],2)/HLOOKUP($A283,표1[#ALL],row(),false)</f>
        <v>#N/A</v>
      </c>
      <c r="X283" s="376" t="str">
        <f>CS_PID!X283/VLOOKUP($B283,표2[#ALL],2)/HLOOKUP($A283,표1[#ALL],row(),false)</f>
        <v>#N/A</v>
      </c>
      <c r="Y283" s="376" t="str">
        <f>CS_PID!Y283/VLOOKUP($B283,표2[#ALL],2)/HLOOKUP($A283,표1[#ALL],row(),false)</f>
        <v>#N/A</v>
      </c>
      <c r="Z283" s="376" t="str">
        <f>CS_PID!Z283/VLOOKUP($B283,표2[#ALL],2)/HLOOKUP($A283,표1[#ALL],row(),false)</f>
        <v>#N/A</v>
      </c>
      <c r="AA283" s="376" t="str">
        <f>CS_PID!AA283/VLOOKUP($B283,표2[#ALL],2)/HLOOKUP($A283,표1[#ALL],row(),false)</f>
        <v>#N/A</v>
      </c>
      <c r="AB283" s="376" t="str">
        <f>CS_PID!AB283/VLOOKUP($B283,표2[#ALL],2)/HLOOKUP($A283,표1[#ALL],row(),false)</f>
        <v>#N/A</v>
      </c>
      <c r="AC283" s="376" t="str">
        <f>CS_PID!AC283/VLOOKUP($B283,표2[#ALL],2)/HLOOKUP($A283,표1[#ALL],row(),false)</f>
        <v>#N/A</v>
      </c>
      <c r="AD283" s="376" t="str">
        <f>CS_PID!AD283/VLOOKUP($B283,표2[#ALL],2)/HLOOKUP($A283,표1[#ALL],row(),false)</f>
        <v>#N/A</v>
      </c>
      <c r="AE283" s="376" t="str">
        <f>CS_PID!AE283/VLOOKUP($B283,표2[#ALL],2)/HLOOKUP($A283,표1[#ALL],row(),false)</f>
        <v>#N/A</v>
      </c>
      <c r="AF283" s="376" t="str">
        <f>CS_PID!AF283/VLOOKUP($B283,표2[#ALL],2)/HLOOKUP($A283,표1[#ALL],row(),false)</f>
        <v>#N/A</v>
      </c>
      <c r="AG283" s="376" t="str">
        <f>CS_PID!AG283/VLOOKUP($B283,표2[#ALL],2)/HLOOKUP($A283,표1[#ALL],row(),false)</f>
        <v>#N/A</v>
      </c>
      <c r="AH283" s="376" t="str">
        <f>CS_PID!AH283/VLOOKUP($B283,표2[#ALL],2)/HLOOKUP($A283,표1[#ALL],row(),false)</f>
        <v>#N/A</v>
      </c>
      <c r="AI283" s="376" t="str">
        <f>CS_PID!AI283/VLOOKUP($B283,표2[#ALL],2)/HLOOKUP($A283,표1[#ALL],row(),false)</f>
        <v>#N/A</v>
      </c>
      <c r="AJ283" s="376" t="str">
        <f>CS_PID!AJ283/VLOOKUP($B283,표2[#ALL],2)/HLOOKUP($A283,표1[#ALL],row(),false)</f>
        <v>#N/A</v>
      </c>
      <c r="AK283" s="376" t="str">
        <f>CS_PID!AK283/VLOOKUP($B283,표2[#ALL],2)/HLOOKUP($A283,표1[#ALL],row(),false)</f>
        <v>#N/A</v>
      </c>
      <c r="AL283" s="376" t="str">
        <f>CS_PID!AL283/VLOOKUP($B283,표2[#ALL],2)/HLOOKUP($A283,표1[#ALL],row(),false)</f>
        <v>#N/A</v>
      </c>
      <c r="AM283" s="376" t="str">
        <f>CS_PID!AM283/VLOOKUP($B283,표2[#ALL],2)/HLOOKUP($A283,표1[#ALL],row(),false)</f>
        <v>#N/A</v>
      </c>
      <c r="AN283" s="376" t="str">
        <f>CS_PID!AN283/VLOOKUP($B283,표2[#ALL],2)/HLOOKUP($A283,표1[#ALL],row(),false)</f>
        <v>#N/A</v>
      </c>
      <c r="AO283" s="376" t="str">
        <f>CS_PID!AO283/VLOOKUP($B283,표2[#ALL],2)/HLOOKUP($A283,표1[#ALL],row(),false)</f>
        <v>#N/A</v>
      </c>
      <c r="AP283" s="376" t="str">
        <f>CS_PID!AP283/VLOOKUP($B283,표2[#ALL],2)/HLOOKUP($A283,표1[#ALL],row(),false)</f>
        <v>#N/A</v>
      </c>
      <c r="AQ283" s="376" t="str">
        <f>CS_PID!AQ283/VLOOKUP($B283,표2[#ALL],2)/HLOOKUP($A283,표1[#ALL],row(),false)</f>
        <v>#N/A</v>
      </c>
      <c r="AR283" s="376" t="str">
        <f>CS_PID!AR283/VLOOKUP($B283,표2[#ALL],2)/HLOOKUP($A283,표1[#ALL],row(),false)</f>
        <v>#N/A</v>
      </c>
      <c r="AS283" s="377" t="str">
        <f>CS_PID!AS283/VLOOKUP($B283,표2[#ALL],2)/HLOOKUP($A283,표1[#ALL],row(),false)</f>
        <v>#N/A</v>
      </c>
    </row>
    <row r="284">
      <c r="A284" s="370"/>
      <c r="B284" s="371"/>
      <c r="C284" s="372" t="str">
        <f>CS_PID!C284/VLOOKUP($B284,표2[#ALL],2)</f>
        <v>#N/A</v>
      </c>
      <c r="D284" s="372" t="str">
        <f>CS_PID!D284/VLOOKUP($B284,표2[#ALL],2)</f>
        <v>#N/A</v>
      </c>
      <c r="E284" s="372" t="str">
        <f>CS_PID!E284/VLOOKUP($B284,표2[#ALL],2)</f>
        <v>#N/A</v>
      </c>
      <c r="F284" s="372" t="str">
        <f>CS_PID!F284/VLOOKUP($B284,표2[#ALL],2)</f>
        <v>#N/A</v>
      </c>
      <c r="G284" s="372" t="str">
        <f>CS_PID!G284/VLOOKUP($B284,표2[#ALL],2)</f>
        <v>#N/A</v>
      </c>
      <c r="H284" s="372" t="str">
        <f>CS_PID!H284/VLOOKUP($B284,표2[#ALL],2)/HLOOKUP($A284,표1[#ALL],row(),false)</f>
        <v>#N/A</v>
      </c>
      <c r="I284" s="372" t="str">
        <f>CS_PID!I284/VLOOKUP($B284,표2[#ALL],2)/HLOOKUP($A284,표1[#ALL],row(),false)</f>
        <v>#N/A</v>
      </c>
      <c r="J284" s="372" t="str">
        <f>CS_PID!J284/VLOOKUP($B284,표2[#ALL],2)/HLOOKUP($A284,표1[#ALL],row(),false)</f>
        <v>#N/A</v>
      </c>
      <c r="K284" s="372" t="str">
        <f>CS_PID!K284/VLOOKUP($B284,표2[#ALL],2)/HLOOKUP($A284,표1[#ALL],row(),false)</f>
        <v>#N/A</v>
      </c>
      <c r="L284" s="372" t="str">
        <f>CS_PID!L284/VLOOKUP($B284,표2[#ALL],2)/HLOOKUP($A284,표1[#ALL],row(),false)</f>
        <v>#N/A</v>
      </c>
      <c r="M284" s="372" t="str">
        <f>CS_PID!M284/VLOOKUP($B284,표2[#ALL],2)/HLOOKUP($A284,표1[#ALL],row(),false)</f>
        <v>#N/A</v>
      </c>
      <c r="N284" s="372" t="str">
        <f>CS_PID!N284/VLOOKUP($B284,표2[#ALL],2)/HLOOKUP($A284,표1[#ALL],row(),false)</f>
        <v>#N/A</v>
      </c>
      <c r="O284" s="372" t="str">
        <f>CS_PID!O284/VLOOKUP($B284,표2[#ALL],2)/HLOOKUP($A284,표1[#ALL],row(),false)</f>
        <v>#N/A</v>
      </c>
      <c r="P284" s="372" t="str">
        <f>CS_PID!P284/VLOOKUP($B284,표2[#ALL],2)/HLOOKUP($A284,표1[#ALL],row(),false)</f>
        <v>#N/A</v>
      </c>
      <c r="Q284" s="372" t="str">
        <f>CS_PID!Q284/VLOOKUP($B284,표2[#ALL],2)/HLOOKUP($A284,표1[#ALL],row(),false)</f>
        <v>#N/A</v>
      </c>
      <c r="R284" s="372" t="str">
        <f>CS_PID!R284/VLOOKUP($B284,표2[#ALL],2)/HLOOKUP($A284,표1[#ALL],row(),false)</f>
        <v>#N/A</v>
      </c>
      <c r="S284" s="372" t="str">
        <f>CS_PID!S284/VLOOKUP($B284,표2[#ALL],2)/HLOOKUP($A284,표1[#ALL],row(),false)</f>
        <v>#N/A</v>
      </c>
      <c r="T284" s="372" t="str">
        <f>CS_PID!T284/VLOOKUP($B284,표2[#ALL],2)/HLOOKUP($A284,표1[#ALL],row(),false)</f>
        <v>#N/A</v>
      </c>
      <c r="U284" s="372" t="str">
        <f>CS_PID!U284/VLOOKUP($B284,표2[#ALL],2)/HLOOKUP($A284,표1[#ALL],row(),false)</f>
        <v>#N/A</v>
      </c>
      <c r="V284" s="372" t="str">
        <f>CS_PID!V284/VLOOKUP($B284,표2[#ALL],2)/HLOOKUP($A284,표1[#ALL],row(),false)</f>
        <v>#N/A</v>
      </c>
      <c r="W284" s="372" t="str">
        <f>CS_PID!W284/VLOOKUP($B284,표2[#ALL],2)/HLOOKUP($A284,표1[#ALL],row(),false)</f>
        <v>#N/A</v>
      </c>
      <c r="X284" s="372" t="str">
        <f>CS_PID!X284/VLOOKUP($B284,표2[#ALL],2)/HLOOKUP($A284,표1[#ALL],row(),false)</f>
        <v>#N/A</v>
      </c>
      <c r="Y284" s="372" t="str">
        <f>CS_PID!Y284/VLOOKUP($B284,표2[#ALL],2)/HLOOKUP($A284,표1[#ALL],row(),false)</f>
        <v>#N/A</v>
      </c>
      <c r="Z284" s="372" t="str">
        <f>CS_PID!Z284/VLOOKUP($B284,표2[#ALL],2)/HLOOKUP($A284,표1[#ALL],row(),false)</f>
        <v>#N/A</v>
      </c>
      <c r="AA284" s="372" t="str">
        <f>CS_PID!AA284/VLOOKUP($B284,표2[#ALL],2)/HLOOKUP($A284,표1[#ALL],row(),false)</f>
        <v>#N/A</v>
      </c>
      <c r="AB284" s="372" t="str">
        <f>CS_PID!AB284/VLOOKUP($B284,표2[#ALL],2)/HLOOKUP($A284,표1[#ALL],row(),false)</f>
        <v>#N/A</v>
      </c>
      <c r="AC284" s="372" t="str">
        <f>CS_PID!AC284/VLOOKUP($B284,표2[#ALL],2)/HLOOKUP($A284,표1[#ALL],row(),false)</f>
        <v>#N/A</v>
      </c>
      <c r="AD284" s="372" t="str">
        <f>CS_PID!AD284/VLOOKUP($B284,표2[#ALL],2)/HLOOKUP($A284,표1[#ALL],row(),false)</f>
        <v>#N/A</v>
      </c>
      <c r="AE284" s="372" t="str">
        <f>CS_PID!AE284/VLOOKUP($B284,표2[#ALL],2)/HLOOKUP($A284,표1[#ALL],row(),false)</f>
        <v>#N/A</v>
      </c>
      <c r="AF284" s="372" t="str">
        <f>CS_PID!AF284/VLOOKUP($B284,표2[#ALL],2)/HLOOKUP($A284,표1[#ALL],row(),false)</f>
        <v>#N/A</v>
      </c>
      <c r="AG284" s="372" t="str">
        <f>CS_PID!AG284/VLOOKUP($B284,표2[#ALL],2)/HLOOKUP($A284,표1[#ALL],row(),false)</f>
        <v>#N/A</v>
      </c>
      <c r="AH284" s="372" t="str">
        <f>CS_PID!AH284/VLOOKUP($B284,표2[#ALL],2)/HLOOKUP($A284,표1[#ALL],row(),false)</f>
        <v>#N/A</v>
      </c>
      <c r="AI284" s="372" t="str">
        <f>CS_PID!AI284/VLOOKUP($B284,표2[#ALL],2)/HLOOKUP($A284,표1[#ALL],row(),false)</f>
        <v>#N/A</v>
      </c>
      <c r="AJ284" s="372" t="str">
        <f>CS_PID!AJ284/VLOOKUP($B284,표2[#ALL],2)/HLOOKUP($A284,표1[#ALL],row(),false)</f>
        <v>#N/A</v>
      </c>
      <c r="AK284" s="372" t="str">
        <f>CS_PID!AK284/VLOOKUP($B284,표2[#ALL],2)/HLOOKUP($A284,표1[#ALL],row(),false)</f>
        <v>#N/A</v>
      </c>
      <c r="AL284" s="372" t="str">
        <f>CS_PID!AL284/VLOOKUP($B284,표2[#ALL],2)/HLOOKUP($A284,표1[#ALL],row(),false)</f>
        <v>#N/A</v>
      </c>
      <c r="AM284" s="372" t="str">
        <f>CS_PID!AM284/VLOOKUP($B284,표2[#ALL],2)/HLOOKUP($A284,표1[#ALL],row(),false)</f>
        <v>#N/A</v>
      </c>
      <c r="AN284" s="372" t="str">
        <f>CS_PID!AN284/VLOOKUP($B284,표2[#ALL],2)/HLOOKUP($A284,표1[#ALL],row(),false)</f>
        <v>#N/A</v>
      </c>
      <c r="AO284" s="372" t="str">
        <f>CS_PID!AO284/VLOOKUP($B284,표2[#ALL],2)/HLOOKUP($A284,표1[#ALL],row(),false)</f>
        <v>#N/A</v>
      </c>
      <c r="AP284" s="372" t="str">
        <f>CS_PID!AP284/VLOOKUP($B284,표2[#ALL],2)/HLOOKUP($A284,표1[#ALL],row(),false)</f>
        <v>#N/A</v>
      </c>
      <c r="AQ284" s="372" t="str">
        <f>CS_PID!AQ284/VLOOKUP($B284,표2[#ALL],2)/HLOOKUP($A284,표1[#ALL],row(),false)</f>
        <v>#N/A</v>
      </c>
      <c r="AR284" s="372" t="str">
        <f>CS_PID!AR284/VLOOKUP($B284,표2[#ALL],2)/HLOOKUP($A284,표1[#ALL],row(),false)</f>
        <v>#N/A</v>
      </c>
      <c r="AS284" s="373" t="str">
        <f>CS_PID!AS284/VLOOKUP($B284,표2[#ALL],2)/HLOOKUP($A284,표1[#ALL],row(),false)</f>
        <v>#N/A</v>
      </c>
    </row>
    <row r="285">
      <c r="A285" s="374"/>
      <c r="B285" s="375"/>
      <c r="C285" s="376" t="str">
        <f>CS_PID!C285/VLOOKUP($B285,표2[#ALL],2)</f>
        <v>#N/A</v>
      </c>
      <c r="D285" s="376" t="str">
        <f>CS_PID!D285/VLOOKUP($B285,표2[#ALL],2)</f>
        <v>#N/A</v>
      </c>
      <c r="E285" s="376" t="str">
        <f>CS_PID!E285/VLOOKUP($B285,표2[#ALL],2)</f>
        <v>#N/A</v>
      </c>
      <c r="F285" s="376" t="str">
        <f>CS_PID!F285/VLOOKUP($B285,표2[#ALL],2)</f>
        <v>#N/A</v>
      </c>
      <c r="G285" s="376" t="str">
        <f>CS_PID!G285/VLOOKUP($B285,표2[#ALL],2)</f>
        <v>#N/A</v>
      </c>
      <c r="H285" s="376" t="str">
        <f>CS_PID!H285/VLOOKUP($B285,표2[#ALL],2)/HLOOKUP($A285,표1[#ALL],row(),false)</f>
        <v>#N/A</v>
      </c>
      <c r="I285" s="376" t="str">
        <f>CS_PID!I285/VLOOKUP($B285,표2[#ALL],2)/HLOOKUP($A285,표1[#ALL],row(),false)</f>
        <v>#N/A</v>
      </c>
      <c r="J285" s="376" t="str">
        <f>CS_PID!J285/VLOOKUP($B285,표2[#ALL],2)/HLOOKUP($A285,표1[#ALL],row(),false)</f>
        <v>#N/A</v>
      </c>
      <c r="K285" s="376" t="str">
        <f>CS_PID!K285/VLOOKUP($B285,표2[#ALL],2)/HLOOKUP($A285,표1[#ALL],row(),false)</f>
        <v>#N/A</v>
      </c>
      <c r="L285" s="376" t="str">
        <f>CS_PID!L285/VLOOKUP($B285,표2[#ALL],2)/HLOOKUP($A285,표1[#ALL],row(),false)</f>
        <v>#N/A</v>
      </c>
      <c r="M285" s="376" t="str">
        <f>CS_PID!M285/VLOOKUP($B285,표2[#ALL],2)/HLOOKUP($A285,표1[#ALL],row(),false)</f>
        <v>#N/A</v>
      </c>
      <c r="N285" s="376" t="str">
        <f>CS_PID!N285/VLOOKUP($B285,표2[#ALL],2)/HLOOKUP($A285,표1[#ALL],row(),false)</f>
        <v>#N/A</v>
      </c>
      <c r="O285" s="376" t="str">
        <f>CS_PID!O285/VLOOKUP($B285,표2[#ALL],2)/HLOOKUP($A285,표1[#ALL],row(),false)</f>
        <v>#N/A</v>
      </c>
      <c r="P285" s="376" t="str">
        <f>CS_PID!P285/VLOOKUP($B285,표2[#ALL],2)/HLOOKUP($A285,표1[#ALL],row(),false)</f>
        <v>#N/A</v>
      </c>
      <c r="Q285" s="376" t="str">
        <f>CS_PID!Q285/VLOOKUP($B285,표2[#ALL],2)/HLOOKUP($A285,표1[#ALL],row(),false)</f>
        <v>#N/A</v>
      </c>
      <c r="R285" s="376" t="str">
        <f>CS_PID!R285/VLOOKUP($B285,표2[#ALL],2)/HLOOKUP($A285,표1[#ALL],row(),false)</f>
        <v>#N/A</v>
      </c>
      <c r="S285" s="376" t="str">
        <f>CS_PID!S285/VLOOKUP($B285,표2[#ALL],2)/HLOOKUP($A285,표1[#ALL],row(),false)</f>
        <v>#N/A</v>
      </c>
      <c r="T285" s="376" t="str">
        <f>CS_PID!T285/VLOOKUP($B285,표2[#ALL],2)/HLOOKUP($A285,표1[#ALL],row(),false)</f>
        <v>#N/A</v>
      </c>
      <c r="U285" s="376" t="str">
        <f>CS_PID!U285/VLOOKUP($B285,표2[#ALL],2)/HLOOKUP($A285,표1[#ALL],row(),false)</f>
        <v>#N/A</v>
      </c>
      <c r="V285" s="376" t="str">
        <f>CS_PID!V285/VLOOKUP($B285,표2[#ALL],2)/HLOOKUP($A285,표1[#ALL],row(),false)</f>
        <v>#N/A</v>
      </c>
      <c r="W285" s="376" t="str">
        <f>CS_PID!W285/VLOOKUP($B285,표2[#ALL],2)/HLOOKUP($A285,표1[#ALL],row(),false)</f>
        <v>#N/A</v>
      </c>
      <c r="X285" s="376" t="str">
        <f>CS_PID!X285/VLOOKUP($B285,표2[#ALL],2)/HLOOKUP($A285,표1[#ALL],row(),false)</f>
        <v>#N/A</v>
      </c>
      <c r="Y285" s="376" t="str">
        <f>CS_PID!Y285/VLOOKUP($B285,표2[#ALL],2)/HLOOKUP($A285,표1[#ALL],row(),false)</f>
        <v>#N/A</v>
      </c>
      <c r="Z285" s="376" t="str">
        <f>CS_PID!Z285/VLOOKUP($B285,표2[#ALL],2)/HLOOKUP($A285,표1[#ALL],row(),false)</f>
        <v>#N/A</v>
      </c>
      <c r="AA285" s="376" t="str">
        <f>CS_PID!AA285/VLOOKUP($B285,표2[#ALL],2)/HLOOKUP($A285,표1[#ALL],row(),false)</f>
        <v>#N/A</v>
      </c>
      <c r="AB285" s="376" t="str">
        <f>CS_PID!AB285/VLOOKUP($B285,표2[#ALL],2)/HLOOKUP($A285,표1[#ALL],row(),false)</f>
        <v>#N/A</v>
      </c>
      <c r="AC285" s="376" t="str">
        <f>CS_PID!AC285/VLOOKUP($B285,표2[#ALL],2)/HLOOKUP($A285,표1[#ALL],row(),false)</f>
        <v>#N/A</v>
      </c>
      <c r="AD285" s="376" t="str">
        <f>CS_PID!AD285/VLOOKUP($B285,표2[#ALL],2)/HLOOKUP($A285,표1[#ALL],row(),false)</f>
        <v>#N/A</v>
      </c>
      <c r="AE285" s="376" t="str">
        <f>CS_PID!AE285/VLOOKUP($B285,표2[#ALL],2)/HLOOKUP($A285,표1[#ALL],row(),false)</f>
        <v>#N/A</v>
      </c>
      <c r="AF285" s="376" t="str">
        <f>CS_PID!AF285/VLOOKUP($B285,표2[#ALL],2)/HLOOKUP($A285,표1[#ALL],row(),false)</f>
        <v>#N/A</v>
      </c>
      <c r="AG285" s="376" t="str">
        <f>CS_PID!AG285/VLOOKUP($B285,표2[#ALL],2)/HLOOKUP($A285,표1[#ALL],row(),false)</f>
        <v>#N/A</v>
      </c>
      <c r="AH285" s="376" t="str">
        <f>CS_PID!AH285/VLOOKUP($B285,표2[#ALL],2)/HLOOKUP($A285,표1[#ALL],row(),false)</f>
        <v>#N/A</v>
      </c>
      <c r="AI285" s="376" t="str">
        <f>CS_PID!AI285/VLOOKUP($B285,표2[#ALL],2)/HLOOKUP($A285,표1[#ALL],row(),false)</f>
        <v>#N/A</v>
      </c>
      <c r="AJ285" s="376" t="str">
        <f>CS_PID!AJ285/VLOOKUP($B285,표2[#ALL],2)/HLOOKUP($A285,표1[#ALL],row(),false)</f>
        <v>#N/A</v>
      </c>
      <c r="AK285" s="376" t="str">
        <f>CS_PID!AK285/VLOOKUP($B285,표2[#ALL],2)/HLOOKUP($A285,표1[#ALL],row(),false)</f>
        <v>#N/A</v>
      </c>
      <c r="AL285" s="376" t="str">
        <f>CS_PID!AL285/VLOOKUP($B285,표2[#ALL],2)/HLOOKUP($A285,표1[#ALL],row(),false)</f>
        <v>#N/A</v>
      </c>
      <c r="AM285" s="376" t="str">
        <f>CS_PID!AM285/VLOOKUP($B285,표2[#ALL],2)/HLOOKUP($A285,표1[#ALL],row(),false)</f>
        <v>#N/A</v>
      </c>
      <c r="AN285" s="376" t="str">
        <f>CS_PID!AN285/VLOOKUP($B285,표2[#ALL],2)/HLOOKUP($A285,표1[#ALL],row(),false)</f>
        <v>#N/A</v>
      </c>
      <c r="AO285" s="376" t="str">
        <f>CS_PID!AO285/VLOOKUP($B285,표2[#ALL],2)/HLOOKUP($A285,표1[#ALL],row(),false)</f>
        <v>#N/A</v>
      </c>
      <c r="AP285" s="376" t="str">
        <f>CS_PID!AP285/VLOOKUP($B285,표2[#ALL],2)/HLOOKUP($A285,표1[#ALL],row(),false)</f>
        <v>#N/A</v>
      </c>
      <c r="AQ285" s="376" t="str">
        <f>CS_PID!AQ285/VLOOKUP($B285,표2[#ALL],2)/HLOOKUP($A285,표1[#ALL],row(),false)</f>
        <v>#N/A</v>
      </c>
      <c r="AR285" s="376" t="str">
        <f>CS_PID!AR285/VLOOKUP($B285,표2[#ALL],2)/HLOOKUP($A285,표1[#ALL],row(),false)</f>
        <v>#N/A</v>
      </c>
      <c r="AS285" s="377" t="str">
        <f>CS_PID!AS285/VLOOKUP($B285,표2[#ALL],2)/HLOOKUP($A285,표1[#ALL],row(),false)</f>
        <v>#N/A</v>
      </c>
    </row>
    <row r="286">
      <c r="A286" s="370"/>
      <c r="B286" s="371"/>
      <c r="C286" s="372" t="str">
        <f>CS_PID!C286/VLOOKUP($B286,표2[#ALL],2)</f>
        <v>#N/A</v>
      </c>
      <c r="D286" s="372" t="str">
        <f>CS_PID!D286/VLOOKUP($B286,표2[#ALL],2)</f>
        <v>#N/A</v>
      </c>
      <c r="E286" s="372" t="str">
        <f>CS_PID!E286/VLOOKUP($B286,표2[#ALL],2)</f>
        <v>#N/A</v>
      </c>
      <c r="F286" s="372" t="str">
        <f>CS_PID!F286/VLOOKUP($B286,표2[#ALL],2)</f>
        <v>#N/A</v>
      </c>
      <c r="G286" s="372" t="str">
        <f>CS_PID!G286/VLOOKUP($B286,표2[#ALL],2)</f>
        <v>#N/A</v>
      </c>
      <c r="H286" s="372" t="str">
        <f>CS_PID!H286/VLOOKUP($B286,표2[#ALL],2)/HLOOKUP($A286,표1[#ALL],row(),false)</f>
        <v>#N/A</v>
      </c>
      <c r="I286" s="372" t="str">
        <f>CS_PID!I286/VLOOKUP($B286,표2[#ALL],2)/HLOOKUP($A286,표1[#ALL],row(),false)</f>
        <v>#N/A</v>
      </c>
      <c r="J286" s="372" t="str">
        <f>CS_PID!J286/VLOOKUP($B286,표2[#ALL],2)/HLOOKUP($A286,표1[#ALL],row(),false)</f>
        <v>#N/A</v>
      </c>
      <c r="K286" s="372" t="str">
        <f>CS_PID!K286/VLOOKUP($B286,표2[#ALL],2)/HLOOKUP($A286,표1[#ALL],row(),false)</f>
        <v>#N/A</v>
      </c>
      <c r="L286" s="372" t="str">
        <f>CS_PID!L286/VLOOKUP($B286,표2[#ALL],2)/HLOOKUP($A286,표1[#ALL],row(),false)</f>
        <v>#N/A</v>
      </c>
      <c r="M286" s="372" t="str">
        <f>CS_PID!M286/VLOOKUP($B286,표2[#ALL],2)/HLOOKUP($A286,표1[#ALL],row(),false)</f>
        <v>#N/A</v>
      </c>
      <c r="N286" s="372" t="str">
        <f>CS_PID!N286/VLOOKUP($B286,표2[#ALL],2)/HLOOKUP($A286,표1[#ALL],row(),false)</f>
        <v>#N/A</v>
      </c>
      <c r="O286" s="372" t="str">
        <f>CS_PID!O286/VLOOKUP($B286,표2[#ALL],2)/HLOOKUP($A286,표1[#ALL],row(),false)</f>
        <v>#N/A</v>
      </c>
      <c r="P286" s="372" t="str">
        <f>CS_PID!P286/VLOOKUP($B286,표2[#ALL],2)/HLOOKUP($A286,표1[#ALL],row(),false)</f>
        <v>#N/A</v>
      </c>
      <c r="Q286" s="372" t="str">
        <f>CS_PID!Q286/VLOOKUP($B286,표2[#ALL],2)/HLOOKUP($A286,표1[#ALL],row(),false)</f>
        <v>#N/A</v>
      </c>
      <c r="R286" s="372" t="str">
        <f>CS_PID!R286/VLOOKUP($B286,표2[#ALL],2)/HLOOKUP($A286,표1[#ALL],row(),false)</f>
        <v>#N/A</v>
      </c>
      <c r="S286" s="372" t="str">
        <f>CS_PID!S286/VLOOKUP($B286,표2[#ALL],2)/HLOOKUP($A286,표1[#ALL],row(),false)</f>
        <v>#N/A</v>
      </c>
      <c r="T286" s="372" t="str">
        <f>CS_PID!T286/VLOOKUP($B286,표2[#ALL],2)/HLOOKUP($A286,표1[#ALL],row(),false)</f>
        <v>#N/A</v>
      </c>
      <c r="U286" s="372" t="str">
        <f>CS_PID!U286/VLOOKUP($B286,표2[#ALL],2)/HLOOKUP($A286,표1[#ALL],row(),false)</f>
        <v>#N/A</v>
      </c>
      <c r="V286" s="372" t="str">
        <f>CS_PID!V286/VLOOKUP($B286,표2[#ALL],2)/HLOOKUP($A286,표1[#ALL],row(),false)</f>
        <v>#N/A</v>
      </c>
      <c r="W286" s="372" t="str">
        <f>CS_PID!W286/VLOOKUP($B286,표2[#ALL],2)/HLOOKUP($A286,표1[#ALL],row(),false)</f>
        <v>#N/A</v>
      </c>
      <c r="X286" s="372" t="str">
        <f>CS_PID!X286/VLOOKUP($B286,표2[#ALL],2)/HLOOKUP($A286,표1[#ALL],row(),false)</f>
        <v>#N/A</v>
      </c>
      <c r="Y286" s="372" t="str">
        <f>CS_PID!Y286/VLOOKUP($B286,표2[#ALL],2)/HLOOKUP($A286,표1[#ALL],row(),false)</f>
        <v>#N/A</v>
      </c>
      <c r="Z286" s="372" t="str">
        <f>CS_PID!Z286/VLOOKUP($B286,표2[#ALL],2)/HLOOKUP($A286,표1[#ALL],row(),false)</f>
        <v>#N/A</v>
      </c>
      <c r="AA286" s="372" t="str">
        <f>CS_PID!AA286/VLOOKUP($B286,표2[#ALL],2)/HLOOKUP($A286,표1[#ALL],row(),false)</f>
        <v>#N/A</v>
      </c>
      <c r="AB286" s="372" t="str">
        <f>CS_PID!AB286/VLOOKUP($B286,표2[#ALL],2)/HLOOKUP($A286,표1[#ALL],row(),false)</f>
        <v>#N/A</v>
      </c>
      <c r="AC286" s="372" t="str">
        <f>CS_PID!AC286/VLOOKUP($B286,표2[#ALL],2)/HLOOKUP($A286,표1[#ALL],row(),false)</f>
        <v>#N/A</v>
      </c>
      <c r="AD286" s="372" t="str">
        <f>CS_PID!AD286/VLOOKUP($B286,표2[#ALL],2)/HLOOKUP($A286,표1[#ALL],row(),false)</f>
        <v>#N/A</v>
      </c>
      <c r="AE286" s="372" t="str">
        <f>CS_PID!AE286/VLOOKUP($B286,표2[#ALL],2)/HLOOKUP($A286,표1[#ALL],row(),false)</f>
        <v>#N/A</v>
      </c>
      <c r="AF286" s="372" t="str">
        <f>CS_PID!AF286/VLOOKUP($B286,표2[#ALL],2)/HLOOKUP($A286,표1[#ALL],row(),false)</f>
        <v>#N/A</v>
      </c>
      <c r="AG286" s="372" t="str">
        <f>CS_PID!AG286/VLOOKUP($B286,표2[#ALL],2)/HLOOKUP($A286,표1[#ALL],row(),false)</f>
        <v>#N/A</v>
      </c>
      <c r="AH286" s="372" t="str">
        <f>CS_PID!AH286/VLOOKUP($B286,표2[#ALL],2)/HLOOKUP($A286,표1[#ALL],row(),false)</f>
        <v>#N/A</v>
      </c>
      <c r="AI286" s="372" t="str">
        <f>CS_PID!AI286/VLOOKUP($B286,표2[#ALL],2)/HLOOKUP($A286,표1[#ALL],row(),false)</f>
        <v>#N/A</v>
      </c>
      <c r="AJ286" s="372" t="str">
        <f>CS_PID!AJ286/VLOOKUP($B286,표2[#ALL],2)/HLOOKUP($A286,표1[#ALL],row(),false)</f>
        <v>#N/A</v>
      </c>
      <c r="AK286" s="372" t="str">
        <f>CS_PID!AK286/VLOOKUP($B286,표2[#ALL],2)/HLOOKUP($A286,표1[#ALL],row(),false)</f>
        <v>#N/A</v>
      </c>
      <c r="AL286" s="372" t="str">
        <f>CS_PID!AL286/VLOOKUP($B286,표2[#ALL],2)/HLOOKUP($A286,표1[#ALL],row(),false)</f>
        <v>#N/A</v>
      </c>
      <c r="AM286" s="372" t="str">
        <f>CS_PID!AM286/VLOOKUP($B286,표2[#ALL],2)/HLOOKUP($A286,표1[#ALL],row(),false)</f>
        <v>#N/A</v>
      </c>
      <c r="AN286" s="372" t="str">
        <f>CS_PID!AN286/VLOOKUP($B286,표2[#ALL],2)/HLOOKUP($A286,표1[#ALL],row(),false)</f>
        <v>#N/A</v>
      </c>
      <c r="AO286" s="372" t="str">
        <f>CS_PID!AO286/VLOOKUP($B286,표2[#ALL],2)/HLOOKUP($A286,표1[#ALL],row(),false)</f>
        <v>#N/A</v>
      </c>
      <c r="AP286" s="372" t="str">
        <f>CS_PID!AP286/VLOOKUP($B286,표2[#ALL],2)/HLOOKUP($A286,표1[#ALL],row(),false)</f>
        <v>#N/A</v>
      </c>
      <c r="AQ286" s="372" t="str">
        <f>CS_PID!AQ286/VLOOKUP($B286,표2[#ALL],2)/HLOOKUP($A286,표1[#ALL],row(),false)</f>
        <v>#N/A</v>
      </c>
      <c r="AR286" s="372" t="str">
        <f>CS_PID!AR286/VLOOKUP($B286,표2[#ALL],2)/HLOOKUP($A286,표1[#ALL],row(),false)</f>
        <v>#N/A</v>
      </c>
      <c r="AS286" s="373" t="str">
        <f>CS_PID!AS286/VLOOKUP($B286,표2[#ALL],2)/HLOOKUP($A286,표1[#ALL],row(),false)</f>
        <v>#N/A</v>
      </c>
    </row>
    <row r="287">
      <c r="A287" s="374"/>
      <c r="B287" s="375"/>
      <c r="C287" s="376" t="str">
        <f>CS_PID!C287/VLOOKUP($B287,표2[#ALL],2)</f>
        <v>#N/A</v>
      </c>
      <c r="D287" s="376" t="str">
        <f>CS_PID!D287/VLOOKUP($B287,표2[#ALL],2)</f>
        <v>#N/A</v>
      </c>
      <c r="E287" s="376" t="str">
        <f>CS_PID!E287/VLOOKUP($B287,표2[#ALL],2)</f>
        <v>#N/A</v>
      </c>
      <c r="F287" s="376" t="str">
        <f>CS_PID!F287/VLOOKUP($B287,표2[#ALL],2)</f>
        <v>#N/A</v>
      </c>
      <c r="G287" s="376" t="str">
        <f>CS_PID!G287/VLOOKUP($B287,표2[#ALL],2)</f>
        <v>#N/A</v>
      </c>
      <c r="H287" s="376" t="str">
        <f>CS_PID!H287/VLOOKUP($B287,표2[#ALL],2)/HLOOKUP($A287,표1[#ALL],row(),false)</f>
        <v>#N/A</v>
      </c>
      <c r="I287" s="376" t="str">
        <f>CS_PID!I287/VLOOKUP($B287,표2[#ALL],2)/HLOOKUP($A287,표1[#ALL],row(),false)</f>
        <v>#N/A</v>
      </c>
      <c r="J287" s="376" t="str">
        <f>CS_PID!J287/VLOOKUP($B287,표2[#ALL],2)/HLOOKUP($A287,표1[#ALL],row(),false)</f>
        <v>#N/A</v>
      </c>
      <c r="K287" s="376" t="str">
        <f>CS_PID!K287/VLOOKUP($B287,표2[#ALL],2)/HLOOKUP($A287,표1[#ALL],row(),false)</f>
        <v>#N/A</v>
      </c>
      <c r="L287" s="376" t="str">
        <f>CS_PID!L287/VLOOKUP($B287,표2[#ALL],2)/HLOOKUP($A287,표1[#ALL],row(),false)</f>
        <v>#N/A</v>
      </c>
      <c r="M287" s="376" t="str">
        <f>CS_PID!M287/VLOOKUP($B287,표2[#ALL],2)/HLOOKUP($A287,표1[#ALL],row(),false)</f>
        <v>#N/A</v>
      </c>
      <c r="N287" s="376" t="str">
        <f>CS_PID!N287/VLOOKUP($B287,표2[#ALL],2)/HLOOKUP($A287,표1[#ALL],row(),false)</f>
        <v>#N/A</v>
      </c>
      <c r="O287" s="376" t="str">
        <f>CS_PID!O287/VLOOKUP($B287,표2[#ALL],2)/HLOOKUP($A287,표1[#ALL],row(),false)</f>
        <v>#N/A</v>
      </c>
      <c r="P287" s="376" t="str">
        <f>CS_PID!P287/VLOOKUP($B287,표2[#ALL],2)/HLOOKUP($A287,표1[#ALL],row(),false)</f>
        <v>#N/A</v>
      </c>
      <c r="Q287" s="376" t="str">
        <f>CS_PID!Q287/VLOOKUP($B287,표2[#ALL],2)/HLOOKUP($A287,표1[#ALL],row(),false)</f>
        <v>#N/A</v>
      </c>
      <c r="R287" s="376" t="str">
        <f>CS_PID!R287/VLOOKUP($B287,표2[#ALL],2)/HLOOKUP($A287,표1[#ALL],row(),false)</f>
        <v>#N/A</v>
      </c>
      <c r="S287" s="376" t="str">
        <f>CS_PID!S287/VLOOKUP($B287,표2[#ALL],2)/HLOOKUP($A287,표1[#ALL],row(),false)</f>
        <v>#N/A</v>
      </c>
      <c r="T287" s="376" t="str">
        <f>CS_PID!T287/VLOOKUP($B287,표2[#ALL],2)/HLOOKUP($A287,표1[#ALL],row(),false)</f>
        <v>#N/A</v>
      </c>
      <c r="U287" s="376" t="str">
        <f>CS_PID!U287/VLOOKUP($B287,표2[#ALL],2)/HLOOKUP($A287,표1[#ALL],row(),false)</f>
        <v>#N/A</v>
      </c>
      <c r="V287" s="376" t="str">
        <f>CS_PID!V287/VLOOKUP($B287,표2[#ALL],2)/HLOOKUP($A287,표1[#ALL],row(),false)</f>
        <v>#N/A</v>
      </c>
      <c r="W287" s="376" t="str">
        <f>CS_PID!W287/VLOOKUP($B287,표2[#ALL],2)/HLOOKUP($A287,표1[#ALL],row(),false)</f>
        <v>#N/A</v>
      </c>
      <c r="X287" s="376" t="str">
        <f>CS_PID!X287/VLOOKUP($B287,표2[#ALL],2)/HLOOKUP($A287,표1[#ALL],row(),false)</f>
        <v>#N/A</v>
      </c>
      <c r="Y287" s="376" t="str">
        <f>CS_PID!Y287/VLOOKUP($B287,표2[#ALL],2)/HLOOKUP($A287,표1[#ALL],row(),false)</f>
        <v>#N/A</v>
      </c>
      <c r="Z287" s="376" t="str">
        <f>CS_PID!Z287/VLOOKUP($B287,표2[#ALL],2)/HLOOKUP($A287,표1[#ALL],row(),false)</f>
        <v>#N/A</v>
      </c>
      <c r="AA287" s="376" t="str">
        <f>CS_PID!AA287/VLOOKUP($B287,표2[#ALL],2)/HLOOKUP($A287,표1[#ALL],row(),false)</f>
        <v>#N/A</v>
      </c>
      <c r="AB287" s="376" t="str">
        <f>CS_PID!AB287/VLOOKUP($B287,표2[#ALL],2)/HLOOKUP($A287,표1[#ALL],row(),false)</f>
        <v>#N/A</v>
      </c>
      <c r="AC287" s="376" t="str">
        <f>CS_PID!AC287/VLOOKUP($B287,표2[#ALL],2)/HLOOKUP($A287,표1[#ALL],row(),false)</f>
        <v>#N/A</v>
      </c>
      <c r="AD287" s="376" t="str">
        <f>CS_PID!AD287/VLOOKUP($B287,표2[#ALL],2)/HLOOKUP($A287,표1[#ALL],row(),false)</f>
        <v>#N/A</v>
      </c>
      <c r="AE287" s="376" t="str">
        <f>CS_PID!AE287/VLOOKUP($B287,표2[#ALL],2)/HLOOKUP($A287,표1[#ALL],row(),false)</f>
        <v>#N/A</v>
      </c>
      <c r="AF287" s="376" t="str">
        <f>CS_PID!AF287/VLOOKUP($B287,표2[#ALL],2)/HLOOKUP($A287,표1[#ALL],row(),false)</f>
        <v>#N/A</v>
      </c>
      <c r="AG287" s="376" t="str">
        <f>CS_PID!AG287/VLOOKUP($B287,표2[#ALL],2)/HLOOKUP($A287,표1[#ALL],row(),false)</f>
        <v>#N/A</v>
      </c>
      <c r="AH287" s="376" t="str">
        <f>CS_PID!AH287/VLOOKUP($B287,표2[#ALL],2)/HLOOKUP($A287,표1[#ALL],row(),false)</f>
        <v>#N/A</v>
      </c>
      <c r="AI287" s="376" t="str">
        <f>CS_PID!AI287/VLOOKUP($B287,표2[#ALL],2)/HLOOKUP($A287,표1[#ALL],row(),false)</f>
        <v>#N/A</v>
      </c>
      <c r="AJ287" s="376" t="str">
        <f>CS_PID!AJ287/VLOOKUP($B287,표2[#ALL],2)/HLOOKUP($A287,표1[#ALL],row(),false)</f>
        <v>#N/A</v>
      </c>
      <c r="AK287" s="376" t="str">
        <f>CS_PID!AK287/VLOOKUP($B287,표2[#ALL],2)/HLOOKUP($A287,표1[#ALL],row(),false)</f>
        <v>#N/A</v>
      </c>
      <c r="AL287" s="376" t="str">
        <f>CS_PID!AL287/VLOOKUP($B287,표2[#ALL],2)/HLOOKUP($A287,표1[#ALL],row(),false)</f>
        <v>#N/A</v>
      </c>
      <c r="AM287" s="376" t="str">
        <f>CS_PID!AM287/VLOOKUP($B287,표2[#ALL],2)/HLOOKUP($A287,표1[#ALL],row(),false)</f>
        <v>#N/A</v>
      </c>
      <c r="AN287" s="376" t="str">
        <f>CS_PID!AN287/VLOOKUP($B287,표2[#ALL],2)/HLOOKUP($A287,표1[#ALL],row(),false)</f>
        <v>#N/A</v>
      </c>
      <c r="AO287" s="376" t="str">
        <f>CS_PID!AO287/VLOOKUP($B287,표2[#ALL],2)/HLOOKUP($A287,표1[#ALL],row(),false)</f>
        <v>#N/A</v>
      </c>
      <c r="AP287" s="376" t="str">
        <f>CS_PID!AP287/VLOOKUP($B287,표2[#ALL],2)/HLOOKUP($A287,표1[#ALL],row(),false)</f>
        <v>#N/A</v>
      </c>
      <c r="AQ287" s="376" t="str">
        <f>CS_PID!AQ287/VLOOKUP($B287,표2[#ALL],2)/HLOOKUP($A287,표1[#ALL],row(),false)</f>
        <v>#N/A</v>
      </c>
      <c r="AR287" s="376" t="str">
        <f>CS_PID!AR287/VLOOKUP($B287,표2[#ALL],2)/HLOOKUP($A287,표1[#ALL],row(),false)</f>
        <v>#N/A</v>
      </c>
      <c r="AS287" s="377" t="str">
        <f>CS_PID!AS287/VLOOKUP($B287,표2[#ALL],2)/HLOOKUP($A287,표1[#ALL],row(),false)</f>
        <v>#N/A</v>
      </c>
    </row>
    <row r="288">
      <c r="A288" s="370"/>
      <c r="B288" s="371"/>
      <c r="C288" s="372" t="str">
        <f>CS_PID!C288/VLOOKUP($B288,표2[#ALL],2)</f>
        <v>#N/A</v>
      </c>
      <c r="D288" s="372" t="str">
        <f>CS_PID!D288/VLOOKUP($B288,표2[#ALL],2)</f>
        <v>#N/A</v>
      </c>
      <c r="E288" s="372" t="str">
        <f>CS_PID!E288/VLOOKUP($B288,표2[#ALL],2)</f>
        <v>#N/A</v>
      </c>
      <c r="F288" s="372" t="str">
        <f>CS_PID!F288/VLOOKUP($B288,표2[#ALL],2)</f>
        <v>#N/A</v>
      </c>
      <c r="G288" s="372" t="str">
        <f>CS_PID!G288/VLOOKUP($B288,표2[#ALL],2)</f>
        <v>#N/A</v>
      </c>
      <c r="H288" s="372" t="str">
        <f>CS_PID!H288/VLOOKUP($B288,표2[#ALL],2)/HLOOKUP($A288,표1[#ALL],row(),false)</f>
        <v>#N/A</v>
      </c>
      <c r="I288" s="372" t="str">
        <f>CS_PID!I288/VLOOKUP($B288,표2[#ALL],2)/HLOOKUP($A288,표1[#ALL],row(),false)</f>
        <v>#N/A</v>
      </c>
      <c r="J288" s="372" t="str">
        <f>CS_PID!J288/VLOOKUP($B288,표2[#ALL],2)/HLOOKUP($A288,표1[#ALL],row(),false)</f>
        <v>#N/A</v>
      </c>
      <c r="K288" s="372" t="str">
        <f>CS_PID!K288/VLOOKUP($B288,표2[#ALL],2)/HLOOKUP($A288,표1[#ALL],row(),false)</f>
        <v>#N/A</v>
      </c>
      <c r="L288" s="372" t="str">
        <f>CS_PID!L288/VLOOKUP($B288,표2[#ALL],2)/HLOOKUP($A288,표1[#ALL],row(),false)</f>
        <v>#N/A</v>
      </c>
      <c r="M288" s="372" t="str">
        <f>CS_PID!M288/VLOOKUP($B288,표2[#ALL],2)/HLOOKUP($A288,표1[#ALL],row(),false)</f>
        <v>#N/A</v>
      </c>
      <c r="N288" s="372" t="str">
        <f>CS_PID!N288/VLOOKUP($B288,표2[#ALL],2)/HLOOKUP($A288,표1[#ALL],row(),false)</f>
        <v>#N/A</v>
      </c>
      <c r="O288" s="372" t="str">
        <f>CS_PID!O288/VLOOKUP($B288,표2[#ALL],2)/HLOOKUP($A288,표1[#ALL],row(),false)</f>
        <v>#N/A</v>
      </c>
      <c r="P288" s="372" t="str">
        <f>CS_PID!P288/VLOOKUP($B288,표2[#ALL],2)/HLOOKUP($A288,표1[#ALL],row(),false)</f>
        <v>#N/A</v>
      </c>
      <c r="Q288" s="372" t="str">
        <f>CS_PID!Q288/VLOOKUP($B288,표2[#ALL],2)/HLOOKUP($A288,표1[#ALL],row(),false)</f>
        <v>#N/A</v>
      </c>
      <c r="R288" s="372" t="str">
        <f>CS_PID!R288/VLOOKUP($B288,표2[#ALL],2)/HLOOKUP($A288,표1[#ALL],row(),false)</f>
        <v>#N/A</v>
      </c>
      <c r="S288" s="372" t="str">
        <f>CS_PID!S288/VLOOKUP($B288,표2[#ALL],2)/HLOOKUP($A288,표1[#ALL],row(),false)</f>
        <v>#N/A</v>
      </c>
      <c r="T288" s="372" t="str">
        <f>CS_PID!T288/VLOOKUP($B288,표2[#ALL],2)/HLOOKUP($A288,표1[#ALL],row(),false)</f>
        <v>#N/A</v>
      </c>
      <c r="U288" s="372" t="str">
        <f>CS_PID!U288/VLOOKUP($B288,표2[#ALL],2)/HLOOKUP($A288,표1[#ALL],row(),false)</f>
        <v>#N/A</v>
      </c>
      <c r="V288" s="372" t="str">
        <f>CS_PID!V288/VLOOKUP($B288,표2[#ALL],2)/HLOOKUP($A288,표1[#ALL],row(),false)</f>
        <v>#N/A</v>
      </c>
      <c r="W288" s="372" t="str">
        <f>CS_PID!W288/VLOOKUP($B288,표2[#ALL],2)/HLOOKUP($A288,표1[#ALL],row(),false)</f>
        <v>#N/A</v>
      </c>
      <c r="X288" s="372" t="str">
        <f>CS_PID!X288/VLOOKUP($B288,표2[#ALL],2)/HLOOKUP($A288,표1[#ALL],row(),false)</f>
        <v>#N/A</v>
      </c>
      <c r="Y288" s="372" t="str">
        <f>CS_PID!Y288/VLOOKUP($B288,표2[#ALL],2)/HLOOKUP($A288,표1[#ALL],row(),false)</f>
        <v>#N/A</v>
      </c>
      <c r="Z288" s="372" t="str">
        <f>CS_PID!Z288/VLOOKUP($B288,표2[#ALL],2)/HLOOKUP($A288,표1[#ALL],row(),false)</f>
        <v>#N/A</v>
      </c>
      <c r="AA288" s="372" t="str">
        <f>CS_PID!AA288/VLOOKUP($B288,표2[#ALL],2)/HLOOKUP($A288,표1[#ALL],row(),false)</f>
        <v>#N/A</v>
      </c>
      <c r="AB288" s="372" t="str">
        <f>CS_PID!AB288/VLOOKUP($B288,표2[#ALL],2)/HLOOKUP($A288,표1[#ALL],row(),false)</f>
        <v>#N/A</v>
      </c>
      <c r="AC288" s="372" t="str">
        <f>CS_PID!AC288/VLOOKUP($B288,표2[#ALL],2)/HLOOKUP($A288,표1[#ALL],row(),false)</f>
        <v>#N/A</v>
      </c>
      <c r="AD288" s="372" t="str">
        <f>CS_PID!AD288/VLOOKUP($B288,표2[#ALL],2)/HLOOKUP($A288,표1[#ALL],row(),false)</f>
        <v>#N/A</v>
      </c>
      <c r="AE288" s="372" t="str">
        <f>CS_PID!AE288/VLOOKUP($B288,표2[#ALL],2)/HLOOKUP($A288,표1[#ALL],row(),false)</f>
        <v>#N/A</v>
      </c>
      <c r="AF288" s="372" t="str">
        <f>CS_PID!AF288/VLOOKUP($B288,표2[#ALL],2)/HLOOKUP($A288,표1[#ALL],row(),false)</f>
        <v>#N/A</v>
      </c>
      <c r="AG288" s="372" t="str">
        <f>CS_PID!AG288/VLOOKUP($B288,표2[#ALL],2)/HLOOKUP($A288,표1[#ALL],row(),false)</f>
        <v>#N/A</v>
      </c>
      <c r="AH288" s="372" t="str">
        <f>CS_PID!AH288/VLOOKUP($B288,표2[#ALL],2)/HLOOKUP($A288,표1[#ALL],row(),false)</f>
        <v>#N/A</v>
      </c>
      <c r="AI288" s="372" t="str">
        <f>CS_PID!AI288/VLOOKUP($B288,표2[#ALL],2)/HLOOKUP($A288,표1[#ALL],row(),false)</f>
        <v>#N/A</v>
      </c>
      <c r="AJ288" s="372" t="str">
        <f>CS_PID!AJ288/VLOOKUP($B288,표2[#ALL],2)/HLOOKUP($A288,표1[#ALL],row(),false)</f>
        <v>#N/A</v>
      </c>
      <c r="AK288" s="372" t="str">
        <f>CS_PID!AK288/VLOOKUP($B288,표2[#ALL],2)/HLOOKUP($A288,표1[#ALL],row(),false)</f>
        <v>#N/A</v>
      </c>
      <c r="AL288" s="372" t="str">
        <f>CS_PID!AL288/VLOOKUP($B288,표2[#ALL],2)/HLOOKUP($A288,표1[#ALL],row(),false)</f>
        <v>#N/A</v>
      </c>
      <c r="AM288" s="372" t="str">
        <f>CS_PID!AM288/VLOOKUP($B288,표2[#ALL],2)/HLOOKUP($A288,표1[#ALL],row(),false)</f>
        <v>#N/A</v>
      </c>
      <c r="AN288" s="372" t="str">
        <f>CS_PID!AN288/VLOOKUP($B288,표2[#ALL],2)/HLOOKUP($A288,표1[#ALL],row(),false)</f>
        <v>#N/A</v>
      </c>
      <c r="AO288" s="372" t="str">
        <f>CS_PID!AO288/VLOOKUP($B288,표2[#ALL],2)/HLOOKUP($A288,표1[#ALL],row(),false)</f>
        <v>#N/A</v>
      </c>
      <c r="AP288" s="372" t="str">
        <f>CS_PID!AP288/VLOOKUP($B288,표2[#ALL],2)/HLOOKUP($A288,표1[#ALL],row(),false)</f>
        <v>#N/A</v>
      </c>
      <c r="AQ288" s="372" t="str">
        <f>CS_PID!AQ288/VLOOKUP($B288,표2[#ALL],2)/HLOOKUP($A288,표1[#ALL],row(),false)</f>
        <v>#N/A</v>
      </c>
      <c r="AR288" s="372" t="str">
        <f>CS_PID!AR288/VLOOKUP($B288,표2[#ALL],2)/HLOOKUP($A288,표1[#ALL],row(),false)</f>
        <v>#N/A</v>
      </c>
      <c r="AS288" s="373" t="str">
        <f>CS_PID!AS288/VLOOKUP($B288,표2[#ALL],2)/HLOOKUP($A288,표1[#ALL],row(),false)</f>
        <v>#N/A</v>
      </c>
    </row>
    <row r="289">
      <c r="A289" s="374"/>
      <c r="B289" s="375"/>
      <c r="C289" s="376" t="str">
        <f>CS_PID!C289/VLOOKUP($B289,표2[#ALL],2)</f>
        <v>#N/A</v>
      </c>
      <c r="D289" s="376" t="str">
        <f>CS_PID!D289/VLOOKUP($B289,표2[#ALL],2)</f>
        <v>#N/A</v>
      </c>
      <c r="E289" s="376" t="str">
        <f>CS_PID!E289/VLOOKUP($B289,표2[#ALL],2)</f>
        <v>#N/A</v>
      </c>
      <c r="F289" s="376" t="str">
        <f>CS_PID!F289/VLOOKUP($B289,표2[#ALL],2)</f>
        <v>#N/A</v>
      </c>
      <c r="G289" s="376" t="str">
        <f>CS_PID!G289/VLOOKUP($B289,표2[#ALL],2)</f>
        <v>#N/A</v>
      </c>
      <c r="H289" s="376" t="str">
        <f>CS_PID!H289/VLOOKUP($B289,표2[#ALL],2)/HLOOKUP($A289,표1[#ALL],row(),false)</f>
        <v>#N/A</v>
      </c>
      <c r="I289" s="376" t="str">
        <f>CS_PID!I289/VLOOKUP($B289,표2[#ALL],2)/HLOOKUP($A289,표1[#ALL],row(),false)</f>
        <v>#N/A</v>
      </c>
      <c r="J289" s="376" t="str">
        <f>CS_PID!J289/VLOOKUP($B289,표2[#ALL],2)/HLOOKUP($A289,표1[#ALL],row(),false)</f>
        <v>#N/A</v>
      </c>
      <c r="K289" s="376" t="str">
        <f>CS_PID!K289/VLOOKUP($B289,표2[#ALL],2)/HLOOKUP($A289,표1[#ALL],row(),false)</f>
        <v>#N/A</v>
      </c>
      <c r="L289" s="376" t="str">
        <f>CS_PID!L289/VLOOKUP($B289,표2[#ALL],2)/HLOOKUP($A289,표1[#ALL],row(),false)</f>
        <v>#N/A</v>
      </c>
      <c r="M289" s="376" t="str">
        <f>CS_PID!M289/VLOOKUP($B289,표2[#ALL],2)/HLOOKUP($A289,표1[#ALL],row(),false)</f>
        <v>#N/A</v>
      </c>
      <c r="N289" s="376" t="str">
        <f>CS_PID!N289/VLOOKUP($B289,표2[#ALL],2)/HLOOKUP($A289,표1[#ALL],row(),false)</f>
        <v>#N/A</v>
      </c>
      <c r="O289" s="376" t="str">
        <f>CS_PID!O289/VLOOKUP($B289,표2[#ALL],2)/HLOOKUP($A289,표1[#ALL],row(),false)</f>
        <v>#N/A</v>
      </c>
      <c r="P289" s="376" t="str">
        <f>CS_PID!P289/VLOOKUP($B289,표2[#ALL],2)/HLOOKUP($A289,표1[#ALL],row(),false)</f>
        <v>#N/A</v>
      </c>
      <c r="Q289" s="376" t="str">
        <f>CS_PID!Q289/VLOOKUP($B289,표2[#ALL],2)/HLOOKUP($A289,표1[#ALL],row(),false)</f>
        <v>#N/A</v>
      </c>
      <c r="R289" s="376" t="str">
        <f>CS_PID!R289/VLOOKUP($B289,표2[#ALL],2)/HLOOKUP($A289,표1[#ALL],row(),false)</f>
        <v>#N/A</v>
      </c>
      <c r="S289" s="376" t="str">
        <f>CS_PID!S289/VLOOKUP($B289,표2[#ALL],2)/HLOOKUP($A289,표1[#ALL],row(),false)</f>
        <v>#N/A</v>
      </c>
      <c r="T289" s="376" t="str">
        <f>CS_PID!T289/VLOOKUP($B289,표2[#ALL],2)/HLOOKUP($A289,표1[#ALL],row(),false)</f>
        <v>#N/A</v>
      </c>
      <c r="U289" s="376" t="str">
        <f>CS_PID!U289/VLOOKUP($B289,표2[#ALL],2)/HLOOKUP($A289,표1[#ALL],row(),false)</f>
        <v>#N/A</v>
      </c>
      <c r="V289" s="376" t="str">
        <f>CS_PID!V289/VLOOKUP($B289,표2[#ALL],2)/HLOOKUP($A289,표1[#ALL],row(),false)</f>
        <v>#N/A</v>
      </c>
      <c r="W289" s="376" t="str">
        <f>CS_PID!W289/VLOOKUP($B289,표2[#ALL],2)/HLOOKUP($A289,표1[#ALL],row(),false)</f>
        <v>#N/A</v>
      </c>
      <c r="X289" s="376" t="str">
        <f>CS_PID!X289/VLOOKUP($B289,표2[#ALL],2)/HLOOKUP($A289,표1[#ALL],row(),false)</f>
        <v>#N/A</v>
      </c>
      <c r="Y289" s="376" t="str">
        <f>CS_PID!Y289/VLOOKUP($B289,표2[#ALL],2)/HLOOKUP($A289,표1[#ALL],row(),false)</f>
        <v>#N/A</v>
      </c>
      <c r="Z289" s="376" t="str">
        <f>CS_PID!Z289/VLOOKUP($B289,표2[#ALL],2)/HLOOKUP($A289,표1[#ALL],row(),false)</f>
        <v>#N/A</v>
      </c>
      <c r="AA289" s="376" t="str">
        <f>CS_PID!AA289/VLOOKUP($B289,표2[#ALL],2)/HLOOKUP($A289,표1[#ALL],row(),false)</f>
        <v>#N/A</v>
      </c>
      <c r="AB289" s="376" t="str">
        <f>CS_PID!AB289/VLOOKUP($B289,표2[#ALL],2)/HLOOKUP($A289,표1[#ALL],row(),false)</f>
        <v>#N/A</v>
      </c>
      <c r="AC289" s="376" t="str">
        <f>CS_PID!AC289/VLOOKUP($B289,표2[#ALL],2)/HLOOKUP($A289,표1[#ALL],row(),false)</f>
        <v>#N/A</v>
      </c>
      <c r="AD289" s="376" t="str">
        <f>CS_PID!AD289/VLOOKUP($B289,표2[#ALL],2)/HLOOKUP($A289,표1[#ALL],row(),false)</f>
        <v>#N/A</v>
      </c>
      <c r="AE289" s="376" t="str">
        <f>CS_PID!AE289/VLOOKUP($B289,표2[#ALL],2)/HLOOKUP($A289,표1[#ALL],row(),false)</f>
        <v>#N/A</v>
      </c>
      <c r="AF289" s="376" t="str">
        <f>CS_PID!AF289/VLOOKUP($B289,표2[#ALL],2)/HLOOKUP($A289,표1[#ALL],row(),false)</f>
        <v>#N/A</v>
      </c>
      <c r="AG289" s="376" t="str">
        <f>CS_PID!AG289/VLOOKUP($B289,표2[#ALL],2)/HLOOKUP($A289,표1[#ALL],row(),false)</f>
        <v>#N/A</v>
      </c>
      <c r="AH289" s="376" t="str">
        <f>CS_PID!AH289/VLOOKUP($B289,표2[#ALL],2)/HLOOKUP($A289,표1[#ALL],row(),false)</f>
        <v>#N/A</v>
      </c>
      <c r="AI289" s="376" t="str">
        <f>CS_PID!AI289/VLOOKUP($B289,표2[#ALL],2)/HLOOKUP($A289,표1[#ALL],row(),false)</f>
        <v>#N/A</v>
      </c>
      <c r="AJ289" s="376" t="str">
        <f>CS_PID!AJ289/VLOOKUP($B289,표2[#ALL],2)/HLOOKUP($A289,표1[#ALL],row(),false)</f>
        <v>#N/A</v>
      </c>
      <c r="AK289" s="376" t="str">
        <f>CS_PID!AK289/VLOOKUP($B289,표2[#ALL],2)/HLOOKUP($A289,표1[#ALL],row(),false)</f>
        <v>#N/A</v>
      </c>
      <c r="AL289" s="376" t="str">
        <f>CS_PID!AL289/VLOOKUP($B289,표2[#ALL],2)/HLOOKUP($A289,표1[#ALL],row(),false)</f>
        <v>#N/A</v>
      </c>
      <c r="AM289" s="376" t="str">
        <f>CS_PID!AM289/VLOOKUP($B289,표2[#ALL],2)/HLOOKUP($A289,표1[#ALL],row(),false)</f>
        <v>#N/A</v>
      </c>
      <c r="AN289" s="376" t="str">
        <f>CS_PID!AN289/VLOOKUP($B289,표2[#ALL],2)/HLOOKUP($A289,표1[#ALL],row(),false)</f>
        <v>#N/A</v>
      </c>
      <c r="AO289" s="376" t="str">
        <f>CS_PID!AO289/VLOOKUP($B289,표2[#ALL],2)/HLOOKUP($A289,표1[#ALL],row(),false)</f>
        <v>#N/A</v>
      </c>
      <c r="AP289" s="376" t="str">
        <f>CS_PID!AP289/VLOOKUP($B289,표2[#ALL],2)/HLOOKUP($A289,표1[#ALL],row(),false)</f>
        <v>#N/A</v>
      </c>
      <c r="AQ289" s="376" t="str">
        <f>CS_PID!AQ289/VLOOKUP($B289,표2[#ALL],2)/HLOOKUP($A289,표1[#ALL],row(),false)</f>
        <v>#N/A</v>
      </c>
      <c r="AR289" s="376" t="str">
        <f>CS_PID!AR289/VLOOKUP($B289,표2[#ALL],2)/HLOOKUP($A289,표1[#ALL],row(),false)</f>
        <v>#N/A</v>
      </c>
      <c r="AS289" s="377" t="str">
        <f>CS_PID!AS289/VLOOKUP($B289,표2[#ALL],2)/HLOOKUP($A289,표1[#ALL],row(),false)</f>
        <v>#N/A</v>
      </c>
    </row>
    <row r="290">
      <c r="A290" s="370"/>
      <c r="B290" s="371"/>
      <c r="C290" s="372" t="str">
        <f>CS_PID!C290/VLOOKUP($B290,표2[#ALL],2)</f>
        <v>#N/A</v>
      </c>
      <c r="D290" s="372" t="str">
        <f>CS_PID!D290/VLOOKUP($B290,표2[#ALL],2)</f>
        <v>#N/A</v>
      </c>
      <c r="E290" s="372" t="str">
        <f>CS_PID!E290/VLOOKUP($B290,표2[#ALL],2)</f>
        <v>#N/A</v>
      </c>
      <c r="F290" s="372" t="str">
        <f>CS_PID!F290/VLOOKUP($B290,표2[#ALL],2)</f>
        <v>#N/A</v>
      </c>
      <c r="G290" s="372" t="str">
        <f>CS_PID!G290/VLOOKUP($B290,표2[#ALL],2)</f>
        <v>#N/A</v>
      </c>
      <c r="H290" s="372" t="str">
        <f>CS_PID!H290/VLOOKUP($B290,표2[#ALL],2)/HLOOKUP($A290,표1[#ALL],row(),false)</f>
        <v>#N/A</v>
      </c>
      <c r="I290" s="372" t="str">
        <f>CS_PID!I290/VLOOKUP($B290,표2[#ALL],2)/HLOOKUP($A290,표1[#ALL],row(),false)</f>
        <v>#N/A</v>
      </c>
      <c r="J290" s="372" t="str">
        <f>CS_PID!J290/VLOOKUP($B290,표2[#ALL],2)/HLOOKUP($A290,표1[#ALL],row(),false)</f>
        <v>#N/A</v>
      </c>
      <c r="K290" s="372" t="str">
        <f>CS_PID!K290/VLOOKUP($B290,표2[#ALL],2)/HLOOKUP($A290,표1[#ALL],row(),false)</f>
        <v>#N/A</v>
      </c>
      <c r="L290" s="372" t="str">
        <f>CS_PID!L290/VLOOKUP($B290,표2[#ALL],2)/HLOOKUP($A290,표1[#ALL],row(),false)</f>
        <v>#N/A</v>
      </c>
      <c r="M290" s="372" t="str">
        <f>CS_PID!M290/VLOOKUP($B290,표2[#ALL],2)/HLOOKUP($A290,표1[#ALL],row(),false)</f>
        <v>#N/A</v>
      </c>
      <c r="N290" s="372" t="str">
        <f>CS_PID!N290/VLOOKUP($B290,표2[#ALL],2)/HLOOKUP($A290,표1[#ALL],row(),false)</f>
        <v>#N/A</v>
      </c>
      <c r="O290" s="372" t="str">
        <f>CS_PID!O290/VLOOKUP($B290,표2[#ALL],2)/HLOOKUP($A290,표1[#ALL],row(),false)</f>
        <v>#N/A</v>
      </c>
      <c r="P290" s="372" t="str">
        <f>CS_PID!P290/VLOOKUP($B290,표2[#ALL],2)/HLOOKUP($A290,표1[#ALL],row(),false)</f>
        <v>#N/A</v>
      </c>
      <c r="Q290" s="372" t="str">
        <f>CS_PID!Q290/VLOOKUP($B290,표2[#ALL],2)/HLOOKUP($A290,표1[#ALL],row(),false)</f>
        <v>#N/A</v>
      </c>
      <c r="R290" s="372" t="str">
        <f>CS_PID!R290/VLOOKUP($B290,표2[#ALL],2)/HLOOKUP($A290,표1[#ALL],row(),false)</f>
        <v>#N/A</v>
      </c>
      <c r="S290" s="372" t="str">
        <f>CS_PID!S290/VLOOKUP($B290,표2[#ALL],2)/HLOOKUP($A290,표1[#ALL],row(),false)</f>
        <v>#N/A</v>
      </c>
      <c r="T290" s="372" t="str">
        <f>CS_PID!T290/VLOOKUP($B290,표2[#ALL],2)/HLOOKUP($A290,표1[#ALL],row(),false)</f>
        <v>#N/A</v>
      </c>
      <c r="U290" s="372" t="str">
        <f>CS_PID!U290/VLOOKUP($B290,표2[#ALL],2)/HLOOKUP($A290,표1[#ALL],row(),false)</f>
        <v>#N/A</v>
      </c>
      <c r="V290" s="372" t="str">
        <f>CS_PID!V290/VLOOKUP($B290,표2[#ALL],2)/HLOOKUP($A290,표1[#ALL],row(),false)</f>
        <v>#N/A</v>
      </c>
      <c r="W290" s="372" t="str">
        <f>CS_PID!W290/VLOOKUP($B290,표2[#ALL],2)/HLOOKUP($A290,표1[#ALL],row(),false)</f>
        <v>#N/A</v>
      </c>
      <c r="X290" s="372" t="str">
        <f>CS_PID!X290/VLOOKUP($B290,표2[#ALL],2)/HLOOKUP($A290,표1[#ALL],row(),false)</f>
        <v>#N/A</v>
      </c>
      <c r="Y290" s="372" t="str">
        <f>CS_PID!Y290/VLOOKUP($B290,표2[#ALL],2)/HLOOKUP($A290,표1[#ALL],row(),false)</f>
        <v>#N/A</v>
      </c>
      <c r="Z290" s="372" t="str">
        <f>CS_PID!Z290/VLOOKUP($B290,표2[#ALL],2)/HLOOKUP($A290,표1[#ALL],row(),false)</f>
        <v>#N/A</v>
      </c>
      <c r="AA290" s="372" t="str">
        <f>CS_PID!AA290/VLOOKUP($B290,표2[#ALL],2)/HLOOKUP($A290,표1[#ALL],row(),false)</f>
        <v>#N/A</v>
      </c>
      <c r="AB290" s="372" t="str">
        <f>CS_PID!AB290/VLOOKUP($B290,표2[#ALL],2)/HLOOKUP($A290,표1[#ALL],row(),false)</f>
        <v>#N/A</v>
      </c>
      <c r="AC290" s="372" t="str">
        <f>CS_PID!AC290/VLOOKUP($B290,표2[#ALL],2)/HLOOKUP($A290,표1[#ALL],row(),false)</f>
        <v>#N/A</v>
      </c>
      <c r="AD290" s="372" t="str">
        <f>CS_PID!AD290/VLOOKUP($B290,표2[#ALL],2)/HLOOKUP($A290,표1[#ALL],row(),false)</f>
        <v>#N/A</v>
      </c>
      <c r="AE290" s="372" t="str">
        <f>CS_PID!AE290/VLOOKUP($B290,표2[#ALL],2)/HLOOKUP($A290,표1[#ALL],row(),false)</f>
        <v>#N/A</v>
      </c>
      <c r="AF290" s="372" t="str">
        <f>CS_PID!AF290/VLOOKUP($B290,표2[#ALL],2)/HLOOKUP($A290,표1[#ALL],row(),false)</f>
        <v>#N/A</v>
      </c>
      <c r="AG290" s="372" t="str">
        <f>CS_PID!AG290/VLOOKUP($B290,표2[#ALL],2)/HLOOKUP($A290,표1[#ALL],row(),false)</f>
        <v>#N/A</v>
      </c>
      <c r="AH290" s="372" t="str">
        <f>CS_PID!AH290/VLOOKUP($B290,표2[#ALL],2)/HLOOKUP($A290,표1[#ALL],row(),false)</f>
        <v>#N/A</v>
      </c>
      <c r="AI290" s="372" t="str">
        <f>CS_PID!AI290/VLOOKUP($B290,표2[#ALL],2)/HLOOKUP($A290,표1[#ALL],row(),false)</f>
        <v>#N/A</v>
      </c>
      <c r="AJ290" s="372" t="str">
        <f>CS_PID!AJ290/VLOOKUP($B290,표2[#ALL],2)/HLOOKUP($A290,표1[#ALL],row(),false)</f>
        <v>#N/A</v>
      </c>
      <c r="AK290" s="372" t="str">
        <f>CS_PID!AK290/VLOOKUP($B290,표2[#ALL],2)/HLOOKUP($A290,표1[#ALL],row(),false)</f>
        <v>#N/A</v>
      </c>
      <c r="AL290" s="372" t="str">
        <f>CS_PID!AL290/VLOOKUP($B290,표2[#ALL],2)/HLOOKUP($A290,표1[#ALL],row(),false)</f>
        <v>#N/A</v>
      </c>
      <c r="AM290" s="372" t="str">
        <f>CS_PID!AM290/VLOOKUP($B290,표2[#ALL],2)/HLOOKUP($A290,표1[#ALL],row(),false)</f>
        <v>#N/A</v>
      </c>
      <c r="AN290" s="372" t="str">
        <f>CS_PID!AN290/VLOOKUP($B290,표2[#ALL],2)/HLOOKUP($A290,표1[#ALL],row(),false)</f>
        <v>#N/A</v>
      </c>
      <c r="AO290" s="372" t="str">
        <f>CS_PID!AO290/VLOOKUP($B290,표2[#ALL],2)/HLOOKUP($A290,표1[#ALL],row(),false)</f>
        <v>#N/A</v>
      </c>
      <c r="AP290" s="372" t="str">
        <f>CS_PID!AP290/VLOOKUP($B290,표2[#ALL],2)/HLOOKUP($A290,표1[#ALL],row(),false)</f>
        <v>#N/A</v>
      </c>
      <c r="AQ290" s="372" t="str">
        <f>CS_PID!AQ290/VLOOKUP($B290,표2[#ALL],2)/HLOOKUP($A290,표1[#ALL],row(),false)</f>
        <v>#N/A</v>
      </c>
      <c r="AR290" s="372" t="str">
        <f>CS_PID!AR290/VLOOKUP($B290,표2[#ALL],2)/HLOOKUP($A290,표1[#ALL],row(),false)</f>
        <v>#N/A</v>
      </c>
      <c r="AS290" s="373" t="str">
        <f>CS_PID!AS290/VLOOKUP($B290,표2[#ALL],2)/HLOOKUP($A290,표1[#ALL],row(),false)</f>
        <v>#N/A</v>
      </c>
    </row>
    <row r="291">
      <c r="A291" s="374"/>
      <c r="B291" s="375"/>
      <c r="C291" s="376" t="str">
        <f>CS_PID!C291/VLOOKUP($B291,표2[#ALL],2)</f>
        <v>#N/A</v>
      </c>
      <c r="D291" s="376" t="str">
        <f>CS_PID!D291/VLOOKUP($B291,표2[#ALL],2)</f>
        <v>#N/A</v>
      </c>
      <c r="E291" s="376" t="str">
        <f>CS_PID!E291/VLOOKUP($B291,표2[#ALL],2)</f>
        <v>#N/A</v>
      </c>
      <c r="F291" s="376" t="str">
        <f>CS_PID!F291/VLOOKUP($B291,표2[#ALL],2)</f>
        <v>#N/A</v>
      </c>
      <c r="G291" s="376" t="str">
        <f>CS_PID!G291/VLOOKUP($B291,표2[#ALL],2)</f>
        <v>#N/A</v>
      </c>
      <c r="H291" s="376" t="str">
        <f>CS_PID!H291/VLOOKUP($B291,표2[#ALL],2)/HLOOKUP($A291,표1[#ALL],row(),false)</f>
        <v>#N/A</v>
      </c>
      <c r="I291" s="376" t="str">
        <f>CS_PID!I291/VLOOKUP($B291,표2[#ALL],2)/HLOOKUP($A291,표1[#ALL],row(),false)</f>
        <v>#N/A</v>
      </c>
      <c r="J291" s="376" t="str">
        <f>CS_PID!J291/VLOOKUP($B291,표2[#ALL],2)/HLOOKUP($A291,표1[#ALL],row(),false)</f>
        <v>#N/A</v>
      </c>
      <c r="K291" s="376" t="str">
        <f>CS_PID!K291/VLOOKUP($B291,표2[#ALL],2)/HLOOKUP($A291,표1[#ALL],row(),false)</f>
        <v>#N/A</v>
      </c>
      <c r="L291" s="376" t="str">
        <f>CS_PID!L291/VLOOKUP($B291,표2[#ALL],2)/HLOOKUP($A291,표1[#ALL],row(),false)</f>
        <v>#N/A</v>
      </c>
      <c r="M291" s="376" t="str">
        <f>CS_PID!M291/VLOOKUP($B291,표2[#ALL],2)/HLOOKUP($A291,표1[#ALL],row(),false)</f>
        <v>#N/A</v>
      </c>
      <c r="N291" s="376" t="str">
        <f>CS_PID!N291/VLOOKUP($B291,표2[#ALL],2)/HLOOKUP($A291,표1[#ALL],row(),false)</f>
        <v>#N/A</v>
      </c>
      <c r="O291" s="376" t="str">
        <f>CS_PID!O291/VLOOKUP($B291,표2[#ALL],2)/HLOOKUP($A291,표1[#ALL],row(),false)</f>
        <v>#N/A</v>
      </c>
      <c r="P291" s="376" t="str">
        <f>CS_PID!P291/VLOOKUP($B291,표2[#ALL],2)/HLOOKUP($A291,표1[#ALL],row(),false)</f>
        <v>#N/A</v>
      </c>
      <c r="Q291" s="376" t="str">
        <f>CS_PID!Q291/VLOOKUP($B291,표2[#ALL],2)/HLOOKUP($A291,표1[#ALL],row(),false)</f>
        <v>#N/A</v>
      </c>
      <c r="R291" s="376" t="str">
        <f>CS_PID!R291/VLOOKUP($B291,표2[#ALL],2)/HLOOKUP($A291,표1[#ALL],row(),false)</f>
        <v>#N/A</v>
      </c>
      <c r="S291" s="376" t="str">
        <f>CS_PID!S291/VLOOKUP($B291,표2[#ALL],2)/HLOOKUP($A291,표1[#ALL],row(),false)</f>
        <v>#N/A</v>
      </c>
      <c r="T291" s="376" t="str">
        <f>CS_PID!T291/VLOOKUP($B291,표2[#ALL],2)/HLOOKUP($A291,표1[#ALL],row(),false)</f>
        <v>#N/A</v>
      </c>
      <c r="U291" s="376" t="str">
        <f>CS_PID!U291/VLOOKUP($B291,표2[#ALL],2)/HLOOKUP($A291,표1[#ALL],row(),false)</f>
        <v>#N/A</v>
      </c>
      <c r="V291" s="376" t="str">
        <f>CS_PID!V291/VLOOKUP($B291,표2[#ALL],2)/HLOOKUP($A291,표1[#ALL],row(),false)</f>
        <v>#N/A</v>
      </c>
      <c r="W291" s="376" t="str">
        <f>CS_PID!W291/VLOOKUP($B291,표2[#ALL],2)/HLOOKUP($A291,표1[#ALL],row(),false)</f>
        <v>#N/A</v>
      </c>
      <c r="X291" s="376" t="str">
        <f>CS_PID!X291/VLOOKUP($B291,표2[#ALL],2)/HLOOKUP($A291,표1[#ALL],row(),false)</f>
        <v>#N/A</v>
      </c>
      <c r="Y291" s="376" t="str">
        <f>CS_PID!Y291/VLOOKUP($B291,표2[#ALL],2)/HLOOKUP($A291,표1[#ALL],row(),false)</f>
        <v>#N/A</v>
      </c>
      <c r="Z291" s="376" t="str">
        <f>CS_PID!Z291/VLOOKUP($B291,표2[#ALL],2)/HLOOKUP($A291,표1[#ALL],row(),false)</f>
        <v>#N/A</v>
      </c>
      <c r="AA291" s="376" t="str">
        <f>CS_PID!AA291/VLOOKUP($B291,표2[#ALL],2)/HLOOKUP($A291,표1[#ALL],row(),false)</f>
        <v>#N/A</v>
      </c>
      <c r="AB291" s="376" t="str">
        <f>CS_PID!AB291/VLOOKUP($B291,표2[#ALL],2)/HLOOKUP($A291,표1[#ALL],row(),false)</f>
        <v>#N/A</v>
      </c>
      <c r="AC291" s="376" t="str">
        <f>CS_PID!AC291/VLOOKUP($B291,표2[#ALL],2)/HLOOKUP($A291,표1[#ALL],row(),false)</f>
        <v>#N/A</v>
      </c>
      <c r="AD291" s="376" t="str">
        <f>CS_PID!AD291/VLOOKUP($B291,표2[#ALL],2)/HLOOKUP($A291,표1[#ALL],row(),false)</f>
        <v>#N/A</v>
      </c>
      <c r="AE291" s="376" t="str">
        <f>CS_PID!AE291/VLOOKUP($B291,표2[#ALL],2)/HLOOKUP($A291,표1[#ALL],row(),false)</f>
        <v>#N/A</v>
      </c>
      <c r="AF291" s="376" t="str">
        <f>CS_PID!AF291/VLOOKUP($B291,표2[#ALL],2)/HLOOKUP($A291,표1[#ALL],row(),false)</f>
        <v>#N/A</v>
      </c>
      <c r="AG291" s="376" t="str">
        <f>CS_PID!AG291/VLOOKUP($B291,표2[#ALL],2)/HLOOKUP($A291,표1[#ALL],row(),false)</f>
        <v>#N/A</v>
      </c>
      <c r="AH291" s="376" t="str">
        <f>CS_PID!AH291/VLOOKUP($B291,표2[#ALL],2)/HLOOKUP($A291,표1[#ALL],row(),false)</f>
        <v>#N/A</v>
      </c>
      <c r="AI291" s="376" t="str">
        <f>CS_PID!AI291/VLOOKUP($B291,표2[#ALL],2)/HLOOKUP($A291,표1[#ALL],row(),false)</f>
        <v>#N/A</v>
      </c>
      <c r="AJ291" s="376" t="str">
        <f>CS_PID!AJ291/VLOOKUP($B291,표2[#ALL],2)/HLOOKUP($A291,표1[#ALL],row(),false)</f>
        <v>#N/A</v>
      </c>
      <c r="AK291" s="376" t="str">
        <f>CS_PID!AK291/VLOOKUP($B291,표2[#ALL],2)/HLOOKUP($A291,표1[#ALL],row(),false)</f>
        <v>#N/A</v>
      </c>
      <c r="AL291" s="376" t="str">
        <f>CS_PID!AL291/VLOOKUP($B291,표2[#ALL],2)/HLOOKUP($A291,표1[#ALL],row(),false)</f>
        <v>#N/A</v>
      </c>
      <c r="AM291" s="376" t="str">
        <f>CS_PID!AM291/VLOOKUP($B291,표2[#ALL],2)/HLOOKUP($A291,표1[#ALL],row(),false)</f>
        <v>#N/A</v>
      </c>
      <c r="AN291" s="376" t="str">
        <f>CS_PID!AN291/VLOOKUP($B291,표2[#ALL],2)/HLOOKUP($A291,표1[#ALL],row(),false)</f>
        <v>#N/A</v>
      </c>
      <c r="AO291" s="376" t="str">
        <f>CS_PID!AO291/VLOOKUP($B291,표2[#ALL],2)/HLOOKUP($A291,표1[#ALL],row(),false)</f>
        <v>#N/A</v>
      </c>
      <c r="AP291" s="376" t="str">
        <f>CS_PID!AP291/VLOOKUP($B291,표2[#ALL],2)/HLOOKUP($A291,표1[#ALL],row(),false)</f>
        <v>#N/A</v>
      </c>
      <c r="AQ291" s="376" t="str">
        <f>CS_PID!AQ291/VLOOKUP($B291,표2[#ALL],2)/HLOOKUP($A291,표1[#ALL],row(),false)</f>
        <v>#N/A</v>
      </c>
      <c r="AR291" s="376" t="str">
        <f>CS_PID!AR291/VLOOKUP($B291,표2[#ALL],2)/HLOOKUP($A291,표1[#ALL],row(),false)</f>
        <v>#N/A</v>
      </c>
      <c r="AS291" s="377" t="str">
        <f>CS_PID!AS291/VLOOKUP($B291,표2[#ALL],2)/HLOOKUP($A291,표1[#ALL],row(),false)</f>
        <v>#N/A</v>
      </c>
    </row>
    <row r="292">
      <c r="A292" s="370"/>
      <c r="B292" s="371"/>
      <c r="C292" s="372" t="str">
        <f>CS_PID!C292/VLOOKUP($B292,표2[#ALL],2)</f>
        <v>#N/A</v>
      </c>
      <c r="D292" s="372" t="str">
        <f>CS_PID!D292/VLOOKUP($B292,표2[#ALL],2)</f>
        <v>#N/A</v>
      </c>
      <c r="E292" s="372" t="str">
        <f>CS_PID!E292/VLOOKUP($B292,표2[#ALL],2)</f>
        <v>#N/A</v>
      </c>
      <c r="F292" s="372" t="str">
        <f>CS_PID!F292/VLOOKUP($B292,표2[#ALL],2)</f>
        <v>#N/A</v>
      </c>
      <c r="G292" s="372" t="str">
        <f>CS_PID!G292/VLOOKUP($B292,표2[#ALL],2)</f>
        <v>#N/A</v>
      </c>
      <c r="H292" s="372" t="str">
        <f>CS_PID!H292/VLOOKUP($B292,표2[#ALL],2)/HLOOKUP($A292,표1[#ALL],row(),false)</f>
        <v>#N/A</v>
      </c>
      <c r="I292" s="372" t="str">
        <f>CS_PID!I292/VLOOKUP($B292,표2[#ALL],2)/HLOOKUP($A292,표1[#ALL],row(),false)</f>
        <v>#N/A</v>
      </c>
      <c r="J292" s="372" t="str">
        <f>CS_PID!J292/VLOOKUP($B292,표2[#ALL],2)/HLOOKUP($A292,표1[#ALL],row(),false)</f>
        <v>#N/A</v>
      </c>
      <c r="K292" s="372" t="str">
        <f>CS_PID!K292/VLOOKUP($B292,표2[#ALL],2)/HLOOKUP($A292,표1[#ALL],row(),false)</f>
        <v>#N/A</v>
      </c>
      <c r="L292" s="372" t="str">
        <f>CS_PID!L292/VLOOKUP($B292,표2[#ALL],2)/HLOOKUP($A292,표1[#ALL],row(),false)</f>
        <v>#N/A</v>
      </c>
      <c r="M292" s="372" t="str">
        <f>CS_PID!M292/VLOOKUP($B292,표2[#ALL],2)/HLOOKUP($A292,표1[#ALL],row(),false)</f>
        <v>#N/A</v>
      </c>
      <c r="N292" s="372" t="str">
        <f>CS_PID!N292/VLOOKUP($B292,표2[#ALL],2)/HLOOKUP($A292,표1[#ALL],row(),false)</f>
        <v>#N/A</v>
      </c>
      <c r="O292" s="372" t="str">
        <f>CS_PID!O292/VLOOKUP($B292,표2[#ALL],2)/HLOOKUP($A292,표1[#ALL],row(),false)</f>
        <v>#N/A</v>
      </c>
      <c r="P292" s="372" t="str">
        <f>CS_PID!P292/VLOOKUP($B292,표2[#ALL],2)/HLOOKUP($A292,표1[#ALL],row(),false)</f>
        <v>#N/A</v>
      </c>
      <c r="Q292" s="372" t="str">
        <f>CS_PID!Q292/VLOOKUP($B292,표2[#ALL],2)/HLOOKUP($A292,표1[#ALL],row(),false)</f>
        <v>#N/A</v>
      </c>
      <c r="R292" s="372" t="str">
        <f>CS_PID!R292/VLOOKUP($B292,표2[#ALL],2)/HLOOKUP($A292,표1[#ALL],row(),false)</f>
        <v>#N/A</v>
      </c>
      <c r="S292" s="372" t="str">
        <f>CS_PID!S292/VLOOKUP($B292,표2[#ALL],2)/HLOOKUP($A292,표1[#ALL],row(),false)</f>
        <v>#N/A</v>
      </c>
      <c r="T292" s="372" t="str">
        <f>CS_PID!T292/VLOOKUP($B292,표2[#ALL],2)/HLOOKUP($A292,표1[#ALL],row(),false)</f>
        <v>#N/A</v>
      </c>
      <c r="U292" s="372" t="str">
        <f>CS_PID!U292/VLOOKUP($B292,표2[#ALL],2)/HLOOKUP($A292,표1[#ALL],row(),false)</f>
        <v>#N/A</v>
      </c>
      <c r="V292" s="372" t="str">
        <f>CS_PID!V292/VLOOKUP($B292,표2[#ALL],2)/HLOOKUP($A292,표1[#ALL],row(),false)</f>
        <v>#N/A</v>
      </c>
      <c r="W292" s="372" t="str">
        <f>CS_PID!W292/VLOOKUP($B292,표2[#ALL],2)/HLOOKUP($A292,표1[#ALL],row(),false)</f>
        <v>#N/A</v>
      </c>
      <c r="X292" s="372" t="str">
        <f>CS_PID!X292/VLOOKUP($B292,표2[#ALL],2)/HLOOKUP($A292,표1[#ALL],row(),false)</f>
        <v>#N/A</v>
      </c>
      <c r="Y292" s="372" t="str">
        <f>CS_PID!Y292/VLOOKUP($B292,표2[#ALL],2)/HLOOKUP($A292,표1[#ALL],row(),false)</f>
        <v>#N/A</v>
      </c>
      <c r="Z292" s="372" t="str">
        <f>CS_PID!Z292/VLOOKUP($B292,표2[#ALL],2)/HLOOKUP($A292,표1[#ALL],row(),false)</f>
        <v>#N/A</v>
      </c>
      <c r="AA292" s="372" t="str">
        <f>CS_PID!AA292/VLOOKUP($B292,표2[#ALL],2)/HLOOKUP($A292,표1[#ALL],row(),false)</f>
        <v>#N/A</v>
      </c>
      <c r="AB292" s="372" t="str">
        <f>CS_PID!AB292/VLOOKUP($B292,표2[#ALL],2)/HLOOKUP($A292,표1[#ALL],row(),false)</f>
        <v>#N/A</v>
      </c>
      <c r="AC292" s="372" t="str">
        <f>CS_PID!AC292/VLOOKUP($B292,표2[#ALL],2)/HLOOKUP($A292,표1[#ALL],row(),false)</f>
        <v>#N/A</v>
      </c>
      <c r="AD292" s="372" t="str">
        <f>CS_PID!AD292/VLOOKUP($B292,표2[#ALL],2)/HLOOKUP($A292,표1[#ALL],row(),false)</f>
        <v>#N/A</v>
      </c>
      <c r="AE292" s="372" t="str">
        <f>CS_PID!AE292/VLOOKUP($B292,표2[#ALL],2)/HLOOKUP($A292,표1[#ALL],row(),false)</f>
        <v>#N/A</v>
      </c>
      <c r="AF292" s="372" t="str">
        <f>CS_PID!AF292/VLOOKUP($B292,표2[#ALL],2)/HLOOKUP($A292,표1[#ALL],row(),false)</f>
        <v>#N/A</v>
      </c>
      <c r="AG292" s="372" t="str">
        <f>CS_PID!AG292/VLOOKUP($B292,표2[#ALL],2)/HLOOKUP($A292,표1[#ALL],row(),false)</f>
        <v>#N/A</v>
      </c>
      <c r="AH292" s="372" t="str">
        <f>CS_PID!AH292/VLOOKUP($B292,표2[#ALL],2)/HLOOKUP($A292,표1[#ALL],row(),false)</f>
        <v>#N/A</v>
      </c>
      <c r="AI292" s="372" t="str">
        <f>CS_PID!AI292/VLOOKUP($B292,표2[#ALL],2)/HLOOKUP($A292,표1[#ALL],row(),false)</f>
        <v>#N/A</v>
      </c>
      <c r="AJ292" s="372" t="str">
        <f>CS_PID!AJ292/VLOOKUP($B292,표2[#ALL],2)/HLOOKUP($A292,표1[#ALL],row(),false)</f>
        <v>#N/A</v>
      </c>
      <c r="AK292" s="372" t="str">
        <f>CS_PID!AK292/VLOOKUP($B292,표2[#ALL],2)/HLOOKUP($A292,표1[#ALL],row(),false)</f>
        <v>#N/A</v>
      </c>
      <c r="AL292" s="372" t="str">
        <f>CS_PID!AL292/VLOOKUP($B292,표2[#ALL],2)/HLOOKUP($A292,표1[#ALL],row(),false)</f>
        <v>#N/A</v>
      </c>
      <c r="AM292" s="372" t="str">
        <f>CS_PID!AM292/VLOOKUP($B292,표2[#ALL],2)/HLOOKUP($A292,표1[#ALL],row(),false)</f>
        <v>#N/A</v>
      </c>
      <c r="AN292" s="372" t="str">
        <f>CS_PID!AN292/VLOOKUP($B292,표2[#ALL],2)/HLOOKUP($A292,표1[#ALL],row(),false)</f>
        <v>#N/A</v>
      </c>
      <c r="AO292" s="372" t="str">
        <f>CS_PID!AO292/VLOOKUP($B292,표2[#ALL],2)/HLOOKUP($A292,표1[#ALL],row(),false)</f>
        <v>#N/A</v>
      </c>
      <c r="AP292" s="372" t="str">
        <f>CS_PID!AP292/VLOOKUP($B292,표2[#ALL],2)/HLOOKUP($A292,표1[#ALL],row(),false)</f>
        <v>#N/A</v>
      </c>
      <c r="AQ292" s="372" t="str">
        <f>CS_PID!AQ292/VLOOKUP($B292,표2[#ALL],2)/HLOOKUP($A292,표1[#ALL],row(),false)</f>
        <v>#N/A</v>
      </c>
      <c r="AR292" s="372" t="str">
        <f>CS_PID!AR292/VLOOKUP($B292,표2[#ALL],2)/HLOOKUP($A292,표1[#ALL],row(),false)</f>
        <v>#N/A</v>
      </c>
      <c r="AS292" s="373" t="str">
        <f>CS_PID!AS292/VLOOKUP($B292,표2[#ALL],2)/HLOOKUP($A292,표1[#ALL],row(),false)</f>
        <v>#N/A</v>
      </c>
    </row>
    <row r="293">
      <c r="A293" s="374"/>
      <c r="B293" s="375"/>
      <c r="C293" s="376" t="str">
        <f>CS_PID!C293/VLOOKUP($B293,표2[#ALL],2)</f>
        <v>#N/A</v>
      </c>
      <c r="D293" s="376" t="str">
        <f>CS_PID!D293/VLOOKUP($B293,표2[#ALL],2)</f>
        <v>#N/A</v>
      </c>
      <c r="E293" s="376" t="str">
        <f>CS_PID!E293/VLOOKUP($B293,표2[#ALL],2)</f>
        <v>#N/A</v>
      </c>
      <c r="F293" s="376" t="str">
        <f>CS_PID!F293/VLOOKUP($B293,표2[#ALL],2)</f>
        <v>#N/A</v>
      </c>
      <c r="G293" s="376" t="str">
        <f>CS_PID!G293/VLOOKUP($B293,표2[#ALL],2)</f>
        <v>#N/A</v>
      </c>
      <c r="H293" s="376" t="str">
        <f>CS_PID!H293/VLOOKUP($B293,표2[#ALL],2)/HLOOKUP($A293,표1[#ALL],row(),false)</f>
        <v>#N/A</v>
      </c>
      <c r="I293" s="376" t="str">
        <f>CS_PID!I293/VLOOKUP($B293,표2[#ALL],2)/HLOOKUP($A293,표1[#ALL],row(),false)</f>
        <v>#N/A</v>
      </c>
      <c r="J293" s="376" t="str">
        <f>CS_PID!J293/VLOOKUP($B293,표2[#ALL],2)/HLOOKUP($A293,표1[#ALL],row(),false)</f>
        <v>#N/A</v>
      </c>
      <c r="K293" s="376" t="str">
        <f>CS_PID!K293/VLOOKUP($B293,표2[#ALL],2)/HLOOKUP($A293,표1[#ALL],row(),false)</f>
        <v>#N/A</v>
      </c>
      <c r="L293" s="376" t="str">
        <f>CS_PID!L293/VLOOKUP($B293,표2[#ALL],2)/HLOOKUP($A293,표1[#ALL],row(),false)</f>
        <v>#N/A</v>
      </c>
      <c r="M293" s="376" t="str">
        <f>CS_PID!M293/VLOOKUP($B293,표2[#ALL],2)/HLOOKUP($A293,표1[#ALL],row(),false)</f>
        <v>#N/A</v>
      </c>
      <c r="N293" s="376" t="str">
        <f>CS_PID!N293/VLOOKUP($B293,표2[#ALL],2)/HLOOKUP($A293,표1[#ALL],row(),false)</f>
        <v>#N/A</v>
      </c>
      <c r="O293" s="376" t="str">
        <f>CS_PID!O293/VLOOKUP($B293,표2[#ALL],2)/HLOOKUP($A293,표1[#ALL],row(),false)</f>
        <v>#N/A</v>
      </c>
      <c r="P293" s="376" t="str">
        <f>CS_PID!P293/VLOOKUP($B293,표2[#ALL],2)/HLOOKUP($A293,표1[#ALL],row(),false)</f>
        <v>#N/A</v>
      </c>
      <c r="Q293" s="376" t="str">
        <f>CS_PID!Q293/VLOOKUP($B293,표2[#ALL],2)/HLOOKUP($A293,표1[#ALL],row(),false)</f>
        <v>#N/A</v>
      </c>
      <c r="R293" s="376" t="str">
        <f>CS_PID!R293/VLOOKUP($B293,표2[#ALL],2)/HLOOKUP($A293,표1[#ALL],row(),false)</f>
        <v>#N/A</v>
      </c>
      <c r="S293" s="376" t="str">
        <f>CS_PID!S293/VLOOKUP($B293,표2[#ALL],2)/HLOOKUP($A293,표1[#ALL],row(),false)</f>
        <v>#N/A</v>
      </c>
      <c r="T293" s="376" t="str">
        <f>CS_PID!T293/VLOOKUP($B293,표2[#ALL],2)/HLOOKUP($A293,표1[#ALL],row(),false)</f>
        <v>#N/A</v>
      </c>
      <c r="U293" s="376" t="str">
        <f>CS_PID!U293/VLOOKUP($B293,표2[#ALL],2)/HLOOKUP($A293,표1[#ALL],row(),false)</f>
        <v>#N/A</v>
      </c>
      <c r="V293" s="376" t="str">
        <f>CS_PID!V293/VLOOKUP($B293,표2[#ALL],2)/HLOOKUP($A293,표1[#ALL],row(),false)</f>
        <v>#N/A</v>
      </c>
      <c r="W293" s="376" t="str">
        <f>CS_PID!W293/VLOOKUP($B293,표2[#ALL],2)/HLOOKUP($A293,표1[#ALL],row(),false)</f>
        <v>#N/A</v>
      </c>
      <c r="X293" s="376" t="str">
        <f>CS_PID!X293/VLOOKUP($B293,표2[#ALL],2)/HLOOKUP($A293,표1[#ALL],row(),false)</f>
        <v>#N/A</v>
      </c>
      <c r="Y293" s="376" t="str">
        <f>CS_PID!Y293/VLOOKUP($B293,표2[#ALL],2)/HLOOKUP($A293,표1[#ALL],row(),false)</f>
        <v>#N/A</v>
      </c>
      <c r="Z293" s="376" t="str">
        <f>CS_PID!Z293/VLOOKUP($B293,표2[#ALL],2)/HLOOKUP($A293,표1[#ALL],row(),false)</f>
        <v>#N/A</v>
      </c>
      <c r="AA293" s="376" t="str">
        <f>CS_PID!AA293/VLOOKUP($B293,표2[#ALL],2)/HLOOKUP($A293,표1[#ALL],row(),false)</f>
        <v>#N/A</v>
      </c>
      <c r="AB293" s="376" t="str">
        <f>CS_PID!AB293/VLOOKUP($B293,표2[#ALL],2)/HLOOKUP($A293,표1[#ALL],row(),false)</f>
        <v>#N/A</v>
      </c>
      <c r="AC293" s="376" t="str">
        <f>CS_PID!AC293/VLOOKUP($B293,표2[#ALL],2)/HLOOKUP($A293,표1[#ALL],row(),false)</f>
        <v>#N/A</v>
      </c>
      <c r="AD293" s="376" t="str">
        <f>CS_PID!AD293/VLOOKUP($B293,표2[#ALL],2)/HLOOKUP($A293,표1[#ALL],row(),false)</f>
        <v>#N/A</v>
      </c>
      <c r="AE293" s="376" t="str">
        <f>CS_PID!AE293/VLOOKUP($B293,표2[#ALL],2)/HLOOKUP($A293,표1[#ALL],row(),false)</f>
        <v>#N/A</v>
      </c>
      <c r="AF293" s="376" t="str">
        <f>CS_PID!AF293/VLOOKUP($B293,표2[#ALL],2)/HLOOKUP($A293,표1[#ALL],row(),false)</f>
        <v>#N/A</v>
      </c>
      <c r="AG293" s="376" t="str">
        <f>CS_PID!AG293/VLOOKUP($B293,표2[#ALL],2)/HLOOKUP($A293,표1[#ALL],row(),false)</f>
        <v>#N/A</v>
      </c>
      <c r="AH293" s="376" t="str">
        <f>CS_PID!AH293/VLOOKUP($B293,표2[#ALL],2)/HLOOKUP($A293,표1[#ALL],row(),false)</f>
        <v>#N/A</v>
      </c>
      <c r="AI293" s="376" t="str">
        <f>CS_PID!AI293/VLOOKUP($B293,표2[#ALL],2)/HLOOKUP($A293,표1[#ALL],row(),false)</f>
        <v>#N/A</v>
      </c>
      <c r="AJ293" s="376" t="str">
        <f>CS_PID!AJ293/VLOOKUP($B293,표2[#ALL],2)/HLOOKUP($A293,표1[#ALL],row(),false)</f>
        <v>#N/A</v>
      </c>
      <c r="AK293" s="376" t="str">
        <f>CS_PID!AK293/VLOOKUP($B293,표2[#ALL],2)/HLOOKUP($A293,표1[#ALL],row(),false)</f>
        <v>#N/A</v>
      </c>
      <c r="AL293" s="376" t="str">
        <f>CS_PID!AL293/VLOOKUP($B293,표2[#ALL],2)/HLOOKUP($A293,표1[#ALL],row(),false)</f>
        <v>#N/A</v>
      </c>
      <c r="AM293" s="376" t="str">
        <f>CS_PID!AM293/VLOOKUP($B293,표2[#ALL],2)/HLOOKUP($A293,표1[#ALL],row(),false)</f>
        <v>#N/A</v>
      </c>
      <c r="AN293" s="376" t="str">
        <f>CS_PID!AN293/VLOOKUP($B293,표2[#ALL],2)/HLOOKUP($A293,표1[#ALL],row(),false)</f>
        <v>#N/A</v>
      </c>
      <c r="AO293" s="376" t="str">
        <f>CS_PID!AO293/VLOOKUP($B293,표2[#ALL],2)/HLOOKUP($A293,표1[#ALL],row(),false)</f>
        <v>#N/A</v>
      </c>
      <c r="AP293" s="376" t="str">
        <f>CS_PID!AP293/VLOOKUP($B293,표2[#ALL],2)/HLOOKUP($A293,표1[#ALL],row(),false)</f>
        <v>#N/A</v>
      </c>
      <c r="AQ293" s="376" t="str">
        <f>CS_PID!AQ293/VLOOKUP($B293,표2[#ALL],2)/HLOOKUP($A293,표1[#ALL],row(),false)</f>
        <v>#N/A</v>
      </c>
      <c r="AR293" s="376" t="str">
        <f>CS_PID!AR293/VLOOKUP($B293,표2[#ALL],2)/HLOOKUP($A293,표1[#ALL],row(),false)</f>
        <v>#N/A</v>
      </c>
      <c r="AS293" s="377" t="str">
        <f>CS_PID!AS293/VLOOKUP($B293,표2[#ALL],2)/HLOOKUP($A293,표1[#ALL],row(),false)</f>
        <v>#N/A</v>
      </c>
    </row>
    <row r="294">
      <c r="A294" s="370"/>
      <c r="B294" s="371"/>
      <c r="C294" s="372" t="str">
        <f>CS_PID!C294/VLOOKUP($B294,표2[#ALL],2)</f>
        <v>#N/A</v>
      </c>
      <c r="D294" s="372" t="str">
        <f>CS_PID!D294/VLOOKUP($B294,표2[#ALL],2)</f>
        <v>#N/A</v>
      </c>
      <c r="E294" s="372" t="str">
        <f>CS_PID!E294/VLOOKUP($B294,표2[#ALL],2)</f>
        <v>#N/A</v>
      </c>
      <c r="F294" s="372" t="str">
        <f>CS_PID!F294/VLOOKUP($B294,표2[#ALL],2)</f>
        <v>#N/A</v>
      </c>
      <c r="G294" s="372" t="str">
        <f>CS_PID!G294/VLOOKUP($B294,표2[#ALL],2)</f>
        <v>#N/A</v>
      </c>
      <c r="H294" s="372" t="str">
        <f>CS_PID!H294/VLOOKUP($B294,표2[#ALL],2)/HLOOKUP($A294,표1[#ALL],row(),false)</f>
        <v>#N/A</v>
      </c>
      <c r="I294" s="372" t="str">
        <f>CS_PID!I294/VLOOKUP($B294,표2[#ALL],2)/HLOOKUP($A294,표1[#ALL],row(),false)</f>
        <v>#N/A</v>
      </c>
      <c r="J294" s="372" t="str">
        <f>CS_PID!J294/VLOOKUP($B294,표2[#ALL],2)/HLOOKUP($A294,표1[#ALL],row(),false)</f>
        <v>#N/A</v>
      </c>
      <c r="K294" s="372" t="str">
        <f>CS_PID!K294/VLOOKUP($B294,표2[#ALL],2)/HLOOKUP($A294,표1[#ALL],row(),false)</f>
        <v>#N/A</v>
      </c>
      <c r="L294" s="372" t="str">
        <f>CS_PID!L294/VLOOKUP($B294,표2[#ALL],2)/HLOOKUP($A294,표1[#ALL],row(),false)</f>
        <v>#N/A</v>
      </c>
      <c r="M294" s="372" t="str">
        <f>CS_PID!M294/VLOOKUP($B294,표2[#ALL],2)/HLOOKUP($A294,표1[#ALL],row(),false)</f>
        <v>#N/A</v>
      </c>
      <c r="N294" s="372" t="str">
        <f>CS_PID!N294/VLOOKUP($B294,표2[#ALL],2)/HLOOKUP($A294,표1[#ALL],row(),false)</f>
        <v>#N/A</v>
      </c>
      <c r="O294" s="372" t="str">
        <f>CS_PID!O294/VLOOKUP($B294,표2[#ALL],2)/HLOOKUP($A294,표1[#ALL],row(),false)</f>
        <v>#N/A</v>
      </c>
      <c r="P294" s="372" t="str">
        <f>CS_PID!P294/VLOOKUP($B294,표2[#ALL],2)/HLOOKUP($A294,표1[#ALL],row(),false)</f>
        <v>#N/A</v>
      </c>
      <c r="Q294" s="372" t="str">
        <f>CS_PID!Q294/VLOOKUP($B294,표2[#ALL],2)/HLOOKUP($A294,표1[#ALL],row(),false)</f>
        <v>#N/A</v>
      </c>
      <c r="R294" s="372" t="str">
        <f>CS_PID!R294/VLOOKUP($B294,표2[#ALL],2)/HLOOKUP($A294,표1[#ALL],row(),false)</f>
        <v>#N/A</v>
      </c>
      <c r="S294" s="372" t="str">
        <f>CS_PID!S294/VLOOKUP($B294,표2[#ALL],2)/HLOOKUP($A294,표1[#ALL],row(),false)</f>
        <v>#N/A</v>
      </c>
      <c r="T294" s="372" t="str">
        <f>CS_PID!T294/VLOOKUP($B294,표2[#ALL],2)/HLOOKUP($A294,표1[#ALL],row(),false)</f>
        <v>#N/A</v>
      </c>
      <c r="U294" s="372" t="str">
        <f>CS_PID!U294/VLOOKUP($B294,표2[#ALL],2)/HLOOKUP($A294,표1[#ALL],row(),false)</f>
        <v>#N/A</v>
      </c>
      <c r="V294" s="372" t="str">
        <f>CS_PID!V294/VLOOKUP($B294,표2[#ALL],2)/HLOOKUP($A294,표1[#ALL],row(),false)</f>
        <v>#N/A</v>
      </c>
      <c r="W294" s="372" t="str">
        <f>CS_PID!W294/VLOOKUP($B294,표2[#ALL],2)/HLOOKUP($A294,표1[#ALL],row(),false)</f>
        <v>#N/A</v>
      </c>
      <c r="X294" s="372" t="str">
        <f>CS_PID!X294/VLOOKUP($B294,표2[#ALL],2)/HLOOKUP($A294,표1[#ALL],row(),false)</f>
        <v>#N/A</v>
      </c>
      <c r="Y294" s="372" t="str">
        <f>CS_PID!Y294/VLOOKUP($B294,표2[#ALL],2)/HLOOKUP($A294,표1[#ALL],row(),false)</f>
        <v>#N/A</v>
      </c>
      <c r="Z294" s="372" t="str">
        <f>CS_PID!Z294/VLOOKUP($B294,표2[#ALL],2)/HLOOKUP($A294,표1[#ALL],row(),false)</f>
        <v>#N/A</v>
      </c>
      <c r="AA294" s="372" t="str">
        <f>CS_PID!AA294/VLOOKUP($B294,표2[#ALL],2)/HLOOKUP($A294,표1[#ALL],row(),false)</f>
        <v>#N/A</v>
      </c>
      <c r="AB294" s="372" t="str">
        <f>CS_PID!AB294/VLOOKUP($B294,표2[#ALL],2)/HLOOKUP($A294,표1[#ALL],row(),false)</f>
        <v>#N/A</v>
      </c>
      <c r="AC294" s="372" t="str">
        <f>CS_PID!AC294/VLOOKUP($B294,표2[#ALL],2)/HLOOKUP($A294,표1[#ALL],row(),false)</f>
        <v>#N/A</v>
      </c>
      <c r="AD294" s="372" t="str">
        <f>CS_PID!AD294/VLOOKUP($B294,표2[#ALL],2)/HLOOKUP($A294,표1[#ALL],row(),false)</f>
        <v>#N/A</v>
      </c>
      <c r="AE294" s="372" t="str">
        <f>CS_PID!AE294/VLOOKUP($B294,표2[#ALL],2)/HLOOKUP($A294,표1[#ALL],row(),false)</f>
        <v>#N/A</v>
      </c>
      <c r="AF294" s="372" t="str">
        <f>CS_PID!AF294/VLOOKUP($B294,표2[#ALL],2)/HLOOKUP($A294,표1[#ALL],row(),false)</f>
        <v>#N/A</v>
      </c>
      <c r="AG294" s="372" t="str">
        <f>CS_PID!AG294/VLOOKUP($B294,표2[#ALL],2)/HLOOKUP($A294,표1[#ALL],row(),false)</f>
        <v>#N/A</v>
      </c>
      <c r="AH294" s="372" t="str">
        <f>CS_PID!AH294/VLOOKUP($B294,표2[#ALL],2)/HLOOKUP($A294,표1[#ALL],row(),false)</f>
        <v>#N/A</v>
      </c>
      <c r="AI294" s="372" t="str">
        <f>CS_PID!AI294/VLOOKUP($B294,표2[#ALL],2)/HLOOKUP($A294,표1[#ALL],row(),false)</f>
        <v>#N/A</v>
      </c>
      <c r="AJ294" s="372" t="str">
        <f>CS_PID!AJ294/VLOOKUP($B294,표2[#ALL],2)/HLOOKUP($A294,표1[#ALL],row(),false)</f>
        <v>#N/A</v>
      </c>
      <c r="AK294" s="372" t="str">
        <f>CS_PID!AK294/VLOOKUP($B294,표2[#ALL],2)/HLOOKUP($A294,표1[#ALL],row(),false)</f>
        <v>#N/A</v>
      </c>
      <c r="AL294" s="372" t="str">
        <f>CS_PID!AL294/VLOOKUP($B294,표2[#ALL],2)/HLOOKUP($A294,표1[#ALL],row(),false)</f>
        <v>#N/A</v>
      </c>
      <c r="AM294" s="372" t="str">
        <f>CS_PID!AM294/VLOOKUP($B294,표2[#ALL],2)/HLOOKUP($A294,표1[#ALL],row(),false)</f>
        <v>#N/A</v>
      </c>
      <c r="AN294" s="372" t="str">
        <f>CS_PID!AN294/VLOOKUP($B294,표2[#ALL],2)/HLOOKUP($A294,표1[#ALL],row(),false)</f>
        <v>#N/A</v>
      </c>
      <c r="AO294" s="372" t="str">
        <f>CS_PID!AO294/VLOOKUP($B294,표2[#ALL],2)/HLOOKUP($A294,표1[#ALL],row(),false)</f>
        <v>#N/A</v>
      </c>
      <c r="AP294" s="372" t="str">
        <f>CS_PID!AP294/VLOOKUP($B294,표2[#ALL],2)/HLOOKUP($A294,표1[#ALL],row(),false)</f>
        <v>#N/A</v>
      </c>
      <c r="AQ294" s="372" t="str">
        <f>CS_PID!AQ294/VLOOKUP($B294,표2[#ALL],2)/HLOOKUP($A294,표1[#ALL],row(),false)</f>
        <v>#N/A</v>
      </c>
      <c r="AR294" s="372" t="str">
        <f>CS_PID!AR294/VLOOKUP($B294,표2[#ALL],2)/HLOOKUP($A294,표1[#ALL],row(),false)</f>
        <v>#N/A</v>
      </c>
      <c r="AS294" s="373" t="str">
        <f>CS_PID!AS294/VLOOKUP($B294,표2[#ALL],2)/HLOOKUP($A294,표1[#ALL],row(),false)</f>
        <v>#N/A</v>
      </c>
    </row>
    <row r="295">
      <c r="A295" s="374"/>
      <c r="B295" s="375"/>
      <c r="C295" s="376" t="str">
        <f>CS_PID!C295/VLOOKUP($B295,표2[#ALL],2)</f>
        <v>#N/A</v>
      </c>
      <c r="D295" s="376" t="str">
        <f>CS_PID!D295/VLOOKUP($B295,표2[#ALL],2)</f>
        <v>#N/A</v>
      </c>
      <c r="E295" s="376" t="str">
        <f>CS_PID!E295/VLOOKUP($B295,표2[#ALL],2)</f>
        <v>#N/A</v>
      </c>
      <c r="F295" s="376" t="str">
        <f>CS_PID!F295/VLOOKUP($B295,표2[#ALL],2)</f>
        <v>#N/A</v>
      </c>
      <c r="G295" s="376" t="str">
        <f>CS_PID!G295/VLOOKUP($B295,표2[#ALL],2)</f>
        <v>#N/A</v>
      </c>
      <c r="H295" s="376" t="str">
        <f>CS_PID!H295/VLOOKUP($B295,표2[#ALL],2)/HLOOKUP($A295,표1[#ALL],row(),false)</f>
        <v>#N/A</v>
      </c>
      <c r="I295" s="376" t="str">
        <f>CS_PID!I295/VLOOKUP($B295,표2[#ALL],2)/HLOOKUP($A295,표1[#ALL],row(),false)</f>
        <v>#N/A</v>
      </c>
      <c r="J295" s="376" t="str">
        <f>CS_PID!J295/VLOOKUP($B295,표2[#ALL],2)/HLOOKUP($A295,표1[#ALL],row(),false)</f>
        <v>#N/A</v>
      </c>
      <c r="K295" s="376" t="str">
        <f>CS_PID!K295/VLOOKUP($B295,표2[#ALL],2)/HLOOKUP($A295,표1[#ALL],row(),false)</f>
        <v>#N/A</v>
      </c>
      <c r="L295" s="376" t="str">
        <f>CS_PID!L295/VLOOKUP($B295,표2[#ALL],2)/HLOOKUP($A295,표1[#ALL],row(),false)</f>
        <v>#N/A</v>
      </c>
      <c r="M295" s="376" t="str">
        <f>CS_PID!M295/VLOOKUP($B295,표2[#ALL],2)/HLOOKUP($A295,표1[#ALL],row(),false)</f>
        <v>#N/A</v>
      </c>
      <c r="N295" s="376" t="str">
        <f>CS_PID!N295/VLOOKUP($B295,표2[#ALL],2)/HLOOKUP($A295,표1[#ALL],row(),false)</f>
        <v>#N/A</v>
      </c>
      <c r="O295" s="376" t="str">
        <f>CS_PID!O295/VLOOKUP($B295,표2[#ALL],2)/HLOOKUP($A295,표1[#ALL],row(),false)</f>
        <v>#N/A</v>
      </c>
      <c r="P295" s="376" t="str">
        <f>CS_PID!P295/VLOOKUP($B295,표2[#ALL],2)/HLOOKUP($A295,표1[#ALL],row(),false)</f>
        <v>#N/A</v>
      </c>
      <c r="Q295" s="376" t="str">
        <f>CS_PID!Q295/VLOOKUP($B295,표2[#ALL],2)/HLOOKUP($A295,표1[#ALL],row(),false)</f>
        <v>#N/A</v>
      </c>
      <c r="R295" s="376" t="str">
        <f>CS_PID!R295/VLOOKUP($B295,표2[#ALL],2)/HLOOKUP($A295,표1[#ALL],row(),false)</f>
        <v>#N/A</v>
      </c>
      <c r="S295" s="376" t="str">
        <f>CS_PID!S295/VLOOKUP($B295,표2[#ALL],2)/HLOOKUP($A295,표1[#ALL],row(),false)</f>
        <v>#N/A</v>
      </c>
      <c r="T295" s="376" t="str">
        <f>CS_PID!T295/VLOOKUP($B295,표2[#ALL],2)/HLOOKUP($A295,표1[#ALL],row(),false)</f>
        <v>#N/A</v>
      </c>
      <c r="U295" s="376" t="str">
        <f>CS_PID!U295/VLOOKUP($B295,표2[#ALL],2)/HLOOKUP($A295,표1[#ALL],row(),false)</f>
        <v>#N/A</v>
      </c>
      <c r="V295" s="376" t="str">
        <f>CS_PID!V295/VLOOKUP($B295,표2[#ALL],2)/HLOOKUP($A295,표1[#ALL],row(),false)</f>
        <v>#N/A</v>
      </c>
      <c r="W295" s="376" t="str">
        <f>CS_PID!W295/VLOOKUP($B295,표2[#ALL],2)/HLOOKUP($A295,표1[#ALL],row(),false)</f>
        <v>#N/A</v>
      </c>
      <c r="X295" s="376" t="str">
        <f>CS_PID!X295/VLOOKUP($B295,표2[#ALL],2)/HLOOKUP($A295,표1[#ALL],row(),false)</f>
        <v>#N/A</v>
      </c>
      <c r="Y295" s="376" t="str">
        <f>CS_PID!Y295/VLOOKUP($B295,표2[#ALL],2)/HLOOKUP($A295,표1[#ALL],row(),false)</f>
        <v>#N/A</v>
      </c>
      <c r="Z295" s="376" t="str">
        <f>CS_PID!Z295/VLOOKUP($B295,표2[#ALL],2)/HLOOKUP($A295,표1[#ALL],row(),false)</f>
        <v>#N/A</v>
      </c>
      <c r="AA295" s="376" t="str">
        <f>CS_PID!AA295/VLOOKUP($B295,표2[#ALL],2)/HLOOKUP($A295,표1[#ALL],row(),false)</f>
        <v>#N/A</v>
      </c>
      <c r="AB295" s="376" t="str">
        <f>CS_PID!AB295/VLOOKUP($B295,표2[#ALL],2)/HLOOKUP($A295,표1[#ALL],row(),false)</f>
        <v>#N/A</v>
      </c>
      <c r="AC295" s="376" t="str">
        <f>CS_PID!AC295/VLOOKUP($B295,표2[#ALL],2)/HLOOKUP($A295,표1[#ALL],row(),false)</f>
        <v>#N/A</v>
      </c>
      <c r="AD295" s="376" t="str">
        <f>CS_PID!AD295/VLOOKUP($B295,표2[#ALL],2)/HLOOKUP($A295,표1[#ALL],row(),false)</f>
        <v>#N/A</v>
      </c>
      <c r="AE295" s="376" t="str">
        <f>CS_PID!AE295/VLOOKUP($B295,표2[#ALL],2)/HLOOKUP($A295,표1[#ALL],row(),false)</f>
        <v>#N/A</v>
      </c>
      <c r="AF295" s="376" t="str">
        <f>CS_PID!AF295/VLOOKUP($B295,표2[#ALL],2)/HLOOKUP($A295,표1[#ALL],row(),false)</f>
        <v>#N/A</v>
      </c>
      <c r="AG295" s="376" t="str">
        <f>CS_PID!AG295/VLOOKUP($B295,표2[#ALL],2)/HLOOKUP($A295,표1[#ALL],row(),false)</f>
        <v>#N/A</v>
      </c>
      <c r="AH295" s="376" t="str">
        <f>CS_PID!AH295/VLOOKUP($B295,표2[#ALL],2)/HLOOKUP($A295,표1[#ALL],row(),false)</f>
        <v>#N/A</v>
      </c>
      <c r="AI295" s="376" t="str">
        <f>CS_PID!AI295/VLOOKUP($B295,표2[#ALL],2)/HLOOKUP($A295,표1[#ALL],row(),false)</f>
        <v>#N/A</v>
      </c>
      <c r="AJ295" s="376" t="str">
        <f>CS_PID!AJ295/VLOOKUP($B295,표2[#ALL],2)/HLOOKUP($A295,표1[#ALL],row(),false)</f>
        <v>#N/A</v>
      </c>
      <c r="AK295" s="376" t="str">
        <f>CS_PID!AK295/VLOOKUP($B295,표2[#ALL],2)/HLOOKUP($A295,표1[#ALL],row(),false)</f>
        <v>#N/A</v>
      </c>
      <c r="AL295" s="376" t="str">
        <f>CS_PID!AL295/VLOOKUP($B295,표2[#ALL],2)/HLOOKUP($A295,표1[#ALL],row(),false)</f>
        <v>#N/A</v>
      </c>
      <c r="AM295" s="376" t="str">
        <f>CS_PID!AM295/VLOOKUP($B295,표2[#ALL],2)/HLOOKUP($A295,표1[#ALL],row(),false)</f>
        <v>#N/A</v>
      </c>
      <c r="AN295" s="376" t="str">
        <f>CS_PID!AN295/VLOOKUP($B295,표2[#ALL],2)/HLOOKUP($A295,표1[#ALL],row(),false)</f>
        <v>#N/A</v>
      </c>
      <c r="AO295" s="376" t="str">
        <f>CS_PID!AO295/VLOOKUP($B295,표2[#ALL],2)/HLOOKUP($A295,표1[#ALL],row(),false)</f>
        <v>#N/A</v>
      </c>
      <c r="AP295" s="376" t="str">
        <f>CS_PID!AP295/VLOOKUP($B295,표2[#ALL],2)/HLOOKUP($A295,표1[#ALL],row(),false)</f>
        <v>#N/A</v>
      </c>
      <c r="AQ295" s="376" t="str">
        <f>CS_PID!AQ295/VLOOKUP($B295,표2[#ALL],2)/HLOOKUP($A295,표1[#ALL],row(),false)</f>
        <v>#N/A</v>
      </c>
      <c r="AR295" s="376" t="str">
        <f>CS_PID!AR295/VLOOKUP($B295,표2[#ALL],2)/HLOOKUP($A295,표1[#ALL],row(),false)</f>
        <v>#N/A</v>
      </c>
      <c r="AS295" s="377" t="str">
        <f>CS_PID!AS295/VLOOKUP($B295,표2[#ALL],2)/HLOOKUP($A295,표1[#ALL],row(),false)</f>
        <v>#N/A</v>
      </c>
    </row>
    <row r="296">
      <c r="A296" s="370"/>
      <c r="B296" s="371"/>
      <c r="C296" s="372" t="str">
        <f>CS_PID!C296/VLOOKUP($B296,표2[#ALL],2)</f>
        <v>#N/A</v>
      </c>
      <c r="D296" s="372" t="str">
        <f>CS_PID!D296/VLOOKUP($B296,표2[#ALL],2)</f>
        <v>#N/A</v>
      </c>
      <c r="E296" s="372" t="str">
        <f>CS_PID!E296/VLOOKUP($B296,표2[#ALL],2)</f>
        <v>#N/A</v>
      </c>
      <c r="F296" s="372" t="str">
        <f>CS_PID!F296/VLOOKUP($B296,표2[#ALL],2)</f>
        <v>#N/A</v>
      </c>
      <c r="G296" s="372" t="str">
        <f>CS_PID!G296/VLOOKUP($B296,표2[#ALL],2)</f>
        <v>#N/A</v>
      </c>
      <c r="H296" s="372" t="str">
        <f>CS_PID!H296/VLOOKUP($B296,표2[#ALL],2)/HLOOKUP($A296,표1[#ALL],row(),false)</f>
        <v>#N/A</v>
      </c>
      <c r="I296" s="372" t="str">
        <f>CS_PID!I296/VLOOKUP($B296,표2[#ALL],2)/HLOOKUP($A296,표1[#ALL],row(),false)</f>
        <v>#N/A</v>
      </c>
      <c r="J296" s="372" t="str">
        <f>CS_PID!J296/VLOOKUP($B296,표2[#ALL],2)/HLOOKUP($A296,표1[#ALL],row(),false)</f>
        <v>#N/A</v>
      </c>
      <c r="K296" s="372" t="str">
        <f>CS_PID!K296/VLOOKUP($B296,표2[#ALL],2)/HLOOKUP($A296,표1[#ALL],row(),false)</f>
        <v>#N/A</v>
      </c>
      <c r="L296" s="372" t="str">
        <f>CS_PID!L296/VLOOKUP($B296,표2[#ALL],2)/HLOOKUP($A296,표1[#ALL],row(),false)</f>
        <v>#N/A</v>
      </c>
      <c r="M296" s="372" t="str">
        <f>CS_PID!M296/VLOOKUP($B296,표2[#ALL],2)/HLOOKUP($A296,표1[#ALL],row(),false)</f>
        <v>#N/A</v>
      </c>
      <c r="N296" s="372" t="str">
        <f>CS_PID!N296/VLOOKUP($B296,표2[#ALL],2)/HLOOKUP($A296,표1[#ALL],row(),false)</f>
        <v>#N/A</v>
      </c>
      <c r="O296" s="372" t="str">
        <f>CS_PID!O296/VLOOKUP($B296,표2[#ALL],2)/HLOOKUP($A296,표1[#ALL],row(),false)</f>
        <v>#N/A</v>
      </c>
      <c r="P296" s="372" t="str">
        <f>CS_PID!P296/VLOOKUP($B296,표2[#ALL],2)/HLOOKUP($A296,표1[#ALL],row(),false)</f>
        <v>#N/A</v>
      </c>
      <c r="Q296" s="372" t="str">
        <f>CS_PID!Q296/VLOOKUP($B296,표2[#ALL],2)/HLOOKUP($A296,표1[#ALL],row(),false)</f>
        <v>#N/A</v>
      </c>
      <c r="R296" s="372" t="str">
        <f>CS_PID!R296/VLOOKUP($B296,표2[#ALL],2)/HLOOKUP($A296,표1[#ALL],row(),false)</f>
        <v>#N/A</v>
      </c>
      <c r="S296" s="372" t="str">
        <f>CS_PID!S296/VLOOKUP($B296,표2[#ALL],2)/HLOOKUP($A296,표1[#ALL],row(),false)</f>
        <v>#N/A</v>
      </c>
      <c r="T296" s="372" t="str">
        <f>CS_PID!T296/VLOOKUP($B296,표2[#ALL],2)/HLOOKUP($A296,표1[#ALL],row(),false)</f>
        <v>#N/A</v>
      </c>
      <c r="U296" s="372" t="str">
        <f>CS_PID!U296/VLOOKUP($B296,표2[#ALL],2)/HLOOKUP($A296,표1[#ALL],row(),false)</f>
        <v>#N/A</v>
      </c>
      <c r="V296" s="372" t="str">
        <f>CS_PID!V296/VLOOKUP($B296,표2[#ALL],2)/HLOOKUP($A296,표1[#ALL],row(),false)</f>
        <v>#N/A</v>
      </c>
      <c r="W296" s="372" t="str">
        <f>CS_PID!W296/VLOOKUP($B296,표2[#ALL],2)/HLOOKUP($A296,표1[#ALL],row(),false)</f>
        <v>#N/A</v>
      </c>
      <c r="X296" s="372" t="str">
        <f>CS_PID!X296/VLOOKUP($B296,표2[#ALL],2)/HLOOKUP($A296,표1[#ALL],row(),false)</f>
        <v>#N/A</v>
      </c>
      <c r="Y296" s="372" t="str">
        <f>CS_PID!Y296/VLOOKUP($B296,표2[#ALL],2)/HLOOKUP($A296,표1[#ALL],row(),false)</f>
        <v>#N/A</v>
      </c>
      <c r="Z296" s="372" t="str">
        <f>CS_PID!Z296/VLOOKUP($B296,표2[#ALL],2)/HLOOKUP($A296,표1[#ALL],row(),false)</f>
        <v>#N/A</v>
      </c>
      <c r="AA296" s="372" t="str">
        <f>CS_PID!AA296/VLOOKUP($B296,표2[#ALL],2)/HLOOKUP($A296,표1[#ALL],row(),false)</f>
        <v>#N/A</v>
      </c>
      <c r="AB296" s="372" t="str">
        <f>CS_PID!AB296/VLOOKUP($B296,표2[#ALL],2)/HLOOKUP($A296,표1[#ALL],row(),false)</f>
        <v>#N/A</v>
      </c>
      <c r="AC296" s="372" t="str">
        <f>CS_PID!AC296/VLOOKUP($B296,표2[#ALL],2)/HLOOKUP($A296,표1[#ALL],row(),false)</f>
        <v>#N/A</v>
      </c>
      <c r="AD296" s="372" t="str">
        <f>CS_PID!AD296/VLOOKUP($B296,표2[#ALL],2)/HLOOKUP($A296,표1[#ALL],row(),false)</f>
        <v>#N/A</v>
      </c>
      <c r="AE296" s="372" t="str">
        <f>CS_PID!AE296/VLOOKUP($B296,표2[#ALL],2)/HLOOKUP($A296,표1[#ALL],row(),false)</f>
        <v>#N/A</v>
      </c>
      <c r="AF296" s="372" t="str">
        <f>CS_PID!AF296/VLOOKUP($B296,표2[#ALL],2)/HLOOKUP($A296,표1[#ALL],row(),false)</f>
        <v>#N/A</v>
      </c>
      <c r="AG296" s="372" t="str">
        <f>CS_PID!AG296/VLOOKUP($B296,표2[#ALL],2)/HLOOKUP($A296,표1[#ALL],row(),false)</f>
        <v>#N/A</v>
      </c>
      <c r="AH296" s="372" t="str">
        <f>CS_PID!AH296/VLOOKUP($B296,표2[#ALL],2)/HLOOKUP($A296,표1[#ALL],row(),false)</f>
        <v>#N/A</v>
      </c>
      <c r="AI296" s="372" t="str">
        <f>CS_PID!AI296/VLOOKUP($B296,표2[#ALL],2)/HLOOKUP($A296,표1[#ALL],row(),false)</f>
        <v>#N/A</v>
      </c>
      <c r="AJ296" s="372" t="str">
        <f>CS_PID!AJ296/VLOOKUP($B296,표2[#ALL],2)/HLOOKUP($A296,표1[#ALL],row(),false)</f>
        <v>#N/A</v>
      </c>
      <c r="AK296" s="372" t="str">
        <f>CS_PID!AK296/VLOOKUP($B296,표2[#ALL],2)/HLOOKUP($A296,표1[#ALL],row(),false)</f>
        <v>#N/A</v>
      </c>
      <c r="AL296" s="372" t="str">
        <f>CS_PID!AL296/VLOOKUP($B296,표2[#ALL],2)/HLOOKUP($A296,표1[#ALL],row(),false)</f>
        <v>#N/A</v>
      </c>
      <c r="AM296" s="372" t="str">
        <f>CS_PID!AM296/VLOOKUP($B296,표2[#ALL],2)/HLOOKUP($A296,표1[#ALL],row(),false)</f>
        <v>#N/A</v>
      </c>
      <c r="AN296" s="372" t="str">
        <f>CS_PID!AN296/VLOOKUP($B296,표2[#ALL],2)/HLOOKUP($A296,표1[#ALL],row(),false)</f>
        <v>#N/A</v>
      </c>
      <c r="AO296" s="372" t="str">
        <f>CS_PID!AO296/VLOOKUP($B296,표2[#ALL],2)/HLOOKUP($A296,표1[#ALL],row(),false)</f>
        <v>#N/A</v>
      </c>
      <c r="AP296" s="372" t="str">
        <f>CS_PID!AP296/VLOOKUP($B296,표2[#ALL],2)/HLOOKUP($A296,표1[#ALL],row(),false)</f>
        <v>#N/A</v>
      </c>
      <c r="AQ296" s="372" t="str">
        <f>CS_PID!AQ296/VLOOKUP($B296,표2[#ALL],2)/HLOOKUP($A296,표1[#ALL],row(),false)</f>
        <v>#N/A</v>
      </c>
      <c r="AR296" s="372" t="str">
        <f>CS_PID!AR296/VLOOKUP($B296,표2[#ALL],2)/HLOOKUP($A296,표1[#ALL],row(),false)</f>
        <v>#N/A</v>
      </c>
      <c r="AS296" s="373" t="str">
        <f>CS_PID!AS296/VLOOKUP($B296,표2[#ALL],2)/HLOOKUP($A296,표1[#ALL],row(),false)</f>
        <v>#N/A</v>
      </c>
    </row>
    <row r="297">
      <c r="A297" s="374"/>
      <c r="B297" s="375"/>
      <c r="C297" s="376" t="str">
        <f>CS_PID!C297/VLOOKUP($B297,표2[#ALL],2)</f>
        <v>#N/A</v>
      </c>
      <c r="D297" s="376" t="str">
        <f>CS_PID!D297/VLOOKUP($B297,표2[#ALL],2)</f>
        <v>#N/A</v>
      </c>
      <c r="E297" s="376" t="str">
        <f>CS_PID!E297/VLOOKUP($B297,표2[#ALL],2)</f>
        <v>#N/A</v>
      </c>
      <c r="F297" s="376" t="str">
        <f>CS_PID!F297/VLOOKUP($B297,표2[#ALL],2)</f>
        <v>#N/A</v>
      </c>
      <c r="G297" s="376" t="str">
        <f>CS_PID!G297/VLOOKUP($B297,표2[#ALL],2)</f>
        <v>#N/A</v>
      </c>
      <c r="H297" s="376" t="str">
        <f>CS_PID!H297/VLOOKUP($B297,표2[#ALL],2)/HLOOKUP($A297,표1[#ALL],row(),false)</f>
        <v>#N/A</v>
      </c>
      <c r="I297" s="376" t="str">
        <f>CS_PID!I297/VLOOKUP($B297,표2[#ALL],2)/HLOOKUP($A297,표1[#ALL],row(),false)</f>
        <v>#N/A</v>
      </c>
      <c r="J297" s="376" t="str">
        <f>CS_PID!J297/VLOOKUP($B297,표2[#ALL],2)/HLOOKUP($A297,표1[#ALL],row(),false)</f>
        <v>#N/A</v>
      </c>
      <c r="K297" s="376" t="str">
        <f>CS_PID!K297/VLOOKUP($B297,표2[#ALL],2)/HLOOKUP($A297,표1[#ALL],row(),false)</f>
        <v>#N/A</v>
      </c>
      <c r="L297" s="376" t="str">
        <f>CS_PID!L297/VLOOKUP($B297,표2[#ALL],2)/HLOOKUP($A297,표1[#ALL],row(),false)</f>
        <v>#N/A</v>
      </c>
      <c r="M297" s="376" t="str">
        <f>CS_PID!M297/VLOOKUP($B297,표2[#ALL],2)/HLOOKUP($A297,표1[#ALL],row(),false)</f>
        <v>#N/A</v>
      </c>
      <c r="N297" s="376" t="str">
        <f>CS_PID!N297/VLOOKUP($B297,표2[#ALL],2)/HLOOKUP($A297,표1[#ALL],row(),false)</f>
        <v>#N/A</v>
      </c>
      <c r="O297" s="376" t="str">
        <f>CS_PID!O297/VLOOKUP($B297,표2[#ALL],2)/HLOOKUP($A297,표1[#ALL],row(),false)</f>
        <v>#N/A</v>
      </c>
      <c r="P297" s="376" t="str">
        <f>CS_PID!P297/VLOOKUP($B297,표2[#ALL],2)/HLOOKUP($A297,표1[#ALL],row(),false)</f>
        <v>#N/A</v>
      </c>
      <c r="Q297" s="376" t="str">
        <f>CS_PID!Q297/VLOOKUP($B297,표2[#ALL],2)/HLOOKUP($A297,표1[#ALL],row(),false)</f>
        <v>#N/A</v>
      </c>
      <c r="R297" s="376" t="str">
        <f>CS_PID!R297/VLOOKUP($B297,표2[#ALL],2)/HLOOKUP($A297,표1[#ALL],row(),false)</f>
        <v>#N/A</v>
      </c>
      <c r="S297" s="376" t="str">
        <f>CS_PID!S297/VLOOKUP($B297,표2[#ALL],2)/HLOOKUP($A297,표1[#ALL],row(),false)</f>
        <v>#N/A</v>
      </c>
      <c r="T297" s="376" t="str">
        <f>CS_PID!T297/VLOOKUP($B297,표2[#ALL],2)/HLOOKUP($A297,표1[#ALL],row(),false)</f>
        <v>#N/A</v>
      </c>
      <c r="U297" s="376" t="str">
        <f>CS_PID!U297/VLOOKUP($B297,표2[#ALL],2)/HLOOKUP($A297,표1[#ALL],row(),false)</f>
        <v>#N/A</v>
      </c>
      <c r="V297" s="376" t="str">
        <f>CS_PID!V297/VLOOKUP($B297,표2[#ALL],2)/HLOOKUP($A297,표1[#ALL],row(),false)</f>
        <v>#N/A</v>
      </c>
      <c r="W297" s="376" t="str">
        <f>CS_PID!W297/VLOOKUP($B297,표2[#ALL],2)/HLOOKUP($A297,표1[#ALL],row(),false)</f>
        <v>#N/A</v>
      </c>
      <c r="X297" s="376" t="str">
        <f>CS_PID!X297/VLOOKUP($B297,표2[#ALL],2)/HLOOKUP($A297,표1[#ALL],row(),false)</f>
        <v>#N/A</v>
      </c>
      <c r="Y297" s="376" t="str">
        <f>CS_PID!Y297/VLOOKUP($B297,표2[#ALL],2)/HLOOKUP($A297,표1[#ALL],row(),false)</f>
        <v>#N/A</v>
      </c>
      <c r="Z297" s="376" t="str">
        <f>CS_PID!Z297/VLOOKUP($B297,표2[#ALL],2)/HLOOKUP($A297,표1[#ALL],row(),false)</f>
        <v>#N/A</v>
      </c>
      <c r="AA297" s="376" t="str">
        <f>CS_PID!AA297/VLOOKUP($B297,표2[#ALL],2)/HLOOKUP($A297,표1[#ALL],row(),false)</f>
        <v>#N/A</v>
      </c>
      <c r="AB297" s="376" t="str">
        <f>CS_PID!AB297/VLOOKUP($B297,표2[#ALL],2)/HLOOKUP($A297,표1[#ALL],row(),false)</f>
        <v>#N/A</v>
      </c>
      <c r="AC297" s="376" t="str">
        <f>CS_PID!AC297/VLOOKUP($B297,표2[#ALL],2)/HLOOKUP($A297,표1[#ALL],row(),false)</f>
        <v>#N/A</v>
      </c>
      <c r="AD297" s="376" t="str">
        <f>CS_PID!AD297/VLOOKUP($B297,표2[#ALL],2)/HLOOKUP($A297,표1[#ALL],row(),false)</f>
        <v>#N/A</v>
      </c>
      <c r="AE297" s="376" t="str">
        <f>CS_PID!AE297/VLOOKUP($B297,표2[#ALL],2)/HLOOKUP($A297,표1[#ALL],row(),false)</f>
        <v>#N/A</v>
      </c>
      <c r="AF297" s="376" t="str">
        <f>CS_PID!AF297/VLOOKUP($B297,표2[#ALL],2)/HLOOKUP($A297,표1[#ALL],row(),false)</f>
        <v>#N/A</v>
      </c>
      <c r="AG297" s="376" t="str">
        <f>CS_PID!AG297/VLOOKUP($B297,표2[#ALL],2)/HLOOKUP($A297,표1[#ALL],row(),false)</f>
        <v>#N/A</v>
      </c>
      <c r="AH297" s="376" t="str">
        <f>CS_PID!AH297/VLOOKUP($B297,표2[#ALL],2)/HLOOKUP($A297,표1[#ALL],row(),false)</f>
        <v>#N/A</v>
      </c>
      <c r="AI297" s="376" t="str">
        <f>CS_PID!AI297/VLOOKUP($B297,표2[#ALL],2)/HLOOKUP($A297,표1[#ALL],row(),false)</f>
        <v>#N/A</v>
      </c>
      <c r="AJ297" s="376" t="str">
        <f>CS_PID!AJ297/VLOOKUP($B297,표2[#ALL],2)/HLOOKUP($A297,표1[#ALL],row(),false)</f>
        <v>#N/A</v>
      </c>
      <c r="AK297" s="376" t="str">
        <f>CS_PID!AK297/VLOOKUP($B297,표2[#ALL],2)/HLOOKUP($A297,표1[#ALL],row(),false)</f>
        <v>#N/A</v>
      </c>
      <c r="AL297" s="376" t="str">
        <f>CS_PID!AL297/VLOOKUP($B297,표2[#ALL],2)/HLOOKUP($A297,표1[#ALL],row(),false)</f>
        <v>#N/A</v>
      </c>
      <c r="AM297" s="376" t="str">
        <f>CS_PID!AM297/VLOOKUP($B297,표2[#ALL],2)/HLOOKUP($A297,표1[#ALL],row(),false)</f>
        <v>#N/A</v>
      </c>
      <c r="AN297" s="376" t="str">
        <f>CS_PID!AN297/VLOOKUP($B297,표2[#ALL],2)/HLOOKUP($A297,표1[#ALL],row(),false)</f>
        <v>#N/A</v>
      </c>
      <c r="AO297" s="376" t="str">
        <f>CS_PID!AO297/VLOOKUP($B297,표2[#ALL],2)/HLOOKUP($A297,표1[#ALL],row(),false)</f>
        <v>#N/A</v>
      </c>
      <c r="AP297" s="376" t="str">
        <f>CS_PID!AP297/VLOOKUP($B297,표2[#ALL],2)/HLOOKUP($A297,표1[#ALL],row(),false)</f>
        <v>#N/A</v>
      </c>
      <c r="AQ297" s="376" t="str">
        <f>CS_PID!AQ297/VLOOKUP($B297,표2[#ALL],2)/HLOOKUP($A297,표1[#ALL],row(),false)</f>
        <v>#N/A</v>
      </c>
      <c r="AR297" s="376" t="str">
        <f>CS_PID!AR297/VLOOKUP($B297,표2[#ALL],2)/HLOOKUP($A297,표1[#ALL],row(),false)</f>
        <v>#N/A</v>
      </c>
      <c r="AS297" s="377" t="str">
        <f>CS_PID!AS297/VLOOKUP($B297,표2[#ALL],2)/HLOOKUP($A297,표1[#ALL],row(),false)</f>
        <v>#N/A</v>
      </c>
    </row>
    <row r="298">
      <c r="A298" s="370"/>
      <c r="B298" s="371"/>
      <c r="C298" s="372" t="str">
        <f>CS_PID!C298/VLOOKUP($B298,표2[#ALL],2)</f>
        <v>#N/A</v>
      </c>
      <c r="D298" s="372" t="str">
        <f>CS_PID!D298/VLOOKUP($B298,표2[#ALL],2)</f>
        <v>#N/A</v>
      </c>
      <c r="E298" s="372" t="str">
        <f>CS_PID!E298/VLOOKUP($B298,표2[#ALL],2)</f>
        <v>#N/A</v>
      </c>
      <c r="F298" s="372" t="str">
        <f>CS_PID!F298/VLOOKUP($B298,표2[#ALL],2)</f>
        <v>#N/A</v>
      </c>
      <c r="G298" s="372" t="str">
        <f>CS_PID!G298/VLOOKUP($B298,표2[#ALL],2)</f>
        <v>#N/A</v>
      </c>
      <c r="H298" s="372" t="str">
        <f>CS_PID!H298/VLOOKUP($B298,표2[#ALL],2)/HLOOKUP($A298,표1[#ALL],row(),false)</f>
        <v>#N/A</v>
      </c>
      <c r="I298" s="372" t="str">
        <f>CS_PID!I298/VLOOKUP($B298,표2[#ALL],2)/HLOOKUP($A298,표1[#ALL],row(),false)</f>
        <v>#N/A</v>
      </c>
      <c r="J298" s="372" t="str">
        <f>CS_PID!J298/VLOOKUP($B298,표2[#ALL],2)/HLOOKUP($A298,표1[#ALL],row(),false)</f>
        <v>#N/A</v>
      </c>
      <c r="K298" s="372" t="str">
        <f>CS_PID!K298/VLOOKUP($B298,표2[#ALL],2)/HLOOKUP($A298,표1[#ALL],row(),false)</f>
        <v>#N/A</v>
      </c>
      <c r="L298" s="372" t="str">
        <f>CS_PID!L298/VLOOKUP($B298,표2[#ALL],2)/HLOOKUP($A298,표1[#ALL],row(),false)</f>
        <v>#N/A</v>
      </c>
      <c r="M298" s="372" t="str">
        <f>CS_PID!M298/VLOOKUP($B298,표2[#ALL],2)/HLOOKUP($A298,표1[#ALL],row(),false)</f>
        <v>#N/A</v>
      </c>
      <c r="N298" s="372" t="str">
        <f>CS_PID!N298/VLOOKUP($B298,표2[#ALL],2)/HLOOKUP($A298,표1[#ALL],row(),false)</f>
        <v>#N/A</v>
      </c>
      <c r="O298" s="372" t="str">
        <f>CS_PID!O298/VLOOKUP($B298,표2[#ALL],2)/HLOOKUP($A298,표1[#ALL],row(),false)</f>
        <v>#N/A</v>
      </c>
      <c r="P298" s="372" t="str">
        <f>CS_PID!P298/VLOOKUP($B298,표2[#ALL],2)/HLOOKUP($A298,표1[#ALL],row(),false)</f>
        <v>#N/A</v>
      </c>
      <c r="Q298" s="372" t="str">
        <f>CS_PID!Q298/VLOOKUP($B298,표2[#ALL],2)/HLOOKUP($A298,표1[#ALL],row(),false)</f>
        <v>#N/A</v>
      </c>
      <c r="R298" s="372" t="str">
        <f>CS_PID!R298/VLOOKUP($B298,표2[#ALL],2)/HLOOKUP($A298,표1[#ALL],row(),false)</f>
        <v>#N/A</v>
      </c>
      <c r="S298" s="372" t="str">
        <f>CS_PID!S298/VLOOKUP($B298,표2[#ALL],2)/HLOOKUP($A298,표1[#ALL],row(),false)</f>
        <v>#N/A</v>
      </c>
      <c r="T298" s="372" t="str">
        <f>CS_PID!T298/VLOOKUP($B298,표2[#ALL],2)/HLOOKUP($A298,표1[#ALL],row(),false)</f>
        <v>#N/A</v>
      </c>
      <c r="U298" s="372" t="str">
        <f>CS_PID!U298/VLOOKUP($B298,표2[#ALL],2)/HLOOKUP($A298,표1[#ALL],row(),false)</f>
        <v>#N/A</v>
      </c>
      <c r="V298" s="372" t="str">
        <f>CS_PID!V298/VLOOKUP($B298,표2[#ALL],2)/HLOOKUP($A298,표1[#ALL],row(),false)</f>
        <v>#N/A</v>
      </c>
      <c r="W298" s="372" t="str">
        <f>CS_PID!W298/VLOOKUP($B298,표2[#ALL],2)/HLOOKUP($A298,표1[#ALL],row(),false)</f>
        <v>#N/A</v>
      </c>
      <c r="X298" s="372" t="str">
        <f>CS_PID!X298/VLOOKUP($B298,표2[#ALL],2)/HLOOKUP($A298,표1[#ALL],row(),false)</f>
        <v>#N/A</v>
      </c>
      <c r="Y298" s="372" t="str">
        <f>CS_PID!Y298/VLOOKUP($B298,표2[#ALL],2)/HLOOKUP($A298,표1[#ALL],row(),false)</f>
        <v>#N/A</v>
      </c>
      <c r="Z298" s="372" t="str">
        <f>CS_PID!Z298/VLOOKUP($B298,표2[#ALL],2)/HLOOKUP($A298,표1[#ALL],row(),false)</f>
        <v>#N/A</v>
      </c>
      <c r="AA298" s="372" t="str">
        <f>CS_PID!AA298/VLOOKUP($B298,표2[#ALL],2)/HLOOKUP($A298,표1[#ALL],row(),false)</f>
        <v>#N/A</v>
      </c>
      <c r="AB298" s="372" t="str">
        <f>CS_PID!AB298/VLOOKUP($B298,표2[#ALL],2)/HLOOKUP($A298,표1[#ALL],row(),false)</f>
        <v>#N/A</v>
      </c>
      <c r="AC298" s="372" t="str">
        <f>CS_PID!AC298/VLOOKUP($B298,표2[#ALL],2)/HLOOKUP($A298,표1[#ALL],row(),false)</f>
        <v>#N/A</v>
      </c>
      <c r="AD298" s="372" t="str">
        <f>CS_PID!AD298/VLOOKUP($B298,표2[#ALL],2)/HLOOKUP($A298,표1[#ALL],row(),false)</f>
        <v>#N/A</v>
      </c>
      <c r="AE298" s="372" t="str">
        <f>CS_PID!AE298/VLOOKUP($B298,표2[#ALL],2)/HLOOKUP($A298,표1[#ALL],row(),false)</f>
        <v>#N/A</v>
      </c>
      <c r="AF298" s="372" t="str">
        <f>CS_PID!AF298/VLOOKUP($B298,표2[#ALL],2)/HLOOKUP($A298,표1[#ALL],row(),false)</f>
        <v>#N/A</v>
      </c>
      <c r="AG298" s="372" t="str">
        <f>CS_PID!AG298/VLOOKUP($B298,표2[#ALL],2)/HLOOKUP($A298,표1[#ALL],row(),false)</f>
        <v>#N/A</v>
      </c>
      <c r="AH298" s="372" t="str">
        <f>CS_PID!AH298/VLOOKUP($B298,표2[#ALL],2)/HLOOKUP($A298,표1[#ALL],row(),false)</f>
        <v>#N/A</v>
      </c>
      <c r="AI298" s="372" t="str">
        <f>CS_PID!AI298/VLOOKUP($B298,표2[#ALL],2)/HLOOKUP($A298,표1[#ALL],row(),false)</f>
        <v>#N/A</v>
      </c>
      <c r="AJ298" s="372" t="str">
        <f>CS_PID!AJ298/VLOOKUP($B298,표2[#ALL],2)/HLOOKUP($A298,표1[#ALL],row(),false)</f>
        <v>#N/A</v>
      </c>
      <c r="AK298" s="372" t="str">
        <f>CS_PID!AK298/VLOOKUP($B298,표2[#ALL],2)/HLOOKUP($A298,표1[#ALL],row(),false)</f>
        <v>#N/A</v>
      </c>
      <c r="AL298" s="372" t="str">
        <f>CS_PID!AL298/VLOOKUP($B298,표2[#ALL],2)/HLOOKUP($A298,표1[#ALL],row(),false)</f>
        <v>#N/A</v>
      </c>
      <c r="AM298" s="372" t="str">
        <f>CS_PID!AM298/VLOOKUP($B298,표2[#ALL],2)/HLOOKUP($A298,표1[#ALL],row(),false)</f>
        <v>#N/A</v>
      </c>
      <c r="AN298" s="372" t="str">
        <f>CS_PID!AN298/VLOOKUP($B298,표2[#ALL],2)/HLOOKUP($A298,표1[#ALL],row(),false)</f>
        <v>#N/A</v>
      </c>
      <c r="AO298" s="372" t="str">
        <f>CS_PID!AO298/VLOOKUP($B298,표2[#ALL],2)/HLOOKUP($A298,표1[#ALL],row(),false)</f>
        <v>#N/A</v>
      </c>
      <c r="AP298" s="372" t="str">
        <f>CS_PID!AP298/VLOOKUP($B298,표2[#ALL],2)/HLOOKUP($A298,표1[#ALL],row(),false)</f>
        <v>#N/A</v>
      </c>
      <c r="AQ298" s="372" t="str">
        <f>CS_PID!AQ298/VLOOKUP($B298,표2[#ALL],2)/HLOOKUP($A298,표1[#ALL],row(),false)</f>
        <v>#N/A</v>
      </c>
      <c r="AR298" s="372" t="str">
        <f>CS_PID!AR298/VLOOKUP($B298,표2[#ALL],2)/HLOOKUP($A298,표1[#ALL],row(),false)</f>
        <v>#N/A</v>
      </c>
      <c r="AS298" s="373" t="str">
        <f>CS_PID!AS298/VLOOKUP($B298,표2[#ALL],2)/HLOOKUP($A298,표1[#ALL],row(),false)</f>
        <v>#N/A</v>
      </c>
    </row>
    <row r="299">
      <c r="A299" s="374"/>
      <c r="B299" s="375"/>
      <c r="C299" s="376" t="str">
        <f>CS_PID!C299/VLOOKUP($B299,표2[#ALL],2)</f>
        <v>#N/A</v>
      </c>
      <c r="D299" s="376" t="str">
        <f>CS_PID!D299/VLOOKUP($B299,표2[#ALL],2)</f>
        <v>#N/A</v>
      </c>
      <c r="E299" s="376" t="str">
        <f>CS_PID!E299/VLOOKUP($B299,표2[#ALL],2)</f>
        <v>#N/A</v>
      </c>
      <c r="F299" s="376" t="str">
        <f>CS_PID!F299/VLOOKUP($B299,표2[#ALL],2)</f>
        <v>#N/A</v>
      </c>
      <c r="G299" s="376" t="str">
        <f>CS_PID!G299/VLOOKUP($B299,표2[#ALL],2)</f>
        <v>#N/A</v>
      </c>
      <c r="H299" s="376" t="str">
        <f>CS_PID!H299/VLOOKUP($B299,표2[#ALL],2)/HLOOKUP($A299,표1[#ALL],row(),false)</f>
        <v>#N/A</v>
      </c>
      <c r="I299" s="376" t="str">
        <f>CS_PID!I299/VLOOKUP($B299,표2[#ALL],2)/HLOOKUP($A299,표1[#ALL],row(),false)</f>
        <v>#N/A</v>
      </c>
      <c r="J299" s="376" t="str">
        <f>CS_PID!J299/VLOOKUP($B299,표2[#ALL],2)/HLOOKUP($A299,표1[#ALL],row(),false)</f>
        <v>#N/A</v>
      </c>
      <c r="K299" s="376" t="str">
        <f>CS_PID!K299/VLOOKUP($B299,표2[#ALL],2)/HLOOKUP($A299,표1[#ALL],row(),false)</f>
        <v>#N/A</v>
      </c>
      <c r="L299" s="376" t="str">
        <f>CS_PID!L299/VLOOKUP($B299,표2[#ALL],2)/HLOOKUP($A299,표1[#ALL],row(),false)</f>
        <v>#N/A</v>
      </c>
      <c r="M299" s="376" t="str">
        <f>CS_PID!M299/VLOOKUP($B299,표2[#ALL],2)/HLOOKUP($A299,표1[#ALL],row(),false)</f>
        <v>#N/A</v>
      </c>
      <c r="N299" s="376" t="str">
        <f>CS_PID!N299/VLOOKUP($B299,표2[#ALL],2)/HLOOKUP($A299,표1[#ALL],row(),false)</f>
        <v>#N/A</v>
      </c>
      <c r="O299" s="376" t="str">
        <f>CS_PID!O299/VLOOKUP($B299,표2[#ALL],2)/HLOOKUP($A299,표1[#ALL],row(),false)</f>
        <v>#N/A</v>
      </c>
      <c r="P299" s="376" t="str">
        <f>CS_PID!P299/VLOOKUP($B299,표2[#ALL],2)/HLOOKUP($A299,표1[#ALL],row(),false)</f>
        <v>#N/A</v>
      </c>
      <c r="Q299" s="376" t="str">
        <f>CS_PID!Q299/VLOOKUP($B299,표2[#ALL],2)/HLOOKUP($A299,표1[#ALL],row(),false)</f>
        <v>#N/A</v>
      </c>
      <c r="R299" s="376" t="str">
        <f>CS_PID!R299/VLOOKUP($B299,표2[#ALL],2)/HLOOKUP($A299,표1[#ALL],row(),false)</f>
        <v>#N/A</v>
      </c>
      <c r="S299" s="376" t="str">
        <f>CS_PID!S299/VLOOKUP($B299,표2[#ALL],2)/HLOOKUP($A299,표1[#ALL],row(),false)</f>
        <v>#N/A</v>
      </c>
      <c r="T299" s="376" t="str">
        <f>CS_PID!T299/VLOOKUP($B299,표2[#ALL],2)/HLOOKUP($A299,표1[#ALL],row(),false)</f>
        <v>#N/A</v>
      </c>
      <c r="U299" s="376" t="str">
        <f>CS_PID!U299/VLOOKUP($B299,표2[#ALL],2)/HLOOKUP($A299,표1[#ALL],row(),false)</f>
        <v>#N/A</v>
      </c>
      <c r="V299" s="376" t="str">
        <f>CS_PID!V299/VLOOKUP($B299,표2[#ALL],2)/HLOOKUP($A299,표1[#ALL],row(),false)</f>
        <v>#N/A</v>
      </c>
      <c r="W299" s="376" t="str">
        <f>CS_PID!W299/VLOOKUP($B299,표2[#ALL],2)/HLOOKUP($A299,표1[#ALL],row(),false)</f>
        <v>#N/A</v>
      </c>
      <c r="X299" s="376" t="str">
        <f>CS_PID!X299/VLOOKUP($B299,표2[#ALL],2)/HLOOKUP($A299,표1[#ALL],row(),false)</f>
        <v>#N/A</v>
      </c>
      <c r="Y299" s="376" t="str">
        <f>CS_PID!Y299/VLOOKUP($B299,표2[#ALL],2)/HLOOKUP($A299,표1[#ALL],row(),false)</f>
        <v>#N/A</v>
      </c>
      <c r="Z299" s="376" t="str">
        <f>CS_PID!Z299/VLOOKUP($B299,표2[#ALL],2)/HLOOKUP($A299,표1[#ALL],row(),false)</f>
        <v>#N/A</v>
      </c>
      <c r="AA299" s="376" t="str">
        <f>CS_PID!AA299/VLOOKUP($B299,표2[#ALL],2)/HLOOKUP($A299,표1[#ALL],row(),false)</f>
        <v>#N/A</v>
      </c>
      <c r="AB299" s="376" t="str">
        <f>CS_PID!AB299/VLOOKUP($B299,표2[#ALL],2)/HLOOKUP($A299,표1[#ALL],row(),false)</f>
        <v>#N/A</v>
      </c>
      <c r="AC299" s="376" t="str">
        <f>CS_PID!AC299/VLOOKUP($B299,표2[#ALL],2)/HLOOKUP($A299,표1[#ALL],row(),false)</f>
        <v>#N/A</v>
      </c>
      <c r="AD299" s="376" t="str">
        <f>CS_PID!AD299/VLOOKUP($B299,표2[#ALL],2)/HLOOKUP($A299,표1[#ALL],row(),false)</f>
        <v>#N/A</v>
      </c>
      <c r="AE299" s="376" t="str">
        <f>CS_PID!AE299/VLOOKUP($B299,표2[#ALL],2)/HLOOKUP($A299,표1[#ALL],row(),false)</f>
        <v>#N/A</v>
      </c>
      <c r="AF299" s="376" t="str">
        <f>CS_PID!AF299/VLOOKUP($B299,표2[#ALL],2)/HLOOKUP($A299,표1[#ALL],row(),false)</f>
        <v>#N/A</v>
      </c>
      <c r="AG299" s="376" t="str">
        <f>CS_PID!AG299/VLOOKUP($B299,표2[#ALL],2)/HLOOKUP($A299,표1[#ALL],row(),false)</f>
        <v>#N/A</v>
      </c>
      <c r="AH299" s="376" t="str">
        <f>CS_PID!AH299/VLOOKUP($B299,표2[#ALL],2)/HLOOKUP($A299,표1[#ALL],row(),false)</f>
        <v>#N/A</v>
      </c>
      <c r="AI299" s="376" t="str">
        <f>CS_PID!AI299/VLOOKUP($B299,표2[#ALL],2)/HLOOKUP($A299,표1[#ALL],row(),false)</f>
        <v>#N/A</v>
      </c>
      <c r="AJ299" s="376" t="str">
        <f>CS_PID!AJ299/VLOOKUP($B299,표2[#ALL],2)/HLOOKUP($A299,표1[#ALL],row(),false)</f>
        <v>#N/A</v>
      </c>
      <c r="AK299" s="376" t="str">
        <f>CS_PID!AK299/VLOOKUP($B299,표2[#ALL],2)/HLOOKUP($A299,표1[#ALL],row(),false)</f>
        <v>#N/A</v>
      </c>
      <c r="AL299" s="376" t="str">
        <f>CS_PID!AL299/VLOOKUP($B299,표2[#ALL],2)/HLOOKUP($A299,표1[#ALL],row(),false)</f>
        <v>#N/A</v>
      </c>
      <c r="AM299" s="376" t="str">
        <f>CS_PID!AM299/VLOOKUP($B299,표2[#ALL],2)/HLOOKUP($A299,표1[#ALL],row(),false)</f>
        <v>#N/A</v>
      </c>
      <c r="AN299" s="376" t="str">
        <f>CS_PID!AN299/VLOOKUP($B299,표2[#ALL],2)/HLOOKUP($A299,표1[#ALL],row(),false)</f>
        <v>#N/A</v>
      </c>
      <c r="AO299" s="376" t="str">
        <f>CS_PID!AO299/VLOOKUP($B299,표2[#ALL],2)/HLOOKUP($A299,표1[#ALL],row(),false)</f>
        <v>#N/A</v>
      </c>
      <c r="AP299" s="376" t="str">
        <f>CS_PID!AP299/VLOOKUP($B299,표2[#ALL],2)/HLOOKUP($A299,표1[#ALL],row(),false)</f>
        <v>#N/A</v>
      </c>
      <c r="AQ299" s="376" t="str">
        <f>CS_PID!AQ299/VLOOKUP($B299,표2[#ALL],2)/HLOOKUP($A299,표1[#ALL],row(),false)</f>
        <v>#N/A</v>
      </c>
      <c r="AR299" s="376" t="str">
        <f>CS_PID!AR299/VLOOKUP($B299,표2[#ALL],2)/HLOOKUP($A299,표1[#ALL],row(),false)</f>
        <v>#N/A</v>
      </c>
      <c r="AS299" s="377" t="str">
        <f>CS_PID!AS299/VLOOKUP($B299,표2[#ALL],2)/HLOOKUP($A299,표1[#ALL],row(),false)</f>
        <v>#N/A</v>
      </c>
    </row>
    <row r="300">
      <c r="A300" s="370"/>
      <c r="B300" s="371"/>
      <c r="C300" s="372" t="str">
        <f>CS_PID!C300/VLOOKUP($B300,표2[#ALL],2)</f>
        <v>#N/A</v>
      </c>
      <c r="D300" s="372" t="str">
        <f>CS_PID!D300/VLOOKUP($B300,표2[#ALL],2)</f>
        <v>#N/A</v>
      </c>
      <c r="E300" s="372" t="str">
        <f>CS_PID!E300/VLOOKUP($B300,표2[#ALL],2)</f>
        <v>#N/A</v>
      </c>
      <c r="F300" s="372" t="str">
        <f>CS_PID!F300/VLOOKUP($B300,표2[#ALL],2)</f>
        <v>#N/A</v>
      </c>
      <c r="G300" s="372" t="str">
        <f>CS_PID!G300/VLOOKUP($B300,표2[#ALL],2)</f>
        <v>#N/A</v>
      </c>
      <c r="H300" s="372" t="str">
        <f>CS_PID!H300/VLOOKUP($B300,표2[#ALL],2)/HLOOKUP($A300,표1[#ALL],row(),false)</f>
        <v>#N/A</v>
      </c>
      <c r="I300" s="372" t="str">
        <f>CS_PID!I300/VLOOKUP($B300,표2[#ALL],2)/HLOOKUP($A300,표1[#ALL],row(),false)</f>
        <v>#N/A</v>
      </c>
      <c r="J300" s="372" t="str">
        <f>CS_PID!J300/VLOOKUP($B300,표2[#ALL],2)/HLOOKUP($A300,표1[#ALL],row(),false)</f>
        <v>#N/A</v>
      </c>
      <c r="K300" s="372" t="str">
        <f>CS_PID!K300/VLOOKUP($B300,표2[#ALL],2)/HLOOKUP($A300,표1[#ALL],row(),false)</f>
        <v>#N/A</v>
      </c>
      <c r="L300" s="372" t="str">
        <f>CS_PID!L300/VLOOKUP($B300,표2[#ALL],2)/HLOOKUP($A300,표1[#ALL],row(),false)</f>
        <v>#N/A</v>
      </c>
      <c r="M300" s="372" t="str">
        <f>CS_PID!M300/VLOOKUP($B300,표2[#ALL],2)/HLOOKUP($A300,표1[#ALL],row(),false)</f>
        <v>#N/A</v>
      </c>
      <c r="N300" s="372" t="str">
        <f>CS_PID!N300/VLOOKUP($B300,표2[#ALL],2)/HLOOKUP($A300,표1[#ALL],row(),false)</f>
        <v>#N/A</v>
      </c>
      <c r="O300" s="372" t="str">
        <f>CS_PID!O300/VLOOKUP($B300,표2[#ALL],2)/HLOOKUP($A300,표1[#ALL],row(),false)</f>
        <v>#N/A</v>
      </c>
      <c r="P300" s="372" t="str">
        <f>CS_PID!P300/VLOOKUP($B300,표2[#ALL],2)/HLOOKUP($A300,표1[#ALL],row(),false)</f>
        <v>#N/A</v>
      </c>
      <c r="Q300" s="372" t="str">
        <f>CS_PID!Q300/VLOOKUP($B300,표2[#ALL],2)/HLOOKUP($A300,표1[#ALL],row(),false)</f>
        <v>#N/A</v>
      </c>
      <c r="R300" s="372" t="str">
        <f>CS_PID!R300/VLOOKUP($B300,표2[#ALL],2)/HLOOKUP($A300,표1[#ALL],row(),false)</f>
        <v>#N/A</v>
      </c>
      <c r="S300" s="372" t="str">
        <f>CS_PID!S300/VLOOKUP($B300,표2[#ALL],2)/HLOOKUP($A300,표1[#ALL],row(),false)</f>
        <v>#N/A</v>
      </c>
      <c r="T300" s="372" t="str">
        <f>CS_PID!T300/VLOOKUP($B300,표2[#ALL],2)/HLOOKUP($A300,표1[#ALL],row(),false)</f>
        <v>#N/A</v>
      </c>
      <c r="U300" s="372" t="str">
        <f>CS_PID!U300/VLOOKUP($B300,표2[#ALL],2)/HLOOKUP($A300,표1[#ALL],row(),false)</f>
        <v>#N/A</v>
      </c>
      <c r="V300" s="372" t="str">
        <f>CS_PID!V300/VLOOKUP($B300,표2[#ALL],2)/HLOOKUP($A300,표1[#ALL],row(),false)</f>
        <v>#N/A</v>
      </c>
      <c r="W300" s="372" t="str">
        <f>CS_PID!W300/VLOOKUP($B300,표2[#ALL],2)/HLOOKUP($A300,표1[#ALL],row(),false)</f>
        <v>#N/A</v>
      </c>
      <c r="X300" s="372" t="str">
        <f>CS_PID!X300/VLOOKUP($B300,표2[#ALL],2)/HLOOKUP($A300,표1[#ALL],row(),false)</f>
        <v>#N/A</v>
      </c>
      <c r="Y300" s="372" t="str">
        <f>CS_PID!Y300/VLOOKUP($B300,표2[#ALL],2)/HLOOKUP($A300,표1[#ALL],row(),false)</f>
        <v>#N/A</v>
      </c>
      <c r="Z300" s="372" t="str">
        <f>CS_PID!Z300/VLOOKUP($B300,표2[#ALL],2)/HLOOKUP($A300,표1[#ALL],row(),false)</f>
        <v>#N/A</v>
      </c>
      <c r="AA300" s="372" t="str">
        <f>CS_PID!AA300/VLOOKUP($B300,표2[#ALL],2)/HLOOKUP($A300,표1[#ALL],row(),false)</f>
        <v>#N/A</v>
      </c>
      <c r="AB300" s="372" t="str">
        <f>CS_PID!AB300/VLOOKUP($B300,표2[#ALL],2)/HLOOKUP($A300,표1[#ALL],row(),false)</f>
        <v>#N/A</v>
      </c>
      <c r="AC300" s="372" t="str">
        <f>CS_PID!AC300/VLOOKUP($B300,표2[#ALL],2)/HLOOKUP($A300,표1[#ALL],row(),false)</f>
        <v>#N/A</v>
      </c>
      <c r="AD300" s="372" t="str">
        <f>CS_PID!AD300/VLOOKUP($B300,표2[#ALL],2)/HLOOKUP($A300,표1[#ALL],row(),false)</f>
        <v>#N/A</v>
      </c>
      <c r="AE300" s="372" t="str">
        <f>CS_PID!AE300/VLOOKUP($B300,표2[#ALL],2)/HLOOKUP($A300,표1[#ALL],row(),false)</f>
        <v>#N/A</v>
      </c>
      <c r="AF300" s="372" t="str">
        <f>CS_PID!AF300/VLOOKUP($B300,표2[#ALL],2)/HLOOKUP($A300,표1[#ALL],row(),false)</f>
        <v>#N/A</v>
      </c>
      <c r="AG300" s="372" t="str">
        <f>CS_PID!AG300/VLOOKUP($B300,표2[#ALL],2)/HLOOKUP($A300,표1[#ALL],row(),false)</f>
        <v>#N/A</v>
      </c>
      <c r="AH300" s="372" t="str">
        <f>CS_PID!AH300/VLOOKUP($B300,표2[#ALL],2)/HLOOKUP($A300,표1[#ALL],row(),false)</f>
        <v>#N/A</v>
      </c>
      <c r="AI300" s="372" t="str">
        <f>CS_PID!AI300/VLOOKUP($B300,표2[#ALL],2)/HLOOKUP($A300,표1[#ALL],row(),false)</f>
        <v>#N/A</v>
      </c>
      <c r="AJ300" s="372" t="str">
        <f>CS_PID!AJ300/VLOOKUP($B300,표2[#ALL],2)/HLOOKUP($A300,표1[#ALL],row(),false)</f>
        <v>#N/A</v>
      </c>
      <c r="AK300" s="372" t="str">
        <f>CS_PID!AK300/VLOOKUP($B300,표2[#ALL],2)/HLOOKUP($A300,표1[#ALL],row(),false)</f>
        <v>#N/A</v>
      </c>
      <c r="AL300" s="372" t="str">
        <f>CS_PID!AL300/VLOOKUP($B300,표2[#ALL],2)/HLOOKUP($A300,표1[#ALL],row(),false)</f>
        <v>#N/A</v>
      </c>
      <c r="AM300" s="372" t="str">
        <f>CS_PID!AM300/VLOOKUP($B300,표2[#ALL],2)/HLOOKUP($A300,표1[#ALL],row(),false)</f>
        <v>#N/A</v>
      </c>
      <c r="AN300" s="372" t="str">
        <f>CS_PID!AN300/VLOOKUP($B300,표2[#ALL],2)/HLOOKUP($A300,표1[#ALL],row(),false)</f>
        <v>#N/A</v>
      </c>
      <c r="AO300" s="372" t="str">
        <f>CS_PID!AO300/VLOOKUP($B300,표2[#ALL],2)/HLOOKUP($A300,표1[#ALL],row(),false)</f>
        <v>#N/A</v>
      </c>
      <c r="AP300" s="372" t="str">
        <f>CS_PID!AP300/VLOOKUP($B300,표2[#ALL],2)/HLOOKUP($A300,표1[#ALL],row(),false)</f>
        <v>#N/A</v>
      </c>
      <c r="AQ300" s="372" t="str">
        <f>CS_PID!AQ300/VLOOKUP($B300,표2[#ALL],2)/HLOOKUP($A300,표1[#ALL],row(),false)</f>
        <v>#N/A</v>
      </c>
      <c r="AR300" s="372" t="str">
        <f>CS_PID!AR300/VLOOKUP($B300,표2[#ALL],2)/HLOOKUP($A300,표1[#ALL],row(),false)</f>
        <v>#N/A</v>
      </c>
      <c r="AS300" s="373" t="str">
        <f>CS_PID!AS300/VLOOKUP($B300,표2[#ALL],2)/HLOOKUP($A300,표1[#ALL],row(),false)</f>
        <v>#N/A</v>
      </c>
    </row>
    <row r="301">
      <c r="A301" s="374"/>
      <c r="B301" s="375"/>
      <c r="C301" s="376" t="str">
        <f>CS_PID!C301/VLOOKUP($B301,표2[#ALL],2)</f>
        <v>#N/A</v>
      </c>
      <c r="D301" s="376" t="str">
        <f>CS_PID!D301/VLOOKUP($B301,표2[#ALL],2)</f>
        <v>#N/A</v>
      </c>
      <c r="E301" s="376" t="str">
        <f>CS_PID!E301/VLOOKUP($B301,표2[#ALL],2)</f>
        <v>#N/A</v>
      </c>
      <c r="F301" s="376" t="str">
        <f>CS_PID!F301/VLOOKUP($B301,표2[#ALL],2)</f>
        <v>#N/A</v>
      </c>
      <c r="G301" s="376" t="str">
        <f>CS_PID!G301/VLOOKUP($B301,표2[#ALL],2)</f>
        <v>#N/A</v>
      </c>
      <c r="H301" s="376" t="str">
        <f>CS_PID!H301/VLOOKUP($B301,표2[#ALL],2)/HLOOKUP($A301,표1[#ALL],row(),false)</f>
        <v>#N/A</v>
      </c>
      <c r="I301" s="376" t="str">
        <f>CS_PID!I301/VLOOKUP($B301,표2[#ALL],2)/HLOOKUP($A301,표1[#ALL],row(),false)</f>
        <v>#N/A</v>
      </c>
      <c r="J301" s="376" t="str">
        <f>CS_PID!J301/VLOOKUP($B301,표2[#ALL],2)/HLOOKUP($A301,표1[#ALL],row(),false)</f>
        <v>#N/A</v>
      </c>
      <c r="K301" s="376" t="str">
        <f>CS_PID!K301/VLOOKUP($B301,표2[#ALL],2)/HLOOKUP($A301,표1[#ALL],row(),false)</f>
        <v>#N/A</v>
      </c>
      <c r="L301" s="376" t="str">
        <f>CS_PID!L301/VLOOKUP($B301,표2[#ALL],2)/HLOOKUP($A301,표1[#ALL],row(),false)</f>
        <v>#N/A</v>
      </c>
      <c r="M301" s="376" t="str">
        <f>CS_PID!M301/VLOOKUP($B301,표2[#ALL],2)/HLOOKUP($A301,표1[#ALL],row(),false)</f>
        <v>#N/A</v>
      </c>
      <c r="N301" s="376" t="str">
        <f>CS_PID!N301/VLOOKUP($B301,표2[#ALL],2)/HLOOKUP($A301,표1[#ALL],row(),false)</f>
        <v>#N/A</v>
      </c>
      <c r="O301" s="376" t="str">
        <f>CS_PID!O301/VLOOKUP($B301,표2[#ALL],2)/HLOOKUP($A301,표1[#ALL],row(),false)</f>
        <v>#N/A</v>
      </c>
      <c r="P301" s="376" t="str">
        <f>CS_PID!P301/VLOOKUP($B301,표2[#ALL],2)/HLOOKUP($A301,표1[#ALL],row(),false)</f>
        <v>#N/A</v>
      </c>
      <c r="Q301" s="376" t="str">
        <f>CS_PID!Q301/VLOOKUP($B301,표2[#ALL],2)/HLOOKUP($A301,표1[#ALL],row(),false)</f>
        <v>#N/A</v>
      </c>
      <c r="R301" s="376" t="str">
        <f>CS_PID!R301/VLOOKUP($B301,표2[#ALL],2)/HLOOKUP($A301,표1[#ALL],row(),false)</f>
        <v>#N/A</v>
      </c>
      <c r="S301" s="376" t="str">
        <f>CS_PID!S301/VLOOKUP($B301,표2[#ALL],2)/HLOOKUP($A301,표1[#ALL],row(),false)</f>
        <v>#N/A</v>
      </c>
      <c r="T301" s="376" t="str">
        <f>CS_PID!T301/VLOOKUP($B301,표2[#ALL],2)/HLOOKUP($A301,표1[#ALL],row(),false)</f>
        <v>#N/A</v>
      </c>
      <c r="U301" s="376" t="str">
        <f>CS_PID!U301/VLOOKUP($B301,표2[#ALL],2)/HLOOKUP($A301,표1[#ALL],row(),false)</f>
        <v>#N/A</v>
      </c>
      <c r="V301" s="376" t="str">
        <f>CS_PID!V301/VLOOKUP($B301,표2[#ALL],2)/HLOOKUP($A301,표1[#ALL],row(),false)</f>
        <v>#N/A</v>
      </c>
      <c r="W301" s="376" t="str">
        <f>CS_PID!W301/VLOOKUP($B301,표2[#ALL],2)/HLOOKUP($A301,표1[#ALL],row(),false)</f>
        <v>#N/A</v>
      </c>
      <c r="X301" s="376" t="str">
        <f>CS_PID!X301/VLOOKUP($B301,표2[#ALL],2)/HLOOKUP($A301,표1[#ALL],row(),false)</f>
        <v>#N/A</v>
      </c>
      <c r="Y301" s="376" t="str">
        <f>CS_PID!Y301/VLOOKUP($B301,표2[#ALL],2)/HLOOKUP($A301,표1[#ALL],row(),false)</f>
        <v>#N/A</v>
      </c>
      <c r="Z301" s="376" t="str">
        <f>CS_PID!Z301/VLOOKUP($B301,표2[#ALL],2)/HLOOKUP($A301,표1[#ALL],row(),false)</f>
        <v>#N/A</v>
      </c>
      <c r="AA301" s="376" t="str">
        <f>CS_PID!AA301/VLOOKUP($B301,표2[#ALL],2)/HLOOKUP($A301,표1[#ALL],row(),false)</f>
        <v>#N/A</v>
      </c>
      <c r="AB301" s="376" t="str">
        <f>CS_PID!AB301/VLOOKUP($B301,표2[#ALL],2)/HLOOKUP($A301,표1[#ALL],row(),false)</f>
        <v>#N/A</v>
      </c>
      <c r="AC301" s="376" t="str">
        <f>CS_PID!AC301/VLOOKUP($B301,표2[#ALL],2)/HLOOKUP($A301,표1[#ALL],row(),false)</f>
        <v>#N/A</v>
      </c>
      <c r="AD301" s="376" t="str">
        <f>CS_PID!AD301/VLOOKUP($B301,표2[#ALL],2)/HLOOKUP($A301,표1[#ALL],row(),false)</f>
        <v>#N/A</v>
      </c>
      <c r="AE301" s="376" t="str">
        <f>CS_PID!AE301/VLOOKUP($B301,표2[#ALL],2)/HLOOKUP($A301,표1[#ALL],row(),false)</f>
        <v>#N/A</v>
      </c>
      <c r="AF301" s="376" t="str">
        <f>CS_PID!AF301/VLOOKUP($B301,표2[#ALL],2)/HLOOKUP($A301,표1[#ALL],row(),false)</f>
        <v>#N/A</v>
      </c>
      <c r="AG301" s="376" t="str">
        <f>CS_PID!AG301/VLOOKUP($B301,표2[#ALL],2)/HLOOKUP($A301,표1[#ALL],row(),false)</f>
        <v>#N/A</v>
      </c>
      <c r="AH301" s="376" t="str">
        <f>CS_PID!AH301/VLOOKUP($B301,표2[#ALL],2)/HLOOKUP($A301,표1[#ALL],row(),false)</f>
        <v>#N/A</v>
      </c>
      <c r="AI301" s="376" t="str">
        <f>CS_PID!AI301/VLOOKUP($B301,표2[#ALL],2)/HLOOKUP($A301,표1[#ALL],row(),false)</f>
        <v>#N/A</v>
      </c>
      <c r="AJ301" s="376" t="str">
        <f>CS_PID!AJ301/VLOOKUP($B301,표2[#ALL],2)/HLOOKUP($A301,표1[#ALL],row(),false)</f>
        <v>#N/A</v>
      </c>
      <c r="AK301" s="376" t="str">
        <f>CS_PID!AK301/VLOOKUP($B301,표2[#ALL],2)/HLOOKUP($A301,표1[#ALL],row(),false)</f>
        <v>#N/A</v>
      </c>
      <c r="AL301" s="376" t="str">
        <f>CS_PID!AL301/VLOOKUP($B301,표2[#ALL],2)/HLOOKUP($A301,표1[#ALL],row(),false)</f>
        <v>#N/A</v>
      </c>
      <c r="AM301" s="376" t="str">
        <f>CS_PID!AM301/VLOOKUP($B301,표2[#ALL],2)/HLOOKUP($A301,표1[#ALL],row(),false)</f>
        <v>#N/A</v>
      </c>
      <c r="AN301" s="376" t="str">
        <f>CS_PID!AN301/VLOOKUP($B301,표2[#ALL],2)/HLOOKUP($A301,표1[#ALL],row(),false)</f>
        <v>#N/A</v>
      </c>
      <c r="AO301" s="376" t="str">
        <f>CS_PID!AO301/VLOOKUP($B301,표2[#ALL],2)/HLOOKUP($A301,표1[#ALL],row(),false)</f>
        <v>#N/A</v>
      </c>
      <c r="AP301" s="376" t="str">
        <f>CS_PID!AP301/VLOOKUP($B301,표2[#ALL],2)/HLOOKUP($A301,표1[#ALL],row(),false)</f>
        <v>#N/A</v>
      </c>
      <c r="AQ301" s="376" t="str">
        <f>CS_PID!AQ301/VLOOKUP($B301,표2[#ALL],2)/HLOOKUP($A301,표1[#ALL],row(),false)</f>
        <v>#N/A</v>
      </c>
      <c r="AR301" s="376" t="str">
        <f>CS_PID!AR301/VLOOKUP($B301,표2[#ALL],2)/HLOOKUP($A301,표1[#ALL],row(),false)</f>
        <v>#N/A</v>
      </c>
      <c r="AS301" s="377" t="str">
        <f>CS_PID!AS301/VLOOKUP($B301,표2[#ALL],2)/HLOOKUP($A301,표1[#ALL],row(),false)</f>
        <v>#N/A</v>
      </c>
    </row>
    <row r="302">
      <c r="A302" s="370"/>
      <c r="B302" s="371"/>
      <c r="C302" s="372" t="str">
        <f>CS_PID!C302/VLOOKUP($B302,표2[#ALL],2)</f>
        <v>#N/A</v>
      </c>
      <c r="D302" s="372" t="str">
        <f>CS_PID!D302/VLOOKUP($B302,표2[#ALL],2)</f>
        <v>#N/A</v>
      </c>
      <c r="E302" s="372" t="str">
        <f>CS_PID!E302/VLOOKUP($B302,표2[#ALL],2)</f>
        <v>#N/A</v>
      </c>
      <c r="F302" s="372" t="str">
        <f>CS_PID!F302/VLOOKUP($B302,표2[#ALL],2)</f>
        <v>#N/A</v>
      </c>
      <c r="G302" s="372" t="str">
        <f>CS_PID!G302/VLOOKUP($B302,표2[#ALL],2)</f>
        <v>#N/A</v>
      </c>
      <c r="H302" s="372" t="str">
        <f>CS_PID!H302/VLOOKUP($B302,표2[#ALL],2)/HLOOKUP($A302,표1[#ALL],row(),false)</f>
        <v>#N/A</v>
      </c>
      <c r="I302" s="372" t="str">
        <f>CS_PID!I302/VLOOKUP($B302,표2[#ALL],2)/HLOOKUP($A302,표1[#ALL],row(),false)</f>
        <v>#N/A</v>
      </c>
      <c r="J302" s="372" t="str">
        <f>CS_PID!J302/VLOOKUP($B302,표2[#ALL],2)/HLOOKUP($A302,표1[#ALL],row(),false)</f>
        <v>#N/A</v>
      </c>
      <c r="K302" s="372" t="str">
        <f>CS_PID!K302/VLOOKUP($B302,표2[#ALL],2)/HLOOKUP($A302,표1[#ALL],row(),false)</f>
        <v>#N/A</v>
      </c>
      <c r="L302" s="372" t="str">
        <f>CS_PID!L302/VLOOKUP($B302,표2[#ALL],2)/HLOOKUP($A302,표1[#ALL],row(),false)</f>
        <v>#N/A</v>
      </c>
      <c r="M302" s="372" t="str">
        <f>CS_PID!M302/VLOOKUP($B302,표2[#ALL],2)/HLOOKUP($A302,표1[#ALL],row(),false)</f>
        <v>#N/A</v>
      </c>
      <c r="N302" s="372" t="str">
        <f>CS_PID!N302/VLOOKUP($B302,표2[#ALL],2)/HLOOKUP($A302,표1[#ALL],row(),false)</f>
        <v>#N/A</v>
      </c>
      <c r="O302" s="372" t="str">
        <f>CS_PID!O302/VLOOKUP($B302,표2[#ALL],2)/HLOOKUP($A302,표1[#ALL],row(),false)</f>
        <v>#N/A</v>
      </c>
      <c r="P302" s="372" t="str">
        <f>CS_PID!P302/VLOOKUP($B302,표2[#ALL],2)/HLOOKUP($A302,표1[#ALL],row(),false)</f>
        <v>#N/A</v>
      </c>
      <c r="Q302" s="372" t="str">
        <f>CS_PID!Q302/VLOOKUP($B302,표2[#ALL],2)/HLOOKUP($A302,표1[#ALL],row(),false)</f>
        <v>#N/A</v>
      </c>
      <c r="R302" s="372" t="str">
        <f>CS_PID!R302/VLOOKUP($B302,표2[#ALL],2)/HLOOKUP($A302,표1[#ALL],row(),false)</f>
        <v>#N/A</v>
      </c>
      <c r="S302" s="372" t="str">
        <f>CS_PID!S302/VLOOKUP($B302,표2[#ALL],2)/HLOOKUP($A302,표1[#ALL],row(),false)</f>
        <v>#N/A</v>
      </c>
      <c r="T302" s="372" t="str">
        <f>CS_PID!T302/VLOOKUP($B302,표2[#ALL],2)/HLOOKUP($A302,표1[#ALL],row(),false)</f>
        <v>#N/A</v>
      </c>
      <c r="U302" s="372" t="str">
        <f>CS_PID!U302/VLOOKUP($B302,표2[#ALL],2)/HLOOKUP($A302,표1[#ALL],row(),false)</f>
        <v>#N/A</v>
      </c>
      <c r="V302" s="372" t="str">
        <f>CS_PID!V302/VLOOKUP($B302,표2[#ALL],2)/HLOOKUP($A302,표1[#ALL],row(),false)</f>
        <v>#N/A</v>
      </c>
      <c r="W302" s="372" t="str">
        <f>CS_PID!W302/VLOOKUP($B302,표2[#ALL],2)/HLOOKUP($A302,표1[#ALL],row(),false)</f>
        <v>#N/A</v>
      </c>
      <c r="X302" s="372" t="str">
        <f>CS_PID!X302/VLOOKUP($B302,표2[#ALL],2)/HLOOKUP($A302,표1[#ALL],row(),false)</f>
        <v>#N/A</v>
      </c>
      <c r="Y302" s="372" t="str">
        <f>CS_PID!Y302/VLOOKUP($B302,표2[#ALL],2)/HLOOKUP($A302,표1[#ALL],row(),false)</f>
        <v>#N/A</v>
      </c>
      <c r="Z302" s="372" t="str">
        <f>CS_PID!Z302/VLOOKUP($B302,표2[#ALL],2)/HLOOKUP($A302,표1[#ALL],row(),false)</f>
        <v>#N/A</v>
      </c>
      <c r="AA302" s="372" t="str">
        <f>CS_PID!AA302/VLOOKUP($B302,표2[#ALL],2)/HLOOKUP($A302,표1[#ALL],row(),false)</f>
        <v>#N/A</v>
      </c>
      <c r="AB302" s="372" t="str">
        <f>CS_PID!AB302/VLOOKUP($B302,표2[#ALL],2)/HLOOKUP($A302,표1[#ALL],row(),false)</f>
        <v>#N/A</v>
      </c>
      <c r="AC302" s="372" t="str">
        <f>CS_PID!AC302/VLOOKUP($B302,표2[#ALL],2)/HLOOKUP($A302,표1[#ALL],row(),false)</f>
        <v>#N/A</v>
      </c>
      <c r="AD302" s="372" t="str">
        <f>CS_PID!AD302/VLOOKUP($B302,표2[#ALL],2)/HLOOKUP($A302,표1[#ALL],row(),false)</f>
        <v>#N/A</v>
      </c>
      <c r="AE302" s="372" t="str">
        <f>CS_PID!AE302/VLOOKUP($B302,표2[#ALL],2)/HLOOKUP($A302,표1[#ALL],row(),false)</f>
        <v>#N/A</v>
      </c>
      <c r="AF302" s="372" t="str">
        <f>CS_PID!AF302/VLOOKUP($B302,표2[#ALL],2)/HLOOKUP($A302,표1[#ALL],row(),false)</f>
        <v>#N/A</v>
      </c>
      <c r="AG302" s="372" t="str">
        <f>CS_PID!AG302/VLOOKUP($B302,표2[#ALL],2)/HLOOKUP($A302,표1[#ALL],row(),false)</f>
        <v>#N/A</v>
      </c>
      <c r="AH302" s="372" t="str">
        <f>CS_PID!AH302/VLOOKUP($B302,표2[#ALL],2)/HLOOKUP($A302,표1[#ALL],row(),false)</f>
        <v>#N/A</v>
      </c>
      <c r="AI302" s="372" t="str">
        <f>CS_PID!AI302/VLOOKUP($B302,표2[#ALL],2)/HLOOKUP($A302,표1[#ALL],row(),false)</f>
        <v>#N/A</v>
      </c>
      <c r="AJ302" s="372" t="str">
        <f>CS_PID!AJ302/VLOOKUP($B302,표2[#ALL],2)/HLOOKUP($A302,표1[#ALL],row(),false)</f>
        <v>#N/A</v>
      </c>
      <c r="AK302" s="372" t="str">
        <f>CS_PID!AK302/VLOOKUP($B302,표2[#ALL],2)/HLOOKUP($A302,표1[#ALL],row(),false)</f>
        <v>#N/A</v>
      </c>
      <c r="AL302" s="372" t="str">
        <f>CS_PID!AL302/VLOOKUP($B302,표2[#ALL],2)/HLOOKUP($A302,표1[#ALL],row(),false)</f>
        <v>#N/A</v>
      </c>
      <c r="AM302" s="372" t="str">
        <f>CS_PID!AM302/VLOOKUP($B302,표2[#ALL],2)/HLOOKUP($A302,표1[#ALL],row(),false)</f>
        <v>#N/A</v>
      </c>
      <c r="AN302" s="372" t="str">
        <f>CS_PID!AN302/VLOOKUP($B302,표2[#ALL],2)/HLOOKUP($A302,표1[#ALL],row(),false)</f>
        <v>#N/A</v>
      </c>
      <c r="AO302" s="372" t="str">
        <f>CS_PID!AO302/VLOOKUP($B302,표2[#ALL],2)/HLOOKUP($A302,표1[#ALL],row(),false)</f>
        <v>#N/A</v>
      </c>
      <c r="AP302" s="372" t="str">
        <f>CS_PID!AP302/VLOOKUP($B302,표2[#ALL],2)/HLOOKUP($A302,표1[#ALL],row(),false)</f>
        <v>#N/A</v>
      </c>
      <c r="AQ302" s="372" t="str">
        <f>CS_PID!AQ302/VLOOKUP($B302,표2[#ALL],2)/HLOOKUP($A302,표1[#ALL],row(),false)</f>
        <v>#N/A</v>
      </c>
      <c r="AR302" s="372" t="str">
        <f>CS_PID!AR302/VLOOKUP($B302,표2[#ALL],2)/HLOOKUP($A302,표1[#ALL],row(),false)</f>
        <v>#N/A</v>
      </c>
      <c r="AS302" s="373" t="str">
        <f>CS_PID!AS302/VLOOKUP($B302,표2[#ALL],2)/HLOOKUP($A302,표1[#ALL],row(),false)</f>
        <v>#N/A</v>
      </c>
    </row>
    <row r="303">
      <c r="A303" s="374"/>
      <c r="B303" s="375"/>
      <c r="C303" s="376" t="str">
        <f>CS_PID!C303/VLOOKUP($B303,표2[#ALL],2)</f>
        <v>#N/A</v>
      </c>
      <c r="D303" s="376" t="str">
        <f>CS_PID!D303/VLOOKUP($B303,표2[#ALL],2)</f>
        <v>#N/A</v>
      </c>
      <c r="E303" s="376" t="str">
        <f>CS_PID!E303/VLOOKUP($B303,표2[#ALL],2)</f>
        <v>#N/A</v>
      </c>
      <c r="F303" s="376" t="str">
        <f>CS_PID!F303/VLOOKUP($B303,표2[#ALL],2)</f>
        <v>#N/A</v>
      </c>
      <c r="G303" s="376" t="str">
        <f>CS_PID!G303/VLOOKUP($B303,표2[#ALL],2)</f>
        <v>#N/A</v>
      </c>
      <c r="H303" s="376" t="str">
        <f>CS_PID!H303/VLOOKUP($B303,표2[#ALL],2)/HLOOKUP($A303,표1[#ALL],row(),false)</f>
        <v>#N/A</v>
      </c>
      <c r="I303" s="376" t="str">
        <f>CS_PID!I303/VLOOKUP($B303,표2[#ALL],2)/HLOOKUP($A303,표1[#ALL],row(),false)</f>
        <v>#N/A</v>
      </c>
      <c r="J303" s="376" t="str">
        <f>CS_PID!J303/VLOOKUP($B303,표2[#ALL],2)/HLOOKUP($A303,표1[#ALL],row(),false)</f>
        <v>#N/A</v>
      </c>
      <c r="K303" s="376" t="str">
        <f>CS_PID!K303/VLOOKUP($B303,표2[#ALL],2)/HLOOKUP($A303,표1[#ALL],row(),false)</f>
        <v>#N/A</v>
      </c>
      <c r="L303" s="376" t="str">
        <f>CS_PID!L303/VLOOKUP($B303,표2[#ALL],2)/HLOOKUP($A303,표1[#ALL],row(),false)</f>
        <v>#N/A</v>
      </c>
      <c r="M303" s="376" t="str">
        <f>CS_PID!M303/VLOOKUP($B303,표2[#ALL],2)/HLOOKUP($A303,표1[#ALL],row(),false)</f>
        <v>#N/A</v>
      </c>
      <c r="N303" s="376" t="str">
        <f>CS_PID!N303/VLOOKUP($B303,표2[#ALL],2)/HLOOKUP($A303,표1[#ALL],row(),false)</f>
        <v>#N/A</v>
      </c>
      <c r="O303" s="376" t="str">
        <f>CS_PID!O303/VLOOKUP($B303,표2[#ALL],2)/HLOOKUP($A303,표1[#ALL],row(),false)</f>
        <v>#N/A</v>
      </c>
      <c r="P303" s="376" t="str">
        <f>CS_PID!P303/VLOOKUP($B303,표2[#ALL],2)/HLOOKUP($A303,표1[#ALL],row(),false)</f>
        <v>#N/A</v>
      </c>
      <c r="Q303" s="376" t="str">
        <f>CS_PID!Q303/VLOOKUP($B303,표2[#ALL],2)/HLOOKUP($A303,표1[#ALL],row(),false)</f>
        <v>#N/A</v>
      </c>
      <c r="R303" s="376" t="str">
        <f>CS_PID!R303/VLOOKUP($B303,표2[#ALL],2)/HLOOKUP($A303,표1[#ALL],row(),false)</f>
        <v>#N/A</v>
      </c>
      <c r="S303" s="376" t="str">
        <f>CS_PID!S303/VLOOKUP($B303,표2[#ALL],2)/HLOOKUP($A303,표1[#ALL],row(),false)</f>
        <v>#N/A</v>
      </c>
      <c r="T303" s="376" t="str">
        <f>CS_PID!T303/VLOOKUP($B303,표2[#ALL],2)/HLOOKUP($A303,표1[#ALL],row(),false)</f>
        <v>#N/A</v>
      </c>
      <c r="U303" s="376" t="str">
        <f>CS_PID!U303/VLOOKUP($B303,표2[#ALL],2)/HLOOKUP($A303,표1[#ALL],row(),false)</f>
        <v>#N/A</v>
      </c>
      <c r="V303" s="376" t="str">
        <f>CS_PID!V303/VLOOKUP($B303,표2[#ALL],2)/HLOOKUP($A303,표1[#ALL],row(),false)</f>
        <v>#N/A</v>
      </c>
      <c r="W303" s="376" t="str">
        <f>CS_PID!W303/VLOOKUP($B303,표2[#ALL],2)/HLOOKUP($A303,표1[#ALL],row(),false)</f>
        <v>#N/A</v>
      </c>
      <c r="X303" s="376" t="str">
        <f>CS_PID!X303/VLOOKUP($B303,표2[#ALL],2)/HLOOKUP($A303,표1[#ALL],row(),false)</f>
        <v>#N/A</v>
      </c>
      <c r="Y303" s="376" t="str">
        <f>CS_PID!Y303/VLOOKUP($B303,표2[#ALL],2)/HLOOKUP($A303,표1[#ALL],row(),false)</f>
        <v>#N/A</v>
      </c>
      <c r="Z303" s="376" t="str">
        <f>CS_PID!Z303/VLOOKUP($B303,표2[#ALL],2)/HLOOKUP($A303,표1[#ALL],row(),false)</f>
        <v>#N/A</v>
      </c>
      <c r="AA303" s="376" t="str">
        <f>CS_PID!AA303/VLOOKUP($B303,표2[#ALL],2)/HLOOKUP($A303,표1[#ALL],row(),false)</f>
        <v>#N/A</v>
      </c>
      <c r="AB303" s="376" t="str">
        <f>CS_PID!AB303/VLOOKUP($B303,표2[#ALL],2)/HLOOKUP($A303,표1[#ALL],row(),false)</f>
        <v>#N/A</v>
      </c>
      <c r="AC303" s="376" t="str">
        <f>CS_PID!AC303/VLOOKUP($B303,표2[#ALL],2)/HLOOKUP($A303,표1[#ALL],row(),false)</f>
        <v>#N/A</v>
      </c>
      <c r="AD303" s="376" t="str">
        <f>CS_PID!AD303/VLOOKUP($B303,표2[#ALL],2)/HLOOKUP($A303,표1[#ALL],row(),false)</f>
        <v>#N/A</v>
      </c>
      <c r="AE303" s="376" t="str">
        <f>CS_PID!AE303/VLOOKUP($B303,표2[#ALL],2)/HLOOKUP($A303,표1[#ALL],row(),false)</f>
        <v>#N/A</v>
      </c>
      <c r="AF303" s="376" t="str">
        <f>CS_PID!AF303/VLOOKUP($B303,표2[#ALL],2)/HLOOKUP($A303,표1[#ALL],row(),false)</f>
        <v>#N/A</v>
      </c>
      <c r="AG303" s="376" t="str">
        <f>CS_PID!AG303/VLOOKUP($B303,표2[#ALL],2)/HLOOKUP($A303,표1[#ALL],row(),false)</f>
        <v>#N/A</v>
      </c>
      <c r="AH303" s="376" t="str">
        <f>CS_PID!AH303/VLOOKUP($B303,표2[#ALL],2)/HLOOKUP($A303,표1[#ALL],row(),false)</f>
        <v>#N/A</v>
      </c>
      <c r="AI303" s="376" t="str">
        <f>CS_PID!AI303/VLOOKUP($B303,표2[#ALL],2)/HLOOKUP($A303,표1[#ALL],row(),false)</f>
        <v>#N/A</v>
      </c>
      <c r="AJ303" s="376" t="str">
        <f>CS_PID!AJ303/VLOOKUP($B303,표2[#ALL],2)/HLOOKUP($A303,표1[#ALL],row(),false)</f>
        <v>#N/A</v>
      </c>
      <c r="AK303" s="376" t="str">
        <f>CS_PID!AK303/VLOOKUP($B303,표2[#ALL],2)/HLOOKUP($A303,표1[#ALL],row(),false)</f>
        <v>#N/A</v>
      </c>
      <c r="AL303" s="376" t="str">
        <f>CS_PID!AL303/VLOOKUP($B303,표2[#ALL],2)/HLOOKUP($A303,표1[#ALL],row(),false)</f>
        <v>#N/A</v>
      </c>
      <c r="AM303" s="376" t="str">
        <f>CS_PID!AM303/VLOOKUP($B303,표2[#ALL],2)/HLOOKUP($A303,표1[#ALL],row(),false)</f>
        <v>#N/A</v>
      </c>
      <c r="AN303" s="376" t="str">
        <f>CS_PID!AN303/VLOOKUP($B303,표2[#ALL],2)/HLOOKUP($A303,표1[#ALL],row(),false)</f>
        <v>#N/A</v>
      </c>
      <c r="AO303" s="376" t="str">
        <f>CS_PID!AO303/VLOOKUP($B303,표2[#ALL],2)/HLOOKUP($A303,표1[#ALL],row(),false)</f>
        <v>#N/A</v>
      </c>
      <c r="AP303" s="376" t="str">
        <f>CS_PID!AP303/VLOOKUP($B303,표2[#ALL],2)/HLOOKUP($A303,표1[#ALL],row(),false)</f>
        <v>#N/A</v>
      </c>
      <c r="AQ303" s="376" t="str">
        <f>CS_PID!AQ303/VLOOKUP($B303,표2[#ALL],2)/HLOOKUP($A303,표1[#ALL],row(),false)</f>
        <v>#N/A</v>
      </c>
      <c r="AR303" s="376" t="str">
        <f>CS_PID!AR303/VLOOKUP($B303,표2[#ALL],2)/HLOOKUP($A303,표1[#ALL],row(),false)</f>
        <v>#N/A</v>
      </c>
      <c r="AS303" s="377" t="str">
        <f>CS_PID!AS303/VLOOKUP($B303,표2[#ALL],2)/HLOOKUP($A303,표1[#ALL],row(),false)</f>
        <v>#N/A</v>
      </c>
    </row>
    <row r="304">
      <c r="A304" s="370"/>
      <c r="B304" s="371"/>
      <c r="C304" s="372" t="str">
        <f>CS_PID!C304/VLOOKUP($B304,표2[#ALL],2)</f>
        <v>#N/A</v>
      </c>
      <c r="D304" s="372" t="str">
        <f>CS_PID!D304/VLOOKUP($B304,표2[#ALL],2)</f>
        <v>#N/A</v>
      </c>
      <c r="E304" s="372" t="str">
        <f>CS_PID!E304/VLOOKUP($B304,표2[#ALL],2)</f>
        <v>#N/A</v>
      </c>
      <c r="F304" s="372" t="str">
        <f>CS_PID!F304/VLOOKUP($B304,표2[#ALL],2)</f>
        <v>#N/A</v>
      </c>
      <c r="G304" s="372" t="str">
        <f>CS_PID!G304/VLOOKUP($B304,표2[#ALL],2)</f>
        <v>#N/A</v>
      </c>
      <c r="H304" s="372" t="str">
        <f>CS_PID!H304/VLOOKUP($B304,표2[#ALL],2)/HLOOKUP($A304,표1[#ALL],row(),false)</f>
        <v>#N/A</v>
      </c>
      <c r="I304" s="372" t="str">
        <f>CS_PID!I304/VLOOKUP($B304,표2[#ALL],2)/HLOOKUP($A304,표1[#ALL],row(),false)</f>
        <v>#N/A</v>
      </c>
      <c r="J304" s="372" t="str">
        <f>CS_PID!J304/VLOOKUP($B304,표2[#ALL],2)/HLOOKUP($A304,표1[#ALL],row(),false)</f>
        <v>#N/A</v>
      </c>
      <c r="K304" s="372" t="str">
        <f>CS_PID!K304/VLOOKUP($B304,표2[#ALL],2)/HLOOKUP($A304,표1[#ALL],row(),false)</f>
        <v>#N/A</v>
      </c>
      <c r="L304" s="372" t="str">
        <f>CS_PID!L304/VLOOKUP($B304,표2[#ALL],2)/HLOOKUP($A304,표1[#ALL],row(),false)</f>
        <v>#N/A</v>
      </c>
      <c r="M304" s="372" t="str">
        <f>CS_PID!M304/VLOOKUP($B304,표2[#ALL],2)/HLOOKUP($A304,표1[#ALL],row(),false)</f>
        <v>#N/A</v>
      </c>
      <c r="N304" s="372" t="str">
        <f>CS_PID!N304/VLOOKUP($B304,표2[#ALL],2)/HLOOKUP($A304,표1[#ALL],row(),false)</f>
        <v>#N/A</v>
      </c>
      <c r="O304" s="372" t="str">
        <f>CS_PID!O304/VLOOKUP($B304,표2[#ALL],2)/HLOOKUP($A304,표1[#ALL],row(),false)</f>
        <v>#N/A</v>
      </c>
      <c r="P304" s="372" t="str">
        <f>CS_PID!P304/VLOOKUP($B304,표2[#ALL],2)/HLOOKUP($A304,표1[#ALL],row(),false)</f>
        <v>#N/A</v>
      </c>
      <c r="Q304" s="372" t="str">
        <f>CS_PID!Q304/VLOOKUP($B304,표2[#ALL],2)/HLOOKUP($A304,표1[#ALL],row(),false)</f>
        <v>#N/A</v>
      </c>
      <c r="R304" s="372" t="str">
        <f>CS_PID!R304/VLOOKUP($B304,표2[#ALL],2)/HLOOKUP($A304,표1[#ALL],row(),false)</f>
        <v>#N/A</v>
      </c>
      <c r="S304" s="372" t="str">
        <f>CS_PID!S304/VLOOKUP($B304,표2[#ALL],2)/HLOOKUP($A304,표1[#ALL],row(),false)</f>
        <v>#N/A</v>
      </c>
      <c r="T304" s="372" t="str">
        <f>CS_PID!T304/VLOOKUP($B304,표2[#ALL],2)/HLOOKUP($A304,표1[#ALL],row(),false)</f>
        <v>#N/A</v>
      </c>
      <c r="U304" s="372" t="str">
        <f>CS_PID!U304/VLOOKUP($B304,표2[#ALL],2)/HLOOKUP($A304,표1[#ALL],row(),false)</f>
        <v>#N/A</v>
      </c>
      <c r="V304" s="372" t="str">
        <f>CS_PID!V304/VLOOKUP($B304,표2[#ALL],2)/HLOOKUP($A304,표1[#ALL],row(),false)</f>
        <v>#N/A</v>
      </c>
      <c r="W304" s="372" t="str">
        <f>CS_PID!W304/VLOOKUP($B304,표2[#ALL],2)/HLOOKUP($A304,표1[#ALL],row(),false)</f>
        <v>#N/A</v>
      </c>
      <c r="X304" s="372" t="str">
        <f>CS_PID!X304/VLOOKUP($B304,표2[#ALL],2)/HLOOKUP($A304,표1[#ALL],row(),false)</f>
        <v>#N/A</v>
      </c>
      <c r="Y304" s="372" t="str">
        <f>CS_PID!Y304/VLOOKUP($B304,표2[#ALL],2)/HLOOKUP($A304,표1[#ALL],row(),false)</f>
        <v>#N/A</v>
      </c>
      <c r="Z304" s="372" t="str">
        <f>CS_PID!Z304/VLOOKUP($B304,표2[#ALL],2)/HLOOKUP($A304,표1[#ALL],row(),false)</f>
        <v>#N/A</v>
      </c>
      <c r="AA304" s="372" t="str">
        <f>CS_PID!AA304/VLOOKUP($B304,표2[#ALL],2)/HLOOKUP($A304,표1[#ALL],row(),false)</f>
        <v>#N/A</v>
      </c>
      <c r="AB304" s="372" t="str">
        <f>CS_PID!AB304/VLOOKUP($B304,표2[#ALL],2)/HLOOKUP($A304,표1[#ALL],row(),false)</f>
        <v>#N/A</v>
      </c>
      <c r="AC304" s="372" t="str">
        <f>CS_PID!AC304/VLOOKUP($B304,표2[#ALL],2)/HLOOKUP($A304,표1[#ALL],row(),false)</f>
        <v>#N/A</v>
      </c>
      <c r="AD304" s="372" t="str">
        <f>CS_PID!AD304/VLOOKUP($B304,표2[#ALL],2)/HLOOKUP($A304,표1[#ALL],row(),false)</f>
        <v>#N/A</v>
      </c>
      <c r="AE304" s="372" t="str">
        <f>CS_PID!AE304/VLOOKUP($B304,표2[#ALL],2)/HLOOKUP($A304,표1[#ALL],row(),false)</f>
        <v>#N/A</v>
      </c>
      <c r="AF304" s="372" t="str">
        <f>CS_PID!AF304/VLOOKUP($B304,표2[#ALL],2)/HLOOKUP($A304,표1[#ALL],row(),false)</f>
        <v>#N/A</v>
      </c>
      <c r="AG304" s="372" t="str">
        <f>CS_PID!AG304/VLOOKUP($B304,표2[#ALL],2)/HLOOKUP($A304,표1[#ALL],row(),false)</f>
        <v>#N/A</v>
      </c>
      <c r="AH304" s="372" t="str">
        <f>CS_PID!AH304/VLOOKUP($B304,표2[#ALL],2)/HLOOKUP($A304,표1[#ALL],row(),false)</f>
        <v>#N/A</v>
      </c>
      <c r="AI304" s="372" t="str">
        <f>CS_PID!AI304/VLOOKUP($B304,표2[#ALL],2)/HLOOKUP($A304,표1[#ALL],row(),false)</f>
        <v>#N/A</v>
      </c>
      <c r="AJ304" s="372" t="str">
        <f>CS_PID!AJ304/VLOOKUP($B304,표2[#ALL],2)/HLOOKUP($A304,표1[#ALL],row(),false)</f>
        <v>#N/A</v>
      </c>
      <c r="AK304" s="372" t="str">
        <f>CS_PID!AK304/VLOOKUP($B304,표2[#ALL],2)/HLOOKUP($A304,표1[#ALL],row(),false)</f>
        <v>#N/A</v>
      </c>
      <c r="AL304" s="372" t="str">
        <f>CS_PID!AL304/VLOOKUP($B304,표2[#ALL],2)/HLOOKUP($A304,표1[#ALL],row(),false)</f>
        <v>#N/A</v>
      </c>
      <c r="AM304" s="372" t="str">
        <f>CS_PID!AM304/VLOOKUP($B304,표2[#ALL],2)/HLOOKUP($A304,표1[#ALL],row(),false)</f>
        <v>#N/A</v>
      </c>
      <c r="AN304" s="372" t="str">
        <f>CS_PID!AN304/VLOOKUP($B304,표2[#ALL],2)/HLOOKUP($A304,표1[#ALL],row(),false)</f>
        <v>#N/A</v>
      </c>
      <c r="AO304" s="372" t="str">
        <f>CS_PID!AO304/VLOOKUP($B304,표2[#ALL],2)/HLOOKUP($A304,표1[#ALL],row(),false)</f>
        <v>#N/A</v>
      </c>
      <c r="AP304" s="372" t="str">
        <f>CS_PID!AP304/VLOOKUP($B304,표2[#ALL],2)/HLOOKUP($A304,표1[#ALL],row(),false)</f>
        <v>#N/A</v>
      </c>
      <c r="AQ304" s="372" t="str">
        <f>CS_PID!AQ304/VLOOKUP($B304,표2[#ALL],2)/HLOOKUP($A304,표1[#ALL],row(),false)</f>
        <v>#N/A</v>
      </c>
      <c r="AR304" s="372" t="str">
        <f>CS_PID!AR304/VLOOKUP($B304,표2[#ALL],2)/HLOOKUP($A304,표1[#ALL],row(),false)</f>
        <v>#N/A</v>
      </c>
      <c r="AS304" s="373" t="str">
        <f>CS_PID!AS304/VLOOKUP($B304,표2[#ALL],2)/HLOOKUP($A304,표1[#ALL],row(),false)</f>
        <v>#N/A</v>
      </c>
    </row>
    <row r="305">
      <c r="A305" s="374"/>
      <c r="B305" s="375"/>
      <c r="C305" s="376" t="str">
        <f>CS_PID!C305/VLOOKUP($B305,표2[#ALL],2)</f>
        <v>#N/A</v>
      </c>
      <c r="D305" s="376" t="str">
        <f>CS_PID!D305/VLOOKUP($B305,표2[#ALL],2)</f>
        <v>#N/A</v>
      </c>
      <c r="E305" s="376" t="str">
        <f>CS_PID!E305/VLOOKUP($B305,표2[#ALL],2)</f>
        <v>#N/A</v>
      </c>
      <c r="F305" s="376" t="str">
        <f>CS_PID!F305/VLOOKUP($B305,표2[#ALL],2)</f>
        <v>#N/A</v>
      </c>
      <c r="G305" s="376" t="str">
        <f>CS_PID!G305/VLOOKUP($B305,표2[#ALL],2)</f>
        <v>#N/A</v>
      </c>
      <c r="H305" s="376" t="str">
        <f>CS_PID!H305/VLOOKUP($B305,표2[#ALL],2)/HLOOKUP($A305,표1[#ALL],row(),false)</f>
        <v>#N/A</v>
      </c>
      <c r="I305" s="376" t="str">
        <f>CS_PID!I305/VLOOKUP($B305,표2[#ALL],2)/HLOOKUP($A305,표1[#ALL],row(),false)</f>
        <v>#N/A</v>
      </c>
      <c r="J305" s="376" t="str">
        <f>CS_PID!J305/VLOOKUP($B305,표2[#ALL],2)/HLOOKUP($A305,표1[#ALL],row(),false)</f>
        <v>#N/A</v>
      </c>
      <c r="K305" s="376" t="str">
        <f>CS_PID!K305/VLOOKUP($B305,표2[#ALL],2)/HLOOKUP($A305,표1[#ALL],row(),false)</f>
        <v>#N/A</v>
      </c>
      <c r="L305" s="376" t="str">
        <f>CS_PID!L305/VLOOKUP($B305,표2[#ALL],2)/HLOOKUP($A305,표1[#ALL],row(),false)</f>
        <v>#N/A</v>
      </c>
      <c r="M305" s="376" t="str">
        <f>CS_PID!M305/VLOOKUP($B305,표2[#ALL],2)/HLOOKUP($A305,표1[#ALL],row(),false)</f>
        <v>#N/A</v>
      </c>
      <c r="N305" s="376" t="str">
        <f>CS_PID!N305/VLOOKUP($B305,표2[#ALL],2)/HLOOKUP($A305,표1[#ALL],row(),false)</f>
        <v>#N/A</v>
      </c>
      <c r="O305" s="376" t="str">
        <f>CS_PID!O305/VLOOKUP($B305,표2[#ALL],2)/HLOOKUP($A305,표1[#ALL],row(),false)</f>
        <v>#N/A</v>
      </c>
      <c r="P305" s="376" t="str">
        <f>CS_PID!P305/VLOOKUP($B305,표2[#ALL],2)/HLOOKUP($A305,표1[#ALL],row(),false)</f>
        <v>#N/A</v>
      </c>
      <c r="Q305" s="376" t="str">
        <f>CS_PID!Q305/VLOOKUP($B305,표2[#ALL],2)/HLOOKUP($A305,표1[#ALL],row(),false)</f>
        <v>#N/A</v>
      </c>
      <c r="R305" s="376" t="str">
        <f>CS_PID!R305/VLOOKUP($B305,표2[#ALL],2)/HLOOKUP($A305,표1[#ALL],row(),false)</f>
        <v>#N/A</v>
      </c>
      <c r="S305" s="376" t="str">
        <f>CS_PID!S305/VLOOKUP($B305,표2[#ALL],2)/HLOOKUP($A305,표1[#ALL],row(),false)</f>
        <v>#N/A</v>
      </c>
      <c r="T305" s="376" t="str">
        <f>CS_PID!T305/VLOOKUP($B305,표2[#ALL],2)/HLOOKUP($A305,표1[#ALL],row(),false)</f>
        <v>#N/A</v>
      </c>
      <c r="U305" s="376" t="str">
        <f>CS_PID!U305/VLOOKUP($B305,표2[#ALL],2)/HLOOKUP($A305,표1[#ALL],row(),false)</f>
        <v>#N/A</v>
      </c>
      <c r="V305" s="376" t="str">
        <f>CS_PID!V305/VLOOKUP($B305,표2[#ALL],2)/HLOOKUP($A305,표1[#ALL],row(),false)</f>
        <v>#N/A</v>
      </c>
      <c r="W305" s="376" t="str">
        <f>CS_PID!W305/VLOOKUP($B305,표2[#ALL],2)/HLOOKUP($A305,표1[#ALL],row(),false)</f>
        <v>#N/A</v>
      </c>
      <c r="X305" s="376" t="str">
        <f>CS_PID!X305/VLOOKUP($B305,표2[#ALL],2)/HLOOKUP($A305,표1[#ALL],row(),false)</f>
        <v>#N/A</v>
      </c>
      <c r="Y305" s="376" t="str">
        <f>CS_PID!Y305/VLOOKUP($B305,표2[#ALL],2)/HLOOKUP($A305,표1[#ALL],row(),false)</f>
        <v>#N/A</v>
      </c>
      <c r="Z305" s="376" t="str">
        <f>CS_PID!Z305/VLOOKUP($B305,표2[#ALL],2)/HLOOKUP($A305,표1[#ALL],row(),false)</f>
        <v>#N/A</v>
      </c>
      <c r="AA305" s="376" t="str">
        <f>CS_PID!AA305/VLOOKUP($B305,표2[#ALL],2)/HLOOKUP($A305,표1[#ALL],row(),false)</f>
        <v>#N/A</v>
      </c>
      <c r="AB305" s="376" t="str">
        <f>CS_PID!AB305/VLOOKUP($B305,표2[#ALL],2)/HLOOKUP($A305,표1[#ALL],row(),false)</f>
        <v>#N/A</v>
      </c>
      <c r="AC305" s="376" t="str">
        <f>CS_PID!AC305/VLOOKUP($B305,표2[#ALL],2)/HLOOKUP($A305,표1[#ALL],row(),false)</f>
        <v>#N/A</v>
      </c>
      <c r="AD305" s="376" t="str">
        <f>CS_PID!AD305/VLOOKUP($B305,표2[#ALL],2)/HLOOKUP($A305,표1[#ALL],row(),false)</f>
        <v>#N/A</v>
      </c>
      <c r="AE305" s="376" t="str">
        <f>CS_PID!AE305/VLOOKUP($B305,표2[#ALL],2)/HLOOKUP($A305,표1[#ALL],row(),false)</f>
        <v>#N/A</v>
      </c>
      <c r="AF305" s="376" t="str">
        <f>CS_PID!AF305/VLOOKUP($B305,표2[#ALL],2)/HLOOKUP($A305,표1[#ALL],row(),false)</f>
        <v>#N/A</v>
      </c>
      <c r="AG305" s="376" t="str">
        <f>CS_PID!AG305/VLOOKUP($B305,표2[#ALL],2)/HLOOKUP($A305,표1[#ALL],row(),false)</f>
        <v>#N/A</v>
      </c>
      <c r="AH305" s="376" t="str">
        <f>CS_PID!AH305/VLOOKUP($B305,표2[#ALL],2)/HLOOKUP($A305,표1[#ALL],row(),false)</f>
        <v>#N/A</v>
      </c>
      <c r="AI305" s="376" t="str">
        <f>CS_PID!AI305/VLOOKUP($B305,표2[#ALL],2)/HLOOKUP($A305,표1[#ALL],row(),false)</f>
        <v>#N/A</v>
      </c>
      <c r="AJ305" s="376" t="str">
        <f>CS_PID!AJ305/VLOOKUP($B305,표2[#ALL],2)/HLOOKUP($A305,표1[#ALL],row(),false)</f>
        <v>#N/A</v>
      </c>
      <c r="AK305" s="376" t="str">
        <f>CS_PID!AK305/VLOOKUP($B305,표2[#ALL],2)/HLOOKUP($A305,표1[#ALL],row(),false)</f>
        <v>#N/A</v>
      </c>
      <c r="AL305" s="376" t="str">
        <f>CS_PID!AL305/VLOOKUP($B305,표2[#ALL],2)/HLOOKUP($A305,표1[#ALL],row(),false)</f>
        <v>#N/A</v>
      </c>
      <c r="AM305" s="376" t="str">
        <f>CS_PID!AM305/VLOOKUP($B305,표2[#ALL],2)/HLOOKUP($A305,표1[#ALL],row(),false)</f>
        <v>#N/A</v>
      </c>
      <c r="AN305" s="376" t="str">
        <f>CS_PID!AN305/VLOOKUP($B305,표2[#ALL],2)/HLOOKUP($A305,표1[#ALL],row(),false)</f>
        <v>#N/A</v>
      </c>
      <c r="AO305" s="376" t="str">
        <f>CS_PID!AO305/VLOOKUP($B305,표2[#ALL],2)/HLOOKUP($A305,표1[#ALL],row(),false)</f>
        <v>#N/A</v>
      </c>
      <c r="AP305" s="376" t="str">
        <f>CS_PID!AP305/VLOOKUP($B305,표2[#ALL],2)/HLOOKUP($A305,표1[#ALL],row(),false)</f>
        <v>#N/A</v>
      </c>
      <c r="AQ305" s="376" t="str">
        <f>CS_PID!AQ305/VLOOKUP($B305,표2[#ALL],2)/HLOOKUP($A305,표1[#ALL],row(),false)</f>
        <v>#N/A</v>
      </c>
      <c r="AR305" s="376" t="str">
        <f>CS_PID!AR305/VLOOKUP($B305,표2[#ALL],2)/HLOOKUP($A305,표1[#ALL],row(),false)</f>
        <v>#N/A</v>
      </c>
      <c r="AS305" s="377" t="str">
        <f>CS_PID!AS305/VLOOKUP($B305,표2[#ALL],2)/HLOOKUP($A305,표1[#ALL],row(),false)</f>
        <v>#N/A</v>
      </c>
    </row>
    <row r="306">
      <c r="A306" s="370"/>
      <c r="B306" s="371"/>
      <c r="C306" s="372" t="str">
        <f>CS_PID!C306/VLOOKUP($B306,표2[#ALL],2)</f>
        <v>#N/A</v>
      </c>
      <c r="D306" s="372" t="str">
        <f>CS_PID!D306/VLOOKUP($B306,표2[#ALL],2)</f>
        <v>#N/A</v>
      </c>
      <c r="E306" s="372" t="str">
        <f>CS_PID!E306/VLOOKUP($B306,표2[#ALL],2)</f>
        <v>#N/A</v>
      </c>
      <c r="F306" s="372" t="str">
        <f>CS_PID!F306/VLOOKUP($B306,표2[#ALL],2)</f>
        <v>#N/A</v>
      </c>
      <c r="G306" s="372" t="str">
        <f>CS_PID!G306/VLOOKUP($B306,표2[#ALL],2)</f>
        <v>#N/A</v>
      </c>
      <c r="H306" s="372" t="str">
        <f>CS_PID!H306/VLOOKUP($B306,표2[#ALL],2)/HLOOKUP($A306,표1[#ALL],row(),false)</f>
        <v>#N/A</v>
      </c>
      <c r="I306" s="372" t="str">
        <f>CS_PID!I306/VLOOKUP($B306,표2[#ALL],2)/HLOOKUP($A306,표1[#ALL],row(),false)</f>
        <v>#N/A</v>
      </c>
      <c r="J306" s="372" t="str">
        <f>CS_PID!J306/VLOOKUP($B306,표2[#ALL],2)/HLOOKUP($A306,표1[#ALL],row(),false)</f>
        <v>#N/A</v>
      </c>
      <c r="K306" s="372" t="str">
        <f>CS_PID!K306/VLOOKUP($B306,표2[#ALL],2)/HLOOKUP($A306,표1[#ALL],row(),false)</f>
        <v>#N/A</v>
      </c>
      <c r="L306" s="372" t="str">
        <f>CS_PID!L306/VLOOKUP($B306,표2[#ALL],2)/HLOOKUP($A306,표1[#ALL],row(),false)</f>
        <v>#N/A</v>
      </c>
      <c r="M306" s="372" t="str">
        <f>CS_PID!M306/VLOOKUP($B306,표2[#ALL],2)/HLOOKUP($A306,표1[#ALL],row(),false)</f>
        <v>#N/A</v>
      </c>
      <c r="N306" s="372" t="str">
        <f>CS_PID!N306/VLOOKUP($B306,표2[#ALL],2)/HLOOKUP($A306,표1[#ALL],row(),false)</f>
        <v>#N/A</v>
      </c>
      <c r="O306" s="372" t="str">
        <f>CS_PID!O306/VLOOKUP($B306,표2[#ALL],2)/HLOOKUP($A306,표1[#ALL],row(),false)</f>
        <v>#N/A</v>
      </c>
      <c r="P306" s="372" t="str">
        <f>CS_PID!P306/VLOOKUP($B306,표2[#ALL],2)/HLOOKUP($A306,표1[#ALL],row(),false)</f>
        <v>#N/A</v>
      </c>
      <c r="Q306" s="372" t="str">
        <f>CS_PID!Q306/VLOOKUP($B306,표2[#ALL],2)/HLOOKUP($A306,표1[#ALL],row(),false)</f>
        <v>#N/A</v>
      </c>
      <c r="R306" s="372" t="str">
        <f>CS_PID!R306/VLOOKUP($B306,표2[#ALL],2)/HLOOKUP($A306,표1[#ALL],row(),false)</f>
        <v>#N/A</v>
      </c>
      <c r="S306" s="372" t="str">
        <f>CS_PID!S306/VLOOKUP($B306,표2[#ALL],2)/HLOOKUP($A306,표1[#ALL],row(),false)</f>
        <v>#N/A</v>
      </c>
      <c r="T306" s="372" t="str">
        <f>CS_PID!T306/VLOOKUP($B306,표2[#ALL],2)/HLOOKUP($A306,표1[#ALL],row(),false)</f>
        <v>#N/A</v>
      </c>
      <c r="U306" s="372" t="str">
        <f>CS_PID!U306/VLOOKUP($B306,표2[#ALL],2)/HLOOKUP($A306,표1[#ALL],row(),false)</f>
        <v>#N/A</v>
      </c>
      <c r="V306" s="372" t="str">
        <f>CS_PID!V306/VLOOKUP($B306,표2[#ALL],2)/HLOOKUP($A306,표1[#ALL],row(),false)</f>
        <v>#N/A</v>
      </c>
      <c r="W306" s="372" t="str">
        <f>CS_PID!W306/VLOOKUP($B306,표2[#ALL],2)/HLOOKUP($A306,표1[#ALL],row(),false)</f>
        <v>#N/A</v>
      </c>
      <c r="X306" s="372" t="str">
        <f>CS_PID!X306/VLOOKUP($B306,표2[#ALL],2)/HLOOKUP($A306,표1[#ALL],row(),false)</f>
        <v>#N/A</v>
      </c>
      <c r="Y306" s="372" t="str">
        <f>CS_PID!Y306/VLOOKUP($B306,표2[#ALL],2)/HLOOKUP($A306,표1[#ALL],row(),false)</f>
        <v>#N/A</v>
      </c>
      <c r="Z306" s="372" t="str">
        <f>CS_PID!Z306/VLOOKUP($B306,표2[#ALL],2)/HLOOKUP($A306,표1[#ALL],row(),false)</f>
        <v>#N/A</v>
      </c>
      <c r="AA306" s="372" t="str">
        <f>CS_PID!AA306/VLOOKUP($B306,표2[#ALL],2)/HLOOKUP($A306,표1[#ALL],row(),false)</f>
        <v>#N/A</v>
      </c>
      <c r="AB306" s="372" t="str">
        <f>CS_PID!AB306/VLOOKUP($B306,표2[#ALL],2)/HLOOKUP($A306,표1[#ALL],row(),false)</f>
        <v>#N/A</v>
      </c>
      <c r="AC306" s="372" t="str">
        <f>CS_PID!AC306/VLOOKUP($B306,표2[#ALL],2)/HLOOKUP($A306,표1[#ALL],row(),false)</f>
        <v>#N/A</v>
      </c>
      <c r="AD306" s="372" t="str">
        <f>CS_PID!AD306/VLOOKUP($B306,표2[#ALL],2)/HLOOKUP($A306,표1[#ALL],row(),false)</f>
        <v>#N/A</v>
      </c>
      <c r="AE306" s="372" t="str">
        <f>CS_PID!AE306/VLOOKUP($B306,표2[#ALL],2)/HLOOKUP($A306,표1[#ALL],row(),false)</f>
        <v>#N/A</v>
      </c>
      <c r="AF306" s="372" t="str">
        <f>CS_PID!AF306/VLOOKUP($B306,표2[#ALL],2)/HLOOKUP($A306,표1[#ALL],row(),false)</f>
        <v>#N/A</v>
      </c>
      <c r="AG306" s="372" t="str">
        <f>CS_PID!AG306/VLOOKUP($B306,표2[#ALL],2)/HLOOKUP($A306,표1[#ALL],row(),false)</f>
        <v>#N/A</v>
      </c>
      <c r="AH306" s="372" t="str">
        <f>CS_PID!AH306/VLOOKUP($B306,표2[#ALL],2)/HLOOKUP($A306,표1[#ALL],row(),false)</f>
        <v>#N/A</v>
      </c>
      <c r="AI306" s="372" t="str">
        <f>CS_PID!AI306/VLOOKUP($B306,표2[#ALL],2)/HLOOKUP($A306,표1[#ALL],row(),false)</f>
        <v>#N/A</v>
      </c>
      <c r="AJ306" s="372" t="str">
        <f>CS_PID!AJ306/VLOOKUP($B306,표2[#ALL],2)/HLOOKUP($A306,표1[#ALL],row(),false)</f>
        <v>#N/A</v>
      </c>
      <c r="AK306" s="372" t="str">
        <f>CS_PID!AK306/VLOOKUP($B306,표2[#ALL],2)/HLOOKUP($A306,표1[#ALL],row(),false)</f>
        <v>#N/A</v>
      </c>
      <c r="AL306" s="372" t="str">
        <f>CS_PID!AL306/VLOOKUP($B306,표2[#ALL],2)/HLOOKUP($A306,표1[#ALL],row(),false)</f>
        <v>#N/A</v>
      </c>
      <c r="AM306" s="372" t="str">
        <f>CS_PID!AM306/VLOOKUP($B306,표2[#ALL],2)/HLOOKUP($A306,표1[#ALL],row(),false)</f>
        <v>#N/A</v>
      </c>
      <c r="AN306" s="372" t="str">
        <f>CS_PID!AN306/VLOOKUP($B306,표2[#ALL],2)/HLOOKUP($A306,표1[#ALL],row(),false)</f>
        <v>#N/A</v>
      </c>
      <c r="AO306" s="372" t="str">
        <f>CS_PID!AO306/VLOOKUP($B306,표2[#ALL],2)/HLOOKUP($A306,표1[#ALL],row(),false)</f>
        <v>#N/A</v>
      </c>
      <c r="AP306" s="372" t="str">
        <f>CS_PID!AP306/VLOOKUP($B306,표2[#ALL],2)/HLOOKUP($A306,표1[#ALL],row(),false)</f>
        <v>#N/A</v>
      </c>
      <c r="AQ306" s="372" t="str">
        <f>CS_PID!AQ306/VLOOKUP($B306,표2[#ALL],2)/HLOOKUP($A306,표1[#ALL],row(),false)</f>
        <v>#N/A</v>
      </c>
      <c r="AR306" s="372" t="str">
        <f>CS_PID!AR306/VLOOKUP($B306,표2[#ALL],2)/HLOOKUP($A306,표1[#ALL],row(),false)</f>
        <v>#N/A</v>
      </c>
      <c r="AS306" s="373" t="str">
        <f>CS_PID!AS306/VLOOKUP($B306,표2[#ALL],2)/HLOOKUP($A306,표1[#ALL],row(),false)</f>
        <v>#N/A</v>
      </c>
    </row>
    <row r="307">
      <c r="A307" s="374"/>
      <c r="B307" s="375"/>
      <c r="C307" s="376" t="str">
        <f>CS_PID!C307/VLOOKUP($B307,표2[#ALL],2)</f>
        <v>#N/A</v>
      </c>
      <c r="D307" s="376" t="str">
        <f>CS_PID!D307/VLOOKUP($B307,표2[#ALL],2)</f>
        <v>#N/A</v>
      </c>
      <c r="E307" s="376" t="str">
        <f>CS_PID!E307/VLOOKUP($B307,표2[#ALL],2)</f>
        <v>#N/A</v>
      </c>
      <c r="F307" s="376" t="str">
        <f>CS_PID!F307/VLOOKUP($B307,표2[#ALL],2)</f>
        <v>#N/A</v>
      </c>
      <c r="G307" s="376" t="str">
        <f>CS_PID!G307/VLOOKUP($B307,표2[#ALL],2)</f>
        <v>#N/A</v>
      </c>
      <c r="H307" s="376" t="str">
        <f>CS_PID!H307/VLOOKUP($B307,표2[#ALL],2)/HLOOKUP($A307,표1[#ALL],row(),false)</f>
        <v>#N/A</v>
      </c>
      <c r="I307" s="376" t="str">
        <f>CS_PID!I307/VLOOKUP($B307,표2[#ALL],2)/HLOOKUP($A307,표1[#ALL],row(),false)</f>
        <v>#N/A</v>
      </c>
      <c r="J307" s="376" t="str">
        <f>CS_PID!J307/VLOOKUP($B307,표2[#ALL],2)/HLOOKUP($A307,표1[#ALL],row(),false)</f>
        <v>#N/A</v>
      </c>
      <c r="K307" s="376" t="str">
        <f>CS_PID!K307/VLOOKUP($B307,표2[#ALL],2)/HLOOKUP($A307,표1[#ALL],row(),false)</f>
        <v>#N/A</v>
      </c>
      <c r="L307" s="376" t="str">
        <f>CS_PID!L307/VLOOKUP($B307,표2[#ALL],2)/HLOOKUP($A307,표1[#ALL],row(),false)</f>
        <v>#N/A</v>
      </c>
      <c r="M307" s="376" t="str">
        <f>CS_PID!M307/VLOOKUP($B307,표2[#ALL],2)/HLOOKUP($A307,표1[#ALL],row(),false)</f>
        <v>#N/A</v>
      </c>
      <c r="N307" s="376" t="str">
        <f>CS_PID!N307/VLOOKUP($B307,표2[#ALL],2)/HLOOKUP($A307,표1[#ALL],row(),false)</f>
        <v>#N/A</v>
      </c>
      <c r="O307" s="376" t="str">
        <f>CS_PID!O307/VLOOKUP($B307,표2[#ALL],2)/HLOOKUP($A307,표1[#ALL],row(),false)</f>
        <v>#N/A</v>
      </c>
      <c r="P307" s="376" t="str">
        <f>CS_PID!P307/VLOOKUP($B307,표2[#ALL],2)/HLOOKUP($A307,표1[#ALL],row(),false)</f>
        <v>#N/A</v>
      </c>
      <c r="Q307" s="376" t="str">
        <f>CS_PID!Q307/VLOOKUP($B307,표2[#ALL],2)/HLOOKUP($A307,표1[#ALL],row(),false)</f>
        <v>#N/A</v>
      </c>
      <c r="R307" s="376" t="str">
        <f>CS_PID!R307/VLOOKUP($B307,표2[#ALL],2)/HLOOKUP($A307,표1[#ALL],row(),false)</f>
        <v>#N/A</v>
      </c>
      <c r="S307" s="376" t="str">
        <f>CS_PID!S307/VLOOKUP($B307,표2[#ALL],2)/HLOOKUP($A307,표1[#ALL],row(),false)</f>
        <v>#N/A</v>
      </c>
      <c r="T307" s="376" t="str">
        <f>CS_PID!T307/VLOOKUP($B307,표2[#ALL],2)/HLOOKUP($A307,표1[#ALL],row(),false)</f>
        <v>#N/A</v>
      </c>
      <c r="U307" s="376" t="str">
        <f>CS_PID!U307/VLOOKUP($B307,표2[#ALL],2)/HLOOKUP($A307,표1[#ALL],row(),false)</f>
        <v>#N/A</v>
      </c>
      <c r="V307" s="376" t="str">
        <f>CS_PID!V307/VLOOKUP($B307,표2[#ALL],2)/HLOOKUP($A307,표1[#ALL],row(),false)</f>
        <v>#N/A</v>
      </c>
      <c r="W307" s="376" t="str">
        <f>CS_PID!W307/VLOOKUP($B307,표2[#ALL],2)/HLOOKUP($A307,표1[#ALL],row(),false)</f>
        <v>#N/A</v>
      </c>
      <c r="X307" s="376" t="str">
        <f>CS_PID!X307/VLOOKUP($B307,표2[#ALL],2)/HLOOKUP($A307,표1[#ALL],row(),false)</f>
        <v>#N/A</v>
      </c>
      <c r="Y307" s="376" t="str">
        <f>CS_PID!Y307/VLOOKUP($B307,표2[#ALL],2)/HLOOKUP($A307,표1[#ALL],row(),false)</f>
        <v>#N/A</v>
      </c>
      <c r="Z307" s="376" t="str">
        <f>CS_PID!Z307/VLOOKUP($B307,표2[#ALL],2)/HLOOKUP($A307,표1[#ALL],row(),false)</f>
        <v>#N/A</v>
      </c>
      <c r="AA307" s="376" t="str">
        <f>CS_PID!AA307/VLOOKUP($B307,표2[#ALL],2)/HLOOKUP($A307,표1[#ALL],row(),false)</f>
        <v>#N/A</v>
      </c>
      <c r="AB307" s="376" t="str">
        <f>CS_PID!AB307/VLOOKUP($B307,표2[#ALL],2)/HLOOKUP($A307,표1[#ALL],row(),false)</f>
        <v>#N/A</v>
      </c>
      <c r="AC307" s="376" t="str">
        <f>CS_PID!AC307/VLOOKUP($B307,표2[#ALL],2)/HLOOKUP($A307,표1[#ALL],row(),false)</f>
        <v>#N/A</v>
      </c>
      <c r="AD307" s="376" t="str">
        <f>CS_PID!AD307/VLOOKUP($B307,표2[#ALL],2)/HLOOKUP($A307,표1[#ALL],row(),false)</f>
        <v>#N/A</v>
      </c>
      <c r="AE307" s="376" t="str">
        <f>CS_PID!AE307/VLOOKUP($B307,표2[#ALL],2)/HLOOKUP($A307,표1[#ALL],row(),false)</f>
        <v>#N/A</v>
      </c>
      <c r="AF307" s="376" t="str">
        <f>CS_PID!AF307/VLOOKUP($B307,표2[#ALL],2)/HLOOKUP($A307,표1[#ALL],row(),false)</f>
        <v>#N/A</v>
      </c>
      <c r="AG307" s="376" t="str">
        <f>CS_PID!AG307/VLOOKUP($B307,표2[#ALL],2)/HLOOKUP($A307,표1[#ALL],row(),false)</f>
        <v>#N/A</v>
      </c>
      <c r="AH307" s="376" t="str">
        <f>CS_PID!AH307/VLOOKUP($B307,표2[#ALL],2)/HLOOKUP($A307,표1[#ALL],row(),false)</f>
        <v>#N/A</v>
      </c>
      <c r="AI307" s="376" t="str">
        <f>CS_PID!AI307/VLOOKUP($B307,표2[#ALL],2)/HLOOKUP($A307,표1[#ALL],row(),false)</f>
        <v>#N/A</v>
      </c>
      <c r="AJ307" s="376" t="str">
        <f>CS_PID!AJ307/VLOOKUP($B307,표2[#ALL],2)/HLOOKUP($A307,표1[#ALL],row(),false)</f>
        <v>#N/A</v>
      </c>
      <c r="AK307" s="376" t="str">
        <f>CS_PID!AK307/VLOOKUP($B307,표2[#ALL],2)/HLOOKUP($A307,표1[#ALL],row(),false)</f>
        <v>#N/A</v>
      </c>
      <c r="AL307" s="376" t="str">
        <f>CS_PID!AL307/VLOOKUP($B307,표2[#ALL],2)/HLOOKUP($A307,표1[#ALL],row(),false)</f>
        <v>#N/A</v>
      </c>
      <c r="AM307" s="376" t="str">
        <f>CS_PID!AM307/VLOOKUP($B307,표2[#ALL],2)/HLOOKUP($A307,표1[#ALL],row(),false)</f>
        <v>#N/A</v>
      </c>
      <c r="AN307" s="376" t="str">
        <f>CS_PID!AN307/VLOOKUP($B307,표2[#ALL],2)/HLOOKUP($A307,표1[#ALL],row(),false)</f>
        <v>#N/A</v>
      </c>
      <c r="AO307" s="376" t="str">
        <f>CS_PID!AO307/VLOOKUP($B307,표2[#ALL],2)/HLOOKUP($A307,표1[#ALL],row(),false)</f>
        <v>#N/A</v>
      </c>
      <c r="AP307" s="376" t="str">
        <f>CS_PID!AP307/VLOOKUP($B307,표2[#ALL],2)/HLOOKUP($A307,표1[#ALL],row(),false)</f>
        <v>#N/A</v>
      </c>
      <c r="AQ307" s="376" t="str">
        <f>CS_PID!AQ307/VLOOKUP($B307,표2[#ALL],2)/HLOOKUP($A307,표1[#ALL],row(),false)</f>
        <v>#N/A</v>
      </c>
      <c r="AR307" s="376" t="str">
        <f>CS_PID!AR307/VLOOKUP($B307,표2[#ALL],2)/HLOOKUP($A307,표1[#ALL],row(),false)</f>
        <v>#N/A</v>
      </c>
      <c r="AS307" s="377" t="str">
        <f>CS_PID!AS307/VLOOKUP($B307,표2[#ALL],2)/HLOOKUP($A307,표1[#ALL],row(),false)</f>
        <v>#N/A</v>
      </c>
    </row>
    <row r="308">
      <c r="A308" s="370"/>
      <c r="B308" s="371"/>
      <c r="C308" s="372" t="str">
        <f>CS_PID!C308/VLOOKUP($B308,표2[#ALL],2)</f>
        <v>#N/A</v>
      </c>
      <c r="D308" s="372" t="str">
        <f>CS_PID!D308/VLOOKUP($B308,표2[#ALL],2)</f>
        <v>#N/A</v>
      </c>
      <c r="E308" s="372" t="str">
        <f>CS_PID!E308/VLOOKUP($B308,표2[#ALL],2)</f>
        <v>#N/A</v>
      </c>
      <c r="F308" s="372" t="str">
        <f>CS_PID!F308/VLOOKUP($B308,표2[#ALL],2)</f>
        <v>#N/A</v>
      </c>
      <c r="G308" s="372" t="str">
        <f>CS_PID!G308/VLOOKUP($B308,표2[#ALL],2)</f>
        <v>#N/A</v>
      </c>
      <c r="H308" s="372" t="str">
        <f>CS_PID!H308/VLOOKUP($B308,표2[#ALL],2)/HLOOKUP($A308,표1[#ALL],row(),false)</f>
        <v>#N/A</v>
      </c>
      <c r="I308" s="372" t="str">
        <f>CS_PID!I308/VLOOKUP($B308,표2[#ALL],2)/HLOOKUP($A308,표1[#ALL],row(),false)</f>
        <v>#N/A</v>
      </c>
      <c r="J308" s="372" t="str">
        <f>CS_PID!J308/VLOOKUP($B308,표2[#ALL],2)/HLOOKUP($A308,표1[#ALL],row(),false)</f>
        <v>#N/A</v>
      </c>
      <c r="K308" s="372" t="str">
        <f>CS_PID!K308/VLOOKUP($B308,표2[#ALL],2)/HLOOKUP($A308,표1[#ALL],row(),false)</f>
        <v>#N/A</v>
      </c>
      <c r="L308" s="372" t="str">
        <f>CS_PID!L308/VLOOKUP($B308,표2[#ALL],2)/HLOOKUP($A308,표1[#ALL],row(),false)</f>
        <v>#N/A</v>
      </c>
      <c r="M308" s="372" t="str">
        <f>CS_PID!M308/VLOOKUP($B308,표2[#ALL],2)/HLOOKUP($A308,표1[#ALL],row(),false)</f>
        <v>#N/A</v>
      </c>
      <c r="N308" s="372" t="str">
        <f>CS_PID!N308/VLOOKUP($B308,표2[#ALL],2)/HLOOKUP($A308,표1[#ALL],row(),false)</f>
        <v>#N/A</v>
      </c>
      <c r="O308" s="372" t="str">
        <f>CS_PID!O308/VLOOKUP($B308,표2[#ALL],2)/HLOOKUP($A308,표1[#ALL],row(),false)</f>
        <v>#N/A</v>
      </c>
      <c r="P308" s="372" t="str">
        <f>CS_PID!P308/VLOOKUP($B308,표2[#ALL],2)/HLOOKUP($A308,표1[#ALL],row(),false)</f>
        <v>#N/A</v>
      </c>
      <c r="Q308" s="372" t="str">
        <f>CS_PID!Q308/VLOOKUP($B308,표2[#ALL],2)/HLOOKUP($A308,표1[#ALL],row(),false)</f>
        <v>#N/A</v>
      </c>
      <c r="R308" s="372" t="str">
        <f>CS_PID!R308/VLOOKUP($B308,표2[#ALL],2)/HLOOKUP($A308,표1[#ALL],row(),false)</f>
        <v>#N/A</v>
      </c>
      <c r="S308" s="372" t="str">
        <f>CS_PID!S308/VLOOKUP($B308,표2[#ALL],2)/HLOOKUP($A308,표1[#ALL],row(),false)</f>
        <v>#N/A</v>
      </c>
      <c r="T308" s="372" t="str">
        <f>CS_PID!T308/VLOOKUP($B308,표2[#ALL],2)/HLOOKUP($A308,표1[#ALL],row(),false)</f>
        <v>#N/A</v>
      </c>
      <c r="U308" s="372" t="str">
        <f>CS_PID!U308/VLOOKUP($B308,표2[#ALL],2)/HLOOKUP($A308,표1[#ALL],row(),false)</f>
        <v>#N/A</v>
      </c>
      <c r="V308" s="372" t="str">
        <f>CS_PID!V308/VLOOKUP($B308,표2[#ALL],2)/HLOOKUP($A308,표1[#ALL],row(),false)</f>
        <v>#N/A</v>
      </c>
      <c r="W308" s="372" t="str">
        <f>CS_PID!W308/VLOOKUP($B308,표2[#ALL],2)/HLOOKUP($A308,표1[#ALL],row(),false)</f>
        <v>#N/A</v>
      </c>
      <c r="X308" s="372" t="str">
        <f>CS_PID!X308/VLOOKUP($B308,표2[#ALL],2)/HLOOKUP($A308,표1[#ALL],row(),false)</f>
        <v>#N/A</v>
      </c>
      <c r="Y308" s="372" t="str">
        <f>CS_PID!Y308/VLOOKUP($B308,표2[#ALL],2)/HLOOKUP($A308,표1[#ALL],row(),false)</f>
        <v>#N/A</v>
      </c>
      <c r="Z308" s="372" t="str">
        <f>CS_PID!Z308/VLOOKUP($B308,표2[#ALL],2)/HLOOKUP($A308,표1[#ALL],row(),false)</f>
        <v>#N/A</v>
      </c>
      <c r="AA308" s="372" t="str">
        <f>CS_PID!AA308/VLOOKUP($B308,표2[#ALL],2)/HLOOKUP($A308,표1[#ALL],row(),false)</f>
        <v>#N/A</v>
      </c>
      <c r="AB308" s="372" t="str">
        <f>CS_PID!AB308/VLOOKUP($B308,표2[#ALL],2)/HLOOKUP($A308,표1[#ALL],row(),false)</f>
        <v>#N/A</v>
      </c>
      <c r="AC308" s="372" t="str">
        <f>CS_PID!AC308/VLOOKUP($B308,표2[#ALL],2)/HLOOKUP($A308,표1[#ALL],row(),false)</f>
        <v>#N/A</v>
      </c>
      <c r="AD308" s="372" t="str">
        <f>CS_PID!AD308/VLOOKUP($B308,표2[#ALL],2)/HLOOKUP($A308,표1[#ALL],row(),false)</f>
        <v>#N/A</v>
      </c>
      <c r="AE308" s="372" t="str">
        <f>CS_PID!AE308/VLOOKUP($B308,표2[#ALL],2)/HLOOKUP($A308,표1[#ALL],row(),false)</f>
        <v>#N/A</v>
      </c>
      <c r="AF308" s="372" t="str">
        <f>CS_PID!AF308/VLOOKUP($B308,표2[#ALL],2)/HLOOKUP($A308,표1[#ALL],row(),false)</f>
        <v>#N/A</v>
      </c>
      <c r="AG308" s="372" t="str">
        <f>CS_PID!AG308/VLOOKUP($B308,표2[#ALL],2)/HLOOKUP($A308,표1[#ALL],row(),false)</f>
        <v>#N/A</v>
      </c>
      <c r="AH308" s="372" t="str">
        <f>CS_PID!AH308/VLOOKUP($B308,표2[#ALL],2)/HLOOKUP($A308,표1[#ALL],row(),false)</f>
        <v>#N/A</v>
      </c>
      <c r="AI308" s="372" t="str">
        <f>CS_PID!AI308/VLOOKUP($B308,표2[#ALL],2)/HLOOKUP($A308,표1[#ALL],row(),false)</f>
        <v>#N/A</v>
      </c>
      <c r="AJ308" s="372" t="str">
        <f>CS_PID!AJ308/VLOOKUP($B308,표2[#ALL],2)/HLOOKUP($A308,표1[#ALL],row(),false)</f>
        <v>#N/A</v>
      </c>
      <c r="AK308" s="372" t="str">
        <f>CS_PID!AK308/VLOOKUP($B308,표2[#ALL],2)/HLOOKUP($A308,표1[#ALL],row(),false)</f>
        <v>#N/A</v>
      </c>
      <c r="AL308" s="372" t="str">
        <f>CS_PID!AL308/VLOOKUP($B308,표2[#ALL],2)/HLOOKUP($A308,표1[#ALL],row(),false)</f>
        <v>#N/A</v>
      </c>
      <c r="AM308" s="372" t="str">
        <f>CS_PID!AM308/VLOOKUP($B308,표2[#ALL],2)/HLOOKUP($A308,표1[#ALL],row(),false)</f>
        <v>#N/A</v>
      </c>
      <c r="AN308" s="372" t="str">
        <f>CS_PID!AN308/VLOOKUP($B308,표2[#ALL],2)/HLOOKUP($A308,표1[#ALL],row(),false)</f>
        <v>#N/A</v>
      </c>
      <c r="AO308" s="372" t="str">
        <f>CS_PID!AO308/VLOOKUP($B308,표2[#ALL],2)/HLOOKUP($A308,표1[#ALL],row(),false)</f>
        <v>#N/A</v>
      </c>
      <c r="AP308" s="372" t="str">
        <f>CS_PID!AP308/VLOOKUP($B308,표2[#ALL],2)/HLOOKUP($A308,표1[#ALL],row(),false)</f>
        <v>#N/A</v>
      </c>
      <c r="AQ308" s="372" t="str">
        <f>CS_PID!AQ308/VLOOKUP($B308,표2[#ALL],2)/HLOOKUP($A308,표1[#ALL],row(),false)</f>
        <v>#N/A</v>
      </c>
      <c r="AR308" s="372" t="str">
        <f>CS_PID!AR308/VLOOKUP($B308,표2[#ALL],2)/HLOOKUP($A308,표1[#ALL],row(),false)</f>
        <v>#N/A</v>
      </c>
      <c r="AS308" s="373" t="str">
        <f>CS_PID!AS308/VLOOKUP($B308,표2[#ALL],2)/HLOOKUP($A308,표1[#ALL],row(),false)</f>
        <v>#N/A</v>
      </c>
    </row>
    <row r="309">
      <c r="A309" s="374"/>
      <c r="B309" s="375"/>
      <c r="C309" s="376" t="str">
        <f>CS_PID!C309/VLOOKUP($B309,표2[#ALL],2)</f>
        <v>#N/A</v>
      </c>
      <c r="D309" s="376" t="str">
        <f>CS_PID!D309/VLOOKUP($B309,표2[#ALL],2)</f>
        <v>#N/A</v>
      </c>
      <c r="E309" s="376" t="str">
        <f>CS_PID!E309/VLOOKUP($B309,표2[#ALL],2)</f>
        <v>#N/A</v>
      </c>
      <c r="F309" s="376" t="str">
        <f>CS_PID!F309/VLOOKUP($B309,표2[#ALL],2)</f>
        <v>#N/A</v>
      </c>
      <c r="G309" s="376" t="str">
        <f>CS_PID!G309/VLOOKUP($B309,표2[#ALL],2)</f>
        <v>#N/A</v>
      </c>
      <c r="H309" s="376" t="str">
        <f>CS_PID!H309/VLOOKUP($B309,표2[#ALL],2)/HLOOKUP($A309,표1[#ALL],row(),false)</f>
        <v>#N/A</v>
      </c>
      <c r="I309" s="376" t="str">
        <f>CS_PID!I309/VLOOKUP($B309,표2[#ALL],2)/HLOOKUP($A309,표1[#ALL],row(),false)</f>
        <v>#N/A</v>
      </c>
      <c r="J309" s="376" t="str">
        <f>CS_PID!J309/VLOOKUP($B309,표2[#ALL],2)/HLOOKUP($A309,표1[#ALL],row(),false)</f>
        <v>#N/A</v>
      </c>
      <c r="K309" s="376" t="str">
        <f>CS_PID!K309/VLOOKUP($B309,표2[#ALL],2)/HLOOKUP($A309,표1[#ALL],row(),false)</f>
        <v>#N/A</v>
      </c>
      <c r="L309" s="376" t="str">
        <f>CS_PID!L309/VLOOKUP($B309,표2[#ALL],2)/HLOOKUP($A309,표1[#ALL],row(),false)</f>
        <v>#N/A</v>
      </c>
      <c r="M309" s="376" t="str">
        <f>CS_PID!M309/VLOOKUP($B309,표2[#ALL],2)/HLOOKUP($A309,표1[#ALL],row(),false)</f>
        <v>#N/A</v>
      </c>
      <c r="N309" s="376" t="str">
        <f>CS_PID!N309/VLOOKUP($B309,표2[#ALL],2)/HLOOKUP($A309,표1[#ALL],row(),false)</f>
        <v>#N/A</v>
      </c>
      <c r="O309" s="376" t="str">
        <f>CS_PID!O309/VLOOKUP($B309,표2[#ALL],2)/HLOOKUP($A309,표1[#ALL],row(),false)</f>
        <v>#N/A</v>
      </c>
      <c r="P309" s="376" t="str">
        <f>CS_PID!P309/VLOOKUP($B309,표2[#ALL],2)/HLOOKUP($A309,표1[#ALL],row(),false)</f>
        <v>#N/A</v>
      </c>
      <c r="Q309" s="376" t="str">
        <f>CS_PID!Q309/VLOOKUP($B309,표2[#ALL],2)/HLOOKUP($A309,표1[#ALL],row(),false)</f>
        <v>#N/A</v>
      </c>
      <c r="R309" s="376" t="str">
        <f>CS_PID!R309/VLOOKUP($B309,표2[#ALL],2)/HLOOKUP($A309,표1[#ALL],row(),false)</f>
        <v>#N/A</v>
      </c>
      <c r="S309" s="376" t="str">
        <f>CS_PID!S309/VLOOKUP($B309,표2[#ALL],2)/HLOOKUP($A309,표1[#ALL],row(),false)</f>
        <v>#N/A</v>
      </c>
      <c r="T309" s="376" t="str">
        <f>CS_PID!T309/VLOOKUP($B309,표2[#ALL],2)/HLOOKUP($A309,표1[#ALL],row(),false)</f>
        <v>#N/A</v>
      </c>
      <c r="U309" s="376" t="str">
        <f>CS_PID!U309/VLOOKUP($B309,표2[#ALL],2)/HLOOKUP($A309,표1[#ALL],row(),false)</f>
        <v>#N/A</v>
      </c>
      <c r="V309" s="376" t="str">
        <f>CS_PID!V309/VLOOKUP($B309,표2[#ALL],2)/HLOOKUP($A309,표1[#ALL],row(),false)</f>
        <v>#N/A</v>
      </c>
      <c r="W309" s="376" t="str">
        <f>CS_PID!W309/VLOOKUP($B309,표2[#ALL],2)/HLOOKUP($A309,표1[#ALL],row(),false)</f>
        <v>#N/A</v>
      </c>
      <c r="X309" s="376" t="str">
        <f>CS_PID!X309/VLOOKUP($B309,표2[#ALL],2)/HLOOKUP($A309,표1[#ALL],row(),false)</f>
        <v>#N/A</v>
      </c>
      <c r="Y309" s="376" t="str">
        <f>CS_PID!Y309/VLOOKUP($B309,표2[#ALL],2)/HLOOKUP($A309,표1[#ALL],row(),false)</f>
        <v>#N/A</v>
      </c>
      <c r="Z309" s="376" t="str">
        <f>CS_PID!Z309/VLOOKUP($B309,표2[#ALL],2)/HLOOKUP($A309,표1[#ALL],row(),false)</f>
        <v>#N/A</v>
      </c>
      <c r="AA309" s="376" t="str">
        <f>CS_PID!AA309/VLOOKUP($B309,표2[#ALL],2)/HLOOKUP($A309,표1[#ALL],row(),false)</f>
        <v>#N/A</v>
      </c>
      <c r="AB309" s="376" t="str">
        <f>CS_PID!AB309/VLOOKUP($B309,표2[#ALL],2)/HLOOKUP($A309,표1[#ALL],row(),false)</f>
        <v>#N/A</v>
      </c>
      <c r="AC309" s="376" t="str">
        <f>CS_PID!AC309/VLOOKUP($B309,표2[#ALL],2)/HLOOKUP($A309,표1[#ALL],row(),false)</f>
        <v>#N/A</v>
      </c>
      <c r="AD309" s="376" t="str">
        <f>CS_PID!AD309/VLOOKUP($B309,표2[#ALL],2)/HLOOKUP($A309,표1[#ALL],row(),false)</f>
        <v>#N/A</v>
      </c>
      <c r="AE309" s="376" t="str">
        <f>CS_PID!AE309/VLOOKUP($B309,표2[#ALL],2)/HLOOKUP($A309,표1[#ALL],row(),false)</f>
        <v>#N/A</v>
      </c>
      <c r="AF309" s="376" t="str">
        <f>CS_PID!AF309/VLOOKUP($B309,표2[#ALL],2)/HLOOKUP($A309,표1[#ALL],row(),false)</f>
        <v>#N/A</v>
      </c>
      <c r="AG309" s="376" t="str">
        <f>CS_PID!AG309/VLOOKUP($B309,표2[#ALL],2)/HLOOKUP($A309,표1[#ALL],row(),false)</f>
        <v>#N/A</v>
      </c>
      <c r="AH309" s="376" t="str">
        <f>CS_PID!AH309/VLOOKUP($B309,표2[#ALL],2)/HLOOKUP($A309,표1[#ALL],row(),false)</f>
        <v>#N/A</v>
      </c>
      <c r="AI309" s="376" t="str">
        <f>CS_PID!AI309/VLOOKUP($B309,표2[#ALL],2)/HLOOKUP($A309,표1[#ALL],row(),false)</f>
        <v>#N/A</v>
      </c>
      <c r="AJ309" s="376" t="str">
        <f>CS_PID!AJ309/VLOOKUP($B309,표2[#ALL],2)/HLOOKUP($A309,표1[#ALL],row(),false)</f>
        <v>#N/A</v>
      </c>
      <c r="AK309" s="376" t="str">
        <f>CS_PID!AK309/VLOOKUP($B309,표2[#ALL],2)/HLOOKUP($A309,표1[#ALL],row(),false)</f>
        <v>#N/A</v>
      </c>
      <c r="AL309" s="376" t="str">
        <f>CS_PID!AL309/VLOOKUP($B309,표2[#ALL],2)/HLOOKUP($A309,표1[#ALL],row(),false)</f>
        <v>#N/A</v>
      </c>
      <c r="AM309" s="376" t="str">
        <f>CS_PID!AM309/VLOOKUP($B309,표2[#ALL],2)/HLOOKUP($A309,표1[#ALL],row(),false)</f>
        <v>#N/A</v>
      </c>
      <c r="AN309" s="376" t="str">
        <f>CS_PID!AN309/VLOOKUP($B309,표2[#ALL],2)/HLOOKUP($A309,표1[#ALL],row(),false)</f>
        <v>#N/A</v>
      </c>
      <c r="AO309" s="376" t="str">
        <f>CS_PID!AO309/VLOOKUP($B309,표2[#ALL],2)/HLOOKUP($A309,표1[#ALL],row(),false)</f>
        <v>#N/A</v>
      </c>
      <c r="AP309" s="376" t="str">
        <f>CS_PID!AP309/VLOOKUP($B309,표2[#ALL],2)/HLOOKUP($A309,표1[#ALL],row(),false)</f>
        <v>#N/A</v>
      </c>
      <c r="AQ309" s="376" t="str">
        <f>CS_PID!AQ309/VLOOKUP($B309,표2[#ALL],2)/HLOOKUP($A309,표1[#ALL],row(),false)</f>
        <v>#N/A</v>
      </c>
      <c r="AR309" s="376" t="str">
        <f>CS_PID!AR309/VLOOKUP($B309,표2[#ALL],2)/HLOOKUP($A309,표1[#ALL],row(),false)</f>
        <v>#N/A</v>
      </c>
      <c r="AS309" s="377" t="str">
        <f>CS_PID!AS309/VLOOKUP($B309,표2[#ALL],2)/HLOOKUP($A309,표1[#ALL],row(),false)</f>
        <v>#N/A</v>
      </c>
    </row>
    <row r="310">
      <c r="A310" s="370"/>
      <c r="B310" s="371"/>
      <c r="C310" s="372" t="str">
        <f>CS_PID!C310/VLOOKUP($B310,표2[#ALL],2)</f>
        <v>#N/A</v>
      </c>
      <c r="D310" s="372" t="str">
        <f>CS_PID!D310/VLOOKUP($B310,표2[#ALL],2)</f>
        <v>#N/A</v>
      </c>
      <c r="E310" s="372" t="str">
        <f>CS_PID!E310/VLOOKUP($B310,표2[#ALL],2)</f>
        <v>#N/A</v>
      </c>
      <c r="F310" s="372" t="str">
        <f>CS_PID!F310/VLOOKUP($B310,표2[#ALL],2)</f>
        <v>#N/A</v>
      </c>
      <c r="G310" s="372" t="str">
        <f>CS_PID!G310/VLOOKUP($B310,표2[#ALL],2)</f>
        <v>#N/A</v>
      </c>
      <c r="H310" s="372" t="str">
        <f>CS_PID!H310/VLOOKUP($B310,표2[#ALL],2)/HLOOKUP($A310,표1[#ALL],row(),false)</f>
        <v>#N/A</v>
      </c>
      <c r="I310" s="372" t="str">
        <f>CS_PID!I310/VLOOKUP($B310,표2[#ALL],2)/HLOOKUP($A310,표1[#ALL],row(),false)</f>
        <v>#N/A</v>
      </c>
      <c r="J310" s="372" t="str">
        <f>CS_PID!J310/VLOOKUP($B310,표2[#ALL],2)/HLOOKUP($A310,표1[#ALL],row(),false)</f>
        <v>#N/A</v>
      </c>
      <c r="K310" s="372" t="str">
        <f>CS_PID!K310/VLOOKUP($B310,표2[#ALL],2)/HLOOKUP($A310,표1[#ALL],row(),false)</f>
        <v>#N/A</v>
      </c>
      <c r="L310" s="372" t="str">
        <f>CS_PID!L310/VLOOKUP($B310,표2[#ALL],2)/HLOOKUP($A310,표1[#ALL],row(),false)</f>
        <v>#N/A</v>
      </c>
      <c r="M310" s="372" t="str">
        <f>CS_PID!M310/VLOOKUP($B310,표2[#ALL],2)/HLOOKUP($A310,표1[#ALL],row(),false)</f>
        <v>#N/A</v>
      </c>
      <c r="N310" s="372" t="str">
        <f>CS_PID!N310/VLOOKUP($B310,표2[#ALL],2)/HLOOKUP($A310,표1[#ALL],row(),false)</f>
        <v>#N/A</v>
      </c>
      <c r="O310" s="372" t="str">
        <f>CS_PID!O310/VLOOKUP($B310,표2[#ALL],2)/HLOOKUP($A310,표1[#ALL],row(),false)</f>
        <v>#N/A</v>
      </c>
      <c r="P310" s="372" t="str">
        <f>CS_PID!P310/VLOOKUP($B310,표2[#ALL],2)/HLOOKUP($A310,표1[#ALL],row(),false)</f>
        <v>#N/A</v>
      </c>
      <c r="Q310" s="372" t="str">
        <f>CS_PID!Q310/VLOOKUP($B310,표2[#ALL],2)/HLOOKUP($A310,표1[#ALL],row(),false)</f>
        <v>#N/A</v>
      </c>
      <c r="R310" s="372" t="str">
        <f>CS_PID!R310/VLOOKUP($B310,표2[#ALL],2)/HLOOKUP($A310,표1[#ALL],row(),false)</f>
        <v>#N/A</v>
      </c>
      <c r="S310" s="372" t="str">
        <f>CS_PID!S310/VLOOKUP($B310,표2[#ALL],2)/HLOOKUP($A310,표1[#ALL],row(),false)</f>
        <v>#N/A</v>
      </c>
      <c r="T310" s="372" t="str">
        <f>CS_PID!T310/VLOOKUP($B310,표2[#ALL],2)/HLOOKUP($A310,표1[#ALL],row(),false)</f>
        <v>#N/A</v>
      </c>
      <c r="U310" s="372" t="str">
        <f>CS_PID!U310/VLOOKUP($B310,표2[#ALL],2)/HLOOKUP($A310,표1[#ALL],row(),false)</f>
        <v>#N/A</v>
      </c>
      <c r="V310" s="372" t="str">
        <f>CS_PID!V310/VLOOKUP($B310,표2[#ALL],2)/HLOOKUP($A310,표1[#ALL],row(),false)</f>
        <v>#N/A</v>
      </c>
      <c r="W310" s="372" t="str">
        <f>CS_PID!W310/VLOOKUP($B310,표2[#ALL],2)/HLOOKUP($A310,표1[#ALL],row(),false)</f>
        <v>#N/A</v>
      </c>
      <c r="X310" s="372" t="str">
        <f>CS_PID!X310/VLOOKUP($B310,표2[#ALL],2)/HLOOKUP($A310,표1[#ALL],row(),false)</f>
        <v>#N/A</v>
      </c>
      <c r="Y310" s="372" t="str">
        <f>CS_PID!Y310/VLOOKUP($B310,표2[#ALL],2)/HLOOKUP($A310,표1[#ALL],row(),false)</f>
        <v>#N/A</v>
      </c>
      <c r="Z310" s="372" t="str">
        <f>CS_PID!Z310/VLOOKUP($B310,표2[#ALL],2)/HLOOKUP($A310,표1[#ALL],row(),false)</f>
        <v>#N/A</v>
      </c>
      <c r="AA310" s="372" t="str">
        <f>CS_PID!AA310/VLOOKUP($B310,표2[#ALL],2)/HLOOKUP($A310,표1[#ALL],row(),false)</f>
        <v>#N/A</v>
      </c>
      <c r="AB310" s="372" t="str">
        <f>CS_PID!AB310/VLOOKUP($B310,표2[#ALL],2)/HLOOKUP($A310,표1[#ALL],row(),false)</f>
        <v>#N/A</v>
      </c>
      <c r="AC310" s="372" t="str">
        <f>CS_PID!AC310/VLOOKUP($B310,표2[#ALL],2)/HLOOKUP($A310,표1[#ALL],row(),false)</f>
        <v>#N/A</v>
      </c>
      <c r="AD310" s="372" t="str">
        <f>CS_PID!AD310/VLOOKUP($B310,표2[#ALL],2)/HLOOKUP($A310,표1[#ALL],row(),false)</f>
        <v>#N/A</v>
      </c>
      <c r="AE310" s="372" t="str">
        <f>CS_PID!AE310/VLOOKUP($B310,표2[#ALL],2)/HLOOKUP($A310,표1[#ALL],row(),false)</f>
        <v>#N/A</v>
      </c>
      <c r="AF310" s="372" t="str">
        <f>CS_PID!AF310/VLOOKUP($B310,표2[#ALL],2)/HLOOKUP($A310,표1[#ALL],row(),false)</f>
        <v>#N/A</v>
      </c>
      <c r="AG310" s="372" t="str">
        <f>CS_PID!AG310/VLOOKUP($B310,표2[#ALL],2)/HLOOKUP($A310,표1[#ALL],row(),false)</f>
        <v>#N/A</v>
      </c>
      <c r="AH310" s="372" t="str">
        <f>CS_PID!AH310/VLOOKUP($B310,표2[#ALL],2)/HLOOKUP($A310,표1[#ALL],row(),false)</f>
        <v>#N/A</v>
      </c>
      <c r="AI310" s="372" t="str">
        <f>CS_PID!AI310/VLOOKUP($B310,표2[#ALL],2)/HLOOKUP($A310,표1[#ALL],row(),false)</f>
        <v>#N/A</v>
      </c>
      <c r="AJ310" s="372" t="str">
        <f>CS_PID!AJ310/VLOOKUP($B310,표2[#ALL],2)/HLOOKUP($A310,표1[#ALL],row(),false)</f>
        <v>#N/A</v>
      </c>
      <c r="AK310" s="372" t="str">
        <f>CS_PID!AK310/VLOOKUP($B310,표2[#ALL],2)/HLOOKUP($A310,표1[#ALL],row(),false)</f>
        <v>#N/A</v>
      </c>
      <c r="AL310" s="372" t="str">
        <f>CS_PID!AL310/VLOOKUP($B310,표2[#ALL],2)/HLOOKUP($A310,표1[#ALL],row(),false)</f>
        <v>#N/A</v>
      </c>
      <c r="AM310" s="372" t="str">
        <f>CS_PID!AM310/VLOOKUP($B310,표2[#ALL],2)/HLOOKUP($A310,표1[#ALL],row(),false)</f>
        <v>#N/A</v>
      </c>
      <c r="AN310" s="372" t="str">
        <f>CS_PID!AN310/VLOOKUP($B310,표2[#ALL],2)/HLOOKUP($A310,표1[#ALL],row(),false)</f>
        <v>#N/A</v>
      </c>
      <c r="AO310" s="372" t="str">
        <f>CS_PID!AO310/VLOOKUP($B310,표2[#ALL],2)/HLOOKUP($A310,표1[#ALL],row(),false)</f>
        <v>#N/A</v>
      </c>
      <c r="AP310" s="372" t="str">
        <f>CS_PID!AP310/VLOOKUP($B310,표2[#ALL],2)/HLOOKUP($A310,표1[#ALL],row(),false)</f>
        <v>#N/A</v>
      </c>
      <c r="AQ310" s="372" t="str">
        <f>CS_PID!AQ310/VLOOKUP($B310,표2[#ALL],2)/HLOOKUP($A310,표1[#ALL],row(),false)</f>
        <v>#N/A</v>
      </c>
      <c r="AR310" s="372" t="str">
        <f>CS_PID!AR310/VLOOKUP($B310,표2[#ALL],2)/HLOOKUP($A310,표1[#ALL],row(),false)</f>
        <v>#N/A</v>
      </c>
      <c r="AS310" s="373" t="str">
        <f>CS_PID!AS310/VLOOKUP($B310,표2[#ALL],2)/HLOOKUP($A310,표1[#ALL],row(),false)</f>
        <v>#N/A</v>
      </c>
    </row>
    <row r="311">
      <c r="A311" s="374"/>
      <c r="B311" s="375"/>
      <c r="C311" s="376" t="str">
        <f>CS_PID!C311/VLOOKUP($B311,표2[#ALL],2)</f>
        <v>#N/A</v>
      </c>
      <c r="D311" s="376" t="str">
        <f>CS_PID!D311/VLOOKUP($B311,표2[#ALL],2)</f>
        <v>#N/A</v>
      </c>
      <c r="E311" s="376" t="str">
        <f>CS_PID!E311/VLOOKUP($B311,표2[#ALL],2)</f>
        <v>#N/A</v>
      </c>
      <c r="F311" s="376" t="str">
        <f>CS_PID!F311/VLOOKUP($B311,표2[#ALL],2)</f>
        <v>#N/A</v>
      </c>
      <c r="G311" s="376" t="str">
        <f>CS_PID!G311/VLOOKUP($B311,표2[#ALL],2)</f>
        <v>#N/A</v>
      </c>
      <c r="H311" s="376" t="str">
        <f>CS_PID!H311/VLOOKUP($B311,표2[#ALL],2)/HLOOKUP($A311,표1[#ALL],row(),false)</f>
        <v>#N/A</v>
      </c>
      <c r="I311" s="376" t="str">
        <f>CS_PID!I311/VLOOKUP($B311,표2[#ALL],2)/HLOOKUP($A311,표1[#ALL],row(),false)</f>
        <v>#N/A</v>
      </c>
      <c r="J311" s="376" t="str">
        <f>CS_PID!J311/VLOOKUP($B311,표2[#ALL],2)/HLOOKUP($A311,표1[#ALL],row(),false)</f>
        <v>#N/A</v>
      </c>
      <c r="K311" s="376" t="str">
        <f>CS_PID!K311/VLOOKUP($B311,표2[#ALL],2)/HLOOKUP($A311,표1[#ALL],row(),false)</f>
        <v>#N/A</v>
      </c>
      <c r="L311" s="376" t="str">
        <f>CS_PID!L311/VLOOKUP($B311,표2[#ALL],2)/HLOOKUP($A311,표1[#ALL],row(),false)</f>
        <v>#N/A</v>
      </c>
      <c r="M311" s="376" t="str">
        <f>CS_PID!M311/VLOOKUP($B311,표2[#ALL],2)/HLOOKUP($A311,표1[#ALL],row(),false)</f>
        <v>#N/A</v>
      </c>
      <c r="N311" s="376" t="str">
        <f>CS_PID!N311/VLOOKUP($B311,표2[#ALL],2)/HLOOKUP($A311,표1[#ALL],row(),false)</f>
        <v>#N/A</v>
      </c>
      <c r="O311" s="376" t="str">
        <f>CS_PID!O311/VLOOKUP($B311,표2[#ALL],2)/HLOOKUP($A311,표1[#ALL],row(),false)</f>
        <v>#N/A</v>
      </c>
      <c r="P311" s="376" t="str">
        <f>CS_PID!P311/VLOOKUP($B311,표2[#ALL],2)/HLOOKUP($A311,표1[#ALL],row(),false)</f>
        <v>#N/A</v>
      </c>
      <c r="Q311" s="376" t="str">
        <f>CS_PID!Q311/VLOOKUP($B311,표2[#ALL],2)/HLOOKUP($A311,표1[#ALL],row(),false)</f>
        <v>#N/A</v>
      </c>
      <c r="R311" s="376" t="str">
        <f>CS_PID!R311/VLOOKUP($B311,표2[#ALL],2)/HLOOKUP($A311,표1[#ALL],row(),false)</f>
        <v>#N/A</v>
      </c>
      <c r="S311" s="376" t="str">
        <f>CS_PID!S311/VLOOKUP($B311,표2[#ALL],2)/HLOOKUP($A311,표1[#ALL],row(),false)</f>
        <v>#N/A</v>
      </c>
      <c r="T311" s="376" t="str">
        <f>CS_PID!T311/VLOOKUP($B311,표2[#ALL],2)/HLOOKUP($A311,표1[#ALL],row(),false)</f>
        <v>#N/A</v>
      </c>
      <c r="U311" s="376" t="str">
        <f>CS_PID!U311/VLOOKUP($B311,표2[#ALL],2)/HLOOKUP($A311,표1[#ALL],row(),false)</f>
        <v>#N/A</v>
      </c>
      <c r="V311" s="376" t="str">
        <f>CS_PID!V311/VLOOKUP($B311,표2[#ALL],2)/HLOOKUP($A311,표1[#ALL],row(),false)</f>
        <v>#N/A</v>
      </c>
      <c r="W311" s="376" t="str">
        <f>CS_PID!W311/VLOOKUP($B311,표2[#ALL],2)/HLOOKUP($A311,표1[#ALL],row(),false)</f>
        <v>#N/A</v>
      </c>
      <c r="X311" s="376" t="str">
        <f>CS_PID!X311/VLOOKUP($B311,표2[#ALL],2)/HLOOKUP($A311,표1[#ALL],row(),false)</f>
        <v>#N/A</v>
      </c>
      <c r="Y311" s="376" t="str">
        <f>CS_PID!Y311/VLOOKUP($B311,표2[#ALL],2)/HLOOKUP($A311,표1[#ALL],row(),false)</f>
        <v>#N/A</v>
      </c>
      <c r="Z311" s="376" t="str">
        <f>CS_PID!Z311/VLOOKUP($B311,표2[#ALL],2)/HLOOKUP($A311,표1[#ALL],row(),false)</f>
        <v>#N/A</v>
      </c>
      <c r="AA311" s="376" t="str">
        <f>CS_PID!AA311/VLOOKUP($B311,표2[#ALL],2)/HLOOKUP($A311,표1[#ALL],row(),false)</f>
        <v>#N/A</v>
      </c>
      <c r="AB311" s="376" t="str">
        <f>CS_PID!AB311/VLOOKUP($B311,표2[#ALL],2)/HLOOKUP($A311,표1[#ALL],row(),false)</f>
        <v>#N/A</v>
      </c>
      <c r="AC311" s="376" t="str">
        <f>CS_PID!AC311/VLOOKUP($B311,표2[#ALL],2)/HLOOKUP($A311,표1[#ALL],row(),false)</f>
        <v>#N/A</v>
      </c>
      <c r="AD311" s="376" t="str">
        <f>CS_PID!AD311/VLOOKUP($B311,표2[#ALL],2)/HLOOKUP($A311,표1[#ALL],row(),false)</f>
        <v>#N/A</v>
      </c>
      <c r="AE311" s="376" t="str">
        <f>CS_PID!AE311/VLOOKUP($B311,표2[#ALL],2)/HLOOKUP($A311,표1[#ALL],row(),false)</f>
        <v>#N/A</v>
      </c>
      <c r="AF311" s="376" t="str">
        <f>CS_PID!AF311/VLOOKUP($B311,표2[#ALL],2)/HLOOKUP($A311,표1[#ALL],row(),false)</f>
        <v>#N/A</v>
      </c>
      <c r="AG311" s="376" t="str">
        <f>CS_PID!AG311/VLOOKUP($B311,표2[#ALL],2)/HLOOKUP($A311,표1[#ALL],row(),false)</f>
        <v>#N/A</v>
      </c>
      <c r="AH311" s="376" t="str">
        <f>CS_PID!AH311/VLOOKUP($B311,표2[#ALL],2)/HLOOKUP($A311,표1[#ALL],row(),false)</f>
        <v>#N/A</v>
      </c>
      <c r="AI311" s="376" t="str">
        <f>CS_PID!AI311/VLOOKUP($B311,표2[#ALL],2)/HLOOKUP($A311,표1[#ALL],row(),false)</f>
        <v>#N/A</v>
      </c>
      <c r="AJ311" s="376" t="str">
        <f>CS_PID!AJ311/VLOOKUP($B311,표2[#ALL],2)/HLOOKUP($A311,표1[#ALL],row(),false)</f>
        <v>#N/A</v>
      </c>
      <c r="AK311" s="376" t="str">
        <f>CS_PID!AK311/VLOOKUP($B311,표2[#ALL],2)/HLOOKUP($A311,표1[#ALL],row(),false)</f>
        <v>#N/A</v>
      </c>
      <c r="AL311" s="376" t="str">
        <f>CS_PID!AL311/VLOOKUP($B311,표2[#ALL],2)/HLOOKUP($A311,표1[#ALL],row(),false)</f>
        <v>#N/A</v>
      </c>
      <c r="AM311" s="376" t="str">
        <f>CS_PID!AM311/VLOOKUP($B311,표2[#ALL],2)/HLOOKUP($A311,표1[#ALL],row(),false)</f>
        <v>#N/A</v>
      </c>
      <c r="AN311" s="376" t="str">
        <f>CS_PID!AN311/VLOOKUP($B311,표2[#ALL],2)/HLOOKUP($A311,표1[#ALL],row(),false)</f>
        <v>#N/A</v>
      </c>
      <c r="AO311" s="376" t="str">
        <f>CS_PID!AO311/VLOOKUP($B311,표2[#ALL],2)/HLOOKUP($A311,표1[#ALL],row(),false)</f>
        <v>#N/A</v>
      </c>
      <c r="AP311" s="376" t="str">
        <f>CS_PID!AP311/VLOOKUP($B311,표2[#ALL],2)/HLOOKUP($A311,표1[#ALL],row(),false)</f>
        <v>#N/A</v>
      </c>
      <c r="AQ311" s="376" t="str">
        <f>CS_PID!AQ311/VLOOKUP($B311,표2[#ALL],2)/HLOOKUP($A311,표1[#ALL],row(),false)</f>
        <v>#N/A</v>
      </c>
      <c r="AR311" s="376" t="str">
        <f>CS_PID!AR311/VLOOKUP($B311,표2[#ALL],2)/HLOOKUP($A311,표1[#ALL],row(),false)</f>
        <v>#N/A</v>
      </c>
      <c r="AS311" s="377" t="str">
        <f>CS_PID!AS311/VLOOKUP($B311,표2[#ALL],2)/HLOOKUP($A311,표1[#ALL],row(),false)</f>
        <v>#N/A</v>
      </c>
    </row>
    <row r="312">
      <c r="A312" s="370"/>
      <c r="B312" s="371"/>
      <c r="C312" s="372" t="str">
        <f>CS_PID!C312/VLOOKUP($B312,표2[#ALL],2)</f>
        <v>#N/A</v>
      </c>
      <c r="D312" s="372" t="str">
        <f>CS_PID!D312/VLOOKUP($B312,표2[#ALL],2)</f>
        <v>#N/A</v>
      </c>
      <c r="E312" s="372" t="str">
        <f>CS_PID!E312/VLOOKUP($B312,표2[#ALL],2)</f>
        <v>#N/A</v>
      </c>
      <c r="F312" s="372" t="str">
        <f>CS_PID!F312/VLOOKUP($B312,표2[#ALL],2)</f>
        <v>#N/A</v>
      </c>
      <c r="G312" s="372" t="str">
        <f>CS_PID!G312/VLOOKUP($B312,표2[#ALL],2)</f>
        <v>#N/A</v>
      </c>
      <c r="H312" s="372" t="str">
        <f>CS_PID!H312/VLOOKUP($B312,표2[#ALL],2)/HLOOKUP($A312,표1[#ALL],row(),false)</f>
        <v>#N/A</v>
      </c>
      <c r="I312" s="372" t="str">
        <f>CS_PID!I312/VLOOKUP($B312,표2[#ALL],2)/HLOOKUP($A312,표1[#ALL],row(),false)</f>
        <v>#N/A</v>
      </c>
      <c r="J312" s="372" t="str">
        <f>CS_PID!J312/VLOOKUP($B312,표2[#ALL],2)/HLOOKUP($A312,표1[#ALL],row(),false)</f>
        <v>#N/A</v>
      </c>
      <c r="K312" s="372" t="str">
        <f>CS_PID!K312/VLOOKUP($B312,표2[#ALL],2)/HLOOKUP($A312,표1[#ALL],row(),false)</f>
        <v>#N/A</v>
      </c>
      <c r="L312" s="372" t="str">
        <f>CS_PID!L312/VLOOKUP($B312,표2[#ALL],2)/HLOOKUP($A312,표1[#ALL],row(),false)</f>
        <v>#N/A</v>
      </c>
      <c r="M312" s="372" t="str">
        <f>CS_PID!M312/VLOOKUP($B312,표2[#ALL],2)/HLOOKUP($A312,표1[#ALL],row(),false)</f>
        <v>#N/A</v>
      </c>
      <c r="N312" s="372" t="str">
        <f>CS_PID!N312/VLOOKUP($B312,표2[#ALL],2)/HLOOKUP($A312,표1[#ALL],row(),false)</f>
        <v>#N/A</v>
      </c>
      <c r="O312" s="372" t="str">
        <f>CS_PID!O312/VLOOKUP($B312,표2[#ALL],2)/HLOOKUP($A312,표1[#ALL],row(),false)</f>
        <v>#N/A</v>
      </c>
      <c r="P312" s="372" t="str">
        <f>CS_PID!P312/VLOOKUP($B312,표2[#ALL],2)/HLOOKUP($A312,표1[#ALL],row(),false)</f>
        <v>#N/A</v>
      </c>
      <c r="Q312" s="372" t="str">
        <f>CS_PID!Q312/VLOOKUP($B312,표2[#ALL],2)/HLOOKUP($A312,표1[#ALL],row(),false)</f>
        <v>#N/A</v>
      </c>
      <c r="R312" s="372" t="str">
        <f>CS_PID!R312/VLOOKUP($B312,표2[#ALL],2)/HLOOKUP($A312,표1[#ALL],row(),false)</f>
        <v>#N/A</v>
      </c>
      <c r="S312" s="372" t="str">
        <f>CS_PID!S312/VLOOKUP($B312,표2[#ALL],2)/HLOOKUP($A312,표1[#ALL],row(),false)</f>
        <v>#N/A</v>
      </c>
      <c r="T312" s="372" t="str">
        <f>CS_PID!T312/VLOOKUP($B312,표2[#ALL],2)/HLOOKUP($A312,표1[#ALL],row(),false)</f>
        <v>#N/A</v>
      </c>
      <c r="U312" s="372" t="str">
        <f>CS_PID!U312/VLOOKUP($B312,표2[#ALL],2)/HLOOKUP($A312,표1[#ALL],row(),false)</f>
        <v>#N/A</v>
      </c>
      <c r="V312" s="372" t="str">
        <f>CS_PID!V312/VLOOKUP($B312,표2[#ALL],2)/HLOOKUP($A312,표1[#ALL],row(),false)</f>
        <v>#N/A</v>
      </c>
      <c r="W312" s="372" t="str">
        <f>CS_PID!W312/VLOOKUP($B312,표2[#ALL],2)/HLOOKUP($A312,표1[#ALL],row(),false)</f>
        <v>#N/A</v>
      </c>
      <c r="X312" s="372" t="str">
        <f>CS_PID!X312/VLOOKUP($B312,표2[#ALL],2)/HLOOKUP($A312,표1[#ALL],row(),false)</f>
        <v>#N/A</v>
      </c>
      <c r="Y312" s="372" t="str">
        <f>CS_PID!Y312/VLOOKUP($B312,표2[#ALL],2)/HLOOKUP($A312,표1[#ALL],row(),false)</f>
        <v>#N/A</v>
      </c>
      <c r="Z312" s="372" t="str">
        <f>CS_PID!Z312/VLOOKUP($B312,표2[#ALL],2)/HLOOKUP($A312,표1[#ALL],row(),false)</f>
        <v>#N/A</v>
      </c>
      <c r="AA312" s="372" t="str">
        <f>CS_PID!AA312/VLOOKUP($B312,표2[#ALL],2)/HLOOKUP($A312,표1[#ALL],row(),false)</f>
        <v>#N/A</v>
      </c>
      <c r="AB312" s="372" t="str">
        <f>CS_PID!AB312/VLOOKUP($B312,표2[#ALL],2)/HLOOKUP($A312,표1[#ALL],row(),false)</f>
        <v>#N/A</v>
      </c>
      <c r="AC312" s="372" t="str">
        <f>CS_PID!AC312/VLOOKUP($B312,표2[#ALL],2)/HLOOKUP($A312,표1[#ALL],row(),false)</f>
        <v>#N/A</v>
      </c>
      <c r="AD312" s="372" t="str">
        <f>CS_PID!AD312/VLOOKUP($B312,표2[#ALL],2)/HLOOKUP($A312,표1[#ALL],row(),false)</f>
        <v>#N/A</v>
      </c>
      <c r="AE312" s="372" t="str">
        <f>CS_PID!AE312/VLOOKUP($B312,표2[#ALL],2)/HLOOKUP($A312,표1[#ALL],row(),false)</f>
        <v>#N/A</v>
      </c>
      <c r="AF312" s="372" t="str">
        <f>CS_PID!AF312/VLOOKUP($B312,표2[#ALL],2)/HLOOKUP($A312,표1[#ALL],row(),false)</f>
        <v>#N/A</v>
      </c>
      <c r="AG312" s="372" t="str">
        <f>CS_PID!AG312/VLOOKUP($B312,표2[#ALL],2)/HLOOKUP($A312,표1[#ALL],row(),false)</f>
        <v>#N/A</v>
      </c>
      <c r="AH312" s="372" t="str">
        <f>CS_PID!AH312/VLOOKUP($B312,표2[#ALL],2)/HLOOKUP($A312,표1[#ALL],row(),false)</f>
        <v>#N/A</v>
      </c>
      <c r="AI312" s="372" t="str">
        <f>CS_PID!AI312/VLOOKUP($B312,표2[#ALL],2)/HLOOKUP($A312,표1[#ALL],row(),false)</f>
        <v>#N/A</v>
      </c>
      <c r="AJ312" s="372" t="str">
        <f>CS_PID!AJ312/VLOOKUP($B312,표2[#ALL],2)/HLOOKUP($A312,표1[#ALL],row(),false)</f>
        <v>#N/A</v>
      </c>
      <c r="AK312" s="372" t="str">
        <f>CS_PID!AK312/VLOOKUP($B312,표2[#ALL],2)/HLOOKUP($A312,표1[#ALL],row(),false)</f>
        <v>#N/A</v>
      </c>
      <c r="AL312" s="372" t="str">
        <f>CS_PID!AL312/VLOOKUP($B312,표2[#ALL],2)/HLOOKUP($A312,표1[#ALL],row(),false)</f>
        <v>#N/A</v>
      </c>
      <c r="AM312" s="372" t="str">
        <f>CS_PID!AM312/VLOOKUP($B312,표2[#ALL],2)/HLOOKUP($A312,표1[#ALL],row(),false)</f>
        <v>#N/A</v>
      </c>
      <c r="AN312" s="372" t="str">
        <f>CS_PID!AN312/VLOOKUP($B312,표2[#ALL],2)/HLOOKUP($A312,표1[#ALL],row(),false)</f>
        <v>#N/A</v>
      </c>
      <c r="AO312" s="372" t="str">
        <f>CS_PID!AO312/VLOOKUP($B312,표2[#ALL],2)/HLOOKUP($A312,표1[#ALL],row(),false)</f>
        <v>#N/A</v>
      </c>
      <c r="AP312" s="372" t="str">
        <f>CS_PID!AP312/VLOOKUP($B312,표2[#ALL],2)/HLOOKUP($A312,표1[#ALL],row(),false)</f>
        <v>#N/A</v>
      </c>
      <c r="AQ312" s="372" t="str">
        <f>CS_PID!AQ312/VLOOKUP($B312,표2[#ALL],2)/HLOOKUP($A312,표1[#ALL],row(),false)</f>
        <v>#N/A</v>
      </c>
      <c r="AR312" s="372" t="str">
        <f>CS_PID!AR312/VLOOKUP($B312,표2[#ALL],2)/HLOOKUP($A312,표1[#ALL],row(),false)</f>
        <v>#N/A</v>
      </c>
      <c r="AS312" s="373" t="str">
        <f>CS_PID!AS312/VLOOKUP($B312,표2[#ALL],2)/HLOOKUP($A312,표1[#ALL],row(),false)</f>
        <v>#N/A</v>
      </c>
    </row>
    <row r="313">
      <c r="A313" s="374"/>
      <c r="B313" s="375"/>
      <c r="C313" s="376" t="str">
        <f>CS_PID!C313/VLOOKUP($B313,표2[#ALL],2)</f>
        <v>#N/A</v>
      </c>
      <c r="D313" s="376" t="str">
        <f>CS_PID!D313/VLOOKUP($B313,표2[#ALL],2)</f>
        <v>#N/A</v>
      </c>
      <c r="E313" s="376" t="str">
        <f>CS_PID!E313/VLOOKUP($B313,표2[#ALL],2)</f>
        <v>#N/A</v>
      </c>
      <c r="F313" s="376" t="str">
        <f>CS_PID!F313/VLOOKUP($B313,표2[#ALL],2)</f>
        <v>#N/A</v>
      </c>
      <c r="G313" s="376" t="str">
        <f>CS_PID!G313/VLOOKUP($B313,표2[#ALL],2)</f>
        <v>#N/A</v>
      </c>
      <c r="H313" s="376" t="str">
        <f>CS_PID!H313/VLOOKUP($B313,표2[#ALL],2)/HLOOKUP($A313,표1[#ALL],row(),false)</f>
        <v>#N/A</v>
      </c>
      <c r="I313" s="376" t="str">
        <f>CS_PID!I313/VLOOKUP($B313,표2[#ALL],2)/HLOOKUP($A313,표1[#ALL],row(),false)</f>
        <v>#N/A</v>
      </c>
      <c r="J313" s="376" t="str">
        <f>CS_PID!J313/VLOOKUP($B313,표2[#ALL],2)/HLOOKUP($A313,표1[#ALL],row(),false)</f>
        <v>#N/A</v>
      </c>
      <c r="K313" s="376" t="str">
        <f>CS_PID!K313/VLOOKUP($B313,표2[#ALL],2)/HLOOKUP($A313,표1[#ALL],row(),false)</f>
        <v>#N/A</v>
      </c>
      <c r="L313" s="376" t="str">
        <f>CS_PID!L313/VLOOKUP($B313,표2[#ALL],2)/HLOOKUP($A313,표1[#ALL],row(),false)</f>
        <v>#N/A</v>
      </c>
      <c r="M313" s="376" t="str">
        <f>CS_PID!M313/VLOOKUP($B313,표2[#ALL],2)/HLOOKUP($A313,표1[#ALL],row(),false)</f>
        <v>#N/A</v>
      </c>
      <c r="N313" s="376" t="str">
        <f>CS_PID!N313/VLOOKUP($B313,표2[#ALL],2)/HLOOKUP($A313,표1[#ALL],row(),false)</f>
        <v>#N/A</v>
      </c>
      <c r="O313" s="376" t="str">
        <f>CS_PID!O313/VLOOKUP($B313,표2[#ALL],2)/HLOOKUP($A313,표1[#ALL],row(),false)</f>
        <v>#N/A</v>
      </c>
      <c r="P313" s="376" t="str">
        <f>CS_PID!P313/VLOOKUP($B313,표2[#ALL],2)/HLOOKUP($A313,표1[#ALL],row(),false)</f>
        <v>#N/A</v>
      </c>
      <c r="Q313" s="376" t="str">
        <f>CS_PID!Q313/VLOOKUP($B313,표2[#ALL],2)/HLOOKUP($A313,표1[#ALL],row(),false)</f>
        <v>#N/A</v>
      </c>
      <c r="R313" s="376" t="str">
        <f>CS_PID!R313/VLOOKUP($B313,표2[#ALL],2)/HLOOKUP($A313,표1[#ALL],row(),false)</f>
        <v>#N/A</v>
      </c>
      <c r="S313" s="376" t="str">
        <f>CS_PID!S313/VLOOKUP($B313,표2[#ALL],2)/HLOOKUP($A313,표1[#ALL],row(),false)</f>
        <v>#N/A</v>
      </c>
      <c r="T313" s="376" t="str">
        <f>CS_PID!T313/VLOOKUP($B313,표2[#ALL],2)/HLOOKUP($A313,표1[#ALL],row(),false)</f>
        <v>#N/A</v>
      </c>
      <c r="U313" s="376" t="str">
        <f>CS_PID!U313/VLOOKUP($B313,표2[#ALL],2)/HLOOKUP($A313,표1[#ALL],row(),false)</f>
        <v>#N/A</v>
      </c>
      <c r="V313" s="376" t="str">
        <f>CS_PID!V313/VLOOKUP($B313,표2[#ALL],2)/HLOOKUP($A313,표1[#ALL],row(),false)</f>
        <v>#N/A</v>
      </c>
      <c r="W313" s="376" t="str">
        <f>CS_PID!W313/VLOOKUP($B313,표2[#ALL],2)/HLOOKUP($A313,표1[#ALL],row(),false)</f>
        <v>#N/A</v>
      </c>
      <c r="X313" s="376" t="str">
        <f>CS_PID!X313/VLOOKUP($B313,표2[#ALL],2)/HLOOKUP($A313,표1[#ALL],row(),false)</f>
        <v>#N/A</v>
      </c>
      <c r="Y313" s="376" t="str">
        <f>CS_PID!Y313/VLOOKUP($B313,표2[#ALL],2)/HLOOKUP($A313,표1[#ALL],row(),false)</f>
        <v>#N/A</v>
      </c>
      <c r="Z313" s="376" t="str">
        <f>CS_PID!Z313/VLOOKUP($B313,표2[#ALL],2)/HLOOKUP($A313,표1[#ALL],row(),false)</f>
        <v>#N/A</v>
      </c>
      <c r="AA313" s="376" t="str">
        <f>CS_PID!AA313/VLOOKUP($B313,표2[#ALL],2)/HLOOKUP($A313,표1[#ALL],row(),false)</f>
        <v>#N/A</v>
      </c>
      <c r="AB313" s="376" t="str">
        <f>CS_PID!AB313/VLOOKUP($B313,표2[#ALL],2)/HLOOKUP($A313,표1[#ALL],row(),false)</f>
        <v>#N/A</v>
      </c>
      <c r="AC313" s="376" t="str">
        <f>CS_PID!AC313/VLOOKUP($B313,표2[#ALL],2)/HLOOKUP($A313,표1[#ALL],row(),false)</f>
        <v>#N/A</v>
      </c>
      <c r="AD313" s="376" t="str">
        <f>CS_PID!AD313/VLOOKUP($B313,표2[#ALL],2)/HLOOKUP($A313,표1[#ALL],row(),false)</f>
        <v>#N/A</v>
      </c>
      <c r="AE313" s="376" t="str">
        <f>CS_PID!AE313/VLOOKUP($B313,표2[#ALL],2)/HLOOKUP($A313,표1[#ALL],row(),false)</f>
        <v>#N/A</v>
      </c>
      <c r="AF313" s="376" t="str">
        <f>CS_PID!AF313/VLOOKUP($B313,표2[#ALL],2)/HLOOKUP($A313,표1[#ALL],row(),false)</f>
        <v>#N/A</v>
      </c>
      <c r="AG313" s="376" t="str">
        <f>CS_PID!AG313/VLOOKUP($B313,표2[#ALL],2)/HLOOKUP($A313,표1[#ALL],row(),false)</f>
        <v>#N/A</v>
      </c>
      <c r="AH313" s="376" t="str">
        <f>CS_PID!AH313/VLOOKUP($B313,표2[#ALL],2)/HLOOKUP($A313,표1[#ALL],row(),false)</f>
        <v>#N/A</v>
      </c>
      <c r="AI313" s="376" t="str">
        <f>CS_PID!AI313/VLOOKUP($B313,표2[#ALL],2)/HLOOKUP($A313,표1[#ALL],row(),false)</f>
        <v>#N/A</v>
      </c>
      <c r="AJ313" s="376" t="str">
        <f>CS_PID!AJ313/VLOOKUP($B313,표2[#ALL],2)/HLOOKUP($A313,표1[#ALL],row(),false)</f>
        <v>#N/A</v>
      </c>
      <c r="AK313" s="376" t="str">
        <f>CS_PID!AK313/VLOOKUP($B313,표2[#ALL],2)/HLOOKUP($A313,표1[#ALL],row(),false)</f>
        <v>#N/A</v>
      </c>
      <c r="AL313" s="376" t="str">
        <f>CS_PID!AL313/VLOOKUP($B313,표2[#ALL],2)/HLOOKUP($A313,표1[#ALL],row(),false)</f>
        <v>#N/A</v>
      </c>
      <c r="AM313" s="376" t="str">
        <f>CS_PID!AM313/VLOOKUP($B313,표2[#ALL],2)/HLOOKUP($A313,표1[#ALL],row(),false)</f>
        <v>#N/A</v>
      </c>
      <c r="AN313" s="376" t="str">
        <f>CS_PID!AN313/VLOOKUP($B313,표2[#ALL],2)/HLOOKUP($A313,표1[#ALL],row(),false)</f>
        <v>#N/A</v>
      </c>
      <c r="AO313" s="376" t="str">
        <f>CS_PID!AO313/VLOOKUP($B313,표2[#ALL],2)/HLOOKUP($A313,표1[#ALL],row(),false)</f>
        <v>#N/A</v>
      </c>
      <c r="AP313" s="376" t="str">
        <f>CS_PID!AP313/VLOOKUP($B313,표2[#ALL],2)/HLOOKUP($A313,표1[#ALL],row(),false)</f>
        <v>#N/A</v>
      </c>
      <c r="AQ313" s="376" t="str">
        <f>CS_PID!AQ313/VLOOKUP($B313,표2[#ALL],2)/HLOOKUP($A313,표1[#ALL],row(),false)</f>
        <v>#N/A</v>
      </c>
      <c r="AR313" s="376" t="str">
        <f>CS_PID!AR313/VLOOKUP($B313,표2[#ALL],2)/HLOOKUP($A313,표1[#ALL],row(),false)</f>
        <v>#N/A</v>
      </c>
      <c r="AS313" s="377" t="str">
        <f>CS_PID!AS313/VLOOKUP($B313,표2[#ALL],2)/HLOOKUP($A313,표1[#ALL],row(),false)</f>
        <v>#N/A</v>
      </c>
    </row>
    <row r="314">
      <c r="A314" s="370"/>
      <c r="B314" s="371"/>
      <c r="C314" s="372" t="str">
        <f>CS_PID!C314/VLOOKUP($B314,표2[#ALL],2)</f>
        <v>#N/A</v>
      </c>
      <c r="D314" s="372" t="str">
        <f>CS_PID!D314/VLOOKUP($B314,표2[#ALL],2)</f>
        <v>#N/A</v>
      </c>
      <c r="E314" s="372" t="str">
        <f>CS_PID!E314/VLOOKUP($B314,표2[#ALL],2)</f>
        <v>#N/A</v>
      </c>
      <c r="F314" s="372" t="str">
        <f>CS_PID!F314/VLOOKUP($B314,표2[#ALL],2)</f>
        <v>#N/A</v>
      </c>
      <c r="G314" s="372" t="str">
        <f>CS_PID!G314/VLOOKUP($B314,표2[#ALL],2)</f>
        <v>#N/A</v>
      </c>
      <c r="H314" s="372" t="str">
        <f>CS_PID!H314/VLOOKUP($B314,표2[#ALL],2)/HLOOKUP($A314,표1[#ALL],row(),false)</f>
        <v>#N/A</v>
      </c>
      <c r="I314" s="372" t="str">
        <f>CS_PID!I314/VLOOKUP($B314,표2[#ALL],2)/HLOOKUP($A314,표1[#ALL],row(),false)</f>
        <v>#N/A</v>
      </c>
      <c r="J314" s="372" t="str">
        <f>CS_PID!J314/VLOOKUP($B314,표2[#ALL],2)/HLOOKUP($A314,표1[#ALL],row(),false)</f>
        <v>#N/A</v>
      </c>
      <c r="K314" s="372" t="str">
        <f>CS_PID!K314/VLOOKUP($B314,표2[#ALL],2)/HLOOKUP($A314,표1[#ALL],row(),false)</f>
        <v>#N/A</v>
      </c>
      <c r="L314" s="372" t="str">
        <f>CS_PID!L314/VLOOKUP($B314,표2[#ALL],2)/HLOOKUP($A314,표1[#ALL],row(),false)</f>
        <v>#N/A</v>
      </c>
      <c r="M314" s="372" t="str">
        <f>CS_PID!M314/VLOOKUP($B314,표2[#ALL],2)/HLOOKUP($A314,표1[#ALL],row(),false)</f>
        <v>#N/A</v>
      </c>
      <c r="N314" s="372" t="str">
        <f>CS_PID!N314/VLOOKUP($B314,표2[#ALL],2)/HLOOKUP($A314,표1[#ALL],row(),false)</f>
        <v>#N/A</v>
      </c>
      <c r="O314" s="372" t="str">
        <f>CS_PID!O314/VLOOKUP($B314,표2[#ALL],2)/HLOOKUP($A314,표1[#ALL],row(),false)</f>
        <v>#N/A</v>
      </c>
      <c r="P314" s="372" t="str">
        <f>CS_PID!P314/VLOOKUP($B314,표2[#ALL],2)/HLOOKUP($A314,표1[#ALL],row(),false)</f>
        <v>#N/A</v>
      </c>
      <c r="Q314" s="372" t="str">
        <f>CS_PID!Q314/VLOOKUP($B314,표2[#ALL],2)/HLOOKUP($A314,표1[#ALL],row(),false)</f>
        <v>#N/A</v>
      </c>
      <c r="R314" s="372" t="str">
        <f>CS_PID!R314/VLOOKUP($B314,표2[#ALL],2)/HLOOKUP($A314,표1[#ALL],row(),false)</f>
        <v>#N/A</v>
      </c>
      <c r="S314" s="372" t="str">
        <f>CS_PID!S314/VLOOKUP($B314,표2[#ALL],2)/HLOOKUP($A314,표1[#ALL],row(),false)</f>
        <v>#N/A</v>
      </c>
      <c r="T314" s="372" t="str">
        <f>CS_PID!T314/VLOOKUP($B314,표2[#ALL],2)/HLOOKUP($A314,표1[#ALL],row(),false)</f>
        <v>#N/A</v>
      </c>
      <c r="U314" s="372" t="str">
        <f>CS_PID!U314/VLOOKUP($B314,표2[#ALL],2)/HLOOKUP($A314,표1[#ALL],row(),false)</f>
        <v>#N/A</v>
      </c>
      <c r="V314" s="372" t="str">
        <f>CS_PID!V314/VLOOKUP($B314,표2[#ALL],2)/HLOOKUP($A314,표1[#ALL],row(),false)</f>
        <v>#N/A</v>
      </c>
      <c r="W314" s="372" t="str">
        <f>CS_PID!W314/VLOOKUP($B314,표2[#ALL],2)/HLOOKUP($A314,표1[#ALL],row(),false)</f>
        <v>#N/A</v>
      </c>
      <c r="X314" s="372" t="str">
        <f>CS_PID!X314/VLOOKUP($B314,표2[#ALL],2)/HLOOKUP($A314,표1[#ALL],row(),false)</f>
        <v>#N/A</v>
      </c>
      <c r="Y314" s="372" t="str">
        <f>CS_PID!Y314/VLOOKUP($B314,표2[#ALL],2)/HLOOKUP($A314,표1[#ALL],row(),false)</f>
        <v>#N/A</v>
      </c>
      <c r="Z314" s="372" t="str">
        <f>CS_PID!Z314/VLOOKUP($B314,표2[#ALL],2)/HLOOKUP($A314,표1[#ALL],row(),false)</f>
        <v>#N/A</v>
      </c>
      <c r="AA314" s="372" t="str">
        <f>CS_PID!AA314/VLOOKUP($B314,표2[#ALL],2)/HLOOKUP($A314,표1[#ALL],row(),false)</f>
        <v>#N/A</v>
      </c>
      <c r="AB314" s="372" t="str">
        <f>CS_PID!AB314/VLOOKUP($B314,표2[#ALL],2)/HLOOKUP($A314,표1[#ALL],row(),false)</f>
        <v>#N/A</v>
      </c>
      <c r="AC314" s="372" t="str">
        <f>CS_PID!AC314/VLOOKUP($B314,표2[#ALL],2)/HLOOKUP($A314,표1[#ALL],row(),false)</f>
        <v>#N/A</v>
      </c>
      <c r="AD314" s="372" t="str">
        <f>CS_PID!AD314/VLOOKUP($B314,표2[#ALL],2)/HLOOKUP($A314,표1[#ALL],row(),false)</f>
        <v>#N/A</v>
      </c>
      <c r="AE314" s="372" t="str">
        <f>CS_PID!AE314/VLOOKUP($B314,표2[#ALL],2)/HLOOKUP($A314,표1[#ALL],row(),false)</f>
        <v>#N/A</v>
      </c>
      <c r="AF314" s="372" t="str">
        <f>CS_PID!AF314/VLOOKUP($B314,표2[#ALL],2)/HLOOKUP($A314,표1[#ALL],row(),false)</f>
        <v>#N/A</v>
      </c>
      <c r="AG314" s="372" t="str">
        <f>CS_PID!AG314/VLOOKUP($B314,표2[#ALL],2)/HLOOKUP($A314,표1[#ALL],row(),false)</f>
        <v>#N/A</v>
      </c>
      <c r="AH314" s="372" t="str">
        <f>CS_PID!AH314/VLOOKUP($B314,표2[#ALL],2)/HLOOKUP($A314,표1[#ALL],row(),false)</f>
        <v>#N/A</v>
      </c>
      <c r="AI314" s="372" t="str">
        <f>CS_PID!AI314/VLOOKUP($B314,표2[#ALL],2)/HLOOKUP($A314,표1[#ALL],row(),false)</f>
        <v>#N/A</v>
      </c>
      <c r="AJ314" s="372" t="str">
        <f>CS_PID!AJ314/VLOOKUP($B314,표2[#ALL],2)/HLOOKUP($A314,표1[#ALL],row(),false)</f>
        <v>#N/A</v>
      </c>
      <c r="AK314" s="372" t="str">
        <f>CS_PID!AK314/VLOOKUP($B314,표2[#ALL],2)/HLOOKUP($A314,표1[#ALL],row(),false)</f>
        <v>#N/A</v>
      </c>
      <c r="AL314" s="372" t="str">
        <f>CS_PID!AL314/VLOOKUP($B314,표2[#ALL],2)/HLOOKUP($A314,표1[#ALL],row(),false)</f>
        <v>#N/A</v>
      </c>
      <c r="AM314" s="372" t="str">
        <f>CS_PID!AM314/VLOOKUP($B314,표2[#ALL],2)/HLOOKUP($A314,표1[#ALL],row(),false)</f>
        <v>#N/A</v>
      </c>
      <c r="AN314" s="372" t="str">
        <f>CS_PID!AN314/VLOOKUP($B314,표2[#ALL],2)/HLOOKUP($A314,표1[#ALL],row(),false)</f>
        <v>#N/A</v>
      </c>
      <c r="AO314" s="372" t="str">
        <f>CS_PID!AO314/VLOOKUP($B314,표2[#ALL],2)/HLOOKUP($A314,표1[#ALL],row(),false)</f>
        <v>#N/A</v>
      </c>
      <c r="AP314" s="372" t="str">
        <f>CS_PID!AP314/VLOOKUP($B314,표2[#ALL],2)/HLOOKUP($A314,표1[#ALL],row(),false)</f>
        <v>#N/A</v>
      </c>
      <c r="AQ314" s="372" t="str">
        <f>CS_PID!AQ314/VLOOKUP($B314,표2[#ALL],2)/HLOOKUP($A314,표1[#ALL],row(),false)</f>
        <v>#N/A</v>
      </c>
      <c r="AR314" s="372" t="str">
        <f>CS_PID!AR314/VLOOKUP($B314,표2[#ALL],2)/HLOOKUP($A314,표1[#ALL],row(),false)</f>
        <v>#N/A</v>
      </c>
      <c r="AS314" s="373" t="str">
        <f>CS_PID!AS314/VLOOKUP($B314,표2[#ALL],2)/HLOOKUP($A314,표1[#ALL],row(),false)</f>
        <v>#N/A</v>
      </c>
    </row>
    <row r="315">
      <c r="A315" s="374"/>
      <c r="B315" s="375"/>
      <c r="C315" s="376" t="str">
        <f>CS_PID!C315/VLOOKUP($B315,표2[#ALL],2)</f>
        <v>#N/A</v>
      </c>
      <c r="D315" s="376" t="str">
        <f>CS_PID!D315/VLOOKUP($B315,표2[#ALL],2)</f>
        <v>#N/A</v>
      </c>
      <c r="E315" s="376" t="str">
        <f>CS_PID!E315/VLOOKUP($B315,표2[#ALL],2)</f>
        <v>#N/A</v>
      </c>
      <c r="F315" s="376" t="str">
        <f>CS_PID!F315/VLOOKUP($B315,표2[#ALL],2)</f>
        <v>#N/A</v>
      </c>
      <c r="G315" s="376" t="str">
        <f>CS_PID!G315/VLOOKUP($B315,표2[#ALL],2)</f>
        <v>#N/A</v>
      </c>
      <c r="H315" s="376" t="str">
        <f>CS_PID!H315/VLOOKUP($B315,표2[#ALL],2)/HLOOKUP($A315,표1[#ALL],row(),false)</f>
        <v>#N/A</v>
      </c>
      <c r="I315" s="376" t="str">
        <f>CS_PID!I315/VLOOKUP($B315,표2[#ALL],2)/HLOOKUP($A315,표1[#ALL],row(),false)</f>
        <v>#N/A</v>
      </c>
      <c r="J315" s="376" t="str">
        <f>CS_PID!J315/VLOOKUP($B315,표2[#ALL],2)/HLOOKUP($A315,표1[#ALL],row(),false)</f>
        <v>#N/A</v>
      </c>
      <c r="K315" s="376" t="str">
        <f>CS_PID!K315/VLOOKUP($B315,표2[#ALL],2)/HLOOKUP($A315,표1[#ALL],row(),false)</f>
        <v>#N/A</v>
      </c>
      <c r="L315" s="376" t="str">
        <f>CS_PID!L315/VLOOKUP($B315,표2[#ALL],2)/HLOOKUP($A315,표1[#ALL],row(),false)</f>
        <v>#N/A</v>
      </c>
      <c r="M315" s="376" t="str">
        <f>CS_PID!M315/VLOOKUP($B315,표2[#ALL],2)/HLOOKUP($A315,표1[#ALL],row(),false)</f>
        <v>#N/A</v>
      </c>
      <c r="N315" s="376" t="str">
        <f>CS_PID!N315/VLOOKUP($B315,표2[#ALL],2)/HLOOKUP($A315,표1[#ALL],row(),false)</f>
        <v>#N/A</v>
      </c>
      <c r="O315" s="376" t="str">
        <f>CS_PID!O315/VLOOKUP($B315,표2[#ALL],2)/HLOOKUP($A315,표1[#ALL],row(),false)</f>
        <v>#N/A</v>
      </c>
      <c r="P315" s="376" t="str">
        <f>CS_PID!P315/VLOOKUP($B315,표2[#ALL],2)/HLOOKUP($A315,표1[#ALL],row(),false)</f>
        <v>#N/A</v>
      </c>
      <c r="Q315" s="376" t="str">
        <f>CS_PID!Q315/VLOOKUP($B315,표2[#ALL],2)/HLOOKUP($A315,표1[#ALL],row(),false)</f>
        <v>#N/A</v>
      </c>
      <c r="R315" s="376" t="str">
        <f>CS_PID!R315/VLOOKUP($B315,표2[#ALL],2)/HLOOKUP($A315,표1[#ALL],row(),false)</f>
        <v>#N/A</v>
      </c>
      <c r="S315" s="376" t="str">
        <f>CS_PID!S315/VLOOKUP($B315,표2[#ALL],2)/HLOOKUP($A315,표1[#ALL],row(),false)</f>
        <v>#N/A</v>
      </c>
      <c r="T315" s="376" t="str">
        <f>CS_PID!T315/VLOOKUP($B315,표2[#ALL],2)/HLOOKUP($A315,표1[#ALL],row(),false)</f>
        <v>#N/A</v>
      </c>
      <c r="U315" s="376" t="str">
        <f>CS_PID!U315/VLOOKUP($B315,표2[#ALL],2)/HLOOKUP($A315,표1[#ALL],row(),false)</f>
        <v>#N/A</v>
      </c>
      <c r="V315" s="376" t="str">
        <f>CS_PID!V315/VLOOKUP($B315,표2[#ALL],2)/HLOOKUP($A315,표1[#ALL],row(),false)</f>
        <v>#N/A</v>
      </c>
      <c r="W315" s="376" t="str">
        <f>CS_PID!W315/VLOOKUP($B315,표2[#ALL],2)/HLOOKUP($A315,표1[#ALL],row(),false)</f>
        <v>#N/A</v>
      </c>
      <c r="X315" s="376" t="str">
        <f>CS_PID!X315/VLOOKUP($B315,표2[#ALL],2)/HLOOKUP($A315,표1[#ALL],row(),false)</f>
        <v>#N/A</v>
      </c>
      <c r="Y315" s="376" t="str">
        <f>CS_PID!Y315/VLOOKUP($B315,표2[#ALL],2)/HLOOKUP($A315,표1[#ALL],row(),false)</f>
        <v>#N/A</v>
      </c>
      <c r="Z315" s="376" t="str">
        <f>CS_PID!Z315/VLOOKUP($B315,표2[#ALL],2)/HLOOKUP($A315,표1[#ALL],row(),false)</f>
        <v>#N/A</v>
      </c>
      <c r="AA315" s="376" t="str">
        <f>CS_PID!AA315/VLOOKUP($B315,표2[#ALL],2)/HLOOKUP($A315,표1[#ALL],row(),false)</f>
        <v>#N/A</v>
      </c>
      <c r="AB315" s="376" t="str">
        <f>CS_PID!AB315/VLOOKUP($B315,표2[#ALL],2)/HLOOKUP($A315,표1[#ALL],row(),false)</f>
        <v>#N/A</v>
      </c>
      <c r="AC315" s="376" t="str">
        <f>CS_PID!AC315/VLOOKUP($B315,표2[#ALL],2)/HLOOKUP($A315,표1[#ALL],row(),false)</f>
        <v>#N/A</v>
      </c>
      <c r="AD315" s="376" t="str">
        <f>CS_PID!AD315/VLOOKUP($B315,표2[#ALL],2)/HLOOKUP($A315,표1[#ALL],row(),false)</f>
        <v>#N/A</v>
      </c>
      <c r="AE315" s="376" t="str">
        <f>CS_PID!AE315/VLOOKUP($B315,표2[#ALL],2)/HLOOKUP($A315,표1[#ALL],row(),false)</f>
        <v>#N/A</v>
      </c>
      <c r="AF315" s="376" t="str">
        <f>CS_PID!AF315/VLOOKUP($B315,표2[#ALL],2)/HLOOKUP($A315,표1[#ALL],row(),false)</f>
        <v>#N/A</v>
      </c>
      <c r="AG315" s="376" t="str">
        <f>CS_PID!AG315/VLOOKUP($B315,표2[#ALL],2)/HLOOKUP($A315,표1[#ALL],row(),false)</f>
        <v>#N/A</v>
      </c>
      <c r="AH315" s="376" t="str">
        <f>CS_PID!AH315/VLOOKUP($B315,표2[#ALL],2)/HLOOKUP($A315,표1[#ALL],row(),false)</f>
        <v>#N/A</v>
      </c>
      <c r="AI315" s="376" t="str">
        <f>CS_PID!AI315/VLOOKUP($B315,표2[#ALL],2)/HLOOKUP($A315,표1[#ALL],row(),false)</f>
        <v>#N/A</v>
      </c>
      <c r="AJ315" s="376" t="str">
        <f>CS_PID!AJ315/VLOOKUP($B315,표2[#ALL],2)/HLOOKUP($A315,표1[#ALL],row(),false)</f>
        <v>#N/A</v>
      </c>
      <c r="AK315" s="376" t="str">
        <f>CS_PID!AK315/VLOOKUP($B315,표2[#ALL],2)/HLOOKUP($A315,표1[#ALL],row(),false)</f>
        <v>#N/A</v>
      </c>
      <c r="AL315" s="376" t="str">
        <f>CS_PID!AL315/VLOOKUP($B315,표2[#ALL],2)/HLOOKUP($A315,표1[#ALL],row(),false)</f>
        <v>#N/A</v>
      </c>
      <c r="AM315" s="376" t="str">
        <f>CS_PID!AM315/VLOOKUP($B315,표2[#ALL],2)/HLOOKUP($A315,표1[#ALL],row(),false)</f>
        <v>#N/A</v>
      </c>
      <c r="AN315" s="376" t="str">
        <f>CS_PID!AN315/VLOOKUP($B315,표2[#ALL],2)/HLOOKUP($A315,표1[#ALL],row(),false)</f>
        <v>#N/A</v>
      </c>
      <c r="AO315" s="376" t="str">
        <f>CS_PID!AO315/VLOOKUP($B315,표2[#ALL],2)/HLOOKUP($A315,표1[#ALL],row(),false)</f>
        <v>#N/A</v>
      </c>
      <c r="AP315" s="376" t="str">
        <f>CS_PID!AP315/VLOOKUP($B315,표2[#ALL],2)/HLOOKUP($A315,표1[#ALL],row(),false)</f>
        <v>#N/A</v>
      </c>
      <c r="AQ315" s="376" t="str">
        <f>CS_PID!AQ315/VLOOKUP($B315,표2[#ALL],2)/HLOOKUP($A315,표1[#ALL],row(),false)</f>
        <v>#N/A</v>
      </c>
      <c r="AR315" s="376" t="str">
        <f>CS_PID!AR315/VLOOKUP($B315,표2[#ALL],2)/HLOOKUP($A315,표1[#ALL],row(),false)</f>
        <v>#N/A</v>
      </c>
      <c r="AS315" s="377" t="str">
        <f>CS_PID!AS315/VLOOKUP($B315,표2[#ALL],2)/HLOOKUP($A315,표1[#ALL],row(),false)</f>
        <v>#N/A</v>
      </c>
    </row>
    <row r="316">
      <c r="A316" s="370"/>
      <c r="B316" s="371"/>
      <c r="C316" s="372" t="str">
        <f>CS_PID!C316/VLOOKUP($B316,표2[#ALL],2)</f>
        <v>#N/A</v>
      </c>
      <c r="D316" s="372" t="str">
        <f>CS_PID!D316/VLOOKUP($B316,표2[#ALL],2)</f>
        <v>#N/A</v>
      </c>
      <c r="E316" s="372" t="str">
        <f>CS_PID!E316/VLOOKUP($B316,표2[#ALL],2)</f>
        <v>#N/A</v>
      </c>
      <c r="F316" s="372" t="str">
        <f>CS_PID!F316/VLOOKUP($B316,표2[#ALL],2)</f>
        <v>#N/A</v>
      </c>
      <c r="G316" s="372" t="str">
        <f>CS_PID!G316/VLOOKUP($B316,표2[#ALL],2)</f>
        <v>#N/A</v>
      </c>
      <c r="H316" s="372" t="str">
        <f>CS_PID!H316/VLOOKUP($B316,표2[#ALL],2)/HLOOKUP($A316,표1[#ALL],row(),false)</f>
        <v>#N/A</v>
      </c>
      <c r="I316" s="372" t="str">
        <f>CS_PID!I316/VLOOKUP($B316,표2[#ALL],2)/HLOOKUP($A316,표1[#ALL],row(),false)</f>
        <v>#N/A</v>
      </c>
      <c r="J316" s="372" t="str">
        <f>CS_PID!J316/VLOOKUP($B316,표2[#ALL],2)/HLOOKUP($A316,표1[#ALL],row(),false)</f>
        <v>#N/A</v>
      </c>
      <c r="K316" s="372" t="str">
        <f>CS_PID!K316/VLOOKUP($B316,표2[#ALL],2)/HLOOKUP($A316,표1[#ALL],row(),false)</f>
        <v>#N/A</v>
      </c>
      <c r="L316" s="372" t="str">
        <f>CS_PID!L316/VLOOKUP($B316,표2[#ALL],2)/HLOOKUP($A316,표1[#ALL],row(),false)</f>
        <v>#N/A</v>
      </c>
      <c r="M316" s="372" t="str">
        <f>CS_PID!M316/VLOOKUP($B316,표2[#ALL],2)/HLOOKUP($A316,표1[#ALL],row(),false)</f>
        <v>#N/A</v>
      </c>
      <c r="N316" s="372" t="str">
        <f>CS_PID!N316/VLOOKUP($B316,표2[#ALL],2)/HLOOKUP($A316,표1[#ALL],row(),false)</f>
        <v>#N/A</v>
      </c>
      <c r="O316" s="372" t="str">
        <f>CS_PID!O316/VLOOKUP($B316,표2[#ALL],2)/HLOOKUP($A316,표1[#ALL],row(),false)</f>
        <v>#N/A</v>
      </c>
      <c r="P316" s="372" t="str">
        <f>CS_PID!P316/VLOOKUP($B316,표2[#ALL],2)/HLOOKUP($A316,표1[#ALL],row(),false)</f>
        <v>#N/A</v>
      </c>
      <c r="Q316" s="372" t="str">
        <f>CS_PID!Q316/VLOOKUP($B316,표2[#ALL],2)/HLOOKUP($A316,표1[#ALL],row(),false)</f>
        <v>#N/A</v>
      </c>
      <c r="R316" s="372" t="str">
        <f>CS_PID!R316/VLOOKUP($B316,표2[#ALL],2)/HLOOKUP($A316,표1[#ALL],row(),false)</f>
        <v>#N/A</v>
      </c>
      <c r="S316" s="372" t="str">
        <f>CS_PID!S316/VLOOKUP($B316,표2[#ALL],2)/HLOOKUP($A316,표1[#ALL],row(),false)</f>
        <v>#N/A</v>
      </c>
      <c r="T316" s="372" t="str">
        <f>CS_PID!T316/VLOOKUP($B316,표2[#ALL],2)/HLOOKUP($A316,표1[#ALL],row(),false)</f>
        <v>#N/A</v>
      </c>
      <c r="U316" s="372" t="str">
        <f>CS_PID!U316/VLOOKUP($B316,표2[#ALL],2)/HLOOKUP($A316,표1[#ALL],row(),false)</f>
        <v>#N/A</v>
      </c>
      <c r="V316" s="372" t="str">
        <f>CS_PID!V316/VLOOKUP($B316,표2[#ALL],2)/HLOOKUP($A316,표1[#ALL],row(),false)</f>
        <v>#N/A</v>
      </c>
      <c r="W316" s="372" t="str">
        <f>CS_PID!W316/VLOOKUP($B316,표2[#ALL],2)/HLOOKUP($A316,표1[#ALL],row(),false)</f>
        <v>#N/A</v>
      </c>
      <c r="X316" s="372" t="str">
        <f>CS_PID!X316/VLOOKUP($B316,표2[#ALL],2)/HLOOKUP($A316,표1[#ALL],row(),false)</f>
        <v>#N/A</v>
      </c>
      <c r="Y316" s="372" t="str">
        <f>CS_PID!Y316/VLOOKUP($B316,표2[#ALL],2)/HLOOKUP($A316,표1[#ALL],row(),false)</f>
        <v>#N/A</v>
      </c>
      <c r="Z316" s="372" t="str">
        <f>CS_PID!Z316/VLOOKUP($B316,표2[#ALL],2)/HLOOKUP($A316,표1[#ALL],row(),false)</f>
        <v>#N/A</v>
      </c>
      <c r="AA316" s="372" t="str">
        <f>CS_PID!AA316/VLOOKUP($B316,표2[#ALL],2)/HLOOKUP($A316,표1[#ALL],row(),false)</f>
        <v>#N/A</v>
      </c>
      <c r="AB316" s="372" t="str">
        <f>CS_PID!AB316/VLOOKUP($B316,표2[#ALL],2)/HLOOKUP($A316,표1[#ALL],row(),false)</f>
        <v>#N/A</v>
      </c>
      <c r="AC316" s="372" t="str">
        <f>CS_PID!AC316/VLOOKUP($B316,표2[#ALL],2)/HLOOKUP($A316,표1[#ALL],row(),false)</f>
        <v>#N/A</v>
      </c>
      <c r="AD316" s="372" t="str">
        <f>CS_PID!AD316/VLOOKUP($B316,표2[#ALL],2)/HLOOKUP($A316,표1[#ALL],row(),false)</f>
        <v>#N/A</v>
      </c>
      <c r="AE316" s="372" t="str">
        <f>CS_PID!AE316/VLOOKUP($B316,표2[#ALL],2)/HLOOKUP($A316,표1[#ALL],row(),false)</f>
        <v>#N/A</v>
      </c>
      <c r="AF316" s="372" t="str">
        <f>CS_PID!AF316/VLOOKUP($B316,표2[#ALL],2)/HLOOKUP($A316,표1[#ALL],row(),false)</f>
        <v>#N/A</v>
      </c>
      <c r="AG316" s="372" t="str">
        <f>CS_PID!AG316/VLOOKUP($B316,표2[#ALL],2)/HLOOKUP($A316,표1[#ALL],row(),false)</f>
        <v>#N/A</v>
      </c>
      <c r="AH316" s="372" t="str">
        <f>CS_PID!AH316/VLOOKUP($B316,표2[#ALL],2)/HLOOKUP($A316,표1[#ALL],row(),false)</f>
        <v>#N/A</v>
      </c>
      <c r="AI316" s="372" t="str">
        <f>CS_PID!AI316/VLOOKUP($B316,표2[#ALL],2)/HLOOKUP($A316,표1[#ALL],row(),false)</f>
        <v>#N/A</v>
      </c>
      <c r="AJ316" s="372" t="str">
        <f>CS_PID!AJ316/VLOOKUP($B316,표2[#ALL],2)/HLOOKUP($A316,표1[#ALL],row(),false)</f>
        <v>#N/A</v>
      </c>
      <c r="AK316" s="372" t="str">
        <f>CS_PID!AK316/VLOOKUP($B316,표2[#ALL],2)/HLOOKUP($A316,표1[#ALL],row(),false)</f>
        <v>#N/A</v>
      </c>
      <c r="AL316" s="372" t="str">
        <f>CS_PID!AL316/VLOOKUP($B316,표2[#ALL],2)/HLOOKUP($A316,표1[#ALL],row(),false)</f>
        <v>#N/A</v>
      </c>
      <c r="AM316" s="372" t="str">
        <f>CS_PID!AM316/VLOOKUP($B316,표2[#ALL],2)/HLOOKUP($A316,표1[#ALL],row(),false)</f>
        <v>#N/A</v>
      </c>
      <c r="AN316" s="372" t="str">
        <f>CS_PID!AN316/VLOOKUP($B316,표2[#ALL],2)/HLOOKUP($A316,표1[#ALL],row(),false)</f>
        <v>#N/A</v>
      </c>
      <c r="AO316" s="372" t="str">
        <f>CS_PID!AO316/VLOOKUP($B316,표2[#ALL],2)/HLOOKUP($A316,표1[#ALL],row(),false)</f>
        <v>#N/A</v>
      </c>
      <c r="AP316" s="372" t="str">
        <f>CS_PID!AP316/VLOOKUP($B316,표2[#ALL],2)/HLOOKUP($A316,표1[#ALL],row(),false)</f>
        <v>#N/A</v>
      </c>
      <c r="AQ316" s="372" t="str">
        <f>CS_PID!AQ316/VLOOKUP($B316,표2[#ALL],2)/HLOOKUP($A316,표1[#ALL],row(),false)</f>
        <v>#N/A</v>
      </c>
      <c r="AR316" s="372" t="str">
        <f>CS_PID!AR316/VLOOKUP($B316,표2[#ALL],2)/HLOOKUP($A316,표1[#ALL],row(),false)</f>
        <v>#N/A</v>
      </c>
      <c r="AS316" s="373" t="str">
        <f>CS_PID!AS316/VLOOKUP($B316,표2[#ALL],2)/HLOOKUP($A316,표1[#ALL],row(),false)</f>
        <v>#N/A</v>
      </c>
    </row>
    <row r="317">
      <c r="A317" s="374"/>
      <c r="B317" s="375"/>
      <c r="C317" s="376" t="str">
        <f>CS_PID!C317/VLOOKUP($B317,표2[#ALL],2)</f>
        <v>#N/A</v>
      </c>
      <c r="D317" s="376" t="str">
        <f>CS_PID!D317/VLOOKUP($B317,표2[#ALL],2)</f>
        <v>#N/A</v>
      </c>
      <c r="E317" s="376" t="str">
        <f>CS_PID!E317/VLOOKUP($B317,표2[#ALL],2)</f>
        <v>#N/A</v>
      </c>
      <c r="F317" s="376" t="str">
        <f>CS_PID!F317/VLOOKUP($B317,표2[#ALL],2)</f>
        <v>#N/A</v>
      </c>
      <c r="G317" s="376" t="str">
        <f>CS_PID!G317/VLOOKUP($B317,표2[#ALL],2)</f>
        <v>#N/A</v>
      </c>
      <c r="H317" s="376" t="str">
        <f>CS_PID!H317/VLOOKUP($B317,표2[#ALL],2)/HLOOKUP($A317,표1[#ALL],row(),false)</f>
        <v>#N/A</v>
      </c>
      <c r="I317" s="376" t="str">
        <f>CS_PID!I317/VLOOKUP($B317,표2[#ALL],2)/HLOOKUP($A317,표1[#ALL],row(),false)</f>
        <v>#N/A</v>
      </c>
      <c r="J317" s="376" t="str">
        <f>CS_PID!J317/VLOOKUP($B317,표2[#ALL],2)/HLOOKUP($A317,표1[#ALL],row(),false)</f>
        <v>#N/A</v>
      </c>
      <c r="K317" s="376" t="str">
        <f>CS_PID!K317/VLOOKUP($B317,표2[#ALL],2)/HLOOKUP($A317,표1[#ALL],row(),false)</f>
        <v>#N/A</v>
      </c>
      <c r="L317" s="376" t="str">
        <f>CS_PID!L317/VLOOKUP($B317,표2[#ALL],2)/HLOOKUP($A317,표1[#ALL],row(),false)</f>
        <v>#N/A</v>
      </c>
      <c r="M317" s="376" t="str">
        <f>CS_PID!M317/VLOOKUP($B317,표2[#ALL],2)/HLOOKUP($A317,표1[#ALL],row(),false)</f>
        <v>#N/A</v>
      </c>
      <c r="N317" s="376" t="str">
        <f>CS_PID!N317/VLOOKUP($B317,표2[#ALL],2)/HLOOKUP($A317,표1[#ALL],row(),false)</f>
        <v>#N/A</v>
      </c>
      <c r="O317" s="376" t="str">
        <f>CS_PID!O317/VLOOKUP($B317,표2[#ALL],2)/HLOOKUP($A317,표1[#ALL],row(),false)</f>
        <v>#N/A</v>
      </c>
      <c r="P317" s="376" t="str">
        <f>CS_PID!P317/VLOOKUP($B317,표2[#ALL],2)/HLOOKUP($A317,표1[#ALL],row(),false)</f>
        <v>#N/A</v>
      </c>
      <c r="Q317" s="376" t="str">
        <f>CS_PID!Q317/VLOOKUP($B317,표2[#ALL],2)/HLOOKUP($A317,표1[#ALL],row(),false)</f>
        <v>#N/A</v>
      </c>
      <c r="R317" s="376" t="str">
        <f>CS_PID!R317/VLOOKUP($B317,표2[#ALL],2)/HLOOKUP($A317,표1[#ALL],row(),false)</f>
        <v>#N/A</v>
      </c>
      <c r="S317" s="376" t="str">
        <f>CS_PID!S317/VLOOKUP($B317,표2[#ALL],2)/HLOOKUP($A317,표1[#ALL],row(),false)</f>
        <v>#N/A</v>
      </c>
      <c r="T317" s="376" t="str">
        <f>CS_PID!T317/VLOOKUP($B317,표2[#ALL],2)/HLOOKUP($A317,표1[#ALL],row(),false)</f>
        <v>#N/A</v>
      </c>
      <c r="U317" s="376" t="str">
        <f>CS_PID!U317/VLOOKUP($B317,표2[#ALL],2)/HLOOKUP($A317,표1[#ALL],row(),false)</f>
        <v>#N/A</v>
      </c>
      <c r="V317" s="376" t="str">
        <f>CS_PID!V317/VLOOKUP($B317,표2[#ALL],2)/HLOOKUP($A317,표1[#ALL],row(),false)</f>
        <v>#N/A</v>
      </c>
      <c r="W317" s="376" t="str">
        <f>CS_PID!W317/VLOOKUP($B317,표2[#ALL],2)/HLOOKUP($A317,표1[#ALL],row(),false)</f>
        <v>#N/A</v>
      </c>
      <c r="X317" s="376" t="str">
        <f>CS_PID!X317/VLOOKUP($B317,표2[#ALL],2)/HLOOKUP($A317,표1[#ALL],row(),false)</f>
        <v>#N/A</v>
      </c>
      <c r="Y317" s="376" t="str">
        <f>CS_PID!Y317/VLOOKUP($B317,표2[#ALL],2)/HLOOKUP($A317,표1[#ALL],row(),false)</f>
        <v>#N/A</v>
      </c>
      <c r="Z317" s="376" t="str">
        <f>CS_PID!Z317/VLOOKUP($B317,표2[#ALL],2)/HLOOKUP($A317,표1[#ALL],row(),false)</f>
        <v>#N/A</v>
      </c>
      <c r="AA317" s="376" t="str">
        <f>CS_PID!AA317/VLOOKUP($B317,표2[#ALL],2)/HLOOKUP($A317,표1[#ALL],row(),false)</f>
        <v>#N/A</v>
      </c>
      <c r="AB317" s="376" t="str">
        <f>CS_PID!AB317/VLOOKUP($B317,표2[#ALL],2)/HLOOKUP($A317,표1[#ALL],row(),false)</f>
        <v>#N/A</v>
      </c>
      <c r="AC317" s="376" t="str">
        <f>CS_PID!AC317/VLOOKUP($B317,표2[#ALL],2)/HLOOKUP($A317,표1[#ALL],row(),false)</f>
        <v>#N/A</v>
      </c>
      <c r="AD317" s="376" t="str">
        <f>CS_PID!AD317/VLOOKUP($B317,표2[#ALL],2)/HLOOKUP($A317,표1[#ALL],row(),false)</f>
        <v>#N/A</v>
      </c>
      <c r="AE317" s="376" t="str">
        <f>CS_PID!AE317/VLOOKUP($B317,표2[#ALL],2)/HLOOKUP($A317,표1[#ALL],row(),false)</f>
        <v>#N/A</v>
      </c>
      <c r="AF317" s="376" t="str">
        <f>CS_PID!AF317/VLOOKUP($B317,표2[#ALL],2)/HLOOKUP($A317,표1[#ALL],row(),false)</f>
        <v>#N/A</v>
      </c>
      <c r="AG317" s="376" t="str">
        <f>CS_PID!AG317/VLOOKUP($B317,표2[#ALL],2)/HLOOKUP($A317,표1[#ALL],row(),false)</f>
        <v>#N/A</v>
      </c>
      <c r="AH317" s="376" t="str">
        <f>CS_PID!AH317/VLOOKUP($B317,표2[#ALL],2)/HLOOKUP($A317,표1[#ALL],row(),false)</f>
        <v>#N/A</v>
      </c>
      <c r="AI317" s="376" t="str">
        <f>CS_PID!AI317/VLOOKUP($B317,표2[#ALL],2)/HLOOKUP($A317,표1[#ALL],row(),false)</f>
        <v>#N/A</v>
      </c>
      <c r="AJ317" s="376" t="str">
        <f>CS_PID!AJ317/VLOOKUP($B317,표2[#ALL],2)/HLOOKUP($A317,표1[#ALL],row(),false)</f>
        <v>#N/A</v>
      </c>
      <c r="AK317" s="376" t="str">
        <f>CS_PID!AK317/VLOOKUP($B317,표2[#ALL],2)/HLOOKUP($A317,표1[#ALL],row(),false)</f>
        <v>#N/A</v>
      </c>
      <c r="AL317" s="376" t="str">
        <f>CS_PID!AL317/VLOOKUP($B317,표2[#ALL],2)/HLOOKUP($A317,표1[#ALL],row(),false)</f>
        <v>#N/A</v>
      </c>
      <c r="AM317" s="376" t="str">
        <f>CS_PID!AM317/VLOOKUP($B317,표2[#ALL],2)/HLOOKUP($A317,표1[#ALL],row(),false)</f>
        <v>#N/A</v>
      </c>
      <c r="AN317" s="376" t="str">
        <f>CS_PID!AN317/VLOOKUP($B317,표2[#ALL],2)/HLOOKUP($A317,표1[#ALL],row(),false)</f>
        <v>#N/A</v>
      </c>
      <c r="AO317" s="376" t="str">
        <f>CS_PID!AO317/VLOOKUP($B317,표2[#ALL],2)/HLOOKUP($A317,표1[#ALL],row(),false)</f>
        <v>#N/A</v>
      </c>
      <c r="AP317" s="376" t="str">
        <f>CS_PID!AP317/VLOOKUP($B317,표2[#ALL],2)/HLOOKUP($A317,표1[#ALL],row(),false)</f>
        <v>#N/A</v>
      </c>
      <c r="AQ317" s="376" t="str">
        <f>CS_PID!AQ317/VLOOKUP($B317,표2[#ALL],2)/HLOOKUP($A317,표1[#ALL],row(),false)</f>
        <v>#N/A</v>
      </c>
      <c r="AR317" s="376" t="str">
        <f>CS_PID!AR317/VLOOKUP($B317,표2[#ALL],2)/HLOOKUP($A317,표1[#ALL],row(),false)</f>
        <v>#N/A</v>
      </c>
      <c r="AS317" s="377" t="str">
        <f>CS_PID!AS317/VLOOKUP($B317,표2[#ALL],2)/HLOOKUP($A317,표1[#ALL],row(),false)</f>
        <v>#N/A</v>
      </c>
    </row>
    <row r="318">
      <c r="A318" s="370"/>
      <c r="B318" s="371"/>
      <c r="C318" s="372" t="str">
        <f>CS_PID!C318/VLOOKUP($B318,표2[#ALL],2)</f>
        <v>#N/A</v>
      </c>
      <c r="D318" s="372" t="str">
        <f>CS_PID!D318/VLOOKUP($B318,표2[#ALL],2)</f>
        <v>#N/A</v>
      </c>
      <c r="E318" s="372" t="str">
        <f>CS_PID!E318/VLOOKUP($B318,표2[#ALL],2)</f>
        <v>#N/A</v>
      </c>
      <c r="F318" s="372" t="str">
        <f>CS_PID!F318/VLOOKUP($B318,표2[#ALL],2)</f>
        <v>#N/A</v>
      </c>
      <c r="G318" s="372" t="str">
        <f>CS_PID!G318/VLOOKUP($B318,표2[#ALL],2)</f>
        <v>#N/A</v>
      </c>
      <c r="H318" s="372" t="str">
        <f>CS_PID!H318/VLOOKUP($B318,표2[#ALL],2)/HLOOKUP($A318,표1[#ALL],row(),false)</f>
        <v>#N/A</v>
      </c>
      <c r="I318" s="372" t="str">
        <f>CS_PID!I318/VLOOKUP($B318,표2[#ALL],2)/HLOOKUP($A318,표1[#ALL],row(),false)</f>
        <v>#N/A</v>
      </c>
      <c r="J318" s="372" t="str">
        <f>CS_PID!J318/VLOOKUP($B318,표2[#ALL],2)/HLOOKUP($A318,표1[#ALL],row(),false)</f>
        <v>#N/A</v>
      </c>
      <c r="K318" s="372" t="str">
        <f>CS_PID!K318/VLOOKUP($B318,표2[#ALL],2)/HLOOKUP($A318,표1[#ALL],row(),false)</f>
        <v>#N/A</v>
      </c>
      <c r="L318" s="372" t="str">
        <f>CS_PID!L318/VLOOKUP($B318,표2[#ALL],2)/HLOOKUP($A318,표1[#ALL],row(),false)</f>
        <v>#N/A</v>
      </c>
      <c r="M318" s="372" t="str">
        <f>CS_PID!M318/VLOOKUP($B318,표2[#ALL],2)/HLOOKUP($A318,표1[#ALL],row(),false)</f>
        <v>#N/A</v>
      </c>
      <c r="N318" s="372" t="str">
        <f>CS_PID!N318/VLOOKUP($B318,표2[#ALL],2)/HLOOKUP($A318,표1[#ALL],row(),false)</f>
        <v>#N/A</v>
      </c>
      <c r="O318" s="372" t="str">
        <f>CS_PID!O318/VLOOKUP($B318,표2[#ALL],2)/HLOOKUP($A318,표1[#ALL],row(),false)</f>
        <v>#N/A</v>
      </c>
      <c r="P318" s="372" t="str">
        <f>CS_PID!P318/VLOOKUP($B318,표2[#ALL],2)/HLOOKUP($A318,표1[#ALL],row(),false)</f>
        <v>#N/A</v>
      </c>
      <c r="Q318" s="372" t="str">
        <f>CS_PID!Q318/VLOOKUP($B318,표2[#ALL],2)/HLOOKUP($A318,표1[#ALL],row(),false)</f>
        <v>#N/A</v>
      </c>
      <c r="R318" s="372" t="str">
        <f>CS_PID!R318/VLOOKUP($B318,표2[#ALL],2)/HLOOKUP($A318,표1[#ALL],row(),false)</f>
        <v>#N/A</v>
      </c>
      <c r="S318" s="372" t="str">
        <f>CS_PID!S318/VLOOKUP($B318,표2[#ALL],2)/HLOOKUP($A318,표1[#ALL],row(),false)</f>
        <v>#N/A</v>
      </c>
      <c r="T318" s="372" t="str">
        <f>CS_PID!T318/VLOOKUP($B318,표2[#ALL],2)/HLOOKUP($A318,표1[#ALL],row(),false)</f>
        <v>#N/A</v>
      </c>
      <c r="U318" s="372" t="str">
        <f>CS_PID!U318/VLOOKUP($B318,표2[#ALL],2)/HLOOKUP($A318,표1[#ALL],row(),false)</f>
        <v>#N/A</v>
      </c>
      <c r="V318" s="372" t="str">
        <f>CS_PID!V318/VLOOKUP($B318,표2[#ALL],2)/HLOOKUP($A318,표1[#ALL],row(),false)</f>
        <v>#N/A</v>
      </c>
      <c r="W318" s="372" t="str">
        <f>CS_PID!W318/VLOOKUP($B318,표2[#ALL],2)/HLOOKUP($A318,표1[#ALL],row(),false)</f>
        <v>#N/A</v>
      </c>
      <c r="X318" s="372" t="str">
        <f>CS_PID!X318/VLOOKUP($B318,표2[#ALL],2)/HLOOKUP($A318,표1[#ALL],row(),false)</f>
        <v>#N/A</v>
      </c>
      <c r="Y318" s="372" t="str">
        <f>CS_PID!Y318/VLOOKUP($B318,표2[#ALL],2)/HLOOKUP($A318,표1[#ALL],row(),false)</f>
        <v>#N/A</v>
      </c>
      <c r="Z318" s="372" t="str">
        <f>CS_PID!Z318/VLOOKUP($B318,표2[#ALL],2)/HLOOKUP($A318,표1[#ALL],row(),false)</f>
        <v>#N/A</v>
      </c>
      <c r="AA318" s="372" t="str">
        <f>CS_PID!AA318/VLOOKUP($B318,표2[#ALL],2)/HLOOKUP($A318,표1[#ALL],row(),false)</f>
        <v>#N/A</v>
      </c>
      <c r="AB318" s="372" t="str">
        <f>CS_PID!AB318/VLOOKUP($B318,표2[#ALL],2)/HLOOKUP($A318,표1[#ALL],row(),false)</f>
        <v>#N/A</v>
      </c>
      <c r="AC318" s="372" t="str">
        <f>CS_PID!AC318/VLOOKUP($B318,표2[#ALL],2)/HLOOKUP($A318,표1[#ALL],row(),false)</f>
        <v>#N/A</v>
      </c>
      <c r="AD318" s="372" t="str">
        <f>CS_PID!AD318/VLOOKUP($B318,표2[#ALL],2)/HLOOKUP($A318,표1[#ALL],row(),false)</f>
        <v>#N/A</v>
      </c>
      <c r="AE318" s="372" t="str">
        <f>CS_PID!AE318/VLOOKUP($B318,표2[#ALL],2)/HLOOKUP($A318,표1[#ALL],row(),false)</f>
        <v>#N/A</v>
      </c>
      <c r="AF318" s="372" t="str">
        <f>CS_PID!AF318/VLOOKUP($B318,표2[#ALL],2)/HLOOKUP($A318,표1[#ALL],row(),false)</f>
        <v>#N/A</v>
      </c>
      <c r="AG318" s="372" t="str">
        <f>CS_PID!AG318/VLOOKUP($B318,표2[#ALL],2)/HLOOKUP($A318,표1[#ALL],row(),false)</f>
        <v>#N/A</v>
      </c>
      <c r="AH318" s="372" t="str">
        <f>CS_PID!AH318/VLOOKUP($B318,표2[#ALL],2)/HLOOKUP($A318,표1[#ALL],row(),false)</f>
        <v>#N/A</v>
      </c>
      <c r="AI318" s="372" t="str">
        <f>CS_PID!AI318/VLOOKUP($B318,표2[#ALL],2)/HLOOKUP($A318,표1[#ALL],row(),false)</f>
        <v>#N/A</v>
      </c>
      <c r="AJ318" s="372" t="str">
        <f>CS_PID!AJ318/VLOOKUP($B318,표2[#ALL],2)/HLOOKUP($A318,표1[#ALL],row(),false)</f>
        <v>#N/A</v>
      </c>
      <c r="AK318" s="372" t="str">
        <f>CS_PID!AK318/VLOOKUP($B318,표2[#ALL],2)/HLOOKUP($A318,표1[#ALL],row(),false)</f>
        <v>#N/A</v>
      </c>
      <c r="AL318" s="372" t="str">
        <f>CS_PID!AL318/VLOOKUP($B318,표2[#ALL],2)/HLOOKUP($A318,표1[#ALL],row(),false)</f>
        <v>#N/A</v>
      </c>
      <c r="AM318" s="372" t="str">
        <f>CS_PID!AM318/VLOOKUP($B318,표2[#ALL],2)/HLOOKUP($A318,표1[#ALL],row(),false)</f>
        <v>#N/A</v>
      </c>
      <c r="AN318" s="372" t="str">
        <f>CS_PID!AN318/VLOOKUP($B318,표2[#ALL],2)/HLOOKUP($A318,표1[#ALL],row(),false)</f>
        <v>#N/A</v>
      </c>
      <c r="AO318" s="372" t="str">
        <f>CS_PID!AO318/VLOOKUP($B318,표2[#ALL],2)/HLOOKUP($A318,표1[#ALL],row(),false)</f>
        <v>#N/A</v>
      </c>
      <c r="AP318" s="372" t="str">
        <f>CS_PID!AP318/VLOOKUP($B318,표2[#ALL],2)/HLOOKUP($A318,표1[#ALL],row(),false)</f>
        <v>#N/A</v>
      </c>
      <c r="AQ318" s="372" t="str">
        <f>CS_PID!AQ318/VLOOKUP($B318,표2[#ALL],2)/HLOOKUP($A318,표1[#ALL],row(),false)</f>
        <v>#N/A</v>
      </c>
      <c r="AR318" s="372" t="str">
        <f>CS_PID!AR318/VLOOKUP($B318,표2[#ALL],2)/HLOOKUP($A318,표1[#ALL],row(),false)</f>
        <v>#N/A</v>
      </c>
      <c r="AS318" s="373" t="str">
        <f>CS_PID!AS318/VLOOKUP($B318,표2[#ALL],2)/HLOOKUP($A318,표1[#ALL],row(),false)</f>
        <v>#N/A</v>
      </c>
    </row>
    <row r="319">
      <c r="A319" s="374"/>
      <c r="B319" s="375"/>
      <c r="C319" s="376" t="str">
        <f>CS_PID!C319/VLOOKUP($B319,표2[#ALL],2)</f>
        <v>#N/A</v>
      </c>
      <c r="D319" s="376" t="str">
        <f>CS_PID!D319/VLOOKUP($B319,표2[#ALL],2)</f>
        <v>#N/A</v>
      </c>
      <c r="E319" s="376" t="str">
        <f>CS_PID!E319/VLOOKUP($B319,표2[#ALL],2)</f>
        <v>#N/A</v>
      </c>
      <c r="F319" s="376" t="str">
        <f>CS_PID!F319/VLOOKUP($B319,표2[#ALL],2)</f>
        <v>#N/A</v>
      </c>
      <c r="G319" s="376" t="str">
        <f>CS_PID!G319/VLOOKUP($B319,표2[#ALL],2)</f>
        <v>#N/A</v>
      </c>
      <c r="H319" s="376" t="str">
        <f>CS_PID!H319/VLOOKUP($B319,표2[#ALL],2)/HLOOKUP($A319,표1[#ALL],row(),false)</f>
        <v>#N/A</v>
      </c>
      <c r="I319" s="376" t="str">
        <f>CS_PID!I319/VLOOKUP($B319,표2[#ALL],2)/HLOOKUP($A319,표1[#ALL],row(),false)</f>
        <v>#N/A</v>
      </c>
      <c r="J319" s="376" t="str">
        <f>CS_PID!J319/VLOOKUP($B319,표2[#ALL],2)/HLOOKUP($A319,표1[#ALL],row(),false)</f>
        <v>#N/A</v>
      </c>
      <c r="K319" s="376" t="str">
        <f>CS_PID!K319/VLOOKUP($B319,표2[#ALL],2)/HLOOKUP($A319,표1[#ALL],row(),false)</f>
        <v>#N/A</v>
      </c>
      <c r="L319" s="376" t="str">
        <f>CS_PID!L319/VLOOKUP($B319,표2[#ALL],2)/HLOOKUP($A319,표1[#ALL],row(),false)</f>
        <v>#N/A</v>
      </c>
      <c r="M319" s="376" t="str">
        <f>CS_PID!M319/VLOOKUP($B319,표2[#ALL],2)/HLOOKUP($A319,표1[#ALL],row(),false)</f>
        <v>#N/A</v>
      </c>
      <c r="N319" s="376" t="str">
        <f>CS_PID!N319/VLOOKUP($B319,표2[#ALL],2)/HLOOKUP($A319,표1[#ALL],row(),false)</f>
        <v>#N/A</v>
      </c>
      <c r="O319" s="376" t="str">
        <f>CS_PID!O319/VLOOKUP($B319,표2[#ALL],2)/HLOOKUP($A319,표1[#ALL],row(),false)</f>
        <v>#N/A</v>
      </c>
      <c r="P319" s="376" t="str">
        <f>CS_PID!P319/VLOOKUP($B319,표2[#ALL],2)/HLOOKUP($A319,표1[#ALL],row(),false)</f>
        <v>#N/A</v>
      </c>
      <c r="Q319" s="376" t="str">
        <f>CS_PID!Q319/VLOOKUP($B319,표2[#ALL],2)/HLOOKUP($A319,표1[#ALL],row(),false)</f>
        <v>#N/A</v>
      </c>
      <c r="R319" s="376" t="str">
        <f>CS_PID!R319/VLOOKUP($B319,표2[#ALL],2)/HLOOKUP($A319,표1[#ALL],row(),false)</f>
        <v>#N/A</v>
      </c>
      <c r="S319" s="376" t="str">
        <f>CS_PID!S319/VLOOKUP($B319,표2[#ALL],2)/HLOOKUP($A319,표1[#ALL],row(),false)</f>
        <v>#N/A</v>
      </c>
      <c r="T319" s="376" t="str">
        <f>CS_PID!T319/VLOOKUP($B319,표2[#ALL],2)/HLOOKUP($A319,표1[#ALL],row(),false)</f>
        <v>#N/A</v>
      </c>
      <c r="U319" s="376" t="str">
        <f>CS_PID!U319/VLOOKUP($B319,표2[#ALL],2)/HLOOKUP($A319,표1[#ALL],row(),false)</f>
        <v>#N/A</v>
      </c>
      <c r="V319" s="376" t="str">
        <f>CS_PID!V319/VLOOKUP($B319,표2[#ALL],2)/HLOOKUP($A319,표1[#ALL],row(),false)</f>
        <v>#N/A</v>
      </c>
      <c r="W319" s="376" t="str">
        <f>CS_PID!W319/VLOOKUP($B319,표2[#ALL],2)/HLOOKUP($A319,표1[#ALL],row(),false)</f>
        <v>#N/A</v>
      </c>
      <c r="X319" s="376" t="str">
        <f>CS_PID!X319/VLOOKUP($B319,표2[#ALL],2)/HLOOKUP($A319,표1[#ALL],row(),false)</f>
        <v>#N/A</v>
      </c>
      <c r="Y319" s="376" t="str">
        <f>CS_PID!Y319/VLOOKUP($B319,표2[#ALL],2)/HLOOKUP($A319,표1[#ALL],row(),false)</f>
        <v>#N/A</v>
      </c>
      <c r="Z319" s="376" t="str">
        <f>CS_PID!Z319/VLOOKUP($B319,표2[#ALL],2)/HLOOKUP($A319,표1[#ALL],row(),false)</f>
        <v>#N/A</v>
      </c>
      <c r="AA319" s="376" t="str">
        <f>CS_PID!AA319/VLOOKUP($B319,표2[#ALL],2)/HLOOKUP($A319,표1[#ALL],row(),false)</f>
        <v>#N/A</v>
      </c>
      <c r="AB319" s="376" t="str">
        <f>CS_PID!AB319/VLOOKUP($B319,표2[#ALL],2)/HLOOKUP($A319,표1[#ALL],row(),false)</f>
        <v>#N/A</v>
      </c>
      <c r="AC319" s="376" t="str">
        <f>CS_PID!AC319/VLOOKUP($B319,표2[#ALL],2)/HLOOKUP($A319,표1[#ALL],row(),false)</f>
        <v>#N/A</v>
      </c>
      <c r="AD319" s="376" t="str">
        <f>CS_PID!AD319/VLOOKUP($B319,표2[#ALL],2)/HLOOKUP($A319,표1[#ALL],row(),false)</f>
        <v>#N/A</v>
      </c>
      <c r="AE319" s="376" t="str">
        <f>CS_PID!AE319/VLOOKUP($B319,표2[#ALL],2)/HLOOKUP($A319,표1[#ALL],row(),false)</f>
        <v>#N/A</v>
      </c>
      <c r="AF319" s="376" t="str">
        <f>CS_PID!AF319/VLOOKUP($B319,표2[#ALL],2)/HLOOKUP($A319,표1[#ALL],row(),false)</f>
        <v>#N/A</v>
      </c>
      <c r="AG319" s="376" t="str">
        <f>CS_PID!AG319/VLOOKUP($B319,표2[#ALL],2)/HLOOKUP($A319,표1[#ALL],row(),false)</f>
        <v>#N/A</v>
      </c>
      <c r="AH319" s="376" t="str">
        <f>CS_PID!AH319/VLOOKUP($B319,표2[#ALL],2)/HLOOKUP($A319,표1[#ALL],row(),false)</f>
        <v>#N/A</v>
      </c>
      <c r="AI319" s="376" t="str">
        <f>CS_PID!AI319/VLOOKUP($B319,표2[#ALL],2)/HLOOKUP($A319,표1[#ALL],row(),false)</f>
        <v>#N/A</v>
      </c>
      <c r="AJ319" s="376" t="str">
        <f>CS_PID!AJ319/VLOOKUP($B319,표2[#ALL],2)/HLOOKUP($A319,표1[#ALL],row(),false)</f>
        <v>#N/A</v>
      </c>
      <c r="AK319" s="376" t="str">
        <f>CS_PID!AK319/VLOOKUP($B319,표2[#ALL],2)/HLOOKUP($A319,표1[#ALL],row(),false)</f>
        <v>#N/A</v>
      </c>
      <c r="AL319" s="376" t="str">
        <f>CS_PID!AL319/VLOOKUP($B319,표2[#ALL],2)/HLOOKUP($A319,표1[#ALL],row(),false)</f>
        <v>#N/A</v>
      </c>
      <c r="AM319" s="376" t="str">
        <f>CS_PID!AM319/VLOOKUP($B319,표2[#ALL],2)/HLOOKUP($A319,표1[#ALL],row(),false)</f>
        <v>#N/A</v>
      </c>
      <c r="AN319" s="376" t="str">
        <f>CS_PID!AN319/VLOOKUP($B319,표2[#ALL],2)/HLOOKUP($A319,표1[#ALL],row(),false)</f>
        <v>#N/A</v>
      </c>
      <c r="AO319" s="376" t="str">
        <f>CS_PID!AO319/VLOOKUP($B319,표2[#ALL],2)/HLOOKUP($A319,표1[#ALL],row(),false)</f>
        <v>#N/A</v>
      </c>
      <c r="AP319" s="376" t="str">
        <f>CS_PID!AP319/VLOOKUP($B319,표2[#ALL],2)/HLOOKUP($A319,표1[#ALL],row(),false)</f>
        <v>#N/A</v>
      </c>
      <c r="AQ319" s="376" t="str">
        <f>CS_PID!AQ319/VLOOKUP($B319,표2[#ALL],2)/HLOOKUP($A319,표1[#ALL],row(),false)</f>
        <v>#N/A</v>
      </c>
      <c r="AR319" s="376" t="str">
        <f>CS_PID!AR319/VLOOKUP($B319,표2[#ALL],2)/HLOOKUP($A319,표1[#ALL],row(),false)</f>
        <v>#N/A</v>
      </c>
      <c r="AS319" s="377" t="str">
        <f>CS_PID!AS319/VLOOKUP($B319,표2[#ALL],2)/HLOOKUP($A319,표1[#ALL],row(),false)</f>
        <v>#N/A</v>
      </c>
    </row>
    <row r="320">
      <c r="A320" s="370"/>
      <c r="B320" s="371"/>
      <c r="C320" s="372" t="str">
        <f>CS_PID!C320/VLOOKUP($B320,표2[#ALL],2)</f>
        <v>#N/A</v>
      </c>
      <c r="D320" s="372" t="str">
        <f>CS_PID!D320/VLOOKUP($B320,표2[#ALL],2)</f>
        <v>#N/A</v>
      </c>
      <c r="E320" s="372" t="str">
        <f>CS_PID!E320/VLOOKUP($B320,표2[#ALL],2)</f>
        <v>#N/A</v>
      </c>
      <c r="F320" s="372" t="str">
        <f>CS_PID!F320/VLOOKUP($B320,표2[#ALL],2)</f>
        <v>#N/A</v>
      </c>
      <c r="G320" s="372" t="str">
        <f>CS_PID!G320/VLOOKUP($B320,표2[#ALL],2)</f>
        <v>#N/A</v>
      </c>
      <c r="H320" s="372" t="str">
        <f>CS_PID!H320/VLOOKUP($B320,표2[#ALL],2)/HLOOKUP($A320,표1[#ALL],row(),false)</f>
        <v>#N/A</v>
      </c>
      <c r="I320" s="372" t="str">
        <f>CS_PID!I320/VLOOKUP($B320,표2[#ALL],2)/HLOOKUP($A320,표1[#ALL],row(),false)</f>
        <v>#N/A</v>
      </c>
      <c r="J320" s="372" t="str">
        <f>CS_PID!J320/VLOOKUP($B320,표2[#ALL],2)/HLOOKUP($A320,표1[#ALL],row(),false)</f>
        <v>#N/A</v>
      </c>
      <c r="K320" s="372" t="str">
        <f>CS_PID!K320/VLOOKUP($B320,표2[#ALL],2)/HLOOKUP($A320,표1[#ALL],row(),false)</f>
        <v>#N/A</v>
      </c>
      <c r="L320" s="372" t="str">
        <f>CS_PID!L320/VLOOKUP($B320,표2[#ALL],2)/HLOOKUP($A320,표1[#ALL],row(),false)</f>
        <v>#N/A</v>
      </c>
      <c r="M320" s="372" t="str">
        <f>CS_PID!M320/VLOOKUP($B320,표2[#ALL],2)/HLOOKUP($A320,표1[#ALL],row(),false)</f>
        <v>#N/A</v>
      </c>
      <c r="N320" s="372" t="str">
        <f>CS_PID!N320/VLOOKUP($B320,표2[#ALL],2)/HLOOKUP($A320,표1[#ALL],row(),false)</f>
        <v>#N/A</v>
      </c>
      <c r="O320" s="372" t="str">
        <f>CS_PID!O320/VLOOKUP($B320,표2[#ALL],2)/HLOOKUP($A320,표1[#ALL],row(),false)</f>
        <v>#N/A</v>
      </c>
      <c r="P320" s="372" t="str">
        <f>CS_PID!P320/VLOOKUP($B320,표2[#ALL],2)/HLOOKUP($A320,표1[#ALL],row(),false)</f>
        <v>#N/A</v>
      </c>
      <c r="Q320" s="372" t="str">
        <f>CS_PID!Q320/VLOOKUP($B320,표2[#ALL],2)/HLOOKUP($A320,표1[#ALL],row(),false)</f>
        <v>#N/A</v>
      </c>
      <c r="R320" s="372" t="str">
        <f>CS_PID!R320/VLOOKUP($B320,표2[#ALL],2)/HLOOKUP($A320,표1[#ALL],row(),false)</f>
        <v>#N/A</v>
      </c>
      <c r="S320" s="372" t="str">
        <f>CS_PID!S320/VLOOKUP($B320,표2[#ALL],2)/HLOOKUP($A320,표1[#ALL],row(),false)</f>
        <v>#N/A</v>
      </c>
      <c r="T320" s="372" t="str">
        <f>CS_PID!T320/VLOOKUP($B320,표2[#ALL],2)/HLOOKUP($A320,표1[#ALL],row(),false)</f>
        <v>#N/A</v>
      </c>
      <c r="U320" s="372" t="str">
        <f>CS_PID!U320/VLOOKUP($B320,표2[#ALL],2)/HLOOKUP($A320,표1[#ALL],row(),false)</f>
        <v>#N/A</v>
      </c>
      <c r="V320" s="372" t="str">
        <f>CS_PID!V320/VLOOKUP($B320,표2[#ALL],2)/HLOOKUP($A320,표1[#ALL],row(),false)</f>
        <v>#N/A</v>
      </c>
      <c r="W320" s="372" t="str">
        <f>CS_PID!W320/VLOOKUP($B320,표2[#ALL],2)/HLOOKUP($A320,표1[#ALL],row(),false)</f>
        <v>#N/A</v>
      </c>
      <c r="X320" s="372" t="str">
        <f>CS_PID!X320/VLOOKUP($B320,표2[#ALL],2)/HLOOKUP($A320,표1[#ALL],row(),false)</f>
        <v>#N/A</v>
      </c>
      <c r="Y320" s="372" t="str">
        <f>CS_PID!Y320/VLOOKUP($B320,표2[#ALL],2)/HLOOKUP($A320,표1[#ALL],row(),false)</f>
        <v>#N/A</v>
      </c>
      <c r="Z320" s="372" t="str">
        <f>CS_PID!Z320/VLOOKUP($B320,표2[#ALL],2)/HLOOKUP($A320,표1[#ALL],row(),false)</f>
        <v>#N/A</v>
      </c>
      <c r="AA320" s="372" t="str">
        <f>CS_PID!AA320/VLOOKUP($B320,표2[#ALL],2)/HLOOKUP($A320,표1[#ALL],row(),false)</f>
        <v>#N/A</v>
      </c>
      <c r="AB320" s="372" t="str">
        <f>CS_PID!AB320/VLOOKUP($B320,표2[#ALL],2)/HLOOKUP($A320,표1[#ALL],row(),false)</f>
        <v>#N/A</v>
      </c>
      <c r="AC320" s="372" t="str">
        <f>CS_PID!AC320/VLOOKUP($B320,표2[#ALL],2)/HLOOKUP($A320,표1[#ALL],row(),false)</f>
        <v>#N/A</v>
      </c>
      <c r="AD320" s="372" t="str">
        <f>CS_PID!AD320/VLOOKUP($B320,표2[#ALL],2)/HLOOKUP($A320,표1[#ALL],row(),false)</f>
        <v>#N/A</v>
      </c>
      <c r="AE320" s="372" t="str">
        <f>CS_PID!AE320/VLOOKUP($B320,표2[#ALL],2)/HLOOKUP($A320,표1[#ALL],row(),false)</f>
        <v>#N/A</v>
      </c>
      <c r="AF320" s="372" t="str">
        <f>CS_PID!AF320/VLOOKUP($B320,표2[#ALL],2)/HLOOKUP($A320,표1[#ALL],row(),false)</f>
        <v>#N/A</v>
      </c>
      <c r="AG320" s="372" t="str">
        <f>CS_PID!AG320/VLOOKUP($B320,표2[#ALL],2)/HLOOKUP($A320,표1[#ALL],row(),false)</f>
        <v>#N/A</v>
      </c>
      <c r="AH320" s="372" t="str">
        <f>CS_PID!AH320/VLOOKUP($B320,표2[#ALL],2)/HLOOKUP($A320,표1[#ALL],row(),false)</f>
        <v>#N/A</v>
      </c>
      <c r="AI320" s="372" t="str">
        <f>CS_PID!AI320/VLOOKUP($B320,표2[#ALL],2)/HLOOKUP($A320,표1[#ALL],row(),false)</f>
        <v>#N/A</v>
      </c>
      <c r="AJ320" s="372" t="str">
        <f>CS_PID!AJ320/VLOOKUP($B320,표2[#ALL],2)/HLOOKUP($A320,표1[#ALL],row(),false)</f>
        <v>#N/A</v>
      </c>
      <c r="AK320" s="372" t="str">
        <f>CS_PID!AK320/VLOOKUP($B320,표2[#ALL],2)/HLOOKUP($A320,표1[#ALL],row(),false)</f>
        <v>#N/A</v>
      </c>
      <c r="AL320" s="372" t="str">
        <f>CS_PID!AL320/VLOOKUP($B320,표2[#ALL],2)/HLOOKUP($A320,표1[#ALL],row(),false)</f>
        <v>#N/A</v>
      </c>
      <c r="AM320" s="372" t="str">
        <f>CS_PID!AM320/VLOOKUP($B320,표2[#ALL],2)/HLOOKUP($A320,표1[#ALL],row(),false)</f>
        <v>#N/A</v>
      </c>
      <c r="AN320" s="372" t="str">
        <f>CS_PID!AN320/VLOOKUP($B320,표2[#ALL],2)/HLOOKUP($A320,표1[#ALL],row(),false)</f>
        <v>#N/A</v>
      </c>
      <c r="AO320" s="372" t="str">
        <f>CS_PID!AO320/VLOOKUP($B320,표2[#ALL],2)/HLOOKUP($A320,표1[#ALL],row(),false)</f>
        <v>#N/A</v>
      </c>
      <c r="AP320" s="372" t="str">
        <f>CS_PID!AP320/VLOOKUP($B320,표2[#ALL],2)/HLOOKUP($A320,표1[#ALL],row(),false)</f>
        <v>#N/A</v>
      </c>
      <c r="AQ320" s="372" t="str">
        <f>CS_PID!AQ320/VLOOKUP($B320,표2[#ALL],2)/HLOOKUP($A320,표1[#ALL],row(),false)</f>
        <v>#N/A</v>
      </c>
      <c r="AR320" s="372" t="str">
        <f>CS_PID!AR320/VLOOKUP($B320,표2[#ALL],2)/HLOOKUP($A320,표1[#ALL],row(),false)</f>
        <v>#N/A</v>
      </c>
      <c r="AS320" s="373" t="str">
        <f>CS_PID!AS320/VLOOKUP($B320,표2[#ALL],2)/HLOOKUP($A320,표1[#ALL],row(),false)</f>
        <v>#N/A</v>
      </c>
    </row>
    <row r="321">
      <c r="A321" s="374"/>
      <c r="B321" s="375"/>
      <c r="C321" s="376" t="str">
        <f>CS_PID!C321/VLOOKUP($B321,표2[#ALL],2)</f>
        <v>#N/A</v>
      </c>
      <c r="D321" s="376" t="str">
        <f>CS_PID!D321/VLOOKUP($B321,표2[#ALL],2)</f>
        <v>#N/A</v>
      </c>
      <c r="E321" s="376" t="str">
        <f>CS_PID!E321/VLOOKUP($B321,표2[#ALL],2)</f>
        <v>#N/A</v>
      </c>
      <c r="F321" s="376" t="str">
        <f>CS_PID!F321/VLOOKUP($B321,표2[#ALL],2)</f>
        <v>#N/A</v>
      </c>
      <c r="G321" s="376" t="str">
        <f>CS_PID!G321/VLOOKUP($B321,표2[#ALL],2)</f>
        <v>#N/A</v>
      </c>
      <c r="H321" s="376" t="str">
        <f>CS_PID!H321/VLOOKUP($B321,표2[#ALL],2)/HLOOKUP($A321,표1[#ALL],row(),false)</f>
        <v>#N/A</v>
      </c>
      <c r="I321" s="376" t="str">
        <f>CS_PID!I321/VLOOKUP($B321,표2[#ALL],2)/HLOOKUP($A321,표1[#ALL],row(),false)</f>
        <v>#N/A</v>
      </c>
      <c r="J321" s="376" t="str">
        <f>CS_PID!J321/VLOOKUP($B321,표2[#ALL],2)/HLOOKUP($A321,표1[#ALL],row(),false)</f>
        <v>#N/A</v>
      </c>
      <c r="K321" s="376" t="str">
        <f>CS_PID!K321/VLOOKUP($B321,표2[#ALL],2)/HLOOKUP($A321,표1[#ALL],row(),false)</f>
        <v>#N/A</v>
      </c>
      <c r="L321" s="376" t="str">
        <f>CS_PID!L321/VLOOKUP($B321,표2[#ALL],2)/HLOOKUP($A321,표1[#ALL],row(),false)</f>
        <v>#N/A</v>
      </c>
      <c r="M321" s="376" t="str">
        <f>CS_PID!M321/VLOOKUP($B321,표2[#ALL],2)/HLOOKUP($A321,표1[#ALL],row(),false)</f>
        <v>#N/A</v>
      </c>
      <c r="N321" s="376" t="str">
        <f>CS_PID!N321/VLOOKUP($B321,표2[#ALL],2)/HLOOKUP($A321,표1[#ALL],row(),false)</f>
        <v>#N/A</v>
      </c>
      <c r="O321" s="376" t="str">
        <f>CS_PID!O321/VLOOKUP($B321,표2[#ALL],2)/HLOOKUP($A321,표1[#ALL],row(),false)</f>
        <v>#N/A</v>
      </c>
      <c r="P321" s="376" t="str">
        <f>CS_PID!P321/VLOOKUP($B321,표2[#ALL],2)/HLOOKUP($A321,표1[#ALL],row(),false)</f>
        <v>#N/A</v>
      </c>
      <c r="Q321" s="376" t="str">
        <f>CS_PID!Q321/VLOOKUP($B321,표2[#ALL],2)/HLOOKUP($A321,표1[#ALL],row(),false)</f>
        <v>#N/A</v>
      </c>
      <c r="R321" s="376" t="str">
        <f>CS_PID!R321/VLOOKUP($B321,표2[#ALL],2)/HLOOKUP($A321,표1[#ALL],row(),false)</f>
        <v>#N/A</v>
      </c>
      <c r="S321" s="376" t="str">
        <f>CS_PID!S321/VLOOKUP($B321,표2[#ALL],2)/HLOOKUP($A321,표1[#ALL],row(),false)</f>
        <v>#N/A</v>
      </c>
      <c r="T321" s="376" t="str">
        <f>CS_PID!T321/VLOOKUP($B321,표2[#ALL],2)/HLOOKUP($A321,표1[#ALL],row(),false)</f>
        <v>#N/A</v>
      </c>
      <c r="U321" s="376" t="str">
        <f>CS_PID!U321/VLOOKUP($B321,표2[#ALL],2)/HLOOKUP($A321,표1[#ALL],row(),false)</f>
        <v>#N/A</v>
      </c>
      <c r="V321" s="376" t="str">
        <f>CS_PID!V321/VLOOKUP($B321,표2[#ALL],2)/HLOOKUP($A321,표1[#ALL],row(),false)</f>
        <v>#N/A</v>
      </c>
      <c r="W321" s="376" t="str">
        <f>CS_PID!W321/VLOOKUP($B321,표2[#ALL],2)/HLOOKUP($A321,표1[#ALL],row(),false)</f>
        <v>#N/A</v>
      </c>
      <c r="X321" s="376" t="str">
        <f>CS_PID!X321/VLOOKUP($B321,표2[#ALL],2)/HLOOKUP($A321,표1[#ALL],row(),false)</f>
        <v>#N/A</v>
      </c>
      <c r="Y321" s="376" t="str">
        <f>CS_PID!Y321/VLOOKUP($B321,표2[#ALL],2)/HLOOKUP($A321,표1[#ALL],row(),false)</f>
        <v>#N/A</v>
      </c>
      <c r="Z321" s="376" t="str">
        <f>CS_PID!Z321/VLOOKUP($B321,표2[#ALL],2)/HLOOKUP($A321,표1[#ALL],row(),false)</f>
        <v>#N/A</v>
      </c>
      <c r="AA321" s="376" t="str">
        <f>CS_PID!AA321/VLOOKUP($B321,표2[#ALL],2)/HLOOKUP($A321,표1[#ALL],row(),false)</f>
        <v>#N/A</v>
      </c>
      <c r="AB321" s="376" t="str">
        <f>CS_PID!AB321/VLOOKUP($B321,표2[#ALL],2)/HLOOKUP($A321,표1[#ALL],row(),false)</f>
        <v>#N/A</v>
      </c>
      <c r="AC321" s="376" t="str">
        <f>CS_PID!AC321/VLOOKUP($B321,표2[#ALL],2)/HLOOKUP($A321,표1[#ALL],row(),false)</f>
        <v>#N/A</v>
      </c>
      <c r="AD321" s="376" t="str">
        <f>CS_PID!AD321/VLOOKUP($B321,표2[#ALL],2)/HLOOKUP($A321,표1[#ALL],row(),false)</f>
        <v>#N/A</v>
      </c>
      <c r="AE321" s="376" t="str">
        <f>CS_PID!AE321/VLOOKUP($B321,표2[#ALL],2)/HLOOKUP($A321,표1[#ALL],row(),false)</f>
        <v>#N/A</v>
      </c>
      <c r="AF321" s="376" t="str">
        <f>CS_PID!AF321/VLOOKUP($B321,표2[#ALL],2)/HLOOKUP($A321,표1[#ALL],row(),false)</f>
        <v>#N/A</v>
      </c>
      <c r="AG321" s="376" t="str">
        <f>CS_PID!AG321/VLOOKUP($B321,표2[#ALL],2)/HLOOKUP($A321,표1[#ALL],row(),false)</f>
        <v>#N/A</v>
      </c>
      <c r="AH321" s="376" t="str">
        <f>CS_PID!AH321/VLOOKUP($B321,표2[#ALL],2)/HLOOKUP($A321,표1[#ALL],row(),false)</f>
        <v>#N/A</v>
      </c>
      <c r="AI321" s="376" t="str">
        <f>CS_PID!AI321/VLOOKUP($B321,표2[#ALL],2)/HLOOKUP($A321,표1[#ALL],row(),false)</f>
        <v>#N/A</v>
      </c>
      <c r="AJ321" s="376" t="str">
        <f>CS_PID!AJ321/VLOOKUP($B321,표2[#ALL],2)/HLOOKUP($A321,표1[#ALL],row(),false)</f>
        <v>#N/A</v>
      </c>
      <c r="AK321" s="376" t="str">
        <f>CS_PID!AK321/VLOOKUP($B321,표2[#ALL],2)/HLOOKUP($A321,표1[#ALL],row(),false)</f>
        <v>#N/A</v>
      </c>
      <c r="AL321" s="376" t="str">
        <f>CS_PID!AL321/VLOOKUP($B321,표2[#ALL],2)/HLOOKUP($A321,표1[#ALL],row(),false)</f>
        <v>#N/A</v>
      </c>
      <c r="AM321" s="376" t="str">
        <f>CS_PID!AM321/VLOOKUP($B321,표2[#ALL],2)/HLOOKUP($A321,표1[#ALL],row(),false)</f>
        <v>#N/A</v>
      </c>
      <c r="AN321" s="376" t="str">
        <f>CS_PID!AN321/VLOOKUP($B321,표2[#ALL],2)/HLOOKUP($A321,표1[#ALL],row(),false)</f>
        <v>#N/A</v>
      </c>
      <c r="AO321" s="376" t="str">
        <f>CS_PID!AO321/VLOOKUP($B321,표2[#ALL],2)/HLOOKUP($A321,표1[#ALL],row(),false)</f>
        <v>#N/A</v>
      </c>
      <c r="AP321" s="376" t="str">
        <f>CS_PID!AP321/VLOOKUP($B321,표2[#ALL],2)/HLOOKUP($A321,표1[#ALL],row(),false)</f>
        <v>#N/A</v>
      </c>
      <c r="AQ321" s="376" t="str">
        <f>CS_PID!AQ321/VLOOKUP($B321,표2[#ALL],2)/HLOOKUP($A321,표1[#ALL],row(),false)</f>
        <v>#N/A</v>
      </c>
      <c r="AR321" s="376" t="str">
        <f>CS_PID!AR321/VLOOKUP($B321,표2[#ALL],2)/HLOOKUP($A321,표1[#ALL],row(),false)</f>
        <v>#N/A</v>
      </c>
      <c r="AS321" s="377" t="str">
        <f>CS_PID!AS321/VLOOKUP($B321,표2[#ALL],2)/HLOOKUP($A321,표1[#ALL],row(),false)</f>
        <v>#N/A</v>
      </c>
    </row>
    <row r="322">
      <c r="A322" s="370"/>
      <c r="B322" s="371"/>
      <c r="C322" s="372" t="str">
        <f>CS_PID!C322/VLOOKUP($B322,표2[#ALL],2)</f>
        <v>#N/A</v>
      </c>
      <c r="D322" s="372" t="str">
        <f>CS_PID!D322/VLOOKUP($B322,표2[#ALL],2)</f>
        <v>#N/A</v>
      </c>
      <c r="E322" s="372" t="str">
        <f>CS_PID!E322/VLOOKUP($B322,표2[#ALL],2)</f>
        <v>#N/A</v>
      </c>
      <c r="F322" s="372" t="str">
        <f>CS_PID!F322/VLOOKUP($B322,표2[#ALL],2)</f>
        <v>#N/A</v>
      </c>
      <c r="G322" s="372" t="str">
        <f>CS_PID!G322/VLOOKUP($B322,표2[#ALL],2)</f>
        <v>#N/A</v>
      </c>
      <c r="H322" s="372" t="str">
        <f>CS_PID!H322/VLOOKUP($B322,표2[#ALL],2)/HLOOKUP($A322,표1[#ALL],row(),false)</f>
        <v>#N/A</v>
      </c>
      <c r="I322" s="372" t="str">
        <f>CS_PID!I322/VLOOKUP($B322,표2[#ALL],2)/HLOOKUP($A322,표1[#ALL],row(),false)</f>
        <v>#N/A</v>
      </c>
      <c r="J322" s="372" t="str">
        <f>CS_PID!J322/VLOOKUP($B322,표2[#ALL],2)/HLOOKUP($A322,표1[#ALL],row(),false)</f>
        <v>#N/A</v>
      </c>
      <c r="K322" s="372" t="str">
        <f>CS_PID!K322/VLOOKUP($B322,표2[#ALL],2)/HLOOKUP($A322,표1[#ALL],row(),false)</f>
        <v>#N/A</v>
      </c>
      <c r="L322" s="372" t="str">
        <f>CS_PID!L322/VLOOKUP($B322,표2[#ALL],2)/HLOOKUP($A322,표1[#ALL],row(),false)</f>
        <v>#N/A</v>
      </c>
      <c r="M322" s="372" t="str">
        <f>CS_PID!M322/VLOOKUP($B322,표2[#ALL],2)/HLOOKUP($A322,표1[#ALL],row(),false)</f>
        <v>#N/A</v>
      </c>
      <c r="N322" s="372" t="str">
        <f>CS_PID!N322/VLOOKUP($B322,표2[#ALL],2)/HLOOKUP($A322,표1[#ALL],row(),false)</f>
        <v>#N/A</v>
      </c>
      <c r="O322" s="372" t="str">
        <f>CS_PID!O322/VLOOKUP($B322,표2[#ALL],2)/HLOOKUP($A322,표1[#ALL],row(),false)</f>
        <v>#N/A</v>
      </c>
      <c r="P322" s="372" t="str">
        <f>CS_PID!P322/VLOOKUP($B322,표2[#ALL],2)/HLOOKUP($A322,표1[#ALL],row(),false)</f>
        <v>#N/A</v>
      </c>
      <c r="Q322" s="372" t="str">
        <f>CS_PID!Q322/VLOOKUP($B322,표2[#ALL],2)/HLOOKUP($A322,표1[#ALL],row(),false)</f>
        <v>#N/A</v>
      </c>
      <c r="R322" s="372" t="str">
        <f>CS_PID!R322/VLOOKUP($B322,표2[#ALL],2)/HLOOKUP($A322,표1[#ALL],row(),false)</f>
        <v>#N/A</v>
      </c>
      <c r="S322" s="372" t="str">
        <f>CS_PID!S322/VLOOKUP($B322,표2[#ALL],2)/HLOOKUP($A322,표1[#ALL],row(),false)</f>
        <v>#N/A</v>
      </c>
      <c r="T322" s="372" t="str">
        <f>CS_PID!T322/VLOOKUP($B322,표2[#ALL],2)/HLOOKUP($A322,표1[#ALL],row(),false)</f>
        <v>#N/A</v>
      </c>
      <c r="U322" s="372" t="str">
        <f>CS_PID!U322/VLOOKUP($B322,표2[#ALL],2)/HLOOKUP($A322,표1[#ALL],row(),false)</f>
        <v>#N/A</v>
      </c>
      <c r="V322" s="372" t="str">
        <f>CS_PID!V322/VLOOKUP($B322,표2[#ALL],2)/HLOOKUP($A322,표1[#ALL],row(),false)</f>
        <v>#N/A</v>
      </c>
      <c r="W322" s="372" t="str">
        <f>CS_PID!W322/VLOOKUP($B322,표2[#ALL],2)/HLOOKUP($A322,표1[#ALL],row(),false)</f>
        <v>#N/A</v>
      </c>
      <c r="X322" s="372" t="str">
        <f>CS_PID!X322/VLOOKUP($B322,표2[#ALL],2)/HLOOKUP($A322,표1[#ALL],row(),false)</f>
        <v>#N/A</v>
      </c>
      <c r="Y322" s="372" t="str">
        <f>CS_PID!Y322/VLOOKUP($B322,표2[#ALL],2)/HLOOKUP($A322,표1[#ALL],row(),false)</f>
        <v>#N/A</v>
      </c>
      <c r="Z322" s="372" t="str">
        <f>CS_PID!Z322/VLOOKUP($B322,표2[#ALL],2)/HLOOKUP($A322,표1[#ALL],row(),false)</f>
        <v>#N/A</v>
      </c>
      <c r="AA322" s="372" t="str">
        <f>CS_PID!AA322/VLOOKUP($B322,표2[#ALL],2)/HLOOKUP($A322,표1[#ALL],row(),false)</f>
        <v>#N/A</v>
      </c>
      <c r="AB322" s="372" t="str">
        <f>CS_PID!AB322/VLOOKUP($B322,표2[#ALL],2)/HLOOKUP($A322,표1[#ALL],row(),false)</f>
        <v>#N/A</v>
      </c>
      <c r="AC322" s="372" t="str">
        <f>CS_PID!AC322/VLOOKUP($B322,표2[#ALL],2)/HLOOKUP($A322,표1[#ALL],row(),false)</f>
        <v>#N/A</v>
      </c>
      <c r="AD322" s="372" t="str">
        <f>CS_PID!AD322/VLOOKUP($B322,표2[#ALL],2)/HLOOKUP($A322,표1[#ALL],row(),false)</f>
        <v>#N/A</v>
      </c>
      <c r="AE322" s="372" t="str">
        <f>CS_PID!AE322/VLOOKUP($B322,표2[#ALL],2)/HLOOKUP($A322,표1[#ALL],row(),false)</f>
        <v>#N/A</v>
      </c>
      <c r="AF322" s="372" t="str">
        <f>CS_PID!AF322/VLOOKUP($B322,표2[#ALL],2)/HLOOKUP($A322,표1[#ALL],row(),false)</f>
        <v>#N/A</v>
      </c>
      <c r="AG322" s="372" t="str">
        <f>CS_PID!AG322/VLOOKUP($B322,표2[#ALL],2)/HLOOKUP($A322,표1[#ALL],row(),false)</f>
        <v>#N/A</v>
      </c>
      <c r="AH322" s="372" t="str">
        <f>CS_PID!AH322/VLOOKUP($B322,표2[#ALL],2)/HLOOKUP($A322,표1[#ALL],row(),false)</f>
        <v>#N/A</v>
      </c>
      <c r="AI322" s="372" t="str">
        <f>CS_PID!AI322/VLOOKUP($B322,표2[#ALL],2)/HLOOKUP($A322,표1[#ALL],row(),false)</f>
        <v>#N/A</v>
      </c>
      <c r="AJ322" s="372" t="str">
        <f>CS_PID!AJ322/VLOOKUP($B322,표2[#ALL],2)/HLOOKUP($A322,표1[#ALL],row(),false)</f>
        <v>#N/A</v>
      </c>
      <c r="AK322" s="372" t="str">
        <f>CS_PID!AK322/VLOOKUP($B322,표2[#ALL],2)/HLOOKUP($A322,표1[#ALL],row(),false)</f>
        <v>#N/A</v>
      </c>
      <c r="AL322" s="372" t="str">
        <f>CS_PID!AL322/VLOOKUP($B322,표2[#ALL],2)/HLOOKUP($A322,표1[#ALL],row(),false)</f>
        <v>#N/A</v>
      </c>
      <c r="AM322" s="372" t="str">
        <f>CS_PID!AM322/VLOOKUP($B322,표2[#ALL],2)/HLOOKUP($A322,표1[#ALL],row(),false)</f>
        <v>#N/A</v>
      </c>
      <c r="AN322" s="372" t="str">
        <f>CS_PID!AN322/VLOOKUP($B322,표2[#ALL],2)/HLOOKUP($A322,표1[#ALL],row(),false)</f>
        <v>#N/A</v>
      </c>
      <c r="AO322" s="372" t="str">
        <f>CS_PID!AO322/VLOOKUP($B322,표2[#ALL],2)/HLOOKUP($A322,표1[#ALL],row(),false)</f>
        <v>#N/A</v>
      </c>
      <c r="AP322" s="372" t="str">
        <f>CS_PID!AP322/VLOOKUP($B322,표2[#ALL],2)/HLOOKUP($A322,표1[#ALL],row(),false)</f>
        <v>#N/A</v>
      </c>
      <c r="AQ322" s="372" t="str">
        <f>CS_PID!AQ322/VLOOKUP($B322,표2[#ALL],2)/HLOOKUP($A322,표1[#ALL],row(),false)</f>
        <v>#N/A</v>
      </c>
      <c r="AR322" s="372" t="str">
        <f>CS_PID!AR322/VLOOKUP($B322,표2[#ALL],2)/HLOOKUP($A322,표1[#ALL],row(),false)</f>
        <v>#N/A</v>
      </c>
      <c r="AS322" s="373" t="str">
        <f>CS_PID!AS322/VLOOKUP($B322,표2[#ALL],2)/HLOOKUP($A322,표1[#ALL],row(),false)</f>
        <v>#N/A</v>
      </c>
    </row>
    <row r="323">
      <c r="A323" s="374"/>
      <c r="B323" s="375"/>
      <c r="C323" s="376" t="str">
        <f>CS_PID!C323/VLOOKUP($B323,표2[#ALL],2)</f>
        <v>#N/A</v>
      </c>
      <c r="D323" s="376" t="str">
        <f>CS_PID!D323/VLOOKUP($B323,표2[#ALL],2)</f>
        <v>#N/A</v>
      </c>
      <c r="E323" s="376" t="str">
        <f>CS_PID!E323/VLOOKUP($B323,표2[#ALL],2)</f>
        <v>#N/A</v>
      </c>
      <c r="F323" s="376" t="str">
        <f>CS_PID!F323/VLOOKUP($B323,표2[#ALL],2)</f>
        <v>#N/A</v>
      </c>
      <c r="G323" s="376" t="str">
        <f>CS_PID!G323/VLOOKUP($B323,표2[#ALL],2)</f>
        <v>#N/A</v>
      </c>
      <c r="H323" s="376" t="str">
        <f>CS_PID!H323/VLOOKUP($B323,표2[#ALL],2)/HLOOKUP($A323,표1[#ALL],row(),false)</f>
        <v>#N/A</v>
      </c>
      <c r="I323" s="376" t="str">
        <f>CS_PID!I323/VLOOKUP($B323,표2[#ALL],2)/HLOOKUP($A323,표1[#ALL],row(),false)</f>
        <v>#N/A</v>
      </c>
      <c r="J323" s="376" t="str">
        <f>CS_PID!J323/VLOOKUP($B323,표2[#ALL],2)/HLOOKUP($A323,표1[#ALL],row(),false)</f>
        <v>#N/A</v>
      </c>
      <c r="K323" s="376" t="str">
        <f>CS_PID!K323/VLOOKUP($B323,표2[#ALL],2)/HLOOKUP($A323,표1[#ALL],row(),false)</f>
        <v>#N/A</v>
      </c>
      <c r="L323" s="376" t="str">
        <f>CS_PID!L323/VLOOKUP($B323,표2[#ALL],2)/HLOOKUP($A323,표1[#ALL],row(),false)</f>
        <v>#N/A</v>
      </c>
      <c r="M323" s="376" t="str">
        <f>CS_PID!M323/VLOOKUP($B323,표2[#ALL],2)/HLOOKUP($A323,표1[#ALL],row(),false)</f>
        <v>#N/A</v>
      </c>
      <c r="N323" s="376" t="str">
        <f>CS_PID!N323/VLOOKUP($B323,표2[#ALL],2)/HLOOKUP($A323,표1[#ALL],row(),false)</f>
        <v>#N/A</v>
      </c>
      <c r="O323" s="376" t="str">
        <f>CS_PID!O323/VLOOKUP($B323,표2[#ALL],2)/HLOOKUP($A323,표1[#ALL],row(),false)</f>
        <v>#N/A</v>
      </c>
      <c r="P323" s="376" t="str">
        <f>CS_PID!P323/VLOOKUP($B323,표2[#ALL],2)/HLOOKUP($A323,표1[#ALL],row(),false)</f>
        <v>#N/A</v>
      </c>
      <c r="Q323" s="376" t="str">
        <f>CS_PID!Q323/VLOOKUP($B323,표2[#ALL],2)/HLOOKUP($A323,표1[#ALL],row(),false)</f>
        <v>#N/A</v>
      </c>
      <c r="R323" s="376" t="str">
        <f>CS_PID!R323/VLOOKUP($B323,표2[#ALL],2)/HLOOKUP($A323,표1[#ALL],row(),false)</f>
        <v>#N/A</v>
      </c>
      <c r="S323" s="376" t="str">
        <f>CS_PID!S323/VLOOKUP($B323,표2[#ALL],2)/HLOOKUP($A323,표1[#ALL],row(),false)</f>
        <v>#N/A</v>
      </c>
      <c r="T323" s="376" t="str">
        <f>CS_PID!T323/VLOOKUP($B323,표2[#ALL],2)/HLOOKUP($A323,표1[#ALL],row(),false)</f>
        <v>#N/A</v>
      </c>
      <c r="U323" s="376" t="str">
        <f>CS_PID!U323/VLOOKUP($B323,표2[#ALL],2)/HLOOKUP($A323,표1[#ALL],row(),false)</f>
        <v>#N/A</v>
      </c>
      <c r="V323" s="376" t="str">
        <f>CS_PID!V323/VLOOKUP($B323,표2[#ALL],2)/HLOOKUP($A323,표1[#ALL],row(),false)</f>
        <v>#N/A</v>
      </c>
      <c r="W323" s="376" t="str">
        <f>CS_PID!W323/VLOOKUP($B323,표2[#ALL],2)/HLOOKUP($A323,표1[#ALL],row(),false)</f>
        <v>#N/A</v>
      </c>
      <c r="X323" s="376" t="str">
        <f>CS_PID!X323/VLOOKUP($B323,표2[#ALL],2)/HLOOKUP($A323,표1[#ALL],row(),false)</f>
        <v>#N/A</v>
      </c>
      <c r="Y323" s="376" t="str">
        <f>CS_PID!Y323/VLOOKUP($B323,표2[#ALL],2)/HLOOKUP($A323,표1[#ALL],row(),false)</f>
        <v>#N/A</v>
      </c>
      <c r="Z323" s="376" t="str">
        <f>CS_PID!Z323/VLOOKUP($B323,표2[#ALL],2)/HLOOKUP($A323,표1[#ALL],row(),false)</f>
        <v>#N/A</v>
      </c>
      <c r="AA323" s="376" t="str">
        <f>CS_PID!AA323/VLOOKUP($B323,표2[#ALL],2)/HLOOKUP($A323,표1[#ALL],row(),false)</f>
        <v>#N/A</v>
      </c>
      <c r="AB323" s="376" t="str">
        <f>CS_PID!AB323/VLOOKUP($B323,표2[#ALL],2)/HLOOKUP($A323,표1[#ALL],row(),false)</f>
        <v>#N/A</v>
      </c>
      <c r="AC323" s="376" t="str">
        <f>CS_PID!AC323/VLOOKUP($B323,표2[#ALL],2)/HLOOKUP($A323,표1[#ALL],row(),false)</f>
        <v>#N/A</v>
      </c>
      <c r="AD323" s="376" t="str">
        <f>CS_PID!AD323/VLOOKUP($B323,표2[#ALL],2)/HLOOKUP($A323,표1[#ALL],row(),false)</f>
        <v>#N/A</v>
      </c>
      <c r="AE323" s="376" t="str">
        <f>CS_PID!AE323/VLOOKUP($B323,표2[#ALL],2)/HLOOKUP($A323,표1[#ALL],row(),false)</f>
        <v>#N/A</v>
      </c>
      <c r="AF323" s="376" t="str">
        <f>CS_PID!AF323/VLOOKUP($B323,표2[#ALL],2)/HLOOKUP($A323,표1[#ALL],row(),false)</f>
        <v>#N/A</v>
      </c>
      <c r="AG323" s="376" t="str">
        <f>CS_PID!AG323/VLOOKUP($B323,표2[#ALL],2)/HLOOKUP($A323,표1[#ALL],row(),false)</f>
        <v>#N/A</v>
      </c>
      <c r="AH323" s="376" t="str">
        <f>CS_PID!AH323/VLOOKUP($B323,표2[#ALL],2)/HLOOKUP($A323,표1[#ALL],row(),false)</f>
        <v>#N/A</v>
      </c>
      <c r="AI323" s="376" t="str">
        <f>CS_PID!AI323/VLOOKUP($B323,표2[#ALL],2)/HLOOKUP($A323,표1[#ALL],row(),false)</f>
        <v>#N/A</v>
      </c>
      <c r="AJ323" s="376" t="str">
        <f>CS_PID!AJ323/VLOOKUP($B323,표2[#ALL],2)/HLOOKUP($A323,표1[#ALL],row(),false)</f>
        <v>#N/A</v>
      </c>
      <c r="AK323" s="376" t="str">
        <f>CS_PID!AK323/VLOOKUP($B323,표2[#ALL],2)/HLOOKUP($A323,표1[#ALL],row(),false)</f>
        <v>#N/A</v>
      </c>
      <c r="AL323" s="376" t="str">
        <f>CS_PID!AL323/VLOOKUP($B323,표2[#ALL],2)/HLOOKUP($A323,표1[#ALL],row(),false)</f>
        <v>#N/A</v>
      </c>
      <c r="AM323" s="376" t="str">
        <f>CS_PID!AM323/VLOOKUP($B323,표2[#ALL],2)/HLOOKUP($A323,표1[#ALL],row(),false)</f>
        <v>#N/A</v>
      </c>
      <c r="AN323" s="376" t="str">
        <f>CS_PID!AN323/VLOOKUP($B323,표2[#ALL],2)/HLOOKUP($A323,표1[#ALL],row(),false)</f>
        <v>#N/A</v>
      </c>
      <c r="AO323" s="376" t="str">
        <f>CS_PID!AO323/VLOOKUP($B323,표2[#ALL],2)/HLOOKUP($A323,표1[#ALL],row(),false)</f>
        <v>#N/A</v>
      </c>
      <c r="AP323" s="376" t="str">
        <f>CS_PID!AP323/VLOOKUP($B323,표2[#ALL],2)/HLOOKUP($A323,표1[#ALL],row(),false)</f>
        <v>#N/A</v>
      </c>
      <c r="AQ323" s="376" t="str">
        <f>CS_PID!AQ323/VLOOKUP($B323,표2[#ALL],2)/HLOOKUP($A323,표1[#ALL],row(),false)</f>
        <v>#N/A</v>
      </c>
      <c r="AR323" s="376" t="str">
        <f>CS_PID!AR323/VLOOKUP($B323,표2[#ALL],2)/HLOOKUP($A323,표1[#ALL],row(),false)</f>
        <v>#N/A</v>
      </c>
      <c r="AS323" s="377" t="str">
        <f>CS_PID!AS323/VLOOKUP($B323,표2[#ALL],2)/HLOOKUP($A323,표1[#ALL],row(),false)</f>
        <v>#N/A</v>
      </c>
    </row>
    <row r="324">
      <c r="A324" s="370"/>
      <c r="B324" s="371"/>
      <c r="C324" s="372" t="str">
        <f>CS_PID!C324/VLOOKUP($B324,표2[#ALL],2)</f>
        <v>#N/A</v>
      </c>
      <c r="D324" s="372" t="str">
        <f>CS_PID!D324/VLOOKUP($B324,표2[#ALL],2)</f>
        <v>#N/A</v>
      </c>
      <c r="E324" s="372" t="str">
        <f>CS_PID!E324/VLOOKUP($B324,표2[#ALL],2)</f>
        <v>#N/A</v>
      </c>
      <c r="F324" s="372" t="str">
        <f>CS_PID!F324/VLOOKUP($B324,표2[#ALL],2)</f>
        <v>#N/A</v>
      </c>
      <c r="G324" s="372" t="str">
        <f>CS_PID!G324/VLOOKUP($B324,표2[#ALL],2)</f>
        <v>#N/A</v>
      </c>
      <c r="H324" s="372" t="str">
        <f>CS_PID!H324/VLOOKUP($B324,표2[#ALL],2)/HLOOKUP($A324,표1[#ALL],row(),false)</f>
        <v>#N/A</v>
      </c>
      <c r="I324" s="372" t="str">
        <f>CS_PID!I324/VLOOKUP($B324,표2[#ALL],2)/HLOOKUP($A324,표1[#ALL],row(),false)</f>
        <v>#N/A</v>
      </c>
      <c r="J324" s="372" t="str">
        <f>CS_PID!J324/VLOOKUP($B324,표2[#ALL],2)/HLOOKUP($A324,표1[#ALL],row(),false)</f>
        <v>#N/A</v>
      </c>
      <c r="K324" s="372" t="str">
        <f>CS_PID!K324/VLOOKUP($B324,표2[#ALL],2)/HLOOKUP($A324,표1[#ALL],row(),false)</f>
        <v>#N/A</v>
      </c>
      <c r="L324" s="372" t="str">
        <f>CS_PID!L324/VLOOKUP($B324,표2[#ALL],2)/HLOOKUP($A324,표1[#ALL],row(),false)</f>
        <v>#N/A</v>
      </c>
      <c r="M324" s="372" t="str">
        <f>CS_PID!M324/VLOOKUP($B324,표2[#ALL],2)/HLOOKUP($A324,표1[#ALL],row(),false)</f>
        <v>#N/A</v>
      </c>
      <c r="N324" s="372" t="str">
        <f>CS_PID!N324/VLOOKUP($B324,표2[#ALL],2)/HLOOKUP($A324,표1[#ALL],row(),false)</f>
        <v>#N/A</v>
      </c>
      <c r="O324" s="372" t="str">
        <f>CS_PID!O324/VLOOKUP($B324,표2[#ALL],2)/HLOOKUP($A324,표1[#ALL],row(),false)</f>
        <v>#N/A</v>
      </c>
      <c r="P324" s="372" t="str">
        <f>CS_PID!P324/VLOOKUP($B324,표2[#ALL],2)/HLOOKUP($A324,표1[#ALL],row(),false)</f>
        <v>#N/A</v>
      </c>
      <c r="Q324" s="372" t="str">
        <f>CS_PID!Q324/VLOOKUP($B324,표2[#ALL],2)/HLOOKUP($A324,표1[#ALL],row(),false)</f>
        <v>#N/A</v>
      </c>
      <c r="R324" s="372" t="str">
        <f>CS_PID!R324/VLOOKUP($B324,표2[#ALL],2)/HLOOKUP($A324,표1[#ALL],row(),false)</f>
        <v>#N/A</v>
      </c>
      <c r="S324" s="372" t="str">
        <f>CS_PID!S324/VLOOKUP($B324,표2[#ALL],2)/HLOOKUP($A324,표1[#ALL],row(),false)</f>
        <v>#N/A</v>
      </c>
      <c r="T324" s="372" t="str">
        <f>CS_PID!T324/VLOOKUP($B324,표2[#ALL],2)/HLOOKUP($A324,표1[#ALL],row(),false)</f>
        <v>#N/A</v>
      </c>
      <c r="U324" s="372" t="str">
        <f>CS_PID!U324/VLOOKUP($B324,표2[#ALL],2)/HLOOKUP($A324,표1[#ALL],row(),false)</f>
        <v>#N/A</v>
      </c>
      <c r="V324" s="372" t="str">
        <f>CS_PID!V324/VLOOKUP($B324,표2[#ALL],2)/HLOOKUP($A324,표1[#ALL],row(),false)</f>
        <v>#N/A</v>
      </c>
      <c r="W324" s="372" t="str">
        <f>CS_PID!W324/VLOOKUP($B324,표2[#ALL],2)/HLOOKUP($A324,표1[#ALL],row(),false)</f>
        <v>#N/A</v>
      </c>
      <c r="X324" s="372" t="str">
        <f>CS_PID!X324/VLOOKUP($B324,표2[#ALL],2)/HLOOKUP($A324,표1[#ALL],row(),false)</f>
        <v>#N/A</v>
      </c>
      <c r="Y324" s="372" t="str">
        <f>CS_PID!Y324/VLOOKUP($B324,표2[#ALL],2)/HLOOKUP($A324,표1[#ALL],row(),false)</f>
        <v>#N/A</v>
      </c>
      <c r="Z324" s="372" t="str">
        <f>CS_PID!Z324/VLOOKUP($B324,표2[#ALL],2)/HLOOKUP($A324,표1[#ALL],row(),false)</f>
        <v>#N/A</v>
      </c>
      <c r="AA324" s="372" t="str">
        <f>CS_PID!AA324/VLOOKUP($B324,표2[#ALL],2)/HLOOKUP($A324,표1[#ALL],row(),false)</f>
        <v>#N/A</v>
      </c>
      <c r="AB324" s="372" t="str">
        <f>CS_PID!AB324/VLOOKUP($B324,표2[#ALL],2)/HLOOKUP($A324,표1[#ALL],row(),false)</f>
        <v>#N/A</v>
      </c>
      <c r="AC324" s="372" t="str">
        <f>CS_PID!AC324/VLOOKUP($B324,표2[#ALL],2)/HLOOKUP($A324,표1[#ALL],row(),false)</f>
        <v>#N/A</v>
      </c>
      <c r="AD324" s="372" t="str">
        <f>CS_PID!AD324/VLOOKUP($B324,표2[#ALL],2)/HLOOKUP($A324,표1[#ALL],row(),false)</f>
        <v>#N/A</v>
      </c>
      <c r="AE324" s="372" t="str">
        <f>CS_PID!AE324/VLOOKUP($B324,표2[#ALL],2)/HLOOKUP($A324,표1[#ALL],row(),false)</f>
        <v>#N/A</v>
      </c>
      <c r="AF324" s="372" t="str">
        <f>CS_PID!AF324/VLOOKUP($B324,표2[#ALL],2)/HLOOKUP($A324,표1[#ALL],row(),false)</f>
        <v>#N/A</v>
      </c>
      <c r="AG324" s="372" t="str">
        <f>CS_PID!AG324/VLOOKUP($B324,표2[#ALL],2)/HLOOKUP($A324,표1[#ALL],row(),false)</f>
        <v>#N/A</v>
      </c>
      <c r="AH324" s="372" t="str">
        <f>CS_PID!AH324/VLOOKUP($B324,표2[#ALL],2)/HLOOKUP($A324,표1[#ALL],row(),false)</f>
        <v>#N/A</v>
      </c>
      <c r="AI324" s="372" t="str">
        <f>CS_PID!AI324/VLOOKUP($B324,표2[#ALL],2)/HLOOKUP($A324,표1[#ALL],row(),false)</f>
        <v>#N/A</v>
      </c>
      <c r="AJ324" s="372" t="str">
        <f>CS_PID!AJ324/VLOOKUP($B324,표2[#ALL],2)/HLOOKUP($A324,표1[#ALL],row(),false)</f>
        <v>#N/A</v>
      </c>
      <c r="AK324" s="372" t="str">
        <f>CS_PID!AK324/VLOOKUP($B324,표2[#ALL],2)/HLOOKUP($A324,표1[#ALL],row(),false)</f>
        <v>#N/A</v>
      </c>
      <c r="AL324" s="372" t="str">
        <f>CS_PID!AL324/VLOOKUP($B324,표2[#ALL],2)/HLOOKUP($A324,표1[#ALL],row(),false)</f>
        <v>#N/A</v>
      </c>
      <c r="AM324" s="372" t="str">
        <f>CS_PID!AM324/VLOOKUP($B324,표2[#ALL],2)/HLOOKUP($A324,표1[#ALL],row(),false)</f>
        <v>#N/A</v>
      </c>
      <c r="AN324" s="372" t="str">
        <f>CS_PID!AN324/VLOOKUP($B324,표2[#ALL],2)/HLOOKUP($A324,표1[#ALL],row(),false)</f>
        <v>#N/A</v>
      </c>
      <c r="AO324" s="372" t="str">
        <f>CS_PID!AO324/VLOOKUP($B324,표2[#ALL],2)/HLOOKUP($A324,표1[#ALL],row(),false)</f>
        <v>#N/A</v>
      </c>
      <c r="AP324" s="372" t="str">
        <f>CS_PID!AP324/VLOOKUP($B324,표2[#ALL],2)/HLOOKUP($A324,표1[#ALL],row(),false)</f>
        <v>#N/A</v>
      </c>
      <c r="AQ324" s="372" t="str">
        <f>CS_PID!AQ324/VLOOKUP($B324,표2[#ALL],2)/HLOOKUP($A324,표1[#ALL],row(),false)</f>
        <v>#N/A</v>
      </c>
      <c r="AR324" s="372" t="str">
        <f>CS_PID!AR324/VLOOKUP($B324,표2[#ALL],2)/HLOOKUP($A324,표1[#ALL],row(),false)</f>
        <v>#N/A</v>
      </c>
      <c r="AS324" s="373" t="str">
        <f>CS_PID!AS324/VLOOKUP($B324,표2[#ALL],2)/HLOOKUP($A324,표1[#ALL],row(),false)</f>
        <v>#N/A</v>
      </c>
    </row>
    <row r="325">
      <c r="A325" s="374"/>
      <c r="B325" s="375"/>
      <c r="C325" s="376" t="str">
        <f>CS_PID!C325/VLOOKUP($B325,표2[#ALL],2)</f>
        <v>#N/A</v>
      </c>
      <c r="D325" s="376" t="str">
        <f>CS_PID!D325/VLOOKUP($B325,표2[#ALL],2)</f>
        <v>#N/A</v>
      </c>
      <c r="E325" s="376" t="str">
        <f>CS_PID!E325/VLOOKUP($B325,표2[#ALL],2)</f>
        <v>#N/A</v>
      </c>
      <c r="F325" s="376" t="str">
        <f>CS_PID!F325/VLOOKUP($B325,표2[#ALL],2)</f>
        <v>#N/A</v>
      </c>
      <c r="G325" s="376" t="str">
        <f>CS_PID!G325/VLOOKUP($B325,표2[#ALL],2)</f>
        <v>#N/A</v>
      </c>
      <c r="H325" s="376" t="str">
        <f>CS_PID!H325/VLOOKUP($B325,표2[#ALL],2)/HLOOKUP($A325,표1[#ALL],row(),false)</f>
        <v>#N/A</v>
      </c>
      <c r="I325" s="376" t="str">
        <f>CS_PID!I325/VLOOKUP($B325,표2[#ALL],2)/HLOOKUP($A325,표1[#ALL],row(),false)</f>
        <v>#N/A</v>
      </c>
      <c r="J325" s="376" t="str">
        <f>CS_PID!J325/VLOOKUP($B325,표2[#ALL],2)/HLOOKUP($A325,표1[#ALL],row(),false)</f>
        <v>#N/A</v>
      </c>
      <c r="K325" s="376" t="str">
        <f>CS_PID!K325/VLOOKUP($B325,표2[#ALL],2)/HLOOKUP($A325,표1[#ALL],row(),false)</f>
        <v>#N/A</v>
      </c>
      <c r="L325" s="376" t="str">
        <f>CS_PID!L325/VLOOKUP($B325,표2[#ALL],2)/HLOOKUP($A325,표1[#ALL],row(),false)</f>
        <v>#N/A</v>
      </c>
      <c r="M325" s="376" t="str">
        <f>CS_PID!M325/VLOOKUP($B325,표2[#ALL],2)/HLOOKUP($A325,표1[#ALL],row(),false)</f>
        <v>#N/A</v>
      </c>
      <c r="N325" s="376" t="str">
        <f>CS_PID!N325/VLOOKUP($B325,표2[#ALL],2)/HLOOKUP($A325,표1[#ALL],row(),false)</f>
        <v>#N/A</v>
      </c>
      <c r="O325" s="376" t="str">
        <f>CS_PID!O325/VLOOKUP($B325,표2[#ALL],2)/HLOOKUP($A325,표1[#ALL],row(),false)</f>
        <v>#N/A</v>
      </c>
      <c r="P325" s="376" t="str">
        <f>CS_PID!P325/VLOOKUP($B325,표2[#ALL],2)/HLOOKUP($A325,표1[#ALL],row(),false)</f>
        <v>#N/A</v>
      </c>
      <c r="Q325" s="376" t="str">
        <f>CS_PID!Q325/VLOOKUP($B325,표2[#ALL],2)/HLOOKUP($A325,표1[#ALL],row(),false)</f>
        <v>#N/A</v>
      </c>
      <c r="R325" s="376" t="str">
        <f>CS_PID!R325/VLOOKUP($B325,표2[#ALL],2)/HLOOKUP($A325,표1[#ALL],row(),false)</f>
        <v>#N/A</v>
      </c>
      <c r="S325" s="376" t="str">
        <f>CS_PID!S325/VLOOKUP($B325,표2[#ALL],2)/HLOOKUP($A325,표1[#ALL],row(),false)</f>
        <v>#N/A</v>
      </c>
      <c r="T325" s="376" t="str">
        <f>CS_PID!T325/VLOOKUP($B325,표2[#ALL],2)/HLOOKUP($A325,표1[#ALL],row(),false)</f>
        <v>#N/A</v>
      </c>
      <c r="U325" s="376" t="str">
        <f>CS_PID!U325/VLOOKUP($B325,표2[#ALL],2)/HLOOKUP($A325,표1[#ALL],row(),false)</f>
        <v>#N/A</v>
      </c>
      <c r="V325" s="376" t="str">
        <f>CS_PID!V325/VLOOKUP($B325,표2[#ALL],2)/HLOOKUP($A325,표1[#ALL],row(),false)</f>
        <v>#N/A</v>
      </c>
      <c r="W325" s="376" t="str">
        <f>CS_PID!W325/VLOOKUP($B325,표2[#ALL],2)/HLOOKUP($A325,표1[#ALL],row(),false)</f>
        <v>#N/A</v>
      </c>
      <c r="X325" s="376" t="str">
        <f>CS_PID!X325/VLOOKUP($B325,표2[#ALL],2)/HLOOKUP($A325,표1[#ALL],row(),false)</f>
        <v>#N/A</v>
      </c>
      <c r="Y325" s="376" t="str">
        <f>CS_PID!Y325/VLOOKUP($B325,표2[#ALL],2)/HLOOKUP($A325,표1[#ALL],row(),false)</f>
        <v>#N/A</v>
      </c>
      <c r="Z325" s="376" t="str">
        <f>CS_PID!Z325/VLOOKUP($B325,표2[#ALL],2)/HLOOKUP($A325,표1[#ALL],row(),false)</f>
        <v>#N/A</v>
      </c>
      <c r="AA325" s="376" t="str">
        <f>CS_PID!AA325/VLOOKUP($B325,표2[#ALL],2)/HLOOKUP($A325,표1[#ALL],row(),false)</f>
        <v>#N/A</v>
      </c>
      <c r="AB325" s="376" t="str">
        <f>CS_PID!AB325/VLOOKUP($B325,표2[#ALL],2)/HLOOKUP($A325,표1[#ALL],row(),false)</f>
        <v>#N/A</v>
      </c>
      <c r="AC325" s="376" t="str">
        <f>CS_PID!AC325/VLOOKUP($B325,표2[#ALL],2)/HLOOKUP($A325,표1[#ALL],row(),false)</f>
        <v>#N/A</v>
      </c>
      <c r="AD325" s="376" t="str">
        <f>CS_PID!AD325/VLOOKUP($B325,표2[#ALL],2)/HLOOKUP($A325,표1[#ALL],row(),false)</f>
        <v>#N/A</v>
      </c>
      <c r="AE325" s="376" t="str">
        <f>CS_PID!AE325/VLOOKUP($B325,표2[#ALL],2)/HLOOKUP($A325,표1[#ALL],row(),false)</f>
        <v>#N/A</v>
      </c>
      <c r="AF325" s="376" t="str">
        <f>CS_PID!AF325/VLOOKUP($B325,표2[#ALL],2)/HLOOKUP($A325,표1[#ALL],row(),false)</f>
        <v>#N/A</v>
      </c>
      <c r="AG325" s="376" t="str">
        <f>CS_PID!AG325/VLOOKUP($B325,표2[#ALL],2)/HLOOKUP($A325,표1[#ALL],row(),false)</f>
        <v>#N/A</v>
      </c>
      <c r="AH325" s="376" t="str">
        <f>CS_PID!AH325/VLOOKUP($B325,표2[#ALL],2)/HLOOKUP($A325,표1[#ALL],row(),false)</f>
        <v>#N/A</v>
      </c>
      <c r="AI325" s="376" t="str">
        <f>CS_PID!AI325/VLOOKUP($B325,표2[#ALL],2)/HLOOKUP($A325,표1[#ALL],row(),false)</f>
        <v>#N/A</v>
      </c>
      <c r="AJ325" s="376" t="str">
        <f>CS_PID!AJ325/VLOOKUP($B325,표2[#ALL],2)/HLOOKUP($A325,표1[#ALL],row(),false)</f>
        <v>#N/A</v>
      </c>
      <c r="AK325" s="376" t="str">
        <f>CS_PID!AK325/VLOOKUP($B325,표2[#ALL],2)/HLOOKUP($A325,표1[#ALL],row(),false)</f>
        <v>#N/A</v>
      </c>
      <c r="AL325" s="376" t="str">
        <f>CS_PID!AL325/VLOOKUP($B325,표2[#ALL],2)/HLOOKUP($A325,표1[#ALL],row(),false)</f>
        <v>#N/A</v>
      </c>
      <c r="AM325" s="376" t="str">
        <f>CS_PID!AM325/VLOOKUP($B325,표2[#ALL],2)/HLOOKUP($A325,표1[#ALL],row(),false)</f>
        <v>#N/A</v>
      </c>
      <c r="AN325" s="376" t="str">
        <f>CS_PID!AN325/VLOOKUP($B325,표2[#ALL],2)/HLOOKUP($A325,표1[#ALL],row(),false)</f>
        <v>#N/A</v>
      </c>
      <c r="AO325" s="376" t="str">
        <f>CS_PID!AO325/VLOOKUP($B325,표2[#ALL],2)/HLOOKUP($A325,표1[#ALL],row(),false)</f>
        <v>#N/A</v>
      </c>
      <c r="AP325" s="376" t="str">
        <f>CS_PID!AP325/VLOOKUP($B325,표2[#ALL],2)/HLOOKUP($A325,표1[#ALL],row(),false)</f>
        <v>#N/A</v>
      </c>
      <c r="AQ325" s="376" t="str">
        <f>CS_PID!AQ325/VLOOKUP($B325,표2[#ALL],2)/HLOOKUP($A325,표1[#ALL],row(),false)</f>
        <v>#N/A</v>
      </c>
      <c r="AR325" s="376" t="str">
        <f>CS_PID!AR325/VLOOKUP($B325,표2[#ALL],2)/HLOOKUP($A325,표1[#ALL],row(),false)</f>
        <v>#N/A</v>
      </c>
      <c r="AS325" s="377" t="str">
        <f>CS_PID!AS325/VLOOKUP($B325,표2[#ALL],2)/HLOOKUP($A325,표1[#ALL],row(),false)</f>
        <v>#N/A</v>
      </c>
    </row>
    <row r="326">
      <c r="A326" s="370"/>
      <c r="B326" s="371"/>
      <c r="C326" s="372" t="str">
        <f>CS_PID!C326/VLOOKUP($B326,표2[#ALL],2)</f>
        <v>#N/A</v>
      </c>
      <c r="D326" s="372" t="str">
        <f>CS_PID!D326/VLOOKUP($B326,표2[#ALL],2)</f>
        <v>#N/A</v>
      </c>
      <c r="E326" s="372" t="str">
        <f>CS_PID!E326/VLOOKUP($B326,표2[#ALL],2)</f>
        <v>#N/A</v>
      </c>
      <c r="F326" s="372" t="str">
        <f>CS_PID!F326/VLOOKUP($B326,표2[#ALL],2)</f>
        <v>#N/A</v>
      </c>
      <c r="G326" s="372" t="str">
        <f>CS_PID!G326/VLOOKUP($B326,표2[#ALL],2)</f>
        <v>#N/A</v>
      </c>
      <c r="H326" s="372" t="str">
        <f>CS_PID!H326/VLOOKUP($B326,표2[#ALL],2)/HLOOKUP($A326,표1[#ALL],row(),false)</f>
        <v>#N/A</v>
      </c>
      <c r="I326" s="372" t="str">
        <f>CS_PID!I326/VLOOKUP($B326,표2[#ALL],2)/HLOOKUP($A326,표1[#ALL],row(),false)</f>
        <v>#N/A</v>
      </c>
      <c r="J326" s="372" t="str">
        <f>CS_PID!J326/VLOOKUP($B326,표2[#ALL],2)/HLOOKUP($A326,표1[#ALL],row(),false)</f>
        <v>#N/A</v>
      </c>
      <c r="K326" s="372" t="str">
        <f>CS_PID!K326/VLOOKUP($B326,표2[#ALL],2)/HLOOKUP($A326,표1[#ALL],row(),false)</f>
        <v>#N/A</v>
      </c>
      <c r="L326" s="372" t="str">
        <f>CS_PID!L326/VLOOKUP($B326,표2[#ALL],2)/HLOOKUP($A326,표1[#ALL],row(),false)</f>
        <v>#N/A</v>
      </c>
      <c r="M326" s="372" t="str">
        <f>CS_PID!M326/VLOOKUP($B326,표2[#ALL],2)/HLOOKUP($A326,표1[#ALL],row(),false)</f>
        <v>#N/A</v>
      </c>
      <c r="N326" s="372" t="str">
        <f>CS_PID!N326/VLOOKUP($B326,표2[#ALL],2)/HLOOKUP($A326,표1[#ALL],row(),false)</f>
        <v>#N/A</v>
      </c>
      <c r="O326" s="372" t="str">
        <f>CS_PID!O326/VLOOKUP($B326,표2[#ALL],2)/HLOOKUP($A326,표1[#ALL],row(),false)</f>
        <v>#N/A</v>
      </c>
      <c r="P326" s="372" t="str">
        <f>CS_PID!P326/VLOOKUP($B326,표2[#ALL],2)/HLOOKUP($A326,표1[#ALL],row(),false)</f>
        <v>#N/A</v>
      </c>
      <c r="Q326" s="372" t="str">
        <f>CS_PID!Q326/VLOOKUP($B326,표2[#ALL],2)/HLOOKUP($A326,표1[#ALL],row(),false)</f>
        <v>#N/A</v>
      </c>
      <c r="R326" s="372" t="str">
        <f>CS_PID!R326/VLOOKUP($B326,표2[#ALL],2)/HLOOKUP($A326,표1[#ALL],row(),false)</f>
        <v>#N/A</v>
      </c>
      <c r="S326" s="372" t="str">
        <f>CS_PID!S326/VLOOKUP($B326,표2[#ALL],2)/HLOOKUP($A326,표1[#ALL],row(),false)</f>
        <v>#N/A</v>
      </c>
      <c r="T326" s="372" t="str">
        <f>CS_PID!T326/VLOOKUP($B326,표2[#ALL],2)/HLOOKUP($A326,표1[#ALL],row(),false)</f>
        <v>#N/A</v>
      </c>
      <c r="U326" s="372" t="str">
        <f>CS_PID!U326/VLOOKUP($B326,표2[#ALL],2)/HLOOKUP($A326,표1[#ALL],row(),false)</f>
        <v>#N/A</v>
      </c>
      <c r="V326" s="372" t="str">
        <f>CS_PID!V326/VLOOKUP($B326,표2[#ALL],2)/HLOOKUP($A326,표1[#ALL],row(),false)</f>
        <v>#N/A</v>
      </c>
      <c r="W326" s="372" t="str">
        <f>CS_PID!W326/VLOOKUP($B326,표2[#ALL],2)/HLOOKUP($A326,표1[#ALL],row(),false)</f>
        <v>#N/A</v>
      </c>
      <c r="X326" s="372" t="str">
        <f>CS_PID!X326/VLOOKUP($B326,표2[#ALL],2)/HLOOKUP($A326,표1[#ALL],row(),false)</f>
        <v>#N/A</v>
      </c>
      <c r="Y326" s="372" t="str">
        <f>CS_PID!Y326/VLOOKUP($B326,표2[#ALL],2)/HLOOKUP($A326,표1[#ALL],row(),false)</f>
        <v>#N/A</v>
      </c>
      <c r="Z326" s="372" t="str">
        <f>CS_PID!Z326/VLOOKUP($B326,표2[#ALL],2)/HLOOKUP($A326,표1[#ALL],row(),false)</f>
        <v>#N/A</v>
      </c>
      <c r="AA326" s="372" t="str">
        <f>CS_PID!AA326/VLOOKUP($B326,표2[#ALL],2)/HLOOKUP($A326,표1[#ALL],row(),false)</f>
        <v>#N/A</v>
      </c>
      <c r="AB326" s="372" t="str">
        <f>CS_PID!AB326/VLOOKUP($B326,표2[#ALL],2)/HLOOKUP($A326,표1[#ALL],row(),false)</f>
        <v>#N/A</v>
      </c>
      <c r="AC326" s="372" t="str">
        <f>CS_PID!AC326/VLOOKUP($B326,표2[#ALL],2)/HLOOKUP($A326,표1[#ALL],row(),false)</f>
        <v>#N/A</v>
      </c>
      <c r="AD326" s="372" t="str">
        <f>CS_PID!AD326/VLOOKUP($B326,표2[#ALL],2)/HLOOKUP($A326,표1[#ALL],row(),false)</f>
        <v>#N/A</v>
      </c>
      <c r="AE326" s="372" t="str">
        <f>CS_PID!AE326/VLOOKUP($B326,표2[#ALL],2)/HLOOKUP($A326,표1[#ALL],row(),false)</f>
        <v>#N/A</v>
      </c>
      <c r="AF326" s="372" t="str">
        <f>CS_PID!AF326/VLOOKUP($B326,표2[#ALL],2)/HLOOKUP($A326,표1[#ALL],row(),false)</f>
        <v>#N/A</v>
      </c>
      <c r="AG326" s="372" t="str">
        <f>CS_PID!AG326/VLOOKUP($B326,표2[#ALL],2)/HLOOKUP($A326,표1[#ALL],row(),false)</f>
        <v>#N/A</v>
      </c>
      <c r="AH326" s="372" t="str">
        <f>CS_PID!AH326/VLOOKUP($B326,표2[#ALL],2)/HLOOKUP($A326,표1[#ALL],row(),false)</f>
        <v>#N/A</v>
      </c>
      <c r="AI326" s="372" t="str">
        <f>CS_PID!AI326/VLOOKUP($B326,표2[#ALL],2)/HLOOKUP($A326,표1[#ALL],row(),false)</f>
        <v>#N/A</v>
      </c>
      <c r="AJ326" s="372" t="str">
        <f>CS_PID!AJ326/VLOOKUP($B326,표2[#ALL],2)/HLOOKUP($A326,표1[#ALL],row(),false)</f>
        <v>#N/A</v>
      </c>
      <c r="AK326" s="372" t="str">
        <f>CS_PID!AK326/VLOOKUP($B326,표2[#ALL],2)/HLOOKUP($A326,표1[#ALL],row(),false)</f>
        <v>#N/A</v>
      </c>
      <c r="AL326" s="372" t="str">
        <f>CS_PID!AL326/VLOOKUP($B326,표2[#ALL],2)/HLOOKUP($A326,표1[#ALL],row(),false)</f>
        <v>#N/A</v>
      </c>
      <c r="AM326" s="372" t="str">
        <f>CS_PID!AM326/VLOOKUP($B326,표2[#ALL],2)/HLOOKUP($A326,표1[#ALL],row(),false)</f>
        <v>#N/A</v>
      </c>
      <c r="AN326" s="372" t="str">
        <f>CS_PID!AN326/VLOOKUP($B326,표2[#ALL],2)/HLOOKUP($A326,표1[#ALL],row(),false)</f>
        <v>#N/A</v>
      </c>
      <c r="AO326" s="372" t="str">
        <f>CS_PID!AO326/VLOOKUP($B326,표2[#ALL],2)/HLOOKUP($A326,표1[#ALL],row(),false)</f>
        <v>#N/A</v>
      </c>
      <c r="AP326" s="372" t="str">
        <f>CS_PID!AP326/VLOOKUP($B326,표2[#ALL],2)/HLOOKUP($A326,표1[#ALL],row(),false)</f>
        <v>#N/A</v>
      </c>
      <c r="AQ326" s="372" t="str">
        <f>CS_PID!AQ326/VLOOKUP($B326,표2[#ALL],2)/HLOOKUP($A326,표1[#ALL],row(),false)</f>
        <v>#N/A</v>
      </c>
      <c r="AR326" s="372" t="str">
        <f>CS_PID!AR326/VLOOKUP($B326,표2[#ALL],2)/HLOOKUP($A326,표1[#ALL],row(),false)</f>
        <v>#N/A</v>
      </c>
      <c r="AS326" s="373" t="str">
        <f>CS_PID!AS326/VLOOKUP($B326,표2[#ALL],2)/HLOOKUP($A326,표1[#ALL],row(),false)</f>
        <v>#N/A</v>
      </c>
    </row>
    <row r="327">
      <c r="A327" s="374"/>
      <c r="B327" s="375"/>
      <c r="C327" s="376" t="str">
        <f>CS_PID!C327/VLOOKUP($B327,표2[#ALL],2)</f>
        <v>#N/A</v>
      </c>
      <c r="D327" s="376" t="str">
        <f>CS_PID!D327/VLOOKUP($B327,표2[#ALL],2)</f>
        <v>#N/A</v>
      </c>
      <c r="E327" s="376" t="str">
        <f>CS_PID!E327/VLOOKUP($B327,표2[#ALL],2)</f>
        <v>#N/A</v>
      </c>
      <c r="F327" s="376" t="str">
        <f>CS_PID!F327/VLOOKUP($B327,표2[#ALL],2)</f>
        <v>#N/A</v>
      </c>
      <c r="G327" s="376" t="str">
        <f>CS_PID!G327/VLOOKUP($B327,표2[#ALL],2)</f>
        <v>#N/A</v>
      </c>
      <c r="H327" s="376" t="str">
        <f>CS_PID!H327/VLOOKUP($B327,표2[#ALL],2)/HLOOKUP($A327,표1[#ALL],row(),false)</f>
        <v>#N/A</v>
      </c>
      <c r="I327" s="376" t="str">
        <f>CS_PID!I327/VLOOKUP($B327,표2[#ALL],2)/HLOOKUP($A327,표1[#ALL],row(),false)</f>
        <v>#N/A</v>
      </c>
      <c r="J327" s="376" t="str">
        <f>CS_PID!J327/VLOOKUP($B327,표2[#ALL],2)/HLOOKUP($A327,표1[#ALL],row(),false)</f>
        <v>#N/A</v>
      </c>
      <c r="K327" s="376" t="str">
        <f>CS_PID!K327/VLOOKUP($B327,표2[#ALL],2)/HLOOKUP($A327,표1[#ALL],row(),false)</f>
        <v>#N/A</v>
      </c>
      <c r="L327" s="376" t="str">
        <f>CS_PID!L327/VLOOKUP($B327,표2[#ALL],2)/HLOOKUP($A327,표1[#ALL],row(),false)</f>
        <v>#N/A</v>
      </c>
      <c r="M327" s="376" t="str">
        <f>CS_PID!M327/VLOOKUP($B327,표2[#ALL],2)/HLOOKUP($A327,표1[#ALL],row(),false)</f>
        <v>#N/A</v>
      </c>
      <c r="N327" s="376" t="str">
        <f>CS_PID!N327/VLOOKUP($B327,표2[#ALL],2)/HLOOKUP($A327,표1[#ALL],row(),false)</f>
        <v>#N/A</v>
      </c>
      <c r="O327" s="376" t="str">
        <f>CS_PID!O327/VLOOKUP($B327,표2[#ALL],2)/HLOOKUP($A327,표1[#ALL],row(),false)</f>
        <v>#N/A</v>
      </c>
      <c r="P327" s="376" t="str">
        <f>CS_PID!P327/VLOOKUP($B327,표2[#ALL],2)/HLOOKUP($A327,표1[#ALL],row(),false)</f>
        <v>#N/A</v>
      </c>
      <c r="Q327" s="376" t="str">
        <f>CS_PID!Q327/VLOOKUP($B327,표2[#ALL],2)/HLOOKUP($A327,표1[#ALL],row(),false)</f>
        <v>#N/A</v>
      </c>
      <c r="R327" s="376" t="str">
        <f>CS_PID!R327/VLOOKUP($B327,표2[#ALL],2)/HLOOKUP($A327,표1[#ALL],row(),false)</f>
        <v>#N/A</v>
      </c>
      <c r="S327" s="376" t="str">
        <f>CS_PID!S327/VLOOKUP($B327,표2[#ALL],2)/HLOOKUP($A327,표1[#ALL],row(),false)</f>
        <v>#N/A</v>
      </c>
      <c r="T327" s="376" t="str">
        <f>CS_PID!T327/VLOOKUP($B327,표2[#ALL],2)/HLOOKUP($A327,표1[#ALL],row(),false)</f>
        <v>#N/A</v>
      </c>
      <c r="U327" s="376" t="str">
        <f>CS_PID!U327/VLOOKUP($B327,표2[#ALL],2)/HLOOKUP($A327,표1[#ALL],row(),false)</f>
        <v>#N/A</v>
      </c>
      <c r="V327" s="376" t="str">
        <f>CS_PID!V327/VLOOKUP($B327,표2[#ALL],2)/HLOOKUP($A327,표1[#ALL],row(),false)</f>
        <v>#N/A</v>
      </c>
      <c r="W327" s="376" t="str">
        <f>CS_PID!W327/VLOOKUP($B327,표2[#ALL],2)/HLOOKUP($A327,표1[#ALL],row(),false)</f>
        <v>#N/A</v>
      </c>
      <c r="X327" s="376" t="str">
        <f>CS_PID!X327/VLOOKUP($B327,표2[#ALL],2)/HLOOKUP($A327,표1[#ALL],row(),false)</f>
        <v>#N/A</v>
      </c>
      <c r="Y327" s="376" t="str">
        <f>CS_PID!Y327/VLOOKUP($B327,표2[#ALL],2)/HLOOKUP($A327,표1[#ALL],row(),false)</f>
        <v>#N/A</v>
      </c>
      <c r="Z327" s="376" t="str">
        <f>CS_PID!Z327/VLOOKUP($B327,표2[#ALL],2)/HLOOKUP($A327,표1[#ALL],row(),false)</f>
        <v>#N/A</v>
      </c>
      <c r="AA327" s="376" t="str">
        <f>CS_PID!AA327/VLOOKUP($B327,표2[#ALL],2)/HLOOKUP($A327,표1[#ALL],row(),false)</f>
        <v>#N/A</v>
      </c>
      <c r="AB327" s="376" t="str">
        <f>CS_PID!AB327/VLOOKUP($B327,표2[#ALL],2)/HLOOKUP($A327,표1[#ALL],row(),false)</f>
        <v>#N/A</v>
      </c>
      <c r="AC327" s="376" t="str">
        <f>CS_PID!AC327/VLOOKUP($B327,표2[#ALL],2)/HLOOKUP($A327,표1[#ALL],row(),false)</f>
        <v>#N/A</v>
      </c>
      <c r="AD327" s="376" t="str">
        <f>CS_PID!AD327/VLOOKUP($B327,표2[#ALL],2)/HLOOKUP($A327,표1[#ALL],row(),false)</f>
        <v>#N/A</v>
      </c>
      <c r="AE327" s="376" t="str">
        <f>CS_PID!AE327/VLOOKUP($B327,표2[#ALL],2)/HLOOKUP($A327,표1[#ALL],row(),false)</f>
        <v>#N/A</v>
      </c>
      <c r="AF327" s="376" t="str">
        <f>CS_PID!AF327/VLOOKUP($B327,표2[#ALL],2)/HLOOKUP($A327,표1[#ALL],row(),false)</f>
        <v>#N/A</v>
      </c>
      <c r="AG327" s="376" t="str">
        <f>CS_PID!AG327/VLOOKUP($B327,표2[#ALL],2)/HLOOKUP($A327,표1[#ALL],row(),false)</f>
        <v>#N/A</v>
      </c>
      <c r="AH327" s="376" t="str">
        <f>CS_PID!AH327/VLOOKUP($B327,표2[#ALL],2)/HLOOKUP($A327,표1[#ALL],row(),false)</f>
        <v>#N/A</v>
      </c>
      <c r="AI327" s="376" t="str">
        <f>CS_PID!AI327/VLOOKUP($B327,표2[#ALL],2)/HLOOKUP($A327,표1[#ALL],row(),false)</f>
        <v>#N/A</v>
      </c>
      <c r="AJ327" s="376" t="str">
        <f>CS_PID!AJ327/VLOOKUP($B327,표2[#ALL],2)/HLOOKUP($A327,표1[#ALL],row(),false)</f>
        <v>#N/A</v>
      </c>
      <c r="AK327" s="376" t="str">
        <f>CS_PID!AK327/VLOOKUP($B327,표2[#ALL],2)/HLOOKUP($A327,표1[#ALL],row(),false)</f>
        <v>#N/A</v>
      </c>
      <c r="AL327" s="376" t="str">
        <f>CS_PID!AL327/VLOOKUP($B327,표2[#ALL],2)/HLOOKUP($A327,표1[#ALL],row(),false)</f>
        <v>#N/A</v>
      </c>
      <c r="AM327" s="376" t="str">
        <f>CS_PID!AM327/VLOOKUP($B327,표2[#ALL],2)/HLOOKUP($A327,표1[#ALL],row(),false)</f>
        <v>#N/A</v>
      </c>
      <c r="AN327" s="376" t="str">
        <f>CS_PID!AN327/VLOOKUP($B327,표2[#ALL],2)/HLOOKUP($A327,표1[#ALL],row(),false)</f>
        <v>#N/A</v>
      </c>
      <c r="AO327" s="376" t="str">
        <f>CS_PID!AO327/VLOOKUP($B327,표2[#ALL],2)/HLOOKUP($A327,표1[#ALL],row(),false)</f>
        <v>#N/A</v>
      </c>
      <c r="AP327" s="376" t="str">
        <f>CS_PID!AP327/VLOOKUP($B327,표2[#ALL],2)/HLOOKUP($A327,표1[#ALL],row(),false)</f>
        <v>#N/A</v>
      </c>
      <c r="AQ327" s="376" t="str">
        <f>CS_PID!AQ327/VLOOKUP($B327,표2[#ALL],2)/HLOOKUP($A327,표1[#ALL],row(),false)</f>
        <v>#N/A</v>
      </c>
      <c r="AR327" s="376" t="str">
        <f>CS_PID!AR327/VLOOKUP($B327,표2[#ALL],2)/HLOOKUP($A327,표1[#ALL],row(),false)</f>
        <v>#N/A</v>
      </c>
      <c r="AS327" s="377" t="str">
        <f>CS_PID!AS327/VLOOKUP($B327,표2[#ALL],2)/HLOOKUP($A327,표1[#ALL],row(),false)</f>
        <v>#N/A</v>
      </c>
    </row>
    <row r="328">
      <c r="A328" s="370"/>
      <c r="B328" s="371"/>
      <c r="C328" s="372" t="str">
        <f>CS_PID!C328/VLOOKUP($B328,표2[#ALL],2)</f>
        <v>#N/A</v>
      </c>
      <c r="D328" s="372" t="str">
        <f>CS_PID!D328/VLOOKUP($B328,표2[#ALL],2)</f>
        <v>#N/A</v>
      </c>
      <c r="E328" s="372" t="str">
        <f>CS_PID!E328/VLOOKUP($B328,표2[#ALL],2)</f>
        <v>#N/A</v>
      </c>
      <c r="F328" s="372" t="str">
        <f>CS_PID!F328/VLOOKUP($B328,표2[#ALL],2)</f>
        <v>#N/A</v>
      </c>
      <c r="G328" s="372" t="str">
        <f>CS_PID!G328/VLOOKUP($B328,표2[#ALL],2)</f>
        <v>#N/A</v>
      </c>
      <c r="H328" s="372" t="str">
        <f>CS_PID!H328/VLOOKUP($B328,표2[#ALL],2)/HLOOKUP($A328,표1[#ALL],row(),false)</f>
        <v>#N/A</v>
      </c>
      <c r="I328" s="372" t="str">
        <f>CS_PID!I328/VLOOKUP($B328,표2[#ALL],2)/HLOOKUP($A328,표1[#ALL],row(),false)</f>
        <v>#N/A</v>
      </c>
      <c r="J328" s="372" t="str">
        <f>CS_PID!J328/VLOOKUP($B328,표2[#ALL],2)/HLOOKUP($A328,표1[#ALL],row(),false)</f>
        <v>#N/A</v>
      </c>
      <c r="K328" s="372" t="str">
        <f>CS_PID!K328/VLOOKUP($B328,표2[#ALL],2)/HLOOKUP($A328,표1[#ALL],row(),false)</f>
        <v>#N/A</v>
      </c>
      <c r="L328" s="372" t="str">
        <f>CS_PID!L328/VLOOKUP($B328,표2[#ALL],2)/HLOOKUP($A328,표1[#ALL],row(),false)</f>
        <v>#N/A</v>
      </c>
      <c r="M328" s="372" t="str">
        <f>CS_PID!M328/VLOOKUP($B328,표2[#ALL],2)/HLOOKUP($A328,표1[#ALL],row(),false)</f>
        <v>#N/A</v>
      </c>
      <c r="N328" s="372" t="str">
        <f>CS_PID!N328/VLOOKUP($B328,표2[#ALL],2)/HLOOKUP($A328,표1[#ALL],row(),false)</f>
        <v>#N/A</v>
      </c>
      <c r="O328" s="372" t="str">
        <f>CS_PID!O328/VLOOKUP($B328,표2[#ALL],2)/HLOOKUP($A328,표1[#ALL],row(),false)</f>
        <v>#N/A</v>
      </c>
      <c r="P328" s="372" t="str">
        <f>CS_PID!P328/VLOOKUP($B328,표2[#ALL],2)/HLOOKUP($A328,표1[#ALL],row(),false)</f>
        <v>#N/A</v>
      </c>
      <c r="Q328" s="372" t="str">
        <f>CS_PID!Q328/VLOOKUP($B328,표2[#ALL],2)/HLOOKUP($A328,표1[#ALL],row(),false)</f>
        <v>#N/A</v>
      </c>
      <c r="R328" s="372" t="str">
        <f>CS_PID!R328/VLOOKUP($B328,표2[#ALL],2)/HLOOKUP($A328,표1[#ALL],row(),false)</f>
        <v>#N/A</v>
      </c>
      <c r="S328" s="372" t="str">
        <f>CS_PID!S328/VLOOKUP($B328,표2[#ALL],2)/HLOOKUP($A328,표1[#ALL],row(),false)</f>
        <v>#N/A</v>
      </c>
      <c r="T328" s="372" t="str">
        <f>CS_PID!T328/VLOOKUP($B328,표2[#ALL],2)/HLOOKUP($A328,표1[#ALL],row(),false)</f>
        <v>#N/A</v>
      </c>
      <c r="U328" s="372" t="str">
        <f>CS_PID!U328/VLOOKUP($B328,표2[#ALL],2)/HLOOKUP($A328,표1[#ALL],row(),false)</f>
        <v>#N/A</v>
      </c>
      <c r="V328" s="372" t="str">
        <f>CS_PID!V328/VLOOKUP($B328,표2[#ALL],2)/HLOOKUP($A328,표1[#ALL],row(),false)</f>
        <v>#N/A</v>
      </c>
      <c r="W328" s="372" t="str">
        <f>CS_PID!W328/VLOOKUP($B328,표2[#ALL],2)/HLOOKUP($A328,표1[#ALL],row(),false)</f>
        <v>#N/A</v>
      </c>
      <c r="X328" s="372" t="str">
        <f>CS_PID!X328/VLOOKUP($B328,표2[#ALL],2)/HLOOKUP($A328,표1[#ALL],row(),false)</f>
        <v>#N/A</v>
      </c>
      <c r="Y328" s="372" t="str">
        <f>CS_PID!Y328/VLOOKUP($B328,표2[#ALL],2)/HLOOKUP($A328,표1[#ALL],row(),false)</f>
        <v>#N/A</v>
      </c>
      <c r="Z328" s="372" t="str">
        <f>CS_PID!Z328/VLOOKUP($B328,표2[#ALL],2)/HLOOKUP($A328,표1[#ALL],row(),false)</f>
        <v>#N/A</v>
      </c>
      <c r="AA328" s="372" t="str">
        <f>CS_PID!AA328/VLOOKUP($B328,표2[#ALL],2)/HLOOKUP($A328,표1[#ALL],row(),false)</f>
        <v>#N/A</v>
      </c>
      <c r="AB328" s="372" t="str">
        <f>CS_PID!AB328/VLOOKUP($B328,표2[#ALL],2)/HLOOKUP($A328,표1[#ALL],row(),false)</f>
        <v>#N/A</v>
      </c>
      <c r="AC328" s="372" t="str">
        <f>CS_PID!AC328/VLOOKUP($B328,표2[#ALL],2)/HLOOKUP($A328,표1[#ALL],row(),false)</f>
        <v>#N/A</v>
      </c>
      <c r="AD328" s="372" t="str">
        <f>CS_PID!AD328/VLOOKUP($B328,표2[#ALL],2)/HLOOKUP($A328,표1[#ALL],row(),false)</f>
        <v>#N/A</v>
      </c>
      <c r="AE328" s="372" t="str">
        <f>CS_PID!AE328/VLOOKUP($B328,표2[#ALL],2)/HLOOKUP($A328,표1[#ALL],row(),false)</f>
        <v>#N/A</v>
      </c>
      <c r="AF328" s="372" t="str">
        <f>CS_PID!AF328/VLOOKUP($B328,표2[#ALL],2)/HLOOKUP($A328,표1[#ALL],row(),false)</f>
        <v>#N/A</v>
      </c>
      <c r="AG328" s="372" t="str">
        <f>CS_PID!AG328/VLOOKUP($B328,표2[#ALL],2)/HLOOKUP($A328,표1[#ALL],row(),false)</f>
        <v>#N/A</v>
      </c>
      <c r="AH328" s="372" t="str">
        <f>CS_PID!AH328/VLOOKUP($B328,표2[#ALL],2)/HLOOKUP($A328,표1[#ALL],row(),false)</f>
        <v>#N/A</v>
      </c>
      <c r="AI328" s="372" t="str">
        <f>CS_PID!AI328/VLOOKUP($B328,표2[#ALL],2)/HLOOKUP($A328,표1[#ALL],row(),false)</f>
        <v>#N/A</v>
      </c>
      <c r="AJ328" s="372" t="str">
        <f>CS_PID!AJ328/VLOOKUP($B328,표2[#ALL],2)/HLOOKUP($A328,표1[#ALL],row(),false)</f>
        <v>#N/A</v>
      </c>
      <c r="AK328" s="372" t="str">
        <f>CS_PID!AK328/VLOOKUP($B328,표2[#ALL],2)/HLOOKUP($A328,표1[#ALL],row(),false)</f>
        <v>#N/A</v>
      </c>
      <c r="AL328" s="372" t="str">
        <f>CS_PID!AL328/VLOOKUP($B328,표2[#ALL],2)/HLOOKUP($A328,표1[#ALL],row(),false)</f>
        <v>#N/A</v>
      </c>
      <c r="AM328" s="372" t="str">
        <f>CS_PID!AM328/VLOOKUP($B328,표2[#ALL],2)/HLOOKUP($A328,표1[#ALL],row(),false)</f>
        <v>#N/A</v>
      </c>
      <c r="AN328" s="372" t="str">
        <f>CS_PID!AN328/VLOOKUP($B328,표2[#ALL],2)/HLOOKUP($A328,표1[#ALL],row(),false)</f>
        <v>#N/A</v>
      </c>
      <c r="AO328" s="372" t="str">
        <f>CS_PID!AO328/VLOOKUP($B328,표2[#ALL],2)/HLOOKUP($A328,표1[#ALL],row(),false)</f>
        <v>#N/A</v>
      </c>
      <c r="AP328" s="372" t="str">
        <f>CS_PID!AP328/VLOOKUP($B328,표2[#ALL],2)/HLOOKUP($A328,표1[#ALL],row(),false)</f>
        <v>#N/A</v>
      </c>
      <c r="AQ328" s="372" t="str">
        <f>CS_PID!AQ328/VLOOKUP($B328,표2[#ALL],2)/HLOOKUP($A328,표1[#ALL],row(),false)</f>
        <v>#N/A</v>
      </c>
      <c r="AR328" s="372" t="str">
        <f>CS_PID!AR328/VLOOKUP($B328,표2[#ALL],2)/HLOOKUP($A328,표1[#ALL],row(),false)</f>
        <v>#N/A</v>
      </c>
      <c r="AS328" s="373" t="str">
        <f>CS_PID!AS328/VLOOKUP($B328,표2[#ALL],2)/HLOOKUP($A328,표1[#ALL],row(),false)</f>
        <v>#N/A</v>
      </c>
    </row>
    <row r="329">
      <c r="A329" s="374"/>
      <c r="B329" s="375"/>
      <c r="C329" s="376" t="str">
        <f>CS_PID!C329/VLOOKUP($B329,표2[#ALL],2)</f>
        <v>#N/A</v>
      </c>
      <c r="D329" s="376" t="str">
        <f>CS_PID!D329/VLOOKUP($B329,표2[#ALL],2)</f>
        <v>#N/A</v>
      </c>
      <c r="E329" s="376" t="str">
        <f>CS_PID!E329/VLOOKUP($B329,표2[#ALL],2)</f>
        <v>#N/A</v>
      </c>
      <c r="F329" s="376" t="str">
        <f>CS_PID!F329/VLOOKUP($B329,표2[#ALL],2)</f>
        <v>#N/A</v>
      </c>
      <c r="G329" s="376" t="str">
        <f>CS_PID!G329/VLOOKUP($B329,표2[#ALL],2)</f>
        <v>#N/A</v>
      </c>
      <c r="H329" s="376" t="str">
        <f>CS_PID!H329/VLOOKUP($B329,표2[#ALL],2)/HLOOKUP($A329,표1[#ALL],row(),false)</f>
        <v>#N/A</v>
      </c>
      <c r="I329" s="376" t="str">
        <f>CS_PID!I329/VLOOKUP($B329,표2[#ALL],2)/HLOOKUP($A329,표1[#ALL],row(),false)</f>
        <v>#N/A</v>
      </c>
      <c r="J329" s="376" t="str">
        <f>CS_PID!J329/VLOOKUP($B329,표2[#ALL],2)/HLOOKUP($A329,표1[#ALL],row(),false)</f>
        <v>#N/A</v>
      </c>
      <c r="K329" s="376" t="str">
        <f>CS_PID!K329/VLOOKUP($B329,표2[#ALL],2)/HLOOKUP($A329,표1[#ALL],row(),false)</f>
        <v>#N/A</v>
      </c>
      <c r="L329" s="376" t="str">
        <f>CS_PID!L329/VLOOKUP($B329,표2[#ALL],2)/HLOOKUP($A329,표1[#ALL],row(),false)</f>
        <v>#N/A</v>
      </c>
      <c r="M329" s="376" t="str">
        <f>CS_PID!M329/VLOOKUP($B329,표2[#ALL],2)/HLOOKUP($A329,표1[#ALL],row(),false)</f>
        <v>#N/A</v>
      </c>
      <c r="N329" s="376" t="str">
        <f>CS_PID!N329/VLOOKUP($B329,표2[#ALL],2)/HLOOKUP($A329,표1[#ALL],row(),false)</f>
        <v>#N/A</v>
      </c>
      <c r="O329" s="376" t="str">
        <f>CS_PID!O329/VLOOKUP($B329,표2[#ALL],2)/HLOOKUP($A329,표1[#ALL],row(),false)</f>
        <v>#N/A</v>
      </c>
      <c r="P329" s="376" t="str">
        <f>CS_PID!P329/VLOOKUP($B329,표2[#ALL],2)/HLOOKUP($A329,표1[#ALL],row(),false)</f>
        <v>#N/A</v>
      </c>
      <c r="Q329" s="376" t="str">
        <f>CS_PID!Q329/VLOOKUP($B329,표2[#ALL],2)/HLOOKUP($A329,표1[#ALL],row(),false)</f>
        <v>#N/A</v>
      </c>
      <c r="R329" s="376" t="str">
        <f>CS_PID!R329/VLOOKUP($B329,표2[#ALL],2)/HLOOKUP($A329,표1[#ALL],row(),false)</f>
        <v>#N/A</v>
      </c>
      <c r="S329" s="376" t="str">
        <f>CS_PID!S329/VLOOKUP($B329,표2[#ALL],2)/HLOOKUP($A329,표1[#ALL],row(),false)</f>
        <v>#N/A</v>
      </c>
      <c r="T329" s="376" t="str">
        <f>CS_PID!T329/VLOOKUP($B329,표2[#ALL],2)/HLOOKUP($A329,표1[#ALL],row(),false)</f>
        <v>#N/A</v>
      </c>
      <c r="U329" s="376" t="str">
        <f>CS_PID!U329/VLOOKUP($B329,표2[#ALL],2)/HLOOKUP($A329,표1[#ALL],row(),false)</f>
        <v>#N/A</v>
      </c>
      <c r="V329" s="376" t="str">
        <f>CS_PID!V329/VLOOKUP($B329,표2[#ALL],2)/HLOOKUP($A329,표1[#ALL],row(),false)</f>
        <v>#N/A</v>
      </c>
      <c r="W329" s="376" t="str">
        <f>CS_PID!W329/VLOOKUP($B329,표2[#ALL],2)/HLOOKUP($A329,표1[#ALL],row(),false)</f>
        <v>#N/A</v>
      </c>
      <c r="X329" s="376" t="str">
        <f>CS_PID!X329/VLOOKUP($B329,표2[#ALL],2)/HLOOKUP($A329,표1[#ALL],row(),false)</f>
        <v>#N/A</v>
      </c>
      <c r="Y329" s="376" t="str">
        <f>CS_PID!Y329/VLOOKUP($B329,표2[#ALL],2)/HLOOKUP($A329,표1[#ALL],row(),false)</f>
        <v>#N/A</v>
      </c>
      <c r="Z329" s="376" t="str">
        <f>CS_PID!Z329/VLOOKUP($B329,표2[#ALL],2)/HLOOKUP($A329,표1[#ALL],row(),false)</f>
        <v>#N/A</v>
      </c>
      <c r="AA329" s="376" t="str">
        <f>CS_PID!AA329/VLOOKUP($B329,표2[#ALL],2)/HLOOKUP($A329,표1[#ALL],row(),false)</f>
        <v>#N/A</v>
      </c>
      <c r="AB329" s="376" t="str">
        <f>CS_PID!AB329/VLOOKUP($B329,표2[#ALL],2)/HLOOKUP($A329,표1[#ALL],row(),false)</f>
        <v>#N/A</v>
      </c>
      <c r="AC329" s="376" t="str">
        <f>CS_PID!AC329/VLOOKUP($B329,표2[#ALL],2)/HLOOKUP($A329,표1[#ALL],row(),false)</f>
        <v>#N/A</v>
      </c>
      <c r="AD329" s="376" t="str">
        <f>CS_PID!AD329/VLOOKUP($B329,표2[#ALL],2)/HLOOKUP($A329,표1[#ALL],row(),false)</f>
        <v>#N/A</v>
      </c>
      <c r="AE329" s="376" t="str">
        <f>CS_PID!AE329/VLOOKUP($B329,표2[#ALL],2)/HLOOKUP($A329,표1[#ALL],row(),false)</f>
        <v>#N/A</v>
      </c>
      <c r="AF329" s="376" t="str">
        <f>CS_PID!AF329/VLOOKUP($B329,표2[#ALL],2)/HLOOKUP($A329,표1[#ALL],row(),false)</f>
        <v>#N/A</v>
      </c>
      <c r="AG329" s="376" t="str">
        <f>CS_PID!AG329/VLOOKUP($B329,표2[#ALL],2)/HLOOKUP($A329,표1[#ALL],row(),false)</f>
        <v>#N/A</v>
      </c>
      <c r="AH329" s="376" t="str">
        <f>CS_PID!AH329/VLOOKUP($B329,표2[#ALL],2)/HLOOKUP($A329,표1[#ALL],row(),false)</f>
        <v>#N/A</v>
      </c>
      <c r="AI329" s="376" t="str">
        <f>CS_PID!AI329/VLOOKUP($B329,표2[#ALL],2)/HLOOKUP($A329,표1[#ALL],row(),false)</f>
        <v>#N/A</v>
      </c>
      <c r="AJ329" s="376" t="str">
        <f>CS_PID!AJ329/VLOOKUP($B329,표2[#ALL],2)/HLOOKUP($A329,표1[#ALL],row(),false)</f>
        <v>#N/A</v>
      </c>
      <c r="AK329" s="376" t="str">
        <f>CS_PID!AK329/VLOOKUP($B329,표2[#ALL],2)/HLOOKUP($A329,표1[#ALL],row(),false)</f>
        <v>#N/A</v>
      </c>
      <c r="AL329" s="376" t="str">
        <f>CS_PID!AL329/VLOOKUP($B329,표2[#ALL],2)/HLOOKUP($A329,표1[#ALL],row(),false)</f>
        <v>#N/A</v>
      </c>
      <c r="AM329" s="376" t="str">
        <f>CS_PID!AM329/VLOOKUP($B329,표2[#ALL],2)/HLOOKUP($A329,표1[#ALL],row(),false)</f>
        <v>#N/A</v>
      </c>
      <c r="AN329" s="376" t="str">
        <f>CS_PID!AN329/VLOOKUP($B329,표2[#ALL],2)/HLOOKUP($A329,표1[#ALL],row(),false)</f>
        <v>#N/A</v>
      </c>
      <c r="AO329" s="376" t="str">
        <f>CS_PID!AO329/VLOOKUP($B329,표2[#ALL],2)/HLOOKUP($A329,표1[#ALL],row(),false)</f>
        <v>#N/A</v>
      </c>
      <c r="AP329" s="376" t="str">
        <f>CS_PID!AP329/VLOOKUP($B329,표2[#ALL],2)/HLOOKUP($A329,표1[#ALL],row(),false)</f>
        <v>#N/A</v>
      </c>
      <c r="AQ329" s="376" t="str">
        <f>CS_PID!AQ329/VLOOKUP($B329,표2[#ALL],2)/HLOOKUP($A329,표1[#ALL],row(),false)</f>
        <v>#N/A</v>
      </c>
      <c r="AR329" s="376" t="str">
        <f>CS_PID!AR329/VLOOKUP($B329,표2[#ALL],2)/HLOOKUP($A329,표1[#ALL],row(),false)</f>
        <v>#N/A</v>
      </c>
      <c r="AS329" s="377" t="str">
        <f>CS_PID!AS329/VLOOKUP($B329,표2[#ALL],2)/HLOOKUP($A329,표1[#ALL],row(),false)</f>
        <v>#N/A</v>
      </c>
    </row>
    <row r="330">
      <c r="A330" s="370"/>
      <c r="B330" s="371"/>
      <c r="C330" s="372" t="str">
        <f>CS_PID!C330/VLOOKUP($B330,표2[#ALL],2)</f>
        <v>#N/A</v>
      </c>
      <c r="D330" s="372" t="str">
        <f>CS_PID!D330/VLOOKUP($B330,표2[#ALL],2)</f>
        <v>#N/A</v>
      </c>
      <c r="E330" s="372" t="str">
        <f>CS_PID!E330/VLOOKUP($B330,표2[#ALL],2)</f>
        <v>#N/A</v>
      </c>
      <c r="F330" s="372" t="str">
        <f>CS_PID!F330/VLOOKUP($B330,표2[#ALL],2)</f>
        <v>#N/A</v>
      </c>
      <c r="G330" s="372" t="str">
        <f>CS_PID!G330/VLOOKUP($B330,표2[#ALL],2)</f>
        <v>#N/A</v>
      </c>
      <c r="H330" s="372" t="str">
        <f>CS_PID!H330/VLOOKUP($B330,표2[#ALL],2)/HLOOKUP($A330,표1[#ALL],row(),false)</f>
        <v>#N/A</v>
      </c>
      <c r="I330" s="372" t="str">
        <f>CS_PID!I330/VLOOKUP($B330,표2[#ALL],2)/HLOOKUP($A330,표1[#ALL],row(),false)</f>
        <v>#N/A</v>
      </c>
      <c r="J330" s="372" t="str">
        <f>CS_PID!J330/VLOOKUP($B330,표2[#ALL],2)/HLOOKUP($A330,표1[#ALL],row(),false)</f>
        <v>#N/A</v>
      </c>
      <c r="K330" s="372" t="str">
        <f>CS_PID!K330/VLOOKUP($B330,표2[#ALL],2)/HLOOKUP($A330,표1[#ALL],row(),false)</f>
        <v>#N/A</v>
      </c>
      <c r="L330" s="372" t="str">
        <f>CS_PID!L330/VLOOKUP($B330,표2[#ALL],2)/HLOOKUP($A330,표1[#ALL],row(),false)</f>
        <v>#N/A</v>
      </c>
      <c r="M330" s="372" t="str">
        <f>CS_PID!M330/VLOOKUP($B330,표2[#ALL],2)/HLOOKUP($A330,표1[#ALL],row(),false)</f>
        <v>#N/A</v>
      </c>
      <c r="N330" s="372" t="str">
        <f>CS_PID!N330/VLOOKUP($B330,표2[#ALL],2)/HLOOKUP($A330,표1[#ALL],row(),false)</f>
        <v>#N/A</v>
      </c>
      <c r="O330" s="372" t="str">
        <f>CS_PID!O330/VLOOKUP($B330,표2[#ALL],2)/HLOOKUP($A330,표1[#ALL],row(),false)</f>
        <v>#N/A</v>
      </c>
      <c r="P330" s="372" t="str">
        <f>CS_PID!P330/VLOOKUP($B330,표2[#ALL],2)/HLOOKUP($A330,표1[#ALL],row(),false)</f>
        <v>#N/A</v>
      </c>
      <c r="Q330" s="372" t="str">
        <f>CS_PID!Q330/VLOOKUP($B330,표2[#ALL],2)/HLOOKUP($A330,표1[#ALL],row(),false)</f>
        <v>#N/A</v>
      </c>
      <c r="R330" s="372" t="str">
        <f>CS_PID!R330/VLOOKUP($B330,표2[#ALL],2)/HLOOKUP($A330,표1[#ALL],row(),false)</f>
        <v>#N/A</v>
      </c>
      <c r="S330" s="372" t="str">
        <f>CS_PID!S330/VLOOKUP($B330,표2[#ALL],2)/HLOOKUP($A330,표1[#ALL],row(),false)</f>
        <v>#N/A</v>
      </c>
      <c r="T330" s="372" t="str">
        <f>CS_PID!T330/VLOOKUP($B330,표2[#ALL],2)/HLOOKUP($A330,표1[#ALL],row(),false)</f>
        <v>#N/A</v>
      </c>
      <c r="U330" s="372" t="str">
        <f>CS_PID!U330/VLOOKUP($B330,표2[#ALL],2)/HLOOKUP($A330,표1[#ALL],row(),false)</f>
        <v>#N/A</v>
      </c>
      <c r="V330" s="372" t="str">
        <f>CS_PID!V330/VLOOKUP($B330,표2[#ALL],2)/HLOOKUP($A330,표1[#ALL],row(),false)</f>
        <v>#N/A</v>
      </c>
      <c r="W330" s="372" t="str">
        <f>CS_PID!W330/VLOOKUP($B330,표2[#ALL],2)/HLOOKUP($A330,표1[#ALL],row(),false)</f>
        <v>#N/A</v>
      </c>
      <c r="X330" s="372" t="str">
        <f>CS_PID!X330/VLOOKUP($B330,표2[#ALL],2)/HLOOKUP($A330,표1[#ALL],row(),false)</f>
        <v>#N/A</v>
      </c>
      <c r="Y330" s="372" t="str">
        <f>CS_PID!Y330/VLOOKUP($B330,표2[#ALL],2)/HLOOKUP($A330,표1[#ALL],row(),false)</f>
        <v>#N/A</v>
      </c>
      <c r="Z330" s="372" t="str">
        <f>CS_PID!Z330/VLOOKUP($B330,표2[#ALL],2)/HLOOKUP($A330,표1[#ALL],row(),false)</f>
        <v>#N/A</v>
      </c>
      <c r="AA330" s="372" t="str">
        <f>CS_PID!AA330/VLOOKUP($B330,표2[#ALL],2)/HLOOKUP($A330,표1[#ALL],row(),false)</f>
        <v>#N/A</v>
      </c>
      <c r="AB330" s="372" t="str">
        <f>CS_PID!AB330/VLOOKUP($B330,표2[#ALL],2)/HLOOKUP($A330,표1[#ALL],row(),false)</f>
        <v>#N/A</v>
      </c>
      <c r="AC330" s="372" t="str">
        <f>CS_PID!AC330/VLOOKUP($B330,표2[#ALL],2)/HLOOKUP($A330,표1[#ALL],row(),false)</f>
        <v>#N/A</v>
      </c>
      <c r="AD330" s="372" t="str">
        <f>CS_PID!AD330/VLOOKUP($B330,표2[#ALL],2)/HLOOKUP($A330,표1[#ALL],row(),false)</f>
        <v>#N/A</v>
      </c>
      <c r="AE330" s="372" t="str">
        <f>CS_PID!AE330/VLOOKUP($B330,표2[#ALL],2)/HLOOKUP($A330,표1[#ALL],row(),false)</f>
        <v>#N/A</v>
      </c>
      <c r="AF330" s="372" t="str">
        <f>CS_PID!AF330/VLOOKUP($B330,표2[#ALL],2)/HLOOKUP($A330,표1[#ALL],row(),false)</f>
        <v>#N/A</v>
      </c>
      <c r="AG330" s="372" t="str">
        <f>CS_PID!AG330/VLOOKUP($B330,표2[#ALL],2)/HLOOKUP($A330,표1[#ALL],row(),false)</f>
        <v>#N/A</v>
      </c>
      <c r="AH330" s="372" t="str">
        <f>CS_PID!AH330/VLOOKUP($B330,표2[#ALL],2)/HLOOKUP($A330,표1[#ALL],row(),false)</f>
        <v>#N/A</v>
      </c>
      <c r="AI330" s="372" t="str">
        <f>CS_PID!AI330/VLOOKUP($B330,표2[#ALL],2)/HLOOKUP($A330,표1[#ALL],row(),false)</f>
        <v>#N/A</v>
      </c>
      <c r="AJ330" s="372" t="str">
        <f>CS_PID!AJ330/VLOOKUP($B330,표2[#ALL],2)/HLOOKUP($A330,표1[#ALL],row(),false)</f>
        <v>#N/A</v>
      </c>
      <c r="AK330" s="372" t="str">
        <f>CS_PID!AK330/VLOOKUP($B330,표2[#ALL],2)/HLOOKUP($A330,표1[#ALL],row(),false)</f>
        <v>#N/A</v>
      </c>
      <c r="AL330" s="372" t="str">
        <f>CS_PID!AL330/VLOOKUP($B330,표2[#ALL],2)/HLOOKUP($A330,표1[#ALL],row(),false)</f>
        <v>#N/A</v>
      </c>
      <c r="AM330" s="372" t="str">
        <f>CS_PID!AM330/VLOOKUP($B330,표2[#ALL],2)/HLOOKUP($A330,표1[#ALL],row(),false)</f>
        <v>#N/A</v>
      </c>
      <c r="AN330" s="372" t="str">
        <f>CS_PID!AN330/VLOOKUP($B330,표2[#ALL],2)/HLOOKUP($A330,표1[#ALL],row(),false)</f>
        <v>#N/A</v>
      </c>
      <c r="AO330" s="372" t="str">
        <f>CS_PID!AO330/VLOOKUP($B330,표2[#ALL],2)/HLOOKUP($A330,표1[#ALL],row(),false)</f>
        <v>#N/A</v>
      </c>
      <c r="AP330" s="372" t="str">
        <f>CS_PID!AP330/VLOOKUP($B330,표2[#ALL],2)/HLOOKUP($A330,표1[#ALL],row(),false)</f>
        <v>#N/A</v>
      </c>
      <c r="AQ330" s="372" t="str">
        <f>CS_PID!AQ330/VLOOKUP($B330,표2[#ALL],2)/HLOOKUP($A330,표1[#ALL],row(),false)</f>
        <v>#N/A</v>
      </c>
      <c r="AR330" s="372" t="str">
        <f>CS_PID!AR330/VLOOKUP($B330,표2[#ALL],2)/HLOOKUP($A330,표1[#ALL],row(),false)</f>
        <v>#N/A</v>
      </c>
      <c r="AS330" s="373" t="str">
        <f>CS_PID!AS330/VLOOKUP($B330,표2[#ALL],2)/HLOOKUP($A330,표1[#ALL],row(),false)</f>
        <v>#N/A</v>
      </c>
    </row>
    <row r="331">
      <c r="A331" s="374"/>
      <c r="B331" s="375"/>
      <c r="C331" s="376" t="str">
        <f>CS_PID!C331/VLOOKUP($B331,표2[#ALL],2)</f>
        <v>#N/A</v>
      </c>
      <c r="D331" s="376" t="str">
        <f>CS_PID!D331/VLOOKUP($B331,표2[#ALL],2)</f>
        <v>#N/A</v>
      </c>
      <c r="E331" s="376" t="str">
        <f>CS_PID!E331/VLOOKUP($B331,표2[#ALL],2)</f>
        <v>#N/A</v>
      </c>
      <c r="F331" s="376" t="str">
        <f>CS_PID!F331/VLOOKUP($B331,표2[#ALL],2)</f>
        <v>#N/A</v>
      </c>
      <c r="G331" s="376" t="str">
        <f>CS_PID!G331/VLOOKUP($B331,표2[#ALL],2)</f>
        <v>#N/A</v>
      </c>
      <c r="H331" s="376" t="str">
        <f>CS_PID!H331/VLOOKUP($B331,표2[#ALL],2)/HLOOKUP($A331,표1[#ALL],row(),false)</f>
        <v>#N/A</v>
      </c>
      <c r="I331" s="376" t="str">
        <f>CS_PID!I331/VLOOKUP($B331,표2[#ALL],2)/HLOOKUP($A331,표1[#ALL],row(),false)</f>
        <v>#N/A</v>
      </c>
      <c r="J331" s="376" t="str">
        <f>CS_PID!J331/VLOOKUP($B331,표2[#ALL],2)/HLOOKUP($A331,표1[#ALL],row(),false)</f>
        <v>#N/A</v>
      </c>
      <c r="K331" s="376" t="str">
        <f>CS_PID!K331/VLOOKUP($B331,표2[#ALL],2)/HLOOKUP($A331,표1[#ALL],row(),false)</f>
        <v>#N/A</v>
      </c>
      <c r="L331" s="376" t="str">
        <f>CS_PID!L331/VLOOKUP($B331,표2[#ALL],2)/HLOOKUP($A331,표1[#ALL],row(),false)</f>
        <v>#N/A</v>
      </c>
      <c r="M331" s="376" t="str">
        <f>CS_PID!M331/VLOOKUP($B331,표2[#ALL],2)/HLOOKUP($A331,표1[#ALL],row(),false)</f>
        <v>#N/A</v>
      </c>
      <c r="N331" s="376" t="str">
        <f>CS_PID!N331/VLOOKUP($B331,표2[#ALL],2)/HLOOKUP($A331,표1[#ALL],row(),false)</f>
        <v>#N/A</v>
      </c>
      <c r="O331" s="376" t="str">
        <f>CS_PID!O331/VLOOKUP($B331,표2[#ALL],2)/HLOOKUP($A331,표1[#ALL],row(),false)</f>
        <v>#N/A</v>
      </c>
      <c r="P331" s="376" t="str">
        <f>CS_PID!P331/VLOOKUP($B331,표2[#ALL],2)/HLOOKUP($A331,표1[#ALL],row(),false)</f>
        <v>#N/A</v>
      </c>
      <c r="Q331" s="376" t="str">
        <f>CS_PID!Q331/VLOOKUP($B331,표2[#ALL],2)/HLOOKUP($A331,표1[#ALL],row(),false)</f>
        <v>#N/A</v>
      </c>
      <c r="R331" s="376" t="str">
        <f>CS_PID!R331/VLOOKUP($B331,표2[#ALL],2)/HLOOKUP($A331,표1[#ALL],row(),false)</f>
        <v>#N/A</v>
      </c>
      <c r="S331" s="376" t="str">
        <f>CS_PID!S331/VLOOKUP($B331,표2[#ALL],2)/HLOOKUP($A331,표1[#ALL],row(),false)</f>
        <v>#N/A</v>
      </c>
      <c r="T331" s="376" t="str">
        <f>CS_PID!T331/VLOOKUP($B331,표2[#ALL],2)/HLOOKUP($A331,표1[#ALL],row(),false)</f>
        <v>#N/A</v>
      </c>
      <c r="U331" s="376" t="str">
        <f>CS_PID!U331/VLOOKUP($B331,표2[#ALL],2)/HLOOKUP($A331,표1[#ALL],row(),false)</f>
        <v>#N/A</v>
      </c>
      <c r="V331" s="376" t="str">
        <f>CS_PID!V331/VLOOKUP($B331,표2[#ALL],2)/HLOOKUP($A331,표1[#ALL],row(),false)</f>
        <v>#N/A</v>
      </c>
      <c r="W331" s="376" t="str">
        <f>CS_PID!W331/VLOOKUP($B331,표2[#ALL],2)/HLOOKUP($A331,표1[#ALL],row(),false)</f>
        <v>#N/A</v>
      </c>
      <c r="X331" s="376" t="str">
        <f>CS_PID!X331/VLOOKUP($B331,표2[#ALL],2)/HLOOKUP($A331,표1[#ALL],row(),false)</f>
        <v>#N/A</v>
      </c>
      <c r="Y331" s="376" t="str">
        <f>CS_PID!Y331/VLOOKUP($B331,표2[#ALL],2)/HLOOKUP($A331,표1[#ALL],row(),false)</f>
        <v>#N/A</v>
      </c>
      <c r="Z331" s="376" t="str">
        <f>CS_PID!Z331/VLOOKUP($B331,표2[#ALL],2)/HLOOKUP($A331,표1[#ALL],row(),false)</f>
        <v>#N/A</v>
      </c>
      <c r="AA331" s="376" t="str">
        <f>CS_PID!AA331/VLOOKUP($B331,표2[#ALL],2)/HLOOKUP($A331,표1[#ALL],row(),false)</f>
        <v>#N/A</v>
      </c>
      <c r="AB331" s="376" t="str">
        <f>CS_PID!AB331/VLOOKUP($B331,표2[#ALL],2)/HLOOKUP($A331,표1[#ALL],row(),false)</f>
        <v>#N/A</v>
      </c>
      <c r="AC331" s="376" t="str">
        <f>CS_PID!AC331/VLOOKUP($B331,표2[#ALL],2)/HLOOKUP($A331,표1[#ALL],row(),false)</f>
        <v>#N/A</v>
      </c>
      <c r="AD331" s="376" t="str">
        <f>CS_PID!AD331/VLOOKUP($B331,표2[#ALL],2)/HLOOKUP($A331,표1[#ALL],row(),false)</f>
        <v>#N/A</v>
      </c>
      <c r="AE331" s="376" t="str">
        <f>CS_PID!AE331/VLOOKUP($B331,표2[#ALL],2)/HLOOKUP($A331,표1[#ALL],row(),false)</f>
        <v>#N/A</v>
      </c>
      <c r="AF331" s="376" t="str">
        <f>CS_PID!AF331/VLOOKUP($B331,표2[#ALL],2)/HLOOKUP($A331,표1[#ALL],row(),false)</f>
        <v>#N/A</v>
      </c>
      <c r="AG331" s="376" t="str">
        <f>CS_PID!AG331/VLOOKUP($B331,표2[#ALL],2)/HLOOKUP($A331,표1[#ALL],row(),false)</f>
        <v>#N/A</v>
      </c>
      <c r="AH331" s="376" t="str">
        <f>CS_PID!AH331/VLOOKUP($B331,표2[#ALL],2)/HLOOKUP($A331,표1[#ALL],row(),false)</f>
        <v>#N/A</v>
      </c>
      <c r="AI331" s="376" t="str">
        <f>CS_PID!AI331/VLOOKUP($B331,표2[#ALL],2)/HLOOKUP($A331,표1[#ALL],row(),false)</f>
        <v>#N/A</v>
      </c>
      <c r="AJ331" s="376" t="str">
        <f>CS_PID!AJ331/VLOOKUP($B331,표2[#ALL],2)/HLOOKUP($A331,표1[#ALL],row(),false)</f>
        <v>#N/A</v>
      </c>
      <c r="AK331" s="376" t="str">
        <f>CS_PID!AK331/VLOOKUP($B331,표2[#ALL],2)/HLOOKUP($A331,표1[#ALL],row(),false)</f>
        <v>#N/A</v>
      </c>
      <c r="AL331" s="376" t="str">
        <f>CS_PID!AL331/VLOOKUP($B331,표2[#ALL],2)/HLOOKUP($A331,표1[#ALL],row(),false)</f>
        <v>#N/A</v>
      </c>
      <c r="AM331" s="376" t="str">
        <f>CS_PID!AM331/VLOOKUP($B331,표2[#ALL],2)/HLOOKUP($A331,표1[#ALL],row(),false)</f>
        <v>#N/A</v>
      </c>
      <c r="AN331" s="376" t="str">
        <f>CS_PID!AN331/VLOOKUP($B331,표2[#ALL],2)/HLOOKUP($A331,표1[#ALL],row(),false)</f>
        <v>#N/A</v>
      </c>
      <c r="AO331" s="376" t="str">
        <f>CS_PID!AO331/VLOOKUP($B331,표2[#ALL],2)/HLOOKUP($A331,표1[#ALL],row(),false)</f>
        <v>#N/A</v>
      </c>
      <c r="AP331" s="376" t="str">
        <f>CS_PID!AP331/VLOOKUP($B331,표2[#ALL],2)/HLOOKUP($A331,표1[#ALL],row(),false)</f>
        <v>#N/A</v>
      </c>
      <c r="AQ331" s="376" t="str">
        <f>CS_PID!AQ331/VLOOKUP($B331,표2[#ALL],2)/HLOOKUP($A331,표1[#ALL],row(),false)</f>
        <v>#N/A</v>
      </c>
      <c r="AR331" s="376" t="str">
        <f>CS_PID!AR331/VLOOKUP($B331,표2[#ALL],2)/HLOOKUP($A331,표1[#ALL],row(),false)</f>
        <v>#N/A</v>
      </c>
      <c r="AS331" s="377" t="str">
        <f>CS_PID!AS331/VLOOKUP($B331,표2[#ALL],2)/HLOOKUP($A331,표1[#ALL],row(),false)</f>
        <v>#N/A</v>
      </c>
    </row>
    <row r="332">
      <c r="A332" s="370"/>
      <c r="B332" s="371"/>
      <c r="C332" s="372" t="str">
        <f>CS_PID!C332/VLOOKUP($B332,표2[#ALL],2)</f>
        <v>#N/A</v>
      </c>
      <c r="D332" s="372" t="str">
        <f>CS_PID!D332/VLOOKUP($B332,표2[#ALL],2)</f>
        <v>#N/A</v>
      </c>
      <c r="E332" s="372" t="str">
        <f>CS_PID!E332/VLOOKUP($B332,표2[#ALL],2)</f>
        <v>#N/A</v>
      </c>
      <c r="F332" s="372" t="str">
        <f>CS_PID!F332/VLOOKUP($B332,표2[#ALL],2)</f>
        <v>#N/A</v>
      </c>
      <c r="G332" s="372" t="str">
        <f>CS_PID!G332/VLOOKUP($B332,표2[#ALL],2)</f>
        <v>#N/A</v>
      </c>
      <c r="H332" s="372" t="str">
        <f>CS_PID!H332/VLOOKUP($B332,표2[#ALL],2)/HLOOKUP($A332,표1[#ALL],row(),false)</f>
        <v>#N/A</v>
      </c>
      <c r="I332" s="372" t="str">
        <f>CS_PID!I332/VLOOKUP($B332,표2[#ALL],2)/HLOOKUP($A332,표1[#ALL],row(),false)</f>
        <v>#N/A</v>
      </c>
      <c r="J332" s="372" t="str">
        <f>CS_PID!J332/VLOOKUP($B332,표2[#ALL],2)/HLOOKUP($A332,표1[#ALL],row(),false)</f>
        <v>#N/A</v>
      </c>
      <c r="K332" s="372" t="str">
        <f>CS_PID!K332/VLOOKUP($B332,표2[#ALL],2)/HLOOKUP($A332,표1[#ALL],row(),false)</f>
        <v>#N/A</v>
      </c>
      <c r="L332" s="372" t="str">
        <f>CS_PID!L332/VLOOKUP($B332,표2[#ALL],2)/HLOOKUP($A332,표1[#ALL],row(),false)</f>
        <v>#N/A</v>
      </c>
      <c r="M332" s="372" t="str">
        <f>CS_PID!M332/VLOOKUP($B332,표2[#ALL],2)/HLOOKUP($A332,표1[#ALL],row(),false)</f>
        <v>#N/A</v>
      </c>
      <c r="N332" s="372" t="str">
        <f>CS_PID!N332/VLOOKUP($B332,표2[#ALL],2)/HLOOKUP($A332,표1[#ALL],row(),false)</f>
        <v>#N/A</v>
      </c>
      <c r="O332" s="372" t="str">
        <f>CS_PID!O332/VLOOKUP($B332,표2[#ALL],2)/HLOOKUP($A332,표1[#ALL],row(),false)</f>
        <v>#N/A</v>
      </c>
      <c r="P332" s="372" t="str">
        <f>CS_PID!P332/VLOOKUP($B332,표2[#ALL],2)/HLOOKUP($A332,표1[#ALL],row(),false)</f>
        <v>#N/A</v>
      </c>
      <c r="Q332" s="372" t="str">
        <f>CS_PID!Q332/VLOOKUP($B332,표2[#ALL],2)/HLOOKUP($A332,표1[#ALL],row(),false)</f>
        <v>#N/A</v>
      </c>
      <c r="R332" s="372" t="str">
        <f>CS_PID!R332/VLOOKUP($B332,표2[#ALL],2)/HLOOKUP($A332,표1[#ALL],row(),false)</f>
        <v>#N/A</v>
      </c>
      <c r="S332" s="372" t="str">
        <f>CS_PID!S332/VLOOKUP($B332,표2[#ALL],2)/HLOOKUP($A332,표1[#ALL],row(),false)</f>
        <v>#N/A</v>
      </c>
      <c r="T332" s="372" t="str">
        <f>CS_PID!T332/VLOOKUP($B332,표2[#ALL],2)/HLOOKUP($A332,표1[#ALL],row(),false)</f>
        <v>#N/A</v>
      </c>
      <c r="U332" s="372" t="str">
        <f>CS_PID!U332/VLOOKUP($B332,표2[#ALL],2)/HLOOKUP($A332,표1[#ALL],row(),false)</f>
        <v>#N/A</v>
      </c>
      <c r="V332" s="372" t="str">
        <f>CS_PID!V332/VLOOKUP($B332,표2[#ALL],2)/HLOOKUP($A332,표1[#ALL],row(),false)</f>
        <v>#N/A</v>
      </c>
      <c r="W332" s="372" t="str">
        <f>CS_PID!W332/VLOOKUP($B332,표2[#ALL],2)/HLOOKUP($A332,표1[#ALL],row(),false)</f>
        <v>#N/A</v>
      </c>
      <c r="X332" s="372" t="str">
        <f>CS_PID!X332/VLOOKUP($B332,표2[#ALL],2)/HLOOKUP($A332,표1[#ALL],row(),false)</f>
        <v>#N/A</v>
      </c>
      <c r="Y332" s="372" t="str">
        <f>CS_PID!Y332/VLOOKUP($B332,표2[#ALL],2)/HLOOKUP($A332,표1[#ALL],row(),false)</f>
        <v>#N/A</v>
      </c>
      <c r="Z332" s="372" t="str">
        <f>CS_PID!Z332/VLOOKUP($B332,표2[#ALL],2)/HLOOKUP($A332,표1[#ALL],row(),false)</f>
        <v>#N/A</v>
      </c>
      <c r="AA332" s="372" t="str">
        <f>CS_PID!AA332/VLOOKUP($B332,표2[#ALL],2)/HLOOKUP($A332,표1[#ALL],row(),false)</f>
        <v>#N/A</v>
      </c>
      <c r="AB332" s="372" t="str">
        <f>CS_PID!AB332/VLOOKUP($B332,표2[#ALL],2)/HLOOKUP($A332,표1[#ALL],row(),false)</f>
        <v>#N/A</v>
      </c>
      <c r="AC332" s="372" t="str">
        <f>CS_PID!AC332/VLOOKUP($B332,표2[#ALL],2)/HLOOKUP($A332,표1[#ALL],row(),false)</f>
        <v>#N/A</v>
      </c>
      <c r="AD332" s="372" t="str">
        <f>CS_PID!AD332/VLOOKUP($B332,표2[#ALL],2)/HLOOKUP($A332,표1[#ALL],row(),false)</f>
        <v>#N/A</v>
      </c>
      <c r="AE332" s="372" t="str">
        <f>CS_PID!AE332/VLOOKUP($B332,표2[#ALL],2)/HLOOKUP($A332,표1[#ALL],row(),false)</f>
        <v>#N/A</v>
      </c>
      <c r="AF332" s="372" t="str">
        <f>CS_PID!AF332/VLOOKUP($B332,표2[#ALL],2)/HLOOKUP($A332,표1[#ALL],row(),false)</f>
        <v>#N/A</v>
      </c>
      <c r="AG332" s="372" t="str">
        <f>CS_PID!AG332/VLOOKUP($B332,표2[#ALL],2)/HLOOKUP($A332,표1[#ALL],row(),false)</f>
        <v>#N/A</v>
      </c>
      <c r="AH332" s="372" t="str">
        <f>CS_PID!AH332/VLOOKUP($B332,표2[#ALL],2)/HLOOKUP($A332,표1[#ALL],row(),false)</f>
        <v>#N/A</v>
      </c>
      <c r="AI332" s="372" t="str">
        <f>CS_PID!AI332/VLOOKUP($B332,표2[#ALL],2)/HLOOKUP($A332,표1[#ALL],row(),false)</f>
        <v>#N/A</v>
      </c>
      <c r="AJ332" s="372" t="str">
        <f>CS_PID!AJ332/VLOOKUP($B332,표2[#ALL],2)/HLOOKUP($A332,표1[#ALL],row(),false)</f>
        <v>#N/A</v>
      </c>
      <c r="AK332" s="372" t="str">
        <f>CS_PID!AK332/VLOOKUP($B332,표2[#ALL],2)/HLOOKUP($A332,표1[#ALL],row(),false)</f>
        <v>#N/A</v>
      </c>
      <c r="AL332" s="372" t="str">
        <f>CS_PID!AL332/VLOOKUP($B332,표2[#ALL],2)/HLOOKUP($A332,표1[#ALL],row(),false)</f>
        <v>#N/A</v>
      </c>
      <c r="AM332" s="372" t="str">
        <f>CS_PID!AM332/VLOOKUP($B332,표2[#ALL],2)/HLOOKUP($A332,표1[#ALL],row(),false)</f>
        <v>#N/A</v>
      </c>
      <c r="AN332" s="372" t="str">
        <f>CS_PID!AN332/VLOOKUP($B332,표2[#ALL],2)/HLOOKUP($A332,표1[#ALL],row(),false)</f>
        <v>#N/A</v>
      </c>
      <c r="AO332" s="372" t="str">
        <f>CS_PID!AO332/VLOOKUP($B332,표2[#ALL],2)/HLOOKUP($A332,표1[#ALL],row(),false)</f>
        <v>#N/A</v>
      </c>
      <c r="AP332" s="372" t="str">
        <f>CS_PID!AP332/VLOOKUP($B332,표2[#ALL],2)/HLOOKUP($A332,표1[#ALL],row(),false)</f>
        <v>#N/A</v>
      </c>
      <c r="AQ332" s="372" t="str">
        <f>CS_PID!AQ332/VLOOKUP($B332,표2[#ALL],2)/HLOOKUP($A332,표1[#ALL],row(),false)</f>
        <v>#N/A</v>
      </c>
      <c r="AR332" s="372" t="str">
        <f>CS_PID!AR332/VLOOKUP($B332,표2[#ALL],2)/HLOOKUP($A332,표1[#ALL],row(),false)</f>
        <v>#N/A</v>
      </c>
      <c r="AS332" s="373" t="str">
        <f>CS_PID!AS332/VLOOKUP($B332,표2[#ALL],2)/HLOOKUP($A332,표1[#ALL],row(),false)</f>
        <v>#N/A</v>
      </c>
    </row>
    <row r="333">
      <c r="A333" s="374"/>
      <c r="B333" s="375"/>
      <c r="C333" s="376" t="str">
        <f>CS_PID!C333/VLOOKUP($B333,표2[#ALL],2)</f>
        <v>#N/A</v>
      </c>
      <c r="D333" s="376" t="str">
        <f>CS_PID!D333/VLOOKUP($B333,표2[#ALL],2)</f>
        <v>#N/A</v>
      </c>
      <c r="E333" s="376" t="str">
        <f>CS_PID!E333/VLOOKUP($B333,표2[#ALL],2)</f>
        <v>#N/A</v>
      </c>
      <c r="F333" s="376" t="str">
        <f>CS_PID!F333/VLOOKUP($B333,표2[#ALL],2)</f>
        <v>#N/A</v>
      </c>
      <c r="G333" s="376" t="str">
        <f>CS_PID!G333/VLOOKUP($B333,표2[#ALL],2)</f>
        <v>#N/A</v>
      </c>
      <c r="H333" s="376" t="str">
        <f>CS_PID!H333/VLOOKUP($B333,표2[#ALL],2)/HLOOKUP($A333,표1[#ALL],row(),false)</f>
        <v>#N/A</v>
      </c>
      <c r="I333" s="376" t="str">
        <f>CS_PID!I333/VLOOKUP($B333,표2[#ALL],2)/HLOOKUP($A333,표1[#ALL],row(),false)</f>
        <v>#N/A</v>
      </c>
      <c r="J333" s="376" t="str">
        <f>CS_PID!J333/VLOOKUP($B333,표2[#ALL],2)/HLOOKUP($A333,표1[#ALL],row(),false)</f>
        <v>#N/A</v>
      </c>
      <c r="K333" s="376" t="str">
        <f>CS_PID!K333/VLOOKUP($B333,표2[#ALL],2)/HLOOKUP($A333,표1[#ALL],row(),false)</f>
        <v>#N/A</v>
      </c>
      <c r="L333" s="376" t="str">
        <f>CS_PID!L333/VLOOKUP($B333,표2[#ALL],2)/HLOOKUP($A333,표1[#ALL],row(),false)</f>
        <v>#N/A</v>
      </c>
      <c r="M333" s="376" t="str">
        <f>CS_PID!M333/VLOOKUP($B333,표2[#ALL],2)/HLOOKUP($A333,표1[#ALL],row(),false)</f>
        <v>#N/A</v>
      </c>
      <c r="N333" s="376" t="str">
        <f>CS_PID!N333/VLOOKUP($B333,표2[#ALL],2)/HLOOKUP($A333,표1[#ALL],row(),false)</f>
        <v>#N/A</v>
      </c>
      <c r="O333" s="376" t="str">
        <f>CS_PID!O333/VLOOKUP($B333,표2[#ALL],2)/HLOOKUP($A333,표1[#ALL],row(),false)</f>
        <v>#N/A</v>
      </c>
      <c r="P333" s="376" t="str">
        <f>CS_PID!P333/VLOOKUP($B333,표2[#ALL],2)/HLOOKUP($A333,표1[#ALL],row(),false)</f>
        <v>#N/A</v>
      </c>
      <c r="Q333" s="376" t="str">
        <f>CS_PID!Q333/VLOOKUP($B333,표2[#ALL],2)/HLOOKUP($A333,표1[#ALL],row(),false)</f>
        <v>#N/A</v>
      </c>
      <c r="R333" s="376" t="str">
        <f>CS_PID!R333/VLOOKUP($B333,표2[#ALL],2)/HLOOKUP($A333,표1[#ALL],row(),false)</f>
        <v>#N/A</v>
      </c>
      <c r="S333" s="376" t="str">
        <f>CS_PID!S333/VLOOKUP($B333,표2[#ALL],2)/HLOOKUP($A333,표1[#ALL],row(),false)</f>
        <v>#N/A</v>
      </c>
      <c r="T333" s="376" t="str">
        <f>CS_PID!T333/VLOOKUP($B333,표2[#ALL],2)/HLOOKUP($A333,표1[#ALL],row(),false)</f>
        <v>#N/A</v>
      </c>
      <c r="U333" s="376" t="str">
        <f>CS_PID!U333/VLOOKUP($B333,표2[#ALL],2)/HLOOKUP($A333,표1[#ALL],row(),false)</f>
        <v>#N/A</v>
      </c>
      <c r="V333" s="376" t="str">
        <f>CS_PID!V333/VLOOKUP($B333,표2[#ALL],2)/HLOOKUP($A333,표1[#ALL],row(),false)</f>
        <v>#N/A</v>
      </c>
      <c r="W333" s="376" t="str">
        <f>CS_PID!W333/VLOOKUP($B333,표2[#ALL],2)/HLOOKUP($A333,표1[#ALL],row(),false)</f>
        <v>#N/A</v>
      </c>
      <c r="X333" s="376" t="str">
        <f>CS_PID!X333/VLOOKUP($B333,표2[#ALL],2)/HLOOKUP($A333,표1[#ALL],row(),false)</f>
        <v>#N/A</v>
      </c>
      <c r="Y333" s="376" t="str">
        <f>CS_PID!Y333/VLOOKUP($B333,표2[#ALL],2)/HLOOKUP($A333,표1[#ALL],row(),false)</f>
        <v>#N/A</v>
      </c>
      <c r="Z333" s="376" t="str">
        <f>CS_PID!Z333/VLOOKUP($B333,표2[#ALL],2)/HLOOKUP($A333,표1[#ALL],row(),false)</f>
        <v>#N/A</v>
      </c>
      <c r="AA333" s="376" t="str">
        <f>CS_PID!AA333/VLOOKUP($B333,표2[#ALL],2)/HLOOKUP($A333,표1[#ALL],row(),false)</f>
        <v>#N/A</v>
      </c>
      <c r="AB333" s="376" t="str">
        <f>CS_PID!AB333/VLOOKUP($B333,표2[#ALL],2)/HLOOKUP($A333,표1[#ALL],row(),false)</f>
        <v>#N/A</v>
      </c>
      <c r="AC333" s="376" t="str">
        <f>CS_PID!AC333/VLOOKUP($B333,표2[#ALL],2)/HLOOKUP($A333,표1[#ALL],row(),false)</f>
        <v>#N/A</v>
      </c>
      <c r="AD333" s="376" t="str">
        <f>CS_PID!AD333/VLOOKUP($B333,표2[#ALL],2)/HLOOKUP($A333,표1[#ALL],row(),false)</f>
        <v>#N/A</v>
      </c>
      <c r="AE333" s="376" t="str">
        <f>CS_PID!AE333/VLOOKUP($B333,표2[#ALL],2)/HLOOKUP($A333,표1[#ALL],row(),false)</f>
        <v>#N/A</v>
      </c>
      <c r="AF333" s="376" t="str">
        <f>CS_PID!AF333/VLOOKUP($B333,표2[#ALL],2)/HLOOKUP($A333,표1[#ALL],row(),false)</f>
        <v>#N/A</v>
      </c>
      <c r="AG333" s="376" t="str">
        <f>CS_PID!AG333/VLOOKUP($B333,표2[#ALL],2)/HLOOKUP($A333,표1[#ALL],row(),false)</f>
        <v>#N/A</v>
      </c>
      <c r="AH333" s="376" t="str">
        <f>CS_PID!AH333/VLOOKUP($B333,표2[#ALL],2)/HLOOKUP($A333,표1[#ALL],row(),false)</f>
        <v>#N/A</v>
      </c>
      <c r="AI333" s="376" t="str">
        <f>CS_PID!AI333/VLOOKUP($B333,표2[#ALL],2)/HLOOKUP($A333,표1[#ALL],row(),false)</f>
        <v>#N/A</v>
      </c>
      <c r="AJ333" s="376" t="str">
        <f>CS_PID!AJ333/VLOOKUP($B333,표2[#ALL],2)/HLOOKUP($A333,표1[#ALL],row(),false)</f>
        <v>#N/A</v>
      </c>
      <c r="AK333" s="376" t="str">
        <f>CS_PID!AK333/VLOOKUP($B333,표2[#ALL],2)/HLOOKUP($A333,표1[#ALL],row(),false)</f>
        <v>#N/A</v>
      </c>
      <c r="AL333" s="376" t="str">
        <f>CS_PID!AL333/VLOOKUP($B333,표2[#ALL],2)/HLOOKUP($A333,표1[#ALL],row(),false)</f>
        <v>#N/A</v>
      </c>
      <c r="AM333" s="376" t="str">
        <f>CS_PID!AM333/VLOOKUP($B333,표2[#ALL],2)/HLOOKUP($A333,표1[#ALL],row(),false)</f>
        <v>#N/A</v>
      </c>
      <c r="AN333" s="376" t="str">
        <f>CS_PID!AN333/VLOOKUP($B333,표2[#ALL],2)/HLOOKUP($A333,표1[#ALL],row(),false)</f>
        <v>#N/A</v>
      </c>
      <c r="AO333" s="376" t="str">
        <f>CS_PID!AO333/VLOOKUP($B333,표2[#ALL],2)/HLOOKUP($A333,표1[#ALL],row(),false)</f>
        <v>#N/A</v>
      </c>
      <c r="AP333" s="376" t="str">
        <f>CS_PID!AP333/VLOOKUP($B333,표2[#ALL],2)/HLOOKUP($A333,표1[#ALL],row(),false)</f>
        <v>#N/A</v>
      </c>
      <c r="AQ333" s="376" t="str">
        <f>CS_PID!AQ333/VLOOKUP($B333,표2[#ALL],2)/HLOOKUP($A333,표1[#ALL],row(),false)</f>
        <v>#N/A</v>
      </c>
      <c r="AR333" s="376" t="str">
        <f>CS_PID!AR333/VLOOKUP($B333,표2[#ALL],2)/HLOOKUP($A333,표1[#ALL],row(),false)</f>
        <v>#N/A</v>
      </c>
      <c r="AS333" s="377" t="str">
        <f>CS_PID!AS333/VLOOKUP($B333,표2[#ALL],2)/HLOOKUP($A333,표1[#ALL],row(),false)</f>
        <v>#N/A</v>
      </c>
    </row>
    <row r="334">
      <c r="A334" s="370"/>
      <c r="B334" s="371"/>
      <c r="C334" s="372" t="str">
        <f>CS_PID!C334/VLOOKUP($B334,표2[#ALL],2)</f>
        <v>#N/A</v>
      </c>
      <c r="D334" s="372" t="str">
        <f>CS_PID!D334/VLOOKUP($B334,표2[#ALL],2)</f>
        <v>#N/A</v>
      </c>
      <c r="E334" s="372" t="str">
        <f>CS_PID!E334/VLOOKUP($B334,표2[#ALL],2)</f>
        <v>#N/A</v>
      </c>
      <c r="F334" s="372" t="str">
        <f>CS_PID!F334/VLOOKUP($B334,표2[#ALL],2)</f>
        <v>#N/A</v>
      </c>
      <c r="G334" s="372" t="str">
        <f>CS_PID!G334/VLOOKUP($B334,표2[#ALL],2)</f>
        <v>#N/A</v>
      </c>
      <c r="H334" s="372" t="str">
        <f>CS_PID!H334/VLOOKUP($B334,표2[#ALL],2)/HLOOKUP($A334,표1[#ALL],row(),false)</f>
        <v>#N/A</v>
      </c>
      <c r="I334" s="372" t="str">
        <f>CS_PID!I334/VLOOKUP($B334,표2[#ALL],2)/HLOOKUP($A334,표1[#ALL],row(),false)</f>
        <v>#N/A</v>
      </c>
      <c r="J334" s="372" t="str">
        <f>CS_PID!J334/VLOOKUP($B334,표2[#ALL],2)/HLOOKUP($A334,표1[#ALL],row(),false)</f>
        <v>#N/A</v>
      </c>
      <c r="K334" s="372" t="str">
        <f>CS_PID!K334/VLOOKUP($B334,표2[#ALL],2)/HLOOKUP($A334,표1[#ALL],row(),false)</f>
        <v>#N/A</v>
      </c>
      <c r="L334" s="372" t="str">
        <f>CS_PID!L334/VLOOKUP($B334,표2[#ALL],2)/HLOOKUP($A334,표1[#ALL],row(),false)</f>
        <v>#N/A</v>
      </c>
      <c r="M334" s="372" t="str">
        <f>CS_PID!M334/VLOOKUP($B334,표2[#ALL],2)/HLOOKUP($A334,표1[#ALL],row(),false)</f>
        <v>#N/A</v>
      </c>
      <c r="N334" s="372" t="str">
        <f>CS_PID!N334/VLOOKUP($B334,표2[#ALL],2)/HLOOKUP($A334,표1[#ALL],row(),false)</f>
        <v>#N/A</v>
      </c>
      <c r="O334" s="372" t="str">
        <f>CS_PID!O334/VLOOKUP($B334,표2[#ALL],2)/HLOOKUP($A334,표1[#ALL],row(),false)</f>
        <v>#N/A</v>
      </c>
      <c r="P334" s="372" t="str">
        <f>CS_PID!P334/VLOOKUP($B334,표2[#ALL],2)/HLOOKUP($A334,표1[#ALL],row(),false)</f>
        <v>#N/A</v>
      </c>
      <c r="Q334" s="372" t="str">
        <f>CS_PID!Q334/VLOOKUP($B334,표2[#ALL],2)/HLOOKUP($A334,표1[#ALL],row(),false)</f>
        <v>#N/A</v>
      </c>
      <c r="R334" s="372" t="str">
        <f>CS_PID!R334/VLOOKUP($B334,표2[#ALL],2)/HLOOKUP($A334,표1[#ALL],row(),false)</f>
        <v>#N/A</v>
      </c>
      <c r="S334" s="372" t="str">
        <f>CS_PID!S334/VLOOKUP($B334,표2[#ALL],2)/HLOOKUP($A334,표1[#ALL],row(),false)</f>
        <v>#N/A</v>
      </c>
      <c r="T334" s="372" t="str">
        <f>CS_PID!T334/VLOOKUP($B334,표2[#ALL],2)/HLOOKUP($A334,표1[#ALL],row(),false)</f>
        <v>#N/A</v>
      </c>
      <c r="U334" s="372" t="str">
        <f>CS_PID!U334/VLOOKUP($B334,표2[#ALL],2)/HLOOKUP($A334,표1[#ALL],row(),false)</f>
        <v>#N/A</v>
      </c>
      <c r="V334" s="372" t="str">
        <f>CS_PID!V334/VLOOKUP($B334,표2[#ALL],2)/HLOOKUP($A334,표1[#ALL],row(),false)</f>
        <v>#N/A</v>
      </c>
      <c r="W334" s="372" t="str">
        <f>CS_PID!W334/VLOOKUP($B334,표2[#ALL],2)/HLOOKUP($A334,표1[#ALL],row(),false)</f>
        <v>#N/A</v>
      </c>
      <c r="X334" s="372" t="str">
        <f>CS_PID!X334/VLOOKUP($B334,표2[#ALL],2)/HLOOKUP($A334,표1[#ALL],row(),false)</f>
        <v>#N/A</v>
      </c>
      <c r="Y334" s="372" t="str">
        <f>CS_PID!Y334/VLOOKUP($B334,표2[#ALL],2)/HLOOKUP($A334,표1[#ALL],row(),false)</f>
        <v>#N/A</v>
      </c>
      <c r="Z334" s="372" t="str">
        <f>CS_PID!Z334/VLOOKUP($B334,표2[#ALL],2)/HLOOKUP($A334,표1[#ALL],row(),false)</f>
        <v>#N/A</v>
      </c>
      <c r="AA334" s="372" t="str">
        <f>CS_PID!AA334/VLOOKUP($B334,표2[#ALL],2)/HLOOKUP($A334,표1[#ALL],row(),false)</f>
        <v>#N/A</v>
      </c>
      <c r="AB334" s="372" t="str">
        <f>CS_PID!AB334/VLOOKUP($B334,표2[#ALL],2)/HLOOKUP($A334,표1[#ALL],row(),false)</f>
        <v>#N/A</v>
      </c>
      <c r="AC334" s="372" t="str">
        <f>CS_PID!AC334/VLOOKUP($B334,표2[#ALL],2)/HLOOKUP($A334,표1[#ALL],row(),false)</f>
        <v>#N/A</v>
      </c>
      <c r="AD334" s="372" t="str">
        <f>CS_PID!AD334/VLOOKUP($B334,표2[#ALL],2)/HLOOKUP($A334,표1[#ALL],row(),false)</f>
        <v>#N/A</v>
      </c>
      <c r="AE334" s="372" t="str">
        <f>CS_PID!AE334/VLOOKUP($B334,표2[#ALL],2)/HLOOKUP($A334,표1[#ALL],row(),false)</f>
        <v>#N/A</v>
      </c>
      <c r="AF334" s="372" t="str">
        <f>CS_PID!AF334/VLOOKUP($B334,표2[#ALL],2)/HLOOKUP($A334,표1[#ALL],row(),false)</f>
        <v>#N/A</v>
      </c>
      <c r="AG334" s="372" t="str">
        <f>CS_PID!AG334/VLOOKUP($B334,표2[#ALL],2)/HLOOKUP($A334,표1[#ALL],row(),false)</f>
        <v>#N/A</v>
      </c>
      <c r="AH334" s="372" t="str">
        <f>CS_PID!AH334/VLOOKUP($B334,표2[#ALL],2)/HLOOKUP($A334,표1[#ALL],row(),false)</f>
        <v>#N/A</v>
      </c>
      <c r="AI334" s="372" t="str">
        <f>CS_PID!AI334/VLOOKUP($B334,표2[#ALL],2)/HLOOKUP($A334,표1[#ALL],row(),false)</f>
        <v>#N/A</v>
      </c>
      <c r="AJ334" s="372" t="str">
        <f>CS_PID!AJ334/VLOOKUP($B334,표2[#ALL],2)/HLOOKUP($A334,표1[#ALL],row(),false)</f>
        <v>#N/A</v>
      </c>
      <c r="AK334" s="372" t="str">
        <f>CS_PID!AK334/VLOOKUP($B334,표2[#ALL],2)/HLOOKUP($A334,표1[#ALL],row(),false)</f>
        <v>#N/A</v>
      </c>
      <c r="AL334" s="372" t="str">
        <f>CS_PID!AL334/VLOOKUP($B334,표2[#ALL],2)/HLOOKUP($A334,표1[#ALL],row(),false)</f>
        <v>#N/A</v>
      </c>
      <c r="AM334" s="372" t="str">
        <f>CS_PID!AM334/VLOOKUP($B334,표2[#ALL],2)/HLOOKUP($A334,표1[#ALL],row(),false)</f>
        <v>#N/A</v>
      </c>
      <c r="AN334" s="372" t="str">
        <f>CS_PID!AN334/VLOOKUP($B334,표2[#ALL],2)/HLOOKUP($A334,표1[#ALL],row(),false)</f>
        <v>#N/A</v>
      </c>
      <c r="AO334" s="372" t="str">
        <f>CS_PID!AO334/VLOOKUP($B334,표2[#ALL],2)/HLOOKUP($A334,표1[#ALL],row(),false)</f>
        <v>#N/A</v>
      </c>
      <c r="AP334" s="372" t="str">
        <f>CS_PID!AP334/VLOOKUP($B334,표2[#ALL],2)/HLOOKUP($A334,표1[#ALL],row(),false)</f>
        <v>#N/A</v>
      </c>
      <c r="AQ334" s="372" t="str">
        <f>CS_PID!AQ334/VLOOKUP($B334,표2[#ALL],2)/HLOOKUP($A334,표1[#ALL],row(),false)</f>
        <v>#N/A</v>
      </c>
      <c r="AR334" s="372" t="str">
        <f>CS_PID!AR334/VLOOKUP($B334,표2[#ALL],2)/HLOOKUP($A334,표1[#ALL],row(),false)</f>
        <v>#N/A</v>
      </c>
      <c r="AS334" s="373" t="str">
        <f>CS_PID!AS334/VLOOKUP($B334,표2[#ALL],2)/HLOOKUP($A334,표1[#ALL],row(),false)</f>
        <v>#N/A</v>
      </c>
    </row>
    <row r="335">
      <c r="A335" s="374"/>
      <c r="B335" s="375"/>
      <c r="C335" s="376" t="str">
        <f>CS_PID!C335/VLOOKUP($B335,표2[#ALL],2)</f>
        <v>#N/A</v>
      </c>
      <c r="D335" s="376" t="str">
        <f>CS_PID!D335/VLOOKUP($B335,표2[#ALL],2)</f>
        <v>#N/A</v>
      </c>
      <c r="E335" s="376" t="str">
        <f>CS_PID!E335/VLOOKUP($B335,표2[#ALL],2)</f>
        <v>#N/A</v>
      </c>
      <c r="F335" s="376" t="str">
        <f>CS_PID!F335/VLOOKUP($B335,표2[#ALL],2)</f>
        <v>#N/A</v>
      </c>
      <c r="G335" s="376" t="str">
        <f>CS_PID!G335/VLOOKUP($B335,표2[#ALL],2)</f>
        <v>#N/A</v>
      </c>
      <c r="H335" s="376" t="str">
        <f>CS_PID!H335/VLOOKUP($B335,표2[#ALL],2)/HLOOKUP($A335,표1[#ALL],row(),false)</f>
        <v>#N/A</v>
      </c>
      <c r="I335" s="376" t="str">
        <f>CS_PID!I335/VLOOKUP($B335,표2[#ALL],2)/HLOOKUP($A335,표1[#ALL],row(),false)</f>
        <v>#N/A</v>
      </c>
      <c r="J335" s="376" t="str">
        <f>CS_PID!J335/VLOOKUP($B335,표2[#ALL],2)/HLOOKUP($A335,표1[#ALL],row(),false)</f>
        <v>#N/A</v>
      </c>
      <c r="K335" s="376" t="str">
        <f>CS_PID!K335/VLOOKUP($B335,표2[#ALL],2)/HLOOKUP($A335,표1[#ALL],row(),false)</f>
        <v>#N/A</v>
      </c>
      <c r="L335" s="376" t="str">
        <f>CS_PID!L335/VLOOKUP($B335,표2[#ALL],2)/HLOOKUP($A335,표1[#ALL],row(),false)</f>
        <v>#N/A</v>
      </c>
      <c r="M335" s="376" t="str">
        <f>CS_PID!M335/VLOOKUP($B335,표2[#ALL],2)/HLOOKUP($A335,표1[#ALL],row(),false)</f>
        <v>#N/A</v>
      </c>
      <c r="N335" s="376" t="str">
        <f>CS_PID!N335/VLOOKUP($B335,표2[#ALL],2)/HLOOKUP($A335,표1[#ALL],row(),false)</f>
        <v>#N/A</v>
      </c>
      <c r="O335" s="376" t="str">
        <f>CS_PID!O335/VLOOKUP($B335,표2[#ALL],2)/HLOOKUP($A335,표1[#ALL],row(),false)</f>
        <v>#N/A</v>
      </c>
      <c r="P335" s="376" t="str">
        <f>CS_PID!P335/VLOOKUP($B335,표2[#ALL],2)/HLOOKUP($A335,표1[#ALL],row(),false)</f>
        <v>#N/A</v>
      </c>
      <c r="Q335" s="376" t="str">
        <f>CS_PID!Q335/VLOOKUP($B335,표2[#ALL],2)/HLOOKUP($A335,표1[#ALL],row(),false)</f>
        <v>#N/A</v>
      </c>
      <c r="R335" s="376" t="str">
        <f>CS_PID!R335/VLOOKUP($B335,표2[#ALL],2)/HLOOKUP($A335,표1[#ALL],row(),false)</f>
        <v>#N/A</v>
      </c>
      <c r="S335" s="376" t="str">
        <f>CS_PID!S335/VLOOKUP($B335,표2[#ALL],2)/HLOOKUP($A335,표1[#ALL],row(),false)</f>
        <v>#N/A</v>
      </c>
      <c r="T335" s="376" t="str">
        <f>CS_PID!T335/VLOOKUP($B335,표2[#ALL],2)/HLOOKUP($A335,표1[#ALL],row(),false)</f>
        <v>#N/A</v>
      </c>
      <c r="U335" s="376" t="str">
        <f>CS_PID!U335/VLOOKUP($B335,표2[#ALL],2)/HLOOKUP($A335,표1[#ALL],row(),false)</f>
        <v>#N/A</v>
      </c>
      <c r="V335" s="376" t="str">
        <f>CS_PID!V335/VLOOKUP($B335,표2[#ALL],2)/HLOOKUP($A335,표1[#ALL],row(),false)</f>
        <v>#N/A</v>
      </c>
      <c r="W335" s="376" t="str">
        <f>CS_PID!W335/VLOOKUP($B335,표2[#ALL],2)/HLOOKUP($A335,표1[#ALL],row(),false)</f>
        <v>#N/A</v>
      </c>
      <c r="X335" s="376" t="str">
        <f>CS_PID!X335/VLOOKUP($B335,표2[#ALL],2)/HLOOKUP($A335,표1[#ALL],row(),false)</f>
        <v>#N/A</v>
      </c>
      <c r="Y335" s="376" t="str">
        <f>CS_PID!Y335/VLOOKUP($B335,표2[#ALL],2)/HLOOKUP($A335,표1[#ALL],row(),false)</f>
        <v>#N/A</v>
      </c>
      <c r="Z335" s="376" t="str">
        <f>CS_PID!Z335/VLOOKUP($B335,표2[#ALL],2)/HLOOKUP($A335,표1[#ALL],row(),false)</f>
        <v>#N/A</v>
      </c>
      <c r="AA335" s="376" t="str">
        <f>CS_PID!AA335/VLOOKUP($B335,표2[#ALL],2)/HLOOKUP($A335,표1[#ALL],row(),false)</f>
        <v>#N/A</v>
      </c>
      <c r="AB335" s="376" t="str">
        <f>CS_PID!AB335/VLOOKUP($B335,표2[#ALL],2)/HLOOKUP($A335,표1[#ALL],row(),false)</f>
        <v>#N/A</v>
      </c>
      <c r="AC335" s="376" t="str">
        <f>CS_PID!AC335/VLOOKUP($B335,표2[#ALL],2)/HLOOKUP($A335,표1[#ALL],row(),false)</f>
        <v>#N/A</v>
      </c>
      <c r="AD335" s="376" t="str">
        <f>CS_PID!AD335/VLOOKUP($B335,표2[#ALL],2)/HLOOKUP($A335,표1[#ALL],row(),false)</f>
        <v>#N/A</v>
      </c>
      <c r="AE335" s="376" t="str">
        <f>CS_PID!AE335/VLOOKUP($B335,표2[#ALL],2)/HLOOKUP($A335,표1[#ALL],row(),false)</f>
        <v>#N/A</v>
      </c>
      <c r="AF335" s="376" t="str">
        <f>CS_PID!AF335/VLOOKUP($B335,표2[#ALL],2)/HLOOKUP($A335,표1[#ALL],row(),false)</f>
        <v>#N/A</v>
      </c>
      <c r="AG335" s="376" t="str">
        <f>CS_PID!AG335/VLOOKUP($B335,표2[#ALL],2)/HLOOKUP($A335,표1[#ALL],row(),false)</f>
        <v>#N/A</v>
      </c>
      <c r="AH335" s="376" t="str">
        <f>CS_PID!AH335/VLOOKUP($B335,표2[#ALL],2)/HLOOKUP($A335,표1[#ALL],row(),false)</f>
        <v>#N/A</v>
      </c>
      <c r="AI335" s="376" t="str">
        <f>CS_PID!AI335/VLOOKUP($B335,표2[#ALL],2)/HLOOKUP($A335,표1[#ALL],row(),false)</f>
        <v>#N/A</v>
      </c>
      <c r="AJ335" s="376" t="str">
        <f>CS_PID!AJ335/VLOOKUP($B335,표2[#ALL],2)/HLOOKUP($A335,표1[#ALL],row(),false)</f>
        <v>#N/A</v>
      </c>
      <c r="AK335" s="376" t="str">
        <f>CS_PID!AK335/VLOOKUP($B335,표2[#ALL],2)/HLOOKUP($A335,표1[#ALL],row(),false)</f>
        <v>#N/A</v>
      </c>
      <c r="AL335" s="376" t="str">
        <f>CS_PID!AL335/VLOOKUP($B335,표2[#ALL],2)/HLOOKUP($A335,표1[#ALL],row(),false)</f>
        <v>#N/A</v>
      </c>
      <c r="AM335" s="376" t="str">
        <f>CS_PID!AM335/VLOOKUP($B335,표2[#ALL],2)/HLOOKUP($A335,표1[#ALL],row(),false)</f>
        <v>#N/A</v>
      </c>
      <c r="AN335" s="376" t="str">
        <f>CS_PID!AN335/VLOOKUP($B335,표2[#ALL],2)/HLOOKUP($A335,표1[#ALL],row(),false)</f>
        <v>#N/A</v>
      </c>
      <c r="AO335" s="376" t="str">
        <f>CS_PID!AO335/VLOOKUP($B335,표2[#ALL],2)/HLOOKUP($A335,표1[#ALL],row(),false)</f>
        <v>#N/A</v>
      </c>
      <c r="AP335" s="376" t="str">
        <f>CS_PID!AP335/VLOOKUP($B335,표2[#ALL],2)/HLOOKUP($A335,표1[#ALL],row(),false)</f>
        <v>#N/A</v>
      </c>
      <c r="AQ335" s="376" t="str">
        <f>CS_PID!AQ335/VLOOKUP($B335,표2[#ALL],2)/HLOOKUP($A335,표1[#ALL],row(),false)</f>
        <v>#N/A</v>
      </c>
      <c r="AR335" s="376" t="str">
        <f>CS_PID!AR335/VLOOKUP($B335,표2[#ALL],2)/HLOOKUP($A335,표1[#ALL],row(),false)</f>
        <v>#N/A</v>
      </c>
      <c r="AS335" s="377" t="str">
        <f>CS_PID!AS335/VLOOKUP($B335,표2[#ALL],2)/HLOOKUP($A335,표1[#ALL],row(),false)</f>
        <v>#N/A</v>
      </c>
    </row>
    <row r="336">
      <c r="A336" s="370"/>
      <c r="B336" s="371"/>
      <c r="C336" s="372" t="str">
        <f>CS_PID!C336/VLOOKUP($B336,표2[#ALL],2)</f>
        <v>#N/A</v>
      </c>
      <c r="D336" s="372" t="str">
        <f>CS_PID!D336/VLOOKUP($B336,표2[#ALL],2)</f>
        <v>#N/A</v>
      </c>
      <c r="E336" s="372" t="str">
        <f>CS_PID!E336/VLOOKUP($B336,표2[#ALL],2)</f>
        <v>#N/A</v>
      </c>
      <c r="F336" s="372" t="str">
        <f>CS_PID!F336/VLOOKUP($B336,표2[#ALL],2)</f>
        <v>#N/A</v>
      </c>
      <c r="G336" s="372" t="str">
        <f>CS_PID!G336/VLOOKUP($B336,표2[#ALL],2)</f>
        <v>#N/A</v>
      </c>
      <c r="H336" s="372" t="str">
        <f>CS_PID!H336/VLOOKUP($B336,표2[#ALL],2)/HLOOKUP($A336,표1[#ALL],row(),false)</f>
        <v>#N/A</v>
      </c>
      <c r="I336" s="372" t="str">
        <f>CS_PID!I336/VLOOKUP($B336,표2[#ALL],2)/HLOOKUP($A336,표1[#ALL],row(),false)</f>
        <v>#N/A</v>
      </c>
      <c r="J336" s="372" t="str">
        <f>CS_PID!J336/VLOOKUP($B336,표2[#ALL],2)/HLOOKUP($A336,표1[#ALL],row(),false)</f>
        <v>#N/A</v>
      </c>
      <c r="K336" s="372" t="str">
        <f>CS_PID!K336/VLOOKUP($B336,표2[#ALL],2)/HLOOKUP($A336,표1[#ALL],row(),false)</f>
        <v>#N/A</v>
      </c>
      <c r="L336" s="372" t="str">
        <f>CS_PID!L336/VLOOKUP($B336,표2[#ALL],2)/HLOOKUP($A336,표1[#ALL],row(),false)</f>
        <v>#N/A</v>
      </c>
      <c r="M336" s="372" t="str">
        <f>CS_PID!M336/VLOOKUP($B336,표2[#ALL],2)/HLOOKUP($A336,표1[#ALL],row(),false)</f>
        <v>#N/A</v>
      </c>
      <c r="N336" s="372" t="str">
        <f>CS_PID!N336/VLOOKUP($B336,표2[#ALL],2)/HLOOKUP($A336,표1[#ALL],row(),false)</f>
        <v>#N/A</v>
      </c>
      <c r="O336" s="372" t="str">
        <f>CS_PID!O336/VLOOKUP($B336,표2[#ALL],2)/HLOOKUP($A336,표1[#ALL],row(),false)</f>
        <v>#N/A</v>
      </c>
      <c r="P336" s="372" t="str">
        <f>CS_PID!P336/VLOOKUP($B336,표2[#ALL],2)/HLOOKUP($A336,표1[#ALL],row(),false)</f>
        <v>#N/A</v>
      </c>
      <c r="Q336" s="372" t="str">
        <f>CS_PID!Q336/VLOOKUP($B336,표2[#ALL],2)/HLOOKUP($A336,표1[#ALL],row(),false)</f>
        <v>#N/A</v>
      </c>
      <c r="R336" s="372" t="str">
        <f>CS_PID!R336/VLOOKUP($B336,표2[#ALL],2)/HLOOKUP($A336,표1[#ALL],row(),false)</f>
        <v>#N/A</v>
      </c>
      <c r="S336" s="372" t="str">
        <f>CS_PID!S336/VLOOKUP($B336,표2[#ALL],2)/HLOOKUP($A336,표1[#ALL],row(),false)</f>
        <v>#N/A</v>
      </c>
      <c r="T336" s="372" t="str">
        <f>CS_PID!T336/VLOOKUP($B336,표2[#ALL],2)/HLOOKUP($A336,표1[#ALL],row(),false)</f>
        <v>#N/A</v>
      </c>
      <c r="U336" s="372" t="str">
        <f>CS_PID!U336/VLOOKUP($B336,표2[#ALL],2)/HLOOKUP($A336,표1[#ALL],row(),false)</f>
        <v>#N/A</v>
      </c>
      <c r="V336" s="372" t="str">
        <f>CS_PID!V336/VLOOKUP($B336,표2[#ALL],2)/HLOOKUP($A336,표1[#ALL],row(),false)</f>
        <v>#N/A</v>
      </c>
      <c r="W336" s="372" t="str">
        <f>CS_PID!W336/VLOOKUP($B336,표2[#ALL],2)/HLOOKUP($A336,표1[#ALL],row(),false)</f>
        <v>#N/A</v>
      </c>
      <c r="X336" s="372" t="str">
        <f>CS_PID!X336/VLOOKUP($B336,표2[#ALL],2)/HLOOKUP($A336,표1[#ALL],row(),false)</f>
        <v>#N/A</v>
      </c>
      <c r="Y336" s="372" t="str">
        <f>CS_PID!Y336/VLOOKUP($B336,표2[#ALL],2)/HLOOKUP($A336,표1[#ALL],row(),false)</f>
        <v>#N/A</v>
      </c>
      <c r="Z336" s="372" t="str">
        <f>CS_PID!Z336/VLOOKUP($B336,표2[#ALL],2)/HLOOKUP($A336,표1[#ALL],row(),false)</f>
        <v>#N/A</v>
      </c>
      <c r="AA336" s="372" t="str">
        <f>CS_PID!AA336/VLOOKUP($B336,표2[#ALL],2)/HLOOKUP($A336,표1[#ALL],row(),false)</f>
        <v>#N/A</v>
      </c>
      <c r="AB336" s="372" t="str">
        <f>CS_PID!AB336/VLOOKUP($B336,표2[#ALL],2)/HLOOKUP($A336,표1[#ALL],row(),false)</f>
        <v>#N/A</v>
      </c>
      <c r="AC336" s="372" t="str">
        <f>CS_PID!AC336/VLOOKUP($B336,표2[#ALL],2)/HLOOKUP($A336,표1[#ALL],row(),false)</f>
        <v>#N/A</v>
      </c>
      <c r="AD336" s="372" t="str">
        <f>CS_PID!AD336/VLOOKUP($B336,표2[#ALL],2)/HLOOKUP($A336,표1[#ALL],row(),false)</f>
        <v>#N/A</v>
      </c>
      <c r="AE336" s="372" t="str">
        <f>CS_PID!AE336/VLOOKUP($B336,표2[#ALL],2)/HLOOKUP($A336,표1[#ALL],row(),false)</f>
        <v>#N/A</v>
      </c>
      <c r="AF336" s="372" t="str">
        <f>CS_PID!AF336/VLOOKUP($B336,표2[#ALL],2)/HLOOKUP($A336,표1[#ALL],row(),false)</f>
        <v>#N/A</v>
      </c>
      <c r="AG336" s="372" t="str">
        <f>CS_PID!AG336/VLOOKUP($B336,표2[#ALL],2)/HLOOKUP($A336,표1[#ALL],row(),false)</f>
        <v>#N/A</v>
      </c>
      <c r="AH336" s="372" t="str">
        <f>CS_PID!AH336/VLOOKUP($B336,표2[#ALL],2)/HLOOKUP($A336,표1[#ALL],row(),false)</f>
        <v>#N/A</v>
      </c>
      <c r="AI336" s="372" t="str">
        <f>CS_PID!AI336/VLOOKUP($B336,표2[#ALL],2)/HLOOKUP($A336,표1[#ALL],row(),false)</f>
        <v>#N/A</v>
      </c>
      <c r="AJ336" s="372" t="str">
        <f>CS_PID!AJ336/VLOOKUP($B336,표2[#ALL],2)/HLOOKUP($A336,표1[#ALL],row(),false)</f>
        <v>#N/A</v>
      </c>
      <c r="AK336" s="372" t="str">
        <f>CS_PID!AK336/VLOOKUP($B336,표2[#ALL],2)/HLOOKUP($A336,표1[#ALL],row(),false)</f>
        <v>#N/A</v>
      </c>
      <c r="AL336" s="372" t="str">
        <f>CS_PID!AL336/VLOOKUP($B336,표2[#ALL],2)/HLOOKUP($A336,표1[#ALL],row(),false)</f>
        <v>#N/A</v>
      </c>
      <c r="AM336" s="372" t="str">
        <f>CS_PID!AM336/VLOOKUP($B336,표2[#ALL],2)/HLOOKUP($A336,표1[#ALL],row(),false)</f>
        <v>#N/A</v>
      </c>
      <c r="AN336" s="372" t="str">
        <f>CS_PID!AN336/VLOOKUP($B336,표2[#ALL],2)/HLOOKUP($A336,표1[#ALL],row(),false)</f>
        <v>#N/A</v>
      </c>
      <c r="AO336" s="372" t="str">
        <f>CS_PID!AO336/VLOOKUP($B336,표2[#ALL],2)/HLOOKUP($A336,표1[#ALL],row(),false)</f>
        <v>#N/A</v>
      </c>
      <c r="AP336" s="372" t="str">
        <f>CS_PID!AP336/VLOOKUP($B336,표2[#ALL],2)/HLOOKUP($A336,표1[#ALL],row(),false)</f>
        <v>#N/A</v>
      </c>
      <c r="AQ336" s="372" t="str">
        <f>CS_PID!AQ336/VLOOKUP($B336,표2[#ALL],2)/HLOOKUP($A336,표1[#ALL],row(),false)</f>
        <v>#N/A</v>
      </c>
      <c r="AR336" s="372" t="str">
        <f>CS_PID!AR336/VLOOKUP($B336,표2[#ALL],2)/HLOOKUP($A336,표1[#ALL],row(),false)</f>
        <v>#N/A</v>
      </c>
      <c r="AS336" s="373" t="str">
        <f>CS_PID!AS336/VLOOKUP($B336,표2[#ALL],2)/HLOOKUP($A336,표1[#ALL],row(),false)</f>
        <v>#N/A</v>
      </c>
    </row>
    <row r="337">
      <c r="A337" s="374"/>
      <c r="B337" s="375"/>
      <c r="C337" s="376" t="str">
        <f>CS_PID!C337/VLOOKUP($B337,표2[#ALL],2)</f>
        <v>#N/A</v>
      </c>
      <c r="D337" s="376" t="str">
        <f>CS_PID!D337/VLOOKUP($B337,표2[#ALL],2)</f>
        <v>#N/A</v>
      </c>
      <c r="E337" s="376" t="str">
        <f>CS_PID!E337/VLOOKUP($B337,표2[#ALL],2)</f>
        <v>#N/A</v>
      </c>
      <c r="F337" s="376" t="str">
        <f>CS_PID!F337/VLOOKUP($B337,표2[#ALL],2)</f>
        <v>#N/A</v>
      </c>
      <c r="G337" s="376" t="str">
        <f>CS_PID!G337/VLOOKUP($B337,표2[#ALL],2)</f>
        <v>#N/A</v>
      </c>
      <c r="H337" s="376" t="str">
        <f>CS_PID!H337/VLOOKUP($B337,표2[#ALL],2)/HLOOKUP($A337,표1[#ALL],row(),false)</f>
        <v>#N/A</v>
      </c>
      <c r="I337" s="376" t="str">
        <f>CS_PID!I337/VLOOKUP($B337,표2[#ALL],2)/HLOOKUP($A337,표1[#ALL],row(),false)</f>
        <v>#N/A</v>
      </c>
      <c r="J337" s="376" t="str">
        <f>CS_PID!J337/VLOOKUP($B337,표2[#ALL],2)/HLOOKUP($A337,표1[#ALL],row(),false)</f>
        <v>#N/A</v>
      </c>
      <c r="K337" s="376" t="str">
        <f>CS_PID!K337/VLOOKUP($B337,표2[#ALL],2)/HLOOKUP($A337,표1[#ALL],row(),false)</f>
        <v>#N/A</v>
      </c>
      <c r="L337" s="376" t="str">
        <f>CS_PID!L337/VLOOKUP($B337,표2[#ALL],2)/HLOOKUP($A337,표1[#ALL],row(),false)</f>
        <v>#N/A</v>
      </c>
      <c r="M337" s="376" t="str">
        <f>CS_PID!M337/VLOOKUP($B337,표2[#ALL],2)/HLOOKUP($A337,표1[#ALL],row(),false)</f>
        <v>#N/A</v>
      </c>
      <c r="N337" s="376" t="str">
        <f>CS_PID!N337/VLOOKUP($B337,표2[#ALL],2)/HLOOKUP($A337,표1[#ALL],row(),false)</f>
        <v>#N/A</v>
      </c>
      <c r="O337" s="376" t="str">
        <f>CS_PID!O337/VLOOKUP($B337,표2[#ALL],2)/HLOOKUP($A337,표1[#ALL],row(),false)</f>
        <v>#N/A</v>
      </c>
      <c r="P337" s="376" t="str">
        <f>CS_PID!P337/VLOOKUP($B337,표2[#ALL],2)/HLOOKUP($A337,표1[#ALL],row(),false)</f>
        <v>#N/A</v>
      </c>
      <c r="Q337" s="376" t="str">
        <f>CS_PID!Q337/VLOOKUP($B337,표2[#ALL],2)/HLOOKUP($A337,표1[#ALL],row(),false)</f>
        <v>#N/A</v>
      </c>
      <c r="R337" s="376" t="str">
        <f>CS_PID!R337/VLOOKUP($B337,표2[#ALL],2)/HLOOKUP($A337,표1[#ALL],row(),false)</f>
        <v>#N/A</v>
      </c>
      <c r="S337" s="376" t="str">
        <f>CS_PID!S337/VLOOKUP($B337,표2[#ALL],2)/HLOOKUP($A337,표1[#ALL],row(),false)</f>
        <v>#N/A</v>
      </c>
      <c r="T337" s="376" t="str">
        <f>CS_PID!T337/VLOOKUP($B337,표2[#ALL],2)/HLOOKUP($A337,표1[#ALL],row(),false)</f>
        <v>#N/A</v>
      </c>
      <c r="U337" s="376" t="str">
        <f>CS_PID!U337/VLOOKUP($B337,표2[#ALL],2)/HLOOKUP($A337,표1[#ALL],row(),false)</f>
        <v>#N/A</v>
      </c>
      <c r="V337" s="376" t="str">
        <f>CS_PID!V337/VLOOKUP($B337,표2[#ALL],2)/HLOOKUP($A337,표1[#ALL],row(),false)</f>
        <v>#N/A</v>
      </c>
      <c r="W337" s="376" t="str">
        <f>CS_PID!W337/VLOOKUP($B337,표2[#ALL],2)/HLOOKUP($A337,표1[#ALL],row(),false)</f>
        <v>#N/A</v>
      </c>
      <c r="X337" s="376" t="str">
        <f>CS_PID!X337/VLOOKUP($B337,표2[#ALL],2)/HLOOKUP($A337,표1[#ALL],row(),false)</f>
        <v>#N/A</v>
      </c>
      <c r="Y337" s="376" t="str">
        <f>CS_PID!Y337/VLOOKUP($B337,표2[#ALL],2)/HLOOKUP($A337,표1[#ALL],row(),false)</f>
        <v>#N/A</v>
      </c>
      <c r="Z337" s="376" t="str">
        <f>CS_PID!Z337/VLOOKUP($B337,표2[#ALL],2)/HLOOKUP($A337,표1[#ALL],row(),false)</f>
        <v>#N/A</v>
      </c>
      <c r="AA337" s="376" t="str">
        <f>CS_PID!AA337/VLOOKUP($B337,표2[#ALL],2)/HLOOKUP($A337,표1[#ALL],row(),false)</f>
        <v>#N/A</v>
      </c>
      <c r="AB337" s="376" t="str">
        <f>CS_PID!AB337/VLOOKUP($B337,표2[#ALL],2)/HLOOKUP($A337,표1[#ALL],row(),false)</f>
        <v>#N/A</v>
      </c>
      <c r="AC337" s="376" t="str">
        <f>CS_PID!AC337/VLOOKUP($B337,표2[#ALL],2)/HLOOKUP($A337,표1[#ALL],row(),false)</f>
        <v>#N/A</v>
      </c>
      <c r="AD337" s="376" t="str">
        <f>CS_PID!AD337/VLOOKUP($B337,표2[#ALL],2)/HLOOKUP($A337,표1[#ALL],row(),false)</f>
        <v>#N/A</v>
      </c>
      <c r="AE337" s="376" t="str">
        <f>CS_PID!AE337/VLOOKUP($B337,표2[#ALL],2)/HLOOKUP($A337,표1[#ALL],row(),false)</f>
        <v>#N/A</v>
      </c>
      <c r="AF337" s="376" t="str">
        <f>CS_PID!AF337/VLOOKUP($B337,표2[#ALL],2)/HLOOKUP($A337,표1[#ALL],row(),false)</f>
        <v>#N/A</v>
      </c>
      <c r="AG337" s="376" t="str">
        <f>CS_PID!AG337/VLOOKUP($B337,표2[#ALL],2)/HLOOKUP($A337,표1[#ALL],row(),false)</f>
        <v>#N/A</v>
      </c>
      <c r="AH337" s="376" t="str">
        <f>CS_PID!AH337/VLOOKUP($B337,표2[#ALL],2)/HLOOKUP($A337,표1[#ALL],row(),false)</f>
        <v>#N/A</v>
      </c>
      <c r="AI337" s="376" t="str">
        <f>CS_PID!AI337/VLOOKUP($B337,표2[#ALL],2)/HLOOKUP($A337,표1[#ALL],row(),false)</f>
        <v>#N/A</v>
      </c>
      <c r="AJ337" s="376" t="str">
        <f>CS_PID!AJ337/VLOOKUP($B337,표2[#ALL],2)/HLOOKUP($A337,표1[#ALL],row(),false)</f>
        <v>#N/A</v>
      </c>
      <c r="AK337" s="376" t="str">
        <f>CS_PID!AK337/VLOOKUP($B337,표2[#ALL],2)/HLOOKUP($A337,표1[#ALL],row(),false)</f>
        <v>#N/A</v>
      </c>
      <c r="AL337" s="376" t="str">
        <f>CS_PID!AL337/VLOOKUP($B337,표2[#ALL],2)/HLOOKUP($A337,표1[#ALL],row(),false)</f>
        <v>#N/A</v>
      </c>
      <c r="AM337" s="376" t="str">
        <f>CS_PID!AM337/VLOOKUP($B337,표2[#ALL],2)/HLOOKUP($A337,표1[#ALL],row(),false)</f>
        <v>#N/A</v>
      </c>
      <c r="AN337" s="376" t="str">
        <f>CS_PID!AN337/VLOOKUP($B337,표2[#ALL],2)/HLOOKUP($A337,표1[#ALL],row(),false)</f>
        <v>#N/A</v>
      </c>
      <c r="AO337" s="376" t="str">
        <f>CS_PID!AO337/VLOOKUP($B337,표2[#ALL],2)/HLOOKUP($A337,표1[#ALL],row(),false)</f>
        <v>#N/A</v>
      </c>
      <c r="AP337" s="376" t="str">
        <f>CS_PID!AP337/VLOOKUP($B337,표2[#ALL],2)/HLOOKUP($A337,표1[#ALL],row(),false)</f>
        <v>#N/A</v>
      </c>
      <c r="AQ337" s="376" t="str">
        <f>CS_PID!AQ337/VLOOKUP($B337,표2[#ALL],2)/HLOOKUP($A337,표1[#ALL],row(),false)</f>
        <v>#N/A</v>
      </c>
      <c r="AR337" s="376" t="str">
        <f>CS_PID!AR337/VLOOKUP($B337,표2[#ALL],2)/HLOOKUP($A337,표1[#ALL],row(),false)</f>
        <v>#N/A</v>
      </c>
      <c r="AS337" s="377" t="str">
        <f>CS_PID!AS337/VLOOKUP($B337,표2[#ALL],2)/HLOOKUP($A337,표1[#ALL],row(),false)</f>
        <v>#N/A</v>
      </c>
    </row>
    <row r="338">
      <c r="A338" s="370"/>
      <c r="B338" s="371"/>
      <c r="C338" s="372" t="str">
        <f>CS_PID!C338/VLOOKUP($B338,표2[#ALL],2)</f>
        <v>#N/A</v>
      </c>
      <c r="D338" s="372" t="str">
        <f>CS_PID!D338/VLOOKUP($B338,표2[#ALL],2)</f>
        <v>#N/A</v>
      </c>
      <c r="E338" s="372" t="str">
        <f>CS_PID!E338/VLOOKUP($B338,표2[#ALL],2)</f>
        <v>#N/A</v>
      </c>
      <c r="F338" s="372" t="str">
        <f>CS_PID!F338/VLOOKUP($B338,표2[#ALL],2)</f>
        <v>#N/A</v>
      </c>
      <c r="G338" s="372" t="str">
        <f>CS_PID!G338/VLOOKUP($B338,표2[#ALL],2)</f>
        <v>#N/A</v>
      </c>
      <c r="H338" s="372" t="str">
        <f>CS_PID!H338/VLOOKUP($B338,표2[#ALL],2)/HLOOKUP($A338,표1[#ALL],row(),false)</f>
        <v>#N/A</v>
      </c>
      <c r="I338" s="372" t="str">
        <f>CS_PID!I338/VLOOKUP($B338,표2[#ALL],2)/HLOOKUP($A338,표1[#ALL],row(),false)</f>
        <v>#N/A</v>
      </c>
      <c r="J338" s="372" t="str">
        <f>CS_PID!J338/VLOOKUP($B338,표2[#ALL],2)/HLOOKUP($A338,표1[#ALL],row(),false)</f>
        <v>#N/A</v>
      </c>
      <c r="K338" s="372" t="str">
        <f>CS_PID!K338/VLOOKUP($B338,표2[#ALL],2)/HLOOKUP($A338,표1[#ALL],row(),false)</f>
        <v>#N/A</v>
      </c>
      <c r="L338" s="372" t="str">
        <f>CS_PID!L338/VLOOKUP($B338,표2[#ALL],2)/HLOOKUP($A338,표1[#ALL],row(),false)</f>
        <v>#N/A</v>
      </c>
      <c r="M338" s="372" t="str">
        <f>CS_PID!M338/VLOOKUP($B338,표2[#ALL],2)/HLOOKUP($A338,표1[#ALL],row(),false)</f>
        <v>#N/A</v>
      </c>
      <c r="N338" s="372" t="str">
        <f>CS_PID!N338/VLOOKUP($B338,표2[#ALL],2)/HLOOKUP($A338,표1[#ALL],row(),false)</f>
        <v>#N/A</v>
      </c>
      <c r="O338" s="372" t="str">
        <f>CS_PID!O338/VLOOKUP($B338,표2[#ALL],2)/HLOOKUP($A338,표1[#ALL],row(),false)</f>
        <v>#N/A</v>
      </c>
      <c r="P338" s="372" t="str">
        <f>CS_PID!P338/VLOOKUP($B338,표2[#ALL],2)/HLOOKUP($A338,표1[#ALL],row(),false)</f>
        <v>#N/A</v>
      </c>
      <c r="Q338" s="372" t="str">
        <f>CS_PID!Q338/VLOOKUP($B338,표2[#ALL],2)/HLOOKUP($A338,표1[#ALL],row(),false)</f>
        <v>#N/A</v>
      </c>
      <c r="R338" s="372" t="str">
        <f>CS_PID!R338/VLOOKUP($B338,표2[#ALL],2)/HLOOKUP($A338,표1[#ALL],row(),false)</f>
        <v>#N/A</v>
      </c>
      <c r="S338" s="372" t="str">
        <f>CS_PID!S338/VLOOKUP($B338,표2[#ALL],2)/HLOOKUP($A338,표1[#ALL],row(),false)</f>
        <v>#N/A</v>
      </c>
      <c r="T338" s="372" t="str">
        <f>CS_PID!T338/VLOOKUP($B338,표2[#ALL],2)/HLOOKUP($A338,표1[#ALL],row(),false)</f>
        <v>#N/A</v>
      </c>
      <c r="U338" s="372" t="str">
        <f>CS_PID!U338/VLOOKUP($B338,표2[#ALL],2)/HLOOKUP($A338,표1[#ALL],row(),false)</f>
        <v>#N/A</v>
      </c>
      <c r="V338" s="372" t="str">
        <f>CS_PID!V338/VLOOKUP($B338,표2[#ALL],2)/HLOOKUP($A338,표1[#ALL],row(),false)</f>
        <v>#N/A</v>
      </c>
      <c r="W338" s="372" t="str">
        <f>CS_PID!W338/VLOOKUP($B338,표2[#ALL],2)/HLOOKUP($A338,표1[#ALL],row(),false)</f>
        <v>#N/A</v>
      </c>
      <c r="X338" s="372" t="str">
        <f>CS_PID!X338/VLOOKUP($B338,표2[#ALL],2)/HLOOKUP($A338,표1[#ALL],row(),false)</f>
        <v>#N/A</v>
      </c>
      <c r="Y338" s="372" t="str">
        <f>CS_PID!Y338/VLOOKUP($B338,표2[#ALL],2)/HLOOKUP($A338,표1[#ALL],row(),false)</f>
        <v>#N/A</v>
      </c>
      <c r="Z338" s="372" t="str">
        <f>CS_PID!Z338/VLOOKUP($B338,표2[#ALL],2)/HLOOKUP($A338,표1[#ALL],row(),false)</f>
        <v>#N/A</v>
      </c>
      <c r="AA338" s="372" t="str">
        <f>CS_PID!AA338/VLOOKUP($B338,표2[#ALL],2)/HLOOKUP($A338,표1[#ALL],row(),false)</f>
        <v>#N/A</v>
      </c>
      <c r="AB338" s="372" t="str">
        <f>CS_PID!AB338/VLOOKUP($B338,표2[#ALL],2)/HLOOKUP($A338,표1[#ALL],row(),false)</f>
        <v>#N/A</v>
      </c>
      <c r="AC338" s="372" t="str">
        <f>CS_PID!AC338/VLOOKUP($B338,표2[#ALL],2)/HLOOKUP($A338,표1[#ALL],row(),false)</f>
        <v>#N/A</v>
      </c>
      <c r="AD338" s="372" t="str">
        <f>CS_PID!AD338/VLOOKUP($B338,표2[#ALL],2)/HLOOKUP($A338,표1[#ALL],row(),false)</f>
        <v>#N/A</v>
      </c>
      <c r="AE338" s="372" t="str">
        <f>CS_PID!AE338/VLOOKUP($B338,표2[#ALL],2)/HLOOKUP($A338,표1[#ALL],row(),false)</f>
        <v>#N/A</v>
      </c>
      <c r="AF338" s="372" t="str">
        <f>CS_PID!AF338/VLOOKUP($B338,표2[#ALL],2)/HLOOKUP($A338,표1[#ALL],row(),false)</f>
        <v>#N/A</v>
      </c>
      <c r="AG338" s="372" t="str">
        <f>CS_PID!AG338/VLOOKUP($B338,표2[#ALL],2)/HLOOKUP($A338,표1[#ALL],row(),false)</f>
        <v>#N/A</v>
      </c>
      <c r="AH338" s="372" t="str">
        <f>CS_PID!AH338/VLOOKUP($B338,표2[#ALL],2)/HLOOKUP($A338,표1[#ALL],row(),false)</f>
        <v>#N/A</v>
      </c>
      <c r="AI338" s="372" t="str">
        <f>CS_PID!AI338/VLOOKUP($B338,표2[#ALL],2)/HLOOKUP($A338,표1[#ALL],row(),false)</f>
        <v>#N/A</v>
      </c>
      <c r="AJ338" s="372" t="str">
        <f>CS_PID!AJ338/VLOOKUP($B338,표2[#ALL],2)/HLOOKUP($A338,표1[#ALL],row(),false)</f>
        <v>#N/A</v>
      </c>
      <c r="AK338" s="372" t="str">
        <f>CS_PID!AK338/VLOOKUP($B338,표2[#ALL],2)/HLOOKUP($A338,표1[#ALL],row(),false)</f>
        <v>#N/A</v>
      </c>
      <c r="AL338" s="372" t="str">
        <f>CS_PID!AL338/VLOOKUP($B338,표2[#ALL],2)/HLOOKUP($A338,표1[#ALL],row(),false)</f>
        <v>#N/A</v>
      </c>
      <c r="AM338" s="372" t="str">
        <f>CS_PID!AM338/VLOOKUP($B338,표2[#ALL],2)/HLOOKUP($A338,표1[#ALL],row(),false)</f>
        <v>#N/A</v>
      </c>
      <c r="AN338" s="372" t="str">
        <f>CS_PID!AN338/VLOOKUP($B338,표2[#ALL],2)/HLOOKUP($A338,표1[#ALL],row(),false)</f>
        <v>#N/A</v>
      </c>
      <c r="AO338" s="372" t="str">
        <f>CS_PID!AO338/VLOOKUP($B338,표2[#ALL],2)/HLOOKUP($A338,표1[#ALL],row(),false)</f>
        <v>#N/A</v>
      </c>
      <c r="AP338" s="372" t="str">
        <f>CS_PID!AP338/VLOOKUP($B338,표2[#ALL],2)/HLOOKUP($A338,표1[#ALL],row(),false)</f>
        <v>#N/A</v>
      </c>
      <c r="AQ338" s="372" t="str">
        <f>CS_PID!AQ338/VLOOKUP($B338,표2[#ALL],2)/HLOOKUP($A338,표1[#ALL],row(),false)</f>
        <v>#N/A</v>
      </c>
      <c r="AR338" s="372" t="str">
        <f>CS_PID!AR338/VLOOKUP($B338,표2[#ALL],2)/HLOOKUP($A338,표1[#ALL],row(),false)</f>
        <v>#N/A</v>
      </c>
      <c r="AS338" s="373" t="str">
        <f>CS_PID!AS338/VLOOKUP($B338,표2[#ALL],2)/HLOOKUP($A338,표1[#ALL],row(),false)</f>
        <v>#N/A</v>
      </c>
    </row>
    <row r="339">
      <c r="A339" s="374"/>
      <c r="B339" s="375"/>
      <c r="C339" s="376" t="str">
        <f>CS_PID!C339/VLOOKUP($B339,표2[#ALL],2)</f>
        <v>#N/A</v>
      </c>
      <c r="D339" s="376" t="str">
        <f>CS_PID!D339/VLOOKUP($B339,표2[#ALL],2)</f>
        <v>#N/A</v>
      </c>
      <c r="E339" s="376" t="str">
        <f>CS_PID!E339/VLOOKUP($B339,표2[#ALL],2)</f>
        <v>#N/A</v>
      </c>
      <c r="F339" s="376" t="str">
        <f>CS_PID!F339/VLOOKUP($B339,표2[#ALL],2)</f>
        <v>#N/A</v>
      </c>
      <c r="G339" s="376" t="str">
        <f>CS_PID!G339/VLOOKUP($B339,표2[#ALL],2)</f>
        <v>#N/A</v>
      </c>
      <c r="H339" s="376" t="str">
        <f>CS_PID!H339/VLOOKUP($B339,표2[#ALL],2)/HLOOKUP($A339,표1[#ALL],row(),false)</f>
        <v>#N/A</v>
      </c>
      <c r="I339" s="376" t="str">
        <f>CS_PID!I339/VLOOKUP($B339,표2[#ALL],2)/HLOOKUP($A339,표1[#ALL],row(),false)</f>
        <v>#N/A</v>
      </c>
      <c r="J339" s="376" t="str">
        <f>CS_PID!J339/VLOOKUP($B339,표2[#ALL],2)/HLOOKUP($A339,표1[#ALL],row(),false)</f>
        <v>#N/A</v>
      </c>
      <c r="K339" s="376" t="str">
        <f>CS_PID!K339/VLOOKUP($B339,표2[#ALL],2)/HLOOKUP($A339,표1[#ALL],row(),false)</f>
        <v>#N/A</v>
      </c>
      <c r="L339" s="376" t="str">
        <f>CS_PID!L339/VLOOKUP($B339,표2[#ALL],2)/HLOOKUP($A339,표1[#ALL],row(),false)</f>
        <v>#N/A</v>
      </c>
      <c r="M339" s="376" t="str">
        <f>CS_PID!M339/VLOOKUP($B339,표2[#ALL],2)/HLOOKUP($A339,표1[#ALL],row(),false)</f>
        <v>#N/A</v>
      </c>
      <c r="N339" s="376" t="str">
        <f>CS_PID!N339/VLOOKUP($B339,표2[#ALL],2)/HLOOKUP($A339,표1[#ALL],row(),false)</f>
        <v>#N/A</v>
      </c>
      <c r="O339" s="376" t="str">
        <f>CS_PID!O339/VLOOKUP($B339,표2[#ALL],2)/HLOOKUP($A339,표1[#ALL],row(),false)</f>
        <v>#N/A</v>
      </c>
      <c r="P339" s="376" t="str">
        <f>CS_PID!P339/VLOOKUP($B339,표2[#ALL],2)/HLOOKUP($A339,표1[#ALL],row(),false)</f>
        <v>#N/A</v>
      </c>
      <c r="Q339" s="376" t="str">
        <f>CS_PID!Q339/VLOOKUP($B339,표2[#ALL],2)/HLOOKUP($A339,표1[#ALL],row(),false)</f>
        <v>#N/A</v>
      </c>
      <c r="R339" s="376" t="str">
        <f>CS_PID!R339/VLOOKUP($B339,표2[#ALL],2)/HLOOKUP($A339,표1[#ALL],row(),false)</f>
        <v>#N/A</v>
      </c>
      <c r="S339" s="376" t="str">
        <f>CS_PID!S339/VLOOKUP($B339,표2[#ALL],2)/HLOOKUP($A339,표1[#ALL],row(),false)</f>
        <v>#N/A</v>
      </c>
      <c r="T339" s="376" t="str">
        <f>CS_PID!T339/VLOOKUP($B339,표2[#ALL],2)/HLOOKUP($A339,표1[#ALL],row(),false)</f>
        <v>#N/A</v>
      </c>
      <c r="U339" s="376" t="str">
        <f>CS_PID!U339/VLOOKUP($B339,표2[#ALL],2)/HLOOKUP($A339,표1[#ALL],row(),false)</f>
        <v>#N/A</v>
      </c>
      <c r="V339" s="376" t="str">
        <f>CS_PID!V339/VLOOKUP($B339,표2[#ALL],2)/HLOOKUP($A339,표1[#ALL],row(),false)</f>
        <v>#N/A</v>
      </c>
      <c r="W339" s="376" t="str">
        <f>CS_PID!W339/VLOOKUP($B339,표2[#ALL],2)/HLOOKUP($A339,표1[#ALL],row(),false)</f>
        <v>#N/A</v>
      </c>
      <c r="X339" s="376" t="str">
        <f>CS_PID!X339/VLOOKUP($B339,표2[#ALL],2)/HLOOKUP($A339,표1[#ALL],row(),false)</f>
        <v>#N/A</v>
      </c>
      <c r="Y339" s="376" t="str">
        <f>CS_PID!Y339/VLOOKUP($B339,표2[#ALL],2)/HLOOKUP($A339,표1[#ALL],row(),false)</f>
        <v>#N/A</v>
      </c>
      <c r="Z339" s="376" t="str">
        <f>CS_PID!Z339/VLOOKUP($B339,표2[#ALL],2)/HLOOKUP($A339,표1[#ALL],row(),false)</f>
        <v>#N/A</v>
      </c>
      <c r="AA339" s="376" t="str">
        <f>CS_PID!AA339/VLOOKUP($B339,표2[#ALL],2)/HLOOKUP($A339,표1[#ALL],row(),false)</f>
        <v>#N/A</v>
      </c>
      <c r="AB339" s="376" t="str">
        <f>CS_PID!AB339/VLOOKUP($B339,표2[#ALL],2)/HLOOKUP($A339,표1[#ALL],row(),false)</f>
        <v>#N/A</v>
      </c>
      <c r="AC339" s="376" t="str">
        <f>CS_PID!AC339/VLOOKUP($B339,표2[#ALL],2)/HLOOKUP($A339,표1[#ALL],row(),false)</f>
        <v>#N/A</v>
      </c>
      <c r="AD339" s="376" t="str">
        <f>CS_PID!AD339/VLOOKUP($B339,표2[#ALL],2)/HLOOKUP($A339,표1[#ALL],row(),false)</f>
        <v>#N/A</v>
      </c>
      <c r="AE339" s="376" t="str">
        <f>CS_PID!AE339/VLOOKUP($B339,표2[#ALL],2)/HLOOKUP($A339,표1[#ALL],row(),false)</f>
        <v>#N/A</v>
      </c>
      <c r="AF339" s="376" t="str">
        <f>CS_PID!AF339/VLOOKUP($B339,표2[#ALL],2)/HLOOKUP($A339,표1[#ALL],row(),false)</f>
        <v>#N/A</v>
      </c>
      <c r="AG339" s="376" t="str">
        <f>CS_PID!AG339/VLOOKUP($B339,표2[#ALL],2)/HLOOKUP($A339,표1[#ALL],row(),false)</f>
        <v>#N/A</v>
      </c>
      <c r="AH339" s="376" t="str">
        <f>CS_PID!AH339/VLOOKUP($B339,표2[#ALL],2)/HLOOKUP($A339,표1[#ALL],row(),false)</f>
        <v>#N/A</v>
      </c>
      <c r="AI339" s="376" t="str">
        <f>CS_PID!AI339/VLOOKUP($B339,표2[#ALL],2)/HLOOKUP($A339,표1[#ALL],row(),false)</f>
        <v>#N/A</v>
      </c>
      <c r="AJ339" s="376" t="str">
        <f>CS_PID!AJ339/VLOOKUP($B339,표2[#ALL],2)/HLOOKUP($A339,표1[#ALL],row(),false)</f>
        <v>#N/A</v>
      </c>
      <c r="AK339" s="376" t="str">
        <f>CS_PID!AK339/VLOOKUP($B339,표2[#ALL],2)/HLOOKUP($A339,표1[#ALL],row(),false)</f>
        <v>#N/A</v>
      </c>
      <c r="AL339" s="376" t="str">
        <f>CS_PID!AL339/VLOOKUP($B339,표2[#ALL],2)/HLOOKUP($A339,표1[#ALL],row(),false)</f>
        <v>#N/A</v>
      </c>
      <c r="AM339" s="376" t="str">
        <f>CS_PID!AM339/VLOOKUP($B339,표2[#ALL],2)/HLOOKUP($A339,표1[#ALL],row(),false)</f>
        <v>#N/A</v>
      </c>
      <c r="AN339" s="376" t="str">
        <f>CS_PID!AN339/VLOOKUP($B339,표2[#ALL],2)/HLOOKUP($A339,표1[#ALL],row(),false)</f>
        <v>#N/A</v>
      </c>
      <c r="AO339" s="376" t="str">
        <f>CS_PID!AO339/VLOOKUP($B339,표2[#ALL],2)/HLOOKUP($A339,표1[#ALL],row(),false)</f>
        <v>#N/A</v>
      </c>
      <c r="AP339" s="376" t="str">
        <f>CS_PID!AP339/VLOOKUP($B339,표2[#ALL],2)/HLOOKUP($A339,표1[#ALL],row(),false)</f>
        <v>#N/A</v>
      </c>
      <c r="AQ339" s="376" t="str">
        <f>CS_PID!AQ339/VLOOKUP($B339,표2[#ALL],2)/HLOOKUP($A339,표1[#ALL],row(),false)</f>
        <v>#N/A</v>
      </c>
      <c r="AR339" s="376" t="str">
        <f>CS_PID!AR339/VLOOKUP($B339,표2[#ALL],2)/HLOOKUP($A339,표1[#ALL],row(),false)</f>
        <v>#N/A</v>
      </c>
      <c r="AS339" s="377" t="str">
        <f>CS_PID!AS339/VLOOKUP($B339,표2[#ALL],2)/HLOOKUP($A339,표1[#ALL],row(),false)</f>
        <v>#N/A</v>
      </c>
    </row>
    <row r="340">
      <c r="A340" s="370"/>
      <c r="B340" s="371"/>
      <c r="C340" s="372" t="str">
        <f>CS_PID!C340/VLOOKUP($B340,표2[#ALL],2)</f>
        <v>#N/A</v>
      </c>
      <c r="D340" s="372" t="str">
        <f>CS_PID!D340/VLOOKUP($B340,표2[#ALL],2)</f>
        <v>#N/A</v>
      </c>
      <c r="E340" s="372" t="str">
        <f>CS_PID!E340/VLOOKUP($B340,표2[#ALL],2)</f>
        <v>#N/A</v>
      </c>
      <c r="F340" s="372" t="str">
        <f>CS_PID!F340/VLOOKUP($B340,표2[#ALL],2)</f>
        <v>#N/A</v>
      </c>
      <c r="G340" s="372" t="str">
        <f>CS_PID!G340/VLOOKUP($B340,표2[#ALL],2)</f>
        <v>#N/A</v>
      </c>
      <c r="H340" s="372" t="str">
        <f>CS_PID!H340/VLOOKUP($B340,표2[#ALL],2)/HLOOKUP($A340,표1[#ALL],row(),false)</f>
        <v>#N/A</v>
      </c>
      <c r="I340" s="372" t="str">
        <f>CS_PID!I340/VLOOKUP($B340,표2[#ALL],2)/HLOOKUP($A340,표1[#ALL],row(),false)</f>
        <v>#N/A</v>
      </c>
      <c r="J340" s="372" t="str">
        <f>CS_PID!J340/VLOOKUP($B340,표2[#ALL],2)/HLOOKUP($A340,표1[#ALL],row(),false)</f>
        <v>#N/A</v>
      </c>
      <c r="K340" s="372" t="str">
        <f>CS_PID!K340/VLOOKUP($B340,표2[#ALL],2)/HLOOKUP($A340,표1[#ALL],row(),false)</f>
        <v>#N/A</v>
      </c>
      <c r="L340" s="372" t="str">
        <f>CS_PID!L340/VLOOKUP($B340,표2[#ALL],2)/HLOOKUP($A340,표1[#ALL],row(),false)</f>
        <v>#N/A</v>
      </c>
      <c r="M340" s="372" t="str">
        <f>CS_PID!M340/VLOOKUP($B340,표2[#ALL],2)/HLOOKUP($A340,표1[#ALL],row(),false)</f>
        <v>#N/A</v>
      </c>
      <c r="N340" s="372" t="str">
        <f>CS_PID!N340/VLOOKUP($B340,표2[#ALL],2)/HLOOKUP($A340,표1[#ALL],row(),false)</f>
        <v>#N/A</v>
      </c>
      <c r="O340" s="372" t="str">
        <f>CS_PID!O340/VLOOKUP($B340,표2[#ALL],2)/HLOOKUP($A340,표1[#ALL],row(),false)</f>
        <v>#N/A</v>
      </c>
      <c r="P340" s="372" t="str">
        <f>CS_PID!P340/VLOOKUP($B340,표2[#ALL],2)/HLOOKUP($A340,표1[#ALL],row(),false)</f>
        <v>#N/A</v>
      </c>
      <c r="Q340" s="372" t="str">
        <f>CS_PID!Q340/VLOOKUP($B340,표2[#ALL],2)/HLOOKUP($A340,표1[#ALL],row(),false)</f>
        <v>#N/A</v>
      </c>
      <c r="R340" s="372" t="str">
        <f>CS_PID!R340/VLOOKUP($B340,표2[#ALL],2)/HLOOKUP($A340,표1[#ALL],row(),false)</f>
        <v>#N/A</v>
      </c>
      <c r="S340" s="372" t="str">
        <f>CS_PID!S340/VLOOKUP($B340,표2[#ALL],2)/HLOOKUP($A340,표1[#ALL],row(),false)</f>
        <v>#N/A</v>
      </c>
      <c r="T340" s="372" t="str">
        <f>CS_PID!T340/VLOOKUP($B340,표2[#ALL],2)/HLOOKUP($A340,표1[#ALL],row(),false)</f>
        <v>#N/A</v>
      </c>
      <c r="U340" s="372" t="str">
        <f>CS_PID!U340/VLOOKUP($B340,표2[#ALL],2)/HLOOKUP($A340,표1[#ALL],row(),false)</f>
        <v>#N/A</v>
      </c>
      <c r="V340" s="372" t="str">
        <f>CS_PID!V340/VLOOKUP($B340,표2[#ALL],2)/HLOOKUP($A340,표1[#ALL],row(),false)</f>
        <v>#N/A</v>
      </c>
      <c r="W340" s="372" t="str">
        <f>CS_PID!W340/VLOOKUP($B340,표2[#ALL],2)/HLOOKUP($A340,표1[#ALL],row(),false)</f>
        <v>#N/A</v>
      </c>
      <c r="X340" s="372" t="str">
        <f>CS_PID!X340/VLOOKUP($B340,표2[#ALL],2)/HLOOKUP($A340,표1[#ALL],row(),false)</f>
        <v>#N/A</v>
      </c>
      <c r="Y340" s="372" t="str">
        <f>CS_PID!Y340/VLOOKUP($B340,표2[#ALL],2)/HLOOKUP($A340,표1[#ALL],row(),false)</f>
        <v>#N/A</v>
      </c>
      <c r="Z340" s="372" t="str">
        <f>CS_PID!Z340/VLOOKUP($B340,표2[#ALL],2)/HLOOKUP($A340,표1[#ALL],row(),false)</f>
        <v>#N/A</v>
      </c>
      <c r="AA340" s="372" t="str">
        <f>CS_PID!AA340/VLOOKUP($B340,표2[#ALL],2)/HLOOKUP($A340,표1[#ALL],row(),false)</f>
        <v>#N/A</v>
      </c>
      <c r="AB340" s="372" t="str">
        <f>CS_PID!AB340/VLOOKUP($B340,표2[#ALL],2)/HLOOKUP($A340,표1[#ALL],row(),false)</f>
        <v>#N/A</v>
      </c>
      <c r="AC340" s="372" t="str">
        <f>CS_PID!AC340/VLOOKUP($B340,표2[#ALL],2)/HLOOKUP($A340,표1[#ALL],row(),false)</f>
        <v>#N/A</v>
      </c>
      <c r="AD340" s="372" t="str">
        <f>CS_PID!AD340/VLOOKUP($B340,표2[#ALL],2)/HLOOKUP($A340,표1[#ALL],row(),false)</f>
        <v>#N/A</v>
      </c>
      <c r="AE340" s="372" t="str">
        <f>CS_PID!AE340/VLOOKUP($B340,표2[#ALL],2)/HLOOKUP($A340,표1[#ALL],row(),false)</f>
        <v>#N/A</v>
      </c>
      <c r="AF340" s="372" t="str">
        <f>CS_PID!AF340/VLOOKUP($B340,표2[#ALL],2)/HLOOKUP($A340,표1[#ALL],row(),false)</f>
        <v>#N/A</v>
      </c>
      <c r="AG340" s="372" t="str">
        <f>CS_PID!AG340/VLOOKUP($B340,표2[#ALL],2)/HLOOKUP($A340,표1[#ALL],row(),false)</f>
        <v>#N/A</v>
      </c>
      <c r="AH340" s="372" t="str">
        <f>CS_PID!AH340/VLOOKUP($B340,표2[#ALL],2)/HLOOKUP($A340,표1[#ALL],row(),false)</f>
        <v>#N/A</v>
      </c>
      <c r="AI340" s="372" t="str">
        <f>CS_PID!AI340/VLOOKUP($B340,표2[#ALL],2)/HLOOKUP($A340,표1[#ALL],row(),false)</f>
        <v>#N/A</v>
      </c>
      <c r="AJ340" s="372" t="str">
        <f>CS_PID!AJ340/VLOOKUP($B340,표2[#ALL],2)/HLOOKUP($A340,표1[#ALL],row(),false)</f>
        <v>#N/A</v>
      </c>
      <c r="AK340" s="372" t="str">
        <f>CS_PID!AK340/VLOOKUP($B340,표2[#ALL],2)/HLOOKUP($A340,표1[#ALL],row(),false)</f>
        <v>#N/A</v>
      </c>
      <c r="AL340" s="372" t="str">
        <f>CS_PID!AL340/VLOOKUP($B340,표2[#ALL],2)/HLOOKUP($A340,표1[#ALL],row(),false)</f>
        <v>#N/A</v>
      </c>
      <c r="AM340" s="372" t="str">
        <f>CS_PID!AM340/VLOOKUP($B340,표2[#ALL],2)/HLOOKUP($A340,표1[#ALL],row(),false)</f>
        <v>#N/A</v>
      </c>
      <c r="AN340" s="372" t="str">
        <f>CS_PID!AN340/VLOOKUP($B340,표2[#ALL],2)/HLOOKUP($A340,표1[#ALL],row(),false)</f>
        <v>#N/A</v>
      </c>
      <c r="AO340" s="372" t="str">
        <f>CS_PID!AO340/VLOOKUP($B340,표2[#ALL],2)/HLOOKUP($A340,표1[#ALL],row(),false)</f>
        <v>#N/A</v>
      </c>
      <c r="AP340" s="372" t="str">
        <f>CS_PID!AP340/VLOOKUP($B340,표2[#ALL],2)/HLOOKUP($A340,표1[#ALL],row(),false)</f>
        <v>#N/A</v>
      </c>
      <c r="AQ340" s="372" t="str">
        <f>CS_PID!AQ340/VLOOKUP($B340,표2[#ALL],2)/HLOOKUP($A340,표1[#ALL],row(),false)</f>
        <v>#N/A</v>
      </c>
      <c r="AR340" s="372" t="str">
        <f>CS_PID!AR340/VLOOKUP($B340,표2[#ALL],2)/HLOOKUP($A340,표1[#ALL],row(),false)</f>
        <v>#N/A</v>
      </c>
      <c r="AS340" s="373" t="str">
        <f>CS_PID!AS340/VLOOKUP($B340,표2[#ALL],2)/HLOOKUP($A340,표1[#ALL],row(),false)</f>
        <v>#N/A</v>
      </c>
    </row>
    <row r="341">
      <c r="A341" s="374"/>
      <c r="B341" s="375"/>
      <c r="C341" s="376" t="str">
        <f>CS_PID!C341/VLOOKUP($B341,표2[#ALL],2)</f>
        <v>#N/A</v>
      </c>
      <c r="D341" s="376" t="str">
        <f>CS_PID!D341/VLOOKUP($B341,표2[#ALL],2)</f>
        <v>#N/A</v>
      </c>
      <c r="E341" s="376" t="str">
        <f>CS_PID!E341/VLOOKUP($B341,표2[#ALL],2)</f>
        <v>#N/A</v>
      </c>
      <c r="F341" s="376" t="str">
        <f>CS_PID!F341/VLOOKUP($B341,표2[#ALL],2)</f>
        <v>#N/A</v>
      </c>
      <c r="G341" s="376" t="str">
        <f>CS_PID!G341/VLOOKUP($B341,표2[#ALL],2)</f>
        <v>#N/A</v>
      </c>
      <c r="H341" s="376" t="str">
        <f>CS_PID!H341/VLOOKUP($B341,표2[#ALL],2)/HLOOKUP($A341,표1[#ALL],row(),false)</f>
        <v>#N/A</v>
      </c>
      <c r="I341" s="376" t="str">
        <f>CS_PID!I341/VLOOKUP($B341,표2[#ALL],2)/HLOOKUP($A341,표1[#ALL],row(),false)</f>
        <v>#N/A</v>
      </c>
      <c r="J341" s="376" t="str">
        <f>CS_PID!J341/VLOOKUP($B341,표2[#ALL],2)/HLOOKUP($A341,표1[#ALL],row(),false)</f>
        <v>#N/A</v>
      </c>
      <c r="K341" s="376" t="str">
        <f>CS_PID!K341/VLOOKUP($B341,표2[#ALL],2)/HLOOKUP($A341,표1[#ALL],row(),false)</f>
        <v>#N/A</v>
      </c>
      <c r="L341" s="376" t="str">
        <f>CS_PID!L341/VLOOKUP($B341,표2[#ALL],2)/HLOOKUP($A341,표1[#ALL],row(),false)</f>
        <v>#N/A</v>
      </c>
      <c r="M341" s="376" t="str">
        <f>CS_PID!M341/VLOOKUP($B341,표2[#ALL],2)/HLOOKUP($A341,표1[#ALL],row(),false)</f>
        <v>#N/A</v>
      </c>
      <c r="N341" s="376" t="str">
        <f>CS_PID!N341/VLOOKUP($B341,표2[#ALL],2)/HLOOKUP($A341,표1[#ALL],row(),false)</f>
        <v>#N/A</v>
      </c>
      <c r="O341" s="376" t="str">
        <f>CS_PID!O341/VLOOKUP($B341,표2[#ALL],2)/HLOOKUP($A341,표1[#ALL],row(),false)</f>
        <v>#N/A</v>
      </c>
      <c r="P341" s="376" t="str">
        <f>CS_PID!P341/VLOOKUP($B341,표2[#ALL],2)/HLOOKUP($A341,표1[#ALL],row(),false)</f>
        <v>#N/A</v>
      </c>
      <c r="Q341" s="376" t="str">
        <f>CS_PID!Q341/VLOOKUP($B341,표2[#ALL],2)/HLOOKUP($A341,표1[#ALL],row(),false)</f>
        <v>#N/A</v>
      </c>
      <c r="R341" s="376" t="str">
        <f>CS_PID!R341/VLOOKUP($B341,표2[#ALL],2)/HLOOKUP($A341,표1[#ALL],row(),false)</f>
        <v>#N/A</v>
      </c>
      <c r="S341" s="376" t="str">
        <f>CS_PID!S341/VLOOKUP($B341,표2[#ALL],2)/HLOOKUP($A341,표1[#ALL],row(),false)</f>
        <v>#N/A</v>
      </c>
      <c r="T341" s="376" t="str">
        <f>CS_PID!T341/VLOOKUP($B341,표2[#ALL],2)/HLOOKUP($A341,표1[#ALL],row(),false)</f>
        <v>#N/A</v>
      </c>
      <c r="U341" s="376" t="str">
        <f>CS_PID!U341/VLOOKUP($B341,표2[#ALL],2)/HLOOKUP($A341,표1[#ALL],row(),false)</f>
        <v>#N/A</v>
      </c>
      <c r="V341" s="376" t="str">
        <f>CS_PID!V341/VLOOKUP($B341,표2[#ALL],2)/HLOOKUP($A341,표1[#ALL],row(),false)</f>
        <v>#N/A</v>
      </c>
      <c r="W341" s="376" t="str">
        <f>CS_PID!W341/VLOOKUP($B341,표2[#ALL],2)/HLOOKUP($A341,표1[#ALL],row(),false)</f>
        <v>#N/A</v>
      </c>
      <c r="X341" s="376" t="str">
        <f>CS_PID!X341/VLOOKUP($B341,표2[#ALL],2)/HLOOKUP($A341,표1[#ALL],row(),false)</f>
        <v>#N/A</v>
      </c>
      <c r="Y341" s="376" t="str">
        <f>CS_PID!Y341/VLOOKUP($B341,표2[#ALL],2)/HLOOKUP($A341,표1[#ALL],row(),false)</f>
        <v>#N/A</v>
      </c>
      <c r="Z341" s="376" t="str">
        <f>CS_PID!Z341/VLOOKUP($B341,표2[#ALL],2)/HLOOKUP($A341,표1[#ALL],row(),false)</f>
        <v>#N/A</v>
      </c>
      <c r="AA341" s="376" t="str">
        <f>CS_PID!AA341/VLOOKUP($B341,표2[#ALL],2)/HLOOKUP($A341,표1[#ALL],row(),false)</f>
        <v>#N/A</v>
      </c>
      <c r="AB341" s="376" t="str">
        <f>CS_PID!AB341/VLOOKUP($B341,표2[#ALL],2)/HLOOKUP($A341,표1[#ALL],row(),false)</f>
        <v>#N/A</v>
      </c>
      <c r="AC341" s="376" t="str">
        <f>CS_PID!AC341/VLOOKUP($B341,표2[#ALL],2)/HLOOKUP($A341,표1[#ALL],row(),false)</f>
        <v>#N/A</v>
      </c>
      <c r="AD341" s="376" t="str">
        <f>CS_PID!AD341/VLOOKUP($B341,표2[#ALL],2)/HLOOKUP($A341,표1[#ALL],row(),false)</f>
        <v>#N/A</v>
      </c>
      <c r="AE341" s="376" t="str">
        <f>CS_PID!AE341/VLOOKUP($B341,표2[#ALL],2)/HLOOKUP($A341,표1[#ALL],row(),false)</f>
        <v>#N/A</v>
      </c>
      <c r="AF341" s="376" t="str">
        <f>CS_PID!AF341/VLOOKUP($B341,표2[#ALL],2)/HLOOKUP($A341,표1[#ALL],row(),false)</f>
        <v>#N/A</v>
      </c>
      <c r="AG341" s="376" t="str">
        <f>CS_PID!AG341/VLOOKUP($B341,표2[#ALL],2)/HLOOKUP($A341,표1[#ALL],row(),false)</f>
        <v>#N/A</v>
      </c>
      <c r="AH341" s="376" t="str">
        <f>CS_PID!AH341/VLOOKUP($B341,표2[#ALL],2)/HLOOKUP($A341,표1[#ALL],row(),false)</f>
        <v>#N/A</v>
      </c>
      <c r="AI341" s="376" t="str">
        <f>CS_PID!AI341/VLOOKUP($B341,표2[#ALL],2)/HLOOKUP($A341,표1[#ALL],row(),false)</f>
        <v>#N/A</v>
      </c>
      <c r="AJ341" s="376" t="str">
        <f>CS_PID!AJ341/VLOOKUP($B341,표2[#ALL],2)/HLOOKUP($A341,표1[#ALL],row(),false)</f>
        <v>#N/A</v>
      </c>
      <c r="AK341" s="376" t="str">
        <f>CS_PID!AK341/VLOOKUP($B341,표2[#ALL],2)/HLOOKUP($A341,표1[#ALL],row(),false)</f>
        <v>#N/A</v>
      </c>
      <c r="AL341" s="376" t="str">
        <f>CS_PID!AL341/VLOOKUP($B341,표2[#ALL],2)/HLOOKUP($A341,표1[#ALL],row(),false)</f>
        <v>#N/A</v>
      </c>
      <c r="AM341" s="376" t="str">
        <f>CS_PID!AM341/VLOOKUP($B341,표2[#ALL],2)/HLOOKUP($A341,표1[#ALL],row(),false)</f>
        <v>#N/A</v>
      </c>
      <c r="AN341" s="376" t="str">
        <f>CS_PID!AN341/VLOOKUP($B341,표2[#ALL],2)/HLOOKUP($A341,표1[#ALL],row(),false)</f>
        <v>#N/A</v>
      </c>
      <c r="AO341" s="376" t="str">
        <f>CS_PID!AO341/VLOOKUP($B341,표2[#ALL],2)/HLOOKUP($A341,표1[#ALL],row(),false)</f>
        <v>#N/A</v>
      </c>
      <c r="AP341" s="376" t="str">
        <f>CS_PID!AP341/VLOOKUP($B341,표2[#ALL],2)/HLOOKUP($A341,표1[#ALL],row(),false)</f>
        <v>#N/A</v>
      </c>
      <c r="AQ341" s="376" t="str">
        <f>CS_PID!AQ341/VLOOKUP($B341,표2[#ALL],2)/HLOOKUP($A341,표1[#ALL],row(),false)</f>
        <v>#N/A</v>
      </c>
      <c r="AR341" s="376" t="str">
        <f>CS_PID!AR341/VLOOKUP($B341,표2[#ALL],2)/HLOOKUP($A341,표1[#ALL],row(),false)</f>
        <v>#N/A</v>
      </c>
      <c r="AS341" s="377" t="str">
        <f>CS_PID!AS341/VLOOKUP($B341,표2[#ALL],2)/HLOOKUP($A341,표1[#ALL],row(),false)</f>
        <v>#N/A</v>
      </c>
    </row>
    <row r="342">
      <c r="A342" s="370"/>
      <c r="B342" s="371"/>
      <c r="C342" s="372" t="str">
        <f>CS_PID!C342/VLOOKUP($B342,표2[#ALL],2)</f>
        <v>#N/A</v>
      </c>
      <c r="D342" s="372" t="str">
        <f>CS_PID!D342/VLOOKUP($B342,표2[#ALL],2)</f>
        <v>#N/A</v>
      </c>
      <c r="E342" s="372" t="str">
        <f>CS_PID!E342/VLOOKUP($B342,표2[#ALL],2)</f>
        <v>#N/A</v>
      </c>
      <c r="F342" s="372" t="str">
        <f>CS_PID!F342/VLOOKUP($B342,표2[#ALL],2)</f>
        <v>#N/A</v>
      </c>
      <c r="G342" s="372" t="str">
        <f>CS_PID!G342/VLOOKUP($B342,표2[#ALL],2)</f>
        <v>#N/A</v>
      </c>
      <c r="H342" s="372" t="str">
        <f>CS_PID!H342/VLOOKUP($B342,표2[#ALL],2)/HLOOKUP($A342,표1[#ALL],row(),false)</f>
        <v>#N/A</v>
      </c>
      <c r="I342" s="372" t="str">
        <f>CS_PID!I342/VLOOKUP($B342,표2[#ALL],2)/HLOOKUP($A342,표1[#ALL],row(),false)</f>
        <v>#N/A</v>
      </c>
      <c r="J342" s="372" t="str">
        <f>CS_PID!J342/VLOOKUP($B342,표2[#ALL],2)/HLOOKUP($A342,표1[#ALL],row(),false)</f>
        <v>#N/A</v>
      </c>
      <c r="K342" s="372" t="str">
        <f>CS_PID!K342/VLOOKUP($B342,표2[#ALL],2)/HLOOKUP($A342,표1[#ALL],row(),false)</f>
        <v>#N/A</v>
      </c>
      <c r="L342" s="372" t="str">
        <f>CS_PID!L342/VLOOKUP($B342,표2[#ALL],2)/HLOOKUP($A342,표1[#ALL],row(),false)</f>
        <v>#N/A</v>
      </c>
      <c r="M342" s="372" t="str">
        <f>CS_PID!M342/VLOOKUP($B342,표2[#ALL],2)/HLOOKUP($A342,표1[#ALL],row(),false)</f>
        <v>#N/A</v>
      </c>
      <c r="N342" s="372" t="str">
        <f>CS_PID!N342/VLOOKUP($B342,표2[#ALL],2)/HLOOKUP($A342,표1[#ALL],row(),false)</f>
        <v>#N/A</v>
      </c>
      <c r="O342" s="372" t="str">
        <f>CS_PID!O342/VLOOKUP($B342,표2[#ALL],2)/HLOOKUP($A342,표1[#ALL],row(),false)</f>
        <v>#N/A</v>
      </c>
      <c r="P342" s="372" t="str">
        <f>CS_PID!P342/VLOOKUP($B342,표2[#ALL],2)/HLOOKUP($A342,표1[#ALL],row(),false)</f>
        <v>#N/A</v>
      </c>
      <c r="Q342" s="372" t="str">
        <f>CS_PID!Q342/VLOOKUP($B342,표2[#ALL],2)/HLOOKUP($A342,표1[#ALL],row(),false)</f>
        <v>#N/A</v>
      </c>
      <c r="R342" s="372" t="str">
        <f>CS_PID!R342/VLOOKUP($B342,표2[#ALL],2)/HLOOKUP($A342,표1[#ALL],row(),false)</f>
        <v>#N/A</v>
      </c>
      <c r="S342" s="372" t="str">
        <f>CS_PID!S342/VLOOKUP($B342,표2[#ALL],2)/HLOOKUP($A342,표1[#ALL],row(),false)</f>
        <v>#N/A</v>
      </c>
      <c r="T342" s="372" t="str">
        <f>CS_PID!T342/VLOOKUP($B342,표2[#ALL],2)/HLOOKUP($A342,표1[#ALL],row(),false)</f>
        <v>#N/A</v>
      </c>
      <c r="U342" s="372" t="str">
        <f>CS_PID!U342/VLOOKUP($B342,표2[#ALL],2)/HLOOKUP($A342,표1[#ALL],row(),false)</f>
        <v>#N/A</v>
      </c>
      <c r="V342" s="372" t="str">
        <f>CS_PID!V342/VLOOKUP($B342,표2[#ALL],2)/HLOOKUP($A342,표1[#ALL],row(),false)</f>
        <v>#N/A</v>
      </c>
      <c r="W342" s="372" t="str">
        <f>CS_PID!W342/VLOOKUP($B342,표2[#ALL],2)/HLOOKUP($A342,표1[#ALL],row(),false)</f>
        <v>#N/A</v>
      </c>
      <c r="X342" s="372" t="str">
        <f>CS_PID!X342/VLOOKUP($B342,표2[#ALL],2)/HLOOKUP($A342,표1[#ALL],row(),false)</f>
        <v>#N/A</v>
      </c>
      <c r="Y342" s="372" t="str">
        <f>CS_PID!Y342/VLOOKUP($B342,표2[#ALL],2)/HLOOKUP($A342,표1[#ALL],row(),false)</f>
        <v>#N/A</v>
      </c>
      <c r="Z342" s="372" t="str">
        <f>CS_PID!Z342/VLOOKUP($B342,표2[#ALL],2)/HLOOKUP($A342,표1[#ALL],row(),false)</f>
        <v>#N/A</v>
      </c>
      <c r="AA342" s="372" t="str">
        <f>CS_PID!AA342/VLOOKUP($B342,표2[#ALL],2)/HLOOKUP($A342,표1[#ALL],row(),false)</f>
        <v>#N/A</v>
      </c>
      <c r="AB342" s="372" t="str">
        <f>CS_PID!AB342/VLOOKUP($B342,표2[#ALL],2)/HLOOKUP($A342,표1[#ALL],row(),false)</f>
        <v>#N/A</v>
      </c>
      <c r="AC342" s="372" t="str">
        <f>CS_PID!AC342/VLOOKUP($B342,표2[#ALL],2)/HLOOKUP($A342,표1[#ALL],row(),false)</f>
        <v>#N/A</v>
      </c>
      <c r="AD342" s="372" t="str">
        <f>CS_PID!AD342/VLOOKUP($B342,표2[#ALL],2)/HLOOKUP($A342,표1[#ALL],row(),false)</f>
        <v>#N/A</v>
      </c>
      <c r="AE342" s="372" t="str">
        <f>CS_PID!AE342/VLOOKUP($B342,표2[#ALL],2)/HLOOKUP($A342,표1[#ALL],row(),false)</f>
        <v>#N/A</v>
      </c>
      <c r="AF342" s="372" t="str">
        <f>CS_PID!AF342/VLOOKUP($B342,표2[#ALL],2)/HLOOKUP($A342,표1[#ALL],row(),false)</f>
        <v>#N/A</v>
      </c>
      <c r="AG342" s="372" t="str">
        <f>CS_PID!AG342/VLOOKUP($B342,표2[#ALL],2)/HLOOKUP($A342,표1[#ALL],row(),false)</f>
        <v>#N/A</v>
      </c>
      <c r="AH342" s="372" t="str">
        <f>CS_PID!AH342/VLOOKUP($B342,표2[#ALL],2)/HLOOKUP($A342,표1[#ALL],row(),false)</f>
        <v>#N/A</v>
      </c>
      <c r="AI342" s="372" t="str">
        <f>CS_PID!AI342/VLOOKUP($B342,표2[#ALL],2)/HLOOKUP($A342,표1[#ALL],row(),false)</f>
        <v>#N/A</v>
      </c>
      <c r="AJ342" s="372" t="str">
        <f>CS_PID!AJ342/VLOOKUP($B342,표2[#ALL],2)/HLOOKUP($A342,표1[#ALL],row(),false)</f>
        <v>#N/A</v>
      </c>
      <c r="AK342" s="372" t="str">
        <f>CS_PID!AK342/VLOOKUP($B342,표2[#ALL],2)/HLOOKUP($A342,표1[#ALL],row(),false)</f>
        <v>#N/A</v>
      </c>
      <c r="AL342" s="372" t="str">
        <f>CS_PID!AL342/VLOOKUP($B342,표2[#ALL],2)/HLOOKUP($A342,표1[#ALL],row(),false)</f>
        <v>#N/A</v>
      </c>
      <c r="AM342" s="372" t="str">
        <f>CS_PID!AM342/VLOOKUP($B342,표2[#ALL],2)/HLOOKUP($A342,표1[#ALL],row(),false)</f>
        <v>#N/A</v>
      </c>
      <c r="AN342" s="372" t="str">
        <f>CS_PID!AN342/VLOOKUP($B342,표2[#ALL],2)/HLOOKUP($A342,표1[#ALL],row(),false)</f>
        <v>#N/A</v>
      </c>
      <c r="AO342" s="372" t="str">
        <f>CS_PID!AO342/VLOOKUP($B342,표2[#ALL],2)/HLOOKUP($A342,표1[#ALL],row(),false)</f>
        <v>#N/A</v>
      </c>
      <c r="AP342" s="372" t="str">
        <f>CS_PID!AP342/VLOOKUP($B342,표2[#ALL],2)/HLOOKUP($A342,표1[#ALL],row(),false)</f>
        <v>#N/A</v>
      </c>
      <c r="AQ342" s="372" t="str">
        <f>CS_PID!AQ342/VLOOKUP($B342,표2[#ALL],2)/HLOOKUP($A342,표1[#ALL],row(),false)</f>
        <v>#N/A</v>
      </c>
      <c r="AR342" s="372" t="str">
        <f>CS_PID!AR342/VLOOKUP($B342,표2[#ALL],2)/HLOOKUP($A342,표1[#ALL],row(),false)</f>
        <v>#N/A</v>
      </c>
      <c r="AS342" s="373" t="str">
        <f>CS_PID!AS342/VLOOKUP($B342,표2[#ALL],2)/HLOOKUP($A342,표1[#ALL],row(),false)</f>
        <v>#N/A</v>
      </c>
    </row>
    <row r="343">
      <c r="A343" s="374"/>
      <c r="B343" s="375"/>
      <c r="C343" s="376" t="str">
        <f>CS_PID!C343/VLOOKUP($B343,표2[#ALL],2)</f>
        <v>#N/A</v>
      </c>
      <c r="D343" s="376" t="str">
        <f>CS_PID!D343/VLOOKUP($B343,표2[#ALL],2)</f>
        <v>#N/A</v>
      </c>
      <c r="E343" s="376" t="str">
        <f>CS_PID!E343/VLOOKUP($B343,표2[#ALL],2)</f>
        <v>#N/A</v>
      </c>
      <c r="F343" s="376" t="str">
        <f>CS_PID!F343/VLOOKUP($B343,표2[#ALL],2)</f>
        <v>#N/A</v>
      </c>
      <c r="G343" s="376" t="str">
        <f>CS_PID!G343/VLOOKUP($B343,표2[#ALL],2)</f>
        <v>#N/A</v>
      </c>
      <c r="H343" s="376" t="str">
        <f>CS_PID!H343/VLOOKUP($B343,표2[#ALL],2)/HLOOKUP($A343,표1[#ALL],row(),false)</f>
        <v>#N/A</v>
      </c>
      <c r="I343" s="376" t="str">
        <f>CS_PID!I343/VLOOKUP($B343,표2[#ALL],2)/HLOOKUP($A343,표1[#ALL],row(),false)</f>
        <v>#N/A</v>
      </c>
      <c r="J343" s="376" t="str">
        <f>CS_PID!J343/VLOOKUP($B343,표2[#ALL],2)/HLOOKUP($A343,표1[#ALL],row(),false)</f>
        <v>#N/A</v>
      </c>
      <c r="K343" s="376" t="str">
        <f>CS_PID!K343/VLOOKUP($B343,표2[#ALL],2)/HLOOKUP($A343,표1[#ALL],row(),false)</f>
        <v>#N/A</v>
      </c>
      <c r="L343" s="376" t="str">
        <f>CS_PID!L343/VLOOKUP($B343,표2[#ALL],2)/HLOOKUP($A343,표1[#ALL],row(),false)</f>
        <v>#N/A</v>
      </c>
      <c r="M343" s="376" t="str">
        <f>CS_PID!M343/VLOOKUP($B343,표2[#ALL],2)/HLOOKUP($A343,표1[#ALL],row(),false)</f>
        <v>#N/A</v>
      </c>
      <c r="N343" s="376" t="str">
        <f>CS_PID!N343/VLOOKUP($B343,표2[#ALL],2)/HLOOKUP($A343,표1[#ALL],row(),false)</f>
        <v>#N/A</v>
      </c>
      <c r="O343" s="376" t="str">
        <f>CS_PID!O343/VLOOKUP($B343,표2[#ALL],2)/HLOOKUP($A343,표1[#ALL],row(),false)</f>
        <v>#N/A</v>
      </c>
      <c r="P343" s="376" t="str">
        <f>CS_PID!P343/VLOOKUP($B343,표2[#ALL],2)/HLOOKUP($A343,표1[#ALL],row(),false)</f>
        <v>#N/A</v>
      </c>
      <c r="Q343" s="376" t="str">
        <f>CS_PID!Q343/VLOOKUP($B343,표2[#ALL],2)/HLOOKUP($A343,표1[#ALL],row(),false)</f>
        <v>#N/A</v>
      </c>
      <c r="R343" s="376" t="str">
        <f>CS_PID!R343/VLOOKUP($B343,표2[#ALL],2)/HLOOKUP($A343,표1[#ALL],row(),false)</f>
        <v>#N/A</v>
      </c>
      <c r="S343" s="376" t="str">
        <f>CS_PID!S343/VLOOKUP($B343,표2[#ALL],2)/HLOOKUP($A343,표1[#ALL],row(),false)</f>
        <v>#N/A</v>
      </c>
      <c r="T343" s="376" t="str">
        <f>CS_PID!T343/VLOOKUP($B343,표2[#ALL],2)/HLOOKUP($A343,표1[#ALL],row(),false)</f>
        <v>#N/A</v>
      </c>
      <c r="U343" s="376" t="str">
        <f>CS_PID!U343/VLOOKUP($B343,표2[#ALL],2)/HLOOKUP($A343,표1[#ALL],row(),false)</f>
        <v>#N/A</v>
      </c>
      <c r="V343" s="376" t="str">
        <f>CS_PID!V343/VLOOKUP($B343,표2[#ALL],2)/HLOOKUP($A343,표1[#ALL],row(),false)</f>
        <v>#N/A</v>
      </c>
      <c r="W343" s="376" t="str">
        <f>CS_PID!W343/VLOOKUP($B343,표2[#ALL],2)/HLOOKUP($A343,표1[#ALL],row(),false)</f>
        <v>#N/A</v>
      </c>
      <c r="X343" s="376" t="str">
        <f>CS_PID!X343/VLOOKUP($B343,표2[#ALL],2)/HLOOKUP($A343,표1[#ALL],row(),false)</f>
        <v>#N/A</v>
      </c>
      <c r="Y343" s="376" t="str">
        <f>CS_PID!Y343/VLOOKUP($B343,표2[#ALL],2)/HLOOKUP($A343,표1[#ALL],row(),false)</f>
        <v>#N/A</v>
      </c>
      <c r="Z343" s="376" t="str">
        <f>CS_PID!Z343/VLOOKUP($B343,표2[#ALL],2)/HLOOKUP($A343,표1[#ALL],row(),false)</f>
        <v>#N/A</v>
      </c>
      <c r="AA343" s="376" t="str">
        <f>CS_PID!AA343/VLOOKUP($B343,표2[#ALL],2)/HLOOKUP($A343,표1[#ALL],row(),false)</f>
        <v>#N/A</v>
      </c>
      <c r="AB343" s="376" t="str">
        <f>CS_PID!AB343/VLOOKUP($B343,표2[#ALL],2)/HLOOKUP($A343,표1[#ALL],row(),false)</f>
        <v>#N/A</v>
      </c>
      <c r="AC343" s="376" t="str">
        <f>CS_PID!AC343/VLOOKUP($B343,표2[#ALL],2)/HLOOKUP($A343,표1[#ALL],row(),false)</f>
        <v>#N/A</v>
      </c>
      <c r="AD343" s="376" t="str">
        <f>CS_PID!AD343/VLOOKUP($B343,표2[#ALL],2)/HLOOKUP($A343,표1[#ALL],row(),false)</f>
        <v>#N/A</v>
      </c>
      <c r="AE343" s="376" t="str">
        <f>CS_PID!AE343/VLOOKUP($B343,표2[#ALL],2)/HLOOKUP($A343,표1[#ALL],row(),false)</f>
        <v>#N/A</v>
      </c>
      <c r="AF343" s="376" t="str">
        <f>CS_PID!AF343/VLOOKUP($B343,표2[#ALL],2)/HLOOKUP($A343,표1[#ALL],row(),false)</f>
        <v>#N/A</v>
      </c>
      <c r="AG343" s="376" t="str">
        <f>CS_PID!AG343/VLOOKUP($B343,표2[#ALL],2)/HLOOKUP($A343,표1[#ALL],row(),false)</f>
        <v>#N/A</v>
      </c>
      <c r="AH343" s="376" t="str">
        <f>CS_PID!AH343/VLOOKUP($B343,표2[#ALL],2)/HLOOKUP($A343,표1[#ALL],row(),false)</f>
        <v>#N/A</v>
      </c>
      <c r="AI343" s="376" t="str">
        <f>CS_PID!AI343/VLOOKUP($B343,표2[#ALL],2)/HLOOKUP($A343,표1[#ALL],row(),false)</f>
        <v>#N/A</v>
      </c>
      <c r="AJ343" s="376" t="str">
        <f>CS_PID!AJ343/VLOOKUP($B343,표2[#ALL],2)/HLOOKUP($A343,표1[#ALL],row(),false)</f>
        <v>#N/A</v>
      </c>
      <c r="AK343" s="376" t="str">
        <f>CS_PID!AK343/VLOOKUP($B343,표2[#ALL],2)/HLOOKUP($A343,표1[#ALL],row(),false)</f>
        <v>#N/A</v>
      </c>
      <c r="AL343" s="376" t="str">
        <f>CS_PID!AL343/VLOOKUP($B343,표2[#ALL],2)/HLOOKUP($A343,표1[#ALL],row(),false)</f>
        <v>#N/A</v>
      </c>
      <c r="AM343" s="376" t="str">
        <f>CS_PID!AM343/VLOOKUP($B343,표2[#ALL],2)/HLOOKUP($A343,표1[#ALL],row(),false)</f>
        <v>#N/A</v>
      </c>
      <c r="AN343" s="376" t="str">
        <f>CS_PID!AN343/VLOOKUP($B343,표2[#ALL],2)/HLOOKUP($A343,표1[#ALL],row(),false)</f>
        <v>#N/A</v>
      </c>
      <c r="AO343" s="376" t="str">
        <f>CS_PID!AO343/VLOOKUP($B343,표2[#ALL],2)/HLOOKUP($A343,표1[#ALL],row(),false)</f>
        <v>#N/A</v>
      </c>
      <c r="AP343" s="376" t="str">
        <f>CS_PID!AP343/VLOOKUP($B343,표2[#ALL],2)/HLOOKUP($A343,표1[#ALL],row(),false)</f>
        <v>#N/A</v>
      </c>
      <c r="AQ343" s="376" t="str">
        <f>CS_PID!AQ343/VLOOKUP($B343,표2[#ALL],2)/HLOOKUP($A343,표1[#ALL],row(),false)</f>
        <v>#N/A</v>
      </c>
      <c r="AR343" s="376" t="str">
        <f>CS_PID!AR343/VLOOKUP($B343,표2[#ALL],2)/HLOOKUP($A343,표1[#ALL],row(),false)</f>
        <v>#N/A</v>
      </c>
      <c r="AS343" s="377" t="str">
        <f>CS_PID!AS343/VLOOKUP($B343,표2[#ALL],2)/HLOOKUP($A343,표1[#ALL],row(),false)</f>
        <v>#N/A</v>
      </c>
    </row>
    <row r="344">
      <c r="A344" s="370"/>
      <c r="B344" s="371"/>
      <c r="C344" s="372" t="str">
        <f>CS_PID!C344/VLOOKUP($B344,표2[#ALL],2)</f>
        <v>#N/A</v>
      </c>
      <c r="D344" s="372" t="str">
        <f>CS_PID!D344/VLOOKUP($B344,표2[#ALL],2)</f>
        <v>#N/A</v>
      </c>
      <c r="E344" s="372" t="str">
        <f>CS_PID!E344/VLOOKUP($B344,표2[#ALL],2)</f>
        <v>#N/A</v>
      </c>
      <c r="F344" s="372" t="str">
        <f>CS_PID!F344/VLOOKUP($B344,표2[#ALL],2)</f>
        <v>#N/A</v>
      </c>
      <c r="G344" s="372" t="str">
        <f>CS_PID!G344/VLOOKUP($B344,표2[#ALL],2)</f>
        <v>#N/A</v>
      </c>
      <c r="H344" s="372" t="str">
        <f>CS_PID!H344/VLOOKUP($B344,표2[#ALL],2)/HLOOKUP($A344,표1[#ALL],row(),false)</f>
        <v>#N/A</v>
      </c>
      <c r="I344" s="372" t="str">
        <f>CS_PID!I344/VLOOKUP($B344,표2[#ALL],2)/HLOOKUP($A344,표1[#ALL],row(),false)</f>
        <v>#N/A</v>
      </c>
      <c r="J344" s="372" t="str">
        <f>CS_PID!J344/VLOOKUP($B344,표2[#ALL],2)/HLOOKUP($A344,표1[#ALL],row(),false)</f>
        <v>#N/A</v>
      </c>
      <c r="K344" s="372" t="str">
        <f>CS_PID!K344/VLOOKUP($B344,표2[#ALL],2)/HLOOKUP($A344,표1[#ALL],row(),false)</f>
        <v>#N/A</v>
      </c>
      <c r="L344" s="372" t="str">
        <f>CS_PID!L344/VLOOKUP($B344,표2[#ALL],2)/HLOOKUP($A344,표1[#ALL],row(),false)</f>
        <v>#N/A</v>
      </c>
      <c r="M344" s="372" t="str">
        <f>CS_PID!M344/VLOOKUP($B344,표2[#ALL],2)/HLOOKUP($A344,표1[#ALL],row(),false)</f>
        <v>#N/A</v>
      </c>
      <c r="N344" s="372" t="str">
        <f>CS_PID!N344/VLOOKUP($B344,표2[#ALL],2)/HLOOKUP($A344,표1[#ALL],row(),false)</f>
        <v>#N/A</v>
      </c>
      <c r="O344" s="372" t="str">
        <f>CS_PID!O344/VLOOKUP($B344,표2[#ALL],2)/HLOOKUP($A344,표1[#ALL],row(),false)</f>
        <v>#N/A</v>
      </c>
      <c r="P344" s="372" t="str">
        <f>CS_PID!P344/VLOOKUP($B344,표2[#ALL],2)/HLOOKUP($A344,표1[#ALL],row(),false)</f>
        <v>#N/A</v>
      </c>
      <c r="Q344" s="372" t="str">
        <f>CS_PID!Q344/VLOOKUP($B344,표2[#ALL],2)/HLOOKUP($A344,표1[#ALL],row(),false)</f>
        <v>#N/A</v>
      </c>
      <c r="R344" s="372" t="str">
        <f>CS_PID!R344/VLOOKUP($B344,표2[#ALL],2)/HLOOKUP($A344,표1[#ALL],row(),false)</f>
        <v>#N/A</v>
      </c>
      <c r="S344" s="372" t="str">
        <f>CS_PID!S344/VLOOKUP($B344,표2[#ALL],2)/HLOOKUP($A344,표1[#ALL],row(),false)</f>
        <v>#N/A</v>
      </c>
      <c r="T344" s="372" t="str">
        <f>CS_PID!T344/VLOOKUP($B344,표2[#ALL],2)/HLOOKUP($A344,표1[#ALL],row(),false)</f>
        <v>#N/A</v>
      </c>
      <c r="U344" s="372" t="str">
        <f>CS_PID!U344/VLOOKUP($B344,표2[#ALL],2)/HLOOKUP($A344,표1[#ALL],row(),false)</f>
        <v>#N/A</v>
      </c>
      <c r="V344" s="372" t="str">
        <f>CS_PID!V344/VLOOKUP($B344,표2[#ALL],2)/HLOOKUP($A344,표1[#ALL],row(),false)</f>
        <v>#N/A</v>
      </c>
      <c r="W344" s="372" t="str">
        <f>CS_PID!W344/VLOOKUP($B344,표2[#ALL],2)/HLOOKUP($A344,표1[#ALL],row(),false)</f>
        <v>#N/A</v>
      </c>
      <c r="X344" s="372" t="str">
        <f>CS_PID!X344/VLOOKUP($B344,표2[#ALL],2)/HLOOKUP($A344,표1[#ALL],row(),false)</f>
        <v>#N/A</v>
      </c>
      <c r="Y344" s="372" t="str">
        <f>CS_PID!Y344/VLOOKUP($B344,표2[#ALL],2)/HLOOKUP($A344,표1[#ALL],row(),false)</f>
        <v>#N/A</v>
      </c>
      <c r="Z344" s="372" t="str">
        <f>CS_PID!Z344/VLOOKUP($B344,표2[#ALL],2)/HLOOKUP($A344,표1[#ALL],row(),false)</f>
        <v>#N/A</v>
      </c>
      <c r="AA344" s="372" t="str">
        <f>CS_PID!AA344/VLOOKUP($B344,표2[#ALL],2)/HLOOKUP($A344,표1[#ALL],row(),false)</f>
        <v>#N/A</v>
      </c>
      <c r="AB344" s="372" t="str">
        <f>CS_PID!AB344/VLOOKUP($B344,표2[#ALL],2)/HLOOKUP($A344,표1[#ALL],row(),false)</f>
        <v>#N/A</v>
      </c>
      <c r="AC344" s="372" t="str">
        <f>CS_PID!AC344/VLOOKUP($B344,표2[#ALL],2)/HLOOKUP($A344,표1[#ALL],row(),false)</f>
        <v>#N/A</v>
      </c>
      <c r="AD344" s="372" t="str">
        <f>CS_PID!AD344/VLOOKUP($B344,표2[#ALL],2)/HLOOKUP($A344,표1[#ALL],row(),false)</f>
        <v>#N/A</v>
      </c>
      <c r="AE344" s="372" t="str">
        <f>CS_PID!AE344/VLOOKUP($B344,표2[#ALL],2)/HLOOKUP($A344,표1[#ALL],row(),false)</f>
        <v>#N/A</v>
      </c>
      <c r="AF344" s="372" t="str">
        <f>CS_PID!AF344/VLOOKUP($B344,표2[#ALL],2)/HLOOKUP($A344,표1[#ALL],row(),false)</f>
        <v>#N/A</v>
      </c>
      <c r="AG344" s="372" t="str">
        <f>CS_PID!AG344/VLOOKUP($B344,표2[#ALL],2)/HLOOKUP($A344,표1[#ALL],row(),false)</f>
        <v>#N/A</v>
      </c>
      <c r="AH344" s="372" t="str">
        <f>CS_PID!AH344/VLOOKUP($B344,표2[#ALL],2)/HLOOKUP($A344,표1[#ALL],row(),false)</f>
        <v>#N/A</v>
      </c>
      <c r="AI344" s="372" t="str">
        <f>CS_PID!AI344/VLOOKUP($B344,표2[#ALL],2)/HLOOKUP($A344,표1[#ALL],row(),false)</f>
        <v>#N/A</v>
      </c>
      <c r="AJ344" s="372" t="str">
        <f>CS_PID!AJ344/VLOOKUP($B344,표2[#ALL],2)/HLOOKUP($A344,표1[#ALL],row(),false)</f>
        <v>#N/A</v>
      </c>
      <c r="AK344" s="372" t="str">
        <f>CS_PID!AK344/VLOOKUP($B344,표2[#ALL],2)/HLOOKUP($A344,표1[#ALL],row(),false)</f>
        <v>#N/A</v>
      </c>
      <c r="AL344" s="372" t="str">
        <f>CS_PID!AL344/VLOOKUP($B344,표2[#ALL],2)/HLOOKUP($A344,표1[#ALL],row(),false)</f>
        <v>#N/A</v>
      </c>
      <c r="AM344" s="372" t="str">
        <f>CS_PID!AM344/VLOOKUP($B344,표2[#ALL],2)/HLOOKUP($A344,표1[#ALL],row(),false)</f>
        <v>#N/A</v>
      </c>
      <c r="AN344" s="372" t="str">
        <f>CS_PID!AN344/VLOOKUP($B344,표2[#ALL],2)/HLOOKUP($A344,표1[#ALL],row(),false)</f>
        <v>#N/A</v>
      </c>
      <c r="AO344" s="372" t="str">
        <f>CS_PID!AO344/VLOOKUP($B344,표2[#ALL],2)/HLOOKUP($A344,표1[#ALL],row(),false)</f>
        <v>#N/A</v>
      </c>
      <c r="AP344" s="372" t="str">
        <f>CS_PID!AP344/VLOOKUP($B344,표2[#ALL],2)/HLOOKUP($A344,표1[#ALL],row(),false)</f>
        <v>#N/A</v>
      </c>
      <c r="AQ344" s="372" t="str">
        <f>CS_PID!AQ344/VLOOKUP($B344,표2[#ALL],2)/HLOOKUP($A344,표1[#ALL],row(),false)</f>
        <v>#N/A</v>
      </c>
      <c r="AR344" s="372" t="str">
        <f>CS_PID!AR344/VLOOKUP($B344,표2[#ALL],2)/HLOOKUP($A344,표1[#ALL],row(),false)</f>
        <v>#N/A</v>
      </c>
      <c r="AS344" s="373" t="str">
        <f>CS_PID!AS344/VLOOKUP($B344,표2[#ALL],2)/HLOOKUP($A344,표1[#ALL],row(),false)</f>
        <v>#N/A</v>
      </c>
    </row>
    <row r="345">
      <c r="A345" s="374"/>
      <c r="B345" s="375"/>
      <c r="C345" s="376" t="str">
        <f>CS_PID!C345/VLOOKUP($B345,표2[#ALL],2)</f>
        <v>#N/A</v>
      </c>
      <c r="D345" s="376" t="str">
        <f>CS_PID!D345/VLOOKUP($B345,표2[#ALL],2)</f>
        <v>#N/A</v>
      </c>
      <c r="E345" s="376" t="str">
        <f>CS_PID!E345/VLOOKUP($B345,표2[#ALL],2)</f>
        <v>#N/A</v>
      </c>
      <c r="F345" s="376" t="str">
        <f>CS_PID!F345/VLOOKUP($B345,표2[#ALL],2)</f>
        <v>#N/A</v>
      </c>
      <c r="G345" s="376" t="str">
        <f>CS_PID!G345/VLOOKUP($B345,표2[#ALL],2)</f>
        <v>#N/A</v>
      </c>
      <c r="H345" s="376" t="str">
        <f>CS_PID!H345/VLOOKUP($B345,표2[#ALL],2)/HLOOKUP($A345,표1[#ALL],row(),false)</f>
        <v>#N/A</v>
      </c>
      <c r="I345" s="376" t="str">
        <f>CS_PID!I345/VLOOKUP($B345,표2[#ALL],2)/HLOOKUP($A345,표1[#ALL],row(),false)</f>
        <v>#N/A</v>
      </c>
      <c r="J345" s="376" t="str">
        <f>CS_PID!J345/VLOOKUP($B345,표2[#ALL],2)/HLOOKUP($A345,표1[#ALL],row(),false)</f>
        <v>#N/A</v>
      </c>
      <c r="K345" s="376" t="str">
        <f>CS_PID!K345/VLOOKUP($B345,표2[#ALL],2)/HLOOKUP($A345,표1[#ALL],row(),false)</f>
        <v>#N/A</v>
      </c>
      <c r="L345" s="376" t="str">
        <f>CS_PID!L345/VLOOKUP($B345,표2[#ALL],2)/HLOOKUP($A345,표1[#ALL],row(),false)</f>
        <v>#N/A</v>
      </c>
      <c r="M345" s="376" t="str">
        <f>CS_PID!M345/VLOOKUP($B345,표2[#ALL],2)/HLOOKUP($A345,표1[#ALL],row(),false)</f>
        <v>#N/A</v>
      </c>
      <c r="N345" s="376" t="str">
        <f>CS_PID!N345/VLOOKUP($B345,표2[#ALL],2)/HLOOKUP($A345,표1[#ALL],row(),false)</f>
        <v>#N/A</v>
      </c>
      <c r="O345" s="376" t="str">
        <f>CS_PID!O345/VLOOKUP($B345,표2[#ALL],2)/HLOOKUP($A345,표1[#ALL],row(),false)</f>
        <v>#N/A</v>
      </c>
      <c r="P345" s="376" t="str">
        <f>CS_PID!P345/VLOOKUP($B345,표2[#ALL],2)/HLOOKUP($A345,표1[#ALL],row(),false)</f>
        <v>#N/A</v>
      </c>
      <c r="Q345" s="376" t="str">
        <f>CS_PID!Q345/VLOOKUP($B345,표2[#ALL],2)/HLOOKUP($A345,표1[#ALL],row(),false)</f>
        <v>#N/A</v>
      </c>
      <c r="R345" s="376" t="str">
        <f>CS_PID!R345/VLOOKUP($B345,표2[#ALL],2)/HLOOKUP($A345,표1[#ALL],row(),false)</f>
        <v>#N/A</v>
      </c>
      <c r="S345" s="376" t="str">
        <f>CS_PID!S345/VLOOKUP($B345,표2[#ALL],2)/HLOOKUP($A345,표1[#ALL],row(),false)</f>
        <v>#N/A</v>
      </c>
      <c r="T345" s="376" t="str">
        <f>CS_PID!T345/VLOOKUP($B345,표2[#ALL],2)/HLOOKUP($A345,표1[#ALL],row(),false)</f>
        <v>#N/A</v>
      </c>
      <c r="U345" s="376" t="str">
        <f>CS_PID!U345/VLOOKUP($B345,표2[#ALL],2)/HLOOKUP($A345,표1[#ALL],row(),false)</f>
        <v>#N/A</v>
      </c>
      <c r="V345" s="376" t="str">
        <f>CS_PID!V345/VLOOKUP($B345,표2[#ALL],2)/HLOOKUP($A345,표1[#ALL],row(),false)</f>
        <v>#N/A</v>
      </c>
      <c r="W345" s="376" t="str">
        <f>CS_PID!W345/VLOOKUP($B345,표2[#ALL],2)/HLOOKUP($A345,표1[#ALL],row(),false)</f>
        <v>#N/A</v>
      </c>
      <c r="X345" s="376" t="str">
        <f>CS_PID!X345/VLOOKUP($B345,표2[#ALL],2)/HLOOKUP($A345,표1[#ALL],row(),false)</f>
        <v>#N/A</v>
      </c>
      <c r="Y345" s="376" t="str">
        <f>CS_PID!Y345/VLOOKUP($B345,표2[#ALL],2)/HLOOKUP($A345,표1[#ALL],row(),false)</f>
        <v>#N/A</v>
      </c>
      <c r="Z345" s="376" t="str">
        <f>CS_PID!Z345/VLOOKUP($B345,표2[#ALL],2)/HLOOKUP($A345,표1[#ALL],row(),false)</f>
        <v>#N/A</v>
      </c>
      <c r="AA345" s="376" t="str">
        <f>CS_PID!AA345/VLOOKUP($B345,표2[#ALL],2)/HLOOKUP($A345,표1[#ALL],row(),false)</f>
        <v>#N/A</v>
      </c>
      <c r="AB345" s="376" t="str">
        <f>CS_PID!AB345/VLOOKUP($B345,표2[#ALL],2)/HLOOKUP($A345,표1[#ALL],row(),false)</f>
        <v>#N/A</v>
      </c>
      <c r="AC345" s="376" t="str">
        <f>CS_PID!AC345/VLOOKUP($B345,표2[#ALL],2)/HLOOKUP($A345,표1[#ALL],row(),false)</f>
        <v>#N/A</v>
      </c>
      <c r="AD345" s="376" t="str">
        <f>CS_PID!AD345/VLOOKUP($B345,표2[#ALL],2)/HLOOKUP($A345,표1[#ALL],row(),false)</f>
        <v>#N/A</v>
      </c>
      <c r="AE345" s="376" t="str">
        <f>CS_PID!AE345/VLOOKUP($B345,표2[#ALL],2)/HLOOKUP($A345,표1[#ALL],row(),false)</f>
        <v>#N/A</v>
      </c>
      <c r="AF345" s="376" t="str">
        <f>CS_PID!AF345/VLOOKUP($B345,표2[#ALL],2)/HLOOKUP($A345,표1[#ALL],row(),false)</f>
        <v>#N/A</v>
      </c>
      <c r="AG345" s="376" t="str">
        <f>CS_PID!AG345/VLOOKUP($B345,표2[#ALL],2)/HLOOKUP($A345,표1[#ALL],row(),false)</f>
        <v>#N/A</v>
      </c>
      <c r="AH345" s="376" t="str">
        <f>CS_PID!AH345/VLOOKUP($B345,표2[#ALL],2)/HLOOKUP($A345,표1[#ALL],row(),false)</f>
        <v>#N/A</v>
      </c>
      <c r="AI345" s="376" t="str">
        <f>CS_PID!AI345/VLOOKUP($B345,표2[#ALL],2)/HLOOKUP($A345,표1[#ALL],row(),false)</f>
        <v>#N/A</v>
      </c>
      <c r="AJ345" s="376" t="str">
        <f>CS_PID!AJ345/VLOOKUP($B345,표2[#ALL],2)/HLOOKUP($A345,표1[#ALL],row(),false)</f>
        <v>#N/A</v>
      </c>
      <c r="AK345" s="376" t="str">
        <f>CS_PID!AK345/VLOOKUP($B345,표2[#ALL],2)/HLOOKUP($A345,표1[#ALL],row(),false)</f>
        <v>#N/A</v>
      </c>
      <c r="AL345" s="376" t="str">
        <f>CS_PID!AL345/VLOOKUP($B345,표2[#ALL],2)/HLOOKUP($A345,표1[#ALL],row(),false)</f>
        <v>#N/A</v>
      </c>
      <c r="AM345" s="376" t="str">
        <f>CS_PID!AM345/VLOOKUP($B345,표2[#ALL],2)/HLOOKUP($A345,표1[#ALL],row(),false)</f>
        <v>#N/A</v>
      </c>
      <c r="AN345" s="376" t="str">
        <f>CS_PID!AN345/VLOOKUP($B345,표2[#ALL],2)/HLOOKUP($A345,표1[#ALL],row(),false)</f>
        <v>#N/A</v>
      </c>
      <c r="AO345" s="376" t="str">
        <f>CS_PID!AO345/VLOOKUP($B345,표2[#ALL],2)/HLOOKUP($A345,표1[#ALL],row(),false)</f>
        <v>#N/A</v>
      </c>
      <c r="AP345" s="376" t="str">
        <f>CS_PID!AP345/VLOOKUP($B345,표2[#ALL],2)/HLOOKUP($A345,표1[#ALL],row(),false)</f>
        <v>#N/A</v>
      </c>
      <c r="AQ345" s="376" t="str">
        <f>CS_PID!AQ345/VLOOKUP($B345,표2[#ALL],2)/HLOOKUP($A345,표1[#ALL],row(),false)</f>
        <v>#N/A</v>
      </c>
      <c r="AR345" s="376" t="str">
        <f>CS_PID!AR345/VLOOKUP($B345,표2[#ALL],2)/HLOOKUP($A345,표1[#ALL],row(),false)</f>
        <v>#N/A</v>
      </c>
      <c r="AS345" s="377" t="str">
        <f>CS_PID!AS345/VLOOKUP($B345,표2[#ALL],2)/HLOOKUP($A345,표1[#ALL],row(),false)</f>
        <v>#N/A</v>
      </c>
    </row>
    <row r="346">
      <c r="A346" s="370"/>
      <c r="B346" s="371"/>
      <c r="C346" s="372" t="str">
        <f>CS_PID!C346/VLOOKUP($B346,표2[#ALL],2)</f>
        <v>#N/A</v>
      </c>
      <c r="D346" s="372" t="str">
        <f>CS_PID!D346/VLOOKUP($B346,표2[#ALL],2)</f>
        <v>#N/A</v>
      </c>
      <c r="E346" s="372" t="str">
        <f>CS_PID!E346/VLOOKUP($B346,표2[#ALL],2)</f>
        <v>#N/A</v>
      </c>
      <c r="F346" s="372" t="str">
        <f>CS_PID!F346/VLOOKUP($B346,표2[#ALL],2)</f>
        <v>#N/A</v>
      </c>
      <c r="G346" s="372" t="str">
        <f>CS_PID!G346/VLOOKUP($B346,표2[#ALL],2)</f>
        <v>#N/A</v>
      </c>
      <c r="H346" s="372" t="str">
        <f>CS_PID!H346/VLOOKUP($B346,표2[#ALL],2)/HLOOKUP($A346,표1[#ALL],row(),false)</f>
        <v>#N/A</v>
      </c>
      <c r="I346" s="372" t="str">
        <f>CS_PID!I346/VLOOKUP($B346,표2[#ALL],2)/HLOOKUP($A346,표1[#ALL],row(),false)</f>
        <v>#N/A</v>
      </c>
      <c r="J346" s="372" t="str">
        <f>CS_PID!J346/VLOOKUP($B346,표2[#ALL],2)/HLOOKUP($A346,표1[#ALL],row(),false)</f>
        <v>#N/A</v>
      </c>
      <c r="K346" s="372" t="str">
        <f>CS_PID!K346/VLOOKUP($B346,표2[#ALL],2)/HLOOKUP($A346,표1[#ALL],row(),false)</f>
        <v>#N/A</v>
      </c>
      <c r="L346" s="372" t="str">
        <f>CS_PID!L346/VLOOKUP($B346,표2[#ALL],2)/HLOOKUP($A346,표1[#ALL],row(),false)</f>
        <v>#N/A</v>
      </c>
      <c r="M346" s="372" t="str">
        <f>CS_PID!M346/VLOOKUP($B346,표2[#ALL],2)/HLOOKUP($A346,표1[#ALL],row(),false)</f>
        <v>#N/A</v>
      </c>
      <c r="N346" s="372" t="str">
        <f>CS_PID!N346/VLOOKUP($B346,표2[#ALL],2)/HLOOKUP($A346,표1[#ALL],row(),false)</f>
        <v>#N/A</v>
      </c>
      <c r="O346" s="372" t="str">
        <f>CS_PID!O346/VLOOKUP($B346,표2[#ALL],2)/HLOOKUP($A346,표1[#ALL],row(),false)</f>
        <v>#N/A</v>
      </c>
      <c r="P346" s="372" t="str">
        <f>CS_PID!P346/VLOOKUP($B346,표2[#ALL],2)/HLOOKUP($A346,표1[#ALL],row(),false)</f>
        <v>#N/A</v>
      </c>
      <c r="Q346" s="372" t="str">
        <f>CS_PID!Q346/VLOOKUP($B346,표2[#ALL],2)/HLOOKUP($A346,표1[#ALL],row(),false)</f>
        <v>#N/A</v>
      </c>
      <c r="R346" s="372" t="str">
        <f>CS_PID!R346/VLOOKUP($B346,표2[#ALL],2)/HLOOKUP($A346,표1[#ALL],row(),false)</f>
        <v>#N/A</v>
      </c>
      <c r="S346" s="372" t="str">
        <f>CS_PID!S346/VLOOKUP($B346,표2[#ALL],2)/HLOOKUP($A346,표1[#ALL],row(),false)</f>
        <v>#N/A</v>
      </c>
      <c r="T346" s="372" t="str">
        <f>CS_PID!T346/VLOOKUP($B346,표2[#ALL],2)/HLOOKUP($A346,표1[#ALL],row(),false)</f>
        <v>#N/A</v>
      </c>
      <c r="U346" s="372" t="str">
        <f>CS_PID!U346/VLOOKUP($B346,표2[#ALL],2)/HLOOKUP($A346,표1[#ALL],row(),false)</f>
        <v>#N/A</v>
      </c>
      <c r="V346" s="372" t="str">
        <f>CS_PID!V346/VLOOKUP($B346,표2[#ALL],2)/HLOOKUP($A346,표1[#ALL],row(),false)</f>
        <v>#N/A</v>
      </c>
      <c r="W346" s="372" t="str">
        <f>CS_PID!W346/VLOOKUP($B346,표2[#ALL],2)/HLOOKUP($A346,표1[#ALL],row(),false)</f>
        <v>#N/A</v>
      </c>
      <c r="X346" s="372" t="str">
        <f>CS_PID!X346/VLOOKUP($B346,표2[#ALL],2)/HLOOKUP($A346,표1[#ALL],row(),false)</f>
        <v>#N/A</v>
      </c>
      <c r="Y346" s="372" t="str">
        <f>CS_PID!Y346/VLOOKUP($B346,표2[#ALL],2)/HLOOKUP($A346,표1[#ALL],row(),false)</f>
        <v>#N/A</v>
      </c>
      <c r="Z346" s="372" t="str">
        <f>CS_PID!Z346/VLOOKUP($B346,표2[#ALL],2)/HLOOKUP($A346,표1[#ALL],row(),false)</f>
        <v>#N/A</v>
      </c>
      <c r="AA346" s="372" t="str">
        <f>CS_PID!AA346/VLOOKUP($B346,표2[#ALL],2)/HLOOKUP($A346,표1[#ALL],row(),false)</f>
        <v>#N/A</v>
      </c>
      <c r="AB346" s="372" t="str">
        <f>CS_PID!AB346/VLOOKUP($B346,표2[#ALL],2)/HLOOKUP($A346,표1[#ALL],row(),false)</f>
        <v>#N/A</v>
      </c>
      <c r="AC346" s="372" t="str">
        <f>CS_PID!AC346/VLOOKUP($B346,표2[#ALL],2)/HLOOKUP($A346,표1[#ALL],row(),false)</f>
        <v>#N/A</v>
      </c>
      <c r="AD346" s="372" t="str">
        <f>CS_PID!AD346/VLOOKUP($B346,표2[#ALL],2)/HLOOKUP($A346,표1[#ALL],row(),false)</f>
        <v>#N/A</v>
      </c>
      <c r="AE346" s="372" t="str">
        <f>CS_PID!AE346/VLOOKUP($B346,표2[#ALL],2)/HLOOKUP($A346,표1[#ALL],row(),false)</f>
        <v>#N/A</v>
      </c>
      <c r="AF346" s="372" t="str">
        <f>CS_PID!AF346/VLOOKUP($B346,표2[#ALL],2)/HLOOKUP($A346,표1[#ALL],row(),false)</f>
        <v>#N/A</v>
      </c>
      <c r="AG346" s="372" t="str">
        <f>CS_PID!AG346/VLOOKUP($B346,표2[#ALL],2)/HLOOKUP($A346,표1[#ALL],row(),false)</f>
        <v>#N/A</v>
      </c>
      <c r="AH346" s="372" t="str">
        <f>CS_PID!AH346/VLOOKUP($B346,표2[#ALL],2)/HLOOKUP($A346,표1[#ALL],row(),false)</f>
        <v>#N/A</v>
      </c>
      <c r="AI346" s="372" t="str">
        <f>CS_PID!AI346/VLOOKUP($B346,표2[#ALL],2)/HLOOKUP($A346,표1[#ALL],row(),false)</f>
        <v>#N/A</v>
      </c>
      <c r="AJ346" s="372" t="str">
        <f>CS_PID!AJ346/VLOOKUP($B346,표2[#ALL],2)/HLOOKUP($A346,표1[#ALL],row(),false)</f>
        <v>#N/A</v>
      </c>
      <c r="AK346" s="372" t="str">
        <f>CS_PID!AK346/VLOOKUP($B346,표2[#ALL],2)/HLOOKUP($A346,표1[#ALL],row(),false)</f>
        <v>#N/A</v>
      </c>
      <c r="AL346" s="372" t="str">
        <f>CS_PID!AL346/VLOOKUP($B346,표2[#ALL],2)/HLOOKUP($A346,표1[#ALL],row(),false)</f>
        <v>#N/A</v>
      </c>
      <c r="AM346" s="372" t="str">
        <f>CS_PID!AM346/VLOOKUP($B346,표2[#ALL],2)/HLOOKUP($A346,표1[#ALL],row(),false)</f>
        <v>#N/A</v>
      </c>
      <c r="AN346" s="372" t="str">
        <f>CS_PID!AN346/VLOOKUP($B346,표2[#ALL],2)/HLOOKUP($A346,표1[#ALL],row(),false)</f>
        <v>#N/A</v>
      </c>
      <c r="AO346" s="372" t="str">
        <f>CS_PID!AO346/VLOOKUP($B346,표2[#ALL],2)/HLOOKUP($A346,표1[#ALL],row(),false)</f>
        <v>#N/A</v>
      </c>
      <c r="AP346" s="372" t="str">
        <f>CS_PID!AP346/VLOOKUP($B346,표2[#ALL],2)/HLOOKUP($A346,표1[#ALL],row(),false)</f>
        <v>#N/A</v>
      </c>
      <c r="AQ346" s="372" t="str">
        <f>CS_PID!AQ346/VLOOKUP($B346,표2[#ALL],2)/HLOOKUP($A346,표1[#ALL],row(),false)</f>
        <v>#N/A</v>
      </c>
      <c r="AR346" s="372" t="str">
        <f>CS_PID!AR346/VLOOKUP($B346,표2[#ALL],2)/HLOOKUP($A346,표1[#ALL],row(),false)</f>
        <v>#N/A</v>
      </c>
      <c r="AS346" s="373" t="str">
        <f>CS_PID!AS346/VLOOKUP($B346,표2[#ALL],2)/HLOOKUP($A346,표1[#ALL],row(),false)</f>
        <v>#N/A</v>
      </c>
    </row>
    <row r="347">
      <c r="A347" s="374"/>
      <c r="B347" s="375"/>
      <c r="C347" s="376" t="str">
        <f>CS_PID!C347/VLOOKUP($B347,표2[#ALL],2)</f>
        <v>#N/A</v>
      </c>
      <c r="D347" s="376" t="str">
        <f>CS_PID!D347/VLOOKUP($B347,표2[#ALL],2)</f>
        <v>#N/A</v>
      </c>
      <c r="E347" s="376" t="str">
        <f>CS_PID!E347/VLOOKUP($B347,표2[#ALL],2)</f>
        <v>#N/A</v>
      </c>
      <c r="F347" s="376" t="str">
        <f>CS_PID!F347/VLOOKUP($B347,표2[#ALL],2)</f>
        <v>#N/A</v>
      </c>
      <c r="G347" s="376" t="str">
        <f>CS_PID!G347/VLOOKUP($B347,표2[#ALL],2)</f>
        <v>#N/A</v>
      </c>
      <c r="H347" s="376" t="str">
        <f>CS_PID!H347/VLOOKUP($B347,표2[#ALL],2)/HLOOKUP($A347,표1[#ALL],row(),false)</f>
        <v>#N/A</v>
      </c>
      <c r="I347" s="376" t="str">
        <f>CS_PID!I347/VLOOKUP($B347,표2[#ALL],2)/HLOOKUP($A347,표1[#ALL],row(),false)</f>
        <v>#N/A</v>
      </c>
      <c r="J347" s="376" t="str">
        <f>CS_PID!J347/VLOOKUP($B347,표2[#ALL],2)/HLOOKUP($A347,표1[#ALL],row(),false)</f>
        <v>#N/A</v>
      </c>
      <c r="K347" s="376" t="str">
        <f>CS_PID!K347/VLOOKUP($B347,표2[#ALL],2)/HLOOKUP($A347,표1[#ALL],row(),false)</f>
        <v>#N/A</v>
      </c>
      <c r="L347" s="376" t="str">
        <f>CS_PID!L347/VLOOKUP($B347,표2[#ALL],2)/HLOOKUP($A347,표1[#ALL],row(),false)</f>
        <v>#N/A</v>
      </c>
      <c r="M347" s="376" t="str">
        <f>CS_PID!M347/VLOOKUP($B347,표2[#ALL],2)/HLOOKUP($A347,표1[#ALL],row(),false)</f>
        <v>#N/A</v>
      </c>
      <c r="N347" s="376" t="str">
        <f>CS_PID!N347/VLOOKUP($B347,표2[#ALL],2)/HLOOKUP($A347,표1[#ALL],row(),false)</f>
        <v>#N/A</v>
      </c>
      <c r="O347" s="376" t="str">
        <f>CS_PID!O347/VLOOKUP($B347,표2[#ALL],2)/HLOOKUP($A347,표1[#ALL],row(),false)</f>
        <v>#N/A</v>
      </c>
      <c r="P347" s="376" t="str">
        <f>CS_PID!P347/VLOOKUP($B347,표2[#ALL],2)/HLOOKUP($A347,표1[#ALL],row(),false)</f>
        <v>#N/A</v>
      </c>
      <c r="Q347" s="376" t="str">
        <f>CS_PID!Q347/VLOOKUP($B347,표2[#ALL],2)/HLOOKUP($A347,표1[#ALL],row(),false)</f>
        <v>#N/A</v>
      </c>
      <c r="R347" s="376" t="str">
        <f>CS_PID!R347/VLOOKUP($B347,표2[#ALL],2)/HLOOKUP($A347,표1[#ALL],row(),false)</f>
        <v>#N/A</v>
      </c>
      <c r="S347" s="376" t="str">
        <f>CS_PID!S347/VLOOKUP($B347,표2[#ALL],2)/HLOOKUP($A347,표1[#ALL],row(),false)</f>
        <v>#N/A</v>
      </c>
      <c r="T347" s="376" t="str">
        <f>CS_PID!T347/VLOOKUP($B347,표2[#ALL],2)/HLOOKUP($A347,표1[#ALL],row(),false)</f>
        <v>#N/A</v>
      </c>
      <c r="U347" s="376" t="str">
        <f>CS_PID!U347/VLOOKUP($B347,표2[#ALL],2)/HLOOKUP($A347,표1[#ALL],row(),false)</f>
        <v>#N/A</v>
      </c>
      <c r="V347" s="376" t="str">
        <f>CS_PID!V347/VLOOKUP($B347,표2[#ALL],2)/HLOOKUP($A347,표1[#ALL],row(),false)</f>
        <v>#N/A</v>
      </c>
      <c r="W347" s="376" t="str">
        <f>CS_PID!W347/VLOOKUP($B347,표2[#ALL],2)/HLOOKUP($A347,표1[#ALL],row(),false)</f>
        <v>#N/A</v>
      </c>
      <c r="X347" s="376" t="str">
        <f>CS_PID!X347/VLOOKUP($B347,표2[#ALL],2)/HLOOKUP($A347,표1[#ALL],row(),false)</f>
        <v>#N/A</v>
      </c>
      <c r="Y347" s="376" t="str">
        <f>CS_PID!Y347/VLOOKUP($B347,표2[#ALL],2)/HLOOKUP($A347,표1[#ALL],row(),false)</f>
        <v>#N/A</v>
      </c>
      <c r="Z347" s="376" t="str">
        <f>CS_PID!Z347/VLOOKUP($B347,표2[#ALL],2)/HLOOKUP($A347,표1[#ALL],row(),false)</f>
        <v>#N/A</v>
      </c>
      <c r="AA347" s="376" t="str">
        <f>CS_PID!AA347/VLOOKUP($B347,표2[#ALL],2)/HLOOKUP($A347,표1[#ALL],row(),false)</f>
        <v>#N/A</v>
      </c>
      <c r="AB347" s="376" t="str">
        <f>CS_PID!AB347/VLOOKUP($B347,표2[#ALL],2)/HLOOKUP($A347,표1[#ALL],row(),false)</f>
        <v>#N/A</v>
      </c>
      <c r="AC347" s="376" t="str">
        <f>CS_PID!AC347/VLOOKUP($B347,표2[#ALL],2)/HLOOKUP($A347,표1[#ALL],row(),false)</f>
        <v>#N/A</v>
      </c>
      <c r="AD347" s="376" t="str">
        <f>CS_PID!AD347/VLOOKUP($B347,표2[#ALL],2)/HLOOKUP($A347,표1[#ALL],row(),false)</f>
        <v>#N/A</v>
      </c>
      <c r="AE347" s="376" t="str">
        <f>CS_PID!AE347/VLOOKUP($B347,표2[#ALL],2)/HLOOKUP($A347,표1[#ALL],row(),false)</f>
        <v>#N/A</v>
      </c>
      <c r="AF347" s="376" t="str">
        <f>CS_PID!AF347/VLOOKUP($B347,표2[#ALL],2)/HLOOKUP($A347,표1[#ALL],row(),false)</f>
        <v>#N/A</v>
      </c>
      <c r="AG347" s="376" t="str">
        <f>CS_PID!AG347/VLOOKUP($B347,표2[#ALL],2)/HLOOKUP($A347,표1[#ALL],row(),false)</f>
        <v>#N/A</v>
      </c>
      <c r="AH347" s="376" t="str">
        <f>CS_PID!AH347/VLOOKUP($B347,표2[#ALL],2)/HLOOKUP($A347,표1[#ALL],row(),false)</f>
        <v>#N/A</v>
      </c>
      <c r="AI347" s="376" t="str">
        <f>CS_PID!AI347/VLOOKUP($B347,표2[#ALL],2)/HLOOKUP($A347,표1[#ALL],row(),false)</f>
        <v>#N/A</v>
      </c>
      <c r="AJ347" s="376" t="str">
        <f>CS_PID!AJ347/VLOOKUP($B347,표2[#ALL],2)/HLOOKUP($A347,표1[#ALL],row(),false)</f>
        <v>#N/A</v>
      </c>
      <c r="AK347" s="376" t="str">
        <f>CS_PID!AK347/VLOOKUP($B347,표2[#ALL],2)/HLOOKUP($A347,표1[#ALL],row(),false)</f>
        <v>#N/A</v>
      </c>
      <c r="AL347" s="376" t="str">
        <f>CS_PID!AL347/VLOOKUP($B347,표2[#ALL],2)/HLOOKUP($A347,표1[#ALL],row(),false)</f>
        <v>#N/A</v>
      </c>
      <c r="AM347" s="376" t="str">
        <f>CS_PID!AM347/VLOOKUP($B347,표2[#ALL],2)/HLOOKUP($A347,표1[#ALL],row(),false)</f>
        <v>#N/A</v>
      </c>
      <c r="AN347" s="376" t="str">
        <f>CS_PID!AN347/VLOOKUP($B347,표2[#ALL],2)/HLOOKUP($A347,표1[#ALL],row(),false)</f>
        <v>#N/A</v>
      </c>
      <c r="AO347" s="376" t="str">
        <f>CS_PID!AO347/VLOOKUP($B347,표2[#ALL],2)/HLOOKUP($A347,표1[#ALL],row(),false)</f>
        <v>#N/A</v>
      </c>
      <c r="AP347" s="376" t="str">
        <f>CS_PID!AP347/VLOOKUP($B347,표2[#ALL],2)/HLOOKUP($A347,표1[#ALL],row(),false)</f>
        <v>#N/A</v>
      </c>
      <c r="AQ347" s="376" t="str">
        <f>CS_PID!AQ347/VLOOKUP($B347,표2[#ALL],2)/HLOOKUP($A347,표1[#ALL],row(),false)</f>
        <v>#N/A</v>
      </c>
      <c r="AR347" s="376" t="str">
        <f>CS_PID!AR347/VLOOKUP($B347,표2[#ALL],2)/HLOOKUP($A347,표1[#ALL],row(),false)</f>
        <v>#N/A</v>
      </c>
      <c r="AS347" s="377" t="str">
        <f>CS_PID!AS347/VLOOKUP($B347,표2[#ALL],2)/HLOOKUP($A347,표1[#ALL],row(),false)</f>
        <v>#N/A</v>
      </c>
    </row>
    <row r="348">
      <c r="A348" s="370"/>
      <c r="B348" s="371"/>
      <c r="C348" s="372" t="str">
        <f>CS_PID!C348/VLOOKUP($B348,표2[#ALL],2)</f>
        <v>#N/A</v>
      </c>
      <c r="D348" s="372" t="str">
        <f>CS_PID!D348/VLOOKUP($B348,표2[#ALL],2)</f>
        <v>#N/A</v>
      </c>
      <c r="E348" s="372" t="str">
        <f>CS_PID!E348/VLOOKUP($B348,표2[#ALL],2)</f>
        <v>#N/A</v>
      </c>
      <c r="F348" s="372" t="str">
        <f>CS_PID!F348/VLOOKUP($B348,표2[#ALL],2)</f>
        <v>#N/A</v>
      </c>
      <c r="G348" s="372" t="str">
        <f>CS_PID!G348/VLOOKUP($B348,표2[#ALL],2)</f>
        <v>#N/A</v>
      </c>
      <c r="H348" s="372" t="str">
        <f>CS_PID!H348/VLOOKUP($B348,표2[#ALL],2)/HLOOKUP($A348,표1[#ALL],row(),false)</f>
        <v>#N/A</v>
      </c>
      <c r="I348" s="372" t="str">
        <f>CS_PID!I348/VLOOKUP($B348,표2[#ALL],2)/HLOOKUP($A348,표1[#ALL],row(),false)</f>
        <v>#N/A</v>
      </c>
      <c r="J348" s="372" t="str">
        <f>CS_PID!J348/VLOOKUP($B348,표2[#ALL],2)/HLOOKUP($A348,표1[#ALL],row(),false)</f>
        <v>#N/A</v>
      </c>
      <c r="K348" s="372" t="str">
        <f>CS_PID!K348/VLOOKUP($B348,표2[#ALL],2)/HLOOKUP($A348,표1[#ALL],row(),false)</f>
        <v>#N/A</v>
      </c>
      <c r="L348" s="372" t="str">
        <f>CS_PID!L348/VLOOKUP($B348,표2[#ALL],2)/HLOOKUP($A348,표1[#ALL],row(),false)</f>
        <v>#N/A</v>
      </c>
      <c r="M348" s="372" t="str">
        <f>CS_PID!M348/VLOOKUP($B348,표2[#ALL],2)/HLOOKUP($A348,표1[#ALL],row(),false)</f>
        <v>#N/A</v>
      </c>
      <c r="N348" s="372" t="str">
        <f>CS_PID!N348/VLOOKUP($B348,표2[#ALL],2)/HLOOKUP($A348,표1[#ALL],row(),false)</f>
        <v>#N/A</v>
      </c>
      <c r="O348" s="372" t="str">
        <f>CS_PID!O348/VLOOKUP($B348,표2[#ALL],2)/HLOOKUP($A348,표1[#ALL],row(),false)</f>
        <v>#N/A</v>
      </c>
      <c r="P348" s="372" t="str">
        <f>CS_PID!P348/VLOOKUP($B348,표2[#ALL],2)/HLOOKUP($A348,표1[#ALL],row(),false)</f>
        <v>#N/A</v>
      </c>
      <c r="Q348" s="372" t="str">
        <f>CS_PID!Q348/VLOOKUP($B348,표2[#ALL],2)/HLOOKUP($A348,표1[#ALL],row(),false)</f>
        <v>#N/A</v>
      </c>
      <c r="R348" s="372" t="str">
        <f>CS_PID!R348/VLOOKUP($B348,표2[#ALL],2)/HLOOKUP($A348,표1[#ALL],row(),false)</f>
        <v>#N/A</v>
      </c>
      <c r="S348" s="372" t="str">
        <f>CS_PID!S348/VLOOKUP($B348,표2[#ALL],2)/HLOOKUP($A348,표1[#ALL],row(),false)</f>
        <v>#N/A</v>
      </c>
      <c r="T348" s="372" t="str">
        <f>CS_PID!T348/VLOOKUP($B348,표2[#ALL],2)/HLOOKUP($A348,표1[#ALL],row(),false)</f>
        <v>#N/A</v>
      </c>
      <c r="U348" s="372" t="str">
        <f>CS_PID!U348/VLOOKUP($B348,표2[#ALL],2)/HLOOKUP($A348,표1[#ALL],row(),false)</f>
        <v>#N/A</v>
      </c>
      <c r="V348" s="372" t="str">
        <f>CS_PID!V348/VLOOKUP($B348,표2[#ALL],2)/HLOOKUP($A348,표1[#ALL],row(),false)</f>
        <v>#N/A</v>
      </c>
      <c r="W348" s="372" t="str">
        <f>CS_PID!W348/VLOOKUP($B348,표2[#ALL],2)/HLOOKUP($A348,표1[#ALL],row(),false)</f>
        <v>#N/A</v>
      </c>
      <c r="X348" s="372" t="str">
        <f>CS_PID!X348/VLOOKUP($B348,표2[#ALL],2)/HLOOKUP($A348,표1[#ALL],row(),false)</f>
        <v>#N/A</v>
      </c>
      <c r="Y348" s="372" t="str">
        <f>CS_PID!Y348/VLOOKUP($B348,표2[#ALL],2)/HLOOKUP($A348,표1[#ALL],row(),false)</f>
        <v>#N/A</v>
      </c>
      <c r="Z348" s="372" t="str">
        <f>CS_PID!Z348/VLOOKUP($B348,표2[#ALL],2)/HLOOKUP($A348,표1[#ALL],row(),false)</f>
        <v>#N/A</v>
      </c>
      <c r="AA348" s="372" t="str">
        <f>CS_PID!AA348/VLOOKUP($B348,표2[#ALL],2)/HLOOKUP($A348,표1[#ALL],row(),false)</f>
        <v>#N/A</v>
      </c>
      <c r="AB348" s="372" t="str">
        <f>CS_PID!AB348/VLOOKUP($B348,표2[#ALL],2)/HLOOKUP($A348,표1[#ALL],row(),false)</f>
        <v>#N/A</v>
      </c>
      <c r="AC348" s="372" t="str">
        <f>CS_PID!AC348/VLOOKUP($B348,표2[#ALL],2)/HLOOKUP($A348,표1[#ALL],row(),false)</f>
        <v>#N/A</v>
      </c>
      <c r="AD348" s="372" t="str">
        <f>CS_PID!AD348/VLOOKUP($B348,표2[#ALL],2)/HLOOKUP($A348,표1[#ALL],row(),false)</f>
        <v>#N/A</v>
      </c>
      <c r="AE348" s="372" t="str">
        <f>CS_PID!AE348/VLOOKUP($B348,표2[#ALL],2)/HLOOKUP($A348,표1[#ALL],row(),false)</f>
        <v>#N/A</v>
      </c>
      <c r="AF348" s="372" t="str">
        <f>CS_PID!AF348/VLOOKUP($B348,표2[#ALL],2)/HLOOKUP($A348,표1[#ALL],row(),false)</f>
        <v>#N/A</v>
      </c>
      <c r="AG348" s="372" t="str">
        <f>CS_PID!AG348/VLOOKUP($B348,표2[#ALL],2)/HLOOKUP($A348,표1[#ALL],row(),false)</f>
        <v>#N/A</v>
      </c>
      <c r="AH348" s="372" t="str">
        <f>CS_PID!AH348/VLOOKUP($B348,표2[#ALL],2)/HLOOKUP($A348,표1[#ALL],row(),false)</f>
        <v>#N/A</v>
      </c>
      <c r="AI348" s="372" t="str">
        <f>CS_PID!AI348/VLOOKUP($B348,표2[#ALL],2)/HLOOKUP($A348,표1[#ALL],row(),false)</f>
        <v>#N/A</v>
      </c>
      <c r="AJ348" s="372" t="str">
        <f>CS_PID!AJ348/VLOOKUP($B348,표2[#ALL],2)/HLOOKUP($A348,표1[#ALL],row(),false)</f>
        <v>#N/A</v>
      </c>
      <c r="AK348" s="372" t="str">
        <f>CS_PID!AK348/VLOOKUP($B348,표2[#ALL],2)/HLOOKUP($A348,표1[#ALL],row(),false)</f>
        <v>#N/A</v>
      </c>
      <c r="AL348" s="372" t="str">
        <f>CS_PID!AL348/VLOOKUP($B348,표2[#ALL],2)/HLOOKUP($A348,표1[#ALL],row(),false)</f>
        <v>#N/A</v>
      </c>
      <c r="AM348" s="372" t="str">
        <f>CS_PID!AM348/VLOOKUP($B348,표2[#ALL],2)/HLOOKUP($A348,표1[#ALL],row(),false)</f>
        <v>#N/A</v>
      </c>
      <c r="AN348" s="372" t="str">
        <f>CS_PID!AN348/VLOOKUP($B348,표2[#ALL],2)/HLOOKUP($A348,표1[#ALL],row(),false)</f>
        <v>#N/A</v>
      </c>
      <c r="AO348" s="372" t="str">
        <f>CS_PID!AO348/VLOOKUP($B348,표2[#ALL],2)/HLOOKUP($A348,표1[#ALL],row(),false)</f>
        <v>#N/A</v>
      </c>
      <c r="AP348" s="372" t="str">
        <f>CS_PID!AP348/VLOOKUP($B348,표2[#ALL],2)/HLOOKUP($A348,표1[#ALL],row(),false)</f>
        <v>#N/A</v>
      </c>
      <c r="AQ348" s="372" t="str">
        <f>CS_PID!AQ348/VLOOKUP($B348,표2[#ALL],2)/HLOOKUP($A348,표1[#ALL],row(),false)</f>
        <v>#N/A</v>
      </c>
      <c r="AR348" s="372" t="str">
        <f>CS_PID!AR348/VLOOKUP($B348,표2[#ALL],2)/HLOOKUP($A348,표1[#ALL],row(),false)</f>
        <v>#N/A</v>
      </c>
      <c r="AS348" s="373" t="str">
        <f>CS_PID!AS348/VLOOKUP($B348,표2[#ALL],2)/HLOOKUP($A348,표1[#ALL],row(),false)</f>
        <v>#N/A</v>
      </c>
    </row>
    <row r="349">
      <c r="A349" s="374"/>
      <c r="B349" s="375"/>
      <c r="C349" s="376" t="str">
        <f>CS_PID!C349/VLOOKUP($B349,표2[#ALL],2)</f>
        <v>#N/A</v>
      </c>
      <c r="D349" s="376" t="str">
        <f>CS_PID!D349/VLOOKUP($B349,표2[#ALL],2)</f>
        <v>#N/A</v>
      </c>
      <c r="E349" s="376" t="str">
        <f>CS_PID!E349/VLOOKUP($B349,표2[#ALL],2)</f>
        <v>#N/A</v>
      </c>
      <c r="F349" s="376" t="str">
        <f>CS_PID!F349/VLOOKUP($B349,표2[#ALL],2)</f>
        <v>#N/A</v>
      </c>
      <c r="G349" s="376" t="str">
        <f>CS_PID!G349/VLOOKUP($B349,표2[#ALL],2)</f>
        <v>#N/A</v>
      </c>
      <c r="H349" s="376" t="str">
        <f>CS_PID!H349/VLOOKUP($B349,표2[#ALL],2)/HLOOKUP($A349,표1[#ALL],row(),false)</f>
        <v>#N/A</v>
      </c>
      <c r="I349" s="376" t="str">
        <f>CS_PID!I349/VLOOKUP($B349,표2[#ALL],2)/HLOOKUP($A349,표1[#ALL],row(),false)</f>
        <v>#N/A</v>
      </c>
      <c r="J349" s="376" t="str">
        <f>CS_PID!J349/VLOOKUP($B349,표2[#ALL],2)/HLOOKUP($A349,표1[#ALL],row(),false)</f>
        <v>#N/A</v>
      </c>
      <c r="K349" s="376" t="str">
        <f>CS_PID!K349/VLOOKUP($B349,표2[#ALL],2)/HLOOKUP($A349,표1[#ALL],row(),false)</f>
        <v>#N/A</v>
      </c>
      <c r="L349" s="376" t="str">
        <f>CS_PID!L349/VLOOKUP($B349,표2[#ALL],2)/HLOOKUP($A349,표1[#ALL],row(),false)</f>
        <v>#N/A</v>
      </c>
      <c r="M349" s="376" t="str">
        <f>CS_PID!M349/VLOOKUP($B349,표2[#ALL],2)/HLOOKUP($A349,표1[#ALL],row(),false)</f>
        <v>#N/A</v>
      </c>
      <c r="N349" s="376" t="str">
        <f>CS_PID!N349/VLOOKUP($B349,표2[#ALL],2)/HLOOKUP($A349,표1[#ALL],row(),false)</f>
        <v>#N/A</v>
      </c>
      <c r="O349" s="376" t="str">
        <f>CS_PID!O349/VLOOKUP($B349,표2[#ALL],2)/HLOOKUP($A349,표1[#ALL],row(),false)</f>
        <v>#N/A</v>
      </c>
      <c r="P349" s="376" t="str">
        <f>CS_PID!P349/VLOOKUP($B349,표2[#ALL],2)/HLOOKUP($A349,표1[#ALL],row(),false)</f>
        <v>#N/A</v>
      </c>
      <c r="Q349" s="376" t="str">
        <f>CS_PID!Q349/VLOOKUP($B349,표2[#ALL],2)/HLOOKUP($A349,표1[#ALL],row(),false)</f>
        <v>#N/A</v>
      </c>
      <c r="R349" s="376" t="str">
        <f>CS_PID!R349/VLOOKUP($B349,표2[#ALL],2)/HLOOKUP($A349,표1[#ALL],row(),false)</f>
        <v>#N/A</v>
      </c>
      <c r="S349" s="376" t="str">
        <f>CS_PID!S349/VLOOKUP($B349,표2[#ALL],2)/HLOOKUP($A349,표1[#ALL],row(),false)</f>
        <v>#N/A</v>
      </c>
      <c r="T349" s="376" t="str">
        <f>CS_PID!T349/VLOOKUP($B349,표2[#ALL],2)/HLOOKUP($A349,표1[#ALL],row(),false)</f>
        <v>#N/A</v>
      </c>
      <c r="U349" s="376" t="str">
        <f>CS_PID!U349/VLOOKUP($B349,표2[#ALL],2)/HLOOKUP($A349,표1[#ALL],row(),false)</f>
        <v>#N/A</v>
      </c>
      <c r="V349" s="376" t="str">
        <f>CS_PID!V349/VLOOKUP($B349,표2[#ALL],2)/HLOOKUP($A349,표1[#ALL],row(),false)</f>
        <v>#N/A</v>
      </c>
      <c r="W349" s="376" t="str">
        <f>CS_PID!W349/VLOOKUP($B349,표2[#ALL],2)/HLOOKUP($A349,표1[#ALL],row(),false)</f>
        <v>#N/A</v>
      </c>
      <c r="X349" s="376" t="str">
        <f>CS_PID!X349/VLOOKUP($B349,표2[#ALL],2)/HLOOKUP($A349,표1[#ALL],row(),false)</f>
        <v>#N/A</v>
      </c>
      <c r="Y349" s="376" t="str">
        <f>CS_PID!Y349/VLOOKUP($B349,표2[#ALL],2)/HLOOKUP($A349,표1[#ALL],row(),false)</f>
        <v>#N/A</v>
      </c>
      <c r="Z349" s="376" t="str">
        <f>CS_PID!Z349/VLOOKUP($B349,표2[#ALL],2)/HLOOKUP($A349,표1[#ALL],row(),false)</f>
        <v>#N/A</v>
      </c>
      <c r="AA349" s="376" t="str">
        <f>CS_PID!AA349/VLOOKUP($B349,표2[#ALL],2)/HLOOKUP($A349,표1[#ALL],row(),false)</f>
        <v>#N/A</v>
      </c>
      <c r="AB349" s="376" t="str">
        <f>CS_PID!AB349/VLOOKUP($B349,표2[#ALL],2)/HLOOKUP($A349,표1[#ALL],row(),false)</f>
        <v>#N/A</v>
      </c>
      <c r="AC349" s="376" t="str">
        <f>CS_PID!AC349/VLOOKUP($B349,표2[#ALL],2)/HLOOKUP($A349,표1[#ALL],row(),false)</f>
        <v>#N/A</v>
      </c>
      <c r="AD349" s="376" t="str">
        <f>CS_PID!AD349/VLOOKUP($B349,표2[#ALL],2)/HLOOKUP($A349,표1[#ALL],row(),false)</f>
        <v>#N/A</v>
      </c>
      <c r="AE349" s="376" t="str">
        <f>CS_PID!AE349/VLOOKUP($B349,표2[#ALL],2)/HLOOKUP($A349,표1[#ALL],row(),false)</f>
        <v>#N/A</v>
      </c>
      <c r="AF349" s="376" t="str">
        <f>CS_PID!AF349/VLOOKUP($B349,표2[#ALL],2)/HLOOKUP($A349,표1[#ALL],row(),false)</f>
        <v>#N/A</v>
      </c>
      <c r="AG349" s="376" t="str">
        <f>CS_PID!AG349/VLOOKUP($B349,표2[#ALL],2)/HLOOKUP($A349,표1[#ALL],row(),false)</f>
        <v>#N/A</v>
      </c>
      <c r="AH349" s="376" t="str">
        <f>CS_PID!AH349/VLOOKUP($B349,표2[#ALL],2)/HLOOKUP($A349,표1[#ALL],row(),false)</f>
        <v>#N/A</v>
      </c>
      <c r="AI349" s="376" t="str">
        <f>CS_PID!AI349/VLOOKUP($B349,표2[#ALL],2)/HLOOKUP($A349,표1[#ALL],row(),false)</f>
        <v>#N/A</v>
      </c>
      <c r="AJ349" s="376" t="str">
        <f>CS_PID!AJ349/VLOOKUP($B349,표2[#ALL],2)/HLOOKUP($A349,표1[#ALL],row(),false)</f>
        <v>#N/A</v>
      </c>
      <c r="AK349" s="376" t="str">
        <f>CS_PID!AK349/VLOOKUP($B349,표2[#ALL],2)/HLOOKUP($A349,표1[#ALL],row(),false)</f>
        <v>#N/A</v>
      </c>
      <c r="AL349" s="376" t="str">
        <f>CS_PID!AL349/VLOOKUP($B349,표2[#ALL],2)/HLOOKUP($A349,표1[#ALL],row(),false)</f>
        <v>#N/A</v>
      </c>
      <c r="AM349" s="376" t="str">
        <f>CS_PID!AM349/VLOOKUP($B349,표2[#ALL],2)/HLOOKUP($A349,표1[#ALL],row(),false)</f>
        <v>#N/A</v>
      </c>
      <c r="AN349" s="376" t="str">
        <f>CS_PID!AN349/VLOOKUP($B349,표2[#ALL],2)/HLOOKUP($A349,표1[#ALL],row(),false)</f>
        <v>#N/A</v>
      </c>
      <c r="AO349" s="376" t="str">
        <f>CS_PID!AO349/VLOOKUP($B349,표2[#ALL],2)/HLOOKUP($A349,표1[#ALL],row(),false)</f>
        <v>#N/A</v>
      </c>
      <c r="AP349" s="376" t="str">
        <f>CS_PID!AP349/VLOOKUP($B349,표2[#ALL],2)/HLOOKUP($A349,표1[#ALL],row(),false)</f>
        <v>#N/A</v>
      </c>
      <c r="AQ349" s="376" t="str">
        <f>CS_PID!AQ349/VLOOKUP($B349,표2[#ALL],2)/HLOOKUP($A349,표1[#ALL],row(),false)</f>
        <v>#N/A</v>
      </c>
      <c r="AR349" s="376" t="str">
        <f>CS_PID!AR349/VLOOKUP($B349,표2[#ALL],2)/HLOOKUP($A349,표1[#ALL],row(),false)</f>
        <v>#N/A</v>
      </c>
      <c r="AS349" s="377" t="str">
        <f>CS_PID!AS349/VLOOKUP($B349,표2[#ALL],2)/HLOOKUP($A349,표1[#ALL],row(),false)</f>
        <v>#N/A</v>
      </c>
    </row>
    <row r="350">
      <c r="A350" s="370"/>
      <c r="B350" s="371"/>
      <c r="C350" s="372" t="str">
        <f>CS_PID!C350/VLOOKUP($B350,표2[#ALL],2)</f>
        <v>#N/A</v>
      </c>
      <c r="D350" s="372" t="str">
        <f>CS_PID!D350/VLOOKUP($B350,표2[#ALL],2)</f>
        <v>#N/A</v>
      </c>
      <c r="E350" s="372" t="str">
        <f>CS_PID!E350/VLOOKUP($B350,표2[#ALL],2)</f>
        <v>#N/A</v>
      </c>
      <c r="F350" s="372" t="str">
        <f>CS_PID!F350/VLOOKUP($B350,표2[#ALL],2)</f>
        <v>#N/A</v>
      </c>
      <c r="G350" s="372" t="str">
        <f>CS_PID!G350/VLOOKUP($B350,표2[#ALL],2)</f>
        <v>#N/A</v>
      </c>
      <c r="H350" s="372" t="str">
        <f>CS_PID!H350/VLOOKUP($B350,표2[#ALL],2)/HLOOKUP($A350,표1[#ALL],row(),false)</f>
        <v>#N/A</v>
      </c>
      <c r="I350" s="372" t="str">
        <f>CS_PID!I350/VLOOKUP($B350,표2[#ALL],2)/HLOOKUP($A350,표1[#ALL],row(),false)</f>
        <v>#N/A</v>
      </c>
      <c r="J350" s="372" t="str">
        <f>CS_PID!J350/VLOOKUP($B350,표2[#ALL],2)/HLOOKUP($A350,표1[#ALL],row(),false)</f>
        <v>#N/A</v>
      </c>
      <c r="K350" s="372" t="str">
        <f>CS_PID!K350/VLOOKUP($B350,표2[#ALL],2)/HLOOKUP($A350,표1[#ALL],row(),false)</f>
        <v>#N/A</v>
      </c>
      <c r="L350" s="372" t="str">
        <f>CS_PID!L350/VLOOKUP($B350,표2[#ALL],2)/HLOOKUP($A350,표1[#ALL],row(),false)</f>
        <v>#N/A</v>
      </c>
      <c r="M350" s="372" t="str">
        <f>CS_PID!M350/VLOOKUP($B350,표2[#ALL],2)/HLOOKUP($A350,표1[#ALL],row(),false)</f>
        <v>#N/A</v>
      </c>
      <c r="N350" s="372" t="str">
        <f>CS_PID!N350/VLOOKUP($B350,표2[#ALL],2)/HLOOKUP($A350,표1[#ALL],row(),false)</f>
        <v>#N/A</v>
      </c>
      <c r="O350" s="372" t="str">
        <f>CS_PID!O350/VLOOKUP($B350,표2[#ALL],2)/HLOOKUP($A350,표1[#ALL],row(),false)</f>
        <v>#N/A</v>
      </c>
      <c r="P350" s="372" t="str">
        <f>CS_PID!P350/VLOOKUP($B350,표2[#ALL],2)/HLOOKUP($A350,표1[#ALL],row(),false)</f>
        <v>#N/A</v>
      </c>
      <c r="Q350" s="372" t="str">
        <f>CS_PID!Q350/VLOOKUP($B350,표2[#ALL],2)/HLOOKUP($A350,표1[#ALL],row(),false)</f>
        <v>#N/A</v>
      </c>
      <c r="R350" s="372" t="str">
        <f>CS_PID!R350/VLOOKUP($B350,표2[#ALL],2)/HLOOKUP($A350,표1[#ALL],row(),false)</f>
        <v>#N/A</v>
      </c>
      <c r="S350" s="372" t="str">
        <f>CS_PID!S350/VLOOKUP($B350,표2[#ALL],2)/HLOOKUP($A350,표1[#ALL],row(),false)</f>
        <v>#N/A</v>
      </c>
      <c r="T350" s="372" t="str">
        <f>CS_PID!T350/VLOOKUP($B350,표2[#ALL],2)/HLOOKUP($A350,표1[#ALL],row(),false)</f>
        <v>#N/A</v>
      </c>
      <c r="U350" s="372" t="str">
        <f>CS_PID!U350/VLOOKUP($B350,표2[#ALL],2)/HLOOKUP($A350,표1[#ALL],row(),false)</f>
        <v>#N/A</v>
      </c>
      <c r="V350" s="372" t="str">
        <f>CS_PID!V350/VLOOKUP($B350,표2[#ALL],2)/HLOOKUP($A350,표1[#ALL],row(),false)</f>
        <v>#N/A</v>
      </c>
      <c r="W350" s="372" t="str">
        <f>CS_PID!W350/VLOOKUP($B350,표2[#ALL],2)/HLOOKUP($A350,표1[#ALL],row(),false)</f>
        <v>#N/A</v>
      </c>
      <c r="X350" s="372" t="str">
        <f>CS_PID!X350/VLOOKUP($B350,표2[#ALL],2)/HLOOKUP($A350,표1[#ALL],row(),false)</f>
        <v>#N/A</v>
      </c>
      <c r="Y350" s="372" t="str">
        <f>CS_PID!Y350/VLOOKUP($B350,표2[#ALL],2)/HLOOKUP($A350,표1[#ALL],row(),false)</f>
        <v>#N/A</v>
      </c>
      <c r="Z350" s="372" t="str">
        <f>CS_PID!Z350/VLOOKUP($B350,표2[#ALL],2)/HLOOKUP($A350,표1[#ALL],row(),false)</f>
        <v>#N/A</v>
      </c>
      <c r="AA350" s="372" t="str">
        <f>CS_PID!AA350/VLOOKUP($B350,표2[#ALL],2)/HLOOKUP($A350,표1[#ALL],row(),false)</f>
        <v>#N/A</v>
      </c>
      <c r="AB350" s="372" t="str">
        <f>CS_PID!AB350/VLOOKUP($B350,표2[#ALL],2)/HLOOKUP($A350,표1[#ALL],row(),false)</f>
        <v>#N/A</v>
      </c>
      <c r="AC350" s="372" t="str">
        <f>CS_PID!AC350/VLOOKUP($B350,표2[#ALL],2)/HLOOKUP($A350,표1[#ALL],row(),false)</f>
        <v>#N/A</v>
      </c>
      <c r="AD350" s="372" t="str">
        <f>CS_PID!AD350/VLOOKUP($B350,표2[#ALL],2)/HLOOKUP($A350,표1[#ALL],row(),false)</f>
        <v>#N/A</v>
      </c>
      <c r="AE350" s="372" t="str">
        <f>CS_PID!AE350/VLOOKUP($B350,표2[#ALL],2)/HLOOKUP($A350,표1[#ALL],row(),false)</f>
        <v>#N/A</v>
      </c>
      <c r="AF350" s="372" t="str">
        <f>CS_PID!AF350/VLOOKUP($B350,표2[#ALL],2)/HLOOKUP($A350,표1[#ALL],row(),false)</f>
        <v>#N/A</v>
      </c>
      <c r="AG350" s="372" t="str">
        <f>CS_PID!AG350/VLOOKUP($B350,표2[#ALL],2)/HLOOKUP($A350,표1[#ALL],row(),false)</f>
        <v>#N/A</v>
      </c>
      <c r="AH350" s="372" t="str">
        <f>CS_PID!AH350/VLOOKUP($B350,표2[#ALL],2)/HLOOKUP($A350,표1[#ALL],row(),false)</f>
        <v>#N/A</v>
      </c>
      <c r="AI350" s="372" t="str">
        <f>CS_PID!AI350/VLOOKUP($B350,표2[#ALL],2)/HLOOKUP($A350,표1[#ALL],row(),false)</f>
        <v>#N/A</v>
      </c>
      <c r="AJ350" s="372" t="str">
        <f>CS_PID!AJ350/VLOOKUP($B350,표2[#ALL],2)/HLOOKUP($A350,표1[#ALL],row(),false)</f>
        <v>#N/A</v>
      </c>
      <c r="AK350" s="372" t="str">
        <f>CS_PID!AK350/VLOOKUP($B350,표2[#ALL],2)/HLOOKUP($A350,표1[#ALL],row(),false)</f>
        <v>#N/A</v>
      </c>
      <c r="AL350" s="372" t="str">
        <f>CS_PID!AL350/VLOOKUP($B350,표2[#ALL],2)/HLOOKUP($A350,표1[#ALL],row(),false)</f>
        <v>#N/A</v>
      </c>
      <c r="AM350" s="372" t="str">
        <f>CS_PID!AM350/VLOOKUP($B350,표2[#ALL],2)/HLOOKUP($A350,표1[#ALL],row(),false)</f>
        <v>#N/A</v>
      </c>
      <c r="AN350" s="372" t="str">
        <f>CS_PID!AN350/VLOOKUP($B350,표2[#ALL],2)/HLOOKUP($A350,표1[#ALL],row(),false)</f>
        <v>#N/A</v>
      </c>
      <c r="AO350" s="372" t="str">
        <f>CS_PID!AO350/VLOOKUP($B350,표2[#ALL],2)/HLOOKUP($A350,표1[#ALL],row(),false)</f>
        <v>#N/A</v>
      </c>
      <c r="AP350" s="372" t="str">
        <f>CS_PID!AP350/VLOOKUP($B350,표2[#ALL],2)/HLOOKUP($A350,표1[#ALL],row(),false)</f>
        <v>#N/A</v>
      </c>
      <c r="AQ350" s="372" t="str">
        <f>CS_PID!AQ350/VLOOKUP($B350,표2[#ALL],2)/HLOOKUP($A350,표1[#ALL],row(),false)</f>
        <v>#N/A</v>
      </c>
      <c r="AR350" s="372" t="str">
        <f>CS_PID!AR350/VLOOKUP($B350,표2[#ALL],2)/HLOOKUP($A350,표1[#ALL],row(),false)</f>
        <v>#N/A</v>
      </c>
      <c r="AS350" s="373" t="str">
        <f>CS_PID!AS350/VLOOKUP($B350,표2[#ALL],2)/HLOOKUP($A350,표1[#ALL],row(),false)</f>
        <v>#N/A</v>
      </c>
    </row>
    <row r="351">
      <c r="A351" s="374"/>
      <c r="B351" s="375"/>
      <c r="C351" s="376" t="str">
        <f>CS_PID!C351/VLOOKUP($B351,표2[#ALL],2)</f>
        <v>#N/A</v>
      </c>
      <c r="D351" s="376" t="str">
        <f>CS_PID!D351/VLOOKUP($B351,표2[#ALL],2)</f>
        <v>#N/A</v>
      </c>
      <c r="E351" s="376" t="str">
        <f>CS_PID!E351/VLOOKUP($B351,표2[#ALL],2)</f>
        <v>#N/A</v>
      </c>
      <c r="F351" s="376" t="str">
        <f>CS_PID!F351/VLOOKUP($B351,표2[#ALL],2)</f>
        <v>#N/A</v>
      </c>
      <c r="G351" s="376" t="str">
        <f>CS_PID!G351/VLOOKUP($B351,표2[#ALL],2)</f>
        <v>#N/A</v>
      </c>
      <c r="H351" s="376" t="str">
        <f>CS_PID!H351/VLOOKUP($B351,표2[#ALL],2)/HLOOKUP($A351,표1[#ALL],row(),false)</f>
        <v>#N/A</v>
      </c>
      <c r="I351" s="376" t="str">
        <f>CS_PID!I351/VLOOKUP($B351,표2[#ALL],2)/HLOOKUP($A351,표1[#ALL],row(),false)</f>
        <v>#N/A</v>
      </c>
      <c r="J351" s="376" t="str">
        <f>CS_PID!J351/VLOOKUP($B351,표2[#ALL],2)/HLOOKUP($A351,표1[#ALL],row(),false)</f>
        <v>#N/A</v>
      </c>
      <c r="K351" s="376" t="str">
        <f>CS_PID!K351/VLOOKUP($B351,표2[#ALL],2)/HLOOKUP($A351,표1[#ALL],row(),false)</f>
        <v>#N/A</v>
      </c>
      <c r="L351" s="376" t="str">
        <f>CS_PID!L351/VLOOKUP($B351,표2[#ALL],2)/HLOOKUP($A351,표1[#ALL],row(),false)</f>
        <v>#N/A</v>
      </c>
      <c r="M351" s="376" t="str">
        <f>CS_PID!M351/VLOOKUP($B351,표2[#ALL],2)/HLOOKUP($A351,표1[#ALL],row(),false)</f>
        <v>#N/A</v>
      </c>
      <c r="N351" s="376" t="str">
        <f>CS_PID!N351/VLOOKUP($B351,표2[#ALL],2)/HLOOKUP($A351,표1[#ALL],row(),false)</f>
        <v>#N/A</v>
      </c>
      <c r="O351" s="376" t="str">
        <f>CS_PID!O351/VLOOKUP($B351,표2[#ALL],2)/HLOOKUP($A351,표1[#ALL],row(),false)</f>
        <v>#N/A</v>
      </c>
      <c r="P351" s="376" t="str">
        <f>CS_PID!P351/VLOOKUP($B351,표2[#ALL],2)/HLOOKUP($A351,표1[#ALL],row(),false)</f>
        <v>#N/A</v>
      </c>
      <c r="Q351" s="376" t="str">
        <f>CS_PID!Q351/VLOOKUP($B351,표2[#ALL],2)/HLOOKUP($A351,표1[#ALL],row(),false)</f>
        <v>#N/A</v>
      </c>
      <c r="R351" s="376" t="str">
        <f>CS_PID!R351/VLOOKUP($B351,표2[#ALL],2)/HLOOKUP($A351,표1[#ALL],row(),false)</f>
        <v>#N/A</v>
      </c>
      <c r="S351" s="376" t="str">
        <f>CS_PID!S351/VLOOKUP($B351,표2[#ALL],2)/HLOOKUP($A351,표1[#ALL],row(),false)</f>
        <v>#N/A</v>
      </c>
      <c r="T351" s="376" t="str">
        <f>CS_PID!T351/VLOOKUP($B351,표2[#ALL],2)/HLOOKUP($A351,표1[#ALL],row(),false)</f>
        <v>#N/A</v>
      </c>
      <c r="U351" s="376" t="str">
        <f>CS_PID!U351/VLOOKUP($B351,표2[#ALL],2)/HLOOKUP($A351,표1[#ALL],row(),false)</f>
        <v>#N/A</v>
      </c>
      <c r="V351" s="376" t="str">
        <f>CS_PID!V351/VLOOKUP($B351,표2[#ALL],2)/HLOOKUP($A351,표1[#ALL],row(),false)</f>
        <v>#N/A</v>
      </c>
      <c r="W351" s="376" t="str">
        <f>CS_PID!W351/VLOOKUP($B351,표2[#ALL],2)/HLOOKUP($A351,표1[#ALL],row(),false)</f>
        <v>#N/A</v>
      </c>
      <c r="X351" s="376" t="str">
        <f>CS_PID!X351/VLOOKUP($B351,표2[#ALL],2)/HLOOKUP($A351,표1[#ALL],row(),false)</f>
        <v>#N/A</v>
      </c>
      <c r="Y351" s="376" t="str">
        <f>CS_PID!Y351/VLOOKUP($B351,표2[#ALL],2)/HLOOKUP($A351,표1[#ALL],row(),false)</f>
        <v>#N/A</v>
      </c>
      <c r="Z351" s="376" t="str">
        <f>CS_PID!Z351/VLOOKUP($B351,표2[#ALL],2)/HLOOKUP($A351,표1[#ALL],row(),false)</f>
        <v>#N/A</v>
      </c>
      <c r="AA351" s="376" t="str">
        <f>CS_PID!AA351/VLOOKUP($B351,표2[#ALL],2)/HLOOKUP($A351,표1[#ALL],row(),false)</f>
        <v>#N/A</v>
      </c>
      <c r="AB351" s="376" t="str">
        <f>CS_PID!AB351/VLOOKUP($B351,표2[#ALL],2)/HLOOKUP($A351,표1[#ALL],row(),false)</f>
        <v>#N/A</v>
      </c>
      <c r="AC351" s="376" t="str">
        <f>CS_PID!AC351/VLOOKUP($B351,표2[#ALL],2)/HLOOKUP($A351,표1[#ALL],row(),false)</f>
        <v>#N/A</v>
      </c>
      <c r="AD351" s="376" t="str">
        <f>CS_PID!AD351/VLOOKUP($B351,표2[#ALL],2)/HLOOKUP($A351,표1[#ALL],row(),false)</f>
        <v>#N/A</v>
      </c>
      <c r="AE351" s="376" t="str">
        <f>CS_PID!AE351/VLOOKUP($B351,표2[#ALL],2)/HLOOKUP($A351,표1[#ALL],row(),false)</f>
        <v>#N/A</v>
      </c>
      <c r="AF351" s="376" t="str">
        <f>CS_PID!AF351/VLOOKUP($B351,표2[#ALL],2)/HLOOKUP($A351,표1[#ALL],row(),false)</f>
        <v>#N/A</v>
      </c>
      <c r="AG351" s="376" t="str">
        <f>CS_PID!AG351/VLOOKUP($B351,표2[#ALL],2)/HLOOKUP($A351,표1[#ALL],row(),false)</f>
        <v>#N/A</v>
      </c>
      <c r="AH351" s="376" t="str">
        <f>CS_PID!AH351/VLOOKUP($B351,표2[#ALL],2)/HLOOKUP($A351,표1[#ALL],row(),false)</f>
        <v>#N/A</v>
      </c>
      <c r="AI351" s="376" t="str">
        <f>CS_PID!AI351/VLOOKUP($B351,표2[#ALL],2)/HLOOKUP($A351,표1[#ALL],row(),false)</f>
        <v>#N/A</v>
      </c>
      <c r="AJ351" s="376" t="str">
        <f>CS_PID!AJ351/VLOOKUP($B351,표2[#ALL],2)/HLOOKUP($A351,표1[#ALL],row(),false)</f>
        <v>#N/A</v>
      </c>
      <c r="AK351" s="376" t="str">
        <f>CS_PID!AK351/VLOOKUP($B351,표2[#ALL],2)/HLOOKUP($A351,표1[#ALL],row(),false)</f>
        <v>#N/A</v>
      </c>
      <c r="AL351" s="376" t="str">
        <f>CS_PID!AL351/VLOOKUP($B351,표2[#ALL],2)/HLOOKUP($A351,표1[#ALL],row(),false)</f>
        <v>#N/A</v>
      </c>
      <c r="AM351" s="376" t="str">
        <f>CS_PID!AM351/VLOOKUP($B351,표2[#ALL],2)/HLOOKUP($A351,표1[#ALL],row(),false)</f>
        <v>#N/A</v>
      </c>
      <c r="AN351" s="376" t="str">
        <f>CS_PID!AN351/VLOOKUP($B351,표2[#ALL],2)/HLOOKUP($A351,표1[#ALL],row(),false)</f>
        <v>#N/A</v>
      </c>
      <c r="AO351" s="376" t="str">
        <f>CS_PID!AO351/VLOOKUP($B351,표2[#ALL],2)/HLOOKUP($A351,표1[#ALL],row(),false)</f>
        <v>#N/A</v>
      </c>
      <c r="AP351" s="376" t="str">
        <f>CS_PID!AP351/VLOOKUP($B351,표2[#ALL],2)/HLOOKUP($A351,표1[#ALL],row(),false)</f>
        <v>#N/A</v>
      </c>
      <c r="AQ351" s="376" t="str">
        <f>CS_PID!AQ351/VLOOKUP($B351,표2[#ALL],2)/HLOOKUP($A351,표1[#ALL],row(),false)</f>
        <v>#N/A</v>
      </c>
      <c r="AR351" s="376" t="str">
        <f>CS_PID!AR351/VLOOKUP($B351,표2[#ALL],2)/HLOOKUP($A351,표1[#ALL],row(),false)</f>
        <v>#N/A</v>
      </c>
      <c r="AS351" s="377" t="str">
        <f>CS_PID!AS351/VLOOKUP($B351,표2[#ALL],2)/HLOOKUP($A351,표1[#ALL],row(),false)</f>
        <v>#N/A</v>
      </c>
    </row>
    <row r="352">
      <c r="A352" s="370"/>
      <c r="B352" s="371"/>
      <c r="C352" s="372" t="str">
        <f>CS_PID!C352/VLOOKUP($B352,표2[#ALL],2)</f>
        <v>#N/A</v>
      </c>
      <c r="D352" s="372" t="str">
        <f>CS_PID!D352/VLOOKUP($B352,표2[#ALL],2)</f>
        <v>#N/A</v>
      </c>
      <c r="E352" s="372" t="str">
        <f>CS_PID!E352/VLOOKUP($B352,표2[#ALL],2)</f>
        <v>#N/A</v>
      </c>
      <c r="F352" s="372" t="str">
        <f>CS_PID!F352/VLOOKUP($B352,표2[#ALL],2)</f>
        <v>#N/A</v>
      </c>
      <c r="G352" s="372" t="str">
        <f>CS_PID!G352/VLOOKUP($B352,표2[#ALL],2)</f>
        <v>#N/A</v>
      </c>
      <c r="H352" s="372" t="str">
        <f>CS_PID!H352/VLOOKUP($B352,표2[#ALL],2)/HLOOKUP($A352,표1[#ALL],row(),false)</f>
        <v>#N/A</v>
      </c>
      <c r="I352" s="372" t="str">
        <f>CS_PID!I352/VLOOKUP($B352,표2[#ALL],2)/HLOOKUP($A352,표1[#ALL],row(),false)</f>
        <v>#N/A</v>
      </c>
      <c r="J352" s="372" t="str">
        <f>CS_PID!J352/VLOOKUP($B352,표2[#ALL],2)/HLOOKUP($A352,표1[#ALL],row(),false)</f>
        <v>#N/A</v>
      </c>
      <c r="K352" s="372" t="str">
        <f>CS_PID!K352/VLOOKUP($B352,표2[#ALL],2)/HLOOKUP($A352,표1[#ALL],row(),false)</f>
        <v>#N/A</v>
      </c>
      <c r="L352" s="372" t="str">
        <f>CS_PID!L352/VLOOKUP($B352,표2[#ALL],2)/HLOOKUP($A352,표1[#ALL],row(),false)</f>
        <v>#N/A</v>
      </c>
      <c r="M352" s="372" t="str">
        <f>CS_PID!M352/VLOOKUP($B352,표2[#ALL],2)/HLOOKUP($A352,표1[#ALL],row(),false)</f>
        <v>#N/A</v>
      </c>
      <c r="N352" s="372" t="str">
        <f>CS_PID!N352/VLOOKUP($B352,표2[#ALL],2)/HLOOKUP($A352,표1[#ALL],row(),false)</f>
        <v>#N/A</v>
      </c>
      <c r="O352" s="372" t="str">
        <f>CS_PID!O352/VLOOKUP($B352,표2[#ALL],2)/HLOOKUP($A352,표1[#ALL],row(),false)</f>
        <v>#N/A</v>
      </c>
      <c r="P352" s="372" t="str">
        <f>CS_PID!P352/VLOOKUP($B352,표2[#ALL],2)/HLOOKUP($A352,표1[#ALL],row(),false)</f>
        <v>#N/A</v>
      </c>
      <c r="Q352" s="372" t="str">
        <f>CS_PID!Q352/VLOOKUP($B352,표2[#ALL],2)/HLOOKUP($A352,표1[#ALL],row(),false)</f>
        <v>#N/A</v>
      </c>
      <c r="R352" s="372" t="str">
        <f>CS_PID!R352/VLOOKUP($B352,표2[#ALL],2)/HLOOKUP($A352,표1[#ALL],row(),false)</f>
        <v>#N/A</v>
      </c>
      <c r="S352" s="372" t="str">
        <f>CS_PID!S352/VLOOKUP($B352,표2[#ALL],2)/HLOOKUP($A352,표1[#ALL],row(),false)</f>
        <v>#N/A</v>
      </c>
      <c r="T352" s="372" t="str">
        <f>CS_PID!T352/VLOOKUP($B352,표2[#ALL],2)/HLOOKUP($A352,표1[#ALL],row(),false)</f>
        <v>#N/A</v>
      </c>
      <c r="U352" s="372" t="str">
        <f>CS_PID!U352/VLOOKUP($B352,표2[#ALL],2)/HLOOKUP($A352,표1[#ALL],row(),false)</f>
        <v>#N/A</v>
      </c>
      <c r="V352" s="372" t="str">
        <f>CS_PID!V352/VLOOKUP($B352,표2[#ALL],2)/HLOOKUP($A352,표1[#ALL],row(),false)</f>
        <v>#N/A</v>
      </c>
      <c r="W352" s="372" t="str">
        <f>CS_PID!W352/VLOOKUP($B352,표2[#ALL],2)/HLOOKUP($A352,표1[#ALL],row(),false)</f>
        <v>#N/A</v>
      </c>
      <c r="X352" s="372" t="str">
        <f>CS_PID!X352/VLOOKUP($B352,표2[#ALL],2)/HLOOKUP($A352,표1[#ALL],row(),false)</f>
        <v>#N/A</v>
      </c>
      <c r="Y352" s="372" t="str">
        <f>CS_PID!Y352/VLOOKUP($B352,표2[#ALL],2)/HLOOKUP($A352,표1[#ALL],row(),false)</f>
        <v>#N/A</v>
      </c>
      <c r="Z352" s="372" t="str">
        <f>CS_PID!Z352/VLOOKUP($B352,표2[#ALL],2)/HLOOKUP($A352,표1[#ALL],row(),false)</f>
        <v>#N/A</v>
      </c>
      <c r="AA352" s="372" t="str">
        <f>CS_PID!AA352/VLOOKUP($B352,표2[#ALL],2)/HLOOKUP($A352,표1[#ALL],row(),false)</f>
        <v>#N/A</v>
      </c>
      <c r="AB352" s="372" t="str">
        <f>CS_PID!AB352/VLOOKUP($B352,표2[#ALL],2)/HLOOKUP($A352,표1[#ALL],row(),false)</f>
        <v>#N/A</v>
      </c>
      <c r="AC352" s="372" t="str">
        <f>CS_PID!AC352/VLOOKUP($B352,표2[#ALL],2)/HLOOKUP($A352,표1[#ALL],row(),false)</f>
        <v>#N/A</v>
      </c>
      <c r="AD352" s="372" t="str">
        <f>CS_PID!AD352/VLOOKUP($B352,표2[#ALL],2)/HLOOKUP($A352,표1[#ALL],row(),false)</f>
        <v>#N/A</v>
      </c>
      <c r="AE352" s="372" t="str">
        <f>CS_PID!AE352/VLOOKUP($B352,표2[#ALL],2)/HLOOKUP($A352,표1[#ALL],row(),false)</f>
        <v>#N/A</v>
      </c>
      <c r="AF352" s="372" t="str">
        <f>CS_PID!AF352/VLOOKUP($B352,표2[#ALL],2)/HLOOKUP($A352,표1[#ALL],row(),false)</f>
        <v>#N/A</v>
      </c>
      <c r="AG352" s="372" t="str">
        <f>CS_PID!AG352/VLOOKUP($B352,표2[#ALL],2)/HLOOKUP($A352,표1[#ALL],row(),false)</f>
        <v>#N/A</v>
      </c>
      <c r="AH352" s="372" t="str">
        <f>CS_PID!AH352/VLOOKUP($B352,표2[#ALL],2)/HLOOKUP($A352,표1[#ALL],row(),false)</f>
        <v>#N/A</v>
      </c>
      <c r="AI352" s="372" t="str">
        <f>CS_PID!AI352/VLOOKUP($B352,표2[#ALL],2)/HLOOKUP($A352,표1[#ALL],row(),false)</f>
        <v>#N/A</v>
      </c>
      <c r="AJ352" s="372" t="str">
        <f>CS_PID!AJ352/VLOOKUP($B352,표2[#ALL],2)/HLOOKUP($A352,표1[#ALL],row(),false)</f>
        <v>#N/A</v>
      </c>
      <c r="AK352" s="372" t="str">
        <f>CS_PID!AK352/VLOOKUP($B352,표2[#ALL],2)/HLOOKUP($A352,표1[#ALL],row(),false)</f>
        <v>#N/A</v>
      </c>
      <c r="AL352" s="372" t="str">
        <f>CS_PID!AL352/VLOOKUP($B352,표2[#ALL],2)/HLOOKUP($A352,표1[#ALL],row(),false)</f>
        <v>#N/A</v>
      </c>
      <c r="AM352" s="372" t="str">
        <f>CS_PID!AM352/VLOOKUP($B352,표2[#ALL],2)/HLOOKUP($A352,표1[#ALL],row(),false)</f>
        <v>#N/A</v>
      </c>
      <c r="AN352" s="372" t="str">
        <f>CS_PID!AN352/VLOOKUP($B352,표2[#ALL],2)/HLOOKUP($A352,표1[#ALL],row(),false)</f>
        <v>#N/A</v>
      </c>
      <c r="AO352" s="372" t="str">
        <f>CS_PID!AO352/VLOOKUP($B352,표2[#ALL],2)/HLOOKUP($A352,표1[#ALL],row(),false)</f>
        <v>#N/A</v>
      </c>
      <c r="AP352" s="372" t="str">
        <f>CS_PID!AP352/VLOOKUP($B352,표2[#ALL],2)/HLOOKUP($A352,표1[#ALL],row(),false)</f>
        <v>#N/A</v>
      </c>
      <c r="AQ352" s="372" t="str">
        <f>CS_PID!AQ352/VLOOKUP($B352,표2[#ALL],2)/HLOOKUP($A352,표1[#ALL],row(),false)</f>
        <v>#N/A</v>
      </c>
      <c r="AR352" s="372" t="str">
        <f>CS_PID!AR352/VLOOKUP($B352,표2[#ALL],2)/HLOOKUP($A352,표1[#ALL],row(),false)</f>
        <v>#N/A</v>
      </c>
      <c r="AS352" s="373" t="str">
        <f>CS_PID!AS352/VLOOKUP($B352,표2[#ALL],2)/HLOOKUP($A352,표1[#ALL],row(),false)</f>
        <v>#N/A</v>
      </c>
    </row>
    <row r="353">
      <c r="A353" s="374"/>
      <c r="B353" s="375"/>
      <c r="C353" s="376" t="str">
        <f>CS_PID!C353/VLOOKUP($B353,표2[#ALL],2)</f>
        <v>#N/A</v>
      </c>
      <c r="D353" s="376" t="str">
        <f>CS_PID!D353/VLOOKUP($B353,표2[#ALL],2)</f>
        <v>#N/A</v>
      </c>
      <c r="E353" s="376" t="str">
        <f>CS_PID!E353/VLOOKUP($B353,표2[#ALL],2)</f>
        <v>#N/A</v>
      </c>
      <c r="F353" s="376" t="str">
        <f>CS_PID!F353/VLOOKUP($B353,표2[#ALL],2)</f>
        <v>#N/A</v>
      </c>
      <c r="G353" s="376" t="str">
        <f>CS_PID!G353/VLOOKUP($B353,표2[#ALL],2)</f>
        <v>#N/A</v>
      </c>
      <c r="H353" s="376" t="str">
        <f>CS_PID!H353/VLOOKUP($B353,표2[#ALL],2)/HLOOKUP($A353,표1[#ALL],row(),false)</f>
        <v>#N/A</v>
      </c>
      <c r="I353" s="376" t="str">
        <f>CS_PID!I353/VLOOKUP($B353,표2[#ALL],2)/HLOOKUP($A353,표1[#ALL],row(),false)</f>
        <v>#N/A</v>
      </c>
      <c r="J353" s="376" t="str">
        <f>CS_PID!J353/VLOOKUP($B353,표2[#ALL],2)/HLOOKUP($A353,표1[#ALL],row(),false)</f>
        <v>#N/A</v>
      </c>
      <c r="K353" s="376" t="str">
        <f>CS_PID!K353/VLOOKUP($B353,표2[#ALL],2)/HLOOKUP($A353,표1[#ALL],row(),false)</f>
        <v>#N/A</v>
      </c>
      <c r="L353" s="376" t="str">
        <f>CS_PID!L353/VLOOKUP($B353,표2[#ALL],2)/HLOOKUP($A353,표1[#ALL],row(),false)</f>
        <v>#N/A</v>
      </c>
      <c r="M353" s="376" t="str">
        <f>CS_PID!M353/VLOOKUP($B353,표2[#ALL],2)/HLOOKUP($A353,표1[#ALL],row(),false)</f>
        <v>#N/A</v>
      </c>
      <c r="N353" s="376" t="str">
        <f>CS_PID!N353/VLOOKUP($B353,표2[#ALL],2)/HLOOKUP($A353,표1[#ALL],row(),false)</f>
        <v>#N/A</v>
      </c>
      <c r="O353" s="376" t="str">
        <f>CS_PID!O353/VLOOKUP($B353,표2[#ALL],2)/HLOOKUP($A353,표1[#ALL],row(),false)</f>
        <v>#N/A</v>
      </c>
      <c r="P353" s="376" t="str">
        <f>CS_PID!P353/VLOOKUP($B353,표2[#ALL],2)/HLOOKUP($A353,표1[#ALL],row(),false)</f>
        <v>#N/A</v>
      </c>
      <c r="Q353" s="376" t="str">
        <f>CS_PID!Q353/VLOOKUP($B353,표2[#ALL],2)/HLOOKUP($A353,표1[#ALL],row(),false)</f>
        <v>#N/A</v>
      </c>
      <c r="R353" s="376" t="str">
        <f>CS_PID!R353/VLOOKUP($B353,표2[#ALL],2)/HLOOKUP($A353,표1[#ALL],row(),false)</f>
        <v>#N/A</v>
      </c>
      <c r="S353" s="376" t="str">
        <f>CS_PID!S353/VLOOKUP($B353,표2[#ALL],2)/HLOOKUP($A353,표1[#ALL],row(),false)</f>
        <v>#N/A</v>
      </c>
      <c r="T353" s="376" t="str">
        <f>CS_PID!T353/VLOOKUP($B353,표2[#ALL],2)/HLOOKUP($A353,표1[#ALL],row(),false)</f>
        <v>#N/A</v>
      </c>
      <c r="U353" s="376" t="str">
        <f>CS_PID!U353/VLOOKUP($B353,표2[#ALL],2)/HLOOKUP($A353,표1[#ALL],row(),false)</f>
        <v>#N/A</v>
      </c>
      <c r="V353" s="376" t="str">
        <f>CS_PID!V353/VLOOKUP($B353,표2[#ALL],2)/HLOOKUP($A353,표1[#ALL],row(),false)</f>
        <v>#N/A</v>
      </c>
      <c r="W353" s="376" t="str">
        <f>CS_PID!W353/VLOOKUP($B353,표2[#ALL],2)/HLOOKUP($A353,표1[#ALL],row(),false)</f>
        <v>#N/A</v>
      </c>
      <c r="X353" s="376" t="str">
        <f>CS_PID!X353/VLOOKUP($B353,표2[#ALL],2)/HLOOKUP($A353,표1[#ALL],row(),false)</f>
        <v>#N/A</v>
      </c>
      <c r="Y353" s="376" t="str">
        <f>CS_PID!Y353/VLOOKUP($B353,표2[#ALL],2)/HLOOKUP($A353,표1[#ALL],row(),false)</f>
        <v>#N/A</v>
      </c>
      <c r="Z353" s="376" t="str">
        <f>CS_PID!Z353/VLOOKUP($B353,표2[#ALL],2)/HLOOKUP($A353,표1[#ALL],row(),false)</f>
        <v>#N/A</v>
      </c>
      <c r="AA353" s="376" t="str">
        <f>CS_PID!AA353/VLOOKUP($B353,표2[#ALL],2)/HLOOKUP($A353,표1[#ALL],row(),false)</f>
        <v>#N/A</v>
      </c>
      <c r="AB353" s="376" t="str">
        <f>CS_PID!AB353/VLOOKUP($B353,표2[#ALL],2)/HLOOKUP($A353,표1[#ALL],row(),false)</f>
        <v>#N/A</v>
      </c>
      <c r="AC353" s="376" t="str">
        <f>CS_PID!AC353/VLOOKUP($B353,표2[#ALL],2)/HLOOKUP($A353,표1[#ALL],row(),false)</f>
        <v>#N/A</v>
      </c>
      <c r="AD353" s="376" t="str">
        <f>CS_PID!AD353/VLOOKUP($B353,표2[#ALL],2)/HLOOKUP($A353,표1[#ALL],row(),false)</f>
        <v>#N/A</v>
      </c>
      <c r="AE353" s="376" t="str">
        <f>CS_PID!AE353/VLOOKUP($B353,표2[#ALL],2)/HLOOKUP($A353,표1[#ALL],row(),false)</f>
        <v>#N/A</v>
      </c>
      <c r="AF353" s="376" t="str">
        <f>CS_PID!AF353/VLOOKUP($B353,표2[#ALL],2)/HLOOKUP($A353,표1[#ALL],row(),false)</f>
        <v>#N/A</v>
      </c>
      <c r="AG353" s="376" t="str">
        <f>CS_PID!AG353/VLOOKUP($B353,표2[#ALL],2)/HLOOKUP($A353,표1[#ALL],row(),false)</f>
        <v>#N/A</v>
      </c>
      <c r="AH353" s="376" t="str">
        <f>CS_PID!AH353/VLOOKUP($B353,표2[#ALL],2)/HLOOKUP($A353,표1[#ALL],row(),false)</f>
        <v>#N/A</v>
      </c>
      <c r="AI353" s="376" t="str">
        <f>CS_PID!AI353/VLOOKUP($B353,표2[#ALL],2)/HLOOKUP($A353,표1[#ALL],row(),false)</f>
        <v>#N/A</v>
      </c>
      <c r="AJ353" s="376" t="str">
        <f>CS_PID!AJ353/VLOOKUP($B353,표2[#ALL],2)/HLOOKUP($A353,표1[#ALL],row(),false)</f>
        <v>#N/A</v>
      </c>
      <c r="AK353" s="376" t="str">
        <f>CS_PID!AK353/VLOOKUP($B353,표2[#ALL],2)/HLOOKUP($A353,표1[#ALL],row(),false)</f>
        <v>#N/A</v>
      </c>
      <c r="AL353" s="376" t="str">
        <f>CS_PID!AL353/VLOOKUP($B353,표2[#ALL],2)/HLOOKUP($A353,표1[#ALL],row(),false)</f>
        <v>#N/A</v>
      </c>
      <c r="AM353" s="376" t="str">
        <f>CS_PID!AM353/VLOOKUP($B353,표2[#ALL],2)/HLOOKUP($A353,표1[#ALL],row(),false)</f>
        <v>#N/A</v>
      </c>
      <c r="AN353" s="376" t="str">
        <f>CS_PID!AN353/VLOOKUP($B353,표2[#ALL],2)/HLOOKUP($A353,표1[#ALL],row(),false)</f>
        <v>#N/A</v>
      </c>
      <c r="AO353" s="376" t="str">
        <f>CS_PID!AO353/VLOOKUP($B353,표2[#ALL],2)/HLOOKUP($A353,표1[#ALL],row(),false)</f>
        <v>#N/A</v>
      </c>
      <c r="AP353" s="376" t="str">
        <f>CS_PID!AP353/VLOOKUP($B353,표2[#ALL],2)/HLOOKUP($A353,표1[#ALL],row(),false)</f>
        <v>#N/A</v>
      </c>
      <c r="AQ353" s="376" t="str">
        <f>CS_PID!AQ353/VLOOKUP($B353,표2[#ALL],2)/HLOOKUP($A353,표1[#ALL],row(),false)</f>
        <v>#N/A</v>
      </c>
      <c r="AR353" s="376" t="str">
        <f>CS_PID!AR353/VLOOKUP($B353,표2[#ALL],2)/HLOOKUP($A353,표1[#ALL],row(),false)</f>
        <v>#N/A</v>
      </c>
      <c r="AS353" s="377" t="str">
        <f>CS_PID!AS353/VLOOKUP($B353,표2[#ALL],2)/HLOOKUP($A353,표1[#ALL],row(),false)</f>
        <v>#N/A</v>
      </c>
    </row>
    <row r="354">
      <c r="A354" s="370"/>
      <c r="B354" s="371"/>
      <c r="C354" s="372" t="str">
        <f>CS_PID!C354/VLOOKUP($B354,표2[#ALL],2)</f>
        <v>#N/A</v>
      </c>
      <c r="D354" s="372" t="str">
        <f>CS_PID!D354/VLOOKUP($B354,표2[#ALL],2)</f>
        <v>#N/A</v>
      </c>
      <c r="E354" s="372" t="str">
        <f>CS_PID!E354/VLOOKUP($B354,표2[#ALL],2)</f>
        <v>#N/A</v>
      </c>
      <c r="F354" s="372" t="str">
        <f>CS_PID!F354/VLOOKUP($B354,표2[#ALL],2)</f>
        <v>#N/A</v>
      </c>
      <c r="G354" s="372" t="str">
        <f>CS_PID!G354/VLOOKUP($B354,표2[#ALL],2)</f>
        <v>#N/A</v>
      </c>
      <c r="H354" s="372" t="str">
        <f>CS_PID!H354/VLOOKUP($B354,표2[#ALL],2)/HLOOKUP($A354,표1[#ALL],row(),false)</f>
        <v>#N/A</v>
      </c>
      <c r="I354" s="372" t="str">
        <f>CS_PID!I354/VLOOKUP($B354,표2[#ALL],2)/HLOOKUP($A354,표1[#ALL],row(),false)</f>
        <v>#N/A</v>
      </c>
      <c r="J354" s="372" t="str">
        <f>CS_PID!J354/VLOOKUP($B354,표2[#ALL],2)/HLOOKUP($A354,표1[#ALL],row(),false)</f>
        <v>#N/A</v>
      </c>
      <c r="K354" s="372" t="str">
        <f>CS_PID!K354/VLOOKUP($B354,표2[#ALL],2)/HLOOKUP($A354,표1[#ALL],row(),false)</f>
        <v>#N/A</v>
      </c>
      <c r="L354" s="372" t="str">
        <f>CS_PID!L354/VLOOKUP($B354,표2[#ALL],2)/HLOOKUP($A354,표1[#ALL],row(),false)</f>
        <v>#N/A</v>
      </c>
      <c r="M354" s="372" t="str">
        <f>CS_PID!M354/VLOOKUP($B354,표2[#ALL],2)/HLOOKUP($A354,표1[#ALL],row(),false)</f>
        <v>#N/A</v>
      </c>
      <c r="N354" s="372" t="str">
        <f>CS_PID!N354/VLOOKUP($B354,표2[#ALL],2)/HLOOKUP($A354,표1[#ALL],row(),false)</f>
        <v>#N/A</v>
      </c>
      <c r="O354" s="372" t="str">
        <f>CS_PID!O354/VLOOKUP($B354,표2[#ALL],2)/HLOOKUP($A354,표1[#ALL],row(),false)</f>
        <v>#N/A</v>
      </c>
      <c r="P354" s="372" t="str">
        <f>CS_PID!P354/VLOOKUP($B354,표2[#ALL],2)/HLOOKUP($A354,표1[#ALL],row(),false)</f>
        <v>#N/A</v>
      </c>
      <c r="Q354" s="372" t="str">
        <f>CS_PID!Q354/VLOOKUP($B354,표2[#ALL],2)/HLOOKUP($A354,표1[#ALL],row(),false)</f>
        <v>#N/A</v>
      </c>
      <c r="R354" s="372" t="str">
        <f>CS_PID!R354/VLOOKUP($B354,표2[#ALL],2)/HLOOKUP($A354,표1[#ALL],row(),false)</f>
        <v>#N/A</v>
      </c>
      <c r="S354" s="372" t="str">
        <f>CS_PID!S354/VLOOKUP($B354,표2[#ALL],2)/HLOOKUP($A354,표1[#ALL],row(),false)</f>
        <v>#N/A</v>
      </c>
      <c r="T354" s="372" t="str">
        <f>CS_PID!T354/VLOOKUP($B354,표2[#ALL],2)/HLOOKUP($A354,표1[#ALL],row(),false)</f>
        <v>#N/A</v>
      </c>
      <c r="U354" s="372" t="str">
        <f>CS_PID!U354/VLOOKUP($B354,표2[#ALL],2)/HLOOKUP($A354,표1[#ALL],row(),false)</f>
        <v>#N/A</v>
      </c>
      <c r="V354" s="372" t="str">
        <f>CS_PID!V354/VLOOKUP($B354,표2[#ALL],2)/HLOOKUP($A354,표1[#ALL],row(),false)</f>
        <v>#N/A</v>
      </c>
      <c r="W354" s="372" t="str">
        <f>CS_PID!W354/VLOOKUP($B354,표2[#ALL],2)/HLOOKUP($A354,표1[#ALL],row(),false)</f>
        <v>#N/A</v>
      </c>
      <c r="X354" s="372" t="str">
        <f>CS_PID!X354/VLOOKUP($B354,표2[#ALL],2)/HLOOKUP($A354,표1[#ALL],row(),false)</f>
        <v>#N/A</v>
      </c>
      <c r="Y354" s="372" t="str">
        <f>CS_PID!Y354/VLOOKUP($B354,표2[#ALL],2)/HLOOKUP($A354,표1[#ALL],row(),false)</f>
        <v>#N/A</v>
      </c>
      <c r="Z354" s="372" t="str">
        <f>CS_PID!Z354/VLOOKUP($B354,표2[#ALL],2)/HLOOKUP($A354,표1[#ALL],row(),false)</f>
        <v>#N/A</v>
      </c>
      <c r="AA354" s="372" t="str">
        <f>CS_PID!AA354/VLOOKUP($B354,표2[#ALL],2)/HLOOKUP($A354,표1[#ALL],row(),false)</f>
        <v>#N/A</v>
      </c>
      <c r="AB354" s="372" t="str">
        <f>CS_PID!AB354/VLOOKUP($B354,표2[#ALL],2)/HLOOKUP($A354,표1[#ALL],row(),false)</f>
        <v>#N/A</v>
      </c>
      <c r="AC354" s="372" t="str">
        <f>CS_PID!AC354/VLOOKUP($B354,표2[#ALL],2)/HLOOKUP($A354,표1[#ALL],row(),false)</f>
        <v>#N/A</v>
      </c>
      <c r="AD354" s="372" t="str">
        <f>CS_PID!AD354/VLOOKUP($B354,표2[#ALL],2)/HLOOKUP($A354,표1[#ALL],row(),false)</f>
        <v>#N/A</v>
      </c>
      <c r="AE354" s="372" t="str">
        <f>CS_PID!AE354/VLOOKUP($B354,표2[#ALL],2)/HLOOKUP($A354,표1[#ALL],row(),false)</f>
        <v>#N/A</v>
      </c>
      <c r="AF354" s="372" t="str">
        <f>CS_PID!AF354/VLOOKUP($B354,표2[#ALL],2)/HLOOKUP($A354,표1[#ALL],row(),false)</f>
        <v>#N/A</v>
      </c>
      <c r="AG354" s="372" t="str">
        <f>CS_PID!AG354/VLOOKUP($B354,표2[#ALL],2)/HLOOKUP($A354,표1[#ALL],row(),false)</f>
        <v>#N/A</v>
      </c>
      <c r="AH354" s="372" t="str">
        <f>CS_PID!AH354/VLOOKUP($B354,표2[#ALL],2)/HLOOKUP($A354,표1[#ALL],row(),false)</f>
        <v>#N/A</v>
      </c>
      <c r="AI354" s="372" t="str">
        <f>CS_PID!AI354/VLOOKUP($B354,표2[#ALL],2)/HLOOKUP($A354,표1[#ALL],row(),false)</f>
        <v>#N/A</v>
      </c>
      <c r="AJ354" s="372" t="str">
        <f>CS_PID!AJ354/VLOOKUP($B354,표2[#ALL],2)/HLOOKUP($A354,표1[#ALL],row(),false)</f>
        <v>#N/A</v>
      </c>
      <c r="AK354" s="372" t="str">
        <f>CS_PID!AK354/VLOOKUP($B354,표2[#ALL],2)/HLOOKUP($A354,표1[#ALL],row(),false)</f>
        <v>#N/A</v>
      </c>
      <c r="AL354" s="372" t="str">
        <f>CS_PID!AL354/VLOOKUP($B354,표2[#ALL],2)/HLOOKUP($A354,표1[#ALL],row(),false)</f>
        <v>#N/A</v>
      </c>
      <c r="AM354" s="372" t="str">
        <f>CS_PID!AM354/VLOOKUP($B354,표2[#ALL],2)/HLOOKUP($A354,표1[#ALL],row(),false)</f>
        <v>#N/A</v>
      </c>
      <c r="AN354" s="372" t="str">
        <f>CS_PID!AN354/VLOOKUP($B354,표2[#ALL],2)/HLOOKUP($A354,표1[#ALL],row(),false)</f>
        <v>#N/A</v>
      </c>
      <c r="AO354" s="372" t="str">
        <f>CS_PID!AO354/VLOOKUP($B354,표2[#ALL],2)/HLOOKUP($A354,표1[#ALL],row(),false)</f>
        <v>#N/A</v>
      </c>
      <c r="AP354" s="372" t="str">
        <f>CS_PID!AP354/VLOOKUP($B354,표2[#ALL],2)/HLOOKUP($A354,표1[#ALL],row(),false)</f>
        <v>#N/A</v>
      </c>
      <c r="AQ354" s="372" t="str">
        <f>CS_PID!AQ354/VLOOKUP($B354,표2[#ALL],2)/HLOOKUP($A354,표1[#ALL],row(),false)</f>
        <v>#N/A</v>
      </c>
      <c r="AR354" s="372" t="str">
        <f>CS_PID!AR354/VLOOKUP($B354,표2[#ALL],2)/HLOOKUP($A354,표1[#ALL],row(),false)</f>
        <v>#N/A</v>
      </c>
      <c r="AS354" s="373" t="str">
        <f>CS_PID!AS354/VLOOKUP($B354,표2[#ALL],2)/HLOOKUP($A354,표1[#ALL],row(),false)</f>
        <v>#N/A</v>
      </c>
    </row>
    <row r="355">
      <c r="A355" s="374"/>
      <c r="B355" s="375"/>
      <c r="C355" s="376" t="str">
        <f>CS_PID!C355/VLOOKUP($B355,표2[#ALL],2)</f>
        <v>#N/A</v>
      </c>
      <c r="D355" s="376" t="str">
        <f>CS_PID!D355/VLOOKUP($B355,표2[#ALL],2)</f>
        <v>#N/A</v>
      </c>
      <c r="E355" s="376" t="str">
        <f>CS_PID!E355/VLOOKUP($B355,표2[#ALL],2)</f>
        <v>#N/A</v>
      </c>
      <c r="F355" s="376" t="str">
        <f>CS_PID!F355/VLOOKUP($B355,표2[#ALL],2)</f>
        <v>#N/A</v>
      </c>
      <c r="G355" s="376" t="str">
        <f>CS_PID!G355/VLOOKUP($B355,표2[#ALL],2)</f>
        <v>#N/A</v>
      </c>
      <c r="H355" s="376" t="str">
        <f>CS_PID!H355/VLOOKUP($B355,표2[#ALL],2)/HLOOKUP($A355,표1[#ALL],row(),false)</f>
        <v>#N/A</v>
      </c>
      <c r="I355" s="376" t="str">
        <f>CS_PID!I355/VLOOKUP($B355,표2[#ALL],2)/HLOOKUP($A355,표1[#ALL],row(),false)</f>
        <v>#N/A</v>
      </c>
      <c r="J355" s="376" t="str">
        <f>CS_PID!J355/VLOOKUP($B355,표2[#ALL],2)/HLOOKUP($A355,표1[#ALL],row(),false)</f>
        <v>#N/A</v>
      </c>
      <c r="K355" s="376" t="str">
        <f>CS_PID!K355/VLOOKUP($B355,표2[#ALL],2)/HLOOKUP($A355,표1[#ALL],row(),false)</f>
        <v>#N/A</v>
      </c>
      <c r="L355" s="376" t="str">
        <f>CS_PID!L355/VLOOKUP($B355,표2[#ALL],2)/HLOOKUP($A355,표1[#ALL],row(),false)</f>
        <v>#N/A</v>
      </c>
      <c r="M355" s="376" t="str">
        <f>CS_PID!M355/VLOOKUP($B355,표2[#ALL],2)/HLOOKUP($A355,표1[#ALL],row(),false)</f>
        <v>#N/A</v>
      </c>
      <c r="N355" s="376" t="str">
        <f>CS_PID!N355/VLOOKUP($B355,표2[#ALL],2)/HLOOKUP($A355,표1[#ALL],row(),false)</f>
        <v>#N/A</v>
      </c>
      <c r="O355" s="376" t="str">
        <f>CS_PID!O355/VLOOKUP($B355,표2[#ALL],2)/HLOOKUP($A355,표1[#ALL],row(),false)</f>
        <v>#N/A</v>
      </c>
      <c r="P355" s="376" t="str">
        <f>CS_PID!P355/VLOOKUP($B355,표2[#ALL],2)/HLOOKUP($A355,표1[#ALL],row(),false)</f>
        <v>#N/A</v>
      </c>
      <c r="Q355" s="376" t="str">
        <f>CS_PID!Q355/VLOOKUP($B355,표2[#ALL],2)/HLOOKUP($A355,표1[#ALL],row(),false)</f>
        <v>#N/A</v>
      </c>
      <c r="R355" s="376" t="str">
        <f>CS_PID!R355/VLOOKUP($B355,표2[#ALL],2)/HLOOKUP($A355,표1[#ALL],row(),false)</f>
        <v>#N/A</v>
      </c>
      <c r="S355" s="376" t="str">
        <f>CS_PID!S355/VLOOKUP($B355,표2[#ALL],2)/HLOOKUP($A355,표1[#ALL],row(),false)</f>
        <v>#N/A</v>
      </c>
      <c r="T355" s="376" t="str">
        <f>CS_PID!T355/VLOOKUP($B355,표2[#ALL],2)/HLOOKUP($A355,표1[#ALL],row(),false)</f>
        <v>#N/A</v>
      </c>
      <c r="U355" s="376" t="str">
        <f>CS_PID!U355/VLOOKUP($B355,표2[#ALL],2)/HLOOKUP($A355,표1[#ALL],row(),false)</f>
        <v>#N/A</v>
      </c>
      <c r="V355" s="376" t="str">
        <f>CS_PID!V355/VLOOKUP($B355,표2[#ALL],2)/HLOOKUP($A355,표1[#ALL],row(),false)</f>
        <v>#N/A</v>
      </c>
      <c r="W355" s="376" t="str">
        <f>CS_PID!W355/VLOOKUP($B355,표2[#ALL],2)/HLOOKUP($A355,표1[#ALL],row(),false)</f>
        <v>#N/A</v>
      </c>
      <c r="X355" s="376" t="str">
        <f>CS_PID!X355/VLOOKUP($B355,표2[#ALL],2)/HLOOKUP($A355,표1[#ALL],row(),false)</f>
        <v>#N/A</v>
      </c>
      <c r="Y355" s="376" t="str">
        <f>CS_PID!Y355/VLOOKUP($B355,표2[#ALL],2)/HLOOKUP($A355,표1[#ALL],row(),false)</f>
        <v>#N/A</v>
      </c>
      <c r="Z355" s="376" t="str">
        <f>CS_PID!Z355/VLOOKUP($B355,표2[#ALL],2)/HLOOKUP($A355,표1[#ALL],row(),false)</f>
        <v>#N/A</v>
      </c>
      <c r="AA355" s="376" t="str">
        <f>CS_PID!AA355/VLOOKUP($B355,표2[#ALL],2)/HLOOKUP($A355,표1[#ALL],row(),false)</f>
        <v>#N/A</v>
      </c>
      <c r="AB355" s="376" t="str">
        <f>CS_PID!AB355/VLOOKUP($B355,표2[#ALL],2)/HLOOKUP($A355,표1[#ALL],row(),false)</f>
        <v>#N/A</v>
      </c>
      <c r="AC355" s="376" t="str">
        <f>CS_PID!AC355/VLOOKUP($B355,표2[#ALL],2)/HLOOKUP($A355,표1[#ALL],row(),false)</f>
        <v>#N/A</v>
      </c>
      <c r="AD355" s="376" t="str">
        <f>CS_PID!AD355/VLOOKUP($B355,표2[#ALL],2)/HLOOKUP($A355,표1[#ALL],row(),false)</f>
        <v>#N/A</v>
      </c>
      <c r="AE355" s="376" t="str">
        <f>CS_PID!AE355/VLOOKUP($B355,표2[#ALL],2)/HLOOKUP($A355,표1[#ALL],row(),false)</f>
        <v>#N/A</v>
      </c>
      <c r="AF355" s="376" t="str">
        <f>CS_PID!AF355/VLOOKUP($B355,표2[#ALL],2)/HLOOKUP($A355,표1[#ALL],row(),false)</f>
        <v>#N/A</v>
      </c>
      <c r="AG355" s="376" t="str">
        <f>CS_PID!AG355/VLOOKUP($B355,표2[#ALL],2)/HLOOKUP($A355,표1[#ALL],row(),false)</f>
        <v>#N/A</v>
      </c>
      <c r="AH355" s="376" t="str">
        <f>CS_PID!AH355/VLOOKUP($B355,표2[#ALL],2)/HLOOKUP($A355,표1[#ALL],row(),false)</f>
        <v>#N/A</v>
      </c>
      <c r="AI355" s="376" t="str">
        <f>CS_PID!AI355/VLOOKUP($B355,표2[#ALL],2)/HLOOKUP($A355,표1[#ALL],row(),false)</f>
        <v>#N/A</v>
      </c>
      <c r="AJ355" s="376" t="str">
        <f>CS_PID!AJ355/VLOOKUP($B355,표2[#ALL],2)/HLOOKUP($A355,표1[#ALL],row(),false)</f>
        <v>#N/A</v>
      </c>
      <c r="AK355" s="376" t="str">
        <f>CS_PID!AK355/VLOOKUP($B355,표2[#ALL],2)/HLOOKUP($A355,표1[#ALL],row(),false)</f>
        <v>#N/A</v>
      </c>
      <c r="AL355" s="376" t="str">
        <f>CS_PID!AL355/VLOOKUP($B355,표2[#ALL],2)/HLOOKUP($A355,표1[#ALL],row(),false)</f>
        <v>#N/A</v>
      </c>
      <c r="AM355" s="376" t="str">
        <f>CS_PID!AM355/VLOOKUP($B355,표2[#ALL],2)/HLOOKUP($A355,표1[#ALL],row(),false)</f>
        <v>#N/A</v>
      </c>
      <c r="AN355" s="376" t="str">
        <f>CS_PID!AN355/VLOOKUP($B355,표2[#ALL],2)/HLOOKUP($A355,표1[#ALL],row(),false)</f>
        <v>#N/A</v>
      </c>
      <c r="AO355" s="376" t="str">
        <f>CS_PID!AO355/VLOOKUP($B355,표2[#ALL],2)/HLOOKUP($A355,표1[#ALL],row(),false)</f>
        <v>#N/A</v>
      </c>
      <c r="AP355" s="376" t="str">
        <f>CS_PID!AP355/VLOOKUP($B355,표2[#ALL],2)/HLOOKUP($A355,표1[#ALL],row(),false)</f>
        <v>#N/A</v>
      </c>
      <c r="AQ355" s="376" t="str">
        <f>CS_PID!AQ355/VLOOKUP($B355,표2[#ALL],2)/HLOOKUP($A355,표1[#ALL],row(),false)</f>
        <v>#N/A</v>
      </c>
      <c r="AR355" s="376" t="str">
        <f>CS_PID!AR355/VLOOKUP($B355,표2[#ALL],2)/HLOOKUP($A355,표1[#ALL],row(),false)</f>
        <v>#N/A</v>
      </c>
      <c r="AS355" s="377" t="str">
        <f>CS_PID!AS355/VLOOKUP($B355,표2[#ALL],2)/HLOOKUP($A355,표1[#ALL],row(),false)</f>
        <v>#N/A</v>
      </c>
    </row>
    <row r="356">
      <c r="A356" s="370"/>
      <c r="B356" s="371"/>
      <c r="C356" s="372" t="str">
        <f>CS_PID!C356/VLOOKUP($B356,표2[#ALL],2)</f>
        <v>#N/A</v>
      </c>
      <c r="D356" s="372" t="str">
        <f>CS_PID!D356/VLOOKUP($B356,표2[#ALL],2)</f>
        <v>#N/A</v>
      </c>
      <c r="E356" s="372" t="str">
        <f>CS_PID!E356/VLOOKUP($B356,표2[#ALL],2)</f>
        <v>#N/A</v>
      </c>
      <c r="F356" s="372" t="str">
        <f>CS_PID!F356/VLOOKUP($B356,표2[#ALL],2)</f>
        <v>#N/A</v>
      </c>
      <c r="G356" s="372" t="str">
        <f>CS_PID!G356/VLOOKUP($B356,표2[#ALL],2)</f>
        <v>#N/A</v>
      </c>
      <c r="H356" s="372" t="str">
        <f>CS_PID!H356/VLOOKUP($B356,표2[#ALL],2)/HLOOKUP($A356,표1[#ALL],row(),false)</f>
        <v>#N/A</v>
      </c>
      <c r="I356" s="372" t="str">
        <f>CS_PID!I356/VLOOKUP($B356,표2[#ALL],2)/HLOOKUP($A356,표1[#ALL],row(),false)</f>
        <v>#N/A</v>
      </c>
      <c r="J356" s="372" t="str">
        <f>CS_PID!J356/VLOOKUP($B356,표2[#ALL],2)/HLOOKUP($A356,표1[#ALL],row(),false)</f>
        <v>#N/A</v>
      </c>
      <c r="K356" s="372" t="str">
        <f>CS_PID!K356/VLOOKUP($B356,표2[#ALL],2)/HLOOKUP($A356,표1[#ALL],row(),false)</f>
        <v>#N/A</v>
      </c>
      <c r="L356" s="372" t="str">
        <f>CS_PID!L356/VLOOKUP($B356,표2[#ALL],2)/HLOOKUP($A356,표1[#ALL],row(),false)</f>
        <v>#N/A</v>
      </c>
      <c r="M356" s="372" t="str">
        <f>CS_PID!M356/VLOOKUP($B356,표2[#ALL],2)/HLOOKUP($A356,표1[#ALL],row(),false)</f>
        <v>#N/A</v>
      </c>
      <c r="N356" s="372" t="str">
        <f>CS_PID!N356/VLOOKUP($B356,표2[#ALL],2)/HLOOKUP($A356,표1[#ALL],row(),false)</f>
        <v>#N/A</v>
      </c>
      <c r="O356" s="372" t="str">
        <f>CS_PID!O356/VLOOKUP($B356,표2[#ALL],2)/HLOOKUP($A356,표1[#ALL],row(),false)</f>
        <v>#N/A</v>
      </c>
      <c r="P356" s="372" t="str">
        <f>CS_PID!P356/VLOOKUP($B356,표2[#ALL],2)/HLOOKUP($A356,표1[#ALL],row(),false)</f>
        <v>#N/A</v>
      </c>
      <c r="Q356" s="372" t="str">
        <f>CS_PID!Q356/VLOOKUP($B356,표2[#ALL],2)/HLOOKUP($A356,표1[#ALL],row(),false)</f>
        <v>#N/A</v>
      </c>
      <c r="R356" s="372" t="str">
        <f>CS_PID!R356/VLOOKUP($B356,표2[#ALL],2)/HLOOKUP($A356,표1[#ALL],row(),false)</f>
        <v>#N/A</v>
      </c>
      <c r="S356" s="372" t="str">
        <f>CS_PID!S356/VLOOKUP($B356,표2[#ALL],2)/HLOOKUP($A356,표1[#ALL],row(),false)</f>
        <v>#N/A</v>
      </c>
      <c r="T356" s="372" t="str">
        <f>CS_PID!T356/VLOOKUP($B356,표2[#ALL],2)/HLOOKUP($A356,표1[#ALL],row(),false)</f>
        <v>#N/A</v>
      </c>
      <c r="U356" s="372" t="str">
        <f>CS_PID!U356/VLOOKUP($B356,표2[#ALL],2)/HLOOKUP($A356,표1[#ALL],row(),false)</f>
        <v>#N/A</v>
      </c>
      <c r="V356" s="372" t="str">
        <f>CS_PID!V356/VLOOKUP($B356,표2[#ALL],2)/HLOOKUP($A356,표1[#ALL],row(),false)</f>
        <v>#N/A</v>
      </c>
      <c r="W356" s="372" t="str">
        <f>CS_PID!W356/VLOOKUP($B356,표2[#ALL],2)/HLOOKUP($A356,표1[#ALL],row(),false)</f>
        <v>#N/A</v>
      </c>
      <c r="X356" s="372" t="str">
        <f>CS_PID!X356/VLOOKUP($B356,표2[#ALL],2)/HLOOKUP($A356,표1[#ALL],row(),false)</f>
        <v>#N/A</v>
      </c>
      <c r="Y356" s="372" t="str">
        <f>CS_PID!Y356/VLOOKUP($B356,표2[#ALL],2)/HLOOKUP($A356,표1[#ALL],row(),false)</f>
        <v>#N/A</v>
      </c>
      <c r="Z356" s="372" t="str">
        <f>CS_PID!Z356/VLOOKUP($B356,표2[#ALL],2)/HLOOKUP($A356,표1[#ALL],row(),false)</f>
        <v>#N/A</v>
      </c>
      <c r="AA356" s="372" t="str">
        <f>CS_PID!AA356/VLOOKUP($B356,표2[#ALL],2)/HLOOKUP($A356,표1[#ALL],row(),false)</f>
        <v>#N/A</v>
      </c>
      <c r="AB356" s="372" t="str">
        <f>CS_PID!AB356/VLOOKUP($B356,표2[#ALL],2)/HLOOKUP($A356,표1[#ALL],row(),false)</f>
        <v>#N/A</v>
      </c>
      <c r="AC356" s="372" t="str">
        <f>CS_PID!AC356/VLOOKUP($B356,표2[#ALL],2)/HLOOKUP($A356,표1[#ALL],row(),false)</f>
        <v>#N/A</v>
      </c>
      <c r="AD356" s="372" t="str">
        <f>CS_PID!AD356/VLOOKUP($B356,표2[#ALL],2)/HLOOKUP($A356,표1[#ALL],row(),false)</f>
        <v>#N/A</v>
      </c>
      <c r="AE356" s="372" t="str">
        <f>CS_PID!AE356/VLOOKUP($B356,표2[#ALL],2)/HLOOKUP($A356,표1[#ALL],row(),false)</f>
        <v>#N/A</v>
      </c>
      <c r="AF356" s="372" t="str">
        <f>CS_PID!AF356/VLOOKUP($B356,표2[#ALL],2)/HLOOKUP($A356,표1[#ALL],row(),false)</f>
        <v>#N/A</v>
      </c>
      <c r="AG356" s="372" t="str">
        <f>CS_PID!AG356/VLOOKUP($B356,표2[#ALL],2)/HLOOKUP($A356,표1[#ALL],row(),false)</f>
        <v>#N/A</v>
      </c>
      <c r="AH356" s="372" t="str">
        <f>CS_PID!AH356/VLOOKUP($B356,표2[#ALL],2)/HLOOKUP($A356,표1[#ALL],row(),false)</f>
        <v>#N/A</v>
      </c>
      <c r="AI356" s="372" t="str">
        <f>CS_PID!AI356/VLOOKUP($B356,표2[#ALL],2)/HLOOKUP($A356,표1[#ALL],row(),false)</f>
        <v>#N/A</v>
      </c>
      <c r="AJ356" s="372" t="str">
        <f>CS_PID!AJ356/VLOOKUP($B356,표2[#ALL],2)/HLOOKUP($A356,표1[#ALL],row(),false)</f>
        <v>#N/A</v>
      </c>
      <c r="AK356" s="372" t="str">
        <f>CS_PID!AK356/VLOOKUP($B356,표2[#ALL],2)/HLOOKUP($A356,표1[#ALL],row(),false)</f>
        <v>#N/A</v>
      </c>
      <c r="AL356" s="372" t="str">
        <f>CS_PID!AL356/VLOOKUP($B356,표2[#ALL],2)/HLOOKUP($A356,표1[#ALL],row(),false)</f>
        <v>#N/A</v>
      </c>
      <c r="AM356" s="372" t="str">
        <f>CS_PID!AM356/VLOOKUP($B356,표2[#ALL],2)/HLOOKUP($A356,표1[#ALL],row(),false)</f>
        <v>#N/A</v>
      </c>
      <c r="AN356" s="372" t="str">
        <f>CS_PID!AN356/VLOOKUP($B356,표2[#ALL],2)/HLOOKUP($A356,표1[#ALL],row(),false)</f>
        <v>#N/A</v>
      </c>
      <c r="AO356" s="372" t="str">
        <f>CS_PID!AO356/VLOOKUP($B356,표2[#ALL],2)/HLOOKUP($A356,표1[#ALL],row(),false)</f>
        <v>#N/A</v>
      </c>
      <c r="AP356" s="372" t="str">
        <f>CS_PID!AP356/VLOOKUP($B356,표2[#ALL],2)/HLOOKUP($A356,표1[#ALL],row(),false)</f>
        <v>#N/A</v>
      </c>
      <c r="AQ356" s="372" t="str">
        <f>CS_PID!AQ356/VLOOKUP($B356,표2[#ALL],2)/HLOOKUP($A356,표1[#ALL],row(),false)</f>
        <v>#N/A</v>
      </c>
      <c r="AR356" s="372" t="str">
        <f>CS_PID!AR356/VLOOKUP($B356,표2[#ALL],2)/HLOOKUP($A356,표1[#ALL],row(),false)</f>
        <v>#N/A</v>
      </c>
      <c r="AS356" s="373" t="str">
        <f>CS_PID!AS356/VLOOKUP($B356,표2[#ALL],2)/HLOOKUP($A356,표1[#ALL],row(),false)</f>
        <v>#N/A</v>
      </c>
    </row>
    <row r="357">
      <c r="A357" s="374"/>
      <c r="B357" s="375"/>
      <c r="C357" s="376" t="str">
        <f>CS_PID!C357/VLOOKUP($B357,표2[#ALL],2)</f>
        <v>#N/A</v>
      </c>
      <c r="D357" s="376" t="str">
        <f>CS_PID!D357/VLOOKUP($B357,표2[#ALL],2)</f>
        <v>#N/A</v>
      </c>
      <c r="E357" s="376" t="str">
        <f>CS_PID!E357/VLOOKUP($B357,표2[#ALL],2)</f>
        <v>#N/A</v>
      </c>
      <c r="F357" s="376" t="str">
        <f>CS_PID!F357/VLOOKUP($B357,표2[#ALL],2)</f>
        <v>#N/A</v>
      </c>
      <c r="G357" s="376" t="str">
        <f>CS_PID!G357/VLOOKUP($B357,표2[#ALL],2)</f>
        <v>#N/A</v>
      </c>
      <c r="H357" s="376" t="str">
        <f>CS_PID!H357/VLOOKUP($B357,표2[#ALL],2)/HLOOKUP($A357,표1[#ALL],row(),false)</f>
        <v>#N/A</v>
      </c>
      <c r="I357" s="376" t="str">
        <f>CS_PID!I357/VLOOKUP($B357,표2[#ALL],2)/HLOOKUP($A357,표1[#ALL],row(),false)</f>
        <v>#N/A</v>
      </c>
      <c r="J357" s="376" t="str">
        <f>CS_PID!J357/VLOOKUP($B357,표2[#ALL],2)/HLOOKUP($A357,표1[#ALL],row(),false)</f>
        <v>#N/A</v>
      </c>
      <c r="K357" s="376" t="str">
        <f>CS_PID!K357/VLOOKUP($B357,표2[#ALL],2)/HLOOKUP($A357,표1[#ALL],row(),false)</f>
        <v>#N/A</v>
      </c>
      <c r="L357" s="376" t="str">
        <f>CS_PID!L357/VLOOKUP($B357,표2[#ALL],2)/HLOOKUP($A357,표1[#ALL],row(),false)</f>
        <v>#N/A</v>
      </c>
      <c r="M357" s="376" t="str">
        <f>CS_PID!M357/VLOOKUP($B357,표2[#ALL],2)/HLOOKUP($A357,표1[#ALL],row(),false)</f>
        <v>#N/A</v>
      </c>
      <c r="N357" s="376" t="str">
        <f>CS_PID!N357/VLOOKUP($B357,표2[#ALL],2)/HLOOKUP($A357,표1[#ALL],row(),false)</f>
        <v>#N/A</v>
      </c>
      <c r="O357" s="376" t="str">
        <f>CS_PID!O357/VLOOKUP($B357,표2[#ALL],2)/HLOOKUP($A357,표1[#ALL],row(),false)</f>
        <v>#N/A</v>
      </c>
      <c r="P357" s="376" t="str">
        <f>CS_PID!P357/VLOOKUP($B357,표2[#ALL],2)/HLOOKUP($A357,표1[#ALL],row(),false)</f>
        <v>#N/A</v>
      </c>
      <c r="Q357" s="376" t="str">
        <f>CS_PID!Q357/VLOOKUP($B357,표2[#ALL],2)/HLOOKUP($A357,표1[#ALL],row(),false)</f>
        <v>#N/A</v>
      </c>
      <c r="R357" s="376" t="str">
        <f>CS_PID!R357/VLOOKUP($B357,표2[#ALL],2)/HLOOKUP($A357,표1[#ALL],row(),false)</f>
        <v>#N/A</v>
      </c>
      <c r="S357" s="376" t="str">
        <f>CS_PID!S357/VLOOKUP($B357,표2[#ALL],2)/HLOOKUP($A357,표1[#ALL],row(),false)</f>
        <v>#N/A</v>
      </c>
      <c r="T357" s="376" t="str">
        <f>CS_PID!T357/VLOOKUP($B357,표2[#ALL],2)/HLOOKUP($A357,표1[#ALL],row(),false)</f>
        <v>#N/A</v>
      </c>
      <c r="U357" s="376" t="str">
        <f>CS_PID!U357/VLOOKUP($B357,표2[#ALL],2)/HLOOKUP($A357,표1[#ALL],row(),false)</f>
        <v>#N/A</v>
      </c>
      <c r="V357" s="376" t="str">
        <f>CS_PID!V357/VLOOKUP($B357,표2[#ALL],2)/HLOOKUP($A357,표1[#ALL],row(),false)</f>
        <v>#N/A</v>
      </c>
      <c r="W357" s="376" t="str">
        <f>CS_PID!W357/VLOOKUP($B357,표2[#ALL],2)/HLOOKUP($A357,표1[#ALL],row(),false)</f>
        <v>#N/A</v>
      </c>
      <c r="X357" s="376" t="str">
        <f>CS_PID!X357/VLOOKUP($B357,표2[#ALL],2)/HLOOKUP($A357,표1[#ALL],row(),false)</f>
        <v>#N/A</v>
      </c>
      <c r="Y357" s="376" t="str">
        <f>CS_PID!Y357/VLOOKUP($B357,표2[#ALL],2)/HLOOKUP($A357,표1[#ALL],row(),false)</f>
        <v>#N/A</v>
      </c>
      <c r="Z357" s="376" t="str">
        <f>CS_PID!Z357/VLOOKUP($B357,표2[#ALL],2)/HLOOKUP($A357,표1[#ALL],row(),false)</f>
        <v>#N/A</v>
      </c>
      <c r="AA357" s="376" t="str">
        <f>CS_PID!AA357/VLOOKUP($B357,표2[#ALL],2)/HLOOKUP($A357,표1[#ALL],row(),false)</f>
        <v>#N/A</v>
      </c>
      <c r="AB357" s="376" t="str">
        <f>CS_PID!AB357/VLOOKUP($B357,표2[#ALL],2)/HLOOKUP($A357,표1[#ALL],row(),false)</f>
        <v>#N/A</v>
      </c>
      <c r="AC357" s="376" t="str">
        <f>CS_PID!AC357/VLOOKUP($B357,표2[#ALL],2)/HLOOKUP($A357,표1[#ALL],row(),false)</f>
        <v>#N/A</v>
      </c>
      <c r="AD357" s="376" t="str">
        <f>CS_PID!AD357/VLOOKUP($B357,표2[#ALL],2)/HLOOKUP($A357,표1[#ALL],row(),false)</f>
        <v>#N/A</v>
      </c>
      <c r="AE357" s="376" t="str">
        <f>CS_PID!AE357/VLOOKUP($B357,표2[#ALL],2)/HLOOKUP($A357,표1[#ALL],row(),false)</f>
        <v>#N/A</v>
      </c>
      <c r="AF357" s="376" t="str">
        <f>CS_PID!AF357/VLOOKUP($B357,표2[#ALL],2)/HLOOKUP($A357,표1[#ALL],row(),false)</f>
        <v>#N/A</v>
      </c>
      <c r="AG357" s="376" t="str">
        <f>CS_PID!AG357/VLOOKUP($B357,표2[#ALL],2)/HLOOKUP($A357,표1[#ALL],row(),false)</f>
        <v>#N/A</v>
      </c>
      <c r="AH357" s="376" t="str">
        <f>CS_PID!AH357/VLOOKUP($B357,표2[#ALL],2)/HLOOKUP($A357,표1[#ALL],row(),false)</f>
        <v>#N/A</v>
      </c>
      <c r="AI357" s="376" t="str">
        <f>CS_PID!AI357/VLOOKUP($B357,표2[#ALL],2)/HLOOKUP($A357,표1[#ALL],row(),false)</f>
        <v>#N/A</v>
      </c>
      <c r="AJ357" s="376" t="str">
        <f>CS_PID!AJ357/VLOOKUP($B357,표2[#ALL],2)/HLOOKUP($A357,표1[#ALL],row(),false)</f>
        <v>#N/A</v>
      </c>
      <c r="AK357" s="376" t="str">
        <f>CS_PID!AK357/VLOOKUP($B357,표2[#ALL],2)/HLOOKUP($A357,표1[#ALL],row(),false)</f>
        <v>#N/A</v>
      </c>
      <c r="AL357" s="376" t="str">
        <f>CS_PID!AL357/VLOOKUP($B357,표2[#ALL],2)/HLOOKUP($A357,표1[#ALL],row(),false)</f>
        <v>#N/A</v>
      </c>
      <c r="AM357" s="376" t="str">
        <f>CS_PID!AM357/VLOOKUP($B357,표2[#ALL],2)/HLOOKUP($A357,표1[#ALL],row(),false)</f>
        <v>#N/A</v>
      </c>
      <c r="AN357" s="376" t="str">
        <f>CS_PID!AN357/VLOOKUP($B357,표2[#ALL],2)/HLOOKUP($A357,표1[#ALL],row(),false)</f>
        <v>#N/A</v>
      </c>
      <c r="AO357" s="376" t="str">
        <f>CS_PID!AO357/VLOOKUP($B357,표2[#ALL],2)/HLOOKUP($A357,표1[#ALL],row(),false)</f>
        <v>#N/A</v>
      </c>
      <c r="AP357" s="376" t="str">
        <f>CS_PID!AP357/VLOOKUP($B357,표2[#ALL],2)/HLOOKUP($A357,표1[#ALL],row(),false)</f>
        <v>#N/A</v>
      </c>
      <c r="AQ357" s="376" t="str">
        <f>CS_PID!AQ357/VLOOKUP($B357,표2[#ALL],2)/HLOOKUP($A357,표1[#ALL],row(),false)</f>
        <v>#N/A</v>
      </c>
      <c r="AR357" s="376" t="str">
        <f>CS_PID!AR357/VLOOKUP($B357,표2[#ALL],2)/HLOOKUP($A357,표1[#ALL],row(),false)</f>
        <v>#N/A</v>
      </c>
      <c r="AS357" s="377" t="str">
        <f>CS_PID!AS357/VLOOKUP($B357,표2[#ALL],2)/HLOOKUP($A357,표1[#ALL],row(),false)</f>
        <v>#N/A</v>
      </c>
    </row>
    <row r="358">
      <c r="A358" s="370"/>
      <c r="B358" s="371"/>
      <c r="C358" s="372" t="str">
        <f>CS_PID!C358/VLOOKUP($B358,표2[#ALL],2)</f>
        <v>#N/A</v>
      </c>
      <c r="D358" s="372" t="str">
        <f>CS_PID!D358/VLOOKUP($B358,표2[#ALL],2)</f>
        <v>#N/A</v>
      </c>
      <c r="E358" s="372" t="str">
        <f>CS_PID!E358/VLOOKUP($B358,표2[#ALL],2)</f>
        <v>#N/A</v>
      </c>
      <c r="F358" s="372" t="str">
        <f>CS_PID!F358/VLOOKUP($B358,표2[#ALL],2)</f>
        <v>#N/A</v>
      </c>
      <c r="G358" s="372" t="str">
        <f>CS_PID!G358/VLOOKUP($B358,표2[#ALL],2)</f>
        <v>#N/A</v>
      </c>
      <c r="H358" s="372" t="str">
        <f>CS_PID!H358/VLOOKUP($B358,표2[#ALL],2)/HLOOKUP($A358,표1[#ALL],row(),false)</f>
        <v>#N/A</v>
      </c>
      <c r="I358" s="372" t="str">
        <f>CS_PID!I358/VLOOKUP($B358,표2[#ALL],2)/HLOOKUP($A358,표1[#ALL],row(),false)</f>
        <v>#N/A</v>
      </c>
      <c r="J358" s="372" t="str">
        <f>CS_PID!J358/VLOOKUP($B358,표2[#ALL],2)/HLOOKUP($A358,표1[#ALL],row(),false)</f>
        <v>#N/A</v>
      </c>
      <c r="K358" s="372" t="str">
        <f>CS_PID!K358/VLOOKUP($B358,표2[#ALL],2)/HLOOKUP($A358,표1[#ALL],row(),false)</f>
        <v>#N/A</v>
      </c>
      <c r="L358" s="372" t="str">
        <f>CS_PID!L358/VLOOKUP($B358,표2[#ALL],2)/HLOOKUP($A358,표1[#ALL],row(),false)</f>
        <v>#N/A</v>
      </c>
      <c r="M358" s="372" t="str">
        <f>CS_PID!M358/VLOOKUP($B358,표2[#ALL],2)/HLOOKUP($A358,표1[#ALL],row(),false)</f>
        <v>#N/A</v>
      </c>
      <c r="N358" s="372" t="str">
        <f>CS_PID!N358/VLOOKUP($B358,표2[#ALL],2)/HLOOKUP($A358,표1[#ALL],row(),false)</f>
        <v>#N/A</v>
      </c>
      <c r="O358" s="372" t="str">
        <f>CS_PID!O358/VLOOKUP($B358,표2[#ALL],2)/HLOOKUP($A358,표1[#ALL],row(),false)</f>
        <v>#N/A</v>
      </c>
      <c r="P358" s="372" t="str">
        <f>CS_PID!P358/VLOOKUP($B358,표2[#ALL],2)/HLOOKUP($A358,표1[#ALL],row(),false)</f>
        <v>#N/A</v>
      </c>
      <c r="Q358" s="372" t="str">
        <f>CS_PID!Q358/VLOOKUP($B358,표2[#ALL],2)/HLOOKUP($A358,표1[#ALL],row(),false)</f>
        <v>#N/A</v>
      </c>
      <c r="R358" s="372" t="str">
        <f>CS_PID!R358/VLOOKUP($B358,표2[#ALL],2)/HLOOKUP($A358,표1[#ALL],row(),false)</f>
        <v>#N/A</v>
      </c>
      <c r="S358" s="372" t="str">
        <f>CS_PID!S358/VLOOKUP($B358,표2[#ALL],2)/HLOOKUP($A358,표1[#ALL],row(),false)</f>
        <v>#N/A</v>
      </c>
      <c r="T358" s="372" t="str">
        <f>CS_PID!T358/VLOOKUP($B358,표2[#ALL],2)/HLOOKUP($A358,표1[#ALL],row(),false)</f>
        <v>#N/A</v>
      </c>
      <c r="U358" s="372" t="str">
        <f>CS_PID!U358/VLOOKUP($B358,표2[#ALL],2)/HLOOKUP($A358,표1[#ALL],row(),false)</f>
        <v>#N/A</v>
      </c>
      <c r="V358" s="372" t="str">
        <f>CS_PID!V358/VLOOKUP($B358,표2[#ALL],2)/HLOOKUP($A358,표1[#ALL],row(),false)</f>
        <v>#N/A</v>
      </c>
      <c r="W358" s="372" t="str">
        <f>CS_PID!W358/VLOOKUP($B358,표2[#ALL],2)/HLOOKUP($A358,표1[#ALL],row(),false)</f>
        <v>#N/A</v>
      </c>
      <c r="X358" s="372" t="str">
        <f>CS_PID!X358/VLOOKUP($B358,표2[#ALL],2)/HLOOKUP($A358,표1[#ALL],row(),false)</f>
        <v>#N/A</v>
      </c>
      <c r="Y358" s="372" t="str">
        <f>CS_PID!Y358/VLOOKUP($B358,표2[#ALL],2)/HLOOKUP($A358,표1[#ALL],row(),false)</f>
        <v>#N/A</v>
      </c>
      <c r="Z358" s="372" t="str">
        <f>CS_PID!Z358/VLOOKUP($B358,표2[#ALL],2)/HLOOKUP($A358,표1[#ALL],row(),false)</f>
        <v>#N/A</v>
      </c>
      <c r="AA358" s="372" t="str">
        <f>CS_PID!AA358/VLOOKUP($B358,표2[#ALL],2)/HLOOKUP($A358,표1[#ALL],row(),false)</f>
        <v>#N/A</v>
      </c>
      <c r="AB358" s="372" t="str">
        <f>CS_PID!AB358/VLOOKUP($B358,표2[#ALL],2)/HLOOKUP($A358,표1[#ALL],row(),false)</f>
        <v>#N/A</v>
      </c>
      <c r="AC358" s="372" t="str">
        <f>CS_PID!AC358/VLOOKUP($B358,표2[#ALL],2)/HLOOKUP($A358,표1[#ALL],row(),false)</f>
        <v>#N/A</v>
      </c>
      <c r="AD358" s="372" t="str">
        <f>CS_PID!AD358/VLOOKUP($B358,표2[#ALL],2)/HLOOKUP($A358,표1[#ALL],row(),false)</f>
        <v>#N/A</v>
      </c>
      <c r="AE358" s="372" t="str">
        <f>CS_PID!AE358/VLOOKUP($B358,표2[#ALL],2)/HLOOKUP($A358,표1[#ALL],row(),false)</f>
        <v>#N/A</v>
      </c>
      <c r="AF358" s="372" t="str">
        <f>CS_PID!AF358/VLOOKUP($B358,표2[#ALL],2)/HLOOKUP($A358,표1[#ALL],row(),false)</f>
        <v>#N/A</v>
      </c>
      <c r="AG358" s="372" t="str">
        <f>CS_PID!AG358/VLOOKUP($B358,표2[#ALL],2)/HLOOKUP($A358,표1[#ALL],row(),false)</f>
        <v>#N/A</v>
      </c>
      <c r="AH358" s="372" t="str">
        <f>CS_PID!AH358/VLOOKUP($B358,표2[#ALL],2)/HLOOKUP($A358,표1[#ALL],row(),false)</f>
        <v>#N/A</v>
      </c>
      <c r="AI358" s="372" t="str">
        <f>CS_PID!AI358/VLOOKUP($B358,표2[#ALL],2)/HLOOKUP($A358,표1[#ALL],row(),false)</f>
        <v>#N/A</v>
      </c>
      <c r="AJ358" s="372" t="str">
        <f>CS_PID!AJ358/VLOOKUP($B358,표2[#ALL],2)/HLOOKUP($A358,표1[#ALL],row(),false)</f>
        <v>#N/A</v>
      </c>
      <c r="AK358" s="372" t="str">
        <f>CS_PID!AK358/VLOOKUP($B358,표2[#ALL],2)/HLOOKUP($A358,표1[#ALL],row(),false)</f>
        <v>#N/A</v>
      </c>
      <c r="AL358" s="372" t="str">
        <f>CS_PID!AL358/VLOOKUP($B358,표2[#ALL],2)/HLOOKUP($A358,표1[#ALL],row(),false)</f>
        <v>#N/A</v>
      </c>
      <c r="AM358" s="372" t="str">
        <f>CS_PID!AM358/VLOOKUP($B358,표2[#ALL],2)/HLOOKUP($A358,표1[#ALL],row(),false)</f>
        <v>#N/A</v>
      </c>
      <c r="AN358" s="372" t="str">
        <f>CS_PID!AN358/VLOOKUP($B358,표2[#ALL],2)/HLOOKUP($A358,표1[#ALL],row(),false)</f>
        <v>#N/A</v>
      </c>
      <c r="AO358" s="372" t="str">
        <f>CS_PID!AO358/VLOOKUP($B358,표2[#ALL],2)/HLOOKUP($A358,표1[#ALL],row(),false)</f>
        <v>#N/A</v>
      </c>
      <c r="AP358" s="372" t="str">
        <f>CS_PID!AP358/VLOOKUP($B358,표2[#ALL],2)/HLOOKUP($A358,표1[#ALL],row(),false)</f>
        <v>#N/A</v>
      </c>
      <c r="AQ358" s="372" t="str">
        <f>CS_PID!AQ358/VLOOKUP($B358,표2[#ALL],2)/HLOOKUP($A358,표1[#ALL],row(),false)</f>
        <v>#N/A</v>
      </c>
      <c r="AR358" s="372" t="str">
        <f>CS_PID!AR358/VLOOKUP($B358,표2[#ALL],2)/HLOOKUP($A358,표1[#ALL],row(),false)</f>
        <v>#N/A</v>
      </c>
      <c r="AS358" s="373" t="str">
        <f>CS_PID!AS358/VLOOKUP($B358,표2[#ALL],2)/HLOOKUP($A358,표1[#ALL],row(),false)</f>
        <v>#N/A</v>
      </c>
    </row>
    <row r="359">
      <c r="A359" s="374"/>
      <c r="B359" s="375"/>
      <c r="C359" s="376" t="str">
        <f>CS_PID!C359/VLOOKUP($B359,표2[#ALL],2)</f>
        <v>#N/A</v>
      </c>
      <c r="D359" s="376" t="str">
        <f>CS_PID!D359/VLOOKUP($B359,표2[#ALL],2)</f>
        <v>#N/A</v>
      </c>
      <c r="E359" s="376" t="str">
        <f>CS_PID!E359/VLOOKUP($B359,표2[#ALL],2)</f>
        <v>#N/A</v>
      </c>
      <c r="F359" s="376" t="str">
        <f>CS_PID!F359/VLOOKUP($B359,표2[#ALL],2)</f>
        <v>#N/A</v>
      </c>
      <c r="G359" s="376" t="str">
        <f>CS_PID!G359/VLOOKUP($B359,표2[#ALL],2)</f>
        <v>#N/A</v>
      </c>
      <c r="H359" s="376" t="str">
        <f>CS_PID!H359/VLOOKUP($B359,표2[#ALL],2)/HLOOKUP($A359,표1[#ALL],row(),false)</f>
        <v>#N/A</v>
      </c>
      <c r="I359" s="376" t="str">
        <f>CS_PID!I359/VLOOKUP($B359,표2[#ALL],2)/HLOOKUP($A359,표1[#ALL],row(),false)</f>
        <v>#N/A</v>
      </c>
      <c r="J359" s="376" t="str">
        <f>CS_PID!J359/VLOOKUP($B359,표2[#ALL],2)/HLOOKUP($A359,표1[#ALL],row(),false)</f>
        <v>#N/A</v>
      </c>
      <c r="K359" s="376" t="str">
        <f>CS_PID!K359/VLOOKUP($B359,표2[#ALL],2)/HLOOKUP($A359,표1[#ALL],row(),false)</f>
        <v>#N/A</v>
      </c>
      <c r="L359" s="376" t="str">
        <f>CS_PID!L359/VLOOKUP($B359,표2[#ALL],2)/HLOOKUP($A359,표1[#ALL],row(),false)</f>
        <v>#N/A</v>
      </c>
      <c r="M359" s="376" t="str">
        <f>CS_PID!M359/VLOOKUP($B359,표2[#ALL],2)/HLOOKUP($A359,표1[#ALL],row(),false)</f>
        <v>#N/A</v>
      </c>
      <c r="N359" s="376" t="str">
        <f>CS_PID!N359/VLOOKUP($B359,표2[#ALL],2)/HLOOKUP($A359,표1[#ALL],row(),false)</f>
        <v>#N/A</v>
      </c>
      <c r="O359" s="376" t="str">
        <f>CS_PID!O359/VLOOKUP($B359,표2[#ALL],2)/HLOOKUP($A359,표1[#ALL],row(),false)</f>
        <v>#N/A</v>
      </c>
      <c r="P359" s="376" t="str">
        <f>CS_PID!P359/VLOOKUP($B359,표2[#ALL],2)/HLOOKUP($A359,표1[#ALL],row(),false)</f>
        <v>#N/A</v>
      </c>
      <c r="Q359" s="376" t="str">
        <f>CS_PID!Q359/VLOOKUP($B359,표2[#ALL],2)/HLOOKUP($A359,표1[#ALL],row(),false)</f>
        <v>#N/A</v>
      </c>
      <c r="R359" s="376" t="str">
        <f>CS_PID!R359/VLOOKUP($B359,표2[#ALL],2)/HLOOKUP($A359,표1[#ALL],row(),false)</f>
        <v>#N/A</v>
      </c>
      <c r="S359" s="376" t="str">
        <f>CS_PID!S359/VLOOKUP($B359,표2[#ALL],2)/HLOOKUP($A359,표1[#ALL],row(),false)</f>
        <v>#N/A</v>
      </c>
      <c r="T359" s="376" t="str">
        <f>CS_PID!T359/VLOOKUP($B359,표2[#ALL],2)/HLOOKUP($A359,표1[#ALL],row(),false)</f>
        <v>#N/A</v>
      </c>
      <c r="U359" s="376" t="str">
        <f>CS_PID!U359/VLOOKUP($B359,표2[#ALL],2)/HLOOKUP($A359,표1[#ALL],row(),false)</f>
        <v>#N/A</v>
      </c>
      <c r="V359" s="376" t="str">
        <f>CS_PID!V359/VLOOKUP($B359,표2[#ALL],2)/HLOOKUP($A359,표1[#ALL],row(),false)</f>
        <v>#N/A</v>
      </c>
      <c r="W359" s="376" t="str">
        <f>CS_PID!W359/VLOOKUP($B359,표2[#ALL],2)/HLOOKUP($A359,표1[#ALL],row(),false)</f>
        <v>#N/A</v>
      </c>
      <c r="X359" s="376" t="str">
        <f>CS_PID!X359/VLOOKUP($B359,표2[#ALL],2)/HLOOKUP($A359,표1[#ALL],row(),false)</f>
        <v>#N/A</v>
      </c>
      <c r="Y359" s="376" t="str">
        <f>CS_PID!Y359/VLOOKUP($B359,표2[#ALL],2)/HLOOKUP($A359,표1[#ALL],row(),false)</f>
        <v>#N/A</v>
      </c>
      <c r="Z359" s="376" t="str">
        <f>CS_PID!Z359/VLOOKUP($B359,표2[#ALL],2)/HLOOKUP($A359,표1[#ALL],row(),false)</f>
        <v>#N/A</v>
      </c>
      <c r="AA359" s="376" t="str">
        <f>CS_PID!AA359/VLOOKUP($B359,표2[#ALL],2)/HLOOKUP($A359,표1[#ALL],row(),false)</f>
        <v>#N/A</v>
      </c>
      <c r="AB359" s="376" t="str">
        <f>CS_PID!AB359/VLOOKUP($B359,표2[#ALL],2)/HLOOKUP($A359,표1[#ALL],row(),false)</f>
        <v>#N/A</v>
      </c>
      <c r="AC359" s="376" t="str">
        <f>CS_PID!AC359/VLOOKUP($B359,표2[#ALL],2)/HLOOKUP($A359,표1[#ALL],row(),false)</f>
        <v>#N/A</v>
      </c>
      <c r="AD359" s="376" t="str">
        <f>CS_PID!AD359/VLOOKUP($B359,표2[#ALL],2)/HLOOKUP($A359,표1[#ALL],row(),false)</f>
        <v>#N/A</v>
      </c>
      <c r="AE359" s="376" t="str">
        <f>CS_PID!AE359/VLOOKUP($B359,표2[#ALL],2)/HLOOKUP($A359,표1[#ALL],row(),false)</f>
        <v>#N/A</v>
      </c>
      <c r="AF359" s="376" t="str">
        <f>CS_PID!AF359/VLOOKUP($B359,표2[#ALL],2)/HLOOKUP($A359,표1[#ALL],row(),false)</f>
        <v>#N/A</v>
      </c>
      <c r="AG359" s="376" t="str">
        <f>CS_PID!AG359/VLOOKUP($B359,표2[#ALL],2)/HLOOKUP($A359,표1[#ALL],row(),false)</f>
        <v>#N/A</v>
      </c>
      <c r="AH359" s="376" t="str">
        <f>CS_PID!AH359/VLOOKUP($B359,표2[#ALL],2)/HLOOKUP($A359,표1[#ALL],row(),false)</f>
        <v>#N/A</v>
      </c>
      <c r="AI359" s="376" t="str">
        <f>CS_PID!AI359/VLOOKUP($B359,표2[#ALL],2)/HLOOKUP($A359,표1[#ALL],row(),false)</f>
        <v>#N/A</v>
      </c>
      <c r="AJ359" s="376" t="str">
        <f>CS_PID!AJ359/VLOOKUP($B359,표2[#ALL],2)/HLOOKUP($A359,표1[#ALL],row(),false)</f>
        <v>#N/A</v>
      </c>
      <c r="AK359" s="376" t="str">
        <f>CS_PID!AK359/VLOOKUP($B359,표2[#ALL],2)/HLOOKUP($A359,표1[#ALL],row(),false)</f>
        <v>#N/A</v>
      </c>
      <c r="AL359" s="376" t="str">
        <f>CS_PID!AL359/VLOOKUP($B359,표2[#ALL],2)/HLOOKUP($A359,표1[#ALL],row(),false)</f>
        <v>#N/A</v>
      </c>
      <c r="AM359" s="376" t="str">
        <f>CS_PID!AM359/VLOOKUP($B359,표2[#ALL],2)/HLOOKUP($A359,표1[#ALL],row(),false)</f>
        <v>#N/A</v>
      </c>
      <c r="AN359" s="376" t="str">
        <f>CS_PID!AN359/VLOOKUP($B359,표2[#ALL],2)/HLOOKUP($A359,표1[#ALL],row(),false)</f>
        <v>#N/A</v>
      </c>
      <c r="AO359" s="376" t="str">
        <f>CS_PID!AO359/VLOOKUP($B359,표2[#ALL],2)/HLOOKUP($A359,표1[#ALL],row(),false)</f>
        <v>#N/A</v>
      </c>
      <c r="AP359" s="376" t="str">
        <f>CS_PID!AP359/VLOOKUP($B359,표2[#ALL],2)/HLOOKUP($A359,표1[#ALL],row(),false)</f>
        <v>#N/A</v>
      </c>
      <c r="AQ359" s="376" t="str">
        <f>CS_PID!AQ359/VLOOKUP($B359,표2[#ALL],2)/HLOOKUP($A359,표1[#ALL],row(),false)</f>
        <v>#N/A</v>
      </c>
      <c r="AR359" s="376" t="str">
        <f>CS_PID!AR359/VLOOKUP($B359,표2[#ALL],2)/HLOOKUP($A359,표1[#ALL],row(),false)</f>
        <v>#N/A</v>
      </c>
      <c r="AS359" s="377" t="str">
        <f>CS_PID!AS359/VLOOKUP($B359,표2[#ALL],2)/HLOOKUP($A359,표1[#ALL],row(),false)</f>
        <v>#N/A</v>
      </c>
    </row>
    <row r="360">
      <c r="A360" s="370"/>
      <c r="B360" s="371"/>
      <c r="C360" s="372" t="str">
        <f>CS_PID!C360/VLOOKUP($B360,표2[#ALL],2)</f>
        <v>#N/A</v>
      </c>
      <c r="D360" s="372" t="str">
        <f>CS_PID!D360/VLOOKUP($B360,표2[#ALL],2)</f>
        <v>#N/A</v>
      </c>
      <c r="E360" s="372" t="str">
        <f>CS_PID!E360/VLOOKUP($B360,표2[#ALL],2)</f>
        <v>#N/A</v>
      </c>
      <c r="F360" s="372" t="str">
        <f>CS_PID!F360/VLOOKUP($B360,표2[#ALL],2)</f>
        <v>#N/A</v>
      </c>
      <c r="G360" s="372" t="str">
        <f>CS_PID!G360/VLOOKUP($B360,표2[#ALL],2)</f>
        <v>#N/A</v>
      </c>
      <c r="H360" s="372" t="str">
        <f>CS_PID!H360/VLOOKUP($B360,표2[#ALL],2)/HLOOKUP($A360,표1[#ALL],row(),false)</f>
        <v>#N/A</v>
      </c>
      <c r="I360" s="372" t="str">
        <f>CS_PID!I360/VLOOKUP($B360,표2[#ALL],2)/HLOOKUP($A360,표1[#ALL],row(),false)</f>
        <v>#N/A</v>
      </c>
      <c r="J360" s="372" t="str">
        <f>CS_PID!J360/VLOOKUP($B360,표2[#ALL],2)/HLOOKUP($A360,표1[#ALL],row(),false)</f>
        <v>#N/A</v>
      </c>
      <c r="K360" s="372" t="str">
        <f>CS_PID!K360/VLOOKUP($B360,표2[#ALL],2)/HLOOKUP($A360,표1[#ALL],row(),false)</f>
        <v>#N/A</v>
      </c>
      <c r="L360" s="372" t="str">
        <f>CS_PID!L360/VLOOKUP($B360,표2[#ALL],2)/HLOOKUP($A360,표1[#ALL],row(),false)</f>
        <v>#N/A</v>
      </c>
      <c r="M360" s="372" t="str">
        <f>CS_PID!M360/VLOOKUP($B360,표2[#ALL],2)/HLOOKUP($A360,표1[#ALL],row(),false)</f>
        <v>#N/A</v>
      </c>
      <c r="N360" s="372" t="str">
        <f>CS_PID!N360/VLOOKUP($B360,표2[#ALL],2)/HLOOKUP($A360,표1[#ALL],row(),false)</f>
        <v>#N/A</v>
      </c>
      <c r="O360" s="372" t="str">
        <f>CS_PID!O360/VLOOKUP($B360,표2[#ALL],2)/HLOOKUP($A360,표1[#ALL],row(),false)</f>
        <v>#N/A</v>
      </c>
      <c r="P360" s="372" t="str">
        <f>CS_PID!P360/VLOOKUP($B360,표2[#ALL],2)/HLOOKUP($A360,표1[#ALL],row(),false)</f>
        <v>#N/A</v>
      </c>
      <c r="Q360" s="372" t="str">
        <f>CS_PID!Q360/VLOOKUP($B360,표2[#ALL],2)/HLOOKUP($A360,표1[#ALL],row(),false)</f>
        <v>#N/A</v>
      </c>
      <c r="R360" s="372" t="str">
        <f>CS_PID!R360/VLOOKUP($B360,표2[#ALL],2)/HLOOKUP($A360,표1[#ALL],row(),false)</f>
        <v>#N/A</v>
      </c>
      <c r="S360" s="372" t="str">
        <f>CS_PID!S360/VLOOKUP($B360,표2[#ALL],2)/HLOOKUP($A360,표1[#ALL],row(),false)</f>
        <v>#N/A</v>
      </c>
      <c r="T360" s="372" t="str">
        <f>CS_PID!T360/VLOOKUP($B360,표2[#ALL],2)/HLOOKUP($A360,표1[#ALL],row(),false)</f>
        <v>#N/A</v>
      </c>
      <c r="U360" s="372" t="str">
        <f>CS_PID!U360/VLOOKUP($B360,표2[#ALL],2)/HLOOKUP($A360,표1[#ALL],row(),false)</f>
        <v>#N/A</v>
      </c>
      <c r="V360" s="372" t="str">
        <f>CS_PID!V360/VLOOKUP($B360,표2[#ALL],2)/HLOOKUP($A360,표1[#ALL],row(),false)</f>
        <v>#N/A</v>
      </c>
      <c r="W360" s="372" t="str">
        <f>CS_PID!W360/VLOOKUP($B360,표2[#ALL],2)/HLOOKUP($A360,표1[#ALL],row(),false)</f>
        <v>#N/A</v>
      </c>
      <c r="X360" s="372" t="str">
        <f>CS_PID!X360/VLOOKUP($B360,표2[#ALL],2)/HLOOKUP($A360,표1[#ALL],row(),false)</f>
        <v>#N/A</v>
      </c>
      <c r="Y360" s="372" t="str">
        <f>CS_PID!Y360/VLOOKUP($B360,표2[#ALL],2)/HLOOKUP($A360,표1[#ALL],row(),false)</f>
        <v>#N/A</v>
      </c>
      <c r="Z360" s="372" t="str">
        <f>CS_PID!Z360/VLOOKUP($B360,표2[#ALL],2)/HLOOKUP($A360,표1[#ALL],row(),false)</f>
        <v>#N/A</v>
      </c>
      <c r="AA360" s="372" t="str">
        <f>CS_PID!AA360/VLOOKUP($B360,표2[#ALL],2)/HLOOKUP($A360,표1[#ALL],row(),false)</f>
        <v>#N/A</v>
      </c>
      <c r="AB360" s="372" t="str">
        <f>CS_PID!AB360/VLOOKUP($B360,표2[#ALL],2)/HLOOKUP($A360,표1[#ALL],row(),false)</f>
        <v>#N/A</v>
      </c>
      <c r="AC360" s="372" t="str">
        <f>CS_PID!AC360/VLOOKUP($B360,표2[#ALL],2)/HLOOKUP($A360,표1[#ALL],row(),false)</f>
        <v>#N/A</v>
      </c>
      <c r="AD360" s="372" t="str">
        <f>CS_PID!AD360/VLOOKUP($B360,표2[#ALL],2)/HLOOKUP($A360,표1[#ALL],row(),false)</f>
        <v>#N/A</v>
      </c>
      <c r="AE360" s="372" t="str">
        <f>CS_PID!AE360/VLOOKUP($B360,표2[#ALL],2)/HLOOKUP($A360,표1[#ALL],row(),false)</f>
        <v>#N/A</v>
      </c>
      <c r="AF360" s="372" t="str">
        <f>CS_PID!AF360/VLOOKUP($B360,표2[#ALL],2)/HLOOKUP($A360,표1[#ALL],row(),false)</f>
        <v>#N/A</v>
      </c>
      <c r="AG360" s="372" t="str">
        <f>CS_PID!AG360/VLOOKUP($B360,표2[#ALL],2)/HLOOKUP($A360,표1[#ALL],row(),false)</f>
        <v>#N/A</v>
      </c>
      <c r="AH360" s="372" t="str">
        <f>CS_PID!AH360/VLOOKUP($B360,표2[#ALL],2)/HLOOKUP($A360,표1[#ALL],row(),false)</f>
        <v>#N/A</v>
      </c>
      <c r="AI360" s="372" t="str">
        <f>CS_PID!AI360/VLOOKUP($B360,표2[#ALL],2)/HLOOKUP($A360,표1[#ALL],row(),false)</f>
        <v>#N/A</v>
      </c>
      <c r="AJ360" s="372" t="str">
        <f>CS_PID!AJ360/VLOOKUP($B360,표2[#ALL],2)/HLOOKUP($A360,표1[#ALL],row(),false)</f>
        <v>#N/A</v>
      </c>
      <c r="AK360" s="372" t="str">
        <f>CS_PID!AK360/VLOOKUP($B360,표2[#ALL],2)/HLOOKUP($A360,표1[#ALL],row(),false)</f>
        <v>#N/A</v>
      </c>
      <c r="AL360" s="372" t="str">
        <f>CS_PID!AL360/VLOOKUP($B360,표2[#ALL],2)/HLOOKUP($A360,표1[#ALL],row(),false)</f>
        <v>#N/A</v>
      </c>
      <c r="AM360" s="372" t="str">
        <f>CS_PID!AM360/VLOOKUP($B360,표2[#ALL],2)/HLOOKUP($A360,표1[#ALL],row(),false)</f>
        <v>#N/A</v>
      </c>
      <c r="AN360" s="372" t="str">
        <f>CS_PID!AN360/VLOOKUP($B360,표2[#ALL],2)/HLOOKUP($A360,표1[#ALL],row(),false)</f>
        <v>#N/A</v>
      </c>
      <c r="AO360" s="372" t="str">
        <f>CS_PID!AO360/VLOOKUP($B360,표2[#ALL],2)/HLOOKUP($A360,표1[#ALL],row(),false)</f>
        <v>#N/A</v>
      </c>
      <c r="AP360" s="372" t="str">
        <f>CS_PID!AP360/VLOOKUP($B360,표2[#ALL],2)/HLOOKUP($A360,표1[#ALL],row(),false)</f>
        <v>#N/A</v>
      </c>
      <c r="AQ360" s="372" t="str">
        <f>CS_PID!AQ360/VLOOKUP($B360,표2[#ALL],2)/HLOOKUP($A360,표1[#ALL],row(),false)</f>
        <v>#N/A</v>
      </c>
      <c r="AR360" s="372" t="str">
        <f>CS_PID!AR360/VLOOKUP($B360,표2[#ALL],2)/HLOOKUP($A360,표1[#ALL],row(),false)</f>
        <v>#N/A</v>
      </c>
      <c r="AS360" s="373" t="str">
        <f>CS_PID!AS360/VLOOKUP($B360,표2[#ALL],2)/HLOOKUP($A360,표1[#ALL],row(),false)</f>
        <v>#N/A</v>
      </c>
    </row>
    <row r="361">
      <c r="A361" s="374"/>
      <c r="B361" s="375"/>
      <c r="C361" s="376" t="str">
        <f>CS_PID!C361/VLOOKUP($B361,표2[#ALL],2)</f>
        <v>#N/A</v>
      </c>
      <c r="D361" s="376" t="str">
        <f>CS_PID!D361/VLOOKUP($B361,표2[#ALL],2)</f>
        <v>#N/A</v>
      </c>
      <c r="E361" s="376" t="str">
        <f>CS_PID!E361/VLOOKUP($B361,표2[#ALL],2)</f>
        <v>#N/A</v>
      </c>
      <c r="F361" s="376" t="str">
        <f>CS_PID!F361/VLOOKUP($B361,표2[#ALL],2)</f>
        <v>#N/A</v>
      </c>
      <c r="G361" s="376" t="str">
        <f>CS_PID!G361/VLOOKUP($B361,표2[#ALL],2)</f>
        <v>#N/A</v>
      </c>
      <c r="H361" s="376" t="str">
        <f>CS_PID!H361/VLOOKUP($B361,표2[#ALL],2)/HLOOKUP($A361,표1[#ALL],row(),false)</f>
        <v>#N/A</v>
      </c>
      <c r="I361" s="376" t="str">
        <f>CS_PID!I361/VLOOKUP($B361,표2[#ALL],2)/HLOOKUP($A361,표1[#ALL],row(),false)</f>
        <v>#N/A</v>
      </c>
      <c r="J361" s="376" t="str">
        <f>CS_PID!J361/VLOOKUP($B361,표2[#ALL],2)/HLOOKUP($A361,표1[#ALL],row(),false)</f>
        <v>#N/A</v>
      </c>
      <c r="K361" s="376" t="str">
        <f>CS_PID!K361/VLOOKUP($B361,표2[#ALL],2)/HLOOKUP($A361,표1[#ALL],row(),false)</f>
        <v>#N/A</v>
      </c>
      <c r="L361" s="376" t="str">
        <f>CS_PID!L361/VLOOKUP($B361,표2[#ALL],2)/HLOOKUP($A361,표1[#ALL],row(),false)</f>
        <v>#N/A</v>
      </c>
      <c r="M361" s="376" t="str">
        <f>CS_PID!M361/VLOOKUP($B361,표2[#ALL],2)/HLOOKUP($A361,표1[#ALL],row(),false)</f>
        <v>#N/A</v>
      </c>
      <c r="N361" s="376" t="str">
        <f>CS_PID!N361/VLOOKUP($B361,표2[#ALL],2)/HLOOKUP($A361,표1[#ALL],row(),false)</f>
        <v>#N/A</v>
      </c>
      <c r="O361" s="376" t="str">
        <f>CS_PID!O361/VLOOKUP($B361,표2[#ALL],2)/HLOOKUP($A361,표1[#ALL],row(),false)</f>
        <v>#N/A</v>
      </c>
      <c r="P361" s="376" t="str">
        <f>CS_PID!P361/VLOOKUP($B361,표2[#ALL],2)/HLOOKUP($A361,표1[#ALL],row(),false)</f>
        <v>#N/A</v>
      </c>
      <c r="Q361" s="376" t="str">
        <f>CS_PID!Q361/VLOOKUP($B361,표2[#ALL],2)/HLOOKUP($A361,표1[#ALL],row(),false)</f>
        <v>#N/A</v>
      </c>
      <c r="R361" s="376" t="str">
        <f>CS_PID!R361/VLOOKUP($B361,표2[#ALL],2)/HLOOKUP($A361,표1[#ALL],row(),false)</f>
        <v>#N/A</v>
      </c>
      <c r="S361" s="376" t="str">
        <f>CS_PID!S361/VLOOKUP($B361,표2[#ALL],2)/HLOOKUP($A361,표1[#ALL],row(),false)</f>
        <v>#N/A</v>
      </c>
      <c r="T361" s="376" t="str">
        <f>CS_PID!T361/VLOOKUP($B361,표2[#ALL],2)/HLOOKUP($A361,표1[#ALL],row(),false)</f>
        <v>#N/A</v>
      </c>
      <c r="U361" s="376" t="str">
        <f>CS_PID!U361/VLOOKUP($B361,표2[#ALL],2)/HLOOKUP($A361,표1[#ALL],row(),false)</f>
        <v>#N/A</v>
      </c>
      <c r="V361" s="376" t="str">
        <f>CS_PID!V361/VLOOKUP($B361,표2[#ALL],2)/HLOOKUP($A361,표1[#ALL],row(),false)</f>
        <v>#N/A</v>
      </c>
      <c r="W361" s="376" t="str">
        <f>CS_PID!W361/VLOOKUP($B361,표2[#ALL],2)/HLOOKUP($A361,표1[#ALL],row(),false)</f>
        <v>#N/A</v>
      </c>
      <c r="X361" s="376" t="str">
        <f>CS_PID!X361/VLOOKUP($B361,표2[#ALL],2)/HLOOKUP($A361,표1[#ALL],row(),false)</f>
        <v>#N/A</v>
      </c>
      <c r="Y361" s="376" t="str">
        <f>CS_PID!Y361/VLOOKUP($B361,표2[#ALL],2)/HLOOKUP($A361,표1[#ALL],row(),false)</f>
        <v>#N/A</v>
      </c>
      <c r="Z361" s="376" t="str">
        <f>CS_PID!Z361/VLOOKUP($B361,표2[#ALL],2)/HLOOKUP($A361,표1[#ALL],row(),false)</f>
        <v>#N/A</v>
      </c>
      <c r="AA361" s="376" t="str">
        <f>CS_PID!AA361/VLOOKUP($B361,표2[#ALL],2)/HLOOKUP($A361,표1[#ALL],row(),false)</f>
        <v>#N/A</v>
      </c>
      <c r="AB361" s="376" t="str">
        <f>CS_PID!AB361/VLOOKUP($B361,표2[#ALL],2)/HLOOKUP($A361,표1[#ALL],row(),false)</f>
        <v>#N/A</v>
      </c>
      <c r="AC361" s="376" t="str">
        <f>CS_PID!AC361/VLOOKUP($B361,표2[#ALL],2)/HLOOKUP($A361,표1[#ALL],row(),false)</f>
        <v>#N/A</v>
      </c>
      <c r="AD361" s="376" t="str">
        <f>CS_PID!AD361/VLOOKUP($B361,표2[#ALL],2)/HLOOKUP($A361,표1[#ALL],row(),false)</f>
        <v>#N/A</v>
      </c>
      <c r="AE361" s="376" t="str">
        <f>CS_PID!AE361/VLOOKUP($B361,표2[#ALL],2)/HLOOKUP($A361,표1[#ALL],row(),false)</f>
        <v>#N/A</v>
      </c>
      <c r="AF361" s="376" t="str">
        <f>CS_PID!AF361/VLOOKUP($B361,표2[#ALL],2)/HLOOKUP($A361,표1[#ALL],row(),false)</f>
        <v>#N/A</v>
      </c>
      <c r="AG361" s="376" t="str">
        <f>CS_PID!AG361/VLOOKUP($B361,표2[#ALL],2)/HLOOKUP($A361,표1[#ALL],row(),false)</f>
        <v>#N/A</v>
      </c>
      <c r="AH361" s="376" t="str">
        <f>CS_PID!AH361/VLOOKUP($B361,표2[#ALL],2)/HLOOKUP($A361,표1[#ALL],row(),false)</f>
        <v>#N/A</v>
      </c>
      <c r="AI361" s="376" t="str">
        <f>CS_PID!AI361/VLOOKUP($B361,표2[#ALL],2)/HLOOKUP($A361,표1[#ALL],row(),false)</f>
        <v>#N/A</v>
      </c>
      <c r="AJ361" s="376" t="str">
        <f>CS_PID!AJ361/VLOOKUP($B361,표2[#ALL],2)/HLOOKUP($A361,표1[#ALL],row(),false)</f>
        <v>#N/A</v>
      </c>
      <c r="AK361" s="376" t="str">
        <f>CS_PID!AK361/VLOOKUP($B361,표2[#ALL],2)/HLOOKUP($A361,표1[#ALL],row(),false)</f>
        <v>#N/A</v>
      </c>
      <c r="AL361" s="376" t="str">
        <f>CS_PID!AL361/VLOOKUP($B361,표2[#ALL],2)/HLOOKUP($A361,표1[#ALL],row(),false)</f>
        <v>#N/A</v>
      </c>
      <c r="AM361" s="376" t="str">
        <f>CS_PID!AM361/VLOOKUP($B361,표2[#ALL],2)/HLOOKUP($A361,표1[#ALL],row(),false)</f>
        <v>#N/A</v>
      </c>
      <c r="AN361" s="376" t="str">
        <f>CS_PID!AN361/VLOOKUP($B361,표2[#ALL],2)/HLOOKUP($A361,표1[#ALL],row(),false)</f>
        <v>#N/A</v>
      </c>
      <c r="AO361" s="376" t="str">
        <f>CS_PID!AO361/VLOOKUP($B361,표2[#ALL],2)/HLOOKUP($A361,표1[#ALL],row(),false)</f>
        <v>#N/A</v>
      </c>
      <c r="AP361" s="376" t="str">
        <f>CS_PID!AP361/VLOOKUP($B361,표2[#ALL],2)/HLOOKUP($A361,표1[#ALL],row(),false)</f>
        <v>#N/A</v>
      </c>
      <c r="AQ361" s="376" t="str">
        <f>CS_PID!AQ361/VLOOKUP($B361,표2[#ALL],2)/HLOOKUP($A361,표1[#ALL],row(),false)</f>
        <v>#N/A</v>
      </c>
      <c r="AR361" s="376" t="str">
        <f>CS_PID!AR361/VLOOKUP($B361,표2[#ALL],2)/HLOOKUP($A361,표1[#ALL],row(),false)</f>
        <v>#N/A</v>
      </c>
      <c r="AS361" s="377" t="str">
        <f>CS_PID!AS361/VLOOKUP($B361,표2[#ALL],2)/HLOOKUP($A361,표1[#ALL],row(),false)</f>
        <v>#N/A</v>
      </c>
    </row>
    <row r="362">
      <c r="A362" s="370"/>
      <c r="B362" s="371"/>
      <c r="C362" s="372" t="str">
        <f>CS_PID!C362/VLOOKUP($B362,표2[#ALL],2)</f>
        <v>#N/A</v>
      </c>
      <c r="D362" s="372" t="str">
        <f>CS_PID!D362/VLOOKUP($B362,표2[#ALL],2)</f>
        <v>#N/A</v>
      </c>
      <c r="E362" s="372" t="str">
        <f>CS_PID!E362/VLOOKUP($B362,표2[#ALL],2)</f>
        <v>#N/A</v>
      </c>
      <c r="F362" s="372" t="str">
        <f>CS_PID!F362/VLOOKUP($B362,표2[#ALL],2)</f>
        <v>#N/A</v>
      </c>
      <c r="G362" s="372" t="str">
        <f>CS_PID!G362/VLOOKUP($B362,표2[#ALL],2)</f>
        <v>#N/A</v>
      </c>
      <c r="H362" s="372" t="str">
        <f>CS_PID!H362/VLOOKUP($B362,표2[#ALL],2)/HLOOKUP($A362,표1[#ALL],row(),false)</f>
        <v>#N/A</v>
      </c>
      <c r="I362" s="372" t="str">
        <f>CS_PID!I362/VLOOKUP($B362,표2[#ALL],2)/HLOOKUP($A362,표1[#ALL],row(),false)</f>
        <v>#N/A</v>
      </c>
      <c r="J362" s="372" t="str">
        <f>CS_PID!J362/VLOOKUP($B362,표2[#ALL],2)/HLOOKUP($A362,표1[#ALL],row(),false)</f>
        <v>#N/A</v>
      </c>
      <c r="K362" s="372" t="str">
        <f>CS_PID!K362/VLOOKUP($B362,표2[#ALL],2)/HLOOKUP($A362,표1[#ALL],row(),false)</f>
        <v>#N/A</v>
      </c>
      <c r="L362" s="372" t="str">
        <f>CS_PID!L362/VLOOKUP($B362,표2[#ALL],2)/HLOOKUP($A362,표1[#ALL],row(),false)</f>
        <v>#N/A</v>
      </c>
      <c r="M362" s="372" t="str">
        <f>CS_PID!M362/VLOOKUP($B362,표2[#ALL],2)/HLOOKUP($A362,표1[#ALL],row(),false)</f>
        <v>#N/A</v>
      </c>
      <c r="N362" s="372" t="str">
        <f>CS_PID!N362/VLOOKUP($B362,표2[#ALL],2)/HLOOKUP($A362,표1[#ALL],row(),false)</f>
        <v>#N/A</v>
      </c>
      <c r="O362" s="372" t="str">
        <f>CS_PID!O362/VLOOKUP($B362,표2[#ALL],2)/HLOOKUP($A362,표1[#ALL],row(),false)</f>
        <v>#N/A</v>
      </c>
      <c r="P362" s="372" t="str">
        <f>CS_PID!P362/VLOOKUP($B362,표2[#ALL],2)/HLOOKUP($A362,표1[#ALL],row(),false)</f>
        <v>#N/A</v>
      </c>
      <c r="Q362" s="372" t="str">
        <f>CS_PID!Q362/VLOOKUP($B362,표2[#ALL],2)/HLOOKUP($A362,표1[#ALL],row(),false)</f>
        <v>#N/A</v>
      </c>
      <c r="R362" s="372" t="str">
        <f>CS_PID!R362/VLOOKUP($B362,표2[#ALL],2)/HLOOKUP($A362,표1[#ALL],row(),false)</f>
        <v>#N/A</v>
      </c>
      <c r="S362" s="372" t="str">
        <f>CS_PID!S362/VLOOKUP($B362,표2[#ALL],2)/HLOOKUP($A362,표1[#ALL],row(),false)</f>
        <v>#N/A</v>
      </c>
      <c r="T362" s="372" t="str">
        <f>CS_PID!T362/VLOOKUP($B362,표2[#ALL],2)/HLOOKUP($A362,표1[#ALL],row(),false)</f>
        <v>#N/A</v>
      </c>
      <c r="U362" s="372" t="str">
        <f>CS_PID!U362/VLOOKUP($B362,표2[#ALL],2)/HLOOKUP($A362,표1[#ALL],row(),false)</f>
        <v>#N/A</v>
      </c>
      <c r="V362" s="372" t="str">
        <f>CS_PID!V362/VLOOKUP($B362,표2[#ALL],2)/HLOOKUP($A362,표1[#ALL],row(),false)</f>
        <v>#N/A</v>
      </c>
      <c r="W362" s="372" t="str">
        <f>CS_PID!W362/VLOOKUP($B362,표2[#ALL],2)/HLOOKUP($A362,표1[#ALL],row(),false)</f>
        <v>#N/A</v>
      </c>
      <c r="X362" s="372" t="str">
        <f>CS_PID!X362/VLOOKUP($B362,표2[#ALL],2)/HLOOKUP($A362,표1[#ALL],row(),false)</f>
        <v>#N/A</v>
      </c>
      <c r="Y362" s="372" t="str">
        <f>CS_PID!Y362/VLOOKUP($B362,표2[#ALL],2)/HLOOKUP($A362,표1[#ALL],row(),false)</f>
        <v>#N/A</v>
      </c>
      <c r="Z362" s="372" t="str">
        <f>CS_PID!Z362/VLOOKUP($B362,표2[#ALL],2)/HLOOKUP($A362,표1[#ALL],row(),false)</f>
        <v>#N/A</v>
      </c>
      <c r="AA362" s="372" t="str">
        <f>CS_PID!AA362/VLOOKUP($B362,표2[#ALL],2)/HLOOKUP($A362,표1[#ALL],row(),false)</f>
        <v>#N/A</v>
      </c>
      <c r="AB362" s="372" t="str">
        <f>CS_PID!AB362/VLOOKUP($B362,표2[#ALL],2)/HLOOKUP($A362,표1[#ALL],row(),false)</f>
        <v>#N/A</v>
      </c>
      <c r="AC362" s="372" t="str">
        <f>CS_PID!AC362/VLOOKUP($B362,표2[#ALL],2)/HLOOKUP($A362,표1[#ALL],row(),false)</f>
        <v>#N/A</v>
      </c>
      <c r="AD362" s="372" t="str">
        <f>CS_PID!AD362/VLOOKUP($B362,표2[#ALL],2)/HLOOKUP($A362,표1[#ALL],row(),false)</f>
        <v>#N/A</v>
      </c>
      <c r="AE362" s="372" t="str">
        <f>CS_PID!AE362/VLOOKUP($B362,표2[#ALL],2)/HLOOKUP($A362,표1[#ALL],row(),false)</f>
        <v>#N/A</v>
      </c>
      <c r="AF362" s="372" t="str">
        <f>CS_PID!AF362/VLOOKUP($B362,표2[#ALL],2)/HLOOKUP($A362,표1[#ALL],row(),false)</f>
        <v>#N/A</v>
      </c>
      <c r="AG362" s="372" t="str">
        <f>CS_PID!AG362/VLOOKUP($B362,표2[#ALL],2)/HLOOKUP($A362,표1[#ALL],row(),false)</f>
        <v>#N/A</v>
      </c>
      <c r="AH362" s="372" t="str">
        <f>CS_PID!AH362/VLOOKUP($B362,표2[#ALL],2)/HLOOKUP($A362,표1[#ALL],row(),false)</f>
        <v>#N/A</v>
      </c>
      <c r="AI362" s="372" t="str">
        <f>CS_PID!AI362/VLOOKUP($B362,표2[#ALL],2)/HLOOKUP($A362,표1[#ALL],row(),false)</f>
        <v>#N/A</v>
      </c>
      <c r="AJ362" s="372" t="str">
        <f>CS_PID!AJ362/VLOOKUP($B362,표2[#ALL],2)/HLOOKUP($A362,표1[#ALL],row(),false)</f>
        <v>#N/A</v>
      </c>
      <c r="AK362" s="372" t="str">
        <f>CS_PID!AK362/VLOOKUP($B362,표2[#ALL],2)/HLOOKUP($A362,표1[#ALL],row(),false)</f>
        <v>#N/A</v>
      </c>
      <c r="AL362" s="372" t="str">
        <f>CS_PID!AL362/VLOOKUP($B362,표2[#ALL],2)/HLOOKUP($A362,표1[#ALL],row(),false)</f>
        <v>#N/A</v>
      </c>
      <c r="AM362" s="372" t="str">
        <f>CS_PID!AM362/VLOOKUP($B362,표2[#ALL],2)/HLOOKUP($A362,표1[#ALL],row(),false)</f>
        <v>#N/A</v>
      </c>
      <c r="AN362" s="372" t="str">
        <f>CS_PID!AN362/VLOOKUP($B362,표2[#ALL],2)/HLOOKUP($A362,표1[#ALL],row(),false)</f>
        <v>#N/A</v>
      </c>
      <c r="AO362" s="372" t="str">
        <f>CS_PID!AO362/VLOOKUP($B362,표2[#ALL],2)/HLOOKUP($A362,표1[#ALL],row(),false)</f>
        <v>#N/A</v>
      </c>
      <c r="AP362" s="372" t="str">
        <f>CS_PID!AP362/VLOOKUP($B362,표2[#ALL],2)/HLOOKUP($A362,표1[#ALL],row(),false)</f>
        <v>#N/A</v>
      </c>
      <c r="AQ362" s="372" t="str">
        <f>CS_PID!AQ362/VLOOKUP($B362,표2[#ALL],2)/HLOOKUP($A362,표1[#ALL],row(),false)</f>
        <v>#N/A</v>
      </c>
      <c r="AR362" s="372" t="str">
        <f>CS_PID!AR362/VLOOKUP($B362,표2[#ALL],2)/HLOOKUP($A362,표1[#ALL],row(),false)</f>
        <v>#N/A</v>
      </c>
      <c r="AS362" s="373" t="str">
        <f>CS_PID!AS362/VLOOKUP($B362,표2[#ALL],2)/HLOOKUP($A362,표1[#ALL],row(),false)</f>
        <v>#N/A</v>
      </c>
    </row>
    <row r="363">
      <c r="A363" s="374"/>
      <c r="B363" s="375"/>
      <c r="C363" s="376" t="str">
        <f>CS_PID!C363/VLOOKUP($B363,표2[#ALL],2)</f>
        <v>#N/A</v>
      </c>
      <c r="D363" s="376" t="str">
        <f>CS_PID!D363/VLOOKUP($B363,표2[#ALL],2)</f>
        <v>#N/A</v>
      </c>
      <c r="E363" s="376" t="str">
        <f>CS_PID!E363/VLOOKUP($B363,표2[#ALL],2)</f>
        <v>#N/A</v>
      </c>
      <c r="F363" s="376" t="str">
        <f>CS_PID!F363/VLOOKUP($B363,표2[#ALL],2)</f>
        <v>#N/A</v>
      </c>
      <c r="G363" s="376" t="str">
        <f>CS_PID!G363/VLOOKUP($B363,표2[#ALL],2)</f>
        <v>#N/A</v>
      </c>
      <c r="H363" s="376" t="str">
        <f>CS_PID!H363/VLOOKUP($B363,표2[#ALL],2)/HLOOKUP($A363,표1[#ALL],row(),false)</f>
        <v>#N/A</v>
      </c>
      <c r="I363" s="376" t="str">
        <f>CS_PID!I363/VLOOKUP($B363,표2[#ALL],2)/HLOOKUP($A363,표1[#ALL],row(),false)</f>
        <v>#N/A</v>
      </c>
      <c r="J363" s="376" t="str">
        <f>CS_PID!J363/VLOOKUP($B363,표2[#ALL],2)/HLOOKUP($A363,표1[#ALL],row(),false)</f>
        <v>#N/A</v>
      </c>
      <c r="K363" s="376" t="str">
        <f>CS_PID!K363/VLOOKUP($B363,표2[#ALL],2)/HLOOKUP($A363,표1[#ALL],row(),false)</f>
        <v>#N/A</v>
      </c>
      <c r="L363" s="376" t="str">
        <f>CS_PID!L363/VLOOKUP($B363,표2[#ALL],2)/HLOOKUP($A363,표1[#ALL],row(),false)</f>
        <v>#N/A</v>
      </c>
      <c r="M363" s="376" t="str">
        <f>CS_PID!M363/VLOOKUP($B363,표2[#ALL],2)/HLOOKUP($A363,표1[#ALL],row(),false)</f>
        <v>#N/A</v>
      </c>
      <c r="N363" s="376" t="str">
        <f>CS_PID!N363/VLOOKUP($B363,표2[#ALL],2)/HLOOKUP($A363,표1[#ALL],row(),false)</f>
        <v>#N/A</v>
      </c>
      <c r="O363" s="376" t="str">
        <f>CS_PID!O363/VLOOKUP($B363,표2[#ALL],2)/HLOOKUP($A363,표1[#ALL],row(),false)</f>
        <v>#N/A</v>
      </c>
      <c r="P363" s="376" t="str">
        <f>CS_PID!P363/VLOOKUP($B363,표2[#ALL],2)/HLOOKUP($A363,표1[#ALL],row(),false)</f>
        <v>#N/A</v>
      </c>
      <c r="Q363" s="376" t="str">
        <f>CS_PID!Q363/VLOOKUP($B363,표2[#ALL],2)/HLOOKUP($A363,표1[#ALL],row(),false)</f>
        <v>#N/A</v>
      </c>
      <c r="R363" s="376" t="str">
        <f>CS_PID!R363/VLOOKUP($B363,표2[#ALL],2)/HLOOKUP($A363,표1[#ALL],row(),false)</f>
        <v>#N/A</v>
      </c>
      <c r="S363" s="376" t="str">
        <f>CS_PID!S363/VLOOKUP($B363,표2[#ALL],2)/HLOOKUP($A363,표1[#ALL],row(),false)</f>
        <v>#N/A</v>
      </c>
      <c r="T363" s="376" t="str">
        <f>CS_PID!T363/VLOOKUP($B363,표2[#ALL],2)/HLOOKUP($A363,표1[#ALL],row(),false)</f>
        <v>#N/A</v>
      </c>
      <c r="U363" s="376" t="str">
        <f>CS_PID!U363/VLOOKUP($B363,표2[#ALL],2)/HLOOKUP($A363,표1[#ALL],row(),false)</f>
        <v>#N/A</v>
      </c>
      <c r="V363" s="376" t="str">
        <f>CS_PID!V363/VLOOKUP($B363,표2[#ALL],2)/HLOOKUP($A363,표1[#ALL],row(),false)</f>
        <v>#N/A</v>
      </c>
      <c r="W363" s="376" t="str">
        <f>CS_PID!W363/VLOOKUP($B363,표2[#ALL],2)/HLOOKUP($A363,표1[#ALL],row(),false)</f>
        <v>#N/A</v>
      </c>
      <c r="X363" s="376" t="str">
        <f>CS_PID!X363/VLOOKUP($B363,표2[#ALL],2)/HLOOKUP($A363,표1[#ALL],row(),false)</f>
        <v>#N/A</v>
      </c>
      <c r="Y363" s="376" t="str">
        <f>CS_PID!Y363/VLOOKUP($B363,표2[#ALL],2)/HLOOKUP($A363,표1[#ALL],row(),false)</f>
        <v>#N/A</v>
      </c>
      <c r="Z363" s="376" t="str">
        <f>CS_PID!Z363/VLOOKUP($B363,표2[#ALL],2)/HLOOKUP($A363,표1[#ALL],row(),false)</f>
        <v>#N/A</v>
      </c>
      <c r="AA363" s="376" t="str">
        <f>CS_PID!AA363/VLOOKUP($B363,표2[#ALL],2)/HLOOKUP($A363,표1[#ALL],row(),false)</f>
        <v>#N/A</v>
      </c>
      <c r="AB363" s="376" t="str">
        <f>CS_PID!AB363/VLOOKUP($B363,표2[#ALL],2)/HLOOKUP($A363,표1[#ALL],row(),false)</f>
        <v>#N/A</v>
      </c>
      <c r="AC363" s="376" t="str">
        <f>CS_PID!AC363/VLOOKUP($B363,표2[#ALL],2)/HLOOKUP($A363,표1[#ALL],row(),false)</f>
        <v>#N/A</v>
      </c>
      <c r="AD363" s="376" t="str">
        <f>CS_PID!AD363/VLOOKUP($B363,표2[#ALL],2)/HLOOKUP($A363,표1[#ALL],row(),false)</f>
        <v>#N/A</v>
      </c>
      <c r="AE363" s="376" t="str">
        <f>CS_PID!AE363/VLOOKUP($B363,표2[#ALL],2)/HLOOKUP($A363,표1[#ALL],row(),false)</f>
        <v>#N/A</v>
      </c>
      <c r="AF363" s="376" t="str">
        <f>CS_PID!AF363/VLOOKUP($B363,표2[#ALL],2)/HLOOKUP($A363,표1[#ALL],row(),false)</f>
        <v>#N/A</v>
      </c>
      <c r="AG363" s="376" t="str">
        <f>CS_PID!AG363/VLOOKUP($B363,표2[#ALL],2)/HLOOKUP($A363,표1[#ALL],row(),false)</f>
        <v>#N/A</v>
      </c>
      <c r="AH363" s="376" t="str">
        <f>CS_PID!AH363/VLOOKUP($B363,표2[#ALL],2)/HLOOKUP($A363,표1[#ALL],row(),false)</f>
        <v>#N/A</v>
      </c>
      <c r="AI363" s="376" t="str">
        <f>CS_PID!AI363/VLOOKUP($B363,표2[#ALL],2)/HLOOKUP($A363,표1[#ALL],row(),false)</f>
        <v>#N/A</v>
      </c>
      <c r="AJ363" s="376" t="str">
        <f>CS_PID!AJ363/VLOOKUP($B363,표2[#ALL],2)/HLOOKUP($A363,표1[#ALL],row(),false)</f>
        <v>#N/A</v>
      </c>
      <c r="AK363" s="376" t="str">
        <f>CS_PID!AK363/VLOOKUP($B363,표2[#ALL],2)/HLOOKUP($A363,표1[#ALL],row(),false)</f>
        <v>#N/A</v>
      </c>
      <c r="AL363" s="376" t="str">
        <f>CS_PID!AL363/VLOOKUP($B363,표2[#ALL],2)/HLOOKUP($A363,표1[#ALL],row(),false)</f>
        <v>#N/A</v>
      </c>
      <c r="AM363" s="376" t="str">
        <f>CS_PID!AM363/VLOOKUP($B363,표2[#ALL],2)/HLOOKUP($A363,표1[#ALL],row(),false)</f>
        <v>#N/A</v>
      </c>
      <c r="AN363" s="376" t="str">
        <f>CS_PID!AN363/VLOOKUP($B363,표2[#ALL],2)/HLOOKUP($A363,표1[#ALL],row(),false)</f>
        <v>#N/A</v>
      </c>
      <c r="AO363" s="376" t="str">
        <f>CS_PID!AO363/VLOOKUP($B363,표2[#ALL],2)/HLOOKUP($A363,표1[#ALL],row(),false)</f>
        <v>#N/A</v>
      </c>
      <c r="AP363" s="376" t="str">
        <f>CS_PID!AP363/VLOOKUP($B363,표2[#ALL],2)/HLOOKUP($A363,표1[#ALL],row(),false)</f>
        <v>#N/A</v>
      </c>
      <c r="AQ363" s="376" t="str">
        <f>CS_PID!AQ363/VLOOKUP($B363,표2[#ALL],2)/HLOOKUP($A363,표1[#ALL],row(),false)</f>
        <v>#N/A</v>
      </c>
      <c r="AR363" s="376" t="str">
        <f>CS_PID!AR363/VLOOKUP($B363,표2[#ALL],2)/HLOOKUP($A363,표1[#ALL],row(),false)</f>
        <v>#N/A</v>
      </c>
      <c r="AS363" s="377" t="str">
        <f>CS_PID!AS363/VLOOKUP($B363,표2[#ALL],2)/HLOOKUP($A363,표1[#ALL],row(),false)</f>
        <v>#N/A</v>
      </c>
    </row>
    <row r="364">
      <c r="A364" s="370"/>
      <c r="B364" s="371"/>
      <c r="C364" s="372" t="str">
        <f>CS_PID!C364/VLOOKUP($B364,표2[#ALL],2)</f>
        <v>#N/A</v>
      </c>
      <c r="D364" s="372" t="str">
        <f>CS_PID!D364/VLOOKUP($B364,표2[#ALL],2)</f>
        <v>#N/A</v>
      </c>
      <c r="E364" s="372" t="str">
        <f>CS_PID!E364/VLOOKUP($B364,표2[#ALL],2)</f>
        <v>#N/A</v>
      </c>
      <c r="F364" s="372" t="str">
        <f>CS_PID!F364/VLOOKUP($B364,표2[#ALL],2)</f>
        <v>#N/A</v>
      </c>
      <c r="G364" s="372" t="str">
        <f>CS_PID!G364/VLOOKUP($B364,표2[#ALL],2)</f>
        <v>#N/A</v>
      </c>
      <c r="H364" s="372" t="str">
        <f>CS_PID!H364/VLOOKUP($B364,표2[#ALL],2)/HLOOKUP($A364,표1[#ALL],row(),false)</f>
        <v>#N/A</v>
      </c>
      <c r="I364" s="372" t="str">
        <f>CS_PID!I364/VLOOKUP($B364,표2[#ALL],2)/HLOOKUP($A364,표1[#ALL],row(),false)</f>
        <v>#N/A</v>
      </c>
      <c r="J364" s="372" t="str">
        <f>CS_PID!J364/VLOOKUP($B364,표2[#ALL],2)/HLOOKUP($A364,표1[#ALL],row(),false)</f>
        <v>#N/A</v>
      </c>
      <c r="K364" s="372" t="str">
        <f>CS_PID!K364/VLOOKUP($B364,표2[#ALL],2)/HLOOKUP($A364,표1[#ALL],row(),false)</f>
        <v>#N/A</v>
      </c>
      <c r="L364" s="372" t="str">
        <f>CS_PID!L364/VLOOKUP($B364,표2[#ALL],2)/HLOOKUP($A364,표1[#ALL],row(),false)</f>
        <v>#N/A</v>
      </c>
      <c r="M364" s="372" t="str">
        <f>CS_PID!M364/VLOOKUP($B364,표2[#ALL],2)/HLOOKUP($A364,표1[#ALL],row(),false)</f>
        <v>#N/A</v>
      </c>
      <c r="N364" s="372" t="str">
        <f>CS_PID!N364/VLOOKUP($B364,표2[#ALL],2)/HLOOKUP($A364,표1[#ALL],row(),false)</f>
        <v>#N/A</v>
      </c>
      <c r="O364" s="372" t="str">
        <f>CS_PID!O364/VLOOKUP($B364,표2[#ALL],2)/HLOOKUP($A364,표1[#ALL],row(),false)</f>
        <v>#N/A</v>
      </c>
      <c r="P364" s="372" t="str">
        <f>CS_PID!P364/VLOOKUP($B364,표2[#ALL],2)/HLOOKUP($A364,표1[#ALL],row(),false)</f>
        <v>#N/A</v>
      </c>
      <c r="Q364" s="372" t="str">
        <f>CS_PID!Q364/VLOOKUP($B364,표2[#ALL],2)/HLOOKUP($A364,표1[#ALL],row(),false)</f>
        <v>#N/A</v>
      </c>
      <c r="R364" s="372" t="str">
        <f>CS_PID!R364/VLOOKUP($B364,표2[#ALL],2)/HLOOKUP($A364,표1[#ALL],row(),false)</f>
        <v>#N/A</v>
      </c>
      <c r="S364" s="372" t="str">
        <f>CS_PID!S364/VLOOKUP($B364,표2[#ALL],2)/HLOOKUP($A364,표1[#ALL],row(),false)</f>
        <v>#N/A</v>
      </c>
      <c r="T364" s="372" t="str">
        <f>CS_PID!T364/VLOOKUP($B364,표2[#ALL],2)/HLOOKUP($A364,표1[#ALL],row(),false)</f>
        <v>#N/A</v>
      </c>
      <c r="U364" s="372" t="str">
        <f>CS_PID!U364/VLOOKUP($B364,표2[#ALL],2)/HLOOKUP($A364,표1[#ALL],row(),false)</f>
        <v>#N/A</v>
      </c>
      <c r="V364" s="372" t="str">
        <f>CS_PID!V364/VLOOKUP($B364,표2[#ALL],2)/HLOOKUP($A364,표1[#ALL],row(),false)</f>
        <v>#N/A</v>
      </c>
      <c r="W364" s="372" t="str">
        <f>CS_PID!W364/VLOOKUP($B364,표2[#ALL],2)/HLOOKUP($A364,표1[#ALL],row(),false)</f>
        <v>#N/A</v>
      </c>
      <c r="X364" s="372" t="str">
        <f>CS_PID!X364/VLOOKUP($B364,표2[#ALL],2)/HLOOKUP($A364,표1[#ALL],row(),false)</f>
        <v>#N/A</v>
      </c>
      <c r="Y364" s="372" t="str">
        <f>CS_PID!Y364/VLOOKUP($B364,표2[#ALL],2)/HLOOKUP($A364,표1[#ALL],row(),false)</f>
        <v>#N/A</v>
      </c>
      <c r="Z364" s="372" t="str">
        <f>CS_PID!Z364/VLOOKUP($B364,표2[#ALL],2)/HLOOKUP($A364,표1[#ALL],row(),false)</f>
        <v>#N/A</v>
      </c>
      <c r="AA364" s="372" t="str">
        <f>CS_PID!AA364/VLOOKUP($B364,표2[#ALL],2)/HLOOKUP($A364,표1[#ALL],row(),false)</f>
        <v>#N/A</v>
      </c>
      <c r="AB364" s="372" t="str">
        <f>CS_PID!AB364/VLOOKUP($B364,표2[#ALL],2)/HLOOKUP($A364,표1[#ALL],row(),false)</f>
        <v>#N/A</v>
      </c>
      <c r="AC364" s="372" t="str">
        <f>CS_PID!AC364/VLOOKUP($B364,표2[#ALL],2)/HLOOKUP($A364,표1[#ALL],row(),false)</f>
        <v>#N/A</v>
      </c>
      <c r="AD364" s="372" t="str">
        <f>CS_PID!AD364/VLOOKUP($B364,표2[#ALL],2)/HLOOKUP($A364,표1[#ALL],row(),false)</f>
        <v>#N/A</v>
      </c>
      <c r="AE364" s="372" t="str">
        <f>CS_PID!AE364/VLOOKUP($B364,표2[#ALL],2)/HLOOKUP($A364,표1[#ALL],row(),false)</f>
        <v>#N/A</v>
      </c>
      <c r="AF364" s="372" t="str">
        <f>CS_PID!AF364/VLOOKUP($B364,표2[#ALL],2)/HLOOKUP($A364,표1[#ALL],row(),false)</f>
        <v>#N/A</v>
      </c>
      <c r="AG364" s="372" t="str">
        <f>CS_PID!AG364/VLOOKUP($B364,표2[#ALL],2)/HLOOKUP($A364,표1[#ALL],row(),false)</f>
        <v>#N/A</v>
      </c>
      <c r="AH364" s="372" t="str">
        <f>CS_PID!AH364/VLOOKUP($B364,표2[#ALL],2)/HLOOKUP($A364,표1[#ALL],row(),false)</f>
        <v>#N/A</v>
      </c>
      <c r="AI364" s="372" t="str">
        <f>CS_PID!AI364/VLOOKUP($B364,표2[#ALL],2)/HLOOKUP($A364,표1[#ALL],row(),false)</f>
        <v>#N/A</v>
      </c>
      <c r="AJ364" s="372" t="str">
        <f>CS_PID!AJ364/VLOOKUP($B364,표2[#ALL],2)/HLOOKUP($A364,표1[#ALL],row(),false)</f>
        <v>#N/A</v>
      </c>
      <c r="AK364" s="372" t="str">
        <f>CS_PID!AK364/VLOOKUP($B364,표2[#ALL],2)/HLOOKUP($A364,표1[#ALL],row(),false)</f>
        <v>#N/A</v>
      </c>
      <c r="AL364" s="372" t="str">
        <f>CS_PID!AL364/VLOOKUP($B364,표2[#ALL],2)/HLOOKUP($A364,표1[#ALL],row(),false)</f>
        <v>#N/A</v>
      </c>
      <c r="AM364" s="372" t="str">
        <f>CS_PID!AM364/VLOOKUP($B364,표2[#ALL],2)/HLOOKUP($A364,표1[#ALL],row(),false)</f>
        <v>#N/A</v>
      </c>
      <c r="AN364" s="372" t="str">
        <f>CS_PID!AN364/VLOOKUP($B364,표2[#ALL],2)/HLOOKUP($A364,표1[#ALL],row(),false)</f>
        <v>#N/A</v>
      </c>
      <c r="AO364" s="372" t="str">
        <f>CS_PID!AO364/VLOOKUP($B364,표2[#ALL],2)/HLOOKUP($A364,표1[#ALL],row(),false)</f>
        <v>#N/A</v>
      </c>
      <c r="AP364" s="372" t="str">
        <f>CS_PID!AP364/VLOOKUP($B364,표2[#ALL],2)/HLOOKUP($A364,표1[#ALL],row(),false)</f>
        <v>#N/A</v>
      </c>
      <c r="AQ364" s="372" t="str">
        <f>CS_PID!AQ364/VLOOKUP($B364,표2[#ALL],2)/HLOOKUP($A364,표1[#ALL],row(),false)</f>
        <v>#N/A</v>
      </c>
      <c r="AR364" s="372" t="str">
        <f>CS_PID!AR364/VLOOKUP($B364,표2[#ALL],2)/HLOOKUP($A364,표1[#ALL],row(),false)</f>
        <v>#N/A</v>
      </c>
      <c r="AS364" s="373" t="str">
        <f>CS_PID!AS364/VLOOKUP($B364,표2[#ALL],2)/HLOOKUP($A364,표1[#ALL],row(),false)</f>
        <v>#N/A</v>
      </c>
    </row>
    <row r="365">
      <c r="A365" s="374"/>
      <c r="B365" s="375"/>
      <c r="C365" s="376" t="str">
        <f>CS_PID!C365/VLOOKUP($B365,표2[#ALL],2)</f>
        <v>#N/A</v>
      </c>
      <c r="D365" s="376" t="str">
        <f>CS_PID!D365/VLOOKUP($B365,표2[#ALL],2)</f>
        <v>#N/A</v>
      </c>
      <c r="E365" s="376" t="str">
        <f>CS_PID!E365/VLOOKUP($B365,표2[#ALL],2)</f>
        <v>#N/A</v>
      </c>
      <c r="F365" s="376" t="str">
        <f>CS_PID!F365/VLOOKUP($B365,표2[#ALL],2)</f>
        <v>#N/A</v>
      </c>
      <c r="G365" s="376" t="str">
        <f>CS_PID!G365/VLOOKUP($B365,표2[#ALL],2)</f>
        <v>#N/A</v>
      </c>
      <c r="H365" s="376" t="str">
        <f>CS_PID!H365/VLOOKUP($B365,표2[#ALL],2)/HLOOKUP($A365,표1[#ALL],row(),false)</f>
        <v>#N/A</v>
      </c>
      <c r="I365" s="376" t="str">
        <f>CS_PID!I365/VLOOKUP($B365,표2[#ALL],2)/HLOOKUP($A365,표1[#ALL],row(),false)</f>
        <v>#N/A</v>
      </c>
      <c r="J365" s="376" t="str">
        <f>CS_PID!J365/VLOOKUP($B365,표2[#ALL],2)/HLOOKUP($A365,표1[#ALL],row(),false)</f>
        <v>#N/A</v>
      </c>
      <c r="K365" s="376" t="str">
        <f>CS_PID!K365/VLOOKUP($B365,표2[#ALL],2)/HLOOKUP($A365,표1[#ALL],row(),false)</f>
        <v>#N/A</v>
      </c>
      <c r="L365" s="376" t="str">
        <f>CS_PID!L365/VLOOKUP($B365,표2[#ALL],2)/HLOOKUP($A365,표1[#ALL],row(),false)</f>
        <v>#N/A</v>
      </c>
      <c r="M365" s="376" t="str">
        <f>CS_PID!M365/VLOOKUP($B365,표2[#ALL],2)/HLOOKUP($A365,표1[#ALL],row(),false)</f>
        <v>#N/A</v>
      </c>
      <c r="N365" s="376" t="str">
        <f>CS_PID!N365/VLOOKUP($B365,표2[#ALL],2)/HLOOKUP($A365,표1[#ALL],row(),false)</f>
        <v>#N/A</v>
      </c>
      <c r="O365" s="376" t="str">
        <f>CS_PID!O365/VLOOKUP($B365,표2[#ALL],2)/HLOOKUP($A365,표1[#ALL],row(),false)</f>
        <v>#N/A</v>
      </c>
      <c r="P365" s="376" t="str">
        <f>CS_PID!P365/VLOOKUP($B365,표2[#ALL],2)/HLOOKUP($A365,표1[#ALL],row(),false)</f>
        <v>#N/A</v>
      </c>
      <c r="Q365" s="376" t="str">
        <f>CS_PID!Q365/VLOOKUP($B365,표2[#ALL],2)/HLOOKUP($A365,표1[#ALL],row(),false)</f>
        <v>#N/A</v>
      </c>
      <c r="R365" s="376" t="str">
        <f>CS_PID!R365/VLOOKUP($B365,표2[#ALL],2)/HLOOKUP($A365,표1[#ALL],row(),false)</f>
        <v>#N/A</v>
      </c>
      <c r="S365" s="376" t="str">
        <f>CS_PID!S365/VLOOKUP($B365,표2[#ALL],2)/HLOOKUP($A365,표1[#ALL],row(),false)</f>
        <v>#N/A</v>
      </c>
      <c r="T365" s="376" t="str">
        <f>CS_PID!T365/VLOOKUP($B365,표2[#ALL],2)/HLOOKUP($A365,표1[#ALL],row(),false)</f>
        <v>#N/A</v>
      </c>
      <c r="U365" s="376" t="str">
        <f>CS_PID!U365/VLOOKUP($B365,표2[#ALL],2)/HLOOKUP($A365,표1[#ALL],row(),false)</f>
        <v>#N/A</v>
      </c>
      <c r="V365" s="376" t="str">
        <f>CS_PID!V365/VLOOKUP($B365,표2[#ALL],2)/HLOOKUP($A365,표1[#ALL],row(),false)</f>
        <v>#N/A</v>
      </c>
      <c r="W365" s="376" t="str">
        <f>CS_PID!W365/VLOOKUP($B365,표2[#ALL],2)/HLOOKUP($A365,표1[#ALL],row(),false)</f>
        <v>#N/A</v>
      </c>
      <c r="X365" s="376" t="str">
        <f>CS_PID!X365/VLOOKUP($B365,표2[#ALL],2)/HLOOKUP($A365,표1[#ALL],row(),false)</f>
        <v>#N/A</v>
      </c>
      <c r="Y365" s="376" t="str">
        <f>CS_PID!Y365/VLOOKUP($B365,표2[#ALL],2)/HLOOKUP($A365,표1[#ALL],row(),false)</f>
        <v>#N/A</v>
      </c>
      <c r="Z365" s="376" t="str">
        <f>CS_PID!Z365/VLOOKUP($B365,표2[#ALL],2)/HLOOKUP($A365,표1[#ALL],row(),false)</f>
        <v>#N/A</v>
      </c>
      <c r="AA365" s="376" t="str">
        <f>CS_PID!AA365/VLOOKUP($B365,표2[#ALL],2)/HLOOKUP($A365,표1[#ALL],row(),false)</f>
        <v>#N/A</v>
      </c>
      <c r="AB365" s="376" t="str">
        <f>CS_PID!AB365/VLOOKUP($B365,표2[#ALL],2)/HLOOKUP($A365,표1[#ALL],row(),false)</f>
        <v>#N/A</v>
      </c>
      <c r="AC365" s="376" t="str">
        <f>CS_PID!AC365/VLOOKUP($B365,표2[#ALL],2)/HLOOKUP($A365,표1[#ALL],row(),false)</f>
        <v>#N/A</v>
      </c>
      <c r="AD365" s="376" t="str">
        <f>CS_PID!AD365/VLOOKUP($B365,표2[#ALL],2)/HLOOKUP($A365,표1[#ALL],row(),false)</f>
        <v>#N/A</v>
      </c>
      <c r="AE365" s="376" t="str">
        <f>CS_PID!AE365/VLOOKUP($B365,표2[#ALL],2)/HLOOKUP($A365,표1[#ALL],row(),false)</f>
        <v>#N/A</v>
      </c>
      <c r="AF365" s="376" t="str">
        <f>CS_PID!AF365/VLOOKUP($B365,표2[#ALL],2)/HLOOKUP($A365,표1[#ALL],row(),false)</f>
        <v>#N/A</v>
      </c>
      <c r="AG365" s="376" t="str">
        <f>CS_PID!AG365/VLOOKUP($B365,표2[#ALL],2)/HLOOKUP($A365,표1[#ALL],row(),false)</f>
        <v>#N/A</v>
      </c>
      <c r="AH365" s="376" t="str">
        <f>CS_PID!AH365/VLOOKUP($B365,표2[#ALL],2)/HLOOKUP($A365,표1[#ALL],row(),false)</f>
        <v>#N/A</v>
      </c>
      <c r="AI365" s="376" t="str">
        <f>CS_PID!AI365/VLOOKUP($B365,표2[#ALL],2)/HLOOKUP($A365,표1[#ALL],row(),false)</f>
        <v>#N/A</v>
      </c>
      <c r="AJ365" s="376" t="str">
        <f>CS_PID!AJ365/VLOOKUP($B365,표2[#ALL],2)/HLOOKUP($A365,표1[#ALL],row(),false)</f>
        <v>#N/A</v>
      </c>
      <c r="AK365" s="376" t="str">
        <f>CS_PID!AK365/VLOOKUP($B365,표2[#ALL],2)/HLOOKUP($A365,표1[#ALL],row(),false)</f>
        <v>#N/A</v>
      </c>
      <c r="AL365" s="376" t="str">
        <f>CS_PID!AL365/VLOOKUP($B365,표2[#ALL],2)/HLOOKUP($A365,표1[#ALL],row(),false)</f>
        <v>#N/A</v>
      </c>
      <c r="AM365" s="376" t="str">
        <f>CS_PID!AM365/VLOOKUP($B365,표2[#ALL],2)/HLOOKUP($A365,표1[#ALL],row(),false)</f>
        <v>#N/A</v>
      </c>
      <c r="AN365" s="376" t="str">
        <f>CS_PID!AN365/VLOOKUP($B365,표2[#ALL],2)/HLOOKUP($A365,표1[#ALL],row(),false)</f>
        <v>#N/A</v>
      </c>
      <c r="AO365" s="376" t="str">
        <f>CS_PID!AO365/VLOOKUP($B365,표2[#ALL],2)/HLOOKUP($A365,표1[#ALL],row(),false)</f>
        <v>#N/A</v>
      </c>
      <c r="AP365" s="376" t="str">
        <f>CS_PID!AP365/VLOOKUP($B365,표2[#ALL],2)/HLOOKUP($A365,표1[#ALL],row(),false)</f>
        <v>#N/A</v>
      </c>
      <c r="AQ365" s="376" t="str">
        <f>CS_PID!AQ365/VLOOKUP($B365,표2[#ALL],2)/HLOOKUP($A365,표1[#ALL],row(),false)</f>
        <v>#N/A</v>
      </c>
      <c r="AR365" s="376" t="str">
        <f>CS_PID!AR365/VLOOKUP($B365,표2[#ALL],2)/HLOOKUP($A365,표1[#ALL],row(),false)</f>
        <v>#N/A</v>
      </c>
      <c r="AS365" s="377" t="str">
        <f>CS_PID!AS365/VLOOKUP($B365,표2[#ALL],2)/HLOOKUP($A365,표1[#ALL],row(),false)</f>
        <v>#N/A</v>
      </c>
    </row>
    <row r="366">
      <c r="A366" s="370"/>
      <c r="B366" s="371"/>
      <c r="C366" s="372" t="str">
        <f>CS_PID!C366/VLOOKUP($B366,표2[#ALL],2)</f>
        <v>#N/A</v>
      </c>
      <c r="D366" s="372" t="str">
        <f>CS_PID!D366/VLOOKUP($B366,표2[#ALL],2)</f>
        <v>#N/A</v>
      </c>
      <c r="E366" s="372" t="str">
        <f>CS_PID!E366/VLOOKUP($B366,표2[#ALL],2)</f>
        <v>#N/A</v>
      </c>
      <c r="F366" s="372" t="str">
        <f>CS_PID!F366/VLOOKUP($B366,표2[#ALL],2)</f>
        <v>#N/A</v>
      </c>
      <c r="G366" s="372" t="str">
        <f>CS_PID!G366/VLOOKUP($B366,표2[#ALL],2)</f>
        <v>#N/A</v>
      </c>
      <c r="H366" s="372" t="str">
        <f>CS_PID!H366/VLOOKUP($B366,표2[#ALL],2)/HLOOKUP($A366,표1[#ALL],row(),false)</f>
        <v>#N/A</v>
      </c>
      <c r="I366" s="372" t="str">
        <f>CS_PID!I366/VLOOKUP($B366,표2[#ALL],2)/HLOOKUP($A366,표1[#ALL],row(),false)</f>
        <v>#N/A</v>
      </c>
      <c r="J366" s="372" t="str">
        <f>CS_PID!J366/VLOOKUP($B366,표2[#ALL],2)/HLOOKUP($A366,표1[#ALL],row(),false)</f>
        <v>#N/A</v>
      </c>
      <c r="K366" s="372" t="str">
        <f>CS_PID!K366/VLOOKUP($B366,표2[#ALL],2)/HLOOKUP($A366,표1[#ALL],row(),false)</f>
        <v>#N/A</v>
      </c>
      <c r="L366" s="372" t="str">
        <f>CS_PID!L366/VLOOKUP($B366,표2[#ALL],2)/HLOOKUP($A366,표1[#ALL],row(),false)</f>
        <v>#N/A</v>
      </c>
      <c r="M366" s="372" t="str">
        <f>CS_PID!M366/VLOOKUP($B366,표2[#ALL],2)/HLOOKUP($A366,표1[#ALL],row(),false)</f>
        <v>#N/A</v>
      </c>
      <c r="N366" s="372" t="str">
        <f>CS_PID!N366/VLOOKUP($B366,표2[#ALL],2)/HLOOKUP($A366,표1[#ALL],row(),false)</f>
        <v>#N/A</v>
      </c>
      <c r="O366" s="372" t="str">
        <f>CS_PID!O366/VLOOKUP($B366,표2[#ALL],2)/HLOOKUP($A366,표1[#ALL],row(),false)</f>
        <v>#N/A</v>
      </c>
      <c r="P366" s="372" t="str">
        <f>CS_PID!P366/VLOOKUP($B366,표2[#ALL],2)/HLOOKUP($A366,표1[#ALL],row(),false)</f>
        <v>#N/A</v>
      </c>
      <c r="Q366" s="372" t="str">
        <f>CS_PID!Q366/VLOOKUP($B366,표2[#ALL],2)/HLOOKUP($A366,표1[#ALL],row(),false)</f>
        <v>#N/A</v>
      </c>
      <c r="R366" s="372" t="str">
        <f>CS_PID!R366/VLOOKUP($B366,표2[#ALL],2)/HLOOKUP($A366,표1[#ALL],row(),false)</f>
        <v>#N/A</v>
      </c>
      <c r="S366" s="372" t="str">
        <f>CS_PID!S366/VLOOKUP($B366,표2[#ALL],2)/HLOOKUP($A366,표1[#ALL],row(),false)</f>
        <v>#N/A</v>
      </c>
      <c r="T366" s="372" t="str">
        <f>CS_PID!T366/VLOOKUP($B366,표2[#ALL],2)/HLOOKUP($A366,표1[#ALL],row(),false)</f>
        <v>#N/A</v>
      </c>
      <c r="U366" s="372" t="str">
        <f>CS_PID!U366/VLOOKUP($B366,표2[#ALL],2)/HLOOKUP($A366,표1[#ALL],row(),false)</f>
        <v>#N/A</v>
      </c>
      <c r="V366" s="372" t="str">
        <f>CS_PID!V366/VLOOKUP($B366,표2[#ALL],2)/HLOOKUP($A366,표1[#ALL],row(),false)</f>
        <v>#N/A</v>
      </c>
      <c r="W366" s="372" t="str">
        <f>CS_PID!W366/VLOOKUP($B366,표2[#ALL],2)/HLOOKUP($A366,표1[#ALL],row(),false)</f>
        <v>#N/A</v>
      </c>
      <c r="X366" s="372" t="str">
        <f>CS_PID!X366/VLOOKUP($B366,표2[#ALL],2)/HLOOKUP($A366,표1[#ALL],row(),false)</f>
        <v>#N/A</v>
      </c>
      <c r="Y366" s="372" t="str">
        <f>CS_PID!Y366/VLOOKUP($B366,표2[#ALL],2)/HLOOKUP($A366,표1[#ALL],row(),false)</f>
        <v>#N/A</v>
      </c>
      <c r="Z366" s="372" t="str">
        <f>CS_PID!Z366/VLOOKUP($B366,표2[#ALL],2)/HLOOKUP($A366,표1[#ALL],row(),false)</f>
        <v>#N/A</v>
      </c>
      <c r="AA366" s="372" t="str">
        <f>CS_PID!AA366/VLOOKUP($B366,표2[#ALL],2)/HLOOKUP($A366,표1[#ALL],row(),false)</f>
        <v>#N/A</v>
      </c>
      <c r="AB366" s="372" t="str">
        <f>CS_PID!AB366/VLOOKUP($B366,표2[#ALL],2)/HLOOKUP($A366,표1[#ALL],row(),false)</f>
        <v>#N/A</v>
      </c>
      <c r="AC366" s="372" t="str">
        <f>CS_PID!AC366/VLOOKUP($B366,표2[#ALL],2)/HLOOKUP($A366,표1[#ALL],row(),false)</f>
        <v>#N/A</v>
      </c>
      <c r="AD366" s="372" t="str">
        <f>CS_PID!AD366/VLOOKUP($B366,표2[#ALL],2)/HLOOKUP($A366,표1[#ALL],row(),false)</f>
        <v>#N/A</v>
      </c>
      <c r="AE366" s="372" t="str">
        <f>CS_PID!AE366/VLOOKUP($B366,표2[#ALL],2)/HLOOKUP($A366,표1[#ALL],row(),false)</f>
        <v>#N/A</v>
      </c>
      <c r="AF366" s="372" t="str">
        <f>CS_PID!AF366/VLOOKUP($B366,표2[#ALL],2)/HLOOKUP($A366,표1[#ALL],row(),false)</f>
        <v>#N/A</v>
      </c>
      <c r="AG366" s="372" t="str">
        <f>CS_PID!AG366/VLOOKUP($B366,표2[#ALL],2)/HLOOKUP($A366,표1[#ALL],row(),false)</f>
        <v>#N/A</v>
      </c>
      <c r="AH366" s="372" t="str">
        <f>CS_PID!AH366/VLOOKUP($B366,표2[#ALL],2)/HLOOKUP($A366,표1[#ALL],row(),false)</f>
        <v>#N/A</v>
      </c>
      <c r="AI366" s="372" t="str">
        <f>CS_PID!AI366/VLOOKUP($B366,표2[#ALL],2)/HLOOKUP($A366,표1[#ALL],row(),false)</f>
        <v>#N/A</v>
      </c>
      <c r="AJ366" s="372" t="str">
        <f>CS_PID!AJ366/VLOOKUP($B366,표2[#ALL],2)/HLOOKUP($A366,표1[#ALL],row(),false)</f>
        <v>#N/A</v>
      </c>
      <c r="AK366" s="372" t="str">
        <f>CS_PID!AK366/VLOOKUP($B366,표2[#ALL],2)/HLOOKUP($A366,표1[#ALL],row(),false)</f>
        <v>#N/A</v>
      </c>
      <c r="AL366" s="372" t="str">
        <f>CS_PID!AL366/VLOOKUP($B366,표2[#ALL],2)/HLOOKUP($A366,표1[#ALL],row(),false)</f>
        <v>#N/A</v>
      </c>
      <c r="AM366" s="372" t="str">
        <f>CS_PID!AM366/VLOOKUP($B366,표2[#ALL],2)/HLOOKUP($A366,표1[#ALL],row(),false)</f>
        <v>#N/A</v>
      </c>
      <c r="AN366" s="372" t="str">
        <f>CS_PID!AN366/VLOOKUP($B366,표2[#ALL],2)/HLOOKUP($A366,표1[#ALL],row(),false)</f>
        <v>#N/A</v>
      </c>
      <c r="AO366" s="372" t="str">
        <f>CS_PID!AO366/VLOOKUP($B366,표2[#ALL],2)/HLOOKUP($A366,표1[#ALL],row(),false)</f>
        <v>#N/A</v>
      </c>
      <c r="AP366" s="372" t="str">
        <f>CS_PID!AP366/VLOOKUP($B366,표2[#ALL],2)/HLOOKUP($A366,표1[#ALL],row(),false)</f>
        <v>#N/A</v>
      </c>
      <c r="AQ366" s="372" t="str">
        <f>CS_PID!AQ366/VLOOKUP($B366,표2[#ALL],2)/HLOOKUP($A366,표1[#ALL],row(),false)</f>
        <v>#N/A</v>
      </c>
      <c r="AR366" s="372" t="str">
        <f>CS_PID!AR366/VLOOKUP($B366,표2[#ALL],2)/HLOOKUP($A366,표1[#ALL],row(),false)</f>
        <v>#N/A</v>
      </c>
      <c r="AS366" s="373" t="str">
        <f>CS_PID!AS366/VLOOKUP($B366,표2[#ALL],2)/HLOOKUP($A366,표1[#ALL],row(),false)</f>
        <v>#N/A</v>
      </c>
    </row>
    <row r="367">
      <c r="A367" s="374"/>
      <c r="B367" s="375"/>
      <c r="C367" s="376" t="str">
        <f>CS_PID!C367/VLOOKUP($B367,표2[#ALL],2)</f>
        <v>#N/A</v>
      </c>
      <c r="D367" s="376" t="str">
        <f>CS_PID!D367/VLOOKUP($B367,표2[#ALL],2)</f>
        <v>#N/A</v>
      </c>
      <c r="E367" s="376" t="str">
        <f>CS_PID!E367/VLOOKUP($B367,표2[#ALL],2)</f>
        <v>#N/A</v>
      </c>
      <c r="F367" s="376" t="str">
        <f>CS_PID!F367/VLOOKUP($B367,표2[#ALL],2)</f>
        <v>#N/A</v>
      </c>
      <c r="G367" s="376" t="str">
        <f>CS_PID!G367/VLOOKUP($B367,표2[#ALL],2)</f>
        <v>#N/A</v>
      </c>
      <c r="H367" s="376" t="str">
        <f>CS_PID!H367/VLOOKUP($B367,표2[#ALL],2)/HLOOKUP($A367,표1[#ALL],row(),false)</f>
        <v>#N/A</v>
      </c>
      <c r="I367" s="376" t="str">
        <f>CS_PID!I367/VLOOKUP($B367,표2[#ALL],2)/HLOOKUP($A367,표1[#ALL],row(),false)</f>
        <v>#N/A</v>
      </c>
      <c r="J367" s="376" t="str">
        <f>CS_PID!J367/VLOOKUP($B367,표2[#ALL],2)/HLOOKUP($A367,표1[#ALL],row(),false)</f>
        <v>#N/A</v>
      </c>
      <c r="K367" s="376" t="str">
        <f>CS_PID!K367/VLOOKUP($B367,표2[#ALL],2)/HLOOKUP($A367,표1[#ALL],row(),false)</f>
        <v>#N/A</v>
      </c>
      <c r="L367" s="376" t="str">
        <f>CS_PID!L367/VLOOKUP($B367,표2[#ALL],2)/HLOOKUP($A367,표1[#ALL],row(),false)</f>
        <v>#N/A</v>
      </c>
      <c r="M367" s="376" t="str">
        <f>CS_PID!M367/VLOOKUP($B367,표2[#ALL],2)/HLOOKUP($A367,표1[#ALL],row(),false)</f>
        <v>#N/A</v>
      </c>
      <c r="N367" s="376" t="str">
        <f>CS_PID!N367/VLOOKUP($B367,표2[#ALL],2)/HLOOKUP($A367,표1[#ALL],row(),false)</f>
        <v>#N/A</v>
      </c>
      <c r="O367" s="376" t="str">
        <f>CS_PID!O367/VLOOKUP($B367,표2[#ALL],2)/HLOOKUP($A367,표1[#ALL],row(),false)</f>
        <v>#N/A</v>
      </c>
      <c r="P367" s="376" t="str">
        <f>CS_PID!P367/VLOOKUP($B367,표2[#ALL],2)/HLOOKUP($A367,표1[#ALL],row(),false)</f>
        <v>#N/A</v>
      </c>
      <c r="Q367" s="376" t="str">
        <f>CS_PID!Q367/VLOOKUP($B367,표2[#ALL],2)/HLOOKUP($A367,표1[#ALL],row(),false)</f>
        <v>#N/A</v>
      </c>
      <c r="R367" s="376" t="str">
        <f>CS_PID!R367/VLOOKUP($B367,표2[#ALL],2)/HLOOKUP($A367,표1[#ALL],row(),false)</f>
        <v>#N/A</v>
      </c>
      <c r="S367" s="376" t="str">
        <f>CS_PID!S367/VLOOKUP($B367,표2[#ALL],2)/HLOOKUP($A367,표1[#ALL],row(),false)</f>
        <v>#N/A</v>
      </c>
      <c r="T367" s="376" t="str">
        <f>CS_PID!T367/VLOOKUP($B367,표2[#ALL],2)/HLOOKUP($A367,표1[#ALL],row(),false)</f>
        <v>#N/A</v>
      </c>
      <c r="U367" s="376" t="str">
        <f>CS_PID!U367/VLOOKUP($B367,표2[#ALL],2)/HLOOKUP($A367,표1[#ALL],row(),false)</f>
        <v>#N/A</v>
      </c>
      <c r="V367" s="376" t="str">
        <f>CS_PID!V367/VLOOKUP($B367,표2[#ALL],2)/HLOOKUP($A367,표1[#ALL],row(),false)</f>
        <v>#N/A</v>
      </c>
      <c r="W367" s="376" t="str">
        <f>CS_PID!W367/VLOOKUP($B367,표2[#ALL],2)/HLOOKUP($A367,표1[#ALL],row(),false)</f>
        <v>#N/A</v>
      </c>
      <c r="X367" s="376" t="str">
        <f>CS_PID!X367/VLOOKUP($B367,표2[#ALL],2)/HLOOKUP($A367,표1[#ALL],row(),false)</f>
        <v>#N/A</v>
      </c>
      <c r="Y367" s="376" t="str">
        <f>CS_PID!Y367/VLOOKUP($B367,표2[#ALL],2)/HLOOKUP($A367,표1[#ALL],row(),false)</f>
        <v>#N/A</v>
      </c>
      <c r="Z367" s="376" t="str">
        <f>CS_PID!Z367/VLOOKUP($B367,표2[#ALL],2)/HLOOKUP($A367,표1[#ALL],row(),false)</f>
        <v>#N/A</v>
      </c>
      <c r="AA367" s="376" t="str">
        <f>CS_PID!AA367/VLOOKUP($B367,표2[#ALL],2)/HLOOKUP($A367,표1[#ALL],row(),false)</f>
        <v>#N/A</v>
      </c>
      <c r="AB367" s="376" t="str">
        <f>CS_PID!AB367/VLOOKUP($B367,표2[#ALL],2)/HLOOKUP($A367,표1[#ALL],row(),false)</f>
        <v>#N/A</v>
      </c>
      <c r="AC367" s="376" t="str">
        <f>CS_PID!AC367/VLOOKUP($B367,표2[#ALL],2)/HLOOKUP($A367,표1[#ALL],row(),false)</f>
        <v>#N/A</v>
      </c>
      <c r="AD367" s="376" t="str">
        <f>CS_PID!AD367/VLOOKUP($B367,표2[#ALL],2)/HLOOKUP($A367,표1[#ALL],row(),false)</f>
        <v>#N/A</v>
      </c>
      <c r="AE367" s="376" t="str">
        <f>CS_PID!AE367/VLOOKUP($B367,표2[#ALL],2)/HLOOKUP($A367,표1[#ALL],row(),false)</f>
        <v>#N/A</v>
      </c>
      <c r="AF367" s="376" t="str">
        <f>CS_PID!AF367/VLOOKUP($B367,표2[#ALL],2)/HLOOKUP($A367,표1[#ALL],row(),false)</f>
        <v>#N/A</v>
      </c>
      <c r="AG367" s="376" t="str">
        <f>CS_PID!AG367/VLOOKUP($B367,표2[#ALL],2)/HLOOKUP($A367,표1[#ALL],row(),false)</f>
        <v>#N/A</v>
      </c>
      <c r="AH367" s="376" t="str">
        <f>CS_PID!AH367/VLOOKUP($B367,표2[#ALL],2)/HLOOKUP($A367,표1[#ALL],row(),false)</f>
        <v>#N/A</v>
      </c>
      <c r="AI367" s="376" t="str">
        <f>CS_PID!AI367/VLOOKUP($B367,표2[#ALL],2)/HLOOKUP($A367,표1[#ALL],row(),false)</f>
        <v>#N/A</v>
      </c>
      <c r="AJ367" s="376" t="str">
        <f>CS_PID!AJ367/VLOOKUP($B367,표2[#ALL],2)/HLOOKUP($A367,표1[#ALL],row(),false)</f>
        <v>#N/A</v>
      </c>
      <c r="AK367" s="376" t="str">
        <f>CS_PID!AK367/VLOOKUP($B367,표2[#ALL],2)/HLOOKUP($A367,표1[#ALL],row(),false)</f>
        <v>#N/A</v>
      </c>
      <c r="AL367" s="376" t="str">
        <f>CS_PID!AL367/VLOOKUP($B367,표2[#ALL],2)/HLOOKUP($A367,표1[#ALL],row(),false)</f>
        <v>#N/A</v>
      </c>
      <c r="AM367" s="376" t="str">
        <f>CS_PID!AM367/VLOOKUP($B367,표2[#ALL],2)/HLOOKUP($A367,표1[#ALL],row(),false)</f>
        <v>#N/A</v>
      </c>
      <c r="AN367" s="376" t="str">
        <f>CS_PID!AN367/VLOOKUP($B367,표2[#ALL],2)/HLOOKUP($A367,표1[#ALL],row(),false)</f>
        <v>#N/A</v>
      </c>
      <c r="AO367" s="376" t="str">
        <f>CS_PID!AO367/VLOOKUP($B367,표2[#ALL],2)/HLOOKUP($A367,표1[#ALL],row(),false)</f>
        <v>#N/A</v>
      </c>
      <c r="AP367" s="376" t="str">
        <f>CS_PID!AP367/VLOOKUP($B367,표2[#ALL],2)/HLOOKUP($A367,표1[#ALL],row(),false)</f>
        <v>#N/A</v>
      </c>
      <c r="AQ367" s="376" t="str">
        <f>CS_PID!AQ367/VLOOKUP($B367,표2[#ALL],2)/HLOOKUP($A367,표1[#ALL],row(),false)</f>
        <v>#N/A</v>
      </c>
      <c r="AR367" s="376" t="str">
        <f>CS_PID!AR367/VLOOKUP($B367,표2[#ALL],2)/HLOOKUP($A367,표1[#ALL],row(),false)</f>
        <v>#N/A</v>
      </c>
      <c r="AS367" s="377" t="str">
        <f>CS_PID!AS367/VLOOKUP($B367,표2[#ALL],2)/HLOOKUP($A367,표1[#ALL],row(),false)</f>
        <v>#N/A</v>
      </c>
    </row>
    <row r="368">
      <c r="A368" s="370"/>
      <c r="B368" s="371"/>
      <c r="C368" s="372" t="str">
        <f>CS_PID!C368/VLOOKUP($B368,표2[#ALL],2)</f>
        <v>#N/A</v>
      </c>
      <c r="D368" s="372" t="str">
        <f>CS_PID!D368/VLOOKUP($B368,표2[#ALL],2)</f>
        <v>#N/A</v>
      </c>
      <c r="E368" s="372" t="str">
        <f>CS_PID!E368/VLOOKUP($B368,표2[#ALL],2)</f>
        <v>#N/A</v>
      </c>
      <c r="F368" s="372" t="str">
        <f>CS_PID!F368/VLOOKUP($B368,표2[#ALL],2)</f>
        <v>#N/A</v>
      </c>
      <c r="G368" s="372" t="str">
        <f>CS_PID!G368/VLOOKUP($B368,표2[#ALL],2)</f>
        <v>#N/A</v>
      </c>
      <c r="H368" s="372" t="str">
        <f>CS_PID!H368/VLOOKUP($B368,표2[#ALL],2)/HLOOKUP($A368,표1[#ALL],row(),false)</f>
        <v>#N/A</v>
      </c>
      <c r="I368" s="372" t="str">
        <f>CS_PID!I368/VLOOKUP($B368,표2[#ALL],2)/HLOOKUP($A368,표1[#ALL],row(),false)</f>
        <v>#N/A</v>
      </c>
      <c r="J368" s="372" t="str">
        <f>CS_PID!J368/VLOOKUP($B368,표2[#ALL],2)/HLOOKUP($A368,표1[#ALL],row(),false)</f>
        <v>#N/A</v>
      </c>
      <c r="K368" s="372" t="str">
        <f>CS_PID!K368/VLOOKUP($B368,표2[#ALL],2)/HLOOKUP($A368,표1[#ALL],row(),false)</f>
        <v>#N/A</v>
      </c>
      <c r="L368" s="372" t="str">
        <f>CS_PID!L368/VLOOKUP($B368,표2[#ALL],2)/HLOOKUP($A368,표1[#ALL],row(),false)</f>
        <v>#N/A</v>
      </c>
      <c r="M368" s="372" t="str">
        <f>CS_PID!M368/VLOOKUP($B368,표2[#ALL],2)/HLOOKUP($A368,표1[#ALL],row(),false)</f>
        <v>#N/A</v>
      </c>
      <c r="N368" s="372" t="str">
        <f>CS_PID!N368/VLOOKUP($B368,표2[#ALL],2)/HLOOKUP($A368,표1[#ALL],row(),false)</f>
        <v>#N/A</v>
      </c>
      <c r="O368" s="372" t="str">
        <f>CS_PID!O368/VLOOKUP($B368,표2[#ALL],2)/HLOOKUP($A368,표1[#ALL],row(),false)</f>
        <v>#N/A</v>
      </c>
      <c r="P368" s="372" t="str">
        <f>CS_PID!P368/VLOOKUP($B368,표2[#ALL],2)/HLOOKUP($A368,표1[#ALL],row(),false)</f>
        <v>#N/A</v>
      </c>
      <c r="Q368" s="372" t="str">
        <f>CS_PID!Q368/VLOOKUP($B368,표2[#ALL],2)/HLOOKUP($A368,표1[#ALL],row(),false)</f>
        <v>#N/A</v>
      </c>
      <c r="R368" s="372" t="str">
        <f>CS_PID!R368/VLOOKUP($B368,표2[#ALL],2)/HLOOKUP($A368,표1[#ALL],row(),false)</f>
        <v>#N/A</v>
      </c>
      <c r="S368" s="372" t="str">
        <f>CS_PID!S368/VLOOKUP($B368,표2[#ALL],2)/HLOOKUP($A368,표1[#ALL],row(),false)</f>
        <v>#N/A</v>
      </c>
      <c r="T368" s="372" t="str">
        <f>CS_PID!T368/VLOOKUP($B368,표2[#ALL],2)/HLOOKUP($A368,표1[#ALL],row(),false)</f>
        <v>#N/A</v>
      </c>
      <c r="U368" s="372" t="str">
        <f>CS_PID!U368/VLOOKUP($B368,표2[#ALL],2)/HLOOKUP($A368,표1[#ALL],row(),false)</f>
        <v>#N/A</v>
      </c>
      <c r="V368" s="372" t="str">
        <f>CS_PID!V368/VLOOKUP($B368,표2[#ALL],2)/HLOOKUP($A368,표1[#ALL],row(),false)</f>
        <v>#N/A</v>
      </c>
      <c r="W368" s="372" t="str">
        <f>CS_PID!W368/VLOOKUP($B368,표2[#ALL],2)/HLOOKUP($A368,표1[#ALL],row(),false)</f>
        <v>#N/A</v>
      </c>
      <c r="X368" s="372" t="str">
        <f>CS_PID!X368/VLOOKUP($B368,표2[#ALL],2)/HLOOKUP($A368,표1[#ALL],row(),false)</f>
        <v>#N/A</v>
      </c>
      <c r="Y368" s="372" t="str">
        <f>CS_PID!Y368/VLOOKUP($B368,표2[#ALL],2)/HLOOKUP($A368,표1[#ALL],row(),false)</f>
        <v>#N/A</v>
      </c>
      <c r="Z368" s="372" t="str">
        <f>CS_PID!Z368/VLOOKUP($B368,표2[#ALL],2)/HLOOKUP($A368,표1[#ALL],row(),false)</f>
        <v>#N/A</v>
      </c>
      <c r="AA368" s="372" t="str">
        <f>CS_PID!AA368/VLOOKUP($B368,표2[#ALL],2)/HLOOKUP($A368,표1[#ALL],row(),false)</f>
        <v>#N/A</v>
      </c>
      <c r="AB368" s="372" t="str">
        <f>CS_PID!AB368/VLOOKUP($B368,표2[#ALL],2)/HLOOKUP($A368,표1[#ALL],row(),false)</f>
        <v>#N/A</v>
      </c>
      <c r="AC368" s="372" t="str">
        <f>CS_PID!AC368/VLOOKUP($B368,표2[#ALL],2)/HLOOKUP($A368,표1[#ALL],row(),false)</f>
        <v>#N/A</v>
      </c>
      <c r="AD368" s="372" t="str">
        <f>CS_PID!AD368/VLOOKUP($B368,표2[#ALL],2)/HLOOKUP($A368,표1[#ALL],row(),false)</f>
        <v>#N/A</v>
      </c>
      <c r="AE368" s="372" t="str">
        <f>CS_PID!AE368/VLOOKUP($B368,표2[#ALL],2)/HLOOKUP($A368,표1[#ALL],row(),false)</f>
        <v>#N/A</v>
      </c>
      <c r="AF368" s="372" t="str">
        <f>CS_PID!AF368/VLOOKUP($B368,표2[#ALL],2)/HLOOKUP($A368,표1[#ALL],row(),false)</f>
        <v>#N/A</v>
      </c>
      <c r="AG368" s="372" t="str">
        <f>CS_PID!AG368/VLOOKUP($B368,표2[#ALL],2)/HLOOKUP($A368,표1[#ALL],row(),false)</f>
        <v>#N/A</v>
      </c>
      <c r="AH368" s="372" t="str">
        <f>CS_PID!AH368/VLOOKUP($B368,표2[#ALL],2)/HLOOKUP($A368,표1[#ALL],row(),false)</f>
        <v>#N/A</v>
      </c>
      <c r="AI368" s="372" t="str">
        <f>CS_PID!AI368/VLOOKUP($B368,표2[#ALL],2)/HLOOKUP($A368,표1[#ALL],row(),false)</f>
        <v>#N/A</v>
      </c>
      <c r="AJ368" s="372" t="str">
        <f>CS_PID!AJ368/VLOOKUP($B368,표2[#ALL],2)/HLOOKUP($A368,표1[#ALL],row(),false)</f>
        <v>#N/A</v>
      </c>
      <c r="AK368" s="372" t="str">
        <f>CS_PID!AK368/VLOOKUP($B368,표2[#ALL],2)/HLOOKUP($A368,표1[#ALL],row(),false)</f>
        <v>#N/A</v>
      </c>
      <c r="AL368" s="372" t="str">
        <f>CS_PID!AL368/VLOOKUP($B368,표2[#ALL],2)/HLOOKUP($A368,표1[#ALL],row(),false)</f>
        <v>#N/A</v>
      </c>
      <c r="AM368" s="372" t="str">
        <f>CS_PID!AM368/VLOOKUP($B368,표2[#ALL],2)/HLOOKUP($A368,표1[#ALL],row(),false)</f>
        <v>#N/A</v>
      </c>
      <c r="AN368" s="372" t="str">
        <f>CS_PID!AN368/VLOOKUP($B368,표2[#ALL],2)/HLOOKUP($A368,표1[#ALL],row(),false)</f>
        <v>#N/A</v>
      </c>
      <c r="AO368" s="372" t="str">
        <f>CS_PID!AO368/VLOOKUP($B368,표2[#ALL],2)/HLOOKUP($A368,표1[#ALL],row(),false)</f>
        <v>#N/A</v>
      </c>
      <c r="AP368" s="372" t="str">
        <f>CS_PID!AP368/VLOOKUP($B368,표2[#ALL],2)/HLOOKUP($A368,표1[#ALL],row(),false)</f>
        <v>#N/A</v>
      </c>
      <c r="AQ368" s="372" t="str">
        <f>CS_PID!AQ368/VLOOKUP($B368,표2[#ALL],2)/HLOOKUP($A368,표1[#ALL],row(),false)</f>
        <v>#N/A</v>
      </c>
      <c r="AR368" s="372" t="str">
        <f>CS_PID!AR368/VLOOKUP($B368,표2[#ALL],2)/HLOOKUP($A368,표1[#ALL],row(),false)</f>
        <v>#N/A</v>
      </c>
      <c r="AS368" s="373" t="str">
        <f>CS_PID!AS368/VLOOKUP($B368,표2[#ALL],2)/HLOOKUP($A368,표1[#ALL],row(),false)</f>
        <v>#N/A</v>
      </c>
    </row>
    <row r="369">
      <c r="A369" s="374"/>
      <c r="B369" s="375"/>
      <c r="C369" s="376" t="str">
        <f>CS_PID!C369/VLOOKUP($B369,표2[#ALL],2)</f>
        <v>#N/A</v>
      </c>
      <c r="D369" s="376" t="str">
        <f>CS_PID!D369/VLOOKUP($B369,표2[#ALL],2)</f>
        <v>#N/A</v>
      </c>
      <c r="E369" s="376" t="str">
        <f>CS_PID!E369/VLOOKUP($B369,표2[#ALL],2)</f>
        <v>#N/A</v>
      </c>
      <c r="F369" s="376" t="str">
        <f>CS_PID!F369/VLOOKUP($B369,표2[#ALL],2)</f>
        <v>#N/A</v>
      </c>
      <c r="G369" s="376" t="str">
        <f>CS_PID!G369/VLOOKUP($B369,표2[#ALL],2)</f>
        <v>#N/A</v>
      </c>
      <c r="H369" s="376" t="str">
        <f>CS_PID!H369/VLOOKUP($B369,표2[#ALL],2)/HLOOKUP($A369,표1[#ALL],row(),false)</f>
        <v>#N/A</v>
      </c>
      <c r="I369" s="376" t="str">
        <f>CS_PID!I369/VLOOKUP($B369,표2[#ALL],2)/HLOOKUP($A369,표1[#ALL],row(),false)</f>
        <v>#N/A</v>
      </c>
      <c r="J369" s="376" t="str">
        <f>CS_PID!J369/VLOOKUP($B369,표2[#ALL],2)/HLOOKUP($A369,표1[#ALL],row(),false)</f>
        <v>#N/A</v>
      </c>
      <c r="K369" s="376" t="str">
        <f>CS_PID!K369/VLOOKUP($B369,표2[#ALL],2)/HLOOKUP($A369,표1[#ALL],row(),false)</f>
        <v>#N/A</v>
      </c>
      <c r="L369" s="376" t="str">
        <f>CS_PID!L369/VLOOKUP($B369,표2[#ALL],2)/HLOOKUP($A369,표1[#ALL],row(),false)</f>
        <v>#N/A</v>
      </c>
      <c r="M369" s="376" t="str">
        <f>CS_PID!M369/VLOOKUP($B369,표2[#ALL],2)/HLOOKUP($A369,표1[#ALL],row(),false)</f>
        <v>#N/A</v>
      </c>
      <c r="N369" s="376" t="str">
        <f>CS_PID!N369/VLOOKUP($B369,표2[#ALL],2)/HLOOKUP($A369,표1[#ALL],row(),false)</f>
        <v>#N/A</v>
      </c>
      <c r="O369" s="376" t="str">
        <f>CS_PID!O369/VLOOKUP($B369,표2[#ALL],2)/HLOOKUP($A369,표1[#ALL],row(),false)</f>
        <v>#N/A</v>
      </c>
      <c r="P369" s="376" t="str">
        <f>CS_PID!P369/VLOOKUP($B369,표2[#ALL],2)/HLOOKUP($A369,표1[#ALL],row(),false)</f>
        <v>#N/A</v>
      </c>
      <c r="Q369" s="376" t="str">
        <f>CS_PID!Q369/VLOOKUP($B369,표2[#ALL],2)/HLOOKUP($A369,표1[#ALL],row(),false)</f>
        <v>#N/A</v>
      </c>
      <c r="R369" s="376" t="str">
        <f>CS_PID!R369/VLOOKUP($B369,표2[#ALL],2)/HLOOKUP($A369,표1[#ALL],row(),false)</f>
        <v>#N/A</v>
      </c>
      <c r="S369" s="376" t="str">
        <f>CS_PID!S369/VLOOKUP($B369,표2[#ALL],2)/HLOOKUP($A369,표1[#ALL],row(),false)</f>
        <v>#N/A</v>
      </c>
      <c r="T369" s="376" t="str">
        <f>CS_PID!T369/VLOOKUP($B369,표2[#ALL],2)/HLOOKUP($A369,표1[#ALL],row(),false)</f>
        <v>#N/A</v>
      </c>
      <c r="U369" s="376" t="str">
        <f>CS_PID!U369/VLOOKUP($B369,표2[#ALL],2)/HLOOKUP($A369,표1[#ALL],row(),false)</f>
        <v>#N/A</v>
      </c>
      <c r="V369" s="376" t="str">
        <f>CS_PID!V369/VLOOKUP($B369,표2[#ALL],2)/HLOOKUP($A369,표1[#ALL],row(),false)</f>
        <v>#N/A</v>
      </c>
      <c r="W369" s="376" t="str">
        <f>CS_PID!W369/VLOOKUP($B369,표2[#ALL],2)/HLOOKUP($A369,표1[#ALL],row(),false)</f>
        <v>#N/A</v>
      </c>
      <c r="X369" s="376" t="str">
        <f>CS_PID!X369/VLOOKUP($B369,표2[#ALL],2)/HLOOKUP($A369,표1[#ALL],row(),false)</f>
        <v>#N/A</v>
      </c>
      <c r="Y369" s="376" t="str">
        <f>CS_PID!Y369/VLOOKUP($B369,표2[#ALL],2)/HLOOKUP($A369,표1[#ALL],row(),false)</f>
        <v>#N/A</v>
      </c>
      <c r="Z369" s="376" t="str">
        <f>CS_PID!Z369/VLOOKUP($B369,표2[#ALL],2)/HLOOKUP($A369,표1[#ALL],row(),false)</f>
        <v>#N/A</v>
      </c>
      <c r="AA369" s="376" t="str">
        <f>CS_PID!AA369/VLOOKUP($B369,표2[#ALL],2)/HLOOKUP($A369,표1[#ALL],row(),false)</f>
        <v>#N/A</v>
      </c>
      <c r="AB369" s="376" t="str">
        <f>CS_PID!AB369/VLOOKUP($B369,표2[#ALL],2)/HLOOKUP($A369,표1[#ALL],row(),false)</f>
        <v>#N/A</v>
      </c>
      <c r="AC369" s="376" t="str">
        <f>CS_PID!AC369/VLOOKUP($B369,표2[#ALL],2)/HLOOKUP($A369,표1[#ALL],row(),false)</f>
        <v>#N/A</v>
      </c>
      <c r="AD369" s="376" t="str">
        <f>CS_PID!AD369/VLOOKUP($B369,표2[#ALL],2)/HLOOKUP($A369,표1[#ALL],row(),false)</f>
        <v>#N/A</v>
      </c>
      <c r="AE369" s="376" t="str">
        <f>CS_PID!AE369/VLOOKUP($B369,표2[#ALL],2)/HLOOKUP($A369,표1[#ALL],row(),false)</f>
        <v>#N/A</v>
      </c>
      <c r="AF369" s="376" t="str">
        <f>CS_PID!AF369/VLOOKUP($B369,표2[#ALL],2)/HLOOKUP($A369,표1[#ALL],row(),false)</f>
        <v>#N/A</v>
      </c>
      <c r="AG369" s="376" t="str">
        <f>CS_PID!AG369/VLOOKUP($B369,표2[#ALL],2)/HLOOKUP($A369,표1[#ALL],row(),false)</f>
        <v>#N/A</v>
      </c>
      <c r="AH369" s="376" t="str">
        <f>CS_PID!AH369/VLOOKUP($B369,표2[#ALL],2)/HLOOKUP($A369,표1[#ALL],row(),false)</f>
        <v>#N/A</v>
      </c>
      <c r="AI369" s="376" t="str">
        <f>CS_PID!AI369/VLOOKUP($B369,표2[#ALL],2)/HLOOKUP($A369,표1[#ALL],row(),false)</f>
        <v>#N/A</v>
      </c>
      <c r="AJ369" s="376" t="str">
        <f>CS_PID!AJ369/VLOOKUP($B369,표2[#ALL],2)/HLOOKUP($A369,표1[#ALL],row(),false)</f>
        <v>#N/A</v>
      </c>
      <c r="AK369" s="376" t="str">
        <f>CS_PID!AK369/VLOOKUP($B369,표2[#ALL],2)/HLOOKUP($A369,표1[#ALL],row(),false)</f>
        <v>#N/A</v>
      </c>
      <c r="AL369" s="376" t="str">
        <f>CS_PID!AL369/VLOOKUP($B369,표2[#ALL],2)/HLOOKUP($A369,표1[#ALL],row(),false)</f>
        <v>#N/A</v>
      </c>
      <c r="AM369" s="376" t="str">
        <f>CS_PID!AM369/VLOOKUP($B369,표2[#ALL],2)/HLOOKUP($A369,표1[#ALL],row(),false)</f>
        <v>#N/A</v>
      </c>
      <c r="AN369" s="376" t="str">
        <f>CS_PID!AN369/VLOOKUP($B369,표2[#ALL],2)/HLOOKUP($A369,표1[#ALL],row(),false)</f>
        <v>#N/A</v>
      </c>
      <c r="AO369" s="376" t="str">
        <f>CS_PID!AO369/VLOOKUP($B369,표2[#ALL],2)/HLOOKUP($A369,표1[#ALL],row(),false)</f>
        <v>#N/A</v>
      </c>
      <c r="AP369" s="376" t="str">
        <f>CS_PID!AP369/VLOOKUP($B369,표2[#ALL],2)/HLOOKUP($A369,표1[#ALL],row(),false)</f>
        <v>#N/A</v>
      </c>
      <c r="AQ369" s="376" t="str">
        <f>CS_PID!AQ369/VLOOKUP($B369,표2[#ALL],2)/HLOOKUP($A369,표1[#ALL],row(),false)</f>
        <v>#N/A</v>
      </c>
      <c r="AR369" s="376" t="str">
        <f>CS_PID!AR369/VLOOKUP($B369,표2[#ALL],2)/HLOOKUP($A369,표1[#ALL],row(),false)</f>
        <v>#N/A</v>
      </c>
      <c r="AS369" s="377" t="str">
        <f>CS_PID!AS369/VLOOKUP($B369,표2[#ALL],2)/HLOOKUP($A369,표1[#ALL],row(),false)</f>
        <v>#N/A</v>
      </c>
    </row>
    <row r="370">
      <c r="A370" s="370"/>
      <c r="B370" s="371"/>
      <c r="C370" s="372" t="str">
        <f>CS_PID!C370/VLOOKUP($B370,표2[#ALL],2)</f>
        <v>#N/A</v>
      </c>
      <c r="D370" s="372" t="str">
        <f>CS_PID!D370/VLOOKUP($B370,표2[#ALL],2)</f>
        <v>#N/A</v>
      </c>
      <c r="E370" s="372" t="str">
        <f>CS_PID!E370/VLOOKUP($B370,표2[#ALL],2)</f>
        <v>#N/A</v>
      </c>
      <c r="F370" s="372" t="str">
        <f>CS_PID!F370/VLOOKUP($B370,표2[#ALL],2)</f>
        <v>#N/A</v>
      </c>
      <c r="G370" s="372" t="str">
        <f>CS_PID!G370/VLOOKUP($B370,표2[#ALL],2)</f>
        <v>#N/A</v>
      </c>
      <c r="H370" s="372" t="str">
        <f>CS_PID!H370/VLOOKUP($B370,표2[#ALL],2)/HLOOKUP($A370,표1[#ALL],row(),false)</f>
        <v>#N/A</v>
      </c>
      <c r="I370" s="372" t="str">
        <f>CS_PID!I370/VLOOKUP($B370,표2[#ALL],2)/HLOOKUP($A370,표1[#ALL],row(),false)</f>
        <v>#N/A</v>
      </c>
      <c r="J370" s="372" t="str">
        <f>CS_PID!J370/VLOOKUP($B370,표2[#ALL],2)/HLOOKUP($A370,표1[#ALL],row(),false)</f>
        <v>#N/A</v>
      </c>
      <c r="K370" s="372" t="str">
        <f>CS_PID!K370/VLOOKUP($B370,표2[#ALL],2)/HLOOKUP($A370,표1[#ALL],row(),false)</f>
        <v>#N/A</v>
      </c>
      <c r="L370" s="372" t="str">
        <f>CS_PID!L370/VLOOKUP($B370,표2[#ALL],2)/HLOOKUP($A370,표1[#ALL],row(),false)</f>
        <v>#N/A</v>
      </c>
      <c r="M370" s="372" t="str">
        <f>CS_PID!M370/VLOOKUP($B370,표2[#ALL],2)/HLOOKUP($A370,표1[#ALL],row(),false)</f>
        <v>#N/A</v>
      </c>
      <c r="N370" s="372" t="str">
        <f>CS_PID!N370/VLOOKUP($B370,표2[#ALL],2)/HLOOKUP($A370,표1[#ALL],row(),false)</f>
        <v>#N/A</v>
      </c>
      <c r="O370" s="372" t="str">
        <f>CS_PID!O370/VLOOKUP($B370,표2[#ALL],2)/HLOOKUP($A370,표1[#ALL],row(),false)</f>
        <v>#N/A</v>
      </c>
      <c r="P370" s="372" t="str">
        <f>CS_PID!P370/VLOOKUP($B370,표2[#ALL],2)/HLOOKUP($A370,표1[#ALL],row(),false)</f>
        <v>#N/A</v>
      </c>
      <c r="Q370" s="372" t="str">
        <f>CS_PID!Q370/VLOOKUP($B370,표2[#ALL],2)/HLOOKUP($A370,표1[#ALL],row(),false)</f>
        <v>#N/A</v>
      </c>
      <c r="R370" s="372" t="str">
        <f>CS_PID!R370/VLOOKUP($B370,표2[#ALL],2)/HLOOKUP($A370,표1[#ALL],row(),false)</f>
        <v>#N/A</v>
      </c>
      <c r="S370" s="372" t="str">
        <f>CS_PID!S370/VLOOKUP($B370,표2[#ALL],2)/HLOOKUP($A370,표1[#ALL],row(),false)</f>
        <v>#N/A</v>
      </c>
      <c r="T370" s="372" t="str">
        <f>CS_PID!T370/VLOOKUP($B370,표2[#ALL],2)/HLOOKUP($A370,표1[#ALL],row(),false)</f>
        <v>#N/A</v>
      </c>
      <c r="U370" s="372" t="str">
        <f>CS_PID!U370/VLOOKUP($B370,표2[#ALL],2)/HLOOKUP($A370,표1[#ALL],row(),false)</f>
        <v>#N/A</v>
      </c>
      <c r="V370" s="372" t="str">
        <f>CS_PID!V370/VLOOKUP($B370,표2[#ALL],2)/HLOOKUP($A370,표1[#ALL],row(),false)</f>
        <v>#N/A</v>
      </c>
      <c r="W370" s="372" t="str">
        <f>CS_PID!W370/VLOOKUP($B370,표2[#ALL],2)/HLOOKUP($A370,표1[#ALL],row(),false)</f>
        <v>#N/A</v>
      </c>
      <c r="X370" s="372" t="str">
        <f>CS_PID!X370/VLOOKUP($B370,표2[#ALL],2)/HLOOKUP($A370,표1[#ALL],row(),false)</f>
        <v>#N/A</v>
      </c>
      <c r="Y370" s="372" t="str">
        <f>CS_PID!Y370/VLOOKUP($B370,표2[#ALL],2)/HLOOKUP($A370,표1[#ALL],row(),false)</f>
        <v>#N/A</v>
      </c>
      <c r="Z370" s="372" t="str">
        <f>CS_PID!Z370/VLOOKUP($B370,표2[#ALL],2)/HLOOKUP($A370,표1[#ALL],row(),false)</f>
        <v>#N/A</v>
      </c>
      <c r="AA370" s="372" t="str">
        <f>CS_PID!AA370/VLOOKUP($B370,표2[#ALL],2)/HLOOKUP($A370,표1[#ALL],row(),false)</f>
        <v>#N/A</v>
      </c>
      <c r="AB370" s="372" t="str">
        <f>CS_PID!AB370/VLOOKUP($B370,표2[#ALL],2)/HLOOKUP($A370,표1[#ALL],row(),false)</f>
        <v>#N/A</v>
      </c>
      <c r="AC370" s="372" t="str">
        <f>CS_PID!AC370/VLOOKUP($B370,표2[#ALL],2)/HLOOKUP($A370,표1[#ALL],row(),false)</f>
        <v>#N/A</v>
      </c>
      <c r="AD370" s="372" t="str">
        <f>CS_PID!AD370/VLOOKUP($B370,표2[#ALL],2)/HLOOKUP($A370,표1[#ALL],row(),false)</f>
        <v>#N/A</v>
      </c>
      <c r="AE370" s="372" t="str">
        <f>CS_PID!AE370/VLOOKUP($B370,표2[#ALL],2)/HLOOKUP($A370,표1[#ALL],row(),false)</f>
        <v>#N/A</v>
      </c>
      <c r="AF370" s="372" t="str">
        <f>CS_PID!AF370/VLOOKUP($B370,표2[#ALL],2)/HLOOKUP($A370,표1[#ALL],row(),false)</f>
        <v>#N/A</v>
      </c>
      <c r="AG370" s="372" t="str">
        <f>CS_PID!AG370/VLOOKUP($B370,표2[#ALL],2)/HLOOKUP($A370,표1[#ALL],row(),false)</f>
        <v>#N/A</v>
      </c>
      <c r="AH370" s="372" t="str">
        <f>CS_PID!AH370/VLOOKUP($B370,표2[#ALL],2)/HLOOKUP($A370,표1[#ALL],row(),false)</f>
        <v>#N/A</v>
      </c>
      <c r="AI370" s="372" t="str">
        <f>CS_PID!AI370/VLOOKUP($B370,표2[#ALL],2)/HLOOKUP($A370,표1[#ALL],row(),false)</f>
        <v>#N/A</v>
      </c>
      <c r="AJ370" s="372" t="str">
        <f>CS_PID!AJ370/VLOOKUP($B370,표2[#ALL],2)/HLOOKUP($A370,표1[#ALL],row(),false)</f>
        <v>#N/A</v>
      </c>
      <c r="AK370" s="372" t="str">
        <f>CS_PID!AK370/VLOOKUP($B370,표2[#ALL],2)/HLOOKUP($A370,표1[#ALL],row(),false)</f>
        <v>#N/A</v>
      </c>
      <c r="AL370" s="372" t="str">
        <f>CS_PID!AL370/VLOOKUP($B370,표2[#ALL],2)/HLOOKUP($A370,표1[#ALL],row(),false)</f>
        <v>#N/A</v>
      </c>
      <c r="AM370" s="372" t="str">
        <f>CS_PID!AM370/VLOOKUP($B370,표2[#ALL],2)/HLOOKUP($A370,표1[#ALL],row(),false)</f>
        <v>#N/A</v>
      </c>
      <c r="AN370" s="372" t="str">
        <f>CS_PID!AN370/VLOOKUP($B370,표2[#ALL],2)/HLOOKUP($A370,표1[#ALL],row(),false)</f>
        <v>#N/A</v>
      </c>
      <c r="AO370" s="372" t="str">
        <f>CS_PID!AO370/VLOOKUP($B370,표2[#ALL],2)/HLOOKUP($A370,표1[#ALL],row(),false)</f>
        <v>#N/A</v>
      </c>
      <c r="AP370" s="372" t="str">
        <f>CS_PID!AP370/VLOOKUP($B370,표2[#ALL],2)/HLOOKUP($A370,표1[#ALL],row(),false)</f>
        <v>#N/A</v>
      </c>
      <c r="AQ370" s="372" t="str">
        <f>CS_PID!AQ370/VLOOKUP($B370,표2[#ALL],2)/HLOOKUP($A370,표1[#ALL],row(),false)</f>
        <v>#N/A</v>
      </c>
      <c r="AR370" s="372" t="str">
        <f>CS_PID!AR370/VLOOKUP($B370,표2[#ALL],2)/HLOOKUP($A370,표1[#ALL],row(),false)</f>
        <v>#N/A</v>
      </c>
      <c r="AS370" s="373" t="str">
        <f>CS_PID!AS370/VLOOKUP($B370,표2[#ALL],2)/HLOOKUP($A370,표1[#ALL],row(),false)</f>
        <v>#N/A</v>
      </c>
    </row>
    <row r="371">
      <c r="A371" s="374"/>
      <c r="B371" s="375"/>
      <c r="C371" s="376" t="str">
        <f>CS_PID!C371/VLOOKUP($B371,표2[#ALL],2)</f>
        <v>#N/A</v>
      </c>
      <c r="D371" s="376" t="str">
        <f>CS_PID!D371/VLOOKUP($B371,표2[#ALL],2)</f>
        <v>#N/A</v>
      </c>
      <c r="E371" s="376" t="str">
        <f>CS_PID!E371/VLOOKUP($B371,표2[#ALL],2)</f>
        <v>#N/A</v>
      </c>
      <c r="F371" s="376" t="str">
        <f>CS_PID!F371/VLOOKUP($B371,표2[#ALL],2)</f>
        <v>#N/A</v>
      </c>
      <c r="G371" s="376" t="str">
        <f>CS_PID!G371/VLOOKUP($B371,표2[#ALL],2)</f>
        <v>#N/A</v>
      </c>
      <c r="H371" s="376" t="str">
        <f>CS_PID!H371/VLOOKUP($B371,표2[#ALL],2)/HLOOKUP($A371,표1[#ALL],row(),false)</f>
        <v>#N/A</v>
      </c>
      <c r="I371" s="376" t="str">
        <f>CS_PID!I371/VLOOKUP($B371,표2[#ALL],2)/HLOOKUP($A371,표1[#ALL],row(),false)</f>
        <v>#N/A</v>
      </c>
      <c r="J371" s="376" t="str">
        <f>CS_PID!J371/VLOOKUP($B371,표2[#ALL],2)/HLOOKUP($A371,표1[#ALL],row(),false)</f>
        <v>#N/A</v>
      </c>
      <c r="K371" s="376" t="str">
        <f>CS_PID!K371/VLOOKUP($B371,표2[#ALL],2)/HLOOKUP($A371,표1[#ALL],row(),false)</f>
        <v>#N/A</v>
      </c>
      <c r="L371" s="376" t="str">
        <f>CS_PID!L371/VLOOKUP($B371,표2[#ALL],2)/HLOOKUP($A371,표1[#ALL],row(),false)</f>
        <v>#N/A</v>
      </c>
      <c r="M371" s="376" t="str">
        <f>CS_PID!M371/VLOOKUP($B371,표2[#ALL],2)/HLOOKUP($A371,표1[#ALL],row(),false)</f>
        <v>#N/A</v>
      </c>
      <c r="N371" s="376" t="str">
        <f>CS_PID!N371/VLOOKUP($B371,표2[#ALL],2)/HLOOKUP($A371,표1[#ALL],row(),false)</f>
        <v>#N/A</v>
      </c>
      <c r="O371" s="376" t="str">
        <f>CS_PID!O371/VLOOKUP($B371,표2[#ALL],2)/HLOOKUP($A371,표1[#ALL],row(),false)</f>
        <v>#N/A</v>
      </c>
      <c r="P371" s="376" t="str">
        <f>CS_PID!P371/VLOOKUP($B371,표2[#ALL],2)/HLOOKUP($A371,표1[#ALL],row(),false)</f>
        <v>#N/A</v>
      </c>
      <c r="Q371" s="376" t="str">
        <f>CS_PID!Q371/VLOOKUP($B371,표2[#ALL],2)/HLOOKUP($A371,표1[#ALL],row(),false)</f>
        <v>#N/A</v>
      </c>
      <c r="R371" s="376" t="str">
        <f>CS_PID!R371/VLOOKUP($B371,표2[#ALL],2)/HLOOKUP($A371,표1[#ALL],row(),false)</f>
        <v>#N/A</v>
      </c>
      <c r="S371" s="376" t="str">
        <f>CS_PID!S371/VLOOKUP($B371,표2[#ALL],2)/HLOOKUP($A371,표1[#ALL],row(),false)</f>
        <v>#N/A</v>
      </c>
      <c r="T371" s="376" t="str">
        <f>CS_PID!T371/VLOOKUP($B371,표2[#ALL],2)/HLOOKUP($A371,표1[#ALL],row(),false)</f>
        <v>#N/A</v>
      </c>
      <c r="U371" s="376" t="str">
        <f>CS_PID!U371/VLOOKUP($B371,표2[#ALL],2)/HLOOKUP($A371,표1[#ALL],row(),false)</f>
        <v>#N/A</v>
      </c>
      <c r="V371" s="376" t="str">
        <f>CS_PID!V371/VLOOKUP($B371,표2[#ALL],2)/HLOOKUP($A371,표1[#ALL],row(),false)</f>
        <v>#N/A</v>
      </c>
      <c r="W371" s="376" t="str">
        <f>CS_PID!W371/VLOOKUP($B371,표2[#ALL],2)/HLOOKUP($A371,표1[#ALL],row(),false)</f>
        <v>#N/A</v>
      </c>
      <c r="X371" s="376" t="str">
        <f>CS_PID!X371/VLOOKUP($B371,표2[#ALL],2)/HLOOKUP($A371,표1[#ALL],row(),false)</f>
        <v>#N/A</v>
      </c>
      <c r="Y371" s="376" t="str">
        <f>CS_PID!Y371/VLOOKUP($B371,표2[#ALL],2)/HLOOKUP($A371,표1[#ALL],row(),false)</f>
        <v>#N/A</v>
      </c>
      <c r="Z371" s="376" t="str">
        <f>CS_PID!Z371/VLOOKUP($B371,표2[#ALL],2)/HLOOKUP($A371,표1[#ALL],row(),false)</f>
        <v>#N/A</v>
      </c>
      <c r="AA371" s="376" t="str">
        <f>CS_PID!AA371/VLOOKUP($B371,표2[#ALL],2)/HLOOKUP($A371,표1[#ALL],row(),false)</f>
        <v>#N/A</v>
      </c>
      <c r="AB371" s="376" t="str">
        <f>CS_PID!AB371/VLOOKUP($B371,표2[#ALL],2)/HLOOKUP($A371,표1[#ALL],row(),false)</f>
        <v>#N/A</v>
      </c>
      <c r="AC371" s="376" t="str">
        <f>CS_PID!AC371/VLOOKUP($B371,표2[#ALL],2)/HLOOKUP($A371,표1[#ALL],row(),false)</f>
        <v>#N/A</v>
      </c>
      <c r="AD371" s="376" t="str">
        <f>CS_PID!AD371/VLOOKUP($B371,표2[#ALL],2)/HLOOKUP($A371,표1[#ALL],row(),false)</f>
        <v>#N/A</v>
      </c>
      <c r="AE371" s="376" t="str">
        <f>CS_PID!AE371/VLOOKUP($B371,표2[#ALL],2)/HLOOKUP($A371,표1[#ALL],row(),false)</f>
        <v>#N/A</v>
      </c>
      <c r="AF371" s="376" t="str">
        <f>CS_PID!AF371/VLOOKUP($B371,표2[#ALL],2)/HLOOKUP($A371,표1[#ALL],row(),false)</f>
        <v>#N/A</v>
      </c>
      <c r="AG371" s="376" t="str">
        <f>CS_PID!AG371/VLOOKUP($B371,표2[#ALL],2)/HLOOKUP($A371,표1[#ALL],row(),false)</f>
        <v>#N/A</v>
      </c>
      <c r="AH371" s="376" t="str">
        <f>CS_PID!AH371/VLOOKUP($B371,표2[#ALL],2)/HLOOKUP($A371,표1[#ALL],row(),false)</f>
        <v>#N/A</v>
      </c>
      <c r="AI371" s="376" t="str">
        <f>CS_PID!AI371/VLOOKUP($B371,표2[#ALL],2)/HLOOKUP($A371,표1[#ALL],row(),false)</f>
        <v>#N/A</v>
      </c>
      <c r="AJ371" s="376" t="str">
        <f>CS_PID!AJ371/VLOOKUP($B371,표2[#ALL],2)/HLOOKUP($A371,표1[#ALL],row(),false)</f>
        <v>#N/A</v>
      </c>
      <c r="AK371" s="376" t="str">
        <f>CS_PID!AK371/VLOOKUP($B371,표2[#ALL],2)/HLOOKUP($A371,표1[#ALL],row(),false)</f>
        <v>#N/A</v>
      </c>
      <c r="AL371" s="376" t="str">
        <f>CS_PID!AL371/VLOOKUP($B371,표2[#ALL],2)/HLOOKUP($A371,표1[#ALL],row(),false)</f>
        <v>#N/A</v>
      </c>
      <c r="AM371" s="376" t="str">
        <f>CS_PID!AM371/VLOOKUP($B371,표2[#ALL],2)/HLOOKUP($A371,표1[#ALL],row(),false)</f>
        <v>#N/A</v>
      </c>
      <c r="AN371" s="376" t="str">
        <f>CS_PID!AN371/VLOOKUP($B371,표2[#ALL],2)/HLOOKUP($A371,표1[#ALL],row(),false)</f>
        <v>#N/A</v>
      </c>
      <c r="AO371" s="376" t="str">
        <f>CS_PID!AO371/VLOOKUP($B371,표2[#ALL],2)/HLOOKUP($A371,표1[#ALL],row(),false)</f>
        <v>#N/A</v>
      </c>
      <c r="AP371" s="376" t="str">
        <f>CS_PID!AP371/VLOOKUP($B371,표2[#ALL],2)/HLOOKUP($A371,표1[#ALL],row(),false)</f>
        <v>#N/A</v>
      </c>
      <c r="AQ371" s="376" t="str">
        <f>CS_PID!AQ371/VLOOKUP($B371,표2[#ALL],2)/HLOOKUP($A371,표1[#ALL],row(),false)</f>
        <v>#N/A</v>
      </c>
      <c r="AR371" s="376" t="str">
        <f>CS_PID!AR371/VLOOKUP($B371,표2[#ALL],2)/HLOOKUP($A371,표1[#ALL],row(),false)</f>
        <v>#N/A</v>
      </c>
      <c r="AS371" s="377" t="str">
        <f>CS_PID!AS371/VLOOKUP($B371,표2[#ALL],2)/HLOOKUP($A371,표1[#ALL],row(),false)</f>
        <v>#N/A</v>
      </c>
    </row>
    <row r="372">
      <c r="A372" s="370"/>
      <c r="B372" s="371"/>
      <c r="C372" s="372" t="str">
        <f>CS_PID!C372/VLOOKUP($B372,표2[#ALL],2)</f>
        <v>#N/A</v>
      </c>
      <c r="D372" s="372" t="str">
        <f>CS_PID!D372/VLOOKUP($B372,표2[#ALL],2)</f>
        <v>#N/A</v>
      </c>
      <c r="E372" s="372" t="str">
        <f>CS_PID!E372/VLOOKUP($B372,표2[#ALL],2)</f>
        <v>#N/A</v>
      </c>
      <c r="F372" s="372" t="str">
        <f>CS_PID!F372/VLOOKUP($B372,표2[#ALL],2)</f>
        <v>#N/A</v>
      </c>
      <c r="G372" s="372" t="str">
        <f>CS_PID!G372/VLOOKUP($B372,표2[#ALL],2)</f>
        <v>#N/A</v>
      </c>
      <c r="H372" s="372" t="str">
        <f>CS_PID!H372/VLOOKUP($B372,표2[#ALL],2)/HLOOKUP($A372,표1[#ALL],row(),false)</f>
        <v>#N/A</v>
      </c>
      <c r="I372" s="372" t="str">
        <f>CS_PID!I372/VLOOKUP($B372,표2[#ALL],2)/HLOOKUP($A372,표1[#ALL],row(),false)</f>
        <v>#N/A</v>
      </c>
      <c r="J372" s="372" t="str">
        <f>CS_PID!J372/VLOOKUP($B372,표2[#ALL],2)/HLOOKUP($A372,표1[#ALL],row(),false)</f>
        <v>#N/A</v>
      </c>
      <c r="K372" s="372" t="str">
        <f>CS_PID!K372/VLOOKUP($B372,표2[#ALL],2)/HLOOKUP($A372,표1[#ALL],row(),false)</f>
        <v>#N/A</v>
      </c>
      <c r="L372" s="372" t="str">
        <f>CS_PID!L372/VLOOKUP($B372,표2[#ALL],2)/HLOOKUP($A372,표1[#ALL],row(),false)</f>
        <v>#N/A</v>
      </c>
      <c r="M372" s="372" t="str">
        <f>CS_PID!M372/VLOOKUP($B372,표2[#ALL],2)/HLOOKUP($A372,표1[#ALL],row(),false)</f>
        <v>#N/A</v>
      </c>
      <c r="N372" s="372" t="str">
        <f>CS_PID!N372/VLOOKUP($B372,표2[#ALL],2)/HLOOKUP($A372,표1[#ALL],row(),false)</f>
        <v>#N/A</v>
      </c>
      <c r="O372" s="372" t="str">
        <f>CS_PID!O372/VLOOKUP($B372,표2[#ALL],2)/HLOOKUP($A372,표1[#ALL],row(),false)</f>
        <v>#N/A</v>
      </c>
      <c r="P372" s="372" t="str">
        <f>CS_PID!P372/VLOOKUP($B372,표2[#ALL],2)/HLOOKUP($A372,표1[#ALL],row(),false)</f>
        <v>#N/A</v>
      </c>
      <c r="Q372" s="372" t="str">
        <f>CS_PID!Q372/VLOOKUP($B372,표2[#ALL],2)/HLOOKUP($A372,표1[#ALL],row(),false)</f>
        <v>#N/A</v>
      </c>
      <c r="R372" s="372" t="str">
        <f>CS_PID!R372/VLOOKUP($B372,표2[#ALL],2)/HLOOKUP($A372,표1[#ALL],row(),false)</f>
        <v>#N/A</v>
      </c>
      <c r="S372" s="372" t="str">
        <f>CS_PID!S372/VLOOKUP($B372,표2[#ALL],2)/HLOOKUP($A372,표1[#ALL],row(),false)</f>
        <v>#N/A</v>
      </c>
      <c r="T372" s="372" t="str">
        <f>CS_PID!T372/VLOOKUP($B372,표2[#ALL],2)/HLOOKUP($A372,표1[#ALL],row(),false)</f>
        <v>#N/A</v>
      </c>
      <c r="U372" s="372" t="str">
        <f>CS_PID!U372/VLOOKUP($B372,표2[#ALL],2)/HLOOKUP($A372,표1[#ALL],row(),false)</f>
        <v>#N/A</v>
      </c>
      <c r="V372" s="372" t="str">
        <f>CS_PID!V372/VLOOKUP($B372,표2[#ALL],2)/HLOOKUP($A372,표1[#ALL],row(),false)</f>
        <v>#N/A</v>
      </c>
      <c r="W372" s="372" t="str">
        <f>CS_PID!W372/VLOOKUP($B372,표2[#ALL],2)/HLOOKUP($A372,표1[#ALL],row(),false)</f>
        <v>#N/A</v>
      </c>
      <c r="X372" s="372" t="str">
        <f>CS_PID!X372/VLOOKUP($B372,표2[#ALL],2)/HLOOKUP($A372,표1[#ALL],row(),false)</f>
        <v>#N/A</v>
      </c>
      <c r="Y372" s="372" t="str">
        <f>CS_PID!Y372/VLOOKUP($B372,표2[#ALL],2)/HLOOKUP($A372,표1[#ALL],row(),false)</f>
        <v>#N/A</v>
      </c>
      <c r="Z372" s="372" t="str">
        <f>CS_PID!Z372/VLOOKUP($B372,표2[#ALL],2)/HLOOKUP($A372,표1[#ALL],row(),false)</f>
        <v>#N/A</v>
      </c>
      <c r="AA372" s="372" t="str">
        <f>CS_PID!AA372/VLOOKUP($B372,표2[#ALL],2)/HLOOKUP($A372,표1[#ALL],row(),false)</f>
        <v>#N/A</v>
      </c>
      <c r="AB372" s="372" t="str">
        <f>CS_PID!AB372/VLOOKUP($B372,표2[#ALL],2)/HLOOKUP($A372,표1[#ALL],row(),false)</f>
        <v>#N/A</v>
      </c>
      <c r="AC372" s="372" t="str">
        <f>CS_PID!AC372/VLOOKUP($B372,표2[#ALL],2)/HLOOKUP($A372,표1[#ALL],row(),false)</f>
        <v>#N/A</v>
      </c>
      <c r="AD372" s="372" t="str">
        <f>CS_PID!AD372/VLOOKUP($B372,표2[#ALL],2)/HLOOKUP($A372,표1[#ALL],row(),false)</f>
        <v>#N/A</v>
      </c>
      <c r="AE372" s="372" t="str">
        <f>CS_PID!AE372/VLOOKUP($B372,표2[#ALL],2)/HLOOKUP($A372,표1[#ALL],row(),false)</f>
        <v>#N/A</v>
      </c>
      <c r="AF372" s="372" t="str">
        <f>CS_PID!AF372/VLOOKUP($B372,표2[#ALL],2)/HLOOKUP($A372,표1[#ALL],row(),false)</f>
        <v>#N/A</v>
      </c>
      <c r="AG372" s="372" t="str">
        <f>CS_PID!AG372/VLOOKUP($B372,표2[#ALL],2)/HLOOKUP($A372,표1[#ALL],row(),false)</f>
        <v>#N/A</v>
      </c>
      <c r="AH372" s="372" t="str">
        <f>CS_PID!AH372/VLOOKUP($B372,표2[#ALL],2)/HLOOKUP($A372,표1[#ALL],row(),false)</f>
        <v>#N/A</v>
      </c>
      <c r="AI372" s="372" t="str">
        <f>CS_PID!AI372/VLOOKUP($B372,표2[#ALL],2)/HLOOKUP($A372,표1[#ALL],row(),false)</f>
        <v>#N/A</v>
      </c>
      <c r="AJ372" s="372" t="str">
        <f>CS_PID!AJ372/VLOOKUP($B372,표2[#ALL],2)/HLOOKUP($A372,표1[#ALL],row(),false)</f>
        <v>#N/A</v>
      </c>
      <c r="AK372" s="372" t="str">
        <f>CS_PID!AK372/VLOOKUP($B372,표2[#ALL],2)/HLOOKUP($A372,표1[#ALL],row(),false)</f>
        <v>#N/A</v>
      </c>
      <c r="AL372" s="372" t="str">
        <f>CS_PID!AL372/VLOOKUP($B372,표2[#ALL],2)/HLOOKUP($A372,표1[#ALL],row(),false)</f>
        <v>#N/A</v>
      </c>
      <c r="AM372" s="372" t="str">
        <f>CS_PID!AM372/VLOOKUP($B372,표2[#ALL],2)/HLOOKUP($A372,표1[#ALL],row(),false)</f>
        <v>#N/A</v>
      </c>
      <c r="AN372" s="372" t="str">
        <f>CS_PID!AN372/VLOOKUP($B372,표2[#ALL],2)/HLOOKUP($A372,표1[#ALL],row(),false)</f>
        <v>#N/A</v>
      </c>
      <c r="AO372" s="372" t="str">
        <f>CS_PID!AO372/VLOOKUP($B372,표2[#ALL],2)/HLOOKUP($A372,표1[#ALL],row(),false)</f>
        <v>#N/A</v>
      </c>
      <c r="AP372" s="372" t="str">
        <f>CS_PID!AP372/VLOOKUP($B372,표2[#ALL],2)/HLOOKUP($A372,표1[#ALL],row(),false)</f>
        <v>#N/A</v>
      </c>
      <c r="AQ372" s="372" t="str">
        <f>CS_PID!AQ372/VLOOKUP($B372,표2[#ALL],2)/HLOOKUP($A372,표1[#ALL],row(),false)</f>
        <v>#N/A</v>
      </c>
      <c r="AR372" s="372" t="str">
        <f>CS_PID!AR372/VLOOKUP($B372,표2[#ALL],2)/HLOOKUP($A372,표1[#ALL],row(),false)</f>
        <v>#N/A</v>
      </c>
      <c r="AS372" s="373" t="str">
        <f>CS_PID!AS372/VLOOKUP($B372,표2[#ALL],2)/HLOOKUP($A372,표1[#ALL],row(),false)</f>
        <v>#N/A</v>
      </c>
    </row>
    <row r="373">
      <c r="A373" s="374"/>
      <c r="B373" s="375"/>
      <c r="C373" s="376" t="str">
        <f>CS_PID!C373/VLOOKUP($B373,표2[#ALL],2)</f>
        <v>#N/A</v>
      </c>
      <c r="D373" s="376" t="str">
        <f>CS_PID!D373/VLOOKUP($B373,표2[#ALL],2)</f>
        <v>#N/A</v>
      </c>
      <c r="E373" s="376" t="str">
        <f>CS_PID!E373/VLOOKUP($B373,표2[#ALL],2)</f>
        <v>#N/A</v>
      </c>
      <c r="F373" s="376" t="str">
        <f>CS_PID!F373/VLOOKUP($B373,표2[#ALL],2)</f>
        <v>#N/A</v>
      </c>
      <c r="G373" s="376" t="str">
        <f>CS_PID!G373/VLOOKUP($B373,표2[#ALL],2)</f>
        <v>#N/A</v>
      </c>
      <c r="H373" s="376" t="str">
        <f>CS_PID!H373/VLOOKUP($B373,표2[#ALL],2)/HLOOKUP($A373,표1[#ALL],row(),false)</f>
        <v>#N/A</v>
      </c>
      <c r="I373" s="376" t="str">
        <f>CS_PID!I373/VLOOKUP($B373,표2[#ALL],2)/HLOOKUP($A373,표1[#ALL],row(),false)</f>
        <v>#N/A</v>
      </c>
      <c r="J373" s="376" t="str">
        <f>CS_PID!J373/VLOOKUP($B373,표2[#ALL],2)/HLOOKUP($A373,표1[#ALL],row(),false)</f>
        <v>#N/A</v>
      </c>
      <c r="K373" s="376" t="str">
        <f>CS_PID!K373/VLOOKUP($B373,표2[#ALL],2)/HLOOKUP($A373,표1[#ALL],row(),false)</f>
        <v>#N/A</v>
      </c>
      <c r="L373" s="376" t="str">
        <f>CS_PID!L373/VLOOKUP($B373,표2[#ALL],2)/HLOOKUP($A373,표1[#ALL],row(),false)</f>
        <v>#N/A</v>
      </c>
      <c r="M373" s="376" t="str">
        <f>CS_PID!M373/VLOOKUP($B373,표2[#ALL],2)/HLOOKUP($A373,표1[#ALL],row(),false)</f>
        <v>#N/A</v>
      </c>
      <c r="N373" s="376" t="str">
        <f>CS_PID!N373/VLOOKUP($B373,표2[#ALL],2)/HLOOKUP($A373,표1[#ALL],row(),false)</f>
        <v>#N/A</v>
      </c>
      <c r="O373" s="376" t="str">
        <f>CS_PID!O373/VLOOKUP($B373,표2[#ALL],2)/HLOOKUP($A373,표1[#ALL],row(),false)</f>
        <v>#N/A</v>
      </c>
      <c r="P373" s="376" t="str">
        <f>CS_PID!P373/VLOOKUP($B373,표2[#ALL],2)/HLOOKUP($A373,표1[#ALL],row(),false)</f>
        <v>#N/A</v>
      </c>
      <c r="Q373" s="376" t="str">
        <f>CS_PID!Q373/VLOOKUP($B373,표2[#ALL],2)/HLOOKUP($A373,표1[#ALL],row(),false)</f>
        <v>#N/A</v>
      </c>
      <c r="R373" s="376" t="str">
        <f>CS_PID!R373/VLOOKUP($B373,표2[#ALL],2)/HLOOKUP($A373,표1[#ALL],row(),false)</f>
        <v>#N/A</v>
      </c>
      <c r="S373" s="376" t="str">
        <f>CS_PID!S373/VLOOKUP($B373,표2[#ALL],2)/HLOOKUP($A373,표1[#ALL],row(),false)</f>
        <v>#N/A</v>
      </c>
      <c r="T373" s="376" t="str">
        <f>CS_PID!T373/VLOOKUP($B373,표2[#ALL],2)/HLOOKUP($A373,표1[#ALL],row(),false)</f>
        <v>#N/A</v>
      </c>
      <c r="U373" s="376" t="str">
        <f>CS_PID!U373/VLOOKUP($B373,표2[#ALL],2)/HLOOKUP($A373,표1[#ALL],row(),false)</f>
        <v>#N/A</v>
      </c>
      <c r="V373" s="376" t="str">
        <f>CS_PID!V373/VLOOKUP($B373,표2[#ALL],2)/HLOOKUP($A373,표1[#ALL],row(),false)</f>
        <v>#N/A</v>
      </c>
      <c r="W373" s="376" t="str">
        <f>CS_PID!W373/VLOOKUP($B373,표2[#ALL],2)/HLOOKUP($A373,표1[#ALL],row(),false)</f>
        <v>#N/A</v>
      </c>
      <c r="X373" s="376" t="str">
        <f>CS_PID!X373/VLOOKUP($B373,표2[#ALL],2)/HLOOKUP($A373,표1[#ALL],row(),false)</f>
        <v>#N/A</v>
      </c>
      <c r="Y373" s="376" t="str">
        <f>CS_PID!Y373/VLOOKUP($B373,표2[#ALL],2)/HLOOKUP($A373,표1[#ALL],row(),false)</f>
        <v>#N/A</v>
      </c>
      <c r="Z373" s="376" t="str">
        <f>CS_PID!Z373/VLOOKUP($B373,표2[#ALL],2)/HLOOKUP($A373,표1[#ALL],row(),false)</f>
        <v>#N/A</v>
      </c>
      <c r="AA373" s="376" t="str">
        <f>CS_PID!AA373/VLOOKUP($B373,표2[#ALL],2)/HLOOKUP($A373,표1[#ALL],row(),false)</f>
        <v>#N/A</v>
      </c>
      <c r="AB373" s="376" t="str">
        <f>CS_PID!AB373/VLOOKUP($B373,표2[#ALL],2)/HLOOKUP($A373,표1[#ALL],row(),false)</f>
        <v>#N/A</v>
      </c>
      <c r="AC373" s="376" t="str">
        <f>CS_PID!AC373/VLOOKUP($B373,표2[#ALL],2)/HLOOKUP($A373,표1[#ALL],row(),false)</f>
        <v>#N/A</v>
      </c>
      <c r="AD373" s="376" t="str">
        <f>CS_PID!AD373/VLOOKUP($B373,표2[#ALL],2)/HLOOKUP($A373,표1[#ALL],row(),false)</f>
        <v>#N/A</v>
      </c>
      <c r="AE373" s="376" t="str">
        <f>CS_PID!AE373/VLOOKUP($B373,표2[#ALL],2)/HLOOKUP($A373,표1[#ALL],row(),false)</f>
        <v>#N/A</v>
      </c>
      <c r="AF373" s="376" t="str">
        <f>CS_PID!AF373/VLOOKUP($B373,표2[#ALL],2)/HLOOKUP($A373,표1[#ALL],row(),false)</f>
        <v>#N/A</v>
      </c>
      <c r="AG373" s="376" t="str">
        <f>CS_PID!AG373/VLOOKUP($B373,표2[#ALL],2)/HLOOKUP($A373,표1[#ALL],row(),false)</f>
        <v>#N/A</v>
      </c>
      <c r="AH373" s="376" t="str">
        <f>CS_PID!AH373/VLOOKUP($B373,표2[#ALL],2)/HLOOKUP($A373,표1[#ALL],row(),false)</f>
        <v>#N/A</v>
      </c>
      <c r="AI373" s="376" t="str">
        <f>CS_PID!AI373/VLOOKUP($B373,표2[#ALL],2)/HLOOKUP($A373,표1[#ALL],row(),false)</f>
        <v>#N/A</v>
      </c>
      <c r="AJ373" s="376" t="str">
        <f>CS_PID!AJ373/VLOOKUP($B373,표2[#ALL],2)/HLOOKUP($A373,표1[#ALL],row(),false)</f>
        <v>#N/A</v>
      </c>
      <c r="AK373" s="376" t="str">
        <f>CS_PID!AK373/VLOOKUP($B373,표2[#ALL],2)/HLOOKUP($A373,표1[#ALL],row(),false)</f>
        <v>#N/A</v>
      </c>
      <c r="AL373" s="376" t="str">
        <f>CS_PID!AL373/VLOOKUP($B373,표2[#ALL],2)/HLOOKUP($A373,표1[#ALL],row(),false)</f>
        <v>#N/A</v>
      </c>
      <c r="AM373" s="376" t="str">
        <f>CS_PID!AM373/VLOOKUP($B373,표2[#ALL],2)/HLOOKUP($A373,표1[#ALL],row(),false)</f>
        <v>#N/A</v>
      </c>
      <c r="AN373" s="376" t="str">
        <f>CS_PID!AN373/VLOOKUP($B373,표2[#ALL],2)/HLOOKUP($A373,표1[#ALL],row(),false)</f>
        <v>#N/A</v>
      </c>
      <c r="AO373" s="376" t="str">
        <f>CS_PID!AO373/VLOOKUP($B373,표2[#ALL],2)/HLOOKUP($A373,표1[#ALL],row(),false)</f>
        <v>#N/A</v>
      </c>
      <c r="AP373" s="376" t="str">
        <f>CS_PID!AP373/VLOOKUP($B373,표2[#ALL],2)/HLOOKUP($A373,표1[#ALL],row(),false)</f>
        <v>#N/A</v>
      </c>
      <c r="AQ373" s="376" t="str">
        <f>CS_PID!AQ373/VLOOKUP($B373,표2[#ALL],2)/HLOOKUP($A373,표1[#ALL],row(),false)</f>
        <v>#N/A</v>
      </c>
      <c r="AR373" s="376" t="str">
        <f>CS_PID!AR373/VLOOKUP($B373,표2[#ALL],2)/HLOOKUP($A373,표1[#ALL],row(),false)</f>
        <v>#N/A</v>
      </c>
      <c r="AS373" s="377" t="str">
        <f>CS_PID!AS373/VLOOKUP($B373,표2[#ALL],2)/HLOOKUP($A373,표1[#ALL],row(),false)</f>
        <v>#N/A</v>
      </c>
    </row>
    <row r="374">
      <c r="A374" s="370"/>
      <c r="B374" s="371"/>
      <c r="C374" s="372" t="str">
        <f>CS_PID!C374/VLOOKUP($B374,표2[#ALL],2)</f>
        <v>#N/A</v>
      </c>
      <c r="D374" s="372" t="str">
        <f>CS_PID!D374/VLOOKUP($B374,표2[#ALL],2)</f>
        <v>#N/A</v>
      </c>
      <c r="E374" s="372" t="str">
        <f>CS_PID!E374/VLOOKUP($B374,표2[#ALL],2)</f>
        <v>#N/A</v>
      </c>
      <c r="F374" s="372" t="str">
        <f>CS_PID!F374/VLOOKUP($B374,표2[#ALL],2)</f>
        <v>#N/A</v>
      </c>
      <c r="G374" s="372" t="str">
        <f>CS_PID!G374/VLOOKUP($B374,표2[#ALL],2)</f>
        <v>#N/A</v>
      </c>
      <c r="H374" s="372" t="str">
        <f>CS_PID!H374/VLOOKUP($B374,표2[#ALL],2)/HLOOKUP($A374,표1[#ALL],row(),false)</f>
        <v>#N/A</v>
      </c>
      <c r="I374" s="372" t="str">
        <f>CS_PID!I374/VLOOKUP($B374,표2[#ALL],2)/HLOOKUP($A374,표1[#ALL],row(),false)</f>
        <v>#N/A</v>
      </c>
      <c r="J374" s="372" t="str">
        <f>CS_PID!J374/VLOOKUP($B374,표2[#ALL],2)/HLOOKUP($A374,표1[#ALL],row(),false)</f>
        <v>#N/A</v>
      </c>
      <c r="K374" s="372" t="str">
        <f>CS_PID!K374/VLOOKUP($B374,표2[#ALL],2)/HLOOKUP($A374,표1[#ALL],row(),false)</f>
        <v>#N/A</v>
      </c>
      <c r="L374" s="372" t="str">
        <f>CS_PID!L374/VLOOKUP($B374,표2[#ALL],2)/HLOOKUP($A374,표1[#ALL],row(),false)</f>
        <v>#N/A</v>
      </c>
      <c r="M374" s="372" t="str">
        <f>CS_PID!M374/VLOOKUP($B374,표2[#ALL],2)/HLOOKUP($A374,표1[#ALL],row(),false)</f>
        <v>#N/A</v>
      </c>
      <c r="N374" s="372" t="str">
        <f>CS_PID!N374/VLOOKUP($B374,표2[#ALL],2)/HLOOKUP($A374,표1[#ALL],row(),false)</f>
        <v>#N/A</v>
      </c>
      <c r="O374" s="372" t="str">
        <f>CS_PID!O374/VLOOKUP($B374,표2[#ALL],2)/HLOOKUP($A374,표1[#ALL],row(),false)</f>
        <v>#N/A</v>
      </c>
      <c r="P374" s="372" t="str">
        <f>CS_PID!P374/VLOOKUP($B374,표2[#ALL],2)/HLOOKUP($A374,표1[#ALL],row(),false)</f>
        <v>#N/A</v>
      </c>
      <c r="Q374" s="372" t="str">
        <f>CS_PID!Q374/VLOOKUP($B374,표2[#ALL],2)/HLOOKUP($A374,표1[#ALL],row(),false)</f>
        <v>#N/A</v>
      </c>
      <c r="R374" s="372" t="str">
        <f>CS_PID!R374/VLOOKUP($B374,표2[#ALL],2)/HLOOKUP($A374,표1[#ALL],row(),false)</f>
        <v>#N/A</v>
      </c>
      <c r="S374" s="372" t="str">
        <f>CS_PID!S374/VLOOKUP($B374,표2[#ALL],2)/HLOOKUP($A374,표1[#ALL],row(),false)</f>
        <v>#N/A</v>
      </c>
      <c r="T374" s="372" t="str">
        <f>CS_PID!T374/VLOOKUP($B374,표2[#ALL],2)/HLOOKUP($A374,표1[#ALL],row(),false)</f>
        <v>#N/A</v>
      </c>
      <c r="U374" s="372" t="str">
        <f>CS_PID!U374/VLOOKUP($B374,표2[#ALL],2)/HLOOKUP($A374,표1[#ALL],row(),false)</f>
        <v>#N/A</v>
      </c>
      <c r="V374" s="372" t="str">
        <f>CS_PID!V374/VLOOKUP($B374,표2[#ALL],2)/HLOOKUP($A374,표1[#ALL],row(),false)</f>
        <v>#N/A</v>
      </c>
      <c r="W374" s="372" t="str">
        <f>CS_PID!W374/VLOOKUP($B374,표2[#ALL],2)/HLOOKUP($A374,표1[#ALL],row(),false)</f>
        <v>#N/A</v>
      </c>
      <c r="X374" s="372" t="str">
        <f>CS_PID!X374/VLOOKUP($B374,표2[#ALL],2)/HLOOKUP($A374,표1[#ALL],row(),false)</f>
        <v>#N/A</v>
      </c>
      <c r="Y374" s="372" t="str">
        <f>CS_PID!Y374/VLOOKUP($B374,표2[#ALL],2)/HLOOKUP($A374,표1[#ALL],row(),false)</f>
        <v>#N/A</v>
      </c>
      <c r="Z374" s="372" t="str">
        <f>CS_PID!Z374/VLOOKUP($B374,표2[#ALL],2)/HLOOKUP($A374,표1[#ALL],row(),false)</f>
        <v>#N/A</v>
      </c>
      <c r="AA374" s="372" t="str">
        <f>CS_PID!AA374/VLOOKUP($B374,표2[#ALL],2)/HLOOKUP($A374,표1[#ALL],row(),false)</f>
        <v>#N/A</v>
      </c>
      <c r="AB374" s="372" t="str">
        <f>CS_PID!AB374/VLOOKUP($B374,표2[#ALL],2)/HLOOKUP($A374,표1[#ALL],row(),false)</f>
        <v>#N/A</v>
      </c>
      <c r="AC374" s="372" t="str">
        <f>CS_PID!AC374/VLOOKUP($B374,표2[#ALL],2)/HLOOKUP($A374,표1[#ALL],row(),false)</f>
        <v>#N/A</v>
      </c>
      <c r="AD374" s="372" t="str">
        <f>CS_PID!AD374/VLOOKUP($B374,표2[#ALL],2)/HLOOKUP($A374,표1[#ALL],row(),false)</f>
        <v>#N/A</v>
      </c>
      <c r="AE374" s="372" t="str">
        <f>CS_PID!AE374/VLOOKUP($B374,표2[#ALL],2)/HLOOKUP($A374,표1[#ALL],row(),false)</f>
        <v>#N/A</v>
      </c>
      <c r="AF374" s="372" t="str">
        <f>CS_PID!AF374/VLOOKUP($B374,표2[#ALL],2)/HLOOKUP($A374,표1[#ALL],row(),false)</f>
        <v>#N/A</v>
      </c>
      <c r="AG374" s="372" t="str">
        <f>CS_PID!AG374/VLOOKUP($B374,표2[#ALL],2)/HLOOKUP($A374,표1[#ALL],row(),false)</f>
        <v>#N/A</v>
      </c>
      <c r="AH374" s="372" t="str">
        <f>CS_PID!AH374/VLOOKUP($B374,표2[#ALL],2)/HLOOKUP($A374,표1[#ALL],row(),false)</f>
        <v>#N/A</v>
      </c>
      <c r="AI374" s="372" t="str">
        <f>CS_PID!AI374/VLOOKUP($B374,표2[#ALL],2)/HLOOKUP($A374,표1[#ALL],row(),false)</f>
        <v>#N/A</v>
      </c>
      <c r="AJ374" s="372" t="str">
        <f>CS_PID!AJ374/VLOOKUP($B374,표2[#ALL],2)/HLOOKUP($A374,표1[#ALL],row(),false)</f>
        <v>#N/A</v>
      </c>
      <c r="AK374" s="372" t="str">
        <f>CS_PID!AK374/VLOOKUP($B374,표2[#ALL],2)/HLOOKUP($A374,표1[#ALL],row(),false)</f>
        <v>#N/A</v>
      </c>
      <c r="AL374" s="372" t="str">
        <f>CS_PID!AL374/VLOOKUP($B374,표2[#ALL],2)/HLOOKUP($A374,표1[#ALL],row(),false)</f>
        <v>#N/A</v>
      </c>
      <c r="AM374" s="372" t="str">
        <f>CS_PID!AM374/VLOOKUP($B374,표2[#ALL],2)/HLOOKUP($A374,표1[#ALL],row(),false)</f>
        <v>#N/A</v>
      </c>
      <c r="AN374" s="372" t="str">
        <f>CS_PID!AN374/VLOOKUP($B374,표2[#ALL],2)/HLOOKUP($A374,표1[#ALL],row(),false)</f>
        <v>#N/A</v>
      </c>
      <c r="AO374" s="372" t="str">
        <f>CS_PID!AO374/VLOOKUP($B374,표2[#ALL],2)/HLOOKUP($A374,표1[#ALL],row(),false)</f>
        <v>#N/A</v>
      </c>
      <c r="AP374" s="372" t="str">
        <f>CS_PID!AP374/VLOOKUP($B374,표2[#ALL],2)/HLOOKUP($A374,표1[#ALL],row(),false)</f>
        <v>#N/A</v>
      </c>
      <c r="AQ374" s="372" t="str">
        <f>CS_PID!AQ374/VLOOKUP($B374,표2[#ALL],2)/HLOOKUP($A374,표1[#ALL],row(),false)</f>
        <v>#N/A</v>
      </c>
      <c r="AR374" s="372" t="str">
        <f>CS_PID!AR374/VLOOKUP($B374,표2[#ALL],2)/HLOOKUP($A374,표1[#ALL],row(),false)</f>
        <v>#N/A</v>
      </c>
      <c r="AS374" s="373" t="str">
        <f>CS_PID!AS374/VLOOKUP($B374,표2[#ALL],2)/HLOOKUP($A374,표1[#ALL],row(),false)</f>
        <v>#N/A</v>
      </c>
    </row>
    <row r="375">
      <c r="A375" s="374"/>
      <c r="B375" s="375"/>
      <c r="C375" s="376" t="str">
        <f>CS_PID!C375/VLOOKUP($B375,표2[#ALL],2)</f>
        <v>#N/A</v>
      </c>
      <c r="D375" s="376" t="str">
        <f>CS_PID!D375/VLOOKUP($B375,표2[#ALL],2)</f>
        <v>#N/A</v>
      </c>
      <c r="E375" s="376" t="str">
        <f>CS_PID!E375/VLOOKUP($B375,표2[#ALL],2)</f>
        <v>#N/A</v>
      </c>
      <c r="F375" s="376" t="str">
        <f>CS_PID!F375/VLOOKUP($B375,표2[#ALL],2)</f>
        <v>#N/A</v>
      </c>
      <c r="G375" s="376" t="str">
        <f>CS_PID!G375/VLOOKUP($B375,표2[#ALL],2)</f>
        <v>#N/A</v>
      </c>
      <c r="H375" s="376" t="str">
        <f>CS_PID!H375/VLOOKUP($B375,표2[#ALL],2)/HLOOKUP($A375,표1[#ALL],row(),false)</f>
        <v>#N/A</v>
      </c>
      <c r="I375" s="376" t="str">
        <f>CS_PID!I375/VLOOKUP($B375,표2[#ALL],2)/HLOOKUP($A375,표1[#ALL],row(),false)</f>
        <v>#N/A</v>
      </c>
      <c r="J375" s="376" t="str">
        <f>CS_PID!J375/VLOOKUP($B375,표2[#ALL],2)/HLOOKUP($A375,표1[#ALL],row(),false)</f>
        <v>#N/A</v>
      </c>
      <c r="K375" s="376" t="str">
        <f>CS_PID!K375/VLOOKUP($B375,표2[#ALL],2)/HLOOKUP($A375,표1[#ALL],row(),false)</f>
        <v>#N/A</v>
      </c>
      <c r="L375" s="376" t="str">
        <f>CS_PID!L375/VLOOKUP($B375,표2[#ALL],2)/HLOOKUP($A375,표1[#ALL],row(),false)</f>
        <v>#N/A</v>
      </c>
      <c r="M375" s="376" t="str">
        <f>CS_PID!M375/VLOOKUP($B375,표2[#ALL],2)/HLOOKUP($A375,표1[#ALL],row(),false)</f>
        <v>#N/A</v>
      </c>
      <c r="N375" s="376" t="str">
        <f>CS_PID!N375/VLOOKUP($B375,표2[#ALL],2)/HLOOKUP($A375,표1[#ALL],row(),false)</f>
        <v>#N/A</v>
      </c>
      <c r="O375" s="376" t="str">
        <f>CS_PID!O375/VLOOKUP($B375,표2[#ALL],2)/HLOOKUP($A375,표1[#ALL],row(),false)</f>
        <v>#N/A</v>
      </c>
      <c r="P375" s="376" t="str">
        <f>CS_PID!P375/VLOOKUP($B375,표2[#ALL],2)/HLOOKUP($A375,표1[#ALL],row(),false)</f>
        <v>#N/A</v>
      </c>
      <c r="Q375" s="376" t="str">
        <f>CS_PID!Q375/VLOOKUP($B375,표2[#ALL],2)/HLOOKUP($A375,표1[#ALL],row(),false)</f>
        <v>#N/A</v>
      </c>
      <c r="R375" s="376" t="str">
        <f>CS_PID!R375/VLOOKUP($B375,표2[#ALL],2)/HLOOKUP($A375,표1[#ALL],row(),false)</f>
        <v>#N/A</v>
      </c>
      <c r="S375" s="376" t="str">
        <f>CS_PID!S375/VLOOKUP($B375,표2[#ALL],2)/HLOOKUP($A375,표1[#ALL],row(),false)</f>
        <v>#N/A</v>
      </c>
      <c r="T375" s="376" t="str">
        <f>CS_PID!T375/VLOOKUP($B375,표2[#ALL],2)/HLOOKUP($A375,표1[#ALL],row(),false)</f>
        <v>#N/A</v>
      </c>
      <c r="U375" s="376" t="str">
        <f>CS_PID!U375/VLOOKUP($B375,표2[#ALL],2)/HLOOKUP($A375,표1[#ALL],row(),false)</f>
        <v>#N/A</v>
      </c>
      <c r="V375" s="376" t="str">
        <f>CS_PID!V375/VLOOKUP($B375,표2[#ALL],2)/HLOOKUP($A375,표1[#ALL],row(),false)</f>
        <v>#N/A</v>
      </c>
      <c r="W375" s="376" t="str">
        <f>CS_PID!W375/VLOOKUP($B375,표2[#ALL],2)/HLOOKUP($A375,표1[#ALL],row(),false)</f>
        <v>#N/A</v>
      </c>
      <c r="X375" s="376" t="str">
        <f>CS_PID!X375/VLOOKUP($B375,표2[#ALL],2)/HLOOKUP($A375,표1[#ALL],row(),false)</f>
        <v>#N/A</v>
      </c>
      <c r="Y375" s="376" t="str">
        <f>CS_PID!Y375/VLOOKUP($B375,표2[#ALL],2)/HLOOKUP($A375,표1[#ALL],row(),false)</f>
        <v>#N/A</v>
      </c>
      <c r="Z375" s="376" t="str">
        <f>CS_PID!Z375/VLOOKUP($B375,표2[#ALL],2)/HLOOKUP($A375,표1[#ALL],row(),false)</f>
        <v>#N/A</v>
      </c>
      <c r="AA375" s="376" t="str">
        <f>CS_PID!AA375/VLOOKUP($B375,표2[#ALL],2)/HLOOKUP($A375,표1[#ALL],row(),false)</f>
        <v>#N/A</v>
      </c>
      <c r="AB375" s="376" t="str">
        <f>CS_PID!AB375/VLOOKUP($B375,표2[#ALL],2)/HLOOKUP($A375,표1[#ALL],row(),false)</f>
        <v>#N/A</v>
      </c>
      <c r="AC375" s="376" t="str">
        <f>CS_PID!AC375/VLOOKUP($B375,표2[#ALL],2)/HLOOKUP($A375,표1[#ALL],row(),false)</f>
        <v>#N/A</v>
      </c>
      <c r="AD375" s="376" t="str">
        <f>CS_PID!AD375/VLOOKUP($B375,표2[#ALL],2)/HLOOKUP($A375,표1[#ALL],row(),false)</f>
        <v>#N/A</v>
      </c>
      <c r="AE375" s="376" t="str">
        <f>CS_PID!AE375/VLOOKUP($B375,표2[#ALL],2)/HLOOKUP($A375,표1[#ALL],row(),false)</f>
        <v>#N/A</v>
      </c>
      <c r="AF375" s="376" t="str">
        <f>CS_PID!AF375/VLOOKUP($B375,표2[#ALL],2)/HLOOKUP($A375,표1[#ALL],row(),false)</f>
        <v>#N/A</v>
      </c>
      <c r="AG375" s="376" t="str">
        <f>CS_PID!AG375/VLOOKUP($B375,표2[#ALL],2)/HLOOKUP($A375,표1[#ALL],row(),false)</f>
        <v>#N/A</v>
      </c>
      <c r="AH375" s="376" t="str">
        <f>CS_PID!AH375/VLOOKUP($B375,표2[#ALL],2)/HLOOKUP($A375,표1[#ALL],row(),false)</f>
        <v>#N/A</v>
      </c>
      <c r="AI375" s="376" t="str">
        <f>CS_PID!AI375/VLOOKUP($B375,표2[#ALL],2)/HLOOKUP($A375,표1[#ALL],row(),false)</f>
        <v>#N/A</v>
      </c>
      <c r="AJ375" s="376" t="str">
        <f>CS_PID!AJ375/VLOOKUP($B375,표2[#ALL],2)/HLOOKUP($A375,표1[#ALL],row(),false)</f>
        <v>#N/A</v>
      </c>
      <c r="AK375" s="376" t="str">
        <f>CS_PID!AK375/VLOOKUP($B375,표2[#ALL],2)/HLOOKUP($A375,표1[#ALL],row(),false)</f>
        <v>#N/A</v>
      </c>
      <c r="AL375" s="376" t="str">
        <f>CS_PID!AL375/VLOOKUP($B375,표2[#ALL],2)/HLOOKUP($A375,표1[#ALL],row(),false)</f>
        <v>#N/A</v>
      </c>
      <c r="AM375" s="376" t="str">
        <f>CS_PID!AM375/VLOOKUP($B375,표2[#ALL],2)/HLOOKUP($A375,표1[#ALL],row(),false)</f>
        <v>#N/A</v>
      </c>
      <c r="AN375" s="376" t="str">
        <f>CS_PID!AN375/VLOOKUP($B375,표2[#ALL],2)/HLOOKUP($A375,표1[#ALL],row(),false)</f>
        <v>#N/A</v>
      </c>
      <c r="AO375" s="376" t="str">
        <f>CS_PID!AO375/VLOOKUP($B375,표2[#ALL],2)/HLOOKUP($A375,표1[#ALL],row(),false)</f>
        <v>#N/A</v>
      </c>
      <c r="AP375" s="376" t="str">
        <f>CS_PID!AP375/VLOOKUP($B375,표2[#ALL],2)/HLOOKUP($A375,표1[#ALL],row(),false)</f>
        <v>#N/A</v>
      </c>
      <c r="AQ375" s="376" t="str">
        <f>CS_PID!AQ375/VLOOKUP($B375,표2[#ALL],2)/HLOOKUP($A375,표1[#ALL],row(),false)</f>
        <v>#N/A</v>
      </c>
      <c r="AR375" s="376" t="str">
        <f>CS_PID!AR375/VLOOKUP($B375,표2[#ALL],2)/HLOOKUP($A375,표1[#ALL],row(),false)</f>
        <v>#N/A</v>
      </c>
      <c r="AS375" s="377" t="str">
        <f>CS_PID!AS375/VLOOKUP($B375,표2[#ALL],2)/HLOOKUP($A375,표1[#ALL],row(),false)</f>
        <v>#N/A</v>
      </c>
    </row>
    <row r="376">
      <c r="A376" s="370"/>
      <c r="B376" s="371"/>
      <c r="C376" s="372" t="str">
        <f>CS_PID!C376/VLOOKUP($B376,표2[#ALL],2)</f>
        <v>#N/A</v>
      </c>
      <c r="D376" s="372" t="str">
        <f>CS_PID!D376/VLOOKUP($B376,표2[#ALL],2)</f>
        <v>#N/A</v>
      </c>
      <c r="E376" s="372" t="str">
        <f>CS_PID!E376/VLOOKUP($B376,표2[#ALL],2)</f>
        <v>#N/A</v>
      </c>
      <c r="F376" s="372" t="str">
        <f>CS_PID!F376/VLOOKUP($B376,표2[#ALL],2)</f>
        <v>#N/A</v>
      </c>
      <c r="G376" s="372" t="str">
        <f>CS_PID!G376/VLOOKUP($B376,표2[#ALL],2)</f>
        <v>#N/A</v>
      </c>
      <c r="H376" s="372" t="str">
        <f>CS_PID!H376/VLOOKUP($B376,표2[#ALL],2)/HLOOKUP($A376,표1[#ALL],row(),false)</f>
        <v>#N/A</v>
      </c>
      <c r="I376" s="372" t="str">
        <f>CS_PID!I376/VLOOKUP($B376,표2[#ALL],2)/HLOOKUP($A376,표1[#ALL],row(),false)</f>
        <v>#N/A</v>
      </c>
      <c r="J376" s="372" t="str">
        <f>CS_PID!J376/VLOOKUP($B376,표2[#ALL],2)/HLOOKUP($A376,표1[#ALL],row(),false)</f>
        <v>#N/A</v>
      </c>
      <c r="K376" s="372" t="str">
        <f>CS_PID!K376/VLOOKUP($B376,표2[#ALL],2)/HLOOKUP($A376,표1[#ALL],row(),false)</f>
        <v>#N/A</v>
      </c>
      <c r="L376" s="372" t="str">
        <f>CS_PID!L376/VLOOKUP($B376,표2[#ALL],2)/HLOOKUP($A376,표1[#ALL],row(),false)</f>
        <v>#N/A</v>
      </c>
      <c r="M376" s="372" t="str">
        <f>CS_PID!M376/VLOOKUP($B376,표2[#ALL],2)/HLOOKUP($A376,표1[#ALL],row(),false)</f>
        <v>#N/A</v>
      </c>
      <c r="N376" s="372" t="str">
        <f>CS_PID!N376/VLOOKUP($B376,표2[#ALL],2)/HLOOKUP($A376,표1[#ALL],row(),false)</f>
        <v>#N/A</v>
      </c>
      <c r="O376" s="372" t="str">
        <f>CS_PID!O376/VLOOKUP($B376,표2[#ALL],2)/HLOOKUP($A376,표1[#ALL],row(),false)</f>
        <v>#N/A</v>
      </c>
      <c r="P376" s="372" t="str">
        <f>CS_PID!P376/VLOOKUP($B376,표2[#ALL],2)/HLOOKUP($A376,표1[#ALL],row(),false)</f>
        <v>#N/A</v>
      </c>
      <c r="Q376" s="372" t="str">
        <f>CS_PID!Q376/VLOOKUP($B376,표2[#ALL],2)/HLOOKUP($A376,표1[#ALL],row(),false)</f>
        <v>#N/A</v>
      </c>
      <c r="R376" s="372" t="str">
        <f>CS_PID!R376/VLOOKUP($B376,표2[#ALL],2)/HLOOKUP($A376,표1[#ALL],row(),false)</f>
        <v>#N/A</v>
      </c>
      <c r="S376" s="372" t="str">
        <f>CS_PID!S376/VLOOKUP($B376,표2[#ALL],2)/HLOOKUP($A376,표1[#ALL],row(),false)</f>
        <v>#N/A</v>
      </c>
      <c r="T376" s="372" t="str">
        <f>CS_PID!T376/VLOOKUP($B376,표2[#ALL],2)/HLOOKUP($A376,표1[#ALL],row(),false)</f>
        <v>#N/A</v>
      </c>
      <c r="U376" s="372" t="str">
        <f>CS_PID!U376/VLOOKUP($B376,표2[#ALL],2)/HLOOKUP($A376,표1[#ALL],row(),false)</f>
        <v>#N/A</v>
      </c>
      <c r="V376" s="372" t="str">
        <f>CS_PID!V376/VLOOKUP($B376,표2[#ALL],2)/HLOOKUP($A376,표1[#ALL],row(),false)</f>
        <v>#N/A</v>
      </c>
      <c r="W376" s="372" t="str">
        <f>CS_PID!W376/VLOOKUP($B376,표2[#ALL],2)/HLOOKUP($A376,표1[#ALL],row(),false)</f>
        <v>#N/A</v>
      </c>
      <c r="X376" s="372" t="str">
        <f>CS_PID!X376/VLOOKUP($B376,표2[#ALL],2)/HLOOKUP($A376,표1[#ALL],row(),false)</f>
        <v>#N/A</v>
      </c>
      <c r="Y376" s="372" t="str">
        <f>CS_PID!Y376/VLOOKUP($B376,표2[#ALL],2)/HLOOKUP($A376,표1[#ALL],row(),false)</f>
        <v>#N/A</v>
      </c>
      <c r="Z376" s="372" t="str">
        <f>CS_PID!Z376/VLOOKUP($B376,표2[#ALL],2)/HLOOKUP($A376,표1[#ALL],row(),false)</f>
        <v>#N/A</v>
      </c>
      <c r="AA376" s="372" t="str">
        <f>CS_PID!AA376/VLOOKUP($B376,표2[#ALL],2)/HLOOKUP($A376,표1[#ALL],row(),false)</f>
        <v>#N/A</v>
      </c>
      <c r="AB376" s="372" t="str">
        <f>CS_PID!AB376/VLOOKUP($B376,표2[#ALL],2)/HLOOKUP($A376,표1[#ALL],row(),false)</f>
        <v>#N/A</v>
      </c>
      <c r="AC376" s="372" t="str">
        <f>CS_PID!AC376/VLOOKUP($B376,표2[#ALL],2)/HLOOKUP($A376,표1[#ALL],row(),false)</f>
        <v>#N/A</v>
      </c>
      <c r="AD376" s="372" t="str">
        <f>CS_PID!AD376/VLOOKUP($B376,표2[#ALL],2)/HLOOKUP($A376,표1[#ALL],row(),false)</f>
        <v>#N/A</v>
      </c>
      <c r="AE376" s="372" t="str">
        <f>CS_PID!AE376/VLOOKUP($B376,표2[#ALL],2)/HLOOKUP($A376,표1[#ALL],row(),false)</f>
        <v>#N/A</v>
      </c>
      <c r="AF376" s="372" t="str">
        <f>CS_PID!AF376/VLOOKUP($B376,표2[#ALL],2)/HLOOKUP($A376,표1[#ALL],row(),false)</f>
        <v>#N/A</v>
      </c>
      <c r="AG376" s="372" t="str">
        <f>CS_PID!AG376/VLOOKUP($B376,표2[#ALL],2)/HLOOKUP($A376,표1[#ALL],row(),false)</f>
        <v>#N/A</v>
      </c>
      <c r="AH376" s="372" t="str">
        <f>CS_PID!AH376/VLOOKUP($B376,표2[#ALL],2)/HLOOKUP($A376,표1[#ALL],row(),false)</f>
        <v>#N/A</v>
      </c>
      <c r="AI376" s="372" t="str">
        <f>CS_PID!AI376/VLOOKUP($B376,표2[#ALL],2)/HLOOKUP($A376,표1[#ALL],row(),false)</f>
        <v>#N/A</v>
      </c>
      <c r="AJ376" s="372" t="str">
        <f>CS_PID!AJ376/VLOOKUP($B376,표2[#ALL],2)/HLOOKUP($A376,표1[#ALL],row(),false)</f>
        <v>#N/A</v>
      </c>
      <c r="AK376" s="372" t="str">
        <f>CS_PID!AK376/VLOOKUP($B376,표2[#ALL],2)/HLOOKUP($A376,표1[#ALL],row(),false)</f>
        <v>#N/A</v>
      </c>
      <c r="AL376" s="372" t="str">
        <f>CS_PID!AL376/VLOOKUP($B376,표2[#ALL],2)/HLOOKUP($A376,표1[#ALL],row(),false)</f>
        <v>#N/A</v>
      </c>
      <c r="AM376" s="372" t="str">
        <f>CS_PID!AM376/VLOOKUP($B376,표2[#ALL],2)/HLOOKUP($A376,표1[#ALL],row(),false)</f>
        <v>#N/A</v>
      </c>
      <c r="AN376" s="372" t="str">
        <f>CS_PID!AN376/VLOOKUP($B376,표2[#ALL],2)/HLOOKUP($A376,표1[#ALL],row(),false)</f>
        <v>#N/A</v>
      </c>
      <c r="AO376" s="372" t="str">
        <f>CS_PID!AO376/VLOOKUP($B376,표2[#ALL],2)/HLOOKUP($A376,표1[#ALL],row(),false)</f>
        <v>#N/A</v>
      </c>
      <c r="AP376" s="372" t="str">
        <f>CS_PID!AP376/VLOOKUP($B376,표2[#ALL],2)/HLOOKUP($A376,표1[#ALL],row(),false)</f>
        <v>#N/A</v>
      </c>
      <c r="AQ376" s="372" t="str">
        <f>CS_PID!AQ376/VLOOKUP($B376,표2[#ALL],2)/HLOOKUP($A376,표1[#ALL],row(),false)</f>
        <v>#N/A</v>
      </c>
      <c r="AR376" s="372" t="str">
        <f>CS_PID!AR376/VLOOKUP($B376,표2[#ALL],2)/HLOOKUP($A376,표1[#ALL],row(),false)</f>
        <v>#N/A</v>
      </c>
      <c r="AS376" s="373" t="str">
        <f>CS_PID!AS376/VLOOKUP($B376,표2[#ALL],2)/HLOOKUP($A376,표1[#ALL],row(),false)</f>
        <v>#N/A</v>
      </c>
    </row>
    <row r="377">
      <c r="A377" s="374"/>
      <c r="B377" s="375"/>
      <c r="C377" s="376" t="str">
        <f>CS_PID!C377/VLOOKUP($B377,표2[#ALL],2)</f>
        <v>#N/A</v>
      </c>
      <c r="D377" s="376" t="str">
        <f>CS_PID!D377/VLOOKUP($B377,표2[#ALL],2)</f>
        <v>#N/A</v>
      </c>
      <c r="E377" s="376" t="str">
        <f>CS_PID!E377/VLOOKUP($B377,표2[#ALL],2)</f>
        <v>#N/A</v>
      </c>
      <c r="F377" s="376" t="str">
        <f>CS_PID!F377/VLOOKUP($B377,표2[#ALL],2)</f>
        <v>#N/A</v>
      </c>
      <c r="G377" s="376" t="str">
        <f>CS_PID!G377/VLOOKUP($B377,표2[#ALL],2)</f>
        <v>#N/A</v>
      </c>
      <c r="H377" s="376" t="str">
        <f>CS_PID!H377/VLOOKUP($B377,표2[#ALL],2)/HLOOKUP($A377,표1[#ALL],row(),false)</f>
        <v>#N/A</v>
      </c>
      <c r="I377" s="376" t="str">
        <f>CS_PID!I377/VLOOKUP($B377,표2[#ALL],2)/HLOOKUP($A377,표1[#ALL],row(),false)</f>
        <v>#N/A</v>
      </c>
      <c r="J377" s="376" t="str">
        <f>CS_PID!J377/VLOOKUP($B377,표2[#ALL],2)/HLOOKUP($A377,표1[#ALL],row(),false)</f>
        <v>#N/A</v>
      </c>
      <c r="K377" s="376" t="str">
        <f>CS_PID!K377/VLOOKUP($B377,표2[#ALL],2)/HLOOKUP($A377,표1[#ALL],row(),false)</f>
        <v>#N/A</v>
      </c>
      <c r="L377" s="376" t="str">
        <f>CS_PID!L377/VLOOKUP($B377,표2[#ALL],2)/HLOOKUP($A377,표1[#ALL],row(),false)</f>
        <v>#N/A</v>
      </c>
      <c r="M377" s="376" t="str">
        <f>CS_PID!M377/VLOOKUP($B377,표2[#ALL],2)/HLOOKUP($A377,표1[#ALL],row(),false)</f>
        <v>#N/A</v>
      </c>
      <c r="N377" s="376" t="str">
        <f>CS_PID!N377/VLOOKUP($B377,표2[#ALL],2)/HLOOKUP($A377,표1[#ALL],row(),false)</f>
        <v>#N/A</v>
      </c>
      <c r="O377" s="376" t="str">
        <f>CS_PID!O377/VLOOKUP($B377,표2[#ALL],2)/HLOOKUP($A377,표1[#ALL],row(),false)</f>
        <v>#N/A</v>
      </c>
      <c r="P377" s="376" t="str">
        <f>CS_PID!P377/VLOOKUP($B377,표2[#ALL],2)/HLOOKUP($A377,표1[#ALL],row(),false)</f>
        <v>#N/A</v>
      </c>
      <c r="Q377" s="376" t="str">
        <f>CS_PID!Q377/VLOOKUP($B377,표2[#ALL],2)/HLOOKUP($A377,표1[#ALL],row(),false)</f>
        <v>#N/A</v>
      </c>
      <c r="R377" s="376" t="str">
        <f>CS_PID!R377/VLOOKUP($B377,표2[#ALL],2)/HLOOKUP($A377,표1[#ALL],row(),false)</f>
        <v>#N/A</v>
      </c>
      <c r="S377" s="376" t="str">
        <f>CS_PID!S377/VLOOKUP($B377,표2[#ALL],2)/HLOOKUP($A377,표1[#ALL],row(),false)</f>
        <v>#N/A</v>
      </c>
      <c r="T377" s="376" t="str">
        <f>CS_PID!T377/VLOOKUP($B377,표2[#ALL],2)/HLOOKUP($A377,표1[#ALL],row(),false)</f>
        <v>#N/A</v>
      </c>
      <c r="U377" s="376" t="str">
        <f>CS_PID!U377/VLOOKUP($B377,표2[#ALL],2)/HLOOKUP($A377,표1[#ALL],row(),false)</f>
        <v>#N/A</v>
      </c>
      <c r="V377" s="376" t="str">
        <f>CS_PID!V377/VLOOKUP($B377,표2[#ALL],2)/HLOOKUP($A377,표1[#ALL],row(),false)</f>
        <v>#N/A</v>
      </c>
      <c r="W377" s="376" t="str">
        <f>CS_PID!W377/VLOOKUP($B377,표2[#ALL],2)/HLOOKUP($A377,표1[#ALL],row(),false)</f>
        <v>#N/A</v>
      </c>
      <c r="X377" s="376" t="str">
        <f>CS_PID!X377/VLOOKUP($B377,표2[#ALL],2)/HLOOKUP($A377,표1[#ALL],row(),false)</f>
        <v>#N/A</v>
      </c>
      <c r="Y377" s="376" t="str">
        <f>CS_PID!Y377/VLOOKUP($B377,표2[#ALL],2)/HLOOKUP($A377,표1[#ALL],row(),false)</f>
        <v>#N/A</v>
      </c>
      <c r="Z377" s="376" t="str">
        <f>CS_PID!Z377/VLOOKUP($B377,표2[#ALL],2)/HLOOKUP($A377,표1[#ALL],row(),false)</f>
        <v>#N/A</v>
      </c>
      <c r="AA377" s="376" t="str">
        <f>CS_PID!AA377/VLOOKUP($B377,표2[#ALL],2)/HLOOKUP($A377,표1[#ALL],row(),false)</f>
        <v>#N/A</v>
      </c>
      <c r="AB377" s="376" t="str">
        <f>CS_PID!AB377/VLOOKUP($B377,표2[#ALL],2)/HLOOKUP($A377,표1[#ALL],row(),false)</f>
        <v>#N/A</v>
      </c>
      <c r="AC377" s="376" t="str">
        <f>CS_PID!AC377/VLOOKUP($B377,표2[#ALL],2)/HLOOKUP($A377,표1[#ALL],row(),false)</f>
        <v>#N/A</v>
      </c>
      <c r="AD377" s="376" t="str">
        <f>CS_PID!AD377/VLOOKUP($B377,표2[#ALL],2)/HLOOKUP($A377,표1[#ALL],row(),false)</f>
        <v>#N/A</v>
      </c>
      <c r="AE377" s="376" t="str">
        <f>CS_PID!AE377/VLOOKUP($B377,표2[#ALL],2)/HLOOKUP($A377,표1[#ALL],row(),false)</f>
        <v>#N/A</v>
      </c>
      <c r="AF377" s="376" t="str">
        <f>CS_PID!AF377/VLOOKUP($B377,표2[#ALL],2)/HLOOKUP($A377,표1[#ALL],row(),false)</f>
        <v>#N/A</v>
      </c>
      <c r="AG377" s="376" t="str">
        <f>CS_PID!AG377/VLOOKUP($B377,표2[#ALL],2)/HLOOKUP($A377,표1[#ALL],row(),false)</f>
        <v>#N/A</v>
      </c>
      <c r="AH377" s="376" t="str">
        <f>CS_PID!AH377/VLOOKUP($B377,표2[#ALL],2)/HLOOKUP($A377,표1[#ALL],row(),false)</f>
        <v>#N/A</v>
      </c>
      <c r="AI377" s="376" t="str">
        <f>CS_PID!AI377/VLOOKUP($B377,표2[#ALL],2)/HLOOKUP($A377,표1[#ALL],row(),false)</f>
        <v>#N/A</v>
      </c>
      <c r="AJ377" s="376" t="str">
        <f>CS_PID!AJ377/VLOOKUP($B377,표2[#ALL],2)/HLOOKUP($A377,표1[#ALL],row(),false)</f>
        <v>#N/A</v>
      </c>
      <c r="AK377" s="376" t="str">
        <f>CS_PID!AK377/VLOOKUP($B377,표2[#ALL],2)/HLOOKUP($A377,표1[#ALL],row(),false)</f>
        <v>#N/A</v>
      </c>
      <c r="AL377" s="376" t="str">
        <f>CS_PID!AL377/VLOOKUP($B377,표2[#ALL],2)/HLOOKUP($A377,표1[#ALL],row(),false)</f>
        <v>#N/A</v>
      </c>
      <c r="AM377" s="376" t="str">
        <f>CS_PID!AM377/VLOOKUP($B377,표2[#ALL],2)/HLOOKUP($A377,표1[#ALL],row(),false)</f>
        <v>#N/A</v>
      </c>
      <c r="AN377" s="376" t="str">
        <f>CS_PID!AN377/VLOOKUP($B377,표2[#ALL],2)/HLOOKUP($A377,표1[#ALL],row(),false)</f>
        <v>#N/A</v>
      </c>
      <c r="AO377" s="376" t="str">
        <f>CS_PID!AO377/VLOOKUP($B377,표2[#ALL],2)/HLOOKUP($A377,표1[#ALL],row(),false)</f>
        <v>#N/A</v>
      </c>
      <c r="AP377" s="376" t="str">
        <f>CS_PID!AP377/VLOOKUP($B377,표2[#ALL],2)/HLOOKUP($A377,표1[#ALL],row(),false)</f>
        <v>#N/A</v>
      </c>
      <c r="AQ377" s="376" t="str">
        <f>CS_PID!AQ377/VLOOKUP($B377,표2[#ALL],2)/HLOOKUP($A377,표1[#ALL],row(),false)</f>
        <v>#N/A</v>
      </c>
      <c r="AR377" s="376" t="str">
        <f>CS_PID!AR377/VLOOKUP($B377,표2[#ALL],2)/HLOOKUP($A377,표1[#ALL],row(),false)</f>
        <v>#N/A</v>
      </c>
      <c r="AS377" s="377" t="str">
        <f>CS_PID!AS377/VLOOKUP($B377,표2[#ALL],2)/HLOOKUP($A377,표1[#ALL],row(),false)</f>
        <v>#N/A</v>
      </c>
    </row>
    <row r="378">
      <c r="A378" s="370"/>
      <c r="B378" s="371"/>
      <c r="C378" s="372" t="str">
        <f>CS_PID!C378/VLOOKUP($B378,표2[#ALL],2)</f>
        <v>#N/A</v>
      </c>
      <c r="D378" s="372" t="str">
        <f>CS_PID!D378/VLOOKUP($B378,표2[#ALL],2)</f>
        <v>#N/A</v>
      </c>
      <c r="E378" s="372" t="str">
        <f>CS_PID!E378/VLOOKUP($B378,표2[#ALL],2)</f>
        <v>#N/A</v>
      </c>
      <c r="F378" s="372" t="str">
        <f>CS_PID!F378/VLOOKUP($B378,표2[#ALL],2)</f>
        <v>#N/A</v>
      </c>
      <c r="G378" s="372" t="str">
        <f>CS_PID!G378/VLOOKUP($B378,표2[#ALL],2)</f>
        <v>#N/A</v>
      </c>
      <c r="H378" s="372" t="str">
        <f>CS_PID!H378/VLOOKUP($B378,표2[#ALL],2)/HLOOKUP($A378,표1[#ALL],row(),false)</f>
        <v>#N/A</v>
      </c>
      <c r="I378" s="372" t="str">
        <f>CS_PID!I378/VLOOKUP($B378,표2[#ALL],2)/HLOOKUP($A378,표1[#ALL],row(),false)</f>
        <v>#N/A</v>
      </c>
      <c r="J378" s="372" t="str">
        <f>CS_PID!J378/VLOOKUP($B378,표2[#ALL],2)/HLOOKUP($A378,표1[#ALL],row(),false)</f>
        <v>#N/A</v>
      </c>
      <c r="K378" s="372" t="str">
        <f>CS_PID!K378/VLOOKUP($B378,표2[#ALL],2)/HLOOKUP($A378,표1[#ALL],row(),false)</f>
        <v>#N/A</v>
      </c>
      <c r="L378" s="372" t="str">
        <f>CS_PID!L378/VLOOKUP($B378,표2[#ALL],2)/HLOOKUP($A378,표1[#ALL],row(),false)</f>
        <v>#N/A</v>
      </c>
      <c r="M378" s="372" t="str">
        <f>CS_PID!M378/VLOOKUP($B378,표2[#ALL],2)/HLOOKUP($A378,표1[#ALL],row(),false)</f>
        <v>#N/A</v>
      </c>
      <c r="N378" s="372" t="str">
        <f>CS_PID!N378/VLOOKUP($B378,표2[#ALL],2)/HLOOKUP($A378,표1[#ALL],row(),false)</f>
        <v>#N/A</v>
      </c>
      <c r="O378" s="372" t="str">
        <f>CS_PID!O378/VLOOKUP($B378,표2[#ALL],2)/HLOOKUP($A378,표1[#ALL],row(),false)</f>
        <v>#N/A</v>
      </c>
      <c r="P378" s="372" t="str">
        <f>CS_PID!P378/VLOOKUP($B378,표2[#ALL],2)/HLOOKUP($A378,표1[#ALL],row(),false)</f>
        <v>#N/A</v>
      </c>
      <c r="Q378" s="372" t="str">
        <f>CS_PID!Q378/VLOOKUP($B378,표2[#ALL],2)/HLOOKUP($A378,표1[#ALL],row(),false)</f>
        <v>#N/A</v>
      </c>
      <c r="R378" s="372" t="str">
        <f>CS_PID!R378/VLOOKUP($B378,표2[#ALL],2)/HLOOKUP($A378,표1[#ALL],row(),false)</f>
        <v>#N/A</v>
      </c>
      <c r="S378" s="372" t="str">
        <f>CS_PID!S378/VLOOKUP($B378,표2[#ALL],2)/HLOOKUP($A378,표1[#ALL],row(),false)</f>
        <v>#N/A</v>
      </c>
      <c r="T378" s="372" t="str">
        <f>CS_PID!T378/VLOOKUP($B378,표2[#ALL],2)/HLOOKUP($A378,표1[#ALL],row(),false)</f>
        <v>#N/A</v>
      </c>
      <c r="U378" s="372" t="str">
        <f>CS_PID!U378/VLOOKUP($B378,표2[#ALL],2)/HLOOKUP($A378,표1[#ALL],row(),false)</f>
        <v>#N/A</v>
      </c>
      <c r="V378" s="372" t="str">
        <f>CS_PID!V378/VLOOKUP($B378,표2[#ALL],2)/HLOOKUP($A378,표1[#ALL],row(),false)</f>
        <v>#N/A</v>
      </c>
      <c r="W378" s="372" t="str">
        <f>CS_PID!W378/VLOOKUP($B378,표2[#ALL],2)/HLOOKUP($A378,표1[#ALL],row(),false)</f>
        <v>#N/A</v>
      </c>
      <c r="X378" s="372" t="str">
        <f>CS_PID!X378/VLOOKUP($B378,표2[#ALL],2)/HLOOKUP($A378,표1[#ALL],row(),false)</f>
        <v>#N/A</v>
      </c>
      <c r="Y378" s="372" t="str">
        <f>CS_PID!Y378/VLOOKUP($B378,표2[#ALL],2)/HLOOKUP($A378,표1[#ALL],row(),false)</f>
        <v>#N/A</v>
      </c>
      <c r="Z378" s="372" t="str">
        <f>CS_PID!Z378/VLOOKUP($B378,표2[#ALL],2)/HLOOKUP($A378,표1[#ALL],row(),false)</f>
        <v>#N/A</v>
      </c>
      <c r="AA378" s="372" t="str">
        <f>CS_PID!AA378/VLOOKUP($B378,표2[#ALL],2)/HLOOKUP($A378,표1[#ALL],row(),false)</f>
        <v>#N/A</v>
      </c>
      <c r="AB378" s="372" t="str">
        <f>CS_PID!AB378/VLOOKUP($B378,표2[#ALL],2)/HLOOKUP($A378,표1[#ALL],row(),false)</f>
        <v>#N/A</v>
      </c>
      <c r="AC378" s="372" t="str">
        <f>CS_PID!AC378/VLOOKUP($B378,표2[#ALL],2)/HLOOKUP($A378,표1[#ALL],row(),false)</f>
        <v>#N/A</v>
      </c>
      <c r="AD378" s="372" t="str">
        <f>CS_PID!AD378/VLOOKUP($B378,표2[#ALL],2)/HLOOKUP($A378,표1[#ALL],row(),false)</f>
        <v>#N/A</v>
      </c>
      <c r="AE378" s="372" t="str">
        <f>CS_PID!AE378/VLOOKUP($B378,표2[#ALL],2)/HLOOKUP($A378,표1[#ALL],row(),false)</f>
        <v>#N/A</v>
      </c>
      <c r="AF378" s="372" t="str">
        <f>CS_PID!AF378/VLOOKUP($B378,표2[#ALL],2)/HLOOKUP($A378,표1[#ALL],row(),false)</f>
        <v>#N/A</v>
      </c>
      <c r="AG378" s="372" t="str">
        <f>CS_PID!AG378/VLOOKUP($B378,표2[#ALL],2)/HLOOKUP($A378,표1[#ALL],row(),false)</f>
        <v>#N/A</v>
      </c>
      <c r="AH378" s="372" t="str">
        <f>CS_PID!AH378/VLOOKUP($B378,표2[#ALL],2)/HLOOKUP($A378,표1[#ALL],row(),false)</f>
        <v>#N/A</v>
      </c>
      <c r="AI378" s="372" t="str">
        <f>CS_PID!AI378/VLOOKUP($B378,표2[#ALL],2)/HLOOKUP($A378,표1[#ALL],row(),false)</f>
        <v>#N/A</v>
      </c>
      <c r="AJ378" s="372" t="str">
        <f>CS_PID!AJ378/VLOOKUP($B378,표2[#ALL],2)/HLOOKUP($A378,표1[#ALL],row(),false)</f>
        <v>#N/A</v>
      </c>
      <c r="AK378" s="372" t="str">
        <f>CS_PID!AK378/VLOOKUP($B378,표2[#ALL],2)/HLOOKUP($A378,표1[#ALL],row(),false)</f>
        <v>#N/A</v>
      </c>
      <c r="AL378" s="372" t="str">
        <f>CS_PID!AL378/VLOOKUP($B378,표2[#ALL],2)/HLOOKUP($A378,표1[#ALL],row(),false)</f>
        <v>#N/A</v>
      </c>
      <c r="AM378" s="372" t="str">
        <f>CS_PID!AM378/VLOOKUP($B378,표2[#ALL],2)/HLOOKUP($A378,표1[#ALL],row(),false)</f>
        <v>#N/A</v>
      </c>
      <c r="AN378" s="372" t="str">
        <f>CS_PID!AN378/VLOOKUP($B378,표2[#ALL],2)/HLOOKUP($A378,표1[#ALL],row(),false)</f>
        <v>#N/A</v>
      </c>
      <c r="AO378" s="372" t="str">
        <f>CS_PID!AO378/VLOOKUP($B378,표2[#ALL],2)/HLOOKUP($A378,표1[#ALL],row(),false)</f>
        <v>#N/A</v>
      </c>
      <c r="AP378" s="372" t="str">
        <f>CS_PID!AP378/VLOOKUP($B378,표2[#ALL],2)/HLOOKUP($A378,표1[#ALL],row(),false)</f>
        <v>#N/A</v>
      </c>
      <c r="AQ378" s="372" t="str">
        <f>CS_PID!AQ378/VLOOKUP($B378,표2[#ALL],2)/HLOOKUP($A378,표1[#ALL],row(),false)</f>
        <v>#N/A</v>
      </c>
      <c r="AR378" s="372" t="str">
        <f>CS_PID!AR378/VLOOKUP($B378,표2[#ALL],2)/HLOOKUP($A378,표1[#ALL],row(),false)</f>
        <v>#N/A</v>
      </c>
      <c r="AS378" s="373" t="str">
        <f>CS_PID!AS378/VLOOKUP($B378,표2[#ALL],2)/HLOOKUP($A378,표1[#ALL],row(),false)</f>
        <v>#N/A</v>
      </c>
    </row>
    <row r="379">
      <c r="A379" s="374"/>
      <c r="B379" s="375"/>
      <c r="C379" s="376" t="str">
        <f>CS_PID!C379/VLOOKUP($B379,표2[#ALL],2)</f>
        <v>#N/A</v>
      </c>
      <c r="D379" s="376" t="str">
        <f>CS_PID!D379/VLOOKUP($B379,표2[#ALL],2)</f>
        <v>#N/A</v>
      </c>
      <c r="E379" s="376" t="str">
        <f>CS_PID!E379/VLOOKUP($B379,표2[#ALL],2)</f>
        <v>#N/A</v>
      </c>
      <c r="F379" s="376" t="str">
        <f>CS_PID!F379/VLOOKUP($B379,표2[#ALL],2)</f>
        <v>#N/A</v>
      </c>
      <c r="G379" s="376" t="str">
        <f>CS_PID!G379/VLOOKUP($B379,표2[#ALL],2)</f>
        <v>#N/A</v>
      </c>
      <c r="H379" s="376" t="str">
        <f>CS_PID!H379/VLOOKUP($B379,표2[#ALL],2)/HLOOKUP($A379,표1[#ALL],row(),false)</f>
        <v>#N/A</v>
      </c>
      <c r="I379" s="376" t="str">
        <f>CS_PID!I379/VLOOKUP($B379,표2[#ALL],2)/HLOOKUP($A379,표1[#ALL],row(),false)</f>
        <v>#N/A</v>
      </c>
      <c r="J379" s="376" t="str">
        <f>CS_PID!J379/VLOOKUP($B379,표2[#ALL],2)/HLOOKUP($A379,표1[#ALL],row(),false)</f>
        <v>#N/A</v>
      </c>
      <c r="K379" s="376" t="str">
        <f>CS_PID!K379/VLOOKUP($B379,표2[#ALL],2)/HLOOKUP($A379,표1[#ALL],row(),false)</f>
        <v>#N/A</v>
      </c>
      <c r="L379" s="376" t="str">
        <f>CS_PID!L379/VLOOKUP($B379,표2[#ALL],2)/HLOOKUP($A379,표1[#ALL],row(),false)</f>
        <v>#N/A</v>
      </c>
      <c r="M379" s="376" t="str">
        <f>CS_PID!M379/VLOOKUP($B379,표2[#ALL],2)/HLOOKUP($A379,표1[#ALL],row(),false)</f>
        <v>#N/A</v>
      </c>
      <c r="N379" s="376" t="str">
        <f>CS_PID!N379/VLOOKUP($B379,표2[#ALL],2)/HLOOKUP($A379,표1[#ALL],row(),false)</f>
        <v>#N/A</v>
      </c>
      <c r="O379" s="376" t="str">
        <f>CS_PID!O379/VLOOKUP($B379,표2[#ALL],2)/HLOOKUP($A379,표1[#ALL],row(),false)</f>
        <v>#N/A</v>
      </c>
      <c r="P379" s="376" t="str">
        <f>CS_PID!P379/VLOOKUP($B379,표2[#ALL],2)/HLOOKUP($A379,표1[#ALL],row(),false)</f>
        <v>#N/A</v>
      </c>
      <c r="Q379" s="376" t="str">
        <f>CS_PID!Q379/VLOOKUP($B379,표2[#ALL],2)/HLOOKUP($A379,표1[#ALL],row(),false)</f>
        <v>#N/A</v>
      </c>
      <c r="R379" s="376" t="str">
        <f>CS_PID!R379/VLOOKUP($B379,표2[#ALL],2)/HLOOKUP($A379,표1[#ALL],row(),false)</f>
        <v>#N/A</v>
      </c>
      <c r="S379" s="376" t="str">
        <f>CS_PID!S379/VLOOKUP($B379,표2[#ALL],2)/HLOOKUP($A379,표1[#ALL],row(),false)</f>
        <v>#N/A</v>
      </c>
      <c r="T379" s="376" t="str">
        <f>CS_PID!T379/VLOOKUP($B379,표2[#ALL],2)/HLOOKUP($A379,표1[#ALL],row(),false)</f>
        <v>#N/A</v>
      </c>
      <c r="U379" s="376" t="str">
        <f>CS_PID!U379/VLOOKUP($B379,표2[#ALL],2)/HLOOKUP($A379,표1[#ALL],row(),false)</f>
        <v>#N/A</v>
      </c>
      <c r="V379" s="376" t="str">
        <f>CS_PID!V379/VLOOKUP($B379,표2[#ALL],2)/HLOOKUP($A379,표1[#ALL],row(),false)</f>
        <v>#N/A</v>
      </c>
      <c r="W379" s="376" t="str">
        <f>CS_PID!W379/VLOOKUP($B379,표2[#ALL],2)/HLOOKUP($A379,표1[#ALL],row(),false)</f>
        <v>#N/A</v>
      </c>
      <c r="X379" s="376" t="str">
        <f>CS_PID!X379/VLOOKUP($B379,표2[#ALL],2)/HLOOKUP($A379,표1[#ALL],row(),false)</f>
        <v>#N/A</v>
      </c>
      <c r="Y379" s="376" t="str">
        <f>CS_PID!Y379/VLOOKUP($B379,표2[#ALL],2)/HLOOKUP($A379,표1[#ALL],row(),false)</f>
        <v>#N/A</v>
      </c>
      <c r="Z379" s="376" t="str">
        <f>CS_PID!Z379/VLOOKUP($B379,표2[#ALL],2)/HLOOKUP($A379,표1[#ALL],row(),false)</f>
        <v>#N/A</v>
      </c>
      <c r="AA379" s="376" t="str">
        <f>CS_PID!AA379/VLOOKUP($B379,표2[#ALL],2)/HLOOKUP($A379,표1[#ALL],row(),false)</f>
        <v>#N/A</v>
      </c>
      <c r="AB379" s="376" t="str">
        <f>CS_PID!AB379/VLOOKUP($B379,표2[#ALL],2)/HLOOKUP($A379,표1[#ALL],row(),false)</f>
        <v>#N/A</v>
      </c>
      <c r="AC379" s="376" t="str">
        <f>CS_PID!AC379/VLOOKUP($B379,표2[#ALL],2)/HLOOKUP($A379,표1[#ALL],row(),false)</f>
        <v>#N/A</v>
      </c>
      <c r="AD379" s="376" t="str">
        <f>CS_PID!AD379/VLOOKUP($B379,표2[#ALL],2)/HLOOKUP($A379,표1[#ALL],row(),false)</f>
        <v>#N/A</v>
      </c>
      <c r="AE379" s="376" t="str">
        <f>CS_PID!AE379/VLOOKUP($B379,표2[#ALL],2)/HLOOKUP($A379,표1[#ALL],row(),false)</f>
        <v>#N/A</v>
      </c>
      <c r="AF379" s="376" t="str">
        <f>CS_PID!AF379/VLOOKUP($B379,표2[#ALL],2)/HLOOKUP($A379,표1[#ALL],row(),false)</f>
        <v>#N/A</v>
      </c>
      <c r="AG379" s="376" t="str">
        <f>CS_PID!AG379/VLOOKUP($B379,표2[#ALL],2)/HLOOKUP($A379,표1[#ALL],row(),false)</f>
        <v>#N/A</v>
      </c>
      <c r="AH379" s="376" t="str">
        <f>CS_PID!AH379/VLOOKUP($B379,표2[#ALL],2)/HLOOKUP($A379,표1[#ALL],row(),false)</f>
        <v>#N/A</v>
      </c>
      <c r="AI379" s="376" t="str">
        <f>CS_PID!AI379/VLOOKUP($B379,표2[#ALL],2)/HLOOKUP($A379,표1[#ALL],row(),false)</f>
        <v>#N/A</v>
      </c>
      <c r="AJ379" s="376" t="str">
        <f>CS_PID!AJ379/VLOOKUP($B379,표2[#ALL],2)/HLOOKUP($A379,표1[#ALL],row(),false)</f>
        <v>#N/A</v>
      </c>
      <c r="AK379" s="376" t="str">
        <f>CS_PID!AK379/VLOOKUP($B379,표2[#ALL],2)/HLOOKUP($A379,표1[#ALL],row(),false)</f>
        <v>#N/A</v>
      </c>
      <c r="AL379" s="376" t="str">
        <f>CS_PID!AL379/VLOOKUP($B379,표2[#ALL],2)/HLOOKUP($A379,표1[#ALL],row(),false)</f>
        <v>#N/A</v>
      </c>
      <c r="AM379" s="376" t="str">
        <f>CS_PID!AM379/VLOOKUP($B379,표2[#ALL],2)/HLOOKUP($A379,표1[#ALL],row(),false)</f>
        <v>#N/A</v>
      </c>
      <c r="AN379" s="376" t="str">
        <f>CS_PID!AN379/VLOOKUP($B379,표2[#ALL],2)/HLOOKUP($A379,표1[#ALL],row(),false)</f>
        <v>#N/A</v>
      </c>
      <c r="AO379" s="376" t="str">
        <f>CS_PID!AO379/VLOOKUP($B379,표2[#ALL],2)/HLOOKUP($A379,표1[#ALL],row(),false)</f>
        <v>#N/A</v>
      </c>
      <c r="AP379" s="376" t="str">
        <f>CS_PID!AP379/VLOOKUP($B379,표2[#ALL],2)/HLOOKUP($A379,표1[#ALL],row(),false)</f>
        <v>#N/A</v>
      </c>
      <c r="AQ379" s="376" t="str">
        <f>CS_PID!AQ379/VLOOKUP($B379,표2[#ALL],2)/HLOOKUP($A379,표1[#ALL],row(),false)</f>
        <v>#N/A</v>
      </c>
      <c r="AR379" s="376" t="str">
        <f>CS_PID!AR379/VLOOKUP($B379,표2[#ALL],2)/HLOOKUP($A379,표1[#ALL],row(),false)</f>
        <v>#N/A</v>
      </c>
      <c r="AS379" s="377" t="str">
        <f>CS_PID!AS379/VLOOKUP($B379,표2[#ALL],2)/HLOOKUP($A379,표1[#ALL],row(),false)</f>
        <v>#N/A</v>
      </c>
    </row>
    <row r="380">
      <c r="A380" s="370"/>
      <c r="B380" s="371"/>
      <c r="C380" s="372" t="str">
        <f>CS_PID!C380/VLOOKUP($B380,표2[#ALL],2)</f>
        <v>#N/A</v>
      </c>
      <c r="D380" s="372" t="str">
        <f>CS_PID!D380/VLOOKUP($B380,표2[#ALL],2)</f>
        <v>#N/A</v>
      </c>
      <c r="E380" s="372" t="str">
        <f>CS_PID!E380/VLOOKUP($B380,표2[#ALL],2)</f>
        <v>#N/A</v>
      </c>
      <c r="F380" s="372" t="str">
        <f>CS_PID!F380/VLOOKUP($B380,표2[#ALL],2)</f>
        <v>#N/A</v>
      </c>
      <c r="G380" s="372" t="str">
        <f>CS_PID!G380/VLOOKUP($B380,표2[#ALL],2)</f>
        <v>#N/A</v>
      </c>
      <c r="H380" s="372" t="str">
        <f>CS_PID!H380/VLOOKUP($B380,표2[#ALL],2)/HLOOKUP($A380,표1[#ALL],row(),false)</f>
        <v>#N/A</v>
      </c>
      <c r="I380" s="372" t="str">
        <f>CS_PID!I380/VLOOKUP($B380,표2[#ALL],2)/HLOOKUP($A380,표1[#ALL],row(),false)</f>
        <v>#N/A</v>
      </c>
      <c r="J380" s="372" t="str">
        <f>CS_PID!J380/VLOOKUP($B380,표2[#ALL],2)/HLOOKUP($A380,표1[#ALL],row(),false)</f>
        <v>#N/A</v>
      </c>
      <c r="K380" s="372" t="str">
        <f>CS_PID!K380/VLOOKUP($B380,표2[#ALL],2)/HLOOKUP($A380,표1[#ALL],row(),false)</f>
        <v>#N/A</v>
      </c>
      <c r="L380" s="372" t="str">
        <f>CS_PID!L380/VLOOKUP($B380,표2[#ALL],2)/HLOOKUP($A380,표1[#ALL],row(),false)</f>
        <v>#N/A</v>
      </c>
      <c r="M380" s="372" t="str">
        <f>CS_PID!M380/VLOOKUP($B380,표2[#ALL],2)/HLOOKUP($A380,표1[#ALL],row(),false)</f>
        <v>#N/A</v>
      </c>
      <c r="N380" s="372" t="str">
        <f>CS_PID!N380/VLOOKUP($B380,표2[#ALL],2)/HLOOKUP($A380,표1[#ALL],row(),false)</f>
        <v>#N/A</v>
      </c>
      <c r="O380" s="372" t="str">
        <f>CS_PID!O380/VLOOKUP($B380,표2[#ALL],2)/HLOOKUP($A380,표1[#ALL],row(),false)</f>
        <v>#N/A</v>
      </c>
      <c r="P380" s="372" t="str">
        <f>CS_PID!P380/VLOOKUP($B380,표2[#ALL],2)/HLOOKUP($A380,표1[#ALL],row(),false)</f>
        <v>#N/A</v>
      </c>
      <c r="Q380" s="372" t="str">
        <f>CS_PID!Q380/VLOOKUP($B380,표2[#ALL],2)/HLOOKUP($A380,표1[#ALL],row(),false)</f>
        <v>#N/A</v>
      </c>
      <c r="R380" s="372" t="str">
        <f>CS_PID!R380/VLOOKUP($B380,표2[#ALL],2)/HLOOKUP($A380,표1[#ALL],row(),false)</f>
        <v>#N/A</v>
      </c>
      <c r="S380" s="372" t="str">
        <f>CS_PID!S380/VLOOKUP($B380,표2[#ALL],2)/HLOOKUP($A380,표1[#ALL],row(),false)</f>
        <v>#N/A</v>
      </c>
      <c r="T380" s="372" t="str">
        <f>CS_PID!T380/VLOOKUP($B380,표2[#ALL],2)/HLOOKUP($A380,표1[#ALL],row(),false)</f>
        <v>#N/A</v>
      </c>
      <c r="U380" s="372" t="str">
        <f>CS_PID!U380/VLOOKUP($B380,표2[#ALL],2)/HLOOKUP($A380,표1[#ALL],row(),false)</f>
        <v>#N/A</v>
      </c>
      <c r="V380" s="372" t="str">
        <f>CS_PID!V380/VLOOKUP($B380,표2[#ALL],2)/HLOOKUP($A380,표1[#ALL],row(),false)</f>
        <v>#N/A</v>
      </c>
      <c r="W380" s="372" t="str">
        <f>CS_PID!W380/VLOOKUP($B380,표2[#ALL],2)/HLOOKUP($A380,표1[#ALL],row(),false)</f>
        <v>#N/A</v>
      </c>
      <c r="X380" s="372" t="str">
        <f>CS_PID!X380/VLOOKUP($B380,표2[#ALL],2)/HLOOKUP($A380,표1[#ALL],row(),false)</f>
        <v>#N/A</v>
      </c>
      <c r="Y380" s="372" t="str">
        <f>CS_PID!Y380/VLOOKUP($B380,표2[#ALL],2)/HLOOKUP($A380,표1[#ALL],row(),false)</f>
        <v>#N/A</v>
      </c>
      <c r="Z380" s="372" t="str">
        <f>CS_PID!Z380/VLOOKUP($B380,표2[#ALL],2)/HLOOKUP($A380,표1[#ALL],row(),false)</f>
        <v>#N/A</v>
      </c>
      <c r="AA380" s="372" t="str">
        <f>CS_PID!AA380/VLOOKUP($B380,표2[#ALL],2)/HLOOKUP($A380,표1[#ALL],row(),false)</f>
        <v>#N/A</v>
      </c>
      <c r="AB380" s="372" t="str">
        <f>CS_PID!AB380/VLOOKUP($B380,표2[#ALL],2)/HLOOKUP($A380,표1[#ALL],row(),false)</f>
        <v>#N/A</v>
      </c>
      <c r="AC380" s="372" t="str">
        <f>CS_PID!AC380/VLOOKUP($B380,표2[#ALL],2)/HLOOKUP($A380,표1[#ALL],row(),false)</f>
        <v>#N/A</v>
      </c>
      <c r="AD380" s="372" t="str">
        <f>CS_PID!AD380/VLOOKUP($B380,표2[#ALL],2)/HLOOKUP($A380,표1[#ALL],row(),false)</f>
        <v>#N/A</v>
      </c>
      <c r="AE380" s="372" t="str">
        <f>CS_PID!AE380/VLOOKUP($B380,표2[#ALL],2)/HLOOKUP($A380,표1[#ALL],row(),false)</f>
        <v>#N/A</v>
      </c>
      <c r="AF380" s="372" t="str">
        <f>CS_PID!AF380/VLOOKUP($B380,표2[#ALL],2)/HLOOKUP($A380,표1[#ALL],row(),false)</f>
        <v>#N/A</v>
      </c>
      <c r="AG380" s="372" t="str">
        <f>CS_PID!AG380/VLOOKUP($B380,표2[#ALL],2)/HLOOKUP($A380,표1[#ALL],row(),false)</f>
        <v>#N/A</v>
      </c>
      <c r="AH380" s="372" t="str">
        <f>CS_PID!AH380/VLOOKUP($B380,표2[#ALL],2)/HLOOKUP($A380,표1[#ALL],row(),false)</f>
        <v>#N/A</v>
      </c>
      <c r="AI380" s="372" t="str">
        <f>CS_PID!AI380/VLOOKUP($B380,표2[#ALL],2)/HLOOKUP($A380,표1[#ALL],row(),false)</f>
        <v>#N/A</v>
      </c>
      <c r="AJ380" s="372" t="str">
        <f>CS_PID!AJ380/VLOOKUP($B380,표2[#ALL],2)/HLOOKUP($A380,표1[#ALL],row(),false)</f>
        <v>#N/A</v>
      </c>
      <c r="AK380" s="372" t="str">
        <f>CS_PID!AK380/VLOOKUP($B380,표2[#ALL],2)/HLOOKUP($A380,표1[#ALL],row(),false)</f>
        <v>#N/A</v>
      </c>
      <c r="AL380" s="372" t="str">
        <f>CS_PID!AL380/VLOOKUP($B380,표2[#ALL],2)/HLOOKUP($A380,표1[#ALL],row(),false)</f>
        <v>#N/A</v>
      </c>
      <c r="AM380" s="372" t="str">
        <f>CS_PID!AM380/VLOOKUP($B380,표2[#ALL],2)/HLOOKUP($A380,표1[#ALL],row(),false)</f>
        <v>#N/A</v>
      </c>
      <c r="AN380" s="372" t="str">
        <f>CS_PID!AN380/VLOOKUP($B380,표2[#ALL],2)/HLOOKUP($A380,표1[#ALL],row(),false)</f>
        <v>#N/A</v>
      </c>
      <c r="AO380" s="372" t="str">
        <f>CS_PID!AO380/VLOOKUP($B380,표2[#ALL],2)/HLOOKUP($A380,표1[#ALL],row(),false)</f>
        <v>#N/A</v>
      </c>
      <c r="AP380" s="372" t="str">
        <f>CS_PID!AP380/VLOOKUP($B380,표2[#ALL],2)/HLOOKUP($A380,표1[#ALL],row(),false)</f>
        <v>#N/A</v>
      </c>
      <c r="AQ380" s="372" t="str">
        <f>CS_PID!AQ380/VLOOKUP($B380,표2[#ALL],2)/HLOOKUP($A380,표1[#ALL],row(),false)</f>
        <v>#N/A</v>
      </c>
      <c r="AR380" s="372" t="str">
        <f>CS_PID!AR380/VLOOKUP($B380,표2[#ALL],2)/HLOOKUP($A380,표1[#ALL],row(),false)</f>
        <v>#N/A</v>
      </c>
      <c r="AS380" s="373" t="str">
        <f>CS_PID!AS380/VLOOKUP($B380,표2[#ALL],2)/HLOOKUP($A380,표1[#ALL],row(),false)</f>
        <v>#N/A</v>
      </c>
    </row>
    <row r="381">
      <c r="A381" s="374"/>
      <c r="B381" s="375"/>
      <c r="C381" s="376" t="str">
        <f>CS_PID!C381/VLOOKUP($B381,표2[#ALL],2)</f>
        <v>#N/A</v>
      </c>
      <c r="D381" s="376" t="str">
        <f>CS_PID!D381/VLOOKUP($B381,표2[#ALL],2)</f>
        <v>#N/A</v>
      </c>
      <c r="E381" s="376" t="str">
        <f>CS_PID!E381/VLOOKUP($B381,표2[#ALL],2)</f>
        <v>#N/A</v>
      </c>
      <c r="F381" s="376" t="str">
        <f>CS_PID!F381/VLOOKUP($B381,표2[#ALL],2)</f>
        <v>#N/A</v>
      </c>
      <c r="G381" s="376" t="str">
        <f>CS_PID!G381/VLOOKUP($B381,표2[#ALL],2)</f>
        <v>#N/A</v>
      </c>
      <c r="H381" s="376" t="str">
        <f>CS_PID!H381/VLOOKUP($B381,표2[#ALL],2)/HLOOKUP($A381,표1[#ALL],row(),false)</f>
        <v>#N/A</v>
      </c>
      <c r="I381" s="376" t="str">
        <f>CS_PID!I381/VLOOKUP($B381,표2[#ALL],2)/HLOOKUP($A381,표1[#ALL],row(),false)</f>
        <v>#N/A</v>
      </c>
      <c r="J381" s="376" t="str">
        <f>CS_PID!J381/VLOOKUP($B381,표2[#ALL],2)/HLOOKUP($A381,표1[#ALL],row(),false)</f>
        <v>#N/A</v>
      </c>
      <c r="K381" s="376" t="str">
        <f>CS_PID!K381/VLOOKUP($B381,표2[#ALL],2)/HLOOKUP($A381,표1[#ALL],row(),false)</f>
        <v>#N/A</v>
      </c>
      <c r="L381" s="376" t="str">
        <f>CS_PID!L381/VLOOKUP($B381,표2[#ALL],2)/HLOOKUP($A381,표1[#ALL],row(),false)</f>
        <v>#N/A</v>
      </c>
      <c r="M381" s="376" t="str">
        <f>CS_PID!M381/VLOOKUP($B381,표2[#ALL],2)/HLOOKUP($A381,표1[#ALL],row(),false)</f>
        <v>#N/A</v>
      </c>
      <c r="N381" s="376" t="str">
        <f>CS_PID!N381/VLOOKUP($B381,표2[#ALL],2)/HLOOKUP($A381,표1[#ALL],row(),false)</f>
        <v>#N/A</v>
      </c>
      <c r="O381" s="376" t="str">
        <f>CS_PID!O381/VLOOKUP($B381,표2[#ALL],2)/HLOOKUP($A381,표1[#ALL],row(),false)</f>
        <v>#N/A</v>
      </c>
      <c r="P381" s="376" t="str">
        <f>CS_PID!P381/VLOOKUP($B381,표2[#ALL],2)/HLOOKUP($A381,표1[#ALL],row(),false)</f>
        <v>#N/A</v>
      </c>
      <c r="Q381" s="376" t="str">
        <f>CS_PID!Q381/VLOOKUP($B381,표2[#ALL],2)/HLOOKUP($A381,표1[#ALL],row(),false)</f>
        <v>#N/A</v>
      </c>
      <c r="R381" s="376" t="str">
        <f>CS_PID!R381/VLOOKUP($B381,표2[#ALL],2)/HLOOKUP($A381,표1[#ALL],row(),false)</f>
        <v>#N/A</v>
      </c>
      <c r="S381" s="376" t="str">
        <f>CS_PID!S381/VLOOKUP($B381,표2[#ALL],2)/HLOOKUP($A381,표1[#ALL],row(),false)</f>
        <v>#N/A</v>
      </c>
      <c r="T381" s="376" t="str">
        <f>CS_PID!T381/VLOOKUP($B381,표2[#ALL],2)/HLOOKUP($A381,표1[#ALL],row(),false)</f>
        <v>#N/A</v>
      </c>
      <c r="U381" s="376" t="str">
        <f>CS_PID!U381/VLOOKUP($B381,표2[#ALL],2)/HLOOKUP($A381,표1[#ALL],row(),false)</f>
        <v>#N/A</v>
      </c>
      <c r="V381" s="376" t="str">
        <f>CS_PID!V381/VLOOKUP($B381,표2[#ALL],2)/HLOOKUP($A381,표1[#ALL],row(),false)</f>
        <v>#N/A</v>
      </c>
      <c r="W381" s="376" t="str">
        <f>CS_PID!W381/VLOOKUP($B381,표2[#ALL],2)/HLOOKUP($A381,표1[#ALL],row(),false)</f>
        <v>#N/A</v>
      </c>
      <c r="X381" s="376" t="str">
        <f>CS_PID!X381/VLOOKUP($B381,표2[#ALL],2)/HLOOKUP($A381,표1[#ALL],row(),false)</f>
        <v>#N/A</v>
      </c>
      <c r="Y381" s="376" t="str">
        <f>CS_PID!Y381/VLOOKUP($B381,표2[#ALL],2)/HLOOKUP($A381,표1[#ALL],row(),false)</f>
        <v>#N/A</v>
      </c>
      <c r="Z381" s="376" t="str">
        <f>CS_PID!Z381/VLOOKUP($B381,표2[#ALL],2)/HLOOKUP($A381,표1[#ALL],row(),false)</f>
        <v>#N/A</v>
      </c>
      <c r="AA381" s="376" t="str">
        <f>CS_PID!AA381/VLOOKUP($B381,표2[#ALL],2)/HLOOKUP($A381,표1[#ALL],row(),false)</f>
        <v>#N/A</v>
      </c>
      <c r="AB381" s="376" t="str">
        <f>CS_PID!AB381/VLOOKUP($B381,표2[#ALL],2)/HLOOKUP($A381,표1[#ALL],row(),false)</f>
        <v>#N/A</v>
      </c>
      <c r="AC381" s="376" t="str">
        <f>CS_PID!AC381/VLOOKUP($B381,표2[#ALL],2)/HLOOKUP($A381,표1[#ALL],row(),false)</f>
        <v>#N/A</v>
      </c>
      <c r="AD381" s="376" t="str">
        <f>CS_PID!AD381/VLOOKUP($B381,표2[#ALL],2)/HLOOKUP($A381,표1[#ALL],row(),false)</f>
        <v>#N/A</v>
      </c>
      <c r="AE381" s="376" t="str">
        <f>CS_PID!AE381/VLOOKUP($B381,표2[#ALL],2)/HLOOKUP($A381,표1[#ALL],row(),false)</f>
        <v>#N/A</v>
      </c>
      <c r="AF381" s="376" t="str">
        <f>CS_PID!AF381/VLOOKUP($B381,표2[#ALL],2)/HLOOKUP($A381,표1[#ALL],row(),false)</f>
        <v>#N/A</v>
      </c>
      <c r="AG381" s="376" t="str">
        <f>CS_PID!AG381/VLOOKUP($B381,표2[#ALL],2)/HLOOKUP($A381,표1[#ALL],row(),false)</f>
        <v>#N/A</v>
      </c>
      <c r="AH381" s="376" t="str">
        <f>CS_PID!AH381/VLOOKUP($B381,표2[#ALL],2)/HLOOKUP($A381,표1[#ALL],row(),false)</f>
        <v>#N/A</v>
      </c>
      <c r="AI381" s="376" t="str">
        <f>CS_PID!AI381/VLOOKUP($B381,표2[#ALL],2)/HLOOKUP($A381,표1[#ALL],row(),false)</f>
        <v>#N/A</v>
      </c>
      <c r="AJ381" s="376" t="str">
        <f>CS_PID!AJ381/VLOOKUP($B381,표2[#ALL],2)/HLOOKUP($A381,표1[#ALL],row(),false)</f>
        <v>#N/A</v>
      </c>
      <c r="AK381" s="376" t="str">
        <f>CS_PID!AK381/VLOOKUP($B381,표2[#ALL],2)/HLOOKUP($A381,표1[#ALL],row(),false)</f>
        <v>#N/A</v>
      </c>
      <c r="AL381" s="376" t="str">
        <f>CS_PID!AL381/VLOOKUP($B381,표2[#ALL],2)/HLOOKUP($A381,표1[#ALL],row(),false)</f>
        <v>#N/A</v>
      </c>
      <c r="AM381" s="376" t="str">
        <f>CS_PID!AM381/VLOOKUP($B381,표2[#ALL],2)/HLOOKUP($A381,표1[#ALL],row(),false)</f>
        <v>#N/A</v>
      </c>
      <c r="AN381" s="376" t="str">
        <f>CS_PID!AN381/VLOOKUP($B381,표2[#ALL],2)/HLOOKUP($A381,표1[#ALL],row(),false)</f>
        <v>#N/A</v>
      </c>
      <c r="AO381" s="376" t="str">
        <f>CS_PID!AO381/VLOOKUP($B381,표2[#ALL],2)/HLOOKUP($A381,표1[#ALL],row(),false)</f>
        <v>#N/A</v>
      </c>
      <c r="AP381" s="376" t="str">
        <f>CS_PID!AP381/VLOOKUP($B381,표2[#ALL],2)/HLOOKUP($A381,표1[#ALL],row(),false)</f>
        <v>#N/A</v>
      </c>
      <c r="AQ381" s="376" t="str">
        <f>CS_PID!AQ381/VLOOKUP($B381,표2[#ALL],2)/HLOOKUP($A381,표1[#ALL],row(),false)</f>
        <v>#N/A</v>
      </c>
      <c r="AR381" s="376" t="str">
        <f>CS_PID!AR381/VLOOKUP($B381,표2[#ALL],2)/HLOOKUP($A381,표1[#ALL],row(),false)</f>
        <v>#N/A</v>
      </c>
      <c r="AS381" s="377" t="str">
        <f>CS_PID!AS381/VLOOKUP($B381,표2[#ALL],2)/HLOOKUP($A381,표1[#ALL],row(),false)</f>
        <v>#N/A</v>
      </c>
    </row>
    <row r="382">
      <c r="A382" s="370"/>
      <c r="B382" s="371"/>
      <c r="C382" s="372" t="str">
        <f>CS_PID!C382/VLOOKUP($B382,표2[#ALL],2)</f>
        <v>#N/A</v>
      </c>
      <c r="D382" s="372" t="str">
        <f>CS_PID!D382/VLOOKUP($B382,표2[#ALL],2)</f>
        <v>#N/A</v>
      </c>
      <c r="E382" s="372" t="str">
        <f>CS_PID!E382/VLOOKUP($B382,표2[#ALL],2)</f>
        <v>#N/A</v>
      </c>
      <c r="F382" s="372" t="str">
        <f>CS_PID!F382/VLOOKUP($B382,표2[#ALL],2)</f>
        <v>#N/A</v>
      </c>
      <c r="G382" s="372" t="str">
        <f>CS_PID!G382/VLOOKUP($B382,표2[#ALL],2)</f>
        <v>#N/A</v>
      </c>
      <c r="H382" s="372" t="str">
        <f>CS_PID!H382/VLOOKUP($B382,표2[#ALL],2)/HLOOKUP($A382,표1[#ALL],row(),false)</f>
        <v>#N/A</v>
      </c>
      <c r="I382" s="372" t="str">
        <f>CS_PID!I382/VLOOKUP($B382,표2[#ALL],2)/HLOOKUP($A382,표1[#ALL],row(),false)</f>
        <v>#N/A</v>
      </c>
      <c r="J382" s="372" t="str">
        <f>CS_PID!J382/VLOOKUP($B382,표2[#ALL],2)/HLOOKUP($A382,표1[#ALL],row(),false)</f>
        <v>#N/A</v>
      </c>
      <c r="K382" s="372" t="str">
        <f>CS_PID!K382/VLOOKUP($B382,표2[#ALL],2)/HLOOKUP($A382,표1[#ALL],row(),false)</f>
        <v>#N/A</v>
      </c>
      <c r="L382" s="372" t="str">
        <f>CS_PID!L382/VLOOKUP($B382,표2[#ALL],2)/HLOOKUP($A382,표1[#ALL],row(),false)</f>
        <v>#N/A</v>
      </c>
      <c r="M382" s="372" t="str">
        <f>CS_PID!M382/VLOOKUP($B382,표2[#ALL],2)/HLOOKUP($A382,표1[#ALL],row(),false)</f>
        <v>#N/A</v>
      </c>
      <c r="N382" s="372" t="str">
        <f>CS_PID!N382/VLOOKUP($B382,표2[#ALL],2)/HLOOKUP($A382,표1[#ALL],row(),false)</f>
        <v>#N/A</v>
      </c>
      <c r="O382" s="372" t="str">
        <f>CS_PID!O382/VLOOKUP($B382,표2[#ALL],2)/HLOOKUP($A382,표1[#ALL],row(),false)</f>
        <v>#N/A</v>
      </c>
      <c r="P382" s="372" t="str">
        <f>CS_PID!P382/VLOOKUP($B382,표2[#ALL],2)/HLOOKUP($A382,표1[#ALL],row(),false)</f>
        <v>#N/A</v>
      </c>
      <c r="Q382" s="372" t="str">
        <f>CS_PID!Q382/VLOOKUP($B382,표2[#ALL],2)/HLOOKUP($A382,표1[#ALL],row(),false)</f>
        <v>#N/A</v>
      </c>
      <c r="R382" s="372" t="str">
        <f>CS_PID!R382/VLOOKUP($B382,표2[#ALL],2)/HLOOKUP($A382,표1[#ALL],row(),false)</f>
        <v>#N/A</v>
      </c>
      <c r="S382" s="372" t="str">
        <f>CS_PID!S382/VLOOKUP($B382,표2[#ALL],2)/HLOOKUP($A382,표1[#ALL],row(),false)</f>
        <v>#N/A</v>
      </c>
      <c r="T382" s="372" t="str">
        <f>CS_PID!T382/VLOOKUP($B382,표2[#ALL],2)/HLOOKUP($A382,표1[#ALL],row(),false)</f>
        <v>#N/A</v>
      </c>
      <c r="U382" s="372" t="str">
        <f>CS_PID!U382/VLOOKUP($B382,표2[#ALL],2)/HLOOKUP($A382,표1[#ALL],row(),false)</f>
        <v>#N/A</v>
      </c>
      <c r="V382" s="372" t="str">
        <f>CS_PID!V382/VLOOKUP($B382,표2[#ALL],2)/HLOOKUP($A382,표1[#ALL],row(),false)</f>
        <v>#N/A</v>
      </c>
      <c r="W382" s="372" t="str">
        <f>CS_PID!W382/VLOOKUP($B382,표2[#ALL],2)/HLOOKUP($A382,표1[#ALL],row(),false)</f>
        <v>#N/A</v>
      </c>
      <c r="X382" s="372" t="str">
        <f>CS_PID!X382/VLOOKUP($B382,표2[#ALL],2)/HLOOKUP($A382,표1[#ALL],row(),false)</f>
        <v>#N/A</v>
      </c>
      <c r="Y382" s="372" t="str">
        <f>CS_PID!Y382/VLOOKUP($B382,표2[#ALL],2)/HLOOKUP($A382,표1[#ALL],row(),false)</f>
        <v>#N/A</v>
      </c>
      <c r="Z382" s="372" t="str">
        <f>CS_PID!Z382/VLOOKUP($B382,표2[#ALL],2)/HLOOKUP($A382,표1[#ALL],row(),false)</f>
        <v>#N/A</v>
      </c>
      <c r="AA382" s="372" t="str">
        <f>CS_PID!AA382/VLOOKUP($B382,표2[#ALL],2)/HLOOKUP($A382,표1[#ALL],row(),false)</f>
        <v>#N/A</v>
      </c>
      <c r="AB382" s="372" t="str">
        <f>CS_PID!AB382/VLOOKUP($B382,표2[#ALL],2)/HLOOKUP($A382,표1[#ALL],row(),false)</f>
        <v>#N/A</v>
      </c>
      <c r="AC382" s="372" t="str">
        <f>CS_PID!AC382/VLOOKUP($B382,표2[#ALL],2)/HLOOKUP($A382,표1[#ALL],row(),false)</f>
        <v>#N/A</v>
      </c>
      <c r="AD382" s="372" t="str">
        <f>CS_PID!AD382/VLOOKUP($B382,표2[#ALL],2)/HLOOKUP($A382,표1[#ALL],row(),false)</f>
        <v>#N/A</v>
      </c>
      <c r="AE382" s="372" t="str">
        <f>CS_PID!AE382/VLOOKUP($B382,표2[#ALL],2)/HLOOKUP($A382,표1[#ALL],row(),false)</f>
        <v>#N/A</v>
      </c>
      <c r="AF382" s="372" t="str">
        <f>CS_PID!AF382/VLOOKUP($B382,표2[#ALL],2)/HLOOKUP($A382,표1[#ALL],row(),false)</f>
        <v>#N/A</v>
      </c>
      <c r="AG382" s="372" t="str">
        <f>CS_PID!AG382/VLOOKUP($B382,표2[#ALL],2)/HLOOKUP($A382,표1[#ALL],row(),false)</f>
        <v>#N/A</v>
      </c>
      <c r="AH382" s="372" t="str">
        <f>CS_PID!AH382/VLOOKUP($B382,표2[#ALL],2)/HLOOKUP($A382,표1[#ALL],row(),false)</f>
        <v>#N/A</v>
      </c>
      <c r="AI382" s="372" t="str">
        <f>CS_PID!AI382/VLOOKUP($B382,표2[#ALL],2)/HLOOKUP($A382,표1[#ALL],row(),false)</f>
        <v>#N/A</v>
      </c>
      <c r="AJ382" s="372" t="str">
        <f>CS_PID!AJ382/VLOOKUP($B382,표2[#ALL],2)/HLOOKUP($A382,표1[#ALL],row(),false)</f>
        <v>#N/A</v>
      </c>
      <c r="AK382" s="372" t="str">
        <f>CS_PID!AK382/VLOOKUP($B382,표2[#ALL],2)/HLOOKUP($A382,표1[#ALL],row(),false)</f>
        <v>#N/A</v>
      </c>
      <c r="AL382" s="372" t="str">
        <f>CS_PID!AL382/VLOOKUP($B382,표2[#ALL],2)/HLOOKUP($A382,표1[#ALL],row(),false)</f>
        <v>#N/A</v>
      </c>
      <c r="AM382" s="372" t="str">
        <f>CS_PID!AM382/VLOOKUP($B382,표2[#ALL],2)/HLOOKUP($A382,표1[#ALL],row(),false)</f>
        <v>#N/A</v>
      </c>
      <c r="AN382" s="372" t="str">
        <f>CS_PID!AN382/VLOOKUP($B382,표2[#ALL],2)/HLOOKUP($A382,표1[#ALL],row(),false)</f>
        <v>#N/A</v>
      </c>
      <c r="AO382" s="372" t="str">
        <f>CS_PID!AO382/VLOOKUP($B382,표2[#ALL],2)/HLOOKUP($A382,표1[#ALL],row(),false)</f>
        <v>#N/A</v>
      </c>
      <c r="AP382" s="372" t="str">
        <f>CS_PID!AP382/VLOOKUP($B382,표2[#ALL],2)/HLOOKUP($A382,표1[#ALL],row(),false)</f>
        <v>#N/A</v>
      </c>
      <c r="AQ382" s="372" t="str">
        <f>CS_PID!AQ382/VLOOKUP($B382,표2[#ALL],2)/HLOOKUP($A382,표1[#ALL],row(),false)</f>
        <v>#N/A</v>
      </c>
      <c r="AR382" s="372" t="str">
        <f>CS_PID!AR382/VLOOKUP($B382,표2[#ALL],2)/HLOOKUP($A382,표1[#ALL],row(),false)</f>
        <v>#N/A</v>
      </c>
      <c r="AS382" s="373" t="str">
        <f>CS_PID!AS382/VLOOKUP($B382,표2[#ALL],2)/HLOOKUP($A382,표1[#ALL],row(),false)</f>
        <v>#N/A</v>
      </c>
    </row>
    <row r="383">
      <c r="A383" s="374"/>
      <c r="B383" s="375"/>
      <c r="C383" s="376" t="str">
        <f>CS_PID!C383/VLOOKUP($B383,표2[#ALL],2)</f>
        <v>#N/A</v>
      </c>
      <c r="D383" s="376" t="str">
        <f>CS_PID!D383/VLOOKUP($B383,표2[#ALL],2)</f>
        <v>#N/A</v>
      </c>
      <c r="E383" s="376" t="str">
        <f>CS_PID!E383/VLOOKUP($B383,표2[#ALL],2)</f>
        <v>#N/A</v>
      </c>
      <c r="F383" s="376" t="str">
        <f>CS_PID!F383/VLOOKUP($B383,표2[#ALL],2)</f>
        <v>#N/A</v>
      </c>
      <c r="G383" s="376" t="str">
        <f>CS_PID!G383/VLOOKUP($B383,표2[#ALL],2)</f>
        <v>#N/A</v>
      </c>
      <c r="H383" s="376" t="str">
        <f>CS_PID!H383/VLOOKUP($B383,표2[#ALL],2)/HLOOKUP($A383,표1[#ALL],row(),false)</f>
        <v>#N/A</v>
      </c>
      <c r="I383" s="376" t="str">
        <f>CS_PID!I383/VLOOKUP($B383,표2[#ALL],2)/HLOOKUP($A383,표1[#ALL],row(),false)</f>
        <v>#N/A</v>
      </c>
      <c r="J383" s="376" t="str">
        <f>CS_PID!J383/VLOOKUP($B383,표2[#ALL],2)/HLOOKUP($A383,표1[#ALL],row(),false)</f>
        <v>#N/A</v>
      </c>
      <c r="K383" s="376" t="str">
        <f>CS_PID!K383/VLOOKUP($B383,표2[#ALL],2)/HLOOKUP($A383,표1[#ALL],row(),false)</f>
        <v>#N/A</v>
      </c>
      <c r="L383" s="376" t="str">
        <f>CS_PID!L383/VLOOKUP($B383,표2[#ALL],2)/HLOOKUP($A383,표1[#ALL],row(),false)</f>
        <v>#N/A</v>
      </c>
      <c r="M383" s="376" t="str">
        <f>CS_PID!M383/VLOOKUP($B383,표2[#ALL],2)/HLOOKUP($A383,표1[#ALL],row(),false)</f>
        <v>#N/A</v>
      </c>
      <c r="N383" s="376" t="str">
        <f>CS_PID!N383/VLOOKUP($B383,표2[#ALL],2)/HLOOKUP($A383,표1[#ALL],row(),false)</f>
        <v>#N/A</v>
      </c>
      <c r="O383" s="376" t="str">
        <f>CS_PID!O383/VLOOKUP($B383,표2[#ALL],2)/HLOOKUP($A383,표1[#ALL],row(),false)</f>
        <v>#N/A</v>
      </c>
      <c r="P383" s="376" t="str">
        <f>CS_PID!P383/VLOOKUP($B383,표2[#ALL],2)/HLOOKUP($A383,표1[#ALL],row(),false)</f>
        <v>#N/A</v>
      </c>
      <c r="Q383" s="376" t="str">
        <f>CS_PID!Q383/VLOOKUP($B383,표2[#ALL],2)/HLOOKUP($A383,표1[#ALL],row(),false)</f>
        <v>#N/A</v>
      </c>
      <c r="R383" s="376" t="str">
        <f>CS_PID!R383/VLOOKUP($B383,표2[#ALL],2)/HLOOKUP($A383,표1[#ALL],row(),false)</f>
        <v>#N/A</v>
      </c>
      <c r="S383" s="376" t="str">
        <f>CS_PID!S383/VLOOKUP($B383,표2[#ALL],2)/HLOOKUP($A383,표1[#ALL],row(),false)</f>
        <v>#N/A</v>
      </c>
      <c r="T383" s="376" t="str">
        <f>CS_PID!T383/VLOOKUP($B383,표2[#ALL],2)/HLOOKUP($A383,표1[#ALL],row(),false)</f>
        <v>#N/A</v>
      </c>
      <c r="U383" s="376" t="str">
        <f>CS_PID!U383/VLOOKUP($B383,표2[#ALL],2)/HLOOKUP($A383,표1[#ALL],row(),false)</f>
        <v>#N/A</v>
      </c>
      <c r="V383" s="376" t="str">
        <f>CS_PID!V383/VLOOKUP($B383,표2[#ALL],2)/HLOOKUP($A383,표1[#ALL],row(),false)</f>
        <v>#N/A</v>
      </c>
      <c r="W383" s="376" t="str">
        <f>CS_PID!W383/VLOOKUP($B383,표2[#ALL],2)/HLOOKUP($A383,표1[#ALL],row(),false)</f>
        <v>#N/A</v>
      </c>
      <c r="X383" s="376" t="str">
        <f>CS_PID!X383/VLOOKUP($B383,표2[#ALL],2)/HLOOKUP($A383,표1[#ALL],row(),false)</f>
        <v>#N/A</v>
      </c>
      <c r="Y383" s="376" t="str">
        <f>CS_PID!Y383/VLOOKUP($B383,표2[#ALL],2)/HLOOKUP($A383,표1[#ALL],row(),false)</f>
        <v>#N/A</v>
      </c>
      <c r="Z383" s="376" t="str">
        <f>CS_PID!Z383/VLOOKUP($B383,표2[#ALL],2)/HLOOKUP($A383,표1[#ALL],row(),false)</f>
        <v>#N/A</v>
      </c>
      <c r="AA383" s="376" t="str">
        <f>CS_PID!AA383/VLOOKUP($B383,표2[#ALL],2)/HLOOKUP($A383,표1[#ALL],row(),false)</f>
        <v>#N/A</v>
      </c>
      <c r="AB383" s="376" t="str">
        <f>CS_PID!AB383/VLOOKUP($B383,표2[#ALL],2)/HLOOKUP($A383,표1[#ALL],row(),false)</f>
        <v>#N/A</v>
      </c>
      <c r="AC383" s="376" t="str">
        <f>CS_PID!AC383/VLOOKUP($B383,표2[#ALL],2)/HLOOKUP($A383,표1[#ALL],row(),false)</f>
        <v>#N/A</v>
      </c>
      <c r="AD383" s="376" t="str">
        <f>CS_PID!AD383/VLOOKUP($B383,표2[#ALL],2)/HLOOKUP($A383,표1[#ALL],row(),false)</f>
        <v>#N/A</v>
      </c>
      <c r="AE383" s="376" t="str">
        <f>CS_PID!AE383/VLOOKUP($B383,표2[#ALL],2)/HLOOKUP($A383,표1[#ALL],row(),false)</f>
        <v>#N/A</v>
      </c>
      <c r="AF383" s="376" t="str">
        <f>CS_PID!AF383/VLOOKUP($B383,표2[#ALL],2)/HLOOKUP($A383,표1[#ALL],row(),false)</f>
        <v>#N/A</v>
      </c>
      <c r="AG383" s="376" t="str">
        <f>CS_PID!AG383/VLOOKUP($B383,표2[#ALL],2)/HLOOKUP($A383,표1[#ALL],row(),false)</f>
        <v>#N/A</v>
      </c>
      <c r="AH383" s="376" t="str">
        <f>CS_PID!AH383/VLOOKUP($B383,표2[#ALL],2)/HLOOKUP($A383,표1[#ALL],row(),false)</f>
        <v>#N/A</v>
      </c>
      <c r="AI383" s="376" t="str">
        <f>CS_PID!AI383/VLOOKUP($B383,표2[#ALL],2)/HLOOKUP($A383,표1[#ALL],row(),false)</f>
        <v>#N/A</v>
      </c>
      <c r="AJ383" s="376" t="str">
        <f>CS_PID!AJ383/VLOOKUP($B383,표2[#ALL],2)/HLOOKUP($A383,표1[#ALL],row(),false)</f>
        <v>#N/A</v>
      </c>
      <c r="AK383" s="376" t="str">
        <f>CS_PID!AK383/VLOOKUP($B383,표2[#ALL],2)/HLOOKUP($A383,표1[#ALL],row(),false)</f>
        <v>#N/A</v>
      </c>
      <c r="AL383" s="376" t="str">
        <f>CS_PID!AL383/VLOOKUP($B383,표2[#ALL],2)/HLOOKUP($A383,표1[#ALL],row(),false)</f>
        <v>#N/A</v>
      </c>
      <c r="AM383" s="376" t="str">
        <f>CS_PID!AM383/VLOOKUP($B383,표2[#ALL],2)/HLOOKUP($A383,표1[#ALL],row(),false)</f>
        <v>#N/A</v>
      </c>
      <c r="AN383" s="376" t="str">
        <f>CS_PID!AN383/VLOOKUP($B383,표2[#ALL],2)/HLOOKUP($A383,표1[#ALL],row(),false)</f>
        <v>#N/A</v>
      </c>
      <c r="AO383" s="376" t="str">
        <f>CS_PID!AO383/VLOOKUP($B383,표2[#ALL],2)/HLOOKUP($A383,표1[#ALL],row(),false)</f>
        <v>#N/A</v>
      </c>
      <c r="AP383" s="376" t="str">
        <f>CS_PID!AP383/VLOOKUP($B383,표2[#ALL],2)/HLOOKUP($A383,표1[#ALL],row(),false)</f>
        <v>#N/A</v>
      </c>
      <c r="AQ383" s="376" t="str">
        <f>CS_PID!AQ383/VLOOKUP($B383,표2[#ALL],2)/HLOOKUP($A383,표1[#ALL],row(),false)</f>
        <v>#N/A</v>
      </c>
      <c r="AR383" s="376" t="str">
        <f>CS_PID!AR383/VLOOKUP($B383,표2[#ALL],2)/HLOOKUP($A383,표1[#ALL],row(),false)</f>
        <v>#N/A</v>
      </c>
      <c r="AS383" s="377" t="str">
        <f>CS_PID!AS383/VLOOKUP($B383,표2[#ALL],2)/HLOOKUP($A383,표1[#ALL],row(),false)</f>
        <v>#N/A</v>
      </c>
    </row>
    <row r="384">
      <c r="A384" s="370"/>
      <c r="B384" s="371"/>
      <c r="C384" s="372" t="str">
        <f>CS_PID!C384/VLOOKUP($B384,표2[#ALL],2)</f>
        <v>#N/A</v>
      </c>
      <c r="D384" s="372" t="str">
        <f>CS_PID!D384/VLOOKUP($B384,표2[#ALL],2)</f>
        <v>#N/A</v>
      </c>
      <c r="E384" s="372" t="str">
        <f>CS_PID!E384/VLOOKUP($B384,표2[#ALL],2)</f>
        <v>#N/A</v>
      </c>
      <c r="F384" s="372" t="str">
        <f>CS_PID!F384/VLOOKUP($B384,표2[#ALL],2)</f>
        <v>#N/A</v>
      </c>
      <c r="G384" s="372" t="str">
        <f>CS_PID!G384/VLOOKUP($B384,표2[#ALL],2)</f>
        <v>#N/A</v>
      </c>
      <c r="H384" s="372" t="str">
        <f>CS_PID!H384/VLOOKUP($B384,표2[#ALL],2)/HLOOKUP($A384,표1[#ALL],row(),false)</f>
        <v>#N/A</v>
      </c>
      <c r="I384" s="372" t="str">
        <f>CS_PID!I384/VLOOKUP($B384,표2[#ALL],2)/HLOOKUP($A384,표1[#ALL],row(),false)</f>
        <v>#N/A</v>
      </c>
      <c r="J384" s="372" t="str">
        <f>CS_PID!J384/VLOOKUP($B384,표2[#ALL],2)/HLOOKUP($A384,표1[#ALL],row(),false)</f>
        <v>#N/A</v>
      </c>
      <c r="K384" s="372" t="str">
        <f>CS_PID!K384/VLOOKUP($B384,표2[#ALL],2)/HLOOKUP($A384,표1[#ALL],row(),false)</f>
        <v>#N/A</v>
      </c>
      <c r="L384" s="372" t="str">
        <f>CS_PID!L384/VLOOKUP($B384,표2[#ALL],2)/HLOOKUP($A384,표1[#ALL],row(),false)</f>
        <v>#N/A</v>
      </c>
      <c r="M384" s="372" t="str">
        <f>CS_PID!M384/VLOOKUP($B384,표2[#ALL],2)/HLOOKUP($A384,표1[#ALL],row(),false)</f>
        <v>#N/A</v>
      </c>
      <c r="N384" s="372" t="str">
        <f>CS_PID!N384/VLOOKUP($B384,표2[#ALL],2)/HLOOKUP($A384,표1[#ALL],row(),false)</f>
        <v>#N/A</v>
      </c>
      <c r="O384" s="372" t="str">
        <f>CS_PID!O384/VLOOKUP($B384,표2[#ALL],2)/HLOOKUP($A384,표1[#ALL],row(),false)</f>
        <v>#N/A</v>
      </c>
      <c r="P384" s="372" t="str">
        <f>CS_PID!P384/VLOOKUP($B384,표2[#ALL],2)/HLOOKUP($A384,표1[#ALL],row(),false)</f>
        <v>#N/A</v>
      </c>
      <c r="Q384" s="372" t="str">
        <f>CS_PID!Q384/VLOOKUP($B384,표2[#ALL],2)/HLOOKUP($A384,표1[#ALL],row(),false)</f>
        <v>#N/A</v>
      </c>
      <c r="R384" s="372" t="str">
        <f>CS_PID!R384/VLOOKUP($B384,표2[#ALL],2)/HLOOKUP($A384,표1[#ALL],row(),false)</f>
        <v>#N/A</v>
      </c>
      <c r="S384" s="372" t="str">
        <f>CS_PID!S384/VLOOKUP($B384,표2[#ALL],2)/HLOOKUP($A384,표1[#ALL],row(),false)</f>
        <v>#N/A</v>
      </c>
      <c r="T384" s="372" t="str">
        <f>CS_PID!T384/VLOOKUP($B384,표2[#ALL],2)/HLOOKUP($A384,표1[#ALL],row(),false)</f>
        <v>#N/A</v>
      </c>
      <c r="U384" s="372" t="str">
        <f>CS_PID!U384/VLOOKUP($B384,표2[#ALL],2)/HLOOKUP($A384,표1[#ALL],row(),false)</f>
        <v>#N/A</v>
      </c>
      <c r="V384" s="372" t="str">
        <f>CS_PID!V384/VLOOKUP($B384,표2[#ALL],2)/HLOOKUP($A384,표1[#ALL],row(),false)</f>
        <v>#N/A</v>
      </c>
      <c r="W384" s="372" t="str">
        <f>CS_PID!W384/VLOOKUP($B384,표2[#ALL],2)/HLOOKUP($A384,표1[#ALL],row(),false)</f>
        <v>#N/A</v>
      </c>
      <c r="X384" s="372" t="str">
        <f>CS_PID!X384/VLOOKUP($B384,표2[#ALL],2)/HLOOKUP($A384,표1[#ALL],row(),false)</f>
        <v>#N/A</v>
      </c>
      <c r="Y384" s="372" t="str">
        <f>CS_PID!Y384/VLOOKUP($B384,표2[#ALL],2)/HLOOKUP($A384,표1[#ALL],row(),false)</f>
        <v>#N/A</v>
      </c>
      <c r="Z384" s="372" t="str">
        <f>CS_PID!Z384/VLOOKUP($B384,표2[#ALL],2)/HLOOKUP($A384,표1[#ALL],row(),false)</f>
        <v>#N/A</v>
      </c>
      <c r="AA384" s="372" t="str">
        <f>CS_PID!AA384/VLOOKUP($B384,표2[#ALL],2)/HLOOKUP($A384,표1[#ALL],row(),false)</f>
        <v>#N/A</v>
      </c>
      <c r="AB384" s="372" t="str">
        <f>CS_PID!AB384/VLOOKUP($B384,표2[#ALL],2)/HLOOKUP($A384,표1[#ALL],row(),false)</f>
        <v>#N/A</v>
      </c>
      <c r="AC384" s="372" t="str">
        <f>CS_PID!AC384/VLOOKUP($B384,표2[#ALL],2)/HLOOKUP($A384,표1[#ALL],row(),false)</f>
        <v>#N/A</v>
      </c>
      <c r="AD384" s="372" t="str">
        <f>CS_PID!AD384/VLOOKUP($B384,표2[#ALL],2)/HLOOKUP($A384,표1[#ALL],row(),false)</f>
        <v>#N/A</v>
      </c>
      <c r="AE384" s="372" t="str">
        <f>CS_PID!AE384/VLOOKUP($B384,표2[#ALL],2)/HLOOKUP($A384,표1[#ALL],row(),false)</f>
        <v>#N/A</v>
      </c>
      <c r="AF384" s="372" t="str">
        <f>CS_PID!AF384/VLOOKUP($B384,표2[#ALL],2)/HLOOKUP($A384,표1[#ALL],row(),false)</f>
        <v>#N/A</v>
      </c>
      <c r="AG384" s="372" t="str">
        <f>CS_PID!AG384/VLOOKUP($B384,표2[#ALL],2)/HLOOKUP($A384,표1[#ALL],row(),false)</f>
        <v>#N/A</v>
      </c>
      <c r="AH384" s="372" t="str">
        <f>CS_PID!AH384/VLOOKUP($B384,표2[#ALL],2)/HLOOKUP($A384,표1[#ALL],row(),false)</f>
        <v>#N/A</v>
      </c>
      <c r="AI384" s="372" t="str">
        <f>CS_PID!AI384/VLOOKUP($B384,표2[#ALL],2)/HLOOKUP($A384,표1[#ALL],row(),false)</f>
        <v>#N/A</v>
      </c>
      <c r="AJ384" s="372" t="str">
        <f>CS_PID!AJ384/VLOOKUP($B384,표2[#ALL],2)/HLOOKUP($A384,표1[#ALL],row(),false)</f>
        <v>#N/A</v>
      </c>
      <c r="AK384" s="372" t="str">
        <f>CS_PID!AK384/VLOOKUP($B384,표2[#ALL],2)/HLOOKUP($A384,표1[#ALL],row(),false)</f>
        <v>#N/A</v>
      </c>
      <c r="AL384" s="372" t="str">
        <f>CS_PID!AL384/VLOOKUP($B384,표2[#ALL],2)/HLOOKUP($A384,표1[#ALL],row(),false)</f>
        <v>#N/A</v>
      </c>
      <c r="AM384" s="372" t="str">
        <f>CS_PID!AM384/VLOOKUP($B384,표2[#ALL],2)/HLOOKUP($A384,표1[#ALL],row(),false)</f>
        <v>#N/A</v>
      </c>
      <c r="AN384" s="372" t="str">
        <f>CS_PID!AN384/VLOOKUP($B384,표2[#ALL],2)/HLOOKUP($A384,표1[#ALL],row(),false)</f>
        <v>#N/A</v>
      </c>
      <c r="AO384" s="372" t="str">
        <f>CS_PID!AO384/VLOOKUP($B384,표2[#ALL],2)/HLOOKUP($A384,표1[#ALL],row(),false)</f>
        <v>#N/A</v>
      </c>
      <c r="AP384" s="372" t="str">
        <f>CS_PID!AP384/VLOOKUP($B384,표2[#ALL],2)/HLOOKUP($A384,표1[#ALL],row(),false)</f>
        <v>#N/A</v>
      </c>
      <c r="AQ384" s="372" t="str">
        <f>CS_PID!AQ384/VLOOKUP($B384,표2[#ALL],2)/HLOOKUP($A384,표1[#ALL],row(),false)</f>
        <v>#N/A</v>
      </c>
      <c r="AR384" s="372" t="str">
        <f>CS_PID!AR384/VLOOKUP($B384,표2[#ALL],2)/HLOOKUP($A384,표1[#ALL],row(),false)</f>
        <v>#N/A</v>
      </c>
      <c r="AS384" s="373" t="str">
        <f>CS_PID!AS384/VLOOKUP($B384,표2[#ALL],2)/HLOOKUP($A384,표1[#ALL],row(),false)</f>
        <v>#N/A</v>
      </c>
    </row>
    <row r="385">
      <c r="A385" s="374"/>
      <c r="B385" s="375"/>
      <c r="C385" s="376" t="str">
        <f>CS_PID!C385/VLOOKUP($B385,표2[#ALL],2)</f>
        <v>#N/A</v>
      </c>
      <c r="D385" s="376" t="str">
        <f>CS_PID!D385/VLOOKUP($B385,표2[#ALL],2)</f>
        <v>#N/A</v>
      </c>
      <c r="E385" s="376" t="str">
        <f>CS_PID!E385/VLOOKUP($B385,표2[#ALL],2)</f>
        <v>#N/A</v>
      </c>
      <c r="F385" s="376" t="str">
        <f>CS_PID!F385/VLOOKUP($B385,표2[#ALL],2)</f>
        <v>#N/A</v>
      </c>
      <c r="G385" s="376" t="str">
        <f>CS_PID!G385/VLOOKUP($B385,표2[#ALL],2)</f>
        <v>#N/A</v>
      </c>
      <c r="H385" s="376" t="str">
        <f>CS_PID!H385/VLOOKUP($B385,표2[#ALL],2)/HLOOKUP($A385,표1[#ALL],row(),false)</f>
        <v>#N/A</v>
      </c>
      <c r="I385" s="376" t="str">
        <f>CS_PID!I385/VLOOKUP($B385,표2[#ALL],2)/HLOOKUP($A385,표1[#ALL],row(),false)</f>
        <v>#N/A</v>
      </c>
      <c r="J385" s="376" t="str">
        <f>CS_PID!J385/VLOOKUP($B385,표2[#ALL],2)/HLOOKUP($A385,표1[#ALL],row(),false)</f>
        <v>#N/A</v>
      </c>
      <c r="K385" s="376" t="str">
        <f>CS_PID!K385/VLOOKUP($B385,표2[#ALL],2)/HLOOKUP($A385,표1[#ALL],row(),false)</f>
        <v>#N/A</v>
      </c>
      <c r="L385" s="376" t="str">
        <f>CS_PID!L385/VLOOKUP($B385,표2[#ALL],2)/HLOOKUP($A385,표1[#ALL],row(),false)</f>
        <v>#N/A</v>
      </c>
      <c r="M385" s="376" t="str">
        <f>CS_PID!M385/VLOOKUP($B385,표2[#ALL],2)/HLOOKUP($A385,표1[#ALL],row(),false)</f>
        <v>#N/A</v>
      </c>
      <c r="N385" s="376" t="str">
        <f>CS_PID!N385/VLOOKUP($B385,표2[#ALL],2)/HLOOKUP($A385,표1[#ALL],row(),false)</f>
        <v>#N/A</v>
      </c>
      <c r="O385" s="376" t="str">
        <f>CS_PID!O385/VLOOKUP($B385,표2[#ALL],2)/HLOOKUP($A385,표1[#ALL],row(),false)</f>
        <v>#N/A</v>
      </c>
      <c r="P385" s="376" t="str">
        <f>CS_PID!P385/VLOOKUP($B385,표2[#ALL],2)/HLOOKUP($A385,표1[#ALL],row(),false)</f>
        <v>#N/A</v>
      </c>
      <c r="Q385" s="376" t="str">
        <f>CS_PID!Q385/VLOOKUP($B385,표2[#ALL],2)/HLOOKUP($A385,표1[#ALL],row(),false)</f>
        <v>#N/A</v>
      </c>
      <c r="R385" s="376" t="str">
        <f>CS_PID!R385/VLOOKUP($B385,표2[#ALL],2)/HLOOKUP($A385,표1[#ALL],row(),false)</f>
        <v>#N/A</v>
      </c>
      <c r="S385" s="376" t="str">
        <f>CS_PID!S385/VLOOKUP($B385,표2[#ALL],2)/HLOOKUP($A385,표1[#ALL],row(),false)</f>
        <v>#N/A</v>
      </c>
      <c r="T385" s="376" t="str">
        <f>CS_PID!T385/VLOOKUP($B385,표2[#ALL],2)/HLOOKUP($A385,표1[#ALL],row(),false)</f>
        <v>#N/A</v>
      </c>
      <c r="U385" s="376" t="str">
        <f>CS_PID!U385/VLOOKUP($B385,표2[#ALL],2)/HLOOKUP($A385,표1[#ALL],row(),false)</f>
        <v>#N/A</v>
      </c>
      <c r="V385" s="376" t="str">
        <f>CS_PID!V385/VLOOKUP($B385,표2[#ALL],2)/HLOOKUP($A385,표1[#ALL],row(),false)</f>
        <v>#N/A</v>
      </c>
      <c r="W385" s="376" t="str">
        <f>CS_PID!W385/VLOOKUP($B385,표2[#ALL],2)/HLOOKUP($A385,표1[#ALL],row(),false)</f>
        <v>#N/A</v>
      </c>
      <c r="X385" s="376" t="str">
        <f>CS_PID!X385/VLOOKUP($B385,표2[#ALL],2)/HLOOKUP($A385,표1[#ALL],row(),false)</f>
        <v>#N/A</v>
      </c>
      <c r="Y385" s="376" t="str">
        <f>CS_PID!Y385/VLOOKUP($B385,표2[#ALL],2)/HLOOKUP($A385,표1[#ALL],row(),false)</f>
        <v>#N/A</v>
      </c>
      <c r="Z385" s="376" t="str">
        <f>CS_PID!Z385/VLOOKUP($B385,표2[#ALL],2)/HLOOKUP($A385,표1[#ALL],row(),false)</f>
        <v>#N/A</v>
      </c>
      <c r="AA385" s="376" t="str">
        <f>CS_PID!AA385/VLOOKUP($B385,표2[#ALL],2)/HLOOKUP($A385,표1[#ALL],row(),false)</f>
        <v>#N/A</v>
      </c>
      <c r="AB385" s="376" t="str">
        <f>CS_PID!AB385/VLOOKUP($B385,표2[#ALL],2)/HLOOKUP($A385,표1[#ALL],row(),false)</f>
        <v>#N/A</v>
      </c>
      <c r="AC385" s="376" t="str">
        <f>CS_PID!AC385/VLOOKUP($B385,표2[#ALL],2)/HLOOKUP($A385,표1[#ALL],row(),false)</f>
        <v>#N/A</v>
      </c>
      <c r="AD385" s="376" t="str">
        <f>CS_PID!AD385/VLOOKUP($B385,표2[#ALL],2)/HLOOKUP($A385,표1[#ALL],row(),false)</f>
        <v>#N/A</v>
      </c>
      <c r="AE385" s="376" t="str">
        <f>CS_PID!AE385/VLOOKUP($B385,표2[#ALL],2)/HLOOKUP($A385,표1[#ALL],row(),false)</f>
        <v>#N/A</v>
      </c>
      <c r="AF385" s="376" t="str">
        <f>CS_PID!AF385/VLOOKUP($B385,표2[#ALL],2)/HLOOKUP($A385,표1[#ALL],row(),false)</f>
        <v>#N/A</v>
      </c>
      <c r="AG385" s="376" t="str">
        <f>CS_PID!AG385/VLOOKUP($B385,표2[#ALL],2)/HLOOKUP($A385,표1[#ALL],row(),false)</f>
        <v>#N/A</v>
      </c>
      <c r="AH385" s="376" t="str">
        <f>CS_PID!AH385/VLOOKUP($B385,표2[#ALL],2)/HLOOKUP($A385,표1[#ALL],row(),false)</f>
        <v>#N/A</v>
      </c>
      <c r="AI385" s="376" t="str">
        <f>CS_PID!AI385/VLOOKUP($B385,표2[#ALL],2)/HLOOKUP($A385,표1[#ALL],row(),false)</f>
        <v>#N/A</v>
      </c>
      <c r="AJ385" s="376" t="str">
        <f>CS_PID!AJ385/VLOOKUP($B385,표2[#ALL],2)/HLOOKUP($A385,표1[#ALL],row(),false)</f>
        <v>#N/A</v>
      </c>
      <c r="AK385" s="376" t="str">
        <f>CS_PID!AK385/VLOOKUP($B385,표2[#ALL],2)/HLOOKUP($A385,표1[#ALL],row(),false)</f>
        <v>#N/A</v>
      </c>
      <c r="AL385" s="376" t="str">
        <f>CS_PID!AL385/VLOOKUP($B385,표2[#ALL],2)/HLOOKUP($A385,표1[#ALL],row(),false)</f>
        <v>#N/A</v>
      </c>
      <c r="AM385" s="376" t="str">
        <f>CS_PID!AM385/VLOOKUP($B385,표2[#ALL],2)/HLOOKUP($A385,표1[#ALL],row(),false)</f>
        <v>#N/A</v>
      </c>
      <c r="AN385" s="376" t="str">
        <f>CS_PID!AN385/VLOOKUP($B385,표2[#ALL],2)/HLOOKUP($A385,표1[#ALL],row(),false)</f>
        <v>#N/A</v>
      </c>
      <c r="AO385" s="376" t="str">
        <f>CS_PID!AO385/VLOOKUP($B385,표2[#ALL],2)/HLOOKUP($A385,표1[#ALL],row(),false)</f>
        <v>#N/A</v>
      </c>
      <c r="AP385" s="376" t="str">
        <f>CS_PID!AP385/VLOOKUP($B385,표2[#ALL],2)/HLOOKUP($A385,표1[#ALL],row(),false)</f>
        <v>#N/A</v>
      </c>
      <c r="AQ385" s="376" t="str">
        <f>CS_PID!AQ385/VLOOKUP($B385,표2[#ALL],2)/HLOOKUP($A385,표1[#ALL],row(),false)</f>
        <v>#N/A</v>
      </c>
      <c r="AR385" s="376" t="str">
        <f>CS_PID!AR385/VLOOKUP($B385,표2[#ALL],2)/HLOOKUP($A385,표1[#ALL],row(),false)</f>
        <v>#N/A</v>
      </c>
      <c r="AS385" s="377" t="str">
        <f>CS_PID!AS385/VLOOKUP($B385,표2[#ALL],2)/HLOOKUP($A385,표1[#ALL],row(),false)</f>
        <v>#N/A</v>
      </c>
    </row>
    <row r="386">
      <c r="A386" s="370"/>
      <c r="B386" s="371"/>
      <c r="C386" s="372" t="str">
        <f>CS_PID!C386/VLOOKUP($B386,표2[#ALL],2)</f>
        <v>#N/A</v>
      </c>
      <c r="D386" s="372" t="str">
        <f>CS_PID!D386/VLOOKUP($B386,표2[#ALL],2)</f>
        <v>#N/A</v>
      </c>
      <c r="E386" s="372" t="str">
        <f>CS_PID!E386/VLOOKUP($B386,표2[#ALL],2)</f>
        <v>#N/A</v>
      </c>
      <c r="F386" s="372" t="str">
        <f>CS_PID!F386/VLOOKUP($B386,표2[#ALL],2)</f>
        <v>#N/A</v>
      </c>
      <c r="G386" s="372" t="str">
        <f>CS_PID!G386/VLOOKUP($B386,표2[#ALL],2)</f>
        <v>#N/A</v>
      </c>
      <c r="H386" s="372" t="str">
        <f>CS_PID!H386/VLOOKUP($B386,표2[#ALL],2)/HLOOKUP($A386,표1[#ALL],row(),false)</f>
        <v>#N/A</v>
      </c>
      <c r="I386" s="372" t="str">
        <f>CS_PID!I386/VLOOKUP($B386,표2[#ALL],2)/HLOOKUP($A386,표1[#ALL],row(),false)</f>
        <v>#N/A</v>
      </c>
      <c r="J386" s="372" t="str">
        <f>CS_PID!J386/VLOOKUP($B386,표2[#ALL],2)/HLOOKUP($A386,표1[#ALL],row(),false)</f>
        <v>#N/A</v>
      </c>
      <c r="K386" s="372" t="str">
        <f>CS_PID!K386/VLOOKUP($B386,표2[#ALL],2)/HLOOKUP($A386,표1[#ALL],row(),false)</f>
        <v>#N/A</v>
      </c>
      <c r="L386" s="372" t="str">
        <f>CS_PID!L386/VLOOKUP($B386,표2[#ALL],2)/HLOOKUP($A386,표1[#ALL],row(),false)</f>
        <v>#N/A</v>
      </c>
      <c r="M386" s="372" t="str">
        <f>CS_PID!M386/VLOOKUP($B386,표2[#ALL],2)/HLOOKUP($A386,표1[#ALL],row(),false)</f>
        <v>#N/A</v>
      </c>
      <c r="N386" s="372" t="str">
        <f>CS_PID!N386/VLOOKUP($B386,표2[#ALL],2)/HLOOKUP($A386,표1[#ALL],row(),false)</f>
        <v>#N/A</v>
      </c>
      <c r="O386" s="372" t="str">
        <f>CS_PID!O386/VLOOKUP($B386,표2[#ALL],2)/HLOOKUP($A386,표1[#ALL],row(),false)</f>
        <v>#N/A</v>
      </c>
      <c r="P386" s="372" t="str">
        <f>CS_PID!P386/VLOOKUP($B386,표2[#ALL],2)/HLOOKUP($A386,표1[#ALL],row(),false)</f>
        <v>#N/A</v>
      </c>
      <c r="Q386" s="372" t="str">
        <f>CS_PID!Q386/VLOOKUP($B386,표2[#ALL],2)/HLOOKUP($A386,표1[#ALL],row(),false)</f>
        <v>#N/A</v>
      </c>
      <c r="R386" s="372" t="str">
        <f>CS_PID!R386/VLOOKUP($B386,표2[#ALL],2)/HLOOKUP($A386,표1[#ALL],row(),false)</f>
        <v>#N/A</v>
      </c>
      <c r="S386" s="372" t="str">
        <f>CS_PID!S386/VLOOKUP($B386,표2[#ALL],2)/HLOOKUP($A386,표1[#ALL],row(),false)</f>
        <v>#N/A</v>
      </c>
      <c r="T386" s="372" t="str">
        <f>CS_PID!T386/VLOOKUP($B386,표2[#ALL],2)/HLOOKUP($A386,표1[#ALL],row(),false)</f>
        <v>#N/A</v>
      </c>
      <c r="U386" s="372" t="str">
        <f>CS_PID!U386/VLOOKUP($B386,표2[#ALL],2)/HLOOKUP($A386,표1[#ALL],row(),false)</f>
        <v>#N/A</v>
      </c>
      <c r="V386" s="372" t="str">
        <f>CS_PID!V386/VLOOKUP($B386,표2[#ALL],2)/HLOOKUP($A386,표1[#ALL],row(),false)</f>
        <v>#N/A</v>
      </c>
      <c r="W386" s="372" t="str">
        <f>CS_PID!W386/VLOOKUP($B386,표2[#ALL],2)/HLOOKUP($A386,표1[#ALL],row(),false)</f>
        <v>#N/A</v>
      </c>
      <c r="X386" s="372" t="str">
        <f>CS_PID!X386/VLOOKUP($B386,표2[#ALL],2)/HLOOKUP($A386,표1[#ALL],row(),false)</f>
        <v>#N/A</v>
      </c>
      <c r="Y386" s="372" t="str">
        <f>CS_PID!Y386/VLOOKUP($B386,표2[#ALL],2)/HLOOKUP($A386,표1[#ALL],row(),false)</f>
        <v>#N/A</v>
      </c>
      <c r="Z386" s="372" t="str">
        <f>CS_PID!Z386/VLOOKUP($B386,표2[#ALL],2)/HLOOKUP($A386,표1[#ALL],row(),false)</f>
        <v>#N/A</v>
      </c>
      <c r="AA386" s="372" t="str">
        <f>CS_PID!AA386/VLOOKUP($B386,표2[#ALL],2)/HLOOKUP($A386,표1[#ALL],row(),false)</f>
        <v>#N/A</v>
      </c>
      <c r="AB386" s="372" t="str">
        <f>CS_PID!AB386/VLOOKUP($B386,표2[#ALL],2)/HLOOKUP($A386,표1[#ALL],row(),false)</f>
        <v>#N/A</v>
      </c>
      <c r="AC386" s="372" t="str">
        <f>CS_PID!AC386/VLOOKUP($B386,표2[#ALL],2)/HLOOKUP($A386,표1[#ALL],row(),false)</f>
        <v>#N/A</v>
      </c>
      <c r="AD386" s="372" t="str">
        <f>CS_PID!AD386/VLOOKUP($B386,표2[#ALL],2)/HLOOKUP($A386,표1[#ALL],row(),false)</f>
        <v>#N/A</v>
      </c>
      <c r="AE386" s="372" t="str">
        <f>CS_PID!AE386/VLOOKUP($B386,표2[#ALL],2)/HLOOKUP($A386,표1[#ALL],row(),false)</f>
        <v>#N/A</v>
      </c>
      <c r="AF386" s="372" t="str">
        <f>CS_PID!AF386/VLOOKUP($B386,표2[#ALL],2)/HLOOKUP($A386,표1[#ALL],row(),false)</f>
        <v>#N/A</v>
      </c>
      <c r="AG386" s="372" t="str">
        <f>CS_PID!AG386/VLOOKUP($B386,표2[#ALL],2)/HLOOKUP($A386,표1[#ALL],row(),false)</f>
        <v>#N/A</v>
      </c>
      <c r="AH386" s="372" t="str">
        <f>CS_PID!AH386/VLOOKUP($B386,표2[#ALL],2)/HLOOKUP($A386,표1[#ALL],row(),false)</f>
        <v>#N/A</v>
      </c>
      <c r="AI386" s="372" t="str">
        <f>CS_PID!AI386/VLOOKUP($B386,표2[#ALL],2)/HLOOKUP($A386,표1[#ALL],row(),false)</f>
        <v>#N/A</v>
      </c>
      <c r="AJ386" s="372" t="str">
        <f>CS_PID!AJ386/VLOOKUP($B386,표2[#ALL],2)/HLOOKUP($A386,표1[#ALL],row(),false)</f>
        <v>#N/A</v>
      </c>
      <c r="AK386" s="372" t="str">
        <f>CS_PID!AK386/VLOOKUP($B386,표2[#ALL],2)/HLOOKUP($A386,표1[#ALL],row(),false)</f>
        <v>#N/A</v>
      </c>
      <c r="AL386" s="372" t="str">
        <f>CS_PID!AL386/VLOOKUP($B386,표2[#ALL],2)/HLOOKUP($A386,표1[#ALL],row(),false)</f>
        <v>#N/A</v>
      </c>
      <c r="AM386" s="372" t="str">
        <f>CS_PID!AM386/VLOOKUP($B386,표2[#ALL],2)/HLOOKUP($A386,표1[#ALL],row(),false)</f>
        <v>#N/A</v>
      </c>
      <c r="AN386" s="372" t="str">
        <f>CS_PID!AN386/VLOOKUP($B386,표2[#ALL],2)/HLOOKUP($A386,표1[#ALL],row(),false)</f>
        <v>#N/A</v>
      </c>
      <c r="AO386" s="372" t="str">
        <f>CS_PID!AO386/VLOOKUP($B386,표2[#ALL],2)/HLOOKUP($A386,표1[#ALL],row(),false)</f>
        <v>#N/A</v>
      </c>
      <c r="AP386" s="372" t="str">
        <f>CS_PID!AP386/VLOOKUP($B386,표2[#ALL],2)/HLOOKUP($A386,표1[#ALL],row(),false)</f>
        <v>#N/A</v>
      </c>
      <c r="AQ386" s="372" t="str">
        <f>CS_PID!AQ386/VLOOKUP($B386,표2[#ALL],2)/HLOOKUP($A386,표1[#ALL],row(),false)</f>
        <v>#N/A</v>
      </c>
      <c r="AR386" s="372" t="str">
        <f>CS_PID!AR386/VLOOKUP($B386,표2[#ALL],2)/HLOOKUP($A386,표1[#ALL],row(),false)</f>
        <v>#N/A</v>
      </c>
      <c r="AS386" s="373" t="str">
        <f>CS_PID!AS386/VLOOKUP($B386,표2[#ALL],2)/HLOOKUP($A386,표1[#ALL],row(),false)</f>
        <v>#N/A</v>
      </c>
    </row>
    <row r="387">
      <c r="A387" s="374"/>
      <c r="B387" s="375"/>
      <c r="C387" s="376" t="str">
        <f>CS_PID!C387/VLOOKUP($B387,표2[#ALL],2)</f>
        <v>#N/A</v>
      </c>
      <c r="D387" s="376" t="str">
        <f>CS_PID!D387/VLOOKUP($B387,표2[#ALL],2)</f>
        <v>#N/A</v>
      </c>
      <c r="E387" s="376" t="str">
        <f>CS_PID!E387/VLOOKUP($B387,표2[#ALL],2)</f>
        <v>#N/A</v>
      </c>
      <c r="F387" s="376" t="str">
        <f>CS_PID!F387/VLOOKUP($B387,표2[#ALL],2)</f>
        <v>#N/A</v>
      </c>
      <c r="G387" s="376" t="str">
        <f>CS_PID!G387/VLOOKUP($B387,표2[#ALL],2)</f>
        <v>#N/A</v>
      </c>
      <c r="H387" s="376" t="str">
        <f>CS_PID!H387/VLOOKUP($B387,표2[#ALL],2)/HLOOKUP($A387,표1[#ALL],row(),false)</f>
        <v>#N/A</v>
      </c>
      <c r="I387" s="376" t="str">
        <f>CS_PID!I387/VLOOKUP($B387,표2[#ALL],2)/HLOOKUP($A387,표1[#ALL],row(),false)</f>
        <v>#N/A</v>
      </c>
      <c r="J387" s="376" t="str">
        <f>CS_PID!J387/VLOOKUP($B387,표2[#ALL],2)/HLOOKUP($A387,표1[#ALL],row(),false)</f>
        <v>#N/A</v>
      </c>
      <c r="K387" s="376" t="str">
        <f>CS_PID!K387/VLOOKUP($B387,표2[#ALL],2)/HLOOKUP($A387,표1[#ALL],row(),false)</f>
        <v>#N/A</v>
      </c>
      <c r="L387" s="376" t="str">
        <f>CS_PID!L387/VLOOKUP($B387,표2[#ALL],2)/HLOOKUP($A387,표1[#ALL],row(),false)</f>
        <v>#N/A</v>
      </c>
      <c r="M387" s="376" t="str">
        <f>CS_PID!M387/VLOOKUP($B387,표2[#ALL],2)/HLOOKUP($A387,표1[#ALL],row(),false)</f>
        <v>#N/A</v>
      </c>
      <c r="N387" s="376" t="str">
        <f>CS_PID!N387/VLOOKUP($B387,표2[#ALL],2)/HLOOKUP($A387,표1[#ALL],row(),false)</f>
        <v>#N/A</v>
      </c>
      <c r="O387" s="376" t="str">
        <f>CS_PID!O387/VLOOKUP($B387,표2[#ALL],2)/HLOOKUP($A387,표1[#ALL],row(),false)</f>
        <v>#N/A</v>
      </c>
      <c r="P387" s="376" t="str">
        <f>CS_PID!P387/VLOOKUP($B387,표2[#ALL],2)/HLOOKUP($A387,표1[#ALL],row(),false)</f>
        <v>#N/A</v>
      </c>
      <c r="Q387" s="376" t="str">
        <f>CS_PID!Q387/VLOOKUP($B387,표2[#ALL],2)/HLOOKUP($A387,표1[#ALL],row(),false)</f>
        <v>#N/A</v>
      </c>
      <c r="R387" s="376" t="str">
        <f>CS_PID!R387/VLOOKUP($B387,표2[#ALL],2)/HLOOKUP($A387,표1[#ALL],row(),false)</f>
        <v>#N/A</v>
      </c>
      <c r="S387" s="376" t="str">
        <f>CS_PID!S387/VLOOKUP($B387,표2[#ALL],2)/HLOOKUP($A387,표1[#ALL],row(),false)</f>
        <v>#N/A</v>
      </c>
      <c r="T387" s="376" t="str">
        <f>CS_PID!T387/VLOOKUP($B387,표2[#ALL],2)/HLOOKUP($A387,표1[#ALL],row(),false)</f>
        <v>#N/A</v>
      </c>
      <c r="U387" s="376" t="str">
        <f>CS_PID!U387/VLOOKUP($B387,표2[#ALL],2)/HLOOKUP($A387,표1[#ALL],row(),false)</f>
        <v>#N/A</v>
      </c>
      <c r="V387" s="376" t="str">
        <f>CS_PID!V387/VLOOKUP($B387,표2[#ALL],2)/HLOOKUP($A387,표1[#ALL],row(),false)</f>
        <v>#N/A</v>
      </c>
      <c r="W387" s="376" t="str">
        <f>CS_PID!W387/VLOOKUP($B387,표2[#ALL],2)/HLOOKUP($A387,표1[#ALL],row(),false)</f>
        <v>#N/A</v>
      </c>
      <c r="X387" s="376" t="str">
        <f>CS_PID!X387/VLOOKUP($B387,표2[#ALL],2)/HLOOKUP($A387,표1[#ALL],row(),false)</f>
        <v>#N/A</v>
      </c>
      <c r="Y387" s="376" t="str">
        <f>CS_PID!Y387/VLOOKUP($B387,표2[#ALL],2)/HLOOKUP($A387,표1[#ALL],row(),false)</f>
        <v>#N/A</v>
      </c>
      <c r="Z387" s="376" t="str">
        <f>CS_PID!Z387/VLOOKUP($B387,표2[#ALL],2)/HLOOKUP($A387,표1[#ALL],row(),false)</f>
        <v>#N/A</v>
      </c>
      <c r="AA387" s="376" t="str">
        <f>CS_PID!AA387/VLOOKUP($B387,표2[#ALL],2)/HLOOKUP($A387,표1[#ALL],row(),false)</f>
        <v>#N/A</v>
      </c>
      <c r="AB387" s="376" t="str">
        <f>CS_PID!AB387/VLOOKUP($B387,표2[#ALL],2)/HLOOKUP($A387,표1[#ALL],row(),false)</f>
        <v>#N/A</v>
      </c>
      <c r="AC387" s="376" t="str">
        <f>CS_PID!AC387/VLOOKUP($B387,표2[#ALL],2)/HLOOKUP($A387,표1[#ALL],row(),false)</f>
        <v>#N/A</v>
      </c>
      <c r="AD387" s="376" t="str">
        <f>CS_PID!AD387/VLOOKUP($B387,표2[#ALL],2)/HLOOKUP($A387,표1[#ALL],row(),false)</f>
        <v>#N/A</v>
      </c>
      <c r="AE387" s="376" t="str">
        <f>CS_PID!AE387/VLOOKUP($B387,표2[#ALL],2)/HLOOKUP($A387,표1[#ALL],row(),false)</f>
        <v>#N/A</v>
      </c>
      <c r="AF387" s="376" t="str">
        <f>CS_PID!AF387/VLOOKUP($B387,표2[#ALL],2)/HLOOKUP($A387,표1[#ALL],row(),false)</f>
        <v>#N/A</v>
      </c>
      <c r="AG387" s="376" t="str">
        <f>CS_PID!AG387/VLOOKUP($B387,표2[#ALL],2)/HLOOKUP($A387,표1[#ALL],row(),false)</f>
        <v>#N/A</v>
      </c>
      <c r="AH387" s="376" t="str">
        <f>CS_PID!AH387/VLOOKUP($B387,표2[#ALL],2)/HLOOKUP($A387,표1[#ALL],row(),false)</f>
        <v>#N/A</v>
      </c>
      <c r="AI387" s="376" t="str">
        <f>CS_PID!AI387/VLOOKUP($B387,표2[#ALL],2)/HLOOKUP($A387,표1[#ALL],row(),false)</f>
        <v>#N/A</v>
      </c>
      <c r="AJ387" s="376" t="str">
        <f>CS_PID!AJ387/VLOOKUP($B387,표2[#ALL],2)/HLOOKUP($A387,표1[#ALL],row(),false)</f>
        <v>#N/A</v>
      </c>
      <c r="AK387" s="376" t="str">
        <f>CS_PID!AK387/VLOOKUP($B387,표2[#ALL],2)/HLOOKUP($A387,표1[#ALL],row(),false)</f>
        <v>#N/A</v>
      </c>
      <c r="AL387" s="376" t="str">
        <f>CS_PID!AL387/VLOOKUP($B387,표2[#ALL],2)/HLOOKUP($A387,표1[#ALL],row(),false)</f>
        <v>#N/A</v>
      </c>
      <c r="AM387" s="376" t="str">
        <f>CS_PID!AM387/VLOOKUP($B387,표2[#ALL],2)/HLOOKUP($A387,표1[#ALL],row(),false)</f>
        <v>#N/A</v>
      </c>
      <c r="AN387" s="376" t="str">
        <f>CS_PID!AN387/VLOOKUP($B387,표2[#ALL],2)/HLOOKUP($A387,표1[#ALL],row(),false)</f>
        <v>#N/A</v>
      </c>
      <c r="AO387" s="376" t="str">
        <f>CS_PID!AO387/VLOOKUP($B387,표2[#ALL],2)/HLOOKUP($A387,표1[#ALL],row(),false)</f>
        <v>#N/A</v>
      </c>
      <c r="AP387" s="376" t="str">
        <f>CS_PID!AP387/VLOOKUP($B387,표2[#ALL],2)/HLOOKUP($A387,표1[#ALL],row(),false)</f>
        <v>#N/A</v>
      </c>
      <c r="AQ387" s="376" t="str">
        <f>CS_PID!AQ387/VLOOKUP($B387,표2[#ALL],2)/HLOOKUP($A387,표1[#ALL],row(),false)</f>
        <v>#N/A</v>
      </c>
      <c r="AR387" s="376" t="str">
        <f>CS_PID!AR387/VLOOKUP($B387,표2[#ALL],2)/HLOOKUP($A387,표1[#ALL],row(),false)</f>
        <v>#N/A</v>
      </c>
      <c r="AS387" s="377" t="str">
        <f>CS_PID!AS387/VLOOKUP($B387,표2[#ALL],2)/HLOOKUP($A387,표1[#ALL],row(),false)</f>
        <v>#N/A</v>
      </c>
    </row>
    <row r="388">
      <c r="A388" s="370"/>
      <c r="B388" s="371"/>
      <c r="C388" s="372" t="str">
        <f>CS_PID!C388/VLOOKUP($B388,표2[#ALL],2)</f>
        <v>#N/A</v>
      </c>
      <c r="D388" s="372" t="str">
        <f>CS_PID!D388/VLOOKUP($B388,표2[#ALL],2)</f>
        <v>#N/A</v>
      </c>
      <c r="E388" s="372" t="str">
        <f>CS_PID!E388/VLOOKUP($B388,표2[#ALL],2)</f>
        <v>#N/A</v>
      </c>
      <c r="F388" s="372" t="str">
        <f>CS_PID!F388/VLOOKUP($B388,표2[#ALL],2)</f>
        <v>#N/A</v>
      </c>
      <c r="G388" s="372" t="str">
        <f>CS_PID!G388/VLOOKUP($B388,표2[#ALL],2)</f>
        <v>#N/A</v>
      </c>
      <c r="H388" s="372" t="str">
        <f>CS_PID!H388/VLOOKUP($B388,표2[#ALL],2)/HLOOKUP($A388,표1[#ALL],row(),false)</f>
        <v>#N/A</v>
      </c>
      <c r="I388" s="372" t="str">
        <f>CS_PID!I388/VLOOKUP($B388,표2[#ALL],2)/HLOOKUP($A388,표1[#ALL],row(),false)</f>
        <v>#N/A</v>
      </c>
      <c r="J388" s="372" t="str">
        <f>CS_PID!J388/VLOOKUP($B388,표2[#ALL],2)/HLOOKUP($A388,표1[#ALL],row(),false)</f>
        <v>#N/A</v>
      </c>
      <c r="K388" s="372" t="str">
        <f>CS_PID!K388/VLOOKUP($B388,표2[#ALL],2)/HLOOKUP($A388,표1[#ALL],row(),false)</f>
        <v>#N/A</v>
      </c>
      <c r="L388" s="372" t="str">
        <f>CS_PID!L388/VLOOKUP($B388,표2[#ALL],2)/HLOOKUP($A388,표1[#ALL],row(),false)</f>
        <v>#N/A</v>
      </c>
      <c r="M388" s="372" t="str">
        <f>CS_PID!M388/VLOOKUP($B388,표2[#ALL],2)/HLOOKUP($A388,표1[#ALL],row(),false)</f>
        <v>#N/A</v>
      </c>
      <c r="N388" s="372" t="str">
        <f>CS_PID!N388/VLOOKUP($B388,표2[#ALL],2)/HLOOKUP($A388,표1[#ALL],row(),false)</f>
        <v>#N/A</v>
      </c>
      <c r="O388" s="372" t="str">
        <f>CS_PID!O388/VLOOKUP($B388,표2[#ALL],2)/HLOOKUP($A388,표1[#ALL],row(),false)</f>
        <v>#N/A</v>
      </c>
      <c r="P388" s="372" t="str">
        <f>CS_PID!P388/VLOOKUP($B388,표2[#ALL],2)/HLOOKUP($A388,표1[#ALL],row(),false)</f>
        <v>#N/A</v>
      </c>
      <c r="Q388" s="372" t="str">
        <f>CS_PID!Q388/VLOOKUP($B388,표2[#ALL],2)/HLOOKUP($A388,표1[#ALL],row(),false)</f>
        <v>#N/A</v>
      </c>
      <c r="R388" s="372" t="str">
        <f>CS_PID!R388/VLOOKUP($B388,표2[#ALL],2)/HLOOKUP($A388,표1[#ALL],row(),false)</f>
        <v>#N/A</v>
      </c>
      <c r="S388" s="372" t="str">
        <f>CS_PID!S388/VLOOKUP($B388,표2[#ALL],2)/HLOOKUP($A388,표1[#ALL],row(),false)</f>
        <v>#N/A</v>
      </c>
      <c r="T388" s="372" t="str">
        <f>CS_PID!T388/VLOOKUP($B388,표2[#ALL],2)/HLOOKUP($A388,표1[#ALL],row(),false)</f>
        <v>#N/A</v>
      </c>
      <c r="U388" s="372" t="str">
        <f>CS_PID!U388/VLOOKUP($B388,표2[#ALL],2)/HLOOKUP($A388,표1[#ALL],row(),false)</f>
        <v>#N/A</v>
      </c>
      <c r="V388" s="372" t="str">
        <f>CS_PID!V388/VLOOKUP($B388,표2[#ALL],2)/HLOOKUP($A388,표1[#ALL],row(),false)</f>
        <v>#N/A</v>
      </c>
      <c r="W388" s="372" t="str">
        <f>CS_PID!W388/VLOOKUP($B388,표2[#ALL],2)/HLOOKUP($A388,표1[#ALL],row(),false)</f>
        <v>#N/A</v>
      </c>
      <c r="X388" s="372" t="str">
        <f>CS_PID!X388/VLOOKUP($B388,표2[#ALL],2)/HLOOKUP($A388,표1[#ALL],row(),false)</f>
        <v>#N/A</v>
      </c>
      <c r="Y388" s="372" t="str">
        <f>CS_PID!Y388/VLOOKUP($B388,표2[#ALL],2)/HLOOKUP($A388,표1[#ALL],row(),false)</f>
        <v>#N/A</v>
      </c>
      <c r="Z388" s="372" t="str">
        <f>CS_PID!Z388/VLOOKUP($B388,표2[#ALL],2)/HLOOKUP($A388,표1[#ALL],row(),false)</f>
        <v>#N/A</v>
      </c>
      <c r="AA388" s="372" t="str">
        <f>CS_PID!AA388/VLOOKUP($B388,표2[#ALL],2)/HLOOKUP($A388,표1[#ALL],row(),false)</f>
        <v>#N/A</v>
      </c>
      <c r="AB388" s="372" t="str">
        <f>CS_PID!AB388/VLOOKUP($B388,표2[#ALL],2)/HLOOKUP($A388,표1[#ALL],row(),false)</f>
        <v>#N/A</v>
      </c>
      <c r="AC388" s="372" t="str">
        <f>CS_PID!AC388/VLOOKUP($B388,표2[#ALL],2)/HLOOKUP($A388,표1[#ALL],row(),false)</f>
        <v>#N/A</v>
      </c>
      <c r="AD388" s="372" t="str">
        <f>CS_PID!AD388/VLOOKUP($B388,표2[#ALL],2)/HLOOKUP($A388,표1[#ALL],row(),false)</f>
        <v>#N/A</v>
      </c>
      <c r="AE388" s="372" t="str">
        <f>CS_PID!AE388/VLOOKUP($B388,표2[#ALL],2)/HLOOKUP($A388,표1[#ALL],row(),false)</f>
        <v>#N/A</v>
      </c>
      <c r="AF388" s="372" t="str">
        <f>CS_PID!AF388/VLOOKUP($B388,표2[#ALL],2)/HLOOKUP($A388,표1[#ALL],row(),false)</f>
        <v>#N/A</v>
      </c>
      <c r="AG388" s="372" t="str">
        <f>CS_PID!AG388/VLOOKUP($B388,표2[#ALL],2)/HLOOKUP($A388,표1[#ALL],row(),false)</f>
        <v>#N/A</v>
      </c>
      <c r="AH388" s="372" t="str">
        <f>CS_PID!AH388/VLOOKUP($B388,표2[#ALL],2)/HLOOKUP($A388,표1[#ALL],row(),false)</f>
        <v>#N/A</v>
      </c>
      <c r="AI388" s="372" t="str">
        <f>CS_PID!AI388/VLOOKUP($B388,표2[#ALL],2)/HLOOKUP($A388,표1[#ALL],row(),false)</f>
        <v>#N/A</v>
      </c>
      <c r="AJ388" s="372" t="str">
        <f>CS_PID!AJ388/VLOOKUP($B388,표2[#ALL],2)/HLOOKUP($A388,표1[#ALL],row(),false)</f>
        <v>#N/A</v>
      </c>
      <c r="AK388" s="372" t="str">
        <f>CS_PID!AK388/VLOOKUP($B388,표2[#ALL],2)/HLOOKUP($A388,표1[#ALL],row(),false)</f>
        <v>#N/A</v>
      </c>
      <c r="AL388" s="372" t="str">
        <f>CS_PID!AL388/VLOOKUP($B388,표2[#ALL],2)/HLOOKUP($A388,표1[#ALL],row(),false)</f>
        <v>#N/A</v>
      </c>
      <c r="AM388" s="372" t="str">
        <f>CS_PID!AM388/VLOOKUP($B388,표2[#ALL],2)/HLOOKUP($A388,표1[#ALL],row(),false)</f>
        <v>#N/A</v>
      </c>
      <c r="AN388" s="372" t="str">
        <f>CS_PID!AN388/VLOOKUP($B388,표2[#ALL],2)/HLOOKUP($A388,표1[#ALL],row(),false)</f>
        <v>#N/A</v>
      </c>
      <c r="AO388" s="372" t="str">
        <f>CS_PID!AO388/VLOOKUP($B388,표2[#ALL],2)/HLOOKUP($A388,표1[#ALL],row(),false)</f>
        <v>#N/A</v>
      </c>
      <c r="AP388" s="372" t="str">
        <f>CS_PID!AP388/VLOOKUP($B388,표2[#ALL],2)/HLOOKUP($A388,표1[#ALL],row(),false)</f>
        <v>#N/A</v>
      </c>
      <c r="AQ388" s="372" t="str">
        <f>CS_PID!AQ388/VLOOKUP($B388,표2[#ALL],2)/HLOOKUP($A388,표1[#ALL],row(),false)</f>
        <v>#N/A</v>
      </c>
      <c r="AR388" s="372" t="str">
        <f>CS_PID!AR388/VLOOKUP($B388,표2[#ALL],2)/HLOOKUP($A388,표1[#ALL],row(),false)</f>
        <v>#N/A</v>
      </c>
      <c r="AS388" s="373" t="str">
        <f>CS_PID!AS388/VLOOKUP($B388,표2[#ALL],2)/HLOOKUP($A388,표1[#ALL],row(),false)</f>
        <v>#N/A</v>
      </c>
    </row>
    <row r="389">
      <c r="A389" s="374"/>
      <c r="B389" s="375"/>
      <c r="C389" s="376" t="str">
        <f>CS_PID!C389/VLOOKUP($B389,표2[#ALL],2)</f>
        <v>#N/A</v>
      </c>
      <c r="D389" s="376" t="str">
        <f>CS_PID!D389/VLOOKUP($B389,표2[#ALL],2)</f>
        <v>#N/A</v>
      </c>
      <c r="E389" s="376" t="str">
        <f>CS_PID!E389/VLOOKUP($B389,표2[#ALL],2)</f>
        <v>#N/A</v>
      </c>
      <c r="F389" s="376" t="str">
        <f>CS_PID!F389/VLOOKUP($B389,표2[#ALL],2)</f>
        <v>#N/A</v>
      </c>
      <c r="G389" s="376" t="str">
        <f>CS_PID!G389/VLOOKUP($B389,표2[#ALL],2)</f>
        <v>#N/A</v>
      </c>
      <c r="H389" s="376" t="str">
        <f>CS_PID!H389/VLOOKUP($B389,표2[#ALL],2)/HLOOKUP($A389,표1[#ALL],row(),false)</f>
        <v>#N/A</v>
      </c>
      <c r="I389" s="376" t="str">
        <f>CS_PID!I389/VLOOKUP($B389,표2[#ALL],2)/HLOOKUP($A389,표1[#ALL],row(),false)</f>
        <v>#N/A</v>
      </c>
      <c r="J389" s="376" t="str">
        <f>CS_PID!J389/VLOOKUP($B389,표2[#ALL],2)/HLOOKUP($A389,표1[#ALL],row(),false)</f>
        <v>#N/A</v>
      </c>
      <c r="K389" s="376" t="str">
        <f>CS_PID!K389/VLOOKUP($B389,표2[#ALL],2)/HLOOKUP($A389,표1[#ALL],row(),false)</f>
        <v>#N/A</v>
      </c>
      <c r="L389" s="376" t="str">
        <f>CS_PID!L389/VLOOKUP($B389,표2[#ALL],2)/HLOOKUP($A389,표1[#ALL],row(),false)</f>
        <v>#N/A</v>
      </c>
      <c r="M389" s="376" t="str">
        <f>CS_PID!M389/VLOOKUP($B389,표2[#ALL],2)/HLOOKUP($A389,표1[#ALL],row(),false)</f>
        <v>#N/A</v>
      </c>
      <c r="N389" s="376" t="str">
        <f>CS_PID!N389/VLOOKUP($B389,표2[#ALL],2)/HLOOKUP($A389,표1[#ALL],row(),false)</f>
        <v>#N/A</v>
      </c>
      <c r="O389" s="376" t="str">
        <f>CS_PID!O389/VLOOKUP($B389,표2[#ALL],2)/HLOOKUP($A389,표1[#ALL],row(),false)</f>
        <v>#N/A</v>
      </c>
      <c r="P389" s="376" t="str">
        <f>CS_PID!P389/VLOOKUP($B389,표2[#ALL],2)/HLOOKUP($A389,표1[#ALL],row(),false)</f>
        <v>#N/A</v>
      </c>
      <c r="Q389" s="376" t="str">
        <f>CS_PID!Q389/VLOOKUP($B389,표2[#ALL],2)/HLOOKUP($A389,표1[#ALL],row(),false)</f>
        <v>#N/A</v>
      </c>
      <c r="R389" s="376" t="str">
        <f>CS_PID!R389/VLOOKUP($B389,표2[#ALL],2)/HLOOKUP($A389,표1[#ALL],row(),false)</f>
        <v>#N/A</v>
      </c>
      <c r="S389" s="376" t="str">
        <f>CS_PID!S389/VLOOKUP($B389,표2[#ALL],2)/HLOOKUP($A389,표1[#ALL],row(),false)</f>
        <v>#N/A</v>
      </c>
      <c r="T389" s="376" t="str">
        <f>CS_PID!T389/VLOOKUP($B389,표2[#ALL],2)/HLOOKUP($A389,표1[#ALL],row(),false)</f>
        <v>#N/A</v>
      </c>
      <c r="U389" s="376" t="str">
        <f>CS_PID!U389/VLOOKUP($B389,표2[#ALL],2)/HLOOKUP($A389,표1[#ALL],row(),false)</f>
        <v>#N/A</v>
      </c>
      <c r="V389" s="376" t="str">
        <f>CS_PID!V389/VLOOKUP($B389,표2[#ALL],2)/HLOOKUP($A389,표1[#ALL],row(),false)</f>
        <v>#N/A</v>
      </c>
      <c r="W389" s="376" t="str">
        <f>CS_PID!W389/VLOOKUP($B389,표2[#ALL],2)/HLOOKUP($A389,표1[#ALL],row(),false)</f>
        <v>#N/A</v>
      </c>
      <c r="X389" s="376" t="str">
        <f>CS_PID!X389/VLOOKUP($B389,표2[#ALL],2)/HLOOKUP($A389,표1[#ALL],row(),false)</f>
        <v>#N/A</v>
      </c>
      <c r="Y389" s="376" t="str">
        <f>CS_PID!Y389/VLOOKUP($B389,표2[#ALL],2)/HLOOKUP($A389,표1[#ALL],row(),false)</f>
        <v>#N/A</v>
      </c>
      <c r="Z389" s="376" t="str">
        <f>CS_PID!Z389/VLOOKUP($B389,표2[#ALL],2)/HLOOKUP($A389,표1[#ALL],row(),false)</f>
        <v>#N/A</v>
      </c>
      <c r="AA389" s="376" t="str">
        <f>CS_PID!AA389/VLOOKUP($B389,표2[#ALL],2)/HLOOKUP($A389,표1[#ALL],row(),false)</f>
        <v>#N/A</v>
      </c>
      <c r="AB389" s="376" t="str">
        <f>CS_PID!AB389/VLOOKUP($B389,표2[#ALL],2)/HLOOKUP($A389,표1[#ALL],row(),false)</f>
        <v>#N/A</v>
      </c>
      <c r="AC389" s="376" t="str">
        <f>CS_PID!AC389/VLOOKUP($B389,표2[#ALL],2)/HLOOKUP($A389,표1[#ALL],row(),false)</f>
        <v>#N/A</v>
      </c>
      <c r="AD389" s="376" t="str">
        <f>CS_PID!AD389/VLOOKUP($B389,표2[#ALL],2)/HLOOKUP($A389,표1[#ALL],row(),false)</f>
        <v>#N/A</v>
      </c>
      <c r="AE389" s="376" t="str">
        <f>CS_PID!AE389/VLOOKUP($B389,표2[#ALL],2)/HLOOKUP($A389,표1[#ALL],row(),false)</f>
        <v>#N/A</v>
      </c>
      <c r="AF389" s="376" t="str">
        <f>CS_PID!AF389/VLOOKUP($B389,표2[#ALL],2)/HLOOKUP($A389,표1[#ALL],row(),false)</f>
        <v>#N/A</v>
      </c>
      <c r="AG389" s="376" t="str">
        <f>CS_PID!AG389/VLOOKUP($B389,표2[#ALL],2)/HLOOKUP($A389,표1[#ALL],row(),false)</f>
        <v>#N/A</v>
      </c>
      <c r="AH389" s="376" t="str">
        <f>CS_PID!AH389/VLOOKUP($B389,표2[#ALL],2)/HLOOKUP($A389,표1[#ALL],row(),false)</f>
        <v>#N/A</v>
      </c>
      <c r="AI389" s="376" t="str">
        <f>CS_PID!AI389/VLOOKUP($B389,표2[#ALL],2)/HLOOKUP($A389,표1[#ALL],row(),false)</f>
        <v>#N/A</v>
      </c>
      <c r="AJ389" s="376" t="str">
        <f>CS_PID!AJ389/VLOOKUP($B389,표2[#ALL],2)/HLOOKUP($A389,표1[#ALL],row(),false)</f>
        <v>#N/A</v>
      </c>
      <c r="AK389" s="376" t="str">
        <f>CS_PID!AK389/VLOOKUP($B389,표2[#ALL],2)/HLOOKUP($A389,표1[#ALL],row(),false)</f>
        <v>#N/A</v>
      </c>
      <c r="AL389" s="376" t="str">
        <f>CS_PID!AL389/VLOOKUP($B389,표2[#ALL],2)/HLOOKUP($A389,표1[#ALL],row(),false)</f>
        <v>#N/A</v>
      </c>
      <c r="AM389" s="376" t="str">
        <f>CS_PID!AM389/VLOOKUP($B389,표2[#ALL],2)/HLOOKUP($A389,표1[#ALL],row(),false)</f>
        <v>#N/A</v>
      </c>
      <c r="AN389" s="376" t="str">
        <f>CS_PID!AN389/VLOOKUP($B389,표2[#ALL],2)/HLOOKUP($A389,표1[#ALL],row(),false)</f>
        <v>#N/A</v>
      </c>
      <c r="AO389" s="376" t="str">
        <f>CS_PID!AO389/VLOOKUP($B389,표2[#ALL],2)/HLOOKUP($A389,표1[#ALL],row(),false)</f>
        <v>#N/A</v>
      </c>
      <c r="AP389" s="376" t="str">
        <f>CS_PID!AP389/VLOOKUP($B389,표2[#ALL],2)/HLOOKUP($A389,표1[#ALL],row(),false)</f>
        <v>#N/A</v>
      </c>
      <c r="AQ389" s="376" t="str">
        <f>CS_PID!AQ389/VLOOKUP($B389,표2[#ALL],2)/HLOOKUP($A389,표1[#ALL],row(),false)</f>
        <v>#N/A</v>
      </c>
      <c r="AR389" s="376" t="str">
        <f>CS_PID!AR389/VLOOKUP($B389,표2[#ALL],2)/HLOOKUP($A389,표1[#ALL],row(),false)</f>
        <v>#N/A</v>
      </c>
      <c r="AS389" s="377" t="str">
        <f>CS_PID!AS389/VLOOKUP($B389,표2[#ALL],2)/HLOOKUP($A389,표1[#ALL],row(),false)</f>
        <v>#N/A</v>
      </c>
    </row>
    <row r="390">
      <c r="A390" s="370"/>
      <c r="B390" s="371"/>
      <c r="C390" s="372" t="str">
        <f>CS_PID!C390/VLOOKUP($B390,표2[#ALL],2)</f>
        <v>#N/A</v>
      </c>
      <c r="D390" s="372" t="str">
        <f>CS_PID!D390/VLOOKUP($B390,표2[#ALL],2)</f>
        <v>#N/A</v>
      </c>
      <c r="E390" s="372" t="str">
        <f>CS_PID!E390/VLOOKUP($B390,표2[#ALL],2)</f>
        <v>#N/A</v>
      </c>
      <c r="F390" s="372" t="str">
        <f>CS_PID!F390/VLOOKUP($B390,표2[#ALL],2)</f>
        <v>#N/A</v>
      </c>
      <c r="G390" s="372" t="str">
        <f>CS_PID!G390/VLOOKUP($B390,표2[#ALL],2)</f>
        <v>#N/A</v>
      </c>
      <c r="H390" s="372" t="str">
        <f>CS_PID!H390/VLOOKUP($B390,표2[#ALL],2)/HLOOKUP($A390,표1[#ALL],row(),false)</f>
        <v>#N/A</v>
      </c>
      <c r="I390" s="372" t="str">
        <f>CS_PID!I390/VLOOKUP($B390,표2[#ALL],2)/HLOOKUP($A390,표1[#ALL],row(),false)</f>
        <v>#N/A</v>
      </c>
      <c r="J390" s="372" t="str">
        <f>CS_PID!J390/VLOOKUP($B390,표2[#ALL],2)/HLOOKUP($A390,표1[#ALL],row(),false)</f>
        <v>#N/A</v>
      </c>
      <c r="K390" s="372" t="str">
        <f>CS_PID!K390/VLOOKUP($B390,표2[#ALL],2)/HLOOKUP($A390,표1[#ALL],row(),false)</f>
        <v>#N/A</v>
      </c>
      <c r="L390" s="372" t="str">
        <f>CS_PID!L390/VLOOKUP($B390,표2[#ALL],2)/HLOOKUP($A390,표1[#ALL],row(),false)</f>
        <v>#N/A</v>
      </c>
      <c r="M390" s="372" t="str">
        <f>CS_PID!M390/VLOOKUP($B390,표2[#ALL],2)/HLOOKUP($A390,표1[#ALL],row(),false)</f>
        <v>#N/A</v>
      </c>
      <c r="N390" s="372" t="str">
        <f>CS_PID!N390/VLOOKUP($B390,표2[#ALL],2)/HLOOKUP($A390,표1[#ALL],row(),false)</f>
        <v>#N/A</v>
      </c>
      <c r="O390" s="372" t="str">
        <f>CS_PID!O390/VLOOKUP($B390,표2[#ALL],2)/HLOOKUP($A390,표1[#ALL],row(),false)</f>
        <v>#N/A</v>
      </c>
      <c r="P390" s="372" t="str">
        <f>CS_PID!P390/VLOOKUP($B390,표2[#ALL],2)/HLOOKUP($A390,표1[#ALL],row(),false)</f>
        <v>#N/A</v>
      </c>
      <c r="Q390" s="372" t="str">
        <f>CS_PID!Q390/VLOOKUP($B390,표2[#ALL],2)/HLOOKUP($A390,표1[#ALL],row(),false)</f>
        <v>#N/A</v>
      </c>
      <c r="R390" s="372" t="str">
        <f>CS_PID!R390/VLOOKUP($B390,표2[#ALL],2)/HLOOKUP($A390,표1[#ALL],row(),false)</f>
        <v>#N/A</v>
      </c>
      <c r="S390" s="372" t="str">
        <f>CS_PID!S390/VLOOKUP($B390,표2[#ALL],2)/HLOOKUP($A390,표1[#ALL],row(),false)</f>
        <v>#N/A</v>
      </c>
      <c r="T390" s="372" t="str">
        <f>CS_PID!T390/VLOOKUP($B390,표2[#ALL],2)/HLOOKUP($A390,표1[#ALL],row(),false)</f>
        <v>#N/A</v>
      </c>
      <c r="U390" s="372" t="str">
        <f>CS_PID!U390/VLOOKUP($B390,표2[#ALL],2)/HLOOKUP($A390,표1[#ALL],row(),false)</f>
        <v>#N/A</v>
      </c>
      <c r="V390" s="372" t="str">
        <f>CS_PID!V390/VLOOKUP($B390,표2[#ALL],2)/HLOOKUP($A390,표1[#ALL],row(),false)</f>
        <v>#N/A</v>
      </c>
      <c r="W390" s="372" t="str">
        <f>CS_PID!W390/VLOOKUP($B390,표2[#ALL],2)/HLOOKUP($A390,표1[#ALL],row(),false)</f>
        <v>#N/A</v>
      </c>
      <c r="X390" s="372" t="str">
        <f>CS_PID!X390/VLOOKUP($B390,표2[#ALL],2)/HLOOKUP($A390,표1[#ALL],row(),false)</f>
        <v>#N/A</v>
      </c>
      <c r="Y390" s="372" t="str">
        <f>CS_PID!Y390/VLOOKUP($B390,표2[#ALL],2)/HLOOKUP($A390,표1[#ALL],row(),false)</f>
        <v>#N/A</v>
      </c>
      <c r="Z390" s="372" t="str">
        <f>CS_PID!Z390/VLOOKUP($B390,표2[#ALL],2)/HLOOKUP($A390,표1[#ALL],row(),false)</f>
        <v>#N/A</v>
      </c>
      <c r="AA390" s="372" t="str">
        <f>CS_PID!AA390/VLOOKUP($B390,표2[#ALL],2)/HLOOKUP($A390,표1[#ALL],row(),false)</f>
        <v>#N/A</v>
      </c>
      <c r="AB390" s="372" t="str">
        <f>CS_PID!AB390/VLOOKUP($B390,표2[#ALL],2)/HLOOKUP($A390,표1[#ALL],row(),false)</f>
        <v>#N/A</v>
      </c>
      <c r="AC390" s="372" t="str">
        <f>CS_PID!AC390/VLOOKUP($B390,표2[#ALL],2)/HLOOKUP($A390,표1[#ALL],row(),false)</f>
        <v>#N/A</v>
      </c>
      <c r="AD390" s="372" t="str">
        <f>CS_PID!AD390/VLOOKUP($B390,표2[#ALL],2)/HLOOKUP($A390,표1[#ALL],row(),false)</f>
        <v>#N/A</v>
      </c>
      <c r="AE390" s="372" t="str">
        <f>CS_PID!AE390/VLOOKUP($B390,표2[#ALL],2)/HLOOKUP($A390,표1[#ALL],row(),false)</f>
        <v>#N/A</v>
      </c>
      <c r="AF390" s="372" t="str">
        <f>CS_PID!AF390/VLOOKUP($B390,표2[#ALL],2)/HLOOKUP($A390,표1[#ALL],row(),false)</f>
        <v>#N/A</v>
      </c>
      <c r="AG390" s="372" t="str">
        <f>CS_PID!AG390/VLOOKUP($B390,표2[#ALL],2)/HLOOKUP($A390,표1[#ALL],row(),false)</f>
        <v>#N/A</v>
      </c>
      <c r="AH390" s="372" t="str">
        <f>CS_PID!AH390/VLOOKUP($B390,표2[#ALL],2)/HLOOKUP($A390,표1[#ALL],row(),false)</f>
        <v>#N/A</v>
      </c>
      <c r="AI390" s="372" t="str">
        <f>CS_PID!AI390/VLOOKUP($B390,표2[#ALL],2)/HLOOKUP($A390,표1[#ALL],row(),false)</f>
        <v>#N/A</v>
      </c>
      <c r="AJ390" s="372" t="str">
        <f>CS_PID!AJ390/VLOOKUP($B390,표2[#ALL],2)/HLOOKUP($A390,표1[#ALL],row(),false)</f>
        <v>#N/A</v>
      </c>
      <c r="AK390" s="372" t="str">
        <f>CS_PID!AK390/VLOOKUP($B390,표2[#ALL],2)/HLOOKUP($A390,표1[#ALL],row(),false)</f>
        <v>#N/A</v>
      </c>
      <c r="AL390" s="372" t="str">
        <f>CS_PID!AL390/VLOOKUP($B390,표2[#ALL],2)/HLOOKUP($A390,표1[#ALL],row(),false)</f>
        <v>#N/A</v>
      </c>
      <c r="AM390" s="372" t="str">
        <f>CS_PID!AM390/VLOOKUP($B390,표2[#ALL],2)/HLOOKUP($A390,표1[#ALL],row(),false)</f>
        <v>#N/A</v>
      </c>
      <c r="AN390" s="372" t="str">
        <f>CS_PID!AN390/VLOOKUP($B390,표2[#ALL],2)/HLOOKUP($A390,표1[#ALL],row(),false)</f>
        <v>#N/A</v>
      </c>
      <c r="AO390" s="372" t="str">
        <f>CS_PID!AO390/VLOOKUP($B390,표2[#ALL],2)/HLOOKUP($A390,표1[#ALL],row(),false)</f>
        <v>#N/A</v>
      </c>
      <c r="AP390" s="372" t="str">
        <f>CS_PID!AP390/VLOOKUP($B390,표2[#ALL],2)/HLOOKUP($A390,표1[#ALL],row(),false)</f>
        <v>#N/A</v>
      </c>
      <c r="AQ390" s="372" t="str">
        <f>CS_PID!AQ390/VLOOKUP($B390,표2[#ALL],2)/HLOOKUP($A390,표1[#ALL],row(),false)</f>
        <v>#N/A</v>
      </c>
      <c r="AR390" s="372" t="str">
        <f>CS_PID!AR390/VLOOKUP($B390,표2[#ALL],2)/HLOOKUP($A390,표1[#ALL],row(),false)</f>
        <v>#N/A</v>
      </c>
      <c r="AS390" s="373" t="str">
        <f>CS_PID!AS390/VLOOKUP($B390,표2[#ALL],2)/HLOOKUP($A390,표1[#ALL],row(),false)</f>
        <v>#N/A</v>
      </c>
    </row>
    <row r="391">
      <c r="A391" s="374"/>
      <c r="B391" s="375"/>
      <c r="C391" s="376" t="str">
        <f>CS_PID!C391/VLOOKUP($B391,표2[#ALL],2)</f>
        <v>#N/A</v>
      </c>
      <c r="D391" s="376" t="str">
        <f>CS_PID!D391/VLOOKUP($B391,표2[#ALL],2)</f>
        <v>#N/A</v>
      </c>
      <c r="E391" s="376" t="str">
        <f>CS_PID!E391/VLOOKUP($B391,표2[#ALL],2)</f>
        <v>#N/A</v>
      </c>
      <c r="F391" s="376" t="str">
        <f>CS_PID!F391/VLOOKUP($B391,표2[#ALL],2)</f>
        <v>#N/A</v>
      </c>
      <c r="G391" s="376" t="str">
        <f>CS_PID!G391/VLOOKUP($B391,표2[#ALL],2)</f>
        <v>#N/A</v>
      </c>
      <c r="H391" s="376" t="str">
        <f>CS_PID!H391/VLOOKUP($B391,표2[#ALL],2)/HLOOKUP($A391,표1[#ALL],row(),false)</f>
        <v>#N/A</v>
      </c>
      <c r="I391" s="376" t="str">
        <f>CS_PID!I391/VLOOKUP($B391,표2[#ALL],2)/HLOOKUP($A391,표1[#ALL],row(),false)</f>
        <v>#N/A</v>
      </c>
      <c r="J391" s="376" t="str">
        <f>CS_PID!J391/VLOOKUP($B391,표2[#ALL],2)/HLOOKUP($A391,표1[#ALL],row(),false)</f>
        <v>#N/A</v>
      </c>
      <c r="K391" s="376" t="str">
        <f>CS_PID!K391/VLOOKUP($B391,표2[#ALL],2)/HLOOKUP($A391,표1[#ALL],row(),false)</f>
        <v>#N/A</v>
      </c>
      <c r="L391" s="376" t="str">
        <f>CS_PID!L391/VLOOKUP($B391,표2[#ALL],2)/HLOOKUP($A391,표1[#ALL],row(),false)</f>
        <v>#N/A</v>
      </c>
      <c r="M391" s="376" t="str">
        <f>CS_PID!M391/VLOOKUP($B391,표2[#ALL],2)/HLOOKUP($A391,표1[#ALL],row(),false)</f>
        <v>#N/A</v>
      </c>
      <c r="N391" s="376" t="str">
        <f>CS_PID!N391/VLOOKUP($B391,표2[#ALL],2)/HLOOKUP($A391,표1[#ALL],row(),false)</f>
        <v>#N/A</v>
      </c>
      <c r="O391" s="376" t="str">
        <f>CS_PID!O391/VLOOKUP($B391,표2[#ALL],2)/HLOOKUP($A391,표1[#ALL],row(),false)</f>
        <v>#N/A</v>
      </c>
      <c r="P391" s="376" t="str">
        <f>CS_PID!P391/VLOOKUP($B391,표2[#ALL],2)/HLOOKUP($A391,표1[#ALL],row(),false)</f>
        <v>#N/A</v>
      </c>
      <c r="Q391" s="376" t="str">
        <f>CS_PID!Q391/VLOOKUP($B391,표2[#ALL],2)/HLOOKUP($A391,표1[#ALL],row(),false)</f>
        <v>#N/A</v>
      </c>
      <c r="R391" s="376" t="str">
        <f>CS_PID!R391/VLOOKUP($B391,표2[#ALL],2)/HLOOKUP($A391,표1[#ALL],row(),false)</f>
        <v>#N/A</v>
      </c>
      <c r="S391" s="376" t="str">
        <f>CS_PID!S391/VLOOKUP($B391,표2[#ALL],2)/HLOOKUP($A391,표1[#ALL],row(),false)</f>
        <v>#N/A</v>
      </c>
      <c r="T391" s="376" t="str">
        <f>CS_PID!T391/VLOOKUP($B391,표2[#ALL],2)/HLOOKUP($A391,표1[#ALL],row(),false)</f>
        <v>#N/A</v>
      </c>
      <c r="U391" s="376" t="str">
        <f>CS_PID!U391/VLOOKUP($B391,표2[#ALL],2)/HLOOKUP($A391,표1[#ALL],row(),false)</f>
        <v>#N/A</v>
      </c>
      <c r="V391" s="376" t="str">
        <f>CS_PID!V391/VLOOKUP($B391,표2[#ALL],2)/HLOOKUP($A391,표1[#ALL],row(),false)</f>
        <v>#N/A</v>
      </c>
      <c r="W391" s="376" t="str">
        <f>CS_PID!W391/VLOOKUP($B391,표2[#ALL],2)/HLOOKUP($A391,표1[#ALL],row(),false)</f>
        <v>#N/A</v>
      </c>
      <c r="X391" s="376" t="str">
        <f>CS_PID!X391/VLOOKUP($B391,표2[#ALL],2)/HLOOKUP($A391,표1[#ALL],row(),false)</f>
        <v>#N/A</v>
      </c>
      <c r="Y391" s="376" t="str">
        <f>CS_PID!Y391/VLOOKUP($B391,표2[#ALL],2)/HLOOKUP($A391,표1[#ALL],row(),false)</f>
        <v>#N/A</v>
      </c>
      <c r="Z391" s="376" t="str">
        <f>CS_PID!Z391/VLOOKUP($B391,표2[#ALL],2)/HLOOKUP($A391,표1[#ALL],row(),false)</f>
        <v>#N/A</v>
      </c>
      <c r="AA391" s="376" t="str">
        <f>CS_PID!AA391/VLOOKUP($B391,표2[#ALL],2)/HLOOKUP($A391,표1[#ALL],row(),false)</f>
        <v>#N/A</v>
      </c>
      <c r="AB391" s="376" t="str">
        <f>CS_PID!AB391/VLOOKUP($B391,표2[#ALL],2)/HLOOKUP($A391,표1[#ALL],row(),false)</f>
        <v>#N/A</v>
      </c>
      <c r="AC391" s="376" t="str">
        <f>CS_PID!AC391/VLOOKUP($B391,표2[#ALL],2)/HLOOKUP($A391,표1[#ALL],row(),false)</f>
        <v>#N/A</v>
      </c>
      <c r="AD391" s="376" t="str">
        <f>CS_PID!AD391/VLOOKUP($B391,표2[#ALL],2)/HLOOKUP($A391,표1[#ALL],row(),false)</f>
        <v>#N/A</v>
      </c>
      <c r="AE391" s="376" t="str">
        <f>CS_PID!AE391/VLOOKUP($B391,표2[#ALL],2)/HLOOKUP($A391,표1[#ALL],row(),false)</f>
        <v>#N/A</v>
      </c>
      <c r="AF391" s="376" t="str">
        <f>CS_PID!AF391/VLOOKUP($B391,표2[#ALL],2)/HLOOKUP($A391,표1[#ALL],row(),false)</f>
        <v>#N/A</v>
      </c>
      <c r="AG391" s="376" t="str">
        <f>CS_PID!AG391/VLOOKUP($B391,표2[#ALL],2)/HLOOKUP($A391,표1[#ALL],row(),false)</f>
        <v>#N/A</v>
      </c>
      <c r="AH391" s="376" t="str">
        <f>CS_PID!AH391/VLOOKUP($B391,표2[#ALL],2)/HLOOKUP($A391,표1[#ALL],row(),false)</f>
        <v>#N/A</v>
      </c>
      <c r="AI391" s="376" t="str">
        <f>CS_PID!AI391/VLOOKUP($B391,표2[#ALL],2)/HLOOKUP($A391,표1[#ALL],row(),false)</f>
        <v>#N/A</v>
      </c>
      <c r="AJ391" s="376" t="str">
        <f>CS_PID!AJ391/VLOOKUP($B391,표2[#ALL],2)/HLOOKUP($A391,표1[#ALL],row(),false)</f>
        <v>#N/A</v>
      </c>
      <c r="AK391" s="376" t="str">
        <f>CS_PID!AK391/VLOOKUP($B391,표2[#ALL],2)/HLOOKUP($A391,표1[#ALL],row(),false)</f>
        <v>#N/A</v>
      </c>
      <c r="AL391" s="376" t="str">
        <f>CS_PID!AL391/VLOOKUP($B391,표2[#ALL],2)/HLOOKUP($A391,표1[#ALL],row(),false)</f>
        <v>#N/A</v>
      </c>
      <c r="AM391" s="376" t="str">
        <f>CS_PID!AM391/VLOOKUP($B391,표2[#ALL],2)/HLOOKUP($A391,표1[#ALL],row(),false)</f>
        <v>#N/A</v>
      </c>
      <c r="AN391" s="376" t="str">
        <f>CS_PID!AN391/VLOOKUP($B391,표2[#ALL],2)/HLOOKUP($A391,표1[#ALL],row(),false)</f>
        <v>#N/A</v>
      </c>
      <c r="AO391" s="376" t="str">
        <f>CS_PID!AO391/VLOOKUP($B391,표2[#ALL],2)/HLOOKUP($A391,표1[#ALL],row(),false)</f>
        <v>#N/A</v>
      </c>
      <c r="AP391" s="376" t="str">
        <f>CS_PID!AP391/VLOOKUP($B391,표2[#ALL],2)/HLOOKUP($A391,표1[#ALL],row(),false)</f>
        <v>#N/A</v>
      </c>
      <c r="AQ391" s="376" t="str">
        <f>CS_PID!AQ391/VLOOKUP($B391,표2[#ALL],2)/HLOOKUP($A391,표1[#ALL],row(),false)</f>
        <v>#N/A</v>
      </c>
      <c r="AR391" s="376" t="str">
        <f>CS_PID!AR391/VLOOKUP($B391,표2[#ALL],2)/HLOOKUP($A391,표1[#ALL],row(),false)</f>
        <v>#N/A</v>
      </c>
      <c r="AS391" s="377" t="str">
        <f>CS_PID!AS391/VLOOKUP($B391,표2[#ALL],2)/HLOOKUP($A391,표1[#ALL],row(),false)</f>
        <v>#N/A</v>
      </c>
    </row>
    <row r="392">
      <c r="A392" s="370"/>
      <c r="B392" s="371"/>
      <c r="C392" s="372" t="str">
        <f>CS_PID!C392/VLOOKUP($B392,표2[#ALL],2)</f>
        <v>#N/A</v>
      </c>
      <c r="D392" s="372" t="str">
        <f>CS_PID!D392/VLOOKUP($B392,표2[#ALL],2)</f>
        <v>#N/A</v>
      </c>
      <c r="E392" s="372" t="str">
        <f>CS_PID!E392/VLOOKUP($B392,표2[#ALL],2)</f>
        <v>#N/A</v>
      </c>
      <c r="F392" s="372" t="str">
        <f>CS_PID!F392/VLOOKUP($B392,표2[#ALL],2)</f>
        <v>#N/A</v>
      </c>
      <c r="G392" s="372" t="str">
        <f>CS_PID!G392/VLOOKUP($B392,표2[#ALL],2)</f>
        <v>#N/A</v>
      </c>
      <c r="H392" s="372" t="str">
        <f>CS_PID!H392/VLOOKUP($B392,표2[#ALL],2)/HLOOKUP($A392,표1[#ALL],row(),false)</f>
        <v>#N/A</v>
      </c>
      <c r="I392" s="372" t="str">
        <f>CS_PID!I392/VLOOKUP($B392,표2[#ALL],2)/HLOOKUP($A392,표1[#ALL],row(),false)</f>
        <v>#N/A</v>
      </c>
      <c r="J392" s="372" t="str">
        <f>CS_PID!J392/VLOOKUP($B392,표2[#ALL],2)/HLOOKUP($A392,표1[#ALL],row(),false)</f>
        <v>#N/A</v>
      </c>
      <c r="K392" s="372" t="str">
        <f>CS_PID!K392/VLOOKUP($B392,표2[#ALL],2)/HLOOKUP($A392,표1[#ALL],row(),false)</f>
        <v>#N/A</v>
      </c>
      <c r="L392" s="372" t="str">
        <f>CS_PID!L392/VLOOKUP($B392,표2[#ALL],2)/HLOOKUP($A392,표1[#ALL],row(),false)</f>
        <v>#N/A</v>
      </c>
      <c r="M392" s="372" t="str">
        <f>CS_PID!M392/VLOOKUP($B392,표2[#ALL],2)/HLOOKUP($A392,표1[#ALL],row(),false)</f>
        <v>#N/A</v>
      </c>
      <c r="N392" s="372" t="str">
        <f>CS_PID!N392/VLOOKUP($B392,표2[#ALL],2)/HLOOKUP($A392,표1[#ALL],row(),false)</f>
        <v>#N/A</v>
      </c>
      <c r="O392" s="372" t="str">
        <f>CS_PID!O392/VLOOKUP($B392,표2[#ALL],2)/HLOOKUP($A392,표1[#ALL],row(),false)</f>
        <v>#N/A</v>
      </c>
      <c r="P392" s="372" t="str">
        <f>CS_PID!P392/VLOOKUP($B392,표2[#ALL],2)/HLOOKUP($A392,표1[#ALL],row(),false)</f>
        <v>#N/A</v>
      </c>
      <c r="Q392" s="372" t="str">
        <f>CS_PID!Q392/VLOOKUP($B392,표2[#ALL],2)/HLOOKUP($A392,표1[#ALL],row(),false)</f>
        <v>#N/A</v>
      </c>
      <c r="R392" s="372" t="str">
        <f>CS_PID!R392/VLOOKUP($B392,표2[#ALL],2)/HLOOKUP($A392,표1[#ALL],row(),false)</f>
        <v>#N/A</v>
      </c>
      <c r="S392" s="372" t="str">
        <f>CS_PID!S392/VLOOKUP($B392,표2[#ALL],2)/HLOOKUP($A392,표1[#ALL],row(),false)</f>
        <v>#N/A</v>
      </c>
      <c r="T392" s="372" t="str">
        <f>CS_PID!T392/VLOOKUP($B392,표2[#ALL],2)/HLOOKUP($A392,표1[#ALL],row(),false)</f>
        <v>#N/A</v>
      </c>
      <c r="U392" s="372" t="str">
        <f>CS_PID!U392/VLOOKUP($B392,표2[#ALL],2)/HLOOKUP($A392,표1[#ALL],row(),false)</f>
        <v>#N/A</v>
      </c>
      <c r="V392" s="372" t="str">
        <f>CS_PID!V392/VLOOKUP($B392,표2[#ALL],2)/HLOOKUP($A392,표1[#ALL],row(),false)</f>
        <v>#N/A</v>
      </c>
      <c r="W392" s="372" t="str">
        <f>CS_PID!W392/VLOOKUP($B392,표2[#ALL],2)/HLOOKUP($A392,표1[#ALL],row(),false)</f>
        <v>#N/A</v>
      </c>
      <c r="X392" s="372" t="str">
        <f>CS_PID!X392/VLOOKUP($B392,표2[#ALL],2)/HLOOKUP($A392,표1[#ALL],row(),false)</f>
        <v>#N/A</v>
      </c>
      <c r="Y392" s="372" t="str">
        <f>CS_PID!Y392/VLOOKUP($B392,표2[#ALL],2)/HLOOKUP($A392,표1[#ALL],row(),false)</f>
        <v>#N/A</v>
      </c>
      <c r="Z392" s="372" t="str">
        <f>CS_PID!Z392/VLOOKUP($B392,표2[#ALL],2)/HLOOKUP($A392,표1[#ALL],row(),false)</f>
        <v>#N/A</v>
      </c>
      <c r="AA392" s="372" t="str">
        <f>CS_PID!AA392/VLOOKUP($B392,표2[#ALL],2)/HLOOKUP($A392,표1[#ALL],row(),false)</f>
        <v>#N/A</v>
      </c>
      <c r="AB392" s="372" t="str">
        <f>CS_PID!AB392/VLOOKUP($B392,표2[#ALL],2)/HLOOKUP($A392,표1[#ALL],row(),false)</f>
        <v>#N/A</v>
      </c>
      <c r="AC392" s="372" t="str">
        <f>CS_PID!AC392/VLOOKUP($B392,표2[#ALL],2)/HLOOKUP($A392,표1[#ALL],row(),false)</f>
        <v>#N/A</v>
      </c>
      <c r="AD392" s="372" t="str">
        <f>CS_PID!AD392/VLOOKUP($B392,표2[#ALL],2)/HLOOKUP($A392,표1[#ALL],row(),false)</f>
        <v>#N/A</v>
      </c>
      <c r="AE392" s="372" t="str">
        <f>CS_PID!AE392/VLOOKUP($B392,표2[#ALL],2)/HLOOKUP($A392,표1[#ALL],row(),false)</f>
        <v>#N/A</v>
      </c>
      <c r="AF392" s="372" t="str">
        <f>CS_PID!AF392/VLOOKUP($B392,표2[#ALL],2)/HLOOKUP($A392,표1[#ALL],row(),false)</f>
        <v>#N/A</v>
      </c>
      <c r="AG392" s="372" t="str">
        <f>CS_PID!AG392/VLOOKUP($B392,표2[#ALL],2)/HLOOKUP($A392,표1[#ALL],row(),false)</f>
        <v>#N/A</v>
      </c>
      <c r="AH392" s="372" t="str">
        <f>CS_PID!AH392/VLOOKUP($B392,표2[#ALL],2)/HLOOKUP($A392,표1[#ALL],row(),false)</f>
        <v>#N/A</v>
      </c>
      <c r="AI392" s="372" t="str">
        <f>CS_PID!AI392/VLOOKUP($B392,표2[#ALL],2)/HLOOKUP($A392,표1[#ALL],row(),false)</f>
        <v>#N/A</v>
      </c>
      <c r="AJ392" s="372" t="str">
        <f>CS_PID!AJ392/VLOOKUP($B392,표2[#ALL],2)/HLOOKUP($A392,표1[#ALL],row(),false)</f>
        <v>#N/A</v>
      </c>
      <c r="AK392" s="372" t="str">
        <f>CS_PID!AK392/VLOOKUP($B392,표2[#ALL],2)/HLOOKUP($A392,표1[#ALL],row(),false)</f>
        <v>#N/A</v>
      </c>
      <c r="AL392" s="372" t="str">
        <f>CS_PID!AL392/VLOOKUP($B392,표2[#ALL],2)/HLOOKUP($A392,표1[#ALL],row(),false)</f>
        <v>#N/A</v>
      </c>
      <c r="AM392" s="372" t="str">
        <f>CS_PID!AM392/VLOOKUP($B392,표2[#ALL],2)/HLOOKUP($A392,표1[#ALL],row(),false)</f>
        <v>#N/A</v>
      </c>
      <c r="AN392" s="372" t="str">
        <f>CS_PID!AN392/VLOOKUP($B392,표2[#ALL],2)/HLOOKUP($A392,표1[#ALL],row(),false)</f>
        <v>#N/A</v>
      </c>
      <c r="AO392" s="372" t="str">
        <f>CS_PID!AO392/VLOOKUP($B392,표2[#ALL],2)/HLOOKUP($A392,표1[#ALL],row(),false)</f>
        <v>#N/A</v>
      </c>
      <c r="AP392" s="372" t="str">
        <f>CS_PID!AP392/VLOOKUP($B392,표2[#ALL],2)/HLOOKUP($A392,표1[#ALL],row(),false)</f>
        <v>#N/A</v>
      </c>
      <c r="AQ392" s="372" t="str">
        <f>CS_PID!AQ392/VLOOKUP($B392,표2[#ALL],2)/HLOOKUP($A392,표1[#ALL],row(),false)</f>
        <v>#N/A</v>
      </c>
      <c r="AR392" s="372" t="str">
        <f>CS_PID!AR392/VLOOKUP($B392,표2[#ALL],2)/HLOOKUP($A392,표1[#ALL],row(),false)</f>
        <v>#N/A</v>
      </c>
      <c r="AS392" s="373" t="str">
        <f>CS_PID!AS392/VLOOKUP($B392,표2[#ALL],2)/HLOOKUP($A392,표1[#ALL],row(),false)</f>
        <v>#N/A</v>
      </c>
    </row>
    <row r="393">
      <c r="A393" s="374"/>
      <c r="B393" s="375"/>
      <c r="C393" s="376" t="str">
        <f>CS_PID!C393/VLOOKUP($B393,표2[#ALL],2)</f>
        <v>#N/A</v>
      </c>
      <c r="D393" s="376" t="str">
        <f>CS_PID!D393/VLOOKUP($B393,표2[#ALL],2)</f>
        <v>#N/A</v>
      </c>
      <c r="E393" s="376" t="str">
        <f>CS_PID!E393/VLOOKUP($B393,표2[#ALL],2)</f>
        <v>#N/A</v>
      </c>
      <c r="F393" s="376" t="str">
        <f>CS_PID!F393/VLOOKUP($B393,표2[#ALL],2)</f>
        <v>#N/A</v>
      </c>
      <c r="G393" s="376" t="str">
        <f>CS_PID!G393/VLOOKUP($B393,표2[#ALL],2)</f>
        <v>#N/A</v>
      </c>
      <c r="H393" s="376" t="str">
        <f>CS_PID!H393/VLOOKUP($B393,표2[#ALL],2)/HLOOKUP($A393,표1[#ALL],row(),false)</f>
        <v>#N/A</v>
      </c>
      <c r="I393" s="376" t="str">
        <f>CS_PID!I393/VLOOKUP($B393,표2[#ALL],2)/HLOOKUP($A393,표1[#ALL],row(),false)</f>
        <v>#N/A</v>
      </c>
      <c r="J393" s="376" t="str">
        <f>CS_PID!J393/VLOOKUP($B393,표2[#ALL],2)/HLOOKUP($A393,표1[#ALL],row(),false)</f>
        <v>#N/A</v>
      </c>
      <c r="K393" s="376" t="str">
        <f>CS_PID!K393/VLOOKUP($B393,표2[#ALL],2)/HLOOKUP($A393,표1[#ALL],row(),false)</f>
        <v>#N/A</v>
      </c>
      <c r="L393" s="376" t="str">
        <f>CS_PID!L393/VLOOKUP($B393,표2[#ALL],2)/HLOOKUP($A393,표1[#ALL],row(),false)</f>
        <v>#N/A</v>
      </c>
      <c r="M393" s="376" t="str">
        <f>CS_PID!M393/VLOOKUP($B393,표2[#ALL],2)/HLOOKUP($A393,표1[#ALL],row(),false)</f>
        <v>#N/A</v>
      </c>
      <c r="N393" s="376" t="str">
        <f>CS_PID!N393/VLOOKUP($B393,표2[#ALL],2)/HLOOKUP($A393,표1[#ALL],row(),false)</f>
        <v>#N/A</v>
      </c>
      <c r="O393" s="376" t="str">
        <f>CS_PID!O393/VLOOKUP($B393,표2[#ALL],2)/HLOOKUP($A393,표1[#ALL],row(),false)</f>
        <v>#N/A</v>
      </c>
      <c r="P393" s="376" t="str">
        <f>CS_PID!P393/VLOOKUP($B393,표2[#ALL],2)/HLOOKUP($A393,표1[#ALL],row(),false)</f>
        <v>#N/A</v>
      </c>
      <c r="Q393" s="376" t="str">
        <f>CS_PID!Q393/VLOOKUP($B393,표2[#ALL],2)/HLOOKUP($A393,표1[#ALL],row(),false)</f>
        <v>#N/A</v>
      </c>
      <c r="R393" s="376" t="str">
        <f>CS_PID!R393/VLOOKUP($B393,표2[#ALL],2)/HLOOKUP($A393,표1[#ALL],row(),false)</f>
        <v>#N/A</v>
      </c>
      <c r="S393" s="376" t="str">
        <f>CS_PID!S393/VLOOKUP($B393,표2[#ALL],2)/HLOOKUP($A393,표1[#ALL],row(),false)</f>
        <v>#N/A</v>
      </c>
      <c r="T393" s="376" t="str">
        <f>CS_PID!T393/VLOOKUP($B393,표2[#ALL],2)/HLOOKUP($A393,표1[#ALL],row(),false)</f>
        <v>#N/A</v>
      </c>
      <c r="U393" s="376" t="str">
        <f>CS_PID!U393/VLOOKUP($B393,표2[#ALL],2)/HLOOKUP($A393,표1[#ALL],row(),false)</f>
        <v>#N/A</v>
      </c>
      <c r="V393" s="376" t="str">
        <f>CS_PID!V393/VLOOKUP($B393,표2[#ALL],2)/HLOOKUP($A393,표1[#ALL],row(),false)</f>
        <v>#N/A</v>
      </c>
      <c r="W393" s="376" t="str">
        <f>CS_PID!W393/VLOOKUP($B393,표2[#ALL],2)/HLOOKUP($A393,표1[#ALL],row(),false)</f>
        <v>#N/A</v>
      </c>
      <c r="X393" s="376" t="str">
        <f>CS_PID!X393/VLOOKUP($B393,표2[#ALL],2)/HLOOKUP($A393,표1[#ALL],row(),false)</f>
        <v>#N/A</v>
      </c>
      <c r="Y393" s="376" t="str">
        <f>CS_PID!Y393/VLOOKUP($B393,표2[#ALL],2)/HLOOKUP($A393,표1[#ALL],row(),false)</f>
        <v>#N/A</v>
      </c>
      <c r="Z393" s="376" t="str">
        <f>CS_PID!Z393/VLOOKUP($B393,표2[#ALL],2)/HLOOKUP($A393,표1[#ALL],row(),false)</f>
        <v>#N/A</v>
      </c>
      <c r="AA393" s="376" t="str">
        <f>CS_PID!AA393/VLOOKUP($B393,표2[#ALL],2)/HLOOKUP($A393,표1[#ALL],row(),false)</f>
        <v>#N/A</v>
      </c>
      <c r="AB393" s="376" t="str">
        <f>CS_PID!AB393/VLOOKUP($B393,표2[#ALL],2)/HLOOKUP($A393,표1[#ALL],row(),false)</f>
        <v>#N/A</v>
      </c>
      <c r="AC393" s="376" t="str">
        <f>CS_PID!AC393/VLOOKUP($B393,표2[#ALL],2)/HLOOKUP($A393,표1[#ALL],row(),false)</f>
        <v>#N/A</v>
      </c>
      <c r="AD393" s="376" t="str">
        <f>CS_PID!AD393/VLOOKUP($B393,표2[#ALL],2)/HLOOKUP($A393,표1[#ALL],row(),false)</f>
        <v>#N/A</v>
      </c>
      <c r="AE393" s="376" t="str">
        <f>CS_PID!AE393/VLOOKUP($B393,표2[#ALL],2)/HLOOKUP($A393,표1[#ALL],row(),false)</f>
        <v>#N/A</v>
      </c>
      <c r="AF393" s="376" t="str">
        <f>CS_PID!AF393/VLOOKUP($B393,표2[#ALL],2)/HLOOKUP($A393,표1[#ALL],row(),false)</f>
        <v>#N/A</v>
      </c>
      <c r="AG393" s="376" t="str">
        <f>CS_PID!AG393/VLOOKUP($B393,표2[#ALL],2)/HLOOKUP($A393,표1[#ALL],row(),false)</f>
        <v>#N/A</v>
      </c>
      <c r="AH393" s="376" t="str">
        <f>CS_PID!AH393/VLOOKUP($B393,표2[#ALL],2)/HLOOKUP($A393,표1[#ALL],row(),false)</f>
        <v>#N/A</v>
      </c>
      <c r="AI393" s="376" t="str">
        <f>CS_PID!AI393/VLOOKUP($B393,표2[#ALL],2)/HLOOKUP($A393,표1[#ALL],row(),false)</f>
        <v>#N/A</v>
      </c>
      <c r="AJ393" s="376" t="str">
        <f>CS_PID!AJ393/VLOOKUP($B393,표2[#ALL],2)/HLOOKUP($A393,표1[#ALL],row(),false)</f>
        <v>#N/A</v>
      </c>
      <c r="AK393" s="376" t="str">
        <f>CS_PID!AK393/VLOOKUP($B393,표2[#ALL],2)/HLOOKUP($A393,표1[#ALL],row(),false)</f>
        <v>#N/A</v>
      </c>
      <c r="AL393" s="376" t="str">
        <f>CS_PID!AL393/VLOOKUP($B393,표2[#ALL],2)/HLOOKUP($A393,표1[#ALL],row(),false)</f>
        <v>#N/A</v>
      </c>
      <c r="AM393" s="376" t="str">
        <f>CS_PID!AM393/VLOOKUP($B393,표2[#ALL],2)/HLOOKUP($A393,표1[#ALL],row(),false)</f>
        <v>#N/A</v>
      </c>
      <c r="AN393" s="376" t="str">
        <f>CS_PID!AN393/VLOOKUP($B393,표2[#ALL],2)/HLOOKUP($A393,표1[#ALL],row(),false)</f>
        <v>#N/A</v>
      </c>
      <c r="AO393" s="376" t="str">
        <f>CS_PID!AO393/VLOOKUP($B393,표2[#ALL],2)/HLOOKUP($A393,표1[#ALL],row(),false)</f>
        <v>#N/A</v>
      </c>
      <c r="AP393" s="376" t="str">
        <f>CS_PID!AP393/VLOOKUP($B393,표2[#ALL],2)/HLOOKUP($A393,표1[#ALL],row(),false)</f>
        <v>#N/A</v>
      </c>
      <c r="AQ393" s="376" t="str">
        <f>CS_PID!AQ393/VLOOKUP($B393,표2[#ALL],2)/HLOOKUP($A393,표1[#ALL],row(),false)</f>
        <v>#N/A</v>
      </c>
      <c r="AR393" s="376" t="str">
        <f>CS_PID!AR393/VLOOKUP($B393,표2[#ALL],2)/HLOOKUP($A393,표1[#ALL],row(),false)</f>
        <v>#N/A</v>
      </c>
      <c r="AS393" s="377" t="str">
        <f>CS_PID!AS393/VLOOKUP($B393,표2[#ALL],2)/HLOOKUP($A393,표1[#ALL],row(),false)</f>
        <v>#N/A</v>
      </c>
    </row>
    <row r="394">
      <c r="A394" s="370"/>
      <c r="B394" s="371"/>
      <c r="C394" s="372" t="str">
        <f>CS_PID!C394/VLOOKUP($B394,표2[#ALL],2)</f>
        <v>#N/A</v>
      </c>
      <c r="D394" s="372" t="str">
        <f>CS_PID!D394/VLOOKUP($B394,표2[#ALL],2)</f>
        <v>#N/A</v>
      </c>
      <c r="E394" s="372" t="str">
        <f>CS_PID!E394/VLOOKUP($B394,표2[#ALL],2)</f>
        <v>#N/A</v>
      </c>
      <c r="F394" s="372" t="str">
        <f>CS_PID!F394/VLOOKUP($B394,표2[#ALL],2)</f>
        <v>#N/A</v>
      </c>
      <c r="G394" s="372" t="str">
        <f>CS_PID!G394/VLOOKUP($B394,표2[#ALL],2)</f>
        <v>#N/A</v>
      </c>
      <c r="H394" s="372" t="str">
        <f>CS_PID!H394/VLOOKUP($B394,표2[#ALL],2)/HLOOKUP($A394,표1[#ALL],row(),false)</f>
        <v>#N/A</v>
      </c>
      <c r="I394" s="372" t="str">
        <f>CS_PID!I394/VLOOKUP($B394,표2[#ALL],2)/HLOOKUP($A394,표1[#ALL],row(),false)</f>
        <v>#N/A</v>
      </c>
      <c r="J394" s="372" t="str">
        <f>CS_PID!J394/VLOOKUP($B394,표2[#ALL],2)/HLOOKUP($A394,표1[#ALL],row(),false)</f>
        <v>#N/A</v>
      </c>
      <c r="K394" s="372" t="str">
        <f>CS_PID!K394/VLOOKUP($B394,표2[#ALL],2)/HLOOKUP($A394,표1[#ALL],row(),false)</f>
        <v>#N/A</v>
      </c>
      <c r="L394" s="372" t="str">
        <f>CS_PID!L394/VLOOKUP($B394,표2[#ALL],2)/HLOOKUP($A394,표1[#ALL],row(),false)</f>
        <v>#N/A</v>
      </c>
      <c r="M394" s="372" t="str">
        <f>CS_PID!M394/VLOOKUP($B394,표2[#ALL],2)/HLOOKUP($A394,표1[#ALL],row(),false)</f>
        <v>#N/A</v>
      </c>
      <c r="N394" s="372" t="str">
        <f>CS_PID!N394/VLOOKUP($B394,표2[#ALL],2)/HLOOKUP($A394,표1[#ALL],row(),false)</f>
        <v>#N/A</v>
      </c>
      <c r="O394" s="372" t="str">
        <f>CS_PID!O394/VLOOKUP($B394,표2[#ALL],2)/HLOOKUP($A394,표1[#ALL],row(),false)</f>
        <v>#N/A</v>
      </c>
      <c r="P394" s="372" t="str">
        <f>CS_PID!P394/VLOOKUP($B394,표2[#ALL],2)/HLOOKUP($A394,표1[#ALL],row(),false)</f>
        <v>#N/A</v>
      </c>
      <c r="Q394" s="372" t="str">
        <f>CS_PID!Q394/VLOOKUP($B394,표2[#ALL],2)/HLOOKUP($A394,표1[#ALL],row(),false)</f>
        <v>#N/A</v>
      </c>
      <c r="R394" s="372" t="str">
        <f>CS_PID!R394/VLOOKUP($B394,표2[#ALL],2)/HLOOKUP($A394,표1[#ALL],row(),false)</f>
        <v>#N/A</v>
      </c>
      <c r="S394" s="372" t="str">
        <f>CS_PID!S394/VLOOKUP($B394,표2[#ALL],2)/HLOOKUP($A394,표1[#ALL],row(),false)</f>
        <v>#N/A</v>
      </c>
      <c r="T394" s="372" t="str">
        <f>CS_PID!T394/VLOOKUP($B394,표2[#ALL],2)/HLOOKUP($A394,표1[#ALL],row(),false)</f>
        <v>#N/A</v>
      </c>
      <c r="U394" s="372" t="str">
        <f>CS_PID!U394/VLOOKUP($B394,표2[#ALL],2)/HLOOKUP($A394,표1[#ALL],row(),false)</f>
        <v>#N/A</v>
      </c>
      <c r="V394" s="372" t="str">
        <f>CS_PID!V394/VLOOKUP($B394,표2[#ALL],2)/HLOOKUP($A394,표1[#ALL],row(),false)</f>
        <v>#N/A</v>
      </c>
      <c r="W394" s="372" t="str">
        <f>CS_PID!W394/VLOOKUP($B394,표2[#ALL],2)/HLOOKUP($A394,표1[#ALL],row(),false)</f>
        <v>#N/A</v>
      </c>
      <c r="X394" s="372" t="str">
        <f>CS_PID!X394/VLOOKUP($B394,표2[#ALL],2)/HLOOKUP($A394,표1[#ALL],row(),false)</f>
        <v>#N/A</v>
      </c>
      <c r="Y394" s="372" t="str">
        <f>CS_PID!Y394/VLOOKUP($B394,표2[#ALL],2)/HLOOKUP($A394,표1[#ALL],row(),false)</f>
        <v>#N/A</v>
      </c>
      <c r="Z394" s="372" t="str">
        <f>CS_PID!Z394/VLOOKUP($B394,표2[#ALL],2)/HLOOKUP($A394,표1[#ALL],row(),false)</f>
        <v>#N/A</v>
      </c>
      <c r="AA394" s="372" t="str">
        <f>CS_PID!AA394/VLOOKUP($B394,표2[#ALL],2)/HLOOKUP($A394,표1[#ALL],row(),false)</f>
        <v>#N/A</v>
      </c>
      <c r="AB394" s="372" t="str">
        <f>CS_PID!AB394/VLOOKUP($B394,표2[#ALL],2)/HLOOKUP($A394,표1[#ALL],row(),false)</f>
        <v>#N/A</v>
      </c>
      <c r="AC394" s="372" t="str">
        <f>CS_PID!AC394/VLOOKUP($B394,표2[#ALL],2)/HLOOKUP($A394,표1[#ALL],row(),false)</f>
        <v>#N/A</v>
      </c>
      <c r="AD394" s="372" t="str">
        <f>CS_PID!AD394/VLOOKUP($B394,표2[#ALL],2)/HLOOKUP($A394,표1[#ALL],row(),false)</f>
        <v>#N/A</v>
      </c>
      <c r="AE394" s="372" t="str">
        <f>CS_PID!AE394/VLOOKUP($B394,표2[#ALL],2)/HLOOKUP($A394,표1[#ALL],row(),false)</f>
        <v>#N/A</v>
      </c>
      <c r="AF394" s="372" t="str">
        <f>CS_PID!AF394/VLOOKUP($B394,표2[#ALL],2)/HLOOKUP($A394,표1[#ALL],row(),false)</f>
        <v>#N/A</v>
      </c>
      <c r="AG394" s="372" t="str">
        <f>CS_PID!AG394/VLOOKUP($B394,표2[#ALL],2)/HLOOKUP($A394,표1[#ALL],row(),false)</f>
        <v>#N/A</v>
      </c>
      <c r="AH394" s="372" t="str">
        <f>CS_PID!AH394/VLOOKUP($B394,표2[#ALL],2)/HLOOKUP($A394,표1[#ALL],row(),false)</f>
        <v>#N/A</v>
      </c>
      <c r="AI394" s="372" t="str">
        <f>CS_PID!AI394/VLOOKUP($B394,표2[#ALL],2)/HLOOKUP($A394,표1[#ALL],row(),false)</f>
        <v>#N/A</v>
      </c>
      <c r="AJ394" s="372" t="str">
        <f>CS_PID!AJ394/VLOOKUP($B394,표2[#ALL],2)/HLOOKUP($A394,표1[#ALL],row(),false)</f>
        <v>#N/A</v>
      </c>
      <c r="AK394" s="372" t="str">
        <f>CS_PID!AK394/VLOOKUP($B394,표2[#ALL],2)/HLOOKUP($A394,표1[#ALL],row(),false)</f>
        <v>#N/A</v>
      </c>
      <c r="AL394" s="372" t="str">
        <f>CS_PID!AL394/VLOOKUP($B394,표2[#ALL],2)/HLOOKUP($A394,표1[#ALL],row(),false)</f>
        <v>#N/A</v>
      </c>
      <c r="AM394" s="372" t="str">
        <f>CS_PID!AM394/VLOOKUP($B394,표2[#ALL],2)/HLOOKUP($A394,표1[#ALL],row(),false)</f>
        <v>#N/A</v>
      </c>
      <c r="AN394" s="372" t="str">
        <f>CS_PID!AN394/VLOOKUP($B394,표2[#ALL],2)/HLOOKUP($A394,표1[#ALL],row(),false)</f>
        <v>#N/A</v>
      </c>
      <c r="AO394" s="372" t="str">
        <f>CS_PID!AO394/VLOOKUP($B394,표2[#ALL],2)/HLOOKUP($A394,표1[#ALL],row(),false)</f>
        <v>#N/A</v>
      </c>
      <c r="AP394" s="372" t="str">
        <f>CS_PID!AP394/VLOOKUP($B394,표2[#ALL],2)/HLOOKUP($A394,표1[#ALL],row(),false)</f>
        <v>#N/A</v>
      </c>
      <c r="AQ394" s="372" t="str">
        <f>CS_PID!AQ394/VLOOKUP($B394,표2[#ALL],2)/HLOOKUP($A394,표1[#ALL],row(),false)</f>
        <v>#N/A</v>
      </c>
      <c r="AR394" s="372" t="str">
        <f>CS_PID!AR394/VLOOKUP($B394,표2[#ALL],2)/HLOOKUP($A394,표1[#ALL],row(),false)</f>
        <v>#N/A</v>
      </c>
      <c r="AS394" s="373" t="str">
        <f>CS_PID!AS394/VLOOKUP($B394,표2[#ALL],2)/HLOOKUP($A394,표1[#ALL],row(),false)</f>
        <v>#N/A</v>
      </c>
    </row>
    <row r="395">
      <c r="A395" s="374"/>
      <c r="B395" s="375"/>
      <c r="C395" s="376" t="str">
        <f>CS_PID!C395/VLOOKUP($B395,표2[#ALL],2)</f>
        <v>#N/A</v>
      </c>
      <c r="D395" s="376" t="str">
        <f>CS_PID!D395/VLOOKUP($B395,표2[#ALL],2)</f>
        <v>#N/A</v>
      </c>
      <c r="E395" s="376" t="str">
        <f>CS_PID!E395/VLOOKUP($B395,표2[#ALL],2)</f>
        <v>#N/A</v>
      </c>
      <c r="F395" s="376" t="str">
        <f>CS_PID!F395/VLOOKUP($B395,표2[#ALL],2)</f>
        <v>#N/A</v>
      </c>
      <c r="G395" s="376" t="str">
        <f>CS_PID!G395/VLOOKUP($B395,표2[#ALL],2)</f>
        <v>#N/A</v>
      </c>
      <c r="H395" s="376" t="str">
        <f>CS_PID!H395/VLOOKUP($B395,표2[#ALL],2)/HLOOKUP($A395,표1[#ALL],row(),false)</f>
        <v>#N/A</v>
      </c>
      <c r="I395" s="376" t="str">
        <f>CS_PID!I395/VLOOKUP($B395,표2[#ALL],2)/HLOOKUP($A395,표1[#ALL],row(),false)</f>
        <v>#N/A</v>
      </c>
      <c r="J395" s="376" t="str">
        <f>CS_PID!J395/VLOOKUP($B395,표2[#ALL],2)/HLOOKUP($A395,표1[#ALL],row(),false)</f>
        <v>#N/A</v>
      </c>
      <c r="K395" s="376" t="str">
        <f>CS_PID!K395/VLOOKUP($B395,표2[#ALL],2)/HLOOKUP($A395,표1[#ALL],row(),false)</f>
        <v>#N/A</v>
      </c>
      <c r="L395" s="376" t="str">
        <f>CS_PID!L395/VLOOKUP($B395,표2[#ALL],2)/HLOOKUP($A395,표1[#ALL],row(),false)</f>
        <v>#N/A</v>
      </c>
      <c r="M395" s="376" t="str">
        <f>CS_PID!M395/VLOOKUP($B395,표2[#ALL],2)/HLOOKUP($A395,표1[#ALL],row(),false)</f>
        <v>#N/A</v>
      </c>
      <c r="N395" s="376" t="str">
        <f>CS_PID!N395/VLOOKUP($B395,표2[#ALL],2)/HLOOKUP($A395,표1[#ALL],row(),false)</f>
        <v>#N/A</v>
      </c>
      <c r="O395" s="376" t="str">
        <f>CS_PID!O395/VLOOKUP($B395,표2[#ALL],2)/HLOOKUP($A395,표1[#ALL],row(),false)</f>
        <v>#N/A</v>
      </c>
      <c r="P395" s="376" t="str">
        <f>CS_PID!P395/VLOOKUP($B395,표2[#ALL],2)/HLOOKUP($A395,표1[#ALL],row(),false)</f>
        <v>#N/A</v>
      </c>
      <c r="Q395" s="376" t="str">
        <f>CS_PID!Q395/VLOOKUP($B395,표2[#ALL],2)/HLOOKUP($A395,표1[#ALL],row(),false)</f>
        <v>#N/A</v>
      </c>
      <c r="R395" s="376" t="str">
        <f>CS_PID!R395/VLOOKUP($B395,표2[#ALL],2)/HLOOKUP($A395,표1[#ALL],row(),false)</f>
        <v>#N/A</v>
      </c>
      <c r="S395" s="376" t="str">
        <f>CS_PID!S395/VLOOKUP($B395,표2[#ALL],2)/HLOOKUP($A395,표1[#ALL],row(),false)</f>
        <v>#N/A</v>
      </c>
      <c r="T395" s="376" t="str">
        <f>CS_PID!T395/VLOOKUP($B395,표2[#ALL],2)/HLOOKUP($A395,표1[#ALL],row(),false)</f>
        <v>#N/A</v>
      </c>
      <c r="U395" s="376" t="str">
        <f>CS_PID!U395/VLOOKUP($B395,표2[#ALL],2)/HLOOKUP($A395,표1[#ALL],row(),false)</f>
        <v>#N/A</v>
      </c>
      <c r="V395" s="376" t="str">
        <f>CS_PID!V395/VLOOKUP($B395,표2[#ALL],2)/HLOOKUP($A395,표1[#ALL],row(),false)</f>
        <v>#N/A</v>
      </c>
      <c r="W395" s="376" t="str">
        <f>CS_PID!W395/VLOOKUP($B395,표2[#ALL],2)/HLOOKUP($A395,표1[#ALL],row(),false)</f>
        <v>#N/A</v>
      </c>
      <c r="X395" s="376" t="str">
        <f>CS_PID!X395/VLOOKUP($B395,표2[#ALL],2)/HLOOKUP($A395,표1[#ALL],row(),false)</f>
        <v>#N/A</v>
      </c>
      <c r="Y395" s="376" t="str">
        <f>CS_PID!Y395/VLOOKUP($B395,표2[#ALL],2)/HLOOKUP($A395,표1[#ALL],row(),false)</f>
        <v>#N/A</v>
      </c>
      <c r="Z395" s="376" t="str">
        <f>CS_PID!Z395/VLOOKUP($B395,표2[#ALL],2)/HLOOKUP($A395,표1[#ALL],row(),false)</f>
        <v>#N/A</v>
      </c>
      <c r="AA395" s="376" t="str">
        <f>CS_PID!AA395/VLOOKUP($B395,표2[#ALL],2)/HLOOKUP($A395,표1[#ALL],row(),false)</f>
        <v>#N/A</v>
      </c>
      <c r="AB395" s="376" t="str">
        <f>CS_PID!AB395/VLOOKUP($B395,표2[#ALL],2)/HLOOKUP($A395,표1[#ALL],row(),false)</f>
        <v>#N/A</v>
      </c>
      <c r="AC395" s="376" t="str">
        <f>CS_PID!AC395/VLOOKUP($B395,표2[#ALL],2)/HLOOKUP($A395,표1[#ALL],row(),false)</f>
        <v>#N/A</v>
      </c>
      <c r="AD395" s="376" t="str">
        <f>CS_PID!AD395/VLOOKUP($B395,표2[#ALL],2)/HLOOKUP($A395,표1[#ALL],row(),false)</f>
        <v>#N/A</v>
      </c>
      <c r="AE395" s="376" t="str">
        <f>CS_PID!AE395/VLOOKUP($B395,표2[#ALL],2)/HLOOKUP($A395,표1[#ALL],row(),false)</f>
        <v>#N/A</v>
      </c>
      <c r="AF395" s="376" t="str">
        <f>CS_PID!AF395/VLOOKUP($B395,표2[#ALL],2)/HLOOKUP($A395,표1[#ALL],row(),false)</f>
        <v>#N/A</v>
      </c>
      <c r="AG395" s="376" t="str">
        <f>CS_PID!AG395/VLOOKUP($B395,표2[#ALL],2)/HLOOKUP($A395,표1[#ALL],row(),false)</f>
        <v>#N/A</v>
      </c>
      <c r="AH395" s="376" t="str">
        <f>CS_PID!AH395/VLOOKUP($B395,표2[#ALL],2)/HLOOKUP($A395,표1[#ALL],row(),false)</f>
        <v>#N/A</v>
      </c>
      <c r="AI395" s="376" t="str">
        <f>CS_PID!AI395/VLOOKUP($B395,표2[#ALL],2)/HLOOKUP($A395,표1[#ALL],row(),false)</f>
        <v>#N/A</v>
      </c>
      <c r="AJ395" s="376" t="str">
        <f>CS_PID!AJ395/VLOOKUP($B395,표2[#ALL],2)/HLOOKUP($A395,표1[#ALL],row(),false)</f>
        <v>#N/A</v>
      </c>
      <c r="AK395" s="376" t="str">
        <f>CS_PID!AK395/VLOOKUP($B395,표2[#ALL],2)/HLOOKUP($A395,표1[#ALL],row(),false)</f>
        <v>#N/A</v>
      </c>
      <c r="AL395" s="376" t="str">
        <f>CS_PID!AL395/VLOOKUP($B395,표2[#ALL],2)/HLOOKUP($A395,표1[#ALL],row(),false)</f>
        <v>#N/A</v>
      </c>
      <c r="AM395" s="376" t="str">
        <f>CS_PID!AM395/VLOOKUP($B395,표2[#ALL],2)/HLOOKUP($A395,표1[#ALL],row(),false)</f>
        <v>#N/A</v>
      </c>
      <c r="AN395" s="376" t="str">
        <f>CS_PID!AN395/VLOOKUP($B395,표2[#ALL],2)/HLOOKUP($A395,표1[#ALL],row(),false)</f>
        <v>#N/A</v>
      </c>
      <c r="AO395" s="376" t="str">
        <f>CS_PID!AO395/VLOOKUP($B395,표2[#ALL],2)/HLOOKUP($A395,표1[#ALL],row(),false)</f>
        <v>#N/A</v>
      </c>
      <c r="AP395" s="376" t="str">
        <f>CS_PID!AP395/VLOOKUP($B395,표2[#ALL],2)/HLOOKUP($A395,표1[#ALL],row(),false)</f>
        <v>#N/A</v>
      </c>
      <c r="AQ395" s="376" t="str">
        <f>CS_PID!AQ395/VLOOKUP($B395,표2[#ALL],2)/HLOOKUP($A395,표1[#ALL],row(),false)</f>
        <v>#N/A</v>
      </c>
      <c r="AR395" s="376" t="str">
        <f>CS_PID!AR395/VLOOKUP($B395,표2[#ALL],2)/HLOOKUP($A395,표1[#ALL],row(),false)</f>
        <v>#N/A</v>
      </c>
      <c r="AS395" s="377" t="str">
        <f>CS_PID!AS395/VLOOKUP($B395,표2[#ALL],2)/HLOOKUP($A395,표1[#ALL],row(),false)</f>
        <v>#N/A</v>
      </c>
    </row>
    <row r="396">
      <c r="A396" s="370"/>
      <c r="B396" s="371"/>
      <c r="C396" s="372" t="str">
        <f>CS_PID!C396/VLOOKUP($B396,표2[#ALL],2)</f>
        <v>#N/A</v>
      </c>
      <c r="D396" s="372" t="str">
        <f>CS_PID!D396/VLOOKUP($B396,표2[#ALL],2)</f>
        <v>#N/A</v>
      </c>
      <c r="E396" s="372" t="str">
        <f>CS_PID!E396/VLOOKUP($B396,표2[#ALL],2)</f>
        <v>#N/A</v>
      </c>
      <c r="F396" s="372" t="str">
        <f>CS_PID!F396/VLOOKUP($B396,표2[#ALL],2)</f>
        <v>#N/A</v>
      </c>
      <c r="G396" s="372" t="str">
        <f>CS_PID!G396/VLOOKUP($B396,표2[#ALL],2)</f>
        <v>#N/A</v>
      </c>
      <c r="H396" s="372" t="str">
        <f>CS_PID!H396/VLOOKUP($B396,표2[#ALL],2)/HLOOKUP($A396,표1[#ALL],row(),false)</f>
        <v>#N/A</v>
      </c>
      <c r="I396" s="372" t="str">
        <f>CS_PID!I396/VLOOKUP($B396,표2[#ALL],2)/HLOOKUP($A396,표1[#ALL],row(),false)</f>
        <v>#N/A</v>
      </c>
      <c r="J396" s="372" t="str">
        <f>CS_PID!J396/VLOOKUP($B396,표2[#ALL],2)/HLOOKUP($A396,표1[#ALL],row(),false)</f>
        <v>#N/A</v>
      </c>
      <c r="K396" s="372" t="str">
        <f>CS_PID!K396/VLOOKUP($B396,표2[#ALL],2)/HLOOKUP($A396,표1[#ALL],row(),false)</f>
        <v>#N/A</v>
      </c>
      <c r="L396" s="372" t="str">
        <f>CS_PID!L396/VLOOKUP($B396,표2[#ALL],2)/HLOOKUP($A396,표1[#ALL],row(),false)</f>
        <v>#N/A</v>
      </c>
      <c r="M396" s="372" t="str">
        <f>CS_PID!M396/VLOOKUP($B396,표2[#ALL],2)/HLOOKUP($A396,표1[#ALL],row(),false)</f>
        <v>#N/A</v>
      </c>
      <c r="N396" s="372" t="str">
        <f>CS_PID!N396/VLOOKUP($B396,표2[#ALL],2)/HLOOKUP($A396,표1[#ALL],row(),false)</f>
        <v>#N/A</v>
      </c>
      <c r="O396" s="372" t="str">
        <f>CS_PID!O396/VLOOKUP($B396,표2[#ALL],2)/HLOOKUP($A396,표1[#ALL],row(),false)</f>
        <v>#N/A</v>
      </c>
      <c r="P396" s="372" t="str">
        <f>CS_PID!P396/VLOOKUP($B396,표2[#ALL],2)/HLOOKUP($A396,표1[#ALL],row(),false)</f>
        <v>#N/A</v>
      </c>
      <c r="Q396" s="372" t="str">
        <f>CS_PID!Q396/VLOOKUP($B396,표2[#ALL],2)/HLOOKUP($A396,표1[#ALL],row(),false)</f>
        <v>#N/A</v>
      </c>
      <c r="R396" s="372" t="str">
        <f>CS_PID!R396/VLOOKUP($B396,표2[#ALL],2)/HLOOKUP($A396,표1[#ALL],row(),false)</f>
        <v>#N/A</v>
      </c>
      <c r="S396" s="372" t="str">
        <f>CS_PID!S396/VLOOKUP($B396,표2[#ALL],2)/HLOOKUP($A396,표1[#ALL],row(),false)</f>
        <v>#N/A</v>
      </c>
      <c r="T396" s="372" t="str">
        <f>CS_PID!T396/VLOOKUP($B396,표2[#ALL],2)/HLOOKUP($A396,표1[#ALL],row(),false)</f>
        <v>#N/A</v>
      </c>
      <c r="U396" s="372" t="str">
        <f>CS_PID!U396/VLOOKUP($B396,표2[#ALL],2)/HLOOKUP($A396,표1[#ALL],row(),false)</f>
        <v>#N/A</v>
      </c>
      <c r="V396" s="372" t="str">
        <f>CS_PID!V396/VLOOKUP($B396,표2[#ALL],2)/HLOOKUP($A396,표1[#ALL],row(),false)</f>
        <v>#N/A</v>
      </c>
      <c r="W396" s="372" t="str">
        <f>CS_PID!W396/VLOOKUP($B396,표2[#ALL],2)/HLOOKUP($A396,표1[#ALL],row(),false)</f>
        <v>#N/A</v>
      </c>
      <c r="X396" s="372" t="str">
        <f>CS_PID!X396/VLOOKUP($B396,표2[#ALL],2)/HLOOKUP($A396,표1[#ALL],row(),false)</f>
        <v>#N/A</v>
      </c>
      <c r="Y396" s="372" t="str">
        <f>CS_PID!Y396/VLOOKUP($B396,표2[#ALL],2)/HLOOKUP($A396,표1[#ALL],row(),false)</f>
        <v>#N/A</v>
      </c>
      <c r="Z396" s="372" t="str">
        <f>CS_PID!Z396/VLOOKUP($B396,표2[#ALL],2)/HLOOKUP($A396,표1[#ALL],row(),false)</f>
        <v>#N/A</v>
      </c>
      <c r="AA396" s="372" t="str">
        <f>CS_PID!AA396/VLOOKUP($B396,표2[#ALL],2)/HLOOKUP($A396,표1[#ALL],row(),false)</f>
        <v>#N/A</v>
      </c>
      <c r="AB396" s="372" t="str">
        <f>CS_PID!AB396/VLOOKUP($B396,표2[#ALL],2)/HLOOKUP($A396,표1[#ALL],row(),false)</f>
        <v>#N/A</v>
      </c>
      <c r="AC396" s="372" t="str">
        <f>CS_PID!AC396/VLOOKUP($B396,표2[#ALL],2)/HLOOKUP($A396,표1[#ALL],row(),false)</f>
        <v>#N/A</v>
      </c>
      <c r="AD396" s="372" t="str">
        <f>CS_PID!AD396/VLOOKUP($B396,표2[#ALL],2)/HLOOKUP($A396,표1[#ALL],row(),false)</f>
        <v>#N/A</v>
      </c>
      <c r="AE396" s="372" t="str">
        <f>CS_PID!AE396/VLOOKUP($B396,표2[#ALL],2)/HLOOKUP($A396,표1[#ALL],row(),false)</f>
        <v>#N/A</v>
      </c>
      <c r="AF396" s="372" t="str">
        <f>CS_PID!AF396/VLOOKUP($B396,표2[#ALL],2)/HLOOKUP($A396,표1[#ALL],row(),false)</f>
        <v>#N/A</v>
      </c>
      <c r="AG396" s="372" t="str">
        <f>CS_PID!AG396/VLOOKUP($B396,표2[#ALL],2)/HLOOKUP($A396,표1[#ALL],row(),false)</f>
        <v>#N/A</v>
      </c>
      <c r="AH396" s="372" t="str">
        <f>CS_PID!AH396/VLOOKUP($B396,표2[#ALL],2)/HLOOKUP($A396,표1[#ALL],row(),false)</f>
        <v>#N/A</v>
      </c>
      <c r="AI396" s="372" t="str">
        <f>CS_PID!AI396/VLOOKUP($B396,표2[#ALL],2)/HLOOKUP($A396,표1[#ALL],row(),false)</f>
        <v>#N/A</v>
      </c>
      <c r="AJ396" s="372" t="str">
        <f>CS_PID!AJ396/VLOOKUP($B396,표2[#ALL],2)/HLOOKUP($A396,표1[#ALL],row(),false)</f>
        <v>#N/A</v>
      </c>
      <c r="AK396" s="372" t="str">
        <f>CS_PID!AK396/VLOOKUP($B396,표2[#ALL],2)/HLOOKUP($A396,표1[#ALL],row(),false)</f>
        <v>#N/A</v>
      </c>
      <c r="AL396" s="372" t="str">
        <f>CS_PID!AL396/VLOOKUP($B396,표2[#ALL],2)/HLOOKUP($A396,표1[#ALL],row(),false)</f>
        <v>#N/A</v>
      </c>
      <c r="AM396" s="372" t="str">
        <f>CS_PID!AM396/VLOOKUP($B396,표2[#ALL],2)/HLOOKUP($A396,표1[#ALL],row(),false)</f>
        <v>#N/A</v>
      </c>
      <c r="AN396" s="372" t="str">
        <f>CS_PID!AN396/VLOOKUP($B396,표2[#ALL],2)/HLOOKUP($A396,표1[#ALL],row(),false)</f>
        <v>#N/A</v>
      </c>
      <c r="AO396" s="372" t="str">
        <f>CS_PID!AO396/VLOOKUP($B396,표2[#ALL],2)/HLOOKUP($A396,표1[#ALL],row(),false)</f>
        <v>#N/A</v>
      </c>
      <c r="AP396" s="372" t="str">
        <f>CS_PID!AP396/VLOOKUP($B396,표2[#ALL],2)/HLOOKUP($A396,표1[#ALL],row(),false)</f>
        <v>#N/A</v>
      </c>
      <c r="AQ396" s="372" t="str">
        <f>CS_PID!AQ396/VLOOKUP($B396,표2[#ALL],2)/HLOOKUP($A396,표1[#ALL],row(),false)</f>
        <v>#N/A</v>
      </c>
      <c r="AR396" s="372" t="str">
        <f>CS_PID!AR396/VLOOKUP($B396,표2[#ALL],2)/HLOOKUP($A396,표1[#ALL],row(),false)</f>
        <v>#N/A</v>
      </c>
      <c r="AS396" s="373" t="str">
        <f>CS_PID!AS396/VLOOKUP($B396,표2[#ALL],2)/HLOOKUP($A396,표1[#ALL],row(),false)</f>
        <v>#N/A</v>
      </c>
    </row>
    <row r="397">
      <c r="A397" s="374"/>
      <c r="B397" s="375"/>
      <c r="C397" s="376" t="str">
        <f>CS_PID!C397/VLOOKUP($B397,표2[#ALL],2)</f>
        <v>#N/A</v>
      </c>
      <c r="D397" s="376" t="str">
        <f>CS_PID!D397/VLOOKUP($B397,표2[#ALL],2)</f>
        <v>#N/A</v>
      </c>
      <c r="E397" s="376" t="str">
        <f>CS_PID!E397/VLOOKUP($B397,표2[#ALL],2)</f>
        <v>#N/A</v>
      </c>
      <c r="F397" s="376" t="str">
        <f>CS_PID!F397/VLOOKUP($B397,표2[#ALL],2)</f>
        <v>#N/A</v>
      </c>
      <c r="G397" s="376" t="str">
        <f>CS_PID!G397/VLOOKUP($B397,표2[#ALL],2)</f>
        <v>#N/A</v>
      </c>
      <c r="H397" s="376" t="str">
        <f>CS_PID!H397/VLOOKUP($B397,표2[#ALL],2)/HLOOKUP($A397,표1[#ALL],row(),false)</f>
        <v>#N/A</v>
      </c>
      <c r="I397" s="376" t="str">
        <f>CS_PID!I397/VLOOKUP($B397,표2[#ALL],2)/HLOOKUP($A397,표1[#ALL],row(),false)</f>
        <v>#N/A</v>
      </c>
      <c r="J397" s="376" t="str">
        <f>CS_PID!J397/VLOOKUP($B397,표2[#ALL],2)/HLOOKUP($A397,표1[#ALL],row(),false)</f>
        <v>#N/A</v>
      </c>
      <c r="K397" s="376" t="str">
        <f>CS_PID!K397/VLOOKUP($B397,표2[#ALL],2)/HLOOKUP($A397,표1[#ALL],row(),false)</f>
        <v>#N/A</v>
      </c>
      <c r="L397" s="376" t="str">
        <f>CS_PID!L397/VLOOKUP($B397,표2[#ALL],2)/HLOOKUP($A397,표1[#ALL],row(),false)</f>
        <v>#N/A</v>
      </c>
      <c r="M397" s="376" t="str">
        <f>CS_PID!M397/VLOOKUP($B397,표2[#ALL],2)/HLOOKUP($A397,표1[#ALL],row(),false)</f>
        <v>#N/A</v>
      </c>
      <c r="N397" s="376" t="str">
        <f>CS_PID!N397/VLOOKUP($B397,표2[#ALL],2)/HLOOKUP($A397,표1[#ALL],row(),false)</f>
        <v>#N/A</v>
      </c>
      <c r="O397" s="376" t="str">
        <f>CS_PID!O397/VLOOKUP($B397,표2[#ALL],2)/HLOOKUP($A397,표1[#ALL],row(),false)</f>
        <v>#N/A</v>
      </c>
      <c r="P397" s="376" t="str">
        <f>CS_PID!P397/VLOOKUP($B397,표2[#ALL],2)/HLOOKUP($A397,표1[#ALL],row(),false)</f>
        <v>#N/A</v>
      </c>
      <c r="Q397" s="376" t="str">
        <f>CS_PID!Q397/VLOOKUP($B397,표2[#ALL],2)/HLOOKUP($A397,표1[#ALL],row(),false)</f>
        <v>#N/A</v>
      </c>
      <c r="R397" s="376" t="str">
        <f>CS_PID!R397/VLOOKUP($B397,표2[#ALL],2)/HLOOKUP($A397,표1[#ALL],row(),false)</f>
        <v>#N/A</v>
      </c>
      <c r="S397" s="376" t="str">
        <f>CS_PID!S397/VLOOKUP($B397,표2[#ALL],2)/HLOOKUP($A397,표1[#ALL],row(),false)</f>
        <v>#N/A</v>
      </c>
      <c r="T397" s="376" t="str">
        <f>CS_PID!T397/VLOOKUP($B397,표2[#ALL],2)/HLOOKUP($A397,표1[#ALL],row(),false)</f>
        <v>#N/A</v>
      </c>
      <c r="U397" s="376" t="str">
        <f>CS_PID!U397/VLOOKUP($B397,표2[#ALL],2)/HLOOKUP($A397,표1[#ALL],row(),false)</f>
        <v>#N/A</v>
      </c>
      <c r="V397" s="376" t="str">
        <f>CS_PID!V397/VLOOKUP($B397,표2[#ALL],2)/HLOOKUP($A397,표1[#ALL],row(),false)</f>
        <v>#N/A</v>
      </c>
      <c r="W397" s="376" t="str">
        <f>CS_PID!W397/VLOOKUP($B397,표2[#ALL],2)/HLOOKUP($A397,표1[#ALL],row(),false)</f>
        <v>#N/A</v>
      </c>
      <c r="X397" s="376" t="str">
        <f>CS_PID!X397/VLOOKUP($B397,표2[#ALL],2)/HLOOKUP($A397,표1[#ALL],row(),false)</f>
        <v>#N/A</v>
      </c>
      <c r="Y397" s="376" t="str">
        <f>CS_PID!Y397/VLOOKUP($B397,표2[#ALL],2)/HLOOKUP($A397,표1[#ALL],row(),false)</f>
        <v>#N/A</v>
      </c>
      <c r="Z397" s="376" t="str">
        <f>CS_PID!Z397/VLOOKUP($B397,표2[#ALL],2)/HLOOKUP($A397,표1[#ALL],row(),false)</f>
        <v>#N/A</v>
      </c>
      <c r="AA397" s="376" t="str">
        <f>CS_PID!AA397/VLOOKUP($B397,표2[#ALL],2)/HLOOKUP($A397,표1[#ALL],row(),false)</f>
        <v>#N/A</v>
      </c>
      <c r="AB397" s="376" t="str">
        <f>CS_PID!AB397/VLOOKUP($B397,표2[#ALL],2)/HLOOKUP($A397,표1[#ALL],row(),false)</f>
        <v>#N/A</v>
      </c>
      <c r="AC397" s="376" t="str">
        <f>CS_PID!AC397/VLOOKUP($B397,표2[#ALL],2)/HLOOKUP($A397,표1[#ALL],row(),false)</f>
        <v>#N/A</v>
      </c>
      <c r="AD397" s="376" t="str">
        <f>CS_PID!AD397/VLOOKUP($B397,표2[#ALL],2)/HLOOKUP($A397,표1[#ALL],row(),false)</f>
        <v>#N/A</v>
      </c>
      <c r="AE397" s="376" t="str">
        <f>CS_PID!AE397/VLOOKUP($B397,표2[#ALL],2)/HLOOKUP($A397,표1[#ALL],row(),false)</f>
        <v>#N/A</v>
      </c>
      <c r="AF397" s="376" t="str">
        <f>CS_PID!AF397/VLOOKUP($B397,표2[#ALL],2)/HLOOKUP($A397,표1[#ALL],row(),false)</f>
        <v>#N/A</v>
      </c>
      <c r="AG397" s="376" t="str">
        <f>CS_PID!AG397/VLOOKUP($B397,표2[#ALL],2)/HLOOKUP($A397,표1[#ALL],row(),false)</f>
        <v>#N/A</v>
      </c>
      <c r="AH397" s="376" t="str">
        <f>CS_PID!AH397/VLOOKUP($B397,표2[#ALL],2)/HLOOKUP($A397,표1[#ALL],row(),false)</f>
        <v>#N/A</v>
      </c>
      <c r="AI397" s="376" t="str">
        <f>CS_PID!AI397/VLOOKUP($B397,표2[#ALL],2)/HLOOKUP($A397,표1[#ALL],row(),false)</f>
        <v>#N/A</v>
      </c>
      <c r="AJ397" s="376" t="str">
        <f>CS_PID!AJ397/VLOOKUP($B397,표2[#ALL],2)/HLOOKUP($A397,표1[#ALL],row(),false)</f>
        <v>#N/A</v>
      </c>
      <c r="AK397" s="376" t="str">
        <f>CS_PID!AK397/VLOOKUP($B397,표2[#ALL],2)/HLOOKUP($A397,표1[#ALL],row(),false)</f>
        <v>#N/A</v>
      </c>
      <c r="AL397" s="376" t="str">
        <f>CS_PID!AL397/VLOOKUP($B397,표2[#ALL],2)/HLOOKUP($A397,표1[#ALL],row(),false)</f>
        <v>#N/A</v>
      </c>
      <c r="AM397" s="376" t="str">
        <f>CS_PID!AM397/VLOOKUP($B397,표2[#ALL],2)/HLOOKUP($A397,표1[#ALL],row(),false)</f>
        <v>#N/A</v>
      </c>
      <c r="AN397" s="376" t="str">
        <f>CS_PID!AN397/VLOOKUP($B397,표2[#ALL],2)/HLOOKUP($A397,표1[#ALL],row(),false)</f>
        <v>#N/A</v>
      </c>
      <c r="AO397" s="376" t="str">
        <f>CS_PID!AO397/VLOOKUP($B397,표2[#ALL],2)/HLOOKUP($A397,표1[#ALL],row(),false)</f>
        <v>#N/A</v>
      </c>
      <c r="AP397" s="376" t="str">
        <f>CS_PID!AP397/VLOOKUP($B397,표2[#ALL],2)/HLOOKUP($A397,표1[#ALL],row(),false)</f>
        <v>#N/A</v>
      </c>
      <c r="AQ397" s="376" t="str">
        <f>CS_PID!AQ397/VLOOKUP($B397,표2[#ALL],2)/HLOOKUP($A397,표1[#ALL],row(),false)</f>
        <v>#N/A</v>
      </c>
      <c r="AR397" s="376" t="str">
        <f>CS_PID!AR397/VLOOKUP($B397,표2[#ALL],2)/HLOOKUP($A397,표1[#ALL],row(),false)</f>
        <v>#N/A</v>
      </c>
      <c r="AS397" s="377" t="str">
        <f>CS_PID!AS397/VLOOKUP($B397,표2[#ALL],2)/HLOOKUP($A397,표1[#ALL],row(),false)</f>
        <v>#N/A</v>
      </c>
    </row>
    <row r="398">
      <c r="A398" s="370"/>
      <c r="B398" s="371"/>
      <c r="C398" s="372" t="str">
        <f>CS_PID!C398/VLOOKUP($B398,표2[#ALL],2)</f>
        <v>#N/A</v>
      </c>
      <c r="D398" s="372" t="str">
        <f>CS_PID!D398/VLOOKUP($B398,표2[#ALL],2)</f>
        <v>#N/A</v>
      </c>
      <c r="E398" s="372" t="str">
        <f>CS_PID!E398/VLOOKUP($B398,표2[#ALL],2)</f>
        <v>#N/A</v>
      </c>
      <c r="F398" s="372" t="str">
        <f>CS_PID!F398/VLOOKUP($B398,표2[#ALL],2)</f>
        <v>#N/A</v>
      </c>
      <c r="G398" s="372" t="str">
        <f>CS_PID!G398/VLOOKUP($B398,표2[#ALL],2)</f>
        <v>#N/A</v>
      </c>
      <c r="H398" s="372" t="str">
        <f>CS_PID!H398/VLOOKUP($B398,표2[#ALL],2)/HLOOKUP($A398,표1[#ALL],row(),false)</f>
        <v>#N/A</v>
      </c>
      <c r="I398" s="372" t="str">
        <f>CS_PID!I398/VLOOKUP($B398,표2[#ALL],2)/HLOOKUP($A398,표1[#ALL],row(),false)</f>
        <v>#N/A</v>
      </c>
      <c r="J398" s="372" t="str">
        <f>CS_PID!J398/VLOOKUP($B398,표2[#ALL],2)/HLOOKUP($A398,표1[#ALL],row(),false)</f>
        <v>#N/A</v>
      </c>
      <c r="K398" s="372" t="str">
        <f>CS_PID!K398/VLOOKUP($B398,표2[#ALL],2)/HLOOKUP($A398,표1[#ALL],row(),false)</f>
        <v>#N/A</v>
      </c>
      <c r="L398" s="372" t="str">
        <f>CS_PID!L398/VLOOKUP($B398,표2[#ALL],2)/HLOOKUP($A398,표1[#ALL],row(),false)</f>
        <v>#N/A</v>
      </c>
      <c r="M398" s="372" t="str">
        <f>CS_PID!M398/VLOOKUP($B398,표2[#ALL],2)/HLOOKUP($A398,표1[#ALL],row(),false)</f>
        <v>#N/A</v>
      </c>
      <c r="N398" s="372" t="str">
        <f>CS_PID!N398/VLOOKUP($B398,표2[#ALL],2)/HLOOKUP($A398,표1[#ALL],row(),false)</f>
        <v>#N/A</v>
      </c>
      <c r="O398" s="372" t="str">
        <f>CS_PID!O398/VLOOKUP($B398,표2[#ALL],2)/HLOOKUP($A398,표1[#ALL],row(),false)</f>
        <v>#N/A</v>
      </c>
      <c r="P398" s="372" t="str">
        <f>CS_PID!P398/VLOOKUP($B398,표2[#ALL],2)/HLOOKUP($A398,표1[#ALL],row(),false)</f>
        <v>#N/A</v>
      </c>
      <c r="Q398" s="372" t="str">
        <f>CS_PID!Q398/VLOOKUP($B398,표2[#ALL],2)/HLOOKUP($A398,표1[#ALL],row(),false)</f>
        <v>#N/A</v>
      </c>
      <c r="R398" s="372" t="str">
        <f>CS_PID!R398/VLOOKUP($B398,표2[#ALL],2)/HLOOKUP($A398,표1[#ALL],row(),false)</f>
        <v>#N/A</v>
      </c>
      <c r="S398" s="372" t="str">
        <f>CS_PID!S398/VLOOKUP($B398,표2[#ALL],2)/HLOOKUP($A398,표1[#ALL],row(),false)</f>
        <v>#N/A</v>
      </c>
      <c r="T398" s="372" t="str">
        <f>CS_PID!T398/VLOOKUP($B398,표2[#ALL],2)/HLOOKUP($A398,표1[#ALL],row(),false)</f>
        <v>#N/A</v>
      </c>
      <c r="U398" s="372" t="str">
        <f>CS_PID!U398/VLOOKUP($B398,표2[#ALL],2)/HLOOKUP($A398,표1[#ALL],row(),false)</f>
        <v>#N/A</v>
      </c>
      <c r="V398" s="372" t="str">
        <f>CS_PID!V398/VLOOKUP($B398,표2[#ALL],2)/HLOOKUP($A398,표1[#ALL],row(),false)</f>
        <v>#N/A</v>
      </c>
      <c r="W398" s="372" t="str">
        <f>CS_PID!W398/VLOOKUP($B398,표2[#ALL],2)/HLOOKUP($A398,표1[#ALL],row(),false)</f>
        <v>#N/A</v>
      </c>
      <c r="X398" s="372" t="str">
        <f>CS_PID!X398/VLOOKUP($B398,표2[#ALL],2)/HLOOKUP($A398,표1[#ALL],row(),false)</f>
        <v>#N/A</v>
      </c>
      <c r="Y398" s="372" t="str">
        <f>CS_PID!Y398/VLOOKUP($B398,표2[#ALL],2)/HLOOKUP($A398,표1[#ALL],row(),false)</f>
        <v>#N/A</v>
      </c>
      <c r="Z398" s="372" t="str">
        <f>CS_PID!Z398/VLOOKUP($B398,표2[#ALL],2)/HLOOKUP($A398,표1[#ALL],row(),false)</f>
        <v>#N/A</v>
      </c>
      <c r="AA398" s="372" t="str">
        <f>CS_PID!AA398/VLOOKUP($B398,표2[#ALL],2)/HLOOKUP($A398,표1[#ALL],row(),false)</f>
        <v>#N/A</v>
      </c>
      <c r="AB398" s="372" t="str">
        <f>CS_PID!AB398/VLOOKUP($B398,표2[#ALL],2)/HLOOKUP($A398,표1[#ALL],row(),false)</f>
        <v>#N/A</v>
      </c>
      <c r="AC398" s="372" t="str">
        <f>CS_PID!AC398/VLOOKUP($B398,표2[#ALL],2)/HLOOKUP($A398,표1[#ALL],row(),false)</f>
        <v>#N/A</v>
      </c>
      <c r="AD398" s="372" t="str">
        <f>CS_PID!AD398/VLOOKUP($B398,표2[#ALL],2)/HLOOKUP($A398,표1[#ALL],row(),false)</f>
        <v>#N/A</v>
      </c>
      <c r="AE398" s="372" t="str">
        <f>CS_PID!AE398/VLOOKUP($B398,표2[#ALL],2)/HLOOKUP($A398,표1[#ALL],row(),false)</f>
        <v>#N/A</v>
      </c>
      <c r="AF398" s="372" t="str">
        <f>CS_PID!AF398/VLOOKUP($B398,표2[#ALL],2)/HLOOKUP($A398,표1[#ALL],row(),false)</f>
        <v>#N/A</v>
      </c>
      <c r="AG398" s="372" t="str">
        <f>CS_PID!AG398/VLOOKUP($B398,표2[#ALL],2)/HLOOKUP($A398,표1[#ALL],row(),false)</f>
        <v>#N/A</v>
      </c>
      <c r="AH398" s="372" t="str">
        <f>CS_PID!AH398/VLOOKUP($B398,표2[#ALL],2)/HLOOKUP($A398,표1[#ALL],row(),false)</f>
        <v>#N/A</v>
      </c>
      <c r="AI398" s="372" t="str">
        <f>CS_PID!AI398/VLOOKUP($B398,표2[#ALL],2)/HLOOKUP($A398,표1[#ALL],row(),false)</f>
        <v>#N/A</v>
      </c>
      <c r="AJ398" s="372" t="str">
        <f>CS_PID!AJ398/VLOOKUP($B398,표2[#ALL],2)/HLOOKUP($A398,표1[#ALL],row(),false)</f>
        <v>#N/A</v>
      </c>
      <c r="AK398" s="372" t="str">
        <f>CS_PID!AK398/VLOOKUP($B398,표2[#ALL],2)/HLOOKUP($A398,표1[#ALL],row(),false)</f>
        <v>#N/A</v>
      </c>
      <c r="AL398" s="372" t="str">
        <f>CS_PID!AL398/VLOOKUP($B398,표2[#ALL],2)/HLOOKUP($A398,표1[#ALL],row(),false)</f>
        <v>#N/A</v>
      </c>
      <c r="AM398" s="372" t="str">
        <f>CS_PID!AM398/VLOOKUP($B398,표2[#ALL],2)/HLOOKUP($A398,표1[#ALL],row(),false)</f>
        <v>#N/A</v>
      </c>
      <c r="AN398" s="372" t="str">
        <f>CS_PID!AN398/VLOOKUP($B398,표2[#ALL],2)/HLOOKUP($A398,표1[#ALL],row(),false)</f>
        <v>#N/A</v>
      </c>
      <c r="AO398" s="372" t="str">
        <f>CS_PID!AO398/VLOOKUP($B398,표2[#ALL],2)/HLOOKUP($A398,표1[#ALL],row(),false)</f>
        <v>#N/A</v>
      </c>
      <c r="AP398" s="372" t="str">
        <f>CS_PID!AP398/VLOOKUP($B398,표2[#ALL],2)/HLOOKUP($A398,표1[#ALL],row(),false)</f>
        <v>#N/A</v>
      </c>
      <c r="AQ398" s="372" t="str">
        <f>CS_PID!AQ398/VLOOKUP($B398,표2[#ALL],2)/HLOOKUP($A398,표1[#ALL],row(),false)</f>
        <v>#N/A</v>
      </c>
      <c r="AR398" s="372" t="str">
        <f>CS_PID!AR398/VLOOKUP($B398,표2[#ALL],2)/HLOOKUP($A398,표1[#ALL],row(),false)</f>
        <v>#N/A</v>
      </c>
      <c r="AS398" s="373" t="str">
        <f>CS_PID!AS398/VLOOKUP($B398,표2[#ALL],2)/HLOOKUP($A398,표1[#ALL],row(),false)</f>
        <v>#N/A</v>
      </c>
    </row>
    <row r="399">
      <c r="A399" s="374"/>
      <c r="B399" s="375"/>
      <c r="C399" s="376" t="str">
        <f>CS_PID!C399/VLOOKUP($B399,표2[#ALL],2)</f>
        <v>#N/A</v>
      </c>
      <c r="D399" s="376" t="str">
        <f>CS_PID!D399/VLOOKUP($B399,표2[#ALL],2)</f>
        <v>#N/A</v>
      </c>
      <c r="E399" s="376" t="str">
        <f>CS_PID!E399/VLOOKUP($B399,표2[#ALL],2)</f>
        <v>#N/A</v>
      </c>
      <c r="F399" s="376" t="str">
        <f>CS_PID!F399/VLOOKUP($B399,표2[#ALL],2)</f>
        <v>#N/A</v>
      </c>
      <c r="G399" s="376" t="str">
        <f>CS_PID!G399/VLOOKUP($B399,표2[#ALL],2)</f>
        <v>#N/A</v>
      </c>
      <c r="H399" s="376" t="str">
        <f>CS_PID!H399/VLOOKUP($B399,표2[#ALL],2)/HLOOKUP($A399,표1[#ALL],row(),false)</f>
        <v>#N/A</v>
      </c>
      <c r="I399" s="376" t="str">
        <f>CS_PID!I399/VLOOKUP($B399,표2[#ALL],2)/HLOOKUP($A399,표1[#ALL],row(),false)</f>
        <v>#N/A</v>
      </c>
      <c r="J399" s="376" t="str">
        <f>CS_PID!J399/VLOOKUP($B399,표2[#ALL],2)/HLOOKUP($A399,표1[#ALL],row(),false)</f>
        <v>#N/A</v>
      </c>
      <c r="K399" s="376" t="str">
        <f>CS_PID!K399/VLOOKUP($B399,표2[#ALL],2)/HLOOKUP($A399,표1[#ALL],row(),false)</f>
        <v>#N/A</v>
      </c>
      <c r="L399" s="376" t="str">
        <f>CS_PID!L399/VLOOKUP($B399,표2[#ALL],2)/HLOOKUP($A399,표1[#ALL],row(),false)</f>
        <v>#N/A</v>
      </c>
      <c r="M399" s="376" t="str">
        <f>CS_PID!M399/VLOOKUP($B399,표2[#ALL],2)/HLOOKUP($A399,표1[#ALL],row(),false)</f>
        <v>#N/A</v>
      </c>
      <c r="N399" s="376" t="str">
        <f>CS_PID!N399/VLOOKUP($B399,표2[#ALL],2)/HLOOKUP($A399,표1[#ALL],row(),false)</f>
        <v>#N/A</v>
      </c>
      <c r="O399" s="376" t="str">
        <f>CS_PID!O399/VLOOKUP($B399,표2[#ALL],2)/HLOOKUP($A399,표1[#ALL],row(),false)</f>
        <v>#N/A</v>
      </c>
      <c r="P399" s="376" t="str">
        <f>CS_PID!P399/VLOOKUP($B399,표2[#ALL],2)/HLOOKUP($A399,표1[#ALL],row(),false)</f>
        <v>#N/A</v>
      </c>
      <c r="Q399" s="376" t="str">
        <f>CS_PID!Q399/VLOOKUP($B399,표2[#ALL],2)/HLOOKUP($A399,표1[#ALL],row(),false)</f>
        <v>#N/A</v>
      </c>
      <c r="R399" s="376" t="str">
        <f>CS_PID!R399/VLOOKUP($B399,표2[#ALL],2)/HLOOKUP($A399,표1[#ALL],row(),false)</f>
        <v>#N/A</v>
      </c>
      <c r="S399" s="376" t="str">
        <f>CS_PID!S399/VLOOKUP($B399,표2[#ALL],2)/HLOOKUP($A399,표1[#ALL],row(),false)</f>
        <v>#N/A</v>
      </c>
      <c r="T399" s="376" t="str">
        <f>CS_PID!T399/VLOOKUP($B399,표2[#ALL],2)/HLOOKUP($A399,표1[#ALL],row(),false)</f>
        <v>#N/A</v>
      </c>
      <c r="U399" s="376" t="str">
        <f>CS_PID!U399/VLOOKUP($B399,표2[#ALL],2)/HLOOKUP($A399,표1[#ALL],row(),false)</f>
        <v>#N/A</v>
      </c>
      <c r="V399" s="376" t="str">
        <f>CS_PID!V399/VLOOKUP($B399,표2[#ALL],2)/HLOOKUP($A399,표1[#ALL],row(),false)</f>
        <v>#N/A</v>
      </c>
      <c r="W399" s="376" t="str">
        <f>CS_PID!W399/VLOOKUP($B399,표2[#ALL],2)/HLOOKUP($A399,표1[#ALL],row(),false)</f>
        <v>#N/A</v>
      </c>
      <c r="X399" s="376" t="str">
        <f>CS_PID!X399/VLOOKUP($B399,표2[#ALL],2)/HLOOKUP($A399,표1[#ALL],row(),false)</f>
        <v>#N/A</v>
      </c>
      <c r="Y399" s="376" t="str">
        <f>CS_PID!Y399/VLOOKUP($B399,표2[#ALL],2)/HLOOKUP($A399,표1[#ALL],row(),false)</f>
        <v>#N/A</v>
      </c>
      <c r="Z399" s="376" t="str">
        <f>CS_PID!Z399/VLOOKUP($B399,표2[#ALL],2)/HLOOKUP($A399,표1[#ALL],row(),false)</f>
        <v>#N/A</v>
      </c>
      <c r="AA399" s="376" t="str">
        <f>CS_PID!AA399/VLOOKUP($B399,표2[#ALL],2)/HLOOKUP($A399,표1[#ALL],row(),false)</f>
        <v>#N/A</v>
      </c>
      <c r="AB399" s="376" t="str">
        <f>CS_PID!AB399/VLOOKUP($B399,표2[#ALL],2)/HLOOKUP($A399,표1[#ALL],row(),false)</f>
        <v>#N/A</v>
      </c>
      <c r="AC399" s="376" t="str">
        <f>CS_PID!AC399/VLOOKUP($B399,표2[#ALL],2)/HLOOKUP($A399,표1[#ALL],row(),false)</f>
        <v>#N/A</v>
      </c>
      <c r="AD399" s="376" t="str">
        <f>CS_PID!AD399/VLOOKUP($B399,표2[#ALL],2)/HLOOKUP($A399,표1[#ALL],row(),false)</f>
        <v>#N/A</v>
      </c>
      <c r="AE399" s="376" t="str">
        <f>CS_PID!AE399/VLOOKUP($B399,표2[#ALL],2)/HLOOKUP($A399,표1[#ALL],row(),false)</f>
        <v>#N/A</v>
      </c>
      <c r="AF399" s="376" t="str">
        <f>CS_PID!AF399/VLOOKUP($B399,표2[#ALL],2)/HLOOKUP($A399,표1[#ALL],row(),false)</f>
        <v>#N/A</v>
      </c>
      <c r="AG399" s="376" t="str">
        <f>CS_PID!AG399/VLOOKUP($B399,표2[#ALL],2)/HLOOKUP($A399,표1[#ALL],row(),false)</f>
        <v>#N/A</v>
      </c>
      <c r="AH399" s="376" t="str">
        <f>CS_PID!AH399/VLOOKUP($B399,표2[#ALL],2)/HLOOKUP($A399,표1[#ALL],row(),false)</f>
        <v>#N/A</v>
      </c>
      <c r="AI399" s="376" t="str">
        <f>CS_PID!AI399/VLOOKUP($B399,표2[#ALL],2)/HLOOKUP($A399,표1[#ALL],row(),false)</f>
        <v>#N/A</v>
      </c>
      <c r="AJ399" s="376" t="str">
        <f>CS_PID!AJ399/VLOOKUP($B399,표2[#ALL],2)/HLOOKUP($A399,표1[#ALL],row(),false)</f>
        <v>#N/A</v>
      </c>
      <c r="AK399" s="376" t="str">
        <f>CS_PID!AK399/VLOOKUP($B399,표2[#ALL],2)/HLOOKUP($A399,표1[#ALL],row(),false)</f>
        <v>#N/A</v>
      </c>
      <c r="AL399" s="376" t="str">
        <f>CS_PID!AL399/VLOOKUP($B399,표2[#ALL],2)/HLOOKUP($A399,표1[#ALL],row(),false)</f>
        <v>#N/A</v>
      </c>
      <c r="AM399" s="376" t="str">
        <f>CS_PID!AM399/VLOOKUP($B399,표2[#ALL],2)/HLOOKUP($A399,표1[#ALL],row(),false)</f>
        <v>#N/A</v>
      </c>
      <c r="AN399" s="376" t="str">
        <f>CS_PID!AN399/VLOOKUP($B399,표2[#ALL],2)/HLOOKUP($A399,표1[#ALL],row(),false)</f>
        <v>#N/A</v>
      </c>
      <c r="AO399" s="376" t="str">
        <f>CS_PID!AO399/VLOOKUP($B399,표2[#ALL],2)/HLOOKUP($A399,표1[#ALL],row(),false)</f>
        <v>#N/A</v>
      </c>
      <c r="AP399" s="376" t="str">
        <f>CS_PID!AP399/VLOOKUP($B399,표2[#ALL],2)/HLOOKUP($A399,표1[#ALL],row(),false)</f>
        <v>#N/A</v>
      </c>
      <c r="AQ399" s="376" t="str">
        <f>CS_PID!AQ399/VLOOKUP($B399,표2[#ALL],2)/HLOOKUP($A399,표1[#ALL],row(),false)</f>
        <v>#N/A</v>
      </c>
      <c r="AR399" s="376" t="str">
        <f>CS_PID!AR399/VLOOKUP($B399,표2[#ALL],2)/HLOOKUP($A399,표1[#ALL],row(),false)</f>
        <v>#N/A</v>
      </c>
      <c r="AS399" s="377" t="str">
        <f>CS_PID!AS399/VLOOKUP($B399,표2[#ALL],2)/HLOOKUP($A399,표1[#ALL],row(),false)</f>
        <v>#N/A</v>
      </c>
    </row>
    <row r="400">
      <c r="A400" s="370"/>
      <c r="B400" s="371"/>
      <c r="C400" s="372" t="str">
        <f>CS_PID!C400/VLOOKUP($B400,표2[#ALL],2)</f>
        <v>#N/A</v>
      </c>
      <c r="D400" s="372" t="str">
        <f>CS_PID!D400/VLOOKUP($B400,표2[#ALL],2)</f>
        <v>#N/A</v>
      </c>
      <c r="E400" s="372" t="str">
        <f>CS_PID!E400/VLOOKUP($B400,표2[#ALL],2)</f>
        <v>#N/A</v>
      </c>
      <c r="F400" s="372" t="str">
        <f>CS_PID!F400/VLOOKUP($B400,표2[#ALL],2)</f>
        <v>#N/A</v>
      </c>
      <c r="G400" s="372" t="str">
        <f>CS_PID!G400/VLOOKUP($B400,표2[#ALL],2)</f>
        <v>#N/A</v>
      </c>
      <c r="H400" s="372" t="str">
        <f>CS_PID!H400/VLOOKUP($B400,표2[#ALL],2)/HLOOKUP($A400,표1[#ALL],row(),false)</f>
        <v>#N/A</v>
      </c>
      <c r="I400" s="372" t="str">
        <f>CS_PID!I400/VLOOKUP($B400,표2[#ALL],2)/HLOOKUP($A400,표1[#ALL],row(),false)</f>
        <v>#N/A</v>
      </c>
      <c r="J400" s="372" t="str">
        <f>CS_PID!J400/VLOOKUP($B400,표2[#ALL],2)/HLOOKUP($A400,표1[#ALL],row(),false)</f>
        <v>#N/A</v>
      </c>
      <c r="K400" s="372" t="str">
        <f>CS_PID!K400/VLOOKUP($B400,표2[#ALL],2)/HLOOKUP($A400,표1[#ALL],row(),false)</f>
        <v>#N/A</v>
      </c>
      <c r="L400" s="372" t="str">
        <f>CS_PID!L400/VLOOKUP($B400,표2[#ALL],2)/HLOOKUP($A400,표1[#ALL],row(),false)</f>
        <v>#N/A</v>
      </c>
      <c r="M400" s="372" t="str">
        <f>CS_PID!M400/VLOOKUP($B400,표2[#ALL],2)/HLOOKUP($A400,표1[#ALL],row(),false)</f>
        <v>#N/A</v>
      </c>
      <c r="N400" s="372" t="str">
        <f>CS_PID!N400/VLOOKUP($B400,표2[#ALL],2)/HLOOKUP($A400,표1[#ALL],row(),false)</f>
        <v>#N/A</v>
      </c>
      <c r="O400" s="372" t="str">
        <f>CS_PID!O400/VLOOKUP($B400,표2[#ALL],2)/HLOOKUP($A400,표1[#ALL],row(),false)</f>
        <v>#N/A</v>
      </c>
      <c r="P400" s="372" t="str">
        <f>CS_PID!P400/VLOOKUP($B400,표2[#ALL],2)/HLOOKUP($A400,표1[#ALL],row(),false)</f>
        <v>#N/A</v>
      </c>
      <c r="Q400" s="372" t="str">
        <f>CS_PID!Q400/VLOOKUP($B400,표2[#ALL],2)/HLOOKUP($A400,표1[#ALL],row(),false)</f>
        <v>#N/A</v>
      </c>
      <c r="R400" s="372" t="str">
        <f>CS_PID!R400/VLOOKUP($B400,표2[#ALL],2)/HLOOKUP($A400,표1[#ALL],row(),false)</f>
        <v>#N/A</v>
      </c>
      <c r="S400" s="372" t="str">
        <f>CS_PID!S400/VLOOKUP($B400,표2[#ALL],2)/HLOOKUP($A400,표1[#ALL],row(),false)</f>
        <v>#N/A</v>
      </c>
      <c r="T400" s="372" t="str">
        <f>CS_PID!T400/VLOOKUP($B400,표2[#ALL],2)/HLOOKUP($A400,표1[#ALL],row(),false)</f>
        <v>#N/A</v>
      </c>
      <c r="U400" s="372" t="str">
        <f>CS_PID!U400/VLOOKUP($B400,표2[#ALL],2)/HLOOKUP($A400,표1[#ALL],row(),false)</f>
        <v>#N/A</v>
      </c>
      <c r="V400" s="372" t="str">
        <f>CS_PID!V400/VLOOKUP($B400,표2[#ALL],2)/HLOOKUP($A400,표1[#ALL],row(),false)</f>
        <v>#N/A</v>
      </c>
      <c r="W400" s="372" t="str">
        <f>CS_PID!W400/VLOOKUP($B400,표2[#ALL],2)/HLOOKUP($A400,표1[#ALL],row(),false)</f>
        <v>#N/A</v>
      </c>
      <c r="X400" s="372" t="str">
        <f>CS_PID!X400/VLOOKUP($B400,표2[#ALL],2)/HLOOKUP($A400,표1[#ALL],row(),false)</f>
        <v>#N/A</v>
      </c>
      <c r="Y400" s="372" t="str">
        <f>CS_PID!Y400/VLOOKUP($B400,표2[#ALL],2)/HLOOKUP($A400,표1[#ALL],row(),false)</f>
        <v>#N/A</v>
      </c>
      <c r="Z400" s="372" t="str">
        <f>CS_PID!Z400/VLOOKUP($B400,표2[#ALL],2)/HLOOKUP($A400,표1[#ALL],row(),false)</f>
        <v>#N/A</v>
      </c>
      <c r="AA400" s="372" t="str">
        <f>CS_PID!AA400/VLOOKUP($B400,표2[#ALL],2)/HLOOKUP($A400,표1[#ALL],row(),false)</f>
        <v>#N/A</v>
      </c>
      <c r="AB400" s="372" t="str">
        <f>CS_PID!AB400/VLOOKUP($B400,표2[#ALL],2)/HLOOKUP($A400,표1[#ALL],row(),false)</f>
        <v>#N/A</v>
      </c>
      <c r="AC400" s="372" t="str">
        <f>CS_PID!AC400/VLOOKUP($B400,표2[#ALL],2)/HLOOKUP($A400,표1[#ALL],row(),false)</f>
        <v>#N/A</v>
      </c>
      <c r="AD400" s="372" t="str">
        <f>CS_PID!AD400/VLOOKUP($B400,표2[#ALL],2)/HLOOKUP($A400,표1[#ALL],row(),false)</f>
        <v>#N/A</v>
      </c>
      <c r="AE400" s="372" t="str">
        <f>CS_PID!AE400/VLOOKUP($B400,표2[#ALL],2)/HLOOKUP($A400,표1[#ALL],row(),false)</f>
        <v>#N/A</v>
      </c>
      <c r="AF400" s="372" t="str">
        <f>CS_PID!AF400/VLOOKUP($B400,표2[#ALL],2)/HLOOKUP($A400,표1[#ALL],row(),false)</f>
        <v>#N/A</v>
      </c>
      <c r="AG400" s="372" t="str">
        <f>CS_PID!AG400/VLOOKUP($B400,표2[#ALL],2)/HLOOKUP($A400,표1[#ALL],row(),false)</f>
        <v>#N/A</v>
      </c>
      <c r="AH400" s="372" t="str">
        <f>CS_PID!AH400/VLOOKUP($B400,표2[#ALL],2)/HLOOKUP($A400,표1[#ALL],row(),false)</f>
        <v>#N/A</v>
      </c>
      <c r="AI400" s="372" t="str">
        <f>CS_PID!AI400/VLOOKUP($B400,표2[#ALL],2)/HLOOKUP($A400,표1[#ALL],row(),false)</f>
        <v>#N/A</v>
      </c>
      <c r="AJ400" s="372" t="str">
        <f>CS_PID!AJ400/VLOOKUP($B400,표2[#ALL],2)/HLOOKUP($A400,표1[#ALL],row(),false)</f>
        <v>#N/A</v>
      </c>
      <c r="AK400" s="372" t="str">
        <f>CS_PID!AK400/VLOOKUP($B400,표2[#ALL],2)/HLOOKUP($A400,표1[#ALL],row(),false)</f>
        <v>#N/A</v>
      </c>
      <c r="AL400" s="372" t="str">
        <f>CS_PID!AL400/VLOOKUP($B400,표2[#ALL],2)/HLOOKUP($A400,표1[#ALL],row(),false)</f>
        <v>#N/A</v>
      </c>
      <c r="AM400" s="372" t="str">
        <f>CS_PID!AM400/VLOOKUP($B400,표2[#ALL],2)/HLOOKUP($A400,표1[#ALL],row(),false)</f>
        <v>#N/A</v>
      </c>
      <c r="AN400" s="372" t="str">
        <f>CS_PID!AN400/VLOOKUP($B400,표2[#ALL],2)/HLOOKUP($A400,표1[#ALL],row(),false)</f>
        <v>#N/A</v>
      </c>
      <c r="AO400" s="372" t="str">
        <f>CS_PID!AO400/VLOOKUP($B400,표2[#ALL],2)/HLOOKUP($A400,표1[#ALL],row(),false)</f>
        <v>#N/A</v>
      </c>
      <c r="AP400" s="372" t="str">
        <f>CS_PID!AP400/VLOOKUP($B400,표2[#ALL],2)/HLOOKUP($A400,표1[#ALL],row(),false)</f>
        <v>#N/A</v>
      </c>
      <c r="AQ400" s="372" t="str">
        <f>CS_PID!AQ400/VLOOKUP($B400,표2[#ALL],2)/HLOOKUP($A400,표1[#ALL],row(),false)</f>
        <v>#N/A</v>
      </c>
      <c r="AR400" s="372" t="str">
        <f>CS_PID!AR400/VLOOKUP($B400,표2[#ALL],2)/HLOOKUP($A400,표1[#ALL],row(),false)</f>
        <v>#N/A</v>
      </c>
      <c r="AS400" s="373" t="str">
        <f>CS_PID!AS400/VLOOKUP($B400,표2[#ALL],2)/HLOOKUP($A400,표1[#ALL],row(),false)</f>
        <v>#N/A</v>
      </c>
    </row>
    <row r="401">
      <c r="A401" s="374"/>
      <c r="B401" s="375"/>
      <c r="C401" s="376" t="str">
        <f>CS_PID!C401/VLOOKUP($B401,표2[#ALL],2)</f>
        <v>#N/A</v>
      </c>
      <c r="D401" s="376" t="str">
        <f>CS_PID!D401/VLOOKUP($B401,표2[#ALL],2)</f>
        <v>#N/A</v>
      </c>
      <c r="E401" s="376" t="str">
        <f>CS_PID!E401/VLOOKUP($B401,표2[#ALL],2)</f>
        <v>#N/A</v>
      </c>
      <c r="F401" s="376" t="str">
        <f>CS_PID!F401/VLOOKUP($B401,표2[#ALL],2)</f>
        <v>#N/A</v>
      </c>
      <c r="G401" s="376" t="str">
        <f>CS_PID!G401/VLOOKUP($B401,표2[#ALL],2)</f>
        <v>#N/A</v>
      </c>
      <c r="H401" s="376" t="str">
        <f>CS_PID!H401/VLOOKUP($B401,표2[#ALL],2)/HLOOKUP($A401,표1[#ALL],row(),false)</f>
        <v>#N/A</v>
      </c>
      <c r="I401" s="376" t="str">
        <f>CS_PID!I401/VLOOKUP($B401,표2[#ALL],2)/HLOOKUP($A401,표1[#ALL],row(),false)</f>
        <v>#N/A</v>
      </c>
      <c r="J401" s="376" t="str">
        <f>CS_PID!J401/VLOOKUP($B401,표2[#ALL],2)/HLOOKUP($A401,표1[#ALL],row(),false)</f>
        <v>#N/A</v>
      </c>
      <c r="K401" s="376" t="str">
        <f>CS_PID!K401/VLOOKUP($B401,표2[#ALL],2)/HLOOKUP($A401,표1[#ALL],row(),false)</f>
        <v>#N/A</v>
      </c>
      <c r="L401" s="376" t="str">
        <f>CS_PID!L401/VLOOKUP($B401,표2[#ALL],2)/HLOOKUP($A401,표1[#ALL],row(),false)</f>
        <v>#N/A</v>
      </c>
      <c r="M401" s="376" t="str">
        <f>CS_PID!M401/VLOOKUP($B401,표2[#ALL],2)/HLOOKUP($A401,표1[#ALL],row(),false)</f>
        <v>#N/A</v>
      </c>
      <c r="N401" s="376" t="str">
        <f>CS_PID!N401/VLOOKUP($B401,표2[#ALL],2)/HLOOKUP($A401,표1[#ALL],row(),false)</f>
        <v>#N/A</v>
      </c>
      <c r="O401" s="376" t="str">
        <f>CS_PID!O401/VLOOKUP($B401,표2[#ALL],2)/HLOOKUP($A401,표1[#ALL],row(),false)</f>
        <v>#N/A</v>
      </c>
      <c r="P401" s="376" t="str">
        <f>CS_PID!P401/VLOOKUP($B401,표2[#ALL],2)/HLOOKUP($A401,표1[#ALL],row(),false)</f>
        <v>#N/A</v>
      </c>
      <c r="Q401" s="376" t="str">
        <f>CS_PID!Q401/VLOOKUP($B401,표2[#ALL],2)/HLOOKUP($A401,표1[#ALL],row(),false)</f>
        <v>#N/A</v>
      </c>
      <c r="R401" s="376" t="str">
        <f>CS_PID!R401/VLOOKUP($B401,표2[#ALL],2)/HLOOKUP($A401,표1[#ALL],row(),false)</f>
        <v>#N/A</v>
      </c>
      <c r="S401" s="376" t="str">
        <f>CS_PID!S401/VLOOKUP($B401,표2[#ALL],2)/HLOOKUP($A401,표1[#ALL],row(),false)</f>
        <v>#N/A</v>
      </c>
      <c r="T401" s="376" t="str">
        <f>CS_PID!T401/VLOOKUP($B401,표2[#ALL],2)/HLOOKUP($A401,표1[#ALL],row(),false)</f>
        <v>#N/A</v>
      </c>
      <c r="U401" s="376" t="str">
        <f>CS_PID!U401/VLOOKUP($B401,표2[#ALL],2)/HLOOKUP($A401,표1[#ALL],row(),false)</f>
        <v>#N/A</v>
      </c>
      <c r="V401" s="376" t="str">
        <f>CS_PID!V401/VLOOKUP($B401,표2[#ALL],2)/HLOOKUP($A401,표1[#ALL],row(),false)</f>
        <v>#N/A</v>
      </c>
      <c r="W401" s="376" t="str">
        <f>CS_PID!W401/VLOOKUP($B401,표2[#ALL],2)/HLOOKUP($A401,표1[#ALL],row(),false)</f>
        <v>#N/A</v>
      </c>
      <c r="X401" s="376" t="str">
        <f>CS_PID!X401/VLOOKUP($B401,표2[#ALL],2)/HLOOKUP($A401,표1[#ALL],row(),false)</f>
        <v>#N/A</v>
      </c>
      <c r="Y401" s="376" t="str">
        <f>CS_PID!Y401/VLOOKUP($B401,표2[#ALL],2)/HLOOKUP($A401,표1[#ALL],row(),false)</f>
        <v>#N/A</v>
      </c>
      <c r="Z401" s="376" t="str">
        <f>CS_PID!Z401/VLOOKUP($B401,표2[#ALL],2)/HLOOKUP($A401,표1[#ALL],row(),false)</f>
        <v>#N/A</v>
      </c>
      <c r="AA401" s="376" t="str">
        <f>CS_PID!AA401/VLOOKUP($B401,표2[#ALL],2)/HLOOKUP($A401,표1[#ALL],row(),false)</f>
        <v>#N/A</v>
      </c>
      <c r="AB401" s="376" t="str">
        <f>CS_PID!AB401/VLOOKUP($B401,표2[#ALL],2)/HLOOKUP($A401,표1[#ALL],row(),false)</f>
        <v>#N/A</v>
      </c>
      <c r="AC401" s="376" t="str">
        <f>CS_PID!AC401/VLOOKUP($B401,표2[#ALL],2)/HLOOKUP($A401,표1[#ALL],row(),false)</f>
        <v>#N/A</v>
      </c>
      <c r="AD401" s="376" t="str">
        <f>CS_PID!AD401/VLOOKUP($B401,표2[#ALL],2)/HLOOKUP($A401,표1[#ALL],row(),false)</f>
        <v>#N/A</v>
      </c>
      <c r="AE401" s="376" t="str">
        <f>CS_PID!AE401/VLOOKUP($B401,표2[#ALL],2)/HLOOKUP($A401,표1[#ALL],row(),false)</f>
        <v>#N/A</v>
      </c>
      <c r="AF401" s="376" t="str">
        <f>CS_PID!AF401/VLOOKUP($B401,표2[#ALL],2)/HLOOKUP($A401,표1[#ALL],row(),false)</f>
        <v>#N/A</v>
      </c>
      <c r="AG401" s="376" t="str">
        <f>CS_PID!AG401/VLOOKUP($B401,표2[#ALL],2)/HLOOKUP($A401,표1[#ALL],row(),false)</f>
        <v>#N/A</v>
      </c>
      <c r="AH401" s="376" t="str">
        <f>CS_PID!AH401/VLOOKUP($B401,표2[#ALL],2)/HLOOKUP($A401,표1[#ALL],row(),false)</f>
        <v>#N/A</v>
      </c>
      <c r="AI401" s="376" t="str">
        <f>CS_PID!AI401/VLOOKUP($B401,표2[#ALL],2)/HLOOKUP($A401,표1[#ALL],row(),false)</f>
        <v>#N/A</v>
      </c>
      <c r="AJ401" s="376" t="str">
        <f>CS_PID!AJ401/VLOOKUP($B401,표2[#ALL],2)/HLOOKUP($A401,표1[#ALL],row(),false)</f>
        <v>#N/A</v>
      </c>
      <c r="AK401" s="376" t="str">
        <f>CS_PID!AK401/VLOOKUP($B401,표2[#ALL],2)/HLOOKUP($A401,표1[#ALL],row(),false)</f>
        <v>#N/A</v>
      </c>
      <c r="AL401" s="376" t="str">
        <f>CS_PID!AL401/VLOOKUP($B401,표2[#ALL],2)/HLOOKUP($A401,표1[#ALL],row(),false)</f>
        <v>#N/A</v>
      </c>
      <c r="AM401" s="376" t="str">
        <f>CS_PID!AM401/VLOOKUP($B401,표2[#ALL],2)/HLOOKUP($A401,표1[#ALL],row(),false)</f>
        <v>#N/A</v>
      </c>
      <c r="AN401" s="376" t="str">
        <f>CS_PID!AN401/VLOOKUP($B401,표2[#ALL],2)/HLOOKUP($A401,표1[#ALL],row(),false)</f>
        <v>#N/A</v>
      </c>
      <c r="AO401" s="376" t="str">
        <f>CS_PID!AO401/VLOOKUP($B401,표2[#ALL],2)/HLOOKUP($A401,표1[#ALL],row(),false)</f>
        <v>#N/A</v>
      </c>
      <c r="AP401" s="376" t="str">
        <f>CS_PID!AP401/VLOOKUP($B401,표2[#ALL],2)/HLOOKUP($A401,표1[#ALL],row(),false)</f>
        <v>#N/A</v>
      </c>
      <c r="AQ401" s="376" t="str">
        <f>CS_PID!AQ401/VLOOKUP($B401,표2[#ALL],2)/HLOOKUP($A401,표1[#ALL],row(),false)</f>
        <v>#N/A</v>
      </c>
      <c r="AR401" s="376" t="str">
        <f>CS_PID!AR401/VLOOKUP($B401,표2[#ALL],2)/HLOOKUP($A401,표1[#ALL],row(),false)</f>
        <v>#N/A</v>
      </c>
      <c r="AS401" s="377" t="str">
        <f>CS_PID!AS401/VLOOKUP($B401,표2[#ALL],2)/HLOOKUP($A401,표1[#ALL],row(),false)</f>
        <v>#N/A</v>
      </c>
    </row>
    <row r="402">
      <c r="A402" s="370"/>
      <c r="B402" s="371"/>
      <c r="C402" s="372" t="str">
        <f>CS_PID!C402/VLOOKUP($B402,표2[#ALL],2)</f>
        <v>#N/A</v>
      </c>
      <c r="D402" s="372" t="str">
        <f>CS_PID!D402/VLOOKUP($B402,표2[#ALL],2)</f>
        <v>#N/A</v>
      </c>
      <c r="E402" s="372" t="str">
        <f>CS_PID!E402/VLOOKUP($B402,표2[#ALL],2)</f>
        <v>#N/A</v>
      </c>
      <c r="F402" s="372" t="str">
        <f>CS_PID!F402/VLOOKUP($B402,표2[#ALL],2)</f>
        <v>#N/A</v>
      </c>
      <c r="G402" s="372" t="str">
        <f>CS_PID!G402/VLOOKUP($B402,표2[#ALL],2)</f>
        <v>#N/A</v>
      </c>
      <c r="H402" s="372" t="str">
        <f>CS_PID!H402/VLOOKUP($B402,표2[#ALL],2)/HLOOKUP($A402,표1[#ALL],row(),false)</f>
        <v>#N/A</v>
      </c>
      <c r="I402" s="372" t="str">
        <f>CS_PID!I402/VLOOKUP($B402,표2[#ALL],2)/HLOOKUP($A402,표1[#ALL],row(),false)</f>
        <v>#N/A</v>
      </c>
      <c r="J402" s="372" t="str">
        <f>CS_PID!J402/VLOOKUP($B402,표2[#ALL],2)/HLOOKUP($A402,표1[#ALL],row(),false)</f>
        <v>#N/A</v>
      </c>
      <c r="K402" s="372" t="str">
        <f>CS_PID!K402/VLOOKUP($B402,표2[#ALL],2)/HLOOKUP($A402,표1[#ALL],row(),false)</f>
        <v>#N/A</v>
      </c>
      <c r="L402" s="372" t="str">
        <f>CS_PID!L402/VLOOKUP($B402,표2[#ALL],2)/HLOOKUP($A402,표1[#ALL],row(),false)</f>
        <v>#N/A</v>
      </c>
      <c r="M402" s="372" t="str">
        <f>CS_PID!M402/VLOOKUP($B402,표2[#ALL],2)/HLOOKUP($A402,표1[#ALL],row(),false)</f>
        <v>#N/A</v>
      </c>
      <c r="N402" s="372" t="str">
        <f>CS_PID!N402/VLOOKUP($B402,표2[#ALL],2)/HLOOKUP($A402,표1[#ALL],row(),false)</f>
        <v>#N/A</v>
      </c>
      <c r="O402" s="372" t="str">
        <f>CS_PID!O402/VLOOKUP($B402,표2[#ALL],2)/HLOOKUP($A402,표1[#ALL],row(),false)</f>
        <v>#N/A</v>
      </c>
      <c r="P402" s="372" t="str">
        <f>CS_PID!P402/VLOOKUP($B402,표2[#ALL],2)/HLOOKUP($A402,표1[#ALL],row(),false)</f>
        <v>#N/A</v>
      </c>
      <c r="Q402" s="372" t="str">
        <f>CS_PID!Q402/VLOOKUP($B402,표2[#ALL],2)/HLOOKUP($A402,표1[#ALL],row(),false)</f>
        <v>#N/A</v>
      </c>
      <c r="R402" s="372" t="str">
        <f>CS_PID!R402/VLOOKUP($B402,표2[#ALL],2)/HLOOKUP($A402,표1[#ALL],row(),false)</f>
        <v>#N/A</v>
      </c>
      <c r="S402" s="372" t="str">
        <f>CS_PID!S402/VLOOKUP($B402,표2[#ALL],2)/HLOOKUP($A402,표1[#ALL],row(),false)</f>
        <v>#N/A</v>
      </c>
      <c r="T402" s="372" t="str">
        <f>CS_PID!T402/VLOOKUP($B402,표2[#ALL],2)/HLOOKUP($A402,표1[#ALL],row(),false)</f>
        <v>#N/A</v>
      </c>
      <c r="U402" s="372" t="str">
        <f>CS_PID!U402/VLOOKUP($B402,표2[#ALL],2)/HLOOKUP($A402,표1[#ALL],row(),false)</f>
        <v>#N/A</v>
      </c>
      <c r="V402" s="372" t="str">
        <f>CS_PID!V402/VLOOKUP($B402,표2[#ALL],2)/HLOOKUP($A402,표1[#ALL],row(),false)</f>
        <v>#N/A</v>
      </c>
      <c r="W402" s="372" t="str">
        <f>CS_PID!W402/VLOOKUP($B402,표2[#ALL],2)/HLOOKUP($A402,표1[#ALL],row(),false)</f>
        <v>#N/A</v>
      </c>
      <c r="X402" s="372" t="str">
        <f>CS_PID!X402/VLOOKUP($B402,표2[#ALL],2)/HLOOKUP($A402,표1[#ALL],row(),false)</f>
        <v>#N/A</v>
      </c>
      <c r="Y402" s="372" t="str">
        <f>CS_PID!Y402/VLOOKUP($B402,표2[#ALL],2)/HLOOKUP($A402,표1[#ALL],row(),false)</f>
        <v>#N/A</v>
      </c>
      <c r="Z402" s="372" t="str">
        <f>CS_PID!Z402/VLOOKUP($B402,표2[#ALL],2)/HLOOKUP($A402,표1[#ALL],row(),false)</f>
        <v>#N/A</v>
      </c>
      <c r="AA402" s="372" t="str">
        <f>CS_PID!AA402/VLOOKUP($B402,표2[#ALL],2)/HLOOKUP($A402,표1[#ALL],row(),false)</f>
        <v>#N/A</v>
      </c>
      <c r="AB402" s="372" t="str">
        <f>CS_PID!AB402/VLOOKUP($B402,표2[#ALL],2)/HLOOKUP($A402,표1[#ALL],row(),false)</f>
        <v>#N/A</v>
      </c>
      <c r="AC402" s="372" t="str">
        <f>CS_PID!AC402/VLOOKUP($B402,표2[#ALL],2)/HLOOKUP($A402,표1[#ALL],row(),false)</f>
        <v>#N/A</v>
      </c>
      <c r="AD402" s="372" t="str">
        <f>CS_PID!AD402/VLOOKUP($B402,표2[#ALL],2)/HLOOKUP($A402,표1[#ALL],row(),false)</f>
        <v>#N/A</v>
      </c>
      <c r="AE402" s="372" t="str">
        <f>CS_PID!AE402/VLOOKUP($B402,표2[#ALL],2)/HLOOKUP($A402,표1[#ALL],row(),false)</f>
        <v>#N/A</v>
      </c>
      <c r="AF402" s="372" t="str">
        <f>CS_PID!AF402/VLOOKUP($B402,표2[#ALL],2)/HLOOKUP($A402,표1[#ALL],row(),false)</f>
        <v>#N/A</v>
      </c>
      <c r="AG402" s="372" t="str">
        <f>CS_PID!AG402/VLOOKUP($B402,표2[#ALL],2)/HLOOKUP($A402,표1[#ALL],row(),false)</f>
        <v>#N/A</v>
      </c>
      <c r="AH402" s="372" t="str">
        <f>CS_PID!AH402/VLOOKUP($B402,표2[#ALL],2)/HLOOKUP($A402,표1[#ALL],row(),false)</f>
        <v>#N/A</v>
      </c>
      <c r="AI402" s="372" t="str">
        <f>CS_PID!AI402/VLOOKUP($B402,표2[#ALL],2)/HLOOKUP($A402,표1[#ALL],row(),false)</f>
        <v>#N/A</v>
      </c>
      <c r="AJ402" s="372" t="str">
        <f>CS_PID!AJ402/VLOOKUP($B402,표2[#ALL],2)/HLOOKUP($A402,표1[#ALL],row(),false)</f>
        <v>#N/A</v>
      </c>
      <c r="AK402" s="372" t="str">
        <f>CS_PID!AK402/VLOOKUP($B402,표2[#ALL],2)/HLOOKUP($A402,표1[#ALL],row(),false)</f>
        <v>#N/A</v>
      </c>
      <c r="AL402" s="372" t="str">
        <f>CS_PID!AL402/VLOOKUP($B402,표2[#ALL],2)/HLOOKUP($A402,표1[#ALL],row(),false)</f>
        <v>#N/A</v>
      </c>
      <c r="AM402" s="372" t="str">
        <f>CS_PID!AM402/VLOOKUP($B402,표2[#ALL],2)/HLOOKUP($A402,표1[#ALL],row(),false)</f>
        <v>#N/A</v>
      </c>
      <c r="AN402" s="372" t="str">
        <f>CS_PID!AN402/VLOOKUP($B402,표2[#ALL],2)/HLOOKUP($A402,표1[#ALL],row(),false)</f>
        <v>#N/A</v>
      </c>
      <c r="AO402" s="372" t="str">
        <f>CS_PID!AO402/VLOOKUP($B402,표2[#ALL],2)/HLOOKUP($A402,표1[#ALL],row(),false)</f>
        <v>#N/A</v>
      </c>
      <c r="AP402" s="372" t="str">
        <f>CS_PID!AP402/VLOOKUP($B402,표2[#ALL],2)/HLOOKUP($A402,표1[#ALL],row(),false)</f>
        <v>#N/A</v>
      </c>
      <c r="AQ402" s="372" t="str">
        <f>CS_PID!AQ402/VLOOKUP($B402,표2[#ALL],2)/HLOOKUP($A402,표1[#ALL],row(),false)</f>
        <v>#N/A</v>
      </c>
      <c r="AR402" s="372" t="str">
        <f>CS_PID!AR402/VLOOKUP($B402,표2[#ALL],2)/HLOOKUP($A402,표1[#ALL],row(),false)</f>
        <v>#N/A</v>
      </c>
      <c r="AS402" s="373" t="str">
        <f>CS_PID!AS402/VLOOKUP($B402,표2[#ALL],2)/HLOOKUP($A402,표1[#ALL],row(),false)</f>
        <v>#N/A</v>
      </c>
    </row>
    <row r="403">
      <c r="A403" s="374"/>
      <c r="B403" s="375"/>
      <c r="C403" s="376" t="str">
        <f>CS_PID!C403/VLOOKUP($B403,표2[#ALL],2)</f>
        <v>#N/A</v>
      </c>
      <c r="D403" s="376" t="str">
        <f>CS_PID!D403/VLOOKUP($B403,표2[#ALL],2)</f>
        <v>#N/A</v>
      </c>
      <c r="E403" s="376" t="str">
        <f>CS_PID!E403/VLOOKUP($B403,표2[#ALL],2)</f>
        <v>#N/A</v>
      </c>
      <c r="F403" s="376" t="str">
        <f>CS_PID!F403/VLOOKUP($B403,표2[#ALL],2)</f>
        <v>#N/A</v>
      </c>
      <c r="G403" s="376" t="str">
        <f>CS_PID!G403/VLOOKUP($B403,표2[#ALL],2)</f>
        <v>#N/A</v>
      </c>
      <c r="H403" s="376" t="str">
        <f>CS_PID!H403/VLOOKUP($B403,표2[#ALL],2)/HLOOKUP($A403,표1[#ALL],row(),false)</f>
        <v>#N/A</v>
      </c>
      <c r="I403" s="376" t="str">
        <f>CS_PID!I403/VLOOKUP($B403,표2[#ALL],2)/HLOOKUP($A403,표1[#ALL],row(),false)</f>
        <v>#N/A</v>
      </c>
      <c r="J403" s="376" t="str">
        <f>CS_PID!J403/VLOOKUP($B403,표2[#ALL],2)/HLOOKUP($A403,표1[#ALL],row(),false)</f>
        <v>#N/A</v>
      </c>
      <c r="K403" s="376" t="str">
        <f>CS_PID!K403/VLOOKUP($B403,표2[#ALL],2)/HLOOKUP($A403,표1[#ALL],row(),false)</f>
        <v>#N/A</v>
      </c>
      <c r="L403" s="376" t="str">
        <f>CS_PID!L403/VLOOKUP($B403,표2[#ALL],2)/HLOOKUP($A403,표1[#ALL],row(),false)</f>
        <v>#N/A</v>
      </c>
      <c r="M403" s="376" t="str">
        <f>CS_PID!M403/VLOOKUP($B403,표2[#ALL],2)/HLOOKUP($A403,표1[#ALL],row(),false)</f>
        <v>#N/A</v>
      </c>
      <c r="N403" s="376" t="str">
        <f>CS_PID!N403/VLOOKUP($B403,표2[#ALL],2)/HLOOKUP($A403,표1[#ALL],row(),false)</f>
        <v>#N/A</v>
      </c>
      <c r="O403" s="376" t="str">
        <f>CS_PID!O403/VLOOKUP($B403,표2[#ALL],2)/HLOOKUP($A403,표1[#ALL],row(),false)</f>
        <v>#N/A</v>
      </c>
      <c r="P403" s="376" t="str">
        <f>CS_PID!P403/VLOOKUP($B403,표2[#ALL],2)/HLOOKUP($A403,표1[#ALL],row(),false)</f>
        <v>#N/A</v>
      </c>
      <c r="Q403" s="376" t="str">
        <f>CS_PID!Q403/VLOOKUP($B403,표2[#ALL],2)/HLOOKUP($A403,표1[#ALL],row(),false)</f>
        <v>#N/A</v>
      </c>
      <c r="R403" s="376" t="str">
        <f>CS_PID!R403/VLOOKUP($B403,표2[#ALL],2)/HLOOKUP($A403,표1[#ALL],row(),false)</f>
        <v>#N/A</v>
      </c>
      <c r="S403" s="376" t="str">
        <f>CS_PID!S403/VLOOKUP($B403,표2[#ALL],2)/HLOOKUP($A403,표1[#ALL],row(),false)</f>
        <v>#N/A</v>
      </c>
      <c r="T403" s="376" t="str">
        <f>CS_PID!T403/VLOOKUP($B403,표2[#ALL],2)/HLOOKUP($A403,표1[#ALL],row(),false)</f>
        <v>#N/A</v>
      </c>
      <c r="U403" s="376" t="str">
        <f>CS_PID!U403/VLOOKUP($B403,표2[#ALL],2)/HLOOKUP($A403,표1[#ALL],row(),false)</f>
        <v>#N/A</v>
      </c>
      <c r="V403" s="376" t="str">
        <f>CS_PID!V403/VLOOKUP($B403,표2[#ALL],2)/HLOOKUP($A403,표1[#ALL],row(),false)</f>
        <v>#N/A</v>
      </c>
      <c r="W403" s="376" t="str">
        <f>CS_PID!W403/VLOOKUP($B403,표2[#ALL],2)/HLOOKUP($A403,표1[#ALL],row(),false)</f>
        <v>#N/A</v>
      </c>
      <c r="X403" s="376" t="str">
        <f>CS_PID!X403/VLOOKUP($B403,표2[#ALL],2)/HLOOKUP($A403,표1[#ALL],row(),false)</f>
        <v>#N/A</v>
      </c>
      <c r="Y403" s="376" t="str">
        <f>CS_PID!Y403/VLOOKUP($B403,표2[#ALL],2)/HLOOKUP($A403,표1[#ALL],row(),false)</f>
        <v>#N/A</v>
      </c>
      <c r="Z403" s="376" t="str">
        <f>CS_PID!Z403/VLOOKUP($B403,표2[#ALL],2)/HLOOKUP($A403,표1[#ALL],row(),false)</f>
        <v>#N/A</v>
      </c>
      <c r="AA403" s="376" t="str">
        <f>CS_PID!AA403/VLOOKUP($B403,표2[#ALL],2)/HLOOKUP($A403,표1[#ALL],row(),false)</f>
        <v>#N/A</v>
      </c>
      <c r="AB403" s="376" t="str">
        <f>CS_PID!AB403/VLOOKUP($B403,표2[#ALL],2)/HLOOKUP($A403,표1[#ALL],row(),false)</f>
        <v>#N/A</v>
      </c>
      <c r="AC403" s="376" t="str">
        <f>CS_PID!AC403/VLOOKUP($B403,표2[#ALL],2)/HLOOKUP($A403,표1[#ALL],row(),false)</f>
        <v>#N/A</v>
      </c>
      <c r="AD403" s="376" t="str">
        <f>CS_PID!AD403/VLOOKUP($B403,표2[#ALL],2)/HLOOKUP($A403,표1[#ALL],row(),false)</f>
        <v>#N/A</v>
      </c>
      <c r="AE403" s="376" t="str">
        <f>CS_PID!AE403/VLOOKUP($B403,표2[#ALL],2)/HLOOKUP($A403,표1[#ALL],row(),false)</f>
        <v>#N/A</v>
      </c>
      <c r="AF403" s="376" t="str">
        <f>CS_PID!AF403/VLOOKUP($B403,표2[#ALL],2)/HLOOKUP($A403,표1[#ALL],row(),false)</f>
        <v>#N/A</v>
      </c>
      <c r="AG403" s="376" t="str">
        <f>CS_PID!AG403/VLOOKUP($B403,표2[#ALL],2)/HLOOKUP($A403,표1[#ALL],row(),false)</f>
        <v>#N/A</v>
      </c>
      <c r="AH403" s="376" t="str">
        <f>CS_PID!AH403/VLOOKUP($B403,표2[#ALL],2)/HLOOKUP($A403,표1[#ALL],row(),false)</f>
        <v>#N/A</v>
      </c>
      <c r="AI403" s="376" t="str">
        <f>CS_PID!AI403/VLOOKUP($B403,표2[#ALL],2)/HLOOKUP($A403,표1[#ALL],row(),false)</f>
        <v>#N/A</v>
      </c>
      <c r="AJ403" s="376" t="str">
        <f>CS_PID!AJ403/VLOOKUP($B403,표2[#ALL],2)/HLOOKUP($A403,표1[#ALL],row(),false)</f>
        <v>#N/A</v>
      </c>
      <c r="AK403" s="376" t="str">
        <f>CS_PID!AK403/VLOOKUP($B403,표2[#ALL],2)/HLOOKUP($A403,표1[#ALL],row(),false)</f>
        <v>#N/A</v>
      </c>
      <c r="AL403" s="376" t="str">
        <f>CS_PID!AL403/VLOOKUP($B403,표2[#ALL],2)/HLOOKUP($A403,표1[#ALL],row(),false)</f>
        <v>#N/A</v>
      </c>
      <c r="AM403" s="376" t="str">
        <f>CS_PID!AM403/VLOOKUP($B403,표2[#ALL],2)/HLOOKUP($A403,표1[#ALL],row(),false)</f>
        <v>#N/A</v>
      </c>
      <c r="AN403" s="376" t="str">
        <f>CS_PID!AN403/VLOOKUP($B403,표2[#ALL],2)/HLOOKUP($A403,표1[#ALL],row(),false)</f>
        <v>#N/A</v>
      </c>
      <c r="AO403" s="376" t="str">
        <f>CS_PID!AO403/VLOOKUP($B403,표2[#ALL],2)/HLOOKUP($A403,표1[#ALL],row(),false)</f>
        <v>#N/A</v>
      </c>
      <c r="AP403" s="376" t="str">
        <f>CS_PID!AP403/VLOOKUP($B403,표2[#ALL],2)/HLOOKUP($A403,표1[#ALL],row(),false)</f>
        <v>#N/A</v>
      </c>
      <c r="AQ403" s="376" t="str">
        <f>CS_PID!AQ403/VLOOKUP($B403,표2[#ALL],2)/HLOOKUP($A403,표1[#ALL],row(),false)</f>
        <v>#N/A</v>
      </c>
      <c r="AR403" s="376" t="str">
        <f>CS_PID!AR403/VLOOKUP($B403,표2[#ALL],2)/HLOOKUP($A403,표1[#ALL],row(),false)</f>
        <v>#N/A</v>
      </c>
      <c r="AS403" s="377" t="str">
        <f>CS_PID!AS403/VLOOKUP($B403,표2[#ALL],2)/HLOOKUP($A403,표1[#ALL],row(),false)</f>
        <v>#N/A</v>
      </c>
    </row>
    <row r="404">
      <c r="A404" s="370"/>
      <c r="B404" s="371"/>
      <c r="C404" s="372" t="str">
        <f>CS_PID!C404/VLOOKUP($B404,표2[#ALL],2)</f>
        <v>#N/A</v>
      </c>
      <c r="D404" s="372" t="str">
        <f>CS_PID!D404/VLOOKUP($B404,표2[#ALL],2)</f>
        <v>#N/A</v>
      </c>
      <c r="E404" s="372" t="str">
        <f>CS_PID!E404/VLOOKUP($B404,표2[#ALL],2)</f>
        <v>#N/A</v>
      </c>
      <c r="F404" s="372" t="str">
        <f>CS_PID!F404/VLOOKUP($B404,표2[#ALL],2)</f>
        <v>#N/A</v>
      </c>
      <c r="G404" s="372" t="str">
        <f>CS_PID!G404/VLOOKUP($B404,표2[#ALL],2)</f>
        <v>#N/A</v>
      </c>
      <c r="H404" s="372" t="str">
        <f>CS_PID!H404/VLOOKUP($B404,표2[#ALL],2)/HLOOKUP($A404,표1[#ALL],row(),false)</f>
        <v>#N/A</v>
      </c>
      <c r="I404" s="372" t="str">
        <f>CS_PID!I404/VLOOKUP($B404,표2[#ALL],2)/HLOOKUP($A404,표1[#ALL],row(),false)</f>
        <v>#N/A</v>
      </c>
      <c r="J404" s="372" t="str">
        <f>CS_PID!J404/VLOOKUP($B404,표2[#ALL],2)/HLOOKUP($A404,표1[#ALL],row(),false)</f>
        <v>#N/A</v>
      </c>
      <c r="K404" s="372" t="str">
        <f>CS_PID!K404/VLOOKUP($B404,표2[#ALL],2)/HLOOKUP($A404,표1[#ALL],row(),false)</f>
        <v>#N/A</v>
      </c>
      <c r="L404" s="372" t="str">
        <f>CS_PID!L404/VLOOKUP($B404,표2[#ALL],2)/HLOOKUP($A404,표1[#ALL],row(),false)</f>
        <v>#N/A</v>
      </c>
      <c r="M404" s="372" t="str">
        <f>CS_PID!M404/VLOOKUP($B404,표2[#ALL],2)/HLOOKUP($A404,표1[#ALL],row(),false)</f>
        <v>#N/A</v>
      </c>
      <c r="N404" s="372" t="str">
        <f>CS_PID!N404/VLOOKUP($B404,표2[#ALL],2)/HLOOKUP($A404,표1[#ALL],row(),false)</f>
        <v>#N/A</v>
      </c>
      <c r="O404" s="372" t="str">
        <f>CS_PID!O404/VLOOKUP($B404,표2[#ALL],2)/HLOOKUP($A404,표1[#ALL],row(),false)</f>
        <v>#N/A</v>
      </c>
      <c r="P404" s="372" t="str">
        <f>CS_PID!P404/VLOOKUP($B404,표2[#ALL],2)/HLOOKUP($A404,표1[#ALL],row(),false)</f>
        <v>#N/A</v>
      </c>
      <c r="Q404" s="372" t="str">
        <f>CS_PID!Q404/VLOOKUP($B404,표2[#ALL],2)/HLOOKUP($A404,표1[#ALL],row(),false)</f>
        <v>#N/A</v>
      </c>
      <c r="R404" s="372" t="str">
        <f>CS_PID!R404/VLOOKUP($B404,표2[#ALL],2)/HLOOKUP($A404,표1[#ALL],row(),false)</f>
        <v>#N/A</v>
      </c>
      <c r="S404" s="372" t="str">
        <f>CS_PID!S404/VLOOKUP($B404,표2[#ALL],2)/HLOOKUP($A404,표1[#ALL],row(),false)</f>
        <v>#N/A</v>
      </c>
      <c r="T404" s="372" t="str">
        <f>CS_PID!T404/VLOOKUP($B404,표2[#ALL],2)/HLOOKUP($A404,표1[#ALL],row(),false)</f>
        <v>#N/A</v>
      </c>
      <c r="U404" s="372" t="str">
        <f>CS_PID!U404/VLOOKUP($B404,표2[#ALL],2)/HLOOKUP($A404,표1[#ALL],row(),false)</f>
        <v>#N/A</v>
      </c>
      <c r="V404" s="372" t="str">
        <f>CS_PID!V404/VLOOKUP($B404,표2[#ALL],2)/HLOOKUP($A404,표1[#ALL],row(),false)</f>
        <v>#N/A</v>
      </c>
      <c r="W404" s="372" t="str">
        <f>CS_PID!W404/VLOOKUP($B404,표2[#ALL],2)/HLOOKUP($A404,표1[#ALL],row(),false)</f>
        <v>#N/A</v>
      </c>
      <c r="X404" s="372" t="str">
        <f>CS_PID!X404/VLOOKUP($B404,표2[#ALL],2)/HLOOKUP($A404,표1[#ALL],row(),false)</f>
        <v>#N/A</v>
      </c>
      <c r="Y404" s="372" t="str">
        <f>CS_PID!Y404/VLOOKUP($B404,표2[#ALL],2)/HLOOKUP($A404,표1[#ALL],row(),false)</f>
        <v>#N/A</v>
      </c>
      <c r="Z404" s="372" t="str">
        <f>CS_PID!Z404/VLOOKUP($B404,표2[#ALL],2)/HLOOKUP($A404,표1[#ALL],row(),false)</f>
        <v>#N/A</v>
      </c>
      <c r="AA404" s="372" t="str">
        <f>CS_PID!AA404/VLOOKUP($B404,표2[#ALL],2)/HLOOKUP($A404,표1[#ALL],row(),false)</f>
        <v>#N/A</v>
      </c>
      <c r="AB404" s="372" t="str">
        <f>CS_PID!AB404/VLOOKUP($B404,표2[#ALL],2)/HLOOKUP($A404,표1[#ALL],row(),false)</f>
        <v>#N/A</v>
      </c>
      <c r="AC404" s="372" t="str">
        <f>CS_PID!AC404/VLOOKUP($B404,표2[#ALL],2)/HLOOKUP($A404,표1[#ALL],row(),false)</f>
        <v>#N/A</v>
      </c>
      <c r="AD404" s="372" t="str">
        <f>CS_PID!AD404/VLOOKUP($B404,표2[#ALL],2)/HLOOKUP($A404,표1[#ALL],row(),false)</f>
        <v>#N/A</v>
      </c>
      <c r="AE404" s="372" t="str">
        <f>CS_PID!AE404/VLOOKUP($B404,표2[#ALL],2)/HLOOKUP($A404,표1[#ALL],row(),false)</f>
        <v>#N/A</v>
      </c>
      <c r="AF404" s="372" t="str">
        <f>CS_PID!AF404/VLOOKUP($B404,표2[#ALL],2)/HLOOKUP($A404,표1[#ALL],row(),false)</f>
        <v>#N/A</v>
      </c>
      <c r="AG404" s="372" t="str">
        <f>CS_PID!AG404/VLOOKUP($B404,표2[#ALL],2)/HLOOKUP($A404,표1[#ALL],row(),false)</f>
        <v>#N/A</v>
      </c>
      <c r="AH404" s="372" t="str">
        <f>CS_PID!AH404/VLOOKUP($B404,표2[#ALL],2)/HLOOKUP($A404,표1[#ALL],row(),false)</f>
        <v>#N/A</v>
      </c>
      <c r="AI404" s="372" t="str">
        <f>CS_PID!AI404/VLOOKUP($B404,표2[#ALL],2)/HLOOKUP($A404,표1[#ALL],row(),false)</f>
        <v>#N/A</v>
      </c>
      <c r="AJ404" s="372" t="str">
        <f>CS_PID!AJ404/VLOOKUP($B404,표2[#ALL],2)/HLOOKUP($A404,표1[#ALL],row(),false)</f>
        <v>#N/A</v>
      </c>
      <c r="AK404" s="372" t="str">
        <f>CS_PID!AK404/VLOOKUP($B404,표2[#ALL],2)/HLOOKUP($A404,표1[#ALL],row(),false)</f>
        <v>#N/A</v>
      </c>
      <c r="AL404" s="372" t="str">
        <f>CS_PID!AL404/VLOOKUP($B404,표2[#ALL],2)/HLOOKUP($A404,표1[#ALL],row(),false)</f>
        <v>#N/A</v>
      </c>
      <c r="AM404" s="372" t="str">
        <f>CS_PID!AM404/VLOOKUP($B404,표2[#ALL],2)/HLOOKUP($A404,표1[#ALL],row(),false)</f>
        <v>#N/A</v>
      </c>
      <c r="AN404" s="372" t="str">
        <f>CS_PID!AN404/VLOOKUP($B404,표2[#ALL],2)/HLOOKUP($A404,표1[#ALL],row(),false)</f>
        <v>#N/A</v>
      </c>
      <c r="AO404" s="372" t="str">
        <f>CS_PID!AO404/VLOOKUP($B404,표2[#ALL],2)/HLOOKUP($A404,표1[#ALL],row(),false)</f>
        <v>#N/A</v>
      </c>
      <c r="AP404" s="372" t="str">
        <f>CS_PID!AP404/VLOOKUP($B404,표2[#ALL],2)/HLOOKUP($A404,표1[#ALL],row(),false)</f>
        <v>#N/A</v>
      </c>
      <c r="AQ404" s="372" t="str">
        <f>CS_PID!AQ404/VLOOKUP($B404,표2[#ALL],2)/HLOOKUP($A404,표1[#ALL],row(),false)</f>
        <v>#N/A</v>
      </c>
      <c r="AR404" s="372" t="str">
        <f>CS_PID!AR404/VLOOKUP($B404,표2[#ALL],2)/HLOOKUP($A404,표1[#ALL],row(),false)</f>
        <v>#N/A</v>
      </c>
      <c r="AS404" s="373" t="str">
        <f>CS_PID!AS404/VLOOKUP($B404,표2[#ALL],2)/HLOOKUP($A404,표1[#ALL],row(),false)</f>
        <v>#N/A</v>
      </c>
    </row>
    <row r="405">
      <c r="A405" s="374"/>
      <c r="B405" s="375"/>
      <c r="C405" s="376" t="str">
        <f>CS_PID!C405/VLOOKUP($B405,표2[#ALL],2)</f>
        <v>#N/A</v>
      </c>
      <c r="D405" s="376" t="str">
        <f>CS_PID!D405/VLOOKUP($B405,표2[#ALL],2)</f>
        <v>#N/A</v>
      </c>
      <c r="E405" s="376" t="str">
        <f>CS_PID!E405/VLOOKUP($B405,표2[#ALL],2)</f>
        <v>#N/A</v>
      </c>
      <c r="F405" s="376" t="str">
        <f>CS_PID!F405/VLOOKUP($B405,표2[#ALL],2)</f>
        <v>#N/A</v>
      </c>
      <c r="G405" s="376" t="str">
        <f>CS_PID!G405/VLOOKUP($B405,표2[#ALL],2)</f>
        <v>#N/A</v>
      </c>
      <c r="H405" s="376" t="str">
        <f>CS_PID!H405/VLOOKUP($B405,표2[#ALL],2)/HLOOKUP($A405,표1[#ALL],row(),false)</f>
        <v>#N/A</v>
      </c>
      <c r="I405" s="376" t="str">
        <f>CS_PID!I405/VLOOKUP($B405,표2[#ALL],2)/HLOOKUP($A405,표1[#ALL],row(),false)</f>
        <v>#N/A</v>
      </c>
      <c r="J405" s="376" t="str">
        <f>CS_PID!J405/VLOOKUP($B405,표2[#ALL],2)/HLOOKUP($A405,표1[#ALL],row(),false)</f>
        <v>#N/A</v>
      </c>
      <c r="K405" s="376" t="str">
        <f>CS_PID!K405/VLOOKUP($B405,표2[#ALL],2)/HLOOKUP($A405,표1[#ALL],row(),false)</f>
        <v>#N/A</v>
      </c>
      <c r="L405" s="376" t="str">
        <f>CS_PID!L405/VLOOKUP($B405,표2[#ALL],2)/HLOOKUP($A405,표1[#ALL],row(),false)</f>
        <v>#N/A</v>
      </c>
      <c r="M405" s="376" t="str">
        <f>CS_PID!M405/VLOOKUP($B405,표2[#ALL],2)/HLOOKUP($A405,표1[#ALL],row(),false)</f>
        <v>#N/A</v>
      </c>
      <c r="N405" s="376" t="str">
        <f>CS_PID!N405/VLOOKUP($B405,표2[#ALL],2)/HLOOKUP($A405,표1[#ALL],row(),false)</f>
        <v>#N/A</v>
      </c>
      <c r="O405" s="376" t="str">
        <f>CS_PID!O405/VLOOKUP($B405,표2[#ALL],2)/HLOOKUP($A405,표1[#ALL],row(),false)</f>
        <v>#N/A</v>
      </c>
      <c r="P405" s="376" t="str">
        <f>CS_PID!P405/VLOOKUP($B405,표2[#ALL],2)/HLOOKUP($A405,표1[#ALL],row(),false)</f>
        <v>#N/A</v>
      </c>
      <c r="Q405" s="376" t="str">
        <f>CS_PID!Q405/VLOOKUP($B405,표2[#ALL],2)/HLOOKUP($A405,표1[#ALL],row(),false)</f>
        <v>#N/A</v>
      </c>
      <c r="R405" s="376" t="str">
        <f>CS_PID!R405/VLOOKUP($B405,표2[#ALL],2)/HLOOKUP($A405,표1[#ALL],row(),false)</f>
        <v>#N/A</v>
      </c>
      <c r="S405" s="376" t="str">
        <f>CS_PID!S405/VLOOKUP($B405,표2[#ALL],2)/HLOOKUP($A405,표1[#ALL],row(),false)</f>
        <v>#N/A</v>
      </c>
      <c r="T405" s="376" t="str">
        <f>CS_PID!T405/VLOOKUP($B405,표2[#ALL],2)/HLOOKUP($A405,표1[#ALL],row(),false)</f>
        <v>#N/A</v>
      </c>
      <c r="U405" s="376" t="str">
        <f>CS_PID!U405/VLOOKUP($B405,표2[#ALL],2)/HLOOKUP($A405,표1[#ALL],row(),false)</f>
        <v>#N/A</v>
      </c>
      <c r="V405" s="376" t="str">
        <f>CS_PID!V405/VLOOKUP($B405,표2[#ALL],2)/HLOOKUP($A405,표1[#ALL],row(),false)</f>
        <v>#N/A</v>
      </c>
      <c r="W405" s="376" t="str">
        <f>CS_PID!W405/VLOOKUP($B405,표2[#ALL],2)/HLOOKUP($A405,표1[#ALL],row(),false)</f>
        <v>#N/A</v>
      </c>
      <c r="X405" s="376" t="str">
        <f>CS_PID!X405/VLOOKUP($B405,표2[#ALL],2)/HLOOKUP($A405,표1[#ALL],row(),false)</f>
        <v>#N/A</v>
      </c>
      <c r="Y405" s="376" t="str">
        <f>CS_PID!Y405/VLOOKUP($B405,표2[#ALL],2)/HLOOKUP($A405,표1[#ALL],row(),false)</f>
        <v>#N/A</v>
      </c>
      <c r="Z405" s="376" t="str">
        <f>CS_PID!Z405/VLOOKUP($B405,표2[#ALL],2)/HLOOKUP($A405,표1[#ALL],row(),false)</f>
        <v>#N/A</v>
      </c>
      <c r="AA405" s="376" t="str">
        <f>CS_PID!AA405/VLOOKUP($B405,표2[#ALL],2)/HLOOKUP($A405,표1[#ALL],row(),false)</f>
        <v>#N/A</v>
      </c>
      <c r="AB405" s="376" t="str">
        <f>CS_PID!AB405/VLOOKUP($B405,표2[#ALL],2)/HLOOKUP($A405,표1[#ALL],row(),false)</f>
        <v>#N/A</v>
      </c>
      <c r="AC405" s="376" t="str">
        <f>CS_PID!AC405/VLOOKUP($B405,표2[#ALL],2)/HLOOKUP($A405,표1[#ALL],row(),false)</f>
        <v>#N/A</v>
      </c>
      <c r="AD405" s="376" t="str">
        <f>CS_PID!AD405/VLOOKUP($B405,표2[#ALL],2)/HLOOKUP($A405,표1[#ALL],row(),false)</f>
        <v>#N/A</v>
      </c>
      <c r="AE405" s="376" t="str">
        <f>CS_PID!AE405/VLOOKUP($B405,표2[#ALL],2)/HLOOKUP($A405,표1[#ALL],row(),false)</f>
        <v>#N/A</v>
      </c>
      <c r="AF405" s="376" t="str">
        <f>CS_PID!AF405/VLOOKUP($B405,표2[#ALL],2)/HLOOKUP($A405,표1[#ALL],row(),false)</f>
        <v>#N/A</v>
      </c>
      <c r="AG405" s="376" t="str">
        <f>CS_PID!AG405/VLOOKUP($B405,표2[#ALL],2)/HLOOKUP($A405,표1[#ALL],row(),false)</f>
        <v>#N/A</v>
      </c>
      <c r="AH405" s="376" t="str">
        <f>CS_PID!AH405/VLOOKUP($B405,표2[#ALL],2)/HLOOKUP($A405,표1[#ALL],row(),false)</f>
        <v>#N/A</v>
      </c>
      <c r="AI405" s="376" t="str">
        <f>CS_PID!AI405/VLOOKUP($B405,표2[#ALL],2)/HLOOKUP($A405,표1[#ALL],row(),false)</f>
        <v>#N/A</v>
      </c>
      <c r="AJ405" s="376" t="str">
        <f>CS_PID!AJ405/VLOOKUP($B405,표2[#ALL],2)/HLOOKUP($A405,표1[#ALL],row(),false)</f>
        <v>#N/A</v>
      </c>
      <c r="AK405" s="376" t="str">
        <f>CS_PID!AK405/VLOOKUP($B405,표2[#ALL],2)/HLOOKUP($A405,표1[#ALL],row(),false)</f>
        <v>#N/A</v>
      </c>
      <c r="AL405" s="376" t="str">
        <f>CS_PID!AL405/VLOOKUP($B405,표2[#ALL],2)/HLOOKUP($A405,표1[#ALL],row(),false)</f>
        <v>#N/A</v>
      </c>
      <c r="AM405" s="376" t="str">
        <f>CS_PID!AM405/VLOOKUP($B405,표2[#ALL],2)/HLOOKUP($A405,표1[#ALL],row(),false)</f>
        <v>#N/A</v>
      </c>
      <c r="AN405" s="376" t="str">
        <f>CS_PID!AN405/VLOOKUP($B405,표2[#ALL],2)/HLOOKUP($A405,표1[#ALL],row(),false)</f>
        <v>#N/A</v>
      </c>
      <c r="AO405" s="376" t="str">
        <f>CS_PID!AO405/VLOOKUP($B405,표2[#ALL],2)/HLOOKUP($A405,표1[#ALL],row(),false)</f>
        <v>#N/A</v>
      </c>
      <c r="AP405" s="376" t="str">
        <f>CS_PID!AP405/VLOOKUP($B405,표2[#ALL],2)/HLOOKUP($A405,표1[#ALL],row(),false)</f>
        <v>#N/A</v>
      </c>
      <c r="AQ405" s="376" t="str">
        <f>CS_PID!AQ405/VLOOKUP($B405,표2[#ALL],2)/HLOOKUP($A405,표1[#ALL],row(),false)</f>
        <v>#N/A</v>
      </c>
      <c r="AR405" s="376" t="str">
        <f>CS_PID!AR405/VLOOKUP($B405,표2[#ALL],2)/HLOOKUP($A405,표1[#ALL],row(),false)</f>
        <v>#N/A</v>
      </c>
      <c r="AS405" s="377" t="str">
        <f>CS_PID!AS405/VLOOKUP($B405,표2[#ALL],2)/HLOOKUP($A405,표1[#ALL],row(),false)</f>
        <v>#N/A</v>
      </c>
    </row>
    <row r="406">
      <c r="A406" s="370"/>
      <c r="B406" s="371"/>
      <c r="C406" s="372" t="str">
        <f>CS_PID!C406/VLOOKUP($B406,표2[#ALL],2)</f>
        <v>#N/A</v>
      </c>
      <c r="D406" s="372" t="str">
        <f>CS_PID!D406/VLOOKUP($B406,표2[#ALL],2)</f>
        <v>#N/A</v>
      </c>
      <c r="E406" s="372" t="str">
        <f>CS_PID!E406/VLOOKUP($B406,표2[#ALL],2)</f>
        <v>#N/A</v>
      </c>
      <c r="F406" s="372" t="str">
        <f>CS_PID!F406/VLOOKUP($B406,표2[#ALL],2)</f>
        <v>#N/A</v>
      </c>
      <c r="G406" s="372" t="str">
        <f>CS_PID!G406/VLOOKUP($B406,표2[#ALL],2)</f>
        <v>#N/A</v>
      </c>
      <c r="H406" s="372" t="str">
        <f>CS_PID!H406/VLOOKUP($B406,표2[#ALL],2)/HLOOKUP($A406,표1[#ALL],row(),false)</f>
        <v>#N/A</v>
      </c>
      <c r="I406" s="372" t="str">
        <f>CS_PID!I406/VLOOKUP($B406,표2[#ALL],2)/HLOOKUP($A406,표1[#ALL],row(),false)</f>
        <v>#N/A</v>
      </c>
      <c r="J406" s="372" t="str">
        <f>CS_PID!J406/VLOOKUP($B406,표2[#ALL],2)/HLOOKUP($A406,표1[#ALL],row(),false)</f>
        <v>#N/A</v>
      </c>
      <c r="K406" s="372" t="str">
        <f>CS_PID!K406/VLOOKUP($B406,표2[#ALL],2)/HLOOKUP($A406,표1[#ALL],row(),false)</f>
        <v>#N/A</v>
      </c>
      <c r="L406" s="372" t="str">
        <f>CS_PID!L406/VLOOKUP($B406,표2[#ALL],2)/HLOOKUP($A406,표1[#ALL],row(),false)</f>
        <v>#N/A</v>
      </c>
      <c r="M406" s="372" t="str">
        <f>CS_PID!M406/VLOOKUP($B406,표2[#ALL],2)/HLOOKUP($A406,표1[#ALL],row(),false)</f>
        <v>#N/A</v>
      </c>
      <c r="N406" s="372" t="str">
        <f>CS_PID!N406/VLOOKUP($B406,표2[#ALL],2)/HLOOKUP($A406,표1[#ALL],row(),false)</f>
        <v>#N/A</v>
      </c>
      <c r="O406" s="372" t="str">
        <f>CS_PID!O406/VLOOKUP($B406,표2[#ALL],2)/HLOOKUP($A406,표1[#ALL],row(),false)</f>
        <v>#N/A</v>
      </c>
      <c r="P406" s="372" t="str">
        <f>CS_PID!P406/VLOOKUP($B406,표2[#ALL],2)/HLOOKUP($A406,표1[#ALL],row(),false)</f>
        <v>#N/A</v>
      </c>
      <c r="Q406" s="372" t="str">
        <f>CS_PID!Q406/VLOOKUP($B406,표2[#ALL],2)/HLOOKUP($A406,표1[#ALL],row(),false)</f>
        <v>#N/A</v>
      </c>
      <c r="R406" s="372" t="str">
        <f>CS_PID!R406/VLOOKUP($B406,표2[#ALL],2)/HLOOKUP($A406,표1[#ALL],row(),false)</f>
        <v>#N/A</v>
      </c>
      <c r="S406" s="372" t="str">
        <f>CS_PID!S406/VLOOKUP($B406,표2[#ALL],2)/HLOOKUP($A406,표1[#ALL],row(),false)</f>
        <v>#N/A</v>
      </c>
      <c r="T406" s="372" t="str">
        <f>CS_PID!T406/VLOOKUP($B406,표2[#ALL],2)/HLOOKUP($A406,표1[#ALL],row(),false)</f>
        <v>#N/A</v>
      </c>
      <c r="U406" s="372" t="str">
        <f>CS_PID!U406/VLOOKUP($B406,표2[#ALL],2)/HLOOKUP($A406,표1[#ALL],row(),false)</f>
        <v>#N/A</v>
      </c>
      <c r="V406" s="372" t="str">
        <f>CS_PID!V406/VLOOKUP($B406,표2[#ALL],2)/HLOOKUP($A406,표1[#ALL],row(),false)</f>
        <v>#N/A</v>
      </c>
      <c r="W406" s="372" t="str">
        <f>CS_PID!W406/VLOOKUP($B406,표2[#ALL],2)/HLOOKUP($A406,표1[#ALL],row(),false)</f>
        <v>#N/A</v>
      </c>
      <c r="X406" s="372" t="str">
        <f>CS_PID!X406/VLOOKUP($B406,표2[#ALL],2)/HLOOKUP($A406,표1[#ALL],row(),false)</f>
        <v>#N/A</v>
      </c>
      <c r="Y406" s="372" t="str">
        <f>CS_PID!Y406/VLOOKUP($B406,표2[#ALL],2)/HLOOKUP($A406,표1[#ALL],row(),false)</f>
        <v>#N/A</v>
      </c>
      <c r="Z406" s="372" t="str">
        <f>CS_PID!Z406/VLOOKUP($B406,표2[#ALL],2)/HLOOKUP($A406,표1[#ALL],row(),false)</f>
        <v>#N/A</v>
      </c>
      <c r="AA406" s="372" t="str">
        <f>CS_PID!AA406/VLOOKUP($B406,표2[#ALL],2)/HLOOKUP($A406,표1[#ALL],row(),false)</f>
        <v>#N/A</v>
      </c>
      <c r="AB406" s="372" t="str">
        <f>CS_PID!AB406/VLOOKUP($B406,표2[#ALL],2)/HLOOKUP($A406,표1[#ALL],row(),false)</f>
        <v>#N/A</v>
      </c>
      <c r="AC406" s="372" t="str">
        <f>CS_PID!AC406/VLOOKUP($B406,표2[#ALL],2)/HLOOKUP($A406,표1[#ALL],row(),false)</f>
        <v>#N/A</v>
      </c>
      <c r="AD406" s="372" t="str">
        <f>CS_PID!AD406/VLOOKUP($B406,표2[#ALL],2)/HLOOKUP($A406,표1[#ALL],row(),false)</f>
        <v>#N/A</v>
      </c>
      <c r="AE406" s="372" t="str">
        <f>CS_PID!AE406/VLOOKUP($B406,표2[#ALL],2)/HLOOKUP($A406,표1[#ALL],row(),false)</f>
        <v>#N/A</v>
      </c>
      <c r="AF406" s="372" t="str">
        <f>CS_PID!AF406/VLOOKUP($B406,표2[#ALL],2)/HLOOKUP($A406,표1[#ALL],row(),false)</f>
        <v>#N/A</v>
      </c>
      <c r="AG406" s="372" t="str">
        <f>CS_PID!AG406/VLOOKUP($B406,표2[#ALL],2)/HLOOKUP($A406,표1[#ALL],row(),false)</f>
        <v>#N/A</v>
      </c>
      <c r="AH406" s="372" t="str">
        <f>CS_PID!AH406/VLOOKUP($B406,표2[#ALL],2)/HLOOKUP($A406,표1[#ALL],row(),false)</f>
        <v>#N/A</v>
      </c>
      <c r="AI406" s="372" t="str">
        <f>CS_PID!AI406/VLOOKUP($B406,표2[#ALL],2)/HLOOKUP($A406,표1[#ALL],row(),false)</f>
        <v>#N/A</v>
      </c>
      <c r="AJ406" s="372" t="str">
        <f>CS_PID!AJ406/VLOOKUP($B406,표2[#ALL],2)/HLOOKUP($A406,표1[#ALL],row(),false)</f>
        <v>#N/A</v>
      </c>
      <c r="AK406" s="372" t="str">
        <f>CS_PID!AK406/VLOOKUP($B406,표2[#ALL],2)/HLOOKUP($A406,표1[#ALL],row(),false)</f>
        <v>#N/A</v>
      </c>
      <c r="AL406" s="372" t="str">
        <f>CS_PID!AL406/VLOOKUP($B406,표2[#ALL],2)/HLOOKUP($A406,표1[#ALL],row(),false)</f>
        <v>#N/A</v>
      </c>
      <c r="AM406" s="372" t="str">
        <f>CS_PID!AM406/VLOOKUP($B406,표2[#ALL],2)/HLOOKUP($A406,표1[#ALL],row(),false)</f>
        <v>#N/A</v>
      </c>
      <c r="AN406" s="372" t="str">
        <f>CS_PID!AN406/VLOOKUP($B406,표2[#ALL],2)/HLOOKUP($A406,표1[#ALL],row(),false)</f>
        <v>#N/A</v>
      </c>
      <c r="AO406" s="372" t="str">
        <f>CS_PID!AO406/VLOOKUP($B406,표2[#ALL],2)/HLOOKUP($A406,표1[#ALL],row(),false)</f>
        <v>#N/A</v>
      </c>
      <c r="AP406" s="372" t="str">
        <f>CS_PID!AP406/VLOOKUP($B406,표2[#ALL],2)/HLOOKUP($A406,표1[#ALL],row(),false)</f>
        <v>#N/A</v>
      </c>
      <c r="AQ406" s="372" t="str">
        <f>CS_PID!AQ406/VLOOKUP($B406,표2[#ALL],2)/HLOOKUP($A406,표1[#ALL],row(),false)</f>
        <v>#N/A</v>
      </c>
      <c r="AR406" s="372" t="str">
        <f>CS_PID!AR406/VLOOKUP($B406,표2[#ALL],2)/HLOOKUP($A406,표1[#ALL],row(),false)</f>
        <v>#N/A</v>
      </c>
      <c r="AS406" s="373" t="str">
        <f>CS_PID!AS406/VLOOKUP($B406,표2[#ALL],2)/HLOOKUP($A406,표1[#ALL],row(),false)</f>
        <v>#N/A</v>
      </c>
    </row>
    <row r="407">
      <c r="A407" s="374"/>
      <c r="B407" s="375"/>
      <c r="C407" s="376" t="str">
        <f>CS_PID!C407/VLOOKUP($B407,표2[#ALL],2)</f>
        <v>#N/A</v>
      </c>
      <c r="D407" s="376" t="str">
        <f>CS_PID!D407/VLOOKUP($B407,표2[#ALL],2)</f>
        <v>#N/A</v>
      </c>
      <c r="E407" s="376" t="str">
        <f>CS_PID!E407/VLOOKUP($B407,표2[#ALL],2)</f>
        <v>#N/A</v>
      </c>
      <c r="F407" s="376" t="str">
        <f>CS_PID!F407/VLOOKUP($B407,표2[#ALL],2)</f>
        <v>#N/A</v>
      </c>
      <c r="G407" s="376" t="str">
        <f>CS_PID!G407/VLOOKUP($B407,표2[#ALL],2)</f>
        <v>#N/A</v>
      </c>
      <c r="H407" s="376" t="str">
        <f>CS_PID!H407/VLOOKUP($B407,표2[#ALL],2)/HLOOKUP($A407,표1[#ALL],row(),false)</f>
        <v>#N/A</v>
      </c>
      <c r="I407" s="376" t="str">
        <f>CS_PID!I407/VLOOKUP($B407,표2[#ALL],2)/HLOOKUP($A407,표1[#ALL],row(),false)</f>
        <v>#N/A</v>
      </c>
      <c r="J407" s="376" t="str">
        <f>CS_PID!J407/VLOOKUP($B407,표2[#ALL],2)/HLOOKUP($A407,표1[#ALL],row(),false)</f>
        <v>#N/A</v>
      </c>
      <c r="K407" s="376" t="str">
        <f>CS_PID!K407/VLOOKUP($B407,표2[#ALL],2)/HLOOKUP($A407,표1[#ALL],row(),false)</f>
        <v>#N/A</v>
      </c>
      <c r="L407" s="376" t="str">
        <f>CS_PID!L407/VLOOKUP($B407,표2[#ALL],2)/HLOOKUP($A407,표1[#ALL],row(),false)</f>
        <v>#N/A</v>
      </c>
      <c r="M407" s="376" t="str">
        <f>CS_PID!M407/VLOOKUP($B407,표2[#ALL],2)/HLOOKUP($A407,표1[#ALL],row(),false)</f>
        <v>#N/A</v>
      </c>
      <c r="N407" s="376" t="str">
        <f>CS_PID!N407/VLOOKUP($B407,표2[#ALL],2)/HLOOKUP($A407,표1[#ALL],row(),false)</f>
        <v>#N/A</v>
      </c>
      <c r="O407" s="376" t="str">
        <f>CS_PID!O407/VLOOKUP($B407,표2[#ALL],2)/HLOOKUP($A407,표1[#ALL],row(),false)</f>
        <v>#N/A</v>
      </c>
      <c r="P407" s="376" t="str">
        <f>CS_PID!P407/VLOOKUP($B407,표2[#ALL],2)/HLOOKUP($A407,표1[#ALL],row(),false)</f>
        <v>#N/A</v>
      </c>
      <c r="Q407" s="376" t="str">
        <f>CS_PID!Q407/VLOOKUP($B407,표2[#ALL],2)/HLOOKUP($A407,표1[#ALL],row(),false)</f>
        <v>#N/A</v>
      </c>
      <c r="R407" s="376" t="str">
        <f>CS_PID!R407/VLOOKUP($B407,표2[#ALL],2)/HLOOKUP($A407,표1[#ALL],row(),false)</f>
        <v>#N/A</v>
      </c>
      <c r="S407" s="376" t="str">
        <f>CS_PID!S407/VLOOKUP($B407,표2[#ALL],2)/HLOOKUP($A407,표1[#ALL],row(),false)</f>
        <v>#N/A</v>
      </c>
      <c r="T407" s="376" t="str">
        <f>CS_PID!T407/VLOOKUP($B407,표2[#ALL],2)/HLOOKUP($A407,표1[#ALL],row(),false)</f>
        <v>#N/A</v>
      </c>
      <c r="U407" s="376" t="str">
        <f>CS_PID!U407/VLOOKUP($B407,표2[#ALL],2)/HLOOKUP($A407,표1[#ALL],row(),false)</f>
        <v>#N/A</v>
      </c>
      <c r="V407" s="376" t="str">
        <f>CS_PID!V407/VLOOKUP($B407,표2[#ALL],2)/HLOOKUP($A407,표1[#ALL],row(),false)</f>
        <v>#N/A</v>
      </c>
      <c r="W407" s="376" t="str">
        <f>CS_PID!W407/VLOOKUP($B407,표2[#ALL],2)/HLOOKUP($A407,표1[#ALL],row(),false)</f>
        <v>#N/A</v>
      </c>
      <c r="X407" s="376" t="str">
        <f>CS_PID!X407/VLOOKUP($B407,표2[#ALL],2)/HLOOKUP($A407,표1[#ALL],row(),false)</f>
        <v>#N/A</v>
      </c>
      <c r="Y407" s="376" t="str">
        <f>CS_PID!Y407/VLOOKUP($B407,표2[#ALL],2)/HLOOKUP($A407,표1[#ALL],row(),false)</f>
        <v>#N/A</v>
      </c>
      <c r="Z407" s="376" t="str">
        <f>CS_PID!Z407/VLOOKUP($B407,표2[#ALL],2)/HLOOKUP($A407,표1[#ALL],row(),false)</f>
        <v>#N/A</v>
      </c>
      <c r="AA407" s="376" t="str">
        <f>CS_PID!AA407/VLOOKUP($B407,표2[#ALL],2)/HLOOKUP($A407,표1[#ALL],row(),false)</f>
        <v>#N/A</v>
      </c>
      <c r="AB407" s="376" t="str">
        <f>CS_PID!AB407/VLOOKUP($B407,표2[#ALL],2)/HLOOKUP($A407,표1[#ALL],row(),false)</f>
        <v>#N/A</v>
      </c>
      <c r="AC407" s="376" t="str">
        <f>CS_PID!AC407/VLOOKUP($B407,표2[#ALL],2)/HLOOKUP($A407,표1[#ALL],row(),false)</f>
        <v>#N/A</v>
      </c>
      <c r="AD407" s="376" t="str">
        <f>CS_PID!AD407/VLOOKUP($B407,표2[#ALL],2)/HLOOKUP($A407,표1[#ALL],row(),false)</f>
        <v>#N/A</v>
      </c>
      <c r="AE407" s="376" t="str">
        <f>CS_PID!AE407/VLOOKUP($B407,표2[#ALL],2)/HLOOKUP($A407,표1[#ALL],row(),false)</f>
        <v>#N/A</v>
      </c>
      <c r="AF407" s="376" t="str">
        <f>CS_PID!AF407/VLOOKUP($B407,표2[#ALL],2)/HLOOKUP($A407,표1[#ALL],row(),false)</f>
        <v>#N/A</v>
      </c>
      <c r="AG407" s="376" t="str">
        <f>CS_PID!AG407/VLOOKUP($B407,표2[#ALL],2)/HLOOKUP($A407,표1[#ALL],row(),false)</f>
        <v>#N/A</v>
      </c>
      <c r="AH407" s="376" t="str">
        <f>CS_PID!AH407/VLOOKUP($B407,표2[#ALL],2)/HLOOKUP($A407,표1[#ALL],row(),false)</f>
        <v>#N/A</v>
      </c>
      <c r="AI407" s="376" t="str">
        <f>CS_PID!AI407/VLOOKUP($B407,표2[#ALL],2)/HLOOKUP($A407,표1[#ALL],row(),false)</f>
        <v>#N/A</v>
      </c>
      <c r="AJ407" s="376" t="str">
        <f>CS_PID!AJ407/VLOOKUP($B407,표2[#ALL],2)/HLOOKUP($A407,표1[#ALL],row(),false)</f>
        <v>#N/A</v>
      </c>
      <c r="AK407" s="376" t="str">
        <f>CS_PID!AK407/VLOOKUP($B407,표2[#ALL],2)/HLOOKUP($A407,표1[#ALL],row(),false)</f>
        <v>#N/A</v>
      </c>
      <c r="AL407" s="376" t="str">
        <f>CS_PID!AL407/VLOOKUP($B407,표2[#ALL],2)/HLOOKUP($A407,표1[#ALL],row(),false)</f>
        <v>#N/A</v>
      </c>
      <c r="AM407" s="376" t="str">
        <f>CS_PID!AM407/VLOOKUP($B407,표2[#ALL],2)/HLOOKUP($A407,표1[#ALL],row(),false)</f>
        <v>#N/A</v>
      </c>
      <c r="AN407" s="376" t="str">
        <f>CS_PID!AN407/VLOOKUP($B407,표2[#ALL],2)/HLOOKUP($A407,표1[#ALL],row(),false)</f>
        <v>#N/A</v>
      </c>
      <c r="AO407" s="376" t="str">
        <f>CS_PID!AO407/VLOOKUP($B407,표2[#ALL],2)/HLOOKUP($A407,표1[#ALL],row(),false)</f>
        <v>#N/A</v>
      </c>
      <c r="AP407" s="376" t="str">
        <f>CS_PID!AP407/VLOOKUP($B407,표2[#ALL],2)/HLOOKUP($A407,표1[#ALL],row(),false)</f>
        <v>#N/A</v>
      </c>
      <c r="AQ407" s="376" t="str">
        <f>CS_PID!AQ407/VLOOKUP($B407,표2[#ALL],2)/HLOOKUP($A407,표1[#ALL],row(),false)</f>
        <v>#N/A</v>
      </c>
      <c r="AR407" s="376" t="str">
        <f>CS_PID!AR407/VLOOKUP($B407,표2[#ALL],2)/HLOOKUP($A407,표1[#ALL],row(),false)</f>
        <v>#N/A</v>
      </c>
      <c r="AS407" s="377" t="str">
        <f>CS_PID!AS407/VLOOKUP($B407,표2[#ALL],2)/HLOOKUP($A407,표1[#ALL],row(),false)</f>
        <v>#N/A</v>
      </c>
    </row>
    <row r="408">
      <c r="A408" s="370"/>
      <c r="B408" s="371"/>
      <c r="C408" s="372" t="str">
        <f>CS_PID!C408/VLOOKUP($B408,표2[#ALL],2)</f>
        <v>#N/A</v>
      </c>
      <c r="D408" s="372" t="str">
        <f>CS_PID!D408/VLOOKUP($B408,표2[#ALL],2)</f>
        <v>#N/A</v>
      </c>
      <c r="E408" s="372" t="str">
        <f>CS_PID!E408/VLOOKUP($B408,표2[#ALL],2)</f>
        <v>#N/A</v>
      </c>
      <c r="F408" s="372" t="str">
        <f>CS_PID!F408/VLOOKUP($B408,표2[#ALL],2)</f>
        <v>#N/A</v>
      </c>
      <c r="G408" s="372" t="str">
        <f>CS_PID!G408/VLOOKUP($B408,표2[#ALL],2)</f>
        <v>#N/A</v>
      </c>
      <c r="H408" s="372" t="str">
        <f>CS_PID!H408/VLOOKUP($B408,표2[#ALL],2)/HLOOKUP($A408,표1[#ALL],row(),false)</f>
        <v>#N/A</v>
      </c>
      <c r="I408" s="372" t="str">
        <f>CS_PID!I408/VLOOKUP($B408,표2[#ALL],2)/HLOOKUP($A408,표1[#ALL],row(),false)</f>
        <v>#N/A</v>
      </c>
      <c r="J408" s="372" t="str">
        <f>CS_PID!J408/VLOOKUP($B408,표2[#ALL],2)/HLOOKUP($A408,표1[#ALL],row(),false)</f>
        <v>#N/A</v>
      </c>
      <c r="K408" s="372" t="str">
        <f>CS_PID!K408/VLOOKUP($B408,표2[#ALL],2)/HLOOKUP($A408,표1[#ALL],row(),false)</f>
        <v>#N/A</v>
      </c>
      <c r="L408" s="372" t="str">
        <f>CS_PID!L408/VLOOKUP($B408,표2[#ALL],2)/HLOOKUP($A408,표1[#ALL],row(),false)</f>
        <v>#N/A</v>
      </c>
      <c r="M408" s="372" t="str">
        <f>CS_PID!M408/VLOOKUP($B408,표2[#ALL],2)/HLOOKUP($A408,표1[#ALL],row(),false)</f>
        <v>#N/A</v>
      </c>
      <c r="N408" s="372" t="str">
        <f>CS_PID!N408/VLOOKUP($B408,표2[#ALL],2)/HLOOKUP($A408,표1[#ALL],row(),false)</f>
        <v>#N/A</v>
      </c>
      <c r="O408" s="372" t="str">
        <f>CS_PID!O408/VLOOKUP($B408,표2[#ALL],2)/HLOOKUP($A408,표1[#ALL],row(),false)</f>
        <v>#N/A</v>
      </c>
      <c r="P408" s="372" t="str">
        <f>CS_PID!P408/VLOOKUP($B408,표2[#ALL],2)/HLOOKUP($A408,표1[#ALL],row(),false)</f>
        <v>#N/A</v>
      </c>
      <c r="Q408" s="372" t="str">
        <f>CS_PID!Q408/VLOOKUP($B408,표2[#ALL],2)/HLOOKUP($A408,표1[#ALL],row(),false)</f>
        <v>#N/A</v>
      </c>
      <c r="R408" s="372" t="str">
        <f>CS_PID!R408/VLOOKUP($B408,표2[#ALL],2)/HLOOKUP($A408,표1[#ALL],row(),false)</f>
        <v>#N/A</v>
      </c>
      <c r="S408" s="372" t="str">
        <f>CS_PID!S408/VLOOKUP($B408,표2[#ALL],2)/HLOOKUP($A408,표1[#ALL],row(),false)</f>
        <v>#N/A</v>
      </c>
      <c r="T408" s="372" t="str">
        <f>CS_PID!T408/VLOOKUP($B408,표2[#ALL],2)/HLOOKUP($A408,표1[#ALL],row(),false)</f>
        <v>#N/A</v>
      </c>
      <c r="U408" s="372" t="str">
        <f>CS_PID!U408/VLOOKUP($B408,표2[#ALL],2)/HLOOKUP($A408,표1[#ALL],row(),false)</f>
        <v>#N/A</v>
      </c>
      <c r="V408" s="372" t="str">
        <f>CS_PID!V408/VLOOKUP($B408,표2[#ALL],2)/HLOOKUP($A408,표1[#ALL],row(),false)</f>
        <v>#N/A</v>
      </c>
      <c r="W408" s="372" t="str">
        <f>CS_PID!W408/VLOOKUP($B408,표2[#ALL],2)/HLOOKUP($A408,표1[#ALL],row(),false)</f>
        <v>#N/A</v>
      </c>
      <c r="X408" s="372" t="str">
        <f>CS_PID!X408/VLOOKUP($B408,표2[#ALL],2)/HLOOKUP($A408,표1[#ALL],row(),false)</f>
        <v>#N/A</v>
      </c>
      <c r="Y408" s="372" t="str">
        <f>CS_PID!Y408/VLOOKUP($B408,표2[#ALL],2)/HLOOKUP($A408,표1[#ALL],row(),false)</f>
        <v>#N/A</v>
      </c>
      <c r="Z408" s="372" t="str">
        <f>CS_PID!Z408/VLOOKUP($B408,표2[#ALL],2)/HLOOKUP($A408,표1[#ALL],row(),false)</f>
        <v>#N/A</v>
      </c>
      <c r="AA408" s="372" t="str">
        <f>CS_PID!AA408/VLOOKUP($B408,표2[#ALL],2)/HLOOKUP($A408,표1[#ALL],row(),false)</f>
        <v>#N/A</v>
      </c>
      <c r="AB408" s="372" t="str">
        <f>CS_PID!AB408/VLOOKUP($B408,표2[#ALL],2)/HLOOKUP($A408,표1[#ALL],row(),false)</f>
        <v>#N/A</v>
      </c>
      <c r="AC408" s="372" t="str">
        <f>CS_PID!AC408/VLOOKUP($B408,표2[#ALL],2)/HLOOKUP($A408,표1[#ALL],row(),false)</f>
        <v>#N/A</v>
      </c>
      <c r="AD408" s="372" t="str">
        <f>CS_PID!AD408/VLOOKUP($B408,표2[#ALL],2)/HLOOKUP($A408,표1[#ALL],row(),false)</f>
        <v>#N/A</v>
      </c>
      <c r="AE408" s="372" t="str">
        <f>CS_PID!AE408/VLOOKUP($B408,표2[#ALL],2)/HLOOKUP($A408,표1[#ALL],row(),false)</f>
        <v>#N/A</v>
      </c>
      <c r="AF408" s="372" t="str">
        <f>CS_PID!AF408/VLOOKUP($B408,표2[#ALL],2)/HLOOKUP($A408,표1[#ALL],row(),false)</f>
        <v>#N/A</v>
      </c>
      <c r="AG408" s="372" t="str">
        <f>CS_PID!AG408/VLOOKUP($B408,표2[#ALL],2)/HLOOKUP($A408,표1[#ALL],row(),false)</f>
        <v>#N/A</v>
      </c>
      <c r="AH408" s="372" t="str">
        <f>CS_PID!AH408/VLOOKUP($B408,표2[#ALL],2)/HLOOKUP($A408,표1[#ALL],row(),false)</f>
        <v>#N/A</v>
      </c>
      <c r="AI408" s="372" t="str">
        <f>CS_PID!AI408/VLOOKUP($B408,표2[#ALL],2)/HLOOKUP($A408,표1[#ALL],row(),false)</f>
        <v>#N/A</v>
      </c>
      <c r="AJ408" s="372" t="str">
        <f>CS_PID!AJ408/VLOOKUP($B408,표2[#ALL],2)/HLOOKUP($A408,표1[#ALL],row(),false)</f>
        <v>#N/A</v>
      </c>
      <c r="AK408" s="372" t="str">
        <f>CS_PID!AK408/VLOOKUP($B408,표2[#ALL],2)/HLOOKUP($A408,표1[#ALL],row(),false)</f>
        <v>#N/A</v>
      </c>
      <c r="AL408" s="372" t="str">
        <f>CS_PID!AL408/VLOOKUP($B408,표2[#ALL],2)/HLOOKUP($A408,표1[#ALL],row(),false)</f>
        <v>#N/A</v>
      </c>
      <c r="AM408" s="372" t="str">
        <f>CS_PID!AM408/VLOOKUP($B408,표2[#ALL],2)/HLOOKUP($A408,표1[#ALL],row(),false)</f>
        <v>#N/A</v>
      </c>
      <c r="AN408" s="372" t="str">
        <f>CS_PID!AN408/VLOOKUP($B408,표2[#ALL],2)/HLOOKUP($A408,표1[#ALL],row(),false)</f>
        <v>#N/A</v>
      </c>
      <c r="AO408" s="372" t="str">
        <f>CS_PID!AO408/VLOOKUP($B408,표2[#ALL],2)/HLOOKUP($A408,표1[#ALL],row(),false)</f>
        <v>#N/A</v>
      </c>
      <c r="AP408" s="372" t="str">
        <f>CS_PID!AP408/VLOOKUP($B408,표2[#ALL],2)/HLOOKUP($A408,표1[#ALL],row(),false)</f>
        <v>#N/A</v>
      </c>
      <c r="AQ408" s="372" t="str">
        <f>CS_PID!AQ408/VLOOKUP($B408,표2[#ALL],2)/HLOOKUP($A408,표1[#ALL],row(),false)</f>
        <v>#N/A</v>
      </c>
      <c r="AR408" s="372" t="str">
        <f>CS_PID!AR408/VLOOKUP($B408,표2[#ALL],2)/HLOOKUP($A408,표1[#ALL],row(),false)</f>
        <v>#N/A</v>
      </c>
      <c r="AS408" s="373" t="str">
        <f>CS_PID!AS408/VLOOKUP($B408,표2[#ALL],2)/HLOOKUP($A408,표1[#ALL],row(),false)</f>
        <v>#N/A</v>
      </c>
    </row>
    <row r="409">
      <c r="A409" s="374"/>
      <c r="B409" s="375"/>
      <c r="C409" s="376" t="str">
        <f>CS_PID!C409/VLOOKUP($B409,표2[#ALL],2)</f>
        <v>#N/A</v>
      </c>
      <c r="D409" s="376" t="str">
        <f>CS_PID!D409/VLOOKUP($B409,표2[#ALL],2)</f>
        <v>#N/A</v>
      </c>
      <c r="E409" s="376" t="str">
        <f>CS_PID!E409/VLOOKUP($B409,표2[#ALL],2)</f>
        <v>#N/A</v>
      </c>
      <c r="F409" s="376" t="str">
        <f>CS_PID!F409/VLOOKUP($B409,표2[#ALL],2)</f>
        <v>#N/A</v>
      </c>
      <c r="G409" s="376" t="str">
        <f>CS_PID!G409/VLOOKUP($B409,표2[#ALL],2)</f>
        <v>#N/A</v>
      </c>
      <c r="H409" s="376" t="str">
        <f>CS_PID!H409/VLOOKUP($B409,표2[#ALL],2)/HLOOKUP($A409,표1[#ALL],row(),false)</f>
        <v>#N/A</v>
      </c>
      <c r="I409" s="376" t="str">
        <f>CS_PID!I409/VLOOKUP($B409,표2[#ALL],2)/HLOOKUP($A409,표1[#ALL],row(),false)</f>
        <v>#N/A</v>
      </c>
      <c r="J409" s="376" t="str">
        <f>CS_PID!J409/VLOOKUP($B409,표2[#ALL],2)/HLOOKUP($A409,표1[#ALL],row(),false)</f>
        <v>#N/A</v>
      </c>
      <c r="K409" s="376" t="str">
        <f>CS_PID!K409/VLOOKUP($B409,표2[#ALL],2)/HLOOKUP($A409,표1[#ALL],row(),false)</f>
        <v>#N/A</v>
      </c>
      <c r="L409" s="376" t="str">
        <f>CS_PID!L409/VLOOKUP($B409,표2[#ALL],2)/HLOOKUP($A409,표1[#ALL],row(),false)</f>
        <v>#N/A</v>
      </c>
      <c r="M409" s="376" t="str">
        <f>CS_PID!M409/VLOOKUP($B409,표2[#ALL],2)/HLOOKUP($A409,표1[#ALL],row(),false)</f>
        <v>#N/A</v>
      </c>
      <c r="N409" s="376" t="str">
        <f>CS_PID!N409/VLOOKUP($B409,표2[#ALL],2)/HLOOKUP($A409,표1[#ALL],row(),false)</f>
        <v>#N/A</v>
      </c>
      <c r="O409" s="376" t="str">
        <f>CS_PID!O409/VLOOKUP($B409,표2[#ALL],2)/HLOOKUP($A409,표1[#ALL],row(),false)</f>
        <v>#N/A</v>
      </c>
      <c r="P409" s="376" t="str">
        <f>CS_PID!P409/VLOOKUP($B409,표2[#ALL],2)/HLOOKUP($A409,표1[#ALL],row(),false)</f>
        <v>#N/A</v>
      </c>
      <c r="Q409" s="376" t="str">
        <f>CS_PID!Q409/VLOOKUP($B409,표2[#ALL],2)/HLOOKUP($A409,표1[#ALL],row(),false)</f>
        <v>#N/A</v>
      </c>
      <c r="R409" s="376" t="str">
        <f>CS_PID!R409/VLOOKUP($B409,표2[#ALL],2)/HLOOKUP($A409,표1[#ALL],row(),false)</f>
        <v>#N/A</v>
      </c>
      <c r="S409" s="376" t="str">
        <f>CS_PID!S409/VLOOKUP($B409,표2[#ALL],2)/HLOOKUP($A409,표1[#ALL],row(),false)</f>
        <v>#N/A</v>
      </c>
      <c r="T409" s="376" t="str">
        <f>CS_PID!T409/VLOOKUP($B409,표2[#ALL],2)/HLOOKUP($A409,표1[#ALL],row(),false)</f>
        <v>#N/A</v>
      </c>
      <c r="U409" s="376" t="str">
        <f>CS_PID!U409/VLOOKUP($B409,표2[#ALL],2)/HLOOKUP($A409,표1[#ALL],row(),false)</f>
        <v>#N/A</v>
      </c>
      <c r="V409" s="376" t="str">
        <f>CS_PID!V409/VLOOKUP($B409,표2[#ALL],2)/HLOOKUP($A409,표1[#ALL],row(),false)</f>
        <v>#N/A</v>
      </c>
      <c r="W409" s="376" t="str">
        <f>CS_PID!W409/VLOOKUP($B409,표2[#ALL],2)/HLOOKUP($A409,표1[#ALL],row(),false)</f>
        <v>#N/A</v>
      </c>
      <c r="X409" s="376" t="str">
        <f>CS_PID!X409/VLOOKUP($B409,표2[#ALL],2)/HLOOKUP($A409,표1[#ALL],row(),false)</f>
        <v>#N/A</v>
      </c>
      <c r="Y409" s="376" t="str">
        <f>CS_PID!Y409/VLOOKUP($B409,표2[#ALL],2)/HLOOKUP($A409,표1[#ALL],row(),false)</f>
        <v>#N/A</v>
      </c>
      <c r="Z409" s="376" t="str">
        <f>CS_PID!Z409/VLOOKUP($B409,표2[#ALL],2)/HLOOKUP($A409,표1[#ALL],row(),false)</f>
        <v>#N/A</v>
      </c>
      <c r="AA409" s="376" t="str">
        <f>CS_PID!AA409/VLOOKUP($B409,표2[#ALL],2)/HLOOKUP($A409,표1[#ALL],row(),false)</f>
        <v>#N/A</v>
      </c>
      <c r="AB409" s="376" t="str">
        <f>CS_PID!AB409/VLOOKUP($B409,표2[#ALL],2)/HLOOKUP($A409,표1[#ALL],row(),false)</f>
        <v>#N/A</v>
      </c>
      <c r="AC409" s="376" t="str">
        <f>CS_PID!AC409/VLOOKUP($B409,표2[#ALL],2)/HLOOKUP($A409,표1[#ALL],row(),false)</f>
        <v>#N/A</v>
      </c>
      <c r="AD409" s="376" t="str">
        <f>CS_PID!AD409/VLOOKUP($B409,표2[#ALL],2)/HLOOKUP($A409,표1[#ALL],row(),false)</f>
        <v>#N/A</v>
      </c>
      <c r="AE409" s="376" t="str">
        <f>CS_PID!AE409/VLOOKUP($B409,표2[#ALL],2)/HLOOKUP($A409,표1[#ALL],row(),false)</f>
        <v>#N/A</v>
      </c>
      <c r="AF409" s="376" t="str">
        <f>CS_PID!AF409/VLOOKUP($B409,표2[#ALL],2)/HLOOKUP($A409,표1[#ALL],row(),false)</f>
        <v>#N/A</v>
      </c>
      <c r="AG409" s="376" t="str">
        <f>CS_PID!AG409/VLOOKUP($B409,표2[#ALL],2)/HLOOKUP($A409,표1[#ALL],row(),false)</f>
        <v>#N/A</v>
      </c>
      <c r="AH409" s="376" t="str">
        <f>CS_PID!AH409/VLOOKUP($B409,표2[#ALL],2)/HLOOKUP($A409,표1[#ALL],row(),false)</f>
        <v>#N/A</v>
      </c>
      <c r="AI409" s="376" t="str">
        <f>CS_PID!AI409/VLOOKUP($B409,표2[#ALL],2)/HLOOKUP($A409,표1[#ALL],row(),false)</f>
        <v>#N/A</v>
      </c>
      <c r="AJ409" s="376" t="str">
        <f>CS_PID!AJ409/VLOOKUP($B409,표2[#ALL],2)/HLOOKUP($A409,표1[#ALL],row(),false)</f>
        <v>#N/A</v>
      </c>
      <c r="AK409" s="376" t="str">
        <f>CS_PID!AK409/VLOOKUP($B409,표2[#ALL],2)/HLOOKUP($A409,표1[#ALL],row(),false)</f>
        <v>#N/A</v>
      </c>
      <c r="AL409" s="376" t="str">
        <f>CS_PID!AL409/VLOOKUP($B409,표2[#ALL],2)/HLOOKUP($A409,표1[#ALL],row(),false)</f>
        <v>#N/A</v>
      </c>
      <c r="AM409" s="376" t="str">
        <f>CS_PID!AM409/VLOOKUP($B409,표2[#ALL],2)/HLOOKUP($A409,표1[#ALL],row(),false)</f>
        <v>#N/A</v>
      </c>
      <c r="AN409" s="376" t="str">
        <f>CS_PID!AN409/VLOOKUP($B409,표2[#ALL],2)/HLOOKUP($A409,표1[#ALL],row(),false)</f>
        <v>#N/A</v>
      </c>
      <c r="AO409" s="376" t="str">
        <f>CS_PID!AO409/VLOOKUP($B409,표2[#ALL],2)/HLOOKUP($A409,표1[#ALL],row(),false)</f>
        <v>#N/A</v>
      </c>
      <c r="AP409" s="376" t="str">
        <f>CS_PID!AP409/VLOOKUP($B409,표2[#ALL],2)/HLOOKUP($A409,표1[#ALL],row(),false)</f>
        <v>#N/A</v>
      </c>
      <c r="AQ409" s="376" t="str">
        <f>CS_PID!AQ409/VLOOKUP($B409,표2[#ALL],2)/HLOOKUP($A409,표1[#ALL],row(),false)</f>
        <v>#N/A</v>
      </c>
      <c r="AR409" s="376" t="str">
        <f>CS_PID!AR409/VLOOKUP($B409,표2[#ALL],2)/HLOOKUP($A409,표1[#ALL],row(),false)</f>
        <v>#N/A</v>
      </c>
      <c r="AS409" s="377" t="str">
        <f>CS_PID!AS409/VLOOKUP($B409,표2[#ALL],2)/HLOOKUP($A409,표1[#ALL],row(),false)</f>
        <v>#N/A</v>
      </c>
    </row>
    <row r="410">
      <c r="A410" s="370"/>
      <c r="B410" s="371"/>
      <c r="C410" s="372" t="str">
        <f>CS_PID!C410/VLOOKUP($B410,표2[#ALL],2)</f>
        <v>#N/A</v>
      </c>
      <c r="D410" s="372" t="str">
        <f>CS_PID!D410/VLOOKUP($B410,표2[#ALL],2)</f>
        <v>#N/A</v>
      </c>
      <c r="E410" s="372" t="str">
        <f>CS_PID!E410/VLOOKUP($B410,표2[#ALL],2)</f>
        <v>#N/A</v>
      </c>
      <c r="F410" s="372" t="str">
        <f>CS_PID!F410/VLOOKUP($B410,표2[#ALL],2)</f>
        <v>#N/A</v>
      </c>
      <c r="G410" s="372" t="str">
        <f>CS_PID!G410/VLOOKUP($B410,표2[#ALL],2)</f>
        <v>#N/A</v>
      </c>
      <c r="H410" s="372" t="str">
        <f>CS_PID!H410/VLOOKUP($B410,표2[#ALL],2)/HLOOKUP($A410,표1[#ALL],row(),false)</f>
        <v>#N/A</v>
      </c>
      <c r="I410" s="372" t="str">
        <f>CS_PID!I410/VLOOKUP($B410,표2[#ALL],2)/HLOOKUP($A410,표1[#ALL],row(),false)</f>
        <v>#N/A</v>
      </c>
      <c r="J410" s="372" t="str">
        <f>CS_PID!J410/VLOOKUP($B410,표2[#ALL],2)/HLOOKUP($A410,표1[#ALL],row(),false)</f>
        <v>#N/A</v>
      </c>
      <c r="K410" s="372" t="str">
        <f>CS_PID!K410/VLOOKUP($B410,표2[#ALL],2)/HLOOKUP($A410,표1[#ALL],row(),false)</f>
        <v>#N/A</v>
      </c>
      <c r="L410" s="372" t="str">
        <f>CS_PID!L410/VLOOKUP($B410,표2[#ALL],2)/HLOOKUP($A410,표1[#ALL],row(),false)</f>
        <v>#N/A</v>
      </c>
      <c r="M410" s="372" t="str">
        <f>CS_PID!M410/VLOOKUP($B410,표2[#ALL],2)/HLOOKUP($A410,표1[#ALL],row(),false)</f>
        <v>#N/A</v>
      </c>
      <c r="N410" s="372" t="str">
        <f>CS_PID!N410/VLOOKUP($B410,표2[#ALL],2)/HLOOKUP($A410,표1[#ALL],row(),false)</f>
        <v>#N/A</v>
      </c>
      <c r="O410" s="372" t="str">
        <f>CS_PID!O410/VLOOKUP($B410,표2[#ALL],2)/HLOOKUP($A410,표1[#ALL],row(),false)</f>
        <v>#N/A</v>
      </c>
      <c r="P410" s="372" t="str">
        <f>CS_PID!P410/VLOOKUP($B410,표2[#ALL],2)/HLOOKUP($A410,표1[#ALL],row(),false)</f>
        <v>#N/A</v>
      </c>
      <c r="Q410" s="372" t="str">
        <f>CS_PID!Q410/VLOOKUP($B410,표2[#ALL],2)/HLOOKUP($A410,표1[#ALL],row(),false)</f>
        <v>#N/A</v>
      </c>
      <c r="R410" s="372" t="str">
        <f>CS_PID!R410/VLOOKUP($B410,표2[#ALL],2)/HLOOKUP($A410,표1[#ALL],row(),false)</f>
        <v>#N/A</v>
      </c>
      <c r="S410" s="372" t="str">
        <f>CS_PID!S410/VLOOKUP($B410,표2[#ALL],2)/HLOOKUP($A410,표1[#ALL],row(),false)</f>
        <v>#N/A</v>
      </c>
      <c r="T410" s="372" t="str">
        <f>CS_PID!T410/VLOOKUP($B410,표2[#ALL],2)/HLOOKUP($A410,표1[#ALL],row(),false)</f>
        <v>#N/A</v>
      </c>
      <c r="U410" s="372" t="str">
        <f>CS_PID!U410/VLOOKUP($B410,표2[#ALL],2)/HLOOKUP($A410,표1[#ALL],row(),false)</f>
        <v>#N/A</v>
      </c>
      <c r="V410" s="372" t="str">
        <f>CS_PID!V410/VLOOKUP($B410,표2[#ALL],2)/HLOOKUP($A410,표1[#ALL],row(),false)</f>
        <v>#N/A</v>
      </c>
      <c r="W410" s="372" t="str">
        <f>CS_PID!W410/VLOOKUP($B410,표2[#ALL],2)/HLOOKUP($A410,표1[#ALL],row(),false)</f>
        <v>#N/A</v>
      </c>
      <c r="X410" s="372" t="str">
        <f>CS_PID!X410/VLOOKUP($B410,표2[#ALL],2)/HLOOKUP($A410,표1[#ALL],row(),false)</f>
        <v>#N/A</v>
      </c>
      <c r="Y410" s="372" t="str">
        <f>CS_PID!Y410/VLOOKUP($B410,표2[#ALL],2)/HLOOKUP($A410,표1[#ALL],row(),false)</f>
        <v>#N/A</v>
      </c>
      <c r="Z410" s="372" t="str">
        <f>CS_PID!Z410/VLOOKUP($B410,표2[#ALL],2)/HLOOKUP($A410,표1[#ALL],row(),false)</f>
        <v>#N/A</v>
      </c>
      <c r="AA410" s="372" t="str">
        <f>CS_PID!AA410/VLOOKUP($B410,표2[#ALL],2)/HLOOKUP($A410,표1[#ALL],row(),false)</f>
        <v>#N/A</v>
      </c>
      <c r="AB410" s="372" t="str">
        <f>CS_PID!AB410/VLOOKUP($B410,표2[#ALL],2)/HLOOKUP($A410,표1[#ALL],row(),false)</f>
        <v>#N/A</v>
      </c>
      <c r="AC410" s="372" t="str">
        <f>CS_PID!AC410/VLOOKUP($B410,표2[#ALL],2)/HLOOKUP($A410,표1[#ALL],row(),false)</f>
        <v>#N/A</v>
      </c>
      <c r="AD410" s="372" t="str">
        <f>CS_PID!AD410/VLOOKUP($B410,표2[#ALL],2)/HLOOKUP($A410,표1[#ALL],row(),false)</f>
        <v>#N/A</v>
      </c>
      <c r="AE410" s="372" t="str">
        <f>CS_PID!AE410/VLOOKUP($B410,표2[#ALL],2)/HLOOKUP($A410,표1[#ALL],row(),false)</f>
        <v>#N/A</v>
      </c>
      <c r="AF410" s="372" t="str">
        <f>CS_PID!AF410/VLOOKUP($B410,표2[#ALL],2)/HLOOKUP($A410,표1[#ALL],row(),false)</f>
        <v>#N/A</v>
      </c>
      <c r="AG410" s="372" t="str">
        <f>CS_PID!AG410/VLOOKUP($B410,표2[#ALL],2)/HLOOKUP($A410,표1[#ALL],row(),false)</f>
        <v>#N/A</v>
      </c>
      <c r="AH410" s="372" t="str">
        <f>CS_PID!AH410/VLOOKUP($B410,표2[#ALL],2)/HLOOKUP($A410,표1[#ALL],row(),false)</f>
        <v>#N/A</v>
      </c>
      <c r="AI410" s="372" t="str">
        <f>CS_PID!AI410/VLOOKUP($B410,표2[#ALL],2)/HLOOKUP($A410,표1[#ALL],row(),false)</f>
        <v>#N/A</v>
      </c>
      <c r="AJ410" s="372" t="str">
        <f>CS_PID!AJ410/VLOOKUP($B410,표2[#ALL],2)/HLOOKUP($A410,표1[#ALL],row(),false)</f>
        <v>#N/A</v>
      </c>
      <c r="AK410" s="372" t="str">
        <f>CS_PID!AK410/VLOOKUP($B410,표2[#ALL],2)/HLOOKUP($A410,표1[#ALL],row(),false)</f>
        <v>#N/A</v>
      </c>
      <c r="AL410" s="372" t="str">
        <f>CS_PID!AL410/VLOOKUP($B410,표2[#ALL],2)/HLOOKUP($A410,표1[#ALL],row(),false)</f>
        <v>#N/A</v>
      </c>
      <c r="AM410" s="372" t="str">
        <f>CS_PID!AM410/VLOOKUP($B410,표2[#ALL],2)/HLOOKUP($A410,표1[#ALL],row(),false)</f>
        <v>#N/A</v>
      </c>
      <c r="AN410" s="372" t="str">
        <f>CS_PID!AN410/VLOOKUP($B410,표2[#ALL],2)/HLOOKUP($A410,표1[#ALL],row(),false)</f>
        <v>#N/A</v>
      </c>
      <c r="AO410" s="372" t="str">
        <f>CS_PID!AO410/VLOOKUP($B410,표2[#ALL],2)/HLOOKUP($A410,표1[#ALL],row(),false)</f>
        <v>#N/A</v>
      </c>
      <c r="AP410" s="372" t="str">
        <f>CS_PID!AP410/VLOOKUP($B410,표2[#ALL],2)/HLOOKUP($A410,표1[#ALL],row(),false)</f>
        <v>#N/A</v>
      </c>
      <c r="AQ410" s="372" t="str">
        <f>CS_PID!AQ410/VLOOKUP($B410,표2[#ALL],2)/HLOOKUP($A410,표1[#ALL],row(),false)</f>
        <v>#N/A</v>
      </c>
      <c r="AR410" s="372" t="str">
        <f>CS_PID!AR410/VLOOKUP($B410,표2[#ALL],2)/HLOOKUP($A410,표1[#ALL],row(),false)</f>
        <v>#N/A</v>
      </c>
      <c r="AS410" s="373" t="str">
        <f>CS_PID!AS410/VLOOKUP($B410,표2[#ALL],2)/HLOOKUP($A410,표1[#ALL],row(),false)</f>
        <v>#N/A</v>
      </c>
    </row>
    <row r="411">
      <c r="A411" s="374"/>
      <c r="B411" s="375"/>
      <c r="C411" s="376" t="str">
        <f>CS_PID!C411/VLOOKUP($B411,표2[#ALL],2)</f>
        <v>#N/A</v>
      </c>
      <c r="D411" s="376" t="str">
        <f>CS_PID!D411/VLOOKUP($B411,표2[#ALL],2)</f>
        <v>#N/A</v>
      </c>
      <c r="E411" s="376" t="str">
        <f>CS_PID!E411/VLOOKUP($B411,표2[#ALL],2)</f>
        <v>#N/A</v>
      </c>
      <c r="F411" s="376" t="str">
        <f>CS_PID!F411/VLOOKUP($B411,표2[#ALL],2)</f>
        <v>#N/A</v>
      </c>
      <c r="G411" s="376" t="str">
        <f>CS_PID!G411/VLOOKUP($B411,표2[#ALL],2)</f>
        <v>#N/A</v>
      </c>
      <c r="H411" s="376" t="str">
        <f>CS_PID!H411/VLOOKUP($B411,표2[#ALL],2)/HLOOKUP($A411,표1[#ALL],row(),false)</f>
        <v>#N/A</v>
      </c>
      <c r="I411" s="376" t="str">
        <f>CS_PID!I411/VLOOKUP($B411,표2[#ALL],2)/HLOOKUP($A411,표1[#ALL],row(),false)</f>
        <v>#N/A</v>
      </c>
      <c r="J411" s="376" t="str">
        <f>CS_PID!J411/VLOOKUP($B411,표2[#ALL],2)/HLOOKUP($A411,표1[#ALL],row(),false)</f>
        <v>#N/A</v>
      </c>
      <c r="K411" s="376" t="str">
        <f>CS_PID!K411/VLOOKUP($B411,표2[#ALL],2)/HLOOKUP($A411,표1[#ALL],row(),false)</f>
        <v>#N/A</v>
      </c>
      <c r="L411" s="376" t="str">
        <f>CS_PID!L411/VLOOKUP($B411,표2[#ALL],2)/HLOOKUP($A411,표1[#ALL],row(),false)</f>
        <v>#N/A</v>
      </c>
      <c r="M411" s="376" t="str">
        <f>CS_PID!M411/VLOOKUP($B411,표2[#ALL],2)/HLOOKUP($A411,표1[#ALL],row(),false)</f>
        <v>#N/A</v>
      </c>
      <c r="N411" s="376" t="str">
        <f>CS_PID!N411/VLOOKUP($B411,표2[#ALL],2)/HLOOKUP($A411,표1[#ALL],row(),false)</f>
        <v>#N/A</v>
      </c>
      <c r="O411" s="376" t="str">
        <f>CS_PID!O411/VLOOKUP($B411,표2[#ALL],2)/HLOOKUP($A411,표1[#ALL],row(),false)</f>
        <v>#N/A</v>
      </c>
      <c r="P411" s="376" t="str">
        <f>CS_PID!P411/VLOOKUP($B411,표2[#ALL],2)/HLOOKUP($A411,표1[#ALL],row(),false)</f>
        <v>#N/A</v>
      </c>
      <c r="Q411" s="376" t="str">
        <f>CS_PID!Q411/VLOOKUP($B411,표2[#ALL],2)/HLOOKUP($A411,표1[#ALL],row(),false)</f>
        <v>#N/A</v>
      </c>
      <c r="R411" s="376" t="str">
        <f>CS_PID!R411/VLOOKUP($B411,표2[#ALL],2)/HLOOKUP($A411,표1[#ALL],row(),false)</f>
        <v>#N/A</v>
      </c>
      <c r="S411" s="376" t="str">
        <f>CS_PID!S411/VLOOKUP($B411,표2[#ALL],2)/HLOOKUP($A411,표1[#ALL],row(),false)</f>
        <v>#N/A</v>
      </c>
      <c r="T411" s="376" t="str">
        <f>CS_PID!T411/VLOOKUP($B411,표2[#ALL],2)/HLOOKUP($A411,표1[#ALL],row(),false)</f>
        <v>#N/A</v>
      </c>
      <c r="U411" s="376" t="str">
        <f>CS_PID!U411/VLOOKUP($B411,표2[#ALL],2)/HLOOKUP($A411,표1[#ALL],row(),false)</f>
        <v>#N/A</v>
      </c>
      <c r="V411" s="376" t="str">
        <f>CS_PID!V411/VLOOKUP($B411,표2[#ALL],2)/HLOOKUP($A411,표1[#ALL],row(),false)</f>
        <v>#N/A</v>
      </c>
      <c r="W411" s="376" t="str">
        <f>CS_PID!W411/VLOOKUP($B411,표2[#ALL],2)/HLOOKUP($A411,표1[#ALL],row(),false)</f>
        <v>#N/A</v>
      </c>
      <c r="X411" s="376" t="str">
        <f>CS_PID!X411/VLOOKUP($B411,표2[#ALL],2)/HLOOKUP($A411,표1[#ALL],row(),false)</f>
        <v>#N/A</v>
      </c>
      <c r="Y411" s="376" t="str">
        <f>CS_PID!Y411/VLOOKUP($B411,표2[#ALL],2)/HLOOKUP($A411,표1[#ALL],row(),false)</f>
        <v>#N/A</v>
      </c>
      <c r="Z411" s="376" t="str">
        <f>CS_PID!Z411/VLOOKUP($B411,표2[#ALL],2)/HLOOKUP($A411,표1[#ALL],row(),false)</f>
        <v>#N/A</v>
      </c>
      <c r="AA411" s="376" t="str">
        <f>CS_PID!AA411/VLOOKUP($B411,표2[#ALL],2)/HLOOKUP($A411,표1[#ALL],row(),false)</f>
        <v>#N/A</v>
      </c>
      <c r="AB411" s="376" t="str">
        <f>CS_PID!AB411/VLOOKUP($B411,표2[#ALL],2)/HLOOKUP($A411,표1[#ALL],row(),false)</f>
        <v>#N/A</v>
      </c>
      <c r="AC411" s="376" t="str">
        <f>CS_PID!AC411/VLOOKUP($B411,표2[#ALL],2)/HLOOKUP($A411,표1[#ALL],row(),false)</f>
        <v>#N/A</v>
      </c>
      <c r="AD411" s="376" t="str">
        <f>CS_PID!AD411/VLOOKUP($B411,표2[#ALL],2)/HLOOKUP($A411,표1[#ALL],row(),false)</f>
        <v>#N/A</v>
      </c>
      <c r="AE411" s="376" t="str">
        <f>CS_PID!AE411/VLOOKUP($B411,표2[#ALL],2)/HLOOKUP($A411,표1[#ALL],row(),false)</f>
        <v>#N/A</v>
      </c>
      <c r="AF411" s="376" t="str">
        <f>CS_PID!AF411/VLOOKUP($B411,표2[#ALL],2)/HLOOKUP($A411,표1[#ALL],row(),false)</f>
        <v>#N/A</v>
      </c>
      <c r="AG411" s="376" t="str">
        <f>CS_PID!AG411/VLOOKUP($B411,표2[#ALL],2)/HLOOKUP($A411,표1[#ALL],row(),false)</f>
        <v>#N/A</v>
      </c>
      <c r="AH411" s="376" t="str">
        <f>CS_PID!AH411/VLOOKUP($B411,표2[#ALL],2)/HLOOKUP($A411,표1[#ALL],row(),false)</f>
        <v>#N/A</v>
      </c>
      <c r="AI411" s="376" t="str">
        <f>CS_PID!AI411/VLOOKUP($B411,표2[#ALL],2)/HLOOKUP($A411,표1[#ALL],row(),false)</f>
        <v>#N/A</v>
      </c>
      <c r="AJ411" s="376" t="str">
        <f>CS_PID!AJ411/VLOOKUP($B411,표2[#ALL],2)/HLOOKUP($A411,표1[#ALL],row(),false)</f>
        <v>#N/A</v>
      </c>
      <c r="AK411" s="376" t="str">
        <f>CS_PID!AK411/VLOOKUP($B411,표2[#ALL],2)/HLOOKUP($A411,표1[#ALL],row(),false)</f>
        <v>#N/A</v>
      </c>
      <c r="AL411" s="376" t="str">
        <f>CS_PID!AL411/VLOOKUP($B411,표2[#ALL],2)/HLOOKUP($A411,표1[#ALL],row(),false)</f>
        <v>#N/A</v>
      </c>
      <c r="AM411" s="376" t="str">
        <f>CS_PID!AM411/VLOOKUP($B411,표2[#ALL],2)/HLOOKUP($A411,표1[#ALL],row(),false)</f>
        <v>#N/A</v>
      </c>
      <c r="AN411" s="376" t="str">
        <f>CS_PID!AN411/VLOOKUP($B411,표2[#ALL],2)/HLOOKUP($A411,표1[#ALL],row(),false)</f>
        <v>#N/A</v>
      </c>
      <c r="AO411" s="376" t="str">
        <f>CS_PID!AO411/VLOOKUP($B411,표2[#ALL],2)/HLOOKUP($A411,표1[#ALL],row(),false)</f>
        <v>#N/A</v>
      </c>
      <c r="AP411" s="376" t="str">
        <f>CS_PID!AP411/VLOOKUP($B411,표2[#ALL],2)/HLOOKUP($A411,표1[#ALL],row(),false)</f>
        <v>#N/A</v>
      </c>
      <c r="AQ411" s="376" t="str">
        <f>CS_PID!AQ411/VLOOKUP($B411,표2[#ALL],2)/HLOOKUP($A411,표1[#ALL],row(),false)</f>
        <v>#N/A</v>
      </c>
      <c r="AR411" s="376" t="str">
        <f>CS_PID!AR411/VLOOKUP($B411,표2[#ALL],2)/HLOOKUP($A411,표1[#ALL],row(),false)</f>
        <v>#N/A</v>
      </c>
      <c r="AS411" s="377" t="str">
        <f>CS_PID!AS411/VLOOKUP($B411,표2[#ALL],2)/HLOOKUP($A411,표1[#ALL],row(),false)</f>
        <v>#N/A</v>
      </c>
    </row>
    <row r="412">
      <c r="A412" s="370"/>
      <c r="B412" s="371"/>
      <c r="C412" s="372" t="str">
        <f>CS_PID!C412/VLOOKUP($B412,표2[#ALL],2)</f>
        <v>#N/A</v>
      </c>
      <c r="D412" s="372" t="str">
        <f>CS_PID!D412/VLOOKUP($B412,표2[#ALL],2)</f>
        <v>#N/A</v>
      </c>
      <c r="E412" s="372" t="str">
        <f>CS_PID!E412/VLOOKUP($B412,표2[#ALL],2)</f>
        <v>#N/A</v>
      </c>
      <c r="F412" s="372" t="str">
        <f>CS_PID!F412/VLOOKUP($B412,표2[#ALL],2)</f>
        <v>#N/A</v>
      </c>
      <c r="G412" s="372" t="str">
        <f>CS_PID!G412/VLOOKUP($B412,표2[#ALL],2)</f>
        <v>#N/A</v>
      </c>
      <c r="H412" s="372" t="str">
        <f>CS_PID!H412/VLOOKUP($B412,표2[#ALL],2)/HLOOKUP($A412,표1[#ALL],row(),false)</f>
        <v>#N/A</v>
      </c>
      <c r="I412" s="372" t="str">
        <f>CS_PID!I412/VLOOKUP($B412,표2[#ALL],2)/HLOOKUP($A412,표1[#ALL],row(),false)</f>
        <v>#N/A</v>
      </c>
      <c r="J412" s="372" t="str">
        <f>CS_PID!J412/VLOOKUP($B412,표2[#ALL],2)/HLOOKUP($A412,표1[#ALL],row(),false)</f>
        <v>#N/A</v>
      </c>
      <c r="K412" s="372" t="str">
        <f>CS_PID!K412/VLOOKUP($B412,표2[#ALL],2)/HLOOKUP($A412,표1[#ALL],row(),false)</f>
        <v>#N/A</v>
      </c>
      <c r="L412" s="372" t="str">
        <f>CS_PID!L412/VLOOKUP($B412,표2[#ALL],2)/HLOOKUP($A412,표1[#ALL],row(),false)</f>
        <v>#N/A</v>
      </c>
      <c r="M412" s="372" t="str">
        <f>CS_PID!M412/VLOOKUP($B412,표2[#ALL],2)/HLOOKUP($A412,표1[#ALL],row(),false)</f>
        <v>#N/A</v>
      </c>
      <c r="N412" s="372" t="str">
        <f>CS_PID!N412/VLOOKUP($B412,표2[#ALL],2)/HLOOKUP($A412,표1[#ALL],row(),false)</f>
        <v>#N/A</v>
      </c>
      <c r="O412" s="372" t="str">
        <f>CS_PID!O412/VLOOKUP($B412,표2[#ALL],2)/HLOOKUP($A412,표1[#ALL],row(),false)</f>
        <v>#N/A</v>
      </c>
      <c r="P412" s="372" t="str">
        <f>CS_PID!P412/VLOOKUP($B412,표2[#ALL],2)/HLOOKUP($A412,표1[#ALL],row(),false)</f>
        <v>#N/A</v>
      </c>
      <c r="Q412" s="372" t="str">
        <f>CS_PID!Q412/VLOOKUP($B412,표2[#ALL],2)/HLOOKUP($A412,표1[#ALL],row(),false)</f>
        <v>#N/A</v>
      </c>
      <c r="R412" s="372" t="str">
        <f>CS_PID!R412/VLOOKUP($B412,표2[#ALL],2)/HLOOKUP($A412,표1[#ALL],row(),false)</f>
        <v>#N/A</v>
      </c>
      <c r="S412" s="372" t="str">
        <f>CS_PID!S412/VLOOKUP($B412,표2[#ALL],2)/HLOOKUP($A412,표1[#ALL],row(),false)</f>
        <v>#N/A</v>
      </c>
      <c r="T412" s="372" t="str">
        <f>CS_PID!T412/VLOOKUP($B412,표2[#ALL],2)/HLOOKUP($A412,표1[#ALL],row(),false)</f>
        <v>#N/A</v>
      </c>
      <c r="U412" s="372" t="str">
        <f>CS_PID!U412/VLOOKUP($B412,표2[#ALL],2)/HLOOKUP($A412,표1[#ALL],row(),false)</f>
        <v>#N/A</v>
      </c>
      <c r="V412" s="372" t="str">
        <f>CS_PID!V412/VLOOKUP($B412,표2[#ALL],2)/HLOOKUP($A412,표1[#ALL],row(),false)</f>
        <v>#N/A</v>
      </c>
      <c r="W412" s="372" t="str">
        <f>CS_PID!W412/VLOOKUP($B412,표2[#ALL],2)/HLOOKUP($A412,표1[#ALL],row(),false)</f>
        <v>#N/A</v>
      </c>
      <c r="X412" s="372" t="str">
        <f>CS_PID!X412/VLOOKUP($B412,표2[#ALL],2)/HLOOKUP($A412,표1[#ALL],row(),false)</f>
        <v>#N/A</v>
      </c>
      <c r="Y412" s="372" t="str">
        <f>CS_PID!Y412/VLOOKUP($B412,표2[#ALL],2)/HLOOKUP($A412,표1[#ALL],row(),false)</f>
        <v>#N/A</v>
      </c>
      <c r="Z412" s="372" t="str">
        <f>CS_PID!Z412/VLOOKUP($B412,표2[#ALL],2)/HLOOKUP($A412,표1[#ALL],row(),false)</f>
        <v>#N/A</v>
      </c>
      <c r="AA412" s="372" t="str">
        <f>CS_PID!AA412/VLOOKUP($B412,표2[#ALL],2)/HLOOKUP($A412,표1[#ALL],row(),false)</f>
        <v>#N/A</v>
      </c>
      <c r="AB412" s="372" t="str">
        <f>CS_PID!AB412/VLOOKUP($B412,표2[#ALL],2)/HLOOKUP($A412,표1[#ALL],row(),false)</f>
        <v>#N/A</v>
      </c>
      <c r="AC412" s="372" t="str">
        <f>CS_PID!AC412/VLOOKUP($B412,표2[#ALL],2)/HLOOKUP($A412,표1[#ALL],row(),false)</f>
        <v>#N/A</v>
      </c>
      <c r="AD412" s="372" t="str">
        <f>CS_PID!AD412/VLOOKUP($B412,표2[#ALL],2)/HLOOKUP($A412,표1[#ALL],row(),false)</f>
        <v>#N/A</v>
      </c>
      <c r="AE412" s="372" t="str">
        <f>CS_PID!AE412/VLOOKUP($B412,표2[#ALL],2)/HLOOKUP($A412,표1[#ALL],row(),false)</f>
        <v>#N/A</v>
      </c>
      <c r="AF412" s="372" t="str">
        <f>CS_PID!AF412/VLOOKUP($B412,표2[#ALL],2)/HLOOKUP($A412,표1[#ALL],row(),false)</f>
        <v>#N/A</v>
      </c>
      <c r="AG412" s="372" t="str">
        <f>CS_PID!AG412/VLOOKUP($B412,표2[#ALL],2)/HLOOKUP($A412,표1[#ALL],row(),false)</f>
        <v>#N/A</v>
      </c>
      <c r="AH412" s="372" t="str">
        <f>CS_PID!AH412/VLOOKUP($B412,표2[#ALL],2)/HLOOKUP($A412,표1[#ALL],row(),false)</f>
        <v>#N/A</v>
      </c>
      <c r="AI412" s="372" t="str">
        <f>CS_PID!AI412/VLOOKUP($B412,표2[#ALL],2)/HLOOKUP($A412,표1[#ALL],row(),false)</f>
        <v>#N/A</v>
      </c>
      <c r="AJ412" s="372" t="str">
        <f>CS_PID!AJ412/VLOOKUP($B412,표2[#ALL],2)/HLOOKUP($A412,표1[#ALL],row(),false)</f>
        <v>#N/A</v>
      </c>
      <c r="AK412" s="372" t="str">
        <f>CS_PID!AK412/VLOOKUP($B412,표2[#ALL],2)/HLOOKUP($A412,표1[#ALL],row(),false)</f>
        <v>#N/A</v>
      </c>
      <c r="AL412" s="372" t="str">
        <f>CS_PID!AL412/VLOOKUP($B412,표2[#ALL],2)/HLOOKUP($A412,표1[#ALL],row(),false)</f>
        <v>#N/A</v>
      </c>
      <c r="AM412" s="372" t="str">
        <f>CS_PID!AM412/VLOOKUP($B412,표2[#ALL],2)/HLOOKUP($A412,표1[#ALL],row(),false)</f>
        <v>#N/A</v>
      </c>
      <c r="AN412" s="372" t="str">
        <f>CS_PID!AN412/VLOOKUP($B412,표2[#ALL],2)/HLOOKUP($A412,표1[#ALL],row(),false)</f>
        <v>#N/A</v>
      </c>
      <c r="AO412" s="372" t="str">
        <f>CS_PID!AO412/VLOOKUP($B412,표2[#ALL],2)/HLOOKUP($A412,표1[#ALL],row(),false)</f>
        <v>#N/A</v>
      </c>
      <c r="AP412" s="372" t="str">
        <f>CS_PID!AP412/VLOOKUP($B412,표2[#ALL],2)/HLOOKUP($A412,표1[#ALL],row(),false)</f>
        <v>#N/A</v>
      </c>
      <c r="AQ412" s="372" t="str">
        <f>CS_PID!AQ412/VLOOKUP($B412,표2[#ALL],2)/HLOOKUP($A412,표1[#ALL],row(),false)</f>
        <v>#N/A</v>
      </c>
      <c r="AR412" s="372" t="str">
        <f>CS_PID!AR412/VLOOKUP($B412,표2[#ALL],2)/HLOOKUP($A412,표1[#ALL],row(),false)</f>
        <v>#N/A</v>
      </c>
      <c r="AS412" s="373" t="str">
        <f>CS_PID!AS412/VLOOKUP($B412,표2[#ALL],2)/HLOOKUP($A412,표1[#ALL],row(),false)</f>
        <v>#N/A</v>
      </c>
    </row>
    <row r="413">
      <c r="A413" s="374"/>
      <c r="B413" s="375"/>
      <c r="C413" s="376" t="str">
        <f>CS_PID!C413/VLOOKUP($B413,표2[#ALL],2)</f>
        <v>#N/A</v>
      </c>
      <c r="D413" s="376" t="str">
        <f>CS_PID!D413/VLOOKUP($B413,표2[#ALL],2)</f>
        <v>#N/A</v>
      </c>
      <c r="E413" s="376" t="str">
        <f>CS_PID!E413/VLOOKUP($B413,표2[#ALL],2)</f>
        <v>#N/A</v>
      </c>
      <c r="F413" s="376" t="str">
        <f>CS_PID!F413/VLOOKUP($B413,표2[#ALL],2)</f>
        <v>#N/A</v>
      </c>
      <c r="G413" s="376" t="str">
        <f>CS_PID!G413/VLOOKUP($B413,표2[#ALL],2)</f>
        <v>#N/A</v>
      </c>
      <c r="H413" s="376" t="str">
        <f>CS_PID!H413/VLOOKUP($B413,표2[#ALL],2)/HLOOKUP($A413,표1[#ALL],row(),false)</f>
        <v>#N/A</v>
      </c>
      <c r="I413" s="376" t="str">
        <f>CS_PID!I413/VLOOKUP($B413,표2[#ALL],2)/HLOOKUP($A413,표1[#ALL],row(),false)</f>
        <v>#N/A</v>
      </c>
      <c r="J413" s="376" t="str">
        <f>CS_PID!J413/VLOOKUP($B413,표2[#ALL],2)/HLOOKUP($A413,표1[#ALL],row(),false)</f>
        <v>#N/A</v>
      </c>
      <c r="K413" s="376" t="str">
        <f>CS_PID!K413/VLOOKUP($B413,표2[#ALL],2)/HLOOKUP($A413,표1[#ALL],row(),false)</f>
        <v>#N/A</v>
      </c>
      <c r="L413" s="376" t="str">
        <f>CS_PID!L413/VLOOKUP($B413,표2[#ALL],2)/HLOOKUP($A413,표1[#ALL],row(),false)</f>
        <v>#N/A</v>
      </c>
      <c r="M413" s="376" t="str">
        <f>CS_PID!M413/VLOOKUP($B413,표2[#ALL],2)/HLOOKUP($A413,표1[#ALL],row(),false)</f>
        <v>#N/A</v>
      </c>
      <c r="N413" s="376" t="str">
        <f>CS_PID!N413/VLOOKUP($B413,표2[#ALL],2)/HLOOKUP($A413,표1[#ALL],row(),false)</f>
        <v>#N/A</v>
      </c>
      <c r="O413" s="376" t="str">
        <f>CS_PID!O413/VLOOKUP($B413,표2[#ALL],2)/HLOOKUP($A413,표1[#ALL],row(),false)</f>
        <v>#N/A</v>
      </c>
      <c r="P413" s="376" t="str">
        <f>CS_PID!P413/VLOOKUP($B413,표2[#ALL],2)/HLOOKUP($A413,표1[#ALL],row(),false)</f>
        <v>#N/A</v>
      </c>
      <c r="Q413" s="376" t="str">
        <f>CS_PID!Q413/VLOOKUP($B413,표2[#ALL],2)/HLOOKUP($A413,표1[#ALL],row(),false)</f>
        <v>#N/A</v>
      </c>
      <c r="R413" s="376" t="str">
        <f>CS_PID!R413/VLOOKUP($B413,표2[#ALL],2)/HLOOKUP($A413,표1[#ALL],row(),false)</f>
        <v>#N/A</v>
      </c>
      <c r="S413" s="376" t="str">
        <f>CS_PID!S413/VLOOKUP($B413,표2[#ALL],2)/HLOOKUP($A413,표1[#ALL],row(),false)</f>
        <v>#N/A</v>
      </c>
      <c r="T413" s="376" t="str">
        <f>CS_PID!T413/VLOOKUP($B413,표2[#ALL],2)/HLOOKUP($A413,표1[#ALL],row(),false)</f>
        <v>#N/A</v>
      </c>
      <c r="U413" s="376" t="str">
        <f>CS_PID!U413/VLOOKUP($B413,표2[#ALL],2)/HLOOKUP($A413,표1[#ALL],row(),false)</f>
        <v>#N/A</v>
      </c>
      <c r="V413" s="376" t="str">
        <f>CS_PID!V413/VLOOKUP($B413,표2[#ALL],2)/HLOOKUP($A413,표1[#ALL],row(),false)</f>
        <v>#N/A</v>
      </c>
      <c r="W413" s="376" t="str">
        <f>CS_PID!W413/VLOOKUP($B413,표2[#ALL],2)/HLOOKUP($A413,표1[#ALL],row(),false)</f>
        <v>#N/A</v>
      </c>
      <c r="X413" s="376" t="str">
        <f>CS_PID!X413/VLOOKUP($B413,표2[#ALL],2)/HLOOKUP($A413,표1[#ALL],row(),false)</f>
        <v>#N/A</v>
      </c>
      <c r="Y413" s="376" t="str">
        <f>CS_PID!Y413/VLOOKUP($B413,표2[#ALL],2)/HLOOKUP($A413,표1[#ALL],row(),false)</f>
        <v>#N/A</v>
      </c>
      <c r="Z413" s="376" t="str">
        <f>CS_PID!Z413/VLOOKUP($B413,표2[#ALL],2)/HLOOKUP($A413,표1[#ALL],row(),false)</f>
        <v>#N/A</v>
      </c>
      <c r="AA413" s="376" t="str">
        <f>CS_PID!AA413/VLOOKUP($B413,표2[#ALL],2)/HLOOKUP($A413,표1[#ALL],row(),false)</f>
        <v>#N/A</v>
      </c>
      <c r="AB413" s="376" t="str">
        <f>CS_PID!AB413/VLOOKUP($B413,표2[#ALL],2)/HLOOKUP($A413,표1[#ALL],row(),false)</f>
        <v>#N/A</v>
      </c>
      <c r="AC413" s="376" t="str">
        <f>CS_PID!AC413/VLOOKUP($B413,표2[#ALL],2)/HLOOKUP($A413,표1[#ALL],row(),false)</f>
        <v>#N/A</v>
      </c>
      <c r="AD413" s="376" t="str">
        <f>CS_PID!AD413/VLOOKUP($B413,표2[#ALL],2)/HLOOKUP($A413,표1[#ALL],row(),false)</f>
        <v>#N/A</v>
      </c>
      <c r="AE413" s="376" t="str">
        <f>CS_PID!AE413/VLOOKUP($B413,표2[#ALL],2)/HLOOKUP($A413,표1[#ALL],row(),false)</f>
        <v>#N/A</v>
      </c>
      <c r="AF413" s="376" t="str">
        <f>CS_PID!AF413/VLOOKUP($B413,표2[#ALL],2)/HLOOKUP($A413,표1[#ALL],row(),false)</f>
        <v>#N/A</v>
      </c>
      <c r="AG413" s="376" t="str">
        <f>CS_PID!AG413/VLOOKUP($B413,표2[#ALL],2)/HLOOKUP($A413,표1[#ALL],row(),false)</f>
        <v>#N/A</v>
      </c>
      <c r="AH413" s="376" t="str">
        <f>CS_PID!AH413/VLOOKUP($B413,표2[#ALL],2)/HLOOKUP($A413,표1[#ALL],row(),false)</f>
        <v>#N/A</v>
      </c>
      <c r="AI413" s="376" t="str">
        <f>CS_PID!AI413/VLOOKUP($B413,표2[#ALL],2)/HLOOKUP($A413,표1[#ALL],row(),false)</f>
        <v>#N/A</v>
      </c>
      <c r="AJ413" s="376" t="str">
        <f>CS_PID!AJ413/VLOOKUP($B413,표2[#ALL],2)/HLOOKUP($A413,표1[#ALL],row(),false)</f>
        <v>#N/A</v>
      </c>
      <c r="AK413" s="376" t="str">
        <f>CS_PID!AK413/VLOOKUP($B413,표2[#ALL],2)/HLOOKUP($A413,표1[#ALL],row(),false)</f>
        <v>#N/A</v>
      </c>
      <c r="AL413" s="376" t="str">
        <f>CS_PID!AL413/VLOOKUP($B413,표2[#ALL],2)/HLOOKUP($A413,표1[#ALL],row(),false)</f>
        <v>#N/A</v>
      </c>
      <c r="AM413" s="376" t="str">
        <f>CS_PID!AM413/VLOOKUP($B413,표2[#ALL],2)/HLOOKUP($A413,표1[#ALL],row(),false)</f>
        <v>#N/A</v>
      </c>
      <c r="AN413" s="376" t="str">
        <f>CS_PID!AN413/VLOOKUP($B413,표2[#ALL],2)/HLOOKUP($A413,표1[#ALL],row(),false)</f>
        <v>#N/A</v>
      </c>
      <c r="AO413" s="376" t="str">
        <f>CS_PID!AO413/VLOOKUP($B413,표2[#ALL],2)/HLOOKUP($A413,표1[#ALL],row(),false)</f>
        <v>#N/A</v>
      </c>
      <c r="AP413" s="376" t="str">
        <f>CS_PID!AP413/VLOOKUP($B413,표2[#ALL],2)/HLOOKUP($A413,표1[#ALL],row(),false)</f>
        <v>#N/A</v>
      </c>
      <c r="AQ413" s="376" t="str">
        <f>CS_PID!AQ413/VLOOKUP($B413,표2[#ALL],2)/HLOOKUP($A413,표1[#ALL],row(),false)</f>
        <v>#N/A</v>
      </c>
      <c r="AR413" s="376" t="str">
        <f>CS_PID!AR413/VLOOKUP($B413,표2[#ALL],2)/HLOOKUP($A413,표1[#ALL],row(),false)</f>
        <v>#N/A</v>
      </c>
      <c r="AS413" s="377" t="str">
        <f>CS_PID!AS413/VLOOKUP($B413,표2[#ALL],2)/HLOOKUP($A413,표1[#ALL],row(),false)</f>
        <v>#N/A</v>
      </c>
    </row>
    <row r="414">
      <c r="A414" s="370"/>
      <c r="B414" s="371"/>
      <c r="C414" s="372" t="str">
        <f>CS_PID!C414/VLOOKUP($B414,표2[#ALL],2)</f>
        <v>#N/A</v>
      </c>
      <c r="D414" s="372" t="str">
        <f>CS_PID!D414/VLOOKUP($B414,표2[#ALL],2)</f>
        <v>#N/A</v>
      </c>
      <c r="E414" s="372" t="str">
        <f>CS_PID!E414/VLOOKUP($B414,표2[#ALL],2)</f>
        <v>#N/A</v>
      </c>
      <c r="F414" s="372" t="str">
        <f>CS_PID!F414/VLOOKUP($B414,표2[#ALL],2)</f>
        <v>#N/A</v>
      </c>
      <c r="G414" s="372" t="str">
        <f>CS_PID!G414/VLOOKUP($B414,표2[#ALL],2)</f>
        <v>#N/A</v>
      </c>
      <c r="H414" s="372" t="str">
        <f>CS_PID!H414/VLOOKUP($B414,표2[#ALL],2)/HLOOKUP($A414,표1[#ALL],row(),false)</f>
        <v>#N/A</v>
      </c>
      <c r="I414" s="372" t="str">
        <f>CS_PID!I414/VLOOKUP($B414,표2[#ALL],2)/HLOOKUP($A414,표1[#ALL],row(),false)</f>
        <v>#N/A</v>
      </c>
      <c r="J414" s="372" t="str">
        <f>CS_PID!J414/VLOOKUP($B414,표2[#ALL],2)/HLOOKUP($A414,표1[#ALL],row(),false)</f>
        <v>#N/A</v>
      </c>
      <c r="K414" s="372" t="str">
        <f>CS_PID!K414/VLOOKUP($B414,표2[#ALL],2)/HLOOKUP($A414,표1[#ALL],row(),false)</f>
        <v>#N/A</v>
      </c>
      <c r="L414" s="372" t="str">
        <f>CS_PID!L414/VLOOKUP($B414,표2[#ALL],2)/HLOOKUP($A414,표1[#ALL],row(),false)</f>
        <v>#N/A</v>
      </c>
      <c r="M414" s="372" t="str">
        <f>CS_PID!M414/VLOOKUP($B414,표2[#ALL],2)/HLOOKUP($A414,표1[#ALL],row(),false)</f>
        <v>#N/A</v>
      </c>
      <c r="N414" s="372" t="str">
        <f>CS_PID!N414/VLOOKUP($B414,표2[#ALL],2)/HLOOKUP($A414,표1[#ALL],row(),false)</f>
        <v>#N/A</v>
      </c>
      <c r="O414" s="372" t="str">
        <f>CS_PID!O414/VLOOKUP($B414,표2[#ALL],2)/HLOOKUP($A414,표1[#ALL],row(),false)</f>
        <v>#N/A</v>
      </c>
      <c r="P414" s="372" t="str">
        <f>CS_PID!P414/VLOOKUP($B414,표2[#ALL],2)/HLOOKUP($A414,표1[#ALL],row(),false)</f>
        <v>#N/A</v>
      </c>
      <c r="Q414" s="372" t="str">
        <f>CS_PID!Q414/VLOOKUP($B414,표2[#ALL],2)/HLOOKUP($A414,표1[#ALL],row(),false)</f>
        <v>#N/A</v>
      </c>
      <c r="R414" s="372" t="str">
        <f>CS_PID!R414/VLOOKUP($B414,표2[#ALL],2)/HLOOKUP($A414,표1[#ALL],row(),false)</f>
        <v>#N/A</v>
      </c>
      <c r="S414" s="372" t="str">
        <f>CS_PID!S414/VLOOKUP($B414,표2[#ALL],2)/HLOOKUP($A414,표1[#ALL],row(),false)</f>
        <v>#N/A</v>
      </c>
      <c r="T414" s="372" t="str">
        <f>CS_PID!T414/VLOOKUP($B414,표2[#ALL],2)/HLOOKUP($A414,표1[#ALL],row(),false)</f>
        <v>#N/A</v>
      </c>
      <c r="U414" s="372" t="str">
        <f>CS_PID!U414/VLOOKUP($B414,표2[#ALL],2)/HLOOKUP($A414,표1[#ALL],row(),false)</f>
        <v>#N/A</v>
      </c>
      <c r="V414" s="372" t="str">
        <f>CS_PID!V414/VLOOKUP($B414,표2[#ALL],2)/HLOOKUP($A414,표1[#ALL],row(),false)</f>
        <v>#N/A</v>
      </c>
      <c r="W414" s="372" t="str">
        <f>CS_PID!W414/VLOOKUP($B414,표2[#ALL],2)/HLOOKUP($A414,표1[#ALL],row(),false)</f>
        <v>#N/A</v>
      </c>
      <c r="X414" s="372" t="str">
        <f>CS_PID!X414/VLOOKUP($B414,표2[#ALL],2)/HLOOKUP($A414,표1[#ALL],row(),false)</f>
        <v>#N/A</v>
      </c>
      <c r="Y414" s="372" t="str">
        <f>CS_PID!Y414/VLOOKUP($B414,표2[#ALL],2)/HLOOKUP($A414,표1[#ALL],row(),false)</f>
        <v>#N/A</v>
      </c>
      <c r="Z414" s="372" t="str">
        <f>CS_PID!Z414/VLOOKUP($B414,표2[#ALL],2)/HLOOKUP($A414,표1[#ALL],row(),false)</f>
        <v>#N/A</v>
      </c>
      <c r="AA414" s="372" t="str">
        <f>CS_PID!AA414/VLOOKUP($B414,표2[#ALL],2)/HLOOKUP($A414,표1[#ALL],row(),false)</f>
        <v>#N/A</v>
      </c>
      <c r="AB414" s="372" t="str">
        <f>CS_PID!AB414/VLOOKUP($B414,표2[#ALL],2)/HLOOKUP($A414,표1[#ALL],row(),false)</f>
        <v>#N/A</v>
      </c>
      <c r="AC414" s="372" t="str">
        <f>CS_PID!AC414/VLOOKUP($B414,표2[#ALL],2)/HLOOKUP($A414,표1[#ALL],row(),false)</f>
        <v>#N/A</v>
      </c>
      <c r="AD414" s="372" t="str">
        <f>CS_PID!AD414/VLOOKUP($B414,표2[#ALL],2)/HLOOKUP($A414,표1[#ALL],row(),false)</f>
        <v>#N/A</v>
      </c>
      <c r="AE414" s="372" t="str">
        <f>CS_PID!AE414/VLOOKUP($B414,표2[#ALL],2)/HLOOKUP($A414,표1[#ALL],row(),false)</f>
        <v>#N/A</v>
      </c>
      <c r="AF414" s="372" t="str">
        <f>CS_PID!AF414/VLOOKUP($B414,표2[#ALL],2)/HLOOKUP($A414,표1[#ALL],row(),false)</f>
        <v>#N/A</v>
      </c>
      <c r="AG414" s="372" t="str">
        <f>CS_PID!AG414/VLOOKUP($B414,표2[#ALL],2)/HLOOKUP($A414,표1[#ALL],row(),false)</f>
        <v>#N/A</v>
      </c>
      <c r="AH414" s="372" t="str">
        <f>CS_PID!AH414/VLOOKUP($B414,표2[#ALL],2)/HLOOKUP($A414,표1[#ALL],row(),false)</f>
        <v>#N/A</v>
      </c>
      <c r="AI414" s="372" t="str">
        <f>CS_PID!AI414/VLOOKUP($B414,표2[#ALL],2)/HLOOKUP($A414,표1[#ALL],row(),false)</f>
        <v>#N/A</v>
      </c>
      <c r="AJ414" s="372" t="str">
        <f>CS_PID!AJ414/VLOOKUP($B414,표2[#ALL],2)/HLOOKUP($A414,표1[#ALL],row(),false)</f>
        <v>#N/A</v>
      </c>
      <c r="AK414" s="372" t="str">
        <f>CS_PID!AK414/VLOOKUP($B414,표2[#ALL],2)/HLOOKUP($A414,표1[#ALL],row(),false)</f>
        <v>#N/A</v>
      </c>
      <c r="AL414" s="372" t="str">
        <f>CS_PID!AL414/VLOOKUP($B414,표2[#ALL],2)/HLOOKUP($A414,표1[#ALL],row(),false)</f>
        <v>#N/A</v>
      </c>
      <c r="AM414" s="372" t="str">
        <f>CS_PID!AM414/VLOOKUP($B414,표2[#ALL],2)/HLOOKUP($A414,표1[#ALL],row(),false)</f>
        <v>#N/A</v>
      </c>
      <c r="AN414" s="372" t="str">
        <f>CS_PID!AN414/VLOOKUP($B414,표2[#ALL],2)/HLOOKUP($A414,표1[#ALL],row(),false)</f>
        <v>#N/A</v>
      </c>
      <c r="AO414" s="372" t="str">
        <f>CS_PID!AO414/VLOOKUP($B414,표2[#ALL],2)/HLOOKUP($A414,표1[#ALL],row(),false)</f>
        <v>#N/A</v>
      </c>
      <c r="AP414" s="372" t="str">
        <f>CS_PID!AP414/VLOOKUP($B414,표2[#ALL],2)/HLOOKUP($A414,표1[#ALL],row(),false)</f>
        <v>#N/A</v>
      </c>
      <c r="AQ414" s="372" t="str">
        <f>CS_PID!AQ414/VLOOKUP($B414,표2[#ALL],2)/HLOOKUP($A414,표1[#ALL],row(),false)</f>
        <v>#N/A</v>
      </c>
      <c r="AR414" s="372" t="str">
        <f>CS_PID!AR414/VLOOKUP($B414,표2[#ALL],2)/HLOOKUP($A414,표1[#ALL],row(),false)</f>
        <v>#N/A</v>
      </c>
      <c r="AS414" s="373" t="str">
        <f>CS_PID!AS414/VLOOKUP($B414,표2[#ALL],2)/HLOOKUP($A414,표1[#ALL],row(),false)</f>
        <v>#N/A</v>
      </c>
    </row>
    <row r="415">
      <c r="A415" s="374"/>
      <c r="B415" s="375"/>
      <c r="C415" s="376" t="str">
        <f>CS_PID!C415/VLOOKUP($B415,표2[#ALL],2)</f>
        <v>#N/A</v>
      </c>
      <c r="D415" s="376" t="str">
        <f>CS_PID!D415/VLOOKUP($B415,표2[#ALL],2)</f>
        <v>#N/A</v>
      </c>
      <c r="E415" s="376" t="str">
        <f>CS_PID!E415/VLOOKUP($B415,표2[#ALL],2)</f>
        <v>#N/A</v>
      </c>
      <c r="F415" s="376" t="str">
        <f>CS_PID!F415/VLOOKUP($B415,표2[#ALL],2)</f>
        <v>#N/A</v>
      </c>
      <c r="G415" s="376" t="str">
        <f>CS_PID!G415/VLOOKUP($B415,표2[#ALL],2)</f>
        <v>#N/A</v>
      </c>
      <c r="H415" s="376" t="str">
        <f>CS_PID!H415/VLOOKUP($B415,표2[#ALL],2)/HLOOKUP($A415,표1[#ALL],row(),false)</f>
        <v>#N/A</v>
      </c>
      <c r="I415" s="376" t="str">
        <f>CS_PID!I415/VLOOKUP($B415,표2[#ALL],2)/HLOOKUP($A415,표1[#ALL],row(),false)</f>
        <v>#N/A</v>
      </c>
      <c r="J415" s="376" t="str">
        <f>CS_PID!J415/VLOOKUP($B415,표2[#ALL],2)/HLOOKUP($A415,표1[#ALL],row(),false)</f>
        <v>#N/A</v>
      </c>
      <c r="K415" s="376" t="str">
        <f>CS_PID!K415/VLOOKUP($B415,표2[#ALL],2)/HLOOKUP($A415,표1[#ALL],row(),false)</f>
        <v>#N/A</v>
      </c>
      <c r="L415" s="376" t="str">
        <f>CS_PID!L415/VLOOKUP($B415,표2[#ALL],2)/HLOOKUP($A415,표1[#ALL],row(),false)</f>
        <v>#N/A</v>
      </c>
      <c r="M415" s="376" t="str">
        <f>CS_PID!M415/VLOOKUP($B415,표2[#ALL],2)/HLOOKUP($A415,표1[#ALL],row(),false)</f>
        <v>#N/A</v>
      </c>
      <c r="N415" s="376" t="str">
        <f>CS_PID!N415/VLOOKUP($B415,표2[#ALL],2)/HLOOKUP($A415,표1[#ALL],row(),false)</f>
        <v>#N/A</v>
      </c>
      <c r="O415" s="376" t="str">
        <f>CS_PID!O415/VLOOKUP($B415,표2[#ALL],2)/HLOOKUP($A415,표1[#ALL],row(),false)</f>
        <v>#N/A</v>
      </c>
      <c r="P415" s="376" t="str">
        <f>CS_PID!P415/VLOOKUP($B415,표2[#ALL],2)/HLOOKUP($A415,표1[#ALL],row(),false)</f>
        <v>#N/A</v>
      </c>
      <c r="Q415" s="376" t="str">
        <f>CS_PID!Q415/VLOOKUP($B415,표2[#ALL],2)/HLOOKUP($A415,표1[#ALL],row(),false)</f>
        <v>#N/A</v>
      </c>
      <c r="R415" s="376" t="str">
        <f>CS_PID!R415/VLOOKUP($B415,표2[#ALL],2)/HLOOKUP($A415,표1[#ALL],row(),false)</f>
        <v>#N/A</v>
      </c>
      <c r="S415" s="376" t="str">
        <f>CS_PID!S415/VLOOKUP($B415,표2[#ALL],2)/HLOOKUP($A415,표1[#ALL],row(),false)</f>
        <v>#N/A</v>
      </c>
      <c r="T415" s="376" t="str">
        <f>CS_PID!T415/VLOOKUP($B415,표2[#ALL],2)/HLOOKUP($A415,표1[#ALL],row(),false)</f>
        <v>#N/A</v>
      </c>
      <c r="U415" s="376" t="str">
        <f>CS_PID!U415/VLOOKUP($B415,표2[#ALL],2)/HLOOKUP($A415,표1[#ALL],row(),false)</f>
        <v>#N/A</v>
      </c>
      <c r="V415" s="376" t="str">
        <f>CS_PID!V415/VLOOKUP($B415,표2[#ALL],2)/HLOOKUP($A415,표1[#ALL],row(),false)</f>
        <v>#N/A</v>
      </c>
      <c r="W415" s="376" t="str">
        <f>CS_PID!W415/VLOOKUP($B415,표2[#ALL],2)/HLOOKUP($A415,표1[#ALL],row(),false)</f>
        <v>#N/A</v>
      </c>
      <c r="X415" s="376" t="str">
        <f>CS_PID!X415/VLOOKUP($B415,표2[#ALL],2)/HLOOKUP($A415,표1[#ALL],row(),false)</f>
        <v>#N/A</v>
      </c>
      <c r="Y415" s="376" t="str">
        <f>CS_PID!Y415/VLOOKUP($B415,표2[#ALL],2)/HLOOKUP($A415,표1[#ALL],row(),false)</f>
        <v>#N/A</v>
      </c>
      <c r="Z415" s="376" t="str">
        <f>CS_PID!Z415/VLOOKUP($B415,표2[#ALL],2)/HLOOKUP($A415,표1[#ALL],row(),false)</f>
        <v>#N/A</v>
      </c>
      <c r="AA415" s="376" t="str">
        <f>CS_PID!AA415/VLOOKUP($B415,표2[#ALL],2)/HLOOKUP($A415,표1[#ALL],row(),false)</f>
        <v>#N/A</v>
      </c>
      <c r="AB415" s="376" t="str">
        <f>CS_PID!AB415/VLOOKUP($B415,표2[#ALL],2)/HLOOKUP($A415,표1[#ALL],row(),false)</f>
        <v>#N/A</v>
      </c>
      <c r="AC415" s="376" t="str">
        <f>CS_PID!AC415/VLOOKUP($B415,표2[#ALL],2)/HLOOKUP($A415,표1[#ALL],row(),false)</f>
        <v>#N/A</v>
      </c>
      <c r="AD415" s="376" t="str">
        <f>CS_PID!AD415/VLOOKUP($B415,표2[#ALL],2)/HLOOKUP($A415,표1[#ALL],row(),false)</f>
        <v>#N/A</v>
      </c>
      <c r="AE415" s="376" t="str">
        <f>CS_PID!AE415/VLOOKUP($B415,표2[#ALL],2)/HLOOKUP($A415,표1[#ALL],row(),false)</f>
        <v>#N/A</v>
      </c>
      <c r="AF415" s="376" t="str">
        <f>CS_PID!AF415/VLOOKUP($B415,표2[#ALL],2)/HLOOKUP($A415,표1[#ALL],row(),false)</f>
        <v>#N/A</v>
      </c>
      <c r="AG415" s="376" t="str">
        <f>CS_PID!AG415/VLOOKUP($B415,표2[#ALL],2)/HLOOKUP($A415,표1[#ALL],row(),false)</f>
        <v>#N/A</v>
      </c>
      <c r="AH415" s="376" t="str">
        <f>CS_PID!AH415/VLOOKUP($B415,표2[#ALL],2)/HLOOKUP($A415,표1[#ALL],row(),false)</f>
        <v>#N/A</v>
      </c>
      <c r="AI415" s="376" t="str">
        <f>CS_PID!AI415/VLOOKUP($B415,표2[#ALL],2)/HLOOKUP($A415,표1[#ALL],row(),false)</f>
        <v>#N/A</v>
      </c>
      <c r="AJ415" s="376" t="str">
        <f>CS_PID!AJ415/VLOOKUP($B415,표2[#ALL],2)/HLOOKUP($A415,표1[#ALL],row(),false)</f>
        <v>#N/A</v>
      </c>
      <c r="AK415" s="376" t="str">
        <f>CS_PID!AK415/VLOOKUP($B415,표2[#ALL],2)/HLOOKUP($A415,표1[#ALL],row(),false)</f>
        <v>#N/A</v>
      </c>
      <c r="AL415" s="376" t="str">
        <f>CS_PID!AL415/VLOOKUP($B415,표2[#ALL],2)/HLOOKUP($A415,표1[#ALL],row(),false)</f>
        <v>#N/A</v>
      </c>
      <c r="AM415" s="376" t="str">
        <f>CS_PID!AM415/VLOOKUP($B415,표2[#ALL],2)/HLOOKUP($A415,표1[#ALL],row(),false)</f>
        <v>#N/A</v>
      </c>
      <c r="AN415" s="376" t="str">
        <f>CS_PID!AN415/VLOOKUP($B415,표2[#ALL],2)/HLOOKUP($A415,표1[#ALL],row(),false)</f>
        <v>#N/A</v>
      </c>
      <c r="AO415" s="376" t="str">
        <f>CS_PID!AO415/VLOOKUP($B415,표2[#ALL],2)/HLOOKUP($A415,표1[#ALL],row(),false)</f>
        <v>#N/A</v>
      </c>
      <c r="AP415" s="376" t="str">
        <f>CS_PID!AP415/VLOOKUP($B415,표2[#ALL],2)/HLOOKUP($A415,표1[#ALL],row(),false)</f>
        <v>#N/A</v>
      </c>
      <c r="AQ415" s="376" t="str">
        <f>CS_PID!AQ415/VLOOKUP($B415,표2[#ALL],2)/HLOOKUP($A415,표1[#ALL],row(),false)</f>
        <v>#N/A</v>
      </c>
      <c r="AR415" s="376" t="str">
        <f>CS_PID!AR415/VLOOKUP($B415,표2[#ALL],2)/HLOOKUP($A415,표1[#ALL],row(),false)</f>
        <v>#N/A</v>
      </c>
      <c r="AS415" s="377" t="str">
        <f>CS_PID!AS415/VLOOKUP($B415,표2[#ALL],2)/HLOOKUP($A415,표1[#ALL],row(),false)</f>
        <v>#N/A</v>
      </c>
    </row>
    <row r="416">
      <c r="A416" s="370"/>
      <c r="B416" s="371"/>
      <c r="C416" s="372" t="str">
        <f>CS_PID!C416/VLOOKUP($B416,표2[#ALL],2)</f>
        <v>#N/A</v>
      </c>
      <c r="D416" s="372" t="str">
        <f>CS_PID!D416/VLOOKUP($B416,표2[#ALL],2)</f>
        <v>#N/A</v>
      </c>
      <c r="E416" s="372" t="str">
        <f>CS_PID!E416/VLOOKUP($B416,표2[#ALL],2)</f>
        <v>#N/A</v>
      </c>
      <c r="F416" s="372" t="str">
        <f>CS_PID!F416/VLOOKUP($B416,표2[#ALL],2)</f>
        <v>#N/A</v>
      </c>
      <c r="G416" s="372" t="str">
        <f>CS_PID!G416/VLOOKUP($B416,표2[#ALL],2)</f>
        <v>#N/A</v>
      </c>
      <c r="H416" s="372" t="str">
        <f>CS_PID!H416/VLOOKUP($B416,표2[#ALL],2)/HLOOKUP($A416,표1[#ALL],row(),false)</f>
        <v>#N/A</v>
      </c>
      <c r="I416" s="372" t="str">
        <f>CS_PID!I416/VLOOKUP($B416,표2[#ALL],2)/HLOOKUP($A416,표1[#ALL],row(),false)</f>
        <v>#N/A</v>
      </c>
      <c r="J416" s="372" t="str">
        <f>CS_PID!J416/VLOOKUP($B416,표2[#ALL],2)/HLOOKUP($A416,표1[#ALL],row(),false)</f>
        <v>#N/A</v>
      </c>
      <c r="K416" s="372" t="str">
        <f>CS_PID!K416/VLOOKUP($B416,표2[#ALL],2)/HLOOKUP($A416,표1[#ALL],row(),false)</f>
        <v>#N/A</v>
      </c>
      <c r="L416" s="372" t="str">
        <f>CS_PID!L416/VLOOKUP($B416,표2[#ALL],2)/HLOOKUP($A416,표1[#ALL],row(),false)</f>
        <v>#N/A</v>
      </c>
      <c r="M416" s="372" t="str">
        <f>CS_PID!M416/VLOOKUP($B416,표2[#ALL],2)/HLOOKUP($A416,표1[#ALL],row(),false)</f>
        <v>#N/A</v>
      </c>
      <c r="N416" s="372" t="str">
        <f>CS_PID!N416/VLOOKUP($B416,표2[#ALL],2)/HLOOKUP($A416,표1[#ALL],row(),false)</f>
        <v>#N/A</v>
      </c>
      <c r="O416" s="372" t="str">
        <f>CS_PID!O416/VLOOKUP($B416,표2[#ALL],2)/HLOOKUP($A416,표1[#ALL],row(),false)</f>
        <v>#N/A</v>
      </c>
      <c r="P416" s="372" t="str">
        <f>CS_PID!P416/VLOOKUP($B416,표2[#ALL],2)/HLOOKUP($A416,표1[#ALL],row(),false)</f>
        <v>#N/A</v>
      </c>
      <c r="Q416" s="372" t="str">
        <f>CS_PID!Q416/VLOOKUP($B416,표2[#ALL],2)/HLOOKUP($A416,표1[#ALL],row(),false)</f>
        <v>#N/A</v>
      </c>
      <c r="R416" s="372" t="str">
        <f>CS_PID!R416/VLOOKUP($B416,표2[#ALL],2)/HLOOKUP($A416,표1[#ALL],row(),false)</f>
        <v>#N/A</v>
      </c>
      <c r="S416" s="372" t="str">
        <f>CS_PID!S416/VLOOKUP($B416,표2[#ALL],2)/HLOOKUP($A416,표1[#ALL],row(),false)</f>
        <v>#N/A</v>
      </c>
      <c r="T416" s="372" t="str">
        <f>CS_PID!T416/VLOOKUP($B416,표2[#ALL],2)/HLOOKUP($A416,표1[#ALL],row(),false)</f>
        <v>#N/A</v>
      </c>
      <c r="U416" s="372" t="str">
        <f>CS_PID!U416/VLOOKUP($B416,표2[#ALL],2)/HLOOKUP($A416,표1[#ALL],row(),false)</f>
        <v>#N/A</v>
      </c>
      <c r="V416" s="372" t="str">
        <f>CS_PID!V416/VLOOKUP($B416,표2[#ALL],2)/HLOOKUP($A416,표1[#ALL],row(),false)</f>
        <v>#N/A</v>
      </c>
      <c r="W416" s="372" t="str">
        <f>CS_PID!W416/VLOOKUP($B416,표2[#ALL],2)/HLOOKUP($A416,표1[#ALL],row(),false)</f>
        <v>#N/A</v>
      </c>
      <c r="X416" s="372" t="str">
        <f>CS_PID!X416/VLOOKUP($B416,표2[#ALL],2)/HLOOKUP($A416,표1[#ALL],row(),false)</f>
        <v>#N/A</v>
      </c>
      <c r="Y416" s="372" t="str">
        <f>CS_PID!Y416/VLOOKUP($B416,표2[#ALL],2)/HLOOKUP($A416,표1[#ALL],row(),false)</f>
        <v>#N/A</v>
      </c>
      <c r="Z416" s="372" t="str">
        <f>CS_PID!Z416/VLOOKUP($B416,표2[#ALL],2)/HLOOKUP($A416,표1[#ALL],row(),false)</f>
        <v>#N/A</v>
      </c>
      <c r="AA416" s="372" t="str">
        <f>CS_PID!AA416/VLOOKUP($B416,표2[#ALL],2)/HLOOKUP($A416,표1[#ALL],row(),false)</f>
        <v>#N/A</v>
      </c>
      <c r="AB416" s="372" t="str">
        <f>CS_PID!AB416/VLOOKUP($B416,표2[#ALL],2)/HLOOKUP($A416,표1[#ALL],row(),false)</f>
        <v>#N/A</v>
      </c>
      <c r="AC416" s="372" t="str">
        <f>CS_PID!AC416/VLOOKUP($B416,표2[#ALL],2)/HLOOKUP($A416,표1[#ALL],row(),false)</f>
        <v>#N/A</v>
      </c>
      <c r="AD416" s="372" t="str">
        <f>CS_PID!AD416/VLOOKUP($B416,표2[#ALL],2)/HLOOKUP($A416,표1[#ALL],row(),false)</f>
        <v>#N/A</v>
      </c>
      <c r="AE416" s="372" t="str">
        <f>CS_PID!AE416/VLOOKUP($B416,표2[#ALL],2)/HLOOKUP($A416,표1[#ALL],row(),false)</f>
        <v>#N/A</v>
      </c>
      <c r="AF416" s="372" t="str">
        <f>CS_PID!AF416/VLOOKUP($B416,표2[#ALL],2)/HLOOKUP($A416,표1[#ALL],row(),false)</f>
        <v>#N/A</v>
      </c>
      <c r="AG416" s="372" t="str">
        <f>CS_PID!AG416/VLOOKUP($B416,표2[#ALL],2)/HLOOKUP($A416,표1[#ALL],row(),false)</f>
        <v>#N/A</v>
      </c>
      <c r="AH416" s="372" t="str">
        <f>CS_PID!AH416/VLOOKUP($B416,표2[#ALL],2)/HLOOKUP($A416,표1[#ALL],row(),false)</f>
        <v>#N/A</v>
      </c>
      <c r="AI416" s="372" t="str">
        <f>CS_PID!AI416/VLOOKUP($B416,표2[#ALL],2)/HLOOKUP($A416,표1[#ALL],row(),false)</f>
        <v>#N/A</v>
      </c>
      <c r="AJ416" s="372" t="str">
        <f>CS_PID!AJ416/VLOOKUP($B416,표2[#ALL],2)/HLOOKUP($A416,표1[#ALL],row(),false)</f>
        <v>#N/A</v>
      </c>
      <c r="AK416" s="372" t="str">
        <f>CS_PID!AK416/VLOOKUP($B416,표2[#ALL],2)/HLOOKUP($A416,표1[#ALL],row(),false)</f>
        <v>#N/A</v>
      </c>
      <c r="AL416" s="372" t="str">
        <f>CS_PID!AL416/VLOOKUP($B416,표2[#ALL],2)/HLOOKUP($A416,표1[#ALL],row(),false)</f>
        <v>#N/A</v>
      </c>
      <c r="AM416" s="372" t="str">
        <f>CS_PID!AM416/VLOOKUP($B416,표2[#ALL],2)/HLOOKUP($A416,표1[#ALL],row(),false)</f>
        <v>#N/A</v>
      </c>
      <c r="AN416" s="372" t="str">
        <f>CS_PID!AN416/VLOOKUP($B416,표2[#ALL],2)/HLOOKUP($A416,표1[#ALL],row(),false)</f>
        <v>#N/A</v>
      </c>
      <c r="AO416" s="372" t="str">
        <f>CS_PID!AO416/VLOOKUP($B416,표2[#ALL],2)/HLOOKUP($A416,표1[#ALL],row(),false)</f>
        <v>#N/A</v>
      </c>
      <c r="AP416" s="372" t="str">
        <f>CS_PID!AP416/VLOOKUP($B416,표2[#ALL],2)/HLOOKUP($A416,표1[#ALL],row(),false)</f>
        <v>#N/A</v>
      </c>
      <c r="AQ416" s="372" t="str">
        <f>CS_PID!AQ416/VLOOKUP($B416,표2[#ALL],2)/HLOOKUP($A416,표1[#ALL],row(),false)</f>
        <v>#N/A</v>
      </c>
      <c r="AR416" s="372" t="str">
        <f>CS_PID!AR416/VLOOKUP($B416,표2[#ALL],2)/HLOOKUP($A416,표1[#ALL],row(),false)</f>
        <v>#N/A</v>
      </c>
      <c r="AS416" s="373" t="str">
        <f>CS_PID!AS416/VLOOKUP($B416,표2[#ALL],2)/HLOOKUP($A416,표1[#ALL],row(),false)</f>
        <v>#N/A</v>
      </c>
    </row>
    <row r="417">
      <c r="A417" s="374"/>
      <c r="B417" s="375"/>
      <c r="C417" s="376" t="str">
        <f>CS_PID!C417/VLOOKUP($B417,표2[#ALL],2)</f>
        <v>#N/A</v>
      </c>
      <c r="D417" s="376" t="str">
        <f>CS_PID!D417/VLOOKUP($B417,표2[#ALL],2)</f>
        <v>#N/A</v>
      </c>
      <c r="E417" s="376" t="str">
        <f>CS_PID!E417/VLOOKUP($B417,표2[#ALL],2)</f>
        <v>#N/A</v>
      </c>
      <c r="F417" s="376" t="str">
        <f>CS_PID!F417/VLOOKUP($B417,표2[#ALL],2)</f>
        <v>#N/A</v>
      </c>
      <c r="G417" s="376" t="str">
        <f>CS_PID!G417/VLOOKUP($B417,표2[#ALL],2)</f>
        <v>#N/A</v>
      </c>
      <c r="H417" s="376" t="str">
        <f>CS_PID!H417/VLOOKUP($B417,표2[#ALL],2)/HLOOKUP($A417,표1[#ALL],row(),false)</f>
        <v>#N/A</v>
      </c>
      <c r="I417" s="376" t="str">
        <f>CS_PID!I417/VLOOKUP($B417,표2[#ALL],2)/HLOOKUP($A417,표1[#ALL],row(),false)</f>
        <v>#N/A</v>
      </c>
      <c r="J417" s="376" t="str">
        <f>CS_PID!J417/VLOOKUP($B417,표2[#ALL],2)/HLOOKUP($A417,표1[#ALL],row(),false)</f>
        <v>#N/A</v>
      </c>
      <c r="K417" s="376" t="str">
        <f>CS_PID!K417/VLOOKUP($B417,표2[#ALL],2)/HLOOKUP($A417,표1[#ALL],row(),false)</f>
        <v>#N/A</v>
      </c>
      <c r="L417" s="376" t="str">
        <f>CS_PID!L417/VLOOKUP($B417,표2[#ALL],2)/HLOOKUP($A417,표1[#ALL],row(),false)</f>
        <v>#N/A</v>
      </c>
      <c r="M417" s="376" t="str">
        <f>CS_PID!M417/VLOOKUP($B417,표2[#ALL],2)/HLOOKUP($A417,표1[#ALL],row(),false)</f>
        <v>#N/A</v>
      </c>
      <c r="N417" s="376" t="str">
        <f>CS_PID!N417/VLOOKUP($B417,표2[#ALL],2)/HLOOKUP($A417,표1[#ALL],row(),false)</f>
        <v>#N/A</v>
      </c>
      <c r="O417" s="376" t="str">
        <f>CS_PID!O417/VLOOKUP($B417,표2[#ALL],2)/HLOOKUP($A417,표1[#ALL],row(),false)</f>
        <v>#N/A</v>
      </c>
      <c r="P417" s="376" t="str">
        <f>CS_PID!P417/VLOOKUP($B417,표2[#ALL],2)/HLOOKUP($A417,표1[#ALL],row(),false)</f>
        <v>#N/A</v>
      </c>
      <c r="Q417" s="376" t="str">
        <f>CS_PID!Q417/VLOOKUP($B417,표2[#ALL],2)/HLOOKUP($A417,표1[#ALL],row(),false)</f>
        <v>#N/A</v>
      </c>
      <c r="R417" s="376" t="str">
        <f>CS_PID!R417/VLOOKUP($B417,표2[#ALL],2)/HLOOKUP($A417,표1[#ALL],row(),false)</f>
        <v>#N/A</v>
      </c>
      <c r="S417" s="376" t="str">
        <f>CS_PID!S417/VLOOKUP($B417,표2[#ALL],2)/HLOOKUP($A417,표1[#ALL],row(),false)</f>
        <v>#N/A</v>
      </c>
      <c r="T417" s="376" t="str">
        <f>CS_PID!T417/VLOOKUP($B417,표2[#ALL],2)/HLOOKUP($A417,표1[#ALL],row(),false)</f>
        <v>#N/A</v>
      </c>
      <c r="U417" s="376" t="str">
        <f>CS_PID!U417/VLOOKUP($B417,표2[#ALL],2)/HLOOKUP($A417,표1[#ALL],row(),false)</f>
        <v>#N/A</v>
      </c>
      <c r="V417" s="376" t="str">
        <f>CS_PID!V417/VLOOKUP($B417,표2[#ALL],2)/HLOOKUP($A417,표1[#ALL],row(),false)</f>
        <v>#N/A</v>
      </c>
      <c r="W417" s="376" t="str">
        <f>CS_PID!W417/VLOOKUP($B417,표2[#ALL],2)/HLOOKUP($A417,표1[#ALL],row(),false)</f>
        <v>#N/A</v>
      </c>
      <c r="X417" s="376" t="str">
        <f>CS_PID!X417/VLOOKUP($B417,표2[#ALL],2)/HLOOKUP($A417,표1[#ALL],row(),false)</f>
        <v>#N/A</v>
      </c>
      <c r="Y417" s="376" t="str">
        <f>CS_PID!Y417/VLOOKUP($B417,표2[#ALL],2)/HLOOKUP($A417,표1[#ALL],row(),false)</f>
        <v>#N/A</v>
      </c>
      <c r="Z417" s="376" t="str">
        <f>CS_PID!Z417/VLOOKUP($B417,표2[#ALL],2)/HLOOKUP($A417,표1[#ALL],row(),false)</f>
        <v>#N/A</v>
      </c>
      <c r="AA417" s="376" t="str">
        <f>CS_PID!AA417/VLOOKUP($B417,표2[#ALL],2)/HLOOKUP($A417,표1[#ALL],row(),false)</f>
        <v>#N/A</v>
      </c>
      <c r="AB417" s="376" t="str">
        <f>CS_PID!AB417/VLOOKUP($B417,표2[#ALL],2)/HLOOKUP($A417,표1[#ALL],row(),false)</f>
        <v>#N/A</v>
      </c>
      <c r="AC417" s="376" t="str">
        <f>CS_PID!AC417/VLOOKUP($B417,표2[#ALL],2)/HLOOKUP($A417,표1[#ALL],row(),false)</f>
        <v>#N/A</v>
      </c>
      <c r="AD417" s="376" t="str">
        <f>CS_PID!AD417/VLOOKUP($B417,표2[#ALL],2)/HLOOKUP($A417,표1[#ALL],row(),false)</f>
        <v>#N/A</v>
      </c>
      <c r="AE417" s="376" t="str">
        <f>CS_PID!AE417/VLOOKUP($B417,표2[#ALL],2)/HLOOKUP($A417,표1[#ALL],row(),false)</f>
        <v>#N/A</v>
      </c>
      <c r="AF417" s="376" t="str">
        <f>CS_PID!AF417/VLOOKUP($B417,표2[#ALL],2)/HLOOKUP($A417,표1[#ALL],row(),false)</f>
        <v>#N/A</v>
      </c>
      <c r="AG417" s="376" t="str">
        <f>CS_PID!AG417/VLOOKUP($B417,표2[#ALL],2)/HLOOKUP($A417,표1[#ALL],row(),false)</f>
        <v>#N/A</v>
      </c>
      <c r="AH417" s="376" t="str">
        <f>CS_PID!AH417/VLOOKUP($B417,표2[#ALL],2)/HLOOKUP($A417,표1[#ALL],row(),false)</f>
        <v>#N/A</v>
      </c>
      <c r="AI417" s="376" t="str">
        <f>CS_PID!AI417/VLOOKUP($B417,표2[#ALL],2)/HLOOKUP($A417,표1[#ALL],row(),false)</f>
        <v>#N/A</v>
      </c>
      <c r="AJ417" s="376" t="str">
        <f>CS_PID!AJ417/VLOOKUP($B417,표2[#ALL],2)/HLOOKUP($A417,표1[#ALL],row(),false)</f>
        <v>#N/A</v>
      </c>
      <c r="AK417" s="376" t="str">
        <f>CS_PID!AK417/VLOOKUP($B417,표2[#ALL],2)/HLOOKUP($A417,표1[#ALL],row(),false)</f>
        <v>#N/A</v>
      </c>
      <c r="AL417" s="376" t="str">
        <f>CS_PID!AL417/VLOOKUP($B417,표2[#ALL],2)/HLOOKUP($A417,표1[#ALL],row(),false)</f>
        <v>#N/A</v>
      </c>
      <c r="AM417" s="376" t="str">
        <f>CS_PID!AM417/VLOOKUP($B417,표2[#ALL],2)/HLOOKUP($A417,표1[#ALL],row(),false)</f>
        <v>#N/A</v>
      </c>
      <c r="AN417" s="376" t="str">
        <f>CS_PID!AN417/VLOOKUP($B417,표2[#ALL],2)/HLOOKUP($A417,표1[#ALL],row(),false)</f>
        <v>#N/A</v>
      </c>
      <c r="AO417" s="376" t="str">
        <f>CS_PID!AO417/VLOOKUP($B417,표2[#ALL],2)/HLOOKUP($A417,표1[#ALL],row(),false)</f>
        <v>#N/A</v>
      </c>
      <c r="AP417" s="376" t="str">
        <f>CS_PID!AP417/VLOOKUP($B417,표2[#ALL],2)/HLOOKUP($A417,표1[#ALL],row(),false)</f>
        <v>#N/A</v>
      </c>
      <c r="AQ417" s="376" t="str">
        <f>CS_PID!AQ417/VLOOKUP($B417,표2[#ALL],2)/HLOOKUP($A417,표1[#ALL],row(),false)</f>
        <v>#N/A</v>
      </c>
      <c r="AR417" s="376" t="str">
        <f>CS_PID!AR417/VLOOKUP($B417,표2[#ALL],2)/HLOOKUP($A417,표1[#ALL],row(),false)</f>
        <v>#N/A</v>
      </c>
      <c r="AS417" s="377" t="str">
        <f>CS_PID!AS417/VLOOKUP($B417,표2[#ALL],2)/HLOOKUP($A417,표1[#ALL],row(),false)</f>
        <v>#N/A</v>
      </c>
    </row>
    <row r="418">
      <c r="A418" s="370"/>
      <c r="B418" s="371"/>
      <c r="C418" s="372" t="str">
        <f>CS_PID!C418/VLOOKUP($B418,표2[#ALL],2)</f>
        <v>#N/A</v>
      </c>
      <c r="D418" s="372" t="str">
        <f>CS_PID!D418/VLOOKUP($B418,표2[#ALL],2)</f>
        <v>#N/A</v>
      </c>
      <c r="E418" s="372" t="str">
        <f>CS_PID!E418/VLOOKUP($B418,표2[#ALL],2)</f>
        <v>#N/A</v>
      </c>
      <c r="F418" s="372" t="str">
        <f>CS_PID!F418/VLOOKUP($B418,표2[#ALL],2)</f>
        <v>#N/A</v>
      </c>
      <c r="G418" s="372" t="str">
        <f>CS_PID!G418/VLOOKUP($B418,표2[#ALL],2)</f>
        <v>#N/A</v>
      </c>
      <c r="H418" s="372" t="str">
        <f>CS_PID!H418/VLOOKUP($B418,표2[#ALL],2)/HLOOKUP($A418,표1[#ALL],row(),false)</f>
        <v>#N/A</v>
      </c>
      <c r="I418" s="372" t="str">
        <f>CS_PID!I418/VLOOKUP($B418,표2[#ALL],2)/HLOOKUP($A418,표1[#ALL],row(),false)</f>
        <v>#N/A</v>
      </c>
      <c r="J418" s="372" t="str">
        <f>CS_PID!J418/VLOOKUP($B418,표2[#ALL],2)/HLOOKUP($A418,표1[#ALL],row(),false)</f>
        <v>#N/A</v>
      </c>
      <c r="K418" s="372" t="str">
        <f>CS_PID!K418/VLOOKUP($B418,표2[#ALL],2)/HLOOKUP($A418,표1[#ALL],row(),false)</f>
        <v>#N/A</v>
      </c>
      <c r="L418" s="372" t="str">
        <f>CS_PID!L418/VLOOKUP($B418,표2[#ALL],2)/HLOOKUP($A418,표1[#ALL],row(),false)</f>
        <v>#N/A</v>
      </c>
      <c r="M418" s="372" t="str">
        <f>CS_PID!M418/VLOOKUP($B418,표2[#ALL],2)/HLOOKUP($A418,표1[#ALL],row(),false)</f>
        <v>#N/A</v>
      </c>
      <c r="N418" s="372" t="str">
        <f>CS_PID!N418/VLOOKUP($B418,표2[#ALL],2)/HLOOKUP($A418,표1[#ALL],row(),false)</f>
        <v>#N/A</v>
      </c>
      <c r="O418" s="372" t="str">
        <f>CS_PID!O418/VLOOKUP($B418,표2[#ALL],2)/HLOOKUP($A418,표1[#ALL],row(),false)</f>
        <v>#N/A</v>
      </c>
      <c r="P418" s="372" t="str">
        <f>CS_PID!P418/VLOOKUP($B418,표2[#ALL],2)/HLOOKUP($A418,표1[#ALL],row(),false)</f>
        <v>#N/A</v>
      </c>
      <c r="Q418" s="372" t="str">
        <f>CS_PID!Q418/VLOOKUP($B418,표2[#ALL],2)/HLOOKUP($A418,표1[#ALL],row(),false)</f>
        <v>#N/A</v>
      </c>
      <c r="R418" s="372" t="str">
        <f>CS_PID!R418/VLOOKUP($B418,표2[#ALL],2)/HLOOKUP($A418,표1[#ALL],row(),false)</f>
        <v>#N/A</v>
      </c>
      <c r="S418" s="372" t="str">
        <f>CS_PID!S418/VLOOKUP($B418,표2[#ALL],2)/HLOOKUP($A418,표1[#ALL],row(),false)</f>
        <v>#N/A</v>
      </c>
      <c r="T418" s="372" t="str">
        <f>CS_PID!T418/VLOOKUP($B418,표2[#ALL],2)/HLOOKUP($A418,표1[#ALL],row(),false)</f>
        <v>#N/A</v>
      </c>
      <c r="U418" s="372" t="str">
        <f>CS_PID!U418/VLOOKUP($B418,표2[#ALL],2)/HLOOKUP($A418,표1[#ALL],row(),false)</f>
        <v>#N/A</v>
      </c>
      <c r="V418" s="372" t="str">
        <f>CS_PID!V418/VLOOKUP($B418,표2[#ALL],2)/HLOOKUP($A418,표1[#ALL],row(),false)</f>
        <v>#N/A</v>
      </c>
      <c r="W418" s="372" t="str">
        <f>CS_PID!W418/VLOOKUP($B418,표2[#ALL],2)/HLOOKUP($A418,표1[#ALL],row(),false)</f>
        <v>#N/A</v>
      </c>
      <c r="X418" s="372" t="str">
        <f>CS_PID!X418/VLOOKUP($B418,표2[#ALL],2)/HLOOKUP($A418,표1[#ALL],row(),false)</f>
        <v>#N/A</v>
      </c>
      <c r="Y418" s="372" t="str">
        <f>CS_PID!Y418/VLOOKUP($B418,표2[#ALL],2)/HLOOKUP($A418,표1[#ALL],row(),false)</f>
        <v>#N/A</v>
      </c>
      <c r="Z418" s="372" t="str">
        <f>CS_PID!Z418/VLOOKUP($B418,표2[#ALL],2)/HLOOKUP($A418,표1[#ALL],row(),false)</f>
        <v>#N/A</v>
      </c>
      <c r="AA418" s="372" t="str">
        <f>CS_PID!AA418/VLOOKUP($B418,표2[#ALL],2)/HLOOKUP($A418,표1[#ALL],row(),false)</f>
        <v>#N/A</v>
      </c>
      <c r="AB418" s="372" t="str">
        <f>CS_PID!AB418/VLOOKUP($B418,표2[#ALL],2)/HLOOKUP($A418,표1[#ALL],row(),false)</f>
        <v>#N/A</v>
      </c>
      <c r="AC418" s="372" t="str">
        <f>CS_PID!AC418/VLOOKUP($B418,표2[#ALL],2)/HLOOKUP($A418,표1[#ALL],row(),false)</f>
        <v>#N/A</v>
      </c>
      <c r="AD418" s="372" t="str">
        <f>CS_PID!AD418/VLOOKUP($B418,표2[#ALL],2)/HLOOKUP($A418,표1[#ALL],row(),false)</f>
        <v>#N/A</v>
      </c>
      <c r="AE418" s="372" t="str">
        <f>CS_PID!AE418/VLOOKUP($B418,표2[#ALL],2)/HLOOKUP($A418,표1[#ALL],row(),false)</f>
        <v>#N/A</v>
      </c>
      <c r="AF418" s="372" t="str">
        <f>CS_PID!AF418/VLOOKUP($B418,표2[#ALL],2)/HLOOKUP($A418,표1[#ALL],row(),false)</f>
        <v>#N/A</v>
      </c>
      <c r="AG418" s="372" t="str">
        <f>CS_PID!AG418/VLOOKUP($B418,표2[#ALL],2)/HLOOKUP($A418,표1[#ALL],row(),false)</f>
        <v>#N/A</v>
      </c>
      <c r="AH418" s="372" t="str">
        <f>CS_PID!AH418/VLOOKUP($B418,표2[#ALL],2)/HLOOKUP($A418,표1[#ALL],row(),false)</f>
        <v>#N/A</v>
      </c>
      <c r="AI418" s="372" t="str">
        <f>CS_PID!AI418/VLOOKUP($B418,표2[#ALL],2)/HLOOKUP($A418,표1[#ALL],row(),false)</f>
        <v>#N/A</v>
      </c>
      <c r="AJ418" s="372" t="str">
        <f>CS_PID!AJ418/VLOOKUP($B418,표2[#ALL],2)/HLOOKUP($A418,표1[#ALL],row(),false)</f>
        <v>#N/A</v>
      </c>
      <c r="AK418" s="372" t="str">
        <f>CS_PID!AK418/VLOOKUP($B418,표2[#ALL],2)/HLOOKUP($A418,표1[#ALL],row(),false)</f>
        <v>#N/A</v>
      </c>
      <c r="AL418" s="372" t="str">
        <f>CS_PID!AL418/VLOOKUP($B418,표2[#ALL],2)/HLOOKUP($A418,표1[#ALL],row(),false)</f>
        <v>#N/A</v>
      </c>
      <c r="AM418" s="372" t="str">
        <f>CS_PID!AM418/VLOOKUP($B418,표2[#ALL],2)/HLOOKUP($A418,표1[#ALL],row(),false)</f>
        <v>#N/A</v>
      </c>
      <c r="AN418" s="372" t="str">
        <f>CS_PID!AN418/VLOOKUP($B418,표2[#ALL],2)/HLOOKUP($A418,표1[#ALL],row(),false)</f>
        <v>#N/A</v>
      </c>
      <c r="AO418" s="372" t="str">
        <f>CS_PID!AO418/VLOOKUP($B418,표2[#ALL],2)/HLOOKUP($A418,표1[#ALL],row(),false)</f>
        <v>#N/A</v>
      </c>
      <c r="AP418" s="372" t="str">
        <f>CS_PID!AP418/VLOOKUP($B418,표2[#ALL],2)/HLOOKUP($A418,표1[#ALL],row(),false)</f>
        <v>#N/A</v>
      </c>
      <c r="AQ418" s="372" t="str">
        <f>CS_PID!AQ418/VLOOKUP($B418,표2[#ALL],2)/HLOOKUP($A418,표1[#ALL],row(),false)</f>
        <v>#N/A</v>
      </c>
      <c r="AR418" s="372" t="str">
        <f>CS_PID!AR418/VLOOKUP($B418,표2[#ALL],2)/HLOOKUP($A418,표1[#ALL],row(),false)</f>
        <v>#N/A</v>
      </c>
      <c r="AS418" s="373" t="str">
        <f>CS_PID!AS418/VLOOKUP($B418,표2[#ALL],2)/HLOOKUP($A418,표1[#ALL],row(),false)</f>
        <v>#N/A</v>
      </c>
    </row>
    <row r="419">
      <c r="A419" s="374"/>
      <c r="B419" s="375"/>
      <c r="C419" s="376" t="str">
        <f>CS_PID!C419/VLOOKUP($B419,표2[#ALL],2)</f>
        <v>#N/A</v>
      </c>
      <c r="D419" s="376" t="str">
        <f>CS_PID!D419/VLOOKUP($B419,표2[#ALL],2)</f>
        <v>#N/A</v>
      </c>
      <c r="E419" s="376" t="str">
        <f>CS_PID!E419/VLOOKUP($B419,표2[#ALL],2)</f>
        <v>#N/A</v>
      </c>
      <c r="F419" s="376" t="str">
        <f>CS_PID!F419/VLOOKUP($B419,표2[#ALL],2)</f>
        <v>#N/A</v>
      </c>
      <c r="G419" s="376" t="str">
        <f>CS_PID!G419/VLOOKUP($B419,표2[#ALL],2)</f>
        <v>#N/A</v>
      </c>
      <c r="H419" s="376" t="str">
        <f>CS_PID!H419/VLOOKUP($B419,표2[#ALL],2)/HLOOKUP($A419,표1[#ALL],row(),false)</f>
        <v>#N/A</v>
      </c>
      <c r="I419" s="376" t="str">
        <f>CS_PID!I419/VLOOKUP($B419,표2[#ALL],2)/HLOOKUP($A419,표1[#ALL],row(),false)</f>
        <v>#N/A</v>
      </c>
      <c r="J419" s="376" t="str">
        <f>CS_PID!J419/VLOOKUP($B419,표2[#ALL],2)/HLOOKUP($A419,표1[#ALL],row(),false)</f>
        <v>#N/A</v>
      </c>
      <c r="K419" s="376" t="str">
        <f>CS_PID!K419/VLOOKUP($B419,표2[#ALL],2)/HLOOKUP($A419,표1[#ALL],row(),false)</f>
        <v>#N/A</v>
      </c>
      <c r="L419" s="376" t="str">
        <f>CS_PID!L419/VLOOKUP($B419,표2[#ALL],2)/HLOOKUP($A419,표1[#ALL],row(),false)</f>
        <v>#N/A</v>
      </c>
      <c r="M419" s="376" t="str">
        <f>CS_PID!M419/VLOOKUP($B419,표2[#ALL],2)/HLOOKUP($A419,표1[#ALL],row(),false)</f>
        <v>#N/A</v>
      </c>
      <c r="N419" s="376" t="str">
        <f>CS_PID!N419/VLOOKUP($B419,표2[#ALL],2)/HLOOKUP($A419,표1[#ALL],row(),false)</f>
        <v>#N/A</v>
      </c>
      <c r="O419" s="376" t="str">
        <f>CS_PID!O419/VLOOKUP($B419,표2[#ALL],2)/HLOOKUP($A419,표1[#ALL],row(),false)</f>
        <v>#N/A</v>
      </c>
      <c r="P419" s="376" t="str">
        <f>CS_PID!P419/VLOOKUP($B419,표2[#ALL],2)/HLOOKUP($A419,표1[#ALL],row(),false)</f>
        <v>#N/A</v>
      </c>
      <c r="Q419" s="376" t="str">
        <f>CS_PID!Q419/VLOOKUP($B419,표2[#ALL],2)/HLOOKUP($A419,표1[#ALL],row(),false)</f>
        <v>#N/A</v>
      </c>
      <c r="R419" s="376" t="str">
        <f>CS_PID!R419/VLOOKUP($B419,표2[#ALL],2)/HLOOKUP($A419,표1[#ALL],row(),false)</f>
        <v>#N/A</v>
      </c>
      <c r="S419" s="376" t="str">
        <f>CS_PID!S419/VLOOKUP($B419,표2[#ALL],2)/HLOOKUP($A419,표1[#ALL],row(),false)</f>
        <v>#N/A</v>
      </c>
      <c r="T419" s="376" t="str">
        <f>CS_PID!T419/VLOOKUP($B419,표2[#ALL],2)/HLOOKUP($A419,표1[#ALL],row(),false)</f>
        <v>#N/A</v>
      </c>
      <c r="U419" s="376" t="str">
        <f>CS_PID!U419/VLOOKUP($B419,표2[#ALL],2)/HLOOKUP($A419,표1[#ALL],row(),false)</f>
        <v>#N/A</v>
      </c>
      <c r="V419" s="376" t="str">
        <f>CS_PID!V419/VLOOKUP($B419,표2[#ALL],2)/HLOOKUP($A419,표1[#ALL],row(),false)</f>
        <v>#N/A</v>
      </c>
      <c r="W419" s="376" t="str">
        <f>CS_PID!W419/VLOOKUP($B419,표2[#ALL],2)/HLOOKUP($A419,표1[#ALL],row(),false)</f>
        <v>#N/A</v>
      </c>
      <c r="X419" s="376" t="str">
        <f>CS_PID!X419/VLOOKUP($B419,표2[#ALL],2)/HLOOKUP($A419,표1[#ALL],row(),false)</f>
        <v>#N/A</v>
      </c>
      <c r="Y419" s="376" t="str">
        <f>CS_PID!Y419/VLOOKUP($B419,표2[#ALL],2)/HLOOKUP($A419,표1[#ALL],row(),false)</f>
        <v>#N/A</v>
      </c>
      <c r="Z419" s="376" t="str">
        <f>CS_PID!Z419/VLOOKUP($B419,표2[#ALL],2)/HLOOKUP($A419,표1[#ALL],row(),false)</f>
        <v>#N/A</v>
      </c>
      <c r="AA419" s="376" t="str">
        <f>CS_PID!AA419/VLOOKUP($B419,표2[#ALL],2)/HLOOKUP($A419,표1[#ALL],row(),false)</f>
        <v>#N/A</v>
      </c>
      <c r="AB419" s="376" t="str">
        <f>CS_PID!AB419/VLOOKUP($B419,표2[#ALL],2)/HLOOKUP($A419,표1[#ALL],row(),false)</f>
        <v>#N/A</v>
      </c>
      <c r="AC419" s="376" t="str">
        <f>CS_PID!AC419/VLOOKUP($B419,표2[#ALL],2)/HLOOKUP($A419,표1[#ALL],row(),false)</f>
        <v>#N/A</v>
      </c>
      <c r="AD419" s="376" t="str">
        <f>CS_PID!AD419/VLOOKUP($B419,표2[#ALL],2)/HLOOKUP($A419,표1[#ALL],row(),false)</f>
        <v>#N/A</v>
      </c>
      <c r="AE419" s="376" t="str">
        <f>CS_PID!AE419/VLOOKUP($B419,표2[#ALL],2)/HLOOKUP($A419,표1[#ALL],row(),false)</f>
        <v>#N/A</v>
      </c>
      <c r="AF419" s="376" t="str">
        <f>CS_PID!AF419/VLOOKUP($B419,표2[#ALL],2)/HLOOKUP($A419,표1[#ALL],row(),false)</f>
        <v>#N/A</v>
      </c>
      <c r="AG419" s="376" t="str">
        <f>CS_PID!AG419/VLOOKUP($B419,표2[#ALL],2)/HLOOKUP($A419,표1[#ALL],row(),false)</f>
        <v>#N/A</v>
      </c>
      <c r="AH419" s="376" t="str">
        <f>CS_PID!AH419/VLOOKUP($B419,표2[#ALL],2)/HLOOKUP($A419,표1[#ALL],row(),false)</f>
        <v>#N/A</v>
      </c>
      <c r="AI419" s="376" t="str">
        <f>CS_PID!AI419/VLOOKUP($B419,표2[#ALL],2)/HLOOKUP($A419,표1[#ALL],row(),false)</f>
        <v>#N/A</v>
      </c>
      <c r="AJ419" s="376" t="str">
        <f>CS_PID!AJ419/VLOOKUP($B419,표2[#ALL],2)/HLOOKUP($A419,표1[#ALL],row(),false)</f>
        <v>#N/A</v>
      </c>
      <c r="AK419" s="376" t="str">
        <f>CS_PID!AK419/VLOOKUP($B419,표2[#ALL],2)/HLOOKUP($A419,표1[#ALL],row(),false)</f>
        <v>#N/A</v>
      </c>
      <c r="AL419" s="376" t="str">
        <f>CS_PID!AL419/VLOOKUP($B419,표2[#ALL],2)/HLOOKUP($A419,표1[#ALL],row(),false)</f>
        <v>#N/A</v>
      </c>
      <c r="AM419" s="376" t="str">
        <f>CS_PID!AM419/VLOOKUP($B419,표2[#ALL],2)/HLOOKUP($A419,표1[#ALL],row(),false)</f>
        <v>#N/A</v>
      </c>
      <c r="AN419" s="376" t="str">
        <f>CS_PID!AN419/VLOOKUP($B419,표2[#ALL],2)/HLOOKUP($A419,표1[#ALL],row(),false)</f>
        <v>#N/A</v>
      </c>
      <c r="AO419" s="376" t="str">
        <f>CS_PID!AO419/VLOOKUP($B419,표2[#ALL],2)/HLOOKUP($A419,표1[#ALL],row(),false)</f>
        <v>#N/A</v>
      </c>
      <c r="AP419" s="376" t="str">
        <f>CS_PID!AP419/VLOOKUP($B419,표2[#ALL],2)/HLOOKUP($A419,표1[#ALL],row(),false)</f>
        <v>#N/A</v>
      </c>
      <c r="AQ419" s="376" t="str">
        <f>CS_PID!AQ419/VLOOKUP($B419,표2[#ALL],2)/HLOOKUP($A419,표1[#ALL],row(),false)</f>
        <v>#N/A</v>
      </c>
      <c r="AR419" s="376" t="str">
        <f>CS_PID!AR419/VLOOKUP($B419,표2[#ALL],2)/HLOOKUP($A419,표1[#ALL],row(),false)</f>
        <v>#N/A</v>
      </c>
      <c r="AS419" s="377" t="str">
        <f>CS_PID!AS419/VLOOKUP($B419,표2[#ALL],2)/HLOOKUP($A419,표1[#ALL],row(),false)</f>
        <v>#N/A</v>
      </c>
    </row>
    <row r="420">
      <c r="A420" s="370"/>
      <c r="B420" s="371"/>
      <c r="C420" s="372" t="str">
        <f>CS_PID!C420/VLOOKUP($B420,표2[#ALL],2)</f>
        <v>#N/A</v>
      </c>
      <c r="D420" s="372" t="str">
        <f>CS_PID!D420/VLOOKUP($B420,표2[#ALL],2)</f>
        <v>#N/A</v>
      </c>
      <c r="E420" s="372" t="str">
        <f>CS_PID!E420/VLOOKUP($B420,표2[#ALL],2)</f>
        <v>#N/A</v>
      </c>
      <c r="F420" s="372" t="str">
        <f>CS_PID!F420/VLOOKUP($B420,표2[#ALL],2)</f>
        <v>#N/A</v>
      </c>
      <c r="G420" s="372" t="str">
        <f>CS_PID!G420/VLOOKUP($B420,표2[#ALL],2)</f>
        <v>#N/A</v>
      </c>
      <c r="H420" s="372" t="str">
        <f>CS_PID!H420/VLOOKUP($B420,표2[#ALL],2)/HLOOKUP($A420,표1[#ALL],row(),false)</f>
        <v>#N/A</v>
      </c>
      <c r="I420" s="372" t="str">
        <f>CS_PID!I420/VLOOKUP($B420,표2[#ALL],2)/HLOOKUP($A420,표1[#ALL],row(),false)</f>
        <v>#N/A</v>
      </c>
      <c r="J420" s="372" t="str">
        <f>CS_PID!J420/VLOOKUP($B420,표2[#ALL],2)/HLOOKUP($A420,표1[#ALL],row(),false)</f>
        <v>#N/A</v>
      </c>
      <c r="K420" s="372" t="str">
        <f>CS_PID!K420/VLOOKUP($B420,표2[#ALL],2)/HLOOKUP($A420,표1[#ALL],row(),false)</f>
        <v>#N/A</v>
      </c>
      <c r="L420" s="372" t="str">
        <f>CS_PID!L420/VLOOKUP($B420,표2[#ALL],2)/HLOOKUP($A420,표1[#ALL],row(),false)</f>
        <v>#N/A</v>
      </c>
      <c r="M420" s="372" t="str">
        <f>CS_PID!M420/VLOOKUP($B420,표2[#ALL],2)/HLOOKUP($A420,표1[#ALL],row(),false)</f>
        <v>#N/A</v>
      </c>
      <c r="N420" s="372" t="str">
        <f>CS_PID!N420/VLOOKUP($B420,표2[#ALL],2)/HLOOKUP($A420,표1[#ALL],row(),false)</f>
        <v>#N/A</v>
      </c>
      <c r="O420" s="372" t="str">
        <f>CS_PID!O420/VLOOKUP($B420,표2[#ALL],2)/HLOOKUP($A420,표1[#ALL],row(),false)</f>
        <v>#N/A</v>
      </c>
      <c r="P420" s="372" t="str">
        <f>CS_PID!P420/VLOOKUP($B420,표2[#ALL],2)/HLOOKUP($A420,표1[#ALL],row(),false)</f>
        <v>#N/A</v>
      </c>
      <c r="Q420" s="372" t="str">
        <f>CS_PID!Q420/VLOOKUP($B420,표2[#ALL],2)/HLOOKUP($A420,표1[#ALL],row(),false)</f>
        <v>#N/A</v>
      </c>
      <c r="R420" s="372" t="str">
        <f>CS_PID!R420/VLOOKUP($B420,표2[#ALL],2)/HLOOKUP($A420,표1[#ALL],row(),false)</f>
        <v>#N/A</v>
      </c>
      <c r="S420" s="372" t="str">
        <f>CS_PID!S420/VLOOKUP($B420,표2[#ALL],2)/HLOOKUP($A420,표1[#ALL],row(),false)</f>
        <v>#N/A</v>
      </c>
      <c r="T420" s="372" t="str">
        <f>CS_PID!T420/VLOOKUP($B420,표2[#ALL],2)/HLOOKUP($A420,표1[#ALL],row(),false)</f>
        <v>#N/A</v>
      </c>
      <c r="U420" s="372" t="str">
        <f>CS_PID!U420/VLOOKUP($B420,표2[#ALL],2)/HLOOKUP($A420,표1[#ALL],row(),false)</f>
        <v>#N/A</v>
      </c>
      <c r="V420" s="372" t="str">
        <f>CS_PID!V420/VLOOKUP($B420,표2[#ALL],2)/HLOOKUP($A420,표1[#ALL],row(),false)</f>
        <v>#N/A</v>
      </c>
      <c r="W420" s="372" t="str">
        <f>CS_PID!W420/VLOOKUP($B420,표2[#ALL],2)/HLOOKUP($A420,표1[#ALL],row(),false)</f>
        <v>#N/A</v>
      </c>
      <c r="X420" s="372" t="str">
        <f>CS_PID!X420/VLOOKUP($B420,표2[#ALL],2)/HLOOKUP($A420,표1[#ALL],row(),false)</f>
        <v>#N/A</v>
      </c>
      <c r="Y420" s="372" t="str">
        <f>CS_PID!Y420/VLOOKUP($B420,표2[#ALL],2)/HLOOKUP($A420,표1[#ALL],row(),false)</f>
        <v>#N/A</v>
      </c>
      <c r="Z420" s="372" t="str">
        <f>CS_PID!Z420/VLOOKUP($B420,표2[#ALL],2)/HLOOKUP($A420,표1[#ALL],row(),false)</f>
        <v>#N/A</v>
      </c>
      <c r="AA420" s="372" t="str">
        <f>CS_PID!AA420/VLOOKUP($B420,표2[#ALL],2)/HLOOKUP($A420,표1[#ALL],row(),false)</f>
        <v>#N/A</v>
      </c>
      <c r="AB420" s="372" t="str">
        <f>CS_PID!AB420/VLOOKUP($B420,표2[#ALL],2)/HLOOKUP($A420,표1[#ALL],row(),false)</f>
        <v>#N/A</v>
      </c>
      <c r="AC420" s="372" t="str">
        <f>CS_PID!AC420/VLOOKUP($B420,표2[#ALL],2)/HLOOKUP($A420,표1[#ALL],row(),false)</f>
        <v>#N/A</v>
      </c>
      <c r="AD420" s="372" t="str">
        <f>CS_PID!AD420/VLOOKUP($B420,표2[#ALL],2)/HLOOKUP($A420,표1[#ALL],row(),false)</f>
        <v>#N/A</v>
      </c>
      <c r="AE420" s="372" t="str">
        <f>CS_PID!AE420/VLOOKUP($B420,표2[#ALL],2)/HLOOKUP($A420,표1[#ALL],row(),false)</f>
        <v>#N/A</v>
      </c>
      <c r="AF420" s="372" t="str">
        <f>CS_PID!AF420/VLOOKUP($B420,표2[#ALL],2)/HLOOKUP($A420,표1[#ALL],row(),false)</f>
        <v>#N/A</v>
      </c>
      <c r="AG420" s="372" t="str">
        <f>CS_PID!AG420/VLOOKUP($B420,표2[#ALL],2)/HLOOKUP($A420,표1[#ALL],row(),false)</f>
        <v>#N/A</v>
      </c>
      <c r="AH420" s="372" t="str">
        <f>CS_PID!AH420/VLOOKUP($B420,표2[#ALL],2)/HLOOKUP($A420,표1[#ALL],row(),false)</f>
        <v>#N/A</v>
      </c>
      <c r="AI420" s="372" t="str">
        <f>CS_PID!AI420/VLOOKUP($B420,표2[#ALL],2)/HLOOKUP($A420,표1[#ALL],row(),false)</f>
        <v>#N/A</v>
      </c>
      <c r="AJ420" s="372" t="str">
        <f>CS_PID!AJ420/VLOOKUP($B420,표2[#ALL],2)/HLOOKUP($A420,표1[#ALL],row(),false)</f>
        <v>#N/A</v>
      </c>
      <c r="AK420" s="372" t="str">
        <f>CS_PID!AK420/VLOOKUP($B420,표2[#ALL],2)/HLOOKUP($A420,표1[#ALL],row(),false)</f>
        <v>#N/A</v>
      </c>
      <c r="AL420" s="372" t="str">
        <f>CS_PID!AL420/VLOOKUP($B420,표2[#ALL],2)/HLOOKUP($A420,표1[#ALL],row(),false)</f>
        <v>#N/A</v>
      </c>
      <c r="AM420" s="372" t="str">
        <f>CS_PID!AM420/VLOOKUP($B420,표2[#ALL],2)/HLOOKUP($A420,표1[#ALL],row(),false)</f>
        <v>#N/A</v>
      </c>
      <c r="AN420" s="372" t="str">
        <f>CS_PID!AN420/VLOOKUP($B420,표2[#ALL],2)/HLOOKUP($A420,표1[#ALL],row(),false)</f>
        <v>#N/A</v>
      </c>
      <c r="AO420" s="372" t="str">
        <f>CS_PID!AO420/VLOOKUP($B420,표2[#ALL],2)/HLOOKUP($A420,표1[#ALL],row(),false)</f>
        <v>#N/A</v>
      </c>
      <c r="AP420" s="372" t="str">
        <f>CS_PID!AP420/VLOOKUP($B420,표2[#ALL],2)/HLOOKUP($A420,표1[#ALL],row(),false)</f>
        <v>#N/A</v>
      </c>
      <c r="AQ420" s="372" t="str">
        <f>CS_PID!AQ420/VLOOKUP($B420,표2[#ALL],2)/HLOOKUP($A420,표1[#ALL],row(),false)</f>
        <v>#N/A</v>
      </c>
      <c r="AR420" s="372" t="str">
        <f>CS_PID!AR420/VLOOKUP($B420,표2[#ALL],2)/HLOOKUP($A420,표1[#ALL],row(),false)</f>
        <v>#N/A</v>
      </c>
      <c r="AS420" s="373" t="str">
        <f>CS_PID!AS420/VLOOKUP($B420,표2[#ALL],2)/HLOOKUP($A420,표1[#ALL],row(),false)</f>
        <v>#N/A</v>
      </c>
    </row>
    <row r="421">
      <c r="A421" s="374"/>
      <c r="B421" s="375"/>
      <c r="C421" s="376" t="str">
        <f>CS_PID!C421/VLOOKUP($B421,표2[#ALL],2)</f>
        <v>#N/A</v>
      </c>
      <c r="D421" s="376" t="str">
        <f>CS_PID!D421/VLOOKUP($B421,표2[#ALL],2)</f>
        <v>#N/A</v>
      </c>
      <c r="E421" s="376" t="str">
        <f>CS_PID!E421/VLOOKUP($B421,표2[#ALL],2)</f>
        <v>#N/A</v>
      </c>
      <c r="F421" s="376" t="str">
        <f>CS_PID!F421/VLOOKUP($B421,표2[#ALL],2)</f>
        <v>#N/A</v>
      </c>
      <c r="G421" s="376" t="str">
        <f>CS_PID!G421/VLOOKUP($B421,표2[#ALL],2)</f>
        <v>#N/A</v>
      </c>
      <c r="H421" s="376" t="str">
        <f>CS_PID!H421/VLOOKUP($B421,표2[#ALL],2)/HLOOKUP($A421,표1[#ALL],row(),false)</f>
        <v>#N/A</v>
      </c>
      <c r="I421" s="376" t="str">
        <f>CS_PID!I421/VLOOKUP($B421,표2[#ALL],2)/HLOOKUP($A421,표1[#ALL],row(),false)</f>
        <v>#N/A</v>
      </c>
      <c r="J421" s="376" t="str">
        <f>CS_PID!J421/VLOOKUP($B421,표2[#ALL],2)/HLOOKUP($A421,표1[#ALL],row(),false)</f>
        <v>#N/A</v>
      </c>
      <c r="K421" s="376" t="str">
        <f>CS_PID!K421/VLOOKUP($B421,표2[#ALL],2)/HLOOKUP($A421,표1[#ALL],row(),false)</f>
        <v>#N/A</v>
      </c>
      <c r="L421" s="376" t="str">
        <f>CS_PID!L421/VLOOKUP($B421,표2[#ALL],2)/HLOOKUP($A421,표1[#ALL],row(),false)</f>
        <v>#N/A</v>
      </c>
      <c r="M421" s="376" t="str">
        <f>CS_PID!M421/VLOOKUP($B421,표2[#ALL],2)/HLOOKUP($A421,표1[#ALL],row(),false)</f>
        <v>#N/A</v>
      </c>
      <c r="N421" s="376" t="str">
        <f>CS_PID!N421/VLOOKUP($B421,표2[#ALL],2)/HLOOKUP($A421,표1[#ALL],row(),false)</f>
        <v>#N/A</v>
      </c>
      <c r="O421" s="376" t="str">
        <f>CS_PID!O421/VLOOKUP($B421,표2[#ALL],2)/HLOOKUP($A421,표1[#ALL],row(),false)</f>
        <v>#N/A</v>
      </c>
      <c r="P421" s="376" t="str">
        <f>CS_PID!P421/VLOOKUP($B421,표2[#ALL],2)/HLOOKUP($A421,표1[#ALL],row(),false)</f>
        <v>#N/A</v>
      </c>
      <c r="Q421" s="376" t="str">
        <f>CS_PID!Q421/VLOOKUP($B421,표2[#ALL],2)/HLOOKUP($A421,표1[#ALL],row(),false)</f>
        <v>#N/A</v>
      </c>
      <c r="R421" s="376" t="str">
        <f>CS_PID!R421/VLOOKUP($B421,표2[#ALL],2)/HLOOKUP($A421,표1[#ALL],row(),false)</f>
        <v>#N/A</v>
      </c>
      <c r="S421" s="376" t="str">
        <f>CS_PID!S421/VLOOKUP($B421,표2[#ALL],2)/HLOOKUP($A421,표1[#ALL],row(),false)</f>
        <v>#N/A</v>
      </c>
      <c r="T421" s="376" t="str">
        <f>CS_PID!T421/VLOOKUP($B421,표2[#ALL],2)/HLOOKUP($A421,표1[#ALL],row(),false)</f>
        <v>#N/A</v>
      </c>
      <c r="U421" s="376" t="str">
        <f>CS_PID!U421/VLOOKUP($B421,표2[#ALL],2)/HLOOKUP($A421,표1[#ALL],row(),false)</f>
        <v>#N/A</v>
      </c>
      <c r="V421" s="376" t="str">
        <f>CS_PID!V421/VLOOKUP($B421,표2[#ALL],2)/HLOOKUP($A421,표1[#ALL],row(),false)</f>
        <v>#N/A</v>
      </c>
      <c r="W421" s="376" t="str">
        <f>CS_PID!W421/VLOOKUP($B421,표2[#ALL],2)/HLOOKUP($A421,표1[#ALL],row(),false)</f>
        <v>#N/A</v>
      </c>
      <c r="X421" s="376" t="str">
        <f>CS_PID!X421/VLOOKUP($B421,표2[#ALL],2)/HLOOKUP($A421,표1[#ALL],row(),false)</f>
        <v>#N/A</v>
      </c>
      <c r="Y421" s="376" t="str">
        <f>CS_PID!Y421/VLOOKUP($B421,표2[#ALL],2)/HLOOKUP($A421,표1[#ALL],row(),false)</f>
        <v>#N/A</v>
      </c>
      <c r="Z421" s="376" t="str">
        <f>CS_PID!Z421/VLOOKUP($B421,표2[#ALL],2)/HLOOKUP($A421,표1[#ALL],row(),false)</f>
        <v>#N/A</v>
      </c>
      <c r="AA421" s="376" t="str">
        <f>CS_PID!AA421/VLOOKUP($B421,표2[#ALL],2)/HLOOKUP($A421,표1[#ALL],row(),false)</f>
        <v>#N/A</v>
      </c>
      <c r="AB421" s="376" t="str">
        <f>CS_PID!AB421/VLOOKUP($B421,표2[#ALL],2)/HLOOKUP($A421,표1[#ALL],row(),false)</f>
        <v>#N/A</v>
      </c>
      <c r="AC421" s="376" t="str">
        <f>CS_PID!AC421/VLOOKUP($B421,표2[#ALL],2)/HLOOKUP($A421,표1[#ALL],row(),false)</f>
        <v>#N/A</v>
      </c>
      <c r="AD421" s="376" t="str">
        <f>CS_PID!AD421/VLOOKUP($B421,표2[#ALL],2)/HLOOKUP($A421,표1[#ALL],row(),false)</f>
        <v>#N/A</v>
      </c>
      <c r="AE421" s="376" t="str">
        <f>CS_PID!AE421/VLOOKUP($B421,표2[#ALL],2)/HLOOKUP($A421,표1[#ALL],row(),false)</f>
        <v>#N/A</v>
      </c>
      <c r="AF421" s="376" t="str">
        <f>CS_PID!AF421/VLOOKUP($B421,표2[#ALL],2)/HLOOKUP($A421,표1[#ALL],row(),false)</f>
        <v>#N/A</v>
      </c>
      <c r="AG421" s="376" t="str">
        <f>CS_PID!AG421/VLOOKUP($B421,표2[#ALL],2)/HLOOKUP($A421,표1[#ALL],row(),false)</f>
        <v>#N/A</v>
      </c>
      <c r="AH421" s="376" t="str">
        <f>CS_PID!AH421/VLOOKUP($B421,표2[#ALL],2)/HLOOKUP($A421,표1[#ALL],row(),false)</f>
        <v>#N/A</v>
      </c>
      <c r="AI421" s="376" t="str">
        <f>CS_PID!AI421/VLOOKUP($B421,표2[#ALL],2)/HLOOKUP($A421,표1[#ALL],row(),false)</f>
        <v>#N/A</v>
      </c>
      <c r="AJ421" s="376" t="str">
        <f>CS_PID!AJ421/VLOOKUP($B421,표2[#ALL],2)/HLOOKUP($A421,표1[#ALL],row(),false)</f>
        <v>#N/A</v>
      </c>
      <c r="AK421" s="376" t="str">
        <f>CS_PID!AK421/VLOOKUP($B421,표2[#ALL],2)/HLOOKUP($A421,표1[#ALL],row(),false)</f>
        <v>#N/A</v>
      </c>
      <c r="AL421" s="376" t="str">
        <f>CS_PID!AL421/VLOOKUP($B421,표2[#ALL],2)/HLOOKUP($A421,표1[#ALL],row(),false)</f>
        <v>#N/A</v>
      </c>
      <c r="AM421" s="376" t="str">
        <f>CS_PID!AM421/VLOOKUP($B421,표2[#ALL],2)/HLOOKUP($A421,표1[#ALL],row(),false)</f>
        <v>#N/A</v>
      </c>
      <c r="AN421" s="376" t="str">
        <f>CS_PID!AN421/VLOOKUP($B421,표2[#ALL],2)/HLOOKUP($A421,표1[#ALL],row(),false)</f>
        <v>#N/A</v>
      </c>
      <c r="AO421" s="376" t="str">
        <f>CS_PID!AO421/VLOOKUP($B421,표2[#ALL],2)/HLOOKUP($A421,표1[#ALL],row(),false)</f>
        <v>#N/A</v>
      </c>
      <c r="AP421" s="376" t="str">
        <f>CS_PID!AP421/VLOOKUP($B421,표2[#ALL],2)/HLOOKUP($A421,표1[#ALL],row(),false)</f>
        <v>#N/A</v>
      </c>
      <c r="AQ421" s="376" t="str">
        <f>CS_PID!AQ421/VLOOKUP($B421,표2[#ALL],2)/HLOOKUP($A421,표1[#ALL],row(),false)</f>
        <v>#N/A</v>
      </c>
      <c r="AR421" s="376" t="str">
        <f>CS_PID!AR421/VLOOKUP($B421,표2[#ALL],2)/HLOOKUP($A421,표1[#ALL],row(),false)</f>
        <v>#N/A</v>
      </c>
      <c r="AS421" s="377" t="str">
        <f>CS_PID!AS421/VLOOKUP($B421,표2[#ALL],2)/HLOOKUP($A421,표1[#ALL],row(),false)</f>
        <v>#N/A</v>
      </c>
    </row>
    <row r="422">
      <c r="A422" s="370"/>
      <c r="B422" s="371"/>
      <c r="C422" s="372" t="str">
        <f>CS_PID!C422/VLOOKUP($B422,표2[#ALL],2)</f>
        <v>#N/A</v>
      </c>
      <c r="D422" s="372" t="str">
        <f>CS_PID!D422/VLOOKUP($B422,표2[#ALL],2)</f>
        <v>#N/A</v>
      </c>
      <c r="E422" s="372" t="str">
        <f>CS_PID!E422/VLOOKUP($B422,표2[#ALL],2)</f>
        <v>#N/A</v>
      </c>
      <c r="F422" s="372" t="str">
        <f>CS_PID!F422/VLOOKUP($B422,표2[#ALL],2)</f>
        <v>#N/A</v>
      </c>
      <c r="G422" s="372" t="str">
        <f>CS_PID!G422/VLOOKUP($B422,표2[#ALL],2)</f>
        <v>#N/A</v>
      </c>
      <c r="H422" s="372" t="str">
        <f>CS_PID!H422/VLOOKUP($B422,표2[#ALL],2)/HLOOKUP($A422,표1[#ALL],row(),false)</f>
        <v>#N/A</v>
      </c>
      <c r="I422" s="372" t="str">
        <f>CS_PID!I422/VLOOKUP($B422,표2[#ALL],2)/HLOOKUP($A422,표1[#ALL],row(),false)</f>
        <v>#N/A</v>
      </c>
      <c r="J422" s="372" t="str">
        <f>CS_PID!J422/VLOOKUP($B422,표2[#ALL],2)/HLOOKUP($A422,표1[#ALL],row(),false)</f>
        <v>#N/A</v>
      </c>
      <c r="K422" s="372" t="str">
        <f>CS_PID!K422/VLOOKUP($B422,표2[#ALL],2)/HLOOKUP($A422,표1[#ALL],row(),false)</f>
        <v>#N/A</v>
      </c>
      <c r="L422" s="372" t="str">
        <f>CS_PID!L422/VLOOKUP($B422,표2[#ALL],2)/HLOOKUP($A422,표1[#ALL],row(),false)</f>
        <v>#N/A</v>
      </c>
      <c r="M422" s="372" t="str">
        <f>CS_PID!M422/VLOOKUP($B422,표2[#ALL],2)/HLOOKUP($A422,표1[#ALL],row(),false)</f>
        <v>#N/A</v>
      </c>
      <c r="N422" s="372" t="str">
        <f>CS_PID!N422/VLOOKUP($B422,표2[#ALL],2)/HLOOKUP($A422,표1[#ALL],row(),false)</f>
        <v>#N/A</v>
      </c>
      <c r="O422" s="372" t="str">
        <f>CS_PID!O422/VLOOKUP($B422,표2[#ALL],2)/HLOOKUP($A422,표1[#ALL],row(),false)</f>
        <v>#N/A</v>
      </c>
      <c r="P422" s="372" t="str">
        <f>CS_PID!P422/VLOOKUP($B422,표2[#ALL],2)/HLOOKUP($A422,표1[#ALL],row(),false)</f>
        <v>#N/A</v>
      </c>
      <c r="Q422" s="372" t="str">
        <f>CS_PID!Q422/VLOOKUP($B422,표2[#ALL],2)/HLOOKUP($A422,표1[#ALL],row(),false)</f>
        <v>#N/A</v>
      </c>
      <c r="R422" s="372" t="str">
        <f>CS_PID!R422/VLOOKUP($B422,표2[#ALL],2)/HLOOKUP($A422,표1[#ALL],row(),false)</f>
        <v>#N/A</v>
      </c>
      <c r="S422" s="372" t="str">
        <f>CS_PID!S422/VLOOKUP($B422,표2[#ALL],2)/HLOOKUP($A422,표1[#ALL],row(),false)</f>
        <v>#N/A</v>
      </c>
      <c r="T422" s="372" t="str">
        <f>CS_PID!T422/VLOOKUP($B422,표2[#ALL],2)/HLOOKUP($A422,표1[#ALL],row(),false)</f>
        <v>#N/A</v>
      </c>
      <c r="U422" s="372" t="str">
        <f>CS_PID!U422/VLOOKUP($B422,표2[#ALL],2)/HLOOKUP($A422,표1[#ALL],row(),false)</f>
        <v>#N/A</v>
      </c>
      <c r="V422" s="372" t="str">
        <f>CS_PID!V422/VLOOKUP($B422,표2[#ALL],2)/HLOOKUP($A422,표1[#ALL],row(),false)</f>
        <v>#N/A</v>
      </c>
      <c r="W422" s="372" t="str">
        <f>CS_PID!W422/VLOOKUP($B422,표2[#ALL],2)/HLOOKUP($A422,표1[#ALL],row(),false)</f>
        <v>#N/A</v>
      </c>
      <c r="X422" s="372" t="str">
        <f>CS_PID!X422/VLOOKUP($B422,표2[#ALL],2)/HLOOKUP($A422,표1[#ALL],row(),false)</f>
        <v>#N/A</v>
      </c>
      <c r="Y422" s="372" t="str">
        <f>CS_PID!Y422/VLOOKUP($B422,표2[#ALL],2)/HLOOKUP($A422,표1[#ALL],row(),false)</f>
        <v>#N/A</v>
      </c>
      <c r="Z422" s="372" t="str">
        <f>CS_PID!Z422/VLOOKUP($B422,표2[#ALL],2)/HLOOKUP($A422,표1[#ALL],row(),false)</f>
        <v>#N/A</v>
      </c>
      <c r="AA422" s="372" t="str">
        <f>CS_PID!AA422/VLOOKUP($B422,표2[#ALL],2)/HLOOKUP($A422,표1[#ALL],row(),false)</f>
        <v>#N/A</v>
      </c>
      <c r="AB422" s="372" t="str">
        <f>CS_PID!AB422/VLOOKUP($B422,표2[#ALL],2)/HLOOKUP($A422,표1[#ALL],row(),false)</f>
        <v>#N/A</v>
      </c>
      <c r="AC422" s="372" t="str">
        <f>CS_PID!AC422/VLOOKUP($B422,표2[#ALL],2)/HLOOKUP($A422,표1[#ALL],row(),false)</f>
        <v>#N/A</v>
      </c>
      <c r="AD422" s="372" t="str">
        <f>CS_PID!AD422/VLOOKUP($B422,표2[#ALL],2)/HLOOKUP($A422,표1[#ALL],row(),false)</f>
        <v>#N/A</v>
      </c>
      <c r="AE422" s="372" t="str">
        <f>CS_PID!AE422/VLOOKUP($B422,표2[#ALL],2)/HLOOKUP($A422,표1[#ALL],row(),false)</f>
        <v>#N/A</v>
      </c>
      <c r="AF422" s="372" t="str">
        <f>CS_PID!AF422/VLOOKUP($B422,표2[#ALL],2)/HLOOKUP($A422,표1[#ALL],row(),false)</f>
        <v>#N/A</v>
      </c>
      <c r="AG422" s="372" t="str">
        <f>CS_PID!AG422/VLOOKUP($B422,표2[#ALL],2)/HLOOKUP($A422,표1[#ALL],row(),false)</f>
        <v>#N/A</v>
      </c>
      <c r="AH422" s="372" t="str">
        <f>CS_PID!AH422/VLOOKUP($B422,표2[#ALL],2)/HLOOKUP($A422,표1[#ALL],row(),false)</f>
        <v>#N/A</v>
      </c>
      <c r="AI422" s="372" t="str">
        <f>CS_PID!AI422/VLOOKUP($B422,표2[#ALL],2)/HLOOKUP($A422,표1[#ALL],row(),false)</f>
        <v>#N/A</v>
      </c>
      <c r="AJ422" s="372" t="str">
        <f>CS_PID!AJ422/VLOOKUP($B422,표2[#ALL],2)/HLOOKUP($A422,표1[#ALL],row(),false)</f>
        <v>#N/A</v>
      </c>
      <c r="AK422" s="372" t="str">
        <f>CS_PID!AK422/VLOOKUP($B422,표2[#ALL],2)/HLOOKUP($A422,표1[#ALL],row(),false)</f>
        <v>#N/A</v>
      </c>
      <c r="AL422" s="372" t="str">
        <f>CS_PID!AL422/VLOOKUP($B422,표2[#ALL],2)/HLOOKUP($A422,표1[#ALL],row(),false)</f>
        <v>#N/A</v>
      </c>
      <c r="AM422" s="372" t="str">
        <f>CS_PID!AM422/VLOOKUP($B422,표2[#ALL],2)/HLOOKUP($A422,표1[#ALL],row(),false)</f>
        <v>#N/A</v>
      </c>
      <c r="AN422" s="372" t="str">
        <f>CS_PID!AN422/VLOOKUP($B422,표2[#ALL],2)/HLOOKUP($A422,표1[#ALL],row(),false)</f>
        <v>#N/A</v>
      </c>
      <c r="AO422" s="372" t="str">
        <f>CS_PID!AO422/VLOOKUP($B422,표2[#ALL],2)/HLOOKUP($A422,표1[#ALL],row(),false)</f>
        <v>#N/A</v>
      </c>
      <c r="AP422" s="372" t="str">
        <f>CS_PID!AP422/VLOOKUP($B422,표2[#ALL],2)/HLOOKUP($A422,표1[#ALL],row(),false)</f>
        <v>#N/A</v>
      </c>
      <c r="AQ422" s="372" t="str">
        <f>CS_PID!AQ422/VLOOKUP($B422,표2[#ALL],2)/HLOOKUP($A422,표1[#ALL],row(),false)</f>
        <v>#N/A</v>
      </c>
      <c r="AR422" s="372" t="str">
        <f>CS_PID!AR422/VLOOKUP($B422,표2[#ALL],2)/HLOOKUP($A422,표1[#ALL],row(),false)</f>
        <v>#N/A</v>
      </c>
      <c r="AS422" s="373" t="str">
        <f>CS_PID!AS422/VLOOKUP($B422,표2[#ALL],2)/HLOOKUP($A422,표1[#ALL],row(),false)</f>
        <v>#N/A</v>
      </c>
    </row>
    <row r="423">
      <c r="A423" s="374"/>
      <c r="B423" s="375"/>
      <c r="C423" s="376" t="str">
        <f>CS_PID!C423/VLOOKUP($B423,표2[#ALL],2)</f>
        <v>#N/A</v>
      </c>
      <c r="D423" s="376" t="str">
        <f>CS_PID!D423/VLOOKUP($B423,표2[#ALL],2)</f>
        <v>#N/A</v>
      </c>
      <c r="E423" s="376" t="str">
        <f>CS_PID!E423/VLOOKUP($B423,표2[#ALL],2)</f>
        <v>#N/A</v>
      </c>
      <c r="F423" s="376" t="str">
        <f>CS_PID!F423/VLOOKUP($B423,표2[#ALL],2)</f>
        <v>#N/A</v>
      </c>
      <c r="G423" s="376" t="str">
        <f>CS_PID!G423/VLOOKUP($B423,표2[#ALL],2)</f>
        <v>#N/A</v>
      </c>
      <c r="H423" s="376" t="str">
        <f>CS_PID!H423/VLOOKUP($B423,표2[#ALL],2)/HLOOKUP($A423,표1[#ALL],row(),false)</f>
        <v>#N/A</v>
      </c>
      <c r="I423" s="376" t="str">
        <f>CS_PID!I423/VLOOKUP($B423,표2[#ALL],2)/HLOOKUP($A423,표1[#ALL],row(),false)</f>
        <v>#N/A</v>
      </c>
      <c r="J423" s="376" t="str">
        <f>CS_PID!J423/VLOOKUP($B423,표2[#ALL],2)/HLOOKUP($A423,표1[#ALL],row(),false)</f>
        <v>#N/A</v>
      </c>
      <c r="K423" s="376" t="str">
        <f>CS_PID!K423/VLOOKUP($B423,표2[#ALL],2)/HLOOKUP($A423,표1[#ALL],row(),false)</f>
        <v>#N/A</v>
      </c>
      <c r="L423" s="376" t="str">
        <f>CS_PID!L423/VLOOKUP($B423,표2[#ALL],2)/HLOOKUP($A423,표1[#ALL],row(),false)</f>
        <v>#N/A</v>
      </c>
      <c r="M423" s="376" t="str">
        <f>CS_PID!M423/VLOOKUP($B423,표2[#ALL],2)/HLOOKUP($A423,표1[#ALL],row(),false)</f>
        <v>#N/A</v>
      </c>
      <c r="N423" s="376" t="str">
        <f>CS_PID!N423/VLOOKUP($B423,표2[#ALL],2)/HLOOKUP($A423,표1[#ALL],row(),false)</f>
        <v>#N/A</v>
      </c>
      <c r="O423" s="376" t="str">
        <f>CS_PID!O423/VLOOKUP($B423,표2[#ALL],2)/HLOOKUP($A423,표1[#ALL],row(),false)</f>
        <v>#N/A</v>
      </c>
      <c r="P423" s="376" t="str">
        <f>CS_PID!P423/VLOOKUP($B423,표2[#ALL],2)/HLOOKUP($A423,표1[#ALL],row(),false)</f>
        <v>#N/A</v>
      </c>
      <c r="Q423" s="376" t="str">
        <f>CS_PID!Q423/VLOOKUP($B423,표2[#ALL],2)/HLOOKUP($A423,표1[#ALL],row(),false)</f>
        <v>#N/A</v>
      </c>
      <c r="R423" s="376" t="str">
        <f>CS_PID!R423/VLOOKUP($B423,표2[#ALL],2)/HLOOKUP($A423,표1[#ALL],row(),false)</f>
        <v>#N/A</v>
      </c>
      <c r="S423" s="376" t="str">
        <f>CS_PID!S423/VLOOKUP($B423,표2[#ALL],2)/HLOOKUP($A423,표1[#ALL],row(),false)</f>
        <v>#N/A</v>
      </c>
      <c r="T423" s="376" t="str">
        <f>CS_PID!T423/VLOOKUP($B423,표2[#ALL],2)/HLOOKUP($A423,표1[#ALL],row(),false)</f>
        <v>#N/A</v>
      </c>
      <c r="U423" s="376" t="str">
        <f>CS_PID!U423/VLOOKUP($B423,표2[#ALL],2)/HLOOKUP($A423,표1[#ALL],row(),false)</f>
        <v>#N/A</v>
      </c>
      <c r="V423" s="376" t="str">
        <f>CS_PID!V423/VLOOKUP($B423,표2[#ALL],2)/HLOOKUP($A423,표1[#ALL],row(),false)</f>
        <v>#N/A</v>
      </c>
      <c r="W423" s="376" t="str">
        <f>CS_PID!W423/VLOOKUP($B423,표2[#ALL],2)/HLOOKUP($A423,표1[#ALL],row(),false)</f>
        <v>#N/A</v>
      </c>
      <c r="X423" s="376" t="str">
        <f>CS_PID!X423/VLOOKUP($B423,표2[#ALL],2)/HLOOKUP($A423,표1[#ALL],row(),false)</f>
        <v>#N/A</v>
      </c>
      <c r="Y423" s="376" t="str">
        <f>CS_PID!Y423/VLOOKUP($B423,표2[#ALL],2)/HLOOKUP($A423,표1[#ALL],row(),false)</f>
        <v>#N/A</v>
      </c>
      <c r="Z423" s="376" t="str">
        <f>CS_PID!Z423/VLOOKUP($B423,표2[#ALL],2)/HLOOKUP($A423,표1[#ALL],row(),false)</f>
        <v>#N/A</v>
      </c>
      <c r="AA423" s="376" t="str">
        <f>CS_PID!AA423/VLOOKUP($B423,표2[#ALL],2)/HLOOKUP($A423,표1[#ALL],row(),false)</f>
        <v>#N/A</v>
      </c>
      <c r="AB423" s="376" t="str">
        <f>CS_PID!AB423/VLOOKUP($B423,표2[#ALL],2)/HLOOKUP($A423,표1[#ALL],row(),false)</f>
        <v>#N/A</v>
      </c>
      <c r="AC423" s="376" t="str">
        <f>CS_PID!AC423/VLOOKUP($B423,표2[#ALL],2)/HLOOKUP($A423,표1[#ALL],row(),false)</f>
        <v>#N/A</v>
      </c>
      <c r="AD423" s="376" t="str">
        <f>CS_PID!AD423/VLOOKUP($B423,표2[#ALL],2)/HLOOKUP($A423,표1[#ALL],row(),false)</f>
        <v>#N/A</v>
      </c>
      <c r="AE423" s="376" t="str">
        <f>CS_PID!AE423/VLOOKUP($B423,표2[#ALL],2)/HLOOKUP($A423,표1[#ALL],row(),false)</f>
        <v>#N/A</v>
      </c>
      <c r="AF423" s="376" t="str">
        <f>CS_PID!AF423/VLOOKUP($B423,표2[#ALL],2)/HLOOKUP($A423,표1[#ALL],row(),false)</f>
        <v>#N/A</v>
      </c>
      <c r="AG423" s="376" t="str">
        <f>CS_PID!AG423/VLOOKUP($B423,표2[#ALL],2)/HLOOKUP($A423,표1[#ALL],row(),false)</f>
        <v>#N/A</v>
      </c>
      <c r="AH423" s="376" t="str">
        <f>CS_PID!AH423/VLOOKUP($B423,표2[#ALL],2)/HLOOKUP($A423,표1[#ALL],row(),false)</f>
        <v>#N/A</v>
      </c>
      <c r="AI423" s="376" t="str">
        <f>CS_PID!AI423/VLOOKUP($B423,표2[#ALL],2)/HLOOKUP($A423,표1[#ALL],row(),false)</f>
        <v>#N/A</v>
      </c>
      <c r="AJ423" s="376" t="str">
        <f>CS_PID!AJ423/VLOOKUP($B423,표2[#ALL],2)/HLOOKUP($A423,표1[#ALL],row(),false)</f>
        <v>#N/A</v>
      </c>
      <c r="AK423" s="376" t="str">
        <f>CS_PID!AK423/VLOOKUP($B423,표2[#ALL],2)/HLOOKUP($A423,표1[#ALL],row(),false)</f>
        <v>#N/A</v>
      </c>
      <c r="AL423" s="376" t="str">
        <f>CS_PID!AL423/VLOOKUP($B423,표2[#ALL],2)/HLOOKUP($A423,표1[#ALL],row(),false)</f>
        <v>#N/A</v>
      </c>
      <c r="AM423" s="376" t="str">
        <f>CS_PID!AM423/VLOOKUP($B423,표2[#ALL],2)/HLOOKUP($A423,표1[#ALL],row(),false)</f>
        <v>#N/A</v>
      </c>
      <c r="AN423" s="376" t="str">
        <f>CS_PID!AN423/VLOOKUP($B423,표2[#ALL],2)/HLOOKUP($A423,표1[#ALL],row(),false)</f>
        <v>#N/A</v>
      </c>
      <c r="AO423" s="376" t="str">
        <f>CS_PID!AO423/VLOOKUP($B423,표2[#ALL],2)/HLOOKUP($A423,표1[#ALL],row(),false)</f>
        <v>#N/A</v>
      </c>
      <c r="AP423" s="376" t="str">
        <f>CS_PID!AP423/VLOOKUP($B423,표2[#ALL],2)/HLOOKUP($A423,표1[#ALL],row(),false)</f>
        <v>#N/A</v>
      </c>
      <c r="AQ423" s="376" t="str">
        <f>CS_PID!AQ423/VLOOKUP($B423,표2[#ALL],2)/HLOOKUP($A423,표1[#ALL],row(),false)</f>
        <v>#N/A</v>
      </c>
      <c r="AR423" s="376" t="str">
        <f>CS_PID!AR423/VLOOKUP($B423,표2[#ALL],2)/HLOOKUP($A423,표1[#ALL],row(),false)</f>
        <v>#N/A</v>
      </c>
      <c r="AS423" s="377" t="str">
        <f>CS_PID!AS423/VLOOKUP($B423,표2[#ALL],2)/HLOOKUP($A423,표1[#ALL],row(),false)</f>
        <v>#N/A</v>
      </c>
    </row>
    <row r="424">
      <c r="A424" s="370"/>
      <c r="B424" s="371"/>
      <c r="C424" s="372" t="str">
        <f>CS_PID!C424/VLOOKUP($B424,표2[#ALL],2)</f>
        <v>#N/A</v>
      </c>
      <c r="D424" s="372" t="str">
        <f>CS_PID!D424/VLOOKUP($B424,표2[#ALL],2)</f>
        <v>#N/A</v>
      </c>
      <c r="E424" s="372" t="str">
        <f>CS_PID!E424/VLOOKUP($B424,표2[#ALL],2)</f>
        <v>#N/A</v>
      </c>
      <c r="F424" s="372" t="str">
        <f>CS_PID!F424/VLOOKUP($B424,표2[#ALL],2)</f>
        <v>#N/A</v>
      </c>
      <c r="G424" s="372" t="str">
        <f>CS_PID!G424/VLOOKUP($B424,표2[#ALL],2)</f>
        <v>#N/A</v>
      </c>
      <c r="H424" s="372" t="str">
        <f>CS_PID!H424/VLOOKUP($B424,표2[#ALL],2)/HLOOKUP($A424,표1[#ALL],row(),false)</f>
        <v>#N/A</v>
      </c>
      <c r="I424" s="372" t="str">
        <f>CS_PID!I424/VLOOKUP($B424,표2[#ALL],2)/HLOOKUP($A424,표1[#ALL],row(),false)</f>
        <v>#N/A</v>
      </c>
      <c r="J424" s="372" t="str">
        <f>CS_PID!J424/VLOOKUP($B424,표2[#ALL],2)/HLOOKUP($A424,표1[#ALL],row(),false)</f>
        <v>#N/A</v>
      </c>
      <c r="K424" s="372" t="str">
        <f>CS_PID!K424/VLOOKUP($B424,표2[#ALL],2)/HLOOKUP($A424,표1[#ALL],row(),false)</f>
        <v>#N/A</v>
      </c>
      <c r="L424" s="372" t="str">
        <f>CS_PID!L424/VLOOKUP($B424,표2[#ALL],2)/HLOOKUP($A424,표1[#ALL],row(),false)</f>
        <v>#N/A</v>
      </c>
      <c r="M424" s="372" t="str">
        <f>CS_PID!M424/VLOOKUP($B424,표2[#ALL],2)/HLOOKUP($A424,표1[#ALL],row(),false)</f>
        <v>#N/A</v>
      </c>
      <c r="N424" s="372" t="str">
        <f>CS_PID!N424/VLOOKUP($B424,표2[#ALL],2)/HLOOKUP($A424,표1[#ALL],row(),false)</f>
        <v>#N/A</v>
      </c>
      <c r="O424" s="372" t="str">
        <f>CS_PID!O424/VLOOKUP($B424,표2[#ALL],2)/HLOOKUP($A424,표1[#ALL],row(),false)</f>
        <v>#N/A</v>
      </c>
      <c r="P424" s="372" t="str">
        <f>CS_PID!P424/VLOOKUP($B424,표2[#ALL],2)/HLOOKUP($A424,표1[#ALL],row(),false)</f>
        <v>#N/A</v>
      </c>
      <c r="Q424" s="372" t="str">
        <f>CS_PID!Q424/VLOOKUP($B424,표2[#ALL],2)/HLOOKUP($A424,표1[#ALL],row(),false)</f>
        <v>#N/A</v>
      </c>
      <c r="R424" s="372" t="str">
        <f>CS_PID!R424/VLOOKUP($B424,표2[#ALL],2)/HLOOKUP($A424,표1[#ALL],row(),false)</f>
        <v>#N/A</v>
      </c>
      <c r="S424" s="372" t="str">
        <f>CS_PID!S424/VLOOKUP($B424,표2[#ALL],2)/HLOOKUP($A424,표1[#ALL],row(),false)</f>
        <v>#N/A</v>
      </c>
      <c r="T424" s="372" t="str">
        <f>CS_PID!T424/VLOOKUP($B424,표2[#ALL],2)/HLOOKUP($A424,표1[#ALL],row(),false)</f>
        <v>#N/A</v>
      </c>
      <c r="U424" s="372" t="str">
        <f>CS_PID!U424/VLOOKUP($B424,표2[#ALL],2)/HLOOKUP($A424,표1[#ALL],row(),false)</f>
        <v>#N/A</v>
      </c>
      <c r="V424" s="372" t="str">
        <f>CS_PID!V424/VLOOKUP($B424,표2[#ALL],2)/HLOOKUP($A424,표1[#ALL],row(),false)</f>
        <v>#N/A</v>
      </c>
      <c r="W424" s="372" t="str">
        <f>CS_PID!W424/VLOOKUP($B424,표2[#ALL],2)/HLOOKUP($A424,표1[#ALL],row(),false)</f>
        <v>#N/A</v>
      </c>
      <c r="X424" s="372" t="str">
        <f>CS_PID!X424/VLOOKUP($B424,표2[#ALL],2)/HLOOKUP($A424,표1[#ALL],row(),false)</f>
        <v>#N/A</v>
      </c>
      <c r="Y424" s="372" t="str">
        <f>CS_PID!Y424/VLOOKUP($B424,표2[#ALL],2)/HLOOKUP($A424,표1[#ALL],row(),false)</f>
        <v>#N/A</v>
      </c>
      <c r="Z424" s="372" t="str">
        <f>CS_PID!Z424/VLOOKUP($B424,표2[#ALL],2)/HLOOKUP($A424,표1[#ALL],row(),false)</f>
        <v>#N/A</v>
      </c>
      <c r="AA424" s="372" t="str">
        <f>CS_PID!AA424/VLOOKUP($B424,표2[#ALL],2)/HLOOKUP($A424,표1[#ALL],row(),false)</f>
        <v>#N/A</v>
      </c>
      <c r="AB424" s="372" t="str">
        <f>CS_PID!AB424/VLOOKUP($B424,표2[#ALL],2)/HLOOKUP($A424,표1[#ALL],row(),false)</f>
        <v>#N/A</v>
      </c>
      <c r="AC424" s="372" t="str">
        <f>CS_PID!AC424/VLOOKUP($B424,표2[#ALL],2)/HLOOKUP($A424,표1[#ALL],row(),false)</f>
        <v>#N/A</v>
      </c>
      <c r="AD424" s="372" t="str">
        <f>CS_PID!AD424/VLOOKUP($B424,표2[#ALL],2)/HLOOKUP($A424,표1[#ALL],row(),false)</f>
        <v>#N/A</v>
      </c>
      <c r="AE424" s="372" t="str">
        <f>CS_PID!AE424/VLOOKUP($B424,표2[#ALL],2)/HLOOKUP($A424,표1[#ALL],row(),false)</f>
        <v>#N/A</v>
      </c>
      <c r="AF424" s="372" t="str">
        <f>CS_PID!AF424/VLOOKUP($B424,표2[#ALL],2)/HLOOKUP($A424,표1[#ALL],row(),false)</f>
        <v>#N/A</v>
      </c>
      <c r="AG424" s="372" t="str">
        <f>CS_PID!AG424/VLOOKUP($B424,표2[#ALL],2)/HLOOKUP($A424,표1[#ALL],row(),false)</f>
        <v>#N/A</v>
      </c>
      <c r="AH424" s="372" t="str">
        <f>CS_PID!AH424/VLOOKUP($B424,표2[#ALL],2)/HLOOKUP($A424,표1[#ALL],row(),false)</f>
        <v>#N/A</v>
      </c>
      <c r="AI424" s="372" t="str">
        <f>CS_PID!AI424/VLOOKUP($B424,표2[#ALL],2)/HLOOKUP($A424,표1[#ALL],row(),false)</f>
        <v>#N/A</v>
      </c>
      <c r="AJ424" s="372" t="str">
        <f>CS_PID!AJ424/VLOOKUP($B424,표2[#ALL],2)/HLOOKUP($A424,표1[#ALL],row(),false)</f>
        <v>#N/A</v>
      </c>
      <c r="AK424" s="372" t="str">
        <f>CS_PID!AK424/VLOOKUP($B424,표2[#ALL],2)/HLOOKUP($A424,표1[#ALL],row(),false)</f>
        <v>#N/A</v>
      </c>
      <c r="AL424" s="372" t="str">
        <f>CS_PID!AL424/VLOOKUP($B424,표2[#ALL],2)/HLOOKUP($A424,표1[#ALL],row(),false)</f>
        <v>#N/A</v>
      </c>
      <c r="AM424" s="372" t="str">
        <f>CS_PID!AM424/VLOOKUP($B424,표2[#ALL],2)/HLOOKUP($A424,표1[#ALL],row(),false)</f>
        <v>#N/A</v>
      </c>
      <c r="AN424" s="372" t="str">
        <f>CS_PID!AN424/VLOOKUP($B424,표2[#ALL],2)/HLOOKUP($A424,표1[#ALL],row(),false)</f>
        <v>#N/A</v>
      </c>
      <c r="AO424" s="372" t="str">
        <f>CS_PID!AO424/VLOOKUP($B424,표2[#ALL],2)/HLOOKUP($A424,표1[#ALL],row(),false)</f>
        <v>#N/A</v>
      </c>
      <c r="AP424" s="372" t="str">
        <f>CS_PID!AP424/VLOOKUP($B424,표2[#ALL],2)/HLOOKUP($A424,표1[#ALL],row(),false)</f>
        <v>#N/A</v>
      </c>
      <c r="AQ424" s="372" t="str">
        <f>CS_PID!AQ424/VLOOKUP($B424,표2[#ALL],2)/HLOOKUP($A424,표1[#ALL],row(),false)</f>
        <v>#N/A</v>
      </c>
      <c r="AR424" s="372" t="str">
        <f>CS_PID!AR424/VLOOKUP($B424,표2[#ALL],2)/HLOOKUP($A424,표1[#ALL],row(),false)</f>
        <v>#N/A</v>
      </c>
      <c r="AS424" s="373" t="str">
        <f>CS_PID!AS424/VLOOKUP($B424,표2[#ALL],2)/HLOOKUP($A424,표1[#ALL],row(),false)</f>
        <v>#N/A</v>
      </c>
    </row>
    <row r="425">
      <c r="A425" s="374"/>
      <c r="B425" s="375"/>
      <c r="C425" s="376" t="str">
        <f>CS_PID!C425/VLOOKUP($B425,표2[#ALL],2)</f>
        <v>#N/A</v>
      </c>
      <c r="D425" s="376" t="str">
        <f>CS_PID!D425/VLOOKUP($B425,표2[#ALL],2)</f>
        <v>#N/A</v>
      </c>
      <c r="E425" s="376" t="str">
        <f>CS_PID!E425/VLOOKUP($B425,표2[#ALL],2)</f>
        <v>#N/A</v>
      </c>
      <c r="F425" s="376" t="str">
        <f>CS_PID!F425/VLOOKUP($B425,표2[#ALL],2)</f>
        <v>#N/A</v>
      </c>
      <c r="G425" s="376" t="str">
        <f>CS_PID!G425/VLOOKUP($B425,표2[#ALL],2)</f>
        <v>#N/A</v>
      </c>
      <c r="H425" s="376" t="str">
        <f>CS_PID!H425/VLOOKUP($B425,표2[#ALL],2)/HLOOKUP($A425,표1[#ALL],row(),false)</f>
        <v>#N/A</v>
      </c>
      <c r="I425" s="376" t="str">
        <f>CS_PID!I425/VLOOKUP($B425,표2[#ALL],2)/HLOOKUP($A425,표1[#ALL],row(),false)</f>
        <v>#N/A</v>
      </c>
      <c r="J425" s="376" t="str">
        <f>CS_PID!J425/VLOOKUP($B425,표2[#ALL],2)/HLOOKUP($A425,표1[#ALL],row(),false)</f>
        <v>#N/A</v>
      </c>
      <c r="K425" s="376" t="str">
        <f>CS_PID!K425/VLOOKUP($B425,표2[#ALL],2)/HLOOKUP($A425,표1[#ALL],row(),false)</f>
        <v>#N/A</v>
      </c>
      <c r="L425" s="376" t="str">
        <f>CS_PID!L425/VLOOKUP($B425,표2[#ALL],2)/HLOOKUP($A425,표1[#ALL],row(),false)</f>
        <v>#N/A</v>
      </c>
      <c r="M425" s="376" t="str">
        <f>CS_PID!M425/VLOOKUP($B425,표2[#ALL],2)/HLOOKUP($A425,표1[#ALL],row(),false)</f>
        <v>#N/A</v>
      </c>
      <c r="N425" s="376" t="str">
        <f>CS_PID!N425/VLOOKUP($B425,표2[#ALL],2)/HLOOKUP($A425,표1[#ALL],row(),false)</f>
        <v>#N/A</v>
      </c>
      <c r="O425" s="376" t="str">
        <f>CS_PID!O425/VLOOKUP($B425,표2[#ALL],2)/HLOOKUP($A425,표1[#ALL],row(),false)</f>
        <v>#N/A</v>
      </c>
      <c r="P425" s="376" t="str">
        <f>CS_PID!P425/VLOOKUP($B425,표2[#ALL],2)/HLOOKUP($A425,표1[#ALL],row(),false)</f>
        <v>#N/A</v>
      </c>
      <c r="Q425" s="376" t="str">
        <f>CS_PID!Q425/VLOOKUP($B425,표2[#ALL],2)/HLOOKUP($A425,표1[#ALL],row(),false)</f>
        <v>#N/A</v>
      </c>
      <c r="R425" s="376" t="str">
        <f>CS_PID!R425/VLOOKUP($B425,표2[#ALL],2)/HLOOKUP($A425,표1[#ALL],row(),false)</f>
        <v>#N/A</v>
      </c>
      <c r="S425" s="376" t="str">
        <f>CS_PID!S425/VLOOKUP($B425,표2[#ALL],2)/HLOOKUP($A425,표1[#ALL],row(),false)</f>
        <v>#N/A</v>
      </c>
      <c r="T425" s="376" t="str">
        <f>CS_PID!T425/VLOOKUP($B425,표2[#ALL],2)/HLOOKUP($A425,표1[#ALL],row(),false)</f>
        <v>#N/A</v>
      </c>
      <c r="U425" s="376" t="str">
        <f>CS_PID!U425/VLOOKUP($B425,표2[#ALL],2)/HLOOKUP($A425,표1[#ALL],row(),false)</f>
        <v>#N/A</v>
      </c>
      <c r="V425" s="376" t="str">
        <f>CS_PID!V425/VLOOKUP($B425,표2[#ALL],2)/HLOOKUP($A425,표1[#ALL],row(),false)</f>
        <v>#N/A</v>
      </c>
      <c r="W425" s="376" t="str">
        <f>CS_PID!W425/VLOOKUP($B425,표2[#ALL],2)/HLOOKUP($A425,표1[#ALL],row(),false)</f>
        <v>#N/A</v>
      </c>
      <c r="X425" s="376" t="str">
        <f>CS_PID!X425/VLOOKUP($B425,표2[#ALL],2)/HLOOKUP($A425,표1[#ALL],row(),false)</f>
        <v>#N/A</v>
      </c>
      <c r="Y425" s="376" t="str">
        <f>CS_PID!Y425/VLOOKUP($B425,표2[#ALL],2)/HLOOKUP($A425,표1[#ALL],row(),false)</f>
        <v>#N/A</v>
      </c>
      <c r="Z425" s="376" t="str">
        <f>CS_PID!Z425/VLOOKUP($B425,표2[#ALL],2)/HLOOKUP($A425,표1[#ALL],row(),false)</f>
        <v>#N/A</v>
      </c>
      <c r="AA425" s="376" t="str">
        <f>CS_PID!AA425/VLOOKUP($B425,표2[#ALL],2)/HLOOKUP($A425,표1[#ALL],row(),false)</f>
        <v>#N/A</v>
      </c>
      <c r="AB425" s="376" t="str">
        <f>CS_PID!AB425/VLOOKUP($B425,표2[#ALL],2)/HLOOKUP($A425,표1[#ALL],row(),false)</f>
        <v>#N/A</v>
      </c>
      <c r="AC425" s="376" t="str">
        <f>CS_PID!AC425/VLOOKUP($B425,표2[#ALL],2)/HLOOKUP($A425,표1[#ALL],row(),false)</f>
        <v>#N/A</v>
      </c>
      <c r="AD425" s="376" t="str">
        <f>CS_PID!AD425/VLOOKUP($B425,표2[#ALL],2)/HLOOKUP($A425,표1[#ALL],row(),false)</f>
        <v>#N/A</v>
      </c>
      <c r="AE425" s="376" t="str">
        <f>CS_PID!AE425/VLOOKUP($B425,표2[#ALL],2)/HLOOKUP($A425,표1[#ALL],row(),false)</f>
        <v>#N/A</v>
      </c>
      <c r="AF425" s="376" t="str">
        <f>CS_PID!AF425/VLOOKUP($B425,표2[#ALL],2)/HLOOKUP($A425,표1[#ALL],row(),false)</f>
        <v>#N/A</v>
      </c>
      <c r="AG425" s="376" t="str">
        <f>CS_PID!AG425/VLOOKUP($B425,표2[#ALL],2)/HLOOKUP($A425,표1[#ALL],row(),false)</f>
        <v>#N/A</v>
      </c>
      <c r="AH425" s="376" t="str">
        <f>CS_PID!AH425/VLOOKUP($B425,표2[#ALL],2)/HLOOKUP($A425,표1[#ALL],row(),false)</f>
        <v>#N/A</v>
      </c>
      <c r="AI425" s="376" t="str">
        <f>CS_PID!AI425/VLOOKUP($B425,표2[#ALL],2)/HLOOKUP($A425,표1[#ALL],row(),false)</f>
        <v>#N/A</v>
      </c>
      <c r="AJ425" s="376" t="str">
        <f>CS_PID!AJ425/VLOOKUP($B425,표2[#ALL],2)/HLOOKUP($A425,표1[#ALL],row(),false)</f>
        <v>#N/A</v>
      </c>
      <c r="AK425" s="376" t="str">
        <f>CS_PID!AK425/VLOOKUP($B425,표2[#ALL],2)/HLOOKUP($A425,표1[#ALL],row(),false)</f>
        <v>#N/A</v>
      </c>
      <c r="AL425" s="376" t="str">
        <f>CS_PID!AL425/VLOOKUP($B425,표2[#ALL],2)/HLOOKUP($A425,표1[#ALL],row(),false)</f>
        <v>#N/A</v>
      </c>
      <c r="AM425" s="376" t="str">
        <f>CS_PID!AM425/VLOOKUP($B425,표2[#ALL],2)/HLOOKUP($A425,표1[#ALL],row(),false)</f>
        <v>#N/A</v>
      </c>
      <c r="AN425" s="376" t="str">
        <f>CS_PID!AN425/VLOOKUP($B425,표2[#ALL],2)/HLOOKUP($A425,표1[#ALL],row(),false)</f>
        <v>#N/A</v>
      </c>
      <c r="AO425" s="376" t="str">
        <f>CS_PID!AO425/VLOOKUP($B425,표2[#ALL],2)/HLOOKUP($A425,표1[#ALL],row(),false)</f>
        <v>#N/A</v>
      </c>
      <c r="AP425" s="376" t="str">
        <f>CS_PID!AP425/VLOOKUP($B425,표2[#ALL],2)/HLOOKUP($A425,표1[#ALL],row(),false)</f>
        <v>#N/A</v>
      </c>
      <c r="AQ425" s="376" t="str">
        <f>CS_PID!AQ425/VLOOKUP($B425,표2[#ALL],2)/HLOOKUP($A425,표1[#ALL],row(),false)</f>
        <v>#N/A</v>
      </c>
      <c r="AR425" s="376" t="str">
        <f>CS_PID!AR425/VLOOKUP($B425,표2[#ALL],2)/HLOOKUP($A425,표1[#ALL],row(),false)</f>
        <v>#N/A</v>
      </c>
      <c r="AS425" s="377" t="str">
        <f>CS_PID!AS425/VLOOKUP($B425,표2[#ALL],2)/HLOOKUP($A425,표1[#ALL],row(),false)</f>
        <v>#N/A</v>
      </c>
    </row>
    <row r="426">
      <c r="A426" s="370"/>
      <c r="B426" s="371"/>
      <c r="C426" s="372" t="str">
        <f>CS_PID!C426/VLOOKUP($B426,표2[#ALL],2)</f>
        <v>#N/A</v>
      </c>
      <c r="D426" s="372" t="str">
        <f>CS_PID!D426/VLOOKUP($B426,표2[#ALL],2)</f>
        <v>#N/A</v>
      </c>
      <c r="E426" s="372" t="str">
        <f>CS_PID!E426/VLOOKUP($B426,표2[#ALL],2)</f>
        <v>#N/A</v>
      </c>
      <c r="F426" s="372" t="str">
        <f>CS_PID!F426/VLOOKUP($B426,표2[#ALL],2)</f>
        <v>#N/A</v>
      </c>
      <c r="G426" s="372" t="str">
        <f>CS_PID!G426/VLOOKUP($B426,표2[#ALL],2)</f>
        <v>#N/A</v>
      </c>
      <c r="H426" s="372" t="str">
        <f>CS_PID!H426/VLOOKUP($B426,표2[#ALL],2)/HLOOKUP($A426,표1[#ALL],row(),false)</f>
        <v>#N/A</v>
      </c>
      <c r="I426" s="372" t="str">
        <f>CS_PID!I426/VLOOKUP($B426,표2[#ALL],2)/HLOOKUP($A426,표1[#ALL],row(),false)</f>
        <v>#N/A</v>
      </c>
      <c r="J426" s="372" t="str">
        <f>CS_PID!J426/VLOOKUP($B426,표2[#ALL],2)/HLOOKUP($A426,표1[#ALL],row(),false)</f>
        <v>#N/A</v>
      </c>
      <c r="K426" s="372" t="str">
        <f>CS_PID!K426/VLOOKUP($B426,표2[#ALL],2)/HLOOKUP($A426,표1[#ALL],row(),false)</f>
        <v>#N/A</v>
      </c>
      <c r="L426" s="372" t="str">
        <f>CS_PID!L426/VLOOKUP($B426,표2[#ALL],2)/HLOOKUP($A426,표1[#ALL],row(),false)</f>
        <v>#N/A</v>
      </c>
      <c r="M426" s="372" t="str">
        <f>CS_PID!M426/VLOOKUP($B426,표2[#ALL],2)/HLOOKUP($A426,표1[#ALL],row(),false)</f>
        <v>#N/A</v>
      </c>
      <c r="N426" s="372" t="str">
        <f>CS_PID!N426/VLOOKUP($B426,표2[#ALL],2)/HLOOKUP($A426,표1[#ALL],row(),false)</f>
        <v>#N/A</v>
      </c>
      <c r="O426" s="372" t="str">
        <f>CS_PID!O426/VLOOKUP($B426,표2[#ALL],2)/HLOOKUP($A426,표1[#ALL],row(),false)</f>
        <v>#N/A</v>
      </c>
      <c r="P426" s="372" t="str">
        <f>CS_PID!P426/VLOOKUP($B426,표2[#ALL],2)/HLOOKUP($A426,표1[#ALL],row(),false)</f>
        <v>#N/A</v>
      </c>
      <c r="Q426" s="372" t="str">
        <f>CS_PID!Q426/VLOOKUP($B426,표2[#ALL],2)/HLOOKUP($A426,표1[#ALL],row(),false)</f>
        <v>#N/A</v>
      </c>
      <c r="R426" s="372" t="str">
        <f>CS_PID!R426/VLOOKUP($B426,표2[#ALL],2)/HLOOKUP($A426,표1[#ALL],row(),false)</f>
        <v>#N/A</v>
      </c>
      <c r="S426" s="372" t="str">
        <f>CS_PID!S426/VLOOKUP($B426,표2[#ALL],2)/HLOOKUP($A426,표1[#ALL],row(),false)</f>
        <v>#N/A</v>
      </c>
      <c r="T426" s="372" t="str">
        <f>CS_PID!T426/VLOOKUP($B426,표2[#ALL],2)/HLOOKUP($A426,표1[#ALL],row(),false)</f>
        <v>#N/A</v>
      </c>
      <c r="U426" s="372" t="str">
        <f>CS_PID!U426/VLOOKUP($B426,표2[#ALL],2)/HLOOKUP($A426,표1[#ALL],row(),false)</f>
        <v>#N/A</v>
      </c>
      <c r="V426" s="372" t="str">
        <f>CS_PID!V426/VLOOKUP($B426,표2[#ALL],2)/HLOOKUP($A426,표1[#ALL],row(),false)</f>
        <v>#N/A</v>
      </c>
      <c r="W426" s="372" t="str">
        <f>CS_PID!W426/VLOOKUP($B426,표2[#ALL],2)/HLOOKUP($A426,표1[#ALL],row(),false)</f>
        <v>#N/A</v>
      </c>
      <c r="X426" s="372" t="str">
        <f>CS_PID!X426/VLOOKUP($B426,표2[#ALL],2)/HLOOKUP($A426,표1[#ALL],row(),false)</f>
        <v>#N/A</v>
      </c>
      <c r="Y426" s="372" t="str">
        <f>CS_PID!Y426/VLOOKUP($B426,표2[#ALL],2)/HLOOKUP($A426,표1[#ALL],row(),false)</f>
        <v>#N/A</v>
      </c>
      <c r="Z426" s="372" t="str">
        <f>CS_PID!Z426/VLOOKUP($B426,표2[#ALL],2)/HLOOKUP($A426,표1[#ALL],row(),false)</f>
        <v>#N/A</v>
      </c>
      <c r="AA426" s="372" t="str">
        <f>CS_PID!AA426/VLOOKUP($B426,표2[#ALL],2)/HLOOKUP($A426,표1[#ALL],row(),false)</f>
        <v>#N/A</v>
      </c>
      <c r="AB426" s="372" t="str">
        <f>CS_PID!AB426/VLOOKUP($B426,표2[#ALL],2)/HLOOKUP($A426,표1[#ALL],row(),false)</f>
        <v>#N/A</v>
      </c>
      <c r="AC426" s="372" t="str">
        <f>CS_PID!AC426/VLOOKUP($B426,표2[#ALL],2)/HLOOKUP($A426,표1[#ALL],row(),false)</f>
        <v>#N/A</v>
      </c>
      <c r="AD426" s="372" t="str">
        <f>CS_PID!AD426/VLOOKUP($B426,표2[#ALL],2)/HLOOKUP($A426,표1[#ALL],row(),false)</f>
        <v>#N/A</v>
      </c>
      <c r="AE426" s="372" t="str">
        <f>CS_PID!AE426/VLOOKUP($B426,표2[#ALL],2)/HLOOKUP($A426,표1[#ALL],row(),false)</f>
        <v>#N/A</v>
      </c>
      <c r="AF426" s="372" t="str">
        <f>CS_PID!AF426/VLOOKUP($B426,표2[#ALL],2)/HLOOKUP($A426,표1[#ALL],row(),false)</f>
        <v>#N/A</v>
      </c>
      <c r="AG426" s="372" t="str">
        <f>CS_PID!AG426/VLOOKUP($B426,표2[#ALL],2)/HLOOKUP($A426,표1[#ALL],row(),false)</f>
        <v>#N/A</v>
      </c>
      <c r="AH426" s="372" t="str">
        <f>CS_PID!AH426/VLOOKUP($B426,표2[#ALL],2)/HLOOKUP($A426,표1[#ALL],row(),false)</f>
        <v>#N/A</v>
      </c>
      <c r="AI426" s="372" t="str">
        <f>CS_PID!AI426/VLOOKUP($B426,표2[#ALL],2)/HLOOKUP($A426,표1[#ALL],row(),false)</f>
        <v>#N/A</v>
      </c>
      <c r="AJ426" s="372" t="str">
        <f>CS_PID!AJ426/VLOOKUP($B426,표2[#ALL],2)/HLOOKUP($A426,표1[#ALL],row(),false)</f>
        <v>#N/A</v>
      </c>
      <c r="AK426" s="372" t="str">
        <f>CS_PID!AK426/VLOOKUP($B426,표2[#ALL],2)/HLOOKUP($A426,표1[#ALL],row(),false)</f>
        <v>#N/A</v>
      </c>
      <c r="AL426" s="372" t="str">
        <f>CS_PID!AL426/VLOOKUP($B426,표2[#ALL],2)/HLOOKUP($A426,표1[#ALL],row(),false)</f>
        <v>#N/A</v>
      </c>
      <c r="AM426" s="372" t="str">
        <f>CS_PID!AM426/VLOOKUP($B426,표2[#ALL],2)/HLOOKUP($A426,표1[#ALL],row(),false)</f>
        <v>#N/A</v>
      </c>
      <c r="AN426" s="372" t="str">
        <f>CS_PID!AN426/VLOOKUP($B426,표2[#ALL],2)/HLOOKUP($A426,표1[#ALL],row(),false)</f>
        <v>#N/A</v>
      </c>
      <c r="AO426" s="372" t="str">
        <f>CS_PID!AO426/VLOOKUP($B426,표2[#ALL],2)/HLOOKUP($A426,표1[#ALL],row(),false)</f>
        <v>#N/A</v>
      </c>
      <c r="AP426" s="372" t="str">
        <f>CS_PID!AP426/VLOOKUP($B426,표2[#ALL],2)/HLOOKUP($A426,표1[#ALL],row(),false)</f>
        <v>#N/A</v>
      </c>
      <c r="AQ426" s="372" t="str">
        <f>CS_PID!AQ426/VLOOKUP($B426,표2[#ALL],2)/HLOOKUP($A426,표1[#ALL],row(),false)</f>
        <v>#N/A</v>
      </c>
      <c r="AR426" s="372" t="str">
        <f>CS_PID!AR426/VLOOKUP($B426,표2[#ALL],2)/HLOOKUP($A426,표1[#ALL],row(),false)</f>
        <v>#N/A</v>
      </c>
      <c r="AS426" s="373" t="str">
        <f>CS_PID!AS426/VLOOKUP($B426,표2[#ALL],2)/HLOOKUP($A426,표1[#ALL],row(),false)</f>
        <v>#N/A</v>
      </c>
    </row>
    <row r="427">
      <c r="A427" s="374"/>
      <c r="B427" s="375"/>
      <c r="C427" s="376" t="str">
        <f>CS_PID!C427/VLOOKUP($B427,표2[#ALL],2)</f>
        <v>#N/A</v>
      </c>
      <c r="D427" s="376" t="str">
        <f>CS_PID!D427/VLOOKUP($B427,표2[#ALL],2)</f>
        <v>#N/A</v>
      </c>
      <c r="E427" s="376" t="str">
        <f>CS_PID!E427/VLOOKUP($B427,표2[#ALL],2)</f>
        <v>#N/A</v>
      </c>
      <c r="F427" s="376" t="str">
        <f>CS_PID!F427/VLOOKUP($B427,표2[#ALL],2)</f>
        <v>#N/A</v>
      </c>
      <c r="G427" s="376" t="str">
        <f>CS_PID!G427/VLOOKUP($B427,표2[#ALL],2)</f>
        <v>#N/A</v>
      </c>
      <c r="H427" s="376" t="str">
        <f>CS_PID!H427/VLOOKUP($B427,표2[#ALL],2)/HLOOKUP($A427,표1[#ALL],row(),false)</f>
        <v>#N/A</v>
      </c>
      <c r="I427" s="376" t="str">
        <f>CS_PID!I427/VLOOKUP($B427,표2[#ALL],2)/HLOOKUP($A427,표1[#ALL],row(),false)</f>
        <v>#N/A</v>
      </c>
      <c r="J427" s="376" t="str">
        <f>CS_PID!J427/VLOOKUP($B427,표2[#ALL],2)/HLOOKUP($A427,표1[#ALL],row(),false)</f>
        <v>#N/A</v>
      </c>
      <c r="K427" s="376" t="str">
        <f>CS_PID!K427/VLOOKUP($B427,표2[#ALL],2)/HLOOKUP($A427,표1[#ALL],row(),false)</f>
        <v>#N/A</v>
      </c>
      <c r="L427" s="376" t="str">
        <f>CS_PID!L427/VLOOKUP($B427,표2[#ALL],2)/HLOOKUP($A427,표1[#ALL],row(),false)</f>
        <v>#N/A</v>
      </c>
      <c r="M427" s="376" t="str">
        <f>CS_PID!M427/VLOOKUP($B427,표2[#ALL],2)/HLOOKUP($A427,표1[#ALL],row(),false)</f>
        <v>#N/A</v>
      </c>
      <c r="N427" s="376" t="str">
        <f>CS_PID!N427/VLOOKUP($B427,표2[#ALL],2)/HLOOKUP($A427,표1[#ALL],row(),false)</f>
        <v>#N/A</v>
      </c>
      <c r="O427" s="376" t="str">
        <f>CS_PID!O427/VLOOKUP($B427,표2[#ALL],2)/HLOOKUP($A427,표1[#ALL],row(),false)</f>
        <v>#N/A</v>
      </c>
      <c r="P427" s="376" t="str">
        <f>CS_PID!P427/VLOOKUP($B427,표2[#ALL],2)/HLOOKUP($A427,표1[#ALL],row(),false)</f>
        <v>#N/A</v>
      </c>
      <c r="Q427" s="376" t="str">
        <f>CS_PID!Q427/VLOOKUP($B427,표2[#ALL],2)/HLOOKUP($A427,표1[#ALL],row(),false)</f>
        <v>#N/A</v>
      </c>
      <c r="R427" s="376" t="str">
        <f>CS_PID!R427/VLOOKUP($B427,표2[#ALL],2)/HLOOKUP($A427,표1[#ALL],row(),false)</f>
        <v>#N/A</v>
      </c>
      <c r="S427" s="376" t="str">
        <f>CS_PID!S427/VLOOKUP($B427,표2[#ALL],2)/HLOOKUP($A427,표1[#ALL],row(),false)</f>
        <v>#N/A</v>
      </c>
      <c r="T427" s="376" t="str">
        <f>CS_PID!T427/VLOOKUP($B427,표2[#ALL],2)/HLOOKUP($A427,표1[#ALL],row(),false)</f>
        <v>#N/A</v>
      </c>
      <c r="U427" s="376" t="str">
        <f>CS_PID!U427/VLOOKUP($B427,표2[#ALL],2)/HLOOKUP($A427,표1[#ALL],row(),false)</f>
        <v>#N/A</v>
      </c>
      <c r="V427" s="376" t="str">
        <f>CS_PID!V427/VLOOKUP($B427,표2[#ALL],2)/HLOOKUP($A427,표1[#ALL],row(),false)</f>
        <v>#N/A</v>
      </c>
      <c r="W427" s="376" t="str">
        <f>CS_PID!W427/VLOOKUP($B427,표2[#ALL],2)/HLOOKUP($A427,표1[#ALL],row(),false)</f>
        <v>#N/A</v>
      </c>
      <c r="X427" s="376" t="str">
        <f>CS_PID!X427/VLOOKUP($B427,표2[#ALL],2)/HLOOKUP($A427,표1[#ALL],row(),false)</f>
        <v>#N/A</v>
      </c>
      <c r="Y427" s="376" t="str">
        <f>CS_PID!Y427/VLOOKUP($B427,표2[#ALL],2)/HLOOKUP($A427,표1[#ALL],row(),false)</f>
        <v>#N/A</v>
      </c>
      <c r="Z427" s="376" t="str">
        <f>CS_PID!Z427/VLOOKUP($B427,표2[#ALL],2)/HLOOKUP($A427,표1[#ALL],row(),false)</f>
        <v>#N/A</v>
      </c>
      <c r="AA427" s="376" t="str">
        <f>CS_PID!AA427/VLOOKUP($B427,표2[#ALL],2)/HLOOKUP($A427,표1[#ALL],row(),false)</f>
        <v>#N/A</v>
      </c>
      <c r="AB427" s="376" t="str">
        <f>CS_PID!AB427/VLOOKUP($B427,표2[#ALL],2)/HLOOKUP($A427,표1[#ALL],row(),false)</f>
        <v>#N/A</v>
      </c>
      <c r="AC427" s="376" t="str">
        <f>CS_PID!AC427/VLOOKUP($B427,표2[#ALL],2)/HLOOKUP($A427,표1[#ALL],row(),false)</f>
        <v>#N/A</v>
      </c>
      <c r="AD427" s="376" t="str">
        <f>CS_PID!AD427/VLOOKUP($B427,표2[#ALL],2)/HLOOKUP($A427,표1[#ALL],row(),false)</f>
        <v>#N/A</v>
      </c>
      <c r="AE427" s="376" t="str">
        <f>CS_PID!AE427/VLOOKUP($B427,표2[#ALL],2)/HLOOKUP($A427,표1[#ALL],row(),false)</f>
        <v>#N/A</v>
      </c>
      <c r="AF427" s="376" t="str">
        <f>CS_PID!AF427/VLOOKUP($B427,표2[#ALL],2)/HLOOKUP($A427,표1[#ALL],row(),false)</f>
        <v>#N/A</v>
      </c>
      <c r="AG427" s="376" t="str">
        <f>CS_PID!AG427/VLOOKUP($B427,표2[#ALL],2)/HLOOKUP($A427,표1[#ALL],row(),false)</f>
        <v>#N/A</v>
      </c>
      <c r="AH427" s="376" t="str">
        <f>CS_PID!AH427/VLOOKUP($B427,표2[#ALL],2)/HLOOKUP($A427,표1[#ALL],row(),false)</f>
        <v>#N/A</v>
      </c>
      <c r="AI427" s="376" t="str">
        <f>CS_PID!AI427/VLOOKUP($B427,표2[#ALL],2)/HLOOKUP($A427,표1[#ALL],row(),false)</f>
        <v>#N/A</v>
      </c>
      <c r="AJ427" s="376" t="str">
        <f>CS_PID!AJ427/VLOOKUP($B427,표2[#ALL],2)/HLOOKUP($A427,표1[#ALL],row(),false)</f>
        <v>#N/A</v>
      </c>
      <c r="AK427" s="376" t="str">
        <f>CS_PID!AK427/VLOOKUP($B427,표2[#ALL],2)/HLOOKUP($A427,표1[#ALL],row(),false)</f>
        <v>#N/A</v>
      </c>
      <c r="AL427" s="376" t="str">
        <f>CS_PID!AL427/VLOOKUP($B427,표2[#ALL],2)/HLOOKUP($A427,표1[#ALL],row(),false)</f>
        <v>#N/A</v>
      </c>
      <c r="AM427" s="376" t="str">
        <f>CS_PID!AM427/VLOOKUP($B427,표2[#ALL],2)/HLOOKUP($A427,표1[#ALL],row(),false)</f>
        <v>#N/A</v>
      </c>
      <c r="AN427" s="376" t="str">
        <f>CS_PID!AN427/VLOOKUP($B427,표2[#ALL],2)/HLOOKUP($A427,표1[#ALL],row(),false)</f>
        <v>#N/A</v>
      </c>
      <c r="AO427" s="376" t="str">
        <f>CS_PID!AO427/VLOOKUP($B427,표2[#ALL],2)/HLOOKUP($A427,표1[#ALL],row(),false)</f>
        <v>#N/A</v>
      </c>
      <c r="AP427" s="376" t="str">
        <f>CS_PID!AP427/VLOOKUP($B427,표2[#ALL],2)/HLOOKUP($A427,표1[#ALL],row(),false)</f>
        <v>#N/A</v>
      </c>
      <c r="AQ427" s="376" t="str">
        <f>CS_PID!AQ427/VLOOKUP($B427,표2[#ALL],2)/HLOOKUP($A427,표1[#ALL],row(),false)</f>
        <v>#N/A</v>
      </c>
      <c r="AR427" s="376" t="str">
        <f>CS_PID!AR427/VLOOKUP($B427,표2[#ALL],2)/HLOOKUP($A427,표1[#ALL],row(),false)</f>
        <v>#N/A</v>
      </c>
      <c r="AS427" s="377" t="str">
        <f>CS_PID!AS427/VLOOKUP($B427,표2[#ALL],2)/HLOOKUP($A427,표1[#ALL],row(),false)</f>
        <v>#N/A</v>
      </c>
    </row>
    <row r="428">
      <c r="A428" s="370"/>
      <c r="B428" s="371"/>
      <c r="C428" s="372" t="str">
        <f>CS_PID!C428/VLOOKUP($B428,표2[#ALL],2)</f>
        <v>#N/A</v>
      </c>
      <c r="D428" s="372" t="str">
        <f>CS_PID!D428/VLOOKUP($B428,표2[#ALL],2)</f>
        <v>#N/A</v>
      </c>
      <c r="E428" s="372" t="str">
        <f>CS_PID!E428/VLOOKUP($B428,표2[#ALL],2)</f>
        <v>#N/A</v>
      </c>
      <c r="F428" s="372" t="str">
        <f>CS_PID!F428/VLOOKUP($B428,표2[#ALL],2)</f>
        <v>#N/A</v>
      </c>
      <c r="G428" s="372" t="str">
        <f>CS_PID!G428/VLOOKUP($B428,표2[#ALL],2)</f>
        <v>#N/A</v>
      </c>
      <c r="H428" s="372" t="str">
        <f>CS_PID!H428/VLOOKUP($B428,표2[#ALL],2)/HLOOKUP($A428,표1[#ALL],row(),false)</f>
        <v>#N/A</v>
      </c>
      <c r="I428" s="372" t="str">
        <f>CS_PID!I428/VLOOKUP($B428,표2[#ALL],2)/HLOOKUP($A428,표1[#ALL],row(),false)</f>
        <v>#N/A</v>
      </c>
      <c r="J428" s="372" t="str">
        <f>CS_PID!J428/VLOOKUP($B428,표2[#ALL],2)/HLOOKUP($A428,표1[#ALL],row(),false)</f>
        <v>#N/A</v>
      </c>
      <c r="K428" s="372" t="str">
        <f>CS_PID!K428/VLOOKUP($B428,표2[#ALL],2)/HLOOKUP($A428,표1[#ALL],row(),false)</f>
        <v>#N/A</v>
      </c>
      <c r="L428" s="372" t="str">
        <f>CS_PID!L428/VLOOKUP($B428,표2[#ALL],2)/HLOOKUP($A428,표1[#ALL],row(),false)</f>
        <v>#N/A</v>
      </c>
      <c r="M428" s="372" t="str">
        <f>CS_PID!M428/VLOOKUP($B428,표2[#ALL],2)/HLOOKUP($A428,표1[#ALL],row(),false)</f>
        <v>#N/A</v>
      </c>
      <c r="N428" s="372" t="str">
        <f>CS_PID!N428/VLOOKUP($B428,표2[#ALL],2)/HLOOKUP($A428,표1[#ALL],row(),false)</f>
        <v>#N/A</v>
      </c>
      <c r="O428" s="372" t="str">
        <f>CS_PID!O428/VLOOKUP($B428,표2[#ALL],2)/HLOOKUP($A428,표1[#ALL],row(),false)</f>
        <v>#N/A</v>
      </c>
      <c r="P428" s="372" t="str">
        <f>CS_PID!P428/VLOOKUP($B428,표2[#ALL],2)/HLOOKUP($A428,표1[#ALL],row(),false)</f>
        <v>#N/A</v>
      </c>
      <c r="Q428" s="372" t="str">
        <f>CS_PID!Q428/VLOOKUP($B428,표2[#ALL],2)/HLOOKUP($A428,표1[#ALL],row(),false)</f>
        <v>#N/A</v>
      </c>
      <c r="R428" s="372" t="str">
        <f>CS_PID!R428/VLOOKUP($B428,표2[#ALL],2)/HLOOKUP($A428,표1[#ALL],row(),false)</f>
        <v>#N/A</v>
      </c>
      <c r="S428" s="372" t="str">
        <f>CS_PID!S428/VLOOKUP($B428,표2[#ALL],2)/HLOOKUP($A428,표1[#ALL],row(),false)</f>
        <v>#N/A</v>
      </c>
      <c r="T428" s="372" t="str">
        <f>CS_PID!T428/VLOOKUP($B428,표2[#ALL],2)/HLOOKUP($A428,표1[#ALL],row(),false)</f>
        <v>#N/A</v>
      </c>
      <c r="U428" s="372" t="str">
        <f>CS_PID!U428/VLOOKUP($B428,표2[#ALL],2)/HLOOKUP($A428,표1[#ALL],row(),false)</f>
        <v>#N/A</v>
      </c>
      <c r="V428" s="372" t="str">
        <f>CS_PID!V428/VLOOKUP($B428,표2[#ALL],2)/HLOOKUP($A428,표1[#ALL],row(),false)</f>
        <v>#N/A</v>
      </c>
      <c r="W428" s="372" t="str">
        <f>CS_PID!W428/VLOOKUP($B428,표2[#ALL],2)/HLOOKUP($A428,표1[#ALL],row(),false)</f>
        <v>#N/A</v>
      </c>
      <c r="X428" s="372" t="str">
        <f>CS_PID!X428/VLOOKUP($B428,표2[#ALL],2)/HLOOKUP($A428,표1[#ALL],row(),false)</f>
        <v>#N/A</v>
      </c>
      <c r="Y428" s="372" t="str">
        <f>CS_PID!Y428/VLOOKUP($B428,표2[#ALL],2)/HLOOKUP($A428,표1[#ALL],row(),false)</f>
        <v>#N/A</v>
      </c>
      <c r="Z428" s="372" t="str">
        <f>CS_PID!Z428/VLOOKUP($B428,표2[#ALL],2)/HLOOKUP($A428,표1[#ALL],row(),false)</f>
        <v>#N/A</v>
      </c>
      <c r="AA428" s="372" t="str">
        <f>CS_PID!AA428/VLOOKUP($B428,표2[#ALL],2)/HLOOKUP($A428,표1[#ALL],row(),false)</f>
        <v>#N/A</v>
      </c>
      <c r="AB428" s="372" t="str">
        <f>CS_PID!AB428/VLOOKUP($B428,표2[#ALL],2)/HLOOKUP($A428,표1[#ALL],row(),false)</f>
        <v>#N/A</v>
      </c>
      <c r="AC428" s="372" t="str">
        <f>CS_PID!AC428/VLOOKUP($B428,표2[#ALL],2)/HLOOKUP($A428,표1[#ALL],row(),false)</f>
        <v>#N/A</v>
      </c>
      <c r="AD428" s="372" t="str">
        <f>CS_PID!AD428/VLOOKUP($B428,표2[#ALL],2)/HLOOKUP($A428,표1[#ALL],row(),false)</f>
        <v>#N/A</v>
      </c>
      <c r="AE428" s="372" t="str">
        <f>CS_PID!AE428/VLOOKUP($B428,표2[#ALL],2)/HLOOKUP($A428,표1[#ALL],row(),false)</f>
        <v>#N/A</v>
      </c>
      <c r="AF428" s="372" t="str">
        <f>CS_PID!AF428/VLOOKUP($B428,표2[#ALL],2)/HLOOKUP($A428,표1[#ALL],row(),false)</f>
        <v>#N/A</v>
      </c>
      <c r="AG428" s="372" t="str">
        <f>CS_PID!AG428/VLOOKUP($B428,표2[#ALL],2)/HLOOKUP($A428,표1[#ALL],row(),false)</f>
        <v>#N/A</v>
      </c>
      <c r="AH428" s="372" t="str">
        <f>CS_PID!AH428/VLOOKUP($B428,표2[#ALL],2)/HLOOKUP($A428,표1[#ALL],row(),false)</f>
        <v>#N/A</v>
      </c>
      <c r="AI428" s="372" t="str">
        <f>CS_PID!AI428/VLOOKUP($B428,표2[#ALL],2)/HLOOKUP($A428,표1[#ALL],row(),false)</f>
        <v>#N/A</v>
      </c>
      <c r="AJ428" s="372" t="str">
        <f>CS_PID!AJ428/VLOOKUP($B428,표2[#ALL],2)/HLOOKUP($A428,표1[#ALL],row(),false)</f>
        <v>#N/A</v>
      </c>
      <c r="AK428" s="372" t="str">
        <f>CS_PID!AK428/VLOOKUP($B428,표2[#ALL],2)/HLOOKUP($A428,표1[#ALL],row(),false)</f>
        <v>#N/A</v>
      </c>
      <c r="AL428" s="372" t="str">
        <f>CS_PID!AL428/VLOOKUP($B428,표2[#ALL],2)/HLOOKUP($A428,표1[#ALL],row(),false)</f>
        <v>#N/A</v>
      </c>
      <c r="AM428" s="372" t="str">
        <f>CS_PID!AM428/VLOOKUP($B428,표2[#ALL],2)/HLOOKUP($A428,표1[#ALL],row(),false)</f>
        <v>#N/A</v>
      </c>
      <c r="AN428" s="372" t="str">
        <f>CS_PID!AN428/VLOOKUP($B428,표2[#ALL],2)/HLOOKUP($A428,표1[#ALL],row(),false)</f>
        <v>#N/A</v>
      </c>
      <c r="AO428" s="372" t="str">
        <f>CS_PID!AO428/VLOOKUP($B428,표2[#ALL],2)/HLOOKUP($A428,표1[#ALL],row(),false)</f>
        <v>#N/A</v>
      </c>
      <c r="AP428" s="372" t="str">
        <f>CS_PID!AP428/VLOOKUP($B428,표2[#ALL],2)/HLOOKUP($A428,표1[#ALL],row(),false)</f>
        <v>#N/A</v>
      </c>
      <c r="AQ428" s="372" t="str">
        <f>CS_PID!AQ428/VLOOKUP($B428,표2[#ALL],2)/HLOOKUP($A428,표1[#ALL],row(),false)</f>
        <v>#N/A</v>
      </c>
      <c r="AR428" s="372" t="str">
        <f>CS_PID!AR428/VLOOKUP($B428,표2[#ALL],2)/HLOOKUP($A428,표1[#ALL],row(),false)</f>
        <v>#N/A</v>
      </c>
      <c r="AS428" s="373" t="str">
        <f>CS_PID!AS428/VLOOKUP($B428,표2[#ALL],2)/HLOOKUP($A428,표1[#ALL],row(),false)</f>
        <v>#N/A</v>
      </c>
    </row>
    <row r="429">
      <c r="A429" s="374"/>
      <c r="B429" s="375"/>
      <c r="C429" s="376" t="str">
        <f>CS_PID!C429/VLOOKUP($B429,표2[#ALL],2)</f>
        <v>#N/A</v>
      </c>
      <c r="D429" s="376" t="str">
        <f>CS_PID!D429/VLOOKUP($B429,표2[#ALL],2)</f>
        <v>#N/A</v>
      </c>
      <c r="E429" s="376" t="str">
        <f>CS_PID!E429/VLOOKUP($B429,표2[#ALL],2)</f>
        <v>#N/A</v>
      </c>
      <c r="F429" s="376" t="str">
        <f>CS_PID!F429/VLOOKUP($B429,표2[#ALL],2)</f>
        <v>#N/A</v>
      </c>
      <c r="G429" s="376" t="str">
        <f>CS_PID!G429/VLOOKUP($B429,표2[#ALL],2)</f>
        <v>#N/A</v>
      </c>
      <c r="H429" s="376" t="str">
        <f>CS_PID!H429/VLOOKUP($B429,표2[#ALL],2)/HLOOKUP($A429,표1[#ALL],row(),false)</f>
        <v>#N/A</v>
      </c>
      <c r="I429" s="376" t="str">
        <f>CS_PID!I429/VLOOKUP($B429,표2[#ALL],2)/HLOOKUP($A429,표1[#ALL],row(),false)</f>
        <v>#N/A</v>
      </c>
      <c r="J429" s="376" t="str">
        <f>CS_PID!J429/VLOOKUP($B429,표2[#ALL],2)/HLOOKUP($A429,표1[#ALL],row(),false)</f>
        <v>#N/A</v>
      </c>
      <c r="K429" s="376" t="str">
        <f>CS_PID!K429/VLOOKUP($B429,표2[#ALL],2)/HLOOKUP($A429,표1[#ALL],row(),false)</f>
        <v>#N/A</v>
      </c>
      <c r="L429" s="376" t="str">
        <f>CS_PID!L429/VLOOKUP($B429,표2[#ALL],2)/HLOOKUP($A429,표1[#ALL],row(),false)</f>
        <v>#N/A</v>
      </c>
      <c r="M429" s="376" t="str">
        <f>CS_PID!M429/VLOOKUP($B429,표2[#ALL],2)/HLOOKUP($A429,표1[#ALL],row(),false)</f>
        <v>#N/A</v>
      </c>
      <c r="N429" s="376" t="str">
        <f>CS_PID!N429/VLOOKUP($B429,표2[#ALL],2)/HLOOKUP($A429,표1[#ALL],row(),false)</f>
        <v>#N/A</v>
      </c>
      <c r="O429" s="376" t="str">
        <f>CS_PID!O429/VLOOKUP($B429,표2[#ALL],2)/HLOOKUP($A429,표1[#ALL],row(),false)</f>
        <v>#N/A</v>
      </c>
      <c r="P429" s="376" t="str">
        <f>CS_PID!P429/VLOOKUP($B429,표2[#ALL],2)/HLOOKUP($A429,표1[#ALL],row(),false)</f>
        <v>#N/A</v>
      </c>
      <c r="Q429" s="376" t="str">
        <f>CS_PID!Q429/VLOOKUP($B429,표2[#ALL],2)/HLOOKUP($A429,표1[#ALL],row(),false)</f>
        <v>#N/A</v>
      </c>
      <c r="R429" s="376" t="str">
        <f>CS_PID!R429/VLOOKUP($B429,표2[#ALL],2)/HLOOKUP($A429,표1[#ALL],row(),false)</f>
        <v>#N/A</v>
      </c>
      <c r="S429" s="376" t="str">
        <f>CS_PID!S429/VLOOKUP($B429,표2[#ALL],2)/HLOOKUP($A429,표1[#ALL],row(),false)</f>
        <v>#N/A</v>
      </c>
      <c r="T429" s="376" t="str">
        <f>CS_PID!T429/VLOOKUP($B429,표2[#ALL],2)/HLOOKUP($A429,표1[#ALL],row(),false)</f>
        <v>#N/A</v>
      </c>
      <c r="U429" s="376" t="str">
        <f>CS_PID!U429/VLOOKUP($B429,표2[#ALL],2)/HLOOKUP($A429,표1[#ALL],row(),false)</f>
        <v>#N/A</v>
      </c>
      <c r="V429" s="376" t="str">
        <f>CS_PID!V429/VLOOKUP($B429,표2[#ALL],2)/HLOOKUP($A429,표1[#ALL],row(),false)</f>
        <v>#N/A</v>
      </c>
      <c r="W429" s="376" t="str">
        <f>CS_PID!W429/VLOOKUP($B429,표2[#ALL],2)/HLOOKUP($A429,표1[#ALL],row(),false)</f>
        <v>#N/A</v>
      </c>
      <c r="X429" s="376" t="str">
        <f>CS_PID!X429/VLOOKUP($B429,표2[#ALL],2)/HLOOKUP($A429,표1[#ALL],row(),false)</f>
        <v>#N/A</v>
      </c>
      <c r="Y429" s="376" t="str">
        <f>CS_PID!Y429/VLOOKUP($B429,표2[#ALL],2)/HLOOKUP($A429,표1[#ALL],row(),false)</f>
        <v>#N/A</v>
      </c>
      <c r="Z429" s="376" t="str">
        <f>CS_PID!Z429/VLOOKUP($B429,표2[#ALL],2)/HLOOKUP($A429,표1[#ALL],row(),false)</f>
        <v>#N/A</v>
      </c>
      <c r="AA429" s="376" t="str">
        <f>CS_PID!AA429/VLOOKUP($B429,표2[#ALL],2)/HLOOKUP($A429,표1[#ALL],row(),false)</f>
        <v>#N/A</v>
      </c>
      <c r="AB429" s="376" t="str">
        <f>CS_PID!AB429/VLOOKUP($B429,표2[#ALL],2)/HLOOKUP($A429,표1[#ALL],row(),false)</f>
        <v>#N/A</v>
      </c>
      <c r="AC429" s="376" t="str">
        <f>CS_PID!AC429/VLOOKUP($B429,표2[#ALL],2)/HLOOKUP($A429,표1[#ALL],row(),false)</f>
        <v>#N/A</v>
      </c>
      <c r="AD429" s="376" t="str">
        <f>CS_PID!AD429/VLOOKUP($B429,표2[#ALL],2)/HLOOKUP($A429,표1[#ALL],row(),false)</f>
        <v>#N/A</v>
      </c>
      <c r="AE429" s="376" t="str">
        <f>CS_PID!AE429/VLOOKUP($B429,표2[#ALL],2)/HLOOKUP($A429,표1[#ALL],row(),false)</f>
        <v>#N/A</v>
      </c>
      <c r="AF429" s="376" t="str">
        <f>CS_PID!AF429/VLOOKUP($B429,표2[#ALL],2)/HLOOKUP($A429,표1[#ALL],row(),false)</f>
        <v>#N/A</v>
      </c>
      <c r="AG429" s="376" t="str">
        <f>CS_PID!AG429/VLOOKUP($B429,표2[#ALL],2)/HLOOKUP($A429,표1[#ALL],row(),false)</f>
        <v>#N/A</v>
      </c>
      <c r="AH429" s="376" t="str">
        <f>CS_PID!AH429/VLOOKUP($B429,표2[#ALL],2)/HLOOKUP($A429,표1[#ALL],row(),false)</f>
        <v>#N/A</v>
      </c>
      <c r="AI429" s="376" t="str">
        <f>CS_PID!AI429/VLOOKUP($B429,표2[#ALL],2)/HLOOKUP($A429,표1[#ALL],row(),false)</f>
        <v>#N/A</v>
      </c>
      <c r="AJ429" s="376" t="str">
        <f>CS_PID!AJ429/VLOOKUP($B429,표2[#ALL],2)/HLOOKUP($A429,표1[#ALL],row(),false)</f>
        <v>#N/A</v>
      </c>
      <c r="AK429" s="376" t="str">
        <f>CS_PID!AK429/VLOOKUP($B429,표2[#ALL],2)/HLOOKUP($A429,표1[#ALL],row(),false)</f>
        <v>#N/A</v>
      </c>
      <c r="AL429" s="376" t="str">
        <f>CS_PID!AL429/VLOOKUP($B429,표2[#ALL],2)/HLOOKUP($A429,표1[#ALL],row(),false)</f>
        <v>#N/A</v>
      </c>
      <c r="AM429" s="376" t="str">
        <f>CS_PID!AM429/VLOOKUP($B429,표2[#ALL],2)/HLOOKUP($A429,표1[#ALL],row(),false)</f>
        <v>#N/A</v>
      </c>
      <c r="AN429" s="376" t="str">
        <f>CS_PID!AN429/VLOOKUP($B429,표2[#ALL],2)/HLOOKUP($A429,표1[#ALL],row(),false)</f>
        <v>#N/A</v>
      </c>
      <c r="AO429" s="376" t="str">
        <f>CS_PID!AO429/VLOOKUP($B429,표2[#ALL],2)/HLOOKUP($A429,표1[#ALL],row(),false)</f>
        <v>#N/A</v>
      </c>
      <c r="AP429" s="376" t="str">
        <f>CS_PID!AP429/VLOOKUP($B429,표2[#ALL],2)/HLOOKUP($A429,표1[#ALL],row(),false)</f>
        <v>#N/A</v>
      </c>
      <c r="AQ429" s="376" t="str">
        <f>CS_PID!AQ429/VLOOKUP($B429,표2[#ALL],2)/HLOOKUP($A429,표1[#ALL],row(),false)</f>
        <v>#N/A</v>
      </c>
      <c r="AR429" s="376" t="str">
        <f>CS_PID!AR429/VLOOKUP($B429,표2[#ALL],2)/HLOOKUP($A429,표1[#ALL],row(),false)</f>
        <v>#N/A</v>
      </c>
      <c r="AS429" s="377" t="str">
        <f>CS_PID!AS429/VLOOKUP($B429,표2[#ALL],2)/HLOOKUP($A429,표1[#ALL],row(),false)</f>
        <v>#N/A</v>
      </c>
    </row>
    <row r="430">
      <c r="A430" s="370"/>
      <c r="B430" s="371"/>
      <c r="C430" s="372" t="str">
        <f>CS_PID!C430/VLOOKUP($B430,표2[#ALL],2)</f>
        <v>#N/A</v>
      </c>
      <c r="D430" s="372" t="str">
        <f>CS_PID!D430/VLOOKUP($B430,표2[#ALL],2)</f>
        <v>#N/A</v>
      </c>
      <c r="E430" s="372" t="str">
        <f>CS_PID!E430/VLOOKUP($B430,표2[#ALL],2)</f>
        <v>#N/A</v>
      </c>
      <c r="F430" s="372" t="str">
        <f>CS_PID!F430/VLOOKUP($B430,표2[#ALL],2)</f>
        <v>#N/A</v>
      </c>
      <c r="G430" s="372" t="str">
        <f>CS_PID!G430/VLOOKUP($B430,표2[#ALL],2)</f>
        <v>#N/A</v>
      </c>
      <c r="H430" s="372" t="str">
        <f>CS_PID!H430/VLOOKUP($B430,표2[#ALL],2)/HLOOKUP($A430,표1[#ALL],row(),false)</f>
        <v>#N/A</v>
      </c>
      <c r="I430" s="372" t="str">
        <f>CS_PID!I430/VLOOKUP($B430,표2[#ALL],2)/HLOOKUP($A430,표1[#ALL],row(),false)</f>
        <v>#N/A</v>
      </c>
      <c r="J430" s="372" t="str">
        <f>CS_PID!J430/VLOOKUP($B430,표2[#ALL],2)/HLOOKUP($A430,표1[#ALL],row(),false)</f>
        <v>#N/A</v>
      </c>
      <c r="K430" s="372" t="str">
        <f>CS_PID!K430/VLOOKUP($B430,표2[#ALL],2)/HLOOKUP($A430,표1[#ALL],row(),false)</f>
        <v>#N/A</v>
      </c>
      <c r="L430" s="372" t="str">
        <f>CS_PID!L430/VLOOKUP($B430,표2[#ALL],2)/HLOOKUP($A430,표1[#ALL],row(),false)</f>
        <v>#N/A</v>
      </c>
      <c r="M430" s="372" t="str">
        <f>CS_PID!M430/VLOOKUP($B430,표2[#ALL],2)/HLOOKUP($A430,표1[#ALL],row(),false)</f>
        <v>#N/A</v>
      </c>
      <c r="N430" s="372" t="str">
        <f>CS_PID!N430/VLOOKUP($B430,표2[#ALL],2)/HLOOKUP($A430,표1[#ALL],row(),false)</f>
        <v>#N/A</v>
      </c>
      <c r="O430" s="372" t="str">
        <f>CS_PID!O430/VLOOKUP($B430,표2[#ALL],2)/HLOOKUP($A430,표1[#ALL],row(),false)</f>
        <v>#N/A</v>
      </c>
      <c r="P430" s="372" t="str">
        <f>CS_PID!P430/VLOOKUP($B430,표2[#ALL],2)/HLOOKUP($A430,표1[#ALL],row(),false)</f>
        <v>#N/A</v>
      </c>
      <c r="Q430" s="372" t="str">
        <f>CS_PID!Q430/VLOOKUP($B430,표2[#ALL],2)/HLOOKUP($A430,표1[#ALL],row(),false)</f>
        <v>#N/A</v>
      </c>
      <c r="R430" s="372" t="str">
        <f>CS_PID!R430/VLOOKUP($B430,표2[#ALL],2)/HLOOKUP($A430,표1[#ALL],row(),false)</f>
        <v>#N/A</v>
      </c>
      <c r="S430" s="372" t="str">
        <f>CS_PID!S430/VLOOKUP($B430,표2[#ALL],2)/HLOOKUP($A430,표1[#ALL],row(),false)</f>
        <v>#N/A</v>
      </c>
      <c r="T430" s="372" t="str">
        <f>CS_PID!T430/VLOOKUP($B430,표2[#ALL],2)/HLOOKUP($A430,표1[#ALL],row(),false)</f>
        <v>#N/A</v>
      </c>
      <c r="U430" s="372" t="str">
        <f>CS_PID!U430/VLOOKUP($B430,표2[#ALL],2)/HLOOKUP($A430,표1[#ALL],row(),false)</f>
        <v>#N/A</v>
      </c>
      <c r="V430" s="372" t="str">
        <f>CS_PID!V430/VLOOKUP($B430,표2[#ALL],2)/HLOOKUP($A430,표1[#ALL],row(),false)</f>
        <v>#N/A</v>
      </c>
      <c r="W430" s="372" t="str">
        <f>CS_PID!W430/VLOOKUP($B430,표2[#ALL],2)/HLOOKUP($A430,표1[#ALL],row(),false)</f>
        <v>#N/A</v>
      </c>
      <c r="X430" s="372" t="str">
        <f>CS_PID!X430/VLOOKUP($B430,표2[#ALL],2)/HLOOKUP($A430,표1[#ALL],row(),false)</f>
        <v>#N/A</v>
      </c>
      <c r="Y430" s="372" t="str">
        <f>CS_PID!Y430/VLOOKUP($B430,표2[#ALL],2)/HLOOKUP($A430,표1[#ALL],row(),false)</f>
        <v>#N/A</v>
      </c>
      <c r="Z430" s="372" t="str">
        <f>CS_PID!Z430/VLOOKUP($B430,표2[#ALL],2)/HLOOKUP($A430,표1[#ALL],row(),false)</f>
        <v>#N/A</v>
      </c>
      <c r="AA430" s="372" t="str">
        <f>CS_PID!AA430/VLOOKUP($B430,표2[#ALL],2)/HLOOKUP($A430,표1[#ALL],row(),false)</f>
        <v>#N/A</v>
      </c>
      <c r="AB430" s="372" t="str">
        <f>CS_PID!AB430/VLOOKUP($B430,표2[#ALL],2)/HLOOKUP($A430,표1[#ALL],row(),false)</f>
        <v>#N/A</v>
      </c>
      <c r="AC430" s="372" t="str">
        <f>CS_PID!AC430/VLOOKUP($B430,표2[#ALL],2)/HLOOKUP($A430,표1[#ALL],row(),false)</f>
        <v>#N/A</v>
      </c>
      <c r="AD430" s="372" t="str">
        <f>CS_PID!AD430/VLOOKUP($B430,표2[#ALL],2)/HLOOKUP($A430,표1[#ALL],row(),false)</f>
        <v>#N/A</v>
      </c>
      <c r="AE430" s="372" t="str">
        <f>CS_PID!AE430/VLOOKUP($B430,표2[#ALL],2)/HLOOKUP($A430,표1[#ALL],row(),false)</f>
        <v>#N/A</v>
      </c>
      <c r="AF430" s="372" t="str">
        <f>CS_PID!AF430/VLOOKUP($B430,표2[#ALL],2)/HLOOKUP($A430,표1[#ALL],row(),false)</f>
        <v>#N/A</v>
      </c>
      <c r="AG430" s="372" t="str">
        <f>CS_PID!AG430/VLOOKUP($B430,표2[#ALL],2)/HLOOKUP($A430,표1[#ALL],row(),false)</f>
        <v>#N/A</v>
      </c>
      <c r="AH430" s="372" t="str">
        <f>CS_PID!AH430/VLOOKUP($B430,표2[#ALL],2)/HLOOKUP($A430,표1[#ALL],row(),false)</f>
        <v>#N/A</v>
      </c>
      <c r="AI430" s="372" t="str">
        <f>CS_PID!AI430/VLOOKUP($B430,표2[#ALL],2)/HLOOKUP($A430,표1[#ALL],row(),false)</f>
        <v>#N/A</v>
      </c>
      <c r="AJ430" s="372" t="str">
        <f>CS_PID!AJ430/VLOOKUP($B430,표2[#ALL],2)/HLOOKUP($A430,표1[#ALL],row(),false)</f>
        <v>#N/A</v>
      </c>
      <c r="AK430" s="372" t="str">
        <f>CS_PID!AK430/VLOOKUP($B430,표2[#ALL],2)/HLOOKUP($A430,표1[#ALL],row(),false)</f>
        <v>#N/A</v>
      </c>
      <c r="AL430" s="372" t="str">
        <f>CS_PID!AL430/VLOOKUP($B430,표2[#ALL],2)/HLOOKUP($A430,표1[#ALL],row(),false)</f>
        <v>#N/A</v>
      </c>
      <c r="AM430" s="372" t="str">
        <f>CS_PID!AM430/VLOOKUP($B430,표2[#ALL],2)/HLOOKUP($A430,표1[#ALL],row(),false)</f>
        <v>#N/A</v>
      </c>
      <c r="AN430" s="372" t="str">
        <f>CS_PID!AN430/VLOOKUP($B430,표2[#ALL],2)/HLOOKUP($A430,표1[#ALL],row(),false)</f>
        <v>#N/A</v>
      </c>
      <c r="AO430" s="372" t="str">
        <f>CS_PID!AO430/VLOOKUP($B430,표2[#ALL],2)/HLOOKUP($A430,표1[#ALL],row(),false)</f>
        <v>#N/A</v>
      </c>
      <c r="AP430" s="372" t="str">
        <f>CS_PID!AP430/VLOOKUP($B430,표2[#ALL],2)/HLOOKUP($A430,표1[#ALL],row(),false)</f>
        <v>#N/A</v>
      </c>
      <c r="AQ430" s="372" t="str">
        <f>CS_PID!AQ430/VLOOKUP($B430,표2[#ALL],2)/HLOOKUP($A430,표1[#ALL],row(),false)</f>
        <v>#N/A</v>
      </c>
      <c r="AR430" s="372" t="str">
        <f>CS_PID!AR430/VLOOKUP($B430,표2[#ALL],2)/HLOOKUP($A430,표1[#ALL],row(),false)</f>
        <v>#N/A</v>
      </c>
      <c r="AS430" s="373" t="str">
        <f>CS_PID!AS430/VLOOKUP($B430,표2[#ALL],2)/HLOOKUP($A430,표1[#ALL],row(),false)</f>
        <v>#N/A</v>
      </c>
    </row>
    <row r="431">
      <c r="A431" s="374"/>
      <c r="B431" s="375"/>
      <c r="C431" s="376" t="str">
        <f>CS_PID!C431/VLOOKUP($B431,표2[#ALL],2)</f>
        <v>#N/A</v>
      </c>
      <c r="D431" s="376" t="str">
        <f>CS_PID!D431/VLOOKUP($B431,표2[#ALL],2)</f>
        <v>#N/A</v>
      </c>
      <c r="E431" s="376" t="str">
        <f>CS_PID!E431/VLOOKUP($B431,표2[#ALL],2)</f>
        <v>#N/A</v>
      </c>
      <c r="F431" s="376" t="str">
        <f>CS_PID!F431/VLOOKUP($B431,표2[#ALL],2)</f>
        <v>#N/A</v>
      </c>
      <c r="G431" s="376" t="str">
        <f>CS_PID!G431/VLOOKUP($B431,표2[#ALL],2)</f>
        <v>#N/A</v>
      </c>
      <c r="H431" s="376" t="str">
        <f>CS_PID!H431/VLOOKUP($B431,표2[#ALL],2)/HLOOKUP($A431,표1[#ALL],row(),false)</f>
        <v>#N/A</v>
      </c>
      <c r="I431" s="376" t="str">
        <f>CS_PID!I431/VLOOKUP($B431,표2[#ALL],2)/HLOOKUP($A431,표1[#ALL],row(),false)</f>
        <v>#N/A</v>
      </c>
      <c r="J431" s="376" t="str">
        <f>CS_PID!J431/VLOOKUP($B431,표2[#ALL],2)/HLOOKUP($A431,표1[#ALL],row(),false)</f>
        <v>#N/A</v>
      </c>
      <c r="K431" s="376" t="str">
        <f>CS_PID!K431/VLOOKUP($B431,표2[#ALL],2)/HLOOKUP($A431,표1[#ALL],row(),false)</f>
        <v>#N/A</v>
      </c>
      <c r="L431" s="376" t="str">
        <f>CS_PID!L431/VLOOKUP($B431,표2[#ALL],2)/HLOOKUP($A431,표1[#ALL],row(),false)</f>
        <v>#N/A</v>
      </c>
      <c r="M431" s="376" t="str">
        <f>CS_PID!M431/VLOOKUP($B431,표2[#ALL],2)/HLOOKUP($A431,표1[#ALL],row(),false)</f>
        <v>#N/A</v>
      </c>
      <c r="N431" s="376" t="str">
        <f>CS_PID!N431/VLOOKUP($B431,표2[#ALL],2)/HLOOKUP($A431,표1[#ALL],row(),false)</f>
        <v>#N/A</v>
      </c>
      <c r="O431" s="376" t="str">
        <f>CS_PID!O431/VLOOKUP($B431,표2[#ALL],2)/HLOOKUP($A431,표1[#ALL],row(),false)</f>
        <v>#N/A</v>
      </c>
      <c r="P431" s="376" t="str">
        <f>CS_PID!P431/VLOOKUP($B431,표2[#ALL],2)/HLOOKUP($A431,표1[#ALL],row(),false)</f>
        <v>#N/A</v>
      </c>
      <c r="Q431" s="376" t="str">
        <f>CS_PID!Q431/VLOOKUP($B431,표2[#ALL],2)/HLOOKUP($A431,표1[#ALL],row(),false)</f>
        <v>#N/A</v>
      </c>
      <c r="R431" s="376" t="str">
        <f>CS_PID!R431/VLOOKUP($B431,표2[#ALL],2)/HLOOKUP($A431,표1[#ALL],row(),false)</f>
        <v>#N/A</v>
      </c>
      <c r="S431" s="376" t="str">
        <f>CS_PID!S431/VLOOKUP($B431,표2[#ALL],2)/HLOOKUP($A431,표1[#ALL],row(),false)</f>
        <v>#N/A</v>
      </c>
      <c r="T431" s="376" t="str">
        <f>CS_PID!T431/VLOOKUP($B431,표2[#ALL],2)/HLOOKUP($A431,표1[#ALL],row(),false)</f>
        <v>#N/A</v>
      </c>
      <c r="U431" s="376" t="str">
        <f>CS_PID!U431/VLOOKUP($B431,표2[#ALL],2)/HLOOKUP($A431,표1[#ALL],row(),false)</f>
        <v>#N/A</v>
      </c>
      <c r="V431" s="376" t="str">
        <f>CS_PID!V431/VLOOKUP($B431,표2[#ALL],2)/HLOOKUP($A431,표1[#ALL],row(),false)</f>
        <v>#N/A</v>
      </c>
      <c r="W431" s="376" t="str">
        <f>CS_PID!W431/VLOOKUP($B431,표2[#ALL],2)/HLOOKUP($A431,표1[#ALL],row(),false)</f>
        <v>#N/A</v>
      </c>
      <c r="X431" s="376" t="str">
        <f>CS_PID!X431/VLOOKUP($B431,표2[#ALL],2)/HLOOKUP($A431,표1[#ALL],row(),false)</f>
        <v>#N/A</v>
      </c>
      <c r="Y431" s="376" t="str">
        <f>CS_PID!Y431/VLOOKUP($B431,표2[#ALL],2)/HLOOKUP($A431,표1[#ALL],row(),false)</f>
        <v>#N/A</v>
      </c>
      <c r="Z431" s="376" t="str">
        <f>CS_PID!Z431/VLOOKUP($B431,표2[#ALL],2)/HLOOKUP($A431,표1[#ALL],row(),false)</f>
        <v>#N/A</v>
      </c>
      <c r="AA431" s="376" t="str">
        <f>CS_PID!AA431/VLOOKUP($B431,표2[#ALL],2)/HLOOKUP($A431,표1[#ALL],row(),false)</f>
        <v>#N/A</v>
      </c>
      <c r="AB431" s="376" t="str">
        <f>CS_PID!AB431/VLOOKUP($B431,표2[#ALL],2)/HLOOKUP($A431,표1[#ALL],row(),false)</f>
        <v>#N/A</v>
      </c>
      <c r="AC431" s="376" t="str">
        <f>CS_PID!AC431/VLOOKUP($B431,표2[#ALL],2)/HLOOKUP($A431,표1[#ALL],row(),false)</f>
        <v>#N/A</v>
      </c>
      <c r="AD431" s="376" t="str">
        <f>CS_PID!AD431/VLOOKUP($B431,표2[#ALL],2)/HLOOKUP($A431,표1[#ALL],row(),false)</f>
        <v>#N/A</v>
      </c>
      <c r="AE431" s="376" t="str">
        <f>CS_PID!AE431/VLOOKUP($B431,표2[#ALL],2)/HLOOKUP($A431,표1[#ALL],row(),false)</f>
        <v>#N/A</v>
      </c>
      <c r="AF431" s="376" t="str">
        <f>CS_PID!AF431/VLOOKUP($B431,표2[#ALL],2)/HLOOKUP($A431,표1[#ALL],row(),false)</f>
        <v>#N/A</v>
      </c>
      <c r="AG431" s="376" t="str">
        <f>CS_PID!AG431/VLOOKUP($B431,표2[#ALL],2)/HLOOKUP($A431,표1[#ALL],row(),false)</f>
        <v>#N/A</v>
      </c>
      <c r="AH431" s="376" t="str">
        <f>CS_PID!AH431/VLOOKUP($B431,표2[#ALL],2)/HLOOKUP($A431,표1[#ALL],row(),false)</f>
        <v>#N/A</v>
      </c>
      <c r="AI431" s="376" t="str">
        <f>CS_PID!AI431/VLOOKUP($B431,표2[#ALL],2)/HLOOKUP($A431,표1[#ALL],row(),false)</f>
        <v>#N/A</v>
      </c>
      <c r="AJ431" s="376" t="str">
        <f>CS_PID!AJ431/VLOOKUP($B431,표2[#ALL],2)/HLOOKUP($A431,표1[#ALL],row(),false)</f>
        <v>#N/A</v>
      </c>
      <c r="AK431" s="376" t="str">
        <f>CS_PID!AK431/VLOOKUP($B431,표2[#ALL],2)/HLOOKUP($A431,표1[#ALL],row(),false)</f>
        <v>#N/A</v>
      </c>
      <c r="AL431" s="376" t="str">
        <f>CS_PID!AL431/VLOOKUP($B431,표2[#ALL],2)/HLOOKUP($A431,표1[#ALL],row(),false)</f>
        <v>#N/A</v>
      </c>
      <c r="AM431" s="376" t="str">
        <f>CS_PID!AM431/VLOOKUP($B431,표2[#ALL],2)/HLOOKUP($A431,표1[#ALL],row(),false)</f>
        <v>#N/A</v>
      </c>
      <c r="AN431" s="376" t="str">
        <f>CS_PID!AN431/VLOOKUP($B431,표2[#ALL],2)/HLOOKUP($A431,표1[#ALL],row(),false)</f>
        <v>#N/A</v>
      </c>
      <c r="AO431" s="376" t="str">
        <f>CS_PID!AO431/VLOOKUP($B431,표2[#ALL],2)/HLOOKUP($A431,표1[#ALL],row(),false)</f>
        <v>#N/A</v>
      </c>
      <c r="AP431" s="376" t="str">
        <f>CS_PID!AP431/VLOOKUP($B431,표2[#ALL],2)/HLOOKUP($A431,표1[#ALL],row(),false)</f>
        <v>#N/A</v>
      </c>
      <c r="AQ431" s="376" t="str">
        <f>CS_PID!AQ431/VLOOKUP($B431,표2[#ALL],2)/HLOOKUP($A431,표1[#ALL],row(),false)</f>
        <v>#N/A</v>
      </c>
      <c r="AR431" s="376" t="str">
        <f>CS_PID!AR431/VLOOKUP($B431,표2[#ALL],2)/HLOOKUP($A431,표1[#ALL],row(),false)</f>
        <v>#N/A</v>
      </c>
      <c r="AS431" s="377" t="str">
        <f>CS_PID!AS431/VLOOKUP($B431,표2[#ALL],2)/HLOOKUP($A431,표1[#ALL],row(),false)</f>
        <v>#N/A</v>
      </c>
    </row>
    <row r="432">
      <c r="A432" s="370"/>
      <c r="B432" s="371"/>
      <c r="C432" s="372" t="str">
        <f>CS_PID!C432/VLOOKUP($B432,표2[#ALL],2)</f>
        <v>#N/A</v>
      </c>
      <c r="D432" s="372" t="str">
        <f>CS_PID!D432/VLOOKUP($B432,표2[#ALL],2)</f>
        <v>#N/A</v>
      </c>
      <c r="E432" s="372" t="str">
        <f>CS_PID!E432/VLOOKUP($B432,표2[#ALL],2)</f>
        <v>#N/A</v>
      </c>
      <c r="F432" s="372" t="str">
        <f>CS_PID!F432/VLOOKUP($B432,표2[#ALL],2)</f>
        <v>#N/A</v>
      </c>
      <c r="G432" s="372" t="str">
        <f>CS_PID!G432/VLOOKUP($B432,표2[#ALL],2)</f>
        <v>#N/A</v>
      </c>
      <c r="H432" s="372" t="str">
        <f>CS_PID!H432/VLOOKUP($B432,표2[#ALL],2)/HLOOKUP($A432,표1[#ALL],row(),false)</f>
        <v>#N/A</v>
      </c>
      <c r="I432" s="372" t="str">
        <f>CS_PID!I432/VLOOKUP($B432,표2[#ALL],2)/HLOOKUP($A432,표1[#ALL],row(),false)</f>
        <v>#N/A</v>
      </c>
      <c r="J432" s="372" t="str">
        <f>CS_PID!J432/VLOOKUP($B432,표2[#ALL],2)/HLOOKUP($A432,표1[#ALL],row(),false)</f>
        <v>#N/A</v>
      </c>
      <c r="K432" s="372" t="str">
        <f>CS_PID!K432/VLOOKUP($B432,표2[#ALL],2)/HLOOKUP($A432,표1[#ALL],row(),false)</f>
        <v>#N/A</v>
      </c>
      <c r="L432" s="372" t="str">
        <f>CS_PID!L432/VLOOKUP($B432,표2[#ALL],2)/HLOOKUP($A432,표1[#ALL],row(),false)</f>
        <v>#N/A</v>
      </c>
      <c r="M432" s="372" t="str">
        <f>CS_PID!M432/VLOOKUP($B432,표2[#ALL],2)/HLOOKUP($A432,표1[#ALL],row(),false)</f>
        <v>#N/A</v>
      </c>
      <c r="N432" s="372" t="str">
        <f>CS_PID!N432/VLOOKUP($B432,표2[#ALL],2)/HLOOKUP($A432,표1[#ALL],row(),false)</f>
        <v>#N/A</v>
      </c>
      <c r="O432" s="372" t="str">
        <f>CS_PID!O432/VLOOKUP($B432,표2[#ALL],2)/HLOOKUP($A432,표1[#ALL],row(),false)</f>
        <v>#N/A</v>
      </c>
      <c r="P432" s="372" t="str">
        <f>CS_PID!P432/VLOOKUP($B432,표2[#ALL],2)/HLOOKUP($A432,표1[#ALL],row(),false)</f>
        <v>#N/A</v>
      </c>
      <c r="Q432" s="372" t="str">
        <f>CS_PID!Q432/VLOOKUP($B432,표2[#ALL],2)/HLOOKUP($A432,표1[#ALL],row(),false)</f>
        <v>#N/A</v>
      </c>
      <c r="R432" s="372" t="str">
        <f>CS_PID!R432/VLOOKUP($B432,표2[#ALL],2)/HLOOKUP($A432,표1[#ALL],row(),false)</f>
        <v>#N/A</v>
      </c>
      <c r="S432" s="372" t="str">
        <f>CS_PID!S432/VLOOKUP($B432,표2[#ALL],2)/HLOOKUP($A432,표1[#ALL],row(),false)</f>
        <v>#N/A</v>
      </c>
      <c r="T432" s="372" t="str">
        <f>CS_PID!T432/VLOOKUP($B432,표2[#ALL],2)/HLOOKUP($A432,표1[#ALL],row(),false)</f>
        <v>#N/A</v>
      </c>
      <c r="U432" s="372" t="str">
        <f>CS_PID!U432/VLOOKUP($B432,표2[#ALL],2)/HLOOKUP($A432,표1[#ALL],row(),false)</f>
        <v>#N/A</v>
      </c>
      <c r="V432" s="372" t="str">
        <f>CS_PID!V432/VLOOKUP($B432,표2[#ALL],2)/HLOOKUP($A432,표1[#ALL],row(),false)</f>
        <v>#N/A</v>
      </c>
      <c r="W432" s="372" t="str">
        <f>CS_PID!W432/VLOOKUP($B432,표2[#ALL],2)/HLOOKUP($A432,표1[#ALL],row(),false)</f>
        <v>#N/A</v>
      </c>
      <c r="X432" s="372" t="str">
        <f>CS_PID!X432/VLOOKUP($B432,표2[#ALL],2)/HLOOKUP($A432,표1[#ALL],row(),false)</f>
        <v>#N/A</v>
      </c>
      <c r="Y432" s="372" t="str">
        <f>CS_PID!Y432/VLOOKUP($B432,표2[#ALL],2)/HLOOKUP($A432,표1[#ALL],row(),false)</f>
        <v>#N/A</v>
      </c>
      <c r="Z432" s="372" t="str">
        <f>CS_PID!Z432/VLOOKUP($B432,표2[#ALL],2)/HLOOKUP($A432,표1[#ALL],row(),false)</f>
        <v>#N/A</v>
      </c>
      <c r="AA432" s="372" t="str">
        <f>CS_PID!AA432/VLOOKUP($B432,표2[#ALL],2)/HLOOKUP($A432,표1[#ALL],row(),false)</f>
        <v>#N/A</v>
      </c>
      <c r="AB432" s="372" t="str">
        <f>CS_PID!AB432/VLOOKUP($B432,표2[#ALL],2)/HLOOKUP($A432,표1[#ALL],row(),false)</f>
        <v>#N/A</v>
      </c>
      <c r="AC432" s="372" t="str">
        <f>CS_PID!AC432/VLOOKUP($B432,표2[#ALL],2)/HLOOKUP($A432,표1[#ALL],row(),false)</f>
        <v>#N/A</v>
      </c>
      <c r="AD432" s="372" t="str">
        <f>CS_PID!AD432/VLOOKUP($B432,표2[#ALL],2)/HLOOKUP($A432,표1[#ALL],row(),false)</f>
        <v>#N/A</v>
      </c>
      <c r="AE432" s="372" t="str">
        <f>CS_PID!AE432/VLOOKUP($B432,표2[#ALL],2)/HLOOKUP($A432,표1[#ALL],row(),false)</f>
        <v>#N/A</v>
      </c>
      <c r="AF432" s="372" t="str">
        <f>CS_PID!AF432/VLOOKUP($B432,표2[#ALL],2)/HLOOKUP($A432,표1[#ALL],row(),false)</f>
        <v>#N/A</v>
      </c>
      <c r="AG432" s="372" t="str">
        <f>CS_PID!AG432/VLOOKUP($B432,표2[#ALL],2)/HLOOKUP($A432,표1[#ALL],row(),false)</f>
        <v>#N/A</v>
      </c>
      <c r="AH432" s="372" t="str">
        <f>CS_PID!AH432/VLOOKUP($B432,표2[#ALL],2)/HLOOKUP($A432,표1[#ALL],row(),false)</f>
        <v>#N/A</v>
      </c>
      <c r="AI432" s="372" t="str">
        <f>CS_PID!AI432/VLOOKUP($B432,표2[#ALL],2)/HLOOKUP($A432,표1[#ALL],row(),false)</f>
        <v>#N/A</v>
      </c>
      <c r="AJ432" s="372" t="str">
        <f>CS_PID!AJ432/VLOOKUP($B432,표2[#ALL],2)/HLOOKUP($A432,표1[#ALL],row(),false)</f>
        <v>#N/A</v>
      </c>
      <c r="AK432" s="372" t="str">
        <f>CS_PID!AK432/VLOOKUP($B432,표2[#ALL],2)/HLOOKUP($A432,표1[#ALL],row(),false)</f>
        <v>#N/A</v>
      </c>
      <c r="AL432" s="372" t="str">
        <f>CS_PID!AL432/VLOOKUP($B432,표2[#ALL],2)/HLOOKUP($A432,표1[#ALL],row(),false)</f>
        <v>#N/A</v>
      </c>
      <c r="AM432" s="372" t="str">
        <f>CS_PID!AM432/VLOOKUP($B432,표2[#ALL],2)/HLOOKUP($A432,표1[#ALL],row(),false)</f>
        <v>#N/A</v>
      </c>
      <c r="AN432" s="372" t="str">
        <f>CS_PID!AN432/VLOOKUP($B432,표2[#ALL],2)/HLOOKUP($A432,표1[#ALL],row(),false)</f>
        <v>#N/A</v>
      </c>
      <c r="AO432" s="372" t="str">
        <f>CS_PID!AO432/VLOOKUP($B432,표2[#ALL],2)/HLOOKUP($A432,표1[#ALL],row(),false)</f>
        <v>#N/A</v>
      </c>
      <c r="AP432" s="372" t="str">
        <f>CS_PID!AP432/VLOOKUP($B432,표2[#ALL],2)/HLOOKUP($A432,표1[#ALL],row(),false)</f>
        <v>#N/A</v>
      </c>
      <c r="AQ432" s="372" t="str">
        <f>CS_PID!AQ432/VLOOKUP($B432,표2[#ALL],2)/HLOOKUP($A432,표1[#ALL],row(),false)</f>
        <v>#N/A</v>
      </c>
      <c r="AR432" s="372" t="str">
        <f>CS_PID!AR432/VLOOKUP($B432,표2[#ALL],2)/HLOOKUP($A432,표1[#ALL],row(),false)</f>
        <v>#N/A</v>
      </c>
      <c r="AS432" s="373" t="str">
        <f>CS_PID!AS432/VLOOKUP($B432,표2[#ALL],2)/HLOOKUP($A432,표1[#ALL],row(),false)</f>
        <v>#N/A</v>
      </c>
    </row>
    <row r="433">
      <c r="A433" s="374"/>
      <c r="B433" s="375"/>
      <c r="C433" s="376" t="str">
        <f>CS_PID!C433/VLOOKUP($B433,표2[#ALL],2)</f>
        <v>#N/A</v>
      </c>
      <c r="D433" s="376" t="str">
        <f>CS_PID!D433/VLOOKUP($B433,표2[#ALL],2)</f>
        <v>#N/A</v>
      </c>
      <c r="E433" s="376" t="str">
        <f>CS_PID!E433/VLOOKUP($B433,표2[#ALL],2)</f>
        <v>#N/A</v>
      </c>
      <c r="F433" s="376" t="str">
        <f>CS_PID!F433/VLOOKUP($B433,표2[#ALL],2)</f>
        <v>#N/A</v>
      </c>
      <c r="G433" s="376" t="str">
        <f>CS_PID!G433/VLOOKUP($B433,표2[#ALL],2)</f>
        <v>#N/A</v>
      </c>
      <c r="H433" s="376" t="str">
        <f>CS_PID!H433/VLOOKUP($B433,표2[#ALL],2)/HLOOKUP($A433,표1[#ALL],row(),false)</f>
        <v>#N/A</v>
      </c>
      <c r="I433" s="376" t="str">
        <f>CS_PID!I433/VLOOKUP($B433,표2[#ALL],2)/HLOOKUP($A433,표1[#ALL],row(),false)</f>
        <v>#N/A</v>
      </c>
      <c r="J433" s="376" t="str">
        <f>CS_PID!J433/VLOOKUP($B433,표2[#ALL],2)/HLOOKUP($A433,표1[#ALL],row(),false)</f>
        <v>#N/A</v>
      </c>
      <c r="K433" s="376" t="str">
        <f>CS_PID!K433/VLOOKUP($B433,표2[#ALL],2)/HLOOKUP($A433,표1[#ALL],row(),false)</f>
        <v>#N/A</v>
      </c>
      <c r="L433" s="376" t="str">
        <f>CS_PID!L433/VLOOKUP($B433,표2[#ALL],2)/HLOOKUP($A433,표1[#ALL],row(),false)</f>
        <v>#N/A</v>
      </c>
      <c r="M433" s="376" t="str">
        <f>CS_PID!M433/VLOOKUP($B433,표2[#ALL],2)/HLOOKUP($A433,표1[#ALL],row(),false)</f>
        <v>#N/A</v>
      </c>
      <c r="N433" s="376" t="str">
        <f>CS_PID!N433/VLOOKUP($B433,표2[#ALL],2)/HLOOKUP($A433,표1[#ALL],row(),false)</f>
        <v>#N/A</v>
      </c>
      <c r="O433" s="376" t="str">
        <f>CS_PID!O433/VLOOKUP($B433,표2[#ALL],2)/HLOOKUP($A433,표1[#ALL],row(),false)</f>
        <v>#N/A</v>
      </c>
      <c r="P433" s="376" t="str">
        <f>CS_PID!P433/VLOOKUP($B433,표2[#ALL],2)/HLOOKUP($A433,표1[#ALL],row(),false)</f>
        <v>#N/A</v>
      </c>
      <c r="Q433" s="376" t="str">
        <f>CS_PID!Q433/VLOOKUP($B433,표2[#ALL],2)/HLOOKUP($A433,표1[#ALL],row(),false)</f>
        <v>#N/A</v>
      </c>
      <c r="R433" s="376" t="str">
        <f>CS_PID!R433/VLOOKUP($B433,표2[#ALL],2)/HLOOKUP($A433,표1[#ALL],row(),false)</f>
        <v>#N/A</v>
      </c>
      <c r="S433" s="376" t="str">
        <f>CS_PID!S433/VLOOKUP($B433,표2[#ALL],2)/HLOOKUP($A433,표1[#ALL],row(),false)</f>
        <v>#N/A</v>
      </c>
      <c r="T433" s="376" t="str">
        <f>CS_PID!T433/VLOOKUP($B433,표2[#ALL],2)/HLOOKUP($A433,표1[#ALL],row(),false)</f>
        <v>#N/A</v>
      </c>
      <c r="U433" s="376" t="str">
        <f>CS_PID!U433/VLOOKUP($B433,표2[#ALL],2)/HLOOKUP($A433,표1[#ALL],row(),false)</f>
        <v>#N/A</v>
      </c>
      <c r="V433" s="376" t="str">
        <f>CS_PID!V433/VLOOKUP($B433,표2[#ALL],2)/HLOOKUP($A433,표1[#ALL],row(),false)</f>
        <v>#N/A</v>
      </c>
      <c r="W433" s="376" t="str">
        <f>CS_PID!W433/VLOOKUP($B433,표2[#ALL],2)/HLOOKUP($A433,표1[#ALL],row(),false)</f>
        <v>#N/A</v>
      </c>
      <c r="X433" s="376" t="str">
        <f>CS_PID!X433/VLOOKUP($B433,표2[#ALL],2)/HLOOKUP($A433,표1[#ALL],row(),false)</f>
        <v>#N/A</v>
      </c>
      <c r="Y433" s="376" t="str">
        <f>CS_PID!Y433/VLOOKUP($B433,표2[#ALL],2)/HLOOKUP($A433,표1[#ALL],row(),false)</f>
        <v>#N/A</v>
      </c>
      <c r="Z433" s="376" t="str">
        <f>CS_PID!Z433/VLOOKUP($B433,표2[#ALL],2)/HLOOKUP($A433,표1[#ALL],row(),false)</f>
        <v>#N/A</v>
      </c>
      <c r="AA433" s="376" t="str">
        <f>CS_PID!AA433/VLOOKUP($B433,표2[#ALL],2)/HLOOKUP($A433,표1[#ALL],row(),false)</f>
        <v>#N/A</v>
      </c>
      <c r="AB433" s="376" t="str">
        <f>CS_PID!AB433/VLOOKUP($B433,표2[#ALL],2)/HLOOKUP($A433,표1[#ALL],row(),false)</f>
        <v>#N/A</v>
      </c>
      <c r="AC433" s="376" t="str">
        <f>CS_PID!AC433/VLOOKUP($B433,표2[#ALL],2)/HLOOKUP($A433,표1[#ALL],row(),false)</f>
        <v>#N/A</v>
      </c>
      <c r="AD433" s="376" t="str">
        <f>CS_PID!AD433/VLOOKUP($B433,표2[#ALL],2)/HLOOKUP($A433,표1[#ALL],row(),false)</f>
        <v>#N/A</v>
      </c>
      <c r="AE433" s="376" t="str">
        <f>CS_PID!AE433/VLOOKUP($B433,표2[#ALL],2)/HLOOKUP($A433,표1[#ALL],row(),false)</f>
        <v>#N/A</v>
      </c>
      <c r="AF433" s="376" t="str">
        <f>CS_PID!AF433/VLOOKUP($B433,표2[#ALL],2)/HLOOKUP($A433,표1[#ALL],row(),false)</f>
        <v>#N/A</v>
      </c>
      <c r="AG433" s="376" t="str">
        <f>CS_PID!AG433/VLOOKUP($B433,표2[#ALL],2)/HLOOKUP($A433,표1[#ALL],row(),false)</f>
        <v>#N/A</v>
      </c>
      <c r="AH433" s="376" t="str">
        <f>CS_PID!AH433/VLOOKUP($B433,표2[#ALL],2)/HLOOKUP($A433,표1[#ALL],row(),false)</f>
        <v>#N/A</v>
      </c>
      <c r="AI433" s="376" t="str">
        <f>CS_PID!AI433/VLOOKUP($B433,표2[#ALL],2)/HLOOKUP($A433,표1[#ALL],row(),false)</f>
        <v>#N/A</v>
      </c>
      <c r="AJ433" s="376" t="str">
        <f>CS_PID!AJ433/VLOOKUP($B433,표2[#ALL],2)/HLOOKUP($A433,표1[#ALL],row(),false)</f>
        <v>#N/A</v>
      </c>
      <c r="AK433" s="376" t="str">
        <f>CS_PID!AK433/VLOOKUP($B433,표2[#ALL],2)/HLOOKUP($A433,표1[#ALL],row(),false)</f>
        <v>#N/A</v>
      </c>
      <c r="AL433" s="376" t="str">
        <f>CS_PID!AL433/VLOOKUP($B433,표2[#ALL],2)/HLOOKUP($A433,표1[#ALL],row(),false)</f>
        <v>#N/A</v>
      </c>
      <c r="AM433" s="376" t="str">
        <f>CS_PID!AM433/VLOOKUP($B433,표2[#ALL],2)/HLOOKUP($A433,표1[#ALL],row(),false)</f>
        <v>#N/A</v>
      </c>
      <c r="AN433" s="376" t="str">
        <f>CS_PID!AN433/VLOOKUP($B433,표2[#ALL],2)/HLOOKUP($A433,표1[#ALL],row(),false)</f>
        <v>#N/A</v>
      </c>
      <c r="AO433" s="376" t="str">
        <f>CS_PID!AO433/VLOOKUP($B433,표2[#ALL],2)/HLOOKUP($A433,표1[#ALL],row(),false)</f>
        <v>#N/A</v>
      </c>
      <c r="AP433" s="376" t="str">
        <f>CS_PID!AP433/VLOOKUP($B433,표2[#ALL],2)/HLOOKUP($A433,표1[#ALL],row(),false)</f>
        <v>#N/A</v>
      </c>
      <c r="AQ433" s="376" t="str">
        <f>CS_PID!AQ433/VLOOKUP($B433,표2[#ALL],2)/HLOOKUP($A433,표1[#ALL],row(),false)</f>
        <v>#N/A</v>
      </c>
      <c r="AR433" s="376" t="str">
        <f>CS_PID!AR433/VLOOKUP($B433,표2[#ALL],2)/HLOOKUP($A433,표1[#ALL],row(),false)</f>
        <v>#N/A</v>
      </c>
      <c r="AS433" s="377" t="str">
        <f>CS_PID!AS433/VLOOKUP($B433,표2[#ALL],2)/HLOOKUP($A433,표1[#ALL],row(),false)</f>
        <v>#N/A</v>
      </c>
    </row>
    <row r="434">
      <c r="A434" s="370"/>
      <c r="B434" s="371"/>
      <c r="C434" s="372" t="str">
        <f>CS_PID!C434/VLOOKUP($B434,표2[#ALL],2)</f>
        <v>#N/A</v>
      </c>
      <c r="D434" s="372" t="str">
        <f>CS_PID!D434/VLOOKUP($B434,표2[#ALL],2)</f>
        <v>#N/A</v>
      </c>
      <c r="E434" s="372" t="str">
        <f>CS_PID!E434/VLOOKUP($B434,표2[#ALL],2)</f>
        <v>#N/A</v>
      </c>
      <c r="F434" s="372" t="str">
        <f>CS_PID!F434/VLOOKUP($B434,표2[#ALL],2)</f>
        <v>#N/A</v>
      </c>
      <c r="G434" s="372" t="str">
        <f>CS_PID!G434/VLOOKUP($B434,표2[#ALL],2)</f>
        <v>#N/A</v>
      </c>
      <c r="H434" s="372" t="str">
        <f>CS_PID!H434/VLOOKUP($B434,표2[#ALL],2)/HLOOKUP($A434,표1[#ALL],row(),false)</f>
        <v>#N/A</v>
      </c>
      <c r="I434" s="372" t="str">
        <f>CS_PID!I434/VLOOKUP($B434,표2[#ALL],2)/HLOOKUP($A434,표1[#ALL],row(),false)</f>
        <v>#N/A</v>
      </c>
      <c r="J434" s="372" t="str">
        <f>CS_PID!J434/VLOOKUP($B434,표2[#ALL],2)/HLOOKUP($A434,표1[#ALL],row(),false)</f>
        <v>#N/A</v>
      </c>
      <c r="K434" s="372" t="str">
        <f>CS_PID!K434/VLOOKUP($B434,표2[#ALL],2)/HLOOKUP($A434,표1[#ALL],row(),false)</f>
        <v>#N/A</v>
      </c>
      <c r="L434" s="372" t="str">
        <f>CS_PID!L434/VLOOKUP($B434,표2[#ALL],2)/HLOOKUP($A434,표1[#ALL],row(),false)</f>
        <v>#N/A</v>
      </c>
      <c r="M434" s="372" t="str">
        <f>CS_PID!M434/VLOOKUP($B434,표2[#ALL],2)/HLOOKUP($A434,표1[#ALL],row(),false)</f>
        <v>#N/A</v>
      </c>
      <c r="N434" s="372" t="str">
        <f>CS_PID!N434/VLOOKUP($B434,표2[#ALL],2)/HLOOKUP($A434,표1[#ALL],row(),false)</f>
        <v>#N/A</v>
      </c>
      <c r="O434" s="372" t="str">
        <f>CS_PID!O434/VLOOKUP($B434,표2[#ALL],2)/HLOOKUP($A434,표1[#ALL],row(),false)</f>
        <v>#N/A</v>
      </c>
      <c r="P434" s="372" t="str">
        <f>CS_PID!P434/VLOOKUP($B434,표2[#ALL],2)/HLOOKUP($A434,표1[#ALL],row(),false)</f>
        <v>#N/A</v>
      </c>
      <c r="Q434" s="372" t="str">
        <f>CS_PID!Q434/VLOOKUP($B434,표2[#ALL],2)/HLOOKUP($A434,표1[#ALL],row(),false)</f>
        <v>#N/A</v>
      </c>
      <c r="R434" s="372" t="str">
        <f>CS_PID!R434/VLOOKUP($B434,표2[#ALL],2)/HLOOKUP($A434,표1[#ALL],row(),false)</f>
        <v>#N/A</v>
      </c>
      <c r="S434" s="372" t="str">
        <f>CS_PID!S434/VLOOKUP($B434,표2[#ALL],2)/HLOOKUP($A434,표1[#ALL],row(),false)</f>
        <v>#N/A</v>
      </c>
      <c r="T434" s="372" t="str">
        <f>CS_PID!T434/VLOOKUP($B434,표2[#ALL],2)/HLOOKUP($A434,표1[#ALL],row(),false)</f>
        <v>#N/A</v>
      </c>
      <c r="U434" s="372" t="str">
        <f>CS_PID!U434/VLOOKUP($B434,표2[#ALL],2)/HLOOKUP($A434,표1[#ALL],row(),false)</f>
        <v>#N/A</v>
      </c>
      <c r="V434" s="372" t="str">
        <f>CS_PID!V434/VLOOKUP($B434,표2[#ALL],2)/HLOOKUP($A434,표1[#ALL],row(),false)</f>
        <v>#N/A</v>
      </c>
      <c r="W434" s="372" t="str">
        <f>CS_PID!W434/VLOOKUP($B434,표2[#ALL],2)/HLOOKUP($A434,표1[#ALL],row(),false)</f>
        <v>#N/A</v>
      </c>
      <c r="X434" s="372" t="str">
        <f>CS_PID!X434/VLOOKUP($B434,표2[#ALL],2)/HLOOKUP($A434,표1[#ALL],row(),false)</f>
        <v>#N/A</v>
      </c>
      <c r="Y434" s="372" t="str">
        <f>CS_PID!Y434/VLOOKUP($B434,표2[#ALL],2)/HLOOKUP($A434,표1[#ALL],row(),false)</f>
        <v>#N/A</v>
      </c>
      <c r="Z434" s="372" t="str">
        <f>CS_PID!Z434/VLOOKUP($B434,표2[#ALL],2)/HLOOKUP($A434,표1[#ALL],row(),false)</f>
        <v>#N/A</v>
      </c>
      <c r="AA434" s="372" t="str">
        <f>CS_PID!AA434/VLOOKUP($B434,표2[#ALL],2)/HLOOKUP($A434,표1[#ALL],row(),false)</f>
        <v>#N/A</v>
      </c>
      <c r="AB434" s="372" t="str">
        <f>CS_PID!AB434/VLOOKUP($B434,표2[#ALL],2)/HLOOKUP($A434,표1[#ALL],row(),false)</f>
        <v>#N/A</v>
      </c>
      <c r="AC434" s="372" t="str">
        <f>CS_PID!AC434/VLOOKUP($B434,표2[#ALL],2)/HLOOKUP($A434,표1[#ALL],row(),false)</f>
        <v>#N/A</v>
      </c>
      <c r="AD434" s="372" t="str">
        <f>CS_PID!AD434/VLOOKUP($B434,표2[#ALL],2)/HLOOKUP($A434,표1[#ALL],row(),false)</f>
        <v>#N/A</v>
      </c>
      <c r="AE434" s="372" t="str">
        <f>CS_PID!AE434/VLOOKUP($B434,표2[#ALL],2)/HLOOKUP($A434,표1[#ALL],row(),false)</f>
        <v>#N/A</v>
      </c>
      <c r="AF434" s="372" t="str">
        <f>CS_PID!AF434/VLOOKUP($B434,표2[#ALL],2)/HLOOKUP($A434,표1[#ALL],row(),false)</f>
        <v>#N/A</v>
      </c>
      <c r="AG434" s="372" t="str">
        <f>CS_PID!AG434/VLOOKUP($B434,표2[#ALL],2)/HLOOKUP($A434,표1[#ALL],row(),false)</f>
        <v>#N/A</v>
      </c>
      <c r="AH434" s="372" t="str">
        <f>CS_PID!AH434/VLOOKUP($B434,표2[#ALL],2)/HLOOKUP($A434,표1[#ALL],row(),false)</f>
        <v>#N/A</v>
      </c>
      <c r="AI434" s="372" t="str">
        <f>CS_PID!AI434/VLOOKUP($B434,표2[#ALL],2)/HLOOKUP($A434,표1[#ALL],row(),false)</f>
        <v>#N/A</v>
      </c>
      <c r="AJ434" s="372" t="str">
        <f>CS_PID!AJ434/VLOOKUP($B434,표2[#ALL],2)/HLOOKUP($A434,표1[#ALL],row(),false)</f>
        <v>#N/A</v>
      </c>
      <c r="AK434" s="372" t="str">
        <f>CS_PID!AK434/VLOOKUP($B434,표2[#ALL],2)/HLOOKUP($A434,표1[#ALL],row(),false)</f>
        <v>#N/A</v>
      </c>
      <c r="AL434" s="372" t="str">
        <f>CS_PID!AL434/VLOOKUP($B434,표2[#ALL],2)/HLOOKUP($A434,표1[#ALL],row(),false)</f>
        <v>#N/A</v>
      </c>
      <c r="AM434" s="372" t="str">
        <f>CS_PID!AM434/VLOOKUP($B434,표2[#ALL],2)/HLOOKUP($A434,표1[#ALL],row(),false)</f>
        <v>#N/A</v>
      </c>
      <c r="AN434" s="372" t="str">
        <f>CS_PID!AN434/VLOOKUP($B434,표2[#ALL],2)/HLOOKUP($A434,표1[#ALL],row(),false)</f>
        <v>#N/A</v>
      </c>
      <c r="AO434" s="372" t="str">
        <f>CS_PID!AO434/VLOOKUP($B434,표2[#ALL],2)/HLOOKUP($A434,표1[#ALL],row(),false)</f>
        <v>#N/A</v>
      </c>
      <c r="AP434" s="372" t="str">
        <f>CS_PID!AP434/VLOOKUP($B434,표2[#ALL],2)/HLOOKUP($A434,표1[#ALL],row(),false)</f>
        <v>#N/A</v>
      </c>
      <c r="AQ434" s="372" t="str">
        <f>CS_PID!AQ434/VLOOKUP($B434,표2[#ALL],2)/HLOOKUP($A434,표1[#ALL],row(),false)</f>
        <v>#N/A</v>
      </c>
      <c r="AR434" s="372" t="str">
        <f>CS_PID!AR434/VLOOKUP($B434,표2[#ALL],2)/HLOOKUP($A434,표1[#ALL],row(),false)</f>
        <v>#N/A</v>
      </c>
      <c r="AS434" s="373" t="str">
        <f>CS_PID!AS434/VLOOKUP($B434,표2[#ALL],2)/HLOOKUP($A434,표1[#ALL],row(),false)</f>
        <v>#N/A</v>
      </c>
    </row>
    <row r="435">
      <c r="A435" s="374"/>
      <c r="B435" s="375"/>
      <c r="C435" s="376" t="str">
        <f>CS_PID!C435/VLOOKUP($B435,표2[#ALL],2)</f>
        <v>#N/A</v>
      </c>
      <c r="D435" s="376" t="str">
        <f>CS_PID!D435/VLOOKUP($B435,표2[#ALL],2)</f>
        <v>#N/A</v>
      </c>
      <c r="E435" s="376" t="str">
        <f>CS_PID!E435/VLOOKUP($B435,표2[#ALL],2)</f>
        <v>#N/A</v>
      </c>
      <c r="F435" s="376" t="str">
        <f>CS_PID!F435/VLOOKUP($B435,표2[#ALL],2)</f>
        <v>#N/A</v>
      </c>
      <c r="G435" s="376" t="str">
        <f>CS_PID!G435/VLOOKUP($B435,표2[#ALL],2)</f>
        <v>#N/A</v>
      </c>
      <c r="H435" s="376" t="str">
        <f>CS_PID!H435/VLOOKUP($B435,표2[#ALL],2)/HLOOKUP($A435,표1[#ALL],row(),false)</f>
        <v>#N/A</v>
      </c>
      <c r="I435" s="376" t="str">
        <f>CS_PID!I435/VLOOKUP($B435,표2[#ALL],2)/HLOOKUP($A435,표1[#ALL],row(),false)</f>
        <v>#N/A</v>
      </c>
      <c r="J435" s="376" t="str">
        <f>CS_PID!J435/VLOOKUP($B435,표2[#ALL],2)/HLOOKUP($A435,표1[#ALL],row(),false)</f>
        <v>#N/A</v>
      </c>
      <c r="K435" s="376" t="str">
        <f>CS_PID!K435/VLOOKUP($B435,표2[#ALL],2)/HLOOKUP($A435,표1[#ALL],row(),false)</f>
        <v>#N/A</v>
      </c>
      <c r="L435" s="376" t="str">
        <f>CS_PID!L435/VLOOKUP($B435,표2[#ALL],2)/HLOOKUP($A435,표1[#ALL],row(),false)</f>
        <v>#N/A</v>
      </c>
      <c r="M435" s="376" t="str">
        <f>CS_PID!M435/VLOOKUP($B435,표2[#ALL],2)/HLOOKUP($A435,표1[#ALL],row(),false)</f>
        <v>#N/A</v>
      </c>
      <c r="N435" s="376" t="str">
        <f>CS_PID!N435/VLOOKUP($B435,표2[#ALL],2)/HLOOKUP($A435,표1[#ALL],row(),false)</f>
        <v>#N/A</v>
      </c>
      <c r="O435" s="376" t="str">
        <f>CS_PID!O435/VLOOKUP($B435,표2[#ALL],2)/HLOOKUP($A435,표1[#ALL],row(),false)</f>
        <v>#N/A</v>
      </c>
      <c r="P435" s="376" t="str">
        <f>CS_PID!P435/VLOOKUP($B435,표2[#ALL],2)/HLOOKUP($A435,표1[#ALL],row(),false)</f>
        <v>#N/A</v>
      </c>
      <c r="Q435" s="376" t="str">
        <f>CS_PID!Q435/VLOOKUP($B435,표2[#ALL],2)/HLOOKUP($A435,표1[#ALL],row(),false)</f>
        <v>#N/A</v>
      </c>
      <c r="R435" s="376" t="str">
        <f>CS_PID!R435/VLOOKUP($B435,표2[#ALL],2)/HLOOKUP($A435,표1[#ALL],row(),false)</f>
        <v>#N/A</v>
      </c>
      <c r="S435" s="376" t="str">
        <f>CS_PID!S435/VLOOKUP($B435,표2[#ALL],2)/HLOOKUP($A435,표1[#ALL],row(),false)</f>
        <v>#N/A</v>
      </c>
      <c r="T435" s="376" t="str">
        <f>CS_PID!T435/VLOOKUP($B435,표2[#ALL],2)/HLOOKUP($A435,표1[#ALL],row(),false)</f>
        <v>#N/A</v>
      </c>
      <c r="U435" s="376" t="str">
        <f>CS_PID!U435/VLOOKUP($B435,표2[#ALL],2)/HLOOKUP($A435,표1[#ALL],row(),false)</f>
        <v>#N/A</v>
      </c>
      <c r="V435" s="376" t="str">
        <f>CS_PID!V435/VLOOKUP($B435,표2[#ALL],2)/HLOOKUP($A435,표1[#ALL],row(),false)</f>
        <v>#N/A</v>
      </c>
      <c r="W435" s="376" t="str">
        <f>CS_PID!W435/VLOOKUP($B435,표2[#ALL],2)/HLOOKUP($A435,표1[#ALL],row(),false)</f>
        <v>#N/A</v>
      </c>
      <c r="X435" s="376" t="str">
        <f>CS_PID!X435/VLOOKUP($B435,표2[#ALL],2)/HLOOKUP($A435,표1[#ALL],row(),false)</f>
        <v>#N/A</v>
      </c>
      <c r="Y435" s="376" t="str">
        <f>CS_PID!Y435/VLOOKUP($B435,표2[#ALL],2)/HLOOKUP($A435,표1[#ALL],row(),false)</f>
        <v>#N/A</v>
      </c>
      <c r="Z435" s="376" t="str">
        <f>CS_PID!Z435/VLOOKUP($B435,표2[#ALL],2)/HLOOKUP($A435,표1[#ALL],row(),false)</f>
        <v>#N/A</v>
      </c>
      <c r="AA435" s="376" t="str">
        <f>CS_PID!AA435/VLOOKUP($B435,표2[#ALL],2)/HLOOKUP($A435,표1[#ALL],row(),false)</f>
        <v>#N/A</v>
      </c>
      <c r="AB435" s="376" t="str">
        <f>CS_PID!AB435/VLOOKUP($B435,표2[#ALL],2)/HLOOKUP($A435,표1[#ALL],row(),false)</f>
        <v>#N/A</v>
      </c>
      <c r="AC435" s="376" t="str">
        <f>CS_PID!AC435/VLOOKUP($B435,표2[#ALL],2)/HLOOKUP($A435,표1[#ALL],row(),false)</f>
        <v>#N/A</v>
      </c>
      <c r="AD435" s="376" t="str">
        <f>CS_PID!AD435/VLOOKUP($B435,표2[#ALL],2)/HLOOKUP($A435,표1[#ALL],row(),false)</f>
        <v>#N/A</v>
      </c>
      <c r="AE435" s="376" t="str">
        <f>CS_PID!AE435/VLOOKUP($B435,표2[#ALL],2)/HLOOKUP($A435,표1[#ALL],row(),false)</f>
        <v>#N/A</v>
      </c>
      <c r="AF435" s="376" t="str">
        <f>CS_PID!AF435/VLOOKUP($B435,표2[#ALL],2)/HLOOKUP($A435,표1[#ALL],row(),false)</f>
        <v>#N/A</v>
      </c>
      <c r="AG435" s="376" t="str">
        <f>CS_PID!AG435/VLOOKUP($B435,표2[#ALL],2)/HLOOKUP($A435,표1[#ALL],row(),false)</f>
        <v>#N/A</v>
      </c>
      <c r="AH435" s="376" t="str">
        <f>CS_PID!AH435/VLOOKUP($B435,표2[#ALL],2)/HLOOKUP($A435,표1[#ALL],row(),false)</f>
        <v>#N/A</v>
      </c>
      <c r="AI435" s="376" t="str">
        <f>CS_PID!AI435/VLOOKUP($B435,표2[#ALL],2)/HLOOKUP($A435,표1[#ALL],row(),false)</f>
        <v>#N/A</v>
      </c>
      <c r="AJ435" s="376" t="str">
        <f>CS_PID!AJ435/VLOOKUP($B435,표2[#ALL],2)/HLOOKUP($A435,표1[#ALL],row(),false)</f>
        <v>#N/A</v>
      </c>
      <c r="AK435" s="376" t="str">
        <f>CS_PID!AK435/VLOOKUP($B435,표2[#ALL],2)/HLOOKUP($A435,표1[#ALL],row(),false)</f>
        <v>#N/A</v>
      </c>
      <c r="AL435" s="376" t="str">
        <f>CS_PID!AL435/VLOOKUP($B435,표2[#ALL],2)/HLOOKUP($A435,표1[#ALL],row(),false)</f>
        <v>#N/A</v>
      </c>
      <c r="AM435" s="376" t="str">
        <f>CS_PID!AM435/VLOOKUP($B435,표2[#ALL],2)/HLOOKUP($A435,표1[#ALL],row(),false)</f>
        <v>#N/A</v>
      </c>
      <c r="AN435" s="376" t="str">
        <f>CS_PID!AN435/VLOOKUP($B435,표2[#ALL],2)/HLOOKUP($A435,표1[#ALL],row(),false)</f>
        <v>#N/A</v>
      </c>
      <c r="AO435" s="376" t="str">
        <f>CS_PID!AO435/VLOOKUP($B435,표2[#ALL],2)/HLOOKUP($A435,표1[#ALL],row(),false)</f>
        <v>#N/A</v>
      </c>
      <c r="AP435" s="376" t="str">
        <f>CS_PID!AP435/VLOOKUP($B435,표2[#ALL],2)/HLOOKUP($A435,표1[#ALL],row(),false)</f>
        <v>#N/A</v>
      </c>
      <c r="AQ435" s="376" t="str">
        <f>CS_PID!AQ435/VLOOKUP($B435,표2[#ALL],2)/HLOOKUP($A435,표1[#ALL],row(),false)</f>
        <v>#N/A</v>
      </c>
      <c r="AR435" s="376" t="str">
        <f>CS_PID!AR435/VLOOKUP($B435,표2[#ALL],2)/HLOOKUP($A435,표1[#ALL],row(),false)</f>
        <v>#N/A</v>
      </c>
      <c r="AS435" s="377" t="str">
        <f>CS_PID!AS435/VLOOKUP($B435,표2[#ALL],2)/HLOOKUP($A435,표1[#ALL],row(),false)</f>
        <v>#N/A</v>
      </c>
    </row>
    <row r="436">
      <c r="A436" s="370"/>
      <c r="B436" s="371"/>
      <c r="C436" s="372" t="str">
        <f>CS_PID!C436/VLOOKUP($B436,표2[#ALL],2)</f>
        <v>#N/A</v>
      </c>
      <c r="D436" s="372" t="str">
        <f>CS_PID!D436/VLOOKUP($B436,표2[#ALL],2)</f>
        <v>#N/A</v>
      </c>
      <c r="E436" s="372" t="str">
        <f>CS_PID!E436/VLOOKUP($B436,표2[#ALL],2)</f>
        <v>#N/A</v>
      </c>
      <c r="F436" s="372" t="str">
        <f>CS_PID!F436/VLOOKUP($B436,표2[#ALL],2)</f>
        <v>#N/A</v>
      </c>
      <c r="G436" s="372" t="str">
        <f>CS_PID!G436/VLOOKUP($B436,표2[#ALL],2)</f>
        <v>#N/A</v>
      </c>
      <c r="H436" s="372" t="str">
        <f>CS_PID!H436/VLOOKUP($B436,표2[#ALL],2)/HLOOKUP($A436,표1[#ALL],row(),false)</f>
        <v>#N/A</v>
      </c>
      <c r="I436" s="372" t="str">
        <f>CS_PID!I436/VLOOKUP($B436,표2[#ALL],2)/HLOOKUP($A436,표1[#ALL],row(),false)</f>
        <v>#N/A</v>
      </c>
      <c r="J436" s="372" t="str">
        <f>CS_PID!J436/VLOOKUP($B436,표2[#ALL],2)/HLOOKUP($A436,표1[#ALL],row(),false)</f>
        <v>#N/A</v>
      </c>
      <c r="K436" s="372" t="str">
        <f>CS_PID!K436/VLOOKUP($B436,표2[#ALL],2)/HLOOKUP($A436,표1[#ALL],row(),false)</f>
        <v>#N/A</v>
      </c>
      <c r="L436" s="372" t="str">
        <f>CS_PID!L436/VLOOKUP($B436,표2[#ALL],2)/HLOOKUP($A436,표1[#ALL],row(),false)</f>
        <v>#N/A</v>
      </c>
      <c r="M436" s="372" t="str">
        <f>CS_PID!M436/VLOOKUP($B436,표2[#ALL],2)/HLOOKUP($A436,표1[#ALL],row(),false)</f>
        <v>#N/A</v>
      </c>
      <c r="N436" s="372" t="str">
        <f>CS_PID!N436/VLOOKUP($B436,표2[#ALL],2)/HLOOKUP($A436,표1[#ALL],row(),false)</f>
        <v>#N/A</v>
      </c>
      <c r="O436" s="372" t="str">
        <f>CS_PID!O436/VLOOKUP($B436,표2[#ALL],2)/HLOOKUP($A436,표1[#ALL],row(),false)</f>
        <v>#N/A</v>
      </c>
      <c r="P436" s="372" t="str">
        <f>CS_PID!P436/VLOOKUP($B436,표2[#ALL],2)/HLOOKUP($A436,표1[#ALL],row(),false)</f>
        <v>#N/A</v>
      </c>
      <c r="Q436" s="372" t="str">
        <f>CS_PID!Q436/VLOOKUP($B436,표2[#ALL],2)/HLOOKUP($A436,표1[#ALL],row(),false)</f>
        <v>#N/A</v>
      </c>
      <c r="R436" s="372" t="str">
        <f>CS_PID!R436/VLOOKUP($B436,표2[#ALL],2)/HLOOKUP($A436,표1[#ALL],row(),false)</f>
        <v>#N/A</v>
      </c>
      <c r="S436" s="372" t="str">
        <f>CS_PID!S436/VLOOKUP($B436,표2[#ALL],2)/HLOOKUP($A436,표1[#ALL],row(),false)</f>
        <v>#N/A</v>
      </c>
      <c r="T436" s="372" t="str">
        <f>CS_PID!T436/VLOOKUP($B436,표2[#ALL],2)/HLOOKUP($A436,표1[#ALL],row(),false)</f>
        <v>#N/A</v>
      </c>
      <c r="U436" s="372" t="str">
        <f>CS_PID!U436/VLOOKUP($B436,표2[#ALL],2)/HLOOKUP($A436,표1[#ALL],row(),false)</f>
        <v>#N/A</v>
      </c>
      <c r="V436" s="372" t="str">
        <f>CS_PID!V436/VLOOKUP($B436,표2[#ALL],2)/HLOOKUP($A436,표1[#ALL],row(),false)</f>
        <v>#N/A</v>
      </c>
      <c r="W436" s="372" t="str">
        <f>CS_PID!W436/VLOOKUP($B436,표2[#ALL],2)/HLOOKUP($A436,표1[#ALL],row(),false)</f>
        <v>#N/A</v>
      </c>
      <c r="X436" s="372" t="str">
        <f>CS_PID!X436/VLOOKUP($B436,표2[#ALL],2)/HLOOKUP($A436,표1[#ALL],row(),false)</f>
        <v>#N/A</v>
      </c>
      <c r="Y436" s="372" t="str">
        <f>CS_PID!Y436/VLOOKUP($B436,표2[#ALL],2)/HLOOKUP($A436,표1[#ALL],row(),false)</f>
        <v>#N/A</v>
      </c>
      <c r="Z436" s="372" t="str">
        <f>CS_PID!Z436/VLOOKUP($B436,표2[#ALL],2)/HLOOKUP($A436,표1[#ALL],row(),false)</f>
        <v>#N/A</v>
      </c>
      <c r="AA436" s="372" t="str">
        <f>CS_PID!AA436/VLOOKUP($B436,표2[#ALL],2)/HLOOKUP($A436,표1[#ALL],row(),false)</f>
        <v>#N/A</v>
      </c>
      <c r="AB436" s="372" t="str">
        <f>CS_PID!AB436/VLOOKUP($B436,표2[#ALL],2)/HLOOKUP($A436,표1[#ALL],row(),false)</f>
        <v>#N/A</v>
      </c>
      <c r="AC436" s="372" t="str">
        <f>CS_PID!AC436/VLOOKUP($B436,표2[#ALL],2)/HLOOKUP($A436,표1[#ALL],row(),false)</f>
        <v>#N/A</v>
      </c>
      <c r="AD436" s="372" t="str">
        <f>CS_PID!AD436/VLOOKUP($B436,표2[#ALL],2)/HLOOKUP($A436,표1[#ALL],row(),false)</f>
        <v>#N/A</v>
      </c>
      <c r="AE436" s="372" t="str">
        <f>CS_PID!AE436/VLOOKUP($B436,표2[#ALL],2)/HLOOKUP($A436,표1[#ALL],row(),false)</f>
        <v>#N/A</v>
      </c>
      <c r="AF436" s="372" t="str">
        <f>CS_PID!AF436/VLOOKUP($B436,표2[#ALL],2)/HLOOKUP($A436,표1[#ALL],row(),false)</f>
        <v>#N/A</v>
      </c>
      <c r="AG436" s="372" t="str">
        <f>CS_PID!AG436/VLOOKUP($B436,표2[#ALL],2)/HLOOKUP($A436,표1[#ALL],row(),false)</f>
        <v>#N/A</v>
      </c>
      <c r="AH436" s="372" t="str">
        <f>CS_PID!AH436/VLOOKUP($B436,표2[#ALL],2)/HLOOKUP($A436,표1[#ALL],row(),false)</f>
        <v>#N/A</v>
      </c>
      <c r="AI436" s="372" t="str">
        <f>CS_PID!AI436/VLOOKUP($B436,표2[#ALL],2)/HLOOKUP($A436,표1[#ALL],row(),false)</f>
        <v>#N/A</v>
      </c>
      <c r="AJ436" s="372" t="str">
        <f>CS_PID!AJ436/VLOOKUP($B436,표2[#ALL],2)/HLOOKUP($A436,표1[#ALL],row(),false)</f>
        <v>#N/A</v>
      </c>
      <c r="AK436" s="372" t="str">
        <f>CS_PID!AK436/VLOOKUP($B436,표2[#ALL],2)/HLOOKUP($A436,표1[#ALL],row(),false)</f>
        <v>#N/A</v>
      </c>
      <c r="AL436" s="372" t="str">
        <f>CS_PID!AL436/VLOOKUP($B436,표2[#ALL],2)/HLOOKUP($A436,표1[#ALL],row(),false)</f>
        <v>#N/A</v>
      </c>
      <c r="AM436" s="372" t="str">
        <f>CS_PID!AM436/VLOOKUP($B436,표2[#ALL],2)/HLOOKUP($A436,표1[#ALL],row(),false)</f>
        <v>#N/A</v>
      </c>
      <c r="AN436" s="372" t="str">
        <f>CS_PID!AN436/VLOOKUP($B436,표2[#ALL],2)/HLOOKUP($A436,표1[#ALL],row(),false)</f>
        <v>#N/A</v>
      </c>
      <c r="AO436" s="372" t="str">
        <f>CS_PID!AO436/VLOOKUP($B436,표2[#ALL],2)/HLOOKUP($A436,표1[#ALL],row(),false)</f>
        <v>#N/A</v>
      </c>
      <c r="AP436" s="372" t="str">
        <f>CS_PID!AP436/VLOOKUP($B436,표2[#ALL],2)/HLOOKUP($A436,표1[#ALL],row(),false)</f>
        <v>#N/A</v>
      </c>
      <c r="AQ436" s="372" t="str">
        <f>CS_PID!AQ436/VLOOKUP($B436,표2[#ALL],2)/HLOOKUP($A436,표1[#ALL],row(),false)</f>
        <v>#N/A</v>
      </c>
      <c r="AR436" s="372" t="str">
        <f>CS_PID!AR436/VLOOKUP($B436,표2[#ALL],2)/HLOOKUP($A436,표1[#ALL],row(),false)</f>
        <v>#N/A</v>
      </c>
      <c r="AS436" s="373" t="str">
        <f>CS_PID!AS436/VLOOKUP($B436,표2[#ALL],2)/HLOOKUP($A436,표1[#ALL],row(),false)</f>
        <v>#N/A</v>
      </c>
    </row>
    <row r="437">
      <c r="A437" s="374"/>
      <c r="B437" s="375"/>
      <c r="C437" s="376" t="str">
        <f>CS_PID!C437/VLOOKUP($B437,표2[#ALL],2)</f>
        <v>#N/A</v>
      </c>
      <c r="D437" s="376" t="str">
        <f>CS_PID!D437/VLOOKUP($B437,표2[#ALL],2)</f>
        <v>#N/A</v>
      </c>
      <c r="E437" s="376" t="str">
        <f>CS_PID!E437/VLOOKUP($B437,표2[#ALL],2)</f>
        <v>#N/A</v>
      </c>
      <c r="F437" s="376" t="str">
        <f>CS_PID!F437/VLOOKUP($B437,표2[#ALL],2)</f>
        <v>#N/A</v>
      </c>
      <c r="G437" s="376" t="str">
        <f>CS_PID!G437/VLOOKUP($B437,표2[#ALL],2)</f>
        <v>#N/A</v>
      </c>
      <c r="H437" s="376" t="str">
        <f>CS_PID!H437/VLOOKUP($B437,표2[#ALL],2)/HLOOKUP($A437,표1[#ALL],row(),false)</f>
        <v>#N/A</v>
      </c>
      <c r="I437" s="376" t="str">
        <f>CS_PID!I437/VLOOKUP($B437,표2[#ALL],2)/HLOOKUP($A437,표1[#ALL],row(),false)</f>
        <v>#N/A</v>
      </c>
      <c r="J437" s="376" t="str">
        <f>CS_PID!J437/VLOOKUP($B437,표2[#ALL],2)/HLOOKUP($A437,표1[#ALL],row(),false)</f>
        <v>#N/A</v>
      </c>
      <c r="K437" s="376" t="str">
        <f>CS_PID!K437/VLOOKUP($B437,표2[#ALL],2)/HLOOKUP($A437,표1[#ALL],row(),false)</f>
        <v>#N/A</v>
      </c>
      <c r="L437" s="376" t="str">
        <f>CS_PID!L437/VLOOKUP($B437,표2[#ALL],2)/HLOOKUP($A437,표1[#ALL],row(),false)</f>
        <v>#N/A</v>
      </c>
      <c r="M437" s="376" t="str">
        <f>CS_PID!M437/VLOOKUP($B437,표2[#ALL],2)/HLOOKUP($A437,표1[#ALL],row(),false)</f>
        <v>#N/A</v>
      </c>
      <c r="N437" s="376" t="str">
        <f>CS_PID!N437/VLOOKUP($B437,표2[#ALL],2)/HLOOKUP($A437,표1[#ALL],row(),false)</f>
        <v>#N/A</v>
      </c>
      <c r="O437" s="376" t="str">
        <f>CS_PID!O437/VLOOKUP($B437,표2[#ALL],2)/HLOOKUP($A437,표1[#ALL],row(),false)</f>
        <v>#N/A</v>
      </c>
      <c r="P437" s="376" t="str">
        <f>CS_PID!P437/VLOOKUP($B437,표2[#ALL],2)/HLOOKUP($A437,표1[#ALL],row(),false)</f>
        <v>#N/A</v>
      </c>
      <c r="Q437" s="376" t="str">
        <f>CS_PID!Q437/VLOOKUP($B437,표2[#ALL],2)/HLOOKUP($A437,표1[#ALL],row(),false)</f>
        <v>#N/A</v>
      </c>
      <c r="R437" s="376" t="str">
        <f>CS_PID!R437/VLOOKUP($B437,표2[#ALL],2)/HLOOKUP($A437,표1[#ALL],row(),false)</f>
        <v>#N/A</v>
      </c>
      <c r="S437" s="376" t="str">
        <f>CS_PID!S437/VLOOKUP($B437,표2[#ALL],2)/HLOOKUP($A437,표1[#ALL],row(),false)</f>
        <v>#N/A</v>
      </c>
      <c r="T437" s="376" t="str">
        <f>CS_PID!T437/VLOOKUP($B437,표2[#ALL],2)/HLOOKUP($A437,표1[#ALL],row(),false)</f>
        <v>#N/A</v>
      </c>
      <c r="U437" s="376" t="str">
        <f>CS_PID!U437/VLOOKUP($B437,표2[#ALL],2)/HLOOKUP($A437,표1[#ALL],row(),false)</f>
        <v>#N/A</v>
      </c>
      <c r="V437" s="376" t="str">
        <f>CS_PID!V437/VLOOKUP($B437,표2[#ALL],2)/HLOOKUP($A437,표1[#ALL],row(),false)</f>
        <v>#N/A</v>
      </c>
      <c r="W437" s="376" t="str">
        <f>CS_PID!W437/VLOOKUP($B437,표2[#ALL],2)/HLOOKUP($A437,표1[#ALL],row(),false)</f>
        <v>#N/A</v>
      </c>
      <c r="X437" s="376" t="str">
        <f>CS_PID!X437/VLOOKUP($B437,표2[#ALL],2)/HLOOKUP($A437,표1[#ALL],row(),false)</f>
        <v>#N/A</v>
      </c>
      <c r="Y437" s="376" t="str">
        <f>CS_PID!Y437/VLOOKUP($B437,표2[#ALL],2)/HLOOKUP($A437,표1[#ALL],row(),false)</f>
        <v>#N/A</v>
      </c>
      <c r="Z437" s="376" t="str">
        <f>CS_PID!Z437/VLOOKUP($B437,표2[#ALL],2)/HLOOKUP($A437,표1[#ALL],row(),false)</f>
        <v>#N/A</v>
      </c>
      <c r="AA437" s="376" t="str">
        <f>CS_PID!AA437/VLOOKUP($B437,표2[#ALL],2)/HLOOKUP($A437,표1[#ALL],row(),false)</f>
        <v>#N/A</v>
      </c>
      <c r="AB437" s="376" t="str">
        <f>CS_PID!AB437/VLOOKUP($B437,표2[#ALL],2)/HLOOKUP($A437,표1[#ALL],row(),false)</f>
        <v>#N/A</v>
      </c>
      <c r="AC437" s="376" t="str">
        <f>CS_PID!AC437/VLOOKUP($B437,표2[#ALL],2)/HLOOKUP($A437,표1[#ALL],row(),false)</f>
        <v>#N/A</v>
      </c>
      <c r="AD437" s="376" t="str">
        <f>CS_PID!AD437/VLOOKUP($B437,표2[#ALL],2)/HLOOKUP($A437,표1[#ALL],row(),false)</f>
        <v>#N/A</v>
      </c>
      <c r="AE437" s="376" t="str">
        <f>CS_PID!AE437/VLOOKUP($B437,표2[#ALL],2)/HLOOKUP($A437,표1[#ALL],row(),false)</f>
        <v>#N/A</v>
      </c>
      <c r="AF437" s="376" t="str">
        <f>CS_PID!AF437/VLOOKUP($B437,표2[#ALL],2)/HLOOKUP($A437,표1[#ALL],row(),false)</f>
        <v>#N/A</v>
      </c>
      <c r="AG437" s="376" t="str">
        <f>CS_PID!AG437/VLOOKUP($B437,표2[#ALL],2)/HLOOKUP($A437,표1[#ALL],row(),false)</f>
        <v>#N/A</v>
      </c>
      <c r="AH437" s="376" t="str">
        <f>CS_PID!AH437/VLOOKUP($B437,표2[#ALL],2)/HLOOKUP($A437,표1[#ALL],row(),false)</f>
        <v>#N/A</v>
      </c>
      <c r="AI437" s="376" t="str">
        <f>CS_PID!AI437/VLOOKUP($B437,표2[#ALL],2)/HLOOKUP($A437,표1[#ALL],row(),false)</f>
        <v>#N/A</v>
      </c>
      <c r="AJ437" s="376" t="str">
        <f>CS_PID!AJ437/VLOOKUP($B437,표2[#ALL],2)/HLOOKUP($A437,표1[#ALL],row(),false)</f>
        <v>#N/A</v>
      </c>
      <c r="AK437" s="376" t="str">
        <f>CS_PID!AK437/VLOOKUP($B437,표2[#ALL],2)/HLOOKUP($A437,표1[#ALL],row(),false)</f>
        <v>#N/A</v>
      </c>
      <c r="AL437" s="376" t="str">
        <f>CS_PID!AL437/VLOOKUP($B437,표2[#ALL],2)/HLOOKUP($A437,표1[#ALL],row(),false)</f>
        <v>#N/A</v>
      </c>
      <c r="AM437" s="376" t="str">
        <f>CS_PID!AM437/VLOOKUP($B437,표2[#ALL],2)/HLOOKUP($A437,표1[#ALL],row(),false)</f>
        <v>#N/A</v>
      </c>
      <c r="AN437" s="376" t="str">
        <f>CS_PID!AN437/VLOOKUP($B437,표2[#ALL],2)/HLOOKUP($A437,표1[#ALL],row(),false)</f>
        <v>#N/A</v>
      </c>
      <c r="AO437" s="376" t="str">
        <f>CS_PID!AO437/VLOOKUP($B437,표2[#ALL],2)/HLOOKUP($A437,표1[#ALL],row(),false)</f>
        <v>#N/A</v>
      </c>
      <c r="AP437" s="376" t="str">
        <f>CS_PID!AP437/VLOOKUP($B437,표2[#ALL],2)/HLOOKUP($A437,표1[#ALL],row(),false)</f>
        <v>#N/A</v>
      </c>
      <c r="AQ437" s="376" t="str">
        <f>CS_PID!AQ437/VLOOKUP($B437,표2[#ALL],2)/HLOOKUP($A437,표1[#ALL],row(),false)</f>
        <v>#N/A</v>
      </c>
      <c r="AR437" s="376" t="str">
        <f>CS_PID!AR437/VLOOKUP($B437,표2[#ALL],2)/HLOOKUP($A437,표1[#ALL],row(),false)</f>
        <v>#N/A</v>
      </c>
      <c r="AS437" s="377" t="str">
        <f>CS_PID!AS437/VLOOKUP($B437,표2[#ALL],2)/HLOOKUP($A437,표1[#ALL],row(),false)</f>
        <v>#N/A</v>
      </c>
    </row>
    <row r="438">
      <c r="A438" s="370"/>
      <c r="B438" s="371"/>
      <c r="C438" s="372" t="str">
        <f>CS_PID!C438/VLOOKUP($B438,표2[#ALL],2)</f>
        <v>#N/A</v>
      </c>
      <c r="D438" s="372" t="str">
        <f>CS_PID!D438/VLOOKUP($B438,표2[#ALL],2)</f>
        <v>#N/A</v>
      </c>
      <c r="E438" s="372" t="str">
        <f>CS_PID!E438/VLOOKUP($B438,표2[#ALL],2)</f>
        <v>#N/A</v>
      </c>
      <c r="F438" s="372" t="str">
        <f>CS_PID!F438/VLOOKUP($B438,표2[#ALL],2)</f>
        <v>#N/A</v>
      </c>
      <c r="G438" s="372" t="str">
        <f>CS_PID!G438/VLOOKUP($B438,표2[#ALL],2)</f>
        <v>#N/A</v>
      </c>
      <c r="H438" s="372" t="str">
        <f>CS_PID!H438/VLOOKUP($B438,표2[#ALL],2)/HLOOKUP($A438,표1[#ALL],row(),false)</f>
        <v>#N/A</v>
      </c>
      <c r="I438" s="372" t="str">
        <f>CS_PID!I438/VLOOKUP($B438,표2[#ALL],2)/HLOOKUP($A438,표1[#ALL],row(),false)</f>
        <v>#N/A</v>
      </c>
      <c r="J438" s="372" t="str">
        <f>CS_PID!J438/VLOOKUP($B438,표2[#ALL],2)/HLOOKUP($A438,표1[#ALL],row(),false)</f>
        <v>#N/A</v>
      </c>
      <c r="K438" s="372" t="str">
        <f>CS_PID!K438/VLOOKUP($B438,표2[#ALL],2)/HLOOKUP($A438,표1[#ALL],row(),false)</f>
        <v>#N/A</v>
      </c>
      <c r="L438" s="372" t="str">
        <f>CS_PID!L438/VLOOKUP($B438,표2[#ALL],2)/HLOOKUP($A438,표1[#ALL],row(),false)</f>
        <v>#N/A</v>
      </c>
      <c r="M438" s="372" t="str">
        <f>CS_PID!M438/VLOOKUP($B438,표2[#ALL],2)/HLOOKUP($A438,표1[#ALL],row(),false)</f>
        <v>#N/A</v>
      </c>
      <c r="N438" s="372" t="str">
        <f>CS_PID!N438/VLOOKUP($B438,표2[#ALL],2)/HLOOKUP($A438,표1[#ALL],row(),false)</f>
        <v>#N/A</v>
      </c>
      <c r="O438" s="372" t="str">
        <f>CS_PID!O438/VLOOKUP($B438,표2[#ALL],2)/HLOOKUP($A438,표1[#ALL],row(),false)</f>
        <v>#N/A</v>
      </c>
      <c r="P438" s="372" t="str">
        <f>CS_PID!P438/VLOOKUP($B438,표2[#ALL],2)/HLOOKUP($A438,표1[#ALL],row(),false)</f>
        <v>#N/A</v>
      </c>
      <c r="Q438" s="372" t="str">
        <f>CS_PID!Q438/VLOOKUP($B438,표2[#ALL],2)/HLOOKUP($A438,표1[#ALL],row(),false)</f>
        <v>#N/A</v>
      </c>
      <c r="R438" s="372" t="str">
        <f>CS_PID!R438/VLOOKUP($B438,표2[#ALL],2)/HLOOKUP($A438,표1[#ALL],row(),false)</f>
        <v>#N/A</v>
      </c>
      <c r="S438" s="372" t="str">
        <f>CS_PID!S438/VLOOKUP($B438,표2[#ALL],2)/HLOOKUP($A438,표1[#ALL],row(),false)</f>
        <v>#N/A</v>
      </c>
      <c r="T438" s="372" t="str">
        <f>CS_PID!T438/VLOOKUP($B438,표2[#ALL],2)/HLOOKUP($A438,표1[#ALL],row(),false)</f>
        <v>#N/A</v>
      </c>
      <c r="U438" s="372" t="str">
        <f>CS_PID!U438/VLOOKUP($B438,표2[#ALL],2)/HLOOKUP($A438,표1[#ALL],row(),false)</f>
        <v>#N/A</v>
      </c>
      <c r="V438" s="372" t="str">
        <f>CS_PID!V438/VLOOKUP($B438,표2[#ALL],2)/HLOOKUP($A438,표1[#ALL],row(),false)</f>
        <v>#N/A</v>
      </c>
      <c r="W438" s="372" t="str">
        <f>CS_PID!W438/VLOOKUP($B438,표2[#ALL],2)/HLOOKUP($A438,표1[#ALL],row(),false)</f>
        <v>#N/A</v>
      </c>
      <c r="X438" s="372" t="str">
        <f>CS_PID!X438/VLOOKUP($B438,표2[#ALL],2)/HLOOKUP($A438,표1[#ALL],row(),false)</f>
        <v>#N/A</v>
      </c>
      <c r="Y438" s="372" t="str">
        <f>CS_PID!Y438/VLOOKUP($B438,표2[#ALL],2)/HLOOKUP($A438,표1[#ALL],row(),false)</f>
        <v>#N/A</v>
      </c>
      <c r="Z438" s="372" t="str">
        <f>CS_PID!Z438/VLOOKUP($B438,표2[#ALL],2)/HLOOKUP($A438,표1[#ALL],row(),false)</f>
        <v>#N/A</v>
      </c>
      <c r="AA438" s="372" t="str">
        <f>CS_PID!AA438/VLOOKUP($B438,표2[#ALL],2)/HLOOKUP($A438,표1[#ALL],row(),false)</f>
        <v>#N/A</v>
      </c>
      <c r="AB438" s="372" t="str">
        <f>CS_PID!AB438/VLOOKUP($B438,표2[#ALL],2)/HLOOKUP($A438,표1[#ALL],row(),false)</f>
        <v>#N/A</v>
      </c>
      <c r="AC438" s="372" t="str">
        <f>CS_PID!AC438/VLOOKUP($B438,표2[#ALL],2)/HLOOKUP($A438,표1[#ALL],row(),false)</f>
        <v>#N/A</v>
      </c>
      <c r="AD438" s="372" t="str">
        <f>CS_PID!AD438/VLOOKUP($B438,표2[#ALL],2)/HLOOKUP($A438,표1[#ALL],row(),false)</f>
        <v>#N/A</v>
      </c>
      <c r="AE438" s="372" t="str">
        <f>CS_PID!AE438/VLOOKUP($B438,표2[#ALL],2)/HLOOKUP($A438,표1[#ALL],row(),false)</f>
        <v>#N/A</v>
      </c>
      <c r="AF438" s="372" t="str">
        <f>CS_PID!AF438/VLOOKUP($B438,표2[#ALL],2)/HLOOKUP($A438,표1[#ALL],row(),false)</f>
        <v>#N/A</v>
      </c>
      <c r="AG438" s="372" t="str">
        <f>CS_PID!AG438/VLOOKUP($B438,표2[#ALL],2)/HLOOKUP($A438,표1[#ALL],row(),false)</f>
        <v>#N/A</v>
      </c>
      <c r="AH438" s="372" t="str">
        <f>CS_PID!AH438/VLOOKUP($B438,표2[#ALL],2)/HLOOKUP($A438,표1[#ALL],row(),false)</f>
        <v>#N/A</v>
      </c>
      <c r="AI438" s="372" t="str">
        <f>CS_PID!AI438/VLOOKUP($B438,표2[#ALL],2)/HLOOKUP($A438,표1[#ALL],row(),false)</f>
        <v>#N/A</v>
      </c>
      <c r="AJ438" s="372" t="str">
        <f>CS_PID!AJ438/VLOOKUP($B438,표2[#ALL],2)/HLOOKUP($A438,표1[#ALL],row(),false)</f>
        <v>#N/A</v>
      </c>
      <c r="AK438" s="372" t="str">
        <f>CS_PID!AK438/VLOOKUP($B438,표2[#ALL],2)/HLOOKUP($A438,표1[#ALL],row(),false)</f>
        <v>#N/A</v>
      </c>
      <c r="AL438" s="372" t="str">
        <f>CS_PID!AL438/VLOOKUP($B438,표2[#ALL],2)/HLOOKUP($A438,표1[#ALL],row(),false)</f>
        <v>#N/A</v>
      </c>
      <c r="AM438" s="372" t="str">
        <f>CS_PID!AM438/VLOOKUP($B438,표2[#ALL],2)/HLOOKUP($A438,표1[#ALL],row(),false)</f>
        <v>#N/A</v>
      </c>
      <c r="AN438" s="372" t="str">
        <f>CS_PID!AN438/VLOOKUP($B438,표2[#ALL],2)/HLOOKUP($A438,표1[#ALL],row(),false)</f>
        <v>#N/A</v>
      </c>
      <c r="AO438" s="372" t="str">
        <f>CS_PID!AO438/VLOOKUP($B438,표2[#ALL],2)/HLOOKUP($A438,표1[#ALL],row(),false)</f>
        <v>#N/A</v>
      </c>
      <c r="AP438" s="372" t="str">
        <f>CS_PID!AP438/VLOOKUP($B438,표2[#ALL],2)/HLOOKUP($A438,표1[#ALL],row(),false)</f>
        <v>#N/A</v>
      </c>
      <c r="AQ438" s="372" t="str">
        <f>CS_PID!AQ438/VLOOKUP($B438,표2[#ALL],2)/HLOOKUP($A438,표1[#ALL],row(),false)</f>
        <v>#N/A</v>
      </c>
      <c r="AR438" s="372" t="str">
        <f>CS_PID!AR438/VLOOKUP($B438,표2[#ALL],2)/HLOOKUP($A438,표1[#ALL],row(),false)</f>
        <v>#N/A</v>
      </c>
      <c r="AS438" s="373" t="str">
        <f>CS_PID!AS438/VLOOKUP($B438,표2[#ALL],2)/HLOOKUP($A438,표1[#ALL],row(),false)</f>
        <v>#N/A</v>
      </c>
    </row>
    <row r="439">
      <c r="A439" s="374"/>
      <c r="B439" s="375"/>
      <c r="C439" s="376" t="str">
        <f>CS_PID!C439/VLOOKUP($B439,표2[#ALL],2)</f>
        <v>#N/A</v>
      </c>
      <c r="D439" s="376" t="str">
        <f>CS_PID!D439/VLOOKUP($B439,표2[#ALL],2)</f>
        <v>#N/A</v>
      </c>
      <c r="E439" s="376" t="str">
        <f>CS_PID!E439/VLOOKUP($B439,표2[#ALL],2)</f>
        <v>#N/A</v>
      </c>
      <c r="F439" s="376" t="str">
        <f>CS_PID!F439/VLOOKUP($B439,표2[#ALL],2)</f>
        <v>#N/A</v>
      </c>
      <c r="G439" s="376" t="str">
        <f>CS_PID!G439/VLOOKUP($B439,표2[#ALL],2)</f>
        <v>#N/A</v>
      </c>
      <c r="H439" s="376" t="str">
        <f>CS_PID!H439/VLOOKUP($B439,표2[#ALL],2)/HLOOKUP($A439,표1[#ALL],row(),false)</f>
        <v>#N/A</v>
      </c>
      <c r="I439" s="376" t="str">
        <f>CS_PID!I439/VLOOKUP($B439,표2[#ALL],2)/HLOOKUP($A439,표1[#ALL],row(),false)</f>
        <v>#N/A</v>
      </c>
      <c r="J439" s="376" t="str">
        <f>CS_PID!J439/VLOOKUP($B439,표2[#ALL],2)/HLOOKUP($A439,표1[#ALL],row(),false)</f>
        <v>#N/A</v>
      </c>
      <c r="K439" s="376" t="str">
        <f>CS_PID!K439/VLOOKUP($B439,표2[#ALL],2)/HLOOKUP($A439,표1[#ALL],row(),false)</f>
        <v>#N/A</v>
      </c>
      <c r="L439" s="376" t="str">
        <f>CS_PID!L439/VLOOKUP($B439,표2[#ALL],2)/HLOOKUP($A439,표1[#ALL],row(),false)</f>
        <v>#N/A</v>
      </c>
      <c r="M439" s="376" t="str">
        <f>CS_PID!M439/VLOOKUP($B439,표2[#ALL],2)/HLOOKUP($A439,표1[#ALL],row(),false)</f>
        <v>#N/A</v>
      </c>
      <c r="N439" s="376" t="str">
        <f>CS_PID!N439/VLOOKUP($B439,표2[#ALL],2)/HLOOKUP($A439,표1[#ALL],row(),false)</f>
        <v>#N/A</v>
      </c>
      <c r="O439" s="376" t="str">
        <f>CS_PID!O439/VLOOKUP($B439,표2[#ALL],2)/HLOOKUP($A439,표1[#ALL],row(),false)</f>
        <v>#N/A</v>
      </c>
      <c r="P439" s="376" t="str">
        <f>CS_PID!P439/VLOOKUP($B439,표2[#ALL],2)/HLOOKUP($A439,표1[#ALL],row(),false)</f>
        <v>#N/A</v>
      </c>
      <c r="Q439" s="376" t="str">
        <f>CS_PID!Q439/VLOOKUP($B439,표2[#ALL],2)/HLOOKUP($A439,표1[#ALL],row(),false)</f>
        <v>#N/A</v>
      </c>
      <c r="R439" s="376" t="str">
        <f>CS_PID!R439/VLOOKUP($B439,표2[#ALL],2)/HLOOKUP($A439,표1[#ALL],row(),false)</f>
        <v>#N/A</v>
      </c>
      <c r="S439" s="376" t="str">
        <f>CS_PID!S439/VLOOKUP($B439,표2[#ALL],2)/HLOOKUP($A439,표1[#ALL],row(),false)</f>
        <v>#N/A</v>
      </c>
      <c r="T439" s="376" t="str">
        <f>CS_PID!T439/VLOOKUP($B439,표2[#ALL],2)/HLOOKUP($A439,표1[#ALL],row(),false)</f>
        <v>#N/A</v>
      </c>
      <c r="U439" s="376" t="str">
        <f>CS_PID!U439/VLOOKUP($B439,표2[#ALL],2)/HLOOKUP($A439,표1[#ALL],row(),false)</f>
        <v>#N/A</v>
      </c>
      <c r="V439" s="376" t="str">
        <f>CS_PID!V439/VLOOKUP($B439,표2[#ALL],2)/HLOOKUP($A439,표1[#ALL],row(),false)</f>
        <v>#N/A</v>
      </c>
      <c r="W439" s="376" t="str">
        <f>CS_PID!W439/VLOOKUP($B439,표2[#ALL],2)/HLOOKUP($A439,표1[#ALL],row(),false)</f>
        <v>#N/A</v>
      </c>
      <c r="X439" s="376" t="str">
        <f>CS_PID!X439/VLOOKUP($B439,표2[#ALL],2)/HLOOKUP($A439,표1[#ALL],row(),false)</f>
        <v>#N/A</v>
      </c>
      <c r="Y439" s="376" t="str">
        <f>CS_PID!Y439/VLOOKUP($B439,표2[#ALL],2)/HLOOKUP($A439,표1[#ALL],row(),false)</f>
        <v>#N/A</v>
      </c>
      <c r="Z439" s="376" t="str">
        <f>CS_PID!Z439/VLOOKUP($B439,표2[#ALL],2)/HLOOKUP($A439,표1[#ALL],row(),false)</f>
        <v>#N/A</v>
      </c>
      <c r="AA439" s="376" t="str">
        <f>CS_PID!AA439/VLOOKUP($B439,표2[#ALL],2)/HLOOKUP($A439,표1[#ALL],row(),false)</f>
        <v>#N/A</v>
      </c>
      <c r="AB439" s="376" t="str">
        <f>CS_PID!AB439/VLOOKUP($B439,표2[#ALL],2)/HLOOKUP($A439,표1[#ALL],row(),false)</f>
        <v>#N/A</v>
      </c>
      <c r="AC439" s="376" t="str">
        <f>CS_PID!AC439/VLOOKUP($B439,표2[#ALL],2)/HLOOKUP($A439,표1[#ALL],row(),false)</f>
        <v>#N/A</v>
      </c>
      <c r="AD439" s="376" t="str">
        <f>CS_PID!AD439/VLOOKUP($B439,표2[#ALL],2)/HLOOKUP($A439,표1[#ALL],row(),false)</f>
        <v>#N/A</v>
      </c>
      <c r="AE439" s="376" t="str">
        <f>CS_PID!AE439/VLOOKUP($B439,표2[#ALL],2)/HLOOKUP($A439,표1[#ALL],row(),false)</f>
        <v>#N/A</v>
      </c>
      <c r="AF439" s="376" t="str">
        <f>CS_PID!AF439/VLOOKUP($B439,표2[#ALL],2)/HLOOKUP($A439,표1[#ALL],row(),false)</f>
        <v>#N/A</v>
      </c>
      <c r="AG439" s="376" t="str">
        <f>CS_PID!AG439/VLOOKUP($B439,표2[#ALL],2)/HLOOKUP($A439,표1[#ALL],row(),false)</f>
        <v>#N/A</v>
      </c>
      <c r="AH439" s="376" t="str">
        <f>CS_PID!AH439/VLOOKUP($B439,표2[#ALL],2)/HLOOKUP($A439,표1[#ALL],row(),false)</f>
        <v>#N/A</v>
      </c>
      <c r="AI439" s="376" t="str">
        <f>CS_PID!AI439/VLOOKUP($B439,표2[#ALL],2)/HLOOKUP($A439,표1[#ALL],row(),false)</f>
        <v>#N/A</v>
      </c>
      <c r="AJ439" s="376" t="str">
        <f>CS_PID!AJ439/VLOOKUP($B439,표2[#ALL],2)/HLOOKUP($A439,표1[#ALL],row(),false)</f>
        <v>#N/A</v>
      </c>
      <c r="AK439" s="376" t="str">
        <f>CS_PID!AK439/VLOOKUP($B439,표2[#ALL],2)/HLOOKUP($A439,표1[#ALL],row(),false)</f>
        <v>#N/A</v>
      </c>
      <c r="AL439" s="376" t="str">
        <f>CS_PID!AL439/VLOOKUP($B439,표2[#ALL],2)/HLOOKUP($A439,표1[#ALL],row(),false)</f>
        <v>#N/A</v>
      </c>
      <c r="AM439" s="376" t="str">
        <f>CS_PID!AM439/VLOOKUP($B439,표2[#ALL],2)/HLOOKUP($A439,표1[#ALL],row(),false)</f>
        <v>#N/A</v>
      </c>
      <c r="AN439" s="376" t="str">
        <f>CS_PID!AN439/VLOOKUP($B439,표2[#ALL],2)/HLOOKUP($A439,표1[#ALL],row(),false)</f>
        <v>#N/A</v>
      </c>
      <c r="AO439" s="376" t="str">
        <f>CS_PID!AO439/VLOOKUP($B439,표2[#ALL],2)/HLOOKUP($A439,표1[#ALL],row(),false)</f>
        <v>#N/A</v>
      </c>
      <c r="AP439" s="376" t="str">
        <f>CS_PID!AP439/VLOOKUP($B439,표2[#ALL],2)/HLOOKUP($A439,표1[#ALL],row(),false)</f>
        <v>#N/A</v>
      </c>
      <c r="AQ439" s="376" t="str">
        <f>CS_PID!AQ439/VLOOKUP($B439,표2[#ALL],2)/HLOOKUP($A439,표1[#ALL],row(),false)</f>
        <v>#N/A</v>
      </c>
      <c r="AR439" s="376" t="str">
        <f>CS_PID!AR439/VLOOKUP($B439,표2[#ALL],2)/HLOOKUP($A439,표1[#ALL],row(),false)</f>
        <v>#N/A</v>
      </c>
      <c r="AS439" s="377" t="str">
        <f>CS_PID!AS439/VLOOKUP($B439,표2[#ALL],2)/HLOOKUP($A439,표1[#ALL],row(),false)</f>
        <v>#N/A</v>
      </c>
    </row>
    <row r="440">
      <c r="A440" s="370"/>
      <c r="B440" s="371"/>
      <c r="C440" s="372" t="str">
        <f>CS_PID!C440/VLOOKUP($B440,표2[#ALL],2)</f>
        <v>#N/A</v>
      </c>
      <c r="D440" s="372" t="str">
        <f>CS_PID!D440/VLOOKUP($B440,표2[#ALL],2)</f>
        <v>#N/A</v>
      </c>
      <c r="E440" s="372" t="str">
        <f>CS_PID!E440/VLOOKUP($B440,표2[#ALL],2)</f>
        <v>#N/A</v>
      </c>
      <c r="F440" s="372" t="str">
        <f>CS_PID!F440/VLOOKUP($B440,표2[#ALL],2)</f>
        <v>#N/A</v>
      </c>
      <c r="G440" s="372" t="str">
        <f>CS_PID!G440/VLOOKUP($B440,표2[#ALL],2)</f>
        <v>#N/A</v>
      </c>
      <c r="H440" s="372" t="str">
        <f>CS_PID!H440/VLOOKUP($B440,표2[#ALL],2)/HLOOKUP($A440,표1[#ALL],row(),false)</f>
        <v>#N/A</v>
      </c>
      <c r="I440" s="372" t="str">
        <f>CS_PID!I440/VLOOKUP($B440,표2[#ALL],2)/HLOOKUP($A440,표1[#ALL],row(),false)</f>
        <v>#N/A</v>
      </c>
      <c r="J440" s="372" t="str">
        <f>CS_PID!J440/VLOOKUP($B440,표2[#ALL],2)/HLOOKUP($A440,표1[#ALL],row(),false)</f>
        <v>#N/A</v>
      </c>
      <c r="K440" s="372" t="str">
        <f>CS_PID!K440/VLOOKUP($B440,표2[#ALL],2)/HLOOKUP($A440,표1[#ALL],row(),false)</f>
        <v>#N/A</v>
      </c>
      <c r="L440" s="372" t="str">
        <f>CS_PID!L440/VLOOKUP($B440,표2[#ALL],2)/HLOOKUP($A440,표1[#ALL],row(),false)</f>
        <v>#N/A</v>
      </c>
      <c r="M440" s="372" t="str">
        <f>CS_PID!M440/VLOOKUP($B440,표2[#ALL],2)/HLOOKUP($A440,표1[#ALL],row(),false)</f>
        <v>#N/A</v>
      </c>
      <c r="N440" s="372" t="str">
        <f>CS_PID!N440/VLOOKUP($B440,표2[#ALL],2)/HLOOKUP($A440,표1[#ALL],row(),false)</f>
        <v>#N/A</v>
      </c>
      <c r="O440" s="372" t="str">
        <f>CS_PID!O440/VLOOKUP($B440,표2[#ALL],2)/HLOOKUP($A440,표1[#ALL],row(),false)</f>
        <v>#N/A</v>
      </c>
      <c r="P440" s="372" t="str">
        <f>CS_PID!P440/VLOOKUP($B440,표2[#ALL],2)/HLOOKUP($A440,표1[#ALL],row(),false)</f>
        <v>#N/A</v>
      </c>
      <c r="Q440" s="372" t="str">
        <f>CS_PID!Q440/VLOOKUP($B440,표2[#ALL],2)/HLOOKUP($A440,표1[#ALL],row(),false)</f>
        <v>#N/A</v>
      </c>
      <c r="R440" s="372" t="str">
        <f>CS_PID!R440/VLOOKUP($B440,표2[#ALL],2)/HLOOKUP($A440,표1[#ALL],row(),false)</f>
        <v>#N/A</v>
      </c>
      <c r="S440" s="372" t="str">
        <f>CS_PID!S440/VLOOKUP($B440,표2[#ALL],2)/HLOOKUP($A440,표1[#ALL],row(),false)</f>
        <v>#N/A</v>
      </c>
      <c r="T440" s="372" t="str">
        <f>CS_PID!T440/VLOOKUP($B440,표2[#ALL],2)/HLOOKUP($A440,표1[#ALL],row(),false)</f>
        <v>#N/A</v>
      </c>
      <c r="U440" s="372" t="str">
        <f>CS_PID!U440/VLOOKUP($B440,표2[#ALL],2)/HLOOKUP($A440,표1[#ALL],row(),false)</f>
        <v>#N/A</v>
      </c>
      <c r="V440" s="372" t="str">
        <f>CS_PID!V440/VLOOKUP($B440,표2[#ALL],2)/HLOOKUP($A440,표1[#ALL],row(),false)</f>
        <v>#N/A</v>
      </c>
      <c r="W440" s="372" t="str">
        <f>CS_PID!W440/VLOOKUP($B440,표2[#ALL],2)/HLOOKUP($A440,표1[#ALL],row(),false)</f>
        <v>#N/A</v>
      </c>
      <c r="X440" s="372" t="str">
        <f>CS_PID!X440/VLOOKUP($B440,표2[#ALL],2)/HLOOKUP($A440,표1[#ALL],row(),false)</f>
        <v>#N/A</v>
      </c>
      <c r="Y440" s="372" t="str">
        <f>CS_PID!Y440/VLOOKUP($B440,표2[#ALL],2)/HLOOKUP($A440,표1[#ALL],row(),false)</f>
        <v>#N/A</v>
      </c>
      <c r="Z440" s="372" t="str">
        <f>CS_PID!Z440/VLOOKUP($B440,표2[#ALL],2)/HLOOKUP($A440,표1[#ALL],row(),false)</f>
        <v>#N/A</v>
      </c>
      <c r="AA440" s="372" t="str">
        <f>CS_PID!AA440/VLOOKUP($B440,표2[#ALL],2)/HLOOKUP($A440,표1[#ALL],row(),false)</f>
        <v>#N/A</v>
      </c>
      <c r="AB440" s="372" t="str">
        <f>CS_PID!AB440/VLOOKUP($B440,표2[#ALL],2)/HLOOKUP($A440,표1[#ALL],row(),false)</f>
        <v>#N/A</v>
      </c>
      <c r="AC440" s="372" t="str">
        <f>CS_PID!AC440/VLOOKUP($B440,표2[#ALL],2)/HLOOKUP($A440,표1[#ALL],row(),false)</f>
        <v>#N/A</v>
      </c>
      <c r="AD440" s="372" t="str">
        <f>CS_PID!AD440/VLOOKUP($B440,표2[#ALL],2)/HLOOKUP($A440,표1[#ALL],row(),false)</f>
        <v>#N/A</v>
      </c>
      <c r="AE440" s="372" t="str">
        <f>CS_PID!AE440/VLOOKUP($B440,표2[#ALL],2)/HLOOKUP($A440,표1[#ALL],row(),false)</f>
        <v>#N/A</v>
      </c>
      <c r="AF440" s="372" t="str">
        <f>CS_PID!AF440/VLOOKUP($B440,표2[#ALL],2)/HLOOKUP($A440,표1[#ALL],row(),false)</f>
        <v>#N/A</v>
      </c>
      <c r="AG440" s="372" t="str">
        <f>CS_PID!AG440/VLOOKUP($B440,표2[#ALL],2)/HLOOKUP($A440,표1[#ALL],row(),false)</f>
        <v>#N/A</v>
      </c>
      <c r="AH440" s="372" t="str">
        <f>CS_PID!AH440/VLOOKUP($B440,표2[#ALL],2)/HLOOKUP($A440,표1[#ALL],row(),false)</f>
        <v>#N/A</v>
      </c>
      <c r="AI440" s="372" t="str">
        <f>CS_PID!AI440/VLOOKUP($B440,표2[#ALL],2)/HLOOKUP($A440,표1[#ALL],row(),false)</f>
        <v>#N/A</v>
      </c>
      <c r="AJ440" s="372" t="str">
        <f>CS_PID!AJ440/VLOOKUP($B440,표2[#ALL],2)/HLOOKUP($A440,표1[#ALL],row(),false)</f>
        <v>#N/A</v>
      </c>
      <c r="AK440" s="372" t="str">
        <f>CS_PID!AK440/VLOOKUP($B440,표2[#ALL],2)/HLOOKUP($A440,표1[#ALL],row(),false)</f>
        <v>#N/A</v>
      </c>
      <c r="AL440" s="372" t="str">
        <f>CS_PID!AL440/VLOOKUP($B440,표2[#ALL],2)/HLOOKUP($A440,표1[#ALL],row(),false)</f>
        <v>#N/A</v>
      </c>
      <c r="AM440" s="372" t="str">
        <f>CS_PID!AM440/VLOOKUP($B440,표2[#ALL],2)/HLOOKUP($A440,표1[#ALL],row(),false)</f>
        <v>#N/A</v>
      </c>
      <c r="AN440" s="372" t="str">
        <f>CS_PID!AN440/VLOOKUP($B440,표2[#ALL],2)/HLOOKUP($A440,표1[#ALL],row(),false)</f>
        <v>#N/A</v>
      </c>
      <c r="AO440" s="372" t="str">
        <f>CS_PID!AO440/VLOOKUP($B440,표2[#ALL],2)/HLOOKUP($A440,표1[#ALL],row(),false)</f>
        <v>#N/A</v>
      </c>
      <c r="AP440" s="372" t="str">
        <f>CS_PID!AP440/VLOOKUP($B440,표2[#ALL],2)/HLOOKUP($A440,표1[#ALL],row(),false)</f>
        <v>#N/A</v>
      </c>
      <c r="AQ440" s="372" t="str">
        <f>CS_PID!AQ440/VLOOKUP($B440,표2[#ALL],2)/HLOOKUP($A440,표1[#ALL],row(),false)</f>
        <v>#N/A</v>
      </c>
      <c r="AR440" s="372" t="str">
        <f>CS_PID!AR440/VLOOKUP($B440,표2[#ALL],2)/HLOOKUP($A440,표1[#ALL],row(),false)</f>
        <v>#N/A</v>
      </c>
      <c r="AS440" s="373" t="str">
        <f>CS_PID!AS440/VLOOKUP($B440,표2[#ALL],2)/HLOOKUP($A440,표1[#ALL],row(),false)</f>
        <v>#N/A</v>
      </c>
    </row>
    <row r="441">
      <c r="A441" s="374"/>
      <c r="B441" s="375"/>
      <c r="C441" s="376" t="str">
        <f>CS_PID!C441/VLOOKUP($B441,표2[#ALL],2)</f>
        <v>#N/A</v>
      </c>
      <c r="D441" s="376" t="str">
        <f>CS_PID!D441/VLOOKUP($B441,표2[#ALL],2)</f>
        <v>#N/A</v>
      </c>
      <c r="E441" s="376" t="str">
        <f>CS_PID!E441/VLOOKUP($B441,표2[#ALL],2)</f>
        <v>#N/A</v>
      </c>
      <c r="F441" s="376" t="str">
        <f>CS_PID!F441/VLOOKUP($B441,표2[#ALL],2)</f>
        <v>#N/A</v>
      </c>
      <c r="G441" s="376" t="str">
        <f>CS_PID!G441/VLOOKUP($B441,표2[#ALL],2)</f>
        <v>#N/A</v>
      </c>
      <c r="H441" s="376" t="str">
        <f>CS_PID!H441/VLOOKUP($B441,표2[#ALL],2)/HLOOKUP($A441,표1[#ALL],row(),false)</f>
        <v>#N/A</v>
      </c>
      <c r="I441" s="376" t="str">
        <f>CS_PID!I441/VLOOKUP($B441,표2[#ALL],2)/HLOOKUP($A441,표1[#ALL],row(),false)</f>
        <v>#N/A</v>
      </c>
      <c r="J441" s="376" t="str">
        <f>CS_PID!J441/VLOOKUP($B441,표2[#ALL],2)/HLOOKUP($A441,표1[#ALL],row(),false)</f>
        <v>#N/A</v>
      </c>
      <c r="K441" s="376" t="str">
        <f>CS_PID!K441/VLOOKUP($B441,표2[#ALL],2)/HLOOKUP($A441,표1[#ALL],row(),false)</f>
        <v>#N/A</v>
      </c>
      <c r="L441" s="376" t="str">
        <f>CS_PID!L441/VLOOKUP($B441,표2[#ALL],2)/HLOOKUP($A441,표1[#ALL],row(),false)</f>
        <v>#N/A</v>
      </c>
      <c r="M441" s="376" t="str">
        <f>CS_PID!M441/VLOOKUP($B441,표2[#ALL],2)/HLOOKUP($A441,표1[#ALL],row(),false)</f>
        <v>#N/A</v>
      </c>
      <c r="N441" s="376" t="str">
        <f>CS_PID!N441/VLOOKUP($B441,표2[#ALL],2)/HLOOKUP($A441,표1[#ALL],row(),false)</f>
        <v>#N/A</v>
      </c>
      <c r="O441" s="376" t="str">
        <f>CS_PID!O441/VLOOKUP($B441,표2[#ALL],2)/HLOOKUP($A441,표1[#ALL],row(),false)</f>
        <v>#N/A</v>
      </c>
      <c r="P441" s="376" t="str">
        <f>CS_PID!P441/VLOOKUP($B441,표2[#ALL],2)/HLOOKUP($A441,표1[#ALL],row(),false)</f>
        <v>#N/A</v>
      </c>
      <c r="Q441" s="376" t="str">
        <f>CS_PID!Q441/VLOOKUP($B441,표2[#ALL],2)/HLOOKUP($A441,표1[#ALL],row(),false)</f>
        <v>#N/A</v>
      </c>
      <c r="R441" s="376" t="str">
        <f>CS_PID!R441/VLOOKUP($B441,표2[#ALL],2)/HLOOKUP($A441,표1[#ALL],row(),false)</f>
        <v>#N/A</v>
      </c>
      <c r="S441" s="376" t="str">
        <f>CS_PID!S441/VLOOKUP($B441,표2[#ALL],2)/HLOOKUP($A441,표1[#ALL],row(),false)</f>
        <v>#N/A</v>
      </c>
      <c r="T441" s="376" t="str">
        <f>CS_PID!T441/VLOOKUP($B441,표2[#ALL],2)/HLOOKUP($A441,표1[#ALL],row(),false)</f>
        <v>#N/A</v>
      </c>
      <c r="U441" s="376" t="str">
        <f>CS_PID!U441/VLOOKUP($B441,표2[#ALL],2)/HLOOKUP($A441,표1[#ALL],row(),false)</f>
        <v>#N/A</v>
      </c>
      <c r="V441" s="376" t="str">
        <f>CS_PID!V441/VLOOKUP($B441,표2[#ALL],2)/HLOOKUP($A441,표1[#ALL],row(),false)</f>
        <v>#N/A</v>
      </c>
      <c r="W441" s="376" t="str">
        <f>CS_PID!W441/VLOOKUP($B441,표2[#ALL],2)/HLOOKUP($A441,표1[#ALL],row(),false)</f>
        <v>#N/A</v>
      </c>
      <c r="X441" s="376" t="str">
        <f>CS_PID!X441/VLOOKUP($B441,표2[#ALL],2)/HLOOKUP($A441,표1[#ALL],row(),false)</f>
        <v>#N/A</v>
      </c>
      <c r="Y441" s="376" t="str">
        <f>CS_PID!Y441/VLOOKUP($B441,표2[#ALL],2)/HLOOKUP($A441,표1[#ALL],row(),false)</f>
        <v>#N/A</v>
      </c>
      <c r="Z441" s="376" t="str">
        <f>CS_PID!Z441/VLOOKUP($B441,표2[#ALL],2)/HLOOKUP($A441,표1[#ALL],row(),false)</f>
        <v>#N/A</v>
      </c>
      <c r="AA441" s="376" t="str">
        <f>CS_PID!AA441/VLOOKUP($B441,표2[#ALL],2)/HLOOKUP($A441,표1[#ALL],row(),false)</f>
        <v>#N/A</v>
      </c>
      <c r="AB441" s="376" t="str">
        <f>CS_PID!AB441/VLOOKUP($B441,표2[#ALL],2)/HLOOKUP($A441,표1[#ALL],row(),false)</f>
        <v>#N/A</v>
      </c>
      <c r="AC441" s="376" t="str">
        <f>CS_PID!AC441/VLOOKUP($B441,표2[#ALL],2)/HLOOKUP($A441,표1[#ALL],row(),false)</f>
        <v>#N/A</v>
      </c>
      <c r="AD441" s="376" t="str">
        <f>CS_PID!AD441/VLOOKUP($B441,표2[#ALL],2)/HLOOKUP($A441,표1[#ALL],row(),false)</f>
        <v>#N/A</v>
      </c>
      <c r="AE441" s="376" t="str">
        <f>CS_PID!AE441/VLOOKUP($B441,표2[#ALL],2)/HLOOKUP($A441,표1[#ALL],row(),false)</f>
        <v>#N/A</v>
      </c>
      <c r="AF441" s="376" t="str">
        <f>CS_PID!AF441/VLOOKUP($B441,표2[#ALL],2)/HLOOKUP($A441,표1[#ALL],row(),false)</f>
        <v>#N/A</v>
      </c>
      <c r="AG441" s="376" t="str">
        <f>CS_PID!AG441/VLOOKUP($B441,표2[#ALL],2)/HLOOKUP($A441,표1[#ALL],row(),false)</f>
        <v>#N/A</v>
      </c>
      <c r="AH441" s="376" t="str">
        <f>CS_PID!AH441/VLOOKUP($B441,표2[#ALL],2)/HLOOKUP($A441,표1[#ALL],row(),false)</f>
        <v>#N/A</v>
      </c>
      <c r="AI441" s="376" t="str">
        <f>CS_PID!AI441/VLOOKUP($B441,표2[#ALL],2)/HLOOKUP($A441,표1[#ALL],row(),false)</f>
        <v>#N/A</v>
      </c>
      <c r="AJ441" s="376" t="str">
        <f>CS_PID!AJ441/VLOOKUP($B441,표2[#ALL],2)/HLOOKUP($A441,표1[#ALL],row(),false)</f>
        <v>#N/A</v>
      </c>
      <c r="AK441" s="376" t="str">
        <f>CS_PID!AK441/VLOOKUP($B441,표2[#ALL],2)/HLOOKUP($A441,표1[#ALL],row(),false)</f>
        <v>#N/A</v>
      </c>
      <c r="AL441" s="376" t="str">
        <f>CS_PID!AL441/VLOOKUP($B441,표2[#ALL],2)/HLOOKUP($A441,표1[#ALL],row(),false)</f>
        <v>#N/A</v>
      </c>
      <c r="AM441" s="376" t="str">
        <f>CS_PID!AM441/VLOOKUP($B441,표2[#ALL],2)/HLOOKUP($A441,표1[#ALL],row(),false)</f>
        <v>#N/A</v>
      </c>
      <c r="AN441" s="376" t="str">
        <f>CS_PID!AN441/VLOOKUP($B441,표2[#ALL],2)/HLOOKUP($A441,표1[#ALL],row(),false)</f>
        <v>#N/A</v>
      </c>
      <c r="AO441" s="376" t="str">
        <f>CS_PID!AO441/VLOOKUP($B441,표2[#ALL],2)/HLOOKUP($A441,표1[#ALL],row(),false)</f>
        <v>#N/A</v>
      </c>
      <c r="AP441" s="376" t="str">
        <f>CS_PID!AP441/VLOOKUP($B441,표2[#ALL],2)/HLOOKUP($A441,표1[#ALL],row(),false)</f>
        <v>#N/A</v>
      </c>
      <c r="AQ441" s="376" t="str">
        <f>CS_PID!AQ441/VLOOKUP($B441,표2[#ALL],2)/HLOOKUP($A441,표1[#ALL],row(),false)</f>
        <v>#N/A</v>
      </c>
      <c r="AR441" s="376" t="str">
        <f>CS_PID!AR441/VLOOKUP($B441,표2[#ALL],2)/HLOOKUP($A441,표1[#ALL],row(),false)</f>
        <v>#N/A</v>
      </c>
      <c r="AS441" s="377" t="str">
        <f>CS_PID!AS441/VLOOKUP($B441,표2[#ALL],2)/HLOOKUP($A441,표1[#ALL],row(),false)</f>
        <v>#N/A</v>
      </c>
    </row>
    <row r="442">
      <c r="A442" s="370"/>
      <c r="B442" s="371"/>
      <c r="C442" s="372" t="str">
        <f>CS_PID!C442/VLOOKUP($B442,표2[#ALL],2)</f>
        <v>#N/A</v>
      </c>
      <c r="D442" s="372" t="str">
        <f>CS_PID!D442/VLOOKUP($B442,표2[#ALL],2)</f>
        <v>#N/A</v>
      </c>
      <c r="E442" s="372" t="str">
        <f>CS_PID!E442/VLOOKUP($B442,표2[#ALL],2)</f>
        <v>#N/A</v>
      </c>
      <c r="F442" s="372" t="str">
        <f>CS_PID!F442/VLOOKUP($B442,표2[#ALL],2)</f>
        <v>#N/A</v>
      </c>
      <c r="G442" s="372" t="str">
        <f>CS_PID!G442/VLOOKUP($B442,표2[#ALL],2)</f>
        <v>#N/A</v>
      </c>
      <c r="H442" s="372" t="str">
        <f>CS_PID!H442/VLOOKUP($B442,표2[#ALL],2)/HLOOKUP($A442,표1[#ALL],row(),false)</f>
        <v>#N/A</v>
      </c>
      <c r="I442" s="372" t="str">
        <f>CS_PID!I442/VLOOKUP($B442,표2[#ALL],2)/HLOOKUP($A442,표1[#ALL],row(),false)</f>
        <v>#N/A</v>
      </c>
      <c r="J442" s="372" t="str">
        <f>CS_PID!J442/VLOOKUP($B442,표2[#ALL],2)/HLOOKUP($A442,표1[#ALL],row(),false)</f>
        <v>#N/A</v>
      </c>
      <c r="K442" s="372" t="str">
        <f>CS_PID!K442/VLOOKUP($B442,표2[#ALL],2)/HLOOKUP($A442,표1[#ALL],row(),false)</f>
        <v>#N/A</v>
      </c>
      <c r="L442" s="372" t="str">
        <f>CS_PID!L442/VLOOKUP($B442,표2[#ALL],2)/HLOOKUP($A442,표1[#ALL],row(),false)</f>
        <v>#N/A</v>
      </c>
      <c r="M442" s="372" t="str">
        <f>CS_PID!M442/VLOOKUP($B442,표2[#ALL],2)/HLOOKUP($A442,표1[#ALL],row(),false)</f>
        <v>#N/A</v>
      </c>
      <c r="N442" s="372" t="str">
        <f>CS_PID!N442/VLOOKUP($B442,표2[#ALL],2)/HLOOKUP($A442,표1[#ALL],row(),false)</f>
        <v>#N/A</v>
      </c>
      <c r="O442" s="372" t="str">
        <f>CS_PID!O442/VLOOKUP($B442,표2[#ALL],2)/HLOOKUP($A442,표1[#ALL],row(),false)</f>
        <v>#N/A</v>
      </c>
      <c r="P442" s="372" t="str">
        <f>CS_PID!P442/VLOOKUP($B442,표2[#ALL],2)/HLOOKUP($A442,표1[#ALL],row(),false)</f>
        <v>#N/A</v>
      </c>
      <c r="Q442" s="372" t="str">
        <f>CS_PID!Q442/VLOOKUP($B442,표2[#ALL],2)/HLOOKUP($A442,표1[#ALL],row(),false)</f>
        <v>#N/A</v>
      </c>
      <c r="R442" s="372" t="str">
        <f>CS_PID!R442/VLOOKUP($B442,표2[#ALL],2)/HLOOKUP($A442,표1[#ALL],row(),false)</f>
        <v>#N/A</v>
      </c>
      <c r="S442" s="372" t="str">
        <f>CS_PID!S442/VLOOKUP($B442,표2[#ALL],2)/HLOOKUP($A442,표1[#ALL],row(),false)</f>
        <v>#N/A</v>
      </c>
      <c r="T442" s="372" t="str">
        <f>CS_PID!T442/VLOOKUP($B442,표2[#ALL],2)/HLOOKUP($A442,표1[#ALL],row(),false)</f>
        <v>#N/A</v>
      </c>
      <c r="U442" s="372" t="str">
        <f>CS_PID!U442/VLOOKUP($B442,표2[#ALL],2)/HLOOKUP($A442,표1[#ALL],row(),false)</f>
        <v>#N/A</v>
      </c>
      <c r="V442" s="372" t="str">
        <f>CS_PID!V442/VLOOKUP($B442,표2[#ALL],2)/HLOOKUP($A442,표1[#ALL],row(),false)</f>
        <v>#N/A</v>
      </c>
      <c r="W442" s="372" t="str">
        <f>CS_PID!W442/VLOOKUP($B442,표2[#ALL],2)/HLOOKUP($A442,표1[#ALL],row(),false)</f>
        <v>#N/A</v>
      </c>
      <c r="X442" s="372" t="str">
        <f>CS_PID!X442/VLOOKUP($B442,표2[#ALL],2)/HLOOKUP($A442,표1[#ALL],row(),false)</f>
        <v>#N/A</v>
      </c>
      <c r="Y442" s="372" t="str">
        <f>CS_PID!Y442/VLOOKUP($B442,표2[#ALL],2)/HLOOKUP($A442,표1[#ALL],row(),false)</f>
        <v>#N/A</v>
      </c>
      <c r="Z442" s="372" t="str">
        <f>CS_PID!Z442/VLOOKUP($B442,표2[#ALL],2)/HLOOKUP($A442,표1[#ALL],row(),false)</f>
        <v>#N/A</v>
      </c>
      <c r="AA442" s="372" t="str">
        <f>CS_PID!AA442/VLOOKUP($B442,표2[#ALL],2)/HLOOKUP($A442,표1[#ALL],row(),false)</f>
        <v>#N/A</v>
      </c>
      <c r="AB442" s="372" t="str">
        <f>CS_PID!AB442/VLOOKUP($B442,표2[#ALL],2)/HLOOKUP($A442,표1[#ALL],row(),false)</f>
        <v>#N/A</v>
      </c>
      <c r="AC442" s="372" t="str">
        <f>CS_PID!AC442/VLOOKUP($B442,표2[#ALL],2)/HLOOKUP($A442,표1[#ALL],row(),false)</f>
        <v>#N/A</v>
      </c>
      <c r="AD442" s="372" t="str">
        <f>CS_PID!AD442/VLOOKUP($B442,표2[#ALL],2)/HLOOKUP($A442,표1[#ALL],row(),false)</f>
        <v>#N/A</v>
      </c>
      <c r="AE442" s="372" t="str">
        <f>CS_PID!AE442/VLOOKUP($B442,표2[#ALL],2)/HLOOKUP($A442,표1[#ALL],row(),false)</f>
        <v>#N/A</v>
      </c>
      <c r="AF442" s="372" t="str">
        <f>CS_PID!AF442/VLOOKUP($B442,표2[#ALL],2)/HLOOKUP($A442,표1[#ALL],row(),false)</f>
        <v>#N/A</v>
      </c>
      <c r="AG442" s="372" t="str">
        <f>CS_PID!AG442/VLOOKUP($B442,표2[#ALL],2)/HLOOKUP($A442,표1[#ALL],row(),false)</f>
        <v>#N/A</v>
      </c>
      <c r="AH442" s="372" t="str">
        <f>CS_PID!AH442/VLOOKUP($B442,표2[#ALL],2)/HLOOKUP($A442,표1[#ALL],row(),false)</f>
        <v>#N/A</v>
      </c>
      <c r="AI442" s="372" t="str">
        <f>CS_PID!AI442/VLOOKUP($B442,표2[#ALL],2)/HLOOKUP($A442,표1[#ALL],row(),false)</f>
        <v>#N/A</v>
      </c>
      <c r="AJ442" s="372" t="str">
        <f>CS_PID!AJ442/VLOOKUP($B442,표2[#ALL],2)/HLOOKUP($A442,표1[#ALL],row(),false)</f>
        <v>#N/A</v>
      </c>
      <c r="AK442" s="372" t="str">
        <f>CS_PID!AK442/VLOOKUP($B442,표2[#ALL],2)/HLOOKUP($A442,표1[#ALL],row(),false)</f>
        <v>#N/A</v>
      </c>
      <c r="AL442" s="372" t="str">
        <f>CS_PID!AL442/VLOOKUP($B442,표2[#ALL],2)/HLOOKUP($A442,표1[#ALL],row(),false)</f>
        <v>#N/A</v>
      </c>
      <c r="AM442" s="372" t="str">
        <f>CS_PID!AM442/VLOOKUP($B442,표2[#ALL],2)/HLOOKUP($A442,표1[#ALL],row(),false)</f>
        <v>#N/A</v>
      </c>
      <c r="AN442" s="372" t="str">
        <f>CS_PID!AN442/VLOOKUP($B442,표2[#ALL],2)/HLOOKUP($A442,표1[#ALL],row(),false)</f>
        <v>#N/A</v>
      </c>
      <c r="AO442" s="372" t="str">
        <f>CS_PID!AO442/VLOOKUP($B442,표2[#ALL],2)/HLOOKUP($A442,표1[#ALL],row(),false)</f>
        <v>#N/A</v>
      </c>
      <c r="AP442" s="372" t="str">
        <f>CS_PID!AP442/VLOOKUP($B442,표2[#ALL],2)/HLOOKUP($A442,표1[#ALL],row(),false)</f>
        <v>#N/A</v>
      </c>
      <c r="AQ442" s="372" t="str">
        <f>CS_PID!AQ442/VLOOKUP($B442,표2[#ALL],2)/HLOOKUP($A442,표1[#ALL],row(),false)</f>
        <v>#N/A</v>
      </c>
      <c r="AR442" s="372" t="str">
        <f>CS_PID!AR442/VLOOKUP($B442,표2[#ALL],2)/HLOOKUP($A442,표1[#ALL],row(),false)</f>
        <v>#N/A</v>
      </c>
      <c r="AS442" s="373" t="str">
        <f>CS_PID!AS442/VLOOKUP($B442,표2[#ALL],2)/HLOOKUP($A442,표1[#ALL],row(),false)</f>
        <v>#N/A</v>
      </c>
    </row>
    <row r="443">
      <c r="A443" s="374"/>
      <c r="B443" s="375"/>
      <c r="C443" s="376" t="str">
        <f>CS_PID!C443/VLOOKUP($B443,표2[#ALL],2)</f>
        <v>#N/A</v>
      </c>
      <c r="D443" s="376" t="str">
        <f>CS_PID!D443/VLOOKUP($B443,표2[#ALL],2)</f>
        <v>#N/A</v>
      </c>
      <c r="E443" s="376" t="str">
        <f>CS_PID!E443/VLOOKUP($B443,표2[#ALL],2)</f>
        <v>#N/A</v>
      </c>
      <c r="F443" s="376" t="str">
        <f>CS_PID!F443/VLOOKUP($B443,표2[#ALL],2)</f>
        <v>#N/A</v>
      </c>
      <c r="G443" s="376" t="str">
        <f>CS_PID!G443/VLOOKUP($B443,표2[#ALL],2)</f>
        <v>#N/A</v>
      </c>
      <c r="H443" s="376" t="str">
        <f>CS_PID!H443/VLOOKUP($B443,표2[#ALL],2)/HLOOKUP($A443,표1[#ALL],row(),false)</f>
        <v>#N/A</v>
      </c>
      <c r="I443" s="376" t="str">
        <f>CS_PID!I443/VLOOKUP($B443,표2[#ALL],2)/HLOOKUP($A443,표1[#ALL],row(),false)</f>
        <v>#N/A</v>
      </c>
      <c r="J443" s="376" t="str">
        <f>CS_PID!J443/VLOOKUP($B443,표2[#ALL],2)/HLOOKUP($A443,표1[#ALL],row(),false)</f>
        <v>#N/A</v>
      </c>
      <c r="K443" s="376" t="str">
        <f>CS_PID!K443/VLOOKUP($B443,표2[#ALL],2)/HLOOKUP($A443,표1[#ALL],row(),false)</f>
        <v>#N/A</v>
      </c>
      <c r="L443" s="376" t="str">
        <f>CS_PID!L443/VLOOKUP($B443,표2[#ALL],2)/HLOOKUP($A443,표1[#ALL],row(),false)</f>
        <v>#N/A</v>
      </c>
      <c r="M443" s="376" t="str">
        <f>CS_PID!M443/VLOOKUP($B443,표2[#ALL],2)/HLOOKUP($A443,표1[#ALL],row(),false)</f>
        <v>#N/A</v>
      </c>
      <c r="N443" s="376" t="str">
        <f>CS_PID!N443/VLOOKUP($B443,표2[#ALL],2)/HLOOKUP($A443,표1[#ALL],row(),false)</f>
        <v>#N/A</v>
      </c>
      <c r="O443" s="376" t="str">
        <f>CS_PID!O443/VLOOKUP($B443,표2[#ALL],2)/HLOOKUP($A443,표1[#ALL],row(),false)</f>
        <v>#N/A</v>
      </c>
      <c r="P443" s="376" t="str">
        <f>CS_PID!P443/VLOOKUP($B443,표2[#ALL],2)/HLOOKUP($A443,표1[#ALL],row(),false)</f>
        <v>#N/A</v>
      </c>
      <c r="Q443" s="376" t="str">
        <f>CS_PID!Q443/VLOOKUP($B443,표2[#ALL],2)/HLOOKUP($A443,표1[#ALL],row(),false)</f>
        <v>#N/A</v>
      </c>
      <c r="R443" s="376" t="str">
        <f>CS_PID!R443/VLOOKUP($B443,표2[#ALL],2)/HLOOKUP($A443,표1[#ALL],row(),false)</f>
        <v>#N/A</v>
      </c>
      <c r="S443" s="376" t="str">
        <f>CS_PID!S443/VLOOKUP($B443,표2[#ALL],2)/HLOOKUP($A443,표1[#ALL],row(),false)</f>
        <v>#N/A</v>
      </c>
      <c r="T443" s="376" t="str">
        <f>CS_PID!T443/VLOOKUP($B443,표2[#ALL],2)/HLOOKUP($A443,표1[#ALL],row(),false)</f>
        <v>#N/A</v>
      </c>
      <c r="U443" s="376" t="str">
        <f>CS_PID!U443/VLOOKUP($B443,표2[#ALL],2)/HLOOKUP($A443,표1[#ALL],row(),false)</f>
        <v>#N/A</v>
      </c>
      <c r="V443" s="376" t="str">
        <f>CS_PID!V443/VLOOKUP($B443,표2[#ALL],2)/HLOOKUP($A443,표1[#ALL],row(),false)</f>
        <v>#N/A</v>
      </c>
      <c r="W443" s="376" t="str">
        <f>CS_PID!W443/VLOOKUP($B443,표2[#ALL],2)/HLOOKUP($A443,표1[#ALL],row(),false)</f>
        <v>#N/A</v>
      </c>
      <c r="X443" s="376" t="str">
        <f>CS_PID!X443/VLOOKUP($B443,표2[#ALL],2)/HLOOKUP($A443,표1[#ALL],row(),false)</f>
        <v>#N/A</v>
      </c>
      <c r="Y443" s="376" t="str">
        <f>CS_PID!Y443/VLOOKUP($B443,표2[#ALL],2)/HLOOKUP($A443,표1[#ALL],row(),false)</f>
        <v>#N/A</v>
      </c>
      <c r="Z443" s="376" t="str">
        <f>CS_PID!Z443/VLOOKUP($B443,표2[#ALL],2)/HLOOKUP($A443,표1[#ALL],row(),false)</f>
        <v>#N/A</v>
      </c>
      <c r="AA443" s="376" t="str">
        <f>CS_PID!AA443/VLOOKUP($B443,표2[#ALL],2)/HLOOKUP($A443,표1[#ALL],row(),false)</f>
        <v>#N/A</v>
      </c>
      <c r="AB443" s="376" t="str">
        <f>CS_PID!AB443/VLOOKUP($B443,표2[#ALL],2)/HLOOKUP($A443,표1[#ALL],row(),false)</f>
        <v>#N/A</v>
      </c>
      <c r="AC443" s="376" t="str">
        <f>CS_PID!AC443/VLOOKUP($B443,표2[#ALL],2)/HLOOKUP($A443,표1[#ALL],row(),false)</f>
        <v>#N/A</v>
      </c>
      <c r="AD443" s="376" t="str">
        <f>CS_PID!AD443/VLOOKUP($B443,표2[#ALL],2)/HLOOKUP($A443,표1[#ALL],row(),false)</f>
        <v>#N/A</v>
      </c>
      <c r="AE443" s="376" t="str">
        <f>CS_PID!AE443/VLOOKUP($B443,표2[#ALL],2)/HLOOKUP($A443,표1[#ALL],row(),false)</f>
        <v>#N/A</v>
      </c>
      <c r="AF443" s="376" t="str">
        <f>CS_PID!AF443/VLOOKUP($B443,표2[#ALL],2)/HLOOKUP($A443,표1[#ALL],row(),false)</f>
        <v>#N/A</v>
      </c>
      <c r="AG443" s="376" t="str">
        <f>CS_PID!AG443/VLOOKUP($B443,표2[#ALL],2)/HLOOKUP($A443,표1[#ALL],row(),false)</f>
        <v>#N/A</v>
      </c>
      <c r="AH443" s="376" t="str">
        <f>CS_PID!AH443/VLOOKUP($B443,표2[#ALL],2)/HLOOKUP($A443,표1[#ALL],row(),false)</f>
        <v>#N/A</v>
      </c>
      <c r="AI443" s="376" t="str">
        <f>CS_PID!AI443/VLOOKUP($B443,표2[#ALL],2)/HLOOKUP($A443,표1[#ALL],row(),false)</f>
        <v>#N/A</v>
      </c>
      <c r="AJ443" s="376" t="str">
        <f>CS_PID!AJ443/VLOOKUP($B443,표2[#ALL],2)/HLOOKUP($A443,표1[#ALL],row(),false)</f>
        <v>#N/A</v>
      </c>
      <c r="AK443" s="376" t="str">
        <f>CS_PID!AK443/VLOOKUP($B443,표2[#ALL],2)/HLOOKUP($A443,표1[#ALL],row(),false)</f>
        <v>#N/A</v>
      </c>
      <c r="AL443" s="376" t="str">
        <f>CS_PID!AL443/VLOOKUP($B443,표2[#ALL],2)/HLOOKUP($A443,표1[#ALL],row(),false)</f>
        <v>#N/A</v>
      </c>
      <c r="AM443" s="376" t="str">
        <f>CS_PID!AM443/VLOOKUP($B443,표2[#ALL],2)/HLOOKUP($A443,표1[#ALL],row(),false)</f>
        <v>#N/A</v>
      </c>
      <c r="AN443" s="376" t="str">
        <f>CS_PID!AN443/VLOOKUP($B443,표2[#ALL],2)/HLOOKUP($A443,표1[#ALL],row(),false)</f>
        <v>#N/A</v>
      </c>
      <c r="AO443" s="376" t="str">
        <f>CS_PID!AO443/VLOOKUP($B443,표2[#ALL],2)/HLOOKUP($A443,표1[#ALL],row(),false)</f>
        <v>#N/A</v>
      </c>
      <c r="AP443" s="376" t="str">
        <f>CS_PID!AP443/VLOOKUP($B443,표2[#ALL],2)/HLOOKUP($A443,표1[#ALL],row(),false)</f>
        <v>#N/A</v>
      </c>
      <c r="AQ443" s="376" t="str">
        <f>CS_PID!AQ443/VLOOKUP($B443,표2[#ALL],2)/HLOOKUP($A443,표1[#ALL],row(),false)</f>
        <v>#N/A</v>
      </c>
      <c r="AR443" s="376" t="str">
        <f>CS_PID!AR443/VLOOKUP($B443,표2[#ALL],2)/HLOOKUP($A443,표1[#ALL],row(),false)</f>
        <v>#N/A</v>
      </c>
      <c r="AS443" s="377" t="str">
        <f>CS_PID!AS443/VLOOKUP($B443,표2[#ALL],2)/HLOOKUP($A443,표1[#ALL],row(),false)</f>
        <v>#N/A</v>
      </c>
    </row>
    <row r="444">
      <c r="A444" s="370"/>
      <c r="B444" s="371"/>
      <c r="C444" s="372" t="str">
        <f>CS_PID!C444/VLOOKUP($B444,표2[#ALL],2)</f>
        <v>#N/A</v>
      </c>
      <c r="D444" s="372" t="str">
        <f>CS_PID!D444/VLOOKUP($B444,표2[#ALL],2)</f>
        <v>#N/A</v>
      </c>
      <c r="E444" s="372" t="str">
        <f>CS_PID!E444/VLOOKUP($B444,표2[#ALL],2)</f>
        <v>#N/A</v>
      </c>
      <c r="F444" s="372" t="str">
        <f>CS_PID!F444/VLOOKUP($B444,표2[#ALL],2)</f>
        <v>#N/A</v>
      </c>
      <c r="G444" s="372" t="str">
        <f>CS_PID!G444/VLOOKUP($B444,표2[#ALL],2)</f>
        <v>#N/A</v>
      </c>
      <c r="H444" s="372" t="str">
        <f>CS_PID!H444/VLOOKUP($B444,표2[#ALL],2)/HLOOKUP($A444,표1[#ALL],row(),false)</f>
        <v>#N/A</v>
      </c>
      <c r="I444" s="372" t="str">
        <f>CS_PID!I444/VLOOKUP($B444,표2[#ALL],2)/HLOOKUP($A444,표1[#ALL],row(),false)</f>
        <v>#N/A</v>
      </c>
      <c r="J444" s="372" t="str">
        <f>CS_PID!J444/VLOOKUP($B444,표2[#ALL],2)/HLOOKUP($A444,표1[#ALL],row(),false)</f>
        <v>#N/A</v>
      </c>
      <c r="K444" s="372" t="str">
        <f>CS_PID!K444/VLOOKUP($B444,표2[#ALL],2)/HLOOKUP($A444,표1[#ALL],row(),false)</f>
        <v>#N/A</v>
      </c>
      <c r="L444" s="372" t="str">
        <f>CS_PID!L444/VLOOKUP($B444,표2[#ALL],2)/HLOOKUP($A444,표1[#ALL],row(),false)</f>
        <v>#N/A</v>
      </c>
      <c r="M444" s="372" t="str">
        <f>CS_PID!M444/VLOOKUP($B444,표2[#ALL],2)/HLOOKUP($A444,표1[#ALL],row(),false)</f>
        <v>#N/A</v>
      </c>
      <c r="N444" s="372" t="str">
        <f>CS_PID!N444/VLOOKUP($B444,표2[#ALL],2)/HLOOKUP($A444,표1[#ALL],row(),false)</f>
        <v>#N/A</v>
      </c>
      <c r="O444" s="372" t="str">
        <f>CS_PID!O444/VLOOKUP($B444,표2[#ALL],2)/HLOOKUP($A444,표1[#ALL],row(),false)</f>
        <v>#N/A</v>
      </c>
      <c r="P444" s="372" t="str">
        <f>CS_PID!P444/VLOOKUP($B444,표2[#ALL],2)/HLOOKUP($A444,표1[#ALL],row(),false)</f>
        <v>#N/A</v>
      </c>
      <c r="Q444" s="372" t="str">
        <f>CS_PID!Q444/VLOOKUP($B444,표2[#ALL],2)/HLOOKUP($A444,표1[#ALL],row(),false)</f>
        <v>#N/A</v>
      </c>
      <c r="R444" s="372" t="str">
        <f>CS_PID!R444/VLOOKUP($B444,표2[#ALL],2)/HLOOKUP($A444,표1[#ALL],row(),false)</f>
        <v>#N/A</v>
      </c>
      <c r="S444" s="372" t="str">
        <f>CS_PID!S444/VLOOKUP($B444,표2[#ALL],2)/HLOOKUP($A444,표1[#ALL],row(),false)</f>
        <v>#N/A</v>
      </c>
      <c r="T444" s="372" t="str">
        <f>CS_PID!T444/VLOOKUP($B444,표2[#ALL],2)/HLOOKUP($A444,표1[#ALL],row(),false)</f>
        <v>#N/A</v>
      </c>
      <c r="U444" s="372" t="str">
        <f>CS_PID!U444/VLOOKUP($B444,표2[#ALL],2)/HLOOKUP($A444,표1[#ALL],row(),false)</f>
        <v>#N/A</v>
      </c>
      <c r="V444" s="372" t="str">
        <f>CS_PID!V444/VLOOKUP($B444,표2[#ALL],2)/HLOOKUP($A444,표1[#ALL],row(),false)</f>
        <v>#N/A</v>
      </c>
      <c r="W444" s="372" t="str">
        <f>CS_PID!W444/VLOOKUP($B444,표2[#ALL],2)/HLOOKUP($A444,표1[#ALL],row(),false)</f>
        <v>#N/A</v>
      </c>
      <c r="X444" s="372" t="str">
        <f>CS_PID!X444/VLOOKUP($B444,표2[#ALL],2)/HLOOKUP($A444,표1[#ALL],row(),false)</f>
        <v>#N/A</v>
      </c>
      <c r="Y444" s="372" t="str">
        <f>CS_PID!Y444/VLOOKUP($B444,표2[#ALL],2)/HLOOKUP($A444,표1[#ALL],row(),false)</f>
        <v>#N/A</v>
      </c>
      <c r="Z444" s="372" t="str">
        <f>CS_PID!Z444/VLOOKUP($B444,표2[#ALL],2)/HLOOKUP($A444,표1[#ALL],row(),false)</f>
        <v>#N/A</v>
      </c>
      <c r="AA444" s="372" t="str">
        <f>CS_PID!AA444/VLOOKUP($B444,표2[#ALL],2)/HLOOKUP($A444,표1[#ALL],row(),false)</f>
        <v>#N/A</v>
      </c>
      <c r="AB444" s="372" t="str">
        <f>CS_PID!AB444/VLOOKUP($B444,표2[#ALL],2)/HLOOKUP($A444,표1[#ALL],row(),false)</f>
        <v>#N/A</v>
      </c>
      <c r="AC444" s="372" t="str">
        <f>CS_PID!AC444/VLOOKUP($B444,표2[#ALL],2)/HLOOKUP($A444,표1[#ALL],row(),false)</f>
        <v>#N/A</v>
      </c>
      <c r="AD444" s="372" t="str">
        <f>CS_PID!AD444/VLOOKUP($B444,표2[#ALL],2)/HLOOKUP($A444,표1[#ALL],row(),false)</f>
        <v>#N/A</v>
      </c>
      <c r="AE444" s="372" t="str">
        <f>CS_PID!AE444/VLOOKUP($B444,표2[#ALL],2)/HLOOKUP($A444,표1[#ALL],row(),false)</f>
        <v>#N/A</v>
      </c>
      <c r="AF444" s="372" t="str">
        <f>CS_PID!AF444/VLOOKUP($B444,표2[#ALL],2)/HLOOKUP($A444,표1[#ALL],row(),false)</f>
        <v>#N/A</v>
      </c>
      <c r="AG444" s="372" t="str">
        <f>CS_PID!AG444/VLOOKUP($B444,표2[#ALL],2)/HLOOKUP($A444,표1[#ALL],row(),false)</f>
        <v>#N/A</v>
      </c>
      <c r="AH444" s="372" t="str">
        <f>CS_PID!AH444/VLOOKUP($B444,표2[#ALL],2)/HLOOKUP($A444,표1[#ALL],row(),false)</f>
        <v>#N/A</v>
      </c>
      <c r="AI444" s="372" t="str">
        <f>CS_PID!AI444/VLOOKUP($B444,표2[#ALL],2)/HLOOKUP($A444,표1[#ALL],row(),false)</f>
        <v>#N/A</v>
      </c>
      <c r="AJ444" s="372" t="str">
        <f>CS_PID!AJ444/VLOOKUP($B444,표2[#ALL],2)/HLOOKUP($A444,표1[#ALL],row(),false)</f>
        <v>#N/A</v>
      </c>
      <c r="AK444" s="372" t="str">
        <f>CS_PID!AK444/VLOOKUP($B444,표2[#ALL],2)/HLOOKUP($A444,표1[#ALL],row(),false)</f>
        <v>#N/A</v>
      </c>
      <c r="AL444" s="372" t="str">
        <f>CS_PID!AL444/VLOOKUP($B444,표2[#ALL],2)/HLOOKUP($A444,표1[#ALL],row(),false)</f>
        <v>#N/A</v>
      </c>
      <c r="AM444" s="372" t="str">
        <f>CS_PID!AM444/VLOOKUP($B444,표2[#ALL],2)/HLOOKUP($A444,표1[#ALL],row(),false)</f>
        <v>#N/A</v>
      </c>
      <c r="AN444" s="372" t="str">
        <f>CS_PID!AN444/VLOOKUP($B444,표2[#ALL],2)/HLOOKUP($A444,표1[#ALL],row(),false)</f>
        <v>#N/A</v>
      </c>
      <c r="AO444" s="372" t="str">
        <f>CS_PID!AO444/VLOOKUP($B444,표2[#ALL],2)/HLOOKUP($A444,표1[#ALL],row(),false)</f>
        <v>#N/A</v>
      </c>
      <c r="AP444" s="372" t="str">
        <f>CS_PID!AP444/VLOOKUP($B444,표2[#ALL],2)/HLOOKUP($A444,표1[#ALL],row(),false)</f>
        <v>#N/A</v>
      </c>
      <c r="AQ444" s="372" t="str">
        <f>CS_PID!AQ444/VLOOKUP($B444,표2[#ALL],2)/HLOOKUP($A444,표1[#ALL],row(),false)</f>
        <v>#N/A</v>
      </c>
      <c r="AR444" s="372" t="str">
        <f>CS_PID!AR444/VLOOKUP($B444,표2[#ALL],2)/HLOOKUP($A444,표1[#ALL],row(),false)</f>
        <v>#N/A</v>
      </c>
      <c r="AS444" s="373" t="str">
        <f>CS_PID!AS444/VLOOKUP($B444,표2[#ALL],2)/HLOOKUP($A444,표1[#ALL],row(),false)</f>
        <v>#N/A</v>
      </c>
    </row>
    <row r="445">
      <c r="A445" s="374"/>
      <c r="B445" s="375"/>
      <c r="C445" s="376" t="str">
        <f>CS_PID!C445/VLOOKUP($B445,표2[#ALL],2)</f>
        <v>#N/A</v>
      </c>
      <c r="D445" s="376" t="str">
        <f>CS_PID!D445/VLOOKUP($B445,표2[#ALL],2)</f>
        <v>#N/A</v>
      </c>
      <c r="E445" s="376" t="str">
        <f>CS_PID!E445/VLOOKUP($B445,표2[#ALL],2)</f>
        <v>#N/A</v>
      </c>
      <c r="F445" s="376" t="str">
        <f>CS_PID!F445/VLOOKUP($B445,표2[#ALL],2)</f>
        <v>#N/A</v>
      </c>
      <c r="G445" s="376" t="str">
        <f>CS_PID!G445/VLOOKUP($B445,표2[#ALL],2)</f>
        <v>#N/A</v>
      </c>
      <c r="H445" s="376" t="str">
        <f>CS_PID!H445/VLOOKUP($B445,표2[#ALL],2)/HLOOKUP($A445,표1[#ALL],row(),false)</f>
        <v>#N/A</v>
      </c>
      <c r="I445" s="376" t="str">
        <f>CS_PID!I445/VLOOKUP($B445,표2[#ALL],2)/HLOOKUP($A445,표1[#ALL],row(),false)</f>
        <v>#N/A</v>
      </c>
      <c r="J445" s="376" t="str">
        <f>CS_PID!J445/VLOOKUP($B445,표2[#ALL],2)/HLOOKUP($A445,표1[#ALL],row(),false)</f>
        <v>#N/A</v>
      </c>
      <c r="K445" s="376" t="str">
        <f>CS_PID!K445/VLOOKUP($B445,표2[#ALL],2)/HLOOKUP($A445,표1[#ALL],row(),false)</f>
        <v>#N/A</v>
      </c>
      <c r="L445" s="376" t="str">
        <f>CS_PID!L445/VLOOKUP($B445,표2[#ALL],2)/HLOOKUP($A445,표1[#ALL],row(),false)</f>
        <v>#N/A</v>
      </c>
      <c r="M445" s="376" t="str">
        <f>CS_PID!M445/VLOOKUP($B445,표2[#ALL],2)/HLOOKUP($A445,표1[#ALL],row(),false)</f>
        <v>#N/A</v>
      </c>
      <c r="N445" s="376" t="str">
        <f>CS_PID!N445/VLOOKUP($B445,표2[#ALL],2)/HLOOKUP($A445,표1[#ALL],row(),false)</f>
        <v>#N/A</v>
      </c>
      <c r="O445" s="376" t="str">
        <f>CS_PID!O445/VLOOKUP($B445,표2[#ALL],2)/HLOOKUP($A445,표1[#ALL],row(),false)</f>
        <v>#N/A</v>
      </c>
      <c r="P445" s="376" t="str">
        <f>CS_PID!P445/VLOOKUP($B445,표2[#ALL],2)/HLOOKUP($A445,표1[#ALL],row(),false)</f>
        <v>#N/A</v>
      </c>
      <c r="Q445" s="376" t="str">
        <f>CS_PID!Q445/VLOOKUP($B445,표2[#ALL],2)/HLOOKUP($A445,표1[#ALL],row(),false)</f>
        <v>#N/A</v>
      </c>
      <c r="R445" s="376" t="str">
        <f>CS_PID!R445/VLOOKUP($B445,표2[#ALL],2)/HLOOKUP($A445,표1[#ALL],row(),false)</f>
        <v>#N/A</v>
      </c>
      <c r="S445" s="376" t="str">
        <f>CS_PID!S445/VLOOKUP($B445,표2[#ALL],2)/HLOOKUP($A445,표1[#ALL],row(),false)</f>
        <v>#N/A</v>
      </c>
      <c r="T445" s="376" t="str">
        <f>CS_PID!T445/VLOOKUP($B445,표2[#ALL],2)/HLOOKUP($A445,표1[#ALL],row(),false)</f>
        <v>#N/A</v>
      </c>
      <c r="U445" s="376" t="str">
        <f>CS_PID!U445/VLOOKUP($B445,표2[#ALL],2)/HLOOKUP($A445,표1[#ALL],row(),false)</f>
        <v>#N/A</v>
      </c>
      <c r="V445" s="376" t="str">
        <f>CS_PID!V445/VLOOKUP($B445,표2[#ALL],2)/HLOOKUP($A445,표1[#ALL],row(),false)</f>
        <v>#N/A</v>
      </c>
      <c r="W445" s="376" t="str">
        <f>CS_PID!W445/VLOOKUP($B445,표2[#ALL],2)/HLOOKUP($A445,표1[#ALL],row(),false)</f>
        <v>#N/A</v>
      </c>
      <c r="X445" s="376" t="str">
        <f>CS_PID!X445/VLOOKUP($B445,표2[#ALL],2)/HLOOKUP($A445,표1[#ALL],row(),false)</f>
        <v>#N/A</v>
      </c>
      <c r="Y445" s="376" t="str">
        <f>CS_PID!Y445/VLOOKUP($B445,표2[#ALL],2)/HLOOKUP($A445,표1[#ALL],row(),false)</f>
        <v>#N/A</v>
      </c>
      <c r="Z445" s="376" t="str">
        <f>CS_PID!Z445/VLOOKUP($B445,표2[#ALL],2)/HLOOKUP($A445,표1[#ALL],row(),false)</f>
        <v>#N/A</v>
      </c>
      <c r="AA445" s="376" t="str">
        <f>CS_PID!AA445/VLOOKUP($B445,표2[#ALL],2)/HLOOKUP($A445,표1[#ALL],row(),false)</f>
        <v>#N/A</v>
      </c>
      <c r="AB445" s="376" t="str">
        <f>CS_PID!AB445/VLOOKUP($B445,표2[#ALL],2)/HLOOKUP($A445,표1[#ALL],row(),false)</f>
        <v>#N/A</v>
      </c>
      <c r="AC445" s="376" t="str">
        <f>CS_PID!AC445/VLOOKUP($B445,표2[#ALL],2)/HLOOKUP($A445,표1[#ALL],row(),false)</f>
        <v>#N/A</v>
      </c>
      <c r="AD445" s="376" t="str">
        <f>CS_PID!AD445/VLOOKUP($B445,표2[#ALL],2)/HLOOKUP($A445,표1[#ALL],row(),false)</f>
        <v>#N/A</v>
      </c>
      <c r="AE445" s="376" t="str">
        <f>CS_PID!AE445/VLOOKUP($B445,표2[#ALL],2)/HLOOKUP($A445,표1[#ALL],row(),false)</f>
        <v>#N/A</v>
      </c>
      <c r="AF445" s="376" t="str">
        <f>CS_PID!AF445/VLOOKUP($B445,표2[#ALL],2)/HLOOKUP($A445,표1[#ALL],row(),false)</f>
        <v>#N/A</v>
      </c>
      <c r="AG445" s="376" t="str">
        <f>CS_PID!AG445/VLOOKUP($B445,표2[#ALL],2)/HLOOKUP($A445,표1[#ALL],row(),false)</f>
        <v>#N/A</v>
      </c>
      <c r="AH445" s="376" t="str">
        <f>CS_PID!AH445/VLOOKUP($B445,표2[#ALL],2)/HLOOKUP($A445,표1[#ALL],row(),false)</f>
        <v>#N/A</v>
      </c>
      <c r="AI445" s="376" t="str">
        <f>CS_PID!AI445/VLOOKUP($B445,표2[#ALL],2)/HLOOKUP($A445,표1[#ALL],row(),false)</f>
        <v>#N/A</v>
      </c>
      <c r="AJ445" s="376" t="str">
        <f>CS_PID!AJ445/VLOOKUP($B445,표2[#ALL],2)/HLOOKUP($A445,표1[#ALL],row(),false)</f>
        <v>#N/A</v>
      </c>
      <c r="AK445" s="376" t="str">
        <f>CS_PID!AK445/VLOOKUP($B445,표2[#ALL],2)/HLOOKUP($A445,표1[#ALL],row(),false)</f>
        <v>#N/A</v>
      </c>
      <c r="AL445" s="376" t="str">
        <f>CS_PID!AL445/VLOOKUP($B445,표2[#ALL],2)/HLOOKUP($A445,표1[#ALL],row(),false)</f>
        <v>#N/A</v>
      </c>
      <c r="AM445" s="376" t="str">
        <f>CS_PID!AM445/VLOOKUP($B445,표2[#ALL],2)/HLOOKUP($A445,표1[#ALL],row(),false)</f>
        <v>#N/A</v>
      </c>
      <c r="AN445" s="376" t="str">
        <f>CS_PID!AN445/VLOOKUP($B445,표2[#ALL],2)/HLOOKUP($A445,표1[#ALL],row(),false)</f>
        <v>#N/A</v>
      </c>
      <c r="AO445" s="376" t="str">
        <f>CS_PID!AO445/VLOOKUP($B445,표2[#ALL],2)/HLOOKUP($A445,표1[#ALL],row(),false)</f>
        <v>#N/A</v>
      </c>
      <c r="AP445" s="376" t="str">
        <f>CS_PID!AP445/VLOOKUP($B445,표2[#ALL],2)/HLOOKUP($A445,표1[#ALL],row(),false)</f>
        <v>#N/A</v>
      </c>
      <c r="AQ445" s="376" t="str">
        <f>CS_PID!AQ445/VLOOKUP($B445,표2[#ALL],2)/HLOOKUP($A445,표1[#ALL],row(),false)</f>
        <v>#N/A</v>
      </c>
      <c r="AR445" s="376" t="str">
        <f>CS_PID!AR445/VLOOKUP($B445,표2[#ALL],2)/HLOOKUP($A445,표1[#ALL],row(),false)</f>
        <v>#N/A</v>
      </c>
      <c r="AS445" s="377" t="str">
        <f>CS_PID!AS445/VLOOKUP($B445,표2[#ALL],2)/HLOOKUP($A445,표1[#ALL],row(),false)</f>
        <v>#N/A</v>
      </c>
    </row>
    <row r="446">
      <c r="A446" s="370"/>
      <c r="B446" s="371"/>
      <c r="C446" s="372" t="str">
        <f>CS_PID!C446/VLOOKUP($B446,표2[#ALL],2)</f>
        <v>#N/A</v>
      </c>
      <c r="D446" s="372" t="str">
        <f>CS_PID!D446/VLOOKUP($B446,표2[#ALL],2)</f>
        <v>#N/A</v>
      </c>
      <c r="E446" s="372" t="str">
        <f>CS_PID!E446/VLOOKUP($B446,표2[#ALL],2)</f>
        <v>#N/A</v>
      </c>
      <c r="F446" s="372" t="str">
        <f>CS_PID!F446/VLOOKUP($B446,표2[#ALL],2)</f>
        <v>#N/A</v>
      </c>
      <c r="G446" s="372" t="str">
        <f>CS_PID!G446/VLOOKUP($B446,표2[#ALL],2)</f>
        <v>#N/A</v>
      </c>
      <c r="H446" s="372" t="str">
        <f>CS_PID!H446/VLOOKUP($B446,표2[#ALL],2)/HLOOKUP($A446,표1[#ALL],row(),false)</f>
        <v>#N/A</v>
      </c>
      <c r="I446" s="372" t="str">
        <f>CS_PID!I446/VLOOKUP($B446,표2[#ALL],2)/HLOOKUP($A446,표1[#ALL],row(),false)</f>
        <v>#N/A</v>
      </c>
      <c r="J446" s="372" t="str">
        <f>CS_PID!J446/VLOOKUP($B446,표2[#ALL],2)/HLOOKUP($A446,표1[#ALL],row(),false)</f>
        <v>#N/A</v>
      </c>
      <c r="K446" s="372" t="str">
        <f>CS_PID!K446/VLOOKUP($B446,표2[#ALL],2)/HLOOKUP($A446,표1[#ALL],row(),false)</f>
        <v>#N/A</v>
      </c>
      <c r="L446" s="372" t="str">
        <f>CS_PID!L446/VLOOKUP($B446,표2[#ALL],2)/HLOOKUP($A446,표1[#ALL],row(),false)</f>
        <v>#N/A</v>
      </c>
      <c r="M446" s="372" t="str">
        <f>CS_PID!M446/VLOOKUP($B446,표2[#ALL],2)/HLOOKUP($A446,표1[#ALL],row(),false)</f>
        <v>#N/A</v>
      </c>
      <c r="N446" s="372" t="str">
        <f>CS_PID!N446/VLOOKUP($B446,표2[#ALL],2)/HLOOKUP($A446,표1[#ALL],row(),false)</f>
        <v>#N/A</v>
      </c>
      <c r="O446" s="372" t="str">
        <f>CS_PID!O446/VLOOKUP($B446,표2[#ALL],2)/HLOOKUP($A446,표1[#ALL],row(),false)</f>
        <v>#N/A</v>
      </c>
      <c r="P446" s="372" t="str">
        <f>CS_PID!P446/VLOOKUP($B446,표2[#ALL],2)/HLOOKUP($A446,표1[#ALL],row(),false)</f>
        <v>#N/A</v>
      </c>
      <c r="Q446" s="372" t="str">
        <f>CS_PID!Q446/VLOOKUP($B446,표2[#ALL],2)/HLOOKUP($A446,표1[#ALL],row(),false)</f>
        <v>#N/A</v>
      </c>
      <c r="R446" s="372" t="str">
        <f>CS_PID!R446/VLOOKUP($B446,표2[#ALL],2)/HLOOKUP($A446,표1[#ALL],row(),false)</f>
        <v>#N/A</v>
      </c>
      <c r="S446" s="372" t="str">
        <f>CS_PID!S446/VLOOKUP($B446,표2[#ALL],2)/HLOOKUP($A446,표1[#ALL],row(),false)</f>
        <v>#N/A</v>
      </c>
      <c r="T446" s="372" t="str">
        <f>CS_PID!T446/VLOOKUP($B446,표2[#ALL],2)/HLOOKUP($A446,표1[#ALL],row(),false)</f>
        <v>#N/A</v>
      </c>
      <c r="U446" s="372" t="str">
        <f>CS_PID!U446/VLOOKUP($B446,표2[#ALL],2)/HLOOKUP($A446,표1[#ALL],row(),false)</f>
        <v>#N/A</v>
      </c>
      <c r="V446" s="372" t="str">
        <f>CS_PID!V446/VLOOKUP($B446,표2[#ALL],2)/HLOOKUP($A446,표1[#ALL],row(),false)</f>
        <v>#N/A</v>
      </c>
      <c r="W446" s="372" t="str">
        <f>CS_PID!W446/VLOOKUP($B446,표2[#ALL],2)/HLOOKUP($A446,표1[#ALL],row(),false)</f>
        <v>#N/A</v>
      </c>
      <c r="X446" s="372" t="str">
        <f>CS_PID!X446/VLOOKUP($B446,표2[#ALL],2)/HLOOKUP($A446,표1[#ALL],row(),false)</f>
        <v>#N/A</v>
      </c>
      <c r="Y446" s="372" t="str">
        <f>CS_PID!Y446/VLOOKUP($B446,표2[#ALL],2)/HLOOKUP($A446,표1[#ALL],row(),false)</f>
        <v>#N/A</v>
      </c>
      <c r="Z446" s="372" t="str">
        <f>CS_PID!Z446/VLOOKUP($B446,표2[#ALL],2)/HLOOKUP($A446,표1[#ALL],row(),false)</f>
        <v>#N/A</v>
      </c>
      <c r="AA446" s="372" t="str">
        <f>CS_PID!AA446/VLOOKUP($B446,표2[#ALL],2)/HLOOKUP($A446,표1[#ALL],row(),false)</f>
        <v>#N/A</v>
      </c>
      <c r="AB446" s="372" t="str">
        <f>CS_PID!AB446/VLOOKUP($B446,표2[#ALL],2)/HLOOKUP($A446,표1[#ALL],row(),false)</f>
        <v>#N/A</v>
      </c>
      <c r="AC446" s="372" t="str">
        <f>CS_PID!AC446/VLOOKUP($B446,표2[#ALL],2)/HLOOKUP($A446,표1[#ALL],row(),false)</f>
        <v>#N/A</v>
      </c>
      <c r="AD446" s="372" t="str">
        <f>CS_PID!AD446/VLOOKUP($B446,표2[#ALL],2)/HLOOKUP($A446,표1[#ALL],row(),false)</f>
        <v>#N/A</v>
      </c>
      <c r="AE446" s="372" t="str">
        <f>CS_PID!AE446/VLOOKUP($B446,표2[#ALL],2)/HLOOKUP($A446,표1[#ALL],row(),false)</f>
        <v>#N/A</v>
      </c>
      <c r="AF446" s="372" t="str">
        <f>CS_PID!AF446/VLOOKUP($B446,표2[#ALL],2)/HLOOKUP($A446,표1[#ALL],row(),false)</f>
        <v>#N/A</v>
      </c>
      <c r="AG446" s="372" t="str">
        <f>CS_PID!AG446/VLOOKUP($B446,표2[#ALL],2)/HLOOKUP($A446,표1[#ALL],row(),false)</f>
        <v>#N/A</v>
      </c>
      <c r="AH446" s="372" t="str">
        <f>CS_PID!AH446/VLOOKUP($B446,표2[#ALL],2)/HLOOKUP($A446,표1[#ALL],row(),false)</f>
        <v>#N/A</v>
      </c>
      <c r="AI446" s="372" t="str">
        <f>CS_PID!AI446/VLOOKUP($B446,표2[#ALL],2)/HLOOKUP($A446,표1[#ALL],row(),false)</f>
        <v>#N/A</v>
      </c>
      <c r="AJ446" s="372" t="str">
        <f>CS_PID!AJ446/VLOOKUP($B446,표2[#ALL],2)/HLOOKUP($A446,표1[#ALL],row(),false)</f>
        <v>#N/A</v>
      </c>
      <c r="AK446" s="372" t="str">
        <f>CS_PID!AK446/VLOOKUP($B446,표2[#ALL],2)/HLOOKUP($A446,표1[#ALL],row(),false)</f>
        <v>#N/A</v>
      </c>
      <c r="AL446" s="372" t="str">
        <f>CS_PID!AL446/VLOOKUP($B446,표2[#ALL],2)/HLOOKUP($A446,표1[#ALL],row(),false)</f>
        <v>#N/A</v>
      </c>
      <c r="AM446" s="372" t="str">
        <f>CS_PID!AM446/VLOOKUP($B446,표2[#ALL],2)/HLOOKUP($A446,표1[#ALL],row(),false)</f>
        <v>#N/A</v>
      </c>
      <c r="AN446" s="372" t="str">
        <f>CS_PID!AN446/VLOOKUP($B446,표2[#ALL],2)/HLOOKUP($A446,표1[#ALL],row(),false)</f>
        <v>#N/A</v>
      </c>
      <c r="AO446" s="372" t="str">
        <f>CS_PID!AO446/VLOOKUP($B446,표2[#ALL],2)/HLOOKUP($A446,표1[#ALL],row(),false)</f>
        <v>#N/A</v>
      </c>
      <c r="AP446" s="372" t="str">
        <f>CS_PID!AP446/VLOOKUP($B446,표2[#ALL],2)/HLOOKUP($A446,표1[#ALL],row(),false)</f>
        <v>#N/A</v>
      </c>
      <c r="AQ446" s="372" t="str">
        <f>CS_PID!AQ446/VLOOKUP($B446,표2[#ALL],2)/HLOOKUP($A446,표1[#ALL],row(),false)</f>
        <v>#N/A</v>
      </c>
      <c r="AR446" s="372" t="str">
        <f>CS_PID!AR446/VLOOKUP($B446,표2[#ALL],2)/HLOOKUP($A446,표1[#ALL],row(),false)</f>
        <v>#N/A</v>
      </c>
      <c r="AS446" s="373" t="str">
        <f>CS_PID!AS446/VLOOKUP($B446,표2[#ALL],2)/HLOOKUP($A446,표1[#ALL],row(),false)</f>
        <v>#N/A</v>
      </c>
    </row>
    <row r="447">
      <c r="A447" s="374"/>
      <c r="B447" s="375"/>
      <c r="C447" s="376" t="str">
        <f>CS_PID!C447/VLOOKUP($B447,표2[#ALL],2)</f>
        <v>#N/A</v>
      </c>
      <c r="D447" s="376" t="str">
        <f>CS_PID!D447/VLOOKUP($B447,표2[#ALL],2)</f>
        <v>#N/A</v>
      </c>
      <c r="E447" s="376" t="str">
        <f>CS_PID!E447/VLOOKUP($B447,표2[#ALL],2)</f>
        <v>#N/A</v>
      </c>
      <c r="F447" s="376" t="str">
        <f>CS_PID!F447/VLOOKUP($B447,표2[#ALL],2)</f>
        <v>#N/A</v>
      </c>
      <c r="G447" s="376" t="str">
        <f>CS_PID!G447/VLOOKUP($B447,표2[#ALL],2)</f>
        <v>#N/A</v>
      </c>
      <c r="H447" s="376" t="str">
        <f>CS_PID!H447/VLOOKUP($B447,표2[#ALL],2)/HLOOKUP($A447,표1[#ALL],row(),false)</f>
        <v>#N/A</v>
      </c>
      <c r="I447" s="376" t="str">
        <f>CS_PID!I447/VLOOKUP($B447,표2[#ALL],2)/HLOOKUP($A447,표1[#ALL],row(),false)</f>
        <v>#N/A</v>
      </c>
      <c r="J447" s="376" t="str">
        <f>CS_PID!J447/VLOOKUP($B447,표2[#ALL],2)/HLOOKUP($A447,표1[#ALL],row(),false)</f>
        <v>#N/A</v>
      </c>
      <c r="K447" s="376" t="str">
        <f>CS_PID!K447/VLOOKUP($B447,표2[#ALL],2)/HLOOKUP($A447,표1[#ALL],row(),false)</f>
        <v>#N/A</v>
      </c>
      <c r="L447" s="376" t="str">
        <f>CS_PID!L447/VLOOKUP($B447,표2[#ALL],2)/HLOOKUP($A447,표1[#ALL],row(),false)</f>
        <v>#N/A</v>
      </c>
      <c r="M447" s="376" t="str">
        <f>CS_PID!M447/VLOOKUP($B447,표2[#ALL],2)/HLOOKUP($A447,표1[#ALL],row(),false)</f>
        <v>#N/A</v>
      </c>
      <c r="N447" s="376" t="str">
        <f>CS_PID!N447/VLOOKUP($B447,표2[#ALL],2)/HLOOKUP($A447,표1[#ALL],row(),false)</f>
        <v>#N/A</v>
      </c>
      <c r="O447" s="376" t="str">
        <f>CS_PID!O447/VLOOKUP($B447,표2[#ALL],2)/HLOOKUP($A447,표1[#ALL],row(),false)</f>
        <v>#N/A</v>
      </c>
      <c r="P447" s="376" t="str">
        <f>CS_PID!P447/VLOOKUP($B447,표2[#ALL],2)/HLOOKUP($A447,표1[#ALL],row(),false)</f>
        <v>#N/A</v>
      </c>
      <c r="Q447" s="376" t="str">
        <f>CS_PID!Q447/VLOOKUP($B447,표2[#ALL],2)/HLOOKUP($A447,표1[#ALL],row(),false)</f>
        <v>#N/A</v>
      </c>
      <c r="R447" s="376" t="str">
        <f>CS_PID!R447/VLOOKUP($B447,표2[#ALL],2)/HLOOKUP($A447,표1[#ALL],row(),false)</f>
        <v>#N/A</v>
      </c>
      <c r="S447" s="376" t="str">
        <f>CS_PID!S447/VLOOKUP($B447,표2[#ALL],2)/HLOOKUP($A447,표1[#ALL],row(),false)</f>
        <v>#N/A</v>
      </c>
      <c r="T447" s="376" t="str">
        <f>CS_PID!T447/VLOOKUP($B447,표2[#ALL],2)/HLOOKUP($A447,표1[#ALL],row(),false)</f>
        <v>#N/A</v>
      </c>
      <c r="U447" s="376" t="str">
        <f>CS_PID!U447/VLOOKUP($B447,표2[#ALL],2)/HLOOKUP($A447,표1[#ALL],row(),false)</f>
        <v>#N/A</v>
      </c>
      <c r="V447" s="376" t="str">
        <f>CS_PID!V447/VLOOKUP($B447,표2[#ALL],2)/HLOOKUP($A447,표1[#ALL],row(),false)</f>
        <v>#N/A</v>
      </c>
      <c r="W447" s="376" t="str">
        <f>CS_PID!W447/VLOOKUP($B447,표2[#ALL],2)/HLOOKUP($A447,표1[#ALL],row(),false)</f>
        <v>#N/A</v>
      </c>
      <c r="X447" s="376" t="str">
        <f>CS_PID!X447/VLOOKUP($B447,표2[#ALL],2)/HLOOKUP($A447,표1[#ALL],row(),false)</f>
        <v>#N/A</v>
      </c>
      <c r="Y447" s="376" t="str">
        <f>CS_PID!Y447/VLOOKUP($B447,표2[#ALL],2)/HLOOKUP($A447,표1[#ALL],row(),false)</f>
        <v>#N/A</v>
      </c>
      <c r="Z447" s="376" t="str">
        <f>CS_PID!Z447/VLOOKUP($B447,표2[#ALL],2)/HLOOKUP($A447,표1[#ALL],row(),false)</f>
        <v>#N/A</v>
      </c>
      <c r="AA447" s="376" t="str">
        <f>CS_PID!AA447/VLOOKUP($B447,표2[#ALL],2)/HLOOKUP($A447,표1[#ALL],row(),false)</f>
        <v>#N/A</v>
      </c>
      <c r="AB447" s="376" t="str">
        <f>CS_PID!AB447/VLOOKUP($B447,표2[#ALL],2)/HLOOKUP($A447,표1[#ALL],row(),false)</f>
        <v>#N/A</v>
      </c>
      <c r="AC447" s="376" t="str">
        <f>CS_PID!AC447/VLOOKUP($B447,표2[#ALL],2)/HLOOKUP($A447,표1[#ALL],row(),false)</f>
        <v>#N/A</v>
      </c>
      <c r="AD447" s="376" t="str">
        <f>CS_PID!AD447/VLOOKUP($B447,표2[#ALL],2)/HLOOKUP($A447,표1[#ALL],row(),false)</f>
        <v>#N/A</v>
      </c>
      <c r="AE447" s="376" t="str">
        <f>CS_PID!AE447/VLOOKUP($B447,표2[#ALL],2)/HLOOKUP($A447,표1[#ALL],row(),false)</f>
        <v>#N/A</v>
      </c>
      <c r="AF447" s="376" t="str">
        <f>CS_PID!AF447/VLOOKUP($B447,표2[#ALL],2)/HLOOKUP($A447,표1[#ALL],row(),false)</f>
        <v>#N/A</v>
      </c>
      <c r="AG447" s="376" t="str">
        <f>CS_PID!AG447/VLOOKUP($B447,표2[#ALL],2)/HLOOKUP($A447,표1[#ALL],row(),false)</f>
        <v>#N/A</v>
      </c>
      <c r="AH447" s="376" t="str">
        <f>CS_PID!AH447/VLOOKUP($B447,표2[#ALL],2)/HLOOKUP($A447,표1[#ALL],row(),false)</f>
        <v>#N/A</v>
      </c>
      <c r="AI447" s="376" t="str">
        <f>CS_PID!AI447/VLOOKUP($B447,표2[#ALL],2)/HLOOKUP($A447,표1[#ALL],row(),false)</f>
        <v>#N/A</v>
      </c>
      <c r="AJ447" s="376" t="str">
        <f>CS_PID!AJ447/VLOOKUP($B447,표2[#ALL],2)/HLOOKUP($A447,표1[#ALL],row(),false)</f>
        <v>#N/A</v>
      </c>
      <c r="AK447" s="376" t="str">
        <f>CS_PID!AK447/VLOOKUP($B447,표2[#ALL],2)/HLOOKUP($A447,표1[#ALL],row(),false)</f>
        <v>#N/A</v>
      </c>
      <c r="AL447" s="376" t="str">
        <f>CS_PID!AL447/VLOOKUP($B447,표2[#ALL],2)/HLOOKUP($A447,표1[#ALL],row(),false)</f>
        <v>#N/A</v>
      </c>
      <c r="AM447" s="376" t="str">
        <f>CS_PID!AM447/VLOOKUP($B447,표2[#ALL],2)/HLOOKUP($A447,표1[#ALL],row(),false)</f>
        <v>#N/A</v>
      </c>
      <c r="AN447" s="376" t="str">
        <f>CS_PID!AN447/VLOOKUP($B447,표2[#ALL],2)/HLOOKUP($A447,표1[#ALL],row(),false)</f>
        <v>#N/A</v>
      </c>
      <c r="AO447" s="376" t="str">
        <f>CS_PID!AO447/VLOOKUP($B447,표2[#ALL],2)/HLOOKUP($A447,표1[#ALL],row(),false)</f>
        <v>#N/A</v>
      </c>
      <c r="AP447" s="376" t="str">
        <f>CS_PID!AP447/VLOOKUP($B447,표2[#ALL],2)/HLOOKUP($A447,표1[#ALL],row(),false)</f>
        <v>#N/A</v>
      </c>
      <c r="AQ447" s="376" t="str">
        <f>CS_PID!AQ447/VLOOKUP($B447,표2[#ALL],2)/HLOOKUP($A447,표1[#ALL],row(),false)</f>
        <v>#N/A</v>
      </c>
      <c r="AR447" s="376" t="str">
        <f>CS_PID!AR447/VLOOKUP($B447,표2[#ALL],2)/HLOOKUP($A447,표1[#ALL],row(),false)</f>
        <v>#N/A</v>
      </c>
      <c r="AS447" s="377" t="str">
        <f>CS_PID!AS447/VLOOKUP($B447,표2[#ALL],2)/HLOOKUP($A447,표1[#ALL],row(),false)</f>
        <v>#N/A</v>
      </c>
    </row>
    <row r="448">
      <c r="A448" s="370"/>
      <c r="B448" s="371"/>
      <c r="C448" s="372" t="str">
        <f>CS_PID!C448/VLOOKUP($B448,표2[#ALL],2)</f>
        <v>#N/A</v>
      </c>
      <c r="D448" s="372" t="str">
        <f>CS_PID!D448/VLOOKUP($B448,표2[#ALL],2)</f>
        <v>#N/A</v>
      </c>
      <c r="E448" s="372" t="str">
        <f>CS_PID!E448/VLOOKUP($B448,표2[#ALL],2)</f>
        <v>#N/A</v>
      </c>
      <c r="F448" s="372" t="str">
        <f>CS_PID!F448/VLOOKUP($B448,표2[#ALL],2)</f>
        <v>#N/A</v>
      </c>
      <c r="G448" s="372" t="str">
        <f>CS_PID!G448/VLOOKUP($B448,표2[#ALL],2)</f>
        <v>#N/A</v>
      </c>
      <c r="H448" s="372" t="str">
        <f>CS_PID!H448/VLOOKUP($B448,표2[#ALL],2)/HLOOKUP($A448,표1[#ALL],row(),false)</f>
        <v>#N/A</v>
      </c>
      <c r="I448" s="372" t="str">
        <f>CS_PID!I448/VLOOKUP($B448,표2[#ALL],2)/HLOOKUP($A448,표1[#ALL],row(),false)</f>
        <v>#N/A</v>
      </c>
      <c r="J448" s="372" t="str">
        <f>CS_PID!J448/VLOOKUP($B448,표2[#ALL],2)/HLOOKUP($A448,표1[#ALL],row(),false)</f>
        <v>#N/A</v>
      </c>
      <c r="K448" s="372" t="str">
        <f>CS_PID!K448/VLOOKUP($B448,표2[#ALL],2)/HLOOKUP($A448,표1[#ALL],row(),false)</f>
        <v>#N/A</v>
      </c>
      <c r="L448" s="372" t="str">
        <f>CS_PID!L448/VLOOKUP($B448,표2[#ALL],2)/HLOOKUP($A448,표1[#ALL],row(),false)</f>
        <v>#N/A</v>
      </c>
      <c r="M448" s="372" t="str">
        <f>CS_PID!M448/VLOOKUP($B448,표2[#ALL],2)/HLOOKUP($A448,표1[#ALL],row(),false)</f>
        <v>#N/A</v>
      </c>
      <c r="N448" s="372" t="str">
        <f>CS_PID!N448/VLOOKUP($B448,표2[#ALL],2)/HLOOKUP($A448,표1[#ALL],row(),false)</f>
        <v>#N/A</v>
      </c>
      <c r="O448" s="372" t="str">
        <f>CS_PID!O448/VLOOKUP($B448,표2[#ALL],2)/HLOOKUP($A448,표1[#ALL],row(),false)</f>
        <v>#N/A</v>
      </c>
      <c r="P448" s="372" t="str">
        <f>CS_PID!P448/VLOOKUP($B448,표2[#ALL],2)/HLOOKUP($A448,표1[#ALL],row(),false)</f>
        <v>#N/A</v>
      </c>
      <c r="Q448" s="372" t="str">
        <f>CS_PID!Q448/VLOOKUP($B448,표2[#ALL],2)/HLOOKUP($A448,표1[#ALL],row(),false)</f>
        <v>#N/A</v>
      </c>
      <c r="R448" s="372" t="str">
        <f>CS_PID!R448/VLOOKUP($B448,표2[#ALL],2)/HLOOKUP($A448,표1[#ALL],row(),false)</f>
        <v>#N/A</v>
      </c>
      <c r="S448" s="372" t="str">
        <f>CS_PID!S448/VLOOKUP($B448,표2[#ALL],2)/HLOOKUP($A448,표1[#ALL],row(),false)</f>
        <v>#N/A</v>
      </c>
      <c r="T448" s="372" t="str">
        <f>CS_PID!T448/VLOOKUP($B448,표2[#ALL],2)/HLOOKUP($A448,표1[#ALL],row(),false)</f>
        <v>#N/A</v>
      </c>
      <c r="U448" s="372" t="str">
        <f>CS_PID!U448/VLOOKUP($B448,표2[#ALL],2)/HLOOKUP($A448,표1[#ALL],row(),false)</f>
        <v>#N/A</v>
      </c>
      <c r="V448" s="372" t="str">
        <f>CS_PID!V448/VLOOKUP($B448,표2[#ALL],2)/HLOOKUP($A448,표1[#ALL],row(),false)</f>
        <v>#N/A</v>
      </c>
      <c r="W448" s="372" t="str">
        <f>CS_PID!W448/VLOOKUP($B448,표2[#ALL],2)/HLOOKUP($A448,표1[#ALL],row(),false)</f>
        <v>#N/A</v>
      </c>
      <c r="X448" s="372" t="str">
        <f>CS_PID!X448/VLOOKUP($B448,표2[#ALL],2)/HLOOKUP($A448,표1[#ALL],row(),false)</f>
        <v>#N/A</v>
      </c>
      <c r="Y448" s="372" t="str">
        <f>CS_PID!Y448/VLOOKUP($B448,표2[#ALL],2)/HLOOKUP($A448,표1[#ALL],row(),false)</f>
        <v>#N/A</v>
      </c>
      <c r="Z448" s="372" t="str">
        <f>CS_PID!Z448/VLOOKUP($B448,표2[#ALL],2)/HLOOKUP($A448,표1[#ALL],row(),false)</f>
        <v>#N/A</v>
      </c>
      <c r="AA448" s="372" t="str">
        <f>CS_PID!AA448/VLOOKUP($B448,표2[#ALL],2)/HLOOKUP($A448,표1[#ALL],row(),false)</f>
        <v>#N/A</v>
      </c>
      <c r="AB448" s="372" t="str">
        <f>CS_PID!AB448/VLOOKUP($B448,표2[#ALL],2)/HLOOKUP($A448,표1[#ALL],row(),false)</f>
        <v>#N/A</v>
      </c>
      <c r="AC448" s="372" t="str">
        <f>CS_PID!AC448/VLOOKUP($B448,표2[#ALL],2)/HLOOKUP($A448,표1[#ALL],row(),false)</f>
        <v>#N/A</v>
      </c>
      <c r="AD448" s="372" t="str">
        <f>CS_PID!AD448/VLOOKUP($B448,표2[#ALL],2)/HLOOKUP($A448,표1[#ALL],row(),false)</f>
        <v>#N/A</v>
      </c>
      <c r="AE448" s="372" t="str">
        <f>CS_PID!AE448/VLOOKUP($B448,표2[#ALL],2)/HLOOKUP($A448,표1[#ALL],row(),false)</f>
        <v>#N/A</v>
      </c>
      <c r="AF448" s="372" t="str">
        <f>CS_PID!AF448/VLOOKUP($B448,표2[#ALL],2)/HLOOKUP($A448,표1[#ALL],row(),false)</f>
        <v>#N/A</v>
      </c>
      <c r="AG448" s="372" t="str">
        <f>CS_PID!AG448/VLOOKUP($B448,표2[#ALL],2)/HLOOKUP($A448,표1[#ALL],row(),false)</f>
        <v>#N/A</v>
      </c>
      <c r="AH448" s="372" t="str">
        <f>CS_PID!AH448/VLOOKUP($B448,표2[#ALL],2)/HLOOKUP($A448,표1[#ALL],row(),false)</f>
        <v>#N/A</v>
      </c>
      <c r="AI448" s="372" t="str">
        <f>CS_PID!AI448/VLOOKUP($B448,표2[#ALL],2)/HLOOKUP($A448,표1[#ALL],row(),false)</f>
        <v>#N/A</v>
      </c>
      <c r="AJ448" s="372" t="str">
        <f>CS_PID!AJ448/VLOOKUP($B448,표2[#ALL],2)/HLOOKUP($A448,표1[#ALL],row(),false)</f>
        <v>#N/A</v>
      </c>
      <c r="AK448" s="372" t="str">
        <f>CS_PID!AK448/VLOOKUP($B448,표2[#ALL],2)/HLOOKUP($A448,표1[#ALL],row(),false)</f>
        <v>#N/A</v>
      </c>
      <c r="AL448" s="372" t="str">
        <f>CS_PID!AL448/VLOOKUP($B448,표2[#ALL],2)/HLOOKUP($A448,표1[#ALL],row(),false)</f>
        <v>#N/A</v>
      </c>
      <c r="AM448" s="372" t="str">
        <f>CS_PID!AM448/VLOOKUP($B448,표2[#ALL],2)/HLOOKUP($A448,표1[#ALL],row(),false)</f>
        <v>#N/A</v>
      </c>
      <c r="AN448" s="372" t="str">
        <f>CS_PID!AN448/VLOOKUP($B448,표2[#ALL],2)/HLOOKUP($A448,표1[#ALL],row(),false)</f>
        <v>#N/A</v>
      </c>
      <c r="AO448" s="372" t="str">
        <f>CS_PID!AO448/VLOOKUP($B448,표2[#ALL],2)/HLOOKUP($A448,표1[#ALL],row(),false)</f>
        <v>#N/A</v>
      </c>
      <c r="AP448" s="372" t="str">
        <f>CS_PID!AP448/VLOOKUP($B448,표2[#ALL],2)/HLOOKUP($A448,표1[#ALL],row(),false)</f>
        <v>#N/A</v>
      </c>
      <c r="AQ448" s="372" t="str">
        <f>CS_PID!AQ448/VLOOKUP($B448,표2[#ALL],2)/HLOOKUP($A448,표1[#ALL],row(),false)</f>
        <v>#N/A</v>
      </c>
      <c r="AR448" s="372" t="str">
        <f>CS_PID!AR448/VLOOKUP($B448,표2[#ALL],2)/HLOOKUP($A448,표1[#ALL],row(),false)</f>
        <v>#N/A</v>
      </c>
      <c r="AS448" s="373" t="str">
        <f>CS_PID!AS448/VLOOKUP($B448,표2[#ALL],2)/HLOOKUP($A448,표1[#ALL],row(),false)</f>
        <v>#N/A</v>
      </c>
    </row>
    <row r="449">
      <c r="A449" s="374"/>
      <c r="B449" s="375"/>
      <c r="C449" s="376" t="str">
        <f>CS_PID!C449/VLOOKUP($B449,표2[#ALL],2)</f>
        <v>#N/A</v>
      </c>
      <c r="D449" s="376" t="str">
        <f>CS_PID!D449/VLOOKUP($B449,표2[#ALL],2)</f>
        <v>#N/A</v>
      </c>
      <c r="E449" s="376" t="str">
        <f>CS_PID!E449/VLOOKUP($B449,표2[#ALL],2)</f>
        <v>#N/A</v>
      </c>
      <c r="F449" s="376" t="str">
        <f>CS_PID!F449/VLOOKUP($B449,표2[#ALL],2)</f>
        <v>#N/A</v>
      </c>
      <c r="G449" s="376" t="str">
        <f>CS_PID!G449/VLOOKUP($B449,표2[#ALL],2)</f>
        <v>#N/A</v>
      </c>
      <c r="H449" s="376" t="str">
        <f>CS_PID!H449/VLOOKUP($B449,표2[#ALL],2)/HLOOKUP($A449,표1[#ALL],row(),false)</f>
        <v>#N/A</v>
      </c>
      <c r="I449" s="376" t="str">
        <f>CS_PID!I449/VLOOKUP($B449,표2[#ALL],2)/HLOOKUP($A449,표1[#ALL],row(),false)</f>
        <v>#N/A</v>
      </c>
      <c r="J449" s="376" t="str">
        <f>CS_PID!J449/VLOOKUP($B449,표2[#ALL],2)/HLOOKUP($A449,표1[#ALL],row(),false)</f>
        <v>#N/A</v>
      </c>
      <c r="K449" s="376" t="str">
        <f>CS_PID!K449/VLOOKUP($B449,표2[#ALL],2)/HLOOKUP($A449,표1[#ALL],row(),false)</f>
        <v>#N/A</v>
      </c>
      <c r="L449" s="376" t="str">
        <f>CS_PID!L449/VLOOKUP($B449,표2[#ALL],2)/HLOOKUP($A449,표1[#ALL],row(),false)</f>
        <v>#N/A</v>
      </c>
      <c r="M449" s="376" t="str">
        <f>CS_PID!M449/VLOOKUP($B449,표2[#ALL],2)/HLOOKUP($A449,표1[#ALL],row(),false)</f>
        <v>#N/A</v>
      </c>
      <c r="N449" s="376" t="str">
        <f>CS_PID!N449/VLOOKUP($B449,표2[#ALL],2)/HLOOKUP($A449,표1[#ALL],row(),false)</f>
        <v>#N/A</v>
      </c>
      <c r="O449" s="376" t="str">
        <f>CS_PID!O449/VLOOKUP($B449,표2[#ALL],2)/HLOOKUP($A449,표1[#ALL],row(),false)</f>
        <v>#N/A</v>
      </c>
      <c r="P449" s="376" t="str">
        <f>CS_PID!P449/VLOOKUP($B449,표2[#ALL],2)/HLOOKUP($A449,표1[#ALL],row(),false)</f>
        <v>#N/A</v>
      </c>
      <c r="Q449" s="376" t="str">
        <f>CS_PID!Q449/VLOOKUP($B449,표2[#ALL],2)/HLOOKUP($A449,표1[#ALL],row(),false)</f>
        <v>#N/A</v>
      </c>
      <c r="R449" s="376" t="str">
        <f>CS_PID!R449/VLOOKUP($B449,표2[#ALL],2)/HLOOKUP($A449,표1[#ALL],row(),false)</f>
        <v>#N/A</v>
      </c>
      <c r="S449" s="376" t="str">
        <f>CS_PID!S449/VLOOKUP($B449,표2[#ALL],2)/HLOOKUP($A449,표1[#ALL],row(),false)</f>
        <v>#N/A</v>
      </c>
      <c r="T449" s="376" t="str">
        <f>CS_PID!T449/VLOOKUP($B449,표2[#ALL],2)/HLOOKUP($A449,표1[#ALL],row(),false)</f>
        <v>#N/A</v>
      </c>
      <c r="U449" s="376" t="str">
        <f>CS_PID!U449/VLOOKUP($B449,표2[#ALL],2)/HLOOKUP($A449,표1[#ALL],row(),false)</f>
        <v>#N/A</v>
      </c>
      <c r="V449" s="376" t="str">
        <f>CS_PID!V449/VLOOKUP($B449,표2[#ALL],2)/HLOOKUP($A449,표1[#ALL],row(),false)</f>
        <v>#N/A</v>
      </c>
      <c r="W449" s="376" t="str">
        <f>CS_PID!W449/VLOOKUP($B449,표2[#ALL],2)/HLOOKUP($A449,표1[#ALL],row(),false)</f>
        <v>#N/A</v>
      </c>
      <c r="X449" s="376" t="str">
        <f>CS_PID!X449/VLOOKUP($B449,표2[#ALL],2)/HLOOKUP($A449,표1[#ALL],row(),false)</f>
        <v>#N/A</v>
      </c>
      <c r="Y449" s="376" t="str">
        <f>CS_PID!Y449/VLOOKUP($B449,표2[#ALL],2)/HLOOKUP($A449,표1[#ALL],row(),false)</f>
        <v>#N/A</v>
      </c>
      <c r="Z449" s="376" t="str">
        <f>CS_PID!Z449/VLOOKUP($B449,표2[#ALL],2)/HLOOKUP($A449,표1[#ALL],row(),false)</f>
        <v>#N/A</v>
      </c>
      <c r="AA449" s="376" t="str">
        <f>CS_PID!AA449/VLOOKUP($B449,표2[#ALL],2)/HLOOKUP($A449,표1[#ALL],row(),false)</f>
        <v>#N/A</v>
      </c>
      <c r="AB449" s="376" t="str">
        <f>CS_PID!AB449/VLOOKUP($B449,표2[#ALL],2)/HLOOKUP($A449,표1[#ALL],row(),false)</f>
        <v>#N/A</v>
      </c>
      <c r="AC449" s="376" t="str">
        <f>CS_PID!AC449/VLOOKUP($B449,표2[#ALL],2)/HLOOKUP($A449,표1[#ALL],row(),false)</f>
        <v>#N/A</v>
      </c>
      <c r="AD449" s="376" t="str">
        <f>CS_PID!AD449/VLOOKUP($B449,표2[#ALL],2)/HLOOKUP($A449,표1[#ALL],row(),false)</f>
        <v>#N/A</v>
      </c>
      <c r="AE449" s="376" t="str">
        <f>CS_PID!AE449/VLOOKUP($B449,표2[#ALL],2)/HLOOKUP($A449,표1[#ALL],row(),false)</f>
        <v>#N/A</v>
      </c>
      <c r="AF449" s="376" t="str">
        <f>CS_PID!AF449/VLOOKUP($B449,표2[#ALL],2)/HLOOKUP($A449,표1[#ALL],row(),false)</f>
        <v>#N/A</v>
      </c>
      <c r="AG449" s="376" t="str">
        <f>CS_PID!AG449/VLOOKUP($B449,표2[#ALL],2)/HLOOKUP($A449,표1[#ALL],row(),false)</f>
        <v>#N/A</v>
      </c>
      <c r="AH449" s="376" t="str">
        <f>CS_PID!AH449/VLOOKUP($B449,표2[#ALL],2)/HLOOKUP($A449,표1[#ALL],row(),false)</f>
        <v>#N/A</v>
      </c>
      <c r="AI449" s="376" t="str">
        <f>CS_PID!AI449/VLOOKUP($B449,표2[#ALL],2)/HLOOKUP($A449,표1[#ALL],row(),false)</f>
        <v>#N/A</v>
      </c>
      <c r="AJ449" s="376" t="str">
        <f>CS_PID!AJ449/VLOOKUP($B449,표2[#ALL],2)/HLOOKUP($A449,표1[#ALL],row(),false)</f>
        <v>#N/A</v>
      </c>
      <c r="AK449" s="376" t="str">
        <f>CS_PID!AK449/VLOOKUP($B449,표2[#ALL],2)/HLOOKUP($A449,표1[#ALL],row(),false)</f>
        <v>#N/A</v>
      </c>
      <c r="AL449" s="376" t="str">
        <f>CS_PID!AL449/VLOOKUP($B449,표2[#ALL],2)/HLOOKUP($A449,표1[#ALL],row(),false)</f>
        <v>#N/A</v>
      </c>
      <c r="AM449" s="376" t="str">
        <f>CS_PID!AM449/VLOOKUP($B449,표2[#ALL],2)/HLOOKUP($A449,표1[#ALL],row(),false)</f>
        <v>#N/A</v>
      </c>
      <c r="AN449" s="376" t="str">
        <f>CS_PID!AN449/VLOOKUP($B449,표2[#ALL],2)/HLOOKUP($A449,표1[#ALL],row(),false)</f>
        <v>#N/A</v>
      </c>
      <c r="AO449" s="376" t="str">
        <f>CS_PID!AO449/VLOOKUP($B449,표2[#ALL],2)/HLOOKUP($A449,표1[#ALL],row(),false)</f>
        <v>#N/A</v>
      </c>
      <c r="AP449" s="376" t="str">
        <f>CS_PID!AP449/VLOOKUP($B449,표2[#ALL],2)/HLOOKUP($A449,표1[#ALL],row(),false)</f>
        <v>#N/A</v>
      </c>
      <c r="AQ449" s="376" t="str">
        <f>CS_PID!AQ449/VLOOKUP($B449,표2[#ALL],2)/HLOOKUP($A449,표1[#ALL],row(),false)</f>
        <v>#N/A</v>
      </c>
      <c r="AR449" s="376" t="str">
        <f>CS_PID!AR449/VLOOKUP($B449,표2[#ALL],2)/HLOOKUP($A449,표1[#ALL],row(),false)</f>
        <v>#N/A</v>
      </c>
      <c r="AS449" s="377" t="str">
        <f>CS_PID!AS449/VLOOKUP($B449,표2[#ALL],2)/HLOOKUP($A449,표1[#ALL],row(),false)</f>
        <v>#N/A</v>
      </c>
    </row>
    <row r="450">
      <c r="A450" s="370"/>
      <c r="B450" s="371"/>
      <c r="C450" s="372" t="str">
        <f>CS_PID!C450/VLOOKUP($B450,표2[#ALL],2)</f>
        <v>#N/A</v>
      </c>
      <c r="D450" s="372" t="str">
        <f>CS_PID!D450/VLOOKUP($B450,표2[#ALL],2)</f>
        <v>#N/A</v>
      </c>
      <c r="E450" s="372" t="str">
        <f>CS_PID!E450/VLOOKUP($B450,표2[#ALL],2)</f>
        <v>#N/A</v>
      </c>
      <c r="F450" s="372" t="str">
        <f>CS_PID!F450/VLOOKUP($B450,표2[#ALL],2)</f>
        <v>#N/A</v>
      </c>
      <c r="G450" s="372" t="str">
        <f>CS_PID!G450/VLOOKUP($B450,표2[#ALL],2)</f>
        <v>#N/A</v>
      </c>
      <c r="H450" s="372" t="str">
        <f>CS_PID!H450/VLOOKUP($B450,표2[#ALL],2)/HLOOKUP($A450,표1[#ALL],row(),false)</f>
        <v>#N/A</v>
      </c>
      <c r="I450" s="372" t="str">
        <f>CS_PID!I450/VLOOKUP($B450,표2[#ALL],2)/HLOOKUP($A450,표1[#ALL],row(),false)</f>
        <v>#N/A</v>
      </c>
      <c r="J450" s="372" t="str">
        <f>CS_PID!J450/VLOOKUP($B450,표2[#ALL],2)/HLOOKUP($A450,표1[#ALL],row(),false)</f>
        <v>#N/A</v>
      </c>
      <c r="K450" s="372" t="str">
        <f>CS_PID!K450/VLOOKUP($B450,표2[#ALL],2)/HLOOKUP($A450,표1[#ALL],row(),false)</f>
        <v>#N/A</v>
      </c>
      <c r="L450" s="372" t="str">
        <f>CS_PID!L450/VLOOKUP($B450,표2[#ALL],2)/HLOOKUP($A450,표1[#ALL],row(),false)</f>
        <v>#N/A</v>
      </c>
      <c r="M450" s="372" t="str">
        <f>CS_PID!M450/VLOOKUP($B450,표2[#ALL],2)/HLOOKUP($A450,표1[#ALL],row(),false)</f>
        <v>#N/A</v>
      </c>
      <c r="N450" s="372" t="str">
        <f>CS_PID!N450/VLOOKUP($B450,표2[#ALL],2)/HLOOKUP($A450,표1[#ALL],row(),false)</f>
        <v>#N/A</v>
      </c>
      <c r="O450" s="372" t="str">
        <f>CS_PID!O450/VLOOKUP($B450,표2[#ALL],2)/HLOOKUP($A450,표1[#ALL],row(),false)</f>
        <v>#N/A</v>
      </c>
      <c r="P450" s="372" t="str">
        <f>CS_PID!P450/VLOOKUP($B450,표2[#ALL],2)/HLOOKUP($A450,표1[#ALL],row(),false)</f>
        <v>#N/A</v>
      </c>
      <c r="Q450" s="372" t="str">
        <f>CS_PID!Q450/VLOOKUP($B450,표2[#ALL],2)/HLOOKUP($A450,표1[#ALL],row(),false)</f>
        <v>#N/A</v>
      </c>
      <c r="R450" s="372" t="str">
        <f>CS_PID!R450/VLOOKUP($B450,표2[#ALL],2)/HLOOKUP($A450,표1[#ALL],row(),false)</f>
        <v>#N/A</v>
      </c>
      <c r="S450" s="372" t="str">
        <f>CS_PID!S450/VLOOKUP($B450,표2[#ALL],2)/HLOOKUP($A450,표1[#ALL],row(),false)</f>
        <v>#N/A</v>
      </c>
      <c r="T450" s="372" t="str">
        <f>CS_PID!T450/VLOOKUP($B450,표2[#ALL],2)/HLOOKUP($A450,표1[#ALL],row(),false)</f>
        <v>#N/A</v>
      </c>
      <c r="U450" s="372" t="str">
        <f>CS_PID!U450/VLOOKUP($B450,표2[#ALL],2)/HLOOKUP($A450,표1[#ALL],row(),false)</f>
        <v>#N/A</v>
      </c>
      <c r="V450" s="372" t="str">
        <f>CS_PID!V450/VLOOKUP($B450,표2[#ALL],2)/HLOOKUP($A450,표1[#ALL],row(),false)</f>
        <v>#N/A</v>
      </c>
      <c r="W450" s="372" t="str">
        <f>CS_PID!W450/VLOOKUP($B450,표2[#ALL],2)/HLOOKUP($A450,표1[#ALL],row(),false)</f>
        <v>#N/A</v>
      </c>
      <c r="X450" s="372" t="str">
        <f>CS_PID!X450/VLOOKUP($B450,표2[#ALL],2)/HLOOKUP($A450,표1[#ALL],row(),false)</f>
        <v>#N/A</v>
      </c>
      <c r="Y450" s="372" t="str">
        <f>CS_PID!Y450/VLOOKUP($B450,표2[#ALL],2)/HLOOKUP($A450,표1[#ALL],row(),false)</f>
        <v>#N/A</v>
      </c>
      <c r="Z450" s="372" t="str">
        <f>CS_PID!Z450/VLOOKUP($B450,표2[#ALL],2)/HLOOKUP($A450,표1[#ALL],row(),false)</f>
        <v>#N/A</v>
      </c>
      <c r="AA450" s="372" t="str">
        <f>CS_PID!AA450/VLOOKUP($B450,표2[#ALL],2)/HLOOKUP($A450,표1[#ALL],row(),false)</f>
        <v>#N/A</v>
      </c>
      <c r="AB450" s="372" t="str">
        <f>CS_PID!AB450/VLOOKUP($B450,표2[#ALL],2)/HLOOKUP($A450,표1[#ALL],row(),false)</f>
        <v>#N/A</v>
      </c>
      <c r="AC450" s="372" t="str">
        <f>CS_PID!AC450/VLOOKUP($B450,표2[#ALL],2)/HLOOKUP($A450,표1[#ALL],row(),false)</f>
        <v>#N/A</v>
      </c>
      <c r="AD450" s="372" t="str">
        <f>CS_PID!AD450/VLOOKUP($B450,표2[#ALL],2)/HLOOKUP($A450,표1[#ALL],row(),false)</f>
        <v>#N/A</v>
      </c>
      <c r="AE450" s="372" t="str">
        <f>CS_PID!AE450/VLOOKUP($B450,표2[#ALL],2)/HLOOKUP($A450,표1[#ALL],row(),false)</f>
        <v>#N/A</v>
      </c>
      <c r="AF450" s="372" t="str">
        <f>CS_PID!AF450/VLOOKUP($B450,표2[#ALL],2)/HLOOKUP($A450,표1[#ALL],row(),false)</f>
        <v>#N/A</v>
      </c>
      <c r="AG450" s="372" t="str">
        <f>CS_PID!AG450/VLOOKUP($B450,표2[#ALL],2)/HLOOKUP($A450,표1[#ALL],row(),false)</f>
        <v>#N/A</v>
      </c>
      <c r="AH450" s="372" t="str">
        <f>CS_PID!AH450/VLOOKUP($B450,표2[#ALL],2)/HLOOKUP($A450,표1[#ALL],row(),false)</f>
        <v>#N/A</v>
      </c>
      <c r="AI450" s="372" t="str">
        <f>CS_PID!AI450/VLOOKUP($B450,표2[#ALL],2)/HLOOKUP($A450,표1[#ALL],row(),false)</f>
        <v>#N/A</v>
      </c>
      <c r="AJ450" s="372" t="str">
        <f>CS_PID!AJ450/VLOOKUP($B450,표2[#ALL],2)/HLOOKUP($A450,표1[#ALL],row(),false)</f>
        <v>#N/A</v>
      </c>
      <c r="AK450" s="372" t="str">
        <f>CS_PID!AK450/VLOOKUP($B450,표2[#ALL],2)/HLOOKUP($A450,표1[#ALL],row(),false)</f>
        <v>#N/A</v>
      </c>
      <c r="AL450" s="372" t="str">
        <f>CS_PID!AL450/VLOOKUP($B450,표2[#ALL],2)/HLOOKUP($A450,표1[#ALL],row(),false)</f>
        <v>#N/A</v>
      </c>
      <c r="AM450" s="372" t="str">
        <f>CS_PID!AM450/VLOOKUP($B450,표2[#ALL],2)/HLOOKUP($A450,표1[#ALL],row(),false)</f>
        <v>#N/A</v>
      </c>
      <c r="AN450" s="372" t="str">
        <f>CS_PID!AN450/VLOOKUP($B450,표2[#ALL],2)/HLOOKUP($A450,표1[#ALL],row(),false)</f>
        <v>#N/A</v>
      </c>
      <c r="AO450" s="372" t="str">
        <f>CS_PID!AO450/VLOOKUP($B450,표2[#ALL],2)/HLOOKUP($A450,표1[#ALL],row(),false)</f>
        <v>#N/A</v>
      </c>
      <c r="AP450" s="372" t="str">
        <f>CS_PID!AP450/VLOOKUP($B450,표2[#ALL],2)/HLOOKUP($A450,표1[#ALL],row(),false)</f>
        <v>#N/A</v>
      </c>
      <c r="AQ450" s="372" t="str">
        <f>CS_PID!AQ450/VLOOKUP($B450,표2[#ALL],2)/HLOOKUP($A450,표1[#ALL],row(),false)</f>
        <v>#N/A</v>
      </c>
      <c r="AR450" s="372" t="str">
        <f>CS_PID!AR450/VLOOKUP($B450,표2[#ALL],2)/HLOOKUP($A450,표1[#ALL],row(),false)</f>
        <v>#N/A</v>
      </c>
      <c r="AS450" s="373" t="str">
        <f>CS_PID!AS450/VLOOKUP($B450,표2[#ALL],2)/HLOOKUP($A450,표1[#ALL],row(),false)</f>
        <v>#N/A</v>
      </c>
    </row>
    <row r="451">
      <c r="A451" s="374"/>
      <c r="B451" s="375"/>
      <c r="C451" s="376" t="str">
        <f>CS_PID!C451/VLOOKUP($B451,표2[#ALL],2)</f>
        <v>#N/A</v>
      </c>
      <c r="D451" s="376" t="str">
        <f>CS_PID!D451/VLOOKUP($B451,표2[#ALL],2)</f>
        <v>#N/A</v>
      </c>
      <c r="E451" s="376" t="str">
        <f>CS_PID!E451/VLOOKUP($B451,표2[#ALL],2)</f>
        <v>#N/A</v>
      </c>
      <c r="F451" s="376" t="str">
        <f>CS_PID!F451/VLOOKUP($B451,표2[#ALL],2)</f>
        <v>#N/A</v>
      </c>
      <c r="G451" s="376" t="str">
        <f>CS_PID!G451/VLOOKUP($B451,표2[#ALL],2)</f>
        <v>#N/A</v>
      </c>
      <c r="H451" s="376" t="str">
        <f>CS_PID!H451/VLOOKUP($B451,표2[#ALL],2)/HLOOKUP($A451,표1[#ALL],row(),false)</f>
        <v>#N/A</v>
      </c>
      <c r="I451" s="376" t="str">
        <f>CS_PID!I451/VLOOKUP($B451,표2[#ALL],2)/HLOOKUP($A451,표1[#ALL],row(),false)</f>
        <v>#N/A</v>
      </c>
      <c r="J451" s="376" t="str">
        <f>CS_PID!J451/VLOOKUP($B451,표2[#ALL],2)/HLOOKUP($A451,표1[#ALL],row(),false)</f>
        <v>#N/A</v>
      </c>
      <c r="K451" s="376" t="str">
        <f>CS_PID!K451/VLOOKUP($B451,표2[#ALL],2)/HLOOKUP($A451,표1[#ALL],row(),false)</f>
        <v>#N/A</v>
      </c>
      <c r="L451" s="376" t="str">
        <f>CS_PID!L451/VLOOKUP($B451,표2[#ALL],2)/HLOOKUP($A451,표1[#ALL],row(),false)</f>
        <v>#N/A</v>
      </c>
      <c r="M451" s="376" t="str">
        <f>CS_PID!M451/VLOOKUP($B451,표2[#ALL],2)/HLOOKUP($A451,표1[#ALL],row(),false)</f>
        <v>#N/A</v>
      </c>
      <c r="N451" s="376" t="str">
        <f>CS_PID!N451/VLOOKUP($B451,표2[#ALL],2)/HLOOKUP($A451,표1[#ALL],row(),false)</f>
        <v>#N/A</v>
      </c>
      <c r="O451" s="376" t="str">
        <f>CS_PID!O451/VLOOKUP($B451,표2[#ALL],2)/HLOOKUP($A451,표1[#ALL],row(),false)</f>
        <v>#N/A</v>
      </c>
      <c r="P451" s="376" t="str">
        <f>CS_PID!P451/VLOOKUP($B451,표2[#ALL],2)/HLOOKUP($A451,표1[#ALL],row(),false)</f>
        <v>#N/A</v>
      </c>
      <c r="Q451" s="376" t="str">
        <f>CS_PID!Q451/VLOOKUP($B451,표2[#ALL],2)/HLOOKUP($A451,표1[#ALL],row(),false)</f>
        <v>#N/A</v>
      </c>
      <c r="R451" s="376" t="str">
        <f>CS_PID!R451/VLOOKUP($B451,표2[#ALL],2)/HLOOKUP($A451,표1[#ALL],row(),false)</f>
        <v>#N/A</v>
      </c>
      <c r="S451" s="376" t="str">
        <f>CS_PID!S451/VLOOKUP($B451,표2[#ALL],2)/HLOOKUP($A451,표1[#ALL],row(),false)</f>
        <v>#N/A</v>
      </c>
      <c r="T451" s="376" t="str">
        <f>CS_PID!T451/VLOOKUP($B451,표2[#ALL],2)/HLOOKUP($A451,표1[#ALL],row(),false)</f>
        <v>#N/A</v>
      </c>
      <c r="U451" s="376" t="str">
        <f>CS_PID!U451/VLOOKUP($B451,표2[#ALL],2)/HLOOKUP($A451,표1[#ALL],row(),false)</f>
        <v>#N/A</v>
      </c>
      <c r="V451" s="376" t="str">
        <f>CS_PID!V451/VLOOKUP($B451,표2[#ALL],2)/HLOOKUP($A451,표1[#ALL],row(),false)</f>
        <v>#N/A</v>
      </c>
      <c r="W451" s="376" t="str">
        <f>CS_PID!W451/VLOOKUP($B451,표2[#ALL],2)/HLOOKUP($A451,표1[#ALL],row(),false)</f>
        <v>#N/A</v>
      </c>
      <c r="X451" s="376" t="str">
        <f>CS_PID!X451/VLOOKUP($B451,표2[#ALL],2)/HLOOKUP($A451,표1[#ALL],row(),false)</f>
        <v>#N/A</v>
      </c>
      <c r="Y451" s="376" t="str">
        <f>CS_PID!Y451/VLOOKUP($B451,표2[#ALL],2)/HLOOKUP($A451,표1[#ALL],row(),false)</f>
        <v>#N/A</v>
      </c>
      <c r="Z451" s="376" t="str">
        <f>CS_PID!Z451/VLOOKUP($B451,표2[#ALL],2)/HLOOKUP($A451,표1[#ALL],row(),false)</f>
        <v>#N/A</v>
      </c>
      <c r="AA451" s="376" t="str">
        <f>CS_PID!AA451/VLOOKUP($B451,표2[#ALL],2)/HLOOKUP($A451,표1[#ALL],row(),false)</f>
        <v>#N/A</v>
      </c>
      <c r="AB451" s="376" t="str">
        <f>CS_PID!AB451/VLOOKUP($B451,표2[#ALL],2)/HLOOKUP($A451,표1[#ALL],row(),false)</f>
        <v>#N/A</v>
      </c>
      <c r="AC451" s="376" t="str">
        <f>CS_PID!AC451/VLOOKUP($B451,표2[#ALL],2)/HLOOKUP($A451,표1[#ALL],row(),false)</f>
        <v>#N/A</v>
      </c>
      <c r="AD451" s="376" t="str">
        <f>CS_PID!AD451/VLOOKUP($B451,표2[#ALL],2)/HLOOKUP($A451,표1[#ALL],row(),false)</f>
        <v>#N/A</v>
      </c>
      <c r="AE451" s="376" t="str">
        <f>CS_PID!AE451/VLOOKUP($B451,표2[#ALL],2)/HLOOKUP($A451,표1[#ALL],row(),false)</f>
        <v>#N/A</v>
      </c>
      <c r="AF451" s="376" t="str">
        <f>CS_PID!AF451/VLOOKUP($B451,표2[#ALL],2)/HLOOKUP($A451,표1[#ALL],row(),false)</f>
        <v>#N/A</v>
      </c>
      <c r="AG451" s="376" t="str">
        <f>CS_PID!AG451/VLOOKUP($B451,표2[#ALL],2)/HLOOKUP($A451,표1[#ALL],row(),false)</f>
        <v>#N/A</v>
      </c>
      <c r="AH451" s="376" t="str">
        <f>CS_PID!AH451/VLOOKUP($B451,표2[#ALL],2)/HLOOKUP($A451,표1[#ALL],row(),false)</f>
        <v>#N/A</v>
      </c>
      <c r="AI451" s="376" t="str">
        <f>CS_PID!AI451/VLOOKUP($B451,표2[#ALL],2)/HLOOKUP($A451,표1[#ALL],row(),false)</f>
        <v>#N/A</v>
      </c>
      <c r="AJ451" s="376" t="str">
        <f>CS_PID!AJ451/VLOOKUP($B451,표2[#ALL],2)/HLOOKUP($A451,표1[#ALL],row(),false)</f>
        <v>#N/A</v>
      </c>
      <c r="AK451" s="376" t="str">
        <f>CS_PID!AK451/VLOOKUP($B451,표2[#ALL],2)/HLOOKUP($A451,표1[#ALL],row(),false)</f>
        <v>#N/A</v>
      </c>
      <c r="AL451" s="376" t="str">
        <f>CS_PID!AL451/VLOOKUP($B451,표2[#ALL],2)/HLOOKUP($A451,표1[#ALL],row(),false)</f>
        <v>#N/A</v>
      </c>
      <c r="AM451" s="376" t="str">
        <f>CS_PID!AM451/VLOOKUP($B451,표2[#ALL],2)/HLOOKUP($A451,표1[#ALL],row(),false)</f>
        <v>#N/A</v>
      </c>
      <c r="AN451" s="376" t="str">
        <f>CS_PID!AN451/VLOOKUP($B451,표2[#ALL],2)/HLOOKUP($A451,표1[#ALL],row(),false)</f>
        <v>#N/A</v>
      </c>
      <c r="AO451" s="376" t="str">
        <f>CS_PID!AO451/VLOOKUP($B451,표2[#ALL],2)/HLOOKUP($A451,표1[#ALL],row(),false)</f>
        <v>#N/A</v>
      </c>
      <c r="AP451" s="376" t="str">
        <f>CS_PID!AP451/VLOOKUP($B451,표2[#ALL],2)/HLOOKUP($A451,표1[#ALL],row(),false)</f>
        <v>#N/A</v>
      </c>
      <c r="AQ451" s="376" t="str">
        <f>CS_PID!AQ451/VLOOKUP($B451,표2[#ALL],2)/HLOOKUP($A451,표1[#ALL],row(),false)</f>
        <v>#N/A</v>
      </c>
      <c r="AR451" s="376" t="str">
        <f>CS_PID!AR451/VLOOKUP($B451,표2[#ALL],2)/HLOOKUP($A451,표1[#ALL],row(),false)</f>
        <v>#N/A</v>
      </c>
      <c r="AS451" s="377" t="str">
        <f>CS_PID!AS451/VLOOKUP($B451,표2[#ALL],2)/HLOOKUP($A451,표1[#ALL],row(),false)</f>
        <v>#N/A</v>
      </c>
    </row>
    <row r="452">
      <c r="A452" s="370"/>
      <c r="B452" s="371"/>
      <c r="C452" s="372" t="str">
        <f>CS_PID!C452/VLOOKUP($B452,표2[#ALL],2)</f>
        <v>#N/A</v>
      </c>
      <c r="D452" s="372" t="str">
        <f>CS_PID!D452/VLOOKUP($B452,표2[#ALL],2)</f>
        <v>#N/A</v>
      </c>
      <c r="E452" s="372" t="str">
        <f>CS_PID!E452/VLOOKUP($B452,표2[#ALL],2)</f>
        <v>#N/A</v>
      </c>
      <c r="F452" s="372" t="str">
        <f>CS_PID!F452/VLOOKUP($B452,표2[#ALL],2)</f>
        <v>#N/A</v>
      </c>
      <c r="G452" s="372" t="str">
        <f>CS_PID!G452/VLOOKUP($B452,표2[#ALL],2)</f>
        <v>#N/A</v>
      </c>
      <c r="H452" s="372" t="str">
        <f>CS_PID!H452/VLOOKUP($B452,표2[#ALL],2)/HLOOKUP($A452,표1[#ALL],row(),false)</f>
        <v>#N/A</v>
      </c>
      <c r="I452" s="372" t="str">
        <f>CS_PID!I452/VLOOKUP($B452,표2[#ALL],2)/HLOOKUP($A452,표1[#ALL],row(),false)</f>
        <v>#N/A</v>
      </c>
      <c r="J452" s="372" t="str">
        <f>CS_PID!J452/VLOOKUP($B452,표2[#ALL],2)/HLOOKUP($A452,표1[#ALL],row(),false)</f>
        <v>#N/A</v>
      </c>
      <c r="K452" s="372" t="str">
        <f>CS_PID!K452/VLOOKUP($B452,표2[#ALL],2)/HLOOKUP($A452,표1[#ALL],row(),false)</f>
        <v>#N/A</v>
      </c>
      <c r="L452" s="372" t="str">
        <f>CS_PID!L452/VLOOKUP($B452,표2[#ALL],2)/HLOOKUP($A452,표1[#ALL],row(),false)</f>
        <v>#N/A</v>
      </c>
      <c r="M452" s="372" t="str">
        <f>CS_PID!M452/VLOOKUP($B452,표2[#ALL],2)/HLOOKUP($A452,표1[#ALL],row(),false)</f>
        <v>#N/A</v>
      </c>
      <c r="N452" s="372" t="str">
        <f>CS_PID!N452/VLOOKUP($B452,표2[#ALL],2)/HLOOKUP($A452,표1[#ALL],row(),false)</f>
        <v>#N/A</v>
      </c>
      <c r="O452" s="372" t="str">
        <f>CS_PID!O452/VLOOKUP($B452,표2[#ALL],2)/HLOOKUP($A452,표1[#ALL],row(),false)</f>
        <v>#N/A</v>
      </c>
      <c r="P452" s="372" t="str">
        <f>CS_PID!P452/VLOOKUP($B452,표2[#ALL],2)/HLOOKUP($A452,표1[#ALL],row(),false)</f>
        <v>#N/A</v>
      </c>
      <c r="Q452" s="372" t="str">
        <f>CS_PID!Q452/VLOOKUP($B452,표2[#ALL],2)/HLOOKUP($A452,표1[#ALL],row(),false)</f>
        <v>#N/A</v>
      </c>
      <c r="R452" s="372" t="str">
        <f>CS_PID!R452/VLOOKUP($B452,표2[#ALL],2)/HLOOKUP($A452,표1[#ALL],row(),false)</f>
        <v>#N/A</v>
      </c>
      <c r="S452" s="372" t="str">
        <f>CS_PID!S452/VLOOKUP($B452,표2[#ALL],2)/HLOOKUP($A452,표1[#ALL],row(),false)</f>
        <v>#N/A</v>
      </c>
      <c r="T452" s="372" t="str">
        <f>CS_PID!T452/VLOOKUP($B452,표2[#ALL],2)/HLOOKUP($A452,표1[#ALL],row(),false)</f>
        <v>#N/A</v>
      </c>
      <c r="U452" s="372" t="str">
        <f>CS_PID!U452/VLOOKUP($B452,표2[#ALL],2)/HLOOKUP($A452,표1[#ALL],row(),false)</f>
        <v>#N/A</v>
      </c>
      <c r="V452" s="372" t="str">
        <f>CS_PID!V452/VLOOKUP($B452,표2[#ALL],2)/HLOOKUP($A452,표1[#ALL],row(),false)</f>
        <v>#N/A</v>
      </c>
      <c r="W452" s="372" t="str">
        <f>CS_PID!W452/VLOOKUP($B452,표2[#ALL],2)/HLOOKUP($A452,표1[#ALL],row(),false)</f>
        <v>#N/A</v>
      </c>
      <c r="X452" s="372" t="str">
        <f>CS_PID!X452/VLOOKUP($B452,표2[#ALL],2)/HLOOKUP($A452,표1[#ALL],row(),false)</f>
        <v>#N/A</v>
      </c>
      <c r="Y452" s="372" t="str">
        <f>CS_PID!Y452/VLOOKUP($B452,표2[#ALL],2)/HLOOKUP($A452,표1[#ALL],row(),false)</f>
        <v>#N/A</v>
      </c>
      <c r="Z452" s="372" t="str">
        <f>CS_PID!Z452/VLOOKUP($B452,표2[#ALL],2)/HLOOKUP($A452,표1[#ALL],row(),false)</f>
        <v>#N/A</v>
      </c>
      <c r="AA452" s="372" t="str">
        <f>CS_PID!AA452/VLOOKUP($B452,표2[#ALL],2)/HLOOKUP($A452,표1[#ALL],row(),false)</f>
        <v>#N/A</v>
      </c>
      <c r="AB452" s="372" t="str">
        <f>CS_PID!AB452/VLOOKUP($B452,표2[#ALL],2)/HLOOKUP($A452,표1[#ALL],row(),false)</f>
        <v>#N/A</v>
      </c>
      <c r="AC452" s="372" t="str">
        <f>CS_PID!AC452/VLOOKUP($B452,표2[#ALL],2)/HLOOKUP($A452,표1[#ALL],row(),false)</f>
        <v>#N/A</v>
      </c>
      <c r="AD452" s="372" t="str">
        <f>CS_PID!AD452/VLOOKUP($B452,표2[#ALL],2)/HLOOKUP($A452,표1[#ALL],row(),false)</f>
        <v>#N/A</v>
      </c>
      <c r="AE452" s="372" t="str">
        <f>CS_PID!AE452/VLOOKUP($B452,표2[#ALL],2)/HLOOKUP($A452,표1[#ALL],row(),false)</f>
        <v>#N/A</v>
      </c>
      <c r="AF452" s="372" t="str">
        <f>CS_PID!AF452/VLOOKUP($B452,표2[#ALL],2)/HLOOKUP($A452,표1[#ALL],row(),false)</f>
        <v>#N/A</v>
      </c>
      <c r="AG452" s="372" t="str">
        <f>CS_PID!AG452/VLOOKUP($B452,표2[#ALL],2)/HLOOKUP($A452,표1[#ALL],row(),false)</f>
        <v>#N/A</v>
      </c>
      <c r="AH452" s="372" t="str">
        <f>CS_PID!AH452/VLOOKUP($B452,표2[#ALL],2)/HLOOKUP($A452,표1[#ALL],row(),false)</f>
        <v>#N/A</v>
      </c>
      <c r="AI452" s="372" t="str">
        <f>CS_PID!AI452/VLOOKUP($B452,표2[#ALL],2)/HLOOKUP($A452,표1[#ALL],row(),false)</f>
        <v>#N/A</v>
      </c>
      <c r="AJ452" s="372" t="str">
        <f>CS_PID!AJ452/VLOOKUP($B452,표2[#ALL],2)/HLOOKUP($A452,표1[#ALL],row(),false)</f>
        <v>#N/A</v>
      </c>
      <c r="AK452" s="372" t="str">
        <f>CS_PID!AK452/VLOOKUP($B452,표2[#ALL],2)/HLOOKUP($A452,표1[#ALL],row(),false)</f>
        <v>#N/A</v>
      </c>
      <c r="AL452" s="372" t="str">
        <f>CS_PID!AL452/VLOOKUP($B452,표2[#ALL],2)/HLOOKUP($A452,표1[#ALL],row(),false)</f>
        <v>#N/A</v>
      </c>
      <c r="AM452" s="372" t="str">
        <f>CS_PID!AM452/VLOOKUP($B452,표2[#ALL],2)/HLOOKUP($A452,표1[#ALL],row(),false)</f>
        <v>#N/A</v>
      </c>
      <c r="AN452" s="372" t="str">
        <f>CS_PID!AN452/VLOOKUP($B452,표2[#ALL],2)/HLOOKUP($A452,표1[#ALL],row(),false)</f>
        <v>#N/A</v>
      </c>
      <c r="AO452" s="372" t="str">
        <f>CS_PID!AO452/VLOOKUP($B452,표2[#ALL],2)/HLOOKUP($A452,표1[#ALL],row(),false)</f>
        <v>#N/A</v>
      </c>
      <c r="AP452" s="372" t="str">
        <f>CS_PID!AP452/VLOOKUP($B452,표2[#ALL],2)/HLOOKUP($A452,표1[#ALL],row(),false)</f>
        <v>#N/A</v>
      </c>
      <c r="AQ452" s="372" t="str">
        <f>CS_PID!AQ452/VLOOKUP($B452,표2[#ALL],2)/HLOOKUP($A452,표1[#ALL],row(),false)</f>
        <v>#N/A</v>
      </c>
      <c r="AR452" s="372" t="str">
        <f>CS_PID!AR452/VLOOKUP($B452,표2[#ALL],2)/HLOOKUP($A452,표1[#ALL],row(),false)</f>
        <v>#N/A</v>
      </c>
      <c r="AS452" s="373" t="str">
        <f>CS_PID!AS452/VLOOKUP($B452,표2[#ALL],2)/HLOOKUP($A452,표1[#ALL],row(),false)</f>
        <v>#N/A</v>
      </c>
    </row>
    <row r="453">
      <c r="A453" s="374"/>
      <c r="B453" s="375"/>
      <c r="C453" s="376" t="str">
        <f>CS_PID!C453/VLOOKUP($B453,표2[#ALL],2)</f>
        <v>#N/A</v>
      </c>
      <c r="D453" s="376" t="str">
        <f>CS_PID!D453/VLOOKUP($B453,표2[#ALL],2)</f>
        <v>#N/A</v>
      </c>
      <c r="E453" s="376" t="str">
        <f>CS_PID!E453/VLOOKUP($B453,표2[#ALL],2)</f>
        <v>#N/A</v>
      </c>
      <c r="F453" s="376" t="str">
        <f>CS_PID!F453/VLOOKUP($B453,표2[#ALL],2)</f>
        <v>#N/A</v>
      </c>
      <c r="G453" s="376" t="str">
        <f>CS_PID!G453/VLOOKUP($B453,표2[#ALL],2)</f>
        <v>#N/A</v>
      </c>
      <c r="H453" s="376" t="str">
        <f>CS_PID!H453/VLOOKUP($B453,표2[#ALL],2)/HLOOKUP($A453,표1[#ALL],row(),false)</f>
        <v>#N/A</v>
      </c>
      <c r="I453" s="376" t="str">
        <f>CS_PID!I453/VLOOKUP($B453,표2[#ALL],2)/HLOOKUP($A453,표1[#ALL],row(),false)</f>
        <v>#N/A</v>
      </c>
      <c r="J453" s="376" t="str">
        <f>CS_PID!J453/VLOOKUP($B453,표2[#ALL],2)/HLOOKUP($A453,표1[#ALL],row(),false)</f>
        <v>#N/A</v>
      </c>
      <c r="K453" s="376" t="str">
        <f>CS_PID!K453/VLOOKUP($B453,표2[#ALL],2)/HLOOKUP($A453,표1[#ALL],row(),false)</f>
        <v>#N/A</v>
      </c>
      <c r="L453" s="376" t="str">
        <f>CS_PID!L453/VLOOKUP($B453,표2[#ALL],2)/HLOOKUP($A453,표1[#ALL],row(),false)</f>
        <v>#N/A</v>
      </c>
      <c r="M453" s="376" t="str">
        <f>CS_PID!M453/VLOOKUP($B453,표2[#ALL],2)/HLOOKUP($A453,표1[#ALL],row(),false)</f>
        <v>#N/A</v>
      </c>
      <c r="N453" s="376" t="str">
        <f>CS_PID!N453/VLOOKUP($B453,표2[#ALL],2)/HLOOKUP($A453,표1[#ALL],row(),false)</f>
        <v>#N/A</v>
      </c>
      <c r="O453" s="376" t="str">
        <f>CS_PID!O453/VLOOKUP($B453,표2[#ALL],2)/HLOOKUP($A453,표1[#ALL],row(),false)</f>
        <v>#N/A</v>
      </c>
      <c r="P453" s="376" t="str">
        <f>CS_PID!P453/VLOOKUP($B453,표2[#ALL],2)/HLOOKUP($A453,표1[#ALL],row(),false)</f>
        <v>#N/A</v>
      </c>
      <c r="Q453" s="376" t="str">
        <f>CS_PID!Q453/VLOOKUP($B453,표2[#ALL],2)/HLOOKUP($A453,표1[#ALL],row(),false)</f>
        <v>#N/A</v>
      </c>
      <c r="R453" s="376" t="str">
        <f>CS_PID!R453/VLOOKUP($B453,표2[#ALL],2)/HLOOKUP($A453,표1[#ALL],row(),false)</f>
        <v>#N/A</v>
      </c>
      <c r="S453" s="376" t="str">
        <f>CS_PID!S453/VLOOKUP($B453,표2[#ALL],2)/HLOOKUP($A453,표1[#ALL],row(),false)</f>
        <v>#N/A</v>
      </c>
      <c r="T453" s="376" t="str">
        <f>CS_PID!T453/VLOOKUP($B453,표2[#ALL],2)/HLOOKUP($A453,표1[#ALL],row(),false)</f>
        <v>#N/A</v>
      </c>
      <c r="U453" s="376" t="str">
        <f>CS_PID!U453/VLOOKUP($B453,표2[#ALL],2)/HLOOKUP($A453,표1[#ALL],row(),false)</f>
        <v>#N/A</v>
      </c>
      <c r="V453" s="376" t="str">
        <f>CS_PID!V453/VLOOKUP($B453,표2[#ALL],2)/HLOOKUP($A453,표1[#ALL],row(),false)</f>
        <v>#N/A</v>
      </c>
      <c r="W453" s="376" t="str">
        <f>CS_PID!W453/VLOOKUP($B453,표2[#ALL],2)/HLOOKUP($A453,표1[#ALL],row(),false)</f>
        <v>#N/A</v>
      </c>
      <c r="X453" s="376" t="str">
        <f>CS_PID!X453/VLOOKUP($B453,표2[#ALL],2)/HLOOKUP($A453,표1[#ALL],row(),false)</f>
        <v>#N/A</v>
      </c>
      <c r="Y453" s="376" t="str">
        <f>CS_PID!Y453/VLOOKUP($B453,표2[#ALL],2)/HLOOKUP($A453,표1[#ALL],row(),false)</f>
        <v>#N/A</v>
      </c>
      <c r="Z453" s="376" t="str">
        <f>CS_PID!Z453/VLOOKUP($B453,표2[#ALL],2)/HLOOKUP($A453,표1[#ALL],row(),false)</f>
        <v>#N/A</v>
      </c>
      <c r="AA453" s="376" t="str">
        <f>CS_PID!AA453/VLOOKUP($B453,표2[#ALL],2)/HLOOKUP($A453,표1[#ALL],row(),false)</f>
        <v>#N/A</v>
      </c>
      <c r="AB453" s="376" t="str">
        <f>CS_PID!AB453/VLOOKUP($B453,표2[#ALL],2)/HLOOKUP($A453,표1[#ALL],row(),false)</f>
        <v>#N/A</v>
      </c>
      <c r="AC453" s="376" t="str">
        <f>CS_PID!AC453/VLOOKUP($B453,표2[#ALL],2)/HLOOKUP($A453,표1[#ALL],row(),false)</f>
        <v>#N/A</v>
      </c>
      <c r="AD453" s="376" t="str">
        <f>CS_PID!AD453/VLOOKUP($B453,표2[#ALL],2)/HLOOKUP($A453,표1[#ALL],row(),false)</f>
        <v>#N/A</v>
      </c>
      <c r="AE453" s="376" t="str">
        <f>CS_PID!AE453/VLOOKUP($B453,표2[#ALL],2)/HLOOKUP($A453,표1[#ALL],row(),false)</f>
        <v>#N/A</v>
      </c>
      <c r="AF453" s="376" t="str">
        <f>CS_PID!AF453/VLOOKUP($B453,표2[#ALL],2)/HLOOKUP($A453,표1[#ALL],row(),false)</f>
        <v>#N/A</v>
      </c>
      <c r="AG453" s="376" t="str">
        <f>CS_PID!AG453/VLOOKUP($B453,표2[#ALL],2)/HLOOKUP($A453,표1[#ALL],row(),false)</f>
        <v>#N/A</v>
      </c>
      <c r="AH453" s="376" t="str">
        <f>CS_PID!AH453/VLOOKUP($B453,표2[#ALL],2)/HLOOKUP($A453,표1[#ALL],row(),false)</f>
        <v>#N/A</v>
      </c>
      <c r="AI453" s="376" t="str">
        <f>CS_PID!AI453/VLOOKUP($B453,표2[#ALL],2)/HLOOKUP($A453,표1[#ALL],row(),false)</f>
        <v>#N/A</v>
      </c>
      <c r="AJ453" s="376" t="str">
        <f>CS_PID!AJ453/VLOOKUP($B453,표2[#ALL],2)/HLOOKUP($A453,표1[#ALL],row(),false)</f>
        <v>#N/A</v>
      </c>
      <c r="AK453" s="376" t="str">
        <f>CS_PID!AK453/VLOOKUP($B453,표2[#ALL],2)/HLOOKUP($A453,표1[#ALL],row(),false)</f>
        <v>#N/A</v>
      </c>
      <c r="AL453" s="376" t="str">
        <f>CS_PID!AL453/VLOOKUP($B453,표2[#ALL],2)/HLOOKUP($A453,표1[#ALL],row(),false)</f>
        <v>#N/A</v>
      </c>
      <c r="AM453" s="376" t="str">
        <f>CS_PID!AM453/VLOOKUP($B453,표2[#ALL],2)/HLOOKUP($A453,표1[#ALL],row(),false)</f>
        <v>#N/A</v>
      </c>
      <c r="AN453" s="376" t="str">
        <f>CS_PID!AN453/VLOOKUP($B453,표2[#ALL],2)/HLOOKUP($A453,표1[#ALL],row(),false)</f>
        <v>#N/A</v>
      </c>
      <c r="AO453" s="376" t="str">
        <f>CS_PID!AO453/VLOOKUP($B453,표2[#ALL],2)/HLOOKUP($A453,표1[#ALL],row(),false)</f>
        <v>#N/A</v>
      </c>
      <c r="AP453" s="376" t="str">
        <f>CS_PID!AP453/VLOOKUP($B453,표2[#ALL],2)/HLOOKUP($A453,표1[#ALL],row(),false)</f>
        <v>#N/A</v>
      </c>
      <c r="AQ453" s="376" t="str">
        <f>CS_PID!AQ453/VLOOKUP($B453,표2[#ALL],2)/HLOOKUP($A453,표1[#ALL],row(),false)</f>
        <v>#N/A</v>
      </c>
      <c r="AR453" s="376" t="str">
        <f>CS_PID!AR453/VLOOKUP($B453,표2[#ALL],2)/HLOOKUP($A453,표1[#ALL],row(),false)</f>
        <v>#N/A</v>
      </c>
      <c r="AS453" s="377" t="str">
        <f>CS_PID!AS453/VLOOKUP($B453,표2[#ALL],2)/HLOOKUP($A453,표1[#ALL],row(),false)</f>
        <v>#N/A</v>
      </c>
    </row>
    <row r="454">
      <c r="A454" s="370"/>
      <c r="B454" s="371"/>
      <c r="C454" s="372" t="str">
        <f>CS_PID!C454/VLOOKUP($B454,표2[#ALL],2)</f>
        <v>#N/A</v>
      </c>
      <c r="D454" s="372" t="str">
        <f>CS_PID!D454/VLOOKUP($B454,표2[#ALL],2)</f>
        <v>#N/A</v>
      </c>
      <c r="E454" s="372" t="str">
        <f>CS_PID!E454/VLOOKUP($B454,표2[#ALL],2)</f>
        <v>#N/A</v>
      </c>
      <c r="F454" s="372" t="str">
        <f>CS_PID!F454/VLOOKUP($B454,표2[#ALL],2)</f>
        <v>#N/A</v>
      </c>
      <c r="G454" s="372" t="str">
        <f>CS_PID!G454/VLOOKUP($B454,표2[#ALL],2)</f>
        <v>#N/A</v>
      </c>
      <c r="H454" s="372" t="str">
        <f>CS_PID!H454/VLOOKUP($B454,표2[#ALL],2)/HLOOKUP($A454,표1[#ALL],row(),false)</f>
        <v>#N/A</v>
      </c>
      <c r="I454" s="372" t="str">
        <f>CS_PID!I454/VLOOKUP($B454,표2[#ALL],2)/HLOOKUP($A454,표1[#ALL],row(),false)</f>
        <v>#N/A</v>
      </c>
      <c r="J454" s="372" t="str">
        <f>CS_PID!J454/VLOOKUP($B454,표2[#ALL],2)/HLOOKUP($A454,표1[#ALL],row(),false)</f>
        <v>#N/A</v>
      </c>
      <c r="K454" s="372" t="str">
        <f>CS_PID!K454/VLOOKUP($B454,표2[#ALL],2)/HLOOKUP($A454,표1[#ALL],row(),false)</f>
        <v>#N/A</v>
      </c>
      <c r="L454" s="372" t="str">
        <f>CS_PID!L454/VLOOKUP($B454,표2[#ALL],2)/HLOOKUP($A454,표1[#ALL],row(),false)</f>
        <v>#N/A</v>
      </c>
      <c r="M454" s="372" t="str">
        <f>CS_PID!M454/VLOOKUP($B454,표2[#ALL],2)/HLOOKUP($A454,표1[#ALL],row(),false)</f>
        <v>#N/A</v>
      </c>
      <c r="N454" s="372" t="str">
        <f>CS_PID!N454/VLOOKUP($B454,표2[#ALL],2)/HLOOKUP($A454,표1[#ALL],row(),false)</f>
        <v>#N/A</v>
      </c>
      <c r="O454" s="372" t="str">
        <f>CS_PID!O454/VLOOKUP($B454,표2[#ALL],2)/HLOOKUP($A454,표1[#ALL],row(),false)</f>
        <v>#N/A</v>
      </c>
      <c r="P454" s="372" t="str">
        <f>CS_PID!P454/VLOOKUP($B454,표2[#ALL],2)/HLOOKUP($A454,표1[#ALL],row(),false)</f>
        <v>#N/A</v>
      </c>
      <c r="Q454" s="372" t="str">
        <f>CS_PID!Q454/VLOOKUP($B454,표2[#ALL],2)/HLOOKUP($A454,표1[#ALL],row(),false)</f>
        <v>#N/A</v>
      </c>
      <c r="R454" s="372" t="str">
        <f>CS_PID!R454/VLOOKUP($B454,표2[#ALL],2)/HLOOKUP($A454,표1[#ALL],row(),false)</f>
        <v>#N/A</v>
      </c>
      <c r="S454" s="372" t="str">
        <f>CS_PID!S454/VLOOKUP($B454,표2[#ALL],2)/HLOOKUP($A454,표1[#ALL],row(),false)</f>
        <v>#N/A</v>
      </c>
      <c r="T454" s="372" t="str">
        <f>CS_PID!T454/VLOOKUP($B454,표2[#ALL],2)/HLOOKUP($A454,표1[#ALL],row(),false)</f>
        <v>#N/A</v>
      </c>
      <c r="U454" s="372" t="str">
        <f>CS_PID!U454/VLOOKUP($B454,표2[#ALL],2)/HLOOKUP($A454,표1[#ALL],row(),false)</f>
        <v>#N/A</v>
      </c>
      <c r="V454" s="372" t="str">
        <f>CS_PID!V454/VLOOKUP($B454,표2[#ALL],2)/HLOOKUP($A454,표1[#ALL],row(),false)</f>
        <v>#N/A</v>
      </c>
      <c r="W454" s="372" t="str">
        <f>CS_PID!W454/VLOOKUP($B454,표2[#ALL],2)/HLOOKUP($A454,표1[#ALL],row(),false)</f>
        <v>#N/A</v>
      </c>
      <c r="X454" s="372" t="str">
        <f>CS_PID!X454/VLOOKUP($B454,표2[#ALL],2)/HLOOKUP($A454,표1[#ALL],row(),false)</f>
        <v>#N/A</v>
      </c>
      <c r="Y454" s="372" t="str">
        <f>CS_PID!Y454/VLOOKUP($B454,표2[#ALL],2)/HLOOKUP($A454,표1[#ALL],row(),false)</f>
        <v>#N/A</v>
      </c>
      <c r="Z454" s="372" t="str">
        <f>CS_PID!Z454/VLOOKUP($B454,표2[#ALL],2)/HLOOKUP($A454,표1[#ALL],row(),false)</f>
        <v>#N/A</v>
      </c>
      <c r="AA454" s="372" t="str">
        <f>CS_PID!AA454/VLOOKUP($B454,표2[#ALL],2)/HLOOKUP($A454,표1[#ALL],row(),false)</f>
        <v>#N/A</v>
      </c>
      <c r="AB454" s="372" t="str">
        <f>CS_PID!AB454/VLOOKUP($B454,표2[#ALL],2)/HLOOKUP($A454,표1[#ALL],row(),false)</f>
        <v>#N/A</v>
      </c>
      <c r="AC454" s="372" t="str">
        <f>CS_PID!AC454/VLOOKUP($B454,표2[#ALL],2)/HLOOKUP($A454,표1[#ALL],row(),false)</f>
        <v>#N/A</v>
      </c>
      <c r="AD454" s="372" t="str">
        <f>CS_PID!AD454/VLOOKUP($B454,표2[#ALL],2)/HLOOKUP($A454,표1[#ALL],row(),false)</f>
        <v>#N/A</v>
      </c>
      <c r="AE454" s="372" t="str">
        <f>CS_PID!AE454/VLOOKUP($B454,표2[#ALL],2)/HLOOKUP($A454,표1[#ALL],row(),false)</f>
        <v>#N/A</v>
      </c>
      <c r="AF454" s="372" t="str">
        <f>CS_PID!AF454/VLOOKUP($B454,표2[#ALL],2)/HLOOKUP($A454,표1[#ALL],row(),false)</f>
        <v>#N/A</v>
      </c>
      <c r="AG454" s="372" t="str">
        <f>CS_PID!AG454/VLOOKUP($B454,표2[#ALL],2)/HLOOKUP($A454,표1[#ALL],row(),false)</f>
        <v>#N/A</v>
      </c>
      <c r="AH454" s="372" t="str">
        <f>CS_PID!AH454/VLOOKUP($B454,표2[#ALL],2)/HLOOKUP($A454,표1[#ALL],row(),false)</f>
        <v>#N/A</v>
      </c>
      <c r="AI454" s="372" t="str">
        <f>CS_PID!AI454/VLOOKUP($B454,표2[#ALL],2)/HLOOKUP($A454,표1[#ALL],row(),false)</f>
        <v>#N/A</v>
      </c>
      <c r="AJ454" s="372" t="str">
        <f>CS_PID!AJ454/VLOOKUP($B454,표2[#ALL],2)/HLOOKUP($A454,표1[#ALL],row(),false)</f>
        <v>#N/A</v>
      </c>
      <c r="AK454" s="372" t="str">
        <f>CS_PID!AK454/VLOOKUP($B454,표2[#ALL],2)/HLOOKUP($A454,표1[#ALL],row(),false)</f>
        <v>#N/A</v>
      </c>
      <c r="AL454" s="372" t="str">
        <f>CS_PID!AL454/VLOOKUP($B454,표2[#ALL],2)/HLOOKUP($A454,표1[#ALL],row(),false)</f>
        <v>#N/A</v>
      </c>
      <c r="AM454" s="372" t="str">
        <f>CS_PID!AM454/VLOOKUP($B454,표2[#ALL],2)/HLOOKUP($A454,표1[#ALL],row(),false)</f>
        <v>#N/A</v>
      </c>
      <c r="AN454" s="372" t="str">
        <f>CS_PID!AN454/VLOOKUP($B454,표2[#ALL],2)/HLOOKUP($A454,표1[#ALL],row(),false)</f>
        <v>#N/A</v>
      </c>
      <c r="AO454" s="372" t="str">
        <f>CS_PID!AO454/VLOOKUP($B454,표2[#ALL],2)/HLOOKUP($A454,표1[#ALL],row(),false)</f>
        <v>#N/A</v>
      </c>
      <c r="AP454" s="372" t="str">
        <f>CS_PID!AP454/VLOOKUP($B454,표2[#ALL],2)/HLOOKUP($A454,표1[#ALL],row(),false)</f>
        <v>#N/A</v>
      </c>
      <c r="AQ454" s="372" t="str">
        <f>CS_PID!AQ454/VLOOKUP($B454,표2[#ALL],2)/HLOOKUP($A454,표1[#ALL],row(),false)</f>
        <v>#N/A</v>
      </c>
      <c r="AR454" s="372" t="str">
        <f>CS_PID!AR454/VLOOKUP($B454,표2[#ALL],2)/HLOOKUP($A454,표1[#ALL],row(),false)</f>
        <v>#N/A</v>
      </c>
      <c r="AS454" s="373" t="str">
        <f>CS_PID!AS454/VLOOKUP($B454,표2[#ALL],2)/HLOOKUP($A454,표1[#ALL],row(),false)</f>
        <v>#N/A</v>
      </c>
    </row>
    <row r="455">
      <c r="A455" s="374"/>
      <c r="B455" s="375"/>
      <c r="C455" s="376" t="str">
        <f>CS_PID!C455/VLOOKUP($B455,표2[#ALL],2)</f>
        <v>#N/A</v>
      </c>
      <c r="D455" s="376" t="str">
        <f>CS_PID!D455/VLOOKUP($B455,표2[#ALL],2)</f>
        <v>#N/A</v>
      </c>
      <c r="E455" s="376" t="str">
        <f>CS_PID!E455/VLOOKUP($B455,표2[#ALL],2)</f>
        <v>#N/A</v>
      </c>
      <c r="F455" s="376" t="str">
        <f>CS_PID!F455/VLOOKUP($B455,표2[#ALL],2)</f>
        <v>#N/A</v>
      </c>
      <c r="G455" s="376" t="str">
        <f>CS_PID!G455/VLOOKUP($B455,표2[#ALL],2)</f>
        <v>#N/A</v>
      </c>
      <c r="H455" s="376" t="str">
        <f>CS_PID!H455/VLOOKUP($B455,표2[#ALL],2)/HLOOKUP($A455,표1[#ALL],row(),false)</f>
        <v>#N/A</v>
      </c>
      <c r="I455" s="376" t="str">
        <f>CS_PID!I455/VLOOKUP($B455,표2[#ALL],2)/HLOOKUP($A455,표1[#ALL],row(),false)</f>
        <v>#N/A</v>
      </c>
      <c r="J455" s="376" t="str">
        <f>CS_PID!J455/VLOOKUP($B455,표2[#ALL],2)/HLOOKUP($A455,표1[#ALL],row(),false)</f>
        <v>#N/A</v>
      </c>
      <c r="K455" s="376" t="str">
        <f>CS_PID!K455/VLOOKUP($B455,표2[#ALL],2)/HLOOKUP($A455,표1[#ALL],row(),false)</f>
        <v>#N/A</v>
      </c>
      <c r="L455" s="376" t="str">
        <f>CS_PID!L455/VLOOKUP($B455,표2[#ALL],2)/HLOOKUP($A455,표1[#ALL],row(),false)</f>
        <v>#N/A</v>
      </c>
      <c r="M455" s="376" t="str">
        <f>CS_PID!M455/VLOOKUP($B455,표2[#ALL],2)/HLOOKUP($A455,표1[#ALL],row(),false)</f>
        <v>#N/A</v>
      </c>
      <c r="N455" s="376" t="str">
        <f>CS_PID!N455/VLOOKUP($B455,표2[#ALL],2)/HLOOKUP($A455,표1[#ALL],row(),false)</f>
        <v>#N/A</v>
      </c>
      <c r="O455" s="376" t="str">
        <f>CS_PID!O455/VLOOKUP($B455,표2[#ALL],2)/HLOOKUP($A455,표1[#ALL],row(),false)</f>
        <v>#N/A</v>
      </c>
      <c r="P455" s="376" t="str">
        <f>CS_PID!P455/VLOOKUP($B455,표2[#ALL],2)/HLOOKUP($A455,표1[#ALL],row(),false)</f>
        <v>#N/A</v>
      </c>
      <c r="Q455" s="376" t="str">
        <f>CS_PID!Q455/VLOOKUP($B455,표2[#ALL],2)/HLOOKUP($A455,표1[#ALL],row(),false)</f>
        <v>#N/A</v>
      </c>
      <c r="R455" s="376" t="str">
        <f>CS_PID!R455/VLOOKUP($B455,표2[#ALL],2)/HLOOKUP($A455,표1[#ALL],row(),false)</f>
        <v>#N/A</v>
      </c>
      <c r="S455" s="376" t="str">
        <f>CS_PID!S455/VLOOKUP($B455,표2[#ALL],2)/HLOOKUP($A455,표1[#ALL],row(),false)</f>
        <v>#N/A</v>
      </c>
      <c r="T455" s="376" t="str">
        <f>CS_PID!T455/VLOOKUP($B455,표2[#ALL],2)/HLOOKUP($A455,표1[#ALL],row(),false)</f>
        <v>#N/A</v>
      </c>
      <c r="U455" s="376" t="str">
        <f>CS_PID!U455/VLOOKUP($B455,표2[#ALL],2)/HLOOKUP($A455,표1[#ALL],row(),false)</f>
        <v>#N/A</v>
      </c>
      <c r="V455" s="376" t="str">
        <f>CS_PID!V455/VLOOKUP($B455,표2[#ALL],2)/HLOOKUP($A455,표1[#ALL],row(),false)</f>
        <v>#N/A</v>
      </c>
      <c r="W455" s="376" t="str">
        <f>CS_PID!W455/VLOOKUP($B455,표2[#ALL],2)/HLOOKUP($A455,표1[#ALL],row(),false)</f>
        <v>#N/A</v>
      </c>
      <c r="X455" s="376" t="str">
        <f>CS_PID!X455/VLOOKUP($B455,표2[#ALL],2)/HLOOKUP($A455,표1[#ALL],row(),false)</f>
        <v>#N/A</v>
      </c>
      <c r="Y455" s="376" t="str">
        <f>CS_PID!Y455/VLOOKUP($B455,표2[#ALL],2)/HLOOKUP($A455,표1[#ALL],row(),false)</f>
        <v>#N/A</v>
      </c>
      <c r="Z455" s="376" t="str">
        <f>CS_PID!Z455/VLOOKUP($B455,표2[#ALL],2)/HLOOKUP($A455,표1[#ALL],row(),false)</f>
        <v>#N/A</v>
      </c>
      <c r="AA455" s="376" t="str">
        <f>CS_PID!AA455/VLOOKUP($B455,표2[#ALL],2)/HLOOKUP($A455,표1[#ALL],row(),false)</f>
        <v>#N/A</v>
      </c>
      <c r="AB455" s="376" t="str">
        <f>CS_PID!AB455/VLOOKUP($B455,표2[#ALL],2)/HLOOKUP($A455,표1[#ALL],row(),false)</f>
        <v>#N/A</v>
      </c>
      <c r="AC455" s="376" t="str">
        <f>CS_PID!AC455/VLOOKUP($B455,표2[#ALL],2)/HLOOKUP($A455,표1[#ALL],row(),false)</f>
        <v>#N/A</v>
      </c>
      <c r="AD455" s="376" t="str">
        <f>CS_PID!AD455/VLOOKUP($B455,표2[#ALL],2)/HLOOKUP($A455,표1[#ALL],row(),false)</f>
        <v>#N/A</v>
      </c>
      <c r="AE455" s="376" t="str">
        <f>CS_PID!AE455/VLOOKUP($B455,표2[#ALL],2)/HLOOKUP($A455,표1[#ALL],row(),false)</f>
        <v>#N/A</v>
      </c>
      <c r="AF455" s="376" t="str">
        <f>CS_PID!AF455/VLOOKUP($B455,표2[#ALL],2)/HLOOKUP($A455,표1[#ALL],row(),false)</f>
        <v>#N/A</v>
      </c>
      <c r="AG455" s="376" t="str">
        <f>CS_PID!AG455/VLOOKUP($B455,표2[#ALL],2)/HLOOKUP($A455,표1[#ALL],row(),false)</f>
        <v>#N/A</v>
      </c>
      <c r="AH455" s="376" t="str">
        <f>CS_PID!AH455/VLOOKUP($B455,표2[#ALL],2)/HLOOKUP($A455,표1[#ALL],row(),false)</f>
        <v>#N/A</v>
      </c>
      <c r="AI455" s="376" t="str">
        <f>CS_PID!AI455/VLOOKUP($B455,표2[#ALL],2)/HLOOKUP($A455,표1[#ALL],row(),false)</f>
        <v>#N/A</v>
      </c>
      <c r="AJ455" s="376" t="str">
        <f>CS_PID!AJ455/VLOOKUP($B455,표2[#ALL],2)/HLOOKUP($A455,표1[#ALL],row(),false)</f>
        <v>#N/A</v>
      </c>
      <c r="AK455" s="376" t="str">
        <f>CS_PID!AK455/VLOOKUP($B455,표2[#ALL],2)/HLOOKUP($A455,표1[#ALL],row(),false)</f>
        <v>#N/A</v>
      </c>
      <c r="AL455" s="376" t="str">
        <f>CS_PID!AL455/VLOOKUP($B455,표2[#ALL],2)/HLOOKUP($A455,표1[#ALL],row(),false)</f>
        <v>#N/A</v>
      </c>
      <c r="AM455" s="376" t="str">
        <f>CS_PID!AM455/VLOOKUP($B455,표2[#ALL],2)/HLOOKUP($A455,표1[#ALL],row(),false)</f>
        <v>#N/A</v>
      </c>
      <c r="AN455" s="376" t="str">
        <f>CS_PID!AN455/VLOOKUP($B455,표2[#ALL],2)/HLOOKUP($A455,표1[#ALL],row(),false)</f>
        <v>#N/A</v>
      </c>
      <c r="AO455" s="376" t="str">
        <f>CS_PID!AO455/VLOOKUP($B455,표2[#ALL],2)/HLOOKUP($A455,표1[#ALL],row(),false)</f>
        <v>#N/A</v>
      </c>
      <c r="AP455" s="376" t="str">
        <f>CS_PID!AP455/VLOOKUP($B455,표2[#ALL],2)/HLOOKUP($A455,표1[#ALL],row(),false)</f>
        <v>#N/A</v>
      </c>
      <c r="AQ455" s="376" t="str">
        <f>CS_PID!AQ455/VLOOKUP($B455,표2[#ALL],2)/HLOOKUP($A455,표1[#ALL],row(),false)</f>
        <v>#N/A</v>
      </c>
      <c r="AR455" s="376" t="str">
        <f>CS_PID!AR455/VLOOKUP($B455,표2[#ALL],2)/HLOOKUP($A455,표1[#ALL],row(),false)</f>
        <v>#N/A</v>
      </c>
      <c r="AS455" s="377" t="str">
        <f>CS_PID!AS455/VLOOKUP($B455,표2[#ALL],2)/HLOOKUP($A455,표1[#ALL],row(),false)</f>
        <v>#N/A</v>
      </c>
    </row>
    <row r="456">
      <c r="A456" s="370"/>
      <c r="B456" s="371"/>
      <c r="C456" s="372" t="str">
        <f>CS_PID!C456/VLOOKUP($B456,표2[#ALL],2)</f>
        <v>#N/A</v>
      </c>
      <c r="D456" s="372" t="str">
        <f>CS_PID!D456/VLOOKUP($B456,표2[#ALL],2)</f>
        <v>#N/A</v>
      </c>
      <c r="E456" s="372" t="str">
        <f>CS_PID!E456/VLOOKUP($B456,표2[#ALL],2)</f>
        <v>#N/A</v>
      </c>
      <c r="F456" s="372" t="str">
        <f>CS_PID!F456/VLOOKUP($B456,표2[#ALL],2)</f>
        <v>#N/A</v>
      </c>
      <c r="G456" s="372" t="str">
        <f>CS_PID!G456/VLOOKUP($B456,표2[#ALL],2)</f>
        <v>#N/A</v>
      </c>
      <c r="H456" s="372" t="str">
        <f>CS_PID!H456/VLOOKUP($B456,표2[#ALL],2)/HLOOKUP($A456,표1[#ALL],row(),false)</f>
        <v>#N/A</v>
      </c>
      <c r="I456" s="372" t="str">
        <f>CS_PID!I456/VLOOKUP($B456,표2[#ALL],2)/HLOOKUP($A456,표1[#ALL],row(),false)</f>
        <v>#N/A</v>
      </c>
      <c r="J456" s="372" t="str">
        <f>CS_PID!J456/VLOOKUP($B456,표2[#ALL],2)/HLOOKUP($A456,표1[#ALL],row(),false)</f>
        <v>#N/A</v>
      </c>
      <c r="K456" s="372" t="str">
        <f>CS_PID!K456/VLOOKUP($B456,표2[#ALL],2)/HLOOKUP($A456,표1[#ALL],row(),false)</f>
        <v>#N/A</v>
      </c>
      <c r="L456" s="372" t="str">
        <f>CS_PID!L456/VLOOKUP($B456,표2[#ALL],2)/HLOOKUP($A456,표1[#ALL],row(),false)</f>
        <v>#N/A</v>
      </c>
      <c r="M456" s="372" t="str">
        <f>CS_PID!M456/VLOOKUP($B456,표2[#ALL],2)/HLOOKUP($A456,표1[#ALL],row(),false)</f>
        <v>#N/A</v>
      </c>
      <c r="N456" s="372" t="str">
        <f>CS_PID!N456/VLOOKUP($B456,표2[#ALL],2)/HLOOKUP($A456,표1[#ALL],row(),false)</f>
        <v>#N/A</v>
      </c>
      <c r="O456" s="372" t="str">
        <f>CS_PID!O456/VLOOKUP($B456,표2[#ALL],2)/HLOOKUP($A456,표1[#ALL],row(),false)</f>
        <v>#N/A</v>
      </c>
      <c r="P456" s="372" t="str">
        <f>CS_PID!P456/VLOOKUP($B456,표2[#ALL],2)/HLOOKUP($A456,표1[#ALL],row(),false)</f>
        <v>#N/A</v>
      </c>
      <c r="Q456" s="372" t="str">
        <f>CS_PID!Q456/VLOOKUP($B456,표2[#ALL],2)/HLOOKUP($A456,표1[#ALL],row(),false)</f>
        <v>#N/A</v>
      </c>
      <c r="R456" s="372" t="str">
        <f>CS_PID!R456/VLOOKUP($B456,표2[#ALL],2)/HLOOKUP($A456,표1[#ALL],row(),false)</f>
        <v>#N/A</v>
      </c>
      <c r="S456" s="372" t="str">
        <f>CS_PID!S456/VLOOKUP($B456,표2[#ALL],2)/HLOOKUP($A456,표1[#ALL],row(),false)</f>
        <v>#N/A</v>
      </c>
      <c r="T456" s="372" t="str">
        <f>CS_PID!T456/VLOOKUP($B456,표2[#ALL],2)/HLOOKUP($A456,표1[#ALL],row(),false)</f>
        <v>#N/A</v>
      </c>
      <c r="U456" s="372" t="str">
        <f>CS_PID!U456/VLOOKUP($B456,표2[#ALL],2)/HLOOKUP($A456,표1[#ALL],row(),false)</f>
        <v>#N/A</v>
      </c>
      <c r="V456" s="372" t="str">
        <f>CS_PID!V456/VLOOKUP($B456,표2[#ALL],2)/HLOOKUP($A456,표1[#ALL],row(),false)</f>
        <v>#N/A</v>
      </c>
      <c r="W456" s="372" t="str">
        <f>CS_PID!W456/VLOOKUP($B456,표2[#ALL],2)/HLOOKUP($A456,표1[#ALL],row(),false)</f>
        <v>#N/A</v>
      </c>
      <c r="X456" s="372" t="str">
        <f>CS_PID!X456/VLOOKUP($B456,표2[#ALL],2)/HLOOKUP($A456,표1[#ALL],row(),false)</f>
        <v>#N/A</v>
      </c>
      <c r="Y456" s="372" t="str">
        <f>CS_PID!Y456/VLOOKUP($B456,표2[#ALL],2)/HLOOKUP($A456,표1[#ALL],row(),false)</f>
        <v>#N/A</v>
      </c>
      <c r="Z456" s="372" t="str">
        <f>CS_PID!Z456/VLOOKUP($B456,표2[#ALL],2)/HLOOKUP($A456,표1[#ALL],row(),false)</f>
        <v>#N/A</v>
      </c>
      <c r="AA456" s="372" t="str">
        <f>CS_PID!AA456/VLOOKUP($B456,표2[#ALL],2)/HLOOKUP($A456,표1[#ALL],row(),false)</f>
        <v>#N/A</v>
      </c>
      <c r="AB456" s="372" t="str">
        <f>CS_PID!AB456/VLOOKUP($B456,표2[#ALL],2)/HLOOKUP($A456,표1[#ALL],row(),false)</f>
        <v>#N/A</v>
      </c>
      <c r="AC456" s="372" t="str">
        <f>CS_PID!AC456/VLOOKUP($B456,표2[#ALL],2)/HLOOKUP($A456,표1[#ALL],row(),false)</f>
        <v>#N/A</v>
      </c>
      <c r="AD456" s="372" t="str">
        <f>CS_PID!AD456/VLOOKUP($B456,표2[#ALL],2)/HLOOKUP($A456,표1[#ALL],row(),false)</f>
        <v>#N/A</v>
      </c>
      <c r="AE456" s="372" t="str">
        <f>CS_PID!AE456/VLOOKUP($B456,표2[#ALL],2)/HLOOKUP($A456,표1[#ALL],row(),false)</f>
        <v>#N/A</v>
      </c>
      <c r="AF456" s="372" t="str">
        <f>CS_PID!AF456/VLOOKUP($B456,표2[#ALL],2)/HLOOKUP($A456,표1[#ALL],row(),false)</f>
        <v>#N/A</v>
      </c>
      <c r="AG456" s="372" t="str">
        <f>CS_PID!AG456/VLOOKUP($B456,표2[#ALL],2)/HLOOKUP($A456,표1[#ALL],row(),false)</f>
        <v>#N/A</v>
      </c>
      <c r="AH456" s="372" t="str">
        <f>CS_PID!AH456/VLOOKUP($B456,표2[#ALL],2)/HLOOKUP($A456,표1[#ALL],row(),false)</f>
        <v>#N/A</v>
      </c>
      <c r="AI456" s="372" t="str">
        <f>CS_PID!AI456/VLOOKUP($B456,표2[#ALL],2)/HLOOKUP($A456,표1[#ALL],row(),false)</f>
        <v>#N/A</v>
      </c>
      <c r="AJ456" s="372" t="str">
        <f>CS_PID!AJ456/VLOOKUP($B456,표2[#ALL],2)/HLOOKUP($A456,표1[#ALL],row(),false)</f>
        <v>#N/A</v>
      </c>
      <c r="AK456" s="372" t="str">
        <f>CS_PID!AK456/VLOOKUP($B456,표2[#ALL],2)/HLOOKUP($A456,표1[#ALL],row(),false)</f>
        <v>#N/A</v>
      </c>
      <c r="AL456" s="372" t="str">
        <f>CS_PID!AL456/VLOOKUP($B456,표2[#ALL],2)/HLOOKUP($A456,표1[#ALL],row(),false)</f>
        <v>#N/A</v>
      </c>
      <c r="AM456" s="372" t="str">
        <f>CS_PID!AM456/VLOOKUP($B456,표2[#ALL],2)/HLOOKUP($A456,표1[#ALL],row(),false)</f>
        <v>#N/A</v>
      </c>
      <c r="AN456" s="372" t="str">
        <f>CS_PID!AN456/VLOOKUP($B456,표2[#ALL],2)/HLOOKUP($A456,표1[#ALL],row(),false)</f>
        <v>#N/A</v>
      </c>
      <c r="AO456" s="372" t="str">
        <f>CS_PID!AO456/VLOOKUP($B456,표2[#ALL],2)/HLOOKUP($A456,표1[#ALL],row(),false)</f>
        <v>#N/A</v>
      </c>
      <c r="AP456" s="372" t="str">
        <f>CS_PID!AP456/VLOOKUP($B456,표2[#ALL],2)/HLOOKUP($A456,표1[#ALL],row(),false)</f>
        <v>#N/A</v>
      </c>
      <c r="AQ456" s="372" t="str">
        <f>CS_PID!AQ456/VLOOKUP($B456,표2[#ALL],2)/HLOOKUP($A456,표1[#ALL],row(),false)</f>
        <v>#N/A</v>
      </c>
      <c r="AR456" s="372" t="str">
        <f>CS_PID!AR456/VLOOKUP($B456,표2[#ALL],2)/HLOOKUP($A456,표1[#ALL],row(),false)</f>
        <v>#N/A</v>
      </c>
      <c r="AS456" s="373" t="str">
        <f>CS_PID!AS456/VLOOKUP($B456,표2[#ALL],2)/HLOOKUP($A456,표1[#ALL],row(),false)</f>
        <v>#N/A</v>
      </c>
    </row>
    <row r="457">
      <c r="A457" s="374"/>
      <c r="B457" s="375"/>
      <c r="C457" s="376" t="str">
        <f>CS_PID!C457/VLOOKUP($B457,표2[#ALL],2)</f>
        <v>#N/A</v>
      </c>
      <c r="D457" s="376" t="str">
        <f>CS_PID!D457/VLOOKUP($B457,표2[#ALL],2)</f>
        <v>#N/A</v>
      </c>
      <c r="E457" s="376" t="str">
        <f>CS_PID!E457/VLOOKUP($B457,표2[#ALL],2)</f>
        <v>#N/A</v>
      </c>
      <c r="F457" s="376" t="str">
        <f>CS_PID!F457/VLOOKUP($B457,표2[#ALL],2)</f>
        <v>#N/A</v>
      </c>
      <c r="G457" s="376" t="str">
        <f>CS_PID!G457/VLOOKUP($B457,표2[#ALL],2)</f>
        <v>#N/A</v>
      </c>
      <c r="H457" s="376" t="str">
        <f>CS_PID!H457/VLOOKUP($B457,표2[#ALL],2)/HLOOKUP($A457,표1[#ALL],row(),false)</f>
        <v>#N/A</v>
      </c>
      <c r="I457" s="376" t="str">
        <f>CS_PID!I457/VLOOKUP($B457,표2[#ALL],2)/HLOOKUP($A457,표1[#ALL],row(),false)</f>
        <v>#N/A</v>
      </c>
      <c r="J457" s="376" t="str">
        <f>CS_PID!J457/VLOOKUP($B457,표2[#ALL],2)/HLOOKUP($A457,표1[#ALL],row(),false)</f>
        <v>#N/A</v>
      </c>
      <c r="K457" s="376" t="str">
        <f>CS_PID!K457/VLOOKUP($B457,표2[#ALL],2)/HLOOKUP($A457,표1[#ALL],row(),false)</f>
        <v>#N/A</v>
      </c>
      <c r="L457" s="376" t="str">
        <f>CS_PID!L457/VLOOKUP($B457,표2[#ALL],2)/HLOOKUP($A457,표1[#ALL],row(),false)</f>
        <v>#N/A</v>
      </c>
      <c r="M457" s="376" t="str">
        <f>CS_PID!M457/VLOOKUP($B457,표2[#ALL],2)/HLOOKUP($A457,표1[#ALL],row(),false)</f>
        <v>#N/A</v>
      </c>
      <c r="N457" s="376" t="str">
        <f>CS_PID!N457/VLOOKUP($B457,표2[#ALL],2)/HLOOKUP($A457,표1[#ALL],row(),false)</f>
        <v>#N/A</v>
      </c>
      <c r="O457" s="376" t="str">
        <f>CS_PID!O457/VLOOKUP($B457,표2[#ALL],2)/HLOOKUP($A457,표1[#ALL],row(),false)</f>
        <v>#N/A</v>
      </c>
      <c r="P457" s="376" t="str">
        <f>CS_PID!P457/VLOOKUP($B457,표2[#ALL],2)/HLOOKUP($A457,표1[#ALL],row(),false)</f>
        <v>#N/A</v>
      </c>
      <c r="Q457" s="376" t="str">
        <f>CS_PID!Q457/VLOOKUP($B457,표2[#ALL],2)/HLOOKUP($A457,표1[#ALL],row(),false)</f>
        <v>#N/A</v>
      </c>
      <c r="R457" s="376" t="str">
        <f>CS_PID!R457/VLOOKUP($B457,표2[#ALL],2)/HLOOKUP($A457,표1[#ALL],row(),false)</f>
        <v>#N/A</v>
      </c>
      <c r="S457" s="376" t="str">
        <f>CS_PID!S457/VLOOKUP($B457,표2[#ALL],2)/HLOOKUP($A457,표1[#ALL],row(),false)</f>
        <v>#N/A</v>
      </c>
      <c r="T457" s="376" t="str">
        <f>CS_PID!T457/VLOOKUP($B457,표2[#ALL],2)/HLOOKUP($A457,표1[#ALL],row(),false)</f>
        <v>#N/A</v>
      </c>
      <c r="U457" s="376" t="str">
        <f>CS_PID!U457/VLOOKUP($B457,표2[#ALL],2)/HLOOKUP($A457,표1[#ALL],row(),false)</f>
        <v>#N/A</v>
      </c>
      <c r="V457" s="376" t="str">
        <f>CS_PID!V457/VLOOKUP($B457,표2[#ALL],2)/HLOOKUP($A457,표1[#ALL],row(),false)</f>
        <v>#N/A</v>
      </c>
      <c r="W457" s="376" t="str">
        <f>CS_PID!W457/VLOOKUP($B457,표2[#ALL],2)/HLOOKUP($A457,표1[#ALL],row(),false)</f>
        <v>#N/A</v>
      </c>
      <c r="X457" s="376" t="str">
        <f>CS_PID!X457/VLOOKUP($B457,표2[#ALL],2)/HLOOKUP($A457,표1[#ALL],row(),false)</f>
        <v>#N/A</v>
      </c>
      <c r="Y457" s="376" t="str">
        <f>CS_PID!Y457/VLOOKUP($B457,표2[#ALL],2)/HLOOKUP($A457,표1[#ALL],row(),false)</f>
        <v>#N/A</v>
      </c>
      <c r="Z457" s="376" t="str">
        <f>CS_PID!Z457/VLOOKUP($B457,표2[#ALL],2)/HLOOKUP($A457,표1[#ALL],row(),false)</f>
        <v>#N/A</v>
      </c>
      <c r="AA457" s="376" t="str">
        <f>CS_PID!AA457/VLOOKUP($B457,표2[#ALL],2)/HLOOKUP($A457,표1[#ALL],row(),false)</f>
        <v>#N/A</v>
      </c>
      <c r="AB457" s="376" t="str">
        <f>CS_PID!AB457/VLOOKUP($B457,표2[#ALL],2)/HLOOKUP($A457,표1[#ALL],row(),false)</f>
        <v>#N/A</v>
      </c>
      <c r="AC457" s="376" t="str">
        <f>CS_PID!AC457/VLOOKUP($B457,표2[#ALL],2)/HLOOKUP($A457,표1[#ALL],row(),false)</f>
        <v>#N/A</v>
      </c>
      <c r="AD457" s="376" t="str">
        <f>CS_PID!AD457/VLOOKUP($B457,표2[#ALL],2)/HLOOKUP($A457,표1[#ALL],row(),false)</f>
        <v>#N/A</v>
      </c>
      <c r="AE457" s="376" t="str">
        <f>CS_PID!AE457/VLOOKUP($B457,표2[#ALL],2)/HLOOKUP($A457,표1[#ALL],row(),false)</f>
        <v>#N/A</v>
      </c>
      <c r="AF457" s="376" t="str">
        <f>CS_PID!AF457/VLOOKUP($B457,표2[#ALL],2)/HLOOKUP($A457,표1[#ALL],row(),false)</f>
        <v>#N/A</v>
      </c>
      <c r="AG457" s="376" t="str">
        <f>CS_PID!AG457/VLOOKUP($B457,표2[#ALL],2)/HLOOKUP($A457,표1[#ALL],row(),false)</f>
        <v>#N/A</v>
      </c>
      <c r="AH457" s="376" t="str">
        <f>CS_PID!AH457/VLOOKUP($B457,표2[#ALL],2)/HLOOKUP($A457,표1[#ALL],row(),false)</f>
        <v>#N/A</v>
      </c>
      <c r="AI457" s="376" t="str">
        <f>CS_PID!AI457/VLOOKUP($B457,표2[#ALL],2)/HLOOKUP($A457,표1[#ALL],row(),false)</f>
        <v>#N/A</v>
      </c>
      <c r="AJ457" s="376" t="str">
        <f>CS_PID!AJ457/VLOOKUP($B457,표2[#ALL],2)/HLOOKUP($A457,표1[#ALL],row(),false)</f>
        <v>#N/A</v>
      </c>
      <c r="AK457" s="376" t="str">
        <f>CS_PID!AK457/VLOOKUP($B457,표2[#ALL],2)/HLOOKUP($A457,표1[#ALL],row(),false)</f>
        <v>#N/A</v>
      </c>
      <c r="AL457" s="376" t="str">
        <f>CS_PID!AL457/VLOOKUP($B457,표2[#ALL],2)/HLOOKUP($A457,표1[#ALL],row(),false)</f>
        <v>#N/A</v>
      </c>
      <c r="AM457" s="376" t="str">
        <f>CS_PID!AM457/VLOOKUP($B457,표2[#ALL],2)/HLOOKUP($A457,표1[#ALL],row(),false)</f>
        <v>#N/A</v>
      </c>
      <c r="AN457" s="376" t="str">
        <f>CS_PID!AN457/VLOOKUP($B457,표2[#ALL],2)/HLOOKUP($A457,표1[#ALL],row(),false)</f>
        <v>#N/A</v>
      </c>
      <c r="AO457" s="376" t="str">
        <f>CS_PID!AO457/VLOOKUP($B457,표2[#ALL],2)/HLOOKUP($A457,표1[#ALL],row(),false)</f>
        <v>#N/A</v>
      </c>
      <c r="AP457" s="376" t="str">
        <f>CS_PID!AP457/VLOOKUP($B457,표2[#ALL],2)/HLOOKUP($A457,표1[#ALL],row(),false)</f>
        <v>#N/A</v>
      </c>
      <c r="AQ457" s="376" t="str">
        <f>CS_PID!AQ457/VLOOKUP($B457,표2[#ALL],2)/HLOOKUP($A457,표1[#ALL],row(),false)</f>
        <v>#N/A</v>
      </c>
      <c r="AR457" s="376" t="str">
        <f>CS_PID!AR457/VLOOKUP($B457,표2[#ALL],2)/HLOOKUP($A457,표1[#ALL],row(),false)</f>
        <v>#N/A</v>
      </c>
      <c r="AS457" s="377" t="str">
        <f>CS_PID!AS457/VLOOKUP($B457,표2[#ALL],2)/HLOOKUP($A457,표1[#ALL],row(),false)</f>
        <v>#N/A</v>
      </c>
    </row>
    <row r="458">
      <c r="A458" s="370"/>
      <c r="B458" s="371"/>
      <c r="C458" s="372" t="str">
        <f>CS_PID!C458/VLOOKUP($B458,표2[#ALL],2)</f>
        <v>#N/A</v>
      </c>
      <c r="D458" s="372" t="str">
        <f>CS_PID!D458/VLOOKUP($B458,표2[#ALL],2)</f>
        <v>#N/A</v>
      </c>
      <c r="E458" s="372" t="str">
        <f>CS_PID!E458/VLOOKUP($B458,표2[#ALL],2)</f>
        <v>#N/A</v>
      </c>
      <c r="F458" s="372" t="str">
        <f>CS_PID!F458/VLOOKUP($B458,표2[#ALL],2)</f>
        <v>#N/A</v>
      </c>
      <c r="G458" s="372" t="str">
        <f>CS_PID!G458/VLOOKUP($B458,표2[#ALL],2)</f>
        <v>#N/A</v>
      </c>
      <c r="H458" s="372" t="str">
        <f>CS_PID!H458/VLOOKUP($B458,표2[#ALL],2)/HLOOKUP($A458,표1[#ALL],row(),false)</f>
        <v>#N/A</v>
      </c>
      <c r="I458" s="372" t="str">
        <f>CS_PID!I458/VLOOKUP($B458,표2[#ALL],2)/HLOOKUP($A458,표1[#ALL],row(),false)</f>
        <v>#N/A</v>
      </c>
      <c r="J458" s="372" t="str">
        <f>CS_PID!J458/VLOOKUP($B458,표2[#ALL],2)/HLOOKUP($A458,표1[#ALL],row(),false)</f>
        <v>#N/A</v>
      </c>
      <c r="K458" s="372" t="str">
        <f>CS_PID!K458/VLOOKUP($B458,표2[#ALL],2)/HLOOKUP($A458,표1[#ALL],row(),false)</f>
        <v>#N/A</v>
      </c>
      <c r="L458" s="372" t="str">
        <f>CS_PID!L458/VLOOKUP($B458,표2[#ALL],2)/HLOOKUP($A458,표1[#ALL],row(),false)</f>
        <v>#N/A</v>
      </c>
      <c r="M458" s="372" t="str">
        <f>CS_PID!M458/VLOOKUP($B458,표2[#ALL],2)/HLOOKUP($A458,표1[#ALL],row(),false)</f>
        <v>#N/A</v>
      </c>
      <c r="N458" s="372" t="str">
        <f>CS_PID!N458/VLOOKUP($B458,표2[#ALL],2)/HLOOKUP($A458,표1[#ALL],row(),false)</f>
        <v>#N/A</v>
      </c>
      <c r="O458" s="372" t="str">
        <f>CS_PID!O458/VLOOKUP($B458,표2[#ALL],2)/HLOOKUP($A458,표1[#ALL],row(),false)</f>
        <v>#N/A</v>
      </c>
      <c r="P458" s="372" t="str">
        <f>CS_PID!P458/VLOOKUP($B458,표2[#ALL],2)/HLOOKUP($A458,표1[#ALL],row(),false)</f>
        <v>#N/A</v>
      </c>
      <c r="Q458" s="372" t="str">
        <f>CS_PID!Q458/VLOOKUP($B458,표2[#ALL],2)/HLOOKUP($A458,표1[#ALL],row(),false)</f>
        <v>#N/A</v>
      </c>
      <c r="R458" s="372" t="str">
        <f>CS_PID!R458/VLOOKUP($B458,표2[#ALL],2)/HLOOKUP($A458,표1[#ALL],row(),false)</f>
        <v>#N/A</v>
      </c>
      <c r="S458" s="372" t="str">
        <f>CS_PID!S458/VLOOKUP($B458,표2[#ALL],2)/HLOOKUP($A458,표1[#ALL],row(),false)</f>
        <v>#N/A</v>
      </c>
      <c r="T458" s="372" t="str">
        <f>CS_PID!T458/VLOOKUP($B458,표2[#ALL],2)/HLOOKUP($A458,표1[#ALL],row(),false)</f>
        <v>#N/A</v>
      </c>
      <c r="U458" s="372" t="str">
        <f>CS_PID!U458/VLOOKUP($B458,표2[#ALL],2)/HLOOKUP($A458,표1[#ALL],row(),false)</f>
        <v>#N/A</v>
      </c>
      <c r="V458" s="372" t="str">
        <f>CS_PID!V458/VLOOKUP($B458,표2[#ALL],2)/HLOOKUP($A458,표1[#ALL],row(),false)</f>
        <v>#N/A</v>
      </c>
      <c r="W458" s="372" t="str">
        <f>CS_PID!W458/VLOOKUP($B458,표2[#ALL],2)/HLOOKUP($A458,표1[#ALL],row(),false)</f>
        <v>#N/A</v>
      </c>
      <c r="X458" s="372" t="str">
        <f>CS_PID!X458/VLOOKUP($B458,표2[#ALL],2)/HLOOKUP($A458,표1[#ALL],row(),false)</f>
        <v>#N/A</v>
      </c>
      <c r="Y458" s="372" t="str">
        <f>CS_PID!Y458/VLOOKUP($B458,표2[#ALL],2)/HLOOKUP($A458,표1[#ALL],row(),false)</f>
        <v>#N/A</v>
      </c>
      <c r="Z458" s="372" t="str">
        <f>CS_PID!Z458/VLOOKUP($B458,표2[#ALL],2)/HLOOKUP($A458,표1[#ALL],row(),false)</f>
        <v>#N/A</v>
      </c>
      <c r="AA458" s="372" t="str">
        <f>CS_PID!AA458/VLOOKUP($B458,표2[#ALL],2)/HLOOKUP($A458,표1[#ALL],row(),false)</f>
        <v>#N/A</v>
      </c>
      <c r="AB458" s="372" t="str">
        <f>CS_PID!AB458/VLOOKUP($B458,표2[#ALL],2)/HLOOKUP($A458,표1[#ALL],row(),false)</f>
        <v>#N/A</v>
      </c>
      <c r="AC458" s="372" t="str">
        <f>CS_PID!AC458/VLOOKUP($B458,표2[#ALL],2)/HLOOKUP($A458,표1[#ALL],row(),false)</f>
        <v>#N/A</v>
      </c>
      <c r="AD458" s="372" t="str">
        <f>CS_PID!AD458/VLOOKUP($B458,표2[#ALL],2)/HLOOKUP($A458,표1[#ALL],row(),false)</f>
        <v>#N/A</v>
      </c>
      <c r="AE458" s="372" t="str">
        <f>CS_PID!AE458/VLOOKUP($B458,표2[#ALL],2)/HLOOKUP($A458,표1[#ALL],row(),false)</f>
        <v>#N/A</v>
      </c>
      <c r="AF458" s="372" t="str">
        <f>CS_PID!AF458/VLOOKUP($B458,표2[#ALL],2)/HLOOKUP($A458,표1[#ALL],row(),false)</f>
        <v>#N/A</v>
      </c>
      <c r="AG458" s="372" t="str">
        <f>CS_PID!AG458/VLOOKUP($B458,표2[#ALL],2)/HLOOKUP($A458,표1[#ALL],row(),false)</f>
        <v>#N/A</v>
      </c>
      <c r="AH458" s="372" t="str">
        <f>CS_PID!AH458/VLOOKUP($B458,표2[#ALL],2)/HLOOKUP($A458,표1[#ALL],row(),false)</f>
        <v>#N/A</v>
      </c>
      <c r="AI458" s="372" t="str">
        <f>CS_PID!AI458/VLOOKUP($B458,표2[#ALL],2)/HLOOKUP($A458,표1[#ALL],row(),false)</f>
        <v>#N/A</v>
      </c>
      <c r="AJ458" s="372" t="str">
        <f>CS_PID!AJ458/VLOOKUP($B458,표2[#ALL],2)/HLOOKUP($A458,표1[#ALL],row(),false)</f>
        <v>#N/A</v>
      </c>
      <c r="AK458" s="372" t="str">
        <f>CS_PID!AK458/VLOOKUP($B458,표2[#ALL],2)/HLOOKUP($A458,표1[#ALL],row(),false)</f>
        <v>#N/A</v>
      </c>
      <c r="AL458" s="372" t="str">
        <f>CS_PID!AL458/VLOOKUP($B458,표2[#ALL],2)/HLOOKUP($A458,표1[#ALL],row(),false)</f>
        <v>#N/A</v>
      </c>
      <c r="AM458" s="372" t="str">
        <f>CS_PID!AM458/VLOOKUP($B458,표2[#ALL],2)/HLOOKUP($A458,표1[#ALL],row(),false)</f>
        <v>#N/A</v>
      </c>
      <c r="AN458" s="372" t="str">
        <f>CS_PID!AN458/VLOOKUP($B458,표2[#ALL],2)/HLOOKUP($A458,표1[#ALL],row(),false)</f>
        <v>#N/A</v>
      </c>
      <c r="AO458" s="372" t="str">
        <f>CS_PID!AO458/VLOOKUP($B458,표2[#ALL],2)/HLOOKUP($A458,표1[#ALL],row(),false)</f>
        <v>#N/A</v>
      </c>
      <c r="AP458" s="372" t="str">
        <f>CS_PID!AP458/VLOOKUP($B458,표2[#ALL],2)/HLOOKUP($A458,표1[#ALL],row(),false)</f>
        <v>#N/A</v>
      </c>
      <c r="AQ458" s="372" t="str">
        <f>CS_PID!AQ458/VLOOKUP($B458,표2[#ALL],2)/HLOOKUP($A458,표1[#ALL],row(),false)</f>
        <v>#N/A</v>
      </c>
      <c r="AR458" s="372" t="str">
        <f>CS_PID!AR458/VLOOKUP($B458,표2[#ALL],2)/HLOOKUP($A458,표1[#ALL],row(),false)</f>
        <v>#N/A</v>
      </c>
      <c r="AS458" s="373" t="str">
        <f>CS_PID!AS458/VLOOKUP($B458,표2[#ALL],2)/HLOOKUP($A458,표1[#ALL],row(),false)</f>
        <v>#N/A</v>
      </c>
    </row>
    <row r="459">
      <c r="A459" s="374"/>
      <c r="B459" s="375"/>
      <c r="C459" s="376" t="str">
        <f>CS_PID!C459/VLOOKUP($B459,표2[#ALL],2)</f>
        <v>#N/A</v>
      </c>
      <c r="D459" s="376" t="str">
        <f>CS_PID!D459/VLOOKUP($B459,표2[#ALL],2)</f>
        <v>#N/A</v>
      </c>
      <c r="E459" s="376" t="str">
        <f>CS_PID!E459/VLOOKUP($B459,표2[#ALL],2)</f>
        <v>#N/A</v>
      </c>
      <c r="F459" s="376" t="str">
        <f>CS_PID!F459/VLOOKUP($B459,표2[#ALL],2)</f>
        <v>#N/A</v>
      </c>
      <c r="G459" s="376" t="str">
        <f>CS_PID!G459/VLOOKUP($B459,표2[#ALL],2)</f>
        <v>#N/A</v>
      </c>
      <c r="H459" s="376" t="str">
        <f>CS_PID!H459/VLOOKUP($B459,표2[#ALL],2)/HLOOKUP($A459,표1[#ALL],row(),false)</f>
        <v>#N/A</v>
      </c>
      <c r="I459" s="376" t="str">
        <f>CS_PID!I459/VLOOKUP($B459,표2[#ALL],2)/HLOOKUP($A459,표1[#ALL],row(),false)</f>
        <v>#N/A</v>
      </c>
      <c r="J459" s="376" t="str">
        <f>CS_PID!J459/VLOOKUP($B459,표2[#ALL],2)/HLOOKUP($A459,표1[#ALL],row(),false)</f>
        <v>#N/A</v>
      </c>
      <c r="K459" s="376" t="str">
        <f>CS_PID!K459/VLOOKUP($B459,표2[#ALL],2)/HLOOKUP($A459,표1[#ALL],row(),false)</f>
        <v>#N/A</v>
      </c>
      <c r="L459" s="376" t="str">
        <f>CS_PID!L459/VLOOKUP($B459,표2[#ALL],2)/HLOOKUP($A459,표1[#ALL],row(),false)</f>
        <v>#N/A</v>
      </c>
      <c r="M459" s="376" t="str">
        <f>CS_PID!M459/VLOOKUP($B459,표2[#ALL],2)/HLOOKUP($A459,표1[#ALL],row(),false)</f>
        <v>#N/A</v>
      </c>
      <c r="N459" s="376" t="str">
        <f>CS_PID!N459/VLOOKUP($B459,표2[#ALL],2)/HLOOKUP($A459,표1[#ALL],row(),false)</f>
        <v>#N/A</v>
      </c>
      <c r="O459" s="376" t="str">
        <f>CS_PID!O459/VLOOKUP($B459,표2[#ALL],2)/HLOOKUP($A459,표1[#ALL],row(),false)</f>
        <v>#N/A</v>
      </c>
      <c r="P459" s="376" t="str">
        <f>CS_PID!P459/VLOOKUP($B459,표2[#ALL],2)/HLOOKUP($A459,표1[#ALL],row(),false)</f>
        <v>#N/A</v>
      </c>
      <c r="Q459" s="376" t="str">
        <f>CS_PID!Q459/VLOOKUP($B459,표2[#ALL],2)/HLOOKUP($A459,표1[#ALL],row(),false)</f>
        <v>#N/A</v>
      </c>
      <c r="R459" s="376" t="str">
        <f>CS_PID!R459/VLOOKUP($B459,표2[#ALL],2)/HLOOKUP($A459,표1[#ALL],row(),false)</f>
        <v>#N/A</v>
      </c>
      <c r="S459" s="376" t="str">
        <f>CS_PID!S459/VLOOKUP($B459,표2[#ALL],2)/HLOOKUP($A459,표1[#ALL],row(),false)</f>
        <v>#N/A</v>
      </c>
      <c r="T459" s="376" t="str">
        <f>CS_PID!T459/VLOOKUP($B459,표2[#ALL],2)/HLOOKUP($A459,표1[#ALL],row(),false)</f>
        <v>#N/A</v>
      </c>
      <c r="U459" s="376" t="str">
        <f>CS_PID!U459/VLOOKUP($B459,표2[#ALL],2)/HLOOKUP($A459,표1[#ALL],row(),false)</f>
        <v>#N/A</v>
      </c>
      <c r="V459" s="376" t="str">
        <f>CS_PID!V459/VLOOKUP($B459,표2[#ALL],2)/HLOOKUP($A459,표1[#ALL],row(),false)</f>
        <v>#N/A</v>
      </c>
      <c r="W459" s="376" t="str">
        <f>CS_PID!W459/VLOOKUP($B459,표2[#ALL],2)/HLOOKUP($A459,표1[#ALL],row(),false)</f>
        <v>#N/A</v>
      </c>
      <c r="X459" s="376" t="str">
        <f>CS_PID!X459/VLOOKUP($B459,표2[#ALL],2)/HLOOKUP($A459,표1[#ALL],row(),false)</f>
        <v>#N/A</v>
      </c>
      <c r="Y459" s="376" t="str">
        <f>CS_PID!Y459/VLOOKUP($B459,표2[#ALL],2)/HLOOKUP($A459,표1[#ALL],row(),false)</f>
        <v>#N/A</v>
      </c>
      <c r="Z459" s="376" t="str">
        <f>CS_PID!Z459/VLOOKUP($B459,표2[#ALL],2)/HLOOKUP($A459,표1[#ALL],row(),false)</f>
        <v>#N/A</v>
      </c>
      <c r="AA459" s="376" t="str">
        <f>CS_PID!AA459/VLOOKUP($B459,표2[#ALL],2)/HLOOKUP($A459,표1[#ALL],row(),false)</f>
        <v>#N/A</v>
      </c>
      <c r="AB459" s="376" t="str">
        <f>CS_PID!AB459/VLOOKUP($B459,표2[#ALL],2)/HLOOKUP($A459,표1[#ALL],row(),false)</f>
        <v>#N/A</v>
      </c>
      <c r="AC459" s="376" t="str">
        <f>CS_PID!AC459/VLOOKUP($B459,표2[#ALL],2)/HLOOKUP($A459,표1[#ALL],row(),false)</f>
        <v>#N/A</v>
      </c>
      <c r="AD459" s="376" t="str">
        <f>CS_PID!AD459/VLOOKUP($B459,표2[#ALL],2)/HLOOKUP($A459,표1[#ALL],row(),false)</f>
        <v>#N/A</v>
      </c>
      <c r="AE459" s="376" t="str">
        <f>CS_PID!AE459/VLOOKUP($B459,표2[#ALL],2)/HLOOKUP($A459,표1[#ALL],row(),false)</f>
        <v>#N/A</v>
      </c>
      <c r="AF459" s="376" t="str">
        <f>CS_PID!AF459/VLOOKUP($B459,표2[#ALL],2)/HLOOKUP($A459,표1[#ALL],row(),false)</f>
        <v>#N/A</v>
      </c>
      <c r="AG459" s="376" t="str">
        <f>CS_PID!AG459/VLOOKUP($B459,표2[#ALL],2)/HLOOKUP($A459,표1[#ALL],row(),false)</f>
        <v>#N/A</v>
      </c>
      <c r="AH459" s="376" t="str">
        <f>CS_PID!AH459/VLOOKUP($B459,표2[#ALL],2)/HLOOKUP($A459,표1[#ALL],row(),false)</f>
        <v>#N/A</v>
      </c>
      <c r="AI459" s="376" t="str">
        <f>CS_PID!AI459/VLOOKUP($B459,표2[#ALL],2)/HLOOKUP($A459,표1[#ALL],row(),false)</f>
        <v>#N/A</v>
      </c>
      <c r="AJ459" s="376" t="str">
        <f>CS_PID!AJ459/VLOOKUP($B459,표2[#ALL],2)/HLOOKUP($A459,표1[#ALL],row(),false)</f>
        <v>#N/A</v>
      </c>
      <c r="AK459" s="376" t="str">
        <f>CS_PID!AK459/VLOOKUP($B459,표2[#ALL],2)/HLOOKUP($A459,표1[#ALL],row(),false)</f>
        <v>#N/A</v>
      </c>
      <c r="AL459" s="376" t="str">
        <f>CS_PID!AL459/VLOOKUP($B459,표2[#ALL],2)/HLOOKUP($A459,표1[#ALL],row(),false)</f>
        <v>#N/A</v>
      </c>
      <c r="AM459" s="376" t="str">
        <f>CS_PID!AM459/VLOOKUP($B459,표2[#ALL],2)/HLOOKUP($A459,표1[#ALL],row(),false)</f>
        <v>#N/A</v>
      </c>
      <c r="AN459" s="376" t="str">
        <f>CS_PID!AN459/VLOOKUP($B459,표2[#ALL],2)/HLOOKUP($A459,표1[#ALL],row(),false)</f>
        <v>#N/A</v>
      </c>
      <c r="AO459" s="376" t="str">
        <f>CS_PID!AO459/VLOOKUP($B459,표2[#ALL],2)/HLOOKUP($A459,표1[#ALL],row(),false)</f>
        <v>#N/A</v>
      </c>
      <c r="AP459" s="376" t="str">
        <f>CS_PID!AP459/VLOOKUP($B459,표2[#ALL],2)/HLOOKUP($A459,표1[#ALL],row(),false)</f>
        <v>#N/A</v>
      </c>
      <c r="AQ459" s="376" t="str">
        <f>CS_PID!AQ459/VLOOKUP($B459,표2[#ALL],2)/HLOOKUP($A459,표1[#ALL],row(),false)</f>
        <v>#N/A</v>
      </c>
      <c r="AR459" s="376" t="str">
        <f>CS_PID!AR459/VLOOKUP($B459,표2[#ALL],2)/HLOOKUP($A459,표1[#ALL],row(),false)</f>
        <v>#N/A</v>
      </c>
      <c r="AS459" s="377" t="str">
        <f>CS_PID!AS459/VLOOKUP($B459,표2[#ALL],2)/HLOOKUP($A459,표1[#ALL],row(),false)</f>
        <v>#N/A</v>
      </c>
    </row>
    <row r="460">
      <c r="A460" s="370"/>
      <c r="B460" s="371"/>
      <c r="C460" s="372" t="str">
        <f>CS_PID!C460/VLOOKUP($B460,표2[#ALL],2)</f>
        <v>#N/A</v>
      </c>
      <c r="D460" s="372" t="str">
        <f>CS_PID!D460/VLOOKUP($B460,표2[#ALL],2)</f>
        <v>#N/A</v>
      </c>
      <c r="E460" s="372" t="str">
        <f>CS_PID!E460/VLOOKUP($B460,표2[#ALL],2)</f>
        <v>#N/A</v>
      </c>
      <c r="F460" s="372" t="str">
        <f>CS_PID!F460/VLOOKUP($B460,표2[#ALL],2)</f>
        <v>#N/A</v>
      </c>
      <c r="G460" s="372" t="str">
        <f>CS_PID!G460/VLOOKUP($B460,표2[#ALL],2)</f>
        <v>#N/A</v>
      </c>
      <c r="H460" s="372" t="str">
        <f>CS_PID!H460/VLOOKUP($B460,표2[#ALL],2)/HLOOKUP($A460,표1[#ALL],row(),false)</f>
        <v>#N/A</v>
      </c>
      <c r="I460" s="372" t="str">
        <f>CS_PID!I460/VLOOKUP($B460,표2[#ALL],2)/HLOOKUP($A460,표1[#ALL],row(),false)</f>
        <v>#N/A</v>
      </c>
      <c r="J460" s="372" t="str">
        <f>CS_PID!J460/VLOOKUP($B460,표2[#ALL],2)/HLOOKUP($A460,표1[#ALL],row(),false)</f>
        <v>#N/A</v>
      </c>
      <c r="K460" s="372" t="str">
        <f>CS_PID!K460/VLOOKUP($B460,표2[#ALL],2)/HLOOKUP($A460,표1[#ALL],row(),false)</f>
        <v>#N/A</v>
      </c>
      <c r="L460" s="372" t="str">
        <f>CS_PID!L460/VLOOKUP($B460,표2[#ALL],2)/HLOOKUP($A460,표1[#ALL],row(),false)</f>
        <v>#N/A</v>
      </c>
      <c r="M460" s="372" t="str">
        <f>CS_PID!M460/VLOOKUP($B460,표2[#ALL],2)/HLOOKUP($A460,표1[#ALL],row(),false)</f>
        <v>#N/A</v>
      </c>
      <c r="N460" s="372" t="str">
        <f>CS_PID!N460/VLOOKUP($B460,표2[#ALL],2)/HLOOKUP($A460,표1[#ALL],row(),false)</f>
        <v>#N/A</v>
      </c>
      <c r="O460" s="372" t="str">
        <f>CS_PID!O460/VLOOKUP($B460,표2[#ALL],2)/HLOOKUP($A460,표1[#ALL],row(),false)</f>
        <v>#N/A</v>
      </c>
      <c r="P460" s="372" t="str">
        <f>CS_PID!P460/VLOOKUP($B460,표2[#ALL],2)/HLOOKUP($A460,표1[#ALL],row(),false)</f>
        <v>#N/A</v>
      </c>
      <c r="Q460" s="372" t="str">
        <f>CS_PID!Q460/VLOOKUP($B460,표2[#ALL],2)/HLOOKUP($A460,표1[#ALL],row(),false)</f>
        <v>#N/A</v>
      </c>
      <c r="R460" s="372" t="str">
        <f>CS_PID!R460/VLOOKUP($B460,표2[#ALL],2)/HLOOKUP($A460,표1[#ALL],row(),false)</f>
        <v>#N/A</v>
      </c>
      <c r="S460" s="372" t="str">
        <f>CS_PID!S460/VLOOKUP($B460,표2[#ALL],2)/HLOOKUP($A460,표1[#ALL],row(),false)</f>
        <v>#N/A</v>
      </c>
      <c r="T460" s="372" t="str">
        <f>CS_PID!T460/VLOOKUP($B460,표2[#ALL],2)/HLOOKUP($A460,표1[#ALL],row(),false)</f>
        <v>#N/A</v>
      </c>
      <c r="U460" s="372" t="str">
        <f>CS_PID!U460/VLOOKUP($B460,표2[#ALL],2)/HLOOKUP($A460,표1[#ALL],row(),false)</f>
        <v>#N/A</v>
      </c>
      <c r="V460" s="372" t="str">
        <f>CS_PID!V460/VLOOKUP($B460,표2[#ALL],2)/HLOOKUP($A460,표1[#ALL],row(),false)</f>
        <v>#N/A</v>
      </c>
      <c r="W460" s="372" t="str">
        <f>CS_PID!W460/VLOOKUP($B460,표2[#ALL],2)/HLOOKUP($A460,표1[#ALL],row(),false)</f>
        <v>#N/A</v>
      </c>
      <c r="X460" s="372" t="str">
        <f>CS_PID!X460/VLOOKUP($B460,표2[#ALL],2)/HLOOKUP($A460,표1[#ALL],row(),false)</f>
        <v>#N/A</v>
      </c>
      <c r="Y460" s="372" t="str">
        <f>CS_PID!Y460/VLOOKUP($B460,표2[#ALL],2)/HLOOKUP($A460,표1[#ALL],row(),false)</f>
        <v>#N/A</v>
      </c>
      <c r="Z460" s="372" t="str">
        <f>CS_PID!Z460/VLOOKUP($B460,표2[#ALL],2)/HLOOKUP($A460,표1[#ALL],row(),false)</f>
        <v>#N/A</v>
      </c>
      <c r="AA460" s="372" t="str">
        <f>CS_PID!AA460/VLOOKUP($B460,표2[#ALL],2)/HLOOKUP($A460,표1[#ALL],row(),false)</f>
        <v>#N/A</v>
      </c>
      <c r="AB460" s="372" t="str">
        <f>CS_PID!AB460/VLOOKUP($B460,표2[#ALL],2)/HLOOKUP($A460,표1[#ALL],row(),false)</f>
        <v>#N/A</v>
      </c>
      <c r="AC460" s="372" t="str">
        <f>CS_PID!AC460/VLOOKUP($B460,표2[#ALL],2)/HLOOKUP($A460,표1[#ALL],row(),false)</f>
        <v>#N/A</v>
      </c>
      <c r="AD460" s="372" t="str">
        <f>CS_PID!AD460/VLOOKUP($B460,표2[#ALL],2)/HLOOKUP($A460,표1[#ALL],row(),false)</f>
        <v>#N/A</v>
      </c>
      <c r="AE460" s="372" t="str">
        <f>CS_PID!AE460/VLOOKUP($B460,표2[#ALL],2)/HLOOKUP($A460,표1[#ALL],row(),false)</f>
        <v>#N/A</v>
      </c>
      <c r="AF460" s="372" t="str">
        <f>CS_PID!AF460/VLOOKUP($B460,표2[#ALL],2)/HLOOKUP($A460,표1[#ALL],row(),false)</f>
        <v>#N/A</v>
      </c>
      <c r="AG460" s="372" t="str">
        <f>CS_PID!AG460/VLOOKUP($B460,표2[#ALL],2)/HLOOKUP($A460,표1[#ALL],row(),false)</f>
        <v>#N/A</v>
      </c>
      <c r="AH460" s="372" t="str">
        <f>CS_PID!AH460/VLOOKUP($B460,표2[#ALL],2)/HLOOKUP($A460,표1[#ALL],row(),false)</f>
        <v>#N/A</v>
      </c>
      <c r="AI460" s="372" t="str">
        <f>CS_PID!AI460/VLOOKUP($B460,표2[#ALL],2)/HLOOKUP($A460,표1[#ALL],row(),false)</f>
        <v>#N/A</v>
      </c>
      <c r="AJ460" s="372" t="str">
        <f>CS_PID!AJ460/VLOOKUP($B460,표2[#ALL],2)/HLOOKUP($A460,표1[#ALL],row(),false)</f>
        <v>#N/A</v>
      </c>
      <c r="AK460" s="372" t="str">
        <f>CS_PID!AK460/VLOOKUP($B460,표2[#ALL],2)/HLOOKUP($A460,표1[#ALL],row(),false)</f>
        <v>#N/A</v>
      </c>
      <c r="AL460" s="372" t="str">
        <f>CS_PID!AL460/VLOOKUP($B460,표2[#ALL],2)/HLOOKUP($A460,표1[#ALL],row(),false)</f>
        <v>#N/A</v>
      </c>
      <c r="AM460" s="372" t="str">
        <f>CS_PID!AM460/VLOOKUP($B460,표2[#ALL],2)/HLOOKUP($A460,표1[#ALL],row(),false)</f>
        <v>#N/A</v>
      </c>
      <c r="AN460" s="372" t="str">
        <f>CS_PID!AN460/VLOOKUP($B460,표2[#ALL],2)/HLOOKUP($A460,표1[#ALL],row(),false)</f>
        <v>#N/A</v>
      </c>
      <c r="AO460" s="372" t="str">
        <f>CS_PID!AO460/VLOOKUP($B460,표2[#ALL],2)/HLOOKUP($A460,표1[#ALL],row(),false)</f>
        <v>#N/A</v>
      </c>
      <c r="AP460" s="372" t="str">
        <f>CS_PID!AP460/VLOOKUP($B460,표2[#ALL],2)/HLOOKUP($A460,표1[#ALL],row(),false)</f>
        <v>#N/A</v>
      </c>
      <c r="AQ460" s="372" t="str">
        <f>CS_PID!AQ460/VLOOKUP($B460,표2[#ALL],2)/HLOOKUP($A460,표1[#ALL],row(),false)</f>
        <v>#N/A</v>
      </c>
      <c r="AR460" s="372" t="str">
        <f>CS_PID!AR460/VLOOKUP($B460,표2[#ALL],2)/HLOOKUP($A460,표1[#ALL],row(),false)</f>
        <v>#N/A</v>
      </c>
      <c r="AS460" s="373" t="str">
        <f>CS_PID!AS460/VLOOKUP($B460,표2[#ALL],2)/HLOOKUP($A460,표1[#ALL],row(),false)</f>
        <v>#N/A</v>
      </c>
    </row>
    <row r="461">
      <c r="A461" s="374"/>
      <c r="B461" s="375"/>
      <c r="C461" s="376" t="str">
        <f>CS_PID!C461/VLOOKUP($B461,표2[#ALL],2)</f>
        <v>#N/A</v>
      </c>
      <c r="D461" s="376" t="str">
        <f>CS_PID!D461/VLOOKUP($B461,표2[#ALL],2)</f>
        <v>#N/A</v>
      </c>
      <c r="E461" s="376" t="str">
        <f>CS_PID!E461/VLOOKUP($B461,표2[#ALL],2)</f>
        <v>#N/A</v>
      </c>
      <c r="F461" s="376" t="str">
        <f>CS_PID!F461/VLOOKUP($B461,표2[#ALL],2)</f>
        <v>#N/A</v>
      </c>
      <c r="G461" s="376" t="str">
        <f>CS_PID!G461/VLOOKUP($B461,표2[#ALL],2)</f>
        <v>#N/A</v>
      </c>
      <c r="H461" s="376" t="str">
        <f>CS_PID!H461/VLOOKUP($B461,표2[#ALL],2)/HLOOKUP($A461,표1[#ALL],row(),false)</f>
        <v>#N/A</v>
      </c>
      <c r="I461" s="376" t="str">
        <f>CS_PID!I461/VLOOKUP($B461,표2[#ALL],2)/HLOOKUP($A461,표1[#ALL],row(),false)</f>
        <v>#N/A</v>
      </c>
      <c r="J461" s="376" t="str">
        <f>CS_PID!J461/VLOOKUP($B461,표2[#ALL],2)/HLOOKUP($A461,표1[#ALL],row(),false)</f>
        <v>#N/A</v>
      </c>
      <c r="K461" s="376" t="str">
        <f>CS_PID!K461/VLOOKUP($B461,표2[#ALL],2)/HLOOKUP($A461,표1[#ALL],row(),false)</f>
        <v>#N/A</v>
      </c>
      <c r="L461" s="376" t="str">
        <f>CS_PID!L461/VLOOKUP($B461,표2[#ALL],2)/HLOOKUP($A461,표1[#ALL],row(),false)</f>
        <v>#N/A</v>
      </c>
      <c r="M461" s="376" t="str">
        <f>CS_PID!M461/VLOOKUP($B461,표2[#ALL],2)/HLOOKUP($A461,표1[#ALL],row(),false)</f>
        <v>#N/A</v>
      </c>
      <c r="N461" s="376" t="str">
        <f>CS_PID!N461/VLOOKUP($B461,표2[#ALL],2)/HLOOKUP($A461,표1[#ALL],row(),false)</f>
        <v>#N/A</v>
      </c>
      <c r="O461" s="376" t="str">
        <f>CS_PID!O461/VLOOKUP($B461,표2[#ALL],2)/HLOOKUP($A461,표1[#ALL],row(),false)</f>
        <v>#N/A</v>
      </c>
      <c r="P461" s="376" t="str">
        <f>CS_PID!P461/VLOOKUP($B461,표2[#ALL],2)/HLOOKUP($A461,표1[#ALL],row(),false)</f>
        <v>#N/A</v>
      </c>
      <c r="Q461" s="376" t="str">
        <f>CS_PID!Q461/VLOOKUP($B461,표2[#ALL],2)/HLOOKUP($A461,표1[#ALL],row(),false)</f>
        <v>#N/A</v>
      </c>
      <c r="R461" s="376" t="str">
        <f>CS_PID!R461/VLOOKUP($B461,표2[#ALL],2)/HLOOKUP($A461,표1[#ALL],row(),false)</f>
        <v>#N/A</v>
      </c>
      <c r="S461" s="376" t="str">
        <f>CS_PID!S461/VLOOKUP($B461,표2[#ALL],2)/HLOOKUP($A461,표1[#ALL],row(),false)</f>
        <v>#N/A</v>
      </c>
      <c r="T461" s="376" t="str">
        <f>CS_PID!T461/VLOOKUP($B461,표2[#ALL],2)/HLOOKUP($A461,표1[#ALL],row(),false)</f>
        <v>#N/A</v>
      </c>
      <c r="U461" s="376" t="str">
        <f>CS_PID!U461/VLOOKUP($B461,표2[#ALL],2)/HLOOKUP($A461,표1[#ALL],row(),false)</f>
        <v>#N/A</v>
      </c>
      <c r="V461" s="376" t="str">
        <f>CS_PID!V461/VLOOKUP($B461,표2[#ALL],2)/HLOOKUP($A461,표1[#ALL],row(),false)</f>
        <v>#N/A</v>
      </c>
      <c r="W461" s="376" t="str">
        <f>CS_PID!W461/VLOOKUP($B461,표2[#ALL],2)/HLOOKUP($A461,표1[#ALL],row(),false)</f>
        <v>#N/A</v>
      </c>
      <c r="X461" s="376" t="str">
        <f>CS_PID!X461/VLOOKUP($B461,표2[#ALL],2)/HLOOKUP($A461,표1[#ALL],row(),false)</f>
        <v>#N/A</v>
      </c>
      <c r="Y461" s="376" t="str">
        <f>CS_PID!Y461/VLOOKUP($B461,표2[#ALL],2)/HLOOKUP($A461,표1[#ALL],row(),false)</f>
        <v>#N/A</v>
      </c>
      <c r="Z461" s="376" t="str">
        <f>CS_PID!Z461/VLOOKUP($B461,표2[#ALL],2)/HLOOKUP($A461,표1[#ALL],row(),false)</f>
        <v>#N/A</v>
      </c>
      <c r="AA461" s="376" t="str">
        <f>CS_PID!AA461/VLOOKUP($B461,표2[#ALL],2)/HLOOKUP($A461,표1[#ALL],row(),false)</f>
        <v>#N/A</v>
      </c>
      <c r="AB461" s="376" t="str">
        <f>CS_PID!AB461/VLOOKUP($B461,표2[#ALL],2)/HLOOKUP($A461,표1[#ALL],row(),false)</f>
        <v>#N/A</v>
      </c>
      <c r="AC461" s="376" t="str">
        <f>CS_PID!AC461/VLOOKUP($B461,표2[#ALL],2)/HLOOKUP($A461,표1[#ALL],row(),false)</f>
        <v>#N/A</v>
      </c>
      <c r="AD461" s="376" t="str">
        <f>CS_PID!AD461/VLOOKUP($B461,표2[#ALL],2)/HLOOKUP($A461,표1[#ALL],row(),false)</f>
        <v>#N/A</v>
      </c>
      <c r="AE461" s="376" t="str">
        <f>CS_PID!AE461/VLOOKUP($B461,표2[#ALL],2)/HLOOKUP($A461,표1[#ALL],row(),false)</f>
        <v>#N/A</v>
      </c>
      <c r="AF461" s="376" t="str">
        <f>CS_PID!AF461/VLOOKUP($B461,표2[#ALL],2)/HLOOKUP($A461,표1[#ALL],row(),false)</f>
        <v>#N/A</v>
      </c>
      <c r="AG461" s="376" t="str">
        <f>CS_PID!AG461/VLOOKUP($B461,표2[#ALL],2)/HLOOKUP($A461,표1[#ALL],row(),false)</f>
        <v>#N/A</v>
      </c>
      <c r="AH461" s="376" t="str">
        <f>CS_PID!AH461/VLOOKUP($B461,표2[#ALL],2)/HLOOKUP($A461,표1[#ALL],row(),false)</f>
        <v>#N/A</v>
      </c>
      <c r="AI461" s="376" t="str">
        <f>CS_PID!AI461/VLOOKUP($B461,표2[#ALL],2)/HLOOKUP($A461,표1[#ALL],row(),false)</f>
        <v>#N/A</v>
      </c>
      <c r="AJ461" s="376" t="str">
        <f>CS_PID!AJ461/VLOOKUP($B461,표2[#ALL],2)/HLOOKUP($A461,표1[#ALL],row(),false)</f>
        <v>#N/A</v>
      </c>
      <c r="AK461" s="376" t="str">
        <f>CS_PID!AK461/VLOOKUP($B461,표2[#ALL],2)/HLOOKUP($A461,표1[#ALL],row(),false)</f>
        <v>#N/A</v>
      </c>
      <c r="AL461" s="376" t="str">
        <f>CS_PID!AL461/VLOOKUP($B461,표2[#ALL],2)/HLOOKUP($A461,표1[#ALL],row(),false)</f>
        <v>#N/A</v>
      </c>
      <c r="AM461" s="376" t="str">
        <f>CS_PID!AM461/VLOOKUP($B461,표2[#ALL],2)/HLOOKUP($A461,표1[#ALL],row(),false)</f>
        <v>#N/A</v>
      </c>
      <c r="AN461" s="376" t="str">
        <f>CS_PID!AN461/VLOOKUP($B461,표2[#ALL],2)/HLOOKUP($A461,표1[#ALL],row(),false)</f>
        <v>#N/A</v>
      </c>
      <c r="AO461" s="376" t="str">
        <f>CS_PID!AO461/VLOOKUP($B461,표2[#ALL],2)/HLOOKUP($A461,표1[#ALL],row(),false)</f>
        <v>#N/A</v>
      </c>
      <c r="AP461" s="376" t="str">
        <f>CS_PID!AP461/VLOOKUP($B461,표2[#ALL],2)/HLOOKUP($A461,표1[#ALL],row(),false)</f>
        <v>#N/A</v>
      </c>
      <c r="AQ461" s="376" t="str">
        <f>CS_PID!AQ461/VLOOKUP($B461,표2[#ALL],2)/HLOOKUP($A461,표1[#ALL],row(),false)</f>
        <v>#N/A</v>
      </c>
      <c r="AR461" s="376" t="str">
        <f>CS_PID!AR461/VLOOKUP($B461,표2[#ALL],2)/HLOOKUP($A461,표1[#ALL],row(),false)</f>
        <v>#N/A</v>
      </c>
      <c r="AS461" s="377" t="str">
        <f>CS_PID!AS461/VLOOKUP($B461,표2[#ALL],2)/HLOOKUP($A461,표1[#ALL],row(),false)</f>
        <v>#N/A</v>
      </c>
    </row>
    <row r="462">
      <c r="A462" s="370"/>
      <c r="B462" s="371"/>
      <c r="C462" s="372" t="str">
        <f>CS_PID!C462/VLOOKUP($B462,표2[#ALL],2)</f>
        <v>#N/A</v>
      </c>
      <c r="D462" s="372" t="str">
        <f>CS_PID!D462/VLOOKUP($B462,표2[#ALL],2)</f>
        <v>#N/A</v>
      </c>
      <c r="E462" s="372" t="str">
        <f>CS_PID!E462/VLOOKUP($B462,표2[#ALL],2)</f>
        <v>#N/A</v>
      </c>
      <c r="F462" s="372" t="str">
        <f>CS_PID!F462/VLOOKUP($B462,표2[#ALL],2)</f>
        <v>#N/A</v>
      </c>
      <c r="G462" s="372" t="str">
        <f>CS_PID!G462/VLOOKUP($B462,표2[#ALL],2)</f>
        <v>#N/A</v>
      </c>
      <c r="H462" s="372" t="str">
        <f>CS_PID!H462/VLOOKUP($B462,표2[#ALL],2)/HLOOKUP($A462,표1[#ALL],row(),false)</f>
        <v>#N/A</v>
      </c>
      <c r="I462" s="372" t="str">
        <f>CS_PID!I462/VLOOKUP($B462,표2[#ALL],2)/HLOOKUP($A462,표1[#ALL],row(),false)</f>
        <v>#N/A</v>
      </c>
      <c r="J462" s="372" t="str">
        <f>CS_PID!J462/VLOOKUP($B462,표2[#ALL],2)/HLOOKUP($A462,표1[#ALL],row(),false)</f>
        <v>#N/A</v>
      </c>
      <c r="K462" s="372" t="str">
        <f>CS_PID!K462/VLOOKUP($B462,표2[#ALL],2)/HLOOKUP($A462,표1[#ALL],row(),false)</f>
        <v>#N/A</v>
      </c>
      <c r="L462" s="372" t="str">
        <f>CS_PID!L462/VLOOKUP($B462,표2[#ALL],2)/HLOOKUP($A462,표1[#ALL],row(),false)</f>
        <v>#N/A</v>
      </c>
      <c r="M462" s="372" t="str">
        <f>CS_PID!M462/VLOOKUP($B462,표2[#ALL],2)/HLOOKUP($A462,표1[#ALL],row(),false)</f>
        <v>#N/A</v>
      </c>
      <c r="N462" s="372" t="str">
        <f>CS_PID!N462/VLOOKUP($B462,표2[#ALL],2)/HLOOKUP($A462,표1[#ALL],row(),false)</f>
        <v>#N/A</v>
      </c>
      <c r="O462" s="372" t="str">
        <f>CS_PID!O462/VLOOKUP($B462,표2[#ALL],2)/HLOOKUP($A462,표1[#ALL],row(),false)</f>
        <v>#N/A</v>
      </c>
      <c r="P462" s="372" t="str">
        <f>CS_PID!P462/VLOOKUP($B462,표2[#ALL],2)/HLOOKUP($A462,표1[#ALL],row(),false)</f>
        <v>#N/A</v>
      </c>
      <c r="Q462" s="372" t="str">
        <f>CS_PID!Q462/VLOOKUP($B462,표2[#ALL],2)/HLOOKUP($A462,표1[#ALL],row(),false)</f>
        <v>#N/A</v>
      </c>
      <c r="R462" s="372" t="str">
        <f>CS_PID!R462/VLOOKUP($B462,표2[#ALL],2)/HLOOKUP($A462,표1[#ALL],row(),false)</f>
        <v>#N/A</v>
      </c>
      <c r="S462" s="372" t="str">
        <f>CS_PID!S462/VLOOKUP($B462,표2[#ALL],2)/HLOOKUP($A462,표1[#ALL],row(),false)</f>
        <v>#N/A</v>
      </c>
      <c r="T462" s="372" t="str">
        <f>CS_PID!T462/VLOOKUP($B462,표2[#ALL],2)/HLOOKUP($A462,표1[#ALL],row(),false)</f>
        <v>#N/A</v>
      </c>
      <c r="U462" s="372" t="str">
        <f>CS_PID!U462/VLOOKUP($B462,표2[#ALL],2)/HLOOKUP($A462,표1[#ALL],row(),false)</f>
        <v>#N/A</v>
      </c>
      <c r="V462" s="372" t="str">
        <f>CS_PID!V462/VLOOKUP($B462,표2[#ALL],2)/HLOOKUP($A462,표1[#ALL],row(),false)</f>
        <v>#N/A</v>
      </c>
      <c r="W462" s="372" t="str">
        <f>CS_PID!W462/VLOOKUP($B462,표2[#ALL],2)/HLOOKUP($A462,표1[#ALL],row(),false)</f>
        <v>#N/A</v>
      </c>
      <c r="X462" s="372" t="str">
        <f>CS_PID!X462/VLOOKUP($B462,표2[#ALL],2)/HLOOKUP($A462,표1[#ALL],row(),false)</f>
        <v>#N/A</v>
      </c>
      <c r="Y462" s="372" t="str">
        <f>CS_PID!Y462/VLOOKUP($B462,표2[#ALL],2)/HLOOKUP($A462,표1[#ALL],row(),false)</f>
        <v>#N/A</v>
      </c>
      <c r="Z462" s="372" t="str">
        <f>CS_PID!Z462/VLOOKUP($B462,표2[#ALL],2)/HLOOKUP($A462,표1[#ALL],row(),false)</f>
        <v>#N/A</v>
      </c>
      <c r="AA462" s="372" t="str">
        <f>CS_PID!AA462/VLOOKUP($B462,표2[#ALL],2)/HLOOKUP($A462,표1[#ALL],row(),false)</f>
        <v>#N/A</v>
      </c>
      <c r="AB462" s="372" t="str">
        <f>CS_PID!AB462/VLOOKUP($B462,표2[#ALL],2)/HLOOKUP($A462,표1[#ALL],row(),false)</f>
        <v>#N/A</v>
      </c>
      <c r="AC462" s="372" t="str">
        <f>CS_PID!AC462/VLOOKUP($B462,표2[#ALL],2)/HLOOKUP($A462,표1[#ALL],row(),false)</f>
        <v>#N/A</v>
      </c>
      <c r="AD462" s="372" t="str">
        <f>CS_PID!AD462/VLOOKUP($B462,표2[#ALL],2)/HLOOKUP($A462,표1[#ALL],row(),false)</f>
        <v>#N/A</v>
      </c>
      <c r="AE462" s="372" t="str">
        <f>CS_PID!AE462/VLOOKUP($B462,표2[#ALL],2)/HLOOKUP($A462,표1[#ALL],row(),false)</f>
        <v>#N/A</v>
      </c>
      <c r="AF462" s="372" t="str">
        <f>CS_PID!AF462/VLOOKUP($B462,표2[#ALL],2)/HLOOKUP($A462,표1[#ALL],row(),false)</f>
        <v>#N/A</v>
      </c>
      <c r="AG462" s="372" t="str">
        <f>CS_PID!AG462/VLOOKUP($B462,표2[#ALL],2)/HLOOKUP($A462,표1[#ALL],row(),false)</f>
        <v>#N/A</v>
      </c>
      <c r="AH462" s="372" t="str">
        <f>CS_PID!AH462/VLOOKUP($B462,표2[#ALL],2)/HLOOKUP($A462,표1[#ALL],row(),false)</f>
        <v>#N/A</v>
      </c>
      <c r="AI462" s="372" t="str">
        <f>CS_PID!AI462/VLOOKUP($B462,표2[#ALL],2)/HLOOKUP($A462,표1[#ALL],row(),false)</f>
        <v>#N/A</v>
      </c>
      <c r="AJ462" s="372" t="str">
        <f>CS_PID!AJ462/VLOOKUP($B462,표2[#ALL],2)/HLOOKUP($A462,표1[#ALL],row(),false)</f>
        <v>#N/A</v>
      </c>
      <c r="AK462" s="372" t="str">
        <f>CS_PID!AK462/VLOOKUP($B462,표2[#ALL],2)/HLOOKUP($A462,표1[#ALL],row(),false)</f>
        <v>#N/A</v>
      </c>
      <c r="AL462" s="372" t="str">
        <f>CS_PID!AL462/VLOOKUP($B462,표2[#ALL],2)/HLOOKUP($A462,표1[#ALL],row(),false)</f>
        <v>#N/A</v>
      </c>
      <c r="AM462" s="372" t="str">
        <f>CS_PID!AM462/VLOOKUP($B462,표2[#ALL],2)/HLOOKUP($A462,표1[#ALL],row(),false)</f>
        <v>#N/A</v>
      </c>
      <c r="AN462" s="372" t="str">
        <f>CS_PID!AN462/VLOOKUP($B462,표2[#ALL],2)/HLOOKUP($A462,표1[#ALL],row(),false)</f>
        <v>#N/A</v>
      </c>
      <c r="AO462" s="372" t="str">
        <f>CS_PID!AO462/VLOOKUP($B462,표2[#ALL],2)/HLOOKUP($A462,표1[#ALL],row(),false)</f>
        <v>#N/A</v>
      </c>
      <c r="AP462" s="372" t="str">
        <f>CS_PID!AP462/VLOOKUP($B462,표2[#ALL],2)/HLOOKUP($A462,표1[#ALL],row(),false)</f>
        <v>#N/A</v>
      </c>
      <c r="AQ462" s="372" t="str">
        <f>CS_PID!AQ462/VLOOKUP($B462,표2[#ALL],2)/HLOOKUP($A462,표1[#ALL],row(),false)</f>
        <v>#N/A</v>
      </c>
      <c r="AR462" s="372" t="str">
        <f>CS_PID!AR462/VLOOKUP($B462,표2[#ALL],2)/HLOOKUP($A462,표1[#ALL],row(),false)</f>
        <v>#N/A</v>
      </c>
      <c r="AS462" s="373" t="str">
        <f>CS_PID!AS462/VLOOKUP($B462,표2[#ALL],2)/HLOOKUP($A462,표1[#ALL],row(),false)</f>
        <v>#N/A</v>
      </c>
    </row>
    <row r="463">
      <c r="A463" s="374"/>
      <c r="B463" s="375"/>
      <c r="C463" s="376" t="str">
        <f>CS_PID!C463/VLOOKUP($B463,표2[#ALL],2)</f>
        <v>#N/A</v>
      </c>
      <c r="D463" s="376" t="str">
        <f>CS_PID!D463/VLOOKUP($B463,표2[#ALL],2)</f>
        <v>#N/A</v>
      </c>
      <c r="E463" s="376" t="str">
        <f>CS_PID!E463/VLOOKUP($B463,표2[#ALL],2)</f>
        <v>#N/A</v>
      </c>
      <c r="F463" s="376" t="str">
        <f>CS_PID!F463/VLOOKUP($B463,표2[#ALL],2)</f>
        <v>#N/A</v>
      </c>
      <c r="G463" s="376" t="str">
        <f>CS_PID!G463/VLOOKUP($B463,표2[#ALL],2)</f>
        <v>#N/A</v>
      </c>
      <c r="H463" s="376" t="str">
        <f>CS_PID!H463/VLOOKUP($B463,표2[#ALL],2)/HLOOKUP($A463,표1[#ALL],row(),false)</f>
        <v>#N/A</v>
      </c>
      <c r="I463" s="376" t="str">
        <f>CS_PID!I463/VLOOKUP($B463,표2[#ALL],2)/HLOOKUP($A463,표1[#ALL],row(),false)</f>
        <v>#N/A</v>
      </c>
      <c r="J463" s="376" t="str">
        <f>CS_PID!J463/VLOOKUP($B463,표2[#ALL],2)/HLOOKUP($A463,표1[#ALL],row(),false)</f>
        <v>#N/A</v>
      </c>
      <c r="K463" s="376" t="str">
        <f>CS_PID!K463/VLOOKUP($B463,표2[#ALL],2)/HLOOKUP($A463,표1[#ALL],row(),false)</f>
        <v>#N/A</v>
      </c>
      <c r="L463" s="376" t="str">
        <f>CS_PID!L463/VLOOKUP($B463,표2[#ALL],2)/HLOOKUP($A463,표1[#ALL],row(),false)</f>
        <v>#N/A</v>
      </c>
      <c r="M463" s="376" t="str">
        <f>CS_PID!M463/VLOOKUP($B463,표2[#ALL],2)/HLOOKUP($A463,표1[#ALL],row(),false)</f>
        <v>#N/A</v>
      </c>
      <c r="N463" s="376" t="str">
        <f>CS_PID!N463/VLOOKUP($B463,표2[#ALL],2)/HLOOKUP($A463,표1[#ALL],row(),false)</f>
        <v>#N/A</v>
      </c>
      <c r="O463" s="376" t="str">
        <f>CS_PID!O463/VLOOKUP($B463,표2[#ALL],2)/HLOOKUP($A463,표1[#ALL],row(),false)</f>
        <v>#N/A</v>
      </c>
      <c r="P463" s="376" t="str">
        <f>CS_PID!P463/VLOOKUP($B463,표2[#ALL],2)/HLOOKUP($A463,표1[#ALL],row(),false)</f>
        <v>#N/A</v>
      </c>
      <c r="Q463" s="376" t="str">
        <f>CS_PID!Q463/VLOOKUP($B463,표2[#ALL],2)/HLOOKUP($A463,표1[#ALL],row(),false)</f>
        <v>#N/A</v>
      </c>
      <c r="R463" s="376" t="str">
        <f>CS_PID!R463/VLOOKUP($B463,표2[#ALL],2)/HLOOKUP($A463,표1[#ALL],row(),false)</f>
        <v>#N/A</v>
      </c>
      <c r="S463" s="376" t="str">
        <f>CS_PID!S463/VLOOKUP($B463,표2[#ALL],2)/HLOOKUP($A463,표1[#ALL],row(),false)</f>
        <v>#N/A</v>
      </c>
      <c r="T463" s="376" t="str">
        <f>CS_PID!T463/VLOOKUP($B463,표2[#ALL],2)/HLOOKUP($A463,표1[#ALL],row(),false)</f>
        <v>#N/A</v>
      </c>
      <c r="U463" s="376" t="str">
        <f>CS_PID!U463/VLOOKUP($B463,표2[#ALL],2)/HLOOKUP($A463,표1[#ALL],row(),false)</f>
        <v>#N/A</v>
      </c>
      <c r="V463" s="376" t="str">
        <f>CS_PID!V463/VLOOKUP($B463,표2[#ALL],2)/HLOOKUP($A463,표1[#ALL],row(),false)</f>
        <v>#N/A</v>
      </c>
      <c r="W463" s="376" t="str">
        <f>CS_PID!W463/VLOOKUP($B463,표2[#ALL],2)/HLOOKUP($A463,표1[#ALL],row(),false)</f>
        <v>#N/A</v>
      </c>
      <c r="X463" s="376" t="str">
        <f>CS_PID!X463/VLOOKUP($B463,표2[#ALL],2)/HLOOKUP($A463,표1[#ALL],row(),false)</f>
        <v>#N/A</v>
      </c>
      <c r="Y463" s="376" t="str">
        <f>CS_PID!Y463/VLOOKUP($B463,표2[#ALL],2)/HLOOKUP($A463,표1[#ALL],row(),false)</f>
        <v>#N/A</v>
      </c>
      <c r="Z463" s="376" t="str">
        <f>CS_PID!Z463/VLOOKUP($B463,표2[#ALL],2)/HLOOKUP($A463,표1[#ALL],row(),false)</f>
        <v>#N/A</v>
      </c>
      <c r="AA463" s="376" t="str">
        <f>CS_PID!AA463/VLOOKUP($B463,표2[#ALL],2)/HLOOKUP($A463,표1[#ALL],row(),false)</f>
        <v>#N/A</v>
      </c>
      <c r="AB463" s="376" t="str">
        <f>CS_PID!AB463/VLOOKUP($B463,표2[#ALL],2)/HLOOKUP($A463,표1[#ALL],row(),false)</f>
        <v>#N/A</v>
      </c>
      <c r="AC463" s="376" t="str">
        <f>CS_PID!AC463/VLOOKUP($B463,표2[#ALL],2)/HLOOKUP($A463,표1[#ALL],row(),false)</f>
        <v>#N/A</v>
      </c>
      <c r="AD463" s="376" t="str">
        <f>CS_PID!AD463/VLOOKUP($B463,표2[#ALL],2)/HLOOKUP($A463,표1[#ALL],row(),false)</f>
        <v>#N/A</v>
      </c>
      <c r="AE463" s="376" t="str">
        <f>CS_PID!AE463/VLOOKUP($B463,표2[#ALL],2)/HLOOKUP($A463,표1[#ALL],row(),false)</f>
        <v>#N/A</v>
      </c>
      <c r="AF463" s="376" t="str">
        <f>CS_PID!AF463/VLOOKUP($B463,표2[#ALL],2)/HLOOKUP($A463,표1[#ALL],row(),false)</f>
        <v>#N/A</v>
      </c>
      <c r="AG463" s="376" t="str">
        <f>CS_PID!AG463/VLOOKUP($B463,표2[#ALL],2)/HLOOKUP($A463,표1[#ALL],row(),false)</f>
        <v>#N/A</v>
      </c>
      <c r="AH463" s="376" t="str">
        <f>CS_PID!AH463/VLOOKUP($B463,표2[#ALL],2)/HLOOKUP($A463,표1[#ALL],row(),false)</f>
        <v>#N/A</v>
      </c>
      <c r="AI463" s="376" t="str">
        <f>CS_PID!AI463/VLOOKUP($B463,표2[#ALL],2)/HLOOKUP($A463,표1[#ALL],row(),false)</f>
        <v>#N/A</v>
      </c>
      <c r="AJ463" s="376" t="str">
        <f>CS_PID!AJ463/VLOOKUP($B463,표2[#ALL],2)/HLOOKUP($A463,표1[#ALL],row(),false)</f>
        <v>#N/A</v>
      </c>
      <c r="AK463" s="376" t="str">
        <f>CS_PID!AK463/VLOOKUP($B463,표2[#ALL],2)/HLOOKUP($A463,표1[#ALL],row(),false)</f>
        <v>#N/A</v>
      </c>
      <c r="AL463" s="376" t="str">
        <f>CS_PID!AL463/VLOOKUP($B463,표2[#ALL],2)/HLOOKUP($A463,표1[#ALL],row(),false)</f>
        <v>#N/A</v>
      </c>
      <c r="AM463" s="376" t="str">
        <f>CS_PID!AM463/VLOOKUP($B463,표2[#ALL],2)/HLOOKUP($A463,표1[#ALL],row(),false)</f>
        <v>#N/A</v>
      </c>
      <c r="AN463" s="376" t="str">
        <f>CS_PID!AN463/VLOOKUP($B463,표2[#ALL],2)/HLOOKUP($A463,표1[#ALL],row(),false)</f>
        <v>#N/A</v>
      </c>
      <c r="AO463" s="376" t="str">
        <f>CS_PID!AO463/VLOOKUP($B463,표2[#ALL],2)/HLOOKUP($A463,표1[#ALL],row(),false)</f>
        <v>#N/A</v>
      </c>
      <c r="AP463" s="376" t="str">
        <f>CS_PID!AP463/VLOOKUP($B463,표2[#ALL],2)/HLOOKUP($A463,표1[#ALL],row(),false)</f>
        <v>#N/A</v>
      </c>
      <c r="AQ463" s="376" t="str">
        <f>CS_PID!AQ463/VLOOKUP($B463,표2[#ALL],2)/HLOOKUP($A463,표1[#ALL],row(),false)</f>
        <v>#N/A</v>
      </c>
      <c r="AR463" s="376" t="str">
        <f>CS_PID!AR463/VLOOKUP($B463,표2[#ALL],2)/HLOOKUP($A463,표1[#ALL],row(),false)</f>
        <v>#N/A</v>
      </c>
      <c r="AS463" s="377" t="str">
        <f>CS_PID!AS463/VLOOKUP($B463,표2[#ALL],2)/HLOOKUP($A463,표1[#ALL],row(),false)</f>
        <v>#N/A</v>
      </c>
    </row>
    <row r="464">
      <c r="A464" s="370"/>
      <c r="B464" s="371"/>
      <c r="C464" s="372" t="str">
        <f>CS_PID!C464/VLOOKUP($B464,표2[#ALL],2)</f>
        <v>#N/A</v>
      </c>
      <c r="D464" s="372" t="str">
        <f>CS_PID!D464/VLOOKUP($B464,표2[#ALL],2)</f>
        <v>#N/A</v>
      </c>
      <c r="E464" s="372" t="str">
        <f>CS_PID!E464/VLOOKUP($B464,표2[#ALL],2)</f>
        <v>#N/A</v>
      </c>
      <c r="F464" s="372" t="str">
        <f>CS_PID!F464/VLOOKUP($B464,표2[#ALL],2)</f>
        <v>#N/A</v>
      </c>
      <c r="G464" s="372" t="str">
        <f>CS_PID!G464/VLOOKUP($B464,표2[#ALL],2)</f>
        <v>#N/A</v>
      </c>
      <c r="H464" s="372" t="str">
        <f>CS_PID!H464/VLOOKUP($B464,표2[#ALL],2)/HLOOKUP($A464,표1[#ALL],row(),false)</f>
        <v>#N/A</v>
      </c>
      <c r="I464" s="372" t="str">
        <f>CS_PID!I464/VLOOKUP($B464,표2[#ALL],2)/HLOOKUP($A464,표1[#ALL],row(),false)</f>
        <v>#N/A</v>
      </c>
      <c r="J464" s="372" t="str">
        <f>CS_PID!J464/VLOOKUP($B464,표2[#ALL],2)/HLOOKUP($A464,표1[#ALL],row(),false)</f>
        <v>#N/A</v>
      </c>
      <c r="K464" s="372" t="str">
        <f>CS_PID!K464/VLOOKUP($B464,표2[#ALL],2)/HLOOKUP($A464,표1[#ALL],row(),false)</f>
        <v>#N/A</v>
      </c>
      <c r="L464" s="372" t="str">
        <f>CS_PID!L464/VLOOKUP($B464,표2[#ALL],2)/HLOOKUP($A464,표1[#ALL],row(),false)</f>
        <v>#N/A</v>
      </c>
      <c r="M464" s="372" t="str">
        <f>CS_PID!M464/VLOOKUP($B464,표2[#ALL],2)/HLOOKUP($A464,표1[#ALL],row(),false)</f>
        <v>#N/A</v>
      </c>
      <c r="N464" s="372" t="str">
        <f>CS_PID!N464/VLOOKUP($B464,표2[#ALL],2)/HLOOKUP($A464,표1[#ALL],row(),false)</f>
        <v>#N/A</v>
      </c>
      <c r="O464" s="372" t="str">
        <f>CS_PID!O464/VLOOKUP($B464,표2[#ALL],2)/HLOOKUP($A464,표1[#ALL],row(),false)</f>
        <v>#N/A</v>
      </c>
      <c r="P464" s="372" t="str">
        <f>CS_PID!P464/VLOOKUP($B464,표2[#ALL],2)/HLOOKUP($A464,표1[#ALL],row(),false)</f>
        <v>#N/A</v>
      </c>
      <c r="Q464" s="372" t="str">
        <f>CS_PID!Q464/VLOOKUP($B464,표2[#ALL],2)/HLOOKUP($A464,표1[#ALL],row(),false)</f>
        <v>#N/A</v>
      </c>
      <c r="R464" s="372" t="str">
        <f>CS_PID!R464/VLOOKUP($B464,표2[#ALL],2)/HLOOKUP($A464,표1[#ALL],row(),false)</f>
        <v>#N/A</v>
      </c>
      <c r="S464" s="372" t="str">
        <f>CS_PID!S464/VLOOKUP($B464,표2[#ALL],2)/HLOOKUP($A464,표1[#ALL],row(),false)</f>
        <v>#N/A</v>
      </c>
      <c r="T464" s="372" t="str">
        <f>CS_PID!T464/VLOOKUP($B464,표2[#ALL],2)/HLOOKUP($A464,표1[#ALL],row(),false)</f>
        <v>#N/A</v>
      </c>
      <c r="U464" s="372" t="str">
        <f>CS_PID!U464/VLOOKUP($B464,표2[#ALL],2)/HLOOKUP($A464,표1[#ALL],row(),false)</f>
        <v>#N/A</v>
      </c>
      <c r="V464" s="372" t="str">
        <f>CS_PID!V464/VLOOKUP($B464,표2[#ALL],2)/HLOOKUP($A464,표1[#ALL],row(),false)</f>
        <v>#N/A</v>
      </c>
      <c r="W464" s="372" t="str">
        <f>CS_PID!W464/VLOOKUP($B464,표2[#ALL],2)/HLOOKUP($A464,표1[#ALL],row(),false)</f>
        <v>#N/A</v>
      </c>
      <c r="X464" s="372" t="str">
        <f>CS_PID!X464/VLOOKUP($B464,표2[#ALL],2)/HLOOKUP($A464,표1[#ALL],row(),false)</f>
        <v>#N/A</v>
      </c>
      <c r="Y464" s="372" t="str">
        <f>CS_PID!Y464/VLOOKUP($B464,표2[#ALL],2)/HLOOKUP($A464,표1[#ALL],row(),false)</f>
        <v>#N/A</v>
      </c>
      <c r="Z464" s="372" t="str">
        <f>CS_PID!Z464/VLOOKUP($B464,표2[#ALL],2)/HLOOKUP($A464,표1[#ALL],row(),false)</f>
        <v>#N/A</v>
      </c>
      <c r="AA464" s="372" t="str">
        <f>CS_PID!AA464/VLOOKUP($B464,표2[#ALL],2)/HLOOKUP($A464,표1[#ALL],row(),false)</f>
        <v>#N/A</v>
      </c>
      <c r="AB464" s="372" t="str">
        <f>CS_PID!AB464/VLOOKUP($B464,표2[#ALL],2)/HLOOKUP($A464,표1[#ALL],row(),false)</f>
        <v>#N/A</v>
      </c>
      <c r="AC464" s="372" t="str">
        <f>CS_PID!AC464/VLOOKUP($B464,표2[#ALL],2)/HLOOKUP($A464,표1[#ALL],row(),false)</f>
        <v>#N/A</v>
      </c>
      <c r="AD464" s="372" t="str">
        <f>CS_PID!AD464/VLOOKUP($B464,표2[#ALL],2)/HLOOKUP($A464,표1[#ALL],row(),false)</f>
        <v>#N/A</v>
      </c>
      <c r="AE464" s="372" t="str">
        <f>CS_PID!AE464/VLOOKUP($B464,표2[#ALL],2)/HLOOKUP($A464,표1[#ALL],row(),false)</f>
        <v>#N/A</v>
      </c>
      <c r="AF464" s="372" t="str">
        <f>CS_PID!AF464/VLOOKUP($B464,표2[#ALL],2)/HLOOKUP($A464,표1[#ALL],row(),false)</f>
        <v>#N/A</v>
      </c>
      <c r="AG464" s="372" t="str">
        <f>CS_PID!AG464/VLOOKUP($B464,표2[#ALL],2)/HLOOKUP($A464,표1[#ALL],row(),false)</f>
        <v>#N/A</v>
      </c>
      <c r="AH464" s="372" t="str">
        <f>CS_PID!AH464/VLOOKUP($B464,표2[#ALL],2)/HLOOKUP($A464,표1[#ALL],row(),false)</f>
        <v>#N/A</v>
      </c>
      <c r="AI464" s="372" t="str">
        <f>CS_PID!AI464/VLOOKUP($B464,표2[#ALL],2)/HLOOKUP($A464,표1[#ALL],row(),false)</f>
        <v>#N/A</v>
      </c>
      <c r="AJ464" s="372" t="str">
        <f>CS_PID!AJ464/VLOOKUP($B464,표2[#ALL],2)/HLOOKUP($A464,표1[#ALL],row(),false)</f>
        <v>#N/A</v>
      </c>
      <c r="AK464" s="372" t="str">
        <f>CS_PID!AK464/VLOOKUP($B464,표2[#ALL],2)/HLOOKUP($A464,표1[#ALL],row(),false)</f>
        <v>#N/A</v>
      </c>
      <c r="AL464" s="372" t="str">
        <f>CS_PID!AL464/VLOOKUP($B464,표2[#ALL],2)/HLOOKUP($A464,표1[#ALL],row(),false)</f>
        <v>#N/A</v>
      </c>
      <c r="AM464" s="372" t="str">
        <f>CS_PID!AM464/VLOOKUP($B464,표2[#ALL],2)/HLOOKUP($A464,표1[#ALL],row(),false)</f>
        <v>#N/A</v>
      </c>
      <c r="AN464" s="372" t="str">
        <f>CS_PID!AN464/VLOOKUP($B464,표2[#ALL],2)/HLOOKUP($A464,표1[#ALL],row(),false)</f>
        <v>#N/A</v>
      </c>
      <c r="AO464" s="372" t="str">
        <f>CS_PID!AO464/VLOOKUP($B464,표2[#ALL],2)/HLOOKUP($A464,표1[#ALL],row(),false)</f>
        <v>#N/A</v>
      </c>
      <c r="AP464" s="372" t="str">
        <f>CS_PID!AP464/VLOOKUP($B464,표2[#ALL],2)/HLOOKUP($A464,표1[#ALL],row(),false)</f>
        <v>#N/A</v>
      </c>
      <c r="AQ464" s="372" t="str">
        <f>CS_PID!AQ464/VLOOKUP($B464,표2[#ALL],2)/HLOOKUP($A464,표1[#ALL],row(),false)</f>
        <v>#N/A</v>
      </c>
      <c r="AR464" s="372" t="str">
        <f>CS_PID!AR464/VLOOKUP($B464,표2[#ALL],2)/HLOOKUP($A464,표1[#ALL],row(),false)</f>
        <v>#N/A</v>
      </c>
      <c r="AS464" s="373" t="str">
        <f>CS_PID!AS464/VLOOKUP($B464,표2[#ALL],2)/HLOOKUP($A464,표1[#ALL],row(),false)</f>
        <v>#N/A</v>
      </c>
    </row>
    <row r="465">
      <c r="A465" s="374"/>
      <c r="B465" s="375"/>
      <c r="C465" s="376" t="str">
        <f>CS_PID!C465/VLOOKUP($B465,표2[#ALL],2)</f>
        <v>#N/A</v>
      </c>
      <c r="D465" s="376" t="str">
        <f>CS_PID!D465/VLOOKUP($B465,표2[#ALL],2)</f>
        <v>#N/A</v>
      </c>
      <c r="E465" s="376" t="str">
        <f>CS_PID!E465/VLOOKUP($B465,표2[#ALL],2)</f>
        <v>#N/A</v>
      </c>
      <c r="F465" s="376" t="str">
        <f>CS_PID!F465/VLOOKUP($B465,표2[#ALL],2)</f>
        <v>#N/A</v>
      </c>
      <c r="G465" s="376" t="str">
        <f>CS_PID!G465/VLOOKUP($B465,표2[#ALL],2)</f>
        <v>#N/A</v>
      </c>
      <c r="H465" s="376" t="str">
        <f>CS_PID!H465/VLOOKUP($B465,표2[#ALL],2)/HLOOKUP($A465,표1[#ALL],row(),false)</f>
        <v>#N/A</v>
      </c>
      <c r="I465" s="376" t="str">
        <f>CS_PID!I465/VLOOKUP($B465,표2[#ALL],2)/HLOOKUP($A465,표1[#ALL],row(),false)</f>
        <v>#N/A</v>
      </c>
      <c r="J465" s="376" t="str">
        <f>CS_PID!J465/VLOOKUP($B465,표2[#ALL],2)/HLOOKUP($A465,표1[#ALL],row(),false)</f>
        <v>#N/A</v>
      </c>
      <c r="K465" s="376" t="str">
        <f>CS_PID!K465/VLOOKUP($B465,표2[#ALL],2)/HLOOKUP($A465,표1[#ALL],row(),false)</f>
        <v>#N/A</v>
      </c>
      <c r="L465" s="376" t="str">
        <f>CS_PID!L465/VLOOKUP($B465,표2[#ALL],2)/HLOOKUP($A465,표1[#ALL],row(),false)</f>
        <v>#N/A</v>
      </c>
      <c r="M465" s="376" t="str">
        <f>CS_PID!M465/VLOOKUP($B465,표2[#ALL],2)/HLOOKUP($A465,표1[#ALL],row(),false)</f>
        <v>#N/A</v>
      </c>
      <c r="N465" s="376" t="str">
        <f>CS_PID!N465/VLOOKUP($B465,표2[#ALL],2)/HLOOKUP($A465,표1[#ALL],row(),false)</f>
        <v>#N/A</v>
      </c>
      <c r="O465" s="376" t="str">
        <f>CS_PID!O465/VLOOKUP($B465,표2[#ALL],2)/HLOOKUP($A465,표1[#ALL],row(),false)</f>
        <v>#N/A</v>
      </c>
      <c r="P465" s="376" t="str">
        <f>CS_PID!P465/VLOOKUP($B465,표2[#ALL],2)/HLOOKUP($A465,표1[#ALL],row(),false)</f>
        <v>#N/A</v>
      </c>
      <c r="Q465" s="376" t="str">
        <f>CS_PID!Q465/VLOOKUP($B465,표2[#ALL],2)/HLOOKUP($A465,표1[#ALL],row(),false)</f>
        <v>#N/A</v>
      </c>
      <c r="R465" s="376" t="str">
        <f>CS_PID!R465/VLOOKUP($B465,표2[#ALL],2)/HLOOKUP($A465,표1[#ALL],row(),false)</f>
        <v>#N/A</v>
      </c>
      <c r="S465" s="376" t="str">
        <f>CS_PID!S465/VLOOKUP($B465,표2[#ALL],2)/HLOOKUP($A465,표1[#ALL],row(),false)</f>
        <v>#N/A</v>
      </c>
      <c r="T465" s="376" t="str">
        <f>CS_PID!T465/VLOOKUP($B465,표2[#ALL],2)/HLOOKUP($A465,표1[#ALL],row(),false)</f>
        <v>#N/A</v>
      </c>
      <c r="U465" s="376" t="str">
        <f>CS_PID!U465/VLOOKUP($B465,표2[#ALL],2)/HLOOKUP($A465,표1[#ALL],row(),false)</f>
        <v>#N/A</v>
      </c>
      <c r="V465" s="376" t="str">
        <f>CS_PID!V465/VLOOKUP($B465,표2[#ALL],2)/HLOOKUP($A465,표1[#ALL],row(),false)</f>
        <v>#N/A</v>
      </c>
      <c r="W465" s="376" t="str">
        <f>CS_PID!W465/VLOOKUP($B465,표2[#ALL],2)/HLOOKUP($A465,표1[#ALL],row(),false)</f>
        <v>#N/A</v>
      </c>
      <c r="X465" s="376" t="str">
        <f>CS_PID!X465/VLOOKUP($B465,표2[#ALL],2)/HLOOKUP($A465,표1[#ALL],row(),false)</f>
        <v>#N/A</v>
      </c>
      <c r="Y465" s="376" t="str">
        <f>CS_PID!Y465/VLOOKUP($B465,표2[#ALL],2)/HLOOKUP($A465,표1[#ALL],row(),false)</f>
        <v>#N/A</v>
      </c>
      <c r="Z465" s="376" t="str">
        <f>CS_PID!Z465/VLOOKUP($B465,표2[#ALL],2)/HLOOKUP($A465,표1[#ALL],row(),false)</f>
        <v>#N/A</v>
      </c>
      <c r="AA465" s="376" t="str">
        <f>CS_PID!AA465/VLOOKUP($B465,표2[#ALL],2)/HLOOKUP($A465,표1[#ALL],row(),false)</f>
        <v>#N/A</v>
      </c>
      <c r="AB465" s="376" t="str">
        <f>CS_PID!AB465/VLOOKUP($B465,표2[#ALL],2)/HLOOKUP($A465,표1[#ALL],row(),false)</f>
        <v>#N/A</v>
      </c>
      <c r="AC465" s="376" t="str">
        <f>CS_PID!AC465/VLOOKUP($B465,표2[#ALL],2)/HLOOKUP($A465,표1[#ALL],row(),false)</f>
        <v>#N/A</v>
      </c>
      <c r="AD465" s="376" t="str">
        <f>CS_PID!AD465/VLOOKUP($B465,표2[#ALL],2)/HLOOKUP($A465,표1[#ALL],row(),false)</f>
        <v>#N/A</v>
      </c>
      <c r="AE465" s="376" t="str">
        <f>CS_PID!AE465/VLOOKUP($B465,표2[#ALL],2)/HLOOKUP($A465,표1[#ALL],row(),false)</f>
        <v>#N/A</v>
      </c>
      <c r="AF465" s="376" t="str">
        <f>CS_PID!AF465/VLOOKUP($B465,표2[#ALL],2)/HLOOKUP($A465,표1[#ALL],row(),false)</f>
        <v>#N/A</v>
      </c>
      <c r="AG465" s="376" t="str">
        <f>CS_PID!AG465/VLOOKUP($B465,표2[#ALL],2)/HLOOKUP($A465,표1[#ALL],row(),false)</f>
        <v>#N/A</v>
      </c>
      <c r="AH465" s="376" t="str">
        <f>CS_PID!AH465/VLOOKUP($B465,표2[#ALL],2)/HLOOKUP($A465,표1[#ALL],row(),false)</f>
        <v>#N/A</v>
      </c>
      <c r="AI465" s="376" t="str">
        <f>CS_PID!AI465/VLOOKUP($B465,표2[#ALL],2)/HLOOKUP($A465,표1[#ALL],row(),false)</f>
        <v>#N/A</v>
      </c>
      <c r="AJ465" s="376" t="str">
        <f>CS_PID!AJ465/VLOOKUP($B465,표2[#ALL],2)/HLOOKUP($A465,표1[#ALL],row(),false)</f>
        <v>#N/A</v>
      </c>
      <c r="AK465" s="376" t="str">
        <f>CS_PID!AK465/VLOOKUP($B465,표2[#ALL],2)/HLOOKUP($A465,표1[#ALL],row(),false)</f>
        <v>#N/A</v>
      </c>
      <c r="AL465" s="376" t="str">
        <f>CS_PID!AL465/VLOOKUP($B465,표2[#ALL],2)/HLOOKUP($A465,표1[#ALL],row(),false)</f>
        <v>#N/A</v>
      </c>
      <c r="AM465" s="376" t="str">
        <f>CS_PID!AM465/VLOOKUP($B465,표2[#ALL],2)/HLOOKUP($A465,표1[#ALL],row(),false)</f>
        <v>#N/A</v>
      </c>
      <c r="AN465" s="376" t="str">
        <f>CS_PID!AN465/VLOOKUP($B465,표2[#ALL],2)/HLOOKUP($A465,표1[#ALL],row(),false)</f>
        <v>#N/A</v>
      </c>
      <c r="AO465" s="376" t="str">
        <f>CS_PID!AO465/VLOOKUP($B465,표2[#ALL],2)/HLOOKUP($A465,표1[#ALL],row(),false)</f>
        <v>#N/A</v>
      </c>
      <c r="AP465" s="376" t="str">
        <f>CS_PID!AP465/VLOOKUP($B465,표2[#ALL],2)/HLOOKUP($A465,표1[#ALL],row(),false)</f>
        <v>#N/A</v>
      </c>
      <c r="AQ465" s="376" t="str">
        <f>CS_PID!AQ465/VLOOKUP($B465,표2[#ALL],2)/HLOOKUP($A465,표1[#ALL],row(),false)</f>
        <v>#N/A</v>
      </c>
      <c r="AR465" s="376" t="str">
        <f>CS_PID!AR465/VLOOKUP($B465,표2[#ALL],2)/HLOOKUP($A465,표1[#ALL],row(),false)</f>
        <v>#N/A</v>
      </c>
      <c r="AS465" s="377" t="str">
        <f>CS_PID!AS465/VLOOKUP($B465,표2[#ALL],2)/HLOOKUP($A465,표1[#ALL],row(),false)</f>
        <v>#N/A</v>
      </c>
    </row>
    <row r="466">
      <c r="A466" s="370"/>
      <c r="B466" s="371"/>
      <c r="C466" s="372" t="str">
        <f>CS_PID!C466/VLOOKUP($B466,표2[#ALL],2)</f>
        <v>#N/A</v>
      </c>
      <c r="D466" s="372" t="str">
        <f>CS_PID!D466/VLOOKUP($B466,표2[#ALL],2)</f>
        <v>#N/A</v>
      </c>
      <c r="E466" s="372" t="str">
        <f>CS_PID!E466/VLOOKUP($B466,표2[#ALL],2)</f>
        <v>#N/A</v>
      </c>
      <c r="F466" s="372" t="str">
        <f>CS_PID!F466/VLOOKUP($B466,표2[#ALL],2)</f>
        <v>#N/A</v>
      </c>
      <c r="G466" s="372" t="str">
        <f>CS_PID!G466/VLOOKUP($B466,표2[#ALL],2)</f>
        <v>#N/A</v>
      </c>
      <c r="H466" s="372" t="str">
        <f>CS_PID!H466/VLOOKUP($B466,표2[#ALL],2)/HLOOKUP($A466,표1[#ALL],row(),false)</f>
        <v>#N/A</v>
      </c>
      <c r="I466" s="372" t="str">
        <f>CS_PID!I466/VLOOKUP($B466,표2[#ALL],2)/HLOOKUP($A466,표1[#ALL],row(),false)</f>
        <v>#N/A</v>
      </c>
      <c r="J466" s="372" t="str">
        <f>CS_PID!J466/VLOOKUP($B466,표2[#ALL],2)/HLOOKUP($A466,표1[#ALL],row(),false)</f>
        <v>#N/A</v>
      </c>
      <c r="K466" s="372" t="str">
        <f>CS_PID!K466/VLOOKUP($B466,표2[#ALL],2)/HLOOKUP($A466,표1[#ALL],row(),false)</f>
        <v>#N/A</v>
      </c>
      <c r="L466" s="372" t="str">
        <f>CS_PID!L466/VLOOKUP($B466,표2[#ALL],2)/HLOOKUP($A466,표1[#ALL],row(),false)</f>
        <v>#N/A</v>
      </c>
      <c r="M466" s="372" t="str">
        <f>CS_PID!M466/VLOOKUP($B466,표2[#ALL],2)/HLOOKUP($A466,표1[#ALL],row(),false)</f>
        <v>#N/A</v>
      </c>
      <c r="N466" s="372" t="str">
        <f>CS_PID!N466/VLOOKUP($B466,표2[#ALL],2)/HLOOKUP($A466,표1[#ALL],row(),false)</f>
        <v>#N/A</v>
      </c>
      <c r="O466" s="372" t="str">
        <f>CS_PID!O466/VLOOKUP($B466,표2[#ALL],2)/HLOOKUP($A466,표1[#ALL],row(),false)</f>
        <v>#N/A</v>
      </c>
      <c r="P466" s="372" t="str">
        <f>CS_PID!P466/VLOOKUP($B466,표2[#ALL],2)/HLOOKUP($A466,표1[#ALL],row(),false)</f>
        <v>#N/A</v>
      </c>
      <c r="Q466" s="372" t="str">
        <f>CS_PID!Q466/VLOOKUP($B466,표2[#ALL],2)/HLOOKUP($A466,표1[#ALL],row(),false)</f>
        <v>#N/A</v>
      </c>
      <c r="R466" s="372" t="str">
        <f>CS_PID!R466/VLOOKUP($B466,표2[#ALL],2)/HLOOKUP($A466,표1[#ALL],row(),false)</f>
        <v>#N/A</v>
      </c>
      <c r="S466" s="372" t="str">
        <f>CS_PID!S466/VLOOKUP($B466,표2[#ALL],2)/HLOOKUP($A466,표1[#ALL],row(),false)</f>
        <v>#N/A</v>
      </c>
      <c r="T466" s="372" t="str">
        <f>CS_PID!T466/VLOOKUP($B466,표2[#ALL],2)/HLOOKUP($A466,표1[#ALL],row(),false)</f>
        <v>#N/A</v>
      </c>
      <c r="U466" s="372" t="str">
        <f>CS_PID!U466/VLOOKUP($B466,표2[#ALL],2)/HLOOKUP($A466,표1[#ALL],row(),false)</f>
        <v>#N/A</v>
      </c>
      <c r="V466" s="372" t="str">
        <f>CS_PID!V466/VLOOKUP($B466,표2[#ALL],2)/HLOOKUP($A466,표1[#ALL],row(),false)</f>
        <v>#N/A</v>
      </c>
      <c r="W466" s="372" t="str">
        <f>CS_PID!W466/VLOOKUP($B466,표2[#ALL],2)/HLOOKUP($A466,표1[#ALL],row(),false)</f>
        <v>#N/A</v>
      </c>
      <c r="X466" s="372" t="str">
        <f>CS_PID!X466/VLOOKUP($B466,표2[#ALL],2)/HLOOKUP($A466,표1[#ALL],row(),false)</f>
        <v>#N/A</v>
      </c>
      <c r="Y466" s="372" t="str">
        <f>CS_PID!Y466/VLOOKUP($B466,표2[#ALL],2)/HLOOKUP($A466,표1[#ALL],row(),false)</f>
        <v>#N/A</v>
      </c>
      <c r="Z466" s="372" t="str">
        <f>CS_PID!Z466/VLOOKUP($B466,표2[#ALL],2)/HLOOKUP($A466,표1[#ALL],row(),false)</f>
        <v>#N/A</v>
      </c>
      <c r="AA466" s="372" t="str">
        <f>CS_PID!AA466/VLOOKUP($B466,표2[#ALL],2)/HLOOKUP($A466,표1[#ALL],row(),false)</f>
        <v>#N/A</v>
      </c>
      <c r="AB466" s="372" t="str">
        <f>CS_PID!AB466/VLOOKUP($B466,표2[#ALL],2)/HLOOKUP($A466,표1[#ALL],row(),false)</f>
        <v>#N/A</v>
      </c>
      <c r="AC466" s="372" t="str">
        <f>CS_PID!AC466/VLOOKUP($B466,표2[#ALL],2)/HLOOKUP($A466,표1[#ALL],row(),false)</f>
        <v>#N/A</v>
      </c>
      <c r="AD466" s="372" t="str">
        <f>CS_PID!AD466/VLOOKUP($B466,표2[#ALL],2)/HLOOKUP($A466,표1[#ALL],row(),false)</f>
        <v>#N/A</v>
      </c>
      <c r="AE466" s="372" t="str">
        <f>CS_PID!AE466/VLOOKUP($B466,표2[#ALL],2)/HLOOKUP($A466,표1[#ALL],row(),false)</f>
        <v>#N/A</v>
      </c>
      <c r="AF466" s="372" t="str">
        <f>CS_PID!AF466/VLOOKUP($B466,표2[#ALL],2)/HLOOKUP($A466,표1[#ALL],row(),false)</f>
        <v>#N/A</v>
      </c>
      <c r="AG466" s="372" t="str">
        <f>CS_PID!AG466/VLOOKUP($B466,표2[#ALL],2)/HLOOKUP($A466,표1[#ALL],row(),false)</f>
        <v>#N/A</v>
      </c>
      <c r="AH466" s="372" t="str">
        <f>CS_PID!AH466/VLOOKUP($B466,표2[#ALL],2)/HLOOKUP($A466,표1[#ALL],row(),false)</f>
        <v>#N/A</v>
      </c>
      <c r="AI466" s="372" t="str">
        <f>CS_PID!AI466/VLOOKUP($B466,표2[#ALL],2)/HLOOKUP($A466,표1[#ALL],row(),false)</f>
        <v>#N/A</v>
      </c>
      <c r="AJ466" s="372" t="str">
        <f>CS_PID!AJ466/VLOOKUP($B466,표2[#ALL],2)/HLOOKUP($A466,표1[#ALL],row(),false)</f>
        <v>#N/A</v>
      </c>
      <c r="AK466" s="372" t="str">
        <f>CS_PID!AK466/VLOOKUP($B466,표2[#ALL],2)/HLOOKUP($A466,표1[#ALL],row(),false)</f>
        <v>#N/A</v>
      </c>
      <c r="AL466" s="372" t="str">
        <f>CS_PID!AL466/VLOOKUP($B466,표2[#ALL],2)/HLOOKUP($A466,표1[#ALL],row(),false)</f>
        <v>#N/A</v>
      </c>
      <c r="AM466" s="372" t="str">
        <f>CS_PID!AM466/VLOOKUP($B466,표2[#ALL],2)/HLOOKUP($A466,표1[#ALL],row(),false)</f>
        <v>#N/A</v>
      </c>
      <c r="AN466" s="372" t="str">
        <f>CS_PID!AN466/VLOOKUP($B466,표2[#ALL],2)/HLOOKUP($A466,표1[#ALL],row(),false)</f>
        <v>#N/A</v>
      </c>
      <c r="AO466" s="372" t="str">
        <f>CS_PID!AO466/VLOOKUP($B466,표2[#ALL],2)/HLOOKUP($A466,표1[#ALL],row(),false)</f>
        <v>#N/A</v>
      </c>
      <c r="AP466" s="372" t="str">
        <f>CS_PID!AP466/VLOOKUP($B466,표2[#ALL],2)/HLOOKUP($A466,표1[#ALL],row(),false)</f>
        <v>#N/A</v>
      </c>
      <c r="AQ466" s="372" t="str">
        <f>CS_PID!AQ466/VLOOKUP($B466,표2[#ALL],2)/HLOOKUP($A466,표1[#ALL],row(),false)</f>
        <v>#N/A</v>
      </c>
      <c r="AR466" s="372" t="str">
        <f>CS_PID!AR466/VLOOKUP($B466,표2[#ALL],2)/HLOOKUP($A466,표1[#ALL],row(),false)</f>
        <v>#N/A</v>
      </c>
      <c r="AS466" s="373" t="str">
        <f>CS_PID!AS466/VLOOKUP($B466,표2[#ALL],2)/HLOOKUP($A466,표1[#ALL],row(),false)</f>
        <v>#N/A</v>
      </c>
    </row>
    <row r="467">
      <c r="A467" s="374"/>
      <c r="B467" s="375"/>
      <c r="C467" s="376" t="str">
        <f>CS_PID!C467/VLOOKUP($B467,표2[#ALL],2)</f>
        <v>#N/A</v>
      </c>
      <c r="D467" s="376" t="str">
        <f>CS_PID!D467/VLOOKUP($B467,표2[#ALL],2)</f>
        <v>#N/A</v>
      </c>
      <c r="E467" s="376" t="str">
        <f>CS_PID!E467/VLOOKUP($B467,표2[#ALL],2)</f>
        <v>#N/A</v>
      </c>
      <c r="F467" s="376" t="str">
        <f>CS_PID!F467/VLOOKUP($B467,표2[#ALL],2)</f>
        <v>#N/A</v>
      </c>
      <c r="G467" s="376" t="str">
        <f>CS_PID!G467/VLOOKUP($B467,표2[#ALL],2)</f>
        <v>#N/A</v>
      </c>
      <c r="H467" s="376" t="str">
        <f>CS_PID!H467/VLOOKUP($B467,표2[#ALL],2)/HLOOKUP($A467,표1[#ALL],row(),false)</f>
        <v>#N/A</v>
      </c>
      <c r="I467" s="376" t="str">
        <f>CS_PID!I467/VLOOKUP($B467,표2[#ALL],2)/HLOOKUP($A467,표1[#ALL],row(),false)</f>
        <v>#N/A</v>
      </c>
      <c r="J467" s="376" t="str">
        <f>CS_PID!J467/VLOOKUP($B467,표2[#ALL],2)/HLOOKUP($A467,표1[#ALL],row(),false)</f>
        <v>#N/A</v>
      </c>
      <c r="K467" s="376" t="str">
        <f>CS_PID!K467/VLOOKUP($B467,표2[#ALL],2)/HLOOKUP($A467,표1[#ALL],row(),false)</f>
        <v>#N/A</v>
      </c>
      <c r="L467" s="376" t="str">
        <f>CS_PID!L467/VLOOKUP($B467,표2[#ALL],2)/HLOOKUP($A467,표1[#ALL],row(),false)</f>
        <v>#N/A</v>
      </c>
      <c r="M467" s="376" t="str">
        <f>CS_PID!M467/VLOOKUP($B467,표2[#ALL],2)/HLOOKUP($A467,표1[#ALL],row(),false)</f>
        <v>#N/A</v>
      </c>
      <c r="N467" s="376" t="str">
        <f>CS_PID!N467/VLOOKUP($B467,표2[#ALL],2)/HLOOKUP($A467,표1[#ALL],row(),false)</f>
        <v>#N/A</v>
      </c>
      <c r="O467" s="376" t="str">
        <f>CS_PID!O467/VLOOKUP($B467,표2[#ALL],2)/HLOOKUP($A467,표1[#ALL],row(),false)</f>
        <v>#N/A</v>
      </c>
      <c r="P467" s="376" t="str">
        <f>CS_PID!P467/VLOOKUP($B467,표2[#ALL],2)/HLOOKUP($A467,표1[#ALL],row(),false)</f>
        <v>#N/A</v>
      </c>
      <c r="Q467" s="376" t="str">
        <f>CS_PID!Q467/VLOOKUP($B467,표2[#ALL],2)/HLOOKUP($A467,표1[#ALL],row(),false)</f>
        <v>#N/A</v>
      </c>
      <c r="R467" s="376" t="str">
        <f>CS_PID!R467/VLOOKUP($B467,표2[#ALL],2)/HLOOKUP($A467,표1[#ALL],row(),false)</f>
        <v>#N/A</v>
      </c>
      <c r="S467" s="376" t="str">
        <f>CS_PID!S467/VLOOKUP($B467,표2[#ALL],2)/HLOOKUP($A467,표1[#ALL],row(),false)</f>
        <v>#N/A</v>
      </c>
      <c r="T467" s="376" t="str">
        <f>CS_PID!T467/VLOOKUP($B467,표2[#ALL],2)/HLOOKUP($A467,표1[#ALL],row(),false)</f>
        <v>#N/A</v>
      </c>
      <c r="U467" s="376" t="str">
        <f>CS_PID!U467/VLOOKUP($B467,표2[#ALL],2)/HLOOKUP($A467,표1[#ALL],row(),false)</f>
        <v>#N/A</v>
      </c>
      <c r="V467" s="376" t="str">
        <f>CS_PID!V467/VLOOKUP($B467,표2[#ALL],2)/HLOOKUP($A467,표1[#ALL],row(),false)</f>
        <v>#N/A</v>
      </c>
      <c r="W467" s="376" t="str">
        <f>CS_PID!W467/VLOOKUP($B467,표2[#ALL],2)/HLOOKUP($A467,표1[#ALL],row(),false)</f>
        <v>#N/A</v>
      </c>
      <c r="X467" s="376" t="str">
        <f>CS_PID!X467/VLOOKUP($B467,표2[#ALL],2)/HLOOKUP($A467,표1[#ALL],row(),false)</f>
        <v>#N/A</v>
      </c>
      <c r="Y467" s="376" t="str">
        <f>CS_PID!Y467/VLOOKUP($B467,표2[#ALL],2)/HLOOKUP($A467,표1[#ALL],row(),false)</f>
        <v>#N/A</v>
      </c>
      <c r="Z467" s="376" t="str">
        <f>CS_PID!Z467/VLOOKUP($B467,표2[#ALL],2)/HLOOKUP($A467,표1[#ALL],row(),false)</f>
        <v>#N/A</v>
      </c>
      <c r="AA467" s="376" t="str">
        <f>CS_PID!AA467/VLOOKUP($B467,표2[#ALL],2)/HLOOKUP($A467,표1[#ALL],row(),false)</f>
        <v>#N/A</v>
      </c>
      <c r="AB467" s="376" t="str">
        <f>CS_PID!AB467/VLOOKUP($B467,표2[#ALL],2)/HLOOKUP($A467,표1[#ALL],row(),false)</f>
        <v>#N/A</v>
      </c>
      <c r="AC467" s="376" t="str">
        <f>CS_PID!AC467/VLOOKUP($B467,표2[#ALL],2)/HLOOKUP($A467,표1[#ALL],row(),false)</f>
        <v>#N/A</v>
      </c>
      <c r="AD467" s="376" t="str">
        <f>CS_PID!AD467/VLOOKUP($B467,표2[#ALL],2)/HLOOKUP($A467,표1[#ALL],row(),false)</f>
        <v>#N/A</v>
      </c>
      <c r="AE467" s="376" t="str">
        <f>CS_PID!AE467/VLOOKUP($B467,표2[#ALL],2)/HLOOKUP($A467,표1[#ALL],row(),false)</f>
        <v>#N/A</v>
      </c>
      <c r="AF467" s="376" t="str">
        <f>CS_PID!AF467/VLOOKUP($B467,표2[#ALL],2)/HLOOKUP($A467,표1[#ALL],row(),false)</f>
        <v>#N/A</v>
      </c>
      <c r="AG467" s="376" t="str">
        <f>CS_PID!AG467/VLOOKUP($B467,표2[#ALL],2)/HLOOKUP($A467,표1[#ALL],row(),false)</f>
        <v>#N/A</v>
      </c>
      <c r="AH467" s="376" t="str">
        <f>CS_PID!AH467/VLOOKUP($B467,표2[#ALL],2)/HLOOKUP($A467,표1[#ALL],row(),false)</f>
        <v>#N/A</v>
      </c>
      <c r="AI467" s="376" t="str">
        <f>CS_PID!AI467/VLOOKUP($B467,표2[#ALL],2)/HLOOKUP($A467,표1[#ALL],row(),false)</f>
        <v>#N/A</v>
      </c>
      <c r="AJ467" s="376" t="str">
        <f>CS_PID!AJ467/VLOOKUP($B467,표2[#ALL],2)/HLOOKUP($A467,표1[#ALL],row(),false)</f>
        <v>#N/A</v>
      </c>
      <c r="AK467" s="376" t="str">
        <f>CS_PID!AK467/VLOOKUP($B467,표2[#ALL],2)/HLOOKUP($A467,표1[#ALL],row(),false)</f>
        <v>#N/A</v>
      </c>
      <c r="AL467" s="376" t="str">
        <f>CS_PID!AL467/VLOOKUP($B467,표2[#ALL],2)/HLOOKUP($A467,표1[#ALL],row(),false)</f>
        <v>#N/A</v>
      </c>
      <c r="AM467" s="376" t="str">
        <f>CS_PID!AM467/VLOOKUP($B467,표2[#ALL],2)/HLOOKUP($A467,표1[#ALL],row(),false)</f>
        <v>#N/A</v>
      </c>
      <c r="AN467" s="376" t="str">
        <f>CS_PID!AN467/VLOOKUP($B467,표2[#ALL],2)/HLOOKUP($A467,표1[#ALL],row(),false)</f>
        <v>#N/A</v>
      </c>
      <c r="AO467" s="376" t="str">
        <f>CS_PID!AO467/VLOOKUP($B467,표2[#ALL],2)/HLOOKUP($A467,표1[#ALL],row(),false)</f>
        <v>#N/A</v>
      </c>
      <c r="AP467" s="376" t="str">
        <f>CS_PID!AP467/VLOOKUP($B467,표2[#ALL],2)/HLOOKUP($A467,표1[#ALL],row(),false)</f>
        <v>#N/A</v>
      </c>
      <c r="AQ467" s="376" t="str">
        <f>CS_PID!AQ467/VLOOKUP($B467,표2[#ALL],2)/HLOOKUP($A467,표1[#ALL],row(),false)</f>
        <v>#N/A</v>
      </c>
      <c r="AR467" s="376" t="str">
        <f>CS_PID!AR467/VLOOKUP($B467,표2[#ALL],2)/HLOOKUP($A467,표1[#ALL],row(),false)</f>
        <v>#N/A</v>
      </c>
      <c r="AS467" s="377" t="str">
        <f>CS_PID!AS467/VLOOKUP($B467,표2[#ALL],2)/HLOOKUP($A467,표1[#ALL],row(),false)</f>
        <v>#N/A</v>
      </c>
    </row>
    <row r="468">
      <c r="A468" s="370"/>
      <c r="B468" s="371"/>
      <c r="C468" s="372" t="str">
        <f>CS_PID!C468/VLOOKUP($B468,표2[#ALL],2)</f>
        <v>#N/A</v>
      </c>
      <c r="D468" s="372" t="str">
        <f>CS_PID!D468/VLOOKUP($B468,표2[#ALL],2)</f>
        <v>#N/A</v>
      </c>
      <c r="E468" s="372" t="str">
        <f>CS_PID!E468/VLOOKUP($B468,표2[#ALL],2)</f>
        <v>#N/A</v>
      </c>
      <c r="F468" s="372" t="str">
        <f>CS_PID!F468/VLOOKUP($B468,표2[#ALL],2)</f>
        <v>#N/A</v>
      </c>
      <c r="G468" s="372" t="str">
        <f>CS_PID!G468/VLOOKUP($B468,표2[#ALL],2)</f>
        <v>#N/A</v>
      </c>
      <c r="H468" s="372" t="str">
        <f>CS_PID!H468/VLOOKUP($B468,표2[#ALL],2)/HLOOKUP($A468,표1[#ALL],row(),false)</f>
        <v>#N/A</v>
      </c>
      <c r="I468" s="372" t="str">
        <f>CS_PID!I468/VLOOKUP($B468,표2[#ALL],2)/HLOOKUP($A468,표1[#ALL],row(),false)</f>
        <v>#N/A</v>
      </c>
      <c r="J468" s="372" t="str">
        <f>CS_PID!J468/VLOOKUP($B468,표2[#ALL],2)/HLOOKUP($A468,표1[#ALL],row(),false)</f>
        <v>#N/A</v>
      </c>
      <c r="K468" s="372" t="str">
        <f>CS_PID!K468/VLOOKUP($B468,표2[#ALL],2)/HLOOKUP($A468,표1[#ALL],row(),false)</f>
        <v>#N/A</v>
      </c>
      <c r="L468" s="372" t="str">
        <f>CS_PID!L468/VLOOKUP($B468,표2[#ALL],2)/HLOOKUP($A468,표1[#ALL],row(),false)</f>
        <v>#N/A</v>
      </c>
      <c r="M468" s="372" t="str">
        <f>CS_PID!M468/VLOOKUP($B468,표2[#ALL],2)/HLOOKUP($A468,표1[#ALL],row(),false)</f>
        <v>#N/A</v>
      </c>
      <c r="N468" s="372" t="str">
        <f>CS_PID!N468/VLOOKUP($B468,표2[#ALL],2)/HLOOKUP($A468,표1[#ALL],row(),false)</f>
        <v>#N/A</v>
      </c>
      <c r="O468" s="372" t="str">
        <f>CS_PID!O468/VLOOKUP($B468,표2[#ALL],2)/HLOOKUP($A468,표1[#ALL],row(),false)</f>
        <v>#N/A</v>
      </c>
      <c r="P468" s="372" t="str">
        <f>CS_PID!P468/VLOOKUP($B468,표2[#ALL],2)/HLOOKUP($A468,표1[#ALL],row(),false)</f>
        <v>#N/A</v>
      </c>
      <c r="Q468" s="372" t="str">
        <f>CS_PID!Q468/VLOOKUP($B468,표2[#ALL],2)/HLOOKUP($A468,표1[#ALL],row(),false)</f>
        <v>#N/A</v>
      </c>
      <c r="R468" s="372" t="str">
        <f>CS_PID!R468/VLOOKUP($B468,표2[#ALL],2)/HLOOKUP($A468,표1[#ALL],row(),false)</f>
        <v>#N/A</v>
      </c>
      <c r="S468" s="372" t="str">
        <f>CS_PID!S468/VLOOKUP($B468,표2[#ALL],2)/HLOOKUP($A468,표1[#ALL],row(),false)</f>
        <v>#N/A</v>
      </c>
      <c r="T468" s="372" t="str">
        <f>CS_PID!T468/VLOOKUP($B468,표2[#ALL],2)/HLOOKUP($A468,표1[#ALL],row(),false)</f>
        <v>#N/A</v>
      </c>
      <c r="U468" s="372" t="str">
        <f>CS_PID!U468/VLOOKUP($B468,표2[#ALL],2)/HLOOKUP($A468,표1[#ALL],row(),false)</f>
        <v>#N/A</v>
      </c>
      <c r="V468" s="372" t="str">
        <f>CS_PID!V468/VLOOKUP($B468,표2[#ALL],2)/HLOOKUP($A468,표1[#ALL],row(),false)</f>
        <v>#N/A</v>
      </c>
      <c r="W468" s="372" t="str">
        <f>CS_PID!W468/VLOOKUP($B468,표2[#ALL],2)/HLOOKUP($A468,표1[#ALL],row(),false)</f>
        <v>#N/A</v>
      </c>
      <c r="X468" s="372" t="str">
        <f>CS_PID!X468/VLOOKUP($B468,표2[#ALL],2)/HLOOKUP($A468,표1[#ALL],row(),false)</f>
        <v>#N/A</v>
      </c>
      <c r="Y468" s="372" t="str">
        <f>CS_PID!Y468/VLOOKUP($B468,표2[#ALL],2)/HLOOKUP($A468,표1[#ALL],row(),false)</f>
        <v>#N/A</v>
      </c>
      <c r="Z468" s="372" t="str">
        <f>CS_PID!Z468/VLOOKUP($B468,표2[#ALL],2)/HLOOKUP($A468,표1[#ALL],row(),false)</f>
        <v>#N/A</v>
      </c>
      <c r="AA468" s="372" t="str">
        <f>CS_PID!AA468/VLOOKUP($B468,표2[#ALL],2)/HLOOKUP($A468,표1[#ALL],row(),false)</f>
        <v>#N/A</v>
      </c>
      <c r="AB468" s="372" t="str">
        <f>CS_PID!AB468/VLOOKUP($B468,표2[#ALL],2)/HLOOKUP($A468,표1[#ALL],row(),false)</f>
        <v>#N/A</v>
      </c>
      <c r="AC468" s="372" t="str">
        <f>CS_PID!AC468/VLOOKUP($B468,표2[#ALL],2)/HLOOKUP($A468,표1[#ALL],row(),false)</f>
        <v>#N/A</v>
      </c>
      <c r="AD468" s="372" t="str">
        <f>CS_PID!AD468/VLOOKUP($B468,표2[#ALL],2)/HLOOKUP($A468,표1[#ALL],row(),false)</f>
        <v>#N/A</v>
      </c>
      <c r="AE468" s="372" t="str">
        <f>CS_PID!AE468/VLOOKUP($B468,표2[#ALL],2)/HLOOKUP($A468,표1[#ALL],row(),false)</f>
        <v>#N/A</v>
      </c>
      <c r="AF468" s="372" t="str">
        <f>CS_PID!AF468/VLOOKUP($B468,표2[#ALL],2)/HLOOKUP($A468,표1[#ALL],row(),false)</f>
        <v>#N/A</v>
      </c>
      <c r="AG468" s="372" t="str">
        <f>CS_PID!AG468/VLOOKUP($B468,표2[#ALL],2)/HLOOKUP($A468,표1[#ALL],row(),false)</f>
        <v>#N/A</v>
      </c>
      <c r="AH468" s="372" t="str">
        <f>CS_PID!AH468/VLOOKUP($B468,표2[#ALL],2)/HLOOKUP($A468,표1[#ALL],row(),false)</f>
        <v>#N/A</v>
      </c>
      <c r="AI468" s="372" t="str">
        <f>CS_PID!AI468/VLOOKUP($B468,표2[#ALL],2)/HLOOKUP($A468,표1[#ALL],row(),false)</f>
        <v>#N/A</v>
      </c>
      <c r="AJ468" s="372" t="str">
        <f>CS_PID!AJ468/VLOOKUP($B468,표2[#ALL],2)/HLOOKUP($A468,표1[#ALL],row(),false)</f>
        <v>#N/A</v>
      </c>
      <c r="AK468" s="372" t="str">
        <f>CS_PID!AK468/VLOOKUP($B468,표2[#ALL],2)/HLOOKUP($A468,표1[#ALL],row(),false)</f>
        <v>#N/A</v>
      </c>
      <c r="AL468" s="372" t="str">
        <f>CS_PID!AL468/VLOOKUP($B468,표2[#ALL],2)/HLOOKUP($A468,표1[#ALL],row(),false)</f>
        <v>#N/A</v>
      </c>
      <c r="AM468" s="372" t="str">
        <f>CS_PID!AM468/VLOOKUP($B468,표2[#ALL],2)/HLOOKUP($A468,표1[#ALL],row(),false)</f>
        <v>#N/A</v>
      </c>
      <c r="AN468" s="372" t="str">
        <f>CS_PID!AN468/VLOOKUP($B468,표2[#ALL],2)/HLOOKUP($A468,표1[#ALL],row(),false)</f>
        <v>#N/A</v>
      </c>
      <c r="AO468" s="372" t="str">
        <f>CS_PID!AO468/VLOOKUP($B468,표2[#ALL],2)/HLOOKUP($A468,표1[#ALL],row(),false)</f>
        <v>#N/A</v>
      </c>
      <c r="AP468" s="372" t="str">
        <f>CS_PID!AP468/VLOOKUP($B468,표2[#ALL],2)/HLOOKUP($A468,표1[#ALL],row(),false)</f>
        <v>#N/A</v>
      </c>
      <c r="AQ468" s="372" t="str">
        <f>CS_PID!AQ468/VLOOKUP($B468,표2[#ALL],2)/HLOOKUP($A468,표1[#ALL],row(),false)</f>
        <v>#N/A</v>
      </c>
      <c r="AR468" s="372" t="str">
        <f>CS_PID!AR468/VLOOKUP($B468,표2[#ALL],2)/HLOOKUP($A468,표1[#ALL],row(),false)</f>
        <v>#N/A</v>
      </c>
      <c r="AS468" s="373" t="str">
        <f>CS_PID!AS468/VLOOKUP($B468,표2[#ALL],2)/HLOOKUP($A468,표1[#ALL],row(),false)</f>
        <v>#N/A</v>
      </c>
    </row>
    <row r="469">
      <c r="A469" s="374"/>
      <c r="B469" s="375"/>
      <c r="C469" s="376" t="str">
        <f>CS_PID!C469/VLOOKUP($B469,표2[#ALL],2)</f>
        <v>#N/A</v>
      </c>
      <c r="D469" s="376" t="str">
        <f>CS_PID!D469/VLOOKUP($B469,표2[#ALL],2)</f>
        <v>#N/A</v>
      </c>
      <c r="E469" s="376" t="str">
        <f>CS_PID!E469/VLOOKUP($B469,표2[#ALL],2)</f>
        <v>#N/A</v>
      </c>
      <c r="F469" s="376" t="str">
        <f>CS_PID!F469/VLOOKUP($B469,표2[#ALL],2)</f>
        <v>#N/A</v>
      </c>
      <c r="G469" s="376" t="str">
        <f>CS_PID!G469/VLOOKUP($B469,표2[#ALL],2)</f>
        <v>#N/A</v>
      </c>
      <c r="H469" s="376" t="str">
        <f>CS_PID!H469/VLOOKUP($B469,표2[#ALL],2)/HLOOKUP($A469,표1[#ALL],row(),false)</f>
        <v>#N/A</v>
      </c>
      <c r="I469" s="376" t="str">
        <f>CS_PID!I469/VLOOKUP($B469,표2[#ALL],2)/HLOOKUP($A469,표1[#ALL],row(),false)</f>
        <v>#N/A</v>
      </c>
      <c r="J469" s="376" t="str">
        <f>CS_PID!J469/VLOOKUP($B469,표2[#ALL],2)/HLOOKUP($A469,표1[#ALL],row(),false)</f>
        <v>#N/A</v>
      </c>
      <c r="K469" s="376" t="str">
        <f>CS_PID!K469/VLOOKUP($B469,표2[#ALL],2)/HLOOKUP($A469,표1[#ALL],row(),false)</f>
        <v>#N/A</v>
      </c>
      <c r="L469" s="376" t="str">
        <f>CS_PID!L469/VLOOKUP($B469,표2[#ALL],2)/HLOOKUP($A469,표1[#ALL],row(),false)</f>
        <v>#N/A</v>
      </c>
      <c r="M469" s="376" t="str">
        <f>CS_PID!M469/VLOOKUP($B469,표2[#ALL],2)/HLOOKUP($A469,표1[#ALL],row(),false)</f>
        <v>#N/A</v>
      </c>
      <c r="N469" s="376" t="str">
        <f>CS_PID!N469/VLOOKUP($B469,표2[#ALL],2)/HLOOKUP($A469,표1[#ALL],row(),false)</f>
        <v>#N/A</v>
      </c>
      <c r="O469" s="376" t="str">
        <f>CS_PID!O469/VLOOKUP($B469,표2[#ALL],2)/HLOOKUP($A469,표1[#ALL],row(),false)</f>
        <v>#N/A</v>
      </c>
      <c r="P469" s="376" t="str">
        <f>CS_PID!P469/VLOOKUP($B469,표2[#ALL],2)/HLOOKUP($A469,표1[#ALL],row(),false)</f>
        <v>#N/A</v>
      </c>
      <c r="Q469" s="376" t="str">
        <f>CS_PID!Q469/VLOOKUP($B469,표2[#ALL],2)/HLOOKUP($A469,표1[#ALL],row(),false)</f>
        <v>#N/A</v>
      </c>
      <c r="R469" s="376" t="str">
        <f>CS_PID!R469/VLOOKUP($B469,표2[#ALL],2)/HLOOKUP($A469,표1[#ALL],row(),false)</f>
        <v>#N/A</v>
      </c>
      <c r="S469" s="376" t="str">
        <f>CS_PID!S469/VLOOKUP($B469,표2[#ALL],2)/HLOOKUP($A469,표1[#ALL],row(),false)</f>
        <v>#N/A</v>
      </c>
      <c r="T469" s="376" t="str">
        <f>CS_PID!T469/VLOOKUP($B469,표2[#ALL],2)/HLOOKUP($A469,표1[#ALL],row(),false)</f>
        <v>#N/A</v>
      </c>
      <c r="U469" s="376" t="str">
        <f>CS_PID!U469/VLOOKUP($B469,표2[#ALL],2)/HLOOKUP($A469,표1[#ALL],row(),false)</f>
        <v>#N/A</v>
      </c>
      <c r="V469" s="376" t="str">
        <f>CS_PID!V469/VLOOKUP($B469,표2[#ALL],2)/HLOOKUP($A469,표1[#ALL],row(),false)</f>
        <v>#N/A</v>
      </c>
      <c r="W469" s="376" t="str">
        <f>CS_PID!W469/VLOOKUP($B469,표2[#ALL],2)/HLOOKUP($A469,표1[#ALL],row(),false)</f>
        <v>#N/A</v>
      </c>
      <c r="X469" s="376" t="str">
        <f>CS_PID!X469/VLOOKUP($B469,표2[#ALL],2)/HLOOKUP($A469,표1[#ALL],row(),false)</f>
        <v>#N/A</v>
      </c>
      <c r="Y469" s="376" t="str">
        <f>CS_PID!Y469/VLOOKUP($B469,표2[#ALL],2)/HLOOKUP($A469,표1[#ALL],row(),false)</f>
        <v>#N/A</v>
      </c>
      <c r="Z469" s="376" t="str">
        <f>CS_PID!Z469/VLOOKUP($B469,표2[#ALL],2)/HLOOKUP($A469,표1[#ALL],row(),false)</f>
        <v>#N/A</v>
      </c>
      <c r="AA469" s="376" t="str">
        <f>CS_PID!AA469/VLOOKUP($B469,표2[#ALL],2)/HLOOKUP($A469,표1[#ALL],row(),false)</f>
        <v>#N/A</v>
      </c>
      <c r="AB469" s="376" t="str">
        <f>CS_PID!AB469/VLOOKUP($B469,표2[#ALL],2)/HLOOKUP($A469,표1[#ALL],row(),false)</f>
        <v>#N/A</v>
      </c>
      <c r="AC469" s="376" t="str">
        <f>CS_PID!AC469/VLOOKUP($B469,표2[#ALL],2)/HLOOKUP($A469,표1[#ALL],row(),false)</f>
        <v>#N/A</v>
      </c>
      <c r="AD469" s="376" t="str">
        <f>CS_PID!AD469/VLOOKUP($B469,표2[#ALL],2)/HLOOKUP($A469,표1[#ALL],row(),false)</f>
        <v>#N/A</v>
      </c>
      <c r="AE469" s="376" t="str">
        <f>CS_PID!AE469/VLOOKUP($B469,표2[#ALL],2)/HLOOKUP($A469,표1[#ALL],row(),false)</f>
        <v>#N/A</v>
      </c>
      <c r="AF469" s="376" t="str">
        <f>CS_PID!AF469/VLOOKUP($B469,표2[#ALL],2)/HLOOKUP($A469,표1[#ALL],row(),false)</f>
        <v>#N/A</v>
      </c>
      <c r="AG469" s="376" t="str">
        <f>CS_PID!AG469/VLOOKUP($B469,표2[#ALL],2)/HLOOKUP($A469,표1[#ALL],row(),false)</f>
        <v>#N/A</v>
      </c>
      <c r="AH469" s="376" t="str">
        <f>CS_PID!AH469/VLOOKUP($B469,표2[#ALL],2)/HLOOKUP($A469,표1[#ALL],row(),false)</f>
        <v>#N/A</v>
      </c>
      <c r="AI469" s="376" t="str">
        <f>CS_PID!AI469/VLOOKUP($B469,표2[#ALL],2)/HLOOKUP($A469,표1[#ALL],row(),false)</f>
        <v>#N/A</v>
      </c>
      <c r="AJ469" s="376" t="str">
        <f>CS_PID!AJ469/VLOOKUP($B469,표2[#ALL],2)/HLOOKUP($A469,표1[#ALL],row(),false)</f>
        <v>#N/A</v>
      </c>
      <c r="AK469" s="376" t="str">
        <f>CS_PID!AK469/VLOOKUP($B469,표2[#ALL],2)/HLOOKUP($A469,표1[#ALL],row(),false)</f>
        <v>#N/A</v>
      </c>
      <c r="AL469" s="376" t="str">
        <f>CS_PID!AL469/VLOOKUP($B469,표2[#ALL],2)/HLOOKUP($A469,표1[#ALL],row(),false)</f>
        <v>#N/A</v>
      </c>
      <c r="AM469" s="376" t="str">
        <f>CS_PID!AM469/VLOOKUP($B469,표2[#ALL],2)/HLOOKUP($A469,표1[#ALL],row(),false)</f>
        <v>#N/A</v>
      </c>
      <c r="AN469" s="376" t="str">
        <f>CS_PID!AN469/VLOOKUP($B469,표2[#ALL],2)/HLOOKUP($A469,표1[#ALL],row(),false)</f>
        <v>#N/A</v>
      </c>
      <c r="AO469" s="376" t="str">
        <f>CS_PID!AO469/VLOOKUP($B469,표2[#ALL],2)/HLOOKUP($A469,표1[#ALL],row(),false)</f>
        <v>#N/A</v>
      </c>
      <c r="AP469" s="376" t="str">
        <f>CS_PID!AP469/VLOOKUP($B469,표2[#ALL],2)/HLOOKUP($A469,표1[#ALL],row(),false)</f>
        <v>#N/A</v>
      </c>
      <c r="AQ469" s="376" t="str">
        <f>CS_PID!AQ469/VLOOKUP($B469,표2[#ALL],2)/HLOOKUP($A469,표1[#ALL],row(),false)</f>
        <v>#N/A</v>
      </c>
      <c r="AR469" s="376" t="str">
        <f>CS_PID!AR469/VLOOKUP($B469,표2[#ALL],2)/HLOOKUP($A469,표1[#ALL],row(),false)</f>
        <v>#N/A</v>
      </c>
      <c r="AS469" s="377" t="str">
        <f>CS_PID!AS469/VLOOKUP($B469,표2[#ALL],2)/HLOOKUP($A469,표1[#ALL],row(),false)</f>
        <v>#N/A</v>
      </c>
    </row>
    <row r="470">
      <c r="A470" s="370"/>
      <c r="B470" s="371"/>
      <c r="C470" s="372" t="str">
        <f>CS_PID!C470/VLOOKUP($B470,표2[#ALL],2)</f>
        <v>#N/A</v>
      </c>
      <c r="D470" s="372" t="str">
        <f>CS_PID!D470/VLOOKUP($B470,표2[#ALL],2)</f>
        <v>#N/A</v>
      </c>
      <c r="E470" s="372" t="str">
        <f>CS_PID!E470/VLOOKUP($B470,표2[#ALL],2)</f>
        <v>#N/A</v>
      </c>
      <c r="F470" s="372" t="str">
        <f>CS_PID!F470/VLOOKUP($B470,표2[#ALL],2)</f>
        <v>#N/A</v>
      </c>
      <c r="G470" s="372" t="str">
        <f>CS_PID!G470/VLOOKUP($B470,표2[#ALL],2)</f>
        <v>#N/A</v>
      </c>
      <c r="H470" s="372" t="str">
        <f>CS_PID!H470/VLOOKUP($B470,표2[#ALL],2)/HLOOKUP($A470,표1[#ALL],row(),false)</f>
        <v>#N/A</v>
      </c>
      <c r="I470" s="372" t="str">
        <f>CS_PID!I470/VLOOKUP($B470,표2[#ALL],2)/HLOOKUP($A470,표1[#ALL],row(),false)</f>
        <v>#N/A</v>
      </c>
      <c r="J470" s="372" t="str">
        <f>CS_PID!J470/VLOOKUP($B470,표2[#ALL],2)/HLOOKUP($A470,표1[#ALL],row(),false)</f>
        <v>#N/A</v>
      </c>
      <c r="K470" s="372" t="str">
        <f>CS_PID!K470/VLOOKUP($B470,표2[#ALL],2)/HLOOKUP($A470,표1[#ALL],row(),false)</f>
        <v>#N/A</v>
      </c>
      <c r="L470" s="372" t="str">
        <f>CS_PID!L470/VLOOKUP($B470,표2[#ALL],2)/HLOOKUP($A470,표1[#ALL],row(),false)</f>
        <v>#N/A</v>
      </c>
      <c r="M470" s="372" t="str">
        <f>CS_PID!M470/VLOOKUP($B470,표2[#ALL],2)/HLOOKUP($A470,표1[#ALL],row(),false)</f>
        <v>#N/A</v>
      </c>
      <c r="N470" s="372" t="str">
        <f>CS_PID!N470/VLOOKUP($B470,표2[#ALL],2)/HLOOKUP($A470,표1[#ALL],row(),false)</f>
        <v>#N/A</v>
      </c>
      <c r="O470" s="372" t="str">
        <f>CS_PID!O470/VLOOKUP($B470,표2[#ALL],2)/HLOOKUP($A470,표1[#ALL],row(),false)</f>
        <v>#N/A</v>
      </c>
      <c r="P470" s="372" t="str">
        <f>CS_PID!P470/VLOOKUP($B470,표2[#ALL],2)/HLOOKUP($A470,표1[#ALL],row(),false)</f>
        <v>#N/A</v>
      </c>
      <c r="Q470" s="372" t="str">
        <f>CS_PID!Q470/VLOOKUP($B470,표2[#ALL],2)/HLOOKUP($A470,표1[#ALL],row(),false)</f>
        <v>#N/A</v>
      </c>
      <c r="R470" s="372" t="str">
        <f>CS_PID!R470/VLOOKUP($B470,표2[#ALL],2)/HLOOKUP($A470,표1[#ALL],row(),false)</f>
        <v>#N/A</v>
      </c>
      <c r="S470" s="372" t="str">
        <f>CS_PID!S470/VLOOKUP($B470,표2[#ALL],2)/HLOOKUP($A470,표1[#ALL],row(),false)</f>
        <v>#N/A</v>
      </c>
      <c r="T470" s="372" t="str">
        <f>CS_PID!T470/VLOOKUP($B470,표2[#ALL],2)/HLOOKUP($A470,표1[#ALL],row(),false)</f>
        <v>#N/A</v>
      </c>
      <c r="U470" s="372" t="str">
        <f>CS_PID!U470/VLOOKUP($B470,표2[#ALL],2)/HLOOKUP($A470,표1[#ALL],row(),false)</f>
        <v>#N/A</v>
      </c>
      <c r="V470" s="372" t="str">
        <f>CS_PID!V470/VLOOKUP($B470,표2[#ALL],2)/HLOOKUP($A470,표1[#ALL],row(),false)</f>
        <v>#N/A</v>
      </c>
      <c r="W470" s="372" t="str">
        <f>CS_PID!W470/VLOOKUP($B470,표2[#ALL],2)/HLOOKUP($A470,표1[#ALL],row(),false)</f>
        <v>#N/A</v>
      </c>
      <c r="X470" s="372" t="str">
        <f>CS_PID!X470/VLOOKUP($B470,표2[#ALL],2)/HLOOKUP($A470,표1[#ALL],row(),false)</f>
        <v>#N/A</v>
      </c>
      <c r="Y470" s="372" t="str">
        <f>CS_PID!Y470/VLOOKUP($B470,표2[#ALL],2)/HLOOKUP($A470,표1[#ALL],row(),false)</f>
        <v>#N/A</v>
      </c>
      <c r="Z470" s="372" t="str">
        <f>CS_PID!Z470/VLOOKUP($B470,표2[#ALL],2)/HLOOKUP($A470,표1[#ALL],row(),false)</f>
        <v>#N/A</v>
      </c>
      <c r="AA470" s="372" t="str">
        <f>CS_PID!AA470/VLOOKUP($B470,표2[#ALL],2)/HLOOKUP($A470,표1[#ALL],row(),false)</f>
        <v>#N/A</v>
      </c>
      <c r="AB470" s="372" t="str">
        <f>CS_PID!AB470/VLOOKUP($B470,표2[#ALL],2)/HLOOKUP($A470,표1[#ALL],row(),false)</f>
        <v>#N/A</v>
      </c>
      <c r="AC470" s="372" t="str">
        <f>CS_PID!AC470/VLOOKUP($B470,표2[#ALL],2)/HLOOKUP($A470,표1[#ALL],row(),false)</f>
        <v>#N/A</v>
      </c>
      <c r="AD470" s="372" t="str">
        <f>CS_PID!AD470/VLOOKUP($B470,표2[#ALL],2)/HLOOKUP($A470,표1[#ALL],row(),false)</f>
        <v>#N/A</v>
      </c>
      <c r="AE470" s="372" t="str">
        <f>CS_PID!AE470/VLOOKUP($B470,표2[#ALL],2)/HLOOKUP($A470,표1[#ALL],row(),false)</f>
        <v>#N/A</v>
      </c>
      <c r="AF470" s="372" t="str">
        <f>CS_PID!AF470/VLOOKUP($B470,표2[#ALL],2)/HLOOKUP($A470,표1[#ALL],row(),false)</f>
        <v>#N/A</v>
      </c>
      <c r="AG470" s="372" t="str">
        <f>CS_PID!AG470/VLOOKUP($B470,표2[#ALL],2)/HLOOKUP($A470,표1[#ALL],row(),false)</f>
        <v>#N/A</v>
      </c>
      <c r="AH470" s="372" t="str">
        <f>CS_PID!AH470/VLOOKUP($B470,표2[#ALL],2)/HLOOKUP($A470,표1[#ALL],row(),false)</f>
        <v>#N/A</v>
      </c>
      <c r="AI470" s="372" t="str">
        <f>CS_PID!AI470/VLOOKUP($B470,표2[#ALL],2)/HLOOKUP($A470,표1[#ALL],row(),false)</f>
        <v>#N/A</v>
      </c>
      <c r="AJ470" s="372" t="str">
        <f>CS_PID!AJ470/VLOOKUP($B470,표2[#ALL],2)/HLOOKUP($A470,표1[#ALL],row(),false)</f>
        <v>#N/A</v>
      </c>
      <c r="AK470" s="372" t="str">
        <f>CS_PID!AK470/VLOOKUP($B470,표2[#ALL],2)/HLOOKUP($A470,표1[#ALL],row(),false)</f>
        <v>#N/A</v>
      </c>
      <c r="AL470" s="372" t="str">
        <f>CS_PID!AL470/VLOOKUP($B470,표2[#ALL],2)/HLOOKUP($A470,표1[#ALL],row(),false)</f>
        <v>#N/A</v>
      </c>
      <c r="AM470" s="372" t="str">
        <f>CS_PID!AM470/VLOOKUP($B470,표2[#ALL],2)/HLOOKUP($A470,표1[#ALL],row(),false)</f>
        <v>#N/A</v>
      </c>
      <c r="AN470" s="372" t="str">
        <f>CS_PID!AN470/VLOOKUP($B470,표2[#ALL],2)/HLOOKUP($A470,표1[#ALL],row(),false)</f>
        <v>#N/A</v>
      </c>
      <c r="AO470" s="372" t="str">
        <f>CS_PID!AO470/VLOOKUP($B470,표2[#ALL],2)/HLOOKUP($A470,표1[#ALL],row(),false)</f>
        <v>#N/A</v>
      </c>
      <c r="AP470" s="372" t="str">
        <f>CS_PID!AP470/VLOOKUP($B470,표2[#ALL],2)/HLOOKUP($A470,표1[#ALL],row(),false)</f>
        <v>#N/A</v>
      </c>
      <c r="AQ470" s="372" t="str">
        <f>CS_PID!AQ470/VLOOKUP($B470,표2[#ALL],2)/HLOOKUP($A470,표1[#ALL],row(),false)</f>
        <v>#N/A</v>
      </c>
      <c r="AR470" s="372" t="str">
        <f>CS_PID!AR470/VLOOKUP($B470,표2[#ALL],2)/HLOOKUP($A470,표1[#ALL],row(),false)</f>
        <v>#N/A</v>
      </c>
      <c r="AS470" s="373" t="str">
        <f>CS_PID!AS470/VLOOKUP($B470,표2[#ALL],2)/HLOOKUP($A470,표1[#ALL],row(),false)</f>
        <v>#N/A</v>
      </c>
    </row>
    <row r="471">
      <c r="A471" s="374"/>
      <c r="B471" s="375"/>
      <c r="C471" s="376" t="str">
        <f>CS_PID!C471/VLOOKUP($B471,표2[#ALL],2)</f>
        <v>#N/A</v>
      </c>
      <c r="D471" s="376" t="str">
        <f>CS_PID!D471/VLOOKUP($B471,표2[#ALL],2)</f>
        <v>#N/A</v>
      </c>
      <c r="E471" s="376" t="str">
        <f>CS_PID!E471/VLOOKUP($B471,표2[#ALL],2)</f>
        <v>#N/A</v>
      </c>
      <c r="F471" s="376" t="str">
        <f>CS_PID!F471/VLOOKUP($B471,표2[#ALL],2)</f>
        <v>#N/A</v>
      </c>
      <c r="G471" s="376" t="str">
        <f>CS_PID!G471/VLOOKUP($B471,표2[#ALL],2)</f>
        <v>#N/A</v>
      </c>
      <c r="H471" s="376" t="str">
        <f>CS_PID!H471/VLOOKUP($B471,표2[#ALL],2)/HLOOKUP($A471,표1[#ALL],row(),false)</f>
        <v>#N/A</v>
      </c>
      <c r="I471" s="376" t="str">
        <f>CS_PID!I471/VLOOKUP($B471,표2[#ALL],2)/HLOOKUP($A471,표1[#ALL],row(),false)</f>
        <v>#N/A</v>
      </c>
      <c r="J471" s="376" t="str">
        <f>CS_PID!J471/VLOOKUP($B471,표2[#ALL],2)/HLOOKUP($A471,표1[#ALL],row(),false)</f>
        <v>#N/A</v>
      </c>
      <c r="K471" s="376" t="str">
        <f>CS_PID!K471/VLOOKUP($B471,표2[#ALL],2)/HLOOKUP($A471,표1[#ALL],row(),false)</f>
        <v>#N/A</v>
      </c>
      <c r="L471" s="376" t="str">
        <f>CS_PID!L471/VLOOKUP($B471,표2[#ALL],2)/HLOOKUP($A471,표1[#ALL],row(),false)</f>
        <v>#N/A</v>
      </c>
      <c r="M471" s="376" t="str">
        <f>CS_PID!M471/VLOOKUP($B471,표2[#ALL],2)/HLOOKUP($A471,표1[#ALL],row(),false)</f>
        <v>#N/A</v>
      </c>
      <c r="N471" s="376" t="str">
        <f>CS_PID!N471/VLOOKUP($B471,표2[#ALL],2)/HLOOKUP($A471,표1[#ALL],row(),false)</f>
        <v>#N/A</v>
      </c>
      <c r="O471" s="376" t="str">
        <f>CS_PID!O471/VLOOKUP($B471,표2[#ALL],2)/HLOOKUP($A471,표1[#ALL],row(),false)</f>
        <v>#N/A</v>
      </c>
      <c r="P471" s="376" t="str">
        <f>CS_PID!P471/VLOOKUP($B471,표2[#ALL],2)/HLOOKUP($A471,표1[#ALL],row(),false)</f>
        <v>#N/A</v>
      </c>
      <c r="Q471" s="376" t="str">
        <f>CS_PID!Q471/VLOOKUP($B471,표2[#ALL],2)/HLOOKUP($A471,표1[#ALL],row(),false)</f>
        <v>#N/A</v>
      </c>
      <c r="R471" s="376" t="str">
        <f>CS_PID!R471/VLOOKUP($B471,표2[#ALL],2)/HLOOKUP($A471,표1[#ALL],row(),false)</f>
        <v>#N/A</v>
      </c>
      <c r="S471" s="376" t="str">
        <f>CS_PID!S471/VLOOKUP($B471,표2[#ALL],2)/HLOOKUP($A471,표1[#ALL],row(),false)</f>
        <v>#N/A</v>
      </c>
      <c r="T471" s="376" t="str">
        <f>CS_PID!T471/VLOOKUP($B471,표2[#ALL],2)/HLOOKUP($A471,표1[#ALL],row(),false)</f>
        <v>#N/A</v>
      </c>
      <c r="U471" s="376" t="str">
        <f>CS_PID!U471/VLOOKUP($B471,표2[#ALL],2)/HLOOKUP($A471,표1[#ALL],row(),false)</f>
        <v>#N/A</v>
      </c>
      <c r="V471" s="376" t="str">
        <f>CS_PID!V471/VLOOKUP($B471,표2[#ALL],2)/HLOOKUP($A471,표1[#ALL],row(),false)</f>
        <v>#N/A</v>
      </c>
      <c r="W471" s="376" t="str">
        <f>CS_PID!W471/VLOOKUP($B471,표2[#ALL],2)/HLOOKUP($A471,표1[#ALL],row(),false)</f>
        <v>#N/A</v>
      </c>
      <c r="X471" s="376" t="str">
        <f>CS_PID!X471/VLOOKUP($B471,표2[#ALL],2)/HLOOKUP($A471,표1[#ALL],row(),false)</f>
        <v>#N/A</v>
      </c>
      <c r="Y471" s="376" t="str">
        <f>CS_PID!Y471/VLOOKUP($B471,표2[#ALL],2)/HLOOKUP($A471,표1[#ALL],row(),false)</f>
        <v>#N/A</v>
      </c>
      <c r="Z471" s="376" t="str">
        <f>CS_PID!Z471/VLOOKUP($B471,표2[#ALL],2)/HLOOKUP($A471,표1[#ALL],row(),false)</f>
        <v>#N/A</v>
      </c>
      <c r="AA471" s="376" t="str">
        <f>CS_PID!AA471/VLOOKUP($B471,표2[#ALL],2)/HLOOKUP($A471,표1[#ALL],row(),false)</f>
        <v>#N/A</v>
      </c>
      <c r="AB471" s="376" t="str">
        <f>CS_PID!AB471/VLOOKUP($B471,표2[#ALL],2)/HLOOKUP($A471,표1[#ALL],row(),false)</f>
        <v>#N/A</v>
      </c>
      <c r="AC471" s="376" t="str">
        <f>CS_PID!AC471/VLOOKUP($B471,표2[#ALL],2)/HLOOKUP($A471,표1[#ALL],row(),false)</f>
        <v>#N/A</v>
      </c>
      <c r="AD471" s="376" t="str">
        <f>CS_PID!AD471/VLOOKUP($B471,표2[#ALL],2)/HLOOKUP($A471,표1[#ALL],row(),false)</f>
        <v>#N/A</v>
      </c>
      <c r="AE471" s="376" t="str">
        <f>CS_PID!AE471/VLOOKUP($B471,표2[#ALL],2)/HLOOKUP($A471,표1[#ALL],row(),false)</f>
        <v>#N/A</v>
      </c>
      <c r="AF471" s="376" t="str">
        <f>CS_PID!AF471/VLOOKUP($B471,표2[#ALL],2)/HLOOKUP($A471,표1[#ALL],row(),false)</f>
        <v>#N/A</v>
      </c>
      <c r="AG471" s="376" t="str">
        <f>CS_PID!AG471/VLOOKUP($B471,표2[#ALL],2)/HLOOKUP($A471,표1[#ALL],row(),false)</f>
        <v>#N/A</v>
      </c>
      <c r="AH471" s="376" t="str">
        <f>CS_PID!AH471/VLOOKUP($B471,표2[#ALL],2)/HLOOKUP($A471,표1[#ALL],row(),false)</f>
        <v>#N/A</v>
      </c>
      <c r="AI471" s="376" t="str">
        <f>CS_PID!AI471/VLOOKUP($B471,표2[#ALL],2)/HLOOKUP($A471,표1[#ALL],row(),false)</f>
        <v>#N/A</v>
      </c>
      <c r="AJ471" s="376" t="str">
        <f>CS_PID!AJ471/VLOOKUP($B471,표2[#ALL],2)/HLOOKUP($A471,표1[#ALL],row(),false)</f>
        <v>#N/A</v>
      </c>
      <c r="AK471" s="376" t="str">
        <f>CS_PID!AK471/VLOOKUP($B471,표2[#ALL],2)/HLOOKUP($A471,표1[#ALL],row(),false)</f>
        <v>#N/A</v>
      </c>
      <c r="AL471" s="376" t="str">
        <f>CS_PID!AL471/VLOOKUP($B471,표2[#ALL],2)/HLOOKUP($A471,표1[#ALL],row(),false)</f>
        <v>#N/A</v>
      </c>
      <c r="AM471" s="376" t="str">
        <f>CS_PID!AM471/VLOOKUP($B471,표2[#ALL],2)/HLOOKUP($A471,표1[#ALL],row(),false)</f>
        <v>#N/A</v>
      </c>
      <c r="AN471" s="376" t="str">
        <f>CS_PID!AN471/VLOOKUP($B471,표2[#ALL],2)/HLOOKUP($A471,표1[#ALL],row(),false)</f>
        <v>#N/A</v>
      </c>
      <c r="AO471" s="376" t="str">
        <f>CS_PID!AO471/VLOOKUP($B471,표2[#ALL],2)/HLOOKUP($A471,표1[#ALL],row(),false)</f>
        <v>#N/A</v>
      </c>
      <c r="AP471" s="376" t="str">
        <f>CS_PID!AP471/VLOOKUP($B471,표2[#ALL],2)/HLOOKUP($A471,표1[#ALL],row(),false)</f>
        <v>#N/A</v>
      </c>
      <c r="AQ471" s="376" t="str">
        <f>CS_PID!AQ471/VLOOKUP($B471,표2[#ALL],2)/HLOOKUP($A471,표1[#ALL],row(),false)</f>
        <v>#N/A</v>
      </c>
      <c r="AR471" s="376" t="str">
        <f>CS_PID!AR471/VLOOKUP($B471,표2[#ALL],2)/HLOOKUP($A471,표1[#ALL],row(),false)</f>
        <v>#N/A</v>
      </c>
      <c r="AS471" s="377" t="str">
        <f>CS_PID!AS471/VLOOKUP($B471,표2[#ALL],2)/HLOOKUP($A471,표1[#ALL],row(),false)</f>
        <v>#N/A</v>
      </c>
    </row>
    <row r="472">
      <c r="A472" s="370"/>
      <c r="B472" s="371"/>
      <c r="C472" s="372" t="str">
        <f>CS_PID!C472/VLOOKUP($B472,표2[#ALL],2)</f>
        <v>#N/A</v>
      </c>
      <c r="D472" s="372" t="str">
        <f>CS_PID!D472/VLOOKUP($B472,표2[#ALL],2)</f>
        <v>#N/A</v>
      </c>
      <c r="E472" s="372" t="str">
        <f>CS_PID!E472/VLOOKUP($B472,표2[#ALL],2)</f>
        <v>#N/A</v>
      </c>
      <c r="F472" s="372" t="str">
        <f>CS_PID!F472/VLOOKUP($B472,표2[#ALL],2)</f>
        <v>#N/A</v>
      </c>
      <c r="G472" s="372" t="str">
        <f>CS_PID!G472/VLOOKUP($B472,표2[#ALL],2)</f>
        <v>#N/A</v>
      </c>
      <c r="H472" s="372" t="str">
        <f>CS_PID!H472/VLOOKUP($B472,표2[#ALL],2)/HLOOKUP($A472,표1[#ALL],row(),false)</f>
        <v>#N/A</v>
      </c>
      <c r="I472" s="372" t="str">
        <f>CS_PID!I472/VLOOKUP($B472,표2[#ALL],2)/HLOOKUP($A472,표1[#ALL],row(),false)</f>
        <v>#N/A</v>
      </c>
      <c r="J472" s="372" t="str">
        <f>CS_PID!J472/VLOOKUP($B472,표2[#ALL],2)/HLOOKUP($A472,표1[#ALL],row(),false)</f>
        <v>#N/A</v>
      </c>
      <c r="K472" s="372" t="str">
        <f>CS_PID!K472/VLOOKUP($B472,표2[#ALL],2)/HLOOKUP($A472,표1[#ALL],row(),false)</f>
        <v>#N/A</v>
      </c>
      <c r="L472" s="372" t="str">
        <f>CS_PID!L472/VLOOKUP($B472,표2[#ALL],2)/HLOOKUP($A472,표1[#ALL],row(),false)</f>
        <v>#N/A</v>
      </c>
      <c r="M472" s="372" t="str">
        <f>CS_PID!M472/VLOOKUP($B472,표2[#ALL],2)/HLOOKUP($A472,표1[#ALL],row(),false)</f>
        <v>#N/A</v>
      </c>
      <c r="N472" s="372" t="str">
        <f>CS_PID!N472/VLOOKUP($B472,표2[#ALL],2)/HLOOKUP($A472,표1[#ALL],row(),false)</f>
        <v>#N/A</v>
      </c>
      <c r="O472" s="372" t="str">
        <f>CS_PID!O472/VLOOKUP($B472,표2[#ALL],2)/HLOOKUP($A472,표1[#ALL],row(),false)</f>
        <v>#N/A</v>
      </c>
      <c r="P472" s="372" t="str">
        <f>CS_PID!P472/VLOOKUP($B472,표2[#ALL],2)/HLOOKUP($A472,표1[#ALL],row(),false)</f>
        <v>#N/A</v>
      </c>
      <c r="Q472" s="372" t="str">
        <f>CS_PID!Q472/VLOOKUP($B472,표2[#ALL],2)/HLOOKUP($A472,표1[#ALL],row(),false)</f>
        <v>#N/A</v>
      </c>
      <c r="R472" s="372" t="str">
        <f>CS_PID!R472/VLOOKUP($B472,표2[#ALL],2)/HLOOKUP($A472,표1[#ALL],row(),false)</f>
        <v>#N/A</v>
      </c>
      <c r="S472" s="372" t="str">
        <f>CS_PID!S472/VLOOKUP($B472,표2[#ALL],2)/HLOOKUP($A472,표1[#ALL],row(),false)</f>
        <v>#N/A</v>
      </c>
      <c r="T472" s="372" t="str">
        <f>CS_PID!T472/VLOOKUP($B472,표2[#ALL],2)/HLOOKUP($A472,표1[#ALL],row(),false)</f>
        <v>#N/A</v>
      </c>
      <c r="U472" s="372" t="str">
        <f>CS_PID!U472/VLOOKUP($B472,표2[#ALL],2)/HLOOKUP($A472,표1[#ALL],row(),false)</f>
        <v>#N/A</v>
      </c>
      <c r="V472" s="372" t="str">
        <f>CS_PID!V472/VLOOKUP($B472,표2[#ALL],2)/HLOOKUP($A472,표1[#ALL],row(),false)</f>
        <v>#N/A</v>
      </c>
      <c r="W472" s="372" t="str">
        <f>CS_PID!W472/VLOOKUP($B472,표2[#ALL],2)/HLOOKUP($A472,표1[#ALL],row(),false)</f>
        <v>#N/A</v>
      </c>
      <c r="X472" s="372" t="str">
        <f>CS_PID!X472/VLOOKUP($B472,표2[#ALL],2)/HLOOKUP($A472,표1[#ALL],row(),false)</f>
        <v>#N/A</v>
      </c>
      <c r="Y472" s="372" t="str">
        <f>CS_PID!Y472/VLOOKUP($B472,표2[#ALL],2)/HLOOKUP($A472,표1[#ALL],row(),false)</f>
        <v>#N/A</v>
      </c>
      <c r="Z472" s="372" t="str">
        <f>CS_PID!Z472/VLOOKUP($B472,표2[#ALL],2)/HLOOKUP($A472,표1[#ALL],row(),false)</f>
        <v>#N/A</v>
      </c>
      <c r="AA472" s="372" t="str">
        <f>CS_PID!AA472/VLOOKUP($B472,표2[#ALL],2)/HLOOKUP($A472,표1[#ALL],row(),false)</f>
        <v>#N/A</v>
      </c>
      <c r="AB472" s="372" t="str">
        <f>CS_PID!AB472/VLOOKUP($B472,표2[#ALL],2)/HLOOKUP($A472,표1[#ALL],row(),false)</f>
        <v>#N/A</v>
      </c>
      <c r="AC472" s="372" t="str">
        <f>CS_PID!AC472/VLOOKUP($B472,표2[#ALL],2)/HLOOKUP($A472,표1[#ALL],row(),false)</f>
        <v>#N/A</v>
      </c>
      <c r="AD472" s="372" t="str">
        <f>CS_PID!AD472/VLOOKUP($B472,표2[#ALL],2)/HLOOKUP($A472,표1[#ALL],row(),false)</f>
        <v>#N/A</v>
      </c>
      <c r="AE472" s="372" t="str">
        <f>CS_PID!AE472/VLOOKUP($B472,표2[#ALL],2)/HLOOKUP($A472,표1[#ALL],row(),false)</f>
        <v>#N/A</v>
      </c>
      <c r="AF472" s="372" t="str">
        <f>CS_PID!AF472/VLOOKUP($B472,표2[#ALL],2)/HLOOKUP($A472,표1[#ALL],row(),false)</f>
        <v>#N/A</v>
      </c>
      <c r="AG472" s="372" t="str">
        <f>CS_PID!AG472/VLOOKUP($B472,표2[#ALL],2)/HLOOKUP($A472,표1[#ALL],row(),false)</f>
        <v>#N/A</v>
      </c>
      <c r="AH472" s="372" t="str">
        <f>CS_PID!AH472/VLOOKUP($B472,표2[#ALL],2)/HLOOKUP($A472,표1[#ALL],row(),false)</f>
        <v>#N/A</v>
      </c>
      <c r="AI472" s="372" t="str">
        <f>CS_PID!AI472/VLOOKUP($B472,표2[#ALL],2)/HLOOKUP($A472,표1[#ALL],row(),false)</f>
        <v>#N/A</v>
      </c>
      <c r="AJ472" s="372" t="str">
        <f>CS_PID!AJ472/VLOOKUP($B472,표2[#ALL],2)/HLOOKUP($A472,표1[#ALL],row(),false)</f>
        <v>#N/A</v>
      </c>
      <c r="AK472" s="372" t="str">
        <f>CS_PID!AK472/VLOOKUP($B472,표2[#ALL],2)/HLOOKUP($A472,표1[#ALL],row(),false)</f>
        <v>#N/A</v>
      </c>
      <c r="AL472" s="372" t="str">
        <f>CS_PID!AL472/VLOOKUP($B472,표2[#ALL],2)/HLOOKUP($A472,표1[#ALL],row(),false)</f>
        <v>#N/A</v>
      </c>
      <c r="AM472" s="372" t="str">
        <f>CS_PID!AM472/VLOOKUP($B472,표2[#ALL],2)/HLOOKUP($A472,표1[#ALL],row(),false)</f>
        <v>#N/A</v>
      </c>
      <c r="AN472" s="372" t="str">
        <f>CS_PID!AN472/VLOOKUP($B472,표2[#ALL],2)/HLOOKUP($A472,표1[#ALL],row(),false)</f>
        <v>#N/A</v>
      </c>
      <c r="AO472" s="372" t="str">
        <f>CS_PID!AO472/VLOOKUP($B472,표2[#ALL],2)/HLOOKUP($A472,표1[#ALL],row(),false)</f>
        <v>#N/A</v>
      </c>
      <c r="AP472" s="372" t="str">
        <f>CS_PID!AP472/VLOOKUP($B472,표2[#ALL],2)/HLOOKUP($A472,표1[#ALL],row(),false)</f>
        <v>#N/A</v>
      </c>
      <c r="AQ472" s="372" t="str">
        <f>CS_PID!AQ472/VLOOKUP($B472,표2[#ALL],2)/HLOOKUP($A472,표1[#ALL],row(),false)</f>
        <v>#N/A</v>
      </c>
      <c r="AR472" s="372" t="str">
        <f>CS_PID!AR472/VLOOKUP($B472,표2[#ALL],2)/HLOOKUP($A472,표1[#ALL],row(),false)</f>
        <v>#N/A</v>
      </c>
      <c r="AS472" s="373" t="str">
        <f>CS_PID!AS472/VLOOKUP($B472,표2[#ALL],2)/HLOOKUP($A472,표1[#ALL],row(),false)</f>
        <v>#N/A</v>
      </c>
    </row>
    <row r="473">
      <c r="A473" s="374"/>
      <c r="B473" s="375"/>
      <c r="C473" s="376" t="str">
        <f>CS_PID!C473/VLOOKUP($B473,표2[#ALL],2)</f>
        <v>#N/A</v>
      </c>
      <c r="D473" s="376" t="str">
        <f>CS_PID!D473/VLOOKUP($B473,표2[#ALL],2)</f>
        <v>#N/A</v>
      </c>
      <c r="E473" s="376" t="str">
        <f>CS_PID!E473/VLOOKUP($B473,표2[#ALL],2)</f>
        <v>#N/A</v>
      </c>
      <c r="F473" s="376" t="str">
        <f>CS_PID!F473/VLOOKUP($B473,표2[#ALL],2)</f>
        <v>#N/A</v>
      </c>
      <c r="G473" s="376" t="str">
        <f>CS_PID!G473/VLOOKUP($B473,표2[#ALL],2)</f>
        <v>#N/A</v>
      </c>
      <c r="H473" s="376" t="str">
        <f>CS_PID!H473/VLOOKUP($B473,표2[#ALL],2)/HLOOKUP($A473,표1[#ALL],row(),false)</f>
        <v>#N/A</v>
      </c>
      <c r="I473" s="376" t="str">
        <f>CS_PID!I473/VLOOKUP($B473,표2[#ALL],2)/HLOOKUP($A473,표1[#ALL],row(),false)</f>
        <v>#N/A</v>
      </c>
      <c r="J473" s="376" t="str">
        <f>CS_PID!J473/VLOOKUP($B473,표2[#ALL],2)/HLOOKUP($A473,표1[#ALL],row(),false)</f>
        <v>#N/A</v>
      </c>
      <c r="K473" s="376" t="str">
        <f>CS_PID!K473/VLOOKUP($B473,표2[#ALL],2)/HLOOKUP($A473,표1[#ALL],row(),false)</f>
        <v>#N/A</v>
      </c>
      <c r="L473" s="376" t="str">
        <f>CS_PID!L473/VLOOKUP($B473,표2[#ALL],2)/HLOOKUP($A473,표1[#ALL],row(),false)</f>
        <v>#N/A</v>
      </c>
      <c r="M473" s="376" t="str">
        <f>CS_PID!M473/VLOOKUP($B473,표2[#ALL],2)/HLOOKUP($A473,표1[#ALL],row(),false)</f>
        <v>#N/A</v>
      </c>
      <c r="N473" s="376" t="str">
        <f>CS_PID!N473/VLOOKUP($B473,표2[#ALL],2)/HLOOKUP($A473,표1[#ALL],row(),false)</f>
        <v>#N/A</v>
      </c>
      <c r="O473" s="376" t="str">
        <f>CS_PID!O473/VLOOKUP($B473,표2[#ALL],2)/HLOOKUP($A473,표1[#ALL],row(),false)</f>
        <v>#N/A</v>
      </c>
      <c r="P473" s="376" t="str">
        <f>CS_PID!P473/VLOOKUP($B473,표2[#ALL],2)/HLOOKUP($A473,표1[#ALL],row(),false)</f>
        <v>#N/A</v>
      </c>
      <c r="Q473" s="376" t="str">
        <f>CS_PID!Q473/VLOOKUP($B473,표2[#ALL],2)/HLOOKUP($A473,표1[#ALL],row(),false)</f>
        <v>#N/A</v>
      </c>
      <c r="R473" s="376" t="str">
        <f>CS_PID!R473/VLOOKUP($B473,표2[#ALL],2)/HLOOKUP($A473,표1[#ALL],row(),false)</f>
        <v>#N/A</v>
      </c>
      <c r="S473" s="376" t="str">
        <f>CS_PID!S473/VLOOKUP($B473,표2[#ALL],2)/HLOOKUP($A473,표1[#ALL],row(),false)</f>
        <v>#N/A</v>
      </c>
      <c r="T473" s="376" t="str">
        <f>CS_PID!T473/VLOOKUP($B473,표2[#ALL],2)/HLOOKUP($A473,표1[#ALL],row(),false)</f>
        <v>#N/A</v>
      </c>
      <c r="U473" s="376" t="str">
        <f>CS_PID!U473/VLOOKUP($B473,표2[#ALL],2)/HLOOKUP($A473,표1[#ALL],row(),false)</f>
        <v>#N/A</v>
      </c>
      <c r="V473" s="376" t="str">
        <f>CS_PID!V473/VLOOKUP($B473,표2[#ALL],2)/HLOOKUP($A473,표1[#ALL],row(),false)</f>
        <v>#N/A</v>
      </c>
      <c r="W473" s="376" t="str">
        <f>CS_PID!W473/VLOOKUP($B473,표2[#ALL],2)/HLOOKUP($A473,표1[#ALL],row(),false)</f>
        <v>#N/A</v>
      </c>
      <c r="X473" s="376" t="str">
        <f>CS_PID!X473/VLOOKUP($B473,표2[#ALL],2)/HLOOKUP($A473,표1[#ALL],row(),false)</f>
        <v>#N/A</v>
      </c>
      <c r="Y473" s="376" t="str">
        <f>CS_PID!Y473/VLOOKUP($B473,표2[#ALL],2)/HLOOKUP($A473,표1[#ALL],row(),false)</f>
        <v>#N/A</v>
      </c>
      <c r="Z473" s="376" t="str">
        <f>CS_PID!Z473/VLOOKUP($B473,표2[#ALL],2)/HLOOKUP($A473,표1[#ALL],row(),false)</f>
        <v>#N/A</v>
      </c>
      <c r="AA473" s="376" t="str">
        <f>CS_PID!AA473/VLOOKUP($B473,표2[#ALL],2)/HLOOKUP($A473,표1[#ALL],row(),false)</f>
        <v>#N/A</v>
      </c>
      <c r="AB473" s="376" t="str">
        <f>CS_PID!AB473/VLOOKUP($B473,표2[#ALL],2)/HLOOKUP($A473,표1[#ALL],row(),false)</f>
        <v>#N/A</v>
      </c>
      <c r="AC473" s="376" t="str">
        <f>CS_PID!AC473/VLOOKUP($B473,표2[#ALL],2)/HLOOKUP($A473,표1[#ALL],row(),false)</f>
        <v>#N/A</v>
      </c>
      <c r="AD473" s="376" t="str">
        <f>CS_PID!AD473/VLOOKUP($B473,표2[#ALL],2)/HLOOKUP($A473,표1[#ALL],row(),false)</f>
        <v>#N/A</v>
      </c>
      <c r="AE473" s="376" t="str">
        <f>CS_PID!AE473/VLOOKUP($B473,표2[#ALL],2)/HLOOKUP($A473,표1[#ALL],row(),false)</f>
        <v>#N/A</v>
      </c>
      <c r="AF473" s="376" t="str">
        <f>CS_PID!AF473/VLOOKUP($B473,표2[#ALL],2)/HLOOKUP($A473,표1[#ALL],row(),false)</f>
        <v>#N/A</v>
      </c>
      <c r="AG473" s="376" t="str">
        <f>CS_PID!AG473/VLOOKUP($B473,표2[#ALL],2)/HLOOKUP($A473,표1[#ALL],row(),false)</f>
        <v>#N/A</v>
      </c>
      <c r="AH473" s="376" t="str">
        <f>CS_PID!AH473/VLOOKUP($B473,표2[#ALL],2)/HLOOKUP($A473,표1[#ALL],row(),false)</f>
        <v>#N/A</v>
      </c>
      <c r="AI473" s="376" t="str">
        <f>CS_PID!AI473/VLOOKUP($B473,표2[#ALL],2)/HLOOKUP($A473,표1[#ALL],row(),false)</f>
        <v>#N/A</v>
      </c>
      <c r="AJ473" s="376" t="str">
        <f>CS_PID!AJ473/VLOOKUP($B473,표2[#ALL],2)/HLOOKUP($A473,표1[#ALL],row(),false)</f>
        <v>#N/A</v>
      </c>
      <c r="AK473" s="376" t="str">
        <f>CS_PID!AK473/VLOOKUP($B473,표2[#ALL],2)/HLOOKUP($A473,표1[#ALL],row(),false)</f>
        <v>#N/A</v>
      </c>
      <c r="AL473" s="376" t="str">
        <f>CS_PID!AL473/VLOOKUP($B473,표2[#ALL],2)/HLOOKUP($A473,표1[#ALL],row(),false)</f>
        <v>#N/A</v>
      </c>
      <c r="AM473" s="376" t="str">
        <f>CS_PID!AM473/VLOOKUP($B473,표2[#ALL],2)/HLOOKUP($A473,표1[#ALL],row(),false)</f>
        <v>#N/A</v>
      </c>
      <c r="AN473" s="376" t="str">
        <f>CS_PID!AN473/VLOOKUP($B473,표2[#ALL],2)/HLOOKUP($A473,표1[#ALL],row(),false)</f>
        <v>#N/A</v>
      </c>
      <c r="AO473" s="376" t="str">
        <f>CS_PID!AO473/VLOOKUP($B473,표2[#ALL],2)/HLOOKUP($A473,표1[#ALL],row(),false)</f>
        <v>#N/A</v>
      </c>
      <c r="AP473" s="376" t="str">
        <f>CS_PID!AP473/VLOOKUP($B473,표2[#ALL],2)/HLOOKUP($A473,표1[#ALL],row(),false)</f>
        <v>#N/A</v>
      </c>
      <c r="AQ473" s="376" t="str">
        <f>CS_PID!AQ473/VLOOKUP($B473,표2[#ALL],2)/HLOOKUP($A473,표1[#ALL],row(),false)</f>
        <v>#N/A</v>
      </c>
      <c r="AR473" s="376" t="str">
        <f>CS_PID!AR473/VLOOKUP($B473,표2[#ALL],2)/HLOOKUP($A473,표1[#ALL],row(),false)</f>
        <v>#N/A</v>
      </c>
      <c r="AS473" s="377" t="str">
        <f>CS_PID!AS473/VLOOKUP($B473,표2[#ALL],2)/HLOOKUP($A473,표1[#ALL],row(),false)</f>
        <v>#N/A</v>
      </c>
    </row>
    <row r="474">
      <c r="A474" s="370"/>
      <c r="B474" s="371"/>
      <c r="C474" s="372" t="str">
        <f>CS_PID!C474/VLOOKUP($B474,표2[#ALL],2)</f>
        <v>#N/A</v>
      </c>
      <c r="D474" s="372" t="str">
        <f>CS_PID!D474/VLOOKUP($B474,표2[#ALL],2)</f>
        <v>#N/A</v>
      </c>
      <c r="E474" s="372" t="str">
        <f>CS_PID!E474/VLOOKUP($B474,표2[#ALL],2)</f>
        <v>#N/A</v>
      </c>
      <c r="F474" s="372" t="str">
        <f>CS_PID!F474/VLOOKUP($B474,표2[#ALL],2)</f>
        <v>#N/A</v>
      </c>
      <c r="G474" s="372" t="str">
        <f>CS_PID!G474/VLOOKUP($B474,표2[#ALL],2)</f>
        <v>#N/A</v>
      </c>
      <c r="H474" s="372" t="str">
        <f>CS_PID!H474/VLOOKUP($B474,표2[#ALL],2)/HLOOKUP($A474,표1[#ALL],row(),false)</f>
        <v>#N/A</v>
      </c>
      <c r="I474" s="372" t="str">
        <f>CS_PID!I474/VLOOKUP($B474,표2[#ALL],2)/HLOOKUP($A474,표1[#ALL],row(),false)</f>
        <v>#N/A</v>
      </c>
      <c r="J474" s="372" t="str">
        <f>CS_PID!J474/VLOOKUP($B474,표2[#ALL],2)/HLOOKUP($A474,표1[#ALL],row(),false)</f>
        <v>#N/A</v>
      </c>
      <c r="K474" s="372" t="str">
        <f>CS_PID!K474/VLOOKUP($B474,표2[#ALL],2)/HLOOKUP($A474,표1[#ALL],row(),false)</f>
        <v>#N/A</v>
      </c>
      <c r="L474" s="372" t="str">
        <f>CS_PID!L474/VLOOKUP($B474,표2[#ALL],2)/HLOOKUP($A474,표1[#ALL],row(),false)</f>
        <v>#N/A</v>
      </c>
      <c r="M474" s="372" t="str">
        <f>CS_PID!M474/VLOOKUP($B474,표2[#ALL],2)/HLOOKUP($A474,표1[#ALL],row(),false)</f>
        <v>#N/A</v>
      </c>
      <c r="N474" s="372" t="str">
        <f>CS_PID!N474/VLOOKUP($B474,표2[#ALL],2)/HLOOKUP($A474,표1[#ALL],row(),false)</f>
        <v>#N/A</v>
      </c>
      <c r="O474" s="372" t="str">
        <f>CS_PID!O474/VLOOKUP($B474,표2[#ALL],2)/HLOOKUP($A474,표1[#ALL],row(),false)</f>
        <v>#N/A</v>
      </c>
      <c r="P474" s="372" t="str">
        <f>CS_PID!P474/VLOOKUP($B474,표2[#ALL],2)/HLOOKUP($A474,표1[#ALL],row(),false)</f>
        <v>#N/A</v>
      </c>
      <c r="Q474" s="372" t="str">
        <f>CS_PID!Q474/VLOOKUP($B474,표2[#ALL],2)/HLOOKUP($A474,표1[#ALL],row(),false)</f>
        <v>#N/A</v>
      </c>
      <c r="R474" s="372" t="str">
        <f>CS_PID!R474/VLOOKUP($B474,표2[#ALL],2)/HLOOKUP($A474,표1[#ALL],row(),false)</f>
        <v>#N/A</v>
      </c>
      <c r="S474" s="372" t="str">
        <f>CS_PID!S474/VLOOKUP($B474,표2[#ALL],2)/HLOOKUP($A474,표1[#ALL],row(),false)</f>
        <v>#N/A</v>
      </c>
      <c r="T474" s="372" t="str">
        <f>CS_PID!T474/VLOOKUP($B474,표2[#ALL],2)/HLOOKUP($A474,표1[#ALL],row(),false)</f>
        <v>#N/A</v>
      </c>
      <c r="U474" s="372" t="str">
        <f>CS_PID!U474/VLOOKUP($B474,표2[#ALL],2)/HLOOKUP($A474,표1[#ALL],row(),false)</f>
        <v>#N/A</v>
      </c>
      <c r="V474" s="372" t="str">
        <f>CS_PID!V474/VLOOKUP($B474,표2[#ALL],2)/HLOOKUP($A474,표1[#ALL],row(),false)</f>
        <v>#N/A</v>
      </c>
      <c r="W474" s="372" t="str">
        <f>CS_PID!W474/VLOOKUP($B474,표2[#ALL],2)/HLOOKUP($A474,표1[#ALL],row(),false)</f>
        <v>#N/A</v>
      </c>
      <c r="X474" s="372" t="str">
        <f>CS_PID!X474/VLOOKUP($B474,표2[#ALL],2)/HLOOKUP($A474,표1[#ALL],row(),false)</f>
        <v>#N/A</v>
      </c>
      <c r="Y474" s="372" t="str">
        <f>CS_PID!Y474/VLOOKUP($B474,표2[#ALL],2)/HLOOKUP($A474,표1[#ALL],row(),false)</f>
        <v>#N/A</v>
      </c>
      <c r="Z474" s="372" t="str">
        <f>CS_PID!Z474/VLOOKUP($B474,표2[#ALL],2)/HLOOKUP($A474,표1[#ALL],row(),false)</f>
        <v>#N/A</v>
      </c>
      <c r="AA474" s="372" t="str">
        <f>CS_PID!AA474/VLOOKUP($B474,표2[#ALL],2)/HLOOKUP($A474,표1[#ALL],row(),false)</f>
        <v>#N/A</v>
      </c>
      <c r="AB474" s="372" t="str">
        <f>CS_PID!AB474/VLOOKUP($B474,표2[#ALL],2)/HLOOKUP($A474,표1[#ALL],row(),false)</f>
        <v>#N/A</v>
      </c>
      <c r="AC474" s="372" t="str">
        <f>CS_PID!AC474/VLOOKUP($B474,표2[#ALL],2)/HLOOKUP($A474,표1[#ALL],row(),false)</f>
        <v>#N/A</v>
      </c>
      <c r="AD474" s="372" t="str">
        <f>CS_PID!AD474/VLOOKUP($B474,표2[#ALL],2)/HLOOKUP($A474,표1[#ALL],row(),false)</f>
        <v>#N/A</v>
      </c>
      <c r="AE474" s="372" t="str">
        <f>CS_PID!AE474/VLOOKUP($B474,표2[#ALL],2)/HLOOKUP($A474,표1[#ALL],row(),false)</f>
        <v>#N/A</v>
      </c>
      <c r="AF474" s="372" t="str">
        <f>CS_PID!AF474/VLOOKUP($B474,표2[#ALL],2)/HLOOKUP($A474,표1[#ALL],row(),false)</f>
        <v>#N/A</v>
      </c>
      <c r="AG474" s="372" t="str">
        <f>CS_PID!AG474/VLOOKUP($B474,표2[#ALL],2)/HLOOKUP($A474,표1[#ALL],row(),false)</f>
        <v>#N/A</v>
      </c>
      <c r="AH474" s="372" t="str">
        <f>CS_PID!AH474/VLOOKUP($B474,표2[#ALL],2)/HLOOKUP($A474,표1[#ALL],row(),false)</f>
        <v>#N/A</v>
      </c>
      <c r="AI474" s="372" t="str">
        <f>CS_PID!AI474/VLOOKUP($B474,표2[#ALL],2)/HLOOKUP($A474,표1[#ALL],row(),false)</f>
        <v>#N/A</v>
      </c>
      <c r="AJ474" s="372" t="str">
        <f>CS_PID!AJ474/VLOOKUP($B474,표2[#ALL],2)/HLOOKUP($A474,표1[#ALL],row(),false)</f>
        <v>#N/A</v>
      </c>
      <c r="AK474" s="372" t="str">
        <f>CS_PID!AK474/VLOOKUP($B474,표2[#ALL],2)/HLOOKUP($A474,표1[#ALL],row(),false)</f>
        <v>#N/A</v>
      </c>
      <c r="AL474" s="372" t="str">
        <f>CS_PID!AL474/VLOOKUP($B474,표2[#ALL],2)/HLOOKUP($A474,표1[#ALL],row(),false)</f>
        <v>#N/A</v>
      </c>
      <c r="AM474" s="372" t="str">
        <f>CS_PID!AM474/VLOOKUP($B474,표2[#ALL],2)/HLOOKUP($A474,표1[#ALL],row(),false)</f>
        <v>#N/A</v>
      </c>
      <c r="AN474" s="372" t="str">
        <f>CS_PID!AN474/VLOOKUP($B474,표2[#ALL],2)/HLOOKUP($A474,표1[#ALL],row(),false)</f>
        <v>#N/A</v>
      </c>
      <c r="AO474" s="372" t="str">
        <f>CS_PID!AO474/VLOOKUP($B474,표2[#ALL],2)/HLOOKUP($A474,표1[#ALL],row(),false)</f>
        <v>#N/A</v>
      </c>
      <c r="AP474" s="372" t="str">
        <f>CS_PID!AP474/VLOOKUP($B474,표2[#ALL],2)/HLOOKUP($A474,표1[#ALL],row(),false)</f>
        <v>#N/A</v>
      </c>
      <c r="AQ474" s="372" t="str">
        <f>CS_PID!AQ474/VLOOKUP($B474,표2[#ALL],2)/HLOOKUP($A474,표1[#ALL],row(),false)</f>
        <v>#N/A</v>
      </c>
      <c r="AR474" s="372" t="str">
        <f>CS_PID!AR474/VLOOKUP($B474,표2[#ALL],2)/HLOOKUP($A474,표1[#ALL],row(),false)</f>
        <v>#N/A</v>
      </c>
      <c r="AS474" s="373" t="str">
        <f>CS_PID!AS474/VLOOKUP($B474,표2[#ALL],2)/HLOOKUP($A474,표1[#ALL],row(),false)</f>
        <v>#N/A</v>
      </c>
    </row>
    <row r="475">
      <c r="A475" s="374"/>
      <c r="B475" s="375"/>
      <c r="C475" s="376" t="str">
        <f>CS_PID!C475/VLOOKUP($B475,표2[#ALL],2)</f>
        <v>#N/A</v>
      </c>
      <c r="D475" s="376" t="str">
        <f>CS_PID!D475/VLOOKUP($B475,표2[#ALL],2)</f>
        <v>#N/A</v>
      </c>
      <c r="E475" s="376" t="str">
        <f>CS_PID!E475/VLOOKUP($B475,표2[#ALL],2)</f>
        <v>#N/A</v>
      </c>
      <c r="F475" s="376" t="str">
        <f>CS_PID!F475/VLOOKUP($B475,표2[#ALL],2)</f>
        <v>#N/A</v>
      </c>
      <c r="G475" s="376" t="str">
        <f>CS_PID!G475/VLOOKUP($B475,표2[#ALL],2)</f>
        <v>#N/A</v>
      </c>
      <c r="H475" s="376" t="str">
        <f>CS_PID!H475/VLOOKUP($B475,표2[#ALL],2)/HLOOKUP($A475,표1[#ALL],row(),false)</f>
        <v>#N/A</v>
      </c>
      <c r="I475" s="376" t="str">
        <f>CS_PID!I475/VLOOKUP($B475,표2[#ALL],2)/HLOOKUP($A475,표1[#ALL],row(),false)</f>
        <v>#N/A</v>
      </c>
      <c r="J475" s="376" t="str">
        <f>CS_PID!J475/VLOOKUP($B475,표2[#ALL],2)/HLOOKUP($A475,표1[#ALL],row(),false)</f>
        <v>#N/A</v>
      </c>
      <c r="K475" s="376" t="str">
        <f>CS_PID!K475/VLOOKUP($B475,표2[#ALL],2)/HLOOKUP($A475,표1[#ALL],row(),false)</f>
        <v>#N/A</v>
      </c>
      <c r="L475" s="376" t="str">
        <f>CS_PID!L475/VLOOKUP($B475,표2[#ALL],2)/HLOOKUP($A475,표1[#ALL],row(),false)</f>
        <v>#N/A</v>
      </c>
      <c r="M475" s="376" t="str">
        <f>CS_PID!M475/VLOOKUP($B475,표2[#ALL],2)/HLOOKUP($A475,표1[#ALL],row(),false)</f>
        <v>#N/A</v>
      </c>
      <c r="N475" s="376" t="str">
        <f>CS_PID!N475/VLOOKUP($B475,표2[#ALL],2)/HLOOKUP($A475,표1[#ALL],row(),false)</f>
        <v>#N/A</v>
      </c>
      <c r="O475" s="376" t="str">
        <f>CS_PID!O475/VLOOKUP($B475,표2[#ALL],2)/HLOOKUP($A475,표1[#ALL],row(),false)</f>
        <v>#N/A</v>
      </c>
      <c r="P475" s="376" t="str">
        <f>CS_PID!P475/VLOOKUP($B475,표2[#ALL],2)/HLOOKUP($A475,표1[#ALL],row(),false)</f>
        <v>#N/A</v>
      </c>
      <c r="Q475" s="376" t="str">
        <f>CS_PID!Q475/VLOOKUP($B475,표2[#ALL],2)/HLOOKUP($A475,표1[#ALL],row(),false)</f>
        <v>#N/A</v>
      </c>
      <c r="R475" s="376" t="str">
        <f>CS_PID!R475/VLOOKUP($B475,표2[#ALL],2)/HLOOKUP($A475,표1[#ALL],row(),false)</f>
        <v>#N/A</v>
      </c>
      <c r="S475" s="376" t="str">
        <f>CS_PID!S475/VLOOKUP($B475,표2[#ALL],2)/HLOOKUP($A475,표1[#ALL],row(),false)</f>
        <v>#N/A</v>
      </c>
      <c r="T475" s="376" t="str">
        <f>CS_PID!T475/VLOOKUP($B475,표2[#ALL],2)/HLOOKUP($A475,표1[#ALL],row(),false)</f>
        <v>#N/A</v>
      </c>
      <c r="U475" s="376" t="str">
        <f>CS_PID!U475/VLOOKUP($B475,표2[#ALL],2)/HLOOKUP($A475,표1[#ALL],row(),false)</f>
        <v>#N/A</v>
      </c>
      <c r="V475" s="376" t="str">
        <f>CS_PID!V475/VLOOKUP($B475,표2[#ALL],2)/HLOOKUP($A475,표1[#ALL],row(),false)</f>
        <v>#N/A</v>
      </c>
      <c r="W475" s="376" t="str">
        <f>CS_PID!W475/VLOOKUP($B475,표2[#ALL],2)/HLOOKUP($A475,표1[#ALL],row(),false)</f>
        <v>#N/A</v>
      </c>
      <c r="X475" s="376" t="str">
        <f>CS_PID!X475/VLOOKUP($B475,표2[#ALL],2)/HLOOKUP($A475,표1[#ALL],row(),false)</f>
        <v>#N/A</v>
      </c>
      <c r="Y475" s="376" t="str">
        <f>CS_PID!Y475/VLOOKUP($B475,표2[#ALL],2)/HLOOKUP($A475,표1[#ALL],row(),false)</f>
        <v>#N/A</v>
      </c>
      <c r="Z475" s="376" t="str">
        <f>CS_PID!Z475/VLOOKUP($B475,표2[#ALL],2)/HLOOKUP($A475,표1[#ALL],row(),false)</f>
        <v>#N/A</v>
      </c>
      <c r="AA475" s="376" t="str">
        <f>CS_PID!AA475/VLOOKUP($B475,표2[#ALL],2)/HLOOKUP($A475,표1[#ALL],row(),false)</f>
        <v>#N/A</v>
      </c>
      <c r="AB475" s="376" t="str">
        <f>CS_PID!AB475/VLOOKUP($B475,표2[#ALL],2)/HLOOKUP($A475,표1[#ALL],row(),false)</f>
        <v>#N/A</v>
      </c>
      <c r="AC475" s="376" t="str">
        <f>CS_PID!AC475/VLOOKUP($B475,표2[#ALL],2)/HLOOKUP($A475,표1[#ALL],row(),false)</f>
        <v>#N/A</v>
      </c>
      <c r="AD475" s="376" t="str">
        <f>CS_PID!AD475/VLOOKUP($B475,표2[#ALL],2)/HLOOKUP($A475,표1[#ALL],row(),false)</f>
        <v>#N/A</v>
      </c>
      <c r="AE475" s="376" t="str">
        <f>CS_PID!AE475/VLOOKUP($B475,표2[#ALL],2)/HLOOKUP($A475,표1[#ALL],row(),false)</f>
        <v>#N/A</v>
      </c>
      <c r="AF475" s="376" t="str">
        <f>CS_PID!AF475/VLOOKUP($B475,표2[#ALL],2)/HLOOKUP($A475,표1[#ALL],row(),false)</f>
        <v>#N/A</v>
      </c>
      <c r="AG475" s="376" t="str">
        <f>CS_PID!AG475/VLOOKUP($B475,표2[#ALL],2)/HLOOKUP($A475,표1[#ALL],row(),false)</f>
        <v>#N/A</v>
      </c>
      <c r="AH475" s="376" t="str">
        <f>CS_PID!AH475/VLOOKUP($B475,표2[#ALL],2)/HLOOKUP($A475,표1[#ALL],row(),false)</f>
        <v>#N/A</v>
      </c>
      <c r="AI475" s="376" t="str">
        <f>CS_PID!AI475/VLOOKUP($B475,표2[#ALL],2)/HLOOKUP($A475,표1[#ALL],row(),false)</f>
        <v>#N/A</v>
      </c>
      <c r="AJ475" s="376" t="str">
        <f>CS_PID!AJ475/VLOOKUP($B475,표2[#ALL],2)/HLOOKUP($A475,표1[#ALL],row(),false)</f>
        <v>#N/A</v>
      </c>
      <c r="AK475" s="376" t="str">
        <f>CS_PID!AK475/VLOOKUP($B475,표2[#ALL],2)/HLOOKUP($A475,표1[#ALL],row(),false)</f>
        <v>#N/A</v>
      </c>
      <c r="AL475" s="376" t="str">
        <f>CS_PID!AL475/VLOOKUP($B475,표2[#ALL],2)/HLOOKUP($A475,표1[#ALL],row(),false)</f>
        <v>#N/A</v>
      </c>
      <c r="AM475" s="376" t="str">
        <f>CS_PID!AM475/VLOOKUP($B475,표2[#ALL],2)/HLOOKUP($A475,표1[#ALL],row(),false)</f>
        <v>#N/A</v>
      </c>
      <c r="AN475" s="376" t="str">
        <f>CS_PID!AN475/VLOOKUP($B475,표2[#ALL],2)/HLOOKUP($A475,표1[#ALL],row(),false)</f>
        <v>#N/A</v>
      </c>
      <c r="AO475" s="376" t="str">
        <f>CS_PID!AO475/VLOOKUP($B475,표2[#ALL],2)/HLOOKUP($A475,표1[#ALL],row(),false)</f>
        <v>#N/A</v>
      </c>
      <c r="AP475" s="376" t="str">
        <f>CS_PID!AP475/VLOOKUP($B475,표2[#ALL],2)/HLOOKUP($A475,표1[#ALL],row(),false)</f>
        <v>#N/A</v>
      </c>
      <c r="AQ475" s="376" t="str">
        <f>CS_PID!AQ475/VLOOKUP($B475,표2[#ALL],2)/HLOOKUP($A475,표1[#ALL],row(),false)</f>
        <v>#N/A</v>
      </c>
      <c r="AR475" s="376" t="str">
        <f>CS_PID!AR475/VLOOKUP($B475,표2[#ALL],2)/HLOOKUP($A475,표1[#ALL],row(),false)</f>
        <v>#N/A</v>
      </c>
      <c r="AS475" s="377" t="str">
        <f>CS_PID!AS475/VLOOKUP($B475,표2[#ALL],2)/HLOOKUP($A475,표1[#ALL],row(),false)</f>
        <v>#N/A</v>
      </c>
    </row>
    <row r="476">
      <c r="A476" s="370"/>
      <c r="B476" s="371"/>
      <c r="C476" s="372" t="str">
        <f>CS_PID!C476/VLOOKUP($B476,표2[#ALL],2)</f>
        <v>#N/A</v>
      </c>
      <c r="D476" s="372" t="str">
        <f>CS_PID!D476/VLOOKUP($B476,표2[#ALL],2)</f>
        <v>#N/A</v>
      </c>
      <c r="E476" s="372" t="str">
        <f>CS_PID!E476/VLOOKUP($B476,표2[#ALL],2)</f>
        <v>#N/A</v>
      </c>
      <c r="F476" s="372" t="str">
        <f>CS_PID!F476/VLOOKUP($B476,표2[#ALL],2)</f>
        <v>#N/A</v>
      </c>
      <c r="G476" s="372" t="str">
        <f>CS_PID!G476/VLOOKUP($B476,표2[#ALL],2)</f>
        <v>#N/A</v>
      </c>
      <c r="H476" s="372" t="str">
        <f>CS_PID!H476/VLOOKUP($B476,표2[#ALL],2)/HLOOKUP($A476,표1[#ALL],row(),false)</f>
        <v>#N/A</v>
      </c>
      <c r="I476" s="372" t="str">
        <f>CS_PID!I476/VLOOKUP($B476,표2[#ALL],2)/HLOOKUP($A476,표1[#ALL],row(),false)</f>
        <v>#N/A</v>
      </c>
      <c r="J476" s="372" t="str">
        <f>CS_PID!J476/VLOOKUP($B476,표2[#ALL],2)/HLOOKUP($A476,표1[#ALL],row(),false)</f>
        <v>#N/A</v>
      </c>
      <c r="K476" s="372" t="str">
        <f>CS_PID!K476/VLOOKUP($B476,표2[#ALL],2)/HLOOKUP($A476,표1[#ALL],row(),false)</f>
        <v>#N/A</v>
      </c>
      <c r="L476" s="372" t="str">
        <f>CS_PID!L476/VLOOKUP($B476,표2[#ALL],2)/HLOOKUP($A476,표1[#ALL],row(),false)</f>
        <v>#N/A</v>
      </c>
      <c r="M476" s="372" t="str">
        <f>CS_PID!M476/VLOOKUP($B476,표2[#ALL],2)/HLOOKUP($A476,표1[#ALL],row(),false)</f>
        <v>#N/A</v>
      </c>
      <c r="N476" s="372" t="str">
        <f>CS_PID!N476/VLOOKUP($B476,표2[#ALL],2)/HLOOKUP($A476,표1[#ALL],row(),false)</f>
        <v>#N/A</v>
      </c>
      <c r="O476" s="372" t="str">
        <f>CS_PID!O476/VLOOKUP($B476,표2[#ALL],2)/HLOOKUP($A476,표1[#ALL],row(),false)</f>
        <v>#N/A</v>
      </c>
      <c r="P476" s="372" t="str">
        <f>CS_PID!P476/VLOOKUP($B476,표2[#ALL],2)/HLOOKUP($A476,표1[#ALL],row(),false)</f>
        <v>#N/A</v>
      </c>
      <c r="Q476" s="372" t="str">
        <f>CS_PID!Q476/VLOOKUP($B476,표2[#ALL],2)/HLOOKUP($A476,표1[#ALL],row(),false)</f>
        <v>#N/A</v>
      </c>
      <c r="R476" s="372" t="str">
        <f>CS_PID!R476/VLOOKUP($B476,표2[#ALL],2)/HLOOKUP($A476,표1[#ALL],row(),false)</f>
        <v>#N/A</v>
      </c>
      <c r="S476" s="372" t="str">
        <f>CS_PID!S476/VLOOKUP($B476,표2[#ALL],2)/HLOOKUP($A476,표1[#ALL],row(),false)</f>
        <v>#N/A</v>
      </c>
      <c r="T476" s="372" t="str">
        <f>CS_PID!T476/VLOOKUP($B476,표2[#ALL],2)/HLOOKUP($A476,표1[#ALL],row(),false)</f>
        <v>#N/A</v>
      </c>
      <c r="U476" s="372" t="str">
        <f>CS_PID!U476/VLOOKUP($B476,표2[#ALL],2)/HLOOKUP($A476,표1[#ALL],row(),false)</f>
        <v>#N/A</v>
      </c>
      <c r="V476" s="372" t="str">
        <f>CS_PID!V476/VLOOKUP($B476,표2[#ALL],2)/HLOOKUP($A476,표1[#ALL],row(),false)</f>
        <v>#N/A</v>
      </c>
      <c r="W476" s="372" t="str">
        <f>CS_PID!W476/VLOOKUP($B476,표2[#ALL],2)/HLOOKUP($A476,표1[#ALL],row(),false)</f>
        <v>#N/A</v>
      </c>
      <c r="X476" s="372" t="str">
        <f>CS_PID!X476/VLOOKUP($B476,표2[#ALL],2)/HLOOKUP($A476,표1[#ALL],row(),false)</f>
        <v>#N/A</v>
      </c>
      <c r="Y476" s="372" t="str">
        <f>CS_PID!Y476/VLOOKUP($B476,표2[#ALL],2)/HLOOKUP($A476,표1[#ALL],row(),false)</f>
        <v>#N/A</v>
      </c>
      <c r="Z476" s="372" t="str">
        <f>CS_PID!Z476/VLOOKUP($B476,표2[#ALL],2)/HLOOKUP($A476,표1[#ALL],row(),false)</f>
        <v>#N/A</v>
      </c>
      <c r="AA476" s="372" t="str">
        <f>CS_PID!AA476/VLOOKUP($B476,표2[#ALL],2)/HLOOKUP($A476,표1[#ALL],row(),false)</f>
        <v>#N/A</v>
      </c>
      <c r="AB476" s="372" t="str">
        <f>CS_PID!AB476/VLOOKUP($B476,표2[#ALL],2)/HLOOKUP($A476,표1[#ALL],row(),false)</f>
        <v>#N/A</v>
      </c>
      <c r="AC476" s="372" t="str">
        <f>CS_PID!AC476/VLOOKUP($B476,표2[#ALL],2)/HLOOKUP($A476,표1[#ALL],row(),false)</f>
        <v>#N/A</v>
      </c>
      <c r="AD476" s="372" t="str">
        <f>CS_PID!AD476/VLOOKUP($B476,표2[#ALL],2)/HLOOKUP($A476,표1[#ALL],row(),false)</f>
        <v>#N/A</v>
      </c>
      <c r="AE476" s="372" t="str">
        <f>CS_PID!AE476/VLOOKUP($B476,표2[#ALL],2)/HLOOKUP($A476,표1[#ALL],row(),false)</f>
        <v>#N/A</v>
      </c>
      <c r="AF476" s="372" t="str">
        <f>CS_PID!AF476/VLOOKUP($B476,표2[#ALL],2)/HLOOKUP($A476,표1[#ALL],row(),false)</f>
        <v>#N/A</v>
      </c>
      <c r="AG476" s="372" t="str">
        <f>CS_PID!AG476/VLOOKUP($B476,표2[#ALL],2)/HLOOKUP($A476,표1[#ALL],row(),false)</f>
        <v>#N/A</v>
      </c>
      <c r="AH476" s="372" t="str">
        <f>CS_PID!AH476/VLOOKUP($B476,표2[#ALL],2)/HLOOKUP($A476,표1[#ALL],row(),false)</f>
        <v>#N/A</v>
      </c>
      <c r="AI476" s="372" t="str">
        <f>CS_PID!AI476/VLOOKUP($B476,표2[#ALL],2)/HLOOKUP($A476,표1[#ALL],row(),false)</f>
        <v>#N/A</v>
      </c>
      <c r="AJ476" s="372" t="str">
        <f>CS_PID!AJ476/VLOOKUP($B476,표2[#ALL],2)/HLOOKUP($A476,표1[#ALL],row(),false)</f>
        <v>#N/A</v>
      </c>
      <c r="AK476" s="372" t="str">
        <f>CS_PID!AK476/VLOOKUP($B476,표2[#ALL],2)/HLOOKUP($A476,표1[#ALL],row(),false)</f>
        <v>#N/A</v>
      </c>
      <c r="AL476" s="372" t="str">
        <f>CS_PID!AL476/VLOOKUP($B476,표2[#ALL],2)/HLOOKUP($A476,표1[#ALL],row(),false)</f>
        <v>#N/A</v>
      </c>
      <c r="AM476" s="372" t="str">
        <f>CS_PID!AM476/VLOOKUP($B476,표2[#ALL],2)/HLOOKUP($A476,표1[#ALL],row(),false)</f>
        <v>#N/A</v>
      </c>
      <c r="AN476" s="372" t="str">
        <f>CS_PID!AN476/VLOOKUP($B476,표2[#ALL],2)/HLOOKUP($A476,표1[#ALL],row(),false)</f>
        <v>#N/A</v>
      </c>
      <c r="AO476" s="372" t="str">
        <f>CS_PID!AO476/VLOOKUP($B476,표2[#ALL],2)/HLOOKUP($A476,표1[#ALL],row(),false)</f>
        <v>#N/A</v>
      </c>
      <c r="AP476" s="372" t="str">
        <f>CS_PID!AP476/VLOOKUP($B476,표2[#ALL],2)/HLOOKUP($A476,표1[#ALL],row(),false)</f>
        <v>#N/A</v>
      </c>
      <c r="AQ476" s="372" t="str">
        <f>CS_PID!AQ476/VLOOKUP($B476,표2[#ALL],2)/HLOOKUP($A476,표1[#ALL],row(),false)</f>
        <v>#N/A</v>
      </c>
      <c r="AR476" s="372" t="str">
        <f>CS_PID!AR476/VLOOKUP($B476,표2[#ALL],2)/HLOOKUP($A476,표1[#ALL],row(),false)</f>
        <v>#N/A</v>
      </c>
      <c r="AS476" s="373" t="str">
        <f>CS_PID!AS476/VLOOKUP($B476,표2[#ALL],2)/HLOOKUP($A476,표1[#ALL],row(),false)</f>
        <v>#N/A</v>
      </c>
    </row>
    <row r="477">
      <c r="A477" s="374"/>
      <c r="B477" s="375"/>
      <c r="C477" s="376" t="str">
        <f>CS_PID!C477/VLOOKUP($B477,표2[#ALL],2)</f>
        <v>#N/A</v>
      </c>
      <c r="D477" s="376" t="str">
        <f>CS_PID!D477/VLOOKUP($B477,표2[#ALL],2)</f>
        <v>#N/A</v>
      </c>
      <c r="E477" s="376" t="str">
        <f>CS_PID!E477/VLOOKUP($B477,표2[#ALL],2)</f>
        <v>#N/A</v>
      </c>
      <c r="F477" s="376" t="str">
        <f>CS_PID!F477/VLOOKUP($B477,표2[#ALL],2)</f>
        <v>#N/A</v>
      </c>
      <c r="G477" s="376" t="str">
        <f>CS_PID!G477/VLOOKUP($B477,표2[#ALL],2)</f>
        <v>#N/A</v>
      </c>
      <c r="H477" s="376" t="str">
        <f>CS_PID!H477/VLOOKUP($B477,표2[#ALL],2)/HLOOKUP($A477,표1[#ALL],row(),false)</f>
        <v>#N/A</v>
      </c>
      <c r="I477" s="376" t="str">
        <f>CS_PID!I477/VLOOKUP($B477,표2[#ALL],2)/HLOOKUP($A477,표1[#ALL],row(),false)</f>
        <v>#N/A</v>
      </c>
      <c r="J477" s="376" t="str">
        <f>CS_PID!J477/VLOOKUP($B477,표2[#ALL],2)/HLOOKUP($A477,표1[#ALL],row(),false)</f>
        <v>#N/A</v>
      </c>
      <c r="K477" s="376" t="str">
        <f>CS_PID!K477/VLOOKUP($B477,표2[#ALL],2)/HLOOKUP($A477,표1[#ALL],row(),false)</f>
        <v>#N/A</v>
      </c>
      <c r="L477" s="376" t="str">
        <f>CS_PID!L477/VLOOKUP($B477,표2[#ALL],2)/HLOOKUP($A477,표1[#ALL],row(),false)</f>
        <v>#N/A</v>
      </c>
      <c r="M477" s="376" t="str">
        <f>CS_PID!M477/VLOOKUP($B477,표2[#ALL],2)/HLOOKUP($A477,표1[#ALL],row(),false)</f>
        <v>#N/A</v>
      </c>
      <c r="N477" s="376" t="str">
        <f>CS_PID!N477/VLOOKUP($B477,표2[#ALL],2)/HLOOKUP($A477,표1[#ALL],row(),false)</f>
        <v>#N/A</v>
      </c>
      <c r="O477" s="376" t="str">
        <f>CS_PID!O477/VLOOKUP($B477,표2[#ALL],2)/HLOOKUP($A477,표1[#ALL],row(),false)</f>
        <v>#N/A</v>
      </c>
      <c r="P477" s="376" t="str">
        <f>CS_PID!P477/VLOOKUP($B477,표2[#ALL],2)/HLOOKUP($A477,표1[#ALL],row(),false)</f>
        <v>#N/A</v>
      </c>
      <c r="Q477" s="376" t="str">
        <f>CS_PID!Q477/VLOOKUP($B477,표2[#ALL],2)/HLOOKUP($A477,표1[#ALL],row(),false)</f>
        <v>#N/A</v>
      </c>
      <c r="R477" s="376" t="str">
        <f>CS_PID!R477/VLOOKUP($B477,표2[#ALL],2)/HLOOKUP($A477,표1[#ALL],row(),false)</f>
        <v>#N/A</v>
      </c>
      <c r="S477" s="376" t="str">
        <f>CS_PID!S477/VLOOKUP($B477,표2[#ALL],2)/HLOOKUP($A477,표1[#ALL],row(),false)</f>
        <v>#N/A</v>
      </c>
      <c r="T477" s="376" t="str">
        <f>CS_PID!T477/VLOOKUP($B477,표2[#ALL],2)/HLOOKUP($A477,표1[#ALL],row(),false)</f>
        <v>#N/A</v>
      </c>
      <c r="U477" s="376" t="str">
        <f>CS_PID!U477/VLOOKUP($B477,표2[#ALL],2)/HLOOKUP($A477,표1[#ALL],row(),false)</f>
        <v>#N/A</v>
      </c>
      <c r="V477" s="376" t="str">
        <f>CS_PID!V477/VLOOKUP($B477,표2[#ALL],2)/HLOOKUP($A477,표1[#ALL],row(),false)</f>
        <v>#N/A</v>
      </c>
      <c r="W477" s="376" t="str">
        <f>CS_PID!W477/VLOOKUP($B477,표2[#ALL],2)/HLOOKUP($A477,표1[#ALL],row(),false)</f>
        <v>#N/A</v>
      </c>
      <c r="X477" s="376" t="str">
        <f>CS_PID!X477/VLOOKUP($B477,표2[#ALL],2)/HLOOKUP($A477,표1[#ALL],row(),false)</f>
        <v>#N/A</v>
      </c>
      <c r="Y477" s="376" t="str">
        <f>CS_PID!Y477/VLOOKUP($B477,표2[#ALL],2)/HLOOKUP($A477,표1[#ALL],row(),false)</f>
        <v>#N/A</v>
      </c>
      <c r="Z477" s="376" t="str">
        <f>CS_PID!Z477/VLOOKUP($B477,표2[#ALL],2)/HLOOKUP($A477,표1[#ALL],row(),false)</f>
        <v>#N/A</v>
      </c>
      <c r="AA477" s="376" t="str">
        <f>CS_PID!AA477/VLOOKUP($B477,표2[#ALL],2)/HLOOKUP($A477,표1[#ALL],row(),false)</f>
        <v>#N/A</v>
      </c>
      <c r="AB477" s="376" t="str">
        <f>CS_PID!AB477/VLOOKUP($B477,표2[#ALL],2)/HLOOKUP($A477,표1[#ALL],row(),false)</f>
        <v>#N/A</v>
      </c>
      <c r="AC477" s="376" t="str">
        <f>CS_PID!AC477/VLOOKUP($B477,표2[#ALL],2)/HLOOKUP($A477,표1[#ALL],row(),false)</f>
        <v>#N/A</v>
      </c>
      <c r="AD477" s="376" t="str">
        <f>CS_PID!AD477/VLOOKUP($B477,표2[#ALL],2)/HLOOKUP($A477,표1[#ALL],row(),false)</f>
        <v>#N/A</v>
      </c>
      <c r="AE477" s="376" t="str">
        <f>CS_PID!AE477/VLOOKUP($B477,표2[#ALL],2)/HLOOKUP($A477,표1[#ALL],row(),false)</f>
        <v>#N/A</v>
      </c>
      <c r="AF477" s="376" t="str">
        <f>CS_PID!AF477/VLOOKUP($B477,표2[#ALL],2)/HLOOKUP($A477,표1[#ALL],row(),false)</f>
        <v>#N/A</v>
      </c>
      <c r="AG477" s="376" t="str">
        <f>CS_PID!AG477/VLOOKUP($B477,표2[#ALL],2)/HLOOKUP($A477,표1[#ALL],row(),false)</f>
        <v>#N/A</v>
      </c>
      <c r="AH477" s="376" t="str">
        <f>CS_PID!AH477/VLOOKUP($B477,표2[#ALL],2)/HLOOKUP($A477,표1[#ALL],row(),false)</f>
        <v>#N/A</v>
      </c>
      <c r="AI477" s="376" t="str">
        <f>CS_PID!AI477/VLOOKUP($B477,표2[#ALL],2)/HLOOKUP($A477,표1[#ALL],row(),false)</f>
        <v>#N/A</v>
      </c>
      <c r="AJ477" s="376" t="str">
        <f>CS_PID!AJ477/VLOOKUP($B477,표2[#ALL],2)/HLOOKUP($A477,표1[#ALL],row(),false)</f>
        <v>#N/A</v>
      </c>
      <c r="AK477" s="376" t="str">
        <f>CS_PID!AK477/VLOOKUP($B477,표2[#ALL],2)/HLOOKUP($A477,표1[#ALL],row(),false)</f>
        <v>#N/A</v>
      </c>
      <c r="AL477" s="376" t="str">
        <f>CS_PID!AL477/VLOOKUP($B477,표2[#ALL],2)/HLOOKUP($A477,표1[#ALL],row(),false)</f>
        <v>#N/A</v>
      </c>
      <c r="AM477" s="376" t="str">
        <f>CS_PID!AM477/VLOOKUP($B477,표2[#ALL],2)/HLOOKUP($A477,표1[#ALL],row(),false)</f>
        <v>#N/A</v>
      </c>
      <c r="AN477" s="376" t="str">
        <f>CS_PID!AN477/VLOOKUP($B477,표2[#ALL],2)/HLOOKUP($A477,표1[#ALL],row(),false)</f>
        <v>#N/A</v>
      </c>
      <c r="AO477" s="376" t="str">
        <f>CS_PID!AO477/VLOOKUP($B477,표2[#ALL],2)/HLOOKUP($A477,표1[#ALL],row(),false)</f>
        <v>#N/A</v>
      </c>
      <c r="AP477" s="376" t="str">
        <f>CS_PID!AP477/VLOOKUP($B477,표2[#ALL],2)/HLOOKUP($A477,표1[#ALL],row(),false)</f>
        <v>#N/A</v>
      </c>
      <c r="AQ477" s="376" t="str">
        <f>CS_PID!AQ477/VLOOKUP($B477,표2[#ALL],2)/HLOOKUP($A477,표1[#ALL],row(),false)</f>
        <v>#N/A</v>
      </c>
      <c r="AR477" s="376" t="str">
        <f>CS_PID!AR477/VLOOKUP($B477,표2[#ALL],2)/HLOOKUP($A477,표1[#ALL],row(),false)</f>
        <v>#N/A</v>
      </c>
      <c r="AS477" s="377" t="str">
        <f>CS_PID!AS477/VLOOKUP($B477,표2[#ALL],2)/HLOOKUP($A477,표1[#ALL],row(),false)</f>
        <v>#N/A</v>
      </c>
    </row>
    <row r="478">
      <c r="A478" s="370"/>
      <c r="B478" s="371"/>
      <c r="C478" s="372" t="str">
        <f>CS_PID!C478/VLOOKUP($B478,표2[#ALL],2)</f>
        <v>#N/A</v>
      </c>
      <c r="D478" s="372" t="str">
        <f>CS_PID!D478/VLOOKUP($B478,표2[#ALL],2)</f>
        <v>#N/A</v>
      </c>
      <c r="E478" s="372" t="str">
        <f>CS_PID!E478/VLOOKUP($B478,표2[#ALL],2)</f>
        <v>#N/A</v>
      </c>
      <c r="F478" s="372" t="str">
        <f>CS_PID!F478/VLOOKUP($B478,표2[#ALL],2)</f>
        <v>#N/A</v>
      </c>
      <c r="G478" s="372" t="str">
        <f>CS_PID!G478/VLOOKUP($B478,표2[#ALL],2)</f>
        <v>#N/A</v>
      </c>
      <c r="H478" s="372" t="str">
        <f>CS_PID!H478/VLOOKUP($B478,표2[#ALL],2)/HLOOKUP($A478,표1[#ALL],row(),false)</f>
        <v>#N/A</v>
      </c>
      <c r="I478" s="372" t="str">
        <f>CS_PID!I478/VLOOKUP($B478,표2[#ALL],2)/HLOOKUP($A478,표1[#ALL],row(),false)</f>
        <v>#N/A</v>
      </c>
      <c r="J478" s="372" t="str">
        <f>CS_PID!J478/VLOOKUP($B478,표2[#ALL],2)/HLOOKUP($A478,표1[#ALL],row(),false)</f>
        <v>#N/A</v>
      </c>
      <c r="K478" s="372" t="str">
        <f>CS_PID!K478/VLOOKUP($B478,표2[#ALL],2)/HLOOKUP($A478,표1[#ALL],row(),false)</f>
        <v>#N/A</v>
      </c>
      <c r="L478" s="372" t="str">
        <f>CS_PID!L478/VLOOKUP($B478,표2[#ALL],2)/HLOOKUP($A478,표1[#ALL],row(),false)</f>
        <v>#N/A</v>
      </c>
      <c r="M478" s="372" t="str">
        <f>CS_PID!M478/VLOOKUP($B478,표2[#ALL],2)/HLOOKUP($A478,표1[#ALL],row(),false)</f>
        <v>#N/A</v>
      </c>
      <c r="N478" s="372" t="str">
        <f>CS_PID!N478/VLOOKUP($B478,표2[#ALL],2)/HLOOKUP($A478,표1[#ALL],row(),false)</f>
        <v>#N/A</v>
      </c>
      <c r="O478" s="372" t="str">
        <f>CS_PID!O478/VLOOKUP($B478,표2[#ALL],2)/HLOOKUP($A478,표1[#ALL],row(),false)</f>
        <v>#N/A</v>
      </c>
      <c r="P478" s="372" t="str">
        <f>CS_PID!P478/VLOOKUP($B478,표2[#ALL],2)/HLOOKUP($A478,표1[#ALL],row(),false)</f>
        <v>#N/A</v>
      </c>
      <c r="Q478" s="372" t="str">
        <f>CS_PID!Q478/VLOOKUP($B478,표2[#ALL],2)/HLOOKUP($A478,표1[#ALL],row(),false)</f>
        <v>#N/A</v>
      </c>
      <c r="R478" s="372" t="str">
        <f>CS_PID!R478/VLOOKUP($B478,표2[#ALL],2)/HLOOKUP($A478,표1[#ALL],row(),false)</f>
        <v>#N/A</v>
      </c>
      <c r="S478" s="372" t="str">
        <f>CS_PID!S478/VLOOKUP($B478,표2[#ALL],2)/HLOOKUP($A478,표1[#ALL],row(),false)</f>
        <v>#N/A</v>
      </c>
      <c r="T478" s="372" t="str">
        <f>CS_PID!T478/VLOOKUP($B478,표2[#ALL],2)/HLOOKUP($A478,표1[#ALL],row(),false)</f>
        <v>#N/A</v>
      </c>
      <c r="U478" s="372" t="str">
        <f>CS_PID!U478/VLOOKUP($B478,표2[#ALL],2)/HLOOKUP($A478,표1[#ALL],row(),false)</f>
        <v>#N/A</v>
      </c>
      <c r="V478" s="372" t="str">
        <f>CS_PID!V478/VLOOKUP($B478,표2[#ALL],2)/HLOOKUP($A478,표1[#ALL],row(),false)</f>
        <v>#N/A</v>
      </c>
      <c r="W478" s="372" t="str">
        <f>CS_PID!W478/VLOOKUP($B478,표2[#ALL],2)/HLOOKUP($A478,표1[#ALL],row(),false)</f>
        <v>#N/A</v>
      </c>
      <c r="X478" s="372" t="str">
        <f>CS_PID!X478/VLOOKUP($B478,표2[#ALL],2)/HLOOKUP($A478,표1[#ALL],row(),false)</f>
        <v>#N/A</v>
      </c>
      <c r="Y478" s="372" t="str">
        <f>CS_PID!Y478/VLOOKUP($B478,표2[#ALL],2)/HLOOKUP($A478,표1[#ALL],row(),false)</f>
        <v>#N/A</v>
      </c>
      <c r="Z478" s="372" t="str">
        <f>CS_PID!Z478/VLOOKUP($B478,표2[#ALL],2)/HLOOKUP($A478,표1[#ALL],row(),false)</f>
        <v>#N/A</v>
      </c>
      <c r="AA478" s="372" t="str">
        <f>CS_PID!AA478/VLOOKUP($B478,표2[#ALL],2)/HLOOKUP($A478,표1[#ALL],row(),false)</f>
        <v>#N/A</v>
      </c>
      <c r="AB478" s="372" t="str">
        <f>CS_PID!AB478/VLOOKUP($B478,표2[#ALL],2)/HLOOKUP($A478,표1[#ALL],row(),false)</f>
        <v>#N/A</v>
      </c>
      <c r="AC478" s="372" t="str">
        <f>CS_PID!AC478/VLOOKUP($B478,표2[#ALL],2)/HLOOKUP($A478,표1[#ALL],row(),false)</f>
        <v>#N/A</v>
      </c>
      <c r="AD478" s="372" t="str">
        <f>CS_PID!AD478/VLOOKUP($B478,표2[#ALL],2)/HLOOKUP($A478,표1[#ALL],row(),false)</f>
        <v>#N/A</v>
      </c>
      <c r="AE478" s="372" t="str">
        <f>CS_PID!AE478/VLOOKUP($B478,표2[#ALL],2)/HLOOKUP($A478,표1[#ALL],row(),false)</f>
        <v>#N/A</v>
      </c>
      <c r="AF478" s="372" t="str">
        <f>CS_PID!AF478/VLOOKUP($B478,표2[#ALL],2)/HLOOKUP($A478,표1[#ALL],row(),false)</f>
        <v>#N/A</v>
      </c>
      <c r="AG478" s="372" t="str">
        <f>CS_PID!AG478/VLOOKUP($B478,표2[#ALL],2)/HLOOKUP($A478,표1[#ALL],row(),false)</f>
        <v>#N/A</v>
      </c>
      <c r="AH478" s="372" t="str">
        <f>CS_PID!AH478/VLOOKUP($B478,표2[#ALL],2)/HLOOKUP($A478,표1[#ALL],row(),false)</f>
        <v>#N/A</v>
      </c>
      <c r="AI478" s="372" t="str">
        <f>CS_PID!AI478/VLOOKUP($B478,표2[#ALL],2)/HLOOKUP($A478,표1[#ALL],row(),false)</f>
        <v>#N/A</v>
      </c>
      <c r="AJ478" s="372" t="str">
        <f>CS_PID!AJ478/VLOOKUP($B478,표2[#ALL],2)/HLOOKUP($A478,표1[#ALL],row(),false)</f>
        <v>#N/A</v>
      </c>
      <c r="AK478" s="372" t="str">
        <f>CS_PID!AK478/VLOOKUP($B478,표2[#ALL],2)/HLOOKUP($A478,표1[#ALL],row(),false)</f>
        <v>#N/A</v>
      </c>
      <c r="AL478" s="372" t="str">
        <f>CS_PID!AL478/VLOOKUP($B478,표2[#ALL],2)/HLOOKUP($A478,표1[#ALL],row(),false)</f>
        <v>#N/A</v>
      </c>
      <c r="AM478" s="372" t="str">
        <f>CS_PID!AM478/VLOOKUP($B478,표2[#ALL],2)/HLOOKUP($A478,표1[#ALL],row(),false)</f>
        <v>#N/A</v>
      </c>
      <c r="AN478" s="372" t="str">
        <f>CS_PID!AN478/VLOOKUP($B478,표2[#ALL],2)/HLOOKUP($A478,표1[#ALL],row(),false)</f>
        <v>#N/A</v>
      </c>
      <c r="AO478" s="372" t="str">
        <f>CS_PID!AO478/VLOOKUP($B478,표2[#ALL],2)/HLOOKUP($A478,표1[#ALL],row(),false)</f>
        <v>#N/A</v>
      </c>
      <c r="AP478" s="372" t="str">
        <f>CS_PID!AP478/VLOOKUP($B478,표2[#ALL],2)/HLOOKUP($A478,표1[#ALL],row(),false)</f>
        <v>#N/A</v>
      </c>
      <c r="AQ478" s="372" t="str">
        <f>CS_PID!AQ478/VLOOKUP($B478,표2[#ALL],2)/HLOOKUP($A478,표1[#ALL],row(),false)</f>
        <v>#N/A</v>
      </c>
      <c r="AR478" s="372" t="str">
        <f>CS_PID!AR478/VLOOKUP($B478,표2[#ALL],2)/HLOOKUP($A478,표1[#ALL],row(),false)</f>
        <v>#N/A</v>
      </c>
      <c r="AS478" s="373" t="str">
        <f>CS_PID!AS478/VLOOKUP($B478,표2[#ALL],2)/HLOOKUP($A478,표1[#ALL],row(),false)</f>
        <v>#N/A</v>
      </c>
    </row>
    <row r="479">
      <c r="A479" s="374"/>
      <c r="B479" s="375"/>
      <c r="C479" s="376" t="str">
        <f>CS_PID!C479/VLOOKUP($B479,표2[#ALL],2)</f>
        <v>#N/A</v>
      </c>
      <c r="D479" s="376" t="str">
        <f>CS_PID!D479/VLOOKUP($B479,표2[#ALL],2)</f>
        <v>#N/A</v>
      </c>
      <c r="E479" s="376" t="str">
        <f>CS_PID!E479/VLOOKUP($B479,표2[#ALL],2)</f>
        <v>#N/A</v>
      </c>
      <c r="F479" s="376" t="str">
        <f>CS_PID!F479/VLOOKUP($B479,표2[#ALL],2)</f>
        <v>#N/A</v>
      </c>
      <c r="G479" s="376" t="str">
        <f>CS_PID!G479/VLOOKUP($B479,표2[#ALL],2)</f>
        <v>#N/A</v>
      </c>
      <c r="H479" s="376" t="str">
        <f>CS_PID!H479/VLOOKUP($B479,표2[#ALL],2)/HLOOKUP($A479,표1[#ALL],row(),false)</f>
        <v>#N/A</v>
      </c>
      <c r="I479" s="376" t="str">
        <f>CS_PID!I479/VLOOKUP($B479,표2[#ALL],2)/HLOOKUP($A479,표1[#ALL],row(),false)</f>
        <v>#N/A</v>
      </c>
      <c r="J479" s="376" t="str">
        <f>CS_PID!J479/VLOOKUP($B479,표2[#ALL],2)/HLOOKUP($A479,표1[#ALL],row(),false)</f>
        <v>#N/A</v>
      </c>
      <c r="K479" s="376" t="str">
        <f>CS_PID!K479/VLOOKUP($B479,표2[#ALL],2)/HLOOKUP($A479,표1[#ALL],row(),false)</f>
        <v>#N/A</v>
      </c>
      <c r="L479" s="376" t="str">
        <f>CS_PID!L479/VLOOKUP($B479,표2[#ALL],2)/HLOOKUP($A479,표1[#ALL],row(),false)</f>
        <v>#N/A</v>
      </c>
      <c r="M479" s="376" t="str">
        <f>CS_PID!M479/VLOOKUP($B479,표2[#ALL],2)/HLOOKUP($A479,표1[#ALL],row(),false)</f>
        <v>#N/A</v>
      </c>
      <c r="N479" s="376" t="str">
        <f>CS_PID!N479/VLOOKUP($B479,표2[#ALL],2)/HLOOKUP($A479,표1[#ALL],row(),false)</f>
        <v>#N/A</v>
      </c>
      <c r="O479" s="376" t="str">
        <f>CS_PID!O479/VLOOKUP($B479,표2[#ALL],2)/HLOOKUP($A479,표1[#ALL],row(),false)</f>
        <v>#N/A</v>
      </c>
      <c r="P479" s="376" t="str">
        <f>CS_PID!P479/VLOOKUP($B479,표2[#ALL],2)/HLOOKUP($A479,표1[#ALL],row(),false)</f>
        <v>#N/A</v>
      </c>
      <c r="Q479" s="376" t="str">
        <f>CS_PID!Q479/VLOOKUP($B479,표2[#ALL],2)/HLOOKUP($A479,표1[#ALL],row(),false)</f>
        <v>#N/A</v>
      </c>
      <c r="R479" s="376" t="str">
        <f>CS_PID!R479/VLOOKUP($B479,표2[#ALL],2)/HLOOKUP($A479,표1[#ALL],row(),false)</f>
        <v>#N/A</v>
      </c>
      <c r="S479" s="376" t="str">
        <f>CS_PID!S479/VLOOKUP($B479,표2[#ALL],2)/HLOOKUP($A479,표1[#ALL],row(),false)</f>
        <v>#N/A</v>
      </c>
      <c r="T479" s="376" t="str">
        <f>CS_PID!T479/VLOOKUP($B479,표2[#ALL],2)/HLOOKUP($A479,표1[#ALL],row(),false)</f>
        <v>#N/A</v>
      </c>
      <c r="U479" s="376" t="str">
        <f>CS_PID!U479/VLOOKUP($B479,표2[#ALL],2)/HLOOKUP($A479,표1[#ALL],row(),false)</f>
        <v>#N/A</v>
      </c>
      <c r="V479" s="376" t="str">
        <f>CS_PID!V479/VLOOKUP($B479,표2[#ALL],2)/HLOOKUP($A479,표1[#ALL],row(),false)</f>
        <v>#N/A</v>
      </c>
      <c r="W479" s="376" t="str">
        <f>CS_PID!W479/VLOOKUP($B479,표2[#ALL],2)/HLOOKUP($A479,표1[#ALL],row(),false)</f>
        <v>#N/A</v>
      </c>
      <c r="X479" s="376" t="str">
        <f>CS_PID!X479/VLOOKUP($B479,표2[#ALL],2)/HLOOKUP($A479,표1[#ALL],row(),false)</f>
        <v>#N/A</v>
      </c>
      <c r="Y479" s="376" t="str">
        <f>CS_PID!Y479/VLOOKUP($B479,표2[#ALL],2)/HLOOKUP($A479,표1[#ALL],row(),false)</f>
        <v>#N/A</v>
      </c>
      <c r="Z479" s="376" t="str">
        <f>CS_PID!Z479/VLOOKUP($B479,표2[#ALL],2)/HLOOKUP($A479,표1[#ALL],row(),false)</f>
        <v>#N/A</v>
      </c>
      <c r="AA479" s="376" t="str">
        <f>CS_PID!AA479/VLOOKUP($B479,표2[#ALL],2)/HLOOKUP($A479,표1[#ALL],row(),false)</f>
        <v>#N/A</v>
      </c>
      <c r="AB479" s="376" t="str">
        <f>CS_PID!AB479/VLOOKUP($B479,표2[#ALL],2)/HLOOKUP($A479,표1[#ALL],row(),false)</f>
        <v>#N/A</v>
      </c>
      <c r="AC479" s="376" t="str">
        <f>CS_PID!AC479/VLOOKUP($B479,표2[#ALL],2)/HLOOKUP($A479,표1[#ALL],row(),false)</f>
        <v>#N/A</v>
      </c>
      <c r="AD479" s="376" t="str">
        <f>CS_PID!AD479/VLOOKUP($B479,표2[#ALL],2)/HLOOKUP($A479,표1[#ALL],row(),false)</f>
        <v>#N/A</v>
      </c>
      <c r="AE479" s="376" t="str">
        <f>CS_PID!AE479/VLOOKUP($B479,표2[#ALL],2)/HLOOKUP($A479,표1[#ALL],row(),false)</f>
        <v>#N/A</v>
      </c>
      <c r="AF479" s="376" t="str">
        <f>CS_PID!AF479/VLOOKUP($B479,표2[#ALL],2)/HLOOKUP($A479,표1[#ALL],row(),false)</f>
        <v>#N/A</v>
      </c>
      <c r="AG479" s="376" t="str">
        <f>CS_PID!AG479/VLOOKUP($B479,표2[#ALL],2)/HLOOKUP($A479,표1[#ALL],row(),false)</f>
        <v>#N/A</v>
      </c>
      <c r="AH479" s="376" t="str">
        <f>CS_PID!AH479/VLOOKUP($B479,표2[#ALL],2)/HLOOKUP($A479,표1[#ALL],row(),false)</f>
        <v>#N/A</v>
      </c>
      <c r="AI479" s="376" t="str">
        <f>CS_PID!AI479/VLOOKUP($B479,표2[#ALL],2)/HLOOKUP($A479,표1[#ALL],row(),false)</f>
        <v>#N/A</v>
      </c>
      <c r="AJ479" s="376" t="str">
        <f>CS_PID!AJ479/VLOOKUP($B479,표2[#ALL],2)/HLOOKUP($A479,표1[#ALL],row(),false)</f>
        <v>#N/A</v>
      </c>
      <c r="AK479" s="376" t="str">
        <f>CS_PID!AK479/VLOOKUP($B479,표2[#ALL],2)/HLOOKUP($A479,표1[#ALL],row(),false)</f>
        <v>#N/A</v>
      </c>
      <c r="AL479" s="376" t="str">
        <f>CS_PID!AL479/VLOOKUP($B479,표2[#ALL],2)/HLOOKUP($A479,표1[#ALL],row(),false)</f>
        <v>#N/A</v>
      </c>
      <c r="AM479" s="376" t="str">
        <f>CS_PID!AM479/VLOOKUP($B479,표2[#ALL],2)/HLOOKUP($A479,표1[#ALL],row(),false)</f>
        <v>#N/A</v>
      </c>
      <c r="AN479" s="376" t="str">
        <f>CS_PID!AN479/VLOOKUP($B479,표2[#ALL],2)/HLOOKUP($A479,표1[#ALL],row(),false)</f>
        <v>#N/A</v>
      </c>
      <c r="AO479" s="376" t="str">
        <f>CS_PID!AO479/VLOOKUP($B479,표2[#ALL],2)/HLOOKUP($A479,표1[#ALL],row(),false)</f>
        <v>#N/A</v>
      </c>
      <c r="AP479" s="376" t="str">
        <f>CS_PID!AP479/VLOOKUP($B479,표2[#ALL],2)/HLOOKUP($A479,표1[#ALL],row(),false)</f>
        <v>#N/A</v>
      </c>
      <c r="AQ479" s="376" t="str">
        <f>CS_PID!AQ479/VLOOKUP($B479,표2[#ALL],2)/HLOOKUP($A479,표1[#ALL],row(),false)</f>
        <v>#N/A</v>
      </c>
      <c r="AR479" s="376" t="str">
        <f>CS_PID!AR479/VLOOKUP($B479,표2[#ALL],2)/HLOOKUP($A479,표1[#ALL],row(),false)</f>
        <v>#N/A</v>
      </c>
      <c r="AS479" s="377" t="str">
        <f>CS_PID!AS479/VLOOKUP($B479,표2[#ALL],2)/HLOOKUP($A479,표1[#ALL],row(),false)</f>
        <v>#N/A</v>
      </c>
    </row>
    <row r="480">
      <c r="A480" s="370"/>
      <c r="B480" s="371"/>
      <c r="C480" s="372" t="str">
        <f>CS_PID!C480/VLOOKUP($B480,표2[#ALL],2)</f>
        <v>#N/A</v>
      </c>
      <c r="D480" s="372" t="str">
        <f>CS_PID!D480/VLOOKUP($B480,표2[#ALL],2)</f>
        <v>#N/A</v>
      </c>
      <c r="E480" s="372" t="str">
        <f>CS_PID!E480/VLOOKUP($B480,표2[#ALL],2)</f>
        <v>#N/A</v>
      </c>
      <c r="F480" s="372" t="str">
        <f>CS_PID!F480/VLOOKUP($B480,표2[#ALL],2)</f>
        <v>#N/A</v>
      </c>
      <c r="G480" s="372" t="str">
        <f>CS_PID!G480/VLOOKUP($B480,표2[#ALL],2)</f>
        <v>#N/A</v>
      </c>
      <c r="H480" s="372" t="str">
        <f>CS_PID!H480/VLOOKUP($B480,표2[#ALL],2)/HLOOKUP($A480,표1[#ALL],row(),false)</f>
        <v>#N/A</v>
      </c>
      <c r="I480" s="372" t="str">
        <f>CS_PID!I480/VLOOKUP($B480,표2[#ALL],2)/HLOOKUP($A480,표1[#ALL],row(),false)</f>
        <v>#N/A</v>
      </c>
      <c r="J480" s="372" t="str">
        <f>CS_PID!J480/VLOOKUP($B480,표2[#ALL],2)/HLOOKUP($A480,표1[#ALL],row(),false)</f>
        <v>#N/A</v>
      </c>
      <c r="K480" s="372" t="str">
        <f>CS_PID!K480/VLOOKUP($B480,표2[#ALL],2)/HLOOKUP($A480,표1[#ALL],row(),false)</f>
        <v>#N/A</v>
      </c>
      <c r="L480" s="372" t="str">
        <f>CS_PID!L480/VLOOKUP($B480,표2[#ALL],2)/HLOOKUP($A480,표1[#ALL],row(),false)</f>
        <v>#N/A</v>
      </c>
      <c r="M480" s="372" t="str">
        <f>CS_PID!M480/VLOOKUP($B480,표2[#ALL],2)/HLOOKUP($A480,표1[#ALL],row(),false)</f>
        <v>#N/A</v>
      </c>
      <c r="N480" s="372" t="str">
        <f>CS_PID!N480/VLOOKUP($B480,표2[#ALL],2)/HLOOKUP($A480,표1[#ALL],row(),false)</f>
        <v>#N/A</v>
      </c>
      <c r="O480" s="372" t="str">
        <f>CS_PID!O480/VLOOKUP($B480,표2[#ALL],2)/HLOOKUP($A480,표1[#ALL],row(),false)</f>
        <v>#N/A</v>
      </c>
      <c r="P480" s="372" t="str">
        <f>CS_PID!P480/VLOOKUP($B480,표2[#ALL],2)/HLOOKUP($A480,표1[#ALL],row(),false)</f>
        <v>#N/A</v>
      </c>
      <c r="Q480" s="372" t="str">
        <f>CS_PID!Q480/VLOOKUP($B480,표2[#ALL],2)/HLOOKUP($A480,표1[#ALL],row(),false)</f>
        <v>#N/A</v>
      </c>
      <c r="R480" s="372" t="str">
        <f>CS_PID!R480/VLOOKUP($B480,표2[#ALL],2)/HLOOKUP($A480,표1[#ALL],row(),false)</f>
        <v>#N/A</v>
      </c>
      <c r="S480" s="372" t="str">
        <f>CS_PID!S480/VLOOKUP($B480,표2[#ALL],2)/HLOOKUP($A480,표1[#ALL],row(),false)</f>
        <v>#N/A</v>
      </c>
      <c r="T480" s="372" t="str">
        <f>CS_PID!T480/VLOOKUP($B480,표2[#ALL],2)/HLOOKUP($A480,표1[#ALL],row(),false)</f>
        <v>#N/A</v>
      </c>
      <c r="U480" s="372" t="str">
        <f>CS_PID!U480/VLOOKUP($B480,표2[#ALL],2)/HLOOKUP($A480,표1[#ALL],row(),false)</f>
        <v>#N/A</v>
      </c>
      <c r="V480" s="372" t="str">
        <f>CS_PID!V480/VLOOKUP($B480,표2[#ALL],2)/HLOOKUP($A480,표1[#ALL],row(),false)</f>
        <v>#N/A</v>
      </c>
      <c r="W480" s="372" t="str">
        <f>CS_PID!W480/VLOOKUP($B480,표2[#ALL],2)/HLOOKUP($A480,표1[#ALL],row(),false)</f>
        <v>#N/A</v>
      </c>
      <c r="X480" s="372" t="str">
        <f>CS_PID!X480/VLOOKUP($B480,표2[#ALL],2)/HLOOKUP($A480,표1[#ALL],row(),false)</f>
        <v>#N/A</v>
      </c>
      <c r="Y480" s="372" t="str">
        <f>CS_PID!Y480/VLOOKUP($B480,표2[#ALL],2)/HLOOKUP($A480,표1[#ALL],row(),false)</f>
        <v>#N/A</v>
      </c>
      <c r="Z480" s="372" t="str">
        <f>CS_PID!Z480/VLOOKUP($B480,표2[#ALL],2)/HLOOKUP($A480,표1[#ALL],row(),false)</f>
        <v>#N/A</v>
      </c>
      <c r="AA480" s="372" t="str">
        <f>CS_PID!AA480/VLOOKUP($B480,표2[#ALL],2)/HLOOKUP($A480,표1[#ALL],row(),false)</f>
        <v>#N/A</v>
      </c>
      <c r="AB480" s="372" t="str">
        <f>CS_PID!AB480/VLOOKUP($B480,표2[#ALL],2)/HLOOKUP($A480,표1[#ALL],row(),false)</f>
        <v>#N/A</v>
      </c>
      <c r="AC480" s="372" t="str">
        <f>CS_PID!AC480/VLOOKUP($B480,표2[#ALL],2)/HLOOKUP($A480,표1[#ALL],row(),false)</f>
        <v>#N/A</v>
      </c>
      <c r="AD480" s="372" t="str">
        <f>CS_PID!AD480/VLOOKUP($B480,표2[#ALL],2)/HLOOKUP($A480,표1[#ALL],row(),false)</f>
        <v>#N/A</v>
      </c>
      <c r="AE480" s="372" t="str">
        <f>CS_PID!AE480/VLOOKUP($B480,표2[#ALL],2)/HLOOKUP($A480,표1[#ALL],row(),false)</f>
        <v>#N/A</v>
      </c>
      <c r="AF480" s="372" t="str">
        <f>CS_PID!AF480/VLOOKUP($B480,표2[#ALL],2)/HLOOKUP($A480,표1[#ALL],row(),false)</f>
        <v>#N/A</v>
      </c>
      <c r="AG480" s="372" t="str">
        <f>CS_PID!AG480/VLOOKUP($B480,표2[#ALL],2)/HLOOKUP($A480,표1[#ALL],row(),false)</f>
        <v>#N/A</v>
      </c>
      <c r="AH480" s="372" t="str">
        <f>CS_PID!AH480/VLOOKUP($B480,표2[#ALL],2)/HLOOKUP($A480,표1[#ALL],row(),false)</f>
        <v>#N/A</v>
      </c>
      <c r="AI480" s="372" t="str">
        <f>CS_PID!AI480/VLOOKUP($B480,표2[#ALL],2)/HLOOKUP($A480,표1[#ALL],row(),false)</f>
        <v>#N/A</v>
      </c>
      <c r="AJ480" s="372" t="str">
        <f>CS_PID!AJ480/VLOOKUP($B480,표2[#ALL],2)/HLOOKUP($A480,표1[#ALL],row(),false)</f>
        <v>#N/A</v>
      </c>
      <c r="AK480" s="372" t="str">
        <f>CS_PID!AK480/VLOOKUP($B480,표2[#ALL],2)/HLOOKUP($A480,표1[#ALL],row(),false)</f>
        <v>#N/A</v>
      </c>
      <c r="AL480" s="372" t="str">
        <f>CS_PID!AL480/VLOOKUP($B480,표2[#ALL],2)/HLOOKUP($A480,표1[#ALL],row(),false)</f>
        <v>#N/A</v>
      </c>
      <c r="AM480" s="372" t="str">
        <f>CS_PID!AM480/VLOOKUP($B480,표2[#ALL],2)/HLOOKUP($A480,표1[#ALL],row(),false)</f>
        <v>#N/A</v>
      </c>
      <c r="AN480" s="372" t="str">
        <f>CS_PID!AN480/VLOOKUP($B480,표2[#ALL],2)/HLOOKUP($A480,표1[#ALL],row(),false)</f>
        <v>#N/A</v>
      </c>
      <c r="AO480" s="372" t="str">
        <f>CS_PID!AO480/VLOOKUP($B480,표2[#ALL],2)/HLOOKUP($A480,표1[#ALL],row(),false)</f>
        <v>#N/A</v>
      </c>
      <c r="AP480" s="372" t="str">
        <f>CS_PID!AP480/VLOOKUP($B480,표2[#ALL],2)/HLOOKUP($A480,표1[#ALL],row(),false)</f>
        <v>#N/A</v>
      </c>
      <c r="AQ480" s="372" t="str">
        <f>CS_PID!AQ480/VLOOKUP($B480,표2[#ALL],2)/HLOOKUP($A480,표1[#ALL],row(),false)</f>
        <v>#N/A</v>
      </c>
      <c r="AR480" s="372" t="str">
        <f>CS_PID!AR480/VLOOKUP($B480,표2[#ALL],2)/HLOOKUP($A480,표1[#ALL],row(),false)</f>
        <v>#N/A</v>
      </c>
      <c r="AS480" s="373" t="str">
        <f>CS_PID!AS480/VLOOKUP($B480,표2[#ALL],2)/HLOOKUP($A480,표1[#ALL],row(),false)</f>
        <v>#N/A</v>
      </c>
    </row>
    <row r="481">
      <c r="A481" s="374"/>
      <c r="B481" s="375"/>
      <c r="C481" s="376" t="str">
        <f>CS_PID!C481/VLOOKUP($B481,표2[#ALL],2)</f>
        <v>#N/A</v>
      </c>
      <c r="D481" s="376" t="str">
        <f>CS_PID!D481/VLOOKUP($B481,표2[#ALL],2)</f>
        <v>#N/A</v>
      </c>
      <c r="E481" s="376" t="str">
        <f>CS_PID!E481/VLOOKUP($B481,표2[#ALL],2)</f>
        <v>#N/A</v>
      </c>
      <c r="F481" s="376" t="str">
        <f>CS_PID!F481/VLOOKUP($B481,표2[#ALL],2)</f>
        <v>#N/A</v>
      </c>
      <c r="G481" s="376" t="str">
        <f>CS_PID!G481/VLOOKUP($B481,표2[#ALL],2)</f>
        <v>#N/A</v>
      </c>
      <c r="H481" s="376" t="str">
        <f>CS_PID!H481/VLOOKUP($B481,표2[#ALL],2)/HLOOKUP($A481,표1[#ALL],row(),false)</f>
        <v>#N/A</v>
      </c>
      <c r="I481" s="376" t="str">
        <f>CS_PID!I481/VLOOKUP($B481,표2[#ALL],2)/HLOOKUP($A481,표1[#ALL],row(),false)</f>
        <v>#N/A</v>
      </c>
      <c r="J481" s="376" t="str">
        <f>CS_PID!J481/VLOOKUP($B481,표2[#ALL],2)/HLOOKUP($A481,표1[#ALL],row(),false)</f>
        <v>#N/A</v>
      </c>
      <c r="K481" s="376" t="str">
        <f>CS_PID!K481/VLOOKUP($B481,표2[#ALL],2)/HLOOKUP($A481,표1[#ALL],row(),false)</f>
        <v>#N/A</v>
      </c>
      <c r="L481" s="376" t="str">
        <f>CS_PID!L481/VLOOKUP($B481,표2[#ALL],2)/HLOOKUP($A481,표1[#ALL],row(),false)</f>
        <v>#N/A</v>
      </c>
      <c r="M481" s="376" t="str">
        <f>CS_PID!M481/VLOOKUP($B481,표2[#ALL],2)/HLOOKUP($A481,표1[#ALL],row(),false)</f>
        <v>#N/A</v>
      </c>
      <c r="N481" s="376" t="str">
        <f>CS_PID!N481/VLOOKUP($B481,표2[#ALL],2)/HLOOKUP($A481,표1[#ALL],row(),false)</f>
        <v>#N/A</v>
      </c>
      <c r="O481" s="376" t="str">
        <f>CS_PID!O481/VLOOKUP($B481,표2[#ALL],2)/HLOOKUP($A481,표1[#ALL],row(),false)</f>
        <v>#N/A</v>
      </c>
      <c r="P481" s="376" t="str">
        <f>CS_PID!P481/VLOOKUP($B481,표2[#ALL],2)/HLOOKUP($A481,표1[#ALL],row(),false)</f>
        <v>#N/A</v>
      </c>
      <c r="Q481" s="376" t="str">
        <f>CS_PID!Q481/VLOOKUP($B481,표2[#ALL],2)/HLOOKUP($A481,표1[#ALL],row(),false)</f>
        <v>#N/A</v>
      </c>
      <c r="R481" s="376" t="str">
        <f>CS_PID!R481/VLOOKUP($B481,표2[#ALL],2)/HLOOKUP($A481,표1[#ALL],row(),false)</f>
        <v>#N/A</v>
      </c>
      <c r="S481" s="376" t="str">
        <f>CS_PID!S481/VLOOKUP($B481,표2[#ALL],2)/HLOOKUP($A481,표1[#ALL],row(),false)</f>
        <v>#N/A</v>
      </c>
      <c r="T481" s="376" t="str">
        <f>CS_PID!T481/VLOOKUP($B481,표2[#ALL],2)/HLOOKUP($A481,표1[#ALL],row(),false)</f>
        <v>#N/A</v>
      </c>
      <c r="U481" s="376" t="str">
        <f>CS_PID!U481/VLOOKUP($B481,표2[#ALL],2)/HLOOKUP($A481,표1[#ALL],row(),false)</f>
        <v>#N/A</v>
      </c>
      <c r="V481" s="376" t="str">
        <f>CS_PID!V481/VLOOKUP($B481,표2[#ALL],2)/HLOOKUP($A481,표1[#ALL],row(),false)</f>
        <v>#N/A</v>
      </c>
      <c r="W481" s="376" t="str">
        <f>CS_PID!W481/VLOOKUP($B481,표2[#ALL],2)/HLOOKUP($A481,표1[#ALL],row(),false)</f>
        <v>#N/A</v>
      </c>
      <c r="X481" s="376" t="str">
        <f>CS_PID!X481/VLOOKUP($B481,표2[#ALL],2)/HLOOKUP($A481,표1[#ALL],row(),false)</f>
        <v>#N/A</v>
      </c>
      <c r="Y481" s="376" t="str">
        <f>CS_PID!Y481/VLOOKUP($B481,표2[#ALL],2)/HLOOKUP($A481,표1[#ALL],row(),false)</f>
        <v>#N/A</v>
      </c>
      <c r="Z481" s="376" t="str">
        <f>CS_PID!Z481/VLOOKUP($B481,표2[#ALL],2)/HLOOKUP($A481,표1[#ALL],row(),false)</f>
        <v>#N/A</v>
      </c>
      <c r="AA481" s="376" t="str">
        <f>CS_PID!AA481/VLOOKUP($B481,표2[#ALL],2)/HLOOKUP($A481,표1[#ALL],row(),false)</f>
        <v>#N/A</v>
      </c>
      <c r="AB481" s="376" t="str">
        <f>CS_PID!AB481/VLOOKUP($B481,표2[#ALL],2)/HLOOKUP($A481,표1[#ALL],row(),false)</f>
        <v>#N/A</v>
      </c>
      <c r="AC481" s="376" t="str">
        <f>CS_PID!AC481/VLOOKUP($B481,표2[#ALL],2)/HLOOKUP($A481,표1[#ALL],row(),false)</f>
        <v>#N/A</v>
      </c>
      <c r="AD481" s="376" t="str">
        <f>CS_PID!AD481/VLOOKUP($B481,표2[#ALL],2)/HLOOKUP($A481,표1[#ALL],row(),false)</f>
        <v>#N/A</v>
      </c>
      <c r="AE481" s="376" t="str">
        <f>CS_PID!AE481/VLOOKUP($B481,표2[#ALL],2)/HLOOKUP($A481,표1[#ALL],row(),false)</f>
        <v>#N/A</v>
      </c>
      <c r="AF481" s="376" t="str">
        <f>CS_PID!AF481/VLOOKUP($B481,표2[#ALL],2)/HLOOKUP($A481,표1[#ALL],row(),false)</f>
        <v>#N/A</v>
      </c>
      <c r="AG481" s="376" t="str">
        <f>CS_PID!AG481/VLOOKUP($B481,표2[#ALL],2)/HLOOKUP($A481,표1[#ALL],row(),false)</f>
        <v>#N/A</v>
      </c>
      <c r="AH481" s="376" t="str">
        <f>CS_PID!AH481/VLOOKUP($B481,표2[#ALL],2)/HLOOKUP($A481,표1[#ALL],row(),false)</f>
        <v>#N/A</v>
      </c>
      <c r="AI481" s="376" t="str">
        <f>CS_PID!AI481/VLOOKUP($B481,표2[#ALL],2)/HLOOKUP($A481,표1[#ALL],row(),false)</f>
        <v>#N/A</v>
      </c>
      <c r="AJ481" s="376" t="str">
        <f>CS_PID!AJ481/VLOOKUP($B481,표2[#ALL],2)/HLOOKUP($A481,표1[#ALL],row(),false)</f>
        <v>#N/A</v>
      </c>
      <c r="AK481" s="376" t="str">
        <f>CS_PID!AK481/VLOOKUP($B481,표2[#ALL],2)/HLOOKUP($A481,표1[#ALL],row(),false)</f>
        <v>#N/A</v>
      </c>
      <c r="AL481" s="376" t="str">
        <f>CS_PID!AL481/VLOOKUP($B481,표2[#ALL],2)/HLOOKUP($A481,표1[#ALL],row(),false)</f>
        <v>#N/A</v>
      </c>
      <c r="AM481" s="376" t="str">
        <f>CS_PID!AM481/VLOOKUP($B481,표2[#ALL],2)/HLOOKUP($A481,표1[#ALL],row(),false)</f>
        <v>#N/A</v>
      </c>
      <c r="AN481" s="376" t="str">
        <f>CS_PID!AN481/VLOOKUP($B481,표2[#ALL],2)/HLOOKUP($A481,표1[#ALL],row(),false)</f>
        <v>#N/A</v>
      </c>
      <c r="AO481" s="376" t="str">
        <f>CS_PID!AO481/VLOOKUP($B481,표2[#ALL],2)/HLOOKUP($A481,표1[#ALL],row(),false)</f>
        <v>#N/A</v>
      </c>
      <c r="AP481" s="376" t="str">
        <f>CS_PID!AP481/VLOOKUP($B481,표2[#ALL],2)/HLOOKUP($A481,표1[#ALL],row(),false)</f>
        <v>#N/A</v>
      </c>
      <c r="AQ481" s="376" t="str">
        <f>CS_PID!AQ481/VLOOKUP($B481,표2[#ALL],2)/HLOOKUP($A481,표1[#ALL],row(),false)</f>
        <v>#N/A</v>
      </c>
      <c r="AR481" s="376" t="str">
        <f>CS_PID!AR481/VLOOKUP($B481,표2[#ALL],2)/HLOOKUP($A481,표1[#ALL],row(),false)</f>
        <v>#N/A</v>
      </c>
      <c r="AS481" s="377" t="str">
        <f>CS_PID!AS481/VLOOKUP($B481,표2[#ALL],2)/HLOOKUP($A481,표1[#ALL],row(),false)</f>
        <v>#N/A</v>
      </c>
    </row>
    <row r="482">
      <c r="A482" s="370"/>
      <c r="B482" s="371"/>
      <c r="C482" s="372" t="str">
        <f>CS_PID!C482/VLOOKUP($B482,표2[#ALL],2)</f>
        <v>#N/A</v>
      </c>
      <c r="D482" s="372" t="str">
        <f>CS_PID!D482/VLOOKUP($B482,표2[#ALL],2)</f>
        <v>#N/A</v>
      </c>
      <c r="E482" s="372" t="str">
        <f>CS_PID!E482/VLOOKUP($B482,표2[#ALL],2)</f>
        <v>#N/A</v>
      </c>
      <c r="F482" s="372" t="str">
        <f>CS_PID!F482/VLOOKUP($B482,표2[#ALL],2)</f>
        <v>#N/A</v>
      </c>
      <c r="G482" s="372" t="str">
        <f>CS_PID!G482/VLOOKUP($B482,표2[#ALL],2)</f>
        <v>#N/A</v>
      </c>
      <c r="H482" s="372" t="str">
        <f>CS_PID!H482/VLOOKUP($B482,표2[#ALL],2)/HLOOKUP($A482,표1[#ALL],row(),false)</f>
        <v>#N/A</v>
      </c>
      <c r="I482" s="372" t="str">
        <f>CS_PID!I482/VLOOKUP($B482,표2[#ALL],2)/HLOOKUP($A482,표1[#ALL],row(),false)</f>
        <v>#N/A</v>
      </c>
      <c r="J482" s="372" t="str">
        <f>CS_PID!J482/VLOOKUP($B482,표2[#ALL],2)/HLOOKUP($A482,표1[#ALL],row(),false)</f>
        <v>#N/A</v>
      </c>
      <c r="K482" s="372" t="str">
        <f>CS_PID!K482/VLOOKUP($B482,표2[#ALL],2)/HLOOKUP($A482,표1[#ALL],row(),false)</f>
        <v>#N/A</v>
      </c>
      <c r="L482" s="372" t="str">
        <f>CS_PID!L482/VLOOKUP($B482,표2[#ALL],2)/HLOOKUP($A482,표1[#ALL],row(),false)</f>
        <v>#N/A</v>
      </c>
      <c r="M482" s="372" t="str">
        <f>CS_PID!M482/VLOOKUP($B482,표2[#ALL],2)/HLOOKUP($A482,표1[#ALL],row(),false)</f>
        <v>#N/A</v>
      </c>
      <c r="N482" s="372" t="str">
        <f>CS_PID!N482/VLOOKUP($B482,표2[#ALL],2)/HLOOKUP($A482,표1[#ALL],row(),false)</f>
        <v>#N/A</v>
      </c>
      <c r="O482" s="372" t="str">
        <f>CS_PID!O482/VLOOKUP($B482,표2[#ALL],2)/HLOOKUP($A482,표1[#ALL],row(),false)</f>
        <v>#N/A</v>
      </c>
      <c r="P482" s="372" t="str">
        <f>CS_PID!P482/VLOOKUP($B482,표2[#ALL],2)/HLOOKUP($A482,표1[#ALL],row(),false)</f>
        <v>#N/A</v>
      </c>
      <c r="Q482" s="372" t="str">
        <f>CS_PID!Q482/VLOOKUP($B482,표2[#ALL],2)/HLOOKUP($A482,표1[#ALL],row(),false)</f>
        <v>#N/A</v>
      </c>
      <c r="R482" s="372" t="str">
        <f>CS_PID!R482/VLOOKUP($B482,표2[#ALL],2)/HLOOKUP($A482,표1[#ALL],row(),false)</f>
        <v>#N/A</v>
      </c>
      <c r="S482" s="372" t="str">
        <f>CS_PID!S482/VLOOKUP($B482,표2[#ALL],2)/HLOOKUP($A482,표1[#ALL],row(),false)</f>
        <v>#N/A</v>
      </c>
      <c r="T482" s="372" t="str">
        <f>CS_PID!T482/VLOOKUP($B482,표2[#ALL],2)/HLOOKUP($A482,표1[#ALL],row(),false)</f>
        <v>#N/A</v>
      </c>
      <c r="U482" s="372" t="str">
        <f>CS_PID!U482/VLOOKUP($B482,표2[#ALL],2)/HLOOKUP($A482,표1[#ALL],row(),false)</f>
        <v>#N/A</v>
      </c>
      <c r="V482" s="372" t="str">
        <f>CS_PID!V482/VLOOKUP($B482,표2[#ALL],2)/HLOOKUP($A482,표1[#ALL],row(),false)</f>
        <v>#N/A</v>
      </c>
      <c r="W482" s="372" t="str">
        <f>CS_PID!W482/VLOOKUP($B482,표2[#ALL],2)/HLOOKUP($A482,표1[#ALL],row(),false)</f>
        <v>#N/A</v>
      </c>
      <c r="X482" s="372" t="str">
        <f>CS_PID!X482/VLOOKUP($B482,표2[#ALL],2)/HLOOKUP($A482,표1[#ALL],row(),false)</f>
        <v>#N/A</v>
      </c>
      <c r="Y482" s="372" t="str">
        <f>CS_PID!Y482/VLOOKUP($B482,표2[#ALL],2)/HLOOKUP($A482,표1[#ALL],row(),false)</f>
        <v>#N/A</v>
      </c>
      <c r="Z482" s="372" t="str">
        <f>CS_PID!Z482/VLOOKUP($B482,표2[#ALL],2)/HLOOKUP($A482,표1[#ALL],row(),false)</f>
        <v>#N/A</v>
      </c>
      <c r="AA482" s="372" t="str">
        <f>CS_PID!AA482/VLOOKUP($B482,표2[#ALL],2)/HLOOKUP($A482,표1[#ALL],row(),false)</f>
        <v>#N/A</v>
      </c>
      <c r="AB482" s="372" t="str">
        <f>CS_PID!AB482/VLOOKUP($B482,표2[#ALL],2)/HLOOKUP($A482,표1[#ALL],row(),false)</f>
        <v>#N/A</v>
      </c>
      <c r="AC482" s="372" t="str">
        <f>CS_PID!AC482/VLOOKUP($B482,표2[#ALL],2)/HLOOKUP($A482,표1[#ALL],row(),false)</f>
        <v>#N/A</v>
      </c>
      <c r="AD482" s="372" t="str">
        <f>CS_PID!AD482/VLOOKUP($B482,표2[#ALL],2)/HLOOKUP($A482,표1[#ALL],row(),false)</f>
        <v>#N/A</v>
      </c>
      <c r="AE482" s="372" t="str">
        <f>CS_PID!AE482/VLOOKUP($B482,표2[#ALL],2)/HLOOKUP($A482,표1[#ALL],row(),false)</f>
        <v>#N/A</v>
      </c>
      <c r="AF482" s="372" t="str">
        <f>CS_PID!AF482/VLOOKUP($B482,표2[#ALL],2)/HLOOKUP($A482,표1[#ALL],row(),false)</f>
        <v>#N/A</v>
      </c>
      <c r="AG482" s="372" t="str">
        <f>CS_PID!AG482/VLOOKUP($B482,표2[#ALL],2)/HLOOKUP($A482,표1[#ALL],row(),false)</f>
        <v>#N/A</v>
      </c>
      <c r="AH482" s="372" t="str">
        <f>CS_PID!AH482/VLOOKUP($B482,표2[#ALL],2)/HLOOKUP($A482,표1[#ALL],row(),false)</f>
        <v>#N/A</v>
      </c>
      <c r="AI482" s="372" t="str">
        <f>CS_PID!AI482/VLOOKUP($B482,표2[#ALL],2)/HLOOKUP($A482,표1[#ALL],row(),false)</f>
        <v>#N/A</v>
      </c>
      <c r="AJ482" s="372" t="str">
        <f>CS_PID!AJ482/VLOOKUP($B482,표2[#ALL],2)/HLOOKUP($A482,표1[#ALL],row(),false)</f>
        <v>#N/A</v>
      </c>
      <c r="AK482" s="372" t="str">
        <f>CS_PID!AK482/VLOOKUP($B482,표2[#ALL],2)/HLOOKUP($A482,표1[#ALL],row(),false)</f>
        <v>#N/A</v>
      </c>
      <c r="AL482" s="372" t="str">
        <f>CS_PID!AL482/VLOOKUP($B482,표2[#ALL],2)/HLOOKUP($A482,표1[#ALL],row(),false)</f>
        <v>#N/A</v>
      </c>
      <c r="AM482" s="372" t="str">
        <f>CS_PID!AM482/VLOOKUP($B482,표2[#ALL],2)/HLOOKUP($A482,표1[#ALL],row(),false)</f>
        <v>#N/A</v>
      </c>
      <c r="AN482" s="372" t="str">
        <f>CS_PID!AN482/VLOOKUP($B482,표2[#ALL],2)/HLOOKUP($A482,표1[#ALL],row(),false)</f>
        <v>#N/A</v>
      </c>
      <c r="AO482" s="372" t="str">
        <f>CS_PID!AO482/VLOOKUP($B482,표2[#ALL],2)/HLOOKUP($A482,표1[#ALL],row(),false)</f>
        <v>#N/A</v>
      </c>
      <c r="AP482" s="372" t="str">
        <f>CS_PID!AP482/VLOOKUP($B482,표2[#ALL],2)/HLOOKUP($A482,표1[#ALL],row(),false)</f>
        <v>#N/A</v>
      </c>
      <c r="AQ482" s="372" t="str">
        <f>CS_PID!AQ482/VLOOKUP($B482,표2[#ALL],2)/HLOOKUP($A482,표1[#ALL],row(),false)</f>
        <v>#N/A</v>
      </c>
      <c r="AR482" s="372" t="str">
        <f>CS_PID!AR482/VLOOKUP($B482,표2[#ALL],2)/HLOOKUP($A482,표1[#ALL],row(),false)</f>
        <v>#N/A</v>
      </c>
      <c r="AS482" s="373" t="str">
        <f>CS_PID!AS482/VLOOKUP($B482,표2[#ALL],2)/HLOOKUP($A482,표1[#ALL],row(),false)</f>
        <v>#N/A</v>
      </c>
    </row>
    <row r="483">
      <c r="A483" s="374"/>
      <c r="B483" s="375"/>
      <c r="C483" s="376" t="str">
        <f>CS_PID!C483/VLOOKUP($B483,표2[#ALL],2)</f>
        <v>#N/A</v>
      </c>
      <c r="D483" s="376" t="str">
        <f>CS_PID!D483/VLOOKUP($B483,표2[#ALL],2)</f>
        <v>#N/A</v>
      </c>
      <c r="E483" s="376" t="str">
        <f>CS_PID!E483/VLOOKUP($B483,표2[#ALL],2)</f>
        <v>#N/A</v>
      </c>
      <c r="F483" s="376" t="str">
        <f>CS_PID!F483/VLOOKUP($B483,표2[#ALL],2)</f>
        <v>#N/A</v>
      </c>
      <c r="G483" s="376" t="str">
        <f>CS_PID!G483/VLOOKUP($B483,표2[#ALL],2)</f>
        <v>#N/A</v>
      </c>
      <c r="H483" s="376" t="str">
        <f>CS_PID!H483/VLOOKUP($B483,표2[#ALL],2)/HLOOKUP($A483,표1[#ALL],row(),false)</f>
        <v>#N/A</v>
      </c>
      <c r="I483" s="376" t="str">
        <f>CS_PID!I483/VLOOKUP($B483,표2[#ALL],2)/HLOOKUP($A483,표1[#ALL],row(),false)</f>
        <v>#N/A</v>
      </c>
      <c r="J483" s="376" t="str">
        <f>CS_PID!J483/VLOOKUP($B483,표2[#ALL],2)/HLOOKUP($A483,표1[#ALL],row(),false)</f>
        <v>#N/A</v>
      </c>
      <c r="K483" s="376" t="str">
        <f>CS_PID!K483/VLOOKUP($B483,표2[#ALL],2)/HLOOKUP($A483,표1[#ALL],row(),false)</f>
        <v>#N/A</v>
      </c>
      <c r="L483" s="376" t="str">
        <f>CS_PID!L483/VLOOKUP($B483,표2[#ALL],2)/HLOOKUP($A483,표1[#ALL],row(),false)</f>
        <v>#N/A</v>
      </c>
      <c r="M483" s="376" t="str">
        <f>CS_PID!M483/VLOOKUP($B483,표2[#ALL],2)/HLOOKUP($A483,표1[#ALL],row(),false)</f>
        <v>#N/A</v>
      </c>
      <c r="N483" s="376" t="str">
        <f>CS_PID!N483/VLOOKUP($B483,표2[#ALL],2)/HLOOKUP($A483,표1[#ALL],row(),false)</f>
        <v>#N/A</v>
      </c>
      <c r="O483" s="376" t="str">
        <f>CS_PID!O483/VLOOKUP($B483,표2[#ALL],2)/HLOOKUP($A483,표1[#ALL],row(),false)</f>
        <v>#N/A</v>
      </c>
      <c r="P483" s="376" t="str">
        <f>CS_PID!P483/VLOOKUP($B483,표2[#ALL],2)/HLOOKUP($A483,표1[#ALL],row(),false)</f>
        <v>#N/A</v>
      </c>
      <c r="Q483" s="376" t="str">
        <f>CS_PID!Q483/VLOOKUP($B483,표2[#ALL],2)/HLOOKUP($A483,표1[#ALL],row(),false)</f>
        <v>#N/A</v>
      </c>
      <c r="R483" s="376" t="str">
        <f>CS_PID!R483/VLOOKUP($B483,표2[#ALL],2)/HLOOKUP($A483,표1[#ALL],row(),false)</f>
        <v>#N/A</v>
      </c>
      <c r="S483" s="376" t="str">
        <f>CS_PID!S483/VLOOKUP($B483,표2[#ALL],2)/HLOOKUP($A483,표1[#ALL],row(),false)</f>
        <v>#N/A</v>
      </c>
      <c r="T483" s="376" t="str">
        <f>CS_PID!T483/VLOOKUP($B483,표2[#ALL],2)/HLOOKUP($A483,표1[#ALL],row(),false)</f>
        <v>#N/A</v>
      </c>
      <c r="U483" s="376" t="str">
        <f>CS_PID!U483/VLOOKUP($B483,표2[#ALL],2)/HLOOKUP($A483,표1[#ALL],row(),false)</f>
        <v>#N/A</v>
      </c>
      <c r="V483" s="376" t="str">
        <f>CS_PID!V483/VLOOKUP($B483,표2[#ALL],2)/HLOOKUP($A483,표1[#ALL],row(),false)</f>
        <v>#N/A</v>
      </c>
      <c r="W483" s="376" t="str">
        <f>CS_PID!W483/VLOOKUP($B483,표2[#ALL],2)/HLOOKUP($A483,표1[#ALL],row(),false)</f>
        <v>#N/A</v>
      </c>
      <c r="X483" s="376" t="str">
        <f>CS_PID!X483/VLOOKUP($B483,표2[#ALL],2)/HLOOKUP($A483,표1[#ALL],row(),false)</f>
        <v>#N/A</v>
      </c>
      <c r="Y483" s="376" t="str">
        <f>CS_PID!Y483/VLOOKUP($B483,표2[#ALL],2)/HLOOKUP($A483,표1[#ALL],row(),false)</f>
        <v>#N/A</v>
      </c>
      <c r="Z483" s="376" t="str">
        <f>CS_PID!Z483/VLOOKUP($B483,표2[#ALL],2)/HLOOKUP($A483,표1[#ALL],row(),false)</f>
        <v>#N/A</v>
      </c>
      <c r="AA483" s="376" t="str">
        <f>CS_PID!AA483/VLOOKUP($B483,표2[#ALL],2)/HLOOKUP($A483,표1[#ALL],row(),false)</f>
        <v>#N/A</v>
      </c>
      <c r="AB483" s="376" t="str">
        <f>CS_PID!AB483/VLOOKUP($B483,표2[#ALL],2)/HLOOKUP($A483,표1[#ALL],row(),false)</f>
        <v>#N/A</v>
      </c>
      <c r="AC483" s="376" t="str">
        <f>CS_PID!AC483/VLOOKUP($B483,표2[#ALL],2)/HLOOKUP($A483,표1[#ALL],row(),false)</f>
        <v>#N/A</v>
      </c>
      <c r="AD483" s="376" t="str">
        <f>CS_PID!AD483/VLOOKUP($B483,표2[#ALL],2)/HLOOKUP($A483,표1[#ALL],row(),false)</f>
        <v>#N/A</v>
      </c>
      <c r="AE483" s="376" t="str">
        <f>CS_PID!AE483/VLOOKUP($B483,표2[#ALL],2)/HLOOKUP($A483,표1[#ALL],row(),false)</f>
        <v>#N/A</v>
      </c>
      <c r="AF483" s="376" t="str">
        <f>CS_PID!AF483/VLOOKUP($B483,표2[#ALL],2)/HLOOKUP($A483,표1[#ALL],row(),false)</f>
        <v>#N/A</v>
      </c>
      <c r="AG483" s="376" t="str">
        <f>CS_PID!AG483/VLOOKUP($B483,표2[#ALL],2)/HLOOKUP($A483,표1[#ALL],row(),false)</f>
        <v>#N/A</v>
      </c>
      <c r="AH483" s="376" t="str">
        <f>CS_PID!AH483/VLOOKUP($B483,표2[#ALL],2)/HLOOKUP($A483,표1[#ALL],row(),false)</f>
        <v>#N/A</v>
      </c>
      <c r="AI483" s="376" t="str">
        <f>CS_PID!AI483/VLOOKUP($B483,표2[#ALL],2)/HLOOKUP($A483,표1[#ALL],row(),false)</f>
        <v>#N/A</v>
      </c>
      <c r="AJ483" s="376" t="str">
        <f>CS_PID!AJ483/VLOOKUP($B483,표2[#ALL],2)/HLOOKUP($A483,표1[#ALL],row(),false)</f>
        <v>#N/A</v>
      </c>
      <c r="AK483" s="376" t="str">
        <f>CS_PID!AK483/VLOOKUP($B483,표2[#ALL],2)/HLOOKUP($A483,표1[#ALL],row(),false)</f>
        <v>#N/A</v>
      </c>
      <c r="AL483" s="376" t="str">
        <f>CS_PID!AL483/VLOOKUP($B483,표2[#ALL],2)/HLOOKUP($A483,표1[#ALL],row(),false)</f>
        <v>#N/A</v>
      </c>
      <c r="AM483" s="376" t="str">
        <f>CS_PID!AM483/VLOOKUP($B483,표2[#ALL],2)/HLOOKUP($A483,표1[#ALL],row(),false)</f>
        <v>#N/A</v>
      </c>
      <c r="AN483" s="376" t="str">
        <f>CS_PID!AN483/VLOOKUP($B483,표2[#ALL],2)/HLOOKUP($A483,표1[#ALL],row(),false)</f>
        <v>#N/A</v>
      </c>
      <c r="AO483" s="376" t="str">
        <f>CS_PID!AO483/VLOOKUP($B483,표2[#ALL],2)/HLOOKUP($A483,표1[#ALL],row(),false)</f>
        <v>#N/A</v>
      </c>
      <c r="AP483" s="376" t="str">
        <f>CS_PID!AP483/VLOOKUP($B483,표2[#ALL],2)/HLOOKUP($A483,표1[#ALL],row(),false)</f>
        <v>#N/A</v>
      </c>
      <c r="AQ483" s="376" t="str">
        <f>CS_PID!AQ483/VLOOKUP($B483,표2[#ALL],2)/HLOOKUP($A483,표1[#ALL],row(),false)</f>
        <v>#N/A</v>
      </c>
      <c r="AR483" s="376" t="str">
        <f>CS_PID!AR483/VLOOKUP($B483,표2[#ALL],2)/HLOOKUP($A483,표1[#ALL],row(),false)</f>
        <v>#N/A</v>
      </c>
      <c r="AS483" s="377" t="str">
        <f>CS_PID!AS483/VLOOKUP($B483,표2[#ALL],2)/HLOOKUP($A483,표1[#ALL],row(),false)</f>
        <v>#N/A</v>
      </c>
    </row>
    <row r="484">
      <c r="A484" s="370"/>
      <c r="B484" s="371"/>
      <c r="C484" s="372" t="str">
        <f>CS_PID!C484/VLOOKUP($B484,표2[#ALL],2)</f>
        <v>#N/A</v>
      </c>
      <c r="D484" s="372" t="str">
        <f>CS_PID!D484/VLOOKUP($B484,표2[#ALL],2)</f>
        <v>#N/A</v>
      </c>
      <c r="E484" s="372" t="str">
        <f>CS_PID!E484/VLOOKUP($B484,표2[#ALL],2)</f>
        <v>#N/A</v>
      </c>
      <c r="F484" s="372" t="str">
        <f>CS_PID!F484/VLOOKUP($B484,표2[#ALL],2)</f>
        <v>#N/A</v>
      </c>
      <c r="G484" s="372" t="str">
        <f>CS_PID!G484/VLOOKUP($B484,표2[#ALL],2)</f>
        <v>#N/A</v>
      </c>
      <c r="H484" s="372" t="str">
        <f>CS_PID!H484/VLOOKUP($B484,표2[#ALL],2)/HLOOKUP($A484,표1[#ALL],row(),false)</f>
        <v>#N/A</v>
      </c>
      <c r="I484" s="372" t="str">
        <f>CS_PID!I484/VLOOKUP($B484,표2[#ALL],2)/HLOOKUP($A484,표1[#ALL],row(),false)</f>
        <v>#N/A</v>
      </c>
      <c r="J484" s="372" t="str">
        <f>CS_PID!J484/VLOOKUP($B484,표2[#ALL],2)/HLOOKUP($A484,표1[#ALL],row(),false)</f>
        <v>#N/A</v>
      </c>
      <c r="K484" s="372" t="str">
        <f>CS_PID!K484/VLOOKUP($B484,표2[#ALL],2)/HLOOKUP($A484,표1[#ALL],row(),false)</f>
        <v>#N/A</v>
      </c>
      <c r="L484" s="372" t="str">
        <f>CS_PID!L484/VLOOKUP($B484,표2[#ALL],2)/HLOOKUP($A484,표1[#ALL],row(),false)</f>
        <v>#N/A</v>
      </c>
      <c r="M484" s="372" t="str">
        <f>CS_PID!M484/VLOOKUP($B484,표2[#ALL],2)/HLOOKUP($A484,표1[#ALL],row(),false)</f>
        <v>#N/A</v>
      </c>
      <c r="N484" s="372" t="str">
        <f>CS_PID!N484/VLOOKUP($B484,표2[#ALL],2)/HLOOKUP($A484,표1[#ALL],row(),false)</f>
        <v>#N/A</v>
      </c>
      <c r="O484" s="372" t="str">
        <f>CS_PID!O484/VLOOKUP($B484,표2[#ALL],2)/HLOOKUP($A484,표1[#ALL],row(),false)</f>
        <v>#N/A</v>
      </c>
      <c r="P484" s="372" t="str">
        <f>CS_PID!P484/VLOOKUP($B484,표2[#ALL],2)/HLOOKUP($A484,표1[#ALL],row(),false)</f>
        <v>#N/A</v>
      </c>
      <c r="Q484" s="372" t="str">
        <f>CS_PID!Q484/VLOOKUP($B484,표2[#ALL],2)/HLOOKUP($A484,표1[#ALL],row(),false)</f>
        <v>#N/A</v>
      </c>
      <c r="R484" s="372" t="str">
        <f>CS_PID!R484/VLOOKUP($B484,표2[#ALL],2)/HLOOKUP($A484,표1[#ALL],row(),false)</f>
        <v>#N/A</v>
      </c>
      <c r="S484" s="372" t="str">
        <f>CS_PID!S484/VLOOKUP($B484,표2[#ALL],2)/HLOOKUP($A484,표1[#ALL],row(),false)</f>
        <v>#N/A</v>
      </c>
      <c r="T484" s="372" t="str">
        <f>CS_PID!T484/VLOOKUP($B484,표2[#ALL],2)/HLOOKUP($A484,표1[#ALL],row(),false)</f>
        <v>#N/A</v>
      </c>
      <c r="U484" s="372" t="str">
        <f>CS_PID!U484/VLOOKUP($B484,표2[#ALL],2)/HLOOKUP($A484,표1[#ALL],row(),false)</f>
        <v>#N/A</v>
      </c>
      <c r="V484" s="372" t="str">
        <f>CS_PID!V484/VLOOKUP($B484,표2[#ALL],2)/HLOOKUP($A484,표1[#ALL],row(),false)</f>
        <v>#N/A</v>
      </c>
      <c r="W484" s="372" t="str">
        <f>CS_PID!W484/VLOOKUP($B484,표2[#ALL],2)/HLOOKUP($A484,표1[#ALL],row(),false)</f>
        <v>#N/A</v>
      </c>
      <c r="X484" s="372" t="str">
        <f>CS_PID!X484/VLOOKUP($B484,표2[#ALL],2)/HLOOKUP($A484,표1[#ALL],row(),false)</f>
        <v>#N/A</v>
      </c>
      <c r="Y484" s="372" t="str">
        <f>CS_PID!Y484/VLOOKUP($B484,표2[#ALL],2)/HLOOKUP($A484,표1[#ALL],row(),false)</f>
        <v>#N/A</v>
      </c>
      <c r="Z484" s="372" t="str">
        <f>CS_PID!Z484/VLOOKUP($B484,표2[#ALL],2)/HLOOKUP($A484,표1[#ALL],row(),false)</f>
        <v>#N/A</v>
      </c>
      <c r="AA484" s="372" t="str">
        <f>CS_PID!AA484/VLOOKUP($B484,표2[#ALL],2)/HLOOKUP($A484,표1[#ALL],row(),false)</f>
        <v>#N/A</v>
      </c>
      <c r="AB484" s="372" t="str">
        <f>CS_PID!AB484/VLOOKUP($B484,표2[#ALL],2)/HLOOKUP($A484,표1[#ALL],row(),false)</f>
        <v>#N/A</v>
      </c>
      <c r="AC484" s="372" t="str">
        <f>CS_PID!AC484/VLOOKUP($B484,표2[#ALL],2)/HLOOKUP($A484,표1[#ALL],row(),false)</f>
        <v>#N/A</v>
      </c>
      <c r="AD484" s="372" t="str">
        <f>CS_PID!AD484/VLOOKUP($B484,표2[#ALL],2)/HLOOKUP($A484,표1[#ALL],row(),false)</f>
        <v>#N/A</v>
      </c>
      <c r="AE484" s="372" t="str">
        <f>CS_PID!AE484/VLOOKUP($B484,표2[#ALL],2)/HLOOKUP($A484,표1[#ALL],row(),false)</f>
        <v>#N/A</v>
      </c>
      <c r="AF484" s="372" t="str">
        <f>CS_PID!AF484/VLOOKUP($B484,표2[#ALL],2)/HLOOKUP($A484,표1[#ALL],row(),false)</f>
        <v>#N/A</v>
      </c>
      <c r="AG484" s="372" t="str">
        <f>CS_PID!AG484/VLOOKUP($B484,표2[#ALL],2)/HLOOKUP($A484,표1[#ALL],row(),false)</f>
        <v>#N/A</v>
      </c>
      <c r="AH484" s="372" t="str">
        <f>CS_PID!AH484/VLOOKUP($B484,표2[#ALL],2)/HLOOKUP($A484,표1[#ALL],row(),false)</f>
        <v>#N/A</v>
      </c>
      <c r="AI484" s="372" t="str">
        <f>CS_PID!AI484/VLOOKUP($B484,표2[#ALL],2)/HLOOKUP($A484,표1[#ALL],row(),false)</f>
        <v>#N/A</v>
      </c>
      <c r="AJ484" s="372" t="str">
        <f>CS_PID!AJ484/VLOOKUP($B484,표2[#ALL],2)/HLOOKUP($A484,표1[#ALL],row(),false)</f>
        <v>#N/A</v>
      </c>
      <c r="AK484" s="372" t="str">
        <f>CS_PID!AK484/VLOOKUP($B484,표2[#ALL],2)/HLOOKUP($A484,표1[#ALL],row(),false)</f>
        <v>#N/A</v>
      </c>
      <c r="AL484" s="372" t="str">
        <f>CS_PID!AL484/VLOOKUP($B484,표2[#ALL],2)/HLOOKUP($A484,표1[#ALL],row(),false)</f>
        <v>#N/A</v>
      </c>
      <c r="AM484" s="372" t="str">
        <f>CS_PID!AM484/VLOOKUP($B484,표2[#ALL],2)/HLOOKUP($A484,표1[#ALL],row(),false)</f>
        <v>#N/A</v>
      </c>
      <c r="AN484" s="372" t="str">
        <f>CS_PID!AN484/VLOOKUP($B484,표2[#ALL],2)/HLOOKUP($A484,표1[#ALL],row(),false)</f>
        <v>#N/A</v>
      </c>
      <c r="AO484" s="372" t="str">
        <f>CS_PID!AO484/VLOOKUP($B484,표2[#ALL],2)/HLOOKUP($A484,표1[#ALL],row(),false)</f>
        <v>#N/A</v>
      </c>
      <c r="AP484" s="372" t="str">
        <f>CS_PID!AP484/VLOOKUP($B484,표2[#ALL],2)/HLOOKUP($A484,표1[#ALL],row(),false)</f>
        <v>#N/A</v>
      </c>
      <c r="AQ484" s="372" t="str">
        <f>CS_PID!AQ484/VLOOKUP($B484,표2[#ALL],2)/HLOOKUP($A484,표1[#ALL],row(),false)</f>
        <v>#N/A</v>
      </c>
      <c r="AR484" s="372" t="str">
        <f>CS_PID!AR484/VLOOKUP($B484,표2[#ALL],2)/HLOOKUP($A484,표1[#ALL],row(),false)</f>
        <v>#N/A</v>
      </c>
      <c r="AS484" s="373" t="str">
        <f>CS_PID!AS484/VLOOKUP($B484,표2[#ALL],2)/HLOOKUP($A484,표1[#ALL],row(),false)</f>
        <v>#N/A</v>
      </c>
    </row>
    <row r="485">
      <c r="A485" s="374"/>
      <c r="B485" s="375"/>
      <c r="C485" s="376" t="str">
        <f>CS_PID!C485/VLOOKUP($B485,표2[#ALL],2)</f>
        <v>#N/A</v>
      </c>
      <c r="D485" s="376" t="str">
        <f>CS_PID!D485/VLOOKUP($B485,표2[#ALL],2)</f>
        <v>#N/A</v>
      </c>
      <c r="E485" s="376" t="str">
        <f>CS_PID!E485/VLOOKUP($B485,표2[#ALL],2)</f>
        <v>#N/A</v>
      </c>
      <c r="F485" s="376" t="str">
        <f>CS_PID!F485/VLOOKUP($B485,표2[#ALL],2)</f>
        <v>#N/A</v>
      </c>
      <c r="G485" s="376" t="str">
        <f>CS_PID!G485/VLOOKUP($B485,표2[#ALL],2)</f>
        <v>#N/A</v>
      </c>
      <c r="H485" s="376" t="str">
        <f>CS_PID!H485/VLOOKUP($B485,표2[#ALL],2)/HLOOKUP($A485,표1[#ALL],row(),false)</f>
        <v>#N/A</v>
      </c>
      <c r="I485" s="376" t="str">
        <f>CS_PID!I485/VLOOKUP($B485,표2[#ALL],2)/HLOOKUP($A485,표1[#ALL],row(),false)</f>
        <v>#N/A</v>
      </c>
      <c r="J485" s="376" t="str">
        <f>CS_PID!J485/VLOOKUP($B485,표2[#ALL],2)/HLOOKUP($A485,표1[#ALL],row(),false)</f>
        <v>#N/A</v>
      </c>
      <c r="K485" s="376" t="str">
        <f>CS_PID!K485/VLOOKUP($B485,표2[#ALL],2)/HLOOKUP($A485,표1[#ALL],row(),false)</f>
        <v>#N/A</v>
      </c>
      <c r="L485" s="376" t="str">
        <f>CS_PID!L485/VLOOKUP($B485,표2[#ALL],2)/HLOOKUP($A485,표1[#ALL],row(),false)</f>
        <v>#N/A</v>
      </c>
      <c r="M485" s="376" t="str">
        <f>CS_PID!M485/VLOOKUP($B485,표2[#ALL],2)/HLOOKUP($A485,표1[#ALL],row(),false)</f>
        <v>#N/A</v>
      </c>
      <c r="N485" s="376" t="str">
        <f>CS_PID!N485/VLOOKUP($B485,표2[#ALL],2)/HLOOKUP($A485,표1[#ALL],row(),false)</f>
        <v>#N/A</v>
      </c>
      <c r="O485" s="376" t="str">
        <f>CS_PID!O485/VLOOKUP($B485,표2[#ALL],2)/HLOOKUP($A485,표1[#ALL],row(),false)</f>
        <v>#N/A</v>
      </c>
      <c r="P485" s="376" t="str">
        <f>CS_PID!P485/VLOOKUP($B485,표2[#ALL],2)/HLOOKUP($A485,표1[#ALL],row(),false)</f>
        <v>#N/A</v>
      </c>
      <c r="Q485" s="376" t="str">
        <f>CS_PID!Q485/VLOOKUP($B485,표2[#ALL],2)/HLOOKUP($A485,표1[#ALL],row(),false)</f>
        <v>#N/A</v>
      </c>
      <c r="R485" s="376" t="str">
        <f>CS_PID!R485/VLOOKUP($B485,표2[#ALL],2)/HLOOKUP($A485,표1[#ALL],row(),false)</f>
        <v>#N/A</v>
      </c>
      <c r="S485" s="376" t="str">
        <f>CS_PID!S485/VLOOKUP($B485,표2[#ALL],2)/HLOOKUP($A485,표1[#ALL],row(),false)</f>
        <v>#N/A</v>
      </c>
      <c r="T485" s="376" t="str">
        <f>CS_PID!T485/VLOOKUP($B485,표2[#ALL],2)/HLOOKUP($A485,표1[#ALL],row(),false)</f>
        <v>#N/A</v>
      </c>
      <c r="U485" s="376" t="str">
        <f>CS_PID!U485/VLOOKUP($B485,표2[#ALL],2)/HLOOKUP($A485,표1[#ALL],row(),false)</f>
        <v>#N/A</v>
      </c>
      <c r="V485" s="376" t="str">
        <f>CS_PID!V485/VLOOKUP($B485,표2[#ALL],2)/HLOOKUP($A485,표1[#ALL],row(),false)</f>
        <v>#N/A</v>
      </c>
      <c r="W485" s="376" t="str">
        <f>CS_PID!W485/VLOOKUP($B485,표2[#ALL],2)/HLOOKUP($A485,표1[#ALL],row(),false)</f>
        <v>#N/A</v>
      </c>
      <c r="X485" s="376" t="str">
        <f>CS_PID!X485/VLOOKUP($B485,표2[#ALL],2)/HLOOKUP($A485,표1[#ALL],row(),false)</f>
        <v>#N/A</v>
      </c>
      <c r="Y485" s="376" t="str">
        <f>CS_PID!Y485/VLOOKUP($B485,표2[#ALL],2)/HLOOKUP($A485,표1[#ALL],row(),false)</f>
        <v>#N/A</v>
      </c>
      <c r="Z485" s="376" t="str">
        <f>CS_PID!Z485/VLOOKUP($B485,표2[#ALL],2)/HLOOKUP($A485,표1[#ALL],row(),false)</f>
        <v>#N/A</v>
      </c>
      <c r="AA485" s="376" t="str">
        <f>CS_PID!AA485/VLOOKUP($B485,표2[#ALL],2)/HLOOKUP($A485,표1[#ALL],row(),false)</f>
        <v>#N/A</v>
      </c>
      <c r="AB485" s="376" t="str">
        <f>CS_PID!AB485/VLOOKUP($B485,표2[#ALL],2)/HLOOKUP($A485,표1[#ALL],row(),false)</f>
        <v>#N/A</v>
      </c>
      <c r="AC485" s="376" t="str">
        <f>CS_PID!AC485/VLOOKUP($B485,표2[#ALL],2)/HLOOKUP($A485,표1[#ALL],row(),false)</f>
        <v>#N/A</v>
      </c>
      <c r="AD485" s="376" t="str">
        <f>CS_PID!AD485/VLOOKUP($B485,표2[#ALL],2)/HLOOKUP($A485,표1[#ALL],row(),false)</f>
        <v>#N/A</v>
      </c>
      <c r="AE485" s="376" t="str">
        <f>CS_PID!AE485/VLOOKUP($B485,표2[#ALL],2)/HLOOKUP($A485,표1[#ALL],row(),false)</f>
        <v>#N/A</v>
      </c>
      <c r="AF485" s="376" t="str">
        <f>CS_PID!AF485/VLOOKUP($B485,표2[#ALL],2)/HLOOKUP($A485,표1[#ALL],row(),false)</f>
        <v>#N/A</v>
      </c>
      <c r="AG485" s="376" t="str">
        <f>CS_PID!AG485/VLOOKUP($B485,표2[#ALL],2)/HLOOKUP($A485,표1[#ALL],row(),false)</f>
        <v>#N/A</v>
      </c>
      <c r="AH485" s="376" t="str">
        <f>CS_PID!AH485/VLOOKUP($B485,표2[#ALL],2)/HLOOKUP($A485,표1[#ALL],row(),false)</f>
        <v>#N/A</v>
      </c>
      <c r="AI485" s="376" t="str">
        <f>CS_PID!AI485/VLOOKUP($B485,표2[#ALL],2)/HLOOKUP($A485,표1[#ALL],row(),false)</f>
        <v>#N/A</v>
      </c>
      <c r="AJ485" s="376" t="str">
        <f>CS_PID!AJ485/VLOOKUP($B485,표2[#ALL],2)/HLOOKUP($A485,표1[#ALL],row(),false)</f>
        <v>#N/A</v>
      </c>
      <c r="AK485" s="376" t="str">
        <f>CS_PID!AK485/VLOOKUP($B485,표2[#ALL],2)/HLOOKUP($A485,표1[#ALL],row(),false)</f>
        <v>#N/A</v>
      </c>
      <c r="AL485" s="376" t="str">
        <f>CS_PID!AL485/VLOOKUP($B485,표2[#ALL],2)/HLOOKUP($A485,표1[#ALL],row(),false)</f>
        <v>#N/A</v>
      </c>
      <c r="AM485" s="376" t="str">
        <f>CS_PID!AM485/VLOOKUP($B485,표2[#ALL],2)/HLOOKUP($A485,표1[#ALL],row(),false)</f>
        <v>#N/A</v>
      </c>
      <c r="AN485" s="376" t="str">
        <f>CS_PID!AN485/VLOOKUP($B485,표2[#ALL],2)/HLOOKUP($A485,표1[#ALL],row(),false)</f>
        <v>#N/A</v>
      </c>
      <c r="AO485" s="376" t="str">
        <f>CS_PID!AO485/VLOOKUP($B485,표2[#ALL],2)/HLOOKUP($A485,표1[#ALL],row(),false)</f>
        <v>#N/A</v>
      </c>
      <c r="AP485" s="376" t="str">
        <f>CS_PID!AP485/VLOOKUP($B485,표2[#ALL],2)/HLOOKUP($A485,표1[#ALL],row(),false)</f>
        <v>#N/A</v>
      </c>
      <c r="AQ485" s="376" t="str">
        <f>CS_PID!AQ485/VLOOKUP($B485,표2[#ALL],2)/HLOOKUP($A485,표1[#ALL],row(),false)</f>
        <v>#N/A</v>
      </c>
      <c r="AR485" s="376" t="str">
        <f>CS_PID!AR485/VLOOKUP($B485,표2[#ALL],2)/HLOOKUP($A485,표1[#ALL],row(),false)</f>
        <v>#N/A</v>
      </c>
      <c r="AS485" s="377" t="str">
        <f>CS_PID!AS485/VLOOKUP($B485,표2[#ALL],2)/HLOOKUP($A485,표1[#ALL],row(),false)</f>
        <v>#N/A</v>
      </c>
    </row>
    <row r="486">
      <c r="A486" s="370"/>
      <c r="B486" s="371"/>
      <c r="C486" s="372" t="str">
        <f>CS_PID!C486/VLOOKUP($B486,표2[#ALL],2)</f>
        <v>#N/A</v>
      </c>
      <c r="D486" s="372" t="str">
        <f>CS_PID!D486/VLOOKUP($B486,표2[#ALL],2)</f>
        <v>#N/A</v>
      </c>
      <c r="E486" s="372" t="str">
        <f>CS_PID!E486/VLOOKUP($B486,표2[#ALL],2)</f>
        <v>#N/A</v>
      </c>
      <c r="F486" s="372" t="str">
        <f>CS_PID!F486/VLOOKUP($B486,표2[#ALL],2)</f>
        <v>#N/A</v>
      </c>
      <c r="G486" s="372" t="str">
        <f>CS_PID!G486/VLOOKUP($B486,표2[#ALL],2)</f>
        <v>#N/A</v>
      </c>
      <c r="H486" s="372" t="str">
        <f>CS_PID!H486/VLOOKUP($B486,표2[#ALL],2)/HLOOKUP($A486,표1[#ALL],row(),false)</f>
        <v>#N/A</v>
      </c>
      <c r="I486" s="372" t="str">
        <f>CS_PID!I486/VLOOKUP($B486,표2[#ALL],2)/HLOOKUP($A486,표1[#ALL],row(),false)</f>
        <v>#N/A</v>
      </c>
      <c r="J486" s="372" t="str">
        <f>CS_PID!J486/VLOOKUP($B486,표2[#ALL],2)/HLOOKUP($A486,표1[#ALL],row(),false)</f>
        <v>#N/A</v>
      </c>
      <c r="K486" s="372" t="str">
        <f>CS_PID!K486/VLOOKUP($B486,표2[#ALL],2)/HLOOKUP($A486,표1[#ALL],row(),false)</f>
        <v>#N/A</v>
      </c>
      <c r="L486" s="372" t="str">
        <f>CS_PID!L486/VLOOKUP($B486,표2[#ALL],2)/HLOOKUP($A486,표1[#ALL],row(),false)</f>
        <v>#N/A</v>
      </c>
      <c r="M486" s="372" t="str">
        <f>CS_PID!M486/VLOOKUP($B486,표2[#ALL],2)/HLOOKUP($A486,표1[#ALL],row(),false)</f>
        <v>#N/A</v>
      </c>
      <c r="N486" s="372" t="str">
        <f>CS_PID!N486/VLOOKUP($B486,표2[#ALL],2)/HLOOKUP($A486,표1[#ALL],row(),false)</f>
        <v>#N/A</v>
      </c>
      <c r="O486" s="372" t="str">
        <f>CS_PID!O486/VLOOKUP($B486,표2[#ALL],2)/HLOOKUP($A486,표1[#ALL],row(),false)</f>
        <v>#N/A</v>
      </c>
      <c r="P486" s="372" t="str">
        <f>CS_PID!P486/VLOOKUP($B486,표2[#ALL],2)/HLOOKUP($A486,표1[#ALL],row(),false)</f>
        <v>#N/A</v>
      </c>
      <c r="Q486" s="372" t="str">
        <f>CS_PID!Q486/VLOOKUP($B486,표2[#ALL],2)/HLOOKUP($A486,표1[#ALL],row(),false)</f>
        <v>#N/A</v>
      </c>
      <c r="R486" s="372" t="str">
        <f>CS_PID!R486/VLOOKUP($B486,표2[#ALL],2)/HLOOKUP($A486,표1[#ALL],row(),false)</f>
        <v>#N/A</v>
      </c>
      <c r="S486" s="372" t="str">
        <f>CS_PID!S486/VLOOKUP($B486,표2[#ALL],2)/HLOOKUP($A486,표1[#ALL],row(),false)</f>
        <v>#N/A</v>
      </c>
      <c r="T486" s="372" t="str">
        <f>CS_PID!T486/VLOOKUP($B486,표2[#ALL],2)/HLOOKUP($A486,표1[#ALL],row(),false)</f>
        <v>#N/A</v>
      </c>
      <c r="U486" s="372" t="str">
        <f>CS_PID!U486/VLOOKUP($B486,표2[#ALL],2)/HLOOKUP($A486,표1[#ALL],row(),false)</f>
        <v>#N/A</v>
      </c>
      <c r="V486" s="372" t="str">
        <f>CS_PID!V486/VLOOKUP($B486,표2[#ALL],2)/HLOOKUP($A486,표1[#ALL],row(),false)</f>
        <v>#N/A</v>
      </c>
      <c r="W486" s="372" t="str">
        <f>CS_PID!W486/VLOOKUP($B486,표2[#ALL],2)/HLOOKUP($A486,표1[#ALL],row(),false)</f>
        <v>#N/A</v>
      </c>
      <c r="X486" s="372" t="str">
        <f>CS_PID!X486/VLOOKUP($B486,표2[#ALL],2)/HLOOKUP($A486,표1[#ALL],row(),false)</f>
        <v>#N/A</v>
      </c>
      <c r="Y486" s="372" t="str">
        <f>CS_PID!Y486/VLOOKUP($B486,표2[#ALL],2)/HLOOKUP($A486,표1[#ALL],row(),false)</f>
        <v>#N/A</v>
      </c>
      <c r="Z486" s="372" t="str">
        <f>CS_PID!Z486/VLOOKUP($B486,표2[#ALL],2)/HLOOKUP($A486,표1[#ALL],row(),false)</f>
        <v>#N/A</v>
      </c>
      <c r="AA486" s="372" t="str">
        <f>CS_PID!AA486/VLOOKUP($B486,표2[#ALL],2)/HLOOKUP($A486,표1[#ALL],row(),false)</f>
        <v>#N/A</v>
      </c>
      <c r="AB486" s="372" t="str">
        <f>CS_PID!AB486/VLOOKUP($B486,표2[#ALL],2)/HLOOKUP($A486,표1[#ALL],row(),false)</f>
        <v>#N/A</v>
      </c>
      <c r="AC486" s="372" t="str">
        <f>CS_PID!AC486/VLOOKUP($B486,표2[#ALL],2)/HLOOKUP($A486,표1[#ALL],row(),false)</f>
        <v>#N/A</v>
      </c>
      <c r="AD486" s="372" t="str">
        <f>CS_PID!AD486/VLOOKUP($B486,표2[#ALL],2)/HLOOKUP($A486,표1[#ALL],row(),false)</f>
        <v>#N/A</v>
      </c>
      <c r="AE486" s="372" t="str">
        <f>CS_PID!AE486/VLOOKUP($B486,표2[#ALL],2)/HLOOKUP($A486,표1[#ALL],row(),false)</f>
        <v>#N/A</v>
      </c>
      <c r="AF486" s="372" t="str">
        <f>CS_PID!AF486/VLOOKUP($B486,표2[#ALL],2)/HLOOKUP($A486,표1[#ALL],row(),false)</f>
        <v>#N/A</v>
      </c>
      <c r="AG486" s="372" t="str">
        <f>CS_PID!AG486/VLOOKUP($B486,표2[#ALL],2)/HLOOKUP($A486,표1[#ALL],row(),false)</f>
        <v>#N/A</v>
      </c>
      <c r="AH486" s="372" t="str">
        <f>CS_PID!AH486/VLOOKUP($B486,표2[#ALL],2)/HLOOKUP($A486,표1[#ALL],row(),false)</f>
        <v>#N/A</v>
      </c>
      <c r="AI486" s="372" t="str">
        <f>CS_PID!AI486/VLOOKUP($B486,표2[#ALL],2)/HLOOKUP($A486,표1[#ALL],row(),false)</f>
        <v>#N/A</v>
      </c>
      <c r="AJ486" s="372" t="str">
        <f>CS_PID!AJ486/VLOOKUP($B486,표2[#ALL],2)/HLOOKUP($A486,표1[#ALL],row(),false)</f>
        <v>#N/A</v>
      </c>
      <c r="AK486" s="372" t="str">
        <f>CS_PID!AK486/VLOOKUP($B486,표2[#ALL],2)/HLOOKUP($A486,표1[#ALL],row(),false)</f>
        <v>#N/A</v>
      </c>
      <c r="AL486" s="372" t="str">
        <f>CS_PID!AL486/VLOOKUP($B486,표2[#ALL],2)/HLOOKUP($A486,표1[#ALL],row(),false)</f>
        <v>#N/A</v>
      </c>
      <c r="AM486" s="372" t="str">
        <f>CS_PID!AM486/VLOOKUP($B486,표2[#ALL],2)/HLOOKUP($A486,표1[#ALL],row(),false)</f>
        <v>#N/A</v>
      </c>
      <c r="AN486" s="372" t="str">
        <f>CS_PID!AN486/VLOOKUP($B486,표2[#ALL],2)/HLOOKUP($A486,표1[#ALL],row(),false)</f>
        <v>#N/A</v>
      </c>
      <c r="AO486" s="372" t="str">
        <f>CS_PID!AO486/VLOOKUP($B486,표2[#ALL],2)/HLOOKUP($A486,표1[#ALL],row(),false)</f>
        <v>#N/A</v>
      </c>
      <c r="AP486" s="372" t="str">
        <f>CS_PID!AP486/VLOOKUP($B486,표2[#ALL],2)/HLOOKUP($A486,표1[#ALL],row(),false)</f>
        <v>#N/A</v>
      </c>
      <c r="AQ486" s="372" t="str">
        <f>CS_PID!AQ486/VLOOKUP($B486,표2[#ALL],2)/HLOOKUP($A486,표1[#ALL],row(),false)</f>
        <v>#N/A</v>
      </c>
      <c r="AR486" s="372" t="str">
        <f>CS_PID!AR486/VLOOKUP($B486,표2[#ALL],2)/HLOOKUP($A486,표1[#ALL],row(),false)</f>
        <v>#N/A</v>
      </c>
      <c r="AS486" s="373" t="str">
        <f>CS_PID!AS486/VLOOKUP($B486,표2[#ALL],2)/HLOOKUP($A486,표1[#ALL],row(),false)</f>
        <v>#N/A</v>
      </c>
    </row>
    <row r="487">
      <c r="A487" s="374"/>
      <c r="B487" s="375"/>
      <c r="C487" s="376" t="str">
        <f>CS_PID!C487/VLOOKUP($B487,표2[#ALL],2)</f>
        <v>#N/A</v>
      </c>
      <c r="D487" s="376" t="str">
        <f>CS_PID!D487/VLOOKUP($B487,표2[#ALL],2)</f>
        <v>#N/A</v>
      </c>
      <c r="E487" s="376" t="str">
        <f>CS_PID!E487/VLOOKUP($B487,표2[#ALL],2)</f>
        <v>#N/A</v>
      </c>
      <c r="F487" s="376" t="str">
        <f>CS_PID!F487/VLOOKUP($B487,표2[#ALL],2)</f>
        <v>#N/A</v>
      </c>
      <c r="G487" s="376" t="str">
        <f>CS_PID!G487/VLOOKUP($B487,표2[#ALL],2)</f>
        <v>#N/A</v>
      </c>
      <c r="H487" s="376" t="str">
        <f>CS_PID!H487/VLOOKUP($B487,표2[#ALL],2)/HLOOKUP($A487,표1[#ALL],row(),false)</f>
        <v>#N/A</v>
      </c>
      <c r="I487" s="376" t="str">
        <f>CS_PID!I487/VLOOKUP($B487,표2[#ALL],2)/HLOOKUP($A487,표1[#ALL],row(),false)</f>
        <v>#N/A</v>
      </c>
      <c r="J487" s="376" t="str">
        <f>CS_PID!J487/VLOOKUP($B487,표2[#ALL],2)/HLOOKUP($A487,표1[#ALL],row(),false)</f>
        <v>#N/A</v>
      </c>
      <c r="K487" s="376" t="str">
        <f>CS_PID!K487/VLOOKUP($B487,표2[#ALL],2)/HLOOKUP($A487,표1[#ALL],row(),false)</f>
        <v>#N/A</v>
      </c>
      <c r="L487" s="376" t="str">
        <f>CS_PID!L487/VLOOKUP($B487,표2[#ALL],2)/HLOOKUP($A487,표1[#ALL],row(),false)</f>
        <v>#N/A</v>
      </c>
      <c r="M487" s="376" t="str">
        <f>CS_PID!M487/VLOOKUP($B487,표2[#ALL],2)/HLOOKUP($A487,표1[#ALL],row(),false)</f>
        <v>#N/A</v>
      </c>
      <c r="N487" s="376" t="str">
        <f>CS_PID!N487/VLOOKUP($B487,표2[#ALL],2)/HLOOKUP($A487,표1[#ALL],row(),false)</f>
        <v>#N/A</v>
      </c>
      <c r="O487" s="376" t="str">
        <f>CS_PID!O487/VLOOKUP($B487,표2[#ALL],2)/HLOOKUP($A487,표1[#ALL],row(),false)</f>
        <v>#N/A</v>
      </c>
      <c r="P487" s="376" t="str">
        <f>CS_PID!P487/VLOOKUP($B487,표2[#ALL],2)/HLOOKUP($A487,표1[#ALL],row(),false)</f>
        <v>#N/A</v>
      </c>
      <c r="Q487" s="376" t="str">
        <f>CS_PID!Q487/VLOOKUP($B487,표2[#ALL],2)/HLOOKUP($A487,표1[#ALL],row(),false)</f>
        <v>#N/A</v>
      </c>
      <c r="R487" s="376" t="str">
        <f>CS_PID!R487/VLOOKUP($B487,표2[#ALL],2)/HLOOKUP($A487,표1[#ALL],row(),false)</f>
        <v>#N/A</v>
      </c>
      <c r="S487" s="376" t="str">
        <f>CS_PID!S487/VLOOKUP($B487,표2[#ALL],2)/HLOOKUP($A487,표1[#ALL],row(),false)</f>
        <v>#N/A</v>
      </c>
      <c r="T487" s="376" t="str">
        <f>CS_PID!T487/VLOOKUP($B487,표2[#ALL],2)/HLOOKUP($A487,표1[#ALL],row(),false)</f>
        <v>#N/A</v>
      </c>
      <c r="U487" s="376" t="str">
        <f>CS_PID!U487/VLOOKUP($B487,표2[#ALL],2)/HLOOKUP($A487,표1[#ALL],row(),false)</f>
        <v>#N/A</v>
      </c>
      <c r="V487" s="376" t="str">
        <f>CS_PID!V487/VLOOKUP($B487,표2[#ALL],2)/HLOOKUP($A487,표1[#ALL],row(),false)</f>
        <v>#N/A</v>
      </c>
      <c r="W487" s="376" t="str">
        <f>CS_PID!W487/VLOOKUP($B487,표2[#ALL],2)/HLOOKUP($A487,표1[#ALL],row(),false)</f>
        <v>#N/A</v>
      </c>
      <c r="X487" s="376" t="str">
        <f>CS_PID!X487/VLOOKUP($B487,표2[#ALL],2)/HLOOKUP($A487,표1[#ALL],row(),false)</f>
        <v>#N/A</v>
      </c>
      <c r="Y487" s="376" t="str">
        <f>CS_PID!Y487/VLOOKUP($B487,표2[#ALL],2)/HLOOKUP($A487,표1[#ALL],row(),false)</f>
        <v>#N/A</v>
      </c>
      <c r="Z487" s="376" t="str">
        <f>CS_PID!Z487/VLOOKUP($B487,표2[#ALL],2)/HLOOKUP($A487,표1[#ALL],row(),false)</f>
        <v>#N/A</v>
      </c>
      <c r="AA487" s="376" t="str">
        <f>CS_PID!AA487/VLOOKUP($B487,표2[#ALL],2)/HLOOKUP($A487,표1[#ALL],row(),false)</f>
        <v>#N/A</v>
      </c>
      <c r="AB487" s="376" t="str">
        <f>CS_PID!AB487/VLOOKUP($B487,표2[#ALL],2)/HLOOKUP($A487,표1[#ALL],row(),false)</f>
        <v>#N/A</v>
      </c>
      <c r="AC487" s="376" t="str">
        <f>CS_PID!AC487/VLOOKUP($B487,표2[#ALL],2)/HLOOKUP($A487,표1[#ALL],row(),false)</f>
        <v>#N/A</v>
      </c>
      <c r="AD487" s="376" t="str">
        <f>CS_PID!AD487/VLOOKUP($B487,표2[#ALL],2)/HLOOKUP($A487,표1[#ALL],row(),false)</f>
        <v>#N/A</v>
      </c>
      <c r="AE487" s="376" t="str">
        <f>CS_PID!AE487/VLOOKUP($B487,표2[#ALL],2)/HLOOKUP($A487,표1[#ALL],row(),false)</f>
        <v>#N/A</v>
      </c>
      <c r="AF487" s="376" t="str">
        <f>CS_PID!AF487/VLOOKUP($B487,표2[#ALL],2)/HLOOKUP($A487,표1[#ALL],row(),false)</f>
        <v>#N/A</v>
      </c>
      <c r="AG487" s="376" t="str">
        <f>CS_PID!AG487/VLOOKUP($B487,표2[#ALL],2)/HLOOKUP($A487,표1[#ALL],row(),false)</f>
        <v>#N/A</v>
      </c>
      <c r="AH487" s="376" t="str">
        <f>CS_PID!AH487/VLOOKUP($B487,표2[#ALL],2)/HLOOKUP($A487,표1[#ALL],row(),false)</f>
        <v>#N/A</v>
      </c>
      <c r="AI487" s="376" t="str">
        <f>CS_PID!AI487/VLOOKUP($B487,표2[#ALL],2)/HLOOKUP($A487,표1[#ALL],row(),false)</f>
        <v>#N/A</v>
      </c>
      <c r="AJ487" s="376" t="str">
        <f>CS_PID!AJ487/VLOOKUP($B487,표2[#ALL],2)/HLOOKUP($A487,표1[#ALL],row(),false)</f>
        <v>#N/A</v>
      </c>
      <c r="AK487" s="376" t="str">
        <f>CS_PID!AK487/VLOOKUP($B487,표2[#ALL],2)/HLOOKUP($A487,표1[#ALL],row(),false)</f>
        <v>#N/A</v>
      </c>
      <c r="AL487" s="376" t="str">
        <f>CS_PID!AL487/VLOOKUP($B487,표2[#ALL],2)/HLOOKUP($A487,표1[#ALL],row(),false)</f>
        <v>#N/A</v>
      </c>
      <c r="AM487" s="376" t="str">
        <f>CS_PID!AM487/VLOOKUP($B487,표2[#ALL],2)/HLOOKUP($A487,표1[#ALL],row(),false)</f>
        <v>#N/A</v>
      </c>
      <c r="AN487" s="376" t="str">
        <f>CS_PID!AN487/VLOOKUP($B487,표2[#ALL],2)/HLOOKUP($A487,표1[#ALL],row(),false)</f>
        <v>#N/A</v>
      </c>
      <c r="AO487" s="376" t="str">
        <f>CS_PID!AO487/VLOOKUP($B487,표2[#ALL],2)/HLOOKUP($A487,표1[#ALL],row(),false)</f>
        <v>#N/A</v>
      </c>
      <c r="AP487" s="376" t="str">
        <f>CS_PID!AP487/VLOOKUP($B487,표2[#ALL],2)/HLOOKUP($A487,표1[#ALL],row(),false)</f>
        <v>#N/A</v>
      </c>
      <c r="AQ487" s="376" t="str">
        <f>CS_PID!AQ487/VLOOKUP($B487,표2[#ALL],2)/HLOOKUP($A487,표1[#ALL],row(),false)</f>
        <v>#N/A</v>
      </c>
      <c r="AR487" s="376" t="str">
        <f>CS_PID!AR487/VLOOKUP($B487,표2[#ALL],2)/HLOOKUP($A487,표1[#ALL],row(),false)</f>
        <v>#N/A</v>
      </c>
      <c r="AS487" s="377" t="str">
        <f>CS_PID!AS487/VLOOKUP($B487,표2[#ALL],2)/HLOOKUP($A487,표1[#ALL],row(),false)</f>
        <v>#N/A</v>
      </c>
    </row>
    <row r="488">
      <c r="A488" s="370"/>
      <c r="B488" s="371"/>
      <c r="C488" s="372" t="str">
        <f>CS_PID!C488/VLOOKUP($B488,표2[#ALL],2)</f>
        <v>#N/A</v>
      </c>
      <c r="D488" s="372" t="str">
        <f>CS_PID!D488/VLOOKUP($B488,표2[#ALL],2)</f>
        <v>#N/A</v>
      </c>
      <c r="E488" s="372" t="str">
        <f>CS_PID!E488/VLOOKUP($B488,표2[#ALL],2)</f>
        <v>#N/A</v>
      </c>
      <c r="F488" s="372" t="str">
        <f>CS_PID!F488/VLOOKUP($B488,표2[#ALL],2)</f>
        <v>#N/A</v>
      </c>
      <c r="G488" s="372" t="str">
        <f>CS_PID!G488/VLOOKUP($B488,표2[#ALL],2)</f>
        <v>#N/A</v>
      </c>
      <c r="H488" s="372" t="str">
        <f>CS_PID!H488/VLOOKUP($B488,표2[#ALL],2)/HLOOKUP($A488,표1[#ALL],row(),false)</f>
        <v>#N/A</v>
      </c>
      <c r="I488" s="372" t="str">
        <f>CS_PID!I488/VLOOKUP($B488,표2[#ALL],2)/HLOOKUP($A488,표1[#ALL],row(),false)</f>
        <v>#N/A</v>
      </c>
      <c r="J488" s="372" t="str">
        <f>CS_PID!J488/VLOOKUP($B488,표2[#ALL],2)/HLOOKUP($A488,표1[#ALL],row(),false)</f>
        <v>#N/A</v>
      </c>
      <c r="K488" s="372" t="str">
        <f>CS_PID!K488/VLOOKUP($B488,표2[#ALL],2)/HLOOKUP($A488,표1[#ALL],row(),false)</f>
        <v>#N/A</v>
      </c>
      <c r="L488" s="372" t="str">
        <f>CS_PID!L488/VLOOKUP($B488,표2[#ALL],2)/HLOOKUP($A488,표1[#ALL],row(),false)</f>
        <v>#N/A</v>
      </c>
      <c r="M488" s="372" t="str">
        <f>CS_PID!M488/VLOOKUP($B488,표2[#ALL],2)/HLOOKUP($A488,표1[#ALL],row(),false)</f>
        <v>#N/A</v>
      </c>
      <c r="N488" s="372" t="str">
        <f>CS_PID!N488/VLOOKUP($B488,표2[#ALL],2)/HLOOKUP($A488,표1[#ALL],row(),false)</f>
        <v>#N/A</v>
      </c>
      <c r="O488" s="372" t="str">
        <f>CS_PID!O488/VLOOKUP($B488,표2[#ALL],2)/HLOOKUP($A488,표1[#ALL],row(),false)</f>
        <v>#N/A</v>
      </c>
      <c r="P488" s="372" t="str">
        <f>CS_PID!P488/VLOOKUP($B488,표2[#ALL],2)/HLOOKUP($A488,표1[#ALL],row(),false)</f>
        <v>#N/A</v>
      </c>
      <c r="Q488" s="372" t="str">
        <f>CS_PID!Q488/VLOOKUP($B488,표2[#ALL],2)/HLOOKUP($A488,표1[#ALL],row(),false)</f>
        <v>#N/A</v>
      </c>
      <c r="R488" s="372" t="str">
        <f>CS_PID!R488/VLOOKUP($B488,표2[#ALL],2)/HLOOKUP($A488,표1[#ALL],row(),false)</f>
        <v>#N/A</v>
      </c>
      <c r="S488" s="372" t="str">
        <f>CS_PID!S488/VLOOKUP($B488,표2[#ALL],2)/HLOOKUP($A488,표1[#ALL],row(),false)</f>
        <v>#N/A</v>
      </c>
      <c r="T488" s="372" t="str">
        <f>CS_PID!T488/VLOOKUP($B488,표2[#ALL],2)/HLOOKUP($A488,표1[#ALL],row(),false)</f>
        <v>#N/A</v>
      </c>
      <c r="U488" s="372" t="str">
        <f>CS_PID!U488/VLOOKUP($B488,표2[#ALL],2)/HLOOKUP($A488,표1[#ALL],row(),false)</f>
        <v>#N/A</v>
      </c>
      <c r="V488" s="372" t="str">
        <f>CS_PID!V488/VLOOKUP($B488,표2[#ALL],2)/HLOOKUP($A488,표1[#ALL],row(),false)</f>
        <v>#N/A</v>
      </c>
      <c r="W488" s="372" t="str">
        <f>CS_PID!W488/VLOOKUP($B488,표2[#ALL],2)/HLOOKUP($A488,표1[#ALL],row(),false)</f>
        <v>#N/A</v>
      </c>
      <c r="X488" s="372" t="str">
        <f>CS_PID!X488/VLOOKUP($B488,표2[#ALL],2)/HLOOKUP($A488,표1[#ALL],row(),false)</f>
        <v>#N/A</v>
      </c>
      <c r="Y488" s="372" t="str">
        <f>CS_PID!Y488/VLOOKUP($B488,표2[#ALL],2)/HLOOKUP($A488,표1[#ALL],row(),false)</f>
        <v>#N/A</v>
      </c>
      <c r="Z488" s="372" t="str">
        <f>CS_PID!Z488/VLOOKUP($B488,표2[#ALL],2)/HLOOKUP($A488,표1[#ALL],row(),false)</f>
        <v>#N/A</v>
      </c>
      <c r="AA488" s="372" t="str">
        <f>CS_PID!AA488/VLOOKUP($B488,표2[#ALL],2)/HLOOKUP($A488,표1[#ALL],row(),false)</f>
        <v>#N/A</v>
      </c>
      <c r="AB488" s="372" t="str">
        <f>CS_PID!AB488/VLOOKUP($B488,표2[#ALL],2)/HLOOKUP($A488,표1[#ALL],row(),false)</f>
        <v>#N/A</v>
      </c>
      <c r="AC488" s="372" t="str">
        <f>CS_PID!AC488/VLOOKUP($B488,표2[#ALL],2)/HLOOKUP($A488,표1[#ALL],row(),false)</f>
        <v>#N/A</v>
      </c>
      <c r="AD488" s="372" t="str">
        <f>CS_PID!AD488/VLOOKUP($B488,표2[#ALL],2)/HLOOKUP($A488,표1[#ALL],row(),false)</f>
        <v>#N/A</v>
      </c>
      <c r="AE488" s="372" t="str">
        <f>CS_PID!AE488/VLOOKUP($B488,표2[#ALL],2)/HLOOKUP($A488,표1[#ALL],row(),false)</f>
        <v>#N/A</v>
      </c>
      <c r="AF488" s="372" t="str">
        <f>CS_PID!AF488/VLOOKUP($B488,표2[#ALL],2)/HLOOKUP($A488,표1[#ALL],row(),false)</f>
        <v>#N/A</v>
      </c>
      <c r="AG488" s="372" t="str">
        <f>CS_PID!AG488/VLOOKUP($B488,표2[#ALL],2)/HLOOKUP($A488,표1[#ALL],row(),false)</f>
        <v>#N/A</v>
      </c>
      <c r="AH488" s="372" t="str">
        <f>CS_PID!AH488/VLOOKUP($B488,표2[#ALL],2)/HLOOKUP($A488,표1[#ALL],row(),false)</f>
        <v>#N/A</v>
      </c>
      <c r="AI488" s="372" t="str">
        <f>CS_PID!AI488/VLOOKUP($B488,표2[#ALL],2)/HLOOKUP($A488,표1[#ALL],row(),false)</f>
        <v>#N/A</v>
      </c>
      <c r="AJ488" s="372" t="str">
        <f>CS_PID!AJ488/VLOOKUP($B488,표2[#ALL],2)/HLOOKUP($A488,표1[#ALL],row(),false)</f>
        <v>#N/A</v>
      </c>
      <c r="AK488" s="372" t="str">
        <f>CS_PID!AK488/VLOOKUP($B488,표2[#ALL],2)/HLOOKUP($A488,표1[#ALL],row(),false)</f>
        <v>#N/A</v>
      </c>
      <c r="AL488" s="372" t="str">
        <f>CS_PID!AL488/VLOOKUP($B488,표2[#ALL],2)/HLOOKUP($A488,표1[#ALL],row(),false)</f>
        <v>#N/A</v>
      </c>
      <c r="AM488" s="372" t="str">
        <f>CS_PID!AM488/VLOOKUP($B488,표2[#ALL],2)/HLOOKUP($A488,표1[#ALL],row(),false)</f>
        <v>#N/A</v>
      </c>
      <c r="AN488" s="372" t="str">
        <f>CS_PID!AN488/VLOOKUP($B488,표2[#ALL],2)/HLOOKUP($A488,표1[#ALL],row(),false)</f>
        <v>#N/A</v>
      </c>
      <c r="AO488" s="372" t="str">
        <f>CS_PID!AO488/VLOOKUP($B488,표2[#ALL],2)/HLOOKUP($A488,표1[#ALL],row(),false)</f>
        <v>#N/A</v>
      </c>
      <c r="AP488" s="372" t="str">
        <f>CS_PID!AP488/VLOOKUP($B488,표2[#ALL],2)/HLOOKUP($A488,표1[#ALL],row(),false)</f>
        <v>#N/A</v>
      </c>
      <c r="AQ488" s="372" t="str">
        <f>CS_PID!AQ488/VLOOKUP($B488,표2[#ALL],2)/HLOOKUP($A488,표1[#ALL],row(),false)</f>
        <v>#N/A</v>
      </c>
      <c r="AR488" s="372" t="str">
        <f>CS_PID!AR488/VLOOKUP($B488,표2[#ALL],2)/HLOOKUP($A488,표1[#ALL],row(),false)</f>
        <v>#N/A</v>
      </c>
      <c r="AS488" s="373" t="str">
        <f>CS_PID!AS488/VLOOKUP($B488,표2[#ALL],2)/HLOOKUP($A488,표1[#ALL],row(),false)</f>
        <v>#N/A</v>
      </c>
    </row>
    <row r="489">
      <c r="A489" s="374"/>
      <c r="B489" s="375"/>
      <c r="C489" s="376" t="str">
        <f>CS_PID!C489/VLOOKUP($B489,표2[#ALL],2)</f>
        <v>#N/A</v>
      </c>
      <c r="D489" s="376" t="str">
        <f>CS_PID!D489/VLOOKUP($B489,표2[#ALL],2)</f>
        <v>#N/A</v>
      </c>
      <c r="E489" s="376" t="str">
        <f>CS_PID!E489/VLOOKUP($B489,표2[#ALL],2)</f>
        <v>#N/A</v>
      </c>
      <c r="F489" s="376" t="str">
        <f>CS_PID!F489/VLOOKUP($B489,표2[#ALL],2)</f>
        <v>#N/A</v>
      </c>
      <c r="G489" s="376" t="str">
        <f>CS_PID!G489/VLOOKUP($B489,표2[#ALL],2)</f>
        <v>#N/A</v>
      </c>
      <c r="H489" s="376" t="str">
        <f>CS_PID!H489/VLOOKUP($B489,표2[#ALL],2)/HLOOKUP($A489,표1[#ALL],row(),false)</f>
        <v>#N/A</v>
      </c>
      <c r="I489" s="376" t="str">
        <f>CS_PID!I489/VLOOKUP($B489,표2[#ALL],2)/HLOOKUP($A489,표1[#ALL],row(),false)</f>
        <v>#N/A</v>
      </c>
      <c r="J489" s="376" t="str">
        <f>CS_PID!J489/VLOOKUP($B489,표2[#ALL],2)/HLOOKUP($A489,표1[#ALL],row(),false)</f>
        <v>#N/A</v>
      </c>
      <c r="K489" s="376" t="str">
        <f>CS_PID!K489/VLOOKUP($B489,표2[#ALL],2)/HLOOKUP($A489,표1[#ALL],row(),false)</f>
        <v>#N/A</v>
      </c>
      <c r="L489" s="376" t="str">
        <f>CS_PID!L489/VLOOKUP($B489,표2[#ALL],2)/HLOOKUP($A489,표1[#ALL],row(),false)</f>
        <v>#N/A</v>
      </c>
      <c r="M489" s="376" t="str">
        <f>CS_PID!M489/VLOOKUP($B489,표2[#ALL],2)/HLOOKUP($A489,표1[#ALL],row(),false)</f>
        <v>#N/A</v>
      </c>
      <c r="N489" s="376" t="str">
        <f>CS_PID!N489/VLOOKUP($B489,표2[#ALL],2)/HLOOKUP($A489,표1[#ALL],row(),false)</f>
        <v>#N/A</v>
      </c>
      <c r="O489" s="376" t="str">
        <f>CS_PID!O489/VLOOKUP($B489,표2[#ALL],2)/HLOOKUP($A489,표1[#ALL],row(),false)</f>
        <v>#N/A</v>
      </c>
      <c r="P489" s="376" t="str">
        <f>CS_PID!P489/VLOOKUP($B489,표2[#ALL],2)/HLOOKUP($A489,표1[#ALL],row(),false)</f>
        <v>#N/A</v>
      </c>
      <c r="Q489" s="376" t="str">
        <f>CS_PID!Q489/VLOOKUP($B489,표2[#ALL],2)/HLOOKUP($A489,표1[#ALL],row(),false)</f>
        <v>#N/A</v>
      </c>
      <c r="R489" s="376" t="str">
        <f>CS_PID!R489/VLOOKUP($B489,표2[#ALL],2)/HLOOKUP($A489,표1[#ALL],row(),false)</f>
        <v>#N/A</v>
      </c>
      <c r="S489" s="376" t="str">
        <f>CS_PID!S489/VLOOKUP($B489,표2[#ALL],2)/HLOOKUP($A489,표1[#ALL],row(),false)</f>
        <v>#N/A</v>
      </c>
      <c r="T489" s="376" t="str">
        <f>CS_PID!T489/VLOOKUP($B489,표2[#ALL],2)/HLOOKUP($A489,표1[#ALL],row(),false)</f>
        <v>#N/A</v>
      </c>
      <c r="U489" s="376" t="str">
        <f>CS_PID!U489/VLOOKUP($B489,표2[#ALL],2)/HLOOKUP($A489,표1[#ALL],row(),false)</f>
        <v>#N/A</v>
      </c>
      <c r="V489" s="376" t="str">
        <f>CS_PID!V489/VLOOKUP($B489,표2[#ALL],2)/HLOOKUP($A489,표1[#ALL],row(),false)</f>
        <v>#N/A</v>
      </c>
      <c r="W489" s="376" t="str">
        <f>CS_PID!W489/VLOOKUP($B489,표2[#ALL],2)/HLOOKUP($A489,표1[#ALL],row(),false)</f>
        <v>#N/A</v>
      </c>
      <c r="X489" s="376" t="str">
        <f>CS_PID!X489/VLOOKUP($B489,표2[#ALL],2)/HLOOKUP($A489,표1[#ALL],row(),false)</f>
        <v>#N/A</v>
      </c>
      <c r="Y489" s="376" t="str">
        <f>CS_PID!Y489/VLOOKUP($B489,표2[#ALL],2)/HLOOKUP($A489,표1[#ALL],row(),false)</f>
        <v>#N/A</v>
      </c>
      <c r="Z489" s="376" t="str">
        <f>CS_PID!Z489/VLOOKUP($B489,표2[#ALL],2)/HLOOKUP($A489,표1[#ALL],row(),false)</f>
        <v>#N/A</v>
      </c>
      <c r="AA489" s="376" t="str">
        <f>CS_PID!AA489/VLOOKUP($B489,표2[#ALL],2)/HLOOKUP($A489,표1[#ALL],row(),false)</f>
        <v>#N/A</v>
      </c>
      <c r="AB489" s="376" t="str">
        <f>CS_PID!AB489/VLOOKUP($B489,표2[#ALL],2)/HLOOKUP($A489,표1[#ALL],row(),false)</f>
        <v>#N/A</v>
      </c>
      <c r="AC489" s="376" t="str">
        <f>CS_PID!AC489/VLOOKUP($B489,표2[#ALL],2)/HLOOKUP($A489,표1[#ALL],row(),false)</f>
        <v>#N/A</v>
      </c>
      <c r="AD489" s="376" t="str">
        <f>CS_PID!AD489/VLOOKUP($B489,표2[#ALL],2)/HLOOKUP($A489,표1[#ALL],row(),false)</f>
        <v>#N/A</v>
      </c>
      <c r="AE489" s="376" t="str">
        <f>CS_PID!AE489/VLOOKUP($B489,표2[#ALL],2)/HLOOKUP($A489,표1[#ALL],row(),false)</f>
        <v>#N/A</v>
      </c>
      <c r="AF489" s="376" t="str">
        <f>CS_PID!AF489/VLOOKUP($B489,표2[#ALL],2)/HLOOKUP($A489,표1[#ALL],row(),false)</f>
        <v>#N/A</v>
      </c>
      <c r="AG489" s="376" t="str">
        <f>CS_PID!AG489/VLOOKUP($B489,표2[#ALL],2)/HLOOKUP($A489,표1[#ALL],row(),false)</f>
        <v>#N/A</v>
      </c>
      <c r="AH489" s="376" t="str">
        <f>CS_PID!AH489/VLOOKUP($B489,표2[#ALL],2)/HLOOKUP($A489,표1[#ALL],row(),false)</f>
        <v>#N/A</v>
      </c>
      <c r="AI489" s="376" t="str">
        <f>CS_PID!AI489/VLOOKUP($B489,표2[#ALL],2)/HLOOKUP($A489,표1[#ALL],row(),false)</f>
        <v>#N/A</v>
      </c>
      <c r="AJ489" s="376" t="str">
        <f>CS_PID!AJ489/VLOOKUP($B489,표2[#ALL],2)/HLOOKUP($A489,표1[#ALL],row(),false)</f>
        <v>#N/A</v>
      </c>
      <c r="AK489" s="376" t="str">
        <f>CS_PID!AK489/VLOOKUP($B489,표2[#ALL],2)/HLOOKUP($A489,표1[#ALL],row(),false)</f>
        <v>#N/A</v>
      </c>
      <c r="AL489" s="376" t="str">
        <f>CS_PID!AL489/VLOOKUP($B489,표2[#ALL],2)/HLOOKUP($A489,표1[#ALL],row(),false)</f>
        <v>#N/A</v>
      </c>
      <c r="AM489" s="376" t="str">
        <f>CS_PID!AM489/VLOOKUP($B489,표2[#ALL],2)/HLOOKUP($A489,표1[#ALL],row(),false)</f>
        <v>#N/A</v>
      </c>
      <c r="AN489" s="376" t="str">
        <f>CS_PID!AN489/VLOOKUP($B489,표2[#ALL],2)/HLOOKUP($A489,표1[#ALL],row(),false)</f>
        <v>#N/A</v>
      </c>
      <c r="AO489" s="376" t="str">
        <f>CS_PID!AO489/VLOOKUP($B489,표2[#ALL],2)/HLOOKUP($A489,표1[#ALL],row(),false)</f>
        <v>#N/A</v>
      </c>
      <c r="AP489" s="376" t="str">
        <f>CS_PID!AP489/VLOOKUP($B489,표2[#ALL],2)/HLOOKUP($A489,표1[#ALL],row(),false)</f>
        <v>#N/A</v>
      </c>
      <c r="AQ489" s="376" t="str">
        <f>CS_PID!AQ489/VLOOKUP($B489,표2[#ALL],2)/HLOOKUP($A489,표1[#ALL],row(),false)</f>
        <v>#N/A</v>
      </c>
      <c r="AR489" s="376" t="str">
        <f>CS_PID!AR489/VLOOKUP($B489,표2[#ALL],2)/HLOOKUP($A489,표1[#ALL],row(),false)</f>
        <v>#N/A</v>
      </c>
      <c r="AS489" s="377" t="str">
        <f>CS_PID!AS489/VLOOKUP($B489,표2[#ALL],2)/HLOOKUP($A489,표1[#ALL],row(),false)</f>
        <v>#N/A</v>
      </c>
    </row>
    <row r="490">
      <c r="A490" s="370"/>
      <c r="B490" s="371"/>
      <c r="C490" s="372" t="str">
        <f>CS_PID!C490/VLOOKUP($B490,표2[#ALL],2)</f>
        <v>#N/A</v>
      </c>
      <c r="D490" s="372" t="str">
        <f>CS_PID!D490/VLOOKUP($B490,표2[#ALL],2)</f>
        <v>#N/A</v>
      </c>
      <c r="E490" s="372" t="str">
        <f>CS_PID!E490/VLOOKUP($B490,표2[#ALL],2)</f>
        <v>#N/A</v>
      </c>
      <c r="F490" s="372" t="str">
        <f>CS_PID!F490/VLOOKUP($B490,표2[#ALL],2)</f>
        <v>#N/A</v>
      </c>
      <c r="G490" s="372" t="str">
        <f>CS_PID!G490/VLOOKUP($B490,표2[#ALL],2)</f>
        <v>#N/A</v>
      </c>
      <c r="H490" s="372" t="str">
        <f>CS_PID!H490/VLOOKUP($B490,표2[#ALL],2)/HLOOKUP($A490,표1[#ALL],row(),false)</f>
        <v>#N/A</v>
      </c>
      <c r="I490" s="372" t="str">
        <f>CS_PID!I490/VLOOKUP($B490,표2[#ALL],2)/HLOOKUP($A490,표1[#ALL],row(),false)</f>
        <v>#N/A</v>
      </c>
      <c r="J490" s="372" t="str">
        <f>CS_PID!J490/VLOOKUP($B490,표2[#ALL],2)/HLOOKUP($A490,표1[#ALL],row(),false)</f>
        <v>#N/A</v>
      </c>
      <c r="K490" s="372" t="str">
        <f>CS_PID!K490/VLOOKUP($B490,표2[#ALL],2)/HLOOKUP($A490,표1[#ALL],row(),false)</f>
        <v>#N/A</v>
      </c>
      <c r="L490" s="372" t="str">
        <f>CS_PID!L490/VLOOKUP($B490,표2[#ALL],2)/HLOOKUP($A490,표1[#ALL],row(),false)</f>
        <v>#N/A</v>
      </c>
      <c r="M490" s="372" t="str">
        <f>CS_PID!M490/VLOOKUP($B490,표2[#ALL],2)/HLOOKUP($A490,표1[#ALL],row(),false)</f>
        <v>#N/A</v>
      </c>
      <c r="N490" s="372" t="str">
        <f>CS_PID!N490/VLOOKUP($B490,표2[#ALL],2)/HLOOKUP($A490,표1[#ALL],row(),false)</f>
        <v>#N/A</v>
      </c>
      <c r="O490" s="372" t="str">
        <f>CS_PID!O490/VLOOKUP($B490,표2[#ALL],2)/HLOOKUP($A490,표1[#ALL],row(),false)</f>
        <v>#N/A</v>
      </c>
      <c r="P490" s="372" t="str">
        <f>CS_PID!P490/VLOOKUP($B490,표2[#ALL],2)/HLOOKUP($A490,표1[#ALL],row(),false)</f>
        <v>#N/A</v>
      </c>
      <c r="Q490" s="372" t="str">
        <f>CS_PID!Q490/VLOOKUP($B490,표2[#ALL],2)/HLOOKUP($A490,표1[#ALL],row(),false)</f>
        <v>#N/A</v>
      </c>
      <c r="R490" s="372" t="str">
        <f>CS_PID!R490/VLOOKUP($B490,표2[#ALL],2)/HLOOKUP($A490,표1[#ALL],row(),false)</f>
        <v>#N/A</v>
      </c>
      <c r="S490" s="372" t="str">
        <f>CS_PID!S490/VLOOKUP($B490,표2[#ALL],2)/HLOOKUP($A490,표1[#ALL],row(),false)</f>
        <v>#N/A</v>
      </c>
      <c r="T490" s="372" t="str">
        <f>CS_PID!T490/VLOOKUP($B490,표2[#ALL],2)/HLOOKUP($A490,표1[#ALL],row(),false)</f>
        <v>#N/A</v>
      </c>
      <c r="U490" s="372" t="str">
        <f>CS_PID!U490/VLOOKUP($B490,표2[#ALL],2)/HLOOKUP($A490,표1[#ALL],row(),false)</f>
        <v>#N/A</v>
      </c>
      <c r="V490" s="372" t="str">
        <f>CS_PID!V490/VLOOKUP($B490,표2[#ALL],2)/HLOOKUP($A490,표1[#ALL],row(),false)</f>
        <v>#N/A</v>
      </c>
      <c r="W490" s="372" t="str">
        <f>CS_PID!W490/VLOOKUP($B490,표2[#ALL],2)/HLOOKUP($A490,표1[#ALL],row(),false)</f>
        <v>#N/A</v>
      </c>
      <c r="X490" s="372" t="str">
        <f>CS_PID!X490/VLOOKUP($B490,표2[#ALL],2)/HLOOKUP($A490,표1[#ALL],row(),false)</f>
        <v>#N/A</v>
      </c>
      <c r="Y490" s="372" t="str">
        <f>CS_PID!Y490/VLOOKUP($B490,표2[#ALL],2)/HLOOKUP($A490,표1[#ALL],row(),false)</f>
        <v>#N/A</v>
      </c>
      <c r="Z490" s="372" t="str">
        <f>CS_PID!Z490/VLOOKUP($B490,표2[#ALL],2)/HLOOKUP($A490,표1[#ALL],row(),false)</f>
        <v>#N/A</v>
      </c>
      <c r="AA490" s="372" t="str">
        <f>CS_PID!AA490/VLOOKUP($B490,표2[#ALL],2)/HLOOKUP($A490,표1[#ALL],row(),false)</f>
        <v>#N/A</v>
      </c>
      <c r="AB490" s="372" t="str">
        <f>CS_PID!AB490/VLOOKUP($B490,표2[#ALL],2)/HLOOKUP($A490,표1[#ALL],row(),false)</f>
        <v>#N/A</v>
      </c>
      <c r="AC490" s="372" t="str">
        <f>CS_PID!AC490/VLOOKUP($B490,표2[#ALL],2)/HLOOKUP($A490,표1[#ALL],row(),false)</f>
        <v>#N/A</v>
      </c>
      <c r="AD490" s="372" t="str">
        <f>CS_PID!AD490/VLOOKUP($B490,표2[#ALL],2)/HLOOKUP($A490,표1[#ALL],row(),false)</f>
        <v>#N/A</v>
      </c>
      <c r="AE490" s="372" t="str">
        <f>CS_PID!AE490/VLOOKUP($B490,표2[#ALL],2)/HLOOKUP($A490,표1[#ALL],row(),false)</f>
        <v>#N/A</v>
      </c>
      <c r="AF490" s="372" t="str">
        <f>CS_PID!AF490/VLOOKUP($B490,표2[#ALL],2)/HLOOKUP($A490,표1[#ALL],row(),false)</f>
        <v>#N/A</v>
      </c>
      <c r="AG490" s="372" t="str">
        <f>CS_PID!AG490/VLOOKUP($B490,표2[#ALL],2)/HLOOKUP($A490,표1[#ALL],row(),false)</f>
        <v>#N/A</v>
      </c>
      <c r="AH490" s="372" t="str">
        <f>CS_PID!AH490/VLOOKUP($B490,표2[#ALL],2)/HLOOKUP($A490,표1[#ALL],row(),false)</f>
        <v>#N/A</v>
      </c>
      <c r="AI490" s="372" t="str">
        <f>CS_PID!AI490/VLOOKUP($B490,표2[#ALL],2)/HLOOKUP($A490,표1[#ALL],row(),false)</f>
        <v>#N/A</v>
      </c>
      <c r="AJ490" s="372" t="str">
        <f>CS_PID!AJ490/VLOOKUP($B490,표2[#ALL],2)/HLOOKUP($A490,표1[#ALL],row(),false)</f>
        <v>#N/A</v>
      </c>
      <c r="AK490" s="372" t="str">
        <f>CS_PID!AK490/VLOOKUP($B490,표2[#ALL],2)/HLOOKUP($A490,표1[#ALL],row(),false)</f>
        <v>#N/A</v>
      </c>
      <c r="AL490" s="372" t="str">
        <f>CS_PID!AL490/VLOOKUP($B490,표2[#ALL],2)/HLOOKUP($A490,표1[#ALL],row(),false)</f>
        <v>#N/A</v>
      </c>
      <c r="AM490" s="372" t="str">
        <f>CS_PID!AM490/VLOOKUP($B490,표2[#ALL],2)/HLOOKUP($A490,표1[#ALL],row(),false)</f>
        <v>#N/A</v>
      </c>
      <c r="AN490" s="372" t="str">
        <f>CS_PID!AN490/VLOOKUP($B490,표2[#ALL],2)/HLOOKUP($A490,표1[#ALL],row(),false)</f>
        <v>#N/A</v>
      </c>
      <c r="AO490" s="372" t="str">
        <f>CS_PID!AO490/VLOOKUP($B490,표2[#ALL],2)/HLOOKUP($A490,표1[#ALL],row(),false)</f>
        <v>#N/A</v>
      </c>
      <c r="AP490" s="372" t="str">
        <f>CS_PID!AP490/VLOOKUP($B490,표2[#ALL],2)/HLOOKUP($A490,표1[#ALL],row(),false)</f>
        <v>#N/A</v>
      </c>
      <c r="AQ490" s="372" t="str">
        <f>CS_PID!AQ490/VLOOKUP($B490,표2[#ALL],2)/HLOOKUP($A490,표1[#ALL],row(),false)</f>
        <v>#N/A</v>
      </c>
      <c r="AR490" s="372" t="str">
        <f>CS_PID!AR490/VLOOKUP($B490,표2[#ALL],2)/HLOOKUP($A490,표1[#ALL],row(),false)</f>
        <v>#N/A</v>
      </c>
      <c r="AS490" s="373" t="str">
        <f>CS_PID!AS490/VLOOKUP($B490,표2[#ALL],2)/HLOOKUP($A490,표1[#ALL],row(),false)</f>
        <v>#N/A</v>
      </c>
    </row>
    <row r="491">
      <c r="A491" s="374"/>
      <c r="B491" s="375"/>
      <c r="C491" s="376" t="str">
        <f>CS_PID!C491/VLOOKUP($B491,표2[#ALL],2)</f>
        <v>#N/A</v>
      </c>
      <c r="D491" s="376" t="str">
        <f>CS_PID!D491/VLOOKUP($B491,표2[#ALL],2)</f>
        <v>#N/A</v>
      </c>
      <c r="E491" s="376" t="str">
        <f>CS_PID!E491/VLOOKUP($B491,표2[#ALL],2)</f>
        <v>#N/A</v>
      </c>
      <c r="F491" s="376" t="str">
        <f>CS_PID!F491/VLOOKUP($B491,표2[#ALL],2)</f>
        <v>#N/A</v>
      </c>
      <c r="G491" s="376" t="str">
        <f>CS_PID!G491/VLOOKUP($B491,표2[#ALL],2)</f>
        <v>#N/A</v>
      </c>
      <c r="H491" s="376" t="str">
        <f>CS_PID!H491/VLOOKUP($B491,표2[#ALL],2)/HLOOKUP($A491,표1[#ALL],row(),false)</f>
        <v>#N/A</v>
      </c>
      <c r="I491" s="376" t="str">
        <f>CS_PID!I491/VLOOKUP($B491,표2[#ALL],2)/HLOOKUP($A491,표1[#ALL],row(),false)</f>
        <v>#N/A</v>
      </c>
      <c r="J491" s="376" t="str">
        <f>CS_PID!J491/VLOOKUP($B491,표2[#ALL],2)/HLOOKUP($A491,표1[#ALL],row(),false)</f>
        <v>#N/A</v>
      </c>
      <c r="K491" s="376" t="str">
        <f>CS_PID!K491/VLOOKUP($B491,표2[#ALL],2)/HLOOKUP($A491,표1[#ALL],row(),false)</f>
        <v>#N/A</v>
      </c>
      <c r="L491" s="376" t="str">
        <f>CS_PID!L491/VLOOKUP($B491,표2[#ALL],2)/HLOOKUP($A491,표1[#ALL],row(),false)</f>
        <v>#N/A</v>
      </c>
      <c r="M491" s="376" t="str">
        <f>CS_PID!M491/VLOOKUP($B491,표2[#ALL],2)/HLOOKUP($A491,표1[#ALL],row(),false)</f>
        <v>#N/A</v>
      </c>
      <c r="N491" s="376" t="str">
        <f>CS_PID!N491/VLOOKUP($B491,표2[#ALL],2)/HLOOKUP($A491,표1[#ALL],row(),false)</f>
        <v>#N/A</v>
      </c>
      <c r="O491" s="376" t="str">
        <f>CS_PID!O491/VLOOKUP($B491,표2[#ALL],2)/HLOOKUP($A491,표1[#ALL],row(),false)</f>
        <v>#N/A</v>
      </c>
      <c r="P491" s="376" t="str">
        <f>CS_PID!P491/VLOOKUP($B491,표2[#ALL],2)/HLOOKUP($A491,표1[#ALL],row(),false)</f>
        <v>#N/A</v>
      </c>
      <c r="Q491" s="376" t="str">
        <f>CS_PID!Q491/VLOOKUP($B491,표2[#ALL],2)/HLOOKUP($A491,표1[#ALL],row(),false)</f>
        <v>#N/A</v>
      </c>
      <c r="R491" s="376" t="str">
        <f>CS_PID!R491/VLOOKUP($B491,표2[#ALL],2)/HLOOKUP($A491,표1[#ALL],row(),false)</f>
        <v>#N/A</v>
      </c>
      <c r="S491" s="376" t="str">
        <f>CS_PID!S491/VLOOKUP($B491,표2[#ALL],2)/HLOOKUP($A491,표1[#ALL],row(),false)</f>
        <v>#N/A</v>
      </c>
      <c r="T491" s="376" t="str">
        <f>CS_PID!T491/VLOOKUP($B491,표2[#ALL],2)/HLOOKUP($A491,표1[#ALL],row(),false)</f>
        <v>#N/A</v>
      </c>
      <c r="U491" s="376" t="str">
        <f>CS_PID!U491/VLOOKUP($B491,표2[#ALL],2)/HLOOKUP($A491,표1[#ALL],row(),false)</f>
        <v>#N/A</v>
      </c>
      <c r="V491" s="376" t="str">
        <f>CS_PID!V491/VLOOKUP($B491,표2[#ALL],2)/HLOOKUP($A491,표1[#ALL],row(),false)</f>
        <v>#N/A</v>
      </c>
      <c r="W491" s="376" t="str">
        <f>CS_PID!W491/VLOOKUP($B491,표2[#ALL],2)/HLOOKUP($A491,표1[#ALL],row(),false)</f>
        <v>#N/A</v>
      </c>
      <c r="X491" s="376" t="str">
        <f>CS_PID!X491/VLOOKUP($B491,표2[#ALL],2)/HLOOKUP($A491,표1[#ALL],row(),false)</f>
        <v>#N/A</v>
      </c>
      <c r="Y491" s="376" t="str">
        <f>CS_PID!Y491/VLOOKUP($B491,표2[#ALL],2)/HLOOKUP($A491,표1[#ALL],row(),false)</f>
        <v>#N/A</v>
      </c>
      <c r="Z491" s="376" t="str">
        <f>CS_PID!Z491/VLOOKUP($B491,표2[#ALL],2)/HLOOKUP($A491,표1[#ALL],row(),false)</f>
        <v>#N/A</v>
      </c>
      <c r="AA491" s="376" t="str">
        <f>CS_PID!AA491/VLOOKUP($B491,표2[#ALL],2)/HLOOKUP($A491,표1[#ALL],row(),false)</f>
        <v>#N/A</v>
      </c>
      <c r="AB491" s="376" t="str">
        <f>CS_PID!AB491/VLOOKUP($B491,표2[#ALL],2)/HLOOKUP($A491,표1[#ALL],row(),false)</f>
        <v>#N/A</v>
      </c>
      <c r="AC491" s="376" t="str">
        <f>CS_PID!AC491/VLOOKUP($B491,표2[#ALL],2)/HLOOKUP($A491,표1[#ALL],row(),false)</f>
        <v>#N/A</v>
      </c>
      <c r="AD491" s="376" t="str">
        <f>CS_PID!AD491/VLOOKUP($B491,표2[#ALL],2)/HLOOKUP($A491,표1[#ALL],row(),false)</f>
        <v>#N/A</v>
      </c>
      <c r="AE491" s="376" t="str">
        <f>CS_PID!AE491/VLOOKUP($B491,표2[#ALL],2)/HLOOKUP($A491,표1[#ALL],row(),false)</f>
        <v>#N/A</v>
      </c>
      <c r="AF491" s="376" t="str">
        <f>CS_PID!AF491/VLOOKUP($B491,표2[#ALL],2)/HLOOKUP($A491,표1[#ALL],row(),false)</f>
        <v>#N/A</v>
      </c>
      <c r="AG491" s="376" t="str">
        <f>CS_PID!AG491/VLOOKUP($B491,표2[#ALL],2)/HLOOKUP($A491,표1[#ALL],row(),false)</f>
        <v>#N/A</v>
      </c>
      <c r="AH491" s="376" t="str">
        <f>CS_PID!AH491/VLOOKUP($B491,표2[#ALL],2)/HLOOKUP($A491,표1[#ALL],row(),false)</f>
        <v>#N/A</v>
      </c>
      <c r="AI491" s="376" t="str">
        <f>CS_PID!AI491/VLOOKUP($B491,표2[#ALL],2)/HLOOKUP($A491,표1[#ALL],row(),false)</f>
        <v>#N/A</v>
      </c>
      <c r="AJ491" s="376" t="str">
        <f>CS_PID!AJ491/VLOOKUP($B491,표2[#ALL],2)/HLOOKUP($A491,표1[#ALL],row(),false)</f>
        <v>#N/A</v>
      </c>
      <c r="AK491" s="376" t="str">
        <f>CS_PID!AK491/VLOOKUP($B491,표2[#ALL],2)/HLOOKUP($A491,표1[#ALL],row(),false)</f>
        <v>#N/A</v>
      </c>
      <c r="AL491" s="376" t="str">
        <f>CS_PID!AL491/VLOOKUP($B491,표2[#ALL],2)/HLOOKUP($A491,표1[#ALL],row(),false)</f>
        <v>#N/A</v>
      </c>
      <c r="AM491" s="376" t="str">
        <f>CS_PID!AM491/VLOOKUP($B491,표2[#ALL],2)/HLOOKUP($A491,표1[#ALL],row(),false)</f>
        <v>#N/A</v>
      </c>
      <c r="AN491" s="376" t="str">
        <f>CS_PID!AN491/VLOOKUP($B491,표2[#ALL],2)/HLOOKUP($A491,표1[#ALL],row(),false)</f>
        <v>#N/A</v>
      </c>
      <c r="AO491" s="376" t="str">
        <f>CS_PID!AO491/VLOOKUP($B491,표2[#ALL],2)/HLOOKUP($A491,표1[#ALL],row(),false)</f>
        <v>#N/A</v>
      </c>
      <c r="AP491" s="376" t="str">
        <f>CS_PID!AP491/VLOOKUP($B491,표2[#ALL],2)/HLOOKUP($A491,표1[#ALL],row(),false)</f>
        <v>#N/A</v>
      </c>
      <c r="AQ491" s="376" t="str">
        <f>CS_PID!AQ491/VLOOKUP($B491,표2[#ALL],2)/HLOOKUP($A491,표1[#ALL],row(),false)</f>
        <v>#N/A</v>
      </c>
      <c r="AR491" s="376" t="str">
        <f>CS_PID!AR491/VLOOKUP($B491,표2[#ALL],2)/HLOOKUP($A491,표1[#ALL],row(),false)</f>
        <v>#N/A</v>
      </c>
      <c r="AS491" s="377" t="str">
        <f>CS_PID!AS491/VLOOKUP($B491,표2[#ALL],2)/HLOOKUP($A491,표1[#ALL],row(),false)</f>
        <v>#N/A</v>
      </c>
    </row>
    <row r="492">
      <c r="A492" s="370"/>
      <c r="B492" s="371"/>
      <c r="C492" s="372" t="str">
        <f>CS_PID!C492/VLOOKUP($B492,표2[#ALL],2)</f>
        <v>#N/A</v>
      </c>
      <c r="D492" s="372" t="str">
        <f>CS_PID!D492/VLOOKUP($B492,표2[#ALL],2)</f>
        <v>#N/A</v>
      </c>
      <c r="E492" s="372" t="str">
        <f>CS_PID!E492/VLOOKUP($B492,표2[#ALL],2)</f>
        <v>#N/A</v>
      </c>
      <c r="F492" s="372" t="str">
        <f>CS_PID!F492/VLOOKUP($B492,표2[#ALL],2)</f>
        <v>#N/A</v>
      </c>
      <c r="G492" s="372" t="str">
        <f>CS_PID!G492/VLOOKUP($B492,표2[#ALL],2)</f>
        <v>#N/A</v>
      </c>
      <c r="H492" s="372" t="str">
        <f>CS_PID!H492/VLOOKUP($B492,표2[#ALL],2)/HLOOKUP($A492,표1[#ALL],row(),false)</f>
        <v>#N/A</v>
      </c>
      <c r="I492" s="372" t="str">
        <f>CS_PID!I492/VLOOKUP($B492,표2[#ALL],2)/HLOOKUP($A492,표1[#ALL],row(),false)</f>
        <v>#N/A</v>
      </c>
      <c r="J492" s="372" t="str">
        <f>CS_PID!J492/VLOOKUP($B492,표2[#ALL],2)/HLOOKUP($A492,표1[#ALL],row(),false)</f>
        <v>#N/A</v>
      </c>
      <c r="K492" s="372" t="str">
        <f>CS_PID!K492/VLOOKUP($B492,표2[#ALL],2)/HLOOKUP($A492,표1[#ALL],row(),false)</f>
        <v>#N/A</v>
      </c>
      <c r="L492" s="372" t="str">
        <f>CS_PID!L492/VLOOKUP($B492,표2[#ALL],2)/HLOOKUP($A492,표1[#ALL],row(),false)</f>
        <v>#N/A</v>
      </c>
      <c r="M492" s="372" t="str">
        <f>CS_PID!M492/VLOOKUP($B492,표2[#ALL],2)/HLOOKUP($A492,표1[#ALL],row(),false)</f>
        <v>#N/A</v>
      </c>
      <c r="N492" s="372" t="str">
        <f>CS_PID!N492/VLOOKUP($B492,표2[#ALL],2)/HLOOKUP($A492,표1[#ALL],row(),false)</f>
        <v>#N/A</v>
      </c>
      <c r="O492" s="372" t="str">
        <f>CS_PID!O492/VLOOKUP($B492,표2[#ALL],2)/HLOOKUP($A492,표1[#ALL],row(),false)</f>
        <v>#N/A</v>
      </c>
      <c r="P492" s="372" t="str">
        <f>CS_PID!P492/VLOOKUP($B492,표2[#ALL],2)/HLOOKUP($A492,표1[#ALL],row(),false)</f>
        <v>#N/A</v>
      </c>
      <c r="Q492" s="372" t="str">
        <f>CS_PID!Q492/VLOOKUP($B492,표2[#ALL],2)/HLOOKUP($A492,표1[#ALL],row(),false)</f>
        <v>#N/A</v>
      </c>
      <c r="R492" s="372" t="str">
        <f>CS_PID!R492/VLOOKUP($B492,표2[#ALL],2)/HLOOKUP($A492,표1[#ALL],row(),false)</f>
        <v>#N/A</v>
      </c>
      <c r="S492" s="372" t="str">
        <f>CS_PID!S492/VLOOKUP($B492,표2[#ALL],2)/HLOOKUP($A492,표1[#ALL],row(),false)</f>
        <v>#N/A</v>
      </c>
      <c r="T492" s="372" t="str">
        <f>CS_PID!T492/VLOOKUP($B492,표2[#ALL],2)/HLOOKUP($A492,표1[#ALL],row(),false)</f>
        <v>#N/A</v>
      </c>
      <c r="U492" s="372" t="str">
        <f>CS_PID!U492/VLOOKUP($B492,표2[#ALL],2)/HLOOKUP($A492,표1[#ALL],row(),false)</f>
        <v>#N/A</v>
      </c>
      <c r="V492" s="372" t="str">
        <f>CS_PID!V492/VLOOKUP($B492,표2[#ALL],2)/HLOOKUP($A492,표1[#ALL],row(),false)</f>
        <v>#N/A</v>
      </c>
      <c r="W492" s="372" t="str">
        <f>CS_PID!W492/VLOOKUP($B492,표2[#ALL],2)/HLOOKUP($A492,표1[#ALL],row(),false)</f>
        <v>#N/A</v>
      </c>
      <c r="X492" s="372" t="str">
        <f>CS_PID!X492/VLOOKUP($B492,표2[#ALL],2)/HLOOKUP($A492,표1[#ALL],row(),false)</f>
        <v>#N/A</v>
      </c>
      <c r="Y492" s="372" t="str">
        <f>CS_PID!Y492/VLOOKUP($B492,표2[#ALL],2)/HLOOKUP($A492,표1[#ALL],row(),false)</f>
        <v>#N/A</v>
      </c>
      <c r="Z492" s="372" t="str">
        <f>CS_PID!Z492/VLOOKUP($B492,표2[#ALL],2)/HLOOKUP($A492,표1[#ALL],row(),false)</f>
        <v>#N/A</v>
      </c>
      <c r="AA492" s="372" t="str">
        <f>CS_PID!AA492/VLOOKUP($B492,표2[#ALL],2)/HLOOKUP($A492,표1[#ALL],row(),false)</f>
        <v>#N/A</v>
      </c>
      <c r="AB492" s="372" t="str">
        <f>CS_PID!AB492/VLOOKUP($B492,표2[#ALL],2)/HLOOKUP($A492,표1[#ALL],row(),false)</f>
        <v>#N/A</v>
      </c>
      <c r="AC492" s="372" t="str">
        <f>CS_PID!AC492/VLOOKUP($B492,표2[#ALL],2)/HLOOKUP($A492,표1[#ALL],row(),false)</f>
        <v>#N/A</v>
      </c>
      <c r="AD492" s="372" t="str">
        <f>CS_PID!AD492/VLOOKUP($B492,표2[#ALL],2)/HLOOKUP($A492,표1[#ALL],row(),false)</f>
        <v>#N/A</v>
      </c>
      <c r="AE492" s="372" t="str">
        <f>CS_PID!AE492/VLOOKUP($B492,표2[#ALL],2)/HLOOKUP($A492,표1[#ALL],row(),false)</f>
        <v>#N/A</v>
      </c>
      <c r="AF492" s="372" t="str">
        <f>CS_PID!AF492/VLOOKUP($B492,표2[#ALL],2)/HLOOKUP($A492,표1[#ALL],row(),false)</f>
        <v>#N/A</v>
      </c>
      <c r="AG492" s="372" t="str">
        <f>CS_PID!AG492/VLOOKUP($B492,표2[#ALL],2)/HLOOKUP($A492,표1[#ALL],row(),false)</f>
        <v>#N/A</v>
      </c>
      <c r="AH492" s="372" t="str">
        <f>CS_PID!AH492/VLOOKUP($B492,표2[#ALL],2)/HLOOKUP($A492,표1[#ALL],row(),false)</f>
        <v>#N/A</v>
      </c>
      <c r="AI492" s="372" t="str">
        <f>CS_PID!AI492/VLOOKUP($B492,표2[#ALL],2)/HLOOKUP($A492,표1[#ALL],row(),false)</f>
        <v>#N/A</v>
      </c>
      <c r="AJ492" s="372" t="str">
        <f>CS_PID!AJ492/VLOOKUP($B492,표2[#ALL],2)/HLOOKUP($A492,표1[#ALL],row(),false)</f>
        <v>#N/A</v>
      </c>
      <c r="AK492" s="372" t="str">
        <f>CS_PID!AK492/VLOOKUP($B492,표2[#ALL],2)/HLOOKUP($A492,표1[#ALL],row(),false)</f>
        <v>#N/A</v>
      </c>
      <c r="AL492" s="372" t="str">
        <f>CS_PID!AL492/VLOOKUP($B492,표2[#ALL],2)/HLOOKUP($A492,표1[#ALL],row(),false)</f>
        <v>#N/A</v>
      </c>
      <c r="AM492" s="372" t="str">
        <f>CS_PID!AM492/VLOOKUP($B492,표2[#ALL],2)/HLOOKUP($A492,표1[#ALL],row(),false)</f>
        <v>#N/A</v>
      </c>
      <c r="AN492" s="372" t="str">
        <f>CS_PID!AN492/VLOOKUP($B492,표2[#ALL],2)/HLOOKUP($A492,표1[#ALL],row(),false)</f>
        <v>#N/A</v>
      </c>
      <c r="AO492" s="372" t="str">
        <f>CS_PID!AO492/VLOOKUP($B492,표2[#ALL],2)/HLOOKUP($A492,표1[#ALL],row(),false)</f>
        <v>#N/A</v>
      </c>
      <c r="AP492" s="372" t="str">
        <f>CS_PID!AP492/VLOOKUP($B492,표2[#ALL],2)/HLOOKUP($A492,표1[#ALL],row(),false)</f>
        <v>#N/A</v>
      </c>
      <c r="AQ492" s="372" t="str">
        <f>CS_PID!AQ492/VLOOKUP($B492,표2[#ALL],2)/HLOOKUP($A492,표1[#ALL],row(),false)</f>
        <v>#N/A</v>
      </c>
      <c r="AR492" s="372" t="str">
        <f>CS_PID!AR492/VLOOKUP($B492,표2[#ALL],2)/HLOOKUP($A492,표1[#ALL],row(),false)</f>
        <v>#N/A</v>
      </c>
      <c r="AS492" s="373" t="str">
        <f>CS_PID!AS492/VLOOKUP($B492,표2[#ALL],2)/HLOOKUP($A492,표1[#ALL],row(),false)</f>
        <v>#N/A</v>
      </c>
    </row>
    <row r="493">
      <c r="A493" s="374"/>
      <c r="B493" s="375"/>
      <c r="C493" s="376" t="str">
        <f>CS_PID!C493/VLOOKUP($B493,표2[#ALL],2)</f>
        <v>#N/A</v>
      </c>
      <c r="D493" s="376" t="str">
        <f>CS_PID!D493/VLOOKUP($B493,표2[#ALL],2)</f>
        <v>#N/A</v>
      </c>
      <c r="E493" s="376" t="str">
        <f>CS_PID!E493/VLOOKUP($B493,표2[#ALL],2)</f>
        <v>#N/A</v>
      </c>
      <c r="F493" s="376" t="str">
        <f>CS_PID!F493/VLOOKUP($B493,표2[#ALL],2)</f>
        <v>#N/A</v>
      </c>
      <c r="G493" s="376" t="str">
        <f>CS_PID!G493/VLOOKUP($B493,표2[#ALL],2)</f>
        <v>#N/A</v>
      </c>
      <c r="H493" s="376" t="str">
        <f>CS_PID!H493/VLOOKUP($B493,표2[#ALL],2)/HLOOKUP($A493,표1[#ALL],row(),false)</f>
        <v>#N/A</v>
      </c>
      <c r="I493" s="376" t="str">
        <f>CS_PID!I493/VLOOKUP($B493,표2[#ALL],2)/HLOOKUP($A493,표1[#ALL],row(),false)</f>
        <v>#N/A</v>
      </c>
      <c r="J493" s="376" t="str">
        <f>CS_PID!J493/VLOOKUP($B493,표2[#ALL],2)/HLOOKUP($A493,표1[#ALL],row(),false)</f>
        <v>#N/A</v>
      </c>
      <c r="K493" s="376" t="str">
        <f>CS_PID!K493/VLOOKUP($B493,표2[#ALL],2)/HLOOKUP($A493,표1[#ALL],row(),false)</f>
        <v>#N/A</v>
      </c>
      <c r="L493" s="376" t="str">
        <f>CS_PID!L493/VLOOKUP($B493,표2[#ALL],2)/HLOOKUP($A493,표1[#ALL],row(),false)</f>
        <v>#N/A</v>
      </c>
      <c r="M493" s="376" t="str">
        <f>CS_PID!M493/VLOOKUP($B493,표2[#ALL],2)/HLOOKUP($A493,표1[#ALL],row(),false)</f>
        <v>#N/A</v>
      </c>
      <c r="N493" s="376" t="str">
        <f>CS_PID!N493/VLOOKUP($B493,표2[#ALL],2)/HLOOKUP($A493,표1[#ALL],row(),false)</f>
        <v>#N/A</v>
      </c>
      <c r="O493" s="376" t="str">
        <f>CS_PID!O493/VLOOKUP($B493,표2[#ALL],2)/HLOOKUP($A493,표1[#ALL],row(),false)</f>
        <v>#N/A</v>
      </c>
      <c r="P493" s="376" t="str">
        <f>CS_PID!P493/VLOOKUP($B493,표2[#ALL],2)/HLOOKUP($A493,표1[#ALL],row(),false)</f>
        <v>#N/A</v>
      </c>
      <c r="Q493" s="376" t="str">
        <f>CS_PID!Q493/VLOOKUP($B493,표2[#ALL],2)/HLOOKUP($A493,표1[#ALL],row(),false)</f>
        <v>#N/A</v>
      </c>
      <c r="R493" s="376" t="str">
        <f>CS_PID!R493/VLOOKUP($B493,표2[#ALL],2)/HLOOKUP($A493,표1[#ALL],row(),false)</f>
        <v>#N/A</v>
      </c>
      <c r="S493" s="376" t="str">
        <f>CS_PID!S493/VLOOKUP($B493,표2[#ALL],2)/HLOOKUP($A493,표1[#ALL],row(),false)</f>
        <v>#N/A</v>
      </c>
      <c r="T493" s="376" t="str">
        <f>CS_PID!T493/VLOOKUP($B493,표2[#ALL],2)/HLOOKUP($A493,표1[#ALL],row(),false)</f>
        <v>#N/A</v>
      </c>
      <c r="U493" s="376" t="str">
        <f>CS_PID!U493/VLOOKUP($B493,표2[#ALL],2)/HLOOKUP($A493,표1[#ALL],row(),false)</f>
        <v>#N/A</v>
      </c>
      <c r="V493" s="376" t="str">
        <f>CS_PID!V493/VLOOKUP($B493,표2[#ALL],2)/HLOOKUP($A493,표1[#ALL],row(),false)</f>
        <v>#N/A</v>
      </c>
      <c r="W493" s="376" t="str">
        <f>CS_PID!W493/VLOOKUP($B493,표2[#ALL],2)/HLOOKUP($A493,표1[#ALL],row(),false)</f>
        <v>#N/A</v>
      </c>
      <c r="X493" s="376" t="str">
        <f>CS_PID!X493/VLOOKUP($B493,표2[#ALL],2)/HLOOKUP($A493,표1[#ALL],row(),false)</f>
        <v>#N/A</v>
      </c>
      <c r="Y493" s="376" t="str">
        <f>CS_PID!Y493/VLOOKUP($B493,표2[#ALL],2)/HLOOKUP($A493,표1[#ALL],row(),false)</f>
        <v>#N/A</v>
      </c>
      <c r="Z493" s="376" t="str">
        <f>CS_PID!Z493/VLOOKUP($B493,표2[#ALL],2)/HLOOKUP($A493,표1[#ALL],row(),false)</f>
        <v>#N/A</v>
      </c>
      <c r="AA493" s="376" t="str">
        <f>CS_PID!AA493/VLOOKUP($B493,표2[#ALL],2)/HLOOKUP($A493,표1[#ALL],row(),false)</f>
        <v>#N/A</v>
      </c>
      <c r="AB493" s="376" t="str">
        <f>CS_PID!AB493/VLOOKUP($B493,표2[#ALL],2)/HLOOKUP($A493,표1[#ALL],row(),false)</f>
        <v>#N/A</v>
      </c>
      <c r="AC493" s="376" t="str">
        <f>CS_PID!AC493/VLOOKUP($B493,표2[#ALL],2)/HLOOKUP($A493,표1[#ALL],row(),false)</f>
        <v>#N/A</v>
      </c>
      <c r="AD493" s="376" t="str">
        <f>CS_PID!AD493/VLOOKUP($B493,표2[#ALL],2)/HLOOKUP($A493,표1[#ALL],row(),false)</f>
        <v>#N/A</v>
      </c>
      <c r="AE493" s="376" t="str">
        <f>CS_PID!AE493/VLOOKUP($B493,표2[#ALL],2)/HLOOKUP($A493,표1[#ALL],row(),false)</f>
        <v>#N/A</v>
      </c>
      <c r="AF493" s="376" t="str">
        <f>CS_PID!AF493/VLOOKUP($B493,표2[#ALL],2)/HLOOKUP($A493,표1[#ALL],row(),false)</f>
        <v>#N/A</v>
      </c>
      <c r="AG493" s="376" t="str">
        <f>CS_PID!AG493/VLOOKUP($B493,표2[#ALL],2)/HLOOKUP($A493,표1[#ALL],row(),false)</f>
        <v>#N/A</v>
      </c>
      <c r="AH493" s="376" t="str">
        <f>CS_PID!AH493/VLOOKUP($B493,표2[#ALL],2)/HLOOKUP($A493,표1[#ALL],row(),false)</f>
        <v>#N/A</v>
      </c>
      <c r="AI493" s="376" t="str">
        <f>CS_PID!AI493/VLOOKUP($B493,표2[#ALL],2)/HLOOKUP($A493,표1[#ALL],row(),false)</f>
        <v>#N/A</v>
      </c>
      <c r="AJ493" s="376" t="str">
        <f>CS_PID!AJ493/VLOOKUP($B493,표2[#ALL],2)/HLOOKUP($A493,표1[#ALL],row(),false)</f>
        <v>#N/A</v>
      </c>
      <c r="AK493" s="376" t="str">
        <f>CS_PID!AK493/VLOOKUP($B493,표2[#ALL],2)/HLOOKUP($A493,표1[#ALL],row(),false)</f>
        <v>#N/A</v>
      </c>
      <c r="AL493" s="376" t="str">
        <f>CS_PID!AL493/VLOOKUP($B493,표2[#ALL],2)/HLOOKUP($A493,표1[#ALL],row(),false)</f>
        <v>#N/A</v>
      </c>
      <c r="AM493" s="376" t="str">
        <f>CS_PID!AM493/VLOOKUP($B493,표2[#ALL],2)/HLOOKUP($A493,표1[#ALL],row(),false)</f>
        <v>#N/A</v>
      </c>
      <c r="AN493" s="376" t="str">
        <f>CS_PID!AN493/VLOOKUP($B493,표2[#ALL],2)/HLOOKUP($A493,표1[#ALL],row(),false)</f>
        <v>#N/A</v>
      </c>
      <c r="AO493" s="376" t="str">
        <f>CS_PID!AO493/VLOOKUP($B493,표2[#ALL],2)/HLOOKUP($A493,표1[#ALL],row(),false)</f>
        <v>#N/A</v>
      </c>
      <c r="AP493" s="376" t="str">
        <f>CS_PID!AP493/VLOOKUP($B493,표2[#ALL],2)/HLOOKUP($A493,표1[#ALL],row(),false)</f>
        <v>#N/A</v>
      </c>
      <c r="AQ493" s="376" t="str">
        <f>CS_PID!AQ493/VLOOKUP($B493,표2[#ALL],2)/HLOOKUP($A493,표1[#ALL],row(),false)</f>
        <v>#N/A</v>
      </c>
      <c r="AR493" s="376" t="str">
        <f>CS_PID!AR493/VLOOKUP($B493,표2[#ALL],2)/HLOOKUP($A493,표1[#ALL],row(),false)</f>
        <v>#N/A</v>
      </c>
      <c r="AS493" s="377" t="str">
        <f>CS_PID!AS493/VLOOKUP($B493,표2[#ALL],2)/HLOOKUP($A493,표1[#ALL],row(),false)</f>
        <v>#N/A</v>
      </c>
    </row>
    <row r="494">
      <c r="A494" s="370"/>
      <c r="B494" s="371"/>
      <c r="C494" s="372" t="str">
        <f>CS_PID!C494/VLOOKUP($B494,표2[#ALL],2)</f>
        <v>#N/A</v>
      </c>
      <c r="D494" s="372" t="str">
        <f>CS_PID!D494/VLOOKUP($B494,표2[#ALL],2)</f>
        <v>#N/A</v>
      </c>
      <c r="E494" s="372" t="str">
        <f>CS_PID!E494/VLOOKUP($B494,표2[#ALL],2)</f>
        <v>#N/A</v>
      </c>
      <c r="F494" s="372" t="str">
        <f>CS_PID!F494/VLOOKUP($B494,표2[#ALL],2)</f>
        <v>#N/A</v>
      </c>
      <c r="G494" s="372" t="str">
        <f>CS_PID!G494/VLOOKUP($B494,표2[#ALL],2)</f>
        <v>#N/A</v>
      </c>
      <c r="H494" s="372" t="str">
        <f>CS_PID!H494/VLOOKUP($B494,표2[#ALL],2)/HLOOKUP($A494,표1[#ALL],row(),false)</f>
        <v>#N/A</v>
      </c>
      <c r="I494" s="372" t="str">
        <f>CS_PID!I494/VLOOKUP($B494,표2[#ALL],2)/HLOOKUP($A494,표1[#ALL],row(),false)</f>
        <v>#N/A</v>
      </c>
      <c r="J494" s="372" t="str">
        <f>CS_PID!J494/VLOOKUP($B494,표2[#ALL],2)/HLOOKUP($A494,표1[#ALL],row(),false)</f>
        <v>#N/A</v>
      </c>
      <c r="K494" s="372" t="str">
        <f>CS_PID!K494/VLOOKUP($B494,표2[#ALL],2)/HLOOKUP($A494,표1[#ALL],row(),false)</f>
        <v>#N/A</v>
      </c>
      <c r="L494" s="372" t="str">
        <f>CS_PID!L494/VLOOKUP($B494,표2[#ALL],2)/HLOOKUP($A494,표1[#ALL],row(),false)</f>
        <v>#N/A</v>
      </c>
      <c r="M494" s="372" t="str">
        <f>CS_PID!M494/VLOOKUP($B494,표2[#ALL],2)/HLOOKUP($A494,표1[#ALL],row(),false)</f>
        <v>#N/A</v>
      </c>
      <c r="N494" s="372" t="str">
        <f>CS_PID!N494/VLOOKUP($B494,표2[#ALL],2)/HLOOKUP($A494,표1[#ALL],row(),false)</f>
        <v>#N/A</v>
      </c>
      <c r="O494" s="372" t="str">
        <f>CS_PID!O494/VLOOKUP($B494,표2[#ALL],2)/HLOOKUP($A494,표1[#ALL],row(),false)</f>
        <v>#N/A</v>
      </c>
      <c r="P494" s="372" t="str">
        <f>CS_PID!P494/VLOOKUP($B494,표2[#ALL],2)/HLOOKUP($A494,표1[#ALL],row(),false)</f>
        <v>#N/A</v>
      </c>
      <c r="Q494" s="372" t="str">
        <f>CS_PID!Q494/VLOOKUP($B494,표2[#ALL],2)/HLOOKUP($A494,표1[#ALL],row(),false)</f>
        <v>#N/A</v>
      </c>
      <c r="R494" s="372" t="str">
        <f>CS_PID!R494/VLOOKUP($B494,표2[#ALL],2)/HLOOKUP($A494,표1[#ALL],row(),false)</f>
        <v>#N/A</v>
      </c>
      <c r="S494" s="372" t="str">
        <f>CS_PID!S494/VLOOKUP($B494,표2[#ALL],2)/HLOOKUP($A494,표1[#ALL],row(),false)</f>
        <v>#N/A</v>
      </c>
      <c r="T494" s="372" t="str">
        <f>CS_PID!T494/VLOOKUP($B494,표2[#ALL],2)/HLOOKUP($A494,표1[#ALL],row(),false)</f>
        <v>#N/A</v>
      </c>
      <c r="U494" s="372" t="str">
        <f>CS_PID!U494/VLOOKUP($B494,표2[#ALL],2)/HLOOKUP($A494,표1[#ALL],row(),false)</f>
        <v>#N/A</v>
      </c>
      <c r="V494" s="372" t="str">
        <f>CS_PID!V494/VLOOKUP($B494,표2[#ALL],2)/HLOOKUP($A494,표1[#ALL],row(),false)</f>
        <v>#N/A</v>
      </c>
      <c r="W494" s="372" t="str">
        <f>CS_PID!W494/VLOOKUP($B494,표2[#ALL],2)/HLOOKUP($A494,표1[#ALL],row(),false)</f>
        <v>#N/A</v>
      </c>
      <c r="X494" s="372" t="str">
        <f>CS_PID!X494/VLOOKUP($B494,표2[#ALL],2)/HLOOKUP($A494,표1[#ALL],row(),false)</f>
        <v>#N/A</v>
      </c>
      <c r="Y494" s="372" t="str">
        <f>CS_PID!Y494/VLOOKUP($B494,표2[#ALL],2)/HLOOKUP($A494,표1[#ALL],row(),false)</f>
        <v>#N/A</v>
      </c>
      <c r="Z494" s="372" t="str">
        <f>CS_PID!Z494/VLOOKUP($B494,표2[#ALL],2)/HLOOKUP($A494,표1[#ALL],row(),false)</f>
        <v>#N/A</v>
      </c>
      <c r="AA494" s="372" t="str">
        <f>CS_PID!AA494/VLOOKUP($B494,표2[#ALL],2)/HLOOKUP($A494,표1[#ALL],row(),false)</f>
        <v>#N/A</v>
      </c>
      <c r="AB494" s="372" t="str">
        <f>CS_PID!AB494/VLOOKUP($B494,표2[#ALL],2)/HLOOKUP($A494,표1[#ALL],row(),false)</f>
        <v>#N/A</v>
      </c>
      <c r="AC494" s="372" t="str">
        <f>CS_PID!AC494/VLOOKUP($B494,표2[#ALL],2)/HLOOKUP($A494,표1[#ALL],row(),false)</f>
        <v>#N/A</v>
      </c>
      <c r="AD494" s="372" t="str">
        <f>CS_PID!AD494/VLOOKUP($B494,표2[#ALL],2)/HLOOKUP($A494,표1[#ALL],row(),false)</f>
        <v>#N/A</v>
      </c>
      <c r="AE494" s="372" t="str">
        <f>CS_PID!AE494/VLOOKUP($B494,표2[#ALL],2)/HLOOKUP($A494,표1[#ALL],row(),false)</f>
        <v>#N/A</v>
      </c>
      <c r="AF494" s="372" t="str">
        <f>CS_PID!AF494/VLOOKUP($B494,표2[#ALL],2)/HLOOKUP($A494,표1[#ALL],row(),false)</f>
        <v>#N/A</v>
      </c>
      <c r="AG494" s="372" t="str">
        <f>CS_PID!AG494/VLOOKUP($B494,표2[#ALL],2)/HLOOKUP($A494,표1[#ALL],row(),false)</f>
        <v>#N/A</v>
      </c>
      <c r="AH494" s="372" t="str">
        <f>CS_PID!AH494/VLOOKUP($B494,표2[#ALL],2)/HLOOKUP($A494,표1[#ALL],row(),false)</f>
        <v>#N/A</v>
      </c>
      <c r="AI494" s="372" t="str">
        <f>CS_PID!AI494/VLOOKUP($B494,표2[#ALL],2)/HLOOKUP($A494,표1[#ALL],row(),false)</f>
        <v>#N/A</v>
      </c>
      <c r="AJ494" s="372" t="str">
        <f>CS_PID!AJ494/VLOOKUP($B494,표2[#ALL],2)/HLOOKUP($A494,표1[#ALL],row(),false)</f>
        <v>#N/A</v>
      </c>
      <c r="AK494" s="372" t="str">
        <f>CS_PID!AK494/VLOOKUP($B494,표2[#ALL],2)/HLOOKUP($A494,표1[#ALL],row(),false)</f>
        <v>#N/A</v>
      </c>
      <c r="AL494" s="372" t="str">
        <f>CS_PID!AL494/VLOOKUP($B494,표2[#ALL],2)/HLOOKUP($A494,표1[#ALL],row(),false)</f>
        <v>#N/A</v>
      </c>
      <c r="AM494" s="372" t="str">
        <f>CS_PID!AM494/VLOOKUP($B494,표2[#ALL],2)/HLOOKUP($A494,표1[#ALL],row(),false)</f>
        <v>#N/A</v>
      </c>
      <c r="AN494" s="372" t="str">
        <f>CS_PID!AN494/VLOOKUP($B494,표2[#ALL],2)/HLOOKUP($A494,표1[#ALL],row(),false)</f>
        <v>#N/A</v>
      </c>
      <c r="AO494" s="372" t="str">
        <f>CS_PID!AO494/VLOOKUP($B494,표2[#ALL],2)/HLOOKUP($A494,표1[#ALL],row(),false)</f>
        <v>#N/A</v>
      </c>
      <c r="AP494" s="372" t="str">
        <f>CS_PID!AP494/VLOOKUP($B494,표2[#ALL],2)/HLOOKUP($A494,표1[#ALL],row(),false)</f>
        <v>#N/A</v>
      </c>
      <c r="AQ494" s="372" t="str">
        <f>CS_PID!AQ494/VLOOKUP($B494,표2[#ALL],2)/HLOOKUP($A494,표1[#ALL],row(),false)</f>
        <v>#N/A</v>
      </c>
      <c r="AR494" s="372" t="str">
        <f>CS_PID!AR494/VLOOKUP($B494,표2[#ALL],2)/HLOOKUP($A494,표1[#ALL],row(),false)</f>
        <v>#N/A</v>
      </c>
      <c r="AS494" s="373" t="str">
        <f>CS_PID!AS494/VLOOKUP($B494,표2[#ALL],2)/HLOOKUP($A494,표1[#ALL],row(),false)</f>
        <v>#N/A</v>
      </c>
    </row>
    <row r="495">
      <c r="A495" s="374"/>
      <c r="B495" s="375"/>
      <c r="C495" s="376" t="str">
        <f>CS_PID!C495/VLOOKUP($B495,표2[#ALL],2)</f>
        <v>#N/A</v>
      </c>
      <c r="D495" s="376" t="str">
        <f>CS_PID!D495/VLOOKUP($B495,표2[#ALL],2)</f>
        <v>#N/A</v>
      </c>
      <c r="E495" s="376" t="str">
        <f>CS_PID!E495/VLOOKUP($B495,표2[#ALL],2)</f>
        <v>#N/A</v>
      </c>
      <c r="F495" s="376" t="str">
        <f>CS_PID!F495/VLOOKUP($B495,표2[#ALL],2)</f>
        <v>#N/A</v>
      </c>
      <c r="G495" s="376" t="str">
        <f>CS_PID!G495/VLOOKUP($B495,표2[#ALL],2)</f>
        <v>#N/A</v>
      </c>
      <c r="H495" s="376" t="str">
        <f>CS_PID!H495/VLOOKUP($B495,표2[#ALL],2)/HLOOKUP($A495,표1[#ALL],row(),false)</f>
        <v>#N/A</v>
      </c>
      <c r="I495" s="376" t="str">
        <f>CS_PID!I495/VLOOKUP($B495,표2[#ALL],2)/HLOOKUP($A495,표1[#ALL],row(),false)</f>
        <v>#N/A</v>
      </c>
      <c r="J495" s="376" t="str">
        <f>CS_PID!J495/VLOOKUP($B495,표2[#ALL],2)/HLOOKUP($A495,표1[#ALL],row(),false)</f>
        <v>#N/A</v>
      </c>
      <c r="K495" s="376" t="str">
        <f>CS_PID!K495/VLOOKUP($B495,표2[#ALL],2)/HLOOKUP($A495,표1[#ALL],row(),false)</f>
        <v>#N/A</v>
      </c>
      <c r="L495" s="376" t="str">
        <f>CS_PID!L495/VLOOKUP($B495,표2[#ALL],2)/HLOOKUP($A495,표1[#ALL],row(),false)</f>
        <v>#N/A</v>
      </c>
      <c r="M495" s="376" t="str">
        <f>CS_PID!M495/VLOOKUP($B495,표2[#ALL],2)/HLOOKUP($A495,표1[#ALL],row(),false)</f>
        <v>#N/A</v>
      </c>
      <c r="N495" s="376" t="str">
        <f>CS_PID!N495/VLOOKUP($B495,표2[#ALL],2)/HLOOKUP($A495,표1[#ALL],row(),false)</f>
        <v>#N/A</v>
      </c>
      <c r="O495" s="376" t="str">
        <f>CS_PID!O495/VLOOKUP($B495,표2[#ALL],2)/HLOOKUP($A495,표1[#ALL],row(),false)</f>
        <v>#N/A</v>
      </c>
      <c r="P495" s="376" t="str">
        <f>CS_PID!P495/VLOOKUP($B495,표2[#ALL],2)/HLOOKUP($A495,표1[#ALL],row(),false)</f>
        <v>#N/A</v>
      </c>
      <c r="Q495" s="376" t="str">
        <f>CS_PID!Q495/VLOOKUP($B495,표2[#ALL],2)/HLOOKUP($A495,표1[#ALL],row(),false)</f>
        <v>#N/A</v>
      </c>
      <c r="R495" s="376" t="str">
        <f>CS_PID!R495/VLOOKUP($B495,표2[#ALL],2)/HLOOKUP($A495,표1[#ALL],row(),false)</f>
        <v>#N/A</v>
      </c>
      <c r="S495" s="376" t="str">
        <f>CS_PID!S495/VLOOKUP($B495,표2[#ALL],2)/HLOOKUP($A495,표1[#ALL],row(),false)</f>
        <v>#N/A</v>
      </c>
      <c r="T495" s="376" t="str">
        <f>CS_PID!T495/VLOOKUP($B495,표2[#ALL],2)/HLOOKUP($A495,표1[#ALL],row(),false)</f>
        <v>#N/A</v>
      </c>
      <c r="U495" s="376" t="str">
        <f>CS_PID!U495/VLOOKUP($B495,표2[#ALL],2)/HLOOKUP($A495,표1[#ALL],row(),false)</f>
        <v>#N/A</v>
      </c>
      <c r="V495" s="376" t="str">
        <f>CS_PID!V495/VLOOKUP($B495,표2[#ALL],2)/HLOOKUP($A495,표1[#ALL],row(),false)</f>
        <v>#N/A</v>
      </c>
      <c r="W495" s="376" t="str">
        <f>CS_PID!W495/VLOOKUP($B495,표2[#ALL],2)/HLOOKUP($A495,표1[#ALL],row(),false)</f>
        <v>#N/A</v>
      </c>
      <c r="X495" s="376" t="str">
        <f>CS_PID!X495/VLOOKUP($B495,표2[#ALL],2)/HLOOKUP($A495,표1[#ALL],row(),false)</f>
        <v>#N/A</v>
      </c>
      <c r="Y495" s="376" t="str">
        <f>CS_PID!Y495/VLOOKUP($B495,표2[#ALL],2)/HLOOKUP($A495,표1[#ALL],row(),false)</f>
        <v>#N/A</v>
      </c>
      <c r="Z495" s="376" t="str">
        <f>CS_PID!Z495/VLOOKUP($B495,표2[#ALL],2)/HLOOKUP($A495,표1[#ALL],row(),false)</f>
        <v>#N/A</v>
      </c>
      <c r="AA495" s="376" t="str">
        <f>CS_PID!AA495/VLOOKUP($B495,표2[#ALL],2)/HLOOKUP($A495,표1[#ALL],row(),false)</f>
        <v>#N/A</v>
      </c>
      <c r="AB495" s="376" t="str">
        <f>CS_PID!AB495/VLOOKUP($B495,표2[#ALL],2)/HLOOKUP($A495,표1[#ALL],row(),false)</f>
        <v>#N/A</v>
      </c>
      <c r="AC495" s="376" t="str">
        <f>CS_PID!AC495/VLOOKUP($B495,표2[#ALL],2)/HLOOKUP($A495,표1[#ALL],row(),false)</f>
        <v>#N/A</v>
      </c>
      <c r="AD495" s="376" t="str">
        <f>CS_PID!AD495/VLOOKUP($B495,표2[#ALL],2)/HLOOKUP($A495,표1[#ALL],row(),false)</f>
        <v>#N/A</v>
      </c>
      <c r="AE495" s="376" t="str">
        <f>CS_PID!AE495/VLOOKUP($B495,표2[#ALL],2)/HLOOKUP($A495,표1[#ALL],row(),false)</f>
        <v>#N/A</v>
      </c>
      <c r="AF495" s="376" t="str">
        <f>CS_PID!AF495/VLOOKUP($B495,표2[#ALL],2)/HLOOKUP($A495,표1[#ALL],row(),false)</f>
        <v>#N/A</v>
      </c>
      <c r="AG495" s="376" t="str">
        <f>CS_PID!AG495/VLOOKUP($B495,표2[#ALL],2)/HLOOKUP($A495,표1[#ALL],row(),false)</f>
        <v>#N/A</v>
      </c>
      <c r="AH495" s="376" t="str">
        <f>CS_PID!AH495/VLOOKUP($B495,표2[#ALL],2)/HLOOKUP($A495,표1[#ALL],row(),false)</f>
        <v>#N/A</v>
      </c>
      <c r="AI495" s="376" t="str">
        <f>CS_PID!AI495/VLOOKUP($B495,표2[#ALL],2)/HLOOKUP($A495,표1[#ALL],row(),false)</f>
        <v>#N/A</v>
      </c>
      <c r="AJ495" s="376" t="str">
        <f>CS_PID!AJ495/VLOOKUP($B495,표2[#ALL],2)/HLOOKUP($A495,표1[#ALL],row(),false)</f>
        <v>#N/A</v>
      </c>
      <c r="AK495" s="376" t="str">
        <f>CS_PID!AK495/VLOOKUP($B495,표2[#ALL],2)/HLOOKUP($A495,표1[#ALL],row(),false)</f>
        <v>#N/A</v>
      </c>
      <c r="AL495" s="376" t="str">
        <f>CS_PID!AL495/VLOOKUP($B495,표2[#ALL],2)/HLOOKUP($A495,표1[#ALL],row(),false)</f>
        <v>#N/A</v>
      </c>
      <c r="AM495" s="376" t="str">
        <f>CS_PID!AM495/VLOOKUP($B495,표2[#ALL],2)/HLOOKUP($A495,표1[#ALL],row(),false)</f>
        <v>#N/A</v>
      </c>
      <c r="AN495" s="376" t="str">
        <f>CS_PID!AN495/VLOOKUP($B495,표2[#ALL],2)/HLOOKUP($A495,표1[#ALL],row(),false)</f>
        <v>#N/A</v>
      </c>
      <c r="AO495" s="376" t="str">
        <f>CS_PID!AO495/VLOOKUP($B495,표2[#ALL],2)/HLOOKUP($A495,표1[#ALL],row(),false)</f>
        <v>#N/A</v>
      </c>
      <c r="AP495" s="376" t="str">
        <f>CS_PID!AP495/VLOOKUP($B495,표2[#ALL],2)/HLOOKUP($A495,표1[#ALL],row(),false)</f>
        <v>#N/A</v>
      </c>
      <c r="AQ495" s="376" t="str">
        <f>CS_PID!AQ495/VLOOKUP($B495,표2[#ALL],2)/HLOOKUP($A495,표1[#ALL],row(),false)</f>
        <v>#N/A</v>
      </c>
      <c r="AR495" s="376" t="str">
        <f>CS_PID!AR495/VLOOKUP($B495,표2[#ALL],2)/HLOOKUP($A495,표1[#ALL],row(),false)</f>
        <v>#N/A</v>
      </c>
      <c r="AS495" s="377" t="str">
        <f>CS_PID!AS495/VLOOKUP($B495,표2[#ALL],2)/HLOOKUP($A495,표1[#ALL],row(),false)</f>
        <v>#N/A</v>
      </c>
    </row>
    <row r="496">
      <c r="A496" s="370"/>
      <c r="B496" s="371"/>
      <c r="C496" s="372" t="str">
        <f>CS_PID!C496/VLOOKUP($B496,표2[#ALL],2)</f>
        <v>#N/A</v>
      </c>
      <c r="D496" s="372" t="str">
        <f>CS_PID!D496/VLOOKUP($B496,표2[#ALL],2)</f>
        <v>#N/A</v>
      </c>
      <c r="E496" s="372" t="str">
        <f>CS_PID!E496/VLOOKUP($B496,표2[#ALL],2)</f>
        <v>#N/A</v>
      </c>
      <c r="F496" s="372" t="str">
        <f>CS_PID!F496/VLOOKUP($B496,표2[#ALL],2)</f>
        <v>#N/A</v>
      </c>
      <c r="G496" s="372" t="str">
        <f>CS_PID!G496/VLOOKUP($B496,표2[#ALL],2)</f>
        <v>#N/A</v>
      </c>
      <c r="H496" s="372" t="str">
        <f>CS_PID!H496/VLOOKUP($B496,표2[#ALL],2)/HLOOKUP($A496,표1[#ALL],row(),false)</f>
        <v>#N/A</v>
      </c>
      <c r="I496" s="372" t="str">
        <f>CS_PID!I496/VLOOKUP($B496,표2[#ALL],2)/HLOOKUP($A496,표1[#ALL],row(),false)</f>
        <v>#N/A</v>
      </c>
      <c r="J496" s="372" t="str">
        <f>CS_PID!J496/VLOOKUP($B496,표2[#ALL],2)/HLOOKUP($A496,표1[#ALL],row(),false)</f>
        <v>#N/A</v>
      </c>
      <c r="K496" s="372" t="str">
        <f>CS_PID!K496/VLOOKUP($B496,표2[#ALL],2)/HLOOKUP($A496,표1[#ALL],row(),false)</f>
        <v>#N/A</v>
      </c>
      <c r="L496" s="372" t="str">
        <f>CS_PID!L496/VLOOKUP($B496,표2[#ALL],2)/HLOOKUP($A496,표1[#ALL],row(),false)</f>
        <v>#N/A</v>
      </c>
      <c r="M496" s="372" t="str">
        <f>CS_PID!M496/VLOOKUP($B496,표2[#ALL],2)/HLOOKUP($A496,표1[#ALL],row(),false)</f>
        <v>#N/A</v>
      </c>
      <c r="N496" s="372" t="str">
        <f>CS_PID!N496/VLOOKUP($B496,표2[#ALL],2)/HLOOKUP($A496,표1[#ALL],row(),false)</f>
        <v>#N/A</v>
      </c>
      <c r="O496" s="372" t="str">
        <f>CS_PID!O496/VLOOKUP($B496,표2[#ALL],2)/HLOOKUP($A496,표1[#ALL],row(),false)</f>
        <v>#N/A</v>
      </c>
      <c r="P496" s="372" t="str">
        <f>CS_PID!P496/VLOOKUP($B496,표2[#ALL],2)/HLOOKUP($A496,표1[#ALL],row(),false)</f>
        <v>#N/A</v>
      </c>
      <c r="Q496" s="372" t="str">
        <f>CS_PID!Q496/VLOOKUP($B496,표2[#ALL],2)/HLOOKUP($A496,표1[#ALL],row(),false)</f>
        <v>#N/A</v>
      </c>
      <c r="R496" s="372" t="str">
        <f>CS_PID!R496/VLOOKUP($B496,표2[#ALL],2)/HLOOKUP($A496,표1[#ALL],row(),false)</f>
        <v>#N/A</v>
      </c>
      <c r="S496" s="372" t="str">
        <f>CS_PID!S496/VLOOKUP($B496,표2[#ALL],2)/HLOOKUP($A496,표1[#ALL],row(),false)</f>
        <v>#N/A</v>
      </c>
      <c r="T496" s="372" t="str">
        <f>CS_PID!T496/VLOOKUP($B496,표2[#ALL],2)/HLOOKUP($A496,표1[#ALL],row(),false)</f>
        <v>#N/A</v>
      </c>
      <c r="U496" s="372" t="str">
        <f>CS_PID!U496/VLOOKUP($B496,표2[#ALL],2)/HLOOKUP($A496,표1[#ALL],row(),false)</f>
        <v>#N/A</v>
      </c>
      <c r="V496" s="372" t="str">
        <f>CS_PID!V496/VLOOKUP($B496,표2[#ALL],2)/HLOOKUP($A496,표1[#ALL],row(),false)</f>
        <v>#N/A</v>
      </c>
      <c r="W496" s="372" t="str">
        <f>CS_PID!W496/VLOOKUP($B496,표2[#ALL],2)/HLOOKUP($A496,표1[#ALL],row(),false)</f>
        <v>#N/A</v>
      </c>
      <c r="X496" s="372" t="str">
        <f>CS_PID!X496/VLOOKUP($B496,표2[#ALL],2)/HLOOKUP($A496,표1[#ALL],row(),false)</f>
        <v>#N/A</v>
      </c>
      <c r="Y496" s="372" t="str">
        <f>CS_PID!Y496/VLOOKUP($B496,표2[#ALL],2)/HLOOKUP($A496,표1[#ALL],row(),false)</f>
        <v>#N/A</v>
      </c>
      <c r="Z496" s="372" t="str">
        <f>CS_PID!Z496/VLOOKUP($B496,표2[#ALL],2)/HLOOKUP($A496,표1[#ALL],row(),false)</f>
        <v>#N/A</v>
      </c>
      <c r="AA496" s="372" t="str">
        <f>CS_PID!AA496/VLOOKUP($B496,표2[#ALL],2)/HLOOKUP($A496,표1[#ALL],row(),false)</f>
        <v>#N/A</v>
      </c>
      <c r="AB496" s="372" t="str">
        <f>CS_PID!AB496/VLOOKUP($B496,표2[#ALL],2)/HLOOKUP($A496,표1[#ALL],row(),false)</f>
        <v>#N/A</v>
      </c>
      <c r="AC496" s="372" t="str">
        <f>CS_PID!AC496/VLOOKUP($B496,표2[#ALL],2)/HLOOKUP($A496,표1[#ALL],row(),false)</f>
        <v>#N/A</v>
      </c>
      <c r="AD496" s="372" t="str">
        <f>CS_PID!AD496/VLOOKUP($B496,표2[#ALL],2)/HLOOKUP($A496,표1[#ALL],row(),false)</f>
        <v>#N/A</v>
      </c>
      <c r="AE496" s="372" t="str">
        <f>CS_PID!AE496/VLOOKUP($B496,표2[#ALL],2)/HLOOKUP($A496,표1[#ALL],row(),false)</f>
        <v>#N/A</v>
      </c>
      <c r="AF496" s="372" t="str">
        <f>CS_PID!AF496/VLOOKUP($B496,표2[#ALL],2)/HLOOKUP($A496,표1[#ALL],row(),false)</f>
        <v>#N/A</v>
      </c>
      <c r="AG496" s="372" t="str">
        <f>CS_PID!AG496/VLOOKUP($B496,표2[#ALL],2)/HLOOKUP($A496,표1[#ALL],row(),false)</f>
        <v>#N/A</v>
      </c>
      <c r="AH496" s="372" t="str">
        <f>CS_PID!AH496/VLOOKUP($B496,표2[#ALL],2)/HLOOKUP($A496,표1[#ALL],row(),false)</f>
        <v>#N/A</v>
      </c>
      <c r="AI496" s="372" t="str">
        <f>CS_PID!AI496/VLOOKUP($B496,표2[#ALL],2)/HLOOKUP($A496,표1[#ALL],row(),false)</f>
        <v>#N/A</v>
      </c>
      <c r="AJ496" s="372" t="str">
        <f>CS_PID!AJ496/VLOOKUP($B496,표2[#ALL],2)/HLOOKUP($A496,표1[#ALL],row(),false)</f>
        <v>#N/A</v>
      </c>
      <c r="AK496" s="372" t="str">
        <f>CS_PID!AK496/VLOOKUP($B496,표2[#ALL],2)/HLOOKUP($A496,표1[#ALL],row(),false)</f>
        <v>#N/A</v>
      </c>
      <c r="AL496" s="372" t="str">
        <f>CS_PID!AL496/VLOOKUP($B496,표2[#ALL],2)/HLOOKUP($A496,표1[#ALL],row(),false)</f>
        <v>#N/A</v>
      </c>
      <c r="AM496" s="372" t="str">
        <f>CS_PID!AM496/VLOOKUP($B496,표2[#ALL],2)/HLOOKUP($A496,표1[#ALL],row(),false)</f>
        <v>#N/A</v>
      </c>
      <c r="AN496" s="372" t="str">
        <f>CS_PID!AN496/VLOOKUP($B496,표2[#ALL],2)/HLOOKUP($A496,표1[#ALL],row(),false)</f>
        <v>#N/A</v>
      </c>
      <c r="AO496" s="372" t="str">
        <f>CS_PID!AO496/VLOOKUP($B496,표2[#ALL],2)/HLOOKUP($A496,표1[#ALL],row(),false)</f>
        <v>#N/A</v>
      </c>
      <c r="AP496" s="372" t="str">
        <f>CS_PID!AP496/VLOOKUP($B496,표2[#ALL],2)/HLOOKUP($A496,표1[#ALL],row(),false)</f>
        <v>#N/A</v>
      </c>
      <c r="AQ496" s="372" t="str">
        <f>CS_PID!AQ496/VLOOKUP($B496,표2[#ALL],2)/HLOOKUP($A496,표1[#ALL],row(),false)</f>
        <v>#N/A</v>
      </c>
      <c r="AR496" s="372" t="str">
        <f>CS_PID!AR496/VLOOKUP($B496,표2[#ALL],2)/HLOOKUP($A496,표1[#ALL],row(),false)</f>
        <v>#N/A</v>
      </c>
      <c r="AS496" s="373" t="str">
        <f>CS_PID!AS496/VLOOKUP($B496,표2[#ALL],2)/HLOOKUP($A496,표1[#ALL],row(),false)</f>
        <v>#N/A</v>
      </c>
    </row>
    <row r="497">
      <c r="A497" s="374"/>
      <c r="B497" s="375"/>
      <c r="C497" s="376" t="str">
        <f>CS_PID!C497/VLOOKUP($B497,표2[#ALL],2)</f>
        <v>#N/A</v>
      </c>
      <c r="D497" s="376" t="str">
        <f>CS_PID!D497/VLOOKUP($B497,표2[#ALL],2)</f>
        <v>#N/A</v>
      </c>
      <c r="E497" s="376" t="str">
        <f>CS_PID!E497/VLOOKUP($B497,표2[#ALL],2)</f>
        <v>#N/A</v>
      </c>
      <c r="F497" s="376" t="str">
        <f>CS_PID!F497/VLOOKUP($B497,표2[#ALL],2)</f>
        <v>#N/A</v>
      </c>
      <c r="G497" s="376" t="str">
        <f>CS_PID!G497/VLOOKUP($B497,표2[#ALL],2)</f>
        <v>#N/A</v>
      </c>
      <c r="H497" s="376" t="str">
        <f>CS_PID!H497/VLOOKUP($B497,표2[#ALL],2)/HLOOKUP($A497,표1[#ALL],row(),false)</f>
        <v>#N/A</v>
      </c>
      <c r="I497" s="376" t="str">
        <f>CS_PID!I497/VLOOKUP($B497,표2[#ALL],2)/HLOOKUP($A497,표1[#ALL],row(),false)</f>
        <v>#N/A</v>
      </c>
      <c r="J497" s="376" t="str">
        <f>CS_PID!J497/VLOOKUP($B497,표2[#ALL],2)/HLOOKUP($A497,표1[#ALL],row(),false)</f>
        <v>#N/A</v>
      </c>
      <c r="K497" s="376" t="str">
        <f>CS_PID!K497/VLOOKUP($B497,표2[#ALL],2)/HLOOKUP($A497,표1[#ALL],row(),false)</f>
        <v>#N/A</v>
      </c>
      <c r="L497" s="376" t="str">
        <f>CS_PID!L497/VLOOKUP($B497,표2[#ALL],2)/HLOOKUP($A497,표1[#ALL],row(),false)</f>
        <v>#N/A</v>
      </c>
      <c r="M497" s="376" t="str">
        <f>CS_PID!M497/VLOOKUP($B497,표2[#ALL],2)/HLOOKUP($A497,표1[#ALL],row(),false)</f>
        <v>#N/A</v>
      </c>
      <c r="N497" s="376" t="str">
        <f>CS_PID!N497/VLOOKUP($B497,표2[#ALL],2)/HLOOKUP($A497,표1[#ALL],row(),false)</f>
        <v>#N/A</v>
      </c>
      <c r="O497" s="376" t="str">
        <f>CS_PID!O497/VLOOKUP($B497,표2[#ALL],2)/HLOOKUP($A497,표1[#ALL],row(),false)</f>
        <v>#N/A</v>
      </c>
      <c r="P497" s="376" t="str">
        <f>CS_PID!P497/VLOOKUP($B497,표2[#ALL],2)/HLOOKUP($A497,표1[#ALL],row(),false)</f>
        <v>#N/A</v>
      </c>
      <c r="Q497" s="376" t="str">
        <f>CS_PID!Q497/VLOOKUP($B497,표2[#ALL],2)/HLOOKUP($A497,표1[#ALL],row(),false)</f>
        <v>#N/A</v>
      </c>
      <c r="R497" s="376" t="str">
        <f>CS_PID!R497/VLOOKUP($B497,표2[#ALL],2)/HLOOKUP($A497,표1[#ALL],row(),false)</f>
        <v>#N/A</v>
      </c>
      <c r="S497" s="376" t="str">
        <f>CS_PID!S497/VLOOKUP($B497,표2[#ALL],2)/HLOOKUP($A497,표1[#ALL],row(),false)</f>
        <v>#N/A</v>
      </c>
      <c r="T497" s="376" t="str">
        <f>CS_PID!T497/VLOOKUP($B497,표2[#ALL],2)/HLOOKUP($A497,표1[#ALL],row(),false)</f>
        <v>#N/A</v>
      </c>
      <c r="U497" s="376" t="str">
        <f>CS_PID!U497/VLOOKUP($B497,표2[#ALL],2)/HLOOKUP($A497,표1[#ALL],row(),false)</f>
        <v>#N/A</v>
      </c>
      <c r="V497" s="376" t="str">
        <f>CS_PID!V497/VLOOKUP($B497,표2[#ALL],2)/HLOOKUP($A497,표1[#ALL],row(),false)</f>
        <v>#N/A</v>
      </c>
      <c r="W497" s="376" t="str">
        <f>CS_PID!W497/VLOOKUP($B497,표2[#ALL],2)/HLOOKUP($A497,표1[#ALL],row(),false)</f>
        <v>#N/A</v>
      </c>
      <c r="X497" s="376" t="str">
        <f>CS_PID!X497/VLOOKUP($B497,표2[#ALL],2)/HLOOKUP($A497,표1[#ALL],row(),false)</f>
        <v>#N/A</v>
      </c>
      <c r="Y497" s="376" t="str">
        <f>CS_PID!Y497/VLOOKUP($B497,표2[#ALL],2)/HLOOKUP($A497,표1[#ALL],row(),false)</f>
        <v>#N/A</v>
      </c>
      <c r="Z497" s="376" t="str">
        <f>CS_PID!Z497/VLOOKUP($B497,표2[#ALL],2)/HLOOKUP($A497,표1[#ALL],row(),false)</f>
        <v>#N/A</v>
      </c>
      <c r="AA497" s="376" t="str">
        <f>CS_PID!AA497/VLOOKUP($B497,표2[#ALL],2)/HLOOKUP($A497,표1[#ALL],row(),false)</f>
        <v>#N/A</v>
      </c>
      <c r="AB497" s="376" t="str">
        <f>CS_PID!AB497/VLOOKUP($B497,표2[#ALL],2)/HLOOKUP($A497,표1[#ALL],row(),false)</f>
        <v>#N/A</v>
      </c>
      <c r="AC497" s="376" t="str">
        <f>CS_PID!AC497/VLOOKUP($B497,표2[#ALL],2)/HLOOKUP($A497,표1[#ALL],row(),false)</f>
        <v>#N/A</v>
      </c>
      <c r="AD497" s="376" t="str">
        <f>CS_PID!AD497/VLOOKUP($B497,표2[#ALL],2)/HLOOKUP($A497,표1[#ALL],row(),false)</f>
        <v>#N/A</v>
      </c>
      <c r="AE497" s="376" t="str">
        <f>CS_PID!AE497/VLOOKUP($B497,표2[#ALL],2)/HLOOKUP($A497,표1[#ALL],row(),false)</f>
        <v>#N/A</v>
      </c>
      <c r="AF497" s="376" t="str">
        <f>CS_PID!AF497/VLOOKUP($B497,표2[#ALL],2)/HLOOKUP($A497,표1[#ALL],row(),false)</f>
        <v>#N/A</v>
      </c>
      <c r="AG497" s="376" t="str">
        <f>CS_PID!AG497/VLOOKUP($B497,표2[#ALL],2)/HLOOKUP($A497,표1[#ALL],row(),false)</f>
        <v>#N/A</v>
      </c>
      <c r="AH497" s="376" t="str">
        <f>CS_PID!AH497/VLOOKUP($B497,표2[#ALL],2)/HLOOKUP($A497,표1[#ALL],row(),false)</f>
        <v>#N/A</v>
      </c>
      <c r="AI497" s="376" t="str">
        <f>CS_PID!AI497/VLOOKUP($B497,표2[#ALL],2)/HLOOKUP($A497,표1[#ALL],row(),false)</f>
        <v>#N/A</v>
      </c>
      <c r="AJ497" s="376" t="str">
        <f>CS_PID!AJ497/VLOOKUP($B497,표2[#ALL],2)/HLOOKUP($A497,표1[#ALL],row(),false)</f>
        <v>#N/A</v>
      </c>
      <c r="AK497" s="376" t="str">
        <f>CS_PID!AK497/VLOOKUP($B497,표2[#ALL],2)/HLOOKUP($A497,표1[#ALL],row(),false)</f>
        <v>#N/A</v>
      </c>
      <c r="AL497" s="376" t="str">
        <f>CS_PID!AL497/VLOOKUP($B497,표2[#ALL],2)/HLOOKUP($A497,표1[#ALL],row(),false)</f>
        <v>#N/A</v>
      </c>
      <c r="AM497" s="376" t="str">
        <f>CS_PID!AM497/VLOOKUP($B497,표2[#ALL],2)/HLOOKUP($A497,표1[#ALL],row(),false)</f>
        <v>#N/A</v>
      </c>
      <c r="AN497" s="376" t="str">
        <f>CS_PID!AN497/VLOOKUP($B497,표2[#ALL],2)/HLOOKUP($A497,표1[#ALL],row(),false)</f>
        <v>#N/A</v>
      </c>
      <c r="AO497" s="376" t="str">
        <f>CS_PID!AO497/VLOOKUP($B497,표2[#ALL],2)/HLOOKUP($A497,표1[#ALL],row(),false)</f>
        <v>#N/A</v>
      </c>
      <c r="AP497" s="376" t="str">
        <f>CS_PID!AP497/VLOOKUP($B497,표2[#ALL],2)/HLOOKUP($A497,표1[#ALL],row(),false)</f>
        <v>#N/A</v>
      </c>
      <c r="AQ497" s="376" t="str">
        <f>CS_PID!AQ497/VLOOKUP($B497,표2[#ALL],2)/HLOOKUP($A497,표1[#ALL],row(),false)</f>
        <v>#N/A</v>
      </c>
      <c r="AR497" s="376" t="str">
        <f>CS_PID!AR497/VLOOKUP($B497,표2[#ALL],2)/HLOOKUP($A497,표1[#ALL],row(),false)</f>
        <v>#N/A</v>
      </c>
      <c r="AS497" s="377" t="str">
        <f>CS_PID!AS497/VLOOKUP($B497,표2[#ALL],2)/HLOOKUP($A497,표1[#ALL],row(),false)</f>
        <v>#N/A</v>
      </c>
    </row>
    <row r="498">
      <c r="A498" s="370"/>
      <c r="B498" s="371"/>
      <c r="C498" s="372" t="str">
        <f>CS_PID!C498/VLOOKUP($B498,표2[#ALL],2)</f>
        <v>#N/A</v>
      </c>
      <c r="D498" s="372" t="str">
        <f>CS_PID!D498/VLOOKUP($B498,표2[#ALL],2)</f>
        <v>#N/A</v>
      </c>
      <c r="E498" s="372" t="str">
        <f>CS_PID!E498/VLOOKUP($B498,표2[#ALL],2)</f>
        <v>#N/A</v>
      </c>
      <c r="F498" s="372" t="str">
        <f>CS_PID!F498/VLOOKUP($B498,표2[#ALL],2)</f>
        <v>#N/A</v>
      </c>
      <c r="G498" s="372" t="str">
        <f>CS_PID!G498/VLOOKUP($B498,표2[#ALL],2)</f>
        <v>#N/A</v>
      </c>
      <c r="H498" s="372" t="str">
        <f>CS_PID!H498/VLOOKUP($B498,표2[#ALL],2)/HLOOKUP($A498,표1[#ALL],row(),false)</f>
        <v>#N/A</v>
      </c>
      <c r="I498" s="372" t="str">
        <f>CS_PID!I498/VLOOKUP($B498,표2[#ALL],2)/HLOOKUP($A498,표1[#ALL],row(),false)</f>
        <v>#N/A</v>
      </c>
      <c r="J498" s="372" t="str">
        <f>CS_PID!J498/VLOOKUP($B498,표2[#ALL],2)/HLOOKUP($A498,표1[#ALL],row(),false)</f>
        <v>#N/A</v>
      </c>
      <c r="K498" s="372" t="str">
        <f>CS_PID!K498/VLOOKUP($B498,표2[#ALL],2)/HLOOKUP($A498,표1[#ALL],row(),false)</f>
        <v>#N/A</v>
      </c>
      <c r="L498" s="372" t="str">
        <f>CS_PID!L498/VLOOKUP($B498,표2[#ALL],2)/HLOOKUP($A498,표1[#ALL],row(),false)</f>
        <v>#N/A</v>
      </c>
      <c r="M498" s="372" t="str">
        <f>CS_PID!M498/VLOOKUP($B498,표2[#ALL],2)/HLOOKUP($A498,표1[#ALL],row(),false)</f>
        <v>#N/A</v>
      </c>
      <c r="N498" s="372" t="str">
        <f>CS_PID!N498/VLOOKUP($B498,표2[#ALL],2)/HLOOKUP($A498,표1[#ALL],row(),false)</f>
        <v>#N/A</v>
      </c>
      <c r="O498" s="372" t="str">
        <f>CS_PID!O498/VLOOKUP($B498,표2[#ALL],2)/HLOOKUP($A498,표1[#ALL],row(),false)</f>
        <v>#N/A</v>
      </c>
      <c r="P498" s="372" t="str">
        <f>CS_PID!P498/VLOOKUP($B498,표2[#ALL],2)/HLOOKUP($A498,표1[#ALL],row(),false)</f>
        <v>#N/A</v>
      </c>
      <c r="Q498" s="372" t="str">
        <f>CS_PID!Q498/VLOOKUP($B498,표2[#ALL],2)/HLOOKUP($A498,표1[#ALL],row(),false)</f>
        <v>#N/A</v>
      </c>
      <c r="R498" s="372" t="str">
        <f>CS_PID!R498/VLOOKUP($B498,표2[#ALL],2)/HLOOKUP($A498,표1[#ALL],row(),false)</f>
        <v>#N/A</v>
      </c>
      <c r="S498" s="372" t="str">
        <f>CS_PID!S498/VLOOKUP($B498,표2[#ALL],2)/HLOOKUP($A498,표1[#ALL],row(),false)</f>
        <v>#N/A</v>
      </c>
      <c r="T498" s="372" t="str">
        <f>CS_PID!T498/VLOOKUP($B498,표2[#ALL],2)/HLOOKUP($A498,표1[#ALL],row(),false)</f>
        <v>#N/A</v>
      </c>
      <c r="U498" s="372" t="str">
        <f>CS_PID!U498/VLOOKUP($B498,표2[#ALL],2)/HLOOKUP($A498,표1[#ALL],row(),false)</f>
        <v>#N/A</v>
      </c>
      <c r="V498" s="372" t="str">
        <f>CS_PID!V498/VLOOKUP($B498,표2[#ALL],2)/HLOOKUP($A498,표1[#ALL],row(),false)</f>
        <v>#N/A</v>
      </c>
      <c r="W498" s="372" t="str">
        <f>CS_PID!W498/VLOOKUP($B498,표2[#ALL],2)/HLOOKUP($A498,표1[#ALL],row(),false)</f>
        <v>#N/A</v>
      </c>
      <c r="X498" s="372" t="str">
        <f>CS_PID!X498/VLOOKUP($B498,표2[#ALL],2)/HLOOKUP($A498,표1[#ALL],row(),false)</f>
        <v>#N/A</v>
      </c>
      <c r="Y498" s="372" t="str">
        <f>CS_PID!Y498/VLOOKUP($B498,표2[#ALL],2)/HLOOKUP($A498,표1[#ALL],row(),false)</f>
        <v>#N/A</v>
      </c>
      <c r="Z498" s="372" t="str">
        <f>CS_PID!Z498/VLOOKUP($B498,표2[#ALL],2)/HLOOKUP($A498,표1[#ALL],row(),false)</f>
        <v>#N/A</v>
      </c>
      <c r="AA498" s="372" t="str">
        <f>CS_PID!AA498/VLOOKUP($B498,표2[#ALL],2)/HLOOKUP($A498,표1[#ALL],row(),false)</f>
        <v>#N/A</v>
      </c>
      <c r="AB498" s="372" t="str">
        <f>CS_PID!AB498/VLOOKUP($B498,표2[#ALL],2)/HLOOKUP($A498,표1[#ALL],row(),false)</f>
        <v>#N/A</v>
      </c>
      <c r="AC498" s="372" t="str">
        <f>CS_PID!AC498/VLOOKUP($B498,표2[#ALL],2)/HLOOKUP($A498,표1[#ALL],row(),false)</f>
        <v>#N/A</v>
      </c>
      <c r="AD498" s="372" t="str">
        <f>CS_PID!AD498/VLOOKUP($B498,표2[#ALL],2)/HLOOKUP($A498,표1[#ALL],row(),false)</f>
        <v>#N/A</v>
      </c>
      <c r="AE498" s="372" t="str">
        <f>CS_PID!AE498/VLOOKUP($B498,표2[#ALL],2)/HLOOKUP($A498,표1[#ALL],row(),false)</f>
        <v>#N/A</v>
      </c>
      <c r="AF498" s="372" t="str">
        <f>CS_PID!AF498/VLOOKUP($B498,표2[#ALL],2)/HLOOKUP($A498,표1[#ALL],row(),false)</f>
        <v>#N/A</v>
      </c>
      <c r="AG498" s="372" t="str">
        <f>CS_PID!AG498/VLOOKUP($B498,표2[#ALL],2)/HLOOKUP($A498,표1[#ALL],row(),false)</f>
        <v>#N/A</v>
      </c>
      <c r="AH498" s="372" t="str">
        <f>CS_PID!AH498/VLOOKUP($B498,표2[#ALL],2)/HLOOKUP($A498,표1[#ALL],row(),false)</f>
        <v>#N/A</v>
      </c>
      <c r="AI498" s="372" t="str">
        <f>CS_PID!AI498/VLOOKUP($B498,표2[#ALL],2)/HLOOKUP($A498,표1[#ALL],row(),false)</f>
        <v>#N/A</v>
      </c>
      <c r="AJ498" s="372" t="str">
        <f>CS_PID!AJ498/VLOOKUP($B498,표2[#ALL],2)/HLOOKUP($A498,표1[#ALL],row(),false)</f>
        <v>#N/A</v>
      </c>
      <c r="AK498" s="372" t="str">
        <f>CS_PID!AK498/VLOOKUP($B498,표2[#ALL],2)/HLOOKUP($A498,표1[#ALL],row(),false)</f>
        <v>#N/A</v>
      </c>
      <c r="AL498" s="372" t="str">
        <f>CS_PID!AL498/VLOOKUP($B498,표2[#ALL],2)/HLOOKUP($A498,표1[#ALL],row(),false)</f>
        <v>#N/A</v>
      </c>
      <c r="AM498" s="372" t="str">
        <f>CS_PID!AM498/VLOOKUP($B498,표2[#ALL],2)/HLOOKUP($A498,표1[#ALL],row(),false)</f>
        <v>#N/A</v>
      </c>
      <c r="AN498" s="372" t="str">
        <f>CS_PID!AN498/VLOOKUP($B498,표2[#ALL],2)/HLOOKUP($A498,표1[#ALL],row(),false)</f>
        <v>#N/A</v>
      </c>
      <c r="AO498" s="372" t="str">
        <f>CS_PID!AO498/VLOOKUP($B498,표2[#ALL],2)/HLOOKUP($A498,표1[#ALL],row(),false)</f>
        <v>#N/A</v>
      </c>
      <c r="AP498" s="372" t="str">
        <f>CS_PID!AP498/VLOOKUP($B498,표2[#ALL],2)/HLOOKUP($A498,표1[#ALL],row(),false)</f>
        <v>#N/A</v>
      </c>
      <c r="AQ498" s="372" t="str">
        <f>CS_PID!AQ498/VLOOKUP($B498,표2[#ALL],2)/HLOOKUP($A498,표1[#ALL],row(),false)</f>
        <v>#N/A</v>
      </c>
      <c r="AR498" s="372" t="str">
        <f>CS_PID!AR498/VLOOKUP($B498,표2[#ALL],2)/HLOOKUP($A498,표1[#ALL],row(),false)</f>
        <v>#N/A</v>
      </c>
      <c r="AS498" s="373" t="str">
        <f>CS_PID!AS498/VLOOKUP($B498,표2[#ALL],2)/HLOOKUP($A498,표1[#ALL],row(),false)</f>
        <v>#N/A</v>
      </c>
    </row>
    <row r="499">
      <c r="A499" s="374"/>
      <c r="B499" s="375"/>
      <c r="C499" s="376" t="str">
        <f>CS_PID!C499/VLOOKUP($B499,표2[#ALL],2)</f>
        <v>#N/A</v>
      </c>
      <c r="D499" s="376" t="str">
        <f>CS_PID!D499/VLOOKUP($B499,표2[#ALL],2)</f>
        <v>#N/A</v>
      </c>
      <c r="E499" s="376" t="str">
        <f>CS_PID!E499/VLOOKUP($B499,표2[#ALL],2)</f>
        <v>#N/A</v>
      </c>
      <c r="F499" s="376" t="str">
        <f>CS_PID!F499/VLOOKUP($B499,표2[#ALL],2)</f>
        <v>#N/A</v>
      </c>
      <c r="G499" s="376" t="str">
        <f>CS_PID!G499/VLOOKUP($B499,표2[#ALL],2)</f>
        <v>#N/A</v>
      </c>
      <c r="H499" s="376" t="str">
        <f>CS_PID!H499/VLOOKUP($B499,표2[#ALL],2)/HLOOKUP($A499,표1[#ALL],row(),false)</f>
        <v>#N/A</v>
      </c>
      <c r="I499" s="376" t="str">
        <f>CS_PID!I499/VLOOKUP($B499,표2[#ALL],2)/HLOOKUP($A499,표1[#ALL],row(),false)</f>
        <v>#N/A</v>
      </c>
      <c r="J499" s="376" t="str">
        <f>CS_PID!J499/VLOOKUP($B499,표2[#ALL],2)/HLOOKUP($A499,표1[#ALL],row(),false)</f>
        <v>#N/A</v>
      </c>
      <c r="K499" s="376" t="str">
        <f>CS_PID!K499/VLOOKUP($B499,표2[#ALL],2)/HLOOKUP($A499,표1[#ALL],row(),false)</f>
        <v>#N/A</v>
      </c>
      <c r="L499" s="376" t="str">
        <f>CS_PID!L499/VLOOKUP($B499,표2[#ALL],2)/HLOOKUP($A499,표1[#ALL],row(),false)</f>
        <v>#N/A</v>
      </c>
      <c r="M499" s="376" t="str">
        <f>CS_PID!M499/VLOOKUP($B499,표2[#ALL],2)/HLOOKUP($A499,표1[#ALL],row(),false)</f>
        <v>#N/A</v>
      </c>
      <c r="N499" s="376" t="str">
        <f>CS_PID!N499/VLOOKUP($B499,표2[#ALL],2)/HLOOKUP($A499,표1[#ALL],row(),false)</f>
        <v>#N/A</v>
      </c>
      <c r="O499" s="376" t="str">
        <f>CS_PID!O499/VLOOKUP($B499,표2[#ALL],2)/HLOOKUP($A499,표1[#ALL],row(),false)</f>
        <v>#N/A</v>
      </c>
      <c r="P499" s="376" t="str">
        <f>CS_PID!P499/VLOOKUP($B499,표2[#ALL],2)/HLOOKUP($A499,표1[#ALL],row(),false)</f>
        <v>#N/A</v>
      </c>
      <c r="Q499" s="376" t="str">
        <f>CS_PID!Q499/VLOOKUP($B499,표2[#ALL],2)/HLOOKUP($A499,표1[#ALL],row(),false)</f>
        <v>#N/A</v>
      </c>
      <c r="R499" s="376" t="str">
        <f>CS_PID!R499/VLOOKUP($B499,표2[#ALL],2)/HLOOKUP($A499,표1[#ALL],row(),false)</f>
        <v>#N/A</v>
      </c>
      <c r="S499" s="376" t="str">
        <f>CS_PID!S499/VLOOKUP($B499,표2[#ALL],2)/HLOOKUP($A499,표1[#ALL],row(),false)</f>
        <v>#N/A</v>
      </c>
      <c r="T499" s="376" t="str">
        <f>CS_PID!T499/VLOOKUP($B499,표2[#ALL],2)/HLOOKUP($A499,표1[#ALL],row(),false)</f>
        <v>#N/A</v>
      </c>
      <c r="U499" s="376" t="str">
        <f>CS_PID!U499/VLOOKUP($B499,표2[#ALL],2)/HLOOKUP($A499,표1[#ALL],row(),false)</f>
        <v>#N/A</v>
      </c>
      <c r="V499" s="376" t="str">
        <f>CS_PID!V499/VLOOKUP($B499,표2[#ALL],2)/HLOOKUP($A499,표1[#ALL],row(),false)</f>
        <v>#N/A</v>
      </c>
      <c r="W499" s="376" t="str">
        <f>CS_PID!W499/VLOOKUP($B499,표2[#ALL],2)/HLOOKUP($A499,표1[#ALL],row(),false)</f>
        <v>#N/A</v>
      </c>
      <c r="X499" s="376" t="str">
        <f>CS_PID!X499/VLOOKUP($B499,표2[#ALL],2)/HLOOKUP($A499,표1[#ALL],row(),false)</f>
        <v>#N/A</v>
      </c>
      <c r="Y499" s="376" t="str">
        <f>CS_PID!Y499/VLOOKUP($B499,표2[#ALL],2)/HLOOKUP($A499,표1[#ALL],row(),false)</f>
        <v>#N/A</v>
      </c>
      <c r="Z499" s="376" t="str">
        <f>CS_PID!Z499/VLOOKUP($B499,표2[#ALL],2)/HLOOKUP($A499,표1[#ALL],row(),false)</f>
        <v>#N/A</v>
      </c>
      <c r="AA499" s="376" t="str">
        <f>CS_PID!AA499/VLOOKUP($B499,표2[#ALL],2)/HLOOKUP($A499,표1[#ALL],row(),false)</f>
        <v>#N/A</v>
      </c>
      <c r="AB499" s="376" t="str">
        <f>CS_PID!AB499/VLOOKUP($B499,표2[#ALL],2)/HLOOKUP($A499,표1[#ALL],row(),false)</f>
        <v>#N/A</v>
      </c>
      <c r="AC499" s="376" t="str">
        <f>CS_PID!AC499/VLOOKUP($B499,표2[#ALL],2)/HLOOKUP($A499,표1[#ALL],row(),false)</f>
        <v>#N/A</v>
      </c>
      <c r="AD499" s="376" t="str">
        <f>CS_PID!AD499/VLOOKUP($B499,표2[#ALL],2)/HLOOKUP($A499,표1[#ALL],row(),false)</f>
        <v>#N/A</v>
      </c>
      <c r="AE499" s="376" t="str">
        <f>CS_PID!AE499/VLOOKUP($B499,표2[#ALL],2)/HLOOKUP($A499,표1[#ALL],row(),false)</f>
        <v>#N/A</v>
      </c>
      <c r="AF499" s="376" t="str">
        <f>CS_PID!AF499/VLOOKUP($B499,표2[#ALL],2)/HLOOKUP($A499,표1[#ALL],row(),false)</f>
        <v>#N/A</v>
      </c>
      <c r="AG499" s="376" t="str">
        <f>CS_PID!AG499/VLOOKUP($B499,표2[#ALL],2)/HLOOKUP($A499,표1[#ALL],row(),false)</f>
        <v>#N/A</v>
      </c>
      <c r="AH499" s="376" t="str">
        <f>CS_PID!AH499/VLOOKUP($B499,표2[#ALL],2)/HLOOKUP($A499,표1[#ALL],row(),false)</f>
        <v>#N/A</v>
      </c>
      <c r="AI499" s="376" t="str">
        <f>CS_PID!AI499/VLOOKUP($B499,표2[#ALL],2)/HLOOKUP($A499,표1[#ALL],row(),false)</f>
        <v>#N/A</v>
      </c>
      <c r="AJ499" s="376" t="str">
        <f>CS_PID!AJ499/VLOOKUP($B499,표2[#ALL],2)/HLOOKUP($A499,표1[#ALL],row(),false)</f>
        <v>#N/A</v>
      </c>
      <c r="AK499" s="376" t="str">
        <f>CS_PID!AK499/VLOOKUP($B499,표2[#ALL],2)/HLOOKUP($A499,표1[#ALL],row(),false)</f>
        <v>#N/A</v>
      </c>
      <c r="AL499" s="376" t="str">
        <f>CS_PID!AL499/VLOOKUP($B499,표2[#ALL],2)/HLOOKUP($A499,표1[#ALL],row(),false)</f>
        <v>#N/A</v>
      </c>
      <c r="AM499" s="376" t="str">
        <f>CS_PID!AM499/VLOOKUP($B499,표2[#ALL],2)/HLOOKUP($A499,표1[#ALL],row(),false)</f>
        <v>#N/A</v>
      </c>
      <c r="AN499" s="376" t="str">
        <f>CS_PID!AN499/VLOOKUP($B499,표2[#ALL],2)/HLOOKUP($A499,표1[#ALL],row(),false)</f>
        <v>#N/A</v>
      </c>
      <c r="AO499" s="376" t="str">
        <f>CS_PID!AO499/VLOOKUP($B499,표2[#ALL],2)/HLOOKUP($A499,표1[#ALL],row(),false)</f>
        <v>#N/A</v>
      </c>
      <c r="AP499" s="376" t="str">
        <f>CS_PID!AP499/VLOOKUP($B499,표2[#ALL],2)/HLOOKUP($A499,표1[#ALL],row(),false)</f>
        <v>#N/A</v>
      </c>
      <c r="AQ499" s="376" t="str">
        <f>CS_PID!AQ499/VLOOKUP($B499,표2[#ALL],2)/HLOOKUP($A499,표1[#ALL],row(),false)</f>
        <v>#N/A</v>
      </c>
      <c r="AR499" s="376" t="str">
        <f>CS_PID!AR499/VLOOKUP($B499,표2[#ALL],2)/HLOOKUP($A499,표1[#ALL],row(),false)</f>
        <v>#N/A</v>
      </c>
      <c r="AS499" s="377" t="str">
        <f>CS_PID!AS499/VLOOKUP($B499,표2[#ALL],2)/HLOOKUP($A499,표1[#ALL],row(),false)</f>
        <v>#N/A</v>
      </c>
    </row>
    <row r="500">
      <c r="A500" s="370"/>
      <c r="B500" s="371"/>
      <c r="C500" s="372" t="str">
        <f>CS_PID!C500/VLOOKUP($B500,표2[#ALL],2)</f>
        <v>#N/A</v>
      </c>
      <c r="D500" s="372" t="str">
        <f>CS_PID!D500/VLOOKUP($B500,표2[#ALL],2)</f>
        <v>#N/A</v>
      </c>
      <c r="E500" s="372" t="str">
        <f>CS_PID!E500/VLOOKUP($B500,표2[#ALL],2)</f>
        <v>#N/A</v>
      </c>
      <c r="F500" s="372" t="str">
        <f>CS_PID!F500/VLOOKUP($B500,표2[#ALL],2)</f>
        <v>#N/A</v>
      </c>
      <c r="G500" s="372" t="str">
        <f>CS_PID!G500/VLOOKUP($B500,표2[#ALL],2)</f>
        <v>#N/A</v>
      </c>
      <c r="H500" s="372" t="str">
        <f>CS_PID!H500/VLOOKUP($B500,표2[#ALL],2)/HLOOKUP($A500,표1[#ALL],row(),false)</f>
        <v>#N/A</v>
      </c>
      <c r="I500" s="372" t="str">
        <f>CS_PID!I500/VLOOKUP($B500,표2[#ALL],2)/HLOOKUP($A500,표1[#ALL],row(),false)</f>
        <v>#N/A</v>
      </c>
      <c r="J500" s="372" t="str">
        <f>CS_PID!J500/VLOOKUP($B500,표2[#ALL],2)/HLOOKUP($A500,표1[#ALL],row(),false)</f>
        <v>#N/A</v>
      </c>
      <c r="K500" s="372" t="str">
        <f>CS_PID!K500/VLOOKUP($B500,표2[#ALL],2)/HLOOKUP($A500,표1[#ALL],row(),false)</f>
        <v>#N/A</v>
      </c>
      <c r="L500" s="372" t="str">
        <f>CS_PID!L500/VLOOKUP($B500,표2[#ALL],2)/HLOOKUP($A500,표1[#ALL],row(),false)</f>
        <v>#N/A</v>
      </c>
      <c r="M500" s="372" t="str">
        <f>CS_PID!M500/VLOOKUP($B500,표2[#ALL],2)/HLOOKUP($A500,표1[#ALL],row(),false)</f>
        <v>#N/A</v>
      </c>
      <c r="N500" s="372" t="str">
        <f>CS_PID!N500/VLOOKUP($B500,표2[#ALL],2)/HLOOKUP($A500,표1[#ALL],row(),false)</f>
        <v>#N/A</v>
      </c>
      <c r="O500" s="372" t="str">
        <f>CS_PID!O500/VLOOKUP($B500,표2[#ALL],2)/HLOOKUP($A500,표1[#ALL],row(),false)</f>
        <v>#N/A</v>
      </c>
      <c r="P500" s="372" t="str">
        <f>CS_PID!P500/VLOOKUP($B500,표2[#ALL],2)/HLOOKUP($A500,표1[#ALL],row(),false)</f>
        <v>#N/A</v>
      </c>
      <c r="Q500" s="372" t="str">
        <f>CS_PID!Q500/VLOOKUP($B500,표2[#ALL],2)/HLOOKUP($A500,표1[#ALL],row(),false)</f>
        <v>#N/A</v>
      </c>
      <c r="R500" s="372" t="str">
        <f>CS_PID!R500/VLOOKUP($B500,표2[#ALL],2)/HLOOKUP($A500,표1[#ALL],row(),false)</f>
        <v>#N/A</v>
      </c>
      <c r="S500" s="372" t="str">
        <f>CS_PID!S500/VLOOKUP($B500,표2[#ALL],2)/HLOOKUP($A500,표1[#ALL],row(),false)</f>
        <v>#N/A</v>
      </c>
      <c r="T500" s="372" t="str">
        <f>CS_PID!T500/VLOOKUP($B500,표2[#ALL],2)/HLOOKUP($A500,표1[#ALL],row(),false)</f>
        <v>#N/A</v>
      </c>
      <c r="U500" s="372" t="str">
        <f>CS_PID!U500/VLOOKUP($B500,표2[#ALL],2)/HLOOKUP($A500,표1[#ALL],row(),false)</f>
        <v>#N/A</v>
      </c>
      <c r="V500" s="372" t="str">
        <f>CS_PID!V500/VLOOKUP($B500,표2[#ALL],2)/HLOOKUP($A500,표1[#ALL],row(),false)</f>
        <v>#N/A</v>
      </c>
      <c r="W500" s="372" t="str">
        <f>CS_PID!W500/VLOOKUP($B500,표2[#ALL],2)/HLOOKUP($A500,표1[#ALL],row(),false)</f>
        <v>#N/A</v>
      </c>
      <c r="X500" s="372" t="str">
        <f>CS_PID!X500/VLOOKUP($B500,표2[#ALL],2)/HLOOKUP($A500,표1[#ALL],row(),false)</f>
        <v>#N/A</v>
      </c>
      <c r="Y500" s="372" t="str">
        <f>CS_PID!Y500/VLOOKUP($B500,표2[#ALL],2)/HLOOKUP($A500,표1[#ALL],row(),false)</f>
        <v>#N/A</v>
      </c>
      <c r="Z500" s="372" t="str">
        <f>CS_PID!Z500/VLOOKUP($B500,표2[#ALL],2)/HLOOKUP($A500,표1[#ALL],row(),false)</f>
        <v>#N/A</v>
      </c>
      <c r="AA500" s="372" t="str">
        <f>CS_PID!AA500/VLOOKUP($B500,표2[#ALL],2)/HLOOKUP($A500,표1[#ALL],row(),false)</f>
        <v>#N/A</v>
      </c>
      <c r="AB500" s="372" t="str">
        <f>CS_PID!AB500/VLOOKUP($B500,표2[#ALL],2)/HLOOKUP($A500,표1[#ALL],row(),false)</f>
        <v>#N/A</v>
      </c>
      <c r="AC500" s="372" t="str">
        <f>CS_PID!AC500/VLOOKUP($B500,표2[#ALL],2)/HLOOKUP($A500,표1[#ALL],row(),false)</f>
        <v>#N/A</v>
      </c>
      <c r="AD500" s="372" t="str">
        <f>CS_PID!AD500/VLOOKUP($B500,표2[#ALL],2)/HLOOKUP($A500,표1[#ALL],row(),false)</f>
        <v>#N/A</v>
      </c>
      <c r="AE500" s="372" t="str">
        <f>CS_PID!AE500/VLOOKUP($B500,표2[#ALL],2)/HLOOKUP($A500,표1[#ALL],row(),false)</f>
        <v>#N/A</v>
      </c>
      <c r="AF500" s="372" t="str">
        <f>CS_PID!AF500/VLOOKUP($B500,표2[#ALL],2)/HLOOKUP($A500,표1[#ALL],row(),false)</f>
        <v>#N/A</v>
      </c>
      <c r="AG500" s="372" t="str">
        <f>CS_PID!AG500/VLOOKUP($B500,표2[#ALL],2)/HLOOKUP($A500,표1[#ALL],row(),false)</f>
        <v>#N/A</v>
      </c>
      <c r="AH500" s="372" t="str">
        <f>CS_PID!AH500/VLOOKUP($B500,표2[#ALL],2)/HLOOKUP($A500,표1[#ALL],row(),false)</f>
        <v>#N/A</v>
      </c>
      <c r="AI500" s="372" t="str">
        <f>CS_PID!AI500/VLOOKUP($B500,표2[#ALL],2)/HLOOKUP($A500,표1[#ALL],row(),false)</f>
        <v>#N/A</v>
      </c>
      <c r="AJ500" s="372" t="str">
        <f>CS_PID!AJ500/VLOOKUP($B500,표2[#ALL],2)/HLOOKUP($A500,표1[#ALL],row(),false)</f>
        <v>#N/A</v>
      </c>
      <c r="AK500" s="372" t="str">
        <f>CS_PID!AK500/VLOOKUP($B500,표2[#ALL],2)/HLOOKUP($A500,표1[#ALL],row(),false)</f>
        <v>#N/A</v>
      </c>
      <c r="AL500" s="372" t="str">
        <f>CS_PID!AL500/VLOOKUP($B500,표2[#ALL],2)/HLOOKUP($A500,표1[#ALL],row(),false)</f>
        <v>#N/A</v>
      </c>
      <c r="AM500" s="372" t="str">
        <f>CS_PID!AM500/VLOOKUP($B500,표2[#ALL],2)/HLOOKUP($A500,표1[#ALL],row(),false)</f>
        <v>#N/A</v>
      </c>
      <c r="AN500" s="372" t="str">
        <f>CS_PID!AN500/VLOOKUP($B500,표2[#ALL],2)/HLOOKUP($A500,표1[#ALL],row(),false)</f>
        <v>#N/A</v>
      </c>
      <c r="AO500" s="372" t="str">
        <f>CS_PID!AO500/VLOOKUP($B500,표2[#ALL],2)/HLOOKUP($A500,표1[#ALL],row(),false)</f>
        <v>#N/A</v>
      </c>
      <c r="AP500" s="372" t="str">
        <f>CS_PID!AP500/VLOOKUP($B500,표2[#ALL],2)/HLOOKUP($A500,표1[#ALL],row(),false)</f>
        <v>#N/A</v>
      </c>
      <c r="AQ500" s="372" t="str">
        <f>CS_PID!AQ500/VLOOKUP($B500,표2[#ALL],2)/HLOOKUP($A500,표1[#ALL],row(),false)</f>
        <v>#N/A</v>
      </c>
      <c r="AR500" s="372" t="str">
        <f>CS_PID!AR500/VLOOKUP($B500,표2[#ALL],2)/HLOOKUP($A500,표1[#ALL],row(),false)</f>
        <v>#N/A</v>
      </c>
      <c r="AS500" s="373" t="str">
        <f>CS_PID!AS500/VLOOKUP($B500,표2[#ALL],2)/HLOOKUP($A500,표1[#ALL],row(),false)</f>
        <v>#N/A</v>
      </c>
    </row>
    <row r="501">
      <c r="A501" s="374"/>
      <c r="B501" s="375"/>
      <c r="C501" s="376" t="str">
        <f>CS_PID!C501/VLOOKUP($B501,표2[#ALL],2)</f>
        <v>#N/A</v>
      </c>
      <c r="D501" s="376" t="str">
        <f>CS_PID!D501/VLOOKUP($B501,표2[#ALL],2)</f>
        <v>#N/A</v>
      </c>
      <c r="E501" s="376" t="str">
        <f>CS_PID!E501/VLOOKUP($B501,표2[#ALL],2)</f>
        <v>#N/A</v>
      </c>
      <c r="F501" s="376" t="str">
        <f>CS_PID!F501/VLOOKUP($B501,표2[#ALL],2)</f>
        <v>#N/A</v>
      </c>
      <c r="G501" s="376" t="str">
        <f>CS_PID!G501/VLOOKUP($B501,표2[#ALL],2)</f>
        <v>#N/A</v>
      </c>
      <c r="H501" s="376" t="str">
        <f>CS_PID!H501/VLOOKUP($B501,표2[#ALL],2)/HLOOKUP($A501,표1[#ALL],row(),false)</f>
        <v>#N/A</v>
      </c>
      <c r="I501" s="376" t="str">
        <f>CS_PID!I501/VLOOKUP($B501,표2[#ALL],2)/HLOOKUP($A501,표1[#ALL],row(),false)</f>
        <v>#N/A</v>
      </c>
      <c r="J501" s="376" t="str">
        <f>CS_PID!J501/VLOOKUP($B501,표2[#ALL],2)/HLOOKUP($A501,표1[#ALL],row(),false)</f>
        <v>#N/A</v>
      </c>
      <c r="K501" s="376" t="str">
        <f>CS_PID!K501/VLOOKUP($B501,표2[#ALL],2)/HLOOKUP($A501,표1[#ALL],row(),false)</f>
        <v>#N/A</v>
      </c>
      <c r="L501" s="376" t="str">
        <f>CS_PID!L501/VLOOKUP($B501,표2[#ALL],2)/HLOOKUP($A501,표1[#ALL],row(),false)</f>
        <v>#N/A</v>
      </c>
      <c r="M501" s="376" t="str">
        <f>CS_PID!M501/VLOOKUP($B501,표2[#ALL],2)/HLOOKUP($A501,표1[#ALL],row(),false)</f>
        <v>#N/A</v>
      </c>
      <c r="N501" s="376" t="str">
        <f>CS_PID!N501/VLOOKUP($B501,표2[#ALL],2)/HLOOKUP($A501,표1[#ALL],row(),false)</f>
        <v>#N/A</v>
      </c>
      <c r="O501" s="376" t="str">
        <f>CS_PID!O501/VLOOKUP($B501,표2[#ALL],2)/HLOOKUP($A501,표1[#ALL],row(),false)</f>
        <v>#N/A</v>
      </c>
      <c r="P501" s="376" t="str">
        <f>CS_PID!P501/VLOOKUP($B501,표2[#ALL],2)/HLOOKUP($A501,표1[#ALL],row(),false)</f>
        <v>#N/A</v>
      </c>
      <c r="Q501" s="376" t="str">
        <f>CS_PID!Q501/VLOOKUP($B501,표2[#ALL],2)/HLOOKUP($A501,표1[#ALL],row(),false)</f>
        <v>#N/A</v>
      </c>
      <c r="R501" s="376" t="str">
        <f>CS_PID!R501/VLOOKUP($B501,표2[#ALL],2)/HLOOKUP($A501,표1[#ALL],row(),false)</f>
        <v>#N/A</v>
      </c>
      <c r="S501" s="376" t="str">
        <f>CS_PID!S501/VLOOKUP($B501,표2[#ALL],2)/HLOOKUP($A501,표1[#ALL],row(),false)</f>
        <v>#N/A</v>
      </c>
      <c r="T501" s="376" t="str">
        <f>CS_PID!T501/VLOOKUP($B501,표2[#ALL],2)/HLOOKUP($A501,표1[#ALL],row(),false)</f>
        <v>#N/A</v>
      </c>
      <c r="U501" s="376" t="str">
        <f>CS_PID!U501/VLOOKUP($B501,표2[#ALL],2)/HLOOKUP($A501,표1[#ALL],row(),false)</f>
        <v>#N/A</v>
      </c>
      <c r="V501" s="376" t="str">
        <f>CS_PID!V501/VLOOKUP($B501,표2[#ALL],2)/HLOOKUP($A501,표1[#ALL],row(),false)</f>
        <v>#N/A</v>
      </c>
      <c r="W501" s="376" t="str">
        <f>CS_PID!W501/VLOOKUP($B501,표2[#ALL],2)/HLOOKUP($A501,표1[#ALL],row(),false)</f>
        <v>#N/A</v>
      </c>
      <c r="X501" s="376" t="str">
        <f>CS_PID!X501/VLOOKUP($B501,표2[#ALL],2)/HLOOKUP($A501,표1[#ALL],row(),false)</f>
        <v>#N/A</v>
      </c>
      <c r="Y501" s="376" t="str">
        <f>CS_PID!Y501/VLOOKUP($B501,표2[#ALL],2)/HLOOKUP($A501,표1[#ALL],row(),false)</f>
        <v>#N/A</v>
      </c>
      <c r="Z501" s="376" t="str">
        <f>CS_PID!Z501/VLOOKUP($B501,표2[#ALL],2)/HLOOKUP($A501,표1[#ALL],row(),false)</f>
        <v>#N/A</v>
      </c>
      <c r="AA501" s="376" t="str">
        <f>CS_PID!AA501/VLOOKUP($B501,표2[#ALL],2)/HLOOKUP($A501,표1[#ALL],row(),false)</f>
        <v>#N/A</v>
      </c>
      <c r="AB501" s="376" t="str">
        <f>CS_PID!AB501/VLOOKUP($B501,표2[#ALL],2)/HLOOKUP($A501,표1[#ALL],row(),false)</f>
        <v>#N/A</v>
      </c>
      <c r="AC501" s="376" t="str">
        <f>CS_PID!AC501/VLOOKUP($B501,표2[#ALL],2)/HLOOKUP($A501,표1[#ALL],row(),false)</f>
        <v>#N/A</v>
      </c>
      <c r="AD501" s="376" t="str">
        <f>CS_PID!AD501/VLOOKUP($B501,표2[#ALL],2)/HLOOKUP($A501,표1[#ALL],row(),false)</f>
        <v>#N/A</v>
      </c>
      <c r="AE501" s="376" t="str">
        <f>CS_PID!AE501/VLOOKUP($B501,표2[#ALL],2)/HLOOKUP($A501,표1[#ALL],row(),false)</f>
        <v>#N/A</v>
      </c>
      <c r="AF501" s="376" t="str">
        <f>CS_PID!AF501/VLOOKUP($B501,표2[#ALL],2)/HLOOKUP($A501,표1[#ALL],row(),false)</f>
        <v>#N/A</v>
      </c>
      <c r="AG501" s="376" t="str">
        <f>CS_PID!AG501/VLOOKUP($B501,표2[#ALL],2)/HLOOKUP($A501,표1[#ALL],row(),false)</f>
        <v>#N/A</v>
      </c>
      <c r="AH501" s="376" t="str">
        <f>CS_PID!AH501/VLOOKUP($B501,표2[#ALL],2)/HLOOKUP($A501,표1[#ALL],row(),false)</f>
        <v>#N/A</v>
      </c>
      <c r="AI501" s="376" t="str">
        <f>CS_PID!AI501/VLOOKUP($B501,표2[#ALL],2)/HLOOKUP($A501,표1[#ALL],row(),false)</f>
        <v>#N/A</v>
      </c>
      <c r="AJ501" s="376" t="str">
        <f>CS_PID!AJ501/VLOOKUP($B501,표2[#ALL],2)/HLOOKUP($A501,표1[#ALL],row(),false)</f>
        <v>#N/A</v>
      </c>
      <c r="AK501" s="376" t="str">
        <f>CS_PID!AK501/VLOOKUP($B501,표2[#ALL],2)/HLOOKUP($A501,표1[#ALL],row(),false)</f>
        <v>#N/A</v>
      </c>
      <c r="AL501" s="376" t="str">
        <f>CS_PID!AL501/VLOOKUP($B501,표2[#ALL],2)/HLOOKUP($A501,표1[#ALL],row(),false)</f>
        <v>#N/A</v>
      </c>
      <c r="AM501" s="376" t="str">
        <f>CS_PID!AM501/VLOOKUP($B501,표2[#ALL],2)/HLOOKUP($A501,표1[#ALL],row(),false)</f>
        <v>#N/A</v>
      </c>
      <c r="AN501" s="376" t="str">
        <f>CS_PID!AN501/VLOOKUP($B501,표2[#ALL],2)/HLOOKUP($A501,표1[#ALL],row(),false)</f>
        <v>#N/A</v>
      </c>
      <c r="AO501" s="376" t="str">
        <f>CS_PID!AO501/VLOOKUP($B501,표2[#ALL],2)/HLOOKUP($A501,표1[#ALL],row(),false)</f>
        <v>#N/A</v>
      </c>
      <c r="AP501" s="376" t="str">
        <f>CS_PID!AP501/VLOOKUP($B501,표2[#ALL],2)/HLOOKUP($A501,표1[#ALL],row(),false)</f>
        <v>#N/A</v>
      </c>
      <c r="AQ501" s="376" t="str">
        <f>CS_PID!AQ501/VLOOKUP($B501,표2[#ALL],2)/HLOOKUP($A501,표1[#ALL],row(),false)</f>
        <v>#N/A</v>
      </c>
      <c r="AR501" s="376" t="str">
        <f>CS_PID!AR501/VLOOKUP($B501,표2[#ALL],2)/HLOOKUP($A501,표1[#ALL],row(),false)</f>
        <v>#N/A</v>
      </c>
      <c r="AS501" s="377" t="str">
        <f>CS_PID!AS501/VLOOKUP($B501,표2[#ALL],2)/HLOOKUP($A501,표1[#ALL],row(),false)</f>
        <v>#N/A</v>
      </c>
    </row>
    <row r="502">
      <c r="A502" s="370"/>
      <c r="B502" s="371"/>
      <c r="C502" s="372" t="str">
        <f>CS_PID!C502/VLOOKUP($B502,표2[#ALL],2)</f>
        <v>#N/A</v>
      </c>
      <c r="D502" s="372" t="str">
        <f>CS_PID!D502/VLOOKUP($B502,표2[#ALL],2)</f>
        <v>#N/A</v>
      </c>
      <c r="E502" s="372" t="str">
        <f>CS_PID!E502/VLOOKUP($B502,표2[#ALL],2)</f>
        <v>#N/A</v>
      </c>
      <c r="F502" s="372" t="str">
        <f>CS_PID!F502/VLOOKUP($B502,표2[#ALL],2)</f>
        <v>#N/A</v>
      </c>
      <c r="G502" s="372" t="str">
        <f>CS_PID!G502/VLOOKUP($B502,표2[#ALL],2)</f>
        <v>#N/A</v>
      </c>
      <c r="H502" s="372" t="str">
        <f>CS_PID!H502/VLOOKUP($B502,표2[#ALL],2)/HLOOKUP($A502,표1[#ALL],row(),false)</f>
        <v>#N/A</v>
      </c>
      <c r="I502" s="372" t="str">
        <f>CS_PID!I502/VLOOKUP($B502,표2[#ALL],2)/HLOOKUP($A502,표1[#ALL],row(),false)</f>
        <v>#N/A</v>
      </c>
      <c r="J502" s="372" t="str">
        <f>CS_PID!J502/VLOOKUP($B502,표2[#ALL],2)/HLOOKUP($A502,표1[#ALL],row(),false)</f>
        <v>#N/A</v>
      </c>
      <c r="K502" s="372" t="str">
        <f>CS_PID!K502/VLOOKUP($B502,표2[#ALL],2)/HLOOKUP($A502,표1[#ALL],row(),false)</f>
        <v>#N/A</v>
      </c>
      <c r="L502" s="372" t="str">
        <f>CS_PID!L502/VLOOKUP($B502,표2[#ALL],2)/HLOOKUP($A502,표1[#ALL],row(),false)</f>
        <v>#N/A</v>
      </c>
      <c r="M502" s="372" t="str">
        <f>CS_PID!M502/VLOOKUP($B502,표2[#ALL],2)/HLOOKUP($A502,표1[#ALL],row(),false)</f>
        <v>#N/A</v>
      </c>
      <c r="N502" s="372" t="str">
        <f>CS_PID!N502/VLOOKUP($B502,표2[#ALL],2)/HLOOKUP($A502,표1[#ALL],row(),false)</f>
        <v>#N/A</v>
      </c>
      <c r="O502" s="372" t="str">
        <f>CS_PID!O502/VLOOKUP($B502,표2[#ALL],2)/HLOOKUP($A502,표1[#ALL],row(),false)</f>
        <v>#N/A</v>
      </c>
      <c r="P502" s="372" t="str">
        <f>CS_PID!P502/VLOOKUP($B502,표2[#ALL],2)/HLOOKUP($A502,표1[#ALL],row(),false)</f>
        <v>#N/A</v>
      </c>
      <c r="Q502" s="372" t="str">
        <f>CS_PID!Q502/VLOOKUP($B502,표2[#ALL],2)/HLOOKUP($A502,표1[#ALL],row(),false)</f>
        <v>#N/A</v>
      </c>
      <c r="R502" s="372" t="str">
        <f>CS_PID!R502/VLOOKUP($B502,표2[#ALL],2)/HLOOKUP($A502,표1[#ALL],row(),false)</f>
        <v>#N/A</v>
      </c>
      <c r="S502" s="372" t="str">
        <f>CS_PID!S502/VLOOKUP($B502,표2[#ALL],2)/HLOOKUP($A502,표1[#ALL],row(),false)</f>
        <v>#N/A</v>
      </c>
      <c r="T502" s="372" t="str">
        <f>CS_PID!T502/VLOOKUP($B502,표2[#ALL],2)/HLOOKUP($A502,표1[#ALL],row(),false)</f>
        <v>#N/A</v>
      </c>
      <c r="U502" s="372" t="str">
        <f>CS_PID!U502/VLOOKUP($B502,표2[#ALL],2)/HLOOKUP($A502,표1[#ALL],row(),false)</f>
        <v>#N/A</v>
      </c>
      <c r="V502" s="372" t="str">
        <f>CS_PID!V502/VLOOKUP($B502,표2[#ALL],2)/HLOOKUP($A502,표1[#ALL],row(),false)</f>
        <v>#N/A</v>
      </c>
      <c r="W502" s="372" t="str">
        <f>CS_PID!W502/VLOOKUP($B502,표2[#ALL],2)/HLOOKUP($A502,표1[#ALL],row(),false)</f>
        <v>#N/A</v>
      </c>
      <c r="X502" s="372" t="str">
        <f>CS_PID!X502/VLOOKUP($B502,표2[#ALL],2)/HLOOKUP($A502,표1[#ALL],row(),false)</f>
        <v>#N/A</v>
      </c>
      <c r="Y502" s="372" t="str">
        <f>CS_PID!Y502/VLOOKUP($B502,표2[#ALL],2)/HLOOKUP($A502,표1[#ALL],row(),false)</f>
        <v>#N/A</v>
      </c>
      <c r="Z502" s="372" t="str">
        <f>CS_PID!Z502/VLOOKUP($B502,표2[#ALL],2)/HLOOKUP($A502,표1[#ALL],row(),false)</f>
        <v>#N/A</v>
      </c>
      <c r="AA502" s="372" t="str">
        <f>CS_PID!AA502/VLOOKUP($B502,표2[#ALL],2)/HLOOKUP($A502,표1[#ALL],row(),false)</f>
        <v>#N/A</v>
      </c>
      <c r="AB502" s="372" t="str">
        <f>CS_PID!AB502/VLOOKUP($B502,표2[#ALL],2)/HLOOKUP($A502,표1[#ALL],row(),false)</f>
        <v>#N/A</v>
      </c>
      <c r="AC502" s="372" t="str">
        <f>CS_PID!AC502/VLOOKUP($B502,표2[#ALL],2)/HLOOKUP($A502,표1[#ALL],row(),false)</f>
        <v>#N/A</v>
      </c>
      <c r="AD502" s="372" t="str">
        <f>CS_PID!AD502/VLOOKUP($B502,표2[#ALL],2)/HLOOKUP($A502,표1[#ALL],row(),false)</f>
        <v>#N/A</v>
      </c>
      <c r="AE502" s="372" t="str">
        <f>CS_PID!AE502/VLOOKUP($B502,표2[#ALL],2)/HLOOKUP($A502,표1[#ALL],row(),false)</f>
        <v>#N/A</v>
      </c>
      <c r="AF502" s="372" t="str">
        <f>CS_PID!AF502/VLOOKUP($B502,표2[#ALL],2)/HLOOKUP($A502,표1[#ALL],row(),false)</f>
        <v>#N/A</v>
      </c>
      <c r="AG502" s="372" t="str">
        <f>CS_PID!AG502/VLOOKUP($B502,표2[#ALL],2)/HLOOKUP($A502,표1[#ALL],row(),false)</f>
        <v>#N/A</v>
      </c>
      <c r="AH502" s="372" t="str">
        <f>CS_PID!AH502/VLOOKUP($B502,표2[#ALL],2)/HLOOKUP($A502,표1[#ALL],row(),false)</f>
        <v>#N/A</v>
      </c>
      <c r="AI502" s="372" t="str">
        <f>CS_PID!AI502/VLOOKUP($B502,표2[#ALL],2)/HLOOKUP($A502,표1[#ALL],row(),false)</f>
        <v>#N/A</v>
      </c>
      <c r="AJ502" s="372" t="str">
        <f>CS_PID!AJ502/VLOOKUP($B502,표2[#ALL],2)/HLOOKUP($A502,표1[#ALL],row(),false)</f>
        <v>#N/A</v>
      </c>
      <c r="AK502" s="372" t="str">
        <f>CS_PID!AK502/VLOOKUP($B502,표2[#ALL],2)/HLOOKUP($A502,표1[#ALL],row(),false)</f>
        <v>#N/A</v>
      </c>
      <c r="AL502" s="372" t="str">
        <f>CS_PID!AL502/VLOOKUP($B502,표2[#ALL],2)/HLOOKUP($A502,표1[#ALL],row(),false)</f>
        <v>#N/A</v>
      </c>
      <c r="AM502" s="372" t="str">
        <f>CS_PID!AM502/VLOOKUP($B502,표2[#ALL],2)/HLOOKUP($A502,표1[#ALL],row(),false)</f>
        <v>#N/A</v>
      </c>
      <c r="AN502" s="372" t="str">
        <f>CS_PID!AN502/VLOOKUP($B502,표2[#ALL],2)/HLOOKUP($A502,표1[#ALL],row(),false)</f>
        <v>#N/A</v>
      </c>
      <c r="AO502" s="372" t="str">
        <f>CS_PID!AO502/VLOOKUP($B502,표2[#ALL],2)/HLOOKUP($A502,표1[#ALL],row(),false)</f>
        <v>#N/A</v>
      </c>
      <c r="AP502" s="372" t="str">
        <f>CS_PID!AP502/VLOOKUP($B502,표2[#ALL],2)/HLOOKUP($A502,표1[#ALL],row(),false)</f>
        <v>#N/A</v>
      </c>
      <c r="AQ502" s="372" t="str">
        <f>CS_PID!AQ502/VLOOKUP($B502,표2[#ALL],2)/HLOOKUP($A502,표1[#ALL],row(),false)</f>
        <v>#N/A</v>
      </c>
      <c r="AR502" s="372" t="str">
        <f>CS_PID!AR502/VLOOKUP($B502,표2[#ALL],2)/HLOOKUP($A502,표1[#ALL],row(),false)</f>
        <v>#N/A</v>
      </c>
      <c r="AS502" s="373" t="str">
        <f>CS_PID!AS502/VLOOKUP($B502,표2[#ALL],2)/HLOOKUP($A502,표1[#ALL],row(),false)</f>
        <v>#N/A</v>
      </c>
    </row>
    <row r="503">
      <c r="A503" s="374"/>
      <c r="B503" s="375"/>
      <c r="C503" s="376" t="str">
        <f>CS_PID!C503/VLOOKUP($B503,표2[#ALL],2)</f>
        <v>#N/A</v>
      </c>
      <c r="D503" s="376" t="str">
        <f>CS_PID!D503/VLOOKUP($B503,표2[#ALL],2)</f>
        <v>#N/A</v>
      </c>
      <c r="E503" s="376" t="str">
        <f>CS_PID!E503/VLOOKUP($B503,표2[#ALL],2)</f>
        <v>#N/A</v>
      </c>
      <c r="F503" s="376" t="str">
        <f>CS_PID!F503/VLOOKUP($B503,표2[#ALL],2)</f>
        <v>#N/A</v>
      </c>
      <c r="G503" s="376" t="str">
        <f>CS_PID!G503/VLOOKUP($B503,표2[#ALL],2)</f>
        <v>#N/A</v>
      </c>
      <c r="H503" s="376" t="str">
        <f>CS_PID!H503/VLOOKUP($B503,표2[#ALL],2)/HLOOKUP($A503,표1[#ALL],row(),false)</f>
        <v>#N/A</v>
      </c>
      <c r="I503" s="376" t="str">
        <f>CS_PID!I503/VLOOKUP($B503,표2[#ALL],2)/HLOOKUP($A503,표1[#ALL],row(),false)</f>
        <v>#N/A</v>
      </c>
      <c r="J503" s="376" t="str">
        <f>CS_PID!J503/VLOOKUP($B503,표2[#ALL],2)/HLOOKUP($A503,표1[#ALL],row(),false)</f>
        <v>#N/A</v>
      </c>
      <c r="K503" s="376" t="str">
        <f>CS_PID!K503/VLOOKUP($B503,표2[#ALL],2)/HLOOKUP($A503,표1[#ALL],row(),false)</f>
        <v>#N/A</v>
      </c>
      <c r="L503" s="376" t="str">
        <f>CS_PID!L503/VLOOKUP($B503,표2[#ALL],2)/HLOOKUP($A503,표1[#ALL],row(),false)</f>
        <v>#N/A</v>
      </c>
      <c r="M503" s="376" t="str">
        <f>CS_PID!M503/VLOOKUP($B503,표2[#ALL],2)/HLOOKUP($A503,표1[#ALL],row(),false)</f>
        <v>#N/A</v>
      </c>
      <c r="N503" s="376" t="str">
        <f>CS_PID!N503/VLOOKUP($B503,표2[#ALL],2)/HLOOKUP($A503,표1[#ALL],row(),false)</f>
        <v>#N/A</v>
      </c>
      <c r="O503" s="376" t="str">
        <f>CS_PID!O503/VLOOKUP($B503,표2[#ALL],2)/HLOOKUP($A503,표1[#ALL],row(),false)</f>
        <v>#N/A</v>
      </c>
      <c r="P503" s="376" t="str">
        <f>CS_PID!P503/VLOOKUP($B503,표2[#ALL],2)/HLOOKUP($A503,표1[#ALL],row(),false)</f>
        <v>#N/A</v>
      </c>
      <c r="Q503" s="376" t="str">
        <f>CS_PID!Q503/VLOOKUP($B503,표2[#ALL],2)/HLOOKUP($A503,표1[#ALL],row(),false)</f>
        <v>#N/A</v>
      </c>
      <c r="R503" s="376" t="str">
        <f>CS_PID!R503/VLOOKUP($B503,표2[#ALL],2)/HLOOKUP($A503,표1[#ALL],row(),false)</f>
        <v>#N/A</v>
      </c>
      <c r="S503" s="376" t="str">
        <f>CS_PID!S503/VLOOKUP($B503,표2[#ALL],2)/HLOOKUP($A503,표1[#ALL],row(),false)</f>
        <v>#N/A</v>
      </c>
      <c r="T503" s="376" t="str">
        <f>CS_PID!T503/VLOOKUP($B503,표2[#ALL],2)/HLOOKUP($A503,표1[#ALL],row(),false)</f>
        <v>#N/A</v>
      </c>
      <c r="U503" s="376" t="str">
        <f>CS_PID!U503/VLOOKUP($B503,표2[#ALL],2)/HLOOKUP($A503,표1[#ALL],row(),false)</f>
        <v>#N/A</v>
      </c>
      <c r="V503" s="376" t="str">
        <f>CS_PID!V503/VLOOKUP($B503,표2[#ALL],2)/HLOOKUP($A503,표1[#ALL],row(),false)</f>
        <v>#N/A</v>
      </c>
      <c r="W503" s="376" t="str">
        <f>CS_PID!W503/VLOOKUP($B503,표2[#ALL],2)/HLOOKUP($A503,표1[#ALL],row(),false)</f>
        <v>#N/A</v>
      </c>
      <c r="X503" s="376" t="str">
        <f>CS_PID!X503/VLOOKUP($B503,표2[#ALL],2)/HLOOKUP($A503,표1[#ALL],row(),false)</f>
        <v>#N/A</v>
      </c>
      <c r="Y503" s="376" t="str">
        <f>CS_PID!Y503/VLOOKUP($B503,표2[#ALL],2)/HLOOKUP($A503,표1[#ALL],row(),false)</f>
        <v>#N/A</v>
      </c>
      <c r="Z503" s="376" t="str">
        <f>CS_PID!Z503/VLOOKUP($B503,표2[#ALL],2)/HLOOKUP($A503,표1[#ALL],row(),false)</f>
        <v>#N/A</v>
      </c>
      <c r="AA503" s="376" t="str">
        <f>CS_PID!AA503/VLOOKUP($B503,표2[#ALL],2)/HLOOKUP($A503,표1[#ALL],row(),false)</f>
        <v>#N/A</v>
      </c>
      <c r="AB503" s="376" t="str">
        <f>CS_PID!AB503/VLOOKUP($B503,표2[#ALL],2)/HLOOKUP($A503,표1[#ALL],row(),false)</f>
        <v>#N/A</v>
      </c>
      <c r="AC503" s="376" t="str">
        <f>CS_PID!AC503/VLOOKUP($B503,표2[#ALL],2)/HLOOKUP($A503,표1[#ALL],row(),false)</f>
        <v>#N/A</v>
      </c>
      <c r="AD503" s="376" t="str">
        <f>CS_PID!AD503/VLOOKUP($B503,표2[#ALL],2)/HLOOKUP($A503,표1[#ALL],row(),false)</f>
        <v>#N/A</v>
      </c>
      <c r="AE503" s="376" t="str">
        <f>CS_PID!AE503/VLOOKUP($B503,표2[#ALL],2)/HLOOKUP($A503,표1[#ALL],row(),false)</f>
        <v>#N/A</v>
      </c>
      <c r="AF503" s="376" t="str">
        <f>CS_PID!AF503/VLOOKUP($B503,표2[#ALL],2)/HLOOKUP($A503,표1[#ALL],row(),false)</f>
        <v>#N/A</v>
      </c>
      <c r="AG503" s="376" t="str">
        <f>CS_PID!AG503/VLOOKUP($B503,표2[#ALL],2)/HLOOKUP($A503,표1[#ALL],row(),false)</f>
        <v>#N/A</v>
      </c>
      <c r="AH503" s="376" t="str">
        <f>CS_PID!AH503/VLOOKUP($B503,표2[#ALL],2)/HLOOKUP($A503,표1[#ALL],row(),false)</f>
        <v>#N/A</v>
      </c>
      <c r="AI503" s="376" t="str">
        <f>CS_PID!AI503/VLOOKUP($B503,표2[#ALL],2)/HLOOKUP($A503,표1[#ALL],row(),false)</f>
        <v>#N/A</v>
      </c>
      <c r="AJ503" s="376" t="str">
        <f>CS_PID!AJ503/VLOOKUP($B503,표2[#ALL],2)/HLOOKUP($A503,표1[#ALL],row(),false)</f>
        <v>#N/A</v>
      </c>
      <c r="AK503" s="376" t="str">
        <f>CS_PID!AK503/VLOOKUP($B503,표2[#ALL],2)/HLOOKUP($A503,표1[#ALL],row(),false)</f>
        <v>#N/A</v>
      </c>
      <c r="AL503" s="376" t="str">
        <f>CS_PID!AL503/VLOOKUP($B503,표2[#ALL],2)/HLOOKUP($A503,표1[#ALL],row(),false)</f>
        <v>#N/A</v>
      </c>
      <c r="AM503" s="376" t="str">
        <f>CS_PID!AM503/VLOOKUP($B503,표2[#ALL],2)/HLOOKUP($A503,표1[#ALL],row(),false)</f>
        <v>#N/A</v>
      </c>
      <c r="AN503" s="376" t="str">
        <f>CS_PID!AN503/VLOOKUP($B503,표2[#ALL],2)/HLOOKUP($A503,표1[#ALL],row(),false)</f>
        <v>#N/A</v>
      </c>
      <c r="AO503" s="376" t="str">
        <f>CS_PID!AO503/VLOOKUP($B503,표2[#ALL],2)/HLOOKUP($A503,표1[#ALL],row(),false)</f>
        <v>#N/A</v>
      </c>
      <c r="AP503" s="376" t="str">
        <f>CS_PID!AP503/VLOOKUP($B503,표2[#ALL],2)/HLOOKUP($A503,표1[#ALL],row(),false)</f>
        <v>#N/A</v>
      </c>
      <c r="AQ503" s="376" t="str">
        <f>CS_PID!AQ503/VLOOKUP($B503,표2[#ALL],2)/HLOOKUP($A503,표1[#ALL],row(),false)</f>
        <v>#N/A</v>
      </c>
      <c r="AR503" s="376" t="str">
        <f>CS_PID!AR503/VLOOKUP($B503,표2[#ALL],2)/HLOOKUP($A503,표1[#ALL],row(),false)</f>
        <v>#N/A</v>
      </c>
      <c r="AS503" s="377" t="str">
        <f>CS_PID!AS503/VLOOKUP($B503,표2[#ALL],2)/HLOOKUP($A503,표1[#ALL],row(),false)</f>
        <v>#N/A</v>
      </c>
    </row>
    <row r="504">
      <c r="A504" s="370"/>
      <c r="B504" s="371"/>
      <c r="C504" s="372" t="str">
        <f>CS_PID!C504/VLOOKUP($B504,표2[#ALL],2)</f>
        <v>#N/A</v>
      </c>
      <c r="D504" s="372" t="str">
        <f>CS_PID!D504/VLOOKUP($B504,표2[#ALL],2)</f>
        <v>#N/A</v>
      </c>
      <c r="E504" s="372" t="str">
        <f>CS_PID!E504/VLOOKUP($B504,표2[#ALL],2)</f>
        <v>#N/A</v>
      </c>
      <c r="F504" s="372" t="str">
        <f>CS_PID!F504/VLOOKUP($B504,표2[#ALL],2)</f>
        <v>#N/A</v>
      </c>
      <c r="G504" s="372" t="str">
        <f>CS_PID!G504/VLOOKUP($B504,표2[#ALL],2)</f>
        <v>#N/A</v>
      </c>
      <c r="H504" s="372" t="str">
        <f>CS_PID!H504/VLOOKUP($B504,표2[#ALL],2)/HLOOKUP($A504,표1[#ALL],row(),false)</f>
        <v>#N/A</v>
      </c>
      <c r="I504" s="372" t="str">
        <f>CS_PID!I504/VLOOKUP($B504,표2[#ALL],2)/HLOOKUP($A504,표1[#ALL],row(),false)</f>
        <v>#N/A</v>
      </c>
      <c r="J504" s="372" t="str">
        <f>CS_PID!J504/VLOOKUP($B504,표2[#ALL],2)/HLOOKUP($A504,표1[#ALL],row(),false)</f>
        <v>#N/A</v>
      </c>
      <c r="K504" s="372" t="str">
        <f>CS_PID!K504/VLOOKUP($B504,표2[#ALL],2)/HLOOKUP($A504,표1[#ALL],row(),false)</f>
        <v>#N/A</v>
      </c>
      <c r="L504" s="372" t="str">
        <f>CS_PID!L504/VLOOKUP($B504,표2[#ALL],2)/HLOOKUP($A504,표1[#ALL],row(),false)</f>
        <v>#N/A</v>
      </c>
      <c r="M504" s="372" t="str">
        <f>CS_PID!M504/VLOOKUP($B504,표2[#ALL],2)/HLOOKUP($A504,표1[#ALL],row(),false)</f>
        <v>#N/A</v>
      </c>
      <c r="N504" s="372" t="str">
        <f>CS_PID!N504/VLOOKUP($B504,표2[#ALL],2)/HLOOKUP($A504,표1[#ALL],row(),false)</f>
        <v>#N/A</v>
      </c>
      <c r="O504" s="372" t="str">
        <f>CS_PID!O504/VLOOKUP($B504,표2[#ALL],2)/HLOOKUP($A504,표1[#ALL],row(),false)</f>
        <v>#N/A</v>
      </c>
      <c r="P504" s="372" t="str">
        <f>CS_PID!P504/VLOOKUP($B504,표2[#ALL],2)/HLOOKUP($A504,표1[#ALL],row(),false)</f>
        <v>#N/A</v>
      </c>
      <c r="Q504" s="372" t="str">
        <f>CS_PID!Q504/VLOOKUP($B504,표2[#ALL],2)/HLOOKUP($A504,표1[#ALL],row(),false)</f>
        <v>#N/A</v>
      </c>
      <c r="R504" s="372" t="str">
        <f>CS_PID!R504/VLOOKUP($B504,표2[#ALL],2)/HLOOKUP($A504,표1[#ALL],row(),false)</f>
        <v>#N/A</v>
      </c>
      <c r="S504" s="372" t="str">
        <f>CS_PID!S504/VLOOKUP($B504,표2[#ALL],2)/HLOOKUP($A504,표1[#ALL],row(),false)</f>
        <v>#N/A</v>
      </c>
      <c r="T504" s="372" t="str">
        <f>CS_PID!T504/VLOOKUP($B504,표2[#ALL],2)/HLOOKUP($A504,표1[#ALL],row(),false)</f>
        <v>#N/A</v>
      </c>
      <c r="U504" s="372" t="str">
        <f>CS_PID!U504/VLOOKUP($B504,표2[#ALL],2)/HLOOKUP($A504,표1[#ALL],row(),false)</f>
        <v>#N/A</v>
      </c>
      <c r="V504" s="372" t="str">
        <f>CS_PID!V504/VLOOKUP($B504,표2[#ALL],2)/HLOOKUP($A504,표1[#ALL],row(),false)</f>
        <v>#N/A</v>
      </c>
      <c r="W504" s="372" t="str">
        <f>CS_PID!W504/VLOOKUP($B504,표2[#ALL],2)/HLOOKUP($A504,표1[#ALL],row(),false)</f>
        <v>#N/A</v>
      </c>
      <c r="X504" s="372" t="str">
        <f>CS_PID!X504/VLOOKUP($B504,표2[#ALL],2)/HLOOKUP($A504,표1[#ALL],row(),false)</f>
        <v>#N/A</v>
      </c>
      <c r="Y504" s="372" t="str">
        <f>CS_PID!Y504/VLOOKUP($B504,표2[#ALL],2)/HLOOKUP($A504,표1[#ALL],row(),false)</f>
        <v>#N/A</v>
      </c>
      <c r="Z504" s="372" t="str">
        <f>CS_PID!Z504/VLOOKUP($B504,표2[#ALL],2)/HLOOKUP($A504,표1[#ALL],row(),false)</f>
        <v>#N/A</v>
      </c>
      <c r="AA504" s="372" t="str">
        <f>CS_PID!AA504/VLOOKUP($B504,표2[#ALL],2)/HLOOKUP($A504,표1[#ALL],row(),false)</f>
        <v>#N/A</v>
      </c>
      <c r="AB504" s="372" t="str">
        <f>CS_PID!AB504/VLOOKUP($B504,표2[#ALL],2)/HLOOKUP($A504,표1[#ALL],row(),false)</f>
        <v>#N/A</v>
      </c>
      <c r="AC504" s="372" t="str">
        <f>CS_PID!AC504/VLOOKUP($B504,표2[#ALL],2)/HLOOKUP($A504,표1[#ALL],row(),false)</f>
        <v>#N/A</v>
      </c>
      <c r="AD504" s="372" t="str">
        <f>CS_PID!AD504/VLOOKUP($B504,표2[#ALL],2)/HLOOKUP($A504,표1[#ALL],row(),false)</f>
        <v>#N/A</v>
      </c>
      <c r="AE504" s="372" t="str">
        <f>CS_PID!AE504/VLOOKUP($B504,표2[#ALL],2)/HLOOKUP($A504,표1[#ALL],row(),false)</f>
        <v>#N/A</v>
      </c>
      <c r="AF504" s="372" t="str">
        <f>CS_PID!AF504/VLOOKUP($B504,표2[#ALL],2)/HLOOKUP($A504,표1[#ALL],row(),false)</f>
        <v>#N/A</v>
      </c>
      <c r="AG504" s="372" t="str">
        <f>CS_PID!AG504/VLOOKUP($B504,표2[#ALL],2)/HLOOKUP($A504,표1[#ALL],row(),false)</f>
        <v>#N/A</v>
      </c>
      <c r="AH504" s="372" t="str">
        <f>CS_PID!AH504/VLOOKUP($B504,표2[#ALL],2)/HLOOKUP($A504,표1[#ALL],row(),false)</f>
        <v>#N/A</v>
      </c>
      <c r="AI504" s="372" t="str">
        <f>CS_PID!AI504/VLOOKUP($B504,표2[#ALL],2)/HLOOKUP($A504,표1[#ALL],row(),false)</f>
        <v>#N/A</v>
      </c>
      <c r="AJ504" s="372" t="str">
        <f>CS_PID!AJ504/VLOOKUP($B504,표2[#ALL],2)/HLOOKUP($A504,표1[#ALL],row(),false)</f>
        <v>#N/A</v>
      </c>
      <c r="AK504" s="372" t="str">
        <f>CS_PID!AK504/VLOOKUP($B504,표2[#ALL],2)/HLOOKUP($A504,표1[#ALL],row(),false)</f>
        <v>#N/A</v>
      </c>
      <c r="AL504" s="372" t="str">
        <f>CS_PID!AL504/VLOOKUP($B504,표2[#ALL],2)/HLOOKUP($A504,표1[#ALL],row(),false)</f>
        <v>#N/A</v>
      </c>
      <c r="AM504" s="372" t="str">
        <f>CS_PID!AM504/VLOOKUP($B504,표2[#ALL],2)/HLOOKUP($A504,표1[#ALL],row(),false)</f>
        <v>#N/A</v>
      </c>
      <c r="AN504" s="372" t="str">
        <f>CS_PID!AN504/VLOOKUP($B504,표2[#ALL],2)/HLOOKUP($A504,표1[#ALL],row(),false)</f>
        <v>#N/A</v>
      </c>
      <c r="AO504" s="372" t="str">
        <f>CS_PID!AO504/VLOOKUP($B504,표2[#ALL],2)/HLOOKUP($A504,표1[#ALL],row(),false)</f>
        <v>#N/A</v>
      </c>
      <c r="AP504" s="372" t="str">
        <f>CS_PID!AP504/VLOOKUP($B504,표2[#ALL],2)/HLOOKUP($A504,표1[#ALL],row(),false)</f>
        <v>#N/A</v>
      </c>
      <c r="AQ504" s="372" t="str">
        <f>CS_PID!AQ504/VLOOKUP($B504,표2[#ALL],2)/HLOOKUP($A504,표1[#ALL],row(),false)</f>
        <v>#N/A</v>
      </c>
      <c r="AR504" s="372" t="str">
        <f>CS_PID!AR504/VLOOKUP($B504,표2[#ALL],2)/HLOOKUP($A504,표1[#ALL],row(),false)</f>
        <v>#N/A</v>
      </c>
      <c r="AS504" s="373" t="str">
        <f>CS_PID!AS504/VLOOKUP($B504,표2[#ALL],2)/HLOOKUP($A504,표1[#ALL],row(),false)</f>
        <v>#N/A</v>
      </c>
    </row>
    <row r="505">
      <c r="A505" s="374"/>
      <c r="B505" s="375"/>
      <c r="C505" s="376" t="str">
        <f>CS_PID!C505/VLOOKUP($B505,표2[#ALL],2)</f>
        <v>#N/A</v>
      </c>
      <c r="D505" s="376" t="str">
        <f>CS_PID!D505/VLOOKUP($B505,표2[#ALL],2)</f>
        <v>#N/A</v>
      </c>
      <c r="E505" s="376" t="str">
        <f>CS_PID!E505/VLOOKUP($B505,표2[#ALL],2)</f>
        <v>#N/A</v>
      </c>
      <c r="F505" s="376" t="str">
        <f>CS_PID!F505/VLOOKUP($B505,표2[#ALL],2)</f>
        <v>#N/A</v>
      </c>
      <c r="G505" s="376" t="str">
        <f>CS_PID!G505/VLOOKUP($B505,표2[#ALL],2)</f>
        <v>#N/A</v>
      </c>
      <c r="H505" s="376" t="str">
        <f>CS_PID!H505/VLOOKUP($B505,표2[#ALL],2)/HLOOKUP($A505,표1[#ALL],row(),false)</f>
        <v>#N/A</v>
      </c>
      <c r="I505" s="376" t="str">
        <f>CS_PID!I505/VLOOKUP($B505,표2[#ALL],2)/HLOOKUP($A505,표1[#ALL],row(),false)</f>
        <v>#N/A</v>
      </c>
      <c r="J505" s="376" t="str">
        <f>CS_PID!J505/VLOOKUP($B505,표2[#ALL],2)/HLOOKUP($A505,표1[#ALL],row(),false)</f>
        <v>#N/A</v>
      </c>
      <c r="K505" s="376" t="str">
        <f>CS_PID!K505/VLOOKUP($B505,표2[#ALL],2)/HLOOKUP($A505,표1[#ALL],row(),false)</f>
        <v>#N/A</v>
      </c>
      <c r="L505" s="376" t="str">
        <f>CS_PID!L505/VLOOKUP($B505,표2[#ALL],2)/HLOOKUP($A505,표1[#ALL],row(),false)</f>
        <v>#N/A</v>
      </c>
      <c r="M505" s="376" t="str">
        <f>CS_PID!M505/VLOOKUP($B505,표2[#ALL],2)/HLOOKUP($A505,표1[#ALL],row(),false)</f>
        <v>#N/A</v>
      </c>
      <c r="N505" s="376" t="str">
        <f>CS_PID!N505/VLOOKUP($B505,표2[#ALL],2)/HLOOKUP($A505,표1[#ALL],row(),false)</f>
        <v>#N/A</v>
      </c>
      <c r="O505" s="376" t="str">
        <f>CS_PID!O505/VLOOKUP($B505,표2[#ALL],2)/HLOOKUP($A505,표1[#ALL],row(),false)</f>
        <v>#N/A</v>
      </c>
      <c r="P505" s="376" t="str">
        <f>CS_PID!P505/VLOOKUP($B505,표2[#ALL],2)/HLOOKUP($A505,표1[#ALL],row(),false)</f>
        <v>#N/A</v>
      </c>
      <c r="Q505" s="376" t="str">
        <f>CS_PID!Q505/VLOOKUP($B505,표2[#ALL],2)/HLOOKUP($A505,표1[#ALL],row(),false)</f>
        <v>#N/A</v>
      </c>
      <c r="R505" s="376" t="str">
        <f>CS_PID!R505/VLOOKUP($B505,표2[#ALL],2)/HLOOKUP($A505,표1[#ALL],row(),false)</f>
        <v>#N/A</v>
      </c>
      <c r="S505" s="376" t="str">
        <f>CS_PID!S505/VLOOKUP($B505,표2[#ALL],2)/HLOOKUP($A505,표1[#ALL],row(),false)</f>
        <v>#N/A</v>
      </c>
      <c r="T505" s="376" t="str">
        <f>CS_PID!T505/VLOOKUP($B505,표2[#ALL],2)/HLOOKUP($A505,표1[#ALL],row(),false)</f>
        <v>#N/A</v>
      </c>
      <c r="U505" s="376" t="str">
        <f>CS_PID!U505/VLOOKUP($B505,표2[#ALL],2)/HLOOKUP($A505,표1[#ALL],row(),false)</f>
        <v>#N/A</v>
      </c>
      <c r="V505" s="376" t="str">
        <f>CS_PID!V505/VLOOKUP($B505,표2[#ALL],2)/HLOOKUP($A505,표1[#ALL],row(),false)</f>
        <v>#N/A</v>
      </c>
      <c r="W505" s="376" t="str">
        <f>CS_PID!W505/VLOOKUP($B505,표2[#ALL],2)/HLOOKUP($A505,표1[#ALL],row(),false)</f>
        <v>#N/A</v>
      </c>
      <c r="X505" s="376" t="str">
        <f>CS_PID!X505/VLOOKUP($B505,표2[#ALL],2)/HLOOKUP($A505,표1[#ALL],row(),false)</f>
        <v>#N/A</v>
      </c>
      <c r="Y505" s="376" t="str">
        <f>CS_PID!Y505/VLOOKUP($B505,표2[#ALL],2)/HLOOKUP($A505,표1[#ALL],row(),false)</f>
        <v>#N/A</v>
      </c>
      <c r="Z505" s="376" t="str">
        <f>CS_PID!Z505/VLOOKUP($B505,표2[#ALL],2)/HLOOKUP($A505,표1[#ALL],row(),false)</f>
        <v>#N/A</v>
      </c>
      <c r="AA505" s="376" t="str">
        <f>CS_PID!AA505/VLOOKUP($B505,표2[#ALL],2)/HLOOKUP($A505,표1[#ALL],row(),false)</f>
        <v>#N/A</v>
      </c>
      <c r="AB505" s="376" t="str">
        <f>CS_PID!AB505/VLOOKUP($B505,표2[#ALL],2)/HLOOKUP($A505,표1[#ALL],row(),false)</f>
        <v>#N/A</v>
      </c>
      <c r="AC505" s="376" t="str">
        <f>CS_PID!AC505/VLOOKUP($B505,표2[#ALL],2)/HLOOKUP($A505,표1[#ALL],row(),false)</f>
        <v>#N/A</v>
      </c>
      <c r="AD505" s="376" t="str">
        <f>CS_PID!AD505/VLOOKUP($B505,표2[#ALL],2)/HLOOKUP($A505,표1[#ALL],row(),false)</f>
        <v>#N/A</v>
      </c>
      <c r="AE505" s="376" t="str">
        <f>CS_PID!AE505/VLOOKUP($B505,표2[#ALL],2)/HLOOKUP($A505,표1[#ALL],row(),false)</f>
        <v>#N/A</v>
      </c>
      <c r="AF505" s="376" t="str">
        <f>CS_PID!AF505/VLOOKUP($B505,표2[#ALL],2)/HLOOKUP($A505,표1[#ALL],row(),false)</f>
        <v>#N/A</v>
      </c>
      <c r="AG505" s="376" t="str">
        <f>CS_PID!AG505/VLOOKUP($B505,표2[#ALL],2)/HLOOKUP($A505,표1[#ALL],row(),false)</f>
        <v>#N/A</v>
      </c>
      <c r="AH505" s="376" t="str">
        <f>CS_PID!AH505/VLOOKUP($B505,표2[#ALL],2)/HLOOKUP($A505,표1[#ALL],row(),false)</f>
        <v>#N/A</v>
      </c>
      <c r="AI505" s="376" t="str">
        <f>CS_PID!AI505/VLOOKUP($B505,표2[#ALL],2)/HLOOKUP($A505,표1[#ALL],row(),false)</f>
        <v>#N/A</v>
      </c>
      <c r="AJ505" s="376" t="str">
        <f>CS_PID!AJ505/VLOOKUP($B505,표2[#ALL],2)/HLOOKUP($A505,표1[#ALL],row(),false)</f>
        <v>#N/A</v>
      </c>
      <c r="AK505" s="376" t="str">
        <f>CS_PID!AK505/VLOOKUP($B505,표2[#ALL],2)/HLOOKUP($A505,표1[#ALL],row(),false)</f>
        <v>#N/A</v>
      </c>
      <c r="AL505" s="376" t="str">
        <f>CS_PID!AL505/VLOOKUP($B505,표2[#ALL],2)/HLOOKUP($A505,표1[#ALL],row(),false)</f>
        <v>#N/A</v>
      </c>
      <c r="AM505" s="376" t="str">
        <f>CS_PID!AM505/VLOOKUP($B505,표2[#ALL],2)/HLOOKUP($A505,표1[#ALL],row(),false)</f>
        <v>#N/A</v>
      </c>
      <c r="AN505" s="376" t="str">
        <f>CS_PID!AN505/VLOOKUP($B505,표2[#ALL],2)/HLOOKUP($A505,표1[#ALL],row(),false)</f>
        <v>#N/A</v>
      </c>
      <c r="AO505" s="376" t="str">
        <f>CS_PID!AO505/VLOOKUP($B505,표2[#ALL],2)/HLOOKUP($A505,표1[#ALL],row(),false)</f>
        <v>#N/A</v>
      </c>
      <c r="AP505" s="376" t="str">
        <f>CS_PID!AP505/VLOOKUP($B505,표2[#ALL],2)/HLOOKUP($A505,표1[#ALL],row(),false)</f>
        <v>#N/A</v>
      </c>
      <c r="AQ505" s="376" t="str">
        <f>CS_PID!AQ505/VLOOKUP($B505,표2[#ALL],2)/HLOOKUP($A505,표1[#ALL],row(),false)</f>
        <v>#N/A</v>
      </c>
      <c r="AR505" s="376" t="str">
        <f>CS_PID!AR505/VLOOKUP($B505,표2[#ALL],2)/HLOOKUP($A505,표1[#ALL],row(),false)</f>
        <v>#N/A</v>
      </c>
      <c r="AS505" s="377" t="str">
        <f>CS_PID!AS505/VLOOKUP($B505,표2[#ALL],2)/HLOOKUP($A505,표1[#ALL],row(),false)</f>
        <v>#N/A</v>
      </c>
    </row>
    <row r="506">
      <c r="A506" s="370"/>
      <c r="B506" s="371"/>
      <c r="C506" s="372" t="str">
        <f>CS_PID!C506/VLOOKUP($B506,표2[#ALL],2)</f>
        <v>#N/A</v>
      </c>
      <c r="D506" s="372" t="str">
        <f>CS_PID!D506/VLOOKUP($B506,표2[#ALL],2)</f>
        <v>#N/A</v>
      </c>
      <c r="E506" s="372" t="str">
        <f>CS_PID!E506/VLOOKUP($B506,표2[#ALL],2)</f>
        <v>#N/A</v>
      </c>
      <c r="F506" s="372" t="str">
        <f>CS_PID!F506/VLOOKUP($B506,표2[#ALL],2)</f>
        <v>#N/A</v>
      </c>
      <c r="G506" s="372" t="str">
        <f>CS_PID!G506/VLOOKUP($B506,표2[#ALL],2)</f>
        <v>#N/A</v>
      </c>
      <c r="H506" s="372" t="str">
        <f>CS_PID!H506/VLOOKUP($B506,표2[#ALL],2)/HLOOKUP($A506,표1[#ALL],row(),false)</f>
        <v>#N/A</v>
      </c>
      <c r="I506" s="372" t="str">
        <f>CS_PID!I506/VLOOKUP($B506,표2[#ALL],2)/HLOOKUP($A506,표1[#ALL],row(),false)</f>
        <v>#N/A</v>
      </c>
      <c r="J506" s="372" t="str">
        <f>CS_PID!J506/VLOOKUP($B506,표2[#ALL],2)/HLOOKUP($A506,표1[#ALL],row(),false)</f>
        <v>#N/A</v>
      </c>
      <c r="K506" s="372" t="str">
        <f>CS_PID!K506/VLOOKUP($B506,표2[#ALL],2)/HLOOKUP($A506,표1[#ALL],row(),false)</f>
        <v>#N/A</v>
      </c>
      <c r="L506" s="372" t="str">
        <f>CS_PID!L506/VLOOKUP($B506,표2[#ALL],2)/HLOOKUP($A506,표1[#ALL],row(),false)</f>
        <v>#N/A</v>
      </c>
      <c r="M506" s="372" t="str">
        <f>CS_PID!M506/VLOOKUP($B506,표2[#ALL],2)/HLOOKUP($A506,표1[#ALL],row(),false)</f>
        <v>#N/A</v>
      </c>
      <c r="N506" s="372" t="str">
        <f>CS_PID!N506/VLOOKUP($B506,표2[#ALL],2)/HLOOKUP($A506,표1[#ALL],row(),false)</f>
        <v>#N/A</v>
      </c>
      <c r="O506" s="372" t="str">
        <f>CS_PID!O506/VLOOKUP($B506,표2[#ALL],2)/HLOOKUP($A506,표1[#ALL],row(),false)</f>
        <v>#N/A</v>
      </c>
      <c r="P506" s="372" t="str">
        <f>CS_PID!P506/VLOOKUP($B506,표2[#ALL],2)/HLOOKUP($A506,표1[#ALL],row(),false)</f>
        <v>#N/A</v>
      </c>
      <c r="Q506" s="372" t="str">
        <f>CS_PID!Q506/VLOOKUP($B506,표2[#ALL],2)/HLOOKUP($A506,표1[#ALL],row(),false)</f>
        <v>#N/A</v>
      </c>
      <c r="R506" s="372" t="str">
        <f>CS_PID!R506/VLOOKUP($B506,표2[#ALL],2)/HLOOKUP($A506,표1[#ALL],row(),false)</f>
        <v>#N/A</v>
      </c>
      <c r="S506" s="372" t="str">
        <f>CS_PID!S506/VLOOKUP($B506,표2[#ALL],2)/HLOOKUP($A506,표1[#ALL],row(),false)</f>
        <v>#N/A</v>
      </c>
      <c r="T506" s="372" t="str">
        <f>CS_PID!T506/VLOOKUP($B506,표2[#ALL],2)/HLOOKUP($A506,표1[#ALL],row(),false)</f>
        <v>#N/A</v>
      </c>
      <c r="U506" s="372" t="str">
        <f>CS_PID!U506/VLOOKUP($B506,표2[#ALL],2)/HLOOKUP($A506,표1[#ALL],row(),false)</f>
        <v>#N/A</v>
      </c>
      <c r="V506" s="372" t="str">
        <f>CS_PID!V506/VLOOKUP($B506,표2[#ALL],2)/HLOOKUP($A506,표1[#ALL],row(),false)</f>
        <v>#N/A</v>
      </c>
      <c r="W506" s="372" t="str">
        <f>CS_PID!W506/VLOOKUP($B506,표2[#ALL],2)/HLOOKUP($A506,표1[#ALL],row(),false)</f>
        <v>#N/A</v>
      </c>
      <c r="X506" s="372" t="str">
        <f>CS_PID!X506/VLOOKUP($B506,표2[#ALL],2)/HLOOKUP($A506,표1[#ALL],row(),false)</f>
        <v>#N/A</v>
      </c>
      <c r="Y506" s="372" t="str">
        <f>CS_PID!Y506/VLOOKUP($B506,표2[#ALL],2)/HLOOKUP($A506,표1[#ALL],row(),false)</f>
        <v>#N/A</v>
      </c>
      <c r="Z506" s="372" t="str">
        <f>CS_PID!Z506/VLOOKUP($B506,표2[#ALL],2)/HLOOKUP($A506,표1[#ALL],row(),false)</f>
        <v>#N/A</v>
      </c>
      <c r="AA506" s="372" t="str">
        <f>CS_PID!AA506/VLOOKUP($B506,표2[#ALL],2)/HLOOKUP($A506,표1[#ALL],row(),false)</f>
        <v>#N/A</v>
      </c>
      <c r="AB506" s="372" t="str">
        <f>CS_PID!AB506/VLOOKUP($B506,표2[#ALL],2)/HLOOKUP($A506,표1[#ALL],row(),false)</f>
        <v>#N/A</v>
      </c>
      <c r="AC506" s="372" t="str">
        <f>CS_PID!AC506/VLOOKUP($B506,표2[#ALL],2)/HLOOKUP($A506,표1[#ALL],row(),false)</f>
        <v>#N/A</v>
      </c>
      <c r="AD506" s="372" t="str">
        <f>CS_PID!AD506/VLOOKUP($B506,표2[#ALL],2)/HLOOKUP($A506,표1[#ALL],row(),false)</f>
        <v>#N/A</v>
      </c>
      <c r="AE506" s="372" t="str">
        <f>CS_PID!AE506/VLOOKUP($B506,표2[#ALL],2)/HLOOKUP($A506,표1[#ALL],row(),false)</f>
        <v>#N/A</v>
      </c>
      <c r="AF506" s="372" t="str">
        <f>CS_PID!AF506/VLOOKUP($B506,표2[#ALL],2)/HLOOKUP($A506,표1[#ALL],row(),false)</f>
        <v>#N/A</v>
      </c>
      <c r="AG506" s="372" t="str">
        <f>CS_PID!AG506/VLOOKUP($B506,표2[#ALL],2)/HLOOKUP($A506,표1[#ALL],row(),false)</f>
        <v>#N/A</v>
      </c>
      <c r="AH506" s="372" t="str">
        <f>CS_PID!AH506/VLOOKUP($B506,표2[#ALL],2)/HLOOKUP($A506,표1[#ALL],row(),false)</f>
        <v>#N/A</v>
      </c>
      <c r="AI506" s="372" t="str">
        <f>CS_PID!AI506/VLOOKUP($B506,표2[#ALL],2)/HLOOKUP($A506,표1[#ALL],row(),false)</f>
        <v>#N/A</v>
      </c>
      <c r="AJ506" s="372" t="str">
        <f>CS_PID!AJ506/VLOOKUP($B506,표2[#ALL],2)/HLOOKUP($A506,표1[#ALL],row(),false)</f>
        <v>#N/A</v>
      </c>
      <c r="AK506" s="372" t="str">
        <f>CS_PID!AK506/VLOOKUP($B506,표2[#ALL],2)/HLOOKUP($A506,표1[#ALL],row(),false)</f>
        <v>#N/A</v>
      </c>
      <c r="AL506" s="372" t="str">
        <f>CS_PID!AL506/VLOOKUP($B506,표2[#ALL],2)/HLOOKUP($A506,표1[#ALL],row(),false)</f>
        <v>#N/A</v>
      </c>
      <c r="AM506" s="372" t="str">
        <f>CS_PID!AM506/VLOOKUP($B506,표2[#ALL],2)/HLOOKUP($A506,표1[#ALL],row(),false)</f>
        <v>#N/A</v>
      </c>
      <c r="AN506" s="372" t="str">
        <f>CS_PID!AN506/VLOOKUP($B506,표2[#ALL],2)/HLOOKUP($A506,표1[#ALL],row(),false)</f>
        <v>#N/A</v>
      </c>
      <c r="AO506" s="372" t="str">
        <f>CS_PID!AO506/VLOOKUP($B506,표2[#ALL],2)/HLOOKUP($A506,표1[#ALL],row(),false)</f>
        <v>#N/A</v>
      </c>
      <c r="AP506" s="372" t="str">
        <f>CS_PID!AP506/VLOOKUP($B506,표2[#ALL],2)/HLOOKUP($A506,표1[#ALL],row(),false)</f>
        <v>#N/A</v>
      </c>
      <c r="AQ506" s="372" t="str">
        <f>CS_PID!AQ506/VLOOKUP($B506,표2[#ALL],2)/HLOOKUP($A506,표1[#ALL],row(),false)</f>
        <v>#N/A</v>
      </c>
      <c r="AR506" s="372" t="str">
        <f>CS_PID!AR506/VLOOKUP($B506,표2[#ALL],2)/HLOOKUP($A506,표1[#ALL],row(),false)</f>
        <v>#N/A</v>
      </c>
      <c r="AS506" s="373" t="str">
        <f>CS_PID!AS506/VLOOKUP($B506,표2[#ALL],2)/HLOOKUP($A506,표1[#ALL],row(),false)</f>
        <v>#N/A</v>
      </c>
    </row>
    <row r="507">
      <c r="A507" s="374"/>
      <c r="B507" s="375"/>
      <c r="C507" s="376" t="str">
        <f>CS_PID!C507/VLOOKUP($B507,표2[#ALL],2)</f>
        <v>#N/A</v>
      </c>
      <c r="D507" s="376" t="str">
        <f>CS_PID!D507/VLOOKUP($B507,표2[#ALL],2)</f>
        <v>#N/A</v>
      </c>
      <c r="E507" s="376" t="str">
        <f>CS_PID!E507/VLOOKUP($B507,표2[#ALL],2)</f>
        <v>#N/A</v>
      </c>
      <c r="F507" s="376" t="str">
        <f>CS_PID!F507/VLOOKUP($B507,표2[#ALL],2)</f>
        <v>#N/A</v>
      </c>
      <c r="G507" s="376" t="str">
        <f>CS_PID!G507/VLOOKUP($B507,표2[#ALL],2)</f>
        <v>#N/A</v>
      </c>
      <c r="H507" s="376" t="str">
        <f>CS_PID!H507/VLOOKUP($B507,표2[#ALL],2)/HLOOKUP($A507,표1[#ALL],row(),false)</f>
        <v>#N/A</v>
      </c>
      <c r="I507" s="376" t="str">
        <f>CS_PID!I507/VLOOKUP($B507,표2[#ALL],2)/HLOOKUP($A507,표1[#ALL],row(),false)</f>
        <v>#N/A</v>
      </c>
      <c r="J507" s="376" t="str">
        <f>CS_PID!J507/VLOOKUP($B507,표2[#ALL],2)/HLOOKUP($A507,표1[#ALL],row(),false)</f>
        <v>#N/A</v>
      </c>
      <c r="K507" s="376" t="str">
        <f>CS_PID!K507/VLOOKUP($B507,표2[#ALL],2)/HLOOKUP($A507,표1[#ALL],row(),false)</f>
        <v>#N/A</v>
      </c>
      <c r="L507" s="376" t="str">
        <f>CS_PID!L507/VLOOKUP($B507,표2[#ALL],2)/HLOOKUP($A507,표1[#ALL],row(),false)</f>
        <v>#N/A</v>
      </c>
      <c r="M507" s="376" t="str">
        <f>CS_PID!M507/VLOOKUP($B507,표2[#ALL],2)/HLOOKUP($A507,표1[#ALL],row(),false)</f>
        <v>#N/A</v>
      </c>
      <c r="N507" s="376" t="str">
        <f>CS_PID!N507/VLOOKUP($B507,표2[#ALL],2)/HLOOKUP($A507,표1[#ALL],row(),false)</f>
        <v>#N/A</v>
      </c>
      <c r="O507" s="376" t="str">
        <f>CS_PID!O507/VLOOKUP($B507,표2[#ALL],2)/HLOOKUP($A507,표1[#ALL],row(),false)</f>
        <v>#N/A</v>
      </c>
      <c r="P507" s="376" t="str">
        <f>CS_PID!P507/VLOOKUP($B507,표2[#ALL],2)/HLOOKUP($A507,표1[#ALL],row(),false)</f>
        <v>#N/A</v>
      </c>
      <c r="Q507" s="376" t="str">
        <f>CS_PID!Q507/VLOOKUP($B507,표2[#ALL],2)/HLOOKUP($A507,표1[#ALL],row(),false)</f>
        <v>#N/A</v>
      </c>
      <c r="R507" s="376" t="str">
        <f>CS_PID!R507/VLOOKUP($B507,표2[#ALL],2)/HLOOKUP($A507,표1[#ALL],row(),false)</f>
        <v>#N/A</v>
      </c>
      <c r="S507" s="376" t="str">
        <f>CS_PID!S507/VLOOKUP($B507,표2[#ALL],2)/HLOOKUP($A507,표1[#ALL],row(),false)</f>
        <v>#N/A</v>
      </c>
      <c r="T507" s="376" t="str">
        <f>CS_PID!T507/VLOOKUP($B507,표2[#ALL],2)/HLOOKUP($A507,표1[#ALL],row(),false)</f>
        <v>#N/A</v>
      </c>
      <c r="U507" s="376" t="str">
        <f>CS_PID!U507/VLOOKUP($B507,표2[#ALL],2)/HLOOKUP($A507,표1[#ALL],row(),false)</f>
        <v>#N/A</v>
      </c>
      <c r="V507" s="376" t="str">
        <f>CS_PID!V507/VLOOKUP($B507,표2[#ALL],2)/HLOOKUP($A507,표1[#ALL],row(),false)</f>
        <v>#N/A</v>
      </c>
      <c r="W507" s="376" t="str">
        <f>CS_PID!W507/VLOOKUP($B507,표2[#ALL],2)/HLOOKUP($A507,표1[#ALL],row(),false)</f>
        <v>#N/A</v>
      </c>
      <c r="X507" s="376" t="str">
        <f>CS_PID!X507/VLOOKUP($B507,표2[#ALL],2)/HLOOKUP($A507,표1[#ALL],row(),false)</f>
        <v>#N/A</v>
      </c>
      <c r="Y507" s="376" t="str">
        <f>CS_PID!Y507/VLOOKUP($B507,표2[#ALL],2)/HLOOKUP($A507,표1[#ALL],row(),false)</f>
        <v>#N/A</v>
      </c>
      <c r="Z507" s="376" t="str">
        <f>CS_PID!Z507/VLOOKUP($B507,표2[#ALL],2)/HLOOKUP($A507,표1[#ALL],row(),false)</f>
        <v>#N/A</v>
      </c>
      <c r="AA507" s="376" t="str">
        <f>CS_PID!AA507/VLOOKUP($B507,표2[#ALL],2)/HLOOKUP($A507,표1[#ALL],row(),false)</f>
        <v>#N/A</v>
      </c>
      <c r="AB507" s="376" t="str">
        <f>CS_PID!AB507/VLOOKUP($B507,표2[#ALL],2)/HLOOKUP($A507,표1[#ALL],row(),false)</f>
        <v>#N/A</v>
      </c>
      <c r="AC507" s="376" t="str">
        <f>CS_PID!AC507/VLOOKUP($B507,표2[#ALL],2)/HLOOKUP($A507,표1[#ALL],row(),false)</f>
        <v>#N/A</v>
      </c>
      <c r="AD507" s="376" t="str">
        <f>CS_PID!AD507/VLOOKUP($B507,표2[#ALL],2)/HLOOKUP($A507,표1[#ALL],row(),false)</f>
        <v>#N/A</v>
      </c>
      <c r="AE507" s="376" t="str">
        <f>CS_PID!AE507/VLOOKUP($B507,표2[#ALL],2)/HLOOKUP($A507,표1[#ALL],row(),false)</f>
        <v>#N/A</v>
      </c>
      <c r="AF507" s="376" t="str">
        <f>CS_PID!AF507/VLOOKUP($B507,표2[#ALL],2)/HLOOKUP($A507,표1[#ALL],row(),false)</f>
        <v>#N/A</v>
      </c>
      <c r="AG507" s="376" t="str">
        <f>CS_PID!AG507/VLOOKUP($B507,표2[#ALL],2)/HLOOKUP($A507,표1[#ALL],row(),false)</f>
        <v>#N/A</v>
      </c>
      <c r="AH507" s="376" t="str">
        <f>CS_PID!AH507/VLOOKUP($B507,표2[#ALL],2)/HLOOKUP($A507,표1[#ALL],row(),false)</f>
        <v>#N/A</v>
      </c>
      <c r="AI507" s="376" t="str">
        <f>CS_PID!AI507/VLOOKUP($B507,표2[#ALL],2)/HLOOKUP($A507,표1[#ALL],row(),false)</f>
        <v>#N/A</v>
      </c>
      <c r="AJ507" s="376" t="str">
        <f>CS_PID!AJ507/VLOOKUP($B507,표2[#ALL],2)/HLOOKUP($A507,표1[#ALL],row(),false)</f>
        <v>#N/A</v>
      </c>
      <c r="AK507" s="376" t="str">
        <f>CS_PID!AK507/VLOOKUP($B507,표2[#ALL],2)/HLOOKUP($A507,표1[#ALL],row(),false)</f>
        <v>#N/A</v>
      </c>
      <c r="AL507" s="376" t="str">
        <f>CS_PID!AL507/VLOOKUP($B507,표2[#ALL],2)/HLOOKUP($A507,표1[#ALL],row(),false)</f>
        <v>#N/A</v>
      </c>
      <c r="AM507" s="376" t="str">
        <f>CS_PID!AM507/VLOOKUP($B507,표2[#ALL],2)/HLOOKUP($A507,표1[#ALL],row(),false)</f>
        <v>#N/A</v>
      </c>
      <c r="AN507" s="376" t="str">
        <f>CS_PID!AN507/VLOOKUP($B507,표2[#ALL],2)/HLOOKUP($A507,표1[#ALL],row(),false)</f>
        <v>#N/A</v>
      </c>
      <c r="AO507" s="376" t="str">
        <f>CS_PID!AO507/VLOOKUP($B507,표2[#ALL],2)/HLOOKUP($A507,표1[#ALL],row(),false)</f>
        <v>#N/A</v>
      </c>
      <c r="AP507" s="376" t="str">
        <f>CS_PID!AP507/VLOOKUP($B507,표2[#ALL],2)/HLOOKUP($A507,표1[#ALL],row(),false)</f>
        <v>#N/A</v>
      </c>
      <c r="AQ507" s="376" t="str">
        <f>CS_PID!AQ507/VLOOKUP($B507,표2[#ALL],2)/HLOOKUP($A507,표1[#ALL],row(),false)</f>
        <v>#N/A</v>
      </c>
      <c r="AR507" s="376" t="str">
        <f>CS_PID!AR507/VLOOKUP($B507,표2[#ALL],2)/HLOOKUP($A507,표1[#ALL],row(),false)</f>
        <v>#N/A</v>
      </c>
      <c r="AS507" s="377" t="str">
        <f>CS_PID!AS507/VLOOKUP($B507,표2[#ALL],2)/HLOOKUP($A507,표1[#ALL],row(),false)</f>
        <v>#N/A</v>
      </c>
    </row>
    <row r="508">
      <c r="A508" s="370"/>
      <c r="B508" s="371"/>
      <c r="C508" s="372" t="str">
        <f>CS_PID!C508/VLOOKUP($B508,표2[#ALL],2)</f>
        <v>#N/A</v>
      </c>
      <c r="D508" s="372" t="str">
        <f>CS_PID!D508/VLOOKUP($B508,표2[#ALL],2)</f>
        <v>#N/A</v>
      </c>
      <c r="E508" s="372" t="str">
        <f>CS_PID!E508/VLOOKUP($B508,표2[#ALL],2)</f>
        <v>#N/A</v>
      </c>
      <c r="F508" s="372" t="str">
        <f>CS_PID!F508/VLOOKUP($B508,표2[#ALL],2)</f>
        <v>#N/A</v>
      </c>
      <c r="G508" s="372" t="str">
        <f>CS_PID!G508/VLOOKUP($B508,표2[#ALL],2)</f>
        <v>#N/A</v>
      </c>
      <c r="H508" s="372" t="str">
        <f>CS_PID!H508/VLOOKUP($B508,표2[#ALL],2)/HLOOKUP($A508,표1[#ALL],row(),false)</f>
        <v>#N/A</v>
      </c>
      <c r="I508" s="372" t="str">
        <f>CS_PID!I508/VLOOKUP($B508,표2[#ALL],2)/HLOOKUP($A508,표1[#ALL],row(),false)</f>
        <v>#N/A</v>
      </c>
      <c r="J508" s="372" t="str">
        <f>CS_PID!J508/VLOOKUP($B508,표2[#ALL],2)/HLOOKUP($A508,표1[#ALL],row(),false)</f>
        <v>#N/A</v>
      </c>
      <c r="K508" s="372" t="str">
        <f>CS_PID!K508/VLOOKUP($B508,표2[#ALL],2)/HLOOKUP($A508,표1[#ALL],row(),false)</f>
        <v>#N/A</v>
      </c>
      <c r="L508" s="372" t="str">
        <f>CS_PID!L508/VLOOKUP($B508,표2[#ALL],2)/HLOOKUP($A508,표1[#ALL],row(),false)</f>
        <v>#N/A</v>
      </c>
      <c r="M508" s="372" t="str">
        <f>CS_PID!M508/VLOOKUP($B508,표2[#ALL],2)/HLOOKUP($A508,표1[#ALL],row(),false)</f>
        <v>#N/A</v>
      </c>
      <c r="N508" s="372" t="str">
        <f>CS_PID!N508/VLOOKUP($B508,표2[#ALL],2)/HLOOKUP($A508,표1[#ALL],row(),false)</f>
        <v>#N/A</v>
      </c>
      <c r="O508" s="372" t="str">
        <f>CS_PID!O508/VLOOKUP($B508,표2[#ALL],2)/HLOOKUP($A508,표1[#ALL],row(),false)</f>
        <v>#N/A</v>
      </c>
      <c r="P508" s="372" t="str">
        <f>CS_PID!P508/VLOOKUP($B508,표2[#ALL],2)/HLOOKUP($A508,표1[#ALL],row(),false)</f>
        <v>#N/A</v>
      </c>
      <c r="Q508" s="372" t="str">
        <f>CS_PID!Q508/VLOOKUP($B508,표2[#ALL],2)/HLOOKUP($A508,표1[#ALL],row(),false)</f>
        <v>#N/A</v>
      </c>
      <c r="R508" s="372" t="str">
        <f>CS_PID!R508/VLOOKUP($B508,표2[#ALL],2)/HLOOKUP($A508,표1[#ALL],row(),false)</f>
        <v>#N/A</v>
      </c>
      <c r="S508" s="372" t="str">
        <f>CS_PID!S508/VLOOKUP($B508,표2[#ALL],2)/HLOOKUP($A508,표1[#ALL],row(),false)</f>
        <v>#N/A</v>
      </c>
      <c r="T508" s="372" t="str">
        <f>CS_PID!T508/VLOOKUP($B508,표2[#ALL],2)/HLOOKUP($A508,표1[#ALL],row(),false)</f>
        <v>#N/A</v>
      </c>
      <c r="U508" s="372" t="str">
        <f>CS_PID!U508/VLOOKUP($B508,표2[#ALL],2)/HLOOKUP($A508,표1[#ALL],row(),false)</f>
        <v>#N/A</v>
      </c>
      <c r="V508" s="372" t="str">
        <f>CS_PID!V508/VLOOKUP($B508,표2[#ALL],2)/HLOOKUP($A508,표1[#ALL],row(),false)</f>
        <v>#N/A</v>
      </c>
      <c r="W508" s="372" t="str">
        <f>CS_PID!W508/VLOOKUP($B508,표2[#ALL],2)/HLOOKUP($A508,표1[#ALL],row(),false)</f>
        <v>#N/A</v>
      </c>
      <c r="X508" s="372" t="str">
        <f>CS_PID!X508/VLOOKUP($B508,표2[#ALL],2)/HLOOKUP($A508,표1[#ALL],row(),false)</f>
        <v>#N/A</v>
      </c>
      <c r="Y508" s="372" t="str">
        <f>CS_PID!Y508/VLOOKUP($B508,표2[#ALL],2)/HLOOKUP($A508,표1[#ALL],row(),false)</f>
        <v>#N/A</v>
      </c>
      <c r="Z508" s="372" t="str">
        <f>CS_PID!Z508/VLOOKUP($B508,표2[#ALL],2)/HLOOKUP($A508,표1[#ALL],row(),false)</f>
        <v>#N/A</v>
      </c>
      <c r="AA508" s="372" t="str">
        <f>CS_PID!AA508/VLOOKUP($B508,표2[#ALL],2)/HLOOKUP($A508,표1[#ALL],row(),false)</f>
        <v>#N/A</v>
      </c>
      <c r="AB508" s="372" t="str">
        <f>CS_PID!AB508/VLOOKUP($B508,표2[#ALL],2)/HLOOKUP($A508,표1[#ALL],row(),false)</f>
        <v>#N/A</v>
      </c>
      <c r="AC508" s="372" t="str">
        <f>CS_PID!AC508/VLOOKUP($B508,표2[#ALL],2)/HLOOKUP($A508,표1[#ALL],row(),false)</f>
        <v>#N/A</v>
      </c>
      <c r="AD508" s="372" t="str">
        <f>CS_PID!AD508/VLOOKUP($B508,표2[#ALL],2)/HLOOKUP($A508,표1[#ALL],row(),false)</f>
        <v>#N/A</v>
      </c>
      <c r="AE508" s="372" t="str">
        <f>CS_PID!AE508/VLOOKUP($B508,표2[#ALL],2)/HLOOKUP($A508,표1[#ALL],row(),false)</f>
        <v>#N/A</v>
      </c>
      <c r="AF508" s="372" t="str">
        <f>CS_PID!AF508/VLOOKUP($B508,표2[#ALL],2)/HLOOKUP($A508,표1[#ALL],row(),false)</f>
        <v>#N/A</v>
      </c>
      <c r="AG508" s="372" t="str">
        <f>CS_PID!AG508/VLOOKUP($B508,표2[#ALL],2)/HLOOKUP($A508,표1[#ALL],row(),false)</f>
        <v>#N/A</v>
      </c>
      <c r="AH508" s="372" t="str">
        <f>CS_PID!AH508/VLOOKUP($B508,표2[#ALL],2)/HLOOKUP($A508,표1[#ALL],row(),false)</f>
        <v>#N/A</v>
      </c>
      <c r="AI508" s="372" t="str">
        <f>CS_PID!AI508/VLOOKUP($B508,표2[#ALL],2)/HLOOKUP($A508,표1[#ALL],row(),false)</f>
        <v>#N/A</v>
      </c>
      <c r="AJ508" s="372" t="str">
        <f>CS_PID!AJ508/VLOOKUP($B508,표2[#ALL],2)/HLOOKUP($A508,표1[#ALL],row(),false)</f>
        <v>#N/A</v>
      </c>
      <c r="AK508" s="372" t="str">
        <f>CS_PID!AK508/VLOOKUP($B508,표2[#ALL],2)/HLOOKUP($A508,표1[#ALL],row(),false)</f>
        <v>#N/A</v>
      </c>
      <c r="AL508" s="372" t="str">
        <f>CS_PID!AL508/VLOOKUP($B508,표2[#ALL],2)/HLOOKUP($A508,표1[#ALL],row(),false)</f>
        <v>#N/A</v>
      </c>
      <c r="AM508" s="372" t="str">
        <f>CS_PID!AM508/VLOOKUP($B508,표2[#ALL],2)/HLOOKUP($A508,표1[#ALL],row(),false)</f>
        <v>#N/A</v>
      </c>
      <c r="AN508" s="372" t="str">
        <f>CS_PID!AN508/VLOOKUP($B508,표2[#ALL],2)/HLOOKUP($A508,표1[#ALL],row(),false)</f>
        <v>#N/A</v>
      </c>
      <c r="AO508" s="372" t="str">
        <f>CS_PID!AO508/VLOOKUP($B508,표2[#ALL],2)/HLOOKUP($A508,표1[#ALL],row(),false)</f>
        <v>#N/A</v>
      </c>
      <c r="AP508" s="372" t="str">
        <f>CS_PID!AP508/VLOOKUP($B508,표2[#ALL],2)/HLOOKUP($A508,표1[#ALL],row(),false)</f>
        <v>#N/A</v>
      </c>
      <c r="AQ508" s="372" t="str">
        <f>CS_PID!AQ508/VLOOKUP($B508,표2[#ALL],2)/HLOOKUP($A508,표1[#ALL],row(),false)</f>
        <v>#N/A</v>
      </c>
      <c r="AR508" s="372" t="str">
        <f>CS_PID!AR508/VLOOKUP($B508,표2[#ALL],2)/HLOOKUP($A508,표1[#ALL],row(),false)</f>
        <v>#N/A</v>
      </c>
      <c r="AS508" s="373" t="str">
        <f>CS_PID!AS508/VLOOKUP($B508,표2[#ALL],2)/HLOOKUP($A508,표1[#ALL],row(),false)</f>
        <v>#N/A</v>
      </c>
    </row>
    <row r="509">
      <c r="A509" s="374"/>
      <c r="B509" s="375"/>
      <c r="C509" s="376" t="str">
        <f>CS_PID!C509/VLOOKUP($B509,표2[#ALL],2)</f>
        <v>#N/A</v>
      </c>
      <c r="D509" s="376" t="str">
        <f>CS_PID!D509/VLOOKUP($B509,표2[#ALL],2)</f>
        <v>#N/A</v>
      </c>
      <c r="E509" s="376" t="str">
        <f>CS_PID!E509/VLOOKUP($B509,표2[#ALL],2)</f>
        <v>#N/A</v>
      </c>
      <c r="F509" s="376" t="str">
        <f>CS_PID!F509/VLOOKUP($B509,표2[#ALL],2)</f>
        <v>#N/A</v>
      </c>
      <c r="G509" s="376" t="str">
        <f>CS_PID!G509/VLOOKUP($B509,표2[#ALL],2)</f>
        <v>#N/A</v>
      </c>
      <c r="H509" s="376" t="str">
        <f>CS_PID!H509/VLOOKUP($B509,표2[#ALL],2)/HLOOKUP($A509,표1[#ALL],row(),false)</f>
        <v>#N/A</v>
      </c>
      <c r="I509" s="376" t="str">
        <f>CS_PID!I509/VLOOKUP($B509,표2[#ALL],2)/HLOOKUP($A509,표1[#ALL],row(),false)</f>
        <v>#N/A</v>
      </c>
      <c r="J509" s="376" t="str">
        <f>CS_PID!J509/VLOOKUP($B509,표2[#ALL],2)/HLOOKUP($A509,표1[#ALL],row(),false)</f>
        <v>#N/A</v>
      </c>
      <c r="K509" s="376" t="str">
        <f>CS_PID!K509/VLOOKUP($B509,표2[#ALL],2)/HLOOKUP($A509,표1[#ALL],row(),false)</f>
        <v>#N/A</v>
      </c>
      <c r="L509" s="376" t="str">
        <f>CS_PID!L509/VLOOKUP($B509,표2[#ALL],2)/HLOOKUP($A509,표1[#ALL],row(),false)</f>
        <v>#N/A</v>
      </c>
      <c r="M509" s="376" t="str">
        <f>CS_PID!M509/VLOOKUP($B509,표2[#ALL],2)/HLOOKUP($A509,표1[#ALL],row(),false)</f>
        <v>#N/A</v>
      </c>
      <c r="N509" s="376" t="str">
        <f>CS_PID!N509/VLOOKUP($B509,표2[#ALL],2)/HLOOKUP($A509,표1[#ALL],row(),false)</f>
        <v>#N/A</v>
      </c>
      <c r="O509" s="376" t="str">
        <f>CS_PID!O509/VLOOKUP($B509,표2[#ALL],2)/HLOOKUP($A509,표1[#ALL],row(),false)</f>
        <v>#N/A</v>
      </c>
      <c r="P509" s="376" t="str">
        <f>CS_PID!P509/VLOOKUP($B509,표2[#ALL],2)/HLOOKUP($A509,표1[#ALL],row(),false)</f>
        <v>#N/A</v>
      </c>
      <c r="Q509" s="376" t="str">
        <f>CS_PID!Q509/VLOOKUP($B509,표2[#ALL],2)/HLOOKUP($A509,표1[#ALL],row(),false)</f>
        <v>#N/A</v>
      </c>
      <c r="R509" s="376" t="str">
        <f>CS_PID!R509/VLOOKUP($B509,표2[#ALL],2)/HLOOKUP($A509,표1[#ALL],row(),false)</f>
        <v>#N/A</v>
      </c>
      <c r="S509" s="376" t="str">
        <f>CS_PID!S509/VLOOKUP($B509,표2[#ALL],2)/HLOOKUP($A509,표1[#ALL],row(),false)</f>
        <v>#N/A</v>
      </c>
      <c r="T509" s="376" t="str">
        <f>CS_PID!T509/VLOOKUP($B509,표2[#ALL],2)/HLOOKUP($A509,표1[#ALL],row(),false)</f>
        <v>#N/A</v>
      </c>
      <c r="U509" s="376" t="str">
        <f>CS_PID!U509/VLOOKUP($B509,표2[#ALL],2)/HLOOKUP($A509,표1[#ALL],row(),false)</f>
        <v>#N/A</v>
      </c>
      <c r="V509" s="376" t="str">
        <f>CS_PID!V509/VLOOKUP($B509,표2[#ALL],2)/HLOOKUP($A509,표1[#ALL],row(),false)</f>
        <v>#N/A</v>
      </c>
      <c r="W509" s="376" t="str">
        <f>CS_PID!W509/VLOOKUP($B509,표2[#ALL],2)/HLOOKUP($A509,표1[#ALL],row(),false)</f>
        <v>#N/A</v>
      </c>
      <c r="X509" s="376" t="str">
        <f>CS_PID!X509/VLOOKUP($B509,표2[#ALL],2)/HLOOKUP($A509,표1[#ALL],row(),false)</f>
        <v>#N/A</v>
      </c>
      <c r="Y509" s="376" t="str">
        <f>CS_PID!Y509/VLOOKUP($B509,표2[#ALL],2)/HLOOKUP($A509,표1[#ALL],row(),false)</f>
        <v>#N/A</v>
      </c>
      <c r="Z509" s="376" t="str">
        <f>CS_PID!Z509/VLOOKUP($B509,표2[#ALL],2)/HLOOKUP($A509,표1[#ALL],row(),false)</f>
        <v>#N/A</v>
      </c>
      <c r="AA509" s="376" t="str">
        <f>CS_PID!AA509/VLOOKUP($B509,표2[#ALL],2)/HLOOKUP($A509,표1[#ALL],row(),false)</f>
        <v>#N/A</v>
      </c>
      <c r="AB509" s="376" t="str">
        <f>CS_PID!AB509/VLOOKUP($B509,표2[#ALL],2)/HLOOKUP($A509,표1[#ALL],row(),false)</f>
        <v>#N/A</v>
      </c>
      <c r="AC509" s="376" t="str">
        <f>CS_PID!AC509/VLOOKUP($B509,표2[#ALL],2)/HLOOKUP($A509,표1[#ALL],row(),false)</f>
        <v>#N/A</v>
      </c>
      <c r="AD509" s="376" t="str">
        <f>CS_PID!AD509/VLOOKUP($B509,표2[#ALL],2)/HLOOKUP($A509,표1[#ALL],row(),false)</f>
        <v>#N/A</v>
      </c>
      <c r="AE509" s="376" t="str">
        <f>CS_PID!AE509/VLOOKUP($B509,표2[#ALL],2)/HLOOKUP($A509,표1[#ALL],row(),false)</f>
        <v>#N/A</v>
      </c>
      <c r="AF509" s="376" t="str">
        <f>CS_PID!AF509/VLOOKUP($B509,표2[#ALL],2)/HLOOKUP($A509,표1[#ALL],row(),false)</f>
        <v>#N/A</v>
      </c>
      <c r="AG509" s="376" t="str">
        <f>CS_PID!AG509/VLOOKUP($B509,표2[#ALL],2)/HLOOKUP($A509,표1[#ALL],row(),false)</f>
        <v>#N/A</v>
      </c>
      <c r="AH509" s="376" t="str">
        <f>CS_PID!AH509/VLOOKUP($B509,표2[#ALL],2)/HLOOKUP($A509,표1[#ALL],row(),false)</f>
        <v>#N/A</v>
      </c>
      <c r="AI509" s="376" t="str">
        <f>CS_PID!AI509/VLOOKUP($B509,표2[#ALL],2)/HLOOKUP($A509,표1[#ALL],row(),false)</f>
        <v>#N/A</v>
      </c>
      <c r="AJ509" s="376" t="str">
        <f>CS_PID!AJ509/VLOOKUP($B509,표2[#ALL],2)/HLOOKUP($A509,표1[#ALL],row(),false)</f>
        <v>#N/A</v>
      </c>
      <c r="AK509" s="376" t="str">
        <f>CS_PID!AK509/VLOOKUP($B509,표2[#ALL],2)/HLOOKUP($A509,표1[#ALL],row(),false)</f>
        <v>#N/A</v>
      </c>
      <c r="AL509" s="376" t="str">
        <f>CS_PID!AL509/VLOOKUP($B509,표2[#ALL],2)/HLOOKUP($A509,표1[#ALL],row(),false)</f>
        <v>#N/A</v>
      </c>
      <c r="AM509" s="376" t="str">
        <f>CS_PID!AM509/VLOOKUP($B509,표2[#ALL],2)/HLOOKUP($A509,표1[#ALL],row(),false)</f>
        <v>#N/A</v>
      </c>
      <c r="AN509" s="376" t="str">
        <f>CS_PID!AN509/VLOOKUP($B509,표2[#ALL],2)/HLOOKUP($A509,표1[#ALL],row(),false)</f>
        <v>#N/A</v>
      </c>
      <c r="AO509" s="376" t="str">
        <f>CS_PID!AO509/VLOOKUP($B509,표2[#ALL],2)/HLOOKUP($A509,표1[#ALL],row(),false)</f>
        <v>#N/A</v>
      </c>
      <c r="AP509" s="376" t="str">
        <f>CS_PID!AP509/VLOOKUP($B509,표2[#ALL],2)/HLOOKUP($A509,표1[#ALL],row(),false)</f>
        <v>#N/A</v>
      </c>
      <c r="AQ509" s="376" t="str">
        <f>CS_PID!AQ509/VLOOKUP($B509,표2[#ALL],2)/HLOOKUP($A509,표1[#ALL],row(),false)</f>
        <v>#N/A</v>
      </c>
      <c r="AR509" s="376" t="str">
        <f>CS_PID!AR509/VLOOKUP($B509,표2[#ALL],2)/HLOOKUP($A509,표1[#ALL],row(),false)</f>
        <v>#N/A</v>
      </c>
      <c r="AS509" s="377" t="str">
        <f>CS_PID!AS509/VLOOKUP($B509,표2[#ALL],2)/HLOOKUP($A509,표1[#ALL],row(),false)</f>
        <v>#N/A</v>
      </c>
    </row>
    <row r="510">
      <c r="A510" s="370"/>
      <c r="B510" s="371"/>
      <c r="C510" s="372" t="str">
        <f>CS_PID!C510/VLOOKUP($B510,표2[#ALL],2)</f>
        <v>#N/A</v>
      </c>
      <c r="D510" s="372" t="str">
        <f>CS_PID!D510/VLOOKUP($B510,표2[#ALL],2)</f>
        <v>#N/A</v>
      </c>
      <c r="E510" s="372" t="str">
        <f>CS_PID!E510/VLOOKUP($B510,표2[#ALL],2)</f>
        <v>#N/A</v>
      </c>
      <c r="F510" s="372" t="str">
        <f>CS_PID!F510/VLOOKUP($B510,표2[#ALL],2)</f>
        <v>#N/A</v>
      </c>
      <c r="G510" s="372" t="str">
        <f>CS_PID!G510/VLOOKUP($B510,표2[#ALL],2)</f>
        <v>#N/A</v>
      </c>
      <c r="H510" s="372" t="str">
        <f>CS_PID!H510/VLOOKUP($B510,표2[#ALL],2)/HLOOKUP($A510,표1[#ALL],row(),false)</f>
        <v>#N/A</v>
      </c>
      <c r="I510" s="372" t="str">
        <f>CS_PID!I510/VLOOKUP($B510,표2[#ALL],2)/HLOOKUP($A510,표1[#ALL],row(),false)</f>
        <v>#N/A</v>
      </c>
      <c r="J510" s="372" t="str">
        <f>CS_PID!J510/VLOOKUP($B510,표2[#ALL],2)/HLOOKUP($A510,표1[#ALL],row(),false)</f>
        <v>#N/A</v>
      </c>
      <c r="K510" s="372" t="str">
        <f>CS_PID!K510/VLOOKUP($B510,표2[#ALL],2)/HLOOKUP($A510,표1[#ALL],row(),false)</f>
        <v>#N/A</v>
      </c>
      <c r="L510" s="372" t="str">
        <f>CS_PID!L510/VLOOKUP($B510,표2[#ALL],2)/HLOOKUP($A510,표1[#ALL],row(),false)</f>
        <v>#N/A</v>
      </c>
      <c r="M510" s="372" t="str">
        <f>CS_PID!M510/VLOOKUP($B510,표2[#ALL],2)/HLOOKUP($A510,표1[#ALL],row(),false)</f>
        <v>#N/A</v>
      </c>
      <c r="N510" s="372" t="str">
        <f>CS_PID!N510/VLOOKUP($B510,표2[#ALL],2)/HLOOKUP($A510,표1[#ALL],row(),false)</f>
        <v>#N/A</v>
      </c>
      <c r="O510" s="372" t="str">
        <f>CS_PID!O510/VLOOKUP($B510,표2[#ALL],2)/HLOOKUP($A510,표1[#ALL],row(),false)</f>
        <v>#N/A</v>
      </c>
      <c r="P510" s="372" t="str">
        <f>CS_PID!P510/VLOOKUP($B510,표2[#ALL],2)/HLOOKUP($A510,표1[#ALL],row(),false)</f>
        <v>#N/A</v>
      </c>
      <c r="Q510" s="372" t="str">
        <f>CS_PID!Q510/VLOOKUP($B510,표2[#ALL],2)/HLOOKUP($A510,표1[#ALL],row(),false)</f>
        <v>#N/A</v>
      </c>
      <c r="R510" s="372" t="str">
        <f>CS_PID!R510/VLOOKUP($B510,표2[#ALL],2)/HLOOKUP($A510,표1[#ALL],row(),false)</f>
        <v>#N/A</v>
      </c>
      <c r="S510" s="372" t="str">
        <f>CS_PID!S510/VLOOKUP($B510,표2[#ALL],2)/HLOOKUP($A510,표1[#ALL],row(),false)</f>
        <v>#N/A</v>
      </c>
      <c r="T510" s="372" t="str">
        <f>CS_PID!T510/VLOOKUP($B510,표2[#ALL],2)/HLOOKUP($A510,표1[#ALL],row(),false)</f>
        <v>#N/A</v>
      </c>
      <c r="U510" s="372" t="str">
        <f>CS_PID!U510/VLOOKUP($B510,표2[#ALL],2)/HLOOKUP($A510,표1[#ALL],row(),false)</f>
        <v>#N/A</v>
      </c>
      <c r="V510" s="372" t="str">
        <f>CS_PID!V510/VLOOKUP($B510,표2[#ALL],2)/HLOOKUP($A510,표1[#ALL],row(),false)</f>
        <v>#N/A</v>
      </c>
      <c r="W510" s="372" t="str">
        <f>CS_PID!W510/VLOOKUP($B510,표2[#ALL],2)/HLOOKUP($A510,표1[#ALL],row(),false)</f>
        <v>#N/A</v>
      </c>
      <c r="X510" s="372" t="str">
        <f>CS_PID!X510/VLOOKUP($B510,표2[#ALL],2)/HLOOKUP($A510,표1[#ALL],row(),false)</f>
        <v>#N/A</v>
      </c>
      <c r="Y510" s="372" t="str">
        <f>CS_PID!Y510/VLOOKUP($B510,표2[#ALL],2)/HLOOKUP($A510,표1[#ALL],row(),false)</f>
        <v>#N/A</v>
      </c>
      <c r="Z510" s="372" t="str">
        <f>CS_PID!Z510/VLOOKUP($B510,표2[#ALL],2)/HLOOKUP($A510,표1[#ALL],row(),false)</f>
        <v>#N/A</v>
      </c>
      <c r="AA510" s="372" t="str">
        <f>CS_PID!AA510/VLOOKUP($B510,표2[#ALL],2)/HLOOKUP($A510,표1[#ALL],row(),false)</f>
        <v>#N/A</v>
      </c>
      <c r="AB510" s="372" t="str">
        <f>CS_PID!AB510/VLOOKUP($B510,표2[#ALL],2)/HLOOKUP($A510,표1[#ALL],row(),false)</f>
        <v>#N/A</v>
      </c>
      <c r="AC510" s="372" t="str">
        <f>CS_PID!AC510/VLOOKUP($B510,표2[#ALL],2)/HLOOKUP($A510,표1[#ALL],row(),false)</f>
        <v>#N/A</v>
      </c>
      <c r="AD510" s="372" t="str">
        <f>CS_PID!AD510/VLOOKUP($B510,표2[#ALL],2)/HLOOKUP($A510,표1[#ALL],row(),false)</f>
        <v>#N/A</v>
      </c>
      <c r="AE510" s="372" t="str">
        <f>CS_PID!AE510/VLOOKUP($B510,표2[#ALL],2)/HLOOKUP($A510,표1[#ALL],row(),false)</f>
        <v>#N/A</v>
      </c>
      <c r="AF510" s="372" t="str">
        <f>CS_PID!AF510/VLOOKUP($B510,표2[#ALL],2)/HLOOKUP($A510,표1[#ALL],row(),false)</f>
        <v>#N/A</v>
      </c>
      <c r="AG510" s="372" t="str">
        <f>CS_PID!AG510/VLOOKUP($B510,표2[#ALL],2)/HLOOKUP($A510,표1[#ALL],row(),false)</f>
        <v>#N/A</v>
      </c>
      <c r="AH510" s="372" t="str">
        <f>CS_PID!AH510/VLOOKUP($B510,표2[#ALL],2)/HLOOKUP($A510,표1[#ALL],row(),false)</f>
        <v>#N/A</v>
      </c>
      <c r="AI510" s="372" t="str">
        <f>CS_PID!AI510/VLOOKUP($B510,표2[#ALL],2)/HLOOKUP($A510,표1[#ALL],row(),false)</f>
        <v>#N/A</v>
      </c>
      <c r="AJ510" s="372" t="str">
        <f>CS_PID!AJ510/VLOOKUP($B510,표2[#ALL],2)/HLOOKUP($A510,표1[#ALL],row(),false)</f>
        <v>#N/A</v>
      </c>
      <c r="AK510" s="372" t="str">
        <f>CS_PID!AK510/VLOOKUP($B510,표2[#ALL],2)/HLOOKUP($A510,표1[#ALL],row(),false)</f>
        <v>#N/A</v>
      </c>
      <c r="AL510" s="372" t="str">
        <f>CS_PID!AL510/VLOOKUP($B510,표2[#ALL],2)/HLOOKUP($A510,표1[#ALL],row(),false)</f>
        <v>#N/A</v>
      </c>
      <c r="AM510" s="372" t="str">
        <f>CS_PID!AM510/VLOOKUP($B510,표2[#ALL],2)/HLOOKUP($A510,표1[#ALL],row(),false)</f>
        <v>#N/A</v>
      </c>
      <c r="AN510" s="372" t="str">
        <f>CS_PID!AN510/VLOOKUP($B510,표2[#ALL],2)/HLOOKUP($A510,표1[#ALL],row(),false)</f>
        <v>#N/A</v>
      </c>
      <c r="AO510" s="372" t="str">
        <f>CS_PID!AO510/VLOOKUP($B510,표2[#ALL],2)/HLOOKUP($A510,표1[#ALL],row(),false)</f>
        <v>#N/A</v>
      </c>
      <c r="AP510" s="372" t="str">
        <f>CS_PID!AP510/VLOOKUP($B510,표2[#ALL],2)/HLOOKUP($A510,표1[#ALL],row(),false)</f>
        <v>#N/A</v>
      </c>
      <c r="AQ510" s="372" t="str">
        <f>CS_PID!AQ510/VLOOKUP($B510,표2[#ALL],2)/HLOOKUP($A510,표1[#ALL],row(),false)</f>
        <v>#N/A</v>
      </c>
      <c r="AR510" s="372" t="str">
        <f>CS_PID!AR510/VLOOKUP($B510,표2[#ALL],2)/HLOOKUP($A510,표1[#ALL],row(),false)</f>
        <v>#N/A</v>
      </c>
      <c r="AS510" s="373" t="str">
        <f>CS_PID!AS510/VLOOKUP($B510,표2[#ALL],2)/HLOOKUP($A510,표1[#ALL],row(),false)</f>
        <v>#N/A</v>
      </c>
    </row>
    <row r="511">
      <c r="A511" s="374"/>
      <c r="B511" s="375"/>
      <c r="C511" s="376" t="str">
        <f>CS_PID!C511/VLOOKUP($B511,표2[#ALL],2)</f>
        <v>#N/A</v>
      </c>
      <c r="D511" s="376" t="str">
        <f>CS_PID!D511/VLOOKUP($B511,표2[#ALL],2)</f>
        <v>#N/A</v>
      </c>
      <c r="E511" s="376" t="str">
        <f>CS_PID!E511/VLOOKUP($B511,표2[#ALL],2)</f>
        <v>#N/A</v>
      </c>
      <c r="F511" s="376" t="str">
        <f>CS_PID!F511/VLOOKUP($B511,표2[#ALL],2)</f>
        <v>#N/A</v>
      </c>
      <c r="G511" s="376" t="str">
        <f>CS_PID!G511/VLOOKUP($B511,표2[#ALL],2)</f>
        <v>#N/A</v>
      </c>
      <c r="H511" s="376" t="str">
        <f>CS_PID!H511/VLOOKUP($B511,표2[#ALL],2)/HLOOKUP($A511,표1[#ALL],row(),false)</f>
        <v>#N/A</v>
      </c>
      <c r="I511" s="376" t="str">
        <f>CS_PID!I511/VLOOKUP($B511,표2[#ALL],2)/HLOOKUP($A511,표1[#ALL],row(),false)</f>
        <v>#N/A</v>
      </c>
      <c r="J511" s="376" t="str">
        <f>CS_PID!J511/VLOOKUP($B511,표2[#ALL],2)/HLOOKUP($A511,표1[#ALL],row(),false)</f>
        <v>#N/A</v>
      </c>
      <c r="K511" s="376" t="str">
        <f>CS_PID!K511/VLOOKUP($B511,표2[#ALL],2)/HLOOKUP($A511,표1[#ALL],row(),false)</f>
        <v>#N/A</v>
      </c>
      <c r="L511" s="376" t="str">
        <f>CS_PID!L511/VLOOKUP($B511,표2[#ALL],2)/HLOOKUP($A511,표1[#ALL],row(),false)</f>
        <v>#N/A</v>
      </c>
      <c r="M511" s="376" t="str">
        <f>CS_PID!M511/VLOOKUP($B511,표2[#ALL],2)/HLOOKUP($A511,표1[#ALL],row(),false)</f>
        <v>#N/A</v>
      </c>
      <c r="N511" s="376" t="str">
        <f>CS_PID!N511/VLOOKUP($B511,표2[#ALL],2)/HLOOKUP($A511,표1[#ALL],row(),false)</f>
        <v>#N/A</v>
      </c>
      <c r="O511" s="376" t="str">
        <f>CS_PID!O511/VLOOKUP($B511,표2[#ALL],2)/HLOOKUP($A511,표1[#ALL],row(),false)</f>
        <v>#N/A</v>
      </c>
      <c r="P511" s="376" t="str">
        <f>CS_PID!P511/VLOOKUP($B511,표2[#ALL],2)/HLOOKUP($A511,표1[#ALL],row(),false)</f>
        <v>#N/A</v>
      </c>
      <c r="Q511" s="376" t="str">
        <f>CS_PID!Q511/VLOOKUP($B511,표2[#ALL],2)/HLOOKUP($A511,표1[#ALL],row(),false)</f>
        <v>#N/A</v>
      </c>
      <c r="R511" s="376" t="str">
        <f>CS_PID!R511/VLOOKUP($B511,표2[#ALL],2)/HLOOKUP($A511,표1[#ALL],row(),false)</f>
        <v>#N/A</v>
      </c>
      <c r="S511" s="376" t="str">
        <f>CS_PID!S511/VLOOKUP($B511,표2[#ALL],2)/HLOOKUP($A511,표1[#ALL],row(),false)</f>
        <v>#N/A</v>
      </c>
      <c r="T511" s="376" t="str">
        <f>CS_PID!T511/VLOOKUP($B511,표2[#ALL],2)/HLOOKUP($A511,표1[#ALL],row(),false)</f>
        <v>#N/A</v>
      </c>
      <c r="U511" s="376" t="str">
        <f>CS_PID!U511/VLOOKUP($B511,표2[#ALL],2)/HLOOKUP($A511,표1[#ALL],row(),false)</f>
        <v>#N/A</v>
      </c>
      <c r="V511" s="376" t="str">
        <f>CS_PID!V511/VLOOKUP($B511,표2[#ALL],2)/HLOOKUP($A511,표1[#ALL],row(),false)</f>
        <v>#N/A</v>
      </c>
      <c r="W511" s="376" t="str">
        <f>CS_PID!W511/VLOOKUP($B511,표2[#ALL],2)/HLOOKUP($A511,표1[#ALL],row(),false)</f>
        <v>#N/A</v>
      </c>
      <c r="X511" s="376" t="str">
        <f>CS_PID!X511/VLOOKUP($B511,표2[#ALL],2)/HLOOKUP($A511,표1[#ALL],row(),false)</f>
        <v>#N/A</v>
      </c>
      <c r="Y511" s="376" t="str">
        <f>CS_PID!Y511/VLOOKUP($B511,표2[#ALL],2)/HLOOKUP($A511,표1[#ALL],row(),false)</f>
        <v>#N/A</v>
      </c>
      <c r="Z511" s="376" t="str">
        <f>CS_PID!Z511/VLOOKUP($B511,표2[#ALL],2)/HLOOKUP($A511,표1[#ALL],row(),false)</f>
        <v>#N/A</v>
      </c>
      <c r="AA511" s="376" t="str">
        <f>CS_PID!AA511/VLOOKUP($B511,표2[#ALL],2)/HLOOKUP($A511,표1[#ALL],row(),false)</f>
        <v>#N/A</v>
      </c>
      <c r="AB511" s="376" t="str">
        <f>CS_PID!AB511/VLOOKUP($B511,표2[#ALL],2)/HLOOKUP($A511,표1[#ALL],row(),false)</f>
        <v>#N/A</v>
      </c>
      <c r="AC511" s="376" t="str">
        <f>CS_PID!AC511/VLOOKUP($B511,표2[#ALL],2)/HLOOKUP($A511,표1[#ALL],row(),false)</f>
        <v>#N/A</v>
      </c>
      <c r="AD511" s="376" t="str">
        <f>CS_PID!AD511/VLOOKUP($B511,표2[#ALL],2)/HLOOKUP($A511,표1[#ALL],row(),false)</f>
        <v>#N/A</v>
      </c>
      <c r="AE511" s="376" t="str">
        <f>CS_PID!AE511/VLOOKUP($B511,표2[#ALL],2)/HLOOKUP($A511,표1[#ALL],row(),false)</f>
        <v>#N/A</v>
      </c>
      <c r="AF511" s="376" t="str">
        <f>CS_PID!AF511/VLOOKUP($B511,표2[#ALL],2)/HLOOKUP($A511,표1[#ALL],row(),false)</f>
        <v>#N/A</v>
      </c>
      <c r="AG511" s="376" t="str">
        <f>CS_PID!AG511/VLOOKUP($B511,표2[#ALL],2)/HLOOKUP($A511,표1[#ALL],row(),false)</f>
        <v>#N/A</v>
      </c>
      <c r="AH511" s="376" t="str">
        <f>CS_PID!AH511/VLOOKUP($B511,표2[#ALL],2)/HLOOKUP($A511,표1[#ALL],row(),false)</f>
        <v>#N/A</v>
      </c>
      <c r="AI511" s="376" t="str">
        <f>CS_PID!AI511/VLOOKUP($B511,표2[#ALL],2)/HLOOKUP($A511,표1[#ALL],row(),false)</f>
        <v>#N/A</v>
      </c>
      <c r="AJ511" s="376" t="str">
        <f>CS_PID!AJ511/VLOOKUP($B511,표2[#ALL],2)/HLOOKUP($A511,표1[#ALL],row(),false)</f>
        <v>#N/A</v>
      </c>
      <c r="AK511" s="376" t="str">
        <f>CS_PID!AK511/VLOOKUP($B511,표2[#ALL],2)/HLOOKUP($A511,표1[#ALL],row(),false)</f>
        <v>#N/A</v>
      </c>
      <c r="AL511" s="376" t="str">
        <f>CS_PID!AL511/VLOOKUP($B511,표2[#ALL],2)/HLOOKUP($A511,표1[#ALL],row(),false)</f>
        <v>#N/A</v>
      </c>
      <c r="AM511" s="376" t="str">
        <f>CS_PID!AM511/VLOOKUP($B511,표2[#ALL],2)/HLOOKUP($A511,표1[#ALL],row(),false)</f>
        <v>#N/A</v>
      </c>
      <c r="AN511" s="376" t="str">
        <f>CS_PID!AN511/VLOOKUP($B511,표2[#ALL],2)/HLOOKUP($A511,표1[#ALL],row(),false)</f>
        <v>#N/A</v>
      </c>
      <c r="AO511" s="376" t="str">
        <f>CS_PID!AO511/VLOOKUP($B511,표2[#ALL],2)/HLOOKUP($A511,표1[#ALL],row(),false)</f>
        <v>#N/A</v>
      </c>
      <c r="AP511" s="376" t="str">
        <f>CS_PID!AP511/VLOOKUP($B511,표2[#ALL],2)/HLOOKUP($A511,표1[#ALL],row(),false)</f>
        <v>#N/A</v>
      </c>
      <c r="AQ511" s="376" t="str">
        <f>CS_PID!AQ511/VLOOKUP($B511,표2[#ALL],2)/HLOOKUP($A511,표1[#ALL],row(),false)</f>
        <v>#N/A</v>
      </c>
      <c r="AR511" s="376" t="str">
        <f>CS_PID!AR511/VLOOKUP($B511,표2[#ALL],2)/HLOOKUP($A511,표1[#ALL],row(),false)</f>
        <v>#N/A</v>
      </c>
      <c r="AS511" s="377" t="str">
        <f>CS_PID!AS511/VLOOKUP($B511,표2[#ALL],2)/HLOOKUP($A511,표1[#ALL],row(),false)</f>
        <v>#N/A</v>
      </c>
    </row>
    <row r="512">
      <c r="A512" s="370"/>
      <c r="B512" s="371"/>
      <c r="C512" s="372" t="str">
        <f>CS_PID!C512/VLOOKUP($B512,표2[#ALL],2)</f>
        <v>#N/A</v>
      </c>
      <c r="D512" s="372" t="str">
        <f>CS_PID!D512/VLOOKUP($B512,표2[#ALL],2)</f>
        <v>#N/A</v>
      </c>
      <c r="E512" s="372" t="str">
        <f>CS_PID!E512/VLOOKUP($B512,표2[#ALL],2)</f>
        <v>#N/A</v>
      </c>
      <c r="F512" s="372" t="str">
        <f>CS_PID!F512/VLOOKUP($B512,표2[#ALL],2)</f>
        <v>#N/A</v>
      </c>
      <c r="G512" s="372" t="str">
        <f>CS_PID!G512/VLOOKUP($B512,표2[#ALL],2)</f>
        <v>#N/A</v>
      </c>
      <c r="H512" s="372" t="str">
        <f>CS_PID!H512/VLOOKUP($B512,표2[#ALL],2)/HLOOKUP($A512,표1[#ALL],row(),false)</f>
        <v>#N/A</v>
      </c>
      <c r="I512" s="372" t="str">
        <f>CS_PID!I512/VLOOKUP($B512,표2[#ALL],2)/HLOOKUP($A512,표1[#ALL],row(),false)</f>
        <v>#N/A</v>
      </c>
      <c r="J512" s="372" t="str">
        <f>CS_PID!J512/VLOOKUP($B512,표2[#ALL],2)/HLOOKUP($A512,표1[#ALL],row(),false)</f>
        <v>#N/A</v>
      </c>
      <c r="K512" s="372" t="str">
        <f>CS_PID!K512/VLOOKUP($B512,표2[#ALL],2)/HLOOKUP($A512,표1[#ALL],row(),false)</f>
        <v>#N/A</v>
      </c>
      <c r="L512" s="372" t="str">
        <f>CS_PID!L512/VLOOKUP($B512,표2[#ALL],2)/HLOOKUP($A512,표1[#ALL],row(),false)</f>
        <v>#N/A</v>
      </c>
      <c r="M512" s="372" t="str">
        <f>CS_PID!M512/VLOOKUP($B512,표2[#ALL],2)/HLOOKUP($A512,표1[#ALL],row(),false)</f>
        <v>#N/A</v>
      </c>
      <c r="N512" s="372" t="str">
        <f>CS_PID!N512/VLOOKUP($B512,표2[#ALL],2)/HLOOKUP($A512,표1[#ALL],row(),false)</f>
        <v>#N/A</v>
      </c>
      <c r="O512" s="372" t="str">
        <f>CS_PID!O512/VLOOKUP($B512,표2[#ALL],2)/HLOOKUP($A512,표1[#ALL],row(),false)</f>
        <v>#N/A</v>
      </c>
      <c r="P512" s="372" t="str">
        <f>CS_PID!P512/VLOOKUP($B512,표2[#ALL],2)/HLOOKUP($A512,표1[#ALL],row(),false)</f>
        <v>#N/A</v>
      </c>
      <c r="Q512" s="372" t="str">
        <f>CS_PID!Q512/VLOOKUP($B512,표2[#ALL],2)/HLOOKUP($A512,표1[#ALL],row(),false)</f>
        <v>#N/A</v>
      </c>
      <c r="R512" s="372" t="str">
        <f>CS_PID!R512/VLOOKUP($B512,표2[#ALL],2)/HLOOKUP($A512,표1[#ALL],row(),false)</f>
        <v>#N/A</v>
      </c>
      <c r="S512" s="372" t="str">
        <f>CS_PID!S512/VLOOKUP($B512,표2[#ALL],2)/HLOOKUP($A512,표1[#ALL],row(),false)</f>
        <v>#N/A</v>
      </c>
      <c r="T512" s="372" t="str">
        <f>CS_PID!T512/VLOOKUP($B512,표2[#ALL],2)/HLOOKUP($A512,표1[#ALL],row(),false)</f>
        <v>#N/A</v>
      </c>
      <c r="U512" s="372" t="str">
        <f>CS_PID!U512/VLOOKUP($B512,표2[#ALL],2)/HLOOKUP($A512,표1[#ALL],row(),false)</f>
        <v>#N/A</v>
      </c>
      <c r="V512" s="372" t="str">
        <f>CS_PID!V512/VLOOKUP($B512,표2[#ALL],2)/HLOOKUP($A512,표1[#ALL],row(),false)</f>
        <v>#N/A</v>
      </c>
      <c r="W512" s="372" t="str">
        <f>CS_PID!W512/VLOOKUP($B512,표2[#ALL],2)/HLOOKUP($A512,표1[#ALL],row(),false)</f>
        <v>#N/A</v>
      </c>
      <c r="X512" s="372" t="str">
        <f>CS_PID!X512/VLOOKUP($B512,표2[#ALL],2)/HLOOKUP($A512,표1[#ALL],row(),false)</f>
        <v>#N/A</v>
      </c>
      <c r="Y512" s="372" t="str">
        <f>CS_PID!Y512/VLOOKUP($B512,표2[#ALL],2)/HLOOKUP($A512,표1[#ALL],row(),false)</f>
        <v>#N/A</v>
      </c>
      <c r="Z512" s="372" t="str">
        <f>CS_PID!Z512/VLOOKUP($B512,표2[#ALL],2)/HLOOKUP($A512,표1[#ALL],row(),false)</f>
        <v>#N/A</v>
      </c>
      <c r="AA512" s="372" t="str">
        <f>CS_PID!AA512/VLOOKUP($B512,표2[#ALL],2)/HLOOKUP($A512,표1[#ALL],row(),false)</f>
        <v>#N/A</v>
      </c>
      <c r="AB512" s="372" t="str">
        <f>CS_PID!AB512/VLOOKUP($B512,표2[#ALL],2)/HLOOKUP($A512,표1[#ALL],row(),false)</f>
        <v>#N/A</v>
      </c>
      <c r="AC512" s="372" t="str">
        <f>CS_PID!AC512/VLOOKUP($B512,표2[#ALL],2)/HLOOKUP($A512,표1[#ALL],row(),false)</f>
        <v>#N/A</v>
      </c>
      <c r="AD512" s="372" t="str">
        <f>CS_PID!AD512/VLOOKUP($B512,표2[#ALL],2)/HLOOKUP($A512,표1[#ALL],row(),false)</f>
        <v>#N/A</v>
      </c>
      <c r="AE512" s="372" t="str">
        <f>CS_PID!AE512/VLOOKUP($B512,표2[#ALL],2)/HLOOKUP($A512,표1[#ALL],row(),false)</f>
        <v>#N/A</v>
      </c>
      <c r="AF512" s="372" t="str">
        <f>CS_PID!AF512/VLOOKUP($B512,표2[#ALL],2)/HLOOKUP($A512,표1[#ALL],row(),false)</f>
        <v>#N/A</v>
      </c>
      <c r="AG512" s="372" t="str">
        <f>CS_PID!AG512/VLOOKUP($B512,표2[#ALL],2)/HLOOKUP($A512,표1[#ALL],row(),false)</f>
        <v>#N/A</v>
      </c>
      <c r="AH512" s="372" t="str">
        <f>CS_PID!AH512/VLOOKUP($B512,표2[#ALL],2)/HLOOKUP($A512,표1[#ALL],row(),false)</f>
        <v>#N/A</v>
      </c>
      <c r="AI512" s="372" t="str">
        <f>CS_PID!AI512/VLOOKUP($B512,표2[#ALL],2)/HLOOKUP($A512,표1[#ALL],row(),false)</f>
        <v>#N/A</v>
      </c>
      <c r="AJ512" s="372" t="str">
        <f>CS_PID!AJ512/VLOOKUP($B512,표2[#ALL],2)/HLOOKUP($A512,표1[#ALL],row(),false)</f>
        <v>#N/A</v>
      </c>
      <c r="AK512" s="372" t="str">
        <f>CS_PID!AK512/VLOOKUP($B512,표2[#ALL],2)/HLOOKUP($A512,표1[#ALL],row(),false)</f>
        <v>#N/A</v>
      </c>
      <c r="AL512" s="372" t="str">
        <f>CS_PID!AL512/VLOOKUP($B512,표2[#ALL],2)/HLOOKUP($A512,표1[#ALL],row(),false)</f>
        <v>#N/A</v>
      </c>
      <c r="AM512" s="372" t="str">
        <f>CS_PID!AM512/VLOOKUP($B512,표2[#ALL],2)/HLOOKUP($A512,표1[#ALL],row(),false)</f>
        <v>#N/A</v>
      </c>
      <c r="AN512" s="372" t="str">
        <f>CS_PID!AN512/VLOOKUP($B512,표2[#ALL],2)/HLOOKUP($A512,표1[#ALL],row(),false)</f>
        <v>#N/A</v>
      </c>
      <c r="AO512" s="372" t="str">
        <f>CS_PID!AO512/VLOOKUP($B512,표2[#ALL],2)/HLOOKUP($A512,표1[#ALL],row(),false)</f>
        <v>#N/A</v>
      </c>
      <c r="AP512" s="372" t="str">
        <f>CS_PID!AP512/VLOOKUP($B512,표2[#ALL],2)/HLOOKUP($A512,표1[#ALL],row(),false)</f>
        <v>#N/A</v>
      </c>
      <c r="AQ512" s="372" t="str">
        <f>CS_PID!AQ512/VLOOKUP($B512,표2[#ALL],2)/HLOOKUP($A512,표1[#ALL],row(),false)</f>
        <v>#N/A</v>
      </c>
      <c r="AR512" s="372" t="str">
        <f>CS_PID!AR512/VLOOKUP($B512,표2[#ALL],2)/HLOOKUP($A512,표1[#ALL],row(),false)</f>
        <v>#N/A</v>
      </c>
      <c r="AS512" s="373" t="str">
        <f>CS_PID!AS512/VLOOKUP($B512,표2[#ALL],2)/HLOOKUP($A512,표1[#ALL],row(),false)</f>
        <v>#N/A</v>
      </c>
    </row>
    <row r="513">
      <c r="A513" s="374"/>
      <c r="B513" s="375"/>
      <c r="C513" s="376" t="str">
        <f>CS_PID!C513/VLOOKUP($B513,표2[#ALL],2)</f>
        <v>#N/A</v>
      </c>
      <c r="D513" s="376" t="str">
        <f>CS_PID!D513/VLOOKUP($B513,표2[#ALL],2)</f>
        <v>#N/A</v>
      </c>
      <c r="E513" s="376" t="str">
        <f>CS_PID!E513/VLOOKUP($B513,표2[#ALL],2)</f>
        <v>#N/A</v>
      </c>
      <c r="F513" s="376" t="str">
        <f>CS_PID!F513/VLOOKUP($B513,표2[#ALL],2)</f>
        <v>#N/A</v>
      </c>
      <c r="G513" s="376" t="str">
        <f>CS_PID!G513/VLOOKUP($B513,표2[#ALL],2)</f>
        <v>#N/A</v>
      </c>
      <c r="H513" s="376" t="str">
        <f>CS_PID!H513/VLOOKUP($B513,표2[#ALL],2)/HLOOKUP($A513,표1[#ALL],row(),false)</f>
        <v>#N/A</v>
      </c>
      <c r="I513" s="376" t="str">
        <f>CS_PID!I513/VLOOKUP($B513,표2[#ALL],2)/HLOOKUP($A513,표1[#ALL],row(),false)</f>
        <v>#N/A</v>
      </c>
      <c r="J513" s="376" t="str">
        <f>CS_PID!J513/VLOOKUP($B513,표2[#ALL],2)/HLOOKUP($A513,표1[#ALL],row(),false)</f>
        <v>#N/A</v>
      </c>
      <c r="K513" s="376" t="str">
        <f>CS_PID!K513/VLOOKUP($B513,표2[#ALL],2)/HLOOKUP($A513,표1[#ALL],row(),false)</f>
        <v>#N/A</v>
      </c>
      <c r="L513" s="376" t="str">
        <f>CS_PID!L513/VLOOKUP($B513,표2[#ALL],2)/HLOOKUP($A513,표1[#ALL],row(),false)</f>
        <v>#N/A</v>
      </c>
      <c r="M513" s="376" t="str">
        <f>CS_PID!M513/VLOOKUP($B513,표2[#ALL],2)/HLOOKUP($A513,표1[#ALL],row(),false)</f>
        <v>#N/A</v>
      </c>
      <c r="N513" s="376" t="str">
        <f>CS_PID!N513/VLOOKUP($B513,표2[#ALL],2)/HLOOKUP($A513,표1[#ALL],row(),false)</f>
        <v>#N/A</v>
      </c>
      <c r="O513" s="376" t="str">
        <f>CS_PID!O513/VLOOKUP($B513,표2[#ALL],2)/HLOOKUP($A513,표1[#ALL],row(),false)</f>
        <v>#N/A</v>
      </c>
      <c r="P513" s="376" t="str">
        <f>CS_PID!P513/VLOOKUP($B513,표2[#ALL],2)/HLOOKUP($A513,표1[#ALL],row(),false)</f>
        <v>#N/A</v>
      </c>
      <c r="Q513" s="376" t="str">
        <f>CS_PID!Q513/VLOOKUP($B513,표2[#ALL],2)/HLOOKUP($A513,표1[#ALL],row(),false)</f>
        <v>#N/A</v>
      </c>
      <c r="R513" s="376" t="str">
        <f>CS_PID!R513/VLOOKUP($B513,표2[#ALL],2)/HLOOKUP($A513,표1[#ALL],row(),false)</f>
        <v>#N/A</v>
      </c>
      <c r="S513" s="376" t="str">
        <f>CS_PID!S513/VLOOKUP($B513,표2[#ALL],2)/HLOOKUP($A513,표1[#ALL],row(),false)</f>
        <v>#N/A</v>
      </c>
      <c r="T513" s="376" t="str">
        <f>CS_PID!T513/VLOOKUP($B513,표2[#ALL],2)/HLOOKUP($A513,표1[#ALL],row(),false)</f>
        <v>#N/A</v>
      </c>
      <c r="U513" s="376" t="str">
        <f>CS_PID!U513/VLOOKUP($B513,표2[#ALL],2)/HLOOKUP($A513,표1[#ALL],row(),false)</f>
        <v>#N/A</v>
      </c>
      <c r="V513" s="376" t="str">
        <f>CS_PID!V513/VLOOKUP($B513,표2[#ALL],2)/HLOOKUP($A513,표1[#ALL],row(),false)</f>
        <v>#N/A</v>
      </c>
      <c r="W513" s="376" t="str">
        <f>CS_PID!W513/VLOOKUP($B513,표2[#ALL],2)/HLOOKUP($A513,표1[#ALL],row(),false)</f>
        <v>#N/A</v>
      </c>
      <c r="X513" s="376" t="str">
        <f>CS_PID!X513/VLOOKUP($B513,표2[#ALL],2)/HLOOKUP($A513,표1[#ALL],row(),false)</f>
        <v>#N/A</v>
      </c>
      <c r="Y513" s="376" t="str">
        <f>CS_PID!Y513/VLOOKUP($B513,표2[#ALL],2)/HLOOKUP($A513,표1[#ALL],row(),false)</f>
        <v>#N/A</v>
      </c>
      <c r="Z513" s="376" t="str">
        <f>CS_PID!Z513/VLOOKUP($B513,표2[#ALL],2)/HLOOKUP($A513,표1[#ALL],row(),false)</f>
        <v>#N/A</v>
      </c>
      <c r="AA513" s="376" t="str">
        <f>CS_PID!AA513/VLOOKUP($B513,표2[#ALL],2)/HLOOKUP($A513,표1[#ALL],row(),false)</f>
        <v>#N/A</v>
      </c>
      <c r="AB513" s="376" t="str">
        <f>CS_PID!AB513/VLOOKUP($B513,표2[#ALL],2)/HLOOKUP($A513,표1[#ALL],row(),false)</f>
        <v>#N/A</v>
      </c>
      <c r="AC513" s="376" t="str">
        <f>CS_PID!AC513/VLOOKUP($B513,표2[#ALL],2)/HLOOKUP($A513,표1[#ALL],row(),false)</f>
        <v>#N/A</v>
      </c>
      <c r="AD513" s="376" t="str">
        <f>CS_PID!AD513/VLOOKUP($B513,표2[#ALL],2)/HLOOKUP($A513,표1[#ALL],row(),false)</f>
        <v>#N/A</v>
      </c>
      <c r="AE513" s="376" t="str">
        <f>CS_PID!AE513/VLOOKUP($B513,표2[#ALL],2)/HLOOKUP($A513,표1[#ALL],row(),false)</f>
        <v>#N/A</v>
      </c>
      <c r="AF513" s="376" t="str">
        <f>CS_PID!AF513/VLOOKUP($B513,표2[#ALL],2)/HLOOKUP($A513,표1[#ALL],row(),false)</f>
        <v>#N/A</v>
      </c>
      <c r="AG513" s="376" t="str">
        <f>CS_PID!AG513/VLOOKUP($B513,표2[#ALL],2)/HLOOKUP($A513,표1[#ALL],row(),false)</f>
        <v>#N/A</v>
      </c>
      <c r="AH513" s="376" t="str">
        <f>CS_PID!AH513/VLOOKUP($B513,표2[#ALL],2)/HLOOKUP($A513,표1[#ALL],row(),false)</f>
        <v>#N/A</v>
      </c>
      <c r="AI513" s="376" t="str">
        <f>CS_PID!AI513/VLOOKUP($B513,표2[#ALL],2)/HLOOKUP($A513,표1[#ALL],row(),false)</f>
        <v>#N/A</v>
      </c>
      <c r="AJ513" s="376" t="str">
        <f>CS_PID!AJ513/VLOOKUP($B513,표2[#ALL],2)/HLOOKUP($A513,표1[#ALL],row(),false)</f>
        <v>#N/A</v>
      </c>
      <c r="AK513" s="376" t="str">
        <f>CS_PID!AK513/VLOOKUP($B513,표2[#ALL],2)/HLOOKUP($A513,표1[#ALL],row(),false)</f>
        <v>#N/A</v>
      </c>
      <c r="AL513" s="376" t="str">
        <f>CS_PID!AL513/VLOOKUP($B513,표2[#ALL],2)/HLOOKUP($A513,표1[#ALL],row(),false)</f>
        <v>#N/A</v>
      </c>
      <c r="AM513" s="376" t="str">
        <f>CS_PID!AM513/VLOOKUP($B513,표2[#ALL],2)/HLOOKUP($A513,표1[#ALL],row(),false)</f>
        <v>#N/A</v>
      </c>
      <c r="AN513" s="376" t="str">
        <f>CS_PID!AN513/VLOOKUP($B513,표2[#ALL],2)/HLOOKUP($A513,표1[#ALL],row(),false)</f>
        <v>#N/A</v>
      </c>
      <c r="AO513" s="376" t="str">
        <f>CS_PID!AO513/VLOOKUP($B513,표2[#ALL],2)/HLOOKUP($A513,표1[#ALL],row(),false)</f>
        <v>#N/A</v>
      </c>
      <c r="AP513" s="376" t="str">
        <f>CS_PID!AP513/VLOOKUP($B513,표2[#ALL],2)/HLOOKUP($A513,표1[#ALL],row(),false)</f>
        <v>#N/A</v>
      </c>
      <c r="AQ513" s="376" t="str">
        <f>CS_PID!AQ513/VLOOKUP($B513,표2[#ALL],2)/HLOOKUP($A513,표1[#ALL],row(),false)</f>
        <v>#N/A</v>
      </c>
      <c r="AR513" s="376" t="str">
        <f>CS_PID!AR513/VLOOKUP($B513,표2[#ALL],2)/HLOOKUP($A513,표1[#ALL],row(),false)</f>
        <v>#N/A</v>
      </c>
      <c r="AS513" s="377" t="str">
        <f>CS_PID!AS513/VLOOKUP($B513,표2[#ALL],2)/HLOOKUP($A513,표1[#ALL],row(),false)</f>
        <v>#N/A</v>
      </c>
    </row>
    <row r="514">
      <c r="A514" s="370"/>
      <c r="B514" s="371"/>
      <c r="C514" s="372" t="str">
        <f>CS_PID!C514/VLOOKUP($B514,표2[#ALL],2)</f>
        <v>#N/A</v>
      </c>
      <c r="D514" s="372" t="str">
        <f>CS_PID!D514/VLOOKUP($B514,표2[#ALL],2)</f>
        <v>#N/A</v>
      </c>
      <c r="E514" s="372" t="str">
        <f>CS_PID!E514/VLOOKUP($B514,표2[#ALL],2)</f>
        <v>#N/A</v>
      </c>
      <c r="F514" s="372" t="str">
        <f>CS_PID!F514/VLOOKUP($B514,표2[#ALL],2)</f>
        <v>#N/A</v>
      </c>
      <c r="G514" s="372" t="str">
        <f>CS_PID!G514/VLOOKUP($B514,표2[#ALL],2)</f>
        <v>#N/A</v>
      </c>
      <c r="H514" s="372" t="str">
        <f>CS_PID!H514/VLOOKUP($B514,표2[#ALL],2)/HLOOKUP($A514,표1[#ALL],row(),false)</f>
        <v>#N/A</v>
      </c>
      <c r="I514" s="372" t="str">
        <f>CS_PID!I514/VLOOKUP($B514,표2[#ALL],2)/HLOOKUP($A514,표1[#ALL],row(),false)</f>
        <v>#N/A</v>
      </c>
      <c r="J514" s="372" t="str">
        <f>CS_PID!J514/VLOOKUP($B514,표2[#ALL],2)/HLOOKUP($A514,표1[#ALL],row(),false)</f>
        <v>#N/A</v>
      </c>
      <c r="K514" s="372" t="str">
        <f>CS_PID!K514/VLOOKUP($B514,표2[#ALL],2)/HLOOKUP($A514,표1[#ALL],row(),false)</f>
        <v>#N/A</v>
      </c>
      <c r="L514" s="372" t="str">
        <f>CS_PID!L514/VLOOKUP($B514,표2[#ALL],2)/HLOOKUP($A514,표1[#ALL],row(),false)</f>
        <v>#N/A</v>
      </c>
      <c r="M514" s="372" t="str">
        <f>CS_PID!M514/VLOOKUP($B514,표2[#ALL],2)/HLOOKUP($A514,표1[#ALL],row(),false)</f>
        <v>#N/A</v>
      </c>
      <c r="N514" s="372" t="str">
        <f>CS_PID!N514/VLOOKUP($B514,표2[#ALL],2)/HLOOKUP($A514,표1[#ALL],row(),false)</f>
        <v>#N/A</v>
      </c>
      <c r="O514" s="372" t="str">
        <f>CS_PID!O514/VLOOKUP($B514,표2[#ALL],2)/HLOOKUP($A514,표1[#ALL],row(),false)</f>
        <v>#N/A</v>
      </c>
      <c r="P514" s="372" t="str">
        <f>CS_PID!P514/VLOOKUP($B514,표2[#ALL],2)/HLOOKUP($A514,표1[#ALL],row(),false)</f>
        <v>#N/A</v>
      </c>
      <c r="Q514" s="372" t="str">
        <f>CS_PID!Q514/VLOOKUP($B514,표2[#ALL],2)/HLOOKUP($A514,표1[#ALL],row(),false)</f>
        <v>#N/A</v>
      </c>
      <c r="R514" s="372" t="str">
        <f>CS_PID!R514/VLOOKUP($B514,표2[#ALL],2)/HLOOKUP($A514,표1[#ALL],row(),false)</f>
        <v>#N/A</v>
      </c>
      <c r="S514" s="372" t="str">
        <f>CS_PID!S514/VLOOKUP($B514,표2[#ALL],2)/HLOOKUP($A514,표1[#ALL],row(),false)</f>
        <v>#N/A</v>
      </c>
      <c r="T514" s="372" t="str">
        <f>CS_PID!T514/VLOOKUP($B514,표2[#ALL],2)/HLOOKUP($A514,표1[#ALL],row(),false)</f>
        <v>#N/A</v>
      </c>
      <c r="U514" s="372" t="str">
        <f>CS_PID!U514/VLOOKUP($B514,표2[#ALL],2)/HLOOKUP($A514,표1[#ALL],row(),false)</f>
        <v>#N/A</v>
      </c>
      <c r="V514" s="372" t="str">
        <f>CS_PID!V514/VLOOKUP($B514,표2[#ALL],2)/HLOOKUP($A514,표1[#ALL],row(),false)</f>
        <v>#N/A</v>
      </c>
      <c r="W514" s="372" t="str">
        <f>CS_PID!W514/VLOOKUP($B514,표2[#ALL],2)/HLOOKUP($A514,표1[#ALL],row(),false)</f>
        <v>#N/A</v>
      </c>
      <c r="X514" s="372" t="str">
        <f>CS_PID!X514/VLOOKUP($B514,표2[#ALL],2)/HLOOKUP($A514,표1[#ALL],row(),false)</f>
        <v>#N/A</v>
      </c>
      <c r="Y514" s="372" t="str">
        <f>CS_PID!Y514/VLOOKUP($B514,표2[#ALL],2)/HLOOKUP($A514,표1[#ALL],row(),false)</f>
        <v>#N/A</v>
      </c>
      <c r="Z514" s="372" t="str">
        <f>CS_PID!Z514/VLOOKUP($B514,표2[#ALL],2)/HLOOKUP($A514,표1[#ALL],row(),false)</f>
        <v>#N/A</v>
      </c>
      <c r="AA514" s="372" t="str">
        <f>CS_PID!AA514/VLOOKUP($B514,표2[#ALL],2)/HLOOKUP($A514,표1[#ALL],row(),false)</f>
        <v>#N/A</v>
      </c>
      <c r="AB514" s="372" t="str">
        <f>CS_PID!AB514/VLOOKUP($B514,표2[#ALL],2)/HLOOKUP($A514,표1[#ALL],row(),false)</f>
        <v>#N/A</v>
      </c>
      <c r="AC514" s="372" t="str">
        <f>CS_PID!AC514/VLOOKUP($B514,표2[#ALL],2)/HLOOKUP($A514,표1[#ALL],row(),false)</f>
        <v>#N/A</v>
      </c>
      <c r="AD514" s="372" t="str">
        <f>CS_PID!AD514/VLOOKUP($B514,표2[#ALL],2)/HLOOKUP($A514,표1[#ALL],row(),false)</f>
        <v>#N/A</v>
      </c>
      <c r="AE514" s="372" t="str">
        <f>CS_PID!AE514/VLOOKUP($B514,표2[#ALL],2)/HLOOKUP($A514,표1[#ALL],row(),false)</f>
        <v>#N/A</v>
      </c>
      <c r="AF514" s="372" t="str">
        <f>CS_PID!AF514/VLOOKUP($B514,표2[#ALL],2)/HLOOKUP($A514,표1[#ALL],row(),false)</f>
        <v>#N/A</v>
      </c>
      <c r="AG514" s="372" t="str">
        <f>CS_PID!AG514/VLOOKUP($B514,표2[#ALL],2)/HLOOKUP($A514,표1[#ALL],row(),false)</f>
        <v>#N/A</v>
      </c>
      <c r="AH514" s="372" t="str">
        <f>CS_PID!AH514/VLOOKUP($B514,표2[#ALL],2)/HLOOKUP($A514,표1[#ALL],row(),false)</f>
        <v>#N/A</v>
      </c>
      <c r="AI514" s="372" t="str">
        <f>CS_PID!AI514/VLOOKUP($B514,표2[#ALL],2)/HLOOKUP($A514,표1[#ALL],row(),false)</f>
        <v>#N/A</v>
      </c>
      <c r="AJ514" s="372" t="str">
        <f>CS_PID!AJ514/VLOOKUP($B514,표2[#ALL],2)/HLOOKUP($A514,표1[#ALL],row(),false)</f>
        <v>#N/A</v>
      </c>
      <c r="AK514" s="372" t="str">
        <f>CS_PID!AK514/VLOOKUP($B514,표2[#ALL],2)/HLOOKUP($A514,표1[#ALL],row(),false)</f>
        <v>#N/A</v>
      </c>
      <c r="AL514" s="372" t="str">
        <f>CS_PID!AL514/VLOOKUP($B514,표2[#ALL],2)/HLOOKUP($A514,표1[#ALL],row(),false)</f>
        <v>#N/A</v>
      </c>
      <c r="AM514" s="372" t="str">
        <f>CS_PID!AM514/VLOOKUP($B514,표2[#ALL],2)/HLOOKUP($A514,표1[#ALL],row(),false)</f>
        <v>#N/A</v>
      </c>
      <c r="AN514" s="372" t="str">
        <f>CS_PID!AN514/VLOOKUP($B514,표2[#ALL],2)/HLOOKUP($A514,표1[#ALL],row(),false)</f>
        <v>#N/A</v>
      </c>
      <c r="AO514" s="372" t="str">
        <f>CS_PID!AO514/VLOOKUP($B514,표2[#ALL],2)/HLOOKUP($A514,표1[#ALL],row(),false)</f>
        <v>#N/A</v>
      </c>
      <c r="AP514" s="372" t="str">
        <f>CS_PID!AP514/VLOOKUP($B514,표2[#ALL],2)/HLOOKUP($A514,표1[#ALL],row(),false)</f>
        <v>#N/A</v>
      </c>
      <c r="AQ514" s="372" t="str">
        <f>CS_PID!AQ514/VLOOKUP($B514,표2[#ALL],2)/HLOOKUP($A514,표1[#ALL],row(),false)</f>
        <v>#N/A</v>
      </c>
      <c r="AR514" s="372" t="str">
        <f>CS_PID!AR514/VLOOKUP($B514,표2[#ALL],2)/HLOOKUP($A514,표1[#ALL],row(),false)</f>
        <v>#N/A</v>
      </c>
      <c r="AS514" s="373" t="str">
        <f>CS_PID!AS514/VLOOKUP($B514,표2[#ALL],2)/HLOOKUP($A514,표1[#ALL],row(),false)</f>
        <v>#N/A</v>
      </c>
    </row>
    <row r="515">
      <c r="A515" s="374"/>
      <c r="B515" s="375"/>
      <c r="C515" s="376" t="str">
        <f>CS_PID!C515/VLOOKUP($B515,표2[#ALL],2)</f>
        <v>#N/A</v>
      </c>
      <c r="D515" s="376" t="str">
        <f>CS_PID!D515/VLOOKUP($B515,표2[#ALL],2)</f>
        <v>#N/A</v>
      </c>
      <c r="E515" s="376" t="str">
        <f>CS_PID!E515/VLOOKUP($B515,표2[#ALL],2)</f>
        <v>#N/A</v>
      </c>
      <c r="F515" s="376" t="str">
        <f>CS_PID!F515/VLOOKUP($B515,표2[#ALL],2)</f>
        <v>#N/A</v>
      </c>
      <c r="G515" s="376" t="str">
        <f>CS_PID!G515/VLOOKUP($B515,표2[#ALL],2)</f>
        <v>#N/A</v>
      </c>
      <c r="H515" s="376" t="str">
        <f>CS_PID!H515/VLOOKUP($B515,표2[#ALL],2)/HLOOKUP($A515,표1[#ALL],row(),false)</f>
        <v>#N/A</v>
      </c>
      <c r="I515" s="376" t="str">
        <f>CS_PID!I515/VLOOKUP($B515,표2[#ALL],2)/HLOOKUP($A515,표1[#ALL],row(),false)</f>
        <v>#N/A</v>
      </c>
      <c r="J515" s="376" t="str">
        <f>CS_PID!J515/VLOOKUP($B515,표2[#ALL],2)/HLOOKUP($A515,표1[#ALL],row(),false)</f>
        <v>#N/A</v>
      </c>
      <c r="K515" s="376" t="str">
        <f>CS_PID!K515/VLOOKUP($B515,표2[#ALL],2)/HLOOKUP($A515,표1[#ALL],row(),false)</f>
        <v>#N/A</v>
      </c>
      <c r="L515" s="376" t="str">
        <f>CS_PID!L515/VLOOKUP($B515,표2[#ALL],2)/HLOOKUP($A515,표1[#ALL],row(),false)</f>
        <v>#N/A</v>
      </c>
      <c r="M515" s="376" t="str">
        <f>CS_PID!M515/VLOOKUP($B515,표2[#ALL],2)/HLOOKUP($A515,표1[#ALL],row(),false)</f>
        <v>#N/A</v>
      </c>
      <c r="N515" s="376" t="str">
        <f>CS_PID!N515/VLOOKUP($B515,표2[#ALL],2)/HLOOKUP($A515,표1[#ALL],row(),false)</f>
        <v>#N/A</v>
      </c>
      <c r="O515" s="376" t="str">
        <f>CS_PID!O515/VLOOKUP($B515,표2[#ALL],2)/HLOOKUP($A515,표1[#ALL],row(),false)</f>
        <v>#N/A</v>
      </c>
      <c r="P515" s="376" t="str">
        <f>CS_PID!P515/VLOOKUP($B515,표2[#ALL],2)/HLOOKUP($A515,표1[#ALL],row(),false)</f>
        <v>#N/A</v>
      </c>
      <c r="Q515" s="376" t="str">
        <f>CS_PID!Q515/VLOOKUP($B515,표2[#ALL],2)/HLOOKUP($A515,표1[#ALL],row(),false)</f>
        <v>#N/A</v>
      </c>
      <c r="R515" s="376" t="str">
        <f>CS_PID!R515/VLOOKUP($B515,표2[#ALL],2)/HLOOKUP($A515,표1[#ALL],row(),false)</f>
        <v>#N/A</v>
      </c>
      <c r="S515" s="376" t="str">
        <f>CS_PID!S515/VLOOKUP($B515,표2[#ALL],2)/HLOOKUP($A515,표1[#ALL],row(),false)</f>
        <v>#N/A</v>
      </c>
      <c r="T515" s="376" t="str">
        <f>CS_PID!T515/VLOOKUP($B515,표2[#ALL],2)/HLOOKUP($A515,표1[#ALL],row(),false)</f>
        <v>#N/A</v>
      </c>
      <c r="U515" s="376" t="str">
        <f>CS_PID!U515/VLOOKUP($B515,표2[#ALL],2)/HLOOKUP($A515,표1[#ALL],row(),false)</f>
        <v>#N/A</v>
      </c>
      <c r="V515" s="376" t="str">
        <f>CS_PID!V515/VLOOKUP($B515,표2[#ALL],2)/HLOOKUP($A515,표1[#ALL],row(),false)</f>
        <v>#N/A</v>
      </c>
      <c r="W515" s="376" t="str">
        <f>CS_PID!W515/VLOOKUP($B515,표2[#ALL],2)/HLOOKUP($A515,표1[#ALL],row(),false)</f>
        <v>#N/A</v>
      </c>
      <c r="X515" s="376" t="str">
        <f>CS_PID!X515/VLOOKUP($B515,표2[#ALL],2)/HLOOKUP($A515,표1[#ALL],row(),false)</f>
        <v>#N/A</v>
      </c>
      <c r="Y515" s="376" t="str">
        <f>CS_PID!Y515/VLOOKUP($B515,표2[#ALL],2)/HLOOKUP($A515,표1[#ALL],row(),false)</f>
        <v>#N/A</v>
      </c>
      <c r="Z515" s="376" t="str">
        <f>CS_PID!Z515/VLOOKUP($B515,표2[#ALL],2)/HLOOKUP($A515,표1[#ALL],row(),false)</f>
        <v>#N/A</v>
      </c>
      <c r="AA515" s="376" t="str">
        <f>CS_PID!AA515/VLOOKUP($B515,표2[#ALL],2)/HLOOKUP($A515,표1[#ALL],row(),false)</f>
        <v>#N/A</v>
      </c>
      <c r="AB515" s="376" t="str">
        <f>CS_PID!AB515/VLOOKUP($B515,표2[#ALL],2)/HLOOKUP($A515,표1[#ALL],row(),false)</f>
        <v>#N/A</v>
      </c>
      <c r="AC515" s="376" t="str">
        <f>CS_PID!AC515/VLOOKUP($B515,표2[#ALL],2)/HLOOKUP($A515,표1[#ALL],row(),false)</f>
        <v>#N/A</v>
      </c>
      <c r="AD515" s="376" t="str">
        <f>CS_PID!AD515/VLOOKUP($B515,표2[#ALL],2)/HLOOKUP($A515,표1[#ALL],row(),false)</f>
        <v>#N/A</v>
      </c>
      <c r="AE515" s="376" t="str">
        <f>CS_PID!AE515/VLOOKUP($B515,표2[#ALL],2)/HLOOKUP($A515,표1[#ALL],row(),false)</f>
        <v>#N/A</v>
      </c>
      <c r="AF515" s="376" t="str">
        <f>CS_PID!AF515/VLOOKUP($B515,표2[#ALL],2)/HLOOKUP($A515,표1[#ALL],row(),false)</f>
        <v>#N/A</v>
      </c>
      <c r="AG515" s="376" t="str">
        <f>CS_PID!AG515/VLOOKUP($B515,표2[#ALL],2)/HLOOKUP($A515,표1[#ALL],row(),false)</f>
        <v>#N/A</v>
      </c>
      <c r="AH515" s="376" t="str">
        <f>CS_PID!AH515/VLOOKUP($B515,표2[#ALL],2)/HLOOKUP($A515,표1[#ALL],row(),false)</f>
        <v>#N/A</v>
      </c>
      <c r="AI515" s="376" t="str">
        <f>CS_PID!AI515/VLOOKUP($B515,표2[#ALL],2)/HLOOKUP($A515,표1[#ALL],row(),false)</f>
        <v>#N/A</v>
      </c>
      <c r="AJ515" s="376" t="str">
        <f>CS_PID!AJ515/VLOOKUP($B515,표2[#ALL],2)/HLOOKUP($A515,표1[#ALL],row(),false)</f>
        <v>#N/A</v>
      </c>
      <c r="AK515" s="376" t="str">
        <f>CS_PID!AK515/VLOOKUP($B515,표2[#ALL],2)/HLOOKUP($A515,표1[#ALL],row(),false)</f>
        <v>#N/A</v>
      </c>
      <c r="AL515" s="376" t="str">
        <f>CS_PID!AL515/VLOOKUP($B515,표2[#ALL],2)/HLOOKUP($A515,표1[#ALL],row(),false)</f>
        <v>#N/A</v>
      </c>
      <c r="AM515" s="376" t="str">
        <f>CS_PID!AM515/VLOOKUP($B515,표2[#ALL],2)/HLOOKUP($A515,표1[#ALL],row(),false)</f>
        <v>#N/A</v>
      </c>
      <c r="AN515" s="376" t="str">
        <f>CS_PID!AN515/VLOOKUP($B515,표2[#ALL],2)/HLOOKUP($A515,표1[#ALL],row(),false)</f>
        <v>#N/A</v>
      </c>
      <c r="AO515" s="376" t="str">
        <f>CS_PID!AO515/VLOOKUP($B515,표2[#ALL],2)/HLOOKUP($A515,표1[#ALL],row(),false)</f>
        <v>#N/A</v>
      </c>
      <c r="AP515" s="376" t="str">
        <f>CS_PID!AP515/VLOOKUP($B515,표2[#ALL],2)/HLOOKUP($A515,표1[#ALL],row(),false)</f>
        <v>#N/A</v>
      </c>
      <c r="AQ515" s="376" t="str">
        <f>CS_PID!AQ515/VLOOKUP($B515,표2[#ALL],2)/HLOOKUP($A515,표1[#ALL],row(),false)</f>
        <v>#N/A</v>
      </c>
      <c r="AR515" s="376" t="str">
        <f>CS_PID!AR515/VLOOKUP($B515,표2[#ALL],2)/HLOOKUP($A515,표1[#ALL],row(),false)</f>
        <v>#N/A</v>
      </c>
      <c r="AS515" s="377" t="str">
        <f>CS_PID!AS515/VLOOKUP($B515,표2[#ALL],2)/HLOOKUP($A515,표1[#ALL],row(),false)</f>
        <v>#N/A</v>
      </c>
    </row>
    <row r="516">
      <c r="A516" s="370"/>
      <c r="B516" s="371"/>
      <c r="C516" s="372" t="str">
        <f>CS_PID!C516/VLOOKUP($B516,표2[#ALL],2)</f>
        <v>#N/A</v>
      </c>
      <c r="D516" s="372" t="str">
        <f>CS_PID!D516/VLOOKUP($B516,표2[#ALL],2)</f>
        <v>#N/A</v>
      </c>
      <c r="E516" s="372" t="str">
        <f>CS_PID!E516/VLOOKUP($B516,표2[#ALL],2)</f>
        <v>#N/A</v>
      </c>
      <c r="F516" s="372" t="str">
        <f>CS_PID!F516/VLOOKUP($B516,표2[#ALL],2)</f>
        <v>#N/A</v>
      </c>
      <c r="G516" s="372" t="str">
        <f>CS_PID!G516/VLOOKUP($B516,표2[#ALL],2)</f>
        <v>#N/A</v>
      </c>
      <c r="H516" s="372" t="str">
        <f>CS_PID!H516/VLOOKUP($B516,표2[#ALL],2)/HLOOKUP($A516,표1[#ALL],row(),false)</f>
        <v>#N/A</v>
      </c>
      <c r="I516" s="372" t="str">
        <f>CS_PID!I516/VLOOKUP($B516,표2[#ALL],2)/HLOOKUP($A516,표1[#ALL],row(),false)</f>
        <v>#N/A</v>
      </c>
      <c r="J516" s="372" t="str">
        <f>CS_PID!J516/VLOOKUP($B516,표2[#ALL],2)/HLOOKUP($A516,표1[#ALL],row(),false)</f>
        <v>#N/A</v>
      </c>
      <c r="K516" s="372" t="str">
        <f>CS_PID!K516/VLOOKUP($B516,표2[#ALL],2)/HLOOKUP($A516,표1[#ALL],row(),false)</f>
        <v>#N/A</v>
      </c>
      <c r="L516" s="372" t="str">
        <f>CS_PID!L516/VLOOKUP($B516,표2[#ALL],2)/HLOOKUP($A516,표1[#ALL],row(),false)</f>
        <v>#N/A</v>
      </c>
      <c r="M516" s="372" t="str">
        <f>CS_PID!M516/VLOOKUP($B516,표2[#ALL],2)/HLOOKUP($A516,표1[#ALL],row(),false)</f>
        <v>#N/A</v>
      </c>
      <c r="N516" s="372" t="str">
        <f>CS_PID!N516/VLOOKUP($B516,표2[#ALL],2)/HLOOKUP($A516,표1[#ALL],row(),false)</f>
        <v>#N/A</v>
      </c>
      <c r="O516" s="372" t="str">
        <f>CS_PID!O516/VLOOKUP($B516,표2[#ALL],2)/HLOOKUP($A516,표1[#ALL],row(),false)</f>
        <v>#N/A</v>
      </c>
      <c r="P516" s="372" t="str">
        <f>CS_PID!P516/VLOOKUP($B516,표2[#ALL],2)/HLOOKUP($A516,표1[#ALL],row(),false)</f>
        <v>#N/A</v>
      </c>
      <c r="Q516" s="372" t="str">
        <f>CS_PID!Q516/VLOOKUP($B516,표2[#ALL],2)/HLOOKUP($A516,표1[#ALL],row(),false)</f>
        <v>#N/A</v>
      </c>
      <c r="R516" s="372" t="str">
        <f>CS_PID!R516/VLOOKUP($B516,표2[#ALL],2)/HLOOKUP($A516,표1[#ALL],row(),false)</f>
        <v>#N/A</v>
      </c>
      <c r="S516" s="372" t="str">
        <f>CS_PID!S516/VLOOKUP($B516,표2[#ALL],2)/HLOOKUP($A516,표1[#ALL],row(),false)</f>
        <v>#N/A</v>
      </c>
      <c r="T516" s="372" t="str">
        <f>CS_PID!T516/VLOOKUP($B516,표2[#ALL],2)/HLOOKUP($A516,표1[#ALL],row(),false)</f>
        <v>#N/A</v>
      </c>
      <c r="U516" s="372" t="str">
        <f>CS_PID!U516/VLOOKUP($B516,표2[#ALL],2)/HLOOKUP($A516,표1[#ALL],row(),false)</f>
        <v>#N/A</v>
      </c>
      <c r="V516" s="372" t="str">
        <f>CS_PID!V516/VLOOKUP($B516,표2[#ALL],2)/HLOOKUP($A516,표1[#ALL],row(),false)</f>
        <v>#N/A</v>
      </c>
      <c r="W516" s="372" t="str">
        <f>CS_PID!W516/VLOOKUP($B516,표2[#ALL],2)/HLOOKUP($A516,표1[#ALL],row(),false)</f>
        <v>#N/A</v>
      </c>
      <c r="X516" s="372" t="str">
        <f>CS_PID!X516/VLOOKUP($B516,표2[#ALL],2)/HLOOKUP($A516,표1[#ALL],row(),false)</f>
        <v>#N/A</v>
      </c>
      <c r="Y516" s="372" t="str">
        <f>CS_PID!Y516/VLOOKUP($B516,표2[#ALL],2)/HLOOKUP($A516,표1[#ALL],row(),false)</f>
        <v>#N/A</v>
      </c>
      <c r="Z516" s="372" t="str">
        <f>CS_PID!Z516/VLOOKUP($B516,표2[#ALL],2)/HLOOKUP($A516,표1[#ALL],row(),false)</f>
        <v>#N/A</v>
      </c>
      <c r="AA516" s="372" t="str">
        <f>CS_PID!AA516/VLOOKUP($B516,표2[#ALL],2)/HLOOKUP($A516,표1[#ALL],row(),false)</f>
        <v>#N/A</v>
      </c>
      <c r="AB516" s="372" t="str">
        <f>CS_PID!AB516/VLOOKUP($B516,표2[#ALL],2)/HLOOKUP($A516,표1[#ALL],row(),false)</f>
        <v>#N/A</v>
      </c>
      <c r="AC516" s="372" t="str">
        <f>CS_PID!AC516/VLOOKUP($B516,표2[#ALL],2)/HLOOKUP($A516,표1[#ALL],row(),false)</f>
        <v>#N/A</v>
      </c>
      <c r="AD516" s="372" t="str">
        <f>CS_PID!AD516/VLOOKUP($B516,표2[#ALL],2)/HLOOKUP($A516,표1[#ALL],row(),false)</f>
        <v>#N/A</v>
      </c>
      <c r="AE516" s="372" t="str">
        <f>CS_PID!AE516/VLOOKUP($B516,표2[#ALL],2)/HLOOKUP($A516,표1[#ALL],row(),false)</f>
        <v>#N/A</v>
      </c>
      <c r="AF516" s="372" t="str">
        <f>CS_PID!AF516/VLOOKUP($B516,표2[#ALL],2)/HLOOKUP($A516,표1[#ALL],row(),false)</f>
        <v>#N/A</v>
      </c>
      <c r="AG516" s="372" t="str">
        <f>CS_PID!AG516/VLOOKUP($B516,표2[#ALL],2)/HLOOKUP($A516,표1[#ALL],row(),false)</f>
        <v>#N/A</v>
      </c>
      <c r="AH516" s="372" t="str">
        <f>CS_PID!AH516/VLOOKUP($B516,표2[#ALL],2)/HLOOKUP($A516,표1[#ALL],row(),false)</f>
        <v>#N/A</v>
      </c>
      <c r="AI516" s="372" t="str">
        <f>CS_PID!AI516/VLOOKUP($B516,표2[#ALL],2)/HLOOKUP($A516,표1[#ALL],row(),false)</f>
        <v>#N/A</v>
      </c>
      <c r="AJ516" s="372" t="str">
        <f>CS_PID!AJ516/VLOOKUP($B516,표2[#ALL],2)/HLOOKUP($A516,표1[#ALL],row(),false)</f>
        <v>#N/A</v>
      </c>
      <c r="AK516" s="372" t="str">
        <f>CS_PID!AK516/VLOOKUP($B516,표2[#ALL],2)/HLOOKUP($A516,표1[#ALL],row(),false)</f>
        <v>#N/A</v>
      </c>
      <c r="AL516" s="372" t="str">
        <f>CS_PID!AL516/VLOOKUP($B516,표2[#ALL],2)/HLOOKUP($A516,표1[#ALL],row(),false)</f>
        <v>#N/A</v>
      </c>
      <c r="AM516" s="372" t="str">
        <f>CS_PID!AM516/VLOOKUP($B516,표2[#ALL],2)/HLOOKUP($A516,표1[#ALL],row(),false)</f>
        <v>#N/A</v>
      </c>
      <c r="AN516" s="372" t="str">
        <f>CS_PID!AN516/VLOOKUP($B516,표2[#ALL],2)/HLOOKUP($A516,표1[#ALL],row(),false)</f>
        <v>#N/A</v>
      </c>
      <c r="AO516" s="372" t="str">
        <f>CS_PID!AO516/VLOOKUP($B516,표2[#ALL],2)/HLOOKUP($A516,표1[#ALL],row(),false)</f>
        <v>#N/A</v>
      </c>
      <c r="AP516" s="372" t="str">
        <f>CS_PID!AP516/VLOOKUP($B516,표2[#ALL],2)/HLOOKUP($A516,표1[#ALL],row(),false)</f>
        <v>#N/A</v>
      </c>
      <c r="AQ516" s="372" t="str">
        <f>CS_PID!AQ516/VLOOKUP($B516,표2[#ALL],2)/HLOOKUP($A516,표1[#ALL],row(),false)</f>
        <v>#N/A</v>
      </c>
      <c r="AR516" s="372" t="str">
        <f>CS_PID!AR516/VLOOKUP($B516,표2[#ALL],2)/HLOOKUP($A516,표1[#ALL],row(),false)</f>
        <v>#N/A</v>
      </c>
      <c r="AS516" s="373" t="str">
        <f>CS_PID!AS516/VLOOKUP($B516,표2[#ALL],2)/HLOOKUP($A516,표1[#ALL],row(),false)</f>
        <v>#N/A</v>
      </c>
    </row>
    <row r="517">
      <c r="A517" s="374"/>
      <c r="B517" s="375"/>
      <c r="C517" s="376" t="str">
        <f>CS_PID!C517/VLOOKUP($B517,표2[#ALL],2)</f>
        <v>#N/A</v>
      </c>
      <c r="D517" s="376" t="str">
        <f>CS_PID!D517/VLOOKUP($B517,표2[#ALL],2)</f>
        <v>#N/A</v>
      </c>
      <c r="E517" s="376" t="str">
        <f>CS_PID!E517/VLOOKUP($B517,표2[#ALL],2)</f>
        <v>#N/A</v>
      </c>
      <c r="F517" s="376" t="str">
        <f>CS_PID!F517/VLOOKUP($B517,표2[#ALL],2)</f>
        <v>#N/A</v>
      </c>
      <c r="G517" s="376" t="str">
        <f>CS_PID!G517/VLOOKUP($B517,표2[#ALL],2)</f>
        <v>#N/A</v>
      </c>
      <c r="H517" s="376" t="str">
        <f>CS_PID!H517/VLOOKUP($B517,표2[#ALL],2)/HLOOKUP($A517,표1[#ALL],row(),false)</f>
        <v>#N/A</v>
      </c>
      <c r="I517" s="376" t="str">
        <f>CS_PID!I517/VLOOKUP($B517,표2[#ALL],2)/HLOOKUP($A517,표1[#ALL],row(),false)</f>
        <v>#N/A</v>
      </c>
      <c r="J517" s="376" t="str">
        <f>CS_PID!J517/VLOOKUP($B517,표2[#ALL],2)/HLOOKUP($A517,표1[#ALL],row(),false)</f>
        <v>#N/A</v>
      </c>
      <c r="K517" s="376" t="str">
        <f>CS_PID!K517/VLOOKUP($B517,표2[#ALL],2)/HLOOKUP($A517,표1[#ALL],row(),false)</f>
        <v>#N/A</v>
      </c>
      <c r="L517" s="376" t="str">
        <f>CS_PID!L517/VLOOKUP($B517,표2[#ALL],2)/HLOOKUP($A517,표1[#ALL],row(),false)</f>
        <v>#N/A</v>
      </c>
      <c r="M517" s="376" t="str">
        <f>CS_PID!M517/VLOOKUP($B517,표2[#ALL],2)/HLOOKUP($A517,표1[#ALL],row(),false)</f>
        <v>#N/A</v>
      </c>
      <c r="N517" s="376" t="str">
        <f>CS_PID!N517/VLOOKUP($B517,표2[#ALL],2)/HLOOKUP($A517,표1[#ALL],row(),false)</f>
        <v>#N/A</v>
      </c>
      <c r="O517" s="376" t="str">
        <f>CS_PID!O517/VLOOKUP($B517,표2[#ALL],2)/HLOOKUP($A517,표1[#ALL],row(),false)</f>
        <v>#N/A</v>
      </c>
      <c r="P517" s="376" t="str">
        <f>CS_PID!P517/VLOOKUP($B517,표2[#ALL],2)/HLOOKUP($A517,표1[#ALL],row(),false)</f>
        <v>#N/A</v>
      </c>
      <c r="Q517" s="376" t="str">
        <f>CS_PID!Q517/VLOOKUP($B517,표2[#ALL],2)/HLOOKUP($A517,표1[#ALL],row(),false)</f>
        <v>#N/A</v>
      </c>
      <c r="R517" s="376" t="str">
        <f>CS_PID!R517/VLOOKUP($B517,표2[#ALL],2)/HLOOKUP($A517,표1[#ALL],row(),false)</f>
        <v>#N/A</v>
      </c>
      <c r="S517" s="376" t="str">
        <f>CS_PID!S517/VLOOKUP($B517,표2[#ALL],2)/HLOOKUP($A517,표1[#ALL],row(),false)</f>
        <v>#N/A</v>
      </c>
      <c r="T517" s="376" t="str">
        <f>CS_PID!T517/VLOOKUP($B517,표2[#ALL],2)/HLOOKUP($A517,표1[#ALL],row(),false)</f>
        <v>#N/A</v>
      </c>
      <c r="U517" s="376" t="str">
        <f>CS_PID!U517/VLOOKUP($B517,표2[#ALL],2)/HLOOKUP($A517,표1[#ALL],row(),false)</f>
        <v>#N/A</v>
      </c>
      <c r="V517" s="376" t="str">
        <f>CS_PID!V517/VLOOKUP($B517,표2[#ALL],2)/HLOOKUP($A517,표1[#ALL],row(),false)</f>
        <v>#N/A</v>
      </c>
      <c r="W517" s="376" t="str">
        <f>CS_PID!W517/VLOOKUP($B517,표2[#ALL],2)/HLOOKUP($A517,표1[#ALL],row(),false)</f>
        <v>#N/A</v>
      </c>
      <c r="X517" s="376" t="str">
        <f>CS_PID!X517/VLOOKUP($B517,표2[#ALL],2)/HLOOKUP($A517,표1[#ALL],row(),false)</f>
        <v>#N/A</v>
      </c>
      <c r="Y517" s="376" t="str">
        <f>CS_PID!Y517/VLOOKUP($B517,표2[#ALL],2)/HLOOKUP($A517,표1[#ALL],row(),false)</f>
        <v>#N/A</v>
      </c>
      <c r="Z517" s="376" t="str">
        <f>CS_PID!Z517/VLOOKUP($B517,표2[#ALL],2)/HLOOKUP($A517,표1[#ALL],row(),false)</f>
        <v>#N/A</v>
      </c>
      <c r="AA517" s="376" t="str">
        <f>CS_PID!AA517/VLOOKUP($B517,표2[#ALL],2)/HLOOKUP($A517,표1[#ALL],row(),false)</f>
        <v>#N/A</v>
      </c>
      <c r="AB517" s="376" t="str">
        <f>CS_PID!AB517/VLOOKUP($B517,표2[#ALL],2)/HLOOKUP($A517,표1[#ALL],row(),false)</f>
        <v>#N/A</v>
      </c>
      <c r="AC517" s="376" t="str">
        <f>CS_PID!AC517/VLOOKUP($B517,표2[#ALL],2)/HLOOKUP($A517,표1[#ALL],row(),false)</f>
        <v>#N/A</v>
      </c>
      <c r="AD517" s="376" t="str">
        <f>CS_PID!AD517/VLOOKUP($B517,표2[#ALL],2)/HLOOKUP($A517,표1[#ALL],row(),false)</f>
        <v>#N/A</v>
      </c>
      <c r="AE517" s="376" t="str">
        <f>CS_PID!AE517/VLOOKUP($B517,표2[#ALL],2)/HLOOKUP($A517,표1[#ALL],row(),false)</f>
        <v>#N/A</v>
      </c>
      <c r="AF517" s="376" t="str">
        <f>CS_PID!AF517/VLOOKUP($B517,표2[#ALL],2)/HLOOKUP($A517,표1[#ALL],row(),false)</f>
        <v>#N/A</v>
      </c>
      <c r="AG517" s="376" t="str">
        <f>CS_PID!AG517/VLOOKUP($B517,표2[#ALL],2)/HLOOKUP($A517,표1[#ALL],row(),false)</f>
        <v>#N/A</v>
      </c>
      <c r="AH517" s="376" t="str">
        <f>CS_PID!AH517/VLOOKUP($B517,표2[#ALL],2)/HLOOKUP($A517,표1[#ALL],row(),false)</f>
        <v>#N/A</v>
      </c>
      <c r="AI517" s="376" t="str">
        <f>CS_PID!AI517/VLOOKUP($B517,표2[#ALL],2)/HLOOKUP($A517,표1[#ALL],row(),false)</f>
        <v>#N/A</v>
      </c>
      <c r="AJ517" s="376" t="str">
        <f>CS_PID!AJ517/VLOOKUP($B517,표2[#ALL],2)/HLOOKUP($A517,표1[#ALL],row(),false)</f>
        <v>#N/A</v>
      </c>
      <c r="AK517" s="376" t="str">
        <f>CS_PID!AK517/VLOOKUP($B517,표2[#ALL],2)/HLOOKUP($A517,표1[#ALL],row(),false)</f>
        <v>#N/A</v>
      </c>
      <c r="AL517" s="376" t="str">
        <f>CS_PID!AL517/VLOOKUP($B517,표2[#ALL],2)/HLOOKUP($A517,표1[#ALL],row(),false)</f>
        <v>#N/A</v>
      </c>
      <c r="AM517" s="376" t="str">
        <f>CS_PID!AM517/VLOOKUP($B517,표2[#ALL],2)/HLOOKUP($A517,표1[#ALL],row(),false)</f>
        <v>#N/A</v>
      </c>
      <c r="AN517" s="376" t="str">
        <f>CS_PID!AN517/VLOOKUP($B517,표2[#ALL],2)/HLOOKUP($A517,표1[#ALL],row(),false)</f>
        <v>#N/A</v>
      </c>
      <c r="AO517" s="376" t="str">
        <f>CS_PID!AO517/VLOOKUP($B517,표2[#ALL],2)/HLOOKUP($A517,표1[#ALL],row(),false)</f>
        <v>#N/A</v>
      </c>
      <c r="AP517" s="376" t="str">
        <f>CS_PID!AP517/VLOOKUP($B517,표2[#ALL],2)/HLOOKUP($A517,표1[#ALL],row(),false)</f>
        <v>#N/A</v>
      </c>
      <c r="AQ517" s="376" t="str">
        <f>CS_PID!AQ517/VLOOKUP($B517,표2[#ALL],2)/HLOOKUP($A517,표1[#ALL],row(),false)</f>
        <v>#N/A</v>
      </c>
      <c r="AR517" s="376" t="str">
        <f>CS_PID!AR517/VLOOKUP($B517,표2[#ALL],2)/HLOOKUP($A517,표1[#ALL],row(),false)</f>
        <v>#N/A</v>
      </c>
      <c r="AS517" s="377" t="str">
        <f>CS_PID!AS517/VLOOKUP($B517,표2[#ALL],2)/HLOOKUP($A517,표1[#ALL],row(),false)</f>
        <v>#N/A</v>
      </c>
    </row>
    <row r="518">
      <c r="A518" s="370"/>
      <c r="B518" s="371"/>
      <c r="C518" s="372" t="str">
        <f>CS_PID!C518/VLOOKUP($B518,표2[#ALL],2)</f>
        <v>#N/A</v>
      </c>
      <c r="D518" s="372" t="str">
        <f>CS_PID!D518/VLOOKUP($B518,표2[#ALL],2)</f>
        <v>#N/A</v>
      </c>
      <c r="E518" s="372" t="str">
        <f>CS_PID!E518/VLOOKUP($B518,표2[#ALL],2)</f>
        <v>#N/A</v>
      </c>
      <c r="F518" s="372" t="str">
        <f>CS_PID!F518/VLOOKUP($B518,표2[#ALL],2)</f>
        <v>#N/A</v>
      </c>
      <c r="G518" s="372" t="str">
        <f>CS_PID!G518/VLOOKUP($B518,표2[#ALL],2)</f>
        <v>#N/A</v>
      </c>
      <c r="H518" s="372" t="str">
        <f>CS_PID!H518/VLOOKUP($B518,표2[#ALL],2)/HLOOKUP($A518,표1[#ALL],row(),false)</f>
        <v>#N/A</v>
      </c>
      <c r="I518" s="372" t="str">
        <f>CS_PID!I518/VLOOKUP($B518,표2[#ALL],2)/HLOOKUP($A518,표1[#ALL],row(),false)</f>
        <v>#N/A</v>
      </c>
      <c r="J518" s="372" t="str">
        <f>CS_PID!J518/VLOOKUP($B518,표2[#ALL],2)/HLOOKUP($A518,표1[#ALL],row(),false)</f>
        <v>#N/A</v>
      </c>
      <c r="K518" s="372" t="str">
        <f>CS_PID!K518/VLOOKUP($B518,표2[#ALL],2)/HLOOKUP($A518,표1[#ALL],row(),false)</f>
        <v>#N/A</v>
      </c>
      <c r="L518" s="372" t="str">
        <f>CS_PID!L518/VLOOKUP($B518,표2[#ALL],2)/HLOOKUP($A518,표1[#ALL],row(),false)</f>
        <v>#N/A</v>
      </c>
      <c r="M518" s="372" t="str">
        <f>CS_PID!M518/VLOOKUP($B518,표2[#ALL],2)/HLOOKUP($A518,표1[#ALL],row(),false)</f>
        <v>#N/A</v>
      </c>
      <c r="N518" s="372" t="str">
        <f>CS_PID!N518/VLOOKUP($B518,표2[#ALL],2)/HLOOKUP($A518,표1[#ALL],row(),false)</f>
        <v>#N/A</v>
      </c>
      <c r="O518" s="372" t="str">
        <f>CS_PID!O518/VLOOKUP($B518,표2[#ALL],2)/HLOOKUP($A518,표1[#ALL],row(),false)</f>
        <v>#N/A</v>
      </c>
      <c r="P518" s="372" t="str">
        <f>CS_PID!P518/VLOOKUP($B518,표2[#ALL],2)/HLOOKUP($A518,표1[#ALL],row(),false)</f>
        <v>#N/A</v>
      </c>
      <c r="Q518" s="372" t="str">
        <f>CS_PID!Q518/VLOOKUP($B518,표2[#ALL],2)/HLOOKUP($A518,표1[#ALL],row(),false)</f>
        <v>#N/A</v>
      </c>
      <c r="R518" s="372" t="str">
        <f>CS_PID!R518/VLOOKUP($B518,표2[#ALL],2)/HLOOKUP($A518,표1[#ALL],row(),false)</f>
        <v>#N/A</v>
      </c>
      <c r="S518" s="372" t="str">
        <f>CS_PID!S518/VLOOKUP($B518,표2[#ALL],2)/HLOOKUP($A518,표1[#ALL],row(),false)</f>
        <v>#N/A</v>
      </c>
      <c r="T518" s="372" t="str">
        <f>CS_PID!T518/VLOOKUP($B518,표2[#ALL],2)/HLOOKUP($A518,표1[#ALL],row(),false)</f>
        <v>#N/A</v>
      </c>
      <c r="U518" s="372" t="str">
        <f>CS_PID!U518/VLOOKUP($B518,표2[#ALL],2)/HLOOKUP($A518,표1[#ALL],row(),false)</f>
        <v>#N/A</v>
      </c>
      <c r="V518" s="372" t="str">
        <f>CS_PID!V518/VLOOKUP($B518,표2[#ALL],2)/HLOOKUP($A518,표1[#ALL],row(),false)</f>
        <v>#N/A</v>
      </c>
      <c r="W518" s="372" t="str">
        <f>CS_PID!W518/VLOOKUP($B518,표2[#ALL],2)/HLOOKUP($A518,표1[#ALL],row(),false)</f>
        <v>#N/A</v>
      </c>
      <c r="X518" s="372" t="str">
        <f>CS_PID!X518/VLOOKUP($B518,표2[#ALL],2)/HLOOKUP($A518,표1[#ALL],row(),false)</f>
        <v>#N/A</v>
      </c>
      <c r="Y518" s="372" t="str">
        <f>CS_PID!Y518/VLOOKUP($B518,표2[#ALL],2)/HLOOKUP($A518,표1[#ALL],row(),false)</f>
        <v>#N/A</v>
      </c>
      <c r="Z518" s="372" t="str">
        <f>CS_PID!Z518/VLOOKUP($B518,표2[#ALL],2)/HLOOKUP($A518,표1[#ALL],row(),false)</f>
        <v>#N/A</v>
      </c>
      <c r="AA518" s="372" t="str">
        <f>CS_PID!AA518/VLOOKUP($B518,표2[#ALL],2)/HLOOKUP($A518,표1[#ALL],row(),false)</f>
        <v>#N/A</v>
      </c>
      <c r="AB518" s="372" t="str">
        <f>CS_PID!AB518/VLOOKUP($B518,표2[#ALL],2)/HLOOKUP($A518,표1[#ALL],row(),false)</f>
        <v>#N/A</v>
      </c>
      <c r="AC518" s="372" t="str">
        <f>CS_PID!AC518/VLOOKUP($B518,표2[#ALL],2)/HLOOKUP($A518,표1[#ALL],row(),false)</f>
        <v>#N/A</v>
      </c>
      <c r="AD518" s="372" t="str">
        <f>CS_PID!AD518/VLOOKUP($B518,표2[#ALL],2)/HLOOKUP($A518,표1[#ALL],row(),false)</f>
        <v>#N/A</v>
      </c>
      <c r="AE518" s="372" t="str">
        <f>CS_PID!AE518/VLOOKUP($B518,표2[#ALL],2)/HLOOKUP($A518,표1[#ALL],row(),false)</f>
        <v>#N/A</v>
      </c>
      <c r="AF518" s="372" t="str">
        <f>CS_PID!AF518/VLOOKUP($B518,표2[#ALL],2)/HLOOKUP($A518,표1[#ALL],row(),false)</f>
        <v>#N/A</v>
      </c>
      <c r="AG518" s="372" t="str">
        <f>CS_PID!AG518/VLOOKUP($B518,표2[#ALL],2)/HLOOKUP($A518,표1[#ALL],row(),false)</f>
        <v>#N/A</v>
      </c>
      <c r="AH518" s="372" t="str">
        <f>CS_PID!AH518/VLOOKUP($B518,표2[#ALL],2)/HLOOKUP($A518,표1[#ALL],row(),false)</f>
        <v>#N/A</v>
      </c>
      <c r="AI518" s="372" t="str">
        <f>CS_PID!AI518/VLOOKUP($B518,표2[#ALL],2)/HLOOKUP($A518,표1[#ALL],row(),false)</f>
        <v>#N/A</v>
      </c>
      <c r="AJ518" s="372" t="str">
        <f>CS_PID!AJ518/VLOOKUP($B518,표2[#ALL],2)/HLOOKUP($A518,표1[#ALL],row(),false)</f>
        <v>#N/A</v>
      </c>
      <c r="AK518" s="372" t="str">
        <f>CS_PID!AK518/VLOOKUP($B518,표2[#ALL],2)/HLOOKUP($A518,표1[#ALL],row(),false)</f>
        <v>#N/A</v>
      </c>
      <c r="AL518" s="372" t="str">
        <f>CS_PID!AL518/VLOOKUP($B518,표2[#ALL],2)/HLOOKUP($A518,표1[#ALL],row(),false)</f>
        <v>#N/A</v>
      </c>
      <c r="AM518" s="372" t="str">
        <f>CS_PID!AM518/VLOOKUP($B518,표2[#ALL],2)/HLOOKUP($A518,표1[#ALL],row(),false)</f>
        <v>#N/A</v>
      </c>
      <c r="AN518" s="372" t="str">
        <f>CS_PID!AN518/VLOOKUP($B518,표2[#ALL],2)/HLOOKUP($A518,표1[#ALL],row(),false)</f>
        <v>#N/A</v>
      </c>
      <c r="AO518" s="372" t="str">
        <f>CS_PID!AO518/VLOOKUP($B518,표2[#ALL],2)/HLOOKUP($A518,표1[#ALL],row(),false)</f>
        <v>#N/A</v>
      </c>
      <c r="AP518" s="372" t="str">
        <f>CS_PID!AP518/VLOOKUP($B518,표2[#ALL],2)/HLOOKUP($A518,표1[#ALL],row(),false)</f>
        <v>#N/A</v>
      </c>
      <c r="AQ518" s="372" t="str">
        <f>CS_PID!AQ518/VLOOKUP($B518,표2[#ALL],2)/HLOOKUP($A518,표1[#ALL],row(),false)</f>
        <v>#N/A</v>
      </c>
      <c r="AR518" s="372" t="str">
        <f>CS_PID!AR518/VLOOKUP($B518,표2[#ALL],2)/HLOOKUP($A518,표1[#ALL],row(),false)</f>
        <v>#N/A</v>
      </c>
      <c r="AS518" s="373" t="str">
        <f>CS_PID!AS518/VLOOKUP($B518,표2[#ALL],2)/HLOOKUP($A518,표1[#ALL],row(),false)</f>
        <v>#N/A</v>
      </c>
    </row>
    <row r="519">
      <c r="A519" s="374"/>
      <c r="B519" s="375"/>
      <c r="C519" s="376" t="str">
        <f>CS_PID!C519/VLOOKUP($B519,표2[#ALL],2)</f>
        <v>#N/A</v>
      </c>
      <c r="D519" s="376" t="str">
        <f>CS_PID!D519/VLOOKUP($B519,표2[#ALL],2)</f>
        <v>#N/A</v>
      </c>
      <c r="E519" s="376" t="str">
        <f>CS_PID!E519/VLOOKUP($B519,표2[#ALL],2)</f>
        <v>#N/A</v>
      </c>
      <c r="F519" s="376" t="str">
        <f>CS_PID!F519/VLOOKUP($B519,표2[#ALL],2)</f>
        <v>#N/A</v>
      </c>
      <c r="G519" s="376" t="str">
        <f>CS_PID!G519/VLOOKUP($B519,표2[#ALL],2)</f>
        <v>#N/A</v>
      </c>
      <c r="H519" s="376" t="str">
        <f>CS_PID!H519/VLOOKUP($B519,표2[#ALL],2)/HLOOKUP($A519,표1[#ALL],row(),false)</f>
        <v>#N/A</v>
      </c>
      <c r="I519" s="376" t="str">
        <f>CS_PID!I519/VLOOKUP($B519,표2[#ALL],2)/HLOOKUP($A519,표1[#ALL],row(),false)</f>
        <v>#N/A</v>
      </c>
      <c r="J519" s="376" t="str">
        <f>CS_PID!J519/VLOOKUP($B519,표2[#ALL],2)/HLOOKUP($A519,표1[#ALL],row(),false)</f>
        <v>#N/A</v>
      </c>
      <c r="K519" s="376" t="str">
        <f>CS_PID!K519/VLOOKUP($B519,표2[#ALL],2)/HLOOKUP($A519,표1[#ALL],row(),false)</f>
        <v>#N/A</v>
      </c>
      <c r="L519" s="376" t="str">
        <f>CS_PID!L519/VLOOKUP($B519,표2[#ALL],2)/HLOOKUP($A519,표1[#ALL],row(),false)</f>
        <v>#N/A</v>
      </c>
      <c r="M519" s="376" t="str">
        <f>CS_PID!M519/VLOOKUP($B519,표2[#ALL],2)/HLOOKUP($A519,표1[#ALL],row(),false)</f>
        <v>#N/A</v>
      </c>
      <c r="N519" s="376" t="str">
        <f>CS_PID!N519/VLOOKUP($B519,표2[#ALL],2)/HLOOKUP($A519,표1[#ALL],row(),false)</f>
        <v>#N/A</v>
      </c>
      <c r="O519" s="376" t="str">
        <f>CS_PID!O519/VLOOKUP($B519,표2[#ALL],2)/HLOOKUP($A519,표1[#ALL],row(),false)</f>
        <v>#N/A</v>
      </c>
      <c r="P519" s="376" t="str">
        <f>CS_PID!P519/VLOOKUP($B519,표2[#ALL],2)/HLOOKUP($A519,표1[#ALL],row(),false)</f>
        <v>#N/A</v>
      </c>
      <c r="Q519" s="376" t="str">
        <f>CS_PID!Q519/VLOOKUP($B519,표2[#ALL],2)/HLOOKUP($A519,표1[#ALL],row(),false)</f>
        <v>#N/A</v>
      </c>
      <c r="R519" s="376" t="str">
        <f>CS_PID!R519/VLOOKUP($B519,표2[#ALL],2)/HLOOKUP($A519,표1[#ALL],row(),false)</f>
        <v>#N/A</v>
      </c>
      <c r="S519" s="376" t="str">
        <f>CS_PID!S519/VLOOKUP($B519,표2[#ALL],2)/HLOOKUP($A519,표1[#ALL],row(),false)</f>
        <v>#N/A</v>
      </c>
      <c r="T519" s="376" t="str">
        <f>CS_PID!T519/VLOOKUP($B519,표2[#ALL],2)/HLOOKUP($A519,표1[#ALL],row(),false)</f>
        <v>#N/A</v>
      </c>
      <c r="U519" s="376" t="str">
        <f>CS_PID!U519/VLOOKUP($B519,표2[#ALL],2)/HLOOKUP($A519,표1[#ALL],row(),false)</f>
        <v>#N/A</v>
      </c>
      <c r="V519" s="376" t="str">
        <f>CS_PID!V519/VLOOKUP($B519,표2[#ALL],2)/HLOOKUP($A519,표1[#ALL],row(),false)</f>
        <v>#N/A</v>
      </c>
      <c r="W519" s="376" t="str">
        <f>CS_PID!W519/VLOOKUP($B519,표2[#ALL],2)/HLOOKUP($A519,표1[#ALL],row(),false)</f>
        <v>#N/A</v>
      </c>
      <c r="X519" s="376" t="str">
        <f>CS_PID!X519/VLOOKUP($B519,표2[#ALL],2)/HLOOKUP($A519,표1[#ALL],row(),false)</f>
        <v>#N/A</v>
      </c>
      <c r="Y519" s="376" t="str">
        <f>CS_PID!Y519/VLOOKUP($B519,표2[#ALL],2)/HLOOKUP($A519,표1[#ALL],row(),false)</f>
        <v>#N/A</v>
      </c>
      <c r="Z519" s="376" t="str">
        <f>CS_PID!Z519/VLOOKUP($B519,표2[#ALL],2)/HLOOKUP($A519,표1[#ALL],row(),false)</f>
        <v>#N/A</v>
      </c>
      <c r="AA519" s="376" t="str">
        <f>CS_PID!AA519/VLOOKUP($B519,표2[#ALL],2)/HLOOKUP($A519,표1[#ALL],row(),false)</f>
        <v>#N/A</v>
      </c>
      <c r="AB519" s="376" t="str">
        <f>CS_PID!AB519/VLOOKUP($B519,표2[#ALL],2)/HLOOKUP($A519,표1[#ALL],row(),false)</f>
        <v>#N/A</v>
      </c>
      <c r="AC519" s="376" t="str">
        <f>CS_PID!AC519/VLOOKUP($B519,표2[#ALL],2)/HLOOKUP($A519,표1[#ALL],row(),false)</f>
        <v>#N/A</v>
      </c>
      <c r="AD519" s="376" t="str">
        <f>CS_PID!AD519/VLOOKUP($B519,표2[#ALL],2)/HLOOKUP($A519,표1[#ALL],row(),false)</f>
        <v>#N/A</v>
      </c>
      <c r="AE519" s="376" t="str">
        <f>CS_PID!AE519/VLOOKUP($B519,표2[#ALL],2)/HLOOKUP($A519,표1[#ALL],row(),false)</f>
        <v>#N/A</v>
      </c>
      <c r="AF519" s="376" t="str">
        <f>CS_PID!AF519/VLOOKUP($B519,표2[#ALL],2)/HLOOKUP($A519,표1[#ALL],row(),false)</f>
        <v>#N/A</v>
      </c>
      <c r="AG519" s="376" t="str">
        <f>CS_PID!AG519/VLOOKUP($B519,표2[#ALL],2)/HLOOKUP($A519,표1[#ALL],row(),false)</f>
        <v>#N/A</v>
      </c>
      <c r="AH519" s="376" t="str">
        <f>CS_PID!AH519/VLOOKUP($B519,표2[#ALL],2)/HLOOKUP($A519,표1[#ALL],row(),false)</f>
        <v>#N/A</v>
      </c>
      <c r="AI519" s="376" t="str">
        <f>CS_PID!AI519/VLOOKUP($B519,표2[#ALL],2)/HLOOKUP($A519,표1[#ALL],row(),false)</f>
        <v>#N/A</v>
      </c>
      <c r="AJ519" s="376" t="str">
        <f>CS_PID!AJ519/VLOOKUP($B519,표2[#ALL],2)/HLOOKUP($A519,표1[#ALL],row(),false)</f>
        <v>#N/A</v>
      </c>
      <c r="AK519" s="376" t="str">
        <f>CS_PID!AK519/VLOOKUP($B519,표2[#ALL],2)/HLOOKUP($A519,표1[#ALL],row(),false)</f>
        <v>#N/A</v>
      </c>
      <c r="AL519" s="376" t="str">
        <f>CS_PID!AL519/VLOOKUP($B519,표2[#ALL],2)/HLOOKUP($A519,표1[#ALL],row(),false)</f>
        <v>#N/A</v>
      </c>
      <c r="AM519" s="376" t="str">
        <f>CS_PID!AM519/VLOOKUP($B519,표2[#ALL],2)/HLOOKUP($A519,표1[#ALL],row(),false)</f>
        <v>#N/A</v>
      </c>
      <c r="AN519" s="376" t="str">
        <f>CS_PID!AN519/VLOOKUP($B519,표2[#ALL],2)/HLOOKUP($A519,표1[#ALL],row(),false)</f>
        <v>#N/A</v>
      </c>
      <c r="AO519" s="376" t="str">
        <f>CS_PID!AO519/VLOOKUP($B519,표2[#ALL],2)/HLOOKUP($A519,표1[#ALL],row(),false)</f>
        <v>#N/A</v>
      </c>
      <c r="AP519" s="376" t="str">
        <f>CS_PID!AP519/VLOOKUP($B519,표2[#ALL],2)/HLOOKUP($A519,표1[#ALL],row(),false)</f>
        <v>#N/A</v>
      </c>
      <c r="AQ519" s="376" t="str">
        <f>CS_PID!AQ519/VLOOKUP($B519,표2[#ALL],2)/HLOOKUP($A519,표1[#ALL],row(),false)</f>
        <v>#N/A</v>
      </c>
      <c r="AR519" s="376" t="str">
        <f>CS_PID!AR519/VLOOKUP($B519,표2[#ALL],2)/HLOOKUP($A519,표1[#ALL],row(),false)</f>
        <v>#N/A</v>
      </c>
      <c r="AS519" s="377" t="str">
        <f>CS_PID!AS519/VLOOKUP($B519,표2[#ALL],2)/HLOOKUP($A519,표1[#ALL],row(),false)</f>
        <v>#N/A</v>
      </c>
    </row>
    <row r="520">
      <c r="A520" s="370"/>
      <c r="B520" s="371"/>
      <c r="C520" s="372" t="str">
        <f>CS_PID!C520/VLOOKUP($B520,표2[#ALL],2)</f>
        <v>#N/A</v>
      </c>
      <c r="D520" s="372" t="str">
        <f>CS_PID!D520/VLOOKUP($B520,표2[#ALL],2)</f>
        <v>#N/A</v>
      </c>
      <c r="E520" s="372" t="str">
        <f>CS_PID!E520/VLOOKUP($B520,표2[#ALL],2)</f>
        <v>#N/A</v>
      </c>
      <c r="F520" s="372" t="str">
        <f>CS_PID!F520/VLOOKUP($B520,표2[#ALL],2)</f>
        <v>#N/A</v>
      </c>
      <c r="G520" s="372" t="str">
        <f>CS_PID!G520/VLOOKUP($B520,표2[#ALL],2)</f>
        <v>#N/A</v>
      </c>
      <c r="H520" s="372" t="str">
        <f>CS_PID!H520/VLOOKUP($B520,표2[#ALL],2)/HLOOKUP($A520,표1[#ALL],row(),false)</f>
        <v>#N/A</v>
      </c>
      <c r="I520" s="372" t="str">
        <f>CS_PID!I520/VLOOKUP($B520,표2[#ALL],2)/HLOOKUP($A520,표1[#ALL],row(),false)</f>
        <v>#N/A</v>
      </c>
      <c r="J520" s="372" t="str">
        <f>CS_PID!J520/VLOOKUP($B520,표2[#ALL],2)/HLOOKUP($A520,표1[#ALL],row(),false)</f>
        <v>#N/A</v>
      </c>
      <c r="K520" s="372" t="str">
        <f>CS_PID!K520/VLOOKUP($B520,표2[#ALL],2)/HLOOKUP($A520,표1[#ALL],row(),false)</f>
        <v>#N/A</v>
      </c>
      <c r="L520" s="372" t="str">
        <f>CS_PID!L520/VLOOKUP($B520,표2[#ALL],2)/HLOOKUP($A520,표1[#ALL],row(),false)</f>
        <v>#N/A</v>
      </c>
      <c r="M520" s="372" t="str">
        <f>CS_PID!M520/VLOOKUP($B520,표2[#ALL],2)/HLOOKUP($A520,표1[#ALL],row(),false)</f>
        <v>#N/A</v>
      </c>
      <c r="N520" s="372" t="str">
        <f>CS_PID!N520/VLOOKUP($B520,표2[#ALL],2)/HLOOKUP($A520,표1[#ALL],row(),false)</f>
        <v>#N/A</v>
      </c>
      <c r="O520" s="372" t="str">
        <f>CS_PID!O520/VLOOKUP($B520,표2[#ALL],2)/HLOOKUP($A520,표1[#ALL],row(),false)</f>
        <v>#N/A</v>
      </c>
      <c r="P520" s="372" t="str">
        <f>CS_PID!P520/VLOOKUP($B520,표2[#ALL],2)/HLOOKUP($A520,표1[#ALL],row(),false)</f>
        <v>#N/A</v>
      </c>
      <c r="Q520" s="372" t="str">
        <f>CS_PID!Q520/VLOOKUP($B520,표2[#ALL],2)/HLOOKUP($A520,표1[#ALL],row(),false)</f>
        <v>#N/A</v>
      </c>
      <c r="R520" s="372" t="str">
        <f>CS_PID!R520/VLOOKUP($B520,표2[#ALL],2)/HLOOKUP($A520,표1[#ALL],row(),false)</f>
        <v>#N/A</v>
      </c>
      <c r="S520" s="372" t="str">
        <f>CS_PID!S520/VLOOKUP($B520,표2[#ALL],2)/HLOOKUP($A520,표1[#ALL],row(),false)</f>
        <v>#N/A</v>
      </c>
      <c r="T520" s="372" t="str">
        <f>CS_PID!T520/VLOOKUP($B520,표2[#ALL],2)/HLOOKUP($A520,표1[#ALL],row(),false)</f>
        <v>#N/A</v>
      </c>
      <c r="U520" s="372" t="str">
        <f>CS_PID!U520/VLOOKUP($B520,표2[#ALL],2)/HLOOKUP($A520,표1[#ALL],row(),false)</f>
        <v>#N/A</v>
      </c>
      <c r="V520" s="372" t="str">
        <f>CS_PID!V520/VLOOKUP($B520,표2[#ALL],2)/HLOOKUP($A520,표1[#ALL],row(),false)</f>
        <v>#N/A</v>
      </c>
      <c r="W520" s="372" t="str">
        <f>CS_PID!W520/VLOOKUP($B520,표2[#ALL],2)/HLOOKUP($A520,표1[#ALL],row(),false)</f>
        <v>#N/A</v>
      </c>
      <c r="X520" s="372" t="str">
        <f>CS_PID!X520/VLOOKUP($B520,표2[#ALL],2)/HLOOKUP($A520,표1[#ALL],row(),false)</f>
        <v>#N/A</v>
      </c>
      <c r="Y520" s="372" t="str">
        <f>CS_PID!Y520/VLOOKUP($B520,표2[#ALL],2)/HLOOKUP($A520,표1[#ALL],row(),false)</f>
        <v>#N/A</v>
      </c>
      <c r="Z520" s="372" t="str">
        <f>CS_PID!Z520/VLOOKUP($B520,표2[#ALL],2)/HLOOKUP($A520,표1[#ALL],row(),false)</f>
        <v>#N/A</v>
      </c>
      <c r="AA520" s="372" t="str">
        <f>CS_PID!AA520/VLOOKUP($B520,표2[#ALL],2)/HLOOKUP($A520,표1[#ALL],row(),false)</f>
        <v>#N/A</v>
      </c>
      <c r="AB520" s="372" t="str">
        <f>CS_PID!AB520/VLOOKUP($B520,표2[#ALL],2)/HLOOKUP($A520,표1[#ALL],row(),false)</f>
        <v>#N/A</v>
      </c>
      <c r="AC520" s="372" t="str">
        <f>CS_PID!AC520/VLOOKUP($B520,표2[#ALL],2)/HLOOKUP($A520,표1[#ALL],row(),false)</f>
        <v>#N/A</v>
      </c>
      <c r="AD520" s="372" t="str">
        <f>CS_PID!AD520/VLOOKUP($B520,표2[#ALL],2)/HLOOKUP($A520,표1[#ALL],row(),false)</f>
        <v>#N/A</v>
      </c>
      <c r="AE520" s="372" t="str">
        <f>CS_PID!AE520/VLOOKUP($B520,표2[#ALL],2)/HLOOKUP($A520,표1[#ALL],row(),false)</f>
        <v>#N/A</v>
      </c>
      <c r="AF520" s="372" t="str">
        <f>CS_PID!AF520/VLOOKUP($B520,표2[#ALL],2)/HLOOKUP($A520,표1[#ALL],row(),false)</f>
        <v>#N/A</v>
      </c>
      <c r="AG520" s="372" t="str">
        <f>CS_PID!AG520/VLOOKUP($B520,표2[#ALL],2)/HLOOKUP($A520,표1[#ALL],row(),false)</f>
        <v>#N/A</v>
      </c>
      <c r="AH520" s="372" t="str">
        <f>CS_PID!AH520/VLOOKUP($B520,표2[#ALL],2)/HLOOKUP($A520,표1[#ALL],row(),false)</f>
        <v>#N/A</v>
      </c>
      <c r="AI520" s="372" t="str">
        <f>CS_PID!AI520/VLOOKUP($B520,표2[#ALL],2)/HLOOKUP($A520,표1[#ALL],row(),false)</f>
        <v>#N/A</v>
      </c>
      <c r="AJ520" s="372" t="str">
        <f>CS_PID!AJ520/VLOOKUP($B520,표2[#ALL],2)/HLOOKUP($A520,표1[#ALL],row(),false)</f>
        <v>#N/A</v>
      </c>
      <c r="AK520" s="372" t="str">
        <f>CS_PID!AK520/VLOOKUP($B520,표2[#ALL],2)/HLOOKUP($A520,표1[#ALL],row(),false)</f>
        <v>#N/A</v>
      </c>
      <c r="AL520" s="372" t="str">
        <f>CS_PID!AL520/VLOOKUP($B520,표2[#ALL],2)/HLOOKUP($A520,표1[#ALL],row(),false)</f>
        <v>#N/A</v>
      </c>
      <c r="AM520" s="372" t="str">
        <f>CS_PID!AM520/VLOOKUP($B520,표2[#ALL],2)/HLOOKUP($A520,표1[#ALL],row(),false)</f>
        <v>#N/A</v>
      </c>
      <c r="AN520" s="372" t="str">
        <f>CS_PID!AN520/VLOOKUP($B520,표2[#ALL],2)/HLOOKUP($A520,표1[#ALL],row(),false)</f>
        <v>#N/A</v>
      </c>
      <c r="AO520" s="372" t="str">
        <f>CS_PID!AO520/VLOOKUP($B520,표2[#ALL],2)/HLOOKUP($A520,표1[#ALL],row(),false)</f>
        <v>#N/A</v>
      </c>
      <c r="AP520" s="372" t="str">
        <f>CS_PID!AP520/VLOOKUP($B520,표2[#ALL],2)/HLOOKUP($A520,표1[#ALL],row(),false)</f>
        <v>#N/A</v>
      </c>
      <c r="AQ520" s="372" t="str">
        <f>CS_PID!AQ520/VLOOKUP($B520,표2[#ALL],2)/HLOOKUP($A520,표1[#ALL],row(),false)</f>
        <v>#N/A</v>
      </c>
      <c r="AR520" s="372" t="str">
        <f>CS_PID!AR520/VLOOKUP($B520,표2[#ALL],2)/HLOOKUP($A520,표1[#ALL],row(),false)</f>
        <v>#N/A</v>
      </c>
      <c r="AS520" s="373" t="str">
        <f>CS_PID!AS520/VLOOKUP($B520,표2[#ALL],2)/HLOOKUP($A520,표1[#ALL],row(),false)</f>
        <v>#N/A</v>
      </c>
    </row>
    <row r="521">
      <c r="A521" s="374"/>
      <c r="B521" s="375"/>
      <c r="C521" s="376" t="str">
        <f>CS_PID!C521/VLOOKUP($B521,표2[#ALL],2)</f>
        <v>#N/A</v>
      </c>
      <c r="D521" s="376" t="str">
        <f>CS_PID!D521/VLOOKUP($B521,표2[#ALL],2)</f>
        <v>#N/A</v>
      </c>
      <c r="E521" s="376" t="str">
        <f>CS_PID!E521/VLOOKUP($B521,표2[#ALL],2)</f>
        <v>#N/A</v>
      </c>
      <c r="F521" s="376" t="str">
        <f>CS_PID!F521/VLOOKUP($B521,표2[#ALL],2)</f>
        <v>#N/A</v>
      </c>
      <c r="G521" s="376" t="str">
        <f>CS_PID!G521/VLOOKUP($B521,표2[#ALL],2)</f>
        <v>#N/A</v>
      </c>
      <c r="H521" s="376" t="str">
        <f>CS_PID!H521/VLOOKUP($B521,표2[#ALL],2)/HLOOKUP($A521,표1[#ALL],row(),false)</f>
        <v>#N/A</v>
      </c>
      <c r="I521" s="376" t="str">
        <f>CS_PID!I521/VLOOKUP($B521,표2[#ALL],2)/HLOOKUP($A521,표1[#ALL],row(),false)</f>
        <v>#N/A</v>
      </c>
      <c r="J521" s="376" t="str">
        <f>CS_PID!J521/VLOOKUP($B521,표2[#ALL],2)/HLOOKUP($A521,표1[#ALL],row(),false)</f>
        <v>#N/A</v>
      </c>
      <c r="K521" s="376" t="str">
        <f>CS_PID!K521/VLOOKUP($B521,표2[#ALL],2)/HLOOKUP($A521,표1[#ALL],row(),false)</f>
        <v>#N/A</v>
      </c>
      <c r="L521" s="376" t="str">
        <f>CS_PID!L521/VLOOKUP($B521,표2[#ALL],2)/HLOOKUP($A521,표1[#ALL],row(),false)</f>
        <v>#N/A</v>
      </c>
      <c r="M521" s="376" t="str">
        <f>CS_PID!M521/VLOOKUP($B521,표2[#ALL],2)/HLOOKUP($A521,표1[#ALL],row(),false)</f>
        <v>#N/A</v>
      </c>
      <c r="N521" s="376" t="str">
        <f>CS_PID!N521/VLOOKUP($B521,표2[#ALL],2)/HLOOKUP($A521,표1[#ALL],row(),false)</f>
        <v>#N/A</v>
      </c>
      <c r="O521" s="376" t="str">
        <f>CS_PID!O521/VLOOKUP($B521,표2[#ALL],2)/HLOOKUP($A521,표1[#ALL],row(),false)</f>
        <v>#N/A</v>
      </c>
      <c r="P521" s="376" t="str">
        <f>CS_PID!P521/VLOOKUP($B521,표2[#ALL],2)/HLOOKUP($A521,표1[#ALL],row(),false)</f>
        <v>#N/A</v>
      </c>
      <c r="Q521" s="376" t="str">
        <f>CS_PID!Q521/VLOOKUP($B521,표2[#ALL],2)/HLOOKUP($A521,표1[#ALL],row(),false)</f>
        <v>#N/A</v>
      </c>
      <c r="R521" s="376" t="str">
        <f>CS_PID!R521/VLOOKUP($B521,표2[#ALL],2)/HLOOKUP($A521,표1[#ALL],row(),false)</f>
        <v>#N/A</v>
      </c>
      <c r="S521" s="376" t="str">
        <f>CS_PID!S521/VLOOKUP($B521,표2[#ALL],2)/HLOOKUP($A521,표1[#ALL],row(),false)</f>
        <v>#N/A</v>
      </c>
      <c r="T521" s="376" t="str">
        <f>CS_PID!T521/VLOOKUP($B521,표2[#ALL],2)/HLOOKUP($A521,표1[#ALL],row(),false)</f>
        <v>#N/A</v>
      </c>
      <c r="U521" s="376" t="str">
        <f>CS_PID!U521/VLOOKUP($B521,표2[#ALL],2)/HLOOKUP($A521,표1[#ALL],row(),false)</f>
        <v>#N/A</v>
      </c>
      <c r="V521" s="376" t="str">
        <f>CS_PID!V521/VLOOKUP($B521,표2[#ALL],2)/HLOOKUP($A521,표1[#ALL],row(),false)</f>
        <v>#N/A</v>
      </c>
      <c r="W521" s="376" t="str">
        <f>CS_PID!W521/VLOOKUP($B521,표2[#ALL],2)/HLOOKUP($A521,표1[#ALL],row(),false)</f>
        <v>#N/A</v>
      </c>
      <c r="X521" s="376" t="str">
        <f>CS_PID!X521/VLOOKUP($B521,표2[#ALL],2)/HLOOKUP($A521,표1[#ALL],row(),false)</f>
        <v>#N/A</v>
      </c>
      <c r="Y521" s="376" t="str">
        <f>CS_PID!Y521/VLOOKUP($B521,표2[#ALL],2)/HLOOKUP($A521,표1[#ALL],row(),false)</f>
        <v>#N/A</v>
      </c>
      <c r="Z521" s="376" t="str">
        <f>CS_PID!Z521/VLOOKUP($B521,표2[#ALL],2)/HLOOKUP($A521,표1[#ALL],row(),false)</f>
        <v>#N/A</v>
      </c>
      <c r="AA521" s="376" t="str">
        <f>CS_PID!AA521/VLOOKUP($B521,표2[#ALL],2)/HLOOKUP($A521,표1[#ALL],row(),false)</f>
        <v>#N/A</v>
      </c>
      <c r="AB521" s="376" t="str">
        <f>CS_PID!AB521/VLOOKUP($B521,표2[#ALL],2)/HLOOKUP($A521,표1[#ALL],row(),false)</f>
        <v>#N/A</v>
      </c>
      <c r="AC521" s="376" t="str">
        <f>CS_PID!AC521/VLOOKUP($B521,표2[#ALL],2)/HLOOKUP($A521,표1[#ALL],row(),false)</f>
        <v>#N/A</v>
      </c>
      <c r="AD521" s="376" t="str">
        <f>CS_PID!AD521/VLOOKUP($B521,표2[#ALL],2)/HLOOKUP($A521,표1[#ALL],row(),false)</f>
        <v>#N/A</v>
      </c>
      <c r="AE521" s="376" t="str">
        <f>CS_PID!AE521/VLOOKUP($B521,표2[#ALL],2)/HLOOKUP($A521,표1[#ALL],row(),false)</f>
        <v>#N/A</v>
      </c>
      <c r="AF521" s="376" t="str">
        <f>CS_PID!AF521/VLOOKUP($B521,표2[#ALL],2)/HLOOKUP($A521,표1[#ALL],row(),false)</f>
        <v>#N/A</v>
      </c>
      <c r="AG521" s="376" t="str">
        <f>CS_PID!AG521/VLOOKUP($B521,표2[#ALL],2)/HLOOKUP($A521,표1[#ALL],row(),false)</f>
        <v>#N/A</v>
      </c>
      <c r="AH521" s="376" t="str">
        <f>CS_PID!AH521/VLOOKUP($B521,표2[#ALL],2)/HLOOKUP($A521,표1[#ALL],row(),false)</f>
        <v>#N/A</v>
      </c>
      <c r="AI521" s="376" t="str">
        <f>CS_PID!AI521/VLOOKUP($B521,표2[#ALL],2)/HLOOKUP($A521,표1[#ALL],row(),false)</f>
        <v>#N/A</v>
      </c>
      <c r="AJ521" s="376" t="str">
        <f>CS_PID!AJ521/VLOOKUP($B521,표2[#ALL],2)/HLOOKUP($A521,표1[#ALL],row(),false)</f>
        <v>#N/A</v>
      </c>
      <c r="AK521" s="376" t="str">
        <f>CS_PID!AK521/VLOOKUP($B521,표2[#ALL],2)/HLOOKUP($A521,표1[#ALL],row(),false)</f>
        <v>#N/A</v>
      </c>
      <c r="AL521" s="376" t="str">
        <f>CS_PID!AL521/VLOOKUP($B521,표2[#ALL],2)/HLOOKUP($A521,표1[#ALL],row(),false)</f>
        <v>#N/A</v>
      </c>
      <c r="AM521" s="376" t="str">
        <f>CS_PID!AM521/VLOOKUP($B521,표2[#ALL],2)/HLOOKUP($A521,표1[#ALL],row(),false)</f>
        <v>#N/A</v>
      </c>
      <c r="AN521" s="376" t="str">
        <f>CS_PID!AN521/VLOOKUP($B521,표2[#ALL],2)/HLOOKUP($A521,표1[#ALL],row(),false)</f>
        <v>#N/A</v>
      </c>
      <c r="AO521" s="376" t="str">
        <f>CS_PID!AO521/VLOOKUP($B521,표2[#ALL],2)/HLOOKUP($A521,표1[#ALL],row(),false)</f>
        <v>#N/A</v>
      </c>
      <c r="AP521" s="376" t="str">
        <f>CS_PID!AP521/VLOOKUP($B521,표2[#ALL],2)/HLOOKUP($A521,표1[#ALL],row(),false)</f>
        <v>#N/A</v>
      </c>
      <c r="AQ521" s="376" t="str">
        <f>CS_PID!AQ521/VLOOKUP($B521,표2[#ALL],2)/HLOOKUP($A521,표1[#ALL],row(),false)</f>
        <v>#N/A</v>
      </c>
      <c r="AR521" s="376" t="str">
        <f>CS_PID!AR521/VLOOKUP($B521,표2[#ALL],2)/HLOOKUP($A521,표1[#ALL],row(),false)</f>
        <v>#N/A</v>
      </c>
      <c r="AS521" s="377" t="str">
        <f>CS_PID!AS521/VLOOKUP($B521,표2[#ALL],2)/HLOOKUP($A521,표1[#ALL],row(),false)</f>
        <v>#N/A</v>
      </c>
    </row>
    <row r="522">
      <c r="A522" s="370"/>
      <c r="B522" s="371"/>
      <c r="C522" s="372" t="str">
        <f>CS_PID!C522/VLOOKUP($B522,표2[#ALL],2)</f>
        <v>#N/A</v>
      </c>
      <c r="D522" s="372" t="str">
        <f>CS_PID!D522/VLOOKUP($B522,표2[#ALL],2)</f>
        <v>#N/A</v>
      </c>
      <c r="E522" s="372" t="str">
        <f>CS_PID!E522/VLOOKUP($B522,표2[#ALL],2)</f>
        <v>#N/A</v>
      </c>
      <c r="F522" s="372" t="str">
        <f>CS_PID!F522/VLOOKUP($B522,표2[#ALL],2)</f>
        <v>#N/A</v>
      </c>
      <c r="G522" s="372" t="str">
        <f>CS_PID!G522/VLOOKUP($B522,표2[#ALL],2)</f>
        <v>#N/A</v>
      </c>
      <c r="H522" s="372" t="str">
        <f>CS_PID!H522/VLOOKUP($B522,표2[#ALL],2)/HLOOKUP($A522,표1[#ALL],row(),false)</f>
        <v>#N/A</v>
      </c>
      <c r="I522" s="372" t="str">
        <f>CS_PID!I522/VLOOKUP($B522,표2[#ALL],2)/HLOOKUP($A522,표1[#ALL],row(),false)</f>
        <v>#N/A</v>
      </c>
      <c r="J522" s="372" t="str">
        <f>CS_PID!J522/VLOOKUP($B522,표2[#ALL],2)/HLOOKUP($A522,표1[#ALL],row(),false)</f>
        <v>#N/A</v>
      </c>
      <c r="K522" s="372" t="str">
        <f>CS_PID!K522/VLOOKUP($B522,표2[#ALL],2)/HLOOKUP($A522,표1[#ALL],row(),false)</f>
        <v>#N/A</v>
      </c>
      <c r="L522" s="372" t="str">
        <f>CS_PID!L522/VLOOKUP($B522,표2[#ALL],2)/HLOOKUP($A522,표1[#ALL],row(),false)</f>
        <v>#N/A</v>
      </c>
      <c r="M522" s="372" t="str">
        <f>CS_PID!M522/VLOOKUP($B522,표2[#ALL],2)/HLOOKUP($A522,표1[#ALL],row(),false)</f>
        <v>#N/A</v>
      </c>
      <c r="N522" s="372" t="str">
        <f>CS_PID!N522/VLOOKUP($B522,표2[#ALL],2)/HLOOKUP($A522,표1[#ALL],row(),false)</f>
        <v>#N/A</v>
      </c>
      <c r="O522" s="372" t="str">
        <f>CS_PID!O522/VLOOKUP($B522,표2[#ALL],2)/HLOOKUP($A522,표1[#ALL],row(),false)</f>
        <v>#N/A</v>
      </c>
      <c r="P522" s="372" t="str">
        <f>CS_PID!P522/VLOOKUP($B522,표2[#ALL],2)/HLOOKUP($A522,표1[#ALL],row(),false)</f>
        <v>#N/A</v>
      </c>
      <c r="Q522" s="372" t="str">
        <f>CS_PID!Q522/VLOOKUP($B522,표2[#ALL],2)/HLOOKUP($A522,표1[#ALL],row(),false)</f>
        <v>#N/A</v>
      </c>
      <c r="R522" s="372" t="str">
        <f>CS_PID!R522/VLOOKUP($B522,표2[#ALL],2)/HLOOKUP($A522,표1[#ALL],row(),false)</f>
        <v>#N/A</v>
      </c>
      <c r="S522" s="372" t="str">
        <f>CS_PID!S522/VLOOKUP($B522,표2[#ALL],2)/HLOOKUP($A522,표1[#ALL],row(),false)</f>
        <v>#N/A</v>
      </c>
      <c r="T522" s="372" t="str">
        <f>CS_PID!T522/VLOOKUP($B522,표2[#ALL],2)/HLOOKUP($A522,표1[#ALL],row(),false)</f>
        <v>#N/A</v>
      </c>
      <c r="U522" s="372" t="str">
        <f>CS_PID!U522/VLOOKUP($B522,표2[#ALL],2)/HLOOKUP($A522,표1[#ALL],row(),false)</f>
        <v>#N/A</v>
      </c>
      <c r="V522" s="372" t="str">
        <f>CS_PID!V522/VLOOKUP($B522,표2[#ALL],2)/HLOOKUP($A522,표1[#ALL],row(),false)</f>
        <v>#N/A</v>
      </c>
      <c r="W522" s="372" t="str">
        <f>CS_PID!W522/VLOOKUP($B522,표2[#ALL],2)/HLOOKUP($A522,표1[#ALL],row(),false)</f>
        <v>#N/A</v>
      </c>
      <c r="X522" s="372" t="str">
        <f>CS_PID!X522/VLOOKUP($B522,표2[#ALL],2)/HLOOKUP($A522,표1[#ALL],row(),false)</f>
        <v>#N/A</v>
      </c>
      <c r="Y522" s="372" t="str">
        <f>CS_PID!Y522/VLOOKUP($B522,표2[#ALL],2)/HLOOKUP($A522,표1[#ALL],row(),false)</f>
        <v>#N/A</v>
      </c>
      <c r="Z522" s="372" t="str">
        <f>CS_PID!Z522/VLOOKUP($B522,표2[#ALL],2)/HLOOKUP($A522,표1[#ALL],row(),false)</f>
        <v>#N/A</v>
      </c>
      <c r="AA522" s="372" t="str">
        <f>CS_PID!AA522/VLOOKUP($B522,표2[#ALL],2)/HLOOKUP($A522,표1[#ALL],row(),false)</f>
        <v>#N/A</v>
      </c>
      <c r="AB522" s="372" t="str">
        <f>CS_PID!AB522/VLOOKUP($B522,표2[#ALL],2)/HLOOKUP($A522,표1[#ALL],row(),false)</f>
        <v>#N/A</v>
      </c>
      <c r="AC522" s="372" t="str">
        <f>CS_PID!AC522/VLOOKUP($B522,표2[#ALL],2)/HLOOKUP($A522,표1[#ALL],row(),false)</f>
        <v>#N/A</v>
      </c>
      <c r="AD522" s="372" t="str">
        <f>CS_PID!AD522/VLOOKUP($B522,표2[#ALL],2)/HLOOKUP($A522,표1[#ALL],row(),false)</f>
        <v>#N/A</v>
      </c>
      <c r="AE522" s="372" t="str">
        <f>CS_PID!AE522/VLOOKUP($B522,표2[#ALL],2)/HLOOKUP($A522,표1[#ALL],row(),false)</f>
        <v>#N/A</v>
      </c>
      <c r="AF522" s="372" t="str">
        <f>CS_PID!AF522/VLOOKUP($B522,표2[#ALL],2)/HLOOKUP($A522,표1[#ALL],row(),false)</f>
        <v>#N/A</v>
      </c>
      <c r="AG522" s="372" t="str">
        <f>CS_PID!AG522/VLOOKUP($B522,표2[#ALL],2)/HLOOKUP($A522,표1[#ALL],row(),false)</f>
        <v>#N/A</v>
      </c>
      <c r="AH522" s="372" t="str">
        <f>CS_PID!AH522/VLOOKUP($B522,표2[#ALL],2)/HLOOKUP($A522,표1[#ALL],row(),false)</f>
        <v>#N/A</v>
      </c>
      <c r="AI522" s="372" t="str">
        <f>CS_PID!AI522/VLOOKUP($B522,표2[#ALL],2)/HLOOKUP($A522,표1[#ALL],row(),false)</f>
        <v>#N/A</v>
      </c>
      <c r="AJ522" s="372" t="str">
        <f>CS_PID!AJ522/VLOOKUP($B522,표2[#ALL],2)/HLOOKUP($A522,표1[#ALL],row(),false)</f>
        <v>#N/A</v>
      </c>
      <c r="AK522" s="372" t="str">
        <f>CS_PID!AK522/VLOOKUP($B522,표2[#ALL],2)/HLOOKUP($A522,표1[#ALL],row(),false)</f>
        <v>#N/A</v>
      </c>
      <c r="AL522" s="372" t="str">
        <f>CS_PID!AL522/VLOOKUP($B522,표2[#ALL],2)/HLOOKUP($A522,표1[#ALL],row(),false)</f>
        <v>#N/A</v>
      </c>
      <c r="AM522" s="372" t="str">
        <f>CS_PID!AM522/VLOOKUP($B522,표2[#ALL],2)/HLOOKUP($A522,표1[#ALL],row(),false)</f>
        <v>#N/A</v>
      </c>
      <c r="AN522" s="372" t="str">
        <f>CS_PID!AN522/VLOOKUP($B522,표2[#ALL],2)/HLOOKUP($A522,표1[#ALL],row(),false)</f>
        <v>#N/A</v>
      </c>
      <c r="AO522" s="372" t="str">
        <f>CS_PID!AO522/VLOOKUP($B522,표2[#ALL],2)/HLOOKUP($A522,표1[#ALL],row(),false)</f>
        <v>#N/A</v>
      </c>
      <c r="AP522" s="372" t="str">
        <f>CS_PID!AP522/VLOOKUP($B522,표2[#ALL],2)/HLOOKUP($A522,표1[#ALL],row(),false)</f>
        <v>#N/A</v>
      </c>
      <c r="AQ522" s="372" t="str">
        <f>CS_PID!AQ522/VLOOKUP($B522,표2[#ALL],2)/HLOOKUP($A522,표1[#ALL],row(),false)</f>
        <v>#N/A</v>
      </c>
      <c r="AR522" s="372" t="str">
        <f>CS_PID!AR522/VLOOKUP($B522,표2[#ALL],2)/HLOOKUP($A522,표1[#ALL],row(),false)</f>
        <v>#N/A</v>
      </c>
      <c r="AS522" s="373" t="str">
        <f>CS_PID!AS522/VLOOKUP($B522,표2[#ALL],2)/HLOOKUP($A522,표1[#ALL],row(),false)</f>
        <v>#N/A</v>
      </c>
    </row>
    <row r="523">
      <c r="A523" s="374"/>
      <c r="B523" s="375"/>
      <c r="C523" s="376" t="str">
        <f>CS_PID!C523/VLOOKUP($B523,표2[#ALL],2)</f>
        <v>#N/A</v>
      </c>
      <c r="D523" s="376" t="str">
        <f>CS_PID!D523/VLOOKUP($B523,표2[#ALL],2)</f>
        <v>#N/A</v>
      </c>
      <c r="E523" s="376" t="str">
        <f>CS_PID!E523/VLOOKUP($B523,표2[#ALL],2)</f>
        <v>#N/A</v>
      </c>
      <c r="F523" s="376" t="str">
        <f>CS_PID!F523/VLOOKUP($B523,표2[#ALL],2)</f>
        <v>#N/A</v>
      </c>
      <c r="G523" s="376" t="str">
        <f>CS_PID!G523/VLOOKUP($B523,표2[#ALL],2)</f>
        <v>#N/A</v>
      </c>
      <c r="H523" s="376" t="str">
        <f>CS_PID!H523/VLOOKUP($B523,표2[#ALL],2)/HLOOKUP($A523,표1[#ALL],row(),false)</f>
        <v>#N/A</v>
      </c>
      <c r="I523" s="376" t="str">
        <f>CS_PID!I523/VLOOKUP($B523,표2[#ALL],2)/HLOOKUP($A523,표1[#ALL],row(),false)</f>
        <v>#N/A</v>
      </c>
      <c r="J523" s="376" t="str">
        <f>CS_PID!J523/VLOOKUP($B523,표2[#ALL],2)/HLOOKUP($A523,표1[#ALL],row(),false)</f>
        <v>#N/A</v>
      </c>
      <c r="K523" s="376" t="str">
        <f>CS_PID!K523/VLOOKUP($B523,표2[#ALL],2)/HLOOKUP($A523,표1[#ALL],row(),false)</f>
        <v>#N/A</v>
      </c>
      <c r="L523" s="376" t="str">
        <f>CS_PID!L523/VLOOKUP($B523,표2[#ALL],2)/HLOOKUP($A523,표1[#ALL],row(),false)</f>
        <v>#N/A</v>
      </c>
      <c r="M523" s="376" t="str">
        <f>CS_PID!M523/VLOOKUP($B523,표2[#ALL],2)/HLOOKUP($A523,표1[#ALL],row(),false)</f>
        <v>#N/A</v>
      </c>
      <c r="N523" s="376" t="str">
        <f>CS_PID!N523/VLOOKUP($B523,표2[#ALL],2)/HLOOKUP($A523,표1[#ALL],row(),false)</f>
        <v>#N/A</v>
      </c>
      <c r="O523" s="376" t="str">
        <f>CS_PID!O523/VLOOKUP($B523,표2[#ALL],2)/HLOOKUP($A523,표1[#ALL],row(),false)</f>
        <v>#N/A</v>
      </c>
      <c r="P523" s="376" t="str">
        <f>CS_PID!P523/VLOOKUP($B523,표2[#ALL],2)/HLOOKUP($A523,표1[#ALL],row(),false)</f>
        <v>#N/A</v>
      </c>
      <c r="Q523" s="376" t="str">
        <f>CS_PID!Q523/VLOOKUP($B523,표2[#ALL],2)/HLOOKUP($A523,표1[#ALL],row(),false)</f>
        <v>#N/A</v>
      </c>
      <c r="R523" s="376" t="str">
        <f>CS_PID!R523/VLOOKUP($B523,표2[#ALL],2)/HLOOKUP($A523,표1[#ALL],row(),false)</f>
        <v>#N/A</v>
      </c>
      <c r="S523" s="376" t="str">
        <f>CS_PID!S523/VLOOKUP($B523,표2[#ALL],2)/HLOOKUP($A523,표1[#ALL],row(),false)</f>
        <v>#N/A</v>
      </c>
      <c r="T523" s="376" t="str">
        <f>CS_PID!T523/VLOOKUP($B523,표2[#ALL],2)/HLOOKUP($A523,표1[#ALL],row(),false)</f>
        <v>#N/A</v>
      </c>
      <c r="U523" s="376" t="str">
        <f>CS_PID!U523/VLOOKUP($B523,표2[#ALL],2)/HLOOKUP($A523,표1[#ALL],row(),false)</f>
        <v>#N/A</v>
      </c>
      <c r="V523" s="376" t="str">
        <f>CS_PID!V523/VLOOKUP($B523,표2[#ALL],2)/HLOOKUP($A523,표1[#ALL],row(),false)</f>
        <v>#N/A</v>
      </c>
      <c r="W523" s="376" t="str">
        <f>CS_PID!W523/VLOOKUP($B523,표2[#ALL],2)/HLOOKUP($A523,표1[#ALL],row(),false)</f>
        <v>#N/A</v>
      </c>
      <c r="X523" s="376" t="str">
        <f>CS_PID!X523/VLOOKUP($B523,표2[#ALL],2)/HLOOKUP($A523,표1[#ALL],row(),false)</f>
        <v>#N/A</v>
      </c>
      <c r="Y523" s="376" t="str">
        <f>CS_PID!Y523/VLOOKUP($B523,표2[#ALL],2)/HLOOKUP($A523,표1[#ALL],row(),false)</f>
        <v>#N/A</v>
      </c>
      <c r="Z523" s="376" t="str">
        <f>CS_PID!Z523/VLOOKUP($B523,표2[#ALL],2)/HLOOKUP($A523,표1[#ALL],row(),false)</f>
        <v>#N/A</v>
      </c>
      <c r="AA523" s="376" t="str">
        <f>CS_PID!AA523/VLOOKUP($B523,표2[#ALL],2)/HLOOKUP($A523,표1[#ALL],row(),false)</f>
        <v>#N/A</v>
      </c>
      <c r="AB523" s="376" t="str">
        <f>CS_PID!AB523/VLOOKUP($B523,표2[#ALL],2)/HLOOKUP($A523,표1[#ALL],row(),false)</f>
        <v>#N/A</v>
      </c>
      <c r="AC523" s="376" t="str">
        <f>CS_PID!AC523/VLOOKUP($B523,표2[#ALL],2)/HLOOKUP($A523,표1[#ALL],row(),false)</f>
        <v>#N/A</v>
      </c>
      <c r="AD523" s="376" t="str">
        <f>CS_PID!AD523/VLOOKUP($B523,표2[#ALL],2)/HLOOKUP($A523,표1[#ALL],row(),false)</f>
        <v>#N/A</v>
      </c>
      <c r="AE523" s="376" t="str">
        <f>CS_PID!AE523/VLOOKUP($B523,표2[#ALL],2)/HLOOKUP($A523,표1[#ALL],row(),false)</f>
        <v>#N/A</v>
      </c>
      <c r="AF523" s="376" t="str">
        <f>CS_PID!AF523/VLOOKUP($B523,표2[#ALL],2)/HLOOKUP($A523,표1[#ALL],row(),false)</f>
        <v>#N/A</v>
      </c>
      <c r="AG523" s="376" t="str">
        <f>CS_PID!AG523/VLOOKUP($B523,표2[#ALL],2)/HLOOKUP($A523,표1[#ALL],row(),false)</f>
        <v>#N/A</v>
      </c>
      <c r="AH523" s="376" t="str">
        <f>CS_PID!AH523/VLOOKUP($B523,표2[#ALL],2)/HLOOKUP($A523,표1[#ALL],row(),false)</f>
        <v>#N/A</v>
      </c>
      <c r="AI523" s="376" t="str">
        <f>CS_PID!AI523/VLOOKUP($B523,표2[#ALL],2)/HLOOKUP($A523,표1[#ALL],row(),false)</f>
        <v>#N/A</v>
      </c>
      <c r="AJ523" s="376" t="str">
        <f>CS_PID!AJ523/VLOOKUP($B523,표2[#ALL],2)/HLOOKUP($A523,표1[#ALL],row(),false)</f>
        <v>#N/A</v>
      </c>
      <c r="AK523" s="376" t="str">
        <f>CS_PID!AK523/VLOOKUP($B523,표2[#ALL],2)/HLOOKUP($A523,표1[#ALL],row(),false)</f>
        <v>#N/A</v>
      </c>
      <c r="AL523" s="376" t="str">
        <f>CS_PID!AL523/VLOOKUP($B523,표2[#ALL],2)/HLOOKUP($A523,표1[#ALL],row(),false)</f>
        <v>#N/A</v>
      </c>
      <c r="AM523" s="376" t="str">
        <f>CS_PID!AM523/VLOOKUP($B523,표2[#ALL],2)/HLOOKUP($A523,표1[#ALL],row(),false)</f>
        <v>#N/A</v>
      </c>
      <c r="AN523" s="376" t="str">
        <f>CS_PID!AN523/VLOOKUP($B523,표2[#ALL],2)/HLOOKUP($A523,표1[#ALL],row(),false)</f>
        <v>#N/A</v>
      </c>
      <c r="AO523" s="376" t="str">
        <f>CS_PID!AO523/VLOOKUP($B523,표2[#ALL],2)/HLOOKUP($A523,표1[#ALL],row(),false)</f>
        <v>#N/A</v>
      </c>
      <c r="AP523" s="376" t="str">
        <f>CS_PID!AP523/VLOOKUP($B523,표2[#ALL],2)/HLOOKUP($A523,표1[#ALL],row(),false)</f>
        <v>#N/A</v>
      </c>
      <c r="AQ523" s="376" t="str">
        <f>CS_PID!AQ523/VLOOKUP($B523,표2[#ALL],2)/HLOOKUP($A523,표1[#ALL],row(),false)</f>
        <v>#N/A</v>
      </c>
      <c r="AR523" s="376" t="str">
        <f>CS_PID!AR523/VLOOKUP($B523,표2[#ALL],2)/HLOOKUP($A523,표1[#ALL],row(),false)</f>
        <v>#N/A</v>
      </c>
      <c r="AS523" s="377" t="str">
        <f>CS_PID!AS523/VLOOKUP($B523,표2[#ALL],2)/HLOOKUP($A523,표1[#ALL],row(),false)</f>
        <v>#N/A</v>
      </c>
    </row>
    <row r="524">
      <c r="A524" s="370"/>
      <c r="B524" s="371"/>
      <c r="C524" s="372" t="str">
        <f>CS_PID!C524/VLOOKUP($B524,표2[#ALL],2)</f>
        <v>#N/A</v>
      </c>
      <c r="D524" s="372" t="str">
        <f>CS_PID!D524/VLOOKUP($B524,표2[#ALL],2)</f>
        <v>#N/A</v>
      </c>
      <c r="E524" s="372" t="str">
        <f>CS_PID!E524/VLOOKUP($B524,표2[#ALL],2)</f>
        <v>#N/A</v>
      </c>
      <c r="F524" s="372" t="str">
        <f>CS_PID!F524/VLOOKUP($B524,표2[#ALL],2)</f>
        <v>#N/A</v>
      </c>
      <c r="G524" s="372" t="str">
        <f>CS_PID!G524/VLOOKUP($B524,표2[#ALL],2)</f>
        <v>#N/A</v>
      </c>
      <c r="H524" s="372" t="str">
        <f>CS_PID!H524/VLOOKUP($B524,표2[#ALL],2)/HLOOKUP($A524,표1[#ALL],row(),false)</f>
        <v>#N/A</v>
      </c>
      <c r="I524" s="372" t="str">
        <f>CS_PID!I524/VLOOKUP($B524,표2[#ALL],2)/HLOOKUP($A524,표1[#ALL],row(),false)</f>
        <v>#N/A</v>
      </c>
      <c r="J524" s="372" t="str">
        <f>CS_PID!J524/VLOOKUP($B524,표2[#ALL],2)/HLOOKUP($A524,표1[#ALL],row(),false)</f>
        <v>#N/A</v>
      </c>
      <c r="K524" s="372" t="str">
        <f>CS_PID!K524/VLOOKUP($B524,표2[#ALL],2)/HLOOKUP($A524,표1[#ALL],row(),false)</f>
        <v>#N/A</v>
      </c>
      <c r="L524" s="372" t="str">
        <f>CS_PID!L524/VLOOKUP($B524,표2[#ALL],2)/HLOOKUP($A524,표1[#ALL],row(),false)</f>
        <v>#N/A</v>
      </c>
      <c r="M524" s="372" t="str">
        <f>CS_PID!M524/VLOOKUP($B524,표2[#ALL],2)/HLOOKUP($A524,표1[#ALL],row(),false)</f>
        <v>#N/A</v>
      </c>
      <c r="N524" s="372" t="str">
        <f>CS_PID!N524/VLOOKUP($B524,표2[#ALL],2)/HLOOKUP($A524,표1[#ALL],row(),false)</f>
        <v>#N/A</v>
      </c>
      <c r="O524" s="372" t="str">
        <f>CS_PID!O524/VLOOKUP($B524,표2[#ALL],2)/HLOOKUP($A524,표1[#ALL],row(),false)</f>
        <v>#N/A</v>
      </c>
      <c r="P524" s="372" t="str">
        <f>CS_PID!P524/VLOOKUP($B524,표2[#ALL],2)/HLOOKUP($A524,표1[#ALL],row(),false)</f>
        <v>#N/A</v>
      </c>
      <c r="Q524" s="372" t="str">
        <f>CS_PID!Q524/VLOOKUP($B524,표2[#ALL],2)/HLOOKUP($A524,표1[#ALL],row(),false)</f>
        <v>#N/A</v>
      </c>
      <c r="R524" s="372" t="str">
        <f>CS_PID!R524/VLOOKUP($B524,표2[#ALL],2)/HLOOKUP($A524,표1[#ALL],row(),false)</f>
        <v>#N/A</v>
      </c>
      <c r="S524" s="372" t="str">
        <f>CS_PID!S524/VLOOKUP($B524,표2[#ALL],2)/HLOOKUP($A524,표1[#ALL],row(),false)</f>
        <v>#N/A</v>
      </c>
      <c r="T524" s="372" t="str">
        <f>CS_PID!T524/VLOOKUP($B524,표2[#ALL],2)/HLOOKUP($A524,표1[#ALL],row(),false)</f>
        <v>#N/A</v>
      </c>
      <c r="U524" s="372" t="str">
        <f>CS_PID!U524/VLOOKUP($B524,표2[#ALL],2)/HLOOKUP($A524,표1[#ALL],row(),false)</f>
        <v>#N/A</v>
      </c>
      <c r="V524" s="372" t="str">
        <f>CS_PID!V524/VLOOKUP($B524,표2[#ALL],2)/HLOOKUP($A524,표1[#ALL],row(),false)</f>
        <v>#N/A</v>
      </c>
      <c r="W524" s="372" t="str">
        <f>CS_PID!W524/VLOOKUP($B524,표2[#ALL],2)/HLOOKUP($A524,표1[#ALL],row(),false)</f>
        <v>#N/A</v>
      </c>
      <c r="X524" s="372" t="str">
        <f>CS_PID!X524/VLOOKUP($B524,표2[#ALL],2)/HLOOKUP($A524,표1[#ALL],row(),false)</f>
        <v>#N/A</v>
      </c>
      <c r="Y524" s="372" t="str">
        <f>CS_PID!Y524/VLOOKUP($B524,표2[#ALL],2)/HLOOKUP($A524,표1[#ALL],row(),false)</f>
        <v>#N/A</v>
      </c>
      <c r="Z524" s="372" t="str">
        <f>CS_PID!Z524/VLOOKUP($B524,표2[#ALL],2)/HLOOKUP($A524,표1[#ALL],row(),false)</f>
        <v>#N/A</v>
      </c>
      <c r="AA524" s="372" t="str">
        <f>CS_PID!AA524/VLOOKUP($B524,표2[#ALL],2)/HLOOKUP($A524,표1[#ALL],row(),false)</f>
        <v>#N/A</v>
      </c>
      <c r="AB524" s="372" t="str">
        <f>CS_PID!AB524/VLOOKUP($B524,표2[#ALL],2)/HLOOKUP($A524,표1[#ALL],row(),false)</f>
        <v>#N/A</v>
      </c>
      <c r="AC524" s="372" t="str">
        <f>CS_PID!AC524/VLOOKUP($B524,표2[#ALL],2)/HLOOKUP($A524,표1[#ALL],row(),false)</f>
        <v>#N/A</v>
      </c>
      <c r="AD524" s="372" t="str">
        <f>CS_PID!AD524/VLOOKUP($B524,표2[#ALL],2)/HLOOKUP($A524,표1[#ALL],row(),false)</f>
        <v>#N/A</v>
      </c>
      <c r="AE524" s="372" t="str">
        <f>CS_PID!AE524/VLOOKUP($B524,표2[#ALL],2)/HLOOKUP($A524,표1[#ALL],row(),false)</f>
        <v>#N/A</v>
      </c>
      <c r="AF524" s="372" t="str">
        <f>CS_PID!AF524/VLOOKUP($B524,표2[#ALL],2)/HLOOKUP($A524,표1[#ALL],row(),false)</f>
        <v>#N/A</v>
      </c>
      <c r="AG524" s="372" t="str">
        <f>CS_PID!AG524/VLOOKUP($B524,표2[#ALL],2)/HLOOKUP($A524,표1[#ALL],row(),false)</f>
        <v>#N/A</v>
      </c>
      <c r="AH524" s="372" t="str">
        <f>CS_PID!AH524/VLOOKUP($B524,표2[#ALL],2)/HLOOKUP($A524,표1[#ALL],row(),false)</f>
        <v>#N/A</v>
      </c>
      <c r="AI524" s="372" t="str">
        <f>CS_PID!AI524/VLOOKUP($B524,표2[#ALL],2)/HLOOKUP($A524,표1[#ALL],row(),false)</f>
        <v>#N/A</v>
      </c>
      <c r="AJ524" s="372" t="str">
        <f>CS_PID!AJ524/VLOOKUP($B524,표2[#ALL],2)/HLOOKUP($A524,표1[#ALL],row(),false)</f>
        <v>#N/A</v>
      </c>
      <c r="AK524" s="372" t="str">
        <f>CS_PID!AK524/VLOOKUP($B524,표2[#ALL],2)/HLOOKUP($A524,표1[#ALL],row(),false)</f>
        <v>#N/A</v>
      </c>
      <c r="AL524" s="372" t="str">
        <f>CS_PID!AL524/VLOOKUP($B524,표2[#ALL],2)/HLOOKUP($A524,표1[#ALL],row(),false)</f>
        <v>#N/A</v>
      </c>
      <c r="AM524" s="372" t="str">
        <f>CS_PID!AM524/VLOOKUP($B524,표2[#ALL],2)/HLOOKUP($A524,표1[#ALL],row(),false)</f>
        <v>#N/A</v>
      </c>
      <c r="AN524" s="372" t="str">
        <f>CS_PID!AN524/VLOOKUP($B524,표2[#ALL],2)/HLOOKUP($A524,표1[#ALL],row(),false)</f>
        <v>#N/A</v>
      </c>
      <c r="AO524" s="372" t="str">
        <f>CS_PID!AO524/VLOOKUP($B524,표2[#ALL],2)/HLOOKUP($A524,표1[#ALL],row(),false)</f>
        <v>#N/A</v>
      </c>
      <c r="AP524" s="372" t="str">
        <f>CS_PID!AP524/VLOOKUP($B524,표2[#ALL],2)/HLOOKUP($A524,표1[#ALL],row(),false)</f>
        <v>#N/A</v>
      </c>
      <c r="AQ524" s="372" t="str">
        <f>CS_PID!AQ524/VLOOKUP($B524,표2[#ALL],2)/HLOOKUP($A524,표1[#ALL],row(),false)</f>
        <v>#N/A</v>
      </c>
      <c r="AR524" s="372" t="str">
        <f>CS_PID!AR524/VLOOKUP($B524,표2[#ALL],2)/HLOOKUP($A524,표1[#ALL],row(),false)</f>
        <v>#N/A</v>
      </c>
      <c r="AS524" s="373" t="str">
        <f>CS_PID!AS524/VLOOKUP($B524,표2[#ALL],2)/HLOOKUP($A524,표1[#ALL],row(),false)</f>
        <v>#N/A</v>
      </c>
    </row>
    <row r="525">
      <c r="A525" s="374"/>
      <c r="B525" s="375"/>
      <c r="C525" s="376" t="str">
        <f>CS_PID!C525/VLOOKUP($B525,표2[#ALL],2)</f>
        <v>#N/A</v>
      </c>
      <c r="D525" s="376" t="str">
        <f>CS_PID!D525/VLOOKUP($B525,표2[#ALL],2)</f>
        <v>#N/A</v>
      </c>
      <c r="E525" s="376" t="str">
        <f>CS_PID!E525/VLOOKUP($B525,표2[#ALL],2)</f>
        <v>#N/A</v>
      </c>
      <c r="F525" s="376" t="str">
        <f>CS_PID!F525/VLOOKUP($B525,표2[#ALL],2)</f>
        <v>#N/A</v>
      </c>
      <c r="G525" s="376" t="str">
        <f>CS_PID!G525/VLOOKUP($B525,표2[#ALL],2)</f>
        <v>#N/A</v>
      </c>
      <c r="H525" s="376" t="str">
        <f>CS_PID!H525/VLOOKUP($B525,표2[#ALL],2)/HLOOKUP($A525,표1[#ALL],row(),false)</f>
        <v>#N/A</v>
      </c>
      <c r="I525" s="376" t="str">
        <f>CS_PID!I525/VLOOKUP($B525,표2[#ALL],2)/HLOOKUP($A525,표1[#ALL],row(),false)</f>
        <v>#N/A</v>
      </c>
      <c r="J525" s="376" t="str">
        <f>CS_PID!J525/VLOOKUP($B525,표2[#ALL],2)/HLOOKUP($A525,표1[#ALL],row(),false)</f>
        <v>#N/A</v>
      </c>
      <c r="K525" s="376" t="str">
        <f>CS_PID!K525/VLOOKUP($B525,표2[#ALL],2)/HLOOKUP($A525,표1[#ALL],row(),false)</f>
        <v>#N/A</v>
      </c>
      <c r="L525" s="376" t="str">
        <f>CS_PID!L525/VLOOKUP($B525,표2[#ALL],2)/HLOOKUP($A525,표1[#ALL],row(),false)</f>
        <v>#N/A</v>
      </c>
      <c r="M525" s="376" t="str">
        <f>CS_PID!M525/VLOOKUP($B525,표2[#ALL],2)/HLOOKUP($A525,표1[#ALL],row(),false)</f>
        <v>#N/A</v>
      </c>
      <c r="N525" s="376" t="str">
        <f>CS_PID!N525/VLOOKUP($B525,표2[#ALL],2)/HLOOKUP($A525,표1[#ALL],row(),false)</f>
        <v>#N/A</v>
      </c>
      <c r="O525" s="376" t="str">
        <f>CS_PID!O525/VLOOKUP($B525,표2[#ALL],2)/HLOOKUP($A525,표1[#ALL],row(),false)</f>
        <v>#N/A</v>
      </c>
      <c r="P525" s="376" t="str">
        <f>CS_PID!P525/VLOOKUP($B525,표2[#ALL],2)/HLOOKUP($A525,표1[#ALL],row(),false)</f>
        <v>#N/A</v>
      </c>
      <c r="Q525" s="376" t="str">
        <f>CS_PID!Q525/VLOOKUP($B525,표2[#ALL],2)/HLOOKUP($A525,표1[#ALL],row(),false)</f>
        <v>#N/A</v>
      </c>
      <c r="R525" s="376" t="str">
        <f>CS_PID!R525/VLOOKUP($B525,표2[#ALL],2)/HLOOKUP($A525,표1[#ALL],row(),false)</f>
        <v>#N/A</v>
      </c>
      <c r="S525" s="376" t="str">
        <f>CS_PID!S525/VLOOKUP($B525,표2[#ALL],2)/HLOOKUP($A525,표1[#ALL],row(),false)</f>
        <v>#N/A</v>
      </c>
      <c r="T525" s="376" t="str">
        <f>CS_PID!T525/VLOOKUP($B525,표2[#ALL],2)/HLOOKUP($A525,표1[#ALL],row(),false)</f>
        <v>#N/A</v>
      </c>
      <c r="U525" s="376" t="str">
        <f>CS_PID!U525/VLOOKUP($B525,표2[#ALL],2)/HLOOKUP($A525,표1[#ALL],row(),false)</f>
        <v>#N/A</v>
      </c>
      <c r="V525" s="376" t="str">
        <f>CS_PID!V525/VLOOKUP($B525,표2[#ALL],2)/HLOOKUP($A525,표1[#ALL],row(),false)</f>
        <v>#N/A</v>
      </c>
      <c r="W525" s="376" t="str">
        <f>CS_PID!W525/VLOOKUP($B525,표2[#ALL],2)/HLOOKUP($A525,표1[#ALL],row(),false)</f>
        <v>#N/A</v>
      </c>
      <c r="X525" s="376" t="str">
        <f>CS_PID!X525/VLOOKUP($B525,표2[#ALL],2)/HLOOKUP($A525,표1[#ALL],row(),false)</f>
        <v>#N/A</v>
      </c>
      <c r="Y525" s="376" t="str">
        <f>CS_PID!Y525/VLOOKUP($B525,표2[#ALL],2)/HLOOKUP($A525,표1[#ALL],row(),false)</f>
        <v>#N/A</v>
      </c>
      <c r="Z525" s="376" t="str">
        <f>CS_PID!Z525/VLOOKUP($B525,표2[#ALL],2)/HLOOKUP($A525,표1[#ALL],row(),false)</f>
        <v>#N/A</v>
      </c>
      <c r="AA525" s="376" t="str">
        <f>CS_PID!AA525/VLOOKUP($B525,표2[#ALL],2)/HLOOKUP($A525,표1[#ALL],row(),false)</f>
        <v>#N/A</v>
      </c>
      <c r="AB525" s="376" t="str">
        <f>CS_PID!AB525/VLOOKUP($B525,표2[#ALL],2)/HLOOKUP($A525,표1[#ALL],row(),false)</f>
        <v>#N/A</v>
      </c>
      <c r="AC525" s="376" t="str">
        <f>CS_PID!AC525/VLOOKUP($B525,표2[#ALL],2)/HLOOKUP($A525,표1[#ALL],row(),false)</f>
        <v>#N/A</v>
      </c>
      <c r="AD525" s="376" t="str">
        <f>CS_PID!AD525/VLOOKUP($B525,표2[#ALL],2)/HLOOKUP($A525,표1[#ALL],row(),false)</f>
        <v>#N/A</v>
      </c>
      <c r="AE525" s="376" t="str">
        <f>CS_PID!AE525/VLOOKUP($B525,표2[#ALL],2)/HLOOKUP($A525,표1[#ALL],row(),false)</f>
        <v>#N/A</v>
      </c>
      <c r="AF525" s="376" t="str">
        <f>CS_PID!AF525/VLOOKUP($B525,표2[#ALL],2)/HLOOKUP($A525,표1[#ALL],row(),false)</f>
        <v>#N/A</v>
      </c>
      <c r="AG525" s="376" t="str">
        <f>CS_PID!AG525/VLOOKUP($B525,표2[#ALL],2)/HLOOKUP($A525,표1[#ALL],row(),false)</f>
        <v>#N/A</v>
      </c>
      <c r="AH525" s="376" t="str">
        <f>CS_PID!AH525/VLOOKUP($B525,표2[#ALL],2)/HLOOKUP($A525,표1[#ALL],row(),false)</f>
        <v>#N/A</v>
      </c>
      <c r="AI525" s="376" t="str">
        <f>CS_PID!AI525/VLOOKUP($B525,표2[#ALL],2)/HLOOKUP($A525,표1[#ALL],row(),false)</f>
        <v>#N/A</v>
      </c>
      <c r="AJ525" s="376" t="str">
        <f>CS_PID!AJ525/VLOOKUP($B525,표2[#ALL],2)/HLOOKUP($A525,표1[#ALL],row(),false)</f>
        <v>#N/A</v>
      </c>
      <c r="AK525" s="376" t="str">
        <f>CS_PID!AK525/VLOOKUP($B525,표2[#ALL],2)/HLOOKUP($A525,표1[#ALL],row(),false)</f>
        <v>#N/A</v>
      </c>
      <c r="AL525" s="376" t="str">
        <f>CS_PID!AL525/VLOOKUP($B525,표2[#ALL],2)/HLOOKUP($A525,표1[#ALL],row(),false)</f>
        <v>#N/A</v>
      </c>
      <c r="AM525" s="376" t="str">
        <f>CS_PID!AM525/VLOOKUP($B525,표2[#ALL],2)/HLOOKUP($A525,표1[#ALL],row(),false)</f>
        <v>#N/A</v>
      </c>
      <c r="AN525" s="376" t="str">
        <f>CS_PID!AN525/VLOOKUP($B525,표2[#ALL],2)/HLOOKUP($A525,표1[#ALL],row(),false)</f>
        <v>#N/A</v>
      </c>
      <c r="AO525" s="376" t="str">
        <f>CS_PID!AO525/VLOOKUP($B525,표2[#ALL],2)/HLOOKUP($A525,표1[#ALL],row(),false)</f>
        <v>#N/A</v>
      </c>
      <c r="AP525" s="376" t="str">
        <f>CS_PID!AP525/VLOOKUP($B525,표2[#ALL],2)/HLOOKUP($A525,표1[#ALL],row(),false)</f>
        <v>#N/A</v>
      </c>
      <c r="AQ525" s="376" t="str">
        <f>CS_PID!AQ525/VLOOKUP($B525,표2[#ALL],2)/HLOOKUP($A525,표1[#ALL],row(),false)</f>
        <v>#N/A</v>
      </c>
      <c r="AR525" s="376" t="str">
        <f>CS_PID!AR525/VLOOKUP($B525,표2[#ALL],2)/HLOOKUP($A525,표1[#ALL],row(),false)</f>
        <v>#N/A</v>
      </c>
      <c r="AS525" s="377" t="str">
        <f>CS_PID!AS525/VLOOKUP($B525,표2[#ALL],2)/HLOOKUP($A525,표1[#ALL],row(),false)</f>
        <v>#N/A</v>
      </c>
    </row>
    <row r="526">
      <c r="A526" s="370"/>
      <c r="B526" s="371"/>
      <c r="C526" s="372" t="str">
        <f>CS_PID!C526/VLOOKUP($B526,표2[#ALL],2)</f>
        <v>#N/A</v>
      </c>
      <c r="D526" s="372" t="str">
        <f>CS_PID!D526/VLOOKUP($B526,표2[#ALL],2)</f>
        <v>#N/A</v>
      </c>
      <c r="E526" s="372" t="str">
        <f>CS_PID!E526/VLOOKUP($B526,표2[#ALL],2)</f>
        <v>#N/A</v>
      </c>
      <c r="F526" s="372" t="str">
        <f>CS_PID!F526/VLOOKUP($B526,표2[#ALL],2)</f>
        <v>#N/A</v>
      </c>
      <c r="G526" s="372" t="str">
        <f>CS_PID!G526/VLOOKUP($B526,표2[#ALL],2)</f>
        <v>#N/A</v>
      </c>
      <c r="H526" s="372" t="str">
        <f>CS_PID!H526/VLOOKUP($B526,표2[#ALL],2)/HLOOKUP($A526,표1[#ALL],row(),false)</f>
        <v>#N/A</v>
      </c>
      <c r="I526" s="372" t="str">
        <f>CS_PID!I526/VLOOKUP($B526,표2[#ALL],2)/HLOOKUP($A526,표1[#ALL],row(),false)</f>
        <v>#N/A</v>
      </c>
      <c r="J526" s="372" t="str">
        <f>CS_PID!J526/VLOOKUP($B526,표2[#ALL],2)/HLOOKUP($A526,표1[#ALL],row(),false)</f>
        <v>#N/A</v>
      </c>
      <c r="K526" s="372" t="str">
        <f>CS_PID!K526/VLOOKUP($B526,표2[#ALL],2)/HLOOKUP($A526,표1[#ALL],row(),false)</f>
        <v>#N/A</v>
      </c>
      <c r="L526" s="372" t="str">
        <f>CS_PID!L526/VLOOKUP($B526,표2[#ALL],2)/HLOOKUP($A526,표1[#ALL],row(),false)</f>
        <v>#N/A</v>
      </c>
      <c r="M526" s="372" t="str">
        <f>CS_PID!M526/VLOOKUP($B526,표2[#ALL],2)/HLOOKUP($A526,표1[#ALL],row(),false)</f>
        <v>#N/A</v>
      </c>
      <c r="N526" s="372" t="str">
        <f>CS_PID!N526/VLOOKUP($B526,표2[#ALL],2)/HLOOKUP($A526,표1[#ALL],row(),false)</f>
        <v>#N/A</v>
      </c>
      <c r="O526" s="372" t="str">
        <f>CS_PID!O526/VLOOKUP($B526,표2[#ALL],2)/HLOOKUP($A526,표1[#ALL],row(),false)</f>
        <v>#N/A</v>
      </c>
      <c r="P526" s="372" t="str">
        <f>CS_PID!P526/VLOOKUP($B526,표2[#ALL],2)/HLOOKUP($A526,표1[#ALL],row(),false)</f>
        <v>#N/A</v>
      </c>
      <c r="Q526" s="372" t="str">
        <f>CS_PID!Q526/VLOOKUP($B526,표2[#ALL],2)/HLOOKUP($A526,표1[#ALL],row(),false)</f>
        <v>#N/A</v>
      </c>
      <c r="R526" s="372" t="str">
        <f>CS_PID!R526/VLOOKUP($B526,표2[#ALL],2)/HLOOKUP($A526,표1[#ALL],row(),false)</f>
        <v>#N/A</v>
      </c>
      <c r="S526" s="372" t="str">
        <f>CS_PID!S526/VLOOKUP($B526,표2[#ALL],2)/HLOOKUP($A526,표1[#ALL],row(),false)</f>
        <v>#N/A</v>
      </c>
      <c r="T526" s="372" t="str">
        <f>CS_PID!T526/VLOOKUP($B526,표2[#ALL],2)/HLOOKUP($A526,표1[#ALL],row(),false)</f>
        <v>#N/A</v>
      </c>
      <c r="U526" s="372" t="str">
        <f>CS_PID!U526/VLOOKUP($B526,표2[#ALL],2)/HLOOKUP($A526,표1[#ALL],row(),false)</f>
        <v>#N/A</v>
      </c>
      <c r="V526" s="372" t="str">
        <f>CS_PID!V526/VLOOKUP($B526,표2[#ALL],2)/HLOOKUP($A526,표1[#ALL],row(),false)</f>
        <v>#N/A</v>
      </c>
      <c r="W526" s="372" t="str">
        <f>CS_PID!W526/VLOOKUP($B526,표2[#ALL],2)/HLOOKUP($A526,표1[#ALL],row(),false)</f>
        <v>#N/A</v>
      </c>
      <c r="X526" s="372" t="str">
        <f>CS_PID!X526/VLOOKUP($B526,표2[#ALL],2)/HLOOKUP($A526,표1[#ALL],row(),false)</f>
        <v>#N/A</v>
      </c>
      <c r="Y526" s="372" t="str">
        <f>CS_PID!Y526/VLOOKUP($B526,표2[#ALL],2)/HLOOKUP($A526,표1[#ALL],row(),false)</f>
        <v>#N/A</v>
      </c>
      <c r="Z526" s="372" t="str">
        <f>CS_PID!Z526/VLOOKUP($B526,표2[#ALL],2)/HLOOKUP($A526,표1[#ALL],row(),false)</f>
        <v>#N/A</v>
      </c>
      <c r="AA526" s="372" t="str">
        <f>CS_PID!AA526/VLOOKUP($B526,표2[#ALL],2)/HLOOKUP($A526,표1[#ALL],row(),false)</f>
        <v>#N/A</v>
      </c>
      <c r="AB526" s="372" t="str">
        <f>CS_PID!AB526/VLOOKUP($B526,표2[#ALL],2)/HLOOKUP($A526,표1[#ALL],row(),false)</f>
        <v>#N/A</v>
      </c>
      <c r="AC526" s="372" t="str">
        <f>CS_PID!AC526/VLOOKUP($B526,표2[#ALL],2)/HLOOKUP($A526,표1[#ALL],row(),false)</f>
        <v>#N/A</v>
      </c>
      <c r="AD526" s="372" t="str">
        <f>CS_PID!AD526/VLOOKUP($B526,표2[#ALL],2)/HLOOKUP($A526,표1[#ALL],row(),false)</f>
        <v>#N/A</v>
      </c>
      <c r="AE526" s="372" t="str">
        <f>CS_PID!AE526/VLOOKUP($B526,표2[#ALL],2)/HLOOKUP($A526,표1[#ALL],row(),false)</f>
        <v>#N/A</v>
      </c>
      <c r="AF526" s="372" t="str">
        <f>CS_PID!AF526/VLOOKUP($B526,표2[#ALL],2)/HLOOKUP($A526,표1[#ALL],row(),false)</f>
        <v>#N/A</v>
      </c>
      <c r="AG526" s="372" t="str">
        <f>CS_PID!AG526/VLOOKUP($B526,표2[#ALL],2)/HLOOKUP($A526,표1[#ALL],row(),false)</f>
        <v>#N/A</v>
      </c>
      <c r="AH526" s="372" t="str">
        <f>CS_PID!AH526/VLOOKUP($B526,표2[#ALL],2)/HLOOKUP($A526,표1[#ALL],row(),false)</f>
        <v>#N/A</v>
      </c>
      <c r="AI526" s="372" t="str">
        <f>CS_PID!AI526/VLOOKUP($B526,표2[#ALL],2)/HLOOKUP($A526,표1[#ALL],row(),false)</f>
        <v>#N/A</v>
      </c>
      <c r="AJ526" s="372" t="str">
        <f>CS_PID!AJ526/VLOOKUP($B526,표2[#ALL],2)/HLOOKUP($A526,표1[#ALL],row(),false)</f>
        <v>#N/A</v>
      </c>
      <c r="AK526" s="372" t="str">
        <f>CS_PID!AK526/VLOOKUP($B526,표2[#ALL],2)/HLOOKUP($A526,표1[#ALL],row(),false)</f>
        <v>#N/A</v>
      </c>
      <c r="AL526" s="372" t="str">
        <f>CS_PID!AL526/VLOOKUP($B526,표2[#ALL],2)/HLOOKUP($A526,표1[#ALL],row(),false)</f>
        <v>#N/A</v>
      </c>
      <c r="AM526" s="372" t="str">
        <f>CS_PID!AM526/VLOOKUP($B526,표2[#ALL],2)/HLOOKUP($A526,표1[#ALL],row(),false)</f>
        <v>#N/A</v>
      </c>
      <c r="AN526" s="372" t="str">
        <f>CS_PID!AN526/VLOOKUP($B526,표2[#ALL],2)/HLOOKUP($A526,표1[#ALL],row(),false)</f>
        <v>#N/A</v>
      </c>
      <c r="AO526" s="372" t="str">
        <f>CS_PID!AO526/VLOOKUP($B526,표2[#ALL],2)/HLOOKUP($A526,표1[#ALL],row(),false)</f>
        <v>#N/A</v>
      </c>
      <c r="AP526" s="372" t="str">
        <f>CS_PID!AP526/VLOOKUP($B526,표2[#ALL],2)/HLOOKUP($A526,표1[#ALL],row(),false)</f>
        <v>#N/A</v>
      </c>
      <c r="AQ526" s="372" t="str">
        <f>CS_PID!AQ526/VLOOKUP($B526,표2[#ALL],2)/HLOOKUP($A526,표1[#ALL],row(),false)</f>
        <v>#N/A</v>
      </c>
      <c r="AR526" s="372" t="str">
        <f>CS_PID!AR526/VLOOKUP($B526,표2[#ALL],2)/HLOOKUP($A526,표1[#ALL],row(),false)</f>
        <v>#N/A</v>
      </c>
      <c r="AS526" s="373" t="str">
        <f>CS_PID!AS526/VLOOKUP($B526,표2[#ALL],2)/HLOOKUP($A526,표1[#ALL],row(),false)</f>
        <v>#N/A</v>
      </c>
    </row>
    <row r="527">
      <c r="A527" s="374"/>
      <c r="B527" s="375"/>
      <c r="C527" s="376" t="str">
        <f>CS_PID!C527/VLOOKUP($B527,표2[#ALL],2)</f>
        <v>#N/A</v>
      </c>
      <c r="D527" s="376" t="str">
        <f>CS_PID!D527/VLOOKUP($B527,표2[#ALL],2)</f>
        <v>#N/A</v>
      </c>
      <c r="E527" s="376" t="str">
        <f>CS_PID!E527/VLOOKUP($B527,표2[#ALL],2)</f>
        <v>#N/A</v>
      </c>
      <c r="F527" s="376" t="str">
        <f>CS_PID!F527/VLOOKUP($B527,표2[#ALL],2)</f>
        <v>#N/A</v>
      </c>
      <c r="G527" s="376" t="str">
        <f>CS_PID!G527/VLOOKUP($B527,표2[#ALL],2)</f>
        <v>#N/A</v>
      </c>
      <c r="H527" s="376" t="str">
        <f>CS_PID!H527/VLOOKUP($B527,표2[#ALL],2)/HLOOKUP($A527,표1[#ALL],row(),false)</f>
        <v>#N/A</v>
      </c>
      <c r="I527" s="376" t="str">
        <f>CS_PID!I527/VLOOKUP($B527,표2[#ALL],2)/HLOOKUP($A527,표1[#ALL],row(),false)</f>
        <v>#N/A</v>
      </c>
      <c r="J527" s="376" t="str">
        <f>CS_PID!J527/VLOOKUP($B527,표2[#ALL],2)/HLOOKUP($A527,표1[#ALL],row(),false)</f>
        <v>#N/A</v>
      </c>
      <c r="K527" s="376" t="str">
        <f>CS_PID!K527/VLOOKUP($B527,표2[#ALL],2)/HLOOKUP($A527,표1[#ALL],row(),false)</f>
        <v>#N/A</v>
      </c>
      <c r="L527" s="376" t="str">
        <f>CS_PID!L527/VLOOKUP($B527,표2[#ALL],2)/HLOOKUP($A527,표1[#ALL],row(),false)</f>
        <v>#N/A</v>
      </c>
      <c r="M527" s="376" t="str">
        <f>CS_PID!M527/VLOOKUP($B527,표2[#ALL],2)/HLOOKUP($A527,표1[#ALL],row(),false)</f>
        <v>#N/A</v>
      </c>
      <c r="N527" s="376" t="str">
        <f>CS_PID!N527/VLOOKUP($B527,표2[#ALL],2)/HLOOKUP($A527,표1[#ALL],row(),false)</f>
        <v>#N/A</v>
      </c>
      <c r="O527" s="376" t="str">
        <f>CS_PID!O527/VLOOKUP($B527,표2[#ALL],2)/HLOOKUP($A527,표1[#ALL],row(),false)</f>
        <v>#N/A</v>
      </c>
      <c r="P527" s="376" t="str">
        <f>CS_PID!P527/VLOOKUP($B527,표2[#ALL],2)/HLOOKUP($A527,표1[#ALL],row(),false)</f>
        <v>#N/A</v>
      </c>
      <c r="Q527" s="376" t="str">
        <f>CS_PID!Q527/VLOOKUP($B527,표2[#ALL],2)/HLOOKUP($A527,표1[#ALL],row(),false)</f>
        <v>#N/A</v>
      </c>
      <c r="R527" s="376" t="str">
        <f>CS_PID!R527/VLOOKUP($B527,표2[#ALL],2)/HLOOKUP($A527,표1[#ALL],row(),false)</f>
        <v>#N/A</v>
      </c>
      <c r="S527" s="376" t="str">
        <f>CS_PID!S527/VLOOKUP($B527,표2[#ALL],2)/HLOOKUP($A527,표1[#ALL],row(),false)</f>
        <v>#N/A</v>
      </c>
      <c r="T527" s="376" t="str">
        <f>CS_PID!T527/VLOOKUP($B527,표2[#ALL],2)/HLOOKUP($A527,표1[#ALL],row(),false)</f>
        <v>#N/A</v>
      </c>
      <c r="U527" s="376" t="str">
        <f>CS_PID!U527/VLOOKUP($B527,표2[#ALL],2)/HLOOKUP($A527,표1[#ALL],row(),false)</f>
        <v>#N/A</v>
      </c>
      <c r="V527" s="376" t="str">
        <f>CS_PID!V527/VLOOKUP($B527,표2[#ALL],2)/HLOOKUP($A527,표1[#ALL],row(),false)</f>
        <v>#N/A</v>
      </c>
      <c r="W527" s="376" t="str">
        <f>CS_PID!W527/VLOOKUP($B527,표2[#ALL],2)/HLOOKUP($A527,표1[#ALL],row(),false)</f>
        <v>#N/A</v>
      </c>
      <c r="X527" s="376" t="str">
        <f>CS_PID!X527/VLOOKUP($B527,표2[#ALL],2)/HLOOKUP($A527,표1[#ALL],row(),false)</f>
        <v>#N/A</v>
      </c>
      <c r="Y527" s="376" t="str">
        <f>CS_PID!Y527/VLOOKUP($B527,표2[#ALL],2)/HLOOKUP($A527,표1[#ALL],row(),false)</f>
        <v>#N/A</v>
      </c>
      <c r="Z527" s="376" t="str">
        <f>CS_PID!Z527/VLOOKUP($B527,표2[#ALL],2)/HLOOKUP($A527,표1[#ALL],row(),false)</f>
        <v>#N/A</v>
      </c>
      <c r="AA527" s="376" t="str">
        <f>CS_PID!AA527/VLOOKUP($B527,표2[#ALL],2)/HLOOKUP($A527,표1[#ALL],row(),false)</f>
        <v>#N/A</v>
      </c>
      <c r="AB527" s="376" t="str">
        <f>CS_PID!AB527/VLOOKUP($B527,표2[#ALL],2)/HLOOKUP($A527,표1[#ALL],row(),false)</f>
        <v>#N/A</v>
      </c>
      <c r="AC527" s="376" t="str">
        <f>CS_PID!AC527/VLOOKUP($B527,표2[#ALL],2)/HLOOKUP($A527,표1[#ALL],row(),false)</f>
        <v>#N/A</v>
      </c>
      <c r="AD527" s="376" t="str">
        <f>CS_PID!AD527/VLOOKUP($B527,표2[#ALL],2)/HLOOKUP($A527,표1[#ALL],row(),false)</f>
        <v>#N/A</v>
      </c>
      <c r="AE527" s="376" t="str">
        <f>CS_PID!AE527/VLOOKUP($B527,표2[#ALL],2)/HLOOKUP($A527,표1[#ALL],row(),false)</f>
        <v>#N/A</v>
      </c>
      <c r="AF527" s="376" t="str">
        <f>CS_PID!AF527/VLOOKUP($B527,표2[#ALL],2)/HLOOKUP($A527,표1[#ALL],row(),false)</f>
        <v>#N/A</v>
      </c>
      <c r="AG527" s="376" t="str">
        <f>CS_PID!AG527/VLOOKUP($B527,표2[#ALL],2)/HLOOKUP($A527,표1[#ALL],row(),false)</f>
        <v>#N/A</v>
      </c>
      <c r="AH527" s="376" t="str">
        <f>CS_PID!AH527/VLOOKUP($B527,표2[#ALL],2)/HLOOKUP($A527,표1[#ALL],row(),false)</f>
        <v>#N/A</v>
      </c>
      <c r="AI527" s="376" t="str">
        <f>CS_PID!AI527/VLOOKUP($B527,표2[#ALL],2)/HLOOKUP($A527,표1[#ALL],row(),false)</f>
        <v>#N/A</v>
      </c>
      <c r="AJ527" s="376" t="str">
        <f>CS_PID!AJ527/VLOOKUP($B527,표2[#ALL],2)/HLOOKUP($A527,표1[#ALL],row(),false)</f>
        <v>#N/A</v>
      </c>
      <c r="AK527" s="376" t="str">
        <f>CS_PID!AK527/VLOOKUP($B527,표2[#ALL],2)/HLOOKUP($A527,표1[#ALL],row(),false)</f>
        <v>#N/A</v>
      </c>
      <c r="AL527" s="376" t="str">
        <f>CS_PID!AL527/VLOOKUP($B527,표2[#ALL],2)/HLOOKUP($A527,표1[#ALL],row(),false)</f>
        <v>#N/A</v>
      </c>
      <c r="AM527" s="376" t="str">
        <f>CS_PID!AM527/VLOOKUP($B527,표2[#ALL],2)/HLOOKUP($A527,표1[#ALL],row(),false)</f>
        <v>#N/A</v>
      </c>
      <c r="AN527" s="376" t="str">
        <f>CS_PID!AN527/VLOOKUP($B527,표2[#ALL],2)/HLOOKUP($A527,표1[#ALL],row(),false)</f>
        <v>#N/A</v>
      </c>
      <c r="AO527" s="376" t="str">
        <f>CS_PID!AO527/VLOOKUP($B527,표2[#ALL],2)/HLOOKUP($A527,표1[#ALL],row(),false)</f>
        <v>#N/A</v>
      </c>
      <c r="AP527" s="376" t="str">
        <f>CS_PID!AP527/VLOOKUP($B527,표2[#ALL],2)/HLOOKUP($A527,표1[#ALL],row(),false)</f>
        <v>#N/A</v>
      </c>
      <c r="AQ527" s="376" t="str">
        <f>CS_PID!AQ527/VLOOKUP($B527,표2[#ALL],2)/HLOOKUP($A527,표1[#ALL],row(),false)</f>
        <v>#N/A</v>
      </c>
      <c r="AR527" s="376" t="str">
        <f>CS_PID!AR527/VLOOKUP($B527,표2[#ALL],2)/HLOOKUP($A527,표1[#ALL],row(),false)</f>
        <v>#N/A</v>
      </c>
      <c r="AS527" s="377" t="str">
        <f>CS_PID!AS527/VLOOKUP($B527,표2[#ALL],2)/HLOOKUP($A527,표1[#ALL],row(),false)</f>
        <v>#N/A</v>
      </c>
    </row>
    <row r="528">
      <c r="A528" s="370"/>
      <c r="B528" s="371"/>
      <c r="C528" s="372" t="str">
        <f>CS_PID!C528/VLOOKUP($B528,표2[#ALL],2)</f>
        <v>#N/A</v>
      </c>
      <c r="D528" s="372" t="str">
        <f>CS_PID!D528/VLOOKUP($B528,표2[#ALL],2)</f>
        <v>#N/A</v>
      </c>
      <c r="E528" s="372" t="str">
        <f>CS_PID!E528/VLOOKUP($B528,표2[#ALL],2)</f>
        <v>#N/A</v>
      </c>
      <c r="F528" s="372" t="str">
        <f>CS_PID!F528/VLOOKUP($B528,표2[#ALL],2)</f>
        <v>#N/A</v>
      </c>
      <c r="G528" s="372" t="str">
        <f>CS_PID!G528/VLOOKUP($B528,표2[#ALL],2)</f>
        <v>#N/A</v>
      </c>
      <c r="H528" s="372" t="str">
        <f>CS_PID!H528/VLOOKUP($B528,표2[#ALL],2)/HLOOKUP($A528,표1[#ALL],row(),false)</f>
        <v>#N/A</v>
      </c>
      <c r="I528" s="372" t="str">
        <f>CS_PID!I528/VLOOKUP($B528,표2[#ALL],2)/HLOOKUP($A528,표1[#ALL],row(),false)</f>
        <v>#N/A</v>
      </c>
      <c r="J528" s="372" t="str">
        <f>CS_PID!J528/VLOOKUP($B528,표2[#ALL],2)/HLOOKUP($A528,표1[#ALL],row(),false)</f>
        <v>#N/A</v>
      </c>
      <c r="K528" s="372" t="str">
        <f>CS_PID!K528/VLOOKUP($B528,표2[#ALL],2)/HLOOKUP($A528,표1[#ALL],row(),false)</f>
        <v>#N/A</v>
      </c>
      <c r="L528" s="372" t="str">
        <f>CS_PID!L528/VLOOKUP($B528,표2[#ALL],2)/HLOOKUP($A528,표1[#ALL],row(),false)</f>
        <v>#N/A</v>
      </c>
      <c r="M528" s="372" t="str">
        <f>CS_PID!M528/VLOOKUP($B528,표2[#ALL],2)/HLOOKUP($A528,표1[#ALL],row(),false)</f>
        <v>#N/A</v>
      </c>
      <c r="N528" s="372" t="str">
        <f>CS_PID!N528/VLOOKUP($B528,표2[#ALL],2)/HLOOKUP($A528,표1[#ALL],row(),false)</f>
        <v>#N/A</v>
      </c>
      <c r="O528" s="372" t="str">
        <f>CS_PID!O528/VLOOKUP($B528,표2[#ALL],2)/HLOOKUP($A528,표1[#ALL],row(),false)</f>
        <v>#N/A</v>
      </c>
      <c r="P528" s="372" t="str">
        <f>CS_PID!P528/VLOOKUP($B528,표2[#ALL],2)/HLOOKUP($A528,표1[#ALL],row(),false)</f>
        <v>#N/A</v>
      </c>
      <c r="Q528" s="372" t="str">
        <f>CS_PID!Q528/VLOOKUP($B528,표2[#ALL],2)/HLOOKUP($A528,표1[#ALL],row(),false)</f>
        <v>#N/A</v>
      </c>
      <c r="R528" s="372" t="str">
        <f>CS_PID!R528/VLOOKUP($B528,표2[#ALL],2)/HLOOKUP($A528,표1[#ALL],row(),false)</f>
        <v>#N/A</v>
      </c>
      <c r="S528" s="372" t="str">
        <f>CS_PID!S528/VLOOKUP($B528,표2[#ALL],2)/HLOOKUP($A528,표1[#ALL],row(),false)</f>
        <v>#N/A</v>
      </c>
      <c r="T528" s="372" t="str">
        <f>CS_PID!T528/VLOOKUP($B528,표2[#ALL],2)/HLOOKUP($A528,표1[#ALL],row(),false)</f>
        <v>#N/A</v>
      </c>
      <c r="U528" s="372" t="str">
        <f>CS_PID!U528/VLOOKUP($B528,표2[#ALL],2)/HLOOKUP($A528,표1[#ALL],row(),false)</f>
        <v>#N/A</v>
      </c>
      <c r="V528" s="372" t="str">
        <f>CS_PID!V528/VLOOKUP($B528,표2[#ALL],2)/HLOOKUP($A528,표1[#ALL],row(),false)</f>
        <v>#N/A</v>
      </c>
      <c r="W528" s="372" t="str">
        <f>CS_PID!W528/VLOOKUP($B528,표2[#ALL],2)/HLOOKUP($A528,표1[#ALL],row(),false)</f>
        <v>#N/A</v>
      </c>
      <c r="X528" s="372" t="str">
        <f>CS_PID!X528/VLOOKUP($B528,표2[#ALL],2)/HLOOKUP($A528,표1[#ALL],row(),false)</f>
        <v>#N/A</v>
      </c>
      <c r="Y528" s="372" t="str">
        <f>CS_PID!Y528/VLOOKUP($B528,표2[#ALL],2)/HLOOKUP($A528,표1[#ALL],row(),false)</f>
        <v>#N/A</v>
      </c>
      <c r="Z528" s="372" t="str">
        <f>CS_PID!Z528/VLOOKUP($B528,표2[#ALL],2)/HLOOKUP($A528,표1[#ALL],row(),false)</f>
        <v>#N/A</v>
      </c>
      <c r="AA528" s="372" t="str">
        <f>CS_PID!AA528/VLOOKUP($B528,표2[#ALL],2)/HLOOKUP($A528,표1[#ALL],row(),false)</f>
        <v>#N/A</v>
      </c>
      <c r="AB528" s="372" t="str">
        <f>CS_PID!AB528/VLOOKUP($B528,표2[#ALL],2)/HLOOKUP($A528,표1[#ALL],row(),false)</f>
        <v>#N/A</v>
      </c>
      <c r="AC528" s="372" t="str">
        <f>CS_PID!AC528/VLOOKUP($B528,표2[#ALL],2)/HLOOKUP($A528,표1[#ALL],row(),false)</f>
        <v>#N/A</v>
      </c>
      <c r="AD528" s="372" t="str">
        <f>CS_PID!AD528/VLOOKUP($B528,표2[#ALL],2)/HLOOKUP($A528,표1[#ALL],row(),false)</f>
        <v>#N/A</v>
      </c>
      <c r="AE528" s="372" t="str">
        <f>CS_PID!AE528/VLOOKUP($B528,표2[#ALL],2)/HLOOKUP($A528,표1[#ALL],row(),false)</f>
        <v>#N/A</v>
      </c>
      <c r="AF528" s="372" t="str">
        <f>CS_PID!AF528/VLOOKUP($B528,표2[#ALL],2)/HLOOKUP($A528,표1[#ALL],row(),false)</f>
        <v>#N/A</v>
      </c>
      <c r="AG528" s="372" t="str">
        <f>CS_PID!AG528/VLOOKUP($B528,표2[#ALL],2)/HLOOKUP($A528,표1[#ALL],row(),false)</f>
        <v>#N/A</v>
      </c>
      <c r="AH528" s="372" t="str">
        <f>CS_PID!AH528/VLOOKUP($B528,표2[#ALL],2)/HLOOKUP($A528,표1[#ALL],row(),false)</f>
        <v>#N/A</v>
      </c>
      <c r="AI528" s="372" t="str">
        <f>CS_PID!AI528/VLOOKUP($B528,표2[#ALL],2)/HLOOKUP($A528,표1[#ALL],row(),false)</f>
        <v>#N/A</v>
      </c>
      <c r="AJ528" s="372" t="str">
        <f>CS_PID!AJ528/VLOOKUP($B528,표2[#ALL],2)/HLOOKUP($A528,표1[#ALL],row(),false)</f>
        <v>#N/A</v>
      </c>
      <c r="AK528" s="372" t="str">
        <f>CS_PID!AK528/VLOOKUP($B528,표2[#ALL],2)/HLOOKUP($A528,표1[#ALL],row(),false)</f>
        <v>#N/A</v>
      </c>
      <c r="AL528" s="372" t="str">
        <f>CS_PID!AL528/VLOOKUP($B528,표2[#ALL],2)/HLOOKUP($A528,표1[#ALL],row(),false)</f>
        <v>#N/A</v>
      </c>
      <c r="AM528" s="372" t="str">
        <f>CS_PID!AM528/VLOOKUP($B528,표2[#ALL],2)/HLOOKUP($A528,표1[#ALL],row(),false)</f>
        <v>#N/A</v>
      </c>
      <c r="AN528" s="372" t="str">
        <f>CS_PID!AN528/VLOOKUP($B528,표2[#ALL],2)/HLOOKUP($A528,표1[#ALL],row(),false)</f>
        <v>#N/A</v>
      </c>
      <c r="AO528" s="372" t="str">
        <f>CS_PID!AO528/VLOOKUP($B528,표2[#ALL],2)/HLOOKUP($A528,표1[#ALL],row(),false)</f>
        <v>#N/A</v>
      </c>
      <c r="AP528" s="372" t="str">
        <f>CS_PID!AP528/VLOOKUP($B528,표2[#ALL],2)/HLOOKUP($A528,표1[#ALL],row(),false)</f>
        <v>#N/A</v>
      </c>
      <c r="AQ528" s="372" t="str">
        <f>CS_PID!AQ528/VLOOKUP($B528,표2[#ALL],2)/HLOOKUP($A528,표1[#ALL],row(),false)</f>
        <v>#N/A</v>
      </c>
      <c r="AR528" s="372" t="str">
        <f>CS_PID!AR528/VLOOKUP($B528,표2[#ALL],2)/HLOOKUP($A528,표1[#ALL],row(),false)</f>
        <v>#N/A</v>
      </c>
      <c r="AS528" s="373" t="str">
        <f>CS_PID!AS528/VLOOKUP($B528,표2[#ALL],2)/HLOOKUP($A528,표1[#ALL],row(),false)</f>
        <v>#N/A</v>
      </c>
    </row>
    <row r="529">
      <c r="A529" s="374"/>
      <c r="B529" s="375"/>
      <c r="C529" s="376" t="str">
        <f>CS_PID!C529/VLOOKUP($B529,표2[#ALL],2)</f>
        <v>#N/A</v>
      </c>
      <c r="D529" s="376" t="str">
        <f>CS_PID!D529/VLOOKUP($B529,표2[#ALL],2)</f>
        <v>#N/A</v>
      </c>
      <c r="E529" s="376" t="str">
        <f>CS_PID!E529/VLOOKUP($B529,표2[#ALL],2)</f>
        <v>#N/A</v>
      </c>
      <c r="F529" s="376" t="str">
        <f>CS_PID!F529/VLOOKUP($B529,표2[#ALL],2)</f>
        <v>#N/A</v>
      </c>
      <c r="G529" s="376" t="str">
        <f>CS_PID!G529/VLOOKUP($B529,표2[#ALL],2)</f>
        <v>#N/A</v>
      </c>
      <c r="H529" s="376" t="str">
        <f>CS_PID!H529/VLOOKUP($B529,표2[#ALL],2)/HLOOKUP($A529,표1[#ALL],row(),false)</f>
        <v>#N/A</v>
      </c>
      <c r="I529" s="376" t="str">
        <f>CS_PID!I529/VLOOKUP($B529,표2[#ALL],2)/HLOOKUP($A529,표1[#ALL],row(),false)</f>
        <v>#N/A</v>
      </c>
      <c r="J529" s="376" t="str">
        <f>CS_PID!J529/VLOOKUP($B529,표2[#ALL],2)/HLOOKUP($A529,표1[#ALL],row(),false)</f>
        <v>#N/A</v>
      </c>
      <c r="K529" s="376" t="str">
        <f>CS_PID!K529/VLOOKUP($B529,표2[#ALL],2)/HLOOKUP($A529,표1[#ALL],row(),false)</f>
        <v>#N/A</v>
      </c>
      <c r="L529" s="376" t="str">
        <f>CS_PID!L529/VLOOKUP($B529,표2[#ALL],2)/HLOOKUP($A529,표1[#ALL],row(),false)</f>
        <v>#N/A</v>
      </c>
      <c r="M529" s="376" t="str">
        <f>CS_PID!M529/VLOOKUP($B529,표2[#ALL],2)/HLOOKUP($A529,표1[#ALL],row(),false)</f>
        <v>#N/A</v>
      </c>
      <c r="N529" s="376" t="str">
        <f>CS_PID!N529/VLOOKUP($B529,표2[#ALL],2)/HLOOKUP($A529,표1[#ALL],row(),false)</f>
        <v>#N/A</v>
      </c>
      <c r="O529" s="376" t="str">
        <f>CS_PID!O529/VLOOKUP($B529,표2[#ALL],2)/HLOOKUP($A529,표1[#ALL],row(),false)</f>
        <v>#N/A</v>
      </c>
      <c r="P529" s="376" t="str">
        <f>CS_PID!P529/VLOOKUP($B529,표2[#ALL],2)/HLOOKUP($A529,표1[#ALL],row(),false)</f>
        <v>#N/A</v>
      </c>
      <c r="Q529" s="376" t="str">
        <f>CS_PID!Q529/VLOOKUP($B529,표2[#ALL],2)/HLOOKUP($A529,표1[#ALL],row(),false)</f>
        <v>#N/A</v>
      </c>
      <c r="R529" s="376" t="str">
        <f>CS_PID!R529/VLOOKUP($B529,표2[#ALL],2)/HLOOKUP($A529,표1[#ALL],row(),false)</f>
        <v>#N/A</v>
      </c>
      <c r="S529" s="376" t="str">
        <f>CS_PID!S529/VLOOKUP($B529,표2[#ALL],2)/HLOOKUP($A529,표1[#ALL],row(),false)</f>
        <v>#N/A</v>
      </c>
      <c r="T529" s="376" t="str">
        <f>CS_PID!T529/VLOOKUP($B529,표2[#ALL],2)/HLOOKUP($A529,표1[#ALL],row(),false)</f>
        <v>#N/A</v>
      </c>
      <c r="U529" s="376" t="str">
        <f>CS_PID!U529/VLOOKUP($B529,표2[#ALL],2)/HLOOKUP($A529,표1[#ALL],row(),false)</f>
        <v>#N/A</v>
      </c>
      <c r="V529" s="376" t="str">
        <f>CS_PID!V529/VLOOKUP($B529,표2[#ALL],2)/HLOOKUP($A529,표1[#ALL],row(),false)</f>
        <v>#N/A</v>
      </c>
      <c r="W529" s="376" t="str">
        <f>CS_PID!W529/VLOOKUP($B529,표2[#ALL],2)/HLOOKUP($A529,표1[#ALL],row(),false)</f>
        <v>#N/A</v>
      </c>
      <c r="X529" s="376" t="str">
        <f>CS_PID!X529/VLOOKUP($B529,표2[#ALL],2)/HLOOKUP($A529,표1[#ALL],row(),false)</f>
        <v>#N/A</v>
      </c>
      <c r="Y529" s="376" t="str">
        <f>CS_PID!Y529/VLOOKUP($B529,표2[#ALL],2)/HLOOKUP($A529,표1[#ALL],row(),false)</f>
        <v>#N/A</v>
      </c>
      <c r="Z529" s="376" t="str">
        <f>CS_PID!Z529/VLOOKUP($B529,표2[#ALL],2)/HLOOKUP($A529,표1[#ALL],row(),false)</f>
        <v>#N/A</v>
      </c>
      <c r="AA529" s="376" t="str">
        <f>CS_PID!AA529/VLOOKUP($B529,표2[#ALL],2)/HLOOKUP($A529,표1[#ALL],row(),false)</f>
        <v>#N/A</v>
      </c>
      <c r="AB529" s="376" t="str">
        <f>CS_PID!AB529/VLOOKUP($B529,표2[#ALL],2)/HLOOKUP($A529,표1[#ALL],row(),false)</f>
        <v>#N/A</v>
      </c>
      <c r="AC529" s="376" t="str">
        <f>CS_PID!AC529/VLOOKUP($B529,표2[#ALL],2)/HLOOKUP($A529,표1[#ALL],row(),false)</f>
        <v>#N/A</v>
      </c>
      <c r="AD529" s="376" t="str">
        <f>CS_PID!AD529/VLOOKUP($B529,표2[#ALL],2)/HLOOKUP($A529,표1[#ALL],row(),false)</f>
        <v>#N/A</v>
      </c>
      <c r="AE529" s="376" t="str">
        <f>CS_PID!AE529/VLOOKUP($B529,표2[#ALL],2)/HLOOKUP($A529,표1[#ALL],row(),false)</f>
        <v>#N/A</v>
      </c>
      <c r="AF529" s="376" t="str">
        <f>CS_PID!AF529/VLOOKUP($B529,표2[#ALL],2)/HLOOKUP($A529,표1[#ALL],row(),false)</f>
        <v>#N/A</v>
      </c>
      <c r="AG529" s="376" t="str">
        <f>CS_PID!AG529/VLOOKUP($B529,표2[#ALL],2)/HLOOKUP($A529,표1[#ALL],row(),false)</f>
        <v>#N/A</v>
      </c>
      <c r="AH529" s="376" t="str">
        <f>CS_PID!AH529/VLOOKUP($B529,표2[#ALL],2)/HLOOKUP($A529,표1[#ALL],row(),false)</f>
        <v>#N/A</v>
      </c>
      <c r="AI529" s="376" t="str">
        <f>CS_PID!AI529/VLOOKUP($B529,표2[#ALL],2)/HLOOKUP($A529,표1[#ALL],row(),false)</f>
        <v>#N/A</v>
      </c>
      <c r="AJ529" s="376" t="str">
        <f>CS_PID!AJ529/VLOOKUP($B529,표2[#ALL],2)/HLOOKUP($A529,표1[#ALL],row(),false)</f>
        <v>#N/A</v>
      </c>
      <c r="AK529" s="376" t="str">
        <f>CS_PID!AK529/VLOOKUP($B529,표2[#ALL],2)/HLOOKUP($A529,표1[#ALL],row(),false)</f>
        <v>#N/A</v>
      </c>
      <c r="AL529" s="376" t="str">
        <f>CS_PID!AL529/VLOOKUP($B529,표2[#ALL],2)/HLOOKUP($A529,표1[#ALL],row(),false)</f>
        <v>#N/A</v>
      </c>
      <c r="AM529" s="376" t="str">
        <f>CS_PID!AM529/VLOOKUP($B529,표2[#ALL],2)/HLOOKUP($A529,표1[#ALL],row(),false)</f>
        <v>#N/A</v>
      </c>
      <c r="AN529" s="376" t="str">
        <f>CS_PID!AN529/VLOOKUP($B529,표2[#ALL],2)/HLOOKUP($A529,표1[#ALL],row(),false)</f>
        <v>#N/A</v>
      </c>
      <c r="AO529" s="376" t="str">
        <f>CS_PID!AO529/VLOOKUP($B529,표2[#ALL],2)/HLOOKUP($A529,표1[#ALL],row(),false)</f>
        <v>#N/A</v>
      </c>
      <c r="AP529" s="376" t="str">
        <f>CS_PID!AP529/VLOOKUP($B529,표2[#ALL],2)/HLOOKUP($A529,표1[#ALL],row(),false)</f>
        <v>#N/A</v>
      </c>
      <c r="AQ529" s="376" t="str">
        <f>CS_PID!AQ529/VLOOKUP($B529,표2[#ALL],2)/HLOOKUP($A529,표1[#ALL],row(),false)</f>
        <v>#N/A</v>
      </c>
      <c r="AR529" s="376" t="str">
        <f>CS_PID!AR529/VLOOKUP($B529,표2[#ALL],2)/HLOOKUP($A529,표1[#ALL],row(),false)</f>
        <v>#N/A</v>
      </c>
      <c r="AS529" s="377" t="str">
        <f>CS_PID!AS529/VLOOKUP($B529,표2[#ALL],2)/HLOOKUP($A529,표1[#ALL],row(),false)</f>
        <v>#N/A</v>
      </c>
    </row>
    <row r="530">
      <c r="A530" s="370"/>
      <c r="B530" s="371"/>
      <c r="C530" s="372" t="str">
        <f>CS_PID!C530/VLOOKUP($B530,표2[#ALL],2)</f>
        <v>#N/A</v>
      </c>
      <c r="D530" s="372" t="str">
        <f>CS_PID!D530/VLOOKUP($B530,표2[#ALL],2)</f>
        <v>#N/A</v>
      </c>
      <c r="E530" s="372" t="str">
        <f>CS_PID!E530/VLOOKUP($B530,표2[#ALL],2)</f>
        <v>#N/A</v>
      </c>
      <c r="F530" s="372" t="str">
        <f>CS_PID!F530/VLOOKUP($B530,표2[#ALL],2)</f>
        <v>#N/A</v>
      </c>
      <c r="G530" s="372" t="str">
        <f>CS_PID!G530/VLOOKUP($B530,표2[#ALL],2)</f>
        <v>#N/A</v>
      </c>
      <c r="H530" s="372" t="str">
        <f>CS_PID!H530/VLOOKUP($B530,표2[#ALL],2)/HLOOKUP($A530,표1[#ALL],row(),false)</f>
        <v>#N/A</v>
      </c>
      <c r="I530" s="372" t="str">
        <f>CS_PID!I530/VLOOKUP($B530,표2[#ALL],2)/HLOOKUP($A530,표1[#ALL],row(),false)</f>
        <v>#N/A</v>
      </c>
      <c r="J530" s="372" t="str">
        <f>CS_PID!J530/VLOOKUP($B530,표2[#ALL],2)/HLOOKUP($A530,표1[#ALL],row(),false)</f>
        <v>#N/A</v>
      </c>
      <c r="K530" s="372" t="str">
        <f>CS_PID!K530/VLOOKUP($B530,표2[#ALL],2)/HLOOKUP($A530,표1[#ALL],row(),false)</f>
        <v>#N/A</v>
      </c>
      <c r="L530" s="372" t="str">
        <f>CS_PID!L530/VLOOKUP($B530,표2[#ALL],2)/HLOOKUP($A530,표1[#ALL],row(),false)</f>
        <v>#N/A</v>
      </c>
      <c r="M530" s="372" t="str">
        <f>CS_PID!M530/VLOOKUP($B530,표2[#ALL],2)/HLOOKUP($A530,표1[#ALL],row(),false)</f>
        <v>#N/A</v>
      </c>
      <c r="N530" s="372" t="str">
        <f>CS_PID!N530/VLOOKUP($B530,표2[#ALL],2)/HLOOKUP($A530,표1[#ALL],row(),false)</f>
        <v>#N/A</v>
      </c>
      <c r="O530" s="372" t="str">
        <f>CS_PID!O530/VLOOKUP($B530,표2[#ALL],2)/HLOOKUP($A530,표1[#ALL],row(),false)</f>
        <v>#N/A</v>
      </c>
      <c r="P530" s="372" t="str">
        <f>CS_PID!P530/VLOOKUP($B530,표2[#ALL],2)/HLOOKUP($A530,표1[#ALL],row(),false)</f>
        <v>#N/A</v>
      </c>
      <c r="Q530" s="372" t="str">
        <f>CS_PID!Q530/VLOOKUP($B530,표2[#ALL],2)/HLOOKUP($A530,표1[#ALL],row(),false)</f>
        <v>#N/A</v>
      </c>
      <c r="R530" s="372" t="str">
        <f>CS_PID!R530/VLOOKUP($B530,표2[#ALL],2)/HLOOKUP($A530,표1[#ALL],row(),false)</f>
        <v>#N/A</v>
      </c>
      <c r="S530" s="372" t="str">
        <f>CS_PID!S530/VLOOKUP($B530,표2[#ALL],2)/HLOOKUP($A530,표1[#ALL],row(),false)</f>
        <v>#N/A</v>
      </c>
      <c r="T530" s="372" t="str">
        <f>CS_PID!T530/VLOOKUP($B530,표2[#ALL],2)/HLOOKUP($A530,표1[#ALL],row(),false)</f>
        <v>#N/A</v>
      </c>
      <c r="U530" s="372" t="str">
        <f>CS_PID!U530/VLOOKUP($B530,표2[#ALL],2)/HLOOKUP($A530,표1[#ALL],row(),false)</f>
        <v>#N/A</v>
      </c>
      <c r="V530" s="372" t="str">
        <f>CS_PID!V530/VLOOKUP($B530,표2[#ALL],2)/HLOOKUP($A530,표1[#ALL],row(),false)</f>
        <v>#N/A</v>
      </c>
      <c r="W530" s="372" t="str">
        <f>CS_PID!W530/VLOOKUP($B530,표2[#ALL],2)/HLOOKUP($A530,표1[#ALL],row(),false)</f>
        <v>#N/A</v>
      </c>
      <c r="X530" s="372" t="str">
        <f>CS_PID!X530/VLOOKUP($B530,표2[#ALL],2)/HLOOKUP($A530,표1[#ALL],row(),false)</f>
        <v>#N/A</v>
      </c>
      <c r="Y530" s="372" t="str">
        <f>CS_PID!Y530/VLOOKUP($B530,표2[#ALL],2)/HLOOKUP($A530,표1[#ALL],row(),false)</f>
        <v>#N/A</v>
      </c>
      <c r="Z530" s="372" t="str">
        <f>CS_PID!Z530/VLOOKUP($B530,표2[#ALL],2)/HLOOKUP($A530,표1[#ALL],row(),false)</f>
        <v>#N/A</v>
      </c>
      <c r="AA530" s="372" t="str">
        <f>CS_PID!AA530/VLOOKUP($B530,표2[#ALL],2)/HLOOKUP($A530,표1[#ALL],row(),false)</f>
        <v>#N/A</v>
      </c>
      <c r="AB530" s="372" t="str">
        <f>CS_PID!AB530/VLOOKUP($B530,표2[#ALL],2)/HLOOKUP($A530,표1[#ALL],row(),false)</f>
        <v>#N/A</v>
      </c>
      <c r="AC530" s="372" t="str">
        <f>CS_PID!AC530/VLOOKUP($B530,표2[#ALL],2)/HLOOKUP($A530,표1[#ALL],row(),false)</f>
        <v>#N/A</v>
      </c>
      <c r="AD530" s="372" t="str">
        <f>CS_PID!AD530/VLOOKUP($B530,표2[#ALL],2)/HLOOKUP($A530,표1[#ALL],row(),false)</f>
        <v>#N/A</v>
      </c>
      <c r="AE530" s="372" t="str">
        <f>CS_PID!AE530/VLOOKUP($B530,표2[#ALL],2)/HLOOKUP($A530,표1[#ALL],row(),false)</f>
        <v>#N/A</v>
      </c>
      <c r="AF530" s="372" t="str">
        <f>CS_PID!AF530/VLOOKUP($B530,표2[#ALL],2)/HLOOKUP($A530,표1[#ALL],row(),false)</f>
        <v>#N/A</v>
      </c>
      <c r="AG530" s="372" t="str">
        <f>CS_PID!AG530/VLOOKUP($B530,표2[#ALL],2)/HLOOKUP($A530,표1[#ALL],row(),false)</f>
        <v>#N/A</v>
      </c>
      <c r="AH530" s="372" t="str">
        <f>CS_PID!AH530/VLOOKUP($B530,표2[#ALL],2)/HLOOKUP($A530,표1[#ALL],row(),false)</f>
        <v>#N/A</v>
      </c>
      <c r="AI530" s="372" t="str">
        <f>CS_PID!AI530/VLOOKUP($B530,표2[#ALL],2)/HLOOKUP($A530,표1[#ALL],row(),false)</f>
        <v>#N/A</v>
      </c>
      <c r="AJ530" s="372" t="str">
        <f>CS_PID!AJ530/VLOOKUP($B530,표2[#ALL],2)/HLOOKUP($A530,표1[#ALL],row(),false)</f>
        <v>#N/A</v>
      </c>
      <c r="AK530" s="372" t="str">
        <f>CS_PID!AK530/VLOOKUP($B530,표2[#ALL],2)/HLOOKUP($A530,표1[#ALL],row(),false)</f>
        <v>#N/A</v>
      </c>
      <c r="AL530" s="372" t="str">
        <f>CS_PID!AL530/VLOOKUP($B530,표2[#ALL],2)/HLOOKUP($A530,표1[#ALL],row(),false)</f>
        <v>#N/A</v>
      </c>
      <c r="AM530" s="372" t="str">
        <f>CS_PID!AM530/VLOOKUP($B530,표2[#ALL],2)/HLOOKUP($A530,표1[#ALL],row(),false)</f>
        <v>#N/A</v>
      </c>
      <c r="AN530" s="372" t="str">
        <f>CS_PID!AN530/VLOOKUP($B530,표2[#ALL],2)/HLOOKUP($A530,표1[#ALL],row(),false)</f>
        <v>#N/A</v>
      </c>
      <c r="AO530" s="372" t="str">
        <f>CS_PID!AO530/VLOOKUP($B530,표2[#ALL],2)/HLOOKUP($A530,표1[#ALL],row(),false)</f>
        <v>#N/A</v>
      </c>
      <c r="AP530" s="372" t="str">
        <f>CS_PID!AP530/VLOOKUP($B530,표2[#ALL],2)/HLOOKUP($A530,표1[#ALL],row(),false)</f>
        <v>#N/A</v>
      </c>
      <c r="AQ530" s="372" t="str">
        <f>CS_PID!AQ530/VLOOKUP($B530,표2[#ALL],2)/HLOOKUP($A530,표1[#ALL],row(),false)</f>
        <v>#N/A</v>
      </c>
      <c r="AR530" s="372" t="str">
        <f>CS_PID!AR530/VLOOKUP($B530,표2[#ALL],2)/HLOOKUP($A530,표1[#ALL],row(),false)</f>
        <v>#N/A</v>
      </c>
      <c r="AS530" s="373" t="str">
        <f>CS_PID!AS530/VLOOKUP($B530,표2[#ALL],2)/HLOOKUP($A530,표1[#ALL],row(),false)</f>
        <v>#N/A</v>
      </c>
    </row>
    <row r="531">
      <c r="A531" s="374"/>
      <c r="B531" s="375"/>
      <c r="C531" s="376" t="str">
        <f>CS_PID!C531/VLOOKUP($B531,표2[#ALL],2)</f>
        <v>#N/A</v>
      </c>
      <c r="D531" s="376" t="str">
        <f>CS_PID!D531/VLOOKUP($B531,표2[#ALL],2)</f>
        <v>#N/A</v>
      </c>
      <c r="E531" s="376" t="str">
        <f>CS_PID!E531/VLOOKUP($B531,표2[#ALL],2)</f>
        <v>#N/A</v>
      </c>
      <c r="F531" s="376" t="str">
        <f>CS_PID!F531/VLOOKUP($B531,표2[#ALL],2)</f>
        <v>#N/A</v>
      </c>
      <c r="G531" s="376" t="str">
        <f>CS_PID!G531/VLOOKUP($B531,표2[#ALL],2)</f>
        <v>#N/A</v>
      </c>
      <c r="H531" s="376" t="str">
        <f>CS_PID!H531/VLOOKUP($B531,표2[#ALL],2)/HLOOKUP($A531,표1[#ALL],row(),false)</f>
        <v>#N/A</v>
      </c>
      <c r="I531" s="376" t="str">
        <f>CS_PID!I531/VLOOKUP($B531,표2[#ALL],2)/HLOOKUP($A531,표1[#ALL],row(),false)</f>
        <v>#N/A</v>
      </c>
      <c r="J531" s="376" t="str">
        <f>CS_PID!J531/VLOOKUP($B531,표2[#ALL],2)/HLOOKUP($A531,표1[#ALL],row(),false)</f>
        <v>#N/A</v>
      </c>
      <c r="K531" s="376" t="str">
        <f>CS_PID!K531/VLOOKUP($B531,표2[#ALL],2)/HLOOKUP($A531,표1[#ALL],row(),false)</f>
        <v>#N/A</v>
      </c>
      <c r="L531" s="376" t="str">
        <f>CS_PID!L531/VLOOKUP($B531,표2[#ALL],2)/HLOOKUP($A531,표1[#ALL],row(),false)</f>
        <v>#N/A</v>
      </c>
      <c r="M531" s="376" t="str">
        <f>CS_PID!M531/VLOOKUP($B531,표2[#ALL],2)/HLOOKUP($A531,표1[#ALL],row(),false)</f>
        <v>#N/A</v>
      </c>
      <c r="N531" s="376" t="str">
        <f>CS_PID!N531/VLOOKUP($B531,표2[#ALL],2)/HLOOKUP($A531,표1[#ALL],row(),false)</f>
        <v>#N/A</v>
      </c>
      <c r="O531" s="376" t="str">
        <f>CS_PID!O531/VLOOKUP($B531,표2[#ALL],2)/HLOOKUP($A531,표1[#ALL],row(),false)</f>
        <v>#N/A</v>
      </c>
      <c r="P531" s="376" t="str">
        <f>CS_PID!P531/VLOOKUP($B531,표2[#ALL],2)/HLOOKUP($A531,표1[#ALL],row(),false)</f>
        <v>#N/A</v>
      </c>
      <c r="Q531" s="376" t="str">
        <f>CS_PID!Q531/VLOOKUP($B531,표2[#ALL],2)/HLOOKUP($A531,표1[#ALL],row(),false)</f>
        <v>#N/A</v>
      </c>
      <c r="R531" s="376" t="str">
        <f>CS_PID!R531/VLOOKUP($B531,표2[#ALL],2)/HLOOKUP($A531,표1[#ALL],row(),false)</f>
        <v>#N/A</v>
      </c>
      <c r="S531" s="376" t="str">
        <f>CS_PID!S531/VLOOKUP($B531,표2[#ALL],2)/HLOOKUP($A531,표1[#ALL],row(),false)</f>
        <v>#N/A</v>
      </c>
      <c r="T531" s="376" t="str">
        <f>CS_PID!T531/VLOOKUP($B531,표2[#ALL],2)/HLOOKUP($A531,표1[#ALL],row(),false)</f>
        <v>#N/A</v>
      </c>
      <c r="U531" s="376" t="str">
        <f>CS_PID!U531/VLOOKUP($B531,표2[#ALL],2)/HLOOKUP($A531,표1[#ALL],row(),false)</f>
        <v>#N/A</v>
      </c>
      <c r="V531" s="376" t="str">
        <f>CS_PID!V531/VLOOKUP($B531,표2[#ALL],2)/HLOOKUP($A531,표1[#ALL],row(),false)</f>
        <v>#N/A</v>
      </c>
      <c r="W531" s="376" t="str">
        <f>CS_PID!W531/VLOOKUP($B531,표2[#ALL],2)/HLOOKUP($A531,표1[#ALL],row(),false)</f>
        <v>#N/A</v>
      </c>
      <c r="X531" s="376" t="str">
        <f>CS_PID!X531/VLOOKUP($B531,표2[#ALL],2)/HLOOKUP($A531,표1[#ALL],row(),false)</f>
        <v>#N/A</v>
      </c>
      <c r="Y531" s="376" t="str">
        <f>CS_PID!Y531/VLOOKUP($B531,표2[#ALL],2)/HLOOKUP($A531,표1[#ALL],row(),false)</f>
        <v>#N/A</v>
      </c>
      <c r="Z531" s="376" t="str">
        <f>CS_PID!Z531/VLOOKUP($B531,표2[#ALL],2)/HLOOKUP($A531,표1[#ALL],row(),false)</f>
        <v>#N/A</v>
      </c>
      <c r="AA531" s="376" t="str">
        <f>CS_PID!AA531/VLOOKUP($B531,표2[#ALL],2)/HLOOKUP($A531,표1[#ALL],row(),false)</f>
        <v>#N/A</v>
      </c>
      <c r="AB531" s="376" t="str">
        <f>CS_PID!AB531/VLOOKUP($B531,표2[#ALL],2)/HLOOKUP($A531,표1[#ALL],row(),false)</f>
        <v>#N/A</v>
      </c>
      <c r="AC531" s="376" t="str">
        <f>CS_PID!AC531/VLOOKUP($B531,표2[#ALL],2)/HLOOKUP($A531,표1[#ALL],row(),false)</f>
        <v>#N/A</v>
      </c>
      <c r="AD531" s="376" t="str">
        <f>CS_PID!AD531/VLOOKUP($B531,표2[#ALL],2)/HLOOKUP($A531,표1[#ALL],row(),false)</f>
        <v>#N/A</v>
      </c>
      <c r="AE531" s="376" t="str">
        <f>CS_PID!AE531/VLOOKUP($B531,표2[#ALL],2)/HLOOKUP($A531,표1[#ALL],row(),false)</f>
        <v>#N/A</v>
      </c>
      <c r="AF531" s="376" t="str">
        <f>CS_PID!AF531/VLOOKUP($B531,표2[#ALL],2)/HLOOKUP($A531,표1[#ALL],row(),false)</f>
        <v>#N/A</v>
      </c>
      <c r="AG531" s="376" t="str">
        <f>CS_PID!AG531/VLOOKUP($B531,표2[#ALL],2)/HLOOKUP($A531,표1[#ALL],row(),false)</f>
        <v>#N/A</v>
      </c>
      <c r="AH531" s="376" t="str">
        <f>CS_PID!AH531/VLOOKUP($B531,표2[#ALL],2)/HLOOKUP($A531,표1[#ALL],row(),false)</f>
        <v>#N/A</v>
      </c>
      <c r="AI531" s="376" t="str">
        <f>CS_PID!AI531/VLOOKUP($B531,표2[#ALL],2)/HLOOKUP($A531,표1[#ALL],row(),false)</f>
        <v>#N/A</v>
      </c>
      <c r="AJ531" s="376" t="str">
        <f>CS_PID!AJ531/VLOOKUP($B531,표2[#ALL],2)/HLOOKUP($A531,표1[#ALL],row(),false)</f>
        <v>#N/A</v>
      </c>
      <c r="AK531" s="376" t="str">
        <f>CS_PID!AK531/VLOOKUP($B531,표2[#ALL],2)/HLOOKUP($A531,표1[#ALL],row(),false)</f>
        <v>#N/A</v>
      </c>
      <c r="AL531" s="376" t="str">
        <f>CS_PID!AL531/VLOOKUP($B531,표2[#ALL],2)/HLOOKUP($A531,표1[#ALL],row(),false)</f>
        <v>#N/A</v>
      </c>
      <c r="AM531" s="376" t="str">
        <f>CS_PID!AM531/VLOOKUP($B531,표2[#ALL],2)/HLOOKUP($A531,표1[#ALL],row(),false)</f>
        <v>#N/A</v>
      </c>
      <c r="AN531" s="376" t="str">
        <f>CS_PID!AN531/VLOOKUP($B531,표2[#ALL],2)/HLOOKUP($A531,표1[#ALL],row(),false)</f>
        <v>#N/A</v>
      </c>
      <c r="AO531" s="376" t="str">
        <f>CS_PID!AO531/VLOOKUP($B531,표2[#ALL],2)/HLOOKUP($A531,표1[#ALL],row(),false)</f>
        <v>#N/A</v>
      </c>
      <c r="AP531" s="376" t="str">
        <f>CS_PID!AP531/VLOOKUP($B531,표2[#ALL],2)/HLOOKUP($A531,표1[#ALL],row(),false)</f>
        <v>#N/A</v>
      </c>
      <c r="AQ531" s="376" t="str">
        <f>CS_PID!AQ531/VLOOKUP($B531,표2[#ALL],2)/HLOOKUP($A531,표1[#ALL],row(),false)</f>
        <v>#N/A</v>
      </c>
      <c r="AR531" s="376" t="str">
        <f>CS_PID!AR531/VLOOKUP($B531,표2[#ALL],2)/HLOOKUP($A531,표1[#ALL],row(),false)</f>
        <v>#N/A</v>
      </c>
      <c r="AS531" s="377" t="str">
        <f>CS_PID!AS531/VLOOKUP($B531,표2[#ALL],2)/HLOOKUP($A531,표1[#ALL],row(),false)</f>
        <v>#N/A</v>
      </c>
    </row>
    <row r="532">
      <c r="A532" s="370"/>
      <c r="B532" s="371"/>
      <c r="C532" s="372" t="str">
        <f>CS_PID!C532/VLOOKUP($B532,표2[#ALL],2)</f>
        <v>#N/A</v>
      </c>
      <c r="D532" s="372" t="str">
        <f>CS_PID!D532/VLOOKUP($B532,표2[#ALL],2)</f>
        <v>#N/A</v>
      </c>
      <c r="E532" s="372" t="str">
        <f>CS_PID!E532/VLOOKUP($B532,표2[#ALL],2)</f>
        <v>#N/A</v>
      </c>
      <c r="F532" s="372" t="str">
        <f>CS_PID!F532/VLOOKUP($B532,표2[#ALL],2)</f>
        <v>#N/A</v>
      </c>
      <c r="G532" s="372" t="str">
        <f>CS_PID!G532/VLOOKUP($B532,표2[#ALL],2)</f>
        <v>#N/A</v>
      </c>
      <c r="H532" s="372" t="str">
        <f>CS_PID!H532/VLOOKUP($B532,표2[#ALL],2)/HLOOKUP($A532,표1[#ALL],row(),false)</f>
        <v>#N/A</v>
      </c>
      <c r="I532" s="372" t="str">
        <f>CS_PID!I532/VLOOKUP($B532,표2[#ALL],2)/HLOOKUP($A532,표1[#ALL],row(),false)</f>
        <v>#N/A</v>
      </c>
      <c r="J532" s="372" t="str">
        <f>CS_PID!J532/VLOOKUP($B532,표2[#ALL],2)/HLOOKUP($A532,표1[#ALL],row(),false)</f>
        <v>#N/A</v>
      </c>
      <c r="K532" s="372" t="str">
        <f>CS_PID!K532/VLOOKUP($B532,표2[#ALL],2)/HLOOKUP($A532,표1[#ALL],row(),false)</f>
        <v>#N/A</v>
      </c>
      <c r="L532" s="372" t="str">
        <f>CS_PID!L532/VLOOKUP($B532,표2[#ALL],2)/HLOOKUP($A532,표1[#ALL],row(),false)</f>
        <v>#N/A</v>
      </c>
      <c r="M532" s="372" t="str">
        <f>CS_PID!M532/VLOOKUP($B532,표2[#ALL],2)/HLOOKUP($A532,표1[#ALL],row(),false)</f>
        <v>#N/A</v>
      </c>
      <c r="N532" s="372" t="str">
        <f>CS_PID!N532/VLOOKUP($B532,표2[#ALL],2)/HLOOKUP($A532,표1[#ALL],row(),false)</f>
        <v>#N/A</v>
      </c>
      <c r="O532" s="372" t="str">
        <f>CS_PID!O532/VLOOKUP($B532,표2[#ALL],2)/HLOOKUP($A532,표1[#ALL],row(),false)</f>
        <v>#N/A</v>
      </c>
      <c r="P532" s="372" t="str">
        <f>CS_PID!P532/VLOOKUP($B532,표2[#ALL],2)/HLOOKUP($A532,표1[#ALL],row(),false)</f>
        <v>#N/A</v>
      </c>
      <c r="Q532" s="372" t="str">
        <f>CS_PID!Q532/VLOOKUP($B532,표2[#ALL],2)/HLOOKUP($A532,표1[#ALL],row(),false)</f>
        <v>#N/A</v>
      </c>
      <c r="R532" s="372" t="str">
        <f>CS_PID!R532/VLOOKUP($B532,표2[#ALL],2)/HLOOKUP($A532,표1[#ALL],row(),false)</f>
        <v>#N/A</v>
      </c>
      <c r="S532" s="372" t="str">
        <f>CS_PID!S532/VLOOKUP($B532,표2[#ALL],2)/HLOOKUP($A532,표1[#ALL],row(),false)</f>
        <v>#N/A</v>
      </c>
      <c r="T532" s="372" t="str">
        <f>CS_PID!T532/VLOOKUP($B532,표2[#ALL],2)/HLOOKUP($A532,표1[#ALL],row(),false)</f>
        <v>#N/A</v>
      </c>
      <c r="U532" s="372" t="str">
        <f>CS_PID!U532/VLOOKUP($B532,표2[#ALL],2)/HLOOKUP($A532,표1[#ALL],row(),false)</f>
        <v>#N/A</v>
      </c>
      <c r="V532" s="372" t="str">
        <f>CS_PID!V532/VLOOKUP($B532,표2[#ALL],2)/HLOOKUP($A532,표1[#ALL],row(),false)</f>
        <v>#N/A</v>
      </c>
      <c r="W532" s="372" t="str">
        <f>CS_PID!W532/VLOOKUP($B532,표2[#ALL],2)/HLOOKUP($A532,표1[#ALL],row(),false)</f>
        <v>#N/A</v>
      </c>
      <c r="X532" s="372" t="str">
        <f>CS_PID!X532/VLOOKUP($B532,표2[#ALL],2)/HLOOKUP($A532,표1[#ALL],row(),false)</f>
        <v>#N/A</v>
      </c>
      <c r="Y532" s="372" t="str">
        <f>CS_PID!Y532/VLOOKUP($B532,표2[#ALL],2)/HLOOKUP($A532,표1[#ALL],row(),false)</f>
        <v>#N/A</v>
      </c>
      <c r="Z532" s="372" t="str">
        <f>CS_PID!Z532/VLOOKUP($B532,표2[#ALL],2)/HLOOKUP($A532,표1[#ALL],row(),false)</f>
        <v>#N/A</v>
      </c>
      <c r="AA532" s="372" t="str">
        <f>CS_PID!AA532/VLOOKUP($B532,표2[#ALL],2)/HLOOKUP($A532,표1[#ALL],row(),false)</f>
        <v>#N/A</v>
      </c>
      <c r="AB532" s="372" t="str">
        <f>CS_PID!AB532/VLOOKUP($B532,표2[#ALL],2)/HLOOKUP($A532,표1[#ALL],row(),false)</f>
        <v>#N/A</v>
      </c>
      <c r="AC532" s="372" t="str">
        <f>CS_PID!AC532/VLOOKUP($B532,표2[#ALL],2)/HLOOKUP($A532,표1[#ALL],row(),false)</f>
        <v>#N/A</v>
      </c>
      <c r="AD532" s="372" t="str">
        <f>CS_PID!AD532/VLOOKUP($B532,표2[#ALL],2)/HLOOKUP($A532,표1[#ALL],row(),false)</f>
        <v>#N/A</v>
      </c>
      <c r="AE532" s="372" t="str">
        <f>CS_PID!AE532/VLOOKUP($B532,표2[#ALL],2)/HLOOKUP($A532,표1[#ALL],row(),false)</f>
        <v>#N/A</v>
      </c>
      <c r="AF532" s="372" t="str">
        <f>CS_PID!AF532/VLOOKUP($B532,표2[#ALL],2)/HLOOKUP($A532,표1[#ALL],row(),false)</f>
        <v>#N/A</v>
      </c>
      <c r="AG532" s="372" t="str">
        <f>CS_PID!AG532/VLOOKUP($B532,표2[#ALL],2)/HLOOKUP($A532,표1[#ALL],row(),false)</f>
        <v>#N/A</v>
      </c>
      <c r="AH532" s="372" t="str">
        <f>CS_PID!AH532/VLOOKUP($B532,표2[#ALL],2)/HLOOKUP($A532,표1[#ALL],row(),false)</f>
        <v>#N/A</v>
      </c>
      <c r="AI532" s="372" t="str">
        <f>CS_PID!AI532/VLOOKUP($B532,표2[#ALL],2)/HLOOKUP($A532,표1[#ALL],row(),false)</f>
        <v>#N/A</v>
      </c>
      <c r="AJ532" s="372" t="str">
        <f>CS_PID!AJ532/VLOOKUP($B532,표2[#ALL],2)/HLOOKUP($A532,표1[#ALL],row(),false)</f>
        <v>#N/A</v>
      </c>
      <c r="AK532" s="372" t="str">
        <f>CS_PID!AK532/VLOOKUP($B532,표2[#ALL],2)/HLOOKUP($A532,표1[#ALL],row(),false)</f>
        <v>#N/A</v>
      </c>
      <c r="AL532" s="372" t="str">
        <f>CS_PID!AL532/VLOOKUP($B532,표2[#ALL],2)/HLOOKUP($A532,표1[#ALL],row(),false)</f>
        <v>#N/A</v>
      </c>
      <c r="AM532" s="372" t="str">
        <f>CS_PID!AM532/VLOOKUP($B532,표2[#ALL],2)/HLOOKUP($A532,표1[#ALL],row(),false)</f>
        <v>#N/A</v>
      </c>
      <c r="AN532" s="372" t="str">
        <f>CS_PID!AN532/VLOOKUP($B532,표2[#ALL],2)/HLOOKUP($A532,표1[#ALL],row(),false)</f>
        <v>#N/A</v>
      </c>
      <c r="AO532" s="372" t="str">
        <f>CS_PID!AO532/VLOOKUP($B532,표2[#ALL],2)/HLOOKUP($A532,표1[#ALL],row(),false)</f>
        <v>#N/A</v>
      </c>
      <c r="AP532" s="372" t="str">
        <f>CS_PID!AP532/VLOOKUP($B532,표2[#ALL],2)/HLOOKUP($A532,표1[#ALL],row(),false)</f>
        <v>#N/A</v>
      </c>
      <c r="AQ532" s="372" t="str">
        <f>CS_PID!AQ532/VLOOKUP($B532,표2[#ALL],2)/HLOOKUP($A532,표1[#ALL],row(),false)</f>
        <v>#N/A</v>
      </c>
      <c r="AR532" s="372" t="str">
        <f>CS_PID!AR532/VLOOKUP($B532,표2[#ALL],2)/HLOOKUP($A532,표1[#ALL],row(),false)</f>
        <v>#N/A</v>
      </c>
      <c r="AS532" s="373" t="str">
        <f>CS_PID!AS532/VLOOKUP($B532,표2[#ALL],2)/HLOOKUP($A532,표1[#ALL],row(),false)</f>
        <v>#N/A</v>
      </c>
    </row>
    <row r="533">
      <c r="A533" s="374"/>
      <c r="B533" s="375"/>
      <c r="C533" s="376" t="str">
        <f>CS_PID!C533/VLOOKUP($B533,표2[#ALL],2)</f>
        <v>#N/A</v>
      </c>
      <c r="D533" s="376" t="str">
        <f>CS_PID!D533/VLOOKUP($B533,표2[#ALL],2)</f>
        <v>#N/A</v>
      </c>
      <c r="E533" s="376" t="str">
        <f>CS_PID!E533/VLOOKUP($B533,표2[#ALL],2)</f>
        <v>#N/A</v>
      </c>
      <c r="F533" s="376" t="str">
        <f>CS_PID!F533/VLOOKUP($B533,표2[#ALL],2)</f>
        <v>#N/A</v>
      </c>
      <c r="G533" s="376" t="str">
        <f>CS_PID!G533/VLOOKUP($B533,표2[#ALL],2)</f>
        <v>#N/A</v>
      </c>
      <c r="H533" s="376" t="str">
        <f>CS_PID!H533/VLOOKUP($B533,표2[#ALL],2)/HLOOKUP($A533,표1[#ALL],row(),false)</f>
        <v>#N/A</v>
      </c>
      <c r="I533" s="376" t="str">
        <f>CS_PID!I533/VLOOKUP($B533,표2[#ALL],2)/HLOOKUP($A533,표1[#ALL],row(),false)</f>
        <v>#N/A</v>
      </c>
      <c r="J533" s="376" t="str">
        <f>CS_PID!J533/VLOOKUP($B533,표2[#ALL],2)/HLOOKUP($A533,표1[#ALL],row(),false)</f>
        <v>#N/A</v>
      </c>
      <c r="K533" s="376" t="str">
        <f>CS_PID!K533/VLOOKUP($B533,표2[#ALL],2)/HLOOKUP($A533,표1[#ALL],row(),false)</f>
        <v>#N/A</v>
      </c>
      <c r="L533" s="376" t="str">
        <f>CS_PID!L533/VLOOKUP($B533,표2[#ALL],2)/HLOOKUP($A533,표1[#ALL],row(),false)</f>
        <v>#N/A</v>
      </c>
      <c r="M533" s="376" t="str">
        <f>CS_PID!M533/VLOOKUP($B533,표2[#ALL],2)/HLOOKUP($A533,표1[#ALL],row(),false)</f>
        <v>#N/A</v>
      </c>
      <c r="N533" s="376" t="str">
        <f>CS_PID!N533/VLOOKUP($B533,표2[#ALL],2)/HLOOKUP($A533,표1[#ALL],row(),false)</f>
        <v>#N/A</v>
      </c>
      <c r="O533" s="376" t="str">
        <f>CS_PID!O533/VLOOKUP($B533,표2[#ALL],2)/HLOOKUP($A533,표1[#ALL],row(),false)</f>
        <v>#N/A</v>
      </c>
      <c r="P533" s="376" t="str">
        <f>CS_PID!P533/VLOOKUP($B533,표2[#ALL],2)/HLOOKUP($A533,표1[#ALL],row(),false)</f>
        <v>#N/A</v>
      </c>
      <c r="Q533" s="376" t="str">
        <f>CS_PID!Q533/VLOOKUP($B533,표2[#ALL],2)/HLOOKUP($A533,표1[#ALL],row(),false)</f>
        <v>#N/A</v>
      </c>
      <c r="R533" s="376" t="str">
        <f>CS_PID!R533/VLOOKUP($B533,표2[#ALL],2)/HLOOKUP($A533,표1[#ALL],row(),false)</f>
        <v>#N/A</v>
      </c>
      <c r="S533" s="376" t="str">
        <f>CS_PID!S533/VLOOKUP($B533,표2[#ALL],2)/HLOOKUP($A533,표1[#ALL],row(),false)</f>
        <v>#N/A</v>
      </c>
      <c r="T533" s="376" t="str">
        <f>CS_PID!T533/VLOOKUP($B533,표2[#ALL],2)/HLOOKUP($A533,표1[#ALL],row(),false)</f>
        <v>#N/A</v>
      </c>
      <c r="U533" s="376" t="str">
        <f>CS_PID!U533/VLOOKUP($B533,표2[#ALL],2)/HLOOKUP($A533,표1[#ALL],row(),false)</f>
        <v>#N/A</v>
      </c>
      <c r="V533" s="376" t="str">
        <f>CS_PID!V533/VLOOKUP($B533,표2[#ALL],2)/HLOOKUP($A533,표1[#ALL],row(),false)</f>
        <v>#N/A</v>
      </c>
      <c r="W533" s="376" t="str">
        <f>CS_PID!W533/VLOOKUP($B533,표2[#ALL],2)/HLOOKUP($A533,표1[#ALL],row(),false)</f>
        <v>#N/A</v>
      </c>
      <c r="X533" s="376" t="str">
        <f>CS_PID!X533/VLOOKUP($B533,표2[#ALL],2)/HLOOKUP($A533,표1[#ALL],row(),false)</f>
        <v>#N/A</v>
      </c>
      <c r="Y533" s="376" t="str">
        <f>CS_PID!Y533/VLOOKUP($B533,표2[#ALL],2)/HLOOKUP($A533,표1[#ALL],row(),false)</f>
        <v>#N/A</v>
      </c>
      <c r="Z533" s="376" t="str">
        <f>CS_PID!Z533/VLOOKUP($B533,표2[#ALL],2)/HLOOKUP($A533,표1[#ALL],row(),false)</f>
        <v>#N/A</v>
      </c>
      <c r="AA533" s="376" t="str">
        <f>CS_PID!AA533/VLOOKUP($B533,표2[#ALL],2)/HLOOKUP($A533,표1[#ALL],row(),false)</f>
        <v>#N/A</v>
      </c>
      <c r="AB533" s="376" t="str">
        <f>CS_PID!AB533/VLOOKUP($B533,표2[#ALL],2)/HLOOKUP($A533,표1[#ALL],row(),false)</f>
        <v>#N/A</v>
      </c>
      <c r="AC533" s="376" t="str">
        <f>CS_PID!AC533/VLOOKUP($B533,표2[#ALL],2)/HLOOKUP($A533,표1[#ALL],row(),false)</f>
        <v>#N/A</v>
      </c>
      <c r="AD533" s="376" t="str">
        <f>CS_PID!AD533/VLOOKUP($B533,표2[#ALL],2)/HLOOKUP($A533,표1[#ALL],row(),false)</f>
        <v>#N/A</v>
      </c>
      <c r="AE533" s="376" t="str">
        <f>CS_PID!AE533/VLOOKUP($B533,표2[#ALL],2)/HLOOKUP($A533,표1[#ALL],row(),false)</f>
        <v>#N/A</v>
      </c>
      <c r="AF533" s="376" t="str">
        <f>CS_PID!AF533/VLOOKUP($B533,표2[#ALL],2)/HLOOKUP($A533,표1[#ALL],row(),false)</f>
        <v>#N/A</v>
      </c>
      <c r="AG533" s="376" t="str">
        <f>CS_PID!AG533/VLOOKUP($B533,표2[#ALL],2)/HLOOKUP($A533,표1[#ALL],row(),false)</f>
        <v>#N/A</v>
      </c>
      <c r="AH533" s="376" t="str">
        <f>CS_PID!AH533/VLOOKUP($B533,표2[#ALL],2)/HLOOKUP($A533,표1[#ALL],row(),false)</f>
        <v>#N/A</v>
      </c>
      <c r="AI533" s="376" t="str">
        <f>CS_PID!AI533/VLOOKUP($B533,표2[#ALL],2)/HLOOKUP($A533,표1[#ALL],row(),false)</f>
        <v>#N/A</v>
      </c>
      <c r="AJ533" s="376" t="str">
        <f>CS_PID!AJ533/VLOOKUP($B533,표2[#ALL],2)/HLOOKUP($A533,표1[#ALL],row(),false)</f>
        <v>#N/A</v>
      </c>
      <c r="AK533" s="376" t="str">
        <f>CS_PID!AK533/VLOOKUP($B533,표2[#ALL],2)/HLOOKUP($A533,표1[#ALL],row(),false)</f>
        <v>#N/A</v>
      </c>
      <c r="AL533" s="376" t="str">
        <f>CS_PID!AL533/VLOOKUP($B533,표2[#ALL],2)/HLOOKUP($A533,표1[#ALL],row(),false)</f>
        <v>#N/A</v>
      </c>
      <c r="AM533" s="376" t="str">
        <f>CS_PID!AM533/VLOOKUP($B533,표2[#ALL],2)/HLOOKUP($A533,표1[#ALL],row(),false)</f>
        <v>#N/A</v>
      </c>
      <c r="AN533" s="376" t="str">
        <f>CS_PID!AN533/VLOOKUP($B533,표2[#ALL],2)/HLOOKUP($A533,표1[#ALL],row(),false)</f>
        <v>#N/A</v>
      </c>
      <c r="AO533" s="376" t="str">
        <f>CS_PID!AO533/VLOOKUP($B533,표2[#ALL],2)/HLOOKUP($A533,표1[#ALL],row(),false)</f>
        <v>#N/A</v>
      </c>
      <c r="AP533" s="376" t="str">
        <f>CS_PID!AP533/VLOOKUP($B533,표2[#ALL],2)/HLOOKUP($A533,표1[#ALL],row(),false)</f>
        <v>#N/A</v>
      </c>
      <c r="AQ533" s="376" t="str">
        <f>CS_PID!AQ533/VLOOKUP($B533,표2[#ALL],2)/HLOOKUP($A533,표1[#ALL],row(),false)</f>
        <v>#N/A</v>
      </c>
      <c r="AR533" s="376" t="str">
        <f>CS_PID!AR533/VLOOKUP($B533,표2[#ALL],2)/HLOOKUP($A533,표1[#ALL],row(),false)</f>
        <v>#N/A</v>
      </c>
      <c r="AS533" s="377" t="str">
        <f>CS_PID!AS533/VLOOKUP($B533,표2[#ALL],2)/HLOOKUP($A533,표1[#ALL],row(),false)</f>
        <v>#N/A</v>
      </c>
    </row>
    <row r="534">
      <c r="A534" s="370"/>
      <c r="B534" s="371"/>
      <c r="C534" s="372" t="str">
        <f>CS_PID!C534/VLOOKUP($B534,표2[#ALL],2)</f>
        <v>#N/A</v>
      </c>
      <c r="D534" s="372" t="str">
        <f>CS_PID!D534/VLOOKUP($B534,표2[#ALL],2)</f>
        <v>#N/A</v>
      </c>
      <c r="E534" s="372" t="str">
        <f>CS_PID!E534/VLOOKUP($B534,표2[#ALL],2)</f>
        <v>#N/A</v>
      </c>
      <c r="F534" s="372" t="str">
        <f>CS_PID!F534/VLOOKUP($B534,표2[#ALL],2)</f>
        <v>#N/A</v>
      </c>
      <c r="G534" s="372" t="str">
        <f>CS_PID!G534/VLOOKUP($B534,표2[#ALL],2)</f>
        <v>#N/A</v>
      </c>
      <c r="H534" s="372" t="str">
        <f>CS_PID!H534/VLOOKUP($B534,표2[#ALL],2)/HLOOKUP($A534,표1[#ALL],row(),false)</f>
        <v>#N/A</v>
      </c>
      <c r="I534" s="372" t="str">
        <f>CS_PID!I534/VLOOKUP($B534,표2[#ALL],2)/HLOOKUP($A534,표1[#ALL],row(),false)</f>
        <v>#N/A</v>
      </c>
      <c r="J534" s="372" t="str">
        <f>CS_PID!J534/VLOOKUP($B534,표2[#ALL],2)/HLOOKUP($A534,표1[#ALL],row(),false)</f>
        <v>#N/A</v>
      </c>
      <c r="K534" s="372" t="str">
        <f>CS_PID!K534/VLOOKUP($B534,표2[#ALL],2)/HLOOKUP($A534,표1[#ALL],row(),false)</f>
        <v>#N/A</v>
      </c>
      <c r="L534" s="372" t="str">
        <f>CS_PID!L534/VLOOKUP($B534,표2[#ALL],2)/HLOOKUP($A534,표1[#ALL],row(),false)</f>
        <v>#N/A</v>
      </c>
      <c r="M534" s="372" t="str">
        <f>CS_PID!M534/VLOOKUP($B534,표2[#ALL],2)/HLOOKUP($A534,표1[#ALL],row(),false)</f>
        <v>#N/A</v>
      </c>
      <c r="N534" s="372" t="str">
        <f>CS_PID!N534/VLOOKUP($B534,표2[#ALL],2)/HLOOKUP($A534,표1[#ALL],row(),false)</f>
        <v>#N/A</v>
      </c>
      <c r="O534" s="372" t="str">
        <f>CS_PID!O534/VLOOKUP($B534,표2[#ALL],2)/HLOOKUP($A534,표1[#ALL],row(),false)</f>
        <v>#N/A</v>
      </c>
      <c r="P534" s="372" t="str">
        <f>CS_PID!P534/VLOOKUP($B534,표2[#ALL],2)/HLOOKUP($A534,표1[#ALL],row(),false)</f>
        <v>#N/A</v>
      </c>
      <c r="Q534" s="372" t="str">
        <f>CS_PID!Q534/VLOOKUP($B534,표2[#ALL],2)/HLOOKUP($A534,표1[#ALL],row(),false)</f>
        <v>#N/A</v>
      </c>
      <c r="R534" s="372" t="str">
        <f>CS_PID!R534/VLOOKUP($B534,표2[#ALL],2)/HLOOKUP($A534,표1[#ALL],row(),false)</f>
        <v>#N/A</v>
      </c>
      <c r="S534" s="372" t="str">
        <f>CS_PID!S534/VLOOKUP($B534,표2[#ALL],2)/HLOOKUP($A534,표1[#ALL],row(),false)</f>
        <v>#N/A</v>
      </c>
      <c r="T534" s="372" t="str">
        <f>CS_PID!T534/VLOOKUP($B534,표2[#ALL],2)/HLOOKUP($A534,표1[#ALL],row(),false)</f>
        <v>#N/A</v>
      </c>
      <c r="U534" s="372" t="str">
        <f>CS_PID!U534/VLOOKUP($B534,표2[#ALL],2)/HLOOKUP($A534,표1[#ALL],row(),false)</f>
        <v>#N/A</v>
      </c>
      <c r="V534" s="372" t="str">
        <f>CS_PID!V534/VLOOKUP($B534,표2[#ALL],2)/HLOOKUP($A534,표1[#ALL],row(),false)</f>
        <v>#N/A</v>
      </c>
      <c r="W534" s="372" t="str">
        <f>CS_PID!W534/VLOOKUP($B534,표2[#ALL],2)/HLOOKUP($A534,표1[#ALL],row(),false)</f>
        <v>#N/A</v>
      </c>
      <c r="X534" s="372" t="str">
        <f>CS_PID!X534/VLOOKUP($B534,표2[#ALL],2)/HLOOKUP($A534,표1[#ALL],row(),false)</f>
        <v>#N/A</v>
      </c>
      <c r="Y534" s="372" t="str">
        <f>CS_PID!Y534/VLOOKUP($B534,표2[#ALL],2)/HLOOKUP($A534,표1[#ALL],row(),false)</f>
        <v>#N/A</v>
      </c>
      <c r="Z534" s="372" t="str">
        <f>CS_PID!Z534/VLOOKUP($B534,표2[#ALL],2)/HLOOKUP($A534,표1[#ALL],row(),false)</f>
        <v>#N/A</v>
      </c>
      <c r="AA534" s="372" t="str">
        <f>CS_PID!AA534/VLOOKUP($B534,표2[#ALL],2)/HLOOKUP($A534,표1[#ALL],row(),false)</f>
        <v>#N/A</v>
      </c>
      <c r="AB534" s="372" t="str">
        <f>CS_PID!AB534/VLOOKUP($B534,표2[#ALL],2)/HLOOKUP($A534,표1[#ALL],row(),false)</f>
        <v>#N/A</v>
      </c>
      <c r="AC534" s="372" t="str">
        <f>CS_PID!AC534/VLOOKUP($B534,표2[#ALL],2)/HLOOKUP($A534,표1[#ALL],row(),false)</f>
        <v>#N/A</v>
      </c>
      <c r="AD534" s="372" t="str">
        <f>CS_PID!AD534/VLOOKUP($B534,표2[#ALL],2)/HLOOKUP($A534,표1[#ALL],row(),false)</f>
        <v>#N/A</v>
      </c>
      <c r="AE534" s="372" t="str">
        <f>CS_PID!AE534/VLOOKUP($B534,표2[#ALL],2)/HLOOKUP($A534,표1[#ALL],row(),false)</f>
        <v>#N/A</v>
      </c>
      <c r="AF534" s="372" t="str">
        <f>CS_PID!AF534/VLOOKUP($B534,표2[#ALL],2)/HLOOKUP($A534,표1[#ALL],row(),false)</f>
        <v>#N/A</v>
      </c>
      <c r="AG534" s="372" t="str">
        <f>CS_PID!AG534/VLOOKUP($B534,표2[#ALL],2)/HLOOKUP($A534,표1[#ALL],row(),false)</f>
        <v>#N/A</v>
      </c>
      <c r="AH534" s="372" t="str">
        <f>CS_PID!AH534/VLOOKUP($B534,표2[#ALL],2)/HLOOKUP($A534,표1[#ALL],row(),false)</f>
        <v>#N/A</v>
      </c>
      <c r="AI534" s="372" t="str">
        <f>CS_PID!AI534/VLOOKUP($B534,표2[#ALL],2)/HLOOKUP($A534,표1[#ALL],row(),false)</f>
        <v>#N/A</v>
      </c>
      <c r="AJ534" s="372" t="str">
        <f>CS_PID!AJ534/VLOOKUP($B534,표2[#ALL],2)/HLOOKUP($A534,표1[#ALL],row(),false)</f>
        <v>#N/A</v>
      </c>
      <c r="AK534" s="372" t="str">
        <f>CS_PID!AK534/VLOOKUP($B534,표2[#ALL],2)/HLOOKUP($A534,표1[#ALL],row(),false)</f>
        <v>#N/A</v>
      </c>
      <c r="AL534" s="372" t="str">
        <f>CS_PID!AL534/VLOOKUP($B534,표2[#ALL],2)/HLOOKUP($A534,표1[#ALL],row(),false)</f>
        <v>#N/A</v>
      </c>
      <c r="AM534" s="372" t="str">
        <f>CS_PID!AM534/VLOOKUP($B534,표2[#ALL],2)/HLOOKUP($A534,표1[#ALL],row(),false)</f>
        <v>#N/A</v>
      </c>
      <c r="AN534" s="372" t="str">
        <f>CS_PID!AN534/VLOOKUP($B534,표2[#ALL],2)/HLOOKUP($A534,표1[#ALL],row(),false)</f>
        <v>#N/A</v>
      </c>
      <c r="AO534" s="372" t="str">
        <f>CS_PID!AO534/VLOOKUP($B534,표2[#ALL],2)/HLOOKUP($A534,표1[#ALL],row(),false)</f>
        <v>#N/A</v>
      </c>
      <c r="AP534" s="372" t="str">
        <f>CS_PID!AP534/VLOOKUP($B534,표2[#ALL],2)/HLOOKUP($A534,표1[#ALL],row(),false)</f>
        <v>#N/A</v>
      </c>
      <c r="AQ534" s="372" t="str">
        <f>CS_PID!AQ534/VLOOKUP($B534,표2[#ALL],2)/HLOOKUP($A534,표1[#ALL],row(),false)</f>
        <v>#N/A</v>
      </c>
      <c r="AR534" s="372" t="str">
        <f>CS_PID!AR534/VLOOKUP($B534,표2[#ALL],2)/HLOOKUP($A534,표1[#ALL],row(),false)</f>
        <v>#N/A</v>
      </c>
      <c r="AS534" s="373" t="str">
        <f>CS_PID!AS534/VLOOKUP($B534,표2[#ALL],2)/HLOOKUP($A534,표1[#ALL],row(),false)</f>
        <v>#N/A</v>
      </c>
    </row>
    <row r="535">
      <c r="A535" s="374"/>
      <c r="B535" s="375"/>
      <c r="C535" s="376" t="str">
        <f>CS_PID!C535/VLOOKUP($B535,표2[#ALL],2)</f>
        <v>#N/A</v>
      </c>
      <c r="D535" s="376" t="str">
        <f>CS_PID!D535/VLOOKUP($B535,표2[#ALL],2)</f>
        <v>#N/A</v>
      </c>
      <c r="E535" s="376" t="str">
        <f>CS_PID!E535/VLOOKUP($B535,표2[#ALL],2)</f>
        <v>#N/A</v>
      </c>
      <c r="F535" s="376" t="str">
        <f>CS_PID!F535/VLOOKUP($B535,표2[#ALL],2)</f>
        <v>#N/A</v>
      </c>
      <c r="G535" s="376" t="str">
        <f>CS_PID!G535/VLOOKUP($B535,표2[#ALL],2)</f>
        <v>#N/A</v>
      </c>
      <c r="H535" s="376" t="str">
        <f>CS_PID!H535/VLOOKUP($B535,표2[#ALL],2)/HLOOKUP($A535,표1[#ALL],row(),false)</f>
        <v>#N/A</v>
      </c>
      <c r="I535" s="376" t="str">
        <f>CS_PID!I535/VLOOKUP($B535,표2[#ALL],2)/HLOOKUP($A535,표1[#ALL],row(),false)</f>
        <v>#N/A</v>
      </c>
      <c r="J535" s="376" t="str">
        <f>CS_PID!J535/VLOOKUP($B535,표2[#ALL],2)/HLOOKUP($A535,표1[#ALL],row(),false)</f>
        <v>#N/A</v>
      </c>
      <c r="K535" s="376" t="str">
        <f>CS_PID!K535/VLOOKUP($B535,표2[#ALL],2)/HLOOKUP($A535,표1[#ALL],row(),false)</f>
        <v>#N/A</v>
      </c>
      <c r="L535" s="376" t="str">
        <f>CS_PID!L535/VLOOKUP($B535,표2[#ALL],2)/HLOOKUP($A535,표1[#ALL],row(),false)</f>
        <v>#N/A</v>
      </c>
      <c r="M535" s="376" t="str">
        <f>CS_PID!M535/VLOOKUP($B535,표2[#ALL],2)/HLOOKUP($A535,표1[#ALL],row(),false)</f>
        <v>#N/A</v>
      </c>
      <c r="N535" s="376" t="str">
        <f>CS_PID!N535/VLOOKUP($B535,표2[#ALL],2)/HLOOKUP($A535,표1[#ALL],row(),false)</f>
        <v>#N/A</v>
      </c>
      <c r="O535" s="376" t="str">
        <f>CS_PID!O535/VLOOKUP($B535,표2[#ALL],2)/HLOOKUP($A535,표1[#ALL],row(),false)</f>
        <v>#N/A</v>
      </c>
      <c r="P535" s="376" t="str">
        <f>CS_PID!P535/VLOOKUP($B535,표2[#ALL],2)/HLOOKUP($A535,표1[#ALL],row(),false)</f>
        <v>#N/A</v>
      </c>
      <c r="Q535" s="376" t="str">
        <f>CS_PID!Q535/VLOOKUP($B535,표2[#ALL],2)/HLOOKUP($A535,표1[#ALL],row(),false)</f>
        <v>#N/A</v>
      </c>
      <c r="R535" s="376" t="str">
        <f>CS_PID!R535/VLOOKUP($B535,표2[#ALL],2)/HLOOKUP($A535,표1[#ALL],row(),false)</f>
        <v>#N/A</v>
      </c>
      <c r="S535" s="376" t="str">
        <f>CS_PID!S535/VLOOKUP($B535,표2[#ALL],2)/HLOOKUP($A535,표1[#ALL],row(),false)</f>
        <v>#N/A</v>
      </c>
      <c r="T535" s="376" t="str">
        <f>CS_PID!T535/VLOOKUP($B535,표2[#ALL],2)/HLOOKUP($A535,표1[#ALL],row(),false)</f>
        <v>#N/A</v>
      </c>
      <c r="U535" s="376" t="str">
        <f>CS_PID!U535/VLOOKUP($B535,표2[#ALL],2)/HLOOKUP($A535,표1[#ALL],row(),false)</f>
        <v>#N/A</v>
      </c>
      <c r="V535" s="376" t="str">
        <f>CS_PID!V535/VLOOKUP($B535,표2[#ALL],2)/HLOOKUP($A535,표1[#ALL],row(),false)</f>
        <v>#N/A</v>
      </c>
      <c r="W535" s="376" t="str">
        <f>CS_PID!W535/VLOOKUP($B535,표2[#ALL],2)/HLOOKUP($A535,표1[#ALL],row(),false)</f>
        <v>#N/A</v>
      </c>
      <c r="X535" s="376" t="str">
        <f>CS_PID!X535/VLOOKUP($B535,표2[#ALL],2)/HLOOKUP($A535,표1[#ALL],row(),false)</f>
        <v>#N/A</v>
      </c>
      <c r="Y535" s="376" t="str">
        <f>CS_PID!Y535/VLOOKUP($B535,표2[#ALL],2)/HLOOKUP($A535,표1[#ALL],row(),false)</f>
        <v>#N/A</v>
      </c>
      <c r="Z535" s="376" t="str">
        <f>CS_PID!Z535/VLOOKUP($B535,표2[#ALL],2)/HLOOKUP($A535,표1[#ALL],row(),false)</f>
        <v>#N/A</v>
      </c>
      <c r="AA535" s="376" t="str">
        <f>CS_PID!AA535/VLOOKUP($B535,표2[#ALL],2)/HLOOKUP($A535,표1[#ALL],row(),false)</f>
        <v>#N/A</v>
      </c>
      <c r="AB535" s="376" t="str">
        <f>CS_PID!AB535/VLOOKUP($B535,표2[#ALL],2)/HLOOKUP($A535,표1[#ALL],row(),false)</f>
        <v>#N/A</v>
      </c>
      <c r="AC535" s="376" t="str">
        <f>CS_PID!AC535/VLOOKUP($B535,표2[#ALL],2)/HLOOKUP($A535,표1[#ALL],row(),false)</f>
        <v>#N/A</v>
      </c>
      <c r="AD535" s="376" t="str">
        <f>CS_PID!AD535/VLOOKUP($B535,표2[#ALL],2)/HLOOKUP($A535,표1[#ALL],row(),false)</f>
        <v>#N/A</v>
      </c>
      <c r="AE535" s="376" t="str">
        <f>CS_PID!AE535/VLOOKUP($B535,표2[#ALL],2)/HLOOKUP($A535,표1[#ALL],row(),false)</f>
        <v>#N/A</v>
      </c>
      <c r="AF535" s="376" t="str">
        <f>CS_PID!AF535/VLOOKUP($B535,표2[#ALL],2)/HLOOKUP($A535,표1[#ALL],row(),false)</f>
        <v>#N/A</v>
      </c>
      <c r="AG535" s="376" t="str">
        <f>CS_PID!AG535/VLOOKUP($B535,표2[#ALL],2)/HLOOKUP($A535,표1[#ALL],row(),false)</f>
        <v>#N/A</v>
      </c>
      <c r="AH535" s="376" t="str">
        <f>CS_PID!AH535/VLOOKUP($B535,표2[#ALL],2)/HLOOKUP($A535,표1[#ALL],row(),false)</f>
        <v>#N/A</v>
      </c>
      <c r="AI535" s="376" t="str">
        <f>CS_PID!AI535/VLOOKUP($B535,표2[#ALL],2)/HLOOKUP($A535,표1[#ALL],row(),false)</f>
        <v>#N/A</v>
      </c>
      <c r="AJ535" s="376" t="str">
        <f>CS_PID!AJ535/VLOOKUP($B535,표2[#ALL],2)/HLOOKUP($A535,표1[#ALL],row(),false)</f>
        <v>#N/A</v>
      </c>
      <c r="AK535" s="376" t="str">
        <f>CS_PID!AK535/VLOOKUP($B535,표2[#ALL],2)/HLOOKUP($A535,표1[#ALL],row(),false)</f>
        <v>#N/A</v>
      </c>
      <c r="AL535" s="376" t="str">
        <f>CS_PID!AL535/VLOOKUP($B535,표2[#ALL],2)/HLOOKUP($A535,표1[#ALL],row(),false)</f>
        <v>#N/A</v>
      </c>
      <c r="AM535" s="376" t="str">
        <f>CS_PID!AM535/VLOOKUP($B535,표2[#ALL],2)/HLOOKUP($A535,표1[#ALL],row(),false)</f>
        <v>#N/A</v>
      </c>
      <c r="AN535" s="376" t="str">
        <f>CS_PID!AN535/VLOOKUP($B535,표2[#ALL],2)/HLOOKUP($A535,표1[#ALL],row(),false)</f>
        <v>#N/A</v>
      </c>
      <c r="AO535" s="376" t="str">
        <f>CS_PID!AO535/VLOOKUP($B535,표2[#ALL],2)/HLOOKUP($A535,표1[#ALL],row(),false)</f>
        <v>#N/A</v>
      </c>
      <c r="AP535" s="376" t="str">
        <f>CS_PID!AP535/VLOOKUP($B535,표2[#ALL],2)/HLOOKUP($A535,표1[#ALL],row(),false)</f>
        <v>#N/A</v>
      </c>
      <c r="AQ535" s="376" t="str">
        <f>CS_PID!AQ535/VLOOKUP($B535,표2[#ALL],2)/HLOOKUP($A535,표1[#ALL],row(),false)</f>
        <v>#N/A</v>
      </c>
      <c r="AR535" s="376" t="str">
        <f>CS_PID!AR535/VLOOKUP($B535,표2[#ALL],2)/HLOOKUP($A535,표1[#ALL],row(),false)</f>
        <v>#N/A</v>
      </c>
      <c r="AS535" s="377" t="str">
        <f>CS_PID!AS535/VLOOKUP($B535,표2[#ALL],2)/HLOOKUP($A535,표1[#ALL],row(),false)</f>
        <v>#N/A</v>
      </c>
    </row>
    <row r="536">
      <c r="A536" s="370"/>
      <c r="B536" s="371"/>
      <c r="C536" s="372" t="str">
        <f>CS_PID!C536/VLOOKUP($B536,표2[#ALL],2)</f>
        <v>#N/A</v>
      </c>
      <c r="D536" s="372" t="str">
        <f>CS_PID!D536/VLOOKUP($B536,표2[#ALL],2)</f>
        <v>#N/A</v>
      </c>
      <c r="E536" s="372" t="str">
        <f>CS_PID!E536/VLOOKUP($B536,표2[#ALL],2)</f>
        <v>#N/A</v>
      </c>
      <c r="F536" s="372" t="str">
        <f>CS_PID!F536/VLOOKUP($B536,표2[#ALL],2)</f>
        <v>#N/A</v>
      </c>
      <c r="G536" s="372" t="str">
        <f>CS_PID!G536/VLOOKUP($B536,표2[#ALL],2)</f>
        <v>#N/A</v>
      </c>
      <c r="H536" s="372" t="str">
        <f>CS_PID!H536/VLOOKUP($B536,표2[#ALL],2)/HLOOKUP($A536,표1[#ALL],row(),false)</f>
        <v>#N/A</v>
      </c>
      <c r="I536" s="372" t="str">
        <f>CS_PID!I536/VLOOKUP($B536,표2[#ALL],2)/HLOOKUP($A536,표1[#ALL],row(),false)</f>
        <v>#N/A</v>
      </c>
      <c r="J536" s="372" t="str">
        <f>CS_PID!J536/VLOOKUP($B536,표2[#ALL],2)/HLOOKUP($A536,표1[#ALL],row(),false)</f>
        <v>#N/A</v>
      </c>
      <c r="K536" s="372" t="str">
        <f>CS_PID!K536/VLOOKUP($B536,표2[#ALL],2)/HLOOKUP($A536,표1[#ALL],row(),false)</f>
        <v>#N/A</v>
      </c>
      <c r="L536" s="372" t="str">
        <f>CS_PID!L536/VLOOKUP($B536,표2[#ALL],2)/HLOOKUP($A536,표1[#ALL],row(),false)</f>
        <v>#N/A</v>
      </c>
      <c r="M536" s="372" t="str">
        <f>CS_PID!M536/VLOOKUP($B536,표2[#ALL],2)/HLOOKUP($A536,표1[#ALL],row(),false)</f>
        <v>#N/A</v>
      </c>
      <c r="N536" s="372" t="str">
        <f>CS_PID!N536/VLOOKUP($B536,표2[#ALL],2)/HLOOKUP($A536,표1[#ALL],row(),false)</f>
        <v>#N/A</v>
      </c>
      <c r="O536" s="372" t="str">
        <f>CS_PID!O536/VLOOKUP($B536,표2[#ALL],2)/HLOOKUP($A536,표1[#ALL],row(),false)</f>
        <v>#N/A</v>
      </c>
      <c r="P536" s="372" t="str">
        <f>CS_PID!P536/VLOOKUP($B536,표2[#ALL],2)/HLOOKUP($A536,표1[#ALL],row(),false)</f>
        <v>#N/A</v>
      </c>
      <c r="Q536" s="372" t="str">
        <f>CS_PID!Q536/VLOOKUP($B536,표2[#ALL],2)/HLOOKUP($A536,표1[#ALL],row(),false)</f>
        <v>#N/A</v>
      </c>
      <c r="R536" s="372" t="str">
        <f>CS_PID!R536/VLOOKUP($B536,표2[#ALL],2)/HLOOKUP($A536,표1[#ALL],row(),false)</f>
        <v>#N/A</v>
      </c>
      <c r="S536" s="372" t="str">
        <f>CS_PID!S536/VLOOKUP($B536,표2[#ALL],2)/HLOOKUP($A536,표1[#ALL],row(),false)</f>
        <v>#N/A</v>
      </c>
      <c r="T536" s="372" t="str">
        <f>CS_PID!T536/VLOOKUP($B536,표2[#ALL],2)/HLOOKUP($A536,표1[#ALL],row(),false)</f>
        <v>#N/A</v>
      </c>
      <c r="U536" s="372" t="str">
        <f>CS_PID!U536/VLOOKUP($B536,표2[#ALL],2)/HLOOKUP($A536,표1[#ALL],row(),false)</f>
        <v>#N/A</v>
      </c>
      <c r="V536" s="372" t="str">
        <f>CS_PID!V536/VLOOKUP($B536,표2[#ALL],2)/HLOOKUP($A536,표1[#ALL],row(),false)</f>
        <v>#N/A</v>
      </c>
      <c r="W536" s="372" t="str">
        <f>CS_PID!W536/VLOOKUP($B536,표2[#ALL],2)/HLOOKUP($A536,표1[#ALL],row(),false)</f>
        <v>#N/A</v>
      </c>
      <c r="X536" s="372" t="str">
        <f>CS_PID!X536/VLOOKUP($B536,표2[#ALL],2)/HLOOKUP($A536,표1[#ALL],row(),false)</f>
        <v>#N/A</v>
      </c>
      <c r="Y536" s="372" t="str">
        <f>CS_PID!Y536/VLOOKUP($B536,표2[#ALL],2)/HLOOKUP($A536,표1[#ALL],row(),false)</f>
        <v>#N/A</v>
      </c>
      <c r="Z536" s="372" t="str">
        <f>CS_PID!Z536/VLOOKUP($B536,표2[#ALL],2)/HLOOKUP($A536,표1[#ALL],row(),false)</f>
        <v>#N/A</v>
      </c>
      <c r="AA536" s="372" t="str">
        <f>CS_PID!AA536/VLOOKUP($B536,표2[#ALL],2)/HLOOKUP($A536,표1[#ALL],row(),false)</f>
        <v>#N/A</v>
      </c>
      <c r="AB536" s="372" t="str">
        <f>CS_PID!AB536/VLOOKUP($B536,표2[#ALL],2)/HLOOKUP($A536,표1[#ALL],row(),false)</f>
        <v>#N/A</v>
      </c>
      <c r="AC536" s="372" t="str">
        <f>CS_PID!AC536/VLOOKUP($B536,표2[#ALL],2)/HLOOKUP($A536,표1[#ALL],row(),false)</f>
        <v>#N/A</v>
      </c>
      <c r="AD536" s="372" t="str">
        <f>CS_PID!AD536/VLOOKUP($B536,표2[#ALL],2)/HLOOKUP($A536,표1[#ALL],row(),false)</f>
        <v>#N/A</v>
      </c>
      <c r="AE536" s="372" t="str">
        <f>CS_PID!AE536/VLOOKUP($B536,표2[#ALL],2)/HLOOKUP($A536,표1[#ALL],row(),false)</f>
        <v>#N/A</v>
      </c>
      <c r="AF536" s="372" t="str">
        <f>CS_PID!AF536/VLOOKUP($B536,표2[#ALL],2)/HLOOKUP($A536,표1[#ALL],row(),false)</f>
        <v>#N/A</v>
      </c>
      <c r="AG536" s="372" t="str">
        <f>CS_PID!AG536/VLOOKUP($B536,표2[#ALL],2)/HLOOKUP($A536,표1[#ALL],row(),false)</f>
        <v>#N/A</v>
      </c>
      <c r="AH536" s="372" t="str">
        <f>CS_PID!AH536/VLOOKUP($B536,표2[#ALL],2)/HLOOKUP($A536,표1[#ALL],row(),false)</f>
        <v>#N/A</v>
      </c>
      <c r="AI536" s="372" t="str">
        <f>CS_PID!AI536/VLOOKUP($B536,표2[#ALL],2)/HLOOKUP($A536,표1[#ALL],row(),false)</f>
        <v>#N/A</v>
      </c>
      <c r="AJ536" s="372" t="str">
        <f>CS_PID!AJ536/VLOOKUP($B536,표2[#ALL],2)/HLOOKUP($A536,표1[#ALL],row(),false)</f>
        <v>#N/A</v>
      </c>
      <c r="AK536" s="372" t="str">
        <f>CS_PID!AK536/VLOOKUP($B536,표2[#ALL],2)/HLOOKUP($A536,표1[#ALL],row(),false)</f>
        <v>#N/A</v>
      </c>
      <c r="AL536" s="372" t="str">
        <f>CS_PID!AL536/VLOOKUP($B536,표2[#ALL],2)/HLOOKUP($A536,표1[#ALL],row(),false)</f>
        <v>#N/A</v>
      </c>
      <c r="AM536" s="372" t="str">
        <f>CS_PID!AM536/VLOOKUP($B536,표2[#ALL],2)/HLOOKUP($A536,표1[#ALL],row(),false)</f>
        <v>#N/A</v>
      </c>
      <c r="AN536" s="372" t="str">
        <f>CS_PID!AN536/VLOOKUP($B536,표2[#ALL],2)/HLOOKUP($A536,표1[#ALL],row(),false)</f>
        <v>#N/A</v>
      </c>
      <c r="AO536" s="372" t="str">
        <f>CS_PID!AO536/VLOOKUP($B536,표2[#ALL],2)/HLOOKUP($A536,표1[#ALL],row(),false)</f>
        <v>#N/A</v>
      </c>
      <c r="AP536" s="372" t="str">
        <f>CS_PID!AP536/VLOOKUP($B536,표2[#ALL],2)/HLOOKUP($A536,표1[#ALL],row(),false)</f>
        <v>#N/A</v>
      </c>
      <c r="AQ536" s="372" t="str">
        <f>CS_PID!AQ536/VLOOKUP($B536,표2[#ALL],2)/HLOOKUP($A536,표1[#ALL],row(),false)</f>
        <v>#N/A</v>
      </c>
      <c r="AR536" s="372" t="str">
        <f>CS_PID!AR536/VLOOKUP($B536,표2[#ALL],2)/HLOOKUP($A536,표1[#ALL],row(),false)</f>
        <v>#N/A</v>
      </c>
      <c r="AS536" s="373" t="str">
        <f>CS_PID!AS536/VLOOKUP($B536,표2[#ALL],2)/HLOOKUP($A536,표1[#ALL],row(),false)</f>
        <v>#N/A</v>
      </c>
    </row>
    <row r="537">
      <c r="A537" s="374"/>
      <c r="B537" s="375"/>
      <c r="C537" s="376" t="str">
        <f>CS_PID!C537/VLOOKUP($B537,표2[#ALL],2)</f>
        <v>#N/A</v>
      </c>
      <c r="D537" s="376" t="str">
        <f>CS_PID!D537/VLOOKUP($B537,표2[#ALL],2)</f>
        <v>#N/A</v>
      </c>
      <c r="E537" s="376" t="str">
        <f>CS_PID!E537/VLOOKUP($B537,표2[#ALL],2)</f>
        <v>#N/A</v>
      </c>
      <c r="F537" s="376" t="str">
        <f>CS_PID!F537/VLOOKUP($B537,표2[#ALL],2)</f>
        <v>#N/A</v>
      </c>
      <c r="G537" s="376" t="str">
        <f>CS_PID!G537/VLOOKUP($B537,표2[#ALL],2)</f>
        <v>#N/A</v>
      </c>
      <c r="H537" s="376" t="str">
        <f>CS_PID!H537/VLOOKUP($B537,표2[#ALL],2)/HLOOKUP($A537,표1[#ALL],row(),false)</f>
        <v>#N/A</v>
      </c>
      <c r="I537" s="376" t="str">
        <f>CS_PID!I537/VLOOKUP($B537,표2[#ALL],2)/HLOOKUP($A537,표1[#ALL],row(),false)</f>
        <v>#N/A</v>
      </c>
      <c r="J537" s="376" t="str">
        <f>CS_PID!J537/VLOOKUP($B537,표2[#ALL],2)/HLOOKUP($A537,표1[#ALL],row(),false)</f>
        <v>#N/A</v>
      </c>
      <c r="K537" s="376" t="str">
        <f>CS_PID!K537/VLOOKUP($B537,표2[#ALL],2)/HLOOKUP($A537,표1[#ALL],row(),false)</f>
        <v>#N/A</v>
      </c>
      <c r="L537" s="376" t="str">
        <f>CS_PID!L537/VLOOKUP($B537,표2[#ALL],2)/HLOOKUP($A537,표1[#ALL],row(),false)</f>
        <v>#N/A</v>
      </c>
      <c r="M537" s="376" t="str">
        <f>CS_PID!M537/VLOOKUP($B537,표2[#ALL],2)/HLOOKUP($A537,표1[#ALL],row(),false)</f>
        <v>#N/A</v>
      </c>
      <c r="N537" s="376" t="str">
        <f>CS_PID!N537/VLOOKUP($B537,표2[#ALL],2)/HLOOKUP($A537,표1[#ALL],row(),false)</f>
        <v>#N/A</v>
      </c>
      <c r="O537" s="376" t="str">
        <f>CS_PID!O537/VLOOKUP($B537,표2[#ALL],2)/HLOOKUP($A537,표1[#ALL],row(),false)</f>
        <v>#N/A</v>
      </c>
      <c r="P537" s="376" t="str">
        <f>CS_PID!P537/VLOOKUP($B537,표2[#ALL],2)/HLOOKUP($A537,표1[#ALL],row(),false)</f>
        <v>#N/A</v>
      </c>
      <c r="Q537" s="376" t="str">
        <f>CS_PID!Q537/VLOOKUP($B537,표2[#ALL],2)/HLOOKUP($A537,표1[#ALL],row(),false)</f>
        <v>#N/A</v>
      </c>
      <c r="R537" s="376" t="str">
        <f>CS_PID!R537/VLOOKUP($B537,표2[#ALL],2)/HLOOKUP($A537,표1[#ALL],row(),false)</f>
        <v>#N/A</v>
      </c>
      <c r="S537" s="376" t="str">
        <f>CS_PID!S537/VLOOKUP($B537,표2[#ALL],2)/HLOOKUP($A537,표1[#ALL],row(),false)</f>
        <v>#N/A</v>
      </c>
      <c r="T537" s="376" t="str">
        <f>CS_PID!T537/VLOOKUP($B537,표2[#ALL],2)/HLOOKUP($A537,표1[#ALL],row(),false)</f>
        <v>#N/A</v>
      </c>
      <c r="U537" s="376" t="str">
        <f>CS_PID!U537/VLOOKUP($B537,표2[#ALL],2)/HLOOKUP($A537,표1[#ALL],row(),false)</f>
        <v>#N/A</v>
      </c>
      <c r="V537" s="376" t="str">
        <f>CS_PID!V537/VLOOKUP($B537,표2[#ALL],2)/HLOOKUP($A537,표1[#ALL],row(),false)</f>
        <v>#N/A</v>
      </c>
      <c r="W537" s="376" t="str">
        <f>CS_PID!W537/VLOOKUP($B537,표2[#ALL],2)/HLOOKUP($A537,표1[#ALL],row(),false)</f>
        <v>#N/A</v>
      </c>
      <c r="X537" s="376" t="str">
        <f>CS_PID!X537/VLOOKUP($B537,표2[#ALL],2)/HLOOKUP($A537,표1[#ALL],row(),false)</f>
        <v>#N/A</v>
      </c>
      <c r="Y537" s="376" t="str">
        <f>CS_PID!Y537/VLOOKUP($B537,표2[#ALL],2)/HLOOKUP($A537,표1[#ALL],row(),false)</f>
        <v>#N/A</v>
      </c>
      <c r="Z537" s="376" t="str">
        <f>CS_PID!Z537/VLOOKUP($B537,표2[#ALL],2)/HLOOKUP($A537,표1[#ALL],row(),false)</f>
        <v>#N/A</v>
      </c>
      <c r="AA537" s="376" t="str">
        <f>CS_PID!AA537/VLOOKUP($B537,표2[#ALL],2)/HLOOKUP($A537,표1[#ALL],row(),false)</f>
        <v>#N/A</v>
      </c>
      <c r="AB537" s="376" t="str">
        <f>CS_PID!AB537/VLOOKUP($B537,표2[#ALL],2)/HLOOKUP($A537,표1[#ALL],row(),false)</f>
        <v>#N/A</v>
      </c>
      <c r="AC537" s="376" t="str">
        <f>CS_PID!AC537/VLOOKUP($B537,표2[#ALL],2)/HLOOKUP($A537,표1[#ALL],row(),false)</f>
        <v>#N/A</v>
      </c>
      <c r="AD537" s="376" t="str">
        <f>CS_PID!AD537/VLOOKUP($B537,표2[#ALL],2)/HLOOKUP($A537,표1[#ALL],row(),false)</f>
        <v>#N/A</v>
      </c>
      <c r="AE537" s="376" t="str">
        <f>CS_PID!AE537/VLOOKUP($B537,표2[#ALL],2)/HLOOKUP($A537,표1[#ALL],row(),false)</f>
        <v>#N/A</v>
      </c>
      <c r="AF537" s="376" t="str">
        <f>CS_PID!AF537/VLOOKUP($B537,표2[#ALL],2)/HLOOKUP($A537,표1[#ALL],row(),false)</f>
        <v>#N/A</v>
      </c>
      <c r="AG537" s="376" t="str">
        <f>CS_PID!AG537/VLOOKUP($B537,표2[#ALL],2)/HLOOKUP($A537,표1[#ALL],row(),false)</f>
        <v>#N/A</v>
      </c>
      <c r="AH537" s="376" t="str">
        <f>CS_PID!AH537/VLOOKUP($B537,표2[#ALL],2)/HLOOKUP($A537,표1[#ALL],row(),false)</f>
        <v>#N/A</v>
      </c>
      <c r="AI537" s="376" t="str">
        <f>CS_PID!AI537/VLOOKUP($B537,표2[#ALL],2)/HLOOKUP($A537,표1[#ALL],row(),false)</f>
        <v>#N/A</v>
      </c>
      <c r="AJ537" s="376" t="str">
        <f>CS_PID!AJ537/VLOOKUP($B537,표2[#ALL],2)/HLOOKUP($A537,표1[#ALL],row(),false)</f>
        <v>#N/A</v>
      </c>
      <c r="AK537" s="376" t="str">
        <f>CS_PID!AK537/VLOOKUP($B537,표2[#ALL],2)/HLOOKUP($A537,표1[#ALL],row(),false)</f>
        <v>#N/A</v>
      </c>
      <c r="AL537" s="376" t="str">
        <f>CS_PID!AL537/VLOOKUP($B537,표2[#ALL],2)/HLOOKUP($A537,표1[#ALL],row(),false)</f>
        <v>#N/A</v>
      </c>
      <c r="AM537" s="376" t="str">
        <f>CS_PID!AM537/VLOOKUP($B537,표2[#ALL],2)/HLOOKUP($A537,표1[#ALL],row(),false)</f>
        <v>#N/A</v>
      </c>
      <c r="AN537" s="376" t="str">
        <f>CS_PID!AN537/VLOOKUP($B537,표2[#ALL],2)/HLOOKUP($A537,표1[#ALL],row(),false)</f>
        <v>#N/A</v>
      </c>
      <c r="AO537" s="376" t="str">
        <f>CS_PID!AO537/VLOOKUP($B537,표2[#ALL],2)/HLOOKUP($A537,표1[#ALL],row(),false)</f>
        <v>#N/A</v>
      </c>
      <c r="AP537" s="376" t="str">
        <f>CS_PID!AP537/VLOOKUP($B537,표2[#ALL],2)/HLOOKUP($A537,표1[#ALL],row(),false)</f>
        <v>#N/A</v>
      </c>
      <c r="AQ537" s="376" t="str">
        <f>CS_PID!AQ537/VLOOKUP($B537,표2[#ALL],2)/HLOOKUP($A537,표1[#ALL],row(),false)</f>
        <v>#N/A</v>
      </c>
      <c r="AR537" s="376" t="str">
        <f>CS_PID!AR537/VLOOKUP($B537,표2[#ALL],2)/HLOOKUP($A537,표1[#ALL],row(),false)</f>
        <v>#N/A</v>
      </c>
      <c r="AS537" s="377" t="str">
        <f>CS_PID!AS537/VLOOKUP($B537,표2[#ALL],2)/HLOOKUP($A537,표1[#ALL],row(),false)</f>
        <v>#N/A</v>
      </c>
    </row>
    <row r="538">
      <c r="A538" s="370"/>
      <c r="B538" s="371"/>
      <c r="C538" s="372" t="str">
        <f>CS_PID!C538/VLOOKUP($B538,표2[#ALL],2)</f>
        <v>#N/A</v>
      </c>
      <c r="D538" s="372" t="str">
        <f>CS_PID!D538/VLOOKUP($B538,표2[#ALL],2)</f>
        <v>#N/A</v>
      </c>
      <c r="E538" s="372" t="str">
        <f>CS_PID!E538/VLOOKUP($B538,표2[#ALL],2)</f>
        <v>#N/A</v>
      </c>
      <c r="F538" s="372" t="str">
        <f>CS_PID!F538/VLOOKUP($B538,표2[#ALL],2)</f>
        <v>#N/A</v>
      </c>
      <c r="G538" s="372" t="str">
        <f>CS_PID!G538/VLOOKUP($B538,표2[#ALL],2)</f>
        <v>#N/A</v>
      </c>
      <c r="H538" s="372" t="str">
        <f>CS_PID!H538/VLOOKUP($B538,표2[#ALL],2)/HLOOKUP($A538,표1[#ALL],row(),false)</f>
        <v>#N/A</v>
      </c>
      <c r="I538" s="372" t="str">
        <f>CS_PID!I538/VLOOKUP($B538,표2[#ALL],2)/HLOOKUP($A538,표1[#ALL],row(),false)</f>
        <v>#N/A</v>
      </c>
      <c r="J538" s="372" t="str">
        <f>CS_PID!J538/VLOOKUP($B538,표2[#ALL],2)/HLOOKUP($A538,표1[#ALL],row(),false)</f>
        <v>#N/A</v>
      </c>
      <c r="K538" s="372" t="str">
        <f>CS_PID!K538/VLOOKUP($B538,표2[#ALL],2)/HLOOKUP($A538,표1[#ALL],row(),false)</f>
        <v>#N/A</v>
      </c>
      <c r="L538" s="372" t="str">
        <f>CS_PID!L538/VLOOKUP($B538,표2[#ALL],2)/HLOOKUP($A538,표1[#ALL],row(),false)</f>
        <v>#N/A</v>
      </c>
      <c r="M538" s="372" t="str">
        <f>CS_PID!M538/VLOOKUP($B538,표2[#ALL],2)/HLOOKUP($A538,표1[#ALL],row(),false)</f>
        <v>#N/A</v>
      </c>
      <c r="N538" s="372" t="str">
        <f>CS_PID!N538/VLOOKUP($B538,표2[#ALL],2)/HLOOKUP($A538,표1[#ALL],row(),false)</f>
        <v>#N/A</v>
      </c>
      <c r="O538" s="372" t="str">
        <f>CS_PID!O538/VLOOKUP($B538,표2[#ALL],2)/HLOOKUP($A538,표1[#ALL],row(),false)</f>
        <v>#N/A</v>
      </c>
      <c r="P538" s="372" t="str">
        <f>CS_PID!P538/VLOOKUP($B538,표2[#ALL],2)/HLOOKUP($A538,표1[#ALL],row(),false)</f>
        <v>#N/A</v>
      </c>
      <c r="Q538" s="372" t="str">
        <f>CS_PID!Q538/VLOOKUP($B538,표2[#ALL],2)/HLOOKUP($A538,표1[#ALL],row(),false)</f>
        <v>#N/A</v>
      </c>
      <c r="R538" s="372" t="str">
        <f>CS_PID!R538/VLOOKUP($B538,표2[#ALL],2)/HLOOKUP($A538,표1[#ALL],row(),false)</f>
        <v>#N/A</v>
      </c>
      <c r="S538" s="372" t="str">
        <f>CS_PID!S538/VLOOKUP($B538,표2[#ALL],2)/HLOOKUP($A538,표1[#ALL],row(),false)</f>
        <v>#N/A</v>
      </c>
      <c r="T538" s="372" t="str">
        <f>CS_PID!T538/VLOOKUP($B538,표2[#ALL],2)/HLOOKUP($A538,표1[#ALL],row(),false)</f>
        <v>#N/A</v>
      </c>
      <c r="U538" s="372" t="str">
        <f>CS_PID!U538/VLOOKUP($B538,표2[#ALL],2)/HLOOKUP($A538,표1[#ALL],row(),false)</f>
        <v>#N/A</v>
      </c>
      <c r="V538" s="372" t="str">
        <f>CS_PID!V538/VLOOKUP($B538,표2[#ALL],2)/HLOOKUP($A538,표1[#ALL],row(),false)</f>
        <v>#N/A</v>
      </c>
      <c r="W538" s="372" t="str">
        <f>CS_PID!W538/VLOOKUP($B538,표2[#ALL],2)/HLOOKUP($A538,표1[#ALL],row(),false)</f>
        <v>#N/A</v>
      </c>
      <c r="X538" s="372" t="str">
        <f>CS_PID!X538/VLOOKUP($B538,표2[#ALL],2)/HLOOKUP($A538,표1[#ALL],row(),false)</f>
        <v>#N/A</v>
      </c>
      <c r="Y538" s="372" t="str">
        <f>CS_PID!Y538/VLOOKUP($B538,표2[#ALL],2)/HLOOKUP($A538,표1[#ALL],row(),false)</f>
        <v>#N/A</v>
      </c>
      <c r="Z538" s="372" t="str">
        <f>CS_PID!Z538/VLOOKUP($B538,표2[#ALL],2)/HLOOKUP($A538,표1[#ALL],row(),false)</f>
        <v>#N/A</v>
      </c>
      <c r="AA538" s="372" t="str">
        <f>CS_PID!AA538/VLOOKUP($B538,표2[#ALL],2)/HLOOKUP($A538,표1[#ALL],row(),false)</f>
        <v>#N/A</v>
      </c>
      <c r="AB538" s="372" t="str">
        <f>CS_PID!AB538/VLOOKUP($B538,표2[#ALL],2)/HLOOKUP($A538,표1[#ALL],row(),false)</f>
        <v>#N/A</v>
      </c>
      <c r="AC538" s="372" t="str">
        <f>CS_PID!AC538/VLOOKUP($B538,표2[#ALL],2)/HLOOKUP($A538,표1[#ALL],row(),false)</f>
        <v>#N/A</v>
      </c>
      <c r="AD538" s="372" t="str">
        <f>CS_PID!AD538/VLOOKUP($B538,표2[#ALL],2)/HLOOKUP($A538,표1[#ALL],row(),false)</f>
        <v>#N/A</v>
      </c>
      <c r="AE538" s="372" t="str">
        <f>CS_PID!AE538/VLOOKUP($B538,표2[#ALL],2)/HLOOKUP($A538,표1[#ALL],row(),false)</f>
        <v>#N/A</v>
      </c>
      <c r="AF538" s="372" t="str">
        <f>CS_PID!AF538/VLOOKUP($B538,표2[#ALL],2)/HLOOKUP($A538,표1[#ALL],row(),false)</f>
        <v>#N/A</v>
      </c>
      <c r="AG538" s="372" t="str">
        <f>CS_PID!AG538/VLOOKUP($B538,표2[#ALL],2)/HLOOKUP($A538,표1[#ALL],row(),false)</f>
        <v>#N/A</v>
      </c>
      <c r="AH538" s="372" t="str">
        <f>CS_PID!AH538/VLOOKUP($B538,표2[#ALL],2)/HLOOKUP($A538,표1[#ALL],row(),false)</f>
        <v>#N/A</v>
      </c>
      <c r="AI538" s="372" t="str">
        <f>CS_PID!AI538/VLOOKUP($B538,표2[#ALL],2)/HLOOKUP($A538,표1[#ALL],row(),false)</f>
        <v>#N/A</v>
      </c>
      <c r="AJ538" s="372" t="str">
        <f>CS_PID!AJ538/VLOOKUP($B538,표2[#ALL],2)/HLOOKUP($A538,표1[#ALL],row(),false)</f>
        <v>#N/A</v>
      </c>
      <c r="AK538" s="372" t="str">
        <f>CS_PID!AK538/VLOOKUP($B538,표2[#ALL],2)/HLOOKUP($A538,표1[#ALL],row(),false)</f>
        <v>#N/A</v>
      </c>
      <c r="AL538" s="372" t="str">
        <f>CS_PID!AL538/VLOOKUP($B538,표2[#ALL],2)/HLOOKUP($A538,표1[#ALL],row(),false)</f>
        <v>#N/A</v>
      </c>
      <c r="AM538" s="372" t="str">
        <f>CS_PID!AM538/VLOOKUP($B538,표2[#ALL],2)/HLOOKUP($A538,표1[#ALL],row(),false)</f>
        <v>#N/A</v>
      </c>
      <c r="AN538" s="372" t="str">
        <f>CS_PID!AN538/VLOOKUP($B538,표2[#ALL],2)/HLOOKUP($A538,표1[#ALL],row(),false)</f>
        <v>#N/A</v>
      </c>
      <c r="AO538" s="372" t="str">
        <f>CS_PID!AO538/VLOOKUP($B538,표2[#ALL],2)/HLOOKUP($A538,표1[#ALL],row(),false)</f>
        <v>#N/A</v>
      </c>
      <c r="AP538" s="372" t="str">
        <f>CS_PID!AP538/VLOOKUP($B538,표2[#ALL],2)/HLOOKUP($A538,표1[#ALL],row(),false)</f>
        <v>#N/A</v>
      </c>
      <c r="AQ538" s="372" t="str">
        <f>CS_PID!AQ538/VLOOKUP($B538,표2[#ALL],2)/HLOOKUP($A538,표1[#ALL],row(),false)</f>
        <v>#N/A</v>
      </c>
      <c r="AR538" s="372" t="str">
        <f>CS_PID!AR538/VLOOKUP($B538,표2[#ALL],2)/HLOOKUP($A538,표1[#ALL],row(),false)</f>
        <v>#N/A</v>
      </c>
      <c r="AS538" s="373" t="str">
        <f>CS_PID!AS538/VLOOKUP($B538,표2[#ALL],2)/HLOOKUP($A538,표1[#ALL],row(),false)</f>
        <v>#N/A</v>
      </c>
    </row>
    <row r="539">
      <c r="A539" s="374"/>
      <c r="B539" s="375"/>
      <c r="C539" s="376" t="str">
        <f>CS_PID!C539/VLOOKUP($B539,표2[#ALL],2)</f>
        <v>#N/A</v>
      </c>
      <c r="D539" s="376" t="str">
        <f>CS_PID!D539/VLOOKUP($B539,표2[#ALL],2)</f>
        <v>#N/A</v>
      </c>
      <c r="E539" s="376" t="str">
        <f>CS_PID!E539/VLOOKUP($B539,표2[#ALL],2)</f>
        <v>#N/A</v>
      </c>
      <c r="F539" s="376" t="str">
        <f>CS_PID!F539/VLOOKUP($B539,표2[#ALL],2)</f>
        <v>#N/A</v>
      </c>
      <c r="G539" s="376" t="str">
        <f>CS_PID!G539/VLOOKUP($B539,표2[#ALL],2)</f>
        <v>#N/A</v>
      </c>
      <c r="H539" s="376" t="str">
        <f>CS_PID!H539/VLOOKUP($B539,표2[#ALL],2)/HLOOKUP($A539,표1[#ALL],row(),false)</f>
        <v>#N/A</v>
      </c>
      <c r="I539" s="376" t="str">
        <f>CS_PID!I539/VLOOKUP($B539,표2[#ALL],2)/HLOOKUP($A539,표1[#ALL],row(),false)</f>
        <v>#N/A</v>
      </c>
      <c r="J539" s="376" t="str">
        <f>CS_PID!J539/VLOOKUP($B539,표2[#ALL],2)/HLOOKUP($A539,표1[#ALL],row(),false)</f>
        <v>#N/A</v>
      </c>
      <c r="K539" s="376" t="str">
        <f>CS_PID!K539/VLOOKUP($B539,표2[#ALL],2)/HLOOKUP($A539,표1[#ALL],row(),false)</f>
        <v>#N/A</v>
      </c>
      <c r="L539" s="376" t="str">
        <f>CS_PID!L539/VLOOKUP($B539,표2[#ALL],2)/HLOOKUP($A539,표1[#ALL],row(),false)</f>
        <v>#N/A</v>
      </c>
      <c r="M539" s="376" t="str">
        <f>CS_PID!M539/VLOOKUP($B539,표2[#ALL],2)/HLOOKUP($A539,표1[#ALL],row(),false)</f>
        <v>#N/A</v>
      </c>
      <c r="N539" s="376" t="str">
        <f>CS_PID!N539/VLOOKUP($B539,표2[#ALL],2)/HLOOKUP($A539,표1[#ALL],row(),false)</f>
        <v>#N/A</v>
      </c>
      <c r="O539" s="376" t="str">
        <f>CS_PID!O539/VLOOKUP($B539,표2[#ALL],2)/HLOOKUP($A539,표1[#ALL],row(),false)</f>
        <v>#N/A</v>
      </c>
      <c r="P539" s="376" t="str">
        <f>CS_PID!P539/VLOOKUP($B539,표2[#ALL],2)/HLOOKUP($A539,표1[#ALL],row(),false)</f>
        <v>#N/A</v>
      </c>
      <c r="Q539" s="376" t="str">
        <f>CS_PID!Q539/VLOOKUP($B539,표2[#ALL],2)/HLOOKUP($A539,표1[#ALL],row(),false)</f>
        <v>#N/A</v>
      </c>
      <c r="R539" s="376" t="str">
        <f>CS_PID!R539/VLOOKUP($B539,표2[#ALL],2)/HLOOKUP($A539,표1[#ALL],row(),false)</f>
        <v>#N/A</v>
      </c>
      <c r="S539" s="376" t="str">
        <f>CS_PID!S539/VLOOKUP($B539,표2[#ALL],2)/HLOOKUP($A539,표1[#ALL],row(),false)</f>
        <v>#N/A</v>
      </c>
      <c r="T539" s="376" t="str">
        <f>CS_PID!T539/VLOOKUP($B539,표2[#ALL],2)/HLOOKUP($A539,표1[#ALL],row(),false)</f>
        <v>#N/A</v>
      </c>
      <c r="U539" s="376" t="str">
        <f>CS_PID!U539/VLOOKUP($B539,표2[#ALL],2)/HLOOKUP($A539,표1[#ALL],row(),false)</f>
        <v>#N/A</v>
      </c>
      <c r="V539" s="376" t="str">
        <f>CS_PID!V539/VLOOKUP($B539,표2[#ALL],2)/HLOOKUP($A539,표1[#ALL],row(),false)</f>
        <v>#N/A</v>
      </c>
      <c r="W539" s="376" t="str">
        <f>CS_PID!W539/VLOOKUP($B539,표2[#ALL],2)/HLOOKUP($A539,표1[#ALL],row(),false)</f>
        <v>#N/A</v>
      </c>
      <c r="X539" s="376" t="str">
        <f>CS_PID!X539/VLOOKUP($B539,표2[#ALL],2)/HLOOKUP($A539,표1[#ALL],row(),false)</f>
        <v>#N/A</v>
      </c>
      <c r="Y539" s="376" t="str">
        <f>CS_PID!Y539/VLOOKUP($B539,표2[#ALL],2)/HLOOKUP($A539,표1[#ALL],row(),false)</f>
        <v>#N/A</v>
      </c>
      <c r="Z539" s="376" t="str">
        <f>CS_PID!Z539/VLOOKUP($B539,표2[#ALL],2)/HLOOKUP($A539,표1[#ALL],row(),false)</f>
        <v>#N/A</v>
      </c>
      <c r="AA539" s="376" t="str">
        <f>CS_PID!AA539/VLOOKUP($B539,표2[#ALL],2)/HLOOKUP($A539,표1[#ALL],row(),false)</f>
        <v>#N/A</v>
      </c>
      <c r="AB539" s="376" t="str">
        <f>CS_PID!AB539/VLOOKUP($B539,표2[#ALL],2)/HLOOKUP($A539,표1[#ALL],row(),false)</f>
        <v>#N/A</v>
      </c>
      <c r="AC539" s="376" t="str">
        <f>CS_PID!AC539/VLOOKUP($B539,표2[#ALL],2)/HLOOKUP($A539,표1[#ALL],row(),false)</f>
        <v>#N/A</v>
      </c>
      <c r="AD539" s="376" t="str">
        <f>CS_PID!AD539/VLOOKUP($B539,표2[#ALL],2)/HLOOKUP($A539,표1[#ALL],row(),false)</f>
        <v>#N/A</v>
      </c>
      <c r="AE539" s="376" t="str">
        <f>CS_PID!AE539/VLOOKUP($B539,표2[#ALL],2)/HLOOKUP($A539,표1[#ALL],row(),false)</f>
        <v>#N/A</v>
      </c>
      <c r="AF539" s="376" t="str">
        <f>CS_PID!AF539/VLOOKUP($B539,표2[#ALL],2)/HLOOKUP($A539,표1[#ALL],row(),false)</f>
        <v>#N/A</v>
      </c>
      <c r="AG539" s="376" t="str">
        <f>CS_PID!AG539/VLOOKUP($B539,표2[#ALL],2)/HLOOKUP($A539,표1[#ALL],row(),false)</f>
        <v>#N/A</v>
      </c>
      <c r="AH539" s="376" t="str">
        <f>CS_PID!AH539/VLOOKUP($B539,표2[#ALL],2)/HLOOKUP($A539,표1[#ALL],row(),false)</f>
        <v>#N/A</v>
      </c>
      <c r="AI539" s="376" t="str">
        <f>CS_PID!AI539/VLOOKUP($B539,표2[#ALL],2)/HLOOKUP($A539,표1[#ALL],row(),false)</f>
        <v>#N/A</v>
      </c>
      <c r="AJ539" s="376" t="str">
        <f>CS_PID!AJ539/VLOOKUP($B539,표2[#ALL],2)/HLOOKUP($A539,표1[#ALL],row(),false)</f>
        <v>#N/A</v>
      </c>
      <c r="AK539" s="376" t="str">
        <f>CS_PID!AK539/VLOOKUP($B539,표2[#ALL],2)/HLOOKUP($A539,표1[#ALL],row(),false)</f>
        <v>#N/A</v>
      </c>
      <c r="AL539" s="376" t="str">
        <f>CS_PID!AL539/VLOOKUP($B539,표2[#ALL],2)/HLOOKUP($A539,표1[#ALL],row(),false)</f>
        <v>#N/A</v>
      </c>
      <c r="AM539" s="376" t="str">
        <f>CS_PID!AM539/VLOOKUP($B539,표2[#ALL],2)/HLOOKUP($A539,표1[#ALL],row(),false)</f>
        <v>#N/A</v>
      </c>
      <c r="AN539" s="376" t="str">
        <f>CS_PID!AN539/VLOOKUP($B539,표2[#ALL],2)/HLOOKUP($A539,표1[#ALL],row(),false)</f>
        <v>#N/A</v>
      </c>
      <c r="AO539" s="376" t="str">
        <f>CS_PID!AO539/VLOOKUP($B539,표2[#ALL],2)/HLOOKUP($A539,표1[#ALL],row(),false)</f>
        <v>#N/A</v>
      </c>
      <c r="AP539" s="376" t="str">
        <f>CS_PID!AP539/VLOOKUP($B539,표2[#ALL],2)/HLOOKUP($A539,표1[#ALL],row(),false)</f>
        <v>#N/A</v>
      </c>
      <c r="AQ539" s="376" t="str">
        <f>CS_PID!AQ539/VLOOKUP($B539,표2[#ALL],2)/HLOOKUP($A539,표1[#ALL],row(),false)</f>
        <v>#N/A</v>
      </c>
      <c r="AR539" s="376" t="str">
        <f>CS_PID!AR539/VLOOKUP($B539,표2[#ALL],2)/HLOOKUP($A539,표1[#ALL],row(),false)</f>
        <v>#N/A</v>
      </c>
      <c r="AS539" s="377" t="str">
        <f>CS_PID!AS539/VLOOKUP($B539,표2[#ALL],2)/HLOOKUP($A539,표1[#ALL],row(),false)</f>
        <v>#N/A</v>
      </c>
    </row>
    <row r="540">
      <c r="A540" s="370"/>
      <c r="B540" s="371"/>
      <c r="C540" s="372" t="str">
        <f>CS_PID!C540/VLOOKUP($B540,표2[#ALL],2)</f>
        <v>#N/A</v>
      </c>
      <c r="D540" s="372" t="str">
        <f>CS_PID!D540/VLOOKUP($B540,표2[#ALL],2)</f>
        <v>#N/A</v>
      </c>
      <c r="E540" s="372" t="str">
        <f>CS_PID!E540/VLOOKUP($B540,표2[#ALL],2)</f>
        <v>#N/A</v>
      </c>
      <c r="F540" s="372" t="str">
        <f>CS_PID!F540/VLOOKUP($B540,표2[#ALL],2)</f>
        <v>#N/A</v>
      </c>
      <c r="G540" s="372" t="str">
        <f>CS_PID!G540/VLOOKUP($B540,표2[#ALL],2)</f>
        <v>#N/A</v>
      </c>
      <c r="H540" s="372" t="str">
        <f>CS_PID!H540/VLOOKUP($B540,표2[#ALL],2)/HLOOKUP($A540,표1[#ALL],row(),false)</f>
        <v>#N/A</v>
      </c>
      <c r="I540" s="372" t="str">
        <f>CS_PID!I540/VLOOKUP($B540,표2[#ALL],2)/HLOOKUP($A540,표1[#ALL],row(),false)</f>
        <v>#N/A</v>
      </c>
      <c r="J540" s="372" t="str">
        <f>CS_PID!J540/VLOOKUP($B540,표2[#ALL],2)/HLOOKUP($A540,표1[#ALL],row(),false)</f>
        <v>#N/A</v>
      </c>
      <c r="K540" s="372" t="str">
        <f>CS_PID!K540/VLOOKUP($B540,표2[#ALL],2)/HLOOKUP($A540,표1[#ALL],row(),false)</f>
        <v>#N/A</v>
      </c>
      <c r="L540" s="372" t="str">
        <f>CS_PID!L540/VLOOKUP($B540,표2[#ALL],2)/HLOOKUP($A540,표1[#ALL],row(),false)</f>
        <v>#N/A</v>
      </c>
      <c r="M540" s="372" t="str">
        <f>CS_PID!M540/VLOOKUP($B540,표2[#ALL],2)/HLOOKUP($A540,표1[#ALL],row(),false)</f>
        <v>#N/A</v>
      </c>
      <c r="N540" s="372" t="str">
        <f>CS_PID!N540/VLOOKUP($B540,표2[#ALL],2)/HLOOKUP($A540,표1[#ALL],row(),false)</f>
        <v>#N/A</v>
      </c>
      <c r="O540" s="372" t="str">
        <f>CS_PID!O540/VLOOKUP($B540,표2[#ALL],2)/HLOOKUP($A540,표1[#ALL],row(),false)</f>
        <v>#N/A</v>
      </c>
      <c r="P540" s="372" t="str">
        <f>CS_PID!P540/VLOOKUP($B540,표2[#ALL],2)/HLOOKUP($A540,표1[#ALL],row(),false)</f>
        <v>#N/A</v>
      </c>
      <c r="Q540" s="372" t="str">
        <f>CS_PID!Q540/VLOOKUP($B540,표2[#ALL],2)/HLOOKUP($A540,표1[#ALL],row(),false)</f>
        <v>#N/A</v>
      </c>
      <c r="R540" s="372" t="str">
        <f>CS_PID!R540/VLOOKUP($B540,표2[#ALL],2)/HLOOKUP($A540,표1[#ALL],row(),false)</f>
        <v>#N/A</v>
      </c>
      <c r="S540" s="372" t="str">
        <f>CS_PID!S540/VLOOKUP($B540,표2[#ALL],2)/HLOOKUP($A540,표1[#ALL],row(),false)</f>
        <v>#N/A</v>
      </c>
      <c r="T540" s="372" t="str">
        <f>CS_PID!T540/VLOOKUP($B540,표2[#ALL],2)/HLOOKUP($A540,표1[#ALL],row(),false)</f>
        <v>#N/A</v>
      </c>
      <c r="U540" s="372" t="str">
        <f>CS_PID!U540/VLOOKUP($B540,표2[#ALL],2)/HLOOKUP($A540,표1[#ALL],row(),false)</f>
        <v>#N/A</v>
      </c>
      <c r="V540" s="372" t="str">
        <f>CS_PID!V540/VLOOKUP($B540,표2[#ALL],2)/HLOOKUP($A540,표1[#ALL],row(),false)</f>
        <v>#N/A</v>
      </c>
      <c r="W540" s="372" t="str">
        <f>CS_PID!W540/VLOOKUP($B540,표2[#ALL],2)/HLOOKUP($A540,표1[#ALL],row(),false)</f>
        <v>#N/A</v>
      </c>
      <c r="X540" s="372" t="str">
        <f>CS_PID!X540/VLOOKUP($B540,표2[#ALL],2)/HLOOKUP($A540,표1[#ALL],row(),false)</f>
        <v>#N/A</v>
      </c>
      <c r="Y540" s="372" t="str">
        <f>CS_PID!Y540/VLOOKUP($B540,표2[#ALL],2)/HLOOKUP($A540,표1[#ALL],row(),false)</f>
        <v>#N/A</v>
      </c>
      <c r="Z540" s="372" t="str">
        <f>CS_PID!Z540/VLOOKUP($B540,표2[#ALL],2)/HLOOKUP($A540,표1[#ALL],row(),false)</f>
        <v>#N/A</v>
      </c>
      <c r="AA540" s="372" t="str">
        <f>CS_PID!AA540/VLOOKUP($B540,표2[#ALL],2)/HLOOKUP($A540,표1[#ALL],row(),false)</f>
        <v>#N/A</v>
      </c>
      <c r="AB540" s="372" t="str">
        <f>CS_PID!AB540/VLOOKUP($B540,표2[#ALL],2)/HLOOKUP($A540,표1[#ALL],row(),false)</f>
        <v>#N/A</v>
      </c>
      <c r="AC540" s="372" t="str">
        <f>CS_PID!AC540/VLOOKUP($B540,표2[#ALL],2)/HLOOKUP($A540,표1[#ALL],row(),false)</f>
        <v>#N/A</v>
      </c>
      <c r="AD540" s="372" t="str">
        <f>CS_PID!AD540/VLOOKUP($B540,표2[#ALL],2)/HLOOKUP($A540,표1[#ALL],row(),false)</f>
        <v>#N/A</v>
      </c>
      <c r="AE540" s="372" t="str">
        <f>CS_PID!AE540/VLOOKUP($B540,표2[#ALL],2)/HLOOKUP($A540,표1[#ALL],row(),false)</f>
        <v>#N/A</v>
      </c>
      <c r="AF540" s="372" t="str">
        <f>CS_PID!AF540/VLOOKUP($B540,표2[#ALL],2)/HLOOKUP($A540,표1[#ALL],row(),false)</f>
        <v>#N/A</v>
      </c>
      <c r="AG540" s="372" t="str">
        <f>CS_PID!AG540/VLOOKUP($B540,표2[#ALL],2)/HLOOKUP($A540,표1[#ALL],row(),false)</f>
        <v>#N/A</v>
      </c>
      <c r="AH540" s="372" t="str">
        <f>CS_PID!AH540/VLOOKUP($B540,표2[#ALL],2)/HLOOKUP($A540,표1[#ALL],row(),false)</f>
        <v>#N/A</v>
      </c>
      <c r="AI540" s="372" t="str">
        <f>CS_PID!AI540/VLOOKUP($B540,표2[#ALL],2)/HLOOKUP($A540,표1[#ALL],row(),false)</f>
        <v>#N/A</v>
      </c>
      <c r="AJ540" s="372" t="str">
        <f>CS_PID!AJ540/VLOOKUP($B540,표2[#ALL],2)/HLOOKUP($A540,표1[#ALL],row(),false)</f>
        <v>#N/A</v>
      </c>
      <c r="AK540" s="372" t="str">
        <f>CS_PID!AK540/VLOOKUP($B540,표2[#ALL],2)/HLOOKUP($A540,표1[#ALL],row(),false)</f>
        <v>#N/A</v>
      </c>
      <c r="AL540" s="372" t="str">
        <f>CS_PID!AL540/VLOOKUP($B540,표2[#ALL],2)/HLOOKUP($A540,표1[#ALL],row(),false)</f>
        <v>#N/A</v>
      </c>
      <c r="AM540" s="372" t="str">
        <f>CS_PID!AM540/VLOOKUP($B540,표2[#ALL],2)/HLOOKUP($A540,표1[#ALL],row(),false)</f>
        <v>#N/A</v>
      </c>
      <c r="AN540" s="372" t="str">
        <f>CS_PID!AN540/VLOOKUP($B540,표2[#ALL],2)/HLOOKUP($A540,표1[#ALL],row(),false)</f>
        <v>#N/A</v>
      </c>
      <c r="AO540" s="372" t="str">
        <f>CS_PID!AO540/VLOOKUP($B540,표2[#ALL],2)/HLOOKUP($A540,표1[#ALL],row(),false)</f>
        <v>#N/A</v>
      </c>
      <c r="AP540" s="372" t="str">
        <f>CS_PID!AP540/VLOOKUP($B540,표2[#ALL],2)/HLOOKUP($A540,표1[#ALL],row(),false)</f>
        <v>#N/A</v>
      </c>
      <c r="AQ540" s="372" t="str">
        <f>CS_PID!AQ540/VLOOKUP($B540,표2[#ALL],2)/HLOOKUP($A540,표1[#ALL],row(),false)</f>
        <v>#N/A</v>
      </c>
      <c r="AR540" s="372" t="str">
        <f>CS_PID!AR540/VLOOKUP($B540,표2[#ALL],2)/HLOOKUP($A540,표1[#ALL],row(),false)</f>
        <v>#N/A</v>
      </c>
      <c r="AS540" s="373" t="str">
        <f>CS_PID!AS540/VLOOKUP($B540,표2[#ALL],2)/HLOOKUP($A540,표1[#ALL],row(),false)</f>
        <v>#N/A</v>
      </c>
    </row>
    <row r="541">
      <c r="A541" s="374"/>
      <c r="B541" s="375"/>
      <c r="C541" s="376" t="str">
        <f>CS_PID!C541/VLOOKUP($B541,표2[#ALL],2)</f>
        <v>#N/A</v>
      </c>
      <c r="D541" s="376" t="str">
        <f>CS_PID!D541/VLOOKUP($B541,표2[#ALL],2)</f>
        <v>#N/A</v>
      </c>
      <c r="E541" s="376" t="str">
        <f>CS_PID!E541/VLOOKUP($B541,표2[#ALL],2)</f>
        <v>#N/A</v>
      </c>
      <c r="F541" s="376" t="str">
        <f>CS_PID!F541/VLOOKUP($B541,표2[#ALL],2)</f>
        <v>#N/A</v>
      </c>
      <c r="G541" s="376" t="str">
        <f>CS_PID!G541/VLOOKUP($B541,표2[#ALL],2)</f>
        <v>#N/A</v>
      </c>
      <c r="H541" s="376" t="str">
        <f>CS_PID!H541/VLOOKUP($B541,표2[#ALL],2)/HLOOKUP($A541,표1[#ALL],row(),false)</f>
        <v>#N/A</v>
      </c>
      <c r="I541" s="376" t="str">
        <f>CS_PID!I541/VLOOKUP($B541,표2[#ALL],2)/HLOOKUP($A541,표1[#ALL],row(),false)</f>
        <v>#N/A</v>
      </c>
      <c r="J541" s="376" t="str">
        <f>CS_PID!J541/VLOOKUP($B541,표2[#ALL],2)/HLOOKUP($A541,표1[#ALL],row(),false)</f>
        <v>#N/A</v>
      </c>
      <c r="K541" s="376" t="str">
        <f>CS_PID!K541/VLOOKUP($B541,표2[#ALL],2)/HLOOKUP($A541,표1[#ALL],row(),false)</f>
        <v>#N/A</v>
      </c>
      <c r="L541" s="376" t="str">
        <f>CS_PID!L541/VLOOKUP($B541,표2[#ALL],2)/HLOOKUP($A541,표1[#ALL],row(),false)</f>
        <v>#N/A</v>
      </c>
      <c r="M541" s="376" t="str">
        <f>CS_PID!M541/VLOOKUP($B541,표2[#ALL],2)/HLOOKUP($A541,표1[#ALL],row(),false)</f>
        <v>#N/A</v>
      </c>
      <c r="N541" s="376" t="str">
        <f>CS_PID!N541/VLOOKUP($B541,표2[#ALL],2)/HLOOKUP($A541,표1[#ALL],row(),false)</f>
        <v>#N/A</v>
      </c>
      <c r="O541" s="376" t="str">
        <f>CS_PID!O541/VLOOKUP($B541,표2[#ALL],2)/HLOOKUP($A541,표1[#ALL],row(),false)</f>
        <v>#N/A</v>
      </c>
      <c r="P541" s="376" t="str">
        <f>CS_PID!P541/VLOOKUP($B541,표2[#ALL],2)/HLOOKUP($A541,표1[#ALL],row(),false)</f>
        <v>#N/A</v>
      </c>
      <c r="Q541" s="376" t="str">
        <f>CS_PID!Q541/VLOOKUP($B541,표2[#ALL],2)/HLOOKUP($A541,표1[#ALL],row(),false)</f>
        <v>#N/A</v>
      </c>
      <c r="R541" s="376" t="str">
        <f>CS_PID!R541/VLOOKUP($B541,표2[#ALL],2)/HLOOKUP($A541,표1[#ALL],row(),false)</f>
        <v>#N/A</v>
      </c>
      <c r="S541" s="376" t="str">
        <f>CS_PID!S541/VLOOKUP($B541,표2[#ALL],2)/HLOOKUP($A541,표1[#ALL],row(),false)</f>
        <v>#N/A</v>
      </c>
      <c r="T541" s="376" t="str">
        <f>CS_PID!T541/VLOOKUP($B541,표2[#ALL],2)/HLOOKUP($A541,표1[#ALL],row(),false)</f>
        <v>#N/A</v>
      </c>
      <c r="U541" s="376" t="str">
        <f>CS_PID!U541/VLOOKUP($B541,표2[#ALL],2)/HLOOKUP($A541,표1[#ALL],row(),false)</f>
        <v>#N/A</v>
      </c>
      <c r="V541" s="376" t="str">
        <f>CS_PID!V541/VLOOKUP($B541,표2[#ALL],2)/HLOOKUP($A541,표1[#ALL],row(),false)</f>
        <v>#N/A</v>
      </c>
      <c r="W541" s="376" t="str">
        <f>CS_PID!W541/VLOOKUP($B541,표2[#ALL],2)/HLOOKUP($A541,표1[#ALL],row(),false)</f>
        <v>#N/A</v>
      </c>
      <c r="X541" s="376" t="str">
        <f>CS_PID!X541/VLOOKUP($B541,표2[#ALL],2)/HLOOKUP($A541,표1[#ALL],row(),false)</f>
        <v>#N/A</v>
      </c>
      <c r="Y541" s="376" t="str">
        <f>CS_PID!Y541/VLOOKUP($B541,표2[#ALL],2)/HLOOKUP($A541,표1[#ALL],row(),false)</f>
        <v>#N/A</v>
      </c>
      <c r="Z541" s="376" t="str">
        <f>CS_PID!Z541/VLOOKUP($B541,표2[#ALL],2)/HLOOKUP($A541,표1[#ALL],row(),false)</f>
        <v>#N/A</v>
      </c>
      <c r="AA541" s="376" t="str">
        <f>CS_PID!AA541/VLOOKUP($B541,표2[#ALL],2)/HLOOKUP($A541,표1[#ALL],row(),false)</f>
        <v>#N/A</v>
      </c>
      <c r="AB541" s="376" t="str">
        <f>CS_PID!AB541/VLOOKUP($B541,표2[#ALL],2)/HLOOKUP($A541,표1[#ALL],row(),false)</f>
        <v>#N/A</v>
      </c>
      <c r="AC541" s="376" t="str">
        <f>CS_PID!AC541/VLOOKUP($B541,표2[#ALL],2)/HLOOKUP($A541,표1[#ALL],row(),false)</f>
        <v>#N/A</v>
      </c>
      <c r="AD541" s="376" t="str">
        <f>CS_PID!AD541/VLOOKUP($B541,표2[#ALL],2)/HLOOKUP($A541,표1[#ALL],row(),false)</f>
        <v>#N/A</v>
      </c>
      <c r="AE541" s="376" t="str">
        <f>CS_PID!AE541/VLOOKUP($B541,표2[#ALL],2)/HLOOKUP($A541,표1[#ALL],row(),false)</f>
        <v>#N/A</v>
      </c>
      <c r="AF541" s="376" t="str">
        <f>CS_PID!AF541/VLOOKUP($B541,표2[#ALL],2)/HLOOKUP($A541,표1[#ALL],row(),false)</f>
        <v>#N/A</v>
      </c>
      <c r="AG541" s="376" t="str">
        <f>CS_PID!AG541/VLOOKUP($B541,표2[#ALL],2)/HLOOKUP($A541,표1[#ALL],row(),false)</f>
        <v>#N/A</v>
      </c>
      <c r="AH541" s="376" t="str">
        <f>CS_PID!AH541/VLOOKUP($B541,표2[#ALL],2)/HLOOKUP($A541,표1[#ALL],row(),false)</f>
        <v>#N/A</v>
      </c>
      <c r="AI541" s="376" t="str">
        <f>CS_PID!AI541/VLOOKUP($B541,표2[#ALL],2)/HLOOKUP($A541,표1[#ALL],row(),false)</f>
        <v>#N/A</v>
      </c>
      <c r="AJ541" s="376" t="str">
        <f>CS_PID!AJ541/VLOOKUP($B541,표2[#ALL],2)/HLOOKUP($A541,표1[#ALL],row(),false)</f>
        <v>#N/A</v>
      </c>
      <c r="AK541" s="376" t="str">
        <f>CS_PID!AK541/VLOOKUP($B541,표2[#ALL],2)/HLOOKUP($A541,표1[#ALL],row(),false)</f>
        <v>#N/A</v>
      </c>
      <c r="AL541" s="376" t="str">
        <f>CS_PID!AL541/VLOOKUP($B541,표2[#ALL],2)/HLOOKUP($A541,표1[#ALL],row(),false)</f>
        <v>#N/A</v>
      </c>
      <c r="AM541" s="376" t="str">
        <f>CS_PID!AM541/VLOOKUP($B541,표2[#ALL],2)/HLOOKUP($A541,표1[#ALL],row(),false)</f>
        <v>#N/A</v>
      </c>
      <c r="AN541" s="376" t="str">
        <f>CS_PID!AN541/VLOOKUP($B541,표2[#ALL],2)/HLOOKUP($A541,표1[#ALL],row(),false)</f>
        <v>#N/A</v>
      </c>
      <c r="AO541" s="376" t="str">
        <f>CS_PID!AO541/VLOOKUP($B541,표2[#ALL],2)/HLOOKUP($A541,표1[#ALL],row(),false)</f>
        <v>#N/A</v>
      </c>
      <c r="AP541" s="376" t="str">
        <f>CS_PID!AP541/VLOOKUP($B541,표2[#ALL],2)/HLOOKUP($A541,표1[#ALL],row(),false)</f>
        <v>#N/A</v>
      </c>
      <c r="AQ541" s="376" t="str">
        <f>CS_PID!AQ541/VLOOKUP($B541,표2[#ALL],2)/HLOOKUP($A541,표1[#ALL],row(),false)</f>
        <v>#N/A</v>
      </c>
      <c r="AR541" s="376" t="str">
        <f>CS_PID!AR541/VLOOKUP($B541,표2[#ALL],2)/HLOOKUP($A541,표1[#ALL],row(),false)</f>
        <v>#N/A</v>
      </c>
      <c r="AS541" s="377" t="str">
        <f>CS_PID!AS541/VLOOKUP($B541,표2[#ALL],2)/HLOOKUP($A541,표1[#ALL],row(),false)</f>
        <v>#N/A</v>
      </c>
    </row>
    <row r="542">
      <c r="A542" s="370"/>
      <c r="B542" s="371"/>
      <c r="C542" s="372" t="str">
        <f>CS_PID!C542/VLOOKUP($B542,표2[#ALL],2)</f>
        <v>#N/A</v>
      </c>
      <c r="D542" s="372" t="str">
        <f>CS_PID!D542/VLOOKUP($B542,표2[#ALL],2)</f>
        <v>#N/A</v>
      </c>
      <c r="E542" s="372" t="str">
        <f>CS_PID!E542/VLOOKUP($B542,표2[#ALL],2)</f>
        <v>#N/A</v>
      </c>
      <c r="F542" s="372" t="str">
        <f>CS_PID!F542/VLOOKUP($B542,표2[#ALL],2)</f>
        <v>#N/A</v>
      </c>
      <c r="G542" s="372" t="str">
        <f>CS_PID!G542/VLOOKUP($B542,표2[#ALL],2)</f>
        <v>#N/A</v>
      </c>
      <c r="H542" s="372" t="str">
        <f>CS_PID!H542/VLOOKUP($B542,표2[#ALL],2)/HLOOKUP($A542,표1[#ALL],row(),false)</f>
        <v>#N/A</v>
      </c>
      <c r="I542" s="372" t="str">
        <f>CS_PID!I542/VLOOKUP($B542,표2[#ALL],2)/HLOOKUP($A542,표1[#ALL],row(),false)</f>
        <v>#N/A</v>
      </c>
      <c r="J542" s="372" t="str">
        <f>CS_PID!J542/VLOOKUP($B542,표2[#ALL],2)/HLOOKUP($A542,표1[#ALL],row(),false)</f>
        <v>#N/A</v>
      </c>
      <c r="K542" s="372" t="str">
        <f>CS_PID!K542/VLOOKUP($B542,표2[#ALL],2)/HLOOKUP($A542,표1[#ALL],row(),false)</f>
        <v>#N/A</v>
      </c>
      <c r="L542" s="372" t="str">
        <f>CS_PID!L542/VLOOKUP($B542,표2[#ALL],2)/HLOOKUP($A542,표1[#ALL],row(),false)</f>
        <v>#N/A</v>
      </c>
      <c r="M542" s="372" t="str">
        <f>CS_PID!M542/VLOOKUP($B542,표2[#ALL],2)/HLOOKUP($A542,표1[#ALL],row(),false)</f>
        <v>#N/A</v>
      </c>
      <c r="N542" s="372" t="str">
        <f>CS_PID!N542/VLOOKUP($B542,표2[#ALL],2)/HLOOKUP($A542,표1[#ALL],row(),false)</f>
        <v>#N/A</v>
      </c>
      <c r="O542" s="372" t="str">
        <f>CS_PID!O542/VLOOKUP($B542,표2[#ALL],2)/HLOOKUP($A542,표1[#ALL],row(),false)</f>
        <v>#N/A</v>
      </c>
      <c r="P542" s="372" t="str">
        <f>CS_PID!P542/VLOOKUP($B542,표2[#ALL],2)/HLOOKUP($A542,표1[#ALL],row(),false)</f>
        <v>#N/A</v>
      </c>
      <c r="Q542" s="372" t="str">
        <f>CS_PID!Q542/VLOOKUP($B542,표2[#ALL],2)/HLOOKUP($A542,표1[#ALL],row(),false)</f>
        <v>#N/A</v>
      </c>
      <c r="R542" s="372" t="str">
        <f>CS_PID!R542/VLOOKUP($B542,표2[#ALL],2)/HLOOKUP($A542,표1[#ALL],row(),false)</f>
        <v>#N/A</v>
      </c>
      <c r="S542" s="372" t="str">
        <f>CS_PID!S542/VLOOKUP($B542,표2[#ALL],2)/HLOOKUP($A542,표1[#ALL],row(),false)</f>
        <v>#N/A</v>
      </c>
      <c r="T542" s="372" t="str">
        <f>CS_PID!T542/VLOOKUP($B542,표2[#ALL],2)/HLOOKUP($A542,표1[#ALL],row(),false)</f>
        <v>#N/A</v>
      </c>
      <c r="U542" s="372" t="str">
        <f>CS_PID!U542/VLOOKUP($B542,표2[#ALL],2)/HLOOKUP($A542,표1[#ALL],row(),false)</f>
        <v>#N/A</v>
      </c>
      <c r="V542" s="372" t="str">
        <f>CS_PID!V542/VLOOKUP($B542,표2[#ALL],2)/HLOOKUP($A542,표1[#ALL],row(),false)</f>
        <v>#N/A</v>
      </c>
      <c r="W542" s="372" t="str">
        <f>CS_PID!W542/VLOOKUP($B542,표2[#ALL],2)/HLOOKUP($A542,표1[#ALL],row(),false)</f>
        <v>#N/A</v>
      </c>
      <c r="X542" s="372" t="str">
        <f>CS_PID!X542/VLOOKUP($B542,표2[#ALL],2)/HLOOKUP($A542,표1[#ALL],row(),false)</f>
        <v>#N/A</v>
      </c>
      <c r="Y542" s="372" t="str">
        <f>CS_PID!Y542/VLOOKUP($B542,표2[#ALL],2)/HLOOKUP($A542,표1[#ALL],row(),false)</f>
        <v>#N/A</v>
      </c>
      <c r="Z542" s="372" t="str">
        <f>CS_PID!Z542/VLOOKUP($B542,표2[#ALL],2)/HLOOKUP($A542,표1[#ALL],row(),false)</f>
        <v>#N/A</v>
      </c>
      <c r="AA542" s="372" t="str">
        <f>CS_PID!AA542/VLOOKUP($B542,표2[#ALL],2)/HLOOKUP($A542,표1[#ALL],row(),false)</f>
        <v>#N/A</v>
      </c>
      <c r="AB542" s="372" t="str">
        <f>CS_PID!AB542/VLOOKUP($B542,표2[#ALL],2)/HLOOKUP($A542,표1[#ALL],row(),false)</f>
        <v>#N/A</v>
      </c>
      <c r="AC542" s="372" t="str">
        <f>CS_PID!AC542/VLOOKUP($B542,표2[#ALL],2)/HLOOKUP($A542,표1[#ALL],row(),false)</f>
        <v>#N/A</v>
      </c>
      <c r="AD542" s="372" t="str">
        <f>CS_PID!AD542/VLOOKUP($B542,표2[#ALL],2)/HLOOKUP($A542,표1[#ALL],row(),false)</f>
        <v>#N/A</v>
      </c>
      <c r="AE542" s="372" t="str">
        <f>CS_PID!AE542/VLOOKUP($B542,표2[#ALL],2)/HLOOKUP($A542,표1[#ALL],row(),false)</f>
        <v>#N/A</v>
      </c>
      <c r="AF542" s="372" t="str">
        <f>CS_PID!AF542/VLOOKUP($B542,표2[#ALL],2)/HLOOKUP($A542,표1[#ALL],row(),false)</f>
        <v>#N/A</v>
      </c>
      <c r="AG542" s="372" t="str">
        <f>CS_PID!AG542/VLOOKUP($B542,표2[#ALL],2)/HLOOKUP($A542,표1[#ALL],row(),false)</f>
        <v>#N/A</v>
      </c>
      <c r="AH542" s="372" t="str">
        <f>CS_PID!AH542/VLOOKUP($B542,표2[#ALL],2)/HLOOKUP($A542,표1[#ALL],row(),false)</f>
        <v>#N/A</v>
      </c>
      <c r="AI542" s="372" t="str">
        <f>CS_PID!AI542/VLOOKUP($B542,표2[#ALL],2)/HLOOKUP($A542,표1[#ALL],row(),false)</f>
        <v>#N/A</v>
      </c>
      <c r="AJ542" s="372" t="str">
        <f>CS_PID!AJ542/VLOOKUP($B542,표2[#ALL],2)/HLOOKUP($A542,표1[#ALL],row(),false)</f>
        <v>#N/A</v>
      </c>
      <c r="AK542" s="372" t="str">
        <f>CS_PID!AK542/VLOOKUP($B542,표2[#ALL],2)/HLOOKUP($A542,표1[#ALL],row(),false)</f>
        <v>#N/A</v>
      </c>
      <c r="AL542" s="372" t="str">
        <f>CS_PID!AL542/VLOOKUP($B542,표2[#ALL],2)/HLOOKUP($A542,표1[#ALL],row(),false)</f>
        <v>#N/A</v>
      </c>
      <c r="AM542" s="372" t="str">
        <f>CS_PID!AM542/VLOOKUP($B542,표2[#ALL],2)/HLOOKUP($A542,표1[#ALL],row(),false)</f>
        <v>#N/A</v>
      </c>
      <c r="AN542" s="372" t="str">
        <f>CS_PID!AN542/VLOOKUP($B542,표2[#ALL],2)/HLOOKUP($A542,표1[#ALL],row(),false)</f>
        <v>#N/A</v>
      </c>
      <c r="AO542" s="372" t="str">
        <f>CS_PID!AO542/VLOOKUP($B542,표2[#ALL],2)/HLOOKUP($A542,표1[#ALL],row(),false)</f>
        <v>#N/A</v>
      </c>
      <c r="AP542" s="372" t="str">
        <f>CS_PID!AP542/VLOOKUP($B542,표2[#ALL],2)/HLOOKUP($A542,표1[#ALL],row(),false)</f>
        <v>#N/A</v>
      </c>
      <c r="AQ542" s="372" t="str">
        <f>CS_PID!AQ542/VLOOKUP($B542,표2[#ALL],2)/HLOOKUP($A542,표1[#ALL],row(),false)</f>
        <v>#N/A</v>
      </c>
      <c r="AR542" s="372" t="str">
        <f>CS_PID!AR542/VLOOKUP($B542,표2[#ALL],2)/HLOOKUP($A542,표1[#ALL],row(),false)</f>
        <v>#N/A</v>
      </c>
      <c r="AS542" s="373" t="str">
        <f>CS_PID!AS542/VLOOKUP($B542,표2[#ALL],2)/HLOOKUP($A542,표1[#ALL],row(),false)</f>
        <v>#N/A</v>
      </c>
    </row>
    <row r="543">
      <c r="A543" s="374"/>
      <c r="B543" s="375"/>
      <c r="C543" s="376" t="str">
        <f>CS_PID!C543/VLOOKUP($B543,표2[#ALL],2)</f>
        <v>#N/A</v>
      </c>
      <c r="D543" s="376" t="str">
        <f>CS_PID!D543/VLOOKUP($B543,표2[#ALL],2)</f>
        <v>#N/A</v>
      </c>
      <c r="E543" s="376" t="str">
        <f>CS_PID!E543/VLOOKUP($B543,표2[#ALL],2)</f>
        <v>#N/A</v>
      </c>
      <c r="F543" s="376" t="str">
        <f>CS_PID!F543/VLOOKUP($B543,표2[#ALL],2)</f>
        <v>#N/A</v>
      </c>
      <c r="G543" s="376" t="str">
        <f>CS_PID!G543/VLOOKUP($B543,표2[#ALL],2)</f>
        <v>#N/A</v>
      </c>
      <c r="H543" s="376" t="str">
        <f>CS_PID!H543/VLOOKUP($B543,표2[#ALL],2)/HLOOKUP($A543,표1[#ALL],row(),false)</f>
        <v>#N/A</v>
      </c>
      <c r="I543" s="376" t="str">
        <f>CS_PID!I543/VLOOKUP($B543,표2[#ALL],2)/HLOOKUP($A543,표1[#ALL],row(),false)</f>
        <v>#N/A</v>
      </c>
      <c r="J543" s="376" t="str">
        <f>CS_PID!J543/VLOOKUP($B543,표2[#ALL],2)/HLOOKUP($A543,표1[#ALL],row(),false)</f>
        <v>#N/A</v>
      </c>
      <c r="K543" s="376" t="str">
        <f>CS_PID!K543/VLOOKUP($B543,표2[#ALL],2)/HLOOKUP($A543,표1[#ALL],row(),false)</f>
        <v>#N/A</v>
      </c>
      <c r="L543" s="376" t="str">
        <f>CS_PID!L543/VLOOKUP($B543,표2[#ALL],2)/HLOOKUP($A543,표1[#ALL],row(),false)</f>
        <v>#N/A</v>
      </c>
      <c r="M543" s="376" t="str">
        <f>CS_PID!M543/VLOOKUP($B543,표2[#ALL],2)/HLOOKUP($A543,표1[#ALL],row(),false)</f>
        <v>#N/A</v>
      </c>
      <c r="N543" s="376" t="str">
        <f>CS_PID!N543/VLOOKUP($B543,표2[#ALL],2)/HLOOKUP($A543,표1[#ALL],row(),false)</f>
        <v>#N/A</v>
      </c>
      <c r="O543" s="376" t="str">
        <f>CS_PID!O543/VLOOKUP($B543,표2[#ALL],2)/HLOOKUP($A543,표1[#ALL],row(),false)</f>
        <v>#N/A</v>
      </c>
      <c r="P543" s="376" t="str">
        <f>CS_PID!P543/VLOOKUP($B543,표2[#ALL],2)/HLOOKUP($A543,표1[#ALL],row(),false)</f>
        <v>#N/A</v>
      </c>
      <c r="Q543" s="376" t="str">
        <f>CS_PID!Q543/VLOOKUP($B543,표2[#ALL],2)/HLOOKUP($A543,표1[#ALL],row(),false)</f>
        <v>#N/A</v>
      </c>
      <c r="R543" s="376" t="str">
        <f>CS_PID!R543/VLOOKUP($B543,표2[#ALL],2)/HLOOKUP($A543,표1[#ALL],row(),false)</f>
        <v>#N/A</v>
      </c>
      <c r="S543" s="376" t="str">
        <f>CS_PID!S543/VLOOKUP($B543,표2[#ALL],2)/HLOOKUP($A543,표1[#ALL],row(),false)</f>
        <v>#N/A</v>
      </c>
      <c r="T543" s="376" t="str">
        <f>CS_PID!T543/VLOOKUP($B543,표2[#ALL],2)/HLOOKUP($A543,표1[#ALL],row(),false)</f>
        <v>#N/A</v>
      </c>
      <c r="U543" s="376" t="str">
        <f>CS_PID!U543/VLOOKUP($B543,표2[#ALL],2)/HLOOKUP($A543,표1[#ALL],row(),false)</f>
        <v>#N/A</v>
      </c>
      <c r="V543" s="376" t="str">
        <f>CS_PID!V543/VLOOKUP($B543,표2[#ALL],2)/HLOOKUP($A543,표1[#ALL],row(),false)</f>
        <v>#N/A</v>
      </c>
      <c r="W543" s="376" t="str">
        <f>CS_PID!W543/VLOOKUP($B543,표2[#ALL],2)/HLOOKUP($A543,표1[#ALL],row(),false)</f>
        <v>#N/A</v>
      </c>
      <c r="X543" s="376" t="str">
        <f>CS_PID!X543/VLOOKUP($B543,표2[#ALL],2)/HLOOKUP($A543,표1[#ALL],row(),false)</f>
        <v>#N/A</v>
      </c>
      <c r="Y543" s="376" t="str">
        <f>CS_PID!Y543/VLOOKUP($B543,표2[#ALL],2)/HLOOKUP($A543,표1[#ALL],row(),false)</f>
        <v>#N/A</v>
      </c>
      <c r="Z543" s="376" t="str">
        <f>CS_PID!Z543/VLOOKUP($B543,표2[#ALL],2)/HLOOKUP($A543,표1[#ALL],row(),false)</f>
        <v>#N/A</v>
      </c>
      <c r="AA543" s="376" t="str">
        <f>CS_PID!AA543/VLOOKUP($B543,표2[#ALL],2)/HLOOKUP($A543,표1[#ALL],row(),false)</f>
        <v>#N/A</v>
      </c>
      <c r="AB543" s="376" t="str">
        <f>CS_PID!AB543/VLOOKUP($B543,표2[#ALL],2)/HLOOKUP($A543,표1[#ALL],row(),false)</f>
        <v>#N/A</v>
      </c>
      <c r="AC543" s="376" t="str">
        <f>CS_PID!AC543/VLOOKUP($B543,표2[#ALL],2)/HLOOKUP($A543,표1[#ALL],row(),false)</f>
        <v>#N/A</v>
      </c>
      <c r="AD543" s="376" t="str">
        <f>CS_PID!AD543/VLOOKUP($B543,표2[#ALL],2)/HLOOKUP($A543,표1[#ALL],row(),false)</f>
        <v>#N/A</v>
      </c>
      <c r="AE543" s="376" t="str">
        <f>CS_PID!AE543/VLOOKUP($B543,표2[#ALL],2)/HLOOKUP($A543,표1[#ALL],row(),false)</f>
        <v>#N/A</v>
      </c>
      <c r="AF543" s="376" t="str">
        <f>CS_PID!AF543/VLOOKUP($B543,표2[#ALL],2)/HLOOKUP($A543,표1[#ALL],row(),false)</f>
        <v>#N/A</v>
      </c>
      <c r="AG543" s="376" t="str">
        <f>CS_PID!AG543/VLOOKUP($B543,표2[#ALL],2)/HLOOKUP($A543,표1[#ALL],row(),false)</f>
        <v>#N/A</v>
      </c>
      <c r="AH543" s="376" t="str">
        <f>CS_PID!AH543/VLOOKUP($B543,표2[#ALL],2)/HLOOKUP($A543,표1[#ALL],row(),false)</f>
        <v>#N/A</v>
      </c>
      <c r="AI543" s="376" t="str">
        <f>CS_PID!AI543/VLOOKUP($B543,표2[#ALL],2)/HLOOKUP($A543,표1[#ALL],row(),false)</f>
        <v>#N/A</v>
      </c>
      <c r="AJ543" s="376" t="str">
        <f>CS_PID!AJ543/VLOOKUP($B543,표2[#ALL],2)/HLOOKUP($A543,표1[#ALL],row(),false)</f>
        <v>#N/A</v>
      </c>
      <c r="AK543" s="376" t="str">
        <f>CS_PID!AK543/VLOOKUP($B543,표2[#ALL],2)/HLOOKUP($A543,표1[#ALL],row(),false)</f>
        <v>#N/A</v>
      </c>
      <c r="AL543" s="376" t="str">
        <f>CS_PID!AL543/VLOOKUP($B543,표2[#ALL],2)/HLOOKUP($A543,표1[#ALL],row(),false)</f>
        <v>#N/A</v>
      </c>
      <c r="AM543" s="376" t="str">
        <f>CS_PID!AM543/VLOOKUP($B543,표2[#ALL],2)/HLOOKUP($A543,표1[#ALL],row(),false)</f>
        <v>#N/A</v>
      </c>
      <c r="AN543" s="376" t="str">
        <f>CS_PID!AN543/VLOOKUP($B543,표2[#ALL],2)/HLOOKUP($A543,표1[#ALL],row(),false)</f>
        <v>#N/A</v>
      </c>
      <c r="AO543" s="376" t="str">
        <f>CS_PID!AO543/VLOOKUP($B543,표2[#ALL],2)/HLOOKUP($A543,표1[#ALL],row(),false)</f>
        <v>#N/A</v>
      </c>
      <c r="AP543" s="376" t="str">
        <f>CS_PID!AP543/VLOOKUP($B543,표2[#ALL],2)/HLOOKUP($A543,표1[#ALL],row(),false)</f>
        <v>#N/A</v>
      </c>
      <c r="AQ543" s="376" t="str">
        <f>CS_PID!AQ543/VLOOKUP($B543,표2[#ALL],2)/HLOOKUP($A543,표1[#ALL],row(),false)</f>
        <v>#N/A</v>
      </c>
      <c r="AR543" s="376" t="str">
        <f>CS_PID!AR543/VLOOKUP($B543,표2[#ALL],2)/HLOOKUP($A543,표1[#ALL],row(),false)</f>
        <v>#N/A</v>
      </c>
      <c r="AS543" s="377" t="str">
        <f>CS_PID!AS543/VLOOKUP($B543,표2[#ALL],2)/HLOOKUP($A543,표1[#ALL],row(),false)</f>
        <v>#N/A</v>
      </c>
    </row>
    <row r="544">
      <c r="A544" s="370"/>
      <c r="B544" s="371"/>
      <c r="C544" s="372" t="str">
        <f>CS_PID!C544/VLOOKUP($B544,표2[#ALL],2)</f>
        <v>#N/A</v>
      </c>
      <c r="D544" s="372" t="str">
        <f>CS_PID!D544/VLOOKUP($B544,표2[#ALL],2)</f>
        <v>#N/A</v>
      </c>
      <c r="E544" s="372" t="str">
        <f>CS_PID!E544/VLOOKUP($B544,표2[#ALL],2)</f>
        <v>#N/A</v>
      </c>
      <c r="F544" s="372" t="str">
        <f>CS_PID!F544/VLOOKUP($B544,표2[#ALL],2)</f>
        <v>#N/A</v>
      </c>
      <c r="G544" s="372" t="str">
        <f>CS_PID!G544/VLOOKUP($B544,표2[#ALL],2)</f>
        <v>#N/A</v>
      </c>
      <c r="H544" s="372" t="str">
        <f>CS_PID!H544/VLOOKUP($B544,표2[#ALL],2)/HLOOKUP($A544,표1[#ALL],row(),false)</f>
        <v>#N/A</v>
      </c>
      <c r="I544" s="372" t="str">
        <f>CS_PID!I544/VLOOKUP($B544,표2[#ALL],2)/HLOOKUP($A544,표1[#ALL],row(),false)</f>
        <v>#N/A</v>
      </c>
      <c r="J544" s="372" t="str">
        <f>CS_PID!J544/VLOOKUP($B544,표2[#ALL],2)/HLOOKUP($A544,표1[#ALL],row(),false)</f>
        <v>#N/A</v>
      </c>
      <c r="K544" s="372" t="str">
        <f>CS_PID!K544/VLOOKUP($B544,표2[#ALL],2)/HLOOKUP($A544,표1[#ALL],row(),false)</f>
        <v>#N/A</v>
      </c>
      <c r="L544" s="372" t="str">
        <f>CS_PID!L544/VLOOKUP($B544,표2[#ALL],2)/HLOOKUP($A544,표1[#ALL],row(),false)</f>
        <v>#N/A</v>
      </c>
      <c r="M544" s="372" t="str">
        <f>CS_PID!M544/VLOOKUP($B544,표2[#ALL],2)/HLOOKUP($A544,표1[#ALL],row(),false)</f>
        <v>#N/A</v>
      </c>
      <c r="N544" s="372" t="str">
        <f>CS_PID!N544/VLOOKUP($B544,표2[#ALL],2)/HLOOKUP($A544,표1[#ALL],row(),false)</f>
        <v>#N/A</v>
      </c>
      <c r="O544" s="372" t="str">
        <f>CS_PID!O544/VLOOKUP($B544,표2[#ALL],2)/HLOOKUP($A544,표1[#ALL],row(),false)</f>
        <v>#N/A</v>
      </c>
      <c r="P544" s="372" t="str">
        <f>CS_PID!P544/VLOOKUP($B544,표2[#ALL],2)/HLOOKUP($A544,표1[#ALL],row(),false)</f>
        <v>#N/A</v>
      </c>
      <c r="Q544" s="372" t="str">
        <f>CS_PID!Q544/VLOOKUP($B544,표2[#ALL],2)/HLOOKUP($A544,표1[#ALL],row(),false)</f>
        <v>#N/A</v>
      </c>
      <c r="R544" s="372" t="str">
        <f>CS_PID!R544/VLOOKUP($B544,표2[#ALL],2)/HLOOKUP($A544,표1[#ALL],row(),false)</f>
        <v>#N/A</v>
      </c>
      <c r="S544" s="372" t="str">
        <f>CS_PID!S544/VLOOKUP($B544,표2[#ALL],2)/HLOOKUP($A544,표1[#ALL],row(),false)</f>
        <v>#N/A</v>
      </c>
      <c r="T544" s="372" t="str">
        <f>CS_PID!T544/VLOOKUP($B544,표2[#ALL],2)/HLOOKUP($A544,표1[#ALL],row(),false)</f>
        <v>#N/A</v>
      </c>
      <c r="U544" s="372" t="str">
        <f>CS_PID!U544/VLOOKUP($B544,표2[#ALL],2)/HLOOKUP($A544,표1[#ALL],row(),false)</f>
        <v>#N/A</v>
      </c>
      <c r="V544" s="372" t="str">
        <f>CS_PID!V544/VLOOKUP($B544,표2[#ALL],2)/HLOOKUP($A544,표1[#ALL],row(),false)</f>
        <v>#N/A</v>
      </c>
      <c r="W544" s="372" t="str">
        <f>CS_PID!W544/VLOOKUP($B544,표2[#ALL],2)/HLOOKUP($A544,표1[#ALL],row(),false)</f>
        <v>#N/A</v>
      </c>
      <c r="X544" s="372" t="str">
        <f>CS_PID!X544/VLOOKUP($B544,표2[#ALL],2)/HLOOKUP($A544,표1[#ALL],row(),false)</f>
        <v>#N/A</v>
      </c>
      <c r="Y544" s="372" t="str">
        <f>CS_PID!Y544/VLOOKUP($B544,표2[#ALL],2)/HLOOKUP($A544,표1[#ALL],row(),false)</f>
        <v>#N/A</v>
      </c>
      <c r="Z544" s="372" t="str">
        <f>CS_PID!Z544/VLOOKUP($B544,표2[#ALL],2)/HLOOKUP($A544,표1[#ALL],row(),false)</f>
        <v>#N/A</v>
      </c>
      <c r="AA544" s="372" t="str">
        <f>CS_PID!AA544/VLOOKUP($B544,표2[#ALL],2)/HLOOKUP($A544,표1[#ALL],row(),false)</f>
        <v>#N/A</v>
      </c>
      <c r="AB544" s="372" t="str">
        <f>CS_PID!AB544/VLOOKUP($B544,표2[#ALL],2)/HLOOKUP($A544,표1[#ALL],row(),false)</f>
        <v>#N/A</v>
      </c>
      <c r="AC544" s="372" t="str">
        <f>CS_PID!AC544/VLOOKUP($B544,표2[#ALL],2)/HLOOKUP($A544,표1[#ALL],row(),false)</f>
        <v>#N/A</v>
      </c>
      <c r="AD544" s="372" t="str">
        <f>CS_PID!AD544/VLOOKUP($B544,표2[#ALL],2)/HLOOKUP($A544,표1[#ALL],row(),false)</f>
        <v>#N/A</v>
      </c>
      <c r="AE544" s="372" t="str">
        <f>CS_PID!AE544/VLOOKUP($B544,표2[#ALL],2)/HLOOKUP($A544,표1[#ALL],row(),false)</f>
        <v>#N/A</v>
      </c>
      <c r="AF544" s="372" t="str">
        <f>CS_PID!AF544/VLOOKUP($B544,표2[#ALL],2)/HLOOKUP($A544,표1[#ALL],row(),false)</f>
        <v>#N/A</v>
      </c>
      <c r="AG544" s="372" t="str">
        <f>CS_PID!AG544/VLOOKUP($B544,표2[#ALL],2)/HLOOKUP($A544,표1[#ALL],row(),false)</f>
        <v>#N/A</v>
      </c>
      <c r="AH544" s="372" t="str">
        <f>CS_PID!AH544/VLOOKUP($B544,표2[#ALL],2)/HLOOKUP($A544,표1[#ALL],row(),false)</f>
        <v>#N/A</v>
      </c>
      <c r="AI544" s="372" t="str">
        <f>CS_PID!AI544/VLOOKUP($B544,표2[#ALL],2)/HLOOKUP($A544,표1[#ALL],row(),false)</f>
        <v>#N/A</v>
      </c>
      <c r="AJ544" s="372" t="str">
        <f>CS_PID!AJ544/VLOOKUP($B544,표2[#ALL],2)/HLOOKUP($A544,표1[#ALL],row(),false)</f>
        <v>#N/A</v>
      </c>
      <c r="AK544" s="372" t="str">
        <f>CS_PID!AK544/VLOOKUP($B544,표2[#ALL],2)/HLOOKUP($A544,표1[#ALL],row(),false)</f>
        <v>#N/A</v>
      </c>
      <c r="AL544" s="372" t="str">
        <f>CS_PID!AL544/VLOOKUP($B544,표2[#ALL],2)/HLOOKUP($A544,표1[#ALL],row(),false)</f>
        <v>#N/A</v>
      </c>
      <c r="AM544" s="372" t="str">
        <f>CS_PID!AM544/VLOOKUP($B544,표2[#ALL],2)/HLOOKUP($A544,표1[#ALL],row(),false)</f>
        <v>#N/A</v>
      </c>
      <c r="AN544" s="372" t="str">
        <f>CS_PID!AN544/VLOOKUP($B544,표2[#ALL],2)/HLOOKUP($A544,표1[#ALL],row(),false)</f>
        <v>#N/A</v>
      </c>
      <c r="AO544" s="372" t="str">
        <f>CS_PID!AO544/VLOOKUP($B544,표2[#ALL],2)/HLOOKUP($A544,표1[#ALL],row(),false)</f>
        <v>#N/A</v>
      </c>
      <c r="AP544" s="372" t="str">
        <f>CS_PID!AP544/VLOOKUP($B544,표2[#ALL],2)/HLOOKUP($A544,표1[#ALL],row(),false)</f>
        <v>#N/A</v>
      </c>
      <c r="AQ544" s="372" t="str">
        <f>CS_PID!AQ544/VLOOKUP($B544,표2[#ALL],2)/HLOOKUP($A544,표1[#ALL],row(),false)</f>
        <v>#N/A</v>
      </c>
      <c r="AR544" s="372" t="str">
        <f>CS_PID!AR544/VLOOKUP($B544,표2[#ALL],2)/HLOOKUP($A544,표1[#ALL],row(),false)</f>
        <v>#N/A</v>
      </c>
      <c r="AS544" s="373" t="str">
        <f>CS_PID!AS544/VLOOKUP($B544,표2[#ALL],2)/HLOOKUP($A544,표1[#ALL],row(),false)</f>
        <v>#N/A</v>
      </c>
    </row>
    <row r="545">
      <c r="A545" s="374"/>
      <c r="B545" s="375"/>
      <c r="C545" s="376" t="str">
        <f>CS_PID!C545/VLOOKUP($B545,표2[#ALL],2)</f>
        <v>#N/A</v>
      </c>
      <c r="D545" s="376" t="str">
        <f>CS_PID!D545/VLOOKUP($B545,표2[#ALL],2)</f>
        <v>#N/A</v>
      </c>
      <c r="E545" s="376" t="str">
        <f>CS_PID!E545/VLOOKUP($B545,표2[#ALL],2)</f>
        <v>#N/A</v>
      </c>
      <c r="F545" s="376" t="str">
        <f>CS_PID!F545/VLOOKUP($B545,표2[#ALL],2)</f>
        <v>#N/A</v>
      </c>
      <c r="G545" s="376" t="str">
        <f>CS_PID!G545/VLOOKUP($B545,표2[#ALL],2)</f>
        <v>#N/A</v>
      </c>
      <c r="H545" s="376" t="str">
        <f>CS_PID!H545/VLOOKUP($B545,표2[#ALL],2)/HLOOKUP($A545,표1[#ALL],row(),false)</f>
        <v>#N/A</v>
      </c>
      <c r="I545" s="376" t="str">
        <f>CS_PID!I545/VLOOKUP($B545,표2[#ALL],2)/HLOOKUP($A545,표1[#ALL],row(),false)</f>
        <v>#N/A</v>
      </c>
      <c r="J545" s="376" t="str">
        <f>CS_PID!J545/VLOOKUP($B545,표2[#ALL],2)/HLOOKUP($A545,표1[#ALL],row(),false)</f>
        <v>#N/A</v>
      </c>
      <c r="K545" s="376" t="str">
        <f>CS_PID!K545/VLOOKUP($B545,표2[#ALL],2)/HLOOKUP($A545,표1[#ALL],row(),false)</f>
        <v>#N/A</v>
      </c>
      <c r="L545" s="376" t="str">
        <f>CS_PID!L545/VLOOKUP($B545,표2[#ALL],2)/HLOOKUP($A545,표1[#ALL],row(),false)</f>
        <v>#N/A</v>
      </c>
      <c r="M545" s="376" t="str">
        <f>CS_PID!M545/VLOOKUP($B545,표2[#ALL],2)/HLOOKUP($A545,표1[#ALL],row(),false)</f>
        <v>#N/A</v>
      </c>
      <c r="N545" s="376" t="str">
        <f>CS_PID!N545/VLOOKUP($B545,표2[#ALL],2)/HLOOKUP($A545,표1[#ALL],row(),false)</f>
        <v>#N/A</v>
      </c>
      <c r="O545" s="376" t="str">
        <f>CS_PID!O545/VLOOKUP($B545,표2[#ALL],2)/HLOOKUP($A545,표1[#ALL],row(),false)</f>
        <v>#N/A</v>
      </c>
      <c r="P545" s="376" t="str">
        <f>CS_PID!P545/VLOOKUP($B545,표2[#ALL],2)/HLOOKUP($A545,표1[#ALL],row(),false)</f>
        <v>#N/A</v>
      </c>
      <c r="Q545" s="376" t="str">
        <f>CS_PID!Q545/VLOOKUP($B545,표2[#ALL],2)/HLOOKUP($A545,표1[#ALL],row(),false)</f>
        <v>#N/A</v>
      </c>
      <c r="R545" s="376" t="str">
        <f>CS_PID!R545/VLOOKUP($B545,표2[#ALL],2)/HLOOKUP($A545,표1[#ALL],row(),false)</f>
        <v>#N/A</v>
      </c>
      <c r="S545" s="376" t="str">
        <f>CS_PID!S545/VLOOKUP($B545,표2[#ALL],2)/HLOOKUP($A545,표1[#ALL],row(),false)</f>
        <v>#N/A</v>
      </c>
      <c r="T545" s="376" t="str">
        <f>CS_PID!T545/VLOOKUP($B545,표2[#ALL],2)/HLOOKUP($A545,표1[#ALL],row(),false)</f>
        <v>#N/A</v>
      </c>
      <c r="U545" s="376" t="str">
        <f>CS_PID!U545/VLOOKUP($B545,표2[#ALL],2)/HLOOKUP($A545,표1[#ALL],row(),false)</f>
        <v>#N/A</v>
      </c>
      <c r="V545" s="376" t="str">
        <f>CS_PID!V545/VLOOKUP($B545,표2[#ALL],2)/HLOOKUP($A545,표1[#ALL],row(),false)</f>
        <v>#N/A</v>
      </c>
      <c r="W545" s="376" t="str">
        <f>CS_PID!W545/VLOOKUP($B545,표2[#ALL],2)/HLOOKUP($A545,표1[#ALL],row(),false)</f>
        <v>#N/A</v>
      </c>
      <c r="X545" s="376" t="str">
        <f>CS_PID!X545/VLOOKUP($B545,표2[#ALL],2)/HLOOKUP($A545,표1[#ALL],row(),false)</f>
        <v>#N/A</v>
      </c>
      <c r="Y545" s="376" t="str">
        <f>CS_PID!Y545/VLOOKUP($B545,표2[#ALL],2)/HLOOKUP($A545,표1[#ALL],row(),false)</f>
        <v>#N/A</v>
      </c>
      <c r="Z545" s="376" t="str">
        <f>CS_PID!Z545/VLOOKUP($B545,표2[#ALL],2)/HLOOKUP($A545,표1[#ALL],row(),false)</f>
        <v>#N/A</v>
      </c>
      <c r="AA545" s="376" t="str">
        <f>CS_PID!AA545/VLOOKUP($B545,표2[#ALL],2)/HLOOKUP($A545,표1[#ALL],row(),false)</f>
        <v>#N/A</v>
      </c>
      <c r="AB545" s="376" t="str">
        <f>CS_PID!AB545/VLOOKUP($B545,표2[#ALL],2)/HLOOKUP($A545,표1[#ALL],row(),false)</f>
        <v>#N/A</v>
      </c>
      <c r="AC545" s="376" t="str">
        <f>CS_PID!AC545/VLOOKUP($B545,표2[#ALL],2)/HLOOKUP($A545,표1[#ALL],row(),false)</f>
        <v>#N/A</v>
      </c>
      <c r="AD545" s="376" t="str">
        <f>CS_PID!AD545/VLOOKUP($B545,표2[#ALL],2)/HLOOKUP($A545,표1[#ALL],row(),false)</f>
        <v>#N/A</v>
      </c>
      <c r="AE545" s="376" t="str">
        <f>CS_PID!AE545/VLOOKUP($B545,표2[#ALL],2)/HLOOKUP($A545,표1[#ALL],row(),false)</f>
        <v>#N/A</v>
      </c>
      <c r="AF545" s="376" t="str">
        <f>CS_PID!AF545/VLOOKUP($B545,표2[#ALL],2)/HLOOKUP($A545,표1[#ALL],row(),false)</f>
        <v>#N/A</v>
      </c>
      <c r="AG545" s="376" t="str">
        <f>CS_PID!AG545/VLOOKUP($B545,표2[#ALL],2)/HLOOKUP($A545,표1[#ALL],row(),false)</f>
        <v>#N/A</v>
      </c>
      <c r="AH545" s="376" t="str">
        <f>CS_PID!AH545/VLOOKUP($B545,표2[#ALL],2)/HLOOKUP($A545,표1[#ALL],row(),false)</f>
        <v>#N/A</v>
      </c>
      <c r="AI545" s="376" t="str">
        <f>CS_PID!AI545/VLOOKUP($B545,표2[#ALL],2)/HLOOKUP($A545,표1[#ALL],row(),false)</f>
        <v>#N/A</v>
      </c>
      <c r="AJ545" s="376" t="str">
        <f>CS_PID!AJ545/VLOOKUP($B545,표2[#ALL],2)/HLOOKUP($A545,표1[#ALL],row(),false)</f>
        <v>#N/A</v>
      </c>
      <c r="AK545" s="376" t="str">
        <f>CS_PID!AK545/VLOOKUP($B545,표2[#ALL],2)/HLOOKUP($A545,표1[#ALL],row(),false)</f>
        <v>#N/A</v>
      </c>
      <c r="AL545" s="376" t="str">
        <f>CS_PID!AL545/VLOOKUP($B545,표2[#ALL],2)/HLOOKUP($A545,표1[#ALL],row(),false)</f>
        <v>#N/A</v>
      </c>
      <c r="AM545" s="376" t="str">
        <f>CS_PID!AM545/VLOOKUP($B545,표2[#ALL],2)/HLOOKUP($A545,표1[#ALL],row(),false)</f>
        <v>#N/A</v>
      </c>
      <c r="AN545" s="376" t="str">
        <f>CS_PID!AN545/VLOOKUP($B545,표2[#ALL],2)/HLOOKUP($A545,표1[#ALL],row(),false)</f>
        <v>#N/A</v>
      </c>
      <c r="AO545" s="376" t="str">
        <f>CS_PID!AO545/VLOOKUP($B545,표2[#ALL],2)/HLOOKUP($A545,표1[#ALL],row(),false)</f>
        <v>#N/A</v>
      </c>
      <c r="AP545" s="376" t="str">
        <f>CS_PID!AP545/VLOOKUP($B545,표2[#ALL],2)/HLOOKUP($A545,표1[#ALL],row(),false)</f>
        <v>#N/A</v>
      </c>
      <c r="AQ545" s="376" t="str">
        <f>CS_PID!AQ545/VLOOKUP($B545,표2[#ALL],2)/HLOOKUP($A545,표1[#ALL],row(),false)</f>
        <v>#N/A</v>
      </c>
      <c r="AR545" s="376" t="str">
        <f>CS_PID!AR545/VLOOKUP($B545,표2[#ALL],2)/HLOOKUP($A545,표1[#ALL],row(),false)</f>
        <v>#N/A</v>
      </c>
      <c r="AS545" s="377" t="str">
        <f>CS_PID!AS545/VLOOKUP($B545,표2[#ALL],2)/HLOOKUP($A545,표1[#ALL],row(),false)</f>
        <v>#N/A</v>
      </c>
    </row>
    <row r="546">
      <c r="A546" s="370"/>
      <c r="B546" s="371"/>
      <c r="C546" s="372" t="str">
        <f>CS_PID!C546/VLOOKUP($B546,표2[#ALL],2)</f>
        <v>#N/A</v>
      </c>
      <c r="D546" s="372" t="str">
        <f>CS_PID!D546/VLOOKUP($B546,표2[#ALL],2)</f>
        <v>#N/A</v>
      </c>
      <c r="E546" s="372" t="str">
        <f>CS_PID!E546/VLOOKUP($B546,표2[#ALL],2)</f>
        <v>#N/A</v>
      </c>
      <c r="F546" s="372" t="str">
        <f>CS_PID!F546/VLOOKUP($B546,표2[#ALL],2)</f>
        <v>#N/A</v>
      </c>
      <c r="G546" s="372" t="str">
        <f>CS_PID!G546/VLOOKUP($B546,표2[#ALL],2)</f>
        <v>#N/A</v>
      </c>
      <c r="H546" s="372" t="str">
        <f>CS_PID!H546/VLOOKUP($B546,표2[#ALL],2)/HLOOKUP($A546,표1[#ALL],row(),false)</f>
        <v>#N/A</v>
      </c>
      <c r="I546" s="372" t="str">
        <f>CS_PID!I546/VLOOKUP($B546,표2[#ALL],2)/HLOOKUP($A546,표1[#ALL],row(),false)</f>
        <v>#N/A</v>
      </c>
      <c r="J546" s="372" t="str">
        <f>CS_PID!J546/VLOOKUP($B546,표2[#ALL],2)/HLOOKUP($A546,표1[#ALL],row(),false)</f>
        <v>#N/A</v>
      </c>
      <c r="K546" s="372" t="str">
        <f>CS_PID!K546/VLOOKUP($B546,표2[#ALL],2)/HLOOKUP($A546,표1[#ALL],row(),false)</f>
        <v>#N/A</v>
      </c>
      <c r="L546" s="372" t="str">
        <f>CS_PID!L546/VLOOKUP($B546,표2[#ALL],2)/HLOOKUP($A546,표1[#ALL],row(),false)</f>
        <v>#N/A</v>
      </c>
      <c r="M546" s="372" t="str">
        <f>CS_PID!M546/VLOOKUP($B546,표2[#ALL],2)/HLOOKUP($A546,표1[#ALL],row(),false)</f>
        <v>#N/A</v>
      </c>
      <c r="N546" s="372" t="str">
        <f>CS_PID!N546/VLOOKUP($B546,표2[#ALL],2)/HLOOKUP($A546,표1[#ALL],row(),false)</f>
        <v>#N/A</v>
      </c>
      <c r="O546" s="372" t="str">
        <f>CS_PID!O546/VLOOKUP($B546,표2[#ALL],2)/HLOOKUP($A546,표1[#ALL],row(),false)</f>
        <v>#N/A</v>
      </c>
      <c r="P546" s="372" t="str">
        <f>CS_PID!P546/VLOOKUP($B546,표2[#ALL],2)/HLOOKUP($A546,표1[#ALL],row(),false)</f>
        <v>#N/A</v>
      </c>
      <c r="Q546" s="372" t="str">
        <f>CS_PID!Q546/VLOOKUP($B546,표2[#ALL],2)/HLOOKUP($A546,표1[#ALL],row(),false)</f>
        <v>#N/A</v>
      </c>
      <c r="R546" s="372" t="str">
        <f>CS_PID!R546/VLOOKUP($B546,표2[#ALL],2)/HLOOKUP($A546,표1[#ALL],row(),false)</f>
        <v>#N/A</v>
      </c>
      <c r="S546" s="372" t="str">
        <f>CS_PID!S546/VLOOKUP($B546,표2[#ALL],2)/HLOOKUP($A546,표1[#ALL],row(),false)</f>
        <v>#N/A</v>
      </c>
      <c r="T546" s="372" t="str">
        <f>CS_PID!T546/VLOOKUP($B546,표2[#ALL],2)/HLOOKUP($A546,표1[#ALL],row(),false)</f>
        <v>#N/A</v>
      </c>
      <c r="U546" s="372" t="str">
        <f>CS_PID!U546/VLOOKUP($B546,표2[#ALL],2)/HLOOKUP($A546,표1[#ALL],row(),false)</f>
        <v>#N/A</v>
      </c>
      <c r="V546" s="372" t="str">
        <f>CS_PID!V546/VLOOKUP($B546,표2[#ALL],2)/HLOOKUP($A546,표1[#ALL],row(),false)</f>
        <v>#N/A</v>
      </c>
      <c r="W546" s="372" t="str">
        <f>CS_PID!W546/VLOOKUP($B546,표2[#ALL],2)/HLOOKUP($A546,표1[#ALL],row(),false)</f>
        <v>#N/A</v>
      </c>
      <c r="X546" s="372" t="str">
        <f>CS_PID!X546/VLOOKUP($B546,표2[#ALL],2)/HLOOKUP($A546,표1[#ALL],row(),false)</f>
        <v>#N/A</v>
      </c>
      <c r="Y546" s="372" t="str">
        <f>CS_PID!Y546/VLOOKUP($B546,표2[#ALL],2)/HLOOKUP($A546,표1[#ALL],row(),false)</f>
        <v>#N/A</v>
      </c>
      <c r="Z546" s="372" t="str">
        <f>CS_PID!Z546/VLOOKUP($B546,표2[#ALL],2)/HLOOKUP($A546,표1[#ALL],row(),false)</f>
        <v>#N/A</v>
      </c>
      <c r="AA546" s="372" t="str">
        <f>CS_PID!AA546/VLOOKUP($B546,표2[#ALL],2)/HLOOKUP($A546,표1[#ALL],row(),false)</f>
        <v>#N/A</v>
      </c>
      <c r="AB546" s="372" t="str">
        <f>CS_PID!AB546/VLOOKUP($B546,표2[#ALL],2)/HLOOKUP($A546,표1[#ALL],row(),false)</f>
        <v>#N/A</v>
      </c>
      <c r="AC546" s="372" t="str">
        <f>CS_PID!AC546/VLOOKUP($B546,표2[#ALL],2)/HLOOKUP($A546,표1[#ALL],row(),false)</f>
        <v>#N/A</v>
      </c>
      <c r="AD546" s="372" t="str">
        <f>CS_PID!AD546/VLOOKUP($B546,표2[#ALL],2)/HLOOKUP($A546,표1[#ALL],row(),false)</f>
        <v>#N/A</v>
      </c>
      <c r="AE546" s="372" t="str">
        <f>CS_PID!AE546/VLOOKUP($B546,표2[#ALL],2)/HLOOKUP($A546,표1[#ALL],row(),false)</f>
        <v>#N/A</v>
      </c>
      <c r="AF546" s="372" t="str">
        <f>CS_PID!AF546/VLOOKUP($B546,표2[#ALL],2)/HLOOKUP($A546,표1[#ALL],row(),false)</f>
        <v>#N/A</v>
      </c>
      <c r="AG546" s="372" t="str">
        <f>CS_PID!AG546/VLOOKUP($B546,표2[#ALL],2)/HLOOKUP($A546,표1[#ALL],row(),false)</f>
        <v>#N/A</v>
      </c>
      <c r="AH546" s="372" t="str">
        <f>CS_PID!AH546/VLOOKUP($B546,표2[#ALL],2)/HLOOKUP($A546,표1[#ALL],row(),false)</f>
        <v>#N/A</v>
      </c>
      <c r="AI546" s="372" t="str">
        <f>CS_PID!AI546/VLOOKUP($B546,표2[#ALL],2)/HLOOKUP($A546,표1[#ALL],row(),false)</f>
        <v>#N/A</v>
      </c>
      <c r="AJ546" s="372" t="str">
        <f>CS_PID!AJ546/VLOOKUP($B546,표2[#ALL],2)/HLOOKUP($A546,표1[#ALL],row(),false)</f>
        <v>#N/A</v>
      </c>
      <c r="AK546" s="372" t="str">
        <f>CS_PID!AK546/VLOOKUP($B546,표2[#ALL],2)/HLOOKUP($A546,표1[#ALL],row(),false)</f>
        <v>#N/A</v>
      </c>
      <c r="AL546" s="372" t="str">
        <f>CS_PID!AL546/VLOOKUP($B546,표2[#ALL],2)/HLOOKUP($A546,표1[#ALL],row(),false)</f>
        <v>#N/A</v>
      </c>
      <c r="AM546" s="372" t="str">
        <f>CS_PID!AM546/VLOOKUP($B546,표2[#ALL],2)/HLOOKUP($A546,표1[#ALL],row(),false)</f>
        <v>#N/A</v>
      </c>
      <c r="AN546" s="372" t="str">
        <f>CS_PID!AN546/VLOOKUP($B546,표2[#ALL],2)/HLOOKUP($A546,표1[#ALL],row(),false)</f>
        <v>#N/A</v>
      </c>
      <c r="AO546" s="372" t="str">
        <f>CS_PID!AO546/VLOOKUP($B546,표2[#ALL],2)/HLOOKUP($A546,표1[#ALL],row(),false)</f>
        <v>#N/A</v>
      </c>
      <c r="AP546" s="372" t="str">
        <f>CS_PID!AP546/VLOOKUP($B546,표2[#ALL],2)/HLOOKUP($A546,표1[#ALL],row(),false)</f>
        <v>#N/A</v>
      </c>
      <c r="AQ546" s="372" t="str">
        <f>CS_PID!AQ546/VLOOKUP($B546,표2[#ALL],2)/HLOOKUP($A546,표1[#ALL],row(),false)</f>
        <v>#N/A</v>
      </c>
      <c r="AR546" s="372" t="str">
        <f>CS_PID!AR546/VLOOKUP($B546,표2[#ALL],2)/HLOOKUP($A546,표1[#ALL],row(),false)</f>
        <v>#N/A</v>
      </c>
      <c r="AS546" s="373" t="str">
        <f>CS_PID!AS546/VLOOKUP($B546,표2[#ALL],2)/HLOOKUP($A546,표1[#ALL],row(),false)</f>
        <v>#N/A</v>
      </c>
    </row>
    <row r="547">
      <c r="A547" s="374"/>
      <c r="B547" s="375"/>
      <c r="C547" s="376" t="str">
        <f>CS_PID!C547/VLOOKUP($B547,표2[#ALL],2)</f>
        <v>#N/A</v>
      </c>
      <c r="D547" s="376" t="str">
        <f>CS_PID!D547/VLOOKUP($B547,표2[#ALL],2)</f>
        <v>#N/A</v>
      </c>
      <c r="E547" s="376" t="str">
        <f>CS_PID!E547/VLOOKUP($B547,표2[#ALL],2)</f>
        <v>#N/A</v>
      </c>
      <c r="F547" s="376" t="str">
        <f>CS_PID!F547/VLOOKUP($B547,표2[#ALL],2)</f>
        <v>#N/A</v>
      </c>
      <c r="G547" s="376" t="str">
        <f>CS_PID!G547/VLOOKUP($B547,표2[#ALL],2)</f>
        <v>#N/A</v>
      </c>
      <c r="H547" s="376" t="str">
        <f>CS_PID!H547/VLOOKUP($B547,표2[#ALL],2)/HLOOKUP($A547,표1[#ALL],row(),false)</f>
        <v>#N/A</v>
      </c>
      <c r="I547" s="376" t="str">
        <f>CS_PID!I547/VLOOKUP($B547,표2[#ALL],2)/HLOOKUP($A547,표1[#ALL],row(),false)</f>
        <v>#N/A</v>
      </c>
      <c r="J547" s="376" t="str">
        <f>CS_PID!J547/VLOOKUP($B547,표2[#ALL],2)/HLOOKUP($A547,표1[#ALL],row(),false)</f>
        <v>#N/A</v>
      </c>
      <c r="K547" s="376" t="str">
        <f>CS_PID!K547/VLOOKUP($B547,표2[#ALL],2)/HLOOKUP($A547,표1[#ALL],row(),false)</f>
        <v>#N/A</v>
      </c>
      <c r="L547" s="376" t="str">
        <f>CS_PID!L547/VLOOKUP($B547,표2[#ALL],2)/HLOOKUP($A547,표1[#ALL],row(),false)</f>
        <v>#N/A</v>
      </c>
      <c r="M547" s="376" t="str">
        <f>CS_PID!M547/VLOOKUP($B547,표2[#ALL],2)/HLOOKUP($A547,표1[#ALL],row(),false)</f>
        <v>#N/A</v>
      </c>
      <c r="N547" s="376" t="str">
        <f>CS_PID!N547/VLOOKUP($B547,표2[#ALL],2)/HLOOKUP($A547,표1[#ALL],row(),false)</f>
        <v>#N/A</v>
      </c>
      <c r="O547" s="376" t="str">
        <f>CS_PID!O547/VLOOKUP($B547,표2[#ALL],2)/HLOOKUP($A547,표1[#ALL],row(),false)</f>
        <v>#N/A</v>
      </c>
      <c r="P547" s="376" t="str">
        <f>CS_PID!P547/VLOOKUP($B547,표2[#ALL],2)/HLOOKUP($A547,표1[#ALL],row(),false)</f>
        <v>#N/A</v>
      </c>
      <c r="Q547" s="376" t="str">
        <f>CS_PID!Q547/VLOOKUP($B547,표2[#ALL],2)/HLOOKUP($A547,표1[#ALL],row(),false)</f>
        <v>#N/A</v>
      </c>
      <c r="R547" s="376" t="str">
        <f>CS_PID!R547/VLOOKUP($B547,표2[#ALL],2)/HLOOKUP($A547,표1[#ALL],row(),false)</f>
        <v>#N/A</v>
      </c>
      <c r="S547" s="376" t="str">
        <f>CS_PID!S547/VLOOKUP($B547,표2[#ALL],2)/HLOOKUP($A547,표1[#ALL],row(),false)</f>
        <v>#N/A</v>
      </c>
      <c r="T547" s="376" t="str">
        <f>CS_PID!T547/VLOOKUP($B547,표2[#ALL],2)/HLOOKUP($A547,표1[#ALL],row(),false)</f>
        <v>#N/A</v>
      </c>
      <c r="U547" s="376" t="str">
        <f>CS_PID!U547/VLOOKUP($B547,표2[#ALL],2)/HLOOKUP($A547,표1[#ALL],row(),false)</f>
        <v>#N/A</v>
      </c>
      <c r="V547" s="376" t="str">
        <f>CS_PID!V547/VLOOKUP($B547,표2[#ALL],2)/HLOOKUP($A547,표1[#ALL],row(),false)</f>
        <v>#N/A</v>
      </c>
      <c r="W547" s="376" t="str">
        <f>CS_PID!W547/VLOOKUP($B547,표2[#ALL],2)/HLOOKUP($A547,표1[#ALL],row(),false)</f>
        <v>#N/A</v>
      </c>
      <c r="X547" s="376" t="str">
        <f>CS_PID!X547/VLOOKUP($B547,표2[#ALL],2)/HLOOKUP($A547,표1[#ALL],row(),false)</f>
        <v>#N/A</v>
      </c>
      <c r="Y547" s="376" t="str">
        <f>CS_PID!Y547/VLOOKUP($B547,표2[#ALL],2)/HLOOKUP($A547,표1[#ALL],row(),false)</f>
        <v>#N/A</v>
      </c>
      <c r="Z547" s="376" t="str">
        <f>CS_PID!Z547/VLOOKUP($B547,표2[#ALL],2)/HLOOKUP($A547,표1[#ALL],row(),false)</f>
        <v>#N/A</v>
      </c>
      <c r="AA547" s="376" t="str">
        <f>CS_PID!AA547/VLOOKUP($B547,표2[#ALL],2)/HLOOKUP($A547,표1[#ALL],row(),false)</f>
        <v>#N/A</v>
      </c>
      <c r="AB547" s="376" t="str">
        <f>CS_PID!AB547/VLOOKUP($B547,표2[#ALL],2)/HLOOKUP($A547,표1[#ALL],row(),false)</f>
        <v>#N/A</v>
      </c>
      <c r="AC547" s="376" t="str">
        <f>CS_PID!AC547/VLOOKUP($B547,표2[#ALL],2)/HLOOKUP($A547,표1[#ALL],row(),false)</f>
        <v>#N/A</v>
      </c>
      <c r="AD547" s="376" t="str">
        <f>CS_PID!AD547/VLOOKUP($B547,표2[#ALL],2)/HLOOKUP($A547,표1[#ALL],row(),false)</f>
        <v>#N/A</v>
      </c>
      <c r="AE547" s="376" t="str">
        <f>CS_PID!AE547/VLOOKUP($B547,표2[#ALL],2)/HLOOKUP($A547,표1[#ALL],row(),false)</f>
        <v>#N/A</v>
      </c>
      <c r="AF547" s="376" t="str">
        <f>CS_PID!AF547/VLOOKUP($B547,표2[#ALL],2)/HLOOKUP($A547,표1[#ALL],row(),false)</f>
        <v>#N/A</v>
      </c>
      <c r="AG547" s="376" t="str">
        <f>CS_PID!AG547/VLOOKUP($B547,표2[#ALL],2)/HLOOKUP($A547,표1[#ALL],row(),false)</f>
        <v>#N/A</v>
      </c>
      <c r="AH547" s="376" t="str">
        <f>CS_PID!AH547/VLOOKUP($B547,표2[#ALL],2)/HLOOKUP($A547,표1[#ALL],row(),false)</f>
        <v>#N/A</v>
      </c>
      <c r="AI547" s="376" t="str">
        <f>CS_PID!AI547/VLOOKUP($B547,표2[#ALL],2)/HLOOKUP($A547,표1[#ALL],row(),false)</f>
        <v>#N/A</v>
      </c>
      <c r="AJ547" s="376" t="str">
        <f>CS_PID!AJ547/VLOOKUP($B547,표2[#ALL],2)/HLOOKUP($A547,표1[#ALL],row(),false)</f>
        <v>#N/A</v>
      </c>
      <c r="AK547" s="376" t="str">
        <f>CS_PID!AK547/VLOOKUP($B547,표2[#ALL],2)/HLOOKUP($A547,표1[#ALL],row(),false)</f>
        <v>#N/A</v>
      </c>
      <c r="AL547" s="376" t="str">
        <f>CS_PID!AL547/VLOOKUP($B547,표2[#ALL],2)/HLOOKUP($A547,표1[#ALL],row(),false)</f>
        <v>#N/A</v>
      </c>
      <c r="AM547" s="376" t="str">
        <f>CS_PID!AM547/VLOOKUP($B547,표2[#ALL],2)/HLOOKUP($A547,표1[#ALL],row(),false)</f>
        <v>#N/A</v>
      </c>
      <c r="AN547" s="376" t="str">
        <f>CS_PID!AN547/VLOOKUP($B547,표2[#ALL],2)/HLOOKUP($A547,표1[#ALL],row(),false)</f>
        <v>#N/A</v>
      </c>
      <c r="AO547" s="376" t="str">
        <f>CS_PID!AO547/VLOOKUP($B547,표2[#ALL],2)/HLOOKUP($A547,표1[#ALL],row(),false)</f>
        <v>#N/A</v>
      </c>
      <c r="AP547" s="376" t="str">
        <f>CS_PID!AP547/VLOOKUP($B547,표2[#ALL],2)/HLOOKUP($A547,표1[#ALL],row(),false)</f>
        <v>#N/A</v>
      </c>
      <c r="AQ547" s="376" t="str">
        <f>CS_PID!AQ547/VLOOKUP($B547,표2[#ALL],2)/HLOOKUP($A547,표1[#ALL],row(),false)</f>
        <v>#N/A</v>
      </c>
      <c r="AR547" s="376" t="str">
        <f>CS_PID!AR547/VLOOKUP($B547,표2[#ALL],2)/HLOOKUP($A547,표1[#ALL],row(),false)</f>
        <v>#N/A</v>
      </c>
      <c r="AS547" s="377" t="str">
        <f>CS_PID!AS547/VLOOKUP($B547,표2[#ALL],2)/HLOOKUP($A547,표1[#ALL],row(),false)</f>
        <v>#N/A</v>
      </c>
    </row>
    <row r="548">
      <c r="A548" s="370"/>
      <c r="B548" s="371"/>
      <c r="C548" s="372" t="str">
        <f>CS_PID!C548/VLOOKUP($B548,표2[#ALL],2)</f>
        <v>#N/A</v>
      </c>
      <c r="D548" s="372" t="str">
        <f>CS_PID!D548/VLOOKUP($B548,표2[#ALL],2)</f>
        <v>#N/A</v>
      </c>
      <c r="E548" s="372" t="str">
        <f>CS_PID!E548/VLOOKUP($B548,표2[#ALL],2)</f>
        <v>#N/A</v>
      </c>
      <c r="F548" s="372" t="str">
        <f>CS_PID!F548/VLOOKUP($B548,표2[#ALL],2)</f>
        <v>#N/A</v>
      </c>
      <c r="G548" s="372" t="str">
        <f>CS_PID!G548/VLOOKUP($B548,표2[#ALL],2)</f>
        <v>#N/A</v>
      </c>
      <c r="H548" s="372" t="str">
        <f>CS_PID!H548/VLOOKUP($B548,표2[#ALL],2)/HLOOKUP($A548,표1[#ALL],row(),false)</f>
        <v>#N/A</v>
      </c>
      <c r="I548" s="372" t="str">
        <f>CS_PID!I548/VLOOKUP($B548,표2[#ALL],2)/HLOOKUP($A548,표1[#ALL],row(),false)</f>
        <v>#N/A</v>
      </c>
      <c r="J548" s="372" t="str">
        <f>CS_PID!J548/VLOOKUP($B548,표2[#ALL],2)/HLOOKUP($A548,표1[#ALL],row(),false)</f>
        <v>#N/A</v>
      </c>
      <c r="K548" s="372" t="str">
        <f>CS_PID!K548/VLOOKUP($B548,표2[#ALL],2)/HLOOKUP($A548,표1[#ALL],row(),false)</f>
        <v>#N/A</v>
      </c>
      <c r="L548" s="372" t="str">
        <f>CS_PID!L548/VLOOKUP($B548,표2[#ALL],2)/HLOOKUP($A548,표1[#ALL],row(),false)</f>
        <v>#N/A</v>
      </c>
      <c r="M548" s="372" t="str">
        <f>CS_PID!M548/VLOOKUP($B548,표2[#ALL],2)/HLOOKUP($A548,표1[#ALL],row(),false)</f>
        <v>#N/A</v>
      </c>
      <c r="N548" s="372" t="str">
        <f>CS_PID!N548/VLOOKUP($B548,표2[#ALL],2)/HLOOKUP($A548,표1[#ALL],row(),false)</f>
        <v>#N/A</v>
      </c>
      <c r="O548" s="372" t="str">
        <f>CS_PID!O548/VLOOKUP($B548,표2[#ALL],2)/HLOOKUP($A548,표1[#ALL],row(),false)</f>
        <v>#N/A</v>
      </c>
      <c r="P548" s="372" t="str">
        <f>CS_PID!P548/VLOOKUP($B548,표2[#ALL],2)/HLOOKUP($A548,표1[#ALL],row(),false)</f>
        <v>#N/A</v>
      </c>
      <c r="Q548" s="372" t="str">
        <f>CS_PID!Q548/VLOOKUP($B548,표2[#ALL],2)/HLOOKUP($A548,표1[#ALL],row(),false)</f>
        <v>#N/A</v>
      </c>
      <c r="R548" s="372" t="str">
        <f>CS_PID!R548/VLOOKUP($B548,표2[#ALL],2)/HLOOKUP($A548,표1[#ALL],row(),false)</f>
        <v>#N/A</v>
      </c>
      <c r="S548" s="372" t="str">
        <f>CS_PID!S548/VLOOKUP($B548,표2[#ALL],2)/HLOOKUP($A548,표1[#ALL],row(),false)</f>
        <v>#N/A</v>
      </c>
      <c r="T548" s="372" t="str">
        <f>CS_PID!T548/VLOOKUP($B548,표2[#ALL],2)/HLOOKUP($A548,표1[#ALL],row(),false)</f>
        <v>#N/A</v>
      </c>
      <c r="U548" s="372" t="str">
        <f>CS_PID!U548/VLOOKUP($B548,표2[#ALL],2)/HLOOKUP($A548,표1[#ALL],row(),false)</f>
        <v>#N/A</v>
      </c>
      <c r="V548" s="372" t="str">
        <f>CS_PID!V548/VLOOKUP($B548,표2[#ALL],2)/HLOOKUP($A548,표1[#ALL],row(),false)</f>
        <v>#N/A</v>
      </c>
      <c r="W548" s="372" t="str">
        <f>CS_PID!W548/VLOOKUP($B548,표2[#ALL],2)/HLOOKUP($A548,표1[#ALL],row(),false)</f>
        <v>#N/A</v>
      </c>
      <c r="X548" s="372" t="str">
        <f>CS_PID!X548/VLOOKUP($B548,표2[#ALL],2)/HLOOKUP($A548,표1[#ALL],row(),false)</f>
        <v>#N/A</v>
      </c>
      <c r="Y548" s="372" t="str">
        <f>CS_PID!Y548/VLOOKUP($B548,표2[#ALL],2)/HLOOKUP($A548,표1[#ALL],row(),false)</f>
        <v>#N/A</v>
      </c>
      <c r="Z548" s="372" t="str">
        <f>CS_PID!Z548/VLOOKUP($B548,표2[#ALL],2)/HLOOKUP($A548,표1[#ALL],row(),false)</f>
        <v>#N/A</v>
      </c>
      <c r="AA548" s="372" t="str">
        <f>CS_PID!AA548/VLOOKUP($B548,표2[#ALL],2)/HLOOKUP($A548,표1[#ALL],row(),false)</f>
        <v>#N/A</v>
      </c>
      <c r="AB548" s="372" t="str">
        <f>CS_PID!AB548/VLOOKUP($B548,표2[#ALL],2)/HLOOKUP($A548,표1[#ALL],row(),false)</f>
        <v>#N/A</v>
      </c>
      <c r="AC548" s="372" t="str">
        <f>CS_PID!AC548/VLOOKUP($B548,표2[#ALL],2)/HLOOKUP($A548,표1[#ALL],row(),false)</f>
        <v>#N/A</v>
      </c>
      <c r="AD548" s="372" t="str">
        <f>CS_PID!AD548/VLOOKUP($B548,표2[#ALL],2)/HLOOKUP($A548,표1[#ALL],row(),false)</f>
        <v>#N/A</v>
      </c>
      <c r="AE548" s="372" t="str">
        <f>CS_PID!AE548/VLOOKUP($B548,표2[#ALL],2)/HLOOKUP($A548,표1[#ALL],row(),false)</f>
        <v>#N/A</v>
      </c>
      <c r="AF548" s="372" t="str">
        <f>CS_PID!AF548/VLOOKUP($B548,표2[#ALL],2)/HLOOKUP($A548,표1[#ALL],row(),false)</f>
        <v>#N/A</v>
      </c>
      <c r="AG548" s="372" t="str">
        <f>CS_PID!AG548/VLOOKUP($B548,표2[#ALL],2)/HLOOKUP($A548,표1[#ALL],row(),false)</f>
        <v>#N/A</v>
      </c>
      <c r="AH548" s="372" t="str">
        <f>CS_PID!AH548/VLOOKUP($B548,표2[#ALL],2)/HLOOKUP($A548,표1[#ALL],row(),false)</f>
        <v>#N/A</v>
      </c>
      <c r="AI548" s="372" t="str">
        <f>CS_PID!AI548/VLOOKUP($B548,표2[#ALL],2)/HLOOKUP($A548,표1[#ALL],row(),false)</f>
        <v>#N/A</v>
      </c>
      <c r="AJ548" s="372" t="str">
        <f>CS_PID!AJ548/VLOOKUP($B548,표2[#ALL],2)/HLOOKUP($A548,표1[#ALL],row(),false)</f>
        <v>#N/A</v>
      </c>
      <c r="AK548" s="372" t="str">
        <f>CS_PID!AK548/VLOOKUP($B548,표2[#ALL],2)/HLOOKUP($A548,표1[#ALL],row(),false)</f>
        <v>#N/A</v>
      </c>
      <c r="AL548" s="372" t="str">
        <f>CS_PID!AL548/VLOOKUP($B548,표2[#ALL],2)/HLOOKUP($A548,표1[#ALL],row(),false)</f>
        <v>#N/A</v>
      </c>
      <c r="AM548" s="372" t="str">
        <f>CS_PID!AM548/VLOOKUP($B548,표2[#ALL],2)/HLOOKUP($A548,표1[#ALL],row(),false)</f>
        <v>#N/A</v>
      </c>
      <c r="AN548" s="372" t="str">
        <f>CS_PID!AN548/VLOOKUP($B548,표2[#ALL],2)/HLOOKUP($A548,표1[#ALL],row(),false)</f>
        <v>#N/A</v>
      </c>
      <c r="AO548" s="372" t="str">
        <f>CS_PID!AO548/VLOOKUP($B548,표2[#ALL],2)/HLOOKUP($A548,표1[#ALL],row(),false)</f>
        <v>#N/A</v>
      </c>
      <c r="AP548" s="372" t="str">
        <f>CS_PID!AP548/VLOOKUP($B548,표2[#ALL],2)/HLOOKUP($A548,표1[#ALL],row(),false)</f>
        <v>#N/A</v>
      </c>
      <c r="AQ548" s="372" t="str">
        <f>CS_PID!AQ548/VLOOKUP($B548,표2[#ALL],2)/HLOOKUP($A548,표1[#ALL],row(),false)</f>
        <v>#N/A</v>
      </c>
      <c r="AR548" s="372" t="str">
        <f>CS_PID!AR548/VLOOKUP($B548,표2[#ALL],2)/HLOOKUP($A548,표1[#ALL],row(),false)</f>
        <v>#N/A</v>
      </c>
      <c r="AS548" s="373" t="str">
        <f>CS_PID!AS548/VLOOKUP($B548,표2[#ALL],2)/HLOOKUP($A548,표1[#ALL],row(),false)</f>
        <v>#N/A</v>
      </c>
    </row>
    <row r="549">
      <c r="A549" s="374"/>
      <c r="B549" s="375"/>
      <c r="C549" s="376" t="str">
        <f>CS_PID!C549/VLOOKUP($B549,표2[#ALL],2)</f>
        <v>#N/A</v>
      </c>
      <c r="D549" s="376" t="str">
        <f>CS_PID!D549/VLOOKUP($B549,표2[#ALL],2)</f>
        <v>#N/A</v>
      </c>
      <c r="E549" s="376" t="str">
        <f>CS_PID!E549/VLOOKUP($B549,표2[#ALL],2)</f>
        <v>#N/A</v>
      </c>
      <c r="F549" s="376" t="str">
        <f>CS_PID!F549/VLOOKUP($B549,표2[#ALL],2)</f>
        <v>#N/A</v>
      </c>
      <c r="G549" s="376" t="str">
        <f>CS_PID!G549/VLOOKUP($B549,표2[#ALL],2)</f>
        <v>#N/A</v>
      </c>
      <c r="H549" s="376" t="str">
        <f>CS_PID!H549/VLOOKUP($B549,표2[#ALL],2)/HLOOKUP($A549,표1[#ALL],row(),false)</f>
        <v>#N/A</v>
      </c>
      <c r="I549" s="376" t="str">
        <f>CS_PID!I549/VLOOKUP($B549,표2[#ALL],2)/HLOOKUP($A549,표1[#ALL],row(),false)</f>
        <v>#N/A</v>
      </c>
      <c r="J549" s="376" t="str">
        <f>CS_PID!J549/VLOOKUP($B549,표2[#ALL],2)/HLOOKUP($A549,표1[#ALL],row(),false)</f>
        <v>#N/A</v>
      </c>
      <c r="K549" s="376" t="str">
        <f>CS_PID!K549/VLOOKUP($B549,표2[#ALL],2)/HLOOKUP($A549,표1[#ALL],row(),false)</f>
        <v>#N/A</v>
      </c>
      <c r="L549" s="376" t="str">
        <f>CS_PID!L549/VLOOKUP($B549,표2[#ALL],2)/HLOOKUP($A549,표1[#ALL],row(),false)</f>
        <v>#N/A</v>
      </c>
      <c r="M549" s="376" t="str">
        <f>CS_PID!M549/VLOOKUP($B549,표2[#ALL],2)/HLOOKUP($A549,표1[#ALL],row(),false)</f>
        <v>#N/A</v>
      </c>
      <c r="N549" s="376" t="str">
        <f>CS_PID!N549/VLOOKUP($B549,표2[#ALL],2)/HLOOKUP($A549,표1[#ALL],row(),false)</f>
        <v>#N/A</v>
      </c>
      <c r="O549" s="376" t="str">
        <f>CS_PID!O549/VLOOKUP($B549,표2[#ALL],2)/HLOOKUP($A549,표1[#ALL],row(),false)</f>
        <v>#N/A</v>
      </c>
      <c r="P549" s="376" t="str">
        <f>CS_PID!P549/VLOOKUP($B549,표2[#ALL],2)/HLOOKUP($A549,표1[#ALL],row(),false)</f>
        <v>#N/A</v>
      </c>
      <c r="Q549" s="376" t="str">
        <f>CS_PID!Q549/VLOOKUP($B549,표2[#ALL],2)/HLOOKUP($A549,표1[#ALL],row(),false)</f>
        <v>#N/A</v>
      </c>
      <c r="R549" s="376" t="str">
        <f>CS_PID!R549/VLOOKUP($B549,표2[#ALL],2)/HLOOKUP($A549,표1[#ALL],row(),false)</f>
        <v>#N/A</v>
      </c>
      <c r="S549" s="376" t="str">
        <f>CS_PID!S549/VLOOKUP($B549,표2[#ALL],2)/HLOOKUP($A549,표1[#ALL],row(),false)</f>
        <v>#N/A</v>
      </c>
      <c r="T549" s="376" t="str">
        <f>CS_PID!T549/VLOOKUP($B549,표2[#ALL],2)/HLOOKUP($A549,표1[#ALL],row(),false)</f>
        <v>#N/A</v>
      </c>
      <c r="U549" s="376" t="str">
        <f>CS_PID!U549/VLOOKUP($B549,표2[#ALL],2)/HLOOKUP($A549,표1[#ALL],row(),false)</f>
        <v>#N/A</v>
      </c>
      <c r="V549" s="376" t="str">
        <f>CS_PID!V549/VLOOKUP($B549,표2[#ALL],2)/HLOOKUP($A549,표1[#ALL],row(),false)</f>
        <v>#N/A</v>
      </c>
      <c r="W549" s="376" t="str">
        <f>CS_PID!W549/VLOOKUP($B549,표2[#ALL],2)/HLOOKUP($A549,표1[#ALL],row(),false)</f>
        <v>#N/A</v>
      </c>
      <c r="X549" s="376" t="str">
        <f>CS_PID!X549/VLOOKUP($B549,표2[#ALL],2)/HLOOKUP($A549,표1[#ALL],row(),false)</f>
        <v>#N/A</v>
      </c>
      <c r="Y549" s="376" t="str">
        <f>CS_PID!Y549/VLOOKUP($B549,표2[#ALL],2)/HLOOKUP($A549,표1[#ALL],row(),false)</f>
        <v>#N/A</v>
      </c>
      <c r="Z549" s="376" t="str">
        <f>CS_PID!Z549/VLOOKUP($B549,표2[#ALL],2)/HLOOKUP($A549,표1[#ALL],row(),false)</f>
        <v>#N/A</v>
      </c>
      <c r="AA549" s="376" t="str">
        <f>CS_PID!AA549/VLOOKUP($B549,표2[#ALL],2)/HLOOKUP($A549,표1[#ALL],row(),false)</f>
        <v>#N/A</v>
      </c>
      <c r="AB549" s="376" t="str">
        <f>CS_PID!AB549/VLOOKUP($B549,표2[#ALL],2)/HLOOKUP($A549,표1[#ALL],row(),false)</f>
        <v>#N/A</v>
      </c>
      <c r="AC549" s="376" t="str">
        <f>CS_PID!AC549/VLOOKUP($B549,표2[#ALL],2)/HLOOKUP($A549,표1[#ALL],row(),false)</f>
        <v>#N/A</v>
      </c>
      <c r="AD549" s="376" t="str">
        <f>CS_PID!AD549/VLOOKUP($B549,표2[#ALL],2)/HLOOKUP($A549,표1[#ALL],row(),false)</f>
        <v>#N/A</v>
      </c>
      <c r="AE549" s="376" t="str">
        <f>CS_PID!AE549/VLOOKUP($B549,표2[#ALL],2)/HLOOKUP($A549,표1[#ALL],row(),false)</f>
        <v>#N/A</v>
      </c>
      <c r="AF549" s="376" t="str">
        <f>CS_PID!AF549/VLOOKUP($B549,표2[#ALL],2)/HLOOKUP($A549,표1[#ALL],row(),false)</f>
        <v>#N/A</v>
      </c>
      <c r="AG549" s="376" t="str">
        <f>CS_PID!AG549/VLOOKUP($B549,표2[#ALL],2)/HLOOKUP($A549,표1[#ALL],row(),false)</f>
        <v>#N/A</v>
      </c>
      <c r="AH549" s="376" t="str">
        <f>CS_PID!AH549/VLOOKUP($B549,표2[#ALL],2)/HLOOKUP($A549,표1[#ALL],row(),false)</f>
        <v>#N/A</v>
      </c>
      <c r="AI549" s="376" t="str">
        <f>CS_PID!AI549/VLOOKUP($B549,표2[#ALL],2)/HLOOKUP($A549,표1[#ALL],row(),false)</f>
        <v>#N/A</v>
      </c>
      <c r="AJ549" s="376" t="str">
        <f>CS_PID!AJ549/VLOOKUP($B549,표2[#ALL],2)/HLOOKUP($A549,표1[#ALL],row(),false)</f>
        <v>#N/A</v>
      </c>
      <c r="AK549" s="376" t="str">
        <f>CS_PID!AK549/VLOOKUP($B549,표2[#ALL],2)/HLOOKUP($A549,표1[#ALL],row(),false)</f>
        <v>#N/A</v>
      </c>
      <c r="AL549" s="376" t="str">
        <f>CS_PID!AL549/VLOOKUP($B549,표2[#ALL],2)/HLOOKUP($A549,표1[#ALL],row(),false)</f>
        <v>#N/A</v>
      </c>
      <c r="AM549" s="376" t="str">
        <f>CS_PID!AM549/VLOOKUP($B549,표2[#ALL],2)/HLOOKUP($A549,표1[#ALL],row(),false)</f>
        <v>#N/A</v>
      </c>
      <c r="AN549" s="376" t="str">
        <f>CS_PID!AN549/VLOOKUP($B549,표2[#ALL],2)/HLOOKUP($A549,표1[#ALL],row(),false)</f>
        <v>#N/A</v>
      </c>
      <c r="AO549" s="376" t="str">
        <f>CS_PID!AO549/VLOOKUP($B549,표2[#ALL],2)/HLOOKUP($A549,표1[#ALL],row(),false)</f>
        <v>#N/A</v>
      </c>
      <c r="AP549" s="376" t="str">
        <f>CS_PID!AP549/VLOOKUP($B549,표2[#ALL],2)/HLOOKUP($A549,표1[#ALL],row(),false)</f>
        <v>#N/A</v>
      </c>
      <c r="AQ549" s="376" t="str">
        <f>CS_PID!AQ549/VLOOKUP($B549,표2[#ALL],2)/HLOOKUP($A549,표1[#ALL],row(),false)</f>
        <v>#N/A</v>
      </c>
      <c r="AR549" s="376" t="str">
        <f>CS_PID!AR549/VLOOKUP($B549,표2[#ALL],2)/HLOOKUP($A549,표1[#ALL],row(),false)</f>
        <v>#N/A</v>
      </c>
      <c r="AS549" s="377" t="str">
        <f>CS_PID!AS549/VLOOKUP($B549,표2[#ALL],2)/HLOOKUP($A549,표1[#ALL],row(),false)</f>
        <v>#N/A</v>
      </c>
    </row>
    <row r="550">
      <c r="A550" s="370"/>
      <c r="B550" s="371"/>
      <c r="C550" s="372" t="str">
        <f>CS_PID!C550/VLOOKUP($B550,표2[#ALL],2)</f>
        <v>#N/A</v>
      </c>
      <c r="D550" s="372" t="str">
        <f>CS_PID!D550/VLOOKUP($B550,표2[#ALL],2)</f>
        <v>#N/A</v>
      </c>
      <c r="E550" s="372" t="str">
        <f>CS_PID!E550/VLOOKUP($B550,표2[#ALL],2)</f>
        <v>#N/A</v>
      </c>
      <c r="F550" s="372" t="str">
        <f>CS_PID!F550/VLOOKUP($B550,표2[#ALL],2)</f>
        <v>#N/A</v>
      </c>
      <c r="G550" s="372" t="str">
        <f>CS_PID!G550/VLOOKUP($B550,표2[#ALL],2)</f>
        <v>#N/A</v>
      </c>
      <c r="H550" s="372" t="str">
        <f>CS_PID!H550/VLOOKUP($B550,표2[#ALL],2)/HLOOKUP($A550,표1[#ALL],row(),false)</f>
        <v>#N/A</v>
      </c>
      <c r="I550" s="372" t="str">
        <f>CS_PID!I550/VLOOKUP($B550,표2[#ALL],2)/HLOOKUP($A550,표1[#ALL],row(),false)</f>
        <v>#N/A</v>
      </c>
      <c r="J550" s="372" t="str">
        <f>CS_PID!J550/VLOOKUP($B550,표2[#ALL],2)/HLOOKUP($A550,표1[#ALL],row(),false)</f>
        <v>#N/A</v>
      </c>
      <c r="K550" s="372" t="str">
        <f>CS_PID!K550/VLOOKUP($B550,표2[#ALL],2)/HLOOKUP($A550,표1[#ALL],row(),false)</f>
        <v>#N/A</v>
      </c>
      <c r="L550" s="372" t="str">
        <f>CS_PID!L550/VLOOKUP($B550,표2[#ALL],2)/HLOOKUP($A550,표1[#ALL],row(),false)</f>
        <v>#N/A</v>
      </c>
      <c r="M550" s="372" t="str">
        <f>CS_PID!M550/VLOOKUP($B550,표2[#ALL],2)/HLOOKUP($A550,표1[#ALL],row(),false)</f>
        <v>#N/A</v>
      </c>
      <c r="N550" s="372" t="str">
        <f>CS_PID!N550/VLOOKUP($B550,표2[#ALL],2)/HLOOKUP($A550,표1[#ALL],row(),false)</f>
        <v>#N/A</v>
      </c>
      <c r="O550" s="372" t="str">
        <f>CS_PID!O550/VLOOKUP($B550,표2[#ALL],2)/HLOOKUP($A550,표1[#ALL],row(),false)</f>
        <v>#N/A</v>
      </c>
      <c r="P550" s="372" t="str">
        <f>CS_PID!P550/VLOOKUP($B550,표2[#ALL],2)/HLOOKUP($A550,표1[#ALL],row(),false)</f>
        <v>#N/A</v>
      </c>
      <c r="Q550" s="372" t="str">
        <f>CS_PID!Q550/VLOOKUP($B550,표2[#ALL],2)/HLOOKUP($A550,표1[#ALL],row(),false)</f>
        <v>#N/A</v>
      </c>
      <c r="R550" s="372" t="str">
        <f>CS_PID!R550/VLOOKUP($B550,표2[#ALL],2)/HLOOKUP($A550,표1[#ALL],row(),false)</f>
        <v>#N/A</v>
      </c>
      <c r="S550" s="372" t="str">
        <f>CS_PID!S550/VLOOKUP($B550,표2[#ALL],2)/HLOOKUP($A550,표1[#ALL],row(),false)</f>
        <v>#N/A</v>
      </c>
      <c r="T550" s="372" t="str">
        <f>CS_PID!T550/VLOOKUP($B550,표2[#ALL],2)/HLOOKUP($A550,표1[#ALL],row(),false)</f>
        <v>#N/A</v>
      </c>
      <c r="U550" s="372" t="str">
        <f>CS_PID!U550/VLOOKUP($B550,표2[#ALL],2)/HLOOKUP($A550,표1[#ALL],row(),false)</f>
        <v>#N/A</v>
      </c>
      <c r="V550" s="372" t="str">
        <f>CS_PID!V550/VLOOKUP($B550,표2[#ALL],2)/HLOOKUP($A550,표1[#ALL],row(),false)</f>
        <v>#N/A</v>
      </c>
      <c r="W550" s="372" t="str">
        <f>CS_PID!W550/VLOOKUP($B550,표2[#ALL],2)/HLOOKUP($A550,표1[#ALL],row(),false)</f>
        <v>#N/A</v>
      </c>
      <c r="X550" s="372" t="str">
        <f>CS_PID!X550/VLOOKUP($B550,표2[#ALL],2)/HLOOKUP($A550,표1[#ALL],row(),false)</f>
        <v>#N/A</v>
      </c>
      <c r="Y550" s="372" t="str">
        <f>CS_PID!Y550/VLOOKUP($B550,표2[#ALL],2)/HLOOKUP($A550,표1[#ALL],row(),false)</f>
        <v>#N/A</v>
      </c>
      <c r="Z550" s="372" t="str">
        <f>CS_PID!Z550/VLOOKUP($B550,표2[#ALL],2)/HLOOKUP($A550,표1[#ALL],row(),false)</f>
        <v>#N/A</v>
      </c>
      <c r="AA550" s="372" t="str">
        <f>CS_PID!AA550/VLOOKUP($B550,표2[#ALL],2)/HLOOKUP($A550,표1[#ALL],row(),false)</f>
        <v>#N/A</v>
      </c>
      <c r="AB550" s="372" t="str">
        <f>CS_PID!AB550/VLOOKUP($B550,표2[#ALL],2)/HLOOKUP($A550,표1[#ALL],row(),false)</f>
        <v>#N/A</v>
      </c>
      <c r="AC550" s="372" t="str">
        <f>CS_PID!AC550/VLOOKUP($B550,표2[#ALL],2)/HLOOKUP($A550,표1[#ALL],row(),false)</f>
        <v>#N/A</v>
      </c>
      <c r="AD550" s="372" t="str">
        <f>CS_PID!AD550/VLOOKUP($B550,표2[#ALL],2)/HLOOKUP($A550,표1[#ALL],row(),false)</f>
        <v>#N/A</v>
      </c>
      <c r="AE550" s="372" t="str">
        <f>CS_PID!AE550/VLOOKUP($B550,표2[#ALL],2)/HLOOKUP($A550,표1[#ALL],row(),false)</f>
        <v>#N/A</v>
      </c>
      <c r="AF550" s="372" t="str">
        <f>CS_PID!AF550/VLOOKUP($B550,표2[#ALL],2)/HLOOKUP($A550,표1[#ALL],row(),false)</f>
        <v>#N/A</v>
      </c>
      <c r="AG550" s="372" t="str">
        <f>CS_PID!AG550/VLOOKUP($B550,표2[#ALL],2)/HLOOKUP($A550,표1[#ALL],row(),false)</f>
        <v>#N/A</v>
      </c>
      <c r="AH550" s="372" t="str">
        <f>CS_PID!AH550/VLOOKUP($B550,표2[#ALL],2)/HLOOKUP($A550,표1[#ALL],row(),false)</f>
        <v>#N/A</v>
      </c>
      <c r="AI550" s="372" t="str">
        <f>CS_PID!AI550/VLOOKUP($B550,표2[#ALL],2)/HLOOKUP($A550,표1[#ALL],row(),false)</f>
        <v>#N/A</v>
      </c>
      <c r="AJ550" s="372" t="str">
        <f>CS_PID!AJ550/VLOOKUP($B550,표2[#ALL],2)/HLOOKUP($A550,표1[#ALL],row(),false)</f>
        <v>#N/A</v>
      </c>
      <c r="AK550" s="372" t="str">
        <f>CS_PID!AK550/VLOOKUP($B550,표2[#ALL],2)/HLOOKUP($A550,표1[#ALL],row(),false)</f>
        <v>#N/A</v>
      </c>
      <c r="AL550" s="372" t="str">
        <f>CS_PID!AL550/VLOOKUP($B550,표2[#ALL],2)/HLOOKUP($A550,표1[#ALL],row(),false)</f>
        <v>#N/A</v>
      </c>
      <c r="AM550" s="372" t="str">
        <f>CS_PID!AM550/VLOOKUP($B550,표2[#ALL],2)/HLOOKUP($A550,표1[#ALL],row(),false)</f>
        <v>#N/A</v>
      </c>
      <c r="AN550" s="372" t="str">
        <f>CS_PID!AN550/VLOOKUP($B550,표2[#ALL],2)/HLOOKUP($A550,표1[#ALL],row(),false)</f>
        <v>#N/A</v>
      </c>
      <c r="AO550" s="372" t="str">
        <f>CS_PID!AO550/VLOOKUP($B550,표2[#ALL],2)/HLOOKUP($A550,표1[#ALL],row(),false)</f>
        <v>#N/A</v>
      </c>
      <c r="AP550" s="372" t="str">
        <f>CS_PID!AP550/VLOOKUP($B550,표2[#ALL],2)/HLOOKUP($A550,표1[#ALL],row(),false)</f>
        <v>#N/A</v>
      </c>
      <c r="AQ550" s="372" t="str">
        <f>CS_PID!AQ550/VLOOKUP($B550,표2[#ALL],2)/HLOOKUP($A550,표1[#ALL],row(),false)</f>
        <v>#N/A</v>
      </c>
      <c r="AR550" s="372" t="str">
        <f>CS_PID!AR550/VLOOKUP($B550,표2[#ALL],2)/HLOOKUP($A550,표1[#ALL],row(),false)</f>
        <v>#N/A</v>
      </c>
      <c r="AS550" s="373" t="str">
        <f>CS_PID!AS550/VLOOKUP($B550,표2[#ALL],2)/HLOOKUP($A550,표1[#ALL],row(),false)</f>
        <v>#N/A</v>
      </c>
    </row>
    <row r="551">
      <c r="A551" s="374"/>
      <c r="B551" s="375"/>
      <c r="C551" s="376" t="str">
        <f>CS_PID!C551/VLOOKUP($B551,표2[#ALL],2)</f>
        <v>#N/A</v>
      </c>
      <c r="D551" s="376" t="str">
        <f>CS_PID!D551/VLOOKUP($B551,표2[#ALL],2)</f>
        <v>#N/A</v>
      </c>
      <c r="E551" s="376" t="str">
        <f>CS_PID!E551/VLOOKUP($B551,표2[#ALL],2)</f>
        <v>#N/A</v>
      </c>
      <c r="F551" s="376" t="str">
        <f>CS_PID!F551/VLOOKUP($B551,표2[#ALL],2)</f>
        <v>#N/A</v>
      </c>
      <c r="G551" s="376" t="str">
        <f>CS_PID!G551/VLOOKUP($B551,표2[#ALL],2)</f>
        <v>#N/A</v>
      </c>
      <c r="H551" s="376" t="str">
        <f>CS_PID!H551/VLOOKUP($B551,표2[#ALL],2)/HLOOKUP($A551,표1[#ALL],row(),false)</f>
        <v>#N/A</v>
      </c>
      <c r="I551" s="376" t="str">
        <f>CS_PID!I551/VLOOKUP($B551,표2[#ALL],2)/HLOOKUP($A551,표1[#ALL],row(),false)</f>
        <v>#N/A</v>
      </c>
      <c r="J551" s="376" t="str">
        <f>CS_PID!J551/VLOOKUP($B551,표2[#ALL],2)/HLOOKUP($A551,표1[#ALL],row(),false)</f>
        <v>#N/A</v>
      </c>
      <c r="K551" s="376" t="str">
        <f>CS_PID!K551/VLOOKUP($B551,표2[#ALL],2)/HLOOKUP($A551,표1[#ALL],row(),false)</f>
        <v>#N/A</v>
      </c>
      <c r="L551" s="376" t="str">
        <f>CS_PID!L551/VLOOKUP($B551,표2[#ALL],2)/HLOOKUP($A551,표1[#ALL],row(),false)</f>
        <v>#N/A</v>
      </c>
      <c r="M551" s="376" t="str">
        <f>CS_PID!M551/VLOOKUP($B551,표2[#ALL],2)/HLOOKUP($A551,표1[#ALL],row(),false)</f>
        <v>#N/A</v>
      </c>
      <c r="N551" s="376" t="str">
        <f>CS_PID!N551/VLOOKUP($B551,표2[#ALL],2)/HLOOKUP($A551,표1[#ALL],row(),false)</f>
        <v>#N/A</v>
      </c>
      <c r="O551" s="376" t="str">
        <f>CS_PID!O551/VLOOKUP($B551,표2[#ALL],2)/HLOOKUP($A551,표1[#ALL],row(),false)</f>
        <v>#N/A</v>
      </c>
      <c r="P551" s="376" t="str">
        <f>CS_PID!P551/VLOOKUP($B551,표2[#ALL],2)/HLOOKUP($A551,표1[#ALL],row(),false)</f>
        <v>#N/A</v>
      </c>
      <c r="Q551" s="376" t="str">
        <f>CS_PID!Q551/VLOOKUP($B551,표2[#ALL],2)/HLOOKUP($A551,표1[#ALL],row(),false)</f>
        <v>#N/A</v>
      </c>
      <c r="R551" s="376" t="str">
        <f>CS_PID!R551/VLOOKUP($B551,표2[#ALL],2)/HLOOKUP($A551,표1[#ALL],row(),false)</f>
        <v>#N/A</v>
      </c>
      <c r="S551" s="376" t="str">
        <f>CS_PID!S551/VLOOKUP($B551,표2[#ALL],2)/HLOOKUP($A551,표1[#ALL],row(),false)</f>
        <v>#N/A</v>
      </c>
      <c r="T551" s="376" t="str">
        <f>CS_PID!T551/VLOOKUP($B551,표2[#ALL],2)/HLOOKUP($A551,표1[#ALL],row(),false)</f>
        <v>#N/A</v>
      </c>
      <c r="U551" s="376" t="str">
        <f>CS_PID!U551/VLOOKUP($B551,표2[#ALL],2)/HLOOKUP($A551,표1[#ALL],row(),false)</f>
        <v>#N/A</v>
      </c>
      <c r="V551" s="376" t="str">
        <f>CS_PID!V551/VLOOKUP($B551,표2[#ALL],2)/HLOOKUP($A551,표1[#ALL],row(),false)</f>
        <v>#N/A</v>
      </c>
      <c r="W551" s="376" t="str">
        <f>CS_PID!W551/VLOOKUP($B551,표2[#ALL],2)/HLOOKUP($A551,표1[#ALL],row(),false)</f>
        <v>#N/A</v>
      </c>
      <c r="X551" s="376" t="str">
        <f>CS_PID!X551/VLOOKUP($B551,표2[#ALL],2)/HLOOKUP($A551,표1[#ALL],row(),false)</f>
        <v>#N/A</v>
      </c>
      <c r="Y551" s="376" t="str">
        <f>CS_PID!Y551/VLOOKUP($B551,표2[#ALL],2)/HLOOKUP($A551,표1[#ALL],row(),false)</f>
        <v>#N/A</v>
      </c>
      <c r="Z551" s="376" t="str">
        <f>CS_PID!Z551/VLOOKUP($B551,표2[#ALL],2)/HLOOKUP($A551,표1[#ALL],row(),false)</f>
        <v>#N/A</v>
      </c>
      <c r="AA551" s="376" t="str">
        <f>CS_PID!AA551/VLOOKUP($B551,표2[#ALL],2)/HLOOKUP($A551,표1[#ALL],row(),false)</f>
        <v>#N/A</v>
      </c>
      <c r="AB551" s="376" t="str">
        <f>CS_PID!AB551/VLOOKUP($B551,표2[#ALL],2)/HLOOKUP($A551,표1[#ALL],row(),false)</f>
        <v>#N/A</v>
      </c>
      <c r="AC551" s="376" t="str">
        <f>CS_PID!AC551/VLOOKUP($B551,표2[#ALL],2)/HLOOKUP($A551,표1[#ALL],row(),false)</f>
        <v>#N/A</v>
      </c>
      <c r="AD551" s="376" t="str">
        <f>CS_PID!AD551/VLOOKUP($B551,표2[#ALL],2)/HLOOKUP($A551,표1[#ALL],row(),false)</f>
        <v>#N/A</v>
      </c>
      <c r="AE551" s="376" t="str">
        <f>CS_PID!AE551/VLOOKUP($B551,표2[#ALL],2)/HLOOKUP($A551,표1[#ALL],row(),false)</f>
        <v>#N/A</v>
      </c>
      <c r="AF551" s="376" t="str">
        <f>CS_PID!AF551/VLOOKUP($B551,표2[#ALL],2)/HLOOKUP($A551,표1[#ALL],row(),false)</f>
        <v>#N/A</v>
      </c>
      <c r="AG551" s="376" t="str">
        <f>CS_PID!AG551/VLOOKUP($B551,표2[#ALL],2)/HLOOKUP($A551,표1[#ALL],row(),false)</f>
        <v>#N/A</v>
      </c>
      <c r="AH551" s="376" t="str">
        <f>CS_PID!AH551/VLOOKUP($B551,표2[#ALL],2)/HLOOKUP($A551,표1[#ALL],row(),false)</f>
        <v>#N/A</v>
      </c>
      <c r="AI551" s="376" t="str">
        <f>CS_PID!AI551/VLOOKUP($B551,표2[#ALL],2)/HLOOKUP($A551,표1[#ALL],row(),false)</f>
        <v>#N/A</v>
      </c>
      <c r="AJ551" s="376" t="str">
        <f>CS_PID!AJ551/VLOOKUP($B551,표2[#ALL],2)/HLOOKUP($A551,표1[#ALL],row(),false)</f>
        <v>#N/A</v>
      </c>
      <c r="AK551" s="376" t="str">
        <f>CS_PID!AK551/VLOOKUP($B551,표2[#ALL],2)/HLOOKUP($A551,표1[#ALL],row(),false)</f>
        <v>#N/A</v>
      </c>
      <c r="AL551" s="376" t="str">
        <f>CS_PID!AL551/VLOOKUP($B551,표2[#ALL],2)/HLOOKUP($A551,표1[#ALL],row(),false)</f>
        <v>#N/A</v>
      </c>
      <c r="AM551" s="376" t="str">
        <f>CS_PID!AM551/VLOOKUP($B551,표2[#ALL],2)/HLOOKUP($A551,표1[#ALL],row(),false)</f>
        <v>#N/A</v>
      </c>
      <c r="AN551" s="376" t="str">
        <f>CS_PID!AN551/VLOOKUP($B551,표2[#ALL],2)/HLOOKUP($A551,표1[#ALL],row(),false)</f>
        <v>#N/A</v>
      </c>
      <c r="AO551" s="376" t="str">
        <f>CS_PID!AO551/VLOOKUP($B551,표2[#ALL],2)/HLOOKUP($A551,표1[#ALL],row(),false)</f>
        <v>#N/A</v>
      </c>
      <c r="AP551" s="376" t="str">
        <f>CS_PID!AP551/VLOOKUP($B551,표2[#ALL],2)/HLOOKUP($A551,표1[#ALL],row(),false)</f>
        <v>#N/A</v>
      </c>
      <c r="AQ551" s="376" t="str">
        <f>CS_PID!AQ551/VLOOKUP($B551,표2[#ALL],2)/HLOOKUP($A551,표1[#ALL],row(),false)</f>
        <v>#N/A</v>
      </c>
      <c r="AR551" s="376" t="str">
        <f>CS_PID!AR551/VLOOKUP($B551,표2[#ALL],2)/HLOOKUP($A551,표1[#ALL],row(),false)</f>
        <v>#N/A</v>
      </c>
      <c r="AS551" s="377" t="str">
        <f>CS_PID!AS551/VLOOKUP($B551,표2[#ALL],2)/HLOOKUP($A551,표1[#ALL],row(),false)</f>
        <v>#N/A</v>
      </c>
    </row>
    <row r="552">
      <c r="A552" s="370"/>
      <c r="B552" s="371"/>
      <c r="C552" s="372" t="str">
        <f>CS_PID!C552/VLOOKUP($B552,표2[#ALL],2)</f>
        <v>#N/A</v>
      </c>
      <c r="D552" s="372" t="str">
        <f>CS_PID!D552/VLOOKUP($B552,표2[#ALL],2)</f>
        <v>#N/A</v>
      </c>
      <c r="E552" s="372" t="str">
        <f>CS_PID!E552/VLOOKUP($B552,표2[#ALL],2)</f>
        <v>#N/A</v>
      </c>
      <c r="F552" s="372" t="str">
        <f>CS_PID!F552/VLOOKUP($B552,표2[#ALL],2)</f>
        <v>#N/A</v>
      </c>
      <c r="G552" s="372" t="str">
        <f>CS_PID!G552/VLOOKUP($B552,표2[#ALL],2)</f>
        <v>#N/A</v>
      </c>
      <c r="H552" s="372" t="str">
        <f>CS_PID!H552/VLOOKUP($B552,표2[#ALL],2)/HLOOKUP($A552,표1[#ALL],row(),false)</f>
        <v>#N/A</v>
      </c>
      <c r="I552" s="372" t="str">
        <f>CS_PID!I552/VLOOKUP($B552,표2[#ALL],2)/HLOOKUP($A552,표1[#ALL],row(),false)</f>
        <v>#N/A</v>
      </c>
      <c r="J552" s="372" t="str">
        <f>CS_PID!J552/VLOOKUP($B552,표2[#ALL],2)/HLOOKUP($A552,표1[#ALL],row(),false)</f>
        <v>#N/A</v>
      </c>
      <c r="K552" s="372" t="str">
        <f>CS_PID!K552/VLOOKUP($B552,표2[#ALL],2)/HLOOKUP($A552,표1[#ALL],row(),false)</f>
        <v>#N/A</v>
      </c>
      <c r="L552" s="372" t="str">
        <f>CS_PID!L552/VLOOKUP($B552,표2[#ALL],2)/HLOOKUP($A552,표1[#ALL],row(),false)</f>
        <v>#N/A</v>
      </c>
      <c r="M552" s="372" t="str">
        <f>CS_PID!M552/VLOOKUP($B552,표2[#ALL],2)/HLOOKUP($A552,표1[#ALL],row(),false)</f>
        <v>#N/A</v>
      </c>
      <c r="N552" s="372" t="str">
        <f>CS_PID!N552/VLOOKUP($B552,표2[#ALL],2)/HLOOKUP($A552,표1[#ALL],row(),false)</f>
        <v>#N/A</v>
      </c>
      <c r="O552" s="372" t="str">
        <f>CS_PID!O552/VLOOKUP($B552,표2[#ALL],2)/HLOOKUP($A552,표1[#ALL],row(),false)</f>
        <v>#N/A</v>
      </c>
      <c r="P552" s="372" t="str">
        <f>CS_PID!P552/VLOOKUP($B552,표2[#ALL],2)/HLOOKUP($A552,표1[#ALL],row(),false)</f>
        <v>#N/A</v>
      </c>
      <c r="Q552" s="372" t="str">
        <f>CS_PID!Q552/VLOOKUP($B552,표2[#ALL],2)/HLOOKUP($A552,표1[#ALL],row(),false)</f>
        <v>#N/A</v>
      </c>
      <c r="R552" s="372" t="str">
        <f>CS_PID!R552/VLOOKUP($B552,표2[#ALL],2)/HLOOKUP($A552,표1[#ALL],row(),false)</f>
        <v>#N/A</v>
      </c>
      <c r="S552" s="372" t="str">
        <f>CS_PID!S552/VLOOKUP($B552,표2[#ALL],2)/HLOOKUP($A552,표1[#ALL],row(),false)</f>
        <v>#N/A</v>
      </c>
      <c r="T552" s="372" t="str">
        <f>CS_PID!T552/VLOOKUP($B552,표2[#ALL],2)/HLOOKUP($A552,표1[#ALL],row(),false)</f>
        <v>#N/A</v>
      </c>
      <c r="U552" s="372" t="str">
        <f>CS_PID!U552/VLOOKUP($B552,표2[#ALL],2)/HLOOKUP($A552,표1[#ALL],row(),false)</f>
        <v>#N/A</v>
      </c>
      <c r="V552" s="372" t="str">
        <f>CS_PID!V552/VLOOKUP($B552,표2[#ALL],2)/HLOOKUP($A552,표1[#ALL],row(),false)</f>
        <v>#N/A</v>
      </c>
      <c r="W552" s="372" t="str">
        <f>CS_PID!W552/VLOOKUP($B552,표2[#ALL],2)/HLOOKUP($A552,표1[#ALL],row(),false)</f>
        <v>#N/A</v>
      </c>
      <c r="X552" s="372" t="str">
        <f>CS_PID!X552/VLOOKUP($B552,표2[#ALL],2)/HLOOKUP($A552,표1[#ALL],row(),false)</f>
        <v>#N/A</v>
      </c>
      <c r="Y552" s="372" t="str">
        <f>CS_PID!Y552/VLOOKUP($B552,표2[#ALL],2)/HLOOKUP($A552,표1[#ALL],row(),false)</f>
        <v>#N/A</v>
      </c>
      <c r="Z552" s="372" t="str">
        <f>CS_PID!Z552/VLOOKUP($B552,표2[#ALL],2)/HLOOKUP($A552,표1[#ALL],row(),false)</f>
        <v>#N/A</v>
      </c>
      <c r="AA552" s="372" t="str">
        <f>CS_PID!AA552/VLOOKUP($B552,표2[#ALL],2)/HLOOKUP($A552,표1[#ALL],row(),false)</f>
        <v>#N/A</v>
      </c>
      <c r="AB552" s="372" t="str">
        <f>CS_PID!AB552/VLOOKUP($B552,표2[#ALL],2)/HLOOKUP($A552,표1[#ALL],row(),false)</f>
        <v>#N/A</v>
      </c>
      <c r="AC552" s="372" t="str">
        <f>CS_PID!AC552/VLOOKUP($B552,표2[#ALL],2)/HLOOKUP($A552,표1[#ALL],row(),false)</f>
        <v>#N/A</v>
      </c>
      <c r="AD552" s="372" t="str">
        <f>CS_PID!AD552/VLOOKUP($B552,표2[#ALL],2)/HLOOKUP($A552,표1[#ALL],row(),false)</f>
        <v>#N/A</v>
      </c>
      <c r="AE552" s="372" t="str">
        <f>CS_PID!AE552/VLOOKUP($B552,표2[#ALL],2)/HLOOKUP($A552,표1[#ALL],row(),false)</f>
        <v>#N/A</v>
      </c>
      <c r="AF552" s="372" t="str">
        <f>CS_PID!AF552/VLOOKUP($B552,표2[#ALL],2)/HLOOKUP($A552,표1[#ALL],row(),false)</f>
        <v>#N/A</v>
      </c>
      <c r="AG552" s="372" t="str">
        <f>CS_PID!AG552/VLOOKUP($B552,표2[#ALL],2)/HLOOKUP($A552,표1[#ALL],row(),false)</f>
        <v>#N/A</v>
      </c>
      <c r="AH552" s="372" t="str">
        <f>CS_PID!AH552/VLOOKUP($B552,표2[#ALL],2)/HLOOKUP($A552,표1[#ALL],row(),false)</f>
        <v>#N/A</v>
      </c>
      <c r="AI552" s="372" t="str">
        <f>CS_PID!AI552/VLOOKUP($B552,표2[#ALL],2)/HLOOKUP($A552,표1[#ALL],row(),false)</f>
        <v>#N/A</v>
      </c>
      <c r="AJ552" s="372" t="str">
        <f>CS_PID!AJ552/VLOOKUP($B552,표2[#ALL],2)/HLOOKUP($A552,표1[#ALL],row(),false)</f>
        <v>#N/A</v>
      </c>
      <c r="AK552" s="372" t="str">
        <f>CS_PID!AK552/VLOOKUP($B552,표2[#ALL],2)/HLOOKUP($A552,표1[#ALL],row(),false)</f>
        <v>#N/A</v>
      </c>
      <c r="AL552" s="372" t="str">
        <f>CS_PID!AL552/VLOOKUP($B552,표2[#ALL],2)/HLOOKUP($A552,표1[#ALL],row(),false)</f>
        <v>#N/A</v>
      </c>
      <c r="AM552" s="372" t="str">
        <f>CS_PID!AM552/VLOOKUP($B552,표2[#ALL],2)/HLOOKUP($A552,표1[#ALL],row(),false)</f>
        <v>#N/A</v>
      </c>
      <c r="AN552" s="372" t="str">
        <f>CS_PID!AN552/VLOOKUP($B552,표2[#ALL],2)/HLOOKUP($A552,표1[#ALL],row(),false)</f>
        <v>#N/A</v>
      </c>
      <c r="AO552" s="372" t="str">
        <f>CS_PID!AO552/VLOOKUP($B552,표2[#ALL],2)/HLOOKUP($A552,표1[#ALL],row(),false)</f>
        <v>#N/A</v>
      </c>
      <c r="AP552" s="372" t="str">
        <f>CS_PID!AP552/VLOOKUP($B552,표2[#ALL],2)/HLOOKUP($A552,표1[#ALL],row(),false)</f>
        <v>#N/A</v>
      </c>
      <c r="AQ552" s="372" t="str">
        <f>CS_PID!AQ552/VLOOKUP($B552,표2[#ALL],2)/HLOOKUP($A552,표1[#ALL],row(),false)</f>
        <v>#N/A</v>
      </c>
      <c r="AR552" s="372" t="str">
        <f>CS_PID!AR552/VLOOKUP($B552,표2[#ALL],2)/HLOOKUP($A552,표1[#ALL],row(),false)</f>
        <v>#N/A</v>
      </c>
      <c r="AS552" s="373" t="str">
        <f>CS_PID!AS552/VLOOKUP($B552,표2[#ALL],2)/HLOOKUP($A552,표1[#ALL],row(),false)</f>
        <v>#N/A</v>
      </c>
    </row>
    <row r="553">
      <c r="A553" s="374"/>
      <c r="B553" s="375"/>
      <c r="C553" s="376" t="str">
        <f>CS_PID!C553/VLOOKUP($B553,표2[#ALL],2)</f>
        <v>#N/A</v>
      </c>
      <c r="D553" s="376" t="str">
        <f>CS_PID!D553/VLOOKUP($B553,표2[#ALL],2)</f>
        <v>#N/A</v>
      </c>
      <c r="E553" s="376" t="str">
        <f>CS_PID!E553/VLOOKUP($B553,표2[#ALL],2)</f>
        <v>#N/A</v>
      </c>
      <c r="F553" s="376" t="str">
        <f>CS_PID!F553/VLOOKUP($B553,표2[#ALL],2)</f>
        <v>#N/A</v>
      </c>
      <c r="G553" s="376" t="str">
        <f>CS_PID!G553/VLOOKUP($B553,표2[#ALL],2)</f>
        <v>#N/A</v>
      </c>
      <c r="H553" s="376" t="str">
        <f>CS_PID!H553/VLOOKUP($B553,표2[#ALL],2)/HLOOKUP($A553,표1[#ALL],row(),false)</f>
        <v>#N/A</v>
      </c>
      <c r="I553" s="376" t="str">
        <f>CS_PID!I553/VLOOKUP($B553,표2[#ALL],2)/HLOOKUP($A553,표1[#ALL],row(),false)</f>
        <v>#N/A</v>
      </c>
      <c r="J553" s="376" t="str">
        <f>CS_PID!J553/VLOOKUP($B553,표2[#ALL],2)/HLOOKUP($A553,표1[#ALL],row(),false)</f>
        <v>#N/A</v>
      </c>
      <c r="K553" s="376" t="str">
        <f>CS_PID!K553/VLOOKUP($B553,표2[#ALL],2)/HLOOKUP($A553,표1[#ALL],row(),false)</f>
        <v>#N/A</v>
      </c>
      <c r="L553" s="376" t="str">
        <f>CS_PID!L553/VLOOKUP($B553,표2[#ALL],2)/HLOOKUP($A553,표1[#ALL],row(),false)</f>
        <v>#N/A</v>
      </c>
      <c r="M553" s="376" t="str">
        <f>CS_PID!M553/VLOOKUP($B553,표2[#ALL],2)/HLOOKUP($A553,표1[#ALL],row(),false)</f>
        <v>#N/A</v>
      </c>
      <c r="N553" s="376" t="str">
        <f>CS_PID!N553/VLOOKUP($B553,표2[#ALL],2)/HLOOKUP($A553,표1[#ALL],row(),false)</f>
        <v>#N/A</v>
      </c>
      <c r="O553" s="376" t="str">
        <f>CS_PID!O553/VLOOKUP($B553,표2[#ALL],2)/HLOOKUP($A553,표1[#ALL],row(),false)</f>
        <v>#N/A</v>
      </c>
      <c r="P553" s="376" t="str">
        <f>CS_PID!P553/VLOOKUP($B553,표2[#ALL],2)/HLOOKUP($A553,표1[#ALL],row(),false)</f>
        <v>#N/A</v>
      </c>
      <c r="Q553" s="376" t="str">
        <f>CS_PID!Q553/VLOOKUP($B553,표2[#ALL],2)/HLOOKUP($A553,표1[#ALL],row(),false)</f>
        <v>#N/A</v>
      </c>
      <c r="R553" s="376" t="str">
        <f>CS_PID!R553/VLOOKUP($B553,표2[#ALL],2)/HLOOKUP($A553,표1[#ALL],row(),false)</f>
        <v>#N/A</v>
      </c>
      <c r="S553" s="376" t="str">
        <f>CS_PID!S553/VLOOKUP($B553,표2[#ALL],2)/HLOOKUP($A553,표1[#ALL],row(),false)</f>
        <v>#N/A</v>
      </c>
      <c r="T553" s="376" t="str">
        <f>CS_PID!T553/VLOOKUP($B553,표2[#ALL],2)/HLOOKUP($A553,표1[#ALL],row(),false)</f>
        <v>#N/A</v>
      </c>
      <c r="U553" s="376" t="str">
        <f>CS_PID!U553/VLOOKUP($B553,표2[#ALL],2)/HLOOKUP($A553,표1[#ALL],row(),false)</f>
        <v>#N/A</v>
      </c>
      <c r="V553" s="376" t="str">
        <f>CS_PID!V553/VLOOKUP($B553,표2[#ALL],2)/HLOOKUP($A553,표1[#ALL],row(),false)</f>
        <v>#N/A</v>
      </c>
      <c r="W553" s="376" t="str">
        <f>CS_PID!W553/VLOOKUP($B553,표2[#ALL],2)/HLOOKUP($A553,표1[#ALL],row(),false)</f>
        <v>#N/A</v>
      </c>
      <c r="X553" s="376" t="str">
        <f>CS_PID!X553/VLOOKUP($B553,표2[#ALL],2)/HLOOKUP($A553,표1[#ALL],row(),false)</f>
        <v>#N/A</v>
      </c>
      <c r="Y553" s="376" t="str">
        <f>CS_PID!Y553/VLOOKUP($B553,표2[#ALL],2)/HLOOKUP($A553,표1[#ALL],row(),false)</f>
        <v>#N/A</v>
      </c>
      <c r="Z553" s="376" t="str">
        <f>CS_PID!Z553/VLOOKUP($B553,표2[#ALL],2)/HLOOKUP($A553,표1[#ALL],row(),false)</f>
        <v>#N/A</v>
      </c>
      <c r="AA553" s="376" t="str">
        <f>CS_PID!AA553/VLOOKUP($B553,표2[#ALL],2)/HLOOKUP($A553,표1[#ALL],row(),false)</f>
        <v>#N/A</v>
      </c>
      <c r="AB553" s="376" t="str">
        <f>CS_PID!AB553/VLOOKUP($B553,표2[#ALL],2)/HLOOKUP($A553,표1[#ALL],row(),false)</f>
        <v>#N/A</v>
      </c>
      <c r="AC553" s="376" t="str">
        <f>CS_PID!AC553/VLOOKUP($B553,표2[#ALL],2)/HLOOKUP($A553,표1[#ALL],row(),false)</f>
        <v>#N/A</v>
      </c>
      <c r="AD553" s="376" t="str">
        <f>CS_PID!AD553/VLOOKUP($B553,표2[#ALL],2)/HLOOKUP($A553,표1[#ALL],row(),false)</f>
        <v>#N/A</v>
      </c>
      <c r="AE553" s="376" t="str">
        <f>CS_PID!AE553/VLOOKUP($B553,표2[#ALL],2)/HLOOKUP($A553,표1[#ALL],row(),false)</f>
        <v>#N/A</v>
      </c>
      <c r="AF553" s="376" t="str">
        <f>CS_PID!AF553/VLOOKUP($B553,표2[#ALL],2)/HLOOKUP($A553,표1[#ALL],row(),false)</f>
        <v>#N/A</v>
      </c>
      <c r="AG553" s="376" t="str">
        <f>CS_PID!AG553/VLOOKUP($B553,표2[#ALL],2)/HLOOKUP($A553,표1[#ALL],row(),false)</f>
        <v>#N/A</v>
      </c>
      <c r="AH553" s="376" t="str">
        <f>CS_PID!AH553/VLOOKUP($B553,표2[#ALL],2)/HLOOKUP($A553,표1[#ALL],row(),false)</f>
        <v>#N/A</v>
      </c>
      <c r="AI553" s="376" t="str">
        <f>CS_PID!AI553/VLOOKUP($B553,표2[#ALL],2)/HLOOKUP($A553,표1[#ALL],row(),false)</f>
        <v>#N/A</v>
      </c>
      <c r="AJ553" s="376" t="str">
        <f>CS_PID!AJ553/VLOOKUP($B553,표2[#ALL],2)/HLOOKUP($A553,표1[#ALL],row(),false)</f>
        <v>#N/A</v>
      </c>
      <c r="AK553" s="376" t="str">
        <f>CS_PID!AK553/VLOOKUP($B553,표2[#ALL],2)/HLOOKUP($A553,표1[#ALL],row(),false)</f>
        <v>#N/A</v>
      </c>
      <c r="AL553" s="376" t="str">
        <f>CS_PID!AL553/VLOOKUP($B553,표2[#ALL],2)/HLOOKUP($A553,표1[#ALL],row(),false)</f>
        <v>#N/A</v>
      </c>
      <c r="AM553" s="376" t="str">
        <f>CS_PID!AM553/VLOOKUP($B553,표2[#ALL],2)/HLOOKUP($A553,표1[#ALL],row(),false)</f>
        <v>#N/A</v>
      </c>
      <c r="AN553" s="376" t="str">
        <f>CS_PID!AN553/VLOOKUP($B553,표2[#ALL],2)/HLOOKUP($A553,표1[#ALL],row(),false)</f>
        <v>#N/A</v>
      </c>
      <c r="AO553" s="376" t="str">
        <f>CS_PID!AO553/VLOOKUP($B553,표2[#ALL],2)/HLOOKUP($A553,표1[#ALL],row(),false)</f>
        <v>#N/A</v>
      </c>
      <c r="AP553" s="376" t="str">
        <f>CS_PID!AP553/VLOOKUP($B553,표2[#ALL],2)/HLOOKUP($A553,표1[#ALL],row(),false)</f>
        <v>#N/A</v>
      </c>
      <c r="AQ553" s="376" t="str">
        <f>CS_PID!AQ553/VLOOKUP($B553,표2[#ALL],2)/HLOOKUP($A553,표1[#ALL],row(),false)</f>
        <v>#N/A</v>
      </c>
      <c r="AR553" s="376" t="str">
        <f>CS_PID!AR553/VLOOKUP($B553,표2[#ALL],2)/HLOOKUP($A553,표1[#ALL],row(),false)</f>
        <v>#N/A</v>
      </c>
      <c r="AS553" s="377" t="str">
        <f>CS_PID!AS553/VLOOKUP($B553,표2[#ALL],2)/HLOOKUP($A553,표1[#ALL],row(),false)</f>
        <v>#N/A</v>
      </c>
    </row>
    <row r="554">
      <c r="A554" s="370"/>
      <c r="B554" s="371"/>
      <c r="C554" s="372" t="str">
        <f>CS_PID!C554/VLOOKUP($B554,표2[#ALL],2)</f>
        <v>#N/A</v>
      </c>
      <c r="D554" s="372" t="str">
        <f>CS_PID!D554/VLOOKUP($B554,표2[#ALL],2)</f>
        <v>#N/A</v>
      </c>
      <c r="E554" s="372" t="str">
        <f>CS_PID!E554/VLOOKUP($B554,표2[#ALL],2)</f>
        <v>#N/A</v>
      </c>
      <c r="F554" s="372" t="str">
        <f>CS_PID!F554/VLOOKUP($B554,표2[#ALL],2)</f>
        <v>#N/A</v>
      </c>
      <c r="G554" s="372" t="str">
        <f>CS_PID!G554/VLOOKUP($B554,표2[#ALL],2)</f>
        <v>#N/A</v>
      </c>
      <c r="H554" s="372" t="str">
        <f>CS_PID!H554/VLOOKUP($B554,표2[#ALL],2)/HLOOKUP($A554,표1[#ALL],row(),false)</f>
        <v>#N/A</v>
      </c>
      <c r="I554" s="372" t="str">
        <f>CS_PID!I554/VLOOKUP($B554,표2[#ALL],2)/HLOOKUP($A554,표1[#ALL],row(),false)</f>
        <v>#N/A</v>
      </c>
      <c r="J554" s="372" t="str">
        <f>CS_PID!J554/VLOOKUP($B554,표2[#ALL],2)/HLOOKUP($A554,표1[#ALL],row(),false)</f>
        <v>#N/A</v>
      </c>
      <c r="K554" s="372" t="str">
        <f>CS_PID!K554/VLOOKUP($B554,표2[#ALL],2)/HLOOKUP($A554,표1[#ALL],row(),false)</f>
        <v>#N/A</v>
      </c>
      <c r="L554" s="372" t="str">
        <f>CS_PID!L554/VLOOKUP($B554,표2[#ALL],2)/HLOOKUP($A554,표1[#ALL],row(),false)</f>
        <v>#N/A</v>
      </c>
      <c r="M554" s="372" t="str">
        <f>CS_PID!M554/VLOOKUP($B554,표2[#ALL],2)/HLOOKUP($A554,표1[#ALL],row(),false)</f>
        <v>#N/A</v>
      </c>
      <c r="N554" s="372" t="str">
        <f>CS_PID!N554/VLOOKUP($B554,표2[#ALL],2)/HLOOKUP($A554,표1[#ALL],row(),false)</f>
        <v>#N/A</v>
      </c>
      <c r="O554" s="372" t="str">
        <f>CS_PID!O554/VLOOKUP($B554,표2[#ALL],2)/HLOOKUP($A554,표1[#ALL],row(),false)</f>
        <v>#N/A</v>
      </c>
      <c r="P554" s="372" t="str">
        <f>CS_PID!P554/VLOOKUP($B554,표2[#ALL],2)/HLOOKUP($A554,표1[#ALL],row(),false)</f>
        <v>#N/A</v>
      </c>
      <c r="Q554" s="372" t="str">
        <f>CS_PID!Q554/VLOOKUP($B554,표2[#ALL],2)/HLOOKUP($A554,표1[#ALL],row(),false)</f>
        <v>#N/A</v>
      </c>
      <c r="R554" s="372" t="str">
        <f>CS_PID!R554/VLOOKUP($B554,표2[#ALL],2)/HLOOKUP($A554,표1[#ALL],row(),false)</f>
        <v>#N/A</v>
      </c>
      <c r="S554" s="372" t="str">
        <f>CS_PID!S554/VLOOKUP($B554,표2[#ALL],2)/HLOOKUP($A554,표1[#ALL],row(),false)</f>
        <v>#N/A</v>
      </c>
      <c r="T554" s="372" t="str">
        <f>CS_PID!T554/VLOOKUP($B554,표2[#ALL],2)/HLOOKUP($A554,표1[#ALL],row(),false)</f>
        <v>#N/A</v>
      </c>
      <c r="U554" s="372" t="str">
        <f>CS_PID!U554/VLOOKUP($B554,표2[#ALL],2)/HLOOKUP($A554,표1[#ALL],row(),false)</f>
        <v>#N/A</v>
      </c>
      <c r="V554" s="372" t="str">
        <f>CS_PID!V554/VLOOKUP($B554,표2[#ALL],2)/HLOOKUP($A554,표1[#ALL],row(),false)</f>
        <v>#N/A</v>
      </c>
      <c r="W554" s="372" t="str">
        <f>CS_PID!W554/VLOOKUP($B554,표2[#ALL],2)/HLOOKUP($A554,표1[#ALL],row(),false)</f>
        <v>#N/A</v>
      </c>
      <c r="X554" s="372" t="str">
        <f>CS_PID!X554/VLOOKUP($B554,표2[#ALL],2)/HLOOKUP($A554,표1[#ALL],row(),false)</f>
        <v>#N/A</v>
      </c>
      <c r="Y554" s="372" t="str">
        <f>CS_PID!Y554/VLOOKUP($B554,표2[#ALL],2)/HLOOKUP($A554,표1[#ALL],row(),false)</f>
        <v>#N/A</v>
      </c>
      <c r="Z554" s="372" t="str">
        <f>CS_PID!Z554/VLOOKUP($B554,표2[#ALL],2)/HLOOKUP($A554,표1[#ALL],row(),false)</f>
        <v>#N/A</v>
      </c>
      <c r="AA554" s="372" t="str">
        <f>CS_PID!AA554/VLOOKUP($B554,표2[#ALL],2)/HLOOKUP($A554,표1[#ALL],row(),false)</f>
        <v>#N/A</v>
      </c>
      <c r="AB554" s="372" t="str">
        <f>CS_PID!AB554/VLOOKUP($B554,표2[#ALL],2)/HLOOKUP($A554,표1[#ALL],row(),false)</f>
        <v>#N/A</v>
      </c>
      <c r="AC554" s="372" t="str">
        <f>CS_PID!AC554/VLOOKUP($B554,표2[#ALL],2)/HLOOKUP($A554,표1[#ALL],row(),false)</f>
        <v>#N/A</v>
      </c>
      <c r="AD554" s="372" t="str">
        <f>CS_PID!AD554/VLOOKUP($B554,표2[#ALL],2)/HLOOKUP($A554,표1[#ALL],row(),false)</f>
        <v>#N/A</v>
      </c>
      <c r="AE554" s="372" t="str">
        <f>CS_PID!AE554/VLOOKUP($B554,표2[#ALL],2)/HLOOKUP($A554,표1[#ALL],row(),false)</f>
        <v>#N/A</v>
      </c>
      <c r="AF554" s="372" t="str">
        <f>CS_PID!AF554/VLOOKUP($B554,표2[#ALL],2)/HLOOKUP($A554,표1[#ALL],row(),false)</f>
        <v>#N/A</v>
      </c>
      <c r="AG554" s="372" t="str">
        <f>CS_PID!AG554/VLOOKUP($B554,표2[#ALL],2)/HLOOKUP($A554,표1[#ALL],row(),false)</f>
        <v>#N/A</v>
      </c>
      <c r="AH554" s="372" t="str">
        <f>CS_PID!AH554/VLOOKUP($B554,표2[#ALL],2)/HLOOKUP($A554,표1[#ALL],row(),false)</f>
        <v>#N/A</v>
      </c>
      <c r="AI554" s="372" t="str">
        <f>CS_PID!AI554/VLOOKUP($B554,표2[#ALL],2)/HLOOKUP($A554,표1[#ALL],row(),false)</f>
        <v>#N/A</v>
      </c>
      <c r="AJ554" s="372" t="str">
        <f>CS_PID!AJ554/VLOOKUP($B554,표2[#ALL],2)/HLOOKUP($A554,표1[#ALL],row(),false)</f>
        <v>#N/A</v>
      </c>
      <c r="AK554" s="372" t="str">
        <f>CS_PID!AK554/VLOOKUP($B554,표2[#ALL],2)/HLOOKUP($A554,표1[#ALL],row(),false)</f>
        <v>#N/A</v>
      </c>
      <c r="AL554" s="372" t="str">
        <f>CS_PID!AL554/VLOOKUP($B554,표2[#ALL],2)/HLOOKUP($A554,표1[#ALL],row(),false)</f>
        <v>#N/A</v>
      </c>
      <c r="AM554" s="372" t="str">
        <f>CS_PID!AM554/VLOOKUP($B554,표2[#ALL],2)/HLOOKUP($A554,표1[#ALL],row(),false)</f>
        <v>#N/A</v>
      </c>
      <c r="AN554" s="372" t="str">
        <f>CS_PID!AN554/VLOOKUP($B554,표2[#ALL],2)/HLOOKUP($A554,표1[#ALL],row(),false)</f>
        <v>#N/A</v>
      </c>
      <c r="AO554" s="372" t="str">
        <f>CS_PID!AO554/VLOOKUP($B554,표2[#ALL],2)/HLOOKUP($A554,표1[#ALL],row(),false)</f>
        <v>#N/A</v>
      </c>
      <c r="AP554" s="372" t="str">
        <f>CS_PID!AP554/VLOOKUP($B554,표2[#ALL],2)/HLOOKUP($A554,표1[#ALL],row(),false)</f>
        <v>#N/A</v>
      </c>
      <c r="AQ554" s="372" t="str">
        <f>CS_PID!AQ554/VLOOKUP($B554,표2[#ALL],2)/HLOOKUP($A554,표1[#ALL],row(),false)</f>
        <v>#N/A</v>
      </c>
      <c r="AR554" s="372" t="str">
        <f>CS_PID!AR554/VLOOKUP($B554,표2[#ALL],2)/HLOOKUP($A554,표1[#ALL],row(),false)</f>
        <v>#N/A</v>
      </c>
      <c r="AS554" s="373" t="str">
        <f>CS_PID!AS554/VLOOKUP($B554,표2[#ALL],2)/HLOOKUP($A554,표1[#ALL],row(),false)</f>
        <v>#N/A</v>
      </c>
    </row>
    <row r="555">
      <c r="A555" s="374"/>
      <c r="B555" s="375"/>
      <c r="C555" s="376" t="str">
        <f>CS_PID!C555/VLOOKUP($B555,표2[#ALL],2)</f>
        <v>#N/A</v>
      </c>
      <c r="D555" s="376" t="str">
        <f>CS_PID!D555/VLOOKUP($B555,표2[#ALL],2)</f>
        <v>#N/A</v>
      </c>
      <c r="E555" s="376" t="str">
        <f>CS_PID!E555/VLOOKUP($B555,표2[#ALL],2)</f>
        <v>#N/A</v>
      </c>
      <c r="F555" s="376" t="str">
        <f>CS_PID!F555/VLOOKUP($B555,표2[#ALL],2)</f>
        <v>#N/A</v>
      </c>
      <c r="G555" s="376" t="str">
        <f>CS_PID!G555/VLOOKUP($B555,표2[#ALL],2)</f>
        <v>#N/A</v>
      </c>
      <c r="H555" s="376" t="str">
        <f>CS_PID!H555/VLOOKUP($B555,표2[#ALL],2)/HLOOKUP($A555,표1[#ALL],row(),false)</f>
        <v>#N/A</v>
      </c>
      <c r="I555" s="376" t="str">
        <f>CS_PID!I555/VLOOKUP($B555,표2[#ALL],2)/HLOOKUP($A555,표1[#ALL],row(),false)</f>
        <v>#N/A</v>
      </c>
      <c r="J555" s="376" t="str">
        <f>CS_PID!J555/VLOOKUP($B555,표2[#ALL],2)/HLOOKUP($A555,표1[#ALL],row(),false)</f>
        <v>#N/A</v>
      </c>
      <c r="K555" s="376" t="str">
        <f>CS_PID!K555/VLOOKUP($B555,표2[#ALL],2)/HLOOKUP($A555,표1[#ALL],row(),false)</f>
        <v>#N/A</v>
      </c>
      <c r="L555" s="376" t="str">
        <f>CS_PID!L555/VLOOKUP($B555,표2[#ALL],2)/HLOOKUP($A555,표1[#ALL],row(),false)</f>
        <v>#N/A</v>
      </c>
      <c r="M555" s="376" t="str">
        <f>CS_PID!M555/VLOOKUP($B555,표2[#ALL],2)/HLOOKUP($A555,표1[#ALL],row(),false)</f>
        <v>#N/A</v>
      </c>
      <c r="N555" s="376" t="str">
        <f>CS_PID!N555/VLOOKUP($B555,표2[#ALL],2)/HLOOKUP($A555,표1[#ALL],row(),false)</f>
        <v>#N/A</v>
      </c>
      <c r="O555" s="376" t="str">
        <f>CS_PID!O555/VLOOKUP($B555,표2[#ALL],2)/HLOOKUP($A555,표1[#ALL],row(),false)</f>
        <v>#N/A</v>
      </c>
      <c r="P555" s="376" t="str">
        <f>CS_PID!P555/VLOOKUP($B555,표2[#ALL],2)/HLOOKUP($A555,표1[#ALL],row(),false)</f>
        <v>#N/A</v>
      </c>
      <c r="Q555" s="376" t="str">
        <f>CS_PID!Q555/VLOOKUP($B555,표2[#ALL],2)/HLOOKUP($A555,표1[#ALL],row(),false)</f>
        <v>#N/A</v>
      </c>
      <c r="R555" s="376" t="str">
        <f>CS_PID!R555/VLOOKUP($B555,표2[#ALL],2)/HLOOKUP($A555,표1[#ALL],row(),false)</f>
        <v>#N/A</v>
      </c>
      <c r="S555" s="376" t="str">
        <f>CS_PID!S555/VLOOKUP($B555,표2[#ALL],2)/HLOOKUP($A555,표1[#ALL],row(),false)</f>
        <v>#N/A</v>
      </c>
      <c r="T555" s="376" t="str">
        <f>CS_PID!T555/VLOOKUP($B555,표2[#ALL],2)/HLOOKUP($A555,표1[#ALL],row(),false)</f>
        <v>#N/A</v>
      </c>
      <c r="U555" s="376" t="str">
        <f>CS_PID!U555/VLOOKUP($B555,표2[#ALL],2)/HLOOKUP($A555,표1[#ALL],row(),false)</f>
        <v>#N/A</v>
      </c>
      <c r="V555" s="376" t="str">
        <f>CS_PID!V555/VLOOKUP($B555,표2[#ALL],2)/HLOOKUP($A555,표1[#ALL],row(),false)</f>
        <v>#N/A</v>
      </c>
      <c r="W555" s="376" t="str">
        <f>CS_PID!W555/VLOOKUP($B555,표2[#ALL],2)/HLOOKUP($A555,표1[#ALL],row(),false)</f>
        <v>#N/A</v>
      </c>
      <c r="X555" s="376" t="str">
        <f>CS_PID!X555/VLOOKUP($B555,표2[#ALL],2)/HLOOKUP($A555,표1[#ALL],row(),false)</f>
        <v>#N/A</v>
      </c>
      <c r="Y555" s="376" t="str">
        <f>CS_PID!Y555/VLOOKUP($B555,표2[#ALL],2)/HLOOKUP($A555,표1[#ALL],row(),false)</f>
        <v>#N/A</v>
      </c>
      <c r="Z555" s="376" t="str">
        <f>CS_PID!Z555/VLOOKUP($B555,표2[#ALL],2)/HLOOKUP($A555,표1[#ALL],row(),false)</f>
        <v>#N/A</v>
      </c>
      <c r="AA555" s="376" t="str">
        <f>CS_PID!AA555/VLOOKUP($B555,표2[#ALL],2)/HLOOKUP($A555,표1[#ALL],row(),false)</f>
        <v>#N/A</v>
      </c>
      <c r="AB555" s="376" t="str">
        <f>CS_PID!AB555/VLOOKUP($B555,표2[#ALL],2)/HLOOKUP($A555,표1[#ALL],row(),false)</f>
        <v>#N/A</v>
      </c>
      <c r="AC555" s="376" t="str">
        <f>CS_PID!AC555/VLOOKUP($B555,표2[#ALL],2)/HLOOKUP($A555,표1[#ALL],row(),false)</f>
        <v>#N/A</v>
      </c>
      <c r="AD555" s="376" t="str">
        <f>CS_PID!AD555/VLOOKUP($B555,표2[#ALL],2)/HLOOKUP($A555,표1[#ALL],row(),false)</f>
        <v>#N/A</v>
      </c>
      <c r="AE555" s="376" t="str">
        <f>CS_PID!AE555/VLOOKUP($B555,표2[#ALL],2)/HLOOKUP($A555,표1[#ALL],row(),false)</f>
        <v>#N/A</v>
      </c>
      <c r="AF555" s="376" t="str">
        <f>CS_PID!AF555/VLOOKUP($B555,표2[#ALL],2)/HLOOKUP($A555,표1[#ALL],row(),false)</f>
        <v>#N/A</v>
      </c>
      <c r="AG555" s="376" t="str">
        <f>CS_PID!AG555/VLOOKUP($B555,표2[#ALL],2)/HLOOKUP($A555,표1[#ALL],row(),false)</f>
        <v>#N/A</v>
      </c>
      <c r="AH555" s="376" t="str">
        <f>CS_PID!AH555/VLOOKUP($B555,표2[#ALL],2)/HLOOKUP($A555,표1[#ALL],row(),false)</f>
        <v>#N/A</v>
      </c>
      <c r="AI555" s="376" t="str">
        <f>CS_PID!AI555/VLOOKUP($B555,표2[#ALL],2)/HLOOKUP($A555,표1[#ALL],row(),false)</f>
        <v>#N/A</v>
      </c>
      <c r="AJ555" s="376" t="str">
        <f>CS_PID!AJ555/VLOOKUP($B555,표2[#ALL],2)/HLOOKUP($A555,표1[#ALL],row(),false)</f>
        <v>#N/A</v>
      </c>
      <c r="AK555" s="376" t="str">
        <f>CS_PID!AK555/VLOOKUP($B555,표2[#ALL],2)/HLOOKUP($A555,표1[#ALL],row(),false)</f>
        <v>#N/A</v>
      </c>
      <c r="AL555" s="376" t="str">
        <f>CS_PID!AL555/VLOOKUP($B555,표2[#ALL],2)/HLOOKUP($A555,표1[#ALL],row(),false)</f>
        <v>#N/A</v>
      </c>
      <c r="AM555" s="376" t="str">
        <f>CS_PID!AM555/VLOOKUP($B555,표2[#ALL],2)/HLOOKUP($A555,표1[#ALL],row(),false)</f>
        <v>#N/A</v>
      </c>
      <c r="AN555" s="376" t="str">
        <f>CS_PID!AN555/VLOOKUP($B555,표2[#ALL],2)/HLOOKUP($A555,표1[#ALL],row(),false)</f>
        <v>#N/A</v>
      </c>
      <c r="AO555" s="376" t="str">
        <f>CS_PID!AO555/VLOOKUP($B555,표2[#ALL],2)/HLOOKUP($A555,표1[#ALL],row(),false)</f>
        <v>#N/A</v>
      </c>
      <c r="AP555" s="376" t="str">
        <f>CS_PID!AP555/VLOOKUP($B555,표2[#ALL],2)/HLOOKUP($A555,표1[#ALL],row(),false)</f>
        <v>#N/A</v>
      </c>
      <c r="AQ555" s="376" t="str">
        <f>CS_PID!AQ555/VLOOKUP($B555,표2[#ALL],2)/HLOOKUP($A555,표1[#ALL],row(),false)</f>
        <v>#N/A</v>
      </c>
      <c r="AR555" s="376" t="str">
        <f>CS_PID!AR555/VLOOKUP($B555,표2[#ALL],2)/HLOOKUP($A555,표1[#ALL],row(),false)</f>
        <v>#N/A</v>
      </c>
      <c r="AS555" s="377" t="str">
        <f>CS_PID!AS555/VLOOKUP($B555,표2[#ALL],2)/HLOOKUP($A555,표1[#ALL],row(),false)</f>
        <v>#N/A</v>
      </c>
    </row>
    <row r="556">
      <c r="A556" s="370"/>
      <c r="B556" s="371"/>
      <c r="C556" s="372" t="str">
        <f>CS_PID!C556/VLOOKUP($B556,표2[#ALL],2)</f>
        <v>#N/A</v>
      </c>
      <c r="D556" s="372" t="str">
        <f>CS_PID!D556/VLOOKUP($B556,표2[#ALL],2)</f>
        <v>#N/A</v>
      </c>
      <c r="E556" s="372" t="str">
        <f>CS_PID!E556/VLOOKUP($B556,표2[#ALL],2)</f>
        <v>#N/A</v>
      </c>
      <c r="F556" s="372" t="str">
        <f>CS_PID!F556/VLOOKUP($B556,표2[#ALL],2)</f>
        <v>#N/A</v>
      </c>
      <c r="G556" s="372" t="str">
        <f>CS_PID!G556/VLOOKUP($B556,표2[#ALL],2)</f>
        <v>#N/A</v>
      </c>
      <c r="H556" s="372" t="str">
        <f>CS_PID!H556/VLOOKUP($B556,표2[#ALL],2)/HLOOKUP($A556,표1[#ALL],row(),false)</f>
        <v>#N/A</v>
      </c>
      <c r="I556" s="372" t="str">
        <f>CS_PID!I556/VLOOKUP($B556,표2[#ALL],2)/HLOOKUP($A556,표1[#ALL],row(),false)</f>
        <v>#N/A</v>
      </c>
      <c r="J556" s="372" t="str">
        <f>CS_PID!J556/VLOOKUP($B556,표2[#ALL],2)/HLOOKUP($A556,표1[#ALL],row(),false)</f>
        <v>#N/A</v>
      </c>
      <c r="K556" s="372" t="str">
        <f>CS_PID!K556/VLOOKUP($B556,표2[#ALL],2)/HLOOKUP($A556,표1[#ALL],row(),false)</f>
        <v>#N/A</v>
      </c>
      <c r="L556" s="372" t="str">
        <f>CS_PID!L556/VLOOKUP($B556,표2[#ALL],2)/HLOOKUP($A556,표1[#ALL],row(),false)</f>
        <v>#N/A</v>
      </c>
      <c r="M556" s="372" t="str">
        <f>CS_PID!M556/VLOOKUP($B556,표2[#ALL],2)/HLOOKUP($A556,표1[#ALL],row(),false)</f>
        <v>#N/A</v>
      </c>
      <c r="N556" s="372" t="str">
        <f>CS_PID!N556/VLOOKUP($B556,표2[#ALL],2)/HLOOKUP($A556,표1[#ALL],row(),false)</f>
        <v>#N/A</v>
      </c>
      <c r="O556" s="372" t="str">
        <f>CS_PID!O556/VLOOKUP($B556,표2[#ALL],2)/HLOOKUP($A556,표1[#ALL],row(),false)</f>
        <v>#N/A</v>
      </c>
      <c r="P556" s="372" t="str">
        <f>CS_PID!P556/VLOOKUP($B556,표2[#ALL],2)/HLOOKUP($A556,표1[#ALL],row(),false)</f>
        <v>#N/A</v>
      </c>
      <c r="Q556" s="372" t="str">
        <f>CS_PID!Q556/VLOOKUP($B556,표2[#ALL],2)/HLOOKUP($A556,표1[#ALL],row(),false)</f>
        <v>#N/A</v>
      </c>
      <c r="R556" s="372" t="str">
        <f>CS_PID!R556/VLOOKUP($B556,표2[#ALL],2)/HLOOKUP($A556,표1[#ALL],row(),false)</f>
        <v>#N/A</v>
      </c>
      <c r="S556" s="372" t="str">
        <f>CS_PID!S556/VLOOKUP($B556,표2[#ALL],2)/HLOOKUP($A556,표1[#ALL],row(),false)</f>
        <v>#N/A</v>
      </c>
      <c r="T556" s="372" t="str">
        <f>CS_PID!T556/VLOOKUP($B556,표2[#ALL],2)/HLOOKUP($A556,표1[#ALL],row(),false)</f>
        <v>#N/A</v>
      </c>
      <c r="U556" s="372" t="str">
        <f>CS_PID!U556/VLOOKUP($B556,표2[#ALL],2)/HLOOKUP($A556,표1[#ALL],row(),false)</f>
        <v>#N/A</v>
      </c>
      <c r="V556" s="372" t="str">
        <f>CS_PID!V556/VLOOKUP($B556,표2[#ALL],2)/HLOOKUP($A556,표1[#ALL],row(),false)</f>
        <v>#N/A</v>
      </c>
      <c r="W556" s="372" t="str">
        <f>CS_PID!W556/VLOOKUP($B556,표2[#ALL],2)/HLOOKUP($A556,표1[#ALL],row(),false)</f>
        <v>#N/A</v>
      </c>
      <c r="X556" s="372" t="str">
        <f>CS_PID!X556/VLOOKUP($B556,표2[#ALL],2)/HLOOKUP($A556,표1[#ALL],row(),false)</f>
        <v>#N/A</v>
      </c>
      <c r="Y556" s="372" t="str">
        <f>CS_PID!Y556/VLOOKUP($B556,표2[#ALL],2)/HLOOKUP($A556,표1[#ALL],row(),false)</f>
        <v>#N/A</v>
      </c>
      <c r="Z556" s="372" t="str">
        <f>CS_PID!Z556/VLOOKUP($B556,표2[#ALL],2)/HLOOKUP($A556,표1[#ALL],row(),false)</f>
        <v>#N/A</v>
      </c>
      <c r="AA556" s="372" t="str">
        <f>CS_PID!AA556/VLOOKUP($B556,표2[#ALL],2)/HLOOKUP($A556,표1[#ALL],row(),false)</f>
        <v>#N/A</v>
      </c>
      <c r="AB556" s="372" t="str">
        <f>CS_PID!AB556/VLOOKUP($B556,표2[#ALL],2)/HLOOKUP($A556,표1[#ALL],row(),false)</f>
        <v>#N/A</v>
      </c>
      <c r="AC556" s="372" t="str">
        <f>CS_PID!AC556/VLOOKUP($B556,표2[#ALL],2)/HLOOKUP($A556,표1[#ALL],row(),false)</f>
        <v>#N/A</v>
      </c>
      <c r="AD556" s="372" t="str">
        <f>CS_PID!AD556/VLOOKUP($B556,표2[#ALL],2)/HLOOKUP($A556,표1[#ALL],row(),false)</f>
        <v>#N/A</v>
      </c>
      <c r="AE556" s="372" t="str">
        <f>CS_PID!AE556/VLOOKUP($B556,표2[#ALL],2)/HLOOKUP($A556,표1[#ALL],row(),false)</f>
        <v>#N/A</v>
      </c>
      <c r="AF556" s="372" t="str">
        <f>CS_PID!AF556/VLOOKUP($B556,표2[#ALL],2)/HLOOKUP($A556,표1[#ALL],row(),false)</f>
        <v>#N/A</v>
      </c>
      <c r="AG556" s="372" t="str">
        <f>CS_PID!AG556/VLOOKUP($B556,표2[#ALL],2)/HLOOKUP($A556,표1[#ALL],row(),false)</f>
        <v>#N/A</v>
      </c>
      <c r="AH556" s="372" t="str">
        <f>CS_PID!AH556/VLOOKUP($B556,표2[#ALL],2)/HLOOKUP($A556,표1[#ALL],row(),false)</f>
        <v>#N/A</v>
      </c>
      <c r="AI556" s="372" t="str">
        <f>CS_PID!AI556/VLOOKUP($B556,표2[#ALL],2)/HLOOKUP($A556,표1[#ALL],row(),false)</f>
        <v>#N/A</v>
      </c>
      <c r="AJ556" s="372" t="str">
        <f>CS_PID!AJ556/VLOOKUP($B556,표2[#ALL],2)/HLOOKUP($A556,표1[#ALL],row(),false)</f>
        <v>#N/A</v>
      </c>
      <c r="AK556" s="372" t="str">
        <f>CS_PID!AK556/VLOOKUP($B556,표2[#ALL],2)/HLOOKUP($A556,표1[#ALL],row(),false)</f>
        <v>#N/A</v>
      </c>
      <c r="AL556" s="372" t="str">
        <f>CS_PID!AL556/VLOOKUP($B556,표2[#ALL],2)/HLOOKUP($A556,표1[#ALL],row(),false)</f>
        <v>#N/A</v>
      </c>
      <c r="AM556" s="372" t="str">
        <f>CS_PID!AM556/VLOOKUP($B556,표2[#ALL],2)/HLOOKUP($A556,표1[#ALL],row(),false)</f>
        <v>#N/A</v>
      </c>
      <c r="AN556" s="372" t="str">
        <f>CS_PID!AN556/VLOOKUP($B556,표2[#ALL],2)/HLOOKUP($A556,표1[#ALL],row(),false)</f>
        <v>#N/A</v>
      </c>
      <c r="AO556" s="372" t="str">
        <f>CS_PID!AO556/VLOOKUP($B556,표2[#ALL],2)/HLOOKUP($A556,표1[#ALL],row(),false)</f>
        <v>#N/A</v>
      </c>
      <c r="AP556" s="372" t="str">
        <f>CS_PID!AP556/VLOOKUP($B556,표2[#ALL],2)/HLOOKUP($A556,표1[#ALL],row(),false)</f>
        <v>#N/A</v>
      </c>
      <c r="AQ556" s="372" t="str">
        <f>CS_PID!AQ556/VLOOKUP($B556,표2[#ALL],2)/HLOOKUP($A556,표1[#ALL],row(),false)</f>
        <v>#N/A</v>
      </c>
      <c r="AR556" s="372" t="str">
        <f>CS_PID!AR556/VLOOKUP($B556,표2[#ALL],2)/HLOOKUP($A556,표1[#ALL],row(),false)</f>
        <v>#N/A</v>
      </c>
      <c r="AS556" s="373" t="str">
        <f>CS_PID!AS556/VLOOKUP($B556,표2[#ALL],2)/HLOOKUP($A556,표1[#ALL],row(),false)</f>
        <v>#N/A</v>
      </c>
    </row>
    <row r="557">
      <c r="A557" s="374"/>
      <c r="B557" s="375"/>
      <c r="C557" s="376" t="str">
        <f>CS_PID!C557/VLOOKUP($B557,표2[#ALL],2)</f>
        <v>#N/A</v>
      </c>
      <c r="D557" s="376" t="str">
        <f>CS_PID!D557/VLOOKUP($B557,표2[#ALL],2)</f>
        <v>#N/A</v>
      </c>
      <c r="E557" s="376" t="str">
        <f>CS_PID!E557/VLOOKUP($B557,표2[#ALL],2)</f>
        <v>#N/A</v>
      </c>
      <c r="F557" s="376" t="str">
        <f>CS_PID!F557/VLOOKUP($B557,표2[#ALL],2)</f>
        <v>#N/A</v>
      </c>
      <c r="G557" s="376" t="str">
        <f>CS_PID!G557/VLOOKUP($B557,표2[#ALL],2)</f>
        <v>#N/A</v>
      </c>
      <c r="H557" s="376" t="str">
        <f>CS_PID!H557/VLOOKUP($B557,표2[#ALL],2)/HLOOKUP($A557,표1[#ALL],row(),false)</f>
        <v>#N/A</v>
      </c>
      <c r="I557" s="376" t="str">
        <f>CS_PID!I557/VLOOKUP($B557,표2[#ALL],2)/HLOOKUP($A557,표1[#ALL],row(),false)</f>
        <v>#N/A</v>
      </c>
      <c r="J557" s="376" t="str">
        <f>CS_PID!J557/VLOOKUP($B557,표2[#ALL],2)/HLOOKUP($A557,표1[#ALL],row(),false)</f>
        <v>#N/A</v>
      </c>
      <c r="K557" s="376" t="str">
        <f>CS_PID!K557/VLOOKUP($B557,표2[#ALL],2)/HLOOKUP($A557,표1[#ALL],row(),false)</f>
        <v>#N/A</v>
      </c>
      <c r="L557" s="376" t="str">
        <f>CS_PID!L557/VLOOKUP($B557,표2[#ALL],2)/HLOOKUP($A557,표1[#ALL],row(),false)</f>
        <v>#N/A</v>
      </c>
      <c r="M557" s="376" t="str">
        <f>CS_PID!M557/VLOOKUP($B557,표2[#ALL],2)/HLOOKUP($A557,표1[#ALL],row(),false)</f>
        <v>#N/A</v>
      </c>
      <c r="N557" s="376" t="str">
        <f>CS_PID!N557/VLOOKUP($B557,표2[#ALL],2)/HLOOKUP($A557,표1[#ALL],row(),false)</f>
        <v>#N/A</v>
      </c>
      <c r="O557" s="376" t="str">
        <f>CS_PID!O557/VLOOKUP($B557,표2[#ALL],2)/HLOOKUP($A557,표1[#ALL],row(),false)</f>
        <v>#N/A</v>
      </c>
      <c r="P557" s="376" t="str">
        <f>CS_PID!P557/VLOOKUP($B557,표2[#ALL],2)/HLOOKUP($A557,표1[#ALL],row(),false)</f>
        <v>#N/A</v>
      </c>
      <c r="Q557" s="376" t="str">
        <f>CS_PID!Q557/VLOOKUP($B557,표2[#ALL],2)/HLOOKUP($A557,표1[#ALL],row(),false)</f>
        <v>#N/A</v>
      </c>
      <c r="R557" s="376" t="str">
        <f>CS_PID!R557/VLOOKUP($B557,표2[#ALL],2)/HLOOKUP($A557,표1[#ALL],row(),false)</f>
        <v>#N/A</v>
      </c>
      <c r="S557" s="376" t="str">
        <f>CS_PID!S557/VLOOKUP($B557,표2[#ALL],2)/HLOOKUP($A557,표1[#ALL],row(),false)</f>
        <v>#N/A</v>
      </c>
      <c r="T557" s="376" t="str">
        <f>CS_PID!T557/VLOOKUP($B557,표2[#ALL],2)/HLOOKUP($A557,표1[#ALL],row(),false)</f>
        <v>#N/A</v>
      </c>
      <c r="U557" s="376" t="str">
        <f>CS_PID!U557/VLOOKUP($B557,표2[#ALL],2)/HLOOKUP($A557,표1[#ALL],row(),false)</f>
        <v>#N/A</v>
      </c>
      <c r="V557" s="376" t="str">
        <f>CS_PID!V557/VLOOKUP($B557,표2[#ALL],2)/HLOOKUP($A557,표1[#ALL],row(),false)</f>
        <v>#N/A</v>
      </c>
      <c r="W557" s="376" t="str">
        <f>CS_PID!W557/VLOOKUP($B557,표2[#ALL],2)/HLOOKUP($A557,표1[#ALL],row(),false)</f>
        <v>#N/A</v>
      </c>
      <c r="X557" s="376" t="str">
        <f>CS_PID!X557/VLOOKUP($B557,표2[#ALL],2)/HLOOKUP($A557,표1[#ALL],row(),false)</f>
        <v>#N/A</v>
      </c>
      <c r="Y557" s="376" t="str">
        <f>CS_PID!Y557/VLOOKUP($B557,표2[#ALL],2)/HLOOKUP($A557,표1[#ALL],row(),false)</f>
        <v>#N/A</v>
      </c>
      <c r="Z557" s="376" t="str">
        <f>CS_PID!Z557/VLOOKUP($B557,표2[#ALL],2)/HLOOKUP($A557,표1[#ALL],row(),false)</f>
        <v>#N/A</v>
      </c>
      <c r="AA557" s="376" t="str">
        <f>CS_PID!AA557/VLOOKUP($B557,표2[#ALL],2)/HLOOKUP($A557,표1[#ALL],row(),false)</f>
        <v>#N/A</v>
      </c>
      <c r="AB557" s="376" t="str">
        <f>CS_PID!AB557/VLOOKUP($B557,표2[#ALL],2)/HLOOKUP($A557,표1[#ALL],row(),false)</f>
        <v>#N/A</v>
      </c>
      <c r="AC557" s="376" t="str">
        <f>CS_PID!AC557/VLOOKUP($B557,표2[#ALL],2)/HLOOKUP($A557,표1[#ALL],row(),false)</f>
        <v>#N/A</v>
      </c>
      <c r="AD557" s="376" t="str">
        <f>CS_PID!AD557/VLOOKUP($B557,표2[#ALL],2)/HLOOKUP($A557,표1[#ALL],row(),false)</f>
        <v>#N/A</v>
      </c>
      <c r="AE557" s="376" t="str">
        <f>CS_PID!AE557/VLOOKUP($B557,표2[#ALL],2)/HLOOKUP($A557,표1[#ALL],row(),false)</f>
        <v>#N/A</v>
      </c>
      <c r="AF557" s="376" t="str">
        <f>CS_PID!AF557/VLOOKUP($B557,표2[#ALL],2)/HLOOKUP($A557,표1[#ALL],row(),false)</f>
        <v>#N/A</v>
      </c>
      <c r="AG557" s="376" t="str">
        <f>CS_PID!AG557/VLOOKUP($B557,표2[#ALL],2)/HLOOKUP($A557,표1[#ALL],row(),false)</f>
        <v>#N/A</v>
      </c>
      <c r="AH557" s="376" t="str">
        <f>CS_PID!AH557/VLOOKUP($B557,표2[#ALL],2)/HLOOKUP($A557,표1[#ALL],row(),false)</f>
        <v>#N/A</v>
      </c>
      <c r="AI557" s="376" t="str">
        <f>CS_PID!AI557/VLOOKUP($B557,표2[#ALL],2)/HLOOKUP($A557,표1[#ALL],row(),false)</f>
        <v>#N/A</v>
      </c>
      <c r="AJ557" s="376" t="str">
        <f>CS_PID!AJ557/VLOOKUP($B557,표2[#ALL],2)/HLOOKUP($A557,표1[#ALL],row(),false)</f>
        <v>#N/A</v>
      </c>
      <c r="AK557" s="376" t="str">
        <f>CS_PID!AK557/VLOOKUP($B557,표2[#ALL],2)/HLOOKUP($A557,표1[#ALL],row(),false)</f>
        <v>#N/A</v>
      </c>
      <c r="AL557" s="376" t="str">
        <f>CS_PID!AL557/VLOOKUP($B557,표2[#ALL],2)/HLOOKUP($A557,표1[#ALL],row(),false)</f>
        <v>#N/A</v>
      </c>
      <c r="AM557" s="376" t="str">
        <f>CS_PID!AM557/VLOOKUP($B557,표2[#ALL],2)/HLOOKUP($A557,표1[#ALL],row(),false)</f>
        <v>#N/A</v>
      </c>
      <c r="AN557" s="376" t="str">
        <f>CS_PID!AN557/VLOOKUP($B557,표2[#ALL],2)/HLOOKUP($A557,표1[#ALL],row(),false)</f>
        <v>#N/A</v>
      </c>
      <c r="AO557" s="376" t="str">
        <f>CS_PID!AO557/VLOOKUP($B557,표2[#ALL],2)/HLOOKUP($A557,표1[#ALL],row(),false)</f>
        <v>#N/A</v>
      </c>
      <c r="AP557" s="376" t="str">
        <f>CS_PID!AP557/VLOOKUP($B557,표2[#ALL],2)/HLOOKUP($A557,표1[#ALL],row(),false)</f>
        <v>#N/A</v>
      </c>
      <c r="AQ557" s="376" t="str">
        <f>CS_PID!AQ557/VLOOKUP($B557,표2[#ALL],2)/HLOOKUP($A557,표1[#ALL],row(),false)</f>
        <v>#N/A</v>
      </c>
      <c r="AR557" s="376" t="str">
        <f>CS_PID!AR557/VLOOKUP($B557,표2[#ALL],2)/HLOOKUP($A557,표1[#ALL],row(),false)</f>
        <v>#N/A</v>
      </c>
      <c r="AS557" s="377" t="str">
        <f>CS_PID!AS557/VLOOKUP($B557,표2[#ALL],2)/HLOOKUP($A557,표1[#ALL],row(),false)</f>
        <v>#N/A</v>
      </c>
    </row>
    <row r="558">
      <c r="A558" s="370"/>
      <c r="B558" s="371"/>
      <c r="C558" s="372" t="str">
        <f>CS_PID!C558/VLOOKUP($B558,표2[#ALL],2)</f>
        <v>#N/A</v>
      </c>
      <c r="D558" s="372" t="str">
        <f>CS_PID!D558/VLOOKUP($B558,표2[#ALL],2)</f>
        <v>#N/A</v>
      </c>
      <c r="E558" s="372" t="str">
        <f>CS_PID!E558/VLOOKUP($B558,표2[#ALL],2)</f>
        <v>#N/A</v>
      </c>
      <c r="F558" s="372" t="str">
        <f>CS_PID!F558/VLOOKUP($B558,표2[#ALL],2)</f>
        <v>#N/A</v>
      </c>
      <c r="G558" s="372" t="str">
        <f>CS_PID!G558/VLOOKUP($B558,표2[#ALL],2)</f>
        <v>#N/A</v>
      </c>
      <c r="H558" s="372" t="str">
        <f>CS_PID!H558/VLOOKUP($B558,표2[#ALL],2)/HLOOKUP($A558,표1[#ALL],row(),false)</f>
        <v>#N/A</v>
      </c>
      <c r="I558" s="372" t="str">
        <f>CS_PID!I558/VLOOKUP($B558,표2[#ALL],2)/HLOOKUP($A558,표1[#ALL],row(),false)</f>
        <v>#N/A</v>
      </c>
      <c r="J558" s="372" t="str">
        <f>CS_PID!J558/VLOOKUP($B558,표2[#ALL],2)/HLOOKUP($A558,표1[#ALL],row(),false)</f>
        <v>#N/A</v>
      </c>
      <c r="K558" s="372" t="str">
        <f>CS_PID!K558/VLOOKUP($B558,표2[#ALL],2)/HLOOKUP($A558,표1[#ALL],row(),false)</f>
        <v>#N/A</v>
      </c>
      <c r="L558" s="372" t="str">
        <f>CS_PID!L558/VLOOKUP($B558,표2[#ALL],2)/HLOOKUP($A558,표1[#ALL],row(),false)</f>
        <v>#N/A</v>
      </c>
      <c r="M558" s="372" t="str">
        <f>CS_PID!M558/VLOOKUP($B558,표2[#ALL],2)/HLOOKUP($A558,표1[#ALL],row(),false)</f>
        <v>#N/A</v>
      </c>
      <c r="N558" s="372" t="str">
        <f>CS_PID!N558/VLOOKUP($B558,표2[#ALL],2)/HLOOKUP($A558,표1[#ALL],row(),false)</f>
        <v>#N/A</v>
      </c>
      <c r="O558" s="372" t="str">
        <f>CS_PID!O558/VLOOKUP($B558,표2[#ALL],2)/HLOOKUP($A558,표1[#ALL],row(),false)</f>
        <v>#N/A</v>
      </c>
      <c r="P558" s="372" t="str">
        <f>CS_PID!P558/VLOOKUP($B558,표2[#ALL],2)/HLOOKUP($A558,표1[#ALL],row(),false)</f>
        <v>#N/A</v>
      </c>
      <c r="Q558" s="372" t="str">
        <f>CS_PID!Q558/VLOOKUP($B558,표2[#ALL],2)/HLOOKUP($A558,표1[#ALL],row(),false)</f>
        <v>#N/A</v>
      </c>
      <c r="R558" s="372" t="str">
        <f>CS_PID!R558/VLOOKUP($B558,표2[#ALL],2)/HLOOKUP($A558,표1[#ALL],row(),false)</f>
        <v>#N/A</v>
      </c>
      <c r="S558" s="372" t="str">
        <f>CS_PID!S558/VLOOKUP($B558,표2[#ALL],2)/HLOOKUP($A558,표1[#ALL],row(),false)</f>
        <v>#N/A</v>
      </c>
      <c r="T558" s="372" t="str">
        <f>CS_PID!T558/VLOOKUP($B558,표2[#ALL],2)/HLOOKUP($A558,표1[#ALL],row(),false)</f>
        <v>#N/A</v>
      </c>
      <c r="U558" s="372" t="str">
        <f>CS_PID!U558/VLOOKUP($B558,표2[#ALL],2)/HLOOKUP($A558,표1[#ALL],row(),false)</f>
        <v>#N/A</v>
      </c>
      <c r="V558" s="372" t="str">
        <f>CS_PID!V558/VLOOKUP($B558,표2[#ALL],2)/HLOOKUP($A558,표1[#ALL],row(),false)</f>
        <v>#N/A</v>
      </c>
      <c r="W558" s="372" t="str">
        <f>CS_PID!W558/VLOOKUP($B558,표2[#ALL],2)/HLOOKUP($A558,표1[#ALL],row(),false)</f>
        <v>#N/A</v>
      </c>
      <c r="X558" s="372" t="str">
        <f>CS_PID!X558/VLOOKUP($B558,표2[#ALL],2)/HLOOKUP($A558,표1[#ALL],row(),false)</f>
        <v>#N/A</v>
      </c>
      <c r="Y558" s="372" t="str">
        <f>CS_PID!Y558/VLOOKUP($B558,표2[#ALL],2)/HLOOKUP($A558,표1[#ALL],row(),false)</f>
        <v>#N/A</v>
      </c>
      <c r="Z558" s="372" t="str">
        <f>CS_PID!Z558/VLOOKUP($B558,표2[#ALL],2)/HLOOKUP($A558,표1[#ALL],row(),false)</f>
        <v>#N/A</v>
      </c>
      <c r="AA558" s="372" t="str">
        <f>CS_PID!AA558/VLOOKUP($B558,표2[#ALL],2)/HLOOKUP($A558,표1[#ALL],row(),false)</f>
        <v>#N/A</v>
      </c>
      <c r="AB558" s="372" t="str">
        <f>CS_PID!AB558/VLOOKUP($B558,표2[#ALL],2)/HLOOKUP($A558,표1[#ALL],row(),false)</f>
        <v>#N/A</v>
      </c>
      <c r="AC558" s="372" t="str">
        <f>CS_PID!AC558/VLOOKUP($B558,표2[#ALL],2)/HLOOKUP($A558,표1[#ALL],row(),false)</f>
        <v>#N/A</v>
      </c>
      <c r="AD558" s="372" t="str">
        <f>CS_PID!AD558/VLOOKUP($B558,표2[#ALL],2)/HLOOKUP($A558,표1[#ALL],row(),false)</f>
        <v>#N/A</v>
      </c>
      <c r="AE558" s="372" t="str">
        <f>CS_PID!AE558/VLOOKUP($B558,표2[#ALL],2)/HLOOKUP($A558,표1[#ALL],row(),false)</f>
        <v>#N/A</v>
      </c>
      <c r="AF558" s="372" t="str">
        <f>CS_PID!AF558/VLOOKUP($B558,표2[#ALL],2)/HLOOKUP($A558,표1[#ALL],row(),false)</f>
        <v>#N/A</v>
      </c>
      <c r="AG558" s="372" t="str">
        <f>CS_PID!AG558/VLOOKUP($B558,표2[#ALL],2)/HLOOKUP($A558,표1[#ALL],row(),false)</f>
        <v>#N/A</v>
      </c>
      <c r="AH558" s="372" t="str">
        <f>CS_PID!AH558/VLOOKUP($B558,표2[#ALL],2)/HLOOKUP($A558,표1[#ALL],row(),false)</f>
        <v>#N/A</v>
      </c>
      <c r="AI558" s="372" t="str">
        <f>CS_PID!AI558/VLOOKUP($B558,표2[#ALL],2)/HLOOKUP($A558,표1[#ALL],row(),false)</f>
        <v>#N/A</v>
      </c>
      <c r="AJ558" s="372" t="str">
        <f>CS_PID!AJ558/VLOOKUP($B558,표2[#ALL],2)/HLOOKUP($A558,표1[#ALL],row(),false)</f>
        <v>#N/A</v>
      </c>
      <c r="AK558" s="372" t="str">
        <f>CS_PID!AK558/VLOOKUP($B558,표2[#ALL],2)/HLOOKUP($A558,표1[#ALL],row(),false)</f>
        <v>#N/A</v>
      </c>
      <c r="AL558" s="372" t="str">
        <f>CS_PID!AL558/VLOOKUP($B558,표2[#ALL],2)/HLOOKUP($A558,표1[#ALL],row(),false)</f>
        <v>#N/A</v>
      </c>
      <c r="AM558" s="372" t="str">
        <f>CS_PID!AM558/VLOOKUP($B558,표2[#ALL],2)/HLOOKUP($A558,표1[#ALL],row(),false)</f>
        <v>#N/A</v>
      </c>
      <c r="AN558" s="372" t="str">
        <f>CS_PID!AN558/VLOOKUP($B558,표2[#ALL],2)/HLOOKUP($A558,표1[#ALL],row(),false)</f>
        <v>#N/A</v>
      </c>
      <c r="AO558" s="372" t="str">
        <f>CS_PID!AO558/VLOOKUP($B558,표2[#ALL],2)/HLOOKUP($A558,표1[#ALL],row(),false)</f>
        <v>#N/A</v>
      </c>
      <c r="AP558" s="372" t="str">
        <f>CS_PID!AP558/VLOOKUP($B558,표2[#ALL],2)/HLOOKUP($A558,표1[#ALL],row(),false)</f>
        <v>#N/A</v>
      </c>
      <c r="AQ558" s="372" t="str">
        <f>CS_PID!AQ558/VLOOKUP($B558,표2[#ALL],2)/HLOOKUP($A558,표1[#ALL],row(),false)</f>
        <v>#N/A</v>
      </c>
      <c r="AR558" s="372" t="str">
        <f>CS_PID!AR558/VLOOKUP($B558,표2[#ALL],2)/HLOOKUP($A558,표1[#ALL],row(),false)</f>
        <v>#N/A</v>
      </c>
      <c r="AS558" s="373" t="str">
        <f>CS_PID!AS558/VLOOKUP($B558,표2[#ALL],2)/HLOOKUP($A558,표1[#ALL],row(),false)</f>
        <v>#N/A</v>
      </c>
    </row>
    <row r="559">
      <c r="A559" s="374"/>
      <c r="B559" s="375"/>
      <c r="C559" s="376" t="str">
        <f>CS_PID!C559/VLOOKUP($B559,표2[#ALL],2)</f>
        <v>#N/A</v>
      </c>
      <c r="D559" s="376" t="str">
        <f>CS_PID!D559/VLOOKUP($B559,표2[#ALL],2)</f>
        <v>#N/A</v>
      </c>
      <c r="E559" s="376" t="str">
        <f>CS_PID!E559/VLOOKUP($B559,표2[#ALL],2)</f>
        <v>#N/A</v>
      </c>
      <c r="F559" s="376" t="str">
        <f>CS_PID!F559/VLOOKUP($B559,표2[#ALL],2)</f>
        <v>#N/A</v>
      </c>
      <c r="G559" s="376" t="str">
        <f>CS_PID!G559/VLOOKUP($B559,표2[#ALL],2)</f>
        <v>#N/A</v>
      </c>
      <c r="H559" s="376" t="str">
        <f>CS_PID!H559/VLOOKUP($B559,표2[#ALL],2)/HLOOKUP($A559,표1[#ALL],row(),false)</f>
        <v>#N/A</v>
      </c>
      <c r="I559" s="376" t="str">
        <f>CS_PID!I559/VLOOKUP($B559,표2[#ALL],2)/HLOOKUP($A559,표1[#ALL],row(),false)</f>
        <v>#N/A</v>
      </c>
      <c r="J559" s="376" t="str">
        <f>CS_PID!J559/VLOOKUP($B559,표2[#ALL],2)/HLOOKUP($A559,표1[#ALL],row(),false)</f>
        <v>#N/A</v>
      </c>
      <c r="K559" s="376" t="str">
        <f>CS_PID!K559/VLOOKUP($B559,표2[#ALL],2)/HLOOKUP($A559,표1[#ALL],row(),false)</f>
        <v>#N/A</v>
      </c>
      <c r="L559" s="376" t="str">
        <f>CS_PID!L559/VLOOKUP($B559,표2[#ALL],2)/HLOOKUP($A559,표1[#ALL],row(),false)</f>
        <v>#N/A</v>
      </c>
      <c r="M559" s="376" t="str">
        <f>CS_PID!M559/VLOOKUP($B559,표2[#ALL],2)/HLOOKUP($A559,표1[#ALL],row(),false)</f>
        <v>#N/A</v>
      </c>
      <c r="N559" s="376" t="str">
        <f>CS_PID!N559/VLOOKUP($B559,표2[#ALL],2)/HLOOKUP($A559,표1[#ALL],row(),false)</f>
        <v>#N/A</v>
      </c>
      <c r="O559" s="376" t="str">
        <f>CS_PID!O559/VLOOKUP($B559,표2[#ALL],2)/HLOOKUP($A559,표1[#ALL],row(),false)</f>
        <v>#N/A</v>
      </c>
      <c r="P559" s="376" t="str">
        <f>CS_PID!P559/VLOOKUP($B559,표2[#ALL],2)/HLOOKUP($A559,표1[#ALL],row(),false)</f>
        <v>#N/A</v>
      </c>
      <c r="Q559" s="376" t="str">
        <f>CS_PID!Q559/VLOOKUP($B559,표2[#ALL],2)/HLOOKUP($A559,표1[#ALL],row(),false)</f>
        <v>#N/A</v>
      </c>
      <c r="R559" s="376" t="str">
        <f>CS_PID!R559/VLOOKUP($B559,표2[#ALL],2)/HLOOKUP($A559,표1[#ALL],row(),false)</f>
        <v>#N/A</v>
      </c>
      <c r="S559" s="376" t="str">
        <f>CS_PID!S559/VLOOKUP($B559,표2[#ALL],2)/HLOOKUP($A559,표1[#ALL],row(),false)</f>
        <v>#N/A</v>
      </c>
      <c r="T559" s="376" t="str">
        <f>CS_PID!T559/VLOOKUP($B559,표2[#ALL],2)/HLOOKUP($A559,표1[#ALL],row(),false)</f>
        <v>#N/A</v>
      </c>
      <c r="U559" s="376" t="str">
        <f>CS_PID!U559/VLOOKUP($B559,표2[#ALL],2)/HLOOKUP($A559,표1[#ALL],row(),false)</f>
        <v>#N/A</v>
      </c>
      <c r="V559" s="376" t="str">
        <f>CS_PID!V559/VLOOKUP($B559,표2[#ALL],2)/HLOOKUP($A559,표1[#ALL],row(),false)</f>
        <v>#N/A</v>
      </c>
      <c r="W559" s="376" t="str">
        <f>CS_PID!W559/VLOOKUP($B559,표2[#ALL],2)/HLOOKUP($A559,표1[#ALL],row(),false)</f>
        <v>#N/A</v>
      </c>
      <c r="X559" s="376" t="str">
        <f>CS_PID!X559/VLOOKUP($B559,표2[#ALL],2)/HLOOKUP($A559,표1[#ALL],row(),false)</f>
        <v>#N/A</v>
      </c>
      <c r="Y559" s="376" t="str">
        <f>CS_PID!Y559/VLOOKUP($B559,표2[#ALL],2)/HLOOKUP($A559,표1[#ALL],row(),false)</f>
        <v>#N/A</v>
      </c>
      <c r="Z559" s="376" t="str">
        <f>CS_PID!Z559/VLOOKUP($B559,표2[#ALL],2)/HLOOKUP($A559,표1[#ALL],row(),false)</f>
        <v>#N/A</v>
      </c>
      <c r="AA559" s="376" t="str">
        <f>CS_PID!AA559/VLOOKUP($B559,표2[#ALL],2)/HLOOKUP($A559,표1[#ALL],row(),false)</f>
        <v>#N/A</v>
      </c>
      <c r="AB559" s="376" t="str">
        <f>CS_PID!AB559/VLOOKUP($B559,표2[#ALL],2)/HLOOKUP($A559,표1[#ALL],row(),false)</f>
        <v>#N/A</v>
      </c>
      <c r="AC559" s="376" t="str">
        <f>CS_PID!AC559/VLOOKUP($B559,표2[#ALL],2)/HLOOKUP($A559,표1[#ALL],row(),false)</f>
        <v>#N/A</v>
      </c>
      <c r="AD559" s="376" t="str">
        <f>CS_PID!AD559/VLOOKUP($B559,표2[#ALL],2)/HLOOKUP($A559,표1[#ALL],row(),false)</f>
        <v>#N/A</v>
      </c>
      <c r="AE559" s="376" t="str">
        <f>CS_PID!AE559/VLOOKUP($B559,표2[#ALL],2)/HLOOKUP($A559,표1[#ALL],row(),false)</f>
        <v>#N/A</v>
      </c>
      <c r="AF559" s="376" t="str">
        <f>CS_PID!AF559/VLOOKUP($B559,표2[#ALL],2)/HLOOKUP($A559,표1[#ALL],row(),false)</f>
        <v>#N/A</v>
      </c>
      <c r="AG559" s="376" t="str">
        <f>CS_PID!AG559/VLOOKUP($B559,표2[#ALL],2)/HLOOKUP($A559,표1[#ALL],row(),false)</f>
        <v>#N/A</v>
      </c>
      <c r="AH559" s="376" t="str">
        <f>CS_PID!AH559/VLOOKUP($B559,표2[#ALL],2)/HLOOKUP($A559,표1[#ALL],row(),false)</f>
        <v>#N/A</v>
      </c>
      <c r="AI559" s="376" t="str">
        <f>CS_PID!AI559/VLOOKUP($B559,표2[#ALL],2)/HLOOKUP($A559,표1[#ALL],row(),false)</f>
        <v>#N/A</v>
      </c>
      <c r="AJ559" s="376" t="str">
        <f>CS_PID!AJ559/VLOOKUP($B559,표2[#ALL],2)/HLOOKUP($A559,표1[#ALL],row(),false)</f>
        <v>#N/A</v>
      </c>
      <c r="AK559" s="376" t="str">
        <f>CS_PID!AK559/VLOOKUP($B559,표2[#ALL],2)/HLOOKUP($A559,표1[#ALL],row(),false)</f>
        <v>#N/A</v>
      </c>
      <c r="AL559" s="376" t="str">
        <f>CS_PID!AL559/VLOOKUP($B559,표2[#ALL],2)/HLOOKUP($A559,표1[#ALL],row(),false)</f>
        <v>#N/A</v>
      </c>
      <c r="AM559" s="376" t="str">
        <f>CS_PID!AM559/VLOOKUP($B559,표2[#ALL],2)/HLOOKUP($A559,표1[#ALL],row(),false)</f>
        <v>#N/A</v>
      </c>
      <c r="AN559" s="376" t="str">
        <f>CS_PID!AN559/VLOOKUP($B559,표2[#ALL],2)/HLOOKUP($A559,표1[#ALL],row(),false)</f>
        <v>#N/A</v>
      </c>
      <c r="AO559" s="376" t="str">
        <f>CS_PID!AO559/VLOOKUP($B559,표2[#ALL],2)/HLOOKUP($A559,표1[#ALL],row(),false)</f>
        <v>#N/A</v>
      </c>
      <c r="AP559" s="376" t="str">
        <f>CS_PID!AP559/VLOOKUP($B559,표2[#ALL],2)/HLOOKUP($A559,표1[#ALL],row(),false)</f>
        <v>#N/A</v>
      </c>
      <c r="AQ559" s="376" t="str">
        <f>CS_PID!AQ559/VLOOKUP($B559,표2[#ALL],2)/HLOOKUP($A559,표1[#ALL],row(),false)</f>
        <v>#N/A</v>
      </c>
      <c r="AR559" s="376" t="str">
        <f>CS_PID!AR559/VLOOKUP($B559,표2[#ALL],2)/HLOOKUP($A559,표1[#ALL],row(),false)</f>
        <v>#N/A</v>
      </c>
      <c r="AS559" s="377" t="str">
        <f>CS_PID!AS559/VLOOKUP($B559,표2[#ALL],2)/HLOOKUP($A559,표1[#ALL],row(),false)</f>
        <v>#N/A</v>
      </c>
    </row>
    <row r="560">
      <c r="A560" s="370"/>
      <c r="B560" s="371"/>
      <c r="C560" s="372" t="str">
        <f>CS_PID!C560/VLOOKUP($B560,표2[#ALL],2)</f>
        <v>#N/A</v>
      </c>
      <c r="D560" s="372" t="str">
        <f>CS_PID!D560/VLOOKUP($B560,표2[#ALL],2)</f>
        <v>#N/A</v>
      </c>
      <c r="E560" s="372" t="str">
        <f>CS_PID!E560/VLOOKUP($B560,표2[#ALL],2)</f>
        <v>#N/A</v>
      </c>
      <c r="F560" s="372" t="str">
        <f>CS_PID!F560/VLOOKUP($B560,표2[#ALL],2)</f>
        <v>#N/A</v>
      </c>
      <c r="G560" s="372" t="str">
        <f>CS_PID!G560/VLOOKUP($B560,표2[#ALL],2)</f>
        <v>#N/A</v>
      </c>
      <c r="H560" s="372" t="str">
        <f>CS_PID!H560/VLOOKUP($B560,표2[#ALL],2)/HLOOKUP($A560,표1[#ALL],row(),false)</f>
        <v>#N/A</v>
      </c>
      <c r="I560" s="372" t="str">
        <f>CS_PID!I560/VLOOKUP($B560,표2[#ALL],2)/HLOOKUP($A560,표1[#ALL],row(),false)</f>
        <v>#N/A</v>
      </c>
      <c r="J560" s="372" t="str">
        <f>CS_PID!J560/VLOOKUP($B560,표2[#ALL],2)/HLOOKUP($A560,표1[#ALL],row(),false)</f>
        <v>#N/A</v>
      </c>
      <c r="K560" s="372" t="str">
        <f>CS_PID!K560/VLOOKUP($B560,표2[#ALL],2)/HLOOKUP($A560,표1[#ALL],row(),false)</f>
        <v>#N/A</v>
      </c>
      <c r="L560" s="372" t="str">
        <f>CS_PID!L560/VLOOKUP($B560,표2[#ALL],2)/HLOOKUP($A560,표1[#ALL],row(),false)</f>
        <v>#N/A</v>
      </c>
      <c r="M560" s="372" t="str">
        <f>CS_PID!M560/VLOOKUP($B560,표2[#ALL],2)/HLOOKUP($A560,표1[#ALL],row(),false)</f>
        <v>#N/A</v>
      </c>
      <c r="N560" s="372" t="str">
        <f>CS_PID!N560/VLOOKUP($B560,표2[#ALL],2)/HLOOKUP($A560,표1[#ALL],row(),false)</f>
        <v>#N/A</v>
      </c>
      <c r="O560" s="372" t="str">
        <f>CS_PID!O560/VLOOKUP($B560,표2[#ALL],2)/HLOOKUP($A560,표1[#ALL],row(),false)</f>
        <v>#N/A</v>
      </c>
      <c r="P560" s="372" t="str">
        <f>CS_PID!P560/VLOOKUP($B560,표2[#ALL],2)/HLOOKUP($A560,표1[#ALL],row(),false)</f>
        <v>#N/A</v>
      </c>
      <c r="Q560" s="372" t="str">
        <f>CS_PID!Q560/VLOOKUP($B560,표2[#ALL],2)/HLOOKUP($A560,표1[#ALL],row(),false)</f>
        <v>#N/A</v>
      </c>
      <c r="R560" s="372" t="str">
        <f>CS_PID!R560/VLOOKUP($B560,표2[#ALL],2)/HLOOKUP($A560,표1[#ALL],row(),false)</f>
        <v>#N/A</v>
      </c>
      <c r="S560" s="372" t="str">
        <f>CS_PID!S560/VLOOKUP($B560,표2[#ALL],2)/HLOOKUP($A560,표1[#ALL],row(),false)</f>
        <v>#N/A</v>
      </c>
      <c r="T560" s="372" t="str">
        <f>CS_PID!T560/VLOOKUP($B560,표2[#ALL],2)/HLOOKUP($A560,표1[#ALL],row(),false)</f>
        <v>#N/A</v>
      </c>
      <c r="U560" s="372" t="str">
        <f>CS_PID!U560/VLOOKUP($B560,표2[#ALL],2)/HLOOKUP($A560,표1[#ALL],row(),false)</f>
        <v>#N/A</v>
      </c>
      <c r="V560" s="372" t="str">
        <f>CS_PID!V560/VLOOKUP($B560,표2[#ALL],2)/HLOOKUP($A560,표1[#ALL],row(),false)</f>
        <v>#N/A</v>
      </c>
      <c r="W560" s="372" t="str">
        <f>CS_PID!W560/VLOOKUP($B560,표2[#ALL],2)/HLOOKUP($A560,표1[#ALL],row(),false)</f>
        <v>#N/A</v>
      </c>
      <c r="X560" s="372" t="str">
        <f>CS_PID!X560/VLOOKUP($B560,표2[#ALL],2)/HLOOKUP($A560,표1[#ALL],row(),false)</f>
        <v>#N/A</v>
      </c>
      <c r="Y560" s="372" t="str">
        <f>CS_PID!Y560/VLOOKUP($B560,표2[#ALL],2)/HLOOKUP($A560,표1[#ALL],row(),false)</f>
        <v>#N/A</v>
      </c>
      <c r="Z560" s="372" t="str">
        <f>CS_PID!Z560/VLOOKUP($B560,표2[#ALL],2)/HLOOKUP($A560,표1[#ALL],row(),false)</f>
        <v>#N/A</v>
      </c>
      <c r="AA560" s="372" t="str">
        <f>CS_PID!AA560/VLOOKUP($B560,표2[#ALL],2)/HLOOKUP($A560,표1[#ALL],row(),false)</f>
        <v>#N/A</v>
      </c>
      <c r="AB560" s="372" t="str">
        <f>CS_PID!AB560/VLOOKUP($B560,표2[#ALL],2)/HLOOKUP($A560,표1[#ALL],row(),false)</f>
        <v>#N/A</v>
      </c>
      <c r="AC560" s="372" t="str">
        <f>CS_PID!AC560/VLOOKUP($B560,표2[#ALL],2)/HLOOKUP($A560,표1[#ALL],row(),false)</f>
        <v>#N/A</v>
      </c>
      <c r="AD560" s="372" t="str">
        <f>CS_PID!AD560/VLOOKUP($B560,표2[#ALL],2)/HLOOKUP($A560,표1[#ALL],row(),false)</f>
        <v>#N/A</v>
      </c>
      <c r="AE560" s="372" t="str">
        <f>CS_PID!AE560/VLOOKUP($B560,표2[#ALL],2)/HLOOKUP($A560,표1[#ALL],row(),false)</f>
        <v>#N/A</v>
      </c>
      <c r="AF560" s="372" t="str">
        <f>CS_PID!AF560/VLOOKUP($B560,표2[#ALL],2)/HLOOKUP($A560,표1[#ALL],row(),false)</f>
        <v>#N/A</v>
      </c>
      <c r="AG560" s="372" t="str">
        <f>CS_PID!AG560/VLOOKUP($B560,표2[#ALL],2)/HLOOKUP($A560,표1[#ALL],row(),false)</f>
        <v>#N/A</v>
      </c>
      <c r="AH560" s="372" t="str">
        <f>CS_PID!AH560/VLOOKUP($B560,표2[#ALL],2)/HLOOKUP($A560,표1[#ALL],row(),false)</f>
        <v>#N/A</v>
      </c>
      <c r="AI560" s="372" t="str">
        <f>CS_PID!AI560/VLOOKUP($B560,표2[#ALL],2)/HLOOKUP($A560,표1[#ALL],row(),false)</f>
        <v>#N/A</v>
      </c>
      <c r="AJ560" s="372" t="str">
        <f>CS_PID!AJ560/VLOOKUP($B560,표2[#ALL],2)/HLOOKUP($A560,표1[#ALL],row(),false)</f>
        <v>#N/A</v>
      </c>
      <c r="AK560" s="372" t="str">
        <f>CS_PID!AK560/VLOOKUP($B560,표2[#ALL],2)/HLOOKUP($A560,표1[#ALL],row(),false)</f>
        <v>#N/A</v>
      </c>
      <c r="AL560" s="372" t="str">
        <f>CS_PID!AL560/VLOOKUP($B560,표2[#ALL],2)/HLOOKUP($A560,표1[#ALL],row(),false)</f>
        <v>#N/A</v>
      </c>
      <c r="AM560" s="372" t="str">
        <f>CS_PID!AM560/VLOOKUP($B560,표2[#ALL],2)/HLOOKUP($A560,표1[#ALL],row(),false)</f>
        <v>#N/A</v>
      </c>
      <c r="AN560" s="372" t="str">
        <f>CS_PID!AN560/VLOOKUP($B560,표2[#ALL],2)/HLOOKUP($A560,표1[#ALL],row(),false)</f>
        <v>#N/A</v>
      </c>
      <c r="AO560" s="372" t="str">
        <f>CS_PID!AO560/VLOOKUP($B560,표2[#ALL],2)/HLOOKUP($A560,표1[#ALL],row(),false)</f>
        <v>#N/A</v>
      </c>
      <c r="AP560" s="372" t="str">
        <f>CS_PID!AP560/VLOOKUP($B560,표2[#ALL],2)/HLOOKUP($A560,표1[#ALL],row(),false)</f>
        <v>#N/A</v>
      </c>
      <c r="AQ560" s="372" t="str">
        <f>CS_PID!AQ560/VLOOKUP($B560,표2[#ALL],2)/HLOOKUP($A560,표1[#ALL],row(),false)</f>
        <v>#N/A</v>
      </c>
      <c r="AR560" s="372" t="str">
        <f>CS_PID!AR560/VLOOKUP($B560,표2[#ALL],2)/HLOOKUP($A560,표1[#ALL],row(),false)</f>
        <v>#N/A</v>
      </c>
      <c r="AS560" s="373" t="str">
        <f>CS_PID!AS560/VLOOKUP($B560,표2[#ALL],2)/HLOOKUP($A560,표1[#ALL],row(),false)</f>
        <v>#N/A</v>
      </c>
    </row>
    <row r="561">
      <c r="A561" s="374"/>
      <c r="B561" s="375"/>
      <c r="C561" s="376" t="str">
        <f>CS_PID!C561/VLOOKUP($B561,표2[#ALL],2)</f>
        <v>#N/A</v>
      </c>
      <c r="D561" s="376" t="str">
        <f>CS_PID!D561/VLOOKUP($B561,표2[#ALL],2)</f>
        <v>#N/A</v>
      </c>
      <c r="E561" s="376" t="str">
        <f>CS_PID!E561/VLOOKUP($B561,표2[#ALL],2)</f>
        <v>#N/A</v>
      </c>
      <c r="F561" s="376" t="str">
        <f>CS_PID!F561/VLOOKUP($B561,표2[#ALL],2)</f>
        <v>#N/A</v>
      </c>
      <c r="G561" s="376" t="str">
        <f>CS_PID!G561/VLOOKUP($B561,표2[#ALL],2)</f>
        <v>#N/A</v>
      </c>
      <c r="H561" s="376" t="str">
        <f>CS_PID!H561/VLOOKUP($B561,표2[#ALL],2)/HLOOKUP($A561,표1[#ALL],row(),false)</f>
        <v>#N/A</v>
      </c>
      <c r="I561" s="376" t="str">
        <f>CS_PID!I561/VLOOKUP($B561,표2[#ALL],2)/HLOOKUP($A561,표1[#ALL],row(),false)</f>
        <v>#N/A</v>
      </c>
      <c r="J561" s="376" t="str">
        <f>CS_PID!J561/VLOOKUP($B561,표2[#ALL],2)/HLOOKUP($A561,표1[#ALL],row(),false)</f>
        <v>#N/A</v>
      </c>
      <c r="K561" s="376" t="str">
        <f>CS_PID!K561/VLOOKUP($B561,표2[#ALL],2)/HLOOKUP($A561,표1[#ALL],row(),false)</f>
        <v>#N/A</v>
      </c>
      <c r="L561" s="376" t="str">
        <f>CS_PID!L561/VLOOKUP($B561,표2[#ALL],2)/HLOOKUP($A561,표1[#ALL],row(),false)</f>
        <v>#N/A</v>
      </c>
      <c r="M561" s="376" t="str">
        <f>CS_PID!M561/VLOOKUP($B561,표2[#ALL],2)/HLOOKUP($A561,표1[#ALL],row(),false)</f>
        <v>#N/A</v>
      </c>
      <c r="N561" s="376" t="str">
        <f>CS_PID!N561/VLOOKUP($B561,표2[#ALL],2)/HLOOKUP($A561,표1[#ALL],row(),false)</f>
        <v>#N/A</v>
      </c>
      <c r="O561" s="376" t="str">
        <f>CS_PID!O561/VLOOKUP($B561,표2[#ALL],2)/HLOOKUP($A561,표1[#ALL],row(),false)</f>
        <v>#N/A</v>
      </c>
      <c r="P561" s="376" t="str">
        <f>CS_PID!P561/VLOOKUP($B561,표2[#ALL],2)/HLOOKUP($A561,표1[#ALL],row(),false)</f>
        <v>#N/A</v>
      </c>
      <c r="Q561" s="376" t="str">
        <f>CS_PID!Q561/VLOOKUP($B561,표2[#ALL],2)/HLOOKUP($A561,표1[#ALL],row(),false)</f>
        <v>#N/A</v>
      </c>
      <c r="R561" s="376" t="str">
        <f>CS_PID!R561/VLOOKUP($B561,표2[#ALL],2)/HLOOKUP($A561,표1[#ALL],row(),false)</f>
        <v>#N/A</v>
      </c>
      <c r="S561" s="376" t="str">
        <f>CS_PID!S561/VLOOKUP($B561,표2[#ALL],2)/HLOOKUP($A561,표1[#ALL],row(),false)</f>
        <v>#N/A</v>
      </c>
      <c r="T561" s="376" t="str">
        <f>CS_PID!T561/VLOOKUP($B561,표2[#ALL],2)/HLOOKUP($A561,표1[#ALL],row(),false)</f>
        <v>#N/A</v>
      </c>
      <c r="U561" s="376" t="str">
        <f>CS_PID!U561/VLOOKUP($B561,표2[#ALL],2)/HLOOKUP($A561,표1[#ALL],row(),false)</f>
        <v>#N/A</v>
      </c>
      <c r="V561" s="376" t="str">
        <f>CS_PID!V561/VLOOKUP($B561,표2[#ALL],2)/HLOOKUP($A561,표1[#ALL],row(),false)</f>
        <v>#N/A</v>
      </c>
      <c r="W561" s="376" t="str">
        <f>CS_PID!W561/VLOOKUP($B561,표2[#ALL],2)/HLOOKUP($A561,표1[#ALL],row(),false)</f>
        <v>#N/A</v>
      </c>
      <c r="X561" s="376" t="str">
        <f>CS_PID!X561/VLOOKUP($B561,표2[#ALL],2)/HLOOKUP($A561,표1[#ALL],row(),false)</f>
        <v>#N/A</v>
      </c>
      <c r="Y561" s="376" t="str">
        <f>CS_PID!Y561/VLOOKUP($B561,표2[#ALL],2)/HLOOKUP($A561,표1[#ALL],row(),false)</f>
        <v>#N/A</v>
      </c>
      <c r="Z561" s="376" t="str">
        <f>CS_PID!Z561/VLOOKUP($B561,표2[#ALL],2)/HLOOKUP($A561,표1[#ALL],row(),false)</f>
        <v>#N/A</v>
      </c>
      <c r="AA561" s="376" t="str">
        <f>CS_PID!AA561/VLOOKUP($B561,표2[#ALL],2)/HLOOKUP($A561,표1[#ALL],row(),false)</f>
        <v>#N/A</v>
      </c>
      <c r="AB561" s="376" t="str">
        <f>CS_PID!AB561/VLOOKUP($B561,표2[#ALL],2)/HLOOKUP($A561,표1[#ALL],row(),false)</f>
        <v>#N/A</v>
      </c>
      <c r="AC561" s="376" t="str">
        <f>CS_PID!AC561/VLOOKUP($B561,표2[#ALL],2)/HLOOKUP($A561,표1[#ALL],row(),false)</f>
        <v>#N/A</v>
      </c>
      <c r="AD561" s="376" t="str">
        <f>CS_PID!AD561/VLOOKUP($B561,표2[#ALL],2)/HLOOKUP($A561,표1[#ALL],row(),false)</f>
        <v>#N/A</v>
      </c>
      <c r="AE561" s="376" t="str">
        <f>CS_PID!AE561/VLOOKUP($B561,표2[#ALL],2)/HLOOKUP($A561,표1[#ALL],row(),false)</f>
        <v>#N/A</v>
      </c>
      <c r="AF561" s="376" t="str">
        <f>CS_PID!AF561/VLOOKUP($B561,표2[#ALL],2)/HLOOKUP($A561,표1[#ALL],row(),false)</f>
        <v>#N/A</v>
      </c>
      <c r="AG561" s="376" t="str">
        <f>CS_PID!AG561/VLOOKUP($B561,표2[#ALL],2)/HLOOKUP($A561,표1[#ALL],row(),false)</f>
        <v>#N/A</v>
      </c>
      <c r="AH561" s="376" t="str">
        <f>CS_PID!AH561/VLOOKUP($B561,표2[#ALL],2)/HLOOKUP($A561,표1[#ALL],row(),false)</f>
        <v>#N/A</v>
      </c>
      <c r="AI561" s="376" t="str">
        <f>CS_PID!AI561/VLOOKUP($B561,표2[#ALL],2)/HLOOKUP($A561,표1[#ALL],row(),false)</f>
        <v>#N/A</v>
      </c>
      <c r="AJ561" s="376" t="str">
        <f>CS_PID!AJ561/VLOOKUP($B561,표2[#ALL],2)/HLOOKUP($A561,표1[#ALL],row(),false)</f>
        <v>#N/A</v>
      </c>
      <c r="AK561" s="376" t="str">
        <f>CS_PID!AK561/VLOOKUP($B561,표2[#ALL],2)/HLOOKUP($A561,표1[#ALL],row(),false)</f>
        <v>#N/A</v>
      </c>
      <c r="AL561" s="376" t="str">
        <f>CS_PID!AL561/VLOOKUP($B561,표2[#ALL],2)/HLOOKUP($A561,표1[#ALL],row(),false)</f>
        <v>#N/A</v>
      </c>
      <c r="AM561" s="376" t="str">
        <f>CS_PID!AM561/VLOOKUP($B561,표2[#ALL],2)/HLOOKUP($A561,표1[#ALL],row(),false)</f>
        <v>#N/A</v>
      </c>
      <c r="AN561" s="376" t="str">
        <f>CS_PID!AN561/VLOOKUP($B561,표2[#ALL],2)/HLOOKUP($A561,표1[#ALL],row(),false)</f>
        <v>#N/A</v>
      </c>
      <c r="AO561" s="376" t="str">
        <f>CS_PID!AO561/VLOOKUP($B561,표2[#ALL],2)/HLOOKUP($A561,표1[#ALL],row(),false)</f>
        <v>#N/A</v>
      </c>
      <c r="AP561" s="376" t="str">
        <f>CS_PID!AP561/VLOOKUP($B561,표2[#ALL],2)/HLOOKUP($A561,표1[#ALL],row(),false)</f>
        <v>#N/A</v>
      </c>
      <c r="AQ561" s="376" t="str">
        <f>CS_PID!AQ561/VLOOKUP($B561,표2[#ALL],2)/HLOOKUP($A561,표1[#ALL],row(),false)</f>
        <v>#N/A</v>
      </c>
      <c r="AR561" s="376" t="str">
        <f>CS_PID!AR561/VLOOKUP($B561,표2[#ALL],2)/HLOOKUP($A561,표1[#ALL],row(),false)</f>
        <v>#N/A</v>
      </c>
      <c r="AS561" s="377" t="str">
        <f>CS_PID!AS561/VLOOKUP($B561,표2[#ALL],2)/HLOOKUP($A561,표1[#ALL],row(),false)</f>
        <v>#N/A</v>
      </c>
    </row>
    <row r="562">
      <c r="A562" s="370"/>
      <c r="B562" s="371"/>
      <c r="C562" s="372" t="str">
        <f>CS_PID!C562/VLOOKUP($B562,표2[#ALL],2)</f>
        <v>#N/A</v>
      </c>
      <c r="D562" s="372" t="str">
        <f>CS_PID!D562/VLOOKUP($B562,표2[#ALL],2)</f>
        <v>#N/A</v>
      </c>
      <c r="E562" s="372" t="str">
        <f>CS_PID!E562/VLOOKUP($B562,표2[#ALL],2)</f>
        <v>#N/A</v>
      </c>
      <c r="F562" s="372" t="str">
        <f>CS_PID!F562/VLOOKUP($B562,표2[#ALL],2)</f>
        <v>#N/A</v>
      </c>
      <c r="G562" s="372" t="str">
        <f>CS_PID!G562/VLOOKUP($B562,표2[#ALL],2)</f>
        <v>#N/A</v>
      </c>
      <c r="H562" s="372" t="str">
        <f>CS_PID!H562/VLOOKUP($B562,표2[#ALL],2)/HLOOKUP($A562,표1[#ALL],row(),false)</f>
        <v>#N/A</v>
      </c>
      <c r="I562" s="372" t="str">
        <f>CS_PID!I562/VLOOKUP($B562,표2[#ALL],2)/HLOOKUP($A562,표1[#ALL],row(),false)</f>
        <v>#N/A</v>
      </c>
      <c r="J562" s="372" t="str">
        <f>CS_PID!J562/VLOOKUP($B562,표2[#ALL],2)/HLOOKUP($A562,표1[#ALL],row(),false)</f>
        <v>#N/A</v>
      </c>
      <c r="K562" s="372" t="str">
        <f>CS_PID!K562/VLOOKUP($B562,표2[#ALL],2)/HLOOKUP($A562,표1[#ALL],row(),false)</f>
        <v>#N/A</v>
      </c>
      <c r="L562" s="372" t="str">
        <f>CS_PID!L562/VLOOKUP($B562,표2[#ALL],2)/HLOOKUP($A562,표1[#ALL],row(),false)</f>
        <v>#N/A</v>
      </c>
      <c r="M562" s="372" t="str">
        <f>CS_PID!M562/VLOOKUP($B562,표2[#ALL],2)/HLOOKUP($A562,표1[#ALL],row(),false)</f>
        <v>#N/A</v>
      </c>
      <c r="N562" s="372" t="str">
        <f>CS_PID!N562/VLOOKUP($B562,표2[#ALL],2)/HLOOKUP($A562,표1[#ALL],row(),false)</f>
        <v>#N/A</v>
      </c>
      <c r="O562" s="372" t="str">
        <f>CS_PID!O562/VLOOKUP($B562,표2[#ALL],2)/HLOOKUP($A562,표1[#ALL],row(),false)</f>
        <v>#N/A</v>
      </c>
      <c r="P562" s="372" t="str">
        <f>CS_PID!P562/VLOOKUP($B562,표2[#ALL],2)/HLOOKUP($A562,표1[#ALL],row(),false)</f>
        <v>#N/A</v>
      </c>
      <c r="Q562" s="372" t="str">
        <f>CS_PID!Q562/VLOOKUP($B562,표2[#ALL],2)/HLOOKUP($A562,표1[#ALL],row(),false)</f>
        <v>#N/A</v>
      </c>
      <c r="R562" s="372" t="str">
        <f>CS_PID!R562/VLOOKUP($B562,표2[#ALL],2)/HLOOKUP($A562,표1[#ALL],row(),false)</f>
        <v>#N/A</v>
      </c>
      <c r="S562" s="372" t="str">
        <f>CS_PID!S562/VLOOKUP($B562,표2[#ALL],2)/HLOOKUP($A562,표1[#ALL],row(),false)</f>
        <v>#N/A</v>
      </c>
      <c r="T562" s="372" t="str">
        <f>CS_PID!T562/VLOOKUP($B562,표2[#ALL],2)/HLOOKUP($A562,표1[#ALL],row(),false)</f>
        <v>#N/A</v>
      </c>
      <c r="U562" s="372" t="str">
        <f>CS_PID!U562/VLOOKUP($B562,표2[#ALL],2)/HLOOKUP($A562,표1[#ALL],row(),false)</f>
        <v>#N/A</v>
      </c>
      <c r="V562" s="372" t="str">
        <f>CS_PID!V562/VLOOKUP($B562,표2[#ALL],2)/HLOOKUP($A562,표1[#ALL],row(),false)</f>
        <v>#N/A</v>
      </c>
      <c r="W562" s="372" t="str">
        <f>CS_PID!W562/VLOOKUP($B562,표2[#ALL],2)/HLOOKUP($A562,표1[#ALL],row(),false)</f>
        <v>#N/A</v>
      </c>
      <c r="X562" s="372" t="str">
        <f>CS_PID!X562/VLOOKUP($B562,표2[#ALL],2)/HLOOKUP($A562,표1[#ALL],row(),false)</f>
        <v>#N/A</v>
      </c>
      <c r="Y562" s="372" t="str">
        <f>CS_PID!Y562/VLOOKUP($B562,표2[#ALL],2)/HLOOKUP($A562,표1[#ALL],row(),false)</f>
        <v>#N/A</v>
      </c>
      <c r="Z562" s="372" t="str">
        <f>CS_PID!Z562/VLOOKUP($B562,표2[#ALL],2)/HLOOKUP($A562,표1[#ALL],row(),false)</f>
        <v>#N/A</v>
      </c>
      <c r="AA562" s="372" t="str">
        <f>CS_PID!AA562/VLOOKUP($B562,표2[#ALL],2)/HLOOKUP($A562,표1[#ALL],row(),false)</f>
        <v>#N/A</v>
      </c>
      <c r="AB562" s="372" t="str">
        <f>CS_PID!AB562/VLOOKUP($B562,표2[#ALL],2)/HLOOKUP($A562,표1[#ALL],row(),false)</f>
        <v>#N/A</v>
      </c>
      <c r="AC562" s="372" t="str">
        <f>CS_PID!AC562/VLOOKUP($B562,표2[#ALL],2)/HLOOKUP($A562,표1[#ALL],row(),false)</f>
        <v>#N/A</v>
      </c>
      <c r="AD562" s="372" t="str">
        <f>CS_PID!AD562/VLOOKUP($B562,표2[#ALL],2)/HLOOKUP($A562,표1[#ALL],row(),false)</f>
        <v>#N/A</v>
      </c>
      <c r="AE562" s="372" t="str">
        <f>CS_PID!AE562/VLOOKUP($B562,표2[#ALL],2)/HLOOKUP($A562,표1[#ALL],row(),false)</f>
        <v>#N/A</v>
      </c>
      <c r="AF562" s="372" t="str">
        <f>CS_PID!AF562/VLOOKUP($B562,표2[#ALL],2)/HLOOKUP($A562,표1[#ALL],row(),false)</f>
        <v>#N/A</v>
      </c>
      <c r="AG562" s="372" t="str">
        <f>CS_PID!AG562/VLOOKUP($B562,표2[#ALL],2)/HLOOKUP($A562,표1[#ALL],row(),false)</f>
        <v>#N/A</v>
      </c>
      <c r="AH562" s="372" t="str">
        <f>CS_PID!AH562/VLOOKUP($B562,표2[#ALL],2)/HLOOKUP($A562,표1[#ALL],row(),false)</f>
        <v>#N/A</v>
      </c>
      <c r="AI562" s="372" t="str">
        <f>CS_PID!AI562/VLOOKUP($B562,표2[#ALL],2)/HLOOKUP($A562,표1[#ALL],row(),false)</f>
        <v>#N/A</v>
      </c>
      <c r="AJ562" s="372" t="str">
        <f>CS_PID!AJ562/VLOOKUP($B562,표2[#ALL],2)/HLOOKUP($A562,표1[#ALL],row(),false)</f>
        <v>#N/A</v>
      </c>
      <c r="AK562" s="372" t="str">
        <f>CS_PID!AK562/VLOOKUP($B562,표2[#ALL],2)/HLOOKUP($A562,표1[#ALL],row(),false)</f>
        <v>#N/A</v>
      </c>
      <c r="AL562" s="372" t="str">
        <f>CS_PID!AL562/VLOOKUP($B562,표2[#ALL],2)/HLOOKUP($A562,표1[#ALL],row(),false)</f>
        <v>#N/A</v>
      </c>
      <c r="AM562" s="372" t="str">
        <f>CS_PID!AM562/VLOOKUP($B562,표2[#ALL],2)/HLOOKUP($A562,표1[#ALL],row(),false)</f>
        <v>#N/A</v>
      </c>
      <c r="AN562" s="372" t="str">
        <f>CS_PID!AN562/VLOOKUP($B562,표2[#ALL],2)/HLOOKUP($A562,표1[#ALL],row(),false)</f>
        <v>#N/A</v>
      </c>
      <c r="AO562" s="372" t="str">
        <f>CS_PID!AO562/VLOOKUP($B562,표2[#ALL],2)/HLOOKUP($A562,표1[#ALL],row(),false)</f>
        <v>#N/A</v>
      </c>
      <c r="AP562" s="372" t="str">
        <f>CS_PID!AP562/VLOOKUP($B562,표2[#ALL],2)/HLOOKUP($A562,표1[#ALL],row(),false)</f>
        <v>#N/A</v>
      </c>
      <c r="AQ562" s="372" t="str">
        <f>CS_PID!AQ562/VLOOKUP($B562,표2[#ALL],2)/HLOOKUP($A562,표1[#ALL],row(),false)</f>
        <v>#N/A</v>
      </c>
      <c r="AR562" s="372" t="str">
        <f>CS_PID!AR562/VLOOKUP($B562,표2[#ALL],2)/HLOOKUP($A562,표1[#ALL],row(),false)</f>
        <v>#N/A</v>
      </c>
      <c r="AS562" s="373" t="str">
        <f>CS_PID!AS562/VLOOKUP($B562,표2[#ALL],2)/HLOOKUP($A562,표1[#ALL],row(),false)</f>
        <v>#N/A</v>
      </c>
    </row>
    <row r="563">
      <c r="A563" s="374"/>
      <c r="B563" s="375"/>
      <c r="C563" s="376" t="str">
        <f>CS_PID!C563/VLOOKUP($B563,표2[#ALL],2)</f>
        <v>#N/A</v>
      </c>
      <c r="D563" s="376" t="str">
        <f>CS_PID!D563/VLOOKUP($B563,표2[#ALL],2)</f>
        <v>#N/A</v>
      </c>
      <c r="E563" s="376" t="str">
        <f>CS_PID!E563/VLOOKUP($B563,표2[#ALL],2)</f>
        <v>#N/A</v>
      </c>
      <c r="F563" s="376" t="str">
        <f>CS_PID!F563/VLOOKUP($B563,표2[#ALL],2)</f>
        <v>#N/A</v>
      </c>
      <c r="G563" s="376" t="str">
        <f>CS_PID!G563/VLOOKUP($B563,표2[#ALL],2)</f>
        <v>#N/A</v>
      </c>
      <c r="H563" s="376" t="str">
        <f>CS_PID!H563/VLOOKUP($B563,표2[#ALL],2)/HLOOKUP($A563,표1[#ALL],row(),false)</f>
        <v>#N/A</v>
      </c>
      <c r="I563" s="376" t="str">
        <f>CS_PID!I563/VLOOKUP($B563,표2[#ALL],2)/HLOOKUP($A563,표1[#ALL],row(),false)</f>
        <v>#N/A</v>
      </c>
      <c r="J563" s="376" t="str">
        <f>CS_PID!J563/VLOOKUP($B563,표2[#ALL],2)/HLOOKUP($A563,표1[#ALL],row(),false)</f>
        <v>#N/A</v>
      </c>
      <c r="K563" s="376" t="str">
        <f>CS_PID!K563/VLOOKUP($B563,표2[#ALL],2)/HLOOKUP($A563,표1[#ALL],row(),false)</f>
        <v>#N/A</v>
      </c>
      <c r="L563" s="376" t="str">
        <f>CS_PID!L563/VLOOKUP($B563,표2[#ALL],2)/HLOOKUP($A563,표1[#ALL],row(),false)</f>
        <v>#N/A</v>
      </c>
      <c r="M563" s="376" t="str">
        <f>CS_PID!M563/VLOOKUP($B563,표2[#ALL],2)/HLOOKUP($A563,표1[#ALL],row(),false)</f>
        <v>#N/A</v>
      </c>
      <c r="N563" s="376" t="str">
        <f>CS_PID!N563/VLOOKUP($B563,표2[#ALL],2)/HLOOKUP($A563,표1[#ALL],row(),false)</f>
        <v>#N/A</v>
      </c>
      <c r="O563" s="376" t="str">
        <f>CS_PID!O563/VLOOKUP($B563,표2[#ALL],2)/HLOOKUP($A563,표1[#ALL],row(),false)</f>
        <v>#N/A</v>
      </c>
      <c r="P563" s="376" t="str">
        <f>CS_PID!P563/VLOOKUP($B563,표2[#ALL],2)/HLOOKUP($A563,표1[#ALL],row(),false)</f>
        <v>#N/A</v>
      </c>
      <c r="Q563" s="376" t="str">
        <f>CS_PID!Q563/VLOOKUP($B563,표2[#ALL],2)/HLOOKUP($A563,표1[#ALL],row(),false)</f>
        <v>#N/A</v>
      </c>
      <c r="R563" s="376" t="str">
        <f>CS_PID!R563/VLOOKUP($B563,표2[#ALL],2)/HLOOKUP($A563,표1[#ALL],row(),false)</f>
        <v>#N/A</v>
      </c>
      <c r="S563" s="376" t="str">
        <f>CS_PID!S563/VLOOKUP($B563,표2[#ALL],2)/HLOOKUP($A563,표1[#ALL],row(),false)</f>
        <v>#N/A</v>
      </c>
      <c r="T563" s="376" t="str">
        <f>CS_PID!T563/VLOOKUP($B563,표2[#ALL],2)/HLOOKUP($A563,표1[#ALL],row(),false)</f>
        <v>#N/A</v>
      </c>
      <c r="U563" s="376" t="str">
        <f>CS_PID!U563/VLOOKUP($B563,표2[#ALL],2)/HLOOKUP($A563,표1[#ALL],row(),false)</f>
        <v>#N/A</v>
      </c>
      <c r="V563" s="376" t="str">
        <f>CS_PID!V563/VLOOKUP($B563,표2[#ALL],2)/HLOOKUP($A563,표1[#ALL],row(),false)</f>
        <v>#N/A</v>
      </c>
      <c r="W563" s="376" t="str">
        <f>CS_PID!W563/VLOOKUP($B563,표2[#ALL],2)/HLOOKUP($A563,표1[#ALL],row(),false)</f>
        <v>#N/A</v>
      </c>
      <c r="X563" s="376" t="str">
        <f>CS_PID!X563/VLOOKUP($B563,표2[#ALL],2)/HLOOKUP($A563,표1[#ALL],row(),false)</f>
        <v>#N/A</v>
      </c>
      <c r="Y563" s="376" t="str">
        <f>CS_PID!Y563/VLOOKUP($B563,표2[#ALL],2)/HLOOKUP($A563,표1[#ALL],row(),false)</f>
        <v>#N/A</v>
      </c>
      <c r="Z563" s="376" t="str">
        <f>CS_PID!Z563/VLOOKUP($B563,표2[#ALL],2)/HLOOKUP($A563,표1[#ALL],row(),false)</f>
        <v>#N/A</v>
      </c>
      <c r="AA563" s="376" t="str">
        <f>CS_PID!AA563/VLOOKUP($B563,표2[#ALL],2)/HLOOKUP($A563,표1[#ALL],row(),false)</f>
        <v>#N/A</v>
      </c>
      <c r="AB563" s="376" t="str">
        <f>CS_PID!AB563/VLOOKUP($B563,표2[#ALL],2)/HLOOKUP($A563,표1[#ALL],row(),false)</f>
        <v>#N/A</v>
      </c>
      <c r="AC563" s="376" t="str">
        <f>CS_PID!AC563/VLOOKUP($B563,표2[#ALL],2)/HLOOKUP($A563,표1[#ALL],row(),false)</f>
        <v>#N/A</v>
      </c>
      <c r="AD563" s="376" t="str">
        <f>CS_PID!AD563/VLOOKUP($B563,표2[#ALL],2)/HLOOKUP($A563,표1[#ALL],row(),false)</f>
        <v>#N/A</v>
      </c>
      <c r="AE563" s="376" t="str">
        <f>CS_PID!AE563/VLOOKUP($B563,표2[#ALL],2)/HLOOKUP($A563,표1[#ALL],row(),false)</f>
        <v>#N/A</v>
      </c>
      <c r="AF563" s="376" t="str">
        <f>CS_PID!AF563/VLOOKUP($B563,표2[#ALL],2)/HLOOKUP($A563,표1[#ALL],row(),false)</f>
        <v>#N/A</v>
      </c>
      <c r="AG563" s="376" t="str">
        <f>CS_PID!AG563/VLOOKUP($B563,표2[#ALL],2)/HLOOKUP($A563,표1[#ALL],row(),false)</f>
        <v>#N/A</v>
      </c>
      <c r="AH563" s="376" t="str">
        <f>CS_PID!AH563/VLOOKUP($B563,표2[#ALL],2)/HLOOKUP($A563,표1[#ALL],row(),false)</f>
        <v>#N/A</v>
      </c>
      <c r="AI563" s="376" t="str">
        <f>CS_PID!AI563/VLOOKUP($B563,표2[#ALL],2)/HLOOKUP($A563,표1[#ALL],row(),false)</f>
        <v>#N/A</v>
      </c>
      <c r="AJ563" s="376" t="str">
        <f>CS_PID!AJ563/VLOOKUP($B563,표2[#ALL],2)/HLOOKUP($A563,표1[#ALL],row(),false)</f>
        <v>#N/A</v>
      </c>
      <c r="AK563" s="376" t="str">
        <f>CS_PID!AK563/VLOOKUP($B563,표2[#ALL],2)/HLOOKUP($A563,표1[#ALL],row(),false)</f>
        <v>#N/A</v>
      </c>
      <c r="AL563" s="376" t="str">
        <f>CS_PID!AL563/VLOOKUP($B563,표2[#ALL],2)/HLOOKUP($A563,표1[#ALL],row(),false)</f>
        <v>#N/A</v>
      </c>
      <c r="AM563" s="376" t="str">
        <f>CS_PID!AM563/VLOOKUP($B563,표2[#ALL],2)/HLOOKUP($A563,표1[#ALL],row(),false)</f>
        <v>#N/A</v>
      </c>
      <c r="AN563" s="376" t="str">
        <f>CS_PID!AN563/VLOOKUP($B563,표2[#ALL],2)/HLOOKUP($A563,표1[#ALL],row(),false)</f>
        <v>#N/A</v>
      </c>
      <c r="AO563" s="376" t="str">
        <f>CS_PID!AO563/VLOOKUP($B563,표2[#ALL],2)/HLOOKUP($A563,표1[#ALL],row(),false)</f>
        <v>#N/A</v>
      </c>
      <c r="AP563" s="376" t="str">
        <f>CS_PID!AP563/VLOOKUP($B563,표2[#ALL],2)/HLOOKUP($A563,표1[#ALL],row(),false)</f>
        <v>#N/A</v>
      </c>
      <c r="AQ563" s="376" t="str">
        <f>CS_PID!AQ563/VLOOKUP($B563,표2[#ALL],2)/HLOOKUP($A563,표1[#ALL],row(),false)</f>
        <v>#N/A</v>
      </c>
      <c r="AR563" s="376" t="str">
        <f>CS_PID!AR563/VLOOKUP($B563,표2[#ALL],2)/HLOOKUP($A563,표1[#ALL],row(),false)</f>
        <v>#N/A</v>
      </c>
      <c r="AS563" s="377" t="str">
        <f>CS_PID!AS563/VLOOKUP($B563,표2[#ALL],2)/HLOOKUP($A563,표1[#ALL],row(),false)</f>
        <v>#N/A</v>
      </c>
    </row>
    <row r="564">
      <c r="A564" s="370"/>
      <c r="B564" s="371"/>
      <c r="C564" s="372" t="str">
        <f>CS_PID!C564/VLOOKUP($B564,표2[#ALL],2)</f>
        <v>#N/A</v>
      </c>
      <c r="D564" s="372" t="str">
        <f>CS_PID!D564/VLOOKUP($B564,표2[#ALL],2)</f>
        <v>#N/A</v>
      </c>
      <c r="E564" s="372" t="str">
        <f>CS_PID!E564/VLOOKUP($B564,표2[#ALL],2)</f>
        <v>#N/A</v>
      </c>
      <c r="F564" s="372" t="str">
        <f>CS_PID!F564/VLOOKUP($B564,표2[#ALL],2)</f>
        <v>#N/A</v>
      </c>
      <c r="G564" s="372" t="str">
        <f>CS_PID!G564/VLOOKUP($B564,표2[#ALL],2)</f>
        <v>#N/A</v>
      </c>
      <c r="H564" s="372" t="str">
        <f>CS_PID!H564/VLOOKUP($B564,표2[#ALL],2)/HLOOKUP($A564,표1[#ALL],row(),false)</f>
        <v>#N/A</v>
      </c>
      <c r="I564" s="372" t="str">
        <f>CS_PID!I564/VLOOKUP($B564,표2[#ALL],2)/HLOOKUP($A564,표1[#ALL],row(),false)</f>
        <v>#N/A</v>
      </c>
      <c r="J564" s="372" t="str">
        <f>CS_PID!J564/VLOOKUP($B564,표2[#ALL],2)/HLOOKUP($A564,표1[#ALL],row(),false)</f>
        <v>#N/A</v>
      </c>
      <c r="K564" s="372" t="str">
        <f>CS_PID!K564/VLOOKUP($B564,표2[#ALL],2)/HLOOKUP($A564,표1[#ALL],row(),false)</f>
        <v>#N/A</v>
      </c>
      <c r="L564" s="372" t="str">
        <f>CS_PID!L564/VLOOKUP($B564,표2[#ALL],2)/HLOOKUP($A564,표1[#ALL],row(),false)</f>
        <v>#N/A</v>
      </c>
      <c r="M564" s="372" t="str">
        <f>CS_PID!M564/VLOOKUP($B564,표2[#ALL],2)/HLOOKUP($A564,표1[#ALL],row(),false)</f>
        <v>#N/A</v>
      </c>
      <c r="N564" s="372" t="str">
        <f>CS_PID!N564/VLOOKUP($B564,표2[#ALL],2)/HLOOKUP($A564,표1[#ALL],row(),false)</f>
        <v>#N/A</v>
      </c>
      <c r="O564" s="372" t="str">
        <f>CS_PID!O564/VLOOKUP($B564,표2[#ALL],2)/HLOOKUP($A564,표1[#ALL],row(),false)</f>
        <v>#N/A</v>
      </c>
      <c r="P564" s="372" t="str">
        <f>CS_PID!P564/VLOOKUP($B564,표2[#ALL],2)/HLOOKUP($A564,표1[#ALL],row(),false)</f>
        <v>#N/A</v>
      </c>
      <c r="Q564" s="372" t="str">
        <f>CS_PID!Q564/VLOOKUP($B564,표2[#ALL],2)/HLOOKUP($A564,표1[#ALL],row(),false)</f>
        <v>#N/A</v>
      </c>
      <c r="R564" s="372" t="str">
        <f>CS_PID!R564/VLOOKUP($B564,표2[#ALL],2)/HLOOKUP($A564,표1[#ALL],row(),false)</f>
        <v>#N/A</v>
      </c>
      <c r="S564" s="372" t="str">
        <f>CS_PID!S564/VLOOKUP($B564,표2[#ALL],2)/HLOOKUP($A564,표1[#ALL],row(),false)</f>
        <v>#N/A</v>
      </c>
      <c r="T564" s="372" t="str">
        <f>CS_PID!T564/VLOOKUP($B564,표2[#ALL],2)/HLOOKUP($A564,표1[#ALL],row(),false)</f>
        <v>#N/A</v>
      </c>
      <c r="U564" s="372" t="str">
        <f>CS_PID!U564/VLOOKUP($B564,표2[#ALL],2)/HLOOKUP($A564,표1[#ALL],row(),false)</f>
        <v>#N/A</v>
      </c>
      <c r="V564" s="372" t="str">
        <f>CS_PID!V564/VLOOKUP($B564,표2[#ALL],2)/HLOOKUP($A564,표1[#ALL],row(),false)</f>
        <v>#N/A</v>
      </c>
      <c r="W564" s="372" t="str">
        <f>CS_PID!W564/VLOOKUP($B564,표2[#ALL],2)/HLOOKUP($A564,표1[#ALL],row(),false)</f>
        <v>#N/A</v>
      </c>
      <c r="X564" s="372" t="str">
        <f>CS_PID!X564/VLOOKUP($B564,표2[#ALL],2)/HLOOKUP($A564,표1[#ALL],row(),false)</f>
        <v>#N/A</v>
      </c>
      <c r="Y564" s="372" t="str">
        <f>CS_PID!Y564/VLOOKUP($B564,표2[#ALL],2)/HLOOKUP($A564,표1[#ALL],row(),false)</f>
        <v>#N/A</v>
      </c>
      <c r="Z564" s="372" t="str">
        <f>CS_PID!Z564/VLOOKUP($B564,표2[#ALL],2)/HLOOKUP($A564,표1[#ALL],row(),false)</f>
        <v>#N/A</v>
      </c>
      <c r="AA564" s="372" t="str">
        <f>CS_PID!AA564/VLOOKUP($B564,표2[#ALL],2)/HLOOKUP($A564,표1[#ALL],row(),false)</f>
        <v>#N/A</v>
      </c>
      <c r="AB564" s="372" t="str">
        <f>CS_PID!AB564/VLOOKUP($B564,표2[#ALL],2)/HLOOKUP($A564,표1[#ALL],row(),false)</f>
        <v>#N/A</v>
      </c>
      <c r="AC564" s="372" t="str">
        <f>CS_PID!AC564/VLOOKUP($B564,표2[#ALL],2)/HLOOKUP($A564,표1[#ALL],row(),false)</f>
        <v>#N/A</v>
      </c>
      <c r="AD564" s="372" t="str">
        <f>CS_PID!AD564/VLOOKUP($B564,표2[#ALL],2)/HLOOKUP($A564,표1[#ALL],row(),false)</f>
        <v>#N/A</v>
      </c>
      <c r="AE564" s="372" t="str">
        <f>CS_PID!AE564/VLOOKUP($B564,표2[#ALL],2)/HLOOKUP($A564,표1[#ALL],row(),false)</f>
        <v>#N/A</v>
      </c>
      <c r="AF564" s="372" t="str">
        <f>CS_PID!AF564/VLOOKUP($B564,표2[#ALL],2)/HLOOKUP($A564,표1[#ALL],row(),false)</f>
        <v>#N/A</v>
      </c>
      <c r="AG564" s="372" t="str">
        <f>CS_PID!AG564/VLOOKUP($B564,표2[#ALL],2)/HLOOKUP($A564,표1[#ALL],row(),false)</f>
        <v>#N/A</v>
      </c>
      <c r="AH564" s="372" t="str">
        <f>CS_PID!AH564/VLOOKUP($B564,표2[#ALL],2)/HLOOKUP($A564,표1[#ALL],row(),false)</f>
        <v>#N/A</v>
      </c>
      <c r="AI564" s="372" t="str">
        <f>CS_PID!AI564/VLOOKUP($B564,표2[#ALL],2)/HLOOKUP($A564,표1[#ALL],row(),false)</f>
        <v>#N/A</v>
      </c>
      <c r="AJ564" s="372" t="str">
        <f>CS_PID!AJ564/VLOOKUP($B564,표2[#ALL],2)/HLOOKUP($A564,표1[#ALL],row(),false)</f>
        <v>#N/A</v>
      </c>
      <c r="AK564" s="372" t="str">
        <f>CS_PID!AK564/VLOOKUP($B564,표2[#ALL],2)/HLOOKUP($A564,표1[#ALL],row(),false)</f>
        <v>#N/A</v>
      </c>
      <c r="AL564" s="372" t="str">
        <f>CS_PID!AL564/VLOOKUP($B564,표2[#ALL],2)/HLOOKUP($A564,표1[#ALL],row(),false)</f>
        <v>#N/A</v>
      </c>
      <c r="AM564" s="372" t="str">
        <f>CS_PID!AM564/VLOOKUP($B564,표2[#ALL],2)/HLOOKUP($A564,표1[#ALL],row(),false)</f>
        <v>#N/A</v>
      </c>
      <c r="AN564" s="372" t="str">
        <f>CS_PID!AN564/VLOOKUP($B564,표2[#ALL],2)/HLOOKUP($A564,표1[#ALL],row(),false)</f>
        <v>#N/A</v>
      </c>
      <c r="AO564" s="372" t="str">
        <f>CS_PID!AO564/VLOOKUP($B564,표2[#ALL],2)/HLOOKUP($A564,표1[#ALL],row(),false)</f>
        <v>#N/A</v>
      </c>
      <c r="AP564" s="372" t="str">
        <f>CS_PID!AP564/VLOOKUP($B564,표2[#ALL],2)/HLOOKUP($A564,표1[#ALL],row(),false)</f>
        <v>#N/A</v>
      </c>
      <c r="AQ564" s="372" t="str">
        <f>CS_PID!AQ564/VLOOKUP($B564,표2[#ALL],2)/HLOOKUP($A564,표1[#ALL],row(),false)</f>
        <v>#N/A</v>
      </c>
      <c r="AR564" s="372" t="str">
        <f>CS_PID!AR564/VLOOKUP($B564,표2[#ALL],2)/HLOOKUP($A564,표1[#ALL],row(),false)</f>
        <v>#N/A</v>
      </c>
      <c r="AS564" s="373" t="str">
        <f>CS_PID!AS564/VLOOKUP($B564,표2[#ALL],2)/HLOOKUP($A564,표1[#ALL],row(),false)</f>
        <v>#N/A</v>
      </c>
    </row>
    <row r="565">
      <c r="A565" s="374"/>
      <c r="B565" s="375"/>
      <c r="C565" s="376" t="str">
        <f>CS_PID!C565/VLOOKUP($B565,표2[#ALL],2)</f>
        <v>#N/A</v>
      </c>
      <c r="D565" s="376" t="str">
        <f>CS_PID!D565/VLOOKUP($B565,표2[#ALL],2)</f>
        <v>#N/A</v>
      </c>
      <c r="E565" s="376" t="str">
        <f>CS_PID!E565/VLOOKUP($B565,표2[#ALL],2)</f>
        <v>#N/A</v>
      </c>
      <c r="F565" s="376" t="str">
        <f>CS_PID!F565/VLOOKUP($B565,표2[#ALL],2)</f>
        <v>#N/A</v>
      </c>
      <c r="G565" s="376" t="str">
        <f>CS_PID!G565/VLOOKUP($B565,표2[#ALL],2)</f>
        <v>#N/A</v>
      </c>
      <c r="H565" s="376" t="str">
        <f>CS_PID!H565/VLOOKUP($B565,표2[#ALL],2)/HLOOKUP($A565,표1[#ALL],row(),false)</f>
        <v>#N/A</v>
      </c>
      <c r="I565" s="376" t="str">
        <f>CS_PID!I565/VLOOKUP($B565,표2[#ALL],2)/HLOOKUP($A565,표1[#ALL],row(),false)</f>
        <v>#N/A</v>
      </c>
      <c r="J565" s="376" t="str">
        <f>CS_PID!J565/VLOOKUP($B565,표2[#ALL],2)/HLOOKUP($A565,표1[#ALL],row(),false)</f>
        <v>#N/A</v>
      </c>
      <c r="K565" s="376" t="str">
        <f>CS_PID!K565/VLOOKUP($B565,표2[#ALL],2)/HLOOKUP($A565,표1[#ALL],row(),false)</f>
        <v>#N/A</v>
      </c>
      <c r="L565" s="376" t="str">
        <f>CS_PID!L565/VLOOKUP($B565,표2[#ALL],2)/HLOOKUP($A565,표1[#ALL],row(),false)</f>
        <v>#N/A</v>
      </c>
      <c r="M565" s="376" t="str">
        <f>CS_PID!M565/VLOOKUP($B565,표2[#ALL],2)/HLOOKUP($A565,표1[#ALL],row(),false)</f>
        <v>#N/A</v>
      </c>
      <c r="N565" s="376" t="str">
        <f>CS_PID!N565/VLOOKUP($B565,표2[#ALL],2)/HLOOKUP($A565,표1[#ALL],row(),false)</f>
        <v>#N/A</v>
      </c>
      <c r="O565" s="376" t="str">
        <f>CS_PID!O565/VLOOKUP($B565,표2[#ALL],2)/HLOOKUP($A565,표1[#ALL],row(),false)</f>
        <v>#N/A</v>
      </c>
      <c r="P565" s="376" t="str">
        <f>CS_PID!P565/VLOOKUP($B565,표2[#ALL],2)/HLOOKUP($A565,표1[#ALL],row(),false)</f>
        <v>#N/A</v>
      </c>
      <c r="Q565" s="376" t="str">
        <f>CS_PID!Q565/VLOOKUP($B565,표2[#ALL],2)/HLOOKUP($A565,표1[#ALL],row(),false)</f>
        <v>#N/A</v>
      </c>
      <c r="R565" s="376" t="str">
        <f>CS_PID!R565/VLOOKUP($B565,표2[#ALL],2)/HLOOKUP($A565,표1[#ALL],row(),false)</f>
        <v>#N/A</v>
      </c>
      <c r="S565" s="376" t="str">
        <f>CS_PID!S565/VLOOKUP($B565,표2[#ALL],2)/HLOOKUP($A565,표1[#ALL],row(),false)</f>
        <v>#N/A</v>
      </c>
      <c r="T565" s="376" t="str">
        <f>CS_PID!T565/VLOOKUP($B565,표2[#ALL],2)/HLOOKUP($A565,표1[#ALL],row(),false)</f>
        <v>#N/A</v>
      </c>
      <c r="U565" s="376" t="str">
        <f>CS_PID!U565/VLOOKUP($B565,표2[#ALL],2)/HLOOKUP($A565,표1[#ALL],row(),false)</f>
        <v>#N/A</v>
      </c>
      <c r="V565" s="376" t="str">
        <f>CS_PID!V565/VLOOKUP($B565,표2[#ALL],2)/HLOOKUP($A565,표1[#ALL],row(),false)</f>
        <v>#N/A</v>
      </c>
      <c r="W565" s="376" t="str">
        <f>CS_PID!W565/VLOOKUP($B565,표2[#ALL],2)/HLOOKUP($A565,표1[#ALL],row(),false)</f>
        <v>#N/A</v>
      </c>
      <c r="X565" s="376" t="str">
        <f>CS_PID!X565/VLOOKUP($B565,표2[#ALL],2)/HLOOKUP($A565,표1[#ALL],row(),false)</f>
        <v>#N/A</v>
      </c>
      <c r="Y565" s="376" t="str">
        <f>CS_PID!Y565/VLOOKUP($B565,표2[#ALL],2)/HLOOKUP($A565,표1[#ALL],row(),false)</f>
        <v>#N/A</v>
      </c>
      <c r="Z565" s="376" t="str">
        <f>CS_PID!Z565/VLOOKUP($B565,표2[#ALL],2)/HLOOKUP($A565,표1[#ALL],row(),false)</f>
        <v>#N/A</v>
      </c>
      <c r="AA565" s="376" t="str">
        <f>CS_PID!AA565/VLOOKUP($B565,표2[#ALL],2)/HLOOKUP($A565,표1[#ALL],row(),false)</f>
        <v>#N/A</v>
      </c>
      <c r="AB565" s="376" t="str">
        <f>CS_PID!AB565/VLOOKUP($B565,표2[#ALL],2)/HLOOKUP($A565,표1[#ALL],row(),false)</f>
        <v>#N/A</v>
      </c>
      <c r="AC565" s="376" t="str">
        <f>CS_PID!AC565/VLOOKUP($B565,표2[#ALL],2)/HLOOKUP($A565,표1[#ALL],row(),false)</f>
        <v>#N/A</v>
      </c>
      <c r="AD565" s="376" t="str">
        <f>CS_PID!AD565/VLOOKUP($B565,표2[#ALL],2)/HLOOKUP($A565,표1[#ALL],row(),false)</f>
        <v>#N/A</v>
      </c>
      <c r="AE565" s="376" t="str">
        <f>CS_PID!AE565/VLOOKUP($B565,표2[#ALL],2)/HLOOKUP($A565,표1[#ALL],row(),false)</f>
        <v>#N/A</v>
      </c>
      <c r="AF565" s="376" t="str">
        <f>CS_PID!AF565/VLOOKUP($B565,표2[#ALL],2)/HLOOKUP($A565,표1[#ALL],row(),false)</f>
        <v>#N/A</v>
      </c>
      <c r="AG565" s="376" t="str">
        <f>CS_PID!AG565/VLOOKUP($B565,표2[#ALL],2)/HLOOKUP($A565,표1[#ALL],row(),false)</f>
        <v>#N/A</v>
      </c>
      <c r="AH565" s="376" t="str">
        <f>CS_PID!AH565/VLOOKUP($B565,표2[#ALL],2)/HLOOKUP($A565,표1[#ALL],row(),false)</f>
        <v>#N/A</v>
      </c>
      <c r="AI565" s="376" t="str">
        <f>CS_PID!AI565/VLOOKUP($B565,표2[#ALL],2)/HLOOKUP($A565,표1[#ALL],row(),false)</f>
        <v>#N/A</v>
      </c>
      <c r="AJ565" s="376" t="str">
        <f>CS_PID!AJ565/VLOOKUP($B565,표2[#ALL],2)/HLOOKUP($A565,표1[#ALL],row(),false)</f>
        <v>#N/A</v>
      </c>
      <c r="AK565" s="376" t="str">
        <f>CS_PID!AK565/VLOOKUP($B565,표2[#ALL],2)/HLOOKUP($A565,표1[#ALL],row(),false)</f>
        <v>#N/A</v>
      </c>
      <c r="AL565" s="376" t="str">
        <f>CS_PID!AL565/VLOOKUP($B565,표2[#ALL],2)/HLOOKUP($A565,표1[#ALL],row(),false)</f>
        <v>#N/A</v>
      </c>
      <c r="AM565" s="376" t="str">
        <f>CS_PID!AM565/VLOOKUP($B565,표2[#ALL],2)/HLOOKUP($A565,표1[#ALL],row(),false)</f>
        <v>#N/A</v>
      </c>
      <c r="AN565" s="376" t="str">
        <f>CS_PID!AN565/VLOOKUP($B565,표2[#ALL],2)/HLOOKUP($A565,표1[#ALL],row(),false)</f>
        <v>#N/A</v>
      </c>
      <c r="AO565" s="376" t="str">
        <f>CS_PID!AO565/VLOOKUP($B565,표2[#ALL],2)/HLOOKUP($A565,표1[#ALL],row(),false)</f>
        <v>#N/A</v>
      </c>
      <c r="AP565" s="376" t="str">
        <f>CS_PID!AP565/VLOOKUP($B565,표2[#ALL],2)/HLOOKUP($A565,표1[#ALL],row(),false)</f>
        <v>#N/A</v>
      </c>
      <c r="AQ565" s="376" t="str">
        <f>CS_PID!AQ565/VLOOKUP($B565,표2[#ALL],2)/HLOOKUP($A565,표1[#ALL],row(),false)</f>
        <v>#N/A</v>
      </c>
      <c r="AR565" s="376" t="str">
        <f>CS_PID!AR565/VLOOKUP($B565,표2[#ALL],2)/HLOOKUP($A565,표1[#ALL],row(),false)</f>
        <v>#N/A</v>
      </c>
      <c r="AS565" s="377" t="str">
        <f>CS_PID!AS565/VLOOKUP($B565,표2[#ALL],2)/HLOOKUP($A565,표1[#ALL],row(),false)</f>
        <v>#N/A</v>
      </c>
    </row>
    <row r="566">
      <c r="A566" s="370"/>
      <c r="B566" s="371"/>
      <c r="C566" s="372" t="str">
        <f>CS_PID!C566/VLOOKUP($B566,표2[#ALL],2)</f>
        <v>#N/A</v>
      </c>
      <c r="D566" s="372" t="str">
        <f>CS_PID!D566/VLOOKUP($B566,표2[#ALL],2)</f>
        <v>#N/A</v>
      </c>
      <c r="E566" s="372" t="str">
        <f>CS_PID!E566/VLOOKUP($B566,표2[#ALL],2)</f>
        <v>#N/A</v>
      </c>
      <c r="F566" s="372" t="str">
        <f>CS_PID!F566/VLOOKUP($B566,표2[#ALL],2)</f>
        <v>#N/A</v>
      </c>
      <c r="G566" s="372" t="str">
        <f>CS_PID!G566/VLOOKUP($B566,표2[#ALL],2)</f>
        <v>#N/A</v>
      </c>
      <c r="H566" s="372" t="str">
        <f>CS_PID!H566/VLOOKUP($B566,표2[#ALL],2)/HLOOKUP($A566,표1[#ALL],row(),false)</f>
        <v>#N/A</v>
      </c>
      <c r="I566" s="372" t="str">
        <f>CS_PID!I566/VLOOKUP($B566,표2[#ALL],2)/HLOOKUP($A566,표1[#ALL],row(),false)</f>
        <v>#N/A</v>
      </c>
      <c r="J566" s="372" t="str">
        <f>CS_PID!J566/VLOOKUP($B566,표2[#ALL],2)/HLOOKUP($A566,표1[#ALL],row(),false)</f>
        <v>#N/A</v>
      </c>
      <c r="K566" s="372" t="str">
        <f>CS_PID!K566/VLOOKUP($B566,표2[#ALL],2)/HLOOKUP($A566,표1[#ALL],row(),false)</f>
        <v>#N/A</v>
      </c>
      <c r="L566" s="372" t="str">
        <f>CS_PID!L566/VLOOKUP($B566,표2[#ALL],2)/HLOOKUP($A566,표1[#ALL],row(),false)</f>
        <v>#N/A</v>
      </c>
      <c r="M566" s="372" t="str">
        <f>CS_PID!M566/VLOOKUP($B566,표2[#ALL],2)/HLOOKUP($A566,표1[#ALL],row(),false)</f>
        <v>#N/A</v>
      </c>
      <c r="N566" s="372" t="str">
        <f>CS_PID!N566/VLOOKUP($B566,표2[#ALL],2)/HLOOKUP($A566,표1[#ALL],row(),false)</f>
        <v>#N/A</v>
      </c>
      <c r="O566" s="372" t="str">
        <f>CS_PID!O566/VLOOKUP($B566,표2[#ALL],2)/HLOOKUP($A566,표1[#ALL],row(),false)</f>
        <v>#N/A</v>
      </c>
      <c r="P566" s="372" t="str">
        <f>CS_PID!P566/VLOOKUP($B566,표2[#ALL],2)/HLOOKUP($A566,표1[#ALL],row(),false)</f>
        <v>#N/A</v>
      </c>
      <c r="Q566" s="372" t="str">
        <f>CS_PID!Q566/VLOOKUP($B566,표2[#ALL],2)/HLOOKUP($A566,표1[#ALL],row(),false)</f>
        <v>#N/A</v>
      </c>
      <c r="R566" s="372" t="str">
        <f>CS_PID!R566/VLOOKUP($B566,표2[#ALL],2)/HLOOKUP($A566,표1[#ALL],row(),false)</f>
        <v>#N/A</v>
      </c>
      <c r="S566" s="372" t="str">
        <f>CS_PID!S566/VLOOKUP($B566,표2[#ALL],2)/HLOOKUP($A566,표1[#ALL],row(),false)</f>
        <v>#N/A</v>
      </c>
      <c r="T566" s="372" t="str">
        <f>CS_PID!T566/VLOOKUP($B566,표2[#ALL],2)/HLOOKUP($A566,표1[#ALL],row(),false)</f>
        <v>#N/A</v>
      </c>
      <c r="U566" s="372" t="str">
        <f>CS_PID!U566/VLOOKUP($B566,표2[#ALL],2)/HLOOKUP($A566,표1[#ALL],row(),false)</f>
        <v>#N/A</v>
      </c>
      <c r="V566" s="372" t="str">
        <f>CS_PID!V566/VLOOKUP($B566,표2[#ALL],2)/HLOOKUP($A566,표1[#ALL],row(),false)</f>
        <v>#N/A</v>
      </c>
      <c r="W566" s="372" t="str">
        <f>CS_PID!W566/VLOOKUP($B566,표2[#ALL],2)/HLOOKUP($A566,표1[#ALL],row(),false)</f>
        <v>#N/A</v>
      </c>
      <c r="X566" s="372" t="str">
        <f>CS_PID!X566/VLOOKUP($B566,표2[#ALL],2)/HLOOKUP($A566,표1[#ALL],row(),false)</f>
        <v>#N/A</v>
      </c>
      <c r="Y566" s="372" t="str">
        <f>CS_PID!Y566/VLOOKUP($B566,표2[#ALL],2)/HLOOKUP($A566,표1[#ALL],row(),false)</f>
        <v>#N/A</v>
      </c>
      <c r="Z566" s="372" t="str">
        <f>CS_PID!Z566/VLOOKUP($B566,표2[#ALL],2)/HLOOKUP($A566,표1[#ALL],row(),false)</f>
        <v>#N/A</v>
      </c>
      <c r="AA566" s="372" t="str">
        <f>CS_PID!AA566/VLOOKUP($B566,표2[#ALL],2)/HLOOKUP($A566,표1[#ALL],row(),false)</f>
        <v>#N/A</v>
      </c>
      <c r="AB566" s="372" t="str">
        <f>CS_PID!AB566/VLOOKUP($B566,표2[#ALL],2)/HLOOKUP($A566,표1[#ALL],row(),false)</f>
        <v>#N/A</v>
      </c>
      <c r="AC566" s="372" t="str">
        <f>CS_PID!AC566/VLOOKUP($B566,표2[#ALL],2)/HLOOKUP($A566,표1[#ALL],row(),false)</f>
        <v>#N/A</v>
      </c>
      <c r="AD566" s="372" t="str">
        <f>CS_PID!AD566/VLOOKUP($B566,표2[#ALL],2)/HLOOKUP($A566,표1[#ALL],row(),false)</f>
        <v>#N/A</v>
      </c>
      <c r="AE566" s="372" t="str">
        <f>CS_PID!AE566/VLOOKUP($B566,표2[#ALL],2)/HLOOKUP($A566,표1[#ALL],row(),false)</f>
        <v>#N/A</v>
      </c>
      <c r="AF566" s="372" t="str">
        <f>CS_PID!AF566/VLOOKUP($B566,표2[#ALL],2)/HLOOKUP($A566,표1[#ALL],row(),false)</f>
        <v>#N/A</v>
      </c>
      <c r="AG566" s="372" t="str">
        <f>CS_PID!AG566/VLOOKUP($B566,표2[#ALL],2)/HLOOKUP($A566,표1[#ALL],row(),false)</f>
        <v>#N/A</v>
      </c>
      <c r="AH566" s="372" t="str">
        <f>CS_PID!AH566/VLOOKUP($B566,표2[#ALL],2)/HLOOKUP($A566,표1[#ALL],row(),false)</f>
        <v>#N/A</v>
      </c>
      <c r="AI566" s="372" t="str">
        <f>CS_PID!AI566/VLOOKUP($B566,표2[#ALL],2)/HLOOKUP($A566,표1[#ALL],row(),false)</f>
        <v>#N/A</v>
      </c>
      <c r="AJ566" s="372" t="str">
        <f>CS_PID!AJ566/VLOOKUP($B566,표2[#ALL],2)/HLOOKUP($A566,표1[#ALL],row(),false)</f>
        <v>#N/A</v>
      </c>
      <c r="AK566" s="372" t="str">
        <f>CS_PID!AK566/VLOOKUP($B566,표2[#ALL],2)/HLOOKUP($A566,표1[#ALL],row(),false)</f>
        <v>#N/A</v>
      </c>
      <c r="AL566" s="372" t="str">
        <f>CS_PID!AL566/VLOOKUP($B566,표2[#ALL],2)/HLOOKUP($A566,표1[#ALL],row(),false)</f>
        <v>#N/A</v>
      </c>
      <c r="AM566" s="372" t="str">
        <f>CS_PID!AM566/VLOOKUP($B566,표2[#ALL],2)/HLOOKUP($A566,표1[#ALL],row(),false)</f>
        <v>#N/A</v>
      </c>
      <c r="AN566" s="372" t="str">
        <f>CS_PID!AN566/VLOOKUP($B566,표2[#ALL],2)/HLOOKUP($A566,표1[#ALL],row(),false)</f>
        <v>#N/A</v>
      </c>
      <c r="AO566" s="372" t="str">
        <f>CS_PID!AO566/VLOOKUP($B566,표2[#ALL],2)/HLOOKUP($A566,표1[#ALL],row(),false)</f>
        <v>#N/A</v>
      </c>
      <c r="AP566" s="372" t="str">
        <f>CS_PID!AP566/VLOOKUP($B566,표2[#ALL],2)/HLOOKUP($A566,표1[#ALL],row(),false)</f>
        <v>#N/A</v>
      </c>
      <c r="AQ566" s="372" t="str">
        <f>CS_PID!AQ566/VLOOKUP($B566,표2[#ALL],2)/HLOOKUP($A566,표1[#ALL],row(),false)</f>
        <v>#N/A</v>
      </c>
      <c r="AR566" s="372" t="str">
        <f>CS_PID!AR566/VLOOKUP($B566,표2[#ALL],2)/HLOOKUP($A566,표1[#ALL],row(),false)</f>
        <v>#N/A</v>
      </c>
      <c r="AS566" s="373" t="str">
        <f>CS_PID!AS566/VLOOKUP($B566,표2[#ALL],2)/HLOOKUP($A566,표1[#ALL],row(),false)</f>
        <v>#N/A</v>
      </c>
    </row>
    <row r="567">
      <c r="A567" s="374"/>
      <c r="B567" s="375"/>
      <c r="C567" s="376" t="str">
        <f>CS_PID!C567/VLOOKUP($B567,표2[#ALL],2)</f>
        <v>#N/A</v>
      </c>
      <c r="D567" s="376" t="str">
        <f>CS_PID!D567/VLOOKUP($B567,표2[#ALL],2)</f>
        <v>#N/A</v>
      </c>
      <c r="E567" s="376" t="str">
        <f>CS_PID!E567/VLOOKUP($B567,표2[#ALL],2)</f>
        <v>#N/A</v>
      </c>
      <c r="F567" s="376" t="str">
        <f>CS_PID!F567/VLOOKUP($B567,표2[#ALL],2)</f>
        <v>#N/A</v>
      </c>
      <c r="G567" s="376" t="str">
        <f>CS_PID!G567/VLOOKUP($B567,표2[#ALL],2)</f>
        <v>#N/A</v>
      </c>
      <c r="H567" s="376" t="str">
        <f>CS_PID!H567/VLOOKUP($B567,표2[#ALL],2)/HLOOKUP($A567,표1[#ALL],row(),false)</f>
        <v>#N/A</v>
      </c>
      <c r="I567" s="376" t="str">
        <f>CS_PID!I567/VLOOKUP($B567,표2[#ALL],2)/HLOOKUP($A567,표1[#ALL],row(),false)</f>
        <v>#N/A</v>
      </c>
      <c r="J567" s="376" t="str">
        <f>CS_PID!J567/VLOOKUP($B567,표2[#ALL],2)/HLOOKUP($A567,표1[#ALL],row(),false)</f>
        <v>#N/A</v>
      </c>
      <c r="K567" s="376" t="str">
        <f>CS_PID!K567/VLOOKUP($B567,표2[#ALL],2)/HLOOKUP($A567,표1[#ALL],row(),false)</f>
        <v>#N/A</v>
      </c>
      <c r="L567" s="376" t="str">
        <f>CS_PID!L567/VLOOKUP($B567,표2[#ALL],2)/HLOOKUP($A567,표1[#ALL],row(),false)</f>
        <v>#N/A</v>
      </c>
      <c r="M567" s="376" t="str">
        <f>CS_PID!M567/VLOOKUP($B567,표2[#ALL],2)/HLOOKUP($A567,표1[#ALL],row(),false)</f>
        <v>#N/A</v>
      </c>
      <c r="N567" s="376" t="str">
        <f>CS_PID!N567/VLOOKUP($B567,표2[#ALL],2)/HLOOKUP($A567,표1[#ALL],row(),false)</f>
        <v>#N/A</v>
      </c>
      <c r="O567" s="376" t="str">
        <f>CS_PID!O567/VLOOKUP($B567,표2[#ALL],2)/HLOOKUP($A567,표1[#ALL],row(),false)</f>
        <v>#N/A</v>
      </c>
      <c r="P567" s="376" t="str">
        <f>CS_PID!P567/VLOOKUP($B567,표2[#ALL],2)/HLOOKUP($A567,표1[#ALL],row(),false)</f>
        <v>#N/A</v>
      </c>
      <c r="Q567" s="376" t="str">
        <f>CS_PID!Q567/VLOOKUP($B567,표2[#ALL],2)/HLOOKUP($A567,표1[#ALL],row(),false)</f>
        <v>#N/A</v>
      </c>
      <c r="R567" s="376" t="str">
        <f>CS_PID!R567/VLOOKUP($B567,표2[#ALL],2)/HLOOKUP($A567,표1[#ALL],row(),false)</f>
        <v>#N/A</v>
      </c>
      <c r="S567" s="376" t="str">
        <f>CS_PID!S567/VLOOKUP($B567,표2[#ALL],2)/HLOOKUP($A567,표1[#ALL],row(),false)</f>
        <v>#N/A</v>
      </c>
      <c r="T567" s="376" t="str">
        <f>CS_PID!T567/VLOOKUP($B567,표2[#ALL],2)/HLOOKUP($A567,표1[#ALL],row(),false)</f>
        <v>#N/A</v>
      </c>
      <c r="U567" s="376" t="str">
        <f>CS_PID!U567/VLOOKUP($B567,표2[#ALL],2)/HLOOKUP($A567,표1[#ALL],row(),false)</f>
        <v>#N/A</v>
      </c>
      <c r="V567" s="376" t="str">
        <f>CS_PID!V567/VLOOKUP($B567,표2[#ALL],2)/HLOOKUP($A567,표1[#ALL],row(),false)</f>
        <v>#N/A</v>
      </c>
      <c r="W567" s="376" t="str">
        <f>CS_PID!W567/VLOOKUP($B567,표2[#ALL],2)/HLOOKUP($A567,표1[#ALL],row(),false)</f>
        <v>#N/A</v>
      </c>
      <c r="X567" s="376" t="str">
        <f>CS_PID!X567/VLOOKUP($B567,표2[#ALL],2)/HLOOKUP($A567,표1[#ALL],row(),false)</f>
        <v>#N/A</v>
      </c>
      <c r="Y567" s="376" t="str">
        <f>CS_PID!Y567/VLOOKUP($B567,표2[#ALL],2)/HLOOKUP($A567,표1[#ALL],row(),false)</f>
        <v>#N/A</v>
      </c>
      <c r="Z567" s="376" t="str">
        <f>CS_PID!Z567/VLOOKUP($B567,표2[#ALL],2)/HLOOKUP($A567,표1[#ALL],row(),false)</f>
        <v>#N/A</v>
      </c>
      <c r="AA567" s="376" t="str">
        <f>CS_PID!AA567/VLOOKUP($B567,표2[#ALL],2)/HLOOKUP($A567,표1[#ALL],row(),false)</f>
        <v>#N/A</v>
      </c>
      <c r="AB567" s="376" t="str">
        <f>CS_PID!AB567/VLOOKUP($B567,표2[#ALL],2)/HLOOKUP($A567,표1[#ALL],row(),false)</f>
        <v>#N/A</v>
      </c>
      <c r="AC567" s="376" t="str">
        <f>CS_PID!AC567/VLOOKUP($B567,표2[#ALL],2)/HLOOKUP($A567,표1[#ALL],row(),false)</f>
        <v>#N/A</v>
      </c>
      <c r="AD567" s="376" t="str">
        <f>CS_PID!AD567/VLOOKUP($B567,표2[#ALL],2)/HLOOKUP($A567,표1[#ALL],row(),false)</f>
        <v>#N/A</v>
      </c>
      <c r="AE567" s="376" t="str">
        <f>CS_PID!AE567/VLOOKUP($B567,표2[#ALL],2)/HLOOKUP($A567,표1[#ALL],row(),false)</f>
        <v>#N/A</v>
      </c>
      <c r="AF567" s="376" t="str">
        <f>CS_PID!AF567/VLOOKUP($B567,표2[#ALL],2)/HLOOKUP($A567,표1[#ALL],row(),false)</f>
        <v>#N/A</v>
      </c>
      <c r="AG567" s="376" t="str">
        <f>CS_PID!AG567/VLOOKUP($B567,표2[#ALL],2)/HLOOKUP($A567,표1[#ALL],row(),false)</f>
        <v>#N/A</v>
      </c>
      <c r="AH567" s="376" t="str">
        <f>CS_PID!AH567/VLOOKUP($B567,표2[#ALL],2)/HLOOKUP($A567,표1[#ALL],row(),false)</f>
        <v>#N/A</v>
      </c>
      <c r="AI567" s="376" t="str">
        <f>CS_PID!AI567/VLOOKUP($B567,표2[#ALL],2)/HLOOKUP($A567,표1[#ALL],row(),false)</f>
        <v>#N/A</v>
      </c>
      <c r="AJ567" s="376" t="str">
        <f>CS_PID!AJ567/VLOOKUP($B567,표2[#ALL],2)/HLOOKUP($A567,표1[#ALL],row(),false)</f>
        <v>#N/A</v>
      </c>
      <c r="AK567" s="376" t="str">
        <f>CS_PID!AK567/VLOOKUP($B567,표2[#ALL],2)/HLOOKUP($A567,표1[#ALL],row(),false)</f>
        <v>#N/A</v>
      </c>
      <c r="AL567" s="376" t="str">
        <f>CS_PID!AL567/VLOOKUP($B567,표2[#ALL],2)/HLOOKUP($A567,표1[#ALL],row(),false)</f>
        <v>#N/A</v>
      </c>
      <c r="AM567" s="376" t="str">
        <f>CS_PID!AM567/VLOOKUP($B567,표2[#ALL],2)/HLOOKUP($A567,표1[#ALL],row(),false)</f>
        <v>#N/A</v>
      </c>
      <c r="AN567" s="376" t="str">
        <f>CS_PID!AN567/VLOOKUP($B567,표2[#ALL],2)/HLOOKUP($A567,표1[#ALL],row(),false)</f>
        <v>#N/A</v>
      </c>
      <c r="AO567" s="376" t="str">
        <f>CS_PID!AO567/VLOOKUP($B567,표2[#ALL],2)/HLOOKUP($A567,표1[#ALL],row(),false)</f>
        <v>#N/A</v>
      </c>
      <c r="AP567" s="376" t="str">
        <f>CS_PID!AP567/VLOOKUP($B567,표2[#ALL],2)/HLOOKUP($A567,표1[#ALL],row(),false)</f>
        <v>#N/A</v>
      </c>
      <c r="AQ567" s="376" t="str">
        <f>CS_PID!AQ567/VLOOKUP($B567,표2[#ALL],2)/HLOOKUP($A567,표1[#ALL],row(),false)</f>
        <v>#N/A</v>
      </c>
      <c r="AR567" s="376" t="str">
        <f>CS_PID!AR567/VLOOKUP($B567,표2[#ALL],2)/HLOOKUP($A567,표1[#ALL],row(),false)</f>
        <v>#N/A</v>
      </c>
      <c r="AS567" s="377" t="str">
        <f>CS_PID!AS567/VLOOKUP($B567,표2[#ALL],2)/HLOOKUP($A567,표1[#ALL],row(),false)</f>
        <v>#N/A</v>
      </c>
    </row>
    <row r="568">
      <c r="A568" s="370"/>
      <c r="B568" s="371"/>
      <c r="C568" s="372" t="str">
        <f>CS_PID!C568/VLOOKUP($B568,표2[#ALL],2)</f>
        <v>#N/A</v>
      </c>
      <c r="D568" s="372" t="str">
        <f>CS_PID!D568/VLOOKUP($B568,표2[#ALL],2)</f>
        <v>#N/A</v>
      </c>
      <c r="E568" s="372" t="str">
        <f>CS_PID!E568/VLOOKUP($B568,표2[#ALL],2)</f>
        <v>#N/A</v>
      </c>
      <c r="F568" s="372" t="str">
        <f>CS_PID!F568/VLOOKUP($B568,표2[#ALL],2)</f>
        <v>#N/A</v>
      </c>
      <c r="G568" s="372" t="str">
        <f>CS_PID!G568/VLOOKUP($B568,표2[#ALL],2)</f>
        <v>#N/A</v>
      </c>
      <c r="H568" s="372" t="str">
        <f>CS_PID!H568/VLOOKUP($B568,표2[#ALL],2)/HLOOKUP($A568,표1[#ALL],row(),false)</f>
        <v>#N/A</v>
      </c>
      <c r="I568" s="372" t="str">
        <f>CS_PID!I568/VLOOKUP($B568,표2[#ALL],2)/HLOOKUP($A568,표1[#ALL],row(),false)</f>
        <v>#N/A</v>
      </c>
      <c r="J568" s="372" t="str">
        <f>CS_PID!J568/VLOOKUP($B568,표2[#ALL],2)/HLOOKUP($A568,표1[#ALL],row(),false)</f>
        <v>#N/A</v>
      </c>
      <c r="K568" s="372" t="str">
        <f>CS_PID!K568/VLOOKUP($B568,표2[#ALL],2)/HLOOKUP($A568,표1[#ALL],row(),false)</f>
        <v>#N/A</v>
      </c>
      <c r="L568" s="372" t="str">
        <f>CS_PID!L568/VLOOKUP($B568,표2[#ALL],2)/HLOOKUP($A568,표1[#ALL],row(),false)</f>
        <v>#N/A</v>
      </c>
      <c r="M568" s="372" t="str">
        <f>CS_PID!M568/VLOOKUP($B568,표2[#ALL],2)/HLOOKUP($A568,표1[#ALL],row(),false)</f>
        <v>#N/A</v>
      </c>
      <c r="N568" s="372" t="str">
        <f>CS_PID!N568/VLOOKUP($B568,표2[#ALL],2)/HLOOKUP($A568,표1[#ALL],row(),false)</f>
        <v>#N/A</v>
      </c>
      <c r="O568" s="372" t="str">
        <f>CS_PID!O568/VLOOKUP($B568,표2[#ALL],2)/HLOOKUP($A568,표1[#ALL],row(),false)</f>
        <v>#N/A</v>
      </c>
      <c r="P568" s="372" t="str">
        <f>CS_PID!P568/VLOOKUP($B568,표2[#ALL],2)/HLOOKUP($A568,표1[#ALL],row(),false)</f>
        <v>#N/A</v>
      </c>
      <c r="Q568" s="372" t="str">
        <f>CS_PID!Q568/VLOOKUP($B568,표2[#ALL],2)/HLOOKUP($A568,표1[#ALL],row(),false)</f>
        <v>#N/A</v>
      </c>
      <c r="R568" s="372" t="str">
        <f>CS_PID!R568/VLOOKUP($B568,표2[#ALL],2)/HLOOKUP($A568,표1[#ALL],row(),false)</f>
        <v>#N/A</v>
      </c>
      <c r="S568" s="372" t="str">
        <f>CS_PID!S568/VLOOKUP($B568,표2[#ALL],2)/HLOOKUP($A568,표1[#ALL],row(),false)</f>
        <v>#N/A</v>
      </c>
      <c r="T568" s="372" t="str">
        <f>CS_PID!T568/VLOOKUP($B568,표2[#ALL],2)/HLOOKUP($A568,표1[#ALL],row(),false)</f>
        <v>#N/A</v>
      </c>
      <c r="U568" s="372" t="str">
        <f>CS_PID!U568/VLOOKUP($B568,표2[#ALL],2)/HLOOKUP($A568,표1[#ALL],row(),false)</f>
        <v>#N/A</v>
      </c>
      <c r="V568" s="372" t="str">
        <f>CS_PID!V568/VLOOKUP($B568,표2[#ALL],2)/HLOOKUP($A568,표1[#ALL],row(),false)</f>
        <v>#N/A</v>
      </c>
      <c r="W568" s="372" t="str">
        <f>CS_PID!W568/VLOOKUP($B568,표2[#ALL],2)/HLOOKUP($A568,표1[#ALL],row(),false)</f>
        <v>#N/A</v>
      </c>
      <c r="X568" s="372" t="str">
        <f>CS_PID!X568/VLOOKUP($B568,표2[#ALL],2)/HLOOKUP($A568,표1[#ALL],row(),false)</f>
        <v>#N/A</v>
      </c>
      <c r="Y568" s="372" t="str">
        <f>CS_PID!Y568/VLOOKUP($B568,표2[#ALL],2)/HLOOKUP($A568,표1[#ALL],row(),false)</f>
        <v>#N/A</v>
      </c>
      <c r="Z568" s="372" t="str">
        <f>CS_PID!Z568/VLOOKUP($B568,표2[#ALL],2)/HLOOKUP($A568,표1[#ALL],row(),false)</f>
        <v>#N/A</v>
      </c>
      <c r="AA568" s="372" t="str">
        <f>CS_PID!AA568/VLOOKUP($B568,표2[#ALL],2)/HLOOKUP($A568,표1[#ALL],row(),false)</f>
        <v>#N/A</v>
      </c>
      <c r="AB568" s="372" t="str">
        <f>CS_PID!AB568/VLOOKUP($B568,표2[#ALL],2)/HLOOKUP($A568,표1[#ALL],row(),false)</f>
        <v>#N/A</v>
      </c>
      <c r="AC568" s="372" t="str">
        <f>CS_PID!AC568/VLOOKUP($B568,표2[#ALL],2)/HLOOKUP($A568,표1[#ALL],row(),false)</f>
        <v>#N/A</v>
      </c>
      <c r="AD568" s="372" t="str">
        <f>CS_PID!AD568/VLOOKUP($B568,표2[#ALL],2)/HLOOKUP($A568,표1[#ALL],row(),false)</f>
        <v>#N/A</v>
      </c>
      <c r="AE568" s="372" t="str">
        <f>CS_PID!AE568/VLOOKUP($B568,표2[#ALL],2)/HLOOKUP($A568,표1[#ALL],row(),false)</f>
        <v>#N/A</v>
      </c>
      <c r="AF568" s="372" t="str">
        <f>CS_PID!AF568/VLOOKUP($B568,표2[#ALL],2)/HLOOKUP($A568,표1[#ALL],row(),false)</f>
        <v>#N/A</v>
      </c>
      <c r="AG568" s="372" t="str">
        <f>CS_PID!AG568/VLOOKUP($B568,표2[#ALL],2)/HLOOKUP($A568,표1[#ALL],row(),false)</f>
        <v>#N/A</v>
      </c>
      <c r="AH568" s="372" t="str">
        <f>CS_PID!AH568/VLOOKUP($B568,표2[#ALL],2)/HLOOKUP($A568,표1[#ALL],row(),false)</f>
        <v>#N/A</v>
      </c>
      <c r="AI568" s="372" t="str">
        <f>CS_PID!AI568/VLOOKUP($B568,표2[#ALL],2)/HLOOKUP($A568,표1[#ALL],row(),false)</f>
        <v>#N/A</v>
      </c>
      <c r="AJ568" s="372" t="str">
        <f>CS_PID!AJ568/VLOOKUP($B568,표2[#ALL],2)/HLOOKUP($A568,표1[#ALL],row(),false)</f>
        <v>#N/A</v>
      </c>
      <c r="AK568" s="372" t="str">
        <f>CS_PID!AK568/VLOOKUP($B568,표2[#ALL],2)/HLOOKUP($A568,표1[#ALL],row(),false)</f>
        <v>#N/A</v>
      </c>
      <c r="AL568" s="372" t="str">
        <f>CS_PID!AL568/VLOOKUP($B568,표2[#ALL],2)/HLOOKUP($A568,표1[#ALL],row(),false)</f>
        <v>#N/A</v>
      </c>
      <c r="AM568" s="372" t="str">
        <f>CS_PID!AM568/VLOOKUP($B568,표2[#ALL],2)/HLOOKUP($A568,표1[#ALL],row(),false)</f>
        <v>#N/A</v>
      </c>
      <c r="AN568" s="372" t="str">
        <f>CS_PID!AN568/VLOOKUP($B568,표2[#ALL],2)/HLOOKUP($A568,표1[#ALL],row(),false)</f>
        <v>#N/A</v>
      </c>
      <c r="AO568" s="372" t="str">
        <f>CS_PID!AO568/VLOOKUP($B568,표2[#ALL],2)/HLOOKUP($A568,표1[#ALL],row(),false)</f>
        <v>#N/A</v>
      </c>
      <c r="AP568" s="372" t="str">
        <f>CS_PID!AP568/VLOOKUP($B568,표2[#ALL],2)/HLOOKUP($A568,표1[#ALL],row(),false)</f>
        <v>#N/A</v>
      </c>
      <c r="AQ568" s="372" t="str">
        <f>CS_PID!AQ568/VLOOKUP($B568,표2[#ALL],2)/HLOOKUP($A568,표1[#ALL],row(),false)</f>
        <v>#N/A</v>
      </c>
      <c r="AR568" s="372" t="str">
        <f>CS_PID!AR568/VLOOKUP($B568,표2[#ALL],2)/HLOOKUP($A568,표1[#ALL],row(),false)</f>
        <v>#N/A</v>
      </c>
      <c r="AS568" s="373" t="str">
        <f>CS_PID!AS568/VLOOKUP($B568,표2[#ALL],2)/HLOOKUP($A568,표1[#ALL],row(),false)</f>
        <v>#N/A</v>
      </c>
    </row>
    <row r="569">
      <c r="A569" s="374"/>
      <c r="B569" s="375"/>
      <c r="C569" s="376" t="str">
        <f>CS_PID!C569/VLOOKUP($B569,표2[#ALL],2)</f>
        <v>#N/A</v>
      </c>
      <c r="D569" s="376" t="str">
        <f>CS_PID!D569/VLOOKUP($B569,표2[#ALL],2)</f>
        <v>#N/A</v>
      </c>
      <c r="E569" s="376" t="str">
        <f>CS_PID!E569/VLOOKUP($B569,표2[#ALL],2)</f>
        <v>#N/A</v>
      </c>
      <c r="F569" s="376" t="str">
        <f>CS_PID!F569/VLOOKUP($B569,표2[#ALL],2)</f>
        <v>#N/A</v>
      </c>
      <c r="G569" s="376" t="str">
        <f>CS_PID!G569/VLOOKUP($B569,표2[#ALL],2)</f>
        <v>#N/A</v>
      </c>
      <c r="H569" s="376" t="str">
        <f>CS_PID!H569/VLOOKUP($B569,표2[#ALL],2)/HLOOKUP($A569,표1[#ALL],row(),false)</f>
        <v>#N/A</v>
      </c>
      <c r="I569" s="376" t="str">
        <f>CS_PID!I569/VLOOKUP($B569,표2[#ALL],2)/HLOOKUP($A569,표1[#ALL],row(),false)</f>
        <v>#N/A</v>
      </c>
      <c r="J569" s="376" t="str">
        <f>CS_PID!J569/VLOOKUP($B569,표2[#ALL],2)/HLOOKUP($A569,표1[#ALL],row(),false)</f>
        <v>#N/A</v>
      </c>
      <c r="K569" s="376" t="str">
        <f>CS_PID!K569/VLOOKUP($B569,표2[#ALL],2)/HLOOKUP($A569,표1[#ALL],row(),false)</f>
        <v>#N/A</v>
      </c>
      <c r="L569" s="376" t="str">
        <f>CS_PID!L569/VLOOKUP($B569,표2[#ALL],2)/HLOOKUP($A569,표1[#ALL],row(),false)</f>
        <v>#N/A</v>
      </c>
      <c r="M569" s="376" t="str">
        <f>CS_PID!M569/VLOOKUP($B569,표2[#ALL],2)/HLOOKUP($A569,표1[#ALL],row(),false)</f>
        <v>#N/A</v>
      </c>
      <c r="N569" s="376" t="str">
        <f>CS_PID!N569/VLOOKUP($B569,표2[#ALL],2)/HLOOKUP($A569,표1[#ALL],row(),false)</f>
        <v>#N/A</v>
      </c>
      <c r="O569" s="376" t="str">
        <f>CS_PID!O569/VLOOKUP($B569,표2[#ALL],2)/HLOOKUP($A569,표1[#ALL],row(),false)</f>
        <v>#N/A</v>
      </c>
      <c r="P569" s="376" t="str">
        <f>CS_PID!P569/VLOOKUP($B569,표2[#ALL],2)/HLOOKUP($A569,표1[#ALL],row(),false)</f>
        <v>#N/A</v>
      </c>
      <c r="Q569" s="376" t="str">
        <f>CS_PID!Q569/VLOOKUP($B569,표2[#ALL],2)/HLOOKUP($A569,표1[#ALL],row(),false)</f>
        <v>#N/A</v>
      </c>
      <c r="R569" s="376" t="str">
        <f>CS_PID!R569/VLOOKUP($B569,표2[#ALL],2)/HLOOKUP($A569,표1[#ALL],row(),false)</f>
        <v>#N/A</v>
      </c>
      <c r="S569" s="376" t="str">
        <f>CS_PID!S569/VLOOKUP($B569,표2[#ALL],2)/HLOOKUP($A569,표1[#ALL],row(),false)</f>
        <v>#N/A</v>
      </c>
      <c r="T569" s="376" t="str">
        <f>CS_PID!T569/VLOOKUP($B569,표2[#ALL],2)/HLOOKUP($A569,표1[#ALL],row(),false)</f>
        <v>#N/A</v>
      </c>
      <c r="U569" s="376" t="str">
        <f>CS_PID!U569/VLOOKUP($B569,표2[#ALL],2)/HLOOKUP($A569,표1[#ALL],row(),false)</f>
        <v>#N/A</v>
      </c>
      <c r="V569" s="376" t="str">
        <f>CS_PID!V569/VLOOKUP($B569,표2[#ALL],2)/HLOOKUP($A569,표1[#ALL],row(),false)</f>
        <v>#N/A</v>
      </c>
      <c r="W569" s="376" t="str">
        <f>CS_PID!W569/VLOOKUP($B569,표2[#ALL],2)/HLOOKUP($A569,표1[#ALL],row(),false)</f>
        <v>#N/A</v>
      </c>
      <c r="X569" s="376" t="str">
        <f>CS_PID!X569/VLOOKUP($B569,표2[#ALL],2)/HLOOKUP($A569,표1[#ALL],row(),false)</f>
        <v>#N/A</v>
      </c>
      <c r="Y569" s="376" t="str">
        <f>CS_PID!Y569/VLOOKUP($B569,표2[#ALL],2)/HLOOKUP($A569,표1[#ALL],row(),false)</f>
        <v>#N/A</v>
      </c>
      <c r="Z569" s="376" t="str">
        <f>CS_PID!Z569/VLOOKUP($B569,표2[#ALL],2)/HLOOKUP($A569,표1[#ALL],row(),false)</f>
        <v>#N/A</v>
      </c>
      <c r="AA569" s="376" t="str">
        <f>CS_PID!AA569/VLOOKUP($B569,표2[#ALL],2)/HLOOKUP($A569,표1[#ALL],row(),false)</f>
        <v>#N/A</v>
      </c>
      <c r="AB569" s="376" t="str">
        <f>CS_PID!AB569/VLOOKUP($B569,표2[#ALL],2)/HLOOKUP($A569,표1[#ALL],row(),false)</f>
        <v>#N/A</v>
      </c>
      <c r="AC569" s="376" t="str">
        <f>CS_PID!AC569/VLOOKUP($B569,표2[#ALL],2)/HLOOKUP($A569,표1[#ALL],row(),false)</f>
        <v>#N/A</v>
      </c>
      <c r="AD569" s="376" t="str">
        <f>CS_PID!AD569/VLOOKUP($B569,표2[#ALL],2)/HLOOKUP($A569,표1[#ALL],row(),false)</f>
        <v>#N/A</v>
      </c>
      <c r="AE569" s="376" t="str">
        <f>CS_PID!AE569/VLOOKUP($B569,표2[#ALL],2)/HLOOKUP($A569,표1[#ALL],row(),false)</f>
        <v>#N/A</v>
      </c>
      <c r="AF569" s="376" t="str">
        <f>CS_PID!AF569/VLOOKUP($B569,표2[#ALL],2)/HLOOKUP($A569,표1[#ALL],row(),false)</f>
        <v>#N/A</v>
      </c>
      <c r="AG569" s="376" t="str">
        <f>CS_PID!AG569/VLOOKUP($B569,표2[#ALL],2)/HLOOKUP($A569,표1[#ALL],row(),false)</f>
        <v>#N/A</v>
      </c>
      <c r="AH569" s="376" t="str">
        <f>CS_PID!AH569/VLOOKUP($B569,표2[#ALL],2)/HLOOKUP($A569,표1[#ALL],row(),false)</f>
        <v>#N/A</v>
      </c>
      <c r="AI569" s="376" t="str">
        <f>CS_PID!AI569/VLOOKUP($B569,표2[#ALL],2)/HLOOKUP($A569,표1[#ALL],row(),false)</f>
        <v>#N/A</v>
      </c>
      <c r="AJ569" s="376" t="str">
        <f>CS_PID!AJ569/VLOOKUP($B569,표2[#ALL],2)/HLOOKUP($A569,표1[#ALL],row(),false)</f>
        <v>#N/A</v>
      </c>
      <c r="AK569" s="376" t="str">
        <f>CS_PID!AK569/VLOOKUP($B569,표2[#ALL],2)/HLOOKUP($A569,표1[#ALL],row(),false)</f>
        <v>#N/A</v>
      </c>
      <c r="AL569" s="376" t="str">
        <f>CS_PID!AL569/VLOOKUP($B569,표2[#ALL],2)/HLOOKUP($A569,표1[#ALL],row(),false)</f>
        <v>#N/A</v>
      </c>
      <c r="AM569" s="376" t="str">
        <f>CS_PID!AM569/VLOOKUP($B569,표2[#ALL],2)/HLOOKUP($A569,표1[#ALL],row(),false)</f>
        <v>#N/A</v>
      </c>
      <c r="AN569" s="376" t="str">
        <f>CS_PID!AN569/VLOOKUP($B569,표2[#ALL],2)/HLOOKUP($A569,표1[#ALL],row(),false)</f>
        <v>#N/A</v>
      </c>
      <c r="AO569" s="376" t="str">
        <f>CS_PID!AO569/VLOOKUP($B569,표2[#ALL],2)/HLOOKUP($A569,표1[#ALL],row(),false)</f>
        <v>#N/A</v>
      </c>
      <c r="AP569" s="376" t="str">
        <f>CS_PID!AP569/VLOOKUP($B569,표2[#ALL],2)/HLOOKUP($A569,표1[#ALL],row(),false)</f>
        <v>#N/A</v>
      </c>
      <c r="AQ569" s="376" t="str">
        <f>CS_PID!AQ569/VLOOKUP($B569,표2[#ALL],2)/HLOOKUP($A569,표1[#ALL],row(),false)</f>
        <v>#N/A</v>
      </c>
      <c r="AR569" s="376" t="str">
        <f>CS_PID!AR569/VLOOKUP($B569,표2[#ALL],2)/HLOOKUP($A569,표1[#ALL],row(),false)</f>
        <v>#N/A</v>
      </c>
      <c r="AS569" s="377" t="str">
        <f>CS_PID!AS569/VLOOKUP($B569,표2[#ALL],2)/HLOOKUP($A569,표1[#ALL],row(),false)</f>
        <v>#N/A</v>
      </c>
    </row>
    <row r="570">
      <c r="A570" s="370"/>
      <c r="B570" s="371"/>
      <c r="C570" s="372" t="str">
        <f>CS_PID!C570/VLOOKUP($B570,표2[#ALL],2)</f>
        <v>#N/A</v>
      </c>
      <c r="D570" s="372" t="str">
        <f>CS_PID!D570/VLOOKUP($B570,표2[#ALL],2)</f>
        <v>#N/A</v>
      </c>
      <c r="E570" s="372" t="str">
        <f>CS_PID!E570/VLOOKUP($B570,표2[#ALL],2)</f>
        <v>#N/A</v>
      </c>
      <c r="F570" s="372" t="str">
        <f>CS_PID!F570/VLOOKUP($B570,표2[#ALL],2)</f>
        <v>#N/A</v>
      </c>
      <c r="G570" s="372" t="str">
        <f>CS_PID!G570/VLOOKUP($B570,표2[#ALL],2)</f>
        <v>#N/A</v>
      </c>
      <c r="H570" s="372" t="str">
        <f>CS_PID!H570/VLOOKUP($B570,표2[#ALL],2)/HLOOKUP($A570,표1[#ALL],row(),false)</f>
        <v>#N/A</v>
      </c>
      <c r="I570" s="372" t="str">
        <f>CS_PID!I570/VLOOKUP($B570,표2[#ALL],2)/HLOOKUP($A570,표1[#ALL],row(),false)</f>
        <v>#N/A</v>
      </c>
      <c r="J570" s="372" t="str">
        <f>CS_PID!J570/VLOOKUP($B570,표2[#ALL],2)/HLOOKUP($A570,표1[#ALL],row(),false)</f>
        <v>#N/A</v>
      </c>
      <c r="K570" s="372" t="str">
        <f>CS_PID!K570/VLOOKUP($B570,표2[#ALL],2)/HLOOKUP($A570,표1[#ALL],row(),false)</f>
        <v>#N/A</v>
      </c>
      <c r="L570" s="372" t="str">
        <f>CS_PID!L570/VLOOKUP($B570,표2[#ALL],2)/HLOOKUP($A570,표1[#ALL],row(),false)</f>
        <v>#N/A</v>
      </c>
      <c r="M570" s="372" t="str">
        <f>CS_PID!M570/VLOOKUP($B570,표2[#ALL],2)/HLOOKUP($A570,표1[#ALL],row(),false)</f>
        <v>#N/A</v>
      </c>
      <c r="N570" s="372" t="str">
        <f>CS_PID!N570/VLOOKUP($B570,표2[#ALL],2)/HLOOKUP($A570,표1[#ALL],row(),false)</f>
        <v>#N/A</v>
      </c>
      <c r="O570" s="372" t="str">
        <f>CS_PID!O570/VLOOKUP($B570,표2[#ALL],2)/HLOOKUP($A570,표1[#ALL],row(),false)</f>
        <v>#N/A</v>
      </c>
      <c r="P570" s="372" t="str">
        <f>CS_PID!P570/VLOOKUP($B570,표2[#ALL],2)/HLOOKUP($A570,표1[#ALL],row(),false)</f>
        <v>#N/A</v>
      </c>
      <c r="Q570" s="372" t="str">
        <f>CS_PID!Q570/VLOOKUP($B570,표2[#ALL],2)/HLOOKUP($A570,표1[#ALL],row(),false)</f>
        <v>#N/A</v>
      </c>
      <c r="R570" s="372" t="str">
        <f>CS_PID!R570/VLOOKUP($B570,표2[#ALL],2)/HLOOKUP($A570,표1[#ALL],row(),false)</f>
        <v>#N/A</v>
      </c>
      <c r="S570" s="372" t="str">
        <f>CS_PID!S570/VLOOKUP($B570,표2[#ALL],2)/HLOOKUP($A570,표1[#ALL],row(),false)</f>
        <v>#N/A</v>
      </c>
      <c r="T570" s="372" t="str">
        <f>CS_PID!T570/VLOOKUP($B570,표2[#ALL],2)/HLOOKUP($A570,표1[#ALL],row(),false)</f>
        <v>#N/A</v>
      </c>
      <c r="U570" s="372" t="str">
        <f>CS_PID!U570/VLOOKUP($B570,표2[#ALL],2)/HLOOKUP($A570,표1[#ALL],row(),false)</f>
        <v>#N/A</v>
      </c>
      <c r="V570" s="372" t="str">
        <f>CS_PID!V570/VLOOKUP($B570,표2[#ALL],2)/HLOOKUP($A570,표1[#ALL],row(),false)</f>
        <v>#N/A</v>
      </c>
      <c r="W570" s="372" t="str">
        <f>CS_PID!W570/VLOOKUP($B570,표2[#ALL],2)/HLOOKUP($A570,표1[#ALL],row(),false)</f>
        <v>#N/A</v>
      </c>
      <c r="X570" s="372" t="str">
        <f>CS_PID!X570/VLOOKUP($B570,표2[#ALL],2)/HLOOKUP($A570,표1[#ALL],row(),false)</f>
        <v>#N/A</v>
      </c>
      <c r="Y570" s="372" t="str">
        <f>CS_PID!Y570/VLOOKUP($B570,표2[#ALL],2)/HLOOKUP($A570,표1[#ALL],row(),false)</f>
        <v>#N/A</v>
      </c>
      <c r="Z570" s="372" t="str">
        <f>CS_PID!Z570/VLOOKUP($B570,표2[#ALL],2)/HLOOKUP($A570,표1[#ALL],row(),false)</f>
        <v>#N/A</v>
      </c>
      <c r="AA570" s="372" t="str">
        <f>CS_PID!AA570/VLOOKUP($B570,표2[#ALL],2)/HLOOKUP($A570,표1[#ALL],row(),false)</f>
        <v>#N/A</v>
      </c>
      <c r="AB570" s="372" t="str">
        <f>CS_PID!AB570/VLOOKUP($B570,표2[#ALL],2)/HLOOKUP($A570,표1[#ALL],row(),false)</f>
        <v>#N/A</v>
      </c>
      <c r="AC570" s="372" t="str">
        <f>CS_PID!AC570/VLOOKUP($B570,표2[#ALL],2)/HLOOKUP($A570,표1[#ALL],row(),false)</f>
        <v>#N/A</v>
      </c>
      <c r="AD570" s="372" t="str">
        <f>CS_PID!AD570/VLOOKUP($B570,표2[#ALL],2)/HLOOKUP($A570,표1[#ALL],row(),false)</f>
        <v>#N/A</v>
      </c>
      <c r="AE570" s="372" t="str">
        <f>CS_PID!AE570/VLOOKUP($B570,표2[#ALL],2)/HLOOKUP($A570,표1[#ALL],row(),false)</f>
        <v>#N/A</v>
      </c>
      <c r="AF570" s="372" t="str">
        <f>CS_PID!AF570/VLOOKUP($B570,표2[#ALL],2)/HLOOKUP($A570,표1[#ALL],row(),false)</f>
        <v>#N/A</v>
      </c>
      <c r="AG570" s="372" t="str">
        <f>CS_PID!AG570/VLOOKUP($B570,표2[#ALL],2)/HLOOKUP($A570,표1[#ALL],row(),false)</f>
        <v>#N/A</v>
      </c>
      <c r="AH570" s="372" t="str">
        <f>CS_PID!AH570/VLOOKUP($B570,표2[#ALL],2)/HLOOKUP($A570,표1[#ALL],row(),false)</f>
        <v>#N/A</v>
      </c>
      <c r="AI570" s="372" t="str">
        <f>CS_PID!AI570/VLOOKUP($B570,표2[#ALL],2)/HLOOKUP($A570,표1[#ALL],row(),false)</f>
        <v>#N/A</v>
      </c>
      <c r="AJ570" s="372" t="str">
        <f>CS_PID!AJ570/VLOOKUP($B570,표2[#ALL],2)/HLOOKUP($A570,표1[#ALL],row(),false)</f>
        <v>#N/A</v>
      </c>
      <c r="AK570" s="372" t="str">
        <f>CS_PID!AK570/VLOOKUP($B570,표2[#ALL],2)/HLOOKUP($A570,표1[#ALL],row(),false)</f>
        <v>#N/A</v>
      </c>
      <c r="AL570" s="372" t="str">
        <f>CS_PID!AL570/VLOOKUP($B570,표2[#ALL],2)/HLOOKUP($A570,표1[#ALL],row(),false)</f>
        <v>#N/A</v>
      </c>
      <c r="AM570" s="372" t="str">
        <f>CS_PID!AM570/VLOOKUP($B570,표2[#ALL],2)/HLOOKUP($A570,표1[#ALL],row(),false)</f>
        <v>#N/A</v>
      </c>
      <c r="AN570" s="372" t="str">
        <f>CS_PID!AN570/VLOOKUP($B570,표2[#ALL],2)/HLOOKUP($A570,표1[#ALL],row(),false)</f>
        <v>#N/A</v>
      </c>
      <c r="AO570" s="372" t="str">
        <f>CS_PID!AO570/VLOOKUP($B570,표2[#ALL],2)/HLOOKUP($A570,표1[#ALL],row(),false)</f>
        <v>#N/A</v>
      </c>
      <c r="AP570" s="372" t="str">
        <f>CS_PID!AP570/VLOOKUP($B570,표2[#ALL],2)/HLOOKUP($A570,표1[#ALL],row(),false)</f>
        <v>#N/A</v>
      </c>
      <c r="AQ570" s="372" t="str">
        <f>CS_PID!AQ570/VLOOKUP($B570,표2[#ALL],2)/HLOOKUP($A570,표1[#ALL],row(),false)</f>
        <v>#N/A</v>
      </c>
      <c r="AR570" s="372" t="str">
        <f>CS_PID!AR570/VLOOKUP($B570,표2[#ALL],2)/HLOOKUP($A570,표1[#ALL],row(),false)</f>
        <v>#N/A</v>
      </c>
      <c r="AS570" s="373" t="str">
        <f>CS_PID!AS570/VLOOKUP($B570,표2[#ALL],2)/HLOOKUP($A570,표1[#ALL],row(),false)</f>
        <v>#N/A</v>
      </c>
    </row>
    <row r="571">
      <c r="A571" s="374"/>
      <c r="B571" s="375"/>
      <c r="C571" s="376" t="str">
        <f>CS_PID!C571/VLOOKUP($B571,표2[#ALL],2)</f>
        <v>#N/A</v>
      </c>
      <c r="D571" s="376" t="str">
        <f>CS_PID!D571/VLOOKUP($B571,표2[#ALL],2)</f>
        <v>#N/A</v>
      </c>
      <c r="E571" s="376" t="str">
        <f>CS_PID!E571/VLOOKUP($B571,표2[#ALL],2)</f>
        <v>#N/A</v>
      </c>
      <c r="F571" s="376" t="str">
        <f>CS_PID!F571/VLOOKUP($B571,표2[#ALL],2)</f>
        <v>#N/A</v>
      </c>
      <c r="G571" s="376" t="str">
        <f>CS_PID!G571/VLOOKUP($B571,표2[#ALL],2)</f>
        <v>#N/A</v>
      </c>
      <c r="H571" s="376" t="str">
        <f>CS_PID!H571/VLOOKUP($B571,표2[#ALL],2)/HLOOKUP($A571,표1[#ALL],row(),false)</f>
        <v>#N/A</v>
      </c>
      <c r="I571" s="376" t="str">
        <f>CS_PID!I571/VLOOKUP($B571,표2[#ALL],2)/HLOOKUP($A571,표1[#ALL],row(),false)</f>
        <v>#N/A</v>
      </c>
      <c r="J571" s="376" t="str">
        <f>CS_PID!J571/VLOOKUP($B571,표2[#ALL],2)/HLOOKUP($A571,표1[#ALL],row(),false)</f>
        <v>#N/A</v>
      </c>
      <c r="K571" s="376" t="str">
        <f>CS_PID!K571/VLOOKUP($B571,표2[#ALL],2)/HLOOKUP($A571,표1[#ALL],row(),false)</f>
        <v>#N/A</v>
      </c>
      <c r="L571" s="376" t="str">
        <f>CS_PID!L571/VLOOKUP($B571,표2[#ALL],2)/HLOOKUP($A571,표1[#ALL],row(),false)</f>
        <v>#N/A</v>
      </c>
      <c r="M571" s="376" t="str">
        <f>CS_PID!M571/VLOOKUP($B571,표2[#ALL],2)/HLOOKUP($A571,표1[#ALL],row(),false)</f>
        <v>#N/A</v>
      </c>
      <c r="N571" s="376" t="str">
        <f>CS_PID!N571/VLOOKUP($B571,표2[#ALL],2)/HLOOKUP($A571,표1[#ALL],row(),false)</f>
        <v>#N/A</v>
      </c>
      <c r="O571" s="376" t="str">
        <f>CS_PID!O571/VLOOKUP($B571,표2[#ALL],2)/HLOOKUP($A571,표1[#ALL],row(),false)</f>
        <v>#N/A</v>
      </c>
      <c r="P571" s="376" t="str">
        <f>CS_PID!P571/VLOOKUP($B571,표2[#ALL],2)/HLOOKUP($A571,표1[#ALL],row(),false)</f>
        <v>#N/A</v>
      </c>
      <c r="Q571" s="376" t="str">
        <f>CS_PID!Q571/VLOOKUP($B571,표2[#ALL],2)/HLOOKUP($A571,표1[#ALL],row(),false)</f>
        <v>#N/A</v>
      </c>
      <c r="R571" s="376" t="str">
        <f>CS_PID!R571/VLOOKUP($B571,표2[#ALL],2)/HLOOKUP($A571,표1[#ALL],row(),false)</f>
        <v>#N/A</v>
      </c>
      <c r="S571" s="376" t="str">
        <f>CS_PID!S571/VLOOKUP($B571,표2[#ALL],2)/HLOOKUP($A571,표1[#ALL],row(),false)</f>
        <v>#N/A</v>
      </c>
      <c r="T571" s="376" t="str">
        <f>CS_PID!T571/VLOOKUP($B571,표2[#ALL],2)/HLOOKUP($A571,표1[#ALL],row(),false)</f>
        <v>#N/A</v>
      </c>
      <c r="U571" s="376" t="str">
        <f>CS_PID!U571/VLOOKUP($B571,표2[#ALL],2)/HLOOKUP($A571,표1[#ALL],row(),false)</f>
        <v>#N/A</v>
      </c>
      <c r="V571" s="376" t="str">
        <f>CS_PID!V571/VLOOKUP($B571,표2[#ALL],2)/HLOOKUP($A571,표1[#ALL],row(),false)</f>
        <v>#N/A</v>
      </c>
      <c r="W571" s="376" t="str">
        <f>CS_PID!W571/VLOOKUP($B571,표2[#ALL],2)/HLOOKUP($A571,표1[#ALL],row(),false)</f>
        <v>#N/A</v>
      </c>
      <c r="X571" s="376" t="str">
        <f>CS_PID!X571/VLOOKUP($B571,표2[#ALL],2)/HLOOKUP($A571,표1[#ALL],row(),false)</f>
        <v>#N/A</v>
      </c>
      <c r="Y571" s="376" t="str">
        <f>CS_PID!Y571/VLOOKUP($B571,표2[#ALL],2)/HLOOKUP($A571,표1[#ALL],row(),false)</f>
        <v>#N/A</v>
      </c>
      <c r="Z571" s="376" t="str">
        <f>CS_PID!Z571/VLOOKUP($B571,표2[#ALL],2)/HLOOKUP($A571,표1[#ALL],row(),false)</f>
        <v>#N/A</v>
      </c>
      <c r="AA571" s="376" t="str">
        <f>CS_PID!AA571/VLOOKUP($B571,표2[#ALL],2)/HLOOKUP($A571,표1[#ALL],row(),false)</f>
        <v>#N/A</v>
      </c>
      <c r="AB571" s="376" t="str">
        <f>CS_PID!AB571/VLOOKUP($B571,표2[#ALL],2)/HLOOKUP($A571,표1[#ALL],row(),false)</f>
        <v>#N/A</v>
      </c>
      <c r="AC571" s="376" t="str">
        <f>CS_PID!AC571/VLOOKUP($B571,표2[#ALL],2)/HLOOKUP($A571,표1[#ALL],row(),false)</f>
        <v>#N/A</v>
      </c>
      <c r="AD571" s="376" t="str">
        <f>CS_PID!AD571/VLOOKUP($B571,표2[#ALL],2)/HLOOKUP($A571,표1[#ALL],row(),false)</f>
        <v>#N/A</v>
      </c>
      <c r="AE571" s="376" t="str">
        <f>CS_PID!AE571/VLOOKUP($B571,표2[#ALL],2)/HLOOKUP($A571,표1[#ALL],row(),false)</f>
        <v>#N/A</v>
      </c>
      <c r="AF571" s="376" t="str">
        <f>CS_PID!AF571/VLOOKUP($B571,표2[#ALL],2)/HLOOKUP($A571,표1[#ALL],row(),false)</f>
        <v>#N/A</v>
      </c>
      <c r="AG571" s="376" t="str">
        <f>CS_PID!AG571/VLOOKUP($B571,표2[#ALL],2)/HLOOKUP($A571,표1[#ALL],row(),false)</f>
        <v>#N/A</v>
      </c>
      <c r="AH571" s="376" t="str">
        <f>CS_PID!AH571/VLOOKUP($B571,표2[#ALL],2)/HLOOKUP($A571,표1[#ALL],row(),false)</f>
        <v>#N/A</v>
      </c>
      <c r="AI571" s="376" t="str">
        <f>CS_PID!AI571/VLOOKUP($B571,표2[#ALL],2)/HLOOKUP($A571,표1[#ALL],row(),false)</f>
        <v>#N/A</v>
      </c>
      <c r="AJ571" s="376" t="str">
        <f>CS_PID!AJ571/VLOOKUP($B571,표2[#ALL],2)/HLOOKUP($A571,표1[#ALL],row(),false)</f>
        <v>#N/A</v>
      </c>
      <c r="AK571" s="376" t="str">
        <f>CS_PID!AK571/VLOOKUP($B571,표2[#ALL],2)/HLOOKUP($A571,표1[#ALL],row(),false)</f>
        <v>#N/A</v>
      </c>
      <c r="AL571" s="376" t="str">
        <f>CS_PID!AL571/VLOOKUP($B571,표2[#ALL],2)/HLOOKUP($A571,표1[#ALL],row(),false)</f>
        <v>#N/A</v>
      </c>
      <c r="AM571" s="376" t="str">
        <f>CS_PID!AM571/VLOOKUP($B571,표2[#ALL],2)/HLOOKUP($A571,표1[#ALL],row(),false)</f>
        <v>#N/A</v>
      </c>
      <c r="AN571" s="376" t="str">
        <f>CS_PID!AN571/VLOOKUP($B571,표2[#ALL],2)/HLOOKUP($A571,표1[#ALL],row(),false)</f>
        <v>#N/A</v>
      </c>
      <c r="AO571" s="376" t="str">
        <f>CS_PID!AO571/VLOOKUP($B571,표2[#ALL],2)/HLOOKUP($A571,표1[#ALL],row(),false)</f>
        <v>#N/A</v>
      </c>
      <c r="AP571" s="376" t="str">
        <f>CS_PID!AP571/VLOOKUP($B571,표2[#ALL],2)/HLOOKUP($A571,표1[#ALL],row(),false)</f>
        <v>#N/A</v>
      </c>
      <c r="AQ571" s="376" t="str">
        <f>CS_PID!AQ571/VLOOKUP($B571,표2[#ALL],2)/HLOOKUP($A571,표1[#ALL],row(),false)</f>
        <v>#N/A</v>
      </c>
      <c r="AR571" s="376" t="str">
        <f>CS_PID!AR571/VLOOKUP($B571,표2[#ALL],2)/HLOOKUP($A571,표1[#ALL],row(),false)</f>
        <v>#N/A</v>
      </c>
      <c r="AS571" s="377" t="str">
        <f>CS_PID!AS571/VLOOKUP($B571,표2[#ALL],2)/HLOOKUP($A571,표1[#ALL],row(),false)</f>
        <v>#N/A</v>
      </c>
    </row>
    <row r="572">
      <c r="A572" s="370"/>
      <c r="B572" s="371"/>
      <c r="C572" s="372" t="str">
        <f>CS_PID!C572/VLOOKUP($B572,표2[#ALL],2)</f>
        <v>#N/A</v>
      </c>
      <c r="D572" s="372" t="str">
        <f>CS_PID!D572/VLOOKUP($B572,표2[#ALL],2)</f>
        <v>#N/A</v>
      </c>
      <c r="E572" s="372" t="str">
        <f>CS_PID!E572/VLOOKUP($B572,표2[#ALL],2)</f>
        <v>#N/A</v>
      </c>
      <c r="F572" s="372" t="str">
        <f>CS_PID!F572/VLOOKUP($B572,표2[#ALL],2)</f>
        <v>#N/A</v>
      </c>
      <c r="G572" s="372" t="str">
        <f>CS_PID!G572/VLOOKUP($B572,표2[#ALL],2)</f>
        <v>#N/A</v>
      </c>
      <c r="H572" s="372" t="str">
        <f>CS_PID!H572/VLOOKUP($B572,표2[#ALL],2)/HLOOKUP($A572,표1[#ALL],row(),false)</f>
        <v>#N/A</v>
      </c>
      <c r="I572" s="372" t="str">
        <f>CS_PID!I572/VLOOKUP($B572,표2[#ALL],2)/HLOOKUP($A572,표1[#ALL],row(),false)</f>
        <v>#N/A</v>
      </c>
      <c r="J572" s="372" t="str">
        <f>CS_PID!J572/VLOOKUP($B572,표2[#ALL],2)/HLOOKUP($A572,표1[#ALL],row(),false)</f>
        <v>#N/A</v>
      </c>
      <c r="K572" s="372" t="str">
        <f>CS_PID!K572/VLOOKUP($B572,표2[#ALL],2)/HLOOKUP($A572,표1[#ALL],row(),false)</f>
        <v>#N/A</v>
      </c>
      <c r="L572" s="372" t="str">
        <f>CS_PID!L572/VLOOKUP($B572,표2[#ALL],2)/HLOOKUP($A572,표1[#ALL],row(),false)</f>
        <v>#N/A</v>
      </c>
      <c r="M572" s="372" t="str">
        <f>CS_PID!M572/VLOOKUP($B572,표2[#ALL],2)/HLOOKUP($A572,표1[#ALL],row(),false)</f>
        <v>#N/A</v>
      </c>
      <c r="N572" s="372" t="str">
        <f>CS_PID!N572/VLOOKUP($B572,표2[#ALL],2)/HLOOKUP($A572,표1[#ALL],row(),false)</f>
        <v>#N/A</v>
      </c>
      <c r="O572" s="372" t="str">
        <f>CS_PID!O572/VLOOKUP($B572,표2[#ALL],2)/HLOOKUP($A572,표1[#ALL],row(),false)</f>
        <v>#N/A</v>
      </c>
      <c r="P572" s="372" t="str">
        <f>CS_PID!P572/VLOOKUP($B572,표2[#ALL],2)/HLOOKUP($A572,표1[#ALL],row(),false)</f>
        <v>#N/A</v>
      </c>
      <c r="Q572" s="372" t="str">
        <f>CS_PID!Q572/VLOOKUP($B572,표2[#ALL],2)/HLOOKUP($A572,표1[#ALL],row(),false)</f>
        <v>#N/A</v>
      </c>
      <c r="R572" s="372" t="str">
        <f>CS_PID!R572/VLOOKUP($B572,표2[#ALL],2)/HLOOKUP($A572,표1[#ALL],row(),false)</f>
        <v>#N/A</v>
      </c>
      <c r="S572" s="372" t="str">
        <f>CS_PID!S572/VLOOKUP($B572,표2[#ALL],2)/HLOOKUP($A572,표1[#ALL],row(),false)</f>
        <v>#N/A</v>
      </c>
      <c r="T572" s="372" t="str">
        <f>CS_PID!T572/VLOOKUP($B572,표2[#ALL],2)/HLOOKUP($A572,표1[#ALL],row(),false)</f>
        <v>#N/A</v>
      </c>
      <c r="U572" s="372" t="str">
        <f>CS_PID!U572/VLOOKUP($B572,표2[#ALL],2)/HLOOKUP($A572,표1[#ALL],row(),false)</f>
        <v>#N/A</v>
      </c>
      <c r="V572" s="372" t="str">
        <f>CS_PID!V572/VLOOKUP($B572,표2[#ALL],2)/HLOOKUP($A572,표1[#ALL],row(),false)</f>
        <v>#N/A</v>
      </c>
      <c r="W572" s="372" t="str">
        <f>CS_PID!W572/VLOOKUP($B572,표2[#ALL],2)/HLOOKUP($A572,표1[#ALL],row(),false)</f>
        <v>#N/A</v>
      </c>
      <c r="X572" s="372" t="str">
        <f>CS_PID!X572/VLOOKUP($B572,표2[#ALL],2)/HLOOKUP($A572,표1[#ALL],row(),false)</f>
        <v>#N/A</v>
      </c>
      <c r="Y572" s="372" t="str">
        <f>CS_PID!Y572/VLOOKUP($B572,표2[#ALL],2)/HLOOKUP($A572,표1[#ALL],row(),false)</f>
        <v>#N/A</v>
      </c>
      <c r="Z572" s="372" t="str">
        <f>CS_PID!Z572/VLOOKUP($B572,표2[#ALL],2)/HLOOKUP($A572,표1[#ALL],row(),false)</f>
        <v>#N/A</v>
      </c>
      <c r="AA572" s="372" t="str">
        <f>CS_PID!AA572/VLOOKUP($B572,표2[#ALL],2)/HLOOKUP($A572,표1[#ALL],row(),false)</f>
        <v>#N/A</v>
      </c>
      <c r="AB572" s="372" t="str">
        <f>CS_PID!AB572/VLOOKUP($B572,표2[#ALL],2)/HLOOKUP($A572,표1[#ALL],row(),false)</f>
        <v>#N/A</v>
      </c>
      <c r="AC572" s="372" t="str">
        <f>CS_PID!AC572/VLOOKUP($B572,표2[#ALL],2)/HLOOKUP($A572,표1[#ALL],row(),false)</f>
        <v>#N/A</v>
      </c>
      <c r="AD572" s="372" t="str">
        <f>CS_PID!AD572/VLOOKUP($B572,표2[#ALL],2)/HLOOKUP($A572,표1[#ALL],row(),false)</f>
        <v>#N/A</v>
      </c>
      <c r="AE572" s="372" t="str">
        <f>CS_PID!AE572/VLOOKUP($B572,표2[#ALL],2)/HLOOKUP($A572,표1[#ALL],row(),false)</f>
        <v>#N/A</v>
      </c>
      <c r="AF572" s="372" t="str">
        <f>CS_PID!AF572/VLOOKUP($B572,표2[#ALL],2)/HLOOKUP($A572,표1[#ALL],row(),false)</f>
        <v>#N/A</v>
      </c>
      <c r="AG572" s="372" t="str">
        <f>CS_PID!AG572/VLOOKUP($B572,표2[#ALL],2)/HLOOKUP($A572,표1[#ALL],row(),false)</f>
        <v>#N/A</v>
      </c>
      <c r="AH572" s="372" t="str">
        <f>CS_PID!AH572/VLOOKUP($B572,표2[#ALL],2)/HLOOKUP($A572,표1[#ALL],row(),false)</f>
        <v>#N/A</v>
      </c>
      <c r="AI572" s="372" t="str">
        <f>CS_PID!AI572/VLOOKUP($B572,표2[#ALL],2)/HLOOKUP($A572,표1[#ALL],row(),false)</f>
        <v>#N/A</v>
      </c>
      <c r="AJ572" s="372" t="str">
        <f>CS_PID!AJ572/VLOOKUP($B572,표2[#ALL],2)/HLOOKUP($A572,표1[#ALL],row(),false)</f>
        <v>#N/A</v>
      </c>
      <c r="AK572" s="372" t="str">
        <f>CS_PID!AK572/VLOOKUP($B572,표2[#ALL],2)/HLOOKUP($A572,표1[#ALL],row(),false)</f>
        <v>#N/A</v>
      </c>
      <c r="AL572" s="372" t="str">
        <f>CS_PID!AL572/VLOOKUP($B572,표2[#ALL],2)/HLOOKUP($A572,표1[#ALL],row(),false)</f>
        <v>#N/A</v>
      </c>
      <c r="AM572" s="372" t="str">
        <f>CS_PID!AM572/VLOOKUP($B572,표2[#ALL],2)/HLOOKUP($A572,표1[#ALL],row(),false)</f>
        <v>#N/A</v>
      </c>
      <c r="AN572" s="372" t="str">
        <f>CS_PID!AN572/VLOOKUP($B572,표2[#ALL],2)/HLOOKUP($A572,표1[#ALL],row(),false)</f>
        <v>#N/A</v>
      </c>
      <c r="AO572" s="372" t="str">
        <f>CS_PID!AO572/VLOOKUP($B572,표2[#ALL],2)/HLOOKUP($A572,표1[#ALL],row(),false)</f>
        <v>#N/A</v>
      </c>
      <c r="AP572" s="372" t="str">
        <f>CS_PID!AP572/VLOOKUP($B572,표2[#ALL],2)/HLOOKUP($A572,표1[#ALL],row(),false)</f>
        <v>#N/A</v>
      </c>
      <c r="AQ572" s="372" t="str">
        <f>CS_PID!AQ572/VLOOKUP($B572,표2[#ALL],2)/HLOOKUP($A572,표1[#ALL],row(),false)</f>
        <v>#N/A</v>
      </c>
      <c r="AR572" s="372" t="str">
        <f>CS_PID!AR572/VLOOKUP($B572,표2[#ALL],2)/HLOOKUP($A572,표1[#ALL],row(),false)</f>
        <v>#N/A</v>
      </c>
      <c r="AS572" s="373" t="str">
        <f>CS_PID!AS572/VLOOKUP($B572,표2[#ALL],2)/HLOOKUP($A572,표1[#ALL],row(),false)</f>
        <v>#N/A</v>
      </c>
    </row>
    <row r="573">
      <c r="A573" s="374"/>
      <c r="B573" s="375"/>
      <c r="C573" s="376" t="str">
        <f>CS_PID!C573/VLOOKUP($B573,표2[#ALL],2)</f>
        <v>#N/A</v>
      </c>
      <c r="D573" s="376" t="str">
        <f>CS_PID!D573/VLOOKUP($B573,표2[#ALL],2)</f>
        <v>#N/A</v>
      </c>
      <c r="E573" s="376" t="str">
        <f>CS_PID!E573/VLOOKUP($B573,표2[#ALL],2)</f>
        <v>#N/A</v>
      </c>
      <c r="F573" s="376" t="str">
        <f>CS_PID!F573/VLOOKUP($B573,표2[#ALL],2)</f>
        <v>#N/A</v>
      </c>
      <c r="G573" s="376" t="str">
        <f>CS_PID!G573/VLOOKUP($B573,표2[#ALL],2)</f>
        <v>#N/A</v>
      </c>
      <c r="H573" s="376" t="str">
        <f>CS_PID!H573/VLOOKUP($B573,표2[#ALL],2)/HLOOKUP($A573,표1[#ALL],row(),false)</f>
        <v>#N/A</v>
      </c>
      <c r="I573" s="376" t="str">
        <f>CS_PID!I573/VLOOKUP($B573,표2[#ALL],2)/HLOOKUP($A573,표1[#ALL],row(),false)</f>
        <v>#N/A</v>
      </c>
      <c r="J573" s="376" t="str">
        <f>CS_PID!J573/VLOOKUP($B573,표2[#ALL],2)/HLOOKUP($A573,표1[#ALL],row(),false)</f>
        <v>#N/A</v>
      </c>
      <c r="K573" s="376" t="str">
        <f>CS_PID!K573/VLOOKUP($B573,표2[#ALL],2)/HLOOKUP($A573,표1[#ALL],row(),false)</f>
        <v>#N/A</v>
      </c>
      <c r="L573" s="376" t="str">
        <f>CS_PID!L573/VLOOKUP($B573,표2[#ALL],2)/HLOOKUP($A573,표1[#ALL],row(),false)</f>
        <v>#N/A</v>
      </c>
      <c r="M573" s="376" t="str">
        <f>CS_PID!M573/VLOOKUP($B573,표2[#ALL],2)/HLOOKUP($A573,표1[#ALL],row(),false)</f>
        <v>#N/A</v>
      </c>
      <c r="N573" s="376" t="str">
        <f>CS_PID!N573/VLOOKUP($B573,표2[#ALL],2)/HLOOKUP($A573,표1[#ALL],row(),false)</f>
        <v>#N/A</v>
      </c>
      <c r="O573" s="376" t="str">
        <f>CS_PID!O573/VLOOKUP($B573,표2[#ALL],2)/HLOOKUP($A573,표1[#ALL],row(),false)</f>
        <v>#N/A</v>
      </c>
      <c r="P573" s="376" t="str">
        <f>CS_PID!P573/VLOOKUP($B573,표2[#ALL],2)/HLOOKUP($A573,표1[#ALL],row(),false)</f>
        <v>#N/A</v>
      </c>
      <c r="Q573" s="376" t="str">
        <f>CS_PID!Q573/VLOOKUP($B573,표2[#ALL],2)/HLOOKUP($A573,표1[#ALL],row(),false)</f>
        <v>#N/A</v>
      </c>
      <c r="R573" s="376" t="str">
        <f>CS_PID!R573/VLOOKUP($B573,표2[#ALL],2)/HLOOKUP($A573,표1[#ALL],row(),false)</f>
        <v>#N/A</v>
      </c>
      <c r="S573" s="376" t="str">
        <f>CS_PID!S573/VLOOKUP($B573,표2[#ALL],2)/HLOOKUP($A573,표1[#ALL],row(),false)</f>
        <v>#N/A</v>
      </c>
      <c r="T573" s="376" t="str">
        <f>CS_PID!T573/VLOOKUP($B573,표2[#ALL],2)/HLOOKUP($A573,표1[#ALL],row(),false)</f>
        <v>#N/A</v>
      </c>
      <c r="U573" s="376" t="str">
        <f>CS_PID!U573/VLOOKUP($B573,표2[#ALL],2)/HLOOKUP($A573,표1[#ALL],row(),false)</f>
        <v>#N/A</v>
      </c>
      <c r="V573" s="376" t="str">
        <f>CS_PID!V573/VLOOKUP($B573,표2[#ALL],2)/HLOOKUP($A573,표1[#ALL],row(),false)</f>
        <v>#N/A</v>
      </c>
      <c r="W573" s="376" t="str">
        <f>CS_PID!W573/VLOOKUP($B573,표2[#ALL],2)/HLOOKUP($A573,표1[#ALL],row(),false)</f>
        <v>#N/A</v>
      </c>
      <c r="X573" s="376" t="str">
        <f>CS_PID!X573/VLOOKUP($B573,표2[#ALL],2)/HLOOKUP($A573,표1[#ALL],row(),false)</f>
        <v>#N/A</v>
      </c>
      <c r="Y573" s="376" t="str">
        <f>CS_PID!Y573/VLOOKUP($B573,표2[#ALL],2)/HLOOKUP($A573,표1[#ALL],row(),false)</f>
        <v>#N/A</v>
      </c>
      <c r="Z573" s="376" t="str">
        <f>CS_PID!Z573/VLOOKUP($B573,표2[#ALL],2)/HLOOKUP($A573,표1[#ALL],row(),false)</f>
        <v>#N/A</v>
      </c>
      <c r="AA573" s="376" t="str">
        <f>CS_PID!AA573/VLOOKUP($B573,표2[#ALL],2)/HLOOKUP($A573,표1[#ALL],row(),false)</f>
        <v>#N/A</v>
      </c>
      <c r="AB573" s="376" t="str">
        <f>CS_PID!AB573/VLOOKUP($B573,표2[#ALL],2)/HLOOKUP($A573,표1[#ALL],row(),false)</f>
        <v>#N/A</v>
      </c>
      <c r="AC573" s="376" t="str">
        <f>CS_PID!AC573/VLOOKUP($B573,표2[#ALL],2)/HLOOKUP($A573,표1[#ALL],row(),false)</f>
        <v>#N/A</v>
      </c>
      <c r="AD573" s="376" t="str">
        <f>CS_PID!AD573/VLOOKUP($B573,표2[#ALL],2)/HLOOKUP($A573,표1[#ALL],row(),false)</f>
        <v>#N/A</v>
      </c>
      <c r="AE573" s="376" t="str">
        <f>CS_PID!AE573/VLOOKUP($B573,표2[#ALL],2)/HLOOKUP($A573,표1[#ALL],row(),false)</f>
        <v>#N/A</v>
      </c>
      <c r="AF573" s="376" t="str">
        <f>CS_PID!AF573/VLOOKUP($B573,표2[#ALL],2)/HLOOKUP($A573,표1[#ALL],row(),false)</f>
        <v>#N/A</v>
      </c>
      <c r="AG573" s="376" t="str">
        <f>CS_PID!AG573/VLOOKUP($B573,표2[#ALL],2)/HLOOKUP($A573,표1[#ALL],row(),false)</f>
        <v>#N/A</v>
      </c>
      <c r="AH573" s="376" t="str">
        <f>CS_PID!AH573/VLOOKUP($B573,표2[#ALL],2)/HLOOKUP($A573,표1[#ALL],row(),false)</f>
        <v>#N/A</v>
      </c>
      <c r="AI573" s="376" t="str">
        <f>CS_PID!AI573/VLOOKUP($B573,표2[#ALL],2)/HLOOKUP($A573,표1[#ALL],row(),false)</f>
        <v>#N/A</v>
      </c>
      <c r="AJ573" s="376" t="str">
        <f>CS_PID!AJ573/VLOOKUP($B573,표2[#ALL],2)/HLOOKUP($A573,표1[#ALL],row(),false)</f>
        <v>#N/A</v>
      </c>
      <c r="AK573" s="376" t="str">
        <f>CS_PID!AK573/VLOOKUP($B573,표2[#ALL],2)/HLOOKUP($A573,표1[#ALL],row(),false)</f>
        <v>#N/A</v>
      </c>
      <c r="AL573" s="376" t="str">
        <f>CS_PID!AL573/VLOOKUP($B573,표2[#ALL],2)/HLOOKUP($A573,표1[#ALL],row(),false)</f>
        <v>#N/A</v>
      </c>
      <c r="AM573" s="376" t="str">
        <f>CS_PID!AM573/VLOOKUP($B573,표2[#ALL],2)/HLOOKUP($A573,표1[#ALL],row(),false)</f>
        <v>#N/A</v>
      </c>
      <c r="AN573" s="376" t="str">
        <f>CS_PID!AN573/VLOOKUP($B573,표2[#ALL],2)/HLOOKUP($A573,표1[#ALL],row(),false)</f>
        <v>#N/A</v>
      </c>
      <c r="AO573" s="376" t="str">
        <f>CS_PID!AO573/VLOOKUP($B573,표2[#ALL],2)/HLOOKUP($A573,표1[#ALL],row(),false)</f>
        <v>#N/A</v>
      </c>
      <c r="AP573" s="376" t="str">
        <f>CS_PID!AP573/VLOOKUP($B573,표2[#ALL],2)/HLOOKUP($A573,표1[#ALL],row(),false)</f>
        <v>#N/A</v>
      </c>
      <c r="AQ573" s="376" t="str">
        <f>CS_PID!AQ573/VLOOKUP($B573,표2[#ALL],2)/HLOOKUP($A573,표1[#ALL],row(),false)</f>
        <v>#N/A</v>
      </c>
      <c r="AR573" s="376" t="str">
        <f>CS_PID!AR573/VLOOKUP($B573,표2[#ALL],2)/HLOOKUP($A573,표1[#ALL],row(),false)</f>
        <v>#N/A</v>
      </c>
      <c r="AS573" s="377" t="str">
        <f>CS_PID!AS573/VLOOKUP($B573,표2[#ALL],2)/HLOOKUP($A573,표1[#ALL],row(),false)</f>
        <v>#N/A</v>
      </c>
    </row>
    <row r="574">
      <c r="A574" s="370"/>
      <c r="B574" s="371"/>
      <c r="C574" s="372" t="str">
        <f>CS_PID!C574/VLOOKUP($B574,표2[#ALL],2)</f>
        <v>#N/A</v>
      </c>
      <c r="D574" s="372" t="str">
        <f>CS_PID!D574/VLOOKUP($B574,표2[#ALL],2)</f>
        <v>#N/A</v>
      </c>
      <c r="E574" s="372" t="str">
        <f>CS_PID!E574/VLOOKUP($B574,표2[#ALL],2)</f>
        <v>#N/A</v>
      </c>
      <c r="F574" s="372" t="str">
        <f>CS_PID!F574/VLOOKUP($B574,표2[#ALL],2)</f>
        <v>#N/A</v>
      </c>
      <c r="G574" s="372" t="str">
        <f>CS_PID!G574/VLOOKUP($B574,표2[#ALL],2)</f>
        <v>#N/A</v>
      </c>
      <c r="H574" s="372" t="str">
        <f>CS_PID!H574/VLOOKUP($B574,표2[#ALL],2)/HLOOKUP($A574,표1[#ALL],row(),false)</f>
        <v>#N/A</v>
      </c>
      <c r="I574" s="372" t="str">
        <f>CS_PID!I574/VLOOKUP($B574,표2[#ALL],2)/HLOOKUP($A574,표1[#ALL],row(),false)</f>
        <v>#N/A</v>
      </c>
      <c r="J574" s="372" t="str">
        <f>CS_PID!J574/VLOOKUP($B574,표2[#ALL],2)/HLOOKUP($A574,표1[#ALL],row(),false)</f>
        <v>#N/A</v>
      </c>
      <c r="K574" s="372" t="str">
        <f>CS_PID!K574/VLOOKUP($B574,표2[#ALL],2)/HLOOKUP($A574,표1[#ALL],row(),false)</f>
        <v>#N/A</v>
      </c>
      <c r="L574" s="372" t="str">
        <f>CS_PID!L574/VLOOKUP($B574,표2[#ALL],2)/HLOOKUP($A574,표1[#ALL],row(),false)</f>
        <v>#N/A</v>
      </c>
      <c r="M574" s="372" t="str">
        <f>CS_PID!M574/VLOOKUP($B574,표2[#ALL],2)/HLOOKUP($A574,표1[#ALL],row(),false)</f>
        <v>#N/A</v>
      </c>
      <c r="N574" s="372" t="str">
        <f>CS_PID!N574/VLOOKUP($B574,표2[#ALL],2)/HLOOKUP($A574,표1[#ALL],row(),false)</f>
        <v>#N/A</v>
      </c>
      <c r="O574" s="372" t="str">
        <f>CS_PID!O574/VLOOKUP($B574,표2[#ALL],2)/HLOOKUP($A574,표1[#ALL],row(),false)</f>
        <v>#N/A</v>
      </c>
      <c r="P574" s="372" t="str">
        <f>CS_PID!P574/VLOOKUP($B574,표2[#ALL],2)/HLOOKUP($A574,표1[#ALL],row(),false)</f>
        <v>#N/A</v>
      </c>
      <c r="Q574" s="372" t="str">
        <f>CS_PID!Q574/VLOOKUP($B574,표2[#ALL],2)/HLOOKUP($A574,표1[#ALL],row(),false)</f>
        <v>#N/A</v>
      </c>
      <c r="R574" s="372" t="str">
        <f>CS_PID!R574/VLOOKUP($B574,표2[#ALL],2)/HLOOKUP($A574,표1[#ALL],row(),false)</f>
        <v>#N/A</v>
      </c>
      <c r="S574" s="372" t="str">
        <f>CS_PID!S574/VLOOKUP($B574,표2[#ALL],2)/HLOOKUP($A574,표1[#ALL],row(),false)</f>
        <v>#N/A</v>
      </c>
      <c r="T574" s="372" t="str">
        <f>CS_PID!T574/VLOOKUP($B574,표2[#ALL],2)/HLOOKUP($A574,표1[#ALL],row(),false)</f>
        <v>#N/A</v>
      </c>
      <c r="U574" s="372" t="str">
        <f>CS_PID!U574/VLOOKUP($B574,표2[#ALL],2)/HLOOKUP($A574,표1[#ALL],row(),false)</f>
        <v>#N/A</v>
      </c>
      <c r="V574" s="372" t="str">
        <f>CS_PID!V574/VLOOKUP($B574,표2[#ALL],2)/HLOOKUP($A574,표1[#ALL],row(),false)</f>
        <v>#N/A</v>
      </c>
      <c r="W574" s="372" t="str">
        <f>CS_PID!W574/VLOOKUP($B574,표2[#ALL],2)/HLOOKUP($A574,표1[#ALL],row(),false)</f>
        <v>#N/A</v>
      </c>
      <c r="X574" s="372" t="str">
        <f>CS_PID!X574/VLOOKUP($B574,표2[#ALL],2)/HLOOKUP($A574,표1[#ALL],row(),false)</f>
        <v>#N/A</v>
      </c>
      <c r="Y574" s="372" t="str">
        <f>CS_PID!Y574/VLOOKUP($B574,표2[#ALL],2)/HLOOKUP($A574,표1[#ALL],row(),false)</f>
        <v>#N/A</v>
      </c>
      <c r="Z574" s="372" t="str">
        <f>CS_PID!Z574/VLOOKUP($B574,표2[#ALL],2)/HLOOKUP($A574,표1[#ALL],row(),false)</f>
        <v>#N/A</v>
      </c>
      <c r="AA574" s="372" t="str">
        <f>CS_PID!AA574/VLOOKUP($B574,표2[#ALL],2)/HLOOKUP($A574,표1[#ALL],row(),false)</f>
        <v>#N/A</v>
      </c>
      <c r="AB574" s="372" t="str">
        <f>CS_PID!AB574/VLOOKUP($B574,표2[#ALL],2)/HLOOKUP($A574,표1[#ALL],row(),false)</f>
        <v>#N/A</v>
      </c>
      <c r="AC574" s="372" t="str">
        <f>CS_PID!AC574/VLOOKUP($B574,표2[#ALL],2)/HLOOKUP($A574,표1[#ALL],row(),false)</f>
        <v>#N/A</v>
      </c>
      <c r="AD574" s="372" t="str">
        <f>CS_PID!AD574/VLOOKUP($B574,표2[#ALL],2)/HLOOKUP($A574,표1[#ALL],row(),false)</f>
        <v>#N/A</v>
      </c>
      <c r="AE574" s="372" t="str">
        <f>CS_PID!AE574/VLOOKUP($B574,표2[#ALL],2)/HLOOKUP($A574,표1[#ALL],row(),false)</f>
        <v>#N/A</v>
      </c>
      <c r="AF574" s="372" t="str">
        <f>CS_PID!AF574/VLOOKUP($B574,표2[#ALL],2)/HLOOKUP($A574,표1[#ALL],row(),false)</f>
        <v>#N/A</v>
      </c>
      <c r="AG574" s="372" t="str">
        <f>CS_PID!AG574/VLOOKUP($B574,표2[#ALL],2)/HLOOKUP($A574,표1[#ALL],row(),false)</f>
        <v>#N/A</v>
      </c>
      <c r="AH574" s="372" t="str">
        <f>CS_PID!AH574/VLOOKUP($B574,표2[#ALL],2)/HLOOKUP($A574,표1[#ALL],row(),false)</f>
        <v>#N/A</v>
      </c>
      <c r="AI574" s="372" t="str">
        <f>CS_PID!AI574/VLOOKUP($B574,표2[#ALL],2)/HLOOKUP($A574,표1[#ALL],row(),false)</f>
        <v>#N/A</v>
      </c>
      <c r="AJ574" s="372" t="str">
        <f>CS_PID!AJ574/VLOOKUP($B574,표2[#ALL],2)/HLOOKUP($A574,표1[#ALL],row(),false)</f>
        <v>#N/A</v>
      </c>
      <c r="AK574" s="372" t="str">
        <f>CS_PID!AK574/VLOOKUP($B574,표2[#ALL],2)/HLOOKUP($A574,표1[#ALL],row(),false)</f>
        <v>#N/A</v>
      </c>
      <c r="AL574" s="372" t="str">
        <f>CS_PID!AL574/VLOOKUP($B574,표2[#ALL],2)/HLOOKUP($A574,표1[#ALL],row(),false)</f>
        <v>#N/A</v>
      </c>
      <c r="AM574" s="372" t="str">
        <f>CS_PID!AM574/VLOOKUP($B574,표2[#ALL],2)/HLOOKUP($A574,표1[#ALL],row(),false)</f>
        <v>#N/A</v>
      </c>
      <c r="AN574" s="372" t="str">
        <f>CS_PID!AN574/VLOOKUP($B574,표2[#ALL],2)/HLOOKUP($A574,표1[#ALL],row(),false)</f>
        <v>#N/A</v>
      </c>
      <c r="AO574" s="372" t="str">
        <f>CS_PID!AO574/VLOOKUP($B574,표2[#ALL],2)/HLOOKUP($A574,표1[#ALL],row(),false)</f>
        <v>#N/A</v>
      </c>
      <c r="AP574" s="372" t="str">
        <f>CS_PID!AP574/VLOOKUP($B574,표2[#ALL],2)/HLOOKUP($A574,표1[#ALL],row(),false)</f>
        <v>#N/A</v>
      </c>
      <c r="AQ574" s="372" t="str">
        <f>CS_PID!AQ574/VLOOKUP($B574,표2[#ALL],2)/HLOOKUP($A574,표1[#ALL],row(),false)</f>
        <v>#N/A</v>
      </c>
      <c r="AR574" s="372" t="str">
        <f>CS_PID!AR574/VLOOKUP($B574,표2[#ALL],2)/HLOOKUP($A574,표1[#ALL],row(),false)</f>
        <v>#N/A</v>
      </c>
      <c r="AS574" s="373" t="str">
        <f>CS_PID!AS574/VLOOKUP($B574,표2[#ALL],2)/HLOOKUP($A574,표1[#ALL],row(),false)</f>
        <v>#N/A</v>
      </c>
    </row>
    <row r="575">
      <c r="A575" s="374"/>
      <c r="B575" s="375"/>
      <c r="C575" s="376" t="str">
        <f>CS_PID!C575/VLOOKUP($B575,표2[#ALL],2)</f>
        <v>#N/A</v>
      </c>
      <c r="D575" s="376" t="str">
        <f>CS_PID!D575/VLOOKUP($B575,표2[#ALL],2)</f>
        <v>#N/A</v>
      </c>
      <c r="E575" s="376" t="str">
        <f>CS_PID!E575/VLOOKUP($B575,표2[#ALL],2)</f>
        <v>#N/A</v>
      </c>
      <c r="F575" s="376" t="str">
        <f>CS_PID!F575/VLOOKUP($B575,표2[#ALL],2)</f>
        <v>#N/A</v>
      </c>
      <c r="G575" s="376" t="str">
        <f>CS_PID!G575/VLOOKUP($B575,표2[#ALL],2)</f>
        <v>#N/A</v>
      </c>
      <c r="H575" s="376" t="str">
        <f>CS_PID!H575/VLOOKUP($B575,표2[#ALL],2)/HLOOKUP($A575,표1[#ALL],row(),false)</f>
        <v>#N/A</v>
      </c>
      <c r="I575" s="376" t="str">
        <f>CS_PID!I575/VLOOKUP($B575,표2[#ALL],2)/HLOOKUP($A575,표1[#ALL],row(),false)</f>
        <v>#N/A</v>
      </c>
      <c r="J575" s="376" t="str">
        <f>CS_PID!J575/VLOOKUP($B575,표2[#ALL],2)/HLOOKUP($A575,표1[#ALL],row(),false)</f>
        <v>#N/A</v>
      </c>
      <c r="K575" s="376" t="str">
        <f>CS_PID!K575/VLOOKUP($B575,표2[#ALL],2)/HLOOKUP($A575,표1[#ALL],row(),false)</f>
        <v>#N/A</v>
      </c>
      <c r="L575" s="376" t="str">
        <f>CS_PID!L575/VLOOKUP($B575,표2[#ALL],2)/HLOOKUP($A575,표1[#ALL],row(),false)</f>
        <v>#N/A</v>
      </c>
      <c r="M575" s="376" t="str">
        <f>CS_PID!M575/VLOOKUP($B575,표2[#ALL],2)/HLOOKUP($A575,표1[#ALL],row(),false)</f>
        <v>#N/A</v>
      </c>
      <c r="N575" s="376" t="str">
        <f>CS_PID!N575/VLOOKUP($B575,표2[#ALL],2)/HLOOKUP($A575,표1[#ALL],row(),false)</f>
        <v>#N/A</v>
      </c>
      <c r="O575" s="376" t="str">
        <f>CS_PID!O575/VLOOKUP($B575,표2[#ALL],2)/HLOOKUP($A575,표1[#ALL],row(),false)</f>
        <v>#N/A</v>
      </c>
      <c r="P575" s="376" t="str">
        <f>CS_PID!P575/VLOOKUP($B575,표2[#ALL],2)/HLOOKUP($A575,표1[#ALL],row(),false)</f>
        <v>#N/A</v>
      </c>
      <c r="Q575" s="376" t="str">
        <f>CS_PID!Q575/VLOOKUP($B575,표2[#ALL],2)/HLOOKUP($A575,표1[#ALL],row(),false)</f>
        <v>#N/A</v>
      </c>
      <c r="R575" s="376" t="str">
        <f>CS_PID!R575/VLOOKUP($B575,표2[#ALL],2)/HLOOKUP($A575,표1[#ALL],row(),false)</f>
        <v>#N/A</v>
      </c>
      <c r="S575" s="376" t="str">
        <f>CS_PID!S575/VLOOKUP($B575,표2[#ALL],2)/HLOOKUP($A575,표1[#ALL],row(),false)</f>
        <v>#N/A</v>
      </c>
      <c r="T575" s="376" t="str">
        <f>CS_PID!T575/VLOOKUP($B575,표2[#ALL],2)/HLOOKUP($A575,표1[#ALL],row(),false)</f>
        <v>#N/A</v>
      </c>
      <c r="U575" s="376" t="str">
        <f>CS_PID!U575/VLOOKUP($B575,표2[#ALL],2)/HLOOKUP($A575,표1[#ALL],row(),false)</f>
        <v>#N/A</v>
      </c>
      <c r="V575" s="376" t="str">
        <f>CS_PID!V575/VLOOKUP($B575,표2[#ALL],2)/HLOOKUP($A575,표1[#ALL],row(),false)</f>
        <v>#N/A</v>
      </c>
      <c r="W575" s="376" t="str">
        <f>CS_PID!W575/VLOOKUP($B575,표2[#ALL],2)/HLOOKUP($A575,표1[#ALL],row(),false)</f>
        <v>#N/A</v>
      </c>
      <c r="X575" s="376" t="str">
        <f>CS_PID!X575/VLOOKUP($B575,표2[#ALL],2)/HLOOKUP($A575,표1[#ALL],row(),false)</f>
        <v>#N/A</v>
      </c>
      <c r="Y575" s="376" t="str">
        <f>CS_PID!Y575/VLOOKUP($B575,표2[#ALL],2)/HLOOKUP($A575,표1[#ALL],row(),false)</f>
        <v>#N/A</v>
      </c>
      <c r="Z575" s="376" t="str">
        <f>CS_PID!Z575/VLOOKUP($B575,표2[#ALL],2)/HLOOKUP($A575,표1[#ALL],row(),false)</f>
        <v>#N/A</v>
      </c>
      <c r="AA575" s="376" t="str">
        <f>CS_PID!AA575/VLOOKUP($B575,표2[#ALL],2)/HLOOKUP($A575,표1[#ALL],row(),false)</f>
        <v>#N/A</v>
      </c>
      <c r="AB575" s="376" t="str">
        <f>CS_PID!AB575/VLOOKUP($B575,표2[#ALL],2)/HLOOKUP($A575,표1[#ALL],row(),false)</f>
        <v>#N/A</v>
      </c>
      <c r="AC575" s="376" t="str">
        <f>CS_PID!AC575/VLOOKUP($B575,표2[#ALL],2)/HLOOKUP($A575,표1[#ALL],row(),false)</f>
        <v>#N/A</v>
      </c>
      <c r="AD575" s="376" t="str">
        <f>CS_PID!AD575/VLOOKUP($B575,표2[#ALL],2)/HLOOKUP($A575,표1[#ALL],row(),false)</f>
        <v>#N/A</v>
      </c>
      <c r="AE575" s="376" t="str">
        <f>CS_PID!AE575/VLOOKUP($B575,표2[#ALL],2)/HLOOKUP($A575,표1[#ALL],row(),false)</f>
        <v>#N/A</v>
      </c>
      <c r="AF575" s="376" t="str">
        <f>CS_PID!AF575/VLOOKUP($B575,표2[#ALL],2)/HLOOKUP($A575,표1[#ALL],row(),false)</f>
        <v>#N/A</v>
      </c>
      <c r="AG575" s="376" t="str">
        <f>CS_PID!AG575/VLOOKUP($B575,표2[#ALL],2)/HLOOKUP($A575,표1[#ALL],row(),false)</f>
        <v>#N/A</v>
      </c>
      <c r="AH575" s="376" t="str">
        <f>CS_PID!AH575/VLOOKUP($B575,표2[#ALL],2)/HLOOKUP($A575,표1[#ALL],row(),false)</f>
        <v>#N/A</v>
      </c>
      <c r="AI575" s="376" t="str">
        <f>CS_PID!AI575/VLOOKUP($B575,표2[#ALL],2)/HLOOKUP($A575,표1[#ALL],row(),false)</f>
        <v>#N/A</v>
      </c>
      <c r="AJ575" s="376" t="str">
        <f>CS_PID!AJ575/VLOOKUP($B575,표2[#ALL],2)/HLOOKUP($A575,표1[#ALL],row(),false)</f>
        <v>#N/A</v>
      </c>
      <c r="AK575" s="376" t="str">
        <f>CS_PID!AK575/VLOOKUP($B575,표2[#ALL],2)/HLOOKUP($A575,표1[#ALL],row(),false)</f>
        <v>#N/A</v>
      </c>
      <c r="AL575" s="376" t="str">
        <f>CS_PID!AL575/VLOOKUP($B575,표2[#ALL],2)/HLOOKUP($A575,표1[#ALL],row(),false)</f>
        <v>#N/A</v>
      </c>
      <c r="AM575" s="376" t="str">
        <f>CS_PID!AM575/VLOOKUP($B575,표2[#ALL],2)/HLOOKUP($A575,표1[#ALL],row(),false)</f>
        <v>#N/A</v>
      </c>
      <c r="AN575" s="376" t="str">
        <f>CS_PID!AN575/VLOOKUP($B575,표2[#ALL],2)/HLOOKUP($A575,표1[#ALL],row(),false)</f>
        <v>#N/A</v>
      </c>
      <c r="AO575" s="376" t="str">
        <f>CS_PID!AO575/VLOOKUP($B575,표2[#ALL],2)/HLOOKUP($A575,표1[#ALL],row(),false)</f>
        <v>#N/A</v>
      </c>
      <c r="AP575" s="376" t="str">
        <f>CS_PID!AP575/VLOOKUP($B575,표2[#ALL],2)/HLOOKUP($A575,표1[#ALL],row(),false)</f>
        <v>#N/A</v>
      </c>
      <c r="AQ575" s="376" t="str">
        <f>CS_PID!AQ575/VLOOKUP($B575,표2[#ALL],2)/HLOOKUP($A575,표1[#ALL],row(),false)</f>
        <v>#N/A</v>
      </c>
      <c r="AR575" s="376" t="str">
        <f>CS_PID!AR575/VLOOKUP($B575,표2[#ALL],2)/HLOOKUP($A575,표1[#ALL],row(),false)</f>
        <v>#N/A</v>
      </c>
      <c r="AS575" s="377" t="str">
        <f>CS_PID!AS575/VLOOKUP($B575,표2[#ALL],2)/HLOOKUP($A575,표1[#ALL],row(),false)</f>
        <v>#N/A</v>
      </c>
    </row>
    <row r="576">
      <c r="A576" s="370"/>
      <c r="B576" s="371"/>
      <c r="C576" s="372" t="str">
        <f>CS_PID!C576/VLOOKUP($B576,표2[#ALL],2)</f>
        <v>#N/A</v>
      </c>
      <c r="D576" s="372" t="str">
        <f>CS_PID!D576/VLOOKUP($B576,표2[#ALL],2)</f>
        <v>#N/A</v>
      </c>
      <c r="E576" s="372" t="str">
        <f>CS_PID!E576/VLOOKUP($B576,표2[#ALL],2)</f>
        <v>#N/A</v>
      </c>
      <c r="F576" s="372" t="str">
        <f>CS_PID!F576/VLOOKUP($B576,표2[#ALL],2)</f>
        <v>#N/A</v>
      </c>
      <c r="G576" s="372" t="str">
        <f>CS_PID!G576/VLOOKUP($B576,표2[#ALL],2)</f>
        <v>#N/A</v>
      </c>
      <c r="H576" s="372" t="str">
        <f>CS_PID!H576/VLOOKUP($B576,표2[#ALL],2)/HLOOKUP($A576,표1[#ALL],row(),false)</f>
        <v>#N/A</v>
      </c>
      <c r="I576" s="372" t="str">
        <f>CS_PID!I576/VLOOKUP($B576,표2[#ALL],2)/HLOOKUP($A576,표1[#ALL],row(),false)</f>
        <v>#N/A</v>
      </c>
      <c r="J576" s="372" t="str">
        <f>CS_PID!J576/VLOOKUP($B576,표2[#ALL],2)/HLOOKUP($A576,표1[#ALL],row(),false)</f>
        <v>#N/A</v>
      </c>
      <c r="K576" s="372" t="str">
        <f>CS_PID!K576/VLOOKUP($B576,표2[#ALL],2)/HLOOKUP($A576,표1[#ALL],row(),false)</f>
        <v>#N/A</v>
      </c>
      <c r="L576" s="372" t="str">
        <f>CS_PID!L576/VLOOKUP($B576,표2[#ALL],2)/HLOOKUP($A576,표1[#ALL],row(),false)</f>
        <v>#N/A</v>
      </c>
      <c r="M576" s="372" t="str">
        <f>CS_PID!M576/VLOOKUP($B576,표2[#ALL],2)/HLOOKUP($A576,표1[#ALL],row(),false)</f>
        <v>#N/A</v>
      </c>
      <c r="N576" s="372" t="str">
        <f>CS_PID!N576/VLOOKUP($B576,표2[#ALL],2)/HLOOKUP($A576,표1[#ALL],row(),false)</f>
        <v>#N/A</v>
      </c>
      <c r="O576" s="372" t="str">
        <f>CS_PID!O576/VLOOKUP($B576,표2[#ALL],2)/HLOOKUP($A576,표1[#ALL],row(),false)</f>
        <v>#N/A</v>
      </c>
      <c r="P576" s="372" t="str">
        <f>CS_PID!P576/VLOOKUP($B576,표2[#ALL],2)/HLOOKUP($A576,표1[#ALL],row(),false)</f>
        <v>#N/A</v>
      </c>
      <c r="Q576" s="372" t="str">
        <f>CS_PID!Q576/VLOOKUP($B576,표2[#ALL],2)/HLOOKUP($A576,표1[#ALL],row(),false)</f>
        <v>#N/A</v>
      </c>
      <c r="R576" s="372" t="str">
        <f>CS_PID!R576/VLOOKUP($B576,표2[#ALL],2)/HLOOKUP($A576,표1[#ALL],row(),false)</f>
        <v>#N/A</v>
      </c>
      <c r="S576" s="372" t="str">
        <f>CS_PID!S576/VLOOKUP($B576,표2[#ALL],2)/HLOOKUP($A576,표1[#ALL],row(),false)</f>
        <v>#N/A</v>
      </c>
      <c r="T576" s="372" t="str">
        <f>CS_PID!T576/VLOOKUP($B576,표2[#ALL],2)/HLOOKUP($A576,표1[#ALL],row(),false)</f>
        <v>#N/A</v>
      </c>
      <c r="U576" s="372" t="str">
        <f>CS_PID!U576/VLOOKUP($B576,표2[#ALL],2)/HLOOKUP($A576,표1[#ALL],row(),false)</f>
        <v>#N/A</v>
      </c>
      <c r="V576" s="372" t="str">
        <f>CS_PID!V576/VLOOKUP($B576,표2[#ALL],2)/HLOOKUP($A576,표1[#ALL],row(),false)</f>
        <v>#N/A</v>
      </c>
      <c r="W576" s="372" t="str">
        <f>CS_PID!W576/VLOOKUP($B576,표2[#ALL],2)/HLOOKUP($A576,표1[#ALL],row(),false)</f>
        <v>#N/A</v>
      </c>
      <c r="X576" s="372" t="str">
        <f>CS_PID!X576/VLOOKUP($B576,표2[#ALL],2)/HLOOKUP($A576,표1[#ALL],row(),false)</f>
        <v>#N/A</v>
      </c>
      <c r="Y576" s="372" t="str">
        <f>CS_PID!Y576/VLOOKUP($B576,표2[#ALL],2)/HLOOKUP($A576,표1[#ALL],row(),false)</f>
        <v>#N/A</v>
      </c>
      <c r="Z576" s="372" t="str">
        <f>CS_PID!Z576/VLOOKUP($B576,표2[#ALL],2)/HLOOKUP($A576,표1[#ALL],row(),false)</f>
        <v>#N/A</v>
      </c>
      <c r="AA576" s="372" t="str">
        <f>CS_PID!AA576/VLOOKUP($B576,표2[#ALL],2)/HLOOKUP($A576,표1[#ALL],row(),false)</f>
        <v>#N/A</v>
      </c>
      <c r="AB576" s="372" t="str">
        <f>CS_PID!AB576/VLOOKUP($B576,표2[#ALL],2)/HLOOKUP($A576,표1[#ALL],row(),false)</f>
        <v>#N/A</v>
      </c>
      <c r="AC576" s="372" t="str">
        <f>CS_PID!AC576/VLOOKUP($B576,표2[#ALL],2)/HLOOKUP($A576,표1[#ALL],row(),false)</f>
        <v>#N/A</v>
      </c>
      <c r="AD576" s="372" t="str">
        <f>CS_PID!AD576/VLOOKUP($B576,표2[#ALL],2)/HLOOKUP($A576,표1[#ALL],row(),false)</f>
        <v>#N/A</v>
      </c>
      <c r="AE576" s="372" t="str">
        <f>CS_PID!AE576/VLOOKUP($B576,표2[#ALL],2)/HLOOKUP($A576,표1[#ALL],row(),false)</f>
        <v>#N/A</v>
      </c>
      <c r="AF576" s="372" t="str">
        <f>CS_PID!AF576/VLOOKUP($B576,표2[#ALL],2)/HLOOKUP($A576,표1[#ALL],row(),false)</f>
        <v>#N/A</v>
      </c>
      <c r="AG576" s="372" t="str">
        <f>CS_PID!AG576/VLOOKUP($B576,표2[#ALL],2)/HLOOKUP($A576,표1[#ALL],row(),false)</f>
        <v>#N/A</v>
      </c>
      <c r="AH576" s="372" t="str">
        <f>CS_PID!AH576/VLOOKUP($B576,표2[#ALL],2)/HLOOKUP($A576,표1[#ALL],row(),false)</f>
        <v>#N/A</v>
      </c>
      <c r="AI576" s="372" t="str">
        <f>CS_PID!AI576/VLOOKUP($B576,표2[#ALL],2)/HLOOKUP($A576,표1[#ALL],row(),false)</f>
        <v>#N/A</v>
      </c>
      <c r="AJ576" s="372" t="str">
        <f>CS_PID!AJ576/VLOOKUP($B576,표2[#ALL],2)/HLOOKUP($A576,표1[#ALL],row(),false)</f>
        <v>#N/A</v>
      </c>
      <c r="AK576" s="372" t="str">
        <f>CS_PID!AK576/VLOOKUP($B576,표2[#ALL],2)/HLOOKUP($A576,표1[#ALL],row(),false)</f>
        <v>#N/A</v>
      </c>
      <c r="AL576" s="372" t="str">
        <f>CS_PID!AL576/VLOOKUP($B576,표2[#ALL],2)/HLOOKUP($A576,표1[#ALL],row(),false)</f>
        <v>#N/A</v>
      </c>
      <c r="AM576" s="372" t="str">
        <f>CS_PID!AM576/VLOOKUP($B576,표2[#ALL],2)/HLOOKUP($A576,표1[#ALL],row(),false)</f>
        <v>#N/A</v>
      </c>
      <c r="AN576" s="372" t="str">
        <f>CS_PID!AN576/VLOOKUP($B576,표2[#ALL],2)/HLOOKUP($A576,표1[#ALL],row(),false)</f>
        <v>#N/A</v>
      </c>
      <c r="AO576" s="372" t="str">
        <f>CS_PID!AO576/VLOOKUP($B576,표2[#ALL],2)/HLOOKUP($A576,표1[#ALL],row(),false)</f>
        <v>#N/A</v>
      </c>
      <c r="AP576" s="372" t="str">
        <f>CS_PID!AP576/VLOOKUP($B576,표2[#ALL],2)/HLOOKUP($A576,표1[#ALL],row(),false)</f>
        <v>#N/A</v>
      </c>
      <c r="AQ576" s="372" t="str">
        <f>CS_PID!AQ576/VLOOKUP($B576,표2[#ALL],2)/HLOOKUP($A576,표1[#ALL],row(),false)</f>
        <v>#N/A</v>
      </c>
      <c r="AR576" s="372" t="str">
        <f>CS_PID!AR576/VLOOKUP($B576,표2[#ALL],2)/HLOOKUP($A576,표1[#ALL],row(),false)</f>
        <v>#N/A</v>
      </c>
      <c r="AS576" s="373" t="str">
        <f>CS_PID!AS576/VLOOKUP($B576,표2[#ALL],2)/HLOOKUP($A576,표1[#ALL],row(),false)</f>
        <v>#N/A</v>
      </c>
    </row>
    <row r="577">
      <c r="A577" s="374"/>
      <c r="B577" s="375"/>
      <c r="C577" s="376" t="str">
        <f>CS_PID!C577/VLOOKUP($B577,표2[#ALL],2)</f>
        <v>#N/A</v>
      </c>
      <c r="D577" s="376" t="str">
        <f>CS_PID!D577/VLOOKUP($B577,표2[#ALL],2)</f>
        <v>#N/A</v>
      </c>
      <c r="E577" s="376" t="str">
        <f>CS_PID!E577/VLOOKUP($B577,표2[#ALL],2)</f>
        <v>#N/A</v>
      </c>
      <c r="F577" s="376" t="str">
        <f>CS_PID!F577/VLOOKUP($B577,표2[#ALL],2)</f>
        <v>#N/A</v>
      </c>
      <c r="G577" s="376" t="str">
        <f>CS_PID!G577/VLOOKUP($B577,표2[#ALL],2)</f>
        <v>#N/A</v>
      </c>
      <c r="H577" s="376" t="str">
        <f>CS_PID!H577/VLOOKUP($B577,표2[#ALL],2)/HLOOKUP($A577,표1[#ALL],row(),false)</f>
        <v>#N/A</v>
      </c>
      <c r="I577" s="376" t="str">
        <f>CS_PID!I577/VLOOKUP($B577,표2[#ALL],2)/HLOOKUP($A577,표1[#ALL],row(),false)</f>
        <v>#N/A</v>
      </c>
      <c r="J577" s="376" t="str">
        <f>CS_PID!J577/VLOOKUP($B577,표2[#ALL],2)/HLOOKUP($A577,표1[#ALL],row(),false)</f>
        <v>#N/A</v>
      </c>
      <c r="K577" s="376" t="str">
        <f>CS_PID!K577/VLOOKUP($B577,표2[#ALL],2)/HLOOKUP($A577,표1[#ALL],row(),false)</f>
        <v>#N/A</v>
      </c>
      <c r="L577" s="376" t="str">
        <f>CS_PID!L577/VLOOKUP($B577,표2[#ALL],2)/HLOOKUP($A577,표1[#ALL],row(),false)</f>
        <v>#N/A</v>
      </c>
      <c r="M577" s="376" t="str">
        <f>CS_PID!M577/VLOOKUP($B577,표2[#ALL],2)/HLOOKUP($A577,표1[#ALL],row(),false)</f>
        <v>#N/A</v>
      </c>
      <c r="N577" s="376" t="str">
        <f>CS_PID!N577/VLOOKUP($B577,표2[#ALL],2)/HLOOKUP($A577,표1[#ALL],row(),false)</f>
        <v>#N/A</v>
      </c>
      <c r="O577" s="376" t="str">
        <f>CS_PID!O577/VLOOKUP($B577,표2[#ALL],2)/HLOOKUP($A577,표1[#ALL],row(),false)</f>
        <v>#N/A</v>
      </c>
      <c r="P577" s="376" t="str">
        <f>CS_PID!P577/VLOOKUP($B577,표2[#ALL],2)/HLOOKUP($A577,표1[#ALL],row(),false)</f>
        <v>#N/A</v>
      </c>
      <c r="Q577" s="376" t="str">
        <f>CS_PID!Q577/VLOOKUP($B577,표2[#ALL],2)/HLOOKUP($A577,표1[#ALL],row(),false)</f>
        <v>#N/A</v>
      </c>
      <c r="R577" s="376" t="str">
        <f>CS_PID!R577/VLOOKUP($B577,표2[#ALL],2)/HLOOKUP($A577,표1[#ALL],row(),false)</f>
        <v>#N/A</v>
      </c>
      <c r="S577" s="376" t="str">
        <f>CS_PID!S577/VLOOKUP($B577,표2[#ALL],2)/HLOOKUP($A577,표1[#ALL],row(),false)</f>
        <v>#N/A</v>
      </c>
      <c r="T577" s="376" t="str">
        <f>CS_PID!T577/VLOOKUP($B577,표2[#ALL],2)/HLOOKUP($A577,표1[#ALL],row(),false)</f>
        <v>#N/A</v>
      </c>
      <c r="U577" s="376" t="str">
        <f>CS_PID!U577/VLOOKUP($B577,표2[#ALL],2)/HLOOKUP($A577,표1[#ALL],row(),false)</f>
        <v>#N/A</v>
      </c>
      <c r="V577" s="376" t="str">
        <f>CS_PID!V577/VLOOKUP($B577,표2[#ALL],2)/HLOOKUP($A577,표1[#ALL],row(),false)</f>
        <v>#N/A</v>
      </c>
      <c r="W577" s="376" t="str">
        <f>CS_PID!W577/VLOOKUP($B577,표2[#ALL],2)/HLOOKUP($A577,표1[#ALL],row(),false)</f>
        <v>#N/A</v>
      </c>
      <c r="X577" s="376" t="str">
        <f>CS_PID!X577/VLOOKUP($B577,표2[#ALL],2)/HLOOKUP($A577,표1[#ALL],row(),false)</f>
        <v>#N/A</v>
      </c>
      <c r="Y577" s="376" t="str">
        <f>CS_PID!Y577/VLOOKUP($B577,표2[#ALL],2)/HLOOKUP($A577,표1[#ALL],row(),false)</f>
        <v>#N/A</v>
      </c>
      <c r="Z577" s="376" t="str">
        <f>CS_PID!Z577/VLOOKUP($B577,표2[#ALL],2)/HLOOKUP($A577,표1[#ALL],row(),false)</f>
        <v>#N/A</v>
      </c>
      <c r="AA577" s="376" t="str">
        <f>CS_PID!AA577/VLOOKUP($B577,표2[#ALL],2)/HLOOKUP($A577,표1[#ALL],row(),false)</f>
        <v>#N/A</v>
      </c>
      <c r="AB577" s="376" t="str">
        <f>CS_PID!AB577/VLOOKUP($B577,표2[#ALL],2)/HLOOKUP($A577,표1[#ALL],row(),false)</f>
        <v>#N/A</v>
      </c>
      <c r="AC577" s="376" t="str">
        <f>CS_PID!AC577/VLOOKUP($B577,표2[#ALL],2)/HLOOKUP($A577,표1[#ALL],row(),false)</f>
        <v>#N/A</v>
      </c>
      <c r="AD577" s="376" t="str">
        <f>CS_PID!AD577/VLOOKUP($B577,표2[#ALL],2)/HLOOKUP($A577,표1[#ALL],row(),false)</f>
        <v>#N/A</v>
      </c>
      <c r="AE577" s="376" t="str">
        <f>CS_PID!AE577/VLOOKUP($B577,표2[#ALL],2)/HLOOKUP($A577,표1[#ALL],row(),false)</f>
        <v>#N/A</v>
      </c>
      <c r="AF577" s="376" t="str">
        <f>CS_PID!AF577/VLOOKUP($B577,표2[#ALL],2)/HLOOKUP($A577,표1[#ALL],row(),false)</f>
        <v>#N/A</v>
      </c>
      <c r="AG577" s="376" t="str">
        <f>CS_PID!AG577/VLOOKUP($B577,표2[#ALL],2)/HLOOKUP($A577,표1[#ALL],row(),false)</f>
        <v>#N/A</v>
      </c>
      <c r="AH577" s="376" t="str">
        <f>CS_PID!AH577/VLOOKUP($B577,표2[#ALL],2)/HLOOKUP($A577,표1[#ALL],row(),false)</f>
        <v>#N/A</v>
      </c>
      <c r="AI577" s="376" t="str">
        <f>CS_PID!AI577/VLOOKUP($B577,표2[#ALL],2)/HLOOKUP($A577,표1[#ALL],row(),false)</f>
        <v>#N/A</v>
      </c>
      <c r="AJ577" s="376" t="str">
        <f>CS_PID!AJ577/VLOOKUP($B577,표2[#ALL],2)/HLOOKUP($A577,표1[#ALL],row(),false)</f>
        <v>#N/A</v>
      </c>
      <c r="AK577" s="376" t="str">
        <f>CS_PID!AK577/VLOOKUP($B577,표2[#ALL],2)/HLOOKUP($A577,표1[#ALL],row(),false)</f>
        <v>#N/A</v>
      </c>
      <c r="AL577" s="376" t="str">
        <f>CS_PID!AL577/VLOOKUP($B577,표2[#ALL],2)/HLOOKUP($A577,표1[#ALL],row(),false)</f>
        <v>#N/A</v>
      </c>
      <c r="AM577" s="376" t="str">
        <f>CS_PID!AM577/VLOOKUP($B577,표2[#ALL],2)/HLOOKUP($A577,표1[#ALL],row(),false)</f>
        <v>#N/A</v>
      </c>
      <c r="AN577" s="376" t="str">
        <f>CS_PID!AN577/VLOOKUP($B577,표2[#ALL],2)/HLOOKUP($A577,표1[#ALL],row(),false)</f>
        <v>#N/A</v>
      </c>
      <c r="AO577" s="376" t="str">
        <f>CS_PID!AO577/VLOOKUP($B577,표2[#ALL],2)/HLOOKUP($A577,표1[#ALL],row(),false)</f>
        <v>#N/A</v>
      </c>
      <c r="AP577" s="376" t="str">
        <f>CS_PID!AP577/VLOOKUP($B577,표2[#ALL],2)/HLOOKUP($A577,표1[#ALL],row(),false)</f>
        <v>#N/A</v>
      </c>
      <c r="AQ577" s="376" t="str">
        <f>CS_PID!AQ577/VLOOKUP($B577,표2[#ALL],2)/HLOOKUP($A577,표1[#ALL],row(),false)</f>
        <v>#N/A</v>
      </c>
      <c r="AR577" s="376" t="str">
        <f>CS_PID!AR577/VLOOKUP($B577,표2[#ALL],2)/HLOOKUP($A577,표1[#ALL],row(),false)</f>
        <v>#N/A</v>
      </c>
      <c r="AS577" s="377" t="str">
        <f>CS_PID!AS577/VLOOKUP($B577,표2[#ALL],2)/HLOOKUP($A577,표1[#ALL],row(),false)</f>
        <v>#N/A</v>
      </c>
    </row>
    <row r="578">
      <c r="A578" s="370"/>
      <c r="B578" s="371"/>
      <c r="C578" s="372" t="str">
        <f>CS_PID!C578/VLOOKUP($B578,표2[#ALL],2)</f>
        <v>#N/A</v>
      </c>
      <c r="D578" s="372" t="str">
        <f>CS_PID!D578/VLOOKUP($B578,표2[#ALL],2)</f>
        <v>#N/A</v>
      </c>
      <c r="E578" s="372" t="str">
        <f>CS_PID!E578/VLOOKUP($B578,표2[#ALL],2)</f>
        <v>#N/A</v>
      </c>
      <c r="F578" s="372" t="str">
        <f>CS_PID!F578/VLOOKUP($B578,표2[#ALL],2)</f>
        <v>#N/A</v>
      </c>
      <c r="G578" s="372" t="str">
        <f>CS_PID!G578/VLOOKUP($B578,표2[#ALL],2)</f>
        <v>#N/A</v>
      </c>
      <c r="H578" s="372" t="str">
        <f>CS_PID!H578/VLOOKUP($B578,표2[#ALL],2)/HLOOKUP($A578,표1[#ALL],row(),false)</f>
        <v>#N/A</v>
      </c>
      <c r="I578" s="372" t="str">
        <f>CS_PID!I578/VLOOKUP($B578,표2[#ALL],2)/HLOOKUP($A578,표1[#ALL],row(),false)</f>
        <v>#N/A</v>
      </c>
      <c r="J578" s="372" t="str">
        <f>CS_PID!J578/VLOOKUP($B578,표2[#ALL],2)/HLOOKUP($A578,표1[#ALL],row(),false)</f>
        <v>#N/A</v>
      </c>
      <c r="K578" s="372" t="str">
        <f>CS_PID!K578/VLOOKUP($B578,표2[#ALL],2)/HLOOKUP($A578,표1[#ALL],row(),false)</f>
        <v>#N/A</v>
      </c>
      <c r="L578" s="372" t="str">
        <f>CS_PID!L578/VLOOKUP($B578,표2[#ALL],2)/HLOOKUP($A578,표1[#ALL],row(),false)</f>
        <v>#N/A</v>
      </c>
      <c r="M578" s="372" t="str">
        <f>CS_PID!M578/VLOOKUP($B578,표2[#ALL],2)/HLOOKUP($A578,표1[#ALL],row(),false)</f>
        <v>#N/A</v>
      </c>
      <c r="N578" s="372" t="str">
        <f>CS_PID!N578/VLOOKUP($B578,표2[#ALL],2)/HLOOKUP($A578,표1[#ALL],row(),false)</f>
        <v>#N/A</v>
      </c>
      <c r="O578" s="372" t="str">
        <f>CS_PID!O578/VLOOKUP($B578,표2[#ALL],2)/HLOOKUP($A578,표1[#ALL],row(),false)</f>
        <v>#N/A</v>
      </c>
      <c r="P578" s="372" t="str">
        <f>CS_PID!P578/VLOOKUP($B578,표2[#ALL],2)/HLOOKUP($A578,표1[#ALL],row(),false)</f>
        <v>#N/A</v>
      </c>
      <c r="Q578" s="372" t="str">
        <f>CS_PID!Q578/VLOOKUP($B578,표2[#ALL],2)/HLOOKUP($A578,표1[#ALL],row(),false)</f>
        <v>#N/A</v>
      </c>
      <c r="R578" s="372" t="str">
        <f>CS_PID!R578/VLOOKUP($B578,표2[#ALL],2)/HLOOKUP($A578,표1[#ALL],row(),false)</f>
        <v>#N/A</v>
      </c>
      <c r="S578" s="372" t="str">
        <f>CS_PID!S578/VLOOKUP($B578,표2[#ALL],2)/HLOOKUP($A578,표1[#ALL],row(),false)</f>
        <v>#N/A</v>
      </c>
      <c r="T578" s="372" t="str">
        <f>CS_PID!T578/VLOOKUP($B578,표2[#ALL],2)/HLOOKUP($A578,표1[#ALL],row(),false)</f>
        <v>#N/A</v>
      </c>
      <c r="U578" s="372" t="str">
        <f>CS_PID!U578/VLOOKUP($B578,표2[#ALL],2)/HLOOKUP($A578,표1[#ALL],row(),false)</f>
        <v>#N/A</v>
      </c>
      <c r="V578" s="372" t="str">
        <f>CS_PID!V578/VLOOKUP($B578,표2[#ALL],2)/HLOOKUP($A578,표1[#ALL],row(),false)</f>
        <v>#N/A</v>
      </c>
      <c r="W578" s="372" t="str">
        <f>CS_PID!W578/VLOOKUP($B578,표2[#ALL],2)/HLOOKUP($A578,표1[#ALL],row(),false)</f>
        <v>#N/A</v>
      </c>
      <c r="X578" s="372" t="str">
        <f>CS_PID!X578/VLOOKUP($B578,표2[#ALL],2)/HLOOKUP($A578,표1[#ALL],row(),false)</f>
        <v>#N/A</v>
      </c>
      <c r="Y578" s="372" t="str">
        <f>CS_PID!Y578/VLOOKUP($B578,표2[#ALL],2)/HLOOKUP($A578,표1[#ALL],row(),false)</f>
        <v>#N/A</v>
      </c>
      <c r="Z578" s="372" t="str">
        <f>CS_PID!Z578/VLOOKUP($B578,표2[#ALL],2)/HLOOKUP($A578,표1[#ALL],row(),false)</f>
        <v>#N/A</v>
      </c>
      <c r="AA578" s="372" t="str">
        <f>CS_PID!AA578/VLOOKUP($B578,표2[#ALL],2)/HLOOKUP($A578,표1[#ALL],row(),false)</f>
        <v>#N/A</v>
      </c>
      <c r="AB578" s="372" t="str">
        <f>CS_PID!AB578/VLOOKUP($B578,표2[#ALL],2)/HLOOKUP($A578,표1[#ALL],row(),false)</f>
        <v>#N/A</v>
      </c>
      <c r="AC578" s="372" t="str">
        <f>CS_PID!AC578/VLOOKUP($B578,표2[#ALL],2)/HLOOKUP($A578,표1[#ALL],row(),false)</f>
        <v>#N/A</v>
      </c>
      <c r="AD578" s="372" t="str">
        <f>CS_PID!AD578/VLOOKUP($B578,표2[#ALL],2)/HLOOKUP($A578,표1[#ALL],row(),false)</f>
        <v>#N/A</v>
      </c>
      <c r="AE578" s="372" t="str">
        <f>CS_PID!AE578/VLOOKUP($B578,표2[#ALL],2)/HLOOKUP($A578,표1[#ALL],row(),false)</f>
        <v>#N/A</v>
      </c>
      <c r="AF578" s="372" t="str">
        <f>CS_PID!AF578/VLOOKUP($B578,표2[#ALL],2)/HLOOKUP($A578,표1[#ALL],row(),false)</f>
        <v>#N/A</v>
      </c>
      <c r="AG578" s="372" t="str">
        <f>CS_PID!AG578/VLOOKUP($B578,표2[#ALL],2)/HLOOKUP($A578,표1[#ALL],row(),false)</f>
        <v>#N/A</v>
      </c>
      <c r="AH578" s="372" t="str">
        <f>CS_PID!AH578/VLOOKUP($B578,표2[#ALL],2)/HLOOKUP($A578,표1[#ALL],row(),false)</f>
        <v>#N/A</v>
      </c>
      <c r="AI578" s="372" t="str">
        <f>CS_PID!AI578/VLOOKUP($B578,표2[#ALL],2)/HLOOKUP($A578,표1[#ALL],row(),false)</f>
        <v>#N/A</v>
      </c>
      <c r="AJ578" s="372" t="str">
        <f>CS_PID!AJ578/VLOOKUP($B578,표2[#ALL],2)/HLOOKUP($A578,표1[#ALL],row(),false)</f>
        <v>#N/A</v>
      </c>
      <c r="AK578" s="372" t="str">
        <f>CS_PID!AK578/VLOOKUP($B578,표2[#ALL],2)/HLOOKUP($A578,표1[#ALL],row(),false)</f>
        <v>#N/A</v>
      </c>
      <c r="AL578" s="372" t="str">
        <f>CS_PID!AL578/VLOOKUP($B578,표2[#ALL],2)/HLOOKUP($A578,표1[#ALL],row(),false)</f>
        <v>#N/A</v>
      </c>
      <c r="AM578" s="372" t="str">
        <f>CS_PID!AM578/VLOOKUP($B578,표2[#ALL],2)/HLOOKUP($A578,표1[#ALL],row(),false)</f>
        <v>#N/A</v>
      </c>
      <c r="AN578" s="372" t="str">
        <f>CS_PID!AN578/VLOOKUP($B578,표2[#ALL],2)/HLOOKUP($A578,표1[#ALL],row(),false)</f>
        <v>#N/A</v>
      </c>
      <c r="AO578" s="372" t="str">
        <f>CS_PID!AO578/VLOOKUP($B578,표2[#ALL],2)/HLOOKUP($A578,표1[#ALL],row(),false)</f>
        <v>#N/A</v>
      </c>
      <c r="AP578" s="372" t="str">
        <f>CS_PID!AP578/VLOOKUP($B578,표2[#ALL],2)/HLOOKUP($A578,표1[#ALL],row(),false)</f>
        <v>#N/A</v>
      </c>
      <c r="AQ578" s="372" t="str">
        <f>CS_PID!AQ578/VLOOKUP($B578,표2[#ALL],2)/HLOOKUP($A578,표1[#ALL],row(),false)</f>
        <v>#N/A</v>
      </c>
      <c r="AR578" s="372" t="str">
        <f>CS_PID!AR578/VLOOKUP($B578,표2[#ALL],2)/HLOOKUP($A578,표1[#ALL],row(),false)</f>
        <v>#N/A</v>
      </c>
      <c r="AS578" s="373" t="str">
        <f>CS_PID!AS578/VLOOKUP($B578,표2[#ALL],2)/HLOOKUP($A578,표1[#ALL],row(),false)</f>
        <v>#N/A</v>
      </c>
    </row>
    <row r="579">
      <c r="A579" s="374"/>
      <c r="B579" s="375"/>
      <c r="C579" s="376" t="str">
        <f>CS_PID!C579/VLOOKUP($B579,표2[#ALL],2)</f>
        <v>#N/A</v>
      </c>
      <c r="D579" s="376" t="str">
        <f>CS_PID!D579/VLOOKUP($B579,표2[#ALL],2)</f>
        <v>#N/A</v>
      </c>
      <c r="E579" s="376" t="str">
        <f>CS_PID!E579/VLOOKUP($B579,표2[#ALL],2)</f>
        <v>#N/A</v>
      </c>
      <c r="F579" s="376" t="str">
        <f>CS_PID!F579/VLOOKUP($B579,표2[#ALL],2)</f>
        <v>#N/A</v>
      </c>
      <c r="G579" s="376" t="str">
        <f>CS_PID!G579/VLOOKUP($B579,표2[#ALL],2)</f>
        <v>#N/A</v>
      </c>
      <c r="H579" s="376" t="str">
        <f>CS_PID!H579/VLOOKUP($B579,표2[#ALL],2)/HLOOKUP($A579,표1[#ALL],row(),false)</f>
        <v>#N/A</v>
      </c>
      <c r="I579" s="376" t="str">
        <f>CS_PID!I579/VLOOKUP($B579,표2[#ALL],2)/HLOOKUP($A579,표1[#ALL],row(),false)</f>
        <v>#N/A</v>
      </c>
      <c r="J579" s="376" t="str">
        <f>CS_PID!J579/VLOOKUP($B579,표2[#ALL],2)/HLOOKUP($A579,표1[#ALL],row(),false)</f>
        <v>#N/A</v>
      </c>
      <c r="K579" s="376" t="str">
        <f>CS_PID!K579/VLOOKUP($B579,표2[#ALL],2)/HLOOKUP($A579,표1[#ALL],row(),false)</f>
        <v>#N/A</v>
      </c>
      <c r="L579" s="376" t="str">
        <f>CS_PID!L579/VLOOKUP($B579,표2[#ALL],2)/HLOOKUP($A579,표1[#ALL],row(),false)</f>
        <v>#N/A</v>
      </c>
      <c r="M579" s="376" t="str">
        <f>CS_PID!M579/VLOOKUP($B579,표2[#ALL],2)/HLOOKUP($A579,표1[#ALL],row(),false)</f>
        <v>#N/A</v>
      </c>
      <c r="N579" s="376" t="str">
        <f>CS_PID!N579/VLOOKUP($B579,표2[#ALL],2)/HLOOKUP($A579,표1[#ALL],row(),false)</f>
        <v>#N/A</v>
      </c>
      <c r="O579" s="376" t="str">
        <f>CS_PID!O579/VLOOKUP($B579,표2[#ALL],2)/HLOOKUP($A579,표1[#ALL],row(),false)</f>
        <v>#N/A</v>
      </c>
      <c r="P579" s="376" t="str">
        <f>CS_PID!P579/VLOOKUP($B579,표2[#ALL],2)/HLOOKUP($A579,표1[#ALL],row(),false)</f>
        <v>#N/A</v>
      </c>
      <c r="Q579" s="376" t="str">
        <f>CS_PID!Q579/VLOOKUP($B579,표2[#ALL],2)/HLOOKUP($A579,표1[#ALL],row(),false)</f>
        <v>#N/A</v>
      </c>
      <c r="R579" s="376" t="str">
        <f>CS_PID!R579/VLOOKUP($B579,표2[#ALL],2)/HLOOKUP($A579,표1[#ALL],row(),false)</f>
        <v>#N/A</v>
      </c>
      <c r="S579" s="376" t="str">
        <f>CS_PID!S579/VLOOKUP($B579,표2[#ALL],2)/HLOOKUP($A579,표1[#ALL],row(),false)</f>
        <v>#N/A</v>
      </c>
      <c r="T579" s="376" t="str">
        <f>CS_PID!T579/VLOOKUP($B579,표2[#ALL],2)/HLOOKUP($A579,표1[#ALL],row(),false)</f>
        <v>#N/A</v>
      </c>
      <c r="U579" s="376" t="str">
        <f>CS_PID!U579/VLOOKUP($B579,표2[#ALL],2)/HLOOKUP($A579,표1[#ALL],row(),false)</f>
        <v>#N/A</v>
      </c>
      <c r="V579" s="376" t="str">
        <f>CS_PID!V579/VLOOKUP($B579,표2[#ALL],2)/HLOOKUP($A579,표1[#ALL],row(),false)</f>
        <v>#N/A</v>
      </c>
      <c r="W579" s="376" t="str">
        <f>CS_PID!W579/VLOOKUP($B579,표2[#ALL],2)/HLOOKUP($A579,표1[#ALL],row(),false)</f>
        <v>#N/A</v>
      </c>
      <c r="X579" s="376" t="str">
        <f>CS_PID!X579/VLOOKUP($B579,표2[#ALL],2)/HLOOKUP($A579,표1[#ALL],row(),false)</f>
        <v>#N/A</v>
      </c>
      <c r="Y579" s="376" t="str">
        <f>CS_PID!Y579/VLOOKUP($B579,표2[#ALL],2)/HLOOKUP($A579,표1[#ALL],row(),false)</f>
        <v>#N/A</v>
      </c>
      <c r="Z579" s="376" t="str">
        <f>CS_PID!Z579/VLOOKUP($B579,표2[#ALL],2)/HLOOKUP($A579,표1[#ALL],row(),false)</f>
        <v>#N/A</v>
      </c>
      <c r="AA579" s="376" t="str">
        <f>CS_PID!AA579/VLOOKUP($B579,표2[#ALL],2)/HLOOKUP($A579,표1[#ALL],row(),false)</f>
        <v>#N/A</v>
      </c>
      <c r="AB579" s="376" t="str">
        <f>CS_PID!AB579/VLOOKUP($B579,표2[#ALL],2)/HLOOKUP($A579,표1[#ALL],row(),false)</f>
        <v>#N/A</v>
      </c>
      <c r="AC579" s="376" t="str">
        <f>CS_PID!AC579/VLOOKUP($B579,표2[#ALL],2)/HLOOKUP($A579,표1[#ALL],row(),false)</f>
        <v>#N/A</v>
      </c>
      <c r="AD579" s="376" t="str">
        <f>CS_PID!AD579/VLOOKUP($B579,표2[#ALL],2)/HLOOKUP($A579,표1[#ALL],row(),false)</f>
        <v>#N/A</v>
      </c>
      <c r="AE579" s="376" t="str">
        <f>CS_PID!AE579/VLOOKUP($B579,표2[#ALL],2)/HLOOKUP($A579,표1[#ALL],row(),false)</f>
        <v>#N/A</v>
      </c>
      <c r="AF579" s="376" t="str">
        <f>CS_PID!AF579/VLOOKUP($B579,표2[#ALL],2)/HLOOKUP($A579,표1[#ALL],row(),false)</f>
        <v>#N/A</v>
      </c>
      <c r="AG579" s="376" t="str">
        <f>CS_PID!AG579/VLOOKUP($B579,표2[#ALL],2)/HLOOKUP($A579,표1[#ALL],row(),false)</f>
        <v>#N/A</v>
      </c>
      <c r="AH579" s="376" t="str">
        <f>CS_PID!AH579/VLOOKUP($B579,표2[#ALL],2)/HLOOKUP($A579,표1[#ALL],row(),false)</f>
        <v>#N/A</v>
      </c>
      <c r="AI579" s="376" t="str">
        <f>CS_PID!AI579/VLOOKUP($B579,표2[#ALL],2)/HLOOKUP($A579,표1[#ALL],row(),false)</f>
        <v>#N/A</v>
      </c>
      <c r="AJ579" s="376" t="str">
        <f>CS_PID!AJ579/VLOOKUP($B579,표2[#ALL],2)/HLOOKUP($A579,표1[#ALL],row(),false)</f>
        <v>#N/A</v>
      </c>
      <c r="AK579" s="376" t="str">
        <f>CS_PID!AK579/VLOOKUP($B579,표2[#ALL],2)/HLOOKUP($A579,표1[#ALL],row(),false)</f>
        <v>#N/A</v>
      </c>
      <c r="AL579" s="376" t="str">
        <f>CS_PID!AL579/VLOOKUP($B579,표2[#ALL],2)/HLOOKUP($A579,표1[#ALL],row(),false)</f>
        <v>#N/A</v>
      </c>
      <c r="AM579" s="376" t="str">
        <f>CS_PID!AM579/VLOOKUP($B579,표2[#ALL],2)/HLOOKUP($A579,표1[#ALL],row(),false)</f>
        <v>#N/A</v>
      </c>
      <c r="AN579" s="376" t="str">
        <f>CS_PID!AN579/VLOOKUP($B579,표2[#ALL],2)/HLOOKUP($A579,표1[#ALL],row(),false)</f>
        <v>#N/A</v>
      </c>
      <c r="AO579" s="376" t="str">
        <f>CS_PID!AO579/VLOOKUP($B579,표2[#ALL],2)/HLOOKUP($A579,표1[#ALL],row(),false)</f>
        <v>#N/A</v>
      </c>
      <c r="AP579" s="376" t="str">
        <f>CS_PID!AP579/VLOOKUP($B579,표2[#ALL],2)/HLOOKUP($A579,표1[#ALL],row(),false)</f>
        <v>#N/A</v>
      </c>
      <c r="AQ579" s="376" t="str">
        <f>CS_PID!AQ579/VLOOKUP($B579,표2[#ALL],2)/HLOOKUP($A579,표1[#ALL],row(),false)</f>
        <v>#N/A</v>
      </c>
      <c r="AR579" s="376" t="str">
        <f>CS_PID!AR579/VLOOKUP($B579,표2[#ALL],2)/HLOOKUP($A579,표1[#ALL],row(),false)</f>
        <v>#N/A</v>
      </c>
      <c r="AS579" s="377" t="str">
        <f>CS_PID!AS579/VLOOKUP($B579,표2[#ALL],2)/HLOOKUP($A579,표1[#ALL],row(),false)</f>
        <v>#N/A</v>
      </c>
    </row>
    <row r="580">
      <c r="A580" s="370"/>
      <c r="B580" s="371"/>
      <c r="C580" s="372" t="str">
        <f>CS_PID!C580/VLOOKUP($B580,표2[#ALL],2)</f>
        <v>#N/A</v>
      </c>
      <c r="D580" s="372" t="str">
        <f>CS_PID!D580/VLOOKUP($B580,표2[#ALL],2)</f>
        <v>#N/A</v>
      </c>
      <c r="E580" s="372" t="str">
        <f>CS_PID!E580/VLOOKUP($B580,표2[#ALL],2)</f>
        <v>#N/A</v>
      </c>
      <c r="F580" s="372" t="str">
        <f>CS_PID!F580/VLOOKUP($B580,표2[#ALL],2)</f>
        <v>#N/A</v>
      </c>
      <c r="G580" s="372" t="str">
        <f>CS_PID!G580/VLOOKUP($B580,표2[#ALL],2)</f>
        <v>#N/A</v>
      </c>
      <c r="H580" s="372" t="str">
        <f>CS_PID!H580/VLOOKUP($B580,표2[#ALL],2)/HLOOKUP($A580,표1[#ALL],row(),false)</f>
        <v>#N/A</v>
      </c>
      <c r="I580" s="372" t="str">
        <f>CS_PID!I580/VLOOKUP($B580,표2[#ALL],2)/HLOOKUP($A580,표1[#ALL],row(),false)</f>
        <v>#N/A</v>
      </c>
      <c r="J580" s="372" t="str">
        <f>CS_PID!J580/VLOOKUP($B580,표2[#ALL],2)/HLOOKUP($A580,표1[#ALL],row(),false)</f>
        <v>#N/A</v>
      </c>
      <c r="K580" s="372" t="str">
        <f>CS_PID!K580/VLOOKUP($B580,표2[#ALL],2)/HLOOKUP($A580,표1[#ALL],row(),false)</f>
        <v>#N/A</v>
      </c>
      <c r="L580" s="372" t="str">
        <f>CS_PID!L580/VLOOKUP($B580,표2[#ALL],2)/HLOOKUP($A580,표1[#ALL],row(),false)</f>
        <v>#N/A</v>
      </c>
      <c r="M580" s="372" t="str">
        <f>CS_PID!M580/VLOOKUP($B580,표2[#ALL],2)/HLOOKUP($A580,표1[#ALL],row(),false)</f>
        <v>#N/A</v>
      </c>
      <c r="N580" s="372" t="str">
        <f>CS_PID!N580/VLOOKUP($B580,표2[#ALL],2)/HLOOKUP($A580,표1[#ALL],row(),false)</f>
        <v>#N/A</v>
      </c>
      <c r="O580" s="372" t="str">
        <f>CS_PID!O580/VLOOKUP($B580,표2[#ALL],2)/HLOOKUP($A580,표1[#ALL],row(),false)</f>
        <v>#N/A</v>
      </c>
      <c r="P580" s="372" t="str">
        <f>CS_PID!P580/VLOOKUP($B580,표2[#ALL],2)/HLOOKUP($A580,표1[#ALL],row(),false)</f>
        <v>#N/A</v>
      </c>
      <c r="Q580" s="372" t="str">
        <f>CS_PID!Q580/VLOOKUP($B580,표2[#ALL],2)/HLOOKUP($A580,표1[#ALL],row(),false)</f>
        <v>#N/A</v>
      </c>
      <c r="R580" s="372" t="str">
        <f>CS_PID!R580/VLOOKUP($B580,표2[#ALL],2)/HLOOKUP($A580,표1[#ALL],row(),false)</f>
        <v>#N/A</v>
      </c>
      <c r="S580" s="372" t="str">
        <f>CS_PID!S580/VLOOKUP($B580,표2[#ALL],2)/HLOOKUP($A580,표1[#ALL],row(),false)</f>
        <v>#N/A</v>
      </c>
      <c r="T580" s="372" t="str">
        <f>CS_PID!T580/VLOOKUP($B580,표2[#ALL],2)/HLOOKUP($A580,표1[#ALL],row(),false)</f>
        <v>#N/A</v>
      </c>
      <c r="U580" s="372" t="str">
        <f>CS_PID!U580/VLOOKUP($B580,표2[#ALL],2)/HLOOKUP($A580,표1[#ALL],row(),false)</f>
        <v>#N/A</v>
      </c>
      <c r="V580" s="372" t="str">
        <f>CS_PID!V580/VLOOKUP($B580,표2[#ALL],2)/HLOOKUP($A580,표1[#ALL],row(),false)</f>
        <v>#N/A</v>
      </c>
      <c r="W580" s="372" t="str">
        <f>CS_PID!W580/VLOOKUP($B580,표2[#ALL],2)/HLOOKUP($A580,표1[#ALL],row(),false)</f>
        <v>#N/A</v>
      </c>
      <c r="X580" s="372" t="str">
        <f>CS_PID!X580/VLOOKUP($B580,표2[#ALL],2)/HLOOKUP($A580,표1[#ALL],row(),false)</f>
        <v>#N/A</v>
      </c>
      <c r="Y580" s="372" t="str">
        <f>CS_PID!Y580/VLOOKUP($B580,표2[#ALL],2)/HLOOKUP($A580,표1[#ALL],row(),false)</f>
        <v>#N/A</v>
      </c>
      <c r="Z580" s="372" t="str">
        <f>CS_PID!Z580/VLOOKUP($B580,표2[#ALL],2)/HLOOKUP($A580,표1[#ALL],row(),false)</f>
        <v>#N/A</v>
      </c>
      <c r="AA580" s="372" t="str">
        <f>CS_PID!AA580/VLOOKUP($B580,표2[#ALL],2)/HLOOKUP($A580,표1[#ALL],row(),false)</f>
        <v>#N/A</v>
      </c>
      <c r="AB580" s="372" t="str">
        <f>CS_PID!AB580/VLOOKUP($B580,표2[#ALL],2)/HLOOKUP($A580,표1[#ALL],row(),false)</f>
        <v>#N/A</v>
      </c>
      <c r="AC580" s="372" t="str">
        <f>CS_PID!AC580/VLOOKUP($B580,표2[#ALL],2)/HLOOKUP($A580,표1[#ALL],row(),false)</f>
        <v>#N/A</v>
      </c>
      <c r="AD580" s="372" t="str">
        <f>CS_PID!AD580/VLOOKUP($B580,표2[#ALL],2)/HLOOKUP($A580,표1[#ALL],row(),false)</f>
        <v>#N/A</v>
      </c>
      <c r="AE580" s="372" t="str">
        <f>CS_PID!AE580/VLOOKUP($B580,표2[#ALL],2)/HLOOKUP($A580,표1[#ALL],row(),false)</f>
        <v>#N/A</v>
      </c>
      <c r="AF580" s="372" t="str">
        <f>CS_PID!AF580/VLOOKUP($B580,표2[#ALL],2)/HLOOKUP($A580,표1[#ALL],row(),false)</f>
        <v>#N/A</v>
      </c>
      <c r="AG580" s="372" t="str">
        <f>CS_PID!AG580/VLOOKUP($B580,표2[#ALL],2)/HLOOKUP($A580,표1[#ALL],row(),false)</f>
        <v>#N/A</v>
      </c>
      <c r="AH580" s="372" t="str">
        <f>CS_PID!AH580/VLOOKUP($B580,표2[#ALL],2)/HLOOKUP($A580,표1[#ALL],row(),false)</f>
        <v>#N/A</v>
      </c>
      <c r="AI580" s="372" t="str">
        <f>CS_PID!AI580/VLOOKUP($B580,표2[#ALL],2)/HLOOKUP($A580,표1[#ALL],row(),false)</f>
        <v>#N/A</v>
      </c>
      <c r="AJ580" s="372" t="str">
        <f>CS_PID!AJ580/VLOOKUP($B580,표2[#ALL],2)/HLOOKUP($A580,표1[#ALL],row(),false)</f>
        <v>#N/A</v>
      </c>
      <c r="AK580" s="372" t="str">
        <f>CS_PID!AK580/VLOOKUP($B580,표2[#ALL],2)/HLOOKUP($A580,표1[#ALL],row(),false)</f>
        <v>#N/A</v>
      </c>
      <c r="AL580" s="372" t="str">
        <f>CS_PID!AL580/VLOOKUP($B580,표2[#ALL],2)/HLOOKUP($A580,표1[#ALL],row(),false)</f>
        <v>#N/A</v>
      </c>
      <c r="AM580" s="372" t="str">
        <f>CS_PID!AM580/VLOOKUP($B580,표2[#ALL],2)/HLOOKUP($A580,표1[#ALL],row(),false)</f>
        <v>#N/A</v>
      </c>
      <c r="AN580" s="372" t="str">
        <f>CS_PID!AN580/VLOOKUP($B580,표2[#ALL],2)/HLOOKUP($A580,표1[#ALL],row(),false)</f>
        <v>#N/A</v>
      </c>
      <c r="AO580" s="372" t="str">
        <f>CS_PID!AO580/VLOOKUP($B580,표2[#ALL],2)/HLOOKUP($A580,표1[#ALL],row(),false)</f>
        <v>#N/A</v>
      </c>
      <c r="AP580" s="372" t="str">
        <f>CS_PID!AP580/VLOOKUP($B580,표2[#ALL],2)/HLOOKUP($A580,표1[#ALL],row(),false)</f>
        <v>#N/A</v>
      </c>
      <c r="AQ580" s="372" t="str">
        <f>CS_PID!AQ580/VLOOKUP($B580,표2[#ALL],2)/HLOOKUP($A580,표1[#ALL],row(),false)</f>
        <v>#N/A</v>
      </c>
      <c r="AR580" s="372" t="str">
        <f>CS_PID!AR580/VLOOKUP($B580,표2[#ALL],2)/HLOOKUP($A580,표1[#ALL],row(),false)</f>
        <v>#N/A</v>
      </c>
      <c r="AS580" s="373" t="str">
        <f>CS_PID!AS580/VLOOKUP($B580,표2[#ALL],2)/HLOOKUP($A580,표1[#ALL],row(),false)</f>
        <v>#N/A</v>
      </c>
    </row>
    <row r="581">
      <c r="A581" s="374"/>
      <c r="B581" s="375"/>
      <c r="C581" s="376" t="str">
        <f>CS_PID!C581/VLOOKUP($B581,표2[#ALL],2)</f>
        <v>#N/A</v>
      </c>
      <c r="D581" s="376" t="str">
        <f>CS_PID!D581/VLOOKUP($B581,표2[#ALL],2)</f>
        <v>#N/A</v>
      </c>
      <c r="E581" s="376" t="str">
        <f>CS_PID!E581/VLOOKUP($B581,표2[#ALL],2)</f>
        <v>#N/A</v>
      </c>
      <c r="F581" s="376" t="str">
        <f>CS_PID!F581/VLOOKUP($B581,표2[#ALL],2)</f>
        <v>#N/A</v>
      </c>
      <c r="G581" s="376" t="str">
        <f>CS_PID!G581/VLOOKUP($B581,표2[#ALL],2)</f>
        <v>#N/A</v>
      </c>
      <c r="H581" s="376" t="str">
        <f>CS_PID!H581/VLOOKUP($B581,표2[#ALL],2)/HLOOKUP($A581,표1[#ALL],row(),false)</f>
        <v>#N/A</v>
      </c>
      <c r="I581" s="376" t="str">
        <f>CS_PID!I581/VLOOKUP($B581,표2[#ALL],2)/HLOOKUP($A581,표1[#ALL],row(),false)</f>
        <v>#N/A</v>
      </c>
      <c r="J581" s="376" t="str">
        <f>CS_PID!J581/VLOOKUP($B581,표2[#ALL],2)/HLOOKUP($A581,표1[#ALL],row(),false)</f>
        <v>#N/A</v>
      </c>
      <c r="K581" s="376" t="str">
        <f>CS_PID!K581/VLOOKUP($B581,표2[#ALL],2)/HLOOKUP($A581,표1[#ALL],row(),false)</f>
        <v>#N/A</v>
      </c>
      <c r="L581" s="376" t="str">
        <f>CS_PID!L581/VLOOKUP($B581,표2[#ALL],2)/HLOOKUP($A581,표1[#ALL],row(),false)</f>
        <v>#N/A</v>
      </c>
      <c r="M581" s="376" t="str">
        <f>CS_PID!M581/VLOOKUP($B581,표2[#ALL],2)/HLOOKUP($A581,표1[#ALL],row(),false)</f>
        <v>#N/A</v>
      </c>
      <c r="N581" s="376" t="str">
        <f>CS_PID!N581/VLOOKUP($B581,표2[#ALL],2)/HLOOKUP($A581,표1[#ALL],row(),false)</f>
        <v>#N/A</v>
      </c>
      <c r="O581" s="376" t="str">
        <f>CS_PID!O581/VLOOKUP($B581,표2[#ALL],2)/HLOOKUP($A581,표1[#ALL],row(),false)</f>
        <v>#N/A</v>
      </c>
      <c r="P581" s="376" t="str">
        <f>CS_PID!P581/VLOOKUP($B581,표2[#ALL],2)/HLOOKUP($A581,표1[#ALL],row(),false)</f>
        <v>#N/A</v>
      </c>
      <c r="Q581" s="376" t="str">
        <f>CS_PID!Q581/VLOOKUP($B581,표2[#ALL],2)/HLOOKUP($A581,표1[#ALL],row(),false)</f>
        <v>#N/A</v>
      </c>
      <c r="R581" s="376" t="str">
        <f>CS_PID!R581/VLOOKUP($B581,표2[#ALL],2)/HLOOKUP($A581,표1[#ALL],row(),false)</f>
        <v>#N/A</v>
      </c>
      <c r="S581" s="376" t="str">
        <f>CS_PID!S581/VLOOKUP($B581,표2[#ALL],2)/HLOOKUP($A581,표1[#ALL],row(),false)</f>
        <v>#N/A</v>
      </c>
      <c r="T581" s="376" t="str">
        <f>CS_PID!T581/VLOOKUP($B581,표2[#ALL],2)/HLOOKUP($A581,표1[#ALL],row(),false)</f>
        <v>#N/A</v>
      </c>
      <c r="U581" s="376" t="str">
        <f>CS_PID!U581/VLOOKUP($B581,표2[#ALL],2)/HLOOKUP($A581,표1[#ALL],row(),false)</f>
        <v>#N/A</v>
      </c>
      <c r="V581" s="376" t="str">
        <f>CS_PID!V581/VLOOKUP($B581,표2[#ALL],2)/HLOOKUP($A581,표1[#ALL],row(),false)</f>
        <v>#N/A</v>
      </c>
      <c r="W581" s="376" t="str">
        <f>CS_PID!W581/VLOOKUP($B581,표2[#ALL],2)/HLOOKUP($A581,표1[#ALL],row(),false)</f>
        <v>#N/A</v>
      </c>
      <c r="X581" s="376" t="str">
        <f>CS_PID!X581/VLOOKUP($B581,표2[#ALL],2)/HLOOKUP($A581,표1[#ALL],row(),false)</f>
        <v>#N/A</v>
      </c>
      <c r="Y581" s="376" t="str">
        <f>CS_PID!Y581/VLOOKUP($B581,표2[#ALL],2)/HLOOKUP($A581,표1[#ALL],row(),false)</f>
        <v>#N/A</v>
      </c>
      <c r="Z581" s="376" t="str">
        <f>CS_PID!Z581/VLOOKUP($B581,표2[#ALL],2)/HLOOKUP($A581,표1[#ALL],row(),false)</f>
        <v>#N/A</v>
      </c>
      <c r="AA581" s="376" t="str">
        <f>CS_PID!AA581/VLOOKUP($B581,표2[#ALL],2)/HLOOKUP($A581,표1[#ALL],row(),false)</f>
        <v>#N/A</v>
      </c>
      <c r="AB581" s="376" t="str">
        <f>CS_PID!AB581/VLOOKUP($B581,표2[#ALL],2)/HLOOKUP($A581,표1[#ALL],row(),false)</f>
        <v>#N/A</v>
      </c>
      <c r="AC581" s="376" t="str">
        <f>CS_PID!AC581/VLOOKUP($B581,표2[#ALL],2)/HLOOKUP($A581,표1[#ALL],row(),false)</f>
        <v>#N/A</v>
      </c>
      <c r="AD581" s="376" t="str">
        <f>CS_PID!AD581/VLOOKUP($B581,표2[#ALL],2)/HLOOKUP($A581,표1[#ALL],row(),false)</f>
        <v>#N/A</v>
      </c>
      <c r="AE581" s="376" t="str">
        <f>CS_PID!AE581/VLOOKUP($B581,표2[#ALL],2)/HLOOKUP($A581,표1[#ALL],row(),false)</f>
        <v>#N/A</v>
      </c>
      <c r="AF581" s="376" t="str">
        <f>CS_PID!AF581/VLOOKUP($B581,표2[#ALL],2)/HLOOKUP($A581,표1[#ALL],row(),false)</f>
        <v>#N/A</v>
      </c>
      <c r="AG581" s="376" t="str">
        <f>CS_PID!AG581/VLOOKUP($B581,표2[#ALL],2)/HLOOKUP($A581,표1[#ALL],row(),false)</f>
        <v>#N/A</v>
      </c>
      <c r="AH581" s="376" t="str">
        <f>CS_PID!AH581/VLOOKUP($B581,표2[#ALL],2)/HLOOKUP($A581,표1[#ALL],row(),false)</f>
        <v>#N/A</v>
      </c>
      <c r="AI581" s="376" t="str">
        <f>CS_PID!AI581/VLOOKUP($B581,표2[#ALL],2)/HLOOKUP($A581,표1[#ALL],row(),false)</f>
        <v>#N/A</v>
      </c>
      <c r="AJ581" s="376" t="str">
        <f>CS_PID!AJ581/VLOOKUP($B581,표2[#ALL],2)/HLOOKUP($A581,표1[#ALL],row(),false)</f>
        <v>#N/A</v>
      </c>
      <c r="AK581" s="376" t="str">
        <f>CS_PID!AK581/VLOOKUP($B581,표2[#ALL],2)/HLOOKUP($A581,표1[#ALL],row(),false)</f>
        <v>#N/A</v>
      </c>
      <c r="AL581" s="376" t="str">
        <f>CS_PID!AL581/VLOOKUP($B581,표2[#ALL],2)/HLOOKUP($A581,표1[#ALL],row(),false)</f>
        <v>#N/A</v>
      </c>
      <c r="AM581" s="376" t="str">
        <f>CS_PID!AM581/VLOOKUP($B581,표2[#ALL],2)/HLOOKUP($A581,표1[#ALL],row(),false)</f>
        <v>#N/A</v>
      </c>
      <c r="AN581" s="376" t="str">
        <f>CS_PID!AN581/VLOOKUP($B581,표2[#ALL],2)/HLOOKUP($A581,표1[#ALL],row(),false)</f>
        <v>#N/A</v>
      </c>
      <c r="AO581" s="376" t="str">
        <f>CS_PID!AO581/VLOOKUP($B581,표2[#ALL],2)/HLOOKUP($A581,표1[#ALL],row(),false)</f>
        <v>#N/A</v>
      </c>
      <c r="AP581" s="376" t="str">
        <f>CS_PID!AP581/VLOOKUP($B581,표2[#ALL],2)/HLOOKUP($A581,표1[#ALL],row(),false)</f>
        <v>#N/A</v>
      </c>
      <c r="AQ581" s="376" t="str">
        <f>CS_PID!AQ581/VLOOKUP($B581,표2[#ALL],2)/HLOOKUP($A581,표1[#ALL],row(),false)</f>
        <v>#N/A</v>
      </c>
      <c r="AR581" s="376" t="str">
        <f>CS_PID!AR581/VLOOKUP($B581,표2[#ALL],2)/HLOOKUP($A581,표1[#ALL],row(),false)</f>
        <v>#N/A</v>
      </c>
      <c r="AS581" s="377" t="str">
        <f>CS_PID!AS581/VLOOKUP($B581,표2[#ALL],2)/HLOOKUP($A581,표1[#ALL],row(),false)</f>
        <v>#N/A</v>
      </c>
    </row>
    <row r="582">
      <c r="A582" s="370"/>
      <c r="B582" s="371"/>
      <c r="C582" s="372" t="str">
        <f>CS_PID!C582/VLOOKUP($B582,표2[#ALL],2)</f>
        <v>#N/A</v>
      </c>
      <c r="D582" s="372" t="str">
        <f>CS_PID!D582/VLOOKUP($B582,표2[#ALL],2)</f>
        <v>#N/A</v>
      </c>
      <c r="E582" s="372" t="str">
        <f>CS_PID!E582/VLOOKUP($B582,표2[#ALL],2)</f>
        <v>#N/A</v>
      </c>
      <c r="F582" s="372" t="str">
        <f>CS_PID!F582/VLOOKUP($B582,표2[#ALL],2)</f>
        <v>#N/A</v>
      </c>
      <c r="G582" s="372" t="str">
        <f>CS_PID!G582/VLOOKUP($B582,표2[#ALL],2)</f>
        <v>#N/A</v>
      </c>
      <c r="H582" s="372" t="str">
        <f>CS_PID!H582/VLOOKUP($B582,표2[#ALL],2)/HLOOKUP($A582,표1[#ALL],row(),false)</f>
        <v>#N/A</v>
      </c>
      <c r="I582" s="372" t="str">
        <f>CS_PID!I582/VLOOKUP($B582,표2[#ALL],2)/HLOOKUP($A582,표1[#ALL],row(),false)</f>
        <v>#N/A</v>
      </c>
      <c r="J582" s="372" t="str">
        <f>CS_PID!J582/VLOOKUP($B582,표2[#ALL],2)/HLOOKUP($A582,표1[#ALL],row(),false)</f>
        <v>#N/A</v>
      </c>
      <c r="K582" s="372" t="str">
        <f>CS_PID!K582/VLOOKUP($B582,표2[#ALL],2)/HLOOKUP($A582,표1[#ALL],row(),false)</f>
        <v>#N/A</v>
      </c>
      <c r="L582" s="372" t="str">
        <f>CS_PID!L582/VLOOKUP($B582,표2[#ALL],2)/HLOOKUP($A582,표1[#ALL],row(),false)</f>
        <v>#N/A</v>
      </c>
      <c r="M582" s="372" t="str">
        <f>CS_PID!M582/VLOOKUP($B582,표2[#ALL],2)/HLOOKUP($A582,표1[#ALL],row(),false)</f>
        <v>#N/A</v>
      </c>
      <c r="N582" s="372" t="str">
        <f>CS_PID!N582/VLOOKUP($B582,표2[#ALL],2)/HLOOKUP($A582,표1[#ALL],row(),false)</f>
        <v>#N/A</v>
      </c>
      <c r="O582" s="372" t="str">
        <f>CS_PID!O582/VLOOKUP($B582,표2[#ALL],2)/HLOOKUP($A582,표1[#ALL],row(),false)</f>
        <v>#N/A</v>
      </c>
      <c r="P582" s="372" t="str">
        <f>CS_PID!P582/VLOOKUP($B582,표2[#ALL],2)/HLOOKUP($A582,표1[#ALL],row(),false)</f>
        <v>#N/A</v>
      </c>
      <c r="Q582" s="372" t="str">
        <f>CS_PID!Q582/VLOOKUP($B582,표2[#ALL],2)/HLOOKUP($A582,표1[#ALL],row(),false)</f>
        <v>#N/A</v>
      </c>
      <c r="R582" s="372" t="str">
        <f>CS_PID!R582/VLOOKUP($B582,표2[#ALL],2)/HLOOKUP($A582,표1[#ALL],row(),false)</f>
        <v>#N/A</v>
      </c>
      <c r="S582" s="372" t="str">
        <f>CS_PID!S582/VLOOKUP($B582,표2[#ALL],2)/HLOOKUP($A582,표1[#ALL],row(),false)</f>
        <v>#N/A</v>
      </c>
      <c r="T582" s="372" t="str">
        <f>CS_PID!T582/VLOOKUP($B582,표2[#ALL],2)/HLOOKUP($A582,표1[#ALL],row(),false)</f>
        <v>#N/A</v>
      </c>
      <c r="U582" s="372" t="str">
        <f>CS_PID!U582/VLOOKUP($B582,표2[#ALL],2)/HLOOKUP($A582,표1[#ALL],row(),false)</f>
        <v>#N/A</v>
      </c>
      <c r="V582" s="372" t="str">
        <f>CS_PID!V582/VLOOKUP($B582,표2[#ALL],2)/HLOOKUP($A582,표1[#ALL],row(),false)</f>
        <v>#N/A</v>
      </c>
      <c r="W582" s="372" t="str">
        <f>CS_PID!W582/VLOOKUP($B582,표2[#ALL],2)/HLOOKUP($A582,표1[#ALL],row(),false)</f>
        <v>#N/A</v>
      </c>
      <c r="X582" s="372" t="str">
        <f>CS_PID!X582/VLOOKUP($B582,표2[#ALL],2)/HLOOKUP($A582,표1[#ALL],row(),false)</f>
        <v>#N/A</v>
      </c>
      <c r="Y582" s="372" t="str">
        <f>CS_PID!Y582/VLOOKUP($B582,표2[#ALL],2)/HLOOKUP($A582,표1[#ALL],row(),false)</f>
        <v>#N/A</v>
      </c>
      <c r="Z582" s="372" t="str">
        <f>CS_PID!Z582/VLOOKUP($B582,표2[#ALL],2)/HLOOKUP($A582,표1[#ALL],row(),false)</f>
        <v>#N/A</v>
      </c>
      <c r="AA582" s="372" t="str">
        <f>CS_PID!AA582/VLOOKUP($B582,표2[#ALL],2)/HLOOKUP($A582,표1[#ALL],row(),false)</f>
        <v>#N/A</v>
      </c>
      <c r="AB582" s="372" t="str">
        <f>CS_PID!AB582/VLOOKUP($B582,표2[#ALL],2)/HLOOKUP($A582,표1[#ALL],row(),false)</f>
        <v>#N/A</v>
      </c>
      <c r="AC582" s="372" t="str">
        <f>CS_PID!AC582/VLOOKUP($B582,표2[#ALL],2)/HLOOKUP($A582,표1[#ALL],row(),false)</f>
        <v>#N/A</v>
      </c>
      <c r="AD582" s="372" t="str">
        <f>CS_PID!AD582/VLOOKUP($B582,표2[#ALL],2)/HLOOKUP($A582,표1[#ALL],row(),false)</f>
        <v>#N/A</v>
      </c>
      <c r="AE582" s="372" t="str">
        <f>CS_PID!AE582/VLOOKUP($B582,표2[#ALL],2)/HLOOKUP($A582,표1[#ALL],row(),false)</f>
        <v>#N/A</v>
      </c>
      <c r="AF582" s="372" t="str">
        <f>CS_PID!AF582/VLOOKUP($B582,표2[#ALL],2)/HLOOKUP($A582,표1[#ALL],row(),false)</f>
        <v>#N/A</v>
      </c>
      <c r="AG582" s="372" t="str">
        <f>CS_PID!AG582/VLOOKUP($B582,표2[#ALL],2)/HLOOKUP($A582,표1[#ALL],row(),false)</f>
        <v>#N/A</v>
      </c>
      <c r="AH582" s="372" t="str">
        <f>CS_PID!AH582/VLOOKUP($B582,표2[#ALL],2)/HLOOKUP($A582,표1[#ALL],row(),false)</f>
        <v>#N/A</v>
      </c>
      <c r="AI582" s="372" t="str">
        <f>CS_PID!AI582/VLOOKUP($B582,표2[#ALL],2)/HLOOKUP($A582,표1[#ALL],row(),false)</f>
        <v>#N/A</v>
      </c>
      <c r="AJ582" s="372" t="str">
        <f>CS_PID!AJ582/VLOOKUP($B582,표2[#ALL],2)/HLOOKUP($A582,표1[#ALL],row(),false)</f>
        <v>#N/A</v>
      </c>
      <c r="AK582" s="372" t="str">
        <f>CS_PID!AK582/VLOOKUP($B582,표2[#ALL],2)/HLOOKUP($A582,표1[#ALL],row(),false)</f>
        <v>#N/A</v>
      </c>
      <c r="AL582" s="372" t="str">
        <f>CS_PID!AL582/VLOOKUP($B582,표2[#ALL],2)/HLOOKUP($A582,표1[#ALL],row(),false)</f>
        <v>#N/A</v>
      </c>
      <c r="AM582" s="372" t="str">
        <f>CS_PID!AM582/VLOOKUP($B582,표2[#ALL],2)/HLOOKUP($A582,표1[#ALL],row(),false)</f>
        <v>#N/A</v>
      </c>
      <c r="AN582" s="372" t="str">
        <f>CS_PID!AN582/VLOOKUP($B582,표2[#ALL],2)/HLOOKUP($A582,표1[#ALL],row(),false)</f>
        <v>#N/A</v>
      </c>
      <c r="AO582" s="372" t="str">
        <f>CS_PID!AO582/VLOOKUP($B582,표2[#ALL],2)/HLOOKUP($A582,표1[#ALL],row(),false)</f>
        <v>#N/A</v>
      </c>
      <c r="AP582" s="372" t="str">
        <f>CS_PID!AP582/VLOOKUP($B582,표2[#ALL],2)/HLOOKUP($A582,표1[#ALL],row(),false)</f>
        <v>#N/A</v>
      </c>
      <c r="AQ582" s="372" t="str">
        <f>CS_PID!AQ582/VLOOKUP($B582,표2[#ALL],2)/HLOOKUP($A582,표1[#ALL],row(),false)</f>
        <v>#N/A</v>
      </c>
      <c r="AR582" s="372" t="str">
        <f>CS_PID!AR582/VLOOKUP($B582,표2[#ALL],2)/HLOOKUP($A582,표1[#ALL],row(),false)</f>
        <v>#N/A</v>
      </c>
      <c r="AS582" s="373" t="str">
        <f>CS_PID!AS582/VLOOKUP($B582,표2[#ALL],2)/HLOOKUP($A582,표1[#ALL],row(),false)</f>
        <v>#N/A</v>
      </c>
    </row>
    <row r="583">
      <c r="A583" s="374"/>
      <c r="B583" s="375"/>
      <c r="C583" s="376" t="str">
        <f>CS_PID!C583/VLOOKUP($B583,표2[#ALL],2)</f>
        <v>#N/A</v>
      </c>
      <c r="D583" s="376" t="str">
        <f>CS_PID!D583/VLOOKUP($B583,표2[#ALL],2)</f>
        <v>#N/A</v>
      </c>
      <c r="E583" s="376" t="str">
        <f>CS_PID!E583/VLOOKUP($B583,표2[#ALL],2)</f>
        <v>#N/A</v>
      </c>
      <c r="F583" s="376" t="str">
        <f>CS_PID!F583/VLOOKUP($B583,표2[#ALL],2)</f>
        <v>#N/A</v>
      </c>
      <c r="G583" s="376" t="str">
        <f>CS_PID!G583/VLOOKUP($B583,표2[#ALL],2)</f>
        <v>#N/A</v>
      </c>
      <c r="H583" s="376" t="str">
        <f>CS_PID!H583/VLOOKUP($B583,표2[#ALL],2)/HLOOKUP($A583,표1[#ALL],row(),false)</f>
        <v>#N/A</v>
      </c>
      <c r="I583" s="376" t="str">
        <f>CS_PID!I583/VLOOKUP($B583,표2[#ALL],2)/HLOOKUP($A583,표1[#ALL],row(),false)</f>
        <v>#N/A</v>
      </c>
      <c r="J583" s="376" t="str">
        <f>CS_PID!J583/VLOOKUP($B583,표2[#ALL],2)/HLOOKUP($A583,표1[#ALL],row(),false)</f>
        <v>#N/A</v>
      </c>
      <c r="K583" s="376" t="str">
        <f>CS_PID!K583/VLOOKUP($B583,표2[#ALL],2)/HLOOKUP($A583,표1[#ALL],row(),false)</f>
        <v>#N/A</v>
      </c>
      <c r="L583" s="376" t="str">
        <f>CS_PID!L583/VLOOKUP($B583,표2[#ALL],2)/HLOOKUP($A583,표1[#ALL],row(),false)</f>
        <v>#N/A</v>
      </c>
      <c r="M583" s="376" t="str">
        <f>CS_PID!M583/VLOOKUP($B583,표2[#ALL],2)/HLOOKUP($A583,표1[#ALL],row(),false)</f>
        <v>#N/A</v>
      </c>
      <c r="N583" s="376" t="str">
        <f>CS_PID!N583/VLOOKUP($B583,표2[#ALL],2)/HLOOKUP($A583,표1[#ALL],row(),false)</f>
        <v>#N/A</v>
      </c>
      <c r="O583" s="376" t="str">
        <f>CS_PID!O583/VLOOKUP($B583,표2[#ALL],2)/HLOOKUP($A583,표1[#ALL],row(),false)</f>
        <v>#N/A</v>
      </c>
      <c r="P583" s="376" t="str">
        <f>CS_PID!P583/VLOOKUP($B583,표2[#ALL],2)/HLOOKUP($A583,표1[#ALL],row(),false)</f>
        <v>#N/A</v>
      </c>
      <c r="Q583" s="376" t="str">
        <f>CS_PID!Q583/VLOOKUP($B583,표2[#ALL],2)/HLOOKUP($A583,표1[#ALL],row(),false)</f>
        <v>#N/A</v>
      </c>
      <c r="R583" s="376" t="str">
        <f>CS_PID!R583/VLOOKUP($B583,표2[#ALL],2)/HLOOKUP($A583,표1[#ALL],row(),false)</f>
        <v>#N/A</v>
      </c>
      <c r="S583" s="376" t="str">
        <f>CS_PID!S583/VLOOKUP($B583,표2[#ALL],2)/HLOOKUP($A583,표1[#ALL],row(),false)</f>
        <v>#N/A</v>
      </c>
      <c r="T583" s="376" t="str">
        <f>CS_PID!T583/VLOOKUP($B583,표2[#ALL],2)/HLOOKUP($A583,표1[#ALL],row(),false)</f>
        <v>#N/A</v>
      </c>
      <c r="U583" s="376" t="str">
        <f>CS_PID!U583/VLOOKUP($B583,표2[#ALL],2)/HLOOKUP($A583,표1[#ALL],row(),false)</f>
        <v>#N/A</v>
      </c>
      <c r="V583" s="376" t="str">
        <f>CS_PID!V583/VLOOKUP($B583,표2[#ALL],2)/HLOOKUP($A583,표1[#ALL],row(),false)</f>
        <v>#N/A</v>
      </c>
      <c r="W583" s="376" t="str">
        <f>CS_PID!W583/VLOOKUP($B583,표2[#ALL],2)/HLOOKUP($A583,표1[#ALL],row(),false)</f>
        <v>#N/A</v>
      </c>
      <c r="X583" s="376" t="str">
        <f>CS_PID!X583/VLOOKUP($B583,표2[#ALL],2)/HLOOKUP($A583,표1[#ALL],row(),false)</f>
        <v>#N/A</v>
      </c>
      <c r="Y583" s="376" t="str">
        <f>CS_PID!Y583/VLOOKUP($B583,표2[#ALL],2)/HLOOKUP($A583,표1[#ALL],row(),false)</f>
        <v>#N/A</v>
      </c>
      <c r="Z583" s="376" t="str">
        <f>CS_PID!Z583/VLOOKUP($B583,표2[#ALL],2)/HLOOKUP($A583,표1[#ALL],row(),false)</f>
        <v>#N/A</v>
      </c>
      <c r="AA583" s="376" t="str">
        <f>CS_PID!AA583/VLOOKUP($B583,표2[#ALL],2)/HLOOKUP($A583,표1[#ALL],row(),false)</f>
        <v>#N/A</v>
      </c>
      <c r="AB583" s="376" t="str">
        <f>CS_PID!AB583/VLOOKUP($B583,표2[#ALL],2)/HLOOKUP($A583,표1[#ALL],row(),false)</f>
        <v>#N/A</v>
      </c>
      <c r="AC583" s="376" t="str">
        <f>CS_PID!AC583/VLOOKUP($B583,표2[#ALL],2)/HLOOKUP($A583,표1[#ALL],row(),false)</f>
        <v>#N/A</v>
      </c>
      <c r="AD583" s="376" t="str">
        <f>CS_PID!AD583/VLOOKUP($B583,표2[#ALL],2)/HLOOKUP($A583,표1[#ALL],row(),false)</f>
        <v>#N/A</v>
      </c>
      <c r="AE583" s="376" t="str">
        <f>CS_PID!AE583/VLOOKUP($B583,표2[#ALL],2)/HLOOKUP($A583,표1[#ALL],row(),false)</f>
        <v>#N/A</v>
      </c>
      <c r="AF583" s="376" t="str">
        <f>CS_PID!AF583/VLOOKUP($B583,표2[#ALL],2)/HLOOKUP($A583,표1[#ALL],row(),false)</f>
        <v>#N/A</v>
      </c>
      <c r="AG583" s="376" t="str">
        <f>CS_PID!AG583/VLOOKUP($B583,표2[#ALL],2)/HLOOKUP($A583,표1[#ALL],row(),false)</f>
        <v>#N/A</v>
      </c>
      <c r="AH583" s="376" t="str">
        <f>CS_PID!AH583/VLOOKUP($B583,표2[#ALL],2)/HLOOKUP($A583,표1[#ALL],row(),false)</f>
        <v>#N/A</v>
      </c>
      <c r="AI583" s="376" t="str">
        <f>CS_PID!AI583/VLOOKUP($B583,표2[#ALL],2)/HLOOKUP($A583,표1[#ALL],row(),false)</f>
        <v>#N/A</v>
      </c>
      <c r="AJ583" s="376" t="str">
        <f>CS_PID!AJ583/VLOOKUP($B583,표2[#ALL],2)/HLOOKUP($A583,표1[#ALL],row(),false)</f>
        <v>#N/A</v>
      </c>
      <c r="AK583" s="376" t="str">
        <f>CS_PID!AK583/VLOOKUP($B583,표2[#ALL],2)/HLOOKUP($A583,표1[#ALL],row(),false)</f>
        <v>#N/A</v>
      </c>
      <c r="AL583" s="376" t="str">
        <f>CS_PID!AL583/VLOOKUP($B583,표2[#ALL],2)/HLOOKUP($A583,표1[#ALL],row(),false)</f>
        <v>#N/A</v>
      </c>
      <c r="AM583" s="376" t="str">
        <f>CS_PID!AM583/VLOOKUP($B583,표2[#ALL],2)/HLOOKUP($A583,표1[#ALL],row(),false)</f>
        <v>#N/A</v>
      </c>
      <c r="AN583" s="376" t="str">
        <f>CS_PID!AN583/VLOOKUP($B583,표2[#ALL],2)/HLOOKUP($A583,표1[#ALL],row(),false)</f>
        <v>#N/A</v>
      </c>
      <c r="AO583" s="376" t="str">
        <f>CS_PID!AO583/VLOOKUP($B583,표2[#ALL],2)/HLOOKUP($A583,표1[#ALL],row(),false)</f>
        <v>#N/A</v>
      </c>
      <c r="AP583" s="376" t="str">
        <f>CS_PID!AP583/VLOOKUP($B583,표2[#ALL],2)/HLOOKUP($A583,표1[#ALL],row(),false)</f>
        <v>#N/A</v>
      </c>
      <c r="AQ583" s="376" t="str">
        <f>CS_PID!AQ583/VLOOKUP($B583,표2[#ALL],2)/HLOOKUP($A583,표1[#ALL],row(),false)</f>
        <v>#N/A</v>
      </c>
      <c r="AR583" s="376" t="str">
        <f>CS_PID!AR583/VLOOKUP($B583,표2[#ALL],2)/HLOOKUP($A583,표1[#ALL],row(),false)</f>
        <v>#N/A</v>
      </c>
      <c r="AS583" s="377" t="str">
        <f>CS_PID!AS583/VLOOKUP($B583,표2[#ALL],2)/HLOOKUP($A583,표1[#ALL],row(),false)</f>
        <v>#N/A</v>
      </c>
    </row>
    <row r="584">
      <c r="A584" s="370"/>
      <c r="B584" s="371"/>
      <c r="C584" s="372" t="str">
        <f>CS_PID!C584/VLOOKUP($B584,표2[#ALL],2)</f>
        <v>#N/A</v>
      </c>
      <c r="D584" s="372" t="str">
        <f>CS_PID!D584/VLOOKUP($B584,표2[#ALL],2)</f>
        <v>#N/A</v>
      </c>
      <c r="E584" s="372" t="str">
        <f>CS_PID!E584/VLOOKUP($B584,표2[#ALL],2)</f>
        <v>#N/A</v>
      </c>
      <c r="F584" s="372" t="str">
        <f>CS_PID!F584/VLOOKUP($B584,표2[#ALL],2)</f>
        <v>#N/A</v>
      </c>
      <c r="G584" s="372" t="str">
        <f>CS_PID!G584/VLOOKUP($B584,표2[#ALL],2)</f>
        <v>#N/A</v>
      </c>
      <c r="H584" s="372" t="str">
        <f>CS_PID!H584/VLOOKUP($B584,표2[#ALL],2)/HLOOKUP($A584,표1[#ALL],row(),false)</f>
        <v>#N/A</v>
      </c>
      <c r="I584" s="372" t="str">
        <f>CS_PID!I584/VLOOKUP($B584,표2[#ALL],2)/HLOOKUP($A584,표1[#ALL],row(),false)</f>
        <v>#N/A</v>
      </c>
      <c r="J584" s="372" t="str">
        <f>CS_PID!J584/VLOOKUP($B584,표2[#ALL],2)/HLOOKUP($A584,표1[#ALL],row(),false)</f>
        <v>#N/A</v>
      </c>
      <c r="K584" s="372" t="str">
        <f>CS_PID!K584/VLOOKUP($B584,표2[#ALL],2)/HLOOKUP($A584,표1[#ALL],row(),false)</f>
        <v>#N/A</v>
      </c>
      <c r="L584" s="372" t="str">
        <f>CS_PID!L584/VLOOKUP($B584,표2[#ALL],2)/HLOOKUP($A584,표1[#ALL],row(),false)</f>
        <v>#N/A</v>
      </c>
      <c r="M584" s="372" t="str">
        <f>CS_PID!M584/VLOOKUP($B584,표2[#ALL],2)/HLOOKUP($A584,표1[#ALL],row(),false)</f>
        <v>#N/A</v>
      </c>
      <c r="N584" s="372" t="str">
        <f>CS_PID!N584/VLOOKUP($B584,표2[#ALL],2)/HLOOKUP($A584,표1[#ALL],row(),false)</f>
        <v>#N/A</v>
      </c>
      <c r="O584" s="372" t="str">
        <f>CS_PID!O584/VLOOKUP($B584,표2[#ALL],2)/HLOOKUP($A584,표1[#ALL],row(),false)</f>
        <v>#N/A</v>
      </c>
      <c r="P584" s="372" t="str">
        <f>CS_PID!P584/VLOOKUP($B584,표2[#ALL],2)/HLOOKUP($A584,표1[#ALL],row(),false)</f>
        <v>#N/A</v>
      </c>
      <c r="Q584" s="372" t="str">
        <f>CS_PID!Q584/VLOOKUP($B584,표2[#ALL],2)/HLOOKUP($A584,표1[#ALL],row(),false)</f>
        <v>#N/A</v>
      </c>
      <c r="R584" s="372" t="str">
        <f>CS_PID!R584/VLOOKUP($B584,표2[#ALL],2)/HLOOKUP($A584,표1[#ALL],row(),false)</f>
        <v>#N/A</v>
      </c>
      <c r="S584" s="372" t="str">
        <f>CS_PID!S584/VLOOKUP($B584,표2[#ALL],2)/HLOOKUP($A584,표1[#ALL],row(),false)</f>
        <v>#N/A</v>
      </c>
      <c r="T584" s="372" t="str">
        <f>CS_PID!T584/VLOOKUP($B584,표2[#ALL],2)/HLOOKUP($A584,표1[#ALL],row(),false)</f>
        <v>#N/A</v>
      </c>
      <c r="U584" s="372" t="str">
        <f>CS_PID!U584/VLOOKUP($B584,표2[#ALL],2)/HLOOKUP($A584,표1[#ALL],row(),false)</f>
        <v>#N/A</v>
      </c>
      <c r="V584" s="372" t="str">
        <f>CS_PID!V584/VLOOKUP($B584,표2[#ALL],2)/HLOOKUP($A584,표1[#ALL],row(),false)</f>
        <v>#N/A</v>
      </c>
      <c r="W584" s="372" t="str">
        <f>CS_PID!W584/VLOOKUP($B584,표2[#ALL],2)/HLOOKUP($A584,표1[#ALL],row(),false)</f>
        <v>#N/A</v>
      </c>
      <c r="X584" s="372" t="str">
        <f>CS_PID!X584/VLOOKUP($B584,표2[#ALL],2)/HLOOKUP($A584,표1[#ALL],row(),false)</f>
        <v>#N/A</v>
      </c>
      <c r="Y584" s="372" t="str">
        <f>CS_PID!Y584/VLOOKUP($B584,표2[#ALL],2)/HLOOKUP($A584,표1[#ALL],row(),false)</f>
        <v>#N/A</v>
      </c>
      <c r="Z584" s="372" t="str">
        <f>CS_PID!Z584/VLOOKUP($B584,표2[#ALL],2)/HLOOKUP($A584,표1[#ALL],row(),false)</f>
        <v>#N/A</v>
      </c>
      <c r="AA584" s="372" t="str">
        <f>CS_PID!AA584/VLOOKUP($B584,표2[#ALL],2)/HLOOKUP($A584,표1[#ALL],row(),false)</f>
        <v>#N/A</v>
      </c>
      <c r="AB584" s="372" t="str">
        <f>CS_PID!AB584/VLOOKUP($B584,표2[#ALL],2)/HLOOKUP($A584,표1[#ALL],row(),false)</f>
        <v>#N/A</v>
      </c>
      <c r="AC584" s="372" t="str">
        <f>CS_PID!AC584/VLOOKUP($B584,표2[#ALL],2)/HLOOKUP($A584,표1[#ALL],row(),false)</f>
        <v>#N/A</v>
      </c>
      <c r="AD584" s="372" t="str">
        <f>CS_PID!AD584/VLOOKUP($B584,표2[#ALL],2)/HLOOKUP($A584,표1[#ALL],row(),false)</f>
        <v>#N/A</v>
      </c>
      <c r="AE584" s="372" t="str">
        <f>CS_PID!AE584/VLOOKUP($B584,표2[#ALL],2)/HLOOKUP($A584,표1[#ALL],row(),false)</f>
        <v>#N/A</v>
      </c>
      <c r="AF584" s="372" t="str">
        <f>CS_PID!AF584/VLOOKUP($B584,표2[#ALL],2)/HLOOKUP($A584,표1[#ALL],row(),false)</f>
        <v>#N/A</v>
      </c>
      <c r="AG584" s="372" t="str">
        <f>CS_PID!AG584/VLOOKUP($B584,표2[#ALL],2)/HLOOKUP($A584,표1[#ALL],row(),false)</f>
        <v>#N/A</v>
      </c>
      <c r="AH584" s="372" t="str">
        <f>CS_PID!AH584/VLOOKUP($B584,표2[#ALL],2)/HLOOKUP($A584,표1[#ALL],row(),false)</f>
        <v>#N/A</v>
      </c>
      <c r="AI584" s="372" t="str">
        <f>CS_PID!AI584/VLOOKUP($B584,표2[#ALL],2)/HLOOKUP($A584,표1[#ALL],row(),false)</f>
        <v>#N/A</v>
      </c>
      <c r="AJ584" s="372" t="str">
        <f>CS_PID!AJ584/VLOOKUP($B584,표2[#ALL],2)/HLOOKUP($A584,표1[#ALL],row(),false)</f>
        <v>#N/A</v>
      </c>
      <c r="AK584" s="372" t="str">
        <f>CS_PID!AK584/VLOOKUP($B584,표2[#ALL],2)/HLOOKUP($A584,표1[#ALL],row(),false)</f>
        <v>#N/A</v>
      </c>
      <c r="AL584" s="372" t="str">
        <f>CS_PID!AL584/VLOOKUP($B584,표2[#ALL],2)/HLOOKUP($A584,표1[#ALL],row(),false)</f>
        <v>#N/A</v>
      </c>
      <c r="AM584" s="372" t="str">
        <f>CS_PID!AM584/VLOOKUP($B584,표2[#ALL],2)/HLOOKUP($A584,표1[#ALL],row(),false)</f>
        <v>#N/A</v>
      </c>
      <c r="AN584" s="372" t="str">
        <f>CS_PID!AN584/VLOOKUP($B584,표2[#ALL],2)/HLOOKUP($A584,표1[#ALL],row(),false)</f>
        <v>#N/A</v>
      </c>
      <c r="AO584" s="372" t="str">
        <f>CS_PID!AO584/VLOOKUP($B584,표2[#ALL],2)/HLOOKUP($A584,표1[#ALL],row(),false)</f>
        <v>#N/A</v>
      </c>
      <c r="AP584" s="372" t="str">
        <f>CS_PID!AP584/VLOOKUP($B584,표2[#ALL],2)/HLOOKUP($A584,표1[#ALL],row(),false)</f>
        <v>#N/A</v>
      </c>
      <c r="AQ584" s="372" t="str">
        <f>CS_PID!AQ584/VLOOKUP($B584,표2[#ALL],2)/HLOOKUP($A584,표1[#ALL],row(),false)</f>
        <v>#N/A</v>
      </c>
      <c r="AR584" s="372" t="str">
        <f>CS_PID!AR584/VLOOKUP($B584,표2[#ALL],2)/HLOOKUP($A584,표1[#ALL],row(),false)</f>
        <v>#N/A</v>
      </c>
      <c r="AS584" s="373" t="str">
        <f>CS_PID!AS584/VLOOKUP($B584,표2[#ALL],2)/HLOOKUP($A584,표1[#ALL],row(),false)</f>
        <v>#N/A</v>
      </c>
    </row>
    <row r="585">
      <c r="A585" s="374"/>
      <c r="B585" s="375"/>
      <c r="C585" s="376" t="str">
        <f>CS_PID!C585/VLOOKUP($B585,표2[#ALL],2)</f>
        <v>#N/A</v>
      </c>
      <c r="D585" s="376" t="str">
        <f>CS_PID!D585/VLOOKUP($B585,표2[#ALL],2)</f>
        <v>#N/A</v>
      </c>
      <c r="E585" s="376" t="str">
        <f>CS_PID!E585/VLOOKUP($B585,표2[#ALL],2)</f>
        <v>#N/A</v>
      </c>
      <c r="F585" s="376" t="str">
        <f>CS_PID!F585/VLOOKUP($B585,표2[#ALL],2)</f>
        <v>#N/A</v>
      </c>
      <c r="G585" s="376" t="str">
        <f>CS_PID!G585/VLOOKUP($B585,표2[#ALL],2)</f>
        <v>#N/A</v>
      </c>
      <c r="H585" s="376" t="str">
        <f>CS_PID!H585/VLOOKUP($B585,표2[#ALL],2)/HLOOKUP($A585,표1[#ALL],row(),false)</f>
        <v>#N/A</v>
      </c>
      <c r="I585" s="376" t="str">
        <f>CS_PID!I585/VLOOKUP($B585,표2[#ALL],2)/HLOOKUP($A585,표1[#ALL],row(),false)</f>
        <v>#N/A</v>
      </c>
      <c r="J585" s="376" t="str">
        <f>CS_PID!J585/VLOOKUP($B585,표2[#ALL],2)/HLOOKUP($A585,표1[#ALL],row(),false)</f>
        <v>#N/A</v>
      </c>
      <c r="K585" s="376" t="str">
        <f>CS_PID!K585/VLOOKUP($B585,표2[#ALL],2)/HLOOKUP($A585,표1[#ALL],row(),false)</f>
        <v>#N/A</v>
      </c>
      <c r="L585" s="376" t="str">
        <f>CS_PID!L585/VLOOKUP($B585,표2[#ALL],2)/HLOOKUP($A585,표1[#ALL],row(),false)</f>
        <v>#N/A</v>
      </c>
      <c r="M585" s="376" t="str">
        <f>CS_PID!M585/VLOOKUP($B585,표2[#ALL],2)/HLOOKUP($A585,표1[#ALL],row(),false)</f>
        <v>#N/A</v>
      </c>
      <c r="N585" s="376" t="str">
        <f>CS_PID!N585/VLOOKUP($B585,표2[#ALL],2)/HLOOKUP($A585,표1[#ALL],row(),false)</f>
        <v>#N/A</v>
      </c>
      <c r="O585" s="376" t="str">
        <f>CS_PID!O585/VLOOKUP($B585,표2[#ALL],2)/HLOOKUP($A585,표1[#ALL],row(),false)</f>
        <v>#N/A</v>
      </c>
      <c r="P585" s="376" t="str">
        <f>CS_PID!P585/VLOOKUP($B585,표2[#ALL],2)/HLOOKUP($A585,표1[#ALL],row(),false)</f>
        <v>#N/A</v>
      </c>
      <c r="Q585" s="376" t="str">
        <f>CS_PID!Q585/VLOOKUP($B585,표2[#ALL],2)/HLOOKUP($A585,표1[#ALL],row(),false)</f>
        <v>#N/A</v>
      </c>
      <c r="R585" s="376" t="str">
        <f>CS_PID!R585/VLOOKUP($B585,표2[#ALL],2)/HLOOKUP($A585,표1[#ALL],row(),false)</f>
        <v>#N/A</v>
      </c>
      <c r="S585" s="376" t="str">
        <f>CS_PID!S585/VLOOKUP($B585,표2[#ALL],2)/HLOOKUP($A585,표1[#ALL],row(),false)</f>
        <v>#N/A</v>
      </c>
      <c r="T585" s="376" t="str">
        <f>CS_PID!T585/VLOOKUP($B585,표2[#ALL],2)/HLOOKUP($A585,표1[#ALL],row(),false)</f>
        <v>#N/A</v>
      </c>
      <c r="U585" s="376" t="str">
        <f>CS_PID!U585/VLOOKUP($B585,표2[#ALL],2)/HLOOKUP($A585,표1[#ALL],row(),false)</f>
        <v>#N/A</v>
      </c>
      <c r="V585" s="376" t="str">
        <f>CS_PID!V585/VLOOKUP($B585,표2[#ALL],2)/HLOOKUP($A585,표1[#ALL],row(),false)</f>
        <v>#N/A</v>
      </c>
      <c r="W585" s="376" t="str">
        <f>CS_PID!W585/VLOOKUP($B585,표2[#ALL],2)/HLOOKUP($A585,표1[#ALL],row(),false)</f>
        <v>#N/A</v>
      </c>
      <c r="X585" s="376" t="str">
        <f>CS_PID!X585/VLOOKUP($B585,표2[#ALL],2)/HLOOKUP($A585,표1[#ALL],row(),false)</f>
        <v>#N/A</v>
      </c>
      <c r="Y585" s="376" t="str">
        <f>CS_PID!Y585/VLOOKUP($B585,표2[#ALL],2)/HLOOKUP($A585,표1[#ALL],row(),false)</f>
        <v>#N/A</v>
      </c>
      <c r="Z585" s="376" t="str">
        <f>CS_PID!Z585/VLOOKUP($B585,표2[#ALL],2)/HLOOKUP($A585,표1[#ALL],row(),false)</f>
        <v>#N/A</v>
      </c>
      <c r="AA585" s="376" t="str">
        <f>CS_PID!AA585/VLOOKUP($B585,표2[#ALL],2)/HLOOKUP($A585,표1[#ALL],row(),false)</f>
        <v>#N/A</v>
      </c>
      <c r="AB585" s="376" t="str">
        <f>CS_PID!AB585/VLOOKUP($B585,표2[#ALL],2)/HLOOKUP($A585,표1[#ALL],row(),false)</f>
        <v>#N/A</v>
      </c>
      <c r="AC585" s="376" t="str">
        <f>CS_PID!AC585/VLOOKUP($B585,표2[#ALL],2)/HLOOKUP($A585,표1[#ALL],row(),false)</f>
        <v>#N/A</v>
      </c>
      <c r="AD585" s="376" t="str">
        <f>CS_PID!AD585/VLOOKUP($B585,표2[#ALL],2)/HLOOKUP($A585,표1[#ALL],row(),false)</f>
        <v>#N/A</v>
      </c>
      <c r="AE585" s="376" t="str">
        <f>CS_PID!AE585/VLOOKUP($B585,표2[#ALL],2)/HLOOKUP($A585,표1[#ALL],row(),false)</f>
        <v>#N/A</v>
      </c>
      <c r="AF585" s="376" t="str">
        <f>CS_PID!AF585/VLOOKUP($B585,표2[#ALL],2)/HLOOKUP($A585,표1[#ALL],row(),false)</f>
        <v>#N/A</v>
      </c>
      <c r="AG585" s="376" t="str">
        <f>CS_PID!AG585/VLOOKUP($B585,표2[#ALL],2)/HLOOKUP($A585,표1[#ALL],row(),false)</f>
        <v>#N/A</v>
      </c>
      <c r="AH585" s="376" t="str">
        <f>CS_PID!AH585/VLOOKUP($B585,표2[#ALL],2)/HLOOKUP($A585,표1[#ALL],row(),false)</f>
        <v>#N/A</v>
      </c>
      <c r="AI585" s="376" t="str">
        <f>CS_PID!AI585/VLOOKUP($B585,표2[#ALL],2)/HLOOKUP($A585,표1[#ALL],row(),false)</f>
        <v>#N/A</v>
      </c>
      <c r="AJ585" s="376" t="str">
        <f>CS_PID!AJ585/VLOOKUP($B585,표2[#ALL],2)/HLOOKUP($A585,표1[#ALL],row(),false)</f>
        <v>#N/A</v>
      </c>
      <c r="AK585" s="376" t="str">
        <f>CS_PID!AK585/VLOOKUP($B585,표2[#ALL],2)/HLOOKUP($A585,표1[#ALL],row(),false)</f>
        <v>#N/A</v>
      </c>
      <c r="AL585" s="376" t="str">
        <f>CS_PID!AL585/VLOOKUP($B585,표2[#ALL],2)/HLOOKUP($A585,표1[#ALL],row(),false)</f>
        <v>#N/A</v>
      </c>
      <c r="AM585" s="376" t="str">
        <f>CS_PID!AM585/VLOOKUP($B585,표2[#ALL],2)/HLOOKUP($A585,표1[#ALL],row(),false)</f>
        <v>#N/A</v>
      </c>
      <c r="AN585" s="376" t="str">
        <f>CS_PID!AN585/VLOOKUP($B585,표2[#ALL],2)/HLOOKUP($A585,표1[#ALL],row(),false)</f>
        <v>#N/A</v>
      </c>
      <c r="AO585" s="376" t="str">
        <f>CS_PID!AO585/VLOOKUP($B585,표2[#ALL],2)/HLOOKUP($A585,표1[#ALL],row(),false)</f>
        <v>#N/A</v>
      </c>
      <c r="AP585" s="376" t="str">
        <f>CS_PID!AP585/VLOOKUP($B585,표2[#ALL],2)/HLOOKUP($A585,표1[#ALL],row(),false)</f>
        <v>#N/A</v>
      </c>
      <c r="AQ585" s="376" t="str">
        <f>CS_PID!AQ585/VLOOKUP($B585,표2[#ALL],2)/HLOOKUP($A585,표1[#ALL],row(),false)</f>
        <v>#N/A</v>
      </c>
      <c r="AR585" s="376" t="str">
        <f>CS_PID!AR585/VLOOKUP($B585,표2[#ALL],2)/HLOOKUP($A585,표1[#ALL],row(),false)</f>
        <v>#N/A</v>
      </c>
      <c r="AS585" s="377" t="str">
        <f>CS_PID!AS585/VLOOKUP($B585,표2[#ALL],2)/HLOOKUP($A585,표1[#ALL],row(),false)</f>
        <v>#N/A</v>
      </c>
    </row>
    <row r="586">
      <c r="A586" s="370"/>
      <c r="B586" s="371"/>
      <c r="C586" s="372" t="str">
        <f>CS_PID!C586/VLOOKUP($B586,표2[#ALL],2)</f>
        <v>#N/A</v>
      </c>
      <c r="D586" s="372" t="str">
        <f>CS_PID!D586/VLOOKUP($B586,표2[#ALL],2)</f>
        <v>#N/A</v>
      </c>
      <c r="E586" s="372" t="str">
        <f>CS_PID!E586/VLOOKUP($B586,표2[#ALL],2)</f>
        <v>#N/A</v>
      </c>
      <c r="F586" s="372" t="str">
        <f>CS_PID!F586/VLOOKUP($B586,표2[#ALL],2)</f>
        <v>#N/A</v>
      </c>
      <c r="G586" s="372" t="str">
        <f>CS_PID!G586/VLOOKUP($B586,표2[#ALL],2)</f>
        <v>#N/A</v>
      </c>
      <c r="H586" s="372" t="str">
        <f>CS_PID!H586/VLOOKUP($B586,표2[#ALL],2)/HLOOKUP($A586,표1[#ALL],row(),false)</f>
        <v>#N/A</v>
      </c>
      <c r="I586" s="372" t="str">
        <f>CS_PID!I586/VLOOKUP($B586,표2[#ALL],2)/HLOOKUP($A586,표1[#ALL],row(),false)</f>
        <v>#N/A</v>
      </c>
      <c r="J586" s="372" t="str">
        <f>CS_PID!J586/VLOOKUP($B586,표2[#ALL],2)/HLOOKUP($A586,표1[#ALL],row(),false)</f>
        <v>#N/A</v>
      </c>
      <c r="K586" s="372" t="str">
        <f>CS_PID!K586/VLOOKUP($B586,표2[#ALL],2)/HLOOKUP($A586,표1[#ALL],row(),false)</f>
        <v>#N/A</v>
      </c>
      <c r="L586" s="372" t="str">
        <f>CS_PID!L586/VLOOKUP($B586,표2[#ALL],2)/HLOOKUP($A586,표1[#ALL],row(),false)</f>
        <v>#N/A</v>
      </c>
      <c r="M586" s="372" t="str">
        <f>CS_PID!M586/VLOOKUP($B586,표2[#ALL],2)/HLOOKUP($A586,표1[#ALL],row(),false)</f>
        <v>#N/A</v>
      </c>
      <c r="N586" s="372" t="str">
        <f>CS_PID!N586/VLOOKUP($B586,표2[#ALL],2)/HLOOKUP($A586,표1[#ALL],row(),false)</f>
        <v>#N/A</v>
      </c>
      <c r="O586" s="372" t="str">
        <f>CS_PID!O586/VLOOKUP($B586,표2[#ALL],2)/HLOOKUP($A586,표1[#ALL],row(),false)</f>
        <v>#N/A</v>
      </c>
      <c r="P586" s="372" t="str">
        <f>CS_PID!P586/VLOOKUP($B586,표2[#ALL],2)/HLOOKUP($A586,표1[#ALL],row(),false)</f>
        <v>#N/A</v>
      </c>
      <c r="Q586" s="372" t="str">
        <f>CS_PID!Q586/VLOOKUP($B586,표2[#ALL],2)/HLOOKUP($A586,표1[#ALL],row(),false)</f>
        <v>#N/A</v>
      </c>
      <c r="R586" s="372" t="str">
        <f>CS_PID!R586/VLOOKUP($B586,표2[#ALL],2)/HLOOKUP($A586,표1[#ALL],row(),false)</f>
        <v>#N/A</v>
      </c>
      <c r="S586" s="372" t="str">
        <f>CS_PID!S586/VLOOKUP($B586,표2[#ALL],2)/HLOOKUP($A586,표1[#ALL],row(),false)</f>
        <v>#N/A</v>
      </c>
      <c r="T586" s="372" t="str">
        <f>CS_PID!T586/VLOOKUP($B586,표2[#ALL],2)/HLOOKUP($A586,표1[#ALL],row(),false)</f>
        <v>#N/A</v>
      </c>
      <c r="U586" s="372" t="str">
        <f>CS_PID!U586/VLOOKUP($B586,표2[#ALL],2)/HLOOKUP($A586,표1[#ALL],row(),false)</f>
        <v>#N/A</v>
      </c>
      <c r="V586" s="372" t="str">
        <f>CS_PID!V586/VLOOKUP($B586,표2[#ALL],2)/HLOOKUP($A586,표1[#ALL],row(),false)</f>
        <v>#N/A</v>
      </c>
      <c r="W586" s="372" t="str">
        <f>CS_PID!W586/VLOOKUP($B586,표2[#ALL],2)/HLOOKUP($A586,표1[#ALL],row(),false)</f>
        <v>#N/A</v>
      </c>
      <c r="X586" s="372" t="str">
        <f>CS_PID!X586/VLOOKUP($B586,표2[#ALL],2)/HLOOKUP($A586,표1[#ALL],row(),false)</f>
        <v>#N/A</v>
      </c>
      <c r="Y586" s="372" t="str">
        <f>CS_PID!Y586/VLOOKUP($B586,표2[#ALL],2)/HLOOKUP($A586,표1[#ALL],row(),false)</f>
        <v>#N/A</v>
      </c>
      <c r="Z586" s="372" t="str">
        <f>CS_PID!Z586/VLOOKUP($B586,표2[#ALL],2)/HLOOKUP($A586,표1[#ALL],row(),false)</f>
        <v>#N/A</v>
      </c>
      <c r="AA586" s="372" t="str">
        <f>CS_PID!AA586/VLOOKUP($B586,표2[#ALL],2)/HLOOKUP($A586,표1[#ALL],row(),false)</f>
        <v>#N/A</v>
      </c>
      <c r="AB586" s="372" t="str">
        <f>CS_PID!AB586/VLOOKUP($B586,표2[#ALL],2)/HLOOKUP($A586,표1[#ALL],row(),false)</f>
        <v>#N/A</v>
      </c>
      <c r="AC586" s="372" t="str">
        <f>CS_PID!AC586/VLOOKUP($B586,표2[#ALL],2)/HLOOKUP($A586,표1[#ALL],row(),false)</f>
        <v>#N/A</v>
      </c>
      <c r="AD586" s="372" t="str">
        <f>CS_PID!AD586/VLOOKUP($B586,표2[#ALL],2)/HLOOKUP($A586,표1[#ALL],row(),false)</f>
        <v>#N/A</v>
      </c>
      <c r="AE586" s="372" t="str">
        <f>CS_PID!AE586/VLOOKUP($B586,표2[#ALL],2)/HLOOKUP($A586,표1[#ALL],row(),false)</f>
        <v>#N/A</v>
      </c>
      <c r="AF586" s="372" t="str">
        <f>CS_PID!AF586/VLOOKUP($B586,표2[#ALL],2)/HLOOKUP($A586,표1[#ALL],row(),false)</f>
        <v>#N/A</v>
      </c>
      <c r="AG586" s="372" t="str">
        <f>CS_PID!AG586/VLOOKUP($B586,표2[#ALL],2)/HLOOKUP($A586,표1[#ALL],row(),false)</f>
        <v>#N/A</v>
      </c>
      <c r="AH586" s="372" t="str">
        <f>CS_PID!AH586/VLOOKUP($B586,표2[#ALL],2)/HLOOKUP($A586,표1[#ALL],row(),false)</f>
        <v>#N/A</v>
      </c>
      <c r="AI586" s="372" t="str">
        <f>CS_PID!AI586/VLOOKUP($B586,표2[#ALL],2)/HLOOKUP($A586,표1[#ALL],row(),false)</f>
        <v>#N/A</v>
      </c>
      <c r="AJ586" s="372" t="str">
        <f>CS_PID!AJ586/VLOOKUP($B586,표2[#ALL],2)/HLOOKUP($A586,표1[#ALL],row(),false)</f>
        <v>#N/A</v>
      </c>
      <c r="AK586" s="372" t="str">
        <f>CS_PID!AK586/VLOOKUP($B586,표2[#ALL],2)/HLOOKUP($A586,표1[#ALL],row(),false)</f>
        <v>#N/A</v>
      </c>
      <c r="AL586" s="372" t="str">
        <f>CS_PID!AL586/VLOOKUP($B586,표2[#ALL],2)/HLOOKUP($A586,표1[#ALL],row(),false)</f>
        <v>#N/A</v>
      </c>
      <c r="AM586" s="372" t="str">
        <f>CS_PID!AM586/VLOOKUP($B586,표2[#ALL],2)/HLOOKUP($A586,표1[#ALL],row(),false)</f>
        <v>#N/A</v>
      </c>
      <c r="AN586" s="372" t="str">
        <f>CS_PID!AN586/VLOOKUP($B586,표2[#ALL],2)/HLOOKUP($A586,표1[#ALL],row(),false)</f>
        <v>#N/A</v>
      </c>
      <c r="AO586" s="372" t="str">
        <f>CS_PID!AO586/VLOOKUP($B586,표2[#ALL],2)/HLOOKUP($A586,표1[#ALL],row(),false)</f>
        <v>#N/A</v>
      </c>
      <c r="AP586" s="372" t="str">
        <f>CS_PID!AP586/VLOOKUP($B586,표2[#ALL],2)/HLOOKUP($A586,표1[#ALL],row(),false)</f>
        <v>#N/A</v>
      </c>
      <c r="AQ586" s="372" t="str">
        <f>CS_PID!AQ586/VLOOKUP($B586,표2[#ALL],2)/HLOOKUP($A586,표1[#ALL],row(),false)</f>
        <v>#N/A</v>
      </c>
      <c r="AR586" s="372" t="str">
        <f>CS_PID!AR586/VLOOKUP($B586,표2[#ALL],2)/HLOOKUP($A586,표1[#ALL],row(),false)</f>
        <v>#N/A</v>
      </c>
      <c r="AS586" s="373" t="str">
        <f>CS_PID!AS586/VLOOKUP($B586,표2[#ALL],2)/HLOOKUP($A586,표1[#ALL],row(),false)</f>
        <v>#N/A</v>
      </c>
    </row>
    <row r="587">
      <c r="A587" s="374"/>
      <c r="B587" s="375"/>
      <c r="C587" s="376" t="str">
        <f>CS_PID!C587/VLOOKUP($B587,표2[#ALL],2)</f>
        <v>#N/A</v>
      </c>
      <c r="D587" s="376" t="str">
        <f>CS_PID!D587/VLOOKUP($B587,표2[#ALL],2)</f>
        <v>#N/A</v>
      </c>
      <c r="E587" s="376" t="str">
        <f>CS_PID!E587/VLOOKUP($B587,표2[#ALL],2)</f>
        <v>#N/A</v>
      </c>
      <c r="F587" s="376" t="str">
        <f>CS_PID!F587/VLOOKUP($B587,표2[#ALL],2)</f>
        <v>#N/A</v>
      </c>
      <c r="G587" s="376" t="str">
        <f>CS_PID!G587/VLOOKUP($B587,표2[#ALL],2)</f>
        <v>#N/A</v>
      </c>
      <c r="H587" s="376" t="str">
        <f>CS_PID!H587/VLOOKUP($B587,표2[#ALL],2)/HLOOKUP($A587,표1[#ALL],row(),false)</f>
        <v>#N/A</v>
      </c>
      <c r="I587" s="376" t="str">
        <f>CS_PID!I587/VLOOKUP($B587,표2[#ALL],2)/HLOOKUP($A587,표1[#ALL],row(),false)</f>
        <v>#N/A</v>
      </c>
      <c r="J587" s="376" t="str">
        <f>CS_PID!J587/VLOOKUP($B587,표2[#ALL],2)/HLOOKUP($A587,표1[#ALL],row(),false)</f>
        <v>#N/A</v>
      </c>
      <c r="K587" s="376" t="str">
        <f>CS_PID!K587/VLOOKUP($B587,표2[#ALL],2)/HLOOKUP($A587,표1[#ALL],row(),false)</f>
        <v>#N/A</v>
      </c>
      <c r="L587" s="376" t="str">
        <f>CS_PID!L587/VLOOKUP($B587,표2[#ALL],2)/HLOOKUP($A587,표1[#ALL],row(),false)</f>
        <v>#N/A</v>
      </c>
      <c r="M587" s="376" t="str">
        <f>CS_PID!M587/VLOOKUP($B587,표2[#ALL],2)/HLOOKUP($A587,표1[#ALL],row(),false)</f>
        <v>#N/A</v>
      </c>
      <c r="N587" s="376" t="str">
        <f>CS_PID!N587/VLOOKUP($B587,표2[#ALL],2)/HLOOKUP($A587,표1[#ALL],row(),false)</f>
        <v>#N/A</v>
      </c>
      <c r="O587" s="376" t="str">
        <f>CS_PID!O587/VLOOKUP($B587,표2[#ALL],2)/HLOOKUP($A587,표1[#ALL],row(),false)</f>
        <v>#N/A</v>
      </c>
      <c r="P587" s="376" t="str">
        <f>CS_PID!P587/VLOOKUP($B587,표2[#ALL],2)/HLOOKUP($A587,표1[#ALL],row(),false)</f>
        <v>#N/A</v>
      </c>
      <c r="Q587" s="376" t="str">
        <f>CS_PID!Q587/VLOOKUP($B587,표2[#ALL],2)/HLOOKUP($A587,표1[#ALL],row(),false)</f>
        <v>#N/A</v>
      </c>
      <c r="R587" s="376" t="str">
        <f>CS_PID!R587/VLOOKUP($B587,표2[#ALL],2)/HLOOKUP($A587,표1[#ALL],row(),false)</f>
        <v>#N/A</v>
      </c>
      <c r="S587" s="376" t="str">
        <f>CS_PID!S587/VLOOKUP($B587,표2[#ALL],2)/HLOOKUP($A587,표1[#ALL],row(),false)</f>
        <v>#N/A</v>
      </c>
      <c r="T587" s="376" t="str">
        <f>CS_PID!T587/VLOOKUP($B587,표2[#ALL],2)/HLOOKUP($A587,표1[#ALL],row(),false)</f>
        <v>#N/A</v>
      </c>
      <c r="U587" s="376" t="str">
        <f>CS_PID!U587/VLOOKUP($B587,표2[#ALL],2)/HLOOKUP($A587,표1[#ALL],row(),false)</f>
        <v>#N/A</v>
      </c>
      <c r="V587" s="376" t="str">
        <f>CS_PID!V587/VLOOKUP($B587,표2[#ALL],2)/HLOOKUP($A587,표1[#ALL],row(),false)</f>
        <v>#N/A</v>
      </c>
      <c r="W587" s="376" t="str">
        <f>CS_PID!W587/VLOOKUP($B587,표2[#ALL],2)/HLOOKUP($A587,표1[#ALL],row(),false)</f>
        <v>#N/A</v>
      </c>
      <c r="X587" s="376" t="str">
        <f>CS_PID!X587/VLOOKUP($B587,표2[#ALL],2)/HLOOKUP($A587,표1[#ALL],row(),false)</f>
        <v>#N/A</v>
      </c>
      <c r="Y587" s="376" t="str">
        <f>CS_PID!Y587/VLOOKUP($B587,표2[#ALL],2)/HLOOKUP($A587,표1[#ALL],row(),false)</f>
        <v>#N/A</v>
      </c>
      <c r="Z587" s="376" t="str">
        <f>CS_PID!Z587/VLOOKUP($B587,표2[#ALL],2)/HLOOKUP($A587,표1[#ALL],row(),false)</f>
        <v>#N/A</v>
      </c>
      <c r="AA587" s="376" t="str">
        <f>CS_PID!AA587/VLOOKUP($B587,표2[#ALL],2)/HLOOKUP($A587,표1[#ALL],row(),false)</f>
        <v>#N/A</v>
      </c>
      <c r="AB587" s="376" t="str">
        <f>CS_PID!AB587/VLOOKUP($B587,표2[#ALL],2)/HLOOKUP($A587,표1[#ALL],row(),false)</f>
        <v>#N/A</v>
      </c>
      <c r="AC587" s="376" t="str">
        <f>CS_PID!AC587/VLOOKUP($B587,표2[#ALL],2)/HLOOKUP($A587,표1[#ALL],row(),false)</f>
        <v>#N/A</v>
      </c>
      <c r="AD587" s="376" t="str">
        <f>CS_PID!AD587/VLOOKUP($B587,표2[#ALL],2)/HLOOKUP($A587,표1[#ALL],row(),false)</f>
        <v>#N/A</v>
      </c>
      <c r="AE587" s="376" t="str">
        <f>CS_PID!AE587/VLOOKUP($B587,표2[#ALL],2)/HLOOKUP($A587,표1[#ALL],row(),false)</f>
        <v>#N/A</v>
      </c>
      <c r="AF587" s="376" t="str">
        <f>CS_PID!AF587/VLOOKUP($B587,표2[#ALL],2)/HLOOKUP($A587,표1[#ALL],row(),false)</f>
        <v>#N/A</v>
      </c>
      <c r="AG587" s="376" t="str">
        <f>CS_PID!AG587/VLOOKUP($B587,표2[#ALL],2)/HLOOKUP($A587,표1[#ALL],row(),false)</f>
        <v>#N/A</v>
      </c>
      <c r="AH587" s="376" t="str">
        <f>CS_PID!AH587/VLOOKUP($B587,표2[#ALL],2)/HLOOKUP($A587,표1[#ALL],row(),false)</f>
        <v>#N/A</v>
      </c>
      <c r="AI587" s="376" t="str">
        <f>CS_PID!AI587/VLOOKUP($B587,표2[#ALL],2)/HLOOKUP($A587,표1[#ALL],row(),false)</f>
        <v>#N/A</v>
      </c>
      <c r="AJ587" s="376" t="str">
        <f>CS_PID!AJ587/VLOOKUP($B587,표2[#ALL],2)/HLOOKUP($A587,표1[#ALL],row(),false)</f>
        <v>#N/A</v>
      </c>
      <c r="AK587" s="376" t="str">
        <f>CS_PID!AK587/VLOOKUP($B587,표2[#ALL],2)/HLOOKUP($A587,표1[#ALL],row(),false)</f>
        <v>#N/A</v>
      </c>
      <c r="AL587" s="376" t="str">
        <f>CS_PID!AL587/VLOOKUP($B587,표2[#ALL],2)/HLOOKUP($A587,표1[#ALL],row(),false)</f>
        <v>#N/A</v>
      </c>
      <c r="AM587" s="376" t="str">
        <f>CS_PID!AM587/VLOOKUP($B587,표2[#ALL],2)/HLOOKUP($A587,표1[#ALL],row(),false)</f>
        <v>#N/A</v>
      </c>
      <c r="AN587" s="376" t="str">
        <f>CS_PID!AN587/VLOOKUP($B587,표2[#ALL],2)/HLOOKUP($A587,표1[#ALL],row(),false)</f>
        <v>#N/A</v>
      </c>
      <c r="AO587" s="376" t="str">
        <f>CS_PID!AO587/VLOOKUP($B587,표2[#ALL],2)/HLOOKUP($A587,표1[#ALL],row(),false)</f>
        <v>#N/A</v>
      </c>
      <c r="AP587" s="376" t="str">
        <f>CS_PID!AP587/VLOOKUP($B587,표2[#ALL],2)/HLOOKUP($A587,표1[#ALL],row(),false)</f>
        <v>#N/A</v>
      </c>
      <c r="AQ587" s="376" t="str">
        <f>CS_PID!AQ587/VLOOKUP($B587,표2[#ALL],2)/HLOOKUP($A587,표1[#ALL],row(),false)</f>
        <v>#N/A</v>
      </c>
      <c r="AR587" s="376" t="str">
        <f>CS_PID!AR587/VLOOKUP($B587,표2[#ALL],2)/HLOOKUP($A587,표1[#ALL],row(),false)</f>
        <v>#N/A</v>
      </c>
      <c r="AS587" s="377" t="str">
        <f>CS_PID!AS587/VLOOKUP($B587,표2[#ALL],2)/HLOOKUP($A587,표1[#ALL],row(),false)</f>
        <v>#N/A</v>
      </c>
    </row>
    <row r="588">
      <c r="A588" s="370"/>
      <c r="B588" s="371"/>
      <c r="C588" s="372" t="str">
        <f>CS_PID!C588/VLOOKUP($B588,표2[#ALL],2)</f>
        <v>#N/A</v>
      </c>
      <c r="D588" s="372" t="str">
        <f>CS_PID!D588/VLOOKUP($B588,표2[#ALL],2)</f>
        <v>#N/A</v>
      </c>
      <c r="E588" s="372" t="str">
        <f>CS_PID!E588/VLOOKUP($B588,표2[#ALL],2)</f>
        <v>#N/A</v>
      </c>
      <c r="F588" s="372" t="str">
        <f>CS_PID!F588/VLOOKUP($B588,표2[#ALL],2)</f>
        <v>#N/A</v>
      </c>
      <c r="G588" s="372" t="str">
        <f>CS_PID!G588/VLOOKUP($B588,표2[#ALL],2)</f>
        <v>#N/A</v>
      </c>
      <c r="H588" s="372" t="str">
        <f>CS_PID!H588/VLOOKUP($B588,표2[#ALL],2)/HLOOKUP($A588,표1[#ALL],row(),false)</f>
        <v>#N/A</v>
      </c>
      <c r="I588" s="372" t="str">
        <f>CS_PID!I588/VLOOKUP($B588,표2[#ALL],2)/HLOOKUP($A588,표1[#ALL],row(),false)</f>
        <v>#N/A</v>
      </c>
      <c r="J588" s="372" t="str">
        <f>CS_PID!J588/VLOOKUP($B588,표2[#ALL],2)/HLOOKUP($A588,표1[#ALL],row(),false)</f>
        <v>#N/A</v>
      </c>
      <c r="K588" s="372" t="str">
        <f>CS_PID!K588/VLOOKUP($B588,표2[#ALL],2)/HLOOKUP($A588,표1[#ALL],row(),false)</f>
        <v>#N/A</v>
      </c>
      <c r="L588" s="372" t="str">
        <f>CS_PID!L588/VLOOKUP($B588,표2[#ALL],2)/HLOOKUP($A588,표1[#ALL],row(),false)</f>
        <v>#N/A</v>
      </c>
      <c r="M588" s="372" t="str">
        <f>CS_PID!M588/VLOOKUP($B588,표2[#ALL],2)/HLOOKUP($A588,표1[#ALL],row(),false)</f>
        <v>#N/A</v>
      </c>
      <c r="N588" s="372" t="str">
        <f>CS_PID!N588/VLOOKUP($B588,표2[#ALL],2)/HLOOKUP($A588,표1[#ALL],row(),false)</f>
        <v>#N/A</v>
      </c>
      <c r="O588" s="372" t="str">
        <f>CS_PID!O588/VLOOKUP($B588,표2[#ALL],2)/HLOOKUP($A588,표1[#ALL],row(),false)</f>
        <v>#N/A</v>
      </c>
      <c r="P588" s="372" t="str">
        <f>CS_PID!P588/VLOOKUP($B588,표2[#ALL],2)/HLOOKUP($A588,표1[#ALL],row(),false)</f>
        <v>#N/A</v>
      </c>
      <c r="Q588" s="372" t="str">
        <f>CS_PID!Q588/VLOOKUP($B588,표2[#ALL],2)/HLOOKUP($A588,표1[#ALL],row(),false)</f>
        <v>#N/A</v>
      </c>
      <c r="R588" s="372" t="str">
        <f>CS_PID!R588/VLOOKUP($B588,표2[#ALL],2)/HLOOKUP($A588,표1[#ALL],row(),false)</f>
        <v>#N/A</v>
      </c>
      <c r="S588" s="372" t="str">
        <f>CS_PID!S588/VLOOKUP($B588,표2[#ALL],2)/HLOOKUP($A588,표1[#ALL],row(),false)</f>
        <v>#N/A</v>
      </c>
      <c r="T588" s="372" t="str">
        <f>CS_PID!T588/VLOOKUP($B588,표2[#ALL],2)/HLOOKUP($A588,표1[#ALL],row(),false)</f>
        <v>#N/A</v>
      </c>
      <c r="U588" s="372" t="str">
        <f>CS_PID!U588/VLOOKUP($B588,표2[#ALL],2)/HLOOKUP($A588,표1[#ALL],row(),false)</f>
        <v>#N/A</v>
      </c>
      <c r="V588" s="372" t="str">
        <f>CS_PID!V588/VLOOKUP($B588,표2[#ALL],2)/HLOOKUP($A588,표1[#ALL],row(),false)</f>
        <v>#N/A</v>
      </c>
      <c r="W588" s="372" t="str">
        <f>CS_PID!W588/VLOOKUP($B588,표2[#ALL],2)/HLOOKUP($A588,표1[#ALL],row(),false)</f>
        <v>#N/A</v>
      </c>
      <c r="X588" s="372" t="str">
        <f>CS_PID!X588/VLOOKUP($B588,표2[#ALL],2)/HLOOKUP($A588,표1[#ALL],row(),false)</f>
        <v>#N/A</v>
      </c>
      <c r="Y588" s="372" t="str">
        <f>CS_PID!Y588/VLOOKUP($B588,표2[#ALL],2)/HLOOKUP($A588,표1[#ALL],row(),false)</f>
        <v>#N/A</v>
      </c>
      <c r="Z588" s="372" t="str">
        <f>CS_PID!Z588/VLOOKUP($B588,표2[#ALL],2)/HLOOKUP($A588,표1[#ALL],row(),false)</f>
        <v>#N/A</v>
      </c>
      <c r="AA588" s="372" t="str">
        <f>CS_PID!AA588/VLOOKUP($B588,표2[#ALL],2)/HLOOKUP($A588,표1[#ALL],row(),false)</f>
        <v>#N/A</v>
      </c>
      <c r="AB588" s="372" t="str">
        <f>CS_PID!AB588/VLOOKUP($B588,표2[#ALL],2)/HLOOKUP($A588,표1[#ALL],row(),false)</f>
        <v>#N/A</v>
      </c>
      <c r="AC588" s="372" t="str">
        <f>CS_PID!AC588/VLOOKUP($B588,표2[#ALL],2)/HLOOKUP($A588,표1[#ALL],row(),false)</f>
        <v>#N/A</v>
      </c>
      <c r="AD588" s="372" t="str">
        <f>CS_PID!AD588/VLOOKUP($B588,표2[#ALL],2)/HLOOKUP($A588,표1[#ALL],row(),false)</f>
        <v>#N/A</v>
      </c>
      <c r="AE588" s="372" t="str">
        <f>CS_PID!AE588/VLOOKUP($B588,표2[#ALL],2)/HLOOKUP($A588,표1[#ALL],row(),false)</f>
        <v>#N/A</v>
      </c>
      <c r="AF588" s="372" t="str">
        <f>CS_PID!AF588/VLOOKUP($B588,표2[#ALL],2)/HLOOKUP($A588,표1[#ALL],row(),false)</f>
        <v>#N/A</v>
      </c>
      <c r="AG588" s="372" t="str">
        <f>CS_PID!AG588/VLOOKUP($B588,표2[#ALL],2)/HLOOKUP($A588,표1[#ALL],row(),false)</f>
        <v>#N/A</v>
      </c>
      <c r="AH588" s="372" t="str">
        <f>CS_PID!AH588/VLOOKUP($B588,표2[#ALL],2)/HLOOKUP($A588,표1[#ALL],row(),false)</f>
        <v>#N/A</v>
      </c>
      <c r="AI588" s="372" t="str">
        <f>CS_PID!AI588/VLOOKUP($B588,표2[#ALL],2)/HLOOKUP($A588,표1[#ALL],row(),false)</f>
        <v>#N/A</v>
      </c>
      <c r="AJ588" s="372" t="str">
        <f>CS_PID!AJ588/VLOOKUP($B588,표2[#ALL],2)/HLOOKUP($A588,표1[#ALL],row(),false)</f>
        <v>#N/A</v>
      </c>
      <c r="AK588" s="372" t="str">
        <f>CS_PID!AK588/VLOOKUP($B588,표2[#ALL],2)/HLOOKUP($A588,표1[#ALL],row(),false)</f>
        <v>#N/A</v>
      </c>
      <c r="AL588" s="372" t="str">
        <f>CS_PID!AL588/VLOOKUP($B588,표2[#ALL],2)/HLOOKUP($A588,표1[#ALL],row(),false)</f>
        <v>#N/A</v>
      </c>
      <c r="AM588" s="372" t="str">
        <f>CS_PID!AM588/VLOOKUP($B588,표2[#ALL],2)/HLOOKUP($A588,표1[#ALL],row(),false)</f>
        <v>#N/A</v>
      </c>
      <c r="AN588" s="372" t="str">
        <f>CS_PID!AN588/VLOOKUP($B588,표2[#ALL],2)/HLOOKUP($A588,표1[#ALL],row(),false)</f>
        <v>#N/A</v>
      </c>
      <c r="AO588" s="372" t="str">
        <f>CS_PID!AO588/VLOOKUP($B588,표2[#ALL],2)/HLOOKUP($A588,표1[#ALL],row(),false)</f>
        <v>#N/A</v>
      </c>
      <c r="AP588" s="372" t="str">
        <f>CS_PID!AP588/VLOOKUP($B588,표2[#ALL],2)/HLOOKUP($A588,표1[#ALL],row(),false)</f>
        <v>#N/A</v>
      </c>
      <c r="AQ588" s="372" t="str">
        <f>CS_PID!AQ588/VLOOKUP($B588,표2[#ALL],2)/HLOOKUP($A588,표1[#ALL],row(),false)</f>
        <v>#N/A</v>
      </c>
      <c r="AR588" s="372" t="str">
        <f>CS_PID!AR588/VLOOKUP($B588,표2[#ALL],2)/HLOOKUP($A588,표1[#ALL],row(),false)</f>
        <v>#N/A</v>
      </c>
      <c r="AS588" s="373" t="str">
        <f>CS_PID!AS588/VLOOKUP($B588,표2[#ALL],2)/HLOOKUP($A588,표1[#ALL],row(),false)</f>
        <v>#N/A</v>
      </c>
    </row>
    <row r="589">
      <c r="A589" s="374"/>
      <c r="B589" s="375"/>
      <c r="C589" s="376" t="str">
        <f>CS_PID!C589/VLOOKUP($B589,표2[#ALL],2)</f>
        <v>#N/A</v>
      </c>
      <c r="D589" s="376" t="str">
        <f>CS_PID!D589/VLOOKUP($B589,표2[#ALL],2)</f>
        <v>#N/A</v>
      </c>
      <c r="E589" s="376" t="str">
        <f>CS_PID!E589/VLOOKUP($B589,표2[#ALL],2)</f>
        <v>#N/A</v>
      </c>
      <c r="F589" s="376" t="str">
        <f>CS_PID!F589/VLOOKUP($B589,표2[#ALL],2)</f>
        <v>#N/A</v>
      </c>
      <c r="G589" s="376" t="str">
        <f>CS_PID!G589/VLOOKUP($B589,표2[#ALL],2)</f>
        <v>#N/A</v>
      </c>
      <c r="H589" s="376" t="str">
        <f>CS_PID!H589/VLOOKUP($B589,표2[#ALL],2)/HLOOKUP($A589,표1[#ALL],row(),false)</f>
        <v>#N/A</v>
      </c>
      <c r="I589" s="376" t="str">
        <f>CS_PID!I589/VLOOKUP($B589,표2[#ALL],2)/HLOOKUP($A589,표1[#ALL],row(),false)</f>
        <v>#N/A</v>
      </c>
      <c r="J589" s="376" t="str">
        <f>CS_PID!J589/VLOOKUP($B589,표2[#ALL],2)/HLOOKUP($A589,표1[#ALL],row(),false)</f>
        <v>#N/A</v>
      </c>
      <c r="K589" s="376" t="str">
        <f>CS_PID!K589/VLOOKUP($B589,표2[#ALL],2)/HLOOKUP($A589,표1[#ALL],row(),false)</f>
        <v>#N/A</v>
      </c>
      <c r="L589" s="376" t="str">
        <f>CS_PID!L589/VLOOKUP($B589,표2[#ALL],2)/HLOOKUP($A589,표1[#ALL],row(),false)</f>
        <v>#N/A</v>
      </c>
      <c r="M589" s="376" t="str">
        <f>CS_PID!M589/VLOOKUP($B589,표2[#ALL],2)/HLOOKUP($A589,표1[#ALL],row(),false)</f>
        <v>#N/A</v>
      </c>
      <c r="N589" s="376" t="str">
        <f>CS_PID!N589/VLOOKUP($B589,표2[#ALL],2)/HLOOKUP($A589,표1[#ALL],row(),false)</f>
        <v>#N/A</v>
      </c>
      <c r="O589" s="376" t="str">
        <f>CS_PID!O589/VLOOKUP($B589,표2[#ALL],2)/HLOOKUP($A589,표1[#ALL],row(),false)</f>
        <v>#N/A</v>
      </c>
      <c r="P589" s="376" t="str">
        <f>CS_PID!P589/VLOOKUP($B589,표2[#ALL],2)/HLOOKUP($A589,표1[#ALL],row(),false)</f>
        <v>#N/A</v>
      </c>
      <c r="Q589" s="376" t="str">
        <f>CS_PID!Q589/VLOOKUP($B589,표2[#ALL],2)/HLOOKUP($A589,표1[#ALL],row(),false)</f>
        <v>#N/A</v>
      </c>
      <c r="R589" s="376" t="str">
        <f>CS_PID!R589/VLOOKUP($B589,표2[#ALL],2)/HLOOKUP($A589,표1[#ALL],row(),false)</f>
        <v>#N/A</v>
      </c>
      <c r="S589" s="376" t="str">
        <f>CS_PID!S589/VLOOKUP($B589,표2[#ALL],2)/HLOOKUP($A589,표1[#ALL],row(),false)</f>
        <v>#N/A</v>
      </c>
      <c r="T589" s="376" t="str">
        <f>CS_PID!T589/VLOOKUP($B589,표2[#ALL],2)/HLOOKUP($A589,표1[#ALL],row(),false)</f>
        <v>#N/A</v>
      </c>
      <c r="U589" s="376" t="str">
        <f>CS_PID!U589/VLOOKUP($B589,표2[#ALL],2)/HLOOKUP($A589,표1[#ALL],row(),false)</f>
        <v>#N/A</v>
      </c>
      <c r="V589" s="376" t="str">
        <f>CS_PID!V589/VLOOKUP($B589,표2[#ALL],2)/HLOOKUP($A589,표1[#ALL],row(),false)</f>
        <v>#N/A</v>
      </c>
      <c r="W589" s="376" t="str">
        <f>CS_PID!W589/VLOOKUP($B589,표2[#ALL],2)/HLOOKUP($A589,표1[#ALL],row(),false)</f>
        <v>#N/A</v>
      </c>
      <c r="X589" s="376" t="str">
        <f>CS_PID!X589/VLOOKUP($B589,표2[#ALL],2)/HLOOKUP($A589,표1[#ALL],row(),false)</f>
        <v>#N/A</v>
      </c>
      <c r="Y589" s="376" t="str">
        <f>CS_PID!Y589/VLOOKUP($B589,표2[#ALL],2)/HLOOKUP($A589,표1[#ALL],row(),false)</f>
        <v>#N/A</v>
      </c>
      <c r="Z589" s="376" t="str">
        <f>CS_PID!Z589/VLOOKUP($B589,표2[#ALL],2)/HLOOKUP($A589,표1[#ALL],row(),false)</f>
        <v>#N/A</v>
      </c>
      <c r="AA589" s="376" t="str">
        <f>CS_PID!AA589/VLOOKUP($B589,표2[#ALL],2)/HLOOKUP($A589,표1[#ALL],row(),false)</f>
        <v>#N/A</v>
      </c>
      <c r="AB589" s="376" t="str">
        <f>CS_PID!AB589/VLOOKUP($B589,표2[#ALL],2)/HLOOKUP($A589,표1[#ALL],row(),false)</f>
        <v>#N/A</v>
      </c>
      <c r="AC589" s="376" t="str">
        <f>CS_PID!AC589/VLOOKUP($B589,표2[#ALL],2)/HLOOKUP($A589,표1[#ALL],row(),false)</f>
        <v>#N/A</v>
      </c>
      <c r="AD589" s="376" t="str">
        <f>CS_PID!AD589/VLOOKUP($B589,표2[#ALL],2)/HLOOKUP($A589,표1[#ALL],row(),false)</f>
        <v>#N/A</v>
      </c>
      <c r="AE589" s="376" t="str">
        <f>CS_PID!AE589/VLOOKUP($B589,표2[#ALL],2)/HLOOKUP($A589,표1[#ALL],row(),false)</f>
        <v>#N/A</v>
      </c>
      <c r="AF589" s="376" t="str">
        <f>CS_PID!AF589/VLOOKUP($B589,표2[#ALL],2)/HLOOKUP($A589,표1[#ALL],row(),false)</f>
        <v>#N/A</v>
      </c>
      <c r="AG589" s="376" t="str">
        <f>CS_PID!AG589/VLOOKUP($B589,표2[#ALL],2)/HLOOKUP($A589,표1[#ALL],row(),false)</f>
        <v>#N/A</v>
      </c>
      <c r="AH589" s="376" t="str">
        <f>CS_PID!AH589/VLOOKUP($B589,표2[#ALL],2)/HLOOKUP($A589,표1[#ALL],row(),false)</f>
        <v>#N/A</v>
      </c>
      <c r="AI589" s="376" t="str">
        <f>CS_PID!AI589/VLOOKUP($B589,표2[#ALL],2)/HLOOKUP($A589,표1[#ALL],row(),false)</f>
        <v>#N/A</v>
      </c>
      <c r="AJ589" s="376" t="str">
        <f>CS_PID!AJ589/VLOOKUP($B589,표2[#ALL],2)/HLOOKUP($A589,표1[#ALL],row(),false)</f>
        <v>#N/A</v>
      </c>
      <c r="AK589" s="376" t="str">
        <f>CS_PID!AK589/VLOOKUP($B589,표2[#ALL],2)/HLOOKUP($A589,표1[#ALL],row(),false)</f>
        <v>#N/A</v>
      </c>
      <c r="AL589" s="376" t="str">
        <f>CS_PID!AL589/VLOOKUP($B589,표2[#ALL],2)/HLOOKUP($A589,표1[#ALL],row(),false)</f>
        <v>#N/A</v>
      </c>
      <c r="AM589" s="376" t="str">
        <f>CS_PID!AM589/VLOOKUP($B589,표2[#ALL],2)/HLOOKUP($A589,표1[#ALL],row(),false)</f>
        <v>#N/A</v>
      </c>
      <c r="AN589" s="376" t="str">
        <f>CS_PID!AN589/VLOOKUP($B589,표2[#ALL],2)/HLOOKUP($A589,표1[#ALL],row(),false)</f>
        <v>#N/A</v>
      </c>
      <c r="AO589" s="376" t="str">
        <f>CS_PID!AO589/VLOOKUP($B589,표2[#ALL],2)/HLOOKUP($A589,표1[#ALL],row(),false)</f>
        <v>#N/A</v>
      </c>
      <c r="AP589" s="376" t="str">
        <f>CS_PID!AP589/VLOOKUP($B589,표2[#ALL],2)/HLOOKUP($A589,표1[#ALL],row(),false)</f>
        <v>#N/A</v>
      </c>
      <c r="AQ589" s="376" t="str">
        <f>CS_PID!AQ589/VLOOKUP($B589,표2[#ALL],2)/HLOOKUP($A589,표1[#ALL],row(),false)</f>
        <v>#N/A</v>
      </c>
      <c r="AR589" s="376" t="str">
        <f>CS_PID!AR589/VLOOKUP($B589,표2[#ALL],2)/HLOOKUP($A589,표1[#ALL],row(),false)</f>
        <v>#N/A</v>
      </c>
      <c r="AS589" s="377" t="str">
        <f>CS_PID!AS589/VLOOKUP($B589,표2[#ALL],2)/HLOOKUP($A589,표1[#ALL],row(),false)</f>
        <v>#N/A</v>
      </c>
    </row>
    <row r="590">
      <c r="A590" s="370"/>
      <c r="B590" s="371"/>
      <c r="C590" s="372" t="str">
        <f>CS_PID!C590/VLOOKUP($B590,표2[#ALL],2)</f>
        <v>#N/A</v>
      </c>
      <c r="D590" s="372" t="str">
        <f>CS_PID!D590/VLOOKUP($B590,표2[#ALL],2)</f>
        <v>#N/A</v>
      </c>
      <c r="E590" s="372" t="str">
        <f>CS_PID!E590/VLOOKUP($B590,표2[#ALL],2)</f>
        <v>#N/A</v>
      </c>
      <c r="F590" s="372" t="str">
        <f>CS_PID!F590/VLOOKUP($B590,표2[#ALL],2)</f>
        <v>#N/A</v>
      </c>
      <c r="G590" s="372" t="str">
        <f>CS_PID!G590/VLOOKUP($B590,표2[#ALL],2)</f>
        <v>#N/A</v>
      </c>
      <c r="H590" s="372" t="str">
        <f>CS_PID!H590/VLOOKUP($B590,표2[#ALL],2)/HLOOKUP($A590,표1[#ALL],row(),false)</f>
        <v>#N/A</v>
      </c>
      <c r="I590" s="372" t="str">
        <f>CS_PID!I590/VLOOKUP($B590,표2[#ALL],2)/HLOOKUP($A590,표1[#ALL],row(),false)</f>
        <v>#N/A</v>
      </c>
      <c r="J590" s="372" t="str">
        <f>CS_PID!J590/VLOOKUP($B590,표2[#ALL],2)/HLOOKUP($A590,표1[#ALL],row(),false)</f>
        <v>#N/A</v>
      </c>
      <c r="K590" s="372" t="str">
        <f>CS_PID!K590/VLOOKUP($B590,표2[#ALL],2)/HLOOKUP($A590,표1[#ALL],row(),false)</f>
        <v>#N/A</v>
      </c>
      <c r="L590" s="372" t="str">
        <f>CS_PID!L590/VLOOKUP($B590,표2[#ALL],2)/HLOOKUP($A590,표1[#ALL],row(),false)</f>
        <v>#N/A</v>
      </c>
      <c r="M590" s="372" t="str">
        <f>CS_PID!M590/VLOOKUP($B590,표2[#ALL],2)/HLOOKUP($A590,표1[#ALL],row(),false)</f>
        <v>#N/A</v>
      </c>
      <c r="N590" s="372" t="str">
        <f>CS_PID!N590/VLOOKUP($B590,표2[#ALL],2)/HLOOKUP($A590,표1[#ALL],row(),false)</f>
        <v>#N/A</v>
      </c>
      <c r="O590" s="372" t="str">
        <f>CS_PID!O590/VLOOKUP($B590,표2[#ALL],2)/HLOOKUP($A590,표1[#ALL],row(),false)</f>
        <v>#N/A</v>
      </c>
      <c r="P590" s="372" t="str">
        <f>CS_PID!P590/VLOOKUP($B590,표2[#ALL],2)/HLOOKUP($A590,표1[#ALL],row(),false)</f>
        <v>#N/A</v>
      </c>
      <c r="Q590" s="372" t="str">
        <f>CS_PID!Q590/VLOOKUP($B590,표2[#ALL],2)/HLOOKUP($A590,표1[#ALL],row(),false)</f>
        <v>#N/A</v>
      </c>
      <c r="R590" s="372" t="str">
        <f>CS_PID!R590/VLOOKUP($B590,표2[#ALL],2)/HLOOKUP($A590,표1[#ALL],row(),false)</f>
        <v>#N/A</v>
      </c>
      <c r="S590" s="372" t="str">
        <f>CS_PID!S590/VLOOKUP($B590,표2[#ALL],2)/HLOOKUP($A590,표1[#ALL],row(),false)</f>
        <v>#N/A</v>
      </c>
      <c r="T590" s="372" t="str">
        <f>CS_PID!T590/VLOOKUP($B590,표2[#ALL],2)/HLOOKUP($A590,표1[#ALL],row(),false)</f>
        <v>#N/A</v>
      </c>
      <c r="U590" s="372" t="str">
        <f>CS_PID!U590/VLOOKUP($B590,표2[#ALL],2)/HLOOKUP($A590,표1[#ALL],row(),false)</f>
        <v>#N/A</v>
      </c>
      <c r="V590" s="372" t="str">
        <f>CS_PID!V590/VLOOKUP($B590,표2[#ALL],2)/HLOOKUP($A590,표1[#ALL],row(),false)</f>
        <v>#N/A</v>
      </c>
      <c r="W590" s="372" t="str">
        <f>CS_PID!W590/VLOOKUP($B590,표2[#ALL],2)/HLOOKUP($A590,표1[#ALL],row(),false)</f>
        <v>#N/A</v>
      </c>
      <c r="X590" s="372" t="str">
        <f>CS_PID!X590/VLOOKUP($B590,표2[#ALL],2)/HLOOKUP($A590,표1[#ALL],row(),false)</f>
        <v>#N/A</v>
      </c>
      <c r="Y590" s="372" t="str">
        <f>CS_PID!Y590/VLOOKUP($B590,표2[#ALL],2)/HLOOKUP($A590,표1[#ALL],row(),false)</f>
        <v>#N/A</v>
      </c>
      <c r="Z590" s="372" t="str">
        <f>CS_PID!Z590/VLOOKUP($B590,표2[#ALL],2)/HLOOKUP($A590,표1[#ALL],row(),false)</f>
        <v>#N/A</v>
      </c>
      <c r="AA590" s="372" t="str">
        <f>CS_PID!AA590/VLOOKUP($B590,표2[#ALL],2)/HLOOKUP($A590,표1[#ALL],row(),false)</f>
        <v>#N/A</v>
      </c>
      <c r="AB590" s="372" t="str">
        <f>CS_PID!AB590/VLOOKUP($B590,표2[#ALL],2)/HLOOKUP($A590,표1[#ALL],row(),false)</f>
        <v>#N/A</v>
      </c>
      <c r="AC590" s="372" t="str">
        <f>CS_PID!AC590/VLOOKUP($B590,표2[#ALL],2)/HLOOKUP($A590,표1[#ALL],row(),false)</f>
        <v>#N/A</v>
      </c>
      <c r="AD590" s="372" t="str">
        <f>CS_PID!AD590/VLOOKUP($B590,표2[#ALL],2)/HLOOKUP($A590,표1[#ALL],row(),false)</f>
        <v>#N/A</v>
      </c>
      <c r="AE590" s="372" t="str">
        <f>CS_PID!AE590/VLOOKUP($B590,표2[#ALL],2)/HLOOKUP($A590,표1[#ALL],row(),false)</f>
        <v>#N/A</v>
      </c>
      <c r="AF590" s="372" t="str">
        <f>CS_PID!AF590/VLOOKUP($B590,표2[#ALL],2)/HLOOKUP($A590,표1[#ALL],row(),false)</f>
        <v>#N/A</v>
      </c>
      <c r="AG590" s="372" t="str">
        <f>CS_PID!AG590/VLOOKUP($B590,표2[#ALL],2)/HLOOKUP($A590,표1[#ALL],row(),false)</f>
        <v>#N/A</v>
      </c>
      <c r="AH590" s="372" t="str">
        <f>CS_PID!AH590/VLOOKUP($B590,표2[#ALL],2)/HLOOKUP($A590,표1[#ALL],row(),false)</f>
        <v>#N/A</v>
      </c>
      <c r="AI590" s="372" t="str">
        <f>CS_PID!AI590/VLOOKUP($B590,표2[#ALL],2)/HLOOKUP($A590,표1[#ALL],row(),false)</f>
        <v>#N/A</v>
      </c>
      <c r="AJ590" s="372" t="str">
        <f>CS_PID!AJ590/VLOOKUP($B590,표2[#ALL],2)/HLOOKUP($A590,표1[#ALL],row(),false)</f>
        <v>#N/A</v>
      </c>
      <c r="AK590" s="372" t="str">
        <f>CS_PID!AK590/VLOOKUP($B590,표2[#ALL],2)/HLOOKUP($A590,표1[#ALL],row(),false)</f>
        <v>#N/A</v>
      </c>
      <c r="AL590" s="372" t="str">
        <f>CS_PID!AL590/VLOOKUP($B590,표2[#ALL],2)/HLOOKUP($A590,표1[#ALL],row(),false)</f>
        <v>#N/A</v>
      </c>
      <c r="AM590" s="372" t="str">
        <f>CS_PID!AM590/VLOOKUP($B590,표2[#ALL],2)/HLOOKUP($A590,표1[#ALL],row(),false)</f>
        <v>#N/A</v>
      </c>
      <c r="AN590" s="372" t="str">
        <f>CS_PID!AN590/VLOOKUP($B590,표2[#ALL],2)/HLOOKUP($A590,표1[#ALL],row(),false)</f>
        <v>#N/A</v>
      </c>
      <c r="AO590" s="372" t="str">
        <f>CS_PID!AO590/VLOOKUP($B590,표2[#ALL],2)/HLOOKUP($A590,표1[#ALL],row(),false)</f>
        <v>#N/A</v>
      </c>
      <c r="AP590" s="372" t="str">
        <f>CS_PID!AP590/VLOOKUP($B590,표2[#ALL],2)/HLOOKUP($A590,표1[#ALL],row(),false)</f>
        <v>#N/A</v>
      </c>
      <c r="AQ590" s="372" t="str">
        <f>CS_PID!AQ590/VLOOKUP($B590,표2[#ALL],2)/HLOOKUP($A590,표1[#ALL],row(),false)</f>
        <v>#N/A</v>
      </c>
      <c r="AR590" s="372" t="str">
        <f>CS_PID!AR590/VLOOKUP($B590,표2[#ALL],2)/HLOOKUP($A590,표1[#ALL],row(),false)</f>
        <v>#N/A</v>
      </c>
      <c r="AS590" s="373" t="str">
        <f>CS_PID!AS590/VLOOKUP($B590,표2[#ALL],2)/HLOOKUP($A590,표1[#ALL],row(),false)</f>
        <v>#N/A</v>
      </c>
    </row>
    <row r="591">
      <c r="A591" s="374"/>
      <c r="B591" s="375"/>
      <c r="C591" s="376" t="str">
        <f>CS_PID!C591/VLOOKUP($B591,표2[#ALL],2)</f>
        <v>#N/A</v>
      </c>
      <c r="D591" s="376" t="str">
        <f>CS_PID!D591/VLOOKUP($B591,표2[#ALL],2)</f>
        <v>#N/A</v>
      </c>
      <c r="E591" s="376" t="str">
        <f>CS_PID!E591/VLOOKUP($B591,표2[#ALL],2)</f>
        <v>#N/A</v>
      </c>
      <c r="F591" s="376" t="str">
        <f>CS_PID!F591/VLOOKUP($B591,표2[#ALL],2)</f>
        <v>#N/A</v>
      </c>
      <c r="G591" s="376" t="str">
        <f>CS_PID!G591/VLOOKUP($B591,표2[#ALL],2)</f>
        <v>#N/A</v>
      </c>
      <c r="H591" s="376" t="str">
        <f>CS_PID!H591/VLOOKUP($B591,표2[#ALL],2)/HLOOKUP($A591,표1[#ALL],row(),false)</f>
        <v>#N/A</v>
      </c>
      <c r="I591" s="376" t="str">
        <f>CS_PID!I591/VLOOKUP($B591,표2[#ALL],2)/HLOOKUP($A591,표1[#ALL],row(),false)</f>
        <v>#N/A</v>
      </c>
      <c r="J591" s="376" t="str">
        <f>CS_PID!J591/VLOOKUP($B591,표2[#ALL],2)/HLOOKUP($A591,표1[#ALL],row(),false)</f>
        <v>#N/A</v>
      </c>
      <c r="K591" s="376" t="str">
        <f>CS_PID!K591/VLOOKUP($B591,표2[#ALL],2)/HLOOKUP($A591,표1[#ALL],row(),false)</f>
        <v>#N/A</v>
      </c>
      <c r="L591" s="376" t="str">
        <f>CS_PID!L591/VLOOKUP($B591,표2[#ALL],2)/HLOOKUP($A591,표1[#ALL],row(),false)</f>
        <v>#N/A</v>
      </c>
      <c r="M591" s="376" t="str">
        <f>CS_PID!M591/VLOOKUP($B591,표2[#ALL],2)/HLOOKUP($A591,표1[#ALL],row(),false)</f>
        <v>#N/A</v>
      </c>
      <c r="N591" s="376" t="str">
        <f>CS_PID!N591/VLOOKUP($B591,표2[#ALL],2)/HLOOKUP($A591,표1[#ALL],row(),false)</f>
        <v>#N/A</v>
      </c>
      <c r="O591" s="376" t="str">
        <f>CS_PID!O591/VLOOKUP($B591,표2[#ALL],2)/HLOOKUP($A591,표1[#ALL],row(),false)</f>
        <v>#N/A</v>
      </c>
      <c r="P591" s="376" t="str">
        <f>CS_PID!P591/VLOOKUP($B591,표2[#ALL],2)/HLOOKUP($A591,표1[#ALL],row(),false)</f>
        <v>#N/A</v>
      </c>
      <c r="Q591" s="376" t="str">
        <f>CS_PID!Q591/VLOOKUP($B591,표2[#ALL],2)/HLOOKUP($A591,표1[#ALL],row(),false)</f>
        <v>#N/A</v>
      </c>
      <c r="R591" s="376" t="str">
        <f>CS_PID!R591/VLOOKUP($B591,표2[#ALL],2)/HLOOKUP($A591,표1[#ALL],row(),false)</f>
        <v>#N/A</v>
      </c>
      <c r="S591" s="376" t="str">
        <f>CS_PID!S591/VLOOKUP($B591,표2[#ALL],2)/HLOOKUP($A591,표1[#ALL],row(),false)</f>
        <v>#N/A</v>
      </c>
      <c r="T591" s="376" t="str">
        <f>CS_PID!T591/VLOOKUP($B591,표2[#ALL],2)/HLOOKUP($A591,표1[#ALL],row(),false)</f>
        <v>#N/A</v>
      </c>
      <c r="U591" s="376" t="str">
        <f>CS_PID!U591/VLOOKUP($B591,표2[#ALL],2)/HLOOKUP($A591,표1[#ALL],row(),false)</f>
        <v>#N/A</v>
      </c>
      <c r="V591" s="376" t="str">
        <f>CS_PID!V591/VLOOKUP($B591,표2[#ALL],2)/HLOOKUP($A591,표1[#ALL],row(),false)</f>
        <v>#N/A</v>
      </c>
      <c r="W591" s="376" t="str">
        <f>CS_PID!W591/VLOOKUP($B591,표2[#ALL],2)/HLOOKUP($A591,표1[#ALL],row(),false)</f>
        <v>#N/A</v>
      </c>
      <c r="X591" s="376" t="str">
        <f>CS_PID!X591/VLOOKUP($B591,표2[#ALL],2)/HLOOKUP($A591,표1[#ALL],row(),false)</f>
        <v>#N/A</v>
      </c>
      <c r="Y591" s="376" t="str">
        <f>CS_PID!Y591/VLOOKUP($B591,표2[#ALL],2)/HLOOKUP($A591,표1[#ALL],row(),false)</f>
        <v>#N/A</v>
      </c>
      <c r="Z591" s="376" t="str">
        <f>CS_PID!Z591/VLOOKUP($B591,표2[#ALL],2)/HLOOKUP($A591,표1[#ALL],row(),false)</f>
        <v>#N/A</v>
      </c>
      <c r="AA591" s="376" t="str">
        <f>CS_PID!AA591/VLOOKUP($B591,표2[#ALL],2)/HLOOKUP($A591,표1[#ALL],row(),false)</f>
        <v>#N/A</v>
      </c>
      <c r="AB591" s="376" t="str">
        <f>CS_PID!AB591/VLOOKUP($B591,표2[#ALL],2)/HLOOKUP($A591,표1[#ALL],row(),false)</f>
        <v>#N/A</v>
      </c>
      <c r="AC591" s="376" t="str">
        <f>CS_PID!AC591/VLOOKUP($B591,표2[#ALL],2)/HLOOKUP($A591,표1[#ALL],row(),false)</f>
        <v>#N/A</v>
      </c>
      <c r="AD591" s="376" t="str">
        <f>CS_PID!AD591/VLOOKUP($B591,표2[#ALL],2)/HLOOKUP($A591,표1[#ALL],row(),false)</f>
        <v>#N/A</v>
      </c>
      <c r="AE591" s="376" t="str">
        <f>CS_PID!AE591/VLOOKUP($B591,표2[#ALL],2)/HLOOKUP($A591,표1[#ALL],row(),false)</f>
        <v>#N/A</v>
      </c>
      <c r="AF591" s="376" t="str">
        <f>CS_PID!AF591/VLOOKUP($B591,표2[#ALL],2)/HLOOKUP($A591,표1[#ALL],row(),false)</f>
        <v>#N/A</v>
      </c>
      <c r="AG591" s="376" t="str">
        <f>CS_PID!AG591/VLOOKUP($B591,표2[#ALL],2)/HLOOKUP($A591,표1[#ALL],row(),false)</f>
        <v>#N/A</v>
      </c>
      <c r="AH591" s="376" t="str">
        <f>CS_PID!AH591/VLOOKUP($B591,표2[#ALL],2)/HLOOKUP($A591,표1[#ALL],row(),false)</f>
        <v>#N/A</v>
      </c>
      <c r="AI591" s="376" t="str">
        <f>CS_PID!AI591/VLOOKUP($B591,표2[#ALL],2)/HLOOKUP($A591,표1[#ALL],row(),false)</f>
        <v>#N/A</v>
      </c>
      <c r="AJ591" s="376" t="str">
        <f>CS_PID!AJ591/VLOOKUP($B591,표2[#ALL],2)/HLOOKUP($A591,표1[#ALL],row(),false)</f>
        <v>#N/A</v>
      </c>
      <c r="AK591" s="376" t="str">
        <f>CS_PID!AK591/VLOOKUP($B591,표2[#ALL],2)/HLOOKUP($A591,표1[#ALL],row(),false)</f>
        <v>#N/A</v>
      </c>
      <c r="AL591" s="376" t="str">
        <f>CS_PID!AL591/VLOOKUP($B591,표2[#ALL],2)/HLOOKUP($A591,표1[#ALL],row(),false)</f>
        <v>#N/A</v>
      </c>
      <c r="AM591" s="376" t="str">
        <f>CS_PID!AM591/VLOOKUP($B591,표2[#ALL],2)/HLOOKUP($A591,표1[#ALL],row(),false)</f>
        <v>#N/A</v>
      </c>
      <c r="AN591" s="376" t="str">
        <f>CS_PID!AN591/VLOOKUP($B591,표2[#ALL],2)/HLOOKUP($A591,표1[#ALL],row(),false)</f>
        <v>#N/A</v>
      </c>
      <c r="AO591" s="376" t="str">
        <f>CS_PID!AO591/VLOOKUP($B591,표2[#ALL],2)/HLOOKUP($A591,표1[#ALL],row(),false)</f>
        <v>#N/A</v>
      </c>
      <c r="AP591" s="376" t="str">
        <f>CS_PID!AP591/VLOOKUP($B591,표2[#ALL],2)/HLOOKUP($A591,표1[#ALL],row(),false)</f>
        <v>#N/A</v>
      </c>
      <c r="AQ591" s="376" t="str">
        <f>CS_PID!AQ591/VLOOKUP($B591,표2[#ALL],2)/HLOOKUP($A591,표1[#ALL],row(),false)</f>
        <v>#N/A</v>
      </c>
      <c r="AR591" s="376" t="str">
        <f>CS_PID!AR591/VLOOKUP($B591,표2[#ALL],2)/HLOOKUP($A591,표1[#ALL],row(),false)</f>
        <v>#N/A</v>
      </c>
      <c r="AS591" s="377" t="str">
        <f>CS_PID!AS591/VLOOKUP($B591,표2[#ALL],2)/HLOOKUP($A591,표1[#ALL],row(),false)</f>
        <v>#N/A</v>
      </c>
    </row>
    <row r="592">
      <c r="A592" s="370"/>
      <c r="B592" s="371"/>
      <c r="C592" s="372" t="str">
        <f>CS_PID!C592/VLOOKUP($B592,표2[#ALL],2)</f>
        <v>#N/A</v>
      </c>
      <c r="D592" s="372" t="str">
        <f>CS_PID!D592/VLOOKUP($B592,표2[#ALL],2)</f>
        <v>#N/A</v>
      </c>
      <c r="E592" s="372" t="str">
        <f>CS_PID!E592/VLOOKUP($B592,표2[#ALL],2)</f>
        <v>#N/A</v>
      </c>
      <c r="F592" s="372" t="str">
        <f>CS_PID!F592/VLOOKUP($B592,표2[#ALL],2)</f>
        <v>#N/A</v>
      </c>
      <c r="G592" s="372" t="str">
        <f>CS_PID!G592/VLOOKUP($B592,표2[#ALL],2)</f>
        <v>#N/A</v>
      </c>
      <c r="H592" s="372" t="str">
        <f>CS_PID!H592/VLOOKUP($B592,표2[#ALL],2)/HLOOKUP($A592,표1[#ALL],row(),false)</f>
        <v>#N/A</v>
      </c>
      <c r="I592" s="372" t="str">
        <f>CS_PID!I592/VLOOKUP($B592,표2[#ALL],2)/HLOOKUP($A592,표1[#ALL],row(),false)</f>
        <v>#N/A</v>
      </c>
      <c r="J592" s="372" t="str">
        <f>CS_PID!J592/VLOOKUP($B592,표2[#ALL],2)/HLOOKUP($A592,표1[#ALL],row(),false)</f>
        <v>#N/A</v>
      </c>
      <c r="K592" s="372" t="str">
        <f>CS_PID!K592/VLOOKUP($B592,표2[#ALL],2)/HLOOKUP($A592,표1[#ALL],row(),false)</f>
        <v>#N/A</v>
      </c>
      <c r="L592" s="372" t="str">
        <f>CS_PID!L592/VLOOKUP($B592,표2[#ALL],2)/HLOOKUP($A592,표1[#ALL],row(),false)</f>
        <v>#N/A</v>
      </c>
      <c r="M592" s="372" t="str">
        <f>CS_PID!M592/VLOOKUP($B592,표2[#ALL],2)/HLOOKUP($A592,표1[#ALL],row(),false)</f>
        <v>#N/A</v>
      </c>
      <c r="N592" s="372" t="str">
        <f>CS_PID!N592/VLOOKUP($B592,표2[#ALL],2)/HLOOKUP($A592,표1[#ALL],row(),false)</f>
        <v>#N/A</v>
      </c>
      <c r="O592" s="372" t="str">
        <f>CS_PID!O592/VLOOKUP($B592,표2[#ALL],2)/HLOOKUP($A592,표1[#ALL],row(),false)</f>
        <v>#N/A</v>
      </c>
      <c r="P592" s="372" t="str">
        <f>CS_PID!P592/VLOOKUP($B592,표2[#ALL],2)/HLOOKUP($A592,표1[#ALL],row(),false)</f>
        <v>#N/A</v>
      </c>
      <c r="Q592" s="372" t="str">
        <f>CS_PID!Q592/VLOOKUP($B592,표2[#ALL],2)/HLOOKUP($A592,표1[#ALL],row(),false)</f>
        <v>#N/A</v>
      </c>
      <c r="R592" s="372" t="str">
        <f>CS_PID!R592/VLOOKUP($B592,표2[#ALL],2)/HLOOKUP($A592,표1[#ALL],row(),false)</f>
        <v>#N/A</v>
      </c>
      <c r="S592" s="372" t="str">
        <f>CS_PID!S592/VLOOKUP($B592,표2[#ALL],2)/HLOOKUP($A592,표1[#ALL],row(),false)</f>
        <v>#N/A</v>
      </c>
      <c r="T592" s="372" t="str">
        <f>CS_PID!T592/VLOOKUP($B592,표2[#ALL],2)/HLOOKUP($A592,표1[#ALL],row(),false)</f>
        <v>#N/A</v>
      </c>
      <c r="U592" s="372" t="str">
        <f>CS_PID!U592/VLOOKUP($B592,표2[#ALL],2)/HLOOKUP($A592,표1[#ALL],row(),false)</f>
        <v>#N/A</v>
      </c>
      <c r="V592" s="372" t="str">
        <f>CS_PID!V592/VLOOKUP($B592,표2[#ALL],2)/HLOOKUP($A592,표1[#ALL],row(),false)</f>
        <v>#N/A</v>
      </c>
      <c r="W592" s="372" t="str">
        <f>CS_PID!W592/VLOOKUP($B592,표2[#ALL],2)/HLOOKUP($A592,표1[#ALL],row(),false)</f>
        <v>#N/A</v>
      </c>
      <c r="X592" s="372" t="str">
        <f>CS_PID!X592/VLOOKUP($B592,표2[#ALL],2)/HLOOKUP($A592,표1[#ALL],row(),false)</f>
        <v>#N/A</v>
      </c>
      <c r="Y592" s="372" t="str">
        <f>CS_PID!Y592/VLOOKUP($B592,표2[#ALL],2)/HLOOKUP($A592,표1[#ALL],row(),false)</f>
        <v>#N/A</v>
      </c>
      <c r="Z592" s="372" t="str">
        <f>CS_PID!Z592/VLOOKUP($B592,표2[#ALL],2)/HLOOKUP($A592,표1[#ALL],row(),false)</f>
        <v>#N/A</v>
      </c>
      <c r="AA592" s="372" t="str">
        <f>CS_PID!AA592/VLOOKUP($B592,표2[#ALL],2)/HLOOKUP($A592,표1[#ALL],row(),false)</f>
        <v>#N/A</v>
      </c>
      <c r="AB592" s="372" t="str">
        <f>CS_PID!AB592/VLOOKUP($B592,표2[#ALL],2)/HLOOKUP($A592,표1[#ALL],row(),false)</f>
        <v>#N/A</v>
      </c>
      <c r="AC592" s="372" t="str">
        <f>CS_PID!AC592/VLOOKUP($B592,표2[#ALL],2)/HLOOKUP($A592,표1[#ALL],row(),false)</f>
        <v>#N/A</v>
      </c>
      <c r="AD592" s="372" t="str">
        <f>CS_PID!AD592/VLOOKUP($B592,표2[#ALL],2)/HLOOKUP($A592,표1[#ALL],row(),false)</f>
        <v>#N/A</v>
      </c>
      <c r="AE592" s="372" t="str">
        <f>CS_PID!AE592/VLOOKUP($B592,표2[#ALL],2)/HLOOKUP($A592,표1[#ALL],row(),false)</f>
        <v>#N/A</v>
      </c>
      <c r="AF592" s="372" t="str">
        <f>CS_PID!AF592/VLOOKUP($B592,표2[#ALL],2)/HLOOKUP($A592,표1[#ALL],row(),false)</f>
        <v>#N/A</v>
      </c>
      <c r="AG592" s="372" t="str">
        <f>CS_PID!AG592/VLOOKUP($B592,표2[#ALL],2)/HLOOKUP($A592,표1[#ALL],row(),false)</f>
        <v>#N/A</v>
      </c>
      <c r="AH592" s="372" t="str">
        <f>CS_PID!AH592/VLOOKUP($B592,표2[#ALL],2)/HLOOKUP($A592,표1[#ALL],row(),false)</f>
        <v>#N/A</v>
      </c>
      <c r="AI592" s="372" t="str">
        <f>CS_PID!AI592/VLOOKUP($B592,표2[#ALL],2)/HLOOKUP($A592,표1[#ALL],row(),false)</f>
        <v>#N/A</v>
      </c>
      <c r="AJ592" s="372" t="str">
        <f>CS_PID!AJ592/VLOOKUP($B592,표2[#ALL],2)/HLOOKUP($A592,표1[#ALL],row(),false)</f>
        <v>#N/A</v>
      </c>
      <c r="AK592" s="372" t="str">
        <f>CS_PID!AK592/VLOOKUP($B592,표2[#ALL],2)/HLOOKUP($A592,표1[#ALL],row(),false)</f>
        <v>#N/A</v>
      </c>
      <c r="AL592" s="372" t="str">
        <f>CS_PID!AL592/VLOOKUP($B592,표2[#ALL],2)/HLOOKUP($A592,표1[#ALL],row(),false)</f>
        <v>#N/A</v>
      </c>
      <c r="AM592" s="372" t="str">
        <f>CS_PID!AM592/VLOOKUP($B592,표2[#ALL],2)/HLOOKUP($A592,표1[#ALL],row(),false)</f>
        <v>#N/A</v>
      </c>
      <c r="AN592" s="372" t="str">
        <f>CS_PID!AN592/VLOOKUP($B592,표2[#ALL],2)/HLOOKUP($A592,표1[#ALL],row(),false)</f>
        <v>#N/A</v>
      </c>
      <c r="AO592" s="372" t="str">
        <f>CS_PID!AO592/VLOOKUP($B592,표2[#ALL],2)/HLOOKUP($A592,표1[#ALL],row(),false)</f>
        <v>#N/A</v>
      </c>
      <c r="AP592" s="372" t="str">
        <f>CS_PID!AP592/VLOOKUP($B592,표2[#ALL],2)/HLOOKUP($A592,표1[#ALL],row(),false)</f>
        <v>#N/A</v>
      </c>
      <c r="AQ592" s="372" t="str">
        <f>CS_PID!AQ592/VLOOKUP($B592,표2[#ALL],2)/HLOOKUP($A592,표1[#ALL],row(),false)</f>
        <v>#N/A</v>
      </c>
      <c r="AR592" s="372" t="str">
        <f>CS_PID!AR592/VLOOKUP($B592,표2[#ALL],2)/HLOOKUP($A592,표1[#ALL],row(),false)</f>
        <v>#N/A</v>
      </c>
      <c r="AS592" s="373" t="str">
        <f>CS_PID!AS592/VLOOKUP($B592,표2[#ALL],2)/HLOOKUP($A592,표1[#ALL],row(),false)</f>
        <v>#N/A</v>
      </c>
    </row>
    <row r="593">
      <c r="A593" s="374"/>
      <c r="B593" s="375"/>
      <c r="C593" s="376" t="str">
        <f>CS_PID!C593/VLOOKUP($B593,표2[#ALL],2)</f>
        <v>#N/A</v>
      </c>
      <c r="D593" s="376" t="str">
        <f>CS_PID!D593/VLOOKUP($B593,표2[#ALL],2)</f>
        <v>#N/A</v>
      </c>
      <c r="E593" s="376" t="str">
        <f>CS_PID!E593/VLOOKUP($B593,표2[#ALL],2)</f>
        <v>#N/A</v>
      </c>
      <c r="F593" s="376" t="str">
        <f>CS_PID!F593/VLOOKUP($B593,표2[#ALL],2)</f>
        <v>#N/A</v>
      </c>
      <c r="G593" s="376" t="str">
        <f>CS_PID!G593/VLOOKUP($B593,표2[#ALL],2)</f>
        <v>#N/A</v>
      </c>
      <c r="H593" s="376" t="str">
        <f>CS_PID!H593/VLOOKUP($B593,표2[#ALL],2)/HLOOKUP($A593,표1[#ALL],row(),false)</f>
        <v>#N/A</v>
      </c>
      <c r="I593" s="376" t="str">
        <f>CS_PID!I593/VLOOKUP($B593,표2[#ALL],2)/HLOOKUP($A593,표1[#ALL],row(),false)</f>
        <v>#N/A</v>
      </c>
      <c r="J593" s="376" t="str">
        <f>CS_PID!J593/VLOOKUP($B593,표2[#ALL],2)/HLOOKUP($A593,표1[#ALL],row(),false)</f>
        <v>#N/A</v>
      </c>
      <c r="K593" s="376" t="str">
        <f>CS_PID!K593/VLOOKUP($B593,표2[#ALL],2)/HLOOKUP($A593,표1[#ALL],row(),false)</f>
        <v>#N/A</v>
      </c>
      <c r="L593" s="376" t="str">
        <f>CS_PID!L593/VLOOKUP($B593,표2[#ALL],2)/HLOOKUP($A593,표1[#ALL],row(),false)</f>
        <v>#N/A</v>
      </c>
      <c r="M593" s="376" t="str">
        <f>CS_PID!M593/VLOOKUP($B593,표2[#ALL],2)/HLOOKUP($A593,표1[#ALL],row(),false)</f>
        <v>#N/A</v>
      </c>
      <c r="N593" s="376" t="str">
        <f>CS_PID!N593/VLOOKUP($B593,표2[#ALL],2)/HLOOKUP($A593,표1[#ALL],row(),false)</f>
        <v>#N/A</v>
      </c>
      <c r="O593" s="376" t="str">
        <f>CS_PID!O593/VLOOKUP($B593,표2[#ALL],2)/HLOOKUP($A593,표1[#ALL],row(),false)</f>
        <v>#N/A</v>
      </c>
      <c r="P593" s="376" t="str">
        <f>CS_PID!P593/VLOOKUP($B593,표2[#ALL],2)/HLOOKUP($A593,표1[#ALL],row(),false)</f>
        <v>#N/A</v>
      </c>
      <c r="Q593" s="376" t="str">
        <f>CS_PID!Q593/VLOOKUP($B593,표2[#ALL],2)/HLOOKUP($A593,표1[#ALL],row(),false)</f>
        <v>#N/A</v>
      </c>
      <c r="R593" s="376" t="str">
        <f>CS_PID!R593/VLOOKUP($B593,표2[#ALL],2)/HLOOKUP($A593,표1[#ALL],row(),false)</f>
        <v>#N/A</v>
      </c>
      <c r="S593" s="376" t="str">
        <f>CS_PID!S593/VLOOKUP($B593,표2[#ALL],2)/HLOOKUP($A593,표1[#ALL],row(),false)</f>
        <v>#N/A</v>
      </c>
      <c r="T593" s="376" t="str">
        <f>CS_PID!T593/VLOOKUP($B593,표2[#ALL],2)/HLOOKUP($A593,표1[#ALL],row(),false)</f>
        <v>#N/A</v>
      </c>
      <c r="U593" s="376" t="str">
        <f>CS_PID!U593/VLOOKUP($B593,표2[#ALL],2)/HLOOKUP($A593,표1[#ALL],row(),false)</f>
        <v>#N/A</v>
      </c>
      <c r="V593" s="376" t="str">
        <f>CS_PID!V593/VLOOKUP($B593,표2[#ALL],2)/HLOOKUP($A593,표1[#ALL],row(),false)</f>
        <v>#N/A</v>
      </c>
      <c r="W593" s="376" t="str">
        <f>CS_PID!W593/VLOOKUP($B593,표2[#ALL],2)/HLOOKUP($A593,표1[#ALL],row(),false)</f>
        <v>#N/A</v>
      </c>
      <c r="X593" s="376" t="str">
        <f>CS_PID!X593/VLOOKUP($B593,표2[#ALL],2)/HLOOKUP($A593,표1[#ALL],row(),false)</f>
        <v>#N/A</v>
      </c>
      <c r="Y593" s="376" t="str">
        <f>CS_PID!Y593/VLOOKUP($B593,표2[#ALL],2)/HLOOKUP($A593,표1[#ALL],row(),false)</f>
        <v>#N/A</v>
      </c>
      <c r="Z593" s="376" t="str">
        <f>CS_PID!Z593/VLOOKUP($B593,표2[#ALL],2)/HLOOKUP($A593,표1[#ALL],row(),false)</f>
        <v>#N/A</v>
      </c>
      <c r="AA593" s="376" t="str">
        <f>CS_PID!AA593/VLOOKUP($B593,표2[#ALL],2)/HLOOKUP($A593,표1[#ALL],row(),false)</f>
        <v>#N/A</v>
      </c>
      <c r="AB593" s="376" t="str">
        <f>CS_PID!AB593/VLOOKUP($B593,표2[#ALL],2)/HLOOKUP($A593,표1[#ALL],row(),false)</f>
        <v>#N/A</v>
      </c>
      <c r="AC593" s="376" t="str">
        <f>CS_PID!AC593/VLOOKUP($B593,표2[#ALL],2)/HLOOKUP($A593,표1[#ALL],row(),false)</f>
        <v>#N/A</v>
      </c>
      <c r="AD593" s="376" t="str">
        <f>CS_PID!AD593/VLOOKUP($B593,표2[#ALL],2)/HLOOKUP($A593,표1[#ALL],row(),false)</f>
        <v>#N/A</v>
      </c>
      <c r="AE593" s="376" t="str">
        <f>CS_PID!AE593/VLOOKUP($B593,표2[#ALL],2)/HLOOKUP($A593,표1[#ALL],row(),false)</f>
        <v>#N/A</v>
      </c>
      <c r="AF593" s="376" t="str">
        <f>CS_PID!AF593/VLOOKUP($B593,표2[#ALL],2)/HLOOKUP($A593,표1[#ALL],row(),false)</f>
        <v>#N/A</v>
      </c>
      <c r="AG593" s="376" t="str">
        <f>CS_PID!AG593/VLOOKUP($B593,표2[#ALL],2)/HLOOKUP($A593,표1[#ALL],row(),false)</f>
        <v>#N/A</v>
      </c>
      <c r="AH593" s="376" t="str">
        <f>CS_PID!AH593/VLOOKUP($B593,표2[#ALL],2)/HLOOKUP($A593,표1[#ALL],row(),false)</f>
        <v>#N/A</v>
      </c>
      <c r="AI593" s="376" t="str">
        <f>CS_PID!AI593/VLOOKUP($B593,표2[#ALL],2)/HLOOKUP($A593,표1[#ALL],row(),false)</f>
        <v>#N/A</v>
      </c>
      <c r="AJ593" s="376" t="str">
        <f>CS_PID!AJ593/VLOOKUP($B593,표2[#ALL],2)/HLOOKUP($A593,표1[#ALL],row(),false)</f>
        <v>#N/A</v>
      </c>
      <c r="AK593" s="376" t="str">
        <f>CS_PID!AK593/VLOOKUP($B593,표2[#ALL],2)/HLOOKUP($A593,표1[#ALL],row(),false)</f>
        <v>#N/A</v>
      </c>
      <c r="AL593" s="376" t="str">
        <f>CS_PID!AL593/VLOOKUP($B593,표2[#ALL],2)/HLOOKUP($A593,표1[#ALL],row(),false)</f>
        <v>#N/A</v>
      </c>
      <c r="AM593" s="376" t="str">
        <f>CS_PID!AM593/VLOOKUP($B593,표2[#ALL],2)/HLOOKUP($A593,표1[#ALL],row(),false)</f>
        <v>#N/A</v>
      </c>
      <c r="AN593" s="376" t="str">
        <f>CS_PID!AN593/VLOOKUP($B593,표2[#ALL],2)/HLOOKUP($A593,표1[#ALL],row(),false)</f>
        <v>#N/A</v>
      </c>
      <c r="AO593" s="376" t="str">
        <f>CS_PID!AO593/VLOOKUP($B593,표2[#ALL],2)/HLOOKUP($A593,표1[#ALL],row(),false)</f>
        <v>#N/A</v>
      </c>
      <c r="AP593" s="376" t="str">
        <f>CS_PID!AP593/VLOOKUP($B593,표2[#ALL],2)/HLOOKUP($A593,표1[#ALL],row(),false)</f>
        <v>#N/A</v>
      </c>
      <c r="AQ593" s="376" t="str">
        <f>CS_PID!AQ593/VLOOKUP($B593,표2[#ALL],2)/HLOOKUP($A593,표1[#ALL],row(),false)</f>
        <v>#N/A</v>
      </c>
      <c r="AR593" s="376" t="str">
        <f>CS_PID!AR593/VLOOKUP($B593,표2[#ALL],2)/HLOOKUP($A593,표1[#ALL],row(),false)</f>
        <v>#N/A</v>
      </c>
      <c r="AS593" s="377" t="str">
        <f>CS_PID!AS593/VLOOKUP($B593,표2[#ALL],2)/HLOOKUP($A593,표1[#ALL],row(),false)</f>
        <v>#N/A</v>
      </c>
    </row>
    <row r="594">
      <c r="A594" s="370"/>
      <c r="B594" s="371"/>
      <c r="C594" s="372" t="str">
        <f>CS_PID!C594/VLOOKUP($B594,표2[#ALL],2)</f>
        <v>#N/A</v>
      </c>
      <c r="D594" s="372" t="str">
        <f>CS_PID!D594/VLOOKUP($B594,표2[#ALL],2)</f>
        <v>#N/A</v>
      </c>
      <c r="E594" s="372" t="str">
        <f>CS_PID!E594/VLOOKUP($B594,표2[#ALL],2)</f>
        <v>#N/A</v>
      </c>
      <c r="F594" s="372" t="str">
        <f>CS_PID!F594/VLOOKUP($B594,표2[#ALL],2)</f>
        <v>#N/A</v>
      </c>
      <c r="G594" s="372" t="str">
        <f>CS_PID!G594/VLOOKUP($B594,표2[#ALL],2)</f>
        <v>#N/A</v>
      </c>
      <c r="H594" s="372" t="str">
        <f>CS_PID!H594/VLOOKUP($B594,표2[#ALL],2)/HLOOKUP($A594,표1[#ALL],row(),false)</f>
        <v>#N/A</v>
      </c>
      <c r="I594" s="372" t="str">
        <f>CS_PID!I594/VLOOKUP($B594,표2[#ALL],2)/HLOOKUP($A594,표1[#ALL],row(),false)</f>
        <v>#N/A</v>
      </c>
      <c r="J594" s="372" t="str">
        <f>CS_PID!J594/VLOOKUP($B594,표2[#ALL],2)/HLOOKUP($A594,표1[#ALL],row(),false)</f>
        <v>#N/A</v>
      </c>
      <c r="K594" s="372" t="str">
        <f>CS_PID!K594/VLOOKUP($B594,표2[#ALL],2)/HLOOKUP($A594,표1[#ALL],row(),false)</f>
        <v>#N/A</v>
      </c>
      <c r="L594" s="372" t="str">
        <f>CS_PID!L594/VLOOKUP($B594,표2[#ALL],2)/HLOOKUP($A594,표1[#ALL],row(),false)</f>
        <v>#N/A</v>
      </c>
      <c r="M594" s="372" t="str">
        <f>CS_PID!M594/VLOOKUP($B594,표2[#ALL],2)/HLOOKUP($A594,표1[#ALL],row(),false)</f>
        <v>#N/A</v>
      </c>
      <c r="N594" s="372" t="str">
        <f>CS_PID!N594/VLOOKUP($B594,표2[#ALL],2)/HLOOKUP($A594,표1[#ALL],row(),false)</f>
        <v>#N/A</v>
      </c>
      <c r="O594" s="372" t="str">
        <f>CS_PID!O594/VLOOKUP($B594,표2[#ALL],2)/HLOOKUP($A594,표1[#ALL],row(),false)</f>
        <v>#N/A</v>
      </c>
      <c r="P594" s="372" t="str">
        <f>CS_PID!P594/VLOOKUP($B594,표2[#ALL],2)/HLOOKUP($A594,표1[#ALL],row(),false)</f>
        <v>#N/A</v>
      </c>
      <c r="Q594" s="372" t="str">
        <f>CS_PID!Q594/VLOOKUP($B594,표2[#ALL],2)/HLOOKUP($A594,표1[#ALL],row(),false)</f>
        <v>#N/A</v>
      </c>
      <c r="R594" s="372" t="str">
        <f>CS_PID!R594/VLOOKUP($B594,표2[#ALL],2)/HLOOKUP($A594,표1[#ALL],row(),false)</f>
        <v>#N/A</v>
      </c>
      <c r="S594" s="372" t="str">
        <f>CS_PID!S594/VLOOKUP($B594,표2[#ALL],2)/HLOOKUP($A594,표1[#ALL],row(),false)</f>
        <v>#N/A</v>
      </c>
      <c r="T594" s="372" t="str">
        <f>CS_PID!T594/VLOOKUP($B594,표2[#ALL],2)/HLOOKUP($A594,표1[#ALL],row(),false)</f>
        <v>#N/A</v>
      </c>
      <c r="U594" s="372" t="str">
        <f>CS_PID!U594/VLOOKUP($B594,표2[#ALL],2)/HLOOKUP($A594,표1[#ALL],row(),false)</f>
        <v>#N/A</v>
      </c>
      <c r="V594" s="372" t="str">
        <f>CS_PID!V594/VLOOKUP($B594,표2[#ALL],2)/HLOOKUP($A594,표1[#ALL],row(),false)</f>
        <v>#N/A</v>
      </c>
      <c r="W594" s="372" t="str">
        <f>CS_PID!W594/VLOOKUP($B594,표2[#ALL],2)/HLOOKUP($A594,표1[#ALL],row(),false)</f>
        <v>#N/A</v>
      </c>
      <c r="X594" s="372" t="str">
        <f>CS_PID!X594/VLOOKUP($B594,표2[#ALL],2)/HLOOKUP($A594,표1[#ALL],row(),false)</f>
        <v>#N/A</v>
      </c>
      <c r="Y594" s="372" t="str">
        <f>CS_PID!Y594/VLOOKUP($B594,표2[#ALL],2)/HLOOKUP($A594,표1[#ALL],row(),false)</f>
        <v>#N/A</v>
      </c>
      <c r="Z594" s="372" t="str">
        <f>CS_PID!Z594/VLOOKUP($B594,표2[#ALL],2)/HLOOKUP($A594,표1[#ALL],row(),false)</f>
        <v>#N/A</v>
      </c>
      <c r="AA594" s="372" t="str">
        <f>CS_PID!AA594/VLOOKUP($B594,표2[#ALL],2)/HLOOKUP($A594,표1[#ALL],row(),false)</f>
        <v>#N/A</v>
      </c>
      <c r="AB594" s="372" t="str">
        <f>CS_PID!AB594/VLOOKUP($B594,표2[#ALL],2)/HLOOKUP($A594,표1[#ALL],row(),false)</f>
        <v>#N/A</v>
      </c>
      <c r="AC594" s="372" t="str">
        <f>CS_PID!AC594/VLOOKUP($B594,표2[#ALL],2)/HLOOKUP($A594,표1[#ALL],row(),false)</f>
        <v>#N/A</v>
      </c>
      <c r="AD594" s="372" t="str">
        <f>CS_PID!AD594/VLOOKUP($B594,표2[#ALL],2)/HLOOKUP($A594,표1[#ALL],row(),false)</f>
        <v>#N/A</v>
      </c>
      <c r="AE594" s="372" t="str">
        <f>CS_PID!AE594/VLOOKUP($B594,표2[#ALL],2)/HLOOKUP($A594,표1[#ALL],row(),false)</f>
        <v>#N/A</v>
      </c>
      <c r="AF594" s="372" t="str">
        <f>CS_PID!AF594/VLOOKUP($B594,표2[#ALL],2)/HLOOKUP($A594,표1[#ALL],row(),false)</f>
        <v>#N/A</v>
      </c>
      <c r="AG594" s="372" t="str">
        <f>CS_PID!AG594/VLOOKUP($B594,표2[#ALL],2)/HLOOKUP($A594,표1[#ALL],row(),false)</f>
        <v>#N/A</v>
      </c>
      <c r="AH594" s="372" t="str">
        <f>CS_PID!AH594/VLOOKUP($B594,표2[#ALL],2)/HLOOKUP($A594,표1[#ALL],row(),false)</f>
        <v>#N/A</v>
      </c>
      <c r="AI594" s="372" t="str">
        <f>CS_PID!AI594/VLOOKUP($B594,표2[#ALL],2)/HLOOKUP($A594,표1[#ALL],row(),false)</f>
        <v>#N/A</v>
      </c>
      <c r="AJ594" s="372" t="str">
        <f>CS_PID!AJ594/VLOOKUP($B594,표2[#ALL],2)/HLOOKUP($A594,표1[#ALL],row(),false)</f>
        <v>#N/A</v>
      </c>
      <c r="AK594" s="372" t="str">
        <f>CS_PID!AK594/VLOOKUP($B594,표2[#ALL],2)/HLOOKUP($A594,표1[#ALL],row(),false)</f>
        <v>#N/A</v>
      </c>
      <c r="AL594" s="372" t="str">
        <f>CS_PID!AL594/VLOOKUP($B594,표2[#ALL],2)/HLOOKUP($A594,표1[#ALL],row(),false)</f>
        <v>#N/A</v>
      </c>
      <c r="AM594" s="372" t="str">
        <f>CS_PID!AM594/VLOOKUP($B594,표2[#ALL],2)/HLOOKUP($A594,표1[#ALL],row(),false)</f>
        <v>#N/A</v>
      </c>
      <c r="AN594" s="372" t="str">
        <f>CS_PID!AN594/VLOOKUP($B594,표2[#ALL],2)/HLOOKUP($A594,표1[#ALL],row(),false)</f>
        <v>#N/A</v>
      </c>
      <c r="AO594" s="372" t="str">
        <f>CS_PID!AO594/VLOOKUP($B594,표2[#ALL],2)/HLOOKUP($A594,표1[#ALL],row(),false)</f>
        <v>#N/A</v>
      </c>
      <c r="AP594" s="372" t="str">
        <f>CS_PID!AP594/VLOOKUP($B594,표2[#ALL],2)/HLOOKUP($A594,표1[#ALL],row(),false)</f>
        <v>#N/A</v>
      </c>
      <c r="AQ594" s="372" t="str">
        <f>CS_PID!AQ594/VLOOKUP($B594,표2[#ALL],2)/HLOOKUP($A594,표1[#ALL],row(),false)</f>
        <v>#N/A</v>
      </c>
      <c r="AR594" s="372" t="str">
        <f>CS_PID!AR594/VLOOKUP($B594,표2[#ALL],2)/HLOOKUP($A594,표1[#ALL],row(),false)</f>
        <v>#N/A</v>
      </c>
      <c r="AS594" s="373" t="str">
        <f>CS_PID!AS594/VLOOKUP($B594,표2[#ALL],2)/HLOOKUP($A594,표1[#ALL],row(),false)</f>
        <v>#N/A</v>
      </c>
    </row>
    <row r="595">
      <c r="A595" s="374"/>
      <c r="B595" s="375"/>
      <c r="C595" s="376" t="str">
        <f>CS_PID!C595/VLOOKUP($B595,표2[#ALL],2)</f>
        <v>#N/A</v>
      </c>
      <c r="D595" s="376" t="str">
        <f>CS_PID!D595/VLOOKUP($B595,표2[#ALL],2)</f>
        <v>#N/A</v>
      </c>
      <c r="E595" s="376" t="str">
        <f>CS_PID!E595/VLOOKUP($B595,표2[#ALL],2)</f>
        <v>#N/A</v>
      </c>
      <c r="F595" s="376" t="str">
        <f>CS_PID!F595/VLOOKUP($B595,표2[#ALL],2)</f>
        <v>#N/A</v>
      </c>
      <c r="G595" s="376" t="str">
        <f>CS_PID!G595/VLOOKUP($B595,표2[#ALL],2)</f>
        <v>#N/A</v>
      </c>
      <c r="H595" s="376" t="str">
        <f>CS_PID!H595/VLOOKUP($B595,표2[#ALL],2)/HLOOKUP($A595,표1[#ALL],row(),false)</f>
        <v>#N/A</v>
      </c>
      <c r="I595" s="376" t="str">
        <f>CS_PID!I595/VLOOKUP($B595,표2[#ALL],2)/HLOOKUP($A595,표1[#ALL],row(),false)</f>
        <v>#N/A</v>
      </c>
      <c r="J595" s="376" t="str">
        <f>CS_PID!J595/VLOOKUP($B595,표2[#ALL],2)/HLOOKUP($A595,표1[#ALL],row(),false)</f>
        <v>#N/A</v>
      </c>
      <c r="K595" s="376" t="str">
        <f>CS_PID!K595/VLOOKUP($B595,표2[#ALL],2)/HLOOKUP($A595,표1[#ALL],row(),false)</f>
        <v>#N/A</v>
      </c>
      <c r="L595" s="376" t="str">
        <f>CS_PID!L595/VLOOKUP($B595,표2[#ALL],2)/HLOOKUP($A595,표1[#ALL],row(),false)</f>
        <v>#N/A</v>
      </c>
      <c r="M595" s="376" t="str">
        <f>CS_PID!M595/VLOOKUP($B595,표2[#ALL],2)/HLOOKUP($A595,표1[#ALL],row(),false)</f>
        <v>#N/A</v>
      </c>
      <c r="N595" s="376" t="str">
        <f>CS_PID!N595/VLOOKUP($B595,표2[#ALL],2)/HLOOKUP($A595,표1[#ALL],row(),false)</f>
        <v>#N/A</v>
      </c>
      <c r="O595" s="376" t="str">
        <f>CS_PID!O595/VLOOKUP($B595,표2[#ALL],2)/HLOOKUP($A595,표1[#ALL],row(),false)</f>
        <v>#N/A</v>
      </c>
      <c r="P595" s="376" t="str">
        <f>CS_PID!P595/VLOOKUP($B595,표2[#ALL],2)/HLOOKUP($A595,표1[#ALL],row(),false)</f>
        <v>#N/A</v>
      </c>
      <c r="Q595" s="376" t="str">
        <f>CS_PID!Q595/VLOOKUP($B595,표2[#ALL],2)/HLOOKUP($A595,표1[#ALL],row(),false)</f>
        <v>#N/A</v>
      </c>
      <c r="R595" s="376" t="str">
        <f>CS_PID!R595/VLOOKUP($B595,표2[#ALL],2)/HLOOKUP($A595,표1[#ALL],row(),false)</f>
        <v>#N/A</v>
      </c>
      <c r="S595" s="376" t="str">
        <f>CS_PID!S595/VLOOKUP($B595,표2[#ALL],2)/HLOOKUP($A595,표1[#ALL],row(),false)</f>
        <v>#N/A</v>
      </c>
      <c r="T595" s="376" t="str">
        <f>CS_PID!T595/VLOOKUP($B595,표2[#ALL],2)/HLOOKUP($A595,표1[#ALL],row(),false)</f>
        <v>#N/A</v>
      </c>
      <c r="U595" s="376" t="str">
        <f>CS_PID!U595/VLOOKUP($B595,표2[#ALL],2)/HLOOKUP($A595,표1[#ALL],row(),false)</f>
        <v>#N/A</v>
      </c>
      <c r="V595" s="376" t="str">
        <f>CS_PID!V595/VLOOKUP($B595,표2[#ALL],2)/HLOOKUP($A595,표1[#ALL],row(),false)</f>
        <v>#N/A</v>
      </c>
      <c r="W595" s="376" t="str">
        <f>CS_PID!W595/VLOOKUP($B595,표2[#ALL],2)/HLOOKUP($A595,표1[#ALL],row(),false)</f>
        <v>#N/A</v>
      </c>
      <c r="X595" s="376" t="str">
        <f>CS_PID!X595/VLOOKUP($B595,표2[#ALL],2)/HLOOKUP($A595,표1[#ALL],row(),false)</f>
        <v>#N/A</v>
      </c>
      <c r="Y595" s="376" t="str">
        <f>CS_PID!Y595/VLOOKUP($B595,표2[#ALL],2)/HLOOKUP($A595,표1[#ALL],row(),false)</f>
        <v>#N/A</v>
      </c>
      <c r="Z595" s="376" t="str">
        <f>CS_PID!Z595/VLOOKUP($B595,표2[#ALL],2)/HLOOKUP($A595,표1[#ALL],row(),false)</f>
        <v>#N/A</v>
      </c>
      <c r="AA595" s="376" t="str">
        <f>CS_PID!AA595/VLOOKUP($B595,표2[#ALL],2)/HLOOKUP($A595,표1[#ALL],row(),false)</f>
        <v>#N/A</v>
      </c>
      <c r="AB595" s="376" t="str">
        <f>CS_PID!AB595/VLOOKUP($B595,표2[#ALL],2)/HLOOKUP($A595,표1[#ALL],row(),false)</f>
        <v>#N/A</v>
      </c>
      <c r="AC595" s="376" t="str">
        <f>CS_PID!AC595/VLOOKUP($B595,표2[#ALL],2)/HLOOKUP($A595,표1[#ALL],row(),false)</f>
        <v>#N/A</v>
      </c>
      <c r="AD595" s="376" t="str">
        <f>CS_PID!AD595/VLOOKUP($B595,표2[#ALL],2)/HLOOKUP($A595,표1[#ALL],row(),false)</f>
        <v>#N/A</v>
      </c>
      <c r="AE595" s="376" t="str">
        <f>CS_PID!AE595/VLOOKUP($B595,표2[#ALL],2)/HLOOKUP($A595,표1[#ALL],row(),false)</f>
        <v>#N/A</v>
      </c>
      <c r="AF595" s="376" t="str">
        <f>CS_PID!AF595/VLOOKUP($B595,표2[#ALL],2)/HLOOKUP($A595,표1[#ALL],row(),false)</f>
        <v>#N/A</v>
      </c>
      <c r="AG595" s="376" t="str">
        <f>CS_PID!AG595/VLOOKUP($B595,표2[#ALL],2)/HLOOKUP($A595,표1[#ALL],row(),false)</f>
        <v>#N/A</v>
      </c>
      <c r="AH595" s="376" t="str">
        <f>CS_PID!AH595/VLOOKUP($B595,표2[#ALL],2)/HLOOKUP($A595,표1[#ALL],row(),false)</f>
        <v>#N/A</v>
      </c>
      <c r="AI595" s="376" t="str">
        <f>CS_PID!AI595/VLOOKUP($B595,표2[#ALL],2)/HLOOKUP($A595,표1[#ALL],row(),false)</f>
        <v>#N/A</v>
      </c>
      <c r="AJ595" s="376" t="str">
        <f>CS_PID!AJ595/VLOOKUP($B595,표2[#ALL],2)/HLOOKUP($A595,표1[#ALL],row(),false)</f>
        <v>#N/A</v>
      </c>
      <c r="AK595" s="376" t="str">
        <f>CS_PID!AK595/VLOOKUP($B595,표2[#ALL],2)/HLOOKUP($A595,표1[#ALL],row(),false)</f>
        <v>#N/A</v>
      </c>
      <c r="AL595" s="376" t="str">
        <f>CS_PID!AL595/VLOOKUP($B595,표2[#ALL],2)/HLOOKUP($A595,표1[#ALL],row(),false)</f>
        <v>#N/A</v>
      </c>
      <c r="AM595" s="376" t="str">
        <f>CS_PID!AM595/VLOOKUP($B595,표2[#ALL],2)/HLOOKUP($A595,표1[#ALL],row(),false)</f>
        <v>#N/A</v>
      </c>
      <c r="AN595" s="376" t="str">
        <f>CS_PID!AN595/VLOOKUP($B595,표2[#ALL],2)/HLOOKUP($A595,표1[#ALL],row(),false)</f>
        <v>#N/A</v>
      </c>
      <c r="AO595" s="376" t="str">
        <f>CS_PID!AO595/VLOOKUP($B595,표2[#ALL],2)/HLOOKUP($A595,표1[#ALL],row(),false)</f>
        <v>#N/A</v>
      </c>
      <c r="AP595" s="376" t="str">
        <f>CS_PID!AP595/VLOOKUP($B595,표2[#ALL],2)/HLOOKUP($A595,표1[#ALL],row(),false)</f>
        <v>#N/A</v>
      </c>
      <c r="AQ595" s="376" t="str">
        <f>CS_PID!AQ595/VLOOKUP($B595,표2[#ALL],2)/HLOOKUP($A595,표1[#ALL],row(),false)</f>
        <v>#N/A</v>
      </c>
      <c r="AR595" s="376" t="str">
        <f>CS_PID!AR595/VLOOKUP($B595,표2[#ALL],2)/HLOOKUP($A595,표1[#ALL],row(),false)</f>
        <v>#N/A</v>
      </c>
      <c r="AS595" s="377" t="str">
        <f>CS_PID!AS595/VLOOKUP($B595,표2[#ALL],2)/HLOOKUP($A595,표1[#ALL],row(),false)</f>
        <v>#N/A</v>
      </c>
    </row>
    <row r="596">
      <c r="A596" s="370"/>
      <c r="B596" s="371"/>
      <c r="C596" s="372" t="str">
        <f>CS_PID!C596/VLOOKUP($B596,표2[#ALL],2)</f>
        <v>#N/A</v>
      </c>
      <c r="D596" s="372" t="str">
        <f>CS_PID!D596/VLOOKUP($B596,표2[#ALL],2)</f>
        <v>#N/A</v>
      </c>
      <c r="E596" s="372" t="str">
        <f>CS_PID!E596/VLOOKUP($B596,표2[#ALL],2)</f>
        <v>#N/A</v>
      </c>
      <c r="F596" s="372" t="str">
        <f>CS_PID!F596/VLOOKUP($B596,표2[#ALL],2)</f>
        <v>#N/A</v>
      </c>
      <c r="G596" s="372" t="str">
        <f>CS_PID!G596/VLOOKUP($B596,표2[#ALL],2)</f>
        <v>#N/A</v>
      </c>
      <c r="H596" s="372" t="str">
        <f>CS_PID!H596/VLOOKUP($B596,표2[#ALL],2)/HLOOKUP($A596,표1[#ALL],row(),false)</f>
        <v>#N/A</v>
      </c>
      <c r="I596" s="372" t="str">
        <f>CS_PID!I596/VLOOKUP($B596,표2[#ALL],2)/HLOOKUP($A596,표1[#ALL],row(),false)</f>
        <v>#N/A</v>
      </c>
      <c r="J596" s="372" t="str">
        <f>CS_PID!J596/VLOOKUP($B596,표2[#ALL],2)/HLOOKUP($A596,표1[#ALL],row(),false)</f>
        <v>#N/A</v>
      </c>
      <c r="K596" s="372" t="str">
        <f>CS_PID!K596/VLOOKUP($B596,표2[#ALL],2)/HLOOKUP($A596,표1[#ALL],row(),false)</f>
        <v>#N/A</v>
      </c>
      <c r="L596" s="372" t="str">
        <f>CS_PID!L596/VLOOKUP($B596,표2[#ALL],2)/HLOOKUP($A596,표1[#ALL],row(),false)</f>
        <v>#N/A</v>
      </c>
      <c r="M596" s="372" t="str">
        <f>CS_PID!M596/VLOOKUP($B596,표2[#ALL],2)/HLOOKUP($A596,표1[#ALL],row(),false)</f>
        <v>#N/A</v>
      </c>
      <c r="N596" s="372" t="str">
        <f>CS_PID!N596/VLOOKUP($B596,표2[#ALL],2)/HLOOKUP($A596,표1[#ALL],row(),false)</f>
        <v>#N/A</v>
      </c>
      <c r="O596" s="372" t="str">
        <f>CS_PID!O596/VLOOKUP($B596,표2[#ALL],2)/HLOOKUP($A596,표1[#ALL],row(),false)</f>
        <v>#N/A</v>
      </c>
      <c r="P596" s="372" t="str">
        <f>CS_PID!P596/VLOOKUP($B596,표2[#ALL],2)/HLOOKUP($A596,표1[#ALL],row(),false)</f>
        <v>#N/A</v>
      </c>
      <c r="Q596" s="372" t="str">
        <f>CS_PID!Q596/VLOOKUP($B596,표2[#ALL],2)/HLOOKUP($A596,표1[#ALL],row(),false)</f>
        <v>#N/A</v>
      </c>
      <c r="R596" s="372" t="str">
        <f>CS_PID!R596/VLOOKUP($B596,표2[#ALL],2)/HLOOKUP($A596,표1[#ALL],row(),false)</f>
        <v>#N/A</v>
      </c>
      <c r="S596" s="372" t="str">
        <f>CS_PID!S596/VLOOKUP($B596,표2[#ALL],2)/HLOOKUP($A596,표1[#ALL],row(),false)</f>
        <v>#N/A</v>
      </c>
      <c r="T596" s="372" t="str">
        <f>CS_PID!T596/VLOOKUP($B596,표2[#ALL],2)/HLOOKUP($A596,표1[#ALL],row(),false)</f>
        <v>#N/A</v>
      </c>
      <c r="U596" s="372" t="str">
        <f>CS_PID!U596/VLOOKUP($B596,표2[#ALL],2)/HLOOKUP($A596,표1[#ALL],row(),false)</f>
        <v>#N/A</v>
      </c>
      <c r="V596" s="372" t="str">
        <f>CS_PID!V596/VLOOKUP($B596,표2[#ALL],2)/HLOOKUP($A596,표1[#ALL],row(),false)</f>
        <v>#N/A</v>
      </c>
      <c r="W596" s="372" t="str">
        <f>CS_PID!W596/VLOOKUP($B596,표2[#ALL],2)/HLOOKUP($A596,표1[#ALL],row(),false)</f>
        <v>#N/A</v>
      </c>
      <c r="X596" s="372" t="str">
        <f>CS_PID!X596/VLOOKUP($B596,표2[#ALL],2)/HLOOKUP($A596,표1[#ALL],row(),false)</f>
        <v>#N/A</v>
      </c>
      <c r="Y596" s="372" t="str">
        <f>CS_PID!Y596/VLOOKUP($B596,표2[#ALL],2)/HLOOKUP($A596,표1[#ALL],row(),false)</f>
        <v>#N/A</v>
      </c>
      <c r="Z596" s="372" t="str">
        <f>CS_PID!Z596/VLOOKUP($B596,표2[#ALL],2)/HLOOKUP($A596,표1[#ALL],row(),false)</f>
        <v>#N/A</v>
      </c>
      <c r="AA596" s="372" t="str">
        <f>CS_PID!AA596/VLOOKUP($B596,표2[#ALL],2)/HLOOKUP($A596,표1[#ALL],row(),false)</f>
        <v>#N/A</v>
      </c>
      <c r="AB596" s="372" t="str">
        <f>CS_PID!AB596/VLOOKUP($B596,표2[#ALL],2)/HLOOKUP($A596,표1[#ALL],row(),false)</f>
        <v>#N/A</v>
      </c>
      <c r="AC596" s="372" t="str">
        <f>CS_PID!AC596/VLOOKUP($B596,표2[#ALL],2)/HLOOKUP($A596,표1[#ALL],row(),false)</f>
        <v>#N/A</v>
      </c>
      <c r="AD596" s="372" t="str">
        <f>CS_PID!AD596/VLOOKUP($B596,표2[#ALL],2)/HLOOKUP($A596,표1[#ALL],row(),false)</f>
        <v>#N/A</v>
      </c>
      <c r="AE596" s="372" t="str">
        <f>CS_PID!AE596/VLOOKUP($B596,표2[#ALL],2)/HLOOKUP($A596,표1[#ALL],row(),false)</f>
        <v>#N/A</v>
      </c>
      <c r="AF596" s="372" t="str">
        <f>CS_PID!AF596/VLOOKUP($B596,표2[#ALL],2)/HLOOKUP($A596,표1[#ALL],row(),false)</f>
        <v>#N/A</v>
      </c>
      <c r="AG596" s="372" t="str">
        <f>CS_PID!AG596/VLOOKUP($B596,표2[#ALL],2)/HLOOKUP($A596,표1[#ALL],row(),false)</f>
        <v>#N/A</v>
      </c>
      <c r="AH596" s="372" t="str">
        <f>CS_PID!AH596/VLOOKUP($B596,표2[#ALL],2)/HLOOKUP($A596,표1[#ALL],row(),false)</f>
        <v>#N/A</v>
      </c>
      <c r="AI596" s="372" t="str">
        <f>CS_PID!AI596/VLOOKUP($B596,표2[#ALL],2)/HLOOKUP($A596,표1[#ALL],row(),false)</f>
        <v>#N/A</v>
      </c>
      <c r="AJ596" s="372" t="str">
        <f>CS_PID!AJ596/VLOOKUP($B596,표2[#ALL],2)/HLOOKUP($A596,표1[#ALL],row(),false)</f>
        <v>#N/A</v>
      </c>
      <c r="AK596" s="372" t="str">
        <f>CS_PID!AK596/VLOOKUP($B596,표2[#ALL],2)/HLOOKUP($A596,표1[#ALL],row(),false)</f>
        <v>#N/A</v>
      </c>
      <c r="AL596" s="372" t="str">
        <f>CS_PID!AL596/VLOOKUP($B596,표2[#ALL],2)/HLOOKUP($A596,표1[#ALL],row(),false)</f>
        <v>#N/A</v>
      </c>
      <c r="AM596" s="372" t="str">
        <f>CS_PID!AM596/VLOOKUP($B596,표2[#ALL],2)/HLOOKUP($A596,표1[#ALL],row(),false)</f>
        <v>#N/A</v>
      </c>
      <c r="AN596" s="372" t="str">
        <f>CS_PID!AN596/VLOOKUP($B596,표2[#ALL],2)/HLOOKUP($A596,표1[#ALL],row(),false)</f>
        <v>#N/A</v>
      </c>
      <c r="AO596" s="372" t="str">
        <f>CS_PID!AO596/VLOOKUP($B596,표2[#ALL],2)/HLOOKUP($A596,표1[#ALL],row(),false)</f>
        <v>#N/A</v>
      </c>
      <c r="AP596" s="372" t="str">
        <f>CS_PID!AP596/VLOOKUP($B596,표2[#ALL],2)/HLOOKUP($A596,표1[#ALL],row(),false)</f>
        <v>#N/A</v>
      </c>
      <c r="AQ596" s="372" t="str">
        <f>CS_PID!AQ596/VLOOKUP($B596,표2[#ALL],2)/HLOOKUP($A596,표1[#ALL],row(),false)</f>
        <v>#N/A</v>
      </c>
      <c r="AR596" s="372" t="str">
        <f>CS_PID!AR596/VLOOKUP($B596,표2[#ALL],2)/HLOOKUP($A596,표1[#ALL],row(),false)</f>
        <v>#N/A</v>
      </c>
      <c r="AS596" s="373" t="str">
        <f>CS_PID!AS596/VLOOKUP($B596,표2[#ALL],2)/HLOOKUP($A596,표1[#ALL],row(),false)</f>
        <v>#N/A</v>
      </c>
    </row>
    <row r="597">
      <c r="A597" s="374"/>
      <c r="B597" s="375"/>
      <c r="C597" s="376" t="str">
        <f>CS_PID!C597/VLOOKUP($B597,표2[#ALL],2)</f>
        <v>#N/A</v>
      </c>
      <c r="D597" s="376" t="str">
        <f>CS_PID!D597/VLOOKUP($B597,표2[#ALL],2)</f>
        <v>#N/A</v>
      </c>
      <c r="E597" s="376" t="str">
        <f>CS_PID!E597/VLOOKUP($B597,표2[#ALL],2)</f>
        <v>#N/A</v>
      </c>
      <c r="F597" s="376" t="str">
        <f>CS_PID!F597/VLOOKUP($B597,표2[#ALL],2)</f>
        <v>#N/A</v>
      </c>
      <c r="G597" s="376" t="str">
        <f>CS_PID!G597/VLOOKUP($B597,표2[#ALL],2)</f>
        <v>#N/A</v>
      </c>
      <c r="H597" s="376" t="str">
        <f>CS_PID!H597/VLOOKUP($B597,표2[#ALL],2)/HLOOKUP($A597,표1[#ALL],row(),false)</f>
        <v>#N/A</v>
      </c>
      <c r="I597" s="376" t="str">
        <f>CS_PID!I597/VLOOKUP($B597,표2[#ALL],2)/HLOOKUP($A597,표1[#ALL],row(),false)</f>
        <v>#N/A</v>
      </c>
      <c r="J597" s="376" t="str">
        <f>CS_PID!J597/VLOOKUP($B597,표2[#ALL],2)/HLOOKUP($A597,표1[#ALL],row(),false)</f>
        <v>#N/A</v>
      </c>
      <c r="K597" s="376" t="str">
        <f>CS_PID!K597/VLOOKUP($B597,표2[#ALL],2)/HLOOKUP($A597,표1[#ALL],row(),false)</f>
        <v>#N/A</v>
      </c>
      <c r="L597" s="376" t="str">
        <f>CS_PID!L597/VLOOKUP($B597,표2[#ALL],2)/HLOOKUP($A597,표1[#ALL],row(),false)</f>
        <v>#N/A</v>
      </c>
      <c r="M597" s="376" t="str">
        <f>CS_PID!M597/VLOOKUP($B597,표2[#ALL],2)/HLOOKUP($A597,표1[#ALL],row(),false)</f>
        <v>#N/A</v>
      </c>
      <c r="N597" s="376" t="str">
        <f>CS_PID!N597/VLOOKUP($B597,표2[#ALL],2)/HLOOKUP($A597,표1[#ALL],row(),false)</f>
        <v>#N/A</v>
      </c>
      <c r="O597" s="376" t="str">
        <f>CS_PID!O597/VLOOKUP($B597,표2[#ALL],2)/HLOOKUP($A597,표1[#ALL],row(),false)</f>
        <v>#N/A</v>
      </c>
      <c r="P597" s="376" t="str">
        <f>CS_PID!P597/VLOOKUP($B597,표2[#ALL],2)/HLOOKUP($A597,표1[#ALL],row(),false)</f>
        <v>#N/A</v>
      </c>
      <c r="Q597" s="376" t="str">
        <f>CS_PID!Q597/VLOOKUP($B597,표2[#ALL],2)/HLOOKUP($A597,표1[#ALL],row(),false)</f>
        <v>#N/A</v>
      </c>
      <c r="R597" s="376" t="str">
        <f>CS_PID!R597/VLOOKUP($B597,표2[#ALL],2)/HLOOKUP($A597,표1[#ALL],row(),false)</f>
        <v>#N/A</v>
      </c>
      <c r="S597" s="376" t="str">
        <f>CS_PID!S597/VLOOKUP($B597,표2[#ALL],2)/HLOOKUP($A597,표1[#ALL],row(),false)</f>
        <v>#N/A</v>
      </c>
      <c r="T597" s="376" t="str">
        <f>CS_PID!T597/VLOOKUP($B597,표2[#ALL],2)/HLOOKUP($A597,표1[#ALL],row(),false)</f>
        <v>#N/A</v>
      </c>
      <c r="U597" s="376" t="str">
        <f>CS_PID!U597/VLOOKUP($B597,표2[#ALL],2)/HLOOKUP($A597,표1[#ALL],row(),false)</f>
        <v>#N/A</v>
      </c>
      <c r="V597" s="376" t="str">
        <f>CS_PID!V597/VLOOKUP($B597,표2[#ALL],2)/HLOOKUP($A597,표1[#ALL],row(),false)</f>
        <v>#N/A</v>
      </c>
      <c r="W597" s="376" t="str">
        <f>CS_PID!W597/VLOOKUP($B597,표2[#ALL],2)/HLOOKUP($A597,표1[#ALL],row(),false)</f>
        <v>#N/A</v>
      </c>
      <c r="X597" s="376" t="str">
        <f>CS_PID!X597/VLOOKUP($B597,표2[#ALL],2)/HLOOKUP($A597,표1[#ALL],row(),false)</f>
        <v>#N/A</v>
      </c>
      <c r="Y597" s="376" t="str">
        <f>CS_PID!Y597/VLOOKUP($B597,표2[#ALL],2)/HLOOKUP($A597,표1[#ALL],row(),false)</f>
        <v>#N/A</v>
      </c>
      <c r="Z597" s="376" t="str">
        <f>CS_PID!Z597/VLOOKUP($B597,표2[#ALL],2)/HLOOKUP($A597,표1[#ALL],row(),false)</f>
        <v>#N/A</v>
      </c>
      <c r="AA597" s="376" t="str">
        <f>CS_PID!AA597/VLOOKUP($B597,표2[#ALL],2)/HLOOKUP($A597,표1[#ALL],row(),false)</f>
        <v>#N/A</v>
      </c>
      <c r="AB597" s="376" t="str">
        <f>CS_PID!AB597/VLOOKUP($B597,표2[#ALL],2)/HLOOKUP($A597,표1[#ALL],row(),false)</f>
        <v>#N/A</v>
      </c>
      <c r="AC597" s="376" t="str">
        <f>CS_PID!AC597/VLOOKUP($B597,표2[#ALL],2)/HLOOKUP($A597,표1[#ALL],row(),false)</f>
        <v>#N/A</v>
      </c>
      <c r="AD597" s="376" t="str">
        <f>CS_PID!AD597/VLOOKUP($B597,표2[#ALL],2)/HLOOKUP($A597,표1[#ALL],row(),false)</f>
        <v>#N/A</v>
      </c>
      <c r="AE597" s="376" t="str">
        <f>CS_PID!AE597/VLOOKUP($B597,표2[#ALL],2)/HLOOKUP($A597,표1[#ALL],row(),false)</f>
        <v>#N/A</v>
      </c>
      <c r="AF597" s="376" t="str">
        <f>CS_PID!AF597/VLOOKUP($B597,표2[#ALL],2)/HLOOKUP($A597,표1[#ALL],row(),false)</f>
        <v>#N/A</v>
      </c>
      <c r="AG597" s="376" t="str">
        <f>CS_PID!AG597/VLOOKUP($B597,표2[#ALL],2)/HLOOKUP($A597,표1[#ALL],row(),false)</f>
        <v>#N/A</v>
      </c>
      <c r="AH597" s="376" t="str">
        <f>CS_PID!AH597/VLOOKUP($B597,표2[#ALL],2)/HLOOKUP($A597,표1[#ALL],row(),false)</f>
        <v>#N/A</v>
      </c>
      <c r="AI597" s="376" t="str">
        <f>CS_PID!AI597/VLOOKUP($B597,표2[#ALL],2)/HLOOKUP($A597,표1[#ALL],row(),false)</f>
        <v>#N/A</v>
      </c>
      <c r="AJ597" s="376" t="str">
        <f>CS_PID!AJ597/VLOOKUP($B597,표2[#ALL],2)/HLOOKUP($A597,표1[#ALL],row(),false)</f>
        <v>#N/A</v>
      </c>
      <c r="AK597" s="376" t="str">
        <f>CS_PID!AK597/VLOOKUP($B597,표2[#ALL],2)/HLOOKUP($A597,표1[#ALL],row(),false)</f>
        <v>#N/A</v>
      </c>
      <c r="AL597" s="376" t="str">
        <f>CS_PID!AL597/VLOOKUP($B597,표2[#ALL],2)/HLOOKUP($A597,표1[#ALL],row(),false)</f>
        <v>#N/A</v>
      </c>
      <c r="AM597" s="376" t="str">
        <f>CS_PID!AM597/VLOOKUP($B597,표2[#ALL],2)/HLOOKUP($A597,표1[#ALL],row(),false)</f>
        <v>#N/A</v>
      </c>
      <c r="AN597" s="376" t="str">
        <f>CS_PID!AN597/VLOOKUP($B597,표2[#ALL],2)/HLOOKUP($A597,표1[#ALL],row(),false)</f>
        <v>#N/A</v>
      </c>
      <c r="AO597" s="376" t="str">
        <f>CS_PID!AO597/VLOOKUP($B597,표2[#ALL],2)/HLOOKUP($A597,표1[#ALL],row(),false)</f>
        <v>#N/A</v>
      </c>
      <c r="AP597" s="376" t="str">
        <f>CS_PID!AP597/VLOOKUP($B597,표2[#ALL],2)/HLOOKUP($A597,표1[#ALL],row(),false)</f>
        <v>#N/A</v>
      </c>
      <c r="AQ597" s="376" t="str">
        <f>CS_PID!AQ597/VLOOKUP($B597,표2[#ALL],2)/HLOOKUP($A597,표1[#ALL],row(),false)</f>
        <v>#N/A</v>
      </c>
      <c r="AR597" s="376" t="str">
        <f>CS_PID!AR597/VLOOKUP($B597,표2[#ALL],2)/HLOOKUP($A597,표1[#ALL],row(),false)</f>
        <v>#N/A</v>
      </c>
      <c r="AS597" s="377" t="str">
        <f>CS_PID!AS597/VLOOKUP($B597,표2[#ALL],2)/HLOOKUP($A597,표1[#ALL],row(),false)</f>
        <v>#N/A</v>
      </c>
    </row>
    <row r="598">
      <c r="A598" s="370"/>
      <c r="B598" s="371"/>
      <c r="C598" s="372" t="str">
        <f>CS_PID!C598/VLOOKUP($B598,표2[#ALL],2)</f>
        <v>#N/A</v>
      </c>
      <c r="D598" s="372" t="str">
        <f>CS_PID!D598/VLOOKUP($B598,표2[#ALL],2)</f>
        <v>#N/A</v>
      </c>
      <c r="E598" s="372" t="str">
        <f>CS_PID!E598/VLOOKUP($B598,표2[#ALL],2)</f>
        <v>#N/A</v>
      </c>
      <c r="F598" s="372" t="str">
        <f>CS_PID!F598/VLOOKUP($B598,표2[#ALL],2)</f>
        <v>#N/A</v>
      </c>
      <c r="G598" s="372" t="str">
        <f>CS_PID!G598/VLOOKUP($B598,표2[#ALL],2)</f>
        <v>#N/A</v>
      </c>
      <c r="H598" s="372" t="str">
        <f>CS_PID!H598/VLOOKUP($B598,표2[#ALL],2)/HLOOKUP($A598,표1[#ALL],row(),false)</f>
        <v>#N/A</v>
      </c>
      <c r="I598" s="372" t="str">
        <f>CS_PID!I598/VLOOKUP($B598,표2[#ALL],2)/HLOOKUP($A598,표1[#ALL],row(),false)</f>
        <v>#N/A</v>
      </c>
      <c r="J598" s="372" t="str">
        <f>CS_PID!J598/VLOOKUP($B598,표2[#ALL],2)/HLOOKUP($A598,표1[#ALL],row(),false)</f>
        <v>#N/A</v>
      </c>
      <c r="K598" s="372" t="str">
        <f>CS_PID!K598/VLOOKUP($B598,표2[#ALL],2)/HLOOKUP($A598,표1[#ALL],row(),false)</f>
        <v>#N/A</v>
      </c>
      <c r="L598" s="372" t="str">
        <f>CS_PID!L598/VLOOKUP($B598,표2[#ALL],2)/HLOOKUP($A598,표1[#ALL],row(),false)</f>
        <v>#N/A</v>
      </c>
      <c r="M598" s="372" t="str">
        <f>CS_PID!M598/VLOOKUP($B598,표2[#ALL],2)/HLOOKUP($A598,표1[#ALL],row(),false)</f>
        <v>#N/A</v>
      </c>
      <c r="N598" s="372" t="str">
        <f>CS_PID!N598/VLOOKUP($B598,표2[#ALL],2)/HLOOKUP($A598,표1[#ALL],row(),false)</f>
        <v>#N/A</v>
      </c>
      <c r="O598" s="372" t="str">
        <f>CS_PID!O598/VLOOKUP($B598,표2[#ALL],2)/HLOOKUP($A598,표1[#ALL],row(),false)</f>
        <v>#N/A</v>
      </c>
      <c r="P598" s="372" t="str">
        <f>CS_PID!P598/VLOOKUP($B598,표2[#ALL],2)/HLOOKUP($A598,표1[#ALL],row(),false)</f>
        <v>#N/A</v>
      </c>
      <c r="Q598" s="372" t="str">
        <f>CS_PID!Q598/VLOOKUP($B598,표2[#ALL],2)/HLOOKUP($A598,표1[#ALL],row(),false)</f>
        <v>#N/A</v>
      </c>
      <c r="R598" s="372" t="str">
        <f>CS_PID!R598/VLOOKUP($B598,표2[#ALL],2)/HLOOKUP($A598,표1[#ALL],row(),false)</f>
        <v>#N/A</v>
      </c>
      <c r="S598" s="372" t="str">
        <f>CS_PID!S598/VLOOKUP($B598,표2[#ALL],2)/HLOOKUP($A598,표1[#ALL],row(),false)</f>
        <v>#N/A</v>
      </c>
      <c r="T598" s="372" t="str">
        <f>CS_PID!T598/VLOOKUP($B598,표2[#ALL],2)/HLOOKUP($A598,표1[#ALL],row(),false)</f>
        <v>#N/A</v>
      </c>
      <c r="U598" s="372" t="str">
        <f>CS_PID!U598/VLOOKUP($B598,표2[#ALL],2)/HLOOKUP($A598,표1[#ALL],row(),false)</f>
        <v>#N/A</v>
      </c>
      <c r="V598" s="372" t="str">
        <f>CS_PID!V598/VLOOKUP($B598,표2[#ALL],2)/HLOOKUP($A598,표1[#ALL],row(),false)</f>
        <v>#N/A</v>
      </c>
      <c r="W598" s="372" t="str">
        <f>CS_PID!W598/VLOOKUP($B598,표2[#ALL],2)/HLOOKUP($A598,표1[#ALL],row(),false)</f>
        <v>#N/A</v>
      </c>
      <c r="X598" s="372" t="str">
        <f>CS_PID!X598/VLOOKUP($B598,표2[#ALL],2)/HLOOKUP($A598,표1[#ALL],row(),false)</f>
        <v>#N/A</v>
      </c>
      <c r="Y598" s="372" t="str">
        <f>CS_PID!Y598/VLOOKUP($B598,표2[#ALL],2)/HLOOKUP($A598,표1[#ALL],row(),false)</f>
        <v>#N/A</v>
      </c>
      <c r="Z598" s="372" t="str">
        <f>CS_PID!Z598/VLOOKUP($B598,표2[#ALL],2)/HLOOKUP($A598,표1[#ALL],row(),false)</f>
        <v>#N/A</v>
      </c>
      <c r="AA598" s="372" t="str">
        <f>CS_PID!AA598/VLOOKUP($B598,표2[#ALL],2)/HLOOKUP($A598,표1[#ALL],row(),false)</f>
        <v>#N/A</v>
      </c>
      <c r="AB598" s="372" t="str">
        <f>CS_PID!AB598/VLOOKUP($B598,표2[#ALL],2)/HLOOKUP($A598,표1[#ALL],row(),false)</f>
        <v>#N/A</v>
      </c>
      <c r="AC598" s="372" t="str">
        <f>CS_PID!AC598/VLOOKUP($B598,표2[#ALL],2)/HLOOKUP($A598,표1[#ALL],row(),false)</f>
        <v>#N/A</v>
      </c>
      <c r="AD598" s="372" t="str">
        <f>CS_PID!AD598/VLOOKUP($B598,표2[#ALL],2)/HLOOKUP($A598,표1[#ALL],row(),false)</f>
        <v>#N/A</v>
      </c>
      <c r="AE598" s="372" t="str">
        <f>CS_PID!AE598/VLOOKUP($B598,표2[#ALL],2)/HLOOKUP($A598,표1[#ALL],row(),false)</f>
        <v>#N/A</v>
      </c>
      <c r="AF598" s="372" t="str">
        <f>CS_PID!AF598/VLOOKUP($B598,표2[#ALL],2)/HLOOKUP($A598,표1[#ALL],row(),false)</f>
        <v>#N/A</v>
      </c>
      <c r="AG598" s="372" t="str">
        <f>CS_PID!AG598/VLOOKUP($B598,표2[#ALL],2)/HLOOKUP($A598,표1[#ALL],row(),false)</f>
        <v>#N/A</v>
      </c>
      <c r="AH598" s="372" t="str">
        <f>CS_PID!AH598/VLOOKUP($B598,표2[#ALL],2)/HLOOKUP($A598,표1[#ALL],row(),false)</f>
        <v>#N/A</v>
      </c>
      <c r="AI598" s="372" t="str">
        <f>CS_PID!AI598/VLOOKUP($B598,표2[#ALL],2)/HLOOKUP($A598,표1[#ALL],row(),false)</f>
        <v>#N/A</v>
      </c>
      <c r="AJ598" s="372" t="str">
        <f>CS_PID!AJ598/VLOOKUP($B598,표2[#ALL],2)/HLOOKUP($A598,표1[#ALL],row(),false)</f>
        <v>#N/A</v>
      </c>
      <c r="AK598" s="372" t="str">
        <f>CS_PID!AK598/VLOOKUP($B598,표2[#ALL],2)/HLOOKUP($A598,표1[#ALL],row(),false)</f>
        <v>#N/A</v>
      </c>
      <c r="AL598" s="372" t="str">
        <f>CS_PID!AL598/VLOOKUP($B598,표2[#ALL],2)/HLOOKUP($A598,표1[#ALL],row(),false)</f>
        <v>#N/A</v>
      </c>
      <c r="AM598" s="372" t="str">
        <f>CS_PID!AM598/VLOOKUP($B598,표2[#ALL],2)/HLOOKUP($A598,표1[#ALL],row(),false)</f>
        <v>#N/A</v>
      </c>
      <c r="AN598" s="372" t="str">
        <f>CS_PID!AN598/VLOOKUP($B598,표2[#ALL],2)/HLOOKUP($A598,표1[#ALL],row(),false)</f>
        <v>#N/A</v>
      </c>
      <c r="AO598" s="372" t="str">
        <f>CS_PID!AO598/VLOOKUP($B598,표2[#ALL],2)/HLOOKUP($A598,표1[#ALL],row(),false)</f>
        <v>#N/A</v>
      </c>
      <c r="AP598" s="372" t="str">
        <f>CS_PID!AP598/VLOOKUP($B598,표2[#ALL],2)/HLOOKUP($A598,표1[#ALL],row(),false)</f>
        <v>#N/A</v>
      </c>
      <c r="AQ598" s="372" t="str">
        <f>CS_PID!AQ598/VLOOKUP($B598,표2[#ALL],2)/HLOOKUP($A598,표1[#ALL],row(),false)</f>
        <v>#N/A</v>
      </c>
      <c r="AR598" s="372" t="str">
        <f>CS_PID!AR598/VLOOKUP($B598,표2[#ALL],2)/HLOOKUP($A598,표1[#ALL],row(),false)</f>
        <v>#N/A</v>
      </c>
      <c r="AS598" s="373" t="str">
        <f>CS_PID!AS598/VLOOKUP($B598,표2[#ALL],2)/HLOOKUP($A598,표1[#ALL],row(),false)</f>
        <v>#N/A</v>
      </c>
    </row>
    <row r="599">
      <c r="A599" s="374"/>
      <c r="B599" s="375"/>
      <c r="C599" s="376" t="str">
        <f>CS_PID!C599/VLOOKUP($B599,표2[#ALL],2)</f>
        <v>#N/A</v>
      </c>
      <c r="D599" s="376" t="str">
        <f>CS_PID!D599/VLOOKUP($B599,표2[#ALL],2)</f>
        <v>#N/A</v>
      </c>
      <c r="E599" s="376" t="str">
        <f>CS_PID!E599/VLOOKUP($B599,표2[#ALL],2)</f>
        <v>#N/A</v>
      </c>
      <c r="F599" s="376" t="str">
        <f>CS_PID!F599/VLOOKUP($B599,표2[#ALL],2)</f>
        <v>#N/A</v>
      </c>
      <c r="G599" s="376" t="str">
        <f>CS_PID!G599/VLOOKUP($B599,표2[#ALL],2)</f>
        <v>#N/A</v>
      </c>
      <c r="H599" s="376" t="str">
        <f>CS_PID!H599/VLOOKUP($B599,표2[#ALL],2)/HLOOKUP($A599,표1[#ALL],row(),false)</f>
        <v>#N/A</v>
      </c>
      <c r="I599" s="376" t="str">
        <f>CS_PID!I599/VLOOKUP($B599,표2[#ALL],2)/HLOOKUP($A599,표1[#ALL],row(),false)</f>
        <v>#N/A</v>
      </c>
      <c r="J599" s="376" t="str">
        <f>CS_PID!J599/VLOOKUP($B599,표2[#ALL],2)/HLOOKUP($A599,표1[#ALL],row(),false)</f>
        <v>#N/A</v>
      </c>
      <c r="K599" s="376" t="str">
        <f>CS_PID!K599/VLOOKUP($B599,표2[#ALL],2)/HLOOKUP($A599,표1[#ALL],row(),false)</f>
        <v>#N/A</v>
      </c>
      <c r="L599" s="376" t="str">
        <f>CS_PID!L599/VLOOKUP($B599,표2[#ALL],2)/HLOOKUP($A599,표1[#ALL],row(),false)</f>
        <v>#N/A</v>
      </c>
      <c r="M599" s="376" t="str">
        <f>CS_PID!M599/VLOOKUP($B599,표2[#ALL],2)/HLOOKUP($A599,표1[#ALL],row(),false)</f>
        <v>#N/A</v>
      </c>
      <c r="N599" s="376" t="str">
        <f>CS_PID!N599/VLOOKUP($B599,표2[#ALL],2)/HLOOKUP($A599,표1[#ALL],row(),false)</f>
        <v>#N/A</v>
      </c>
      <c r="O599" s="376" t="str">
        <f>CS_PID!O599/VLOOKUP($B599,표2[#ALL],2)/HLOOKUP($A599,표1[#ALL],row(),false)</f>
        <v>#N/A</v>
      </c>
      <c r="P599" s="376" t="str">
        <f>CS_PID!P599/VLOOKUP($B599,표2[#ALL],2)/HLOOKUP($A599,표1[#ALL],row(),false)</f>
        <v>#N/A</v>
      </c>
      <c r="Q599" s="376" t="str">
        <f>CS_PID!Q599/VLOOKUP($B599,표2[#ALL],2)/HLOOKUP($A599,표1[#ALL],row(),false)</f>
        <v>#N/A</v>
      </c>
      <c r="R599" s="376" t="str">
        <f>CS_PID!R599/VLOOKUP($B599,표2[#ALL],2)/HLOOKUP($A599,표1[#ALL],row(),false)</f>
        <v>#N/A</v>
      </c>
      <c r="S599" s="376" t="str">
        <f>CS_PID!S599/VLOOKUP($B599,표2[#ALL],2)/HLOOKUP($A599,표1[#ALL],row(),false)</f>
        <v>#N/A</v>
      </c>
      <c r="T599" s="376" t="str">
        <f>CS_PID!T599/VLOOKUP($B599,표2[#ALL],2)/HLOOKUP($A599,표1[#ALL],row(),false)</f>
        <v>#N/A</v>
      </c>
      <c r="U599" s="376" t="str">
        <f>CS_PID!U599/VLOOKUP($B599,표2[#ALL],2)/HLOOKUP($A599,표1[#ALL],row(),false)</f>
        <v>#N/A</v>
      </c>
      <c r="V599" s="376" t="str">
        <f>CS_PID!V599/VLOOKUP($B599,표2[#ALL],2)/HLOOKUP($A599,표1[#ALL],row(),false)</f>
        <v>#N/A</v>
      </c>
      <c r="W599" s="376" t="str">
        <f>CS_PID!W599/VLOOKUP($B599,표2[#ALL],2)/HLOOKUP($A599,표1[#ALL],row(),false)</f>
        <v>#N/A</v>
      </c>
      <c r="X599" s="376" t="str">
        <f>CS_PID!X599/VLOOKUP($B599,표2[#ALL],2)/HLOOKUP($A599,표1[#ALL],row(),false)</f>
        <v>#N/A</v>
      </c>
      <c r="Y599" s="376" t="str">
        <f>CS_PID!Y599/VLOOKUP($B599,표2[#ALL],2)/HLOOKUP($A599,표1[#ALL],row(),false)</f>
        <v>#N/A</v>
      </c>
      <c r="Z599" s="376" t="str">
        <f>CS_PID!Z599/VLOOKUP($B599,표2[#ALL],2)/HLOOKUP($A599,표1[#ALL],row(),false)</f>
        <v>#N/A</v>
      </c>
      <c r="AA599" s="376" t="str">
        <f>CS_PID!AA599/VLOOKUP($B599,표2[#ALL],2)/HLOOKUP($A599,표1[#ALL],row(),false)</f>
        <v>#N/A</v>
      </c>
      <c r="AB599" s="376" t="str">
        <f>CS_PID!AB599/VLOOKUP($B599,표2[#ALL],2)/HLOOKUP($A599,표1[#ALL],row(),false)</f>
        <v>#N/A</v>
      </c>
      <c r="AC599" s="376" t="str">
        <f>CS_PID!AC599/VLOOKUP($B599,표2[#ALL],2)/HLOOKUP($A599,표1[#ALL],row(),false)</f>
        <v>#N/A</v>
      </c>
      <c r="AD599" s="376" t="str">
        <f>CS_PID!AD599/VLOOKUP($B599,표2[#ALL],2)/HLOOKUP($A599,표1[#ALL],row(),false)</f>
        <v>#N/A</v>
      </c>
      <c r="AE599" s="376" t="str">
        <f>CS_PID!AE599/VLOOKUP($B599,표2[#ALL],2)/HLOOKUP($A599,표1[#ALL],row(),false)</f>
        <v>#N/A</v>
      </c>
      <c r="AF599" s="376" t="str">
        <f>CS_PID!AF599/VLOOKUP($B599,표2[#ALL],2)/HLOOKUP($A599,표1[#ALL],row(),false)</f>
        <v>#N/A</v>
      </c>
      <c r="AG599" s="376" t="str">
        <f>CS_PID!AG599/VLOOKUP($B599,표2[#ALL],2)/HLOOKUP($A599,표1[#ALL],row(),false)</f>
        <v>#N/A</v>
      </c>
      <c r="AH599" s="376" t="str">
        <f>CS_PID!AH599/VLOOKUP($B599,표2[#ALL],2)/HLOOKUP($A599,표1[#ALL],row(),false)</f>
        <v>#N/A</v>
      </c>
      <c r="AI599" s="376" t="str">
        <f>CS_PID!AI599/VLOOKUP($B599,표2[#ALL],2)/HLOOKUP($A599,표1[#ALL],row(),false)</f>
        <v>#N/A</v>
      </c>
      <c r="AJ599" s="376" t="str">
        <f>CS_PID!AJ599/VLOOKUP($B599,표2[#ALL],2)/HLOOKUP($A599,표1[#ALL],row(),false)</f>
        <v>#N/A</v>
      </c>
      <c r="AK599" s="376" t="str">
        <f>CS_PID!AK599/VLOOKUP($B599,표2[#ALL],2)/HLOOKUP($A599,표1[#ALL],row(),false)</f>
        <v>#N/A</v>
      </c>
      <c r="AL599" s="376" t="str">
        <f>CS_PID!AL599/VLOOKUP($B599,표2[#ALL],2)/HLOOKUP($A599,표1[#ALL],row(),false)</f>
        <v>#N/A</v>
      </c>
      <c r="AM599" s="376" t="str">
        <f>CS_PID!AM599/VLOOKUP($B599,표2[#ALL],2)/HLOOKUP($A599,표1[#ALL],row(),false)</f>
        <v>#N/A</v>
      </c>
      <c r="AN599" s="376" t="str">
        <f>CS_PID!AN599/VLOOKUP($B599,표2[#ALL],2)/HLOOKUP($A599,표1[#ALL],row(),false)</f>
        <v>#N/A</v>
      </c>
      <c r="AO599" s="376" t="str">
        <f>CS_PID!AO599/VLOOKUP($B599,표2[#ALL],2)/HLOOKUP($A599,표1[#ALL],row(),false)</f>
        <v>#N/A</v>
      </c>
      <c r="AP599" s="376" t="str">
        <f>CS_PID!AP599/VLOOKUP($B599,표2[#ALL],2)/HLOOKUP($A599,표1[#ALL],row(),false)</f>
        <v>#N/A</v>
      </c>
      <c r="AQ599" s="376" t="str">
        <f>CS_PID!AQ599/VLOOKUP($B599,표2[#ALL],2)/HLOOKUP($A599,표1[#ALL],row(),false)</f>
        <v>#N/A</v>
      </c>
      <c r="AR599" s="376" t="str">
        <f>CS_PID!AR599/VLOOKUP($B599,표2[#ALL],2)/HLOOKUP($A599,표1[#ALL],row(),false)</f>
        <v>#N/A</v>
      </c>
      <c r="AS599" s="377" t="str">
        <f>CS_PID!AS599/VLOOKUP($B599,표2[#ALL],2)/HLOOKUP($A599,표1[#ALL],row(),false)</f>
        <v>#N/A</v>
      </c>
    </row>
    <row r="600">
      <c r="A600" s="370"/>
      <c r="B600" s="371"/>
      <c r="C600" s="372" t="str">
        <f>CS_PID!C600/VLOOKUP($B600,표2[#ALL],2)</f>
        <v>#N/A</v>
      </c>
      <c r="D600" s="372" t="str">
        <f>CS_PID!D600/VLOOKUP($B600,표2[#ALL],2)</f>
        <v>#N/A</v>
      </c>
      <c r="E600" s="372" t="str">
        <f>CS_PID!E600/VLOOKUP($B600,표2[#ALL],2)</f>
        <v>#N/A</v>
      </c>
      <c r="F600" s="372" t="str">
        <f>CS_PID!F600/VLOOKUP($B600,표2[#ALL],2)</f>
        <v>#N/A</v>
      </c>
      <c r="G600" s="372" t="str">
        <f>CS_PID!G600/VLOOKUP($B600,표2[#ALL],2)</f>
        <v>#N/A</v>
      </c>
      <c r="H600" s="372" t="str">
        <f>CS_PID!H600/VLOOKUP($B600,표2[#ALL],2)/HLOOKUP($A600,표1[#ALL],row(),false)</f>
        <v>#N/A</v>
      </c>
      <c r="I600" s="372" t="str">
        <f>CS_PID!I600/VLOOKUP($B600,표2[#ALL],2)/HLOOKUP($A600,표1[#ALL],row(),false)</f>
        <v>#N/A</v>
      </c>
      <c r="J600" s="372" t="str">
        <f>CS_PID!J600/VLOOKUP($B600,표2[#ALL],2)/HLOOKUP($A600,표1[#ALL],row(),false)</f>
        <v>#N/A</v>
      </c>
      <c r="K600" s="372" t="str">
        <f>CS_PID!K600/VLOOKUP($B600,표2[#ALL],2)/HLOOKUP($A600,표1[#ALL],row(),false)</f>
        <v>#N/A</v>
      </c>
      <c r="L600" s="372" t="str">
        <f>CS_PID!L600/VLOOKUP($B600,표2[#ALL],2)/HLOOKUP($A600,표1[#ALL],row(),false)</f>
        <v>#N/A</v>
      </c>
      <c r="M600" s="372" t="str">
        <f>CS_PID!M600/VLOOKUP($B600,표2[#ALL],2)/HLOOKUP($A600,표1[#ALL],row(),false)</f>
        <v>#N/A</v>
      </c>
      <c r="N600" s="372" t="str">
        <f>CS_PID!N600/VLOOKUP($B600,표2[#ALL],2)/HLOOKUP($A600,표1[#ALL],row(),false)</f>
        <v>#N/A</v>
      </c>
      <c r="O600" s="372" t="str">
        <f>CS_PID!O600/VLOOKUP($B600,표2[#ALL],2)/HLOOKUP($A600,표1[#ALL],row(),false)</f>
        <v>#N/A</v>
      </c>
      <c r="P600" s="372" t="str">
        <f>CS_PID!P600/VLOOKUP($B600,표2[#ALL],2)/HLOOKUP($A600,표1[#ALL],row(),false)</f>
        <v>#N/A</v>
      </c>
      <c r="Q600" s="372" t="str">
        <f>CS_PID!Q600/VLOOKUP($B600,표2[#ALL],2)/HLOOKUP($A600,표1[#ALL],row(),false)</f>
        <v>#N/A</v>
      </c>
      <c r="R600" s="372" t="str">
        <f>CS_PID!R600/VLOOKUP($B600,표2[#ALL],2)/HLOOKUP($A600,표1[#ALL],row(),false)</f>
        <v>#N/A</v>
      </c>
      <c r="S600" s="372" t="str">
        <f>CS_PID!S600/VLOOKUP($B600,표2[#ALL],2)/HLOOKUP($A600,표1[#ALL],row(),false)</f>
        <v>#N/A</v>
      </c>
      <c r="T600" s="372" t="str">
        <f>CS_PID!T600/VLOOKUP($B600,표2[#ALL],2)/HLOOKUP($A600,표1[#ALL],row(),false)</f>
        <v>#N/A</v>
      </c>
      <c r="U600" s="372" t="str">
        <f>CS_PID!U600/VLOOKUP($B600,표2[#ALL],2)/HLOOKUP($A600,표1[#ALL],row(),false)</f>
        <v>#N/A</v>
      </c>
      <c r="V600" s="372" t="str">
        <f>CS_PID!V600/VLOOKUP($B600,표2[#ALL],2)/HLOOKUP($A600,표1[#ALL],row(),false)</f>
        <v>#N/A</v>
      </c>
      <c r="W600" s="372" t="str">
        <f>CS_PID!W600/VLOOKUP($B600,표2[#ALL],2)/HLOOKUP($A600,표1[#ALL],row(),false)</f>
        <v>#N/A</v>
      </c>
      <c r="X600" s="372" t="str">
        <f>CS_PID!X600/VLOOKUP($B600,표2[#ALL],2)/HLOOKUP($A600,표1[#ALL],row(),false)</f>
        <v>#N/A</v>
      </c>
      <c r="Y600" s="372" t="str">
        <f>CS_PID!Y600/VLOOKUP($B600,표2[#ALL],2)/HLOOKUP($A600,표1[#ALL],row(),false)</f>
        <v>#N/A</v>
      </c>
      <c r="Z600" s="372" t="str">
        <f>CS_PID!Z600/VLOOKUP($B600,표2[#ALL],2)/HLOOKUP($A600,표1[#ALL],row(),false)</f>
        <v>#N/A</v>
      </c>
      <c r="AA600" s="372" t="str">
        <f>CS_PID!AA600/VLOOKUP($B600,표2[#ALL],2)/HLOOKUP($A600,표1[#ALL],row(),false)</f>
        <v>#N/A</v>
      </c>
      <c r="AB600" s="372" t="str">
        <f>CS_PID!AB600/VLOOKUP($B600,표2[#ALL],2)/HLOOKUP($A600,표1[#ALL],row(),false)</f>
        <v>#N/A</v>
      </c>
      <c r="AC600" s="372" t="str">
        <f>CS_PID!AC600/VLOOKUP($B600,표2[#ALL],2)/HLOOKUP($A600,표1[#ALL],row(),false)</f>
        <v>#N/A</v>
      </c>
      <c r="AD600" s="372" t="str">
        <f>CS_PID!AD600/VLOOKUP($B600,표2[#ALL],2)/HLOOKUP($A600,표1[#ALL],row(),false)</f>
        <v>#N/A</v>
      </c>
      <c r="AE600" s="372" t="str">
        <f>CS_PID!AE600/VLOOKUP($B600,표2[#ALL],2)/HLOOKUP($A600,표1[#ALL],row(),false)</f>
        <v>#N/A</v>
      </c>
      <c r="AF600" s="372" t="str">
        <f>CS_PID!AF600/VLOOKUP($B600,표2[#ALL],2)/HLOOKUP($A600,표1[#ALL],row(),false)</f>
        <v>#N/A</v>
      </c>
      <c r="AG600" s="372" t="str">
        <f>CS_PID!AG600/VLOOKUP($B600,표2[#ALL],2)/HLOOKUP($A600,표1[#ALL],row(),false)</f>
        <v>#N/A</v>
      </c>
      <c r="AH600" s="372" t="str">
        <f>CS_PID!AH600/VLOOKUP($B600,표2[#ALL],2)/HLOOKUP($A600,표1[#ALL],row(),false)</f>
        <v>#N/A</v>
      </c>
      <c r="AI600" s="372" t="str">
        <f>CS_PID!AI600/VLOOKUP($B600,표2[#ALL],2)/HLOOKUP($A600,표1[#ALL],row(),false)</f>
        <v>#N/A</v>
      </c>
      <c r="AJ600" s="372" t="str">
        <f>CS_PID!AJ600/VLOOKUP($B600,표2[#ALL],2)/HLOOKUP($A600,표1[#ALL],row(),false)</f>
        <v>#N/A</v>
      </c>
      <c r="AK600" s="372" t="str">
        <f>CS_PID!AK600/VLOOKUP($B600,표2[#ALL],2)/HLOOKUP($A600,표1[#ALL],row(),false)</f>
        <v>#N/A</v>
      </c>
      <c r="AL600" s="372" t="str">
        <f>CS_PID!AL600/VLOOKUP($B600,표2[#ALL],2)/HLOOKUP($A600,표1[#ALL],row(),false)</f>
        <v>#N/A</v>
      </c>
      <c r="AM600" s="372" t="str">
        <f>CS_PID!AM600/VLOOKUP($B600,표2[#ALL],2)/HLOOKUP($A600,표1[#ALL],row(),false)</f>
        <v>#N/A</v>
      </c>
      <c r="AN600" s="372" t="str">
        <f>CS_PID!AN600/VLOOKUP($B600,표2[#ALL],2)/HLOOKUP($A600,표1[#ALL],row(),false)</f>
        <v>#N/A</v>
      </c>
      <c r="AO600" s="372" t="str">
        <f>CS_PID!AO600/VLOOKUP($B600,표2[#ALL],2)/HLOOKUP($A600,표1[#ALL],row(),false)</f>
        <v>#N/A</v>
      </c>
      <c r="AP600" s="372" t="str">
        <f>CS_PID!AP600/VLOOKUP($B600,표2[#ALL],2)/HLOOKUP($A600,표1[#ALL],row(),false)</f>
        <v>#N/A</v>
      </c>
      <c r="AQ600" s="372" t="str">
        <f>CS_PID!AQ600/VLOOKUP($B600,표2[#ALL],2)/HLOOKUP($A600,표1[#ALL],row(),false)</f>
        <v>#N/A</v>
      </c>
      <c r="AR600" s="372" t="str">
        <f>CS_PID!AR600/VLOOKUP($B600,표2[#ALL],2)/HLOOKUP($A600,표1[#ALL],row(),false)</f>
        <v>#N/A</v>
      </c>
      <c r="AS600" s="373" t="str">
        <f>CS_PID!AS600/VLOOKUP($B600,표2[#ALL],2)/HLOOKUP($A600,표1[#ALL],row(),false)</f>
        <v>#N/A</v>
      </c>
    </row>
    <row r="601">
      <c r="A601" s="374"/>
      <c r="B601" s="375"/>
      <c r="C601" s="376" t="str">
        <f>CS_PID!C601/VLOOKUP($B601,표2[#ALL],2)</f>
        <v>#N/A</v>
      </c>
      <c r="D601" s="376" t="str">
        <f>CS_PID!D601/VLOOKUP($B601,표2[#ALL],2)</f>
        <v>#N/A</v>
      </c>
      <c r="E601" s="376" t="str">
        <f>CS_PID!E601/VLOOKUP($B601,표2[#ALL],2)</f>
        <v>#N/A</v>
      </c>
      <c r="F601" s="376" t="str">
        <f>CS_PID!F601/VLOOKUP($B601,표2[#ALL],2)</f>
        <v>#N/A</v>
      </c>
      <c r="G601" s="376" t="str">
        <f>CS_PID!G601/VLOOKUP($B601,표2[#ALL],2)</f>
        <v>#N/A</v>
      </c>
      <c r="H601" s="376" t="str">
        <f>CS_PID!H601/VLOOKUP($B601,표2[#ALL],2)/HLOOKUP($A601,표1[#ALL],row(),false)</f>
        <v>#N/A</v>
      </c>
      <c r="I601" s="376" t="str">
        <f>CS_PID!I601/VLOOKUP($B601,표2[#ALL],2)/HLOOKUP($A601,표1[#ALL],row(),false)</f>
        <v>#N/A</v>
      </c>
      <c r="J601" s="376" t="str">
        <f>CS_PID!J601/VLOOKUP($B601,표2[#ALL],2)/HLOOKUP($A601,표1[#ALL],row(),false)</f>
        <v>#N/A</v>
      </c>
      <c r="K601" s="376" t="str">
        <f>CS_PID!K601/VLOOKUP($B601,표2[#ALL],2)/HLOOKUP($A601,표1[#ALL],row(),false)</f>
        <v>#N/A</v>
      </c>
      <c r="L601" s="376" t="str">
        <f>CS_PID!L601/VLOOKUP($B601,표2[#ALL],2)/HLOOKUP($A601,표1[#ALL],row(),false)</f>
        <v>#N/A</v>
      </c>
      <c r="M601" s="376" t="str">
        <f>CS_PID!M601/VLOOKUP($B601,표2[#ALL],2)/HLOOKUP($A601,표1[#ALL],row(),false)</f>
        <v>#N/A</v>
      </c>
      <c r="N601" s="376" t="str">
        <f>CS_PID!N601/VLOOKUP($B601,표2[#ALL],2)/HLOOKUP($A601,표1[#ALL],row(),false)</f>
        <v>#N/A</v>
      </c>
      <c r="O601" s="376" t="str">
        <f>CS_PID!O601/VLOOKUP($B601,표2[#ALL],2)/HLOOKUP($A601,표1[#ALL],row(),false)</f>
        <v>#N/A</v>
      </c>
      <c r="P601" s="376" t="str">
        <f>CS_PID!P601/VLOOKUP($B601,표2[#ALL],2)/HLOOKUP($A601,표1[#ALL],row(),false)</f>
        <v>#N/A</v>
      </c>
      <c r="Q601" s="376" t="str">
        <f>CS_PID!Q601/VLOOKUP($B601,표2[#ALL],2)/HLOOKUP($A601,표1[#ALL],row(),false)</f>
        <v>#N/A</v>
      </c>
      <c r="R601" s="376" t="str">
        <f>CS_PID!R601/VLOOKUP($B601,표2[#ALL],2)/HLOOKUP($A601,표1[#ALL],row(),false)</f>
        <v>#N/A</v>
      </c>
      <c r="S601" s="376" t="str">
        <f>CS_PID!S601/VLOOKUP($B601,표2[#ALL],2)/HLOOKUP($A601,표1[#ALL],row(),false)</f>
        <v>#N/A</v>
      </c>
      <c r="T601" s="376" t="str">
        <f>CS_PID!T601/VLOOKUP($B601,표2[#ALL],2)/HLOOKUP($A601,표1[#ALL],row(),false)</f>
        <v>#N/A</v>
      </c>
      <c r="U601" s="376" t="str">
        <f>CS_PID!U601/VLOOKUP($B601,표2[#ALL],2)/HLOOKUP($A601,표1[#ALL],row(),false)</f>
        <v>#N/A</v>
      </c>
      <c r="V601" s="376" t="str">
        <f>CS_PID!V601/VLOOKUP($B601,표2[#ALL],2)/HLOOKUP($A601,표1[#ALL],row(),false)</f>
        <v>#N/A</v>
      </c>
      <c r="W601" s="376" t="str">
        <f>CS_PID!W601/VLOOKUP($B601,표2[#ALL],2)/HLOOKUP($A601,표1[#ALL],row(),false)</f>
        <v>#N/A</v>
      </c>
      <c r="X601" s="376" t="str">
        <f>CS_PID!X601/VLOOKUP($B601,표2[#ALL],2)/HLOOKUP($A601,표1[#ALL],row(),false)</f>
        <v>#N/A</v>
      </c>
      <c r="Y601" s="376" t="str">
        <f>CS_PID!Y601/VLOOKUP($B601,표2[#ALL],2)/HLOOKUP($A601,표1[#ALL],row(),false)</f>
        <v>#N/A</v>
      </c>
      <c r="Z601" s="376" t="str">
        <f>CS_PID!Z601/VLOOKUP($B601,표2[#ALL],2)/HLOOKUP($A601,표1[#ALL],row(),false)</f>
        <v>#N/A</v>
      </c>
      <c r="AA601" s="376" t="str">
        <f>CS_PID!AA601/VLOOKUP($B601,표2[#ALL],2)/HLOOKUP($A601,표1[#ALL],row(),false)</f>
        <v>#N/A</v>
      </c>
      <c r="AB601" s="376" t="str">
        <f>CS_PID!AB601/VLOOKUP($B601,표2[#ALL],2)/HLOOKUP($A601,표1[#ALL],row(),false)</f>
        <v>#N/A</v>
      </c>
      <c r="AC601" s="376" t="str">
        <f>CS_PID!AC601/VLOOKUP($B601,표2[#ALL],2)/HLOOKUP($A601,표1[#ALL],row(),false)</f>
        <v>#N/A</v>
      </c>
      <c r="AD601" s="376" t="str">
        <f>CS_PID!AD601/VLOOKUP($B601,표2[#ALL],2)/HLOOKUP($A601,표1[#ALL],row(),false)</f>
        <v>#N/A</v>
      </c>
      <c r="AE601" s="376" t="str">
        <f>CS_PID!AE601/VLOOKUP($B601,표2[#ALL],2)/HLOOKUP($A601,표1[#ALL],row(),false)</f>
        <v>#N/A</v>
      </c>
      <c r="AF601" s="376" t="str">
        <f>CS_PID!AF601/VLOOKUP($B601,표2[#ALL],2)/HLOOKUP($A601,표1[#ALL],row(),false)</f>
        <v>#N/A</v>
      </c>
      <c r="AG601" s="376" t="str">
        <f>CS_PID!AG601/VLOOKUP($B601,표2[#ALL],2)/HLOOKUP($A601,표1[#ALL],row(),false)</f>
        <v>#N/A</v>
      </c>
      <c r="AH601" s="376" t="str">
        <f>CS_PID!AH601/VLOOKUP($B601,표2[#ALL],2)/HLOOKUP($A601,표1[#ALL],row(),false)</f>
        <v>#N/A</v>
      </c>
      <c r="AI601" s="376" t="str">
        <f>CS_PID!AI601/VLOOKUP($B601,표2[#ALL],2)/HLOOKUP($A601,표1[#ALL],row(),false)</f>
        <v>#N/A</v>
      </c>
      <c r="AJ601" s="376" t="str">
        <f>CS_PID!AJ601/VLOOKUP($B601,표2[#ALL],2)/HLOOKUP($A601,표1[#ALL],row(),false)</f>
        <v>#N/A</v>
      </c>
      <c r="AK601" s="376" t="str">
        <f>CS_PID!AK601/VLOOKUP($B601,표2[#ALL],2)/HLOOKUP($A601,표1[#ALL],row(),false)</f>
        <v>#N/A</v>
      </c>
      <c r="AL601" s="376" t="str">
        <f>CS_PID!AL601/VLOOKUP($B601,표2[#ALL],2)/HLOOKUP($A601,표1[#ALL],row(),false)</f>
        <v>#N/A</v>
      </c>
      <c r="AM601" s="376" t="str">
        <f>CS_PID!AM601/VLOOKUP($B601,표2[#ALL],2)/HLOOKUP($A601,표1[#ALL],row(),false)</f>
        <v>#N/A</v>
      </c>
      <c r="AN601" s="376" t="str">
        <f>CS_PID!AN601/VLOOKUP($B601,표2[#ALL],2)/HLOOKUP($A601,표1[#ALL],row(),false)</f>
        <v>#N/A</v>
      </c>
      <c r="AO601" s="376" t="str">
        <f>CS_PID!AO601/VLOOKUP($B601,표2[#ALL],2)/HLOOKUP($A601,표1[#ALL],row(),false)</f>
        <v>#N/A</v>
      </c>
      <c r="AP601" s="376" t="str">
        <f>CS_PID!AP601/VLOOKUP($B601,표2[#ALL],2)/HLOOKUP($A601,표1[#ALL],row(),false)</f>
        <v>#N/A</v>
      </c>
      <c r="AQ601" s="376" t="str">
        <f>CS_PID!AQ601/VLOOKUP($B601,표2[#ALL],2)/HLOOKUP($A601,표1[#ALL],row(),false)</f>
        <v>#N/A</v>
      </c>
      <c r="AR601" s="376" t="str">
        <f>CS_PID!AR601/VLOOKUP($B601,표2[#ALL],2)/HLOOKUP($A601,표1[#ALL],row(),false)</f>
        <v>#N/A</v>
      </c>
      <c r="AS601" s="377" t="str">
        <f>CS_PID!AS601/VLOOKUP($B601,표2[#ALL],2)/HLOOKUP($A601,표1[#ALL],row(),false)</f>
        <v>#N/A</v>
      </c>
    </row>
    <row r="602">
      <c r="A602" s="370"/>
      <c r="B602" s="371"/>
      <c r="C602" s="372" t="str">
        <f>CS_PID!C602/VLOOKUP($B602,표2[#ALL],2)</f>
        <v>#N/A</v>
      </c>
      <c r="D602" s="372" t="str">
        <f>CS_PID!D602/VLOOKUP($B602,표2[#ALL],2)</f>
        <v>#N/A</v>
      </c>
      <c r="E602" s="372" t="str">
        <f>CS_PID!E602/VLOOKUP($B602,표2[#ALL],2)</f>
        <v>#N/A</v>
      </c>
      <c r="F602" s="372" t="str">
        <f>CS_PID!F602/VLOOKUP($B602,표2[#ALL],2)</f>
        <v>#N/A</v>
      </c>
      <c r="G602" s="372" t="str">
        <f>CS_PID!G602/VLOOKUP($B602,표2[#ALL],2)</f>
        <v>#N/A</v>
      </c>
      <c r="H602" s="372" t="str">
        <f>CS_PID!H602/VLOOKUP($B602,표2[#ALL],2)/HLOOKUP($A602,표1[#ALL],row(),false)</f>
        <v>#N/A</v>
      </c>
      <c r="I602" s="372" t="str">
        <f>CS_PID!I602/VLOOKUP($B602,표2[#ALL],2)/HLOOKUP($A602,표1[#ALL],row(),false)</f>
        <v>#N/A</v>
      </c>
      <c r="J602" s="372" t="str">
        <f>CS_PID!J602/VLOOKUP($B602,표2[#ALL],2)/HLOOKUP($A602,표1[#ALL],row(),false)</f>
        <v>#N/A</v>
      </c>
      <c r="K602" s="372" t="str">
        <f>CS_PID!K602/VLOOKUP($B602,표2[#ALL],2)/HLOOKUP($A602,표1[#ALL],row(),false)</f>
        <v>#N/A</v>
      </c>
      <c r="L602" s="372" t="str">
        <f>CS_PID!L602/VLOOKUP($B602,표2[#ALL],2)/HLOOKUP($A602,표1[#ALL],row(),false)</f>
        <v>#N/A</v>
      </c>
      <c r="M602" s="372" t="str">
        <f>CS_PID!M602/VLOOKUP($B602,표2[#ALL],2)/HLOOKUP($A602,표1[#ALL],row(),false)</f>
        <v>#N/A</v>
      </c>
      <c r="N602" s="372" t="str">
        <f>CS_PID!N602/VLOOKUP($B602,표2[#ALL],2)/HLOOKUP($A602,표1[#ALL],row(),false)</f>
        <v>#N/A</v>
      </c>
      <c r="O602" s="372" t="str">
        <f>CS_PID!O602/VLOOKUP($B602,표2[#ALL],2)/HLOOKUP($A602,표1[#ALL],row(),false)</f>
        <v>#N/A</v>
      </c>
      <c r="P602" s="372" t="str">
        <f>CS_PID!P602/VLOOKUP($B602,표2[#ALL],2)/HLOOKUP($A602,표1[#ALL],row(),false)</f>
        <v>#N/A</v>
      </c>
      <c r="Q602" s="372" t="str">
        <f>CS_PID!Q602/VLOOKUP($B602,표2[#ALL],2)/HLOOKUP($A602,표1[#ALL],row(),false)</f>
        <v>#N/A</v>
      </c>
      <c r="R602" s="372" t="str">
        <f>CS_PID!R602/VLOOKUP($B602,표2[#ALL],2)/HLOOKUP($A602,표1[#ALL],row(),false)</f>
        <v>#N/A</v>
      </c>
      <c r="S602" s="372" t="str">
        <f>CS_PID!S602/VLOOKUP($B602,표2[#ALL],2)/HLOOKUP($A602,표1[#ALL],row(),false)</f>
        <v>#N/A</v>
      </c>
      <c r="T602" s="372" t="str">
        <f>CS_PID!T602/VLOOKUP($B602,표2[#ALL],2)/HLOOKUP($A602,표1[#ALL],row(),false)</f>
        <v>#N/A</v>
      </c>
      <c r="U602" s="372" t="str">
        <f>CS_PID!U602/VLOOKUP($B602,표2[#ALL],2)/HLOOKUP($A602,표1[#ALL],row(),false)</f>
        <v>#N/A</v>
      </c>
      <c r="V602" s="372" t="str">
        <f>CS_PID!V602/VLOOKUP($B602,표2[#ALL],2)/HLOOKUP($A602,표1[#ALL],row(),false)</f>
        <v>#N/A</v>
      </c>
      <c r="W602" s="372" t="str">
        <f>CS_PID!W602/VLOOKUP($B602,표2[#ALL],2)/HLOOKUP($A602,표1[#ALL],row(),false)</f>
        <v>#N/A</v>
      </c>
      <c r="X602" s="372" t="str">
        <f>CS_PID!X602/VLOOKUP($B602,표2[#ALL],2)/HLOOKUP($A602,표1[#ALL],row(),false)</f>
        <v>#N/A</v>
      </c>
      <c r="Y602" s="372" t="str">
        <f>CS_PID!Y602/VLOOKUP($B602,표2[#ALL],2)/HLOOKUP($A602,표1[#ALL],row(),false)</f>
        <v>#N/A</v>
      </c>
      <c r="Z602" s="372" t="str">
        <f>CS_PID!Z602/VLOOKUP($B602,표2[#ALL],2)/HLOOKUP($A602,표1[#ALL],row(),false)</f>
        <v>#N/A</v>
      </c>
      <c r="AA602" s="372" t="str">
        <f>CS_PID!AA602/VLOOKUP($B602,표2[#ALL],2)/HLOOKUP($A602,표1[#ALL],row(),false)</f>
        <v>#N/A</v>
      </c>
      <c r="AB602" s="372" t="str">
        <f>CS_PID!AB602/VLOOKUP($B602,표2[#ALL],2)/HLOOKUP($A602,표1[#ALL],row(),false)</f>
        <v>#N/A</v>
      </c>
      <c r="AC602" s="372" t="str">
        <f>CS_PID!AC602/VLOOKUP($B602,표2[#ALL],2)/HLOOKUP($A602,표1[#ALL],row(),false)</f>
        <v>#N/A</v>
      </c>
      <c r="AD602" s="372" t="str">
        <f>CS_PID!AD602/VLOOKUP($B602,표2[#ALL],2)/HLOOKUP($A602,표1[#ALL],row(),false)</f>
        <v>#N/A</v>
      </c>
      <c r="AE602" s="372" t="str">
        <f>CS_PID!AE602/VLOOKUP($B602,표2[#ALL],2)/HLOOKUP($A602,표1[#ALL],row(),false)</f>
        <v>#N/A</v>
      </c>
      <c r="AF602" s="372" t="str">
        <f>CS_PID!AF602/VLOOKUP($B602,표2[#ALL],2)/HLOOKUP($A602,표1[#ALL],row(),false)</f>
        <v>#N/A</v>
      </c>
      <c r="AG602" s="372" t="str">
        <f>CS_PID!AG602/VLOOKUP($B602,표2[#ALL],2)/HLOOKUP($A602,표1[#ALL],row(),false)</f>
        <v>#N/A</v>
      </c>
      <c r="AH602" s="372" t="str">
        <f>CS_PID!AH602/VLOOKUP($B602,표2[#ALL],2)/HLOOKUP($A602,표1[#ALL],row(),false)</f>
        <v>#N/A</v>
      </c>
      <c r="AI602" s="372" t="str">
        <f>CS_PID!AI602/VLOOKUP($B602,표2[#ALL],2)/HLOOKUP($A602,표1[#ALL],row(),false)</f>
        <v>#N/A</v>
      </c>
      <c r="AJ602" s="372" t="str">
        <f>CS_PID!AJ602/VLOOKUP($B602,표2[#ALL],2)/HLOOKUP($A602,표1[#ALL],row(),false)</f>
        <v>#N/A</v>
      </c>
      <c r="AK602" s="372" t="str">
        <f>CS_PID!AK602/VLOOKUP($B602,표2[#ALL],2)/HLOOKUP($A602,표1[#ALL],row(),false)</f>
        <v>#N/A</v>
      </c>
      <c r="AL602" s="372" t="str">
        <f>CS_PID!AL602/VLOOKUP($B602,표2[#ALL],2)/HLOOKUP($A602,표1[#ALL],row(),false)</f>
        <v>#N/A</v>
      </c>
      <c r="AM602" s="372" t="str">
        <f>CS_PID!AM602/VLOOKUP($B602,표2[#ALL],2)/HLOOKUP($A602,표1[#ALL],row(),false)</f>
        <v>#N/A</v>
      </c>
      <c r="AN602" s="372" t="str">
        <f>CS_PID!AN602/VLOOKUP($B602,표2[#ALL],2)/HLOOKUP($A602,표1[#ALL],row(),false)</f>
        <v>#N/A</v>
      </c>
      <c r="AO602" s="372" t="str">
        <f>CS_PID!AO602/VLOOKUP($B602,표2[#ALL],2)/HLOOKUP($A602,표1[#ALL],row(),false)</f>
        <v>#N/A</v>
      </c>
      <c r="AP602" s="372" t="str">
        <f>CS_PID!AP602/VLOOKUP($B602,표2[#ALL],2)/HLOOKUP($A602,표1[#ALL],row(),false)</f>
        <v>#N/A</v>
      </c>
      <c r="AQ602" s="372" t="str">
        <f>CS_PID!AQ602/VLOOKUP($B602,표2[#ALL],2)/HLOOKUP($A602,표1[#ALL],row(),false)</f>
        <v>#N/A</v>
      </c>
      <c r="AR602" s="372" t="str">
        <f>CS_PID!AR602/VLOOKUP($B602,표2[#ALL],2)/HLOOKUP($A602,표1[#ALL],row(),false)</f>
        <v>#N/A</v>
      </c>
      <c r="AS602" s="373" t="str">
        <f>CS_PID!AS602/VLOOKUP($B602,표2[#ALL],2)/HLOOKUP($A602,표1[#ALL],row(),false)</f>
        <v>#N/A</v>
      </c>
    </row>
    <row r="603">
      <c r="A603" s="374"/>
      <c r="B603" s="375"/>
      <c r="C603" s="376" t="str">
        <f>CS_PID!C603/VLOOKUP($B603,표2[#ALL],2)</f>
        <v>#N/A</v>
      </c>
      <c r="D603" s="376" t="str">
        <f>CS_PID!D603/VLOOKUP($B603,표2[#ALL],2)</f>
        <v>#N/A</v>
      </c>
      <c r="E603" s="376" t="str">
        <f>CS_PID!E603/VLOOKUP($B603,표2[#ALL],2)</f>
        <v>#N/A</v>
      </c>
      <c r="F603" s="376" t="str">
        <f>CS_PID!F603/VLOOKUP($B603,표2[#ALL],2)</f>
        <v>#N/A</v>
      </c>
      <c r="G603" s="376" t="str">
        <f>CS_PID!G603/VLOOKUP($B603,표2[#ALL],2)</f>
        <v>#N/A</v>
      </c>
      <c r="H603" s="376" t="str">
        <f>CS_PID!H603/VLOOKUP($B603,표2[#ALL],2)/HLOOKUP($A603,표1[#ALL],row(),false)</f>
        <v>#N/A</v>
      </c>
      <c r="I603" s="376" t="str">
        <f>CS_PID!I603/VLOOKUP($B603,표2[#ALL],2)/HLOOKUP($A603,표1[#ALL],row(),false)</f>
        <v>#N/A</v>
      </c>
      <c r="J603" s="376" t="str">
        <f>CS_PID!J603/VLOOKUP($B603,표2[#ALL],2)/HLOOKUP($A603,표1[#ALL],row(),false)</f>
        <v>#N/A</v>
      </c>
      <c r="K603" s="376" t="str">
        <f>CS_PID!K603/VLOOKUP($B603,표2[#ALL],2)/HLOOKUP($A603,표1[#ALL],row(),false)</f>
        <v>#N/A</v>
      </c>
      <c r="L603" s="376" t="str">
        <f>CS_PID!L603/VLOOKUP($B603,표2[#ALL],2)/HLOOKUP($A603,표1[#ALL],row(),false)</f>
        <v>#N/A</v>
      </c>
      <c r="M603" s="376" t="str">
        <f>CS_PID!M603/VLOOKUP($B603,표2[#ALL],2)/HLOOKUP($A603,표1[#ALL],row(),false)</f>
        <v>#N/A</v>
      </c>
      <c r="N603" s="376" t="str">
        <f>CS_PID!N603/VLOOKUP($B603,표2[#ALL],2)/HLOOKUP($A603,표1[#ALL],row(),false)</f>
        <v>#N/A</v>
      </c>
      <c r="O603" s="376" t="str">
        <f>CS_PID!O603/VLOOKUP($B603,표2[#ALL],2)/HLOOKUP($A603,표1[#ALL],row(),false)</f>
        <v>#N/A</v>
      </c>
      <c r="P603" s="376" t="str">
        <f>CS_PID!P603/VLOOKUP($B603,표2[#ALL],2)/HLOOKUP($A603,표1[#ALL],row(),false)</f>
        <v>#N/A</v>
      </c>
      <c r="Q603" s="376" t="str">
        <f>CS_PID!Q603/VLOOKUP($B603,표2[#ALL],2)/HLOOKUP($A603,표1[#ALL],row(),false)</f>
        <v>#N/A</v>
      </c>
      <c r="R603" s="376" t="str">
        <f>CS_PID!R603/VLOOKUP($B603,표2[#ALL],2)/HLOOKUP($A603,표1[#ALL],row(),false)</f>
        <v>#N/A</v>
      </c>
      <c r="S603" s="376" t="str">
        <f>CS_PID!S603/VLOOKUP($B603,표2[#ALL],2)/HLOOKUP($A603,표1[#ALL],row(),false)</f>
        <v>#N/A</v>
      </c>
      <c r="T603" s="376" t="str">
        <f>CS_PID!T603/VLOOKUP($B603,표2[#ALL],2)/HLOOKUP($A603,표1[#ALL],row(),false)</f>
        <v>#N/A</v>
      </c>
      <c r="U603" s="376" t="str">
        <f>CS_PID!U603/VLOOKUP($B603,표2[#ALL],2)/HLOOKUP($A603,표1[#ALL],row(),false)</f>
        <v>#N/A</v>
      </c>
      <c r="V603" s="376" t="str">
        <f>CS_PID!V603/VLOOKUP($B603,표2[#ALL],2)/HLOOKUP($A603,표1[#ALL],row(),false)</f>
        <v>#N/A</v>
      </c>
      <c r="W603" s="376" t="str">
        <f>CS_PID!W603/VLOOKUP($B603,표2[#ALL],2)/HLOOKUP($A603,표1[#ALL],row(),false)</f>
        <v>#N/A</v>
      </c>
      <c r="X603" s="376" t="str">
        <f>CS_PID!X603/VLOOKUP($B603,표2[#ALL],2)/HLOOKUP($A603,표1[#ALL],row(),false)</f>
        <v>#N/A</v>
      </c>
      <c r="Y603" s="376" t="str">
        <f>CS_PID!Y603/VLOOKUP($B603,표2[#ALL],2)/HLOOKUP($A603,표1[#ALL],row(),false)</f>
        <v>#N/A</v>
      </c>
      <c r="Z603" s="376" t="str">
        <f>CS_PID!Z603/VLOOKUP($B603,표2[#ALL],2)/HLOOKUP($A603,표1[#ALL],row(),false)</f>
        <v>#N/A</v>
      </c>
      <c r="AA603" s="376" t="str">
        <f>CS_PID!AA603/VLOOKUP($B603,표2[#ALL],2)/HLOOKUP($A603,표1[#ALL],row(),false)</f>
        <v>#N/A</v>
      </c>
      <c r="AB603" s="376" t="str">
        <f>CS_PID!AB603/VLOOKUP($B603,표2[#ALL],2)/HLOOKUP($A603,표1[#ALL],row(),false)</f>
        <v>#N/A</v>
      </c>
      <c r="AC603" s="376" t="str">
        <f>CS_PID!AC603/VLOOKUP($B603,표2[#ALL],2)/HLOOKUP($A603,표1[#ALL],row(),false)</f>
        <v>#N/A</v>
      </c>
      <c r="AD603" s="376" t="str">
        <f>CS_PID!AD603/VLOOKUP($B603,표2[#ALL],2)/HLOOKUP($A603,표1[#ALL],row(),false)</f>
        <v>#N/A</v>
      </c>
      <c r="AE603" s="376" t="str">
        <f>CS_PID!AE603/VLOOKUP($B603,표2[#ALL],2)/HLOOKUP($A603,표1[#ALL],row(),false)</f>
        <v>#N/A</v>
      </c>
      <c r="AF603" s="376" t="str">
        <f>CS_PID!AF603/VLOOKUP($B603,표2[#ALL],2)/HLOOKUP($A603,표1[#ALL],row(),false)</f>
        <v>#N/A</v>
      </c>
      <c r="AG603" s="376" t="str">
        <f>CS_PID!AG603/VLOOKUP($B603,표2[#ALL],2)/HLOOKUP($A603,표1[#ALL],row(),false)</f>
        <v>#N/A</v>
      </c>
      <c r="AH603" s="376" t="str">
        <f>CS_PID!AH603/VLOOKUP($B603,표2[#ALL],2)/HLOOKUP($A603,표1[#ALL],row(),false)</f>
        <v>#N/A</v>
      </c>
      <c r="AI603" s="376" t="str">
        <f>CS_PID!AI603/VLOOKUP($B603,표2[#ALL],2)/HLOOKUP($A603,표1[#ALL],row(),false)</f>
        <v>#N/A</v>
      </c>
      <c r="AJ603" s="376" t="str">
        <f>CS_PID!AJ603/VLOOKUP($B603,표2[#ALL],2)/HLOOKUP($A603,표1[#ALL],row(),false)</f>
        <v>#N/A</v>
      </c>
      <c r="AK603" s="376" t="str">
        <f>CS_PID!AK603/VLOOKUP($B603,표2[#ALL],2)/HLOOKUP($A603,표1[#ALL],row(),false)</f>
        <v>#N/A</v>
      </c>
      <c r="AL603" s="376" t="str">
        <f>CS_PID!AL603/VLOOKUP($B603,표2[#ALL],2)/HLOOKUP($A603,표1[#ALL],row(),false)</f>
        <v>#N/A</v>
      </c>
      <c r="AM603" s="376" t="str">
        <f>CS_PID!AM603/VLOOKUP($B603,표2[#ALL],2)/HLOOKUP($A603,표1[#ALL],row(),false)</f>
        <v>#N/A</v>
      </c>
      <c r="AN603" s="376" t="str">
        <f>CS_PID!AN603/VLOOKUP($B603,표2[#ALL],2)/HLOOKUP($A603,표1[#ALL],row(),false)</f>
        <v>#N/A</v>
      </c>
      <c r="AO603" s="376" t="str">
        <f>CS_PID!AO603/VLOOKUP($B603,표2[#ALL],2)/HLOOKUP($A603,표1[#ALL],row(),false)</f>
        <v>#N/A</v>
      </c>
      <c r="AP603" s="376" t="str">
        <f>CS_PID!AP603/VLOOKUP($B603,표2[#ALL],2)/HLOOKUP($A603,표1[#ALL],row(),false)</f>
        <v>#N/A</v>
      </c>
      <c r="AQ603" s="376" t="str">
        <f>CS_PID!AQ603/VLOOKUP($B603,표2[#ALL],2)/HLOOKUP($A603,표1[#ALL],row(),false)</f>
        <v>#N/A</v>
      </c>
      <c r="AR603" s="376" t="str">
        <f>CS_PID!AR603/VLOOKUP($B603,표2[#ALL],2)/HLOOKUP($A603,표1[#ALL],row(),false)</f>
        <v>#N/A</v>
      </c>
      <c r="AS603" s="377" t="str">
        <f>CS_PID!AS603/VLOOKUP($B603,표2[#ALL],2)/HLOOKUP($A603,표1[#ALL],row(),false)</f>
        <v>#N/A</v>
      </c>
    </row>
    <row r="604">
      <c r="A604" s="370"/>
      <c r="B604" s="371"/>
      <c r="C604" s="372" t="str">
        <f>CS_PID!C604/VLOOKUP($B604,표2[#ALL],2)</f>
        <v>#N/A</v>
      </c>
      <c r="D604" s="372" t="str">
        <f>CS_PID!D604/VLOOKUP($B604,표2[#ALL],2)</f>
        <v>#N/A</v>
      </c>
      <c r="E604" s="372" t="str">
        <f>CS_PID!E604/VLOOKUP($B604,표2[#ALL],2)</f>
        <v>#N/A</v>
      </c>
      <c r="F604" s="372" t="str">
        <f>CS_PID!F604/VLOOKUP($B604,표2[#ALL],2)</f>
        <v>#N/A</v>
      </c>
      <c r="G604" s="372" t="str">
        <f>CS_PID!G604/VLOOKUP($B604,표2[#ALL],2)</f>
        <v>#N/A</v>
      </c>
      <c r="H604" s="372" t="str">
        <f>CS_PID!H604/VLOOKUP($B604,표2[#ALL],2)/HLOOKUP($A604,표1[#ALL],row(),false)</f>
        <v>#N/A</v>
      </c>
      <c r="I604" s="372" t="str">
        <f>CS_PID!I604/VLOOKUP($B604,표2[#ALL],2)/HLOOKUP($A604,표1[#ALL],row(),false)</f>
        <v>#N/A</v>
      </c>
      <c r="J604" s="372" t="str">
        <f>CS_PID!J604/VLOOKUP($B604,표2[#ALL],2)/HLOOKUP($A604,표1[#ALL],row(),false)</f>
        <v>#N/A</v>
      </c>
      <c r="K604" s="372" t="str">
        <f>CS_PID!K604/VLOOKUP($B604,표2[#ALL],2)/HLOOKUP($A604,표1[#ALL],row(),false)</f>
        <v>#N/A</v>
      </c>
      <c r="L604" s="372" t="str">
        <f>CS_PID!L604/VLOOKUP($B604,표2[#ALL],2)/HLOOKUP($A604,표1[#ALL],row(),false)</f>
        <v>#N/A</v>
      </c>
      <c r="M604" s="372" t="str">
        <f>CS_PID!M604/VLOOKUP($B604,표2[#ALL],2)/HLOOKUP($A604,표1[#ALL],row(),false)</f>
        <v>#N/A</v>
      </c>
      <c r="N604" s="372" t="str">
        <f>CS_PID!N604/VLOOKUP($B604,표2[#ALL],2)/HLOOKUP($A604,표1[#ALL],row(),false)</f>
        <v>#N/A</v>
      </c>
      <c r="O604" s="372" t="str">
        <f>CS_PID!O604/VLOOKUP($B604,표2[#ALL],2)/HLOOKUP($A604,표1[#ALL],row(),false)</f>
        <v>#N/A</v>
      </c>
      <c r="P604" s="372" t="str">
        <f>CS_PID!P604/VLOOKUP($B604,표2[#ALL],2)/HLOOKUP($A604,표1[#ALL],row(),false)</f>
        <v>#N/A</v>
      </c>
      <c r="Q604" s="372" t="str">
        <f>CS_PID!Q604/VLOOKUP($B604,표2[#ALL],2)/HLOOKUP($A604,표1[#ALL],row(),false)</f>
        <v>#N/A</v>
      </c>
      <c r="R604" s="372" t="str">
        <f>CS_PID!R604/VLOOKUP($B604,표2[#ALL],2)/HLOOKUP($A604,표1[#ALL],row(),false)</f>
        <v>#N/A</v>
      </c>
      <c r="S604" s="372" t="str">
        <f>CS_PID!S604/VLOOKUP($B604,표2[#ALL],2)/HLOOKUP($A604,표1[#ALL],row(),false)</f>
        <v>#N/A</v>
      </c>
      <c r="T604" s="372" t="str">
        <f>CS_PID!T604/VLOOKUP($B604,표2[#ALL],2)/HLOOKUP($A604,표1[#ALL],row(),false)</f>
        <v>#N/A</v>
      </c>
      <c r="U604" s="372" t="str">
        <f>CS_PID!U604/VLOOKUP($B604,표2[#ALL],2)/HLOOKUP($A604,표1[#ALL],row(),false)</f>
        <v>#N/A</v>
      </c>
      <c r="V604" s="372" t="str">
        <f>CS_PID!V604/VLOOKUP($B604,표2[#ALL],2)/HLOOKUP($A604,표1[#ALL],row(),false)</f>
        <v>#N/A</v>
      </c>
      <c r="W604" s="372" t="str">
        <f>CS_PID!W604/VLOOKUP($B604,표2[#ALL],2)/HLOOKUP($A604,표1[#ALL],row(),false)</f>
        <v>#N/A</v>
      </c>
      <c r="X604" s="372" t="str">
        <f>CS_PID!X604/VLOOKUP($B604,표2[#ALL],2)/HLOOKUP($A604,표1[#ALL],row(),false)</f>
        <v>#N/A</v>
      </c>
      <c r="Y604" s="372" t="str">
        <f>CS_PID!Y604/VLOOKUP($B604,표2[#ALL],2)/HLOOKUP($A604,표1[#ALL],row(),false)</f>
        <v>#N/A</v>
      </c>
      <c r="Z604" s="372" t="str">
        <f>CS_PID!Z604/VLOOKUP($B604,표2[#ALL],2)/HLOOKUP($A604,표1[#ALL],row(),false)</f>
        <v>#N/A</v>
      </c>
      <c r="AA604" s="372" t="str">
        <f>CS_PID!AA604/VLOOKUP($B604,표2[#ALL],2)/HLOOKUP($A604,표1[#ALL],row(),false)</f>
        <v>#N/A</v>
      </c>
      <c r="AB604" s="372" t="str">
        <f>CS_PID!AB604/VLOOKUP($B604,표2[#ALL],2)/HLOOKUP($A604,표1[#ALL],row(),false)</f>
        <v>#N/A</v>
      </c>
      <c r="AC604" s="372" t="str">
        <f>CS_PID!AC604/VLOOKUP($B604,표2[#ALL],2)/HLOOKUP($A604,표1[#ALL],row(),false)</f>
        <v>#N/A</v>
      </c>
      <c r="AD604" s="372" t="str">
        <f>CS_PID!AD604/VLOOKUP($B604,표2[#ALL],2)/HLOOKUP($A604,표1[#ALL],row(),false)</f>
        <v>#N/A</v>
      </c>
      <c r="AE604" s="372" t="str">
        <f>CS_PID!AE604/VLOOKUP($B604,표2[#ALL],2)/HLOOKUP($A604,표1[#ALL],row(),false)</f>
        <v>#N/A</v>
      </c>
      <c r="AF604" s="372" t="str">
        <f>CS_PID!AF604/VLOOKUP($B604,표2[#ALL],2)/HLOOKUP($A604,표1[#ALL],row(),false)</f>
        <v>#N/A</v>
      </c>
      <c r="AG604" s="372" t="str">
        <f>CS_PID!AG604/VLOOKUP($B604,표2[#ALL],2)/HLOOKUP($A604,표1[#ALL],row(),false)</f>
        <v>#N/A</v>
      </c>
      <c r="AH604" s="372" t="str">
        <f>CS_PID!AH604/VLOOKUP($B604,표2[#ALL],2)/HLOOKUP($A604,표1[#ALL],row(),false)</f>
        <v>#N/A</v>
      </c>
      <c r="AI604" s="372" t="str">
        <f>CS_PID!AI604/VLOOKUP($B604,표2[#ALL],2)/HLOOKUP($A604,표1[#ALL],row(),false)</f>
        <v>#N/A</v>
      </c>
      <c r="AJ604" s="372" t="str">
        <f>CS_PID!AJ604/VLOOKUP($B604,표2[#ALL],2)/HLOOKUP($A604,표1[#ALL],row(),false)</f>
        <v>#N/A</v>
      </c>
      <c r="AK604" s="372" t="str">
        <f>CS_PID!AK604/VLOOKUP($B604,표2[#ALL],2)/HLOOKUP($A604,표1[#ALL],row(),false)</f>
        <v>#N/A</v>
      </c>
      <c r="AL604" s="372" t="str">
        <f>CS_PID!AL604/VLOOKUP($B604,표2[#ALL],2)/HLOOKUP($A604,표1[#ALL],row(),false)</f>
        <v>#N/A</v>
      </c>
      <c r="AM604" s="372" t="str">
        <f>CS_PID!AM604/VLOOKUP($B604,표2[#ALL],2)/HLOOKUP($A604,표1[#ALL],row(),false)</f>
        <v>#N/A</v>
      </c>
      <c r="AN604" s="372" t="str">
        <f>CS_PID!AN604/VLOOKUP($B604,표2[#ALL],2)/HLOOKUP($A604,표1[#ALL],row(),false)</f>
        <v>#N/A</v>
      </c>
      <c r="AO604" s="372" t="str">
        <f>CS_PID!AO604/VLOOKUP($B604,표2[#ALL],2)/HLOOKUP($A604,표1[#ALL],row(),false)</f>
        <v>#N/A</v>
      </c>
      <c r="AP604" s="372" t="str">
        <f>CS_PID!AP604/VLOOKUP($B604,표2[#ALL],2)/HLOOKUP($A604,표1[#ALL],row(),false)</f>
        <v>#N/A</v>
      </c>
      <c r="AQ604" s="372" t="str">
        <f>CS_PID!AQ604/VLOOKUP($B604,표2[#ALL],2)/HLOOKUP($A604,표1[#ALL],row(),false)</f>
        <v>#N/A</v>
      </c>
      <c r="AR604" s="372" t="str">
        <f>CS_PID!AR604/VLOOKUP($B604,표2[#ALL],2)/HLOOKUP($A604,표1[#ALL],row(),false)</f>
        <v>#N/A</v>
      </c>
      <c r="AS604" s="373" t="str">
        <f>CS_PID!AS604/VLOOKUP($B604,표2[#ALL],2)/HLOOKUP($A604,표1[#ALL],row(),false)</f>
        <v>#N/A</v>
      </c>
    </row>
    <row r="605">
      <c r="A605" s="374"/>
      <c r="B605" s="375"/>
      <c r="C605" s="376" t="str">
        <f>CS_PID!C605/VLOOKUP($B605,표2[#ALL],2)</f>
        <v>#N/A</v>
      </c>
      <c r="D605" s="376" t="str">
        <f>CS_PID!D605/VLOOKUP($B605,표2[#ALL],2)</f>
        <v>#N/A</v>
      </c>
      <c r="E605" s="376" t="str">
        <f>CS_PID!E605/VLOOKUP($B605,표2[#ALL],2)</f>
        <v>#N/A</v>
      </c>
      <c r="F605" s="376" t="str">
        <f>CS_PID!F605/VLOOKUP($B605,표2[#ALL],2)</f>
        <v>#N/A</v>
      </c>
      <c r="G605" s="376" t="str">
        <f>CS_PID!G605/VLOOKUP($B605,표2[#ALL],2)</f>
        <v>#N/A</v>
      </c>
      <c r="H605" s="376" t="str">
        <f>CS_PID!H605/VLOOKUP($B605,표2[#ALL],2)/HLOOKUP($A605,표1[#ALL],row(),false)</f>
        <v>#N/A</v>
      </c>
      <c r="I605" s="376" t="str">
        <f>CS_PID!I605/VLOOKUP($B605,표2[#ALL],2)/HLOOKUP($A605,표1[#ALL],row(),false)</f>
        <v>#N/A</v>
      </c>
      <c r="J605" s="376" t="str">
        <f>CS_PID!J605/VLOOKUP($B605,표2[#ALL],2)/HLOOKUP($A605,표1[#ALL],row(),false)</f>
        <v>#N/A</v>
      </c>
      <c r="K605" s="376" t="str">
        <f>CS_PID!K605/VLOOKUP($B605,표2[#ALL],2)/HLOOKUP($A605,표1[#ALL],row(),false)</f>
        <v>#N/A</v>
      </c>
      <c r="L605" s="376" t="str">
        <f>CS_PID!L605/VLOOKUP($B605,표2[#ALL],2)/HLOOKUP($A605,표1[#ALL],row(),false)</f>
        <v>#N/A</v>
      </c>
      <c r="M605" s="376" t="str">
        <f>CS_PID!M605/VLOOKUP($B605,표2[#ALL],2)/HLOOKUP($A605,표1[#ALL],row(),false)</f>
        <v>#N/A</v>
      </c>
      <c r="N605" s="376" t="str">
        <f>CS_PID!N605/VLOOKUP($B605,표2[#ALL],2)/HLOOKUP($A605,표1[#ALL],row(),false)</f>
        <v>#N/A</v>
      </c>
      <c r="O605" s="376" t="str">
        <f>CS_PID!O605/VLOOKUP($B605,표2[#ALL],2)/HLOOKUP($A605,표1[#ALL],row(),false)</f>
        <v>#N/A</v>
      </c>
      <c r="P605" s="376" t="str">
        <f>CS_PID!P605/VLOOKUP($B605,표2[#ALL],2)/HLOOKUP($A605,표1[#ALL],row(),false)</f>
        <v>#N/A</v>
      </c>
      <c r="Q605" s="376" t="str">
        <f>CS_PID!Q605/VLOOKUP($B605,표2[#ALL],2)/HLOOKUP($A605,표1[#ALL],row(),false)</f>
        <v>#N/A</v>
      </c>
      <c r="R605" s="376" t="str">
        <f>CS_PID!R605/VLOOKUP($B605,표2[#ALL],2)/HLOOKUP($A605,표1[#ALL],row(),false)</f>
        <v>#N/A</v>
      </c>
      <c r="S605" s="376" t="str">
        <f>CS_PID!S605/VLOOKUP($B605,표2[#ALL],2)/HLOOKUP($A605,표1[#ALL],row(),false)</f>
        <v>#N/A</v>
      </c>
      <c r="T605" s="376" t="str">
        <f>CS_PID!T605/VLOOKUP($B605,표2[#ALL],2)/HLOOKUP($A605,표1[#ALL],row(),false)</f>
        <v>#N/A</v>
      </c>
      <c r="U605" s="376" t="str">
        <f>CS_PID!U605/VLOOKUP($B605,표2[#ALL],2)/HLOOKUP($A605,표1[#ALL],row(),false)</f>
        <v>#N/A</v>
      </c>
      <c r="V605" s="376" t="str">
        <f>CS_PID!V605/VLOOKUP($B605,표2[#ALL],2)/HLOOKUP($A605,표1[#ALL],row(),false)</f>
        <v>#N/A</v>
      </c>
      <c r="W605" s="376" t="str">
        <f>CS_PID!W605/VLOOKUP($B605,표2[#ALL],2)/HLOOKUP($A605,표1[#ALL],row(),false)</f>
        <v>#N/A</v>
      </c>
      <c r="X605" s="376" t="str">
        <f>CS_PID!X605/VLOOKUP($B605,표2[#ALL],2)/HLOOKUP($A605,표1[#ALL],row(),false)</f>
        <v>#N/A</v>
      </c>
      <c r="Y605" s="376" t="str">
        <f>CS_PID!Y605/VLOOKUP($B605,표2[#ALL],2)/HLOOKUP($A605,표1[#ALL],row(),false)</f>
        <v>#N/A</v>
      </c>
      <c r="Z605" s="376" t="str">
        <f>CS_PID!Z605/VLOOKUP($B605,표2[#ALL],2)/HLOOKUP($A605,표1[#ALL],row(),false)</f>
        <v>#N/A</v>
      </c>
      <c r="AA605" s="376" t="str">
        <f>CS_PID!AA605/VLOOKUP($B605,표2[#ALL],2)/HLOOKUP($A605,표1[#ALL],row(),false)</f>
        <v>#N/A</v>
      </c>
      <c r="AB605" s="376" t="str">
        <f>CS_PID!AB605/VLOOKUP($B605,표2[#ALL],2)/HLOOKUP($A605,표1[#ALL],row(),false)</f>
        <v>#N/A</v>
      </c>
      <c r="AC605" s="376" t="str">
        <f>CS_PID!AC605/VLOOKUP($B605,표2[#ALL],2)/HLOOKUP($A605,표1[#ALL],row(),false)</f>
        <v>#N/A</v>
      </c>
      <c r="AD605" s="376" t="str">
        <f>CS_PID!AD605/VLOOKUP($B605,표2[#ALL],2)/HLOOKUP($A605,표1[#ALL],row(),false)</f>
        <v>#N/A</v>
      </c>
      <c r="AE605" s="376" t="str">
        <f>CS_PID!AE605/VLOOKUP($B605,표2[#ALL],2)/HLOOKUP($A605,표1[#ALL],row(),false)</f>
        <v>#N/A</v>
      </c>
      <c r="AF605" s="376" t="str">
        <f>CS_PID!AF605/VLOOKUP($B605,표2[#ALL],2)/HLOOKUP($A605,표1[#ALL],row(),false)</f>
        <v>#N/A</v>
      </c>
      <c r="AG605" s="376" t="str">
        <f>CS_PID!AG605/VLOOKUP($B605,표2[#ALL],2)/HLOOKUP($A605,표1[#ALL],row(),false)</f>
        <v>#N/A</v>
      </c>
      <c r="AH605" s="376" t="str">
        <f>CS_PID!AH605/VLOOKUP($B605,표2[#ALL],2)/HLOOKUP($A605,표1[#ALL],row(),false)</f>
        <v>#N/A</v>
      </c>
      <c r="AI605" s="376" t="str">
        <f>CS_PID!AI605/VLOOKUP($B605,표2[#ALL],2)/HLOOKUP($A605,표1[#ALL],row(),false)</f>
        <v>#N/A</v>
      </c>
      <c r="AJ605" s="376" t="str">
        <f>CS_PID!AJ605/VLOOKUP($B605,표2[#ALL],2)/HLOOKUP($A605,표1[#ALL],row(),false)</f>
        <v>#N/A</v>
      </c>
      <c r="AK605" s="376" t="str">
        <f>CS_PID!AK605/VLOOKUP($B605,표2[#ALL],2)/HLOOKUP($A605,표1[#ALL],row(),false)</f>
        <v>#N/A</v>
      </c>
      <c r="AL605" s="376" t="str">
        <f>CS_PID!AL605/VLOOKUP($B605,표2[#ALL],2)/HLOOKUP($A605,표1[#ALL],row(),false)</f>
        <v>#N/A</v>
      </c>
      <c r="AM605" s="376" t="str">
        <f>CS_PID!AM605/VLOOKUP($B605,표2[#ALL],2)/HLOOKUP($A605,표1[#ALL],row(),false)</f>
        <v>#N/A</v>
      </c>
      <c r="AN605" s="376" t="str">
        <f>CS_PID!AN605/VLOOKUP($B605,표2[#ALL],2)/HLOOKUP($A605,표1[#ALL],row(),false)</f>
        <v>#N/A</v>
      </c>
      <c r="AO605" s="376" t="str">
        <f>CS_PID!AO605/VLOOKUP($B605,표2[#ALL],2)/HLOOKUP($A605,표1[#ALL],row(),false)</f>
        <v>#N/A</v>
      </c>
      <c r="AP605" s="376" t="str">
        <f>CS_PID!AP605/VLOOKUP($B605,표2[#ALL],2)/HLOOKUP($A605,표1[#ALL],row(),false)</f>
        <v>#N/A</v>
      </c>
      <c r="AQ605" s="376" t="str">
        <f>CS_PID!AQ605/VLOOKUP($B605,표2[#ALL],2)/HLOOKUP($A605,표1[#ALL],row(),false)</f>
        <v>#N/A</v>
      </c>
      <c r="AR605" s="376" t="str">
        <f>CS_PID!AR605/VLOOKUP($B605,표2[#ALL],2)/HLOOKUP($A605,표1[#ALL],row(),false)</f>
        <v>#N/A</v>
      </c>
      <c r="AS605" s="377" t="str">
        <f>CS_PID!AS605/VLOOKUP($B605,표2[#ALL],2)/HLOOKUP($A605,표1[#ALL],row(),false)</f>
        <v>#N/A</v>
      </c>
    </row>
    <row r="606">
      <c r="A606" s="370"/>
      <c r="B606" s="371"/>
      <c r="C606" s="372" t="str">
        <f>CS_PID!C606/VLOOKUP($B606,표2[#ALL],2)</f>
        <v>#N/A</v>
      </c>
      <c r="D606" s="372" t="str">
        <f>CS_PID!D606/VLOOKUP($B606,표2[#ALL],2)</f>
        <v>#N/A</v>
      </c>
      <c r="E606" s="372" t="str">
        <f>CS_PID!E606/VLOOKUP($B606,표2[#ALL],2)</f>
        <v>#N/A</v>
      </c>
      <c r="F606" s="372" t="str">
        <f>CS_PID!F606/VLOOKUP($B606,표2[#ALL],2)</f>
        <v>#N/A</v>
      </c>
      <c r="G606" s="372" t="str">
        <f>CS_PID!G606/VLOOKUP($B606,표2[#ALL],2)</f>
        <v>#N/A</v>
      </c>
      <c r="H606" s="372" t="str">
        <f>CS_PID!H606/VLOOKUP($B606,표2[#ALL],2)/HLOOKUP($A606,표1[#ALL],row(),false)</f>
        <v>#N/A</v>
      </c>
      <c r="I606" s="372" t="str">
        <f>CS_PID!I606/VLOOKUP($B606,표2[#ALL],2)/HLOOKUP($A606,표1[#ALL],row(),false)</f>
        <v>#N/A</v>
      </c>
      <c r="J606" s="372" t="str">
        <f>CS_PID!J606/VLOOKUP($B606,표2[#ALL],2)/HLOOKUP($A606,표1[#ALL],row(),false)</f>
        <v>#N/A</v>
      </c>
      <c r="K606" s="372" t="str">
        <f>CS_PID!K606/VLOOKUP($B606,표2[#ALL],2)/HLOOKUP($A606,표1[#ALL],row(),false)</f>
        <v>#N/A</v>
      </c>
      <c r="L606" s="372" t="str">
        <f>CS_PID!L606/VLOOKUP($B606,표2[#ALL],2)/HLOOKUP($A606,표1[#ALL],row(),false)</f>
        <v>#N/A</v>
      </c>
      <c r="M606" s="372" t="str">
        <f>CS_PID!M606/VLOOKUP($B606,표2[#ALL],2)/HLOOKUP($A606,표1[#ALL],row(),false)</f>
        <v>#N/A</v>
      </c>
      <c r="N606" s="372" t="str">
        <f>CS_PID!N606/VLOOKUP($B606,표2[#ALL],2)/HLOOKUP($A606,표1[#ALL],row(),false)</f>
        <v>#N/A</v>
      </c>
      <c r="O606" s="372" t="str">
        <f>CS_PID!O606/VLOOKUP($B606,표2[#ALL],2)/HLOOKUP($A606,표1[#ALL],row(),false)</f>
        <v>#N/A</v>
      </c>
      <c r="P606" s="372" t="str">
        <f>CS_PID!P606/VLOOKUP($B606,표2[#ALL],2)/HLOOKUP($A606,표1[#ALL],row(),false)</f>
        <v>#N/A</v>
      </c>
      <c r="Q606" s="372" t="str">
        <f>CS_PID!Q606/VLOOKUP($B606,표2[#ALL],2)/HLOOKUP($A606,표1[#ALL],row(),false)</f>
        <v>#N/A</v>
      </c>
      <c r="R606" s="372" t="str">
        <f>CS_PID!R606/VLOOKUP($B606,표2[#ALL],2)/HLOOKUP($A606,표1[#ALL],row(),false)</f>
        <v>#N/A</v>
      </c>
      <c r="S606" s="372" t="str">
        <f>CS_PID!S606/VLOOKUP($B606,표2[#ALL],2)/HLOOKUP($A606,표1[#ALL],row(),false)</f>
        <v>#N/A</v>
      </c>
      <c r="T606" s="372" t="str">
        <f>CS_PID!T606/VLOOKUP($B606,표2[#ALL],2)/HLOOKUP($A606,표1[#ALL],row(),false)</f>
        <v>#N/A</v>
      </c>
      <c r="U606" s="372" t="str">
        <f>CS_PID!U606/VLOOKUP($B606,표2[#ALL],2)/HLOOKUP($A606,표1[#ALL],row(),false)</f>
        <v>#N/A</v>
      </c>
      <c r="V606" s="372" t="str">
        <f>CS_PID!V606/VLOOKUP($B606,표2[#ALL],2)/HLOOKUP($A606,표1[#ALL],row(),false)</f>
        <v>#N/A</v>
      </c>
      <c r="W606" s="372" t="str">
        <f>CS_PID!W606/VLOOKUP($B606,표2[#ALL],2)/HLOOKUP($A606,표1[#ALL],row(),false)</f>
        <v>#N/A</v>
      </c>
      <c r="X606" s="372" t="str">
        <f>CS_PID!X606/VLOOKUP($B606,표2[#ALL],2)/HLOOKUP($A606,표1[#ALL],row(),false)</f>
        <v>#N/A</v>
      </c>
      <c r="Y606" s="372" t="str">
        <f>CS_PID!Y606/VLOOKUP($B606,표2[#ALL],2)/HLOOKUP($A606,표1[#ALL],row(),false)</f>
        <v>#N/A</v>
      </c>
      <c r="Z606" s="372" t="str">
        <f>CS_PID!Z606/VLOOKUP($B606,표2[#ALL],2)/HLOOKUP($A606,표1[#ALL],row(),false)</f>
        <v>#N/A</v>
      </c>
      <c r="AA606" s="372" t="str">
        <f>CS_PID!AA606/VLOOKUP($B606,표2[#ALL],2)/HLOOKUP($A606,표1[#ALL],row(),false)</f>
        <v>#N/A</v>
      </c>
      <c r="AB606" s="372" t="str">
        <f>CS_PID!AB606/VLOOKUP($B606,표2[#ALL],2)/HLOOKUP($A606,표1[#ALL],row(),false)</f>
        <v>#N/A</v>
      </c>
      <c r="AC606" s="372" t="str">
        <f>CS_PID!AC606/VLOOKUP($B606,표2[#ALL],2)/HLOOKUP($A606,표1[#ALL],row(),false)</f>
        <v>#N/A</v>
      </c>
      <c r="AD606" s="372" t="str">
        <f>CS_PID!AD606/VLOOKUP($B606,표2[#ALL],2)/HLOOKUP($A606,표1[#ALL],row(),false)</f>
        <v>#N/A</v>
      </c>
      <c r="AE606" s="372" t="str">
        <f>CS_PID!AE606/VLOOKUP($B606,표2[#ALL],2)/HLOOKUP($A606,표1[#ALL],row(),false)</f>
        <v>#N/A</v>
      </c>
      <c r="AF606" s="372" t="str">
        <f>CS_PID!AF606/VLOOKUP($B606,표2[#ALL],2)/HLOOKUP($A606,표1[#ALL],row(),false)</f>
        <v>#N/A</v>
      </c>
      <c r="AG606" s="372" t="str">
        <f>CS_PID!AG606/VLOOKUP($B606,표2[#ALL],2)/HLOOKUP($A606,표1[#ALL],row(),false)</f>
        <v>#N/A</v>
      </c>
      <c r="AH606" s="372" t="str">
        <f>CS_PID!AH606/VLOOKUP($B606,표2[#ALL],2)/HLOOKUP($A606,표1[#ALL],row(),false)</f>
        <v>#N/A</v>
      </c>
      <c r="AI606" s="372" t="str">
        <f>CS_PID!AI606/VLOOKUP($B606,표2[#ALL],2)/HLOOKUP($A606,표1[#ALL],row(),false)</f>
        <v>#N/A</v>
      </c>
      <c r="AJ606" s="372" t="str">
        <f>CS_PID!AJ606/VLOOKUP($B606,표2[#ALL],2)/HLOOKUP($A606,표1[#ALL],row(),false)</f>
        <v>#N/A</v>
      </c>
      <c r="AK606" s="372" t="str">
        <f>CS_PID!AK606/VLOOKUP($B606,표2[#ALL],2)/HLOOKUP($A606,표1[#ALL],row(),false)</f>
        <v>#N/A</v>
      </c>
      <c r="AL606" s="372" t="str">
        <f>CS_PID!AL606/VLOOKUP($B606,표2[#ALL],2)/HLOOKUP($A606,표1[#ALL],row(),false)</f>
        <v>#N/A</v>
      </c>
      <c r="AM606" s="372" t="str">
        <f>CS_PID!AM606/VLOOKUP($B606,표2[#ALL],2)/HLOOKUP($A606,표1[#ALL],row(),false)</f>
        <v>#N/A</v>
      </c>
      <c r="AN606" s="372" t="str">
        <f>CS_PID!AN606/VLOOKUP($B606,표2[#ALL],2)/HLOOKUP($A606,표1[#ALL],row(),false)</f>
        <v>#N/A</v>
      </c>
      <c r="AO606" s="372" t="str">
        <f>CS_PID!AO606/VLOOKUP($B606,표2[#ALL],2)/HLOOKUP($A606,표1[#ALL],row(),false)</f>
        <v>#N/A</v>
      </c>
      <c r="AP606" s="372" t="str">
        <f>CS_PID!AP606/VLOOKUP($B606,표2[#ALL],2)/HLOOKUP($A606,표1[#ALL],row(),false)</f>
        <v>#N/A</v>
      </c>
      <c r="AQ606" s="372" t="str">
        <f>CS_PID!AQ606/VLOOKUP($B606,표2[#ALL],2)/HLOOKUP($A606,표1[#ALL],row(),false)</f>
        <v>#N/A</v>
      </c>
      <c r="AR606" s="372" t="str">
        <f>CS_PID!AR606/VLOOKUP($B606,표2[#ALL],2)/HLOOKUP($A606,표1[#ALL],row(),false)</f>
        <v>#N/A</v>
      </c>
      <c r="AS606" s="373" t="str">
        <f>CS_PID!AS606/VLOOKUP($B606,표2[#ALL],2)/HLOOKUP($A606,표1[#ALL],row(),false)</f>
        <v>#N/A</v>
      </c>
    </row>
    <row r="607">
      <c r="A607" s="374"/>
      <c r="B607" s="375"/>
      <c r="C607" s="376" t="str">
        <f>CS_PID!C607/VLOOKUP($B607,표2[#ALL],2)</f>
        <v>#N/A</v>
      </c>
      <c r="D607" s="376" t="str">
        <f>CS_PID!D607/VLOOKUP($B607,표2[#ALL],2)</f>
        <v>#N/A</v>
      </c>
      <c r="E607" s="376" t="str">
        <f>CS_PID!E607/VLOOKUP($B607,표2[#ALL],2)</f>
        <v>#N/A</v>
      </c>
      <c r="F607" s="376" t="str">
        <f>CS_PID!F607/VLOOKUP($B607,표2[#ALL],2)</f>
        <v>#N/A</v>
      </c>
      <c r="G607" s="376" t="str">
        <f>CS_PID!G607/VLOOKUP($B607,표2[#ALL],2)</f>
        <v>#N/A</v>
      </c>
      <c r="H607" s="376" t="str">
        <f>CS_PID!H607/VLOOKUP($B607,표2[#ALL],2)/HLOOKUP($A607,표1[#ALL],row(),false)</f>
        <v>#N/A</v>
      </c>
      <c r="I607" s="376" t="str">
        <f>CS_PID!I607/VLOOKUP($B607,표2[#ALL],2)/HLOOKUP($A607,표1[#ALL],row(),false)</f>
        <v>#N/A</v>
      </c>
      <c r="J607" s="376" t="str">
        <f>CS_PID!J607/VLOOKUP($B607,표2[#ALL],2)/HLOOKUP($A607,표1[#ALL],row(),false)</f>
        <v>#N/A</v>
      </c>
      <c r="K607" s="376" t="str">
        <f>CS_PID!K607/VLOOKUP($B607,표2[#ALL],2)/HLOOKUP($A607,표1[#ALL],row(),false)</f>
        <v>#N/A</v>
      </c>
      <c r="L607" s="376" t="str">
        <f>CS_PID!L607/VLOOKUP($B607,표2[#ALL],2)/HLOOKUP($A607,표1[#ALL],row(),false)</f>
        <v>#N/A</v>
      </c>
      <c r="M607" s="376" t="str">
        <f>CS_PID!M607/VLOOKUP($B607,표2[#ALL],2)/HLOOKUP($A607,표1[#ALL],row(),false)</f>
        <v>#N/A</v>
      </c>
      <c r="N607" s="376" t="str">
        <f>CS_PID!N607/VLOOKUP($B607,표2[#ALL],2)/HLOOKUP($A607,표1[#ALL],row(),false)</f>
        <v>#N/A</v>
      </c>
      <c r="O607" s="376" t="str">
        <f>CS_PID!O607/VLOOKUP($B607,표2[#ALL],2)/HLOOKUP($A607,표1[#ALL],row(),false)</f>
        <v>#N/A</v>
      </c>
      <c r="P607" s="376" t="str">
        <f>CS_PID!P607/VLOOKUP($B607,표2[#ALL],2)/HLOOKUP($A607,표1[#ALL],row(),false)</f>
        <v>#N/A</v>
      </c>
      <c r="Q607" s="376" t="str">
        <f>CS_PID!Q607/VLOOKUP($B607,표2[#ALL],2)/HLOOKUP($A607,표1[#ALL],row(),false)</f>
        <v>#N/A</v>
      </c>
      <c r="R607" s="376" t="str">
        <f>CS_PID!R607/VLOOKUP($B607,표2[#ALL],2)/HLOOKUP($A607,표1[#ALL],row(),false)</f>
        <v>#N/A</v>
      </c>
      <c r="S607" s="376" t="str">
        <f>CS_PID!S607/VLOOKUP($B607,표2[#ALL],2)/HLOOKUP($A607,표1[#ALL],row(),false)</f>
        <v>#N/A</v>
      </c>
      <c r="T607" s="376" t="str">
        <f>CS_PID!T607/VLOOKUP($B607,표2[#ALL],2)/HLOOKUP($A607,표1[#ALL],row(),false)</f>
        <v>#N/A</v>
      </c>
      <c r="U607" s="376" t="str">
        <f>CS_PID!U607/VLOOKUP($B607,표2[#ALL],2)/HLOOKUP($A607,표1[#ALL],row(),false)</f>
        <v>#N/A</v>
      </c>
      <c r="V607" s="376" t="str">
        <f>CS_PID!V607/VLOOKUP($B607,표2[#ALL],2)/HLOOKUP($A607,표1[#ALL],row(),false)</f>
        <v>#N/A</v>
      </c>
      <c r="W607" s="376" t="str">
        <f>CS_PID!W607/VLOOKUP($B607,표2[#ALL],2)/HLOOKUP($A607,표1[#ALL],row(),false)</f>
        <v>#N/A</v>
      </c>
      <c r="X607" s="376" t="str">
        <f>CS_PID!X607/VLOOKUP($B607,표2[#ALL],2)/HLOOKUP($A607,표1[#ALL],row(),false)</f>
        <v>#N/A</v>
      </c>
      <c r="Y607" s="376" t="str">
        <f>CS_PID!Y607/VLOOKUP($B607,표2[#ALL],2)/HLOOKUP($A607,표1[#ALL],row(),false)</f>
        <v>#N/A</v>
      </c>
      <c r="Z607" s="376" t="str">
        <f>CS_PID!Z607/VLOOKUP($B607,표2[#ALL],2)/HLOOKUP($A607,표1[#ALL],row(),false)</f>
        <v>#N/A</v>
      </c>
      <c r="AA607" s="376" t="str">
        <f>CS_PID!AA607/VLOOKUP($B607,표2[#ALL],2)/HLOOKUP($A607,표1[#ALL],row(),false)</f>
        <v>#N/A</v>
      </c>
      <c r="AB607" s="376" t="str">
        <f>CS_PID!AB607/VLOOKUP($B607,표2[#ALL],2)/HLOOKUP($A607,표1[#ALL],row(),false)</f>
        <v>#N/A</v>
      </c>
      <c r="AC607" s="376" t="str">
        <f>CS_PID!AC607/VLOOKUP($B607,표2[#ALL],2)/HLOOKUP($A607,표1[#ALL],row(),false)</f>
        <v>#N/A</v>
      </c>
      <c r="AD607" s="376" t="str">
        <f>CS_PID!AD607/VLOOKUP($B607,표2[#ALL],2)/HLOOKUP($A607,표1[#ALL],row(),false)</f>
        <v>#N/A</v>
      </c>
      <c r="AE607" s="376" t="str">
        <f>CS_PID!AE607/VLOOKUP($B607,표2[#ALL],2)/HLOOKUP($A607,표1[#ALL],row(),false)</f>
        <v>#N/A</v>
      </c>
      <c r="AF607" s="376" t="str">
        <f>CS_PID!AF607/VLOOKUP($B607,표2[#ALL],2)/HLOOKUP($A607,표1[#ALL],row(),false)</f>
        <v>#N/A</v>
      </c>
      <c r="AG607" s="376" t="str">
        <f>CS_PID!AG607/VLOOKUP($B607,표2[#ALL],2)/HLOOKUP($A607,표1[#ALL],row(),false)</f>
        <v>#N/A</v>
      </c>
      <c r="AH607" s="376" t="str">
        <f>CS_PID!AH607/VLOOKUP($B607,표2[#ALL],2)/HLOOKUP($A607,표1[#ALL],row(),false)</f>
        <v>#N/A</v>
      </c>
      <c r="AI607" s="376" t="str">
        <f>CS_PID!AI607/VLOOKUP($B607,표2[#ALL],2)/HLOOKUP($A607,표1[#ALL],row(),false)</f>
        <v>#N/A</v>
      </c>
      <c r="AJ607" s="376" t="str">
        <f>CS_PID!AJ607/VLOOKUP($B607,표2[#ALL],2)/HLOOKUP($A607,표1[#ALL],row(),false)</f>
        <v>#N/A</v>
      </c>
      <c r="AK607" s="376" t="str">
        <f>CS_PID!AK607/VLOOKUP($B607,표2[#ALL],2)/HLOOKUP($A607,표1[#ALL],row(),false)</f>
        <v>#N/A</v>
      </c>
      <c r="AL607" s="376" t="str">
        <f>CS_PID!AL607/VLOOKUP($B607,표2[#ALL],2)/HLOOKUP($A607,표1[#ALL],row(),false)</f>
        <v>#N/A</v>
      </c>
      <c r="AM607" s="376" t="str">
        <f>CS_PID!AM607/VLOOKUP($B607,표2[#ALL],2)/HLOOKUP($A607,표1[#ALL],row(),false)</f>
        <v>#N/A</v>
      </c>
      <c r="AN607" s="376" t="str">
        <f>CS_PID!AN607/VLOOKUP($B607,표2[#ALL],2)/HLOOKUP($A607,표1[#ALL],row(),false)</f>
        <v>#N/A</v>
      </c>
      <c r="AO607" s="376" t="str">
        <f>CS_PID!AO607/VLOOKUP($B607,표2[#ALL],2)/HLOOKUP($A607,표1[#ALL],row(),false)</f>
        <v>#N/A</v>
      </c>
      <c r="AP607" s="376" t="str">
        <f>CS_PID!AP607/VLOOKUP($B607,표2[#ALL],2)/HLOOKUP($A607,표1[#ALL],row(),false)</f>
        <v>#N/A</v>
      </c>
      <c r="AQ607" s="376" t="str">
        <f>CS_PID!AQ607/VLOOKUP($B607,표2[#ALL],2)/HLOOKUP($A607,표1[#ALL],row(),false)</f>
        <v>#N/A</v>
      </c>
      <c r="AR607" s="376" t="str">
        <f>CS_PID!AR607/VLOOKUP($B607,표2[#ALL],2)/HLOOKUP($A607,표1[#ALL],row(),false)</f>
        <v>#N/A</v>
      </c>
      <c r="AS607" s="377" t="str">
        <f>CS_PID!AS607/VLOOKUP($B607,표2[#ALL],2)/HLOOKUP($A607,표1[#ALL],row(),false)</f>
        <v>#N/A</v>
      </c>
    </row>
    <row r="608">
      <c r="A608" s="370"/>
      <c r="B608" s="371"/>
      <c r="C608" s="372" t="str">
        <f>CS_PID!C608/VLOOKUP($B608,표2[#ALL],2)</f>
        <v>#N/A</v>
      </c>
      <c r="D608" s="372" t="str">
        <f>CS_PID!D608/VLOOKUP($B608,표2[#ALL],2)</f>
        <v>#N/A</v>
      </c>
      <c r="E608" s="372" t="str">
        <f>CS_PID!E608/VLOOKUP($B608,표2[#ALL],2)</f>
        <v>#N/A</v>
      </c>
      <c r="F608" s="372" t="str">
        <f>CS_PID!F608/VLOOKUP($B608,표2[#ALL],2)</f>
        <v>#N/A</v>
      </c>
      <c r="G608" s="372" t="str">
        <f>CS_PID!G608/VLOOKUP($B608,표2[#ALL],2)</f>
        <v>#N/A</v>
      </c>
      <c r="H608" s="372" t="str">
        <f>CS_PID!H608/VLOOKUP($B608,표2[#ALL],2)/HLOOKUP($A608,표1[#ALL],row(),false)</f>
        <v>#N/A</v>
      </c>
      <c r="I608" s="372" t="str">
        <f>CS_PID!I608/VLOOKUP($B608,표2[#ALL],2)/HLOOKUP($A608,표1[#ALL],row(),false)</f>
        <v>#N/A</v>
      </c>
      <c r="J608" s="372" t="str">
        <f>CS_PID!J608/VLOOKUP($B608,표2[#ALL],2)/HLOOKUP($A608,표1[#ALL],row(),false)</f>
        <v>#N/A</v>
      </c>
      <c r="K608" s="372" t="str">
        <f>CS_PID!K608/VLOOKUP($B608,표2[#ALL],2)/HLOOKUP($A608,표1[#ALL],row(),false)</f>
        <v>#N/A</v>
      </c>
      <c r="L608" s="372" t="str">
        <f>CS_PID!L608/VLOOKUP($B608,표2[#ALL],2)/HLOOKUP($A608,표1[#ALL],row(),false)</f>
        <v>#N/A</v>
      </c>
      <c r="M608" s="372" t="str">
        <f>CS_PID!M608/VLOOKUP($B608,표2[#ALL],2)/HLOOKUP($A608,표1[#ALL],row(),false)</f>
        <v>#N/A</v>
      </c>
      <c r="N608" s="372" t="str">
        <f>CS_PID!N608/VLOOKUP($B608,표2[#ALL],2)/HLOOKUP($A608,표1[#ALL],row(),false)</f>
        <v>#N/A</v>
      </c>
      <c r="O608" s="372" t="str">
        <f>CS_PID!O608/VLOOKUP($B608,표2[#ALL],2)/HLOOKUP($A608,표1[#ALL],row(),false)</f>
        <v>#N/A</v>
      </c>
      <c r="P608" s="372" t="str">
        <f>CS_PID!P608/VLOOKUP($B608,표2[#ALL],2)/HLOOKUP($A608,표1[#ALL],row(),false)</f>
        <v>#N/A</v>
      </c>
      <c r="Q608" s="372" t="str">
        <f>CS_PID!Q608/VLOOKUP($B608,표2[#ALL],2)/HLOOKUP($A608,표1[#ALL],row(),false)</f>
        <v>#N/A</v>
      </c>
      <c r="R608" s="372" t="str">
        <f>CS_PID!R608/VLOOKUP($B608,표2[#ALL],2)/HLOOKUP($A608,표1[#ALL],row(),false)</f>
        <v>#N/A</v>
      </c>
      <c r="S608" s="372" t="str">
        <f>CS_PID!S608/VLOOKUP($B608,표2[#ALL],2)/HLOOKUP($A608,표1[#ALL],row(),false)</f>
        <v>#N/A</v>
      </c>
      <c r="T608" s="372" t="str">
        <f>CS_PID!T608/VLOOKUP($B608,표2[#ALL],2)/HLOOKUP($A608,표1[#ALL],row(),false)</f>
        <v>#N/A</v>
      </c>
      <c r="U608" s="372" t="str">
        <f>CS_PID!U608/VLOOKUP($B608,표2[#ALL],2)/HLOOKUP($A608,표1[#ALL],row(),false)</f>
        <v>#N/A</v>
      </c>
      <c r="V608" s="372" t="str">
        <f>CS_PID!V608/VLOOKUP($B608,표2[#ALL],2)/HLOOKUP($A608,표1[#ALL],row(),false)</f>
        <v>#N/A</v>
      </c>
      <c r="W608" s="372" t="str">
        <f>CS_PID!W608/VLOOKUP($B608,표2[#ALL],2)/HLOOKUP($A608,표1[#ALL],row(),false)</f>
        <v>#N/A</v>
      </c>
      <c r="X608" s="372" t="str">
        <f>CS_PID!X608/VLOOKUP($B608,표2[#ALL],2)/HLOOKUP($A608,표1[#ALL],row(),false)</f>
        <v>#N/A</v>
      </c>
      <c r="Y608" s="372" t="str">
        <f>CS_PID!Y608/VLOOKUP($B608,표2[#ALL],2)/HLOOKUP($A608,표1[#ALL],row(),false)</f>
        <v>#N/A</v>
      </c>
      <c r="Z608" s="372" t="str">
        <f>CS_PID!Z608/VLOOKUP($B608,표2[#ALL],2)/HLOOKUP($A608,표1[#ALL],row(),false)</f>
        <v>#N/A</v>
      </c>
      <c r="AA608" s="372" t="str">
        <f>CS_PID!AA608/VLOOKUP($B608,표2[#ALL],2)/HLOOKUP($A608,표1[#ALL],row(),false)</f>
        <v>#N/A</v>
      </c>
      <c r="AB608" s="372" t="str">
        <f>CS_PID!AB608/VLOOKUP($B608,표2[#ALL],2)/HLOOKUP($A608,표1[#ALL],row(),false)</f>
        <v>#N/A</v>
      </c>
      <c r="AC608" s="372" t="str">
        <f>CS_PID!AC608/VLOOKUP($B608,표2[#ALL],2)/HLOOKUP($A608,표1[#ALL],row(),false)</f>
        <v>#N/A</v>
      </c>
      <c r="AD608" s="372" t="str">
        <f>CS_PID!AD608/VLOOKUP($B608,표2[#ALL],2)/HLOOKUP($A608,표1[#ALL],row(),false)</f>
        <v>#N/A</v>
      </c>
      <c r="AE608" s="372" t="str">
        <f>CS_PID!AE608/VLOOKUP($B608,표2[#ALL],2)/HLOOKUP($A608,표1[#ALL],row(),false)</f>
        <v>#N/A</v>
      </c>
      <c r="AF608" s="372" t="str">
        <f>CS_PID!AF608/VLOOKUP($B608,표2[#ALL],2)/HLOOKUP($A608,표1[#ALL],row(),false)</f>
        <v>#N/A</v>
      </c>
      <c r="AG608" s="372" t="str">
        <f>CS_PID!AG608/VLOOKUP($B608,표2[#ALL],2)/HLOOKUP($A608,표1[#ALL],row(),false)</f>
        <v>#N/A</v>
      </c>
      <c r="AH608" s="372" t="str">
        <f>CS_PID!AH608/VLOOKUP($B608,표2[#ALL],2)/HLOOKUP($A608,표1[#ALL],row(),false)</f>
        <v>#N/A</v>
      </c>
      <c r="AI608" s="372" t="str">
        <f>CS_PID!AI608/VLOOKUP($B608,표2[#ALL],2)/HLOOKUP($A608,표1[#ALL],row(),false)</f>
        <v>#N/A</v>
      </c>
      <c r="AJ608" s="372" t="str">
        <f>CS_PID!AJ608/VLOOKUP($B608,표2[#ALL],2)/HLOOKUP($A608,표1[#ALL],row(),false)</f>
        <v>#N/A</v>
      </c>
      <c r="AK608" s="372" t="str">
        <f>CS_PID!AK608/VLOOKUP($B608,표2[#ALL],2)/HLOOKUP($A608,표1[#ALL],row(),false)</f>
        <v>#N/A</v>
      </c>
      <c r="AL608" s="372" t="str">
        <f>CS_PID!AL608/VLOOKUP($B608,표2[#ALL],2)/HLOOKUP($A608,표1[#ALL],row(),false)</f>
        <v>#N/A</v>
      </c>
      <c r="AM608" s="372" t="str">
        <f>CS_PID!AM608/VLOOKUP($B608,표2[#ALL],2)/HLOOKUP($A608,표1[#ALL],row(),false)</f>
        <v>#N/A</v>
      </c>
      <c r="AN608" s="372" t="str">
        <f>CS_PID!AN608/VLOOKUP($B608,표2[#ALL],2)/HLOOKUP($A608,표1[#ALL],row(),false)</f>
        <v>#N/A</v>
      </c>
      <c r="AO608" s="372" t="str">
        <f>CS_PID!AO608/VLOOKUP($B608,표2[#ALL],2)/HLOOKUP($A608,표1[#ALL],row(),false)</f>
        <v>#N/A</v>
      </c>
      <c r="AP608" s="372" t="str">
        <f>CS_PID!AP608/VLOOKUP($B608,표2[#ALL],2)/HLOOKUP($A608,표1[#ALL],row(),false)</f>
        <v>#N/A</v>
      </c>
      <c r="AQ608" s="372" t="str">
        <f>CS_PID!AQ608/VLOOKUP($B608,표2[#ALL],2)/HLOOKUP($A608,표1[#ALL],row(),false)</f>
        <v>#N/A</v>
      </c>
      <c r="AR608" s="372" t="str">
        <f>CS_PID!AR608/VLOOKUP($B608,표2[#ALL],2)/HLOOKUP($A608,표1[#ALL],row(),false)</f>
        <v>#N/A</v>
      </c>
      <c r="AS608" s="373" t="str">
        <f>CS_PID!AS608/VLOOKUP($B608,표2[#ALL],2)/HLOOKUP($A608,표1[#ALL],row(),false)</f>
        <v>#N/A</v>
      </c>
    </row>
    <row r="609">
      <c r="A609" s="374"/>
      <c r="B609" s="375"/>
      <c r="C609" s="376" t="str">
        <f>CS_PID!C609/VLOOKUP($B609,표2[#ALL],2)</f>
        <v>#N/A</v>
      </c>
      <c r="D609" s="376" t="str">
        <f>CS_PID!D609/VLOOKUP($B609,표2[#ALL],2)</f>
        <v>#N/A</v>
      </c>
      <c r="E609" s="376" t="str">
        <f>CS_PID!E609/VLOOKUP($B609,표2[#ALL],2)</f>
        <v>#N/A</v>
      </c>
      <c r="F609" s="376" t="str">
        <f>CS_PID!F609/VLOOKUP($B609,표2[#ALL],2)</f>
        <v>#N/A</v>
      </c>
      <c r="G609" s="376" t="str">
        <f>CS_PID!G609/VLOOKUP($B609,표2[#ALL],2)</f>
        <v>#N/A</v>
      </c>
      <c r="H609" s="376" t="str">
        <f>CS_PID!H609/VLOOKUP($B609,표2[#ALL],2)/HLOOKUP($A609,표1[#ALL],row(),false)</f>
        <v>#N/A</v>
      </c>
      <c r="I609" s="376" t="str">
        <f>CS_PID!I609/VLOOKUP($B609,표2[#ALL],2)/HLOOKUP($A609,표1[#ALL],row(),false)</f>
        <v>#N/A</v>
      </c>
      <c r="J609" s="376" t="str">
        <f>CS_PID!J609/VLOOKUP($B609,표2[#ALL],2)/HLOOKUP($A609,표1[#ALL],row(),false)</f>
        <v>#N/A</v>
      </c>
      <c r="K609" s="376" t="str">
        <f>CS_PID!K609/VLOOKUP($B609,표2[#ALL],2)/HLOOKUP($A609,표1[#ALL],row(),false)</f>
        <v>#N/A</v>
      </c>
      <c r="L609" s="376" t="str">
        <f>CS_PID!L609/VLOOKUP($B609,표2[#ALL],2)/HLOOKUP($A609,표1[#ALL],row(),false)</f>
        <v>#N/A</v>
      </c>
      <c r="M609" s="376" t="str">
        <f>CS_PID!M609/VLOOKUP($B609,표2[#ALL],2)/HLOOKUP($A609,표1[#ALL],row(),false)</f>
        <v>#N/A</v>
      </c>
      <c r="N609" s="376" t="str">
        <f>CS_PID!N609/VLOOKUP($B609,표2[#ALL],2)/HLOOKUP($A609,표1[#ALL],row(),false)</f>
        <v>#N/A</v>
      </c>
      <c r="O609" s="376" t="str">
        <f>CS_PID!O609/VLOOKUP($B609,표2[#ALL],2)/HLOOKUP($A609,표1[#ALL],row(),false)</f>
        <v>#N/A</v>
      </c>
      <c r="P609" s="376" t="str">
        <f>CS_PID!P609/VLOOKUP($B609,표2[#ALL],2)/HLOOKUP($A609,표1[#ALL],row(),false)</f>
        <v>#N/A</v>
      </c>
      <c r="Q609" s="376" t="str">
        <f>CS_PID!Q609/VLOOKUP($B609,표2[#ALL],2)/HLOOKUP($A609,표1[#ALL],row(),false)</f>
        <v>#N/A</v>
      </c>
      <c r="R609" s="376" t="str">
        <f>CS_PID!R609/VLOOKUP($B609,표2[#ALL],2)/HLOOKUP($A609,표1[#ALL],row(),false)</f>
        <v>#N/A</v>
      </c>
      <c r="S609" s="376" t="str">
        <f>CS_PID!S609/VLOOKUP($B609,표2[#ALL],2)/HLOOKUP($A609,표1[#ALL],row(),false)</f>
        <v>#N/A</v>
      </c>
      <c r="T609" s="376" t="str">
        <f>CS_PID!T609/VLOOKUP($B609,표2[#ALL],2)/HLOOKUP($A609,표1[#ALL],row(),false)</f>
        <v>#N/A</v>
      </c>
      <c r="U609" s="376" t="str">
        <f>CS_PID!U609/VLOOKUP($B609,표2[#ALL],2)/HLOOKUP($A609,표1[#ALL],row(),false)</f>
        <v>#N/A</v>
      </c>
      <c r="V609" s="376" t="str">
        <f>CS_PID!V609/VLOOKUP($B609,표2[#ALL],2)/HLOOKUP($A609,표1[#ALL],row(),false)</f>
        <v>#N/A</v>
      </c>
      <c r="W609" s="376" t="str">
        <f>CS_PID!W609/VLOOKUP($B609,표2[#ALL],2)/HLOOKUP($A609,표1[#ALL],row(),false)</f>
        <v>#N/A</v>
      </c>
      <c r="X609" s="376" t="str">
        <f>CS_PID!X609/VLOOKUP($B609,표2[#ALL],2)/HLOOKUP($A609,표1[#ALL],row(),false)</f>
        <v>#N/A</v>
      </c>
      <c r="Y609" s="376" t="str">
        <f>CS_PID!Y609/VLOOKUP($B609,표2[#ALL],2)/HLOOKUP($A609,표1[#ALL],row(),false)</f>
        <v>#N/A</v>
      </c>
      <c r="Z609" s="376" t="str">
        <f>CS_PID!Z609/VLOOKUP($B609,표2[#ALL],2)/HLOOKUP($A609,표1[#ALL],row(),false)</f>
        <v>#N/A</v>
      </c>
      <c r="AA609" s="376" t="str">
        <f>CS_PID!AA609/VLOOKUP($B609,표2[#ALL],2)/HLOOKUP($A609,표1[#ALL],row(),false)</f>
        <v>#N/A</v>
      </c>
      <c r="AB609" s="376" t="str">
        <f>CS_PID!AB609/VLOOKUP($B609,표2[#ALL],2)/HLOOKUP($A609,표1[#ALL],row(),false)</f>
        <v>#N/A</v>
      </c>
      <c r="AC609" s="376" t="str">
        <f>CS_PID!AC609/VLOOKUP($B609,표2[#ALL],2)/HLOOKUP($A609,표1[#ALL],row(),false)</f>
        <v>#N/A</v>
      </c>
      <c r="AD609" s="376" t="str">
        <f>CS_PID!AD609/VLOOKUP($B609,표2[#ALL],2)/HLOOKUP($A609,표1[#ALL],row(),false)</f>
        <v>#N/A</v>
      </c>
      <c r="AE609" s="376" t="str">
        <f>CS_PID!AE609/VLOOKUP($B609,표2[#ALL],2)/HLOOKUP($A609,표1[#ALL],row(),false)</f>
        <v>#N/A</v>
      </c>
      <c r="AF609" s="376" t="str">
        <f>CS_PID!AF609/VLOOKUP($B609,표2[#ALL],2)/HLOOKUP($A609,표1[#ALL],row(),false)</f>
        <v>#N/A</v>
      </c>
      <c r="AG609" s="376" t="str">
        <f>CS_PID!AG609/VLOOKUP($B609,표2[#ALL],2)/HLOOKUP($A609,표1[#ALL],row(),false)</f>
        <v>#N/A</v>
      </c>
      <c r="AH609" s="376" t="str">
        <f>CS_PID!AH609/VLOOKUP($B609,표2[#ALL],2)/HLOOKUP($A609,표1[#ALL],row(),false)</f>
        <v>#N/A</v>
      </c>
      <c r="AI609" s="376" t="str">
        <f>CS_PID!AI609/VLOOKUP($B609,표2[#ALL],2)/HLOOKUP($A609,표1[#ALL],row(),false)</f>
        <v>#N/A</v>
      </c>
      <c r="AJ609" s="376" t="str">
        <f>CS_PID!AJ609/VLOOKUP($B609,표2[#ALL],2)/HLOOKUP($A609,표1[#ALL],row(),false)</f>
        <v>#N/A</v>
      </c>
      <c r="AK609" s="376" t="str">
        <f>CS_PID!AK609/VLOOKUP($B609,표2[#ALL],2)/HLOOKUP($A609,표1[#ALL],row(),false)</f>
        <v>#N/A</v>
      </c>
      <c r="AL609" s="376" t="str">
        <f>CS_PID!AL609/VLOOKUP($B609,표2[#ALL],2)/HLOOKUP($A609,표1[#ALL],row(),false)</f>
        <v>#N/A</v>
      </c>
      <c r="AM609" s="376" t="str">
        <f>CS_PID!AM609/VLOOKUP($B609,표2[#ALL],2)/HLOOKUP($A609,표1[#ALL],row(),false)</f>
        <v>#N/A</v>
      </c>
      <c r="AN609" s="376" t="str">
        <f>CS_PID!AN609/VLOOKUP($B609,표2[#ALL],2)/HLOOKUP($A609,표1[#ALL],row(),false)</f>
        <v>#N/A</v>
      </c>
      <c r="AO609" s="376" t="str">
        <f>CS_PID!AO609/VLOOKUP($B609,표2[#ALL],2)/HLOOKUP($A609,표1[#ALL],row(),false)</f>
        <v>#N/A</v>
      </c>
      <c r="AP609" s="376" t="str">
        <f>CS_PID!AP609/VLOOKUP($B609,표2[#ALL],2)/HLOOKUP($A609,표1[#ALL],row(),false)</f>
        <v>#N/A</v>
      </c>
      <c r="AQ609" s="376" t="str">
        <f>CS_PID!AQ609/VLOOKUP($B609,표2[#ALL],2)/HLOOKUP($A609,표1[#ALL],row(),false)</f>
        <v>#N/A</v>
      </c>
      <c r="AR609" s="376" t="str">
        <f>CS_PID!AR609/VLOOKUP($B609,표2[#ALL],2)/HLOOKUP($A609,표1[#ALL],row(),false)</f>
        <v>#N/A</v>
      </c>
      <c r="AS609" s="377" t="str">
        <f>CS_PID!AS609/VLOOKUP($B609,표2[#ALL],2)/HLOOKUP($A609,표1[#ALL],row(),false)</f>
        <v>#N/A</v>
      </c>
    </row>
    <row r="610">
      <c r="A610" s="370"/>
      <c r="B610" s="371"/>
      <c r="C610" s="372" t="str">
        <f>CS_PID!C610/VLOOKUP($B610,표2[#ALL],2)</f>
        <v>#N/A</v>
      </c>
      <c r="D610" s="372" t="str">
        <f>CS_PID!D610/VLOOKUP($B610,표2[#ALL],2)</f>
        <v>#N/A</v>
      </c>
      <c r="E610" s="372" t="str">
        <f>CS_PID!E610/VLOOKUP($B610,표2[#ALL],2)</f>
        <v>#N/A</v>
      </c>
      <c r="F610" s="372" t="str">
        <f>CS_PID!F610/VLOOKUP($B610,표2[#ALL],2)</f>
        <v>#N/A</v>
      </c>
      <c r="G610" s="372" t="str">
        <f>CS_PID!G610/VLOOKUP($B610,표2[#ALL],2)</f>
        <v>#N/A</v>
      </c>
      <c r="H610" s="372" t="str">
        <f>CS_PID!H610/VLOOKUP($B610,표2[#ALL],2)/HLOOKUP($A610,표1[#ALL],row(),false)</f>
        <v>#N/A</v>
      </c>
      <c r="I610" s="372" t="str">
        <f>CS_PID!I610/VLOOKUP($B610,표2[#ALL],2)/HLOOKUP($A610,표1[#ALL],row(),false)</f>
        <v>#N/A</v>
      </c>
      <c r="J610" s="372" t="str">
        <f>CS_PID!J610/VLOOKUP($B610,표2[#ALL],2)/HLOOKUP($A610,표1[#ALL],row(),false)</f>
        <v>#N/A</v>
      </c>
      <c r="K610" s="372" t="str">
        <f>CS_PID!K610/VLOOKUP($B610,표2[#ALL],2)/HLOOKUP($A610,표1[#ALL],row(),false)</f>
        <v>#N/A</v>
      </c>
      <c r="L610" s="372" t="str">
        <f>CS_PID!L610/VLOOKUP($B610,표2[#ALL],2)/HLOOKUP($A610,표1[#ALL],row(),false)</f>
        <v>#N/A</v>
      </c>
      <c r="M610" s="372" t="str">
        <f>CS_PID!M610/VLOOKUP($B610,표2[#ALL],2)/HLOOKUP($A610,표1[#ALL],row(),false)</f>
        <v>#N/A</v>
      </c>
      <c r="N610" s="372" t="str">
        <f>CS_PID!N610/VLOOKUP($B610,표2[#ALL],2)/HLOOKUP($A610,표1[#ALL],row(),false)</f>
        <v>#N/A</v>
      </c>
      <c r="O610" s="372" t="str">
        <f>CS_PID!O610/VLOOKUP($B610,표2[#ALL],2)/HLOOKUP($A610,표1[#ALL],row(),false)</f>
        <v>#N/A</v>
      </c>
      <c r="P610" s="372" t="str">
        <f>CS_PID!P610/VLOOKUP($B610,표2[#ALL],2)/HLOOKUP($A610,표1[#ALL],row(),false)</f>
        <v>#N/A</v>
      </c>
      <c r="Q610" s="372" t="str">
        <f>CS_PID!Q610/VLOOKUP($B610,표2[#ALL],2)/HLOOKUP($A610,표1[#ALL],row(),false)</f>
        <v>#N/A</v>
      </c>
      <c r="R610" s="372" t="str">
        <f>CS_PID!R610/VLOOKUP($B610,표2[#ALL],2)/HLOOKUP($A610,표1[#ALL],row(),false)</f>
        <v>#N/A</v>
      </c>
      <c r="S610" s="372" t="str">
        <f>CS_PID!S610/VLOOKUP($B610,표2[#ALL],2)/HLOOKUP($A610,표1[#ALL],row(),false)</f>
        <v>#N/A</v>
      </c>
      <c r="T610" s="372" t="str">
        <f>CS_PID!T610/VLOOKUP($B610,표2[#ALL],2)/HLOOKUP($A610,표1[#ALL],row(),false)</f>
        <v>#N/A</v>
      </c>
      <c r="U610" s="372" t="str">
        <f>CS_PID!U610/VLOOKUP($B610,표2[#ALL],2)/HLOOKUP($A610,표1[#ALL],row(),false)</f>
        <v>#N/A</v>
      </c>
      <c r="V610" s="372" t="str">
        <f>CS_PID!V610/VLOOKUP($B610,표2[#ALL],2)/HLOOKUP($A610,표1[#ALL],row(),false)</f>
        <v>#N/A</v>
      </c>
      <c r="W610" s="372" t="str">
        <f>CS_PID!W610/VLOOKUP($B610,표2[#ALL],2)/HLOOKUP($A610,표1[#ALL],row(),false)</f>
        <v>#N/A</v>
      </c>
      <c r="X610" s="372" t="str">
        <f>CS_PID!X610/VLOOKUP($B610,표2[#ALL],2)/HLOOKUP($A610,표1[#ALL],row(),false)</f>
        <v>#N/A</v>
      </c>
      <c r="Y610" s="372" t="str">
        <f>CS_PID!Y610/VLOOKUP($B610,표2[#ALL],2)/HLOOKUP($A610,표1[#ALL],row(),false)</f>
        <v>#N/A</v>
      </c>
      <c r="Z610" s="372" t="str">
        <f>CS_PID!Z610/VLOOKUP($B610,표2[#ALL],2)/HLOOKUP($A610,표1[#ALL],row(),false)</f>
        <v>#N/A</v>
      </c>
      <c r="AA610" s="372" t="str">
        <f>CS_PID!AA610/VLOOKUP($B610,표2[#ALL],2)/HLOOKUP($A610,표1[#ALL],row(),false)</f>
        <v>#N/A</v>
      </c>
      <c r="AB610" s="372" t="str">
        <f>CS_PID!AB610/VLOOKUP($B610,표2[#ALL],2)/HLOOKUP($A610,표1[#ALL],row(),false)</f>
        <v>#N/A</v>
      </c>
      <c r="AC610" s="372" t="str">
        <f>CS_PID!AC610/VLOOKUP($B610,표2[#ALL],2)/HLOOKUP($A610,표1[#ALL],row(),false)</f>
        <v>#N/A</v>
      </c>
      <c r="AD610" s="372" t="str">
        <f>CS_PID!AD610/VLOOKUP($B610,표2[#ALL],2)/HLOOKUP($A610,표1[#ALL],row(),false)</f>
        <v>#N/A</v>
      </c>
      <c r="AE610" s="372" t="str">
        <f>CS_PID!AE610/VLOOKUP($B610,표2[#ALL],2)/HLOOKUP($A610,표1[#ALL],row(),false)</f>
        <v>#N/A</v>
      </c>
      <c r="AF610" s="372" t="str">
        <f>CS_PID!AF610/VLOOKUP($B610,표2[#ALL],2)/HLOOKUP($A610,표1[#ALL],row(),false)</f>
        <v>#N/A</v>
      </c>
      <c r="AG610" s="372" t="str">
        <f>CS_PID!AG610/VLOOKUP($B610,표2[#ALL],2)/HLOOKUP($A610,표1[#ALL],row(),false)</f>
        <v>#N/A</v>
      </c>
      <c r="AH610" s="372" t="str">
        <f>CS_PID!AH610/VLOOKUP($B610,표2[#ALL],2)/HLOOKUP($A610,표1[#ALL],row(),false)</f>
        <v>#N/A</v>
      </c>
      <c r="AI610" s="372" t="str">
        <f>CS_PID!AI610/VLOOKUP($B610,표2[#ALL],2)/HLOOKUP($A610,표1[#ALL],row(),false)</f>
        <v>#N/A</v>
      </c>
      <c r="AJ610" s="372" t="str">
        <f>CS_PID!AJ610/VLOOKUP($B610,표2[#ALL],2)/HLOOKUP($A610,표1[#ALL],row(),false)</f>
        <v>#N/A</v>
      </c>
      <c r="AK610" s="372" t="str">
        <f>CS_PID!AK610/VLOOKUP($B610,표2[#ALL],2)/HLOOKUP($A610,표1[#ALL],row(),false)</f>
        <v>#N/A</v>
      </c>
      <c r="AL610" s="372" t="str">
        <f>CS_PID!AL610/VLOOKUP($B610,표2[#ALL],2)/HLOOKUP($A610,표1[#ALL],row(),false)</f>
        <v>#N/A</v>
      </c>
      <c r="AM610" s="372" t="str">
        <f>CS_PID!AM610/VLOOKUP($B610,표2[#ALL],2)/HLOOKUP($A610,표1[#ALL],row(),false)</f>
        <v>#N/A</v>
      </c>
      <c r="AN610" s="372" t="str">
        <f>CS_PID!AN610/VLOOKUP($B610,표2[#ALL],2)/HLOOKUP($A610,표1[#ALL],row(),false)</f>
        <v>#N/A</v>
      </c>
      <c r="AO610" s="372" t="str">
        <f>CS_PID!AO610/VLOOKUP($B610,표2[#ALL],2)/HLOOKUP($A610,표1[#ALL],row(),false)</f>
        <v>#N/A</v>
      </c>
      <c r="AP610" s="372" t="str">
        <f>CS_PID!AP610/VLOOKUP($B610,표2[#ALL],2)/HLOOKUP($A610,표1[#ALL],row(),false)</f>
        <v>#N/A</v>
      </c>
      <c r="AQ610" s="372" t="str">
        <f>CS_PID!AQ610/VLOOKUP($B610,표2[#ALL],2)/HLOOKUP($A610,표1[#ALL],row(),false)</f>
        <v>#N/A</v>
      </c>
      <c r="AR610" s="372" t="str">
        <f>CS_PID!AR610/VLOOKUP($B610,표2[#ALL],2)/HLOOKUP($A610,표1[#ALL],row(),false)</f>
        <v>#N/A</v>
      </c>
      <c r="AS610" s="373" t="str">
        <f>CS_PID!AS610/VLOOKUP($B610,표2[#ALL],2)/HLOOKUP($A610,표1[#ALL],row(),false)</f>
        <v>#N/A</v>
      </c>
    </row>
    <row r="611">
      <c r="A611" s="374"/>
      <c r="B611" s="375"/>
      <c r="C611" s="376" t="str">
        <f>CS_PID!C611/VLOOKUP($B611,표2[#ALL],2)</f>
        <v>#N/A</v>
      </c>
      <c r="D611" s="376" t="str">
        <f>CS_PID!D611/VLOOKUP($B611,표2[#ALL],2)</f>
        <v>#N/A</v>
      </c>
      <c r="E611" s="376" t="str">
        <f>CS_PID!E611/VLOOKUP($B611,표2[#ALL],2)</f>
        <v>#N/A</v>
      </c>
      <c r="F611" s="376" t="str">
        <f>CS_PID!F611/VLOOKUP($B611,표2[#ALL],2)</f>
        <v>#N/A</v>
      </c>
      <c r="G611" s="376" t="str">
        <f>CS_PID!G611/VLOOKUP($B611,표2[#ALL],2)</f>
        <v>#N/A</v>
      </c>
      <c r="H611" s="376" t="str">
        <f>CS_PID!H611/VLOOKUP($B611,표2[#ALL],2)/HLOOKUP($A611,표1[#ALL],row(),false)</f>
        <v>#N/A</v>
      </c>
      <c r="I611" s="376" t="str">
        <f>CS_PID!I611/VLOOKUP($B611,표2[#ALL],2)/HLOOKUP($A611,표1[#ALL],row(),false)</f>
        <v>#N/A</v>
      </c>
      <c r="J611" s="376" t="str">
        <f>CS_PID!J611/VLOOKUP($B611,표2[#ALL],2)/HLOOKUP($A611,표1[#ALL],row(),false)</f>
        <v>#N/A</v>
      </c>
      <c r="K611" s="376" t="str">
        <f>CS_PID!K611/VLOOKUP($B611,표2[#ALL],2)/HLOOKUP($A611,표1[#ALL],row(),false)</f>
        <v>#N/A</v>
      </c>
      <c r="L611" s="376" t="str">
        <f>CS_PID!L611/VLOOKUP($B611,표2[#ALL],2)/HLOOKUP($A611,표1[#ALL],row(),false)</f>
        <v>#N/A</v>
      </c>
      <c r="M611" s="376" t="str">
        <f>CS_PID!M611/VLOOKUP($B611,표2[#ALL],2)/HLOOKUP($A611,표1[#ALL],row(),false)</f>
        <v>#N/A</v>
      </c>
      <c r="N611" s="376" t="str">
        <f>CS_PID!N611/VLOOKUP($B611,표2[#ALL],2)/HLOOKUP($A611,표1[#ALL],row(),false)</f>
        <v>#N/A</v>
      </c>
      <c r="O611" s="376" t="str">
        <f>CS_PID!O611/VLOOKUP($B611,표2[#ALL],2)/HLOOKUP($A611,표1[#ALL],row(),false)</f>
        <v>#N/A</v>
      </c>
      <c r="P611" s="376" t="str">
        <f>CS_PID!P611/VLOOKUP($B611,표2[#ALL],2)/HLOOKUP($A611,표1[#ALL],row(),false)</f>
        <v>#N/A</v>
      </c>
      <c r="Q611" s="376" t="str">
        <f>CS_PID!Q611/VLOOKUP($B611,표2[#ALL],2)/HLOOKUP($A611,표1[#ALL],row(),false)</f>
        <v>#N/A</v>
      </c>
      <c r="R611" s="376" t="str">
        <f>CS_PID!R611/VLOOKUP($B611,표2[#ALL],2)/HLOOKUP($A611,표1[#ALL],row(),false)</f>
        <v>#N/A</v>
      </c>
      <c r="S611" s="376" t="str">
        <f>CS_PID!S611/VLOOKUP($B611,표2[#ALL],2)/HLOOKUP($A611,표1[#ALL],row(),false)</f>
        <v>#N/A</v>
      </c>
      <c r="T611" s="376" t="str">
        <f>CS_PID!T611/VLOOKUP($B611,표2[#ALL],2)/HLOOKUP($A611,표1[#ALL],row(),false)</f>
        <v>#N/A</v>
      </c>
      <c r="U611" s="376" t="str">
        <f>CS_PID!U611/VLOOKUP($B611,표2[#ALL],2)/HLOOKUP($A611,표1[#ALL],row(),false)</f>
        <v>#N/A</v>
      </c>
      <c r="V611" s="376" t="str">
        <f>CS_PID!V611/VLOOKUP($B611,표2[#ALL],2)/HLOOKUP($A611,표1[#ALL],row(),false)</f>
        <v>#N/A</v>
      </c>
      <c r="W611" s="376" t="str">
        <f>CS_PID!W611/VLOOKUP($B611,표2[#ALL],2)/HLOOKUP($A611,표1[#ALL],row(),false)</f>
        <v>#N/A</v>
      </c>
      <c r="X611" s="376" t="str">
        <f>CS_PID!X611/VLOOKUP($B611,표2[#ALL],2)/HLOOKUP($A611,표1[#ALL],row(),false)</f>
        <v>#N/A</v>
      </c>
      <c r="Y611" s="376" t="str">
        <f>CS_PID!Y611/VLOOKUP($B611,표2[#ALL],2)/HLOOKUP($A611,표1[#ALL],row(),false)</f>
        <v>#N/A</v>
      </c>
      <c r="Z611" s="376" t="str">
        <f>CS_PID!Z611/VLOOKUP($B611,표2[#ALL],2)/HLOOKUP($A611,표1[#ALL],row(),false)</f>
        <v>#N/A</v>
      </c>
      <c r="AA611" s="376" t="str">
        <f>CS_PID!AA611/VLOOKUP($B611,표2[#ALL],2)/HLOOKUP($A611,표1[#ALL],row(),false)</f>
        <v>#N/A</v>
      </c>
      <c r="AB611" s="376" t="str">
        <f>CS_PID!AB611/VLOOKUP($B611,표2[#ALL],2)/HLOOKUP($A611,표1[#ALL],row(),false)</f>
        <v>#N/A</v>
      </c>
      <c r="AC611" s="376" t="str">
        <f>CS_PID!AC611/VLOOKUP($B611,표2[#ALL],2)/HLOOKUP($A611,표1[#ALL],row(),false)</f>
        <v>#N/A</v>
      </c>
      <c r="AD611" s="376" t="str">
        <f>CS_PID!AD611/VLOOKUP($B611,표2[#ALL],2)/HLOOKUP($A611,표1[#ALL],row(),false)</f>
        <v>#N/A</v>
      </c>
      <c r="AE611" s="376" t="str">
        <f>CS_PID!AE611/VLOOKUP($B611,표2[#ALL],2)/HLOOKUP($A611,표1[#ALL],row(),false)</f>
        <v>#N/A</v>
      </c>
      <c r="AF611" s="376" t="str">
        <f>CS_PID!AF611/VLOOKUP($B611,표2[#ALL],2)/HLOOKUP($A611,표1[#ALL],row(),false)</f>
        <v>#N/A</v>
      </c>
      <c r="AG611" s="376" t="str">
        <f>CS_PID!AG611/VLOOKUP($B611,표2[#ALL],2)/HLOOKUP($A611,표1[#ALL],row(),false)</f>
        <v>#N/A</v>
      </c>
      <c r="AH611" s="376" t="str">
        <f>CS_PID!AH611/VLOOKUP($B611,표2[#ALL],2)/HLOOKUP($A611,표1[#ALL],row(),false)</f>
        <v>#N/A</v>
      </c>
      <c r="AI611" s="376" t="str">
        <f>CS_PID!AI611/VLOOKUP($B611,표2[#ALL],2)/HLOOKUP($A611,표1[#ALL],row(),false)</f>
        <v>#N/A</v>
      </c>
      <c r="AJ611" s="376" t="str">
        <f>CS_PID!AJ611/VLOOKUP($B611,표2[#ALL],2)/HLOOKUP($A611,표1[#ALL],row(),false)</f>
        <v>#N/A</v>
      </c>
      <c r="AK611" s="376" t="str">
        <f>CS_PID!AK611/VLOOKUP($B611,표2[#ALL],2)/HLOOKUP($A611,표1[#ALL],row(),false)</f>
        <v>#N/A</v>
      </c>
      <c r="AL611" s="376" t="str">
        <f>CS_PID!AL611/VLOOKUP($B611,표2[#ALL],2)/HLOOKUP($A611,표1[#ALL],row(),false)</f>
        <v>#N/A</v>
      </c>
      <c r="AM611" s="376" t="str">
        <f>CS_PID!AM611/VLOOKUP($B611,표2[#ALL],2)/HLOOKUP($A611,표1[#ALL],row(),false)</f>
        <v>#N/A</v>
      </c>
      <c r="AN611" s="376" t="str">
        <f>CS_PID!AN611/VLOOKUP($B611,표2[#ALL],2)/HLOOKUP($A611,표1[#ALL],row(),false)</f>
        <v>#N/A</v>
      </c>
      <c r="AO611" s="376" t="str">
        <f>CS_PID!AO611/VLOOKUP($B611,표2[#ALL],2)/HLOOKUP($A611,표1[#ALL],row(),false)</f>
        <v>#N/A</v>
      </c>
      <c r="AP611" s="376" t="str">
        <f>CS_PID!AP611/VLOOKUP($B611,표2[#ALL],2)/HLOOKUP($A611,표1[#ALL],row(),false)</f>
        <v>#N/A</v>
      </c>
      <c r="AQ611" s="376" t="str">
        <f>CS_PID!AQ611/VLOOKUP($B611,표2[#ALL],2)/HLOOKUP($A611,표1[#ALL],row(),false)</f>
        <v>#N/A</v>
      </c>
      <c r="AR611" s="376" t="str">
        <f>CS_PID!AR611/VLOOKUP($B611,표2[#ALL],2)/HLOOKUP($A611,표1[#ALL],row(),false)</f>
        <v>#N/A</v>
      </c>
      <c r="AS611" s="377" t="str">
        <f>CS_PID!AS611/VLOOKUP($B611,표2[#ALL],2)/HLOOKUP($A611,표1[#ALL],row(),false)</f>
        <v>#N/A</v>
      </c>
    </row>
    <row r="612">
      <c r="A612" s="370"/>
      <c r="B612" s="371"/>
      <c r="C612" s="372" t="str">
        <f>CS_PID!C612/VLOOKUP($B612,표2[#ALL],2)</f>
        <v>#N/A</v>
      </c>
      <c r="D612" s="372" t="str">
        <f>CS_PID!D612/VLOOKUP($B612,표2[#ALL],2)</f>
        <v>#N/A</v>
      </c>
      <c r="E612" s="372" t="str">
        <f>CS_PID!E612/VLOOKUP($B612,표2[#ALL],2)</f>
        <v>#N/A</v>
      </c>
      <c r="F612" s="372" t="str">
        <f>CS_PID!F612/VLOOKUP($B612,표2[#ALL],2)</f>
        <v>#N/A</v>
      </c>
      <c r="G612" s="372" t="str">
        <f>CS_PID!G612/VLOOKUP($B612,표2[#ALL],2)</f>
        <v>#N/A</v>
      </c>
      <c r="H612" s="372" t="str">
        <f>CS_PID!H612/VLOOKUP($B612,표2[#ALL],2)/HLOOKUP($A612,표1[#ALL],row(),false)</f>
        <v>#N/A</v>
      </c>
      <c r="I612" s="372" t="str">
        <f>CS_PID!I612/VLOOKUP($B612,표2[#ALL],2)/HLOOKUP($A612,표1[#ALL],row(),false)</f>
        <v>#N/A</v>
      </c>
      <c r="J612" s="372" t="str">
        <f>CS_PID!J612/VLOOKUP($B612,표2[#ALL],2)/HLOOKUP($A612,표1[#ALL],row(),false)</f>
        <v>#N/A</v>
      </c>
      <c r="K612" s="372" t="str">
        <f>CS_PID!K612/VLOOKUP($B612,표2[#ALL],2)/HLOOKUP($A612,표1[#ALL],row(),false)</f>
        <v>#N/A</v>
      </c>
      <c r="L612" s="372" t="str">
        <f>CS_PID!L612/VLOOKUP($B612,표2[#ALL],2)/HLOOKUP($A612,표1[#ALL],row(),false)</f>
        <v>#N/A</v>
      </c>
      <c r="M612" s="372" t="str">
        <f>CS_PID!M612/VLOOKUP($B612,표2[#ALL],2)/HLOOKUP($A612,표1[#ALL],row(),false)</f>
        <v>#N/A</v>
      </c>
      <c r="N612" s="372" t="str">
        <f>CS_PID!N612/VLOOKUP($B612,표2[#ALL],2)/HLOOKUP($A612,표1[#ALL],row(),false)</f>
        <v>#N/A</v>
      </c>
      <c r="O612" s="372" t="str">
        <f>CS_PID!O612/VLOOKUP($B612,표2[#ALL],2)/HLOOKUP($A612,표1[#ALL],row(),false)</f>
        <v>#N/A</v>
      </c>
      <c r="P612" s="372" t="str">
        <f>CS_PID!P612/VLOOKUP($B612,표2[#ALL],2)/HLOOKUP($A612,표1[#ALL],row(),false)</f>
        <v>#N/A</v>
      </c>
      <c r="Q612" s="372" t="str">
        <f>CS_PID!Q612/VLOOKUP($B612,표2[#ALL],2)/HLOOKUP($A612,표1[#ALL],row(),false)</f>
        <v>#N/A</v>
      </c>
      <c r="R612" s="372" t="str">
        <f>CS_PID!R612/VLOOKUP($B612,표2[#ALL],2)/HLOOKUP($A612,표1[#ALL],row(),false)</f>
        <v>#N/A</v>
      </c>
      <c r="S612" s="372" t="str">
        <f>CS_PID!S612/VLOOKUP($B612,표2[#ALL],2)/HLOOKUP($A612,표1[#ALL],row(),false)</f>
        <v>#N/A</v>
      </c>
      <c r="T612" s="372" t="str">
        <f>CS_PID!T612/VLOOKUP($B612,표2[#ALL],2)/HLOOKUP($A612,표1[#ALL],row(),false)</f>
        <v>#N/A</v>
      </c>
      <c r="U612" s="372" t="str">
        <f>CS_PID!U612/VLOOKUP($B612,표2[#ALL],2)/HLOOKUP($A612,표1[#ALL],row(),false)</f>
        <v>#N/A</v>
      </c>
      <c r="V612" s="372" t="str">
        <f>CS_PID!V612/VLOOKUP($B612,표2[#ALL],2)/HLOOKUP($A612,표1[#ALL],row(),false)</f>
        <v>#N/A</v>
      </c>
      <c r="W612" s="372" t="str">
        <f>CS_PID!W612/VLOOKUP($B612,표2[#ALL],2)/HLOOKUP($A612,표1[#ALL],row(),false)</f>
        <v>#N/A</v>
      </c>
      <c r="X612" s="372" t="str">
        <f>CS_PID!X612/VLOOKUP($B612,표2[#ALL],2)/HLOOKUP($A612,표1[#ALL],row(),false)</f>
        <v>#N/A</v>
      </c>
      <c r="Y612" s="372" t="str">
        <f>CS_PID!Y612/VLOOKUP($B612,표2[#ALL],2)/HLOOKUP($A612,표1[#ALL],row(),false)</f>
        <v>#N/A</v>
      </c>
      <c r="Z612" s="372" t="str">
        <f>CS_PID!Z612/VLOOKUP($B612,표2[#ALL],2)/HLOOKUP($A612,표1[#ALL],row(),false)</f>
        <v>#N/A</v>
      </c>
      <c r="AA612" s="372" t="str">
        <f>CS_PID!AA612/VLOOKUP($B612,표2[#ALL],2)/HLOOKUP($A612,표1[#ALL],row(),false)</f>
        <v>#N/A</v>
      </c>
      <c r="AB612" s="372" t="str">
        <f>CS_PID!AB612/VLOOKUP($B612,표2[#ALL],2)/HLOOKUP($A612,표1[#ALL],row(),false)</f>
        <v>#N/A</v>
      </c>
      <c r="AC612" s="372" t="str">
        <f>CS_PID!AC612/VLOOKUP($B612,표2[#ALL],2)/HLOOKUP($A612,표1[#ALL],row(),false)</f>
        <v>#N/A</v>
      </c>
      <c r="AD612" s="372" t="str">
        <f>CS_PID!AD612/VLOOKUP($B612,표2[#ALL],2)/HLOOKUP($A612,표1[#ALL],row(),false)</f>
        <v>#N/A</v>
      </c>
      <c r="AE612" s="372" t="str">
        <f>CS_PID!AE612/VLOOKUP($B612,표2[#ALL],2)/HLOOKUP($A612,표1[#ALL],row(),false)</f>
        <v>#N/A</v>
      </c>
      <c r="AF612" s="372" t="str">
        <f>CS_PID!AF612/VLOOKUP($B612,표2[#ALL],2)/HLOOKUP($A612,표1[#ALL],row(),false)</f>
        <v>#N/A</v>
      </c>
      <c r="AG612" s="372" t="str">
        <f>CS_PID!AG612/VLOOKUP($B612,표2[#ALL],2)/HLOOKUP($A612,표1[#ALL],row(),false)</f>
        <v>#N/A</v>
      </c>
      <c r="AH612" s="372" t="str">
        <f>CS_PID!AH612/VLOOKUP($B612,표2[#ALL],2)/HLOOKUP($A612,표1[#ALL],row(),false)</f>
        <v>#N/A</v>
      </c>
      <c r="AI612" s="372" t="str">
        <f>CS_PID!AI612/VLOOKUP($B612,표2[#ALL],2)/HLOOKUP($A612,표1[#ALL],row(),false)</f>
        <v>#N/A</v>
      </c>
      <c r="AJ612" s="372" t="str">
        <f>CS_PID!AJ612/VLOOKUP($B612,표2[#ALL],2)/HLOOKUP($A612,표1[#ALL],row(),false)</f>
        <v>#N/A</v>
      </c>
      <c r="AK612" s="372" t="str">
        <f>CS_PID!AK612/VLOOKUP($B612,표2[#ALL],2)/HLOOKUP($A612,표1[#ALL],row(),false)</f>
        <v>#N/A</v>
      </c>
      <c r="AL612" s="372" t="str">
        <f>CS_PID!AL612/VLOOKUP($B612,표2[#ALL],2)/HLOOKUP($A612,표1[#ALL],row(),false)</f>
        <v>#N/A</v>
      </c>
      <c r="AM612" s="372" t="str">
        <f>CS_PID!AM612/VLOOKUP($B612,표2[#ALL],2)/HLOOKUP($A612,표1[#ALL],row(),false)</f>
        <v>#N/A</v>
      </c>
      <c r="AN612" s="372" t="str">
        <f>CS_PID!AN612/VLOOKUP($B612,표2[#ALL],2)/HLOOKUP($A612,표1[#ALL],row(),false)</f>
        <v>#N/A</v>
      </c>
      <c r="AO612" s="372" t="str">
        <f>CS_PID!AO612/VLOOKUP($B612,표2[#ALL],2)/HLOOKUP($A612,표1[#ALL],row(),false)</f>
        <v>#N/A</v>
      </c>
      <c r="AP612" s="372" t="str">
        <f>CS_PID!AP612/VLOOKUP($B612,표2[#ALL],2)/HLOOKUP($A612,표1[#ALL],row(),false)</f>
        <v>#N/A</v>
      </c>
      <c r="AQ612" s="372" t="str">
        <f>CS_PID!AQ612/VLOOKUP($B612,표2[#ALL],2)/HLOOKUP($A612,표1[#ALL],row(),false)</f>
        <v>#N/A</v>
      </c>
      <c r="AR612" s="372" t="str">
        <f>CS_PID!AR612/VLOOKUP($B612,표2[#ALL],2)/HLOOKUP($A612,표1[#ALL],row(),false)</f>
        <v>#N/A</v>
      </c>
      <c r="AS612" s="373" t="str">
        <f>CS_PID!AS612/VLOOKUP($B612,표2[#ALL],2)/HLOOKUP($A612,표1[#ALL],row(),false)</f>
        <v>#N/A</v>
      </c>
    </row>
    <row r="613">
      <c r="A613" s="374"/>
      <c r="B613" s="375"/>
      <c r="C613" s="376" t="str">
        <f>CS_PID!C613/VLOOKUP($B613,표2[#ALL],2)</f>
        <v>#N/A</v>
      </c>
      <c r="D613" s="376" t="str">
        <f>CS_PID!D613/VLOOKUP($B613,표2[#ALL],2)</f>
        <v>#N/A</v>
      </c>
      <c r="E613" s="376" t="str">
        <f>CS_PID!E613/VLOOKUP($B613,표2[#ALL],2)</f>
        <v>#N/A</v>
      </c>
      <c r="F613" s="376" t="str">
        <f>CS_PID!F613/VLOOKUP($B613,표2[#ALL],2)</f>
        <v>#N/A</v>
      </c>
      <c r="G613" s="376" t="str">
        <f>CS_PID!G613/VLOOKUP($B613,표2[#ALL],2)</f>
        <v>#N/A</v>
      </c>
      <c r="H613" s="376" t="str">
        <f>CS_PID!H613/VLOOKUP($B613,표2[#ALL],2)/HLOOKUP($A613,표1[#ALL],row(),false)</f>
        <v>#N/A</v>
      </c>
      <c r="I613" s="376" t="str">
        <f>CS_PID!I613/VLOOKUP($B613,표2[#ALL],2)/HLOOKUP($A613,표1[#ALL],row(),false)</f>
        <v>#N/A</v>
      </c>
      <c r="J613" s="376" t="str">
        <f>CS_PID!J613/VLOOKUP($B613,표2[#ALL],2)/HLOOKUP($A613,표1[#ALL],row(),false)</f>
        <v>#N/A</v>
      </c>
      <c r="K613" s="376" t="str">
        <f>CS_PID!K613/VLOOKUP($B613,표2[#ALL],2)/HLOOKUP($A613,표1[#ALL],row(),false)</f>
        <v>#N/A</v>
      </c>
      <c r="L613" s="376" t="str">
        <f>CS_PID!L613/VLOOKUP($B613,표2[#ALL],2)/HLOOKUP($A613,표1[#ALL],row(),false)</f>
        <v>#N/A</v>
      </c>
      <c r="M613" s="376" t="str">
        <f>CS_PID!M613/VLOOKUP($B613,표2[#ALL],2)/HLOOKUP($A613,표1[#ALL],row(),false)</f>
        <v>#N/A</v>
      </c>
      <c r="N613" s="376" t="str">
        <f>CS_PID!N613/VLOOKUP($B613,표2[#ALL],2)/HLOOKUP($A613,표1[#ALL],row(),false)</f>
        <v>#N/A</v>
      </c>
      <c r="O613" s="376" t="str">
        <f>CS_PID!O613/VLOOKUP($B613,표2[#ALL],2)/HLOOKUP($A613,표1[#ALL],row(),false)</f>
        <v>#N/A</v>
      </c>
      <c r="P613" s="376" t="str">
        <f>CS_PID!P613/VLOOKUP($B613,표2[#ALL],2)/HLOOKUP($A613,표1[#ALL],row(),false)</f>
        <v>#N/A</v>
      </c>
      <c r="Q613" s="376" t="str">
        <f>CS_PID!Q613/VLOOKUP($B613,표2[#ALL],2)/HLOOKUP($A613,표1[#ALL],row(),false)</f>
        <v>#N/A</v>
      </c>
      <c r="R613" s="376" t="str">
        <f>CS_PID!R613/VLOOKUP($B613,표2[#ALL],2)/HLOOKUP($A613,표1[#ALL],row(),false)</f>
        <v>#N/A</v>
      </c>
      <c r="S613" s="376" t="str">
        <f>CS_PID!S613/VLOOKUP($B613,표2[#ALL],2)/HLOOKUP($A613,표1[#ALL],row(),false)</f>
        <v>#N/A</v>
      </c>
      <c r="T613" s="376" t="str">
        <f>CS_PID!T613/VLOOKUP($B613,표2[#ALL],2)/HLOOKUP($A613,표1[#ALL],row(),false)</f>
        <v>#N/A</v>
      </c>
      <c r="U613" s="376" t="str">
        <f>CS_PID!U613/VLOOKUP($B613,표2[#ALL],2)/HLOOKUP($A613,표1[#ALL],row(),false)</f>
        <v>#N/A</v>
      </c>
      <c r="V613" s="376" t="str">
        <f>CS_PID!V613/VLOOKUP($B613,표2[#ALL],2)/HLOOKUP($A613,표1[#ALL],row(),false)</f>
        <v>#N/A</v>
      </c>
      <c r="W613" s="376" t="str">
        <f>CS_PID!W613/VLOOKUP($B613,표2[#ALL],2)/HLOOKUP($A613,표1[#ALL],row(),false)</f>
        <v>#N/A</v>
      </c>
      <c r="X613" s="376" t="str">
        <f>CS_PID!X613/VLOOKUP($B613,표2[#ALL],2)/HLOOKUP($A613,표1[#ALL],row(),false)</f>
        <v>#N/A</v>
      </c>
      <c r="Y613" s="376" t="str">
        <f>CS_PID!Y613/VLOOKUP($B613,표2[#ALL],2)/HLOOKUP($A613,표1[#ALL],row(),false)</f>
        <v>#N/A</v>
      </c>
      <c r="Z613" s="376" t="str">
        <f>CS_PID!Z613/VLOOKUP($B613,표2[#ALL],2)/HLOOKUP($A613,표1[#ALL],row(),false)</f>
        <v>#N/A</v>
      </c>
      <c r="AA613" s="376" t="str">
        <f>CS_PID!AA613/VLOOKUP($B613,표2[#ALL],2)/HLOOKUP($A613,표1[#ALL],row(),false)</f>
        <v>#N/A</v>
      </c>
      <c r="AB613" s="376" t="str">
        <f>CS_PID!AB613/VLOOKUP($B613,표2[#ALL],2)/HLOOKUP($A613,표1[#ALL],row(),false)</f>
        <v>#N/A</v>
      </c>
      <c r="AC613" s="376" t="str">
        <f>CS_PID!AC613/VLOOKUP($B613,표2[#ALL],2)/HLOOKUP($A613,표1[#ALL],row(),false)</f>
        <v>#N/A</v>
      </c>
      <c r="AD613" s="376" t="str">
        <f>CS_PID!AD613/VLOOKUP($B613,표2[#ALL],2)/HLOOKUP($A613,표1[#ALL],row(),false)</f>
        <v>#N/A</v>
      </c>
      <c r="AE613" s="376" t="str">
        <f>CS_PID!AE613/VLOOKUP($B613,표2[#ALL],2)/HLOOKUP($A613,표1[#ALL],row(),false)</f>
        <v>#N/A</v>
      </c>
      <c r="AF613" s="376" t="str">
        <f>CS_PID!AF613/VLOOKUP($B613,표2[#ALL],2)/HLOOKUP($A613,표1[#ALL],row(),false)</f>
        <v>#N/A</v>
      </c>
      <c r="AG613" s="376" t="str">
        <f>CS_PID!AG613/VLOOKUP($B613,표2[#ALL],2)/HLOOKUP($A613,표1[#ALL],row(),false)</f>
        <v>#N/A</v>
      </c>
      <c r="AH613" s="376" t="str">
        <f>CS_PID!AH613/VLOOKUP($B613,표2[#ALL],2)/HLOOKUP($A613,표1[#ALL],row(),false)</f>
        <v>#N/A</v>
      </c>
      <c r="AI613" s="376" t="str">
        <f>CS_PID!AI613/VLOOKUP($B613,표2[#ALL],2)/HLOOKUP($A613,표1[#ALL],row(),false)</f>
        <v>#N/A</v>
      </c>
      <c r="AJ613" s="376" t="str">
        <f>CS_PID!AJ613/VLOOKUP($B613,표2[#ALL],2)/HLOOKUP($A613,표1[#ALL],row(),false)</f>
        <v>#N/A</v>
      </c>
      <c r="AK613" s="376" t="str">
        <f>CS_PID!AK613/VLOOKUP($B613,표2[#ALL],2)/HLOOKUP($A613,표1[#ALL],row(),false)</f>
        <v>#N/A</v>
      </c>
      <c r="AL613" s="376" t="str">
        <f>CS_PID!AL613/VLOOKUP($B613,표2[#ALL],2)/HLOOKUP($A613,표1[#ALL],row(),false)</f>
        <v>#N/A</v>
      </c>
      <c r="AM613" s="376" t="str">
        <f>CS_PID!AM613/VLOOKUP($B613,표2[#ALL],2)/HLOOKUP($A613,표1[#ALL],row(),false)</f>
        <v>#N/A</v>
      </c>
      <c r="AN613" s="376" t="str">
        <f>CS_PID!AN613/VLOOKUP($B613,표2[#ALL],2)/HLOOKUP($A613,표1[#ALL],row(),false)</f>
        <v>#N/A</v>
      </c>
      <c r="AO613" s="376" t="str">
        <f>CS_PID!AO613/VLOOKUP($B613,표2[#ALL],2)/HLOOKUP($A613,표1[#ALL],row(),false)</f>
        <v>#N/A</v>
      </c>
      <c r="AP613" s="376" t="str">
        <f>CS_PID!AP613/VLOOKUP($B613,표2[#ALL],2)/HLOOKUP($A613,표1[#ALL],row(),false)</f>
        <v>#N/A</v>
      </c>
      <c r="AQ613" s="376" t="str">
        <f>CS_PID!AQ613/VLOOKUP($B613,표2[#ALL],2)/HLOOKUP($A613,표1[#ALL],row(),false)</f>
        <v>#N/A</v>
      </c>
      <c r="AR613" s="376" t="str">
        <f>CS_PID!AR613/VLOOKUP($B613,표2[#ALL],2)/HLOOKUP($A613,표1[#ALL],row(),false)</f>
        <v>#N/A</v>
      </c>
      <c r="AS613" s="377" t="str">
        <f>CS_PID!AS613/VLOOKUP($B613,표2[#ALL],2)/HLOOKUP($A613,표1[#ALL],row(),false)</f>
        <v>#N/A</v>
      </c>
    </row>
    <row r="614">
      <c r="A614" s="370"/>
      <c r="B614" s="371"/>
      <c r="C614" s="372" t="str">
        <f>CS_PID!C614/VLOOKUP($B614,표2[#ALL],2)</f>
        <v>#N/A</v>
      </c>
      <c r="D614" s="372" t="str">
        <f>CS_PID!D614/VLOOKUP($B614,표2[#ALL],2)</f>
        <v>#N/A</v>
      </c>
      <c r="E614" s="372" t="str">
        <f>CS_PID!E614/VLOOKUP($B614,표2[#ALL],2)</f>
        <v>#N/A</v>
      </c>
      <c r="F614" s="372" t="str">
        <f>CS_PID!F614/VLOOKUP($B614,표2[#ALL],2)</f>
        <v>#N/A</v>
      </c>
      <c r="G614" s="372" t="str">
        <f>CS_PID!G614/VLOOKUP($B614,표2[#ALL],2)</f>
        <v>#N/A</v>
      </c>
      <c r="H614" s="372" t="str">
        <f>CS_PID!H614/VLOOKUP($B614,표2[#ALL],2)/HLOOKUP($A614,표1[#ALL],row(),false)</f>
        <v>#N/A</v>
      </c>
      <c r="I614" s="372" t="str">
        <f>CS_PID!I614/VLOOKUP($B614,표2[#ALL],2)/HLOOKUP($A614,표1[#ALL],row(),false)</f>
        <v>#N/A</v>
      </c>
      <c r="J614" s="372" t="str">
        <f>CS_PID!J614/VLOOKUP($B614,표2[#ALL],2)/HLOOKUP($A614,표1[#ALL],row(),false)</f>
        <v>#N/A</v>
      </c>
      <c r="K614" s="372" t="str">
        <f>CS_PID!K614/VLOOKUP($B614,표2[#ALL],2)/HLOOKUP($A614,표1[#ALL],row(),false)</f>
        <v>#N/A</v>
      </c>
      <c r="L614" s="372" t="str">
        <f>CS_PID!L614/VLOOKUP($B614,표2[#ALL],2)/HLOOKUP($A614,표1[#ALL],row(),false)</f>
        <v>#N/A</v>
      </c>
      <c r="M614" s="372" t="str">
        <f>CS_PID!M614/VLOOKUP($B614,표2[#ALL],2)/HLOOKUP($A614,표1[#ALL],row(),false)</f>
        <v>#N/A</v>
      </c>
      <c r="N614" s="372" t="str">
        <f>CS_PID!N614/VLOOKUP($B614,표2[#ALL],2)/HLOOKUP($A614,표1[#ALL],row(),false)</f>
        <v>#N/A</v>
      </c>
      <c r="O614" s="372" t="str">
        <f>CS_PID!O614/VLOOKUP($B614,표2[#ALL],2)/HLOOKUP($A614,표1[#ALL],row(),false)</f>
        <v>#N/A</v>
      </c>
      <c r="P614" s="372" t="str">
        <f>CS_PID!P614/VLOOKUP($B614,표2[#ALL],2)/HLOOKUP($A614,표1[#ALL],row(),false)</f>
        <v>#N/A</v>
      </c>
      <c r="Q614" s="372" t="str">
        <f>CS_PID!Q614/VLOOKUP($B614,표2[#ALL],2)/HLOOKUP($A614,표1[#ALL],row(),false)</f>
        <v>#N/A</v>
      </c>
      <c r="R614" s="372" t="str">
        <f>CS_PID!R614/VLOOKUP($B614,표2[#ALL],2)/HLOOKUP($A614,표1[#ALL],row(),false)</f>
        <v>#N/A</v>
      </c>
      <c r="S614" s="372" t="str">
        <f>CS_PID!S614/VLOOKUP($B614,표2[#ALL],2)/HLOOKUP($A614,표1[#ALL],row(),false)</f>
        <v>#N/A</v>
      </c>
      <c r="T614" s="372" t="str">
        <f>CS_PID!T614/VLOOKUP($B614,표2[#ALL],2)/HLOOKUP($A614,표1[#ALL],row(),false)</f>
        <v>#N/A</v>
      </c>
      <c r="U614" s="372" t="str">
        <f>CS_PID!U614/VLOOKUP($B614,표2[#ALL],2)/HLOOKUP($A614,표1[#ALL],row(),false)</f>
        <v>#N/A</v>
      </c>
      <c r="V614" s="372" t="str">
        <f>CS_PID!V614/VLOOKUP($B614,표2[#ALL],2)/HLOOKUP($A614,표1[#ALL],row(),false)</f>
        <v>#N/A</v>
      </c>
      <c r="W614" s="372" t="str">
        <f>CS_PID!W614/VLOOKUP($B614,표2[#ALL],2)/HLOOKUP($A614,표1[#ALL],row(),false)</f>
        <v>#N/A</v>
      </c>
      <c r="X614" s="372" t="str">
        <f>CS_PID!X614/VLOOKUP($B614,표2[#ALL],2)/HLOOKUP($A614,표1[#ALL],row(),false)</f>
        <v>#N/A</v>
      </c>
      <c r="Y614" s="372" t="str">
        <f>CS_PID!Y614/VLOOKUP($B614,표2[#ALL],2)/HLOOKUP($A614,표1[#ALL],row(),false)</f>
        <v>#N/A</v>
      </c>
      <c r="Z614" s="372" t="str">
        <f>CS_PID!Z614/VLOOKUP($B614,표2[#ALL],2)/HLOOKUP($A614,표1[#ALL],row(),false)</f>
        <v>#N/A</v>
      </c>
      <c r="AA614" s="372" t="str">
        <f>CS_PID!AA614/VLOOKUP($B614,표2[#ALL],2)/HLOOKUP($A614,표1[#ALL],row(),false)</f>
        <v>#N/A</v>
      </c>
      <c r="AB614" s="372" t="str">
        <f>CS_PID!AB614/VLOOKUP($B614,표2[#ALL],2)/HLOOKUP($A614,표1[#ALL],row(),false)</f>
        <v>#N/A</v>
      </c>
      <c r="AC614" s="372" t="str">
        <f>CS_PID!AC614/VLOOKUP($B614,표2[#ALL],2)/HLOOKUP($A614,표1[#ALL],row(),false)</f>
        <v>#N/A</v>
      </c>
      <c r="AD614" s="372" t="str">
        <f>CS_PID!AD614/VLOOKUP($B614,표2[#ALL],2)/HLOOKUP($A614,표1[#ALL],row(),false)</f>
        <v>#N/A</v>
      </c>
      <c r="AE614" s="372" t="str">
        <f>CS_PID!AE614/VLOOKUP($B614,표2[#ALL],2)/HLOOKUP($A614,표1[#ALL],row(),false)</f>
        <v>#N/A</v>
      </c>
      <c r="AF614" s="372" t="str">
        <f>CS_PID!AF614/VLOOKUP($B614,표2[#ALL],2)/HLOOKUP($A614,표1[#ALL],row(),false)</f>
        <v>#N/A</v>
      </c>
      <c r="AG614" s="372" t="str">
        <f>CS_PID!AG614/VLOOKUP($B614,표2[#ALL],2)/HLOOKUP($A614,표1[#ALL],row(),false)</f>
        <v>#N/A</v>
      </c>
      <c r="AH614" s="372" t="str">
        <f>CS_PID!AH614/VLOOKUP($B614,표2[#ALL],2)/HLOOKUP($A614,표1[#ALL],row(),false)</f>
        <v>#N/A</v>
      </c>
      <c r="AI614" s="372" t="str">
        <f>CS_PID!AI614/VLOOKUP($B614,표2[#ALL],2)/HLOOKUP($A614,표1[#ALL],row(),false)</f>
        <v>#N/A</v>
      </c>
      <c r="AJ614" s="372" t="str">
        <f>CS_PID!AJ614/VLOOKUP($B614,표2[#ALL],2)/HLOOKUP($A614,표1[#ALL],row(),false)</f>
        <v>#N/A</v>
      </c>
      <c r="AK614" s="372" t="str">
        <f>CS_PID!AK614/VLOOKUP($B614,표2[#ALL],2)/HLOOKUP($A614,표1[#ALL],row(),false)</f>
        <v>#N/A</v>
      </c>
      <c r="AL614" s="372" t="str">
        <f>CS_PID!AL614/VLOOKUP($B614,표2[#ALL],2)/HLOOKUP($A614,표1[#ALL],row(),false)</f>
        <v>#N/A</v>
      </c>
      <c r="AM614" s="372" t="str">
        <f>CS_PID!AM614/VLOOKUP($B614,표2[#ALL],2)/HLOOKUP($A614,표1[#ALL],row(),false)</f>
        <v>#N/A</v>
      </c>
      <c r="AN614" s="372" t="str">
        <f>CS_PID!AN614/VLOOKUP($B614,표2[#ALL],2)/HLOOKUP($A614,표1[#ALL],row(),false)</f>
        <v>#N/A</v>
      </c>
      <c r="AO614" s="372" t="str">
        <f>CS_PID!AO614/VLOOKUP($B614,표2[#ALL],2)/HLOOKUP($A614,표1[#ALL],row(),false)</f>
        <v>#N/A</v>
      </c>
      <c r="AP614" s="372" t="str">
        <f>CS_PID!AP614/VLOOKUP($B614,표2[#ALL],2)/HLOOKUP($A614,표1[#ALL],row(),false)</f>
        <v>#N/A</v>
      </c>
      <c r="AQ614" s="372" t="str">
        <f>CS_PID!AQ614/VLOOKUP($B614,표2[#ALL],2)/HLOOKUP($A614,표1[#ALL],row(),false)</f>
        <v>#N/A</v>
      </c>
      <c r="AR614" s="372" t="str">
        <f>CS_PID!AR614/VLOOKUP($B614,표2[#ALL],2)/HLOOKUP($A614,표1[#ALL],row(),false)</f>
        <v>#N/A</v>
      </c>
      <c r="AS614" s="373" t="str">
        <f>CS_PID!AS614/VLOOKUP($B614,표2[#ALL],2)/HLOOKUP($A614,표1[#ALL],row(),false)</f>
        <v>#N/A</v>
      </c>
    </row>
    <row r="615">
      <c r="A615" s="374"/>
      <c r="B615" s="375"/>
      <c r="C615" s="376" t="str">
        <f>CS_PID!C615/VLOOKUP($B615,표2[#ALL],2)</f>
        <v>#N/A</v>
      </c>
      <c r="D615" s="376" t="str">
        <f>CS_PID!D615/VLOOKUP($B615,표2[#ALL],2)</f>
        <v>#N/A</v>
      </c>
      <c r="E615" s="376" t="str">
        <f>CS_PID!E615/VLOOKUP($B615,표2[#ALL],2)</f>
        <v>#N/A</v>
      </c>
      <c r="F615" s="376" t="str">
        <f>CS_PID!F615/VLOOKUP($B615,표2[#ALL],2)</f>
        <v>#N/A</v>
      </c>
      <c r="G615" s="376" t="str">
        <f>CS_PID!G615/VLOOKUP($B615,표2[#ALL],2)</f>
        <v>#N/A</v>
      </c>
      <c r="H615" s="376" t="str">
        <f>CS_PID!H615/VLOOKUP($B615,표2[#ALL],2)/HLOOKUP($A615,표1[#ALL],row(),false)</f>
        <v>#N/A</v>
      </c>
      <c r="I615" s="376" t="str">
        <f>CS_PID!I615/VLOOKUP($B615,표2[#ALL],2)/HLOOKUP($A615,표1[#ALL],row(),false)</f>
        <v>#N/A</v>
      </c>
      <c r="J615" s="376" t="str">
        <f>CS_PID!J615/VLOOKUP($B615,표2[#ALL],2)/HLOOKUP($A615,표1[#ALL],row(),false)</f>
        <v>#N/A</v>
      </c>
      <c r="K615" s="376" t="str">
        <f>CS_PID!K615/VLOOKUP($B615,표2[#ALL],2)/HLOOKUP($A615,표1[#ALL],row(),false)</f>
        <v>#N/A</v>
      </c>
      <c r="L615" s="376" t="str">
        <f>CS_PID!L615/VLOOKUP($B615,표2[#ALL],2)/HLOOKUP($A615,표1[#ALL],row(),false)</f>
        <v>#N/A</v>
      </c>
      <c r="M615" s="376" t="str">
        <f>CS_PID!M615/VLOOKUP($B615,표2[#ALL],2)/HLOOKUP($A615,표1[#ALL],row(),false)</f>
        <v>#N/A</v>
      </c>
      <c r="N615" s="376" t="str">
        <f>CS_PID!N615/VLOOKUP($B615,표2[#ALL],2)/HLOOKUP($A615,표1[#ALL],row(),false)</f>
        <v>#N/A</v>
      </c>
      <c r="O615" s="376" t="str">
        <f>CS_PID!O615/VLOOKUP($B615,표2[#ALL],2)/HLOOKUP($A615,표1[#ALL],row(),false)</f>
        <v>#N/A</v>
      </c>
      <c r="P615" s="376" t="str">
        <f>CS_PID!P615/VLOOKUP($B615,표2[#ALL],2)/HLOOKUP($A615,표1[#ALL],row(),false)</f>
        <v>#N/A</v>
      </c>
      <c r="Q615" s="376" t="str">
        <f>CS_PID!Q615/VLOOKUP($B615,표2[#ALL],2)/HLOOKUP($A615,표1[#ALL],row(),false)</f>
        <v>#N/A</v>
      </c>
      <c r="R615" s="376" t="str">
        <f>CS_PID!R615/VLOOKUP($B615,표2[#ALL],2)/HLOOKUP($A615,표1[#ALL],row(),false)</f>
        <v>#N/A</v>
      </c>
      <c r="S615" s="376" t="str">
        <f>CS_PID!S615/VLOOKUP($B615,표2[#ALL],2)/HLOOKUP($A615,표1[#ALL],row(),false)</f>
        <v>#N/A</v>
      </c>
      <c r="T615" s="376" t="str">
        <f>CS_PID!T615/VLOOKUP($B615,표2[#ALL],2)/HLOOKUP($A615,표1[#ALL],row(),false)</f>
        <v>#N/A</v>
      </c>
      <c r="U615" s="376" t="str">
        <f>CS_PID!U615/VLOOKUP($B615,표2[#ALL],2)/HLOOKUP($A615,표1[#ALL],row(),false)</f>
        <v>#N/A</v>
      </c>
      <c r="V615" s="376" t="str">
        <f>CS_PID!V615/VLOOKUP($B615,표2[#ALL],2)/HLOOKUP($A615,표1[#ALL],row(),false)</f>
        <v>#N/A</v>
      </c>
      <c r="W615" s="376" t="str">
        <f>CS_PID!W615/VLOOKUP($B615,표2[#ALL],2)/HLOOKUP($A615,표1[#ALL],row(),false)</f>
        <v>#N/A</v>
      </c>
      <c r="X615" s="376" t="str">
        <f>CS_PID!X615/VLOOKUP($B615,표2[#ALL],2)/HLOOKUP($A615,표1[#ALL],row(),false)</f>
        <v>#N/A</v>
      </c>
      <c r="Y615" s="376" t="str">
        <f>CS_PID!Y615/VLOOKUP($B615,표2[#ALL],2)/HLOOKUP($A615,표1[#ALL],row(),false)</f>
        <v>#N/A</v>
      </c>
      <c r="Z615" s="376" t="str">
        <f>CS_PID!Z615/VLOOKUP($B615,표2[#ALL],2)/HLOOKUP($A615,표1[#ALL],row(),false)</f>
        <v>#N/A</v>
      </c>
      <c r="AA615" s="376" t="str">
        <f>CS_PID!AA615/VLOOKUP($B615,표2[#ALL],2)/HLOOKUP($A615,표1[#ALL],row(),false)</f>
        <v>#N/A</v>
      </c>
      <c r="AB615" s="376" t="str">
        <f>CS_PID!AB615/VLOOKUP($B615,표2[#ALL],2)/HLOOKUP($A615,표1[#ALL],row(),false)</f>
        <v>#N/A</v>
      </c>
      <c r="AC615" s="376" t="str">
        <f>CS_PID!AC615/VLOOKUP($B615,표2[#ALL],2)/HLOOKUP($A615,표1[#ALL],row(),false)</f>
        <v>#N/A</v>
      </c>
      <c r="AD615" s="376" t="str">
        <f>CS_PID!AD615/VLOOKUP($B615,표2[#ALL],2)/HLOOKUP($A615,표1[#ALL],row(),false)</f>
        <v>#N/A</v>
      </c>
      <c r="AE615" s="376" t="str">
        <f>CS_PID!AE615/VLOOKUP($B615,표2[#ALL],2)/HLOOKUP($A615,표1[#ALL],row(),false)</f>
        <v>#N/A</v>
      </c>
      <c r="AF615" s="376" t="str">
        <f>CS_PID!AF615/VLOOKUP($B615,표2[#ALL],2)/HLOOKUP($A615,표1[#ALL],row(),false)</f>
        <v>#N/A</v>
      </c>
      <c r="AG615" s="376" t="str">
        <f>CS_PID!AG615/VLOOKUP($B615,표2[#ALL],2)/HLOOKUP($A615,표1[#ALL],row(),false)</f>
        <v>#N/A</v>
      </c>
      <c r="AH615" s="376" t="str">
        <f>CS_PID!AH615/VLOOKUP($B615,표2[#ALL],2)/HLOOKUP($A615,표1[#ALL],row(),false)</f>
        <v>#N/A</v>
      </c>
      <c r="AI615" s="376" t="str">
        <f>CS_PID!AI615/VLOOKUP($B615,표2[#ALL],2)/HLOOKUP($A615,표1[#ALL],row(),false)</f>
        <v>#N/A</v>
      </c>
      <c r="AJ615" s="376" t="str">
        <f>CS_PID!AJ615/VLOOKUP($B615,표2[#ALL],2)/HLOOKUP($A615,표1[#ALL],row(),false)</f>
        <v>#N/A</v>
      </c>
      <c r="AK615" s="376" t="str">
        <f>CS_PID!AK615/VLOOKUP($B615,표2[#ALL],2)/HLOOKUP($A615,표1[#ALL],row(),false)</f>
        <v>#N/A</v>
      </c>
      <c r="AL615" s="376" t="str">
        <f>CS_PID!AL615/VLOOKUP($B615,표2[#ALL],2)/HLOOKUP($A615,표1[#ALL],row(),false)</f>
        <v>#N/A</v>
      </c>
      <c r="AM615" s="376" t="str">
        <f>CS_PID!AM615/VLOOKUP($B615,표2[#ALL],2)/HLOOKUP($A615,표1[#ALL],row(),false)</f>
        <v>#N/A</v>
      </c>
      <c r="AN615" s="376" t="str">
        <f>CS_PID!AN615/VLOOKUP($B615,표2[#ALL],2)/HLOOKUP($A615,표1[#ALL],row(),false)</f>
        <v>#N/A</v>
      </c>
      <c r="AO615" s="376" t="str">
        <f>CS_PID!AO615/VLOOKUP($B615,표2[#ALL],2)/HLOOKUP($A615,표1[#ALL],row(),false)</f>
        <v>#N/A</v>
      </c>
      <c r="AP615" s="376" t="str">
        <f>CS_PID!AP615/VLOOKUP($B615,표2[#ALL],2)/HLOOKUP($A615,표1[#ALL],row(),false)</f>
        <v>#N/A</v>
      </c>
      <c r="AQ615" s="376" t="str">
        <f>CS_PID!AQ615/VLOOKUP($B615,표2[#ALL],2)/HLOOKUP($A615,표1[#ALL],row(),false)</f>
        <v>#N/A</v>
      </c>
      <c r="AR615" s="376" t="str">
        <f>CS_PID!AR615/VLOOKUP($B615,표2[#ALL],2)/HLOOKUP($A615,표1[#ALL],row(),false)</f>
        <v>#N/A</v>
      </c>
      <c r="AS615" s="377" t="str">
        <f>CS_PID!AS615/VLOOKUP($B615,표2[#ALL],2)/HLOOKUP($A615,표1[#ALL],row(),false)</f>
        <v>#N/A</v>
      </c>
    </row>
    <row r="616">
      <c r="A616" s="370"/>
      <c r="B616" s="371"/>
      <c r="C616" s="372" t="str">
        <f>CS_PID!C616/VLOOKUP($B616,표2[#ALL],2)</f>
        <v>#N/A</v>
      </c>
      <c r="D616" s="372" t="str">
        <f>CS_PID!D616/VLOOKUP($B616,표2[#ALL],2)</f>
        <v>#N/A</v>
      </c>
      <c r="E616" s="372" t="str">
        <f>CS_PID!E616/VLOOKUP($B616,표2[#ALL],2)</f>
        <v>#N/A</v>
      </c>
      <c r="F616" s="372" t="str">
        <f>CS_PID!F616/VLOOKUP($B616,표2[#ALL],2)</f>
        <v>#N/A</v>
      </c>
      <c r="G616" s="372" t="str">
        <f>CS_PID!G616/VLOOKUP($B616,표2[#ALL],2)</f>
        <v>#N/A</v>
      </c>
      <c r="H616" s="372" t="str">
        <f>CS_PID!H616/VLOOKUP($B616,표2[#ALL],2)/HLOOKUP($A616,표1[#ALL],row(),false)</f>
        <v>#N/A</v>
      </c>
      <c r="I616" s="372" t="str">
        <f>CS_PID!I616/VLOOKUP($B616,표2[#ALL],2)/HLOOKUP($A616,표1[#ALL],row(),false)</f>
        <v>#N/A</v>
      </c>
      <c r="J616" s="372" t="str">
        <f>CS_PID!J616/VLOOKUP($B616,표2[#ALL],2)/HLOOKUP($A616,표1[#ALL],row(),false)</f>
        <v>#N/A</v>
      </c>
      <c r="K616" s="372" t="str">
        <f>CS_PID!K616/VLOOKUP($B616,표2[#ALL],2)/HLOOKUP($A616,표1[#ALL],row(),false)</f>
        <v>#N/A</v>
      </c>
      <c r="L616" s="372" t="str">
        <f>CS_PID!L616/VLOOKUP($B616,표2[#ALL],2)/HLOOKUP($A616,표1[#ALL],row(),false)</f>
        <v>#N/A</v>
      </c>
      <c r="M616" s="372" t="str">
        <f>CS_PID!M616/VLOOKUP($B616,표2[#ALL],2)/HLOOKUP($A616,표1[#ALL],row(),false)</f>
        <v>#N/A</v>
      </c>
      <c r="N616" s="372" t="str">
        <f>CS_PID!N616/VLOOKUP($B616,표2[#ALL],2)/HLOOKUP($A616,표1[#ALL],row(),false)</f>
        <v>#N/A</v>
      </c>
      <c r="O616" s="372" t="str">
        <f>CS_PID!O616/VLOOKUP($B616,표2[#ALL],2)/HLOOKUP($A616,표1[#ALL],row(),false)</f>
        <v>#N/A</v>
      </c>
      <c r="P616" s="372" t="str">
        <f>CS_PID!P616/VLOOKUP($B616,표2[#ALL],2)/HLOOKUP($A616,표1[#ALL],row(),false)</f>
        <v>#N/A</v>
      </c>
      <c r="Q616" s="372" t="str">
        <f>CS_PID!Q616/VLOOKUP($B616,표2[#ALL],2)/HLOOKUP($A616,표1[#ALL],row(),false)</f>
        <v>#N/A</v>
      </c>
      <c r="R616" s="372" t="str">
        <f>CS_PID!R616/VLOOKUP($B616,표2[#ALL],2)/HLOOKUP($A616,표1[#ALL],row(),false)</f>
        <v>#N/A</v>
      </c>
      <c r="S616" s="372" t="str">
        <f>CS_PID!S616/VLOOKUP($B616,표2[#ALL],2)/HLOOKUP($A616,표1[#ALL],row(),false)</f>
        <v>#N/A</v>
      </c>
      <c r="T616" s="372" t="str">
        <f>CS_PID!T616/VLOOKUP($B616,표2[#ALL],2)/HLOOKUP($A616,표1[#ALL],row(),false)</f>
        <v>#N/A</v>
      </c>
      <c r="U616" s="372" t="str">
        <f>CS_PID!U616/VLOOKUP($B616,표2[#ALL],2)/HLOOKUP($A616,표1[#ALL],row(),false)</f>
        <v>#N/A</v>
      </c>
      <c r="V616" s="372" t="str">
        <f>CS_PID!V616/VLOOKUP($B616,표2[#ALL],2)/HLOOKUP($A616,표1[#ALL],row(),false)</f>
        <v>#N/A</v>
      </c>
      <c r="W616" s="372" t="str">
        <f>CS_PID!W616/VLOOKUP($B616,표2[#ALL],2)/HLOOKUP($A616,표1[#ALL],row(),false)</f>
        <v>#N/A</v>
      </c>
      <c r="X616" s="372" t="str">
        <f>CS_PID!X616/VLOOKUP($B616,표2[#ALL],2)/HLOOKUP($A616,표1[#ALL],row(),false)</f>
        <v>#N/A</v>
      </c>
      <c r="Y616" s="372" t="str">
        <f>CS_PID!Y616/VLOOKUP($B616,표2[#ALL],2)/HLOOKUP($A616,표1[#ALL],row(),false)</f>
        <v>#N/A</v>
      </c>
      <c r="Z616" s="372" t="str">
        <f>CS_PID!Z616/VLOOKUP($B616,표2[#ALL],2)/HLOOKUP($A616,표1[#ALL],row(),false)</f>
        <v>#N/A</v>
      </c>
      <c r="AA616" s="372" t="str">
        <f>CS_PID!AA616/VLOOKUP($B616,표2[#ALL],2)/HLOOKUP($A616,표1[#ALL],row(),false)</f>
        <v>#N/A</v>
      </c>
      <c r="AB616" s="372" t="str">
        <f>CS_PID!AB616/VLOOKUP($B616,표2[#ALL],2)/HLOOKUP($A616,표1[#ALL],row(),false)</f>
        <v>#N/A</v>
      </c>
      <c r="AC616" s="372" t="str">
        <f>CS_PID!AC616/VLOOKUP($B616,표2[#ALL],2)/HLOOKUP($A616,표1[#ALL],row(),false)</f>
        <v>#N/A</v>
      </c>
      <c r="AD616" s="372" t="str">
        <f>CS_PID!AD616/VLOOKUP($B616,표2[#ALL],2)/HLOOKUP($A616,표1[#ALL],row(),false)</f>
        <v>#N/A</v>
      </c>
      <c r="AE616" s="372" t="str">
        <f>CS_PID!AE616/VLOOKUP($B616,표2[#ALL],2)/HLOOKUP($A616,표1[#ALL],row(),false)</f>
        <v>#N/A</v>
      </c>
      <c r="AF616" s="372" t="str">
        <f>CS_PID!AF616/VLOOKUP($B616,표2[#ALL],2)/HLOOKUP($A616,표1[#ALL],row(),false)</f>
        <v>#N/A</v>
      </c>
      <c r="AG616" s="372" t="str">
        <f>CS_PID!AG616/VLOOKUP($B616,표2[#ALL],2)/HLOOKUP($A616,표1[#ALL],row(),false)</f>
        <v>#N/A</v>
      </c>
      <c r="AH616" s="372" t="str">
        <f>CS_PID!AH616/VLOOKUP($B616,표2[#ALL],2)/HLOOKUP($A616,표1[#ALL],row(),false)</f>
        <v>#N/A</v>
      </c>
      <c r="AI616" s="372" t="str">
        <f>CS_PID!AI616/VLOOKUP($B616,표2[#ALL],2)/HLOOKUP($A616,표1[#ALL],row(),false)</f>
        <v>#N/A</v>
      </c>
      <c r="AJ616" s="372" t="str">
        <f>CS_PID!AJ616/VLOOKUP($B616,표2[#ALL],2)/HLOOKUP($A616,표1[#ALL],row(),false)</f>
        <v>#N/A</v>
      </c>
      <c r="AK616" s="372" t="str">
        <f>CS_PID!AK616/VLOOKUP($B616,표2[#ALL],2)/HLOOKUP($A616,표1[#ALL],row(),false)</f>
        <v>#N/A</v>
      </c>
      <c r="AL616" s="372" t="str">
        <f>CS_PID!AL616/VLOOKUP($B616,표2[#ALL],2)/HLOOKUP($A616,표1[#ALL],row(),false)</f>
        <v>#N/A</v>
      </c>
      <c r="AM616" s="372" t="str">
        <f>CS_PID!AM616/VLOOKUP($B616,표2[#ALL],2)/HLOOKUP($A616,표1[#ALL],row(),false)</f>
        <v>#N/A</v>
      </c>
      <c r="AN616" s="372" t="str">
        <f>CS_PID!AN616/VLOOKUP($B616,표2[#ALL],2)/HLOOKUP($A616,표1[#ALL],row(),false)</f>
        <v>#N/A</v>
      </c>
      <c r="AO616" s="372" t="str">
        <f>CS_PID!AO616/VLOOKUP($B616,표2[#ALL],2)/HLOOKUP($A616,표1[#ALL],row(),false)</f>
        <v>#N/A</v>
      </c>
      <c r="AP616" s="372" t="str">
        <f>CS_PID!AP616/VLOOKUP($B616,표2[#ALL],2)/HLOOKUP($A616,표1[#ALL],row(),false)</f>
        <v>#N/A</v>
      </c>
      <c r="AQ616" s="372" t="str">
        <f>CS_PID!AQ616/VLOOKUP($B616,표2[#ALL],2)/HLOOKUP($A616,표1[#ALL],row(),false)</f>
        <v>#N/A</v>
      </c>
      <c r="AR616" s="372" t="str">
        <f>CS_PID!AR616/VLOOKUP($B616,표2[#ALL],2)/HLOOKUP($A616,표1[#ALL],row(),false)</f>
        <v>#N/A</v>
      </c>
      <c r="AS616" s="373" t="str">
        <f>CS_PID!AS616/VLOOKUP($B616,표2[#ALL],2)/HLOOKUP($A616,표1[#ALL],row(),false)</f>
        <v>#N/A</v>
      </c>
    </row>
    <row r="617">
      <c r="A617" s="374"/>
      <c r="B617" s="375"/>
      <c r="C617" s="376" t="str">
        <f>CS_PID!C617/VLOOKUP($B617,표2[#ALL],2)</f>
        <v>#N/A</v>
      </c>
      <c r="D617" s="376" t="str">
        <f>CS_PID!D617/VLOOKUP($B617,표2[#ALL],2)</f>
        <v>#N/A</v>
      </c>
      <c r="E617" s="376" t="str">
        <f>CS_PID!E617/VLOOKUP($B617,표2[#ALL],2)</f>
        <v>#N/A</v>
      </c>
      <c r="F617" s="376" t="str">
        <f>CS_PID!F617/VLOOKUP($B617,표2[#ALL],2)</f>
        <v>#N/A</v>
      </c>
      <c r="G617" s="376" t="str">
        <f>CS_PID!G617/VLOOKUP($B617,표2[#ALL],2)</f>
        <v>#N/A</v>
      </c>
      <c r="H617" s="376" t="str">
        <f>CS_PID!H617/VLOOKUP($B617,표2[#ALL],2)/HLOOKUP($A617,표1[#ALL],row(),false)</f>
        <v>#N/A</v>
      </c>
      <c r="I617" s="376" t="str">
        <f>CS_PID!I617/VLOOKUP($B617,표2[#ALL],2)/HLOOKUP($A617,표1[#ALL],row(),false)</f>
        <v>#N/A</v>
      </c>
      <c r="J617" s="376" t="str">
        <f>CS_PID!J617/VLOOKUP($B617,표2[#ALL],2)/HLOOKUP($A617,표1[#ALL],row(),false)</f>
        <v>#N/A</v>
      </c>
      <c r="K617" s="376" t="str">
        <f>CS_PID!K617/VLOOKUP($B617,표2[#ALL],2)/HLOOKUP($A617,표1[#ALL],row(),false)</f>
        <v>#N/A</v>
      </c>
      <c r="L617" s="376" t="str">
        <f>CS_PID!L617/VLOOKUP($B617,표2[#ALL],2)/HLOOKUP($A617,표1[#ALL],row(),false)</f>
        <v>#N/A</v>
      </c>
      <c r="M617" s="376" t="str">
        <f>CS_PID!M617/VLOOKUP($B617,표2[#ALL],2)/HLOOKUP($A617,표1[#ALL],row(),false)</f>
        <v>#N/A</v>
      </c>
      <c r="N617" s="376" t="str">
        <f>CS_PID!N617/VLOOKUP($B617,표2[#ALL],2)/HLOOKUP($A617,표1[#ALL],row(),false)</f>
        <v>#N/A</v>
      </c>
      <c r="O617" s="376" t="str">
        <f>CS_PID!O617/VLOOKUP($B617,표2[#ALL],2)/HLOOKUP($A617,표1[#ALL],row(),false)</f>
        <v>#N/A</v>
      </c>
      <c r="P617" s="376" t="str">
        <f>CS_PID!P617/VLOOKUP($B617,표2[#ALL],2)/HLOOKUP($A617,표1[#ALL],row(),false)</f>
        <v>#N/A</v>
      </c>
      <c r="Q617" s="376" t="str">
        <f>CS_PID!Q617/VLOOKUP($B617,표2[#ALL],2)/HLOOKUP($A617,표1[#ALL],row(),false)</f>
        <v>#N/A</v>
      </c>
      <c r="R617" s="376" t="str">
        <f>CS_PID!R617/VLOOKUP($B617,표2[#ALL],2)/HLOOKUP($A617,표1[#ALL],row(),false)</f>
        <v>#N/A</v>
      </c>
      <c r="S617" s="376" t="str">
        <f>CS_PID!S617/VLOOKUP($B617,표2[#ALL],2)/HLOOKUP($A617,표1[#ALL],row(),false)</f>
        <v>#N/A</v>
      </c>
      <c r="T617" s="376" t="str">
        <f>CS_PID!T617/VLOOKUP($B617,표2[#ALL],2)/HLOOKUP($A617,표1[#ALL],row(),false)</f>
        <v>#N/A</v>
      </c>
      <c r="U617" s="376" t="str">
        <f>CS_PID!U617/VLOOKUP($B617,표2[#ALL],2)/HLOOKUP($A617,표1[#ALL],row(),false)</f>
        <v>#N/A</v>
      </c>
      <c r="V617" s="376" t="str">
        <f>CS_PID!V617/VLOOKUP($B617,표2[#ALL],2)/HLOOKUP($A617,표1[#ALL],row(),false)</f>
        <v>#N/A</v>
      </c>
      <c r="W617" s="376" t="str">
        <f>CS_PID!W617/VLOOKUP($B617,표2[#ALL],2)/HLOOKUP($A617,표1[#ALL],row(),false)</f>
        <v>#N/A</v>
      </c>
      <c r="X617" s="376" t="str">
        <f>CS_PID!X617/VLOOKUP($B617,표2[#ALL],2)/HLOOKUP($A617,표1[#ALL],row(),false)</f>
        <v>#N/A</v>
      </c>
      <c r="Y617" s="376" t="str">
        <f>CS_PID!Y617/VLOOKUP($B617,표2[#ALL],2)/HLOOKUP($A617,표1[#ALL],row(),false)</f>
        <v>#N/A</v>
      </c>
      <c r="Z617" s="376" t="str">
        <f>CS_PID!Z617/VLOOKUP($B617,표2[#ALL],2)/HLOOKUP($A617,표1[#ALL],row(),false)</f>
        <v>#N/A</v>
      </c>
      <c r="AA617" s="376" t="str">
        <f>CS_PID!AA617/VLOOKUP($B617,표2[#ALL],2)/HLOOKUP($A617,표1[#ALL],row(),false)</f>
        <v>#N/A</v>
      </c>
      <c r="AB617" s="376" t="str">
        <f>CS_PID!AB617/VLOOKUP($B617,표2[#ALL],2)/HLOOKUP($A617,표1[#ALL],row(),false)</f>
        <v>#N/A</v>
      </c>
      <c r="AC617" s="376" t="str">
        <f>CS_PID!AC617/VLOOKUP($B617,표2[#ALL],2)/HLOOKUP($A617,표1[#ALL],row(),false)</f>
        <v>#N/A</v>
      </c>
      <c r="AD617" s="376" t="str">
        <f>CS_PID!AD617/VLOOKUP($B617,표2[#ALL],2)/HLOOKUP($A617,표1[#ALL],row(),false)</f>
        <v>#N/A</v>
      </c>
      <c r="AE617" s="376" t="str">
        <f>CS_PID!AE617/VLOOKUP($B617,표2[#ALL],2)/HLOOKUP($A617,표1[#ALL],row(),false)</f>
        <v>#N/A</v>
      </c>
      <c r="AF617" s="376" t="str">
        <f>CS_PID!AF617/VLOOKUP($B617,표2[#ALL],2)/HLOOKUP($A617,표1[#ALL],row(),false)</f>
        <v>#N/A</v>
      </c>
      <c r="AG617" s="376" t="str">
        <f>CS_PID!AG617/VLOOKUP($B617,표2[#ALL],2)/HLOOKUP($A617,표1[#ALL],row(),false)</f>
        <v>#N/A</v>
      </c>
      <c r="AH617" s="376" t="str">
        <f>CS_PID!AH617/VLOOKUP($B617,표2[#ALL],2)/HLOOKUP($A617,표1[#ALL],row(),false)</f>
        <v>#N/A</v>
      </c>
      <c r="AI617" s="376" t="str">
        <f>CS_PID!AI617/VLOOKUP($B617,표2[#ALL],2)/HLOOKUP($A617,표1[#ALL],row(),false)</f>
        <v>#N/A</v>
      </c>
      <c r="AJ617" s="376" t="str">
        <f>CS_PID!AJ617/VLOOKUP($B617,표2[#ALL],2)/HLOOKUP($A617,표1[#ALL],row(),false)</f>
        <v>#N/A</v>
      </c>
      <c r="AK617" s="376" t="str">
        <f>CS_PID!AK617/VLOOKUP($B617,표2[#ALL],2)/HLOOKUP($A617,표1[#ALL],row(),false)</f>
        <v>#N/A</v>
      </c>
      <c r="AL617" s="376" t="str">
        <f>CS_PID!AL617/VLOOKUP($B617,표2[#ALL],2)/HLOOKUP($A617,표1[#ALL],row(),false)</f>
        <v>#N/A</v>
      </c>
      <c r="AM617" s="376" t="str">
        <f>CS_PID!AM617/VLOOKUP($B617,표2[#ALL],2)/HLOOKUP($A617,표1[#ALL],row(),false)</f>
        <v>#N/A</v>
      </c>
      <c r="AN617" s="376" t="str">
        <f>CS_PID!AN617/VLOOKUP($B617,표2[#ALL],2)/HLOOKUP($A617,표1[#ALL],row(),false)</f>
        <v>#N/A</v>
      </c>
      <c r="AO617" s="376" t="str">
        <f>CS_PID!AO617/VLOOKUP($B617,표2[#ALL],2)/HLOOKUP($A617,표1[#ALL],row(),false)</f>
        <v>#N/A</v>
      </c>
      <c r="AP617" s="376" t="str">
        <f>CS_PID!AP617/VLOOKUP($B617,표2[#ALL],2)/HLOOKUP($A617,표1[#ALL],row(),false)</f>
        <v>#N/A</v>
      </c>
      <c r="AQ617" s="376" t="str">
        <f>CS_PID!AQ617/VLOOKUP($B617,표2[#ALL],2)/HLOOKUP($A617,표1[#ALL],row(),false)</f>
        <v>#N/A</v>
      </c>
      <c r="AR617" s="376" t="str">
        <f>CS_PID!AR617/VLOOKUP($B617,표2[#ALL],2)/HLOOKUP($A617,표1[#ALL],row(),false)</f>
        <v>#N/A</v>
      </c>
      <c r="AS617" s="377" t="str">
        <f>CS_PID!AS617/VLOOKUP($B617,표2[#ALL],2)/HLOOKUP($A617,표1[#ALL],row(),false)</f>
        <v>#N/A</v>
      </c>
    </row>
    <row r="618">
      <c r="A618" s="370"/>
      <c r="B618" s="371"/>
      <c r="C618" s="372" t="str">
        <f>CS_PID!C618/VLOOKUP($B618,표2[#ALL],2)</f>
        <v>#N/A</v>
      </c>
      <c r="D618" s="372" t="str">
        <f>CS_PID!D618/VLOOKUP($B618,표2[#ALL],2)</f>
        <v>#N/A</v>
      </c>
      <c r="E618" s="372" t="str">
        <f>CS_PID!E618/VLOOKUP($B618,표2[#ALL],2)</f>
        <v>#N/A</v>
      </c>
      <c r="F618" s="372" t="str">
        <f>CS_PID!F618/VLOOKUP($B618,표2[#ALL],2)</f>
        <v>#N/A</v>
      </c>
      <c r="G618" s="372" t="str">
        <f>CS_PID!G618/VLOOKUP($B618,표2[#ALL],2)</f>
        <v>#N/A</v>
      </c>
      <c r="H618" s="372" t="str">
        <f>CS_PID!H618/VLOOKUP($B618,표2[#ALL],2)/HLOOKUP($A618,표1[#ALL],row(),false)</f>
        <v>#N/A</v>
      </c>
      <c r="I618" s="372" t="str">
        <f>CS_PID!I618/VLOOKUP($B618,표2[#ALL],2)/HLOOKUP($A618,표1[#ALL],row(),false)</f>
        <v>#N/A</v>
      </c>
      <c r="J618" s="372" t="str">
        <f>CS_PID!J618/VLOOKUP($B618,표2[#ALL],2)/HLOOKUP($A618,표1[#ALL],row(),false)</f>
        <v>#N/A</v>
      </c>
      <c r="K618" s="372" t="str">
        <f>CS_PID!K618/VLOOKUP($B618,표2[#ALL],2)/HLOOKUP($A618,표1[#ALL],row(),false)</f>
        <v>#N/A</v>
      </c>
      <c r="L618" s="372" t="str">
        <f>CS_PID!L618/VLOOKUP($B618,표2[#ALL],2)/HLOOKUP($A618,표1[#ALL],row(),false)</f>
        <v>#N/A</v>
      </c>
      <c r="M618" s="372" t="str">
        <f>CS_PID!M618/VLOOKUP($B618,표2[#ALL],2)/HLOOKUP($A618,표1[#ALL],row(),false)</f>
        <v>#N/A</v>
      </c>
      <c r="N618" s="372" t="str">
        <f>CS_PID!N618/VLOOKUP($B618,표2[#ALL],2)/HLOOKUP($A618,표1[#ALL],row(),false)</f>
        <v>#N/A</v>
      </c>
      <c r="O618" s="372" t="str">
        <f>CS_PID!O618/VLOOKUP($B618,표2[#ALL],2)/HLOOKUP($A618,표1[#ALL],row(),false)</f>
        <v>#N/A</v>
      </c>
      <c r="P618" s="372" t="str">
        <f>CS_PID!P618/VLOOKUP($B618,표2[#ALL],2)/HLOOKUP($A618,표1[#ALL],row(),false)</f>
        <v>#N/A</v>
      </c>
      <c r="Q618" s="372" t="str">
        <f>CS_PID!Q618/VLOOKUP($B618,표2[#ALL],2)/HLOOKUP($A618,표1[#ALL],row(),false)</f>
        <v>#N/A</v>
      </c>
      <c r="R618" s="372" t="str">
        <f>CS_PID!R618/VLOOKUP($B618,표2[#ALL],2)/HLOOKUP($A618,표1[#ALL],row(),false)</f>
        <v>#N/A</v>
      </c>
      <c r="S618" s="372" t="str">
        <f>CS_PID!S618/VLOOKUP($B618,표2[#ALL],2)/HLOOKUP($A618,표1[#ALL],row(),false)</f>
        <v>#N/A</v>
      </c>
      <c r="T618" s="372" t="str">
        <f>CS_PID!T618/VLOOKUP($B618,표2[#ALL],2)/HLOOKUP($A618,표1[#ALL],row(),false)</f>
        <v>#N/A</v>
      </c>
      <c r="U618" s="372" t="str">
        <f>CS_PID!U618/VLOOKUP($B618,표2[#ALL],2)/HLOOKUP($A618,표1[#ALL],row(),false)</f>
        <v>#N/A</v>
      </c>
      <c r="V618" s="372" t="str">
        <f>CS_PID!V618/VLOOKUP($B618,표2[#ALL],2)/HLOOKUP($A618,표1[#ALL],row(),false)</f>
        <v>#N/A</v>
      </c>
      <c r="W618" s="372" t="str">
        <f>CS_PID!W618/VLOOKUP($B618,표2[#ALL],2)/HLOOKUP($A618,표1[#ALL],row(),false)</f>
        <v>#N/A</v>
      </c>
      <c r="X618" s="372" t="str">
        <f>CS_PID!X618/VLOOKUP($B618,표2[#ALL],2)/HLOOKUP($A618,표1[#ALL],row(),false)</f>
        <v>#N/A</v>
      </c>
      <c r="Y618" s="372" t="str">
        <f>CS_PID!Y618/VLOOKUP($B618,표2[#ALL],2)/HLOOKUP($A618,표1[#ALL],row(),false)</f>
        <v>#N/A</v>
      </c>
      <c r="Z618" s="372" t="str">
        <f>CS_PID!Z618/VLOOKUP($B618,표2[#ALL],2)/HLOOKUP($A618,표1[#ALL],row(),false)</f>
        <v>#N/A</v>
      </c>
      <c r="AA618" s="372" t="str">
        <f>CS_PID!AA618/VLOOKUP($B618,표2[#ALL],2)/HLOOKUP($A618,표1[#ALL],row(),false)</f>
        <v>#N/A</v>
      </c>
      <c r="AB618" s="372" t="str">
        <f>CS_PID!AB618/VLOOKUP($B618,표2[#ALL],2)/HLOOKUP($A618,표1[#ALL],row(),false)</f>
        <v>#N/A</v>
      </c>
      <c r="AC618" s="372" t="str">
        <f>CS_PID!AC618/VLOOKUP($B618,표2[#ALL],2)/HLOOKUP($A618,표1[#ALL],row(),false)</f>
        <v>#N/A</v>
      </c>
      <c r="AD618" s="372" t="str">
        <f>CS_PID!AD618/VLOOKUP($B618,표2[#ALL],2)/HLOOKUP($A618,표1[#ALL],row(),false)</f>
        <v>#N/A</v>
      </c>
      <c r="AE618" s="372" t="str">
        <f>CS_PID!AE618/VLOOKUP($B618,표2[#ALL],2)/HLOOKUP($A618,표1[#ALL],row(),false)</f>
        <v>#N/A</v>
      </c>
      <c r="AF618" s="372" t="str">
        <f>CS_PID!AF618/VLOOKUP($B618,표2[#ALL],2)/HLOOKUP($A618,표1[#ALL],row(),false)</f>
        <v>#N/A</v>
      </c>
      <c r="AG618" s="372" t="str">
        <f>CS_PID!AG618/VLOOKUP($B618,표2[#ALL],2)/HLOOKUP($A618,표1[#ALL],row(),false)</f>
        <v>#N/A</v>
      </c>
      <c r="AH618" s="372" t="str">
        <f>CS_PID!AH618/VLOOKUP($B618,표2[#ALL],2)/HLOOKUP($A618,표1[#ALL],row(),false)</f>
        <v>#N/A</v>
      </c>
      <c r="AI618" s="372" t="str">
        <f>CS_PID!AI618/VLOOKUP($B618,표2[#ALL],2)/HLOOKUP($A618,표1[#ALL],row(),false)</f>
        <v>#N/A</v>
      </c>
      <c r="AJ618" s="372" t="str">
        <f>CS_PID!AJ618/VLOOKUP($B618,표2[#ALL],2)/HLOOKUP($A618,표1[#ALL],row(),false)</f>
        <v>#N/A</v>
      </c>
      <c r="AK618" s="372" t="str">
        <f>CS_PID!AK618/VLOOKUP($B618,표2[#ALL],2)/HLOOKUP($A618,표1[#ALL],row(),false)</f>
        <v>#N/A</v>
      </c>
      <c r="AL618" s="372" t="str">
        <f>CS_PID!AL618/VLOOKUP($B618,표2[#ALL],2)/HLOOKUP($A618,표1[#ALL],row(),false)</f>
        <v>#N/A</v>
      </c>
      <c r="AM618" s="372" t="str">
        <f>CS_PID!AM618/VLOOKUP($B618,표2[#ALL],2)/HLOOKUP($A618,표1[#ALL],row(),false)</f>
        <v>#N/A</v>
      </c>
      <c r="AN618" s="372" t="str">
        <f>CS_PID!AN618/VLOOKUP($B618,표2[#ALL],2)/HLOOKUP($A618,표1[#ALL],row(),false)</f>
        <v>#N/A</v>
      </c>
      <c r="AO618" s="372" t="str">
        <f>CS_PID!AO618/VLOOKUP($B618,표2[#ALL],2)/HLOOKUP($A618,표1[#ALL],row(),false)</f>
        <v>#N/A</v>
      </c>
      <c r="AP618" s="372" t="str">
        <f>CS_PID!AP618/VLOOKUP($B618,표2[#ALL],2)/HLOOKUP($A618,표1[#ALL],row(),false)</f>
        <v>#N/A</v>
      </c>
      <c r="AQ618" s="372" t="str">
        <f>CS_PID!AQ618/VLOOKUP($B618,표2[#ALL],2)/HLOOKUP($A618,표1[#ALL],row(),false)</f>
        <v>#N/A</v>
      </c>
      <c r="AR618" s="372" t="str">
        <f>CS_PID!AR618/VLOOKUP($B618,표2[#ALL],2)/HLOOKUP($A618,표1[#ALL],row(),false)</f>
        <v>#N/A</v>
      </c>
      <c r="AS618" s="373" t="str">
        <f>CS_PID!AS618/VLOOKUP($B618,표2[#ALL],2)/HLOOKUP($A618,표1[#ALL],row(),false)</f>
        <v>#N/A</v>
      </c>
    </row>
    <row r="619">
      <c r="A619" s="374"/>
      <c r="B619" s="375"/>
      <c r="C619" s="376" t="str">
        <f>CS_PID!C619/VLOOKUP($B619,표2[#ALL],2)</f>
        <v>#N/A</v>
      </c>
      <c r="D619" s="376" t="str">
        <f>CS_PID!D619/VLOOKUP($B619,표2[#ALL],2)</f>
        <v>#N/A</v>
      </c>
      <c r="E619" s="376" t="str">
        <f>CS_PID!E619/VLOOKUP($B619,표2[#ALL],2)</f>
        <v>#N/A</v>
      </c>
      <c r="F619" s="376" t="str">
        <f>CS_PID!F619/VLOOKUP($B619,표2[#ALL],2)</f>
        <v>#N/A</v>
      </c>
      <c r="G619" s="376" t="str">
        <f>CS_PID!G619/VLOOKUP($B619,표2[#ALL],2)</f>
        <v>#N/A</v>
      </c>
      <c r="H619" s="376" t="str">
        <f>CS_PID!H619/VLOOKUP($B619,표2[#ALL],2)/HLOOKUP($A619,표1[#ALL],row(),false)</f>
        <v>#N/A</v>
      </c>
      <c r="I619" s="376" t="str">
        <f>CS_PID!I619/VLOOKUP($B619,표2[#ALL],2)/HLOOKUP($A619,표1[#ALL],row(),false)</f>
        <v>#N/A</v>
      </c>
      <c r="J619" s="376" t="str">
        <f>CS_PID!J619/VLOOKUP($B619,표2[#ALL],2)/HLOOKUP($A619,표1[#ALL],row(),false)</f>
        <v>#N/A</v>
      </c>
      <c r="K619" s="376" t="str">
        <f>CS_PID!K619/VLOOKUP($B619,표2[#ALL],2)/HLOOKUP($A619,표1[#ALL],row(),false)</f>
        <v>#N/A</v>
      </c>
      <c r="L619" s="376" t="str">
        <f>CS_PID!L619/VLOOKUP($B619,표2[#ALL],2)/HLOOKUP($A619,표1[#ALL],row(),false)</f>
        <v>#N/A</v>
      </c>
      <c r="M619" s="376" t="str">
        <f>CS_PID!M619/VLOOKUP($B619,표2[#ALL],2)/HLOOKUP($A619,표1[#ALL],row(),false)</f>
        <v>#N/A</v>
      </c>
      <c r="N619" s="376" t="str">
        <f>CS_PID!N619/VLOOKUP($B619,표2[#ALL],2)/HLOOKUP($A619,표1[#ALL],row(),false)</f>
        <v>#N/A</v>
      </c>
      <c r="O619" s="376" t="str">
        <f>CS_PID!O619/VLOOKUP($B619,표2[#ALL],2)/HLOOKUP($A619,표1[#ALL],row(),false)</f>
        <v>#N/A</v>
      </c>
      <c r="P619" s="376" t="str">
        <f>CS_PID!P619/VLOOKUP($B619,표2[#ALL],2)/HLOOKUP($A619,표1[#ALL],row(),false)</f>
        <v>#N/A</v>
      </c>
      <c r="Q619" s="376" t="str">
        <f>CS_PID!Q619/VLOOKUP($B619,표2[#ALL],2)/HLOOKUP($A619,표1[#ALL],row(),false)</f>
        <v>#N/A</v>
      </c>
      <c r="R619" s="376" t="str">
        <f>CS_PID!R619/VLOOKUP($B619,표2[#ALL],2)/HLOOKUP($A619,표1[#ALL],row(),false)</f>
        <v>#N/A</v>
      </c>
      <c r="S619" s="376" t="str">
        <f>CS_PID!S619/VLOOKUP($B619,표2[#ALL],2)/HLOOKUP($A619,표1[#ALL],row(),false)</f>
        <v>#N/A</v>
      </c>
      <c r="T619" s="376" t="str">
        <f>CS_PID!T619/VLOOKUP($B619,표2[#ALL],2)/HLOOKUP($A619,표1[#ALL],row(),false)</f>
        <v>#N/A</v>
      </c>
      <c r="U619" s="376" t="str">
        <f>CS_PID!U619/VLOOKUP($B619,표2[#ALL],2)/HLOOKUP($A619,표1[#ALL],row(),false)</f>
        <v>#N/A</v>
      </c>
      <c r="V619" s="376" t="str">
        <f>CS_PID!V619/VLOOKUP($B619,표2[#ALL],2)/HLOOKUP($A619,표1[#ALL],row(),false)</f>
        <v>#N/A</v>
      </c>
      <c r="W619" s="376" t="str">
        <f>CS_PID!W619/VLOOKUP($B619,표2[#ALL],2)/HLOOKUP($A619,표1[#ALL],row(),false)</f>
        <v>#N/A</v>
      </c>
      <c r="X619" s="376" t="str">
        <f>CS_PID!X619/VLOOKUP($B619,표2[#ALL],2)/HLOOKUP($A619,표1[#ALL],row(),false)</f>
        <v>#N/A</v>
      </c>
      <c r="Y619" s="376" t="str">
        <f>CS_PID!Y619/VLOOKUP($B619,표2[#ALL],2)/HLOOKUP($A619,표1[#ALL],row(),false)</f>
        <v>#N/A</v>
      </c>
      <c r="Z619" s="376" t="str">
        <f>CS_PID!Z619/VLOOKUP($B619,표2[#ALL],2)/HLOOKUP($A619,표1[#ALL],row(),false)</f>
        <v>#N/A</v>
      </c>
      <c r="AA619" s="376" t="str">
        <f>CS_PID!AA619/VLOOKUP($B619,표2[#ALL],2)/HLOOKUP($A619,표1[#ALL],row(),false)</f>
        <v>#N/A</v>
      </c>
      <c r="AB619" s="376" t="str">
        <f>CS_PID!AB619/VLOOKUP($B619,표2[#ALL],2)/HLOOKUP($A619,표1[#ALL],row(),false)</f>
        <v>#N/A</v>
      </c>
      <c r="AC619" s="376" t="str">
        <f>CS_PID!AC619/VLOOKUP($B619,표2[#ALL],2)/HLOOKUP($A619,표1[#ALL],row(),false)</f>
        <v>#N/A</v>
      </c>
      <c r="AD619" s="376" t="str">
        <f>CS_PID!AD619/VLOOKUP($B619,표2[#ALL],2)/HLOOKUP($A619,표1[#ALL],row(),false)</f>
        <v>#N/A</v>
      </c>
      <c r="AE619" s="376" t="str">
        <f>CS_PID!AE619/VLOOKUP($B619,표2[#ALL],2)/HLOOKUP($A619,표1[#ALL],row(),false)</f>
        <v>#N/A</v>
      </c>
      <c r="AF619" s="376" t="str">
        <f>CS_PID!AF619/VLOOKUP($B619,표2[#ALL],2)/HLOOKUP($A619,표1[#ALL],row(),false)</f>
        <v>#N/A</v>
      </c>
      <c r="AG619" s="376" t="str">
        <f>CS_PID!AG619/VLOOKUP($B619,표2[#ALL],2)/HLOOKUP($A619,표1[#ALL],row(),false)</f>
        <v>#N/A</v>
      </c>
      <c r="AH619" s="376" t="str">
        <f>CS_PID!AH619/VLOOKUP($B619,표2[#ALL],2)/HLOOKUP($A619,표1[#ALL],row(),false)</f>
        <v>#N/A</v>
      </c>
      <c r="AI619" s="376" t="str">
        <f>CS_PID!AI619/VLOOKUP($B619,표2[#ALL],2)/HLOOKUP($A619,표1[#ALL],row(),false)</f>
        <v>#N/A</v>
      </c>
      <c r="AJ619" s="376" t="str">
        <f>CS_PID!AJ619/VLOOKUP($B619,표2[#ALL],2)/HLOOKUP($A619,표1[#ALL],row(),false)</f>
        <v>#N/A</v>
      </c>
      <c r="AK619" s="376" t="str">
        <f>CS_PID!AK619/VLOOKUP($B619,표2[#ALL],2)/HLOOKUP($A619,표1[#ALL],row(),false)</f>
        <v>#N/A</v>
      </c>
      <c r="AL619" s="376" t="str">
        <f>CS_PID!AL619/VLOOKUP($B619,표2[#ALL],2)/HLOOKUP($A619,표1[#ALL],row(),false)</f>
        <v>#N/A</v>
      </c>
      <c r="AM619" s="376" t="str">
        <f>CS_PID!AM619/VLOOKUP($B619,표2[#ALL],2)/HLOOKUP($A619,표1[#ALL],row(),false)</f>
        <v>#N/A</v>
      </c>
      <c r="AN619" s="376" t="str">
        <f>CS_PID!AN619/VLOOKUP($B619,표2[#ALL],2)/HLOOKUP($A619,표1[#ALL],row(),false)</f>
        <v>#N/A</v>
      </c>
      <c r="AO619" s="376" t="str">
        <f>CS_PID!AO619/VLOOKUP($B619,표2[#ALL],2)/HLOOKUP($A619,표1[#ALL],row(),false)</f>
        <v>#N/A</v>
      </c>
      <c r="AP619" s="376" t="str">
        <f>CS_PID!AP619/VLOOKUP($B619,표2[#ALL],2)/HLOOKUP($A619,표1[#ALL],row(),false)</f>
        <v>#N/A</v>
      </c>
      <c r="AQ619" s="376" t="str">
        <f>CS_PID!AQ619/VLOOKUP($B619,표2[#ALL],2)/HLOOKUP($A619,표1[#ALL],row(),false)</f>
        <v>#N/A</v>
      </c>
      <c r="AR619" s="376" t="str">
        <f>CS_PID!AR619/VLOOKUP($B619,표2[#ALL],2)/HLOOKUP($A619,표1[#ALL],row(),false)</f>
        <v>#N/A</v>
      </c>
      <c r="AS619" s="377" t="str">
        <f>CS_PID!AS619/VLOOKUP($B619,표2[#ALL],2)/HLOOKUP($A619,표1[#ALL],row(),false)</f>
        <v>#N/A</v>
      </c>
    </row>
    <row r="620">
      <c r="A620" s="370"/>
      <c r="B620" s="371"/>
      <c r="C620" s="372" t="str">
        <f>CS_PID!C620/VLOOKUP($B620,표2[#ALL],2)</f>
        <v>#N/A</v>
      </c>
      <c r="D620" s="372" t="str">
        <f>CS_PID!D620/VLOOKUP($B620,표2[#ALL],2)</f>
        <v>#N/A</v>
      </c>
      <c r="E620" s="372" t="str">
        <f>CS_PID!E620/VLOOKUP($B620,표2[#ALL],2)</f>
        <v>#N/A</v>
      </c>
      <c r="F620" s="372" t="str">
        <f>CS_PID!F620/VLOOKUP($B620,표2[#ALL],2)</f>
        <v>#N/A</v>
      </c>
      <c r="G620" s="372" t="str">
        <f>CS_PID!G620/VLOOKUP($B620,표2[#ALL],2)</f>
        <v>#N/A</v>
      </c>
      <c r="H620" s="372" t="str">
        <f>CS_PID!H620/VLOOKUP($B620,표2[#ALL],2)/HLOOKUP($A620,표1[#ALL],row(),false)</f>
        <v>#N/A</v>
      </c>
      <c r="I620" s="372" t="str">
        <f>CS_PID!I620/VLOOKUP($B620,표2[#ALL],2)/HLOOKUP($A620,표1[#ALL],row(),false)</f>
        <v>#N/A</v>
      </c>
      <c r="J620" s="372" t="str">
        <f>CS_PID!J620/VLOOKUP($B620,표2[#ALL],2)/HLOOKUP($A620,표1[#ALL],row(),false)</f>
        <v>#N/A</v>
      </c>
      <c r="K620" s="372" t="str">
        <f>CS_PID!K620/VLOOKUP($B620,표2[#ALL],2)/HLOOKUP($A620,표1[#ALL],row(),false)</f>
        <v>#N/A</v>
      </c>
      <c r="L620" s="372" t="str">
        <f>CS_PID!L620/VLOOKUP($B620,표2[#ALL],2)/HLOOKUP($A620,표1[#ALL],row(),false)</f>
        <v>#N/A</v>
      </c>
      <c r="M620" s="372" t="str">
        <f>CS_PID!M620/VLOOKUP($B620,표2[#ALL],2)/HLOOKUP($A620,표1[#ALL],row(),false)</f>
        <v>#N/A</v>
      </c>
      <c r="N620" s="372" t="str">
        <f>CS_PID!N620/VLOOKUP($B620,표2[#ALL],2)/HLOOKUP($A620,표1[#ALL],row(),false)</f>
        <v>#N/A</v>
      </c>
      <c r="O620" s="372" t="str">
        <f>CS_PID!O620/VLOOKUP($B620,표2[#ALL],2)/HLOOKUP($A620,표1[#ALL],row(),false)</f>
        <v>#N/A</v>
      </c>
      <c r="P620" s="372" t="str">
        <f>CS_PID!P620/VLOOKUP($B620,표2[#ALL],2)/HLOOKUP($A620,표1[#ALL],row(),false)</f>
        <v>#N/A</v>
      </c>
      <c r="Q620" s="372" t="str">
        <f>CS_PID!Q620/VLOOKUP($B620,표2[#ALL],2)/HLOOKUP($A620,표1[#ALL],row(),false)</f>
        <v>#N/A</v>
      </c>
      <c r="R620" s="372" t="str">
        <f>CS_PID!R620/VLOOKUP($B620,표2[#ALL],2)/HLOOKUP($A620,표1[#ALL],row(),false)</f>
        <v>#N/A</v>
      </c>
      <c r="S620" s="372" t="str">
        <f>CS_PID!S620/VLOOKUP($B620,표2[#ALL],2)/HLOOKUP($A620,표1[#ALL],row(),false)</f>
        <v>#N/A</v>
      </c>
      <c r="T620" s="372" t="str">
        <f>CS_PID!T620/VLOOKUP($B620,표2[#ALL],2)/HLOOKUP($A620,표1[#ALL],row(),false)</f>
        <v>#N/A</v>
      </c>
      <c r="U620" s="372" t="str">
        <f>CS_PID!U620/VLOOKUP($B620,표2[#ALL],2)/HLOOKUP($A620,표1[#ALL],row(),false)</f>
        <v>#N/A</v>
      </c>
      <c r="V620" s="372" t="str">
        <f>CS_PID!V620/VLOOKUP($B620,표2[#ALL],2)/HLOOKUP($A620,표1[#ALL],row(),false)</f>
        <v>#N/A</v>
      </c>
      <c r="W620" s="372" t="str">
        <f>CS_PID!W620/VLOOKUP($B620,표2[#ALL],2)/HLOOKUP($A620,표1[#ALL],row(),false)</f>
        <v>#N/A</v>
      </c>
      <c r="X620" s="372" t="str">
        <f>CS_PID!X620/VLOOKUP($B620,표2[#ALL],2)/HLOOKUP($A620,표1[#ALL],row(),false)</f>
        <v>#N/A</v>
      </c>
      <c r="Y620" s="372" t="str">
        <f>CS_PID!Y620/VLOOKUP($B620,표2[#ALL],2)/HLOOKUP($A620,표1[#ALL],row(),false)</f>
        <v>#N/A</v>
      </c>
      <c r="Z620" s="372" t="str">
        <f>CS_PID!Z620/VLOOKUP($B620,표2[#ALL],2)/HLOOKUP($A620,표1[#ALL],row(),false)</f>
        <v>#N/A</v>
      </c>
      <c r="AA620" s="372" t="str">
        <f>CS_PID!AA620/VLOOKUP($B620,표2[#ALL],2)/HLOOKUP($A620,표1[#ALL],row(),false)</f>
        <v>#N/A</v>
      </c>
      <c r="AB620" s="372" t="str">
        <f>CS_PID!AB620/VLOOKUP($B620,표2[#ALL],2)/HLOOKUP($A620,표1[#ALL],row(),false)</f>
        <v>#N/A</v>
      </c>
      <c r="AC620" s="372" t="str">
        <f>CS_PID!AC620/VLOOKUP($B620,표2[#ALL],2)/HLOOKUP($A620,표1[#ALL],row(),false)</f>
        <v>#N/A</v>
      </c>
      <c r="AD620" s="372" t="str">
        <f>CS_PID!AD620/VLOOKUP($B620,표2[#ALL],2)/HLOOKUP($A620,표1[#ALL],row(),false)</f>
        <v>#N/A</v>
      </c>
      <c r="AE620" s="372" t="str">
        <f>CS_PID!AE620/VLOOKUP($B620,표2[#ALL],2)/HLOOKUP($A620,표1[#ALL],row(),false)</f>
        <v>#N/A</v>
      </c>
      <c r="AF620" s="372" t="str">
        <f>CS_PID!AF620/VLOOKUP($B620,표2[#ALL],2)/HLOOKUP($A620,표1[#ALL],row(),false)</f>
        <v>#N/A</v>
      </c>
      <c r="AG620" s="372" t="str">
        <f>CS_PID!AG620/VLOOKUP($B620,표2[#ALL],2)/HLOOKUP($A620,표1[#ALL],row(),false)</f>
        <v>#N/A</v>
      </c>
      <c r="AH620" s="372" t="str">
        <f>CS_PID!AH620/VLOOKUP($B620,표2[#ALL],2)/HLOOKUP($A620,표1[#ALL],row(),false)</f>
        <v>#N/A</v>
      </c>
      <c r="AI620" s="372" t="str">
        <f>CS_PID!AI620/VLOOKUP($B620,표2[#ALL],2)/HLOOKUP($A620,표1[#ALL],row(),false)</f>
        <v>#N/A</v>
      </c>
      <c r="AJ620" s="372" t="str">
        <f>CS_PID!AJ620/VLOOKUP($B620,표2[#ALL],2)/HLOOKUP($A620,표1[#ALL],row(),false)</f>
        <v>#N/A</v>
      </c>
      <c r="AK620" s="372" t="str">
        <f>CS_PID!AK620/VLOOKUP($B620,표2[#ALL],2)/HLOOKUP($A620,표1[#ALL],row(),false)</f>
        <v>#N/A</v>
      </c>
      <c r="AL620" s="372" t="str">
        <f>CS_PID!AL620/VLOOKUP($B620,표2[#ALL],2)/HLOOKUP($A620,표1[#ALL],row(),false)</f>
        <v>#N/A</v>
      </c>
      <c r="AM620" s="372" t="str">
        <f>CS_PID!AM620/VLOOKUP($B620,표2[#ALL],2)/HLOOKUP($A620,표1[#ALL],row(),false)</f>
        <v>#N/A</v>
      </c>
      <c r="AN620" s="372" t="str">
        <f>CS_PID!AN620/VLOOKUP($B620,표2[#ALL],2)/HLOOKUP($A620,표1[#ALL],row(),false)</f>
        <v>#N/A</v>
      </c>
      <c r="AO620" s="372" t="str">
        <f>CS_PID!AO620/VLOOKUP($B620,표2[#ALL],2)/HLOOKUP($A620,표1[#ALL],row(),false)</f>
        <v>#N/A</v>
      </c>
      <c r="AP620" s="372" t="str">
        <f>CS_PID!AP620/VLOOKUP($B620,표2[#ALL],2)/HLOOKUP($A620,표1[#ALL],row(),false)</f>
        <v>#N/A</v>
      </c>
      <c r="AQ620" s="372" t="str">
        <f>CS_PID!AQ620/VLOOKUP($B620,표2[#ALL],2)/HLOOKUP($A620,표1[#ALL],row(),false)</f>
        <v>#N/A</v>
      </c>
      <c r="AR620" s="372" t="str">
        <f>CS_PID!AR620/VLOOKUP($B620,표2[#ALL],2)/HLOOKUP($A620,표1[#ALL],row(),false)</f>
        <v>#N/A</v>
      </c>
      <c r="AS620" s="373" t="str">
        <f>CS_PID!AS620/VLOOKUP($B620,표2[#ALL],2)/HLOOKUP($A620,표1[#ALL],row(),false)</f>
        <v>#N/A</v>
      </c>
    </row>
    <row r="621">
      <c r="A621" s="374"/>
      <c r="B621" s="375"/>
      <c r="C621" s="376" t="str">
        <f>CS_PID!C621/VLOOKUP($B621,표2[#ALL],2)</f>
        <v>#N/A</v>
      </c>
      <c r="D621" s="376" t="str">
        <f>CS_PID!D621/VLOOKUP($B621,표2[#ALL],2)</f>
        <v>#N/A</v>
      </c>
      <c r="E621" s="376" t="str">
        <f>CS_PID!E621/VLOOKUP($B621,표2[#ALL],2)</f>
        <v>#N/A</v>
      </c>
      <c r="F621" s="376" t="str">
        <f>CS_PID!F621/VLOOKUP($B621,표2[#ALL],2)</f>
        <v>#N/A</v>
      </c>
      <c r="G621" s="376" t="str">
        <f>CS_PID!G621/VLOOKUP($B621,표2[#ALL],2)</f>
        <v>#N/A</v>
      </c>
      <c r="H621" s="376" t="str">
        <f>CS_PID!H621/VLOOKUP($B621,표2[#ALL],2)/HLOOKUP($A621,표1[#ALL],row(),false)</f>
        <v>#N/A</v>
      </c>
      <c r="I621" s="376" t="str">
        <f>CS_PID!I621/VLOOKUP($B621,표2[#ALL],2)/HLOOKUP($A621,표1[#ALL],row(),false)</f>
        <v>#N/A</v>
      </c>
      <c r="J621" s="376" t="str">
        <f>CS_PID!J621/VLOOKUP($B621,표2[#ALL],2)/HLOOKUP($A621,표1[#ALL],row(),false)</f>
        <v>#N/A</v>
      </c>
      <c r="K621" s="376" t="str">
        <f>CS_PID!K621/VLOOKUP($B621,표2[#ALL],2)/HLOOKUP($A621,표1[#ALL],row(),false)</f>
        <v>#N/A</v>
      </c>
      <c r="L621" s="376" t="str">
        <f>CS_PID!L621/VLOOKUP($B621,표2[#ALL],2)/HLOOKUP($A621,표1[#ALL],row(),false)</f>
        <v>#N/A</v>
      </c>
      <c r="M621" s="376" t="str">
        <f>CS_PID!M621/VLOOKUP($B621,표2[#ALL],2)/HLOOKUP($A621,표1[#ALL],row(),false)</f>
        <v>#N/A</v>
      </c>
      <c r="N621" s="376" t="str">
        <f>CS_PID!N621/VLOOKUP($B621,표2[#ALL],2)/HLOOKUP($A621,표1[#ALL],row(),false)</f>
        <v>#N/A</v>
      </c>
      <c r="O621" s="376" t="str">
        <f>CS_PID!O621/VLOOKUP($B621,표2[#ALL],2)/HLOOKUP($A621,표1[#ALL],row(),false)</f>
        <v>#N/A</v>
      </c>
      <c r="P621" s="376" t="str">
        <f>CS_PID!P621/VLOOKUP($B621,표2[#ALL],2)/HLOOKUP($A621,표1[#ALL],row(),false)</f>
        <v>#N/A</v>
      </c>
      <c r="Q621" s="376" t="str">
        <f>CS_PID!Q621/VLOOKUP($B621,표2[#ALL],2)/HLOOKUP($A621,표1[#ALL],row(),false)</f>
        <v>#N/A</v>
      </c>
      <c r="R621" s="376" t="str">
        <f>CS_PID!R621/VLOOKUP($B621,표2[#ALL],2)/HLOOKUP($A621,표1[#ALL],row(),false)</f>
        <v>#N/A</v>
      </c>
      <c r="S621" s="376" t="str">
        <f>CS_PID!S621/VLOOKUP($B621,표2[#ALL],2)/HLOOKUP($A621,표1[#ALL],row(),false)</f>
        <v>#N/A</v>
      </c>
      <c r="T621" s="376" t="str">
        <f>CS_PID!T621/VLOOKUP($B621,표2[#ALL],2)/HLOOKUP($A621,표1[#ALL],row(),false)</f>
        <v>#N/A</v>
      </c>
      <c r="U621" s="376" t="str">
        <f>CS_PID!U621/VLOOKUP($B621,표2[#ALL],2)/HLOOKUP($A621,표1[#ALL],row(),false)</f>
        <v>#N/A</v>
      </c>
      <c r="V621" s="376" t="str">
        <f>CS_PID!V621/VLOOKUP($B621,표2[#ALL],2)/HLOOKUP($A621,표1[#ALL],row(),false)</f>
        <v>#N/A</v>
      </c>
      <c r="W621" s="376" t="str">
        <f>CS_PID!W621/VLOOKUP($B621,표2[#ALL],2)/HLOOKUP($A621,표1[#ALL],row(),false)</f>
        <v>#N/A</v>
      </c>
      <c r="X621" s="376" t="str">
        <f>CS_PID!X621/VLOOKUP($B621,표2[#ALL],2)/HLOOKUP($A621,표1[#ALL],row(),false)</f>
        <v>#N/A</v>
      </c>
      <c r="Y621" s="376" t="str">
        <f>CS_PID!Y621/VLOOKUP($B621,표2[#ALL],2)/HLOOKUP($A621,표1[#ALL],row(),false)</f>
        <v>#N/A</v>
      </c>
      <c r="Z621" s="376" t="str">
        <f>CS_PID!Z621/VLOOKUP($B621,표2[#ALL],2)/HLOOKUP($A621,표1[#ALL],row(),false)</f>
        <v>#N/A</v>
      </c>
      <c r="AA621" s="376" t="str">
        <f>CS_PID!AA621/VLOOKUP($B621,표2[#ALL],2)/HLOOKUP($A621,표1[#ALL],row(),false)</f>
        <v>#N/A</v>
      </c>
      <c r="AB621" s="376" t="str">
        <f>CS_PID!AB621/VLOOKUP($B621,표2[#ALL],2)/HLOOKUP($A621,표1[#ALL],row(),false)</f>
        <v>#N/A</v>
      </c>
      <c r="AC621" s="376" t="str">
        <f>CS_PID!AC621/VLOOKUP($B621,표2[#ALL],2)/HLOOKUP($A621,표1[#ALL],row(),false)</f>
        <v>#N/A</v>
      </c>
      <c r="AD621" s="376" t="str">
        <f>CS_PID!AD621/VLOOKUP($B621,표2[#ALL],2)/HLOOKUP($A621,표1[#ALL],row(),false)</f>
        <v>#N/A</v>
      </c>
      <c r="AE621" s="376" t="str">
        <f>CS_PID!AE621/VLOOKUP($B621,표2[#ALL],2)/HLOOKUP($A621,표1[#ALL],row(),false)</f>
        <v>#N/A</v>
      </c>
      <c r="AF621" s="376" t="str">
        <f>CS_PID!AF621/VLOOKUP($B621,표2[#ALL],2)/HLOOKUP($A621,표1[#ALL],row(),false)</f>
        <v>#N/A</v>
      </c>
      <c r="AG621" s="376" t="str">
        <f>CS_PID!AG621/VLOOKUP($B621,표2[#ALL],2)/HLOOKUP($A621,표1[#ALL],row(),false)</f>
        <v>#N/A</v>
      </c>
      <c r="AH621" s="376" t="str">
        <f>CS_PID!AH621/VLOOKUP($B621,표2[#ALL],2)/HLOOKUP($A621,표1[#ALL],row(),false)</f>
        <v>#N/A</v>
      </c>
      <c r="AI621" s="376" t="str">
        <f>CS_PID!AI621/VLOOKUP($B621,표2[#ALL],2)/HLOOKUP($A621,표1[#ALL],row(),false)</f>
        <v>#N/A</v>
      </c>
      <c r="AJ621" s="376" t="str">
        <f>CS_PID!AJ621/VLOOKUP($B621,표2[#ALL],2)/HLOOKUP($A621,표1[#ALL],row(),false)</f>
        <v>#N/A</v>
      </c>
      <c r="AK621" s="376" t="str">
        <f>CS_PID!AK621/VLOOKUP($B621,표2[#ALL],2)/HLOOKUP($A621,표1[#ALL],row(),false)</f>
        <v>#N/A</v>
      </c>
      <c r="AL621" s="376" t="str">
        <f>CS_PID!AL621/VLOOKUP($B621,표2[#ALL],2)/HLOOKUP($A621,표1[#ALL],row(),false)</f>
        <v>#N/A</v>
      </c>
      <c r="AM621" s="376" t="str">
        <f>CS_PID!AM621/VLOOKUP($B621,표2[#ALL],2)/HLOOKUP($A621,표1[#ALL],row(),false)</f>
        <v>#N/A</v>
      </c>
      <c r="AN621" s="376" t="str">
        <f>CS_PID!AN621/VLOOKUP($B621,표2[#ALL],2)/HLOOKUP($A621,표1[#ALL],row(),false)</f>
        <v>#N/A</v>
      </c>
      <c r="AO621" s="376" t="str">
        <f>CS_PID!AO621/VLOOKUP($B621,표2[#ALL],2)/HLOOKUP($A621,표1[#ALL],row(),false)</f>
        <v>#N/A</v>
      </c>
      <c r="AP621" s="376" t="str">
        <f>CS_PID!AP621/VLOOKUP($B621,표2[#ALL],2)/HLOOKUP($A621,표1[#ALL],row(),false)</f>
        <v>#N/A</v>
      </c>
      <c r="AQ621" s="376" t="str">
        <f>CS_PID!AQ621/VLOOKUP($B621,표2[#ALL],2)/HLOOKUP($A621,표1[#ALL],row(),false)</f>
        <v>#N/A</v>
      </c>
      <c r="AR621" s="376" t="str">
        <f>CS_PID!AR621/VLOOKUP($B621,표2[#ALL],2)/HLOOKUP($A621,표1[#ALL],row(),false)</f>
        <v>#N/A</v>
      </c>
      <c r="AS621" s="377" t="str">
        <f>CS_PID!AS621/VLOOKUP($B621,표2[#ALL],2)/HLOOKUP($A621,표1[#ALL],row(),false)</f>
        <v>#N/A</v>
      </c>
    </row>
    <row r="622">
      <c r="A622" s="370"/>
      <c r="B622" s="371"/>
      <c r="C622" s="372" t="str">
        <f>CS_PID!C622/VLOOKUP($B622,표2[#ALL],2)</f>
        <v>#N/A</v>
      </c>
      <c r="D622" s="372" t="str">
        <f>CS_PID!D622/VLOOKUP($B622,표2[#ALL],2)</f>
        <v>#N/A</v>
      </c>
      <c r="E622" s="372" t="str">
        <f>CS_PID!E622/VLOOKUP($B622,표2[#ALL],2)</f>
        <v>#N/A</v>
      </c>
      <c r="F622" s="372" t="str">
        <f>CS_PID!F622/VLOOKUP($B622,표2[#ALL],2)</f>
        <v>#N/A</v>
      </c>
      <c r="G622" s="372" t="str">
        <f>CS_PID!G622/VLOOKUP($B622,표2[#ALL],2)</f>
        <v>#N/A</v>
      </c>
      <c r="H622" s="372" t="str">
        <f>CS_PID!H622/VLOOKUP($B622,표2[#ALL],2)/HLOOKUP($A622,표1[#ALL],row(),false)</f>
        <v>#N/A</v>
      </c>
      <c r="I622" s="372" t="str">
        <f>CS_PID!I622/VLOOKUP($B622,표2[#ALL],2)/HLOOKUP($A622,표1[#ALL],row(),false)</f>
        <v>#N/A</v>
      </c>
      <c r="J622" s="372" t="str">
        <f>CS_PID!J622/VLOOKUP($B622,표2[#ALL],2)/HLOOKUP($A622,표1[#ALL],row(),false)</f>
        <v>#N/A</v>
      </c>
      <c r="K622" s="372" t="str">
        <f>CS_PID!K622/VLOOKUP($B622,표2[#ALL],2)/HLOOKUP($A622,표1[#ALL],row(),false)</f>
        <v>#N/A</v>
      </c>
      <c r="L622" s="372" t="str">
        <f>CS_PID!L622/VLOOKUP($B622,표2[#ALL],2)/HLOOKUP($A622,표1[#ALL],row(),false)</f>
        <v>#N/A</v>
      </c>
      <c r="M622" s="372" t="str">
        <f>CS_PID!M622/VLOOKUP($B622,표2[#ALL],2)/HLOOKUP($A622,표1[#ALL],row(),false)</f>
        <v>#N/A</v>
      </c>
      <c r="N622" s="372" t="str">
        <f>CS_PID!N622/VLOOKUP($B622,표2[#ALL],2)/HLOOKUP($A622,표1[#ALL],row(),false)</f>
        <v>#N/A</v>
      </c>
      <c r="O622" s="372" t="str">
        <f>CS_PID!O622/VLOOKUP($B622,표2[#ALL],2)/HLOOKUP($A622,표1[#ALL],row(),false)</f>
        <v>#N/A</v>
      </c>
      <c r="P622" s="372" t="str">
        <f>CS_PID!P622/VLOOKUP($B622,표2[#ALL],2)/HLOOKUP($A622,표1[#ALL],row(),false)</f>
        <v>#N/A</v>
      </c>
      <c r="Q622" s="372" t="str">
        <f>CS_PID!Q622/VLOOKUP($B622,표2[#ALL],2)/HLOOKUP($A622,표1[#ALL],row(),false)</f>
        <v>#N/A</v>
      </c>
      <c r="R622" s="372" t="str">
        <f>CS_PID!R622/VLOOKUP($B622,표2[#ALL],2)/HLOOKUP($A622,표1[#ALL],row(),false)</f>
        <v>#N/A</v>
      </c>
      <c r="S622" s="372" t="str">
        <f>CS_PID!S622/VLOOKUP($B622,표2[#ALL],2)/HLOOKUP($A622,표1[#ALL],row(),false)</f>
        <v>#N/A</v>
      </c>
      <c r="T622" s="372" t="str">
        <f>CS_PID!T622/VLOOKUP($B622,표2[#ALL],2)/HLOOKUP($A622,표1[#ALL],row(),false)</f>
        <v>#N/A</v>
      </c>
      <c r="U622" s="372" t="str">
        <f>CS_PID!U622/VLOOKUP($B622,표2[#ALL],2)/HLOOKUP($A622,표1[#ALL],row(),false)</f>
        <v>#N/A</v>
      </c>
      <c r="V622" s="372" t="str">
        <f>CS_PID!V622/VLOOKUP($B622,표2[#ALL],2)/HLOOKUP($A622,표1[#ALL],row(),false)</f>
        <v>#N/A</v>
      </c>
      <c r="W622" s="372" t="str">
        <f>CS_PID!W622/VLOOKUP($B622,표2[#ALL],2)/HLOOKUP($A622,표1[#ALL],row(),false)</f>
        <v>#N/A</v>
      </c>
      <c r="X622" s="372" t="str">
        <f>CS_PID!X622/VLOOKUP($B622,표2[#ALL],2)/HLOOKUP($A622,표1[#ALL],row(),false)</f>
        <v>#N/A</v>
      </c>
      <c r="Y622" s="372" t="str">
        <f>CS_PID!Y622/VLOOKUP($B622,표2[#ALL],2)/HLOOKUP($A622,표1[#ALL],row(),false)</f>
        <v>#N/A</v>
      </c>
      <c r="Z622" s="372" t="str">
        <f>CS_PID!Z622/VLOOKUP($B622,표2[#ALL],2)/HLOOKUP($A622,표1[#ALL],row(),false)</f>
        <v>#N/A</v>
      </c>
      <c r="AA622" s="372" t="str">
        <f>CS_PID!AA622/VLOOKUP($B622,표2[#ALL],2)/HLOOKUP($A622,표1[#ALL],row(),false)</f>
        <v>#N/A</v>
      </c>
      <c r="AB622" s="372" t="str">
        <f>CS_PID!AB622/VLOOKUP($B622,표2[#ALL],2)/HLOOKUP($A622,표1[#ALL],row(),false)</f>
        <v>#N/A</v>
      </c>
      <c r="AC622" s="372" t="str">
        <f>CS_PID!AC622/VLOOKUP($B622,표2[#ALL],2)/HLOOKUP($A622,표1[#ALL],row(),false)</f>
        <v>#N/A</v>
      </c>
      <c r="AD622" s="372" t="str">
        <f>CS_PID!AD622/VLOOKUP($B622,표2[#ALL],2)/HLOOKUP($A622,표1[#ALL],row(),false)</f>
        <v>#N/A</v>
      </c>
      <c r="AE622" s="372" t="str">
        <f>CS_PID!AE622/VLOOKUP($B622,표2[#ALL],2)/HLOOKUP($A622,표1[#ALL],row(),false)</f>
        <v>#N/A</v>
      </c>
      <c r="AF622" s="372" t="str">
        <f>CS_PID!AF622/VLOOKUP($B622,표2[#ALL],2)/HLOOKUP($A622,표1[#ALL],row(),false)</f>
        <v>#N/A</v>
      </c>
      <c r="AG622" s="372" t="str">
        <f>CS_PID!AG622/VLOOKUP($B622,표2[#ALL],2)/HLOOKUP($A622,표1[#ALL],row(),false)</f>
        <v>#N/A</v>
      </c>
      <c r="AH622" s="372" t="str">
        <f>CS_PID!AH622/VLOOKUP($B622,표2[#ALL],2)/HLOOKUP($A622,표1[#ALL],row(),false)</f>
        <v>#N/A</v>
      </c>
      <c r="AI622" s="372" t="str">
        <f>CS_PID!AI622/VLOOKUP($B622,표2[#ALL],2)/HLOOKUP($A622,표1[#ALL],row(),false)</f>
        <v>#N/A</v>
      </c>
      <c r="AJ622" s="372" t="str">
        <f>CS_PID!AJ622/VLOOKUP($B622,표2[#ALL],2)/HLOOKUP($A622,표1[#ALL],row(),false)</f>
        <v>#N/A</v>
      </c>
      <c r="AK622" s="372" t="str">
        <f>CS_PID!AK622/VLOOKUP($B622,표2[#ALL],2)/HLOOKUP($A622,표1[#ALL],row(),false)</f>
        <v>#N/A</v>
      </c>
      <c r="AL622" s="372" t="str">
        <f>CS_PID!AL622/VLOOKUP($B622,표2[#ALL],2)/HLOOKUP($A622,표1[#ALL],row(),false)</f>
        <v>#N/A</v>
      </c>
      <c r="AM622" s="372" t="str">
        <f>CS_PID!AM622/VLOOKUP($B622,표2[#ALL],2)/HLOOKUP($A622,표1[#ALL],row(),false)</f>
        <v>#N/A</v>
      </c>
      <c r="AN622" s="372" t="str">
        <f>CS_PID!AN622/VLOOKUP($B622,표2[#ALL],2)/HLOOKUP($A622,표1[#ALL],row(),false)</f>
        <v>#N/A</v>
      </c>
      <c r="AO622" s="372" t="str">
        <f>CS_PID!AO622/VLOOKUP($B622,표2[#ALL],2)/HLOOKUP($A622,표1[#ALL],row(),false)</f>
        <v>#N/A</v>
      </c>
      <c r="AP622" s="372" t="str">
        <f>CS_PID!AP622/VLOOKUP($B622,표2[#ALL],2)/HLOOKUP($A622,표1[#ALL],row(),false)</f>
        <v>#N/A</v>
      </c>
      <c r="AQ622" s="372" t="str">
        <f>CS_PID!AQ622/VLOOKUP($B622,표2[#ALL],2)/HLOOKUP($A622,표1[#ALL],row(),false)</f>
        <v>#N/A</v>
      </c>
      <c r="AR622" s="372" t="str">
        <f>CS_PID!AR622/VLOOKUP($B622,표2[#ALL],2)/HLOOKUP($A622,표1[#ALL],row(),false)</f>
        <v>#N/A</v>
      </c>
      <c r="AS622" s="373" t="str">
        <f>CS_PID!AS622/VLOOKUP($B622,표2[#ALL],2)/HLOOKUP($A622,표1[#ALL],row(),false)</f>
        <v>#N/A</v>
      </c>
    </row>
    <row r="623">
      <c r="A623" s="374"/>
      <c r="B623" s="375"/>
      <c r="C623" s="376" t="str">
        <f>CS_PID!C623/VLOOKUP($B623,표2[#ALL],2)</f>
        <v>#N/A</v>
      </c>
      <c r="D623" s="376" t="str">
        <f>CS_PID!D623/VLOOKUP($B623,표2[#ALL],2)</f>
        <v>#N/A</v>
      </c>
      <c r="E623" s="376" t="str">
        <f>CS_PID!E623/VLOOKUP($B623,표2[#ALL],2)</f>
        <v>#N/A</v>
      </c>
      <c r="F623" s="376" t="str">
        <f>CS_PID!F623/VLOOKUP($B623,표2[#ALL],2)</f>
        <v>#N/A</v>
      </c>
      <c r="G623" s="376" t="str">
        <f>CS_PID!G623/VLOOKUP($B623,표2[#ALL],2)</f>
        <v>#N/A</v>
      </c>
      <c r="H623" s="376" t="str">
        <f>CS_PID!H623/VLOOKUP($B623,표2[#ALL],2)/HLOOKUP($A623,표1[#ALL],row(),false)</f>
        <v>#N/A</v>
      </c>
      <c r="I623" s="376" t="str">
        <f>CS_PID!I623/VLOOKUP($B623,표2[#ALL],2)/HLOOKUP($A623,표1[#ALL],row(),false)</f>
        <v>#N/A</v>
      </c>
      <c r="J623" s="376" t="str">
        <f>CS_PID!J623/VLOOKUP($B623,표2[#ALL],2)/HLOOKUP($A623,표1[#ALL],row(),false)</f>
        <v>#N/A</v>
      </c>
      <c r="K623" s="376" t="str">
        <f>CS_PID!K623/VLOOKUP($B623,표2[#ALL],2)/HLOOKUP($A623,표1[#ALL],row(),false)</f>
        <v>#N/A</v>
      </c>
      <c r="L623" s="376" t="str">
        <f>CS_PID!L623/VLOOKUP($B623,표2[#ALL],2)/HLOOKUP($A623,표1[#ALL],row(),false)</f>
        <v>#N/A</v>
      </c>
      <c r="M623" s="376" t="str">
        <f>CS_PID!M623/VLOOKUP($B623,표2[#ALL],2)/HLOOKUP($A623,표1[#ALL],row(),false)</f>
        <v>#N/A</v>
      </c>
      <c r="N623" s="376" t="str">
        <f>CS_PID!N623/VLOOKUP($B623,표2[#ALL],2)/HLOOKUP($A623,표1[#ALL],row(),false)</f>
        <v>#N/A</v>
      </c>
      <c r="O623" s="376" t="str">
        <f>CS_PID!O623/VLOOKUP($B623,표2[#ALL],2)/HLOOKUP($A623,표1[#ALL],row(),false)</f>
        <v>#N/A</v>
      </c>
      <c r="P623" s="376" t="str">
        <f>CS_PID!P623/VLOOKUP($B623,표2[#ALL],2)/HLOOKUP($A623,표1[#ALL],row(),false)</f>
        <v>#N/A</v>
      </c>
      <c r="Q623" s="376" t="str">
        <f>CS_PID!Q623/VLOOKUP($B623,표2[#ALL],2)/HLOOKUP($A623,표1[#ALL],row(),false)</f>
        <v>#N/A</v>
      </c>
      <c r="R623" s="376" t="str">
        <f>CS_PID!R623/VLOOKUP($B623,표2[#ALL],2)/HLOOKUP($A623,표1[#ALL],row(),false)</f>
        <v>#N/A</v>
      </c>
      <c r="S623" s="376" t="str">
        <f>CS_PID!S623/VLOOKUP($B623,표2[#ALL],2)/HLOOKUP($A623,표1[#ALL],row(),false)</f>
        <v>#N/A</v>
      </c>
      <c r="T623" s="376" t="str">
        <f>CS_PID!T623/VLOOKUP($B623,표2[#ALL],2)/HLOOKUP($A623,표1[#ALL],row(),false)</f>
        <v>#N/A</v>
      </c>
      <c r="U623" s="376" t="str">
        <f>CS_PID!U623/VLOOKUP($B623,표2[#ALL],2)/HLOOKUP($A623,표1[#ALL],row(),false)</f>
        <v>#N/A</v>
      </c>
      <c r="V623" s="376" t="str">
        <f>CS_PID!V623/VLOOKUP($B623,표2[#ALL],2)/HLOOKUP($A623,표1[#ALL],row(),false)</f>
        <v>#N/A</v>
      </c>
      <c r="W623" s="376" t="str">
        <f>CS_PID!W623/VLOOKUP($B623,표2[#ALL],2)/HLOOKUP($A623,표1[#ALL],row(),false)</f>
        <v>#N/A</v>
      </c>
      <c r="X623" s="376" t="str">
        <f>CS_PID!X623/VLOOKUP($B623,표2[#ALL],2)/HLOOKUP($A623,표1[#ALL],row(),false)</f>
        <v>#N/A</v>
      </c>
      <c r="Y623" s="376" t="str">
        <f>CS_PID!Y623/VLOOKUP($B623,표2[#ALL],2)/HLOOKUP($A623,표1[#ALL],row(),false)</f>
        <v>#N/A</v>
      </c>
      <c r="Z623" s="376" t="str">
        <f>CS_PID!Z623/VLOOKUP($B623,표2[#ALL],2)/HLOOKUP($A623,표1[#ALL],row(),false)</f>
        <v>#N/A</v>
      </c>
      <c r="AA623" s="376" t="str">
        <f>CS_PID!AA623/VLOOKUP($B623,표2[#ALL],2)/HLOOKUP($A623,표1[#ALL],row(),false)</f>
        <v>#N/A</v>
      </c>
      <c r="AB623" s="376" t="str">
        <f>CS_PID!AB623/VLOOKUP($B623,표2[#ALL],2)/HLOOKUP($A623,표1[#ALL],row(),false)</f>
        <v>#N/A</v>
      </c>
      <c r="AC623" s="376" t="str">
        <f>CS_PID!AC623/VLOOKUP($B623,표2[#ALL],2)/HLOOKUP($A623,표1[#ALL],row(),false)</f>
        <v>#N/A</v>
      </c>
      <c r="AD623" s="376" t="str">
        <f>CS_PID!AD623/VLOOKUP($B623,표2[#ALL],2)/HLOOKUP($A623,표1[#ALL],row(),false)</f>
        <v>#N/A</v>
      </c>
      <c r="AE623" s="376" t="str">
        <f>CS_PID!AE623/VLOOKUP($B623,표2[#ALL],2)/HLOOKUP($A623,표1[#ALL],row(),false)</f>
        <v>#N/A</v>
      </c>
      <c r="AF623" s="376" t="str">
        <f>CS_PID!AF623/VLOOKUP($B623,표2[#ALL],2)/HLOOKUP($A623,표1[#ALL],row(),false)</f>
        <v>#N/A</v>
      </c>
      <c r="AG623" s="376" t="str">
        <f>CS_PID!AG623/VLOOKUP($B623,표2[#ALL],2)/HLOOKUP($A623,표1[#ALL],row(),false)</f>
        <v>#N/A</v>
      </c>
      <c r="AH623" s="376" t="str">
        <f>CS_PID!AH623/VLOOKUP($B623,표2[#ALL],2)/HLOOKUP($A623,표1[#ALL],row(),false)</f>
        <v>#N/A</v>
      </c>
      <c r="AI623" s="376" t="str">
        <f>CS_PID!AI623/VLOOKUP($B623,표2[#ALL],2)/HLOOKUP($A623,표1[#ALL],row(),false)</f>
        <v>#N/A</v>
      </c>
      <c r="AJ623" s="376" t="str">
        <f>CS_PID!AJ623/VLOOKUP($B623,표2[#ALL],2)/HLOOKUP($A623,표1[#ALL],row(),false)</f>
        <v>#N/A</v>
      </c>
      <c r="AK623" s="376" t="str">
        <f>CS_PID!AK623/VLOOKUP($B623,표2[#ALL],2)/HLOOKUP($A623,표1[#ALL],row(),false)</f>
        <v>#N/A</v>
      </c>
      <c r="AL623" s="376" t="str">
        <f>CS_PID!AL623/VLOOKUP($B623,표2[#ALL],2)/HLOOKUP($A623,표1[#ALL],row(),false)</f>
        <v>#N/A</v>
      </c>
      <c r="AM623" s="376" t="str">
        <f>CS_PID!AM623/VLOOKUP($B623,표2[#ALL],2)/HLOOKUP($A623,표1[#ALL],row(),false)</f>
        <v>#N/A</v>
      </c>
      <c r="AN623" s="376" t="str">
        <f>CS_PID!AN623/VLOOKUP($B623,표2[#ALL],2)/HLOOKUP($A623,표1[#ALL],row(),false)</f>
        <v>#N/A</v>
      </c>
      <c r="AO623" s="376" t="str">
        <f>CS_PID!AO623/VLOOKUP($B623,표2[#ALL],2)/HLOOKUP($A623,표1[#ALL],row(),false)</f>
        <v>#N/A</v>
      </c>
      <c r="AP623" s="376" t="str">
        <f>CS_PID!AP623/VLOOKUP($B623,표2[#ALL],2)/HLOOKUP($A623,표1[#ALL],row(),false)</f>
        <v>#N/A</v>
      </c>
      <c r="AQ623" s="376" t="str">
        <f>CS_PID!AQ623/VLOOKUP($B623,표2[#ALL],2)/HLOOKUP($A623,표1[#ALL],row(),false)</f>
        <v>#N/A</v>
      </c>
      <c r="AR623" s="376" t="str">
        <f>CS_PID!AR623/VLOOKUP($B623,표2[#ALL],2)/HLOOKUP($A623,표1[#ALL],row(),false)</f>
        <v>#N/A</v>
      </c>
      <c r="AS623" s="377" t="str">
        <f>CS_PID!AS623/VLOOKUP($B623,표2[#ALL],2)/HLOOKUP($A623,표1[#ALL],row(),false)</f>
        <v>#N/A</v>
      </c>
    </row>
    <row r="624">
      <c r="A624" s="370"/>
      <c r="B624" s="371"/>
      <c r="C624" s="372" t="str">
        <f>CS_PID!C624/VLOOKUP($B624,표2[#ALL],2)</f>
        <v>#N/A</v>
      </c>
      <c r="D624" s="372" t="str">
        <f>CS_PID!D624/VLOOKUP($B624,표2[#ALL],2)</f>
        <v>#N/A</v>
      </c>
      <c r="E624" s="372" t="str">
        <f>CS_PID!E624/VLOOKUP($B624,표2[#ALL],2)</f>
        <v>#N/A</v>
      </c>
      <c r="F624" s="372" t="str">
        <f>CS_PID!F624/VLOOKUP($B624,표2[#ALL],2)</f>
        <v>#N/A</v>
      </c>
      <c r="G624" s="372" t="str">
        <f>CS_PID!G624/VLOOKUP($B624,표2[#ALL],2)</f>
        <v>#N/A</v>
      </c>
      <c r="H624" s="372" t="str">
        <f>CS_PID!H624/VLOOKUP($B624,표2[#ALL],2)/HLOOKUP($A624,표1[#ALL],row(),false)</f>
        <v>#N/A</v>
      </c>
      <c r="I624" s="372" t="str">
        <f>CS_PID!I624/VLOOKUP($B624,표2[#ALL],2)/HLOOKUP($A624,표1[#ALL],row(),false)</f>
        <v>#N/A</v>
      </c>
      <c r="J624" s="372" t="str">
        <f>CS_PID!J624/VLOOKUP($B624,표2[#ALL],2)/HLOOKUP($A624,표1[#ALL],row(),false)</f>
        <v>#N/A</v>
      </c>
      <c r="K624" s="372" t="str">
        <f>CS_PID!K624/VLOOKUP($B624,표2[#ALL],2)/HLOOKUP($A624,표1[#ALL],row(),false)</f>
        <v>#N/A</v>
      </c>
      <c r="L624" s="372" t="str">
        <f>CS_PID!L624/VLOOKUP($B624,표2[#ALL],2)/HLOOKUP($A624,표1[#ALL],row(),false)</f>
        <v>#N/A</v>
      </c>
      <c r="M624" s="372" t="str">
        <f>CS_PID!M624/VLOOKUP($B624,표2[#ALL],2)/HLOOKUP($A624,표1[#ALL],row(),false)</f>
        <v>#N/A</v>
      </c>
      <c r="N624" s="372" t="str">
        <f>CS_PID!N624/VLOOKUP($B624,표2[#ALL],2)/HLOOKUP($A624,표1[#ALL],row(),false)</f>
        <v>#N/A</v>
      </c>
      <c r="O624" s="372" t="str">
        <f>CS_PID!O624/VLOOKUP($B624,표2[#ALL],2)/HLOOKUP($A624,표1[#ALL],row(),false)</f>
        <v>#N/A</v>
      </c>
      <c r="P624" s="372" t="str">
        <f>CS_PID!P624/VLOOKUP($B624,표2[#ALL],2)/HLOOKUP($A624,표1[#ALL],row(),false)</f>
        <v>#N/A</v>
      </c>
      <c r="Q624" s="372" t="str">
        <f>CS_PID!Q624/VLOOKUP($B624,표2[#ALL],2)/HLOOKUP($A624,표1[#ALL],row(),false)</f>
        <v>#N/A</v>
      </c>
      <c r="R624" s="372" t="str">
        <f>CS_PID!R624/VLOOKUP($B624,표2[#ALL],2)/HLOOKUP($A624,표1[#ALL],row(),false)</f>
        <v>#N/A</v>
      </c>
      <c r="S624" s="372" t="str">
        <f>CS_PID!S624/VLOOKUP($B624,표2[#ALL],2)/HLOOKUP($A624,표1[#ALL],row(),false)</f>
        <v>#N/A</v>
      </c>
      <c r="T624" s="372" t="str">
        <f>CS_PID!T624/VLOOKUP($B624,표2[#ALL],2)/HLOOKUP($A624,표1[#ALL],row(),false)</f>
        <v>#N/A</v>
      </c>
      <c r="U624" s="372" t="str">
        <f>CS_PID!U624/VLOOKUP($B624,표2[#ALL],2)/HLOOKUP($A624,표1[#ALL],row(),false)</f>
        <v>#N/A</v>
      </c>
      <c r="V624" s="372" t="str">
        <f>CS_PID!V624/VLOOKUP($B624,표2[#ALL],2)/HLOOKUP($A624,표1[#ALL],row(),false)</f>
        <v>#N/A</v>
      </c>
      <c r="W624" s="372" t="str">
        <f>CS_PID!W624/VLOOKUP($B624,표2[#ALL],2)/HLOOKUP($A624,표1[#ALL],row(),false)</f>
        <v>#N/A</v>
      </c>
      <c r="X624" s="372" t="str">
        <f>CS_PID!X624/VLOOKUP($B624,표2[#ALL],2)/HLOOKUP($A624,표1[#ALL],row(),false)</f>
        <v>#N/A</v>
      </c>
      <c r="Y624" s="372" t="str">
        <f>CS_PID!Y624/VLOOKUP($B624,표2[#ALL],2)/HLOOKUP($A624,표1[#ALL],row(),false)</f>
        <v>#N/A</v>
      </c>
      <c r="Z624" s="372" t="str">
        <f>CS_PID!Z624/VLOOKUP($B624,표2[#ALL],2)/HLOOKUP($A624,표1[#ALL],row(),false)</f>
        <v>#N/A</v>
      </c>
      <c r="AA624" s="372" t="str">
        <f>CS_PID!AA624/VLOOKUP($B624,표2[#ALL],2)/HLOOKUP($A624,표1[#ALL],row(),false)</f>
        <v>#N/A</v>
      </c>
      <c r="AB624" s="372" t="str">
        <f>CS_PID!AB624/VLOOKUP($B624,표2[#ALL],2)/HLOOKUP($A624,표1[#ALL],row(),false)</f>
        <v>#N/A</v>
      </c>
      <c r="AC624" s="372" t="str">
        <f>CS_PID!AC624/VLOOKUP($B624,표2[#ALL],2)/HLOOKUP($A624,표1[#ALL],row(),false)</f>
        <v>#N/A</v>
      </c>
      <c r="AD624" s="372" t="str">
        <f>CS_PID!AD624/VLOOKUP($B624,표2[#ALL],2)/HLOOKUP($A624,표1[#ALL],row(),false)</f>
        <v>#N/A</v>
      </c>
      <c r="AE624" s="372" t="str">
        <f>CS_PID!AE624/VLOOKUP($B624,표2[#ALL],2)/HLOOKUP($A624,표1[#ALL],row(),false)</f>
        <v>#N/A</v>
      </c>
      <c r="AF624" s="372" t="str">
        <f>CS_PID!AF624/VLOOKUP($B624,표2[#ALL],2)/HLOOKUP($A624,표1[#ALL],row(),false)</f>
        <v>#N/A</v>
      </c>
      <c r="AG624" s="372" t="str">
        <f>CS_PID!AG624/VLOOKUP($B624,표2[#ALL],2)/HLOOKUP($A624,표1[#ALL],row(),false)</f>
        <v>#N/A</v>
      </c>
      <c r="AH624" s="372" t="str">
        <f>CS_PID!AH624/VLOOKUP($B624,표2[#ALL],2)/HLOOKUP($A624,표1[#ALL],row(),false)</f>
        <v>#N/A</v>
      </c>
      <c r="AI624" s="372" t="str">
        <f>CS_PID!AI624/VLOOKUP($B624,표2[#ALL],2)/HLOOKUP($A624,표1[#ALL],row(),false)</f>
        <v>#N/A</v>
      </c>
      <c r="AJ624" s="372" t="str">
        <f>CS_PID!AJ624/VLOOKUP($B624,표2[#ALL],2)/HLOOKUP($A624,표1[#ALL],row(),false)</f>
        <v>#N/A</v>
      </c>
      <c r="AK624" s="372" t="str">
        <f>CS_PID!AK624/VLOOKUP($B624,표2[#ALL],2)/HLOOKUP($A624,표1[#ALL],row(),false)</f>
        <v>#N/A</v>
      </c>
      <c r="AL624" s="372" t="str">
        <f>CS_PID!AL624/VLOOKUP($B624,표2[#ALL],2)/HLOOKUP($A624,표1[#ALL],row(),false)</f>
        <v>#N/A</v>
      </c>
      <c r="AM624" s="372" t="str">
        <f>CS_PID!AM624/VLOOKUP($B624,표2[#ALL],2)/HLOOKUP($A624,표1[#ALL],row(),false)</f>
        <v>#N/A</v>
      </c>
      <c r="AN624" s="372" t="str">
        <f>CS_PID!AN624/VLOOKUP($B624,표2[#ALL],2)/HLOOKUP($A624,표1[#ALL],row(),false)</f>
        <v>#N/A</v>
      </c>
      <c r="AO624" s="372" t="str">
        <f>CS_PID!AO624/VLOOKUP($B624,표2[#ALL],2)/HLOOKUP($A624,표1[#ALL],row(),false)</f>
        <v>#N/A</v>
      </c>
      <c r="AP624" s="372" t="str">
        <f>CS_PID!AP624/VLOOKUP($B624,표2[#ALL],2)/HLOOKUP($A624,표1[#ALL],row(),false)</f>
        <v>#N/A</v>
      </c>
      <c r="AQ624" s="372" t="str">
        <f>CS_PID!AQ624/VLOOKUP($B624,표2[#ALL],2)/HLOOKUP($A624,표1[#ALL],row(),false)</f>
        <v>#N/A</v>
      </c>
      <c r="AR624" s="372" t="str">
        <f>CS_PID!AR624/VLOOKUP($B624,표2[#ALL],2)/HLOOKUP($A624,표1[#ALL],row(),false)</f>
        <v>#N/A</v>
      </c>
      <c r="AS624" s="373" t="str">
        <f>CS_PID!AS624/VLOOKUP($B624,표2[#ALL],2)/HLOOKUP($A624,표1[#ALL],row(),false)</f>
        <v>#N/A</v>
      </c>
    </row>
    <row r="625">
      <c r="A625" s="374"/>
      <c r="B625" s="375"/>
      <c r="C625" s="376" t="str">
        <f>CS_PID!C625/VLOOKUP($B625,표2[#ALL],2)</f>
        <v>#N/A</v>
      </c>
      <c r="D625" s="376" t="str">
        <f>CS_PID!D625/VLOOKUP($B625,표2[#ALL],2)</f>
        <v>#N/A</v>
      </c>
      <c r="E625" s="376" t="str">
        <f>CS_PID!E625/VLOOKUP($B625,표2[#ALL],2)</f>
        <v>#N/A</v>
      </c>
      <c r="F625" s="376" t="str">
        <f>CS_PID!F625/VLOOKUP($B625,표2[#ALL],2)</f>
        <v>#N/A</v>
      </c>
      <c r="G625" s="376" t="str">
        <f>CS_PID!G625/VLOOKUP($B625,표2[#ALL],2)</f>
        <v>#N/A</v>
      </c>
      <c r="H625" s="376" t="str">
        <f>CS_PID!H625/VLOOKUP($B625,표2[#ALL],2)/HLOOKUP($A625,표1[#ALL],row(),false)</f>
        <v>#N/A</v>
      </c>
      <c r="I625" s="376" t="str">
        <f>CS_PID!I625/VLOOKUP($B625,표2[#ALL],2)/HLOOKUP($A625,표1[#ALL],row(),false)</f>
        <v>#N/A</v>
      </c>
      <c r="J625" s="376" t="str">
        <f>CS_PID!J625/VLOOKUP($B625,표2[#ALL],2)/HLOOKUP($A625,표1[#ALL],row(),false)</f>
        <v>#N/A</v>
      </c>
      <c r="K625" s="376" t="str">
        <f>CS_PID!K625/VLOOKUP($B625,표2[#ALL],2)/HLOOKUP($A625,표1[#ALL],row(),false)</f>
        <v>#N/A</v>
      </c>
      <c r="L625" s="376" t="str">
        <f>CS_PID!L625/VLOOKUP($B625,표2[#ALL],2)/HLOOKUP($A625,표1[#ALL],row(),false)</f>
        <v>#N/A</v>
      </c>
      <c r="M625" s="376" t="str">
        <f>CS_PID!M625/VLOOKUP($B625,표2[#ALL],2)/HLOOKUP($A625,표1[#ALL],row(),false)</f>
        <v>#N/A</v>
      </c>
      <c r="N625" s="376" t="str">
        <f>CS_PID!N625/VLOOKUP($B625,표2[#ALL],2)/HLOOKUP($A625,표1[#ALL],row(),false)</f>
        <v>#N/A</v>
      </c>
      <c r="O625" s="376" t="str">
        <f>CS_PID!O625/VLOOKUP($B625,표2[#ALL],2)/HLOOKUP($A625,표1[#ALL],row(),false)</f>
        <v>#N/A</v>
      </c>
      <c r="P625" s="376" t="str">
        <f>CS_PID!P625/VLOOKUP($B625,표2[#ALL],2)/HLOOKUP($A625,표1[#ALL],row(),false)</f>
        <v>#N/A</v>
      </c>
      <c r="Q625" s="376" t="str">
        <f>CS_PID!Q625/VLOOKUP($B625,표2[#ALL],2)/HLOOKUP($A625,표1[#ALL],row(),false)</f>
        <v>#N/A</v>
      </c>
      <c r="R625" s="376" t="str">
        <f>CS_PID!R625/VLOOKUP($B625,표2[#ALL],2)/HLOOKUP($A625,표1[#ALL],row(),false)</f>
        <v>#N/A</v>
      </c>
      <c r="S625" s="376" t="str">
        <f>CS_PID!S625/VLOOKUP($B625,표2[#ALL],2)/HLOOKUP($A625,표1[#ALL],row(),false)</f>
        <v>#N/A</v>
      </c>
      <c r="T625" s="376" t="str">
        <f>CS_PID!T625/VLOOKUP($B625,표2[#ALL],2)/HLOOKUP($A625,표1[#ALL],row(),false)</f>
        <v>#N/A</v>
      </c>
      <c r="U625" s="376" t="str">
        <f>CS_PID!U625/VLOOKUP($B625,표2[#ALL],2)/HLOOKUP($A625,표1[#ALL],row(),false)</f>
        <v>#N/A</v>
      </c>
      <c r="V625" s="376" t="str">
        <f>CS_PID!V625/VLOOKUP($B625,표2[#ALL],2)/HLOOKUP($A625,표1[#ALL],row(),false)</f>
        <v>#N/A</v>
      </c>
      <c r="W625" s="376" t="str">
        <f>CS_PID!W625/VLOOKUP($B625,표2[#ALL],2)/HLOOKUP($A625,표1[#ALL],row(),false)</f>
        <v>#N/A</v>
      </c>
      <c r="X625" s="376" t="str">
        <f>CS_PID!X625/VLOOKUP($B625,표2[#ALL],2)/HLOOKUP($A625,표1[#ALL],row(),false)</f>
        <v>#N/A</v>
      </c>
      <c r="Y625" s="376" t="str">
        <f>CS_PID!Y625/VLOOKUP($B625,표2[#ALL],2)/HLOOKUP($A625,표1[#ALL],row(),false)</f>
        <v>#N/A</v>
      </c>
      <c r="Z625" s="376" t="str">
        <f>CS_PID!Z625/VLOOKUP($B625,표2[#ALL],2)/HLOOKUP($A625,표1[#ALL],row(),false)</f>
        <v>#N/A</v>
      </c>
      <c r="AA625" s="376" t="str">
        <f>CS_PID!AA625/VLOOKUP($B625,표2[#ALL],2)/HLOOKUP($A625,표1[#ALL],row(),false)</f>
        <v>#N/A</v>
      </c>
      <c r="AB625" s="376" t="str">
        <f>CS_PID!AB625/VLOOKUP($B625,표2[#ALL],2)/HLOOKUP($A625,표1[#ALL],row(),false)</f>
        <v>#N/A</v>
      </c>
      <c r="AC625" s="376" t="str">
        <f>CS_PID!AC625/VLOOKUP($B625,표2[#ALL],2)/HLOOKUP($A625,표1[#ALL],row(),false)</f>
        <v>#N/A</v>
      </c>
      <c r="AD625" s="376" t="str">
        <f>CS_PID!AD625/VLOOKUP($B625,표2[#ALL],2)/HLOOKUP($A625,표1[#ALL],row(),false)</f>
        <v>#N/A</v>
      </c>
      <c r="AE625" s="376" t="str">
        <f>CS_PID!AE625/VLOOKUP($B625,표2[#ALL],2)/HLOOKUP($A625,표1[#ALL],row(),false)</f>
        <v>#N/A</v>
      </c>
      <c r="AF625" s="376" t="str">
        <f>CS_PID!AF625/VLOOKUP($B625,표2[#ALL],2)/HLOOKUP($A625,표1[#ALL],row(),false)</f>
        <v>#N/A</v>
      </c>
      <c r="AG625" s="376" t="str">
        <f>CS_PID!AG625/VLOOKUP($B625,표2[#ALL],2)/HLOOKUP($A625,표1[#ALL],row(),false)</f>
        <v>#N/A</v>
      </c>
      <c r="AH625" s="376" t="str">
        <f>CS_PID!AH625/VLOOKUP($B625,표2[#ALL],2)/HLOOKUP($A625,표1[#ALL],row(),false)</f>
        <v>#N/A</v>
      </c>
      <c r="AI625" s="376" t="str">
        <f>CS_PID!AI625/VLOOKUP($B625,표2[#ALL],2)/HLOOKUP($A625,표1[#ALL],row(),false)</f>
        <v>#N/A</v>
      </c>
      <c r="AJ625" s="376" t="str">
        <f>CS_PID!AJ625/VLOOKUP($B625,표2[#ALL],2)/HLOOKUP($A625,표1[#ALL],row(),false)</f>
        <v>#N/A</v>
      </c>
      <c r="AK625" s="376" t="str">
        <f>CS_PID!AK625/VLOOKUP($B625,표2[#ALL],2)/HLOOKUP($A625,표1[#ALL],row(),false)</f>
        <v>#N/A</v>
      </c>
      <c r="AL625" s="376" t="str">
        <f>CS_PID!AL625/VLOOKUP($B625,표2[#ALL],2)/HLOOKUP($A625,표1[#ALL],row(),false)</f>
        <v>#N/A</v>
      </c>
      <c r="AM625" s="376" t="str">
        <f>CS_PID!AM625/VLOOKUP($B625,표2[#ALL],2)/HLOOKUP($A625,표1[#ALL],row(),false)</f>
        <v>#N/A</v>
      </c>
      <c r="AN625" s="376" t="str">
        <f>CS_PID!AN625/VLOOKUP($B625,표2[#ALL],2)/HLOOKUP($A625,표1[#ALL],row(),false)</f>
        <v>#N/A</v>
      </c>
      <c r="AO625" s="376" t="str">
        <f>CS_PID!AO625/VLOOKUP($B625,표2[#ALL],2)/HLOOKUP($A625,표1[#ALL],row(),false)</f>
        <v>#N/A</v>
      </c>
      <c r="AP625" s="376" t="str">
        <f>CS_PID!AP625/VLOOKUP($B625,표2[#ALL],2)/HLOOKUP($A625,표1[#ALL],row(),false)</f>
        <v>#N/A</v>
      </c>
      <c r="AQ625" s="376" t="str">
        <f>CS_PID!AQ625/VLOOKUP($B625,표2[#ALL],2)/HLOOKUP($A625,표1[#ALL],row(),false)</f>
        <v>#N/A</v>
      </c>
      <c r="AR625" s="376" t="str">
        <f>CS_PID!AR625/VLOOKUP($B625,표2[#ALL],2)/HLOOKUP($A625,표1[#ALL],row(),false)</f>
        <v>#N/A</v>
      </c>
      <c r="AS625" s="377" t="str">
        <f>CS_PID!AS625/VLOOKUP($B625,표2[#ALL],2)/HLOOKUP($A625,표1[#ALL],row(),false)</f>
        <v>#N/A</v>
      </c>
    </row>
    <row r="626">
      <c r="A626" s="370"/>
      <c r="B626" s="371"/>
      <c r="C626" s="372" t="str">
        <f>CS_PID!C626/VLOOKUP($B626,표2[#ALL],2)</f>
        <v>#N/A</v>
      </c>
      <c r="D626" s="372" t="str">
        <f>CS_PID!D626/VLOOKUP($B626,표2[#ALL],2)</f>
        <v>#N/A</v>
      </c>
      <c r="E626" s="372" t="str">
        <f>CS_PID!E626/VLOOKUP($B626,표2[#ALL],2)</f>
        <v>#N/A</v>
      </c>
      <c r="F626" s="372" t="str">
        <f>CS_PID!F626/VLOOKUP($B626,표2[#ALL],2)</f>
        <v>#N/A</v>
      </c>
      <c r="G626" s="372" t="str">
        <f>CS_PID!G626/VLOOKUP($B626,표2[#ALL],2)</f>
        <v>#N/A</v>
      </c>
      <c r="H626" s="372" t="str">
        <f>CS_PID!H626/VLOOKUP($B626,표2[#ALL],2)/HLOOKUP($A626,표1[#ALL],row(),false)</f>
        <v>#N/A</v>
      </c>
      <c r="I626" s="372" t="str">
        <f>CS_PID!I626/VLOOKUP($B626,표2[#ALL],2)/HLOOKUP($A626,표1[#ALL],row(),false)</f>
        <v>#N/A</v>
      </c>
      <c r="J626" s="372" t="str">
        <f>CS_PID!J626/VLOOKUP($B626,표2[#ALL],2)/HLOOKUP($A626,표1[#ALL],row(),false)</f>
        <v>#N/A</v>
      </c>
      <c r="K626" s="372" t="str">
        <f>CS_PID!K626/VLOOKUP($B626,표2[#ALL],2)/HLOOKUP($A626,표1[#ALL],row(),false)</f>
        <v>#N/A</v>
      </c>
      <c r="L626" s="372" t="str">
        <f>CS_PID!L626/VLOOKUP($B626,표2[#ALL],2)/HLOOKUP($A626,표1[#ALL],row(),false)</f>
        <v>#N/A</v>
      </c>
      <c r="M626" s="372" t="str">
        <f>CS_PID!M626/VLOOKUP($B626,표2[#ALL],2)/HLOOKUP($A626,표1[#ALL],row(),false)</f>
        <v>#N/A</v>
      </c>
      <c r="N626" s="372" t="str">
        <f>CS_PID!N626/VLOOKUP($B626,표2[#ALL],2)/HLOOKUP($A626,표1[#ALL],row(),false)</f>
        <v>#N/A</v>
      </c>
      <c r="O626" s="372" t="str">
        <f>CS_PID!O626/VLOOKUP($B626,표2[#ALL],2)/HLOOKUP($A626,표1[#ALL],row(),false)</f>
        <v>#N/A</v>
      </c>
      <c r="P626" s="372" t="str">
        <f>CS_PID!P626/VLOOKUP($B626,표2[#ALL],2)/HLOOKUP($A626,표1[#ALL],row(),false)</f>
        <v>#N/A</v>
      </c>
      <c r="Q626" s="372" t="str">
        <f>CS_PID!Q626/VLOOKUP($B626,표2[#ALL],2)/HLOOKUP($A626,표1[#ALL],row(),false)</f>
        <v>#N/A</v>
      </c>
      <c r="R626" s="372" t="str">
        <f>CS_PID!R626/VLOOKUP($B626,표2[#ALL],2)/HLOOKUP($A626,표1[#ALL],row(),false)</f>
        <v>#N/A</v>
      </c>
      <c r="S626" s="372" t="str">
        <f>CS_PID!S626/VLOOKUP($B626,표2[#ALL],2)/HLOOKUP($A626,표1[#ALL],row(),false)</f>
        <v>#N/A</v>
      </c>
      <c r="T626" s="372" t="str">
        <f>CS_PID!T626/VLOOKUP($B626,표2[#ALL],2)/HLOOKUP($A626,표1[#ALL],row(),false)</f>
        <v>#N/A</v>
      </c>
      <c r="U626" s="372" t="str">
        <f>CS_PID!U626/VLOOKUP($B626,표2[#ALL],2)/HLOOKUP($A626,표1[#ALL],row(),false)</f>
        <v>#N/A</v>
      </c>
      <c r="V626" s="372" t="str">
        <f>CS_PID!V626/VLOOKUP($B626,표2[#ALL],2)/HLOOKUP($A626,표1[#ALL],row(),false)</f>
        <v>#N/A</v>
      </c>
      <c r="W626" s="372" t="str">
        <f>CS_PID!W626/VLOOKUP($B626,표2[#ALL],2)/HLOOKUP($A626,표1[#ALL],row(),false)</f>
        <v>#N/A</v>
      </c>
      <c r="X626" s="372" t="str">
        <f>CS_PID!X626/VLOOKUP($B626,표2[#ALL],2)/HLOOKUP($A626,표1[#ALL],row(),false)</f>
        <v>#N/A</v>
      </c>
      <c r="Y626" s="372" t="str">
        <f>CS_PID!Y626/VLOOKUP($B626,표2[#ALL],2)/HLOOKUP($A626,표1[#ALL],row(),false)</f>
        <v>#N/A</v>
      </c>
      <c r="Z626" s="372" t="str">
        <f>CS_PID!Z626/VLOOKUP($B626,표2[#ALL],2)/HLOOKUP($A626,표1[#ALL],row(),false)</f>
        <v>#N/A</v>
      </c>
      <c r="AA626" s="372" t="str">
        <f>CS_PID!AA626/VLOOKUP($B626,표2[#ALL],2)/HLOOKUP($A626,표1[#ALL],row(),false)</f>
        <v>#N/A</v>
      </c>
      <c r="AB626" s="372" t="str">
        <f>CS_PID!AB626/VLOOKUP($B626,표2[#ALL],2)/HLOOKUP($A626,표1[#ALL],row(),false)</f>
        <v>#N/A</v>
      </c>
      <c r="AC626" s="372" t="str">
        <f>CS_PID!AC626/VLOOKUP($B626,표2[#ALL],2)/HLOOKUP($A626,표1[#ALL],row(),false)</f>
        <v>#N/A</v>
      </c>
      <c r="AD626" s="372" t="str">
        <f>CS_PID!AD626/VLOOKUP($B626,표2[#ALL],2)/HLOOKUP($A626,표1[#ALL],row(),false)</f>
        <v>#N/A</v>
      </c>
      <c r="AE626" s="372" t="str">
        <f>CS_PID!AE626/VLOOKUP($B626,표2[#ALL],2)/HLOOKUP($A626,표1[#ALL],row(),false)</f>
        <v>#N/A</v>
      </c>
      <c r="AF626" s="372" t="str">
        <f>CS_PID!AF626/VLOOKUP($B626,표2[#ALL],2)/HLOOKUP($A626,표1[#ALL],row(),false)</f>
        <v>#N/A</v>
      </c>
      <c r="AG626" s="372" t="str">
        <f>CS_PID!AG626/VLOOKUP($B626,표2[#ALL],2)/HLOOKUP($A626,표1[#ALL],row(),false)</f>
        <v>#N/A</v>
      </c>
      <c r="AH626" s="372" t="str">
        <f>CS_PID!AH626/VLOOKUP($B626,표2[#ALL],2)/HLOOKUP($A626,표1[#ALL],row(),false)</f>
        <v>#N/A</v>
      </c>
      <c r="AI626" s="372" t="str">
        <f>CS_PID!AI626/VLOOKUP($B626,표2[#ALL],2)/HLOOKUP($A626,표1[#ALL],row(),false)</f>
        <v>#N/A</v>
      </c>
      <c r="AJ626" s="372" t="str">
        <f>CS_PID!AJ626/VLOOKUP($B626,표2[#ALL],2)/HLOOKUP($A626,표1[#ALL],row(),false)</f>
        <v>#N/A</v>
      </c>
      <c r="AK626" s="372" t="str">
        <f>CS_PID!AK626/VLOOKUP($B626,표2[#ALL],2)/HLOOKUP($A626,표1[#ALL],row(),false)</f>
        <v>#N/A</v>
      </c>
      <c r="AL626" s="372" t="str">
        <f>CS_PID!AL626/VLOOKUP($B626,표2[#ALL],2)/HLOOKUP($A626,표1[#ALL],row(),false)</f>
        <v>#N/A</v>
      </c>
      <c r="AM626" s="372" t="str">
        <f>CS_PID!AM626/VLOOKUP($B626,표2[#ALL],2)/HLOOKUP($A626,표1[#ALL],row(),false)</f>
        <v>#N/A</v>
      </c>
      <c r="AN626" s="372" t="str">
        <f>CS_PID!AN626/VLOOKUP($B626,표2[#ALL],2)/HLOOKUP($A626,표1[#ALL],row(),false)</f>
        <v>#N/A</v>
      </c>
      <c r="AO626" s="372" t="str">
        <f>CS_PID!AO626/VLOOKUP($B626,표2[#ALL],2)/HLOOKUP($A626,표1[#ALL],row(),false)</f>
        <v>#N/A</v>
      </c>
      <c r="AP626" s="372" t="str">
        <f>CS_PID!AP626/VLOOKUP($B626,표2[#ALL],2)/HLOOKUP($A626,표1[#ALL],row(),false)</f>
        <v>#N/A</v>
      </c>
      <c r="AQ626" s="372" t="str">
        <f>CS_PID!AQ626/VLOOKUP($B626,표2[#ALL],2)/HLOOKUP($A626,표1[#ALL],row(),false)</f>
        <v>#N/A</v>
      </c>
      <c r="AR626" s="372" t="str">
        <f>CS_PID!AR626/VLOOKUP($B626,표2[#ALL],2)/HLOOKUP($A626,표1[#ALL],row(),false)</f>
        <v>#N/A</v>
      </c>
      <c r="AS626" s="373" t="str">
        <f>CS_PID!AS626/VLOOKUP($B626,표2[#ALL],2)/HLOOKUP($A626,표1[#ALL],row(),false)</f>
        <v>#N/A</v>
      </c>
    </row>
    <row r="627">
      <c r="A627" s="374"/>
      <c r="B627" s="375"/>
      <c r="C627" s="376" t="str">
        <f>CS_PID!C627/VLOOKUP($B627,표2[#ALL],2)</f>
        <v>#N/A</v>
      </c>
      <c r="D627" s="376" t="str">
        <f>CS_PID!D627/VLOOKUP($B627,표2[#ALL],2)</f>
        <v>#N/A</v>
      </c>
      <c r="E627" s="376" t="str">
        <f>CS_PID!E627/VLOOKUP($B627,표2[#ALL],2)</f>
        <v>#N/A</v>
      </c>
      <c r="F627" s="376" t="str">
        <f>CS_PID!F627/VLOOKUP($B627,표2[#ALL],2)</f>
        <v>#N/A</v>
      </c>
      <c r="G627" s="376" t="str">
        <f>CS_PID!G627/VLOOKUP($B627,표2[#ALL],2)</f>
        <v>#N/A</v>
      </c>
      <c r="H627" s="376" t="str">
        <f>CS_PID!H627/VLOOKUP($B627,표2[#ALL],2)/HLOOKUP($A627,표1[#ALL],row(),false)</f>
        <v>#N/A</v>
      </c>
      <c r="I627" s="376" t="str">
        <f>CS_PID!I627/VLOOKUP($B627,표2[#ALL],2)/HLOOKUP($A627,표1[#ALL],row(),false)</f>
        <v>#N/A</v>
      </c>
      <c r="J627" s="376" t="str">
        <f>CS_PID!J627/VLOOKUP($B627,표2[#ALL],2)/HLOOKUP($A627,표1[#ALL],row(),false)</f>
        <v>#N/A</v>
      </c>
      <c r="K627" s="376" t="str">
        <f>CS_PID!K627/VLOOKUP($B627,표2[#ALL],2)/HLOOKUP($A627,표1[#ALL],row(),false)</f>
        <v>#N/A</v>
      </c>
      <c r="L627" s="376" t="str">
        <f>CS_PID!L627/VLOOKUP($B627,표2[#ALL],2)/HLOOKUP($A627,표1[#ALL],row(),false)</f>
        <v>#N/A</v>
      </c>
      <c r="M627" s="376" t="str">
        <f>CS_PID!M627/VLOOKUP($B627,표2[#ALL],2)/HLOOKUP($A627,표1[#ALL],row(),false)</f>
        <v>#N/A</v>
      </c>
      <c r="N627" s="376" t="str">
        <f>CS_PID!N627/VLOOKUP($B627,표2[#ALL],2)/HLOOKUP($A627,표1[#ALL],row(),false)</f>
        <v>#N/A</v>
      </c>
      <c r="O627" s="376" t="str">
        <f>CS_PID!O627/VLOOKUP($B627,표2[#ALL],2)/HLOOKUP($A627,표1[#ALL],row(),false)</f>
        <v>#N/A</v>
      </c>
      <c r="P627" s="376" t="str">
        <f>CS_PID!P627/VLOOKUP($B627,표2[#ALL],2)/HLOOKUP($A627,표1[#ALL],row(),false)</f>
        <v>#N/A</v>
      </c>
      <c r="Q627" s="376" t="str">
        <f>CS_PID!Q627/VLOOKUP($B627,표2[#ALL],2)/HLOOKUP($A627,표1[#ALL],row(),false)</f>
        <v>#N/A</v>
      </c>
      <c r="R627" s="376" t="str">
        <f>CS_PID!R627/VLOOKUP($B627,표2[#ALL],2)/HLOOKUP($A627,표1[#ALL],row(),false)</f>
        <v>#N/A</v>
      </c>
      <c r="S627" s="376" t="str">
        <f>CS_PID!S627/VLOOKUP($B627,표2[#ALL],2)/HLOOKUP($A627,표1[#ALL],row(),false)</f>
        <v>#N/A</v>
      </c>
      <c r="T627" s="376" t="str">
        <f>CS_PID!T627/VLOOKUP($B627,표2[#ALL],2)/HLOOKUP($A627,표1[#ALL],row(),false)</f>
        <v>#N/A</v>
      </c>
      <c r="U627" s="376" t="str">
        <f>CS_PID!U627/VLOOKUP($B627,표2[#ALL],2)/HLOOKUP($A627,표1[#ALL],row(),false)</f>
        <v>#N/A</v>
      </c>
      <c r="V627" s="376" t="str">
        <f>CS_PID!V627/VLOOKUP($B627,표2[#ALL],2)/HLOOKUP($A627,표1[#ALL],row(),false)</f>
        <v>#N/A</v>
      </c>
      <c r="W627" s="376" t="str">
        <f>CS_PID!W627/VLOOKUP($B627,표2[#ALL],2)/HLOOKUP($A627,표1[#ALL],row(),false)</f>
        <v>#N/A</v>
      </c>
      <c r="X627" s="376" t="str">
        <f>CS_PID!X627/VLOOKUP($B627,표2[#ALL],2)/HLOOKUP($A627,표1[#ALL],row(),false)</f>
        <v>#N/A</v>
      </c>
      <c r="Y627" s="376" t="str">
        <f>CS_PID!Y627/VLOOKUP($B627,표2[#ALL],2)/HLOOKUP($A627,표1[#ALL],row(),false)</f>
        <v>#N/A</v>
      </c>
      <c r="Z627" s="376" t="str">
        <f>CS_PID!Z627/VLOOKUP($B627,표2[#ALL],2)/HLOOKUP($A627,표1[#ALL],row(),false)</f>
        <v>#N/A</v>
      </c>
      <c r="AA627" s="376" t="str">
        <f>CS_PID!AA627/VLOOKUP($B627,표2[#ALL],2)/HLOOKUP($A627,표1[#ALL],row(),false)</f>
        <v>#N/A</v>
      </c>
      <c r="AB627" s="376" t="str">
        <f>CS_PID!AB627/VLOOKUP($B627,표2[#ALL],2)/HLOOKUP($A627,표1[#ALL],row(),false)</f>
        <v>#N/A</v>
      </c>
      <c r="AC627" s="376" t="str">
        <f>CS_PID!AC627/VLOOKUP($B627,표2[#ALL],2)/HLOOKUP($A627,표1[#ALL],row(),false)</f>
        <v>#N/A</v>
      </c>
      <c r="AD627" s="376" t="str">
        <f>CS_PID!AD627/VLOOKUP($B627,표2[#ALL],2)/HLOOKUP($A627,표1[#ALL],row(),false)</f>
        <v>#N/A</v>
      </c>
      <c r="AE627" s="376" t="str">
        <f>CS_PID!AE627/VLOOKUP($B627,표2[#ALL],2)/HLOOKUP($A627,표1[#ALL],row(),false)</f>
        <v>#N/A</v>
      </c>
      <c r="AF627" s="376" t="str">
        <f>CS_PID!AF627/VLOOKUP($B627,표2[#ALL],2)/HLOOKUP($A627,표1[#ALL],row(),false)</f>
        <v>#N/A</v>
      </c>
      <c r="AG627" s="376" t="str">
        <f>CS_PID!AG627/VLOOKUP($B627,표2[#ALL],2)/HLOOKUP($A627,표1[#ALL],row(),false)</f>
        <v>#N/A</v>
      </c>
      <c r="AH627" s="376" t="str">
        <f>CS_PID!AH627/VLOOKUP($B627,표2[#ALL],2)/HLOOKUP($A627,표1[#ALL],row(),false)</f>
        <v>#N/A</v>
      </c>
      <c r="AI627" s="376" t="str">
        <f>CS_PID!AI627/VLOOKUP($B627,표2[#ALL],2)/HLOOKUP($A627,표1[#ALL],row(),false)</f>
        <v>#N/A</v>
      </c>
      <c r="AJ627" s="376" t="str">
        <f>CS_PID!AJ627/VLOOKUP($B627,표2[#ALL],2)/HLOOKUP($A627,표1[#ALL],row(),false)</f>
        <v>#N/A</v>
      </c>
      <c r="AK627" s="376" t="str">
        <f>CS_PID!AK627/VLOOKUP($B627,표2[#ALL],2)/HLOOKUP($A627,표1[#ALL],row(),false)</f>
        <v>#N/A</v>
      </c>
      <c r="AL627" s="376" t="str">
        <f>CS_PID!AL627/VLOOKUP($B627,표2[#ALL],2)/HLOOKUP($A627,표1[#ALL],row(),false)</f>
        <v>#N/A</v>
      </c>
      <c r="AM627" s="376" t="str">
        <f>CS_PID!AM627/VLOOKUP($B627,표2[#ALL],2)/HLOOKUP($A627,표1[#ALL],row(),false)</f>
        <v>#N/A</v>
      </c>
      <c r="AN627" s="376" t="str">
        <f>CS_PID!AN627/VLOOKUP($B627,표2[#ALL],2)/HLOOKUP($A627,표1[#ALL],row(),false)</f>
        <v>#N/A</v>
      </c>
      <c r="AO627" s="376" t="str">
        <f>CS_PID!AO627/VLOOKUP($B627,표2[#ALL],2)/HLOOKUP($A627,표1[#ALL],row(),false)</f>
        <v>#N/A</v>
      </c>
      <c r="AP627" s="376" t="str">
        <f>CS_PID!AP627/VLOOKUP($B627,표2[#ALL],2)/HLOOKUP($A627,표1[#ALL],row(),false)</f>
        <v>#N/A</v>
      </c>
      <c r="AQ627" s="376" t="str">
        <f>CS_PID!AQ627/VLOOKUP($B627,표2[#ALL],2)/HLOOKUP($A627,표1[#ALL],row(),false)</f>
        <v>#N/A</v>
      </c>
      <c r="AR627" s="376" t="str">
        <f>CS_PID!AR627/VLOOKUP($B627,표2[#ALL],2)/HLOOKUP($A627,표1[#ALL],row(),false)</f>
        <v>#N/A</v>
      </c>
      <c r="AS627" s="377" t="str">
        <f>CS_PID!AS627/VLOOKUP($B627,표2[#ALL],2)/HLOOKUP($A627,표1[#ALL],row(),false)</f>
        <v>#N/A</v>
      </c>
    </row>
    <row r="628">
      <c r="A628" s="370"/>
      <c r="B628" s="371"/>
      <c r="C628" s="372" t="str">
        <f>CS_PID!C628/VLOOKUP($B628,표2[#ALL],2)</f>
        <v>#N/A</v>
      </c>
      <c r="D628" s="372" t="str">
        <f>CS_PID!D628/VLOOKUP($B628,표2[#ALL],2)</f>
        <v>#N/A</v>
      </c>
      <c r="E628" s="372" t="str">
        <f>CS_PID!E628/VLOOKUP($B628,표2[#ALL],2)</f>
        <v>#N/A</v>
      </c>
      <c r="F628" s="372" t="str">
        <f>CS_PID!F628/VLOOKUP($B628,표2[#ALL],2)</f>
        <v>#N/A</v>
      </c>
      <c r="G628" s="372" t="str">
        <f>CS_PID!G628/VLOOKUP($B628,표2[#ALL],2)</f>
        <v>#N/A</v>
      </c>
      <c r="H628" s="372" t="str">
        <f>CS_PID!H628/VLOOKUP($B628,표2[#ALL],2)/HLOOKUP($A628,표1[#ALL],row(),false)</f>
        <v>#N/A</v>
      </c>
      <c r="I628" s="372" t="str">
        <f>CS_PID!I628/VLOOKUP($B628,표2[#ALL],2)/HLOOKUP($A628,표1[#ALL],row(),false)</f>
        <v>#N/A</v>
      </c>
      <c r="J628" s="372" t="str">
        <f>CS_PID!J628/VLOOKUP($B628,표2[#ALL],2)/HLOOKUP($A628,표1[#ALL],row(),false)</f>
        <v>#N/A</v>
      </c>
      <c r="K628" s="372" t="str">
        <f>CS_PID!K628/VLOOKUP($B628,표2[#ALL],2)/HLOOKUP($A628,표1[#ALL],row(),false)</f>
        <v>#N/A</v>
      </c>
      <c r="L628" s="372" t="str">
        <f>CS_PID!L628/VLOOKUP($B628,표2[#ALL],2)/HLOOKUP($A628,표1[#ALL],row(),false)</f>
        <v>#N/A</v>
      </c>
      <c r="M628" s="372" t="str">
        <f>CS_PID!M628/VLOOKUP($B628,표2[#ALL],2)/HLOOKUP($A628,표1[#ALL],row(),false)</f>
        <v>#N/A</v>
      </c>
      <c r="N628" s="372" t="str">
        <f>CS_PID!N628/VLOOKUP($B628,표2[#ALL],2)/HLOOKUP($A628,표1[#ALL],row(),false)</f>
        <v>#N/A</v>
      </c>
      <c r="O628" s="372" t="str">
        <f>CS_PID!O628/VLOOKUP($B628,표2[#ALL],2)/HLOOKUP($A628,표1[#ALL],row(),false)</f>
        <v>#N/A</v>
      </c>
      <c r="P628" s="372" t="str">
        <f>CS_PID!P628/VLOOKUP($B628,표2[#ALL],2)/HLOOKUP($A628,표1[#ALL],row(),false)</f>
        <v>#N/A</v>
      </c>
      <c r="Q628" s="372" t="str">
        <f>CS_PID!Q628/VLOOKUP($B628,표2[#ALL],2)/HLOOKUP($A628,표1[#ALL],row(),false)</f>
        <v>#N/A</v>
      </c>
      <c r="R628" s="372" t="str">
        <f>CS_PID!R628/VLOOKUP($B628,표2[#ALL],2)/HLOOKUP($A628,표1[#ALL],row(),false)</f>
        <v>#N/A</v>
      </c>
      <c r="S628" s="372" t="str">
        <f>CS_PID!S628/VLOOKUP($B628,표2[#ALL],2)/HLOOKUP($A628,표1[#ALL],row(),false)</f>
        <v>#N/A</v>
      </c>
      <c r="T628" s="372" t="str">
        <f>CS_PID!T628/VLOOKUP($B628,표2[#ALL],2)/HLOOKUP($A628,표1[#ALL],row(),false)</f>
        <v>#N/A</v>
      </c>
      <c r="U628" s="372" t="str">
        <f>CS_PID!U628/VLOOKUP($B628,표2[#ALL],2)/HLOOKUP($A628,표1[#ALL],row(),false)</f>
        <v>#N/A</v>
      </c>
      <c r="V628" s="372" t="str">
        <f>CS_PID!V628/VLOOKUP($B628,표2[#ALL],2)/HLOOKUP($A628,표1[#ALL],row(),false)</f>
        <v>#N/A</v>
      </c>
      <c r="W628" s="372" t="str">
        <f>CS_PID!W628/VLOOKUP($B628,표2[#ALL],2)/HLOOKUP($A628,표1[#ALL],row(),false)</f>
        <v>#N/A</v>
      </c>
      <c r="X628" s="372" t="str">
        <f>CS_PID!X628/VLOOKUP($B628,표2[#ALL],2)/HLOOKUP($A628,표1[#ALL],row(),false)</f>
        <v>#N/A</v>
      </c>
      <c r="Y628" s="372" t="str">
        <f>CS_PID!Y628/VLOOKUP($B628,표2[#ALL],2)/HLOOKUP($A628,표1[#ALL],row(),false)</f>
        <v>#N/A</v>
      </c>
      <c r="Z628" s="372" t="str">
        <f>CS_PID!Z628/VLOOKUP($B628,표2[#ALL],2)/HLOOKUP($A628,표1[#ALL],row(),false)</f>
        <v>#N/A</v>
      </c>
      <c r="AA628" s="372" t="str">
        <f>CS_PID!AA628/VLOOKUP($B628,표2[#ALL],2)/HLOOKUP($A628,표1[#ALL],row(),false)</f>
        <v>#N/A</v>
      </c>
      <c r="AB628" s="372" t="str">
        <f>CS_PID!AB628/VLOOKUP($B628,표2[#ALL],2)/HLOOKUP($A628,표1[#ALL],row(),false)</f>
        <v>#N/A</v>
      </c>
      <c r="AC628" s="372" t="str">
        <f>CS_PID!AC628/VLOOKUP($B628,표2[#ALL],2)/HLOOKUP($A628,표1[#ALL],row(),false)</f>
        <v>#N/A</v>
      </c>
      <c r="AD628" s="372" t="str">
        <f>CS_PID!AD628/VLOOKUP($B628,표2[#ALL],2)/HLOOKUP($A628,표1[#ALL],row(),false)</f>
        <v>#N/A</v>
      </c>
      <c r="AE628" s="372" t="str">
        <f>CS_PID!AE628/VLOOKUP($B628,표2[#ALL],2)/HLOOKUP($A628,표1[#ALL],row(),false)</f>
        <v>#N/A</v>
      </c>
      <c r="AF628" s="372" t="str">
        <f>CS_PID!AF628/VLOOKUP($B628,표2[#ALL],2)/HLOOKUP($A628,표1[#ALL],row(),false)</f>
        <v>#N/A</v>
      </c>
      <c r="AG628" s="372" t="str">
        <f>CS_PID!AG628/VLOOKUP($B628,표2[#ALL],2)/HLOOKUP($A628,표1[#ALL],row(),false)</f>
        <v>#N/A</v>
      </c>
      <c r="AH628" s="372" t="str">
        <f>CS_PID!AH628/VLOOKUP($B628,표2[#ALL],2)/HLOOKUP($A628,표1[#ALL],row(),false)</f>
        <v>#N/A</v>
      </c>
      <c r="AI628" s="372" t="str">
        <f>CS_PID!AI628/VLOOKUP($B628,표2[#ALL],2)/HLOOKUP($A628,표1[#ALL],row(),false)</f>
        <v>#N/A</v>
      </c>
      <c r="AJ628" s="372" t="str">
        <f>CS_PID!AJ628/VLOOKUP($B628,표2[#ALL],2)/HLOOKUP($A628,표1[#ALL],row(),false)</f>
        <v>#N/A</v>
      </c>
      <c r="AK628" s="372" t="str">
        <f>CS_PID!AK628/VLOOKUP($B628,표2[#ALL],2)/HLOOKUP($A628,표1[#ALL],row(),false)</f>
        <v>#N/A</v>
      </c>
      <c r="AL628" s="372" t="str">
        <f>CS_PID!AL628/VLOOKUP($B628,표2[#ALL],2)/HLOOKUP($A628,표1[#ALL],row(),false)</f>
        <v>#N/A</v>
      </c>
      <c r="AM628" s="372" t="str">
        <f>CS_PID!AM628/VLOOKUP($B628,표2[#ALL],2)/HLOOKUP($A628,표1[#ALL],row(),false)</f>
        <v>#N/A</v>
      </c>
      <c r="AN628" s="372" t="str">
        <f>CS_PID!AN628/VLOOKUP($B628,표2[#ALL],2)/HLOOKUP($A628,표1[#ALL],row(),false)</f>
        <v>#N/A</v>
      </c>
      <c r="AO628" s="372" t="str">
        <f>CS_PID!AO628/VLOOKUP($B628,표2[#ALL],2)/HLOOKUP($A628,표1[#ALL],row(),false)</f>
        <v>#N/A</v>
      </c>
      <c r="AP628" s="372" t="str">
        <f>CS_PID!AP628/VLOOKUP($B628,표2[#ALL],2)/HLOOKUP($A628,표1[#ALL],row(),false)</f>
        <v>#N/A</v>
      </c>
      <c r="AQ628" s="372" t="str">
        <f>CS_PID!AQ628/VLOOKUP($B628,표2[#ALL],2)/HLOOKUP($A628,표1[#ALL],row(),false)</f>
        <v>#N/A</v>
      </c>
      <c r="AR628" s="372" t="str">
        <f>CS_PID!AR628/VLOOKUP($B628,표2[#ALL],2)/HLOOKUP($A628,표1[#ALL],row(),false)</f>
        <v>#N/A</v>
      </c>
      <c r="AS628" s="373" t="str">
        <f>CS_PID!AS628/VLOOKUP($B628,표2[#ALL],2)/HLOOKUP($A628,표1[#ALL],row(),false)</f>
        <v>#N/A</v>
      </c>
    </row>
    <row r="629">
      <c r="A629" s="374"/>
      <c r="B629" s="375"/>
      <c r="C629" s="376" t="str">
        <f>CS_PID!C629/VLOOKUP($B629,표2[#ALL],2)</f>
        <v>#N/A</v>
      </c>
      <c r="D629" s="376" t="str">
        <f>CS_PID!D629/VLOOKUP($B629,표2[#ALL],2)</f>
        <v>#N/A</v>
      </c>
      <c r="E629" s="376" t="str">
        <f>CS_PID!E629/VLOOKUP($B629,표2[#ALL],2)</f>
        <v>#N/A</v>
      </c>
      <c r="F629" s="376" t="str">
        <f>CS_PID!F629/VLOOKUP($B629,표2[#ALL],2)</f>
        <v>#N/A</v>
      </c>
      <c r="G629" s="376" t="str">
        <f>CS_PID!G629/VLOOKUP($B629,표2[#ALL],2)</f>
        <v>#N/A</v>
      </c>
      <c r="H629" s="376" t="str">
        <f>CS_PID!H629/VLOOKUP($B629,표2[#ALL],2)/HLOOKUP($A629,표1[#ALL],row(),false)</f>
        <v>#N/A</v>
      </c>
      <c r="I629" s="376" t="str">
        <f>CS_PID!I629/VLOOKUP($B629,표2[#ALL],2)/HLOOKUP($A629,표1[#ALL],row(),false)</f>
        <v>#N/A</v>
      </c>
      <c r="J629" s="376" t="str">
        <f>CS_PID!J629/VLOOKUP($B629,표2[#ALL],2)/HLOOKUP($A629,표1[#ALL],row(),false)</f>
        <v>#N/A</v>
      </c>
      <c r="K629" s="376" t="str">
        <f>CS_PID!K629/VLOOKUP($B629,표2[#ALL],2)/HLOOKUP($A629,표1[#ALL],row(),false)</f>
        <v>#N/A</v>
      </c>
      <c r="L629" s="376" t="str">
        <f>CS_PID!L629/VLOOKUP($B629,표2[#ALL],2)/HLOOKUP($A629,표1[#ALL],row(),false)</f>
        <v>#N/A</v>
      </c>
      <c r="M629" s="376" t="str">
        <f>CS_PID!M629/VLOOKUP($B629,표2[#ALL],2)/HLOOKUP($A629,표1[#ALL],row(),false)</f>
        <v>#N/A</v>
      </c>
      <c r="N629" s="376" t="str">
        <f>CS_PID!N629/VLOOKUP($B629,표2[#ALL],2)/HLOOKUP($A629,표1[#ALL],row(),false)</f>
        <v>#N/A</v>
      </c>
      <c r="O629" s="376" t="str">
        <f>CS_PID!O629/VLOOKUP($B629,표2[#ALL],2)/HLOOKUP($A629,표1[#ALL],row(),false)</f>
        <v>#N/A</v>
      </c>
      <c r="P629" s="376" t="str">
        <f>CS_PID!P629/VLOOKUP($B629,표2[#ALL],2)/HLOOKUP($A629,표1[#ALL],row(),false)</f>
        <v>#N/A</v>
      </c>
      <c r="Q629" s="376" t="str">
        <f>CS_PID!Q629/VLOOKUP($B629,표2[#ALL],2)/HLOOKUP($A629,표1[#ALL],row(),false)</f>
        <v>#N/A</v>
      </c>
      <c r="R629" s="376" t="str">
        <f>CS_PID!R629/VLOOKUP($B629,표2[#ALL],2)/HLOOKUP($A629,표1[#ALL],row(),false)</f>
        <v>#N/A</v>
      </c>
      <c r="S629" s="376" t="str">
        <f>CS_PID!S629/VLOOKUP($B629,표2[#ALL],2)/HLOOKUP($A629,표1[#ALL],row(),false)</f>
        <v>#N/A</v>
      </c>
      <c r="T629" s="376" t="str">
        <f>CS_PID!T629/VLOOKUP($B629,표2[#ALL],2)/HLOOKUP($A629,표1[#ALL],row(),false)</f>
        <v>#N/A</v>
      </c>
      <c r="U629" s="376" t="str">
        <f>CS_PID!U629/VLOOKUP($B629,표2[#ALL],2)/HLOOKUP($A629,표1[#ALL],row(),false)</f>
        <v>#N/A</v>
      </c>
      <c r="V629" s="376" t="str">
        <f>CS_PID!V629/VLOOKUP($B629,표2[#ALL],2)/HLOOKUP($A629,표1[#ALL],row(),false)</f>
        <v>#N/A</v>
      </c>
      <c r="W629" s="376" t="str">
        <f>CS_PID!W629/VLOOKUP($B629,표2[#ALL],2)/HLOOKUP($A629,표1[#ALL],row(),false)</f>
        <v>#N/A</v>
      </c>
      <c r="X629" s="376" t="str">
        <f>CS_PID!X629/VLOOKUP($B629,표2[#ALL],2)/HLOOKUP($A629,표1[#ALL],row(),false)</f>
        <v>#N/A</v>
      </c>
      <c r="Y629" s="376" t="str">
        <f>CS_PID!Y629/VLOOKUP($B629,표2[#ALL],2)/HLOOKUP($A629,표1[#ALL],row(),false)</f>
        <v>#N/A</v>
      </c>
      <c r="Z629" s="376" t="str">
        <f>CS_PID!Z629/VLOOKUP($B629,표2[#ALL],2)/HLOOKUP($A629,표1[#ALL],row(),false)</f>
        <v>#N/A</v>
      </c>
      <c r="AA629" s="376" t="str">
        <f>CS_PID!AA629/VLOOKUP($B629,표2[#ALL],2)/HLOOKUP($A629,표1[#ALL],row(),false)</f>
        <v>#N/A</v>
      </c>
      <c r="AB629" s="376" t="str">
        <f>CS_PID!AB629/VLOOKUP($B629,표2[#ALL],2)/HLOOKUP($A629,표1[#ALL],row(),false)</f>
        <v>#N/A</v>
      </c>
      <c r="AC629" s="376" t="str">
        <f>CS_PID!AC629/VLOOKUP($B629,표2[#ALL],2)/HLOOKUP($A629,표1[#ALL],row(),false)</f>
        <v>#N/A</v>
      </c>
      <c r="AD629" s="376" t="str">
        <f>CS_PID!AD629/VLOOKUP($B629,표2[#ALL],2)/HLOOKUP($A629,표1[#ALL],row(),false)</f>
        <v>#N/A</v>
      </c>
      <c r="AE629" s="376" t="str">
        <f>CS_PID!AE629/VLOOKUP($B629,표2[#ALL],2)/HLOOKUP($A629,표1[#ALL],row(),false)</f>
        <v>#N/A</v>
      </c>
      <c r="AF629" s="376" t="str">
        <f>CS_PID!AF629/VLOOKUP($B629,표2[#ALL],2)/HLOOKUP($A629,표1[#ALL],row(),false)</f>
        <v>#N/A</v>
      </c>
      <c r="AG629" s="376" t="str">
        <f>CS_PID!AG629/VLOOKUP($B629,표2[#ALL],2)/HLOOKUP($A629,표1[#ALL],row(),false)</f>
        <v>#N/A</v>
      </c>
      <c r="AH629" s="376" t="str">
        <f>CS_PID!AH629/VLOOKUP($B629,표2[#ALL],2)/HLOOKUP($A629,표1[#ALL],row(),false)</f>
        <v>#N/A</v>
      </c>
      <c r="AI629" s="376" t="str">
        <f>CS_PID!AI629/VLOOKUP($B629,표2[#ALL],2)/HLOOKUP($A629,표1[#ALL],row(),false)</f>
        <v>#N/A</v>
      </c>
      <c r="AJ629" s="376" t="str">
        <f>CS_PID!AJ629/VLOOKUP($B629,표2[#ALL],2)/HLOOKUP($A629,표1[#ALL],row(),false)</f>
        <v>#N/A</v>
      </c>
      <c r="AK629" s="376" t="str">
        <f>CS_PID!AK629/VLOOKUP($B629,표2[#ALL],2)/HLOOKUP($A629,표1[#ALL],row(),false)</f>
        <v>#N/A</v>
      </c>
      <c r="AL629" s="376" t="str">
        <f>CS_PID!AL629/VLOOKUP($B629,표2[#ALL],2)/HLOOKUP($A629,표1[#ALL],row(),false)</f>
        <v>#N/A</v>
      </c>
      <c r="AM629" s="376" t="str">
        <f>CS_PID!AM629/VLOOKUP($B629,표2[#ALL],2)/HLOOKUP($A629,표1[#ALL],row(),false)</f>
        <v>#N/A</v>
      </c>
      <c r="AN629" s="376" t="str">
        <f>CS_PID!AN629/VLOOKUP($B629,표2[#ALL],2)/HLOOKUP($A629,표1[#ALL],row(),false)</f>
        <v>#N/A</v>
      </c>
      <c r="AO629" s="376" t="str">
        <f>CS_PID!AO629/VLOOKUP($B629,표2[#ALL],2)/HLOOKUP($A629,표1[#ALL],row(),false)</f>
        <v>#N/A</v>
      </c>
      <c r="AP629" s="376" t="str">
        <f>CS_PID!AP629/VLOOKUP($B629,표2[#ALL],2)/HLOOKUP($A629,표1[#ALL],row(),false)</f>
        <v>#N/A</v>
      </c>
      <c r="AQ629" s="376" t="str">
        <f>CS_PID!AQ629/VLOOKUP($B629,표2[#ALL],2)/HLOOKUP($A629,표1[#ALL],row(),false)</f>
        <v>#N/A</v>
      </c>
      <c r="AR629" s="376" t="str">
        <f>CS_PID!AR629/VLOOKUP($B629,표2[#ALL],2)/HLOOKUP($A629,표1[#ALL],row(),false)</f>
        <v>#N/A</v>
      </c>
      <c r="AS629" s="377" t="str">
        <f>CS_PID!AS629/VLOOKUP($B629,표2[#ALL],2)/HLOOKUP($A629,표1[#ALL],row(),false)</f>
        <v>#N/A</v>
      </c>
    </row>
    <row r="630">
      <c r="A630" s="370"/>
      <c r="B630" s="371"/>
      <c r="C630" s="372" t="str">
        <f>CS_PID!C630/VLOOKUP($B630,표2[#ALL],2)</f>
        <v>#N/A</v>
      </c>
      <c r="D630" s="372" t="str">
        <f>CS_PID!D630/VLOOKUP($B630,표2[#ALL],2)</f>
        <v>#N/A</v>
      </c>
      <c r="E630" s="372" t="str">
        <f>CS_PID!E630/VLOOKUP($B630,표2[#ALL],2)</f>
        <v>#N/A</v>
      </c>
      <c r="F630" s="372" t="str">
        <f>CS_PID!F630/VLOOKUP($B630,표2[#ALL],2)</f>
        <v>#N/A</v>
      </c>
      <c r="G630" s="372" t="str">
        <f>CS_PID!G630/VLOOKUP($B630,표2[#ALL],2)</f>
        <v>#N/A</v>
      </c>
      <c r="H630" s="372" t="str">
        <f>CS_PID!H630/VLOOKUP($B630,표2[#ALL],2)/HLOOKUP($A630,표1[#ALL],row(),false)</f>
        <v>#N/A</v>
      </c>
      <c r="I630" s="372" t="str">
        <f>CS_PID!I630/VLOOKUP($B630,표2[#ALL],2)/HLOOKUP($A630,표1[#ALL],row(),false)</f>
        <v>#N/A</v>
      </c>
      <c r="J630" s="372" t="str">
        <f>CS_PID!J630/VLOOKUP($B630,표2[#ALL],2)/HLOOKUP($A630,표1[#ALL],row(),false)</f>
        <v>#N/A</v>
      </c>
      <c r="K630" s="372" t="str">
        <f>CS_PID!K630/VLOOKUP($B630,표2[#ALL],2)/HLOOKUP($A630,표1[#ALL],row(),false)</f>
        <v>#N/A</v>
      </c>
      <c r="L630" s="372" t="str">
        <f>CS_PID!L630/VLOOKUP($B630,표2[#ALL],2)/HLOOKUP($A630,표1[#ALL],row(),false)</f>
        <v>#N/A</v>
      </c>
      <c r="M630" s="372" t="str">
        <f>CS_PID!M630/VLOOKUP($B630,표2[#ALL],2)/HLOOKUP($A630,표1[#ALL],row(),false)</f>
        <v>#N/A</v>
      </c>
      <c r="N630" s="372" t="str">
        <f>CS_PID!N630/VLOOKUP($B630,표2[#ALL],2)/HLOOKUP($A630,표1[#ALL],row(),false)</f>
        <v>#N/A</v>
      </c>
      <c r="O630" s="372" t="str">
        <f>CS_PID!O630/VLOOKUP($B630,표2[#ALL],2)/HLOOKUP($A630,표1[#ALL],row(),false)</f>
        <v>#N/A</v>
      </c>
      <c r="P630" s="372" t="str">
        <f>CS_PID!P630/VLOOKUP($B630,표2[#ALL],2)/HLOOKUP($A630,표1[#ALL],row(),false)</f>
        <v>#N/A</v>
      </c>
      <c r="Q630" s="372" t="str">
        <f>CS_PID!Q630/VLOOKUP($B630,표2[#ALL],2)/HLOOKUP($A630,표1[#ALL],row(),false)</f>
        <v>#N/A</v>
      </c>
      <c r="R630" s="372" t="str">
        <f>CS_PID!R630/VLOOKUP($B630,표2[#ALL],2)/HLOOKUP($A630,표1[#ALL],row(),false)</f>
        <v>#N/A</v>
      </c>
      <c r="S630" s="372" t="str">
        <f>CS_PID!S630/VLOOKUP($B630,표2[#ALL],2)/HLOOKUP($A630,표1[#ALL],row(),false)</f>
        <v>#N/A</v>
      </c>
      <c r="T630" s="372" t="str">
        <f>CS_PID!T630/VLOOKUP($B630,표2[#ALL],2)/HLOOKUP($A630,표1[#ALL],row(),false)</f>
        <v>#N/A</v>
      </c>
      <c r="U630" s="372" t="str">
        <f>CS_PID!U630/VLOOKUP($B630,표2[#ALL],2)/HLOOKUP($A630,표1[#ALL],row(),false)</f>
        <v>#N/A</v>
      </c>
      <c r="V630" s="372" t="str">
        <f>CS_PID!V630/VLOOKUP($B630,표2[#ALL],2)/HLOOKUP($A630,표1[#ALL],row(),false)</f>
        <v>#N/A</v>
      </c>
      <c r="W630" s="372" t="str">
        <f>CS_PID!W630/VLOOKUP($B630,표2[#ALL],2)/HLOOKUP($A630,표1[#ALL],row(),false)</f>
        <v>#N/A</v>
      </c>
      <c r="X630" s="372" t="str">
        <f>CS_PID!X630/VLOOKUP($B630,표2[#ALL],2)/HLOOKUP($A630,표1[#ALL],row(),false)</f>
        <v>#N/A</v>
      </c>
      <c r="Y630" s="372" t="str">
        <f>CS_PID!Y630/VLOOKUP($B630,표2[#ALL],2)/HLOOKUP($A630,표1[#ALL],row(),false)</f>
        <v>#N/A</v>
      </c>
      <c r="Z630" s="372" t="str">
        <f>CS_PID!Z630/VLOOKUP($B630,표2[#ALL],2)/HLOOKUP($A630,표1[#ALL],row(),false)</f>
        <v>#N/A</v>
      </c>
      <c r="AA630" s="372" t="str">
        <f>CS_PID!AA630/VLOOKUP($B630,표2[#ALL],2)/HLOOKUP($A630,표1[#ALL],row(),false)</f>
        <v>#N/A</v>
      </c>
      <c r="AB630" s="372" t="str">
        <f>CS_PID!AB630/VLOOKUP($B630,표2[#ALL],2)/HLOOKUP($A630,표1[#ALL],row(),false)</f>
        <v>#N/A</v>
      </c>
      <c r="AC630" s="372" t="str">
        <f>CS_PID!AC630/VLOOKUP($B630,표2[#ALL],2)/HLOOKUP($A630,표1[#ALL],row(),false)</f>
        <v>#N/A</v>
      </c>
      <c r="AD630" s="372" t="str">
        <f>CS_PID!AD630/VLOOKUP($B630,표2[#ALL],2)/HLOOKUP($A630,표1[#ALL],row(),false)</f>
        <v>#N/A</v>
      </c>
      <c r="AE630" s="372" t="str">
        <f>CS_PID!AE630/VLOOKUP($B630,표2[#ALL],2)/HLOOKUP($A630,표1[#ALL],row(),false)</f>
        <v>#N/A</v>
      </c>
      <c r="AF630" s="372" t="str">
        <f>CS_PID!AF630/VLOOKUP($B630,표2[#ALL],2)/HLOOKUP($A630,표1[#ALL],row(),false)</f>
        <v>#N/A</v>
      </c>
      <c r="AG630" s="372" t="str">
        <f>CS_PID!AG630/VLOOKUP($B630,표2[#ALL],2)/HLOOKUP($A630,표1[#ALL],row(),false)</f>
        <v>#N/A</v>
      </c>
      <c r="AH630" s="372" t="str">
        <f>CS_PID!AH630/VLOOKUP($B630,표2[#ALL],2)/HLOOKUP($A630,표1[#ALL],row(),false)</f>
        <v>#N/A</v>
      </c>
      <c r="AI630" s="372" t="str">
        <f>CS_PID!AI630/VLOOKUP($B630,표2[#ALL],2)/HLOOKUP($A630,표1[#ALL],row(),false)</f>
        <v>#N/A</v>
      </c>
      <c r="AJ630" s="372" t="str">
        <f>CS_PID!AJ630/VLOOKUP($B630,표2[#ALL],2)/HLOOKUP($A630,표1[#ALL],row(),false)</f>
        <v>#N/A</v>
      </c>
      <c r="AK630" s="372" t="str">
        <f>CS_PID!AK630/VLOOKUP($B630,표2[#ALL],2)/HLOOKUP($A630,표1[#ALL],row(),false)</f>
        <v>#N/A</v>
      </c>
      <c r="AL630" s="372" t="str">
        <f>CS_PID!AL630/VLOOKUP($B630,표2[#ALL],2)/HLOOKUP($A630,표1[#ALL],row(),false)</f>
        <v>#N/A</v>
      </c>
      <c r="AM630" s="372" t="str">
        <f>CS_PID!AM630/VLOOKUP($B630,표2[#ALL],2)/HLOOKUP($A630,표1[#ALL],row(),false)</f>
        <v>#N/A</v>
      </c>
      <c r="AN630" s="372" t="str">
        <f>CS_PID!AN630/VLOOKUP($B630,표2[#ALL],2)/HLOOKUP($A630,표1[#ALL],row(),false)</f>
        <v>#N/A</v>
      </c>
      <c r="AO630" s="372" t="str">
        <f>CS_PID!AO630/VLOOKUP($B630,표2[#ALL],2)/HLOOKUP($A630,표1[#ALL],row(),false)</f>
        <v>#N/A</v>
      </c>
      <c r="AP630" s="372" t="str">
        <f>CS_PID!AP630/VLOOKUP($B630,표2[#ALL],2)/HLOOKUP($A630,표1[#ALL],row(),false)</f>
        <v>#N/A</v>
      </c>
      <c r="AQ630" s="372" t="str">
        <f>CS_PID!AQ630/VLOOKUP($B630,표2[#ALL],2)/HLOOKUP($A630,표1[#ALL],row(),false)</f>
        <v>#N/A</v>
      </c>
      <c r="AR630" s="372" t="str">
        <f>CS_PID!AR630/VLOOKUP($B630,표2[#ALL],2)/HLOOKUP($A630,표1[#ALL],row(),false)</f>
        <v>#N/A</v>
      </c>
      <c r="AS630" s="373" t="str">
        <f>CS_PID!AS630/VLOOKUP($B630,표2[#ALL],2)/HLOOKUP($A630,표1[#ALL],row(),false)</f>
        <v>#N/A</v>
      </c>
    </row>
    <row r="631">
      <c r="A631" s="374"/>
      <c r="B631" s="375"/>
      <c r="C631" s="376" t="str">
        <f>CS_PID!C631/VLOOKUP($B631,표2[#ALL],2)</f>
        <v>#N/A</v>
      </c>
      <c r="D631" s="376" t="str">
        <f>CS_PID!D631/VLOOKUP($B631,표2[#ALL],2)</f>
        <v>#N/A</v>
      </c>
      <c r="E631" s="376" t="str">
        <f>CS_PID!E631/VLOOKUP($B631,표2[#ALL],2)</f>
        <v>#N/A</v>
      </c>
      <c r="F631" s="376" t="str">
        <f>CS_PID!F631/VLOOKUP($B631,표2[#ALL],2)</f>
        <v>#N/A</v>
      </c>
      <c r="G631" s="376" t="str">
        <f>CS_PID!G631/VLOOKUP($B631,표2[#ALL],2)</f>
        <v>#N/A</v>
      </c>
      <c r="H631" s="376" t="str">
        <f>CS_PID!H631/VLOOKUP($B631,표2[#ALL],2)/HLOOKUP($A631,표1[#ALL],row(),false)</f>
        <v>#N/A</v>
      </c>
      <c r="I631" s="376" t="str">
        <f>CS_PID!I631/VLOOKUP($B631,표2[#ALL],2)/HLOOKUP($A631,표1[#ALL],row(),false)</f>
        <v>#N/A</v>
      </c>
      <c r="J631" s="376" t="str">
        <f>CS_PID!J631/VLOOKUP($B631,표2[#ALL],2)/HLOOKUP($A631,표1[#ALL],row(),false)</f>
        <v>#N/A</v>
      </c>
      <c r="K631" s="376" t="str">
        <f>CS_PID!K631/VLOOKUP($B631,표2[#ALL],2)/HLOOKUP($A631,표1[#ALL],row(),false)</f>
        <v>#N/A</v>
      </c>
      <c r="L631" s="376" t="str">
        <f>CS_PID!L631/VLOOKUP($B631,표2[#ALL],2)/HLOOKUP($A631,표1[#ALL],row(),false)</f>
        <v>#N/A</v>
      </c>
      <c r="M631" s="376" t="str">
        <f>CS_PID!M631/VLOOKUP($B631,표2[#ALL],2)/HLOOKUP($A631,표1[#ALL],row(),false)</f>
        <v>#N/A</v>
      </c>
      <c r="N631" s="376" t="str">
        <f>CS_PID!N631/VLOOKUP($B631,표2[#ALL],2)/HLOOKUP($A631,표1[#ALL],row(),false)</f>
        <v>#N/A</v>
      </c>
      <c r="O631" s="376" t="str">
        <f>CS_PID!O631/VLOOKUP($B631,표2[#ALL],2)/HLOOKUP($A631,표1[#ALL],row(),false)</f>
        <v>#N/A</v>
      </c>
      <c r="P631" s="376" t="str">
        <f>CS_PID!P631/VLOOKUP($B631,표2[#ALL],2)/HLOOKUP($A631,표1[#ALL],row(),false)</f>
        <v>#N/A</v>
      </c>
      <c r="Q631" s="376" t="str">
        <f>CS_PID!Q631/VLOOKUP($B631,표2[#ALL],2)/HLOOKUP($A631,표1[#ALL],row(),false)</f>
        <v>#N/A</v>
      </c>
      <c r="R631" s="376" t="str">
        <f>CS_PID!R631/VLOOKUP($B631,표2[#ALL],2)/HLOOKUP($A631,표1[#ALL],row(),false)</f>
        <v>#N/A</v>
      </c>
      <c r="S631" s="376" t="str">
        <f>CS_PID!S631/VLOOKUP($B631,표2[#ALL],2)/HLOOKUP($A631,표1[#ALL],row(),false)</f>
        <v>#N/A</v>
      </c>
      <c r="T631" s="376" t="str">
        <f>CS_PID!T631/VLOOKUP($B631,표2[#ALL],2)/HLOOKUP($A631,표1[#ALL],row(),false)</f>
        <v>#N/A</v>
      </c>
      <c r="U631" s="376" t="str">
        <f>CS_PID!U631/VLOOKUP($B631,표2[#ALL],2)/HLOOKUP($A631,표1[#ALL],row(),false)</f>
        <v>#N/A</v>
      </c>
      <c r="V631" s="376" t="str">
        <f>CS_PID!V631/VLOOKUP($B631,표2[#ALL],2)/HLOOKUP($A631,표1[#ALL],row(),false)</f>
        <v>#N/A</v>
      </c>
      <c r="W631" s="376" t="str">
        <f>CS_PID!W631/VLOOKUP($B631,표2[#ALL],2)/HLOOKUP($A631,표1[#ALL],row(),false)</f>
        <v>#N/A</v>
      </c>
      <c r="X631" s="376" t="str">
        <f>CS_PID!X631/VLOOKUP($B631,표2[#ALL],2)/HLOOKUP($A631,표1[#ALL],row(),false)</f>
        <v>#N/A</v>
      </c>
      <c r="Y631" s="376" t="str">
        <f>CS_PID!Y631/VLOOKUP($B631,표2[#ALL],2)/HLOOKUP($A631,표1[#ALL],row(),false)</f>
        <v>#N/A</v>
      </c>
      <c r="Z631" s="376" t="str">
        <f>CS_PID!Z631/VLOOKUP($B631,표2[#ALL],2)/HLOOKUP($A631,표1[#ALL],row(),false)</f>
        <v>#N/A</v>
      </c>
      <c r="AA631" s="376" t="str">
        <f>CS_PID!AA631/VLOOKUP($B631,표2[#ALL],2)/HLOOKUP($A631,표1[#ALL],row(),false)</f>
        <v>#N/A</v>
      </c>
      <c r="AB631" s="376" t="str">
        <f>CS_PID!AB631/VLOOKUP($B631,표2[#ALL],2)/HLOOKUP($A631,표1[#ALL],row(),false)</f>
        <v>#N/A</v>
      </c>
      <c r="AC631" s="376" t="str">
        <f>CS_PID!AC631/VLOOKUP($B631,표2[#ALL],2)/HLOOKUP($A631,표1[#ALL],row(),false)</f>
        <v>#N/A</v>
      </c>
      <c r="AD631" s="376" t="str">
        <f>CS_PID!AD631/VLOOKUP($B631,표2[#ALL],2)/HLOOKUP($A631,표1[#ALL],row(),false)</f>
        <v>#N/A</v>
      </c>
      <c r="AE631" s="376" t="str">
        <f>CS_PID!AE631/VLOOKUP($B631,표2[#ALL],2)/HLOOKUP($A631,표1[#ALL],row(),false)</f>
        <v>#N/A</v>
      </c>
      <c r="AF631" s="376" t="str">
        <f>CS_PID!AF631/VLOOKUP($B631,표2[#ALL],2)/HLOOKUP($A631,표1[#ALL],row(),false)</f>
        <v>#N/A</v>
      </c>
      <c r="AG631" s="376" t="str">
        <f>CS_PID!AG631/VLOOKUP($B631,표2[#ALL],2)/HLOOKUP($A631,표1[#ALL],row(),false)</f>
        <v>#N/A</v>
      </c>
      <c r="AH631" s="376" t="str">
        <f>CS_PID!AH631/VLOOKUP($B631,표2[#ALL],2)/HLOOKUP($A631,표1[#ALL],row(),false)</f>
        <v>#N/A</v>
      </c>
      <c r="AI631" s="376" t="str">
        <f>CS_PID!AI631/VLOOKUP($B631,표2[#ALL],2)/HLOOKUP($A631,표1[#ALL],row(),false)</f>
        <v>#N/A</v>
      </c>
      <c r="AJ631" s="376" t="str">
        <f>CS_PID!AJ631/VLOOKUP($B631,표2[#ALL],2)/HLOOKUP($A631,표1[#ALL],row(),false)</f>
        <v>#N/A</v>
      </c>
      <c r="AK631" s="376" t="str">
        <f>CS_PID!AK631/VLOOKUP($B631,표2[#ALL],2)/HLOOKUP($A631,표1[#ALL],row(),false)</f>
        <v>#N/A</v>
      </c>
      <c r="AL631" s="376" t="str">
        <f>CS_PID!AL631/VLOOKUP($B631,표2[#ALL],2)/HLOOKUP($A631,표1[#ALL],row(),false)</f>
        <v>#N/A</v>
      </c>
      <c r="AM631" s="376" t="str">
        <f>CS_PID!AM631/VLOOKUP($B631,표2[#ALL],2)/HLOOKUP($A631,표1[#ALL],row(),false)</f>
        <v>#N/A</v>
      </c>
      <c r="AN631" s="376" t="str">
        <f>CS_PID!AN631/VLOOKUP($B631,표2[#ALL],2)/HLOOKUP($A631,표1[#ALL],row(),false)</f>
        <v>#N/A</v>
      </c>
      <c r="AO631" s="376" t="str">
        <f>CS_PID!AO631/VLOOKUP($B631,표2[#ALL],2)/HLOOKUP($A631,표1[#ALL],row(),false)</f>
        <v>#N/A</v>
      </c>
      <c r="AP631" s="376" t="str">
        <f>CS_PID!AP631/VLOOKUP($B631,표2[#ALL],2)/HLOOKUP($A631,표1[#ALL],row(),false)</f>
        <v>#N/A</v>
      </c>
      <c r="AQ631" s="376" t="str">
        <f>CS_PID!AQ631/VLOOKUP($B631,표2[#ALL],2)/HLOOKUP($A631,표1[#ALL],row(),false)</f>
        <v>#N/A</v>
      </c>
      <c r="AR631" s="376" t="str">
        <f>CS_PID!AR631/VLOOKUP($B631,표2[#ALL],2)/HLOOKUP($A631,표1[#ALL],row(),false)</f>
        <v>#N/A</v>
      </c>
      <c r="AS631" s="377" t="str">
        <f>CS_PID!AS631/VLOOKUP($B631,표2[#ALL],2)/HLOOKUP($A631,표1[#ALL],row(),false)</f>
        <v>#N/A</v>
      </c>
    </row>
    <row r="632">
      <c r="A632" s="370"/>
      <c r="B632" s="371"/>
      <c r="C632" s="372" t="str">
        <f>CS_PID!C632/VLOOKUP($B632,표2[#ALL],2)</f>
        <v>#N/A</v>
      </c>
      <c r="D632" s="372" t="str">
        <f>CS_PID!D632/VLOOKUP($B632,표2[#ALL],2)</f>
        <v>#N/A</v>
      </c>
      <c r="E632" s="372" t="str">
        <f>CS_PID!E632/VLOOKUP($B632,표2[#ALL],2)</f>
        <v>#N/A</v>
      </c>
      <c r="F632" s="372" t="str">
        <f>CS_PID!F632/VLOOKUP($B632,표2[#ALL],2)</f>
        <v>#N/A</v>
      </c>
      <c r="G632" s="372" t="str">
        <f>CS_PID!G632/VLOOKUP($B632,표2[#ALL],2)</f>
        <v>#N/A</v>
      </c>
      <c r="H632" s="372" t="str">
        <f>CS_PID!H632/VLOOKUP($B632,표2[#ALL],2)/HLOOKUP($A632,표1[#ALL],row(),false)</f>
        <v>#N/A</v>
      </c>
      <c r="I632" s="372" t="str">
        <f>CS_PID!I632/VLOOKUP($B632,표2[#ALL],2)/HLOOKUP($A632,표1[#ALL],row(),false)</f>
        <v>#N/A</v>
      </c>
      <c r="J632" s="372" t="str">
        <f>CS_PID!J632/VLOOKUP($B632,표2[#ALL],2)/HLOOKUP($A632,표1[#ALL],row(),false)</f>
        <v>#N/A</v>
      </c>
      <c r="K632" s="372" t="str">
        <f>CS_PID!K632/VLOOKUP($B632,표2[#ALL],2)/HLOOKUP($A632,표1[#ALL],row(),false)</f>
        <v>#N/A</v>
      </c>
      <c r="L632" s="372" t="str">
        <f>CS_PID!L632/VLOOKUP($B632,표2[#ALL],2)/HLOOKUP($A632,표1[#ALL],row(),false)</f>
        <v>#N/A</v>
      </c>
      <c r="M632" s="372" t="str">
        <f>CS_PID!M632/VLOOKUP($B632,표2[#ALL],2)/HLOOKUP($A632,표1[#ALL],row(),false)</f>
        <v>#N/A</v>
      </c>
      <c r="N632" s="372" t="str">
        <f>CS_PID!N632/VLOOKUP($B632,표2[#ALL],2)/HLOOKUP($A632,표1[#ALL],row(),false)</f>
        <v>#N/A</v>
      </c>
      <c r="O632" s="372" t="str">
        <f>CS_PID!O632/VLOOKUP($B632,표2[#ALL],2)/HLOOKUP($A632,표1[#ALL],row(),false)</f>
        <v>#N/A</v>
      </c>
      <c r="P632" s="372" t="str">
        <f>CS_PID!P632/VLOOKUP($B632,표2[#ALL],2)/HLOOKUP($A632,표1[#ALL],row(),false)</f>
        <v>#N/A</v>
      </c>
      <c r="Q632" s="372" t="str">
        <f>CS_PID!Q632/VLOOKUP($B632,표2[#ALL],2)/HLOOKUP($A632,표1[#ALL],row(),false)</f>
        <v>#N/A</v>
      </c>
      <c r="R632" s="372" t="str">
        <f>CS_PID!R632/VLOOKUP($B632,표2[#ALL],2)/HLOOKUP($A632,표1[#ALL],row(),false)</f>
        <v>#N/A</v>
      </c>
      <c r="S632" s="372" t="str">
        <f>CS_PID!S632/VLOOKUP($B632,표2[#ALL],2)/HLOOKUP($A632,표1[#ALL],row(),false)</f>
        <v>#N/A</v>
      </c>
      <c r="T632" s="372" t="str">
        <f>CS_PID!T632/VLOOKUP($B632,표2[#ALL],2)/HLOOKUP($A632,표1[#ALL],row(),false)</f>
        <v>#N/A</v>
      </c>
      <c r="U632" s="372" t="str">
        <f>CS_PID!U632/VLOOKUP($B632,표2[#ALL],2)/HLOOKUP($A632,표1[#ALL],row(),false)</f>
        <v>#N/A</v>
      </c>
      <c r="V632" s="372" t="str">
        <f>CS_PID!V632/VLOOKUP($B632,표2[#ALL],2)/HLOOKUP($A632,표1[#ALL],row(),false)</f>
        <v>#N/A</v>
      </c>
      <c r="W632" s="372" t="str">
        <f>CS_PID!W632/VLOOKUP($B632,표2[#ALL],2)/HLOOKUP($A632,표1[#ALL],row(),false)</f>
        <v>#N/A</v>
      </c>
      <c r="X632" s="372" t="str">
        <f>CS_PID!X632/VLOOKUP($B632,표2[#ALL],2)/HLOOKUP($A632,표1[#ALL],row(),false)</f>
        <v>#N/A</v>
      </c>
      <c r="Y632" s="372" t="str">
        <f>CS_PID!Y632/VLOOKUP($B632,표2[#ALL],2)/HLOOKUP($A632,표1[#ALL],row(),false)</f>
        <v>#N/A</v>
      </c>
      <c r="Z632" s="372" t="str">
        <f>CS_PID!Z632/VLOOKUP($B632,표2[#ALL],2)/HLOOKUP($A632,표1[#ALL],row(),false)</f>
        <v>#N/A</v>
      </c>
      <c r="AA632" s="372" t="str">
        <f>CS_PID!AA632/VLOOKUP($B632,표2[#ALL],2)/HLOOKUP($A632,표1[#ALL],row(),false)</f>
        <v>#N/A</v>
      </c>
      <c r="AB632" s="372" t="str">
        <f>CS_PID!AB632/VLOOKUP($B632,표2[#ALL],2)/HLOOKUP($A632,표1[#ALL],row(),false)</f>
        <v>#N/A</v>
      </c>
      <c r="AC632" s="372" t="str">
        <f>CS_PID!AC632/VLOOKUP($B632,표2[#ALL],2)/HLOOKUP($A632,표1[#ALL],row(),false)</f>
        <v>#N/A</v>
      </c>
      <c r="AD632" s="372" t="str">
        <f>CS_PID!AD632/VLOOKUP($B632,표2[#ALL],2)/HLOOKUP($A632,표1[#ALL],row(),false)</f>
        <v>#N/A</v>
      </c>
      <c r="AE632" s="372" t="str">
        <f>CS_PID!AE632/VLOOKUP($B632,표2[#ALL],2)/HLOOKUP($A632,표1[#ALL],row(),false)</f>
        <v>#N/A</v>
      </c>
      <c r="AF632" s="372" t="str">
        <f>CS_PID!AF632/VLOOKUP($B632,표2[#ALL],2)/HLOOKUP($A632,표1[#ALL],row(),false)</f>
        <v>#N/A</v>
      </c>
      <c r="AG632" s="372" t="str">
        <f>CS_PID!AG632/VLOOKUP($B632,표2[#ALL],2)/HLOOKUP($A632,표1[#ALL],row(),false)</f>
        <v>#N/A</v>
      </c>
      <c r="AH632" s="372" t="str">
        <f>CS_PID!AH632/VLOOKUP($B632,표2[#ALL],2)/HLOOKUP($A632,표1[#ALL],row(),false)</f>
        <v>#N/A</v>
      </c>
      <c r="AI632" s="372" t="str">
        <f>CS_PID!AI632/VLOOKUP($B632,표2[#ALL],2)/HLOOKUP($A632,표1[#ALL],row(),false)</f>
        <v>#N/A</v>
      </c>
      <c r="AJ632" s="372" t="str">
        <f>CS_PID!AJ632/VLOOKUP($B632,표2[#ALL],2)/HLOOKUP($A632,표1[#ALL],row(),false)</f>
        <v>#N/A</v>
      </c>
      <c r="AK632" s="372" t="str">
        <f>CS_PID!AK632/VLOOKUP($B632,표2[#ALL],2)/HLOOKUP($A632,표1[#ALL],row(),false)</f>
        <v>#N/A</v>
      </c>
      <c r="AL632" s="372" t="str">
        <f>CS_PID!AL632/VLOOKUP($B632,표2[#ALL],2)/HLOOKUP($A632,표1[#ALL],row(),false)</f>
        <v>#N/A</v>
      </c>
      <c r="AM632" s="372" t="str">
        <f>CS_PID!AM632/VLOOKUP($B632,표2[#ALL],2)/HLOOKUP($A632,표1[#ALL],row(),false)</f>
        <v>#N/A</v>
      </c>
      <c r="AN632" s="372" t="str">
        <f>CS_PID!AN632/VLOOKUP($B632,표2[#ALL],2)/HLOOKUP($A632,표1[#ALL],row(),false)</f>
        <v>#N/A</v>
      </c>
      <c r="AO632" s="372" t="str">
        <f>CS_PID!AO632/VLOOKUP($B632,표2[#ALL],2)/HLOOKUP($A632,표1[#ALL],row(),false)</f>
        <v>#N/A</v>
      </c>
      <c r="AP632" s="372" t="str">
        <f>CS_PID!AP632/VLOOKUP($B632,표2[#ALL],2)/HLOOKUP($A632,표1[#ALL],row(),false)</f>
        <v>#N/A</v>
      </c>
      <c r="AQ632" s="372" t="str">
        <f>CS_PID!AQ632/VLOOKUP($B632,표2[#ALL],2)/HLOOKUP($A632,표1[#ALL],row(),false)</f>
        <v>#N/A</v>
      </c>
      <c r="AR632" s="372" t="str">
        <f>CS_PID!AR632/VLOOKUP($B632,표2[#ALL],2)/HLOOKUP($A632,표1[#ALL],row(),false)</f>
        <v>#N/A</v>
      </c>
      <c r="AS632" s="373" t="str">
        <f>CS_PID!AS632/VLOOKUP($B632,표2[#ALL],2)/HLOOKUP($A632,표1[#ALL],row(),false)</f>
        <v>#N/A</v>
      </c>
    </row>
    <row r="633">
      <c r="A633" s="374"/>
      <c r="B633" s="375"/>
      <c r="C633" s="376" t="str">
        <f>CS_PID!C633/VLOOKUP($B633,표2[#ALL],2)</f>
        <v>#N/A</v>
      </c>
      <c r="D633" s="376" t="str">
        <f>CS_PID!D633/VLOOKUP($B633,표2[#ALL],2)</f>
        <v>#N/A</v>
      </c>
      <c r="E633" s="376" t="str">
        <f>CS_PID!E633/VLOOKUP($B633,표2[#ALL],2)</f>
        <v>#N/A</v>
      </c>
      <c r="F633" s="376" t="str">
        <f>CS_PID!F633/VLOOKUP($B633,표2[#ALL],2)</f>
        <v>#N/A</v>
      </c>
      <c r="G633" s="376" t="str">
        <f>CS_PID!G633/VLOOKUP($B633,표2[#ALL],2)</f>
        <v>#N/A</v>
      </c>
      <c r="H633" s="376" t="str">
        <f>CS_PID!H633/VLOOKUP($B633,표2[#ALL],2)/HLOOKUP($A633,표1[#ALL],row(),false)</f>
        <v>#N/A</v>
      </c>
      <c r="I633" s="376" t="str">
        <f>CS_PID!I633/VLOOKUP($B633,표2[#ALL],2)/HLOOKUP($A633,표1[#ALL],row(),false)</f>
        <v>#N/A</v>
      </c>
      <c r="J633" s="376" t="str">
        <f>CS_PID!J633/VLOOKUP($B633,표2[#ALL],2)/HLOOKUP($A633,표1[#ALL],row(),false)</f>
        <v>#N/A</v>
      </c>
      <c r="K633" s="376" t="str">
        <f>CS_PID!K633/VLOOKUP($B633,표2[#ALL],2)/HLOOKUP($A633,표1[#ALL],row(),false)</f>
        <v>#N/A</v>
      </c>
      <c r="L633" s="376" t="str">
        <f>CS_PID!L633/VLOOKUP($B633,표2[#ALL],2)/HLOOKUP($A633,표1[#ALL],row(),false)</f>
        <v>#N/A</v>
      </c>
      <c r="M633" s="376" t="str">
        <f>CS_PID!M633/VLOOKUP($B633,표2[#ALL],2)/HLOOKUP($A633,표1[#ALL],row(),false)</f>
        <v>#N/A</v>
      </c>
      <c r="N633" s="376" t="str">
        <f>CS_PID!N633/VLOOKUP($B633,표2[#ALL],2)/HLOOKUP($A633,표1[#ALL],row(),false)</f>
        <v>#N/A</v>
      </c>
      <c r="O633" s="376" t="str">
        <f>CS_PID!O633/VLOOKUP($B633,표2[#ALL],2)/HLOOKUP($A633,표1[#ALL],row(),false)</f>
        <v>#N/A</v>
      </c>
      <c r="P633" s="376" t="str">
        <f>CS_PID!P633/VLOOKUP($B633,표2[#ALL],2)/HLOOKUP($A633,표1[#ALL],row(),false)</f>
        <v>#N/A</v>
      </c>
      <c r="Q633" s="376" t="str">
        <f>CS_PID!Q633/VLOOKUP($B633,표2[#ALL],2)/HLOOKUP($A633,표1[#ALL],row(),false)</f>
        <v>#N/A</v>
      </c>
      <c r="R633" s="376" t="str">
        <f>CS_PID!R633/VLOOKUP($B633,표2[#ALL],2)/HLOOKUP($A633,표1[#ALL],row(),false)</f>
        <v>#N/A</v>
      </c>
      <c r="S633" s="376" t="str">
        <f>CS_PID!S633/VLOOKUP($B633,표2[#ALL],2)/HLOOKUP($A633,표1[#ALL],row(),false)</f>
        <v>#N/A</v>
      </c>
      <c r="T633" s="376" t="str">
        <f>CS_PID!T633/VLOOKUP($B633,표2[#ALL],2)/HLOOKUP($A633,표1[#ALL],row(),false)</f>
        <v>#N/A</v>
      </c>
      <c r="U633" s="376" t="str">
        <f>CS_PID!U633/VLOOKUP($B633,표2[#ALL],2)/HLOOKUP($A633,표1[#ALL],row(),false)</f>
        <v>#N/A</v>
      </c>
      <c r="V633" s="376" t="str">
        <f>CS_PID!V633/VLOOKUP($B633,표2[#ALL],2)/HLOOKUP($A633,표1[#ALL],row(),false)</f>
        <v>#N/A</v>
      </c>
      <c r="W633" s="376" t="str">
        <f>CS_PID!W633/VLOOKUP($B633,표2[#ALL],2)/HLOOKUP($A633,표1[#ALL],row(),false)</f>
        <v>#N/A</v>
      </c>
      <c r="X633" s="376" t="str">
        <f>CS_PID!X633/VLOOKUP($B633,표2[#ALL],2)/HLOOKUP($A633,표1[#ALL],row(),false)</f>
        <v>#N/A</v>
      </c>
      <c r="Y633" s="376" t="str">
        <f>CS_PID!Y633/VLOOKUP($B633,표2[#ALL],2)/HLOOKUP($A633,표1[#ALL],row(),false)</f>
        <v>#N/A</v>
      </c>
      <c r="Z633" s="376" t="str">
        <f>CS_PID!Z633/VLOOKUP($B633,표2[#ALL],2)/HLOOKUP($A633,표1[#ALL],row(),false)</f>
        <v>#N/A</v>
      </c>
      <c r="AA633" s="376" t="str">
        <f>CS_PID!AA633/VLOOKUP($B633,표2[#ALL],2)/HLOOKUP($A633,표1[#ALL],row(),false)</f>
        <v>#N/A</v>
      </c>
      <c r="AB633" s="376" t="str">
        <f>CS_PID!AB633/VLOOKUP($B633,표2[#ALL],2)/HLOOKUP($A633,표1[#ALL],row(),false)</f>
        <v>#N/A</v>
      </c>
      <c r="AC633" s="376" t="str">
        <f>CS_PID!AC633/VLOOKUP($B633,표2[#ALL],2)/HLOOKUP($A633,표1[#ALL],row(),false)</f>
        <v>#N/A</v>
      </c>
      <c r="AD633" s="376" t="str">
        <f>CS_PID!AD633/VLOOKUP($B633,표2[#ALL],2)/HLOOKUP($A633,표1[#ALL],row(),false)</f>
        <v>#N/A</v>
      </c>
      <c r="AE633" s="376" t="str">
        <f>CS_PID!AE633/VLOOKUP($B633,표2[#ALL],2)/HLOOKUP($A633,표1[#ALL],row(),false)</f>
        <v>#N/A</v>
      </c>
      <c r="AF633" s="376" t="str">
        <f>CS_PID!AF633/VLOOKUP($B633,표2[#ALL],2)/HLOOKUP($A633,표1[#ALL],row(),false)</f>
        <v>#N/A</v>
      </c>
      <c r="AG633" s="376" t="str">
        <f>CS_PID!AG633/VLOOKUP($B633,표2[#ALL],2)/HLOOKUP($A633,표1[#ALL],row(),false)</f>
        <v>#N/A</v>
      </c>
      <c r="AH633" s="376" t="str">
        <f>CS_PID!AH633/VLOOKUP($B633,표2[#ALL],2)/HLOOKUP($A633,표1[#ALL],row(),false)</f>
        <v>#N/A</v>
      </c>
      <c r="AI633" s="376" t="str">
        <f>CS_PID!AI633/VLOOKUP($B633,표2[#ALL],2)/HLOOKUP($A633,표1[#ALL],row(),false)</f>
        <v>#N/A</v>
      </c>
      <c r="AJ633" s="376" t="str">
        <f>CS_PID!AJ633/VLOOKUP($B633,표2[#ALL],2)/HLOOKUP($A633,표1[#ALL],row(),false)</f>
        <v>#N/A</v>
      </c>
      <c r="AK633" s="376" t="str">
        <f>CS_PID!AK633/VLOOKUP($B633,표2[#ALL],2)/HLOOKUP($A633,표1[#ALL],row(),false)</f>
        <v>#N/A</v>
      </c>
      <c r="AL633" s="376" t="str">
        <f>CS_PID!AL633/VLOOKUP($B633,표2[#ALL],2)/HLOOKUP($A633,표1[#ALL],row(),false)</f>
        <v>#N/A</v>
      </c>
      <c r="AM633" s="376" t="str">
        <f>CS_PID!AM633/VLOOKUP($B633,표2[#ALL],2)/HLOOKUP($A633,표1[#ALL],row(),false)</f>
        <v>#N/A</v>
      </c>
      <c r="AN633" s="376" t="str">
        <f>CS_PID!AN633/VLOOKUP($B633,표2[#ALL],2)/HLOOKUP($A633,표1[#ALL],row(),false)</f>
        <v>#N/A</v>
      </c>
      <c r="AO633" s="376" t="str">
        <f>CS_PID!AO633/VLOOKUP($B633,표2[#ALL],2)/HLOOKUP($A633,표1[#ALL],row(),false)</f>
        <v>#N/A</v>
      </c>
      <c r="AP633" s="376" t="str">
        <f>CS_PID!AP633/VLOOKUP($B633,표2[#ALL],2)/HLOOKUP($A633,표1[#ALL],row(),false)</f>
        <v>#N/A</v>
      </c>
      <c r="AQ633" s="376" t="str">
        <f>CS_PID!AQ633/VLOOKUP($B633,표2[#ALL],2)/HLOOKUP($A633,표1[#ALL],row(),false)</f>
        <v>#N/A</v>
      </c>
      <c r="AR633" s="376" t="str">
        <f>CS_PID!AR633/VLOOKUP($B633,표2[#ALL],2)/HLOOKUP($A633,표1[#ALL],row(),false)</f>
        <v>#N/A</v>
      </c>
      <c r="AS633" s="377" t="str">
        <f>CS_PID!AS633/VLOOKUP($B633,표2[#ALL],2)/HLOOKUP($A633,표1[#ALL],row(),false)</f>
        <v>#N/A</v>
      </c>
    </row>
    <row r="634">
      <c r="A634" s="370"/>
      <c r="B634" s="371"/>
      <c r="C634" s="372" t="str">
        <f>CS_PID!C634/VLOOKUP($B634,표2[#ALL],2)</f>
        <v>#N/A</v>
      </c>
      <c r="D634" s="372" t="str">
        <f>CS_PID!D634/VLOOKUP($B634,표2[#ALL],2)</f>
        <v>#N/A</v>
      </c>
      <c r="E634" s="372" t="str">
        <f>CS_PID!E634/VLOOKUP($B634,표2[#ALL],2)</f>
        <v>#N/A</v>
      </c>
      <c r="F634" s="372" t="str">
        <f>CS_PID!F634/VLOOKUP($B634,표2[#ALL],2)</f>
        <v>#N/A</v>
      </c>
      <c r="G634" s="372" t="str">
        <f>CS_PID!G634/VLOOKUP($B634,표2[#ALL],2)</f>
        <v>#N/A</v>
      </c>
      <c r="H634" s="372" t="str">
        <f>CS_PID!H634/VLOOKUP($B634,표2[#ALL],2)/HLOOKUP($A634,표1[#ALL],row(),false)</f>
        <v>#N/A</v>
      </c>
      <c r="I634" s="372" t="str">
        <f>CS_PID!I634/VLOOKUP($B634,표2[#ALL],2)/HLOOKUP($A634,표1[#ALL],row(),false)</f>
        <v>#N/A</v>
      </c>
      <c r="J634" s="372" t="str">
        <f>CS_PID!J634/VLOOKUP($B634,표2[#ALL],2)/HLOOKUP($A634,표1[#ALL],row(),false)</f>
        <v>#N/A</v>
      </c>
      <c r="K634" s="372" t="str">
        <f>CS_PID!K634/VLOOKUP($B634,표2[#ALL],2)/HLOOKUP($A634,표1[#ALL],row(),false)</f>
        <v>#N/A</v>
      </c>
      <c r="L634" s="372" t="str">
        <f>CS_PID!L634/VLOOKUP($B634,표2[#ALL],2)/HLOOKUP($A634,표1[#ALL],row(),false)</f>
        <v>#N/A</v>
      </c>
      <c r="M634" s="372" t="str">
        <f>CS_PID!M634/VLOOKUP($B634,표2[#ALL],2)/HLOOKUP($A634,표1[#ALL],row(),false)</f>
        <v>#N/A</v>
      </c>
      <c r="N634" s="372" t="str">
        <f>CS_PID!N634/VLOOKUP($B634,표2[#ALL],2)/HLOOKUP($A634,표1[#ALL],row(),false)</f>
        <v>#N/A</v>
      </c>
      <c r="O634" s="372" t="str">
        <f>CS_PID!O634/VLOOKUP($B634,표2[#ALL],2)/HLOOKUP($A634,표1[#ALL],row(),false)</f>
        <v>#N/A</v>
      </c>
      <c r="P634" s="372" t="str">
        <f>CS_PID!P634/VLOOKUP($B634,표2[#ALL],2)/HLOOKUP($A634,표1[#ALL],row(),false)</f>
        <v>#N/A</v>
      </c>
      <c r="Q634" s="372" t="str">
        <f>CS_PID!Q634/VLOOKUP($B634,표2[#ALL],2)/HLOOKUP($A634,표1[#ALL],row(),false)</f>
        <v>#N/A</v>
      </c>
      <c r="R634" s="372" t="str">
        <f>CS_PID!R634/VLOOKUP($B634,표2[#ALL],2)/HLOOKUP($A634,표1[#ALL],row(),false)</f>
        <v>#N/A</v>
      </c>
      <c r="S634" s="372" t="str">
        <f>CS_PID!S634/VLOOKUP($B634,표2[#ALL],2)/HLOOKUP($A634,표1[#ALL],row(),false)</f>
        <v>#N/A</v>
      </c>
      <c r="T634" s="372" t="str">
        <f>CS_PID!T634/VLOOKUP($B634,표2[#ALL],2)/HLOOKUP($A634,표1[#ALL],row(),false)</f>
        <v>#N/A</v>
      </c>
      <c r="U634" s="372" t="str">
        <f>CS_PID!U634/VLOOKUP($B634,표2[#ALL],2)/HLOOKUP($A634,표1[#ALL],row(),false)</f>
        <v>#N/A</v>
      </c>
      <c r="V634" s="372" t="str">
        <f>CS_PID!V634/VLOOKUP($B634,표2[#ALL],2)/HLOOKUP($A634,표1[#ALL],row(),false)</f>
        <v>#N/A</v>
      </c>
      <c r="W634" s="372" t="str">
        <f>CS_PID!W634/VLOOKUP($B634,표2[#ALL],2)/HLOOKUP($A634,표1[#ALL],row(),false)</f>
        <v>#N/A</v>
      </c>
      <c r="X634" s="372" t="str">
        <f>CS_PID!X634/VLOOKUP($B634,표2[#ALL],2)/HLOOKUP($A634,표1[#ALL],row(),false)</f>
        <v>#N/A</v>
      </c>
      <c r="Y634" s="372" t="str">
        <f>CS_PID!Y634/VLOOKUP($B634,표2[#ALL],2)/HLOOKUP($A634,표1[#ALL],row(),false)</f>
        <v>#N/A</v>
      </c>
      <c r="Z634" s="372" t="str">
        <f>CS_PID!Z634/VLOOKUP($B634,표2[#ALL],2)/HLOOKUP($A634,표1[#ALL],row(),false)</f>
        <v>#N/A</v>
      </c>
      <c r="AA634" s="372" t="str">
        <f>CS_PID!AA634/VLOOKUP($B634,표2[#ALL],2)/HLOOKUP($A634,표1[#ALL],row(),false)</f>
        <v>#N/A</v>
      </c>
      <c r="AB634" s="372" t="str">
        <f>CS_PID!AB634/VLOOKUP($B634,표2[#ALL],2)/HLOOKUP($A634,표1[#ALL],row(),false)</f>
        <v>#N/A</v>
      </c>
      <c r="AC634" s="372" t="str">
        <f>CS_PID!AC634/VLOOKUP($B634,표2[#ALL],2)/HLOOKUP($A634,표1[#ALL],row(),false)</f>
        <v>#N/A</v>
      </c>
      <c r="AD634" s="372" t="str">
        <f>CS_PID!AD634/VLOOKUP($B634,표2[#ALL],2)/HLOOKUP($A634,표1[#ALL],row(),false)</f>
        <v>#N/A</v>
      </c>
      <c r="AE634" s="372" t="str">
        <f>CS_PID!AE634/VLOOKUP($B634,표2[#ALL],2)/HLOOKUP($A634,표1[#ALL],row(),false)</f>
        <v>#N/A</v>
      </c>
      <c r="AF634" s="372" t="str">
        <f>CS_PID!AF634/VLOOKUP($B634,표2[#ALL],2)/HLOOKUP($A634,표1[#ALL],row(),false)</f>
        <v>#N/A</v>
      </c>
      <c r="AG634" s="372" t="str">
        <f>CS_PID!AG634/VLOOKUP($B634,표2[#ALL],2)/HLOOKUP($A634,표1[#ALL],row(),false)</f>
        <v>#N/A</v>
      </c>
      <c r="AH634" s="372" t="str">
        <f>CS_PID!AH634/VLOOKUP($B634,표2[#ALL],2)/HLOOKUP($A634,표1[#ALL],row(),false)</f>
        <v>#N/A</v>
      </c>
      <c r="AI634" s="372" t="str">
        <f>CS_PID!AI634/VLOOKUP($B634,표2[#ALL],2)/HLOOKUP($A634,표1[#ALL],row(),false)</f>
        <v>#N/A</v>
      </c>
      <c r="AJ634" s="372" t="str">
        <f>CS_PID!AJ634/VLOOKUP($B634,표2[#ALL],2)/HLOOKUP($A634,표1[#ALL],row(),false)</f>
        <v>#N/A</v>
      </c>
      <c r="AK634" s="372" t="str">
        <f>CS_PID!AK634/VLOOKUP($B634,표2[#ALL],2)/HLOOKUP($A634,표1[#ALL],row(),false)</f>
        <v>#N/A</v>
      </c>
      <c r="AL634" s="372" t="str">
        <f>CS_PID!AL634/VLOOKUP($B634,표2[#ALL],2)/HLOOKUP($A634,표1[#ALL],row(),false)</f>
        <v>#N/A</v>
      </c>
      <c r="AM634" s="372" t="str">
        <f>CS_PID!AM634/VLOOKUP($B634,표2[#ALL],2)/HLOOKUP($A634,표1[#ALL],row(),false)</f>
        <v>#N/A</v>
      </c>
      <c r="AN634" s="372" t="str">
        <f>CS_PID!AN634/VLOOKUP($B634,표2[#ALL],2)/HLOOKUP($A634,표1[#ALL],row(),false)</f>
        <v>#N/A</v>
      </c>
      <c r="AO634" s="372" t="str">
        <f>CS_PID!AO634/VLOOKUP($B634,표2[#ALL],2)/HLOOKUP($A634,표1[#ALL],row(),false)</f>
        <v>#N/A</v>
      </c>
      <c r="AP634" s="372" t="str">
        <f>CS_PID!AP634/VLOOKUP($B634,표2[#ALL],2)/HLOOKUP($A634,표1[#ALL],row(),false)</f>
        <v>#N/A</v>
      </c>
      <c r="AQ634" s="372" t="str">
        <f>CS_PID!AQ634/VLOOKUP($B634,표2[#ALL],2)/HLOOKUP($A634,표1[#ALL],row(),false)</f>
        <v>#N/A</v>
      </c>
      <c r="AR634" s="372" t="str">
        <f>CS_PID!AR634/VLOOKUP($B634,표2[#ALL],2)/HLOOKUP($A634,표1[#ALL],row(),false)</f>
        <v>#N/A</v>
      </c>
      <c r="AS634" s="373" t="str">
        <f>CS_PID!AS634/VLOOKUP($B634,표2[#ALL],2)/HLOOKUP($A634,표1[#ALL],row(),false)</f>
        <v>#N/A</v>
      </c>
    </row>
    <row r="635">
      <c r="A635" s="374"/>
      <c r="B635" s="375"/>
      <c r="C635" s="376" t="str">
        <f>CS_PID!C635/VLOOKUP($B635,표2[#ALL],2)</f>
        <v>#N/A</v>
      </c>
      <c r="D635" s="376" t="str">
        <f>CS_PID!D635/VLOOKUP($B635,표2[#ALL],2)</f>
        <v>#N/A</v>
      </c>
      <c r="E635" s="376" t="str">
        <f>CS_PID!E635/VLOOKUP($B635,표2[#ALL],2)</f>
        <v>#N/A</v>
      </c>
      <c r="F635" s="376" t="str">
        <f>CS_PID!F635/VLOOKUP($B635,표2[#ALL],2)</f>
        <v>#N/A</v>
      </c>
      <c r="G635" s="376" t="str">
        <f>CS_PID!G635/VLOOKUP($B635,표2[#ALL],2)</f>
        <v>#N/A</v>
      </c>
      <c r="H635" s="376" t="str">
        <f>CS_PID!H635/VLOOKUP($B635,표2[#ALL],2)/HLOOKUP($A635,표1[#ALL],row(),false)</f>
        <v>#N/A</v>
      </c>
      <c r="I635" s="376" t="str">
        <f>CS_PID!I635/VLOOKUP($B635,표2[#ALL],2)/HLOOKUP($A635,표1[#ALL],row(),false)</f>
        <v>#N/A</v>
      </c>
      <c r="J635" s="376" t="str">
        <f>CS_PID!J635/VLOOKUP($B635,표2[#ALL],2)/HLOOKUP($A635,표1[#ALL],row(),false)</f>
        <v>#N/A</v>
      </c>
      <c r="K635" s="376" t="str">
        <f>CS_PID!K635/VLOOKUP($B635,표2[#ALL],2)/HLOOKUP($A635,표1[#ALL],row(),false)</f>
        <v>#N/A</v>
      </c>
      <c r="L635" s="376" t="str">
        <f>CS_PID!L635/VLOOKUP($B635,표2[#ALL],2)/HLOOKUP($A635,표1[#ALL],row(),false)</f>
        <v>#N/A</v>
      </c>
      <c r="M635" s="376" t="str">
        <f>CS_PID!M635/VLOOKUP($B635,표2[#ALL],2)/HLOOKUP($A635,표1[#ALL],row(),false)</f>
        <v>#N/A</v>
      </c>
      <c r="N635" s="376" t="str">
        <f>CS_PID!N635/VLOOKUP($B635,표2[#ALL],2)/HLOOKUP($A635,표1[#ALL],row(),false)</f>
        <v>#N/A</v>
      </c>
      <c r="O635" s="376" t="str">
        <f>CS_PID!O635/VLOOKUP($B635,표2[#ALL],2)/HLOOKUP($A635,표1[#ALL],row(),false)</f>
        <v>#N/A</v>
      </c>
      <c r="P635" s="376" t="str">
        <f>CS_PID!P635/VLOOKUP($B635,표2[#ALL],2)/HLOOKUP($A635,표1[#ALL],row(),false)</f>
        <v>#N/A</v>
      </c>
      <c r="Q635" s="376" t="str">
        <f>CS_PID!Q635/VLOOKUP($B635,표2[#ALL],2)/HLOOKUP($A635,표1[#ALL],row(),false)</f>
        <v>#N/A</v>
      </c>
      <c r="R635" s="376" t="str">
        <f>CS_PID!R635/VLOOKUP($B635,표2[#ALL],2)/HLOOKUP($A635,표1[#ALL],row(),false)</f>
        <v>#N/A</v>
      </c>
      <c r="S635" s="376" t="str">
        <f>CS_PID!S635/VLOOKUP($B635,표2[#ALL],2)/HLOOKUP($A635,표1[#ALL],row(),false)</f>
        <v>#N/A</v>
      </c>
      <c r="T635" s="376" t="str">
        <f>CS_PID!T635/VLOOKUP($B635,표2[#ALL],2)/HLOOKUP($A635,표1[#ALL],row(),false)</f>
        <v>#N/A</v>
      </c>
      <c r="U635" s="376" t="str">
        <f>CS_PID!U635/VLOOKUP($B635,표2[#ALL],2)/HLOOKUP($A635,표1[#ALL],row(),false)</f>
        <v>#N/A</v>
      </c>
      <c r="V635" s="376" t="str">
        <f>CS_PID!V635/VLOOKUP($B635,표2[#ALL],2)/HLOOKUP($A635,표1[#ALL],row(),false)</f>
        <v>#N/A</v>
      </c>
      <c r="W635" s="376" t="str">
        <f>CS_PID!W635/VLOOKUP($B635,표2[#ALL],2)/HLOOKUP($A635,표1[#ALL],row(),false)</f>
        <v>#N/A</v>
      </c>
      <c r="X635" s="376" t="str">
        <f>CS_PID!X635/VLOOKUP($B635,표2[#ALL],2)/HLOOKUP($A635,표1[#ALL],row(),false)</f>
        <v>#N/A</v>
      </c>
      <c r="Y635" s="376" t="str">
        <f>CS_PID!Y635/VLOOKUP($B635,표2[#ALL],2)/HLOOKUP($A635,표1[#ALL],row(),false)</f>
        <v>#N/A</v>
      </c>
      <c r="Z635" s="376" t="str">
        <f>CS_PID!Z635/VLOOKUP($B635,표2[#ALL],2)/HLOOKUP($A635,표1[#ALL],row(),false)</f>
        <v>#N/A</v>
      </c>
      <c r="AA635" s="376" t="str">
        <f>CS_PID!AA635/VLOOKUP($B635,표2[#ALL],2)/HLOOKUP($A635,표1[#ALL],row(),false)</f>
        <v>#N/A</v>
      </c>
      <c r="AB635" s="376" t="str">
        <f>CS_PID!AB635/VLOOKUP($B635,표2[#ALL],2)/HLOOKUP($A635,표1[#ALL],row(),false)</f>
        <v>#N/A</v>
      </c>
      <c r="AC635" s="376" t="str">
        <f>CS_PID!AC635/VLOOKUP($B635,표2[#ALL],2)/HLOOKUP($A635,표1[#ALL],row(),false)</f>
        <v>#N/A</v>
      </c>
      <c r="AD635" s="376" t="str">
        <f>CS_PID!AD635/VLOOKUP($B635,표2[#ALL],2)/HLOOKUP($A635,표1[#ALL],row(),false)</f>
        <v>#N/A</v>
      </c>
      <c r="AE635" s="376" t="str">
        <f>CS_PID!AE635/VLOOKUP($B635,표2[#ALL],2)/HLOOKUP($A635,표1[#ALL],row(),false)</f>
        <v>#N/A</v>
      </c>
      <c r="AF635" s="376" t="str">
        <f>CS_PID!AF635/VLOOKUP($B635,표2[#ALL],2)/HLOOKUP($A635,표1[#ALL],row(),false)</f>
        <v>#N/A</v>
      </c>
      <c r="AG635" s="376" t="str">
        <f>CS_PID!AG635/VLOOKUP($B635,표2[#ALL],2)/HLOOKUP($A635,표1[#ALL],row(),false)</f>
        <v>#N/A</v>
      </c>
      <c r="AH635" s="376" t="str">
        <f>CS_PID!AH635/VLOOKUP($B635,표2[#ALL],2)/HLOOKUP($A635,표1[#ALL],row(),false)</f>
        <v>#N/A</v>
      </c>
      <c r="AI635" s="376" t="str">
        <f>CS_PID!AI635/VLOOKUP($B635,표2[#ALL],2)/HLOOKUP($A635,표1[#ALL],row(),false)</f>
        <v>#N/A</v>
      </c>
      <c r="AJ635" s="376" t="str">
        <f>CS_PID!AJ635/VLOOKUP($B635,표2[#ALL],2)/HLOOKUP($A635,표1[#ALL],row(),false)</f>
        <v>#N/A</v>
      </c>
      <c r="AK635" s="376" t="str">
        <f>CS_PID!AK635/VLOOKUP($B635,표2[#ALL],2)/HLOOKUP($A635,표1[#ALL],row(),false)</f>
        <v>#N/A</v>
      </c>
      <c r="AL635" s="376" t="str">
        <f>CS_PID!AL635/VLOOKUP($B635,표2[#ALL],2)/HLOOKUP($A635,표1[#ALL],row(),false)</f>
        <v>#N/A</v>
      </c>
      <c r="AM635" s="376" t="str">
        <f>CS_PID!AM635/VLOOKUP($B635,표2[#ALL],2)/HLOOKUP($A635,표1[#ALL],row(),false)</f>
        <v>#N/A</v>
      </c>
      <c r="AN635" s="376" t="str">
        <f>CS_PID!AN635/VLOOKUP($B635,표2[#ALL],2)/HLOOKUP($A635,표1[#ALL],row(),false)</f>
        <v>#N/A</v>
      </c>
      <c r="AO635" s="376" t="str">
        <f>CS_PID!AO635/VLOOKUP($B635,표2[#ALL],2)/HLOOKUP($A635,표1[#ALL],row(),false)</f>
        <v>#N/A</v>
      </c>
      <c r="AP635" s="376" t="str">
        <f>CS_PID!AP635/VLOOKUP($B635,표2[#ALL],2)/HLOOKUP($A635,표1[#ALL],row(),false)</f>
        <v>#N/A</v>
      </c>
      <c r="AQ635" s="376" t="str">
        <f>CS_PID!AQ635/VLOOKUP($B635,표2[#ALL],2)/HLOOKUP($A635,표1[#ALL],row(),false)</f>
        <v>#N/A</v>
      </c>
      <c r="AR635" s="376" t="str">
        <f>CS_PID!AR635/VLOOKUP($B635,표2[#ALL],2)/HLOOKUP($A635,표1[#ALL],row(),false)</f>
        <v>#N/A</v>
      </c>
      <c r="AS635" s="377" t="str">
        <f>CS_PID!AS635/VLOOKUP($B635,표2[#ALL],2)/HLOOKUP($A635,표1[#ALL],row(),false)</f>
        <v>#N/A</v>
      </c>
    </row>
    <row r="636">
      <c r="A636" s="370"/>
      <c r="B636" s="371"/>
      <c r="C636" s="372" t="str">
        <f>CS_PID!C636/VLOOKUP($B636,표2[#ALL],2)</f>
        <v>#N/A</v>
      </c>
      <c r="D636" s="372" t="str">
        <f>CS_PID!D636/VLOOKUP($B636,표2[#ALL],2)</f>
        <v>#N/A</v>
      </c>
      <c r="E636" s="372" t="str">
        <f>CS_PID!E636/VLOOKUP($B636,표2[#ALL],2)</f>
        <v>#N/A</v>
      </c>
      <c r="F636" s="372" t="str">
        <f>CS_PID!F636/VLOOKUP($B636,표2[#ALL],2)</f>
        <v>#N/A</v>
      </c>
      <c r="G636" s="372" t="str">
        <f>CS_PID!G636/VLOOKUP($B636,표2[#ALL],2)</f>
        <v>#N/A</v>
      </c>
      <c r="H636" s="372" t="str">
        <f>CS_PID!H636/VLOOKUP($B636,표2[#ALL],2)/HLOOKUP($A636,표1[#ALL],row(),false)</f>
        <v>#N/A</v>
      </c>
      <c r="I636" s="372" t="str">
        <f>CS_PID!I636/VLOOKUP($B636,표2[#ALL],2)/HLOOKUP($A636,표1[#ALL],row(),false)</f>
        <v>#N/A</v>
      </c>
      <c r="J636" s="372" t="str">
        <f>CS_PID!J636/VLOOKUP($B636,표2[#ALL],2)/HLOOKUP($A636,표1[#ALL],row(),false)</f>
        <v>#N/A</v>
      </c>
      <c r="K636" s="372" t="str">
        <f>CS_PID!K636/VLOOKUP($B636,표2[#ALL],2)/HLOOKUP($A636,표1[#ALL],row(),false)</f>
        <v>#N/A</v>
      </c>
      <c r="L636" s="372" t="str">
        <f>CS_PID!L636/VLOOKUP($B636,표2[#ALL],2)/HLOOKUP($A636,표1[#ALL],row(),false)</f>
        <v>#N/A</v>
      </c>
      <c r="M636" s="372" t="str">
        <f>CS_PID!M636/VLOOKUP($B636,표2[#ALL],2)/HLOOKUP($A636,표1[#ALL],row(),false)</f>
        <v>#N/A</v>
      </c>
      <c r="N636" s="372" t="str">
        <f>CS_PID!N636/VLOOKUP($B636,표2[#ALL],2)/HLOOKUP($A636,표1[#ALL],row(),false)</f>
        <v>#N/A</v>
      </c>
      <c r="O636" s="372" t="str">
        <f>CS_PID!O636/VLOOKUP($B636,표2[#ALL],2)/HLOOKUP($A636,표1[#ALL],row(),false)</f>
        <v>#N/A</v>
      </c>
      <c r="P636" s="372" t="str">
        <f>CS_PID!P636/VLOOKUP($B636,표2[#ALL],2)/HLOOKUP($A636,표1[#ALL],row(),false)</f>
        <v>#N/A</v>
      </c>
      <c r="Q636" s="372" t="str">
        <f>CS_PID!Q636/VLOOKUP($B636,표2[#ALL],2)/HLOOKUP($A636,표1[#ALL],row(),false)</f>
        <v>#N/A</v>
      </c>
      <c r="R636" s="372" t="str">
        <f>CS_PID!R636/VLOOKUP($B636,표2[#ALL],2)/HLOOKUP($A636,표1[#ALL],row(),false)</f>
        <v>#N/A</v>
      </c>
      <c r="S636" s="372" t="str">
        <f>CS_PID!S636/VLOOKUP($B636,표2[#ALL],2)/HLOOKUP($A636,표1[#ALL],row(),false)</f>
        <v>#N/A</v>
      </c>
      <c r="T636" s="372" t="str">
        <f>CS_PID!T636/VLOOKUP($B636,표2[#ALL],2)/HLOOKUP($A636,표1[#ALL],row(),false)</f>
        <v>#N/A</v>
      </c>
      <c r="U636" s="372" t="str">
        <f>CS_PID!U636/VLOOKUP($B636,표2[#ALL],2)/HLOOKUP($A636,표1[#ALL],row(),false)</f>
        <v>#N/A</v>
      </c>
      <c r="V636" s="372" t="str">
        <f>CS_PID!V636/VLOOKUP($B636,표2[#ALL],2)/HLOOKUP($A636,표1[#ALL],row(),false)</f>
        <v>#N/A</v>
      </c>
      <c r="W636" s="372" t="str">
        <f>CS_PID!W636/VLOOKUP($B636,표2[#ALL],2)/HLOOKUP($A636,표1[#ALL],row(),false)</f>
        <v>#N/A</v>
      </c>
      <c r="X636" s="372" t="str">
        <f>CS_PID!X636/VLOOKUP($B636,표2[#ALL],2)/HLOOKUP($A636,표1[#ALL],row(),false)</f>
        <v>#N/A</v>
      </c>
      <c r="Y636" s="372" t="str">
        <f>CS_PID!Y636/VLOOKUP($B636,표2[#ALL],2)/HLOOKUP($A636,표1[#ALL],row(),false)</f>
        <v>#N/A</v>
      </c>
      <c r="Z636" s="372" t="str">
        <f>CS_PID!Z636/VLOOKUP($B636,표2[#ALL],2)/HLOOKUP($A636,표1[#ALL],row(),false)</f>
        <v>#N/A</v>
      </c>
      <c r="AA636" s="372" t="str">
        <f>CS_PID!AA636/VLOOKUP($B636,표2[#ALL],2)/HLOOKUP($A636,표1[#ALL],row(),false)</f>
        <v>#N/A</v>
      </c>
      <c r="AB636" s="372" t="str">
        <f>CS_PID!AB636/VLOOKUP($B636,표2[#ALL],2)/HLOOKUP($A636,표1[#ALL],row(),false)</f>
        <v>#N/A</v>
      </c>
      <c r="AC636" s="372" t="str">
        <f>CS_PID!AC636/VLOOKUP($B636,표2[#ALL],2)/HLOOKUP($A636,표1[#ALL],row(),false)</f>
        <v>#N/A</v>
      </c>
      <c r="AD636" s="372" t="str">
        <f>CS_PID!AD636/VLOOKUP($B636,표2[#ALL],2)/HLOOKUP($A636,표1[#ALL],row(),false)</f>
        <v>#N/A</v>
      </c>
      <c r="AE636" s="372" t="str">
        <f>CS_PID!AE636/VLOOKUP($B636,표2[#ALL],2)/HLOOKUP($A636,표1[#ALL],row(),false)</f>
        <v>#N/A</v>
      </c>
      <c r="AF636" s="372" t="str">
        <f>CS_PID!AF636/VLOOKUP($B636,표2[#ALL],2)/HLOOKUP($A636,표1[#ALL],row(),false)</f>
        <v>#N/A</v>
      </c>
      <c r="AG636" s="372" t="str">
        <f>CS_PID!AG636/VLOOKUP($B636,표2[#ALL],2)/HLOOKUP($A636,표1[#ALL],row(),false)</f>
        <v>#N/A</v>
      </c>
      <c r="AH636" s="372" t="str">
        <f>CS_PID!AH636/VLOOKUP($B636,표2[#ALL],2)/HLOOKUP($A636,표1[#ALL],row(),false)</f>
        <v>#N/A</v>
      </c>
      <c r="AI636" s="372" t="str">
        <f>CS_PID!AI636/VLOOKUP($B636,표2[#ALL],2)/HLOOKUP($A636,표1[#ALL],row(),false)</f>
        <v>#N/A</v>
      </c>
      <c r="AJ636" s="372" t="str">
        <f>CS_PID!AJ636/VLOOKUP($B636,표2[#ALL],2)/HLOOKUP($A636,표1[#ALL],row(),false)</f>
        <v>#N/A</v>
      </c>
      <c r="AK636" s="372" t="str">
        <f>CS_PID!AK636/VLOOKUP($B636,표2[#ALL],2)/HLOOKUP($A636,표1[#ALL],row(),false)</f>
        <v>#N/A</v>
      </c>
      <c r="AL636" s="372" t="str">
        <f>CS_PID!AL636/VLOOKUP($B636,표2[#ALL],2)/HLOOKUP($A636,표1[#ALL],row(),false)</f>
        <v>#N/A</v>
      </c>
      <c r="AM636" s="372" t="str">
        <f>CS_PID!AM636/VLOOKUP($B636,표2[#ALL],2)/HLOOKUP($A636,표1[#ALL],row(),false)</f>
        <v>#N/A</v>
      </c>
      <c r="AN636" s="372" t="str">
        <f>CS_PID!AN636/VLOOKUP($B636,표2[#ALL],2)/HLOOKUP($A636,표1[#ALL],row(),false)</f>
        <v>#N/A</v>
      </c>
      <c r="AO636" s="372" t="str">
        <f>CS_PID!AO636/VLOOKUP($B636,표2[#ALL],2)/HLOOKUP($A636,표1[#ALL],row(),false)</f>
        <v>#N/A</v>
      </c>
      <c r="AP636" s="372" t="str">
        <f>CS_PID!AP636/VLOOKUP($B636,표2[#ALL],2)/HLOOKUP($A636,표1[#ALL],row(),false)</f>
        <v>#N/A</v>
      </c>
      <c r="AQ636" s="372" t="str">
        <f>CS_PID!AQ636/VLOOKUP($B636,표2[#ALL],2)/HLOOKUP($A636,표1[#ALL],row(),false)</f>
        <v>#N/A</v>
      </c>
      <c r="AR636" s="372" t="str">
        <f>CS_PID!AR636/VLOOKUP($B636,표2[#ALL],2)/HLOOKUP($A636,표1[#ALL],row(),false)</f>
        <v>#N/A</v>
      </c>
      <c r="AS636" s="373" t="str">
        <f>CS_PID!AS636/VLOOKUP($B636,표2[#ALL],2)/HLOOKUP($A636,표1[#ALL],row(),false)</f>
        <v>#N/A</v>
      </c>
    </row>
    <row r="637">
      <c r="A637" s="374"/>
      <c r="B637" s="375"/>
      <c r="C637" s="376" t="str">
        <f>CS_PID!C637/VLOOKUP($B637,표2[#ALL],2)</f>
        <v>#N/A</v>
      </c>
      <c r="D637" s="376" t="str">
        <f>CS_PID!D637/VLOOKUP($B637,표2[#ALL],2)</f>
        <v>#N/A</v>
      </c>
      <c r="E637" s="376" t="str">
        <f>CS_PID!E637/VLOOKUP($B637,표2[#ALL],2)</f>
        <v>#N/A</v>
      </c>
      <c r="F637" s="376" t="str">
        <f>CS_PID!F637/VLOOKUP($B637,표2[#ALL],2)</f>
        <v>#N/A</v>
      </c>
      <c r="G637" s="376" t="str">
        <f>CS_PID!G637/VLOOKUP($B637,표2[#ALL],2)</f>
        <v>#N/A</v>
      </c>
      <c r="H637" s="376" t="str">
        <f>CS_PID!H637/VLOOKUP($B637,표2[#ALL],2)/HLOOKUP($A637,표1[#ALL],row(),false)</f>
        <v>#N/A</v>
      </c>
      <c r="I637" s="376" t="str">
        <f>CS_PID!I637/VLOOKUP($B637,표2[#ALL],2)/HLOOKUP($A637,표1[#ALL],row(),false)</f>
        <v>#N/A</v>
      </c>
      <c r="J637" s="376" t="str">
        <f>CS_PID!J637/VLOOKUP($B637,표2[#ALL],2)/HLOOKUP($A637,표1[#ALL],row(),false)</f>
        <v>#N/A</v>
      </c>
      <c r="K637" s="376" t="str">
        <f>CS_PID!K637/VLOOKUP($B637,표2[#ALL],2)/HLOOKUP($A637,표1[#ALL],row(),false)</f>
        <v>#N/A</v>
      </c>
      <c r="L637" s="376" t="str">
        <f>CS_PID!L637/VLOOKUP($B637,표2[#ALL],2)/HLOOKUP($A637,표1[#ALL],row(),false)</f>
        <v>#N/A</v>
      </c>
      <c r="M637" s="376" t="str">
        <f>CS_PID!M637/VLOOKUP($B637,표2[#ALL],2)/HLOOKUP($A637,표1[#ALL],row(),false)</f>
        <v>#N/A</v>
      </c>
      <c r="N637" s="376" t="str">
        <f>CS_PID!N637/VLOOKUP($B637,표2[#ALL],2)/HLOOKUP($A637,표1[#ALL],row(),false)</f>
        <v>#N/A</v>
      </c>
      <c r="O637" s="376" t="str">
        <f>CS_PID!O637/VLOOKUP($B637,표2[#ALL],2)/HLOOKUP($A637,표1[#ALL],row(),false)</f>
        <v>#N/A</v>
      </c>
      <c r="P637" s="376" t="str">
        <f>CS_PID!P637/VLOOKUP($B637,표2[#ALL],2)/HLOOKUP($A637,표1[#ALL],row(),false)</f>
        <v>#N/A</v>
      </c>
      <c r="Q637" s="376" t="str">
        <f>CS_PID!Q637/VLOOKUP($B637,표2[#ALL],2)/HLOOKUP($A637,표1[#ALL],row(),false)</f>
        <v>#N/A</v>
      </c>
      <c r="R637" s="376" t="str">
        <f>CS_PID!R637/VLOOKUP($B637,표2[#ALL],2)/HLOOKUP($A637,표1[#ALL],row(),false)</f>
        <v>#N/A</v>
      </c>
      <c r="S637" s="376" t="str">
        <f>CS_PID!S637/VLOOKUP($B637,표2[#ALL],2)/HLOOKUP($A637,표1[#ALL],row(),false)</f>
        <v>#N/A</v>
      </c>
      <c r="T637" s="376" t="str">
        <f>CS_PID!T637/VLOOKUP($B637,표2[#ALL],2)/HLOOKUP($A637,표1[#ALL],row(),false)</f>
        <v>#N/A</v>
      </c>
      <c r="U637" s="376" t="str">
        <f>CS_PID!U637/VLOOKUP($B637,표2[#ALL],2)/HLOOKUP($A637,표1[#ALL],row(),false)</f>
        <v>#N/A</v>
      </c>
      <c r="V637" s="376" t="str">
        <f>CS_PID!V637/VLOOKUP($B637,표2[#ALL],2)/HLOOKUP($A637,표1[#ALL],row(),false)</f>
        <v>#N/A</v>
      </c>
      <c r="W637" s="376" t="str">
        <f>CS_PID!W637/VLOOKUP($B637,표2[#ALL],2)/HLOOKUP($A637,표1[#ALL],row(),false)</f>
        <v>#N/A</v>
      </c>
      <c r="X637" s="376" t="str">
        <f>CS_PID!X637/VLOOKUP($B637,표2[#ALL],2)/HLOOKUP($A637,표1[#ALL],row(),false)</f>
        <v>#N/A</v>
      </c>
      <c r="Y637" s="376" t="str">
        <f>CS_PID!Y637/VLOOKUP($B637,표2[#ALL],2)/HLOOKUP($A637,표1[#ALL],row(),false)</f>
        <v>#N/A</v>
      </c>
      <c r="Z637" s="376" t="str">
        <f>CS_PID!Z637/VLOOKUP($B637,표2[#ALL],2)/HLOOKUP($A637,표1[#ALL],row(),false)</f>
        <v>#N/A</v>
      </c>
      <c r="AA637" s="376" t="str">
        <f>CS_PID!AA637/VLOOKUP($B637,표2[#ALL],2)/HLOOKUP($A637,표1[#ALL],row(),false)</f>
        <v>#N/A</v>
      </c>
      <c r="AB637" s="376" t="str">
        <f>CS_PID!AB637/VLOOKUP($B637,표2[#ALL],2)/HLOOKUP($A637,표1[#ALL],row(),false)</f>
        <v>#N/A</v>
      </c>
      <c r="AC637" s="376" t="str">
        <f>CS_PID!AC637/VLOOKUP($B637,표2[#ALL],2)/HLOOKUP($A637,표1[#ALL],row(),false)</f>
        <v>#N/A</v>
      </c>
      <c r="AD637" s="376" t="str">
        <f>CS_PID!AD637/VLOOKUP($B637,표2[#ALL],2)/HLOOKUP($A637,표1[#ALL],row(),false)</f>
        <v>#N/A</v>
      </c>
      <c r="AE637" s="376" t="str">
        <f>CS_PID!AE637/VLOOKUP($B637,표2[#ALL],2)/HLOOKUP($A637,표1[#ALL],row(),false)</f>
        <v>#N/A</v>
      </c>
      <c r="AF637" s="376" t="str">
        <f>CS_PID!AF637/VLOOKUP($B637,표2[#ALL],2)/HLOOKUP($A637,표1[#ALL],row(),false)</f>
        <v>#N/A</v>
      </c>
      <c r="AG637" s="376" t="str">
        <f>CS_PID!AG637/VLOOKUP($B637,표2[#ALL],2)/HLOOKUP($A637,표1[#ALL],row(),false)</f>
        <v>#N/A</v>
      </c>
      <c r="AH637" s="376" t="str">
        <f>CS_PID!AH637/VLOOKUP($B637,표2[#ALL],2)/HLOOKUP($A637,표1[#ALL],row(),false)</f>
        <v>#N/A</v>
      </c>
      <c r="AI637" s="376" t="str">
        <f>CS_PID!AI637/VLOOKUP($B637,표2[#ALL],2)/HLOOKUP($A637,표1[#ALL],row(),false)</f>
        <v>#N/A</v>
      </c>
      <c r="AJ637" s="376" t="str">
        <f>CS_PID!AJ637/VLOOKUP($B637,표2[#ALL],2)/HLOOKUP($A637,표1[#ALL],row(),false)</f>
        <v>#N/A</v>
      </c>
      <c r="AK637" s="376" t="str">
        <f>CS_PID!AK637/VLOOKUP($B637,표2[#ALL],2)/HLOOKUP($A637,표1[#ALL],row(),false)</f>
        <v>#N/A</v>
      </c>
      <c r="AL637" s="376" t="str">
        <f>CS_PID!AL637/VLOOKUP($B637,표2[#ALL],2)/HLOOKUP($A637,표1[#ALL],row(),false)</f>
        <v>#N/A</v>
      </c>
      <c r="AM637" s="376" t="str">
        <f>CS_PID!AM637/VLOOKUP($B637,표2[#ALL],2)/HLOOKUP($A637,표1[#ALL],row(),false)</f>
        <v>#N/A</v>
      </c>
      <c r="AN637" s="376" t="str">
        <f>CS_PID!AN637/VLOOKUP($B637,표2[#ALL],2)/HLOOKUP($A637,표1[#ALL],row(),false)</f>
        <v>#N/A</v>
      </c>
      <c r="AO637" s="376" t="str">
        <f>CS_PID!AO637/VLOOKUP($B637,표2[#ALL],2)/HLOOKUP($A637,표1[#ALL],row(),false)</f>
        <v>#N/A</v>
      </c>
      <c r="AP637" s="376" t="str">
        <f>CS_PID!AP637/VLOOKUP($B637,표2[#ALL],2)/HLOOKUP($A637,표1[#ALL],row(),false)</f>
        <v>#N/A</v>
      </c>
      <c r="AQ637" s="376" t="str">
        <f>CS_PID!AQ637/VLOOKUP($B637,표2[#ALL],2)/HLOOKUP($A637,표1[#ALL],row(),false)</f>
        <v>#N/A</v>
      </c>
      <c r="AR637" s="376" t="str">
        <f>CS_PID!AR637/VLOOKUP($B637,표2[#ALL],2)/HLOOKUP($A637,표1[#ALL],row(),false)</f>
        <v>#N/A</v>
      </c>
      <c r="AS637" s="377" t="str">
        <f>CS_PID!AS637/VLOOKUP($B637,표2[#ALL],2)/HLOOKUP($A637,표1[#ALL],row(),false)</f>
        <v>#N/A</v>
      </c>
    </row>
    <row r="638">
      <c r="A638" s="370"/>
      <c r="B638" s="371"/>
      <c r="C638" s="372" t="str">
        <f>CS_PID!C638/VLOOKUP($B638,표2[#ALL],2)</f>
        <v>#N/A</v>
      </c>
      <c r="D638" s="372" t="str">
        <f>CS_PID!D638/VLOOKUP($B638,표2[#ALL],2)</f>
        <v>#N/A</v>
      </c>
      <c r="E638" s="372" t="str">
        <f>CS_PID!E638/VLOOKUP($B638,표2[#ALL],2)</f>
        <v>#N/A</v>
      </c>
      <c r="F638" s="372" t="str">
        <f>CS_PID!F638/VLOOKUP($B638,표2[#ALL],2)</f>
        <v>#N/A</v>
      </c>
      <c r="G638" s="372" t="str">
        <f>CS_PID!G638/VLOOKUP($B638,표2[#ALL],2)</f>
        <v>#N/A</v>
      </c>
      <c r="H638" s="372" t="str">
        <f>CS_PID!H638/VLOOKUP($B638,표2[#ALL],2)/HLOOKUP($A638,표1[#ALL],row(),false)</f>
        <v>#N/A</v>
      </c>
      <c r="I638" s="372" t="str">
        <f>CS_PID!I638/VLOOKUP($B638,표2[#ALL],2)/HLOOKUP($A638,표1[#ALL],row(),false)</f>
        <v>#N/A</v>
      </c>
      <c r="J638" s="372" t="str">
        <f>CS_PID!J638/VLOOKUP($B638,표2[#ALL],2)/HLOOKUP($A638,표1[#ALL],row(),false)</f>
        <v>#N/A</v>
      </c>
      <c r="K638" s="372" t="str">
        <f>CS_PID!K638/VLOOKUP($B638,표2[#ALL],2)/HLOOKUP($A638,표1[#ALL],row(),false)</f>
        <v>#N/A</v>
      </c>
      <c r="L638" s="372" t="str">
        <f>CS_PID!L638/VLOOKUP($B638,표2[#ALL],2)/HLOOKUP($A638,표1[#ALL],row(),false)</f>
        <v>#N/A</v>
      </c>
      <c r="M638" s="372" t="str">
        <f>CS_PID!M638/VLOOKUP($B638,표2[#ALL],2)/HLOOKUP($A638,표1[#ALL],row(),false)</f>
        <v>#N/A</v>
      </c>
      <c r="N638" s="372" t="str">
        <f>CS_PID!N638/VLOOKUP($B638,표2[#ALL],2)/HLOOKUP($A638,표1[#ALL],row(),false)</f>
        <v>#N/A</v>
      </c>
      <c r="O638" s="372" t="str">
        <f>CS_PID!O638/VLOOKUP($B638,표2[#ALL],2)/HLOOKUP($A638,표1[#ALL],row(),false)</f>
        <v>#N/A</v>
      </c>
      <c r="P638" s="372" t="str">
        <f>CS_PID!P638/VLOOKUP($B638,표2[#ALL],2)/HLOOKUP($A638,표1[#ALL],row(),false)</f>
        <v>#N/A</v>
      </c>
      <c r="Q638" s="372" t="str">
        <f>CS_PID!Q638/VLOOKUP($B638,표2[#ALL],2)/HLOOKUP($A638,표1[#ALL],row(),false)</f>
        <v>#N/A</v>
      </c>
      <c r="R638" s="372" t="str">
        <f>CS_PID!R638/VLOOKUP($B638,표2[#ALL],2)/HLOOKUP($A638,표1[#ALL],row(),false)</f>
        <v>#N/A</v>
      </c>
      <c r="S638" s="372" t="str">
        <f>CS_PID!S638/VLOOKUP($B638,표2[#ALL],2)/HLOOKUP($A638,표1[#ALL],row(),false)</f>
        <v>#N/A</v>
      </c>
      <c r="T638" s="372" t="str">
        <f>CS_PID!T638/VLOOKUP($B638,표2[#ALL],2)/HLOOKUP($A638,표1[#ALL],row(),false)</f>
        <v>#N/A</v>
      </c>
      <c r="U638" s="372" t="str">
        <f>CS_PID!U638/VLOOKUP($B638,표2[#ALL],2)/HLOOKUP($A638,표1[#ALL],row(),false)</f>
        <v>#N/A</v>
      </c>
      <c r="V638" s="372" t="str">
        <f>CS_PID!V638/VLOOKUP($B638,표2[#ALL],2)/HLOOKUP($A638,표1[#ALL],row(),false)</f>
        <v>#N/A</v>
      </c>
      <c r="W638" s="372" t="str">
        <f>CS_PID!W638/VLOOKUP($B638,표2[#ALL],2)/HLOOKUP($A638,표1[#ALL],row(),false)</f>
        <v>#N/A</v>
      </c>
      <c r="X638" s="372" t="str">
        <f>CS_PID!X638/VLOOKUP($B638,표2[#ALL],2)/HLOOKUP($A638,표1[#ALL],row(),false)</f>
        <v>#N/A</v>
      </c>
      <c r="Y638" s="372" t="str">
        <f>CS_PID!Y638/VLOOKUP($B638,표2[#ALL],2)/HLOOKUP($A638,표1[#ALL],row(),false)</f>
        <v>#N/A</v>
      </c>
      <c r="Z638" s="372" t="str">
        <f>CS_PID!Z638/VLOOKUP($B638,표2[#ALL],2)/HLOOKUP($A638,표1[#ALL],row(),false)</f>
        <v>#N/A</v>
      </c>
      <c r="AA638" s="372" t="str">
        <f>CS_PID!AA638/VLOOKUP($B638,표2[#ALL],2)/HLOOKUP($A638,표1[#ALL],row(),false)</f>
        <v>#N/A</v>
      </c>
      <c r="AB638" s="372" t="str">
        <f>CS_PID!AB638/VLOOKUP($B638,표2[#ALL],2)/HLOOKUP($A638,표1[#ALL],row(),false)</f>
        <v>#N/A</v>
      </c>
      <c r="AC638" s="372" t="str">
        <f>CS_PID!AC638/VLOOKUP($B638,표2[#ALL],2)/HLOOKUP($A638,표1[#ALL],row(),false)</f>
        <v>#N/A</v>
      </c>
      <c r="AD638" s="372" t="str">
        <f>CS_PID!AD638/VLOOKUP($B638,표2[#ALL],2)/HLOOKUP($A638,표1[#ALL],row(),false)</f>
        <v>#N/A</v>
      </c>
      <c r="AE638" s="372" t="str">
        <f>CS_PID!AE638/VLOOKUP($B638,표2[#ALL],2)/HLOOKUP($A638,표1[#ALL],row(),false)</f>
        <v>#N/A</v>
      </c>
      <c r="AF638" s="372" t="str">
        <f>CS_PID!AF638/VLOOKUP($B638,표2[#ALL],2)/HLOOKUP($A638,표1[#ALL],row(),false)</f>
        <v>#N/A</v>
      </c>
      <c r="AG638" s="372" t="str">
        <f>CS_PID!AG638/VLOOKUP($B638,표2[#ALL],2)/HLOOKUP($A638,표1[#ALL],row(),false)</f>
        <v>#N/A</v>
      </c>
      <c r="AH638" s="372" t="str">
        <f>CS_PID!AH638/VLOOKUP($B638,표2[#ALL],2)/HLOOKUP($A638,표1[#ALL],row(),false)</f>
        <v>#N/A</v>
      </c>
      <c r="AI638" s="372" t="str">
        <f>CS_PID!AI638/VLOOKUP($B638,표2[#ALL],2)/HLOOKUP($A638,표1[#ALL],row(),false)</f>
        <v>#N/A</v>
      </c>
      <c r="AJ638" s="372" t="str">
        <f>CS_PID!AJ638/VLOOKUP($B638,표2[#ALL],2)/HLOOKUP($A638,표1[#ALL],row(),false)</f>
        <v>#N/A</v>
      </c>
      <c r="AK638" s="372" t="str">
        <f>CS_PID!AK638/VLOOKUP($B638,표2[#ALL],2)/HLOOKUP($A638,표1[#ALL],row(),false)</f>
        <v>#N/A</v>
      </c>
      <c r="AL638" s="372" t="str">
        <f>CS_PID!AL638/VLOOKUP($B638,표2[#ALL],2)/HLOOKUP($A638,표1[#ALL],row(),false)</f>
        <v>#N/A</v>
      </c>
      <c r="AM638" s="372" t="str">
        <f>CS_PID!AM638/VLOOKUP($B638,표2[#ALL],2)/HLOOKUP($A638,표1[#ALL],row(),false)</f>
        <v>#N/A</v>
      </c>
      <c r="AN638" s="372" t="str">
        <f>CS_PID!AN638/VLOOKUP($B638,표2[#ALL],2)/HLOOKUP($A638,표1[#ALL],row(),false)</f>
        <v>#N/A</v>
      </c>
      <c r="AO638" s="372" t="str">
        <f>CS_PID!AO638/VLOOKUP($B638,표2[#ALL],2)/HLOOKUP($A638,표1[#ALL],row(),false)</f>
        <v>#N/A</v>
      </c>
      <c r="AP638" s="372" t="str">
        <f>CS_PID!AP638/VLOOKUP($B638,표2[#ALL],2)/HLOOKUP($A638,표1[#ALL],row(),false)</f>
        <v>#N/A</v>
      </c>
      <c r="AQ638" s="372" t="str">
        <f>CS_PID!AQ638/VLOOKUP($B638,표2[#ALL],2)/HLOOKUP($A638,표1[#ALL],row(),false)</f>
        <v>#N/A</v>
      </c>
      <c r="AR638" s="372" t="str">
        <f>CS_PID!AR638/VLOOKUP($B638,표2[#ALL],2)/HLOOKUP($A638,표1[#ALL],row(),false)</f>
        <v>#N/A</v>
      </c>
      <c r="AS638" s="373" t="str">
        <f>CS_PID!AS638/VLOOKUP($B638,표2[#ALL],2)/HLOOKUP($A638,표1[#ALL],row(),false)</f>
        <v>#N/A</v>
      </c>
    </row>
    <row r="639">
      <c r="A639" s="374"/>
      <c r="B639" s="375"/>
      <c r="C639" s="376" t="str">
        <f>CS_PID!C639/VLOOKUP($B639,표2[#ALL],2)</f>
        <v>#N/A</v>
      </c>
      <c r="D639" s="376" t="str">
        <f>CS_PID!D639/VLOOKUP($B639,표2[#ALL],2)</f>
        <v>#N/A</v>
      </c>
      <c r="E639" s="376" t="str">
        <f>CS_PID!E639/VLOOKUP($B639,표2[#ALL],2)</f>
        <v>#N/A</v>
      </c>
      <c r="F639" s="376" t="str">
        <f>CS_PID!F639/VLOOKUP($B639,표2[#ALL],2)</f>
        <v>#N/A</v>
      </c>
      <c r="G639" s="376" t="str">
        <f>CS_PID!G639/VLOOKUP($B639,표2[#ALL],2)</f>
        <v>#N/A</v>
      </c>
      <c r="H639" s="376" t="str">
        <f>CS_PID!H639/VLOOKUP($B639,표2[#ALL],2)/HLOOKUP($A639,표1[#ALL],row(),false)</f>
        <v>#N/A</v>
      </c>
      <c r="I639" s="376" t="str">
        <f>CS_PID!I639/VLOOKUP($B639,표2[#ALL],2)/HLOOKUP($A639,표1[#ALL],row(),false)</f>
        <v>#N/A</v>
      </c>
      <c r="J639" s="376" t="str">
        <f>CS_PID!J639/VLOOKUP($B639,표2[#ALL],2)/HLOOKUP($A639,표1[#ALL],row(),false)</f>
        <v>#N/A</v>
      </c>
      <c r="K639" s="376" t="str">
        <f>CS_PID!K639/VLOOKUP($B639,표2[#ALL],2)/HLOOKUP($A639,표1[#ALL],row(),false)</f>
        <v>#N/A</v>
      </c>
      <c r="L639" s="376" t="str">
        <f>CS_PID!L639/VLOOKUP($B639,표2[#ALL],2)/HLOOKUP($A639,표1[#ALL],row(),false)</f>
        <v>#N/A</v>
      </c>
      <c r="M639" s="376" t="str">
        <f>CS_PID!M639/VLOOKUP($B639,표2[#ALL],2)/HLOOKUP($A639,표1[#ALL],row(),false)</f>
        <v>#N/A</v>
      </c>
      <c r="N639" s="376" t="str">
        <f>CS_PID!N639/VLOOKUP($B639,표2[#ALL],2)/HLOOKUP($A639,표1[#ALL],row(),false)</f>
        <v>#N/A</v>
      </c>
      <c r="O639" s="376" t="str">
        <f>CS_PID!O639/VLOOKUP($B639,표2[#ALL],2)/HLOOKUP($A639,표1[#ALL],row(),false)</f>
        <v>#N/A</v>
      </c>
      <c r="P639" s="376" t="str">
        <f>CS_PID!P639/VLOOKUP($B639,표2[#ALL],2)/HLOOKUP($A639,표1[#ALL],row(),false)</f>
        <v>#N/A</v>
      </c>
      <c r="Q639" s="376" t="str">
        <f>CS_PID!Q639/VLOOKUP($B639,표2[#ALL],2)/HLOOKUP($A639,표1[#ALL],row(),false)</f>
        <v>#N/A</v>
      </c>
      <c r="R639" s="376" t="str">
        <f>CS_PID!R639/VLOOKUP($B639,표2[#ALL],2)/HLOOKUP($A639,표1[#ALL],row(),false)</f>
        <v>#N/A</v>
      </c>
      <c r="S639" s="376" t="str">
        <f>CS_PID!S639/VLOOKUP($B639,표2[#ALL],2)/HLOOKUP($A639,표1[#ALL],row(),false)</f>
        <v>#N/A</v>
      </c>
      <c r="T639" s="376" t="str">
        <f>CS_PID!T639/VLOOKUP($B639,표2[#ALL],2)/HLOOKUP($A639,표1[#ALL],row(),false)</f>
        <v>#N/A</v>
      </c>
      <c r="U639" s="376" t="str">
        <f>CS_PID!U639/VLOOKUP($B639,표2[#ALL],2)/HLOOKUP($A639,표1[#ALL],row(),false)</f>
        <v>#N/A</v>
      </c>
      <c r="V639" s="376" t="str">
        <f>CS_PID!V639/VLOOKUP($B639,표2[#ALL],2)/HLOOKUP($A639,표1[#ALL],row(),false)</f>
        <v>#N/A</v>
      </c>
      <c r="W639" s="376" t="str">
        <f>CS_PID!W639/VLOOKUP($B639,표2[#ALL],2)/HLOOKUP($A639,표1[#ALL],row(),false)</f>
        <v>#N/A</v>
      </c>
      <c r="X639" s="376" t="str">
        <f>CS_PID!X639/VLOOKUP($B639,표2[#ALL],2)/HLOOKUP($A639,표1[#ALL],row(),false)</f>
        <v>#N/A</v>
      </c>
      <c r="Y639" s="376" t="str">
        <f>CS_PID!Y639/VLOOKUP($B639,표2[#ALL],2)/HLOOKUP($A639,표1[#ALL],row(),false)</f>
        <v>#N/A</v>
      </c>
      <c r="Z639" s="376" t="str">
        <f>CS_PID!Z639/VLOOKUP($B639,표2[#ALL],2)/HLOOKUP($A639,표1[#ALL],row(),false)</f>
        <v>#N/A</v>
      </c>
      <c r="AA639" s="376" t="str">
        <f>CS_PID!AA639/VLOOKUP($B639,표2[#ALL],2)/HLOOKUP($A639,표1[#ALL],row(),false)</f>
        <v>#N/A</v>
      </c>
      <c r="AB639" s="376" t="str">
        <f>CS_PID!AB639/VLOOKUP($B639,표2[#ALL],2)/HLOOKUP($A639,표1[#ALL],row(),false)</f>
        <v>#N/A</v>
      </c>
      <c r="AC639" s="376" t="str">
        <f>CS_PID!AC639/VLOOKUP($B639,표2[#ALL],2)/HLOOKUP($A639,표1[#ALL],row(),false)</f>
        <v>#N/A</v>
      </c>
      <c r="AD639" s="376" t="str">
        <f>CS_PID!AD639/VLOOKUP($B639,표2[#ALL],2)/HLOOKUP($A639,표1[#ALL],row(),false)</f>
        <v>#N/A</v>
      </c>
      <c r="AE639" s="376" t="str">
        <f>CS_PID!AE639/VLOOKUP($B639,표2[#ALL],2)/HLOOKUP($A639,표1[#ALL],row(),false)</f>
        <v>#N/A</v>
      </c>
      <c r="AF639" s="376" t="str">
        <f>CS_PID!AF639/VLOOKUP($B639,표2[#ALL],2)/HLOOKUP($A639,표1[#ALL],row(),false)</f>
        <v>#N/A</v>
      </c>
      <c r="AG639" s="376" t="str">
        <f>CS_PID!AG639/VLOOKUP($B639,표2[#ALL],2)/HLOOKUP($A639,표1[#ALL],row(),false)</f>
        <v>#N/A</v>
      </c>
      <c r="AH639" s="376" t="str">
        <f>CS_PID!AH639/VLOOKUP($B639,표2[#ALL],2)/HLOOKUP($A639,표1[#ALL],row(),false)</f>
        <v>#N/A</v>
      </c>
      <c r="AI639" s="376" t="str">
        <f>CS_PID!AI639/VLOOKUP($B639,표2[#ALL],2)/HLOOKUP($A639,표1[#ALL],row(),false)</f>
        <v>#N/A</v>
      </c>
      <c r="AJ639" s="376" t="str">
        <f>CS_PID!AJ639/VLOOKUP($B639,표2[#ALL],2)/HLOOKUP($A639,표1[#ALL],row(),false)</f>
        <v>#N/A</v>
      </c>
      <c r="AK639" s="376" t="str">
        <f>CS_PID!AK639/VLOOKUP($B639,표2[#ALL],2)/HLOOKUP($A639,표1[#ALL],row(),false)</f>
        <v>#N/A</v>
      </c>
      <c r="AL639" s="376" t="str">
        <f>CS_PID!AL639/VLOOKUP($B639,표2[#ALL],2)/HLOOKUP($A639,표1[#ALL],row(),false)</f>
        <v>#N/A</v>
      </c>
      <c r="AM639" s="376" t="str">
        <f>CS_PID!AM639/VLOOKUP($B639,표2[#ALL],2)/HLOOKUP($A639,표1[#ALL],row(),false)</f>
        <v>#N/A</v>
      </c>
      <c r="AN639" s="376" t="str">
        <f>CS_PID!AN639/VLOOKUP($B639,표2[#ALL],2)/HLOOKUP($A639,표1[#ALL],row(),false)</f>
        <v>#N/A</v>
      </c>
      <c r="AO639" s="376" t="str">
        <f>CS_PID!AO639/VLOOKUP($B639,표2[#ALL],2)/HLOOKUP($A639,표1[#ALL],row(),false)</f>
        <v>#N/A</v>
      </c>
      <c r="AP639" s="376" t="str">
        <f>CS_PID!AP639/VLOOKUP($B639,표2[#ALL],2)/HLOOKUP($A639,표1[#ALL],row(),false)</f>
        <v>#N/A</v>
      </c>
      <c r="AQ639" s="376" t="str">
        <f>CS_PID!AQ639/VLOOKUP($B639,표2[#ALL],2)/HLOOKUP($A639,표1[#ALL],row(),false)</f>
        <v>#N/A</v>
      </c>
      <c r="AR639" s="376" t="str">
        <f>CS_PID!AR639/VLOOKUP($B639,표2[#ALL],2)/HLOOKUP($A639,표1[#ALL],row(),false)</f>
        <v>#N/A</v>
      </c>
      <c r="AS639" s="377" t="str">
        <f>CS_PID!AS639/VLOOKUP($B639,표2[#ALL],2)/HLOOKUP($A639,표1[#ALL],row(),false)</f>
        <v>#N/A</v>
      </c>
    </row>
    <row r="640">
      <c r="A640" s="370"/>
      <c r="B640" s="371"/>
      <c r="C640" s="372" t="str">
        <f>CS_PID!C640/VLOOKUP($B640,표2[#ALL],2)</f>
        <v>#N/A</v>
      </c>
      <c r="D640" s="372" t="str">
        <f>CS_PID!D640/VLOOKUP($B640,표2[#ALL],2)</f>
        <v>#N/A</v>
      </c>
      <c r="E640" s="372" t="str">
        <f>CS_PID!E640/VLOOKUP($B640,표2[#ALL],2)</f>
        <v>#N/A</v>
      </c>
      <c r="F640" s="372" t="str">
        <f>CS_PID!F640/VLOOKUP($B640,표2[#ALL],2)</f>
        <v>#N/A</v>
      </c>
      <c r="G640" s="372" t="str">
        <f>CS_PID!G640/VLOOKUP($B640,표2[#ALL],2)</f>
        <v>#N/A</v>
      </c>
      <c r="H640" s="372" t="str">
        <f>CS_PID!H640/VLOOKUP($B640,표2[#ALL],2)/HLOOKUP($A640,표1[#ALL],row(),false)</f>
        <v>#N/A</v>
      </c>
      <c r="I640" s="372" t="str">
        <f>CS_PID!I640/VLOOKUP($B640,표2[#ALL],2)/HLOOKUP($A640,표1[#ALL],row(),false)</f>
        <v>#N/A</v>
      </c>
      <c r="J640" s="372" t="str">
        <f>CS_PID!J640/VLOOKUP($B640,표2[#ALL],2)/HLOOKUP($A640,표1[#ALL],row(),false)</f>
        <v>#N/A</v>
      </c>
      <c r="K640" s="372" t="str">
        <f>CS_PID!K640/VLOOKUP($B640,표2[#ALL],2)/HLOOKUP($A640,표1[#ALL],row(),false)</f>
        <v>#N/A</v>
      </c>
      <c r="L640" s="372" t="str">
        <f>CS_PID!L640/VLOOKUP($B640,표2[#ALL],2)/HLOOKUP($A640,표1[#ALL],row(),false)</f>
        <v>#N/A</v>
      </c>
      <c r="M640" s="372" t="str">
        <f>CS_PID!M640/VLOOKUP($B640,표2[#ALL],2)/HLOOKUP($A640,표1[#ALL],row(),false)</f>
        <v>#N/A</v>
      </c>
      <c r="N640" s="372" t="str">
        <f>CS_PID!N640/VLOOKUP($B640,표2[#ALL],2)/HLOOKUP($A640,표1[#ALL],row(),false)</f>
        <v>#N/A</v>
      </c>
      <c r="O640" s="372" t="str">
        <f>CS_PID!O640/VLOOKUP($B640,표2[#ALL],2)/HLOOKUP($A640,표1[#ALL],row(),false)</f>
        <v>#N/A</v>
      </c>
      <c r="P640" s="372" t="str">
        <f>CS_PID!P640/VLOOKUP($B640,표2[#ALL],2)/HLOOKUP($A640,표1[#ALL],row(),false)</f>
        <v>#N/A</v>
      </c>
      <c r="Q640" s="372" t="str">
        <f>CS_PID!Q640/VLOOKUP($B640,표2[#ALL],2)/HLOOKUP($A640,표1[#ALL],row(),false)</f>
        <v>#N/A</v>
      </c>
      <c r="R640" s="372" t="str">
        <f>CS_PID!R640/VLOOKUP($B640,표2[#ALL],2)/HLOOKUP($A640,표1[#ALL],row(),false)</f>
        <v>#N/A</v>
      </c>
      <c r="S640" s="372" t="str">
        <f>CS_PID!S640/VLOOKUP($B640,표2[#ALL],2)/HLOOKUP($A640,표1[#ALL],row(),false)</f>
        <v>#N/A</v>
      </c>
      <c r="T640" s="372" t="str">
        <f>CS_PID!T640/VLOOKUP($B640,표2[#ALL],2)/HLOOKUP($A640,표1[#ALL],row(),false)</f>
        <v>#N/A</v>
      </c>
      <c r="U640" s="372" t="str">
        <f>CS_PID!U640/VLOOKUP($B640,표2[#ALL],2)/HLOOKUP($A640,표1[#ALL],row(),false)</f>
        <v>#N/A</v>
      </c>
      <c r="V640" s="372" t="str">
        <f>CS_PID!V640/VLOOKUP($B640,표2[#ALL],2)/HLOOKUP($A640,표1[#ALL],row(),false)</f>
        <v>#N/A</v>
      </c>
      <c r="W640" s="372" t="str">
        <f>CS_PID!W640/VLOOKUP($B640,표2[#ALL],2)/HLOOKUP($A640,표1[#ALL],row(),false)</f>
        <v>#N/A</v>
      </c>
      <c r="X640" s="372" t="str">
        <f>CS_PID!X640/VLOOKUP($B640,표2[#ALL],2)/HLOOKUP($A640,표1[#ALL],row(),false)</f>
        <v>#N/A</v>
      </c>
      <c r="Y640" s="372" t="str">
        <f>CS_PID!Y640/VLOOKUP($B640,표2[#ALL],2)/HLOOKUP($A640,표1[#ALL],row(),false)</f>
        <v>#N/A</v>
      </c>
      <c r="Z640" s="372" t="str">
        <f>CS_PID!Z640/VLOOKUP($B640,표2[#ALL],2)/HLOOKUP($A640,표1[#ALL],row(),false)</f>
        <v>#N/A</v>
      </c>
      <c r="AA640" s="372" t="str">
        <f>CS_PID!AA640/VLOOKUP($B640,표2[#ALL],2)/HLOOKUP($A640,표1[#ALL],row(),false)</f>
        <v>#N/A</v>
      </c>
      <c r="AB640" s="372" t="str">
        <f>CS_PID!AB640/VLOOKUP($B640,표2[#ALL],2)/HLOOKUP($A640,표1[#ALL],row(),false)</f>
        <v>#N/A</v>
      </c>
      <c r="AC640" s="372" t="str">
        <f>CS_PID!AC640/VLOOKUP($B640,표2[#ALL],2)/HLOOKUP($A640,표1[#ALL],row(),false)</f>
        <v>#N/A</v>
      </c>
      <c r="AD640" s="372" t="str">
        <f>CS_PID!AD640/VLOOKUP($B640,표2[#ALL],2)/HLOOKUP($A640,표1[#ALL],row(),false)</f>
        <v>#N/A</v>
      </c>
      <c r="AE640" s="372" t="str">
        <f>CS_PID!AE640/VLOOKUP($B640,표2[#ALL],2)/HLOOKUP($A640,표1[#ALL],row(),false)</f>
        <v>#N/A</v>
      </c>
      <c r="AF640" s="372" t="str">
        <f>CS_PID!AF640/VLOOKUP($B640,표2[#ALL],2)/HLOOKUP($A640,표1[#ALL],row(),false)</f>
        <v>#N/A</v>
      </c>
      <c r="AG640" s="372" t="str">
        <f>CS_PID!AG640/VLOOKUP($B640,표2[#ALL],2)/HLOOKUP($A640,표1[#ALL],row(),false)</f>
        <v>#N/A</v>
      </c>
      <c r="AH640" s="372" t="str">
        <f>CS_PID!AH640/VLOOKUP($B640,표2[#ALL],2)/HLOOKUP($A640,표1[#ALL],row(),false)</f>
        <v>#N/A</v>
      </c>
      <c r="AI640" s="372" t="str">
        <f>CS_PID!AI640/VLOOKUP($B640,표2[#ALL],2)/HLOOKUP($A640,표1[#ALL],row(),false)</f>
        <v>#N/A</v>
      </c>
      <c r="AJ640" s="372" t="str">
        <f>CS_PID!AJ640/VLOOKUP($B640,표2[#ALL],2)/HLOOKUP($A640,표1[#ALL],row(),false)</f>
        <v>#N/A</v>
      </c>
      <c r="AK640" s="372" t="str">
        <f>CS_PID!AK640/VLOOKUP($B640,표2[#ALL],2)/HLOOKUP($A640,표1[#ALL],row(),false)</f>
        <v>#N/A</v>
      </c>
      <c r="AL640" s="372" t="str">
        <f>CS_PID!AL640/VLOOKUP($B640,표2[#ALL],2)/HLOOKUP($A640,표1[#ALL],row(),false)</f>
        <v>#N/A</v>
      </c>
      <c r="AM640" s="372" t="str">
        <f>CS_PID!AM640/VLOOKUP($B640,표2[#ALL],2)/HLOOKUP($A640,표1[#ALL],row(),false)</f>
        <v>#N/A</v>
      </c>
      <c r="AN640" s="372" t="str">
        <f>CS_PID!AN640/VLOOKUP($B640,표2[#ALL],2)/HLOOKUP($A640,표1[#ALL],row(),false)</f>
        <v>#N/A</v>
      </c>
      <c r="AO640" s="372" t="str">
        <f>CS_PID!AO640/VLOOKUP($B640,표2[#ALL],2)/HLOOKUP($A640,표1[#ALL],row(),false)</f>
        <v>#N/A</v>
      </c>
      <c r="AP640" s="372" t="str">
        <f>CS_PID!AP640/VLOOKUP($B640,표2[#ALL],2)/HLOOKUP($A640,표1[#ALL],row(),false)</f>
        <v>#N/A</v>
      </c>
      <c r="AQ640" s="372" t="str">
        <f>CS_PID!AQ640/VLOOKUP($B640,표2[#ALL],2)/HLOOKUP($A640,표1[#ALL],row(),false)</f>
        <v>#N/A</v>
      </c>
      <c r="AR640" s="372" t="str">
        <f>CS_PID!AR640/VLOOKUP($B640,표2[#ALL],2)/HLOOKUP($A640,표1[#ALL],row(),false)</f>
        <v>#N/A</v>
      </c>
      <c r="AS640" s="373" t="str">
        <f>CS_PID!AS640/VLOOKUP($B640,표2[#ALL],2)/HLOOKUP($A640,표1[#ALL],row(),false)</f>
        <v>#N/A</v>
      </c>
    </row>
    <row r="641">
      <c r="A641" s="374"/>
      <c r="B641" s="375"/>
      <c r="C641" s="376" t="str">
        <f>CS_PID!C641/VLOOKUP($B641,표2[#ALL],2)</f>
        <v>#N/A</v>
      </c>
      <c r="D641" s="376" t="str">
        <f>CS_PID!D641/VLOOKUP($B641,표2[#ALL],2)</f>
        <v>#N/A</v>
      </c>
      <c r="E641" s="376" t="str">
        <f>CS_PID!E641/VLOOKUP($B641,표2[#ALL],2)</f>
        <v>#N/A</v>
      </c>
      <c r="F641" s="376" t="str">
        <f>CS_PID!F641/VLOOKUP($B641,표2[#ALL],2)</f>
        <v>#N/A</v>
      </c>
      <c r="G641" s="376" t="str">
        <f>CS_PID!G641/VLOOKUP($B641,표2[#ALL],2)</f>
        <v>#N/A</v>
      </c>
      <c r="H641" s="376" t="str">
        <f>CS_PID!H641/VLOOKUP($B641,표2[#ALL],2)/HLOOKUP($A641,표1[#ALL],row(),false)</f>
        <v>#N/A</v>
      </c>
      <c r="I641" s="376" t="str">
        <f>CS_PID!I641/VLOOKUP($B641,표2[#ALL],2)/HLOOKUP($A641,표1[#ALL],row(),false)</f>
        <v>#N/A</v>
      </c>
      <c r="J641" s="376" t="str">
        <f>CS_PID!J641/VLOOKUP($B641,표2[#ALL],2)/HLOOKUP($A641,표1[#ALL],row(),false)</f>
        <v>#N/A</v>
      </c>
      <c r="K641" s="376" t="str">
        <f>CS_PID!K641/VLOOKUP($B641,표2[#ALL],2)/HLOOKUP($A641,표1[#ALL],row(),false)</f>
        <v>#N/A</v>
      </c>
      <c r="L641" s="376" t="str">
        <f>CS_PID!L641/VLOOKUP($B641,표2[#ALL],2)/HLOOKUP($A641,표1[#ALL],row(),false)</f>
        <v>#N/A</v>
      </c>
      <c r="M641" s="376" t="str">
        <f>CS_PID!M641/VLOOKUP($B641,표2[#ALL],2)/HLOOKUP($A641,표1[#ALL],row(),false)</f>
        <v>#N/A</v>
      </c>
      <c r="N641" s="376" t="str">
        <f>CS_PID!N641/VLOOKUP($B641,표2[#ALL],2)/HLOOKUP($A641,표1[#ALL],row(),false)</f>
        <v>#N/A</v>
      </c>
      <c r="O641" s="376" t="str">
        <f>CS_PID!O641/VLOOKUP($B641,표2[#ALL],2)/HLOOKUP($A641,표1[#ALL],row(),false)</f>
        <v>#N/A</v>
      </c>
      <c r="P641" s="376" t="str">
        <f>CS_PID!P641/VLOOKUP($B641,표2[#ALL],2)/HLOOKUP($A641,표1[#ALL],row(),false)</f>
        <v>#N/A</v>
      </c>
      <c r="Q641" s="376" t="str">
        <f>CS_PID!Q641/VLOOKUP($B641,표2[#ALL],2)/HLOOKUP($A641,표1[#ALL],row(),false)</f>
        <v>#N/A</v>
      </c>
      <c r="R641" s="376" t="str">
        <f>CS_PID!R641/VLOOKUP($B641,표2[#ALL],2)/HLOOKUP($A641,표1[#ALL],row(),false)</f>
        <v>#N/A</v>
      </c>
      <c r="S641" s="376" t="str">
        <f>CS_PID!S641/VLOOKUP($B641,표2[#ALL],2)/HLOOKUP($A641,표1[#ALL],row(),false)</f>
        <v>#N/A</v>
      </c>
      <c r="T641" s="376" t="str">
        <f>CS_PID!T641/VLOOKUP($B641,표2[#ALL],2)/HLOOKUP($A641,표1[#ALL],row(),false)</f>
        <v>#N/A</v>
      </c>
      <c r="U641" s="376" t="str">
        <f>CS_PID!U641/VLOOKUP($B641,표2[#ALL],2)/HLOOKUP($A641,표1[#ALL],row(),false)</f>
        <v>#N/A</v>
      </c>
      <c r="V641" s="376" t="str">
        <f>CS_PID!V641/VLOOKUP($B641,표2[#ALL],2)/HLOOKUP($A641,표1[#ALL],row(),false)</f>
        <v>#N/A</v>
      </c>
      <c r="W641" s="376" t="str">
        <f>CS_PID!W641/VLOOKUP($B641,표2[#ALL],2)/HLOOKUP($A641,표1[#ALL],row(),false)</f>
        <v>#N/A</v>
      </c>
      <c r="X641" s="376" t="str">
        <f>CS_PID!X641/VLOOKUP($B641,표2[#ALL],2)/HLOOKUP($A641,표1[#ALL],row(),false)</f>
        <v>#N/A</v>
      </c>
      <c r="Y641" s="376" t="str">
        <f>CS_PID!Y641/VLOOKUP($B641,표2[#ALL],2)/HLOOKUP($A641,표1[#ALL],row(),false)</f>
        <v>#N/A</v>
      </c>
      <c r="Z641" s="376" t="str">
        <f>CS_PID!Z641/VLOOKUP($B641,표2[#ALL],2)/HLOOKUP($A641,표1[#ALL],row(),false)</f>
        <v>#N/A</v>
      </c>
      <c r="AA641" s="376" t="str">
        <f>CS_PID!AA641/VLOOKUP($B641,표2[#ALL],2)/HLOOKUP($A641,표1[#ALL],row(),false)</f>
        <v>#N/A</v>
      </c>
      <c r="AB641" s="376" t="str">
        <f>CS_PID!AB641/VLOOKUP($B641,표2[#ALL],2)/HLOOKUP($A641,표1[#ALL],row(),false)</f>
        <v>#N/A</v>
      </c>
      <c r="AC641" s="376" t="str">
        <f>CS_PID!AC641/VLOOKUP($B641,표2[#ALL],2)/HLOOKUP($A641,표1[#ALL],row(),false)</f>
        <v>#N/A</v>
      </c>
      <c r="AD641" s="376" t="str">
        <f>CS_PID!AD641/VLOOKUP($B641,표2[#ALL],2)/HLOOKUP($A641,표1[#ALL],row(),false)</f>
        <v>#N/A</v>
      </c>
      <c r="AE641" s="376" t="str">
        <f>CS_PID!AE641/VLOOKUP($B641,표2[#ALL],2)/HLOOKUP($A641,표1[#ALL],row(),false)</f>
        <v>#N/A</v>
      </c>
      <c r="AF641" s="376" t="str">
        <f>CS_PID!AF641/VLOOKUP($B641,표2[#ALL],2)/HLOOKUP($A641,표1[#ALL],row(),false)</f>
        <v>#N/A</v>
      </c>
      <c r="AG641" s="376" t="str">
        <f>CS_PID!AG641/VLOOKUP($B641,표2[#ALL],2)/HLOOKUP($A641,표1[#ALL],row(),false)</f>
        <v>#N/A</v>
      </c>
      <c r="AH641" s="376" t="str">
        <f>CS_PID!AH641/VLOOKUP($B641,표2[#ALL],2)/HLOOKUP($A641,표1[#ALL],row(),false)</f>
        <v>#N/A</v>
      </c>
      <c r="AI641" s="376" t="str">
        <f>CS_PID!AI641/VLOOKUP($B641,표2[#ALL],2)/HLOOKUP($A641,표1[#ALL],row(),false)</f>
        <v>#N/A</v>
      </c>
      <c r="AJ641" s="376" t="str">
        <f>CS_PID!AJ641/VLOOKUP($B641,표2[#ALL],2)/HLOOKUP($A641,표1[#ALL],row(),false)</f>
        <v>#N/A</v>
      </c>
      <c r="AK641" s="376" t="str">
        <f>CS_PID!AK641/VLOOKUP($B641,표2[#ALL],2)/HLOOKUP($A641,표1[#ALL],row(),false)</f>
        <v>#N/A</v>
      </c>
      <c r="AL641" s="376" t="str">
        <f>CS_PID!AL641/VLOOKUP($B641,표2[#ALL],2)/HLOOKUP($A641,표1[#ALL],row(),false)</f>
        <v>#N/A</v>
      </c>
      <c r="AM641" s="376" t="str">
        <f>CS_PID!AM641/VLOOKUP($B641,표2[#ALL],2)/HLOOKUP($A641,표1[#ALL],row(),false)</f>
        <v>#N/A</v>
      </c>
      <c r="AN641" s="376" t="str">
        <f>CS_PID!AN641/VLOOKUP($B641,표2[#ALL],2)/HLOOKUP($A641,표1[#ALL],row(),false)</f>
        <v>#N/A</v>
      </c>
      <c r="AO641" s="376" t="str">
        <f>CS_PID!AO641/VLOOKUP($B641,표2[#ALL],2)/HLOOKUP($A641,표1[#ALL],row(),false)</f>
        <v>#N/A</v>
      </c>
      <c r="AP641" s="376" t="str">
        <f>CS_PID!AP641/VLOOKUP($B641,표2[#ALL],2)/HLOOKUP($A641,표1[#ALL],row(),false)</f>
        <v>#N/A</v>
      </c>
      <c r="AQ641" s="376" t="str">
        <f>CS_PID!AQ641/VLOOKUP($B641,표2[#ALL],2)/HLOOKUP($A641,표1[#ALL],row(),false)</f>
        <v>#N/A</v>
      </c>
      <c r="AR641" s="376" t="str">
        <f>CS_PID!AR641/VLOOKUP($B641,표2[#ALL],2)/HLOOKUP($A641,표1[#ALL],row(),false)</f>
        <v>#N/A</v>
      </c>
      <c r="AS641" s="377" t="str">
        <f>CS_PID!AS641/VLOOKUP($B641,표2[#ALL],2)/HLOOKUP($A641,표1[#ALL],row(),false)</f>
        <v>#N/A</v>
      </c>
    </row>
    <row r="642">
      <c r="A642" s="370"/>
      <c r="B642" s="371"/>
      <c r="C642" s="372" t="str">
        <f>CS_PID!C642/VLOOKUP($B642,표2[#ALL],2)</f>
        <v>#N/A</v>
      </c>
      <c r="D642" s="372" t="str">
        <f>CS_PID!D642/VLOOKUP($B642,표2[#ALL],2)</f>
        <v>#N/A</v>
      </c>
      <c r="E642" s="372" t="str">
        <f>CS_PID!E642/VLOOKUP($B642,표2[#ALL],2)</f>
        <v>#N/A</v>
      </c>
      <c r="F642" s="372" t="str">
        <f>CS_PID!F642/VLOOKUP($B642,표2[#ALL],2)</f>
        <v>#N/A</v>
      </c>
      <c r="G642" s="372" t="str">
        <f>CS_PID!G642/VLOOKUP($B642,표2[#ALL],2)</f>
        <v>#N/A</v>
      </c>
      <c r="H642" s="372" t="str">
        <f>CS_PID!H642/VLOOKUP($B642,표2[#ALL],2)/HLOOKUP($A642,표1[#ALL],row(),false)</f>
        <v>#N/A</v>
      </c>
      <c r="I642" s="372" t="str">
        <f>CS_PID!I642/VLOOKUP($B642,표2[#ALL],2)/HLOOKUP($A642,표1[#ALL],row(),false)</f>
        <v>#N/A</v>
      </c>
      <c r="J642" s="372" t="str">
        <f>CS_PID!J642/VLOOKUP($B642,표2[#ALL],2)/HLOOKUP($A642,표1[#ALL],row(),false)</f>
        <v>#N/A</v>
      </c>
      <c r="K642" s="372" t="str">
        <f>CS_PID!K642/VLOOKUP($B642,표2[#ALL],2)/HLOOKUP($A642,표1[#ALL],row(),false)</f>
        <v>#N/A</v>
      </c>
      <c r="L642" s="372" t="str">
        <f>CS_PID!L642/VLOOKUP($B642,표2[#ALL],2)/HLOOKUP($A642,표1[#ALL],row(),false)</f>
        <v>#N/A</v>
      </c>
      <c r="M642" s="372" t="str">
        <f>CS_PID!M642/VLOOKUP($B642,표2[#ALL],2)/HLOOKUP($A642,표1[#ALL],row(),false)</f>
        <v>#N/A</v>
      </c>
      <c r="N642" s="372" t="str">
        <f>CS_PID!N642/VLOOKUP($B642,표2[#ALL],2)/HLOOKUP($A642,표1[#ALL],row(),false)</f>
        <v>#N/A</v>
      </c>
      <c r="O642" s="372" t="str">
        <f>CS_PID!O642/VLOOKUP($B642,표2[#ALL],2)/HLOOKUP($A642,표1[#ALL],row(),false)</f>
        <v>#N/A</v>
      </c>
      <c r="P642" s="372" t="str">
        <f>CS_PID!P642/VLOOKUP($B642,표2[#ALL],2)/HLOOKUP($A642,표1[#ALL],row(),false)</f>
        <v>#N/A</v>
      </c>
      <c r="Q642" s="372" t="str">
        <f>CS_PID!Q642/VLOOKUP($B642,표2[#ALL],2)/HLOOKUP($A642,표1[#ALL],row(),false)</f>
        <v>#N/A</v>
      </c>
      <c r="R642" s="372" t="str">
        <f>CS_PID!R642/VLOOKUP($B642,표2[#ALL],2)/HLOOKUP($A642,표1[#ALL],row(),false)</f>
        <v>#N/A</v>
      </c>
      <c r="S642" s="372" t="str">
        <f>CS_PID!S642/VLOOKUP($B642,표2[#ALL],2)/HLOOKUP($A642,표1[#ALL],row(),false)</f>
        <v>#N/A</v>
      </c>
      <c r="T642" s="372" t="str">
        <f>CS_PID!T642/VLOOKUP($B642,표2[#ALL],2)/HLOOKUP($A642,표1[#ALL],row(),false)</f>
        <v>#N/A</v>
      </c>
      <c r="U642" s="372" t="str">
        <f>CS_PID!U642/VLOOKUP($B642,표2[#ALL],2)/HLOOKUP($A642,표1[#ALL],row(),false)</f>
        <v>#N/A</v>
      </c>
      <c r="V642" s="372" t="str">
        <f>CS_PID!V642/VLOOKUP($B642,표2[#ALL],2)/HLOOKUP($A642,표1[#ALL],row(),false)</f>
        <v>#N/A</v>
      </c>
      <c r="W642" s="372" t="str">
        <f>CS_PID!W642/VLOOKUP($B642,표2[#ALL],2)/HLOOKUP($A642,표1[#ALL],row(),false)</f>
        <v>#N/A</v>
      </c>
      <c r="X642" s="372" t="str">
        <f>CS_PID!X642/VLOOKUP($B642,표2[#ALL],2)/HLOOKUP($A642,표1[#ALL],row(),false)</f>
        <v>#N/A</v>
      </c>
      <c r="Y642" s="372" t="str">
        <f>CS_PID!Y642/VLOOKUP($B642,표2[#ALL],2)/HLOOKUP($A642,표1[#ALL],row(),false)</f>
        <v>#N/A</v>
      </c>
      <c r="Z642" s="372" t="str">
        <f>CS_PID!Z642/VLOOKUP($B642,표2[#ALL],2)/HLOOKUP($A642,표1[#ALL],row(),false)</f>
        <v>#N/A</v>
      </c>
      <c r="AA642" s="372" t="str">
        <f>CS_PID!AA642/VLOOKUP($B642,표2[#ALL],2)/HLOOKUP($A642,표1[#ALL],row(),false)</f>
        <v>#N/A</v>
      </c>
      <c r="AB642" s="372" t="str">
        <f>CS_PID!AB642/VLOOKUP($B642,표2[#ALL],2)/HLOOKUP($A642,표1[#ALL],row(),false)</f>
        <v>#N/A</v>
      </c>
      <c r="AC642" s="372" t="str">
        <f>CS_PID!AC642/VLOOKUP($B642,표2[#ALL],2)/HLOOKUP($A642,표1[#ALL],row(),false)</f>
        <v>#N/A</v>
      </c>
      <c r="AD642" s="372" t="str">
        <f>CS_PID!AD642/VLOOKUP($B642,표2[#ALL],2)/HLOOKUP($A642,표1[#ALL],row(),false)</f>
        <v>#N/A</v>
      </c>
      <c r="AE642" s="372" t="str">
        <f>CS_PID!AE642/VLOOKUP($B642,표2[#ALL],2)/HLOOKUP($A642,표1[#ALL],row(),false)</f>
        <v>#N/A</v>
      </c>
      <c r="AF642" s="372" t="str">
        <f>CS_PID!AF642/VLOOKUP($B642,표2[#ALL],2)/HLOOKUP($A642,표1[#ALL],row(),false)</f>
        <v>#N/A</v>
      </c>
      <c r="AG642" s="372" t="str">
        <f>CS_PID!AG642/VLOOKUP($B642,표2[#ALL],2)/HLOOKUP($A642,표1[#ALL],row(),false)</f>
        <v>#N/A</v>
      </c>
      <c r="AH642" s="372" t="str">
        <f>CS_PID!AH642/VLOOKUP($B642,표2[#ALL],2)/HLOOKUP($A642,표1[#ALL],row(),false)</f>
        <v>#N/A</v>
      </c>
      <c r="AI642" s="372" t="str">
        <f>CS_PID!AI642/VLOOKUP($B642,표2[#ALL],2)/HLOOKUP($A642,표1[#ALL],row(),false)</f>
        <v>#N/A</v>
      </c>
      <c r="AJ642" s="372" t="str">
        <f>CS_PID!AJ642/VLOOKUP($B642,표2[#ALL],2)/HLOOKUP($A642,표1[#ALL],row(),false)</f>
        <v>#N/A</v>
      </c>
      <c r="AK642" s="372" t="str">
        <f>CS_PID!AK642/VLOOKUP($B642,표2[#ALL],2)/HLOOKUP($A642,표1[#ALL],row(),false)</f>
        <v>#N/A</v>
      </c>
      <c r="AL642" s="372" t="str">
        <f>CS_PID!AL642/VLOOKUP($B642,표2[#ALL],2)/HLOOKUP($A642,표1[#ALL],row(),false)</f>
        <v>#N/A</v>
      </c>
      <c r="AM642" s="372" t="str">
        <f>CS_PID!AM642/VLOOKUP($B642,표2[#ALL],2)/HLOOKUP($A642,표1[#ALL],row(),false)</f>
        <v>#N/A</v>
      </c>
      <c r="AN642" s="372" t="str">
        <f>CS_PID!AN642/VLOOKUP($B642,표2[#ALL],2)/HLOOKUP($A642,표1[#ALL],row(),false)</f>
        <v>#N/A</v>
      </c>
      <c r="AO642" s="372" t="str">
        <f>CS_PID!AO642/VLOOKUP($B642,표2[#ALL],2)/HLOOKUP($A642,표1[#ALL],row(),false)</f>
        <v>#N/A</v>
      </c>
      <c r="AP642" s="372" t="str">
        <f>CS_PID!AP642/VLOOKUP($B642,표2[#ALL],2)/HLOOKUP($A642,표1[#ALL],row(),false)</f>
        <v>#N/A</v>
      </c>
      <c r="AQ642" s="372" t="str">
        <f>CS_PID!AQ642/VLOOKUP($B642,표2[#ALL],2)/HLOOKUP($A642,표1[#ALL],row(),false)</f>
        <v>#N/A</v>
      </c>
      <c r="AR642" s="372" t="str">
        <f>CS_PID!AR642/VLOOKUP($B642,표2[#ALL],2)/HLOOKUP($A642,표1[#ALL],row(),false)</f>
        <v>#N/A</v>
      </c>
      <c r="AS642" s="373" t="str">
        <f>CS_PID!AS642/VLOOKUP($B642,표2[#ALL],2)/HLOOKUP($A642,표1[#ALL],row(),false)</f>
        <v>#N/A</v>
      </c>
    </row>
    <row r="643">
      <c r="A643" s="374"/>
      <c r="B643" s="375"/>
      <c r="C643" s="376" t="str">
        <f>CS_PID!C643/VLOOKUP($B643,표2[#ALL],2)</f>
        <v>#N/A</v>
      </c>
      <c r="D643" s="376" t="str">
        <f>CS_PID!D643/VLOOKUP($B643,표2[#ALL],2)</f>
        <v>#N/A</v>
      </c>
      <c r="E643" s="376" t="str">
        <f>CS_PID!E643/VLOOKUP($B643,표2[#ALL],2)</f>
        <v>#N/A</v>
      </c>
      <c r="F643" s="376" t="str">
        <f>CS_PID!F643/VLOOKUP($B643,표2[#ALL],2)</f>
        <v>#N/A</v>
      </c>
      <c r="G643" s="376" t="str">
        <f>CS_PID!G643/VLOOKUP($B643,표2[#ALL],2)</f>
        <v>#N/A</v>
      </c>
      <c r="H643" s="376" t="str">
        <f>CS_PID!H643/VLOOKUP($B643,표2[#ALL],2)/HLOOKUP($A643,표1[#ALL],row(),false)</f>
        <v>#N/A</v>
      </c>
      <c r="I643" s="376" t="str">
        <f>CS_PID!I643/VLOOKUP($B643,표2[#ALL],2)/HLOOKUP($A643,표1[#ALL],row(),false)</f>
        <v>#N/A</v>
      </c>
      <c r="J643" s="376" t="str">
        <f>CS_PID!J643/VLOOKUP($B643,표2[#ALL],2)/HLOOKUP($A643,표1[#ALL],row(),false)</f>
        <v>#N/A</v>
      </c>
      <c r="K643" s="376" t="str">
        <f>CS_PID!K643/VLOOKUP($B643,표2[#ALL],2)/HLOOKUP($A643,표1[#ALL],row(),false)</f>
        <v>#N/A</v>
      </c>
      <c r="L643" s="376" t="str">
        <f>CS_PID!L643/VLOOKUP($B643,표2[#ALL],2)/HLOOKUP($A643,표1[#ALL],row(),false)</f>
        <v>#N/A</v>
      </c>
      <c r="M643" s="376" t="str">
        <f>CS_PID!M643/VLOOKUP($B643,표2[#ALL],2)/HLOOKUP($A643,표1[#ALL],row(),false)</f>
        <v>#N/A</v>
      </c>
      <c r="N643" s="376" t="str">
        <f>CS_PID!N643/VLOOKUP($B643,표2[#ALL],2)/HLOOKUP($A643,표1[#ALL],row(),false)</f>
        <v>#N/A</v>
      </c>
      <c r="O643" s="376" t="str">
        <f>CS_PID!O643/VLOOKUP($B643,표2[#ALL],2)/HLOOKUP($A643,표1[#ALL],row(),false)</f>
        <v>#N/A</v>
      </c>
      <c r="P643" s="376" t="str">
        <f>CS_PID!P643/VLOOKUP($B643,표2[#ALL],2)/HLOOKUP($A643,표1[#ALL],row(),false)</f>
        <v>#N/A</v>
      </c>
      <c r="Q643" s="376" t="str">
        <f>CS_PID!Q643/VLOOKUP($B643,표2[#ALL],2)/HLOOKUP($A643,표1[#ALL],row(),false)</f>
        <v>#N/A</v>
      </c>
      <c r="R643" s="376" t="str">
        <f>CS_PID!R643/VLOOKUP($B643,표2[#ALL],2)/HLOOKUP($A643,표1[#ALL],row(),false)</f>
        <v>#N/A</v>
      </c>
      <c r="S643" s="376" t="str">
        <f>CS_PID!S643/VLOOKUP($B643,표2[#ALL],2)/HLOOKUP($A643,표1[#ALL],row(),false)</f>
        <v>#N/A</v>
      </c>
      <c r="T643" s="376" t="str">
        <f>CS_PID!T643/VLOOKUP($B643,표2[#ALL],2)/HLOOKUP($A643,표1[#ALL],row(),false)</f>
        <v>#N/A</v>
      </c>
      <c r="U643" s="376" t="str">
        <f>CS_PID!U643/VLOOKUP($B643,표2[#ALL],2)/HLOOKUP($A643,표1[#ALL],row(),false)</f>
        <v>#N/A</v>
      </c>
      <c r="V643" s="376" t="str">
        <f>CS_PID!V643/VLOOKUP($B643,표2[#ALL],2)/HLOOKUP($A643,표1[#ALL],row(),false)</f>
        <v>#N/A</v>
      </c>
      <c r="W643" s="376" t="str">
        <f>CS_PID!W643/VLOOKUP($B643,표2[#ALL],2)/HLOOKUP($A643,표1[#ALL],row(),false)</f>
        <v>#N/A</v>
      </c>
      <c r="X643" s="376" t="str">
        <f>CS_PID!X643/VLOOKUP($B643,표2[#ALL],2)/HLOOKUP($A643,표1[#ALL],row(),false)</f>
        <v>#N/A</v>
      </c>
      <c r="Y643" s="376" t="str">
        <f>CS_PID!Y643/VLOOKUP($B643,표2[#ALL],2)/HLOOKUP($A643,표1[#ALL],row(),false)</f>
        <v>#N/A</v>
      </c>
      <c r="Z643" s="376" t="str">
        <f>CS_PID!Z643/VLOOKUP($B643,표2[#ALL],2)/HLOOKUP($A643,표1[#ALL],row(),false)</f>
        <v>#N/A</v>
      </c>
      <c r="AA643" s="376" t="str">
        <f>CS_PID!AA643/VLOOKUP($B643,표2[#ALL],2)/HLOOKUP($A643,표1[#ALL],row(),false)</f>
        <v>#N/A</v>
      </c>
      <c r="AB643" s="376" t="str">
        <f>CS_PID!AB643/VLOOKUP($B643,표2[#ALL],2)/HLOOKUP($A643,표1[#ALL],row(),false)</f>
        <v>#N/A</v>
      </c>
      <c r="AC643" s="376" t="str">
        <f>CS_PID!AC643/VLOOKUP($B643,표2[#ALL],2)/HLOOKUP($A643,표1[#ALL],row(),false)</f>
        <v>#N/A</v>
      </c>
      <c r="AD643" s="376" t="str">
        <f>CS_PID!AD643/VLOOKUP($B643,표2[#ALL],2)/HLOOKUP($A643,표1[#ALL],row(),false)</f>
        <v>#N/A</v>
      </c>
      <c r="AE643" s="376" t="str">
        <f>CS_PID!AE643/VLOOKUP($B643,표2[#ALL],2)/HLOOKUP($A643,표1[#ALL],row(),false)</f>
        <v>#N/A</v>
      </c>
      <c r="AF643" s="376" t="str">
        <f>CS_PID!AF643/VLOOKUP($B643,표2[#ALL],2)/HLOOKUP($A643,표1[#ALL],row(),false)</f>
        <v>#N/A</v>
      </c>
      <c r="AG643" s="376" t="str">
        <f>CS_PID!AG643/VLOOKUP($B643,표2[#ALL],2)/HLOOKUP($A643,표1[#ALL],row(),false)</f>
        <v>#N/A</v>
      </c>
      <c r="AH643" s="376" t="str">
        <f>CS_PID!AH643/VLOOKUP($B643,표2[#ALL],2)/HLOOKUP($A643,표1[#ALL],row(),false)</f>
        <v>#N/A</v>
      </c>
      <c r="AI643" s="376" t="str">
        <f>CS_PID!AI643/VLOOKUP($B643,표2[#ALL],2)/HLOOKUP($A643,표1[#ALL],row(),false)</f>
        <v>#N/A</v>
      </c>
      <c r="AJ643" s="376" t="str">
        <f>CS_PID!AJ643/VLOOKUP($B643,표2[#ALL],2)/HLOOKUP($A643,표1[#ALL],row(),false)</f>
        <v>#N/A</v>
      </c>
      <c r="AK643" s="376" t="str">
        <f>CS_PID!AK643/VLOOKUP($B643,표2[#ALL],2)/HLOOKUP($A643,표1[#ALL],row(),false)</f>
        <v>#N/A</v>
      </c>
      <c r="AL643" s="376" t="str">
        <f>CS_PID!AL643/VLOOKUP($B643,표2[#ALL],2)/HLOOKUP($A643,표1[#ALL],row(),false)</f>
        <v>#N/A</v>
      </c>
      <c r="AM643" s="376" t="str">
        <f>CS_PID!AM643/VLOOKUP($B643,표2[#ALL],2)/HLOOKUP($A643,표1[#ALL],row(),false)</f>
        <v>#N/A</v>
      </c>
      <c r="AN643" s="376" t="str">
        <f>CS_PID!AN643/VLOOKUP($B643,표2[#ALL],2)/HLOOKUP($A643,표1[#ALL],row(),false)</f>
        <v>#N/A</v>
      </c>
      <c r="AO643" s="376" t="str">
        <f>CS_PID!AO643/VLOOKUP($B643,표2[#ALL],2)/HLOOKUP($A643,표1[#ALL],row(),false)</f>
        <v>#N/A</v>
      </c>
      <c r="AP643" s="376" t="str">
        <f>CS_PID!AP643/VLOOKUP($B643,표2[#ALL],2)/HLOOKUP($A643,표1[#ALL],row(),false)</f>
        <v>#N/A</v>
      </c>
      <c r="AQ643" s="376" t="str">
        <f>CS_PID!AQ643/VLOOKUP($B643,표2[#ALL],2)/HLOOKUP($A643,표1[#ALL],row(),false)</f>
        <v>#N/A</v>
      </c>
      <c r="AR643" s="376" t="str">
        <f>CS_PID!AR643/VLOOKUP($B643,표2[#ALL],2)/HLOOKUP($A643,표1[#ALL],row(),false)</f>
        <v>#N/A</v>
      </c>
      <c r="AS643" s="377" t="str">
        <f>CS_PID!AS643/VLOOKUP($B643,표2[#ALL],2)/HLOOKUP($A643,표1[#ALL],row(),false)</f>
        <v>#N/A</v>
      </c>
    </row>
    <row r="644">
      <c r="A644" s="370"/>
      <c r="B644" s="371"/>
      <c r="C644" s="372" t="str">
        <f>CS_PID!C644/VLOOKUP($B644,표2[#ALL],2)</f>
        <v>#N/A</v>
      </c>
      <c r="D644" s="372" t="str">
        <f>CS_PID!D644/VLOOKUP($B644,표2[#ALL],2)</f>
        <v>#N/A</v>
      </c>
      <c r="E644" s="372" t="str">
        <f>CS_PID!E644/VLOOKUP($B644,표2[#ALL],2)</f>
        <v>#N/A</v>
      </c>
      <c r="F644" s="372" t="str">
        <f>CS_PID!F644/VLOOKUP($B644,표2[#ALL],2)</f>
        <v>#N/A</v>
      </c>
      <c r="G644" s="372" t="str">
        <f>CS_PID!G644/VLOOKUP($B644,표2[#ALL],2)</f>
        <v>#N/A</v>
      </c>
      <c r="H644" s="372" t="str">
        <f>CS_PID!H644/VLOOKUP($B644,표2[#ALL],2)/HLOOKUP($A644,표1[#ALL],row(),false)</f>
        <v>#N/A</v>
      </c>
      <c r="I644" s="372" t="str">
        <f>CS_PID!I644/VLOOKUP($B644,표2[#ALL],2)/HLOOKUP($A644,표1[#ALL],row(),false)</f>
        <v>#N/A</v>
      </c>
      <c r="J644" s="372" t="str">
        <f>CS_PID!J644/VLOOKUP($B644,표2[#ALL],2)/HLOOKUP($A644,표1[#ALL],row(),false)</f>
        <v>#N/A</v>
      </c>
      <c r="K644" s="372" t="str">
        <f>CS_PID!K644/VLOOKUP($B644,표2[#ALL],2)/HLOOKUP($A644,표1[#ALL],row(),false)</f>
        <v>#N/A</v>
      </c>
      <c r="L644" s="372" t="str">
        <f>CS_PID!L644/VLOOKUP($B644,표2[#ALL],2)/HLOOKUP($A644,표1[#ALL],row(),false)</f>
        <v>#N/A</v>
      </c>
      <c r="M644" s="372" t="str">
        <f>CS_PID!M644/VLOOKUP($B644,표2[#ALL],2)/HLOOKUP($A644,표1[#ALL],row(),false)</f>
        <v>#N/A</v>
      </c>
      <c r="N644" s="372" t="str">
        <f>CS_PID!N644/VLOOKUP($B644,표2[#ALL],2)/HLOOKUP($A644,표1[#ALL],row(),false)</f>
        <v>#N/A</v>
      </c>
      <c r="O644" s="372" t="str">
        <f>CS_PID!O644/VLOOKUP($B644,표2[#ALL],2)/HLOOKUP($A644,표1[#ALL],row(),false)</f>
        <v>#N/A</v>
      </c>
      <c r="P644" s="372" t="str">
        <f>CS_PID!P644/VLOOKUP($B644,표2[#ALL],2)/HLOOKUP($A644,표1[#ALL],row(),false)</f>
        <v>#N/A</v>
      </c>
      <c r="Q644" s="372" t="str">
        <f>CS_PID!Q644/VLOOKUP($B644,표2[#ALL],2)/HLOOKUP($A644,표1[#ALL],row(),false)</f>
        <v>#N/A</v>
      </c>
      <c r="R644" s="372" t="str">
        <f>CS_PID!R644/VLOOKUP($B644,표2[#ALL],2)/HLOOKUP($A644,표1[#ALL],row(),false)</f>
        <v>#N/A</v>
      </c>
      <c r="S644" s="372" t="str">
        <f>CS_PID!S644/VLOOKUP($B644,표2[#ALL],2)/HLOOKUP($A644,표1[#ALL],row(),false)</f>
        <v>#N/A</v>
      </c>
      <c r="T644" s="372" t="str">
        <f>CS_PID!T644/VLOOKUP($B644,표2[#ALL],2)/HLOOKUP($A644,표1[#ALL],row(),false)</f>
        <v>#N/A</v>
      </c>
      <c r="U644" s="372" t="str">
        <f>CS_PID!U644/VLOOKUP($B644,표2[#ALL],2)/HLOOKUP($A644,표1[#ALL],row(),false)</f>
        <v>#N/A</v>
      </c>
      <c r="V644" s="372" t="str">
        <f>CS_PID!V644/VLOOKUP($B644,표2[#ALL],2)/HLOOKUP($A644,표1[#ALL],row(),false)</f>
        <v>#N/A</v>
      </c>
      <c r="W644" s="372" t="str">
        <f>CS_PID!W644/VLOOKUP($B644,표2[#ALL],2)/HLOOKUP($A644,표1[#ALL],row(),false)</f>
        <v>#N/A</v>
      </c>
      <c r="X644" s="372" t="str">
        <f>CS_PID!X644/VLOOKUP($B644,표2[#ALL],2)/HLOOKUP($A644,표1[#ALL],row(),false)</f>
        <v>#N/A</v>
      </c>
      <c r="Y644" s="372" t="str">
        <f>CS_PID!Y644/VLOOKUP($B644,표2[#ALL],2)/HLOOKUP($A644,표1[#ALL],row(),false)</f>
        <v>#N/A</v>
      </c>
      <c r="Z644" s="372" t="str">
        <f>CS_PID!Z644/VLOOKUP($B644,표2[#ALL],2)/HLOOKUP($A644,표1[#ALL],row(),false)</f>
        <v>#N/A</v>
      </c>
      <c r="AA644" s="372" t="str">
        <f>CS_PID!AA644/VLOOKUP($B644,표2[#ALL],2)/HLOOKUP($A644,표1[#ALL],row(),false)</f>
        <v>#N/A</v>
      </c>
      <c r="AB644" s="372" t="str">
        <f>CS_PID!AB644/VLOOKUP($B644,표2[#ALL],2)/HLOOKUP($A644,표1[#ALL],row(),false)</f>
        <v>#N/A</v>
      </c>
      <c r="AC644" s="372" t="str">
        <f>CS_PID!AC644/VLOOKUP($B644,표2[#ALL],2)/HLOOKUP($A644,표1[#ALL],row(),false)</f>
        <v>#N/A</v>
      </c>
      <c r="AD644" s="372" t="str">
        <f>CS_PID!AD644/VLOOKUP($B644,표2[#ALL],2)/HLOOKUP($A644,표1[#ALL],row(),false)</f>
        <v>#N/A</v>
      </c>
      <c r="AE644" s="372" t="str">
        <f>CS_PID!AE644/VLOOKUP($B644,표2[#ALL],2)/HLOOKUP($A644,표1[#ALL],row(),false)</f>
        <v>#N/A</v>
      </c>
      <c r="AF644" s="372" t="str">
        <f>CS_PID!AF644/VLOOKUP($B644,표2[#ALL],2)/HLOOKUP($A644,표1[#ALL],row(),false)</f>
        <v>#N/A</v>
      </c>
      <c r="AG644" s="372" t="str">
        <f>CS_PID!AG644/VLOOKUP($B644,표2[#ALL],2)/HLOOKUP($A644,표1[#ALL],row(),false)</f>
        <v>#N/A</v>
      </c>
      <c r="AH644" s="372" t="str">
        <f>CS_PID!AH644/VLOOKUP($B644,표2[#ALL],2)/HLOOKUP($A644,표1[#ALL],row(),false)</f>
        <v>#N/A</v>
      </c>
      <c r="AI644" s="372" t="str">
        <f>CS_PID!AI644/VLOOKUP($B644,표2[#ALL],2)/HLOOKUP($A644,표1[#ALL],row(),false)</f>
        <v>#N/A</v>
      </c>
      <c r="AJ644" s="372" t="str">
        <f>CS_PID!AJ644/VLOOKUP($B644,표2[#ALL],2)/HLOOKUP($A644,표1[#ALL],row(),false)</f>
        <v>#N/A</v>
      </c>
      <c r="AK644" s="372" t="str">
        <f>CS_PID!AK644/VLOOKUP($B644,표2[#ALL],2)/HLOOKUP($A644,표1[#ALL],row(),false)</f>
        <v>#N/A</v>
      </c>
      <c r="AL644" s="372" t="str">
        <f>CS_PID!AL644/VLOOKUP($B644,표2[#ALL],2)/HLOOKUP($A644,표1[#ALL],row(),false)</f>
        <v>#N/A</v>
      </c>
      <c r="AM644" s="372" t="str">
        <f>CS_PID!AM644/VLOOKUP($B644,표2[#ALL],2)/HLOOKUP($A644,표1[#ALL],row(),false)</f>
        <v>#N/A</v>
      </c>
      <c r="AN644" s="372" t="str">
        <f>CS_PID!AN644/VLOOKUP($B644,표2[#ALL],2)/HLOOKUP($A644,표1[#ALL],row(),false)</f>
        <v>#N/A</v>
      </c>
      <c r="AO644" s="372" t="str">
        <f>CS_PID!AO644/VLOOKUP($B644,표2[#ALL],2)/HLOOKUP($A644,표1[#ALL],row(),false)</f>
        <v>#N/A</v>
      </c>
      <c r="AP644" s="372" t="str">
        <f>CS_PID!AP644/VLOOKUP($B644,표2[#ALL],2)/HLOOKUP($A644,표1[#ALL],row(),false)</f>
        <v>#N/A</v>
      </c>
      <c r="AQ644" s="372" t="str">
        <f>CS_PID!AQ644/VLOOKUP($B644,표2[#ALL],2)/HLOOKUP($A644,표1[#ALL],row(),false)</f>
        <v>#N/A</v>
      </c>
      <c r="AR644" s="372" t="str">
        <f>CS_PID!AR644/VLOOKUP($B644,표2[#ALL],2)/HLOOKUP($A644,표1[#ALL],row(),false)</f>
        <v>#N/A</v>
      </c>
      <c r="AS644" s="373" t="str">
        <f>CS_PID!AS644/VLOOKUP($B644,표2[#ALL],2)/HLOOKUP($A644,표1[#ALL],row(),false)</f>
        <v>#N/A</v>
      </c>
    </row>
    <row r="645">
      <c r="A645" s="374"/>
      <c r="B645" s="375"/>
      <c r="C645" s="376" t="str">
        <f>CS_PID!C645/VLOOKUP($B645,표2[#ALL],2)</f>
        <v>#N/A</v>
      </c>
      <c r="D645" s="376" t="str">
        <f>CS_PID!D645/VLOOKUP($B645,표2[#ALL],2)</f>
        <v>#N/A</v>
      </c>
      <c r="E645" s="376" t="str">
        <f>CS_PID!E645/VLOOKUP($B645,표2[#ALL],2)</f>
        <v>#N/A</v>
      </c>
      <c r="F645" s="376" t="str">
        <f>CS_PID!F645/VLOOKUP($B645,표2[#ALL],2)</f>
        <v>#N/A</v>
      </c>
      <c r="G645" s="376" t="str">
        <f>CS_PID!G645/VLOOKUP($B645,표2[#ALL],2)</f>
        <v>#N/A</v>
      </c>
      <c r="H645" s="376" t="str">
        <f>CS_PID!H645/VLOOKUP($B645,표2[#ALL],2)/HLOOKUP($A645,표1[#ALL],row(),false)</f>
        <v>#N/A</v>
      </c>
      <c r="I645" s="376" t="str">
        <f>CS_PID!I645/VLOOKUP($B645,표2[#ALL],2)/HLOOKUP($A645,표1[#ALL],row(),false)</f>
        <v>#N/A</v>
      </c>
      <c r="J645" s="376" t="str">
        <f>CS_PID!J645/VLOOKUP($B645,표2[#ALL],2)/HLOOKUP($A645,표1[#ALL],row(),false)</f>
        <v>#N/A</v>
      </c>
      <c r="K645" s="376" t="str">
        <f>CS_PID!K645/VLOOKUP($B645,표2[#ALL],2)/HLOOKUP($A645,표1[#ALL],row(),false)</f>
        <v>#N/A</v>
      </c>
      <c r="L645" s="376" t="str">
        <f>CS_PID!L645/VLOOKUP($B645,표2[#ALL],2)/HLOOKUP($A645,표1[#ALL],row(),false)</f>
        <v>#N/A</v>
      </c>
      <c r="M645" s="376" t="str">
        <f>CS_PID!M645/VLOOKUP($B645,표2[#ALL],2)/HLOOKUP($A645,표1[#ALL],row(),false)</f>
        <v>#N/A</v>
      </c>
      <c r="N645" s="376" t="str">
        <f>CS_PID!N645/VLOOKUP($B645,표2[#ALL],2)/HLOOKUP($A645,표1[#ALL],row(),false)</f>
        <v>#N/A</v>
      </c>
      <c r="O645" s="376" t="str">
        <f>CS_PID!O645/VLOOKUP($B645,표2[#ALL],2)/HLOOKUP($A645,표1[#ALL],row(),false)</f>
        <v>#N/A</v>
      </c>
      <c r="P645" s="376" t="str">
        <f>CS_PID!P645/VLOOKUP($B645,표2[#ALL],2)/HLOOKUP($A645,표1[#ALL],row(),false)</f>
        <v>#N/A</v>
      </c>
      <c r="Q645" s="376" t="str">
        <f>CS_PID!Q645/VLOOKUP($B645,표2[#ALL],2)/HLOOKUP($A645,표1[#ALL],row(),false)</f>
        <v>#N/A</v>
      </c>
      <c r="R645" s="376" t="str">
        <f>CS_PID!R645/VLOOKUP($B645,표2[#ALL],2)/HLOOKUP($A645,표1[#ALL],row(),false)</f>
        <v>#N/A</v>
      </c>
      <c r="S645" s="376" t="str">
        <f>CS_PID!S645/VLOOKUP($B645,표2[#ALL],2)/HLOOKUP($A645,표1[#ALL],row(),false)</f>
        <v>#N/A</v>
      </c>
      <c r="T645" s="376" t="str">
        <f>CS_PID!T645/VLOOKUP($B645,표2[#ALL],2)/HLOOKUP($A645,표1[#ALL],row(),false)</f>
        <v>#N/A</v>
      </c>
      <c r="U645" s="376" t="str">
        <f>CS_PID!U645/VLOOKUP($B645,표2[#ALL],2)/HLOOKUP($A645,표1[#ALL],row(),false)</f>
        <v>#N/A</v>
      </c>
      <c r="V645" s="376" t="str">
        <f>CS_PID!V645/VLOOKUP($B645,표2[#ALL],2)/HLOOKUP($A645,표1[#ALL],row(),false)</f>
        <v>#N/A</v>
      </c>
      <c r="W645" s="376" t="str">
        <f>CS_PID!W645/VLOOKUP($B645,표2[#ALL],2)/HLOOKUP($A645,표1[#ALL],row(),false)</f>
        <v>#N/A</v>
      </c>
      <c r="X645" s="376" t="str">
        <f>CS_PID!X645/VLOOKUP($B645,표2[#ALL],2)/HLOOKUP($A645,표1[#ALL],row(),false)</f>
        <v>#N/A</v>
      </c>
      <c r="Y645" s="376" t="str">
        <f>CS_PID!Y645/VLOOKUP($B645,표2[#ALL],2)/HLOOKUP($A645,표1[#ALL],row(),false)</f>
        <v>#N/A</v>
      </c>
      <c r="Z645" s="376" t="str">
        <f>CS_PID!Z645/VLOOKUP($B645,표2[#ALL],2)/HLOOKUP($A645,표1[#ALL],row(),false)</f>
        <v>#N/A</v>
      </c>
      <c r="AA645" s="376" t="str">
        <f>CS_PID!AA645/VLOOKUP($B645,표2[#ALL],2)/HLOOKUP($A645,표1[#ALL],row(),false)</f>
        <v>#N/A</v>
      </c>
      <c r="AB645" s="376" t="str">
        <f>CS_PID!AB645/VLOOKUP($B645,표2[#ALL],2)/HLOOKUP($A645,표1[#ALL],row(),false)</f>
        <v>#N/A</v>
      </c>
      <c r="AC645" s="376" t="str">
        <f>CS_PID!AC645/VLOOKUP($B645,표2[#ALL],2)/HLOOKUP($A645,표1[#ALL],row(),false)</f>
        <v>#N/A</v>
      </c>
      <c r="AD645" s="376" t="str">
        <f>CS_PID!AD645/VLOOKUP($B645,표2[#ALL],2)/HLOOKUP($A645,표1[#ALL],row(),false)</f>
        <v>#N/A</v>
      </c>
      <c r="AE645" s="376" t="str">
        <f>CS_PID!AE645/VLOOKUP($B645,표2[#ALL],2)/HLOOKUP($A645,표1[#ALL],row(),false)</f>
        <v>#N/A</v>
      </c>
      <c r="AF645" s="376" t="str">
        <f>CS_PID!AF645/VLOOKUP($B645,표2[#ALL],2)/HLOOKUP($A645,표1[#ALL],row(),false)</f>
        <v>#N/A</v>
      </c>
      <c r="AG645" s="376" t="str">
        <f>CS_PID!AG645/VLOOKUP($B645,표2[#ALL],2)/HLOOKUP($A645,표1[#ALL],row(),false)</f>
        <v>#N/A</v>
      </c>
      <c r="AH645" s="376" t="str">
        <f>CS_PID!AH645/VLOOKUP($B645,표2[#ALL],2)/HLOOKUP($A645,표1[#ALL],row(),false)</f>
        <v>#N/A</v>
      </c>
      <c r="AI645" s="376" t="str">
        <f>CS_PID!AI645/VLOOKUP($B645,표2[#ALL],2)/HLOOKUP($A645,표1[#ALL],row(),false)</f>
        <v>#N/A</v>
      </c>
      <c r="AJ645" s="376" t="str">
        <f>CS_PID!AJ645/VLOOKUP($B645,표2[#ALL],2)/HLOOKUP($A645,표1[#ALL],row(),false)</f>
        <v>#N/A</v>
      </c>
      <c r="AK645" s="376" t="str">
        <f>CS_PID!AK645/VLOOKUP($B645,표2[#ALL],2)/HLOOKUP($A645,표1[#ALL],row(),false)</f>
        <v>#N/A</v>
      </c>
      <c r="AL645" s="376" t="str">
        <f>CS_PID!AL645/VLOOKUP($B645,표2[#ALL],2)/HLOOKUP($A645,표1[#ALL],row(),false)</f>
        <v>#N/A</v>
      </c>
      <c r="AM645" s="376" t="str">
        <f>CS_PID!AM645/VLOOKUP($B645,표2[#ALL],2)/HLOOKUP($A645,표1[#ALL],row(),false)</f>
        <v>#N/A</v>
      </c>
      <c r="AN645" s="376" t="str">
        <f>CS_PID!AN645/VLOOKUP($B645,표2[#ALL],2)/HLOOKUP($A645,표1[#ALL],row(),false)</f>
        <v>#N/A</v>
      </c>
      <c r="AO645" s="376" t="str">
        <f>CS_PID!AO645/VLOOKUP($B645,표2[#ALL],2)/HLOOKUP($A645,표1[#ALL],row(),false)</f>
        <v>#N/A</v>
      </c>
      <c r="AP645" s="376" t="str">
        <f>CS_PID!AP645/VLOOKUP($B645,표2[#ALL],2)/HLOOKUP($A645,표1[#ALL],row(),false)</f>
        <v>#N/A</v>
      </c>
      <c r="AQ645" s="376" t="str">
        <f>CS_PID!AQ645/VLOOKUP($B645,표2[#ALL],2)/HLOOKUP($A645,표1[#ALL],row(),false)</f>
        <v>#N/A</v>
      </c>
      <c r="AR645" s="376" t="str">
        <f>CS_PID!AR645/VLOOKUP($B645,표2[#ALL],2)/HLOOKUP($A645,표1[#ALL],row(),false)</f>
        <v>#N/A</v>
      </c>
      <c r="AS645" s="377" t="str">
        <f>CS_PID!AS645/VLOOKUP($B645,표2[#ALL],2)/HLOOKUP($A645,표1[#ALL],row(),false)</f>
        <v>#N/A</v>
      </c>
    </row>
    <row r="646">
      <c r="A646" s="370"/>
      <c r="B646" s="371"/>
      <c r="C646" s="372" t="str">
        <f>CS_PID!C646/VLOOKUP($B646,표2[#ALL],2)</f>
        <v>#N/A</v>
      </c>
      <c r="D646" s="372" t="str">
        <f>CS_PID!D646/VLOOKUP($B646,표2[#ALL],2)</f>
        <v>#N/A</v>
      </c>
      <c r="E646" s="372" t="str">
        <f>CS_PID!E646/VLOOKUP($B646,표2[#ALL],2)</f>
        <v>#N/A</v>
      </c>
      <c r="F646" s="372" t="str">
        <f>CS_PID!F646/VLOOKUP($B646,표2[#ALL],2)</f>
        <v>#N/A</v>
      </c>
      <c r="G646" s="372" t="str">
        <f>CS_PID!G646/VLOOKUP($B646,표2[#ALL],2)</f>
        <v>#N/A</v>
      </c>
      <c r="H646" s="372" t="str">
        <f>CS_PID!H646/VLOOKUP($B646,표2[#ALL],2)/HLOOKUP($A646,표1[#ALL],row(),false)</f>
        <v>#N/A</v>
      </c>
      <c r="I646" s="372" t="str">
        <f>CS_PID!I646/VLOOKUP($B646,표2[#ALL],2)/HLOOKUP($A646,표1[#ALL],row(),false)</f>
        <v>#N/A</v>
      </c>
      <c r="J646" s="372" t="str">
        <f>CS_PID!J646/VLOOKUP($B646,표2[#ALL],2)/HLOOKUP($A646,표1[#ALL],row(),false)</f>
        <v>#N/A</v>
      </c>
      <c r="K646" s="372" t="str">
        <f>CS_PID!K646/VLOOKUP($B646,표2[#ALL],2)/HLOOKUP($A646,표1[#ALL],row(),false)</f>
        <v>#N/A</v>
      </c>
      <c r="L646" s="372" t="str">
        <f>CS_PID!L646/VLOOKUP($B646,표2[#ALL],2)/HLOOKUP($A646,표1[#ALL],row(),false)</f>
        <v>#N/A</v>
      </c>
      <c r="M646" s="372" t="str">
        <f>CS_PID!M646/VLOOKUP($B646,표2[#ALL],2)/HLOOKUP($A646,표1[#ALL],row(),false)</f>
        <v>#N/A</v>
      </c>
      <c r="N646" s="372" t="str">
        <f>CS_PID!N646/VLOOKUP($B646,표2[#ALL],2)/HLOOKUP($A646,표1[#ALL],row(),false)</f>
        <v>#N/A</v>
      </c>
      <c r="O646" s="372" t="str">
        <f>CS_PID!O646/VLOOKUP($B646,표2[#ALL],2)/HLOOKUP($A646,표1[#ALL],row(),false)</f>
        <v>#N/A</v>
      </c>
      <c r="P646" s="372" t="str">
        <f>CS_PID!P646/VLOOKUP($B646,표2[#ALL],2)/HLOOKUP($A646,표1[#ALL],row(),false)</f>
        <v>#N/A</v>
      </c>
      <c r="Q646" s="372" t="str">
        <f>CS_PID!Q646/VLOOKUP($B646,표2[#ALL],2)/HLOOKUP($A646,표1[#ALL],row(),false)</f>
        <v>#N/A</v>
      </c>
      <c r="R646" s="372" t="str">
        <f>CS_PID!R646/VLOOKUP($B646,표2[#ALL],2)/HLOOKUP($A646,표1[#ALL],row(),false)</f>
        <v>#N/A</v>
      </c>
      <c r="S646" s="372" t="str">
        <f>CS_PID!S646/VLOOKUP($B646,표2[#ALL],2)/HLOOKUP($A646,표1[#ALL],row(),false)</f>
        <v>#N/A</v>
      </c>
      <c r="T646" s="372" t="str">
        <f>CS_PID!T646/VLOOKUP($B646,표2[#ALL],2)/HLOOKUP($A646,표1[#ALL],row(),false)</f>
        <v>#N/A</v>
      </c>
      <c r="U646" s="372" t="str">
        <f>CS_PID!U646/VLOOKUP($B646,표2[#ALL],2)/HLOOKUP($A646,표1[#ALL],row(),false)</f>
        <v>#N/A</v>
      </c>
      <c r="V646" s="372" t="str">
        <f>CS_PID!V646/VLOOKUP($B646,표2[#ALL],2)/HLOOKUP($A646,표1[#ALL],row(),false)</f>
        <v>#N/A</v>
      </c>
      <c r="W646" s="372" t="str">
        <f>CS_PID!W646/VLOOKUP($B646,표2[#ALL],2)/HLOOKUP($A646,표1[#ALL],row(),false)</f>
        <v>#N/A</v>
      </c>
      <c r="X646" s="372" t="str">
        <f>CS_PID!X646/VLOOKUP($B646,표2[#ALL],2)/HLOOKUP($A646,표1[#ALL],row(),false)</f>
        <v>#N/A</v>
      </c>
      <c r="Y646" s="372" t="str">
        <f>CS_PID!Y646/VLOOKUP($B646,표2[#ALL],2)/HLOOKUP($A646,표1[#ALL],row(),false)</f>
        <v>#N/A</v>
      </c>
      <c r="Z646" s="372" t="str">
        <f>CS_PID!Z646/VLOOKUP($B646,표2[#ALL],2)/HLOOKUP($A646,표1[#ALL],row(),false)</f>
        <v>#N/A</v>
      </c>
      <c r="AA646" s="372" t="str">
        <f>CS_PID!AA646/VLOOKUP($B646,표2[#ALL],2)/HLOOKUP($A646,표1[#ALL],row(),false)</f>
        <v>#N/A</v>
      </c>
      <c r="AB646" s="372" t="str">
        <f>CS_PID!AB646/VLOOKUP($B646,표2[#ALL],2)/HLOOKUP($A646,표1[#ALL],row(),false)</f>
        <v>#N/A</v>
      </c>
      <c r="AC646" s="372" t="str">
        <f>CS_PID!AC646/VLOOKUP($B646,표2[#ALL],2)/HLOOKUP($A646,표1[#ALL],row(),false)</f>
        <v>#N/A</v>
      </c>
      <c r="AD646" s="372" t="str">
        <f>CS_PID!AD646/VLOOKUP($B646,표2[#ALL],2)/HLOOKUP($A646,표1[#ALL],row(),false)</f>
        <v>#N/A</v>
      </c>
      <c r="AE646" s="372" t="str">
        <f>CS_PID!AE646/VLOOKUP($B646,표2[#ALL],2)/HLOOKUP($A646,표1[#ALL],row(),false)</f>
        <v>#N/A</v>
      </c>
      <c r="AF646" s="372" t="str">
        <f>CS_PID!AF646/VLOOKUP($B646,표2[#ALL],2)/HLOOKUP($A646,표1[#ALL],row(),false)</f>
        <v>#N/A</v>
      </c>
      <c r="AG646" s="372" t="str">
        <f>CS_PID!AG646/VLOOKUP($B646,표2[#ALL],2)/HLOOKUP($A646,표1[#ALL],row(),false)</f>
        <v>#N/A</v>
      </c>
      <c r="AH646" s="372" t="str">
        <f>CS_PID!AH646/VLOOKUP($B646,표2[#ALL],2)/HLOOKUP($A646,표1[#ALL],row(),false)</f>
        <v>#N/A</v>
      </c>
      <c r="AI646" s="372" t="str">
        <f>CS_PID!AI646/VLOOKUP($B646,표2[#ALL],2)/HLOOKUP($A646,표1[#ALL],row(),false)</f>
        <v>#N/A</v>
      </c>
      <c r="AJ646" s="372" t="str">
        <f>CS_PID!AJ646/VLOOKUP($B646,표2[#ALL],2)/HLOOKUP($A646,표1[#ALL],row(),false)</f>
        <v>#N/A</v>
      </c>
      <c r="AK646" s="372" t="str">
        <f>CS_PID!AK646/VLOOKUP($B646,표2[#ALL],2)/HLOOKUP($A646,표1[#ALL],row(),false)</f>
        <v>#N/A</v>
      </c>
      <c r="AL646" s="372" t="str">
        <f>CS_PID!AL646/VLOOKUP($B646,표2[#ALL],2)/HLOOKUP($A646,표1[#ALL],row(),false)</f>
        <v>#N/A</v>
      </c>
      <c r="AM646" s="372" t="str">
        <f>CS_PID!AM646/VLOOKUP($B646,표2[#ALL],2)/HLOOKUP($A646,표1[#ALL],row(),false)</f>
        <v>#N/A</v>
      </c>
      <c r="AN646" s="372" t="str">
        <f>CS_PID!AN646/VLOOKUP($B646,표2[#ALL],2)/HLOOKUP($A646,표1[#ALL],row(),false)</f>
        <v>#N/A</v>
      </c>
      <c r="AO646" s="372" t="str">
        <f>CS_PID!AO646/VLOOKUP($B646,표2[#ALL],2)/HLOOKUP($A646,표1[#ALL],row(),false)</f>
        <v>#N/A</v>
      </c>
      <c r="AP646" s="372" t="str">
        <f>CS_PID!AP646/VLOOKUP($B646,표2[#ALL],2)/HLOOKUP($A646,표1[#ALL],row(),false)</f>
        <v>#N/A</v>
      </c>
      <c r="AQ646" s="372" t="str">
        <f>CS_PID!AQ646/VLOOKUP($B646,표2[#ALL],2)/HLOOKUP($A646,표1[#ALL],row(),false)</f>
        <v>#N/A</v>
      </c>
      <c r="AR646" s="372" t="str">
        <f>CS_PID!AR646/VLOOKUP($B646,표2[#ALL],2)/HLOOKUP($A646,표1[#ALL],row(),false)</f>
        <v>#N/A</v>
      </c>
      <c r="AS646" s="373" t="str">
        <f>CS_PID!AS646/VLOOKUP($B646,표2[#ALL],2)/HLOOKUP($A646,표1[#ALL],row(),false)</f>
        <v>#N/A</v>
      </c>
    </row>
    <row r="647">
      <c r="A647" s="374"/>
      <c r="B647" s="375"/>
      <c r="C647" s="376" t="str">
        <f>CS_PID!C647/VLOOKUP($B647,표2[#ALL],2)</f>
        <v>#N/A</v>
      </c>
      <c r="D647" s="376" t="str">
        <f>CS_PID!D647/VLOOKUP($B647,표2[#ALL],2)</f>
        <v>#N/A</v>
      </c>
      <c r="E647" s="376" t="str">
        <f>CS_PID!E647/VLOOKUP($B647,표2[#ALL],2)</f>
        <v>#N/A</v>
      </c>
      <c r="F647" s="376" t="str">
        <f>CS_PID!F647/VLOOKUP($B647,표2[#ALL],2)</f>
        <v>#N/A</v>
      </c>
      <c r="G647" s="376" t="str">
        <f>CS_PID!G647/VLOOKUP($B647,표2[#ALL],2)</f>
        <v>#N/A</v>
      </c>
      <c r="H647" s="376" t="str">
        <f>CS_PID!H647/VLOOKUP($B647,표2[#ALL],2)/HLOOKUP($A647,표1[#ALL],row(),false)</f>
        <v>#N/A</v>
      </c>
      <c r="I647" s="376" t="str">
        <f>CS_PID!I647/VLOOKUP($B647,표2[#ALL],2)/HLOOKUP($A647,표1[#ALL],row(),false)</f>
        <v>#N/A</v>
      </c>
      <c r="J647" s="376" t="str">
        <f>CS_PID!J647/VLOOKUP($B647,표2[#ALL],2)/HLOOKUP($A647,표1[#ALL],row(),false)</f>
        <v>#N/A</v>
      </c>
      <c r="K647" s="376" t="str">
        <f>CS_PID!K647/VLOOKUP($B647,표2[#ALL],2)/HLOOKUP($A647,표1[#ALL],row(),false)</f>
        <v>#N/A</v>
      </c>
      <c r="L647" s="376" t="str">
        <f>CS_PID!L647/VLOOKUP($B647,표2[#ALL],2)/HLOOKUP($A647,표1[#ALL],row(),false)</f>
        <v>#N/A</v>
      </c>
      <c r="M647" s="376" t="str">
        <f>CS_PID!M647/VLOOKUP($B647,표2[#ALL],2)/HLOOKUP($A647,표1[#ALL],row(),false)</f>
        <v>#N/A</v>
      </c>
      <c r="N647" s="376" t="str">
        <f>CS_PID!N647/VLOOKUP($B647,표2[#ALL],2)/HLOOKUP($A647,표1[#ALL],row(),false)</f>
        <v>#N/A</v>
      </c>
      <c r="O647" s="376" t="str">
        <f>CS_PID!O647/VLOOKUP($B647,표2[#ALL],2)/HLOOKUP($A647,표1[#ALL],row(),false)</f>
        <v>#N/A</v>
      </c>
      <c r="P647" s="376" t="str">
        <f>CS_PID!P647/VLOOKUP($B647,표2[#ALL],2)/HLOOKUP($A647,표1[#ALL],row(),false)</f>
        <v>#N/A</v>
      </c>
      <c r="Q647" s="376" t="str">
        <f>CS_PID!Q647/VLOOKUP($B647,표2[#ALL],2)/HLOOKUP($A647,표1[#ALL],row(),false)</f>
        <v>#N/A</v>
      </c>
      <c r="R647" s="376" t="str">
        <f>CS_PID!R647/VLOOKUP($B647,표2[#ALL],2)/HLOOKUP($A647,표1[#ALL],row(),false)</f>
        <v>#N/A</v>
      </c>
      <c r="S647" s="376" t="str">
        <f>CS_PID!S647/VLOOKUP($B647,표2[#ALL],2)/HLOOKUP($A647,표1[#ALL],row(),false)</f>
        <v>#N/A</v>
      </c>
      <c r="T647" s="376" t="str">
        <f>CS_PID!T647/VLOOKUP($B647,표2[#ALL],2)/HLOOKUP($A647,표1[#ALL],row(),false)</f>
        <v>#N/A</v>
      </c>
      <c r="U647" s="376" t="str">
        <f>CS_PID!U647/VLOOKUP($B647,표2[#ALL],2)/HLOOKUP($A647,표1[#ALL],row(),false)</f>
        <v>#N/A</v>
      </c>
      <c r="V647" s="376" t="str">
        <f>CS_PID!V647/VLOOKUP($B647,표2[#ALL],2)/HLOOKUP($A647,표1[#ALL],row(),false)</f>
        <v>#N/A</v>
      </c>
      <c r="W647" s="376" t="str">
        <f>CS_PID!W647/VLOOKUP($B647,표2[#ALL],2)/HLOOKUP($A647,표1[#ALL],row(),false)</f>
        <v>#N/A</v>
      </c>
      <c r="X647" s="376" t="str">
        <f>CS_PID!X647/VLOOKUP($B647,표2[#ALL],2)/HLOOKUP($A647,표1[#ALL],row(),false)</f>
        <v>#N/A</v>
      </c>
      <c r="Y647" s="376" t="str">
        <f>CS_PID!Y647/VLOOKUP($B647,표2[#ALL],2)/HLOOKUP($A647,표1[#ALL],row(),false)</f>
        <v>#N/A</v>
      </c>
      <c r="Z647" s="376" t="str">
        <f>CS_PID!Z647/VLOOKUP($B647,표2[#ALL],2)/HLOOKUP($A647,표1[#ALL],row(),false)</f>
        <v>#N/A</v>
      </c>
      <c r="AA647" s="376" t="str">
        <f>CS_PID!AA647/VLOOKUP($B647,표2[#ALL],2)/HLOOKUP($A647,표1[#ALL],row(),false)</f>
        <v>#N/A</v>
      </c>
      <c r="AB647" s="376" t="str">
        <f>CS_PID!AB647/VLOOKUP($B647,표2[#ALL],2)/HLOOKUP($A647,표1[#ALL],row(),false)</f>
        <v>#N/A</v>
      </c>
      <c r="AC647" s="376" t="str">
        <f>CS_PID!AC647/VLOOKUP($B647,표2[#ALL],2)/HLOOKUP($A647,표1[#ALL],row(),false)</f>
        <v>#N/A</v>
      </c>
      <c r="AD647" s="376" t="str">
        <f>CS_PID!AD647/VLOOKUP($B647,표2[#ALL],2)/HLOOKUP($A647,표1[#ALL],row(),false)</f>
        <v>#N/A</v>
      </c>
      <c r="AE647" s="376" t="str">
        <f>CS_PID!AE647/VLOOKUP($B647,표2[#ALL],2)/HLOOKUP($A647,표1[#ALL],row(),false)</f>
        <v>#N/A</v>
      </c>
      <c r="AF647" s="376" t="str">
        <f>CS_PID!AF647/VLOOKUP($B647,표2[#ALL],2)/HLOOKUP($A647,표1[#ALL],row(),false)</f>
        <v>#N/A</v>
      </c>
      <c r="AG647" s="376" t="str">
        <f>CS_PID!AG647/VLOOKUP($B647,표2[#ALL],2)/HLOOKUP($A647,표1[#ALL],row(),false)</f>
        <v>#N/A</v>
      </c>
      <c r="AH647" s="376" t="str">
        <f>CS_PID!AH647/VLOOKUP($B647,표2[#ALL],2)/HLOOKUP($A647,표1[#ALL],row(),false)</f>
        <v>#N/A</v>
      </c>
      <c r="AI647" s="376" t="str">
        <f>CS_PID!AI647/VLOOKUP($B647,표2[#ALL],2)/HLOOKUP($A647,표1[#ALL],row(),false)</f>
        <v>#N/A</v>
      </c>
      <c r="AJ647" s="376" t="str">
        <f>CS_PID!AJ647/VLOOKUP($B647,표2[#ALL],2)/HLOOKUP($A647,표1[#ALL],row(),false)</f>
        <v>#N/A</v>
      </c>
      <c r="AK647" s="376" t="str">
        <f>CS_PID!AK647/VLOOKUP($B647,표2[#ALL],2)/HLOOKUP($A647,표1[#ALL],row(),false)</f>
        <v>#N/A</v>
      </c>
      <c r="AL647" s="376" t="str">
        <f>CS_PID!AL647/VLOOKUP($B647,표2[#ALL],2)/HLOOKUP($A647,표1[#ALL],row(),false)</f>
        <v>#N/A</v>
      </c>
      <c r="AM647" s="376" t="str">
        <f>CS_PID!AM647/VLOOKUP($B647,표2[#ALL],2)/HLOOKUP($A647,표1[#ALL],row(),false)</f>
        <v>#N/A</v>
      </c>
      <c r="AN647" s="376" t="str">
        <f>CS_PID!AN647/VLOOKUP($B647,표2[#ALL],2)/HLOOKUP($A647,표1[#ALL],row(),false)</f>
        <v>#N/A</v>
      </c>
      <c r="AO647" s="376" t="str">
        <f>CS_PID!AO647/VLOOKUP($B647,표2[#ALL],2)/HLOOKUP($A647,표1[#ALL],row(),false)</f>
        <v>#N/A</v>
      </c>
      <c r="AP647" s="376" t="str">
        <f>CS_PID!AP647/VLOOKUP($B647,표2[#ALL],2)/HLOOKUP($A647,표1[#ALL],row(),false)</f>
        <v>#N/A</v>
      </c>
      <c r="AQ647" s="376" t="str">
        <f>CS_PID!AQ647/VLOOKUP($B647,표2[#ALL],2)/HLOOKUP($A647,표1[#ALL],row(),false)</f>
        <v>#N/A</v>
      </c>
      <c r="AR647" s="376" t="str">
        <f>CS_PID!AR647/VLOOKUP($B647,표2[#ALL],2)/HLOOKUP($A647,표1[#ALL],row(),false)</f>
        <v>#N/A</v>
      </c>
      <c r="AS647" s="377" t="str">
        <f>CS_PID!AS647/VLOOKUP($B647,표2[#ALL],2)/HLOOKUP($A647,표1[#ALL],row(),false)</f>
        <v>#N/A</v>
      </c>
    </row>
    <row r="648">
      <c r="A648" s="370"/>
      <c r="B648" s="371"/>
      <c r="C648" s="372" t="str">
        <f>CS_PID!C648/VLOOKUP($B648,표2[#ALL],2)</f>
        <v>#N/A</v>
      </c>
      <c r="D648" s="372" t="str">
        <f>CS_PID!D648/VLOOKUP($B648,표2[#ALL],2)</f>
        <v>#N/A</v>
      </c>
      <c r="E648" s="372" t="str">
        <f>CS_PID!E648/VLOOKUP($B648,표2[#ALL],2)</f>
        <v>#N/A</v>
      </c>
      <c r="F648" s="372" t="str">
        <f>CS_PID!F648/VLOOKUP($B648,표2[#ALL],2)</f>
        <v>#N/A</v>
      </c>
      <c r="G648" s="372" t="str">
        <f>CS_PID!G648/VLOOKUP($B648,표2[#ALL],2)</f>
        <v>#N/A</v>
      </c>
      <c r="H648" s="372" t="str">
        <f>CS_PID!H648/VLOOKUP($B648,표2[#ALL],2)/HLOOKUP($A648,표1[#ALL],row(),false)</f>
        <v>#N/A</v>
      </c>
      <c r="I648" s="372" t="str">
        <f>CS_PID!I648/VLOOKUP($B648,표2[#ALL],2)/HLOOKUP($A648,표1[#ALL],row(),false)</f>
        <v>#N/A</v>
      </c>
      <c r="J648" s="372" t="str">
        <f>CS_PID!J648/VLOOKUP($B648,표2[#ALL],2)/HLOOKUP($A648,표1[#ALL],row(),false)</f>
        <v>#N/A</v>
      </c>
      <c r="K648" s="372" t="str">
        <f>CS_PID!K648/VLOOKUP($B648,표2[#ALL],2)/HLOOKUP($A648,표1[#ALL],row(),false)</f>
        <v>#N/A</v>
      </c>
      <c r="L648" s="372" t="str">
        <f>CS_PID!L648/VLOOKUP($B648,표2[#ALL],2)/HLOOKUP($A648,표1[#ALL],row(),false)</f>
        <v>#N/A</v>
      </c>
      <c r="M648" s="372" t="str">
        <f>CS_PID!M648/VLOOKUP($B648,표2[#ALL],2)/HLOOKUP($A648,표1[#ALL],row(),false)</f>
        <v>#N/A</v>
      </c>
      <c r="N648" s="372" t="str">
        <f>CS_PID!N648/VLOOKUP($B648,표2[#ALL],2)/HLOOKUP($A648,표1[#ALL],row(),false)</f>
        <v>#N/A</v>
      </c>
      <c r="O648" s="372" t="str">
        <f>CS_PID!O648/VLOOKUP($B648,표2[#ALL],2)/HLOOKUP($A648,표1[#ALL],row(),false)</f>
        <v>#N/A</v>
      </c>
      <c r="P648" s="372" t="str">
        <f>CS_PID!P648/VLOOKUP($B648,표2[#ALL],2)/HLOOKUP($A648,표1[#ALL],row(),false)</f>
        <v>#N/A</v>
      </c>
      <c r="Q648" s="372" t="str">
        <f>CS_PID!Q648/VLOOKUP($B648,표2[#ALL],2)/HLOOKUP($A648,표1[#ALL],row(),false)</f>
        <v>#N/A</v>
      </c>
      <c r="R648" s="372" t="str">
        <f>CS_PID!R648/VLOOKUP($B648,표2[#ALL],2)/HLOOKUP($A648,표1[#ALL],row(),false)</f>
        <v>#N/A</v>
      </c>
      <c r="S648" s="372" t="str">
        <f>CS_PID!S648/VLOOKUP($B648,표2[#ALL],2)/HLOOKUP($A648,표1[#ALL],row(),false)</f>
        <v>#N/A</v>
      </c>
      <c r="T648" s="372" t="str">
        <f>CS_PID!T648/VLOOKUP($B648,표2[#ALL],2)/HLOOKUP($A648,표1[#ALL],row(),false)</f>
        <v>#N/A</v>
      </c>
      <c r="U648" s="372" t="str">
        <f>CS_PID!U648/VLOOKUP($B648,표2[#ALL],2)/HLOOKUP($A648,표1[#ALL],row(),false)</f>
        <v>#N/A</v>
      </c>
      <c r="V648" s="372" t="str">
        <f>CS_PID!V648/VLOOKUP($B648,표2[#ALL],2)/HLOOKUP($A648,표1[#ALL],row(),false)</f>
        <v>#N/A</v>
      </c>
      <c r="W648" s="372" t="str">
        <f>CS_PID!W648/VLOOKUP($B648,표2[#ALL],2)/HLOOKUP($A648,표1[#ALL],row(),false)</f>
        <v>#N/A</v>
      </c>
      <c r="X648" s="372" t="str">
        <f>CS_PID!X648/VLOOKUP($B648,표2[#ALL],2)/HLOOKUP($A648,표1[#ALL],row(),false)</f>
        <v>#N/A</v>
      </c>
      <c r="Y648" s="372" t="str">
        <f>CS_PID!Y648/VLOOKUP($B648,표2[#ALL],2)/HLOOKUP($A648,표1[#ALL],row(),false)</f>
        <v>#N/A</v>
      </c>
      <c r="Z648" s="372" t="str">
        <f>CS_PID!Z648/VLOOKUP($B648,표2[#ALL],2)/HLOOKUP($A648,표1[#ALL],row(),false)</f>
        <v>#N/A</v>
      </c>
      <c r="AA648" s="372" t="str">
        <f>CS_PID!AA648/VLOOKUP($B648,표2[#ALL],2)/HLOOKUP($A648,표1[#ALL],row(),false)</f>
        <v>#N/A</v>
      </c>
      <c r="AB648" s="372" t="str">
        <f>CS_PID!AB648/VLOOKUP($B648,표2[#ALL],2)/HLOOKUP($A648,표1[#ALL],row(),false)</f>
        <v>#N/A</v>
      </c>
      <c r="AC648" s="372" t="str">
        <f>CS_PID!AC648/VLOOKUP($B648,표2[#ALL],2)/HLOOKUP($A648,표1[#ALL],row(),false)</f>
        <v>#N/A</v>
      </c>
      <c r="AD648" s="372" t="str">
        <f>CS_PID!AD648/VLOOKUP($B648,표2[#ALL],2)/HLOOKUP($A648,표1[#ALL],row(),false)</f>
        <v>#N/A</v>
      </c>
      <c r="AE648" s="372" t="str">
        <f>CS_PID!AE648/VLOOKUP($B648,표2[#ALL],2)/HLOOKUP($A648,표1[#ALL],row(),false)</f>
        <v>#N/A</v>
      </c>
      <c r="AF648" s="372" t="str">
        <f>CS_PID!AF648/VLOOKUP($B648,표2[#ALL],2)/HLOOKUP($A648,표1[#ALL],row(),false)</f>
        <v>#N/A</v>
      </c>
      <c r="AG648" s="372" t="str">
        <f>CS_PID!AG648/VLOOKUP($B648,표2[#ALL],2)/HLOOKUP($A648,표1[#ALL],row(),false)</f>
        <v>#N/A</v>
      </c>
      <c r="AH648" s="372" t="str">
        <f>CS_PID!AH648/VLOOKUP($B648,표2[#ALL],2)/HLOOKUP($A648,표1[#ALL],row(),false)</f>
        <v>#N/A</v>
      </c>
      <c r="AI648" s="372" t="str">
        <f>CS_PID!AI648/VLOOKUP($B648,표2[#ALL],2)/HLOOKUP($A648,표1[#ALL],row(),false)</f>
        <v>#N/A</v>
      </c>
      <c r="AJ648" s="372" t="str">
        <f>CS_PID!AJ648/VLOOKUP($B648,표2[#ALL],2)/HLOOKUP($A648,표1[#ALL],row(),false)</f>
        <v>#N/A</v>
      </c>
      <c r="AK648" s="372" t="str">
        <f>CS_PID!AK648/VLOOKUP($B648,표2[#ALL],2)/HLOOKUP($A648,표1[#ALL],row(),false)</f>
        <v>#N/A</v>
      </c>
      <c r="AL648" s="372" t="str">
        <f>CS_PID!AL648/VLOOKUP($B648,표2[#ALL],2)/HLOOKUP($A648,표1[#ALL],row(),false)</f>
        <v>#N/A</v>
      </c>
      <c r="AM648" s="372" t="str">
        <f>CS_PID!AM648/VLOOKUP($B648,표2[#ALL],2)/HLOOKUP($A648,표1[#ALL],row(),false)</f>
        <v>#N/A</v>
      </c>
      <c r="AN648" s="372" t="str">
        <f>CS_PID!AN648/VLOOKUP($B648,표2[#ALL],2)/HLOOKUP($A648,표1[#ALL],row(),false)</f>
        <v>#N/A</v>
      </c>
      <c r="AO648" s="372" t="str">
        <f>CS_PID!AO648/VLOOKUP($B648,표2[#ALL],2)/HLOOKUP($A648,표1[#ALL],row(),false)</f>
        <v>#N/A</v>
      </c>
      <c r="AP648" s="372" t="str">
        <f>CS_PID!AP648/VLOOKUP($B648,표2[#ALL],2)/HLOOKUP($A648,표1[#ALL],row(),false)</f>
        <v>#N/A</v>
      </c>
      <c r="AQ648" s="372" t="str">
        <f>CS_PID!AQ648/VLOOKUP($B648,표2[#ALL],2)/HLOOKUP($A648,표1[#ALL],row(),false)</f>
        <v>#N/A</v>
      </c>
      <c r="AR648" s="372" t="str">
        <f>CS_PID!AR648/VLOOKUP($B648,표2[#ALL],2)/HLOOKUP($A648,표1[#ALL],row(),false)</f>
        <v>#N/A</v>
      </c>
      <c r="AS648" s="373" t="str">
        <f>CS_PID!AS648/VLOOKUP($B648,표2[#ALL],2)/HLOOKUP($A648,표1[#ALL],row(),false)</f>
        <v>#N/A</v>
      </c>
    </row>
    <row r="649">
      <c r="A649" s="374"/>
      <c r="B649" s="375"/>
      <c r="C649" s="376" t="str">
        <f>CS_PID!C649/VLOOKUP($B649,표2[#ALL],2)</f>
        <v>#N/A</v>
      </c>
      <c r="D649" s="376" t="str">
        <f>CS_PID!D649/VLOOKUP($B649,표2[#ALL],2)</f>
        <v>#N/A</v>
      </c>
      <c r="E649" s="376" t="str">
        <f>CS_PID!E649/VLOOKUP($B649,표2[#ALL],2)</f>
        <v>#N/A</v>
      </c>
      <c r="F649" s="376" t="str">
        <f>CS_PID!F649/VLOOKUP($B649,표2[#ALL],2)</f>
        <v>#N/A</v>
      </c>
      <c r="G649" s="376" t="str">
        <f>CS_PID!G649/VLOOKUP($B649,표2[#ALL],2)</f>
        <v>#N/A</v>
      </c>
      <c r="H649" s="376" t="str">
        <f>CS_PID!H649/VLOOKUP($B649,표2[#ALL],2)/HLOOKUP($A649,표1[#ALL],row(),false)</f>
        <v>#N/A</v>
      </c>
      <c r="I649" s="376" t="str">
        <f>CS_PID!I649/VLOOKUP($B649,표2[#ALL],2)/HLOOKUP($A649,표1[#ALL],row(),false)</f>
        <v>#N/A</v>
      </c>
      <c r="J649" s="376" t="str">
        <f>CS_PID!J649/VLOOKUP($B649,표2[#ALL],2)/HLOOKUP($A649,표1[#ALL],row(),false)</f>
        <v>#N/A</v>
      </c>
      <c r="K649" s="376" t="str">
        <f>CS_PID!K649/VLOOKUP($B649,표2[#ALL],2)/HLOOKUP($A649,표1[#ALL],row(),false)</f>
        <v>#N/A</v>
      </c>
      <c r="L649" s="376" t="str">
        <f>CS_PID!L649/VLOOKUP($B649,표2[#ALL],2)/HLOOKUP($A649,표1[#ALL],row(),false)</f>
        <v>#N/A</v>
      </c>
      <c r="M649" s="376" t="str">
        <f>CS_PID!M649/VLOOKUP($B649,표2[#ALL],2)/HLOOKUP($A649,표1[#ALL],row(),false)</f>
        <v>#N/A</v>
      </c>
      <c r="N649" s="376" t="str">
        <f>CS_PID!N649/VLOOKUP($B649,표2[#ALL],2)/HLOOKUP($A649,표1[#ALL],row(),false)</f>
        <v>#N/A</v>
      </c>
      <c r="O649" s="376" t="str">
        <f>CS_PID!O649/VLOOKUP($B649,표2[#ALL],2)/HLOOKUP($A649,표1[#ALL],row(),false)</f>
        <v>#N/A</v>
      </c>
      <c r="P649" s="376" t="str">
        <f>CS_PID!P649/VLOOKUP($B649,표2[#ALL],2)/HLOOKUP($A649,표1[#ALL],row(),false)</f>
        <v>#N/A</v>
      </c>
      <c r="Q649" s="376" t="str">
        <f>CS_PID!Q649/VLOOKUP($B649,표2[#ALL],2)/HLOOKUP($A649,표1[#ALL],row(),false)</f>
        <v>#N/A</v>
      </c>
      <c r="R649" s="376" t="str">
        <f>CS_PID!R649/VLOOKUP($B649,표2[#ALL],2)/HLOOKUP($A649,표1[#ALL],row(),false)</f>
        <v>#N/A</v>
      </c>
      <c r="S649" s="376" t="str">
        <f>CS_PID!S649/VLOOKUP($B649,표2[#ALL],2)/HLOOKUP($A649,표1[#ALL],row(),false)</f>
        <v>#N/A</v>
      </c>
      <c r="T649" s="376" t="str">
        <f>CS_PID!T649/VLOOKUP($B649,표2[#ALL],2)/HLOOKUP($A649,표1[#ALL],row(),false)</f>
        <v>#N/A</v>
      </c>
      <c r="U649" s="376" t="str">
        <f>CS_PID!U649/VLOOKUP($B649,표2[#ALL],2)/HLOOKUP($A649,표1[#ALL],row(),false)</f>
        <v>#N/A</v>
      </c>
      <c r="V649" s="376" t="str">
        <f>CS_PID!V649/VLOOKUP($B649,표2[#ALL],2)/HLOOKUP($A649,표1[#ALL],row(),false)</f>
        <v>#N/A</v>
      </c>
      <c r="W649" s="376" t="str">
        <f>CS_PID!W649/VLOOKUP($B649,표2[#ALL],2)/HLOOKUP($A649,표1[#ALL],row(),false)</f>
        <v>#N/A</v>
      </c>
      <c r="X649" s="376" t="str">
        <f>CS_PID!X649/VLOOKUP($B649,표2[#ALL],2)/HLOOKUP($A649,표1[#ALL],row(),false)</f>
        <v>#N/A</v>
      </c>
      <c r="Y649" s="376" t="str">
        <f>CS_PID!Y649/VLOOKUP($B649,표2[#ALL],2)/HLOOKUP($A649,표1[#ALL],row(),false)</f>
        <v>#N/A</v>
      </c>
      <c r="Z649" s="376" t="str">
        <f>CS_PID!Z649/VLOOKUP($B649,표2[#ALL],2)/HLOOKUP($A649,표1[#ALL],row(),false)</f>
        <v>#N/A</v>
      </c>
      <c r="AA649" s="376" t="str">
        <f>CS_PID!AA649/VLOOKUP($B649,표2[#ALL],2)/HLOOKUP($A649,표1[#ALL],row(),false)</f>
        <v>#N/A</v>
      </c>
      <c r="AB649" s="376" t="str">
        <f>CS_PID!AB649/VLOOKUP($B649,표2[#ALL],2)/HLOOKUP($A649,표1[#ALL],row(),false)</f>
        <v>#N/A</v>
      </c>
      <c r="AC649" s="376" t="str">
        <f>CS_PID!AC649/VLOOKUP($B649,표2[#ALL],2)/HLOOKUP($A649,표1[#ALL],row(),false)</f>
        <v>#N/A</v>
      </c>
      <c r="AD649" s="376" t="str">
        <f>CS_PID!AD649/VLOOKUP($B649,표2[#ALL],2)/HLOOKUP($A649,표1[#ALL],row(),false)</f>
        <v>#N/A</v>
      </c>
      <c r="AE649" s="376" t="str">
        <f>CS_PID!AE649/VLOOKUP($B649,표2[#ALL],2)/HLOOKUP($A649,표1[#ALL],row(),false)</f>
        <v>#N/A</v>
      </c>
      <c r="AF649" s="376" t="str">
        <f>CS_PID!AF649/VLOOKUP($B649,표2[#ALL],2)/HLOOKUP($A649,표1[#ALL],row(),false)</f>
        <v>#N/A</v>
      </c>
      <c r="AG649" s="376" t="str">
        <f>CS_PID!AG649/VLOOKUP($B649,표2[#ALL],2)/HLOOKUP($A649,표1[#ALL],row(),false)</f>
        <v>#N/A</v>
      </c>
      <c r="AH649" s="376" t="str">
        <f>CS_PID!AH649/VLOOKUP($B649,표2[#ALL],2)/HLOOKUP($A649,표1[#ALL],row(),false)</f>
        <v>#N/A</v>
      </c>
      <c r="AI649" s="376" t="str">
        <f>CS_PID!AI649/VLOOKUP($B649,표2[#ALL],2)/HLOOKUP($A649,표1[#ALL],row(),false)</f>
        <v>#N/A</v>
      </c>
      <c r="AJ649" s="376" t="str">
        <f>CS_PID!AJ649/VLOOKUP($B649,표2[#ALL],2)/HLOOKUP($A649,표1[#ALL],row(),false)</f>
        <v>#N/A</v>
      </c>
      <c r="AK649" s="376" t="str">
        <f>CS_PID!AK649/VLOOKUP($B649,표2[#ALL],2)/HLOOKUP($A649,표1[#ALL],row(),false)</f>
        <v>#N/A</v>
      </c>
      <c r="AL649" s="376" t="str">
        <f>CS_PID!AL649/VLOOKUP($B649,표2[#ALL],2)/HLOOKUP($A649,표1[#ALL],row(),false)</f>
        <v>#N/A</v>
      </c>
      <c r="AM649" s="376" t="str">
        <f>CS_PID!AM649/VLOOKUP($B649,표2[#ALL],2)/HLOOKUP($A649,표1[#ALL],row(),false)</f>
        <v>#N/A</v>
      </c>
      <c r="AN649" s="376" t="str">
        <f>CS_PID!AN649/VLOOKUP($B649,표2[#ALL],2)/HLOOKUP($A649,표1[#ALL],row(),false)</f>
        <v>#N/A</v>
      </c>
      <c r="AO649" s="376" t="str">
        <f>CS_PID!AO649/VLOOKUP($B649,표2[#ALL],2)/HLOOKUP($A649,표1[#ALL],row(),false)</f>
        <v>#N/A</v>
      </c>
      <c r="AP649" s="376" t="str">
        <f>CS_PID!AP649/VLOOKUP($B649,표2[#ALL],2)/HLOOKUP($A649,표1[#ALL],row(),false)</f>
        <v>#N/A</v>
      </c>
      <c r="AQ649" s="376" t="str">
        <f>CS_PID!AQ649/VLOOKUP($B649,표2[#ALL],2)/HLOOKUP($A649,표1[#ALL],row(),false)</f>
        <v>#N/A</v>
      </c>
      <c r="AR649" s="376" t="str">
        <f>CS_PID!AR649/VLOOKUP($B649,표2[#ALL],2)/HLOOKUP($A649,표1[#ALL],row(),false)</f>
        <v>#N/A</v>
      </c>
      <c r="AS649" s="377" t="str">
        <f>CS_PID!AS649/VLOOKUP($B649,표2[#ALL],2)/HLOOKUP($A649,표1[#ALL],row(),false)</f>
        <v>#N/A</v>
      </c>
    </row>
    <row r="650">
      <c r="A650" s="370"/>
      <c r="B650" s="371"/>
      <c r="C650" s="372" t="str">
        <f>CS_PID!C650/VLOOKUP($B650,표2[#ALL],2)</f>
        <v>#N/A</v>
      </c>
      <c r="D650" s="372" t="str">
        <f>CS_PID!D650/VLOOKUP($B650,표2[#ALL],2)</f>
        <v>#N/A</v>
      </c>
      <c r="E650" s="372" t="str">
        <f>CS_PID!E650/VLOOKUP($B650,표2[#ALL],2)</f>
        <v>#N/A</v>
      </c>
      <c r="F650" s="372" t="str">
        <f>CS_PID!F650/VLOOKUP($B650,표2[#ALL],2)</f>
        <v>#N/A</v>
      </c>
      <c r="G650" s="372" t="str">
        <f>CS_PID!G650/VLOOKUP($B650,표2[#ALL],2)</f>
        <v>#N/A</v>
      </c>
      <c r="H650" s="372" t="str">
        <f>CS_PID!H650/VLOOKUP($B650,표2[#ALL],2)/HLOOKUP($A650,표1[#ALL],row(),false)</f>
        <v>#N/A</v>
      </c>
      <c r="I650" s="372" t="str">
        <f>CS_PID!I650/VLOOKUP($B650,표2[#ALL],2)/HLOOKUP($A650,표1[#ALL],row(),false)</f>
        <v>#N/A</v>
      </c>
      <c r="J650" s="372" t="str">
        <f>CS_PID!J650/VLOOKUP($B650,표2[#ALL],2)/HLOOKUP($A650,표1[#ALL],row(),false)</f>
        <v>#N/A</v>
      </c>
      <c r="K650" s="372" t="str">
        <f>CS_PID!K650/VLOOKUP($B650,표2[#ALL],2)/HLOOKUP($A650,표1[#ALL],row(),false)</f>
        <v>#N/A</v>
      </c>
      <c r="L650" s="372" t="str">
        <f>CS_PID!L650/VLOOKUP($B650,표2[#ALL],2)/HLOOKUP($A650,표1[#ALL],row(),false)</f>
        <v>#N/A</v>
      </c>
      <c r="M650" s="372" t="str">
        <f>CS_PID!M650/VLOOKUP($B650,표2[#ALL],2)/HLOOKUP($A650,표1[#ALL],row(),false)</f>
        <v>#N/A</v>
      </c>
      <c r="N650" s="372" t="str">
        <f>CS_PID!N650/VLOOKUP($B650,표2[#ALL],2)/HLOOKUP($A650,표1[#ALL],row(),false)</f>
        <v>#N/A</v>
      </c>
      <c r="O650" s="372" t="str">
        <f>CS_PID!O650/VLOOKUP($B650,표2[#ALL],2)/HLOOKUP($A650,표1[#ALL],row(),false)</f>
        <v>#N/A</v>
      </c>
      <c r="P650" s="372" t="str">
        <f>CS_PID!P650/VLOOKUP($B650,표2[#ALL],2)/HLOOKUP($A650,표1[#ALL],row(),false)</f>
        <v>#N/A</v>
      </c>
      <c r="Q650" s="372" t="str">
        <f>CS_PID!Q650/VLOOKUP($B650,표2[#ALL],2)/HLOOKUP($A650,표1[#ALL],row(),false)</f>
        <v>#N/A</v>
      </c>
      <c r="R650" s="372" t="str">
        <f>CS_PID!R650/VLOOKUP($B650,표2[#ALL],2)/HLOOKUP($A650,표1[#ALL],row(),false)</f>
        <v>#N/A</v>
      </c>
      <c r="S650" s="372" t="str">
        <f>CS_PID!S650/VLOOKUP($B650,표2[#ALL],2)/HLOOKUP($A650,표1[#ALL],row(),false)</f>
        <v>#N/A</v>
      </c>
      <c r="T650" s="372" t="str">
        <f>CS_PID!T650/VLOOKUP($B650,표2[#ALL],2)/HLOOKUP($A650,표1[#ALL],row(),false)</f>
        <v>#N/A</v>
      </c>
      <c r="U650" s="372" t="str">
        <f>CS_PID!U650/VLOOKUP($B650,표2[#ALL],2)/HLOOKUP($A650,표1[#ALL],row(),false)</f>
        <v>#N/A</v>
      </c>
      <c r="V650" s="372" t="str">
        <f>CS_PID!V650/VLOOKUP($B650,표2[#ALL],2)/HLOOKUP($A650,표1[#ALL],row(),false)</f>
        <v>#N/A</v>
      </c>
      <c r="W650" s="372" t="str">
        <f>CS_PID!W650/VLOOKUP($B650,표2[#ALL],2)/HLOOKUP($A650,표1[#ALL],row(),false)</f>
        <v>#N/A</v>
      </c>
      <c r="X650" s="372" t="str">
        <f>CS_PID!X650/VLOOKUP($B650,표2[#ALL],2)/HLOOKUP($A650,표1[#ALL],row(),false)</f>
        <v>#N/A</v>
      </c>
      <c r="Y650" s="372" t="str">
        <f>CS_PID!Y650/VLOOKUP($B650,표2[#ALL],2)/HLOOKUP($A650,표1[#ALL],row(),false)</f>
        <v>#N/A</v>
      </c>
      <c r="Z650" s="372" t="str">
        <f>CS_PID!Z650/VLOOKUP($B650,표2[#ALL],2)/HLOOKUP($A650,표1[#ALL],row(),false)</f>
        <v>#N/A</v>
      </c>
      <c r="AA650" s="372" t="str">
        <f>CS_PID!AA650/VLOOKUP($B650,표2[#ALL],2)/HLOOKUP($A650,표1[#ALL],row(),false)</f>
        <v>#N/A</v>
      </c>
      <c r="AB650" s="372" t="str">
        <f>CS_PID!AB650/VLOOKUP($B650,표2[#ALL],2)/HLOOKUP($A650,표1[#ALL],row(),false)</f>
        <v>#N/A</v>
      </c>
      <c r="AC650" s="372" t="str">
        <f>CS_PID!AC650/VLOOKUP($B650,표2[#ALL],2)/HLOOKUP($A650,표1[#ALL],row(),false)</f>
        <v>#N/A</v>
      </c>
      <c r="AD650" s="372" t="str">
        <f>CS_PID!AD650/VLOOKUP($B650,표2[#ALL],2)/HLOOKUP($A650,표1[#ALL],row(),false)</f>
        <v>#N/A</v>
      </c>
      <c r="AE650" s="372" t="str">
        <f>CS_PID!AE650/VLOOKUP($B650,표2[#ALL],2)/HLOOKUP($A650,표1[#ALL],row(),false)</f>
        <v>#N/A</v>
      </c>
      <c r="AF650" s="372" t="str">
        <f>CS_PID!AF650/VLOOKUP($B650,표2[#ALL],2)/HLOOKUP($A650,표1[#ALL],row(),false)</f>
        <v>#N/A</v>
      </c>
      <c r="AG650" s="372" t="str">
        <f>CS_PID!AG650/VLOOKUP($B650,표2[#ALL],2)/HLOOKUP($A650,표1[#ALL],row(),false)</f>
        <v>#N/A</v>
      </c>
      <c r="AH650" s="372" t="str">
        <f>CS_PID!AH650/VLOOKUP($B650,표2[#ALL],2)/HLOOKUP($A650,표1[#ALL],row(),false)</f>
        <v>#N/A</v>
      </c>
      <c r="AI650" s="372" t="str">
        <f>CS_PID!AI650/VLOOKUP($B650,표2[#ALL],2)/HLOOKUP($A650,표1[#ALL],row(),false)</f>
        <v>#N/A</v>
      </c>
      <c r="AJ650" s="372" t="str">
        <f>CS_PID!AJ650/VLOOKUP($B650,표2[#ALL],2)/HLOOKUP($A650,표1[#ALL],row(),false)</f>
        <v>#N/A</v>
      </c>
      <c r="AK650" s="372" t="str">
        <f>CS_PID!AK650/VLOOKUP($B650,표2[#ALL],2)/HLOOKUP($A650,표1[#ALL],row(),false)</f>
        <v>#N/A</v>
      </c>
      <c r="AL650" s="372" t="str">
        <f>CS_PID!AL650/VLOOKUP($B650,표2[#ALL],2)/HLOOKUP($A650,표1[#ALL],row(),false)</f>
        <v>#N/A</v>
      </c>
      <c r="AM650" s="372" t="str">
        <f>CS_PID!AM650/VLOOKUP($B650,표2[#ALL],2)/HLOOKUP($A650,표1[#ALL],row(),false)</f>
        <v>#N/A</v>
      </c>
      <c r="AN650" s="372" t="str">
        <f>CS_PID!AN650/VLOOKUP($B650,표2[#ALL],2)/HLOOKUP($A650,표1[#ALL],row(),false)</f>
        <v>#N/A</v>
      </c>
      <c r="AO650" s="372" t="str">
        <f>CS_PID!AO650/VLOOKUP($B650,표2[#ALL],2)/HLOOKUP($A650,표1[#ALL],row(),false)</f>
        <v>#N/A</v>
      </c>
      <c r="AP650" s="372" t="str">
        <f>CS_PID!AP650/VLOOKUP($B650,표2[#ALL],2)/HLOOKUP($A650,표1[#ALL],row(),false)</f>
        <v>#N/A</v>
      </c>
      <c r="AQ650" s="372" t="str">
        <f>CS_PID!AQ650/VLOOKUP($B650,표2[#ALL],2)/HLOOKUP($A650,표1[#ALL],row(),false)</f>
        <v>#N/A</v>
      </c>
      <c r="AR650" s="372" t="str">
        <f>CS_PID!AR650/VLOOKUP($B650,표2[#ALL],2)/HLOOKUP($A650,표1[#ALL],row(),false)</f>
        <v>#N/A</v>
      </c>
      <c r="AS650" s="373" t="str">
        <f>CS_PID!AS650/VLOOKUP($B650,표2[#ALL],2)/HLOOKUP($A650,표1[#ALL],row(),false)</f>
        <v>#N/A</v>
      </c>
    </row>
    <row r="651">
      <c r="A651" s="374"/>
      <c r="B651" s="375"/>
      <c r="C651" s="376" t="str">
        <f>CS_PID!C651/VLOOKUP($B651,표2[#ALL],2)</f>
        <v>#N/A</v>
      </c>
      <c r="D651" s="376" t="str">
        <f>CS_PID!D651/VLOOKUP($B651,표2[#ALL],2)</f>
        <v>#N/A</v>
      </c>
      <c r="E651" s="376" t="str">
        <f>CS_PID!E651/VLOOKUP($B651,표2[#ALL],2)</f>
        <v>#N/A</v>
      </c>
      <c r="F651" s="376" t="str">
        <f>CS_PID!F651/VLOOKUP($B651,표2[#ALL],2)</f>
        <v>#N/A</v>
      </c>
      <c r="G651" s="376" t="str">
        <f>CS_PID!G651/VLOOKUP($B651,표2[#ALL],2)</f>
        <v>#N/A</v>
      </c>
      <c r="H651" s="376" t="str">
        <f>CS_PID!H651/VLOOKUP($B651,표2[#ALL],2)/HLOOKUP($A651,표1[#ALL],row(),false)</f>
        <v>#N/A</v>
      </c>
      <c r="I651" s="376" t="str">
        <f>CS_PID!I651/VLOOKUP($B651,표2[#ALL],2)/HLOOKUP($A651,표1[#ALL],row(),false)</f>
        <v>#N/A</v>
      </c>
      <c r="J651" s="376" t="str">
        <f>CS_PID!J651/VLOOKUP($B651,표2[#ALL],2)/HLOOKUP($A651,표1[#ALL],row(),false)</f>
        <v>#N/A</v>
      </c>
      <c r="K651" s="376" t="str">
        <f>CS_PID!K651/VLOOKUP($B651,표2[#ALL],2)/HLOOKUP($A651,표1[#ALL],row(),false)</f>
        <v>#N/A</v>
      </c>
      <c r="L651" s="376" t="str">
        <f>CS_PID!L651/VLOOKUP($B651,표2[#ALL],2)/HLOOKUP($A651,표1[#ALL],row(),false)</f>
        <v>#N/A</v>
      </c>
      <c r="M651" s="376" t="str">
        <f>CS_PID!M651/VLOOKUP($B651,표2[#ALL],2)/HLOOKUP($A651,표1[#ALL],row(),false)</f>
        <v>#N/A</v>
      </c>
      <c r="N651" s="376" t="str">
        <f>CS_PID!N651/VLOOKUP($B651,표2[#ALL],2)/HLOOKUP($A651,표1[#ALL],row(),false)</f>
        <v>#N/A</v>
      </c>
      <c r="O651" s="376" t="str">
        <f>CS_PID!O651/VLOOKUP($B651,표2[#ALL],2)/HLOOKUP($A651,표1[#ALL],row(),false)</f>
        <v>#N/A</v>
      </c>
      <c r="P651" s="376" t="str">
        <f>CS_PID!P651/VLOOKUP($B651,표2[#ALL],2)/HLOOKUP($A651,표1[#ALL],row(),false)</f>
        <v>#N/A</v>
      </c>
      <c r="Q651" s="376" t="str">
        <f>CS_PID!Q651/VLOOKUP($B651,표2[#ALL],2)/HLOOKUP($A651,표1[#ALL],row(),false)</f>
        <v>#N/A</v>
      </c>
      <c r="R651" s="376" t="str">
        <f>CS_PID!R651/VLOOKUP($B651,표2[#ALL],2)/HLOOKUP($A651,표1[#ALL],row(),false)</f>
        <v>#N/A</v>
      </c>
      <c r="S651" s="376" t="str">
        <f>CS_PID!S651/VLOOKUP($B651,표2[#ALL],2)/HLOOKUP($A651,표1[#ALL],row(),false)</f>
        <v>#N/A</v>
      </c>
      <c r="T651" s="376" t="str">
        <f>CS_PID!T651/VLOOKUP($B651,표2[#ALL],2)/HLOOKUP($A651,표1[#ALL],row(),false)</f>
        <v>#N/A</v>
      </c>
      <c r="U651" s="376" t="str">
        <f>CS_PID!U651/VLOOKUP($B651,표2[#ALL],2)/HLOOKUP($A651,표1[#ALL],row(),false)</f>
        <v>#N/A</v>
      </c>
      <c r="V651" s="376" t="str">
        <f>CS_PID!V651/VLOOKUP($B651,표2[#ALL],2)/HLOOKUP($A651,표1[#ALL],row(),false)</f>
        <v>#N/A</v>
      </c>
      <c r="W651" s="376" t="str">
        <f>CS_PID!W651/VLOOKUP($B651,표2[#ALL],2)/HLOOKUP($A651,표1[#ALL],row(),false)</f>
        <v>#N/A</v>
      </c>
      <c r="X651" s="376" t="str">
        <f>CS_PID!X651/VLOOKUP($B651,표2[#ALL],2)/HLOOKUP($A651,표1[#ALL],row(),false)</f>
        <v>#N/A</v>
      </c>
      <c r="Y651" s="376" t="str">
        <f>CS_PID!Y651/VLOOKUP($B651,표2[#ALL],2)/HLOOKUP($A651,표1[#ALL],row(),false)</f>
        <v>#N/A</v>
      </c>
      <c r="Z651" s="376" t="str">
        <f>CS_PID!Z651/VLOOKUP($B651,표2[#ALL],2)/HLOOKUP($A651,표1[#ALL],row(),false)</f>
        <v>#N/A</v>
      </c>
      <c r="AA651" s="376" t="str">
        <f>CS_PID!AA651/VLOOKUP($B651,표2[#ALL],2)/HLOOKUP($A651,표1[#ALL],row(),false)</f>
        <v>#N/A</v>
      </c>
      <c r="AB651" s="376" t="str">
        <f>CS_PID!AB651/VLOOKUP($B651,표2[#ALL],2)/HLOOKUP($A651,표1[#ALL],row(),false)</f>
        <v>#N/A</v>
      </c>
      <c r="AC651" s="376" t="str">
        <f>CS_PID!AC651/VLOOKUP($B651,표2[#ALL],2)/HLOOKUP($A651,표1[#ALL],row(),false)</f>
        <v>#N/A</v>
      </c>
      <c r="AD651" s="376" t="str">
        <f>CS_PID!AD651/VLOOKUP($B651,표2[#ALL],2)/HLOOKUP($A651,표1[#ALL],row(),false)</f>
        <v>#N/A</v>
      </c>
      <c r="AE651" s="376" t="str">
        <f>CS_PID!AE651/VLOOKUP($B651,표2[#ALL],2)/HLOOKUP($A651,표1[#ALL],row(),false)</f>
        <v>#N/A</v>
      </c>
      <c r="AF651" s="376" t="str">
        <f>CS_PID!AF651/VLOOKUP($B651,표2[#ALL],2)/HLOOKUP($A651,표1[#ALL],row(),false)</f>
        <v>#N/A</v>
      </c>
      <c r="AG651" s="376" t="str">
        <f>CS_PID!AG651/VLOOKUP($B651,표2[#ALL],2)/HLOOKUP($A651,표1[#ALL],row(),false)</f>
        <v>#N/A</v>
      </c>
      <c r="AH651" s="376" t="str">
        <f>CS_PID!AH651/VLOOKUP($B651,표2[#ALL],2)/HLOOKUP($A651,표1[#ALL],row(),false)</f>
        <v>#N/A</v>
      </c>
      <c r="AI651" s="376" t="str">
        <f>CS_PID!AI651/VLOOKUP($B651,표2[#ALL],2)/HLOOKUP($A651,표1[#ALL],row(),false)</f>
        <v>#N/A</v>
      </c>
      <c r="AJ651" s="376" t="str">
        <f>CS_PID!AJ651/VLOOKUP($B651,표2[#ALL],2)/HLOOKUP($A651,표1[#ALL],row(),false)</f>
        <v>#N/A</v>
      </c>
      <c r="AK651" s="376" t="str">
        <f>CS_PID!AK651/VLOOKUP($B651,표2[#ALL],2)/HLOOKUP($A651,표1[#ALL],row(),false)</f>
        <v>#N/A</v>
      </c>
      <c r="AL651" s="376" t="str">
        <f>CS_PID!AL651/VLOOKUP($B651,표2[#ALL],2)/HLOOKUP($A651,표1[#ALL],row(),false)</f>
        <v>#N/A</v>
      </c>
      <c r="AM651" s="376" t="str">
        <f>CS_PID!AM651/VLOOKUP($B651,표2[#ALL],2)/HLOOKUP($A651,표1[#ALL],row(),false)</f>
        <v>#N/A</v>
      </c>
      <c r="AN651" s="376" t="str">
        <f>CS_PID!AN651/VLOOKUP($B651,표2[#ALL],2)/HLOOKUP($A651,표1[#ALL],row(),false)</f>
        <v>#N/A</v>
      </c>
      <c r="AO651" s="376" t="str">
        <f>CS_PID!AO651/VLOOKUP($B651,표2[#ALL],2)/HLOOKUP($A651,표1[#ALL],row(),false)</f>
        <v>#N/A</v>
      </c>
      <c r="AP651" s="376" t="str">
        <f>CS_PID!AP651/VLOOKUP($B651,표2[#ALL],2)/HLOOKUP($A651,표1[#ALL],row(),false)</f>
        <v>#N/A</v>
      </c>
      <c r="AQ651" s="376" t="str">
        <f>CS_PID!AQ651/VLOOKUP($B651,표2[#ALL],2)/HLOOKUP($A651,표1[#ALL],row(),false)</f>
        <v>#N/A</v>
      </c>
      <c r="AR651" s="376" t="str">
        <f>CS_PID!AR651/VLOOKUP($B651,표2[#ALL],2)/HLOOKUP($A651,표1[#ALL],row(),false)</f>
        <v>#N/A</v>
      </c>
      <c r="AS651" s="377" t="str">
        <f>CS_PID!AS651/VLOOKUP($B651,표2[#ALL],2)/HLOOKUP($A651,표1[#ALL],row(),false)</f>
        <v>#N/A</v>
      </c>
    </row>
    <row r="652">
      <c r="A652" s="370"/>
      <c r="B652" s="371"/>
      <c r="C652" s="372" t="str">
        <f>CS_PID!C652/VLOOKUP($B652,표2[#ALL],2)</f>
        <v>#N/A</v>
      </c>
      <c r="D652" s="372" t="str">
        <f>CS_PID!D652/VLOOKUP($B652,표2[#ALL],2)</f>
        <v>#N/A</v>
      </c>
      <c r="E652" s="372" t="str">
        <f>CS_PID!E652/VLOOKUP($B652,표2[#ALL],2)</f>
        <v>#N/A</v>
      </c>
      <c r="F652" s="372" t="str">
        <f>CS_PID!F652/VLOOKUP($B652,표2[#ALL],2)</f>
        <v>#N/A</v>
      </c>
      <c r="G652" s="372" t="str">
        <f>CS_PID!G652/VLOOKUP($B652,표2[#ALL],2)</f>
        <v>#N/A</v>
      </c>
      <c r="H652" s="372" t="str">
        <f>CS_PID!H652/VLOOKUP($B652,표2[#ALL],2)/HLOOKUP($A652,표1[#ALL],row(),false)</f>
        <v>#N/A</v>
      </c>
      <c r="I652" s="372" t="str">
        <f>CS_PID!I652/VLOOKUP($B652,표2[#ALL],2)/HLOOKUP($A652,표1[#ALL],row(),false)</f>
        <v>#N/A</v>
      </c>
      <c r="J652" s="372" t="str">
        <f>CS_PID!J652/VLOOKUP($B652,표2[#ALL],2)/HLOOKUP($A652,표1[#ALL],row(),false)</f>
        <v>#N/A</v>
      </c>
      <c r="K652" s="372" t="str">
        <f>CS_PID!K652/VLOOKUP($B652,표2[#ALL],2)/HLOOKUP($A652,표1[#ALL],row(),false)</f>
        <v>#N/A</v>
      </c>
      <c r="L652" s="372" t="str">
        <f>CS_PID!L652/VLOOKUP($B652,표2[#ALL],2)/HLOOKUP($A652,표1[#ALL],row(),false)</f>
        <v>#N/A</v>
      </c>
      <c r="M652" s="372" t="str">
        <f>CS_PID!M652/VLOOKUP($B652,표2[#ALL],2)/HLOOKUP($A652,표1[#ALL],row(),false)</f>
        <v>#N/A</v>
      </c>
      <c r="N652" s="372" t="str">
        <f>CS_PID!N652/VLOOKUP($B652,표2[#ALL],2)/HLOOKUP($A652,표1[#ALL],row(),false)</f>
        <v>#N/A</v>
      </c>
      <c r="O652" s="372" t="str">
        <f>CS_PID!O652/VLOOKUP($B652,표2[#ALL],2)/HLOOKUP($A652,표1[#ALL],row(),false)</f>
        <v>#N/A</v>
      </c>
      <c r="P652" s="372" t="str">
        <f>CS_PID!P652/VLOOKUP($B652,표2[#ALL],2)/HLOOKUP($A652,표1[#ALL],row(),false)</f>
        <v>#N/A</v>
      </c>
      <c r="Q652" s="372" t="str">
        <f>CS_PID!Q652/VLOOKUP($B652,표2[#ALL],2)/HLOOKUP($A652,표1[#ALL],row(),false)</f>
        <v>#N/A</v>
      </c>
      <c r="R652" s="372" t="str">
        <f>CS_PID!R652/VLOOKUP($B652,표2[#ALL],2)/HLOOKUP($A652,표1[#ALL],row(),false)</f>
        <v>#N/A</v>
      </c>
      <c r="S652" s="372" t="str">
        <f>CS_PID!S652/VLOOKUP($B652,표2[#ALL],2)/HLOOKUP($A652,표1[#ALL],row(),false)</f>
        <v>#N/A</v>
      </c>
      <c r="T652" s="372" t="str">
        <f>CS_PID!T652/VLOOKUP($B652,표2[#ALL],2)/HLOOKUP($A652,표1[#ALL],row(),false)</f>
        <v>#N/A</v>
      </c>
      <c r="U652" s="372" t="str">
        <f>CS_PID!U652/VLOOKUP($B652,표2[#ALL],2)/HLOOKUP($A652,표1[#ALL],row(),false)</f>
        <v>#N/A</v>
      </c>
      <c r="V652" s="372" t="str">
        <f>CS_PID!V652/VLOOKUP($B652,표2[#ALL],2)/HLOOKUP($A652,표1[#ALL],row(),false)</f>
        <v>#N/A</v>
      </c>
      <c r="W652" s="372" t="str">
        <f>CS_PID!W652/VLOOKUP($B652,표2[#ALL],2)/HLOOKUP($A652,표1[#ALL],row(),false)</f>
        <v>#N/A</v>
      </c>
      <c r="X652" s="372" t="str">
        <f>CS_PID!X652/VLOOKUP($B652,표2[#ALL],2)/HLOOKUP($A652,표1[#ALL],row(),false)</f>
        <v>#N/A</v>
      </c>
      <c r="Y652" s="372" t="str">
        <f>CS_PID!Y652/VLOOKUP($B652,표2[#ALL],2)/HLOOKUP($A652,표1[#ALL],row(),false)</f>
        <v>#N/A</v>
      </c>
      <c r="Z652" s="372" t="str">
        <f>CS_PID!Z652/VLOOKUP($B652,표2[#ALL],2)/HLOOKUP($A652,표1[#ALL],row(),false)</f>
        <v>#N/A</v>
      </c>
      <c r="AA652" s="372" t="str">
        <f>CS_PID!AA652/VLOOKUP($B652,표2[#ALL],2)/HLOOKUP($A652,표1[#ALL],row(),false)</f>
        <v>#N/A</v>
      </c>
      <c r="AB652" s="372" t="str">
        <f>CS_PID!AB652/VLOOKUP($B652,표2[#ALL],2)/HLOOKUP($A652,표1[#ALL],row(),false)</f>
        <v>#N/A</v>
      </c>
      <c r="AC652" s="372" t="str">
        <f>CS_PID!AC652/VLOOKUP($B652,표2[#ALL],2)/HLOOKUP($A652,표1[#ALL],row(),false)</f>
        <v>#N/A</v>
      </c>
      <c r="AD652" s="372" t="str">
        <f>CS_PID!AD652/VLOOKUP($B652,표2[#ALL],2)/HLOOKUP($A652,표1[#ALL],row(),false)</f>
        <v>#N/A</v>
      </c>
      <c r="AE652" s="372" t="str">
        <f>CS_PID!AE652/VLOOKUP($B652,표2[#ALL],2)/HLOOKUP($A652,표1[#ALL],row(),false)</f>
        <v>#N/A</v>
      </c>
      <c r="AF652" s="372" t="str">
        <f>CS_PID!AF652/VLOOKUP($B652,표2[#ALL],2)/HLOOKUP($A652,표1[#ALL],row(),false)</f>
        <v>#N/A</v>
      </c>
      <c r="AG652" s="372" t="str">
        <f>CS_PID!AG652/VLOOKUP($B652,표2[#ALL],2)/HLOOKUP($A652,표1[#ALL],row(),false)</f>
        <v>#N/A</v>
      </c>
      <c r="AH652" s="372" t="str">
        <f>CS_PID!AH652/VLOOKUP($B652,표2[#ALL],2)/HLOOKUP($A652,표1[#ALL],row(),false)</f>
        <v>#N/A</v>
      </c>
      <c r="AI652" s="372" t="str">
        <f>CS_PID!AI652/VLOOKUP($B652,표2[#ALL],2)/HLOOKUP($A652,표1[#ALL],row(),false)</f>
        <v>#N/A</v>
      </c>
      <c r="AJ652" s="372" t="str">
        <f>CS_PID!AJ652/VLOOKUP($B652,표2[#ALL],2)/HLOOKUP($A652,표1[#ALL],row(),false)</f>
        <v>#N/A</v>
      </c>
      <c r="AK652" s="372" t="str">
        <f>CS_PID!AK652/VLOOKUP($B652,표2[#ALL],2)/HLOOKUP($A652,표1[#ALL],row(),false)</f>
        <v>#N/A</v>
      </c>
      <c r="AL652" s="372" t="str">
        <f>CS_PID!AL652/VLOOKUP($B652,표2[#ALL],2)/HLOOKUP($A652,표1[#ALL],row(),false)</f>
        <v>#N/A</v>
      </c>
      <c r="AM652" s="372" t="str">
        <f>CS_PID!AM652/VLOOKUP($B652,표2[#ALL],2)/HLOOKUP($A652,표1[#ALL],row(),false)</f>
        <v>#N/A</v>
      </c>
      <c r="AN652" s="372" t="str">
        <f>CS_PID!AN652/VLOOKUP($B652,표2[#ALL],2)/HLOOKUP($A652,표1[#ALL],row(),false)</f>
        <v>#N/A</v>
      </c>
      <c r="AO652" s="372" t="str">
        <f>CS_PID!AO652/VLOOKUP($B652,표2[#ALL],2)/HLOOKUP($A652,표1[#ALL],row(),false)</f>
        <v>#N/A</v>
      </c>
      <c r="AP652" s="372" t="str">
        <f>CS_PID!AP652/VLOOKUP($B652,표2[#ALL],2)/HLOOKUP($A652,표1[#ALL],row(),false)</f>
        <v>#N/A</v>
      </c>
      <c r="AQ652" s="372" t="str">
        <f>CS_PID!AQ652/VLOOKUP($B652,표2[#ALL],2)/HLOOKUP($A652,표1[#ALL],row(),false)</f>
        <v>#N/A</v>
      </c>
      <c r="AR652" s="372" t="str">
        <f>CS_PID!AR652/VLOOKUP($B652,표2[#ALL],2)/HLOOKUP($A652,표1[#ALL],row(),false)</f>
        <v>#N/A</v>
      </c>
      <c r="AS652" s="373" t="str">
        <f>CS_PID!AS652/VLOOKUP($B652,표2[#ALL],2)/HLOOKUP($A652,표1[#ALL],row(),false)</f>
        <v>#N/A</v>
      </c>
    </row>
    <row r="653">
      <c r="A653" s="374"/>
      <c r="B653" s="375"/>
      <c r="C653" s="376" t="str">
        <f>CS_PID!C653/VLOOKUP($B653,표2[#ALL],2)</f>
        <v>#N/A</v>
      </c>
      <c r="D653" s="376" t="str">
        <f>CS_PID!D653/VLOOKUP($B653,표2[#ALL],2)</f>
        <v>#N/A</v>
      </c>
      <c r="E653" s="376" t="str">
        <f>CS_PID!E653/VLOOKUP($B653,표2[#ALL],2)</f>
        <v>#N/A</v>
      </c>
      <c r="F653" s="376" t="str">
        <f>CS_PID!F653/VLOOKUP($B653,표2[#ALL],2)</f>
        <v>#N/A</v>
      </c>
      <c r="G653" s="376" t="str">
        <f>CS_PID!G653/VLOOKUP($B653,표2[#ALL],2)</f>
        <v>#N/A</v>
      </c>
      <c r="H653" s="376" t="str">
        <f>CS_PID!H653/VLOOKUP($B653,표2[#ALL],2)/HLOOKUP($A653,표1[#ALL],row(),false)</f>
        <v>#N/A</v>
      </c>
      <c r="I653" s="376" t="str">
        <f>CS_PID!I653/VLOOKUP($B653,표2[#ALL],2)/HLOOKUP($A653,표1[#ALL],row(),false)</f>
        <v>#N/A</v>
      </c>
      <c r="J653" s="376" t="str">
        <f>CS_PID!J653/VLOOKUP($B653,표2[#ALL],2)/HLOOKUP($A653,표1[#ALL],row(),false)</f>
        <v>#N/A</v>
      </c>
      <c r="K653" s="376" t="str">
        <f>CS_PID!K653/VLOOKUP($B653,표2[#ALL],2)/HLOOKUP($A653,표1[#ALL],row(),false)</f>
        <v>#N/A</v>
      </c>
      <c r="L653" s="376" t="str">
        <f>CS_PID!L653/VLOOKUP($B653,표2[#ALL],2)/HLOOKUP($A653,표1[#ALL],row(),false)</f>
        <v>#N/A</v>
      </c>
      <c r="M653" s="376" t="str">
        <f>CS_PID!M653/VLOOKUP($B653,표2[#ALL],2)/HLOOKUP($A653,표1[#ALL],row(),false)</f>
        <v>#N/A</v>
      </c>
      <c r="N653" s="376" t="str">
        <f>CS_PID!N653/VLOOKUP($B653,표2[#ALL],2)/HLOOKUP($A653,표1[#ALL],row(),false)</f>
        <v>#N/A</v>
      </c>
      <c r="O653" s="376" t="str">
        <f>CS_PID!O653/VLOOKUP($B653,표2[#ALL],2)/HLOOKUP($A653,표1[#ALL],row(),false)</f>
        <v>#N/A</v>
      </c>
      <c r="P653" s="376" t="str">
        <f>CS_PID!P653/VLOOKUP($B653,표2[#ALL],2)/HLOOKUP($A653,표1[#ALL],row(),false)</f>
        <v>#N/A</v>
      </c>
      <c r="Q653" s="376" t="str">
        <f>CS_PID!Q653/VLOOKUP($B653,표2[#ALL],2)/HLOOKUP($A653,표1[#ALL],row(),false)</f>
        <v>#N/A</v>
      </c>
      <c r="R653" s="376" t="str">
        <f>CS_PID!R653/VLOOKUP($B653,표2[#ALL],2)/HLOOKUP($A653,표1[#ALL],row(),false)</f>
        <v>#N/A</v>
      </c>
      <c r="S653" s="376" t="str">
        <f>CS_PID!S653/VLOOKUP($B653,표2[#ALL],2)/HLOOKUP($A653,표1[#ALL],row(),false)</f>
        <v>#N/A</v>
      </c>
      <c r="T653" s="376" t="str">
        <f>CS_PID!T653/VLOOKUP($B653,표2[#ALL],2)/HLOOKUP($A653,표1[#ALL],row(),false)</f>
        <v>#N/A</v>
      </c>
      <c r="U653" s="376" t="str">
        <f>CS_PID!U653/VLOOKUP($B653,표2[#ALL],2)/HLOOKUP($A653,표1[#ALL],row(),false)</f>
        <v>#N/A</v>
      </c>
      <c r="V653" s="376" t="str">
        <f>CS_PID!V653/VLOOKUP($B653,표2[#ALL],2)/HLOOKUP($A653,표1[#ALL],row(),false)</f>
        <v>#N/A</v>
      </c>
      <c r="W653" s="376" t="str">
        <f>CS_PID!W653/VLOOKUP($B653,표2[#ALL],2)/HLOOKUP($A653,표1[#ALL],row(),false)</f>
        <v>#N/A</v>
      </c>
      <c r="X653" s="376" t="str">
        <f>CS_PID!X653/VLOOKUP($B653,표2[#ALL],2)/HLOOKUP($A653,표1[#ALL],row(),false)</f>
        <v>#N/A</v>
      </c>
      <c r="Y653" s="376" t="str">
        <f>CS_PID!Y653/VLOOKUP($B653,표2[#ALL],2)/HLOOKUP($A653,표1[#ALL],row(),false)</f>
        <v>#N/A</v>
      </c>
      <c r="Z653" s="376" t="str">
        <f>CS_PID!Z653/VLOOKUP($B653,표2[#ALL],2)/HLOOKUP($A653,표1[#ALL],row(),false)</f>
        <v>#N/A</v>
      </c>
      <c r="AA653" s="376" t="str">
        <f>CS_PID!AA653/VLOOKUP($B653,표2[#ALL],2)/HLOOKUP($A653,표1[#ALL],row(),false)</f>
        <v>#N/A</v>
      </c>
      <c r="AB653" s="376" t="str">
        <f>CS_PID!AB653/VLOOKUP($B653,표2[#ALL],2)/HLOOKUP($A653,표1[#ALL],row(),false)</f>
        <v>#N/A</v>
      </c>
      <c r="AC653" s="376" t="str">
        <f>CS_PID!AC653/VLOOKUP($B653,표2[#ALL],2)/HLOOKUP($A653,표1[#ALL],row(),false)</f>
        <v>#N/A</v>
      </c>
      <c r="AD653" s="376" t="str">
        <f>CS_PID!AD653/VLOOKUP($B653,표2[#ALL],2)/HLOOKUP($A653,표1[#ALL],row(),false)</f>
        <v>#N/A</v>
      </c>
      <c r="AE653" s="376" t="str">
        <f>CS_PID!AE653/VLOOKUP($B653,표2[#ALL],2)/HLOOKUP($A653,표1[#ALL],row(),false)</f>
        <v>#N/A</v>
      </c>
      <c r="AF653" s="376" t="str">
        <f>CS_PID!AF653/VLOOKUP($B653,표2[#ALL],2)/HLOOKUP($A653,표1[#ALL],row(),false)</f>
        <v>#N/A</v>
      </c>
      <c r="AG653" s="376" t="str">
        <f>CS_PID!AG653/VLOOKUP($B653,표2[#ALL],2)/HLOOKUP($A653,표1[#ALL],row(),false)</f>
        <v>#N/A</v>
      </c>
      <c r="AH653" s="376" t="str">
        <f>CS_PID!AH653/VLOOKUP($B653,표2[#ALL],2)/HLOOKUP($A653,표1[#ALL],row(),false)</f>
        <v>#N/A</v>
      </c>
      <c r="AI653" s="376" t="str">
        <f>CS_PID!AI653/VLOOKUP($B653,표2[#ALL],2)/HLOOKUP($A653,표1[#ALL],row(),false)</f>
        <v>#N/A</v>
      </c>
      <c r="AJ653" s="376" t="str">
        <f>CS_PID!AJ653/VLOOKUP($B653,표2[#ALL],2)/HLOOKUP($A653,표1[#ALL],row(),false)</f>
        <v>#N/A</v>
      </c>
      <c r="AK653" s="376" t="str">
        <f>CS_PID!AK653/VLOOKUP($B653,표2[#ALL],2)/HLOOKUP($A653,표1[#ALL],row(),false)</f>
        <v>#N/A</v>
      </c>
      <c r="AL653" s="376" t="str">
        <f>CS_PID!AL653/VLOOKUP($B653,표2[#ALL],2)/HLOOKUP($A653,표1[#ALL],row(),false)</f>
        <v>#N/A</v>
      </c>
      <c r="AM653" s="376" t="str">
        <f>CS_PID!AM653/VLOOKUP($B653,표2[#ALL],2)/HLOOKUP($A653,표1[#ALL],row(),false)</f>
        <v>#N/A</v>
      </c>
      <c r="AN653" s="376" t="str">
        <f>CS_PID!AN653/VLOOKUP($B653,표2[#ALL],2)/HLOOKUP($A653,표1[#ALL],row(),false)</f>
        <v>#N/A</v>
      </c>
      <c r="AO653" s="376" t="str">
        <f>CS_PID!AO653/VLOOKUP($B653,표2[#ALL],2)/HLOOKUP($A653,표1[#ALL],row(),false)</f>
        <v>#N/A</v>
      </c>
      <c r="AP653" s="376" t="str">
        <f>CS_PID!AP653/VLOOKUP($B653,표2[#ALL],2)/HLOOKUP($A653,표1[#ALL],row(),false)</f>
        <v>#N/A</v>
      </c>
      <c r="AQ653" s="376" t="str">
        <f>CS_PID!AQ653/VLOOKUP($B653,표2[#ALL],2)/HLOOKUP($A653,표1[#ALL],row(),false)</f>
        <v>#N/A</v>
      </c>
      <c r="AR653" s="376" t="str">
        <f>CS_PID!AR653/VLOOKUP($B653,표2[#ALL],2)/HLOOKUP($A653,표1[#ALL],row(),false)</f>
        <v>#N/A</v>
      </c>
      <c r="AS653" s="377" t="str">
        <f>CS_PID!AS653/VLOOKUP($B653,표2[#ALL],2)/HLOOKUP($A653,표1[#ALL],row(),false)</f>
        <v>#N/A</v>
      </c>
    </row>
    <row r="654">
      <c r="A654" s="370"/>
      <c r="B654" s="371"/>
      <c r="C654" s="372" t="str">
        <f>CS_PID!C654/VLOOKUP($B654,표2[#ALL],2)</f>
        <v>#N/A</v>
      </c>
      <c r="D654" s="372" t="str">
        <f>CS_PID!D654/VLOOKUP($B654,표2[#ALL],2)</f>
        <v>#N/A</v>
      </c>
      <c r="E654" s="372" t="str">
        <f>CS_PID!E654/VLOOKUP($B654,표2[#ALL],2)</f>
        <v>#N/A</v>
      </c>
      <c r="F654" s="372" t="str">
        <f>CS_PID!F654/VLOOKUP($B654,표2[#ALL],2)</f>
        <v>#N/A</v>
      </c>
      <c r="G654" s="372" t="str">
        <f>CS_PID!G654/VLOOKUP($B654,표2[#ALL],2)</f>
        <v>#N/A</v>
      </c>
      <c r="H654" s="372" t="str">
        <f>CS_PID!H654/VLOOKUP($B654,표2[#ALL],2)/HLOOKUP($A654,표1[#ALL],row(),false)</f>
        <v>#N/A</v>
      </c>
      <c r="I654" s="372" t="str">
        <f>CS_PID!I654/VLOOKUP($B654,표2[#ALL],2)/HLOOKUP($A654,표1[#ALL],row(),false)</f>
        <v>#N/A</v>
      </c>
      <c r="J654" s="372" t="str">
        <f>CS_PID!J654/VLOOKUP($B654,표2[#ALL],2)/HLOOKUP($A654,표1[#ALL],row(),false)</f>
        <v>#N/A</v>
      </c>
      <c r="K654" s="372" t="str">
        <f>CS_PID!K654/VLOOKUP($B654,표2[#ALL],2)/HLOOKUP($A654,표1[#ALL],row(),false)</f>
        <v>#N/A</v>
      </c>
      <c r="L654" s="372" t="str">
        <f>CS_PID!L654/VLOOKUP($B654,표2[#ALL],2)/HLOOKUP($A654,표1[#ALL],row(),false)</f>
        <v>#N/A</v>
      </c>
      <c r="M654" s="372" t="str">
        <f>CS_PID!M654/VLOOKUP($B654,표2[#ALL],2)/HLOOKUP($A654,표1[#ALL],row(),false)</f>
        <v>#N/A</v>
      </c>
      <c r="N654" s="372" t="str">
        <f>CS_PID!N654/VLOOKUP($B654,표2[#ALL],2)/HLOOKUP($A654,표1[#ALL],row(),false)</f>
        <v>#N/A</v>
      </c>
      <c r="O654" s="372" t="str">
        <f>CS_PID!O654/VLOOKUP($B654,표2[#ALL],2)/HLOOKUP($A654,표1[#ALL],row(),false)</f>
        <v>#N/A</v>
      </c>
      <c r="P654" s="372" t="str">
        <f>CS_PID!P654/VLOOKUP($B654,표2[#ALL],2)/HLOOKUP($A654,표1[#ALL],row(),false)</f>
        <v>#N/A</v>
      </c>
      <c r="Q654" s="372" t="str">
        <f>CS_PID!Q654/VLOOKUP($B654,표2[#ALL],2)/HLOOKUP($A654,표1[#ALL],row(),false)</f>
        <v>#N/A</v>
      </c>
      <c r="R654" s="372" t="str">
        <f>CS_PID!R654/VLOOKUP($B654,표2[#ALL],2)/HLOOKUP($A654,표1[#ALL],row(),false)</f>
        <v>#N/A</v>
      </c>
      <c r="S654" s="372" t="str">
        <f>CS_PID!S654/VLOOKUP($B654,표2[#ALL],2)/HLOOKUP($A654,표1[#ALL],row(),false)</f>
        <v>#N/A</v>
      </c>
      <c r="T654" s="372" t="str">
        <f>CS_PID!T654/VLOOKUP($B654,표2[#ALL],2)/HLOOKUP($A654,표1[#ALL],row(),false)</f>
        <v>#N/A</v>
      </c>
      <c r="U654" s="372" t="str">
        <f>CS_PID!U654/VLOOKUP($B654,표2[#ALL],2)/HLOOKUP($A654,표1[#ALL],row(),false)</f>
        <v>#N/A</v>
      </c>
      <c r="V654" s="372" t="str">
        <f>CS_PID!V654/VLOOKUP($B654,표2[#ALL],2)/HLOOKUP($A654,표1[#ALL],row(),false)</f>
        <v>#N/A</v>
      </c>
      <c r="W654" s="372" t="str">
        <f>CS_PID!W654/VLOOKUP($B654,표2[#ALL],2)/HLOOKUP($A654,표1[#ALL],row(),false)</f>
        <v>#N/A</v>
      </c>
      <c r="X654" s="372" t="str">
        <f>CS_PID!X654/VLOOKUP($B654,표2[#ALL],2)/HLOOKUP($A654,표1[#ALL],row(),false)</f>
        <v>#N/A</v>
      </c>
      <c r="Y654" s="372" t="str">
        <f>CS_PID!Y654/VLOOKUP($B654,표2[#ALL],2)/HLOOKUP($A654,표1[#ALL],row(),false)</f>
        <v>#N/A</v>
      </c>
      <c r="Z654" s="372" t="str">
        <f>CS_PID!Z654/VLOOKUP($B654,표2[#ALL],2)/HLOOKUP($A654,표1[#ALL],row(),false)</f>
        <v>#N/A</v>
      </c>
      <c r="AA654" s="372" t="str">
        <f>CS_PID!AA654/VLOOKUP($B654,표2[#ALL],2)/HLOOKUP($A654,표1[#ALL],row(),false)</f>
        <v>#N/A</v>
      </c>
      <c r="AB654" s="372" t="str">
        <f>CS_PID!AB654/VLOOKUP($B654,표2[#ALL],2)/HLOOKUP($A654,표1[#ALL],row(),false)</f>
        <v>#N/A</v>
      </c>
      <c r="AC654" s="372" t="str">
        <f>CS_PID!AC654/VLOOKUP($B654,표2[#ALL],2)/HLOOKUP($A654,표1[#ALL],row(),false)</f>
        <v>#N/A</v>
      </c>
      <c r="AD654" s="372" t="str">
        <f>CS_PID!AD654/VLOOKUP($B654,표2[#ALL],2)/HLOOKUP($A654,표1[#ALL],row(),false)</f>
        <v>#N/A</v>
      </c>
      <c r="AE654" s="372" t="str">
        <f>CS_PID!AE654/VLOOKUP($B654,표2[#ALL],2)/HLOOKUP($A654,표1[#ALL],row(),false)</f>
        <v>#N/A</v>
      </c>
      <c r="AF654" s="372" t="str">
        <f>CS_PID!AF654/VLOOKUP($B654,표2[#ALL],2)/HLOOKUP($A654,표1[#ALL],row(),false)</f>
        <v>#N/A</v>
      </c>
      <c r="AG654" s="372" t="str">
        <f>CS_PID!AG654/VLOOKUP($B654,표2[#ALL],2)/HLOOKUP($A654,표1[#ALL],row(),false)</f>
        <v>#N/A</v>
      </c>
      <c r="AH654" s="372" t="str">
        <f>CS_PID!AH654/VLOOKUP($B654,표2[#ALL],2)/HLOOKUP($A654,표1[#ALL],row(),false)</f>
        <v>#N/A</v>
      </c>
      <c r="AI654" s="372" t="str">
        <f>CS_PID!AI654/VLOOKUP($B654,표2[#ALL],2)/HLOOKUP($A654,표1[#ALL],row(),false)</f>
        <v>#N/A</v>
      </c>
      <c r="AJ654" s="372" t="str">
        <f>CS_PID!AJ654/VLOOKUP($B654,표2[#ALL],2)/HLOOKUP($A654,표1[#ALL],row(),false)</f>
        <v>#N/A</v>
      </c>
      <c r="AK654" s="372" t="str">
        <f>CS_PID!AK654/VLOOKUP($B654,표2[#ALL],2)/HLOOKUP($A654,표1[#ALL],row(),false)</f>
        <v>#N/A</v>
      </c>
      <c r="AL654" s="372" t="str">
        <f>CS_PID!AL654/VLOOKUP($B654,표2[#ALL],2)/HLOOKUP($A654,표1[#ALL],row(),false)</f>
        <v>#N/A</v>
      </c>
      <c r="AM654" s="372" t="str">
        <f>CS_PID!AM654/VLOOKUP($B654,표2[#ALL],2)/HLOOKUP($A654,표1[#ALL],row(),false)</f>
        <v>#N/A</v>
      </c>
      <c r="AN654" s="372" t="str">
        <f>CS_PID!AN654/VLOOKUP($B654,표2[#ALL],2)/HLOOKUP($A654,표1[#ALL],row(),false)</f>
        <v>#N/A</v>
      </c>
      <c r="AO654" s="372" t="str">
        <f>CS_PID!AO654/VLOOKUP($B654,표2[#ALL],2)/HLOOKUP($A654,표1[#ALL],row(),false)</f>
        <v>#N/A</v>
      </c>
      <c r="AP654" s="372" t="str">
        <f>CS_PID!AP654/VLOOKUP($B654,표2[#ALL],2)/HLOOKUP($A654,표1[#ALL],row(),false)</f>
        <v>#N/A</v>
      </c>
      <c r="AQ654" s="372" t="str">
        <f>CS_PID!AQ654/VLOOKUP($B654,표2[#ALL],2)/HLOOKUP($A654,표1[#ALL],row(),false)</f>
        <v>#N/A</v>
      </c>
      <c r="AR654" s="372" t="str">
        <f>CS_PID!AR654/VLOOKUP($B654,표2[#ALL],2)/HLOOKUP($A654,표1[#ALL],row(),false)</f>
        <v>#N/A</v>
      </c>
      <c r="AS654" s="373" t="str">
        <f>CS_PID!AS654/VLOOKUP($B654,표2[#ALL],2)/HLOOKUP($A654,표1[#ALL],row(),false)</f>
        <v>#N/A</v>
      </c>
    </row>
    <row r="655">
      <c r="A655" s="374"/>
      <c r="B655" s="375"/>
      <c r="C655" s="376" t="str">
        <f>CS_PID!C655/VLOOKUP($B655,표2[#ALL],2)</f>
        <v>#N/A</v>
      </c>
      <c r="D655" s="376" t="str">
        <f>CS_PID!D655/VLOOKUP($B655,표2[#ALL],2)</f>
        <v>#N/A</v>
      </c>
      <c r="E655" s="376" t="str">
        <f>CS_PID!E655/VLOOKUP($B655,표2[#ALL],2)</f>
        <v>#N/A</v>
      </c>
      <c r="F655" s="376" t="str">
        <f>CS_PID!F655/VLOOKUP($B655,표2[#ALL],2)</f>
        <v>#N/A</v>
      </c>
      <c r="G655" s="376" t="str">
        <f>CS_PID!G655/VLOOKUP($B655,표2[#ALL],2)</f>
        <v>#N/A</v>
      </c>
      <c r="H655" s="376" t="str">
        <f>CS_PID!H655/VLOOKUP($B655,표2[#ALL],2)/HLOOKUP($A655,표1[#ALL],row(),false)</f>
        <v>#N/A</v>
      </c>
      <c r="I655" s="376" t="str">
        <f>CS_PID!I655/VLOOKUP($B655,표2[#ALL],2)/HLOOKUP($A655,표1[#ALL],row(),false)</f>
        <v>#N/A</v>
      </c>
      <c r="J655" s="376" t="str">
        <f>CS_PID!J655/VLOOKUP($B655,표2[#ALL],2)/HLOOKUP($A655,표1[#ALL],row(),false)</f>
        <v>#N/A</v>
      </c>
      <c r="K655" s="376" t="str">
        <f>CS_PID!K655/VLOOKUP($B655,표2[#ALL],2)/HLOOKUP($A655,표1[#ALL],row(),false)</f>
        <v>#N/A</v>
      </c>
      <c r="L655" s="376" t="str">
        <f>CS_PID!L655/VLOOKUP($B655,표2[#ALL],2)/HLOOKUP($A655,표1[#ALL],row(),false)</f>
        <v>#N/A</v>
      </c>
      <c r="M655" s="376" t="str">
        <f>CS_PID!M655/VLOOKUP($B655,표2[#ALL],2)/HLOOKUP($A655,표1[#ALL],row(),false)</f>
        <v>#N/A</v>
      </c>
      <c r="N655" s="376" t="str">
        <f>CS_PID!N655/VLOOKUP($B655,표2[#ALL],2)/HLOOKUP($A655,표1[#ALL],row(),false)</f>
        <v>#N/A</v>
      </c>
      <c r="O655" s="376" t="str">
        <f>CS_PID!O655/VLOOKUP($B655,표2[#ALL],2)/HLOOKUP($A655,표1[#ALL],row(),false)</f>
        <v>#N/A</v>
      </c>
      <c r="P655" s="376" t="str">
        <f>CS_PID!P655/VLOOKUP($B655,표2[#ALL],2)/HLOOKUP($A655,표1[#ALL],row(),false)</f>
        <v>#N/A</v>
      </c>
      <c r="Q655" s="376" t="str">
        <f>CS_PID!Q655/VLOOKUP($B655,표2[#ALL],2)/HLOOKUP($A655,표1[#ALL],row(),false)</f>
        <v>#N/A</v>
      </c>
      <c r="R655" s="376" t="str">
        <f>CS_PID!R655/VLOOKUP($B655,표2[#ALL],2)/HLOOKUP($A655,표1[#ALL],row(),false)</f>
        <v>#N/A</v>
      </c>
      <c r="S655" s="376" t="str">
        <f>CS_PID!S655/VLOOKUP($B655,표2[#ALL],2)/HLOOKUP($A655,표1[#ALL],row(),false)</f>
        <v>#N/A</v>
      </c>
      <c r="T655" s="376" t="str">
        <f>CS_PID!T655/VLOOKUP($B655,표2[#ALL],2)/HLOOKUP($A655,표1[#ALL],row(),false)</f>
        <v>#N/A</v>
      </c>
      <c r="U655" s="376" t="str">
        <f>CS_PID!U655/VLOOKUP($B655,표2[#ALL],2)/HLOOKUP($A655,표1[#ALL],row(),false)</f>
        <v>#N/A</v>
      </c>
      <c r="V655" s="376" t="str">
        <f>CS_PID!V655/VLOOKUP($B655,표2[#ALL],2)/HLOOKUP($A655,표1[#ALL],row(),false)</f>
        <v>#N/A</v>
      </c>
      <c r="W655" s="376" t="str">
        <f>CS_PID!W655/VLOOKUP($B655,표2[#ALL],2)/HLOOKUP($A655,표1[#ALL],row(),false)</f>
        <v>#N/A</v>
      </c>
      <c r="X655" s="376" t="str">
        <f>CS_PID!X655/VLOOKUP($B655,표2[#ALL],2)/HLOOKUP($A655,표1[#ALL],row(),false)</f>
        <v>#N/A</v>
      </c>
      <c r="Y655" s="376" t="str">
        <f>CS_PID!Y655/VLOOKUP($B655,표2[#ALL],2)/HLOOKUP($A655,표1[#ALL],row(),false)</f>
        <v>#N/A</v>
      </c>
      <c r="Z655" s="376" t="str">
        <f>CS_PID!Z655/VLOOKUP($B655,표2[#ALL],2)/HLOOKUP($A655,표1[#ALL],row(),false)</f>
        <v>#N/A</v>
      </c>
      <c r="AA655" s="376" t="str">
        <f>CS_PID!AA655/VLOOKUP($B655,표2[#ALL],2)/HLOOKUP($A655,표1[#ALL],row(),false)</f>
        <v>#N/A</v>
      </c>
      <c r="AB655" s="376" t="str">
        <f>CS_PID!AB655/VLOOKUP($B655,표2[#ALL],2)/HLOOKUP($A655,표1[#ALL],row(),false)</f>
        <v>#N/A</v>
      </c>
      <c r="AC655" s="376" t="str">
        <f>CS_PID!AC655/VLOOKUP($B655,표2[#ALL],2)/HLOOKUP($A655,표1[#ALL],row(),false)</f>
        <v>#N/A</v>
      </c>
      <c r="AD655" s="376" t="str">
        <f>CS_PID!AD655/VLOOKUP($B655,표2[#ALL],2)/HLOOKUP($A655,표1[#ALL],row(),false)</f>
        <v>#N/A</v>
      </c>
      <c r="AE655" s="376" t="str">
        <f>CS_PID!AE655/VLOOKUP($B655,표2[#ALL],2)/HLOOKUP($A655,표1[#ALL],row(),false)</f>
        <v>#N/A</v>
      </c>
      <c r="AF655" s="376" t="str">
        <f>CS_PID!AF655/VLOOKUP($B655,표2[#ALL],2)/HLOOKUP($A655,표1[#ALL],row(),false)</f>
        <v>#N/A</v>
      </c>
      <c r="AG655" s="376" t="str">
        <f>CS_PID!AG655/VLOOKUP($B655,표2[#ALL],2)/HLOOKUP($A655,표1[#ALL],row(),false)</f>
        <v>#N/A</v>
      </c>
      <c r="AH655" s="376" t="str">
        <f>CS_PID!AH655/VLOOKUP($B655,표2[#ALL],2)/HLOOKUP($A655,표1[#ALL],row(),false)</f>
        <v>#N/A</v>
      </c>
      <c r="AI655" s="376" t="str">
        <f>CS_PID!AI655/VLOOKUP($B655,표2[#ALL],2)/HLOOKUP($A655,표1[#ALL],row(),false)</f>
        <v>#N/A</v>
      </c>
      <c r="AJ655" s="376" t="str">
        <f>CS_PID!AJ655/VLOOKUP($B655,표2[#ALL],2)/HLOOKUP($A655,표1[#ALL],row(),false)</f>
        <v>#N/A</v>
      </c>
      <c r="AK655" s="376" t="str">
        <f>CS_PID!AK655/VLOOKUP($B655,표2[#ALL],2)/HLOOKUP($A655,표1[#ALL],row(),false)</f>
        <v>#N/A</v>
      </c>
      <c r="AL655" s="376" t="str">
        <f>CS_PID!AL655/VLOOKUP($B655,표2[#ALL],2)/HLOOKUP($A655,표1[#ALL],row(),false)</f>
        <v>#N/A</v>
      </c>
      <c r="AM655" s="376" t="str">
        <f>CS_PID!AM655/VLOOKUP($B655,표2[#ALL],2)/HLOOKUP($A655,표1[#ALL],row(),false)</f>
        <v>#N/A</v>
      </c>
      <c r="AN655" s="376" t="str">
        <f>CS_PID!AN655/VLOOKUP($B655,표2[#ALL],2)/HLOOKUP($A655,표1[#ALL],row(),false)</f>
        <v>#N/A</v>
      </c>
      <c r="AO655" s="376" t="str">
        <f>CS_PID!AO655/VLOOKUP($B655,표2[#ALL],2)/HLOOKUP($A655,표1[#ALL],row(),false)</f>
        <v>#N/A</v>
      </c>
      <c r="AP655" s="376" t="str">
        <f>CS_PID!AP655/VLOOKUP($B655,표2[#ALL],2)/HLOOKUP($A655,표1[#ALL],row(),false)</f>
        <v>#N/A</v>
      </c>
      <c r="AQ655" s="376" t="str">
        <f>CS_PID!AQ655/VLOOKUP($B655,표2[#ALL],2)/HLOOKUP($A655,표1[#ALL],row(),false)</f>
        <v>#N/A</v>
      </c>
      <c r="AR655" s="376" t="str">
        <f>CS_PID!AR655/VLOOKUP($B655,표2[#ALL],2)/HLOOKUP($A655,표1[#ALL],row(),false)</f>
        <v>#N/A</v>
      </c>
      <c r="AS655" s="377" t="str">
        <f>CS_PID!AS655/VLOOKUP($B655,표2[#ALL],2)/HLOOKUP($A655,표1[#ALL],row(),false)</f>
        <v>#N/A</v>
      </c>
    </row>
    <row r="656">
      <c r="A656" s="370"/>
      <c r="B656" s="371"/>
      <c r="C656" s="372" t="str">
        <f>CS_PID!C656/VLOOKUP($B656,표2[#ALL],2)</f>
        <v>#N/A</v>
      </c>
      <c r="D656" s="372" t="str">
        <f>CS_PID!D656/VLOOKUP($B656,표2[#ALL],2)</f>
        <v>#N/A</v>
      </c>
      <c r="E656" s="372" t="str">
        <f>CS_PID!E656/VLOOKUP($B656,표2[#ALL],2)</f>
        <v>#N/A</v>
      </c>
      <c r="F656" s="372" t="str">
        <f>CS_PID!F656/VLOOKUP($B656,표2[#ALL],2)</f>
        <v>#N/A</v>
      </c>
      <c r="G656" s="372" t="str">
        <f>CS_PID!G656/VLOOKUP($B656,표2[#ALL],2)</f>
        <v>#N/A</v>
      </c>
      <c r="H656" s="372" t="str">
        <f>CS_PID!H656/VLOOKUP($B656,표2[#ALL],2)/HLOOKUP($A656,표1[#ALL],row(),false)</f>
        <v>#N/A</v>
      </c>
      <c r="I656" s="372" t="str">
        <f>CS_PID!I656/VLOOKUP($B656,표2[#ALL],2)/HLOOKUP($A656,표1[#ALL],row(),false)</f>
        <v>#N/A</v>
      </c>
      <c r="J656" s="372" t="str">
        <f>CS_PID!J656/VLOOKUP($B656,표2[#ALL],2)/HLOOKUP($A656,표1[#ALL],row(),false)</f>
        <v>#N/A</v>
      </c>
      <c r="K656" s="372" t="str">
        <f>CS_PID!K656/VLOOKUP($B656,표2[#ALL],2)/HLOOKUP($A656,표1[#ALL],row(),false)</f>
        <v>#N/A</v>
      </c>
      <c r="L656" s="372" t="str">
        <f>CS_PID!L656/VLOOKUP($B656,표2[#ALL],2)/HLOOKUP($A656,표1[#ALL],row(),false)</f>
        <v>#N/A</v>
      </c>
      <c r="M656" s="372" t="str">
        <f>CS_PID!M656/VLOOKUP($B656,표2[#ALL],2)/HLOOKUP($A656,표1[#ALL],row(),false)</f>
        <v>#N/A</v>
      </c>
      <c r="N656" s="372" t="str">
        <f>CS_PID!N656/VLOOKUP($B656,표2[#ALL],2)/HLOOKUP($A656,표1[#ALL],row(),false)</f>
        <v>#N/A</v>
      </c>
      <c r="O656" s="372" t="str">
        <f>CS_PID!O656/VLOOKUP($B656,표2[#ALL],2)/HLOOKUP($A656,표1[#ALL],row(),false)</f>
        <v>#N/A</v>
      </c>
      <c r="P656" s="372" t="str">
        <f>CS_PID!P656/VLOOKUP($B656,표2[#ALL],2)/HLOOKUP($A656,표1[#ALL],row(),false)</f>
        <v>#N/A</v>
      </c>
      <c r="Q656" s="372" t="str">
        <f>CS_PID!Q656/VLOOKUP($B656,표2[#ALL],2)/HLOOKUP($A656,표1[#ALL],row(),false)</f>
        <v>#N/A</v>
      </c>
      <c r="R656" s="372" t="str">
        <f>CS_PID!R656/VLOOKUP($B656,표2[#ALL],2)/HLOOKUP($A656,표1[#ALL],row(),false)</f>
        <v>#N/A</v>
      </c>
      <c r="S656" s="372" t="str">
        <f>CS_PID!S656/VLOOKUP($B656,표2[#ALL],2)/HLOOKUP($A656,표1[#ALL],row(),false)</f>
        <v>#N/A</v>
      </c>
      <c r="T656" s="372" t="str">
        <f>CS_PID!T656/VLOOKUP($B656,표2[#ALL],2)/HLOOKUP($A656,표1[#ALL],row(),false)</f>
        <v>#N/A</v>
      </c>
      <c r="U656" s="372" t="str">
        <f>CS_PID!U656/VLOOKUP($B656,표2[#ALL],2)/HLOOKUP($A656,표1[#ALL],row(),false)</f>
        <v>#N/A</v>
      </c>
      <c r="V656" s="372" t="str">
        <f>CS_PID!V656/VLOOKUP($B656,표2[#ALL],2)/HLOOKUP($A656,표1[#ALL],row(),false)</f>
        <v>#N/A</v>
      </c>
      <c r="W656" s="372" t="str">
        <f>CS_PID!W656/VLOOKUP($B656,표2[#ALL],2)/HLOOKUP($A656,표1[#ALL],row(),false)</f>
        <v>#N/A</v>
      </c>
      <c r="X656" s="372" t="str">
        <f>CS_PID!X656/VLOOKUP($B656,표2[#ALL],2)/HLOOKUP($A656,표1[#ALL],row(),false)</f>
        <v>#N/A</v>
      </c>
      <c r="Y656" s="372" t="str">
        <f>CS_PID!Y656/VLOOKUP($B656,표2[#ALL],2)/HLOOKUP($A656,표1[#ALL],row(),false)</f>
        <v>#N/A</v>
      </c>
      <c r="Z656" s="372" t="str">
        <f>CS_PID!Z656/VLOOKUP($B656,표2[#ALL],2)/HLOOKUP($A656,표1[#ALL],row(),false)</f>
        <v>#N/A</v>
      </c>
      <c r="AA656" s="372" t="str">
        <f>CS_PID!AA656/VLOOKUP($B656,표2[#ALL],2)/HLOOKUP($A656,표1[#ALL],row(),false)</f>
        <v>#N/A</v>
      </c>
      <c r="AB656" s="372" t="str">
        <f>CS_PID!AB656/VLOOKUP($B656,표2[#ALL],2)/HLOOKUP($A656,표1[#ALL],row(),false)</f>
        <v>#N/A</v>
      </c>
      <c r="AC656" s="372" t="str">
        <f>CS_PID!AC656/VLOOKUP($B656,표2[#ALL],2)/HLOOKUP($A656,표1[#ALL],row(),false)</f>
        <v>#N/A</v>
      </c>
      <c r="AD656" s="372" t="str">
        <f>CS_PID!AD656/VLOOKUP($B656,표2[#ALL],2)/HLOOKUP($A656,표1[#ALL],row(),false)</f>
        <v>#N/A</v>
      </c>
      <c r="AE656" s="372" t="str">
        <f>CS_PID!AE656/VLOOKUP($B656,표2[#ALL],2)/HLOOKUP($A656,표1[#ALL],row(),false)</f>
        <v>#N/A</v>
      </c>
      <c r="AF656" s="372" t="str">
        <f>CS_PID!AF656/VLOOKUP($B656,표2[#ALL],2)/HLOOKUP($A656,표1[#ALL],row(),false)</f>
        <v>#N/A</v>
      </c>
      <c r="AG656" s="372" t="str">
        <f>CS_PID!AG656/VLOOKUP($B656,표2[#ALL],2)/HLOOKUP($A656,표1[#ALL],row(),false)</f>
        <v>#N/A</v>
      </c>
      <c r="AH656" s="372" t="str">
        <f>CS_PID!AH656/VLOOKUP($B656,표2[#ALL],2)/HLOOKUP($A656,표1[#ALL],row(),false)</f>
        <v>#N/A</v>
      </c>
      <c r="AI656" s="372" t="str">
        <f>CS_PID!AI656/VLOOKUP($B656,표2[#ALL],2)/HLOOKUP($A656,표1[#ALL],row(),false)</f>
        <v>#N/A</v>
      </c>
      <c r="AJ656" s="372" t="str">
        <f>CS_PID!AJ656/VLOOKUP($B656,표2[#ALL],2)/HLOOKUP($A656,표1[#ALL],row(),false)</f>
        <v>#N/A</v>
      </c>
      <c r="AK656" s="372" t="str">
        <f>CS_PID!AK656/VLOOKUP($B656,표2[#ALL],2)/HLOOKUP($A656,표1[#ALL],row(),false)</f>
        <v>#N/A</v>
      </c>
      <c r="AL656" s="372" t="str">
        <f>CS_PID!AL656/VLOOKUP($B656,표2[#ALL],2)/HLOOKUP($A656,표1[#ALL],row(),false)</f>
        <v>#N/A</v>
      </c>
      <c r="AM656" s="372" t="str">
        <f>CS_PID!AM656/VLOOKUP($B656,표2[#ALL],2)/HLOOKUP($A656,표1[#ALL],row(),false)</f>
        <v>#N/A</v>
      </c>
      <c r="AN656" s="372" t="str">
        <f>CS_PID!AN656/VLOOKUP($B656,표2[#ALL],2)/HLOOKUP($A656,표1[#ALL],row(),false)</f>
        <v>#N/A</v>
      </c>
      <c r="AO656" s="372" t="str">
        <f>CS_PID!AO656/VLOOKUP($B656,표2[#ALL],2)/HLOOKUP($A656,표1[#ALL],row(),false)</f>
        <v>#N/A</v>
      </c>
      <c r="AP656" s="372" t="str">
        <f>CS_PID!AP656/VLOOKUP($B656,표2[#ALL],2)/HLOOKUP($A656,표1[#ALL],row(),false)</f>
        <v>#N/A</v>
      </c>
      <c r="AQ656" s="372" t="str">
        <f>CS_PID!AQ656/VLOOKUP($B656,표2[#ALL],2)/HLOOKUP($A656,표1[#ALL],row(),false)</f>
        <v>#N/A</v>
      </c>
      <c r="AR656" s="372" t="str">
        <f>CS_PID!AR656/VLOOKUP($B656,표2[#ALL],2)/HLOOKUP($A656,표1[#ALL],row(),false)</f>
        <v>#N/A</v>
      </c>
      <c r="AS656" s="373" t="str">
        <f>CS_PID!AS656/VLOOKUP($B656,표2[#ALL],2)/HLOOKUP($A656,표1[#ALL],row(),false)</f>
        <v>#N/A</v>
      </c>
    </row>
    <row r="657">
      <c r="A657" s="374"/>
      <c r="B657" s="375"/>
      <c r="C657" s="376" t="str">
        <f>CS_PID!C657/VLOOKUP($B657,표2[#ALL],2)</f>
        <v>#N/A</v>
      </c>
      <c r="D657" s="376" t="str">
        <f>CS_PID!D657/VLOOKUP($B657,표2[#ALL],2)</f>
        <v>#N/A</v>
      </c>
      <c r="E657" s="376" t="str">
        <f>CS_PID!E657/VLOOKUP($B657,표2[#ALL],2)</f>
        <v>#N/A</v>
      </c>
      <c r="F657" s="376" t="str">
        <f>CS_PID!F657/VLOOKUP($B657,표2[#ALL],2)</f>
        <v>#N/A</v>
      </c>
      <c r="G657" s="376" t="str">
        <f>CS_PID!G657/VLOOKUP($B657,표2[#ALL],2)</f>
        <v>#N/A</v>
      </c>
      <c r="H657" s="376" t="str">
        <f>CS_PID!H657/VLOOKUP($B657,표2[#ALL],2)/HLOOKUP($A657,표1[#ALL],row(),false)</f>
        <v>#N/A</v>
      </c>
      <c r="I657" s="376" t="str">
        <f>CS_PID!I657/VLOOKUP($B657,표2[#ALL],2)/HLOOKUP($A657,표1[#ALL],row(),false)</f>
        <v>#N/A</v>
      </c>
      <c r="J657" s="376" t="str">
        <f>CS_PID!J657/VLOOKUP($B657,표2[#ALL],2)/HLOOKUP($A657,표1[#ALL],row(),false)</f>
        <v>#N/A</v>
      </c>
      <c r="K657" s="376" t="str">
        <f>CS_PID!K657/VLOOKUP($B657,표2[#ALL],2)/HLOOKUP($A657,표1[#ALL],row(),false)</f>
        <v>#N/A</v>
      </c>
      <c r="L657" s="376" t="str">
        <f>CS_PID!L657/VLOOKUP($B657,표2[#ALL],2)/HLOOKUP($A657,표1[#ALL],row(),false)</f>
        <v>#N/A</v>
      </c>
      <c r="M657" s="376" t="str">
        <f>CS_PID!M657/VLOOKUP($B657,표2[#ALL],2)/HLOOKUP($A657,표1[#ALL],row(),false)</f>
        <v>#N/A</v>
      </c>
      <c r="N657" s="376" t="str">
        <f>CS_PID!N657/VLOOKUP($B657,표2[#ALL],2)/HLOOKUP($A657,표1[#ALL],row(),false)</f>
        <v>#N/A</v>
      </c>
      <c r="O657" s="376" t="str">
        <f>CS_PID!O657/VLOOKUP($B657,표2[#ALL],2)/HLOOKUP($A657,표1[#ALL],row(),false)</f>
        <v>#N/A</v>
      </c>
      <c r="P657" s="376" t="str">
        <f>CS_PID!P657/VLOOKUP($B657,표2[#ALL],2)/HLOOKUP($A657,표1[#ALL],row(),false)</f>
        <v>#N/A</v>
      </c>
      <c r="Q657" s="376" t="str">
        <f>CS_PID!Q657/VLOOKUP($B657,표2[#ALL],2)/HLOOKUP($A657,표1[#ALL],row(),false)</f>
        <v>#N/A</v>
      </c>
      <c r="R657" s="376" t="str">
        <f>CS_PID!R657/VLOOKUP($B657,표2[#ALL],2)/HLOOKUP($A657,표1[#ALL],row(),false)</f>
        <v>#N/A</v>
      </c>
      <c r="S657" s="376" t="str">
        <f>CS_PID!S657/VLOOKUP($B657,표2[#ALL],2)/HLOOKUP($A657,표1[#ALL],row(),false)</f>
        <v>#N/A</v>
      </c>
      <c r="T657" s="376" t="str">
        <f>CS_PID!T657/VLOOKUP($B657,표2[#ALL],2)/HLOOKUP($A657,표1[#ALL],row(),false)</f>
        <v>#N/A</v>
      </c>
      <c r="U657" s="376" t="str">
        <f>CS_PID!U657/VLOOKUP($B657,표2[#ALL],2)/HLOOKUP($A657,표1[#ALL],row(),false)</f>
        <v>#N/A</v>
      </c>
      <c r="V657" s="376" t="str">
        <f>CS_PID!V657/VLOOKUP($B657,표2[#ALL],2)/HLOOKUP($A657,표1[#ALL],row(),false)</f>
        <v>#N/A</v>
      </c>
      <c r="W657" s="376" t="str">
        <f>CS_PID!W657/VLOOKUP($B657,표2[#ALL],2)/HLOOKUP($A657,표1[#ALL],row(),false)</f>
        <v>#N/A</v>
      </c>
      <c r="X657" s="376" t="str">
        <f>CS_PID!X657/VLOOKUP($B657,표2[#ALL],2)/HLOOKUP($A657,표1[#ALL],row(),false)</f>
        <v>#N/A</v>
      </c>
      <c r="Y657" s="376" t="str">
        <f>CS_PID!Y657/VLOOKUP($B657,표2[#ALL],2)/HLOOKUP($A657,표1[#ALL],row(),false)</f>
        <v>#N/A</v>
      </c>
      <c r="Z657" s="376" t="str">
        <f>CS_PID!Z657/VLOOKUP($B657,표2[#ALL],2)/HLOOKUP($A657,표1[#ALL],row(),false)</f>
        <v>#N/A</v>
      </c>
      <c r="AA657" s="376" t="str">
        <f>CS_PID!AA657/VLOOKUP($B657,표2[#ALL],2)/HLOOKUP($A657,표1[#ALL],row(),false)</f>
        <v>#N/A</v>
      </c>
      <c r="AB657" s="376" t="str">
        <f>CS_PID!AB657/VLOOKUP($B657,표2[#ALL],2)/HLOOKUP($A657,표1[#ALL],row(),false)</f>
        <v>#N/A</v>
      </c>
      <c r="AC657" s="376" t="str">
        <f>CS_PID!AC657/VLOOKUP($B657,표2[#ALL],2)/HLOOKUP($A657,표1[#ALL],row(),false)</f>
        <v>#N/A</v>
      </c>
      <c r="AD657" s="376" t="str">
        <f>CS_PID!AD657/VLOOKUP($B657,표2[#ALL],2)/HLOOKUP($A657,표1[#ALL],row(),false)</f>
        <v>#N/A</v>
      </c>
      <c r="AE657" s="376" t="str">
        <f>CS_PID!AE657/VLOOKUP($B657,표2[#ALL],2)/HLOOKUP($A657,표1[#ALL],row(),false)</f>
        <v>#N/A</v>
      </c>
      <c r="AF657" s="376" t="str">
        <f>CS_PID!AF657/VLOOKUP($B657,표2[#ALL],2)/HLOOKUP($A657,표1[#ALL],row(),false)</f>
        <v>#N/A</v>
      </c>
      <c r="AG657" s="376" t="str">
        <f>CS_PID!AG657/VLOOKUP($B657,표2[#ALL],2)/HLOOKUP($A657,표1[#ALL],row(),false)</f>
        <v>#N/A</v>
      </c>
      <c r="AH657" s="376" t="str">
        <f>CS_PID!AH657/VLOOKUP($B657,표2[#ALL],2)/HLOOKUP($A657,표1[#ALL],row(),false)</f>
        <v>#N/A</v>
      </c>
      <c r="AI657" s="376" t="str">
        <f>CS_PID!AI657/VLOOKUP($B657,표2[#ALL],2)/HLOOKUP($A657,표1[#ALL],row(),false)</f>
        <v>#N/A</v>
      </c>
      <c r="AJ657" s="376" t="str">
        <f>CS_PID!AJ657/VLOOKUP($B657,표2[#ALL],2)/HLOOKUP($A657,표1[#ALL],row(),false)</f>
        <v>#N/A</v>
      </c>
      <c r="AK657" s="376" t="str">
        <f>CS_PID!AK657/VLOOKUP($B657,표2[#ALL],2)/HLOOKUP($A657,표1[#ALL],row(),false)</f>
        <v>#N/A</v>
      </c>
      <c r="AL657" s="376" t="str">
        <f>CS_PID!AL657/VLOOKUP($B657,표2[#ALL],2)/HLOOKUP($A657,표1[#ALL],row(),false)</f>
        <v>#N/A</v>
      </c>
      <c r="AM657" s="376" t="str">
        <f>CS_PID!AM657/VLOOKUP($B657,표2[#ALL],2)/HLOOKUP($A657,표1[#ALL],row(),false)</f>
        <v>#N/A</v>
      </c>
      <c r="AN657" s="376" t="str">
        <f>CS_PID!AN657/VLOOKUP($B657,표2[#ALL],2)/HLOOKUP($A657,표1[#ALL],row(),false)</f>
        <v>#N/A</v>
      </c>
      <c r="AO657" s="376" t="str">
        <f>CS_PID!AO657/VLOOKUP($B657,표2[#ALL],2)/HLOOKUP($A657,표1[#ALL],row(),false)</f>
        <v>#N/A</v>
      </c>
      <c r="AP657" s="376" t="str">
        <f>CS_PID!AP657/VLOOKUP($B657,표2[#ALL],2)/HLOOKUP($A657,표1[#ALL],row(),false)</f>
        <v>#N/A</v>
      </c>
      <c r="AQ657" s="376" t="str">
        <f>CS_PID!AQ657/VLOOKUP($B657,표2[#ALL],2)/HLOOKUP($A657,표1[#ALL],row(),false)</f>
        <v>#N/A</v>
      </c>
      <c r="AR657" s="376" t="str">
        <f>CS_PID!AR657/VLOOKUP($B657,표2[#ALL],2)/HLOOKUP($A657,표1[#ALL],row(),false)</f>
        <v>#N/A</v>
      </c>
      <c r="AS657" s="377" t="str">
        <f>CS_PID!AS657/VLOOKUP($B657,표2[#ALL],2)/HLOOKUP($A657,표1[#ALL],row(),false)</f>
        <v>#N/A</v>
      </c>
    </row>
    <row r="658">
      <c r="A658" s="370"/>
      <c r="B658" s="371"/>
      <c r="C658" s="372" t="str">
        <f>CS_PID!C658/VLOOKUP($B658,표2[#ALL],2)</f>
        <v>#N/A</v>
      </c>
      <c r="D658" s="372" t="str">
        <f>CS_PID!D658/VLOOKUP($B658,표2[#ALL],2)</f>
        <v>#N/A</v>
      </c>
      <c r="E658" s="372" t="str">
        <f>CS_PID!E658/VLOOKUP($B658,표2[#ALL],2)</f>
        <v>#N/A</v>
      </c>
      <c r="F658" s="372" t="str">
        <f>CS_PID!F658/VLOOKUP($B658,표2[#ALL],2)</f>
        <v>#N/A</v>
      </c>
      <c r="G658" s="372" t="str">
        <f>CS_PID!G658/VLOOKUP($B658,표2[#ALL],2)</f>
        <v>#N/A</v>
      </c>
      <c r="H658" s="372" t="str">
        <f>CS_PID!H658/VLOOKUP($B658,표2[#ALL],2)/HLOOKUP($A658,표1[#ALL],row(),false)</f>
        <v>#N/A</v>
      </c>
      <c r="I658" s="372" t="str">
        <f>CS_PID!I658/VLOOKUP($B658,표2[#ALL],2)/HLOOKUP($A658,표1[#ALL],row(),false)</f>
        <v>#N/A</v>
      </c>
      <c r="J658" s="372" t="str">
        <f>CS_PID!J658/VLOOKUP($B658,표2[#ALL],2)/HLOOKUP($A658,표1[#ALL],row(),false)</f>
        <v>#N/A</v>
      </c>
      <c r="K658" s="372" t="str">
        <f>CS_PID!K658/VLOOKUP($B658,표2[#ALL],2)/HLOOKUP($A658,표1[#ALL],row(),false)</f>
        <v>#N/A</v>
      </c>
      <c r="L658" s="372" t="str">
        <f>CS_PID!L658/VLOOKUP($B658,표2[#ALL],2)/HLOOKUP($A658,표1[#ALL],row(),false)</f>
        <v>#N/A</v>
      </c>
      <c r="M658" s="372" t="str">
        <f>CS_PID!M658/VLOOKUP($B658,표2[#ALL],2)/HLOOKUP($A658,표1[#ALL],row(),false)</f>
        <v>#N/A</v>
      </c>
      <c r="N658" s="372" t="str">
        <f>CS_PID!N658/VLOOKUP($B658,표2[#ALL],2)/HLOOKUP($A658,표1[#ALL],row(),false)</f>
        <v>#N/A</v>
      </c>
      <c r="O658" s="372" t="str">
        <f>CS_PID!O658/VLOOKUP($B658,표2[#ALL],2)/HLOOKUP($A658,표1[#ALL],row(),false)</f>
        <v>#N/A</v>
      </c>
      <c r="P658" s="372" t="str">
        <f>CS_PID!P658/VLOOKUP($B658,표2[#ALL],2)/HLOOKUP($A658,표1[#ALL],row(),false)</f>
        <v>#N/A</v>
      </c>
      <c r="Q658" s="372" t="str">
        <f>CS_PID!Q658/VLOOKUP($B658,표2[#ALL],2)/HLOOKUP($A658,표1[#ALL],row(),false)</f>
        <v>#N/A</v>
      </c>
      <c r="R658" s="372" t="str">
        <f>CS_PID!R658/VLOOKUP($B658,표2[#ALL],2)/HLOOKUP($A658,표1[#ALL],row(),false)</f>
        <v>#N/A</v>
      </c>
      <c r="S658" s="372" t="str">
        <f>CS_PID!S658/VLOOKUP($B658,표2[#ALL],2)/HLOOKUP($A658,표1[#ALL],row(),false)</f>
        <v>#N/A</v>
      </c>
      <c r="T658" s="372" t="str">
        <f>CS_PID!T658/VLOOKUP($B658,표2[#ALL],2)/HLOOKUP($A658,표1[#ALL],row(),false)</f>
        <v>#N/A</v>
      </c>
      <c r="U658" s="372" t="str">
        <f>CS_PID!U658/VLOOKUP($B658,표2[#ALL],2)/HLOOKUP($A658,표1[#ALL],row(),false)</f>
        <v>#N/A</v>
      </c>
      <c r="V658" s="372" t="str">
        <f>CS_PID!V658/VLOOKUP($B658,표2[#ALL],2)/HLOOKUP($A658,표1[#ALL],row(),false)</f>
        <v>#N/A</v>
      </c>
      <c r="W658" s="372" t="str">
        <f>CS_PID!W658/VLOOKUP($B658,표2[#ALL],2)/HLOOKUP($A658,표1[#ALL],row(),false)</f>
        <v>#N/A</v>
      </c>
      <c r="X658" s="372" t="str">
        <f>CS_PID!X658/VLOOKUP($B658,표2[#ALL],2)/HLOOKUP($A658,표1[#ALL],row(),false)</f>
        <v>#N/A</v>
      </c>
      <c r="Y658" s="372" t="str">
        <f>CS_PID!Y658/VLOOKUP($B658,표2[#ALL],2)/HLOOKUP($A658,표1[#ALL],row(),false)</f>
        <v>#N/A</v>
      </c>
      <c r="Z658" s="372" t="str">
        <f>CS_PID!Z658/VLOOKUP($B658,표2[#ALL],2)/HLOOKUP($A658,표1[#ALL],row(),false)</f>
        <v>#N/A</v>
      </c>
      <c r="AA658" s="372" t="str">
        <f>CS_PID!AA658/VLOOKUP($B658,표2[#ALL],2)/HLOOKUP($A658,표1[#ALL],row(),false)</f>
        <v>#N/A</v>
      </c>
      <c r="AB658" s="372" t="str">
        <f>CS_PID!AB658/VLOOKUP($B658,표2[#ALL],2)/HLOOKUP($A658,표1[#ALL],row(),false)</f>
        <v>#N/A</v>
      </c>
      <c r="AC658" s="372" t="str">
        <f>CS_PID!AC658/VLOOKUP($B658,표2[#ALL],2)/HLOOKUP($A658,표1[#ALL],row(),false)</f>
        <v>#N/A</v>
      </c>
      <c r="AD658" s="372" t="str">
        <f>CS_PID!AD658/VLOOKUP($B658,표2[#ALL],2)/HLOOKUP($A658,표1[#ALL],row(),false)</f>
        <v>#N/A</v>
      </c>
      <c r="AE658" s="372" t="str">
        <f>CS_PID!AE658/VLOOKUP($B658,표2[#ALL],2)/HLOOKUP($A658,표1[#ALL],row(),false)</f>
        <v>#N/A</v>
      </c>
      <c r="AF658" s="372" t="str">
        <f>CS_PID!AF658/VLOOKUP($B658,표2[#ALL],2)/HLOOKUP($A658,표1[#ALL],row(),false)</f>
        <v>#N/A</v>
      </c>
      <c r="AG658" s="372" t="str">
        <f>CS_PID!AG658/VLOOKUP($B658,표2[#ALL],2)/HLOOKUP($A658,표1[#ALL],row(),false)</f>
        <v>#N/A</v>
      </c>
      <c r="AH658" s="372" t="str">
        <f>CS_PID!AH658/VLOOKUP($B658,표2[#ALL],2)/HLOOKUP($A658,표1[#ALL],row(),false)</f>
        <v>#N/A</v>
      </c>
      <c r="AI658" s="372" t="str">
        <f>CS_PID!AI658/VLOOKUP($B658,표2[#ALL],2)/HLOOKUP($A658,표1[#ALL],row(),false)</f>
        <v>#N/A</v>
      </c>
      <c r="AJ658" s="372" t="str">
        <f>CS_PID!AJ658/VLOOKUP($B658,표2[#ALL],2)/HLOOKUP($A658,표1[#ALL],row(),false)</f>
        <v>#N/A</v>
      </c>
      <c r="AK658" s="372" t="str">
        <f>CS_PID!AK658/VLOOKUP($B658,표2[#ALL],2)/HLOOKUP($A658,표1[#ALL],row(),false)</f>
        <v>#N/A</v>
      </c>
      <c r="AL658" s="372" t="str">
        <f>CS_PID!AL658/VLOOKUP($B658,표2[#ALL],2)/HLOOKUP($A658,표1[#ALL],row(),false)</f>
        <v>#N/A</v>
      </c>
      <c r="AM658" s="372" t="str">
        <f>CS_PID!AM658/VLOOKUP($B658,표2[#ALL],2)/HLOOKUP($A658,표1[#ALL],row(),false)</f>
        <v>#N/A</v>
      </c>
      <c r="AN658" s="372" t="str">
        <f>CS_PID!AN658/VLOOKUP($B658,표2[#ALL],2)/HLOOKUP($A658,표1[#ALL],row(),false)</f>
        <v>#N/A</v>
      </c>
      <c r="AO658" s="372" t="str">
        <f>CS_PID!AO658/VLOOKUP($B658,표2[#ALL],2)/HLOOKUP($A658,표1[#ALL],row(),false)</f>
        <v>#N/A</v>
      </c>
      <c r="AP658" s="372" t="str">
        <f>CS_PID!AP658/VLOOKUP($B658,표2[#ALL],2)/HLOOKUP($A658,표1[#ALL],row(),false)</f>
        <v>#N/A</v>
      </c>
      <c r="AQ658" s="372" t="str">
        <f>CS_PID!AQ658/VLOOKUP($B658,표2[#ALL],2)/HLOOKUP($A658,표1[#ALL],row(),false)</f>
        <v>#N/A</v>
      </c>
      <c r="AR658" s="372" t="str">
        <f>CS_PID!AR658/VLOOKUP($B658,표2[#ALL],2)/HLOOKUP($A658,표1[#ALL],row(),false)</f>
        <v>#N/A</v>
      </c>
      <c r="AS658" s="373" t="str">
        <f>CS_PID!AS658/VLOOKUP($B658,표2[#ALL],2)/HLOOKUP($A658,표1[#ALL],row(),false)</f>
        <v>#N/A</v>
      </c>
    </row>
    <row r="659">
      <c r="A659" s="374"/>
      <c r="B659" s="375"/>
      <c r="C659" s="376" t="str">
        <f>CS_PID!C659/VLOOKUP($B659,표2[#ALL],2)</f>
        <v>#N/A</v>
      </c>
      <c r="D659" s="376" t="str">
        <f>CS_PID!D659/VLOOKUP($B659,표2[#ALL],2)</f>
        <v>#N/A</v>
      </c>
      <c r="E659" s="376" t="str">
        <f>CS_PID!E659/VLOOKUP($B659,표2[#ALL],2)</f>
        <v>#N/A</v>
      </c>
      <c r="F659" s="376" t="str">
        <f>CS_PID!F659/VLOOKUP($B659,표2[#ALL],2)</f>
        <v>#N/A</v>
      </c>
      <c r="G659" s="376" t="str">
        <f>CS_PID!G659/VLOOKUP($B659,표2[#ALL],2)</f>
        <v>#N/A</v>
      </c>
      <c r="H659" s="376" t="str">
        <f>CS_PID!H659/VLOOKUP($B659,표2[#ALL],2)/HLOOKUP($A659,표1[#ALL],row(),false)</f>
        <v>#N/A</v>
      </c>
      <c r="I659" s="376" t="str">
        <f>CS_PID!I659/VLOOKUP($B659,표2[#ALL],2)/HLOOKUP($A659,표1[#ALL],row(),false)</f>
        <v>#N/A</v>
      </c>
      <c r="J659" s="376" t="str">
        <f>CS_PID!J659/VLOOKUP($B659,표2[#ALL],2)/HLOOKUP($A659,표1[#ALL],row(),false)</f>
        <v>#N/A</v>
      </c>
      <c r="K659" s="376" t="str">
        <f>CS_PID!K659/VLOOKUP($B659,표2[#ALL],2)/HLOOKUP($A659,표1[#ALL],row(),false)</f>
        <v>#N/A</v>
      </c>
      <c r="L659" s="376" t="str">
        <f>CS_PID!L659/VLOOKUP($B659,표2[#ALL],2)/HLOOKUP($A659,표1[#ALL],row(),false)</f>
        <v>#N/A</v>
      </c>
      <c r="M659" s="376" t="str">
        <f>CS_PID!M659/VLOOKUP($B659,표2[#ALL],2)/HLOOKUP($A659,표1[#ALL],row(),false)</f>
        <v>#N/A</v>
      </c>
      <c r="N659" s="376" t="str">
        <f>CS_PID!N659/VLOOKUP($B659,표2[#ALL],2)/HLOOKUP($A659,표1[#ALL],row(),false)</f>
        <v>#N/A</v>
      </c>
      <c r="O659" s="376" t="str">
        <f>CS_PID!O659/VLOOKUP($B659,표2[#ALL],2)/HLOOKUP($A659,표1[#ALL],row(),false)</f>
        <v>#N/A</v>
      </c>
      <c r="P659" s="376" t="str">
        <f>CS_PID!P659/VLOOKUP($B659,표2[#ALL],2)/HLOOKUP($A659,표1[#ALL],row(),false)</f>
        <v>#N/A</v>
      </c>
      <c r="Q659" s="376" t="str">
        <f>CS_PID!Q659/VLOOKUP($B659,표2[#ALL],2)/HLOOKUP($A659,표1[#ALL],row(),false)</f>
        <v>#N/A</v>
      </c>
      <c r="R659" s="376" t="str">
        <f>CS_PID!R659/VLOOKUP($B659,표2[#ALL],2)/HLOOKUP($A659,표1[#ALL],row(),false)</f>
        <v>#N/A</v>
      </c>
      <c r="S659" s="376" t="str">
        <f>CS_PID!S659/VLOOKUP($B659,표2[#ALL],2)/HLOOKUP($A659,표1[#ALL],row(),false)</f>
        <v>#N/A</v>
      </c>
      <c r="T659" s="376" t="str">
        <f>CS_PID!T659/VLOOKUP($B659,표2[#ALL],2)/HLOOKUP($A659,표1[#ALL],row(),false)</f>
        <v>#N/A</v>
      </c>
      <c r="U659" s="376" t="str">
        <f>CS_PID!U659/VLOOKUP($B659,표2[#ALL],2)/HLOOKUP($A659,표1[#ALL],row(),false)</f>
        <v>#N/A</v>
      </c>
      <c r="V659" s="376" t="str">
        <f>CS_PID!V659/VLOOKUP($B659,표2[#ALL],2)/HLOOKUP($A659,표1[#ALL],row(),false)</f>
        <v>#N/A</v>
      </c>
      <c r="W659" s="376" t="str">
        <f>CS_PID!W659/VLOOKUP($B659,표2[#ALL],2)/HLOOKUP($A659,표1[#ALL],row(),false)</f>
        <v>#N/A</v>
      </c>
      <c r="X659" s="376" t="str">
        <f>CS_PID!X659/VLOOKUP($B659,표2[#ALL],2)/HLOOKUP($A659,표1[#ALL],row(),false)</f>
        <v>#N/A</v>
      </c>
      <c r="Y659" s="376" t="str">
        <f>CS_PID!Y659/VLOOKUP($B659,표2[#ALL],2)/HLOOKUP($A659,표1[#ALL],row(),false)</f>
        <v>#N/A</v>
      </c>
      <c r="Z659" s="376" t="str">
        <f>CS_PID!Z659/VLOOKUP($B659,표2[#ALL],2)/HLOOKUP($A659,표1[#ALL],row(),false)</f>
        <v>#N/A</v>
      </c>
      <c r="AA659" s="376" t="str">
        <f>CS_PID!AA659/VLOOKUP($B659,표2[#ALL],2)/HLOOKUP($A659,표1[#ALL],row(),false)</f>
        <v>#N/A</v>
      </c>
      <c r="AB659" s="376" t="str">
        <f>CS_PID!AB659/VLOOKUP($B659,표2[#ALL],2)/HLOOKUP($A659,표1[#ALL],row(),false)</f>
        <v>#N/A</v>
      </c>
      <c r="AC659" s="376" t="str">
        <f>CS_PID!AC659/VLOOKUP($B659,표2[#ALL],2)/HLOOKUP($A659,표1[#ALL],row(),false)</f>
        <v>#N/A</v>
      </c>
      <c r="AD659" s="376" t="str">
        <f>CS_PID!AD659/VLOOKUP($B659,표2[#ALL],2)/HLOOKUP($A659,표1[#ALL],row(),false)</f>
        <v>#N/A</v>
      </c>
      <c r="AE659" s="376" t="str">
        <f>CS_PID!AE659/VLOOKUP($B659,표2[#ALL],2)/HLOOKUP($A659,표1[#ALL],row(),false)</f>
        <v>#N/A</v>
      </c>
      <c r="AF659" s="376" t="str">
        <f>CS_PID!AF659/VLOOKUP($B659,표2[#ALL],2)/HLOOKUP($A659,표1[#ALL],row(),false)</f>
        <v>#N/A</v>
      </c>
      <c r="AG659" s="376" t="str">
        <f>CS_PID!AG659/VLOOKUP($B659,표2[#ALL],2)/HLOOKUP($A659,표1[#ALL],row(),false)</f>
        <v>#N/A</v>
      </c>
      <c r="AH659" s="376" t="str">
        <f>CS_PID!AH659/VLOOKUP($B659,표2[#ALL],2)/HLOOKUP($A659,표1[#ALL],row(),false)</f>
        <v>#N/A</v>
      </c>
      <c r="AI659" s="376" t="str">
        <f>CS_PID!AI659/VLOOKUP($B659,표2[#ALL],2)/HLOOKUP($A659,표1[#ALL],row(),false)</f>
        <v>#N/A</v>
      </c>
      <c r="AJ659" s="376" t="str">
        <f>CS_PID!AJ659/VLOOKUP($B659,표2[#ALL],2)/HLOOKUP($A659,표1[#ALL],row(),false)</f>
        <v>#N/A</v>
      </c>
      <c r="AK659" s="376" t="str">
        <f>CS_PID!AK659/VLOOKUP($B659,표2[#ALL],2)/HLOOKUP($A659,표1[#ALL],row(),false)</f>
        <v>#N/A</v>
      </c>
      <c r="AL659" s="376" t="str">
        <f>CS_PID!AL659/VLOOKUP($B659,표2[#ALL],2)/HLOOKUP($A659,표1[#ALL],row(),false)</f>
        <v>#N/A</v>
      </c>
      <c r="AM659" s="376" t="str">
        <f>CS_PID!AM659/VLOOKUP($B659,표2[#ALL],2)/HLOOKUP($A659,표1[#ALL],row(),false)</f>
        <v>#N/A</v>
      </c>
      <c r="AN659" s="376" t="str">
        <f>CS_PID!AN659/VLOOKUP($B659,표2[#ALL],2)/HLOOKUP($A659,표1[#ALL],row(),false)</f>
        <v>#N/A</v>
      </c>
      <c r="AO659" s="376" t="str">
        <f>CS_PID!AO659/VLOOKUP($B659,표2[#ALL],2)/HLOOKUP($A659,표1[#ALL],row(),false)</f>
        <v>#N/A</v>
      </c>
      <c r="AP659" s="376" t="str">
        <f>CS_PID!AP659/VLOOKUP($B659,표2[#ALL],2)/HLOOKUP($A659,표1[#ALL],row(),false)</f>
        <v>#N/A</v>
      </c>
      <c r="AQ659" s="376" t="str">
        <f>CS_PID!AQ659/VLOOKUP($B659,표2[#ALL],2)/HLOOKUP($A659,표1[#ALL],row(),false)</f>
        <v>#N/A</v>
      </c>
      <c r="AR659" s="376" t="str">
        <f>CS_PID!AR659/VLOOKUP($B659,표2[#ALL],2)/HLOOKUP($A659,표1[#ALL],row(),false)</f>
        <v>#N/A</v>
      </c>
      <c r="AS659" s="377" t="str">
        <f>CS_PID!AS659/VLOOKUP($B659,표2[#ALL],2)/HLOOKUP($A659,표1[#ALL],row(),false)</f>
        <v>#N/A</v>
      </c>
    </row>
    <row r="660">
      <c r="A660" s="370"/>
      <c r="B660" s="371"/>
      <c r="C660" s="372" t="str">
        <f>CS_PID!C660/VLOOKUP($B660,표2[#ALL],2)</f>
        <v>#N/A</v>
      </c>
      <c r="D660" s="372" t="str">
        <f>CS_PID!D660/VLOOKUP($B660,표2[#ALL],2)</f>
        <v>#N/A</v>
      </c>
      <c r="E660" s="372" t="str">
        <f>CS_PID!E660/VLOOKUP($B660,표2[#ALL],2)</f>
        <v>#N/A</v>
      </c>
      <c r="F660" s="372" t="str">
        <f>CS_PID!F660/VLOOKUP($B660,표2[#ALL],2)</f>
        <v>#N/A</v>
      </c>
      <c r="G660" s="372" t="str">
        <f>CS_PID!G660/VLOOKUP($B660,표2[#ALL],2)</f>
        <v>#N/A</v>
      </c>
      <c r="H660" s="372" t="str">
        <f>CS_PID!H660/VLOOKUP($B660,표2[#ALL],2)/HLOOKUP($A660,표1[#ALL],row(),false)</f>
        <v>#N/A</v>
      </c>
      <c r="I660" s="372" t="str">
        <f>CS_PID!I660/VLOOKUP($B660,표2[#ALL],2)/HLOOKUP($A660,표1[#ALL],row(),false)</f>
        <v>#N/A</v>
      </c>
      <c r="J660" s="372" t="str">
        <f>CS_PID!J660/VLOOKUP($B660,표2[#ALL],2)/HLOOKUP($A660,표1[#ALL],row(),false)</f>
        <v>#N/A</v>
      </c>
      <c r="K660" s="372" t="str">
        <f>CS_PID!K660/VLOOKUP($B660,표2[#ALL],2)/HLOOKUP($A660,표1[#ALL],row(),false)</f>
        <v>#N/A</v>
      </c>
      <c r="L660" s="372" t="str">
        <f>CS_PID!L660/VLOOKUP($B660,표2[#ALL],2)/HLOOKUP($A660,표1[#ALL],row(),false)</f>
        <v>#N/A</v>
      </c>
      <c r="M660" s="372" t="str">
        <f>CS_PID!M660/VLOOKUP($B660,표2[#ALL],2)/HLOOKUP($A660,표1[#ALL],row(),false)</f>
        <v>#N/A</v>
      </c>
      <c r="N660" s="372" t="str">
        <f>CS_PID!N660/VLOOKUP($B660,표2[#ALL],2)/HLOOKUP($A660,표1[#ALL],row(),false)</f>
        <v>#N/A</v>
      </c>
      <c r="O660" s="372" t="str">
        <f>CS_PID!O660/VLOOKUP($B660,표2[#ALL],2)/HLOOKUP($A660,표1[#ALL],row(),false)</f>
        <v>#N/A</v>
      </c>
      <c r="P660" s="372" t="str">
        <f>CS_PID!P660/VLOOKUP($B660,표2[#ALL],2)/HLOOKUP($A660,표1[#ALL],row(),false)</f>
        <v>#N/A</v>
      </c>
      <c r="Q660" s="372" t="str">
        <f>CS_PID!Q660/VLOOKUP($B660,표2[#ALL],2)/HLOOKUP($A660,표1[#ALL],row(),false)</f>
        <v>#N/A</v>
      </c>
      <c r="R660" s="372" t="str">
        <f>CS_PID!R660/VLOOKUP($B660,표2[#ALL],2)/HLOOKUP($A660,표1[#ALL],row(),false)</f>
        <v>#N/A</v>
      </c>
      <c r="S660" s="372" t="str">
        <f>CS_PID!S660/VLOOKUP($B660,표2[#ALL],2)/HLOOKUP($A660,표1[#ALL],row(),false)</f>
        <v>#N/A</v>
      </c>
      <c r="T660" s="372" t="str">
        <f>CS_PID!T660/VLOOKUP($B660,표2[#ALL],2)/HLOOKUP($A660,표1[#ALL],row(),false)</f>
        <v>#N/A</v>
      </c>
      <c r="U660" s="372" t="str">
        <f>CS_PID!U660/VLOOKUP($B660,표2[#ALL],2)/HLOOKUP($A660,표1[#ALL],row(),false)</f>
        <v>#N/A</v>
      </c>
      <c r="V660" s="372" t="str">
        <f>CS_PID!V660/VLOOKUP($B660,표2[#ALL],2)/HLOOKUP($A660,표1[#ALL],row(),false)</f>
        <v>#N/A</v>
      </c>
      <c r="W660" s="372" t="str">
        <f>CS_PID!W660/VLOOKUP($B660,표2[#ALL],2)/HLOOKUP($A660,표1[#ALL],row(),false)</f>
        <v>#N/A</v>
      </c>
      <c r="X660" s="372" t="str">
        <f>CS_PID!X660/VLOOKUP($B660,표2[#ALL],2)/HLOOKUP($A660,표1[#ALL],row(),false)</f>
        <v>#N/A</v>
      </c>
      <c r="Y660" s="372" t="str">
        <f>CS_PID!Y660/VLOOKUP($B660,표2[#ALL],2)/HLOOKUP($A660,표1[#ALL],row(),false)</f>
        <v>#N/A</v>
      </c>
      <c r="Z660" s="372" t="str">
        <f>CS_PID!Z660/VLOOKUP($B660,표2[#ALL],2)/HLOOKUP($A660,표1[#ALL],row(),false)</f>
        <v>#N/A</v>
      </c>
      <c r="AA660" s="372" t="str">
        <f>CS_PID!AA660/VLOOKUP($B660,표2[#ALL],2)/HLOOKUP($A660,표1[#ALL],row(),false)</f>
        <v>#N/A</v>
      </c>
      <c r="AB660" s="372" t="str">
        <f>CS_PID!AB660/VLOOKUP($B660,표2[#ALL],2)/HLOOKUP($A660,표1[#ALL],row(),false)</f>
        <v>#N/A</v>
      </c>
      <c r="AC660" s="372" t="str">
        <f>CS_PID!AC660/VLOOKUP($B660,표2[#ALL],2)/HLOOKUP($A660,표1[#ALL],row(),false)</f>
        <v>#N/A</v>
      </c>
      <c r="AD660" s="372" t="str">
        <f>CS_PID!AD660/VLOOKUP($B660,표2[#ALL],2)/HLOOKUP($A660,표1[#ALL],row(),false)</f>
        <v>#N/A</v>
      </c>
      <c r="AE660" s="372" t="str">
        <f>CS_PID!AE660/VLOOKUP($B660,표2[#ALL],2)/HLOOKUP($A660,표1[#ALL],row(),false)</f>
        <v>#N/A</v>
      </c>
      <c r="AF660" s="372" t="str">
        <f>CS_PID!AF660/VLOOKUP($B660,표2[#ALL],2)/HLOOKUP($A660,표1[#ALL],row(),false)</f>
        <v>#N/A</v>
      </c>
      <c r="AG660" s="372" t="str">
        <f>CS_PID!AG660/VLOOKUP($B660,표2[#ALL],2)/HLOOKUP($A660,표1[#ALL],row(),false)</f>
        <v>#N/A</v>
      </c>
      <c r="AH660" s="372" t="str">
        <f>CS_PID!AH660/VLOOKUP($B660,표2[#ALL],2)/HLOOKUP($A660,표1[#ALL],row(),false)</f>
        <v>#N/A</v>
      </c>
      <c r="AI660" s="372" t="str">
        <f>CS_PID!AI660/VLOOKUP($B660,표2[#ALL],2)/HLOOKUP($A660,표1[#ALL],row(),false)</f>
        <v>#N/A</v>
      </c>
      <c r="AJ660" s="372" t="str">
        <f>CS_PID!AJ660/VLOOKUP($B660,표2[#ALL],2)/HLOOKUP($A660,표1[#ALL],row(),false)</f>
        <v>#N/A</v>
      </c>
      <c r="AK660" s="372" t="str">
        <f>CS_PID!AK660/VLOOKUP($B660,표2[#ALL],2)/HLOOKUP($A660,표1[#ALL],row(),false)</f>
        <v>#N/A</v>
      </c>
      <c r="AL660" s="372" t="str">
        <f>CS_PID!AL660/VLOOKUP($B660,표2[#ALL],2)/HLOOKUP($A660,표1[#ALL],row(),false)</f>
        <v>#N/A</v>
      </c>
      <c r="AM660" s="372" t="str">
        <f>CS_PID!AM660/VLOOKUP($B660,표2[#ALL],2)/HLOOKUP($A660,표1[#ALL],row(),false)</f>
        <v>#N/A</v>
      </c>
      <c r="AN660" s="372" t="str">
        <f>CS_PID!AN660/VLOOKUP($B660,표2[#ALL],2)/HLOOKUP($A660,표1[#ALL],row(),false)</f>
        <v>#N/A</v>
      </c>
      <c r="AO660" s="372" t="str">
        <f>CS_PID!AO660/VLOOKUP($B660,표2[#ALL],2)/HLOOKUP($A660,표1[#ALL],row(),false)</f>
        <v>#N/A</v>
      </c>
      <c r="AP660" s="372" t="str">
        <f>CS_PID!AP660/VLOOKUP($B660,표2[#ALL],2)/HLOOKUP($A660,표1[#ALL],row(),false)</f>
        <v>#N/A</v>
      </c>
      <c r="AQ660" s="372" t="str">
        <f>CS_PID!AQ660/VLOOKUP($B660,표2[#ALL],2)/HLOOKUP($A660,표1[#ALL],row(),false)</f>
        <v>#N/A</v>
      </c>
      <c r="AR660" s="372" t="str">
        <f>CS_PID!AR660/VLOOKUP($B660,표2[#ALL],2)/HLOOKUP($A660,표1[#ALL],row(),false)</f>
        <v>#N/A</v>
      </c>
      <c r="AS660" s="373" t="str">
        <f>CS_PID!AS660/VLOOKUP($B660,표2[#ALL],2)/HLOOKUP($A660,표1[#ALL],row(),false)</f>
        <v>#N/A</v>
      </c>
    </row>
    <row r="661">
      <c r="A661" s="374"/>
      <c r="B661" s="375"/>
      <c r="C661" s="376" t="str">
        <f>CS_PID!C661/VLOOKUP($B661,표2[#ALL],2)</f>
        <v>#N/A</v>
      </c>
      <c r="D661" s="376" t="str">
        <f>CS_PID!D661/VLOOKUP($B661,표2[#ALL],2)</f>
        <v>#N/A</v>
      </c>
      <c r="E661" s="376" t="str">
        <f>CS_PID!E661/VLOOKUP($B661,표2[#ALL],2)</f>
        <v>#N/A</v>
      </c>
      <c r="F661" s="376" t="str">
        <f>CS_PID!F661/VLOOKUP($B661,표2[#ALL],2)</f>
        <v>#N/A</v>
      </c>
      <c r="G661" s="376" t="str">
        <f>CS_PID!G661/VLOOKUP($B661,표2[#ALL],2)</f>
        <v>#N/A</v>
      </c>
      <c r="H661" s="376" t="str">
        <f>CS_PID!H661/VLOOKUP($B661,표2[#ALL],2)/HLOOKUP($A661,표1[#ALL],row(),false)</f>
        <v>#N/A</v>
      </c>
      <c r="I661" s="376" t="str">
        <f>CS_PID!I661/VLOOKUP($B661,표2[#ALL],2)/HLOOKUP($A661,표1[#ALL],row(),false)</f>
        <v>#N/A</v>
      </c>
      <c r="J661" s="376" t="str">
        <f>CS_PID!J661/VLOOKUP($B661,표2[#ALL],2)/HLOOKUP($A661,표1[#ALL],row(),false)</f>
        <v>#N/A</v>
      </c>
      <c r="K661" s="376" t="str">
        <f>CS_PID!K661/VLOOKUP($B661,표2[#ALL],2)/HLOOKUP($A661,표1[#ALL],row(),false)</f>
        <v>#N/A</v>
      </c>
      <c r="L661" s="376" t="str">
        <f>CS_PID!L661/VLOOKUP($B661,표2[#ALL],2)/HLOOKUP($A661,표1[#ALL],row(),false)</f>
        <v>#N/A</v>
      </c>
      <c r="M661" s="376" t="str">
        <f>CS_PID!M661/VLOOKUP($B661,표2[#ALL],2)/HLOOKUP($A661,표1[#ALL],row(),false)</f>
        <v>#N/A</v>
      </c>
      <c r="N661" s="376" t="str">
        <f>CS_PID!N661/VLOOKUP($B661,표2[#ALL],2)/HLOOKUP($A661,표1[#ALL],row(),false)</f>
        <v>#N/A</v>
      </c>
      <c r="O661" s="376" t="str">
        <f>CS_PID!O661/VLOOKUP($B661,표2[#ALL],2)/HLOOKUP($A661,표1[#ALL],row(),false)</f>
        <v>#N/A</v>
      </c>
      <c r="P661" s="376" t="str">
        <f>CS_PID!P661/VLOOKUP($B661,표2[#ALL],2)/HLOOKUP($A661,표1[#ALL],row(),false)</f>
        <v>#N/A</v>
      </c>
      <c r="Q661" s="376" t="str">
        <f>CS_PID!Q661/VLOOKUP($B661,표2[#ALL],2)/HLOOKUP($A661,표1[#ALL],row(),false)</f>
        <v>#N/A</v>
      </c>
      <c r="R661" s="376" t="str">
        <f>CS_PID!R661/VLOOKUP($B661,표2[#ALL],2)/HLOOKUP($A661,표1[#ALL],row(),false)</f>
        <v>#N/A</v>
      </c>
      <c r="S661" s="376" t="str">
        <f>CS_PID!S661/VLOOKUP($B661,표2[#ALL],2)/HLOOKUP($A661,표1[#ALL],row(),false)</f>
        <v>#N/A</v>
      </c>
      <c r="T661" s="376" t="str">
        <f>CS_PID!T661/VLOOKUP($B661,표2[#ALL],2)/HLOOKUP($A661,표1[#ALL],row(),false)</f>
        <v>#N/A</v>
      </c>
      <c r="U661" s="376" t="str">
        <f>CS_PID!U661/VLOOKUP($B661,표2[#ALL],2)/HLOOKUP($A661,표1[#ALL],row(),false)</f>
        <v>#N/A</v>
      </c>
      <c r="V661" s="376" t="str">
        <f>CS_PID!V661/VLOOKUP($B661,표2[#ALL],2)/HLOOKUP($A661,표1[#ALL],row(),false)</f>
        <v>#N/A</v>
      </c>
      <c r="W661" s="376" t="str">
        <f>CS_PID!W661/VLOOKUP($B661,표2[#ALL],2)/HLOOKUP($A661,표1[#ALL],row(),false)</f>
        <v>#N/A</v>
      </c>
      <c r="X661" s="376" t="str">
        <f>CS_PID!X661/VLOOKUP($B661,표2[#ALL],2)/HLOOKUP($A661,표1[#ALL],row(),false)</f>
        <v>#N/A</v>
      </c>
      <c r="Y661" s="376" t="str">
        <f>CS_PID!Y661/VLOOKUP($B661,표2[#ALL],2)/HLOOKUP($A661,표1[#ALL],row(),false)</f>
        <v>#N/A</v>
      </c>
      <c r="Z661" s="376" t="str">
        <f>CS_PID!Z661/VLOOKUP($B661,표2[#ALL],2)/HLOOKUP($A661,표1[#ALL],row(),false)</f>
        <v>#N/A</v>
      </c>
      <c r="AA661" s="376" t="str">
        <f>CS_PID!AA661/VLOOKUP($B661,표2[#ALL],2)/HLOOKUP($A661,표1[#ALL],row(),false)</f>
        <v>#N/A</v>
      </c>
      <c r="AB661" s="376" t="str">
        <f>CS_PID!AB661/VLOOKUP($B661,표2[#ALL],2)/HLOOKUP($A661,표1[#ALL],row(),false)</f>
        <v>#N/A</v>
      </c>
      <c r="AC661" s="376" t="str">
        <f>CS_PID!AC661/VLOOKUP($B661,표2[#ALL],2)/HLOOKUP($A661,표1[#ALL],row(),false)</f>
        <v>#N/A</v>
      </c>
      <c r="AD661" s="376" t="str">
        <f>CS_PID!AD661/VLOOKUP($B661,표2[#ALL],2)/HLOOKUP($A661,표1[#ALL],row(),false)</f>
        <v>#N/A</v>
      </c>
      <c r="AE661" s="376" t="str">
        <f>CS_PID!AE661/VLOOKUP($B661,표2[#ALL],2)/HLOOKUP($A661,표1[#ALL],row(),false)</f>
        <v>#N/A</v>
      </c>
      <c r="AF661" s="376" t="str">
        <f>CS_PID!AF661/VLOOKUP($B661,표2[#ALL],2)/HLOOKUP($A661,표1[#ALL],row(),false)</f>
        <v>#N/A</v>
      </c>
      <c r="AG661" s="376" t="str">
        <f>CS_PID!AG661/VLOOKUP($B661,표2[#ALL],2)/HLOOKUP($A661,표1[#ALL],row(),false)</f>
        <v>#N/A</v>
      </c>
      <c r="AH661" s="376" t="str">
        <f>CS_PID!AH661/VLOOKUP($B661,표2[#ALL],2)/HLOOKUP($A661,표1[#ALL],row(),false)</f>
        <v>#N/A</v>
      </c>
      <c r="AI661" s="376" t="str">
        <f>CS_PID!AI661/VLOOKUP($B661,표2[#ALL],2)/HLOOKUP($A661,표1[#ALL],row(),false)</f>
        <v>#N/A</v>
      </c>
      <c r="AJ661" s="376" t="str">
        <f>CS_PID!AJ661/VLOOKUP($B661,표2[#ALL],2)/HLOOKUP($A661,표1[#ALL],row(),false)</f>
        <v>#N/A</v>
      </c>
      <c r="AK661" s="376" t="str">
        <f>CS_PID!AK661/VLOOKUP($B661,표2[#ALL],2)/HLOOKUP($A661,표1[#ALL],row(),false)</f>
        <v>#N/A</v>
      </c>
      <c r="AL661" s="376" t="str">
        <f>CS_PID!AL661/VLOOKUP($B661,표2[#ALL],2)/HLOOKUP($A661,표1[#ALL],row(),false)</f>
        <v>#N/A</v>
      </c>
      <c r="AM661" s="376" t="str">
        <f>CS_PID!AM661/VLOOKUP($B661,표2[#ALL],2)/HLOOKUP($A661,표1[#ALL],row(),false)</f>
        <v>#N/A</v>
      </c>
      <c r="AN661" s="376" t="str">
        <f>CS_PID!AN661/VLOOKUP($B661,표2[#ALL],2)/HLOOKUP($A661,표1[#ALL],row(),false)</f>
        <v>#N/A</v>
      </c>
      <c r="AO661" s="376" t="str">
        <f>CS_PID!AO661/VLOOKUP($B661,표2[#ALL],2)/HLOOKUP($A661,표1[#ALL],row(),false)</f>
        <v>#N/A</v>
      </c>
      <c r="AP661" s="376" t="str">
        <f>CS_PID!AP661/VLOOKUP($B661,표2[#ALL],2)/HLOOKUP($A661,표1[#ALL],row(),false)</f>
        <v>#N/A</v>
      </c>
      <c r="AQ661" s="376" t="str">
        <f>CS_PID!AQ661/VLOOKUP($B661,표2[#ALL],2)/HLOOKUP($A661,표1[#ALL],row(),false)</f>
        <v>#N/A</v>
      </c>
      <c r="AR661" s="376" t="str">
        <f>CS_PID!AR661/VLOOKUP($B661,표2[#ALL],2)/HLOOKUP($A661,표1[#ALL],row(),false)</f>
        <v>#N/A</v>
      </c>
      <c r="AS661" s="377" t="str">
        <f>CS_PID!AS661/VLOOKUP($B661,표2[#ALL],2)/HLOOKUP($A661,표1[#ALL],row(),false)</f>
        <v>#N/A</v>
      </c>
    </row>
    <row r="662">
      <c r="A662" s="370"/>
      <c r="B662" s="371"/>
      <c r="C662" s="372" t="str">
        <f>CS_PID!C662/VLOOKUP($B662,표2[#ALL],2)</f>
        <v>#N/A</v>
      </c>
      <c r="D662" s="372" t="str">
        <f>CS_PID!D662/VLOOKUP($B662,표2[#ALL],2)</f>
        <v>#N/A</v>
      </c>
      <c r="E662" s="372" t="str">
        <f>CS_PID!E662/VLOOKUP($B662,표2[#ALL],2)</f>
        <v>#N/A</v>
      </c>
      <c r="F662" s="372" t="str">
        <f>CS_PID!F662/VLOOKUP($B662,표2[#ALL],2)</f>
        <v>#N/A</v>
      </c>
      <c r="G662" s="372" t="str">
        <f>CS_PID!G662/VLOOKUP($B662,표2[#ALL],2)</f>
        <v>#N/A</v>
      </c>
      <c r="H662" s="372" t="str">
        <f>CS_PID!H662/VLOOKUP($B662,표2[#ALL],2)/HLOOKUP($A662,표1[#ALL],row(),false)</f>
        <v>#N/A</v>
      </c>
      <c r="I662" s="372" t="str">
        <f>CS_PID!I662/VLOOKUP($B662,표2[#ALL],2)/HLOOKUP($A662,표1[#ALL],row(),false)</f>
        <v>#N/A</v>
      </c>
      <c r="J662" s="372" t="str">
        <f>CS_PID!J662/VLOOKUP($B662,표2[#ALL],2)/HLOOKUP($A662,표1[#ALL],row(),false)</f>
        <v>#N/A</v>
      </c>
      <c r="K662" s="372" t="str">
        <f>CS_PID!K662/VLOOKUP($B662,표2[#ALL],2)/HLOOKUP($A662,표1[#ALL],row(),false)</f>
        <v>#N/A</v>
      </c>
      <c r="L662" s="372" t="str">
        <f>CS_PID!L662/VLOOKUP($B662,표2[#ALL],2)/HLOOKUP($A662,표1[#ALL],row(),false)</f>
        <v>#N/A</v>
      </c>
      <c r="M662" s="372" t="str">
        <f>CS_PID!M662/VLOOKUP($B662,표2[#ALL],2)/HLOOKUP($A662,표1[#ALL],row(),false)</f>
        <v>#N/A</v>
      </c>
      <c r="N662" s="372" t="str">
        <f>CS_PID!N662/VLOOKUP($B662,표2[#ALL],2)/HLOOKUP($A662,표1[#ALL],row(),false)</f>
        <v>#N/A</v>
      </c>
      <c r="O662" s="372" t="str">
        <f>CS_PID!O662/VLOOKUP($B662,표2[#ALL],2)/HLOOKUP($A662,표1[#ALL],row(),false)</f>
        <v>#N/A</v>
      </c>
      <c r="P662" s="372" t="str">
        <f>CS_PID!P662/VLOOKUP($B662,표2[#ALL],2)/HLOOKUP($A662,표1[#ALL],row(),false)</f>
        <v>#N/A</v>
      </c>
      <c r="Q662" s="372" t="str">
        <f>CS_PID!Q662/VLOOKUP($B662,표2[#ALL],2)/HLOOKUP($A662,표1[#ALL],row(),false)</f>
        <v>#N/A</v>
      </c>
      <c r="R662" s="372" t="str">
        <f>CS_PID!R662/VLOOKUP($B662,표2[#ALL],2)/HLOOKUP($A662,표1[#ALL],row(),false)</f>
        <v>#N/A</v>
      </c>
      <c r="S662" s="372" t="str">
        <f>CS_PID!S662/VLOOKUP($B662,표2[#ALL],2)/HLOOKUP($A662,표1[#ALL],row(),false)</f>
        <v>#N/A</v>
      </c>
      <c r="T662" s="372" t="str">
        <f>CS_PID!T662/VLOOKUP($B662,표2[#ALL],2)/HLOOKUP($A662,표1[#ALL],row(),false)</f>
        <v>#N/A</v>
      </c>
      <c r="U662" s="372" t="str">
        <f>CS_PID!U662/VLOOKUP($B662,표2[#ALL],2)/HLOOKUP($A662,표1[#ALL],row(),false)</f>
        <v>#N/A</v>
      </c>
      <c r="V662" s="372" t="str">
        <f>CS_PID!V662/VLOOKUP($B662,표2[#ALL],2)/HLOOKUP($A662,표1[#ALL],row(),false)</f>
        <v>#N/A</v>
      </c>
      <c r="W662" s="372" t="str">
        <f>CS_PID!W662/VLOOKUP($B662,표2[#ALL],2)/HLOOKUP($A662,표1[#ALL],row(),false)</f>
        <v>#N/A</v>
      </c>
      <c r="X662" s="372" t="str">
        <f>CS_PID!X662/VLOOKUP($B662,표2[#ALL],2)/HLOOKUP($A662,표1[#ALL],row(),false)</f>
        <v>#N/A</v>
      </c>
      <c r="Y662" s="372" t="str">
        <f>CS_PID!Y662/VLOOKUP($B662,표2[#ALL],2)/HLOOKUP($A662,표1[#ALL],row(),false)</f>
        <v>#N/A</v>
      </c>
      <c r="Z662" s="372" t="str">
        <f>CS_PID!Z662/VLOOKUP($B662,표2[#ALL],2)/HLOOKUP($A662,표1[#ALL],row(),false)</f>
        <v>#N/A</v>
      </c>
      <c r="AA662" s="372" t="str">
        <f>CS_PID!AA662/VLOOKUP($B662,표2[#ALL],2)/HLOOKUP($A662,표1[#ALL],row(),false)</f>
        <v>#N/A</v>
      </c>
      <c r="AB662" s="372" t="str">
        <f>CS_PID!AB662/VLOOKUP($B662,표2[#ALL],2)/HLOOKUP($A662,표1[#ALL],row(),false)</f>
        <v>#N/A</v>
      </c>
      <c r="AC662" s="372" t="str">
        <f>CS_PID!AC662/VLOOKUP($B662,표2[#ALL],2)/HLOOKUP($A662,표1[#ALL],row(),false)</f>
        <v>#N/A</v>
      </c>
      <c r="AD662" s="372" t="str">
        <f>CS_PID!AD662/VLOOKUP($B662,표2[#ALL],2)/HLOOKUP($A662,표1[#ALL],row(),false)</f>
        <v>#N/A</v>
      </c>
      <c r="AE662" s="372" t="str">
        <f>CS_PID!AE662/VLOOKUP($B662,표2[#ALL],2)/HLOOKUP($A662,표1[#ALL],row(),false)</f>
        <v>#N/A</v>
      </c>
      <c r="AF662" s="372" t="str">
        <f>CS_PID!AF662/VLOOKUP($B662,표2[#ALL],2)/HLOOKUP($A662,표1[#ALL],row(),false)</f>
        <v>#N/A</v>
      </c>
      <c r="AG662" s="372" t="str">
        <f>CS_PID!AG662/VLOOKUP($B662,표2[#ALL],2)/HLOOKUP($A662,표1[#ALL],row(),false)</f>
        <v>#N/A</v>
      </c>
      <c r="AH662" s="372" t="str">
        <f>CS_PID!AH662/VLOOKUP($B662,표2[#ALL],2)/HLOOKUP($A662,표1[#ALL],row(),false)</f>
        <v>#N/A</v>
      </c>
      <c r="AI662" s="372" t="str">
        <f>CS_PID!AI662/VLOOKUP($B662,표2[#ALL],2)/HLOOKUP($A662,표1[#ALL],row(),false)</f>
        <v>#N/A</v>
      </c>
      <c r="AJ662" s="372" t="str">
        <f>CS_PID!AJ662/VLOOKUP($B662,표2[#ALL],2)/HLOOKUP($A662,표1[#ALL],row(),false)</f>
        <v>#N/A</v>
      </c>
      <c r="AK662" s="372" t="str">
        <f>CS_PID!AK662/VLOOKUP($B662,표2[#ALL],2)/HLOOKUP($A662,표1[#ALL],row(),false)</f>
        <v>#N/A</v>
      </c>
      <c r="AL662" s="372" t="str">
        <f>CS_PID!AL662/VLOOKUP($B662,표2[#ALL],2)/HLOOKUP($A662,표1[#ALL],row(),false)</f>
        <v>#N/A</v>
      </c>
      <c r="AM662" s="372" t="str">
        <f>CS_PID!AM662/VLOOKUP($B662,표2[#ALL],2)/HLOOKUP($A662,표1[#ALL],row(),false)</f>
        <v>#N/A</v>
      </c>
      <c r="AN662" s="372" t="str">
        <f>CS_PID!AN662/VLOOKUP($B662,표2[#ALL],2)/HLOOKUP($A662,표1[#ALL],row(),false)</f>
        <v>#N/A</v>
      </c>
      <c r="AO662" s="372" t="str">
        <f>CS_PID!AO662/VLOOKUP($B662,표2[#ALL],2)/HLOOKUP($A662,표1[#ALL],row(),false)</f>
        <v>#N/A</v>
      </c>
      <c r="AP662" s="372" t="str">
        <f>CS_PID!AP662/VLOOKUP($B662,표2[#ALL],2)/HLOOKUP($A662,표1[#ALL],row(),false)</f>
        <v>#N/A</v>
      </c>
      <c r="AQ662" s="372" t="str">
        <f>CS_PID!AQ662/VLOOKUP($B662,표2[#ALL],2)/HLOOKUP($A662,표1[#ALL],row(),false)</f>
        <v>#N/A</v>
      </c>
      <c r="AR662" s="372" t="str">
        <f>CS_PID!AR662/VLOOKUP($B662,표2[#ALL],2)/HLOOKUP($A662,표1[#ALL],row(),false)</f>
        <v>#N/A</v>
      </c>
      <c r="AS662" s="373" t="str">
        <f>CS_PID!AS662/VLOOKUP($B662,표2[#ALL],2)/HLOOKUP($A662,표1[#ALL],row(),false)</f>
        <v>#N/A</v>
      </c>
    </row>
    <row r="663">
      <c r="A663" s="374"/>
      <c r="B663" s="375"/>
      <c r="C663" s="376" t="str">
        <f>CS_PID!C663/VLOOKUP($B663,표2[#ALL],2)</f>
        <v>#N/A</v>
      </c>
      <c r="D663" s="376" t="str">
        <f>CS_PID!D663/VLOOKUP($B663,표2[#ALL],2)</f>
        <v>#N/A</v>
      </c>
      <c r="E663" s="376" t="str">
        <f>CS_PID!E663/VLOOKUP($B663,표2[#ALL],2)</f>
        <v>#N/A</v>
      </c>
      <c r="F663" s="376" t="str">
        <f>CS_PID!F663/VLOOKUP($B663,표2[#ALL],2)</f>
        <v>#N/A</v>
      </c>
      <c r="G663" s="376" t="str">
        <f>CS_PID!G663/VLOOKUP($B663,표2[#ALL],2)</f>
        <v>#N/A</v>
      </c>
      <c r="H663" s="376" t="str">
        <f>CS_PID!H663/VLOOKUP($B663,표2[#ALL],2)/HLOOKUP($A663,표1[#ALL],row(),false)</f>
        <v>#N/A</v>
      </c>
      <c r="I663" s="376" t="str">
        <f>CS_PID!I663/VLOOKUP($B663,표2[#ALL],2)/HLOOKUP($A663,표1[#ALL],row(),false)</f>
        <v>#N/A</v>
      </c>
      <c r="J663" s="376" t="str">
        <f>CS_PID!J663/VLOOKUP($B663,표2[#ALL],2)/HLOOKUP($A663,표1[#ALL],row(),false)</f>
        <v>#N/A</v>
      </c>
      <c r="K663" s="376" t="str">
        <f>CS_PID!K663/VLOOKUP($B663,표2[#ALL],2)/HLOOKUP($A663,표1[#ALL],row(),false)</f>
        <v>#N/A</v>
      </c>
      <c r="L663" s="376" t="str">
        <f>CS_PID!L663/VLOOKUP($B663,표2[#ALL],2)/HLOOKUP($A663,표1[#ALL],row(),false)</f>
        <v>#N/A</v>
      </c>
      <c r="M663" s="376" t="str">
        <f>CS_PID!M663/VLOOKUP($B663,표2[#ALL],2)/HLOOKUP($A663,표1[#ALL],row(),false)</f>
        <v>#N/A</v>
      </c>
      <c r="N663" s="376" t="str">
        <f>CS_PID!N663/VLOOKUP($B663,표2[#ALL],2)/HLOOKUP($A663,표1[#ALL],row(),false)</f>
        <v>#N/A</v>
      </c>
      <c r="O663" s="376" t="str">
        <f>CS_PID!O663/VLOOKUP($B663,표2[#ALL],2)/HLOOKUP($A663,표1[#ALL],row(),false)</f>
        <v>#N/A</v>
      </c>
      <c r="P663" s="376" t="str">
        <f>CS_PID!P663/VLOOKUP($B663,표2[#ALL],2)/HLOOKUP($A663,표1[#ALL],row(),false)</f>
        <v>#N/A</v>
      </c>
      <c r="Q663" s="376" t="str">
        <f>CS_PID!Q663/VLOOKUP($B663,표2[#ALL],2)/HLOOKUP($A663,표1[#ALL],row(),false)</f>
        <v>#N/A</v>
      </c>
      <c r="R663" s="376" t="str">
        <f>CS_PID!R663/VLOOKUP($B663,표2[#ALL],2)/HLOOKUP($A663,표1[#ALL],row(),false)</f>
        <v>#N/A</v>
      </c>
      <c r="S663" s="376" t="str">
        <f>CS_PID!S663/VLOOKUP($B663,표2[#ALL],2)/HLOOKUP($A663,표1[#ALL],row(),false)</f>
        <v>#N/A</v>
      </c>
      <c r="T663" s="376" t="str">
        <f>CS_PID!T663/VLOOKUP($B663,표2[#ALL],2)/HLOOKUP($A663,표1[#ALL],row(),false)</f>
        <v>#N/A</v>
      </c>
      <c r="U663" s="376" t="str">
        <f>CS_PID!U663/VLOOKUP($B663,표2[#ALL],2)/HLOOKUP($A663,표1[#ALL],row(),false)</f>
        <v>#N/A</v>
      </c>
      <c r="V663" s="376" t="str">
        <f>CS_PID!V663/VLOOKUP($B663,표2[#ALL],2)/HLOOKUP($A663,표1[#ALL],row(),false)</f>
        <v>#N/A</v>
      </c>
      <c r="W663" s="376" t="str">
        <f>CS_PID!W663/VLOOKUP($B663,표2[#ALL],2)/HLOOKUP($A663,표1[#ALL],row(),false)</f>
        <v>#N/A</v>
      </c>
      <c r="X663" s="376" t="str">
        <f>CS_PID!X663/VLOOKUP($B663,표2[#ALL],2)/HLOOKUP($A663,표1[#ALL],row(),false)</f>
        <v>#N/A</v>
      </c>
      <c r="Y663" s="376" t="str">
        <f>CS_PID!Y663/VLOOKUP($B663,표2[#ALL],2)/HLOOKUP($A663,표1[#ALL],row(),false)</f>
        <v>#N/A</v>
      </c>
      <c r="Z663" s="376" t="str">
        <f>CS_PID!Z663/VLOOKUP($B663,표2[#ALL],2)/HLOOKUP($A663,표1[#ALL],row(),false)</f>
        <v>#N/A</v>
      </c>
      <c r="AA663" s="376" t="str">
        <f>CS_PID!AA663/VLOOKUP($B663,표2[#ALL],2)/HLOOKUP($A663,표1[#ALL],row(),false)</f>
        <v>#N/A</v>
      </c>
      <c r="AB663" s="376" t="str">
        <f>CS_PID!AB663/VLOOKUP($B663,표2[#ALL],2)/HLOOKUP($A663,표1[#ALL],row(),false)</f>
        <v>#N/A</v>
      </c>
      <c r="AC663" s="376" t="str">
        <f>CS_PID!AC663/VLOOKUP($B663,표2[#ALL],2)/HLOOKUP($A663,표1[#ALL],row(),false)</f>
        <v>#N/A</v>
      </c>
      <c r="AD663" s="376" t="str">
        <f>CS_PID!AD663/VLOOKUP($B663,표2[#ALL],2)/HLOOKUP($A663,표1[#ALL],row(),false)</f>
        <v>#N/A</v>
      </c>
      <c r="AE663" s="376" t="str">
        <f>CS_PID!AE663/VLOOKUP($B663,표2[#ALL],2)/HLOOKUP($A663,표1[#ALL],row(),false)</f>
        <v>#N/A</v>
      </c>
      <c r="AF663" s="376" t="str">
        <f>CS_PID!AF663/VLOOKUP($B663,표2[#ALL],2)/HLOOKUP($A663,표1[#ALL],row(),false)</f>
        <v>#N/A</v>
      </c>
      <c r="AG663" s="376" t="str">
        <f>CS_PID!AG663/VLOOKUP($B663,표2[#ALL],2)/HLOOKUP($A663,표1[#ALL],row(),false)</f>
        <v>#N/A</v>
      </c>
      <c r="AH663" s="376" t="str">
        <f>CS_PID!AH663/VLOOKUP($B663,표2[#ALL],2)/HLOOKUP($A663,표1[#ALL],row(),false)</f>
        <v>#N/A</v>
      </c>
      <c r="AI663" s="376" t="str">
        <f>CS_PID!AI663/VLOOKUP($B663,표2[#ALL],2)/HLOOKUP($A663,표1[#ALL],row(),false)</f>
        <v>#N/A</v>
      </c>
      <c r="AJ663" s="376" t="str">
        <f>CS_PID!AJ663/VLOOKUP($B663,표2[#ALL],2)/HLOOKUP($A663,표1[#ALL],row(),false)</f>
        <v>#N/A</v>
      </c>
      <c r="AK663" s="376" t="str">
        <f>CS_PID!AK663/VLOOKUP($B663,표2[#ALL],2)/HLOOKUP($A663,표1[#ALL],row(),false)</f>
        <v>#N/A</v>
      </c>
      <c r="AL663" s="376" t="str">
        <f>CS_PID!AL663/VLOOKUP($B663,표2[#ALL],2)/HLOOKUP($A663,표1[#ALL],row(),false)</f>
        <v>#N/A</v>
      </c>
      <c r="AM663" s="376" t="str">
        <f>CS_PID!AM663/VLOOKUP($B663,표2[#ALL],2)/HLOOKUP($A663,표1[#ALL],row(),false)</f>
        <v>#N/A</v>
      </c>
      <c r="AN663" s="376" t="str">
        <f>CS_PID!AN663/VLOOKUP($B663,표2[#ALL],2)/HLOOKUP($A663,표1[#ALL],row(),false)</f>
        <v>#N/A</v>
      </c>
      <c r="AO663" s="376" t="str">
        <f>CS_PID!AO663/VLOOKUP($B663,표2[#ALL],2)/HLOOKUP($A663,표1[#ALL],row(),false)</f>
        <v>#N/A</v>
      </c>
      <c r="AP663" s="376" t="str">
        <f>CS_PID!AP663/VLOOKUP($B663,표2[#ALL],2)/HLOOKUP($A663,표1[#ALL],row(),false)</f>
        <v>#N/A</v>
      </c>
      <c r="AQ663" s="376" t="str">
        <f>CS_PID!AQ663/VLOOKUP($B663,표2[#ALL],2)/HLOOKUP($A663,표1[#ALL],row(),false)</f>
        <v>#N/A</v>
      </c>
      <c r="AR663" s="376" t="str">
        <f>CS_PID!AR663/VLOOKUP($B663,표2[#ALL],2)/HLOOKUP($A663,표1[#ALL],row(),false)</f>
        <v>#N/A</v>
      </c>
      <c r="AS663" s="377" t="str">
        <f>CS_PID!AS663/VLOOKUP($B663,표2[#ALL],2)/HLOOKUP($A663,표1[#ALL],row(),false)</f>
        <v>#N/A</v>
      </c>
    </row>
    <row r="664">
      <c r="A664" s="370"/>
      <c r="B664" s="371"/>
      <c r="C664" s="372" t="str">
        <f>CS_PID!C664/VLOOKUP($B664,표2[#ALL],2)</f>
        <v>#N/A</v>
      </c>
      <c r="D664" s="372" t="str">
        <f>CS_PID!D664/VLOOKUP($B664,표2[#ALL],2)</f>
        <v>#N/A</v>
      </c>
      <c r="E664" s="372" t="str">
        <f>CS_PID!E664/VLOOKUP($B664,표2[#ALL],2)</f>
        <v>#N/A</v>
      </c>
      <c r="F664" s="372" t="str">
        <f>CS_PID!F664/VLOOKUP($B664,표2[#ALL],2)</f>
        <v>#N/A</v>
      </c>
      <c r="G664" s="372" t="str">
        <f>CS_PID!G664/VLOOKUP($B664,표2[#ALL],2)</f>
        <v>#N/A</v>
      </c>
      <c r="H664" s="372" t="str">
        <f>CS_PID!H664/VLOOKUP($B664,표2[#ALL],2)/HLOOKUP($A664,표1[#ALL],row(),false)</f>
        <v>#N/A</v>
      </c>
      <c r="I664" s="372" t="str">
        <f>CS_PID!I664/VLOOKUP($B664,표2[#ALL],2)/HLOOKUP($A664,표1[#ALL],row(),false)</f>
        <v>#N/A</v>
      </c>
      <c r="J664" s="372" t="str">
        <f>CS_PID!J664/VLOOKUP($B664,표2[#ALL],2)/HLOOKUP($A664,표1[#ALL],row(),false)</f>
        <v>#N/A</v>
      </c>
      <c r="K664" s="372" t="str">
        <f>CS_PID!K664/VLOOKUP($B664,표2[#ALL],2)/HLOOKUP($A664,표1[#ALL],row(),false)</f>
        <v>#N/A</v>
      </c>
      <c r="L664" s="372" t="str">
        <f>CS_PID!L664/VLOOKUP($B664,표2[#ALL],2)/HLOOKUP($A664,표1[#ALL],row(),false)</f>
        <v>#N/A</v>
      </c>
      <c r="M664" s="372" t="str">
        <f>CS_PID!M664/VLOOKUP($B664,표2[#ALL],2)/HLOOKUP($A664,표1[#ALL],row(),false)</f>
        <v>#N/A</v>
      </c>
      <c r="N664" s="372" t="str">
        <f>CS_PID!N664/VLOOKUP($B664,표2[#ALL],2)/HLOOKUP($A664,표1[#ALL],row(),false)</f>
        <v>#N/A</v>
      </c>
      <c r="O664" s="372" t="str">
        <f>CS_PID!O664/VLOOKUP($B664,표2[#ALL],2)/HLOOKUP($A664,표1[#ALL],row(),false)</f>
        <v>#N/A</v>
      </c>
      <c r="P664" s="372" t="str">
        <f>CS_PID!P664/VLOOKUP($B664,표2[#ALL],2)/HLOOKUP($A664,표1[#ALL],row(),false)</f>
        <v>#N/A</v>
      </c>
      <c r="Q664" s="372" t="str">
        <f>CS_PID!Q664/VLOOKUP($B664,표2[#ALL],2)/HLOOKUP($A664,표1[#ALL],row(),false)</f>
        <v>#N/A</v>
      </c>
      <c r="R664" s="372" t="str">
        <f>CS_PID!R664/VLOOKUP($B664,표2[#ALL],2)/HLOOKUP($A664,표1[#ALL],row(),false)</f>
        <v>#N/A</v>
      </c>
      <c r="S664" s="372" t="str">
        <f>CS_PID!S664/VLOOKUP($B664,표2[#ALL],2)/HLOOKUP($A664,표1[#ALL],row(),false)</f>
        <v>#N/A</v>
      </c>
      <c r="T664" s="372" t="str">
        <f>CS_PID!T664/VLOOKUP($B664,표2[#ALL],2)/HLOOKUP($A664,표1[#ALL],row(),false)</f>
        <v>#N/A</v>
      </c>
      <c r="U664" s="372" t="str">
        <f>CS_PID!U664/VLOOKUP($B664,표2[#ALL],2)/HLOOKUP($A664,표1[#ALL],row(),false)</f>
        <v>#N/A</v>
      </c>
      <c r="V664" s="372" t="str">
        <f>CS_PID!V664/VLOOKUP($B664,표2[#ALL],2)/HLOOKUP($A664,표1[#ALL],row(),false)</f>
        <v>#N/A</v>
      </c>
      <c r="W664" s="372" t="str">
        <f>CS_PID!W664/VLOOKUP($B664,표2[#ALL],2)/HLOOKUP($A664,표1[#ALL],row(),false)</f>
        <v>#N/A</v>
      </c>
      <c r="X664" s="372" t="str">
        <f>CS_PID!X664/VLOOKUP($B664,표2[#ALL],2)/HLOOKUP($A664,표1[#ALL],row(),false)</f>
        <v>#N/A</v>
      </c>
      <c r="Y664" s="372" t="str">
        <f>CS_PID!Y664/VLOOKUP($B664,표2[#ALL],2)/HLOOKUP($A664,표1[#ALL],row(),false)</f>
        <v>#N/A</v>
      </c>
      <c r="Z664" s="372" t="str">
        <f>CS_PID!Z664/VLOOKUP($B664,표2[#ALL],2)/HLOOKUP($A664,표1[#ALL],row(),false)</f>
        <v>#N/A</v>
      </c>
      <c r="AA664" s="372" t="str">
        <f>CS_PID!AA664/VLOOKUP($B664,표2[#ALL],2)/HLOOKUP($A664,표1[#ALL],row(),false)</f>
        <v>#N/A</v>
      </c>
      <c r="AB664" s="372" t="str">
        <f>CS_PID!AB664/VLOOKUP($B664,표2[#ALL],2)/HLOOKUP($A664,표1[#ALL],row(),false)</f>
        <v>#N/A</v>
      </c>
      <c r="AC664" s="372" t="str">
        <f>CS_PID!AC664/VLOOKUP($B664,표2[#ALL],2)/HLOOKUP($A664,표1[#ALL],row(),false)</f>
        <v>#N/A</v>
      </c>
      <c r="AD664" s="372" t="str">
        <f>CS_PID!AD664/VLOOKUP($B664,표2[#ALL],2)/HLOOKUP($A664,표1[#ALL],row(),false)</f>
        <v>#N/A</v>
      </c>
      <c r="AE664" s="372" t="str">
        <f>CS_PID!AE664/VLOOKUP($B664,표2[#ALL],2)/HLOOKUP($A664,표1[#ALL],row(),false)</f>
        <v>#N/A</v>
      </c>
      <c r="AF664" s="372" t="str">
        <f>CS_PID!AF664/VLOOKUP($B664,표2[#ALL],2)/HLOOKUP($A664,표1[#ALL],row(),false)</f>
        <v>#N/A</v>
      </c>
      <c r="AG664" s="372" t="str">
        <f>CS_PID!AG664/VLOOKUP($B664,표2[#ALL],2)/HLOOKUP($A664,표1[#ALL],row(),false)</f>
        <v>#N/A</v>
      </c>
      <c r="AH664" s="372" t="str">
        <f>CS_PID!AH664/VLOOKUP($B664,표2[#ALL],2)/HLOOKUP($A664,표1[#ALL],row(),false)</f>
        <v>#N/A</v>
      </c>
      <c r="AI664" s="372" t="str">
        <f>CS_PID!AI664/VLOOKUP($B664,표2[#ALL],2)/HLOOKUP($A664,표1[#ALL],row(),false)</f>
        <v>#N/A</v>
      </c>
      <c r="AJ664" s="372" t="str">
        <f>CS_PID!AJ664/VLOOKUP($B664,표2[#ALL],2)/HLOOKUP($A664,표1[#ALL],row(),false)</f>
        <v>#N/A</v>
      </c>
      <c r="AK664" s="372" t="str">
        <f>CS_PID!AK664/VLOOKUP($B664,표2[#ALL],2)/HLOOKUP($A664,표1[#ALL],row(),false)</f>
        <v>#N/A</v>
      </c>
      <c r="AL664" s="372" t="str">
        <f>CS_PID!AL664/VLOOKUP($B664,표2[#ALL],2)/HLOOKUP($A664,표1[#ALL],row(),false)</f>
        <v>#N/A</v>
      </c>
      <c r="AM664" s="372" t="str">
        <f>CS_PID!AM664/VLOOKUP($B664,표2[#ALL],2)/HLOOKUP($A664,표1[#ALL],row(),false)</f>
        <v>#N/A</v>
      </c>
      <c r="AN664" s="372" t="str">
        <f>CS_PID!AN664/VLOOKUP($B664,표2[#ALL],2)/HLOOKUP($A664,표1[#ALL],row(),false)</f>
        <v>#N/A</v>
      </c>
      <c r="AO664" s="372" t="str">
        <f>CS_PID!AO664/VLOOKUP($B664,표2[#ALL],2)/HLOOKUP($A664,표1[#ALL],row(),false)</f>
        <v>#N/A</v>
      </c>
      <c r="AP664" s="372" t="str">
        <f>CS_PID!AP664/VLOOKUP($B664,표2[#ALL],2)/HLOOKUP($A664,표1[#ALL],row(),false)</f>
        <v>#N/A</v>
      </c>
      <c r="AQ664" s="372" t="str">
        <f>CS_PID!AQ664/VLOOKUP($B664,표2[#ALL],2)/HLOOKUP($A664,표1[#ALL],row(),false)</f>
        <v>#N/A</v>
      </c>
      <c r="AR664" s="372" t="str">
        <f>CS_PID!AR664/VLOOKUP($B664,표2[#ALL],2)/HLOOKUP($A664,표1[#ALL],row(),false)</f>
        <v>#N/A</v>
      </c>
      <c r="AS664" s="373" t="str">
        <f>CS_PID!AS664/VLOOKUP($B664,표2[#ALL],2)/HLOOKUP($A664,표1[#ALL],row(),false)</f>
        <v>#N/A</v>
      </c>
    </row>
    <row r="665">
      <c r="A665" s="374"/>
      <c r="B665" s="375"/>
      <c r="C665" s="376" t="str">
        <f>CS_PID!C665/VLOOKUP($B665,표2[#ALL],2)</f>
        <v>#N/A</v>
      </c>
      <c r="D665" s="376" t="str">
        <f>CS_PID!D665/VLOOKUP($B665,표2[#ALL],2)</f>
        <v>#N/A</v>
      </c>
      <c r="E665" s="376" t="str">
        <f>CS_PID!E665/VLOOKUP($B665,표2[#ALL],2)</f>
        <v>#N/A</v>
      </c>
      <c r="F665" s="376" t="str">
        <f>CS_PID!F665/VLOOKUP($B665,표2[#ALL],2)</f>
        <v>#N/A</v>
      </c>
      <c r="G665" s="376" t="str">
        <f>CS_PID!G665/VLOOKUP($B665,표2[#ALL],2)</f>
        <v>#N/A</v>
      </c>
      <c r="H665" s="376" t="str">
        <f>CS_PID!H665/VLOOKUP($B665,표2[#ALL],2)/HLOOKUP($A665,표1[#ALL],row(),false)</f>
        <v>#N/A</v>
      </c>
      <c r="I665" s="376" t="str">
        <f>CS_PID!I665/VLOOKUP($B665,표2[#ALL],2)/HLOOKUP($A665,표1[#ALL],row(),false)</f>
        <v>#N/A</v>
      </c>
      <c r="J665" s="376" t="str">
        <f>CS_PID!J665/VLOOKUP($B665,표2[#ALL],2)/HLOOKUP($A665,표1[#ALL],row(),false)</f>
        <v>#N/A</v>
      </c>
      <c r="K665" s="376" t="str">
        <f>CS_PID!K665/VLOOKUP($B665,표2[#ALL],2)/HLOOKUP($A665,표1[#ALL],row(),false)</f>
        <v>#N/A</v>
      </c>
      <c r="L665" s="376" t="str">
        <f>CS_PID!L665/VLOOKUP($B665,표2[#ALL],2)/HLOOKUP($A665,표1[#ALL],row(),false)</f>
        <v>#N/A</v>
      </c>
      <c r="M665" s="376" t="str">
        <f>CS_PID!M665/VLOOKUP($B665,표2[#ALL],2)/HLOOKUP($A665,표1[#ALL],row(),false)</f>
        <v>#N/A</v>
      </c>
      <c r="N665" s="376" t="str">
        <f>CS_PID!N665/VLOOKUP($B665,표2[#ALL],2)/HLOOKUP($A665,표1[#ALL],row(),false)</f>
        <v>#N/A</v>
      </c>
      <c r="O665" s="376" t="str">
        <f>CS_PID!O665/VLOOKUP($B665,표2[#ALL],2)/HLOOKUP($A665,표1[#ALL],row(),false)</f>
        <v>#N/A</v>
      </c>
      <c r="P665" s="376" t="str">
        <f>CS_PID!P665/VLOOKUP($B665,표2[#ALL],2)/HLOOKUP($A665,표1[#ALL],row(),false)</f>
        <v>#N/A</v>
      </c>
      <c r="Q665" s="376" t="str">
        <f>CS_PID!Q665/VLOOKUP($B665,표2[#ALL],2)/HLOOKUP($A665,표1[#ALL],row(),false)</f>
        <v>#N/A</v>
      </c>
      <c r="R665" s="376" t="str">
        <f>CS_PID!R665/VLOOKUP($B665,표2[#ALL],2)/HLOOKUP($A665,표1[#ALL],row(),false)</f>
        <v>#N/A</v>
      </c>
      <c r="S665" s="376" t="str">
        <f>CS_PID!S665/VLOOKUP($B665,표2[#ALL],2)/HLOOKUP($A665,표1[#ALL],row(),false)</f>
        <v>#N/A</v>
      </c>
      <c r="T665" s="376" t="str">
        <f>CS_PID!T665/VLOOKUP($B665,표2[#ALL],2)/HLOOKUP($A665,표1[#ALL],row(),false)</f>
        <v>#N/A</v>
      </c>
      <c r="U665" s="376" t="str">
        <f>CS_PID!U665/VLOOKUP($B665,표2[#ALL],2)/HLOOKUP($A665,표1[#ALL],row(),false)</f>
        <v>#N/A</v>
      </c>
      <c r="V665" s="376" t="str">
        <f>CS_PID!V665/VLOOKUP($B665,표2[#ALL],2)/HLOOKUP($A665,표1[#ALL],row(),false)</f>
        <v>#N/A</v>
      </c>
      <c r="W665" s="376" t="str">
        <f>CS_PID!W665/VLOOKUP($B665,표2[#ALL],2)/HLOOKUP($A665,표1[#ALL],row(),false)</f>
        <v>#N/A</v>
      </c>
      <c r="X665" s="376" t="str">
        <f>CS_PID!X665/VLOOKUP($B665,표2[#ALL],2)/HLOOKUP($A665,표1[#ALL],row(),false)</f>
        <v>#N/A</v>
      </c>
      <c r="Y665" s="376" t="str">
        <f>CS_PID!Y665/VLOOKUP($B665,표2[#ALL],2)/HLOOKUP($A665,표1[#ALL],row(),false)</f>
        <v>#N/A</v>
      </c>
      <c r="Z665" s="376" t="str">
        <f>CS_PID!Z665/VLOOKUP($B665,표2[#ALL],2)/HLOOKUP($A665,표1[#ALL],row(),false)</f>
        <v>#N/A</v>
      </c>
      <c r="AA665" s="376" t="str">
        <f>CS_PID!AA665/VLOOKUP($B665,표2[#ALL],2)/HLOOKUP($A665,표1[#ALL],row(),false)</f>
        <v>#N/A</v>
      </c>
      <c r="AB665" s="376" t="str">
        <f>CS_PID!AB665/VLOOKUP($B665,표2[#ALL],2)/HLOOKUP($A665,표1[#ALL],row(),false)</f>
        <v>#N/A</v>
      </c>
      <c r="AC665" s="376" t="str">
        <f>CS_PID!AC665/VLOOKUP($B665,표2[#ALL],2)/HLOOKUP($A665,표1[#ALL],row(),false)</f>
        <v>#N/A</v>
      </c>
      <c r="AD665" s="376" t="str">
        <f>CS_PID!AD665/VLOOKUP($B665,표2[#ALL],2)/HLOOKUP($A665,표1[#ALL],row(),false)</f>
        <v>#N/A</v>
      </c>
      <c r="AE665" s="376" t="str">
        <f>CS_PID!AE665/VLOOKUP($B665,표2[#ALL],2)/HLOOKUP($A665,표1[#ALL],row(),false)</f>
        <v>#N/A</v>
      </c>
      <c r="AF665" s="376" t="str">
        <f>CS_PID!AF665/VLOOKUP($B665,표2[#ALL],2)/HLOOKUP($A665,표1[#ALL],row(),false)</f>
        <v>#N/A</v>
      </c>
      <c r="AG665" s="376" t="str">
        <f>CS_PID!AG665/VLOOKUP($B665,표2[#ALL],2)/HLOOKUP($A665,표1[#ALL],row(),false)</f>
        <v>#N/A</v>
      </c>
      <c r="AH665" s="376" t="str">
        <f>CS_PID!AH665/VLOOKUP($B665,표2[#ALL],2)/HLOOKUP($A665,표1[#ALL],row(),false)</f>
        <v>#N/A</v>
      </c>
      <c r="AI665" s="376" t="str">
        <f>CS_PID!AI665/VLOOKUP($B665,표2[#ALL],2)/HLOOKUP($A665,표1[#ALL],row(),false)</f>
        <v>#N/A</v>
      </c>
      <c r="AJ665" s="376" t="str">
        <f>CS_PID!AJ665/VLOOKUP($B665,표2[#ALL],2)/HLOOKUP($A665,표1[#ALL],row(),false)</f>
        <v>#N/A</v>
      </c>
      <c r="AK665" s="376" t="str">
        <f>CS_PID!AK665/VLOOKUP($B665,표2[#ALL],2)/HLOOKUP($A665,표1[#ALL],row(),false)</f>
        <v>#N/A</v>
      </c>
      <c r="AL665" s="376" t="str">
        <f>CS_PID!AL665/VLOOKUP($B665,표2[#ALL],2)/HLOOKUP($A665,표1[#ALL],row(),false)</f>
        <v>#N/A</v>
      </c>
      <c r="AM665" s="376" t="str">
        <f>CS_PID!AM665/VLOOKUP($B665,표2[#ALL],2)/HLOOKUP($A665,표1[#ALL],row(),false)</f>
        <v>#N/A</v>
      </c>
      <c r="AN665" s="376" t="str">
        <f>CS_PID!AN665/VLOOKUP($B665,표2[#ALL],2)/HLOOKUP($A665,표1[#ALL],row(),false)</f>
        <v>#N/A</v>
      </c>
      <c r="AO665" s="376" t="str">
        <f>CS_PID!AO665/VLOOKUP($B665,표2[#ALL],2)/HLOOKUP($A665,표1[#ALL],row(),false)</f>
        <v>#N/A</v>
      </c>
      <c r="AP665" s="376" t="str">
        <f>CS_PID!AP665/VLOOKUP($B665,표2[#ALL],2)/HLOOKUP($A665,표1[#ALL],row(),false)</f>
        <v>#N/A</v>
      </c>
      <c r="AQ665" s="376" t="str">
        <f>CS_PID!AQ665/VLOOKUP($B665,표2[#ALL],2)/HLOOKUP($A665,표1[#ALL],row(),false)</f>
        <v>#N/A</v>
      </c>
      <c r="AR665" s="376" t="str">
        <f>CS_PID!AR665/VLOOKUP($B665,표2[#ALL],2)/HLOOKUP($A665,표1[#ALL],row(),false)</f>
        <v>#N/A</v>
      </c>
      <c r="AS665" s="377" t="str">
        <f>CS_PID!AS665/VLOOKUP($B665,표2[#ALL],2)/HLOOKUP($A665,표1[#ALL],row(),false)</f>
        <v>#N/A</v>
      </c>
    </row>
    <row r="666">
      <c r="A666" s="370"/>
      <c r="B666" s="371"/>
      <c r="C666" s="372" t="str">
        <f>CS_PID!C666/VLOOKUP($B666,표2[#ALL],2)</f>
        <v>#N/A</v>
      </c>
      <c r="D666" s="372" t="str">
        <f>CS_PID!D666/VLOOKUP($B666,표2[#ALL],2)</f>
        <v>#N/A</v>
      </c>
      <c r="E666" s="372" t="str">
        <f>CS_PID!E666/VLOOKUP($B666,표2[#ALL],2)</f>
        <v>#N/A</v>
      </c>
      <c r="F666" s="372" t="str">
        <f>CS_PID!F666/VLOOKUP($B666,표2[#ALL],2)</f>
        <v>#N/A</v>
      </c>
      <c r="G666" s="372" t="str">
        <f>CS_PID!G666/VLOOKUP($B666,표2[#ALL],2)</f>
        <v>#N/A</v>
      </c>
      <c r="H666" s="372" t="str">
        <f>CS_PID!H666/VLOOKUP($B666,표2[#ALL],2)/HLOOKUP($A666,표1[#ALL],row(),false)</f>
        <v>#N/A</v>
      </c>
      <c r="I666" s="372" t="str">
        <f>CS_PID!I666/VLOOKUP($B666,표2[#ALL],2)/HLOOKUP($A666,표1[#ALL],row(),false)</f>
        <v>#N/A</v>
      </c>
      <c r="J666" s="372" t="str">
        <f>CS_PID!J666/VLOOKUP($B666,표2[#ALL],2)/HLOOKUP($A666,표1[#ALL],row(),false)</f>
        <v>#N/A</v>
      </c>
      <c r="K666" s="372" t="str">
        <f>CS_PID!K666/VLOOKUP($B666,표2[#ALL],2)/HLOOKUP($A666,표1[#ALL],row(),false)</f>
        <v>#N/A</v>
      </c>
      <c r="L666" s="372" t="str">
        <f>CS_PID!L666/VLOOKUP($B666,표2[#ALL],2)/HLOOKUP($A666,표1[#ALL],row(),false)</f>
        <v>#N/A</v>
      </c>
      <c r="M666" s="372" t="str">
        <f>CS_PID!M666/VLOOKUP($B666,표2[#ALL],2)/HLOOKUP($A666,표1[#ALL],row(),false)</f>
        <v>#N/A</v>
      </c>
      <c r="N666" s="372" t="str">
        <f>CS_PID!N666/VLOOKUP($B666,표2[#ALL],2)/HLOOKUP($A666,표1[#ALL],row(),false)</f>
        <v>#N/A</v>
      </c>
      <c r="O666" s="372" t="str">
        <f>CS_PID!O666/VLOOKUP($B666,표2[#ALL],2)/HLOOKUP($A666,표1[#ALL],row(),false)</f>
        <v>#N/A</v>
      </c>
      <c r="P666" s="372" t="str">
        <f>CS_PID!P666/VLOOKUP($B666,표2[#ALL],2)/HLOOKUP($A666,표1[#ALL],row(),false)</f>
        <v>#N/A</v>
      </c>
      <c r="Q666" s="372" t="str">
        <f>CS_PID!Q666/VLOOKUP($B666,표2[#ALL],2)/HLOOKUP($A666,표1[#ALL],row(),false)</f>
        <v>#N/A</v>
      </c>
      <c r="R666" s="372" t="str">
        <f>CS_PID!R666/VLOOKUP($B666,표2[#ALL],2)/HLOOKUP($A666,표1[#ALL],row(),false)</f>
        <v>#N/A</v>
      </c>
      <c r="S666" s="372" t="str">
        <f>CS_PID!S666/VLOOKUP($B666,표2[#ALL],2)/HLOOKUP($A666,표1[#ALL],row(),false)</f>
        <v>#N/A</v>
      </c>
      <c r="T666" s="372" t="str">
        <f>CS_PID!T666/VLOOKUP($B666,표2[#ALL],2)/HLOOKUP($A666,표1[#ALL],row(),false)</f>
        <v>#N/A</v>
      </c>
      <c r="U666" s="372" t="str">
        <f>CS_PID!U666/VLOOKUP($B666,표2[#ALL],2)/HLOOKUP($A666,표1[#ALL],row(),false)</f>
        <v>#N/A</v>
      </c>
      <c r="V666" s="372" t="str">
        <f>CS_PID!V666/VLOOKUP($B666,표2[#ALL],2)/HLOOKUP($A666,표1[#ALL],row(),false)</f>
        <v>#N/A</v>
      </c>
      <c r="W666" s="372" t="str">
        <f>CS_PID!W666/VLOOKUP($B666,표2[#ALL],2)/HLOOKUP($A666,표1[#ALL],row(),false)</f>
        <v>#N/A</v>
      </c>
      <c r="X666" s="372" t="str">
        <f>CS_PID!X666/VLOOKUP($B666,표2[#ALL],2)/HLOOKUP($A666,표1[#ALL],row(),false)</f>
        <v>#N/A</v>
      </c>
      <c r="Y666" s="372" t="str">
        <f>CS_PID!Y666/VLOOKUP($B666,표2[#ALL],2)/HLOOKUP($A666,표1[#ALL],row(),false)</f>
        <v>#N/A</v>
      </c>
      <c r="Z666" s="372" t="str">
        <f>CS_PID!Z666/VLOOKUP($B666,표2[#ALL],2)/HLOOKUP($A666,표1[#ALL],row(),false)</f>
        <v>#N/A</v>
      </c>
      <c r="AA666" s="372" t="str">
        <f>CS_PID!AA666/VLOOKUP($B666,표2[#ALL],2)/HLOOKUP($A666,표1[#ALL],row(),false)</f>
        <v>#N/A</v>
      </c>
      <c r="AB666" s="372" t="str">
        <f>CS_PID!AB666/VLOOKUP($B666,표2[#ALL],2)/HLOOKUP($A666,표1[#ALL],row(),false)</f>
        <v>#N/A</v>
      </c>
      <c r="AC666" s="372" t="str">
        <f>CS_PID!AC666/VLOOKUP($B666,표2[#ALL],2)/HLOOKUP($A666,표1[#ALL],row(),false)</f>
        <v>#N/A</v>
      </c>
      <c r="AD666" s="372" t="str">
        <f>CS_PID!AD666/VLOOKUP($B666,표2[#ALL],2)/HLOOKUP($A666,표1[#ALL],row(),false)</f>
        <v>#N/A</v>
      </c>
      <c r="AE666" s="372" t="str">
        <f>CS_PID!AE666/VLOOKUP($B666,표2[#ALL],2)/HLOOKUP($A666,표1[#ALL],row(),false)</f>
        <v>#N/A</v>
      </c>
      <c r="AF666" s="372" t="str">
        <f>CS_PID!AF666/VLOOKUP($B666,표2[#ALL],2)/HLOOKUP($A666,표1[#ALL],row(),false)</f>
        <v>#N/A</v>
      </c>
      <c r="AG666" s="372" t="str">
        <f>CS_PID!AG666/VLOOKUP($B666,표2[#ALL],2)/HLOOKUP($A666,표1[#ALL],row(),false)</f>
        <v>#N/A</v>
      </c>
      <c r="AH666" s="372" t="str">
        <f>CS_PID!AH666/VLOOKUP($B666,표2[#ALL],2)/HLOOKUP($A666,표1[#ALL],row(),false)</f>
        <v>#N/A</v>
      </c>
      <c r="AI666" s="372" t="str">
        <f>CS_PID!AI666/VLOOKUP($B666,표2[#ALL],2)/HLOOKUP($A666,표1[#ALL],row(),false)</f>
        <v>#N/A</v>
      </c>
      <c r="AJ666" s="372" t="str">
        <f>CS_PID!AJ666/VLOOKUP($B666,표2[#ALL],2)/HLOOKUP($A666,표1[#ALL],row(),false)</f>
        <v>#N/A</v>
      </c>
      <c r="AK666" s="372" t="str">
        <f>CS_PID!AK666/VLOOKUP($B666,표2[#ALL],2)/HLOOKUP($A666,표1[#ALL],row(),false)</f>
        <v>#N/A</v>
      </c>
      <c r="AL666" s="372" t="str">
        <f>CS_PID!AL666/VLOOKUP($B666,표2[#ALL],2)/HLOOKUP($A666,표1[#ALL],row(),false)</f>
        <v>#N/A</v>
      </c>
      <c r="AM666" s="372" t="str">
        <f>CS_PID!AM666/VLOOKUP($B666,표2[#ALL],2)/HLOOKUP($A666,표1[#ALL],row(),false)</f>
        <v>#N/A</v>
      </c>
      <c r="AN666" s="372" t="str">
        <f>CS_PID!AN666/VLOOKUP($B666,표2[#ALL],2)/HLOOKUP($A666,표1[#ALL],row(),false)</f>
        <v>#N/A</v>
      </c>
      <c r="AO666" s="372" t="str">
        <f>CS_PID!AO666/VLOOKUP($B666,표2[#ALL],2)/HLOOKUP($A666,표1[#ALL],row(),false)</f>
        <v>#N/A</v>
      </c>
      <c r="AP666" s="372" t="str">
        <f>CS_PID!AP666/VLOOKUP($B666,표2[#ALL],2)/HLOOKUP($A666,표1[#ALL],row(),false)</f>
        <v>#N/A</v>
      </c>
      <c r="AQ666" s="372" t="str">
        <f>CS_PID!AQ666/VLOOKUP($B666,표2[#ALL],2)/HLOOKUP($A666,표1[#ALL],row(),false)</f>
        <v>#N/A</v>
      </c>
      <c r="AR666" s="372" t="str">
        <f>CS_PID!AR666/VLOOKUP($B666,표2[#ALL],2)/HLOOKUP($A666,표1[#ALL],row(),false)</f>
        <v>#N/A</v>
      </c>
      <c r="AS666" s="373" t="str">
        <f>CS_PID!AS666/VLOOKUP($B666,표2[#ALL],2)/HLOOKUP($A666,표1[#ALL],row(),false)</f>
        <v>#N/A</v>
      </c>
    </row>
    <row r="667">
      <c r="A667" s="374"/>
      <c r="B667" s="375"/>
      <c r="C667" s="376" t="str">
        <f>CS_PID!C667/VLOOKUP($B667,표2[#ALL],2)</f>
        <v>#N/A</v>
      </c>
      <c r="D667" s="376" t="str">
        <f>CS_PID!D667/VLOOKUP($B667,표2[#ALL],2)</f>
        <v>#N/A</v>
      </c>
      <c r="E667" s="376" t="str">
        <f>CS_PID!E667/VLOOKUP($B667,표2[#ALL],2)</f>
        <v>#N/A</v>
      </c>
      <c r="F667" s="376" t="str">
        <f>CS_PID!F667/VLOOKUP($B667,표2[#ALL],2)</f>
        <v>#N/A</v>
      </c>
      <c r="G667" s="376" t="str">
        <f>CS_PID!G667/VLOOKUP($B667,표2[#ALL],2)</f>
        <v>#N/A</v>
      </c>
      <c r="H667" s="376" t="str">
        <f>CS_PID!H667/VLOOKUP($B667,표2[#ALL],2)/HLOOKUP($A667,표1[#ALL],row(),false)</f>
        <v>#N/A</v>
      </c>
      <c r="I667" s="376" t="str">
        <f>CS_PID!I667/VLOOKUP($B667,표2[#ALL],2)/HLOOKUP($A667,표1[#ALL],row(),false)</f>
        <v>#N/A</v>
      </c>
      <c r="J667" s="376" t="str">
        <f>CS_PID!J667/VLOOKUP($B667,표2[#ALL],2)/HLOOKUP($A667,표1[#ALL],row(),false)</f>
        <v>#N/A</v>
      </c>
      <c r="K667" s="376" t="str">
        <f>CS_PID!K667/VLOOKUP($B667,표2[#ALL],2)/HLOOKUP($A667,표1[#ALL],row(),false)</f>
        <v>#N/A</v>
      </c>
      <c r="L667" s="376" t="str">
        <f>CS_PID!L667/VLOOKUP($B667,표2[#ALL],2)/HLOOKUP($A667,표1[#ALL],row(),false)</f>
        <v>#N/A</v>
      </c>
      <c r="M667" s="376" t="str">
        <f>CS_PID!M667/VLOOKUP($B667,표2[#ALL],2)/HLOOKUP($A667,표1[#ALL],row(),false)</f>
        <v>#N/A</v>
      </c>
      <c r="N667" s="376" t="str">
        <f>CS_PID!N667/VLOOKUP($B667,표2[#ALL],2)/HLOOKUP($A667,표1[#ALL],row(),false)</f>
        <v>#N/A</v>
      </c>
      <c r="O667" s="376" t="str">
        <f>CS_PID!O667/VLOOKUP($B667,표2[#ALL],2)/HLOOKUP($A667,표1[#ALL],row(),false)</f>
        <v>#N/A</v>
      </c>
      <c r="P667" s="376" t="str">
        <f>CS_PID!P667/VLOOKUP($B667,표2[#ALL],2)/HLOOKUP($A667,표1[#ALL],row(),false)</f>
        <v>#N/A</v>
      </c>
      <c r="Q667" s="376" t="str">
        <f>CS_PID!Q667/VLOOKUP($B667,표2[#ALL],2)/HLOOKUP($A667,표1[#ALL],row(),false)</f>
        <v>#N/A</v>
      </c>
      <c r="R667" s="376" t="str">
        <f>CS_PID!R667/VLOOKUP($B667,표2[#ALL],2)/HLOOKUP($A667,표1[#ALL],row(),false)</f>
        <v>#N/A</v>
      </c>
      <c r="S667" s="376" t="str">
        <f>CS_PID!S667/VLOOKUP($B667,표2[#ALL],2)/HLOOKUP($A667,표1[#ALL],row(),false)</f>
        <v>#N/A</v>
      </c>
      <c r="T667" s="376" t="str">
        <f>CS_PID!T667/VLOOKUP($B667,표2[#ALL],2)/HLOOKUP($A667,표1[#ALL],row(),false)</f>
        <v>#N/A</v>
      </c>
      <c r="U667" s="376" t="str">
        <f>CS_PID!U667/VLOOKUP($B667,표2[#ALL],2)/HLOOKUP($A667,표1[#ALL],row(),false)</f>
        <v>#N/A</v>
      </c>
      <c r="V667" s="376" t="str">
        <f>CS_PID!V667/VLOOKUP($B667,표2[#ALL],2)/HLOOKUP($A667,표1[#ALL],row(),false)</f>
        <v>#N/A</v>
      </c>
      <c r="W667" s="376" t="str">
        <f>CS_PID!W667/VLOOKUP($B667,표2[#ALL],2)/HLOOKUP($A667,표1[#ALL],row(),false)</f>
        <v>#N/A</v>
      </c>
      <c r="X667" s="376" t="str">
        <f>CS_PID!X667/VLOOKUP($B667,표2[#ALL],2)/HLOOKUP($A667,표1[#ALL],row(),false)</f>
        <v>#N/A</v>
      </c>
      <c r="Y667" s="376" t="str">
        <f>CS_PID!Y667/VLOOKUP($B667,표2[#ALL],2)/HLOOKUP($A667,표1[#ALL],row(),false)</f>
        <v>#N/A</v>
      </c>
      <c r="Z667" s="376" t="str">
        <f>CS_PID!Z667/VLOOKUP($B667,표2[#ALL],2)/HLOOKUP($A667,표1[#ALL],row(),false)</f>
        <v>#N/A</v>
      </c>
      <c r="AA667" s="376" t="str">
        <f>CS_PID!AA667/VLOOKUP($B667,표2[#ALL],2)/HLOOKUP($A667,표1[#ALL],row(),false)</f>
        <v>#N/A</v>
      </c>
      <c r="AB667" s="376" t="str">
        <f>CS_PID!AB667/VLOOKUP($B667,표2[#ALL],2)/HLOOKUP($A667,표1[#ALL],row(),false)</f>
        <v>#N/A</v>
      </c>
      <c r="AC667" s="376" t="str">
        <f>CS_PID!AC667/VLOOKUP($B667,표2[#ALL],2)/HLOOKUP($A667,표1[#ALL],row(),false)</f>
        <v>#N/A</v>
      </c>
      <c r="AD667" s="376" t="str">
        <f>CS_PID!AD667/VLOOKUP($B667,표2[#ALL],2)/HLOOKUP($A667,표1[#ALL],row(),false)</f>
        <v>#N/A</v>
      </c>
      <c r="AE667" s="376" t="str">
        <f>CS_PID!AE667/VLOOKUP($B667,표2[#ALL],2)/HLOOKUP($A667,표1[#ALL],row(),false)</f>
        <v>#N/A</v>
      </c>
      <c r="AF667" s="376" t="str">
        <f>CS_PID!AF667/VLOOKUP($B667,표2[#ALL],2)/HLOOKUP($A667,표1[#ALL],row(),false)</f>
        <v>#N/A</v>
      </c>
      <c r="AG667" s="376" t="str">
        <f>CS_PID!AG667/VLOOKUP($B667,표2[#ALL],2)/HLOOKUP($A667,표1[#ALL],row(),false)</f>
        <v>#N/A</v>
      </c>
      <c r="AH667" s="376" t="str">
        <f>CS_PID!AH667/VLOOKUP($B667,표2[#ALL],2)/HLOOKUP($A667,표1[#ALL],row(),false)</f>
        <v>#N/A</v>
      </c>
      <c r="AI667" s="376" t="str">
        <f>CS_PID!AI667/VLOOKUP($B667,표2[#ALL],2)/HLOOKUP($A667,표1[#ALL],row(),false)</f>
        <v>#N/A</v>
      </c>
      <c r="AJ667" s="376" t="str">
        <f>CS_PID!AJ667/VLOOKUP($B667,표2[#ALL],2)/HLOOKUP($A667,표1[#ALL],row(),false)</f>
        <v>#N/A</v>
      </c>
      <c r="AK667" s="376" t="str">
        <f>CS_PID!AK667/VLOOKUP($B667,표2[#ALL],2)/HLOOKUP($A667,표1[#ALL],row(),false)</f>
        <v>#N/A</v>
      </c>
      <c r="AL667" s="376" t="str">
        <f>CS_PID!AL667/VLOOKUP($B667,표2[#ALL],2)/HLOOKUP($A667,표1[#ALL],row(),false)</f>
        <v>#N/A</v>
      </c>
      <c r="AM667" s="376" t="str">
        <f>CS_PID!AM667/VLOOKUP($B667,표2[#ALL],2)/HLOOKUP($A667,표1[#ALL],row(),false)</f>
        <v>#N/A</v>
      </c>
      <c r="AN667" s="376" t="str">
        <f>CS_PID!AN667/VLOOKUP($B667,표2[#ALL],2)/HLOOKUP($A667,표1[#ALL],row(),false)</f>
        <v>#N/A</v>
      </c>
      <c r="AO667" s="376" t="str">
        <f>CS_PID!AO667/VLOOKUP($B667,표2[#ALL],2)/HLOOKUP($A667,표1[#ALL],row(),false)</f>
        <v>#N/A</v>
      </c>
      <c r="AP667" s="376" t="str">
        <f>CS_PID!AP667/VLOOKUP($B667,표2[#ALL],2)/HLOOKUP($A667,표1[#ALL],row(),false)</f>
        <v>#N/A</v>
      </c>
      <c r="AQ667" s="376" t="str">
        <f>CS_PID!AQ667/VLOOKUP($B667,표2[#ALL],2)/HLOOKUP($A667,표1[#ALL],row(),false)</f>
        <v>#N/A</v>
      </c>
      <c r="AR667" s="376" t="str">
        <f>CS_PID!AR667/VLOOKUP($B667,표2[#ALL],2)/HLOOKUP($A667,표1[#ALL],row(),false)</f>
        <v>#N/A</v>
      </c>
      <c r="AS667" s="377" t="str">
        <f>CS_PID!AS667/VLOOKUP($B667,표2[#ALL],2)/HLOOKUP($A667,표1[#ALL],row(),false)</f>
        <v>#N/A</v>
      </c>
    </row>
    <row r="668">
      <c r="A668" s="370"/>
      <c r="B668" s="371"/>
      <c r="C668" s="372" t="str">
        <f>CS_PID!C668/VLOOKUP($B668,표2[#ALL],2)</f>
        <v>#N/A</v>
      </c>
      <c r="D668" s="372" t="str">
        <f>CS_PID!D668/VLOOKUP($B668,표2[#ALL],2)</f>
        <v>#N/A</v>
      </c>
      <c r="E668" s="372" t="str">
        <f>CS_PID!E668/VLOOKUP($B668,표2[#ALL],2)</f>
        <v>#N/A</v>
      </c>
      <c r="F668" s="372" t="str">
        <f>CS_PID!F668/VLOOKUP($B668,표2[#ALL],2)</f>
        <v>#N/A</v>
      </c>
      <c r="G668" s="372" t="str">
        <f>CS_PID!G668/VLOOKUP($B668,표2[#ALL],2)</f>
        <v>#N/A</v>
      </c>
      <c r="H668" s="372" t="str">
        <f>CS_PID!H668/VLOOKUP($B668,표2[#ALL],2)/HLOOKUP($A668,표1[#ALL],row(),false)</f>
        <v>#N/A</v>
      </c>
      <c r="I668" s="372" t="str">
        <f>CS_PID!I668/VLOOKUP($B668,표2[#ALL],2)/HLOOKUP($A668,표1[#ALL],row(),false)</f>
        <v>#N/A</v>
      </c>
      <c r="J668" s="372" t="str">
        <f>CS_PID!J668/VLOOKUP($B668,표2[#ALL],2)/HLOOKUP($A668,표1[#ALL],row(),false)</f>
        <v>#N/A</v>
      </c>
      <c r="K668" s="372" t="str">
        <f>CS_PID!K668/VLOOKUP($B668,표2[#ALL],2)/HLOOKUP($A668,표1[#ALL],row(),false)</f>
        <v>#N/A</v>
      </c>
      <c r="L668" s="372" t="str">
        <f>CS_PID!L668/VLOOKUP($B668,표2[#ALL],2)/HLOOKUP($A668,표1[#ALL],row(),false)</f>
        <v>#N/A</v>
      </c>
      <c r="M668" s="372" t="str">
        <f>CS_PID!M668/VLOOKUP($B668,표2[#ALL],2)/HLOOKUP($A668,표1[#ALL],row(),false)</f>
        <v>#N/A</v>
      </c>
      <c r="N668" s="372" t="str">
        <f>CS_PID!N668/VLOOKUP($B668,표2[#ALL],2)/HLOOKUP($A668,표1[#ALL],row(),false)</f>
        <v>#N/A</v>
      </c>
      <c r="O668" s="372" t="str">
        <f>CS_PID!O668/VLOOKUP($B668,표2[#ALL],2)/HLOOKUP($A668,표1[#ALL],row(),false)</f>
        <v>#N/A</v>
      </c>
      <c r="P668" s="372" t="str">
        <f>CS_PID!P668/VLOOKUP($B668,표2[#ALL],2)/HLOOKUP($A668,표1[#ALL],row(),false)</f>
        <v>#N/A</v>
      </c>
      <c r="Q668" s="372" t="str">
        <f>CS_PID!Q668/VLOOKUP($B668,표2[#ALL],2)/HLOOKUP($A668,표1[#ALL],row(),false)</f>
        <v>#N/A</v>
      </c>
      <c r="R668" s="372" t="str">
        <f>CS_PID!R668/VLOOKUP($B668,표2[#ALL],2)/HLOOKUP($A668,표1[#ALL],row(),false)</f>
        <v>#N/A</v>
      </c>
      <c r="S668" s="372" t="str">
        <f>CS_PID!S668/VLOOKUP($B668,표2[#ALL],2)/HLOOKUP($A668,표1[#ALL],row(),false)</f>
        <v>#N/A</v>
      </c>
      <c r="T668" s="372" t="str">
        <f>CS_PID!T668/VLOOKUP($B668,표2[#ALL],2)/HLOOKUP($A668,표1[#ALL],row(),false)</f>
        <v>#N/A</v>
      </c>
      <c r="U668" s="372" t="str">
        <f>CS_PID!U668/VLOOKUP($B668,표2[#ALL],2)/HLOOKUP($A668,표1[#ALL],row(),false)</f>
        <v>#N/A</v>
      </c>
      <c r="V668" s="372" t="str">
        <f>CS_PID!V668/VLOOKUP($B668,표2[#ALL],2)/HLOOKUP($A668,표1[#ALL],row(),false)</f>
        <v>#N/A</v>
      </c>
      <c r="W668" s="372" t="str">
        <f>CS_PID!W668/VLOOKUP($B668,표2[#ALL],2)/HLOOKUP($A668,표1[#ALL],row(),false)</f>
        <v>#N/A</v>
      </c>
      <c r="X668" s="372" t="str">
        <f>CS_PID!X668/VLOOKUP($B668,표2[#ALL],2)/HLOOKUP($A668,표1[#ALL],row(),false)</f>
        <v>#N/A</v>
      </c>
      <c r="Y668" s="372" t="str">
        <f>CS_PID!Y668/VLOOKUP($B668,표2[#ALL],2)/HLOOKUP($A668,표1[#ALL],row(),false)</f>
        <v>#N/A</v>
      </c>
      <c r="Z668" s="372" t="str">
        <f>CS_PID!Z668/VLOOKUP($B668,표2[#ALL],2)/HLOOKUP($A668,표1[#ALL],row(),false)</f>
        <v>#N/A</v>
      </c>
      <c r="AA668" s="372" t="str">
        <f>CS_PID!AA668/VLOOKUP($B668,표2[#ALL],2)/HLOOKUP($A668,표1[#ALL],row(),false)</f>
        <v>#N/A</v>
      </c>
      <c r="AB668" s="372" t="str">
        <f>CS_PID!AB668/VLOOKUP($B668,표2[#ALL],2)/HLOOKUP($A668,표1[#ALL],row(),false)</f>
        <v>#N/A</v>
      </c>
      <c r="AC668" s="372" t="str">
        <f>CS_PID!AC668/VLOOKUP($B668,표2[#ALL],2)/HLOOKUP($A668,표1[#ALL],row(),false)</f>
        <v>#N/A</v>
      </c>
      <c r="AD668" s="372" t="str">
        <f>CS_PID!AD668/VLOOKUP($B668,표2[#ALL],2)/HLOOKUP($A668,표1[#ALL],row(),false)</f>
        <v>#N/A</v>
      </c>
      <c r="AE668" s="372" t="str">
        <f>CS_PID!AE668/VLOOKUP($B668,표2[#ALL],2)/HLOOKUP($A668,표1[#ALL],row(),false)</f>
        <v>#N/A</v>
      </c>
      <c r="AF668" s="372" t="str">
        <f>CS_PID!AF668/VLOOKUP($B668,표2[#ALL],2)/HLOOKUP($A668,표1[#ALL],row(),false)</f>
        <v>#N/A</v>
      </c>
      <c r="AG668" s="372" t="str">
        <f>CS_PID!AG668/VLOOKUP($B668,표2[#ALL],2)/HLOOKUP($A668,표1[#ALL],row(),false)</f>
        <v>#N/A</v>
      </c>
      <c r="AH668" s="372" t="str">
        <f>CS_PID!AH668/VLOOKUP($B668,표2[#ALL],2)/HLOOKUP($A668,표1[#ALL],row(),false)</f>
        <v>#N/A</v>
      </c>
      <c r="AI668" s="372" t="str">
        <f>CS_PID!AI668/VLOOKUP($B668,표2[#ALL],2)/HLOOKUP($A668,표1[#ALL],row(),false)</f>
        <v>#N/A</v>
      </c>
      <c r="AJ668" s="372" t="str">
        <f>CS_PID!AJ668/VLOOKUP($B668,표2[#ALL],2)/HLOOKUP($A668,표1[#ALL],row(),false)</f>
        <v>#N/A</v>
      </c>
      <c r="AK668" s="372" t="str">
        <f>CS_PID!AK668/VLOOKUP($B668,표2[#ALL],2)/HLOOKUP($A668,표1[#ALL],row(),false)</f>
        <v>#N/A</v>
      </c>
      <c r="AL668" s="372" t="str">
        <f>CS_PID!AL668/VLOOKUP($B668,표2[#ALL],2)/HLOOKUP($A668,표1[#ALL],row(),false)</f>
        <v>#N/A</v>
      </c>
      <c r="AM668" s="372" t="str">
        <f>CS_PID!AM668/VLOOKUP($B668,표2[#ALL],2)/HLOOKUP($A668,표1[#ALL],row(),false)</f>
        <v>#N/A</v>
      </c>
      <c r="AN668" s="372" t="str">
        <f>CS_PID!AN668/VLOOKUP($B668,표2[#ALL],2)/HLOOKUP($A668,표1[#ALL],row(),false)</f>
        <v>#N/A</v>
      </c>
      <c r="AO668" s="372" t="str">
        <f>CS_PID!AO668/VLOOKUP($B668,표2[#ALL],2)/HLOOKUP($A668,표1[#ALL],row(),false)</f>
        <v>#N/A</v>
      </c>
      <c r="AP668" s="372" t="str">
        <f>CS_PID!AP668/VLOOKUP($B668,표2[#ALL],2)/HLOOKUP($A668,표1[#ALL],row(),false)</f>
        <v>#N/A</v>
      </c>
      <c r="AQ668" s="372" t="str">
        <f>CS_PID!AQ668/VLOOKUP($B668,표2[#ALL],2)/HLOOKUP($A668,표1[#ALL],row(),false)</f>
        <v>#N/A</v>
      </c>
      <c r="AR668" s="372" t="str">
        <f>CS_PID!AR668/VLOOKUP($B668,표2[#ALL],2)/HLOOKUP($A668,표1[#ALL],row(),false)</f>
        <v>#N/A</v>
      </c>
      <c r="AS668" s="373" t="str">
        <f>CS_PID!AS668/VLOOKUP($B668,표2[#ALL],2)/HLOOKUP($A668,표1[#ALL],row(),false)</f>
        <v>#N/A</v>
      </c>
    </row>
    <row r="669">
      <c r="A669" s="374"/>
      <c r="B669" s="375"/>
      <c r="C669" s="376" t="str">
        <f>CS_PID!C669/VLOOKUP($B669,표2[#ALL],2)</f>
        <v>#N/A</v>
      </c>
      <c r="D669" s="376" t="str">
        <f>CS_PID!D669/VLOOKUP($B669,표2[#ALL],2)</f>
        <v>#N/A</v>
      </c>
      <c r="E669" s="376" t="str">
        <f>CS_PID!E669/VLOOKUP($B669,표2[#ALL],2)</f>
        <v>#N/A</v>
      </c>
      <c r="F669" s="376" t="str">
        <f>CS_PID!F669/VLOOKUP($B669,표2[#ALL],2)</f>
        <v>#N/A</v>
      </c>
      <c r="G669" s="376" t="str">
        <f>CS_PID!G669/VLOOKUP($B669,표2[#ALL],2)</f>
        <v>#N/A</v>
      </c>
      <c r="H669" s="376" t="str">
        <f>CS_PID!H669/VLOOKUP($B669,표2[#ALL],2)/HLOOKUP($A669,표1[#ALL],row(),false)</f>
        <v>#N/A</v>
      </c>
      <c r="I669" s="376" t="str">
        <f>CS_PID!I669/VLOOKUP($B669,표2[#ALL],2)/HLOOKUP($A669,표1[#ALL],row(),false)</f>
        <v>#N/A</v>
      </c>
      <c r="J669" s="376" t="str">
        <f>CS_PID!J669/VLOOKUP($B669,표2[#ALL],2)/HLOOKUP($A669,표1[#ALL],row(),false)</f>
        <v>#N/A</v>
      </c>
      <c r="K669" s="376" t="str">
        <f>CS_PID!K669/VLOOKUP($B669,표2[#ALL],2)/HLOOKUP($A669,표1[#ALL],row(),false)</f>
        <v>#N/A</v>
      </c>
      <c r="L669" s="376" t="str">
        <f>CS_PID!L669/VLOOKUP($B669,표2[#ALL],2)/HLOOKUP($A669,표1[#ALL],row(),false)</f>
        <v>#N/A</v>
      </c>
      <c r="M669" s="376" t="str">
        <f>CS_PID!M669/VLOOKUP($B669,표2[#ALL],2)/HLOOKUP($A669,표1[#ALL],row(),false)</f>
        <v>#N/A</v>
      </c>
      <c r="N669" s="376" t="str">
        <f>CS_PID!N669/VLOOKUP($B669,표2[#ALL],2)/HLOOKUP($A669,표1[#ALL],row(),false)</f>
        <v>#N/A</v>
      </c>
      <c r="O669" s="376" t="str">
        <f>CS_PID!O669/VLOOKUP($B669,표2[#ALL],2)/HLOOKUP($A669,표1[#ALL],row(),false)</f>
        <v>#N/A</v>
      </c>
      <c r="P669" s="376" t="str">
        <f>CS_PID!P669/VLOOKUP($B669,표2[#ALL],2)/HLOOKUP($A669,표1[#ALL],row(),false)</f>
        <v>#N/A</v>
      </c>
      <c r="Q669" s="376" t="str">
        <f>CS_PID!Q669/VLOOKUP($B669,표2[#ALL],2)/HLOOKUP($A669,표1[#ALL],row(),false)</f>
        <v>#N/A</v>
      </c>
      <c r="R669" s="376" t="str">
        <f>CS_PID!R669/VLOOKUP($B669,표2[#ALL],2)/HLOOKUP($A669,표1[#ALL],row(),false)</f>
        <v>#N/A</v>
      </c>
      <c r="S669" s="376" t="str">
        <f>CS_PID!S669/VLOOKUP($B669,표2[#ALL],2)/HLOOKUP($A669,표1[#ALL],row(),false)</f>
        <v>#N/A</v>
      </c>
      <c r="T669" s="376" t="str">
        <f>CS_PID!T669/VLOOKUP($B669,표2[#ALL],2)/HLOOKUP($A669,표1[#ALL],row(),false)</f>
        <v>#N/A</v>
      </c>
      <c r="U669" s="376" t="str">
        <f>CS_PID!U669/VLOOKUP($B669,표2[#ALL],2)/HLOOKUP($A669,표1[#ALL],row(),false)</f>
        <v>#N/A</v>
      </c>
      <c r="V669" s="376" t="str">
        <f>CS_PID!V669/VLOOKUP($B669,표2[#ALL],2)/HLOOKUP($A669,표1[#ALL],row(),false)</f>
        <v>#N/A</v>
      </c>
      <c r="W669" s="376" t="str">
        <f>CS_PID!W669/VLOOKUP($B669,표2[#ALL],2)/HLOOKUP($A669,표1[#ALL],row(),false)</f>
        <v>#N/A</v>
      </c>
      <c r="X669" s="376" t="str">
        <f>CS_PID!X669/VLOOKUP($B669,표2[#ALL],2)/HLOOKUP($A669,표1[#ALL],row(),false)</f>
        <v>#N/A</v>
      </c>
      <c r="Y669" s="376" t="str">
        <f>CS_PID!Y669/VLOOKUP($B669,표2[#ALL],2)/HLOOKUP($A669,표1[#ALL],row(),false)</f>
        <v>#N/A</v>
      </c>
      <c r="Z669" s="376" t="str">
        <f>CS_PID!Z669/VLOOKUP($B669,표2[#ALL],2)/HLOOKUP($A669,표1[#ALL],row(),false)</f>
        <v>#N/A</v>
      </c>
      <c r="AA669" s="376" t="str">
        <f>CS_PID!AA669/VLOOKUP($B669,표2[#ALL],2)/HLOOKUP($A669,표1[#ALL],row(),false)</f>
        <v>#N/A</v>
      </c>
      <c r="AB669" s="376" t="str">
        <f>CS_PID!AB669/VLOOKUP($B669,표2[#ALL],2)/HLOOKUP($A669,표1[#ALL],row(),false)</f>
        <v>#N/A</v>
      </c>
      <c r="AC669" s="376" t="str">
        <f>CS_PID!AC669/VLOOKUP($B669,표2[#ALL],2)/HLOOKUP($A669,표1[#ALL],row(),false)</f>
        <v>#N/A</v>
      </c>
      <c r="AD669" s="376" t="str">
        <f>CS_PID!AD669/VLOOKUP($B669,표2[#ALL],2)/HLOOKUP($A669,표1[#ALL],row(),false)</f>
        <v>#N/A</v>
      </c>
      <c r="AE669" s="376" t="str">
        <f>CS_PID!AE669/VLOOKUP($B669,표2[#ALL],2)/HLOOKUP($A669,표1[#ALL],row(),false)</f>
        <v>#N/A</v>
      </c>
      <c r="AF669" s="376" t="str">
        <f>CS_PID!AF669/VLOOKUP($B669,표2[#ALL],2)/HLOOKUP($A669,표1[#ALL],row(),false)</f>
        <v>#N/A</v>
      </c>
      <c r="AG669" s="376" t="str">
        <f>CS_PID!AG669/VLOOKUP($B669,표2[#ALL],2)/HLOOKUP($A669,표1[#ALL],row(),false)</f>
        <v>#N/A</v>
      </c>
      <c r="AH669" s="376" t="str">
        <f>CS_PID!AH669/VLOOKUP($B669,표2[#ALL],2)/HLOOKUP($A669,표1[#ALL],row(),false)</f>
        <v>#N/A</v>
      </c>
      <c r="AI669" s="376" t="str">
        <f>CS_PID!AI669/VLOOKUP($B669,표2[#ALL],2)/HLOOKUP($A669,표1[#ALL],row(),false)</f>
        <v>#N/A</v>
      </c>
      <c r="AJ669" s="376" t="str">
        <f>CS_PID!AJ669/VLOOKUP($B669,표2[#ALL],2)/HLOOKUP($A669,표1[#ALL],row(),false)</f>
        <v>#N/A</v>
      </c>
      <c r="AK669" s="376" t="str">
        <f>CS_PID!AK669/VLOOKUP($B669,표2[#ALL],2)/HLOOKUP($A669,표1[#ALL],row(),false)</f>
        <v>#N/A</v>
      </c>
      <c r="AL669" s="376" t="str">
        <f>CS_PID!AL669/VLOOKUP($B669,표2[#ALL],2)/HLOOKUP($A669,표1[#ALL],row(),false)</f>
        <v>#N/A</v>
      </c>
      <c r="AM669" s="376" t="str">
        <f>CS_PID!AM669/VLOOKUP($B669,표2[#ALL],2)/HLOOKUP($A669,표1[#ALL],row(),false)</f>
        <v>#N/A</v>
      </c>
      <c r="AN669" s="376" t="str">
        <f>CS_PID!AN669/VLOOKUP($B669,표2[#ALL],2)/HLOOKUP($A669,표1[#ALL],row(),false)</f>
        <v>#N/A</v>
      </c>
      <c r="AO669" s="376" t="str">
        <f>CS_PID!AO669/VLOOKUP($B669,표2[#ALL],2)/HLOOKUP($A669,표1[#ALL],row(),false)</f>
        <v>#N/A</v>
      </c>
      <c r="AP669" s="376" t="str">
        <f>CS_PID!AP669/VLOOKUP($B669,표2[#ALL],2)/HLOOKUP($A669,표1[#ALL],row(),false)</f>
        <v>#N/A</v>
      </c>
      <c r="AQ669" s="376" t="str">
        <f>CS_PID!AQ669/VLOOKUP($B669,표2[#ALL],2)/HLOOKUP($A669,표1[#ALL],row(),false)</f>
        <v>#N/A</v>
      </c>
      <c r="AR669" s="376" t="str">
        <f>CS_PID!AR669/VLOOKUP($B669,표2[#ALL],2)/HLOOKUP($A669,표1[#ALL],row(),false)</f>
        <v>#N/A</v>
      </c>
      <c r="AS669" s="377" t="str">
        <f>CS_PID!AS669/VLOOKUP($B669,표2[#ALL],2)/HLOOKUP($A669,표1[#ALL],row(),false)</f>
        <v>#N/A</v>
      </c>
    </row>
    <row r="670">
      <c r="A670" s="370"/>
      <c r="B670" s="371"/>
      <c r="C670" s="372" t="str">
        <f>CS_PID!C670/VLOOKUP($B670,표2[#ALL],2)</f>
        <v>#N/A</v>
      </c>
      <c r="D670" s="372" t="str">
        <f>CS_PID!D670/VLOOKUP($B670,표2[#ALL],2)</f>
        <v>#N/A</v>
      </c>
      <c r="E670" s="372" t="str">
        <f>CS_PID!E670/VLOOKUP($B670,표2[#ALL],2)</f>
        <v>#N/A</v>
      </c>
      <c r="F670" s="372" t="str">
        <f>CS_PID!F670/VLOOKUP($B670,표2[#ALL],2)</f>
        <v>#N/A</v>
      </c>
      <c r="G670" s="372" t="str">
        <f>CS_PID!G670/VLOOKUP($B670,표2[#ALL],2)</f>
        <v>#N/A</v>
      </c>
      <c r="H670" s="372" t="str">
        <f>CS_PID!H670/VLOOKUP($B670,표2[#ALL],2)/HLOOKUP($A670,표1[#ALL],row(),false)</f>
        <v>#N/A</v>
      </c>
      <c r="I670" s="372" t="str">
        <f>CS_PID!I670/VLOOKUP($B670,표2[#ALL],2)/HLOOKUP($A670,표1[#ALL],row(),false)</f>
        <v>#N/A</v>
      </c>
      <c r="J670" s="372" t="str">
        <f>CS_PID!J670/VLOOKUP($B670,표2[#ALL],2)/HLOOKUP($A670,표1[#ALL],row(),false)</f>
        <v>#N/A</v>
      </c>
      <c r="K670" s="372" t="str">
        <f>CS_PID!K670/VLOOKUP($B670,표2[#ALL],2)/HLOOKUP($A670,표1[#ALL],row(),false)</f>
        <v>#N/A</v>
      </c>
      <c r="L670" s="372" t="str">
        <f>CS_PID!L670/VLOOKUP($B670,표2[#ALL],2)/HLOOKUP($A670,표1[#ALL],row(),false)</f>
        <v>#N/A</v>
      </c>
      <c r="M670" s="372" t="str">
        <f>CS_PID!M670/VLOOKUP($B670,표2[#ALL],2)/HLOOKUP($A670,표1[#ALL],row(),false)</f>
        <v>#N/A</v>
      </c>
      <c r="N670" s="372" t="str">
        <f>CS_PID!N670/VLOOKUP($B670,표2[#ALL],2)/HLOOKUP($A670,표1[#ALL],row(),false)</f>
        <v>#N/A</v>
      </c>
      <c r="O670" s="372" t="str">
        <f>CS_PID!O670/VLOOKUP($B670,표2[#ALL],2)/HLOOKUP($A670,표1[#ALL],row(),false)</f>
        <v>#N/A</v>
      </c>
      <c r="P670" s="372" t="str">
        <f>CS_PID!P670/VLOOKUP($B670,표2[#ALL],2)/HLOOKUP($A670,표1[#ALL],row(),false)</f>
        <v>#N/A</v>
      </c>
      <c r="Q670" s="372" t="str">
        <f>CS_PID!Q670/VLOOKUP($B670,표2[#ALL],2)/HLOOKUP($A670,표1[#ALL],row(),false)</f>
        <v>#N/A</v>
      </c>
      <c r="R670" s="372" t="str">
        <f>CS_PID!R670/VLOOKUP($B670,표2[#ALL],2)/HLOOKUP($A670,표1[#ALL],row(),false)</f>
        <v>#N/A</v>
      </c>
      <c r="S670" s="372" t="str">
        <f>CS_PID!S670/VLOOKUP($B670,표2[#ALL],2)/HLOOKUP($A670,표1[#ALL],row(),false)</f>
        <v>#N/A</v>
      </c>
      <c r="T670" s="372" t="str">
        <f>CS_PID!T670/VLOOKUP($B670,표2[#ALL],2)/HLOOKUP($A670,표1[#ALL],row(),false)</f>
        <v>#N/A</v>
      </c>
      <c r="U670" s="372" t="str">
        <f>CS_PID!U670/VLOOKUP($B670,표2[#ALL],2)/HLOOKUP($A670,표1[#ALL],row(),false)</f>
        <v>#N/A</v>
      </c>
      <c r="V670" s="372" t="str">
        <f>CS_PID!V670/VLOOKUP($B670,표2[#ALL],2)/HLOOKUP($A670,표1[#ALL],row(),false)</f>
        <v>#N/A</v>
      </c>
      <c r="W670" s="372" t="str">
        <f>CS_PID!W670/VLOOKUP($B670,표2[#ALL],2)/HLOOKUP($A670,표1[#ALL],row(),false)</f>
        <v>#N/A</v>
      </c>
      <c r="X670" s="372" t="str">
        <f>CS_PID!X670/VLOOKUP($B670,표2[#ALL],2)/HLOOKUP($A670,표1[#ALL],row(),false)</f>
        <v>#N/A</v>
      </c>
      <c r="Y670" s="372" t="str">
        <f>CS_PID!Y670/VLOOKUP($B670,표2[#ALL],2)/HLOOKUP($A670,표1[#ALL],row(),false)</f>
        <v>#N/A</v>
      </c>
      <c r="Z670" s="372" t="str">
        <f>CS_PID!Z670/VLOOKUP($B670,표2[#ALL],2)/HLOOKUP($A670,표1[#ALL],row(),false)</f>
        <v>#N/A</v>
      </c>
      <c r="AA670" s="372" t="str">
        <f>CS_PID!AA670/VLOOKUP($B670,표2[#ALL],2)/HLOOKUP($A670,표1[#ALL],row(),false)</f>
        <v>#N/A</v>
      </c>
      <c r="AB670" s="372" t="str">
        <f>CS_PID!AB670/VLOOKUP($B670,표2[#ALL],2)/HLOOKUP($A670,표1[#ALL],row(),false)</f>
        <v>#N/A</v>
      </c>
      <c r="AC670" s="372" t="str">
        <f>CS_PID!AC670/VLOOKUP($B670,표2[#ALL],2)/HLOOKUP($A670,표1[#ALL],row(),false)</f>
        <v>#N/A</v>
      </c>
      <c r="AD670" s="372" t="str">
        <f>CS_PID!AD670/VLOOKUP($B670,표2[#ALL],2)/HLOOKUP($A670,표1[#ALL],row(),false)</f>
        <v>#N/A</v>
      </c>
      <c r="AE670" s="372" t="str">
        <f>CS_PID!AE670/VLOOKUP($B670,표2[#ALL],2)/HLOOKUP($A670,표1[#ALL],row(),false)</f>
        <v>#N/A</v>
      </c>
      <c r="AF670" s="372" t="str">
        <f>CS_PID!AF670/VLOOKUP($B670,표2[#ALL],2)/HLOOKUP($A670,표1[#ALL],row(),false)</f>
        <v>#N/A</v>
      </c>
      <c r="AG670" s="372" t="str">
        <f>CS_PID!AG670/VLOOKUP($B670,표2[#ALL],2)/HLOOKUP($A670,표1[#ALL],row(),false)</f>
        <v>#N/A</v>
      </c>
      <c r="AH670" s="372" t="str">
        <f>CS_PID!AH670/VLOOKUP($B670,표2[#ALL],2)/HLOOKUP($A670,표1[#ALL],row(),false)</f>
        <v>#N/A</v>
      </c>
      <c r="AI670" s="372" t="str">
        <f>CS_PID!AI670/VLOOKUP($B670,표2[#ALL],2)/HLOOKUP($A670,표1[#ALL],row(),false)</f>
        <v>#N/A</v>
      </c>
      <c r="AJ670" s="372" t="str">
        <f>CS_PID!AJ670/VLOOKUP($B670,표2[#ALL],2)/HLOOKUP($A670,표1[#ALL],row(),false)</f>
        <v>#N/A</v>
      </c>
      <c r="AK670" s="372" t="str">
        <f>CS_PID!AK670/VLOOKUP($B670,표2[#ALL],2)/HLOOKUP($A670,표1[#ALL],row(),false)</f>
        <v>#N/A</v>
      </c>
      <c r="AL670" s="372" t="str">
        <f>CS_PID!AL670/VLOOKUP($B670,표2[#ALL],2)/HLOOKUP($A670,표1[#ALL],row(),false)</f>
        <v>#N/A</v>
      </c>
      <c r="AM670" s="372" t="str">
        <f>CS_PID!AM670/VLOOKUP($B670,표2[#ALL],2)/HLOOKUP($A670,표1[#ALL],row(),false)</f>
        <v>#N/A</v>
      </c>
      <c r="AN670" s="372" t="str">
        <f>CS_PID!AN670/VLOOKUP($B670,표2[#ALL],2)/HLOOKUP($A670,표1[#ALL],row(),false)</f>
        <v>#N/A</v>
      </c>
      <c r="AO670" s="372" t="str">
        <f>CS_PID!AO670/VLOOKUP($B670,표2[#ALL],2)/HLOOKUP($A670,표1[#ALL],row(),false)</f>
        <v>#N/A</v>
      </c>
      <c r="AP670" s="372" t="str">
        <f>CS_PID!AP670/VLOOKUP($B670,표2[#ALL],2)/HLOOKUP($A670,표1[#ALL],row(),false)</f>
        <v>#N/A</v>
      </c>
      <c r="AQ670" s="372" t="str">
        <f>CS_PID!AQ670/VLOOKUP($B670,표2[#ALL],2)/HLOOKUP($A670,표1[#ALL],row(),false)</f>
        <v>#N/A</v>
      </c>
      <c r="AR670" s="372" t="str">
        <f>CS_PID!AR670/VLOOKUP($B670,표2[#ALL],2)/HLOOKUP($A670,표1[#ALL],row(),false)</f>
        <v>#N/A</v>
      </c>
      <c r="AS670" s="373" t="str">
        <f>CS_PID!AS670/VLOOKUP($B670,표2[#ALL],2)/HLOOKUP($A670,표1[#ALL],row(),false)</f>
        <v>#N/A</v>
      </c>
    </row>
    <row r="671">
      <c r="A671" s="374"/>
      <c r="B671" s="375"/>
      <c r="C671" s="376" t="str">
        <f>CS_PID!C671/VLOOKUP($B671,표2[#ALL],2)</f>
        <v>#N/A</v>
      </c>
      <c r="D671" s="376" t="str">
        <f>CS_PID!D671/VLOOKUP($B671,표2[#ALL],2)</f>
        <v>#N/A</v>
      </c>
      <c r="E671" s="376" t="str">
        <f>CS_PID!E671/VLOOKUP($B671,표2[#ALL],2)</f>
        <v>#N/A</v>
      </c>
      <c r="F671" s="376" t="str">
        <f>CS_PID!F671/VLOOKUP($B671,표2[#ALL],2)</f>
        <v>#N/A</v>
      </c>
      <c r="G671" s="376" t="str">
        <f>CS_PID!G671/VLOOKUP($B671,표2[#ALL],2)</f>
        <v>#N/A</v>
      </c>
      <c r="H671" s="376" t="str">
        <f>CS_PID!H671/VLOOKUP($B671,표2[#ALL],2)/HLOOKUP($A671,표1[#ALL],row(),false)</f>
        <v>#N/A</v>
      </c>
      <c r="I671" s="376" t="str">
        <f>CS_PID!I671/VLOOKUP($B671,표2[#ALL],2)/HLOOKUP($A671,표1[#ALL],row(),false)</f>
        <v>#N/A</v>
      </c>
      <c r="J671" s="376" t="str">
        <f>CS_PID!J671/VLOOKUP($B671,표2[#ALL],2)/HLOOKUP($A671,표1[#ALL],row(),false)</f>
        <v>#N/A</v>
      </c>
      <c r="K671" s="376" t="str">
        <f>CS_PID!K671/VLOOKUP($B671,표2[#ALL],2)/HLOOKUP($A671,표1[#ALL],row(),false)</f>
        <v>#N/A</v>
      </c>
      <c r="L671" s="376" t="str">
        <f>CS_PID!L671/VLOOKUP($B671,표2[#ALL],2)/HLOOKUP($A671,표1[#ALL],row(),false)</f>
        <v>#N/A</v>
      </c>
      <c r="M671" s="376" t="str">
        <f>CS_PID!M671/VLOOKUP($B671,표2[#ALL],2)/HLOOKUP($A671,표1[#ALL],row(),false)</f>
        <v>#N/A</v>
      </c>
      <c r="N671" s="376" t="str">
        <f>CS_PID!N671/VLOOKUP($B671,표2[#ALL],2)/HLOOKUP($A671,표1[#ALL],row(),false)</f>
        <v>#N/A</v>
      </c>
      <c r="O671" s="376" t="str">
        <f>CS_PID!O671/VLOOKUP($B671,표2[#ALL],2)/HLOOKUP($A671,표1[#ALL],row(),false)</f>
        <v>#N/A</v>
      </c>
      <c r="P671" s="376" t="str">
        <f>CS_PID!P671/VLOOKUP($B671,표2[#ALL],2)/HLOOKUP($A671,표1[#ALL],row(),false)</f>
        <v>#N/A</v>
      </c>
      <c r="Q671" s="376" t="str">
        <f>CS_PID!Q671/VLOOKUP($B671,표2[#ALL],2)/HLOOKUP($A671,표1[#ALL],row(),false)</f>
        <v>#N/A</v>
      </c>
      <c r="R671" s="376" t="str">
        <f>CS_PID!R671/VLOOKUP($B671,표2[#ALL],2)/HLOOKUP($A671,표1[#ALL],row(),false)</f>
        <v>#N/A</v>
      </c>
      <c r="S671" s="376" t="str">
        <f>CS_PID!S671/VLOOKUP($B671,표2[#ALL],2)/HLOOKUP($A671,표1[#ALL],row(),false)</f>
        <v>#N/A</v>
      </c>
      <c r="T671" s="376" t="str">
        <f>CS_PID!T671/VLOOKUP($B671,표2[#ALL],2)/HLOOKUP($A671,표1[#ALL],row(),false)</f>
        <v>#N/A</v>
      </c>
      <c r="U671" s="376" t="str">
        <f>CS_PID!U671/VLOOKUP($B671,표2[#ALL],2)/HLOOKUP($A671,표1[#ALL],row(),false)</f>
        <v>#N/A</v>
      </c>
      <c r="V671" s="376" t="str">
        <f>CS_PID!V671/VLOOKUP($B671,표2[#ALL],2)/HLOOKUP($A671,표1[#ALL],row(),false)</f>
        <v>#N/A</v>
      </c>
      <c r="W671" s="376" t="str">
        <f>CS_PID!W671/VLOOKUP($B671,표2[#ALL],2)/HLOOKUP($A671,표1[#ALL],row(),false)</f>
        <v>#N/A</v>
      </c>
      <c r="X671" s="376" t="str">
        <f>CS_PID!X671/VLOOKUP($B671,표2[#ALL],2)/HLOOKUP($A671,표1[#ALL],row(),false)</f>
        <v>#N/A</v>
      </c>
      <c r="Y671" s="376" t="str">
        <f>CS_PID!Y671/VLOOKUP($B671,표2[#ALL],2)/HLOOKUP($A671,표1[#ALL],row(),false)</f>
        <v>#N/A</v>
      </c>
      <c r="Z671" s="376" t="str">
        <f>CS_PID!Z671/VLOOKUP($B671,표2[#ALL],2)/HLOOKUP($A671,표1[#ALL],row(),false)</f>
        <v>#N/A</v>
      </c>
      <c r="AA671" s="376" t="str">
        <f>CS_PID!AA671/VLOOKUP($B671,표2[#ALL],2)/HLOOKUP($A671,표1[#ALL],row(),false)</f>
        <v>#N/A</v>
      </c>
      <c r="AB671" s="376" t="str">
        <f>CS_PID!AB671/VLOOKUP($B671,표2[#ALL],2)/HLOOKUP($A671,표1[#ALL],row(),false)</f>
        <v>#N/A</v>
      </c>
      <c r="AC671" s="376" t="str">
        <f>CS_PID!AC671/VLOOKUP($B671,표2[#ALL],2)/HLOOKUP($A671,표1[#ALL],row(),false)</f>
        <v>#N/A</v>
      </c>
      <c r="AD671" s="376" t="str">
        <f>CS_PID!AD671/VLOOKUP($B671,표2[#ALL],2)/HLOOKUP($A671,표1[#ALL],row(),false)</f>
        <v>#N/A</v>
      </c>
      <c r="AE671" s="376" t="str">
        <f>CS_PID!AE671/VLOOKUP($B671,표2[#ALL],2)/HLOOKUP($A671,표1[#ALL],row(),false)</f>
        <v>#N/A</v>
      </c>
      <c r="AF671" s="376" t="str">
        <f>CS_PID!AF671/VLOOKUP($B671,표2[#ALL],2)/HLOOKUP($A671,표1[#ALL],row(),false)</f>
        <v>#N/A</v>
      </c>
      <c r="AG671" s="376" t="str">
        <f>CS_PID!AG671/VLOOKUP($B671,표2[#ALL],2)/HLOOKUP($A671,표1[#ALL],row(),false)</f>
        <v>#N/A</v>
      </c>
      <c r="AH671" s="376" t="str">
        <f>CS_PID!AH671/VLOOKUP($B671,표2[#ALL],2)/HLOOKUP($A671,표1[#ALL],row(),false)</f>
        <v>#N/A</v>
      </c>
      <c r="AI671" s="376" t="str">
        <f>CS_PID!AI671/VLOOKUP($B671,표2[#ALL],2)/HLOOKUP($A671,표1[#ALL],row(),false)</f>
        <v>#N/A</v>
      </c>
      <c r="AJ671" s="376" t="str">
        <f>CS_PID!AJ671/VLOOKUP($B671,표2[#ALL],2)/HLOOKUP($A671,표1[#ALL],row(),false)</f>
        <v>#N/A</v>
      </c>
      <c r="AK671" s="376" t="str">
        <f>CS_PID!AK671/VLOOKUP($B671,표2[#ALL],2)/HLOOKUP($A671,표1[#ALL],row(),false)</f>
        <v>#N/A</v>
      </c>
      <c r="AL671" s="376" t="str">
        <f>CS_PID!AL671/VLOOKUP($B671,표2[#ALL],2)/HLOOKUP($A671,표1[#ALL],row(),false)</f>
        <v>#N/A</v>
      </c>
      <c r="AM671" s="376" t="str">
        <f>CS_PID!AM671/VLOOKUP($B671,표2[#ALL],2)/HLOOKUP($A671,표1[#ALL],row(),false)</f>
        <v>#N/A</v>
      </c>
      <c r="AN671" s="376" t="str">
        <f>CS_PID!AN671/VLOOKUP($B671,표2[#ALL],2)/HLOOKUP($A671,표1[#ALL],row(),false)</f>
        <v>#N/A</v>
      </c>
      <c r="AO671" s="376" t="str">
        <f>CS_PID!AO671/VLOOKUP($B671,표2[#ALL],2)/HLOOKUP($A671,표1[#ALL],row(),false)</f>
        <v>#N/A</v>
      </c>
      <c r="AP671" s="376" t="str">
        <f>CS_PID!AP671/VLOOKUP($B671,표2[#ALL],2)/HLOOKUP($A671,표1[#ALL],row(),false)</f>
        <v>#N/A</v>
      </c>
      <c r="AQ671" s="376" t="str">
        <f>CS_PID!AQ671/VLOOKUP($B671,표2[#ALL],2)/HLOOKUP($A671,표1[#ALL],row(),false)</f>
        <v>#N/A</v>
      </c>
      <c r="AR671" s="376" t="str">
        <f>CS_PID!AR671/VLOOKUP($B671,표2[#ALL],2)/HLOOKUP($A671,표1[#ALL],row(),false)</f>
        <v>#N/A</v>
      </c>
      <c r="AS671" s="377" t="str">
        <f>CS_PID!AS671/VLOOKUP($B671,표2[#ALL],2)/HLOOKUP($A671,표1[#ALL],row(),false)</f>
        <v>#N/A</v>
      </c>
    </row>
    <row r="672">
      <c r="A672" s="370"/>
      <c r="B672" s="371"/>
      <c r="C672" s="372" t="str">
        <f>CS_PID!C672/VLOOKUP($B672,표2[#ALL],2)</f>
        <v>#N/A</v>
      </c>
      <c r="D672" s="372" t="str">
        <f>CS_PID!D672/VLOOKUP($B672,표2[#ALL],2)</f>
        <v>#N/A</v>
      </c>
      <c r="E672" s="372" t="str">
        <f>CS_PID!E672/VLOOKUP($B672,표2[#ALL],2)</f>
        <v>#N/A</v>
      </c>
      <c r="F672" s="372" t="str">
        <f>CS_PID!F672/VLOOKUP($B672,표2[#ALL],2)</f>
        <v>#N/A</v>
      </c>
      <c r="G672" s="372" t="str">
        <f>CS_PID!G672/VLOOKUP($B672,표2[#ALL],2)</f>
        <v>#N/A</v>
      </c>
      <c r="H672" s="372" t="str">
        <f>CS_PID!H672/VLOOKUP($B672,표2[#ALL],2)/HLOOKUP($A672,표1[#ALL],row(),false)</f>
        <v>#N/A</v>
      </c>
      <c r="I672" s="372" t="str">
        <f>CS_PID!I672/VLOOKUP($B672,표2[#ALL],2)/HLOOKUP($A672,표1[#ALL],row(),false)</f>
        <v>#N/A</v>
      </c>
      <c r="J672" s="372" t="str">
        <f>CS_PID!J672/VLOOKUP($B672,표2[#ALL],2)/HLOOKUP($A672,표1[#ALL],row(),false)</f>
        <v>#N/A</v>
      </c>
      <c r="K672" s="372" t="str">
        <f>CS_PID!K672/VLOOKUP($B672,표2[#ALL],2)/HLOOKUP($A672,표1[#ALL],row(),false)</f>
        <v>#N/A</v>
      </c>
      <c r="L672" s="372" t="str">
        <f>CS_PID!L672/VLOOKUP($B672,표2[#ALL],2)/HLOOKUP($A672,표1[#ALL],row(),false)</f>
        <v>#N/A</v>
      </c>
      <c r="M672" s="372" t="str">
        <f>CS_PID!M672/VLOOKUP($B672,표2[#ALL],2)/HLOOKUP($A672,표1[#ALL],row(),false)</f>
        <v>#N/A</v>
      </c>
      <c r="N672" s="372" t="str">
        <f>CS_PID!N672/VLOOKUP($B672,표2[#ALL],2)/HLOOKUP($A672,표1[#ALL],row(),false)</f>
        <v>#N/A</v>
      </c>
      <c r="O672" s="372" t="str">
        <f>CS_PID!O672/VLOOKUP($B672,표2[#ALL],2)/HLOOKUP($A672,표1[#ALL],row(),false)</f>
        <v>#N/A</v>
      </c>
      <c r="P672" s="372" t="str">
        <f>CS_PID!P672/VLOOKUP($B672,표2[#ALL],2)/HLOOKUP($A672,표1[#ALL],row(),false)</f>
        <v>#N/A</v>
      </c>
      <c r="Q672" s="372" t="str">
        <f>CS_PID!Q672/VLOOKUP($B672,표2[#ALL],2)/HLOOKUP($A672,표1[#ALL],row(),false)</f>
        <v>#N/A</v>
      </c>
      <c r="R672" s="372" t="str">
        <f>CS_PID!R672/VLOOKUP($B672,표2[#ALL],2)/HLOOKUP($A672,표1[#ALL],row(),false)</f>
        <v>#N/A</v>
      </c>
      <c r="S672" s="372" t="str">
        <f>CS_PID!S672/VLOOKUP($B672,표2[#ALL],2)/HLOOKUP($A672,표1[#ALL],row(),false)</f>
        <v>#N/A</v>
      </c>
      <c r="T672" s="372" t="str">
        <f>CS_PID!T672/VLOOKUP($B672,표2[#ALL],2)/HLOOKUP($A672,표1[#ALL],row(),false)</f>
        <v>#N/A</v>
      </c>
      <c r="U672" s="372" t="str">
        <f>CS_PID!U672/VLOOKUP($B672,표2[#ALL],2)/HLOOKUP($A672,표1[#ALL],row(),false)</f>
        <v>#N/A</v>
      </c>
      <c r="V672" s="372" t="str">
        <f>CS_PID!V672/VLOOKUP($B672,표2[#ALL],2)/HLOOKUP($A672,표1[#ALL],row(),false)</f>
        <v>#N/A</v>
      </c>
      <c r="W672" s="372" t="str">
        <f>CS_PID!W672/VLOOKUP($B672,표2[#ALL],2)/HLOOKUP($A672,표1[#ALL],row(),false)</f>
        <v>#N/A</v>
      </c>
      <c r="X672" s="372" t="str">
        <f>CS_PID!X672/VLOOKUP($B672,표2[#ALL],2)/HLOOKUP($A672,표1[#ALL],row(),false)</f>
        <v>#N/A</v>
      </c>
      <c r="Y672" s="372" t="str">
        <f>CS_PID!Y672/VLOOKUP($B672,표2[#ALL],2)/HLOOKUP($A672,표1[#ALL],row(),false)</f>
        <v>#N/A</v>
      </c>
      <c r="Z672" s="372" t="str">
        <f>CS_PID!Z672/VLOOKUP($B672,표2[#ALL],2)/HLOOKUP($A672,표1[#ALL],row(),false)</f>
        <v>#N/A</v>
      </c>
      <c r="AA672" s="372" t="str">
        <f>CS_PID!AA672/VLOOKUP($B672,표2[#ALL],2)/HLOOKUP($A672,표1[#ALL],row(),false)</f>
        <v>#N/A</v>
      </c>
      <c r="AB672" s="372" t="str">
        <f>CS_PID!AB672/VLOOKUP($B672,표2[#ALL],2)/HLOOKUP($A672,표1[#ALL],row(),false)</f>
        <v>#N/A</v>
      </c>
      <c r="AC672" s="372" t="str">
        <f>CS_PID!AC672/VLOOKUP($B672,표2[#ALL],2)/HLOOKUP($A672,표1[#ALL],row(),false)</f>
        <v>#N/A</v>
      </c>
      <c r="AD672" s="372" t="str">
        <f>CS_PID!AD672/VLOOKUP($B672,표2[#ALL],2)/HLOOKUP($A672,표1[#ALL],row(),false)</f>
        <v>#N/A</v>
      </c>
      <c r="AE672" s="372" t="str">
        <f>CS_PID!AE672/VLOOKUP($B672,표2[#ALL],2)/HLOOKUP($A672,표1[#ALL],row(),false)</f>
        <v>#N/A</v>
      </c>
      <c r="AF672" s="372" t="str">
        <f>CS_PID!AF672/VLOOKUP($B672,표2[#ALL],2)/HLOOKUP($A672,표1[#ALL],row(),false)</f>
        <v>#N/A</v>
      </c>
      <c r="AG672" s="372" t="str">
        <f>CS_PID!AG672/VLOOKUP($B672,표2[#ALL],2)/HLOOKUP($A672,표1[#ALL],row(),false)</f>
        <v>#N/A</v>
      </c>
      <c r="AH672" s="372" t="str">
        <f>CS_PID!AH672/VLOOKUP($B672,표2[#ALL],2)/HLOOKUP($A672,표1[#ALL],row(),false)</f>
        <v>#N/A</v>
      </c>
      <c r="AI672" s="372" t="str">
        <f>CS_PID!AI672/VLOOKUP($B672,표2[#ALL],2)/HLOOKUP($A672,표1[#ALL],row(),false)</f>
        <v>#N/A</v>
      </c>
      <c r="AJ672" s="372" t="str">
        <f>CS_PID!AJ672/VLOOKUP($B672,표2[#ALL],2)/HLOOKUP($A672,표1[#ALL],row(),false)</f>
        <v>#N/A</v>
      </c>
      <c r="AK672" s="372" t="str">
        <f>CS_PID!AK672/VLOOKUP($B672,표2[#ALL],2)/HLOOKUP($A672,표1[#ALL],row(),false)</f>
        <v>#N/A</v>
      </c>
      <c r="AL672" s="372" t="str">
        <f>CS_PID!AL672/VLOOKUP($B672,표2[#ALL],2)/HLOOKUP($A672,표1[#ALL],row(),false)</f>
        <v>#N/A</v>
      </c>
      <c r="AM672" s="372" t="str">
        <f>CS_PID!AM672/VLOOKUP($B672,표2[#ALL],2)/HLOOKUP($A672,표1[#ALL],row(),false)</f>
        <v>#N/A</v>
      </c>
      <c r="AN672" s="372" t="str">
        <f>CS_PID!AN672/VLOOKUP($B672,표2[#ALL],2)/HLOOKUP($A672,표1[#ALL],row(),false)</f>
        <v>#N/A</v>
      </c>
      <c r="AO672" s="372" t="str">
        <f>CS_PID!AO672/VLOOKUP($B672,표2[#ALL],2)/HLOOKUP($A672,표1[#ALL],row(),false)</f>
        <v>#N/A</v>
      </c>
      <c r="AP672" s="372" t="str">
        <f>CS_PID!AP672/VLOOKUP($B672,표2[#ALL],2)/HLOOKUP($A672,표1[#ALL],row(),false)</f>
        <v>#N/A</v>
      </c>
      <c r="AQ672" s="372" t="str">
        <f>CS_PID!AQ672/VLOOKUP($B672,표2[#ALL],2)/HLOOKUP($A672,표1[#ALL],row(),false)</f>
        <v>#N/A</v>
      </c>
      <c r="AR672" s="372" t="str">
        <f>CS_PID!AR672/VLOOKUP($B672,표2[#ALL],2)/HLOOKUP($A672,표1[#ALL],row(),false)</f>
        <v>#N/A</v>
      </c>
      <c r="AS672" s="373" t="str">
        <f>CS_PID!AS672/VLOOKUP($B672,표2[#ALL],2)/HLOOKUP($A672,표1[#ALL],row(),false)</f>
        <v>#N/A</v>
      </c>
    </row>
    <row r="673">
      <c r="A673" s="374"/>
      <c r="B673" s="375"/>
      <c r="C673" s="376" t="str">
        <f>CS_PID!C673/VLOOKUP($B673,표2[#ALL],2)</f>
        <v>#N/A</v>
      </c>
      <c r="D673" s="376" t="str">
        <f>CS_PID!D673/VLOOKUP($B673,표2[#ALL],2)</f>
        <v>#N/A</v>
      </c>
      <c r="E673" s="376" t="str">
        <f>CS_PID!E673/VLOOKUP($B673,표2[#ALL],2)</f>
        <v>#N/A</v>
      </c>
      <c r="F673" s="376" t="str">
        <f>CS_PID!F673/VLOOKUP($B673,표2[#ALL],2)</f>
        <v>#N/A</v>
      </c>
      <c r="G673" s="376" t="str">
        <f>CS_PID!G673/VLOOKUP($B673,표2[#ALL],2)</f>
        <v>#N/A</v>
      </c>
      <c r="H673" s="376" t="str">
        <f>CS_PID!H673/VLOOKUP($B673,표2[#ALL],2)/HLOOKUP($A673,표1[#ALL],row(),false)</f>
        <v>#N/A</v>
      </c>
      <c r="I673" s="376" t="str">
        <f>CS_PID!I673/VLOOKUP($B673,표2[#ALL],2)/HLOOKUP($A673,표1[#ALL],row(),false)</f>
        <v>#N/A</v>
      </c>
      <c r="J673" s="376" t="str">
        <f>CS_PID!J673/VLOOKUP($B673,표2[#ALL],2)/HLOOKUP($A673,표1[#ALL],row(),false)</f>
        <v>#N/A</v>
      </c>
      <c r="K673" s="376" t="str">
        <f>CS_PID!K673/VLOOKUP($B673,표2[#ALL],2)/HLOOKUP($A673,표1[#ALL],row(),false)</f>
        <v>#N/A</v>
      </c>
      <c r="L673" s="376" t="str">
        <f>CS_PID!L673/VLOOKUP($B673,표2[#ALL],2)/HLOOKUP($A673,표1[#ALL],row(),false)</f>
        <v>#N/A</v>
      </c>
      <c r="M673" s="376" t="str">
        <f>CS_PID!M673/VLOOKUP($B673,표2[#ALL],2)/HLOOKUP($A673,표1[#ALL],row(),false)</f>
        <v>#N/A</v>
      </c>
      <c r="N673" s="376" t="str">
        <f>CS_PID!N673/VLOOKUP($B673,표2[#ALL],2)/HLOOKUP($A673,표1[#ALL],row(),false)</f>
        <v>#N/A</v>
      </c>
      <c r="O673" s="376" t="str">
        <f>CS_PID!O673/VLOOKUP($B673,표2[#ALL],2)/HLOOKUP($A673,표1[#ALL],row(),false)</f>
        <v>#N/A</v>
      </c>
      <c r="P673" s="376" t="str">
        <f>CS_PID!P673/VLOOKUP($B673,표2[#ALL],2)/HLOOKUP($A673,표1[#ALL],row(),false)</f>
        <v>#N/A</v>
      </c>
      <c r="Q673" s="376" t="str">
        <f>CS_PID!Q673/VLOOKUP($B673,표2[#ALL],2)/HLOOKUP($A673,표1[#ALL],row(),false)</f>
        <v>#N/A</v>
      </c>
      <c r="R673" s="376" t="str">
        <f>CS_PID!R673/VLOOKUP($B673,표2[#ALL],2)/HLOOKUP($A673,표1[#ALL],row(),false)</f>
        <v>#N/A</v>
      </c>
      <c r="S673" s="376" t="str">
        <f>CS_PID!S673/VLOOKUP($B673,표2[#ALL],2)/HLOOKUP($A673,표1[#ALL],row(),false)</f>
        <v>#N/A</v>
      </c>
      <c r="T673" s="376" t="str">
        <f>CS_PID!T673/VLOOKUP($B673,표2[#ALL],2)/HLOOKUP($A673,표1[#ALL],row(),false)</f>
        <v>#N/A</v>
      </c>
      <c r="U673" s="376" t="str">
        <f>CS_PID!U673/VLOOKUP($B673,표2[#ALL],2)/HLOOKUP($A673,표1[#ALL],row(),false)</f>
        <v>#N/A</v>
      </c>
      <c r="V673" s="376" t="str">
        <f>CS_PID!V673/VLOOKUP($B673,표2[#ALL],2)/HLOOKUP($A673,표1[#ALL],row(),false)</f>
        <v>#N/A</v>
      </c>
      <c r="W673" s="376" t="str">
        <f>CS_PID!W673/VLOOKUP($B673,표2[#ALL],2)/HLOOKUP($A673,표1[#ALL],row(),false)</f>
        <v>#N/A</v>
      </c>
      <c r="X673" s="376" t="str">
        <f>CS_PID!X673/VLOOKUP($B673,표2[#ALL],2)/HLOOKUP($A673,표1[#ALL],row(),false)</f>
        <v>#N/A</v>
      </c>
      <c r="Y673" s="376" t="str">
        <f>CS_PID!Y673/VLOOKUP($B673,표2[#ALL],2)/HLOOKUP($A673,표1[#ALL],row(),false)</f>
        <v>#N/A</v>
      </c>
      <c r="Z673" s="376" t="str">
        <f>CS_PID!Z673/VLOOKUP($B673,표2[#ALL],2)/HLOOKUP($A673,표1[#ALL],row(),false)</f>
        <v>#N/A</v>
      </c>
      <c r="AA673" s="376" t="str">
        <f>CS_PID!AA673/VLOOKUP($B673,표2[#ALL],2)/HLOOKUP($A673,표1[#ALL],row(),false)</f>
        <v>#N/A</v>
      </c>
      <c r="AB673" s="376" t="str">
        <f>CS_PID!AB673/VLOOKUP($B673,표2[#ALL],2)/HLOOKUP($A673,표1[#ALL],row(),false)</f>
        <v>#N/A</v>
      </c>
      <c r="AC673" s="376" t="str">
        <f>CS_PID!AC673/VLOOKUP($B673,표2[#ALL],2)/HLOOKUP($A673,표1[#ALL],row(),false)</f>
        <v>#N/A</v>
      </c>
      <c r="AD673" s="376" t="str">
        <f>CS_PID!AD673/VLOOKUP($B673,표2[#ALL],2)/HLOOKUP($A673,표1[#ALL],row(),false)</f>
        <v>#N/A</v>
      </c>
      <c r="AE673" s="376" t="str">
        <f>CS_PID!AE673/VLOOKUP($B673,표2[#ALL],2)/HLOOKUP($A673,표1[#ALL],row(),false)</f>
        <v>#N/A</v>
      </c>
      <c r="AF673" s="376" t="str">
        <f>CS_PID!AF673/VLOOKUP($B673,표2[#ALL],2)/HLOOKUP($A673,표1[#ALL],row(),false)</f>
        <v>#N/A</v>
      </c>
      <c r="AG673" s="376" t="str">
        <f>CS_PID!AG673/VLOOKUP($B673,표2[#ALL],2)/HLOOKUP($A673,표1[#ALL],row(),false)</f>
        <v>#N/A</v>
      </c>
      <c r="AH673" s="376" t="str">
        <f>CS_PID!AH673/VLOOKUP($B673,표2[#ALL],2)/HLOOKUP($A673,표1[#ALL],row(),false)</f>
        <v>#N/A</v>
      </c>
      <c r="AI673" s="376" t="str">
        <f>CS_PID!AI673/VLOOKUP($B673,표2[#ALL],2)/HLOOKUP($A673,표1[#ALL],row(),false)</f>
        <v>#N/A</v>
      </c>
      <c r="AJ673" s="376" t="str">
        <f>CS_PID!AJ673/VLOOKUP($B673,표2[#ALL],2)/HLOOKUP($A673,표1[#ALL],row(),false)</f>
        <v>#N/A</v>
      </c>
      <c r="AK673" s="376" t="str">
        <f>CS_PID!AK673/VLOOKUP($B673,표2[#ALL],2)/HLOOKUP($A673,표1[#ALL],row(),false)</f>
        <v>#N/A</v>
      </c>
      <c r="AL673" s="376" t="str">
        <f>CS_PID!AL673/VLOOKUP($B673,표2[#ALL],2)/HLOOKUP($A673,표1[#ALL],row(),false)</f>
        <v>#N/A</v>
      </c>
      <c r="AM673" s="376" t="str">
        <f>CS_PID!AM673/VLOOKUP($B673,표2[#ALL],2)/HLOOKUP($A673,표1[#ALL],row(),false)</f>
        <v>#N/A</v>
      </c>
      <c r="AN673" s="376" t="str">
        <f>CS_PID!AN673/VLOOKUP($B673,표2[#ALL],2)/HLOOKUP($A673,표1[#ALL],row(),false)</f>
        <v>#N/A</v>
      </c>
      <c r="AO673" s="376" t="str">
        <f>CS_PID!AO673/VLOOKUP($B673,표2[#ALL],2)/HLOOKUP($A673,표1[#ALL],row(),false)</f>
        <v>#N/A</v>
      </c>
      <c r="AP673" s="376" t="str">
        <f>CS_PID!AP673/VLOOKUP($B673,표2[#ALL],2)/HLOOKUP($A673,표1[#ALL],row(),false)</f>
        <v>#N/A</v>
      </c>
      <c r="AQ673" s="376" t="str">
        <f>CS_PID!AQ673/VLOOKUP($B673,표2[#ALL],2)/HLOOKUP($A673,표1[#ALL],row(),false)</f>
        <v>#N/A</v>
      </c>
      <c r="AR673" s="376" t="str">
        <f>CS_PID!AR673/VLOOKUP($B673,표2[#ALL],2)/HLOOKUP($A673,표1[#ALL],row(),false)</f>
        <v>#N/A</v>
      </c>
      <c r="AS673" s="377" t="str">
        <f>CS_PID!AS673/VLOOKUP($B673,표2[#ALL],2)/HLOOKUP($A673,표1[#ALL],row(),false)</f>
        <v>#N/A</v>
      </c>
    </row>
    <row r="674">
      <c r="A674" s="370"/>
      <c r="B674" s="371"/>
      <c r="C674" s="372" t="str">
        <f>CS_PID!C674/VLOOKUP($B674,표2[#ALL],2)</f>
        <v>#N/A</v>
      </c>
      <c r="D674" s="372" t="str">
        <f>CS_PID!D674/VLOOKUP($B674,표2[#ALL],2)</f>
        <v>#N/A</v>
      </c>
      <c r="E674" s="372" t="str">
        <f>CS_PID!E674/VLOOKUP($B674,표2[#ALL],2)</f>
        <v>#N/A</v>
      </c>
      <c r="F674" s="372" t="str">
        <f>CS_PID!F674/VLOOKUP($B674,표2[#ALL],2)</f>
        <v>#N/A</v>
      </c>
      <c r="G674" s="372" t="str">
        <f>CS_PID!G674/VLOOKUP($B674,표2[#ALL],2)</f>
        <v>#N/A</v>
      </c>
      <c r="H674" s="372" t="str">
        <f>CS_PID!H674/VLOOKUP($B674,표2[#ALL],2)/HLOOKUP($A674,표1[#ALL],row(),false)</f>
        <v>#N/A</v>
      </c>
      <c r="I674" s="372" t="str">
        <f>CS_PID!I674/VLOOKUP($B674,표2[#ALL],2)/HLOOKUP($A674,표1[#ALL],row(),false)</f>
        <v>#N/A</v>
      </c>
      <c r="J674" s="372" t="str">
        <f>CS_PID!J674/VLOOKUP($B674,표2[#ALL],2)/HLOOKUP($A674,표1[#ALL],row(),false)</f>
        <v>#N/A</v>
      </c>
      <c r="K674" s="372" t="str">
        <f>CS_PID!K674/VLOOKUP($B674,표2[#ALL],2)/HLOOKUP($A674,표1[#ALL],row(),false)</f>
        <v>#N/A</v>
      </c>
      <c r="L674" s="372" t="str">
        <f>CS_PID!L674/VLOOKUP($B674,표2[#ALL],2)/HLOOKUP($A674,표1[#ALL],row(),false)</f>
        <v>#N/A</v>
      </c>
      <c r="M674" s="372" t="str">
        <f>CS_PID!M674/VLOOKUP($B674,표2[#ALL],2)/HLOOKUP($A674,표1[#ALL],row(),false)</f>
        <v>#N/A</v>
      </c>
      <c r="N674" s="372" t="str">
        <f>CS_PID!N674/VLOOKUP($B674,표2[#ALL],2)/HLOOKUP($A674,표1[#ALL],row(),false)</f>
        <v>#N/A</v>
      </c>
      <c r="O674" s="372" t="str">
        <f>CS_PID!O674/VLOOKUP($B674,표2[#ALL],2)/HLOOKUP($A674,표1[#ALL],row(),false)</f>
        <v>#N/A</v>
      </c>
      <c r="P674" s="372" t="str">
        <f>CS_PID!P674/VLOOKUP($B674,표2[#ALL],2)/HLOOKUP($A674,표1[#ALL],row(),false)</f>
        <v>#N/A</v>
      </c>
      <c r="Q674" s="372" t="str">
        <f>CS_PID!Q674/VLOOKUP($B674,표2[#ALL],2)/HLOOKUP($A674,표1[#ALL],row(),false)</f>
        <v>#N/A</v>
      </c>
      <c r="R674" s="372" t="str">
        <f>CS_PID!R674/VLOOKUP($B674,표2[#ALL],2)/HLOOKUP($A674,표1[#ALL],row(),false)</f>
        <v>#N/A</v>
      </c>
      <c r="S674" s="372" t="str">
        <f>CS_PID!S674/VLOOKUP($B674,표2[#ALL],2)/HLOOKUP($A674,표1[#ALL],row(),false)</f>
        <v>#N/A</v>
      </c>
      <c r="T674" s="372" t="str">
        <f>CS_PID!T674/VLOOKUP($B674,표2[#ALL],2)/HLOOKUP($A674,표1[#ALL],row(),false)</f>
        <v>#N/A</v>
      </c>
      <c r="U674" s="372" t="str">
        <f>CS_PID!U674/VLOOKUP($B674,표2[#ALL],2)/HLOOKUP($A674,표1[#ALL],row(),false)</f>
        <v>#N/A</v>
      </c>
      <c r="V674" s="372" t="str">
        <f>CS_PID!V674/VLOOKUP($B674,표2[#ALL],2)/HLOOKUP($A674,표1[#ALL],row(),false)</f>
        <v>#N/A</v>
      </c>
      <c r="W674" s="372" t="str">
        <f>CS_PID!W674/VLOOKUP($B674,표2[#ALL],2)/HLOOKUP($A674,표1[#ALL],row(),false)</f>
        <v>#N/A</v>
      </c>
      <c r="X674" s="372" t="str">
        <f>CS_PID!X674/VLOOKUP($B674,표2[#ALL],2)/HLOOKUP($A674,표1[#ALL],row(),false)</f>
        <v>#N/A</v>
      </c>
      <c r="Y674" s="372" t="str">
        <f>CS_PID!Y674/VLOOKUP($B674,표2[#ALL],2)/HLOOKUP($A674,표1[#ALL],row(),false)</f>
        <v>#N/A</v>
      </c>
      <c r="Z674" s="372" t="str">
        <f>CS_PID!Z674/VLOOKUP($B674,표2[#ALL],2)/HLOOKUP($A674,표1[#ALL],row(),false)</f>
        <v>#N/A</v>
      </c>
      <c r="AA674" s="372" t="str">
        <f>CS_PID!AA674/VLOOKUP($B674,표2[#ALL],2)/HLOOKUP($A674,표1[#ALL],row(),false)</f>
        <v>#N/A</v>
      </c>
      <c r="AB674" s="372" t="str">
        <f>CS_PID!AB674/VLOOKUP($B674,표2[#ALL],2)/HLOOKUP($A674,표1[#ALL],row(),false)</f>
        <v>#N/A</v>
      </c>
      <c r="AC674" s="372" t="str">
        <f>CS_PID!AC674/VLOOKUP($B674,표2[#ALL],2)/HLOOKUP($A674,표1[#ALL],row(),false)</f>
        <v>#N/A</v>
      </c>
      <c r="AD674" s="372" t="str">
        <f>CS_PID!AD674/VLOOKUP($B674,표2[#ALL],2)/HLOOKUP($A674,표1[#ALL],row(),false)</f>
        <v>#N/A</v>
      </c>
      <c r="AE674" s="372" t="str">
        <f>CS_PID!AE674/VLOOKUP($B674,표2[#ALL],2)/HLOOKUP($A674,표1[#ALL],row(),false)</f>
        <v>#N/A</v>
      </c>
      <c r="AF674" s="372" t="str">
        <f>CS_PID!AF674/VLOOKUP($B674,표2[#ALL],2)/HLOOKUP($A674,표1[#ALL],row(),false)</f>
        <v>#N/A</v>
      </c>
      <c r="AG674" s="372" t="str">
        <f>CS_PID!AG674/VLOOKUP($B674,표2[#ALL],2)/HLOOKUP($A674,표1[#ALL],row(),false)</f>
        <v>#N/A</v>
      </c>
      <c r="AH674" s="372" t="str">
        <f>CS_PID!AH674/VLOOKUP($B674,표2[#ALL],2)/HLOOKUP($A674,표1[#ALL],row(),false)</f>
        <v>#N/A</v>
      </c>
      <c r="AI674" s="372" t="str">
        <f>CS_PID!AI674/VLOOKUP($B674,표2[#ALL],2)/HLOOKUP($A674,표1[#ALL],row(),false)</f>
        <v>#N/A</v>
      </c>
      <c r="AJ674" s="372" t="str">
        <f>CS_PID!AJ674/VLOOKUP($B674,표2[#ALL],2)/HLOOKUP($A674,표1[#ALL],row(),false)</f>
        <v>#N/A</v>
      </c>
      <c r="AK674" s="372" t="str">
        <f>CS_PID!AK674/VLOOKUP($B674,표2[#ALL],2)/HLOOKUP($A674,표1[#ALL],row(),false)</f>
        <v>#N/A</v>
      </c>
      <c r="AL674" s="372" t="str">
        <f>CS_PID!AL674/VLOOKUP($B674,표2[#ALL],2)/HLOOKUP($A674,표1[#ALL],row(),false)</f>
        <v>#N/A</v>
      </c>
      <c r="AM674" s="372" t="str">
        <f>CS_PID!AM674/VLOOKUP($B674,표2[#ALL],2)/HLOOKUP($A674,표1[#ALL],row(),false)</f>
        <v>#N/A</v>
      </c>
      <c r="AN674" s="372" t="str">
        <f>CS_PID!AN674/VLOOKUP($B674,표2[#ALL],2)/HLOOKUP($A674,표1[#ALL],row(),false)</f>
        <v>#N/A</v>
      </c>
      <c r="AO674" s="372" t="str">
        <f>CS_PID!AO674/VLOOKUP($B674,표2[#ALL],2)/HLOOKUP($A674,표1[#ALL],row(),false)</f>
        <v>#N/A</v>
      </c>
      <c r="AP674" s="372" t="str">
        <f>CS_PID!AP674/VLOOKUP($B674,표2[#ALL],2)/HLOOKUP($A674,표1[#ALL],row(),false)</f>
        <v>#N/A</v>
      </c>
      <c r="AQ674" s="372" t="str">
        <f>CS_PID!AQ674/VLOOKUP($B674,표2[#ALL],2)/HLOOKUP($A674,표1[#ALL],row(),false)</f>
        <v>#N/A</v>
      </c>
      <c r="AR674" s="372" t="str">
        <f>CS_PID!AR674/VLOOKUP($B674,표2[#ALL],2)/HLOOKUP($A674,표1[#ALL],row(),false)</f>
        <v>#N/A</v>
      </c>
      <c r="AS674" s="373" t="str">
        <f>CS_PID!AS674/VLOOKUP($B674,표2[#ALL],2)/HLOOKUP($A674,표1[#ALL],row(),false)</f>
        <v>#N/A</v>
      </c>
    </row>
    <row r="675">
      <c r="A675" s="374"/>
      <c r="B675" s="375"/>
      <c r="C675" s="376" t="str">
        <f>CS_PID!C675/VLOOKUP($B675,표2[#ALL],2)</f>
        <v>#N/A</v>
      </c>
      <c r="D675" s="376" t="str">
        <f>CS_PID!D675/VLOOKUP($B675,표2[#ALL],2)</f>
        <v>#N/A</v>
      </c>
      <c r="E675" s="376" t="str">
        <f>CS_PID!E675/VLOOKUP($B675,표2[#ALL],2)</f>
        <v>#N/A</v>
      </c>
      <c r="F675" s="376" t="str">
        <f>CS_PID!F675/VLOOKUP($B675,표2[#ALL],2)</f>
        <v>#N/A</v>
      </c>
      <c r="G675" s="376" t="str">
        <f>CS_PID!G675/VLOOKUP($B675,표2[#ALL],2)</f>
        <v>#N/A</v>
      </c>
      <c r="H675" s="376" t="str">
        <f>CS_PID!H675/VLOOKUP($B675,표2[#ALL],2)/HLOOKUP($A675,표1[#ALL],row(),false)</f>
        <v>#N/A</v>
      </c>
      <c r="I675" s="376" t="str">
        <f>CS_PID!I675/VLOOKUP($B675,표2[#ALL],2)/HLOOKUP($A675,표1[#ALL],row(),false)</f>
        <v>#N/A</v>
      </c>
      <c r="J675" s="376" t="str">
        <f>CS_PID!J675/VLOOKUP($B675,표2[#ALL],2)/HLOOKUP($A675,표1[#ALL],row(),false)</f>
        <v>#N/A</v>
      </c>
      <c r="K675" s="376" t="str">
        <f>CS_PID!K675/VLOOKUP($B675,표2[#ALL],2)/HLOOKUP($A675,표1[#ALL],row(),false)</f>
        <v>#N/A</v>
      </c>
      <c r="L675" s="376" t="str">
        <f>CS_PID!L675/VLOOKUP($B675,표2[#ALL],2)/HLOOKUP($A675,표1[#ALL],row(),false)</f>
        <v>#N/A</v>
      </c>
      <c r="M675" s="376" t="str">
        <f>CS_PID!M675/VLOOKUP($B675,표2[#ALL],2)/HLOOKUP($A675,표1[#ALL],row(),false)</f>
        <v>#N/A</v>
      </c>
      <c r="N675" s="376" t="str">
        <f>CS_PID!N675/VLOOKUP($B675,표2[#ALL],2)/HLOOKUP($A675,표1[#ALL],row(),false)</f>
        <v>#N/A</v>
      </c>
      <c r="O675" s="376" t="str">
        <f>CS_PID!O675/VLOOKUP($B675,표2[#ALL],2)/HLOOKUP($A675,표1[#ALL],row(),false)</f>
        <v>#N/A</v>
      </c>
      <c r="P675" s="376" t="str">
        <f>CS_PID!P675/VLOOKUP($B675,표2[#ALL],2)/HLOOKUP($A675,표1[#ALL],row(),false)</f>
        <v>#N/A</v>
      </c>
      <c r="Q675" s="376" t="str">
        <f>CS_PID!Q675/VLOOKUP($B675,표2[#ALL],2)/HLOOKUP($A675,표1[#ALL],row(),false)</f>
        <v>#N/A</v>
      </c>
      <c r="R675" s="376" t="str">
        <f>CS_PID!R675/VLOOKUP($B675,표2[#ALL],2)/HLOOKUP($A675,표1[#ALL],row(),false)</f>
        <v>#N/A</v>
      </c>
      <c r="S675" s="376" t="str">
        <f>CS_PID!S675/VLOOKUP($B675,표2[#ALL],2)/HLOOKUP($A675,표1[#ALL],row(),false)</f>
        <v>#N/A</v>
      </c>
      <c r="T675" s="376" t="str">
        <f>CS_PID!T675/VLOOKUP($B675,표2[#ALL],2)/HLOOKUP($A675,표1[#ALL],row(),false)</f>
        <v>#N/A</v>
      </c>
      <c r="U675" s="376" t="str">
        <f>CS_PID!U675/VLOOKUP($B675,표2[#ALL],2)/HLOOKUP($A675,표1[#ALL],row(),false)</f>
        <v>#N/A</v>
      </c>
      <c r="V675" s="376" t="str">
        <f>CS_PID!V675/VLOOKUP($B675,표2[#ALL],2)/HLOOKUP($A675,표1[#ALL],row(),false)</f>
        <v>#N/A</v>
      </c>
      <c r="W675" s="376" t="str">
        <f>CS_PID!W675/VLOOKUP($B675,표2[#ALL],2)/HLOOKUP($A675,표1[#ALL],row(),false)</f>
        <v>#N/A</v>
      </c>
      <c r="X675" s="376" t="str">
        <f>CS_PID!X675/VLOOKUP($B675,표2[#ALL],2)/HLOOKUP($A675,표1[#ALL],row(),false)</f>
        <v>#N/A</v>
      </c>
      <c r="Y675" s="376" t="str">
        <f>CS_PID!Y675/VLOOKUP($B675,표2[#ALL],2)/HLOOKUP($A675,표1[#ALL],row(),false)</f>
        <v>#N/A</v>
      </c>
      <c r="Z675" s="376" t="str">
        <f>CS_PID!Z675/VLOOKUP($B675,표2[#ALL],2)/HLOOKUP($A675,표1[#ALL],row(),false)</f>
        <v>#N/A</v>
      </c>
      <c r="AA675" s="376" t="str">
        <f>CS_PID!AA675/VLOOKUP($B675,표2[#ALL],2)/HLOOKUP($A675,표1[#ALL],row(),false)</f>
        <v>#N/A</v>
      </c>
      <c r="AB675" s="376" t="str">
        <f>CS_PID!AB675/VLOOKUP($B675,표2[#ALL],2)/HLOOKUP($A675,표1[#ALL],row(),false)</f>
        <v>#N/A</v>
      </c>
      <c r="AC675" s="376" t="str">
        <f>CS_PID!AC675/VLOOKUP($B675,표2[#ALL],2)/HLOOKUP($A675,표1[#ALL],row(),false)</f>
        <v>#N/A</v>
      </c>
      <c r="AD675" s="376" t="str">
        <f>CS_PID!AD675/VLOOKUP($B675,표2[#ALL],2)/HLOOKUP($A675,표1[#ALL],row(),false)</f>
        <v>#N/A</v>
      </c>
      <c r="AE675" s="376" t="str">
        <f>CS_PID!AE675/VLOOKUP($B675,표2[#ALL],2)/HLOOKUP($A675,표1[#ALL],row(),false)</f>
        <v>#N/A</v>
      </c>
      <c r="AF675" s="376" t="str">
        <f>CS_PID!AF675/VLOOKUP($B675,표2[#ALL],2)/HLOOKUP($A675,표1[#ALL],row(),false)</f>
        <v>#N/A</v>
      </c>
      <c r="AG675" s="376" t="str">
        <f>CS_PID!AG675/VLOOKUP($B675,표2[#ALL],2)/HLOOKUP($A675,표1[#ALL],row(),false)</f>
        <v>#N/A</v>
      </c>
      <c r="AH675" s="376" t="str">
        <f>CS_PID!AH675/VLOOKUP($B675,표2[#ALL],2)/HLOOKUP($A675,표1[#ALL],row(),false)</f>
        <v>#N/A</v>
      </c>
      <c r="AI675" s="376" t="str">
        <f>CS_PID!AI675/VLOOKUP($B675,표2[#ALL],2)/HLOOKUP($A675,표1[#ALL],row(),false)</f>
        <v>#N/A</v>
      </c>
      <c r="AJ675" s="376" t="str">
        <f>CS_PID!AJ675/VLOOKUP($B675,표2[#ALL],2)/HLOOKUP($A675,표1[#ALL],row(),false)</f>
        <v>#N/A</v>
      </c>
      <c r="AK675" s="376" t="str">
        <f>CS_PID!AK675/VLOOKUP($B675,표2[#ALL],2)/HLOOKUP($A675,표1[#ALL],row(),false)</f>
        <v>#N/A</v>
      </c>
      <c r="AL675" s="376" t="str">
        <f>CS_PID!AL675/VLOOKUP($B675,표2[#ALL],2)/HLOOKUP($A675,표1[#ALL],row(),false)</f>
        <v>#N/A</v>
      </c>
      <c r="AM675" s="376" t="str">
        <f>CS_PID!AM675/VLOOKUP($B675,표2[#ALL],2)/HLOOKUP($A675,표1[#ALL],row(),false)</f>
        <v>#N/A</v>
      </c>
      <c r="AN675" s="376" t="str">
        <f>CS_PID!AN675/VLOOKUP($B675,표2[#ALL],2)/HLOOKUP($A675,표1[#ALL],row(),false)</f>
        <v>#N/A</v>
      </c>
      <c r="AO675" s="376" t="str">
        <f>CS_PID!AO675/VLOOKUP($B675,표2[#ALL],2)/HLOOKUP($A675,표1[#ALL],row(),false)</f>
        <v>#N/A</v>
      </c>
      <c r="AP675" s="376" t="str">
        <f>CS_PID!AP675/VLOOKUP($B675,표2[#ALL],2)/HLOOKUP($A675,표1[#ALL],row(),false)</f>
        <v>#N/A</v>
      </c>
      <c r="AQ675" s="376" t="str">
        <f>CS_PID!AQ675/VLOOKUP($B675,표2[#ALL],2)/HLOOKUP($A675,표1[#ALL],row(),false)</f>
        <v>#N/A</v>
      </c>
      <c r="AR675" s="376" t="str">
        <f>CS_PID!AR675/VLOOKUP($B675,표2[#ALL],2)/HLOOKUP($A675,표1[#ALL],row(),false)</f>
        <v>#N/A</v>
      </c>
      <c r="AS675" s="377" t="str">
        <f>CS_PID!AS675/VLOOKUP($B675,표2[#ALL],2)/HLOOKUP($A675,표1[#ALL],row(),false)</f>
        <v>#N/A</v>
      </c>
    </row>
    <row r="676">
      <c r="A676" s="370"/>
      <c r="B676" s="371"/>
      <c r="C676" s="372" t="str">
        <f>CS_PID!C676/VLOOKUP($B676,표2[#ALL],2)</f>
        <v>#N/A</v>
      </c>
      <c r="D676" s="372" t="str">
        <f>CS_PID!D676/VLOOKUP($B676,표2[#ALL],2)</f>
        <v>#N/A</v>
      </c>
      <c r="E676" s="372" t="str">
        <f>CS_PID!E676/VLOOKUP($B676,표2[#ALL],2)</f>
        <v>#N/A</v>
      </c>
      <c r="F676" s="372" t="str">
        <f>CS_PID!F676/VLOOKUP($B676,표2[#ALL],2)</f>
        <v>#N/A</v>
      </c>
      <c r="G676" s="372" t="str">
        <f>CS_PID!G676/VLOOKUP($B676,표2[#ALL],2)</f>
        <v>#N/A</v>
      </c>
      <c r="H676" s="372" t="str">
        <f>CS_PID!H676/VLOOKUP($B676,표2[#ALL],2)/HLOOKUP($A676,표1[#ALL],row(),false)</f>
        <v>#N/A</v>
      </c>
      <c r="I676" s="372" t="str">
        <f>CS_PID!I676/VLOOKUP($B676,표2[#ALL],2)/HLOOKUP($A676,표1[#ALL],row(),false)</f>
        <v>#N/A</v>
      </c>
      <c r="J676" s="372" t="str">
        <f>CS_PID!J676/VLOOKUP($B676,표2[#ALL],2)/HLOOKUP($A676,표1[#ALL],row(),false)</f>
        <v>#N/A</v>
      </c>
      <c r="K676" s="372" t="str">
        <f>CS_PID!K676/VLOOKUP($B676,표2[#ALL],2)/HLOOKUP($A676,표1[#ALL],row(),false)</f>
        <v>#N/A</v>
      </c>
      <c r="L676" s="372" t="str">
        <f>CS_PID!L676/VLOOKUP($B676,표2[#ALL],2)/HLOOKUP($A676,표1[#ALL],row(),false)</f>
        <v>#N/A</v>
      </c>
      <c r="M676" s="372" t="str">
        <f>CS_PID!M676/VLOOKUP($B676,표2[#ALL],2)/HLOOKUP($A676,표1[#ALL],row(),false)</f>
        <v>#N/A</v>
      </c>
      <c r="N676" s="372" t="str">
        <f>CS_PID!N676/VLOOKUP($B676,표2[#ALL],2)/HLOOKUP($A676,표1[#ALL],row(),false)</f>
        <v>#N/A</v>
      </c>
      <c r="O676" s="372" t="str">
        <f>CS_PID!O676/VLOOKUP($B676,표2[#ALL],2)/HLOOKUP($A676,표1[#ALL],row(),false)</f>
        <v>#N/A</v>
      </c>
      <c r="P676" s="372" t="str">
        <f>CS_PID!P676/VLOOKUP($B676,표2[#ALL],2)/HLOOKUP($A676,표1[#ALL],row(),false)</f>
        <v>#N/A</v>
      </c>
      <c r="Q676" s="372" t="str">
        <f>CS_PID!Q676/VLOOKUP($B676,표2[#ALL],2)/HLOOKUP($A676,표1[#ALL],row(),false)</f>
        <v>#N/A</v>
      </c>
      <c r="R676" s="372" t="str">
        <f>CS_PID!R676/VLOOKUP($B676,표2[#ALL],2)/HLOOKUP($A676,표1[#ALL],row(),false)</f>
        <v>#N/A</v>
      </c>
      <c r="S676" s="372" t="str">
        <f>CS_PID!S676/VLOOKUP($B676,표2[#ALL],2)/HLOOKUP($A676,표1[#ALL],row(),false)</f>
        <v>#N/A</v>
      </c>
      <c r="T676" s="372" t="str">
        <f>CS_PID!T676/VLOOKUP($B676,표2[#ALL],2)/HLOOKUP($A676,표1[#ALL],row(),false)</f>
        <v>#N/A</v>
      </c>
      <c r="U676" s="372" t="str">
        <f>CS_PID!U676/VLOOKUP($B676,표2[#ALL],2)/HLOOKUP($A676,표1[#ALL],row(),false)</f>
        <v>#N/A</v>
      </c>
      <c r="V676" s="372" t="str">
        <f>CS_PID!V676/VLOOKUP($B676,표2[#ALL],2)/HLOOKUP($A676,표1[#ALL],row(),false)</f>
        <v>#N/A</v>
      </c>
      <c r="W676" s="372" t="str">
        <f>CS_PID!W676/VLOOKUP($B676,표2[#ALL],2)/HLOOKUP($A676,표1[#ALL],row(),false)</f>
        <v>#N/A</v>
      </c>
      <c r="X676" s="372" t="str">
        <f>CS_PID!X676/VLOOKUP($B676,표2[#ALL],2)/HLOOKUP($A676,표1[#ALL],row(),false)</f>
        <v>#N/A</v>
      </c>
      <c r="Y676" s="372" t="str">
        <f>CS_PID!Y676/VLOOKUP($B676,표2[#ALL],2)/HLOOKUP($A676,표1[#ALL],row(),false)</f>
        <v>#N/A</v>
      </c>
      <c r="Z676" s="372" t="str">
        <f>CS_PID!Z676/VLOOKUP($B676,표2[#ALL],2)/HLOOKUP($A676,표1[#ALL],row(),false)</f>
        <v>#N/A</v>
      </c>
      <c r="AA676" s="372" t="str">
        <f>CS_PID!AA676/VLOOKUP($B676,표2[#ALL],2)/HLOOKUP($A676,표1[#ALL],row(),false)</f>
        <v>#N/A</v>
      </c>
      <c r="AB676" s="372" t="str">
        <f>CS_PID!AB676/VLOOKUP($B676,표2[#ALL],2)/HLOOKUP($A676,표1[#ALL],row(),false)</f>
        <v>#N/A</v>
      </c>
      <c r="AC676" s="372" t="str">
        <f>CS_PID!AC676/VLOOKUP($B676,표2[#ALL],2)/HLOOKUP($A676,표1[#ALL],row(),false)</f>
        <v>#N/A</v>
      </c>
      <c r="AD676" s="372" t="str">
        <f>CS_PID!AD676/VLOOKUP($B676,표2[#ALL],2)/HLOOKUP($A676,표1[#ALL],row(),false)</f>
        <v>#N/A</v>
      </c>
      <c r="AE676" s="372" t="str">
        <f>CS_PID!AE676/VLOOKUP($B676,표2[#ALL],2)/HLOOKUP($A676,표1[#ALL],row(),false)</f>
        <v>#N/A</v>
      </c>
      <c r="AF676" s="372" t="str">
        <f>CS_PID!AF676/VLOOKUP($B676,표2[#ALL],2)/HLOOKUP($A676,표1[#ALL],row(),false)</f>
        <v>#N/A</v>
      </c>
      <c r="AG676" s="372" t="str">
        <f>CS_PID!AG676/VLOOKUP($B676,표2[#ALL],2)/HLOOKUP($A676,표1[#ALL],row(),false)</f>
        <v>#N/A</v>
      </c>
      <c r="AH676" s="372" t="str">
        <f>CS_PID!AH676/VLOOKUP($B676,표2[#ALL],2)/HLOOKUP($A676,표1[#ALL],row(),false)</f>
        <v>#N/A</v>
      </c>
      <c r="AI676" s="372" t="str">
        <f>CS_PID!AI676/VLOOKUP($B676,표2[#ALL],2)/HLOOKUP($A676,표1[#ALL],row(),false)</f>
        <v>#N/A</v>
      </c>
      <c r="AJ676" s="372" t="str">
        <f>CS_PID!AJ676/VLOOKUP($B676,표2[#ALL],2)/HLOOKUP($A676,표1[#ALL],row(),false)</f>
        <v>#N/A</v>
      </c>
      <c r="AK676" s="372" t="str">
        <f>CS_PID!AK676/VLOOKUP($B676,표2[#ALL],2)/HLOOKUP($A676,표1[#ALL],row(),false)</f>
        <v>#N/A</v>
      </c>
      <c r="AL676" s="372" t="str">
        <f>CS_PID!AL676/VLOOKUP($B676,표2[#ALL],2)/HLOOKUP($A676,표1[#ALL],row(),false)</f>
        <v>#N/A</v>
      </c>
      <c r="AM676" s="372" t="str">
        <f>CS_PID!AM676/VLOOKUP($B676,표2[#ALL],2)/HLOOKUP($A676,표1[#ALL],row(),false)</f>
        <v>#N/A</v>
      </c>
      <c r="AN676" s="372" t="str">
        <f>CS_PID!AN676/VLOOKUP($B676,표2[#ALL],2)/HLOOKUP($A676,표1[#ALL],row(),false)</f>
        <v>#N/A</v>
      </c>
      <c r="AO676" s="372" t="str">
        <f>CS_PID!AO676/VLOOKUP($B676,표2[#ALL],2)/HLOOKUP($A676,표1[#ALL],row(),false)</f>
        <v>#N/A</v>
      </c>
      <c r="AP676" s="372" t="str">
        <f>CS_PID!AP676/VLOOKUP($B676,표2[#ALL],2)/HLOOKUP($A676,표1[#ALL],row(),false)</f>
        <v>#N/A</v>
      </c>
      <c r="AQ676" s="372" t="str">
        <f>CS_PID!AQ676/VLOOKUP($B676,표2[#ALL],2)/HLOOKUP($A676,표1[#ALL],row(),false)</f>
        <v>#N/A</v>
      </c>
      <c r="AR676" s="372" t="str">
        <f>CS_PID!AR676/VLOOKUP($B676,표2[#ALL],2)/HLOOKUP($A676,표1[#ALL],row(),false)</f>
        <v>#N/A</v>
      </c>
      <c r="AS676" s="373" t="str">
        <f>CS_PID!AS676/VLOOKUP($B676,표2[#ALL],2)/HLOOKUP($A676,표1[#ALL],row(),false)</f>
        <v>#N/A</v>
      </c>
    </row>
    <row r="677">
      <c r="A677" s="374"/>
      <c r="B677" s="375"/>
      <c r="C677" s="376" t="str">
        <f>CS_PID!C677/VLOOKUP($B677,표2[#ALL],2)</f>
        <v>#N/A</v>
      </c>
      <c r="D677" s="376" t="str">
        <f>CS_PID!D677/VLOOKUP($B677,표2[#ALL],2)</f>
        <v>#N/A</v>
      </c>
      <c r="E677" s="376" t="str">
        <f>CS_PID!E677/VLOOKUP($B677,표2[#ALL],2)</f>
        <v>#N/A</v>
      </c>
      <c r="F677" s="376" t="str">
        <f>CS_PID!F677/VLOOKUP($B677,표2[#ALL],2)</f>
        <v>#N/A</v>
      </c>
      <c r="G677" s="376" t="str">
        <f>CS_PID!G677/VLOOKUP($B677,표2[#ALL],2)</f>
        <v>#N/A</v>
      </c>
      <c r="H677" s="376" t="str">
        <f>CS_PID!H677/VLOOKUP($B677,표2[#ALL],2)/HLOOKUP($A677,표1[#ALL],row(),false)</f>
        <v>#N/A</v>
      </c>
      <c r="I677" s="376" t="str">
        <f>CS_PID!I677/VLOOKUP($B677,표2[#ALL],2)/HLOOKUP($A677,표1[#ALL],row(),false)</f>
        <v>#N/A</v>
      </c>
      <c r="J677" s="376" t="str">
        <f>CS_PID!J677/VLOOKUP($B677,표2[#ALL],2)/HLOOKUP($A677,표1[#ALL],row(),false)</f>
        <v>#N/A</v>
      </c>
      <c r="K677" s="376" t="str">
        <f>CS_PID!K677/VLOOKUP($B677,표2[#ALL],2)/HLOOKUP($A677,표1[#ALL],row(),false)</f>
        <v>#N/A</v>
      </c>
      <c r="L677" s="376" t="str">
        <f>CS_PID!L677/VLOOKUP($B677,표2[#ALL],2)/HLOOKUP($A677,표1[#ALL],row(),false)</f>
        <v>#N/A</v>
      </c>
      <c r="M677" s="376" t="str">
        <f>CS_PID!M677/VLOOKUP($B677,표2[#ALL],2)/HLOOKUP($A677,표1[#ALL],row(),false)</f>
        <v>#N/A</v>
      </c>
      <c r="N677" s="376" t="str">
        <f>CS_PID!N677/VLOOKUP($B677,표2[#ALL],2)/HLOOKUP($A677,표1[#ALL],row(),false)</f>
        <v>#N/A</v>
      </c>
      <c r="O677" s="376" t="str">
        <f>CS_PID!O677/VLOOKUP($B677,표2[#ALL],2)/HLOOKUP($A677,표1[#ALL],row(),false)</f>
        <v>#N/A</v>
      </c>
      <c r="P677" s="376" t="str">
        <f>CS_PID!P677/VLOOKUP($B677,표2[#ALL],2)/HLOOKUP($A677,표1[#ALL],row(),false)</f>
        <v>#N/A</v>
      </c>
      <c r="Q677" s="376" t="str">
        <f>CS_PID!Q677/VLOOKUP($B677,표2[#ALL],2)/HLOOKUP($A677,표1[#ALL],row(),false)</f>
        <v>#N/A</v>
      </c>
      <c r="R677" s="376" t="str">
        <f>CS_PID!R677/VLOOKUP($B677,표2[#ALL],2)/HLOOKUP($A677,표1[#ALL],row(),false)</f>
        <v>#N/A</v>
      </c>
      <c r="S677" s="376" t="str">
        <f>CS_PID!S677/VLOOKUP($B677,표2[#ALL],2)/HLOOKUP($A677,표1[#ALL],row(),false)</f>
        <v>#N/A</v>
      </c>
      <c r="T677" s="376" t="str">
        <f>CS_PID!T677/VLOOKUP($B677,표2[#ALL],2)/HLOOKUP($A677,표1[#ALL],row(),false)</f>
        <v>#N/A</v>
      </c>
      <c r="U677" s="376" t="str">
        <f>CS_PID!U677/VLOOKUP($B677,표2[#ALL],2)/HLOOKUP($A677,표1[#ALL],row(),false)</f>
        <v>#N/A</v>
      </c>
      <c r="V677" s="376" t="str">
        <f>CS_PID!V677/VLOOKUP($B677,표2[#ALL],2)/HLOOKUP($A677,표1[#ALL],row(),false)</f>
        <v>#N/A</v>
      </c>
      <c r="W677" s="376" t="str">
        <f>CS_PID!W677/VLOOKUP($B677,표2[#ALL],2)/HLOOKUP($A677,표1[#ALL],row(),false)</f>
        <v>#N/A</v>
      </c>
      <c r="X677" s="376" t="str">
        <f>CS_PID!X677/VLOOKUP($B677,표2[#ALL],2)/HLOOKUP($A677,표1[#ALL],row(),false)</f>
        <v>#N/A</v>
      </c>
      <c r="Y677" s="376" t="str">
        <f>CS_PID!Y677/VLOOKUP($B677,표2[#ALL],2)/HLOOKUP($A677,표1[#ALL],row(),false)</f>
        <v>#N/A</v>
      </c>
      <c r="Z677" s="376" t="str">
        <f>CS_PID!Z677/VLOOKUP($B677,표2[#ALL],2)/HLOOKUP($A677,표1[#ALL],row(),false)</f>
        <v>#N/A</v>
      </c>
      <c r="AA677" s="376" t="str">
        <f>CS_PID!AA677/VLOOKUP($B677,표2[#ALL],2)/HLOOKUP($A677,표1[#ALL],row(),false)</f>
        <v>#N/A</v>
      </c>
      <c r="AB677" s="376" t="str">
        <f>CS_PID!AB677/VLOOKUP($B677,표2[#ALL],2)/HLOOKUP($A677,표1[#ALL],row(),false)</f>
        <v>#N/A</v>
      </c>
      <c r="AC677" s="376" t="str">
        <f>CS_PID!AC677/VLOOKUP($B677,표2[#ALL],2)/HLOOKUP($A677,표1[#ALL],row(),false)</f>
        <v>#N/A</v>
      </c>
      <c r="AD677" s="376" t="str">
        <f>CS_PID!AD677/VLOOKUP($B677,표2[#ALL],2)/HLOOKUP($A677,표1[#ALL],row(),false)</f>
        <v>#N/A</v>
      </c>
      <c r="AE677" s="376" t="str">
        <f>CS_PID!AE677/VLOOKUP($B677,표2[#ALL],2)/HLOOKUP($A677,표1[#ALL],row(),false)</f>
        <v>#N/A</v>
      </c>
      <c r="AF677" s="376" t="str">
        <f>CS_PID!AF677/VLOOKUP($B677,표2[#ALL],2)/HLOOKUP($A677,표1[#ALL],row(),false)</f>
        <v>#N/A</v>
      </c>
      <c r="AG677" s="376" t="str">
        <f>CS_PID!AG677/VLOOKUP($B677,표2[#ALL],2)/HLOOKUP($A677,표1[#ALL],row(),false)</f>
        <v>#N/A</v>
      </c>
      <c r="AH677" s="376" t="str">
        <f>CS_PID!AH677/VLOOKUP($B677,표2[#ALL],2)/HLOOKUP($A677,표1[#ALL],row(),false)</f>
        <v>#N/A</v>
      </c>
      <c r="AI677" s="376" t="str">
        <f>CS_PID!AI677/VLOOKUP($B677,표2[#ALL],2)/HLOOKUP($A677,표1[#ALL],row(),false)</f>
        <v>#N/A</v>
      </c>
      <c r="AJ677" s="376" t="str">
        <f>CS_PID!AJ677/VLOOKUP($B677,표2[#ALL],2)/HLOOKUP($A677,표1[#ALL],row(),false)</f>
        <v>#N/A</v>
      </c>
      <c r="AK677" s="376" t="str">
        <f>CS_PID!AK677/VLOOKUP($B677,표2[#ALL],2)/HLOOKUP($A677,표1[#ALL],row(),false)</f>
        <v>#N/A</v>
      </c>
      <c r="AL677" s="376" t="str">
        <f>CS_PID!AL677/VLOOKUP($B677,표2[#ALL],2)/HLOOKUP($A677,표1[#ALL],row(),false)</f>
        <v>#N/A</v>
      </c>
      <c r="AM677" s="376" t="str">
        <f>CS_PID!AM677/VLOOKUP($B677,표2[#ALL],2)/HLOOKUP($A677,표1[#ALL],row(),false)</f>
        <v>#N/A</v>
      </c>
      <c r="AN677" s="376" t="str">
        <f>CS_PID!AN677/VLOOKUP($B677,표2[#ALL],2)/HLOOKUP($A677,표1[#ALL],row(),false)</f>
        <v>#N/A</v>
      </c>
      <c r="AO677" s="376" t="str">
        <f>CS_PID!AO677/VLOOKUP($B677,표2[#ALL],2)/HLOOKUP($A677,표1[#ALL],row(),false)</f>
        <v>#N/A</v>
      </c>
      <c r="AP677" s="376" t="str">
        <f>CS_PID!AP677/VLOOKUP($B677,표2[#ALL],2)/HLOOKUP($A677,표1[#ALL],row(),false)</f>
        <v>#N/A</v>
      </c>
      <c r="AQ677" s="376" t="str">
        <f>CS_PID!AQ677/VLOOKUP($B677,표2[#ALL],2)/HLOOKUP($A677,표1[#ALL],row(),false)</f>
        <v>#N/A</v>
      </c>
      <c r="AR677" s="376" t="str">
        <f>CS_PID!AR677/VLOOKUP($B677,표2[#ALL],2)/HLOOKUP($A677,표1[#ALL],row(),false)</f>
        <v>#N/A</v>
      </c>
      <c r="AS677" s="377" t="str">
        <f>CS_PID!AS677/VLOOKUP($B677,표2[#ALL],2)/HLOOKUP($A677,표1[#ALL],row(),false)</f>
        <v>#N/A</v>
      </c>
    </row>
    <row r="678">
      <c r="A678" s="370"/>
      <c r="B678" s="371"/>
      <c r="C678" s="372" t="str">
        <f>CS_PID!C678/VLOOKUP($B678,표2[#ALL],2)</f>
        <v>#N/A</v>
      </c>
      <c r="D678" s="372" t="str">
        <f>CS_PID!D678/VLOOKUP($B678,표2[#ALL],2)</f>
        <v>#N/A</v>
      </c>
      <c r="E678" s="372" t="str">
        <f>CS_PID!E678/VLOOKUP($B678,표2[#ALL],2)</f>
        <v>#N/A</v>
      </c>
      <c r="F678" s="372" t="str">
        <f>CS_PID!F678/VLOOKUP($B678,표2[#ALL],2)</f>
        <v>#N/A</v>
      </c>
      <c r="G678" s="372" t="str">
        <f>CS_PID!G678/VLOOKUP($B678,표2[#ALL],2)</f>
        <v>#N/A</v>
      </c>
      <c r="H678" s="372" t="str">
        <f>CS_PID!H678/VLOOKUP($B678,표2[#ALL],2)/HLOOKUP($A678,표1[#ALL],row(),false)</f>
        <v>#N/A</v>
      </c>
      <c r="I678" s="372" t="str">
        <f>CS_PID!I678/VLOOKUP($B678,표2[#ALL],2)/HLOOKUP($A678,표1[#ALL],row(),false)</f>
        <v>#N/A</v>
      </c>
      <c r="J678" s="372" t="str">
        <f>CS_PID!J678/VLOOKUP($B678,표2[#ALL],2)/HLOOKUP($A678,표1[#ALL],row(),false)</f>
        <v>#N/A</v>
      </c>
      <c r="K678" s="372" t="str">
        <f>CS_PID!K678/VLOOKUP($B678,표2[#ALL],2)/HLOOKUP($A678,표1[#ALL],row(),false)</f>
        <v>#N/A</v>
      </c>
      <c r="L678" s="372" t="str">
        <f>CS_PID!L678/VLOOKUP($B678,표2[#ALL],2)/HLOOKUP($A678,표1[#ALL],row(),false)</f>
        <v>#N/A</v>
      </c>
      <c r="M678" s="372" t="str">
        <f>CS_PID!M678/VLOOKUP($B678,표2[#ALL],2)/HLOOKUP($A678,표1[#ALL],row(),false)</f>
        <v>#N/A</v>
      </c>
      <c r="N678" s="372" t="str">
        <f>CS_PID!N678/VLOOKUP($B678,표2[#ALL],2)/HLOOKUP($A678,표1[#ALL],row(),false)</f>
        <v>#N/A</v>
      </c>
      <c r="O678" s="372" t="str">
        <f>CS_PID!O678/VLOOKUP($B678,표2[#ALL],2)/HLOOKUP($A678,표1[#ALL],row(),false)</f>
        <v>#N/A</v>
      </c>
      <c r="P678" s="372" t="str">
        <f>CS_PID!P678/VLOOKUP($B678,표2[#ALL],2)/HLOOKUP($A678,표1[#ALL],row(),false)</f>
        <v>#N/A</v>
      </c>
      <c r="Q678" s="372" t="str">
        <f>CS_PID!Q678/VLOOKUP($B678,표2[#ALL],2)/HLOOKUP($A678,표1[#ALL],row(),false)</f>
        <v>#N/A</v>
      </c>
      <c r="R678" s="372" t="str">
        <f>CS_PID!R678/VLOOKUP($B678,표2[#ALL],2)/HLOOKUP($A678,표1[#ALL],row(),false)</f>
        <v>#N/A</v>
      </c>
      <c r="S678" s="372" t="str">
        <f>CS_PID!S678/VLOOKUP($B678,표2[#ALL],2)/HLOOKUP($A678,표1[#ALL],row(),false)</f>
        <v>#N/A</v>
      </c>
      <c r="T678" s="372" t="str">
        <f>CS_PID!T678/VLOOKUP($B678,표2[#ALL],2)/HLOOKUP($A678,표1[#ALL],row(),false)</f>
        <v>#N/A</v>
      </c>
      <c r="U678" s="372" t="str">
        <f>CS_PID!U678/VLOOKUP($B678,표2[#ALL],2)/HLOOKUP($A678,표1[#ALL],row(),false)</f>
        <v>#N/A</v>
      </c>
      <c r="V678" s="372" t="str">
        <f>CS_PID!V678/VLOOKUP($B678,표2[#ALL],2)/HLOOKUP($A678,표1[#ALL],row(),false)</f>
        <v>#N/A</v>
      </c>
      <c r="W678" s="372" t="str">
        <f>CS_PID!W678/VLOOKUP($B678,표2[#ALL],2)/HLOOKUP($A678,표1[#ALL],row(),false)</f>
        <v>#N/A</v>
      </c>
      <c r="X678" s="372" t="str">
        <f>CS_PID!X678/VLOOKUP($B678,표2[#ALL],2)/HLOOKUP($A678,표1[#ALL],row(),false)</f>
        <v>#N/A</v>
      </c>
      <c r="Y678" s="372" t="str">
        <f>CS_PID!Y678/VLOOKUP($B678,표2[#ALL],2)/HLOOKUP($A678,표1[#ALL],row(),false)</f>
        <v>#N/A</v>
      </c>
      <c r="Z678" s="372" t="str">
        <f>CS_PID!Z678/VLOOKUP($B678,표2[#ALL],2)/HLOOKUP($A678,표1[#ALL],row(),false)</f>
        <v>#N/A</v>
      </c>
      <c r="AA678" s="372" t="str">
        <f>CS_PID!AA678/VLOOKUP($B678,표2[#ALL],2)/HLOOKUP($A678,표1[#ALL],row(),false)</f>
        <v>#N/A</v>
      </c>
      <c r="AB678" s="372" t="str">
        <f>CS_PID!AB678/VLOOKUP($B678,표2[#ALL],2)/HLOOKUP($A678,표1[#ALL],row(),false)</f>
        <v>#N/A</v>
      </c>
      <c r="AC678" s="372" t="str">
        <f>CS_PID!AC678/VLOOKUP($B678,표2[#ALL],2)/HLOOKUP($A678,표1[#ALL],row(),false)</f>
        <v>#N/A</v>
      </c>
      <c r="AD678" s="372" t="str">
        <f>CS_PID!AD678/VLOOKUP($B678,표2[#ALL],2)/HLOOKUP($A678,표1[#ALL],row(),false)</f>
        <v>#N/A</v>
      </c>
      <c r="AE678" s="372" t="str">
        <f>CS_PID!AE678/VLOOKUP($B678,표2[#ALL],2)/HLOOKUP($A678,표1[#ALL],row(),false)</f>
        <v>#N/A</v>
      </c>
      <c r="AF678" s="372" t="str">
        <f>CS_PID!AF678/VLOOKUP($B678,표2[#ALL],2)/HLOOKUP($A678,표1[#ALL],row(),false)</f>
        <v>#N/A</v>
      </c>
      <c r="AG678" s="372" t="str">
        <f>CS_PID!AG678/VLOOKUP($B678,표2[#ALL],2)/HLOOKUP($A678,표1[#ALL],row(),false)</f>
        <v>#N/A</v>
      </c>
      <c r="AH678" s="372" t="str">
        <f>CS_PID!AH678/VLOOKUP($B678,표2[#ALL],2)/HLOOKUP($A678,표1[#ALL],row(),false)</f>
        <v>#N/A</v>
      </c>
      <c r="AI678" s="372" t="str">
        <f>CS_PID!AI678/VLOOKUP($B678,표2[#ALL],2)/HLOOKUP($A678,표1[#ALL],row(),false)</f>
        <v>#N/A</v>
      </c>
      <c r="AJ678" s="372" t="str">
        <f>CS_PID!AJ678/VLOOKUP($B678,표2[#ALL],2)/HLOOKUP($A678,표1[#ALL],row(),false)</f>
        <v>#N/A</v>
      </c>
      <c r="AK678" s="372" t="str">
        <f>CS_PID!AK678/VLOOKUP($B678,표2[#ALL],2)/HLOOKUP($A678,표1[#ALL],row(),false)</f>
        <v>#N/A</v>
      </c>
      <c r="AL678" s="372" t="str">
        <f>CS_PID!AL678/VLOOKUP($B678,표2[#ALL],2)/HLOOKUP($A678,표1[#ALL],row(),false)</f>
        <v>#N/A</v>
      </c>
      <c r="AM678" s="372" t="str">
        <f>CS_PID!AM678/VLOOKUP($B678,표2[#ALL],2)/HLOOKUP($A678,표1[#ALL],row(),false)</f>
        <v>#N/A</v>
      </c>
      <c r="AN678" s="372" t="str">
        <f>CS_PID!AN678/VLOOKUP($B678,표2[#ALL],2)/HLOOKUP($A678,표1[#ALL],row(),false)</f>
        <v>#N/A</v>
      </c>
      <c r="AO678" s="372" t="str">
        <f>CS_PID!AO678/VLOOKUP($B678,표2[#ALL],2)/HLOOKUP($A678,표1[#ALL],row(),false)</f>
        <v>#N/A</v>
      </c>
      <c r="AP678" s="372" t="str">
        <f>CS_PID!AP678/VLOOKUP($B678,표2[#ALL],2)/HLOOKUP($A678,표1[#ALL],row(),false)</f>
        <v>#N/A</v>
      </c>
      <c r="AQ678" s="372" t="str">
        <f>CS_PID!AQ678/VLOOKUP($B678,표2[#ALL],2)/HLOOKUP($A678,표1[#ALL],row(),false)</f>
        <v>#N/A</v>
      </c>
      <c r="AR678" s="372" t="str">
        <f>CS_PID!AR678/VLOOKUP($B678,표2[#ALL],2)/HLOOKUP($A678,표1[#ALL],row(),false)</f>
        <v>#N/A</v>
      </c>
      <c r="AS678" s="373" t="str">
        <f>CS_PID!AS678/VLOOKUP($B678,표2[#ALL],2)/HLOOKUP($A678,표1[#ALL],row(),false)</f>
        <v>#N/A</v>
      </c>
    </row>
    <row r="679">
      <c r="A679" s="374"/>
      <c r="B679" s="375"/>
      <c r="C679" s="376" t="str">
        <f>CS_PID!C679/VLOOKUP($B679,표2[#ALL],2)</f>
        <v>#N/A</v>
      </c>
      <c r="D679" s="376" t="str">
        <f>CS_PID!D679/VLOOKUP($B679,표2[#ALL],2)</f>
        <v>#N/A</v>
      </c>
      <c r="E679" s="376" t="str">
        <f>CS_PID!E679/VLOOKUP($B679,표2[#ALL],2)</f>
        <v>#N/A</v>
      </c>
      <c r="F679" s="376" t="str">
        <f>CS_PID!F679/VLOOKUP($B679,표2[#ALL],2)</f>
        <v>#N/A</v>
      </c>
      <c r="G679" s="376" t="str">
        <f>CS_PID!G679/VLOOKUP($B679,표2[#ALL],2)</f>
        <v>#N/A</v>
      </c>
      <c r="H679" s="376" t="str">
        <f>CS_PID!H679/VLOOKUP($B679,표2[#ALL],2)/HLOOKUP($A679,표1[#ALL],row(),false)</f>
        <v>#N/A</v>
      </c>
      <c r="I679" s="376" t="str">
        <f>CS_PID!I679/VLOOKUP($B679,표2[#ALL],2)/HLOOKUP($A679,표1[#ALL],row(),false)</f>
        <v>#N/A</v>
      </c>
      <c r="J679" s="376" t="str">
        <f>CS_PID!J679/VLOOKUP($B679,표2[#ALL],2)/HLOOKUP($A679,표1[#ALL],row(),false)</f>
        <v>#N/A</v>
      </c>
      <c r="K679" s="376" t="str">
        <f>CS_PID!K679/VLOOKUP($B679,표2[#ALL],2)/HLOOKUP($A679,표1[#ALL],row(),false)</f>
        <v>#N/A</v>
      </c>
      <c r="L679" s="376" t="str">
        <f>CS_PID!L679/VLOOKUP($B679,표2[#ALL],2)/HLOOKUP($A679,표1[#ALL],row(),false)</f>
        <v>#N/A</v>
      </c>
      <c r="M679" s="376" t="str">
        <f>CS_PID!M679/VLOOKUP($B679,표2[#ALL],2)/HLOOKUP($A679,표1[#ALL],row(),false)</f>
        <v>#N/A</v>
      </c>
      <c r="N679" s="376" t="str">
        <f>CS_PID!N679/VLOOKUP($B679,표2[#ALL],2)/HLOOKUP($A679,표1[#ALL],row(),false)</f>
        <v>#N/A</v>
      </c>
      <c r="O679" s="376" t="str">
        <f>CS_PID!O679/VLOOKUP($B679,표2[#ALL],2)/HLOOKUP($A679,표1[#ALL],row(),false)</f>
        <v>#N/A</v>
      </c>
      <c r="P679" s="376" t="str">
        <f>CS_PID!P679/VLOOKUP($B679,표2[#ALL],2)/HLOOKUP($A679,표1[#ALL],row(),false)</f>
        <v>#N/A</v>
      </c>
      <c r="Q679" s="376" t="str">
        <f>CS_PID!Q679/VLOOKUP($B679,표2[#ALL],2)/HLOOKUP($A679,표1[#ALL],row(),false)</f>
        <v>#N/A</v>
      </c>
      <c r="R679" s="376" t="str">
        <f>CS_PID!R679/VLOOKUP($B679,표2[#ALL],2)/HLOOKUP($A679,표1[#ALL],row(),false)</f>
        <v>#N/A</v>
      </c>
      <c r="S679" s="376" t="str">
        <f>CS_PID!S679/VLOOKUP($B679,표2[#ALL],2)/HLOOKUP($A679,표1[#ALL],row(),false)</f>
        <v>#N/A</v>
      </c>
      <c r="T679" s="376" t="str">
        <f>CS_PID!T679/VLOOKUP($B679,표2[#ALL],2)/HLOOKUP($A679,표1[#ALL],row(),false)</f>
        <v>#N/A</v>
      </c>
      <c r="U679" s="376" t="str">
        <f>CS_PID!U679/VLOOKUP($B679,표2[#ALL],2)/HLOOKUP($A679,표1[#ALL],row(),false)</f>
        <v>#N/A</v>
      </c>
      <c r="V679" s="376" t="str">
        <f>CS_PID!V679/VLOOKUP($B679,표2[#ALL],2)/HLOOKUP($A679,표1[#ALL],row(),false)</f>
        <v>#N/A</v>
      </c>
      <c r="W679" s="376" t="str">
        <f>CS_PID!W679/VLOOKUP($B679,표2[#ALL],2)/HLOOKUP($A679,표1[#ALL],row(),false)</f>
        <v>#N/A</v>
      </c>
      <c r="X679" s="376" t="str">
        <f>CS_PID!X679/VLOOKUP($B679,표2[#ALL],2)/HLOOKUP($A679,표1[#ALL],row(),false)</f>
        <v>#N/A</v>
      </c>
      <c r="Y679" s="376" t="str">
        <f>CS_PID!Y679/VLOOKUP($B679,표2[#ALL],2)/HLOOKUP($A679,표1[#ALL],row(),false)</f>
        <v>#N/A</v>
      </c>
      <c r="Z679" s="376" t="str">
        <f>CS_PID!Z679/VLOOKUP($B679,표2[#ALL],2)/HLOOKUP($A679,표1[#ALL],row(),false)</f>
        <v>#N/A</v>
      </c>
      <c r="AA679" s="376" t="str">
        <f>CS_PID!AA679/VLOOKUP($B679,표2[#ALL],2)/HLOOKUP($A679,표1[#ALL],row(),false)</f>
        <v>#N/A</v>
      </c>
      <c r="AB679" s="376" t="str">
        <f>CS_PID!AB679/VLOOKUP($B679,표2[#ALL],2)/HLOOKUP($A679,표1[#ALL],row(),false)</f>
        <v>#N/A</v>
      </c>
      <c r="AC679" s="376" t="str">
        <f>CS_PID!AC679/VLOOKUP($B679,표2[#ALL],2)/HLOOKUP($A679,표1[#ALL],row(),false)</f>
        <v>#N/A</v>
      </c>
      <c r="AD679" s="376" t="str">
        <f>CS_PID!AD679/VLOOKUP($B679,표2[#ALL],2)/HLOOKUP($A679,표1[#ALL],row(),false)</f>
        <v>#N/A</v>
      </c>
      <c r="AE679" s="376" t="str">
        <f>CS_PID!AE679/VLOOKUP($B679,표2[#ALL],2)/HLOOKUP($A679,표1[#ALL],row(),false)</f>
        <v>#N/A</v>
      </c>
      <c r="AF679" s="376" t="str">
        <f>CS_PID!AF679/VLOOKUP($B679,표2[#ALL],2)/HLOOKUP($A679,표1[#ALL],row(),false)</f>
        <v>#N/A</v>
      </c>
      <c r="AG679" s="376" t="str">
        <f>CS_PID!AG679/VLOOKUP($B679,표2[#ALL],2)/HLOOKUP($A679,표1[#ALL],row(),false)</f>
        <v>#N/A</v>
      </c>
      <c r="AH679" s="376" t="str">
        <f>CS_PID!AH679/VLOOKUP($B679,표2[#ALL],2)/HLOOKUP($A679,표1[#ALL],row(),false)</f>
        <v>#N/A</v>
      </c>
      <c r="AI679" s="376" t="str">
        <f>CS_PID!AI679/VLOOKUP($B679,표2[#ALL],2)/HLOOKUP($A679,표1[#ALL],row(),false)</f>
        <v>#N/A</v>
      </c>
      <c r="AJ679" s="376" t="str">
        <f>CS_PID!AJ679/VLOOKUP($B679,표2[#ALL],2)/HLOOKUP($A679,표1[#ALL],row(),false)</f>
        <v>#N/A</v>
      </c>
      <c r="AK679" s="376" t="str">
        <f>CS_PID!AK679/VLOOKUP($B679,표2[#ALL],2)/HLOOKUP($A679,표1[#ALL],row(),false)</f>
        <v>#N/A</v>
      </c>
      <c r="AL679" s="376" t="str">
        <f>CS_PID!AL679/VLOOKUP($B679,표2[#ALL],2)/HLOOKUP($A679,표1[#ALL],row(),false)</f>
        <v>#N/A</v>
      </c>
      <c r="AM679" s="376" t="str">
        <f>CS_PID!AM679/VLOOKUP($B679,표2[#ALL],2)/HLOOKUP($A679,표1[#ALL],row(),false)</f>
        <v>#N/A</v>
      </c>
      <c r="AN679" s="376" t="str">
        <f>CS_PID!AN679/VLOOKUP($B679,표2[#ALL],2)/HLOOKUP($A679,표1[#ALL],row(),false)</f>
        <v>#N/A</v>
      </c>
      <c r="AO679" s="376" t="str">
        <f>CS_PID!AO679/VLOOKUP($B679,표2[#ALL],2)/HLOOKUP($A679,표1[#ALL],row(),false)</f>
        <v>#N/A</v>
      </c>
      <c r="AP679" s="376" t="str">
        <f>CS_PID!AP679/VLOOKUP($B679,표2[#ALL],2)/HLOOKUP($A679,표1[#ALL],row(),false)</f>
        <v>#N/A</v>
      </c>
      <c r="AQ679" s="376" t="str">
        <f>CS_PID!AQ679/VLOOKUP($B679,표2[#ALL],2)/HLOOKUP($A679,표1[#ALL],row(),false)</f>
        <v>#N/A</v>
      </c>
      <c r="AR679" s="376" t="str">
        <f>CS_PID!AR679/VLOOKUP($B679,표2[#ALL],2)/HLOOKUP($A679,표1[#ALL],row(),false)</f>
        <v>#N/A</v>
      </c>
      <c r="AS679" s="377" t="str">
        <f>CS_PID!AS679/VLOOKUP($B679,표2[#ALL],2)/HLOOKUP($A679,표1[#ALL],row(),false)</f>
        <v>#N/A</v>
      </c>
    </row>
    <row r="680">
      <c r="A680" s="370"/>
      <c r="B680" s="371"/>
      <c r="C680" s="372" t="str">
        <f>CS_PID!C680/VLOOKUP($B680,표2[#ALL],2)</f>
        <v>#N/A</v>
      </c>
      <c r="D680" s="372" t="str">
        <f>CS_PID!D680/VLOOKUP($B680,표2[#ALL],2)</f>
        <v>#N/A</v>
      </c>
      <c r="E680" s="372" t="str">
        <f>CS_PID!E680/VLOOKUP($B680,표2[#ALL],2)</f>
        <v>#N/A</v>
      </c>
      <c r="F680" s="372" t="str">
        <f>CS_PID!F680/VLOOKUP($B680,표2[#ALL],2)</f>
        <v>#N/A</v>
      </c>
      <c r="G680" s="372" t="str">
        <f>CS_PID!G680/VLOOKUP($B680,표2[#ALL],2)</f>
        <v>#N/A</v>
      </c>
      <c r="H680" s="372" t="str">
        <f>CS_PID!H680/VLOOKUP($B680,표2[#ALL],2)/HLOOKUP($A680,표1[#ALL],row(),false)</f>
        <v>#N/A</v>
      </c>
      <c r="I680" s="372" t="str">
        <f>CS_PID!I680/VLOOKUP($B680,표2[#ALL],2)/HLOOKUP($A680,표1[#ALL],row(),false)</f>
        <v>#N/A</v>
      </c>
      <c r="J680" s="372" t="str">
        <f>CS_PID!J680/VLOOKUP($B680,표2[#ALL],2)/HLOOKUP($A680,표1[#ALL],row(),false)</f>
        <v>#N/A</v>
      </c>
      <c r="K680" s="372" t="str">
        <f>CS_PID!K680/VLOOKUP($B680,표2[#ALL],2)/HLOOKUP($A680,표1[#ALL],row(),false)</f>
        <v>#N/A</v>
      </c>
      <c r="L680" s="372" t="str">
        <f>CS_PID!L680/VLOOKUP($B680,표2[#ALL],2)/HLOOKUP($A680,표1[#ALL],row(),false)</f>
        <v>#N/A</v>
      </c>
      <c r="M680" s="372" t="str">
        <f>CS_PID!M680/VLOOKUP($B680,표2[#ALL],2)/HLOOKUP($A680,표1[#ALL],row(),false)</f>
        <v>#N/A</v>
      </c>
      <c r="N680" s="372" t="str">
        <f>CS_PID!N680/VLOOKUP($B680,표2[#ALL],2)/HLOOKUP($A680,표1[#ALL],row(),false)</f>
        <v>#N/A</v>
      </c>
      <c r="O680" s="372" t="str">
        <f>CS_PID!O680/VLOOKUP($B680,표2[#ALL],2)/HLOOKUP($A680,표1[#ALL],row(),false)</f>
        <v>#N/A</v>
      </c>
      <c r="P680" s="372" t="str">
        <f>CS_PID!P680/VLOOKUP($B680,표2[#ALL],2)/HLOOKUP($A680,표1[#ALL],row(),false)</f>
        <v>#N/A</v>
      </c>
      <c r="Q680" s="372" t="str">
        <f>CS_PID!Q680/VLOOKUP($B680,표2[#ALL],2)/HLOOKUP($A680,표1[#ALL],row(),false)</f>
        <v>#N/A</v>
      </c>
      <c r="R680" s="372" t="str">
        <f>CS_PID!R680/VLOOKUP($B680,표2[#ALL],2)/HLOOKUP($A680,표1[#ALL],row(),false)</f>
        <v>#N/A</v>
      </c>
      <c r="S680" s="372" t="str">
        <f>CS_PID!S680/VLOOKUP($B680,표2[#ALL],2)/HLOOKUP($A680,표1[#ALL],row(),false)</f>
        <v>#N/A</v>
      </c>
      <c r="T680" s="372" t="str">
        <f>CS_PID!T680/VLOOKUP($B680,표2[#ALL],2)/HLOOKUP($A680,표1[#ALL],row(),false)</f>
        <v>#N/A</v>
      </c>
      <c r="U680" s="372" t="str">
        <f>CS_PID!U680/VLOOKUP($B680,표2[#ALL],2)/HLOOKUP($A680,표1[#ALL],row(),false)</f>
        <v>#N/A</v>
      </c>
      <c r="V680" s="372" t="str">
        <f>CS_PID!V680/VLOOKUP($B680,표2[#ALL],2)/HLOOKUP($A680,표1[#ALL],row(),false)</f>
        <v>#N/A</v>
      </c>
      <c r="W680" s="372" t="str">
        <f>CS_PID!W680/VLOOKUP($B680,표2[#ALL],2)/HLOOKUP($A680,표1[#ALL],row(),false)</f>
        <v>#N/A</v>
      </c>
      <c r="X680" s="372" t="str">
        <f>CS_PID!X680/VLOOKUP($B680,표2[#ALL],2)/HLOOKUP($A680,표1[#ALL],row(),false)</f>
        <v>#N/A</v>
      </c>
      <c r="Y680" s="372" t="str">
        <f>CS_PID!Y680/VLOOKUP($B680,표2[#ALL],2)/HLOOKUP($A680,표1[#ALL],row(),false)</f>
        <v>#N/A</v>
      </c>
      <c r="Z680" s="372" t="str">
        <f>CS_PID!Z680/VLOOKUP($B680,표2[#ALL],2)/HLOOKUP($A680,표1[#ALL],row(),false)</f>
        <v>#N/A</v>
      </c>
      <c r="AA680" s="372" t="str">
        <f>CS_PID!AA680/VLOOKUP($B680,표2[#ALL],2)/HLOOKUP($A680,표1[#ALL],row(),false)</f>
        <v>#N/A</v>
      </c>
      <c r="AB680" s="372" t="str">
        <f>CS_PID!AB680/VLOOKUP($B680,표2[#ALL],2)/HLOOKUP($A680,표1[#ALL],row(),false)</f>
        <v>#N/A</v>
      </c>
      <c r="AC680" s="372" t="str">
        <f>CS_PID!AC680/VLOOKUP($B680,표2[#ALL],2)/HLOOKUP($A680,표1[#ALL],row(),false)</f>
        <v>#N/A</v>
      </c>
      <c r="AD680" s="372" t="str">
        <f>CS_PID!AD680/VLOOKUP($B680,표2[#ALL],2)/HLOOKUP($A680,표1[#ALL],row(),false)</f>
        <v>#N/A</v>
      </c>
      <c r="AE680" s="372" t="str">
        <f>CS_PID!AE680/VLOOKUP($B680,표2[#ALL],2)/HLOOKUP($A680,표1[#ALL],row(),false)</f>
        <v>#N/A</v>
      </c>
      <c r="AF680" s="372" t="str">
        <f>CS_PID!AF680/VLOOKUP($B680,표2[#ALL],2)/HLOOKUP($A680,표1[#ALL],row(),false)</f>
        <v>#N/A</v>
      </c>
      <c r="AG680" s="372" t="str">
        <f>CS_PID!AG680/VLOOKUP($B680,표2[#ALL],2)/HLOOKUP($A680,표1[#ALL],row(),false)</f>
        <v>#N/A</v>
      </c>
      <c r="AH680" s="372" t="str">
        <f>CS_PID!AH680/VLOOKUP($B680,표2[#ALL],2)/HLOOKUP($A680,표1[#ALL],row(),false)</f>
        <v>#N/A</v>
      </c>
      <c r="AI680" s="372" t="str">
        <f>CS_PID!AI680/VLOOKUP($B680,표2[#ALL],2)/HLOOKUP($A680,표1[#ALL],row(),false)</f>
        <v>#N/A</v>
      </c>
      <c r="AJ680" s="372" t="str">
        <f>CS_PID!AJ680/VLOOKUP($B680,표2[#ALL],2)/HLOOKUP($A680,표1[#ALL],row(),false)</f>
        <v>#N/A</v>
      </c>
      <c r="AK680" s="372" t="str">
        <f>CS_PID!AK680/VLOOKUP($B680,표2[#ALL],2)/HLOOKUP($A680,표1[#ALL],row(),false)</f>
        <v>#N/A</v>
      </c>
      <c r="AL680" s="372" t="str">
        <f>CS_PID!AL680/VLOOKUP($B680,표2[#ALL],2)/HLOOKUP($A680,표1[#ALL],row(),false)</f>
        <v>#N/A</v>
      </c>
      <c r="AM680" s="372" t="str">
        <f>CS_PID!AM680/VLOOKUP($B680,표2[#ALL],2)/HLOOKUP($A680,표1[#ALL],row(),false)</f>
        <v>#N/A</v>
      </c>
      <c r="AN680" s="372" t="str">
        <f>CS_PID!AN680/VLOOKUP($B680,표2[#ALL],2)/HLOOKUP($A680,표1[#ALL],row(),false)</f>
        <v>#N/A</v>
      </c>
      <c r="AO680" s="372" t="str">
        <f>CS_PID!AO680/VLOOKUP($B680,표2[#ALL],2)/HLOOKUP($A680,표1[#ALL],row(),false)</f>
        <v>#N/A</v>
      </c>
      <c r="AP680" s="372" t="str">
        <f>CS_PID!AP680/VLOOKUP($B680,표2[#ALL],2)/HLOOKUP($A680,표1[#ALL],row(),false)</f>
        <v>#N/A</v>
      </c>
      <c r="AQ680" s="372" t="str">
        <f>CS_PID!AQ680/VLOOKUP($B680,표2[#ALL],2)/HLOOKUP($A680,표1[#ALL],row(),false)</f>
        <v>#N/A</v>
      </c>
      <c r="AR680" s="372" t="str">
        <f>CS_PID!AR680/VLOOKUP($B680,표2[#ALL],2)/HLOOKUP($A680,표1[#ALL],row(),false)</f>
        <v>#N/A</v>
      </c>
      <c r="AS680" s="373" t="str">
        <f>CS_PID!AS680/VLOOKUP($B680,표2[#ALL],2)/HLOOKUP($A680,표1[#ALL],row(),false)</f>
        <v>#N/A</v>
      </c>
    </row>
    <row r="681">
      <c r="A681" s="374"/>
      <c r="B681" s="375"/>
      <c r="C681" s="376" t="str">
        <f>CS_PID!C681/VLOOKUP($B681,표2[#ALL],2)</f>
        <v>#N/A</v>
      </c>
      <c r="D681" s="376" t="str">
        <f>CS_PID!D681/VLOOKUP($B681,표2[#ALL],2)</f>
        <v>#N/A</v>
      </c>
      <c r="E681" s="376" t="str">
        <f>CS_PID!E681/VLOOKUP($B681,표2[#ALL],2)</f>
        <v>#N/A</v>
      </c>
      <c r="F681" s="376" t="str">
        <f>CS_PID!F681/VLOOKUP($B681,표2[#ALL],2)</f>
        <v>#N/A</v>
      </c>
      <c r="G681" s="376" t="str">
        <f>CS_PID!G681/VLOOKUP($B681,표2[#ALL],2)</f>
        <v>#N/A</v>
      </c>
      <c r="H681" s="376" t="str">
        <f>CS_PID!H681/VLOOKUP($B681,표2[#ALL],2)/HLOOKUP($A681,표1[#ALL],row(),false)</f>
        <v>#N/A</v>
      </c>
      <c r="I681" s="376" t="str">
        <f>CS_PID!I681/VLOOKUP($B681,표2[#ALL],2)/HLOOKUP($A681,표1[#ALL],row(),false)</f>
        <v>#N/A</v>
      </c>
      <c r="J681" s="376" t="str">
        <f>CS_PID!J681/VLOOKUP($B681,표2[#ALL],2)/HLOOKUP($A681,표1[#ALL],row(),false)</f>
        <v>#N/A</v>
      </c>
      <c r="K681" s="376" t="str">
        <f>CS_PID!K681/VLOOKUP($B681,표2[#ALL],2)/HLOOKUP($A681,표1[#ALL],row(),false)</f>
        <v>#N/A</v>
      </c>
      <c r="L681" s="376" t="str">
        <f>CS_PID!L681/VLOOKUP($B681,표2[#ALL],2)/HLOOKUP($A681,표1[#ALL],row(),false)</f>
        <v>#N/A</v>
      </c>
      <c r="M681" s="376" t="str">
        <f>CS_PID!M681/VLOOKUP($B681,표2[#ALL],2)/HLOOKUP($A681,표1[#ALL],row(),false)</f>
        <v>#N/A</v>
      </c>
      <c r="N681" s="376" t="str">
        <f>CS_PID!N681/VLOOKUP($B681,표2[#ALL],2)/HLOOKUP($A681,표1[#ALL],row(),false)</f>
        <v>#N/A</v>
      </c>
      <c r="O681" s="376" t="str">
        <f>CS_PID!O681/VLOOKUP($B681,표2[#ALL],2)/HLOOKUP($A681,표1[#ALL],row(),false)</f>
        <v>#N/A</v>
      </c>
      <c r="P681" s="376" t="str">
        <f>CS_PID!P681/VLOOKUP($B681,표2[#ALL],2)/HLOOKUP($A681,표1[#ALL],row(),false)</f>
        <v>#N/A</v>
      </c>
      <c r="Q681" s="376" t="str">
        <f>CS_PID!Q681/VLOOKUP($B681,표2[#ALL],2)/HLOOKUP($A681,표1[#ALL],row(),false)</f>
        <v>#N/A</v>
      </c>
      <c r="R681" s="376" t="str">
        <f>CS_PID!R681/VLOOKUP($B681,표2[#ALL],2)/HLOOKUP($A681,표1[#ALL],row(),false)</f>
        <v>#N/A</v>
      </c>
      <c r="S681" s="376" t="str">
        <f>CS_PID!S681/VLOOKUP($B681,표2[#ALL],2)/HLOOKUP($A681,표1[#ALL],row(),false)</f>
        <v>#N/A</v>
      </c>
      <c r="T681" s="376" t="str">
        <f>CS_PID!T681/VLOOKUP($B681,표2[#ALL],2)/HLOOKUP($A681,표1[#ALL],row(),false)</f>
        <v>#N/A</v>
      </c>
      <c r="U681" s="376" t="str">
        <f>CS_PID!U681/VLOOKUP($B681,표2[#ALL],2)/HLOOKUP($A681,표1[#ALL],row(),false)</f>
        <v>#N/A</v>
      </c>
      <c r="V681" s="376" t="str">
        <f>CS_PID!V681/VLOOKUP($B681,표2[#ALL],2)/HLOOKUP($A681,표1[#ALL],row(),false)</f>
        <v>#N/A</v>
      </c>
      <c r="W681" s="376" t="str">
        <f>CS_PID!W681/VLOOKUP($B681,표2[#ALL],2)/HLOOKUP($A681,표1[#ALL],row(),false)</f>
        <v>#N/A</v>
      </c>
      <c r="X681" s="376" t="str">
        <f>CS_PID!X681/VLOOKUP($B681,표2[#ALL],2)/HLOOKUP($A681,표1[#ALL],row(),false)</f>
        <v>#N/A</v>
      </c>
      <c r="Y681" s="376" t="str">
        <f>CS_PID!Y681/VLOOKUP($B681,표2[#ALL],2)/HLOOKUP($A681,표1[#ALL],row(),false)</f>
        <v>#N/A</v>
      </c>
      <c r="Z681" s="376" t="str">
        <f>CS_PID!Z681/VLOOKUP($B681,표2[#ALL],2)/HLOOKUP($A681,표1[#ALL],row(),false)</f>
        <v>#N/A</v>
      </c>
      <c r="AA681" s="376" t="str">
        <f>CS_PID!AA681/VLOOKUP($B681,표2[#ALL],2)/HLOOKUP($A681,표1[#ALL],row(),false)</f>
        <v>#N/A</v>
      </c>
      <c r="AB681" s="376" t="str">
        <f>CS_PID!AB681/VLOOKUP($B681,표2[#ALL],2)/HLOOKUP($A681,표1[#ALL],row(),false)</f>
        <v>#N/A</v>
      </c>
      <c r="AC681" s="376" t="str">
        <f>CS_PID!AC681/VLOOKUP($B681,표2[#ALL],2)/HLOOKUP($A681,표1[#ALL],row(),false)</f>
        <v>#N/A</v>
      </c>
      <c r="AD681" s="376" t="str">
        <f>CS_PID!AD681/VLOOKUP($B681,표2[#ALL],2)/HLOOKUP($A681,표1[#ALL],row(),false)</f>
        <v>#N/A</v>
      </c>
      <c r="AE681" s="376" t="str">
        <f>CS_PID!AE681/VLOOKUP($B681,표2[#ALL],2)/HLOOKUP($A681,표1[#ALL],row(),false)</f>
        <v>#N/A</v>
      </c>
      <c r="AF681" s="376" t="str">
        <f>CS_PID!AF681/VLOOKUP($B681,표2[#ALL],2)/HLOOKUP($A681,표1[#ALL],row(),false)</f>
        <v>#N/A</v>
      </c>
      <c r="AG681" s="376" t="str">
        <f>CS_PID!AG681/VLOOKUP($B681,표2[#ALL],2)/HLOOKUP($A681,표1[#ALL],row(),false)</f>
        <v>#N/A</v>
      </c>
      <c r="AH681" s="376" t="str">
        <f>CS_PID!AH681/VLOOKUP($B681,표2[#ALL],2)/HLOOKUP($A681,표1[#ALL],row(),false)</f>
        <v>#N/A</v>
      </c>
      <c r="AI681" s="376" t="str">
        <f>CS_PID!AI681/VLOOKUP($B681,표2[#ALL],2)/HLOOKUP($A681,표1[#ALL],row(),false)</f>
        <v>#N/A</v>
      </c>
      <c r="AJ681" s="376" t="str">
        <f>CS_PID!AJ681/VLOOKUP($B681,표2[#ALL],2)/HLOOKUP($A681,표1[#ALL],row(),false)</f>
        <v>#N/A</v>
      </c>
      <c r="AK681" s="376" t="str">
        <f>CS_PID!AK681/VLOOKUP($B681,표2[#ALL],2)/HLOOKUP($A681,표1[#ALL],row(),false)</f>
        <v>#N/A</v>
      </c>
      <c r="AL681" s="376" t="str">
        <f>CS_PID!AL681/VLOOKUP($B681,표2[#ALL],2)/HLOOKUP($A681,표1[#ALL],row(),false)</f>
        <v>#N/A</v>
      </c>
      <c r="AM681" s="376" t="str">
        <f>CS_PID!AM681/VLOOKUP($B681,표2[#ALL],2)/HLOOKUP($A681,표1[#ALL],row(),false)</f>
        <v>#N/A</v>
      </c>
      <c r="AN681" s="376" t="str">
        <f>CS_PID!AN681/VLOOKUP($B681,표2[#ALL],2)/HLOOKUP($A681,표1[#ALL],row(),false)</f>
        <v>#N/A</v>
      </c>
      <c r="AO681" s="376" t="str">
        <f>CS_PID!AO681/VLOOKUP($B681,표2[#ALL],2)/HLOOKUP($A681,표1[#ALL],row(),false)</f>
        <v>#N/A</v>
      </c>
      <c r="AP681" s="376" t="str">
        <f>CS_PID!AP681/VLOOKUP($B681,표2[#ALL],2)/HLOOKUP($A681,표1[#ALL],row(),false)</f>
        <v>#N/A</v>
      </c>
      <c r="AQ681" s="376" t="str">
        <f>CS_PID!AQ681/VLOOKUP($B681,표2[#ALL],2)/HLOOKUP($A681,표1[#ALL],row(),false)</f>
        <v>#N/A</v>
      </c>
      <c r="AR681" s="376" t="str">
        <f>CS_PID!AR681/VLOOKUP($B681,표2[#ALL],2)/HLOOKUP($A681,표1[#ALL],row(),false)</f>
        <v>#N/A</v>
      </c>
      <c r="AS681" s="377" t="str">
        <f>CS_PID!AS681/VLOOKUP($B681,표2[#ALL],2)/HLOOKUP($A681,표1[#ALL],row(),false)</f>
        <v>#N/A</v>
      </c>
    </row>
    <row r="682">
      <c r="A682" s="370"/>
      <c r="B682" s="371"/>
      <c r="C682" s="372" t="str">
        <f>CS_PID!C682/VLOOKUP($B682,표2[#ALL],2)</f>
        <v>#N/A</v>
      </c>
      <c r="D682" s="372" t="str">
        <f>CS_PID!D682/VLOOKUP($B682,표2[#ALL],2)</f>
        <v>#N/A</v>
      </c>
      <c r="E682" s="372" t="str">
        <f>CS_PID!E682/VLOOKUP($B682,표2[#ALL],2)</f>
        <v>#N/A</v>
      </c>
      <c r="F682" s="372" t="str">
        <f>CS_PID!F682/VLOOKUP($B682,표2[#ALL],2)</f>
        <v>#N/A</v>
      </c>
      <c r="G682" s="372" t="str">
        <f>CS_PID!G682/VLOOKUP($B682,표2[#ALL],2)</f>
        <v>#N/A</v>
      </c>
      <c r="H682" s="372" t="str">
        <f>CS_PID!H682/VLOOKUP($B682,표2[#ALL],2)/HLOOKUP($A682,표1[#ALL],row(),false)</f>
        <v>#N/A</v>
      </c>
      <c r="I682" s="372" t="str">
        <f>CS_PID!I682/VLOOKUP($B682,표2[#ALL],2)/HLOOKUP($A682,표1[#ALL],row(),false)</f>
        <v>#N/A</v>
      </c>
      <c r="J682" s="372" t="str">
        <f>CS_PID!J682/VLOOKUP($B682,표2[#ALL],2)/HLOOKUP($A682,표1[#ALL],row(),false)</f>
        <v>#N/A</v>
      </c>
      <c r="K682" s="372" t="str">
        <f>CS_PID!K682/VLOOKUP($B682,표2[#ALL],2)/HLOOKUP($A682,표1[#ALL],row(),false)</f>
        <v>#N/A</v>
      </c>
      <c r="L682" s="372" t="str">
        <f>CS_PID!L682/VLOOKUP($B682,표2[#ALL],2)/HLOOKUP($A682,표1[#ALL],row(),false)</f>
        <v>#N/A</v>
      </c>
      <c r="M682" s="372" t="str">
        <f>CS_PID!M682/VLOOKUP($B682,표2[#ALL],2)/HLOOKUP($A682,표1[#ALL],row(),false)</f>
        <v>#N/A</v>
      </c>
      <c r="N682" s="372" t="str">
        <f>CS_PID!N682/VLOOKUP($B682,표2[#ALL],2)/HLOOKUP($A682,표1[#ALL],row(),false)</f>
        <v>#N/A</v>
      </c>
      <c r="O682" s="372" t="str">
        <f>CS_PID!O682/VLOOKUP($B682,표2[#ALL],2)/HLOOKUP($A682,표1[#ALL],row(),false)</f>
        <v>#N/A</v>
      </c>
      <c r="P682" s="372" t="str">
        <f>CS_PID!P682/VLOOKUP($B682,표2[#ALL],2)/HLOOKUP($A682,표1[#ALL],row(),false)</f>
        <v>#N/A</v>
      </c>
      <c r="Q682" s="372" t="str">
        <f>CS_PID!Q682/VLOOKUP($B682,표2[#ALL],2)/HLOOKUP($A682,표1[#ALL],row(),false)</f>
        <v>#N/A</v>
      </c>
      <c r="R682" s="372" t="str">
        <f>CS_PID!R682/VLOOKUP($B682,표2[#ALL],2)/HLOOKUP($A682,표1[#ALL],row(),false)</f>
        <v>#N/A</v>
      </c>
      <c r="S682" s="372" t="str">
        <f>CS_PID!S682/VLOOKUP($B682,표2[#ALL],2)/HLOOKUP($A682,표1[#ALL],row(),false)</f>
        <v>#N/A</v>
      </c>
      <c r="T682" s="372" t="str">
        <f>CS_PID!T682/VLOOKUP($B682,표2[#ALL],2)/HLOOKUP($A682,표1[#ALL],row(),false)</f>
        <v>#N/A</v>
      </c>
      <c r="U682" s="372" t="str">
        <f>CS_PID!U682/VLOOKUP($B682,표2[#ALL],2)/HLOOKUP($A682,표1[#ALL],row(),false)</f>
        <v>#N/A</v>
      </c>
      <c r="V682" s="372" t="str">
        <f>CS_PID!V682/VLOOKUP($B682,표2[#ALL],2)/HLOOKUP($A682,표1[#ALL],row(),false)</f>
        <v>#N/A</v>
      </c>
      <c r="W682" s="372" t="str">
        <f>CS_PID!W682/VLOOKUP($B682,표2[#ALL],2)/HLOOKUP($A682,표1[#ALL],row(),false)</f>
        <v>#N/A</v>
      </c>
      <c r="X682" s="372" t="str">
        <f>CS_PID!X682/VLOOKUP($B682,표2[#ALL],2)/HLOOKUP($A682,표1[#ALL],row(),false)</f>
        <v>#N/A</v>
      </c>
      <c r="Y682" s="372" t="str">
        <f>CS_PID!Y682/VLOOKUP($B682,표2[#ALL],2)/HLOOKUP($A682,표1[#ALL],row(),false)</f>
        <v>#N/A</v>
      </c>
      <c r="Z682" s="372" t="str">
        <f>CS_PID!Z682/VLOOKUP($B682,표2[#ALL],2)/HLOOKUP($A682,표1[#ALL],row(),false)</f>
        <v>#N/A</v>
      </c>
      <c r="AA682" s="372" t="str">
        <f>CS_PID!AA682/VLOOKUP($B682,표2[#ALL],2)/HLOOKUP($A682,표1[#ALL],row(),false)</f>
        <v>#N/A</v>
      </c>
      <c r="AB682" s="372" t="str">
        <f>CS_PID!AB682/VLOOKUP($B682,표2[#ALL],2)/HLOOKUP($A682,표1[#ALL],row(),false)</f>
        <v>#N/A</v>
      </c>
      <c r="AC682" s="372" t="str">
        <f>CS_PID!AC682/VLOOKUP($B682,표2[#ALL],2)/HLOOKUP($A682,표1[#ALL],row(),false)</f>
        <v>#N/A</v>
      </c>
      <c r="AD682" s="372" t="str">
        <f>CS_PID!AD682/VLOOKUP($B682,표2[#ALL],2)/HLOOKUP($A682,표1[#ALL],row(),false)</f>
        <v>#N/A</v>
      </c>
      <c r="AE682" s="372" t="str">
        <f>CS_PID!AE682/VLOOKUP($B682,표2[#ALL],2)/HLOOKUP($A682,표1[#ALL],row(),false)</f>
        <v>#N/A</v>
      </c>
      <c r="AF682" s="372" t="str">
        <f>CS_PID!AF682/VLOOKUP($B682,표2[#ALL],2)/HLOOKUP($A682,표1[#ALL],row(),false)</f>
        <v>#N/A</v>
      </c>
      <c r="AG682" s="372" t="str">
        <f>CS_PID!AG682/VLOOKUP($B682,표2[#ALL],2)/HLOOKUP($A682,표1[#ALL],row(),false)</f>
        <v>#N/A</v>
      </c>
      <c r="AH682" s="372" t="str">
        <f>CS_PID!AH682/VLOOKUP($B682,표2[#ALL],2)/HLOOKUP($A682,표1[#ALL],row(),false)</f>
        <v>#N/A</v>
      </c>
      <c r="AI682" s="372" t="str">
        <f>CS_PID!AI682/VLOOKUP($B682,표2[#ALL],2)/HLOOKUP($A682,표1[#ALL],row(),false)</f>
        <v>#N/A</v>
      </c>
      <c r="AJ682" s="372" t="str">
        <f>CS_PID!AJ682/VLOOKUP($B682,표2[#ALL],2)/HLOOKUP($A682,표1[#ALL],row(),false)</f>
        <v>#N/A</v>
      </c>
      <c r="AK682" s="372" t="str">
        <f>CS_PID!AK682/VLOOKUP($B682,표2[#ALL],2)/HLOOKUP($A682,표1[#ALL],row(),false)</f>
        <v>#N/A</v>
      </c>
      <c r="AL682" s="372" t="str">
        <f>CS_PID!AL682/VLOOKUP($B682,표2[#ALL],2)/HLOOKUP($A682,표1[#ALL],row(),false)</f>
        <v>#N/A</v>
      </c>
      <c r="AM682" s="372" t="str">
        <f>CS_PID!AM682/VLOOKUP($B682,표2[#ALL],2)/HLOOKUP($A682,표1[#ALL],row(),false)</f>
        <v>#N/A</v>
      </c>
      <c r="AN682" s="372" t="str">
        <f>CS_PID!AN682/VLOOKUP($B682,표2[#ALL],2)/HLOOKUP($A682,표1[#ALL],row(),false)</f>
        <v>#N/A</v>
      </c>
      <c r="AO682" s="372" t="str">
        <f>CS_PID!AO682/VLOOKUP($B682,표2[#ALL],2)/HLOOKUP($A682,표1[#ALL],row(),false)</f>
        <v>#N/A</v>
      </c>
      <c r="AP682" s="372" t="str">
        <f>CS_PID!AP682/VLOOKUP($B682,표2[#ALL],2)/HLOOKUP($A682,표1[#ALL],row(),false)</f>
        <v>#N/A</v>
      </c>
      <c r="AQ682" s="372" t="str">
        <f>CS_PID!AQ682/VLOOKUP($B682,표2[#ALL],2)/HLOOKUP($A682,표1[#ALL],row(),false)</f>
        <v>#N/A</v>
      </c>
      <c r="AR682" s="372" t="str">
        <f>CS_PID!AR682/VLOOKUP($B682,표2[#ALL],2)/HLOOKUP($A682,표1[#ALL],row(),false)</f>
        <v>#N/A</v>
      </c>
      <c r="AS682" s="373" t="str">
        <f>CS_PID!AS682/VLOOKUP($B682,표2[#ALL],2)/HLOOKUP($A682,표1[#ALL],row(),false)</f>
        <v>#N/A</v>
      </c>
    </row>
    <row r="683">
      <c r="A683" s="374"/>
      <c r="B683" s="375"/>
      <c r="C683" s="376" t="str">
        <f>CS_PID!C683/VLOOKUP($B683,표2[#ALL],2)</f>
        <v>#N/A</v>
      </c>
      <c r="D683" s="376" t="str">
        <f>CS_PID!D683/VLOOKUP($B683,표2[#ALL],2)</f>
        <v>#N/A</v>
      </c>
      <c r="E683" s="376" t="str">
        <f>CS_PID!E683/VLOOKUP($B683,표2[#ALL],2)</f>
        <v>#N/A</v>
      </c>
      <c r="F683" s="376" t="str">
        <f>CS_PID!F683/VLOOKUP($B683,표2[#ALL],2)</f>
        <v>#N/A</v>
      </c>
      <c r="G683" s="376" t="str">
        <f>CS_PID!G683/VLOOKUP($B683,표2[#ALL],2)</f>
        <v>#N/A</v>
      </c>
      <c r="H683" s="376" t="str">
        <f>CS_PID!H683/VLOOKUP($B683,표2[#ALL],2)/HLOOKUP($A683,표1[#ALL],row(),false)</f>
        <v>#N/A</v>
      </c>
      <c r="I683" s="376" t="str">
        <f>CS_PID!I683/VLOOKUP($B683,표2[#ALL],2)/HLOOKUP($A683,표1[#ALL],row(),false)</f>
        <v>#N/A</v>
      </c>
      <c r="J683" s="376" t="str">
        <f>CS_PID!J683/VLOOKUP($B683,표2[#ALL],2)/HLOOKUP($A683,표1[#ALL],row(),false)</f>
        <v>#N/A</v>
      </c>
      <c r="K683" s="376" t="str">
        <f>CS_PID!K683/VLOOKUP($B683,표2[#ALL],2)/HLOOKUP($A683,표1[#ALL],row(),false)</f>
        <v>#N/A</v>
      </c>
      <c r="L683" s="376" t="str">
        <f>CS_PID!L683/VLOOKUP($B683,표2[#ALL],2)/HLOOKUP($A683,표1[#ALL],row(),false)</f>
        <v>#N/A</v>
      </c>
      <c r="M683" s="376" t="str">
        <f>CS_PID!M683/VLOOKUP($B683,표2[#ALL],2)/HLOOKUP($A683,표1[#ALL],row(),false)</f>
        <v>#N/A</v>
      </c>
      <c r="N683" s="376" t="str">
        <f>CS_PID!N683/VLOOKUP($B683,표2[#ALL],2)/HLOOKUP($A683,표1[#ALL],row(),false)</f>
        <v>#N/A</v>
      </c>
      <c r="O683" s="376" t="str">
        <f>CS_PID!O683/VLOOKUP($B683,표2[#ALL],2)/HLOOKUP($A683,표1[#ALL],row(),false)</f>
        <v>#N/A</v>
      </c>
      <c r="P683" s="376" t="str">
        <f>CS_PID!P683/VLOOKUP($B683,표2[#ALL],2)/HLOOKUP($A683,표1[#ALL],row(),false)</f>
        <v>#N/A</v>
      </c>
      <c r="Q683" s="376" t="str">
        <f>CS_PID!Q683/VLOOKUP($B683,표2[#ALL],2)/HLOOKUP($A683,표1[#ALL],row(),false)</f>
        <v>#N/A</v>
      </c>
      <c r="R683" s="376" t="str">
        <f>CS_PID!R683/VLOOKUP($B683,표2[#ALL],2)/HLOOKUP($A683,표1[#ALL],row(),false)</f>
        <v>#N/A</v>
      </c>
      <c r="S683" s="376" t="str">
        <f>CS_PID!S683/VLOOKUP($B683,표2[#ALL],2)/HLOOKUP($A683,표1[#ALL],row(),false)</f>
        <v>#N/A</v>
      </c>
      <c r="T683" s="376" t="str">
        <f>CS_PID!T683/VLOOKUP($B683,표2[#ALL],2)/HLOOKUP($A683,표1[#ALL],row(),false)</f>
        <v>#N/A</v>
      </c>
      <c r="U683" s="376" t="str">
        <f>CS_PID!U683/VLOOKUP($B683,표2[#ALL],2)/HLOOKUP($A683,표1[#ALL],row(),false)</f>
        <v>#N/A</v>
      </c>
      <c r="V683" s="376" t="str">
        <f>CS_PID!V683/VLOOKUP($B683,표2[#ALL],2)/HLOOKUP($A683,표1[#ALL],row(),false)</f>
        <v>#N/A</v>
      </c>
      <c r="W683" s="376" t="str">
        <f>CS_PID!W683/VLOOKUP($B683,표2[#ALL],2)/HLOOKUP($A683,표1[#ALL],row(),false)</f>
        <v>#N/A</v>
      </c>
      <c r="X683" s="376" t="str">
        <f>CS_PID!X683/VLOOKUP($B683,표2[#ALL],2)/HLOOKUP($A683,표1[#ALL],row(),false)</f>
        <v>#N/A</v>
      </c>
      <c r="Y683" s="376" t="str">
        <f>CS_PID!Y683/VLOOKUP($B683,표2[#ALL],2)/HLOOKUP($A683,표1[#ALL],row(),false)</f>
        <v>#N/A</v>
      </c>
      <c r="Z683" s="376" t="str">
        <f>CS_PID!Z683/VLOOKUP($B683,표2[#ALL],2)/HLOOKUP($A683,표1[#ALL],row(),false)</f>
        <v>#N/A</v>
      </c>
      <c r="AA683" s="376" t="str">
        <f>CS_PID!AA683/VLOOKUP($B683,표2[#ALL],2)/HLOOKUP($A683,표1[#ALL],row(),false)</f>
        <v>#N/A</v>
      </c>
      <c r="AB683" s="376" t="str">
        <f>CS_PID!AB683/VLOOKUP($B683,표2[#ALL],2)/HLOOKUP($A683,표1[#ALL],row(),false)</f>
        <v>#N/A</v>
      </c>
      <c r="AC683" s="376" t="str">
        <f>CS_PID!AC683/VLOOKUP($B683,표2[#ALL],2)/HLOOKUP($A683,표1[#ALL],row(),false)</f>
        <v>#N/A</v>
      </c>
      <c r="AD683" s="376" t="str">
        <f>CS_PID!AD683/VLOOKUP($B683,표2[#ALL],2)/HLOOKUP($A683,표1[#ALL],row(),false)</f>
        <v>#N/A</v>
      </c>
      <c r="AE683" s="376" t="str">
        <f>CS_PID!AE683/VLOOKUP($B683,표2[#ALL],2)/HLOOKUP($A683,표1[#ALL],row(),false)</f>
        <v>#N/A</v>
      </c>
      <c r="AF683" s="376" t="str">
        <f>CS_PID!AF683/VLOOKUP($B683,표2[#ALL],2)/HLOOKUP($A683,표1[#ALL],row(),false)</f>
        <v>#N/A</v>
      </c>
      <c r="AG683" s="376" t="str">
        <f>CS_PID!AG683/VLOOKUP($B683,표2[#ALL],2)/HLOOKUP($A683,표1[#ALL],row(),false)</f>
        <v>#N/A</v>
      </c>
      <c r="AH683" s="376" t="str">
        <f>CS_PID!AH683/VLOOKUP($B683,표2[#ALL],2)/HLOOKUP($A683,표1[#ALL],row(),false)</f>
        <v>#N/A</v>
      </c>
      <c r="AI683" s="376" t="str">
        <f>CS_PID!AI683/VLOOKUP($B683,표2[#ALL],2)/HLOOKUP($A683,표1[#ALL],row(),false)</f>
        <v>#N/A</v>
      </c>
      <c r="AJ683" s="376" t="str">
        <f>CS_PID!AJ683/VLOOKUP($B683,표2[#ALL],2)/HLOOKUP($A683,표1[#ALL],row(),false)</f>
        <v>#N/A</v>
      </c>
      <c r="AK683" s="376" t="str">
        <f>CS_PID!AK683/VLOOKUP($B683,표2[#ALL],2)/HLOOKUP($A683,표1[#ALL],row(),false)</f>
        <v>#N/A</v>
      </c>
      <c r="AL683" s="376" t="str">
        <f>CS_PID!AL683/VLOOKUP($B683,표2[#ALL],2)/HLOOKUP($A683,표1[#ALL],row(),false)</f>
        <v>#N/A</v>
      </c>
      <c r="AM683" s="376" t="str">
        <f>CS_PID!AM683/VLOOKUP($B683,표2[#ALL],2)/HLOOKUP($A683,표1[#ALL],row(),false)</f>
        <v>#N/A</v>
      </c>
      <c r="AN683" s="376" t="str">
        <f>CS_PID!AN683/VLOOKUP($B683,표2[#ALL],2)/HLOOKUP($A683,표1[#ALL],row(),false)</f>
        <v>#N/A</v>
      </c>
      <c r="AO683" s="376" t="str">
        <f>CS_PID!AO683/VLOOKUP($B683,표2[#ALL],2)/HLOOKUP($A683,표1[#ALL],row(),false)</f>
        <v>#N/A</v>
      </c>
      <c r="AP683" s="376" t="str">
        <f>CS_PID!AP683/VLOOKUP($B683,표2[#ALL],2)/HLOOKUP($A683,표1[#ALL],row(),false)</f>
        <v>#N/A</v>
      </c>
      <c r="AQ683" s="376" t="str">
        <f>CS_PID!AQ683/VLOOKUP($B683,표2[#ALL],2)/HLOOKUP($A683,표1[#ALL],row(),false)</f>
        <v>#N/A</v>
      </c>
      <c r="AR683" s="376" t="str">
        <f>CS_PID!AR683/VLOOKUP($B683,표2[#ALL],2)/HLOOKUP($A683,표1[#ALL],row(),false)</f>
        <v>#N/A</v>
      </c>
      <c r="AS683" s="377" t="str">
        <f>CS_PID!AS683/VLOOKUP($B683,표2[#ALL],2)/HLOOKUP($A683,표1[#ALL],row(),false)</f>
        <v>#N/A</v>
      </c>
    </row>
    <row r="684">
      <c r="A684" s="370"/>
      <c r="B684" s="371"/>
      <c r="C684" s="372" t="str">
        <f>CS_PID!C684/VLOOKUP($B684,표2[#ALL],2)</f>
        <v>#N/A</v>
      </c>
      <c r="D684" s="372" t="str">
        <f>CS_PID!D684/VLOOKUP($B684,표2[#ALL],2)</f>
        <v>#N/A</v>
      </c>
      <c r="E684" s="372" t="str">
        <f>CS_PID!E684/VLOOKUP($B684,표2[#ALL],2)</f>
        <v>#N/A</v>
      </c>
      <c r="F684" s="372" t="str">
        <f>CS_PID!F684/VLOOKUP($B684,표2[#ALL],2)</f>
        <v>#N/A</v>
      </c>
      <c r="G684" s="372" t="str">
        <f>CS_PID!G684/VLOOKUP($B684,표2[#ALL],2)</f>
        <v>#N/A</v>
      </c>
      <c r="H684" s="372" t="str">
        <f>CS_PID!H684/VLOOKUP($B684,표2[#ALL],2)/HLOOKUP($A684,표1[#ALL],row(),false)</f>
        <v>#N/A</v>
      </c>
      <c r="I684" s="372" t="str">
        <f>CS_PID!I684/VLOOKUP($B684,표2[#ALL],2)/HLOOKUP($A684,표1[#ALL],row(),false)</f>
        <v>#N/A</v>
      </c>
      <c r="J684" s="372" t="str">
        <f>CS_PID!J684/VLOOKUP($B684,표2[#ALL],2)/HLOOKUP($A684,표1[#ALL],row(),false)</f>
        <v>#N/A</v>
      </c>
      <c r="K684" s="372" t="str">
        <f>CS_PID!K684/VLOOKUP($B684,표2[#ALL],2)/HLOOKUP($A684,표1[#ALL],row(),false)</f>
        <v>#N/A</v>
      </c>
      <c r="L684" s="372" t="str">
        <f>CS_PID!L684/VLOOKUP($B684,표2[#ALL],2)/HLOOKUP($A684,표1[#ALL],row(),false)</f>
        <v>#N/A</v>
      </c>
      <c r="M684" s="372" t="str">
        <f>CS_PID!M684/VLOOKUP($B684,표2[#ALL],2)/HLOOKUP($A684,표1[#ALL],row(),false)</f>
        <v>#N/A</v>
      </c>
      <c r="N684" s="372" t="str">
        <f>CS_PID!N684/VLOOKUP($B684,표2[#ALL],2)/HLOOKUP($A684,표1[#ALL],row(),false)</f>
        <v>#N/A</v>
      </c>
      <c r="O684" s="372" t="str">
        <f>CS_PID!O684/VLOOKUP($B684,표2[#ALL],2)/HLOOKUP($A684,표1[#ALL],row(),false)</f>
        <v>#N/A</v>
      </c>
      <c r="P684" s="372" t="str">
        <f>CS_PID!P684/VLOOKUP($B684,표2[#ALL],2)/HLOOKUP($A684,표1[#ALL],row(),false)</f>
        <v>#N/A</v>
      </c>
      <c r="Q684" s="372" t="str">
        <f>CS_PID!Q684/VLOOKUP($B684,표2[#ALL],2)/HLOOKUP($A684,표1[#ALL],row(),false)</f>
        <v>#N/A</v>
      </c>
      <c r="R684" s="372" t="str">
        <f>CS_PID!R684/VLOOKUP($B684,표2[#ALL],2)/HLOOKUP($A684,표1[#ALL],row(),false)</f>
        <v>#N/A</v>
      </c>
      <c r="S684" s="372" t="str">
        <f>CS_PID!S684/VLOOKUP($B684,표2[#ALL],2)/HLOOKUP($A684,표1[#ALL],row(),false)</f>
        <v>#N/A</v>
      </c>
      <c r="T684" s="372" t="str">
        <f>CS_PID!T684/VLOOKUP($B684,표2[#ALL],2)/HLOOKUP($A684,표1[#ALL],row(),false)</f>
        <v>#N/A</v>
      </c>
      <c r="U684" s="372" t="str">
        <f>CS_PID!U684/VLOOKUP($B684,표2[#ALL],2)/HLOOKUP($A684,표1[#ALL],row(),false)</f>
        <v>#N/A</v>
      </c>
      <c r="V684" s="372" t="str">
        <f>CS_PID!V684/VLOOKUP($B684,표2[#ALL],2)/HLOOKUP($A684,표1[#ALL],row(),false)</f>
        <v>#N/A</v>
      </c>
      <c r="W684" s="372" t="str">
        <f>CS_PID!W684/VLOOKUP($B684,표2[#ALL],2)/HLOOKUP($A684,표1[#ALL],row(),false)</f>
        <v>#N/A</v>
      </c>
      <c r="X684" s="372" t="str">
        <f>CS_PID!X684/VLOOKUP($B684,표2[#ALL],2)/HLOOKUP($A684,표1[#ALL],row(),false)</f>
        <v>#N/A</v>
      </c>
      <c r="Y684" s="372" t="str">
        <f>CS_PID!Y684/VLOOKUP($B684,표2[#ALL],2)/HLOOKUP($A684,표1[#ALL],row(),false)</f>
        <v>#N/A</v>
      </c>
      <c r="Z684" s="372" t="str">
        <f>CS_PID!Z684/VLOOKUP($B684,표2[#ALL],2)/HLOOKUP($A684,표1[#ALL],row(),false)</f>
        <v>#N/A</v>
      </c>
      <c r="AA684" s="372" t="str">
        <f>CS_PID!AA684/VLOOKUP($B684,표2[#ALL],2)/HLOOKUP($A684,표1[#ALL],row(),false)</f>
        <v>#N/A</v>
      </c>
      <c r="AB684" s="372" t="str">
        <f>CS_PID!AB684/VLOOKUP($B684,표2[#ALL],2)/HLOOKUP($A684,표1[#ALL],row(),false)</f>
        <v>#N/A</v>
      </c>
      <c r="AC684" s="372" t="str">
        <f>CS_PID!AC684/VLOOKUP($B684,표2[#ALL],2)/HLOOKUP($A684,표1[#ALL],row(),false)</f>
        <v>#N/A</v>
      </c>
      <c r="AD684" s="372" t="str">
        <f>CS_PID!AD684/VLOOKUP($B684,표2[#ALL],2)/HLOOKUP($A684,표1[#ALL],row(),false)</f>
        <v>#N/A</v>
      </c>
      <c r="AE684" s="372" t="str">
        <f>CS_PID!AE684/VLOOKUP($B684,표2[#ALL],2)/HLOOKUP($A684,표1[#ALL],row(),false)</f>
        <v>#N/A</v>
      </c>
      <c r="AF684" s="372" t="str">
        <f>CS_PID!AF684/VLOOKUP($B684,표2[#ALL],2)/HLOOKUP($A684,표1[#ALL],row(),false)</f>
        <v>#N/A</v>
      </c>
      <c r="AG684" s="372" t="str">
        <f>CS_PID!AG684/VLOOKUP($B684,표2[#ALL],2)/HLOOKUP($A684,표1[#ALL],row(),false)</f>
        <v>#N/A</v>
      </c>
      <c r="AH684" s="372" t="str">
        <f>CS_PID!AH684/VLOOKUP($B684,표2[#ALL],2)/HLOOKUP($A684,표1[#ALL],row(),false)</f>
        <v>#N/A</v>
      </c>
      <c r="AI684" s="372" t="str">
        <f>CS_PID!AI684/VLOOKUP($B684,표2[#ALL],2)/HLOOKUP($A684,표1[#ALL],row(),false)</f>
        <v>#N/A</v>
      </c>
      <c r="AJ684" s="372" t="str">
        <f>CS_PID!AJ684/VLOOKUP($B684,표2[#ALL],2)/HLOOKUP($A684,표1[#ALL],row(),false)</f>
        <v>#N/A</v>
      </c>
      <c r="AK684" s="372" t="str">
        <f>CS_PID!AK684/VLOOKUP($B684,표2[#ALL],2)/HLOOKUP($A684,표1[#ALL],row(),false)</f>
        <v>#N/A</v>
      </c>
      <c r="AL684" s="372" t="str">
        <f>CS_PID!AL684/VLOOKUP($B684,표2[#ALL],2)/HLOOKUP($A684,표1[#ALL],row(),false)</f>
        <v>#N/A</v>
      </c>
      <c r="AM684" s="372" t="str">
        <f>CS_PID!AM684/VLOOKUP($B684,표2[#ALL],2)/HLOOKUP($A684,표1[#ALL],row(),false)</f>
        <v>#N/A</v>
      </c>
      <c r="AN684" s="372" t="str">
        <f>CS_PID!AN684/VLOOKUP($B684,표2[#ALL],2)/HLOOKUP($A684,표1[#ALL],row(),false)</f>
        <v>#N/A</v>
      </c>
      <c r="AO684" s="372" t="str">
        <f>CS_PID!AO684/VLOOKUP($B684,표2[#ALL],2)/HLOOKUP($A684,표1[#ALL],row(),false)</f>
        <v>#N/A</v>
      </c>
      <c r="AP684" s="372" t="str">
        <f>CS_PID!AP684/VLOOKUP($B684,표2[#ALL],2)/HLOOKUP($A684,표1[#ALL],row(),false)</f>
        <v>#N/A</v>
      </c>
      <c r="AQ684" s="372" t="str">
        <f>CS_PID!AQ684/VLOOKUP($B684,표2[#ALL],2)/HLOOKUP($A684,표1[#ALL],row(),false)</f>
        <v>#N/A</v>
      </c>
      <c r="AR684" s="372" t="str">
        <f>CS_PID!AR684/VLOOKUP($B684,표2[#ALL],2)/HLOOKUP($A684,표1[#ALL],row(),false)</f>
        <v>#N/A</v>
      </c>
      <c r="AS684" s="373" t="str">
        <f>CS_PID!AS684/VLOOKUP($B684,표2[#ALL],2)/HLOOKUP($A684,표1[#ALL],row(),false)</f>
        <v>#N/A</v>
      </c>
    </row>
    <row r="685">
      <c r="A685" s="374"/>
      <c r="B685" s="375"/>
      <c r="C685" s="376" t="str">
        <f>CS_PID!C685/VLOOKUP($B685,표2[#ALL],2)</f>
        <v>#N/A</v>
      </c>
      <c r="D685" s="376" t="str">
        <f>CS_PID!D685/VLOOKUP($B685,표2[#ALL],2)</f>
        <v>#N/A</v>
      </c>
      <c r="E685" s="376" t="str">
        <f>CS_PID!E685/VLOOKUP($B685,표2[#ALL],2)</f>
        <v>#N/A</v>
      </c>
      <c r="F685" s="376" t="str">
        <f>CS_PID!F685/VLOOKUP($B685,표2[#ALL],2)</f>
        <v>#N/A</v>
      </c>
      <c r="G685" s="376" t="str">
        <f>CS_PID!G685/VLOOKUP($B685,표2[#ALL],2)</f>
        <v>#N/A</v>
      </c>
      <c r="H685" s="376" t="str">
        <f>CS_PID!H685/VLOOKUP($B685,표2[#ALL],2)/HLOOKUP($A685,표1[#ALL],row(),false)</f>
        <v>#N/A</v>
      </c>
      <c r="I685" s="376" t="str">
        <f>CS_PID!I685/VLOOKUP($B685,표2[#ALL],2)/HLOOKUP($A685,표1[#ALL],row(),false)</f>
        <v>#N/A</v>
      </c>
      <c r="J685" s="376" t="str">
        <f>CS_PID!J685/VLOOKUP($B685,표2[#ALL],2)/HLOOKUP($A685,표1[#ALL],row(),false)</f>
        <v>#N/A</v>
      </c>
      <c r="K685" s="376" t="str">
        <f>CS_PID!K685/VLOOKUP($B685,표2[#ALL],2)/HLOOKUP($A685,표1[#ALL],row(),false)</f>
        <v>#N/A</v>
      </c>
      <c r="L685" s="376" t="str">
        <f>CS_PID!L685/VLOOKUP($B685,표2[#ALL],2)/HLOOKUP($A685,표1[#ALL],row(),false)</f>
        <v>#N/A</v>
      </c>
      <c r="M685" s="376" t="str">
        <f>CS_PID!M685/VLOOKUP($B685,표2[#ALL],2)/HLOOKUP($A685,표1[#ALL],row(),false)</f>
        <v>#N/A</v>
      </c>
      <c r="N685" s="376" t="str">
        <f>CS_PID!N685/VLOOKUP($B685,표2[#ALL],2)/HLOOKUP($A685,표1[#ALL],row(),false)</f>
        <v>#N/A</v>
      </c>
      <c r="O685" s="376" t="str">
        <f>CS_PID!O685/VLOOKUP($B685,표2[#ALL],2)/HLOOKUP($A685,표1[#ALL],row(),false)</f>
        <v>#N/A</v>
      </c>
      <c r="P685" s="376" t="str">
        <f>CS_PID!P685/VLOOKUP($B685,표2[#ALL],2)/HLOOKUP($A685,표1[#ALL],row(),false)</f>
        <v>#N/A</v>
      </c>
      <c r="Q685" s="376" t="str">
        <f>CS_PID!Q685/VLOOKUP($B685,표2[#ALL],2)/HLOOKUP($A685,표1[#ALL],row(),false)</f>
        <v>#N/A</v>
      </c>
      <c r="R685" s="376" t="str">
        <f>CS_PID!R685/VLOOKUP($B685,표2[#ALL],2)/HLOOKUP($A685,표1[#ALL],row(),false)</f>
        <v>#N/A</v>
      </c>
      <c r="S685" s="376" t="str">
        <f>CS_PID!S685/VLOOKUP($B685,표2[#ALL],2)/HLOOKUP($A685,표1[#ALL],row(),false)</f>
        <v>#N/A</v>
      </c>
      <c r="T685" s="376" t="str">
        <f>CS_PID!T685/VLOOKUP($B685,표2[#ALL],2)/HLOOKUP($A685,표1[#ALL],row(),false)</f>
        <v>#N/A</v>
      </c>
      <c r="U685" s="376" t="str">
        <f>CS_PID!U685/VLOOKUP($B685,표2[#ALL],2)/HLOOKUP($A685,표1[#ALL],row(),false)</f>
        <v>#N/A</v>
      </c>
      <c r="V685" s="376" t="str">
        <f>CS_PID!V685/VLOOKUP($B685,표2[#ALL],2)/HLOOKUP($A685,표1[#ALL],row(),false)</f>
        <v>#N/A</v>
      </c>
      <c r="W685" s="376" t="str">
        <f>CS_PID!W685/VLOOKUP($B685,표2[#ALL],2)/HLOOKUP($A685,표1[#ALL],row(),false)</f>
        <v>#N/A</v>
      </c>
      <c r="X685" s="376" t="str">
        <f>CS_PID!X685/VLOOKUP($B685,표2[#ALL],2)/HLOOKUP($A685,표1[#ALL],row(),false)</f>
        <v>#N/A</v>
      </c>
      <c r="Y685" s="376" t="str">
        <f>CS_PID!Y685/VLOOKUP($B685,표2[#ALL],2)/HLOOKUP($A685,표1[#ALL],row(),false)</f>
        <v>#N/A</v>
      </c>
      <c r="Z685" s="376" t="str">
        <f>CS_PID!Z685/VLOOKUP($B685,표2[#ALL],2)/HLOOKUP($A685,표1[#ALL],row(),false)</f>
        <v>#N/A</v>
      </c>
      <c r="AA685" s="376" t="str">
        <f>CS_PID!AA685/VLOOKUP($B685,표2[#ALL],2)/HLOOKUP($A685,표1[#ALL],row(),false)</f>
        <v>#N/A</v>
      </c>
      <c r="AB685" s="376" t="str">
        <f>CS_PID!AB685/VLOOKUP($B685,표2[#ALL],2)/HLOOKUP($A685,표1[#ALL],row(),false)</f>
        <v>#N/A</v>
      </c>
      <c r="AC685" s="376" t="str">
        <f>CS_PID!AC685/VLOOKUP($B685,표2[#ALL],2)/HLOOKUP($A685,표1[#ALL],row(),false)</f>
        <v>#N/A</v>
      </c>
      <c r="AD685" s="376" t="str">
        <f>CS_PID!AD685/VLOOKUP($B685,표2[#ALL],2)/HLOOKUP($A685,표1[#ALL],row(),false)</f>
        <v>#N/A</v>
      </c>
      <c r="AE685" s="376" t="str">
        <f>CS_PID!AE685/VLOOKUP($B685,표2[#ALL],2)/HLOOKUP($A685,표1[#ALL],row(),false)</f>
        <v>#N/A</v>
      </c>
      <c r="AF685" s="376" t="str">
        <f>CS_PID!AF685/VLOOKUP($B685,표2[#ALL],2)/HLOOKUP($A685,표1[#ALL],row(),false)</f>
        <v>#N/A</v>
      </c>
      <c r="AG685" s="376" t="str">
        <f>CS_PID!AG685/VLOOKUP($B685,표2[#ALL],2)/HLOOKUP($A685,표1[#ALL],row(),false)</f>
        <v>#N/A</v>
      </c>
      <c r="AH685" s="376" t="str">
        <f>CS_PID!AH685/VLOOKUP($B685,표2[#ALL],2)/HLOOKUP($A685,표1[#ALL],row(),false)</f>
        <v>#N/A</v>
      </c>
      <c r="AI685" s="376" t="str">
        <f>CS_PID!AI685/VLOOKUP($B685,표2[#ALL],2)/HLOOKUP($A685,표1[#ALL],row(),false)</f>
        <v>#N/A</v>
      </c>
      <c r="AJ685" s="376" t="str">
        <f>CS_PID!AJ685/VLOOKUP($B685,표2[#ALL],2)/HLOOKUP($A685,표1[#ALL],row(),false)</f>
        <v>#N/A</v>
      </c>
      <c r="AK685" s="376" t="str">
        <f>CS_PID!AK685/VLOOKUP($B685,표2[#ALL],2)/HLOOKUP($A685,표1[#ALL],row(),false)</f>
        <v>#N/A</v>
      </c>
      <c r="AL685" s="376" t="str">
        <f>CS_PID!AL685/VLOOKUP($B685,표2[#ALL],2)/HLOOKUP($A685,표1[#ALL],row(),false)</f>
        <v>#N/A</v>
      </c>
      <c r="AM685" s="376" t="str">
        <f>CS_PID!AM685/VLOOKUP($B685,표2[#ALL],2)/HLOOKUP($A685,표1[#ALL],row(),false)</f>
        <v>#N/A</v>
      </c>
      <c r="AN685" s="376" t="str">
        <f>CS_PID!AN685/VLOOKUP($B685,표2[#ALL],2)/HLOOKUP($A685,표1[#ALL],row(),false)</f>
        <v>#N/A</v>
      </c>
      <c r="AO685" s="376" t="str">
        <f>CS_PID!AO685/VLOOKUP($B685,표2[#ALL],2)/HLOOKUP($A685,표1[#ALL],row(),false)</f>
        <v>#N/A</v>
      </c>
      <c r="AP685" s="376" t="str">
        <f>CS_PID!AP685/VLOOKUP($B685,표2[#ALL],2)/HLOOKUP($A685,표1[#ALL],row(),false)</f>
        <v>#N/A</v>
      </c>
      <c r="AQ685" s="376" t="str">
        <f>CS_PID!AQ685/VLOOKUP($B685,표2[#ALL],2)/HLOOKUP($A685,표1[#ALL],row(),false)</f>
        <v>#N/A</v>
      </c>
      <c r="AR685" s="376" t="str">
        <f>CS_PID!AR685/VLOOKUP($B685,표2[#ALL],2)/HLOOKUP($A685,표1[#ALL],row(),false)</f>
        <v>#N/A</v>
      </c>
      <c r="AS685" s="377" t="str">
        <f>CS_PID!AS685/VLOOKUP($B685,표2[#ALL],2)/HLOOKUP($A685,표1[#ALL],row(),false)</f>
        <v>#N/A</v>
      </c>
    </row>
    <row r="686">
      <c r="A686" s="370"/>
      <c r="B686" s="371"/>
      <c r="C686" s="372" t="str">
        <f>CS_PID!C686/VLOOKUP($B686,표2[#ALL],2)</f>
        <v>#N/A</v>
      </c>
      <c r="D686" s="372" t="str">
        <f>CS_PID!D686/VLOOKUP($B686,표2[#ALL],2)</f>
        <v>#N/A</v>
      </c>
      <c r="E686" s="372" t="str">
        <f>CS_PID!E686/VLOOKUP($B686,표2[#ALL],2)</f>
        <v>#N/A</v>
      </c>
      <c r="F686" s="372" t="str">
        <f>CS_PID!F686/VLOOKUP($B686,표2[#ALL],2)</f>
        <v>#N/A</v>
      </c>
      <c r="G686" s="372" t="str">
        <f>CS_PID!G686/VLOOKUP($B686,표2[#ALL],2)</f>
        <v>#N/A</v>
      </c>
      <c r="H686" s="372" t="str">
        <f>CS_PID!H686/VLOOKUP($B686,표2[#ALL],2)/HLOOKUP($A686,표1[#ALL],row(),false)</f>
        <v>#N/A</v>
      </c>
      <c r="I686" s="372" t="str">
        <f>CS_PID!I686/VLOOKUP($B686,표2[#ALL],2)/HLOOKUP($A686,표1[#ALL],row(),false)</f>
        <v>#N/A</v>
      </c>
      <c r="J686" s="372" t="str">
        <f>CS_PID!J686/VLOOKUP($B686,표2[#ALL],2)/HLOOKUP($A686,표1[#ALL],row(),false)</f>
        <v>#N/A</v>
      </c>
      <c r="K686" s="372" t="str">
        <f>CS_PID!K686/VLOOKUP($B686,표2[#ALL],2)/HLOOKUP($A686,표1[#ALL],row(),false)</f>
        <v>#N/A</v>
      </c>
      <c r="L686" s="372" t="str">
        <f>CS_PID!L686/VLOOKUP($B686,표2[#ALL],2)/HLOOKUP($A686,표1[#ALL],row(),false)</f>
        <v>#N/A</v>
      </c>
      <c r="M686" s="372" t="str">
        <f>CS_PID!M686/VLOOKUP($B686,표2[#ALL],2)/HLOOKUP($A686,표1[#ALL],row(),false)</f>
        <v>#N/A</v>
      </c>
      <c r="N686" s="372" t="str">
        <f>CS_PID!N686/VLOOKUP($B686,표2[#ALL],2)/HLOOKUP($A686,표1[#ALL],row(),false)</f>
        <v>#N/A</v>
      </c>
      <c r="O686" s="372" t="str">
        <f>CS_PID!O686/VLOOKUP($B686,표2[#ALL],2)/HLOOKUP($A686,표1[#ALL],row(),false)</f>
        <v>#N/A</v>
      </c>
      <c r="P686" s="372" t="str">
        <f>CS_PID!P686/VLOOKUP($B686,표2[#ALL],2)/HLOOKUP($A686,표1[#ALL],row(),false)</f>
        <v>#N/A</v>
      </c>
      <c r="Q686" s="372" t="str">
        <f>CS_PID!Q686/VLOOKUP($B686,표2[#ALL],2)/HLOOKUP($A686,표1[#ALL],row(),false)</f>
        <v>#N/A</v>
      </c>
      <c r="R686" s="372" t="str">
        <f>CS_PID!R686/VLOOKUP($B686,표2[#ALL],2)/HLOOKUP($A686,표1[#ALL],row(),false)</f>
        <v>#N/A</v>
      </c>
      <c r="S686" s="372" t="str">
        <f>CS_PID!S686/VLOOKUP($B686,표2[#ALL],2)/HLOOKUP($A686,표1[#ALL],row(),false)</f>
        <v>#N/A</v>
      </c>
      <c r="T686" s="372" t="str">
        <f>CS_PID!T686/VLOOKUP($B686,표2[#ALL],2)/HLOOKUP($A686,표1[#ALL],row(),false)</f>
        <v>#N/A</v>
      </c>
      <c r="U686" s="372" t="str">
        <f>CS_PID!U686/VLOOKUP($B686,표2[#ALL],2)/HLOOKUP($A686,표1[#ALL],row(),false)</f>
        <v>#N/A</v>
      </c>
      <c r="V686" s="372" t="str">
        <f>CS_PID!V686/VLOOKUP($B686,표2[#ALL],2)/HLOOKUP($A686,표1[#ALL],row(),false)</f>
        <v>#N/A</v>
      </c>
      <c r="W686" s="372" t="str">
        <f>CS_PID!W686/VLOOKUP($B686,표2[#ALL],2)/HLOOKUP($A686,표1[#ALL],row(),false)</f>
        <v>#N/A</v>
      </c>
      <c r="X686" s="372" t="str">
        <f>CS_PID!X686/VLOOKUP($B686,표2[#ALL],2)/HLOOKUP($A686,표1[#ALL],row(),false)</f>
        <v>#N/A</v>
      </c>
      <c r="Y686" s="372" t="str">
        <f>CS_PID!Y686/VLOOKUP($B686,표2[#ALL],2)/HLOOKUP($A686,표1[#ALL],row(),false)</f>
        <v>#N/A</v>
      </c>
      <c r="Z686" s="372" t="str">
        <f>CS_PID!Z686/VLOOKUP($B686,표2[#ALL],2)/HLOOKUP($A686,표1[#ALL],row(),false)</f>
        <v>#N/A</v>
      </c>
      <c r="AA686" s="372" t="str">
        <f>CS_PID!AA686/VLOOKUP($B686,표2[#ALL],2)/HLOOKUP($A686,표1[#ALL],row(),false)</f>
        <v>#N/A</v>
      </c>
      <c r="AB686" s="372" t="str">
        <f>CS_PID!AB686/VLOOKUP($B686,표2[#ALL],2)/HLOOKUP($A686,표1[#ALL],row(),false)</f>
        <v>#N/A</v>
      </c>
      <c r="AC686" s="372" t="str">
        <f>CS_PID!AC686/VLOOKUP($B686,표2[#ALL],2)/HLOOKUP($A686,표1[#ALL],row(),false)</f>
        <v>#N/A</v>
      </c>
      <c r="AD686" s="372" t="str">
        <f>CS_PID!AD686/VLOOKUP($B686,표2[#ALL],2)/HLOOKUP($A686,표1[#ALL],row(),false)</f>
        <v>#N/A</v>
      </c>
      <c r="AE686" s="372" t="str">
        <f>CS_PID!AE686/VLOOKUP($B686,표2[#ALL],2)/HLOOKUP($A686,표1[#ALL],row(),false)</f>
        <v>#N/A</v>
      </c>
      <c r="AF686" s="372" t="str">
        <f>CS_PID!AF686/VLOOKUP($B686,표2[#ALL],2)/HLOOKUP($A686,표1[#ALL],row(),false)</f>
        <v>#N/A</v>
      </c>
      <c r="AG686" s="372" t="str">
        <f>CS_PID!AG686/VLOOKUP($B686,표2[#ALL],2)/HLOOKUP($A686,표1[#ALL],row(),false)</f>
        <v>#N/A</v>
      </c>
      <c r="AH686" s="372" t="str">
        <f>CS_PID!AH686/VLOOKUP($B686,표2[#ALL],2)/HLOOKUP($A686,표1[#ALL],row(),false)</f>
        <v>#N/A</v>
      </c>
      <c r="AI686" s="372" t="str">
        <f>CS_PID!AI686/VLOOKUP($B686,표2[#ALL],2)/HLOOKUP($A686,표1[#ALL],row(),false)</f>
        <v>#N/A</v>
      </c>
      <c r="AJ686" s="372" t="str">
        <f>CS_PID!AJ686/VLOOKUP($B686,표2[#ALL],2)/HLOOKUP($A686,표1[#ALL],row(),false)</f>
        <v>#N/A</v>
      </c>
      <c r="AK686" s="372" t="str">
        <f>CS_PID!AK686/VLOOKUP($B686,표2[#ALL],2)/HLOOKUP($A686,표1[#ALL],row(),false)</f>
        <v>#N/A</v>
      </c>
      <c r="AL686" s="372" t="str">
        <f>CS_PID!AL686/VLOOKUP($B686,표2[#ALL],2)/HLOOKUP($A686,표1[#ALL],row(),false)</f>
        <v>#N/A</v>
      </c>
      <c r="AM686" s="372" t="str">
        <f>CS_PID!AM686/VLOOKUP($B686,표2[#ALL],2)/HLOOKUP($A686,표1[#ALL],row(),false)</f>
        <v>#N/A</v>
      </c>
      <c r="AN686" s="372" t="str">
        <f>CS_PID!AN686/VLOOKUP($B686,표2[#ALL],2)/HLOOKUP($A686,표1[#ALL],row(),false)</f>
        <v>#N/A</v>
      </c>
      <c r="AO686" s="372" t="str">
        <f>CS_PID!AO686/VLOOKUP($B686,표2[#ALL],2)/HLOOKUP($A686,표1[#ALL],row(),false)</f>
        <v>#N/A</v>
      </c>
      <c r="AP686" s="372" t="str">
        <f>CS_PID!AP686/VLOOKUP($B686,표2[#ALL],2)/HLOOKUP($A686,표1[#ALL],row(),false)</f>
        <v>#N/A</v>
      </c>
      <c r="AQ686" s="372" t="str">
        <f>CS_PID!AQ686/VLOOKUP($B686,표2[#ALL],2)/HLOOKUP($A686,표1[#ALL],row(),false)</f>
        <v>#N/A</v>
      </c>
      <c r="AR686" s="372" t="str">
        <f>CS_PID!AR686/VLOOKUP($B686,표2[#ALL],2)/HLOOKUP($A686,표1[#ALL],row(),false)</f>
        <v>#N/A</v>
      </c>
      <c r="AS686" s="373" t="str">
        <f>CS_PID!AS686/VLOOKUP($B686,표2[#ALL],2)/HLOOKUP($A686,표1[#ALL],row(),false)</f>
        <v>#N/A</v>
      </c>
    </row>
    <row r="687">
      <c r="A687" s="374"/>
      <c r="B687" s="375"/>
      <c r="C687" s="376" t="str">
        <f>CS_PID!C687/VLOOKUP($B687,표2[#ALL],2)</f>
        <v>#N/A</v>
      </c>
      <c r="D687" s="376" t="str">
        <f>CS_PID!D687/VLOOKUP($B687,표2[#ALL],2)</f>
        <v>#N/A</v>
      </c>
      <c r="E687" s="376" t="str">
        <f>CS_PID!E687/VLOOKUP($B687,표2[#ALL],2)</f>
        <v>#N/A</v>
      </c>
      <c r="F687" s="376" t="str">
        <f>CS_PID!F687/VLOOKUP($B687,표2[#ALL],2)</f>
        <v>#N/A</v>
      </c>
      <c r="G687" s="376" t="str">
        <f>CS_PID!G687/VLOOKUP($B687,표2[#ALL],2)</f>
        <v>#N/A</v>
      </c>
      <c r="H687" s="376" t="str">
        <f>CS_PID!H687/VLOOKUP($B687,표2[#ALL],2)/HLOOKUP($A687,표1[#ALL],row(),false)</f>
        <v>#N/A</v>
      </c>
      <c r="I687" s="376" t="str">
        <f>CS_PID!I687/VLOOKUP($B687,표2[#ALL],2)/HLOOKUP($A687,표1[#ALL],row(),false)</f>
        <v>#N/A</v>
      </c>
      <c r="J687" s="376" t="str">
        <f>CS_PID!J687/VLOOKUP($B687,표2[#ALL],2)/HLOOKUP($A687,표1[#ALL],row(),false)</f>
        <v>#N/A</v>
      </c>
      <c r="K687" s="376" t="str">
        <f>CS_PID!K687/VLOOKUP($B687,표2[#ALL],2)/HLOOKUP($A687,표1[#ALL],row(),false)</f>
        <v>#N/A</v>
      </c>
      <c r="L687" s="376" t="str">
        <f>CS_PID!L687/VLOOKUP($B687,표2[#ALL],2)/HLOOKUP($A687,표1[#ALL],row(),false)</f>
        <v>#N/A</v>
      </c>
      <c r="M687" s="376" t="str">
        <f>CS_PID!M687/VLOOKUP($B687,표2[#ALL],2)/HLOOKUP($A687,표1[#ALL],row(),false)</f>
        <v>#N/A</v>
      </c>
      <c r="N687" s="376" t="str">
        <f>CS_PID!N687/VLOOKUP($B687,표2[#ALL],2)/HLOOKUP($A687,표1[#ALL],row(),false)</f>
        <v>#N/A</v>
      </c>
      <c r="O687" s="376" t="str">
        <f>CS_PID!O687/VLOOKUP($B687,표2[#ALL],2)/HLOOKUP($A687,표1[#ALL],row(),false)</f>
        <v>#N/A</v>
      </c>
      <c r="P687" s="376" t="str">
        <f>CS_PID!P687/VLOOKUP($B687,표2[#ALL],2)/HLOOKUP($A687,표1[#ALL],row(),false)</f>
        <v>#N/A</v>
      </c>
      <c r="Q687" s="376" t="str">
        <f>CS_PID!Q687/VLOOKUP($B687,표2[#ALL],2)/HLOOKUP($A687,표1[#ALL],row(),false)</f>
        <v>#N/A</v>
      </c>
      <c r="R687" s="376" t="str">
        <f>CS_PID!R687/VLOOKUP($B687,표2[#ALL],2)/HLOOKUP($A687,표1[#ALL],row(),false)</f>
        <v>#N/A</v>
      </c>
      <c r="S687" s="376" t="str">
        <f>CS_PID!S687/VLOOKUP($B687,표2[#ALL],2)/HLOOKUP($A687,표1[#ALL],row(),false)</f>
        <v>#N/A</v>
      </c>
      <c r="T687" s="376" t="str">
        <f>CS_PID!T687/VLOOKUP($B687,표2[#ALL],2)/HLOOKUP($A687,표1[#ALL],row(),false)</f>
        <v>#N/A</v>
      </c>
      <c r="U687" s="376" t="str">
        <f>CS_PID!U687/VLOOKUP($B687,표2[#ALL],2)/HLOOKUP($A687,표1[#ALL],row(),false)</f>
        <v>#N/A</v>
      </c>
      <c r="V687" s="376" t="str">
        <f>CS_PID!V687/VLOOKUP($B687,표2[#ALL],2)/HLOOKUP($A687,표1[#ALL],row(),false)</f>
        <v>#N/A</v>
      </c>
      <c r="W687" s="376" t="str">
        <f>CS_PID!W687/VLOOKUP($B687,표2[#ALL],2)/HLOOKUP($A687,표1[#ALL],row(),false)</f>
        <v>#N/A</v>
      </c>
      <c r="X687" s="376" t="str">
        <f>CS_PID!X687/VLOOKUP($B687,표2[#ALL],2)/HLOOKUP($A687,표1[#ALL],row(),false)</f>
        <v>#N/A</v>
      </c>
      <c r="Y687" s="376" t="str">
        <f>CS_PID!Y687/VLOOKUP($B687,표2[#ALL],2)/HLOOKUP($A687,표1[#ALL],row(),false)</f>
        <v>#N/A</v>
      </c>
      <c r="Z687" s="376" t="str">
        <f>CS_PID!Z687/VLOOKUP($B687,표2[#ALL],2)/HLOOKUP($A687,표1[#ALL],row(),false)</f>
        <v>#N/A</v>
      </c>
      <c r="AA687" s="376" t="str">
        <f>CS_PID!AA687/VLOOKUP($B687,표2[#ALL],2)/HLOOKUP($A687,표1[#ALL],row(),false)</f>
        <v>#N/A</v>
      </c>
      <c r="AB687" s="376" t="str">
        <f>CS_PID!AB687/VLOOKUP($B687,표2[#ALL],2)/HLOOKUP($A687,표1[#ALL],row(),false)</f>
        <v>#N/A</v>
      </c>
      <c r="AC687" s="376" t="str">
        <f>CS_PID!AC687/VLOOKUP($B687,표2[#ALL],2)/HLOOKUP($A687,표1[#ALL],row(),false)</f>
        <v>#N/A</v>
      </c>
      <c r="AD687" s="376" t="str">
        <f>CS_PID!AD687/VLOOKUP($B687,표2[#ALL],2)/HLOOKUP($A687,표1[#ALL],row(),false)</f>
        <v>#N/A</v>
      </c>
      <c r="AE687" s="376" t="str">
        <f>CS_PID!AE687/VLOOKUP($B687,표2[#ALL],2)/HLOOKUP($A687,표1[#ALL],row(),false)</f>
        <v>#N/A</v>
      </c>
      <c r="AF687" s="376" t="str">
        <f>CS_PID!AF687/VLOOKUP($B687,표2[#ALL],2)/HLOOKUP($A687,표1[#ALL],row(),false)</f>
        <v>#N/A</v>
      </c>
      <c r="AG687" s="376" t="str">
        <f>CS_PID!AG687/VLOOKUP($B687,표2[#ALL],2)/HLOOKUP($A687,표1[#ALL],row(),false)</f>
        <v>#N/A</v>
      </c>
      <c r="AH687" s="376" t="str">
        <f>CS_PID!AH687/VLOOKUP($B687,표2[#ALL],2)/HLOOKUP($A687,표1[#ALL],row(),false)</f>
        <v>#N/A</v>
      </c>
      <c r="AI687" s="376" t="str">
        <f>CS_PID!AI687/VLOOKUP($B687,표2[#ALL],2)/HLOOKUP($A687,표1[#ALL],row(),false)</f>
        <v>#N/A</v>
      </c>
      <c r="AJ687" s="376" t="str">
        <f>CS_PID!AJ687/VLOOKUP($B687,표2[#ALL],2)/HLOOKUP($A687,표1[#ALL],row(),false)</f>
        <v>#N/A</v>
      </c>
      <c r="AK687" s="376" t="str">
        <f>CS_PID!AK687/VLOOKUP($B687,표2[#ALL],2)/HLOOKUP($A687,표1[#ALL],row(),false)</f>
        <v>#N/A</v>
      </c>
      <c r="AL687" s="376" t="str">
        <f>CS_PID!AL687/VLOOKUP($B687,표2[#ALL],2)/HLOOKUP($A687,표1[#ALL],row(),false)</f>
        <v>#N/A</v>
      </c>
      <c r="AM687" s="376" t="str">
        <f>CS_PID!AM687/VLOOKUP($B687,표2[#ALL],2)/HLOOKUP($A687,표1[#ALL],row(),false)</f>
        <v>#N/A</v>
      </c>
      <c r="AN687" s="376" t="str">
        <f>CS_PID!AN687/VLOOKUP($B687,표2[#ALL],2)/HLOOKUP($A687,표1[#ALL],row(),false)</f>
        <v>#N/A</v>
      </c>
      <c r="AO687" s="376" t="str">
        <f>CS_PID!AO687/VLOOKUP($B687,표2[#ALL],2)/HLOOKUP($A687,표1[#ALL],row(),false)</f>
        <v>#N/A</v>
      </c>
      <c r="AP687" s="376" t="str">
        <f>CS_PID!AP687/VLOOKUP($B687,표2[#ALL],2)/HLOOKUP($A687,표1[#ALL],row(),false)</f>
        <v>#N/A</v>
      </c>
      <c r="AQ687" s="376" t="str">
        <f>CS_PID!AQ687/VLOOKUP($B687,표2[#ALL],2)/HLOOKUP($A687,표1[#ALL],row(),false)</f>
        <v>#N/A</v>
      </c>
      <c r="AR687" s="376" t="str">
        <f>CS_PID!AR687/VLOOKUP($B687,표2[#ALL],2)/HLOOKUP($A687,표1[#ALL],row(),false)</f>
        <v>#N/A</v>
      </c>
      <c r="AS687" s="377" t="str">
        <f>CS_PID!AS687/VLOOKUP($B687,표2[#ALL],2)/HLOOKUP($A687,표1[#ALL],row(),false)</f>
        <v>#N/A</v>
      </c>
    </row>
    <row r="688">
      <c r="A688" s="370"/>
      <c r="B688" s="371"/>
      <c r="C688" s="372" t="str">
        <f>CS_PID!C688/VLOOKUP($B688,표2[#ALL],2)</f>
        <v>#N/A</v>
      </c>
      <c r="D688" s="372" t="str">
        <f>CS_PID!D688/VLOOKUP($B688,표2[#ALL],2)</f>
        <v>#N/A</v>
      </c>
      <c r="E688" s="372" t="str">
        <f>CS_PID!E688/VLOOKUP($B688,표2[#ALL],2)</f>
        <v>#N/A</v>
      </c>
      <c r="F688" s="372" t="str">
        <f>CS_PID!F688/VLOOKUP($B688,표2[#ALL],2)</f>
        <v>#N/A</v>
      </c>
      <c r="G688" s="372" t="str">
        <f>CS_PID!G688/VLOOKUP($B688,표2[#ALL],2)</f>
        <v>#N/A</v>
      </c>
      <c r="H688" s="372" t="str">
        <f>CS_PID!H688/VLOOKUP($B688,표2[#ALL],2)/HLOOKUP($A688,표1[#ALL],row(),false)</f>
        <v>#N/A</v>
      </c>
      <c r="I688" s="372" t="str">
        <f>CS_PID!I688/VLOOKUP($B688,표2[#ALL],2)/HLOOKUP($A688,표1[#ALL],row(),false)</f>
        <v>#N/A</v>
      </c>
      <c r="J688" s="372" t="str">
        <f>CS_PID!J688/VLOOKUP($B688,표2[#ALL],2)/HLOOKUP($A688,표1[#ALL],row(),false)</f>
        <v>#N/A</v>
      </c>
      <c r="K688" s="372" t="str">
        <f>CS_PID!K688/VLOOKUP($B688,표2[#ALL],2)/HLOOKUP($A688,표1[#ALL],row(),false)</f>
        <v>#N/A</v>
      </c>
      <c r="L688" s="372" t="str">
        <f>CS_PID!L688/VLOOKUP($B688,표2[#ALL],2)/HLOOKUP($A688,표1[#ALL],row(),false)</f>
        <v>#N/A</v>
      </c>
      <c r="M688" s="372" t="str">
        <f>CS_PID!M688/VLOOKUP($B688,표2[#ALL],2)/HLOOKUP($A688,표1[#ALL],row(),false)</f>
        <v>#N/A</v>
      </c>
      <c r="N688" s="372" t="str">
        <f>CS_PID!N688/VLOOKUP($B688,표2[#ALL],2)/HLOOKUP($A688,표1[#ALL],row(),false)</f>
        <v>#N/A</v>
      </c>
      <c r="O688" s="372" t="str">
        <f>CS_PID!O688/VLOOKUP($B688,표2[#ALL],2)/HLOOKUP($A688,표1[#ALL],row(),false)</f>
        <v>#N/A</v>
      </c>
      <c r="P688" s="372" t="str">
        <f>CS_PID!P688/VLOOKUP($B688,표2[#ALL],2)/HLOOKUP($A688,표1[#ALL],row(),false)</f>
        <v>#N/A</v>
      </c>
      <c r="Q688" s="372" t="str">
        <f>CS_PID!Q688/VLOOKUP($B688,표2[#ALL],2)/HLOOKUP($A688,표1[#ALL],row(),false)</f>
        <v>#N/A</v>
      </c>
      <c r="R688" s="372" t="str">
        <f>CS_PID!R688/VLOOKUP($B688,표2[#ALL],2)/HLOOKUP($A688,표1[#ALL],row(),false)</f>
        <v>#N/A</v>
      </c>
      <c r="S688" s="372" t="str">
        <f>CS_PID!S688/VLOOKUP($B688,표2[#ALL],2)/HLOOKUP($A688,표1[#ALL],row(),false)</f>
        <v>#N/A</v>
      </c>
      <c r="T688" s="372" t="str">
        <f>CS_PID!T688/VLOOKUP($B688,표2[#ALL],2)/HLOOKUP($A688,표1[#ALL],row(),false)</f>
        <v>#N/A</v>
      </c>
      <c r="U688" s="372" t="str">
        <f>CS_PID!U688/VLOOKUP($B688,표2[#ALL],2)/HLOOKUP($A688,표1[#ALL],row(),false)</f>
        <v>#N/A</v>
      </c>
      <c r="V688" s="372" t="str">
        <f>CS_PID!V688/VLOOKUP($B688,표2[#ALL],2)/HLOOKUP($A688,표1[#ALL],row(),false)</f>
        <v>#N/A</v>
      </c>
      <c r="W688" s="372" t="str">
        <f>CS_PID!W688/VLOOKUP($B688,표2[#ALL],2)/HLOOKUP($A688,표1[#ALL],row(),false)</f>
        <v>#N/A</v>
      </c>
      <c r="X688" s="372" t="str">
        <f>CS_PID!X688/VLOOKUP($B688,표2[#ALL],2)/HLOOKUP($A688,표1[#ALL],row(),false)</f>
        <v>#N/A</v>
      </c>
      <c r="Y688" s="372" t="str">
        <f>CS_PID!Y688/VLOOKUP($B688,표2[#ALL],2)/HLOOKUP($A688,표1[#ALL],row(),false)</f>
        <v>#N/A</v>
      </c>
      <c r="Z688" s="372" t="str">
        <f>CS_PID!Z688/VLOOKUP($B688,표2[#ALL],2)/HLOOKUP($A688,표1[#ALL],row(),false)</f>
        <v>#N/A</v>
      </c>
      <c r="AA688" s="372" t="str">
        <f>CS_PID!AA688/VLOOKUP($B688,표2[#ALL],2)/HLOOKUP($A688,표1[#ALL],row(),false)</f>
        <v>#N/A</v>
      </c>
      <c r="AB688" s="372" t="str">
        <f>CS_PID!AB688/VLOOKUP($B688,표2[#ALL],2)/HLOOKUP($A688,표1[#ALL],row(),false)</f>
        <v>#N/A</v>
      </c>
      <c r="AC688" s="372" t="str">
        <f>CS_PID!AC688/VLOOKUP($B688,표2[#ALL],2)/HLOOKUP($A688,표1[#ALL],row(),false)</f>
        <v>#N/A</v>
      </c>
      <c r="AD688" s="372" t="str">
        <f>CS_PID!AD688/VLOOKUP($B688,표2[#ALL],2)/HLOOKUP($A688,표1[#ALL],row(),false)</f>
        <v>#N/A</v>
      </c>
      <c r="AE688" s="372" t="str">
        <f>CS_PID!AE688/VLOOKUP($B688,표2[#ALL],2)/HLOOKUP($A688,표1[#ALL],row(),false)</f>
        <v>#N/A</v>
      </c>
      <c r="AF688" s="372" t="str">
        <f>CS_PID!AF688/VLOOKUP($B688,표2[#ALL],2)/HLOOKUP($A688,표1[#ALL],row(),false)</f>
        <v>#N/A</v>
      </c>
      <c r="AG688" s="372" t="str">
        <f>CS_PID!AG688/VLOOKUP($B688,표2[#ALL],2)/HLOOKUP($A688,표1[#ALL],row(),false)</f>
        <v>#N/A</v>
      </c>
      <c r="AH688" s="372" t="str">
        <f>CS_PID!AH688/VLOOKUP($B688,표2[#ALL],2)/HLOOKUP($A688,표1[#ALL],row(),false)</f>
        <v>#N/A</v>
      </c>
      <c r="AI688" s="372" t="str">
        <f>CS_PID!AI688/VLOOKUP($B688,표2[#ALL],2)/HLOOKUP($A688,표1[#ALL],row(),false)</f>
        <v>#N/A</v>
      </c>
      <c r="AJ688" s="372" t="str">
        <f>CS_PID!AJ688/VLOOKUP($B688,표2[#ALL],2)/HLOOKUP($A688,표1[#ALL],row(),false)</f>
        <v>#N/A</v>
      </c>
      <c r="AK688" s="372" t="str">
        <f>CS_PID!AK688/VLOOKUP($B688,표2[#ALL],2)/HLOOKUP($A688,표1[#ALL],row(),false)</f>
        <v>#N/A</v>
      </c>
      <c r="AL688" s="372" t="str">
        <f>CS_PID!AL688/VLOOKUP($B688,표2[#ALL],2)/HLOOKUP($A688,표1[#ALL],row(),false)</f>
        <v>#N/A</v>
      </c>
      <c r="AM688" s="372" t="str">
        <f>CS_PID!AM688/VLOOKUP($B688,표2[#ALL],2)/HLOOKUP($A688,표1[#ALL],row(),false)</f>
        <v>#N/A</v>
      </c>
      <c r="AN688" s="372" t="str">
        <f>CS_PID!AN688/VLOOKUP($B688,표2[#ALL],2)/HLOOKUP($A688,표1[#ALL],row(),false)</f>
        <v>#N/A</v>
      </c>
      <c r="AO688" s="372" t="str">
        <f>CS_PID!AO688/VLOOKUP($B688,표2[#ALL],2)/HLOOKUP($A688,표1[#ALL],row(),false)</f>
        <v>#N/A</v>
      </c>
      <c r="AP688" s="372" t="str">
        <f>CS_PID!AP688/VLOOKUP($B688,표2[#ALL],2)/HLOOKUP($A688,표1[#ALL],row(),false)</f>
        <v>#N/A</v>
      </c>
      <c r="AQ688" s="372" t="str">
        <f>CS_PID!AQ688/VLOOKUP($B688,표2[#ALL],2)/HLOOKUP($A688,표1[#ALL],row(),false)</f>
        <v>#N/A</v>
      </c>
      <c r="AR688" s="372" t="str">
        <f>CS_PID!AR688/VLOOKUP($B688,표2[#ALL],2)/HLOOKUP($A688,표1[#ALL],row(),false)</f>
        <v>#N/A</v>
      </c>
      <c r="AS688" s="373" t="str">
        <f>CS_PID!AS688/VLOOKUP($B688,표2[#ALL],2)/HLOOKUP($A688,표1[#ALL],row(),false)</f>
        <v>#N/A</v>
      </c>
    </row>
    <row r="689">
      <c r="A689" s="374"/>
      <c r="B689" s="375"/>
      <c r="C689" s="376" t="str">
        <f>CS_PID!C689/VLOOKUP($B689,표2[#ALL],2)</f>
        <v>#N/A</v>
      </c>
      <c r="D689" s="376" t="str">
        <f>CS_PID!D689/VLOOKUP($B689,표2[#ALL],2)</f>
        <v>#N/A</v>
      </c>
      <c r="E689" s="376" t="str">
        <f>CS_PID!E689/VLOOKUP($B689,표2[#ALL],2)</f>
        <v>#N/A</v>
      </c>
      <c r="F689" s="376" t="str">
        <f>CS_PID!F689/VLOOKUP($B689,표2[#ALL],2)</f>
        <v>#N/A</v>
      </c>
      <c r="G689" s="376" t="str">
        <f>CS_PID!G689/VLOOKUP($B689,표2[#ALL],2)</f>
        <v>#N/A</v>
      </c>
      <c r="H689" s="376" t="str">
        <f>CS_PID!H689/VLOOKUP($B689,표2[#ALL],2)/HLOOKUP($A689,표1[#ALL],row(),false)</f>
        <v>#N/A</v>
      </c>
      <c r="I689" s="376" t="str">
        <f>CS_PID!I689/VLOOKUP($B689,표2[#ALL],2)/HLOOKUP($A689,표1[#ALL],row(),false)</f>
        <v>#N/A</v>
      </c>
      <c r="J689" s="376" t="str">
        <f>CS_PID!J689/VLOOKUP($B689,표2[#ALL],2)/HLOOKUP($A689,표1[#ALL],row(),false)</f>
        <v>#N/A</v>
      </c>
      <c r="K689" s="376" t="str">
        <f>CS_PID!K689/VLOOKUP($B689,표2[#ALL],2)/HLOOKUP($A689,표1[#ALL],row(),false)</f>
        <v>#N/A</v>
      </c>
      <c r="L689" s="376" t="str">
        <f>CS_PID!L689/VLOOKUP($B689,표2[#ALL],2)/HLOOKUP($A689,표1[#ALL],row(),false)</f>
        <v>#N/A</v>
      </c>
      <c r="M689" s="376" t="str">
        <f>CS_PID!M689/VLOOKUP($B689,표2[#ALL],2)/HLOOKUP($A689,표1[#ALL],row(),false)</f>
        <v>#N/A</v>
      </c>
      <c r="N689" s="376" t="str">
        <f>CS_PID!N689/VLOOKUP($B689,표2[#ALL],2)/HLOOKUP($A689,표1[#ALL],row(),false)</f>
        <v>#N/A</v>
      </c>
      <c r="O689" s="376" t="str">
        <f>CS_PID!O689/VLOOKUP($B689,표2[#ALL],2)/HLOOKUP($A689,표1[#ALL],row(),false)</f>
        <v>#N/A</v>
      </c>
      <c r="P689" s="376" t="str">
        <f>CS_PID!P689/VLOOKUP($B689,표2[#ALL],2)/HLOOKUP($A689,표1[#ALL],row(),false)</f>
        <v>#N/A</v>
      </c>
      <c r="Q689" s="376" t="str">
        <f>CS_PID!Q689/VLOOKUP($B689,표2[#ALL],2)/HLOOKUP($A689,표1[#ALL],row(),false)</f>
        <v>#N/A</v>
      </c>
      <c r="R689" s="376" t="str">
        <f>CS_PID!R689/VLOOKUP($B689,표2[#ALL],2)/HLOOKUP($A689,표1[#ALL],row(),false)</f>
        <v>#N/A</v>
      </c>
      <c r="S689" s="376" t="str">
        <f>CS_PID!S689/VLOOKUP($B689,표2[#ALL],2)/HLOOKUP($A689,표1[#ALL],row(),false)</f>
        <v>#N/A</v>
      </c>
      <c r="T689" s="376" t="str">
        <f>CS_PID!T689/VLOOKUP($B689,표2[#ALL],2)/HLOOKUP($A689,표1[#ALL],row(),false)</f>
        <v>#N/A</v>
      </c>
      <c r="U689" s="376" t="str">
        <f>CS_PID!U689/VLOOKUP($B689,표2[#ALL],2)/HLOOKUP($A689,표1[#ALL],row(),false)</f>
        <v>#N/A</v>
      </c>
      <c r="V689" s="376" t="str">
        <f>CS_PID!V689/VLOOKUP($B689,표2[#ALL],2)/HLOOKUP($A689,표1[#ALL],row(),false)</f>
        <v>#N/A</v>
      </c>
      <c r="W689" s="376" t="str">
        <f>CS_PID!W689/VLOOKUP($B689,표2[#ALL],2)/HLOOKUP($A689,표1[#ALL],row(),false)</f>
        <v>#N/A</v>
      </c>
      <c r="X689" s="376" t="str">
        <f>CS_PID!X689/VLOOKUP($B689,표2[#ALL],2)/HLOOKUP($A689,표1[#ALL],row(),false)</f>
        <v>#N/A</v>
      </c>
      <c r="Y689" s="376" t="str">
        <f>CS_PID!Y689/VLOOKUP($B689,표2[#ALL],2)/HLOOKUP($A689,표1[#ALL],row(),false)</f>
        <v>#N/A</v>
      </c>
      <c r="Z689" s="376" t="str">
        <f>CS_PID!Z689/VLOOKUP($B689,표2[#ALL],2)/HLOOKUP($A689,표1[#ALL],row(),false)</f>
        <v>#N/A</v>
      </c>
      <c r="AA689" s="376" t="str">
        <f>CS_PID!AA689/VLOOKUP($B689,표2[#ALL],2)/HLOOKUP($A689,표1[#ALL],row(),false)</f>
        <v>#N/A</v>
      </c>
      <c r="AB689" s="376" t="str">
        <f>CS_PID!AB689/VLOOKUP($B689,표2[#ALL],2)/HLOOKUP($A689,표1[#ALL],row(),false)</f>
        <v>#N/A</v>
      </c>
      <c r="AC689" s="376" t="str">
        <f>CS_PID!AC689/VLOOKUP($B689,표2[#ALL],2)/HLOOKUP($A689,표1[#ALL],row(),false)</f>
        <v>#N/A</v>
      </c>
      <c r="AD689" s="376" t="str">
        <f>CS_PID!AD689/VLOOKUP($B689,표2[#ALL],2)/HLOOKUP($A689,표1[#ALL],row(),false)</f>
        <v>#N/A</v>
      </c>
      <c r="AE689" s="376" t="str">
        <f>CS_PID!AE689/VLOOKUP($B689,표2[#ALL],2)/HLOOKUP($A689,표1[#ALL],row(),false)</f>
        <v>#N/A</v>
      </c>
      <c r="AF689" s="376" t="str">
        <f>CS_PID!AF689/VLOOKUP($B689,표2[#ALL],2)/HLOOKUP($A689,표1[#ALL],row(),false)</f>
        <v>#N/A</v>
      </c>
      <c r="AG689" s="376" t="str">
        <f>CS_PID!AG689/VLOOKUP($B689,표2[#ALL],2)/HLOOKUP($A689,표1[#ALL],row(),false)</f>
        <v>#N/A</v>
      </c>
      <c r="AH689" s="376" t="str">
        <f>CS_PID!AH689/VLOOKUP($B689,표2[#ALL],2)/HLOOKUP($A689,표1[#ALL],row(),false)</f>
        <v>#N/A</v>
      </c>
      <c r="AI689" s="376" t="str">
        <f>CS_PID!AI689/VLOOKUP($B689,표2[#ALL],2)/HLOOKUP($A689,표1[#ALL],row(),false)</f>
        <v>#N/A</v>
      </c>
      <c r="AJ689" s="376" t="str">
        <f>CS_PID!AJ689/VLOOKUP($B689,표2[#ALL],2)/HLOOKUP($A689,표1[#ALL],row(),false)</f>
        <v>#N/A</v>
      </c>
      <c r="AK689" s="376" t="str">
        <f>CS_PID!AK689/VLOOKUP($B689,표2[#ALL],2)/HLOOKUP($A689,표1[#ALL],row(),false)</f>
        <v>#N/A</v>
      </c>
      <c r="AL689" s="376" t="str">
        <f>CS_PID!AL689/VLOOKUP($B689,표2[#ALL],2)/HLOOKUP($A689,표1[#ALL],row(),false)</f>
        <v>#N/A</v>
      </c>
      <c r="AM689" s="376" t="str">
        <f>CS_PID!AM689/VLOOKUP($B689,표2[#ALL],2)/HLOOKUP($A689,표1[#ALL],row(),false)</f>
        <v>#N/A</v>
      </c>
      <c r="AN689" s="376" t="str">
        <f>CS_PID!AN689/VLOOKUP($B689,표2[#ALL],2)/HLOOKUP($A689,표1[#ALL],row(),false)</f>
        <v>#N/A</v>
      </c>
      <c r="AO689" s="376" t="str">
        <f>CS_PID!AO689/VLOOKUP($B689,표2[#ALL],2)/HLOOKUP($A689,표1[#ALL],row(),false)</f>
        <v>#N/A</v>
      </c>
      <c r="AP689" s="376" t="str">
        <f>CS_PID!AP689/VLOOKUP($B689,표2[#ALL],2)/HLOOKUP($A689,표1[#ALL],row(),false)</f>
        <v>#N/A</v>
      </c>
      <c r="AQ689" s="376" t="str">
        <f>CS_PID!AQ689/VLOOKUP($B689,표2[#ALL],2)/HLOOKUP($A689,표1[#ALL],row(),false)</f>
        <v>#N/A</v>
      </c>
      <c r="AR689" s="376" t="str">
        <f>CS_PID!AR689/VLOOKUP($B689,표2[#ALL],2)/HLOOKUP($A689,표1[#ALL],row(),false)</f>
        <v>#N/A</v>
      </c>
      <c r="AS689" s="377" t="str">
        <f>CS_PID!AS689/VLOOKUP($B689,표2[#ALL],2)/HLOOKUP($A689,표1[#ALL],row(),false)</f>
        <v>#N/A</v>
      </c>
    </row>
    <row r="690">
      <c r="A690" s="370"/>
      <c r="B690" s="371"/>
      <c r="C690" s="372" t="str">
        <f>CS_PID!C690/VLOOKUP($B690,표2[#ALL],2)</f>
        <v>#N/A</v>
      </c>
      <c r="D690" s="372" t="str">
        <f>CS_PID!D690/VLOOKUP($B690,표2[#ALL],2)</f>
        <v>#N/A</v>
      </c>
      <c r="E690" s="372" t="str">
        <f>CS_PID!E690/VLOOKUP($B690,표2[#ALL],2)</f>
        <v>#N/A</v>
      </c>
      <c r="F690" s="372" t="str">
        <f>CS_PID!F690/VLOOKUP($B690,표2[#ALL],2)</f>
        <v>#N/A</v>
      </c>
      <c r="G690" s="372" t="str">
        <f>CS_PID!G690/VLOOKUP($B690,표2[#ALL],2)</f>
        <v>#N/A</v>
      </c>
      <c r="H690" s="372" t="str">
        <f>CS_PID!H690/VLOOKUP($B690,표2[#ALL],2)/HLOOKUP($A690,표1[#ALL],row(),false)</f>
        <v>#N/A</v>
      </c>
      <c r="I690" s="372" t="str">
        <f>CS_PID!I690/VLOOKUP($B690,표2[#ALL],2)/HLOOKUP($A690,표1[#ALL],row(),false)</f>
        <v>#N/A</v>
      </c>
      <c r="J690" s="372" t="str">
        <f>CS_PID!J690/VLOOKUP($B690,표2[#ALL],2)/HLOOKUP($A690,표1[#ALL],row(),false)</f>
        <v>#N/A</v>
      </c>
      <c r="K690" s="372" t="str">
        <f>CS_PID!K690/VLOOKUP($B690,표2[#ALL],2)/HLOOKUP($A690,표1[#ALL],row(),false)</f>
        <v>#N/A</v>
      </c>
      <c r="L690" s="372" t="str">
        <f>CS_PID!L690/VLOOKUP($B690,표2[#ALL],2)/HLOOKUP($A690,표1[#ALL],row(),false)</f>
        <v>#N/A</v>
      </c>
      <c r="M690" s="372" t="str">
        <f>CS_PID!M690/VLOOKUP($B690,표2[#ALL],2)/HLOOKUP($A690,표1[#ALL],row(),false)</f>
        <v>#N/A</v>
      </c>
      <c r="N690" s="372" t="str">
        <f>CS_PID!N690/VLOOKUP($B690,표2[#ALL],2)/HLOOKUP($A690,표1[#ALL],row(),false)</f>
        <v>#N/A</v>
      </c>
      <c r="O690" s="372" t="str">
        <f>CS_PID!O690/VLOOKUP($B690,표2[#ALL],2)/HLOOKUP($A690,표1[#ALL],row(),false)</f>
        <v>#N/A</v>
      </c>
      <c r="P690" s="372" t="str">
        <f>CS_PID!P690/VLOOKUP($B690,표2[#ALL],2)/HLOOKUP($A690,표1[#ALL],row(),false)</f>
        <v>#N/A</v>
      </c>
      <c r="Q690" s="372" t="str">
        <f>CS_PID!Q690/VLOOKUP($B690,표2[#ALL],2)/HLOOKUP($A690,표1[#ALL],row(),false)</f>
        <v>#N/A</v>
      </c>
      <c r="R690" s="372" t="str">
        <f>CS_PID!R690/VLOOKUP($B690,표2[#ALL],2)/HLOOKUP($A690,표1[#ALL],row(),false)</f>
        <v>#N/A</v>
      </c>
      <c r="S690" s="372" t="str">
        <f>CS_PID!S690/VLOOKUP($B690,표2[#ALL],2)/HLOOKUP($A690,표1[#ALL],row(),false)</f>
        <v>#N/A</v>
      </c>
      <c r="T690" s="372" t="str">
        <f>CS_PID!T690/VLOOKUP($B690,표2[#ALL],2)/HLOOKUP($A690,표1[#ALL],row(),false)</f>
        <v>#N/A</v>
      </c>
      <c r="U690" s="372" t="str">
        <f>CS_PID!U690/VLOOKUP($B690,표2[#ALL],2)/HLOOKUP($A690,표1[#ALL],row(),false)</f>
        <v>#N/A</v>
      </c>
      <c r="V690" s="372" t="str">
        <f>CS_PID!V690/VLOOKUP($B690,표2[#ALL],2)/HLOOKUP($A690,표1[#ALL],row(),false)</f>
        <v>#N/A</v>
      </c>
      <c r="W690" s="372" t="str">
        <f>CS_PID!W690/VLOOKUP($B690,표2[#ALL],2)/HLOOKUP($A690,표1[#ALL],row(),false)</f>
        <v>#N/A</v>
      </c>
      <c r="X690" s="372" t="str">
        <f>CS_PID!X690/VLOOKUP($B690,표2[#ALL],2)/HLOOKUP($A690,표1[#ALL],row(),false)</f>
        <v>#N/A</v>
      </c>
      <c r="Y690" s="372" t="str">
        <f>CS_PID!Y690/VLOOKUP($B690,표2[#ALL],2)/HLOOKUP($A690,표1[#ALL],row(),false)</f>
        <v>#N/A</v>
      </c>
      <c r="Z690" s="372" t="str">
        <f>CS_PID!Z690/VLOOKUP($B690,표2[#ALL],2)/HLOOKUP($A690,표1[#ALL],row(),false)</f>
        <v>#N/A</v>
      </c>
      <c r="AA690" s="372" t="str">
        <f>CS_PID!AA690/VLOOKUP($B690,표2[#ALL],2)/HLOOKUP($A690,표1[#ALL],row(),false)</f>
        <v>#N/A</v>
      </c>
      <c r="AB690" s="372" t="str">
        <f>CS_PID!AB690/VLOOKUP($B690,표2[#ALL],2)/HLOOKUP($A690,표1[#ALL],row(),false)</f>
        <v>#N/A</v>
      </c>
      <c r="AC690" s="372" t="str">
        <f>CS_PID!AC690/VLOOKUP($B690,표2[#ALL],2)/HLOOKUP($A690,표1[#ALL],row(),false)</f>
        <v>#N/A</v>
      </c>
      <c r="AD690" s="372" t="str">
        <f>CS_PID!AD690/VLOOKUP($B690,표2[#ALL],2)/HLOOKUP($A690,표1[#ALL],row(),false)</f>
        <v>#N/A</v>
      </c>
      <c r="AE690" s="372" t="str">
        <f>CS_PID!AE690/VLOOKUP($B690,표2[#ALL],2)/HLOOKUP($A690,표1[#ALL],row(),false)</f>
        <v>#N/A</v>
      </c>
      <c r="AF690" s="372" t="str">
        <f>CS_PID!AF690/VLOOKUP($B690,표2[#ALL],2)/HLOOKUP($A690,표1[#ALL],row(),false)</f>
        <v>#N/A</v>
      </c>
      <c r="AG690" s="372" t="str">
        <f>CS_PID!AG690/VLOOKUP($B690,표2[#ALL],2)/HLOOKUP($A690,표1[#ALL],row(),false)</f>
        <v>#N/A</v>
      </c>
      <c r="AH690" s="372" t="str">
        <f>CS_PID!AH690/VLOOKUP($B690,표2[#ALL],2)/HLOOKUP($A690,표1[#ALL],row(),false)</f>
        <v>#N/A</v>
      </c>
      <c r="AI690" s="372" t="str">
        <f>CS_PID!AI690/VLOOKUP($B690,표2[#ALL],2)/HLOOKUP($A690,표1[#ALL],row(),false)</f>
        <v>#N/A</v>
      </c>
      <c r="AJ690" s="372" t="str">
        <f>CS_PID!AJ690/VLOOKUP($B690,표2[#ALL],2)/HLOOKUP($A690,표1[#ALL],row(),false)</f>
        <v>#N/A</v>
      </c>
      <c r="AK690" s="372" t="str">
        <f>CS_PID!AK690/VLOOKUP($B690,표2[#ALL],2)/HLOOKUP($A690,표1[#ALL],row(),false)</f>
        <v>#N/A</v>
      </c>
      <c r="AL690" s="372" t="str">
        <f>CS_PID!AL690/VLOOKUP($B690,표2[#ALL],2)/HLOOKUP($A690,표1[#ALL],row(),false)</f>
        <v>#N/A</v>
      </c>
      <c r="AM690" s="372" t="str">
        <f>CS_PID!AM690/VLOOKUP($B690,표2[#ALL],2)/HLOOKUP($A690,표1[#ALL],row(),false)</f>
        <v>#N/A</v>
      </c>
      <c r="AN690" s="372" t="str">
        <f>CS_PID!AN690/VLOOKUP($B690,표2[#ALL],2)/HLOOKUP($A690,표1[#ALL],row(),false)</f>
        <v>#N/A</v>
      </c>
      <c r="AO690" s="372" t="str">
        <f>CS_PID!AO690/VLOOKUP($B690,표2[#ALL],2)/HLOOKUP($A690,표1[#ALL],row(),false)</f>
        <v>#N/A</v>
      </c>
      <c r="AP690" s="372" t="str">
        <f>CS_PID!AP690/VLOOKUP($B690,표2[#ALL],2)/HLOOKUP($A690,표1[#ALL],row(),false)</f>
        <v>#N/A</v>
      </c>
      <c r="AQ690" s="372" t="str">
        <f>CS_PID!AQ690/VLOOKUP($B690,표2[#ALL],2)/HLOOKUP($A690,표1[#ALL],row(),false)</f>
        <v>#N/A</v>
      </c>
      <c r="AR690" s="372" t="str">
        <f>CS_PID!AR690/VLOOKUP($B690,표2[#ALL],2)/HLOOKUP($A690,표1[#ALL],row(),false)</f>
        <v>#N/A</v>
      </c>
      <c r="AS690" s="373" t="str">
        <f>CS_PID!AS690/VLOOKUP($B690,표2[#ALL],2)/HLOOKUP($A690,표1[#ALL],row(),false)</f>
        <v>#N/A</v>
      </c>
    </row>
    <row r="691">
      <c r="A691" s="374"/>
      <c r="B691" s="375"/>
      <c r="C691" s="376" t="str">
        <f>CS_PID!C691/VLOOKUP($B691,표2[#ALL],2)</f>
        <v>#N/A</v>
      </c>
      <c r="D691" s="376" t="str">
        <f>CS_PID!D691/VLOOKUP($B691,표2[#ALL],2)</f>
        <v>#N/A</v>
      </c>
      <c r="E691" s="376" t="str">
        <f>CS_PID!E691/VLOOKUP($B691,표2[#ALL],2)</f>
        <v>#N/A</v>
      </c>
      <c r="F691" s="376" t="str">
        <f>CS_PID!F691/VLOOKUP($B691,표2[#ALL],2)</f>
        <v>#N/A</v>
      </c>
      <c r="G691" s="376" t="str">
        <f>CS_PID!G691/VLOOKUP($B691,표2[#ALL],2)</f>
        <v>#N/A</v>
      </c>
      <c r="H691" s="376" t="str">
        <f>CS_PID!H691/VLOOKUP($B691,표2[#ALL],2)/HLOOKUP($A691,표1[#ALL],row(),false)</f>
        <v>#N/A</v>
      </c>
      <c r="I691" s="376" t="str">
        <f>CS_PID!I691/VLOOKUP($B691,표2[#ALL],2)/HLOOKUP($A691,표1[#ALL],row(),false)</f>
        <v>#N/A</v>
      </c>
      <c r="J691" s="376" t="str">
        <f>CS_PID!J691/VLOOKUP($B691,표2[#ALL],2)/HLOOKUP($A691,표1[#ALL],row(),false)</f>
        <v>#N/A</v>
      </c>
      <c r="K691" s="376" t="str">
        <f>CS_PID!K691/VLOOKUP($B691,표2[#ALL],2)/HLOOKUP($A691,표1[#ALL],row(),false)</f>
        <v>#N/A</v>
      </c>
      <c r="L691" s="376" t="str">
        <f>CS_PID!L691/VLOOKUP($B691,표2[#ALL],2)/HLOOKUP($A691,표1[#ALL],row(),false)</f>
        <v>#N/A</v>
      </c>
      <c r="M691" s="376" t="str">
        <f>CS_PID!M691/VLOOKUP($B691,표2[#ALL],2)/HLOOKUP($A691,표1[#ALL],row(),false)</f>
        <v>#N/A</v>
      </c>
      <c r="N691" s="376" t="str">
        <f>CS_PID!N691/VLOOKUP($B691,표2[#ALL],2)/HLOOKUP($A691,표1[#ALL],row(),false)</f>
        <v>#N/A</v>
      </c>
      <c r="O691" s="376" t="str">
        <f>CS_PID!O691/VLOOKUP($B691,표2[#ALL],2)/HLOOKUP($A691,표1[#ALL],row(),false)</f>
        <v>#N/A</v>
      </c>
      <c r="P691" s="376" t="str">
        <f>CS_PID!P691/VLOOKUP($B691,표2[#ALL],2)/HLOOKUP($A691,표1[#ALL],row(),false)</f>
        <v>#N/A</v>
      </c>
      <c r="Q691" s="376" t="str">
        <f>CS_PID!Q691/VLOOKUP($B691,표2[#ALL],2)/HLOOKUP($A691,표1[#ALL],row(),false)</f>
        <v>#N/A</v>
      </c>
      <c r="R691" s="376" t="str">
        <f>CS_PID!R691/VLOOKUP($B691,표2[#ALL],2)/HLOOKUP($A691,표1[#ALL],row(),false)</f>
        <v>#N/A</v>
      </c>
      <c r="S691" s="376" t="str">
        <f>CS_PID!S691/VLOOKUP($B691,표2[#ALL],2)/HLOOKUP($A691,표1[#ALL],row(),false)</f>
        <v>#N/A</v>
      </c>
      <c r="T691" s="376" t="str">
        <f>CS_PID!T691/VLOOKUP($B691,표2[#ALL],2)/HLOOKUP($A691,표1[#ALL],row(),false)</f>
        <v>#N/A</v>
      </c>
      <c r="U691" s="376" t="str">
        <f>CS_PID!U691/VLOOKUP($B691,표2[#ALL],2)/HLOOKUP($A691,표1[#ALL],row(),false)</f>
        <v>#N/A</v>
      </c>
      <c r="V691" s="376" t="str">
        <f>CS_PID!V691/VLOOKUP($B691,표2[#ALL],2)/HLOOKUP($A691,표1[#ALL],row(),false)</f>
        <v>#N/A</v>
      </c>
      <c r="W691" s="376" t="str">
        <f>CS_PID!W691/VLOOKUP($B691,표2[#ALL],2)/HLOOKUP($A691,표1[#ALL],row(),false)</f>
        <v>#N/A</v>
      </c>
      <c r="X691" s="376" t="str">
        <f>CS_PID!X691/VLOOKUP($B691,표2[#ALL],2)/HLOOKUP($A691,표1[#ALL],row(),false)</f>
        <v>#N/A</v>
      </c>
      <c r="Y691" s="376" t="str">
        <f>CS_PID!Y691/VLOOKUP($B691,표2[#ALL],2)/HLOOKUP($A691,표1[#ALL],row(),false)</f>
        <v>#N/A</v>
      </c>
      <c r="Z691" s="376" t="str">
        <f>CS_PID!Z691/VLOOKUP($B691,표2[#ALL],2)/HLOOKUP($A691,표1[#ALL],row(),false)</f>
        <v>#N/A</v>
      </c>
      <c r="AA691" s="376" t="str">
        <f>CS_PID!AA691/VLOOKUP($B691,표2[#ALL],2)/HLOOKUP($A691,표1[#ALL],row(),false)</f>
        <v>#N/A</v>
      </c>
      <c r="AB691" s="376" t="str">
        <f>CS_PID!AB691/VLOOKUP($B691,표2[#ALL],2)/HLOOKUP($A691,표1[#ALL],row(),false)</f>
        <v>#N/A</v>
      </c>
      <c r="AC691" s="376" t="str">
        <f>CS_PID!AC691/VLOOKUP($B691,표2[#ALL],2)/HLOOKUP($A691,표1[#ALL],row(),false)</f>
        <v>#N/A</v>
      </c>
      <c r="AD691" s="376" t="str">
        <f>CS_PID!AD691/VLOOKUP($B691,표2[#ALL],2)/HLOOKUP($A691,표1[#ALL],row(),false)</f>
        <v>#N/A</v>
      </c>
      <c r="AE691" s="376" t="str">
        <f>CS_PID!AE691/VLOOKUP($B691,표2[#ALL],2)/HLOOKUP($A691,표1[#ALL],row(),false)</f>
        <v>#N/A</v>
      </c>
      <c r="AF691" s="376" t="str">
        <f>CS_PID!AF691/VLOOKUP($B691,표2[#ALL],2)/HLOOKUP($A691,표1[#ALL],row(),false)</f>
        <v>#N/A</v>
      </c>
      <c r="AG691" s="376" t="str">
        <f>CS_PID!AG691/VLOOKUP($B691,표2[#ALL],2)/HLOOKUP($A691,표1[#ALL],row(),false)</f>
        <v>#N/A</v>
      </c>
      <c r="AH691" s="376" t="str">
        <f>CS_PID!AH691/VLOOKUP($B691,표2[#ALL],2)/HLOOKUP($A691,표1[#ALL],row(),false)</f>
        <v>#N/A</v>
      </c>
      <c r="AI691" s="376" t="str">
        <f>CS_PID!AI691/VLOOKUP($B691,표2[#ALL],2)/HLOOKUP($A691,표1[#ALL],row(),false)</f>
        <v>#N/A</v>
      </c>
      <c r="AJ691" s="376" t="str">
        <f>CS_PID!AJ691/VLOOKUP($B691,표2[#ALL],2)/HLOOKUP($A691,표1[#ALL],row(),false)</f>
        <v>#N/A</v>
      </c>
      <c r="AK691" s="376" t="str">
        <f>CS_PID!AK691/VLOOKUP($B691,표2[#ALL],2)/HLOOKUP($A691,표1[#ALL],row(),false)</f>
        <v>#N/A</v>
      </c>
      <c r="AL691" s="376" t="str">
        <f>CS_PID!AL691/VLOOKUP($B691,표2[#ALL],2)/HLOOKUP($A691,표1[#ALL],row(),false)</f>
        <v>#N/A</v>
      </c>
      <c r="AM691" s="376" t="str">
        <f>CS_PID!AM691/VLOOKUP($B691,표2[#ALL],2)/HLOOKUP($A691,표1[#ALL],row(),false)</f>
        <v>#N/A</v>
      </c>
      <c r="AN691" s="376" t="str">
        <f>CS_PID!AN691/VLOOKUP($B691,표2[#ALL],2)/HLOOKUP($A691,표1[#ALL],row(),false)</f>
        <v>#N/A</v>
      </c>
      <c r="AO691" s="376" t="str">
        <f>CS_PID!AO691/VLOOKUP($B691,표2[#ALL],2)/HLOOKUP($A691,표1[#ALL],row(),false)</f>
        <v>#N/A</v>
      </c>
      <c r="AP691" s="376" t="str">
        <f>CS_PID!AP691/VLOOKUP($B691,표2[#ALL],2)/HLOOKUP($A691,표1[#ALL],row(),false)</f>
        <v>#N/A</v>
      </c>
      <c r="AQ691" s="376" t="str">
        <f>CS_PID!AQ691/VLOOKUP($B691,표2[#ALL],2)/HLOOKUP($A691,표1[#ALL],row(),false)</f>
        <v>#N/A</v>
      </c>
      <c r="AR691" s="376" t="str">
        <f>CS_PID!AR691/VLOOKUP($B691,표2[#ALL],2)/HLOOKUP($A691,표1[#ALL],row(),false)</f>
        <v>#N/A</v>
      </c>
      <c r="AS691" s="377" t="str">
        <f>CS_PID!AS691/VLOOKUP($B691,표2[#ALL],2)/HLOOKUP($A691,표1[#ALL],row(),false)</f>
        <v>#N/A</v>
      </c>
    </row>
    <row r="692">
      <c r="A692" s="370"/>
      <c r="B692" s="371"/>
      <c r="C692" s="372" t="str">
        <f>CS_PID!C692/VLOOKUP($B692,표2[#ALL],2)</f>
        <v>#N/A</v>
      </c>
      <c r="D692" s="372" t="str">
        <f>CS_PID!D692/VLOOKUP($B692,표2[#ALL],2)</f>
        <v>#N/A</v>
      </c>
      <c r="E692" s="372" t="str">
        <f>CS_PID!E692/VLOOKUP($B692,표2[#ALL],2)</f>
        <v>#N/A</v>
      </c>
      <c r="F692" s="372" t="str">
        <f>CS_PID!F692/VLOOKUP($B692,표2[#ALL],2)</f>
        <v>#N/A</v>
      </c>
      <c r="G692" s="372" t="str">
        <f>CS_PID!G692/VLOOKUP($B692,표2[#ALL],2)</f>
        <v>#N/A</v>
      </c>
      <c r="H692" s="372" t="str">
        <f>CS_PID!H692/VLOOKUP($B692,표2[#ALL],2)/HLOOKUP($A692,표1[#ALL],row(),false)</f>
        <v>#N/A</v>
      </c>
      <c r="I692" s="372" t="str">
        <f>CS_PID!I692/VLOOKUP($B692,표2[#ALL],2)/HLOOKUP($A692,표1[#ALL],row(),false)</f>
        <v>#N/A</v>
      </c>
      <c r="J692" s="372" t="str">
        <f>CS_PID!J692/VLOOKUP($B692,표2[#ALL],2)/HLOOKUP($A692,표1[#ALL],row(),false)</f>
        <v>#N/A</v>
      </c>
      <c r="K692" s="372" t="str">
        <f>CS_PID!K692/VLOOKUP($B692,표2[#ALL],2)/HLOOKUP($A692,표1[#ALL],row(),false)</f>
        <v>#N/A</v>
      </c>
      <c r="L692" s="372" t="str">
        <f>CS_PID!L692/VLOOKUP($B692,표2[#ALL],2)/HLOOKUP($A692,표1[#ALL],row(),false)</f>
        <v>#N/A</v>
      </c>
      <c r="M692" s="372" t="str">
        <f>CS_PID!M692/VLOOKUP($B692,표2[#ALL],2)/HLOOKUP($A692,표1[#ALL],row(),false)</f>
        <v>#N/A</v>
      </c>
      <c r="N692" s="372" t="str">
        <f>CS_PID!N692/VLOOKUP($B692,표2[#ALL],2)/HLOOKUP($A692,표1[#ALL],row(),false)</f>
        <v>#N/A</v>
      </c>
      <c r="O692" s="372" t="str">
        <f>CS_PID!O692/VLOOKUP($B692,표2[#ALL],2)/HLOOKUP($A692,표1[#ALL],row(),false)</f>
        <v>#N/A</v>
      </c>
      <c r="P692" s="372" t="str">
        <f>CS_PID!P692/VLOOKUP($B692,표2[#ALL],2)/HLOOKUP($A692,표1[#ALL],row(),false)</f>
        <v>#N/A</v>
      </c>
      <c r="Q692" s="372" t="str">
        <f>CS_PID!Q692/VLOOKUP($B692,표2[#ALL],2)/HLOOKUP($A692,표1[#ALL],row(),false)</f>
        <v>#N/A</v>
      </c>
      <c r="R692" s="372" t="str">
        <f>CS_PID!R692/VLOOKUP($B692,표2[#ALL],2)/HLOOKUP($A692,표1[#ALL],row(),false)</f>
        <v>#N/A</v>
      </c>
      <c r="S692" s="372" t="str">
        <f>CS_PID!S692/VLOOKUP($B692,표2[#ALL],2)/HLOOKUP($A692,표1[#ALL],row(),false)</f>
        <v>#N/A</v>
      </c>
      <c r="T692" s="372" t="str">
        <f>CS_PID!T692/VLOOKUP($B692,표2[#ALL],2)/HLOOKUP($A692,표1[#ALL],row(),false)</f>
        <v>#N/A</v>
      </c>
      <c r="U692" s="372" t="str">
        <f>CS_PID!U692/VLOOKUP($B692,표2[#ALL],2)/HLOOKUP($A692,표1[#ALL],row(),false)</f>
        <v>#N/A</v>
      </c>
      <c r="V692" s="372" t="str">
        <f>CS_PID!V692/VLOOKUP($B692,표2[#ALL],2)/HLOOKUP($A692,표1[#ALL],row(),false)</f>
        <v>#N/A</v>
      </c>
      <c r="W692" s="372" t="str">
        <f>CS_PID!W692/VLOOKUP($B692,표2[#ALL],2)/HLOOKUP($A692,표1[#ALL],row(),false)</f>
        <v>#N/A</v>
      </c>
      <c r="X692" s="372" t="str">
        <f>CS_PID!X692/VLOOKUP($B692,표2[#ALL],2)/HLOOKUP($A692,표1[#ALL],row(),false)</f>
        <v>#N/A</v>
      </c>
      <c r="Y692" s="372" t="str">
        <f>CS_PID!Y692/VLOOKUP($B692,표2[#ALL],2)/HLOOKUP($A692,표1[#ALL],row(),false)</f>
        <v>#N/A</v>
      </c>
      <c r="Z692" s="372" t="str">
        <f>CS_PID!Z692/VLOOKUP($B692,표2[#ALL],2)/HLOOKUP($A692,표1[#ALL],row(),false)</f>
        <v>#N/A</v>
      </c>
      <c r="AA692" s="372" t="str">
        <f>CS_PID!AA692/VLOOKUP($B692,표2[#ALL],2)/HLOOKUP($A692,표1[#ALL],row(),false)</f>
        <v>#N/A</v>
      </c>
      <c r="AB692" s="372" t="str">
        <f>CS_PID!AB692/VLOOKUP($B692,표2[#ALL],2)/HLOOKUP($A692,표1[#ALL],row(),false)</f>
        <v>#N/A</v>
      </c>
      <c r="AC692" s="372" t="str">
        <f>CS_PID!AC692/VLOOKUP($B692,표2[#ALL],2)/HLOOKUP($A692,표1[#ALL],row(),false)</f>
        <v>#N/A</v>
      </c>
      <c r="AD692" s="372" t="str">
        <f>CS_PID!AD692/VLOOKUP($B692,표2[#ALL],2)/HLOOKUP($A692,표1[#ALL],row(),false)</f>
        <v>#N/A</v>
      </c>
      <c r="AE692" s="372" t="str">
        <f>CS_PID!AE692/VLOOKUP($B692,표2[#ALL],2)/HLOOKUP($A692,표1[#ALL],row(),false)</f>
        <v>#N/A</v>
      </c>
      <c r="AF692" s="372" t="str">
        <f>CS_PID!AF692/VLOOKUP($B692,표2[#ALL],2)/HLOOKUP($A692,표1[#ALL],row(),false)</f>
        <v>#N/A</v>
      </c>
      <c r="AG692" s="372" t="str">
        <f>CS_PID!AG692/VLOOKUP($B692,표2[#ALL],2)/HLOOKUP($A692,표1[#ALL],row(),false)</f>
        <v>#N/A</v>
      </c>
      <c r="AH692" s="372" t="str">
        <f>CS_PID!AH692/VLOOKUP($B692,표2[#ALL],2)/HLOOKUP($A692,표1[#ALL],row(),false)</f>
        <v>#N/A</v>
      </c>
      <c r="AI692" s="372" t="str">
        <f>CS_PID!AI692/VLOOKUP($B692,표2[#ALL],2)/HLOOKUP($A692,표1[#ALL],row(),false)</f>
        <v>#N/A</v>
      </c>
      <c r="AJ692" s="372" t="str">
        <f>CS_PID!AJ692/VLOOKUP($B692,표2[#ALL],2)/HLOOKUP($A692,표1[#ALL],row(),false)</f>
        <v>#N/A</v>
      </c>
      <c r="AK692" s="372" t="str">
        <f>CS_PID!AK692/VLOOKUP($B692,표2[#ALL],2)/HLOOKUP($A692,표1[#ALL],row(),false)</f>
        <v>#N/A</v>
      </c>
      <c r="AL692" s="372" t="str">
        <f>CS_PID!AL692/VLOOKUP($B692,표2[#ALL],2)/HLOOKUP($A692,표1[#ALL],row(),false)</f>
        <v>#N/A</v>
      </c>
      <c r="AM692" s="372" t="str">
        <f>CS_PID!AM692/VLOOKUP($B692,표2[#ALL],2)/HLOOKUP($A692,표1[#ALL],row(),false)</f>
        <v>#N/A</v>
      </c>
      <c r="AN692" s="372" t="str">
        <f>CS_PID!AN692/VLOOKUP($B692,표2[#ALL],2)/HLOOKUP($A692,표1[#ALL],row(),false)</f>
        <v>#N/A</v>
      </c>
      <c r="AO692" s="372" t="str">
        <f>CS_PID!AO692/VLOOKUP($B692,표2[#ALL],2)/HLOOKUP($A692,표1[#ALL],row(),false)</f>
        <v>#N/A</v>
      </c>
      <c r="AP692" s="372" t="str">
        <f>CS_PID!AP692/VLOOKUP($B692,표2[#ALL],2)/HLOOKUP($A692,표1[#ALL],row(),false)</f>
        <v>#N/A</v>
      </c>
      <c r="AQ692" s="372" t="str">
        <f>CS_PID!AQ692/VLOOKUP($B692,표2[#ALL],2)/HLOOKUP($A692,표1[#ALL],row(),false)</f>
        <v>#N/A</v>
      </c>
      <c r="AR692" s="372" t="str">
        <f>CS_PID!AR692/VLOOKUP($B692,표2[#ALL],2)/HLOOKUP($A692,표1[#ALL],row(),false)</f>
        <v>#N/A</v>
      </c>
      <c r="AS692" s="373" t="str">
        <f>CS_PID!AS692/VLOOKUP($B692,표2[#ALL],2)/HLOOKUP($A692,표1[#ALL],row(),false)</f>
        <v>#N/A</v>
      </c>
    </row>
    <row r="693">
      <c r="A693" s="374"/>
      <c r="B693" s="375"/>
      <c r="C693" s="376" t="str">
        <f>CS_PID!C693/VLOOKUP($B693,표2[#ALL],2)</f>
        <v>#N/A</v>
      </c>
      <c r="D693" s="376" t="str">
        <f>CS_PID!D693/VLOOKUP($B693,표2[#ALL],2)</f>
        <v>#N/A</v>
      </c>
      <c r="E693" s="376" t="str">
        <f>CS_PID!E693/VLOOKUP($B693,표2[#ALL],2)</f>
        <v>#N/A</v>
      </c>
      <c r="F693" s="376" t="str">
        <f>CS_PID!F693/VLOOKUP($B693,표2[#ALL],2)</f>
        <v>#N/A</v>
      </c>
      <c r="G693" s="376" t="str">
        <f>CS_PID!G693/VLOOKUP($B693,표2[#ALL],2)</f>
        <v>#N/A</v>
      </c>
      <c r="H693" s="376" t="str">
        <f>CS_PID!H693/VLOOKUP($B693,표2[#ALL],2)/HLOOKUP($A693,표1[#ALL],row(),false)</f>
        <v>#N/A</v>
      </c>
      <c r="I693" s="376" t="str">
        <f>CS_PID!I693/VLOOKUP($B693,표2[#ALL],2)/HLOOKUP($A693,표1[#ALL],row(),false)</f>
        <v>#N/A</v>
      </c>
      <c r="J693" s="376" t="str">
        <f>CS_PID!J693/VLOOKUP($B693,표2[#ALL],2)/HLOOKUP($A693,표1[#ALL],row(),false)</f>
        <v>#N/A</v>
      </c>
      <c r="K693" s="376" t="str">
        <f>CS_PID!K693/VLOOKUP($B693,표2[#ALL],2)/HLOOKUP($A693,표1[#ALL],row(),false)</f>
        <v>#N/A</v>
      </c>
      <c r="L693" s="376" t="str">
        <f>CS_PID!L693/VLOOKUP($B693,표2[#ALL],2)/HLOOKUP($A693,표1[#ALL],row(),false)</f>
        <v>#N/A</v>
      </c>
      <c r="M693" s="376" t="str">
        <f>CS_PID!M693/VLOOKUP($B693,표2[#ALL],2)/HLOOKUP($A693,표1[#ALL],row(),false)</f>
        <v>#N/A</v>
      </c>
      <c r="N693" s="376" t="str">
        <f>CS_PID!N693/VLOOKUP($B693,표2[#ALL],2)/HLOOKUP($A693,표1[#ALL],row(),false)</f>
        <v>#N/A</v>
      </c>
      <c r="O693" s="376" t="str">
        <f>CS_PID!O693/VLOOKUP($B693,표2[#ALL],2)/HLOOKUP($A693,표1[#ALL],row(),false)</f>
        <v>#N/A</v>
      </c>
      <c r="P693" s="376" t="str">
        <f>CS_PID!P693/VLOOKUP($B693,표2[#ALL],2)/HLOOKUP($A693,표1[#ALL],row(),false)</f>
        <v>#N/A</v>
      </c>
      <c r="Q693" s="376" t="str">
        <f>CS_PID!Q693/VLOOKUP($B693,표2[#ALL],2)/HLOOKUP($A693,표1[#ALL],row(),false)</f>
        <v>#N/A</v>
      </c>
      <c r="R693" s="376" t="str">
        <f>CS_PID!R693/VLOOKUP($B693,표2[#ALL],2)/HLOOKUP($A693,표1[#ALL],row(),false)</f>
        <v>#N/A</v>
      </c>
      <c r="S693" s="376" t="str">
        <f>CS_PID!S693/VLOOKUP($B693,표2[#ALL],2)/HLOOKUP($A693,표1[#ALL],row(),false)</f>
        <v>#N/A</v>
      </c>
      <c r="T693" s="376" t="str">
        <f>CS_PID!T693/VLOOKUP($B693,표2[#ALL],2)/HLOOKUP($A693,표1[#ALL],row(),false)</f>
        <v>#N/A</v>
      </c>
      <c r="U693" s="376" t="str">
        <f>CS_PID!U693/VLOOKUP($B693,표2[#ALL],2)/HLOOKUP($A693,표1[#ALL],row(),false)</f>
        <v>#N/A</v>
      </c>
      <c r="V693" s="376" t="str">
        <f>CS_PID!V693/VLOOKUP($B693,표2[#ALL],2)/HLOOKUP($A693,표1[#ALL],row(),false)</f>
        <v>#N/A</v>
      </c>
      <c r="W693" s="376" t="str">
        <f>CS_PID!W693/VLOOKUP($B693,표2[#ALL],2)/HLOOKUP($A693,표1[#ALL],row(),false)</f>
        <v>#N/A</v>
      </c>
      <c r="X693" s="376" t="str">
        <f>CS_PID!X693/VLOOKUP($B693,표2[#ALL],2)/HLOOKUP($A693,표1[#ALL],row(),false)</f>
        <v>#N/A</v>
      </c>
      <c r="Y693" s="376" t="str">
        <f>CS_PID!Y693/VLOOKUP($B693,표2[#ALL],2)/HLOOKUP($A693,표1[#ALL],row(),false)</f>
        <v>#N/A</v>
      </c>
      <c r="Z693" s="376" t="str">
        <f>CS_PID!Z693/VLOOKUP($B693,표2[#ALL],2)/HLOOKUP($A693,표1[#ALL],row(),false)</f>
        <v>#N/A</v>
      </c>
      <c r="AA693" s="376" t="str">
        <f>CS_PID!AA693/VLOOKUP($B693,표2[#ALL],2)/HLOOKUP($A693,표1[#ALL],row(),false)</f>
        <v>#N/A</v>
      </c>
      <c r="AB693" s="376" t="str">
        <f>CS_PID!AB693/VLOOKUP($B693,표2[#ALL],2)/HLOOKUP($A693,표1[#ALL],row(),false)</f>
        <v>#N/A</v>
      </c>
      <c r="AC693" s="376" t="str">
        <f>CS_PID!AC693/VLOOKUP($B693,표2[#ALL],2)/HLOOKUP($A693,표1[#ALL],row(),false)</f>
        <v>#N/A</v>
      </c>
      <c r="AD693" s="376" t="str">
        <f>CS_PID!AD693/VLOOKUP($B693,표2[#ALL],2)/HLOOKUP($A693,표1[#ALL],row(),false)</f>
        <v>#N/A</v>
      </c>
      <c r="AE693" s="376" t="str">
        <f>CS_PID!AE693/VLOOKUP($B693,표2[#ALL],2)/HLOOKUP($A693,표1[#ALL],row(),false)</f>
        <v>#N/A</v>
      </c>
      <c r="AF693" s="376" t="str">
        <f>CS_PID!AF693/VLOOKUP($B693,표2[#ALL],2)/HLOOKUP($A693,표1[#ALL],row(),false)</f>
        <v>#N/A</v>
      </c>
      <c r="AG693" s="376" t="str">
        <f>CS_PID!AG693/VLOOKUP($B693,표2[#ALL],2)/HLOOKUP($A693,표1[#ALL],row(),false)</f>
        <v>#N/A</v>
      </c>
      <c r="AH693" s="376" t="str">
        <f>CS_PID!AH693/VLOOKUP($B693,표2[#ALL],2)/HLOOKUP($A693,표1[#ALL],row(),false)</f>
        <v>#N/A</v>
      </c>
      <c r="AI693" s="376" t="str">
        <f>CS_PID!AI693/VLOOKUP($B693,표2[#ALL],2)/HLOOKUP($A693,표1[#ALL],row(),false)</f>
        <v>#N/A</v>
      </c>
      <c r="AJ693" s="376" t="str">
        <f>CS_PID!AJ693/VLOOKUP($B693,표2[#ALL],2)/HLOOKUP($A693,표1[#ALL],row(),false)</f>
        <v>#N/A</v>
      </c>
      <c r="AK693" s="376" t="str">
        <f>CS_PID!AK693/VLOOKUP($B693,표2[#ALL],2)/HLOOKUP($A693,표1[#ALL],row(),false)</f>
        <v>#N/A</v>
      </c>
      <c r="AL693" s="376" t="str">
        <f>CS_PID!AL693/VLOOKUP($B693,표2[#ALL],2)/HLOOKUP($A693,표1[#ALL],row(),false)</f>
        <v>#N/A</v>
      </c>
      <c r="AM693" s="376" t="str">
        <f>CS_PID!AM693/VLOOKUP($B693,표2[#ALL],2)/HLOOKUP($A693,표1[#ALL],row(),false)</f>
        <v>#N/A</v>
      </c>
      <c r="AN693" s="376" t="str">
        <f>CS_PID!AN693/VLOOKUP($B693,표2[#ALL],2)/HLOOKUP($A693,표1[#ALL],row(),false)</f>
        <v>#N/A</v>
      </c>
      <c r="AO693" s="376" t="str">
        <f>CS_PID!AO693/VLOOKUP($B693,표2[#ALL],2)/HLOOKUP($A693,표1[#ALL],row(),false)</f>
        <v>#N/A</v>
      </c>
      <c r="AP693" s="376" t="str">
        <f>CS_PID!AP693/VLOOKUP($B693,표2[#ALL],2)/HLOOKUP($A693,표1[#ALL],row(),false)</f>
        <v>#N/A</v>
      </c>
      <c r="AQ693" s="376" t="str">
        <f>CS_PID!AQ693/VLOOKUP($B693,표2[#ALL],2)/HLOOKUP($A693,표1[#ALL],row(),false)</f>
        <v>#N/A</v>
      </c>
      <c r="AR693" s="376" t="str">
        <f>CS_PID!AR693/VLOOKUP($B693,표2[#ALL],2)/HLOOKUP($A693,표1[#ALL],row(),false)</f>
        <v>#N/A</v>
      </c>
      <c r="AS693" s="377" t="str">
        <f>CS_PID!AS693/VLOOKUP($B693,표2[#ALL],2)/HLOOKUP($A693,표1[#ALL],row(),false)</f>
        <v>#N/A</v>
      </c>
    </row>
    <row r="694">
      <c r="A694" s="370"/>
      <c r="B694" s="371"/>
      <c r="C694" s="372" t="str">
        <f>CS_PID!C694/VLOOKUP($B694,표2[#ALL],2)</f>
        <v>#N/A</v>
      </c>
      <c r="D694" s="372" t="str">
        <f>CS_PID!D694/VLOOKUP($B694,표2[#ALL],2)</f>
        <v>#N/A</v>
      </c>
      <c r="E694" s="372" t="str">
        <f>CS_PID!E694/VLOOKUP($B694,표2[#ALL],2)</f>
        <v>#N/A</v>
      </c>
      <c r="F694" s="372" t="str">
        <f>CS_PID!F694/VLOOKUP($B694,표2[#ALL],2)</f>
        <v>#N/A</v>
      </c>
      <c r="G694" s="372" t="str">
        <f>CS_PID!G694/VLOOKUP($B694,표2[#ALL],2)</f>
        <v>#N/A</v>
      </c>
      <c r="H694" s="372" t="str">
        <f>CS_PID!H694/VLOOKUP($B694,표2[#ALL],2)/HLOOKUP($A694,표1[#ALL],row(),false)</f>
        <v>#N/A</v>
      </c>
      <c r="I694" s="372" t="str">
        <f>CS_PID!I694/VLOOKUP($B694,표2[#ALL],2)/HLOOKUP($A694,표1[#ALL],row(),false)</f>
        <v>#N/A</v>
      </c>
      <c r="J694" s="372" t="str">
        <f>CS_PID!J694/VLOOKUP($B694,표2[#ALL],2)/HLOOKUP($A694,표1[#ALL],row(),false)</f>
        <v>#N/A</v>
      </c>
      <c r="K694" s="372" t="str">
        <f>CS_PID!K694/VLOOKUP($B694,표2[#ALL],2)/HLOOKUP($A694,표1[#ALL],row(),false)</f>
        <v>#N/A</v>
      </c>
      <c r="L694" s="372" t="str">
        <f>CS_PID!L694/VLOOKUP($B694,표2[#ALL],2)/HLOOKUP($A694,표1[#ALL],row(),false)</f>
        <v>#N/A</v>
      </c>
      <c r="M694" s="372" t="str">
        <f>CS_PID!M694/VLOOKUP($B694,표2[#ALL],2)/HLOOKUP($A694,표1[#ALL],row(),false)</f>
        <v>#N/A</v>
      </c>
      <c r="N694" s="372" t="str">
        <f>CS_PID!N694/VLOOKUP($B694,표2[#ALL],2)/HLOOKUP($A694,표1[#ALL],row(),false)</f>
        <v>#N/A</v>
      </c>
      <c r="O694" s="372" t="str">
        <f>CS_PID!O694/VLOOKUP($B694,표2[#ALL],2)/HLOOKUP($A694,표1[#ALL],row(),false)</f>
        <v>#N/A</v>
      </c>
      <c r="P694" s="372" t="str">
        <f>CS_PID!P694/VLOOKUP($B694,표2[#ALL],2)/HLOOKUP($A694,표1[#ALL],row(),false)</f>
        <v>#N/A</v>
      </c>
      <c r="Q694" s="372" t="str">
        <f>CS_PID!Q694/VLOOKUP($B694,표2[#ALL],2)/HLOOKUP($A694,표1[#ALL],row(),false)</f>
        <v>#N/A</v>
      </c>
      <c r="R694" s="372" t="str">
        <f>CS_PID!R694/VLOOKUP($B694,표2[#ALL],2)/HLOOKUP($A694,표1[#ALL],row(),false)</f>
        <v>#N/A</v>
      </c>
      <c r="S694" s="372" t="str">
        <f>CS_PID!S694/VLOOKUP($B694,표2[#ALL],2)/HLOOKUP($A694,표1[#ALL],row(),false)</f>
        <v>#N/A</v>
      </c>
      <c r="T694" s="372" t="str">
        <f>CS_PID!T694/VLOOKUP($B694,표2[#ALL],2)/HLOOKUP($A694,표1[#ALL],row(),false)</f>
        <v>#N/A</v>
      </c>
      <c r="U694" s="372" t="str">
        <f>CS_PID!U694/VLOOKUP($B694,표2[#ALL],2)/HLOOKUP($A694,표1[#ALL],row(),false)</f>
        <v>#N/A</v>
      </c>
      <c r="V694" s="372" t="str">
        <f>CS_PID!V694/VLOOKUP($B694,표2[#ALL],2)/HLOOKUP($A694,표1[#ALL],row(),false)</f>
        <v>#N/A</v>
      </c>
      <c r="W694" s="372" t="str">
        <f>CS_PID!W694/VLOOKUP($B694,표2[#ALL],2)/HLOOKUP($A694,표1[#ALL],row(),false)</f>
        <v>#N/A</v>
      </c>
      <c r="X694" s="372" t="str">
        <f>CS_PID!X694/VLOOKUP($B694,표2[#ALL],2)/HLOOKUP($A694,표1[#ALL],row(),false)</f>
        <v>#N/A</v>
      </c>
      <c r="Y694" s="372" t="str">
        <f>CS_PID!Y694/VLOOKUP($B694,표2[#ALL],2)/HLOOKUP($A694,표1[#ALL],row(),false)</f>
        <v>#N/A</v>
      </c>
      <c r="Z694" s="372" t="str">
        <f>CS_PID!Z694/VLOOKUP($B694,표2[#ALL],2)/HLOOKUP($A694,표1[#ALL],row(),false)</f>
        <v>#N/A</v>
      </c>
      <c r="AA694" s="372" t="str">
        <f>CS_PID!AA694/VLOOKUP($B694,표2[#ALL],2)/HLOOKUP($A694,표1[#ALL],row(),false)</f>
        <v>#N/A</v>
      </c>
      <c r="AB694" s="372" t="str">
        <f>CS_PID!AB694/VLOOKUP($B694,표2[#ALL],2)/HLOOKUP($A694,표1[#ALL],row(),false)</f>
        <v>#N/A</v>
      </c>
      <c r="AC694" s="372" t="str">
        <f>CS_PID!AC694/VLOOKUP($B694,표2[#ALL],2)/HLOOKUP($A694,표1[#ALL],row(),false)</f>
        <v>#N/A</v>
      </c>
      <c r="AD694" s="372" t="str">
        <f>CS_PID!AD694/VLOOKUP($B694,표2[#ALL],2)/HLOOKUP($A694,표1[#ALL],row(),false)</f>
        <v>#N/A</v>
      </c>
      <c r="AE694" s="372" t="str">
        <f>CS_PID!AE694/VLOOKUP($B694,표2[#ALL],2)/HLOOKUP($A694,표1[#ALL],row(),false)</f>
        <v>#N/A</v>
      </c>
      <c r="AF694" s="372" t="str">
        <f>CS_PID!AF694/VLOOKUP($B694,표2[#ALL],2)/HLOOKUP($A694,표1[#ALL],row(),false)</f>
        <v>#N/A</v>
      </c>
      <c r="AG694" s="372" t="str">
        <f>CS_PID!AG694/VLOOKUP($B694,표2[#ALL],2)/HLOOKUP($A694,표1[#ALL],row(),false)</f>
        <v>#N/A</v>
      </c>
      <c r="AH694" s="372" t="str">
        <f>CS_PID!AH694/VLOOKUP($B694,표2[#ALL],2)/HLOOKUP($A694,표1[#ALL],row(),false)</f>
        <v>#N/A</v>
      </c>
      <c r="AI694" s="372" t="str">
        <f>CS_PID!AI694/VLOOKUP($B694,표2[#ALL],2)/HLOOKUP($A694,표1[#ALL],row(),false)</f>
        <v>#N/A</v>
      </c>
      <c r="AJ694" s="372" t="str">
        <f>CS_PID!AJ694/VLOOKUP($B694,표2[#ALL],2)/HLOOKUP($A694,표1[#ALL],row(),false)</f>
        <v>#N/A</v>
      </c>
      <c r="AK694" s="372" t="str">
        <f>CS_PID!AK694/VLOOKUP($B694,표2[#ALL],2)/HLOOKUP($A694,표1[#ALL],row(),false)</f>
        <v>#N/A</v>
      </c>
      <c r="AL694" s="372" t="str">
        <f>CS_PID!AL694/VLOOKUP($B694,표2[#ALL],2)/HLOOKUP($A694,표1[#ALL],row(),false)</f>
        <v>#N/A</v>
      </c>
      <c r="AM694" s="372" t="str">
        <f>CS_PID!AM694/VLOOKUP($B694,표2[#ALL],2)/HLOOKUP($A694,표1[#ALL],row(),false)</f>
        <v>#N/A</v>
      </c>
      <c r="AN694" s="372" t="str">
        <f>CS_PID!AN694/VLOOKUP($B694,표2[#ALL],2)/HLOOKUP($A694,표1[#ALL],row(),false)</f>
        <v>#N/A</v>
      </c>
      <c r="AO694" s="372" t="str">
        <f>CS_PID!AO694/VLOOKUP($B694,표2[#ALL],2)/HLOOKUP($A694,표1[#ALL],row(),false)</f>
        <v>#N/A</v>
      </c>
      <c r="AP694" s="372" t="str">
        <f>CS_PID!AP694/VLOOKUP($B694,표2[#ALL],2)/HLOOKUP($A694,표1[#ALL],row(),false)</f>
        <v>#N/A</v>
      </c>
      <c r="AQ694" s="372" t="str">
        <f>CS_PID!AQ694/VLOOKUP($B694,표2[#ALL],2)/HLOOKUP($A694,표1[#ALL],row(),false)</f>
        <v>#N/A</v>
      </c>
      <c r="AR694" s="372" t="str">
        <f>CS_PID!AR694/VLOOKUP($B694,표2[#ALL],2)/HLOOKUP($A694,표1[#ALL],row(),false)</f>
        <v>#N/A</v>
      </c>
      <c r="AS694" s="373" t="str">
        <f>CS_PID!AS694/VLOOKUP($B694,표2[#ALL],2)/HLOOKUP($A694,표1[#ALL],row(),false)</f>
        <v>#N/A</v>
      </c>
    </row>
    <row r="695">
      <c r="A695" s="374"/>
      <c r="B695" s="375"/>
      <c r="C695" s="376" t="str">
        <f>CS_PID!C695/VLOOKUP($B695,표2[#ALL],2)</f>
        <v>#N/A</v>
      </c>
      <c r="D695" s="376" t="str">
        <f>CS_PID!D695/VLOOKUP($B695,표2[#ALL],2)</f>
        <v>#N/A</v>
      </c>
      <c r="E695" s="376" t="str">
        <f>CS_PID!E695/VLOOKUP($B695,표2[#ALL],2)</f>
        <v>#N/A</v>
      </c>
      <c r="F695" s="376" t="str">
        <f>CS_PID!F695/VLOOKUP($B695,표2[#ALL],2)</f>
        <v>#N/A</v>
      </c>
      <c r="G695" s="376" t="str">
        <f>CS_PID!G695/VLOOKUP($B695,표2[#ALL],2)</f>
        <v>#N/A</v>
      </c>
      <c r="H695" s="376" t="str">
        <f>CS_PID!H695/VLOOKUP($B695,표2[#ALL],2)/HLOOKUP($A695,표1[#ALL],row(),false)</f>
        <v>#N/A</v>
      </c>
      <c r="I695" s="376" t="str">
        <f>CS_PID!I695/VLOOKUP($B695,표2[#ALL],2)/HLOOKUP($A695,표1[#ALL],row(),false)</f>
        <v>#N/A</v>
      </c>
      <c r="J695" s="376" t="str">
        <f>CS_PID!J695/VLOOKUP($B695,표2[#ALL],2)/HLOOKUP($A695,표1[#ALL],row(),false)</f>
        <v>#N/A</v>
      </c>
      <c r="K695" s="376" t="str">
        <f>CS_PID!K695/VLOOKUP($B695,표2[#ALL],2)/HLOOKUP($A695,표1[#ALL],row(),false)</f>
        <v>#N/A</v>
      </c>
      <c r="L695" s="376" t="str">
        <f>CS_PID!L695/VLOOKUP($B695,표2[#ALL],2)/HLOOKUP($A695,표1[#ALL],row(),false)</f>
        <v>#N/A</v>
      </c>
      <c r="M695" s="376" t="str">
        <f>CS_PID!M695/VLOOKUP($B695,표2[#ALL],2)/HLOOKUP($A695,표1[#ALL],row(),false)</f>
        <v>#N/A</v>
      </c>
      <c r="N695" s="376" t="str">
        <f>CS_PID!N695/VLOOKUP($B695,표2[#ALL],2)/HLOOKUP($A695,표1[#ALL],row(),false)</f>
        <v>#N/A</v>
      </c>
      <c r="O695" s="376" t="str">
        <f>CS_PID!O695/VLOOKUP($B695,표2[#ALL],2)/HLOOKUP($A695,표1[#ALL],row(),false)</f>
        <v>#N/A</v>
      </c>
      <c r="P695" s="376" t="str">
        <f>CS_PID!P695/VLOOKUP($B695,표2[#ALL],2)/HLOOKUP($A695,표1[#ALL],row(),false)</f>
        <v>#N/A</v>
      </c>
      <c r="Q695" s="376" t="str">
        <f>CS_PID!Q695/VLOOKUP($B695,표2[#ALL],2)/HLOOKUP($A695,표1[#ALL],row(),false)</f>
        <v>#N/A</v>
      </c>
      <c r="R695" s="376" t="str">
        <f>CS_PID!R695/VLOOKUP($B695,표2[#ALL],2)/HLOOKUP($A695,표1[#ALL],row(),false)</f>
        <v>#N/A</v>
      </c>
      <c r="S695" s="376" t="str">
        <f>CS_PID!S695/VLOOKUP($B695,표2[#ALL],2)/HLOOKUP($A695,표1[#ALL],row(),false)</f>
        <v>#N/A</v>
      </c>
      <c r="T695" s="376" t="str">
        <f>CS_PID!T695/VLOOKUP($B695,표2[#ALL],2)/HLOOKUP($A695,표1[#ALL],row(),false)</f>
        <v>#N/A</v>
      </c>
      <c r="U695" s="376" t="str">
        <f>CS_PID!U695/VLOOKUP($B695,표2[#ALL],2)/HLOOKUP($A695,표1[#ALL],row(),false)</f>
        <v>#N/A</v>
      </c>
      <c r="V695" s="376" t="str">
        <f>CS_PID!V695/VLOOKUP($B695,표2[#ALL],2)/HLOOKUP($A695,표1[#ALL],row(),false)</f>
        <v>#N/A</v>
      </c>
      <c r="W695" s="376" t="str">
        <f>CS_PID!W695/VLOOKUP($B695,표2[#ALL],2)/HLOOKUP($A695,표1[#ALL],row(),false)</f>
        <v>#N/A</v>
      </c>
      <c r="X695" s="376" t="str">
        <f>CS_PID!X695/VLOOKUP($B695,표2[#ALL],2)/HLOOKUP($A695,표1[#ALL],row(),false)</f>
        <v>#N/A</v>
      </c>
      <c r="Y695" s="376" t="str">
        <f>CS_PID!Y695/VLOOKUP($B695,표2[#ALL],2)/HLOOKUP($A695,표1[#ALL],row(),false)</f>
        <v>#N/A</v>
      </c>
      <c r="Z695" s="376" t="str">
        <f>CS_PID!Z695/VLOOKUP($B695,표2[#ALL],2)/HLOOKUP($A695,표1[#ALL],row(),false)</f>
        <v>#N/A</v>
      </c>
      <c r="AA695" s="376" t="str">
        <f>CS_PID!AA695/VLOOKUP($B695,표2[#ALL],2)/HLOOKUP($A695,표1[#ALL],row(),false)</f>
        <v>#N/A</v>
      </c>
      <c r="AB695" s="376" t="str">
        <f>CS_PID!AB695/VLOOKUP($B695,표2[#ALL],2)/HLOOKUP($A695,표1[#ALL],row(),false)</f>
        <v>#N/A</v>
      </c>
      <c r="AC695" s="376" t="str">
        <f>CS_PID!AC695/VLOOKUP($B695,표2[#ALL],2)/HLOOKUP($A695,표1[#ALL],row(),false)</f>
        <v>#N/A</v>
      </c>
      <c r="AD695" s="376" t="str">
        <f>CS_PID!AD695/VLOOKUP($B695,표2[#ALL],2)/HLOOKUP($A695,표1[#ALL],row(),false)</f>
        <v>#N/A</v>
      </c>
      <c r="AE695" s="376" t="str">
        <f>CS_PID!AE695/VLOOKUP($B695,표2[#ALL],2)/HLOOKUP($A695,표1[#ALL],row(),false)</f>
        <v>#N/A</v>
      </c>
      <c r="AF695" s="376" t="str">
        <f>CS_PID!AF695/VLOOKUP($B695,표2[#ALL],2)/HLOOKUP($A695,표1[#ALL],row(),false)</f>
        <v>#N/A</v>
      </c>
      <c r="AG695" s="376" t="str">
        <f>CS_PID!AG695/VLOOKUP($B695,표2[#ALL],2)/HLOOKUP($A695,표1[#ALL],row(),false)</f>
        <v>#N/A</v>
      </c>
      <c r="AH695" s="376" t="str">
        <f>CS_PID!AH695/VLOOKUP($B695,표2[#ALL],2)/HLOOKUP($A695,표1[#ALL],row(),false)</f>
        <v>#N/A</v>
      </c>
      <c r="AI695" s="376" t="str">
        <f>CS_PID!AI695/VLOOKUP($B695,표2[#ALL],2)/HLOOKUP($A695,표1[#ALL],row(),false)</f>
        <v>#N/A</v>
      </c>
      <c r="AJ695" s="376" t="str">
        <f>CS_PID!AJ695/VLOOKUP($B695,표2[#ALL],2)/HLOOKUP($A695,표1[#ALL],row(),false)</f>
        <v>#N/A</v>
      </c>
      <c r="AK695" s="376" t="str">
        <f>CS_PID!AK695/VLOOKUP($B695,표2[#ALL],2)/HLOOKUP($A695,표1[#ALL],row(),false)</f>
        <v>#N/A</v>
      </c>
      <c r="AL695" s="376" t="str">
        <f>CS_PID!AL695/VLOOKUP($B695,표2[#ALL],2)/HLOOKUP($A695,표1[#ALL],row(),false)</f>
        <v>#N/A</v>
      </c>
      <c r="AM695" s="376" t="str">
        <f>CS_PID!AM695/VLOOKUP($B695,표2[#ALL],2)/HLOOKUP($A695,표1[#ALL],row(),false)</f>
        <v>#N/A</v>
      </c>
      <c r="AN695" s="376" t="str">
        <f>CS_PID!AN695/VLOOKUP($B695,표2[#ALL],2)/HLOOKUP($A695,표1[#ALL],row(),false)</f>
        <v>#N/A</v>
      </c>
      <c r="AO695" s="376" t="str">
        <f>CS_PID!AO695/VLOOKUP($B695,표2[#ALL],2)/HLOOKUP($A695,표1[#ALL],row(),false)</f>
        <v>#N/A</v>
      </c>
      <c r="AP695" s="376" t="str">
        <f>CS_PID!AP695/VLOOKUP($B695,표2[#ALL],2)/HLOOKUP($A695,표1[#ALL],row(),false)</f>
        <v>#N/A</v>
      </c>
      <c r="AQ695" s="376" t="str">
        <f>CS_PID!AQ695/VLOOKUP($B695,표2[#ALL],2)/HLOOKUP($A695,표1[#ALL],row(),false)</f>
        <v>#N/A</v>
      </c>
      <c r="AR695" s="376" t="str">
        <f>CS_PID!AR695/VLOOKUP($B695,표2[#ALL],2)/HLOOKUP($A695,표1[#ALL],row(),false)</f>
        <v>#N/A</v>
      </c>
      <c r="AS695" s="377" t="str">
        <f>CS_PID!AS695/VLOOKUP($B695,표2[#ALL],2)/HLOOKUP($A695,표1[#ALL],row(),false)</f>
        <v>#N/A</v>
      </c>
    </row>
    <row r="696">
      <c r="A696" s="370"/>
      <c r="B696" s="371"/>
      <c r="C696" s="372" t="str">
        <f>CS_PID!C696/VLOOKUP($B696,표2[#ALL],2)</f>
        <v>#N/A</v>
      </c>
      <c r="D696" s="372" t="str">
        <f>CS_PID!D696/VLOOKUP($B696,표2[#ALL],2)</f>
        <v>#N/A</v>
      </c>
      <c r="E696" s="372" t="str">
        <f>CS_PID!E696/VLOOKUP($B696,표2[#ALL],2)</f>
        <v>#N/A</v>
      </c>
      <c r="F696" s="372" t="str">
        <f>CS_PID!F696/VLOOKUP($B696,표2[#ALL],2)</f>
        <v>#N/A</v>
      </c>
      <c r="G696" s="372" t="str">
        <f>CS_PID!G696/VLOOKUP($B696,표2[#ALL],2)</f>
        <v>#N/A</v>
      </c>
      <c r="H696" s="372" t="str">
        <f>CS_PID!H696/VLOOKUP($B696,표2[#ALL],2)/HLOOKUP($A696,표1[#ALL],row(),false)</f>
        <v>#N/A</v>
      </c>
      <c r="I696" s="372" t="str">
        <f>CS_PID!I696/VLOOKUP($B696,표2[#ALL],2)/HLOOKUP($A696,표1[#ALL],row(),false)</f>
        <v>#N/A</v>
      </c>
      <c r="J696" s="372" t="str">
        <f>CS_PID!J696/VLOOKUP($B696,표2[#ALL],2)/HLOOKUP($A696,표1[#ALL],row(),false)</f>
        <v>#N/A</v>
      </c>
      <c r="K696" s="372" t="str">
        <f>CS_PID!K696/VLOOKUP($B696,표2[#ALL],2)/HLOOKUP($A696,표1[#ALL],row(),false)</f>
        <v>#N/A</v>
      </c>
      <c r="L696" s="372" t="str">
        <f>CS_PID!L696/VLOOKUP($B696,표2[#ALL],2)/HLOOKUP($A696,표1[#ALL],row(),false)</f>
        <v>#N/A</v>
      </c>
      <c r="M696" s="372" t="str">
        <f>CS_PID!M696/VLOOKUP($B696,표2[#ALL],2)/HLOOKUP($A696,표1[#ALL],row(),false)</f>
        <v>#N/A</v>
      </c>
      <c r="N696" s="372" t="str">
        <f>CS_PID!N696/VLOOKUP($B696,표2[#ALL],2)/HLOOKUP($A696,표1[#ALL],row(),false)</f>
        <v>#N/A</v>
      </c>
      <c r="O696" s="372" t="str">
        <f>CS_PID!O696/VLOOKUP($B696,표2[#ALL],2)/HLOOKUP($A696,표1[#ALL],row(),false)</f>
        <v>#N/A</v>
      </c>
      <c r="P696" s="372" t="str">
        <f>CS_PID!P696/VLOOKUP($B696,표2[#ALL],2)/HLOOKUP($A696,표1[#ALL],row(),false)</f>
        <v>#N/A</v>
      </c>
      <c r="Q696" s="372" t="str">
        <f>CS_PID!Q696/VLOOKUP($B696,표2[#ALL],2)/HLOOKUP($A696,표1[#ALL],row(),false)</f>
        <v>#N/A</v>
      </c>
      <c r="R696" s="372" t="str">
        <f>CS_PID!R696/VLOOKUP($B696,표2[#ALL],2)/HLOOKUP($A696,표1[#ALL],row(),false)</f>
        <v>#N/A</v>
      </c>
      <c r="S696" s="372" t="str">
        <f>CS_PID!S696/VLOOKUP($B696,표2[#ALL],2)/HLOOKUP($A696,표1[#ALL],row(),false)</f>
        <v>#N/A</v>
      </c>
      <c r="T696" s="372" t="str">
        <f>CS_PID!T696/VLOOKUP($B696,표2[#ALL],2)/HLOOKUP($A696,표1[#ALL],row(),false)</f>
        <v>#N/A</v>
      </c>
      <c r="U696" s="372" t="str">
        <f>CS_PID!U696/VLOOKUP($B696,표2[#ALL],2)/HLOOKUP($A696,표1[#ALL],row(),false)</f>
        <v>#N/A</v>
      </c>
      <c r="V696" s="372" t="str">
        <f>CS_PID!V696/VLOOKUP($B696,표2[#ALL],2)/HLOOKUP($A696,표1[#ALL],row(),false)</f>
        <v>#N/A</v>
      </c>
      <c r="W696" s="372" t="str">
        <f>CS_PID!W696/VLOOKUP($B696,표2[#ALL],2)/HLOOKUP($A696,표1[#ALL],row(),false)</f>
        <v>#N/A</v>
      </c>
      <c r="X696" s="372" t="str">
        <f>CS_PID!X696/VLOOKUP($B696,표2[#ALL],2)/HLOOKUP($A696,표1[#ALL],row(),false)</f>
        <v>#N/A</v>
      </c>
      <c r="Y696" s="372" t="str">
        <f>CS_PID!Y696/VLOOKUP($B696,표2[#ALL],2)/HLOOKUP($A696,표1[#ALL],row(),false)</f>
        <v>#N/A</v>
      </c>
      <c r="Z696" s="372" t="str">
        <f>CS_PID!Z696/VLOOKUP($B696,표2[#ALL],2)/HLOOKUP($A696,표1[#ALL],row(),false)</f>
        <v>#N/A</v>
      </c>
      <c r="AA696" s="372" t="str">
        <f>CS_PID!AA696/VLOOKUP($B696,표2[#ALL],2)/HLOOKUP($A696,표1[#ALL],row(),false)</f>
        <v>#N/A</v>
      </c>
      <c r="AB696" s="372" t="str">
        <f>CS_PID!AB696/VLOOKUP($B696,표2[#ALL],2)/HLOOKUP($A696,표1[#ALL],row(),false)</f>
        <v>#N/A</v>
      </c>
      <c r="AC696" s="372" t="str">
        <f>CS_PID!AC696/VLOOKUP($B696,표2[#ALL],2)/HLOOKUP($A696,표1[#ALL],row(),false)</f>
        <v>#N/A</v>
      </c>
      <c r="AD696" s="372" t="str">
        <f>CS_PID!AD696/VLOOKUP($B696,표2[#ALL],2)/HLOOKUP($A696,표1[#ALL],row(),false)</f>
        <v>#N/A</v>
      </c>
      <c r="AE696" s="372" t="str">
        <f>CS_PID!AE696/VLOOKUP($B696,표2[#ALL],2)/HLOOKUP($A696,표1[#ALL],row(),false)</f>
        <v>#N/A</v>
      </c>
      <c r="AF696" s="372" t="str">
        <f>CS_PID!AF696/VLOOKUP($B696,표2[#ALL],2)/HLOOKUP($A696,표1[#ALL],row(),false)</f>
        <v>#N/A</v>
      </c>
      <c r="AG696" s="372" t="str">
        <f>CS_PID!AG696/VLOOKUP($B696,표2[#ALL],2)/HLOOKUP($A696,표1[#ALL],row(),false)</f>
        <v>#N/A</v>
      </c>
      <c r="AH696" s="372" t="str">
        <f>CS_PID!AH696/VLOOKUP($B696,표2[#ALL],2)/HLOOKUP($A696,표1[#ALL],row(),false)</f>
        <v>#N/A</v>
      </c>
      <c r="AI696" s="372" t="str">
        <f>CS_PID!AI696/VLOOKUP($B696,표2[#ALL],2)/HLOOKUP($A696,표1[#ALL],row(),false)</f>
        <v>#N/A</v>
      </c>
      <c r="AJ696" s="372" t="str">
        <f>CS_PID!AJ696/VLOOKUP($B696,표2[#ALL],2)/HLOOKUP($A696,표1[#ALL],row(),false)</f>
        <v>#N/A</v>
      </c>
      <c r="AK696" s="372" t="str">
        <f>CS_PID!AK696/VLOOKUP($B696,표2[#ALL],2)/HLOOKUP($A696,표1[#ALL],row(),false)</f>
        <v>#N/A</v>
      </c>
      <c r="AL696" s="372" t="str">
        <f>CS_PID!AL696/VLOOKUP($B696,표2[#ALL],2)/HLOOKUP($A696,표1[#ALL],row(),false)</f>
        <v>#N/A</v>
      </c>
      <c r="AM696" s="372" t="str">
        <f>CS_PID!AM696/VLOOKUP($B696,표2[#ALL],2)/HLOOKUP($A696,표1[#ALL],row(),false)</f>
        <v>#N/A</v>
      </c>
      <c r="AN696" s="372" t="str">
        <f>CS_PID!AN696/VLOOKUP($B696,표2[#ALL],2)/HLOOKUP($A696,표1[#ALL],row(),false)</f>
        <v>#N/A</v>
      </c>
      <c r="AO696" s="372" t="str">
        <f>CS_PID!AO696/VLOOKUP($B696,표2[#ALL],2)/HLOOKUP($A696,표1[#ALL],row(),false)</f>
        <v>#N/A</v>
      </c>
      <c r="AP696" s="372" t="str">
        <f>CS_PID!AP696/VLOOKUP($B696,표2[#ALL],2)/HLOOKUP($A696,표1[#ALL],row(),false)</f>
        <v>#N/A</v>
      </c>
      <c r="AQ696" s="372" t="str">
        <f>CS_PID!AQ696/VLOOKUP($B696,표2[#ALL],2)/HLOOKUP($A696,표1[#ALL],row(),false)</f>
        <v>#N/A</v>
      </c>
      <c r="AR696" s="372" t="str">
        <f>CS_PID!AR696/VLOOKUP($B696,표2[#ALL],2)/HLOOKUP($A696,표1[#ALL],row(),false)</f>
        <v>#N/A</v>
      </c>
      <c r="AS696" s="373" t="str">
        <f>CS_PID!AS696/VLOOKUP($B696,표2[#ALL],2)/HLOOKUP($A696,표1[#ALL],row(),false)</f>
        <v>#N/A</v>
      </c>
    </row>
    <row r="697">
      <c r="A697" s="374"/>
      <c r="B697" s="375"/>
      <c r="C697" s="376" t="str">
        <f>CS_PID!C697/VLOOKUP($B697,표2[#ALL],2)</f>
        <v>#N/A</v>
      </c>
      <c r="D697" s="376" t="str">
        <f>CS_PID!D697/VLOOKUP($B697,표2[#ALL],2)</f>
        <v>#N/A</v>
      </c>
      <c r="E697" s="376" t="str">
        <f>CS_PID!E697/VLOOKUP($B697,표2[#ALL],2)</f>
        <v>#N/A</v>
      </c>
      <c r="F697" s="376" t="str">
        <f>CS_PID!F697/VLOOKUP($B697,표2[#ALL],2)</f>
        <v>#N/A</v>
      </c>
      <c r="G697" s="376" t="str">
        <f>CS_PID!G697/VLOOKUP($B697,표2[#ALL],2)</f>
        <v>#N/A</v>
      </c>
      <c r="H697" s="376" t="str">
        <f>CS_PID!H697/VLOOKUP($B697,표2[#ALL],2)/HLOOKUP($A697,표1[#ALL],row(),false)</f>
        <v>#N/A</v>
      </c>
      <c r="I697" s="376" t="str">
        <f>CS_PID!I697/VLOOKUP($B697,표2[#ALL],2)/HLOOKUP($A697,표1[#ALL],row(),false)</f>
        <v>#N/A</v>
      </c>
      <c r="J697" s="376" t="str">
        <f>CS_PID!J697/VLOOKUP($B697,표2[#ALL],2)/HLOOKUP($A697,표1[#ALL],row(),false)</f>
        <v>#N/A</v>
      </c>
      <c r="K697" s="376" t="str">
        <f>CS_PID!K697/VLOOKUP($B697,표2[#ALL],2)/HLOOKUP($A697,표1[#ALL],row(),false)</f>
        <v>#N/A</v>
      </c>
      <c r="L697" s="376" t="str">
        <f>CS_PID!L697/VLOOKUP($B697,표2[#ALL],2)/HLOOKUP($A697,표1[#ALL],row(),false)</f>
        <v>#N/A</v>
      </c>
      <c r="M697" s="376" t="str">
        <f>CS_PID!M697/VLOOKUP($B697,표2[#ALL],2)/HLOOKUP($A697,표1[#ALL],row(),false)</f>
        <v>#N/A</v>
      </c>
      <c r="N697" s="376" t="str">
        <f>CS_PID!N697/VLOOKUP($B697,표2[#ALL],2)/HLOOKUP($A697,표1[#ALL],row(),false)</f>
        <v>#N/A</v>
      </c>
      <c r="O697" s="376" t="str">
        <f>CS_PID!O697/VLOOKUP($B697,표2[#ALL],2)/HLOOKUP($A697,표1[#ALL],row(),false)</f>
        <v>#N/A</v>
      </c>
      <c r="P697" s="376" t="str">
        <f>CS_PID!P697/VLOOKUP($B697,표2[#ALL],2)/HLOOKUP($A697,표1[#ALL],row(),false)</f>
        <v>#N/A</v>
      </c>
      <c r="Q697" s="376" t="str">
        <f>CS_PID!Q697/VLOOKUP($B697,표2[#ALL],2)/HLOOKUP($A697,표1[#ALL],row(),false)</f>
        <v>#N/A</v>
      </c>
      <c r="R697" s="376" t="str">
        <f>CS_PID!R697/VLOOKUP($B697,표2[#ALL],2)/HLOOKUP($A697,표1[#ALL],row(),false)</f>
        <v>#N/A</v>
      </c>
      <c r="S697" s="376" t="str">
        <f>CS_PID!S697/VLOOKUP($B697,표2[#ALL],2)/HLOOKUP($A697,표1[#ALL],row(),false)</f>
        <v>#N/A</v>
      </c>
      <c r="T697" s="376" t="str">
        <f>CS_PID!T697/VLOOKUP($B697,표2[#ALL],2)/HLOOKUP($A697,표1[#ALL],row(),false)</f>
        <v>#N/A</v>
      </c>
      <c r="U697" s="376" t="str">
        <f>CS_PID!U697/VLOOKUP($B697,표2[#ALL],2)/HLOOKUP($A697,표1[#ALL],row(),false)</f>
        <v>#N/A</v>
      </c>
      <c r="V697" s="376" t="str">
        <f>CS_PID!V697/VLOOKUP($B697,표2[#ALL],2)/HLOOKUP($A697,표1[#ALL],row(),false)</f>
        <v>#N/A</v>
      </c>
      <c r="W697" s="376" t="str">
        <f>CS_PID!W697/VLOOKUP($B697,표2[#ALL],2)/HLOOKUP($A697,표1[#ALL],row(),false)</f>
        <v>#N/A</v>
      </c>
      <c r="X697" s="376" t="str">
        <f>CS_PID!X697/VLOOKUP($B697,표2[#ALL],2)/HLOOKUP($A697,표1[#ALL],row(),false)</f>
        <v>#N/A</v>
      </c>
      <c r="Y697" s="376" t="str">
        <f>CS_PID!Y697/VLOOKUP($B697,표2[#ALL],2)/HLOOKUP($A697,표1[#ALL],row(),false)</f>
        <v>#N/A</v>
      </c>
      <c r="Z697" s="376" t="str">
        <f>CS_PID!Z697/VLOOKUP($B697,표2[#ALL],2)/HLOOKUP($A697,표1[#ALL],row(),false)</f>
        <v>#N/A</v>
      </c>
      <c r="AA697" s="376" t="str">
        <f>CS_PID!AA697/VLOOKUP($B697,표2[#ALL],2)/HLOOKUP($A697,표1[#ALL],row(),false)</f>
        <v>#N/A</v>
      </c>
      <c r="AB697" s="376" t="str">
        <f>CS_PID!AB697/VLOOKUP($B697,표2[#ALL],2)/HLOOKUP($A697,표1[#ALL],row(),false)</f>
        <v>#N/A</v>
      </c>
      <c r="AC697" s="376" t="str">
        <f>CS_PID!AC697/VLOOKUP($B697,표2[#ALL],2)/HLOOKUP($A697,표1[#ALL],row(),false)</f>
        <v>#N/A</v>
      </c>
      <c r="AD697" s="376" t="str">
        <f>CS_PID!AD697/VLOOKUP($B697,표2[#ALL],2)/HLOOKUP($A697,표1[#ALL],row(),false)</f>
        <v>#N/A</v>
      </c>
      <c r="AE697" s="376" t="str">
        <f>CS_PID!AE697/VLOOKUP($B697,표2[#ALL],2)/HLOOKUP($A697,표1[#ALL],row(),false)</f>
        <v>#N/A</v>
      </c>
      <c r="AF697" s="376" t="str">
        <f>CS_PID!AF697/VLOOKUP($B697,표2[#ALL],2)/HLOOKUP($A697,표1[#ALL],row(),false)</f>
        <v>#N/A</v>
      </c>
      <c r="AG697" s="376" t="str">
        <f>CS_PID!AG697/VLOOKUP($B697,표2[#ALL],2)/HLOOKUP($A697,표1[#ALL],row(),false)</f>
        <v>#N/A</v>
      </c>
      <c r="AH697" s="376" t="str">
        <f>CS_PID!AH697/VLOOKUP($B697,표2[#ALL],2)/HLOOKUP($A697,표1[#ALL],row(),false)</f>
        <v>#N/A</v>
      </c>
      <c r="AI697" s="376" t="str">
        <f>CS_PID!AI697/VLOOKUP($B697,표2[#ALL],2)/HLOOKUP($A697,표1[#ALL],row(),false)</f>
        <v>#N/A</v>
      </c>
      <c r="AJ697" s="376" t="str">
        <f>CS_PID!AJ697/VLOOKUP($B697,표2[#ALL],2)/HLOOKUP($A697,표1[#ALL],row(),false)</f>
        <v>#N/A</v>
      </c>
      <c r="AK697" s="376" t="str">
        <f>CS_PID!AK697/VLOOKUP($B697,표2[#ALL],2)/HLOOKUP($A697,표1[#ALL],row(),false)</f>
        <v>#N/A</v>
      </c>
      <c r="AL697" s="376" t="str">
        <f>CS_PID!AL697/VLOOKUP($B697,표2[#ALL],2)/HLOOKUP($A697,표1[#ALL],row(),false)</f>
        <v>#N/A</v>
      </c>
      <c r="AM697" s="376" t="str">
        <f>CS_PID!AM697/VLOOKUP($B697,표2[#ALL],2)/HLOOKUP($A697,표1[#ALL],row(),false)</f>
        <v>#N/A</v>
      </c>
      <c r="AN697" s="376" t="str">
        <f>CS_PID!AN697/VLOOKUP($B697,표2[#ALL],2)/HLOOKUP($A697,표1[#ALL],row(),false)</f>
        <v>#N/A</v>
      </c>
      <c r="AO697" s="376" t="str">
        <f>CS_PID!AO697/VLOOKUP($B697,표2[#ALL],2)/HLOOKUP($A697,표1[#ALL],row(),false)</f>
        <v>#N/A</v>
      </c>
      <c r="AP697" s="376" t="str">
        <f>CS_PID!AP697/VLOOKUP($B697,표2[#ALL],2)/HLOOKUP($A697,표1[#ALL],row(),false)</f>
        <v>#N/A</v>
      </c>
      <c r="AQ697" s="376" t="str">
        <f>CS_PID!AQ697/VLOOKUP($B697,표2[#ALL],2)/HLOOKUP($A697,표1[#ALL],row(),false)</f>
        <v>#N/A</v>
      </c>
      <c r="AR697" s="376" t="str">
        <f>CS_PID!AR697/VLOOKUP($B697,표2[#ALL],2)/HLOOKUP($A697,표1[#ALL],row(),false)</f>
        <v>#N/A</v>
      </c>
      <c r="AS697" s="377" t="str">
        <f>CS_PID!AS697/VLOOKUP($B697,표2[#ALL],2)/HLOOKUP($A697,표1[#ALL],row(),false)</f>
        <v>#N/A</v>
      </c>
    </row>
    <row r="698">
      <c r="A698" s="370"/>
      <c r="B698" s="371"/>
      <c r="C698" s="372" t="str">
        <f>CS_PID!C698/VLOOKUP($B698,표2[#ALL],2)</f>
        <v>#N/A</v>
      </c>
      <c r="D698" s="372" t="str">
        <f>CS_PID!D698/VLOOKUP($B698,표2[#ALL],2)</f>
        <v>#N/A</v>
      </c>
      <c r="E698" s="372" t="str">
        <f>CS_PID!E698/VLOOKUP($B698,표2[#ALL],2)</f>
        <v>#N/A</v>
      </c>
      <c r="F698" s="372" t="str">
        <f>CS_PID!F698/VLOOKUP($B698,표2[#ALL],2)</f>
        <v>#N/A</v>
      </c>
      <c r="G698" s="372" t="str">
        <f>CS_PID!G698/VLOOKUP($B698,표2[#ALL],2)</f>
        <v>#N/A</v>
      </c>
      <c r="H698" s="372" t="str">
        <f>CS_PID!H698/VLOOKUP($B698,표2[#ALL],2)/HLOOKUP($A698,표1[#ALL],row(),false)</f>
        <v>#N/A</v>
      </c>
      <c r="I698" s="372" t="str">
        <f>CS_PID!I698/VLOOKUP($B698,표2[#ALL],2)/HLOOKUP($A698,표1[#ALL],row(),false)</f>
        <v>#N/A</v>
      </c>
      <c r="J698" s="372" t="str">
        <f>CS_PID!J698/VLOOKUP($B698,표2[#ALL],2)/HLOOKUP($A698,표1[#ALL],row(),false)</f>
        <v>#N/A</v>
      </c>
      <c r="K698" s="372" t="str">
        <f>CS_PID!K698/VLOOKUP($B698,표2[#ALL],2)/HLOOKUP($A698,표1[#ALL],row(),false)</f>
        <v>#N/A</v>
      </c>
      <c r="L698" s="372" t="str">
        <f>CS_PID!L698/VLOOKUP($B698,표2[#ALL],2)/HLOOKUP($A698,표1[#ALL],row(),false)</f>
        <v>#N/A</v>
      </c>
      <c r="M698" s="372" t="str">
        <f>CS_PID!M698/VLOOKUP($B698,표2[#ALL],2)/HLOOKUP($A698,표1[#ALL],row(),false)</f>
        <v>#N/A</v>
      </c>
      <c r="N698" s="372" t="str">
        <f>CS_PID!N698/VLOOKUP($B698,표2[#ALL],2)/HLOOKUP($A698,표1[#ALL],row(),false)</f>
        <v>#N/A</v>
      </c>
      <c r="O698" s="372" t="str">
        <f>CS_PID!O698/VLOOKUP($B698,표2[#ALL],2)/HLOOKUP($A698,표1[#ALL],row(),false)</f>
        <v>#N/A</v>
      </c>
      <c r="P698" s="372" t="str">
        <f>CS_PID!P698/VLOOKUP($B698,표2[#ALL],2)/HLOOKUP($A698,표1[#ALL],row(),false)</f>
        <v>#N/A</v>
      </c>
      <c r="Q698" s="372" t="str">
        <f>CS_PID!Q698/VLOOKUP($B698,표2[#ALL],2)/HLOOKUP($A698,표1[#ALL],row(),false)</f>
        <v>#N/A</v>
      </c>
      <c r="R698" s="372" t="str">
        <f>CS_PID!R698/VLOOKUP($B698,표2[#ALL],2)/HLOOKUP($A698,표1[#ALL],row(),false)</f>
        <v>#N/A</v>
      </c>
      <c r="S698" s="372" t="str">
        <f>CS_PID!S698/VLOOKUP($B698,표2[#ALL],2)/HLOOKUP($A698,표1[#ALL],row(),false)</f>
        <v>#N/A</v>
      </c>
      <c r="T698" s="372" t="str">
        <f>CS_PID!T698/VLOOKUP($B698,표2[#ALL],2)/HLOOKUP($A698,표1[#ALL],row(),false)</f>
        <v>#N/A</v>
      </c>
      <c r="U698" s="372" t="str">
        <f>CS_PID!U698/VLOOKUP($B698,표2[#ALL],2)/HLOOKUP($A698,표1[#ALL],row(),false)</f>
        <v>#N/A</v>
      </c>
      <c r="V698" s="372" t="str">
        <f>CS_PID!V698/VLOOKUP($B698,표2[#ALL],2)/HLOOKUP($A698,표1[#ALL],row(),false)</f>
        <v>#N/A</v>
      </c>
      <c r="W698" s="372" t="str">
        <f>CS_PID!W698/VLOOKUP($B698,표2[#ALL],2)/HLOOKUP($A698,표1[#ALL],row(),false)</f>
        <v>#N/A</v>
      </c>
      <c r="X698" s="372" t="str">
        <f>CS_PID!X698/VLOOKUP($B698,표2[#ALL],2)/HLOOKUP($A698,표1[#ALL],row(),false)</f>
        <v>#N/A</v>
      </c>
      <c r="Y698" s="372" t="str">
        <f>CS_PID!Y698/VLOOKUP($B698,표2[#ALL],2)/HLOOKUP($A698,표1[#ALL],row(),false)</f>
        <v>#N/A</v>
      </c>
      <c r="Z698" s="372" t="str">
        <f>CS_PID!Z698/VLOOKUP($B698,표2[#ALL],2)/HLOOKUP($A698,표1[#ALL],row(),false)</f>
        <v>#N/A</v>
      </c>
      <c r="AA698" s="372" t="str">
        <f>CS_PID!AA698/VLOOKUP($B698,표2[#ALL],2)/HLOOKUP($A698,표1[#ALL],row(),false)</f>
        <v>#N/A</v>
      </c>
      <c r="AB698" s="372" t="str">
        <f>CS_PID!AB698/VLOOKUP($B698,표2[#ALL],2)/HLOOKUP($A698,표1[#ALL],row(),false)</f>
        <v>#N/A</v>
      </c>
      <c r="AC698" s="372" t="str">
        <f>CS_PID!AC698/VLOOKUP($B698,표2[#ALL],2)/HLOOKUP($A698,표1[#ALL],row(),false)</f>
        <v>#N/A</v>
      </c>
      <c r="AD698" s="372" t="str">
        <f>CS_PID!AD698/VLOOKUP($B698,표2[#ALL],2)/HLOOKUP($A698,표1[#ALL],row(),false)</f>
        <v>#N/A</v>
      </c>
      <c r="AE698" s="372" t="str">
        <f>CS_PID!AE698/VLOOKUP($B698,표2[#ALL],2)/HLOOKUP($A698,표1[#ALL],row(),false)</f>
        <v>#N/A</v>
      </c>
      <c r="AF698" s="372" t="str">
        <f>CS_PID!AF698/VLOOKUP($B698,표2[#ALL],2)/HLOOKUP($A698,표1[#ALL],row(),false)</f>
        <v>#N/A</v>
      </c>
      <c r="AG698" s="372" t="str">
        <f>CS_PID!AG698/VLOOKUP($B698,표2[#ALL],2)/HLOOKUP($A698,표1[#ALL],row(),false)</f>
        <v>#N/A</v>
      </c>
      <c r="AH698" s="372" t="str">
        <f>CS_PID!AH698/VLOOKUP($B698,표2[#ALL],2)/HLOOKUP($A698,표1[#ALL],row(),false)</f>
        <v>#N/A</v>
      </c>
      <c r="AI698" s="372" t="str">
        <f>CS_PID!AI698/VLOOKUP($B698,표2[#ALL],2)/HLOOKUP($A698,표1[#ALL],row(),false)</f>
        <v>#N/A</v>
      </c>
      <c r="AJ698" s="372" t="str">
        <f>CS_PID!AJ698/VLOOKUP($B698,표2[#ALL],2)/HLOOKUP($A698,표1[#ALL],row(),false)</f>
        <v>#N/A</v>
      </c>
      <c r="AK698" s="372" t="str">
        <f>CS_PID!AK698/VLOOKUP($B698,표2[#ALL],2)/HLOOKUP($A698,표1[#ALL],row(),false)</f>
        <v>#N/A</v>
      </c>
      <c r="AL698" s="372" t="str">
        <f>CS_PID!AL698/VLOOKUP($B698,표2[#ALL],2)/HLOOKUP($A698,표1[#ALL],row(),false)</f>
        <v>#N/A</v>
      </c>
      <c r="AM698" s="372" t="str">
        <f>CS_PID!AM698/VLOOKUP($B698,표2[#ALL],2)/HLOOKUP($A698,표1[#ALL],row(),false)</f>
        <v>#N/A</v>
      </c>
      <c r="AN698" s="372" t="str">
        <f>CS_PID!AN698/VLOOKUP($B698,표2[#ALL],2)/HLOOKUP($A698,표1[#ALL],row(),false)</f>
        <v>#N/A</v>
      </c>
      <c r="AO698" s="372" t="str">
        <f>CS_PID!AO698/VLOOKUP($B698,표2[#ALL],2)/HLOOKUP($A698,표1[#ALL],row(),false)</f>
        <v>#N/A</v>
      </c>
      <c r="AP698" s="372" t="str">
        <f>CS_PID!AP698/VLOOKUP($B698,표2[#ALL],2)/HLOOKUP($A698,표1[#ALL],row(),false)</f>
        <v>#N/A</v>
      </c>
      <c r="AQ698" s="372" t="str">
        <f>CS_PID!AQ698/VLOOKUP($B698,표2[#ALL],2)/HLOOKUP($A698,표1[#ALL],row(),false)</f>
        <v>#N/A</v>
      </c>
      <c r="AR698" s="372" t="str">
        <f>CS_PID!AR698/VLOOKUP($B698,표2[#ALL],2)/HLOOKUP($A698,표1[#ALL],row(),false)</f>
        <v>#N/A</v>
      </c>
      <c r="AS698" s="373" t="str">
        <f>CS_PID!AS698/VLOOKUP($B698,표2[#ALL],2)/HLOOKUP($A698,표1[#ALL],row(),false)</f>
        <v>#N/A</v>
      </c>
    </row>
    <row r="699">
      <c r="A699" s="374"/>
      <c r="B699" s="375"/>
      <c r="C699" s="376" t="str">
        <f>CS_PID!C699/VLOOKUP($B699,표2[#ALL],2)</f>
        <v>#N/A</v>
      </c>
      <c r="D699" s="376" t="str">
        <f>CS_PID!D699/VLOOKUP($B699,표2[#ALL],2)</f>
        <v>#N/A</v>
      </c>
      <c r="E699" s="376" t="str">
        <f>CS_PID!E699/VLOOKUP($B699,표2[#ALL],2)</f>
        <v>#N/A</v>
      </c>
      <c r="F699" s="376" t="str">
        <f>CS_PID!F699/VLOOKUP($B699,표2[#ALL],2)</f>
        <v>#N/A</v>
      </c>
      <c r="G699" s="376" t="str">
        <f>CS_PID!G699/VLOOKUP($B699,표2[#ALL],2)</f>
        <v>#N/A</v>
      </c>
      <c r="H699" s="376" t="str">
        <f>CS_PID!H699/VLOOKUP($B699,표2[#ALL],2)/HLOOKUP($A699,표1[#ALL],row(),false)</f>
        <v>#N/A</v>
      </c>
      <c r="I699" s="376" t="str">
        <f>CS_PID!I699/VLOOKUP($B699,표2[#ALL],2)/HLOOKUP($A699,표1[#ALL],row(),false)</f>
        <v>#N/A</v>
      </c>
      <c r="J699" s="376" t="str">
        <f>CS_PID!J699/VLOOKUP($B699,표2[#ALL],2)/HLOOKUP($A699,표1[#ALL],row(),false)</f>
        <v>#N/A</v>
      </c>
      <c r="K699" s="376" t="str">
        <f>CS_PID!K699/VLOOKUP($B699,표2[#ALL],2)/HLOOKUP($A699,표1[#ALL],row(),false)</f>
        <v>#N/A</v>
      </c>
      <c r="L699" s="376" t="str">
        <f>CS_PID!L699/VLOOKUP($B699,표2[#ALL],2)/HLOOKUP($A699,표1[#ALL],row(),false)</f>
        <v>#N/A</v>
      </c>
      <c r="M699" s="376" t="str">
        <f>CS_PID!M699/VLOOKUP($B699,표2[#ALL],2)/HLOOKUP($A699,표1[#ALL],row(),false)</f>
        <v>#N/A</v>
      </c>
      <c r="N699" s="376" t="str">
        <f>CS_PID!N699/VLOOKUP($B699,표2[#ALL],2)/HLOOKUP($A699,표1[#ALL],row(),false)</f>
        <v>#N/A</v>
      </c>
      <c r="O699" s="376" t="str">
        <f>CS_PID!O699/VLOOKUP($B699,표2[#ALL],2)/HLOOKUP($A699,표1[#ALL],row(),false)</f>
        <v>#N/A</v>
      </c>
      <c r="P699" s="376" t="str">
        <f>CS_PID!P699/VLOOKUP($B699,표2[#ALL],2)/HLOOKUP($A699,표1[#ALL],row(),false)</f>
        <v>#N/A</v>
      </c>
      <c r="Q699" s="376" t="str">
        <f>CS_PID!Q699/VLOOKUP($B699,표2[#ALL],2)/HLOOKUP($A699,표1[#ALL],row(),false)</f>
        <v>#N/A</v>
      </c>
      <c r="R699" s="376" t="str">
        <f>CS_PID!R699/VLOOKUP($B699,표2[#ALL],2)/HLOOKUP($A699,표1[#ALL],row(),false)</f>
        <v>#N/A</v>
      </c>
      <c r="S699" s="376" t="str">
        <f>CS_PID!S699/VLOOKUP($B699,표2[#ALL],2)/HLOOKUP($A699,표1[#ALL],row(),false)</f>
        <v>#N/A</v>
      </c>
      <c r="T699" s="376" t="str">
        <f>CS_PID!T699/VLOOKUP($B699,표2[#ALL],2)/HLOOKUP($A699,표1[#ALL],row(),false)</f>
        <v>#N/A</v>
      </c>
      <c r="U699" s="376" t="str">
        <f>CS_PID!U699/VLOOKUP($B699,표2[#ALL],2)/HLOOKUP($A699,표1[#ALL],row(),false)</f>
        <v>#N/A</v>
      </c>
      <c r="V699" s="376" t="str">
        <f>CS_PID!V699/VLOOKUP($B699,표2[#ALL],2)/HLOOKUP($A699,표1[#ALL],row(),false)</f>
        <v>#N/A</v>
      </c>
      <c r="W699" s="376" t="str">
        <f>CS_PID!W699/VLOOKUP($B699,표2[#ALL],2)/HLOOKUP($A699,표1[#ALL],row(),false)</f>
        <v>#N/A</v>
      </c>
      <c r="X699" s="376" t="str">
        <f>CS_PID!X699/VLOOKUP($B699,표2[#ALL],2)/HLOOKUP($A699,표1[#ALL],row(),false)</f>
        <v>#N/A</v>
      </c>
      <c r="Y699" s="376" t="str">
        <f>CS_PID!Y699/VLOOKUP($B699,표2[#ALL],2)/HLOOKUP($A699,표1[#ALL],row(),false)</f>
        <v>#N/A</v>
      </c>
      <c r="Z699" s="376" t="str">
        <f>CS_PID!Z699/VLOOKUP($B699,표2[#ALL],2)/HLOOKUP($A699,표1[#ALL],row(),false)</f>
        <v>#N/A</v>
      </c>
      <c r="AA699" s="376" t="str">
        <f>CS_PID!AA699/VLOOKUP($B699,표2[#ALL],2)/HLOOKUP($A699,표1[#ALL],row(),false)</f>
        <v>#N/A</v>
      </c>
      <c r="AB699" s="376" t="str">
        <f>CS_PID!AB699/VLOOKUP($B699,표2[#ALL],2)/HLOOKUP($A699,표1[#ALL],row(),false)</f>
        <v>#N/A</v>
      </c>
      <c r="AC699" s="376" t="str">
        <f>CS_PID!AC699/VLOOKUP($B699,표2[#ALL],2)/HLOOKUP($A699,표1[#ALL],row(),false)</f>
        <v>#N/A</v>
      </c>
      <c r="AD699" s="376" t="str">
        <f>CS_PID!AD699/VLOOKUP($B699,표2[#ALL],2)/HLOOKUP($A699,표1[#ALL],row(),false)</f>
        <v>#N/A</v>
      </c>
      <c r="AE699" s="376" t="str">
        <f>CS_PID!AE699/VLOOKUP($B699,표2[#ALL],2)/HLOOKUP($A699,표1[#ALL],row(),false)</f>
        <v>#N/A</v>
      </c>
      <c r="AF699" s="376" t="str">
        <f>CS_PID!AF699/VLOOKUP($B699,표2[#ALL],2)/HLOOKUP($A699,표1[#ALL],row(),false)</f>
        <v>#N/A</v>
      </c>
      <c r="AG699" s="376" t="str">
        <f>CS_PID!AG699/VLOOKUP($B699,표2[#ALL],2)/HLOOKUP($A699,표1[#ALL],row(),false)</f>
        <v>#N/A</v>
      </c>
      <c r="AH699" s="376" t="str">
        <f>CS_PID!AH699/VLOOKUP($B699,표2[#ALL],2)/HLOOKUP($A699,표1[#ALL],row(),false)</f>
        <v>#N/A</v>
      </c>
      <c r="AI699" s="376" t="str">
        <f>CS_PID!AI699/VLOOKUP($B699,표2[#ALL],2)/HLOOKUP($A699,표1[#ALL],row(),false)</f>
        <v>#N/A</v>
      </c>
      <c r="AJ699" s="376" t="str">
        <f>CS_PID!AJ699/VLOOKUP($B699,표2[#ALL],2)/HLOOKUP($A699,표1[#ALL],row(),false)</f>
        <v>#N/A</v>
      </c>
      <c r="AK699" s="376" t="str">
        <f>CS_PID!AK699/VLOOKUP($B699,표2[#ALL],2)/HLOOKUP($A699,표1[#ALL],row(),false)</f>
        <v>#N/A</v>
      </c>
      <c r="AL699" s="376" t="str">
        <f>CS_PID!AL699/VLOOKUP($B699,표2[#ALL],2)/HLOOKUP($A699,표1[#ALL],row(),false)</f>
        <v>#N/A</v>
      </c>
      <c r="AM699" s="376" t="str">
        <f>CS_PID!AM699/VLOOKUP($B699,표2[#ALL],2)/HLOOKUP($A699,표1[#ALL],row(),false)</f>
        <v>#N/A</v>
      </c>
      <c r="AN699" s="376" t="str">
        <f>CS_PID!AN699/VLOOKUP($B699,표2[#ALL],2)/HLOOKUP($A699,표1[#ALL],row(),false)</f>
        <v>#N/A</v>
      </c>
      <c r="AO699" s="376" t="str">
        <f>CS_PID!AO699/VLOOKUP($B699,표2[#ALL],2)/HLOOKUP($A699,표1[#ALL],row(),false)</f>
        <v>#N/A</v>
      </c>
      <c r="AP699" s="376" t="str">
        <f>CS_PID!AP699/VLOOKUP($B699,표2[#ALL],2)/HLOOKUP($A699,표1[#ALL],row(),false)</f>
        <v>#N/A</v>
      </c>
      <c r="AQ699" s="376" t="str">
        <f>CS_PID!AQ699/VLOOKUP($B699,표2[#ALL],2)/HLOOKUP($A699,표1[#ALL],row(),false)</f>
        <v>#N/A</v>
      </c>
      <c r="AR699" s="376" t="str">
        <f>CS_PID!AR699/VLOOKUP($B699,표2[#ALL],2)/HLOOKUP($A699,표1[#ALL],row(),false)</f>
        <v>#N/A</v>
      </c>
      <c r="AS699" s="377" t="str">
        <f>CS_PID!AS699/VLOOKUP($B699,표2[#ALL],2)/HLOOKUP($A699,표1[#ALL],row(),false)</f>
        <v>#N/A</v>
      </c>
    </row>
    <row r="700">
      <c r="A700" s="370"/>
      <c r="B700" s="371"/>
      <c r="C700" s="372" t="str">
        <f>CS_PID!C700/VLOOKUP($B700,표2[#ALL],2)</f>
        <v>#N/A</v>
      </c>
      <c r="D700" s="372" t="str">
        <f>CS_PID!D700/VLOOKUP($B700,표2[#ALL],2)</f>
        <v>#N/A</v>
      </c>
      <c r="E700" s="372" t="str">
        <f>CS_PID!E700/VLOOKUP($B700,표2[#ALL],2)</f>
        <v>#N/A</v>
      </c>
      <c r="F700" s="372" t="str">
        <f>CS_PID!F700/VLOOKUP($B700,표2[#ALL],2)</f>
        <v>#N/A</v>
      </c>
      <c r="G700" s="372" t="str">
        <f>CS_PID!G700/VLOOKUP($B700,표2[#ALL],2)</f>
        <v>#N/A</v>
      </c>
      <c r="H700" s="372" t="str">
        <f>CS_PID!H700/VLOOKUP($B700,표2[#ALL],2)/HLOOKUP($A700,표1[#ALL],row(),false)</f>
        <v>#N/A</v>
      </c>
      <c r="I700" s="372" t="str">
        <f>CS_PID!I700/VLOOKUP($B700,표2[#ALL],2)/HLOOKUP($A700,표1[#ALL],row(),false)</f>
        <v>#N/A</v>
      </c>
      <c r="J700" s="372" t="str">
        <f>CS_PID!J700/VLOOKUP($B700,표2[#ALL],2)/HLOOKUP($A700,표1[#ALL],row(),false)</f>
        <v>#N/A</v>
      </c>
      <c r="K700" s="372" t="str">
        <f>CS_PID!K700/VLOOKUP($B700,표2[#ALL],2)/HLOOKUP($A700,표1[#ALL],row(),false)</f>
        <v>#N/A</v>
      </c>
      <c r="L700" s="372" t="str">
        <f>CS_PID!L700/VLOOKUP($B700,표2[#ALL],2)/HLOOKUP($A700,표1[#ALL],row(),false)</f>
        <v>#N/A</v>
      </c>
      <c r="M700" s="372" t="str">
        <f>CS_PID!M700/VLOOKUP($B700,표2[#ALL],2)/HLOOKUP($A700,표1[#ALL],row(),false)</f>
        <v>#N/A</v>
      </c>
      <c r="N700" s="372" t="str">
        <f>CS_PID!N700/VLOOKUP($B700,표2[#ALL],2)/HLOOKUP($A700,표1[#ALL],row(),false)</f>
        <v>#N/A</v>
      </c>
      <c r="O700" s="372" t="str">
        <f>CS_PID!O700/VLOOKUP($B700,표2[#ALL],2)/HLOOKUP($A700,표1[#ALL],row(),false)</f>
        <v>#N/A</v>
      </c>
      <c r="P700" s="372" t="str">
        <f>CS_PID!P700/VLOOKUP($B700,표2[#ALL],2)/HLOOKUP($A700,표1[#ALL],row(),false)</f>
        <v>#N/A</v>
      </c>
      <c r="Q700" s="372" t="str">
        <f>CS_PID!Q700/VLOOKUP($B700,표2[#ALL],2)/HLOOKUP($A700,표1[#ALL],row(),false)</f>
        <v>#N/A</v>
      </c>
      <c r="R700" s="372" t="str">
        <f>CS_PID!R700/VLOOKUP($B700,표2[#ALL],2)/HLOOKUP($A700,표1[#ALL],row(),false)</f>
        <v>#N/A</v>
      </c>
      <c r="S700" s="372" t="str">
        <f>CS_PID!S700/VLOOKUP($B700,표2[#ALL],2)/HLOOKUP($A700,표1[#ALL],row(),false)</f>
        <v>#N/A</v>
      </c>
      <c r="T700" s="372" t="str">
        <f>CS_PID!T700/VLOOKUP($B700,표2[#ALL],2)/HLOOKUP($A700,표1[#ALL],row(),false)</f>
        <v>#N/A</v>
      </c>
      <c r="U700" s="372" t="str">
        <f>CS_PID!U700/VLOOKUP($B700,표2[#ALL],2)/HLOOKUP($A700,표1[#ALL],row(),false)</f>
        <v>#N/A</v>
      </c>
      <c r="V700" s="372" t="str">
        <f>CS_PID!V700/VLOOKUP($B700,표2[#ALL],2)/HLOOKUP($A700,표1[#ALL],row(),false)</f>
        <v>#N/A</v>
      </c>
      <c r="W700" s="372" t="str">
        <f>CS_PID!W700/VLOOKUP($B700,표2[#ALL],2)/HLOOKUP($A700,표1[#ALL],row(),false)</f>
        <v>#N/A</v>
      </c>
      <c r="X700" s="372" t="str">
        <f>CS_PID!X700/VLOOKUP($B700,표2[#ALL],2)/HLOOKUP($A700,표1[#ALL],row(),false)</f>
        <v>#N/A</v>
      </c>
      <c r="Y700" s="372" t="str">
        <f>CS_PID!Y700/VLOOKUP($B700,표2[#ALL],2)/HLOOKUP($A700,표1[#ALL],row(),false)</f>
        <v>#N/A</v>
      </c>
      <c r="Z700" s="372" t="str">
        <f>CS_PID!Z700/VLOOKUP($B700,표2[#ALL],2)/HLOOKUP($A700,표1[#ALL],row(),false)</f>
        <v>#N/A</v>
      </c>
      <c r="AA700" s="372" t="str">
        <f>CS_PID!AA700/VLOOKUP($B700,표2[#ALL],2)/HLOOKUP($A700,표1[#ALL],row(),false)</f>
        <v>#N/A</v>
      </c>
      <c r="AB700" s="372" t="str">
        <f>CS_PID!AB700/VLOOKUP($B700,표2[#ALL],2)/HLOOKUP($A700,표1[#ALL],row(),false)</f>
        <v>#N/A</v>
      </c>
      <c r="AC700" s="372" t="str">
        <f>CS_PID!AC700/VLOOKUP($B700,표2[#ALL],2)/HLOOKUP($A700,표1[#ALL],row(),false)</f>
        <v>#N/A</v>
      </c>
      <c r="AD700" s="372" t="str">
        <f>CS_PID!AD700/VLOOKUP($B700,표2[#ALL],2)/HLOOKUP($A700,표1[#ALL],row(),false)</f>
        <v>#N/A</v>
      </c>
      <c r="AE700" s="372" t="str">
        <f>CS_PID!AE700/VLOOKUP($B700,표2[#ALL],2)/HLOOKUP($A700,표1[#ALL],row(),false)</f>
        <v>#N/A</v>
      </c>
      <c r="AF700" s="372" t="str">
        <f>CS_PID!AF700/VLOOKUP($B700,표2[#ALL],2)/HLOOKUP($A700,표1[#ALL],row(),false)</f>
        <v>#N/A</v>
      </c>
      <c r="AG700" s="372" t="str">
        <f>CS_PID!AG700/VLOOKUP($B700,표2[#ALL],2)/HLOOKUP($A700,표1[#ALL],row(),false)</f>
        <v>#N/A</v>
      </c>
      <c r="AH700" s="372" t="str">
        <f>CS_PID!AH700/VLOOKUP($B700,표2[#ALL],2)/HLOOKUP($A700,표1[#ALL],row(),false)</f>
        <v>#N/A</v>
      </c>
      <c r="AI700" s="372" t="str">
        <f>CS_PID!AI700/VLOOKUP($B700,표2[#ALL],2)/HLOOKUP($A700,표1[#ALL],row(),false)</f>
        <v>#N/A</v>
      </c>
      <c r="AJ700" s="372" t="str">
        <f>CS_PID!AJ700/VLOOKUP($B700,표2[#ALL],2)/HLOOKUP($A700,표1[#ALL],row(),false)</f>
        <v>#N/A</v>
      </c>
      <c r="AK700" s="372" t="str">
        <f>CS_PID!AK700/VLOOKUP($B700,표2[#ALL],2)/HLOOKUP($A700,표1[#ALL],row(),false)</f>
        <v>#N/A</v>
      </c>
      <c r="AL700" s="372" t="str">
        <f>CS_PID!AL700/VLOOKUP($B700,표2[#ALL],2)/HLOOKUP($A700,표1[#ALL],row(),false)</f>
        <v>#N/A</v>
      </c>
      <c r="AM700" s="372" t="str">
        <f>CS_PID!AM700/VLOOKUP($B700,표2[#ALL],2)/HLOOKUP($A700,표1[#ALL],row(),false)</f>
        <v>#N/A</v>
      </c>
      <c r="AN700" s="372" t="str">
        <f>CS_PID!AN700/VLOOKUP($B700,표2[#ALL],2)/HLOOKUP($A700,표1[#ALL],row(),false)</f>
        <v>#N/A</v>
      </c>
      <c r="AO700" s="372" t="str">
        <f>CS_PID!AO700/VLOOKUP($B700,표2[#ALL],2)/HLOOKUP($A700,표1[#ALL],row(),false)</f>
        <v>#N/A</v>
      </c>
      <c r="AP700" s="372" t="str">
        <f>CS_PID!AP700/VLOOKUP($B700,표2[#ALL],2)/HLOOKUP($A700,표1[#ALL],row(),false)</f>
        <v>#N/A</v>
      </c>
      <c r="AQ700" s="372" t="str">
        <f>CS_PID!AQ700/VLOOKUP($B700,표2[#ALL],2)/HLOOKUP($A700,표1[#ALL],row(),false)</f>
        <v>#N/A</v>
      </c>
      <c r="AR700" s="372" t="str">
        <f>CS_PID!AR700/VLOOKUP($B700,표2[#ALL],2)/HLOOKUP($A700,표1[#ALL],row(),false)</f>
        <v>#N/A</v>
      </c>
      <c r="AS700" s="373" t="str">
        <f>CS_PID!AS700/VLOOKUP($B700,표2[#ALL],2)/HLOOKUP($A700,표1[#ALL],row(),false)</f>
        <v>#N/A</v>
      </c>
    </row>
    <row r="701">
      <c r="A701" s="374"/>
      <c r="B701" s="375"/>
      <c r="C701" s="376" t="str">
        <f>CS_PID!C701/VLOOKUP($B701,표2[#ALL],2)</f>
        <v>#N/A</v>
      </c>
      <c r="D701" s="376" t="str">
        <f>CS_PID!D701/VLOOKUP($B701,표2[#ALL],2)</f>
        <v>#N/A</v>
      </c>
      <c r="E701" s="376" t="str">
        <f>CS_PID!E701/VLOOKUP($B701,표2[#ALL],2)</f>
        <v>#N/A</v>
      </c>
      <c r="F701" s="376" t="str">
        <f>CS_PID!F701/VLOOKUP($B701,표2[#ALL],2)</f>
        <v>#N/A</v>
      </c>
      <c r="G701" s="376" t="str">
        <f>CS_PID!G701/VLOOKUP($B701,표2[#ALL],2)</f>
        <v>#N/A</v>
      </c>
      <c r="H701" s="376" t="str">
        <f>CS_PID!H701/VLOOKUP($B701,표2[#ALL],2)/HLOOKUP($A701,표1[#ALL],row(),false)</f>
        <v>#N/A</v>
      </c>
      <c r="I701" s="376" t="str">
        <f>CS_PID!I701/VLOOKUP($B701,표2[#ALL],2)/HLOOKUP($A701,표1[#ALL],row(),false)</f>
        <v>#N/A</v>
      </c>
      <c r="J701" s="376" t="str">
        <f>CS_PID!J701/VLOOKUP($B701,표2[#ALL],2)/HLOOKUP($A701,표1[#ALL],row(),false)</f>
        <v>#N/A</v>
      </c>
      <c r="K701" s="376" t="str">
        <f>CS_PID!K701/VLOOKUP($B701,표2[#ALL],2)/HLOOKUP($A701,표1[#ALL],row(),false)</f>
        <v>#N/A</v>
      </c>
      <c r="L701" s="376" t="str">
        <f>CS_PID!L701/VLOOKUP($B701,표2[#ALL],2)/HLOOKUP($A701,표1[#ALL],row(),false)</f>
        <v>#N/A</v>
      </c>
      <c r="M701" s="376" t="str">
        <f>CS_PID!M701/VLOOKUP($B701,표2[#ALL],2)/HLOOKUP($A701,표1[#ALL],row(),false)</f>
        <v>#N/A</v>
      </c>
      <c r="N701" s="376" t="str">
        <f>CS_PID!N701/VLOOKUP($B701,표2[#ALL],2)/HLOOKUP($A701,표1[#ALL],row(),false)</f>
        <v>#N/A</v>
      </c>
      <c r="O701" s="376" t="str">
        <f>CS_PID!O701/VLOOKUP($B701,표2[#ALL],2)/HLOOKUP($A701,표1[#ALL],row(),false)</f>
        <v>#N/A</v>
      </c>
      <c r="P701" s="376" t="str">
        <f>CS_PID!P701/VLOOKUP($B701,표2[#ALL],2)/HLOOKUP($A701,표1[#ALL],row(),false)</f>
        <v>#N/A</v>
      </c>
      <c r="Q701" s="376" t="str">
        <f>CS_PID!Q701/VLOOKUP($B701,표2[#ALL],2)/HLOOKUP($A701,표1[#ALL],row(),false)</f>
        <v>#N/A</v>
      </c>
      <c r="R701" s="376" t="str">
        <f>CS_PID!R701/VLOOKUP($B701,표2[#ALL],2)/HLOOKUP($A701,표1[#ALL],row(),false)</f>
        <v>#N/A</v>
      </c>
      <c r="S701" s="376" t="str">
        <f>CS_PID!S701/VLOOKUP($B701,표2[#ALL],2)/HLOOKUP($A701,표1[#ALL],row(),false)</f>
        <v>#N/A</v>
      </c>
      <c r="T701" s="376" t="str">
        <f>CS_PID!T701/VLOOKUP($B701,표2[#ALL],2)/HLOOKUP($A701,표1[#ALL],row(),false)</f>
        <v>#N/A</v>
      </c>
      <c r="U701" s="376" t="str">
        <f>CS_PID!U701/VLOOKUP($B701,표2[#ALL],2)/HLOOKUP($A701,표1[#ALL],row(),false)</f>
        <v>#N/A</v>
      </c>
      <c r="V701" s="376" t="str">
        <f>CS_PID!V701/VLOOKUP($B701,표2[#ALL],2)/HLOOKUP($A701,표1[#ALL],row(),false)</f>
        <v>#N/A</v>
      </c>
      <c r="W701" s="376" t="str">
        <f>CS_PID!W701/VLOOKUP($B701,표2[#ALL],2)/HLOOKUP($A701,표1[#ALL],row(),false)</f>
        <v>#N/A</v>
      </c>
      <c r="X701" s="376" t="str">
        <f>CS_PID!X701/VLOOKUP($B701,표2[#ALL],2)/HLOOKUP($A701,표1[#ALL],row(),false)</f>
        <v>#N/A</v>
      </c>
      <c r="Y701" s="376" t="str">
        <f>CS_PID!Y701/VLOOKUP($B701,표2[#ALL],2)/HLOOKUP($A701,표1[#ALL],row(),false)</f>
        <v>#N/A</v>
      </c>
      <c r="Z701" s="376" t="str">
        <f>CS_PID!Z701/VLOOKUP($B701,표2[#ALL],2)/HLOOKUP($A701,표1[#ALL],row(),false)</f>
        <v>#N/A</v>
      </c>
      <c r="AA701" s="376" t="str">
        <f>CS_PID!AA701/VLOOKUP($B701,표2[#ALL],2)/HLOOKUP($A701,표1[#ALL],row(),false)</f>
        <v>#N/A</v>
      </c>
      <c r="AB701" s="376" t="str">
        <f>CS_PID!AB701/VLOOKUP($B701,표2[#ALL],2)/HLOOKUP($A701,표1[#ALL],row(),false)</f>
        <v>#N/A</v>
      </c>
      <c r="AC701" s="376" t="str">
        <f>CS_PID!AC701/VLOOKUP($B701,표2[#ALL],2)/HLOOKUP($A701,표1[#ALL],row(),false)</f>
        <v>#N/A</v>
      </c>
      <c r="AD701" s="376" t="str">
        <f>CS_PID!AD701/VLOOKUP($B701,표2[#ALL],2)/HLOOKUP($A701,표1[#ALL],row(),false)</f>
        <v>#N/A</v>
      </c>
      <c r="AE701" s="376" t="str">
        <f>CS_PID!AE701/VLOOKUP($B701,표2[#ALL],2)/HLOOKUP($A701,표1[#ALL],row(),false)</f>
        <v>#N/A</v>
      </c>
      <c r="AF701" s="376" t="str">
        <f>CS_PID!AF701/VLOOKUP($B701,표2[#ALL],2)/HLOOKUP($A701,표1[#ALL],row(),false)</f>
        <v>#N/A</v>
      </c>
      <c r="AG701" s="376" t="str">
        <f>CS_PID!AG701/VLOOKUP($B701,표2[#ALL],2)/HLOOKUP($A701,표1[#ALL],row(),false)</f>
        <v>#N/A</v>
      </c>
      <c r="AH701" s="376" t="str">
        <f>CS_PID!AH701/VLOOKUP($B701,표2[#ALL],2)/HLOOKUP($A701,표1[#ALL],row(),false)</f>
        <v>#N/A</v>
      </c>
      <c r="AI701" s="376" t="str">
        <f>CS_PID!AI701/VLOOKUP($B701,표2[#ALL],2)/HLOOKUP($A701,표1[#ALL],row(),false)</f>
        <v>#N/A</v>
      </c>
      <c r="AJ701" s="376" t="str">
        <f>CS_PID!AJ701/VLOOKUP($B701,표2[#ALL],2)/HLOOKUP($A701,표1[#ALL],row(),false)</f>
        <v>#N/A</v>
      </c>
      <c r="AK701" s="376" t="str">
        <f>CS_PID!AK701/VLOOKUP($B701,표2[#ALL],2)/HLOOKUP($A701,표1[#ALL],row(),false)</f>
        <v>#N/A</v>
      </c>
      <c r="AL701" s="376" t="str">
        <f>CS_PID!AL701/VLOOKUP($B701,표2[#ALL],2)/HLOOKUP($A701,표1[#ALL],row(),false)</f>
        <v>#N/A</v>
      </c>
      <c r="AM701" s="376" t="str">
        <f>CS_PID!AM701/VLOOKUP($B701,표2[#ALL],2)/HLOOKUP($A701,표1[#ALL],row(),false)</f>
        <v>#N/A</v>
      </c>
      <c r="AN701" s="376" t="str">
        <f>CS_PID!AN701/VLOOKUP($B701,표2[#ALL],2)/HLOOKUP($A701,표1[#ALL],row(),false)</f>
        <v>#N/A</v>
      </c>
      <c r="AO701" s="376" t="str">
        <f>CS_PID!AO701/VLOOKUP($B701,표2[#ALL],2)/HLOOKUP($A701,표1[#ALL],row(),false)</f>
        <v>#N/A</v>
      </c>
      <c r="AP701" s="376" t="str">
        <f>CS_PID!AP701/VLOOKUP($B701,표2[#ALL],2)/HLOOKUP($A701,표1[#ALL],row(),false)</f>
        <v>#N/A</v>
      </c>
      <c r="AQ701" s="376" t="str">
        <f>CS_PID!AQ701/VLOOKUP($B701,표2[#ALL],2)/HLOOKUP($A701,표1[#ALL],row(),false)</f>
        <v>#N/A</v>
      </c>
      <c r="AR701" s="376" t="str">
        <f>CS_PID!AR701/VLOOKUP($B701,표2[#ALL],2)/HLOOKUP($A701,표1[#ALL],row(),false)</f>
        <v>#N/A</v>
      </c>
      <c r="AS701" s="377" t="str">
        <f>CS_PID!AS701/VLOOKUP($B701,표2[#ALL],2)/HLOOKUP($A701,표1[#ALL],row(),false)</f>
        <v>#N/A</v>
      </c>
    </row>
    <row r="702">
      <c r="A702" s="370"/>
      <c r="B702" s="371"/>
      <c r="C702" s="372" t="str">
        <f>CS_PID!C702/VLOOKUP($B702,표2[#ALL],2)</f>
        <v>#N/A</v>
      </c>
      <c r="D702" s="372" t="str">
        <f>CS_PID!D702/VLOOKUP($B702,표2[#ALL],2)</f>
        <v>#N/A</v>
      </c>
      <c r="E702" s="372" t="str">
        <f>CS_PID!E702/VLOOKUP($B702,표2[#ALL],2)</f>
        <v>#N/A</v>
      </c>
      <c r="F702" s="372" t="str">
        <f>CS_PID!F702/VLOOKUP($B702,표2[#ALL],2)</f>
        <v>#N/A</v>
      </c>
      <c r="G702" s="372" t="str">
        <f>CS_PID!G702/VLOOKUP($B702,표2[#ALL],2)</f>
        <v>#N/A</v>
      </c>
      <c r="H702" s="372" t="str">
        <f>CS_PID!H702/VLOOKUP($B702,표2[#ALL],2)/HLOOKUP($A702,표1[#ALL],row(),false)</f>
        <v>#N/A</v>
      </c>
      <c r="I702" s="372" t="str">
        <f>CS_PID!I702/VLOOKUP($B702,표2[#ALL],2)/HLOOKUP($A702,표1[#ALL],row(),false)</f>
        <v>#N/A</v>
      </c>
      <c r="J702" s="372" t="str">
        <f>CS_PID!J702/VLOOKUP($B702,표2[#ALL],2)/HLOOKUP($A702,표1[#ALL],row(),false)</f>
        <v>#N/A</v>
      </c>
      <c r="K702" s="372" t="str">
        <f>CS_PID!K702/VLOOKUP($B702,표2[#ALL],2)/HLOOKUP($A702,표1[#ALL],row(),false)</f>
        <v>#N/A</v>
      </c>
      <c r="L702" s="372" t="str">
        <f>CS_PID!L702/VLOOKUP($B702,표2[#ALL],2)/HLOOKUP($A702,표1[#ALL],row(),false)</f>
        <v>#N/A</v>
      </c>
      <c r="M702" s="372" t="str">
        <f>CS_PID!M702/VLOOKUP($B702,표2[#ALL],2)/HLOOKUP($A702,표1[#ALL],row(),false)</f>
        <v>#N/A</v>
      </c>
      <c r="N702" s="372" t="str">
        <f>CS_PID!N702/VLOOKUP($B702,표2[#ALL],2)/HLOOKUP($A702,표1[#ALL],row(),false)</f>
        <v>#N/A</v>
      </c>
      <c r="O702" s="372" t="str">
        <f>CS_PID!O702/VLOOKUP($B702,표2[#ALL],2)/HLOOKUP($A702,표1[#ALL],row(),false)</f>
        <v>#N/A</v>
      </c>
      <c r="P702" s="372" t="str">
        <f>CS_PID!P702/VLOOKUP($B702,표2[#ALL],2)/HLOOKUP($A702,표1[#ALL],row(),false)</f>
        <v>#N/A</v>
      </c>
      <c r="Q702" s="372" t="str">
        <f>CS_PID!Q702/VLOOKUP($B702,표2[#ALL],2)/HLOOKUP($A702,표1[#ALL],row(),false)</f>
        <v>#N/A</v>
      </c>
      <c r="R702" s="372" t="str">
        <f>CS_PID!R702/VLOOKUP($B702,표2[#ALL],2)/HLOOKUP($A702,표1[#ALL],row(),false)</f>
        <v>#N/A</v>
      </c>
      <c r="S702" s="372" t="str">
        <f>CS_PID!S702/VLOOKUP($B702,표2[#ALL],2)/HLOOKUP($A702,표1[#ALL],row(),false)</f>
        <v>#N/A</v>
      </c>
      <c r="T702" s="372" t="str">
        <f>CS_PID!T702/VLOOKUP($B702,표2[#ALL],2)/HLOOKUP($A702,표1[#ALL],row(),false)</f>
        <v>#N/A</v>
      </c>
      <c r="U702" s="372" t="str">
        <f>CS_PID!U702/VLOOKUP($B702,표2[#ALL],2)/HLOOKUP($A702,표1[#ALL],row(),false)</f>
        <v>#N/A</v>
      </c>
      <c r="V702" s="372" t="str">
        <f>CS_PID!V702/VLOOKUP($B702,표2[#ALL],2)/HLOOKUP($A702,표1[#ALL],row(),false)</f>
        <v>#N/A</v>
      </c>
      <c r="W702" s="372" t="str">
        <f>CS_PID!W702/VLOOKUP($B702,표2[#ALL],2)/HLOOKUP($A702,표1[#ALL],row(),false)</f>
        <v>#N/A</v>
      </c>
      <c r="X702" s="372" t="str">
        <f>CS_PID!X702/VLOOKUP($B702,표2[#ALL],2)/HLOOKUP($A702,표1[#ALL],row(),false)</f>
        <v>#N/A</v>
      </c>
      <c r="Y702" s="372" t="str">
        <f>CS_PID!Y702/VLOOKUP($B702,표2[#ALL],2)/HLOOKUP($A702,표1[#ALL],row(),false)</f>
        <v>#N/A</v>
      </c>
      <c r="Z702" s="372" t="str">
        <f>CS_PID!Z702/VLOOKUP($B702,표2[#ALL],2)/HLOOKUP($A702,표1[#ALL],row(),false)</f>
        <v>#N/A</v>
      </c>
      <c r="AA702" s="372" t="str">
        <f>CS_PID!AA702/VLOOKUP($B702,표2[#ALL],2)/HLOOKUP($A702,표1[#ALL],row(),false)</f>
        <v>#N/A</v>
      </c>
      <c r="AB702" s="372" t="str">
        <f>CS_PID!AB702/VLOOKUP($B702,표2[#ALL],2)/HLOOKUP($A702,표1[#ALL],row(),false)</f>
        <v>#N/A</v>
      </c>
      <c r="AC702" s="372" t="str">
        <f>CS_PID!AC702/VLOOKUP($B702,표2[#ALL],2)/HLOOKUP($A702,표1[#ALL],row(),false)</f>
        <v>#N/A</v>
      </c>
      <c r="AD702" s="372" t="str">
        <f>CS_PID!AD702/VLOOKUP($B702,표2[#ALL],2)/HLOOKUP($A702,표1[#ALL],row(),false)</f>
        <v>#N/A</v>
      </c>
      <c r="AE702" s="372" t="str">
        <f>CS_PID!AE702/VLOOKUP($B702,표2[#ALL],2)/HLOOKUP($A702,표1[#ALL],row(),false)</f>
        <v>#N/A</v>
      </c>
      <c r="AF702" s="372" t="str">
        <f>CS_PID!AF702/VLOOKUP($B702,표2[#ALL],2)/HLOOKUP($A702,표1[#ALL],row(),false)</f>
        <v>#N/A</v>
      </c>
      <c r="AG702" s="372" t="str">
        <f>CS_PID!AG702/VLOOKUP($B702,표2[#ALL],2)/HLOOKUP($A702,표1[#ALL],row(),false)</f>
        <v>#N/A</v>
      </c>
      <c r="AH702" s="372" t="str">
        <f>CS_PID!AH702/VLOOKUP($B702,표2[#ALL],2)/HLOOKUP($A702,표1[#ALL],row(),false)</f>
        <v>#N/A</v>
      </c>
      <c r="AI702" s="372" t="str">
        <f>CS_PID!AI702/VLOOKUP($B702,표2[#ALL],2)/HLOOKUP($A702,표1[#ALL],row(),false)</f>
        <v>#N/A</v>
      </c>
      <c r="AJ702" s="372" t="str">
        <f>CS_PID!AJ702/VLOOKUP($B702,표2[#ALL],2)/HLOOKUP($A702,표1[#ALL],row(),false)</f>
        <v>#N/A</v>
      </c>
      <c r="AK702" s="372" t="str">
        <f>CS_PID!AK702/VLOOKUP($B702,표2[#ALL],2)/HLOOKUP($A702,표1[#ALL],row(),false)</f>
        <v>#N/A</v>
      </c>
      <c r="AL702" s="372" t="str">
        <f>CS_PID!AL702/VLOOKUP($B702,표2[#ALL],2)/HLOOKUP($A702,표1[#ALL],row(),false)</f>
        <v>#N/A</v>
      </c>
      <c r="AM702" s="372" t="str">
        <f>CS_PID!AM702/VLOOKUP($B702,표2[#ALL],2)/HLOOKUP($A702,표1[#ALL],row(),false)</f>
        <v>#N/A</v>
      </c>
      <c r="AN702" s="372" t="str">
        <f>CS_PID!AN702/VLOOKUP($B702,표2[#ALL],2)/HLOOKUP($A702,표1[#ALL],row(),false)</f>
        <v>#N/A</v>
      </c>
      <c r="AO702" s="372" t="str">
        <f>CS_PID!AO702/VLOOKUP($B702,표2[#ALL],2)/HLOOKUP($A702,표1[#ALL],row(),false)</f>
        <v>#N/A</v>
      </c>
      <c r="AP702" s="372" t="str">
        <f>CS_PID!AP702/VLOOKUP($B702,표2[#ALL],2)/HLOOKUP($A702,표1[#ALL],row(),false)</f>
        <v>#N/A</v>
      </c>
      <c r="AQ702" s="372" t="str">
        <f>CS_PID!AQ702/VLOOKUP($B702,표2[#ALL],2)/HLOOKUP($A702,표1[#ALL],row(),false)</f>
        <v>#N/A</v>
      </c>
      <c r="AR702" s="372" t="str">
        <f>CS_PID!AR702/VLOOKUP($B702,표2[#ALL],2)/HLOOKUP($A702,표1[#ALL],row(),false)</f>
        <v>#N/A</v>
      </c>
      <c r="AS702" s="373" t="str">
        <f>CS_PID!AS702/VLOOKUP($B702,표2[#ALL],2)/HLOOKUP($A702,표1[#ALL],row(),false)</f>
        <v>#N/A</v>
      </c>
    </row>
    <row r="703">
      <c r="A703" s="374"/>
      <c r="B703" s="375"/>
      <c r="C703" s="376" t="str">
        <f>CS_PID!C703/VLOOKUP($B703,표2[#ALL],2)</f>
        <v>#N/A</v>
      </c>
      <c r="D703" s="376" t="str">
        <f>CS_PID!D703/VLOOKUP($B703,표2[#ALL],2)</f>
        <v>#N/A</v>
      </c>
      <c r="E703" s="376" t="str">
        <f>CS_PID!E703/VLOOKUP($B703,표2[#ALL],2)</f>
        <v>#N/A</v>
      </c>
      <c r="F703" s="376" t="str">
        <f>CS_PID!F703/VLOOKUP($B703,표2[#ALL],2)</f>
        <v>#N/A</v>
      </c>
      <c r="G703" s="376" t="str">
        <f>CS_PID!G703/VLOOKUP($B703,표2[#ALL],2)</f>
        <v>#N/A</v>
      </c>
      <c r="H703" s="376" t="str">
        <f>CS_PID!H703/VLOOKUP($B703,표2[#ALL],2)/HLOOKUP($A703,표1[#ALL],row(),false)</f>
        <v>#N/A</v>
      </c>
      <c r="I703" s="376" t="str">
        <f>CS_PID!I703/VLOOKUP($B703,표2[#ALL],2)/HLOOKUP($A703,표1[#ALL],row(),false)</f>
        <v>#N/A</v>
      </c>
      <c r="J703" s="376" t="str">
        <f>CS_PID!J703/VLOOKUP($B703,표2[#ALL],2)/HLOOKUP($A703,표1[#ALL],row(),false)</f>
        <v>#N/A</v>
      </c>
      <c r="K703" s="376" t="str">
        <f>CS_PID!K703/VLOOKUP($B703,표2[#ALL],2)/HLOOKUP($A703,표1[#ALL],row(),false)</f>
        <v>#N/A</v>
      </c>
      <c r="L703" s="376" t="str">
        <f>CS_PID!L703/VLOOKUP($B703,표2[#ALL],2)/HLOOKUP($A703,표1[#ALL],row(),false)</f>
        <v>#N/A</v>
      </c>
      <c r="M703" s="376" t="str">
        <f>CS_PID!M703/VLOOKUP($B703,표2[#ALL],2)/HLOOKUP($A703,표1[#ALL],row(),false)</f>
        <v>#N/A</v>
      </c>
      <c r="N703" s="376" t="str">
        <f>CS_PID!N703/VLOOKUP($B703,표2[#ALL],2)/HLOOKUP($A703,표1[#ALL],row(),false)</f>
        <v>#N/A</v>
      </c>
      <c r="O703" s="376" t="str">
        <f>CS_PID!O703/VLOOKUP($B703,표2[#ALL],2)/HLOOKUP($A703,표1[#ALL],row(),false)</f>
        <v>#N/A</v>
      </c>
      <c r="P703" s="376" t="str">
        <f>CS_PID!P703/VLOOKUP($B703,표2[#ALL],2)/HLOOKUP($A703,표1[#ALL],row(),false)</f>
        <v>#N/A</v>
      </c>
      <c r="Q703" s="376" t="str">
        <f>CS_PID!Q703/VLOOKUP($B703,표2[#ALL],2)/HLOOKUP($A703,표1[#ALL],row(),false)</f>
        <v>#N/A</v>
      </c>
      <c r="R703" s="376" t="str">
        <f>CS_PID!R703/VLOOKUP($B703,표2[#ALL],2)/HLOOKUP($A703,표1[#ALL],row(),false)</f>
        <v>#N/A</v>
      </c>
      <c r="S703" s="376" t="str">
        <f>CS_PID!S703/VLOOKUP($B703,표2[#ALL],2)/HLOOKUP($A703,표1[#ALL],row(),false)</f>
        <v>#N/A</v>
      </c>
      <c r="T703" s="376" t="str">
        <f>CS_PID!T703/VLOOKUP($B703,표2[#ALL],2)/HLOOKUP($A703,표1[#ALL],row(),false)</f>
        <v>#N/A</v>
      </c>
      <c r="U703" s="376" t="str">
        <f>CS_PID!U703/VLOOKUP($B703,표2[#ALL],2)/HLOOKUP($A703,표1[#ALL],row(),false)</f>
        <v>#N/A</v>
      </c>
      <c r="V703" s="376" t="str">
        <f>CS_PID!V703/VLOOKUP($B703,표2[#ALL],2)/HLOOKUP($A703,표1[#ALL],row(),false)</f>
        <v>#N/A</v>
      </c>
      <c r="W703" s="376" t="str">
        <f>CS_PID!W703/VLOOKUP($B703,표2[#ALL],2)/HLOOKUP($A703,표1[#ALL],row(),false)</f>
        <v>#N/A</v>
      </c>
      <c r="X703" s="376" t="str">
        <f>CS_PID!X703/VLOOKUP($B703,표2[#ALL],2)/HLOOKUP($A703,표1[#ALL],row(),false)</f>
        <v>#N/A</v>
      </c>
      <c r="Y703" s="376" t="str">
        <f>CS_PID!Y703/VLOOKUP($B703,표2[#ALL],2)/HLOOKUP($A703,표1[#ALL],row(),false)</f>
        <v>#N/A</v>
      </c>
      <c r="Z703" s="376" t="str">
        <f>CS_PID!Z703/VLOOKUP($B703,표2[#ALL],2)/HLOOKUP($A703,표1[#ALL],row(),false)</f>
        <v>#N/A</v>
      </c>
      <c r="AA703" s="376" t="str">
        <f>CS_PID!AA703/VLOOKUP($B703,표2[#ALL],2)/HLOOKUP($A703,표1[#ALL],row(),false)</f>
        <v>#N/A</v>
      </c>
      <c r="AB703" s="376" t="str">
        <f>CS_PID!AB703/VLOOKUP($B703,표2[#ALL],2)/HLOOKUP($A703,표1[#ALL],row(),false)</f>
        <v>#N/A</v>
      </c>
      <c r="AC703" s="376" t="str">
        <f>CS_PID!AC703/VLOOKUP($B703,표2[#ALL],2)/HLOOKUP($A703,표1[#ALL],row(),false)</f>
        <v>#N/A</v>
      </c>
      <c r="AD703" s="376" t="str">
        <f>CS_PID!AD703/VLOOKUP($B703,표2[#ALL],2)/HLOOKUP($A703,표1[#ALL],row(),false)</f>
        <v>#N/A</v>
      </c>
      <c r="AE703" s="376" t="str">
        <f>CS_PID!AE703/VLOOKUP($B703,표2[#ALL],2)/HLOOKUP($A703,표1[#ALL],row(),false)</f>
        <v>#N/A</v>
      </c>
      <c r="AF703" s="376" t="str">
        <f>CS_PID!AF703/VLOOKUP($B703,표2[#ALL],2)/HLOOKUP($A703,표1[#ALL],row(),false)</f>
        <v>#N/A</v>
      </c>
      <c r="AG703" s="376" t="str">
        <f>CS_PID!AG703/VLOOKUP($B703,표2[#ALL],2)/HLOOKUP($A703,표1[#ALL],row(),false)</f>
        <v>#N/A</v>
      </c>
      <c r="AH703" s="376" t="str">
        <f>CS_PID!AH703/VLOOKUP($B703,표2[#ALL],2)/HLOOKUP($A703,표1[#ALL],row(),false)</f>
        <v>#N/A</v>
      </c>
      <c r="AI703" s="376" t="str">
        <f>CS_PID!AI703/VLOOKUP($B703,표2[#ALL],2)/HLOOKUP($A703,표1[#ALL],row(),false)</f>
        <v>#N/A</v>
      </c>
      <c r="AJ703" s="376" t="str">
        <f>CS_PID!AJ703/VLOOKUP($B703,표2[#ALL],2)/HLOOKUP($A703,표1[#ALL],row(),false)</f>
        <v>#N/A</v>
      </c>
      <c r="AK703" s="376" t="str">
        <f>CS_PID!AK703/VLOOKUP($B703,표2[#ALL],2)/HLOOKUP($A703,표1[#ALL],row(),false)</f>
        <v>#N/A</v>
      </c>
      <c r="AL703" s="376" t="str">
        <f>CS_PID!AL703/VLOOKUP($B703,표2[#ALL],2)/HLOOKUP($A703,표1[#ALL],row(),false)</f>
        <v>#N/A</v>
      </c>
      <c r="AM703" s="376" t="str">
        <f>CS_PID!AM703/VLOOKUP($B703,표2[#ALL],2)/HLOOKUP($A703,표1[#ALL],row(),false)</f>
        <v>#N/A</v>
      </c>
      <c r="AN703" s="376" t="str">
        <f>CS_PID!AN703/VLOOKUP($B703,표2[#ALL],2)/HLOOKUP($A703,표1[#ALL],row(),false)</f>
        <v>#N/A</v>
      </c>
      <c r="AO703" s="376" t="str">
        <f>CS_PID!AO703/VLOOKUP($B703,표2[#ALL],2)/HLOOKUP($A703,표1[#ALL],row(),false)</f>
        <v>#N/A</v>
      </c>
      <c r="AP703" s="376" t="str">
        <f>CS_PID!AP703/VLOOKUP($B703,표2[#ALL],2)/HLOOKUP($A703,표1[#ALL],row(),false)</f>
        <v>#N/A</v>
      </c>
      <c r="AQ703" s="376" t="str">
        <f>CS_PID!AQ703/VLOOKUP($B703,표2[#ALL],2)/HLOOKUP($A703,표1[#ALL],row(),false)</f>
        <v>#N/A</v>
      </c>
      <c r="AR703" s="376" t="str">
        <f>CS_PID!AR703/VLOOKUP($B703,표2[#ALL],2)/HLOOKUP($A703,표1[#ALL],row(),false)</f>
        <v>#N/A</v>
      </c>
      <c r="AS703" s="377" t="str">
        <f>CS_PID!AS703/VLOOKUP($B703,표2[#ALL],2)/HLOOKUP($A703,표1[#ALL],row(),false)</f>
        <v>#N/A</v>
      </c>
    </row>
    <row r="704">
      <c r="A704" s="370"/>
      <c r="B704" s="371"/>
      <c r="C704" s="372" t="str">
        <f>CS_PID!C704/VLOOKUP($B704,표2[#ALL],2)</f>
        <v>#N/A</v>
      </c>
      <c r="D704" s="372" t="str">
        <f>CS_PID!D704/VLOOKUP($B704,표2[#ALL],2)</f>
        <v>#N/A</v>
      </c>
      <c r="E704" s="372" t="str">
        <f>CS_PID!E704/VLOOKUP($B704,표2[#ALL],2)</f>
        <v>#N/A</v>
      </c>
      <c r="F704" s="372" t="str">
        <f>CS_PID!F704/VLOOKUP($B704,표2[#ALL],2)</f>
        <v>#N/A</v>
      </c>
      <c r="G704" s="372" t="str">
        <f>CS_PID!G704/VLOOKUP($B704,표2[#ALL],2)</f>
        <v>#N/A</v>
      </c>
      <c r="H704" s="372" t="str">
        <f>CS_PID!H704/VLOOKUP($B704,표2[#ALL],2)/HLOOKUP($A704,표1[#ALL],row(),false)</f>
        <v>#N/A</v>
      </c>
      <c r="I704" s="372" t="str">
        <f>CS_PID!I704/VLOOKUP($B704,표2[#ALL],2)/HLOOKUP($A704,표1[#ALL],row(),false)</f>
        <v>#N/A</v>
      </c>
      <c r="J704" s="372" t="str">
        <f>CS_PID!J704/VLOOKUP($B704,표2[#ALL],2)/HLOOKUP($A704,표1[#ALL],row(),false)</f>
        <v>#N/A</v>
      </c>
      <c r="K704" s="372" t="str">
        <f>CS_PID!K704/VLOOKUP($B704,표2[#ALL],2)/HLOOKUP($A704,표1[#ALL],row(),false)</f>
        <v>#N/A</v>
      </c>
      <c r="L704" s="372" t="str">
        <f>CS_PID!L704/VLOOKUP($B704,표2[#ALL],2)/HLOOKUP($A704,표1[#ALL],row(),false)</f>
        <v>#N/A</v>
      </c>
      <c r="M704" s="372" t="str">
        <f>CS_PID!M704/VLOOKUP($B704,표2[#ALL],2)/HLOOKUP($A704,표1[#ALL],row(),false)</f>
        <v>#N/A</v>
      </c>
      <c r="N704" s="372" t="str">
        <f>CS_PID!N704/VLOOKUP($B704,표2[#ALL],2)/HLOOKUP($A704,표1[#ALL],row(),false)</f>
        <v>#N/A</v>
      </c>
      <c r="O704" s="372" t="str">
        <f>CS_PID!O704/VLOOKUP($B704,표2[#ALL],2)/HLOOKUP($A704,표1[#ALL],row(),false)</f>
        <v>#N/A</v>
      </c>
      <c r="P704" s="372" t="str">
        <f>CS_PID!P704/VLOOKUP($B704,표2[#ALL],2)/HLOOKUP($A704,표1[#ALL],row(),false)</f>
        <v>#N/A</v>
      </c>
      <c r="Q704" s="372" t="str">
        <f>CS_PID!Q704/VLOOKUP($B704,표2[#ALL],2)/HLOOKUP($A704,표1[#ALL],row(),false)</f>
        <v>#N/A</v>
      </c>
      <c r="R704" s="372" t="str">
        <f>CS_PID!R704/VLOOKUP($B704,표2[#ALL],2)/HLOOKUP($A704,표1[#ALL],row(),false)</f>
        <v>#N/A</v>
      </c>
      <c r="S704" s="372" t="str">
        <f>CS_PID!S704/VLOOKUP($B704,표2[#ALL],2)/HLOOKUP($A704,표1[#ALL],row(),false)</f>
        <v>#N/A</v>
      </c>
      <c r="T704" s="372" t="str">
        <f>CS_PID!T704/VLOOKUP($B704,표2[#ALL],2)/HLOOKUP($A704,표1[#ALL],row(),false)</f>
        <v>#N/A</v>
      </c>
      <c r="U704" s="372" t="str">
        <f>CS_PID!U704/VLOOKUP($B704,표2[#ALL],2)/HLOOKUP($A704,표1[#ALL],row(),false)</f>
        <v>#N/A</v>
      </c>
      <c r="V704" s="372" t="str">
        <f>CS_PID!V704/VLOOKUP($B704,표2[#ALL],2)/HLOOKUP($A704,표1[#ALL],row(),false)</f>
        <v>#N/A</v>
      </c>
      <c r="W704" s="372" t="str">
        <f>CS_PID!W704/VLOOKUP($B704,표2[#ALL],2)/HLOOKUP($A704,표1[#ALL],row(),false)</f>
        <v>#N/A</v>
      </c>
      <c r="X704" s="372" t="str">
        <f>CS_PID!X704/VLOOKUP($B704,표2[#ALL],2)/HLOOKUP($A704,표1[#ALL],row(),false)</f>
        <v>#N/A</v>
      </c>
      <c r="Y704" s="372" t="str">
        <f>CS_PID!Y704/VLOOKUP($B704,표2[#ALL],2)/HLOOKUP($A704,표1[#ALL],row(),false)</f>
        <v>#N/A</v>
      </c>
      <c r="Z704" s="372" t="str">
        <f>CS_PID!Z704/VLOOKUP($B704,표2[#ALL],2)/HLOOKUP($A704,표1[#ALL],row(),false)</f>
        <v>#N/A</v>
      </c>
      <c r="AA704" s="372" t="str">
        <f>CS_PID!AA704/VLOOKUP($B704,표2[#ALL],2)/HLOOKUP($A704,표1[#ALL],row(),false)</f>
        <v>#N/A</v>
      </c>
      <c r="AB704" s="372" t="str">
        <f>CS_PID!AB704/VLOOKUP($B704,표2[#ALL],2)/HLOOKUP($A704,표1[#ALL],row(),false)</f>
        <v>#N/A</v>
      </c>
      <c r="AC704" s="372" t="str">
        <f>CS_PID!AC704/VLOOKUP($B704,표2[#ALL],2)/HLOOKUP($A704,표1[#ALL],row(),false)</f>
        <v>#N/A</v>
      </c>
      <c r="AD704" s="372" t="str">
        <f>CS_PID!AD704/VLOOKUP($B704,표2[#ALL],2)/HLOOKUP($A704,표1[#ALL],row(),false)</f>
        <v>#N/A</v>
      </c>
      <c r="AE704" s="372" t="str">
        <f>CS_PID!AE704/VLOOKUP($B704,표2[#ALL],2)/HLOOKUP($A704,표1[#ALL],row(),false)</f>
        <v>#N/A</v>
      </c>
      <c r="AF704" s="372" t="str">
        <f>CS_PID!AF704/VLOOKUP($B704,표2[#ALL],2)/HLOOKUP($A704,표1[#ALL],row(),false)</f>
        <v>#N/A</v>
      </c>
      <c r="AG704" s="372" t="str">
        <f>CS_PID!AG704/VLOOKUP($B704,표2[#ALL],2)/HLOOKUP($A704,표1[#ALL],row(),false)</f>
        <v>#N/A</v>
      </c>
      <c r="AH704" s="372" t="str">
        <f>CS_PID!AH704/VLOOKUP($B704,표2[#ALL],2)/HLOOKUP($A704,표1[#ALL],row(),false)</f>
        <v>#N/A</v>
      </c>
      <c r="AI704" s="372" t="str">
        <f>CS_PID!AI704/VLOOKUP($B704,표2[#ALL],2)/HLOOKUP($A704,표1[#ALL],row(),false)</f>
        <v>#N/A</v>
      </c>
      <c r="AJ704" s="372" t="str">
        <f>CS_PID!AJ704/VLOOKUP($B704,표2[#ALL],2)/HLOOKUP($A704,표1[#ALL],row(),false)</f>
        <v>#N/A</v>
      </c>
      <c r="AK704" s="372" t="str">
        <f>CS_PID!AK704/VLOOKUP($B704,표2[#ALL],2)/HLOOKUP($A704,표1[#ALL],row(),false)</f>
        <v>#N/A</v>
      </c>
      <c r="AL704" s="372" t="str">
        <f>CS_PID!AL704/VLOOKUP($B704,표2[#ALL],2)/HLOOKUP($A704,표1[#ALL],row(),false)</f>
        <v>#N/A</v>
      </c>
      <c r="AM704" s="372" t="str">
        <f>CS_PID!AM704/VLOOKUP($B704,표2[#ALL],2)/HLOOKUP($A704,표1[#ALL],row(),false)</f>
        <v>#N/A</v>
      </c>
      <c r="AN704" s="372" t="str">
        <f>CS_PID!AN704/VLOOKUP($B704,표2[#ALL],2)/HLOOKUP($A704,표1[#ALL],row(),false)</f>
        <v>#N/A</v>
      </c>
      <c r="AO704" s="372" t="str">
        <f>CS_PID!AO704/VLOOKUP($B704,표2[#ALL],2)/HLOOKUP($A704,표1[#ALL],row(),false)</f>
        <v>#N/A</v>
      </c>
      <c r="AP704" s="372" t="str">
        <f>CS_PID!AP704/VLOOKUP($B704,표2[#ALL],2)/HLOOKUP($A704,표1[#ALL],row(),false)</f>
        <v>#N/A</v>
      </c>
      <c r="AQ704" s="372" t="str">
        <f>CS_PID!AQ704/VLOOKUP($B704,표2[#ALL],2)/HLOOKUP($A704,표1[#ALL],row(),false)</f>
        <v>#N/A</v>
      </c>
      <c r="AR704" s="372" t="str">
        <f>CS_PID!AR704/VLOOKUP($B704,표2[#ALL],2)/HLOOKUP($A704,표1[#ALL],row(),false)</f>
        <v>#N/A</v>
      </c>
      <c r="AS704" s="373" t="str">
        <f>CS_PID!AS704/VLOOKUP($B704,표2[#ALL],2)/HLOOKUP($A704,표1[#ALL],row(),false)</f>
        <v>#N/A</v>
      </c>
    </row>
    <row r="705">
      <c r="A705" s="374"/>
      <c r="B705" s="375"/>
      <c r="C705" s="376" t="str">
        <f>CS_PID!C705/VLOOKUP($B705,표2[#ALL],2)</f>
        <v>#N/A</v>
      </c>
      <c r="D705" s="376" t="str">
        <f>CS_PID!D705/VLOOKUP($B705,표2[#ALL],2)</f>
        <v>#N/A</v>
      </c>
      <c r="E705" s="376" t="str">
        <f>CS_PID!E705/VLOOKUP($B705,표2[#ALL],2)</f>
        <v>#N/A</v>
      </c>
      <c r="F705" s="376" t="str">
        <f>CS_PID!F705/VLOOKUP($B705,표2[#ALL],2)</f>
        <v>#N/A</v>
      </c>
      <c r="G705" s="376" t="str">
        <f>CS_PID!G705/VLOOKUP($B705,표2[#ALL],2)</f>
        <v>#N/A</v>
      </c>
      <c r="H705" s="376" t="str">
        <f>CS_PID!H705/VLOOKUP($B705,표2[#ALL],2)/HLOOKUP($A705,표1[#ALL],row(),false)</f>
        <v>#N/A</v>
      </c>
      <c r="I705" s="376" t="str">
        <f>CS_PID!I705/VLOOKUP($B705,표2[#ALL],2)/HLOOKUP($A705,표1[#ALL],row(),false)</f>
        <v>#N/A</v>
      </c>
      <c r="J705" s="376" t="str">
        <f>CS_PID!J705/VLOOKUP($B705,표2[#ALL],2)/HLOOKUP($A705,표1[#ALL],row(),false)</f>
        <v>#N/A</v>
      </c>
      <c r="K705" s="376" t="str">
        <f>CS_PID!K705/VLOOKUP($B705,표2[#ALL],2)/HLOOKUP($A705,표1[#ALL],row(),false)</f>
        <v>#N/A</v>
      </c>
      <c r="L705" s="376" t="str">
        <f>CS_PID!L705/VLOOKUP($B705,표2[#ALL],2)/HLOOKUP($A705,표1[#ALL],row(),false)</f>
        <v>#N/A</v>
      </c>
      <c r="M705" s="376" t="str">
        <f>CS_PID!M705/VLOOKUP($B705,표2[#ALL],2)/HLOOKUP($A705,표1[#ALL],row(),false)</f>
        <v>#N/A</v>
      </c>
      <c r="N705" s="376" t="str">
        <f>CS_PID!N705/VLOOKUP($B705,표2[#ALL],2)/HLOOKUP($A705,표1[#ALL],row(),false)</f>
        <v>#N/A</v>
      </c>
      <c r="O705" s="376" t="str">
        <f>CS_PID!O705/VLOOKUP($B705,표2[#ALL],2)/HLOOKUP($A705,표1[#ALL],row(),false)</f>
        <v>#N/A</v>
      </c>
      <c r="P705" s="376" t="str">
        <f>CS_PID!P705/VLOOKUP($B705,표2[#ALL],2)/HLOOKUP($A705,표1[#ALL],row(),false)</f>
        <v>#N/A</v>
      </c>
      <c r="Q705" s="376" t="str">
        <f>CS_PID!Q705/VLOOKUP($B705,표2[#ALL],2)/HLOOKUP($A705,표1[#ALL],row(),false)</f>
        <v>#N/A</v>
      </c>
      <c r="R705" s="376" t="str">
        <f>CS_PID!R705/VLOOKUP($B705,표2[#ALL],2)/HLOOKUP($A705,표1[#ALL],row(),false)</f>
        <v>#N/A</v>
      </c>
      <c r="S705" s="376" t="str">
        <f>CS_PID!S705/VLOOKUP($B705,표2[#ALL],2)/HLOOKUP($A705,표1[#ALL],row(),false)</f>
        <v>#N/A</v>
      </c>
      <c r="T705" s="376" t="str">
        <f>CS_PID!T705/VLOOKUP($B705,표2[#ALL],2)/HLOOKUP($A705,표1[#ALL],row(),false)</f>
        <v>#N/A</v>
      </c>
      <c r="U705" s="376" t="str">
        <f>CS_PID!U705/VLOOKUP($B705,표2[#ALL],2)/HLOOKUP($A705,표1[#ALL],row(),false)</f>
        <v>#N/A</v>
      </c>
      <c r="V705" s="376" t="str">
        <f>CS_PID!V705/VLOOKUP($B705,표2[#ALL],2)/HLOOKUP($A705,표1[#ALL],row(),false)</f>
        <v>#N/A</v>
      </c>
      <c r="W705" s="376" t="str">
        <f>CS_PID!W705/VLOOKUP($B705,표2[#ALL],2)/HLOOKUP($A705,표1[#ALL],row(),false)</f>
        <v>#N/A</v>
      </c>
      <c r="X705" s="376" t="str">
        <f>CS_PID!X705/VLOOKUP($B705,표2[#ALL],2)/HLOOKUP($A705,표1[#ALL],row(),false)</f>
        <v>#N/A</v>
      </c>
      <c r="Y705" s="376" t="str">
        <f>CS_PID!Y705/VLOOKUP($B705,표2[#ALL],2)/HLOOKUP($A705,표1[#ALL],row(),false)</f>
        <v>#N/A</v>
      </c>
      <c r="Z705" s="376" t="str">
        <f>CS_PID!Z705/VLOOKUP($B705,표2[#ALL],2)/HLOOKUP($A705,표1[#ALL],row(),false)</f>
        <v>#N/A</v>
      </c>
      <c r="AA705" s="376" t="str">
        <f>CS_PID!AA705/VLOOKUP($B705,표2[#ALL],2)/HLOOKUP($A705,표1[#ALL],row(),false)</f>
        <v>#N/A</v>
      </c>
      <c r="AB705" s="376" t="str">
        <f>CS_PID!AB705/VLOOKUP($B705,표2[#ALL],2)/HLOOKUP($A705,표1[#ALL],row(),false)</f>
        <v>#N/A</v>
      </c>
      <c r="AC705" s="376" t="str">
        <f>CS_PID!AC705/VLOOKUP($B705,표2[#ALL],2)/HLOOKUP($A705,표1[#ALL],row(),false)</f>
        <v>#N/A</v>
      </c>
      <c r="AD705" s="376" t="str">
        <f>CS_PID!AD705/VLOOKUP($B705,표2[#ALL],2)/HLOOKUP($A705,표1[#ALL],row(),false)</f>
        <v>#N/A</v>
      </c>
      <c r="AE705" s="376" t="str">
        <f>CS_PID!AE705/VLOOKUP($B705,표2[#ALL],2)/HLOOKUP($A705,표1[#ALL],row(),false)</f>
        <v>#N/A</v>
      </c>
      <c r="AF705" s="376" t="str">
        <f>CS_PID!AF705/VLOOKUP($B705,표2[#ALL],2)/HLOOKUP($A705,표1[#ALL],row(),false)</f>
        <v>#N/A</v>
      </c>
      <c r="AG705" s="376" t="str">
        <f>CS_PID!AG705/VLOOKUP($B705,표2[#ALL],2)/HLOOKUP($A705,표1[#ALL],row(),false)</f>
        <v>#N/A</v>
      </c>
      <c r="AH705" s="376" t="str">
        <f>CS_PID!AH705/VLOOKUP($B705,표2[#ALL],2)/HLOOKUP($A705,표1[#ALL],row(),false)</f>
        <v>#N/A</v>
      </c>
      <c r="AI705" s="376" t="str">
        <f>CS_PID!AI705/VLOOKUP($B705,표2[#ALL],2)/HLOOKUP($A705,표1[#ALL],row(),false)</f>
        <v>#N/A</v>
      </c>
      <c r="AJ705" s="376" t="str">
        <f>CS_PID!AJ705/VLOOKUP($B705,표2[#ALL],2)/HLOOKUP($A705,표1[#ALL],row(),false)</f>
        <v>#N/A</v>
      </c>
      <c r="AK705" s="376" t="str">
        <f>CS_PID!AK705/VLOOKUP($B705,표2[#ALL],2)/HLOOKUP($A705,표1[#ALL],row(),false)</f>
        <v>#N/A</v>
      </c>
      <c r="AL705" s="376" t="str">
        <f>CS_PID!AL705/VLOOKUP($B705,표2[#ALL],2)/HLOOKUP($A705,표1[#ALL],row(),false)</f>
        <v>#N/A</v>
      </c>
      <c r="AM705" s="376" t="str">
        <f>CS_PID!AM705/VLOOKUP($B705,표2[#ALL],2)/HLOOKUP($A705,표1[#ALL],row(),false)</f>
        <v>#N/A</v>
      </c>
      <c r="AN705" s="376" t="str">
        <f>CS_PID!AN705/VLOOKUP($B705,표2[#ALL],2)/HLOOKUP($A705,표1[#ALL],row(),false)</f>
        <v>#N/A</v>
      </c>
      <c r="AO705" s="376" t="str">
        <f>CS_PID!AO705/VLOOKUP($B705,표2[#ALL],2)/HLOOKUP($A705,표1[#ALL],row(),false)</f>
        <v>#N/A</v>
      </c>
      <c r="AP705" s="376" t="str">
        <f>CS_PID!AP705/VLOOKUP($B705,표2[#ALL],2)/HLOOKUP($A705,표1[#ALL],row(),false)</f>
        <v>#N/A</v>
      </c>
      <c r="AQ705" s="376" t="str">
        <f>CS_PID!AQ705/VLOOKUP($B705,표2[#ALL],2)/HLOOKUP($A705,표1[#ALL],row(),false)</f>
        <v>#N/A</v>
      </c>
      <c r="AR705" s="376" t="str">
        <f>CS_PID!AR705/VLOOKUP($B705,표2[#ALL],2)/HLOOKUP($A705,표1[#ALL],row(),false)</f>
        <v>#N/A</v>
      </c>
      <c r="AS705" s="377" t="str">
        <f>CS_PID!AS705/VLOOKUP($B705,표2[#ALL],2)/HLOOKUP($A705,표1[#ALL],row(),false)</f>
        <v>#N/A</v>
      </c>
    </row>
    <row r="706">
      <c r="A706" s="370"/>
      <c r="B706" s="371"/>
      <c r="C706" s="372" t="str">
        <f>CS_PID!C706/VLOOKUP($B706,표2[#ALL],2)</f>
        <v>#N/A</v>
      </c>
      <c r="D706" s="372" t="str">
        <f>CS_PID!D706/VLOOKUP($B706,표2[#ALL],2)</f>
        <v>#N/A</v>
      </c>
      <c r="E706" s="372" t="str">
        <f>CS_PID!E706/VLOOKUP($B706,표2[#ALL],2)</f>
        <v>#N/A</v>
      </c>
      <c r="F706" s="372" t="str">
        <f>CS_PID!F706/VLOOKUP($B706,표2[#ALL],2)</f>
        <v>#N/A</v>
      </c>
      <c r="G706" s="372" t="str">
        <f>CS_PID!G706/VLOOKUP($B706,표2[#ALL],2)</f>
        <v>#N/A</v>
      </c>
      <c r="H706" s="372" t="str">
        <f>CS_PID!H706/VLOOKUP($B706,표2[#ALL],2)/HLOOKUP($A706,표1[#ALL],row(),false)</f>
        <v>#N/A</v>
      </c>
      <c r="I706" s="372" t="str">
        <f>CS_PID!I706/VLOOKUP($B706,표2[#ALL],2)/HLOOKUP($A706,표1[#ALL],row(),false)</f>
        <v>#N/A</v>
      </c>
      <c r="J706" s="372" t="str">
        <f>CS_PID!J706/VLOOKUP($B706,표2[#ALL],2)/HLOOKUP($A706,표1[#ALL],row(),false)</f>
        <v>#N/A</v>
      </c>
      <c r="K706" s="372" t="str">
        <f>CS_PID!K706/VLOOKUP($B706,표2[#ALL],2)/HLOOKUP($A706,표1[#ALL],row(),false)</f>
        <v>#N/A</v>
      </c>
      <c r="L706" s="372" t="str">
        <f>CS_PID!L706/VLOOKUP($B706,표2[#ALL],2)/HLOOKUP($A706,표1[#ALL],row(),false)</f>
        <v>#N/A</v>
      </c>
      <c r="M706" s="372" t="str">
        <f>CS_PID!M706/VLOOKUP($B706,표2[#ALL],2)/HLOOKUP($A706,표1[#ALL],row(),false)</f>
        <v>#N/A</v>
      </c>
      <c r="N706" s="372" t="str">
        <f>CS_PID!N706/VLOOKUP($B706,표2[#ALL],2)/HLOOKUP($A706,표1[#ALL],row(),false)</f>
        <v>#N/A</v>
      </c>
      <c r="O706" s="372" t="str">
        <f>CS_PID!O706/VLOOKUP($B706,표2[#ALL],2)/HLOOKUP($A706,표1[#ALL],row(),false)</f>
        <v>#N/A</v>
      </c>
      <c r="P706" s="372" t="str">
        <f>CS_PID!P706/VLOOKUP($B706,표2[#ALL],2)/HLOOKUP($A706,표1[#ALL],row(),false)</f>
        <v>#N/A</v>
      </c>
      <c r="Q706" s="372" t="str">
        <f>CS_PID!Q706/VLOOKUP($B706,표2[#ALL],2)/HLOOKUP($A706,표1[#ALL],row(),false)</f>
        <v>#N/A</v>
      </c>
      <c r="R706" s="372" t="str">
        <f>CS_PID!R706/VLOOKUP($B706,표2[#ALL],2)/HLOOKUP($A706,표1[#ALL],row(),false)</f>
        <v>#N/A</v>
      </c>
      <c r="S706" s="372" t="str">
        <f>CS_PID!S706/VLOOKUP($B706,표2[#ALL],2)/HLOOKUP($A706,표1[#ALL],row(),false)</f>
        <v>#N/A</v>
      </c>
      <c r="T706" s="372" t="str">
        <f>CS_PID!T706/VLOOKUP($B706,표2[#ALL],2)/HLOOKUP($A706,표1[#ALL],row(),false)</f>
        <v>#N/A</v>
      </c>
      <c r="U706" s="372" t="str">
        <f>CS_PID!U706/VLOOKUP($B706,표2[#ALL],2)/HLOOKUP($A706,표1[#ALL],row(),false)</f>
        <v>#N/A</v>
      </c>
      <c r="V706" s="372" t="str">
        <f>CS_PID!V706/VLOOKUP($B706,표2[#ALL],2)/HLOOKUP($A706,표1[#ALL],row(),false)</f>
        <v>#N/A</v>
      </c>
      <c r="W706" s="372" t="str">
        <f>CS_PID!W706/VLOOKUP($B706,표2[#ALL],2)/HLOOKUP($A706,표1[#ALL],row(),false)</f>
        <v>#N/A</v>
      </c>
      <c r="X706" s="372" t="str">
        <f>CS_PID!X706/VLOOKUP($B706,표2[#ALL],2)/HLOOKUP($A706,표1[#ALL],row(),false)</f>
        <v>#N/A</v>
      </c>
      <c r="Y706" s="372" t="str">
        <f>CS_PID!Y706/VLOOKUP($B706,표2[#ALL],2)/HLOOKUP($A706,표1[#ALL],row(),false)</f>
        <v>#N/A</v>
      </c>
      <c r="Z706" s="372" t="str">
        <f>CS_PID!Z706/VLOOKUP($B706,표2[#ALL],2)/HLOOKUP($A706,표1[#ALL],row(),false)</f>
        <v>#N/A</v>
      </c>
      <c r="AA706" s="372" t="str">
        <f>CS_PID!AA706/VLOOKUP($B706,표2[#ALL],2)/HLOOKUP($A706,표1[#ALL],row(),false)</f>
        <v>#N/A</v>
      </c>
      <c r="AB706" s="372" t="str">
        <f>CS_PID!AB706/VLOOKUP($B706,표2[#ALL],2)/HLOOKUP($A706,표1[#ALL],row(),false)</f>
        <v>#N/A</v>
      </c>
      <c r="AC706" s="372" t="str">
        <f>CS_PID!AC706/VLOOKUP($B706,표2[#ALL],2)/HLOOKUP($A706,표1[#ALL],row(),false)</f>
        <v>#N/A</v>
      </c>
      <c r="AD706" s="372" t="str">
        <f>CS_PID!AD706/VLOOKUP($B706,표2[#ALL],2)/HLOOKUP($A706,표1[#ALL],row(),false)</f>
        <v>#N/A</v>
      </c>
      <c r="AE706" s="372" t="str">
        <f>CS_PID!AE706/VLOOKUP($B706,표2[#ALL],2)/HLOOKUP($A706,표1[#ALL],row(),false)</f>
        <v>#N/A</v>
      </c>
      <c r="AF706" s="372" t="str">
        <f>CS_PID!AF706/VLOOKUP($B706,표2[#ALL],2)/HLOOKUP($A706,표1[#ALL],row(),false)</f>
        <v>#N/A</v>
      </c>
      <c r="AG706" s="372" t="str">
        <f>CS_PID!AG706/VLOOKUP($B706,표2[#ALL],2)/HLOOKUP($A706,표1[#ALL],row(),false)</f>
        <v>#N/A</v>
      </c>
      <c r="AH706" s="372" t="str">
        <f>CS_PID!AH706/VLOOKUP($B706,표2[#ALL],2)/HLOOKUP($A706,표1[#ALL],row(),false)</f>
        <v>#N/A</v>
      </c>
      <c r="AI706" s="372" t="str">
        <f>CS_PID!AI706/VLOOKUP($B706,표2[#ALL],2)/HLOOKUP($A706,표1[#ALL],row(),false)</f>
        <v>#N/A</v>
      </c>
      <c r="AJ706" s="372" t="str">
        <f>CS_PID!AJ706/VLOOKUP($B706,표2[#ALL],2)/HLOOKUP($A706,표1[#ALL],row(),false)</f>
        <v>#N/A</v>
      </c>
      <c r="AK706" s="372" t="str">
        <f>CS_PID!AK706/VLOOKUP($B706,표2[#ALL],2)/HLOOKUP($A706,표1[#ALL],row(),false)</f>
        <v>#N/A</v>
      </c>
      <c r="AL706" s="372" t="str">
        <f>CS_PID!AL706/VLOOKUP($B706,표2[#ALL],2)/HLOOKUP($A706,표1[#ALL],row(),false)</f>
        <v>#N/A</v>
      </c>
      <c r="AM706" s="372" t="str">
        <f>CS_PID!AM706/VLOOKUP($B706,표2[#ALL],2)/HLOOKUP($A706,표1[#ALL],row(),false)</f>
        <v>#N/A</v>
      </c>
      <c r="AN706" s="372" t="str">
        <f>CS_PID!AN706/VLOOKUP($B706,표2[#ALL],2)/HLOOKUP($A706,표1[#ALL],row(),false)</f>
        <v>#N/A</v>
      </c>
      <c r="AO706" s="372" t="str">
        <f>CS_PID!AO706/VLOOKUP($B706,표2[#ALL],2)/HLOOKUP($A706,표1[#ALL],row(),false)</f>
        <v>#N/A</v>
      </c>
      <c r="AP706" s="372" t="str">
        <f>CS_PID!AP706/VLOOKUP($B706,표2[#ALL],2)/HLOOKUP($A706,표1[#ALL],row(),false)</f>
        <v>#N/A</v>
      </c>
      <c r="AQ706" s="372" t="str">
        <f>CS_PID!AQ706/VLOOKUP($B706,표2[#ALL],2)/HLOOKUP($A706,표1[#ALL],row(),false)</f>
        <v>#N/A</v>
      </c>
      <c r="AR706" s="372" t="str">
        <f>CS_PID!AR706/VLOOKUP($B706,표2[#ALL],2)/HLOOKUP($A706,표1[#ALL],row(),false)</f>
        <v>#N/A</v>
      </c>
      <c r="AS706" s="373" t="str">
        <f>CS_PID!AS706/VLOOKUP($B706,표2[#ALL],2)/HLOOKUP($A706,표1[#ALL],row(),false)</f>
        <v>#N/A</v>
      </c>
    </row>
    <row r="707">
      <c r="A707" s="374"/>
      <c r="B707" s="375"/>
      <c r="C707" s="376" t="str">
        <f>CS_PID!C707/VLOOKUP($B707,표2[#ALL],2)</f>
        <v>#N/A</v>
      </c>
      <c r="D707" s="376" t="str">
        <f>CS_PID!D707/VLOOKUP($B707,표2[#ALL],2)</f>
        <v>#N/A</v>
      </c>
      <c r="E707" s="376" t="str">
        <f>CS_PID!E707/VLOOKUP($B707,표2[#ALL],2)</f>
        <v>#N/A</v>
      </c>
      <c r="F707" s="376" t="str">
        <f>CS_PID!F707/VLOOKUP($B707,표2[#ALL],2)</f>
        <v>#N/A</v>
      </c>
      <c r="G707" s="376" t="str">
        <f>CS_PID!G707/VLOOKUP($B707,표2[#ALL],2)</f>
        <v>#N/A</v>
      </c>
      <c r="H707" s="376" t="str">
        <f>CS_PID!H707/VLOOKUP($B707,표2[#ALL],2)/HLOOKUP($A707,표1[#ALL],row(),false)</f>
        <v>#N/A</v>
      </c>
      <c r="I707" s="376" t="str">
        <f>CS_PID!I707/VLOOKUP($B707,표2[#ALL],2)/HLOOKUP($A707,표1[#ALL],row(),false)</f>
        <v>#N/A</v>
      </c>
      <c r="J707" s="376" t="str">
        <f>CS_PID!J707/VLOOKUP($B707,표2[#ALL],2)/HLOOKUP($A707,표1[#ALL],row(),false)</f>
        <v>#N/A</v>
      </c>
      <c r="K707" s="376" t="str">
        <f>CS_PID!K707/VLOOKUP($B707,표2[#ALL],2)/HLOOKUP($A707,표1[#ALL],row(),false)</f>
        <v>#N/A</v>
      </c>
      <c r="L707" s="376" t="str">
        <f>CS_PID!L707/VLOOKUP($B707,표2[#ALL],2)/HLOOKUP($A707,표1[#ALL],row(),false)</f>
        <v>#N/A</v>
      </c>
      <c r="M707" s="376" t="str">
        <f>CS_PID!M707/VLOOKUP($B707,표2[#ALL],2)/HLOOKUP($A707,표1[#ALL],row(),false)</f>
        <v>#N/A</v>
      </c>
      <c r="N707" s="376" t="str">
        <f>CS_PID!N707/VLOOKUP($B707,표2[#ALL],2)/HLOOKUP($A707,표1[#ALL],row(),false)</f>
        <v>#N/A</v>
      </c>
      <c r="O707" s="376" t="str">
        <f>CS_PID!O707/VLOOKUP($B707,표2[#ALL],2)/HLOOKUP($A707,표1[#ALL],row(),false)</f>
        <v>#N/A</v>
      </c>
      <c r="P707" s="376" t="str">
        <f>CS_PID!P707/VLOOKUP($B707,표2[#ALL],2)/HLOOKUP($A707,표1[#ALL],row(),false)</f>
        <v>#N/A</v>
      </c>
      <c r="Q707" s="376" t="str">
        <f>CS_PID!Q707/VLOOKUP($B707,표2[#ALL],2)/HLOOKUP($A707,표1[#ALL],row(),false)</f>
        <v>#N/A</v>
      </c>
      <c r="R707" s="376" t="str">
        <f>CS_PID!R707/VLOOKUP($B707,표2[#ALL],2)/HLOOKUP($A707,표1[#ALL],row(),false)</f>
        <v>#N/A</v>
      </c>
      <c r="S707" s="376" t="str">
        <f>CS_PID!S707/VLOOKUP($B707,표2[#ALL],2)/HLOOKUP($A707,표1[#ALL],row(),false)</f>
        <v>#N/A</v>
      </c>
      <c r="T707" s="376" t="str">
        <f>CS_PID!T707/VLOOKUP($B707,표2[#ALL],2)/HLOOKUP($A707,표1[#ALL],row(),false)</f>
        <v>#N/A</v>
      </c>
      <c r="U707" s="376" t="str">
        <f>CS_PID!U707/VLOOKUP($B707,표2[#ALL],2)/HLOOKUP($A707,표1[#ALL],row(),false)</f>
        <v>#N/A</v>
      </c>
      <c r="V707" s="376" t="str">
        <f>CS_PID!V707/VLOOKUP($B707,표2[#ALL],2)/HLOOKUP($A707,표1[#ALL],row(),false)</f>
        <v>#N/A</v>
      </c>
      <c r="W707" s="376" t="str">
        <f>CS_PID!W707/VLOOKUP($B707,표2[#ALL],2)/HLOOKUP($A707,표1[#ALL],row(),false)</f>
        <v>#N/A</v>
      </c>
      <c r="X707" s="376" t="str">
        <f>CS_PID!X707/VLOOKUP($B707,표2[#ALL],2)/HLOOKUP($A707,표1[#ALL],row(),false)</f>
        <v>#N/A</v>
      </c>
      <c r="Y707" s="376" t="str">
        <f>CS_PID!Y707/VLOOKUP($B707,표2[#ALL],2)/HLOOKUP($A707,표1[#ALL],row(),false)</f>
        <v>#N/A</v>
      </c>
      <c r="Z707" s="376" t="str">
        <f>CS_PID!Z707/VLOOKUP($B707,표2[#ALL],2)/HLOOKUP($A707,표1[#ALL],row(),false)</f>
        <v>#N/A</v>
      </c>
      <c r="AA707" s="376" t="str">
        <f>CS_PID!AA707/VLOOKUP($B707,표2[#ALL],2)/HLOOKUP($A707,표1[#ALL],row(),false)</f>
        <v>#N/A</v>
      </c>
      <c r="AB707" s="376" t="str">
        <f>CS_PID!AB707/VLOOKUP($B707,표2[#ALL],2)/HLOOKUP($A707,표1[#ALL],row(),false)</f>
        <v>#N/A</v>
      </c>
      <c r="AC707" s="376" t="str">
        <f>CS_PID!AC707/VLOOKUP($B707,표2[#ALL],2)/HLOOKUP($A707,표1[#ALL],row(),false)</f>
        <v>#N/A</v>
      </c>
      <c r="AD707" s="376" t="str">
        <f>CS_PID!AD707/VLOOKUP($B707,표2[#ALL],2)/HLOOKUP($A707,표1[#ALL],row(),false)</f>
        <v>#N/A</v>
      </c>
      <c r="AE707" s="376" t="str">
        <f>CS_PID!AE707/VLOOKUP($B707,표2[#ALL],2)/HLOOKUP($A707,표1[#ALL],row(),false)</f>
        <v>#N/A</v>
      </c>
      <c r="AF707" s="376" t="str">
        <f>CS_PID!AF707/VLOOKUP($B707,표2[#ALL],2)/HLOOKUP($A707,표1[#ALL],row(),false)</f>
        <v>#N/A</v>
      </c>
      <c r="AG707" s="376" t="str">
        <f>CS_PID!AG707/VLOOKUP($B707,표2[#ALL],2)/HLOOKUP($A707,표1[#ALL],row(),false)</f>
        <v>#N/A</v>
      </c>
      <c r="AH707" s="376" t="str">
        <f>CS_PID!AH707/VLOOKUP($B707,표2[#ALL],2)/HLOOKUP($A707,표1[#ALL],row(),false)</f>
        <v>#N/A</v>
      </c>
      <c r="AI707" s="376" t="str">
        <f>CS_PID!AI707/VLOOKUP($B707,표2[#ALL],2)/HLOOKUP($A707,표1[#ALL],row(),false)</f>
        <v>#N/A</v>
      </c>
      <c r="AJ707" s="376" t="str">
        <f>CS_PID!AJ707/VLOOKUP($B707,표2[#ALL],2)/HLOOKUP($A707,표1[#ALL],row(),false)</f>
        <v>#N/A</v>
      </c>
      <c r="AK707" s="376" t="str">
        <f>CS_PID!AK707/VLOOKUP($B707,표2[#ALL],2)/HLOOKUP($A707,표1[#ALL],row(),false)</f>
        <v>#N/A</v>
      </c>
      <c r="AL707" s="376" t="str">
        <f>CS_PID!AL707/VLOOKUP($B707,표2[#ALL],2)/HLOOKUP($A707,표1[#ALL],row(),false)</f>
        <v>#N/A</v>
      </c>
      <c r="AM707" s="376" t="str">
        <f>CS_PID!AM707/VLOOKUP($B707,표2[#ALL],2)/HLOOKUP($A707,표1[#ALL],row(),false)</f>
        <v>#N/A</v>
      </c>
      <c r="AN707" s="376" t="str">
        <f>CS_PID!AN707/VLOOKUP($B707,표2[#ALL],2)/HLOOKUP($A707,표1[#ALL],row(),false)</f>
        <v>#N/A</v>
      </c>
      <c r="AO707" s="376" t="str">
        <f>CS_PID!AO707/VLOOKUP($B707,표2[#ALL],2)/HLOOKUP($A707,표1[#ALL],row(),false)</f>
        <v>#N/A</v>
      </c>
      <c r="AP707" s="376" t="str">
        <f>CS_PID!AP707/VLOOKUP($B707,표2[#ALL],2)/HLOOKUP($A707,표1[#ALL],row(),false)</f>
        <v>#N/A</v>
      </c>
      <c r="AQ707" s="376" t="str">
        <f>CS_PID!AQ707/VLOOKUP($B707,표2[#ALL],2)/HLOOKUP($A707,표1[#ALL],row(),false)</f>
        <v>#N/A</v>
      </c>
      <c r="AR707" s="376" t="str">
        <f>CS_PID!AR707/VLOOKUP($B707,표2[#ALL],2)/HLOOKUP($A707,표1[#ALL],row(),false)</f>
        <v>#N/A</v>
      </c>
      <c r="AS707" s="377" t="str">
        <f>CS_PID!AS707/VLOOKUP($B707,표2[#ALL],2)/HLOOKUP($A707,표1[#ALL],row(),false)</f>
        <v>#N/A</v>
      </c>
    </row>
    <row r="708">
      <c r="A708" s="370"/>
      <c r="B708" s="371"/>
      <c r="C708" s="372" t="str">
        <f>CS_PID!C708/VLOOKUP($B708,표2[#ALL],2)</f>
        <v>#N/A</v>
      </c>
      <c r="D708" s="372" t="str">
        <f>CS_PID!D708/VLOOKUP($B708,표2[#ALL],2)</f>
        <v>#N/A</v>
      </c>
      <c r="E708" s="372" t="str">
        <f>CS_PID!E708/VLOOKUP($B708,표2[#ALL],2)</f>
        <v>#N/A</v>
      </c>
      <c r="F708" s="372" t="str">
        <f>CS_PID!F708/VLOOKUP($B708,표2[#ALL],2)</f>
        <v>#N/A</v>
      </c>
      <c r="G708" s="372" t="str">
        <f>CS_PID!G708/VLOOKUP($B708,표2[#ALL],2)</f>
        <v>#N/A</v>
      </c>
      <c r="H708" s="372" t="str">
        <f>CS_PID!H708/VLOOKUP($B708,표2[#ALL],2)/HLOOKUP($A708,표1[#ALL],row(),false)</f>
        <v>#N/A</v>
      </c>
      <c r="I708" s="372" t="str">
        <f>CS_PID!I708/VLOOKUP($B708,표2[#ALL],2)/HLOOKUP($A708,표1[#ALL],row(),false)</f>
        <v>#N/A</v>
      </c>
      <c r="J708" s="372" t="str">
        <f>CS_PID!J708/VLOOKUP($B708,표2[#ALL],2)/HLOOKUP($A708,표1[#ALL],row(),false)</f>
        <v>#N/A</v>
      </c>
      <c r="K708" s="372" t="str">
        <f>CS_PID!K708/VLOOKUP($B708,표2[#ALL],2)/HLOOKUP($A708,표1[#ALL],row(),false)</f>
        <v>#N/A</v>
      </c>
      <c r="L708" s="372" t="str">
        <f>CS_PID!L708/VLOOKUP($B708,표2[#ALL],2)/HLOOKUP($A708,표1[#ALL],row(),false)</f>
        <v>#N/A</v>
      </c>
      <c r="M708" s="372" t="str">
        <f>CS_PID!M708/VLOOKUP($B708,표2[#ALL],2)/HLOOKUP($A708,표1[#ALL],row(),false)</f>
        <v>#N/A</v>
      </c>
      <c r="N708" s="372" t="str">
        <f>CS_PID!N708/VLOOKUP($B708,표2[#ALL],2)/HLOOKUP($A708,표1[#ALL],row(),false)</f>
        <v>#N/A</v>
      </c>
      <c r="O708" s="372" t="str">
        <f>CS_PID!O708/VLOOKUP($B708,표2[#ALL],2)/HLOOKUP($A708,표1[#ALL],row(),false)</f>
        <v>#N/A</v>
      </c>
      <c r="P708" s="372" t="str">
        <f>CS_PID!P708/VLOOKUP($B708,표2[#ALL],2)/HLOOKUP($A708,표1[#ALL],row(),false)</f>
        <v>#N/A</v>
      </c>
      <c r="Q708" s="372" t="str">
        <f>CS_PID!Q708/VLOOKUP($B708,표2[#ALL],2)/HLOOKUP($A708,표1[#ALL],row(),false)</f>
        <v>#N/A</v>
      </c>
      <c r="R708" s="372" t="str">
        <f>CS_PID!R708/VLOOKUP($B708,표2[#ALL],2)/HLOOKUP($A708,표1[#ALL],row(),false)</f>
        <v>#N/A</v>
      </c>
      <c r="S708" s="372" t="str">
        <f>CS_PID!S708/VLOOKUP($B708,표2[#ALL],2)/HLOOKUP($A708,표1[#ALL],row(),false)</f>
        <v>#N/A</v>
      </c>
      <c r="T708" s="372" t="str">
        <f>CS_PID!T708/VLOOKUP($B708,표2[#ALL],2)/HLOOKUP($A708,표1[#ALL],row(),false)</f>
        <v>#N/A</v>
      </c>
      <c r="U708" s="372" t="str">
        <f>CS_PID!U708/VLOOKUP($B708,표2[#ALL],2)/HLOOKUP($A708,표1[#ALL],row(),false)</f>
        <v>#N/A</v>
      </c>
      <c r="V708" s="372" t="str">
        <f>CS_PID!V708/VLOOKUP($B708,표2[#ALL],2)/HLOOKUP($A708,표1[#ALL],row(),false)</f>
        <v>#N/A</v>
      </c>
      <c r="W708" s="372" t="str">
        <f>CS_PID!W708/VLOOKUP($B708,표2[#ALL],2)/HLOOKUP($A708,표1[#ALL],row(),false)</f>
        <v>#N/A</v>
      </c>
      <c r="X708" s="372" t="str">
        <f>CS_PID!X708/VLOOKUP($B708,표2[#ALL],2)/HLOOKUP($A708,표1[#ALL],row(),false)</f>
        <v>#N/A</v>
      </c>
      <c r="Y708" s="372" t="str">
        <f>CS_PID!Y708/VLOOKUP($B708,표2[#ALL],2)/HLOOKUP($A708,표1[#ALL],row(),false)</f>
        <v>#N/A</v>
      </c>
      <c r="Z708" s="372" t="str">
        <f>CS_PID!Z708/VLOOKUP($B708,표2[#ALL],2)/HLOOKUP($A708,표1[#ALL],row(),false)</f>
        <v>#N/A</v>
      </c>
      <c r="AA708" s="372" t="str">
        <f>CS_PID!AA708/VLOOKUP($B708,표2[#ALL],2)/HLOOKUP($A708,표1[#ALL],row(),false)</f>
        <v>#N/A</v>
      </c>
      <c r="AB708" s="372" t="str">
        <f>CS_PID!AB708/VLOOKUP($B708,표2[#ALL],2)/HLOOKUP($A708,표1[#ALL],row(),false)</f>
        <v>#N/A</v>
      </c>
      <c r="AC708" s="372" t="str">
        <f>CS_PID!AC708/VLOOKUP($B708,표2[#ALL],2)/HLOOKUP($A708,표1[#ALL],row(),false)</f>
        <v>#N/A</v>
      </c>
      <c r="AD708" s="372" t="str">
        <f>CS_PID!AD708/VLOOKUP($B708,표2[#ALL],2)/HLOOKUP($A708,표1[#ALL],row(),false)</f>
        <v>#N/A</v>
      </c>
      <c r="AE708" s="372" t="str">
        <f>CS_PID!AE708/VLOOKUP($B708,표2[#ALL],2)/HLOOKUP($A708,표1[#ALL],row(),false)</f>
        <v>#N/A</v>
      </c>
      <c r="AF708" s="372" t="str">
        <f>CS_PID!AF708/VLOOKUP($B708,표2[#ALL],2)/HLOOKUP($A708,표1[#ALL],row(),false)</f>
        <v>#N/A</v>
      </c>
      <c r="AG708" s="372" t="str">
        <f>CS_PID!AG708/VLOOKUP($B708,표2[#ALL],2)/HLOOKUP($A708,표1[#ALL],row(),false)</f>
        <v>#N/A</v>
      </c>
      <c r="AH708" s="372" t="str">
        <f>CS_PID!AH708/VLOOKUP($B708,표2[#ALL],2)/HLOOKUP($A708,표1[#ALL],row(),false)</f>
        <v>#N/A</v>
      </c>
      <c r="AI708" s="372" t="str">
        <f>CS_PID!AI708/VLOOKUP($B708,표2[#ALL],2)/HLOOKUP($A708,표1[#ALL],row(),false)</f>
        <v>#N/A</v>
      </c>
      <c r="AJ708" s="372" t="str">
        <f>CS_PID!AJ708/VLOOKUP($B708,표2[#ALL],2)/HLOOKUP($A708,표1[#ALL],row(),false)</f>
        <v>#N/A</v>
      </c>
      <c r="AK708" s="372" t="str">
        <f>CS_PID!AK708/VLOOKUP($B708,표2[#ALL],2)/HLOOKUP($A708,표1[#ALL],row(),false)</f>
        <v>#N/A</v>
      </c>
      <c r="AL708" s="372" t="str">
        <f>CS_PID!AL708/VLOOKUP($B708,표2[#ALL],2)/HLOOKUP($A708,표1[#ALL],row(),false)</f>
        <v>#N/A</v>
      </c>
      <c r="AM708" s="372" t="str">
        <f>CS_PID!AM708/VLOOKUP($B708,표2[#ALL],2)/HLOOKUP($A708,표1[#ALL],row(),false)</f>
        <v>#N/A</v>
      </c>
      <c r="AN708" s="372" t="str">
        <f>CS_PID!AN708/VLOOKUP($B708,표2[#ALL],2)/HLOOKUP($A708,표1[#ALL],row(),false)</f>
        <v>#N/A</v>
      </c>
      <c r="AO708" s="372" t="str">
        <f>CS_PID!AO708/VLOOKUP($B708,표2[#ALL],2)/HLOOKUP($A708,표1[#ALL],row(),false)</f>
        <v>#N/A</v>
      </c>
      <c r="AP708" s="372" t="str">
        <f>CS_PID!AP708/VLOOKUP($B708,표2[#ALL],2)/HLOOKUP($A708,표1[#ALL],row(),false)</f>
        <v>#N/A</v>
      </c>
      <c r="AQ708" s="372" t="str">
        <f>CS_PID!AQ708/VLOOKUP($B708,표2[#ALL],2)/HLOOKUP($A708,표1[#ALL],row(),false)</f>
        <v>#N/A</v>
      </c>
      <c r="AR708" s="372" t="str">
        <f>CS_PID!AR708/VLOOKUP($B708,표2[#ALL],2)/HLOOKUP($A708,표1[#ALL],row(),false)</f>
        <v>#N/A</v>
      </c>
      <c r="AS708" s="373" t="str">
        <f>CS_PID!AS708/VLOOKUP($B708,표2[#ALL],2)/HLOOKUP($A708,표1[#ALL],row(),false)</f>
        <v>#N/A</v>
      </c>
    </row>
    <row r="709">
      <c r="A709" s="374"/>
      <c r="B709" s="375"/>
      <c r="C709" s="376" t="str">
        <f>CS_PID!C709/VLOOKUP($B709,표2[#ALL],2)</f>
        <v>#N/A</v>
      </c>
      <c r="D709" s="376" t="str">
        <f>CS_PID!D709/VLOOKUP($B709,표2[#ALL],2)</f>
        <v>#N/A</v>
      </c>
      <c r="E709" s="376" t="str">
        <f>CS_PID!E709/VLOOKUP($B709,표2[#ALL],2)</f>
        <v>#N/A</v>
      </c>
      <c r="F709" s="376" t="str">
        <f>CS_PID!F709/VLOOKUP($B709,표2[#ALL],2)</f>
        <v>#N/A</v>
      </c>
      <c r="G709" s="376" t="str">
        <f>CS_PID!G709/VLOOKUP($B709,표2[#ALL],2)</f>
        <v>#N/A</v>
      </c>
      <c r="H709" s="376" t="str">
        <f>CS_PID!H709/VLOOKUP($B709,표2[#ALL],2)/HLOOKUP($A709,표1[#ALL],row(),false)</f>
        <v>#N/A</v>
      </c>
      <c r="I709" s="376" t="str">
        <f>CS_PID!I709/VLOOKUP($B709,표2[#ALL],2)/HLOOKUP($A709,표1[#ALL],row(),false)</f>
        <v>#N/A</v>
      </c>
      <c r="J709" s="376" t="str">
        <f>CS_PID!J709/VLOOKUP($B709,표2[#ALL],2)/HLOOKUP($A709,표1[#ALL],row(),false)</f>
        <v>#N/A</v>
      </c>
      <c r="K709" s="376" t="str">
        <f>CS_PID!K709/VLOOKUP($B709,표2[#ALL],2)/HLOOKUP($A709,표1[#ALL],row(),false)</f>
        <v>#N/A</v>
      </c>
      <c r="L709" s="376" t="str">
        <f>CS_PID!L709/VLOOKUP($B709,표2[#ALL],2)/HLOOKUP($A709,표1[#ALL],row(),false)</f>
        <v>#N/A</v>
      </c>
      <c r="M709" s="376" t="str">
        <f>CS_PID!M709/VLOOKUP($B709,표2[#ALL],2)/HLOOKUP($A709,표1[#ALL],row(),false)</f>
        <v>#N/A</v>
      </c>
      <c r="N709" s="376" t="str">
        <f>CS_PID!N709/VLOOKUP($B709,표2[#ALL],2)/HLOOKUP($A709,표1[#ALL],row(),false)</f>
        <v>#N/A</v>
      </c>
      <c r="O709" s="376" t="str">
        <f>CS_PID!O709/VLOOKUP($B709,표2[#ALL],2)/HLOOKUP($A709,표1[#ALL],row(),false)</f>
        <v>#N/A</v>
      </c>
      <c r="P709" s="376" t="str">
        <f>CS_PID!P709/VLOOKUP($B709,표2[#ALL],2)/HLOOKUP($A709,표1[#ALL],row(),false)</f>
        <v>#N/A</v>
      </c>
      <c r="Q709" s="376" t="str">
        <f>CS_PID!Q709/VLOOKUP($B709,표2[#ALL],2)/HLOOKUP($A709,표1[#ALL],row(),false)</f>
        <v>#N/A</v>
      </c>
      <c r="R709" s="376" t="str">
        <f>CS_PID!R709/VLOOKUP($B709,표2[#ALL],2)/HLOOKUP($A709,표1[#ALL],row(),false)</f>
        <v>#N/A</v>
      </c>
      <c r="S709" s="376" t="str">
        <f>CS_PID!S709/VLOOKUP($B709,표2[#ALL],2)/HLOOKUP($A709,표1[#ALL],row(),false)</f>
        <v>#N/A</v>
      </c>
      <c r="T709" s="376" t="str">
        <f>CS_PID!T709/VLOOKUP($B709,표2[#ALL],2)/HLOOKUP($A709,표1[#ALL],row(),false)</f>
        <v>#N/A</v>
      </c>
      <c r="U709" s="376" t="str">
        <f>CS_PID!U709/VLOOKUP($B709,표2[#ALL],2)/HLOOKUP($A709,표1[#ALL],row(),false)</f>
        <v>#N/A</v>
      </c>
      <c r="V709" s="376" t="str">
        <f>CS_PID!V709/VLOOKUP($B709,표2[#ALL],2)/HLOOKUP($A709,표1[#ALL],row(),false)</f>
        <v>#N/A</v>
      </c>
      <c r="W709" s="376" t="str">
        <f>CS_PID!W709/VLOOKUP($B709,표2[#ALL],2)/HLOOKUP($A709,표1[#ALL],row(),false)</f>
        <v>#N/A</v>
      </c>
      <c r="X709" s="376" t="str">
        <f>CS_PID!X709/VLOOKUP($B709,표2[#ALL],2)/HLOOKUP($A709,표1[#ALL],row(),false)</f>
        <v>#N/A</v>
      </c>
      <c r="Y709" s="376" t="str">
        <f>CS_PID!Y709/VLOOKUP($B709,표2[#ALL],2)/HLOOKUP($A709,표1[#ALL],row(),false)</f>
        <v>#N/A</v>
      </c>
      <c r="Z709" s="376" t="str">
        <f>CS_PID!Z709/VLOOKUP($B709,표2[#ALL],2)/HLOOKUP($A709,표1[#ALL],row(),false)</f>
        <v>#N/A</v>
      </c>
      <c r="AA709" s="376" t="str">
        <f>CS_PID!AA709/VLOOKUP($B709,표2[#ALL],2)/HLOOKUP($A709,표1[#ALL],row(),false)</f>
        <v>#N/A</v>
      </c>
      <c r="AB709" s="376" t="str">
        <f>CS_PID!AB709/VLOOKUP($B709,표2[#ALL],2)/HLOOKUP($A709,표1[#ALL],row(),false)</f>
        <v>#N/A</v>
      </c>
      <c r="AC709" s="376" t="str">
        <f>CS_PID!AC709/VLOOKUP($B709,표2[#ALL],2)/HLOOKUP($A709,표1[#ALL],row(),false)</f>
        <v>#N/A</v>
      </c>
      <c r="AD709" s="376" t="str">
        <f>CS_PID!AD709/VLOOKUP($B709,표2[#ALL],2)/HLOOKUP($A709,표1[#ALL],row(),false)</f>
        <v>#N/A</v>
      </c>
      <c r="AE709" s="376" t="str">
        <f>CS_PID!AE709/VLOOKUP($B709,표2[#ALL],2)/HLOOKUP($A709,표1[#ALL],row(),false)</f>
        <v>#N/A</v>
      </c>
      <c r="AF709" s="376" t="str">
        <f>CS_PID!AF709/VLOOKUP($B709,표2[#ALL],2)/HLOOKUP($A709,표1[#ALL],row(),false)</f>
        <v>#N/A</v>
      </c>
      <c r="AG709" s="376" t="str">
        <f>CS_PID!AG709/VLOOKUP($B709,표2[#ALL],2)/HLOOKUP($A709,표1[#ALL],row(),false)</f>
        <v>#N/A</v>
      </c>
      <c r="AH709" s="376" t="str">
        <f>CS_PID!AH709/VLOOKUP($B709,표2[#ALL],2)/HLOOKUP($A709,표1[#ALL],row(),false)</f>
        <v>#N/A</v>
      </c>
      <c r="AI709" s="376" t="str">
        <f>CS_PID!AI709/VLOOKUP($B709,표2[#ALL],2)/HLOOKUP($A709,표1[#ALL],row(),false)</f>
        <v>#N/A</v>
      </c>
      <c r="AJ709" s="376" t="str">
        <f>CS_PID!AJ709/VLOOKUP($B709,표2[#ALL],2)/HLOOKUP($A709,표1[#ALL],row(),false)</f>
        <v>#N/A</v>
      </c>
      <c r="AK709" s="376" t="str">
        <f>CS_PID!AK709/VLOOKUP($B709,표2[#ALL],2)/HLOOKUP($A709,표1[#ALL],row(),false)</f>
        <v>#N/A</v>
      </c>
      <c r="AL709" s="376" t="str">
        <f>CS_PID!AL709/VLOOKUP($B709,표2[#ALL],2)/HLOOKUP($A709,표1[#ALL],row(),false)</f>
        <v>#N/A</v>
      </c>
      <c r="AM709" s="376" t="str">
        <f>CS_PID!AM709/VLOOKUP($B709,표2[#ALL],2)/HLOOKUP($A709,표1[#ALL],row(),false)</f>
        <v>#N/A</v>
      </c>
      <c r="AN709" s="376" t="str">
        <f>CS_PID!AN709/VLOOKUP($B709,표2[#ALL],2)/HLOOKUP($A709,표1[#ALL],row(),false)</f>
        <v>#N/A</v>
      </c>
      <c r="AO709" s="376" t="str">
        <f>CS_PID!AO709/VLOOKUP($B709,표2[#ALL],2)/HLOOKUP($A709,표1[#ALL],row(),false)</f>
        <v>#N/A</v>
      </c>
      <c r="AP709" s="376" t="str">
        <f>CS_PID!AP709/VLOOKUP($B709,표2[#ALL],2)/HLOOKUP($A709,표1[#ALL],row(),false)</f>
        <v>#N/A</v>
      </c>
      <c r="AQ709" s="376" t="str">
        <f>CS_PID!AQ709/VLOOKUP($B709,표2[#ALL],2)/HLOOKUP($A709,표1[#ALL],row(),false)</f>
        <v>#N/A</v>
      </c>
      <c r="AR709" s="376" t="str">
        <f>CS_PID!AR709/VLOOKUP($B709,표2[#ALL],2)/HLOOKUP($A709,표1[#ALL],row(),false)</f>
        <v>#N/A</v>
      </c>
      <c r="AS709" s="377" t="str">
        <f>CS_PID!AS709/VLOOKUP($B709,표2[#ALL],2)/HLOOKUP($A709,표1[#ALL],row(),false)</f>
        <v>#N/A</v>
      </c>
    </row>
    <row r="710">
      <c r="A710" s="370"/>
      <c r="B710" s="371"/>
      <c r="C710" s="372" t="str">
        <f>CS_PID!C710/VLOOKUP($B710,표2[#ALL],2)</f>
        <v>#N/A</v>
      </c>
      <c r="D710" s="372" t="str">
        <f>CS_PID!D710/VLOOKUP($B710,표2[#ALL],2)</f>
        <v>#N/A</v>
      </c>
      <c r="E710" s="372" t="str">
        <f>CS_PID!E710/VLOOKUP($B710,표2[#ALL],2)</f>
        <v>#N/A</v>
      </c>
      <c r="F710" s="372" t="str">
        <f>CS_PID!F710/VLOOKUP($B710,표2[#ALL],2)</f>
        <v>#N/A</v>
      </c>
      <c r="G710" s="372" t="str">
        <f>CS_PID!G710/VLOOKUP($B710,표2[#ALL],2)</f>
        <v>#N/A</v>
      </c>
      <c r="H710" s="372" t="str">
        <f>CS_PID!H710/VLOOKUP($B710,표2[#ALL],2)/HLOOKUP($A710,표1[#ALL],row(),false)</f>
        <v>#N/A</v>
      </c>
      <c r="I710" s="372" t="str">
        <f>CS_PID!I710/VLOOKUP($B710,표2[#ALL],2)/HLOOKUP($A710,표1[#ALL],row(),false)</f>
        <v>#N/A</v>
      </c>
      <c r="J710" s="372" t="str">
        <f>CS_PID!J710/VLOOKUP($B710,표2[#ALL],2)/HLOOKUP($A710,표1[#ALL],row(),false)</f>
        <v>#N/A</v>
      </c>
      <c r="K710" s="372" t="str">
        <f>CS_PID!K710/VLOOKUP($B710,표2[#ALL],2)/HLOOKUP($A710,표1[#ALL],row(),false)</f>
        <v>#N/A</v>
      </c>
      <c r="L710" s="372" t="str">
        <f>CS_PID!L710/VLOOKUP($B710,표2[#ALL],2)/HLOOKUP($A710,표1[#ALL],row(),false)</f>
        <v>#N/A</v>
      </c>
      <c r="M710" s="372" t="str">
        <f>CS_PID!M710/VLOOKUP($B710,표2[#ALL],2)/HLOOKUP($A710,표1[#ALL],row(),false)</f>
        <v>#N/A</v>
      </c>
      <c r="N710" s="372" t="str">
        <f>CS_PID!N710/VLOOKUP($B710,표2[#ALL],2)/HLOOKUP($A710,표1[#ALL],row(),false)</f>
        <v>#N/A</v>
      </c>
      <c r="O710" s="372" t="str">
        <f>CS_PID!O710/VLOOKUP($B710,표2[#ALL],2)/HLOOKUP($A710,표1[#ALL],row(),false)</f>
        <v>#N/A</v>
      </c>
      <c r="P710" s="372" t="str">
        <f>CS_PID!P710/VLOOKUP($B710,표2[#ALL],2)/HLOOKUP($A710,표1[#ALL],row(),false)</f>
        <v>#N/A</v>
      </c>
      <c r="Q710" s="372" t="str">
        <f>CS_PID!Q710/VLOOKUP($B710,표2[#ALL],2)/HLOOKUP($A710,표1[#ALL],row(),false)</f>
        <v>#N/A</v>
      </c>
      <c r="R710" s="372" t="str">
        <f>CS_PID!R710/VLOOKUP($B710,표2[#ALL],2)/HLOOKUP($A710,표1[#ALL],row(),false)</f>
        <v>#N/A</v>
      </c>
      <c r="S710" s="372" t="str">
        <f>CS_PID!S710/VLOOKUP($B710,표2[#ALL],2)/HLOOKUP($A710,표1[#ALL],row(),false)</f>
        <v>#N/A</v>
      </c>
      <c r="T710" s="372" t="str">
        <f>CS_PID!T710/VLOOKUP($B710,표2[#ALL],2)/HLOOKUP($A710,표1[#ALL],row(),false)</f>
        <v>#N/A</v>
      </c>
      <c r="U710" s="372" t="str">
        <f>CS_PID!U710/VLOOKUP($B710,표2[#ALL],2)/HLOOKUP($A710,표1[#ALL],row(),false)</f>
        <v>#N/A</v>
      </c>
      <c r="V710" s="372" t="str">
        <f>CS_PID!V710/VLOOKUP($B710,표2[#ALL],2)/HLOOKUP($A710,표1[#ALL],row(),false)</f>
        <v>#N/A</v>
      </c>
      <c r="W710" s="372" t="str">
        <f>CS_PID!W710/VLOOKUP($B710,표2[#ALL],2)/HLOOKUP($A710,표1[#ALL],row(),false)</f>
        <v>#N/A</v>
      </c>
      <c r="X710" s="372" t="str">
        <f>CS_PID!X710/VLOOKUP($B710,표2[#ALL],2)/HLOOKUP($A710,표1[#ALL],row(),false)</f>
        <v>#N/A</v>
      </c>
      <c r="Y710" s="372" t="str">
        <f>CS_PID!Y710/VLOOKUP($B710,표2[#ALL],2)/HLOOKUP($A710,표1[#ALL],row(),false)</f>
        <v>#N/A</v>
      </c>
      <c r="Z710" s="372" t="str">
        <f>CS_PID!Z710/VLOOKUP($B710,표2[#ALL],2)/HLOOKUP($A710,표1[#ALL],row(),false)</f>
        <v>#N/A</v>
      </c>
      <c r="AA710" s="372" t="str">
        <f>CS_PID!AA710/VLOOKUP($B710,표2[#ALL],2)/HLOOKUP($A710,표1[#ALL],row(),false)</f>
        <v>#N/A</v>
      </c>
      <c r="AB710" s="372" t="str">
        <f>CS_PID!AB710/VLOOKUP($B710,표2[#ALL],2)/HLOOKUP($A710,표1[#ALL],row(),false)</f>
        <v>#N/A</v>
      </c>
      <c r="AC710" s="372" t="str">
        <f>CS_PID!AC710/VLOOKUP($B710,표2[#ALL],2)/HLOOKUP($A710,표1[#ALL],row(),false)</f>
        <v>#N/A</v>
      </c>
      <c r="AD710" s="372" t="str">
        <f>CS_PID!AD710/VLOOKUP($B710,표2[#ALL],2)/HLOOKUP($A710,표1[#ALL],row(),false)</f>
        <v>#N/A</v>
      </c>
      <c r="AE710" s="372" t="str">
        <f>CS_PID!AE710/VLOOKUP($B710,표2[#ALL],2)/HLOOKUP($A710,표1[#ALL],row(),false)</f>
        <v>#N/A</v>
      </c>
      <c r="AF710" s="372" t="str">
        <f>CS_PID!AF710/VLOOKUP($B710,표2[#ALL],2)/HLOOKUP($A710,표1[#ALL],row(),false)</f>
        <v>#N/A</v>
      </c>
      <c r="AG710" s="372" t="str">
        <f>CS_PID!AG710/VLOOKUP($B710,표2[#ALL],2)/HLOOKUP($A710,표1[#ALL],row(),false)</f>
        <v>#N/A</v>
      </c>
      <c r="AH710" s="372" t="str">
        <f>CS_PID!AH710/VLOOKUP($B710,표2[#ALL],2)/HLOOKUP($A710,표1[#ALL],row(),false)</f>
        <v>#N/A</v>
      </c>
      <c r="AI710" s="372" t="str">
        <f>CS_PID!AI710/VLOOKUP($B710,표2[#ALL],2)/HLOOKUP($A710,표1[#ALL],row(),false)</f>
        <v>#N/A</v>
      </c>
      <c r="AJ710" s="372" t="str">
        <f>CS_PID!AJ710/VLOOKUP($B710,표2[#ALL],2)/HLOOKUP($A710,표1[#ALL],row(),false)</f>
        <v>#N/A</v>
      </c>
      <c r="AK710" s="372" t="str">
        <f>CS_PID!AK710/VLOOKUP($B710,표2[#ALL],2)/HLOOKUP($A710,표1[#ALL],row(),false)</f>
        <v>#N/A</v>
      </c>
      <c r="AL710" s="372" t="str">
        <f>CS_PID!AL710/VLOOKUP($B710,표2[#ALL],2)/HLOOKUP($A710,표1[#ALL],row(),false)</f>
        <v>#N/A</v>
      </c>
      <c r="AM710" s="372" t="str">
        <f>CS_PID!AM710/VLOOKUP($B710,표2[#ALL],2)/HLOOKUP($A710,표1[#ALL],row(),false)</f>
        <v>#N/A</v>
      </c>
      <c r="AN710" s="372" t="str">
        <f>CS_PID!AN710/VLOOKUP($B710,표2[#ALL],2)/HLOOKUP($A710,표1[#ALL],row(),false)</f>
        <v>#N/A</v>
      </c>
      <c r="AO710" s="372" t="str">
        <f>CS_PID!AO710/VLOOKUP($B710,표2[#ALL],2)/HLOOKUP($A710,표1[#ALL],row(),false)</f>
        <v>#N/A</v>
      </c>
      <c r="AP710" s="372" t="str">
        <f>CS_PID!AP710/VLOOKUP($B710,표2[#ALL],2)/HLOOKUP($A710,표1[#ALL],row(),false)</f>
        <v>#N/A</v>
      </c>
      <c r="AQ710" s="372" t="str">
        <f>CS_PID!AQ710/VLOOKUP($B710,표2[#ALL],2)/HLOOKUP($A710,표1[#ALL],row(),false)</f>
        <v>#N/A</v>
      </c>
      <c r="AR710" s="372" t="str">
        <f>CS_PID!AR710/VLOOKUP($B710,표2[#ALL],2)/HLOOKUP($A710,표1[#ALL],row(),false)</f>
        <v>#N/A</v>
      </c>
      <c r="AS710" s="373" t="str">
        <f>CS_PID!AS710/VLOOKUP($B710,표2[#ALL],2)/HLOOKUP($A710,표1[#ALL],row(),false)</f>
        <v>#N/A</v>
      </c>
    </row>
    <row r="711">
      <c r="A711" s="374"/>
      <c r="B711" s="375"/>
      <c r="C711" s="376" t="str">
        <f>CS_PID!C711/VLOOKUP($B711,표2[#ALL],2)</f>
        <v>#N/A</v>
      </c>
      <c r="D711" s="376" t="str">
        <f>CS_PID!D711/VLOOKUP($B711,표2[#ALL],2)</f>
        <v>#N/A</v>
      </c>
      <c r="E711" s="376" t="str">
        <f>CS_PID!E711/VLOOKUP($B711,표2[#ALL],2)</f>
        <v>#N/A</v>
      </c>
      <c r="F711" s="376" t="str">
        <f>CS_PID!F711/VLOOKUP($B711,표2[#ALL],2)</f>
        <v>#N/A</v>
      </c>
      <c r="G711" s="376" t="str">
        <f>CS_PID!G711/VLOOKUP($B711,표2[#ALL],2)</f>
        <v>#N/A</v>
      </c>
      <c r="H711" s="376" t="str">
        <f>CS_PID!H711/VLOOKUP($B711,표2[#ALL],2)/HLOOKUP($A711,표1[#ALL],row(),false)</f>
        <v>#N/A</v>
      </c>
      <c r="I711" s="376" t="str">
        <f>CS_PID!I711/VLOOKUP($B711,표2[#ALL],2)/HLOOKUP($A711,표1[#ALL],row(),false)</f>
        <v>#N/A</v>
      </c>
      <c r="J711" s="376" t="str">
        <f>CS_PID!J711/VLOOKUP($B711,표2[#ALL],2)/HLOOKUP($A711,표1[#ALL],row(),false)</f>
        <v>#N/A</v>
      </c>
      <c r="K711" s="376" t="str">
        <f>CS_PID!K711/VLOOKUP($B711,표2[#ALL],2)/HLOOKUP($A711,표1[#ALL],row(),false)</f>
        <v>#N/A</v>
      </c>
      <c r="L711" s="376" t="str">
        <f>CS_PID!L711/VLOOKUP($B711,표2[#ALL],2)/HLOOKUP($A711,표1[#ALL],row(),false)</f>
        <v>#N/A</v>
      </c>
      <c r="M711" s="376" t="str">
        <f>CS_PID!M711/VLOOKUP($B711,표2[#ALL],2)/HLOOKUP($A711,표1[#ALL],row(),false)</f>
        <v>#N/A</v>
      </c>
      <c r="N711" s="376" t="str">
        <f>CS_PID!N711/VLOOKUP($B711,표2[#ALL],2)/HLOOKUP($A711,표1[#ALL],row(),false)</f>
        <v>#N/A</v>
      </c>
      <c r="O711" s="376" t="str">
        <f>CS_PID!O711/VLOOKUP($B711,표2[#ALL],2)/HLOOKUP($A711,표1[#ALL],row(),false)</f>
        <v>#N/A</v>
      </c>
      <c r="P711" s="376" t="str">
        <f>CS_PID!P711/VLOOKUP($B711,표2[#ALL],2)/HLOOKUP($A711,표1[#ALL],row(),false)</f>
        <v>#N/A</v>
      </c>
      <c r="Q711" s="376" t="str">
        <f>CS_PID!Q711/VLOOKUP($B711,표2[#ALL],2)/HLOOKUP($A711,표1[#ALL],row(),false)</f>
        <v>#N/A</v>
      </c>
      <c r="R711" s="376" t="str">
        <f>CS_PID!R711/VLOOKUP($B711,표2[#ALL],2)/HLOOKUP($A711,표1[#ALL],row(),false)</f>
        <v>#N/A</v>
      </c>
      <c r="S711" s="376" t="str">
        <f>CS_PID!S711/VLOOKUP($B711,표2[#ALL],2)/HLOOKUP($A711,표1[#ALL],row(),false)</f>
        <v>#N/A</v>
      </c>
      <c r="T711" s="376" t="str">
        <f>CS_PID!T711/VLOOKUP($B711,표2[#ALL],2)/HLOOKUP($A711,표1[#ALL],row(),false)</f>
        <v>#N/A</v>
      </c>
      <c r="U711" s="376" t="str">
        <f>CS_PID!U711/VLOOKUP($B711,표2[#ALL],2)/HLOOKUP($A711,표1[#ALL],row(),false)</f>
        <v>#N/A</v>
      </c>
      <c r="V711" s="376" t="str">
        <f>CS_PID!V711/VLOOKUP($B711,표2[#ALL],2)/HLOOKUP($A711,표1[#ALL],row(),false)</f>
        <v>#N/A</v>
      </c>
      <c r="W711" s="376" t="str">
        <f>CS_PID!W711/VLOOKUP($B711,표2[#ALL],2)/HLOOKUP($A711,표1[#ALL],row(),false)</f>
        <v>#N/A</v>
      </c>
      <c r="X711" s="376" t="str">
        <f>CS_PID!X711/VLOOKUP($B711,표2[#ALL],2)/HLOOKUP($A711,표1[#ALL],row(),false)</f>
        <v>#N/A</v>
      </c>
      <c r="Y711" s="376" t="str">
        <f>CS_PID!Y711/VLOOKUP($B711,표2[#ALL],2)/HLOOKUP($A711,표1[#ALL],row(),false)</f>
        <v>#N/A</v>
      </c>
      <c r="Z711" s="376" t="str">
        <f>CS_PID!Z711/VLOOKUP($B711,표2[#ALL],2)/HLOOKUP($A711,표1[#ALL],row(),false)</f>
        <v>#N/A</v>
      </c>
      <c r="AA711" s="376" t="str">
        <f>CS_PID!AA711/VLOOKUP($B711,표2[#ALL],2)/HLOOKUP($A711,표1[#ALL],row(),false)</f>
        <v>#N/A</v>
      </c>
      <c r="AB711" s="376" t="str">
        <f>CS_PID!AB711/VLOOKUP($B711,표2[#ALL],2)/HLOOKUP($A711,표1[#ALL],row(),false)</f>
        <v>#N/A</v>
      </c>
      <c r="AC711" s="376" t="str">
        <f>CS_PID!AC711/VLOOKUP($B711,표2[#ALL],2)/HLOOKUP($A711,표1[#ALL],row(),false)</f>
        <v>#N/A</v>
      </c>
      <c r="AD711" s="376" t="str">
        <f>CS_PID!AD711/VLOOKUP($B711,표2[#ALL],2)/HLOOKUP($A711,표1[#ALL],row(),false)</f>
        <v>#N/A</v>
      </c>
      <c r="AE711" s="376" t="str">
        <f>CS_PID!AE711/VLOOKUP($B711,표2[#ALL],2)/HLOOKUP($A711,표1[#ALL],row(),false)</f>
        <v>#N/A</v>
      </c>
      <c r="AF711" s="376" t="str">
        <f>CS_PID!AF711/VLOOKUP($B711,표2[#ALL],2)/HLOOKUP($A711,표1[#ALL],row(),false)</f>
        <v>#N/A</v>
      </c>
      <c r="AG711" s="376" t="str">
        <f>CS_PID!AG711/VLOOKUP($B711,표2[#ALL],2)/HLOOKUP($A711,표1[#ALL],row(),false)</f>
        <v>#N/A</v>
      </c>
      <c r="AH711" s="376" t="str">
        <f>CS_PID!AH711/VLOOKUP($B711,표2[#ALL],2)/HLOOKUP($A711,표1[#ALL],row(),false)</f>
        <v>#N/A</v>
      </c>
      <c r="AI711" s="376" t="str">
        <f>CS_PID!AI711/VLOOKUP($B711,표2[#ALL],2)/HLOOKUP($A711,표1[#ALL],row(),false)</f>
        <v>#N/A</v>
      </c>
      <c r="AJ711" s="376" t="str">
        <f>CS_PID!AJ711/VLOOKUP($B711,표2[#ALL],2)/HLOOKUP($A711,표1[#ALL],row(),false)</f>
        <v>#N/A</v>
      </c>
      <c r="AK711" s="376" t="str">
        <f>CS_PID!AK711/VLOOKUP($B711,표2[#ALL],2)/HLOOKUP($A711,표1[#ALL],row(),false)</f>
        <v>#N/A</v>
      </c>
      <c r="AL711" s="376" t="str">
        <f>CS_PID!AL711/VLOOKUP($B711,표2[#ALL],2)/HLOOKUP($A711,표1[#ALL],row(),false)</f>
        <v>#N/A</v>
      </c>
      <c r="AM711" s="376" t="str">
        <f>CS_PID!AM711/VLOOKUP($B711,표2[#ALL],2)/HLOOKUP($A711,표1[#ALL],row(),false)</f>
        <v>#N/A</v>
      </c>
      <c r="AN711" s="376" t="str">
        <f>CS_PID!AN711/VLOOKUP($B711,표2[#ALL],2)/HLOOKUP($A711,표1[#ALL],row(),false)</f>
        <v>#N/A</v>
      </c>
      <c r="AO711" s="376" t="str">
        <f>CS_PID!AO711/VLOOKUP($B711,표2[#ALL],2)/HLOOKUP($A711,표1[#ALL],row(),false)</f>
        <v>#N/A</v>
      </c>
      <c r="AP711" s="376" t="str">
        <f>CS_PID!AP711/VLOOKUP($B711,표2[#ALL],2)/HLOOKUP($A711,표1[#ALL],row(),false)</f>
        <v>#N/A</v>
      </c>
      <c r="AQ711" s="376" t="str">
        <f>CS_PID!AQ711/VLOOKUP($B711,표2[#ALL],2)/HLOOKUP($A711,표1[#ALL],row(),false)</f>
        <v>#N/A</v>
      </c>
      <c r="AR711" s="376" t="str">
        <f>CS_PID!AR711/VLOOKUP($B711,표2[#ALL],2)/HLOOKUP($A711,표1[#ALL],row(),false)</f>
        <v>#N/A</v>
      </c>
      <c r="AS711" s="377" t="str">
        <f>CS_PID!AS711/VLOOKUP($B711,표2[#ALL],2)/HLOOKUP($A711,표1[#ALL],row(),false)</f>
        <v>#N/A</v>
      </c>
    </row>
    <row r="712">
      <c r="A712" s="370"/>
      <c r="B712" s="371"/>
      <c r="C712" s="372" t="str">
        <f>CS_PID!C712/VLOOKUP($B712,표2[#ALL],2)</f>
        <v>#N/A</v>
      </c>
      <c r="D712" s="372" t="str">
        <f>CS_PID!D712/VLOOKUP($B712,표2[#ALL],2)</f>
        <v>#N/A</v>
      </c>
      <c r="E712" s="372" t="str">
        <f>CS_PID!E712/VLOOKUP($B712,표2[#ALL],2)</f>
        <v>#N/A</v>
      </c>
      <c r="F712" s="372" t="str">
        <f>CS_PID!F712/VLOOKUP($B712,표2[#ALL],2)</f>
        <v>#N/A</v>
      </c>
      <c r="G712" s="372" t="str">
        <f>CS_PID!G712/VLOOKUP($B712,표2[#ALL],2)</f>
        <v>#N/A</v>
      </c>
      <c r="H712" s="372" t="str">
        <f>CS_PID!H712/VLOOKUP($B712,표2[#ALL],2)/HLOOKUP($A712,표1[#ALL],row(),false)</f>
        <v>#N/A</v>
      </c>
      <c r="I712" s="372" t="str">
        <f>CS_PID!I712/VLOOKUP($B712,표2[#ALL],2)/HLOOKUP($A712,표1[#ALL],row(),false)</f>
        <v>#N/A</v>
      </c>
      <c r="J712" s="372" t="str">
        <f>CS_PID!J712/VLOOKUP($B712,표2[#ALL],2)/HLOOKUP($A712,표1[#ALL],row(),false)</f>
        <v>#N/A</v>
      </c>
      <c r="K712" s="372" t="str">
        <f>CS_PID!K712/VLOOKUP($B712,표2[#ALL],2)/HLOOKUP($A712,표1[#ALL],row(),false)</f>
        <v>#N/A</v>
      </c>
      <c r="L712" s="372" t="str">
        <f>CS_PID!L712/VLOOKUP($B712,표2[#ALL],2)/HLOOKUP($A712,표1[#ALL],row(),false)</f>
        <v>#N/A</v>
      </c>
      <c r="M712" s="372" t="str">
        <f>CS_PID!M712/VLOOKUP($B712,표2[#ALL],2)/HLOOKUP($A712,표1[#ALL],row(),false)</f>
        <v>#N/A</v>
      </c>
      <c r="N712" s="372" t="str">
        <f>CS_PID!N712/VLOOKUP($B712,표2[#ALL],2)/HLOOKUP($A712,표1[#ALL],row(),false)</f>
        <v>#N/A</v>
      </c>
      <c r="O712" s="372" t="str">
        <f>CS_PID!O712/VLOOKUP($B712,표2[#ALL],2)/HLOOKUP($A712,표1[#ALL],row(),false)</f>
        <v>#N/A</v>
      </c>
      <c r="P712" s="372" t="str">
        <f>CS_PID!P712/VLOOKUP($B712,표2[#ALL],2)/HLOOKUP($A712,표1[#ALL],row(),false)</f>
        <v>#N/A</v>
      </c>
      <c r="Q712" s="372" t="str">
        <f>CS_PID!Q712/VLOOKUP($B712,표2[#ALL],2)/HLOOKUP($A712,표1[#ALL],row(),false)</f>
        <v>#N/A</v>
      </c>
      <c r="R712" s="372" t="str">
        <f>CS_PID!R712/VLOOKUP($B712,표2[#ALL],2)/HLOOKUP($A712,표1[#ALL],row(),false)</f>
        <v>#N/A</v>
      </c>
      <c r="S712" s="372" t="str">
        <f>CS_PID!S712/VLOOKUP($B712,표2[#ALL],2)/HLOOKUP($A712,표1[#ALL],row(),false)</f>
        <v>#N/A</v>
      </c>
      <c r="T712" s="372" t="str">
        <f>CS_PID!T712/VLOOKUP($B712,표2[#ALL],2)/HLOOKUP($A712,표1[#ALL],row(),false)</f>
        <v>#N/A</v>
      </c>
      <c r="U712" s="372" t="str">
        <f>CS_PID!U712/VLOOKUP($B712,표2[#ALL],2)/HLOOKUP($A712,표1[#ALL],row(),false)</f>
        <v>#N/A</v>
      </c>
      <c r="V712" s="372" t="str">
        <f>CS_PID!V712/VLOOKUP($B712,표2[#ALL],2)/HLOOKUP($A712,표1[#ALL],row(),false)</f>
        <v>#N/A</v>
      </c>
      <c r="W712" s="372" t="str">
        <f>CS_PID!W712/VLOOKUP($B712,표2[#ALL],2)/HLOOKUP($A712,표1[#ALL],row(),false)</f>
        <v>#N/A</v>
      </c>
      <c r="X712" s="372" t="str">
        <f>CS_PID!X712/VLOOKUP($B712,표2[#ALL],2)/HLOOKUP($A712,표1[#ALL],row(),false)</f>
        <v>#N/A</v>
      </c>
      <c r="Y712" s="372" t="str">
        <f>CS_PID!Y712/VLOOKUP($B712,표2[#ALL],2)/HLOOKUP($A712,표1[#ALL],row(),false)</f>
        <v>#N/A</v>
      </c>
      <c r="Z712" s="372" t="str">
        <f>CS_PID!Z712/VLOOKUP($B712,표2[#ALL],2)/HLOOKUP($A712,표1[#ALL],row(),false)</f>
        <v>#N/A</v>
      </c>
      <c r="AA712" s="372" t="str">
        <f>CS_PID!AA712/VLOOKUP($B712,표2[#ALL],2)/HLOOKUP($A712,표1[#ALL],row(),false)</f>
        <v>#N/A</v>
      </c>
      <c r="AB712" s="372" t="str">
        <f>CS_PID!AB712/VLOOKUP($B712,표2[#ALL],2)/HLOOKUP($A712,표1[#ALL],row(),false)</f>
        <v>#N/A</v>
      </c>
      <c r="AC712" s="372" t="str">
        <f>CS_PID!AC712/VLOOKUP($B712,표2[#ALL],2)/HLOOKUP($A712,표1[#ALL],row(),false)</f>
        <v>#N/A</v>
      </c>
      <c r="AD712" s="372" t="str">
        <f>CS_PID!AD712/VLOOKUP($B712,표2[#ALL],2)/HLOOKUP($A712,표1[#ALL],row(),false)</f>
        <v>#N/A</v>
      </c>
      <c r="AE712" s="372" t="str">
        <f>CS_PID!AE712/VLOOKUP($B712,표2[#ALL],2)/HLOOKUP($A712,표1[#ALL],row(),false)</f>
        <v>#N/A</v>
      </c>
      <c r="AF712" s="372" t="str">
        <f>CS_PID!AF712/VLOOKUP($B712,표2[#ALL],2)/HLOOKUP($A712,표1[#ALL],row(),false)</f>
        <v>#N/A</v>
      </c>
      <c r="AG712" s="372" t="str">
        <f>CS_PID!AG712/VLOOKUP($B712,표2[#ALL],2)/HLOOKUP($A712,표1[#ALL],row(),false)</f>
        <v>#N/A</v>
      </c>
      <c r="AH712" s="372" t="str">
        <f>CS_PID!AH712/VLOOKUP($B712,표2[#ALL],2)/HLOOKUP($A712,표1[#ALL],row(),false)</f>
        <v>#N/A</v>
      </c>
      <c r="AI712" s="372" t="str">
        <f>CS_PID!AI712/VLOOKUP($B712,표2[#ALL],2)/HLOOKUP($A712,표1[#ALL],row(),false)</f>
        <v>#N/A</v>
      </c>
      <c r="AJ712" s="372" t="str">
        <f>CS_PID!AJ712/VLOOKUP($B712,표2[#ALL],2)/HLOOKUP($A712,표1[#ALL],row(),false)</f>
        <v>#N/A</v>
      </c>
      <c r="AK712" s="372" t="str">
        <f>CS_PID!AK712/VLOOKUP($B712,표2[#ALL],2)/HLOOKUP($A712,표1[#ALL],row(),false)</f>
        <v>#N/A</v>
      </c>
      <c r="AL712" s="372" t="str">
        <f>CS_PID!AL712/VLOOKUP($B712,표2[#ALL],2)/HLOOKUP($A712,표1[#ALL],row(),false)</f>
        <v>#N/A</v>
      </c>
      <c r="AM712" s="372" t="str">
        <f>CS_PID!AM712/VLOOKUP($B712,표2[#ALL],2)/HLOOKUP($A712,표1[#ALL],row(),false)</f>
        <v>#N/A</v>
      </c>
      <c r="AN712" s="372" t="str">
        <f>CS_PID!AN712/VLOOKUP($B712,표2[#ALL],2)/HLOOKUP($A712,표1[#ALL],row(),false)</f>
        <v>#N/A</v>
      </c>
      <c r="AO712" s="372" t="str">
        <f>CS_PID!AO712/VLOOKUP($B712,표2[#ALL],2)/HLOOKUP($A712,표1[#ALL],row(),false)</f>
        <v>#N/A</v>
      </c>
      <c r="AP712" s="372" t="str">
        <f>CS_PID!AP712/VLOOKUP($B712,표2[#ALL],2)/HLOOKUP($A712,표1[#ALL],row(),false)</f>
        <v>#N/A</v>
      </c>
      <c r="AQ712" s="372" t="str">
        <f>CS_PID!AQ712/VLOOKUP($B712,표2[#ALL],2)/HLOOKUP($A712,표1[#ALL],row(),false)</f>
        <v>#N/A</v>
      </c>
      <c r="AR712" s="372" t="str">
        <f>CS_PID!AR712/VLOOKUP($B712,표2[#ALL],2)/HLOOKUP($A712,표1[#ALL],row(),false)</f>
        <v>#N/A</v>
      </c>
      <c r="AS712" s="373" t="str">
        <f>CS_PID!AS712/VLOOKUP($B712,표2[#ALL],2)/HLOOKUP($A712,표1[#ALL],row(),false)</f>
        <v>#N/A</v>
      </c>
    </row>
    <row r="713">
      <c r="A713" s="374"/>
      <c r="B713" s="375"/>
      <c r="C713" s="376" t="str">
        <f>CS_PID!C713/VLOOKUP($B713,표2[#ALL],2)</f>
        <v>#N/A</v>
      </c>
      <c r="D713" s="376" t="str">
        <f>CS_PID!D713/VLOOKUP($B713,표2[#ALL],2)</f>
        <v>#N/A</v>
      </c>
      <c r="E713" s="376" t="str">
        <f>CS_PID!E713/VLOOKUP($B713,표2[#ALL],2)</f>
        <v>#N/A</v>
      </c>
      <c r="F713" s="376" t="str">
        <f>CS_PID!F713/VLOOKUP($B713,표2[#ALL],2)</f>
        <v>#N/A</v>
      </c>
      <c r="G713" s="376" t="str">
        <f>CS_PID!G713/VLOOKUP($B713,표2[#ALL],2)</f>
        <v>#N/A</v>
      </c>
      <c r="H713" s="376" t="str">
        <f>CS_PID!H713/VLOOKUP($B713,표2[#ALL],2)/HLOOKUP($A713,표1[#ALL],row(),false)</f>
        <v>#N/A</v>
      </c>
      <c r="I713" s="376" t="str">
        <f>CS_PID!I713/VLOOKUP($B713,표2[#ALL],2)/HLOOKUP($A713,표1[#ALL],row(),false)</f>
        <v>#N/A</v>
      </c>
      <c r="J713" s="376" t="str">
        <f>CS_PID!J713/VLOOKUP($B713,표2[#ALL],2)/HLOOKUP($A713,표1[#ALL],row(),false)</f>
        <v>#N/A</v>
      </c>
      <c r="K713" s="376" t="str">
        <f>CS_PID!K713/VLOOKUP($B713,표2[#ALL],2)/HLOOKUP($A713,표1[#ALL],row(),false)</f>
        <v>#N/A</v>
      </c>
      <c r="L713" s="376" t="str">
        <f>CS_PID!L713/VLOOKUP($B713,표2[#ALL],2)/HLOOKUP($A713,표1[#ALL],row(),false)</f>
        <v>#N/A</v>
      </c>
      <c r="M713" s="376" t="str">
        <f>CS_PID!M713/VLOOKUP($B713,표2[#ALL],2)/HLOOKUP($A713,표1[#ALL],row(),false)</f>
        <v>#N/A</v>
      </c>
      <c r="N713" s="376" t="str">
        <f>CS_PID!N713/VLOOKUP($B713,표2[#ALL],2)/HLOOKUP($A713,표1[#ALL],row(),false)</f>
        <v>#N/A</v>
      </c>
      <c r="O713" s="376" t="str">
        <f>CS_PID!O713/VLOOKUP($B713,표2[#ALL],2)/HLOOKUP($A713,표1[#ALL],row(),false)</f>
        <v>#N/A</v>
      </c>
      <c r="P713" s="376" t="str">
        <f>CS_PID!P713/VLOOKUP($B713,표2[#ALL],2)/HLOOKUP($A713,표1[#ALL],row(),false)</f>
        <v>#N/A</v>
      </c>
      <c r="Q713" s="376" t="str">
        <f>CS_PID!Q713/VLOOKUP($B713,표2[#ALL],2)/HLOOKUP($A713,표1[#ALL],row(),false)</f>
        <v>#N/A</v>
      </c>
      <c r="R713" s="376" t="str">
        <f>CS_PID!R713/VLOOKUP($B713,표2[#ALL],2)/HLOOKUP($A713,표1[#ALL],row(),false)</f>
        <v>#N/A</v>
      </c>
      <c r="S713" s="376" t="str">
        <f>CS_PID!S713/VLOOKUP($B713,표2[#ALL],2)/HLOOKUP($A713,표1[#ALL],row(),false)</f>
        <v>#N/A</v>
      </c>
      <c r="T713" s="376" t="str">
        <f>CS_PID!T713/VLOOKUP($B713,표2[#ALL],2)/HLOOKUP($A713,표1[#ALL],row(),false)</f>
        <v>#N/A</v>
      </c>
      <c r="U713" s="376" t="str">
        <f>CS_PID!U713/VLOOKUP($B713,표2[#ALL],2)/HLOOKUP($A713,표1[#ALL],row(),false)</f>
        <v>#N/A</v>
      </c>
      <c r="V713" s="376" t="str">
        <f>CS_PID!V713/VLOOKUP($B713,표2[#ALL],2)/HLOOKUP($A713,표1[#ALL],row(),false)</f>
        <v>#N/A</v>
      </c>
      <c r="W713" s="376" t="str">
        <f>CS_PID!W713/VLOOKUP($B713,표2[#ALL],2)/HLOOKUP($A713,표1[#ALL],row(),false)</f>
        <v>#N/A</v>
      </c>
      <c r="X713" s="376" t="str">
        <f>CS_PID!X713/VLOOKUP($B713,표2[#ALL],2)/HLOOKUP($A713,표1[#ALL],row(),false)</f>
        <v>#N/A</v>
      </c>
      <c r="Y713" s="376" t="str">
        <f>CS_PID!Y713/VLOOKUP($B713,표2[#ALL],2)/HLOOKUP($A713,표1[#ALL],row(),false)</f>
        <v>#N/A</v>
      </c>
      <c r="Z713" s="376" t="str">
        <f>CS_PID!Z713/VLOOKUP($B713,표2[#ALL],2)/HLOOKUP($A713,표1[#ALL],row(),false)</f>
        <v>#N/A</v>
      </c>
      <c r="AA713" s="376" t="str">
        <f>CS_PID!AA713/VLOOKUP($B713,표2[#ALL],2)/HLOOKUP($A713,표1[#ALL],row(),false)</f>
        <v>#N/A</v>
      </c>
      <c r="AB713" s="376" t="str">
        <f>CS_PID!AB713/VLOOKUP($B713,표2[#ALL],2)/HLOOKUP($A713,표1[#ALL],row(),false)</f>
        <v>#N/A</v>
      </c>
      <c r="AC713" s="376" t="str">
        <f>CS_PID!AC713/VLOOKUP($B713,표2[#ALL],2)/HLOOKUP($A713,표1[#ALL],row(),false)</f>
        <v>#N/A</v>
      </c>
      <c r="AD713" s="376" t="str">
        <f>CS_PID!AD713/VLOOKUP($B713,표2[#ALL],2)/HLOOKUP($A713,표1[#ALL],row(),false)</f>
        <v>#N/A</v>
      </c>
      <c r="AE713" s="376" t="str">
        <f>CS_PID!AE713/VLOOKUP($B713,표2[#ALL],2)/HLOOKUP($A713,표1[#ALL],row(),false)</f>
        <v>#N/A</v>
      </c>
      <c r="AF713" s="376" t="str">
        <f>CS_PID!AF713/VLOOKUP($B713,표2[#ALL],2)/HLOOKUP($A713,표1[#ALL],row(),false)</f>
        <v>#N/A</v>
      </c>
      <c r="AG713" s="376" t="str">
        <f>CS_PID!AG713/VLOOKUP($B713,표2[#ALL],2)/HLOOKUP($A713,표1[#ALL],row(),false)</f>
        <v>#N/A</v>
      </c>
      <c r="AH713" s="376" t="str">
        <f>CS_PID!AH713/VLOOKUP($B713,표2[#ALL],2)/HLOOKUP($A713,표1[#ALL],row(),false)</f>
        <v>#N/A</v>
      </c>
      <c r="AI713" s="376" t="str">
        <f>CS_PID!AI713/VLOOKUP($B713,표2[#ALL],2)/HLOOKUP($A713,표1[#ALL],row(),false)</f>
        <v>#N/A</v>
      </c>
      <c r="AJ713" s="376" t="str">
        <f>CS_PID!AJ713/VLOOKUP($B713,표2[#ALL],2)/HLOOKUP($A713,표1[#ALL],row(),false)</f>
        <v>#N/A</v>
      </c>
      <c r="AK713" s="376" t="str">
        <f>CS_PID!AK713/VLOOKUP($B713,표2[#ALL],2)/HLOOKUP($A713,표1[#ALL],row(),false)</f>
        <v>#N/A</v>
      </c>
      <c r="AL713" s="376" t="str">
        <f>CS_PID!AL713/VLOOKUP($B713,표2[#ALL],2)/HLOOKUP($A713,표1[#ALL],row(),false)</f>
        <v>#N/A</v>
      </c>
      <c r="AM713" s="376" t="str">
        <f>CS_PID!AM713/VLOOKUP($B713,표2[#ALL],2)/HLOOKUP($A713,표1[#ALL],row(),false)</f>
        <v>#N/A</v>
      </c>
      <c r="AN713" s="376" t="str">
        <f>CS_PID!AN713/VLOOKUP($B713,표2[#ALL],2)/HLOOKUP($A713,표1[#ALL],row(),false)</f>
        <v>#N/A</v>
      </c>
      <c r="AO713" s="376" t="str">
        <f>CS_PID!AO713/VLOOKUP($B713,표2[#ALL],2)/HLOOKUP($A713,표1[#ALL],row(),false)</f>
        <v>#N/A</v>
      </c>
      <c r="AP713" s="376" t="str">
        <f>CS_PID!AP713/VLOOKUP($B713,표2[#ALL],2)/HLOOKUP($A713,표1[#ALL],row(),false)</f>
        <v>#N/A</v>
      </c>
      <c r="AQ713" s="376" t="str">
        <f>CS_PID!AQ713/VLOOKUP($B713,표2[#ALL],2)/HLOOKUP($A713,표1[#ALL],row(),false)</f>
        <v>#N/A</v>
      </c>
      <c r="AR713" s="376" t="str">
        <f>CS_PID!AR713/VLOOKUP($B713,표2[#ALL],2)/HLOOKUP($A713,표1[#ALL],row(),false)</f>
        <v>#N/A</v>
      </c>
      <c r="AS713" s="377" t="str">
        <f>CS_PID!AS713/VLOOKUP($B713,표2[#ALL],2)/HLOOKUP($A713,표1[#ALL],row(),false)</f>
        <v>#N/A</v>
      </c>
    </row>
    <row r="714">
      <c r="A714" s="370"/>
      <c r="B714" s="371"/>
      <c r="C714" s="372" t="str">
        <f>CS_PID!C714/VLOOKUP($B714,표2[#ALL],2)</f>
        <v>#N/A</v>
      </c>
      <c r="D714" s="372" t="str">
        <f>CS_PID!D714/VLOOKUP($B714,표2[#ALL],2)</f>
        <v>#N/A</v>
      </c>
      <c r="E714" s="372" t="str">
        <f>CS_PID!E714/VLOOKUP($B714,표2[#ALL],2)</f>
        <v>#N/A</v>
      </c>
      <c r="F714" s="372" t="str">
        <f>CS_PID!F714/VLOOKUP($B714,표2[#ALL],2)</f>
        <v>#N/A</v>
      </c>
      <c r="G714" s="372" t="str">
        <f>CS_PID!G714/VLOOKUP($B714,표2[#ALL],2)</f>
        <v>#N/A</v>
      </c>
      <c r="H714" s="372" t="str">
        <f>CS_PID!H714/VLOOKUP($B714,표2[#ALL],2)/HLOOKUP($A714,표1[#ALL],row(),false)</f>
        <v>#N/A</v>
      </c>
      <c r="I714" s="372" t="str">
        <f>CS_PID!I714/VLOOKUP($B714,표2[#ALL],2)/HLOOKUP($A714,표1[#ALL],row(),false)</f>
        <v>#N/A</v>
      </c>
      <c r="J714" s="372" t="str">
        <f>CS_PID!J714/VLOOKUP($B714,표2[#ALL],2)/HLOOKUP($A714,표1[#ALL],row(),false)</f>
        <v>#N/A</v>
      </c>
      <c r="K714" s="372" t="str">
        <f>CS_PID!K714/VLOOKUP($B714,표2[#ALL],2)/HLOOKUP($A714,표1[#ALL],row(),false)</f>
        <v>#N/A</v>
      </c>
      <c r="L714" s="372" t="str">
        <f>CS_PID!L714/VLOOKUP($B714,표2[#ALL],2)/HLOOKUP($A714,표1[#ALL],row(),false)</f>
        <v>#N/A</v>
      </c>
      <c r="M714" s="372" t="str">
        <f>CS_PID!M714/VLOOKUP($B714,표2[#ALL],2)/HLOOKUP($A714,표1[#ALL],row(),false)</f>
        <v>#N/A</v>
      </c>
      <c r="N714" s="372" t="str">
        <f>CS_PID!N714/VLOOKUP($B714,표2[#ALL],2)/HLOOKUP($A714,표1[#ALL],row(),false)</f>
        <v>#N/A</v>
      </c>
      <c r="O714" s="372" t="str">
        <f>CS_PID!O714/VLOOKUP($B714,표2[#ALL],2)/HLOOKUP($A714,표1[#ALL],row(),false)</f>
        <v>#N/A</v>
      </c>
      <c r="P714" s="372" t="str">
        <f>CS_PID!P714/VLOOKUP($B714,표2[#ALL],2)/HLOOKUP($A714,표1[#ALL],row(),false)</f>
        <v>#N/A</v>
      </c>
      <c r="Q714" s="372" t="str">
        <f>CS_PID!Q714/VLOOKUP($B714,표2[#ALL],2)/HLOOKUP($A714,표1[#ALL],row(),false)</f>
        <v>#N/A</v>
      </c>
      <c r="R714" s="372" t="str">
        <f>CS_PID!R714/VLOOKUP($B714,표2[#ALL],2)/HLOOKUP($A714,표1[#ALL],row(),false)</f>
        <v>#N/A</v>
      </c>
      <c r="S714" s="372" t="str">
        <f>CS_PID!S714/VLOOKUP($B714,표2[#ALL],2)/HLOOKUP($A714,표1[#ALL],row(),false)</f>
        <v>#N/A</v>
      </c>
      <c r="T714" s="372" t="str">
        <f>CS_PID!T714/VLOOKUP($B714,표2[#ALL],2)/HLOOKUP($A714,표1[#ALL],row(),false)</f>
        <v>#N/A</v>
      </c>
      <c r="U714" s="372" t="str">
        <f>CS_PID!U714/VLOOKUP($B714,표2[#ALL],2)/HLOOKUP($A714,표1[#ALL],row(),false)</f>
        <v>#N/A</v>
      </c>
      <c r="V714" s="372" t="str">
        <f>CS_PID!V714/VLOOKUP($B714,표2[#ALL],2)/HLOOKUP($A714,표1[#ALL],row(),false)</f>
        <v>#N/A</v>
      </c>
      <c r="W714" s="372" t="str">
        <f>CS_PID!W714/VLOOKUP($B714,표2[#ALL],2)/HLOOKUP($A714,표1[#ALL],row(),false)</f>
        <v>#N/A</v>
      </c>
      <c r="X714" s="372" t="str">
        <f>CS_PID!X714/VLOOKUP($B714,표2[#ALL],2)/HLOOKUP($A714,표1[#ALL],row(),false)</f>
        <v>#N/A</v>
      </c>
      <c r="Y714" s="372" t="str">
        <f>CS_PID!Y714/VLOOKUP($B714,표2[#ALL],2)/HLOOKUP($A714,표1[#ALL],row(),false)</f>
        <v>#N/A</v>
      </c>
      <c r="Z714" s="372" t="str">
        <f>CS_PID!Z714/VLOOKUP($B714,표2[#ALL],2)/HLOOKUP($A714,표1[#ALL],row(),false)</f>
        <v>#N/A</v>
      </c>
      <c r="AA714" s="372" t="str">
        <f>CS_PID!AA714/VLOOKUP($B714,표2[#ALL],2)/HLOOKUP($A714,표1[#ALL],row(),false)</f>
        <v>#N/A</v>
      </c>
      <c r="AB714" s="372" t="str">
        <f>CS_PID!AB714/VLOOKUP($B714,표2[#ALL],2)/HLOOKUP($A714,표1[#ALL],row(),false)</f>
        <v>#N/A</v>
      </c>
      <c r="AC714" s="372" t="str">
        <f>CS_PID!AC714/VLOOKUP($B714,표2[#ALL],2)/HLOOKUP($A714,표1[#ALL],row(),false)</f>
        <v>#N/A</v>
      </c>
      <c r="AD714" s="372" t="str">
        <f>CS_PID!AD714/VLOOKUP($B714,표2[#ALL],2)/HLOOKUP($A714,표1[#ALL],row(),false)</f>
        <v>#N/A</v>
      </c>
      <c r="AE714" s="372" t="str">
        <f>CS_PID!AE714/VLOOKUP($B714,표2[#ALL],2)/HLOOKUP($A714,표1[#ALL],row(),false)</f>
        <v>#N/A</v>
      </c>
      <c r="AF714" s="372" t="str">
        <f>CS_PID!AF714/VLOOKUP($B714,표2[#ALL],2)/HLOOKUP($A714,표1[#ALL],row(),false)</f>
        <v>#N/A</v>
      </c>
      <c r="AG714" s="372" t="str">
        <f>CS_PID!AG714/VLOOKUP($B714,표2[#ALL],2)/HLOOKUP($A714,표1[#ALL],row(),false)</f>
        <v>#N/A</v>
      </c>
      <c r="AH714" s="372" t="str">
        <f>CS_PID!AH714/VLOOKUP($B714,표2[#ALL],2)/HLOOKUP($A714,표1[#ALL],row(),false)</f>
        <v>#N/A</v>
      </c>
      <c r="AI714" s="372" t="str">
        <f>CS_PID!AI714/VLOOKUP($B714,표2[#ALL],2)/HLOOKUP($A714,표1[#ALL],row(),false)</f>
        <v>#N/A</v>
      </c>
      <c r="AJ714" s="372" t="str">
        <f>CS_PID!AJ714/VLOOKUP($B714,표2[#ALL],2)/HLOOKUP($A714,표1[#ALL],row(),false)</f>
        <v>#N/A</v>
      </c>
      <c r="AK714" s="372" t="str">
        <f>CS_PID!AK714/VLOOKUP($B714,표2[#ALL],2)/HLOOKUP($A714,표1[#ALL],row(),false)</f>
        <v>#N/A</v>
      </c>
      <c r="AL714" s="372" t="str">
        <f>CS_PID!AL714/VLOOKUP($B714,표2[#ALL],2)/HLOOKUP($A714,표1[#ALL],row(),false)</f>
        <v>#N/A</v>
      </c>
      <c r="AM714" s="372" t="str">
        <f>CS_PID!AM714/VLOOKUP($B714,표2[#ALL],2)/HLOOKUP($A714,표1[#ALL],row(),false)</f>
        <v>#N/A</v>
      </c>
      <c r="AN714" s="372" t="str">
        <f>CS_PID!AN714/VLOOKUP($B714,표2[#ALL],2)/HLOOKUP($A714,표1[#ALL],row(),false)</f>
        <v>#N/A</v>
      </c>
      <c r="AO714" s="372" t="str">
        <f>CS_PID!AO714/VLOOKUP($B714,표2[#ALL],2)/HLOOKUP($A714,표1[#ALL],row(),false)</f>
        <v>#N/A</v>
      </c>
      <c r="AP714" s="372" t="str">
        <f>CS_PID!AP714/VLOOKUP($B714,표2[#ALL],2)/HLOOKUP($A714,표1[#ALL],row(),false)</f>
        <v>#N/A</v>
      </c>
      <c r="AQ714" s="372" t="str">
        <f>CS_PID!AQ714/VLOOKUP($B714,표2[#ALL],2)/HLOOKUP($A714,표1[#ALL],row(),false)</f>
        <v>#N/A</v>
      </c>
      <c r="AR714" s="372" t="str">
        <f>CS_PID!AR714/VLOOKUP($B714,표2[#ALL],2)/HLOOKUP($A714,표1[#ALL],row(),false)</f>
        <v>#N/A</v>
      </c>
      <c r="AS714" s="373" t="str">
        <f>CS_PID!AS714/VLOOKUP($B714,표2[#ALL],2)/HLOOKUP($A714,표1[#ALL],row(),false)</f>
        <v>#N/A</v>
      </c>
    </row>
    <row r="715">
      <c r="A715" s="374"/>
      <c r="B715" s="375"/>
      <c r="C715" s="376" t="str">
        <f>CS_PID!C715/VLOOKUP($B715,표2[#ALL],2)</f>
        <v>#N/A</v>
      </c>
      <c r="D715" s="376" t="str">
        <f>CS_PID!D715/VLOOKUP($B715,표2[#ALL],2)</f>
        <v>#N/A</v>
      </c>
      <c r="E715" s="376" t="str">
        <f>CS_PID!E715/VLOOKUP($B715,표2[#ALL],2)</f>
        <v>#N/A</v>
      </c>
      <c r="F715" s="376" t="str">
        <f>CS_PID!F715/VLOOKUP($B715,표2[#ALL],2)</f>
        <v>#N/A</v>
      </c>
      <c r="G715" s="376" t="str">
        <f>CS_PID!G715/VLOOKUP($B715,표2[#ALL],2)</f>
        <v>#N/A</v>
      </c>
      <c r="H715" s="376" t="str">
        <f>CS_PID!H715/VLOOKUP($B715,표2[#ALL],2)/HLOOKUP($A715,표1[#ALL],row(),false)</f>
        <v>#N/A</v>
      </c>
      <c r="I715" s="376" t="str">
        <f>CS_PID!I715/VLOOKUP($B715,표2[#ALL],2)/HLOOKUP($A715,표1[#ALL],row(),false)</f>
        <v>#N/A</v>
      </c>
      <c r="J715" s="376" t="str">
        <f>CS_PID!J715/VLOOKUP($B715,표2[#ALL],2)/HLOOKUP($A715,표1[#ALL],row(),false)</f>
        <v>#N/A</v>
      </c>
      <c r="K715" s="376" t="str">
        <f>CS_PID!K715/VLOOKUP($B715,표2[#ALL],2)/HLOOKUP($A715,표1[#ALL],row(),false)</f>
        <v>#N/A</v>
      </c>
      <c r="L715" s="376" t="str">
        <f>CS_PID!L715/VLOOKUP($B715,표2[#ALL],2)/HLOOKUP($A715,표1[#ALL],row(),false)</f>
        <v>#N/A</v>
      </c>
      <c r="M715" s="376" t="str">
        <f>CS_PID!M715/VLOOKUP($B715,표2[#ALL],2)/HLOOKUP($A715,표1[#ALL],row(),false)</f>
        <v>#N/A</v>
      </c>
      <c r="N715" s="376" t="str">
        <f>CS_PID!N715/VLOOKUP($B715,표2[#ALL],2)/HLOOKUP($A715,표1[#ALL],row(),false)</f>
        <v>#N/A</v>
      </c>
      <c r="O715" s="376" t="str">
        <f>CS_PID!O715/VLOOKUP($B715,표2[#ALL],2)/HLOOKUP($A715,표1[#ALL],row(),false)</f>
        <v>#N/A</v>
      </c>
      <c r="P715" s="376" t="str">
        <f>CS_PID!P715/VLOOKUP($B715,표2[#ALL],2)/HLOOKUP($A715,표1[#ALL],row(),false)</f>
        <v>#N/A</v>
      </c>
      <c r="Q715" s="376" t="str">
        <f>CS_PID!Q715/VLOOKUP($B715,표2[#ALL],2)/HLOOKUP($A715,표1[#ALL],row(),false)</f>
        <v>#N/A</v>
      </c>
      <c r="R715" s="376" t="str">
        <f>CS_PID!R715/VLOOKUP($B715,표2[#ALL],2)/HLOOKUP($A715,표1[#ALL],row(),false)</f>
        <v>#N/A</v>
      </c>
      <c r="S715" s="376" t="str">
        <f>CS_PID!S715/VLOOKUP($B715,표2[#ALL],2)/HLOOKUP($A715,표1[#ALL],row(),false)</f>
        <v>#N/A</v>
      </c>
      <c r="T715" s="376" t="str">
        <f>CS_PID!T715/VLOOKUP($B715,표2[#ALL],2)/HLOOKUP($A715,표1[#ALL],row(),false)</f>
        <v>#N/A</v>
      </c>
      <c r="U715" s="376" t="str">
        <f>CS_PID!U715/VLOOKUP($B715,표2[#ALL],2)/HLOOKUP($A715,표1[#ALL],row(),false)</f>
        <v>#N/A</v>
      </c>
      <c r="V715" s="376" t="str">
        <f>CS_PID!V715/VLOOKUP($B715,표2[#ALL],2)/HLOOKUP($A715,표1[#ALL],row(),false)</f>
        <v>#N/A</v>
      </c>
      <c r="W715" s="376" t="str">
        <f>CS_PID!W715/VLOOKUP($B715,표2[#ALL],2)/HLOOKUP($A715,표1[#ALL],row(),false)</f>
        <v>#N/A</v>
      </c>
      <c r="X715" s="376" t="str">
        <f>CS_PID!X715/VLOOKUP($B715,표2[#ALL],2)/HLOOKUP($A715,표1[#ALL],row(),false)</f>
        <v>#N/A</v>
      </c>
      <c r="Y715" s="376" t="str">
        <f>CS_PID!Y715/VLOOKUP($B715,표2[#ALL],2)/HLOOKUP($A715,표1[#ALL],row(),false)</f>
        <v>#N/A</v>
      </c>
      <c r="Z715" s="376" t="str">
        <f>CS_PID!Z715/VLOOKUP($B715,표2[#ALL],2)/HLOOKUP($A715,표1[#ALL],row(),false)</f>
        <v>#N/A</v>
      </c>
      <c r="AA715" s="376" t="str">
        <f>CS_PID!AA715/VLOOKUP($B715,표2[#ALL],2)/HLOOKUP($A715,표1[#ALL],row(),false)</f>
        <v>#N/A</v>
      </c>
      <c r="AB715" s="376" t="str">
        <f>CS_PID!AB715/VLOOKUP($B715,표2[#ALL],2)/HLOOKUP($A715,표1[#ALL],row(),false)</f>
        <v>#N/A</v>
      </c>
      <c r="AC715" s="376" t="str">
        <f>CS_PID!AC715/VLOOKUP($B715,표2[#ALL],2)/HLOOKUP($A715,표1[#ALL],row(),false)</f>
        <v>#N/A</v>
      </c>
      <c r="AD715" s="376" t="str">
        <f>CS_PID!AD715/VLOOKUP($B715,표2[#ALL],2)/HLOOKUP($A715,표1[#ALL],row(),false)</f>
        <v>#N/A</v>
      </c>
      <c r="AE715" s="376" t="str">
        <f>CS_PID!AE715/VLOOKUP($B715,표2[#ALL],2)/HLOOKUP($A715,표1[#ALL],row(),false)</f>
        <v>#N/A</v>
      </c>
      <c r="AF715" s="376" t="str">
        <f>CS_PID!AF715/VLOOKUP($B715,표2[#ALL],2)/HLOOKUP($A715,표1[#ALL],row(),false)</f>
        <v>#N/A</v>
      </c>
      <c r="AG715" s="376" t="str">
        <f>CS_PID!AG715/VLOOKUP($B715,표2[#ALL],2)/HLOOKUP($A715,표1[#ALL],row(),false)</f>
        <v>#N/A</v>
      </c>
      <c r="AH715" s="376" t="str">
        <f>CS_PID!AH715/VLOOKUP($B715,표2[#ALL],2)/HLOOKUP($A715,표1[#ALL],row(),false)</f>
        <v>#N/A</v>
      </c>
      <c r="AI715" s="376" t="str">
        <f>CS_PID!AI715/VLOOKUP($B715,표2[#ALL],2)/HLOOKUP($A715,표1[#ALL],row(),false)</f>
        <v>#N/A</v>
      </c>
      <c r="AJ715" s="376" t="str">
        <f>CS_PID!AJ715/VLOOKUP($B715,표2[#ALL],2)/HLOOKUP($A715,표1[#ALL],row(),false)</f>
        <v>#N/A</v>
      </c>
      <c r="AK715" s="376" t="str">
        <f>CS_PID!AK715/VLOOKUP($B715,표2[#ALL],2)/HLOOKUP($A715,표1[#ALL],row(),false)</f>
        <v>#N/A</v>
      </c>
      <c r="AL715" s="376" t="str">
        <f>CS_PID!AL715/VLOOKUP($B715,표2[#ALL],2)/HLOOKUP($A715,표1[#ALL],row(),false)</f>
        <v>#N/A</v>
      </c>
      <c r="AM715" s="376" t="str">
        <f>CS_PID!AM715/VLOOKUP($B715,표2[#ALL],2)/HLOOKUP($A715,표1[#ALL],row(),false)</f>
        <v>#N/A</v>
      </c>
      <c r="AN715" s="376" t="str">
        <f>CS_PID!AN715/VLOOKUP($B715,표2[#ALL],2)/HLOOKUP($A715,표1[#ALL],row(),false)</f>
        <v>#N/A</v>
      </c>
      <c r="AO715" s="376" t="str">
        <f>CS_PID!AO715/VLOOKUP($B715,표2[#ALL],2)/HLOOKUP($A715,표1[#ALL],row(),false)</f>
        <v>#N/A</v>
      </c>
      <c r="AP715" s="376" t="str">
        <f>CS_PID!AP715/VLOOKUP($B715,표2[#ALL],2)/HLOOKUP($A715,표1[#ALL],row(),false)</f>
        <v>#N/A</v>
      </c>
      <c r="AQ715" s="376" t="str">
        <f>CS_PID!AQ715/VLOOKUP($B715,표2[#ALL],2)/HLOOKUP($A715,표1[#ALL],row(),false)</f>
        <v>#N/A</v>
      </c>
      <c r="AR715" s="376" t="str">
        <f>CS_PID!AR715/VLOOKUP($B715,표2[#ALL],2)/HLOOKUP($A715,표1[#ALL],row(),false)</f>
        <v>#N/A</v>
      </c>
      <c r="AS715" s="377" t="str">
        <f>CS_PID!AS715/VLOOKUP($B715,표2[#ALL],2)/HLOOKUP($A715,표1[#ALL],row(),false)</f>
        <v>#N/A</v>
      </c>
    </row>
    <row r="716">
      <c r="A716" s="370"/>
      <c r="B716" s="371"/>
      <c r="C716" s="372" t="str">
        <f>CS_PID!C716/VLOOKUP($B716,표2[#ALL],2)</f>
        <v>#N/A</v>
      </c>
      <c r="D716" s="372" t="str">
        <f>CS_PID!D716/VLOOKUP($B716,표2[#ALL],2)</f>
        <v>#N/A</v>
      </c>
      <c r="E716" s="372" t="str">
        <f>CS_PID!E716/VLOOKUP($B716,표2[#ALL],2)</f>
        <v>#N/A</v>
      </c>
      <c r="F716" s="372" t="str">
        <f>CS_PID!F716/VLOOKUP($B716,표2[#ALL],2)</f>
        <v>#N/A</v>
      </c>
      <c r="G716" s="372" t="str">
        <f>CS_PID!G716/VLOOKUP($B716,표2[#ALL],2)</f>
        <v>#N/A</v>
      </c>
      <c r="H716" s="372" t="str">
        <f>CS_PID!H716/VLOOKUP($B716,표2[#ALL],2)/HLOOKUP($A716,표1[#ALL],row(),false)</f>
        <v>#N/A</v>
      </c>
      <c r="I716" s="372" t="str">
        <f>CS_PID!I716/VLOOKUP($B716,표2[#ALL],2)/HLOOKUP($A716,표1[#ALL],row(),false)</f>
        <v>#N/A</v>
      </c>
      <c r="J716" s="372" t="str">
        <f>CS_PID!J716/VLOOKUP($B716,표2[#ALL],2)/HLOOKUP($A716,표1[#ALL],row(),false)</f>
        <v>#N/A</v>
      </c>
      <c r="K716" s="372" t="str">
        <f>CS_PID!K716/VLOOKUP($B716,표2[#ALL],2)/HLOOKUP($A716,표1[#ALL],row(),false)</f>
        <v>#N/A</v>
      </c>
      <c r="L716" s="372" t="str">
        <f>CS_PID!L716/VLOOKUP($B716,표2[#ALL],2)/HLOOKUP($A716,표1[#ALL],row(),false)</f>
        <v>#N/A</v>
      </c>
      <c r="M716" s="372" t="str">
        <f>CS_PID!M716/VLOOKUP($B716,표2[#ALL],2)/HLOOKUP($A716,표1[#ALL],row(),false)</f>
        <v>#N/A</v>
      </c>
      <c r="N716" s="372" t="str">
        <f>CS_PID!N716/VLOOKUP($B716,표2[#ALL],2)/HLOOKUP($A716,표1[#ALL],row(),false)</f>
        <v>#N/A</v>
      </c>
      <c r="O716" s="372" t="str">
        <f>CS_PID!O716/VLOOKUP($B716,표2[#ALL],2)/HLOOKUP($A716,표1[#ALL],row(),false)</f>
        <v>#N/A</v>
      </c>
      <c r="P716" s="372" t="str">
        <f>CS_PID!P716/VLOOKUP($B716,표2[#ALL],2)/HLOOKUP($A716,표1[#ALL],row(),false)</f>
        <v>#N/A</v>
      </c>
      <c r="Q716" s="372" t="str">
        <f>CS_PID!Q716/VLOOKUP($B716,표2[#ALL],2)/HLOOKUP($A716,표1[#ALL],row(),false)</f>
        <v>#N/A</v>
      </c>
      <c r="R716" s="372" t="str">
        <f>CS_PID!R716/VLOOKUP($B716,표2[#ALL],2)/HLOOKUP($A716,표1[#ALL],row(),false)</f>
        <v>#N/A</v>
      </c>
      <c r="S716" s="372" t="str">
        <f>CS_PID!S716/VLOOKUP($B716,표2[#ALL],2)/HLOOKUP($A716,표1[#ALL],row(),false)</f>
        <v>#N/A</v>
      </c>
      <c r="T716" s="372" t="str">
        <f>CS_PID!T716/VLOOKUP($B716,표2[#ALL],2)/HLOOKUP($A716,표1[#ALL],row(),false)</f>
        <v>#N/A</v>
      </c>
      <c r="U716" s="372" t="str">
        <f>CS_PID!U716/VLOOKUP($B716,표2[#ALL],2)/HLOOKUP($A716,표1[#ALL],row(),false)</f>
        <v>#N/A</v>
      </c>
      <c r="V716" s="372" t="str">
        <f>CS_PID!V716/VLOOKUP($B716,표2[#ALL],2)/HLOOKUP($A716,표1[#ALL],row(),false)</f>
        <v>#N/A</v>
      </c>
      <c r="W716" s="372" t="str">
        <f>CS_PID!W716/VLOOKUP($B716,표2[#ALL],2)/HLOOKUP($A716,표1[#ALL],row(),false)</f>
        <v>#N/A</v>
      </c>
      <c r="X716" s="372" t="str">
        <f>CS_PID!X716/VLOOKUP($B716,표2[#ALL],2)/HLOOKUP($A716,표1[#ALL],row(),false)</f>
        <v>#N/A</v>
      </c>
      <c r="Y716" s="372" t="str">
        <f>CS_PID!Y716/VLOOKUP($B716,표2[#ALL],2)/HLOOKUP($A716,표1[#ALL],row(),false)</f>
        <v>#N/A</v>
      </c>
      <c r="Z716" s="372" t="str">
        <f>CS_PID!Z716/VLOOKUP($B716,표2[#ALL],2)/HLOOKUP($A716,표1[#ALL],row(),false)</f>
        <v>#N/A</v>
      </c>
      <c r="AA716" s="372" t="str">
        <f>CS_PID!AA716/VLOOKUP($B716,표2[#ALL],2)/HLOOKUP($A716,표1[#ALL],row(),false)</f>
        <v>#N/A</v>
      </c>
      <c r="AB716" s="372" t="str">
        <f>CS_PID!AB716/VLOOKUP($B716,표2[#ALL],2)/HLOOKUP($A716,표1[#ALL],row(),false)</f>
        <v>#N/A</v>
      </c>
      <c r="AC716" s="372" t="str">
        <f>CS_PID!AC716/VLOOKUP($B716,표2[#ALL],2)/HLOOKUP($A716,표1[#ALL],row(),false)</f>
        <v>#N/A</v>
      </c>
      <c r="AD716" s="372" t="str">
        <f>CS_PID!AD716/VLOOKUP($B716,표2[#ALL],2)/HLOOKUP($A716,표1[#ALL],row(),false)</f>
        <v>#N/A</v>
      </c>
      <c r="AE716" s="372" t="str">
        <f>CS_PID!AE716/VLOOKUP($B716,표2[#ALL],2)/HLOOKUP($A716,표1[#ALL],row(),false)</f>
        <v>#N/A</v>
      </c>
      <c r="AF716" s="372" t="str">
        <f>CS_PID!AF716/VLOOKUP($B716,표2[#ALL],2)/HLOOKUP($A716,표1[#ALL],row(),false)</f>
        <v>#N/A</v>
      </c>
      <c r="AG716" s="372" t="str">
        <f>CS_PID!AG716/VLOOKUP($B716,표2[#ALL],2)/HLOOKUP($A716,표1[#ALL],row(),false)</f>
        <v>#N/A</v>
      </c>
      <c r="AH716" s="372" t="str">
        <f>CS_PID!AH716/VLOOKUP($B716,표2[#ALL],2)/HLOOKUP($A716,표1[#ALL],row(),false)</f>
        <v>#N/A</v>
      </c>
      <c r="AI716" s="372" t="str">
        <f>CS_PID!AI716/VLOOKUP($B716,표2[#ALL],2)/HLOOKUP($A716,표1[#ALL],row(),false)</f>
        <v>#N/A</v>
      </c>
      <c r="AJ716" s="372" t="str">
        <f>CS_PID!AJ716/VLOOKUP($B716,표2[#ALL],2)/HLOOKUP($A716,표1[#ALL],row(),false)</f>
        <v>#N/A</v>
      </c>
      <c r="AK716" s="372" t="str">
        <f>CS_PID!AK716/VLOOKUP($B716,표2[#ALL],2)/HLOOKUP($A716,표1[#ALL],row(),false)</f>
        <v>#N/A</v>
      </c>
      <c r="AL716" s="372" t="str">
        <f>CS_PID!AL716/VLOOKUP($B716,표2[#ALL],2)/HLOOKUP($A716,표1[#ALL],row(),false)</f>
        <v>#N/A</v>
      </c>
      <c r="AM716" s="372" t="str">
        <f>CS_PID!AM716/VLOOKUP($B716,표2[#ALL],2)/HLOOKUP($A716,표1[#ALL],row(),false)</f>
        <v>#N/A</v>
      </c>
      <c r="AN716" s="372" t="str">
        <f>CS_PID!AN716/VLOOKUP($B716,표2[#ALL],2)/HLOOKUP($A716,표1[#ALL],row(),false)</f>
        <v>#N/A</v>
      </c>
      <c r="AO716" s="372" t="str">
        <f>CS_PID!AO716/VLOOKUP($B716,표2[#ALL],2)/HLOOKUP($A716,표1[#ALL],row(),false)</f>
        <v>#N/A</v>
      </c>
      <c r="AP716" s="372" t="str">
        <f>CS_PID!AP716/VLOOKUP($B716,표2[#ALL],2)/HLOOKUP($A716,표1[#ALL],row(),false)</f>
        <v>#N/A</v>
      </c>
      <c r="AQ716" s="372" t="str">
        <f>CS_PID!AQ716/VLOOKUP($B716,표2[#ALL],2)/HLOOKUP($A716,표1[#ALL],row(),false)</f>
        <v>#N/A</v>
      </c>
      <c r="AR716" s="372" t="str">
        <f>CS_PID!AR716/VLOOKUP($B716,표2[#ALL],2)/HLOOKUP($A716,표1[#ALL],row(),false)</f>
        <v>#N/A</v>
      </c>
      <c r="AS716" s="373" t="str">
        <f>CS_PID!AS716/VLOOKUP($B716,표2[#ALL],2)/HLOOKUP($A716,표1[#ALL],row(),false)</f>
        <v>#N/A</v>
      </c>
    </row>
    <row r="717">
      <c r="A717" s="374"/>
      <c r="B717" s="375"/>
      <c r="C717" s="376" t="str">
        <f>CS_PID!C717/VLOOKUP($B717,표2[#ALL],2)</f>
        <v>#N/A</v>
      </c>
      <c r="D717" s="376" t="str">
        <f>CS_PID!D717/VLOOKUP($B717,표2[#ALL],2)</f>
        <v>#N/A</v>
      </c>
      <c r="E717" s="376" t="str">
        <f>CS_PID!E717/VLOOKUP($B717,표2[#ALL],2)</f>
        <v>#N/A</v>
      </c>
      <c r="F717" s="376" t="str">
        <f>CS_PID!F717/VLOOKUP($B717,표2[#ALL],2)</f>
        <v>#N/A</v>
      </c>
      <c r="G717" s="376" t="str">
        <f>CS_PID!G717/VLOOKUP($B717,표2[#ALL],2)</f>
        <v>#N/A</v>
      </c>
      <c r="H717" s="376" t="str">
        <f>CS_PID!H717/VLOOKUP($B717,표2[#ALL],2)/HLOOKUP($A717,표1[#ALL],row(),false)</f>
        <v>#N/A</v>
      </c>
      <c r="I717" s="376" t="str">
        <f>CS_PID!I717/VLOOKUP($B717,표2[#ALL],2)/HLOOKUP($A717,표1[#ALL],row(),false)</f>
        <v>#N/A</v>
      </c>
      <c r="J717" s="376" t="str">
        <f>CS_PID!J717/VLOOKUP($B717,표2[#ALL],2)/HLOOKUP($A717,표1[#ALL],row(),false)</f>
        <v>#N/A</v>
      </c>
      <c r="K717" s="376" t="str">
        <f>CS_PID!K717/VLOOKUP($B717,표2[#ALL],2)/HLOOKUP($A717,표1[#ALL],row(),false)</f>
        <v>#N/A</v>
      </c>
      <c r="L717" s="376" t="str">
        <f>CS_PID!L717/VLOOKUP($B717,표2[#ALL],2)/HLOOKUP($A717,표1[#ALL],row(),false)</f>
        <v>#N/A</v>
      </c>
      <c r="M717" s="376" t="str">
        <f>CS_PID!M717/VLOOKUP($B717,표2[#ALL],2)/HLOOKUP($A717,표1[#ALL],row(),false)</f>
        <v>#N/A</v>
      </c>
      <c r="N717" s="376" t="str">
        <f>CS_PID!N717/VLOOKUP($B717,표2[#ALL],2)/HLOOKUP($A717,표1[#ALL],row(),false)</f>
        <v>#N/A</v>
      </c>
      <c r="O717" s="376" t="str">
        <f>CS_PID!O717/VLOOKUP($B717,표2[#ALL],2)/HLOOKUP($A717,표1[#ALL],row(),false)</f>
        <v>#N/A</v>
      </c>
      <c r="P717" s="376" t="str">
        <f>CS_PID!P717/VLOOKUP($B717,표2[#ALL],2)/HLOOKUP($A717,표1[#ALL],row(),false)</f>
        <v>#N/A</v>
      </c>
      <c r="Q717" s="376" t="str">
        <f>CS_PID!Q717/VLOOKUP($B717,표2[#ALL],2)/HLOOKUP($A717,표1[#ALL],row(),false)</f>
        <v>#N/A</v>
      </c>
      <c r="R717" s="376" t="str">
        <f>CS_PID!R717/VLOOKUP($B717,표2[#ALL],2)/HLOOKUP($A717,표1[#ALL],row(),false)</f>
        <v>#N/A</v>
      </c>
      <c r="S717" s="376" t="str">
        <f>CS_PID!S717/VLOOKUP($B717,표2[#ALL],2)/HLOOKUP($A717,표1[#ALL],row(),false)</f>
        <v>#N/A</v>
      </c>
      <c r="T717" s="376" t="str">
        <f>CS_PID!T717/VLOOKUP($B717,표2[#ALL],2)/HLOOKUP($A717,표1[#ALL],row(),false)</f>
        <v>#N/A</v>
      </c>
      <c r="U717" s="376" t="str">
        <f>CS_PID!U717/VLOOKUP($B717,표2[#ALL],2)/HLOOKUP($A717,표1[#ALL],row(),false)</f>
        <v>#N/A</v>
      </c>
      <c r="V717" s="376" t="str">
        <f>CS_PID!V717/VLOOKUP($B717,표2[#ALL],2)/HLOOKUP($A717,표1[#ALL],row(),false)</f>
        <v>#N/A</v>
      </c>
      <c r="W717" s="376" t="str">
        <f>CS_PID!W717/VLOOKUP($B717,표2[#ALL],2)/HLOOKUP($A717,표1[#ALL],row(),false)</f>
        <v>#N/A</v>
      </c>
      <c r="X717" s="376" t="str">
        <f>CS_PID!X717/VLOOKUP($B717,표2[#ALL],2)/HLOOKUP($A717,표1[#ALL],row(),false)</f>
        <v>#N/A</v>
      </c>
      <c r="Y717" s="376" t="str">
        <f>CS_PID!Y717/VLOOKUP($B717,표2[#ALL],2)/HLOOKUP($A717,표1[#ALL],row(),false)</f>
        <v>#N/A</v>
      </c>
      <c r="Z717" s="376" t="str">
        <f>CS_PID!Z717/VLOOKUP($B717,표2[#ALL],2)/HLOOKUP($A717,표1[#ALL],row(),false)</f>
        <v>#N/A</v>
      </c>
      <c r="AA717" s="376" t="str">
        <f>CS_PID!AA717/VLOOKUP($B717,표2[#ALL],2)/HLOOKUP($A717,표1[#ALL],row(),false)</f>
        <v>#N/A</v>
      </c>
      <c r="AB717" s="376" t="str">
        <f>CS_PID!AB717/VLOOKUP($B717,표2[#ALL],2)/HLOOKUP($A717,표1[#ALL],row(),false)</f>
        <v>#N/A</v>
      </c>
      <c r="AC717" s="376" t="str">
        <f>CS_PID!AC717/VLOOKUP($B717,표2[#ALL],2)/HLOOKUP($A717,표1[#ALL],row(),false)</f>
        <v>#N/A</v>
      </c>
      <c r="AD717" s="376" t="str">
        <f>CS_PID!AD717/VLOOKUP($B717,표2[#ALL],2)/HLOOKUP($A717,표1[#ALL],row(),false)</f>
        <v>#N/A</v>
      </c>
      <c r="AE717" s="376" t="str">
        <f>CS_PID!AE717/VLOOKUP($B717,표2[#ALL],2)/HLOOKUP($A717,표1[#ALL],row(),false)</f>
        <v>#N/A</v>
      </c>
      <c r="AF717" s="376" t="str">
        <f>CS_PID!AF717/VLOOKUP($B717,표2[#ALL],2)/HLOOKUP($A717,표1[#ALL],row(),false)</f>
        <v>#N/A</v>
      </c>
      <c r="AG717" s="376" t="str">
        <f>CS_PID!AG717/VLOOKUP($B717,표2[#ALL],2)/HLOOKUP($A717,표1[#ALL],row(),false)</f>
        <v>#N/A</v>
      </c>
      <c r="AH717" s="376" t="str">
        <f>CS_PID!AH717/VLOOKUP($B717,표2[#ALL],2)/HLOOKUP($A717,표1[#ALL],row(),false)</f>
        <v>#N/A</v>
      </c>
      <c r="AI717" s="376" t="str">
        <f>CS_PID!AI717/VLOOKUP($B717,표2[#ALL],2)/HLOOKUP($A717,표1[#ALL],row(),false)</f>
        <v>#N/A</v>
      </c>
      <c r="AJ717" s="376" t="str">
        <f>CS_PID!AJ717/VLOOKUP($B717,표2[#ALL],2)/HLOOKUP($A717,표1[#ALL],row(),false)</f>
        <v>#N/A</v>
      </c>
      <c r="AK717" s="376" t="str">
        <f>CS_PID!AK717/VLOOKUP($B717,표2[#ALL],2)/HLOOKUP($A717,표1[#ALL],row(),false)</f>
        <v>#N/A</v>
      </c>
      <c r="AL717" s="376" t="str">
        <f>CS_PID!AL717/VLOOKUP($B717,표2[#ALL],2)/HLOOKUP($A717,표1[#ALL],row(),false)</f>
        <v>#N/A</v>
      </c>
      <c r="AM717" s="376" t="str">
        <f>CS_PID!AM717/VLOOKUP($B717,표2[#ALL],2)/HLOOKUP($A717,표1[#ALL],row(),false)</f>
        <v>#N/A</v>
      </c>
      <c r="AN717" s="376" t="str">
        <f>CS_PID!AN717/VLOOKUP($B717,표2[#ALL],2)/HLOOKUP($A717,표1[#ALL],row(),false)</f>
        <v>#N/A</v>
      </c>
      <c r="AO717" s="376" t="str">
        <f>CS_PID!AO717/VLOOKUP($B717,표2[#ALL],2)/HLOOKUP($A717,표1[#ALL],row(),false)</f>
        <v>#N/A</v>
      </c>
      <c r="AP717" s="376" t="str">
        <f>CS_PID!AP717/VLOOKUP($B717,표2[#ALL],2)/HLOOKUP($A717,표1[#ALL],row(),false)</f>
        <v>#N/A</v>
      </c>
      <c r="AQ717" s="376" t="str">
        <f>CS_PID!AQ717/VLOOKUP($B717,표2[#ALL],2)/HLOOKUP($A717,표1[#ALL],row(),false)</f>
        <v>#N/A</v>
      </c>
      <c r="AR717" s="376" t="str">
        <f>CS_PID!AR717/VLOOKUP($B717,표2[#ALL],2)/HLOOKUP($A717,표1[#ALL],row(),false)</f>
        <v>#N/A</v>
      </c>
      <c r="AS717" s="377" t="str">
        <f>CS_PID!AS717/VLOOKUP($B717,표2[#ALL],2)/HLOOKUP($A717,표1[#ALL],row(),false)</f>
        <v>#N/A</v>
      </c>
    </row>
    <row r="718">
      <c r="A718" s="370"/>
      <c r="B718" s="371"/>
      <c r="C718" s="372" t="str">
        <f>CS_PID!C718/VLOOKUP($B718,표2[#ALL],2)</f>
        <v>#N/A</v>
      </c>
      <c r="D718" s="372" t="str">
        <f>CS_PID!D718/VLOOKUP($B718,표2[#ALL],2)</f>
        <v>#N/A</v>
      </c>
      <c r="E718" s="372" t="str">
        <f>CS_PID!E718/VLOOKUP($B718,표2[#ALL],2)</f>
        <v>#N/A</v>
      </c>
      <c r="F718" s="372" t="str">
        <f>CS_PID!F718/VLOOKUP($B718,표2[#ALL],2)</f>
        <v>#N/A</v>
      </c>
      <c r="G718" s="372" t="str">
        <f>CS_PID!G718/VLOOKUP($B718,표2[#ALL],2)</f>
        <v>#N/A</v>
      </c>
      <c r="H718" s="372" t="str">
        <f>CS_PID!H718/VLOOKUP($B718,표2[#ALL],2)/HLOOKUP($A718,표1[#ALL],row(),false)</f>
        <v>#N/A</v>
      </c>
      <c r="I718" s="372" t="str">
        <f>CS_PID!I718/VLOOKUP($B718,표2[#ALL],2)/HLOOKUP($A718,표1[#ALL],row(),false)</f>
        <v>#N/A</v>
      </c>
      <c r="J718" s="372" t="str">
        <f>CS_PID!J718/VLOOKUP($B718,표2[#ALL],2)/HLOOKUP($A718,표1[#ALL],row(),false)</f>
        <v>#N/A</v>
      </c>
      <c r="K718" s="372" t="str">
        <f>CS_PID!K718/VLOOKUP($B718,표2[#ALL],2)/HLOOKUP($A718,표1[#ALL],row(),false)</f>
        <v>#N/A</v>
      </c>
      <c r="L718" s="372" t="str">
        <f>CS_PID!L718/VLOOKUP($B718,표2[#ALL],2)/HLOOKUP($A718,표1[#ALL],row(),false)</f>
        <v>#N/A</v>
      </c>
      <c r="M718" s="372" t="str">
        <f>CS_PID!M718/VLOOKUP($B718,표2[#ALL],2)/HLOOKUP($A718,표1[#ALL],row(),false)</f>
        <v>#N/A</v>
      </c>
      <c r="N718" s="372" t="str">
        <f>CS_PID!N718/VLOOKUP($B718,표2[#ALL],2)/HLOOKUP($A718,표1[#ALL],row(),false)</f>
        <v>#N/A</v>
      </c>
      <c r="O718" s="372" t="str">
        <f>CS_PID!O718/VLOOKUP($B718,표2[#ALL],2)/HLOOKUP($A718,표1[#ALL],row(),false)</f>
        <v>#N/A</v>
      </c>
      <c r="P718" s="372" t="str">
        <f>CS_PID!P718/VLOOKUP($B718,표2[#ALL],2)/HLOOKUP($A718,표1[#ALL],row(),false)</f>
        <v>#N/A</v>
      </c>
      <c r="Q718" s="372" t="str">
        <f>CS_PID!Q718/VLOOKUP($B718,표2[#ALL],2)/HLOOKUP($A718,표1[#ALL],row(),false)</f>
        <v>#N/A</v>
      </c>
      <c r="R718" s="372" t="str">
        <f>CS_PID!R718/VLOOKUP($B718,표2[#ALL],2)/HLOOKUP($A718,표1[#ALL],row(),false)</f>
        <v>#N/A</v>
      </c>
      <c r="S718" s="372" t="str">
        <f>CS_PID!S718/VLOOKUP($B718,표2[#ALL],2)/HLOOKUP($A718,표1[#ALL],row(),false)</f>
        <v>#N/A</v>
      </c>
      <c r="T718" s="372" t="str">
        <f>CS_PID!T718/VLOOKUP($B718,표2[#ALL],2)/HLOOKUP($A718,표1[#ALL],row(),false)</f>
        <v>#N/A</v>
      </c>
      <c r="U718" s="372" t="str">
        <f>CS_PID!U718/VLOOKUP($B718,표2[#ALL],2)/HLOOKUP($A718,표1[#ALL],row(),false)</f>
        <v>#N/A</v>
      </c>
      <c r="V718" s="372" t="str">
        <f>CS_PID!V718/VLOOKUP($B718,표2[#ALL],2)/HLOOKUP($A718,표1[#ALL],row(),false)</f>
        <v>#N/A</v>
      </c>
      <c r="W718" s="372" t="str">
        <f>CS_PID!W718/VLOOKUP($B718,표2[#ALL],2)/HLOOKUP($A718,표1[#ALL],row(),false)</f>
        <v>#N/A</v>
      </c>
      <c r="X718" s="372" t="str">
        <f>CS_PID!X718/VLOOKUP($B718,표2[#ALL],2)/HLOOKUP($A718,표1[#ALL],row(),false)</f>
        <v>#N/A</v>
      </c>
      <c r="Y718" s="372" t="str">
        <f>CS_PID!Y718/VLOOKUP($B718,표2[#ALL],2)/HLOOKUP($A718,표1[#ALL],row(),false)</f>
        <v>#N/A</v>
      </c>
      <c r="Z718" s="372" t="str">
        <f>CS_PID!Z718/VLOOKUP($B718,표2[#ALL],2)/HLOOKUP($A718,표1[#ALL],row(),false)</f>
        <v>#N/A</v>
      </c>
      <c r="AA718" s="372" t="str">
        <f>CS_PID!AA718/VLOOKUP($B718,표2[#ALL],2)/HLOOKUP($A718,표1[#ALL],row(),false)</f>
        <v>#N/A</v>
      </c>
      <c r="AB718" s="372" t="str">
        <f>CS_PID!AB718/VLOOKUP($B718,표2[#ALL],2)/HLOOKUP($A718,표1[#ALL],row(),false)</f>
        <v>#N/A</v>
      </c>
      <c r="AC718" s="372" t="str">
        <f>CS_PID!AC718/VLOOKUP($B718,표2[#ALL],2)/HLOOKUP($A718,표1[#ALL],row(),false)</f>
        <v>#N/A</v>
      </c>
      <c r="AD718" s="372" t="str">
        <f>CS_PID!AD718/VLOOKUP($B718,표2[#ALL],2)/HLOOKUP($A718,표1[#ALL],row(),false)</f>
        <v>#N/A</v>
      </c>
      <c r="AE718" s="372" t="str">
        <f>CS_PID!AE718/VLOOKUP($B718,표2[#ALL],2)/HLOOKUP($A718,표1[#ALL],row(),false)</f>
        <v>#N/A</v>
      </c>
      <c r="AF718" s="372" t="str">
        <f>CS_PID!AF718/VLOOKUP($B718,표2[#ALL],2)/HLOOKUP($A718,표1[#ALL],row(),false)</f>
        <v>#N/A</v>
      </c>
      <c r="AG718" s="372" t="str">
        <f>CS_PID!AG718/VLOOKUP($B718,표2[#ALL],2)/HLOOKUP($A718,표1[#ALL],row(),false)</f>
        <v>#N/A</v>
      </c>
      <c r="AH718" s="372" t="str">
        <f>CS_PID!AH718/VLOOKUP($B718,표2[#ALL],2)/HLOOKUP($A718,표1[#ALL],row(),false)</f>
        <v>#N/A</v>
      </c>
      <c r="AI718" s="372" t="str">
        <f>CS_PID!AI718/VLOOKUP($B718,표2[#ALL],2)/HLOOKUP($A718,표1[#ALL],row(),false)</f>
        <v>#N/A</v>
      </c>
      <c r="AJ718" s="372" t="str">
        <f>CS_PID!AJ718/VLOOKUP($B718,표2[#ALL],2)/HLOOKUP($A718,표1[#ALL],row(),false)</f>
        <v>#N/A</v>
      </c>
      <c r="AK718" s="372" t="str">
        <f>CS_PID!AK718/VLOOKUP($B718,표2[#ALL],2)/HLOOKUP($A718,표1[#ALL],row(),false)</f>
        <v>#N/A</v>
      </c>
      <c r="AL718" s="372" t="str">
        <f>CS_PID!AL718/VLOOKUP($B718,표2[#ALL],2)/HLOOKUP($A718,표1[#ALL],row(),false)</f>
        <v>#N/A</v>
      </c>
      <c r="AM718" s="372" t="str">
        <f>CS_PID!AM718/VLOOKUP($B718,표2[#ALL],2)/HLOOKUP($A718,표1[#ALL],row(),false)</f>
        <v>#N/A</v>
      </c>
      <c r="AN718" s="372" t="str">
        <f>CS_PID!AN718/VLOOKUP($B718,표2[#ALL],2)/HLOOKUP($A718,표1[#ALL],row(),false)</f>
        <v>#N/A</v>
      </c>
      <c r="AO718" s="372" t="str">
        <f>CS_PID!AO718/VLOOKUP($B718,표2[#ALL],2)/HLOOKUP($A718,표1[#ALL],row(),false)</f>
        <v>#N/A</v>
      </c>
      <c r="AP718" s="372" t="str">
        <f>CS_PID!AP718/VLOOKUP($B718,표2[#ALL],2)/HLOOKUP($A718,표1[#ALL],row(),false)</f>
        <v>#N/A</v>
      </c>
      <c r="AQ718" s="372" t="str">
        <f>CS_PID!AQ718/VLOOKUP($B718,표2[#ALL],2)/HLOOKUP($A718,표1[#ALL],row(),false)</f>
        <v>#N/A</v>
      </c>
      <c r="AR718" s="372" t="str">
        <f>CS_PID!AR718/VLOOKUP($B718,표2[#ALL],2)/HLOOKUP($A718,표1[#ALL],row(),false)</f>
        <v>#N/A</v>
      </c>
      <c r="AS718" s="373" t="str">
        <f>CS_PID!AS718/VLOOKUP($B718,표2[#ALL],2)/HLOOKUP($A718,표1[#ALL],row(),false)</f>
        <v>#N/A</v>
      </c>
    </row>
    <row r="719">
      <c r="A719" s="374"/>
      <c r="B719" s="375"/>
      <c r="C719" s="376" t="str">
        <f>CS_PID!C719/VLOOKUP($B719,표2[#ALL],2)</f>
        <v>#N/A</v>
      </c>
      <c r="D719" s="376" t="str">
        <f>CS_PID!D719/VLOOKUP($B719,표2[#ALL],2)</f>
        <v>#N/A</v>
      </c>
      <c r="E719" s="376" t="str">
        <f>CS_PID!E719/VLOOKUP($B719,표2[#ALL],2)</f>
        <v>#N/A</v>
      </c>
      <c r="F719" s="376" t="str">
        <f>CS_PID!F719/VLOOKUP($B719,표2[#ALL],2)</f>
        <v>#N/A</v>
      </c>
      <c r="G719" s="376" t="str">
        <f>CS_PID!G719/VLOOKUP($B719,표2[#ALL],2)</f>
        <v>#N/A</v>
      </c>
      <c r="H719" s="376" t="str">
        <f>CS_PID!H719/VLOOKUP($B719,표2[#ALL],2)/HLOOKUP($A719,표1[#ALL],row(),false)</f>
        <v>#N/A</v>
      </c>
      <c r="I719" s="376" t="str">
        <f>CS_PID!I719/VLOOKUP($B719,표2[#ALL],2)/HLOOKUP($A719,표1[#ALL],row(),false)</f>
        <v>#N/A</v>
      </c>
      <c r="J719" s="376" t="str">
        <f>CS_PID!J719/VLOOKUP($B719,표2[#ALL],2)/HLOOKUP($A719,표1[#ALL],row(),false)</f>
        <v>#N/A</v>
      </c>
      <c r="K719" s="376" t="str">
        <f>CS_PID!K719/VLOOKUP($B719,표2[#ALL],2)/HLOOKUP($A719,표1[#ALL],row(),false)</f>
        <v>#N/A</v>
      </c>
      <c r="L719" s="376" t="str">
        <f>CS_PID!L719/VLOOKUP($B719,표2[#ALL],2)/HLOOKUP($A719,표1[#ALL],row(),false)</f>
        <v>#N/A</v>
      </c>
      <c r="M719" s="376" t="str">
        <f>CS_PID!M719/VLOOKUP($B719,표2[#ALL],2)/HLOOKUP($A719,표1[#ALL],row(),false)</f>
        <v>#N/A</v>
      </c>
      <c r="N719" s="376" t="str">
        <f>CS_PID!N719/VLOOKUP($B719,표2[#ALL],2)/HLOOKUP($A719,표1[#ALL],row(),false)</f>
        <v>#N/A</v>
      </c>
      <c r="O719" s="376" t="str">
        <f>CS_PID!O719/VLOOKUP($B719,표2[#ALL],2)/HLOOKUP($A719,표1[#ALL],row(),false)</f>
        <v>#N/A</v>
      </c>
      <c r="P719" s="376" t="str">
        <f>CS_PID!P719/VLOOKUP($B719,표2[#ALL],2)/HLOOKUP($A719,표1[#ALL],row(),false)</f>
        <v>#N/A</v>
      </c>
      <c r="Q719" s="376" t="str">
        <f>CS_PID!Q719/VLOOKUP($B719,표2[#ALL],2)/HLOOKUP($A719,표1[#ALL],row(),false)</f>
        <v>#N/A</v>
      </c>
      <c r="R719" s="376" t="str">
        <f>CS_PID!R719/VLOOKUP($B719,표2[#ALL],2)/HLOOKUP($A719,표1[#ALL],row(),false)</f>
        <v>#N/A</v>
      </c>
      <c r="S719" s="376" t="str">
        <f>CS_PID!S719/VLOOKUP($B719,표2[#ALL],2)/HLOOKUP($A719,표1[#ALL],row(),false)</f>
        <v>#N/A</v>
      </c>
      <c r="T719" s="376" t="str">
        <f>CS_PID!T719/VLOOKUP($B719,표2[#ALL],2)/HLOOKUP($A719,표1[#ALL],row(),false)</f>
        <v>#N/A</v>
      </c>
      <c r="U719" s="376" t="str">
        <f>CS_PID!U719/VLOOKUP($B719,표2[#ALL],2)/HLOOKUP($A719,표1[#ALL],row(),false)</f>
        <v>#N/A</v>
      </c>
      <c r="V719" s="376" t="str">
        <f>CS_PID!V719/VLOOKUP($B719,표2[#ALL],2)/HLOOKUP($A719,표1[#ALL],row(),false)</f>
        <v>#N/A</v>
      </c>
      <c r="W719" s="376" t="str">
        <f>CS_PID!W719/VLOOKUP($B719,표2[#ALL],2)/HLOOKUP($A719,표1[#ALL],row(),false)</f>
        <v>#N/A</v>
      </c>
      <c r="X719" s="376" t="str">
        <f>CS_PID!X719/VLOOKUP($B719,표2[#ALL],2)/HLOOKUP($A719,표1[#ALL],row(),false)</f>
        <v>#N/A</v>
      </c>
      <c r="Y719" s="376" t="str">
        <f>CS_PID!Y719/VLOOKUP($B719,표2[#ALL],2)/HLOOKUP($A719,표1[#ALL],row(),false)</f>
        <v>#N/A</v>
      </c>
      <c r="Z719" s="376" t="str">
        <f>CS_PID!Z719/VLOOKUP($B719,표2[#ALL],2)/HLOOKUP($A719,표1[#ALL],row(),false)</f>
        <v>#N/A</v>
      </c>
      <c r="AA719" s="376" t="str">
        <f>CS_PID!AA719/VLOOKUP($B719,표2[#ALL],2)/HLOOKUP($A719,표1[#ALL],row(),false)</f>
        <v>#N/A</v>
      </c>
      <c r="AB719" s="376" t="str">
        <f>CS_PID!AB719/VLOOKUP($B719,표2[#ALL],2)/HLOOKUP($A719,표1[#ALL],row(),false)</f>
        <v>#N/A</v>
      </c>
      <c r="AC719" s="376" t="str">
        <f>CS_PID!AC719/VLOOKUP($B719,표2[#ALL],2)/HLOOKUP($A719,표1[#ALL],row(),false)</f>
        <v>#N/A</v>
      </c>
      <c r="AD719" s="376" t="str">
        <f>CS_PID!AD719/VLOOKUP($B719,표2[#ALL],2)/HLOOKUP($A719,표1[#ALL],row(),false)</f>
        <v>#N/A</v>
      </c>
      <c r="AE719" s="376" t="str">
        <f>CS_PID!AE719/VLOOKUP($B719,표2[#ALL],2)/HLOOKUP($A719,표1[#ALL],row(),false)</f>
        <v>#N/A</v>
      </c>
      <c r="AF719" s="376" t="str">
        <f>CS_PID!AF719/VLOOKUP($B719,표2[#ALL],2)/HLOOKUP($A719,표1[#ALL],row(),false)</f>
        <v>#N/A</v>
      </c>
      <c r="AG719" s="376" t="str">
        <f>CS_PID!AG719/VLOOKUP($B719,표2[#ALL],2)/HLOOKUP($A719,표1[#ALL],row(),false)</f>
        <v>#N/A</v>
      </c>
      <c r="AH719" s="376" t="str">
        <f>CS_PID!AH719/VLOOKUP($B719,표2[#ALL],2)/HLOOKUP($A719,표1[#ALL],row(),false)</f>
        <v>#N/A</v>
      </c>
      <c r="AI719" s="376" t="str">
        <f>CS_PID!AI719/VLOOKUP($B719,표2[#ALL],2)/HLOOKUP($A719,표1[#ALL],row(),false)</f>
        <v>#N/A</v>
      </c>
      <c r="AJ719" s="376" t="str">
        <f>CS_PID!AJ719/VLOOKUP($B719,표2[#ALL],2)/HLOOKUP($A719,표1[#ALL],row(),false)</f>
        <v>#N/A</v>
      </c>
      <c r="AK719" s="376" t="str">
        <f>CS_PID!AK719/VLOOKUP($B719,표2[#ALL],2)/HLOOKUP($A719,표1[#ALL],row(),false)</f>
        <v>#N/A</v>
      </c>
      <c r="AL719" s="376" t="str">
        <f>CS_PID!AL719/VLOOKUP($B719,표2[#ALL],2)/HLOOKUP($A719,표1[#ALL],row(),false)</f>
        <v>#N/A</v>
      </c>
      <c r="AM719" s="376" t="str">
        <f>CS_PID!AM719/VLOOKUP($B719,표2[#ALL],2)/HLOOKUP($A719,표1[#ALL],row(),false)</f>
        <v>#N/A</v>
      </c>
      <c r="AN719" s="376" t="str">
        <f>CS_PID!AN719/VLOOKUP($B719,표2[#ALL],2)/HLOOKUP($A719,표1[#ALL],row(),false)</f>
        <v>#N/A</v>
      </c>
      <c r="AO719" s="376" t="str">
        <f>CS_PID!AO719/VLOOKUP($B719,표2[#ALL],2)/HLOOKUP($A719,표1[#ALL],row(),false)</f>
        <v>#N/A</v>
      </c>
      <c r="AP719" s="376" t="str">
        <f>CS_PID!AP719/VLOOKUP($B719,표2[#ALL],2)/HLOOKUP($A719,표1[#ALL],row(),false)</f>
        <v>#N/A</v>
      </c>
      <c r="AQ719" s="376" t="str">
        <f>CS_PID!AQ719/VLOOKUP($B719,표2[#ALL],2)/HLOOKUP($A719,표1[#ALL],row(),false)</f>
        <v>#N/A</v>
      </c>
      <c r="AR719" s="376" t="str">
        <f>CS_PID!AR719/VLOOKUP($B719,표2[#ALL],2)/HLOOKUP($A719,표1[#ALL],row(),false)</f>
        <v>#N/A</v>
      </c>
      <c r="AS719" s="377" t="str">
        <f>CS_PID!AS719/VLOOKUP($B719,표2[#ALL],2)/HLOOKUP($A719,표1[#ALL],row(),false)</f>
        <v>#N/A</v>
      </c>
    </row>
    <row r="720">
      <c r="A720" s="370"/>
      <c r="B720" s="371"/>
      <c r="C720" s="372" t="str">
        <f>CS_PID!C720/VLOOKUP($B720,표2[#ALL],2)</f>
        <v>#N/A</v>
      </c>
      <c r="D720" s="372" t="str">
        <f>CS_PID!D720/VLOOKUP($B720,표2[#ALL],2)</f>
        <v>#N/A</v>
      </c>
      <c r="E720" s="372" t="str">
        <f>CS_PID!E720/VLOOKUP($B720,표2[#ALL],2)</f>
        <v>#N/A</v>
      </c>
      <c r="F720" s="372" t="str">
        <f>CS_PID!F720/VLOOKUP($B720,표2[#ALL],2)</f>
        <v>#N/A</v>
      </c>
      <c r="G720" s="372" t="str">
        <f>CS_PID!G720/VLOOKUP($B720,표2[#ALL],2)</f>
        <v>#N/A</v>
      </c>
      <c r="H720" s="372" t="str">
        <f>CS_PID!H720/VLOOKUP($B720,표2[#ALL],2)/HLOOKUP($A720,표1[#ALL],row(),false)</f>
        <v>#N/A</v>
      </c>
      <c r="I720" s="372" t="str">
        <f>CS_PID!I720/VLOOKUP($B720,표2[#ALL],2)/HLOOKUP($A720,표1[#ALL],row(),false)</f>
        <v>#N/A</v>
      </c>
      <c r="J720" s="372" t="str">
        <f>CS_PID!J720/VLOOKUP($B720,표2[#ALL],2)/HLOOKUP($A720,표1[#ALL],row(),false)</f>
        <v>#N/A</v>
      </c>
      <c r="K720" s="372" t="str">
        <f>CS_PID!K720/VLOOKUP($B720,표2[#ALL],2)/HLOOKUP($A720,표1[#ALL],row(),false)</f>
        <v>#N/A</v>
      </c>
      <c r="L720" s="372" t="str">
        <f>CS_PID!L720/VLOOKUP($B720,표2[#ALL],2)/HLOOKUP($A720,표1[#ALL],row(),false)</f>
        <v>#N/A</v>
      </c>
      <c r="M720" s="372" t="str">
        <f>CS_PID!M720/VLOOKUP($B720,표2[#ALL],2)/HLOOKUP($A720,표1[#ALL],row(),false)</f>
        <v>#N/A</v>
      </c>
      <c r="N720" s="372" t="str">
        <f>CS_PID!N720/VLOOKUP($B720,표2[#ALL],2)/HLOOKUP($A720,표1[#ALL],row(),false)</f>
        <v>#N/A</v>
      </c>
      <c r="O720" s="372" t="str">
        <f>CS_PID!O720/VLOOKUP($B720,표2[#ALL],2)/HLOOKUP($A720,표1[#ALL],row(),false)</f>
        <v>#N/A</v>
      </c>
      <c r="P720" s="372" t="str">
        <f>CS_PID!P720/VLOOKUP($B720,표2[#ALL],2)/HLOOKUP($A720,표1[#ALL],row(),false)</f>
        <v>#N/A</v>
      </c>
      <c r="Q720" s="372" t="str">
        <f>CS_PID!Q720/VLOOKUP($B720,표2[#ALL],2)/HLOOKUP($A720,표1[#ALL],row(),false)</f>
        <v>#N/A</v>
      </c>
      <c r="R720" s="372" t="str">
        <f>CS_PID!R720/VLOOKUP($B720,표2[#ALL],2)/HLOOKUP($A720,표1[#ALL],row(),false)</f>
        <v>#N/A</v>
      </c>
      <c r="S720" s="372" t="str">
        <f>CS_PID!S720/VLOOKUP($B720,표2[#ALL],2)/HLOOKUP($A720,표1[#ALL],row(),false)</f>
        <v>#N/A</v>
      </c>
      <c r="T720" s="372" t="str">
        <f>CS_PID!T720/VLOOKUP($B720,표2[#ALL],2)/HLOOKUP($A720,표1[#ALL],row(),false)</f>
        <v>#N/A</v>
      </c>
      <c r="U720" s="372" t="str">
        <f>CS_PID!U720/VLOOKUP($B720,표2[#ALL],2)/HLOOKUP($A720,표1[#ALL],row(),false)</f>
        <v>#N/A</v>
      </c>
      <c r="V720" s="372" t="str">
        <f>CS_PID!V720/VLOOKUP($B720,표2[#ALL],2)/HLOOKUP($A720,표1[#ALL],row(),false)</f>
        <v>#N/A</v>
      </c>
      <c r="W720" s="372" t="str">
        <f>CS_PID!W720/VLOOKUP($B720,표2[#ALL],2)/HLOOKUP($A720,표1[#ALL],row(),false)</f>
        <v>#N/A</v>
      </c>
      <c r="X720" s="372" t="str">
        <f>CS_PID!X720/VLOOKUP($B720,표2[#ALL],2)/HLOOKUP($A720,표1[#ALL],row(),false)</f>
        <v>#N/A</v>
      </c>
      <c r="Y720" s="372" t="str">
        <f>CS_PID!Y720/VLOOKUP($B720,표2[#ALL],2)/HLOOKUP($A720,표1[#ALL],row(),false)</f>
        <v>#N/A</v>
      </c>
      <c r="Z720" s="372" t="str">
        <f>CS_PID!Z720/VLOOKUP($B720,표2[#ALL],2)/HLOOKUP($A720,표1[#ALL],row(),false)</f>
        <v>#N/A</v>
      </c>
      <c r="AA720" s="372" t="str">
        <f>CS_PID!AA720/VLOOKUP($B720,표2[#ALL],2)/HLOOKUP($A720,표1[#ALL],row(),false)</f>
        <v>#N/A</v>
      </c>
      <c r="AB720" s="372" t="str">
        <f>CS_PID!AB720/VLOOKUP($B720,표2[#ALL],2)/HLOOKUP($A720,표1[#ALL],row(),false)</f>
        <v>#N/A</v>
      </c>
      <c r="AC720" s="372" t="str">
        <f>CS_PID!AC720/VLOOKUP($B720,표2[#ALL],2)/HLOOKUP($A720,표1[#ALL],row(),false)</f>
        <v>#N/A</v>
      </c>
      <c r="AD720" s="372" t="str">
        <f>CS_PID!AD720/VLOOKUP($B720,표2[#ALL],2)/HLOOKUP($A720,표1[#ALL],row(),false)</f>
        <v>#N/A</v>
      </c>
      <c r="AE720" s="372" t="str">
        <f>CS_PID!AE720/VLOOKUP($B720,표2[#ALL],2)/HLOOKUP($A720,표1[#ALL],row(),false)</f>
        <v>#N/A</v>
      </c>
      <c r="AF720" s="372" t="str">
        <f>CS_PID!AF720/VLOOKUP($B720,표2[#ALL],2)/HLOOKUP($A720,표1[#ALL],row(),false)</f>
        <v>#N/A</v>
      </c>
      <c r="AG720" s="372" t="str">
        <f>CS_PID!AG720/VLOOKUP($B720,표2[#ALL],2)/HLOOKUP($A720,표1[#ALL],row(),false)</f>
        <v>#N/A</v>
      </c>
      <c r="AH720" s="372" t="str">
        <f>CS_PID!AH720/VLOOKUP($B720,표2[#ALL],2)/HLOOKUP($A720,표1[#ALL],row(),false)</f>
        <v>#N/A</v>
      </c>
      <c r="AI720" s="372" t="str">
        <f>CS_PID!AI720/VLOOKUP($B720,표2[#ALL],2)/HLOOKUP($A720,표1[#ALL],row(),false)</f>
        <v>#N/A</v>
      </c>
      <c r="AJ720" s="372" t="str">
        <f>CS_PID!AJ720/VLOOKUP($B720,표2[#ALL],2)/HLOOKUP($A720,표1[#ALL],row(),false)</f>
        <v>#N/A</v>
      </c>
      <c r="AK720" s="372" t="str">
        <f>CS_PID!AK720/VLOOKUP($B720,표2[#ALL],2)/HLOOKUP($A720,표1[#ALL],row(),false)</f>
        <v>#N/A</v>
      </c>
      <c r="AL720" s="372" t="str">
        <f>CS_PID!AL720/VLOOKUP($B720,표2[#ALL],2)/HLOOKUP($A720,표1[#ALL],row(),false)</f>
        <v>#N/A</v>
      </c>
      <c r="AM720" s="372" t="str">
        <f>CS_PID!AM720/VLOOKUP($B720,표2[#ALL],2)/HLOOKUP($A720,표1[#ALL],row(),false)</f>
        <v>#N/A</v>
      </c>
      <c r="AN720" s="372" t="str">
        <f>CS_PID!AN720/VLOOKUP($B720,표2[#ALL],2)/HLOOKUP($A720,표1[#ALL],row(),false)</f>
        <v>#N/A</v>
      </c>
      <c r="AO720" s="372" t="str">
        <f>CS_PID!AO720/VLOOKUP($B720,표2[#ALL],2)/HLOOKUP($A720,표1[#ALL],row(),false)</f>
        <v>#N/A</v>
      </c>
      <c r="AP720" s="372" t="str">
        <f>CS_PID!AP720/VLOOKUP($B720,표2[#ALL],2)/HLOOKUP($A720,표1[#ALL],row(),false)</f>
        <v>#N/A</v>
      </c>
      <c r="AQ720" s="372" t="str">
        <f>CS_PID!AQ720/VLOOKUP($B720,표2[#ALL],2)/HLOOKUP($A720,표1[#ALL],row(),false)</f>
        <v>#N/A</v>
      </c>
      <c r="AR720" s="372" t="str">
        <f>CS_PID!AR720/VLOOKUP($B720,표2[#ALL],2)/HLOOKUP($A720,표1[#ALL],row(),false)</f>
        <v>#N/A</v>
      </c>
      <c r="AS720" s="373" t="str">
        <f>CS_PID!AS720/VLOOKUP($B720,표2[#ALL],2)/HLOOKUP($A720,표1[#ALL],row(),false)</f>
        <v>#N/A</v>
      </c>
    </row>
    <row r="721">
      <c r="A721" s="374"/>
      <c r="B721" s="375"/>
      <c r="C721" s="376" t="str">
        <f>CS_PID!C721/VLOOKUP($B721,표2[#ALL],2)</f>
        <v>#N/A</v>
      </c>
      <c r="D721" s="376" t="str">
        <f>CS_PID!D721/VLOOKUP($B721,표2[#ALL],2)</f>
        <v>#N/A</v>
      </c>
      <c r="E721" s="376" t="str">
        <f>CS_PID!E721/VLOOKUP($B721,표2[#ALL],2)</f>
        <v>#N/A</v>
      </c>
      <c r="F721" s="376" t="str">
        <f>CS_PID!F721/VLOOKUP($B721,표2[#ALL],2)</f>
        <v>#N/A</v>
      </c>
      <c r="G721" s="376" t="str">
        <f>CS_PID!G721/VLOOKUP($B721,표2[#ALL],2)</f>
        <v>#N/A</v>
      </c>
      <c r="H721" s="376" t="str">
        <f>CS_PID!H721/VLOOKUP($B721,표2[#ALL],2)/HLOOKUP($A721,표1[#ALL],row(),false)</f>
        <v>#N/A</v>
      </c>
      <c r="I721" s="376" t="str">
        <f>CS_PID!I721/VLOOKUP($B721,표2[#ALL],2)/HLOOKUP($A721,표1[#ALL],row(),false)</f>
        <v>#N/A</v>
      </c>
      <c r="J721" s="376" t="str">
        <f>CS_PID!J721/VLOOKUP($B721,표2[#ALL],2)/HLOOKUP($A721,표1[#ALL],row(),false)</f>
        <v>#N/A</v>
      </c>
      <c r="K721" s="376" t="str">
        <f>CS_PID!K721/VLOOKUP($B721,표2[#ALL],2)/HLOOKUP($A721,표1[#ALL],row(),false)</f>
        <v>#N/A</v>
      </c>
      <c r="L721" s="376" t="str">
        <f>CS_PID!L721/VLOOKUP($B721,표2[#ALL],2)/HLOOKUP($A721,표1[#ALL],row(),false)</f>
        <v>#N/A</v>
      </c>
      <c r="M721" s="376" t="str">
        <f>CS_PID!M721/VLOOKUP($B721,표2[#ALL],2)/HLOOKUP($A721,표1[#ALL],row(),false)</f>
        <v>#N/A</v>
      </c>
      <c r="N721" s="376" t="str">
        <f>CS_PID!N721/VLOOKUP($B721,표2[#ALL],2)/HLOOKUP($A721,표1[#ALL],row(),false)</f>
        <v>#N/A</v>
      </c>
      <c r="O721" s="376" t="str">
        <f>CS_PID!O721/VLOOKUP($B721,표2[#ALL],2)/HLOOKUP($A721,표1[#ALL],row(),false)</f>
        <v>#N/A</v>
      </c>
      <c r="P721" s="376" t="str">
        <f>CS_PID!P721/VLOOKUP($B721,표2[#ALL],2)/HLOOKUP($A721,표1[#ALL],row(),false)</f>
        <v>#N/A</v>
      </c>
      <c r="Q721" s="376" t="str">
        <f>CS_PID!Q721/VLOOKUP($B721,표2[#ALL],2)/HLOOKUP($A721,표1[#ALL],row(),false)</f>
        <v>#N/A</v>
      </c>
      <c r="R721" s="376" t="str">
        <f>CS_PID!R721/VLOOKUP($B721,표2[#ALL],2)/HLOOKUP($A721,표1[#ALL],row(),false)</f>
        <v>#N/A</v>
      </c>
      <c r="S721" s="376" t="str">
        <f>CS_PID!S721/VLOOKUP($B721,표2[#ALL],2)/HLOOKUP($A721,표1[#ALL],row(),false)</f>
        <v>#N/A</v>
      </c>
      <c r="T721" s="376" t="str">
        <f>CS_PID!T721/VLOOKUP($B721,표2[#ALL],2)/HLOOKUP($A721,표1[#ALL],row(),false)</f>
        <v>#N/A</v>
      </c>
      <c r="U721" s="376" t="str">
        <f>CS_PID!U721/VLOOKUP($B721,표2[#ALL],2)/HLOOKUP($A721,표1[#ALL],row(),false)</f>
        <v>#N/A</v>
      </c>
      <c r="V721" s="376" t="str">
        <f>CS_PID!V721/VLOOKUP($B721,표2[#ALL],2)/HLOOKUP($A721,표1[#ALL],row(),false)</f>
        <v>#N/A</v>
      </c>
      <c r="W721" s="376" t="str">
        <f>CS_PID!W721/VLOOKUP($B721,표2[#ALL],2)/HLOOKUP($A721,표1[#ALL],row(),false)</f>
        <v>#N/A</v>
      </c>
      <c r="X721" s="376" t="str">
        <f>CS_PID!X721/VLOOKUP($B721,표2[#ALL],2)/HLOOKUP($A721,표1[#ALL],row(),false)</f>
        <v>#N/A</v>
      </c>
      <c r="Y721" s="376" t="str">
        <f>CS_PID!Y721/VLOOKUP($B721,표2[#ALL],2)/HLOOKUP($A721,표1[#ALL],row(),false)</f>
        <v>#N/A</v>
      </c>
      <c r="Z721" s="376" t="str">
        <f>CS_PID!Z721/VLOOKUP($B721,표2[#ALL],2)/HLOOKUP($A721,표1[#ALL],row(),false)</f>
        <v>#N/A</v>
      </c>
      <c r="AA721" s="376" t="str">
        <f>CS_PID!AA721/VLOOKUP($B721,표2[#ALL],2)/HLOOKUP($A721,표1[#ALL],row(),false)</f>
        <v>#N/A</v>
      </c>
      <c r="AB721" s="376" t="str">
        <f>CS_PID!AB721/VLOOKUP($B721,표2[#ALL],2)/HLOOKUP($A721,표1[#ALL],row(),false)</f>
        <v>#N/A</v>
      </c>
      <c r="AC721" s="376" t="str">
        <f>CS_PID!AC721/VLOOKUP($B721,표2[#ALL],2)/HLOOKUP($A721,표1[#ALL],row(),false)</f>
        <v>#N/A</v>
      </c>
      <c r="AD721" s="376" t="str">
        <f>CS_PID!AD721/VLOOKUP($B721,표2[#ALL],2)/HLOOKUP($A721,표1[#ALL],row(),false)</f>
        <v>#N/A</v>
      </c>
      <c r="AE721" s="376" t="str">
        <f>CS_PID!AE721/VLOOKUP($B721,표2[#ALL],2)/HLOOKUP($A721,표1[#ALL],row(),false)</f>
        <v>#N/A</v>
      </c>
      <c r="AF721" s="376" t="str">
        <f>CS_PID!AF721/VLOOKUP($B721,표2[#ALL],2)/HLOOKUP($A721,표1[#ALL],row(),false)</f>
        <v>#N/A</v>
      </c>
      <c r="AG721" s="376" t="str">
        <f>CS_PID!AG721/VLOOKUP($B721,표2[#ALL],2)/HLOOKUP($A721,표1[#ALL],row(),false)</f>
        <v>#N/A</v>
      </c>
      <c r="AH721" s="376" t="str">
        <f>CS_PID!AH721/VLOOKUP($B721,표2[#ALL],2)/HLOOKUP($A721,표1[#ALL],row(),false)</f>
        <v>#N/A</v>
      </c>
      <c r="AI721" s="376" t="str">
        <f>CS_PID!AI721/VLOOKUP($B721,표2[#ALL],2)/HLOOKUP($A721,표1[#ALL],row(),false)</f>
        <v>#N/A</v>
      </c>
      <c r="AJ721" s="376" t="str">
        <f>CS_PID!AJ721/VLOOKUP($B721,표2[#ALL],2)/HLOOKUP($A721,표1[#ALL],row(),false)</f>
        <v>#N/A</v>
      </c>
      <c r="AK721" s="376" t="str">
        <f>CS_PID!AK721/VLOOKUP($B721,표2[#ALL],2)/HLOOKUP($A721,표1[#ALL],row(),false)</f>
        <v>#N/A</v>
      </c>
      <c r="AL721" s="376" t="str">
        <f>CS_PID!AL721/VLOOKUP($B721,표2[#ALL],2)/HLOOKUP($A721,표1[#ALL],row(),false)</f>
        <v>#N/A</v>
      </c>
      <c r="AM721" s="376" t="str">
        <f>CS_PID!AM721/VLOOKUP($B721,표2[#ALL],2)/HLOOKUP($A721,표1[#ALL],row(),false)</f>
        <v>#N/A</v>
      </c>
      <c r="AN721" s="376" t="str">
        <f>CS_PID!AN721/VLOOKUP($B721,표2[#ALL],2)/HLOOKUP($A721,표1[#ALL],row(),false)</f>
        <v>#N/A</v>
      </c>
      <c r="AO721" s="376" t="str">
        <f>CS_PID!AO721/VLOOKUP($B721,표2[#ALL],2)/HLOOKUP($A721,표1[#ALL],row(),false)</f>
        <v>#N/A</v>
      </c>
      <c r="AP721" s="376" t="str">
        <f>CS_PID!AP721/VLOOKUP($B721,표2[#ALL],2)/HLOOKUP($A721,표1[#ALL],row(),false)</f>
        <v>#N/A</v>
      </c>
      <c r="AQ721" s="376" t="str">
        <f>CS_PID!AQ721/VLOOKUP($B721,표2[#ALL],2)/HLOOKUP($A721,표1[#ALL],row(),false)</f>
        <v>#N/A</v>
      </c>
      <c r="AR721" s="376" t="str">
        <f>CS_PID!AR721/VLOOKUP($B721,표2[#ALL],2)/HLOOKUP($A721,표1[#ALL],row(),false)</f>
        <v>#N/A</v>
      </c>
      <c r="AS721" s="377" t="str">
        <f>CS_PID!AS721/VLOOKUP($B721,표2[#ALL],2)/HLOOKUP($A721,표1[#ALL],row(),false)</f>
        <v>#N/A</v>
      </c>
    </row>
    <row r="722">
      <c r="A722" s="370"/>
      <c r="B722" s="371"/>
      <c r="C722" s="372" t="str">
        <f>CS_PID!C722/VLOOKUP($B722,표2[#ALL],2)</f>
        <v>#N/A</v>
      </c>
      <c r="D722" s="372" t="str">
        <f>CS_PID!D722/VLOOKUP($B722,표2[#ALL],2)</f>
        <v>#N/A</v>
      </c>
      <c r="E722" s="372" t="str">
        <f>CS_PID!E722/VLOOKUP($B722,표2[#ALL],2)</f>
        <v>#N/A</v>
      </c>
      <c r="F722" s="372" t="str">
        <f>CS_PID!F722/VLOOKUP($B722,표2[#ALL],2)</f>
        <v>#N/A</v>
      </c>
      <c r="G722" s="372" t="str">
        <f>CS_PID!G722/VLOOKUP($B722,표2[#ALL],2)</f>
        <v>#N/A</v>
      </c>
      <c r="H722" s="372" t="str">
        <f>CS_PID!H722/VLOOKUP($B722,표2[#ALL],2)/HLOOKUP($A722,표1[#ALL],row(),false)</f>
        <v>#N/A</v>
      </c>
      <c r="I722" s="372" t="str">
        <f>CS_PID!I722/VLOOKUP($B722,표2[#ALL],2)/HLOOKUP($A722,표1[#ALL],row(),false)</f>
        <v>#N/A</v>
      </c>
      <c r="J722" s="372" t="str">
        <f>CS_PID!J722/VLOOKUP($B722,표2[#ALL],2)/HLOOKUP($A722,표1[#ALL],row(),false)</f>
        <v>#N/A</v>
      </c>
      <c r="K722" s="372" t="str">
        <f>CS_PID!K722/VLOOKUP($B722,표2[#ALL],2)/HLOOKUP($A722,표1[#ALL],row(),false)</f>
        <v>#N/A</v>
      </c>
      <c r="L722" s="372" t="str">
        <f>CS_PID!L722/VLOOKUP($B722,표2[#ALL],2)/HLOOKUP($A722,표1[#ALL],row(),false)</f>
        <v>#N/A</v>
      </c>
      <c r="M722" s="372" t="str">
        <f>CS_PID!M722/VLOOKUP($B722,표2[#ALL],2)/HLOOKUP($A722,표1[#ALL],row(),false)</f>
        <v>#N/A</v>
      </c>
      <c r="N722" s="372" t="str">
        <f>CS_PID!N722/VLOOKUP($B722,표2[#ALL],2)/HLOOKUP($A722,표1[#ALL],row(),false)</f>
        <v>#N/A</v>
      </c>
      <c r="O722" s="372" t="str">
        <f>CS_PID!O722/VLOOKUP($B722,표2[#ALL],2)/HLOOKUP($A722,표1[#ALL],row(),false)</f>
        <v>#N/A</v>
      </c>
      <c r="P722" s="372" t="str">
        <f>CS_PID!P722/VLOOKUP($B722,표2[#ALL],2)/HLOOKUP($A722,표1[#ALL],row(),false)</f>
        <v>#N/A</v>
      </c>
      <c r="Q722" s="372" t="str">
        <f>CS_PID!Q722/VLOOKUP($B722,표2[#ALL],2)/HLOOKUP($A722,표1[#ALL],row(),false)</f>
        <v>#N/A</v>
      </c>
      <c r="R722" s="372" t="str">
        <f>CS_PID!R722/VLOOKUP($B722,표2[#ALL],2)/HLOOKUP($A722,표1[#ALL],row(),false)</f>
        <v>#N/A</v>
      </c>
      <c r="S722" s="372" t="str">
        <f>CS_PID!S722/VLOOKUP($B722,표2[#ALL],2)/HLOOKUP($A722,표1[#ALL],row(),false)</f>
        <v>#N/A</v>
      </c>
      <c r="T722" s="372" t="str">
        <f>CS_PID!T722/VLOOKUP($B722,표2[#ALL],2)/HLOOKUP($A722,표1[#ALL],row(),false)</f>
        <v>#N/A</v>
      </c>
      <c r="U722" s="372" t="str">
        <f>CS_PID!U722/VLOOKUP($B722,표2[#ALL],2)/HLOOKUP($A722,표1[#ALL],row(),false)</f>
        <v>#N/A</v>
      </c>
      <c r="V722" s="372" t="str">
        <f>CS_PID!V722/VLOOKUP($B722,표2[#ALL],2)/HLOOKUP($A722,표1[#ALL],row(),false)</f>
        <v>#N/A</v>
      </c>
      <c r="W722" s="372" t="str">
        <f>CS_PID!W722/VLOOKUP($B722,표2[#ALL],2)/HLOOKUP($A722,표1[#ALL],row(),false)</f>
        <v>#N/A</v>
      </c>
      <c r="X722" s="372" t="str">
        <f>CS_PID!X722/VLOOKUP($B722,표2[#ALL],2)/HLOOKUP($A722,표1[#ALL],row(),false)</f>
        <v>#N/A</v>
      </c>
      <c r="Y722" s="372" t="str">
        <f>CS_PID!Y722/VLOOKUP($B722,표2[#ALL],2)/HLOOKUP($A722,표1[#ALL],row(),false)</f>
        <v>#N/A</v>
      </c>
      <c r="Z722" s="372" t="str">
        <f>CS_PID!Z722/VLOOKUP($B722,표2[#ALL],2)/HLOOKUP($A722,표1[#ALL],row(),false)</f>
        <v>#N/A</v>
      </c>
      <c r="AA722" s="372" t="str">
        <f>CS_PID!AA722/VLOOKUP($B722,표2[#ALL],2)/HLOOKUP($A722,표1[#ALL],row(),false)</f>
        <v>#N/A</v>
      </c>
      <c r="AB722" s="372" t="str">
        <f>CS_PID!AB722/VLOOKUP($B722,표2[#ALL],2)/HLOOKUP($A722,표1[#ALL],row(),false)</f>
        <v>#N/A</v>
      </c>
      <c r="AC722" s="372" t="str">
        <f>CS_PID!AC722/VLOOKUP($B722,표2[#ALL],2)/HLOOKUP($A722,표1[#ALL],row(),false)</f>
        <v>#N/A</v>
      </c>
      <c r="AD722" s="372" t="str">
        <f>CS_PID!AD722/VLOOKUP($B722,표2[#ALL],2)/HLOOKUP($A722,표1[#ALL],row(),false)</f>
        <v>#N/A</v>
      </c>
      <c r="AE722" s="372" t="str">
        <f>CS_PID!AE722/VLOOKUP($B722,표2[#ALL],2)/HLOOKUP($A722,표1[#ALL],row(),false)</f>
        <v>#N/A</v>
      </c>
      <c r="AF722" s="372" t="str">
        <f>CS_PID!AF722/VLOOKUP($B722,표2[#ALL],2)/HLOOKUP($A722,표1[#ALL],row(),false)</f>
        <v>#N/A</v>
      </c>
      <c r="AG722" s="372" t="str">
        <f>CS_PID!AG722/VLOOKUP($B722,표2[#ALL],2)/HLOOKUP($A722,표1[#ALL],row(),false)</f>
        <v>#N/A</v>
      </c>
      <c r="AH722" s="372" t="str">
        <f>CS_PID!AH722/VLOOKUP($B722,표2[#ALL],2)/HLOOKUP($A722,표1[#ALL],row(),false)</f>
        <v>#N/A</v>
      </c>
      <c r="AI722" s="372" t="str">
        <f>CS_PID!AI722/VLOOKUP($B722,표2[#ALL],2)/HLOOKUP($A722,표1[#ALL],row(),false)</f>
        <v>#N/A</v>
      </c>
      <c r="AJ722" s="372" t="str">
        <f>CS_PID!AJ722/VLOOKUP($B722,표2[#ALL],2)/HLOOKUP($A722,표1[#ALL],row(),false)</f>
        <v>#N/A</v>
      </c>
      <c r="AK722" s="372" t="str">
        <f>CS_PID!AK722/VLOOKUP($B722,표2[#ALL],2)/HLOOKUP($A722,표1[#ALL],row(),false)</f>
        <v>#N/A</v>
      </c>
      <c r="AL722" s="372" t="str">
        <f>CS_PID!AL722/VLOOKUP($B722,표2[#ALL],2)/HLOOKUP($A722,표1[#ALL],row(),false)</f>
        <v>#N/A</v>
      </c>
      <c r="AM722" s="372" t="str">
        <f>CS_PID!AM722/VLOOKUP($B722,표2[#ALL],2)/HLOOKUP($A722,표1[#ALL],row(),false)</f>
        <v>#N/A</v>
      </c>
      <c r="AN722" s="372" t="str">
        <f>CS_PID!AN722/VLOOKUP($B722,표2[#ALL],2)/HLOOKUP($A722,표1[#ALL],row(),false)</f>
        <v>#N/A</v>
      </c>
      <c r="AO722" s="372" t="str">
        <f>CS_PID!AO722/VLOOKUP($B722,표2[#ALL],2)/HLOOKUP($A722,표1[#ALL],row(),false)</f>
        <v>#N/A</v>
      </c>
      <c r="AP722" s="372" t="str">
        <f>CS_PID!AP722/VLOOKUP($B722,표2[#ALL],2)/HLOOKUP($A722,표1[#ALL],row(),false)</f>
        <v>#N/A</v>
      </c>
      <c r="AQ722" s="372" t="str">
        <f>CS_PID!AQ722/VLOOKUP($B722,표2[#ALL],2)/HLOOKUP($A722,표1[#ALL],row(),false)</f>
        <v>#N/A</v>
      </c>
      <c r="AR722" s="372" t="str">
        <f>CS_PID!AR722/VLOOKUP($B722,표2[#ALL],2)/HLOOKUP($A722,표1[#ALL],row(),false)</f>
        <v>#N/A</v>
      </c>
      <c r="AS722" s="373" t="str">
        <f>CS_PID!AS722/VLOOKUP($B722,표2[#ALL],2)/HLOOKUP($A722,표1[#ALL],row(),false)</f>
        <v>#N/A</v>
      </c>
    </row>
    <row r="723">
      <c r="A723" s="374"/>
      <c r="B723" s="375"/>
      <c r="C723" s="376" t="str">
        <f>CS_PID!C723/VLOOKUP($B723,표2[#ALL],2)</f>
        <v>#N/A</v>
      </c>
      <c r="D723" s="376" t="str">
        <f>CS_PID!D723/VLOOKUP($B723,표2[#ALL],2)</f>
        <v>#N/A</v>
      </c>
      <c r="E723" s="376" t="str">
        <f>CS_PID!E723/VLOOKUP($B723,표2[#ALL],2)</f>
        <v>#N/A</v>
      </c>
      <c r="F723" s="376" t="str">
        <f>CS_PID!F723/VLOOKUP($B723,표2[#ALL],2)</f>
        <v>#N/A</v>
      </c>
      <c r="G723" s="376" t="str">
        <f>CS_PID!G723/VLOOKUP($B723,표2[#ALL],2)</f>
        <v>#N/A</v>
      </c>
      <c r="H723" s="376" t="str">
        <f>CS_PID!H723/VLOOKUP($B723,표2[#ALL],2)/HLOOKUP($A723,표1[#ALL],row(),false)</f>
        <v>#N/A</v>
      </c>
      <c r="I723" s="376" t="str">
        <f>CS_PID!I723/VLOOKUP($B723,표2[#ALL],2)/HLOOKUP($A723,표1[#ALL],row(),false)</f>
        <v>#N/A</v>
      </c>
      <c r="J723" s="376" t="str">
        <f>CS_PID!J723/VLOOKUP($B723,표2[#ALL],2)/HLOOKUP($A723,표1[#ALL],row(),false)</f>
        <v>#N/A</v>
      </c>
      <c r="K723" s="376" t="str">
        <f>CS_PID!K723/VLOOKUP($B723,표2[#ALL],2)/HLOOKUP($A723,표1[#ALL],row(),false)</f>
        <v>#N/A</v>
      </c>
      <c r="L723" s="376" t="str">
        <f>CS_PID!L723/VLOOKUP($B723,표2[#ALL],2)/HLOOKUP($A723,표1[#ALL],row(),false)</f>
        <v>#N/A</v>
      </c>
      <c r="M723" s="376" t="str">
        <f>CS_PID!M723/VLOOKUP($B723,표2[#ALL],2)/HLOOKUP($A723,표1[#ALL],row(),false)</f>
        <v>#N/A</v>
      </c>
      <c r="N723" s="376" t="str">
        <f>CS_PID!N723/VLOOKUP($B723,표2[#ALL],2)/HLOOKUP($A723,표1[#ALL],row(),false)</f>
        <v>#N/A</v>
      </c>
      <c r="O723" s="376" t="str">
        <f>CS_PID!O723/VLOOKUP($B723,표2[#ALL],2)/HLOOKUP($A723,표1[#ALL],row(),false)</f>
        <v>#N/A</v>
      </c>
      <c r="P723" s="376" t="str">
        <f>CS_PID!P723/VLOOKUP($B723,표2[#ALL],2)/HLOOKUP($A723,표1[#ALL],row(),false)</f>
        <v>#N/A</v>
      </c>
      <c r="Q723" s="376" t="str">
        <f>CS_PID!Q723/VLOOKUP($B723,표2[#ALL],2)/HLOOKUP($A723,표1[#ALL],row(),false)</f>
        <v>#N/A</v>
      </c>
      <c r="R723" s="376" t="str">
        <f>CS_PID!R723/VLOOKUP($B723,표2[#ALL],2)/HLOOKUP($A723,표1[#ALL],row(),false)</f>
        <v>#N/A</v>
      </c>
      <c r="S723" s="376" t="str">
        <f>CS_PID!S723/VLOOKUP($B723,표2[#ALL],2)/HLOOKUP($A723,표1[#ALL],row(),false)</f>
        <v>#N/A</v>
      </c>
      <c r="T723" s="376" t="str">
        <f>CS_PID!T723/VLOOKUP($B723,표2[#ALL],2)/HLOOKUP($A723,표1[#ALL],row(),false)</f>
        <v>#N/A</v>
      </c>
      <c r="U723" s="376" t="str">
        <f>CS_PID!U723/VLOOKUP($B723,표2[#ALL],2)/HLOOKUP($A723,표1[#ALL],row(),false)</f>
        <v>#N/A</v>
      </c>
      <c r="V723" s="376" t="str">
        <f>CS_PID!V723/VLOOKUP($B723,표2[#ALL],2)/HLOOKUP($A723,표1[#ALL],row(),false)</f>
        <v>#N/A</v>
      </c>
      <c r="W723" s="376" t="str">
        <f>CS_PID!W723/VLOOKUP($B723,표2[#ALL],2)/HLOOKUP($A723,표1[#ALL],row(),false)</f>
        <v>#N/A</v>
      </c>
      <c r="X723" s="376" t="str">
        <f>CS_PID!X723/VLOOKUP($B723,표2[#ALL],2)/HLOOKUP($A723,표1[#ALL],row(),false)</f>
        <v>#N/A</v>
      </c>
      <c r="Y723" s="376" t="str">
        <f>CS_PID!Y723/VLOOKUP($B723,표2[#ALL],2)/HLOOKUP($A723,표1[#ALL],row(),false)</f>
        <v>#N/A</v>
      </c>
      <c r="Z723" s="376" t="str">
        <f>CS_PID!Z723/VLOOKUP($B723,표2[#ALL],2)/HLOOKUP($A723,표1[#ALL],row(),false)</f>
        <v>#N/A</v>
      </c>
      <c r="AA723" s="376" t="str">
        <f>CS_PID!AA723/VLOOKUP($B723,표2[#ALL],2)/HLOOKUP($A723,표1[#ALL],row(),false)</f>
        <v>#N/A</v>
      </c>
      <c r="AB723" s="376" t="str">
        <f>CS_PID!AB723/VLOOKUP($B723,표2[#ALL],2)/HLOOKUP($A723,표1[#ALL],row(),false)</f>
        <v>#N/A</v>
      </c>
      <c r="AC723" s="376" t="str">
        <f>CS_PID!AC723/VLOOKUP($B723,표2[#ALL],2)/HLOOKUP($A723,표1[#ALL],row(),false)</f>
        <v>#N/A</v>
      </c>
      <c r="AD723" s="376" t="str">
        <f>CS_PID!AD723/VLOOKUP($B723,표2[#ALL],2)/HLOOKUP($A723,표1[#ALL],row(),false)</f>
        <v>#N/A</v>
      </c>
      <c r="AE723" s="376" t="str">
        <f>CS_PID!AE723/VLOOKUP($B723,표2[#ALL],2)/HLOOKUP($A723,표1[#ALL],row(),false)</f>
        <v>#N/A</v>
      </c>
      <c r="AF723" s="376" t="str">
        <f>CS_PID!AF723/VLOOKUP($B723,표2[#ALL],2)/HLOOKUP($A723,표1[#ALL],row(),false)</f>
        <v>#N/A</v>
      </c>
      <c r="AG723" s="376" t="str">
        <f>CS_PID!AG723/VLOOKUP($B723,표2[#ALL],2)/HLOOKUP($A723,표1[#ALL],row(),false)</f>
        <v>#N/A</v>
      </c>
      <c r="AH723" s="376" t="str">
        <f>CS_PID!AH723/VLOOKUP($B723,표2[#ALL],2)/HLOOKUP($A723,표1[#ALL],row(),false)</f>
        <v>#N/A</v>
      </c>
      <c r="AI723" s="376" t="str">
        <f>CS_PID!AI723/VLOOKUP($B723,표2[#ALL],2)/HLOOKUP($A723,표1[#ALL],row(),false)</f>
        <v>#N/A</v>
      </c>
      <c r="AJ723" s="376" t="str">
        <f>CS_PID!AJ723/VLOOKUP($B723,표2[#ALL],2)/HLOOKUP($A723,표1[#ALL],row(),false)</f>
        <v>#N/A</v>
      </c>
      <c r="AK723" s="376" t="str">
        <f>CS_PID!AK723/VLOOKUP($B723,표2[#ALL],2)/HLOOKUP($A723,표1[#ALL],row(),false)</f>
        <v>#N/A</v>
      </c>
      <c r="AL723" s="376" t="str">
        <f>CS_PID!AL723/VLOOKUP($B723,표2[#ALL],2)/HLOOKUP($A723,표1[#ALL],row(),false)</f>
        <v>#N/A</v>
      </c>
      <c r="AM723" s="376" t="str">
        <f>CS_PID!AM723/VLOOKUP($B723,표2[#ALL],2)/HLOOKUP($A723,표1[#ALL],row(),false)</f>
        <v>#N/A</v>
      </c>
      <c r="AN723" s="376" t="str">
        <f>CS_PID!AN723/VLOOKUP($B723,표2[#ALL],2)/HLOOKUP($A723,표1[#ALL],row(),false)</f>
        <v>#N/A</v>
      </c>
      <c r="AO723" s="376" t="str">
        <f>CS_PID!AO723/VLOOKUP($B723,표2[#ALL],2)/HLOOKUP($A723,표1[#ALL],row(),false)</f>
        <v>#N/A</v>
      </c>
      <c r="AP723" s="376" t="str">
        <f>CS_PID!AP723/VLOOKUP($B723,표2[#ALL],2)/HLOOKUP($A723,표1[#ALL],row(),false)</f>
        <v>#N/A</v>
      </c>
      <c r="AQ723" s="376" t="str">
        <f>CS_PID!AQ723/VLOOKUP($B723,표2[#ALL],2)/HLOOKUP($A723,표1[#ALL],row(),false)</f>
        <v>#N/A</v>
      </c>
      <c r="AR723" s="376" t="str">
        <f>CS_PID!AR723/VLOOKUP($B723,표2[#ALL],2)/HLOOKUP($A723,표1[#ALL],row(),false)</f>
        <v>#N/A</v>
      </c>
      <c r="AS723" s="377" t="str">
        <f>CS_PID!AS723/VLOOKUP($B723,표2[#ALL],2)/HLOOKUP($A723,표1[#ALL],row(),false)</f>
        <v>#N/A</v>
      </c>
    </row>
    <row r="724">
      <c r="A724" s="370"/>
      <c r="B724" s="371"/>
      <c r="C724" s="372" t="str">
        <f>CS_PID!C724/VLOOKUP($B724,표2[#ALL],2)</f>
        <v>#N/A</v>
      </c>
      <c r="D724" s="372" t="str">
        <f>CS_PID!D724/VLOOKUP($B724,표2[#ALL],2)</f>
        <v>#N/A</v>
      </c>
      <c r="E724" s="372" t="str">
        <f>CS_PID!E724/VLOOKUP($B724,표2[#ALL],2)</f>
        <v>#N/A</v>
      </c>
      <c r="F724" s="372" t="str">
        <f>CS_PID!F724/VLOOKUP($B724,표2[#ALL],2)</f>
        <v>#N/A</v>
      </c>
      <c r="G724" s="372" t="str">
        <f>CS_PID!G724/VLOOKUP($B724,표2[#ALL],2)</f>
        <v>#N/A</v>
      </c>
      <c r="H724" s="372" t="str">
        <f>CS_PID!H724/VLOOKUP($B724,표2[#ALL],2)/HLOOKUP($A724,표1[#ALL],row(),false)</f>
        <v>#N/A</v>
      </c>
      <c r="I724" s="372" t="str">
        <f>CS_PID!I724/VLOOKUP($B724,표2[#ALL],2)/HLOOKUP($A724,표1[#ALL],row(),false)</f>
        <v>#N/A</v>
      </c>
      <c r="J724" s="372" t="str">
        <f>CS_PID!J724/VLOOKUP($B724,표2[#ALL],2)/HLOOKUP($A724,표1[#ALL],row(),false)</f>
        <v>#N/A</v>
      </c>
      <c r="K724" s="372" t="str">
        <f>CS_PID!K724/VLOOKUP($B724,표2[#ALL],2)/HLOOKUP($A724,표1[#ALL],row(),false)</f>
        <v>#N/A</v>
      </c>
      <c r="L724" s="372" t="str">
        <f>CS_PID!L724/VLOOKUP($B724,표2[#ALL],2)/HLOOKUP($A724,표1[#ALL],row(),false)</f>
        <v>#N/A</v>
      </c>
      <c r="M724" s="372" t="str">
        <f>CS_PID!M724/VLOOKUP($B724,표2[#ALL],2)/HLOOKUP($A724,표1[#ALL],row(),false)</f>
        <v>#N/A</v>
      </c>
      <c r="N724" s="372" t="str">
        <f>CS_PID!N724/VLOOKUP($B724,표2[#ALL],2)/HLOOKUP($A724,표1[#ALL],row(),false)</f>
        <v>#N/A</v>
      </c>
      <c r="O724" s="372" t="str">
        <f>CS_PID!O724/VLOOKUP($B724,표2[#ALL],2)/HLOOKUP($A724,표1[#ALL],row(),false)</f>
        <v>#N/A</v>
      </c>
      <c r="P724" s="372" t="str">
        <f>CS_PID!P724/VLOOKUP($B724,표2[#ALL],2)/HLOOKUP($A724,표1[#ALL],row(),false)</f>
        <v>#N/A</v>
      </c>
      <c r="Q724" s="372" t="str">
        <f>CS_PID!Q724/VLOOKUP($B724,표2[#ALL],2)/HLOOKUP($A724,표1[#ALL],row(),false)</f>
        <v>#N/A</v>
      </c>
      <c r="R724" s="372" t="str">
        <f>CS_PID!R724/VLOOKUP($B724,표2[#ALL],2)/HLOOKUP($A724,표1[#ALL],row(),false)</f>
        <v>#N/A</v>
      </c>
      <c r="S724" s="372" t="str">
        <f>CS_PID!S724/VLOOKUP($B724,표2[#ALL],2)/HLOOKUP($A724,표1[#ALL],row(),false)</f>
        <v>#N/A</v>
      </c>
      <c r="T724" s="372" t="str">
        <f>CS_PID!T724/VLOOKUP($B724,표2[#ALL],2)/HLOOKUP($A724,표1[#ALL],row(),false)</f>
        <v>#N/A</v>
      </c>
      <c r="U724" s="372" t="str">
        <f>CS_PID!U724/VLOOKUP($B724,표2[#ALL],2)/HLOOKUP($A724,표1[#ALL],row(),false)</f>
        <v>#N/A</v>
      </c>
      <c r="V724" s="372" t="str">
        <f>CS_PID!V724/VLOOKUP($B724,표2[#ALL],2)/HLOOKUP($A724,표1[#ALL],row(),false)</f>
        <v>#N/A</v>
      </c>
      <c r="W724" s="372" t="str">
        <f>CS_PID!W724/VLOOKUP($B724,표2[#ALL],2)/HLOOKUP($A724,표1[#ALL],row(),false)</f>
        <v>#N/A</v>
      </c>
      <c r="X724" s="372" t="str">
        <f>CS_PID!X724/VLOOKUP($B724,표2[#ALL],2)/HLOOKUP($A724,표1[#ALL],row(),false)</f>
        <v>#N/A</v>
      </c>
      <c r="Y724" s="372" t="str">
        <f>CS_PID!Y724/VLOOKUP($B724,표2[#ALL],2)/HLOOKUP($A724,표1[#ALL],row(),false)</f>
        <v>#N/A</v>
      </c>
      <c r="Z724" s="372" t="str">
        <f>CS_PID!Z724/VLOOKUP($B724,표2[#ALL],2)/HLOOKUP($A724,표1[#ALL],row(),false)</f>
        <v>#N/A</v>
      </c>
      <c r="AA724" s="372" t="str">
        <f>CS_PID!AA724/VLOOKUP($B724,표2[#ALL],2)/HLOOKUP($A724,표1[#ALL],row(),false)</f>
        <v>#N/A</v>
      </c>
      <c r="AB724" s="372" t="str">
        <f>CS_PID!AB724/VLOOKUP($B724,표2[#ALL],2)/HLOOKUP($A724,표1[#ALL],row(),false)</f>
        <v>#N/A</v>
      </c>
      <c r="AC724" s="372" t="str">
        <f>CS_PID!AC724/VLOOKUP($B724,표2[#ALL],2)/HLOOKUP($A724,표1[#ALL],row(),false)</f>
        <v>#N/A</v>
      </c>
      <c r="AD724" s="372" t="str">
        <f>CS_PID!AD724/VLOOKUP($B724,표2[#ALL],2)/HLOOKUP($A724,표1[#ALL],row(),false)</f>
        <v>#N/A</v>
      </c>
      <c r="AE724" s="372" t="str">
        <f>CS_PID!AE724/VLOOKUP($B724,표2[#ALL],2)/HLOOKUP($A724,표1[#ALL],row(),false)</f>
        <v>#N/A</v>
      </c>
      <c r="AF724" s="372" t="str">
        <f>CS_PID!AF724/VLOOKUP($B724,표2[#ALL],2)/HLOOKUP($A724,표1[#ALL],row(),false)</f>
        <v>#N/A</v>
      </c>
      <c r="AG724" s="372" t="str">
        <f>CS_PID!AG724/VLOOKUP($B724,표2[#ALL],2)/HLOOKUP($A724,표1[#ALL],row(),false)</f>
        <v>#N/A</v>
      </c>
      <c r="AH724" s="372" t="str">
        <f>CS_PID!AH724/VLOOKUP($B724,표2[#ALL],2)/HLOOKUP($A724,표1[#ALL],row(),false)</f>
        <v>#N/A</v>
      </c>
      <c r="AI724" s="372" t="str">
        <f>CS_PID!AI724/VLOOKUP($B724,표2[#ALL],2)/HLOOKUP($A724,표1[#ALL],row(),false)</f>
        <v>#N/A</v>
      </c>
      <c r="AJ724" s="372" t="str">
        <f>CS_PID!AJ724/VLOOKUP($B724,표2[#ALL],2)/HLOOKUP($A724,표1[#ALL],row(),false)</f>
        <v>#N/A</v>
      </c>
      <c r="AK724" s="372" t="str">
        <f>CS_PID!AK724/VLOOKUP($B724,표2[#ALL],2)/HLOOKUP($A724,표1[#ALL],row(),false)</f>
        <v>#N/A</v>
      </c>
      <c r="AL724" s="372" t="str">
        <f>CS_PID!AL724/VLOOKUP($B724,표2[#ALL],2)/HLOOKUP($A724,표1[#ALL],row(),false)</f>
        <v>#N/A</v>
      </c>
      <c r="AM724" s="372" t="str">
        <f>CS_PID!AM724/VLOOKUP($B724,표2[#ALL],2)/HLOOKUP($A724,표1[#ALL],row(),false)</f>
        <v>#N/A</v>
      </c>
      <c r="AN724" s="372" t="str">
        <f>CS_PID!AN724/VLOOKUP($B724,표2[#ALL],2)/HLOOKUP($A724,표1[#ALL],row(),false)</f>
        <v>#N/A</v>
      </c>
      <c r="AO724" s="372" t="str">
        <f>CS_PID!AO724/VLOOKUP($B724,표2[#ALL],2)/HLOOKUP($A724,표1[#ALL],row(),false)</f>
        <v>#N/A</v>
      </c>
      <c r="AP724" s="372" t="str">
        <f>CS_PID!AP724/VLOOKUP($B724,표2[#ALL],2)/HLOOKUP($A724,표1[#ALL],row(),false)</f>
        <v>#N/A</v>
      </c>
      <c r="AQ724" s="372" t="str">
        <f>CS_PID!AQ724/VLOOKUP($B724,표2[#ALL],2)/HLOOKUP($A724,표1[#ALL],row(),false)</f>
        <v>#N/A</v>
      </c>
      <c r="AR724" s="372" t="str">
        <f>CS_PID!AR724/VLOOKUP($B724,표2[#ALL],2)/HLOOKUP($A724,표1[#ALL],row(),false)</f>
        <v>#N/A</v>
      </c>
      <c r="AS724" s="373" t="str">
        <f>CS_PID!AS724/VLOOKUP($B724,표2[#ALL],2)/HLOOKUP($A724,표1[#ALL],row(),false)</f>
        <v>#N/A</v>
      </c>
    </row>
    <row r="725">
      <c r="A725" s="374"/>
      <c r="B725" s="375"/>
      <c r="C725" s="376" t="str">
        <f>CS_PID!C725/VLOOKUP($B725,표2[#ALL],2)</f>
        <v>#N/A</v>
      </c>
      <c r="D725" s="376" t="str">
        <f>CS_PID!D725/VLOOKUP($B725,표2[#ALL],2)</f>
        <v>#N/A</v>
      </c>
      <c r="E725" s="376" t="str">
        <f>CS_PID!E725/VLOOKUP($B725,표2[#ALL],2)</f>
        <v>#N/A</v>
      </c>
      <c r="F725" s="376" t="str">
        <f>CS_PID!F725/VLOOKUP($B725,표2[#ALL],2)</f>
        <v>#N/A</v>
      </c>
      <c r="G725" s="376" t="str">
        <f>CS_PID!G725/VLOOKUP($B725,표2[#ALL],2)</f>
        <v>#N/A</v>
      </c>
      <c r="H725" s="376" t="str">
        <f>CS_PID!H725/VLOOKUP($B725,표2[#ALL],2)/HLOOKUP($A725,표1[#ALL],row(),false)</f>
        <v>#N/A</v>
      </c>
      <c r="I725" s="376" t="str">
        <f>CS_PID!I725/VLOOKUP($B725,표2[#ALL],2)/HLOOKUP($A725,표1[#ALL],row(),false)</f>
        <v>#N/A</v>
      </c>
      <c r="J725" s="376" t="str">
        <f>CS_PID!J725/VLOOKUP($B725,표2[#ALL],2)/HLOOKUP($A725,표1[#ALL],row(),false)</f>
        <v>#N/A</v>
      </c>
      <c r="K725" s="376" t="str">
        <f>CS_PID!K725/VLOOKUP($B725,표2[#ALL],2)/HLOOKUP($A725,표1[#ALL],row(),false)</f>
        <v>#N/A</v>
      </c>
      <c r="L725" s="376" t="str">
        <f>CS_PID!L725/VLOOKUP($B725,표2[#ALL],2)/HLOOKUP($A725,표1[#ALL],row(),false)</f>
        <v>#N/A</v>
      </c>
      <c r="M725" s="376" t="str">
        <f>CS_PID!M725/VLOOKUP($B725,표2[#ALL],2)/HLOOKUP($A725,표1[#ALL],row(),false)</f>
        <v>#N/A</v>
      </c>
      <c r="N725" s="376" t="str">
        <f>CS_PID!N725/VLOOKUP($B725,표2[#ALL],2)/HLOOKUP($A725,표1[#ALL],row(),false)</f>
        <v>#N/A</v>
      </c>
      <c r="O725" s="376" t="str">
        <f>CS_PID!O725/VLOOKUP($B725,표2[#ALL],2)/HLOOKUP($A725,표1[#ALL],row(),false)</f>
        <v>#N/A</v>
      </c>
      <c r="P725" s="376" t="str">
        <f>CS_PID!P725/VLOOKUP($B725,표2[#ALL],2)/HLOOKUP($A725,표1[#ALL],row(),false)</f>
        <v>#N/A</v>
      </c>
      <c r="Q725" s="376" t="str">
        <f>CS_PID!Q725/VLOOKUP($B725,표2[#ALL],2)/HLOOKUP($A725,표1[#ALL],row(),false)</f>
        <v>#N/A</v>
      </c>
      <c r="R725" s="376" t="str">
        <f>CS_PID!R725/VLOOKUP($B725,표2[#ALL],2)/HLOOKUP($A725,표1[#ALL],row(),false)</f>
        <v>#N/A</v>
      </c>
      <c r="S725" s="376" t="str">
        <f>CS_PID!S725/VLOOKUP($B725,표2[#ALL],2)/HLOOKUP($A725,표1[#ALL],row(),false)</f>
        <v>#N/A</v>
      </c>
      <c r="T725" s="376" t="str">
        <f>CS_PID!T725/VLOOKUP($B725,표2[#ALL],2)/HLOOKUP($A725,표1[#ALL],row(),false)</f>
        <v>#N/A</v>
      </c>
      <c r="U725" s="376" t="str">
        <f>CS_PID!U725/VLOOKUP($B725,표2[#ALL],2)/HLOOKUP($A725,표1[#ALL],row(),false)</f>
        <v>#N/A</v>
      </c>
      <c r="V725" s="376" t="str">
        <f>CS_PID!V725/VLOOKUP($B725,표2[#ALL],2)/HLOOKUP($A725,표1[#ALL],row(),false)</f>
        <v>#N/A</v>
      </c>
      <c r="W725" s="376" t="str">
        <f>CS_PID!W725/VLOOKUP($B725,표2[#ALL],2)/HLOOKUP($A725,표1[#ALL],row(),false)</f>
        <v>#N/A</v>
      </c>
      <c r="X725" s="376" t="str">
        <f>CS_PID!X725/VLOOKUP($B725,표2[#ALL],2)/HLOOKUP($A725,표1[#ALL],row(),false)</f>
        <v>#N/A</v>
      </c>
      <c r="Y725" s="376" t="str">
        <f>CS_PID!Y725/VLOOKUP($B725,표2[#ALL],2)/HLOOKUP($A725,표1[#ALL],row(),false)</f>
        <v>#N/A</v>
      </c>
      <c r="Z725" s="376" t="str">
        <f>CS_PID!Z725/VLOOKUP($B725,표2[#ALL],2)/HLOOKUP($A725,표1[#ALL],row(),false)</f>
        <v>#N/A</v>
      </c>
      <c r="AA725" s="376" t="str">
        <f>CS_PID!AA725/VLOOKUP($B725,표2[#ALL],2)/HLOOKUP($A725,표1[#ALL],row(),false)</f>
        <v>#N/A</v>
      </c>
      <c r="AB725" s="376" t="str">
        <f>CS_PID!AB725/VLOOKUP($B725,표2[#ALL],2)/HLOOKUP($A725,표1[#ALL],row(),false)</f>
        <v>#N/A</v>
      </c>
      <c r="AC725" s="376" t="str">
        <f>CS_PID!AC725/VLOOKUP($B725,표2[#ALL],2)/HLOOKUP($A725,표1[#ALL],row(),false)</f>
        <v>#N/A</v>
      </c>
      <c r="AD725" s="376" t="str">
        <f>CS_PID!AD725/VLOOKUP($B725,표2[#ALL],2)/HLOOKUP($A725,표1[#ALL],row(),false)</f>
        <v>#N/A</v>
      </c>
      <c r="AE725" s="376" t="str">
        <f>CS_PID!AE725/VLOOKUP($B725,표2[#ALL],2)/HLOOKUP($A725,표1[#ALL],row(),false)</f>
        <v>#N/A</v>
      </c>
      <c r="AF725" s="376" t="str">
        <f>CS_PID!AF725/VLOOKUP($B725,표2[#ALL],2)/HLOOKUP($A725,표1[#ALL],row(),false)</f>
        <v>#N/A</v>
      </c>
      <c r="AG725" s="376" t="str">
        <f>CS_PID!AG725/VLOOKUP($B725,표2[#ALL],2)/HLOOKUP($A725,표1[#ALL],row(),false)</f>
        <v>#N/A</v>
      </c>
      <c r="AH725" s="376" t="str">
        <f>CS_PID!AH725/VLOOKUP($B725,표2[#ALL],2)/HLOOKUP($A725,표1[#ALL],row(),false)</f>
        <v>#N/A</v>
      </c>
      <c r="AI725" s="376" t="str">
        <f>CS_PID!AI725/VLOOKUP($B725,표2[#ALL],2)/HLOOKUP($A725,표1[#ALL],row(),false)</f>
        <v>#N/A</v>
      </c>
      <c r="AJ725" s="376" t="str">
        <f>CS_PID!AJ725/VLOOKUP($B725,표2[#ALL],2)/HLOOKUP($A725,표1[#ALL],row(),false)</f>
        <v>#N/A</v>
      </c>
      <c r="AK725" s="376" t="str">
        <f>CS_PID!AK725/VLOOKUP($B725,표2[#ALL],2)/HLOOKUP($A725,표1[#ALL],row(),false)</f>
        <v>#N/A</v>
      </c>
      <c r="AL725" s="376" t="str">
        <f>CS_PID!AL725/VLOOKUP($B725,표2[#ALL],2)/HLOOKUP($A725,표1[#ALL],row(),false)</f>
        <v>#N/A</v>
      </c>
      <c r="AM725" s="376" t="str">
        <f>CS_PID!AM725/VLOOKUP($B725,표2[#ALL],2)/HLOOKUP($A725,표1[#ALL],row(),false)</f>
        <v>#N/A</v>
      </c>
      <c r="AN725" s="376" t="str">
        <f>CS_PID!AN725/VLOOKUP($B725,표2[#ALL],2)/HLOOKUP($A725,표1[#ALL],row(),false)</f>
        <v>#N/A</v>
      </c>
      <c r="AO725" s="376" t="str">
        <f>CS_PID!AO725/VLOOKUP($B725,표2[#ALL],2)/HLOOKUP($A725,표1[#ALL],row(),false)</f>
        <v>#N/A</v>
      </c>
      <c r="AP725" s="376" t="str">
        <f>CS_PID!AP725/VLOOKUP($B725,표2[#ALL],2)/HLOOKUP($A725,표1[#ALL],row(),false)</f>
        <v>#N/A</v>
      </c>
      <c r="AQ725" s="376" t="str">
        <f>CS_PID!AQ725/VLOOKUP($B725,표2[#ALL],2)/HLOOKUP($A725,표1[#ALL],row(),false)</f>
        <v>#N/A</v>
      </c>
      <c r="AR725" s="376" t="str">
        <f>CS_PID!AR725/VLOOKUP($B725,표2[#ALL],2)/HLOOKUP($A725,표1[#ALL],row(),false)</f>
        <v>#N/A</v>
      </c>
      <c r="AS725" s="377" t="str">
        <f>CS_PID!AS725/VLOOKUP($B725,표2[#ALL],2)/HLOOKUP($A725,표1[#ALL],row(),false)</f>
        <v>#N/A</v>
      </c>
    </row>
    <row r="726">
      <c r="A726" s="370"/>
      <c r="B726" s="371"/>
      <c r="C726" s="372" t="str">
        <f>CS_PID!C726/VLOOKUP($B726,표2[#ALL],2)</f>
        <v>#N/A</v>
      </c>
      <c r="D726" s="372" t="str">
        <f>CS_PID!D726/VLOOKUP($B726,표2[#ALL],2)</f>
        <v>#N/A</v>
      </c>
      <c r="E726" s="372" t="str">
        <f>CS_PID!E726/VLOOKUP($B726,표2[#ALL],2)</f>
        <v>#N/A</v>
      </c>
      <c r="F726" s="372" t="str">
        <f>CS_PID!F726/VLOOKUP($B726,표2[#ALL],2)</f>
        <v>#N/A</v>
      </c>
      <c r="G726" s="372" t="str">
        <f>CS_PID!G726/VLOOKUP($B726,표2[#ALL],2)</f>
        <v>#N/A</v>
      </c>
      <c r="H726" s="372" t="str">
        <f>CS_PID!H726/VLOOKUP($B726,표2[#ALL],2)/HLOOKUP($A726,표1[#ALL],row(),false)</f>
        <v>#N/A</v>
      </c>
      <c r="I726" s="372" t="str">
        <f>CS_PID!I726/VLOOKUP($B726,표2[#ALL],2)/HLOOKUP($A726,표1[#ALL],row(),false)</f>
        <v>#N/A</v>
      </c>
      <c r="J726" s="372" t="str">
        <f>CS_PID!J726/VLOOKUP($B726,표2[#ALL],2)/HLOOKUP($A726,표1[#ALL],row(),false)</f>
        <v>#N/A</v>
      </c>
      <c r="K726" s="372" t="str">
        <f>CS_PID!K726/VLOOKUP($B726,표2[#ALL],2)/HLOOKUP($A726,표1[#ALL],row(),false)</f>
        <v>#N/A</v>
      </c>
      <c r="L726" s="372" t="str">
        <f>CS_PID!L726/VLOOKUP($B726,표2[#ALL],2)/HLOOKUP($A726,표1[#ALL],row(),false)</f>
        <v>#N/A</v>
      </c>
      <c r="M726" s="372" t="str">
        <f>CS_PID!M726/VLOOKUP($B726,표2[#ALL],2)/HLOOKUP($A726,표1[#ALL],row(),false)</f>
        <v>#N/A</v>
      </c>
      <c r="N726" s="372" t="str">
        <f>CS_PID!N726/VLOOKUP($B726,표2[#ALL],2)/HLOOKUP($A726,표1[#ALL],row(),false)</f>
        <v>#N/A</v>
      </c>
      <c r="O726" s="372" t="str">
        <f>CS_PID!O726/VLOOKUP($B726,표2[#ALL],2)/HLOOKUP($A726,표1[#ALL],row(),false)</f>
        <v>#N/A</v>
      </c>
      <c r="P726" s="372" t="str">
        <f>CS_PID!P726/VLOOKUP($B726,표2[#ALL],2)/HLOOKUP($A726,표1[#ALL],row(),false)</f>
        <v>#N/A</v>
      </c>
      <c r="Q726" s="372" t="str">
        <f>CS_PID!Q726/VLOOKUP($B726,표2[#ALL],2)/HLOOKUP($A726,표1[#ALL],row(),false)</f>
        <v>#N/A</v>
      </c>
      <c r="R726" s="372" t="str">
        <f>CS_PID!R726/VLOOKUP($B726,표2[#ALL],2)/HLOOKUP($A726,표1[#ALL],row(),false)</f>
        <v>#N/A</v>
      </c>
      <c r="S726" s="372" t="str">
        <f>CS_PID!S726/VLOOKUP($B726,표2[#ALL],2)/HLOOKUP($A726,표1[#ALL],row(),false)</f>
        <v>#N/A</v>
      </c>
      <c r="T726" s="372" t="str">
        <f>CS_PID!T726/VLOOKUP($B726,표2[#ALL],2)/HLOOKUP($A726,표1[#ALL],row(),false)</f>
        <v>#N/A</v>
      </c>
      <c r="U726" s="372" t="str">
        <f>CS_PID!U726/VLOOKUP($B726,표2[#ALL],2)/HLOOKUP($A726,표1[#ALL],row(),false)</f>
        <v>#N/A</v>
      </c>
      <c r="V726" s="372" t="str">
        <f>CS_PID!V726/VLOOKUP($B726,표2[#ALL],2)/HLOOKUP($A726,표1[#ALL],row(),false)</f>
        <v>#N/A</v>
      </c>
      <c r="W726" s="372" t="str">
        <f>CS_PID!W726/VLOOKUP($B726,표2[#ALL],2)/HLOOKUP($A726,표1[#ALL],row(),false)</f>
        <v>#N/A</v>
      </c>
      <c r="X726" s="372" t="str">
        <f>CS_PID!X726/VLOOKUP($B726,표2[#ALL],2)/HLOOKUP($A726,표1[#ALL],row(),false)</f>
        <v>#N/A</v>
      </c>
      <c r="Y726" s="372" t="str">
        <f>CS_PID!Y726/VLOOKUP($B726,표2[#ALL],2)/HLOOKUP($A726,표1[#ALL],row(),false)</f>
        <v>#N/A</v>
      </c>
      <c r="Z726" s="372" t="str">
        <f>CS_PID!Z726/VLOOKUP($B726,표2[#ALL],2)/HLOOKUP($A726,표1[#ALL],row(),false)</f>
        <v>#N/A</v>
      </c>
      <c r="AA726" s="372" t="str">
        <f>CS_PID!AA726/VLOOKUP($B726,표2[#ALL],2)/HLOOKUP($A726,표1[#ALL],row(),false)</f>
        <v>#N/A</v>
      </c>
      <c r="AB726" s="372" t="str">
        <f>CS_PID!AB726/VLOOKUP($B726,표2[#ALL],2)/HLOOKUP($A726,표1[#ALL],row(),false)</f>
        <v>#N/A</v>
      </c>
      <c r="AC726" s="372" t="str">
        <f>CS_PID!AC726/VLOOKUP($B726,표2[#ALL],2)/HLOOKUP($A726,표1[#ALL],row(),false)</f>
        <v>#N/A</v>
      </c>
      <c r="AD726" s="372" t="str">
        <f>CS_PID!AD726/VLOOKUP($B726,표2[#ALL],2)/HLOOKUP($A726,표1[#ALL],row(),false)</f>
        <v>#N/A</v>
      </c>
      <c r="AE726" s="372" t="str">
        <f>CS_PID!AE726/VLOOKUP($B726,표2[#ALL],2)/HLOOKUP($A726,표1[#ALL],row(),false)</f>
        <v>#N/A</v>
      </c>
      <c r="AF726" s="372" t="str">
        <f>CS_PID!AF726/VLOOKUP($B726,표2[#ALL],2)/HLOOKUP($A726,표1[#ALL],row(),false)</f>
        <v>#N/A</v>
      </c>
      <c r="AG726" s="372" t="str">
        <f>CS_PID!AG726/VLOOKUP($B726,표2[#ALL],2)/HLOOKUP($A726,표1[#ALL],row(),false)</f>
        <v>#N/A</v>
      </c>
      <c r="AH726" s="372" t="str">
        <f>CS_PID!AH726/VLOOKUP($B726,표2[#ALL],2)/HLOOKUP($A726,표1[#ALL],row(),false)</f>
        <v>#N/A</v>
      </c>
      <c r="AI726" s="372" t="str">
        <f>CS_PID!AI726/VLOOKUP($B726,표2[#ALL],2)/HLOOKUP($A726,표1[#ALL],row(),false)</f>
        <v>#N/A</v>
      </c>
      <c r="AJ726" s="372" t="str">
        <f>CS_PID!AJ726/VLOOKUP($B726,표2[#ALL],2)/HLOOKUP($A726,표1[#ALL],row(),false)</f>
        <v>#N/A</v>
      </c>
      <c r="AK726" s="372" t="str">
        <f>CS_PID!AK726/VLOOKUP($B726,표2[#ALL],2)/HLOOKUP($A726,표1[#ALL],row(),false)</f>
        <v>#N/A</v>
      </c>
      <c r="AL726" s="372" t="str">
        <f>CS_PID!AL726/VLOOKUP($B726,표2[#ALL],2)/HLOOKUP($A726,표1[#ALL],row(),false)</f>
        <v>#N/A</v>
      </c>
      <c r="AM726" s="372" t="str">
        <f>CS_PID!AM726/VLOOKUP($B726,표2[#ALL],2)/HLOOKUP($A726,표1[#ALL],row(),false)</f>
        <v>#N/A</v>
      </c>
      <c r="AN726" s="372" t="str">
        <f>CS_PID!AN726/VLOOKUP($B726,표2[#ALL],2)/HLOOKUP($A726,표1[#ALL],row(),false)</f>
        <v>#N/A</v>
      </c>
      <c r="AO726" s="372" t="str">
        <f>CS_PID!AO726/VLOOKUP($B726,표2[#ALL],2)/HLOOKUP($A726,표1[#ALL],row(),false)</f>
        <v>#N/A</v>
      </c>
      <c r="AP726" s="372" t="str">
        <f>CS_PID!AP726/VLOOKUP($B726,표2[#ALL],2)/HLOOKUP($A726,표1[#ALL],row(),false)</f>
        <v>#N/A</v>
      </c>
      <c r="AQ726" s="372" t="str">
        <f>CS_PID!AQ726/VLOOKUP($B726,표2[#ALL],2)/HLOOKUP($A726,표1[#ALL],row(),false)</f>
        <v>#N/A</v>
      </c>
      <c r="AR726" s="372" t="str">
        <f>CS_PID!AR726/VLOOKUP($B726,표2[#ALL],2)/HLOOKUP($A726,표1[#ALL],row(),false)</f>
        <v>#N/A</v>
      </c>
      <c r="AS726" s="373" t="str">
        <f>CS_PID!AS726/VLOOKUP($B726,표2[#ALL],2)/HLOOKUP($A726,표1[#ALL],row(),false)</f>
        <v>#N/A</v>
      </c>
    </row>
    <row r="727">
      <c r="A727" s="374"/>
      <c r="B727" s="375"/>
      <c r="C727" s="376" t="str">
        <f>CS_PID!C727/VLOOKUP($B727,표2[#ALL],2)</f>
        <v>#N/A</v>
      </c>
      <c r="D727" s="376" t="str">
        <f>CS_PID!D727/VLOOKUP($B727,표2[#ALL],2)</f>
        <v>#N/A</v>
      </c>
      <c r="E727" s="376" t="str">
        <f>CS_PID!E727/VLOOKUP($B727,표2[#ALL],2)</f>
        <v>#N/A</v>
      </c>
      <c r="F727" s="376" t="str">
        <f>CS_PID!F727/VLOOKUP($B727,표2[#ALL],2)</f>
        <v>#N/A</v>
      </c>
      <c r="G727" s="376" t="str">
        <f>CS_PID!G727/VLOOKUP($B727,표2[#ALL],2)</f>
        <v>#N/A</v>
      </c>
      <c r="H727" s="376" t="str">
        <f>CS_PID!H727/VLOOKUP($B727,표2[#ALL],2)/HLOOKUP($A727,표1[#ALL],row(),false)</f>
        <v>#N/A</v>
      </c>
      <c r="I727" s="376" t="str">
        <f>CS_PID!I727/VLOOKUP($B727,표2[#ALL],2)/HLOOKUP($A727,표1[#ALL],row(),false)</f>
        <v>#N/A</v>
      </c>
      <c r="J727" s="376" t="str">
        <f>CS_PID!J727/VLOOKUP($B727,표2[#ALL],2)/HLOOKUP($A727,표1[#ALL],row(),false)</f>
        <v>#N/A</v>
      </c>
      <c r="K727" s="376" t="str">
        <f>CS_PID!K727/VLOOKUP($B727,표2[#ALL],2)/HLOOKUP($A727,표1[#ALL],row(),false)</f>
        <v>#N/A</v>
      </c>
      <c r="L727" s="376" t="str">
        <f>CS_PID!L727/VLOOKUP($B727,표2[#ALL],2)/HLOOKUP($A727,표1[#ALL],row(),false)</f>
        <v>#N/A</v>
      </c>
      <c r="M727" s="376" t="str">
        <f>CS_PID!M727/VLOOKUP($B727,표2[#ALL],2)/HLOOKUP($A727,표1[#ALL],row(),false)</f>
        <v>#N/A</v>
      </c>
      <c r="N727" s="376" t="str">
        <f>CS_PID!N727/VLOOKUP($B727,표2[#ALL],2)/HLOOKUP($A727,표1[#ALL],row(),false)</f>
        <v>#N/A</v>
      </c>
      <c r="O727" s="376" t="str">
        <f>CS_PID!O727/VLOOKUP($B727,표2[#ALL],2)/HLOOKUP($A727,표1[#ALL],row(),false)</f>
        <v>#N/A</v>
      </c>
      <c r="P727" s="376" t="str">
        <f>CS_PID!P727/VLOOKUP($B727,표2[#ALL],2)/HLOOKUP($A727,표1[#ALL],row(),false)</f>
        <v>#N/A</v>
      </c>
      <c r="Q727" s="376" t="str">
        <f>CS_PID!Q727/VLOOKUP($B727,표2[#ALL],2)/HLOOKUP($A727,표1[#ALL],row(),false)</f>
        <v>#N/A</v>
      </c>
      <c r="R727" s="376" t="str">
        <f>CS_PID!R727/VLOOKUP($B727,표2[#ALL],2)/HLOOKUP($A727,표1[#ALL],row(),false)</f>
        <v>#N/A</v>
      </c>
      <c r="S727" s="376" t="str">
        <f>CS_PID!S727/VLOOKUP($B727,표2[#ALL],2)/HLOOKUP($A727,표1[#ALL],row(),false)</f>
        <v>#N/A</v>
      </c>
      <c r="T727" s="376" t="str">
        <f>CS_PID!T727/VLOOKUP($B727,표2[#ALL],2)/HLOOKUP($A727,표1[#ALL],row(),false)</f>
        <v>#N/A</v>
      </c>
      <c r="U727" s="376" t="str">
        <f>CS_PID!U727/VLOOKUP($B727,표2[#ALL],2)/HLOOKUP($A727,표1[#ALL],row(),false)</f>
        <v>#N/A</v>
      </c>
      <c r="V727" s="376" t="str">
        <f>CS_PID!V727/VLOOKUP($B727,표2[#ALL],2)/HLOOKUP($A727,표1[#ALL],row(),false)</f>
        <v>#N/A</v>
      </c>
      <c r="W727" s="376" t="str">
        <f>CS_PID!W727/VLOOKUP($B727,표2[#ALL],2)/HLOOKUP($A727,표1[#ALL],row(),false)</f>
        <v>#N/A</v>
      </c>
      <c r="X727" s="376" t="str">
        <f>CS_PID!X727/VLOOKUP($B727,표2[#ALL],2)/HLOOKUP($A727,표1[#ALL],row(),false)</f>
        <v>#N/A</v>
      </c>
      <c r="Y727" s="376" t="str">
        <f>CS_PID!Y727/VLOOKUP($B727,표2[#ALL],2)/HLOOKUP($A727,표1[#ALL],row(),false)</f>
        <v>#N/A</v>
      </c>
      <c r="Z727" s="376" t="str">
        <f>CS_PID!Z727/VLOOKUP($B727,표2[#ALL],2)/HLOOKUP($A727,표1[#ALL],row(),false)</f>
        <v>#N/A</v>
      </c>
      <c r="AA727" s="376" t="str">
        <f>CS_PID!AA727/VLOOKUP($B727,표2[#ALL],2)/HLOOKUP($A727,표1[#ALL],row(),false)</f>
        <v>#N/A</v>
      </c>
      <c r="AB727" s="376" t="str">
        <f>CS_PID!AB727/VLOOKUP($B727,표2[#ALL],2)/HLOOKUP($A727,표1[#ALL],row(),false)</f>
        <v>#N/A</v>
      </c>
      <c r="AC727" s="376" t="str">
        <f>CS_PID!AC727/VLOOKUP($B727,표2[#ALL],2)/HLOOKUP($A727,표1[#ALL],row(),false)</f>
        <v>#N/A</v>
      </c>
      <c r="AD727" s="376" t="str">
        <f>CS_PID!AD727/VLOOKUP($B727,표2[#ALL],2)/HLOOKUP($A727,표1[#ALL],row(),false)</f>
        <v>#N/A</v>
      </c>
      <c r="AE727" s="376" t="str">
        <f>CS_PID!AE727/VLOOKUP($B727,표2[#ALL],2)/HLOOKUP($A727,표1[#ALL],row(),false)</f>
        <v>#N/A</v>
      </c>
      <c r="AF727" s="376" t="str">
        <f>CS_PID!AF727/VLOOKUP($B727,표2[#ALL],2)/HLOOKUP($A727,표1[#ALL],row(),false)</f>
        <v>#N/A</v>
      </c>
      <c r="AG727" s="376" t="str">
        <f>CS_PID!AG727/VLOOKUP($B727,표2[#ALL],2)/HLOOKUP($A727,표1[#ALL],row(),false)</f>
        <v>#N/A</v>
      </c>
      <c r="AH727" s="376" t="str">
        <f>CS_PID!AH727/VLOOKUP($B727,표2[#ALL],2)/HLOOKUP($A727,표1[#ALL],row(),false)</f>
        <v>#N/A</v>
      </c>
      <c r="AI727" s="376" t="str">
        <f>CS_PID!AI727/VLOOKUP($B727,표2[#ALL],2)/HLOOKUP($A727,표1[#ALL],row(),false)</f>
        <v>#N/A</v>
      </c>
      <c r="AJ727" s="376" t="str">
        <f>CS_PID!AJ727/VLOOKUP($B727,표2[#ALL],2)/HLOOKUP($A727,표1[#ALL],row(),false)</f>
        <v>#N/A</v>
      </c>
      <c r="AK727" s="376" t="str">
        <f>CS_PID!AK727/VLOOKUP($B727,표2[#ALL],2)/HLOOKUP($A727,표1[#ALL],row(),false)</f>
        <v>#N/A</v>
      </c>
      <c r="AL727" s="376" t="str">
        <f>CS_PID!AL727/VLOOKUP($B727,표2[#ALL],2)/HLOOKUP($A727,표1[#ALL],row(),false)</f>
        <v>#N/A</v>
      </c>
      <c r="AM727" s="376" t="str">
        <f>CS_PID!AM727/VLOOKUP($B727,표2[#ALL],2)/HLOOKUP($A727,표1[#ALL],row(),false)</f>
        <v>#N/A</v>
      </c>
      <c r="AN727" s="376" t="str">
        <f>CS_PID!AN727/VLOOKUP($B727,표2[#ALL],2)/HLOOKUP($A727,표1[#ALL],row(),false)</f>
        <v>#N/A</v>
      </c>
      <c r="AO727" s="376" t="str">
        <f>CS_PID!AO727/VLOOKUP($B727,표2[#ALL],2)/HLOOKUP($A727,표1[#ALL],row(),false)</f>
        <v>#N/A</v>
      </c>
      <c r="AP727" s="376" t="str">
        <f>CS_PID!AP727/VLOOKUP($B727,표2[#ALL],2)/HLOOKUP($A727,표1[#ALL],row(),false)</f>
        <v>#N/A</v>
      </c>
      <c r="AQ727" s="376" t="str">
        <f>CS_PID!AQ727/VLOOKUP($B727,표2[#ALL],2)/HLOOKUP($A727,표1[#ALL],row(),false)</f>
        <v>#N/A</v>
      </c>
      <c r="AR727" s="376" t="str">
        <f>CS_PID!AR727/VLOOKUP($B727,표2[#ALL],2)/HLOOKUP($A727,표1[#ALL],row(),false)</f>
        <v>#N/A</v>
      </c>
      <c r="AS727" s="377" t="str">
        <f>CS_PID!AS727/VLOOKUP($B727,표2[#ALL],2)/HLOOKUP($A727,표1[#ALL],row(),false)</f>
        <v>#N/A</v>
      </c>
    </row>
    <row r="728">
      <c r="A728" s="370"/>
      <c r="B728" s="371"/>
      <c r="C728" s="372" t="str">
        <f>CS_PID!C728/VLOOKUP($B728,표2[#ALL],2)</f>
        <v>#N/A</v>
      </c>
      <c r="D728" s="372" t="str">
        <f>CS_PID!D728/VLOOKUP($B728,표2[#ALL],2)</f>
        <v>#N/A</v>
      </c>
      <c r="E728" s="372" t="str">
        <f>CS_PID!E728/VLOOKUP($B728,표2[#ALL],2)</f>
        <v>#N/A</v>
      </c>
      <c r="F728" s="372" t="str">
        <f>CS_PID!F728/VLOOKUP($B728,표2[#ALL],2)</f>
        <v>#N/A</v>
      </c>
      <c r="G728" s="372" t="str">
        <f>CS_PID!G728/VLOOKUP($B728,표2[#ALL],2)</f>
        <v>#N/A</v>
      </c>
      <c r="H728" s="372" t="str">
        <f>CS_PID!H728/VLOOKUP($B728,표2[#ALL],2)/HLOOKUP($A728,표1[#ALL],row(),false)</f>
        <v>#N/A</v>
      </c>
      <c r="I728" s="372" t="str">
        <f>CS_PID!I728/VLOOKUP($B728,표2[#ALL],2)/HLOOKUP($A728,표1[#ALL],row(),false)</f>
        <v>#N/A</v>
      </c>
      <c r="J728" s="372" t="str">
        <f>CS_PID!J728/VLOOKUP($B728,표2[#ALL],2)/HLOOKUP($A728,표1[#ALL],row(),false)</f>
        <v>#N/A</v>
      </c>
      <c r="K728" s="372" t="str">
        <f>CS_PID!K728/VLOOKUP($B728,표2[#ALL],2)/HLOOKUP($A728,표1[#ALL],row(),false)</f>
        <v>#N/A</v>
      </c>
      <c r="L728" s="372" t="str">
        <f>CS_PID!L728/VLOOKUP($B728,표2[#ALL],2)/HLOOKUP($A728,표1[#ALL],row(),false)</f>
        <v>#N/A</v>
      </c>
      <c r="M728" s="372" t="str">
        <f>CS_PID!M728/VLOOKUP($B728,표2[#ALL],2)/HLOOKUP($A728,표1[#ALL],row(),false)</f>
        <v>#N/A</v>
      </c>
      <c r="N728" s="372" t="str">
        <f>CS_PID!N728/VLOOKUP($B728,표2[#ALL],2)/HLOOKUP($A728,표1[#ALL],row(),false)</f>
        <v>#N/A</v>
      </c>
      <c r="O728" s="372" t="str">
        <f>CS_PID!O728/VLOOKUP($B728,표2[#ALL],2)/HLOOKUP($A728,표1[#ALL],row(),false)</f>
        <v>#N/A</v>
      </c>
      <c r="P728" s="372" t="str">
        <f>CS_PID!P728/VLOOKUP($B728,표2[#ALL],2)/HLOOKUP($A728,표1[#ALL],row(),false)</f>
        <v>#N/A</v>
      </c>
      <c r="Q728" s="372" t="str">
        <f>CS_PID!Q728/VLOOKUP($B728,표2[#ALL],2)/HLOOKUP($A728,표1[#ALL],row(),false)</f>
        <v>#N/A</v>
      </c>
      <c r="R728" s="372" t="str">
        <f>CS_PID!R728/VLOOKUP($B728,표2[#ALL],2)/HLOOKUP($A728,표1[#ALL],row(),false)</f>
        <v>#N/A</v>
      </c>
      <c r="S728" s="372" t="str">
        <f>CS_PID!S728/VLOOKUP($B728,표2[#ALL],2)/HLOOKUP($A728,표1[#ALL],row(),false)</f>
        <v>#N/A</v>
      </c>
      <c r="T728" s="372" t="str">
        <f>CS_PID!T728/VLOOKUP($B728,표2[#ALL],2)/HLOOKUP($A728,표1[#ALL],row(),false)</f>
        <v>#N/A</v>
      </c>
      <c r="U728" s="372" t="str">
        <f>CS_PID!U728/VLOOKUP($B728,표2[#ALL],2)/HLOOKUP($A728,표1[#ALL],row(),false)</f>
        <v>#N/A</v>
      </c>
      <c r="V728" s="372" t="str">
        <f>CS_PID!V728/VLOOKUP($B728,표2[#ALL],2)/HLOOKUP($A728,표1[#ALL],row(),false)</f>
        <v>#N/A</v>
      </c>
      <c r="W728" s="372" t="str">
        <f>CS_PID!W728/VLOOKUP($B728,표2[#ALL],2)/HLOOKUP($A728,표1[#ALL],row(),false)</f>
        <v>#N/A</v>
      </c>
      <c r="X728" s="372" t="str">
        <f>CS_PID!X728/VLOOKUP($B728,표2[#ALL],2)/HLOOKUP($A728,표1[#ALL],row(),false)</f>
        <v>#N/A</v>
      </c>
      <c r="Y728" s="372" t="str">
        <f>CS_PID!Y728/VLOOKUP($B728,표2[#ALL],2)/HLOOKUP($A728,표1[#ALL],row(),false)</f>
        <v>#N/A</v>
      </c>
      <c r="Z728" s="372" t="str">
        <f>CS_PID!Z728/VLOOKUP($B728,표2[#ALL],2)/HLOOKUP($A728,표1[#ALL],row(),false)</f>
        <v>#N/A</v>
      </c>
      <c r="AA728" s="372" t="str">
        <f>CS_PID!AA728/VLOOKUP($B728,표2[#ALL],2)/HLOOKUP($A728,표1[#ALL],row(),false)</f>
        <v>#N/A</v>
      </c>
      <c r="AB728" s="372" t="str">
        <f>CS_PID!AB728/VLOOKUP($B728,표2[#ALL],2)/HLOOKUP($A728,표1[#ALL],row(),false)</f>
        <v>#N/A</v>
      </c>
      <c r="AC728" s="372" t="str">
        <f>CS_PID!AC728/VLOOKUP($B728,표2[#ALL],2)/HLOOKUP($A728,표1[#ALL],row(),false)</f>
        <v>#N/A</v>
      </c>
      <c r="AD728" s="372" t="str">
        <f>CS_PID!AD728/VLOOKUP($B728,표2[#ALL],2)/HLOOKUP($A728,표1[#ALL],row(),false)</f>
        <v>#N/A</v>
      </c>
      <c r="AE728" s="372" t="str">
        <f>CS_PID!AE728/VLOOKUP($B728,표2[#ALL],2)/HLOOKUP($A728,표1[#ALL],row(),false)</f>
        <v>#N/A</v>
      </c>
      <c r="AF728" s="372" t="str">
        <f>CS_PID!AF728/VLOOKUP($B728,표2[#ALL],2)/HLOOKUP($A728,표1[#ALL],row(),false)</f>
        <v>#N/A</v>
      </c>
      <c r="AG728" s="372" t="str">
        <f>CS_PID!AG728/VLOOKUP($B728,표2[#ALL],2)/HLOOKUP($A728,표1[#ALL],row(),false)</f>
        <v>#N/A</v>
      </c>
      <c r="AH728" s="372" t="str">
        <f>CS_PID!AH728/VLOOKUP($B728,표2[#ALL],2)/HLOOKUP($A728,표1[#ALL],row(),false)</f>
        <v>#N/A</v>
      </c>
      <c r="AI728" s="372" t="str">
        <f>CS_PID!AI728/VLOOKUP($B728,표2[#ALL],2)/HLOOKUP($A728,표1[#ALL],row(),false)</f>
        <v>#N/A</v>
      </c>
      <c r="AJ728" s="372" t="str">
        <f>CS_PID!AJ728/VLOOKUP($B728,표2[#ALL],2)/HLOOKUP($A728,표1[#ALL],row(),false)</f>
        <v>#N/A</v>
      </c>
      <c r="AK728" s="372" t="str">
        <f>CS_PID!AK728/VLOOKUP($B728,표2[#ALL],2)/HLOOKUP($A728,표1[#ALL],row(),false)</f>
        <v>#N/A</v>
      </c>
      <c r="AL728" s="372" t="str">
        <f>CS_PID!AL728/VLOOKUP($B728,표2[#ALL],2)/HLOOKUP($A728,표1[#ALL],row(),false)</f>
        <v>#N/A</v>
      </c>
      <c r="AM728" s="372" t="str">
        <f>CS_PID!AM728/VLOOKUP($B728,표2[#ALL],2)/HLOOKUP($A728,표1[#ALL],row(),false)</f>
        <v>#N/A</v>
      </c>
      <c r="AN728" s="372" t="str">
        <f>CS_PID!AN728/VLOOKUP($B728,표2[#ALL],2)/HLOOKUP($A728,표1[#ALL],row(),false)</f>
        <v>#N/A</v>
      </c>
      <c r="AO728" s="372" t="str">
        <f>CS_PID!AO728/VLOOKUP($B728,표2[#ALL],2)/HLOOKUP($A728,표1[#ALL],row(),false)</f>
        <v>#N/A</v>
      </c>
      <c r="AP728" s="372" t="str">
        <f>CS_PID!AP728/VLOOKUP($B728,표2[#ALL],2)/HLOOKUP($A728,표1[#ALL],row(),false)</f>
        <v>#N/A</v>
      </c>
      <c r="AQ728" s="372" t="str">
        <f>CS_PID!AQ728/VLOOKUP($B728,표2[#ALL],2)/HLOOKUP($A728,표1[#ALL],row(),false)</f>
        <v>#N/A</v>
      </c>
      <c r="AR728" s="372" t="str">
        <f>CS_PID!AR728/VLOOKUP($B728,표2[#ALL],2)/HLOOKUP($A728,표1[#ALL],row(),false)</f>
        <v>#N/A</v>
      </c>
      <c r="AS728" s="373" t="str">
        <f>CS_PID!AS728/VLOOKUP($B728,표2[#ALL],2)/HLOOKUP($A728,표1[#ALL],row(),false)</f>
        <v>#N/A</v>
      </c>
    </row>
    <row r="729">
      <c r="A729" s="374"/>
      <c r="B729" s="375"/>
      <c r="C729" s="376" t="str">
        <f>CS_PID!C729/VLOOKUP($B729,표2[#ALL],2)</f>
        <v>#N/A</v>
      </c>
      <c r="D729" s="376" t="str">
        <f>CS_PID!D729/VLOOKUP($B729,표2[#ALL],2)</f>
        <v>#N/A</v>
      </c>
      <c r="E729" s="376" t="str">
        <f>CS_PID!E729/VLOOKUP($B729,표2[#ALL],2)</f>
        <v>#N/A</v>
      </c>
      <c r="F729" s="376" t="str">
        <f>CS_PID!F729/VLOOKUP($B729,표2[#ALL],2)</f>
        <v>#N/A</v>
      </c>
      <c r="G729" s="376" t="str">
        <f>CS_PID!G729/VLOOKUP($B729,표2[#ALL],2)</f>
        <v>#N/A</v>
      </c>
      <c r="H729" s="376" t="str">
        <f>CS_PID!H729/VLOOKUP($B729,표2[#ALL],2)/HLOOKUP($A729,표1[#ALL],row(),false)</f>
        <v>#N/A</v>
      </c>
      <c r="I729" s="376" t="str">
        <f>CS_PID!I729/VLOOKUP($B729,표2[#ALL],2)/HLOOKUP($A729,표1[#ALL],row(),false)</f>
        <v>#N/A</v>
      </c>
      <c r="J729" s="376" t="str">
        <f>CS_PID!J729/VLOOKUP($B729,표2[#ALL],2)/HLOOKUP($A729,표1[#ALL],row(),false)</f>
        <v>#N/A</v>
      </c>
      <c r="K729" s="376" t="str">
        <f>CS_PID!K729/VLOOKUP($B729,표2[#ALL],2)/HLOOKUP($A729,표1[#ALL],row(),false)</f>
        <v>#N/A</v>
      </c>
      <c r="L729" s="376" t="str">
        <f>CS_PID!L729/VLOOKUP($B729,표2[#ALL],2)/HLOOKUP($A729,표1[#ALL],row(),false)</f>
        <v>#N/A</v>
      </c>
      <c r="M729" s="376" t="str">
        <f>CS_PID!M729/VLOOKUP($B729,표2[#ALL],2)/HLOOKUP($A729,표1[#ALL],row(),false)</f>
        <v>#N/A</v>
      </c>
      <c r="N729" s="376" t="str">
        <f>CS_PID!N729/VLOOKUP($B729,표2[#ALL],2)/HLOOKUP($A729,표1[#ALL],row(),false)</f>
        <v>#N/A</v>
      </c>
      <c r="O729" s="376" t="str">
        <f>CS_PID!O729/VLOOKUP($B729,표2[#ALL],2)/HLOOKUP($A729,표1[#ALL],row(),false)</f>
        <v>#N/A</v>
      </c>
      <c r="P729" s="376" t="str">
        <f>CS_PID!P729/VLOOKUP($B729,표2[#ALL],2)/HLOOKUP($A729,표1[#ALL],row(),false)</f>
        <v>#N/A</v>
      </c>
      <c r="Q729" s="376" t="str">
        <f>CS_PID!Q729/VLOOKUP($B729,표2[#ALL],2)/HLOOKUP($A729,표1[#ALL],row(),false)</f>
        <v>#N/A</v>
      </c>
      <c r="R729" s="376" t="str">
        <f>CS_PID!R729/VLOOKUP($B729,표2[#ALL],2)/HLOOKUP($A729,표1[#ALL],row(),false)</f>
        <v>#N/A</v>
      </c>
      <c r="S729" s="376" t="str">
        <f>CS_PID!S729/VLOOKUP($B729,표2[#ALL],2)/HLOOKUP($A729,표1[#ALL],row(),false)</f>
        <v>#N/A</v>
      </c>
      <c r="T729" s="376" t="str">
        <f>CS_PID!T729/VLOOKUP($B729,표2[#ALL],2)/HLOOKUP($A729,표1[#ALL],row(),false)</f>
        <v>#N/A</v>
      </c>
      <c r="U729" s="376" t="str">
        <f>CS_PID!U729/VLOOKUP($B729,표2[#ALL],2)/HLOOKUP($A729,표1[#ALL],row(),false)</f>
        <v>#N/A</v>
      </c>
      <c r="V729" s="376" t="str">
        <f>CS_PID!V729/VLOOKUP($B729,표2[#ALL],2)/HLOOKUP($A729,표1[#ALL],row(),false)</f>
        <v>#N/A</v>
      </c>
      <c r="W729" s="376" t="str">
        <f>CS_PID!W729/VLOOKUP($B729,표2[#ALL],2)/HLOOKUP($A729,표1[#ALL],row(),false)</f>
        <v>#N/A</v>
      </c>
      <c r="X729" s="376" t="str">
        <f>CS_PID!X729/VLOOKUP($B729,표2[#ALL],2)/HLOOKUP($A729,표1[#ALL],row(),false)</f>
        <v>#N/A</v>
      </c>
      <c r="Y729" s="376" t="str">
        <f>CS_PID!Y729/VLOOKUP($B729,표2[#ALL],2)/HLOOKUP($A729,표1[#ALL],row(),false)</f>
        <v>#N/A</v>
      </c>
      <c r="Z729" s="376" t="str">
        <f>CS_PID!Z729/VLOOKUP($B729,표2[#ALL],2)/HLOOKUP($A729,표1[#ALL],row(),false)</f>
        <v>#N/A</v>
      </c>
      <c r="AA729" s="376" t="str">
        <f>CS_PID!AA729/VLOOKUP($B729,표2[#ALL],2)/HLOOKUP($A729,표1[#ALL],row(),false)</f>
        <v>#N/A</v>
      </c>
      <c r="AB729" s="376" t="str">
        <f>CS_PID!AB729/VLOOKUP($B729,표2[#ALL],2)/HLOOKUP($A729,표1[#ALL],row(),false)</f>
        <v>#N/A</v>
      </c>
      <c r="AC729" s="376" t="str">
        <f>CS_PID!AC729/VLOOKUP($B729,표2[#ALL],2)/HLOOKUP($A729,표1[#ALL],row(),false)</f>
        <v>#N/A</v>
      </c>
      <c r="AD729" s="376" t="str">
        <f>CS_PID!AD729/VLOOKUP($B729,표2[#ALL],2)/HLOOKUP($A729,표1[#ALL],row(),false)</f>
        <v>#N/A</v>
      </c>
      <c r="AE729" s="376" t="str">
        <f>CS_PID!AE729/VLOOKUP($B729,표2[#ALL],2)/HLOOKUP($A729,표1[#ALL],row(),false)</f>
        <v>#N/A</v>
      </c>
      <c r="AF729" s="376" t="str">
        <f>CS_PID!AF729/VLOOKUP($B729,표2[#ALL],2)/HLOOKUP($A729,표1[#ALL],row(),false)</f>
        <v>#N/A</v>
      </c>
      <c r="AG729" s="376" t="str">
        <f>CS_PID!AG729/VLOOKUP($B729,표2[#ALL],2)/HLOOKUP($A729,표1[#ALL],row(),false)</f>
        <v>#N/A</v>
      </c>
      <c r="AH729" s="376" t="str">
        <f>CS_PID!AH729/VLOOKUP($B729,표2[#ALL],2)/HLOOKUP($A729,표1[#ALL],row(),false)</f>
        <v>#N/A</v>
      </c>
      <c r="AI729" s="376" t="str">
        <f>CS_PID!AI729/VLOOKUP($B729,표2[#ALL],2)/HLOOKUP($A729,표1[#ALL],row(),false)</f>
        <v>#N/A</v>
      </c>
      <c r="AJ729" s="376" t="str">
        <f>CS_PID!AJ729/VLOOKUP($B729,표2[#ALL],2)/HLOOKUP($A729,표1[#ALL],row(),false)</f>
        <v>#N/A</v>
      </c>
      <c r="AK729" s="376" t="str">
        <f>CS_PID!AK729/VLOOKUP($B729,표2[#ALL],2)/HLOOKUP($A729,표1[#ALL],row(),false)</f>
        <v>#N/A</v>
      </c>
      <c r="AL729" s="376" t="str">
        <f>CS_PID!AL729/VLOOKUP($B729,표2[#ALL],2)/HLOOKUP($A729,표1[#ALL],row(),false)</f>
        <v>#N/A</v>
      </c>
      <c r="AM729" s="376" t="str">
        <f>CS_PID!AM729/VLOOKUP($B729,표2[#ALL],2)/HLOOKUP($A729,표1[#ALL],row(),false)</f>
        <v>#N/A</v>
      </c>
      <c r="AN729" s="376" t="str">
        <f>CS_PID!AN729/VLOOKUP($B729,표2[#ALL],2)/HLOOKUP($A729,표1[#ALL],row(),false)</f>
        <v>#N/A</v>
      </c>
      <c r="AO729" s="376" t="str">
        <f>CS_PID!AO729/VLOOKUP($B729,표2[#ALL],2)/HLOOKUP($A729,표1[#ALL],row(),false)</f>
        <v>#N/A</v>
      </c>
      <c r="AP729" s="376" t="str">
        <f>CS_PID!AP729/VLOOKUP($B729,표2[#ALL],2)/HLOOKUP($A729,표1[#ALL],row(),false)</f>
        <v>#N/A</v>
      </c>
      <c r="AQ729" s="376" t="str">
        <f>CS_PID!AQ729/VLOOKUP($B729,표2[#ALL],2)/HLOOKUP($A729,표1[#ALL],row(),false)</f>
        <v>#N/A</v>
      </c>
      <c r="AR729" s="376" t="str">
        <f>CS_PID!AR729/VLOOKUP($B729,표2[#ALL],2)/HLOOKUP($A729,표1[#ALL],row(),false)</f>
        <v>#N/A</v>
      </c>
      <c r="AS729" s="377" t="str">
        <f>CS_PID!AS729/VLOOKUP($B729,표2[#ALL],2)/HLOOKUP($A729,표1[#ALL],row(),false)</f>
        <v>#N/A</v>
      </c>
    </row>
    <row r="730">
      <c r="A730" s="370"/>
      <c r="B730" s="371"/>
      <c r="C730" s="372" t="str">
        <f>CS_PID!C730/VLOOKUP($B730,표2[#ALL],2)</f>
        <v>#N/A</v>
      </c>
      <c r="D730" s="372" t="str">
        <f>CS_PID!D730/VLOOKUP($B730,표2[#ALL],2)</f>
        <v>#N/A</v>
      </c>
      <c r="E730" s="372" t="str">
        <f>CS_PID!E730/VLOOKUP($B730,표2[#ALL],2)</f>
        <v>#N/A</v>
      </c>
      <c r="F730" s="372" t="str">
        <f>CS_PID!F730/VLOOKUP($B730,표2[#ALL],2)</f>
        <v>#N/A</v>
      </c>
      <c r="G730" s="372" t="str">
        <f>CS_PID!G730/VLOOKUP($B730,표2[#ALL],2)</f>
        <v>#N/A</v>
      </c>
      <c r="H730" s="372" t="str">
        <f>CS_PID!H730/VLOOKUP($B730,표2[#ALL],2)/HLOOKUP($A730,표1[#ALL],row(),false)</f>
        <v>#N/A</v>
      </c>
      <c r="I730" s="372" t="str">
        <f>CS_PID!I730/VLOOKUP($B730,표2[#ALL],2)/HLOOKUP($A730,표1[#ALL],row(),false)</f>
        <v>#N/A</v>
      </c>
      <c r="J730" s="372" t="str">
        <f>CS_PID!J730/VLOOKUP($B730,표2[#ALL],2)/HLOOKUP($A730,표1[#ALL],row(),false)</f>
        <v>#N/A</v>
      </c>
      <c r="K730" s="372" t="str">
        <f>CS_PID!K730/VLOOKUP($B730,표2[#ALL],2)/HLOOKUP($A730,표1[#ALL],row(),false)</f>
        <v>#N/A</v>
      </c>
      <c r="L730" s="372" t="str">
        <f>CS_PID!L730/VLOOKUP($B730,표2[#ALL],2)/HLOOKUP($A730,표1[#ALL],row(),false)</f>
        <v>#N/A</v>
      </c>
      <c r="M730" s="372" t="str">
        <f>CS_PID!M730/VLOOKUP($B730,표2[#ALL],2)/HLOOKUP($A730,표1[#ALL],row(),false)</f>
        <v>#N/A</v>
      </c>
      <c r="N730" s="372" t="str">
        <f>CS_PID!N730/VLOOKUP($B730,표2[#ALL],2)/HLOOKUP($A730,표1[#ALL],row(),false)</f>
        <v>#N/A</v>
      </c>
      <c r="O730" s="372" t="str">
        <f>CS_PID!O730/VLOOKUP($B730,표2[#ALL],2)/HLOOKUP($A730,표1[#ALL],row(),false)</f>
        <v>#N/A</v>
      </c>
      <c r="P730" s="372" t="str">
        <f>CS_PID!P730/VLOOKUP($B730,표2[#ALL],2)/HLOOKUP($A730,표1[#ALL],row(),false)</f>
        <v>#N/A</v>
      </c>
      <c r="Q730" s="372" t="str">
        <f>CS_PID!Q730/VLOOKUP($B730,표2[#ALL],2)/HLOOKUP($A730,표1[#ALL],row(),false)</f>
        <v>#N/A</v>
      </c>
      <c r="R730" s="372" t="str">
        <f>CS_PID!R730/VLOOKUP($B730,표2[#ALL],2)/HLOOKUP($A730,표1[#ALL],row(),false)</f>
        <v>#N/A</v>
      </c>
      <c r="S730" s="372" t="str">
        <f>CS_PID!S730/VLOOKUP($B730,표2[#ALL],2)/HLOOKUP($A730,표1[#ALL],row(),false)</f>
        <v>#N/A</v>
      </c>
      <c r="T730" s="372" t="str">
        <f>CS_PID!T730/VLOOKUP($B730,표2[#ALL],2)/HLOOKUP($A730,표1[#ALL],row(),false)</f>
        <v>#N/A</v>
      </c>
      <c r="U730" s="372" t="str">
        <f>CS_PID!U730/VLOOKUP($B730,표2[#ALL],2)/HLOOKUP($A730,표1[#ALL],row(),false)</f>
        <v>#N/A</v>
      </c>
      <c r="V730" s="372" t="str">
        <f>CS_PID!V730/VLOOKUP($B730,표2[#ALL],2)/HLOOKUP($A730,표1[#ALL],row(),false)</f>
        <v>#N/A</v>
      </c>
      <c r="W730" s="372" t="str">
        <f>CS_PID!W730/VLOOKUP($B730,표2[#ALL],2)/HLOOKUP($A730,표1[#ALL],row(),false)</f>
        <v>#N/A</v>
      </c>
      <c r="X730" s="372" t="str">
        <f>CS_PID!X730/VLOOKUP($B730,표2[#ALL],2)/HLOOKUP($A730,표1[#ALL],row(),false)</f>
        <v>#N/A</v>
      </c>
      <c r="Y730" s="372" t="str">
        <f>CS_PID!Y730/VLOOKUP($B730,표2[#ALL],2)/HLOOKUP($A730,표1[#ALL],row(),false)</f>
        <v>#N/A</v>
      </c>
      <c r="Z730" s="372" t="str">
        <f>CS_PID!Z730/VLOOKUP($B730,표2[#ALL],2)/HLOOKUP($A730,표1[#ALL],row(),false)</f>
        <v>#N/A</v>
      </c>
      <c r="AA730" s="372" t="str">
        <f>CS_PID!AA730/VLOOKUP($B730,표2[#ALL],2)/HLOOKUP($A730,표1[#ALL],row(),false)</f>
        <v>#N/A</v>
      </c>
      <c r="AB730" s="372" t="str">
        <f>CS_PID!AB730/VLOOKUP($B730,표2[#ALL],2)/HLOOKUP($A730,표1[#ALL],row(),false)</f>
        <v>#N/A</v>
      </c>
      <c r="AC730" s="372" t="str">
        <f>CS_PID!AC730/VLOOKUP($B730,표2[#ALL],2)/HLOOKUP($A730,표1[#ALL],row(),false)</f>
        <v>#N/A</v>
      </c>
      <c r="AD730" s="372" t="str">
        <f>CS_PID!AD730/VLOOKUP($B730,표2[#ALL],2)/HLOOKUP($A730,표1[#ALL],row(),false)</f>
        <v>#N/A</v>
      </c>
      <c r="AE730" s="372" t="str">
        <f>CS_PID!AE730/VLOOKUP($B730,표2[#ALL],2)/HLOOKUP($A730,표1[#ALL],row(),false)</f>
        <v>#N/A</v>
      </c>
      <c r="AF730" s="372" t="str">
        <f>CS_PID!AF730/VLOOKUP($B730,표2[#ALL],2)/HLOOKUP($A730,표1[#ALL],row(),false)</f>
        <v>#N/A</v>
      </c>
      <c r="AG730" s="372" t="str">
        <f>CS_PID!AG730/VLOOKUP($B730,표2[#ALL],2)/HLOOKUP($A730,표1[#ALL],row(),false)</f>
        <v>#N/A</v>
      </c>
      <c r="AH730" s="372" t="str">
        <f>CS_PID!AH730/VLOOKUP($B730,표2[#ALL],2)/HLOOKUP($A730,표1[#ALL],row(),false)</f>
        <v>#N/A</v>
      </c>
      <c r="AI730" s="372" t="str">
        <f>CS_PID!AI730/VLOOKUP($B730,표2[#ALL],2)/HLOOKUP($A730,표1[#ALL],row(),false)</f>
        <v>#N/A</v>
      </c>
      <c r="AJ730" s="372" t="str">
        <f>CS_PID!AJ730/VLOOKUP($B730,표2[#ALL],2)/HLOOKUP($A730,표1[#ALL],row(),false)</f>
        <v>#N/A</v>
      </c>
      <c r="AK730" s="372" t="str">
        <f>CS_PID!AK730/VLOOKUP($B730,표2[#ALL],2)/HLOOKUP($A730,표1[#ALL],row(),false)</f>
        <v>#N/A</v>
      </c>
      <c r="AL730" s="372" t="str">
        <f>CS_PID!AL730/VLOOKUP($B730,표2[#ALL],2)/HLOOKUP($A730,표1[#ALL],row(),false)</f>
        <v>#N/A</v>
      </c>
      <c r="AM730" s="372" t="str">
        <f>CS_PID!AM730/VLOOKUP($B730,표2[#ALL],2)/HLOOKUP($A730,표1[#ALL],row(),false)</f>
        <v>#N/A</v>
      </c>
      <c r="AN730" s="372" t="str">
        <f>CS_PID!AN730/VLOOKUP($B730,표2[#ALL],2)/HLOOKUP($A730,표1[#ALL],row(),false)</f>
        <v>#N/A</v>
      </c>
      <c r="AO730" s="372" t="str">
        <f>CS_PID!AO730/VLOOKUP($B730,표2[#ALL],2)/HLOOKUP($A730,표1[#ALL],row(),false)</f>
        <v>#N/A</v>
      </c>
      <c r="AP730" s="372" t="str">
        <f>CS_PID!AP730/VLOOKUP($B730,표2[#ALL],2)/HLOOKUP($A730,표1[#ALL],row(),false)</f>
        <v>#N/A</v>
      </c>
      <c r="AQ730" s="372" t="str">
        <f>CS_PID!AQ730/VLOOKUP($B730,표2[#ALL],2)/HLOOKUP($A730,표1[#ALL],row(),false)</f>
        <v>#N/A</v>
      </c>
      <c r="AR730" s="372" t="str">
        <f>CS_PID!AR730/VLOOKUP($B730,표2[#ALL],2)/HLOOKUP($A730,표1[#ALL],row(),false)</f>
        <v>#N/A</v>
      </c>
      <c r="AS730" s="373" t="str">
        <f>CS_PID!AS730/VLOOKUP($B730,표2[#ALL],2)/HLOOKUP($A730,표1[#ALL],row(),false)</f>
        <v>#N/A</v>
      </c>
    </row>
    <row r="731">
      <c r="A731" s="374"/>
      <c r="B731" s="375"/>
      <c r="C731" s="376" t="str">
        <f>CS_PID!C731/VLOOKUP($B731,표2[#ALL],2)</f>
        <v>#N/A</v>
      </c>
      <c r="D731" s="376" t="str">
        <f>CS_PID!D731/VLOOKUP($B731,표2[#ALL],2)</f>
        <v>#N/A</v>
      </c>
      <c r="E731" s="376" t="str">
        <f>CS_PID!E731/VLOOKUP($B731,표2[#ALL],2)</f>
        <v>#N/A</v>
      </c>
      <c r="F731" s="376" t="str">
        <f>CS_PID!F731/VLOOKUP($B731,표2[#ALL],2)</f>
        <v>#N/A</v>
      </c>
      <c r="G731" s="376" t="str">
        <f>CS_PID!G731/VLOOKUP($B731,표2[#ALL],2)</f>
        <v>#N/A</v>
      </c>
      <c r="H731" s="376" t="str">
        <f>CS_PID!H731/VLOOKUP($B731,표2[#ALL],2)/HLOOKUP($A731,표1[#ALL],row(),false)</f>
        <v>#N/A</v>
      </c>
      <c r="I731" s="376" t="str">
        <f>CS_PID!I731/VLOOKUP($B731,표2[#ALL],2)/HLOOKUP($A731,표1[#ALL],row(),false)</f>
        <v>#N/A</v>
      </c>
      <c r="J731" s="376" t="str">
        <f>CS_PID!J731/VLOOKUP($B731,표2[#ALL],2)/HLOOKUP($A731,표1[#ALL],row(),false)</f>
        <v>#N/A</v>
      </c>
      <c r="K731" s="376" t="str">
        <f>CS_PID!K731/VLOOKUP($B731,표2[#ALL],2)/HLOOKUP($A731,표1[#ALL],row(),false)</f>
        <v>#N/A</v>
      </c>
      <c r="L731" s="376" t="str">
        <f>CS_PID!L731/VLOOKUP($B731,표2[#ALL],2)/HLOOKUP($A731,표1[#ALL],row(),false)</f>
        <v>#N/A</v>
      </c>
      <c r="M731" s="376" t="str">
        <f>CS_PID!M731/VLOOKUP($B731,표2[#ALL],2)/HLOOKUP($A731,표1[#ALL],row(),false)</f>
        <v>#N/A</v>
      </c>
      <c r="N731" s="376" t="str">
        <f>CS_PID!N731/VLOOKUP($B731,표2[#ALL],2)/HLOOKUP($A731,표1[#ALL],row(),false)</f>
        <v>#N/A</v>
      </c>
      <c r="O731" s="376" t="str">
        <f>CS_PID!O731/VLOOKUP($B731,표2[#ALL],2)/HLOOKUP($A731,표1[#ALL],row(),false)</f>
        <v>#N/A</v>
      </c>
      <c r="P731" s="376" t="str">
        <f>CS_PID!P731/VLOOKUP($B731,표2[#ALL],2)/HLOOKUP($A731,표1[#ALL],row(),false)</f>
        <v>#N/A</v>
      </c>
      <c r="Q731" s="376" t="str">
        <f>CS_PID!Q731/VLOOKUP($B731,표2[#ALL],2)/HLOOKUP($A731,표1[#ALL],row(),false)</f>
        <v>#N/A</v>
      </c>
      <c r="R731" s="376" t="str">
        <f>CS_PID!R731/VLOOKUP($B731,표2[#ALL],2)/HLOOKUP($A731,표1[#ALL],row(),false)</f>
        <v>#N/A</v>
      </c>
      <c r="S731" s="376" t="str">
        <f>CS_PID!S731/VLOOKUP($B731,표2[#ALL],2)/HLOOKUP($A731,표1[#ALL],row(),false)</f>
        <v>#N/A</v>
      </c>
      <c r="T731" s="376" t="str">
        <f>CS_PID!T731/VLOOKUP($B731,표2[#ALL],2)/HLOOKUP($A731,표1[#ALL],row(),false)</f>
        <v>#N/A</v>
      </c>
      <c r="U731" s="376" t="str">
        <f>CS_PID!U731/VLOOKUP($B731,표2[#ALL],2)/HLOOKUP($A731,표1[#ALL],row(),false)</f>
        <v>#N/A</v>
      </c>
      <c r="V731" s="376" t="str">
        <f>CS_PID!V731/VLOOKUP($B731,표2[#ALL],2)/HLOOKUP($A731,표1[#ALL],row(),false)</f>
        <v>#N/A</v>
      </c>
      <c r="W731" s="376" t="str">
        <f>CS_PID!W731/VLOOKUP($B731,표2[#ALL],2)/HLOOKUP($A731,표1[#ALL],row(),false)</f>
        <v>#N/A</v>
      </c>
      <c r="X731" s="376" t="str">
        <f>CS_PID!X731/VLOOKUP($B731,표2[#ALL],2)/HLOOKUP($A731,표1[#ALL],row(),false)</f>
        <v>#N/A</v>
      </c>
      <c r="Y731" s="376" t="str">
        <f>CS_PID!Y731/VLOOKUP($B731,표2[#ALL],2)/HLOOKUP($A731,표1[#ALL],row(),false)</f>
        <v>#N/A</v>
      </c>
      <c r="Z731" s="376" t="str">
        <f>CS_PID!Z731/VLOOKUP($B731,표2[#ALL],2)/HLOOKUP($A731,표1[#ALL],row(),false)</f>
        <v>#N/A</v>
      </c>
      <c r="AA731" s="376" t="str">
        <f>CS_PID!AA731/VLOOKUP($B731,표2[#ALL],2)/HLOOKUP($A731,표1[#ALL],row(),false)</f>
        <v>#N/A</v>
      </c>
      <c r="AB731" s="376" t="str">
        <f>CS_PID!AB731/VLOOKUP($B731,표2[#ALL],2)/HLOOKUP($A731,표1[#ALL],row(),false)</f>
        <v>#N/A</v>
      </c>
      <c r="AC731" s="376" t="str">
        <f>CS_PID!AC731/VLOOKUP($B731,표2[#ALL],2)/HLOOKUP($A731,표1[#ALL],row(),false)</f>
        <v>#N/A</v>
      </c>
      <c r="AD731" s="376" t="str">
        <f>CS_PID!AD731/VLOOKUP($B731,표2[#ALL],2)/HLOOKUP($A731,표1[#ALL],row(),false)</f>
        <v>#N/A</v>
      </c>
      <c r="AE731" s="376" t="str">
        <f>CS_PID!AE731/VLOOKUP($B731,표2[#ALL],2)/HLOOKUP($A731,표1[#ALL],row(),false)</f>
        <v>#N/A</v>
      </c>
      <c r="AF731" s="376" t="str">
        <f>CS_PID!AF731/VLOOKUP($B731,표2[#ALL],2)/HLOOKUP($A731,표1[#ALL],row(),false)</f>
        <v>#N/A</v>
      </c>
      <c r="AG731" s="376" t="str">
        <f>CS_PID!AG731/VLOOKUP($B731,표2[#ALL],2)/HLOOKUP($A731,표1[#ALL],row(),false)</f>
        <v>#N/A</v>
      </c>
      <c r="AH731" s="376" t="str">
        <f>CS_PID!AH731/VLOOKUP($B731,표2[#ALL],2)/HLOOKUP($A731,표1[#ALL],row(),false)</f>
        <v>#N/A</v>
      </c>
      <c r="AI731" s="376" t="str">
        <f>CS_PID!AI731/VLOOKUP($B731,표2[#ALL],2)/HLOOKUP($A731,표1[#ALL],row(),false)</f>
        <v>#N/A</v>
      </c>
      <c r="AJ731" s="376" t="str">
        <f>CS_PID!AJ731/VLOOKUP($B731,표2[#ALL],2)/HLOOKUP($A731,표1[#ALL],row(),false)</f>
        <v>#N/A</v>
      </c>
      <c r="AK731" s="376" t="str">
        <f>CS_PID!AK731/VLOOKUP($B731,표2[#ALL],2)/HLOOKUP($A731,표1[#ALL],row(),false)</f>
        <v>#N/A</v>
      </c>
      <c r="AL731" s="376" t="str">
        <f>CS_PID!AL731/VLOOKUP($B731,표2[#ALL],2)/HLOOKUP($A731,표1[#ALL],row(),false)</f>
        <v>#N/A</v>
      </c>
      <c r="AM731" s="376" t="str">
        <f>CS_PID!AM731/VLOOKUP($B731,표2[#ALL],2)/HLOOKUP($A731,표1[#ALL],row(),false)</f>
        <v>#N/A</v>
      </c>
      <c r="AN731" s="376" t="str">
        <f>CS_PID!AN731/VLOOKUP($B731,표2[#ALL],2)/HLOOKUP($A731,표1[#ALL],row(),false)</f>
        <v>#N/A</v>
      </c>
      <c r="AO731" s="376" t="str">
        <f>CS_PID!AO731/VLOOKUP($B731,표2[#ALL],2)/HLOOKUP($A731,표1[#ALL],row(),false)</f>
        <v>#N/A</v>
      </c>
      <c r="AP731" s="376" t="str">
        <f>CS_PID!AP731/VLOOKUP($B731,표2[#ALL],2)/HLOOKUP($A731,표1[#ALL],row(),false)</f>
        <v>#N/A</v>
      </c>
      <c r="AQ731" s="376" t="str">
        <f>CS_PID!AQ731/VLOOKUP($B731,표2[#ALL],2)/HLOOKUP($A731,표1[#ALL],row(),false)</f>
        <v>#N/A</v>
      </c>
      <c r="AR731" s="376" t="str">
        <f>CS_PID!AR731/VLOOKUP($B731,표2[#ALL],2)/HLOOKUP($A731,표1[#ALL],row(),false)</f>
        <v>#N/A</v>
      </c>
      <c r="AS731" s="377" t="str">
        <f>CS_PID!AS731/VLOOKUP($B731,표2[#ALL],2)/HLOOKUP($A731,표1[#ALL],row(),false)</f>
        <v>#N/A</v>
      </c>
    </row>
    <row r="732">
      <c r="A732" s="370"/>
      <c r="B732" s="371"/>
      <c r="C732" s="372" t="str">
        <f>CS_PID!C732/VLOOKUP($B732,표2[#ALL],2)</f>
        <v>#N/A</v>
      </c>
      <c r="D732" s="372" t="str">
        <f>CS_PID!D732/VLOOKUP($B732,표2[#ALL],2)</f>
        <v>#N/A</v>
      </c>
      <c r="E732" s="372" t="str">
        <f>CS_PID!E732/VLOOKUP($B732,표2[#ALL],2)</f>
        <v>#N/A</v>
      </c>
      <c r="F732" s="372" t="str">
        <f>CS_PID!F732/VLOOKUP($B732,표2[#ALL],2)</f>
        <v>#N/A</v>
      </c>
      <c r="G732" s="372" t="str">
        <f>CS_PID!G732/VLOOKUP($B732,표2[#ALL],2)</f>
        <v>#N/A</v>
      </c>
      <c r="H732" s="372" t="str">
        <f>CS_PID!H732/VLOOKUP($B732,표2[#ALL],2)/HLOOKUP($A732,표1[#ALL],row(),false)</f>
        <v>#N/A</v>
      </c>
      <c r="I732" s="372" t="str">
        <f>CS_PID!I732/VLOOKUP($B732,표2[#ALL],2)/HLOOKUP($A732,표1[#ALL],row(),false)</f>
        <v>#N/A</v>
      </c>
      <c r="J732" s="372" t="str">
        <f>CS_PID!J732/VLOOKUP($B732,표2[#ALL],2)/HLOOKUP($A732,표1[#ALL],row(),false)</f>
        <v>#N/A</v>
      </c>
      <c r="K732" s="372" t="str">
        <f>CS_PID!K732/VLOOKUP($B732,표2[#ALL],2)/HLOOKUP($A732,표1[#ALL],row(),false)</f>
        <v>#N/A</v>
      </c>
      <c r="L732" s="372" t="str">
        <f>CS_PID!L732/VLOOKUP($B732,표2[#ALL],2)/HLOOKUP($A732,표1[#ALL],row(),false)</f>
        <v>#N/A</v>
      </c>
      <c r="M732" s="372" t="str">
        <f>CS_PID!M732/VLOOKUP($B732,표2[#ALL],2)/HLOOKUP($A732,표1[#ALL],row(),false)</f>
        <v>#N/A</v>
      </c>
      <c r="N732" s="372" t="str">
        <f>CS_PID!N732/VLOOKUP($B732,표2[#ALL],2)/HLOOKUP($A732,표1[#ALL],row(),false)</f>
        <v>#N/A</v>
      </c>
      <c r="O732" s="372" t="str">
        <f>CS_PID!O732/VLOOKUP($B732,표2[#ALL],2)/HLOOKUP($A732,표1[#ALL],row(),false)</f>
        <v>#N/A</v>
      </c>
      <c r="P732" s="372" t="str">
        <f>CS_PID!P732/VLOOKUP($B732,표2[#ALL],2)/HLOOKUP($A732,표1[#ALL],row(),false)</f>
        <v>#N/A</v>
      </c>
      <c r="Q732" s="372" t="str">
        <f>CS_PID!Q732/VLOOKUP($B732,표2[#ALL],2)/HLOOKUP($A732,표1[#ALL],row(),false)</f>
        <v>#N/A</v>
      </c>
      <c r="R732" s="372" t="str">
        <f>CS_PID!R732/VLOOKUP($B732,표2[#ALL],2)/HLOOKUP($A732,표1[#ALL],row(),false)</f>
        <v>#N/A</v>
      </c>
      <c r="S732" s="372" t="str">
        <f>CS_PID!S732/VLOOKUP($B732,표2[#ALL],2)/HLOOKUP($A732,표1[#ALL],row(),false)</f>
        <v>#N/A</v>
      </c>
      <c r="T732" s="372" t="str">
        <f>CS_PID!T732/VLOOKUP($B732,표2[#ALL],2)/HLOOKUP($A732,표1[#ALL],row(),false)</f>
        <v>#N/A</v>
      </c>
      <c r="U732" s="372" t="str">
        <f>CS_PID!U732/VLOOKUP($B732,표2[#ALL],2)/HLOOKUP($A732,표1[#ALL],row(),false)</f>
        <v>#N/A</v>
      </c>
      <c r="V732" s="372" t="str">
        <f>CS_PID!V732/VLOOKUP($B732,표2[#ALL],2)/HLOOKUP($A732,표1[#ALL],row(),false)</f>
        <v>#N/A</v>
      </c>
      <c r="W732" s="372" t="str">
        <f>CS_PID!W732/VLOOKUP($B732,표2[#ALL],2)/HLOOKUP($A732,표1[#ALL],row(),false)</f>
        <v>#N/A</v>
      </c>
      <c r="X732" s="372" t="str">
        <f>CS_PID!X732/VLOOKUP($B732,표2[#ALL],2)/HLOOKUP($A732,표1[#ALL],row(),false)</f>
        <v>#N/A</v>
      </c>
      <c r="Y732" s="372" t="str">
        <f>CS_PID!Y732/VLOOKUP($B732,표2[#ALL],2)/HLOOKUP($A732,표1[#ALL],row(),false)</f>
        <v>#N/A</v>
      </c>
      <c r="Z732" s="372" t="str">
        <f>CS_PID!Z732/VLOOKUP($B732,표2[#ALL],2)/HLOOKUP($A732,표1[#ALL],row(),false)</f>
        <v>#N/A</v>
      </c>
      <c r="AA732" s="372" t="str">
        <f>CS_PID!AA732/VLOOKUP($B732,표2[#ALL],2)/HLOOKUP($A732,표1[#ALL],row(),false)</f>
        <v>#N/A</v>
      </c>
      <c r="AB732" s="372" t="str">
        <f>CS_PID!AB732/VLOOKUP($B732,표2[#ALL],2)/HLOOKUP($A732,표1[#ALL],row(),false)</f>
        <v>#N/A</v>
      </c>
      <c r="AC732" s="372" t="str">
        <f>CS_PID!AC732/VLOOKUP($B732,표2[#ALL],2)/HLOOKUP($A732,표1[#ALL],row(),false)</f>
        <v>#N/A</v>
      </c>
      <c r="AD732" s="372" t="str">
        <f>CS_PID!AD732/VLOOKUP($B732,표2[#ALL],2)/HLOOKUP($A732,표1[#ALL],row(),false)</f>
        <v>#N/A</v>
      </c>
      <c r="AE732" s="372" t="str">
        <f>CS_PID!AE732/VLOOKUP($B732,표2[#ALL],2)/HLOOKUP($A732,표1[#ALL],row(),false)</f>
        <v>#N/A</v>
      </c>
      <c r="AF732" s="372" t="str">
        <f>CS_PID!AF732/VLOOKUP($B732,표2[#ALL],2)/HLOOKUP($A732,표1[#ALL],row(),false)</f>
        <v>#N/A</v>
      </c>
      <c r="AG732" s="372" t="str">
        <f>CS_PID!AG732/VLOOKUP($B732,표2[#ALL],2)/HLOOKUP($A732,표1[#ALL],row(),false)</f>
        <v>#N/A</v>
      </c>
      <c r="AH732" s="372" t="str">
        <f>CS_PID!AH732/VLOOKUP($B732,표2[#ALL],2)/HLOOKUP($A732,표1[#ALL],row(),false)</f>
        <v>#N/A</v>
      </c>
      <c r="AI732" s="372" t="str">
        <f>CS_PID!AI732/VLOOKUP($B732,표2[#ALL],2)/HLOOKUP($A732,표1[#ALL],row(),false)</f>
        <v>#N/A</v>
      </c>
      <c r="AJ732" s="372" t="str">
        <f>CS_PID!AJ732/VLOOKUP($B732,표2[#ALL],2)/HLOOKUP($A732,표1[#ALL],row(),false)</f>
        <v>#N/A</v>
      </c>
      <c r="AK732" s="372" t="str">
        <f>CS_PID!AK732/VLOOKUP($B732,표2[#ALL],2)/HLOOKUP($A732,표1[#ALL],row(),false)</f>
        <v>#N/A</v>
      </c>
      <c r="AL732" s="372" t="str">
        <f>CS_PID!AL732/VLOOKUP($B732,표2[#ALL],2)/HLOOKUP($A732,표1[#ALL],row(),false)</f>
        <v>#N/A</v>
      </c>
      <c r="AM732" s="372" t="str">
        <f>CS_PID!AM732/VLOOKUP($B732,표2[#ALL],2)/HLOOKUP($A732,표1[#ALL],row(),false)</f>
        <v>#N/A</v>
      </c>
      <c r="AN732" s="372" t="str">
        <f>CS_PID!AN732/VLOOKUP($B732,표2[#ALL],2)/HLOOKUP($A732,표1[#ALL],row(),false)</f>
        <v>#N/A</v>
      </c>
      <c r="AO732" s="372" t="str">
        <f>CS_PID!AO732/VLOOKUP($B732,표2[#ALL],2)/HLOOKUP($A732,표1[#ALL],row(),false)</f>
        <v>#N/A</v>
      </c>
      <c r="AP732" s="372" t="str">
        <f>CS_PID!AP732/VLOOKUP($B732,표2[#ALL],2)/HLOOKUP($A732,표1[#ALL],row(),false)</f>
        <v>#N/A</v>
      </c>
      <c r="AQ732" s="372" t="str">
        <f>CS_PID!AQ732/VLOOKUP($B732,표2[#ALL],2)/HLOOKUP($A732,표1[#ALL],row(),false)</f>
        <v>#N/A</v>
      </c>
      <c r="AR732" s="372" t="str">
        <f>CS_PID!AR732/VLOOKUP($B732,표2[#ALL],2)/HLOOKUP($A732,표1[#ALL],row(),false)</f>
        <v>#N/A</v>
      </c>
      <c r="AS732" s="373" t="str">
        <f>CS_PID!AS732/VLOOKUP($B732,표2[#ALL],2)/HLOOKUP($A732,표1[#ALL],row(),false)</f>
        <v>#N/A</v>
      </c>
    </row>
    <row r="733">
      <c r="A733" s="374"/>
      <c r="B733" s="375"/>
      <c r="C733" s="376" t="str">
        <f>CS_PID!C733/VLOOKUP($B733,표2[#ALL],2)</f>
        <v>#N/A</v>
      </c>
      <c r="D733" s="376" t="str">
        <f>CS_PID!D733/VLOOKUP($B733,표2[#ALL],2)</f>
        <v>#N/A</v>
      </c>
      <c r="E733" s="376" t="str">
        <f>CS_PID!E733/VLOOKUP($B733,표2[#ALL],2)</f>
        <v>#N/A</v>
      </c>
      <c r="F733" s="376" t="str">
        <f>CS_PID!F733/VLOOKUP($B733,표2[#ALL],2)</f>
        <v>#N/A</v>
      </c>
      <c r="G733" s="376" t="str">
        <f>CS_PID!G733/VLOOKUP($B733,표2[#ALL],2)</f>
        <v>#N/A</v>
      </c>
      <c r="H733" s="376" t="str">
        <f>CS_PID!H733/VLOOKUP($B733,표2[#ALL],2)/HLOOKUP($A733,표1[#ALL],row(),false)</f>
        <v>#N/A</v>
      </c>
      <c r="I733" s="376" t="str">
        <f>CS_PID!I733/VLOOKUP($B733,표2[#ALL],2)/HLOOKUP($A733,표1[#ALL],row(),false)</f>
        <v>#N/A</v>
      </c>
      <c r="J733" s="376" t="str">
        <f>CS_PID!J733/VLOOKUP($B733,표2[#ALL],2)/HLOOKUP($A733,표1[#ALL],row(),false)</f>
        <v>#N/A</v>
      </c>
      <c r="K733" s="376" t="str">
        <f>CS_PID!K733/VLOOKUP($B733,표2[#ALL],2)/HLOOKUP($A733,표1[#ALL],row(),false)</f>
        <v>#N/A</v>
      </c>
      <c r="L733" s="376" t="str">
        <f>CS_PID!L733/VLOOKUP($B733,표2[#ALL],2)/HLOOKUP($A733,표1[#ALL],row(),false)</f>
        <v>#N/A</v>
      </c>
      <c r="M733" s="376" t="str">
        <f>CS_PID!M733/VLOOKUP($B733,표2[#ALL],2)/HLOOKUP($A733,표1[#ALL],row(),false)</f>
        <v>#N/A</v>
      </c>
      <c r="N733" s="376" t="str">
        <f>CS_PID!N733/VLOOKUP($B733,표2[#ALL],2)/HLOOKUP($A733,표1[#ALL],row(),false)</f>
        <v>#N/A</v>
      </c>
      <c r="O733" s="376" t="str">
        <f>CS_PID!O733/VLOOKUP($B733,표2[#ALL],2)/HLOOKUP($A733,표1[#ALL],row(),false)</f>
        <v>#N/A</v>
      </c>
      <c r="P733" s="376" t="str">
        <f>CS_PID!P733/VLOOKUP($B733,표2[#ALL],2)/HLOOKUP($A733,표1[#ALL],row(),false)</f>
        <v>#N/A</v>
      </c>
      <c r="Q733" s="376" t="str">
        <f>CS_PID!Q733/VLOOKUP($B733,표2[#ALL],2)/HLOOKUP($A733,표1[#ALL],row(),false)</f>
        <v>#N/A</v>
      </c>
      <c r="R733" s="376" t="str">
        <f>CS_PID!R733/VLOOKUP($B733,표2[#ALL],2)/HLOOKUP($A733,표1[#ALL],row(),false)</f>
        <v>#N/A</v>
      </c>
      <c r="S733" s="376" t="str">
        <f>CS_PID!S733/VLOOKUP($B733,표2[#ALL],2)/HLOOKUP($A733,표1[#ALL],row(),false)</f>
        <v>#N/A</v>
      </c>
      <c r="T733" s="376" t="str">
        <f>CS_PID!T733/VLOOKUP($B733,표2[#ALL],2)/HLOOKUP($A733,표1[#ALL],row(),false)</f>
        <v>#N/A</v>
      </c>
      <c r="U733" s="376" t="str">
        <f>CS_PID!U733/VLOOKUP($B733,표2[#ALL],2)/HLOOKUP($A733,표1[#ALL],row(),false)</f>
        <v>#N/A</v>
      </c>
      <c r="V733" s="376" t="str">
        <f>CS_PID!V733/VLOOKUP($B733,표2[#ALL],2)/HLOOKUP($A733,표1[#ALL],row(),false)</f>
        <v>#N/A</v>
      </c>
      <c r="W733" s="376" t="str">
        <f>CS_PID!W733/VLOOKUP($B733,표2[#ALL],2)/HLOOKUP($A733,표1[#ALL],row(),false)</f>
        <v>#N/A</v>
      </c>
      <c r="X733" s="376" t="str">
        <f>CS_PID!X733/VLOOKUP($B733,표2[#ALL],2)/HLOOKUP($A733,표1[#ALL],row(),false)</f>
        <v>#N/A</v>
      </c>
      <c r="Y733" s="376" t="str">
        <f>CS_PID!Y733/VLOOKUP($B733,표2[#ALL],2)/HLOOKUP($A733,표1[#ALL],row(),false)</f>
        <v>#N/A</v>
      </c>
      <c r="Z733" s="376" t="str">
        <f>CS_PID!Z733/VLOOKUP($B733,표2[#ALL],2)/HLOOKUP($A733,표1[#ALL],row(),false)</f>
        <v>#N/A</v>
      </c>
      <c r="AA733" s="376" t="str">
        <f>CS_PID!AA733/VLOOKUP($B733,표2[#ALL],2)/HLOOKUP($A733,표1[#ALL],row(),false)</f>
        <v>#N/A</v>
      </c>
      <c r="AB733" s="376" t="str">
        <f>CS_PID!AB733/VLOOKUP($B733,표2[#ALL],2)/HLOOKUP($A733,표1[#ALL],row(),false)</f>
        <v>#N/A</v>
      </c>
      <c r="AC733" s="376" t="str">
        <f>CS_PID!AC733/VLOOKUP($B733,표2[#ALL],2)/HLOOKUP($A733,표1[#ALL],row(),false)</f>
        <v>#N/A</v>
      </c>
      <c r="AD733" s="376" t="str">
        <f>CS_PID!AD733/VLOOKUP($B733,표2[#ALL],2)/HLOOKUP($A733,표1[#ALL],row(),false)</f>
        <v>#N/A</v>
      </c>
      <c r="AE733" s="376" t="str">
        <f>CS_PID!AE733/VLOOKUP($B733,표2[#ALL],2)/HLOOKUP($A733,표1[#ALL],row(),false)</f>
        <v>#N/A</v>
      </c>
      <c r="AF733" s="376" t="str">
        <f>CS_PID!AF733/VLOOKUP($B733,표2[#ALL],2)/HLOOKUP($A733,표1[#ALL],row(),false)</f>
        <v>#N/A</v>
      </c>
      <c r="AG733" s="376" t="str">
        <f>CS_PID!AG733/VLOOKUP($B733,표2[#ALL],2)/HLOOKUP($A733,표1[#ALL],row(),false)</f>
        <v>#N/A</v>
      </c>
      <c r="AH733" s="376" t="str">
        <f>CS_PID!AH733/VLOOKUP($B733,표2[#ALL],2)/HLOOKUP($A733,표1[#ALL],row(),false)</f>
        <v>#N/A</v>
      </c>
      <c r="AI733" s="376" t="str">
        <f>CS_PID!AI733/VLOOKUP($B733,표2[#ALL],2)/HLOOKUP($A733,표1[#ALL],row(),false)</f>
        <v>#N/A</v>
      </c>
      <c r="AJ733" s="376" t="str">
        <f>CS_PID!AJ733/VLOOKUP($B733,표2[#ALL],2)/HLOOKUP($A733,표1[#ALL],row(),false)</f>
        <v>#N/A</v>
      </c>
      <c r="AK733" s="376" t="str">
        <f>CS_PID!AK733/VLOOKUP($B733,표2[#ALL],2)/HLOOKUP($A733,표1[#ALL],row(),false)</f>
        <v>#N/A</v>
      </c>
      <c r="AL733" s="376" t="str">
        <f>CS_PID!AL733/VLOOKUP($B733,표2[#ALL],2)/HLOOKUP($A733,표1[#ALL],row(),false)</f>
        <v>#N/A</v>
      </c>
      <c r="AM733" s="376" t="str">
        <f>CS_PID!AM733/VLOOKUP($B733,표2[#ALL],2)/HLOOKUP($A733,표1[#ALL],row(),false)</f>
        <v>#N/A</v>
      </c>
      <c r="AN733" s="376" t="str">
        <f>CS_PID!AN733/VLOOKUP($B733,표2[#ALL],2)/HLOOKUP($A733,표1[#ALL],row(),false)</f>
        <v>#N/A</v>
      </c>
      <c r="AO733" s="376" t="str">
        <f>CS_PID!AO733/VLOOKUP($B733,표2[#ALL],2)/HLOOKUP($A733,표1[#ALL],row(),false)</f>
        <v>#N/A</v>
      </c>
      <c r="AP733" s="376" t="str">
        <f>CS_PID!AP733/VLOOKUP($B733,표2[#ALL],2)/HLOOKUP($A733,표1[#ALL],row(),false)</f>
        <v>#N/A</v>
      </c>
      <c r="AQ733" s="376" t="str">
        <f>CS_PID!AQ733/VLOOKUP($B733,표2[#ALL],2)/HLOOKUP($A733,표1[#ALL],row(),false)</f>
        <v>#N/A</v>
      </c>
      <c r="AR733" s="376" t="str">
        <f>CS_PID!AR733/VLOOKUP($B733,표2[#ALL],2)/HLOOKUP($A733,표1[#ALL],row(),false)</f>
        <v>#N/A</v>
      </c>
      <c r="AS733" s="377" t="str">
        <f>CS_PID!AS733/VLOOKUP($B733,표2[#ALL],2)/HLOOKUP($A733,표1[#ALL],row(),false)</f>
        <v>#N/A</v>
      </c>
    </row>
    <row r="734">
      <c r="A734" s="370"/>
      <c r="B734" s="371"/>
      <c r="C734" s="372" t="str">
        <f>CS_PID!C734/VLOOKUP($B734,표2[#ALL],2)</f>
        <v>#N/A</v>
      </c>
      <c r="D734" s="372" t="str">
        <f>CS_PID!D734/VLOOKUP($B734,표2[#ALL],2)</f>
        <v>#N/A</v>
      </c>
      <c r="E734" s="372" t="str">
        <f>CS_PID!E734/VLOOKUP($B734,표2[#ALL],2)</f>
        <v>#N/A</v>
      </c>
      <c r="F734" s="372" t="str">
        <f>CS_PID!F734/VLOOKUP($B734,표2[#ALL],2)</f>
        <v>#N/A</v>
      </c>
      <c r="G734" s="372" t="str">
        <f>CS_PID!G734/VLOOKUP($B734,표2[#ALL],2)</f>
        <v>#N/A</v>
      </c>
      <c r="H734" s="372" t="str">
        <f>CS_PID!H734/VLOOKUP($B734,표2[#ALL],2)/HLOOKUP($A734,표1[#ALL],row(),false)</f>
        <v>#N/A</v>
      </c>
      <c r="I734" s="372" t="str">
        <f>CS_PID!I734/VLOOKUP($B734,표2[#ALL],2)/HLOOKUP($A734,표1[#ALL],row(),false)</f>
        <v>#N/A</v>
      </c>
      <c r="J734" s="372" t="str">
        <f>CS_PID!J734/VLOOKUP($B734,표2[#ALL],2)/HLOOKUP($A734,표1[#ALL],row(),false)</f>
        <v>#N/A</v>
      </c>
      <c r="K734" s="372" t="str">
        <f>CS_PID!K734/VLOOKUP($B734,표2[#ALL],2)/HLOOKUP($A734,표1[#ALL],row(),false)</f>
        <v>#N/A</v>
      </c>
      <c r="L734" s="372" t="str">
        <f>CS_PID!L734/VLOOKUP($B734,표2[#ALL],2)/HLOOKUP($A734,표1[#ALL],row(),false)</f>
        <v>#N/A</v>
      </c>
      <c r="M734" s="372" t="str">
        <f>CS_PID!M734/VLOOKUP($B734,표2[#ALL],2)/HLOOKUP($A734,표1[#ALL],row(),false)</f>
        <v>#N/A</v>
      </c>
      <c r="N734" s="372" t="str">
        <f>CS_PID!N734/VLOOKUP($B734,표2[#ALL],2)/HLOOKUP($A734,표1[#ALL],row(),false)</f>
        <v>#N/A</v>
      </c>
      <c r="O734" s="372" t="str">
        <f>CS_PID!O734/VLOOKUP($B734,표2[#ALL],2)/HLOOKUP($A734,표1[#ALL],row(),false)</f>
        <v>#N/A</v>
      </c>
      <c r="P734" s="372" t="str">
        <f>CS_PID!P734/VLOOKUP($B734,표2[#ALL],2)/HLOOKUP($A734,표1[#ALL],row(),false)</f>
        <v>#N/A</v>
      </c>
      <c r="Q734" s="372" t="str">
        <f>CS_PID!Q734/VLOOKUP($B734,표2[#ALL],2)/HLOOKUP($A734,표1[#ALL],row(),false)</f>
        <v>#N/A</v>
      </c>
      <c r="R734" s="372" t="str">
        <f>CS_PID!R734/VLOOKUP($B734,표2[#ALL],2)/HLOOKUP($A734,표1[#ALL],row(),false)</f>
        <v>#N/A</v>
      </c>
      <c r="S734" s="372" t="str">
        <f>CS_PID!S734/VLOOKUP($B734,표2[#ALL],2)/HLOOKUP($A734,표1[#ALL],row(),false)</f>
        <v>#N/A</v>
      </c>
      <c r="T734" s="372" t="str">
        <f>CS_PID!T734/VLOOKUP($B734,표2[#ALL],2)/HLOOKUP($A734,표1[#ALL],row(),false)</f>
        <v>#N/A</v>
      </c>
      <c r="U734" s="372" t="str">
        <f>CS_PID!U734/VLOOKUP($B734,표2[#ALL],2)/HLOOKUP($A734,표1[#ALL],row(),false)</f>
        <v>#N/A</v>
      </c>
      <c r="V734" s="372" t="str">
        <f>CS_PID!V734/VLOOKUP($B734,표2[#ALL],2)/HLOOKUP($A734,표1[#ALL],row(),false)</f>
        <v>#N/A</v>
      </c>
      <c r="W734" s="372" t="str">
        <f>CS_PID!W734/VLOOKUP($B734,표2[#ALL],2)/HLOOKUP($A734,표1[#ALL],row(),false)</f>
        <v>#N/A</v>
      </c>
      <c r="X734" s="372" t="str">
        <f>CS_PID!X734/VLOOKUP($B734,표2[#ALL],2)/HLOOKUP($A734,표1[#ALL],row(),false)</f>
        <v>#N/A</v>
      </c>
      <c r="Y734" s="372" t="str">
        <f>CS_PID!Y734/VLOOKUP($B734,표2[#ALL],2)/HLOOKUP($A734,표1[#ALL],row(),false)</f>
        <v>#N/A</v>
      </c>
      <c r="Z734" s="372" t="str">
        <f>CS_PID!Z734/VLOOKUP($B734,표2[#ALL],2)/HLOOKUP($A734,표1[#ALL],row(),false)</f>
        <v>#N/A</v>
      </c>
      <c r="AA734" s="372" t="str">
        <f>CS_PID!AA734/VLOOKUP($B734,표2[#ALL],2)/HLOOKUP($A734,표1[#ALL],row(),false)</f>
        <v>#N/A</v>
      </c>
      <c r="AB734" s="372" t="str">
        <f>CS_PID!AB734/VLOOKUP($B734,표2[#ALL],2)/HLOOKUP($A734,표1[#ALL],row(),false)</f>
        <v>#N/A</v>
      </c>
      <c r="AC734" s="372" t="str">
        <f>CS_PID!AC734/VLOOKUP($B734,표2[#ALL],2)/HLOOKUP($A734,표1[#ALL],row(),false)</f>
        <v>#N/A</v>
      </c>
      <c r="AD734" s="372" t="str">
        <f>CS_PID!AD734/VLOOKUP($B734,표2[#ALL],2)/HLOOKUP($A734,표1[#ALL],row(),false)</f>
        <v>#N/A</v>
      </c>
      <c r="AE734" s="372" t="str">
        <f>CS_PID!AE734/VLOOKUP($B734,표2[#ALL],2)/HLOOKUP($A734,표1[#ALL],row(),false)</f>
        <v>#N/A</v>
      </c>
      <c r="AF734" s="372" t="str">
        <f>CS_PID!AF734/VLOOKUP($B734,표2[#ALL],2)/HLOOKUP($A734,표1[#ALL],row(),false)</f>
        <v>#N/A</v>
      </c>
      <c r="AG734" s="372" t="str">
        <f>CS_PID!AG734/VLOOKUP($B734,표2[#ALL],2)/HLOOKUP($A734,표1[#ALL],row(),false)</f>
        <v>#N/A</v>
      </c>
      <c r="AH734" s="372" t="str">
        <f>CS_PID!AH734/VLOOKUP($B734,표2[#ALL],2)/HLOOKUP($A734,표1[#ALL],row(),false)</f>
        <v>#N/A</v>
      </c>
      <c r="AI734" s="372" t="str">
        <f>CS_PID!AI734/VLOOKUP($B734,표2[#ALL],2)/HLOOKUP($A734,표1[#ALL],row(),false)</f>
        <v>#N/A</v>
      </c>
      <c r="AJ734" s="372" t="str">
        <f>CS_PID!AJ734/VLOOKUP($B734,표2[#ALL],2)/HLOOKUP($A734,표1[#ALL],row(),false)</f>
        <v>#N/A</v>
      </c>
      <c r="AK734" s="372" t="str">
        <f>CS_PID!AK734/VLOOKUP($B734,표2[#ALL],2)/HLOOKUP($A734,표1[#ALL],row(),false)</f>
        <v>#N/A</v>
      </c>
      <c r="AL734" s="372" t="str">
        <f>CS_PID!AL734/VLOOKUP($B734,표2[#ALL],2)/HLOOKUP($A734,표1[#ALL],row(),false)</f>
        <v>#N/A</v>
      </c>
      <c r="AM734" s="372" t="str">
        <f>CS_PID!AM734/VLOOKUP($B734,표2[#ALL],2)/HLOOKUP($A734,표1[#ALL],row(),false)</f>
        <v>#N/A</v>
      </c>
      <c r="AN734" s="372" t="str">
        <f>CS_PID!AN734/VLOOKUP($B734,표2[#ALL],2)/HLOOKUP($A734,표1[#ALL],row(),false)</f>
        <v>#N/A</v>
      </c>
      <c r="AO734" s="372" t="str">
        <f>CS_PID!AO734/VLOOKUP($B734,표2[#ALL],2)/HLOOKUP($A734,표1[#ALL],row(),false)</f>
        <v>#N/A</v>
      </c>
      <c r="AP734" s="372" t="str">
        <f>CS_PID!AP734/VLOOKUP($B734,표2[#ALL],2)/HLOOKUP($A734,표1[#ALL],row(),false)</f>
        <v>#N/A</v>
      </c>
      <c r="AQ734" s="372" t="str">
        <f>CS_PID!AQ734/VLOOKUP($B734,표2[#ALL],2)/HLOOKUP($A734,표1[#ALL],row(),false)</f>
        <v>#N/A</v>
      </c>
      <c r="AR734" s="372" t="str">
        <f>CS_PID!AR734/VLOOKUP($B734,표2[#ALL],2)/HLOOKUP($A734,표1[#ALL],row(),false)</f>
        <v>#N/A</v>
      </c>
      <c r="AS734" s="373" t="str">
        <f>CS_PID!AS734/VLOOKUP($B734,표2[#ALL],2)/HLOOKUP($A734,표1[#ALL],row(),false)</f>
        <v>#N/A</v>
      </c>
    </row>
    <row r="735">
      <c r="A735" s="374"/>
      <c r="B735" s="375"/>
      <c r="C735" s="376" t="str">
        <f>CS_PID!C735/VLOOKUP($B735,표2[#ALL],2)</f>
        <v>#N/A</v>
      </c>
      <c r="D735" s="376" t="str">
        <f>CS_PID!D735/VLOOKUP($B735,표2[#ALL],2)</f>
        <v>#N/A</v>
      </c>
      <c r="E735" s="376" t="str">
        <f>CS_PID!E735/VLOOKUP($B735,표2[#ALL],2)</f>
        <v>#N/A</v>
      </c>
      <c r="F735" s="376" t="str">
        <f>CS_PID!F735/VLOOKUP($B735,표2[#ALL],2)</f>
        <v>#N/A</v>
      </c>
      <c r="G735" s="376" t="str">
        <f>CS_PID!G735/VLOOKUP($B735,표2[#ALL],2)</f>
        <v>#N/A</v>
      </c>
      <c r="H735" s="376" t="str">
        <f>CS_PID!H735/VLOOKUP($B735,표2[#ALL],2)/HLOOKUP($A735,표1[#ALL],row(),false)</f>
        <v>#N/A</v>
      </c>
      <c r="I735" s="376" t="str">
        <f>CS_PID!I735/VLOOKUP($B735,표2[#ALL],2)/HLOOKUP($A735,표1[#ALL],row(),false)</f>
        <v>#N/A</v>
      </c>
      <c r="J735" s="376" t="str">
        <f>CS_PID!J735/VLOOKUP($B735,표2[#ALL],2)/HLOOKUP($A735,표1[#ALL],row(),false)</f>
        <v>#N/A</v>
      </c>
      <c r="K735" s="376" t="str">
        <f>CS_PID!K735/VLOOKUP($B735,표2[#ALL],2)/HLOOKUP($A735,표1[#ALL],row(),false)</f>
        <v>#N/A</v>
      </c>
      <c r="L735" s="376" t="str">
        <f>CS_PID!L735/VLOOKUP($B735,표2[#ALL],2)/HLOOKUP($A735,표1[#ALL],row(),false)</f>
        <v>#N/A</v>
      </c>
      <c r="M735" s="376" t="str">
        <f>CS_PID!M735/VLOOKUP($B735,표2[#ALL],2)/HLOOKUP($A735,표1[#ALL],row(),false)</f>
        <v>#N/A</v>
      </c>
      <c r="N735" s="376" t="str">
        <f>CS_PID!N735/VLOOKUP($B735,표2[#ALL],2)/HLOOKUP($A735,표1[#ALL],row(),false)</f>
        <v>#N/A</v>
      </c>
      <c r="O735" s="376" t="str">
        <f>CS_PID!O735/VLOOKUP($B735,표2[#ALL],2)/HLOOKUP($A735,표1[#ALL],row(),false)</f>
        <v>#N/A</v>
      </c>
      <c r="P735" s="376" t="str">
        <f>CS_PID!P735/VLOOKUP($B735,표2[#ALL],2)/HLOOKUP($A735,표1[#ALL],row(),false)</f>
        <v>#N/A</v>
      </c>
      <c r="Q735" s="376" t="str">
        <f>CS_PID!Q735/VLOOKUP($B735,표2[#ALL],2)/HLOOKUP($A735,표1[#ALL],row(),false)</f>
        <v>#N/A</v>
      </c>
      <c r="R735" s="376" t="str">
        <f>CS_PID!R735/VLOOKUP($B735,표2[#ALL],2)/HLOOKUP($A735,표1[#ALL],row(),false)</f>
        <v>#N/A</v>
      </c>
      <c r="S735" s="376" t="str">
        <f>CS_PID!S735/VLOOKUP($B735,표2[#ALL],2)/HLOOKUP($A735,표1[#ALL],row(),false)</f>
        <v>#N/A</v>
      </c>
      <c r="T735" s="376" t="str">
        <f>CS_PID!T735/VLOOKUP($B735,표2[#ALL],2)/HLOOKUP($A735,표1[#ALL],row(),false)</f>
        <v>#N/A</v>
      </c>
      <c r="U735" s="376" t="str">
        <f>CS_PID!U735/VLOOKUP($B735,표2[#ALL],2)/HLOOKUP($A735,표1[#ALL],row(),false)</f>
        <v>#N/A</v>
      </c>
      <c r="V735" s="376" t="str">
        <f>CS_PID!V735/VLOOKUP($B735,표2[#ALL],2)/HLOOKUP($A735,표1[#ALL],row(),false)</f>
        <v>#N/A</v>
      </c>
      <c r="W735" s="376" t="str">
        <f>CS_PID!W735/VLOOKUP($B735,표2[#ALL],2)/HLOOKUP($A735,표1[#ALL],row(),false)</f>
        <v>#N/A</v>
      </c>
      <c r="X735" s="376" t="str">
        <f>CS_PID!X735/VLOOKUP($B735,표2[#ALL],2)/HLOOKUP($A735,표1[#ALL],row(),false)</f>
        <v>#N/A</v>
      </c>
      <c r="Y735" s="376" t="str">
        <f>CS_PID!Y735/VLOOKUP($B735,표2[#ALL],2)/HLOOKUP($A735,표1[#ALL],row(),false)</f>
        <v>#N/A</v>
      </c>
      <c r="Z735" s="376" t="str">
        <f>CS_PID!Z735/VLOOKUP($B735,표2[#ALL],2)/HLOOKUP($A735,표1[#ALL],row(),false)</f>
        <v>#N/A</v>
      </c>
      <c r="AA735" s="376" t="str">
        <f>CS_PID!AA735/VLOOKUP($B735,표2[#ALL],2)/HLOOKUP($A735,표1[#ALL],row(),false)</f>
        <v>#N/A</v>
      </c>
      <c r="AB735" s="376" t="str">
        <f>CS_PID!AB735/VLOOKUP($B735,표2[#ALL],2)/HLOOKUP($A735,표1[#ALL],row(),false)</f>
        <v>#N/A</v>
      </c>
      <c r="AC735" s="376" t="str">
        <f>CS_PID!AC735/VLOOKUP($B735,표2[#ALL],2)/HLOOKUP($A735,표1[#ALL],row(),false)</f>
        <v>#N/A</v>
      </c>
      <c r="AD735" s="376" t="str">
        <f>CS_PID!AD735/VLOOKUP($B735,표2[#ALL],2)/HLOOKUP($A735,표1[#ALL],row(),false)</f>
        <v>#N/A</v>
      </c>
      <c r="AE735" s="376" t="str">
        <f>CS_PID!AE735/VLOOKUP($B735,표2[#ALL],2)/HLOOKUP($A735,표1[#ALL],row(),false)</f>
        <v>#N/A</v>
      </c>
      <c r="AF735" s="376" t="str">
        <f>CS_PID!AF735/VLOOKUP($B735,표2[#ALL],2)/HLOOKUP($A735,표1[#ALL],row(),false)</f>
        <v>#N/A</v>
      </c>
      <c r="AG735" s="376" t="str">
        <f>CS_PID!AG735/VLOOKUP($B735,표2[#ALL],2)/HLOOKUP($A735,표1[#ALL],row(),false)</f>
        <v>#N/A</v>
      </c>
      <c r="AH735" s="376" t="str">
        <f>CS_PID!AH735/VLOOKUP($B735,표2[#ALL],2)/HLOOKUP($A735,표1[#ALL],row(),false)</f>
        <v>#N/A</v>
      </c>
      <c r="AI735" s="376" t="str">
        <f>CS_PID!AI735/VLOOKUP($B735,표2[#ALL],2)/HLOOKUP($A735,표1[#ALL],row(),false)</f>
        <v>#N/A</v>
      </c>
      <c r="AJ735" s="376" t="str">
        <f>CS_PID!AJ735/VLOOKUP($B735,표2[#ALL],2)/HLOOKUP($A735,표1[#ALL],row(),false)</f>
        <v>#N/A</v>
      </c>
      <c r="AK735" s="376" t="str">
        <f>CS_PID!AK735/VLOOKUP($B735,표2[#ALL],2)/HLOOKUP($A735,표1[#ALL],row(),false)</f>
        <v>#N/A</v>
      </c>
      <c r="AL735" s="376" t="str">
        <f>CS_PID!AL735/VLOOKUP($B735,표2[#ALL],2)/HLOOKUP($A735,표1[#ALL],row(),false)</f>
        <v>#N/A</v>
      </c>
      <c r="AM735" s="376" t="str">
        <f>CS_PID!AM735/VLOOKUP($B735,표2[#ALL],2)/HLOOKUP($A735,표1[#ALL],row(),false)</f>
        <v>#N/A</v>
      </c>
      <c r="AN735" s="376" t="str">
        <f>CS_PID!AN735/VLOOKUP($B735,표2[#ALL],2)/HLOOKUP($A735,표1[#ALL],row(),false)</f>
        <v>#N/A</v>
      </c>
      <c r="AO735" s="376" t="str">
        <f>CS_PID!AO735/VLOOKUP($B735,표2[#ALL],2)/HLOOKUP($A735,표1[#ALL],row(),false)</f>
        <v>#N/A</v>
      </c>
      <c r="AP735" s="376" t="str">
        <f>CS_PID!AP735/VLOOKUP($B735,표2[#ALL],2)/HLOOKUP($A735,표1[#ALL],row(),false)</f>
        <v>#N/A</v>
      </c>
      <c r="AQ735" s="376" t="str">
        <f>CS_PID!AQ735/VLOOKUP($B735,표2[#ALL],2)/HLOOKUP($A735,표1[#ALL],row(),false)</f>
        <v>#N/A</v>
      </c>
      <c r="AR735" s="376" t="str">
        <f>CS_PID!AR735/VLOOKUP($B735,표2[#ALL],2)/HLOOKUP($A735,표1[#ALL],row(),false)</f>
        <v>#N/A</v>
      </c>
      <c r="AS735" s="377" t="str">
        <f>CS_PID!AS735/VLOOKUP($B735,표2[#ALL],2)/HLOOKUP($A735,표1[#ALL],row(),false)</f>
        <v>#N/A</v>
      </c>
    </row>
    <row r="736">
      <c r="A736" s="370"/>
      <c r="B736" s="371"/>
      <c r="C736" s="372" t="str">
        <f>CS_PID!C736/VLOOKUP($B736,표2[#ALL],2)</f>
        <v>#N/A</v>
      </c>
      <c r="D736" s="372" t="str">
        <f>CS_PID!D736/VLOOKUP($B736,표2[#ALL],2)</f>
        <v>#N/A</v>
      </c>
      <c r="E736" s="372" t="str">
        <f>CS_PID!E736/VLOOKUP($B736,표2[#ALL],2)</f>
        <v>#N/A</v>
      </c>
      <c r="F736" s="372" t="str">
        <f>CS_PID!F736/VLOOKUP($B736,표2[#ALL],2)</f>
        <v>#N/A</v>
      </c>
      <c r="G736" s="372" t="str">
        <f>CS_PID!G736/VLOOKUP($B736,표2[#ALL],2)</f>
        <v>#N/A</v>
      </c>
      <c r="H736" s="372" t="str">
        <f>CS_PID!H736/VLOOKUP($B736,표2[#ALL],2)/HLOOKUP($A736,표1[#ALL],row(),false)</f>
        <v>#N/A</v>
      </c>
      <c r="I736" s="372" t="str">
        <f>CS_PID!I736/VLOOKUP($B736,표2[#ALL],2)/HLOOKUP($A736,표1[#ALL],row(),false)</f>
        <v>#N/A</v>
      </c>
      <c r="J736" s="372" t="str">
        <f>CS_PID!J736/VLOOKUP($B736,표2[#ALL],2)/HLOOKUP($A736,표1[#ALL],row(),false)</f>
        <v>#N/A</v>
      </c>
      <c r="K736" s="372" t="str">
        <f>CS_PID!K736/VLOOKUP($B736,표2[#ALL],2)/HLOOKUP($A736,표1[#ALL],row(),false)</f>
        <v>#N/A</v>
      </c>
      <c r="L736" s="372" t="str">
        <f>CS_PID!L736/VLOOKUP($B736,표2[#ALL],2)/HLOOKUP($A736,표1[#ALL],row(),false)</f>
        <v>#N/A</v>
      </c>
      <c r="M736" s="372" t="str">
        <f>CS_PID!M736/VLOOKUP($B736,표2[#ALL],2)/HLOOKUP($A736,표1[#ALL],row(),false)</f>
        <v>#N/A</v>
      </c>
      <c r="N736" s="372" t="str">
        <f>CS_PID!N736/VLOOKUP($B736,표2[#ALL],2)/HLOOKUP($A736,표1[#ALL],row(),false)</f>
        <v>#N/A</v>
      </c>
      <c r="O736" s="372" t="str">
        <f>CS_PID!O736/VLOOKUP($B736,표2[#ALL],2)/HLOOKUP($A736,표1[#ALL],row(),false)</f>
        <v>#N/A</v>
      </c>
      <c r="P736" s="372" t="str">
        <f>CS_PID!P736/VLOOKUP($B736,표2[#ALL],2)/HLOOKUP($A736,표1[#ALL],row(),false)</f>
        <v>#N/A</v>
      </c>
      <c r="Q736" s="372" t="str">
        <f>CS_PID!Q736/VLOOKUP($B736,표2[#ALL],2)/HLOOKUP($A736,표1[#ALL],row(),false)</f>
        <v>#N/A</v>
      </c>
      <c r="R736" s="372" t="str">
        <f>CS_PID!R736/VLOOKUP($B736,표2[#ALL],2)/HLOOKUP($A736,표1[#ALL],row(),false)</f>
        <v>#N/A</v>
      </c>
      <c r="S736" s="372" t="str">
        <f>CS_PID!S736/VLOOKUP($B736,표2[#ALL],2)/HLOOKUP($A736,표1[#ALL],row(),false)</f>
        <v>#N/A</v>
      </c>
      <c r="T736" s="372" t="str">
        <f>CS_PID!T736/VLOOKUP($B736,표2[#ALL],2)/HLOOKUP($A736,표1[#ALL],row(),false)</f>
        <v>#N/A</v>
      </c>
      <c r="U736" s="372" t="str">
        <f>CS_PID!U736/VLOOKUP($B736,표2[#ALL],2)/HLOOKUP($A736,표1[#ALL],row(),false)</f>
        <v>#N/A</v>
      </c>
      <c r="V736" s="372" t="str">
        <f>CS_PID!V736/VLOOKUP($B736,표2[#ALL],2)/HLOOKUP($A736,표1[#ALL],row(),false)</f>
        <v>#N/A</v>
      </c>
      <c r="W736" s="372" t="str">
        <f>CS_PID!W736/VLOOKUP($B736,표2[#ALL],2)/HLOOKUP($A736,표1[#ALL],row(),false)</f>
        <v>#N/A</v>
      </c>
      <c r="X736" s="372" t="str">
        <f>CS_PID!X736/VLOOKUP($B736,표2[#ALL],2)/HLOOKUP($A736,표1[#ALL],row(),false)</f>
        <v>#N/A</v>
      </c>
      <c r="Y736" s="372" t="str">
        <f>CS_PID!Y736/VLOOKUP($B736,표2[#ALL],2)/HLOOKUP($A736,표1[#ALL],row(),false)</f>
        <v>#N/A</v>
      </c>
      <c r="Z736" s="372" t="str">
        <f>CS_PID!Z736/VLOOKUP($B736,표2[#ALL],2)/HLOOKUP($A736,표1[#ALL],row(),false)</f>
        <v>#N/A</v>
      </c>
      <c r="AA736" s="372" t="str">
        <f>CS_PID!AA736/VLOOKUP($B736,표2[#ALL],2)/HLOOKUP($A736,표1[#ALL],row(),false)</f>
        <v>#N/A</v>
      </c>
      <c r="AB736" s="372" t="str">
        <f>CS_PID!AB736/VLOOKUP($B736,표2[#ALL],2)/HLOOKUP($A736,표1[#ALL],row(),false)</f>
        <v>#N/A</v>
      </c>
      <c r="AC736" s="372" t="str">
        <f>CS_PID!AC736/VLOOKUP($B736,표2[#ALL],2)/HLOOKUP($A736,표1[#ALL],row(),false)</f>
        <v>#N/A</v>
      </c>
      <c r="AD736" s="372" t="str">
        <f>CS_PID!AD736/VLOOKUP($B736,표2[#ALL],2)/HLOOKUP($A736,표1[#ALL],row(),false)</f>
        <v>#N/A</v>
      </c>
      <c r="AE736" s="372" t="str">
        <f>CS_PID!AE736/VLOOKUP($B736,표2[#ALL],2)/HLOOKUP($A736,표1[#ALL],row(),false)</f>
        <v>#N/A</v>
      </c>
      <c r="AF736" s="372" t="str">
        <f>CS_PID!AF736/VLOOKUP($B736,표2[#ALL],2)/HLOOKUP($A736,표1[#ALL],row(),false)</f>
        <v>#N/A</v>
      </c>
      <c r="AG736" s="372" t="str">
        <f>CS_PID!AG736/VLOOKUP($B736,표2[#ALL],2)/HLOOKUP($A736,표1[#ALL],row(),false)</f>
        <v>#N/A</v>
      </c>
      <c r="AH736" s="372" t="str">
        <f>CS_PID!AH736/VLOOKUP($B736,표2[#ALL],2)/HLOOKUP($A736,표1[#ALL],row(),false)</f>
        <v>#N/A</v>
      </c>
      <c r="AI736" s="372" t="str">
        <f>CS_PID!AI736/VLOOKUP($B736,표2[#ALL],2)/HLOOKUP($A736,표1[#ALL],row(),false)</f>
        <v>#N/A</v>
      </c>
      <c r="AJ736" s="372" t="str">
        <f>CS_PID!AJ736/VLOOKUP($B736,표2[#ALL],2)/HLOOKUP($A736,표1[#ALL],row(),false)</f>
        <v>#N/A</v>
      </c>
      <c r="AK736" s="372" t="str">
        <f>CS_PID!AK736/VLOOKUP($B736,표2[#ALL],2)/HLOOKUP($A736,표1[#ALL],row(),false)</f>
        <v>#N/A</v>
      </c>
      <c r="AL736" s="372" t="str">
        <f>CS_PID!AL736/VLOOKUP($B736,표2[#ALL],2)/HLOOKUP($A736,표1[#ALL],row(),false)</f>
        <v>#N/A</v>
      </c>
      <c r="AM736" s="372" t="str">
        <f>CS_PID!AM736/VLOOKUP($B736,표2[#ALL],2)/HLOOKUP($A736,표1[#ALL],row(),false)</f>
        <v>#N/A</v>
      </c>
      <c r="AN736" s="372" t="str">
        <f>CS_PID!AN736/VLOOKUP($B736,표2[#ALL],2)/HLOOKUP($A736,표1[#ALL],row(),false)</f>
        <v>#N/A</v>
      </c>
      <c r="AO736" s="372" t="str">
        <f>CS_PID!AO736/VLOOKUP($B736,표2[#ALL],2)/HLOOKUP($A736,표1[#ALL],row(),false)</f>
        <v>#N/A</v>
      </c>
      <c r="AP736" s="372" t="str">
        <f>CS_PID!AP736/VLOOKUP($B736,표2[#ALL],2)/HLOOKUP($A736,표1[#ALL],row(),false)</f>
        <v>#N/A</v>
      </c>
      <c r="AQ736" s="372" t="str">
        <f>CS_PID!AQ736/VLOOKUP($B736,표2[#ALL],2)/HLOOKUP($A736,표1[#ALL],row(),false)</f>
        <v>#N/A</v>
      </c>
      <c r="AR736" s="372" t="str">
        <f>CS_PID!AR736/VLOOKUP($B736,표2[#ALL],2)/HLOOKUP($A736,표1[#ALL],row(),false)</f>
        <v>#N/A</v>
      </c>
      <c r="AS736" s="373" t="str">
        <f>CS_PID!AS736/VLOOKUP($B736,표2[#ALL],2)/HLOOKUP($A736,표1[#ALL],row(),false)</f>
        <v>#N/A</v>
      </c>
    </row>
    <row r="737">
      <c r="A737" s="374"/>
      <c r="B737" s="375"/>
      <c r="C737" s="376" t="str">
        <f>CS_PID!C737/VLOOKUP($B737,표2[#ALL],2)</f>
        <v>#N/A</v>
      </c>
      <c r="D737" s="376" t="str">
        <f>CS_PID!D737/VLOOKUP($B737,표2[#ALL],2)</f>
        <v>#N/A</v>
      </c>
      <c r="E737" s="376" t="str">
        <f>CS_PID!E737/VLOOKUP($B737,표2[#ALL],2)</f>
        <v>#N/A</v>
      </c>
      <c r="F737" s="376" t="str">
        <f>CS_PID!F737/VLOOKUP($B737,표2[#ALL],2)</f>
        <v>#N/A</v>
      </c>
      <c r="G737" s="376" t="str">
        <f>CS_PID!G737/VLOOKUP($B737,표2[#ALL],2)</f>
        <v>#N/A</v>
      </c>
      <c r="H737" s="376" t="str">
        <f>CS_PID!H737/VLOOKUP($B737,표2[#ALL],2)/HLOOKUP($A737,표1[#ALL],row(),false)</f>
        <v>#N/A</v>
      </c>
      <c r="I737" s="376" t="str">
        <f>CS_PID!I737/VLOOKUP($B737,표2[#ALL],2)/HLOOKUP($A737,표1[#ALL],row(),false)</f>
        <v>#N/A</v>
      </c>
      <c r="J737" s="376" t="str">
        <f>CS_PID!J737/VLOOKUP($B737,표2[#ALL],2)/HLOOKUP($A737,표1[#ALL],row(),false)</f>
        <v>#N/A</v>
      </c>
      <c r="K737" s="376" t="str">
        <f>CS_PID!K737/VLOOKUP($B737,표2[#ALL],2)/HLOOKUP($A737,표1[#ALL],row(),false)</f>
        <v>#N/A</v>
      </c>
      <c r="L737" s="376" t="str">
        <f>CS_PID!L737/VLOOKUP($B737,표2[#ALL],2)/HLOOKUP($A737,표1[#ALL],row(),false)</f>
        <v>#N/A</v>
      </c>
      <c r="M737" s="376" t="str">
        <f>CS_PID!M737/VLOOKUP($B737,표2[#ALL],2)/HLOOKUP($A737,표1[#ALL],row(),false)</f>
        <v>#N/A</v>
      </c>
      <c r="N737" s="376" t="str">
        <f>CS_PID!N737/VLOOKUP($B737,표2[#ALL],2)/HLOOKUP($A737,표1[#ALL],row(),false)</f>
        <v>#N/A</v>
      </c>
      <c r="O737" s="376" t="str">
        <f>CS_PID!O737/VLOOKUP($B737,표2[#ALL],2)/HLOOKUP($A737,표1[#ALL],row(),false)</f>
        <v>#N/A</v>
      </c>
      <c r="P737" s="376" t="str">
        <f>CS_PID!P737/VLOOKUP($B737,표2[#ALL],2)/HLOOKUP($A737,표1[#ALL],row(),false)</f>
        <v>#N/A</v>
      </c>
      <c r="Q737" s="376" t="str">
        <f>CS_PID!Q737/VLOOKUP($B737,표2[#ALL],2)/HLOOKUP($A737,표1[#ALL],row(),false)</f>
        <v>#N/A</v>
      </c>
      <c r="R737" s="376" t="str">
        <f>CS_PID!R737/VLOOKUP($B737,표2[#ALL],2)/HLOOKUP($A737,표1[#ALL],row(),false)</f>
        <v>#N/A</v>
      </c>
      <c r="S737" s="376" t="str">
        <f>CS_PID!S737/VLOOKUP($B737,표2[#ALL],2)/HLOOKUP($A737,표1[#ALL],row(),false)</f>
        <v>#N/A</v>
      </c>
      <c r="T737" s="376" t="str">
        <f>CS_PID!T737/VLOOKUP($B737,표2[#ALL],2)/HLOOKUP($A737,표1[#ALL],row(),false)</f>
        <v>#N/A</v>
      </c>
      <c r="U737" s="376" t="str">
        <f>CS_PID!U737/VLOOKUP($B737,표2[#ALL],2)/HLOOKUP($A737,표1[#ALL],row(),false)</f>
        <v>#N/A</v>
      </c>
      <c r="V737" s="376" t="str">
        <f>CS_PID!V737/VLOOKUP($B737,표2[#ALL],2)/HLOOKUP($A737,표1[#ALL],row(),false)</f>
        <v>#N/A</v>
      </c>
      <c r="W737" s="376" t="str">
        <f>CS_PID!W737/VLOOKUP($B737,표2[#ALL],2)/HLOOKUP($A737,표1[#ALL],row(),false)</f>
        <v>#N/A</v>
      </c>
      <c r="X737" s="376" t="str">
        <f>CS_PID!X737/VLOOKUP($B737,표2[#ALL],2)/HLOOKUP($A737,표1[#ALL],row(),false)</f>
        <v>#N/A</v>
      </c>
      <c r="Y737" s="376" t="str">
        <f>CS_PID!Y737/VLOOKUP($B737,표2[#ALL],2)/HLOOKUP($A737,표1[#ALL],row(),false)</f>
        <v>#N/A</v>
      </c>
      <c r="Z737" s="376" t="str">
        <f>CS_PID!Z737/VLOOKUP($B737,표2[#ALL],2)/HLOOKUP($A737,표1[#ALL],row(),false)</f>
        <v>#N/A</v>
      </c>
      <c r="AA737" s="376" t="str">
        <f>CS_PID!AA737/VLOOKUP($B737,표2[#ALL],2)/HLOOKUP($A737,표1[#ALL],row(),false)</f>
        <v>#N/A</v>
      </c>
      <c r="AB737" s="376" t="str">
        <f>CS_PID!AB737/VLOOKUP($B737,표2[#ALL],2)/HLOOKUP($A737,표1[#ALL],row(),false)</f>
        <v>#N/A</v>
      </c>
      <c r="AC737" s="376" t="str">
        <f>CS_PID!AC737/VLOOKUP($B737,표2[#ALL],2)/HLOOKUP($A737,표1[#ALL],row(),false)</f>
        <v>#N/A</v>
      </c>
      <c r="AD737" s="376" t="str">
        <f>CS_PID!AD737/VLOOKUP($B737,표2[#ALL],2)/HLOOKUP($A737,표1[#ALL],row(),false)</f>
        <v>#N/A</v>
      </c>
      <c r="AE737" s="376" t="str">
        <f>CS_PID!AE737/VLOOKUP($B737,표2[#ALL],2)/HLOOKUP($A737,표1[#ALL],row(),false)</f>
        <v>#N/A</v>
      </c>
      <c r="AF737" s="376" t="str">
        <f>CS_PID!AF737/VLOOKUP($B737,표2[#ALL],2)/HLOOKUP($A737,표1[#ALL],row(),false)</f>
        <v>#N/A</v>
      </c>
      <c r="AG737" s="376" t="str">
        <f>CS_PID!AG737/VLOOKUP($B737,표2[#ALL],2)/HLOOKUP($A737,표1[#ALL],row(),false)</f>
        <v>#N/A</v>
      </c>
      <c r="AH737" s="376" t="str">
        <f>CS_PID!AH737/VLOOKUP($B737,표2[#ALL],2)/HLOOKUP($A737,표1[#ALL],row(),false)</f>
        <v>#N/A</v>
      </c>
      <c r="AI737" s="376" t="str">
        <f>CS_PID!AI737/VLOOKUP($B737,표2[#ALL],2)/HLOOKUP($A737,표1[#ALL],row(),false)</f>
        <v>#N/A</v>
      </c>
      <c r="AJ737" s="376" t="str">
        <f>CS_PID!AJ737/VLOOKUP($B737,표2[#ALL],2)/HLOOKUP($A737,표1[#ALL],row(),false)</f>
        <v>#N/A</v>
      </c>
      <c r="AK737" s="376" t="str">
        <f>CS_PID!AK737/VLOOKUP($B737,표2[#ALL],2)/HLOOKUP($A737,표1[#ALL],row(),false)</f>
        <v>#N/A</v>
      </c>
      <c r="AL737" s="376" t="str">
        <f>CS_PID!AL737/VLOOKUP($B737,표2[#ALL],2)/HLOOKUP($A737,표1[#ALL],row(),false)</f>
        <v>#N/A</v>
      </c>
      <c r="AM737" s="376" t="str">
        <f>CS_PID!AM737/VLOOKUP($B737,표2[#ALL],2)/HLOOKUP($A737,표1[#ALL],row(),false)</f>
        <v>#N/A</v>
      </c>
      <c r="AN737" s="376" t="str">
        <f>CS_PID!AN737/VLOOKUP($B737,표2[#ALL],2)/HLOOKUP($A737,표1[#ALL],row(),false)</f>
        <v>#N/A</v>
      </c>
      <c r="AO737" s="376" t="str">
        <f>CS_PID!AO737/VLOOKUP($B737,표2[#ALL],2)/HLOOKUP($A737,표1[#ALL],row(),false)</f>
        <v>#N/A</v>
      </c>
      <c r="AP737" s="376" t="str">
        <f>CS_PID!AP737/VLOOKUP($B737,표2[#ALL],2)/HLOOKUP($A737,표1[#ALL],row(),false)</f>
        <v>#N/A</v>
      </c>
      <c r="AQ737" s="376" t="str">
        <f>CS_PID!AQ737/VLOOKUP($B737,표2[#ALL],2)/HLOOKUP($A737,표1[#ALL],row(),false)</f>
        <v>#N/A</v>
      </c>
      <c r="AR737" s="376" t="str">
        <f>CS_PID!AR737/VLOOKUP($B737,표2[#ALL],2)/HLOOKUP($A737,표1[#ALL],row(),false)</f>
        <v>#N/A</v>
      </c>
      <c r="AS737" s="377" t="str">
        <f>CS_PID!AS737/VLOOKUP($B737,표2[#ALL],2)/HLOOKUP($A737,표1[#ALL],row(),false)</f>
        <v>#N/A</v>
      </c>
    </row>
    <row r="738">
      <c r="A738" s="370"/>
      <c r="B738" s="371"/>
      <c r="C738" s="372" t="str">
        <f>CS_PID!C738/VLOOKUP($B738,표2[#ALL],2)</f>
        <v>#N/A</v>
      </c>
      <c r="D738" s="372" t="str">
        <f>CS_PID!D738/VLOOKUP($B738,표2[#ALL],2)</f>
        <v>#N/A</v>
      </c>
      <c r="E738" s="372" t="str">
        <f>CS_PID!E738/VLOOKUP($B738,표2[#ALL],2)</f>
        <v>#N/A</v>
      </c>
      <c r="F738" s="372" t="str">
        <f>CS_PID!F738/VLOOKUP($B738,표2[#ALL],2)</f>
        <v>#N/A</v>
      </c>
      <c r="G738" s="372" t="str">
        <f>CS_PID!G738/VLOOKUP($B738,표2[#ALL],2)</f>
        <v>#N/A</v>
      </c>
      <c r="H738" s="372" t="str">
        <f>CS_PID!H738/VLOOKUP($B738,표2[#ALL],2)/HLOOKUP($A738,표1[#ALL],row(),false)</f>
        <v>#N/A</v>
      </c>
      <c r="I738" s="372" t="str">
        <f>CS_PID!I738/VLOOKUP($B738,표2[#ALL],2)/HLOOKUP($A738,표1[#ALL],row(),false)</f>
        <v>#N/A</v>
      </c>
      <c r="J738" s="372" t="str">
        <f>CS_PID!J738/VLOOKUP($B738,표2[#ALL],2)/HLOOKUP($A738,표1[#ALL],row(),false)</f>
        <v>#N/A</v>
      </c>
      <c r="K738" s="372" t="str">
        <f>CS_PID!K738/VLOOKUP($B738,표2[#ALL],2)/HLOOKUP($A738,표1[#ALL],row(),false)</f>
        <v>#N/A</v>
      </c>
      <c r="L738" s="372" t="str">
        <f>CS_PID!L738/VLOOKUP($B738,표2[#ALL],2)/HLOOKUP($A738,표1[#ALL],row(),false)</f>
        <v>#N/A</v>
      </c>
      <c r="M738" s="372" t="str">
        <f>CS_PID!M738/VLOOKUP($B738,표2[#ALL],2)/HLOOKUP($A738,표1[#ALL],row(),false)</f>
        <v>#N/A</v>
      </c>
      <c r="N738" s="372" t="str">
        <f>CS_PID!N738/VLOOKUP($B738,표2[#ALL],2)/HLOOKUP($A738,표1[#ALL],row(),false)</f>
        <v>#N/A</v>
      </c>
      <c r="O738" s="372" t="str">
        <f>CS_PID!O738/VLOOKUP($B738,표2[#ALL],2)/HLOOKUP($A738,표1[#ALL],row(),false)</f>
        <v>#N/A</v>
      </c>
      <c r="P738" s="372" t="str">
        <f>CS_PID!P738/VLOOKUP($B738,표2[#ALL],2)/HLOOKUP($A738,표1[#ALL],row(),false)</f>
        <v>#N/A</v>
      </c>
      <c r="Q738" s="372" t="str">
        <f>CS_PID!Q738/VLOOKUP($B738,표2[#ALL],2)/HLOOKUP($A738,표1[#ALL],row(),false)</f>
        <v>#N/A</v>
      </c>
      <c r="R738" s="372" t="str">
        <f>CS_PID!R738/VLOOKUP($B738,표2[#ALL],2)/HLOOKUP($A738,표1[#ALL],row(),false)</f>
        <v>#N/A</v>
      </c>
      <c r="S738" s="372" t="str">
        <f>CS_PID!S738/VLOOKUP($B738,표2[#ALL],2)/HLOOKUP($A738,표1[#ALL],row(),false)</f>
        <v>#N/A</v>
      </c>
      <c r="T738" s="372" t="str">
        <f>CS_PID!T738/VLOOKUP($B738,표2[#ALL],2)/HLOOKUP($A738,표1[#ALL],row(),false)</f>
        <v>#N/A</v>
      </c>
      <c r="U738" s="372" t="str">
        <f>CS_PID!U738/VLOOKUP($B738,표2[#ALL],2)/HLOOKUP($A738,표1[#ALL],row(),false)</f>
        <v>#N/A</v>
      </c>
      <c r="V738" s="372" t="str">
        <f>CS_PID!V738/VLOOKUP($B738,표2[#ALL],2)/HLOOKUP($A738,표1[#ALL],row(),false)</f>
        <v>#N/A</v>
      </c>
      <c r="W738" s="372" t="str">
        <f>CS_PID!W738/VLOOKUP($B738,표2[#ALL],2)/HLOOKUP($A738,표1[#ALL],row(),false)</f>
        <v>#N/A</v>
      </c>
      <c r="X738" s="372" t="str">
        <f>CS_PID!X738/VLOOKUP($B738,표2[#ALL],2)/HLOOKUP($A738,표1[#ALL],row(),false)</f>
        <v>#N/A</v>
      </c>
      <c r="Y738" s="372" t="str">
        <f>CS_PID!Y738/VLOOKUP($B738,표2[#ALL],2)/HLOOKUP($A738,표1[#ALL],row(),false)</f>
        <v>#N/A</v>
      </c>
      <c r="Z738" s="372" t="str">
        <f>CS_PID!Z738/VLOOKUP($B738,표2[#ALL],2)/HLOOKUP($A738,표1[#ALL],row(),false)</f>
        <v>#N/A</v>
      </c>
      <c r="AA738" s="372" t="str">
        <f>CS_PID!AA738/VLOOKUP($B738,표2[#ALL],2)/HLOOKUP($A738,표1[#ALL],row(),false)</f>
        <v>#N/A</v>
      </c>
      <c r="AB738" s="372" t="str">
        <f>CS_PID!AB738/VLOOKUP($B738,표2[#ALL],2)/HLOOKUP($A738,표1[#ALL],row(),false)</f>
        <v>#N/A</v>
      </c>
      <c r="AC738" s="372" t="str">
        <f>CS_PID!AC738/VLOOKUP($B738,표2[#ALL],2)/HLOOKUP($A738,표1[#ALL],row(),false)</f>
        <v>#N/A</v>
      </c>
      <c r="AD738" s="372" t="str">
        <f>CS_PID!AD738/VLOOKUP($B738,표2[#ALL],2)/HLOOKUP($A738,표1[#ALL],row(),false)</f>
        <v>#N/A</v>
      </c>
      <c r="AE738" s="372" t="str">
        <f>CS_PID!AE738/VLOOKUP($B738,표2[#ALL],2)/HLOOKUP($A738,표1[#ALL],row(),false)</f>
        <v>#N/A</v>
      </c>
      <c r="AF738" s="372" t="str">
        <f>CS_PID!AF738/VLOOKUP($B738,표2[#ALL],2)/HLOOKUP($A738,표1[#ALL],row(),false)</f>
        <v>#N/A</v>
      </c>
      <c r="AG738" s="372" t="str">
        <f>CS_PID!AG738/VLOOKUP($B738,표2[#ALL],2)/HLOOKUP($A738,표1[#ALL],row(),false)</f>
        <v>#N/A</v>
      </c>
      <c r="AH738" s="372" t="str">
        <f>CS_PID!AH738/VLOOKUP($B738,표2[#ALL],2)/HLOOKUP($A738,표1[#ALL],row(),false)</f>
        <v>#N/A</v>
      </c>
      <c r="AI738" s="372" t="str">
        <f>CS_PID!AI738/VLOOKUP($B738,표2[#ALL],2)/HLOOKUP($A738,표1[#ALL],row(),false)</f>
        <v>#N/A</v>
      </c>
      <c r="AJ738" s="372" t="str">
        <f>CS_PID!AJ738/VLOOKUP($B738,표2[#ALL],2)/HLOOKUP($A738,표1[#ALL],row(),false)</f>
        <v>#N/A</v>
      </c>
      <c r="AK738" s="372" t="str">
        <f>CS_PID!AK738/VLOOKUP($B738,표2[#ALL],2)/HLOOKUP($A738,표1[#ALL],row(),false)</f>
        <v>#N/A</v>
      </c>
      <c r="AL738" s="372" t="str">
        <f>CS_PID!AL738/VLOOKUP($B738,표2[#ALL],2)/HLOOKUP($A738,표1[#ALL],row(),false)</f>
        <v>#N/A</v>
      </c>
      <c r="AM738" s="372" t="str">
        <f>CS_PID!AM738/VLOOKUP($B738,표2[#ALL],2)/HLOOKUP($A738,표1[#ALL],row(),false)</f>
        <v>#N/A</v>
      </c>
      <c r="AN738" s="372" t="str">
        <f>CS_PID!AN738/VLOOKUP($B738,표2[#ALL],2)/HLOOKUP($A738,표1[#ALL],row(),false)</f>
        <v>#N/A</v>
      </c>
      <c r="AO738" s="372" t="str">
        <f>CS_PID!AO738/VLOOKUP($B738,표2[#ALL],2)/HLOOKUP($A738,표1[#ALL],row(),false)</f>
        <v>#N/A</v>
      </c>
      <c r="AP738" s="372" t="str">
        <f>CS_PID!AP738/VLOOKUP($B738,표2[#ALL],2)/HLOOKUP($A738,표1[#ALL],row(),false)</f>
        <v>#N/A</v>
      </c>
      <c r="AQ738" s="372" t="str">
        <f>CS_PID!AQ738/VLOOKUP($B738,표2[#ALL],2)/HLOOKUP($A738,표1[#ALL],row(),false)</f>
        <v>#N/A</v>
      </c>
      <c r="AR738" s="372" t="str">
        <f>CS_PID!AR738/VLOOKUP($B738,표2[#ALL],2)/HLOOKUP($A738,표1[#ALL],row(),false)</f>
        <v>#N/A</v>
      </c>
      <c r="AS738" s="373" t="str">
        <f>CS_PID!AS738/VLOOKUP($B738,표2[#ALL],2)/HLOOKUP($A738,표1[#ALL],row(),false)</f>
        <v>#N/A</v>
      </c>
    </row>
    <row r="739">
      <c r="A739" s="374"/>
      <c r="B739" s="375"/>
      <c r="C739" s="376" t="str">
        <f>CS_PID!C739/VLOOKUP($B739,표2[#ALL],2)</f>
        <v>#N/A</v>
      </c>
      <c r="D739" s="376" t="str">
        <f>CS_PID!D739/VLOOKUP($B739,표2[#ALL],2)</f>
        <v>#N/A</v>
      </c>
      <c r="E739" s="376" t="str">
        <f>CS_PID!E739/VLOOKUP($B739,표2[#ALL],2)</f>
        <v>#N/A</v>
      </c>
      <c r="F739" s="376" t="str">
        <f>CS_PID!F739/VLOOKUP($B739,표2[#ALL],2)</f>
        <v>#N/A</v>
      </c>
      <c r="G739" s="376" t="str">
        <f>CS_PID!G739/VLOOKUP($B739,표2[#ALL],2)</f>
        <v>#N/A</v>
      </c>
      <c r="H739" s="376" t="str">
        <f>CS_PID!H739/VLOOKUP($B739,표2[#ALL],2)/HLOOKUP($A739,표1[#ALL],row(),false)</f>
        <v>#N/A</v>
      </c>
      <c r="I739" s="376" t="str">
        <f>CS_PID!I739/VLOOKUP($B739,표2[#ALL],2)/HLOOKUP($A739,표1[#ALL],row(),false)</f>
        <v>#N/A</v>
      </c>
      <c r="J739" s="376" t="str">
        <f>CS_PID!J739/VLOOKUP($B739,표2[#ALL],2)/HLOOKUP($A739,표1[#ALL],row(),false)</f>
        <v>#N/A</v>
      </c>
      <c r="K739" s="376" t="str">
        <f>CS_PID!K739/VLOOKUP($B739,표2[#ALL],2)/HLOOKUP($A739,표1[#ALL],row(),false)</f>
        <v>#N/A</v>
      </c>
      <c r="L739" s="376" t="str">
        <f>CS_PID!L739/VLOOKUP($B739,표2[#ALL],2)/HLOOKUP($A739,표1[#ALL],row(),false)</f>
        <v>#N/A</v>
      </c>
      <c r="M739" s="376" t="str">
        <f>CS_PID!M739/VLOOKUP($B739,표2[#ALL],2)/HLOOKUP($A739,표1[#ALL],row(),false)</f>
        <v>#N/A</v>
      </c>
      <c r="N739" s="376" t="str">
        <f>CS_PID!N739/VLOOKUP($B739,표2[#ALL],2)/HLOOKUP($A739,표1[#ALL],row(),false)</f>
        <v>#N/A</v>
      </c>
      <c r="O739" s="376" t="str">
        <f>CS_PID!O739/VLOOKUP($B739,표2[#ALL],2)/HLOOKUP($A739,표1[#ALL],row(),false)</f>
        <v>#N/A</v>
      </c>
      <c r="P739" s="376" t="str">
        <f>CS_PID!P739/VLOOKUP($B739,표2[#ALL],2)/HLOOKUP($A739,표1[#ALL],row(),false)</f>
        <v>#N/A</v>
      </c>
      <c r="Q739" s="376" t="str">
        <f>CS_PID!Q739/VLOOKUP($B739,표2[#ALL],2)/HLOOKUP($A739,표1[#ALL],row(),false)</f>
        <v>#N/A</v>
      </c>
      <c r="R739" s="376" t="str">
        <f>CS_PID!R739/VLOOKUP($B739,표2[#ALL],2)/HLOOKUP($A739,표1[#ALL],row(),false)</f>
        <v>#N/A</v>
      </c>
      <c r="S739" s="376" t="str">
        <f>CS_PID!S739/VLOOKUP($B739,표2[#ALL],2)/HLOOKUP($A739,표1[#ALL],row(),false)</f>
        <v>#N/A</v>
      </c>
      <c r="T739" s="376" t="str">
        <f>CS_PID!T739/VLOOKUP($B739,표2[#ALL],2)/HLOOKUP($A739,표1[#ALL],row(),false)</f>
        <v>#N/A</v>
      </c>
      <c r="U739" s="376" t="str">
        <f>CS_PID!U739/VLOOKUP($B739,표2[#ALL],2)/HLOOKUP($A739,표1[#ALL],row(),false)</f>
        <v>#N/A</v>
      </c>
      <c r="V739" s="376" t="str">
        <f>CS_PID!V739/VLOOKUP($B739,표2[#ALL],2)/HLOOKUP($A739,표1[#ALL],row(),false)</f>
        <v>#N/A</v>
      </c>
      <c r="W739" s="376" t="str">
        <f>CS_PID!W739/VLOOKUP($B739,표2[#ALL],2)/HLOOKUP($A739,표1[#ALL],row(),false)</f>
        <v>#N/A</v>
      </c>
      <c r="X739" s="376" t="str">
        <f>CS_PID!X739/VLOOKUP($B739,표2[#ALL],2)/HLOOKUP($A739,표1[#ALL],row(),false)</f>
        <v>#N/A</v>
      </c>
      <c r="Y739" s="376" t="str">
        <f>CS_PID!Y739/VLOOKUP($B739,표2[#ALL],2)/HLOOKUP($A739,표1[#ALL],row(),false)</f>
        <v>#N/A</v>
      </c>
      <c r="Z739" s="376" t="str">
        <f>CS_PID!Z739/VLOOKUP($B739,표2[#ALL],2)/HLOOKUP($A739,표1[#ALL],row(),false)</f>
        <v>#N/A</v>
      </c>
      <c r="AA739" s="376" t="str">
        <f>CS_PID!AA739/VLOOKUP($B739,표2[#ALL],2)/HLOOKUP($A739,표1[#ALL],row(),false)</f>
        <v>#N/A</v>
      </c>
      <c r="AB739" s="376" t="str">
        <f>CS_PID!AB739/VLOOKUP($B739,표2[#ALL],2)/HLOOKUP($A739,표1[#ALL],row(),false)</f>
        <v>#N/A</v>
      </c>
      <c r="AC739" s="376" t="str">
        <f>CS_PID!AC739/VLOOKUP($B739,표2[#ALL],2)/HLOOKUP($A739,표1[#ALL],row(),false)</f>
        <v>#N/A</v>
      </c>
      <c r="AD739" s="376" t="str">
        <f>CS_PID!AD739/VLOOKUP($B739,표2[#ALL],2)/HLOOKUP($A739,표1[#ALL],row(),false)</f>
        <v>#N/A</v>
      </c>
      <c r="AE739" s="376" t="str">
        <f>CS_PID!AE739/VLOOKUP($B739,표2[#ALL],2)/HLOOKUP($A739,표1[#ALL],row(),false)</f>
        <v>#N/A</v>
      </c>
      <c r="AF739" s="376" t="str">
        <f>CS_PID!AF739/VLOOKUP($B739,표2[#ALL],2)/HLOOKUP($A739,표1[#ALL],row(),false)</f>
        <v>#N/A</v>
      </c>
      <c r="AG739" s="376" t="str">
        <f>CS_PID!AG739/VLOOKUP($B739,표2[#ALL],2)/HLOOKUP($A739,표1[#ALL],row(),false)</f>
        <v>#N/A</v>
      </c>
      <c r="AH739" s="376" t="str">
        <f>CS_PID!AH739/VLOOKUP($B739,표2[#ALL],2)/HLOOKUP($A739,표1[#ALL],row(),false)</f>
        <v>#N/A</v>
      </c>
      <c r="AI739" s="376" t="str">
        <f>CS_PID!AI739/VLOOKUP($B739,표2[#ALL],2)/HLOOKUP($A739,표1[#ALL],row(),false)</f>
        <v>#N/A</v>
      </c>
      <c r="AJ739" s="376" t="str">
        <f>CS_PID!AJ739/VLOOKUP($B739,표2[#ALL],2)/HLOOKUP($A739,표1[#ALL],row(),false)</f>
        <v>#N/A</v>
      </c>
      <c r="AK739" s="376" t="str">
        <f>CS_PID!AK739/VLOOKUP($B739,표2[#ALL],2)/HLOOKUP($A739,표1[#ALL],row(),false)</f>
        <v>#N/A</v>
      </c>
      <c r="AL739" s="376" t="str">
        <f>CS_PID!AL739/VLOOKUP($B739,표2[#ALL],2)/HLOOKUP($A739,표1[#ALL],row(),false)</f>
        <v>#N/A</v>
      </c>
      <c r="AM739" s="376" t="str">
        <f>CS_PID!AM739/VLOOKUP($B739,표2[#ALL],2)/HLOOKUP($A739,표1[#ALL],row(),false)</f>
        <v>#N/A</v>
      </c>
      <c r="AN739" s="376" t="str">
        <f>CS_PID!AN739/VLOOKUP($B739,표2[#ALL],2)/HLOOKUP($A739,표1[#ALL],row(),false)</f>
        <v>#N/A</v>
      </c>
      <c r="AO739" s="376" t="str">
        <f>CS_PID!AO739/VLOOKUP($B739,표2[#ALL],2)/HLOOKUP($A739,표1[#ALL],row(),false)</f>
        <v>#N/A</v>
      </c>
      <c r="AP739" s="376" t="str">
        <f>CS_PID!AP739/VLOOKUP($B739,표2[#ALL],2)/HLOOKUP($A739,표1[#ALL],row(),false)</f>
        <v>#N/A</v>
      </c>
      <c r="AQ739" s="376" t="str">
        <f>CS_PID!AQ739/VLOOKUP($B739,표2[#ALL],2)/HLOOKUP($A739,표1[#ALL],row(),false)</f>
        <v>#N/A</v>
      </c>
      <c r="AR739" s="376" t="str">
        <f>CS_PID!AR739/VLOOKUP($B739,표2[#ALL],2)/HLOOKUP($A739,표1[#ALL],row(),false)</f>
        <v>#N/A</v>
      </c>
      <c r="AS739" s="377" t="str">
        <f>CS_PID!AS739/VLOOKUP($B739,표2[#ALL],2)/HLOOKUP($A739,표1[#ALL],row(),false)</f>
        <v>#N/A</v>
      </c>
    </row>
    <row r="740">
      <c r="A740" s="370"/>
      <c r="B740" s="371"/>
      <c r="C740" s="372" t="str">
        <f>CS_PID!C740/VLOOKUP($B740,표2[#ALL],2)</f>
        <v>#N/A</v>
      </c>
      <c r="D740" s="372" t="str">
        <f>CS_PID!D740/VLOOKUP($B740,표2[#ALL],2)</f>
        <v>#N/A</v>
      </c>
      <c r="E740" s="372" t="str">
        <f>CS_PID!E740/VLOOKUP($B740,표2[#ALL],2)</f>
        <v>#N/A</v>
      </c>
      <c r="F740" s="372" t="str">
        <f>CS_PID!F740/VLOOKUP($B740,표2[#ALL],2)</f>
        <v>#N/A</v>
      </c>
      <c r="G740" s="372" t="str">
        <f>CS_PID!G740/VLOOKUP($B740,표2[#ALL],2)</f>
        <v>#N/A</v>
      </c>
      <c r="H740" s="372" t="str">
        <f>CS_PID!H740/VLOOKUP($B740,표2[#ALL],2)/HLOOKUP($A740,표1[#ALL],row(),false)</f>
        <v>#N/A</v>
      </c>
      <c r="I740" s="372" t="str">
        <f>CS_PID!I740/VLOOKUP($B740,표2[#ALL],2)/HLOOKUP($A740,표1[#ALL],row(),false)</f>
        <v>#N/A</v>
      </c>
      <c r="J740" s="372" t="str">
        <f>CS_PID!J740/VLOOKUP($B740,표2[#ALL],2)/HLOOKUP($A740,표1[#ALL],row(),false)</f>
        <v>#N/A</v>
      </c>
      <c r="K740" s="372" t="str">
        <f>CS_PID!K740/VLOOKUP($B740,표2[#ALL],2)/HLOOKUP($A740,표1[#ALL],row(),false)</f>
        <v>#N/A</v>
      </c>
      <c r="L740" s="372" t="str">
        <f>CS_PID!L740/VLOOKUP($B740,표2[#ALL],2)/HLOOKUP($A740,표1[#ALL],row(),false)</f>
        <v>#N/A</v>
      </c>
      <c r="M740" s="372" t="str">
        <f>CS_PID!M740/VLOOKUP($B740,표2[#ALL],2)/HLOOKUP($A740,표1[#ALL],row(),false)</f>
        <v>#N/A</v>
      </c>
      <c r="N740" s="372" t="str">
        <f>CS_PID!N740/VLOOKUP($B740,표2[#ALL],2)/HLOOKUP($A740,표1[#ALL],row(),false)</f>
        <v>#N/A</v>
      </c>
      <c r="O740" s="372" t="str">
        <f>CS_PID!O740/VLOOKUP($B740,표2[#ALL],2)/HLOOKUP($A740,표1[#ALL],row(),false)</f>
        <v>#N/A</v>
      </c>
      <c r="P740" s="372" t="str">
        <f>CS_PID!P740/VLOOKUP($B740,표2[#ALL],2)/HLOOKUP($A740,표1[#ALL],row(),false)</f>
        <v>#N/A</v>
      </c>
      <c r="Q740" s="372" t="str">
        <f>CS_PID!Q740/VLOOKUP($B740,표2[#ALL],2)/HLOOKUP($A740,표1[#ALL],row(),false)</f>
        <v>#N/A</v>
      </c>
      <c r="R740" s="372" t="str">
        <f>CS_PID!R740/VLOOKUP($B740,표2[#ALL],2)/HLOOKUP($A740,표1[#ALL],row(),false)</f>
        <v>#N/A</v>
      </c>
      <c r="S740" s="372" t="str">
        <f>CS_PID!S740/VLOOKUP($B740,표2[#ALL],2)/HLOOKUP($A740,표1[#ALL],row(),false)</f>
        <v>#N/A</v>
      </c>
      <c r="T740" s="372" t="str">
        <f>CS_PID!T740/VLOOKUP($B740,표2[#ALL],2)/HLOOKUP($A740,표1[#ALL],row(),false)</f>
        <v>#N/A</v>
      </c>
      <c r="U740" s="372" t="str">
        <f>CS_PID!U740/VLOOKUP($B740,표2[#ALL],2)/HLOOKUP($A740,표1[#ALL],row(),false)</f>
        <v>#N/A</v>
      </c>
      <c r="V740" s="372" t="str">
        <f>CS_PID!V740/VLOOKUP($B740,표2[#ALL],2)/HLOOKUP($A740,표1[#ALL],row(),false)</f>
        <v>#N/A</v>
      </c>
      <c r="W740" s="372" t="str">
        <f>CS_PID!W740/VLOOKUP($B740,표2[#ALL],2)/HLOOKUP($A740,표1[#ALL],row(),false)</f>
        <v>#N/A</v>
      </c>
      <c r="X740" s="372" t="str">
        <f>CS_PID!X740/VLOOKUP($B740,표2[#ALL],2)/HLOOKUP($A740,표1[#ALL],row(),false)</f>
        <v>#N/A</v>
      </c>
      <c r="Y740" s="372" t="str">
        <f>CS_PID!Y740/VLOOKUP($B740,표2[#ALL],2)/HLOOKUP($A740,표1[#ALL],row(),false)</f>
        <v>#N/A</v>
      </c>
      <c r="Z740" s="372" t="str">
        <f>CS_PID!Z740/VLOOKUP($B740,표2[#ALL],2)/HLOOKUP($A740,표1[#ALL],row(),false)</f>
        <v>#N/A</v>
      </c>
      <c r="AA740" s="372" t="str">
        <f>CS_PID!AA740/VLOOKUP($B740,표2[#ALL],2)/HLOOKUP($A740,표1[#ALL],row(),false)</f>
        <v>#N/A</v>
      </c>
      <c r="AB740" s="372" t="str">
        <f>CS_PID!AB740/VLOOKUP($B740,표2[#ALL],2)/HLOOKUP($A740,표1[#ALL],row(),false)</f>
        <v>#N/A</v>
      </c>
      <c r="AC740" s="372" t="str">
        <f>CS_PID!AC740/VLOOKUP($B740,표2[#ALL],2)/HLOOKUP($A740,표1[#ALL],row(),false)</f>
        <v>#N/A</v>
      </c>
      <c r="AD740" s="372" t="str">
        <f>CS_PID!AD740/VLOOKUP($B740,표2[#ALL],2)/HLOOKUP($A740,표1[#ALL],row(),false)</f>
        <v>#N/A</v>
      </c>
      <c r="AE740" s="372" t="str">
        <f>CS_PID!AE740/VLOOKUP($B740,표2[#ALL],2)/HLOOKUP($A740,표1[#ALL],row(),false)</f>
        <v>#N/A</v>
      </c>
      <c r="AF740" s="372" t="str">
        <f>CS_PID!AF740/VLOOKUP($B740,표2[#ALL],2)/HLOOKUP($A740,표1[#ALL],row(),false)</f>
        <v>#N/A</v>
      </c>
      <c r="AG740" s="372" t="str">
        <f>CS_PID!AG740/VLOOKUP($B740,표2[#ALL],2)/HLOOKUP($A740,표1[#ALL],row(),false)</f>
        <v>#N/A</v>
      </c>
      <c r="AH740" s="372" t="str">
        <f>CS_PID!AH740/VLOOKUP($B740,표2[#ALL],2)/HLOOKUP($A740,표1[#ALL],row(),false)</f>
        <v>#N/A</v>
      </c>
      <c r="AI740" s="372" t="str">
        <f>CS_PID!AI740/VLOOKUP($B740,표2[#ALL],2)/HLOOKUP($A740,표1[#ALL],row(),false)</f>
        <v>#N/A</v>
      </c>
      <c r="AJ740" s="372" t="str">
        <f>CS_PID!AJ740/VLOOKUP($B740,표2[#ALL],2)/HLOOKUP($A740,표1[#ALL],row(),false)</f>
        <v>#N/A</v>
      </c>
      <c r="AK740" s="372" t="str">
        <f>CS_PID!AK740/VLOOKUP($B740,표2[#ALL],2)/HLOOKUP($A740,표1[#ALL],row(),false)</f>
        <v>#N/A</v>
      </c>
      <c r="AL740" s="372" t="str">
        <f>CS_PID!AL740/VLOOKUP($B740,표2[#ALL],2)/HLOOKUP($A740,표1[#ALL],row(),false)</f>
        <v>#N/A</v>
      </c>
      <c r="AM740" s="372" t="str">
        <f>CS_PID!AM740/VLOOKUP($B740,표2[#ALL],2)/HLOOKUP($A740,표1[#ALL],row(),false)</f>
        <v>#N/A</v>
      </c>
      <c r="AN740" s="372" t="str">
        <f>CS_PID!AN740/VLOOKUP($B740,표2[#ALL],2)/HLOOKUP($A740,표1[#ALL],row(),false)</f>
        <v>#N/A</v>
      </c>
      <c r="AO740" s="372" t="str">
        <f>CS_PID!AO740/VLOOKUP($B740,표2[#ALL],2)/HLOOKUP($A740,표1[#ALL],row(),false)</f>
        <v>#N/A</v>
      </c>
      <c r="AP740" s="372" t="str">
        <f>CS_PID!AP740/VLOOKUP($B740,표2[#ALL],2)/HLOOKUP($A740,표1[#ALL],row(),false)</f>
        <v>#N/A</v>
      </c>
      <c r="AQ740" s="372" t="str">
        <f>CS_PID!AQ740/VLOOKUP($B740,표2[#ALL],2)/HLOOKUP($A740,표1[#ALL],row(),false)</f>
        <v>#N/A</v>
      </c>
      <c r="AR740" s="372" t="str">
        <f>CS_PID!AR740/VLOOKUP($B740,표2[#ALL],2)/HLOOKUP($A740,표1[#ALL],row(),false)</f>
        <v>#N/A</v>
      </c>
      <c r="AS740" s="373" t="str">
        <f>CS_PID!AS740/VLOOKUP($B740,표2[#ALL],2)/HLOOKUP($A740,표1[#ALL],row(),false)</f>
        <v>#N/A</v>
      </c>
    </row>
    <row r="741">
      <c r="A741" s="374"/>
      <c r="B741" s="375"/>
      <c r="C741" s="376" t="str">
        <f>CS_PID!C741/VLOOKUP($B741,표2[#ALL],2)</f>
        <v>#N/A</v>
      </c>
      <c r="D741" s="376" t="str">
        <f>CS_PID!D741/VLOOKUP($B741,표2[#ALL],2)</f>
        <v>#N/A</v>
      </c>
      <c r="E741" s="376" t="str">
        <f>CS_PID!E741/VLOOKUP($B741,표2[#ALL],2)</f>
        <v>#N/A</v>
      </c>
      <c r="F741" s="376" t="str">
        <f>CS_PID!F741/VLOOKUP($B741,표2[#ALL],2)</f>
        <v>#N/A</v>
      </c>
      <c r="G741" s="376" t="str">
        <f>CS_PID!G741/VLOOKUP($B741,표2[#ALL],2)</f>
        <v>#N/A</v>
      </c>
      <c r="H741" s="376" t="str">
        <f>CS_PID!H741/VLOOKUP($B741,표2[#ALL],2)/HLOOKUP($A741,표1[#ALL],row(),false)</f>
        <v>#N/A</v>
      </c>
      <c r="I741" s="376" t="str">
        <f>CS_PID!I741/VLOOKUP($B741,표2[#ALL],2)/HLOOKUP($A741,표1[#ALL],row(),false)</f>
        <v>#N/A</v>
      </c>
      <c r="J741" s="376" t="str">
        <f>CS_PID!J741/VLOOKUP($B741,표2[#ALL],2)/HLOOKUP($A741,표1[#ALL],row(),false)</f>
        <v>#N/A</v>
      </c>
      <c r="K741" s="376" t="str">
        <f>CS_PID!K741/VLOOKUP($B741,표2[#ALL],2)/HLOOKUP($A741,표1[#ALL],row(),false)</f>
        <v>#N/A</v>
      </c>
      <c r="L741" s="376" t="str">
        <f>CS_PID!L741/VLOOKUP($B741,표2[#ALL],2)/HLOOKUP($A741,표1[#ALL],row(),false)</f>
        <v>#N/A</v>
      </c>
      <c r="M741" s="376" t="str">
        <f>CS_PID!M741/VLOOKUP($B741,표2[#ALL],2)/HLOOKUP($A741,표1[#ALL],row(),false)</f>
        <v>#N/A</v>
      </c>
      <c r="N741" s="376" t="str">
        <f>CS_PID!N741/VLOOKUP($B741,표2[#ALL],2)/HLOOKUP($A741,표1[#ALL],row(),false)</f>
        <v>#N/A</v>
      </c>
      <c r="O741" s="376" t="str">
        <f>CS_PID!O741/VLOOKUP($B741,표2[#ALL],2)/HLOOKUP($A741,표1[#ALL],row(),false)</f>
        <v>#N/A</v>
      </c>
      <c r="P741" s="376" t="str">
        <f>CS_PID!P741/VLOOKUP($B741,표2[#ALL],2)/HLOOKUP($A741,표1[#ALL],row(),false)</f>
        <v>#N/A</v>
      </c>
      <c r="Q741" s="376" t="str">
        <f>CS_PID!Q741/VLOOKUP($B741,표2[#ALL],2)/HLOOKUP($A741,표1[#ALL],row(),false)</f>
        <v>#N/A</v>
      </c>
      <c r="R741" s="376" t="str">
        <f>CS_PID!R741/VLOOKUP($B741,표2[#ALL],2)/HLOOKUP($A741,표1[#ALL],row(),false)</f>
        <v>#N/A</v>
      </c>
      <c r="S741" s="376" t="str">
        <f>CS_PID!S741/VLOOKUP($B741,표2[#ALL],2)/HLOOKUP($A741,표1[#ALL],row(),false)</f>
        <v>#N/A</v>
      </c>
      <c r="T741" s="376" t="str">
        <f>CS_PID!T741/VLOOKUP($B741,표2[#ALL],2)/HLOOKUP($A741,표1[#ALL],row(),false)</f>
        <v>#N/A</v>
      </c>
      <c r="U741" s="376" t="str">
        <f>CS_PID!U741/VLOOKUP($B741,표2[#ALL],2)/HLOOKUP($A741,표1[#ALL],row(),false)</f>
        <v>#N/A</v>
      </c>
      <c r="V741" s="376" t="str">
        <f>CS_PID!V741/VLOOKUP($B741,표2[#ALL],2)/HLOOKUP($A741,표1[#ALL],row(),false)</f>
        <v>#N/A</v>
      </c>
      <c r="W741" s="376" t="str">
        <f>CS_PID!W741/VLOOKUP($B741,표2[#ALL],2)/HLOOKUP($A741,표1[#ALL],row(),false)</f>
        <v>#N/A</v>
      </c>
      <c r="X741" s="376" t="str">
        <f>CS_PID!X741/VLOOKUP($B741,표2[#ALL],2)/HLOOKUP($A741,표1[#ALL],row(),false)</f>
        <v>#N/A</v>
      </c>
      <c r="Y741" s="376" t="str">
        <f>CS_PID!Y741/VLOOKUP($B741,표2[#ALL],2)/HLOOKUP($A741,표1[#ALL],row(),false)</f>
        <v>#N/A</v>
      </c>
      <c r="Z741" s="376" t="str">
        <f>CS_PID!Z741/VLOOKUP($B741,표2[#ALL],2)/HLOOKUP($A741,표1[#ALL],row(),false)</f>
        <v>#N/A</v>
      </c>
      <c r="AA741" s="376" t="str">
        <f>CS_PID!AA741/VLOOKUP($B741,표2[#ALL],2)/HLOOKUP($A741,표1[#ALL],row(),false)</f>
        <v>#N/A</v>
      </c>
      <c r="AB741" s="376" t="str">
        <f>CS_PID!AB741/VLOOKUP($B741,표2[#ALL],2)/HLOOKUP($A741,표1[#ALL],row(),false)</f>
        <v>#N/A</v>
      </c>
      <c r="AC741" s="376" t="str">
        <f>CS_PID!AC741/VLOOKUP($B741,표2[#ALL],2)/HLOOKUP($A741,표1[#ALL],row(),false)</f>
        <v>#N/A</v>
      </c>
      <c r="AD741" s="376" t="str">
        <f>CS_PID!AD741/VLOOKUP($B741,표2[#ALL],2)/HLOOKUP($A741,표1[#ALL],row(),false)</f>
        <v>#N/A</v>
      </c>
      <c r="AE741" s="376" t="str">
        <f>CS_PID!AE741/VLOOKUP($B741,표2[#ALL],2)/HLOOKUP($A741,표1[#ALL],row(),false)</f>
        <v>#N/A</v>
      </c>
      <c r="AF741" s="376" t="str">
        <f>CS_PID!AF741/VLOOKUP($B741,표2[#ALL],2)/HLOOKUP($A741,표1[#ALL],row(),false)</f>
        <v>#N/A</v>
      </c>
      <c r="AG741" s="376" t="str">
        <f>CS_PID!AG741/VLOOKUP($B741,표2[#ALL],2)/HLOOKUP($A741,표1[#ALL],row(),false)</f>
        <v>#N/A</v>
      </c>
      <c r="AH741" s="376" t="str">
        <f>CS_PID!AH741/VLOOKUP($B741,표2[#ALL],2)/HLOOKUP($A741,표1[#ALL],row(),false)</f>
        <v>#N/A</v>
      </c>
      <c r="AI741" s="376" t="str">
        <f>CS_PID!AI741/VLOOKUP($B741,표2[#ALL],2)/HLOOKUP($A741,표1[#ALL],row(),false)</f>
        <v>#N/A</v>
      </c>
      <c r="AJ741" s="376" t="str">
        <f>CS_PID!AJ741/VLOOKUP($B741,표2[#ALL],2)/HLOOKUP($A741,표1[#ALL],row(),false)</f>
        <v>#N/A</v>
      </c>
      <c r="AK741" s="376" t="str">
        <f>CS_PID!AK741/VLOOKUP($B741,표2[#ALL],2)/HLOOKUP($A741,표1[#ALL],row(),false)</f>
        <v>#N/A</v>
      </c>
      <c r="AL741" s="376" t="str">
        <f>CS_PID!AL741/VLOOKUP($B741,표2[#ALL],2)/HLOOKUP($A741,표1[#ALL],row(),false)</f>
        <v>#N/A</v>
      </c>
      <c r="AM741" s="376" t="str">
        <f>CS_PID!AM741/VLOOKUP($B741,표2[#ALL],2)/HLOOKUP($A741,표1[#ALL],row(),false)</f>
        <v>#N/A</v>
      </c>
      <c r="AN741" s="376" t="str">
        <f>CS_PID!AN741/VLOOKUP($B741,표2[#ALL],2)/HLOOKUP($A741,표1[#ALL],row(),false)</f>
        <v>#N/A</v>
      </c>
      <c r="AO741" s="376" t="str">
        <f>CS_PID!AO741/VLOOKUP($B741,표2[#ALL],2)/HLOOKUP($A741,표1[#ALL],row(),false)</f>
        <v>#N/A</v>
      </c>
      <c r="AP741" s="376" t="str">
        <f>CS_PID!AP741/VLOOKUP($B741,표2[#ALL],2)/HLOOKUP($A741,표1[#ALL],row(),false)</f>
        <v>#N/A</v>
      </c>
      <c r="AQ741" s="376" t="str">
        <f>CS_PID!AQ741/VLOOKUP($B741,표2[#ALL],2)/HLOOKUP($A741,표1[#ALL],row(),false)</f>
        <v>#N/A</v>
      </c>
      <c r="AR741" s="376" t="str">
        <f>CS_PID!AR741/VLOOKUP($B741,표2[#ALL],2)/HLOOKUP($A741,표1[#ALL],row(),false)</f>
        <v>#N/A</v>
      </c>
      <c r="AS741" s="377" t="str">
        <f>CS_PID!AS741/VLOOKUP($B741,표2[#ALL],2)/HLOOKUP($A741,표1[#ALL],row(),false)</f>
        <v>#N/A</v>
      </c>
    </row>
    <row r="742">
      <c r="A742" s="370"/>
      <c r="B742" s="371"/>
      <c r="C742" s="372" t="str">
        <f>CS_PID!C742/VLOOKUP($B742,표2[#ALL],2)</f>
        <v>#N/A</v>
      </c>
      <c r="D742" s="372" t="str">
        <f>CS_PID!D742/VLOOKUP($B742,표2[#ALL],2)</f>
        <v>#N/A</v>
      </c>
      <c r="E742" s="372" t="str">
        <f>CS_PID!E742/VLOOKUP($B742,표2[#ALL],2)</f>
        <v>#N/A</v>
      </c>
      <c r="F742" s="372" t="str">
        <f>CS_PID!F742/VLOOKUP($B742,표2[#ALL],2)</f>
        <v>#N/A</v>
      </c>
      <c r="G742" s="372" t="str">
        <f>CS_PID!G742/VLOOKUP($B742,표2[#ALL],2)</f>
        <v>#N/A</v>
      </c>
      <c r="H742" s="372" t="str">
        <f>CS_PID!H742/VLOOKUP($B742,표2[#ALL],2)/HLOOKUP($A742,표1[#ALL],row(),false)</f>
        <v>#N/A</v>
      </c>
      <c r="I742" s="372" t="str">
        <f>CS_PID!I742/VLOOKUP($B742,표2[#ALL],2)/HLOOKUP($A742,표1[#ALL],row(),false)</f>
        <v>#N/A</v>
      </c>
      <c r="J742" s="372" t="str">
        <f>CS_PID!J742/VLOOKUP($B742,표2[#ALL],2)/HLOOKUP($A742,표1[#ALL],row(),false)</f>
        <v>#N/A</v>
      </c>
      <c r="K742" s="372" t="str">
        <f>CS_PID!K742/VLOOKUP($B742,표2[#ALL],2)/HLOOKUP($A742,표1[#ALL],row(),false)</f>
        <v>#N/A</v>
      </c>
      <c r="L742" s="372" t="str">
        <f>CS_PID!L742/VLOOKUP($B742,표2[#ALL],2)/HLOOKUP($A742,표1[#ALL],row(),false)</f>
        <v>#N/A</v>
      </c>
      <c r="M742" s="372" t="str">
        <f>CS_PID!M742/VLOOKUP($B742,표2[#ALL],2)/HLOOKUP($A742,표1[#ALL],row(),false)</f>
        <v>#N/A</v>
      </c>
      <c r="N742" s="372" t="str">
        <f>CS_PID!N742/VLOOKUP($B742,표2[#ALL],2)/HLOOKUP($A742,표1[#ALL],row(),false)</f>
        <v>#N/A</v>
      </c>
      <c r="O742" s="372" t="str">
        <f>CS_PID!O742/VLOOKUP($B742,표2[#ALL],2)/HLOOKUP($A742,표1[#ALL],row(),false)</f>
        <v>#N/A</v>
      </c>
      <c r="P742" s="372" t="str">
        <f>CS_PID!P742/VLOOKUP($B742,표2[#ALL],2)/HLOOKUP($A742,표1[#ALL],row(),false)</f>
        <v>#N/A</v>
      </c>
      <c r="Q742" s="372" t="str">
        <f>CS_PID!Q742/VLOOKUP($B742,표2[#ALL],2)/HLOOKUP($A742,표1[#ALL],row(),false)</f>
        <v>#N/A</v>
      </c>
      <c r="R742" s="372" t="str">
        <f>CS_PID!R742/VLOOKUP($B742,표2[#ALL],2)/HLOOKUP($A742,표1[#ALL],row(),false)</f>
        <v>#N/A</v>
      </c>
      <c r="S742" s="372" t="str">
        <f>CS_PID!S742/VLOOKUP($B742,표2[#ALL],2)/HLOOKUP($A742,표1[#ALL],row(),false)</f>
        <v>#N/A</v>
      </c>
      <c r="T742" s="372" t="str">
        <f>CS_PID!T742/VLOOKUP($B742,표2[#ALL],2)/HLOOKUP($A742,표1[#ALL],row(),false)</f>
        <v>#N/A</v>
      </c>
      <c r="U742" s="372" t="str">
        <f>CS_PID!U742/VLOOKUP($B742,표2[#ALL],2)/HLOOKUP($A742,표1[#ALL],row(),false)</f>
        <v>#N/A</v>
      </c>
      <c r="V742" s="372" t="str">
        <f>CS_PID!V742/VLOOKUP($B742,표2[#ALL],2)/HLOOKUP($A742,표1[#ALL],row(),false)</f>
        <v>#N/A</v>
      </c>
      <c r="W742" s="372" t="str">
        <f>CS_PID!W742/VLOOKUP($B742,표2[#ALL],2)/HLOOKUP($A742,표1[#ALL],row(),false)</f>
        <v>#N/A</v>
      </c>
      <c r="X742" s="372" t="str">
        <f>CS_PID!X742/VLOOKUP($B742,표2[#ALL],2)/HLOOKUP($A742,표1[#ALL],row(),false)</f>
        <v>#N/A</v>
      </c>
      <c r="Y742" s="372" t="str">
        <f>CS_PID!Y742/VLOOKUP($B742,표2[#ALL],2)/HLOOKUP($A742,표1[#ALL],row(),false)</f>
        <v>#N/A</v>
      </c>
      <c r="Z742" s="372" t="str">
        <f>CS_PID!Z742/VLOOKUP($B742,표2[#ALL],2)/HLOOKUP($A742,표1[#ALL],row(),false)</f>
        <v>#N/A</v>
      </c>
      <c r="AA742" s="372" t="str">
        <f>CS_PID!AA742/VLOOKUP($B742,표2[#ALL],2)/HLOOKUP($A742,표1[#ALL],row(),false)</f>
        <v>#N/A</v>
      </c>
      <c r="AB742" s="372" t="str">
        <f>CS_PID!AB742/VLOOKUP($B742,표2[#ALL],2)/HLOOKUP($A742,표1[#ALL],row(),false)</f>
        <v>#N/A</v>
      </c>
      <c r="AC742" s="372" t="str">
        <f>CS_PID!AC742/VLOOKUP($B742,표2[#ALL],2)/HLOOKUP($A742,표1[#ALL],row(),false)</f>
        <v>#N/A</v>
      </c>
      <c r="AD742" s="372" t="str">
        <f>CS_PID!AD742/VLOOKUP($B742,표2[#ALL],2)/HLOOKUP($A742,표1[#ALL],row(),false)</f>
        <v>#N/A</v>
      </c>
      <c r="AE742" s="372" t="str">
        <f>CS_PID!AE742/VLOOKUP($B742,표2[#ALL],2)/HLOOKUP($A742,표1[#ALL],row(),false)</f>
        <v>#N/A</v>
      </c>
      <c r="AF742" s="372" t="str">
        <f>CS_PID!AF742/VLOOKUP($B742,표2[#ALL],2)/HLOOKUP($A742,표1[#ALL],row(),false)</f>
        <v>#N/A</v>
      </c>
      <c r="AG742" s="372" t="str">
        <f>CS_PID!AG742/VLOOKUP($B742,표2[#ALL],2)/HLOOKUP($A742,표1[#ALL],row(),false)</f>
        <v>#N/A</v>
      </c>
      <c r="AH742" s="372" t="str">
        <f>CS_PID!AH742/VLOOKUP($B742,표2[#ALL],2)/HLOOKUP($A742,표1[#ALL],row(),false)</f>
        <v>#N/A</v>
      </c>
      <c r="AI742" s="372" t="str">
        <f>CS_PID!AI742/VLOOKUP($B742,표2[#ALL],2)/HLOOKUP($A742,표1[#ALL],row(),false)</f>
        <v>#N/A</v>
      </c>
      <c r="AJ742" s="372" t="str">
        <f>CS_PID!AJ742/VLOOKUP($B742,표2[#ALL],2)/HLOOKUP($A742,표1[#ALL],row(),false)</f>
        <v>#N/A</v>
      </c>
      <c r="AK742" s="372" t="str">
        <f>CS_PID!AK742/VLOOKUP($B742,표2[#ALL],2)/HLOOKUP($A742,표1[#ALL],row(),false)</f>
        <v>#N/A</v>
      </c>
      <c r="AL742" s="372" t="str">
        <f>CS_PID!AL742/VLOOKUP($B742,표2[#ALL],2)/HLOOKUP($A742,표1[#ALL],row(),false)</f>
        <v>#N/A</v>
      </c>
      <c r="AM742" s="372" t="str">
        <f>CS_PID!AM742/VLOOKUP($B742,표2[#ALL],2)/HLOOKUP($A742,표1[#ALL],row(),false)</f>
        <v>#N/A</v>
      </c>
      <c r="AN742" s="372" t="str">
        <f>CS_PID!AN742/VLOOKUP($B742,표2[#ALL],2)/HLOOKUP($A742,표1[#ALL],row(),false)</f>
        <v>#N/A</v>
      </c>
      <c r="AO742" s="372" t="str">
        <f>CS_PID!AO742/VLOOKUP($B742,표2[#ALL],2)/HLOOKUP($A742,표1[#ALL],row(),false)</f>
        <v>#N/A</v>
      </c>
      <c r="AP742" s="372" t="str">
        <f>CS_PID!AP742/VLOOKUP($B742,표2[#ALL],2)/HLOOKUP($A742,표1[#ALL],row(),false)</f>
        <v>#N/A</v>
      </c>
      <c r="AQ742" s="372" t="str">
        <f>CS_PID!AQ742/VLOOKUP($B742,표2[#ALL],2)/HLOOKUP($A742,표1[#ALL],row(),false)</f>
        <v>#N/A</v>
      </c>
      <c r="AR742" s="372" t="str">
        <f>CS_PID!AR742/VLOOKUP($B742,표2[#ALL],2)/HLOOKUP($A742,표1[#ALL],row(),false)</f>
        <v>#N/A</v>
      </c>
      <c r="AS742" s="373" t="str">
        <f>CS_PID!AS742/VLOOKUP($B742,표2[#ALL],2)/HLOOKUP($A742,표1[#ALL],row(),false)</f>
        <v>#N/A</v>
      </c>
    </row>
    <row r="743">
      <c r="A743" s="374"/>
      <c r="B743" s="375"/>
      <c r="C743" s="376" t="str">
        <f>CS_PID!C743/VLOOKUP($B743,표2[#ALL],2)</f>
        <v>#N/A</v>
      </c>
      <c r="D743" s="376" t="str">
        <f>CS_PID!D743/VLOOKUP($B743,표2[#ALL],2)</f>
        <v>#N/A</v>
      </c>
      <c r="E743" s="376" t="str">
        <f>CS_PID!E743/VLOOKUP($B743,표2[#ALL],2)</f>
        <v>#N/A</v>
      </c>
      <c r="F743" s="376" t="str">
        <f>CS_PID!F743/VLOOKUP($B743,표2[#ALL],2)</f>
        <v>#N/A</v>
      </c>
      <c r="G743" s="376" t="str">
        <f>CS_PID!G743/VLOOKUP($B743,표2[#ALL],2)</f>
        <v>#N/A</v>
      </c>
      <c r="H743" s="376" t="str">
        <f>CS_PID!H743/VLOOKUP($B743,표2[#ALL],2)/HLOOKUP($A743,표1[#ALL],row(),false)</f>
        <v>#N/A</v>
      </c>
      <c r="I743" s="376" t="str">
        <f>CS_PID!I743/VLOOKUP($B743,표2[#ALL],2)/HLOOKUP($A743,표1[#ALL],row(),false)</f>
        <v>#N/A</v>
      </c>
      <c r="J743" s="376" t="str">
        <f>CS_PID!J743/VLOOKUP($B743,표2[#ALL],2)/HLOOKUP($A743,표1[#ALL],row(),false)</f>
        <v>#N/A</v>
      </c>
      <c r="K743" s="376" t="str">
        <f>CS_PID!K743/VLOOKUP($B743,표2[#ALL],2)/HLOOKUP($A743,표1[#ALL],row(),false)</f>
        <v>#N/A</v>
      </c>
      <c r="L743" s="376" t="str">
        <f>CS_PID!L743/VLOOKUP($B743,표2[#ALL],2)/HLOOKUP($A743,표1[#ALL],row(),false)</f>
        <v>#N/A</v>
      </c>
      <c r="M743" s="376" t="str">
        <f>CS_PID!M743/VLOOKUP($B743,표2[#ALL],2)/HLOOKUP($A743,표1[#ALL],row(),false)</f>
        <v>#N/A</v>
      </c>
      <c r="N743" s="376" t="str">
        <f>CS_PID!N743/VLOOKUP($B743,표2[#ALL],2)/HLOOKUP($A743,표1[#ALL],row(),false)</f>
        <v>#N/A</v>
      </c>
      <c r="O743" s="376" t="str">
        <f>CS_PID!O743/VLOOKUP($B743,표2[#ALL],2)/HLOOKUP($A743,표1[#ALL],row(),false)</f>
        <v>#N/A</v>
      </c>
      <c r="P743" s="376" t="str">
        <f>CS_PID!P743/VLOOKUP($B743,표2[#ALL],2)/HLOOKUP($A743,표1[#ALL],row(),false)</f>
        <v>#N/A</v>
      </c>
      <c r="Q743" s="376" t="str">
        <f>CS_PID!Q743/VLOOKUP($B743,표2[#ALL],2)/HLOOKUP($A743,표1[#ALL],row(),false)</f>
        <v>#N/A</v>
      </c>
      <c r="R743" s="376" t="str">
        <f>CS_PID!R743/VLOOKUP($B743,표2[#ALL],2)/HLOOKUP($A743,표1[#ALL],row(),false)</f>
        <v>#N/A</v>
      </c>
      <c r="S743" s="376" t="str">
        <f>CS_PID!S743/VLOOKUP($B743,표2[#ALL],2)/HLOOKUP($A743,표1[#ALL],row(),false)</f>
        <v>#N/A</v>
      </c>
      <c r="T743" s="376" t="str">
        <f>CS_PID!T743/VLOOKUP($B743,표2[#ALL],2)/HLOOKUP($A743,표1[#ALL],row(),false)</f>
        <v>#N/A</v>
      </c>
      <c r="U743" s="376" t="str">
        <f>CS_PID!U743/VLOOKUP($B743,표2[#ALL],2)/HLOOKUP($A743,표1[#ALL],row(),false)</f>
        <v>#N/A</v>
      </c>
      <c r="V743" s="376" t="str">
        <f>CS_PID!V743/VLOOKUP($B743,표2[#ALL],2)/HLOOKUP($A743,표1[#ALL],row(),false)</f>
        <v>#N/A</v>
      </c>
      <c r="W743" s="376" t="str">
        <f>CS_PID!W743/VLOOKUP($B743,표2[#ALL],2)/HLOOKUP($A743,표1[#ALL],row(),false)</f>
        <v>#N/A</v>
      </c>
      <c r="X743" s="376" t="str">
        <f>CS_PID!X743/VLOOKUP($B743,표2[#ALL],2)/HLOOKUP($A743,표1[#ALL],row(),false)</f>
        <v>#N/A</v>
      </c>
      <c r="Y743" s="376" t="str">
        <f>CS_PID!Y743/VLOOKUP($B743,표2[#ALL],2)/HLOOKUP($A743,표1[#ALL],row(),false)</f>
        <v>#N/A</v>
      </c>
      <c r="Z743" s="376" t="str">
        <f>CS_PID!Z743/VLOOKUP($B743,표2[#ALL],2)/HLOOKUP($A743,표1[#ALL],row(),false)</f>
        <v>#N/A</v>
      </c>
      <c r="AA743" s="376" t="str">
        <f>CS_PID!AA743/VLOOKUP($B743,표2[#ALL],2)/HLOOKUP($A743,표1[#ALL],row(),false)</f>
        <v>#N/A</v>
      </c>
      <c r="AB743" s="376" t="str">
        <f>CS_PID!AB743/VLOOKUP($B743,표2[#ALL],2)/HLOOKUP($A743,표1[#ALL],row(),false)</f>
        <v>#N/A</v>
      </c>
      <c r="AC743" s="376" t="str">
        <f>CS_PID!AC743/VLOOKUP($B743,표2[#ALL],2)/HLOOKUP($A743,표1[#ALL],row(),false)</f>
        <v>#N/A</v>
      </c>
      <c r="AD743" s="376" t="str">
        <f>CS_PID!AD743/VLOOKUP($B743,표2[#ALL],2)/HLOOKUP($A743,표1[#ALL],row(),false)</f>
        <v>#N/A</v>
      </c>
      <c r="AE743" s="376" t="str">
        <f>CS_PID!AE743/VLOOKUP($B743,표2[#ALL],2)/HLOOKUP($A743,표1[#ALL],row(),false)</f>
        <v>#N/A</v>
      </c>
      <c r="AF743" s="376" t="str">
        <f>CS_PID!AF743/VLOOKUP($B743,표2[#ALL],2)/HLOOKUP($A743,표1[#ALL],row(),false)</f>
        <v>#N/A</v>
      </c>
      <c r="AG743" s="376" t="str">
        <f>CS_PID!AG743/VLOOKUP($B743,표2[#ALL],2)/HLOOKUP($A743,표1[#ALL],row(),false)</f>
        <v>#N/A</v>
      </c>
      <c r="AH743" s="376" t="str">
        <f>CS_PID!AH743/VLOOKUP($B743,표2[#ALL],2)/HLOOKUP($A743,표1[#ALL],row(),false)</f>
        <v>#N/A</v>
      </c>
      <c r="AI743" s="376" t="str">
        <f>CS_PID!AI743/VLOOKUP($B743,표2[#ALL],2)/HLOOKUP($A743,표1[#ALL],row(),false)</f>
        <v>#N/A</v>
      </c>
      <c r="AJ743" s="376" t="str">
        <f>CS_PID!AJ743/VLOOKUP($B743,표2[#ALL],2)/HLOOKUP($A743,표1[#ALL],row(),false)</f>
        <v>#N/A</v>
      </c>
      <c r="AK743" s="376" t="str">
        <f>CS_PID!AK743/VLOOKUP($B743,표2[#ALL],2)/HLOOKUP($A743,표1[#ALL],row(),false)</f>
        <v>#N/A</v>
      </c>
      <c r="AL743" s="376" t="str">
        <f>CS_PID!AL743/VLOOKUP($B743,표2[#ALL],2)/HLOOKUP($A743,표1[#ALL],row(),false)</f>
        <v>#N/A</v>
      </c>
      <c r="AM743" s="376" t="str">
        <f>CS_PID!AM743/VLOOKUP($B743,표2[#ALL],2)/HLOOKUP($A743,표1[#ALL],row(),false)</f>
        <v>#N/A</v>
      </c>
      <c r="AN743" s="376" t="str">
        <f>CS_PID!AN743/VLOOKUP($B743,표2[#ALL],2)/HLOOKUP($A743,표1[#ALL],row(),false)</f>
        <v>#N/A</v>
      </c>
      <c r="AO743" s="376" t="str">
        <f>CS_PID!AO743/VLOOKUP($B743,표2[#ALL],2)/HLOOKUP($A743,표1[#ALL],row(),false)</f>
        <v>#N/A</v>
      </c>
      <c r="AP743" s="376" t="str">
        <f>CS_PID!AP743/VLOOKUP($B743,표2[#ALL],2)/HLOOKUP($A743,표1[#ALL],row(),false)</f>
        <v>#N/A</v>
      </c>
      <c r="AQ743" s="376" t="str">
        <f>CS_PID!AQ743/VLOOKUP($B743,표2[#ALL],2)/HLOOKUP($A743,표1[#ALL],row(),false)</f>
        <v>#N/A</v>
      </c>
      <c r="AR743" s="376" t="str">
        <f>CS_PID!AR743/VLOOKUP($B743,표2[#ALL],2)/HLOOKUP($A743,표1[#ALL],row(),false)</f>
        <v>#N/A</v>
      </c>
      <c r="AS743" s="377" t="str">
        <f>CS_PID!AS743/VLOOKUP($B743,표2[#ALL],2)/HLOOKUP($A743,표1[#ALL],row(),false)</f>
        <v>#N/A</v>
      </c>
    </row>
    <row r="744">
      <c r="A744" s="370"/>
      <c r="B744" s="371"/>
      <c r="C744" s="372" t="str">
        <f>CS_PID!C744/VLOOKUP($B744,표2[#ALL],2)</f>
        <v>#N/A</v>
      </c>
      <c r="D744" s="372" t="str">
        <f>CS_PID!D744/VLOOKUP($B744,표2[#ALL],2)</f>
        <v>#N/A</v>
      </c>
      <c r="E744" s="372" t="str">
        <f>CS_PID!E744/VLOOKUP($B744,표2[#ALL],2)</f>
        <v>#N/A</v>
      </c>
      <c r="F744" s="372" t="str">
        <f>CS_PID!F744/VLOOKUP($B744,표2[#ALL],2)</f>
        <v>#N/A</v>
      </c>
      <c r="G744" s="372" t="str">
        <f>CS_PID!G744/VLOOKUP($B744,표2[#ALL],2)</f>
        <v>#N/A</v>
      </c>
      <c r="H744" s="372" t="str">
        <f>CS_PID!H744/VLOOKUP($B744,표2[#ALL],2)/HLOOKUP($A744,표1[#ALL],row(),false)</f>
        <v>#N/A</v>
      </c>
      <c r="I744" s="372" t="str">
        <f>CS_PID!I744/VLOOKUP($B744,표2[#ALL],2)/HLOOKUP($A744,표1[#ALL],row(),false)</f>
        <v>#N/A</v>
      </c>
      <c r="J744" s="372" t="str">
        <f>CS_PID!J744/VLOOKUP($B744,표2[#ALL],2)/HLOOKUP($A744,표1[#ALL],row(),false)</f>
        <v>#N/A</v>
      </c>
      <c r="K744" s="372" t="str">
        <f>CS_PID!K744/VLOOKUP($B744,표2[#ALL],2)/HLOOKUP($A744,표1[#ALL],row(),false)</f>
        <v>#N/A</v>
      </c>
      <c r="L744" s="372" t="str">
        <f>CS_PID!L744/VLOOKUP($B744,표2[#ALL],2)/HLOOKUP($A744,표1[#ALL],row(),false)</f>
        <v>#N/A</v>
      </c>
      <c r="M744" s="372" t="str">
        <f>CS_PID!M744/VLOOKUP($B744,표2[#ALL],2)/HLOOKUP($A744,표1[#ALL],row(),false)</f>
        <v>#N/A</v>
      </c>
      <c r="N744" s="372" t="str">
        <f>CS_PID!N744/VLOOKUP($B744,표2[#ALL],2)/HLOOKUP($A744,표1[#ALL],row(),false)</f>
        <v>#N/A</v>
      </c>
      <c r="O744" s="372" t="str">
        <f>CS_PID!O744/VLOOKUP($B744,표2[#ALL],2)/HLOOKUP($A744,표1[#ALL],row(),false)</f>
        <v>#N/A</v>
      </c>
      <c r="P744" s="372" t="str">
        <f>CS_PID!P744/VLOOKUP($B744,표2[#ALL],2)/HLOOKUP($A744,표1[#ALL],row(),false)</f>
        <v>#N/A</v>
      </c>
      <c r="Q744" s="372" t="str">
        <f>CS_PID!Q744/VLOOKUP($B744,표2[#ALL],2)/HLOOKUP($A744,표1[#ALL],row(),false)</f>
        <v>#N/A</v>
      </c>
      <c r="R744" s="372" t="str">
        <f>CS_PID!R744/VLOOKUP($B744,표2[#ALL],2)/HLOOKUP($A744,표1[#ALL],row(),false)</f>
        <v>#N/A</v>
      </c>
      <c r="S744" s="372" t="str">
        <f>CS_PID!S744/VLOOKUP($B744,표2[#ALL],2)/HLOOKUP($A744,표1[#ALL],row(),false)</f>
        <v>#N/A</v>
      </c>
      <c r="T744" s="372" t="str">
        <f>CS_PID!T744/VLOOKUP($B744,표2[#ALL],2)/HLOOKUP($A744,표1[#ALL],row(),false)</f>
        <v>#N/A</v>
      </c>
      <c r="U744" s="372" t="str">
        <f>CS_PID!U744/VLOOKUP($B744,표2[#ALL],2)/HLOOKUP($A744,표1[#ALL],row(),false)</f>
        <v>#N/A</v>
      </c>
      <c r="V744" s="372" t="str">
        <f>CS_PID!V744/VLOOKUP($B744,표2[#ALL],2)/HLOOKUP($A744,표1[#ALL],row(),false)</f>
        <v>#N/A</v>
      </c>
      <c r="W744" s="372" t="str">
        <f>CS_PID!W744/VLOOKUP($B744,표2[#ALL],2)/HLOOKUP($A744,표1[#ALL],row(),false)</f>
        <v>#N/A</v>
      </c>
      <c r="X744" s="372" t="str">
        <f>CS_PID!X744/VLOOKUP($B744,표2[#ALL],2)/HLOOKUP($A744,표1[#ALL],row(),false)</f>
        <v>#N/A</v>
      </c>
      <c r="Y744" s="372" t="str">
        <f>CS_PID!Y744/VLOOKUP($B744,표2[#ALL],2)/HLOOKUP($A744,표1[#ALL],row(),false)</f>
        <v>#N/A</v>
      </c>
      <c r="Z744" s="372" t="str">
        <f>CS_PID!Z744/VLOOKUP($B744,표2[#ALL],2)/HLOOKUP($A744,표1[#ALL],row(),false)</f>
        <v>#N/A</v>
      </c>
      <c r="AA744" s="372" t="str">
        <f>CS_PID!AA744/VLOOKUP($B744,표2[#ALL],2)/HLOOKUP($A744,표1[#ALL],row(),false)</f>
        <v>#N/A</v>
      </c>
      <c r="AB744" s="372" t="str">
        <f>CS_PID!AB744/VLOOKUP($B744,표2[#ALL],2)/HLOOKUP($A744,표1[#ALL],row(),false)</f>
        <v>#N/A</v>
      </c>
      <c r="AC744" s="372" t="str">
        <f>CS_PID!AC744/VLOOKUP($B744,표2[#ALL],2)/HLOOKUP($A744,표1[#ALL],row(),false)</f>
        <v>#N/A</v>
      </c>
      <c r="AD744" s="372" t="str">
        <f>CS_PID!AD744/VLOOKUP($B744,표2[#ALL],2)/HLOOKUP($A744,표1[#ALL],row(),false)</f>
        <v>#N/A</v>
      </c>
      <c r="AE744" s="372" t="str">
        <f>CS_PID!AE744/VLOOKUP($B744,표2[#ALL],2)/HLOOKUP($A744,표1[#ALL],row(),false)</f>
        <v>#N/A</v>
      </c>
      <c r="AF744" s="372" t="str">
        <f>CS_PID!AF744/VLOOKUP($B744,표2[#ALL],2)/HLOOKUP($A744,표1[#ALL],row(),false)</f>
        <v>#N/A</v>
      </c>
      <c r="AG744" s="372" t="str">
        <f>CS_PID!AG744/VLOOKUP($B744,표2[#ALL],2)/HLOOKUP($A744,표1[#ALL],row(),false)</f>
        <v>#N/A</v>
      </c>
      <c r="AH744" s="372" t="str">
        <f>CS_PID!AH744/VLOOKUP($B744,표2[#ALL],2)/HLOOKUP($A744,표1[#ALL],row(),false)</f>
        <v>#N/A</v>
      </c>
      <c r="AI744" s="372" t="str">
        <f>CS_PID!AI744/VLOOKUP($B744,표2[#ALL],2)/HLOOKUP($A744,표1[#ALL],row(),false)</f>
        <v>#N/A</v>
      </c>
      <c r="AJ744" s="372" t="str">
        <f>CS_PID!AJ744/VLOOKUP($B744,표2[#ALL],2)/HLOOKUP($A744,표1[#ALL],row(),false)</f>
        <v>#N/A</v>
      </c>
      <c r="AK744" s="372" t="str">
        <f>CS_PID!AK744/VLOOKUP($B744,표2[#ALL],2)/HLOOKUP($A744,표1[#ALL],row(),false)</f>
        <v>#N/A</v>
      </c>
      <c r="AL744" s="372" t="str">
        <f>CS_PID!AL744/VLOOKUP($B744,표2[#ALL],2)/HLOOKUP($A744,표1[#ALL],row(),false)</f>
        <v>#N/A</v>
      </c>
      <c r="AM744" s="372" t="str">
        <f>CS_PID!AM744/VLOOKUP($B744,표2[#ALL],2)/HLOOKUP($A744,표1[#ALL],row(),false)</f>
        <v>#N/A</v>
      </c>
      <c r="AN744" s="372" t="str">
        <f>CS_PID!AN744/VLOOKUP($B744,표2[#ALL],2)/HLOOKUP($A744,표1[#ALL],row(),false)</f>
        <v>#N/A</v>
      </c>
      <c r="AO744" s="372" t="str">
        <f>CS_PID!AO744/VLOOKUP($B744,표2[#ALL],2)/HLOOKUP($A744,표1[#ALL],row(),false)</f>
        <v>#N/A</v>
      </c>
      <c r="AP744" s="372" t="str">
        <f>CS_PID!AP744/VLOOKUP($B744,표2[#ALL],2)/HLOOKUP($A744,표1[#ALL],row(),false)</f>
        <v>#N/A</v>
      </c>
      <c r="AQ744" s="372" t="str">
        <f>CS_PID!AQ744/VLOOKUP($B744,표2[#ALL],2)/HLOOKUP($A744,표1[#ALL],row(),false)</f>
        <v>#N/A</v>
      </c>
      <c r="AR744" s="372" t="str">
        <f>CS_PID!AR744/VLOOKUP($B744,표2[#ALL],2)/HLOOKUP($A744,표1[#ALL],row(),false)</f>
        <v>#N/A</v>
      </c>
      <c r="AS744" s="373" t="str">
        <f>CS_PID!AS744/VLOOKUP($B744,표2[#ALL],2)/HLOOKUP($A744,표1[#ALL],row(),false)</f>
        <v>#N/A</v>
      </c>
    </row>
    <row r="745">
      <c r="A745" s="374"/>
      <c r="B745" s="375"/>
      <c r="C745" s="376" t="str">
        <f>CS_PID!C745/VLOOKUP($B745,표2[#ALL],2)</f>
        <v>#N/A</v>
      </c>
      <c r="D745" s="376" t="str">
        <f>CS_PID!D745/VLOOKUP($B745,표2[#ALL],2)</f>
        <v>#N/A</v>
      </c>
      <c r="E745" s="376" t="str">
        <f>CS_PID!E745/VLOOKUP($B745,표2[#ALL],2)</f>
        <v>#N/A</v>
      </c>
      <c r="F745" s="376" t="str">
        <f>CS_PID!F745/VLOOKUP($B745,표2[#ALL],2)</f>
        <v>#N/A</v>
      </c>
      <c r="G745" s="376" t="str">
        <f>CS_PID!G745/VLOOKUP($B745,표2[#ALL],2)</f>
        <v>#N/A</v>
      </c>
      <c r="H745" s="376" t="str">
        <f>CS_PID!H745/VLOOKUP($B745,표2[#ALL],2)/HLOOKUP($A745,표1[#ALL],row(),false)</f>
        <v>#N/A</v>
      </c>
      <c r="I745" s="376" t="str">
        <f>CS_PID!I745/VLOOKUP($B745,표2[#ALL],2)/HLOOKUP($A745,표1[#ALL],row(),false)</f>
        <v>#N/A</v>
      </c>
      <c r="J745" s="376" t="str">
        <f>CS_PID!J745/VLOOKUP($B745,표2[#ALL],2)/HLOOKUP($A745,표1[#ALL],row(),false)</f>
        <v>#N/A</v>
      </c>
      <c r="K745" s="376" t="str">
        <f>CS_PID!K745/VLOOKUP($B745,표2[#ALL],2)/HLOOKUP($A745,표1[#ALL],row(),false)</f>
        <v>#N/A</v>
      </c>
      <c r="L745" s="376" t="str">
        <f>CS_PID!L745/VLOOKUP($B745,표2[#ALL],2)/HLOOKUP($A745,표1[#ALL],row(),false)</f>
        <v>#N/A</v>
      </c>
      <c r="M745" s="376" t="str">
        <f>CS_PID!M745/VLOOKUP($B745,표2[#ALL],2)/HLOOKUP($A745,표1[#ALL],row(),false)</f>
        <v>#N/A</v>
      </c>
      <c r="N745" s="376" t="str">
        <f>CS_PID!N745/VLOOKUP($B745,표2[#ALL],2)/HLOOKUP($A745,표1[#ALL],row(),false)</f>
        <v>#N/A</v>
      </c>
      <c r="O745" s="376" t="str">
        <f>CS_PID!O745/VLOOKUP($B745,표2[#ALL],2)/HLOOKUP($A745,표1[#ALL],row(),false)</f>
        <v>#N/A</v>
      </c>
      <c r="P745" s="376" t="str">
        <f>CS_PID!P745/VLOOKUP($B745,표2[#ALL],2)/HLOOKUP($A745,표1[#ALL],row(),false)</f>
        <v>#N/A</v>
      </c>
      <c r="Q745" s="376" t="str">
        <f>CS_PID!Q745/VLOOKUP($B745,표2[#ALL],2)/HLOOKUP($A745,표1[#ALL],row(),false)</f>
        <v>#N/A</v>
      </c>
      <c r="R745" s="376" t="str">
        <f>CS_PID!R745/VLOOKUP($B745,표2[#ALL],2)/HLOOKUP($A745,표1[#ALL],row(),false)</f>
        <v>#N/A</v>
      </c>
      <c r="S745" s="376" t="str">
        <f>CS_PID!S745/VLOOKUP($B745,표2[#ALL],2)/HLOOKUP($A745,표1[#ALL],row(),false)</f>
        <v>#N/A</v>
      </c>
      <c r="T745" s="376" t="str">
        <f>CS_PID!T745/VLOOKUP($B745,표2[#ALL],2)/HLOOKUP($A745,표1[#ALL],row(),false)</f>
        <v>#N/A</v>
      </c>
      <c r="U745" s="376" t="str">
        <f>CS_PID!U745/VLOOKUP($B745,표2[#ALL],2)/HLOOKUP($A745,표1[#ALL],row(),false)</f>
        <v>#N/A</v>
      </c>
      <c r="V745" s="376" t="str">
        <f>CS_PID!V745/VLOOKUP($B745,표2[#ALL],2)/HLOOKUP($A745,표1[#ALL],row(),false)</f>
        <v>#N/A</v>
      </c>
      <c r="W745" s="376" t="str">
        <f>CS_PID!W745/VLOOKUP($B745,표2[#ALL],2)/HLOOKUP($A745,표1[#ALL],row(),false)</f>
        <v>#N/A</v>
      </c>
      <c r="X745" s="376" t="str">
        <f>CS_PID!X745/VLOOKUP($B745,표2[#ALL],2)/HLOOKUP($A745,표1[#ALL],row(),false)</f>
        <v>#N/A</v>
      </c>
      <c r="Y745" s="376" t="str">
        <f>CS_PID!Y745/VLOOKUP($B745,표2[#ALL],2)/HLOOKUP($A745,표1[#ALL],row(),false)</f>
        <v>#N/A</v>
      </c>
      <c r="Z745" s="376" t="str">
        <f>CS_PID!Z745/VLOOKUP($B745,표2[#ALL],2)/HLOOKUP($A745,표1[#ALL],row(),false)</f>
        <v>#N/A</v>
      </c>
      <c r="AA745" s="376" t="str">
        <f>CS_PID!AA745/VLOOKUP($B745,표2[#ALL],2)/HLOOKUP($A745,표1[#ALL],row(),false)</f>
        <v>#N/A</v>
      </c>
      <c r="AB745" s="376" t="str">
        <f>CS_PID!AB745/VLOOKUP($B745,표2[#ALL],2)/HLOOKUP($A745,표1[#ALL],row(),false)</f>
        <v>#N/A</v>
      </c>
      <c r="AC745" s="376" t="str">
        <f>CS_PID!AC745/VLOOKUP($B745,표2[#ALL],2)/HLOOKUP($A745,표1[#ALL],row(),false)</f>
        <v>#N/A</v>
      </c>
      <c r="AD745" s="376" t="str">
        <f>CS_PID!AD745/VLOOKUP($B745,표2[#ALL],2)/HLOOKUP($A745,표1[#ALL],row(),false)</f>
        <v>#N/A</v>
      </c>
      <c r="AE745" s="376" t="str">
        <f>CS_PID!AE745/VLOOKUP($B745,표2[#ALL],2)/HLOOKUP($A745,표1[#ALL],row(),false)</f>
        <v>#N/A</v>
      </c>
      <c r="AF745" s="376" t="str">
        <f>CS_PID!AF745/VLOOKUP($B745,표2[#ALL],2)/HLOOKUP($A745,표1[#ALL],row(),false)</f>
        <v>#N/A</v>
      </c>
      <c r="AG745" s="376" t="str">
        <f>CS_PID!AG745/VLOOKUP($B745,표2[#ALL],2)/HLOOKUP($A745,표1[#ALL],row(),false)</f>
        <v>#N/A</v>
      </c>
      <c r="AH745" s="376" t="str">
        <f>CS_PID!AH745/VLOOKUP($B745,표2[#ALL],2)/HLOOKUP($A745,표1[#ALL],row(),false)</f>
        <v>#N/A</v>
      </c>
      <c r="AI745" s="376" t="str">
        <f>CS_PID!AI745/VLOOKUP($B745,표2[#ALL],2)/HLOOKUP($A745,표1[#ALL],row(),false)</f>
        <v>#N/A</v>
      </c>
      <c r="AJ745" s="376" t="str">
        <f>CS_PID!AJ745/VLOOKUP($B745,표2[#ALL],2)/HLOOKUP($A745,표1[#ALL],row(),false)</f>
        <v>#N/A</v>
      </c>
      <c r="AK745" s="376" t="str">
        <f>CS_PID!AK745/VLOOKUP($B745,표2[#ALL],2)/HLOOKUP($A745,표1[#ALL],row(),false)</f>
        <v>#N/A</v>
      </c>
      <c r="AL745" s="376" t="str">
        <f>CS_PID!AL745/VLOOKUP($B745,표2[#ALL],2)/HLOOKUP($A745,표1[#ALL],row(),false)</f>
        <v>#N/A</v>
      </c>
      <c r="AM745" s="376" t="str">
        <f>CS_PID!AM745/VLOOKUP($B745,표2[#ALL],2)/HLOOKUP($A745,표1[#ALL],row(),false)</f>
        <v>#N/A</v>
      </c>
      <c r="AN745" s="376" t="str">
        <f>CS_PID!AN745/VLOOKUP($B745,표2[#ALL],2)/HLOOKUP($A745,표1[#ALL],row(),false)</f>
        <v>#N/A</v>
      </c>
      <c r="AO745" s="376" t="str">
        <f>CS_PID!AO745/VLOOKUP($B745,표2[#ALL],2)/HLOOKUP($A745,표1[#ALL],row(),false)</f>
        <v>#N/A</v>
      </c>
      <c r="AP745" s="376" t="str">
        <f>CS_PID!AP745/VLOOKUP($B745,표2[#ALL],2)/HLOOKUP($A745,표1[#ALL],row(),false)</f>
        <v>#N/A</v>
      </c>
      <c r="AQ745" s="376" t="str">
        <f>CS_PID!AQ745/VLOOKUP($B745,표2[#ALL],2)/HLOOKUP($A745,표1[#ALL],row(),false)</f>
        <v>#N/A</v>
      </c>
      <c r="AR745" s="376" t="str">
        <f>CS_PID!AR745/VLOOKUP($B745,표2[#ALL],2)/HLOOKUP($A745,표1[#ALL],row(),false)</f>
        <v>#N/A</v>
      </c>
      <c r="AS745" s="377" t="str">
        <f>CS_PID!AS745/VLOOKUP($B745,표2[#ALL],2)/HLOOKUP($A745,표1[#ALL],row(),false)</f>
        <v>#N/A</v>
      </c>
    </row>
    <row r="746">
      <c r="A746" s="370"/>
      <c r="B746" s="371"/>
      <c r="C746" s="372" t="str">
        <f>CS_PID!C746/VLOOKUP($B746,표2[#ALL],2)</f>
        <v>#N/A</v>
      </c>
      <c r="D746" s="372" t="str">
        <f>CS_PID!D746/VLOOKUP($B746,표2[#ALL],2)</f>
        <v>#N/A</v>
      </c>
      <c r="E746" s="372" t="str">
        <f>CS_PID!E746/VLOOKUP($B746,표2[#ALL],2)</f>
        <v>#N/A</v>
      </c>
      <c r="F746" s="372" t="str">
        <f>CS_PID!F746/VLOOKUP($B746,표2[#ALL],2)</f>
        <v>#N/A</v>
      </c>
      <c r="G746" s="372" t="str">
        <f>CS_PID!G746/VLOOKUP($B746,표2[#ALL],2)</f>
        <v>#N/A</v>
      </c>
      <c r="H746" s="372" t="str">
        <f>CS_PID!H746/VLOOKUP($B746,표2[#ALL],2)/HLOOKUP($A746,표1[#ALL],row(),false)</f>
        <v>#N/A</v>
      </c>
      <c r="I746" s="372" t="str">
        <f>CS_PID!I746/VLOOKUP($B746,표2[#ALL],2)/HLOOKUP($A746,표1[#ALL],row(),false)</f>
        <v>#N/A</v>
      </c>
      <c r="J746" s="372" t="str">
        <f>CS_PID!J746/VLOOKUP($B746,표2[#ALL],2)/HLOOKUP($A746,표1[#ALL],row(),false)</f>
        <v>#N/A</v>
      </c>
      <c r="K746" s="372" t="str">
        <f>CS_PID!K746/VLOOKUP($B746,표2[#ALL],2)/HLOOKUP($A746,표1[#ALL],row(),false)</f>
        <v>#N/A</v>
      </c>
      <c r="L746" s="372" t="str">
        <f>CS_PID!L746/VLOOKUP($B746,표2[#ALL],2)/HLOOKUP($A746,표1[#ALL],row(),false)</f>
        <v>#N/A</v>
      </c>
      <c r="M746" s="372" t="str">
        <f>CS_PID!M746/VLOOKUP($B746,표2[#ALL],2)/HLOOKUP($A746,표1[#ALL],row(),false)</f>
        <v>#N/A</v>
      </c>
      <c r="N746" s="372" t="str">
        <f>CS_PID!N746/VLOOKUP($B746,표2[#ALL],2)/HLOOKUP($A746,표1[#ALL],row(),false)</f>
        <v>#N/A</v>
      </c>
      <c r="O746" s="372" t="str">
        <f>CS_PID!O746/VLOOKUP($B746,표2[#ALL],2)/HLOOKUP($A746,표1[#ALL],row(),false)</f>
        <v>#N/A</v>
      </c>
      <c r="P746" s="372" t="str">
        <f>CS_PID!P746/VLOOKUP($B746,표2[#ALL],2)/HLOOKUP($A746,표1[#ALL],row(),false)</f>
        <v>#N/A</v>
      </c>
      <c r="Q746" s="372" t="str">
        <f>CS_PID!Q746/VLOOKUP($B746,표2[#ALL],2)/HLOOKUP($A746,표1[#ALL],row(),false)</f>
        <v>#N/A</v>
      </c>
      <c r="R746" s="372" t="str">
        <f>CS_PID!R746/VLOOKUP($B746,표2[#ALL],2)/HLOOKUP($A746,표1[#ALL],row(),false)</f>
        <v>#N/A</v>
      </c>
      <c r="S746" s="372" t="str">
        <f>CS_PID!S746/VLOOKUP($B746,표2[#ALL],2)/HLOOKUP($A746,표1[#ALL],row(),false)</f>
        <v>#N/A</v>
      </c>
      <c r="T746" s="372" t="str">
        <f>CS_PID!T746/VLOOKUP($B746,표2[#ALL],2)/HLOOKUP($A746,표1[#ALL],row(),false)</f>
        <v>#N/A</v>
      </c>
      <c r="U746" s="372" t="str">
        <f>CS_PID!U746/VLOOKUP($B746,표2[#ALL],2)/HLOOKUP($A746,표1[#ALL],row(),false)</f>
        <v>#N/A</v>
      </c>
      <c r="V746" s="372" t="str">
        <f>CS_PID!V746/VLOOKUP($B746,표2[#ALL],2)/HLOOKUP($A746,표1[#ALL],row(),false)</f>
        <v>#N/A</v>
      </c>
      <c r="W746" s="372" t="str">
        <f>CS_PID!W746/VLOOKUP($B746,표2[#ALL],2)/HLOOKUP($A746,표1[#ALL],row(),false)</f>
        <v>#N/A</v>
      </c>
      <c r="X746" s="372" t="str">
        <f>CS_PID!X746/VLOOKUP($B746,표2[#ALL],2)/HLOOKUP($A746,표1[#ALL],row(),false)</f>
        <v>#N/A</v>
      </c>
      <c r="Y746" s="372" t="str">
        <f>CS_PID!Y746/VLOOKUP($B746,표2[#ALL],2)/HLOOKUP($A746,표1[#ALL],row(),false)</f>
        <v>#N/A</v>
      </c>
      <c r="Z746" s="372" t="str">
        <f>CS_PID!Z746/VLOOKUP($B746,표2[#ALL],2)/HLOOKUP($A746,표1[#ALL],row(),false)</f>
        <v>#N/A</v>
      </c>
      <c r="AA746" s="372" t="str">
        <f>CS_PID!AA746/VLOOKUP($B746,표2[#ALL],2)/HLOOKUP($A746,표1[#ALL],row(),false)</f>
        <v>#N/A</v>
      </c>
      <c r="AB746" s="372" t="str">
        <f>CS_PID!AB746/VLOOKUP($B746,표2[#ALL],2)/HLOOKUP($A746,표1[#ALL],row(),false)</f>
        <v>#N/A</v>
      </c>
      <c r="AC746" s="372" t="str">
        <f>CS_PID!AC746/VLOOKUP($B746,표2[#ALL],2)/HLOOKUP($A746,표1[#ALL],row(),false)</f>
        <v>#N/A</v>
      </c>
      <c r="AD746" s="372" t="str">
        <f>CS_PID!AD746/VLOOKUP($B746,표2[#ALL],2)/HLOOKUP($A746,표1[#ALL],row(),false)</f>
        <v>#N/A</v>
      </c>
      <c r="AE746" s="372" t="str">
        <f>CS_PID!AE746/VLOOKUP($B746,표2[#ALL],2)/HLOOKUP($A746,표1[#ALL],row(),false)</f>
        <v>#N/A</v>
      </c>
      <c r="AF746" s="372" t="str">
        <f>CS_PID!AF746/VLOOKUP($B746,표2[#ALL],2)/HLOOKUP($A746,표1[#ALL],row(),false)</f>
        <v>#N/A</v>
      </c>
      <c r="AG746" s="372" t="str">
        <f>CS_PID!AG746/VLOOKUP($B746,표2[#ALL],2)/HLOOKUP($A746,표1[#ALL],row(),false)</f>
        <v>#N/A</v>
      </c>
      <c r="AH746" s="372" t="str">
        <f>CS_PID!AH746/VLOOKUP($B746,표2[#ALL],2)/HLOOKUP($A746,표1[#ALL],row(),false)</f>
        <v>#N/A</v>
      </c>
      <c r="AI746" s="372" t="str">
        <f>CS_PID!AI746/VLOOKUP($B746,표2[#ALL],2)/HLOOKUP($A746,표1[#ALL],row(),false)</f>
        <v>#N/A</v>
      </c>
      <c r="AJ746" s="372" t="str">
        <f>CS_PID!AJ746/VLOOKUP($B746,표2[#ALL],2)/HLOOKUP($A746,표1[#ALL],row(),false)</f>
        <v>#N/A</v>
      </c>
      <c r="AK746" s="372" t="str">
        <f>CS_PID!AK746/VLOOKUP($B746,표2[#ALL],2)/HLOOKUP($A746,표1[#ALL],row(),false)</f>
        <v>#N/A</v>
      </c>
      <c r="AL746" s="372" t="str">
        <f>CS_PID!AL746/VLOOKUP($B746,표2[#ALL],2)/HLOOKUP($A746,표1[#ALL],row(),false)</f>
        <v>#N/A</v>
      </c>
      <c r="AM746" s="372" t="str">
        <f>CS_PID!AM746/VLOOKUP($B746,표2[#ALL],2)/HLOOKUP($A746,표1[#ALL],row(),false)</f>
        <v>#N/A</v>
      </c>
      <c r="AN746" s="372" t="str">
        <f>CS_PID!AN746/VLOOKUP($B746,표2[#ALL],2)/HLOOKUP($A746,표1[#ALL],row(),false)</f>
        <v>#N/A</v>
      </c>
      <c r="AO746" s="372" t="str">
        <f>CS_PID!AO746/VLOOKUP($B746,표2[#ALL],2)/HLOOKUP($A746,표1[#ALL],row(),false)</f>
        <v>#N/A</v>
      </c>
      <c r="AP746" s="372" t="str">
        <f>CS_PID!AP746/VLOOKUP($B746,표2[#ALL],2)/HLOOKUP($A746,표1[#ALL],row(),false)</f>
        <v>#N/A</v>
      </c>
      <c r="AQ746" s="372" t="str">
        <f>CS_PID!AQ746/VLOOKUP($B746,표2[#ALL],2)/HLOOKUP($A746,표1[#ALL],row(),false)</f>
        <v>#N/A</v>
      </c>
      <c r="AR746" s="372" t="str">
        <f>CS_PID!AR746/VLOOKUP($B746,표2[#ALL],2)/HLOOKUP($A746,표1[#ALL],row(),false)</f>
        <v>#N/A</v>
      </c>
      <c r="AS746" s="373" t="str">
        <f>CS_PID!AS746/VLOOKUP($B746,표2[#ALL],2)/HLOOKUP($A746,표1[#ALL],row(),false)</f>
        <v>#N/A</v>
      </c>
    </row>
    <row r="747">
      <c r="A747" s="374"/>
      <c r="B747" s="375"/>
      <c r="C747" s="376" t="str">
        <f>CS_PID!C747/VLOOKUP($B747,표2[#ALL],2)</f>
        <v>#N/A</v>
      </c>
      <c r="D747" s="376" t="str">
        <f>CS_PID!D747/VLOOKUP($B747,표2[#ALL],2)</f>
        <v>#N/A</v>
      </c>
      <c r="E747" s="376" t="str">
        <f>CS_PID!E747/VLOOKUP($B747,표2[#ALL],2)</f>
        <v>#N/A</v>
      </c>
      <c r="F747" s="376" t="str">
        <f>CS_PID!F747/VLOOKUP($B747,표2[#ALL],2)</f>
        <v>#N/A</v>
      </c>
      <c r="G747" s="376" t="str">
        <f>CS_PID!G747/VLOOKUP($B747,표2[#ALL],2)</f>
        <v>#N/A</v>
      </c>
      <c r="H747" s="376" t="str">
        <f>CS_PID!H747/VLOOKUP($B747,표2[#ALL],2)/HLOOKUP($A747,표1[#ALL],row(),false)</f>
        <v>#N/A</v>
      </c>
      <c r="I747" s="376" t="str">
        <f>CS_PID!I747/VLOOKUP($B747,표2[#ALL],2)/HLOOKUP($A747,표1[#ALL],row(),false)</f>
        <v>#N/A</v>
      </c>
      <c r="J747" s="376" t="str">
        <f>CS_PID!J747/VLOOKUP($B747,표2[#ALL],2)/HLOOKUP($A747,표1[#ALL],row(),false)</f>
        <v>#N/A</v>
      </c>
      <c r="K747" s="376" t="str">
        <f>CS_PID!K747/VLOOKUP($B747,표2[#ALL],2)/HLOOKUP($A747,표1[#ALL],row(),false)</f>
        <v>#N/A</v>
      </c>
      <c r="L747" s="376" t="str">
        <f>CS_PID!L747/VLOOKUP($B747,표2[#ALL],2)/HLOOKUP($A747,표1[#ALL],row(),false)</f>
        <v>#N/A</v>
      </c>
      <c r="M747" s="376" t="str">
        <f>CS_PID!M747/VLOOKUP($B747,표2[#ALL],2)/HLOOKUP($A747,표1[#ALL],row(),false)</f>
        <v>#N/A</v>
      </c>
      <c r="N747" s="376" t="str">
        <f>CS_PID!N747/VLOOKUP($B747,표2[#ALL],2)/HLOOKUP($A747,표1[#ALL],row(),false)</f>
        <v>#N/A</v>
      </c>
      <c r="O747" s="376" t="str">
        <f>CS_PID!O747/VLOOKUP($B747,표2[#ALL],2)/HLOOKUP($A747,표1[#ALL],row(),false)</f>
        <v>#N/A</v>
      </c>
      <c r="P747" s="376" t="str">
        <f>CS_PID!P747/VLOOKUP($B747,표2[#ALL],2)/HLOOKUP($A747,표1[#ALL],row(),false)</f>
        <v>#N/A</v>
      </c>
      <c r="Q747" s="376" t="str">
        <f>CS_PID!Q747/VLOOKUP($B747,표2[#ALL],2)/HLOOKUP($A747,표1[#ALL],row(),false)</f>
        <v>#N/A</v>
      </c>
      <c r="R747" s="376" t="str">
        <f>CS_PID!R747/VLOOKUP($B747,표2[#ALL],2)/HLOOKUP($A747,표1[#ALL],row(),false)</f>
        <v>#N/A</v>
      </c>
      <c r="S747" s="376" t="str">
        <f>CS_PID!S747/VLOOKUP($B747,표2[#ALL],2)/HLOOKUP($A747,표1[#ALL],row(),false)</f>
        <v>#N/A</v>
      </c>
      <c r="T747" s="376" t="str">
        <f>CS_PID!T747/VLOOKUP($B747,표2[#ALL],2)/HLOOKUP($A747,표1[#ALL],row(),false)</f>
        <v>#N/A</v>
      </c>
      <c r="U747" s="376" t="str">
        <f>CS_PID!U747/VLOOKUP($B747,표2[#ALL],2)/HLOOKUP($A747,표1[#ALL],row(),false)</f>
        <v>#N/A</v>
      </c>
      <c r="V747" s="376" t="str">
        <f>CS_PID!V747/VLOOKUP($B747,표2[#ALL],2)/HLOOKUP($A747,표1[#ALL],row(),false)</f>
        <v>#N/A</v>
      </c>
      <c r="W747" s="376" t="str">
        <f>CS_PID!W747/VLOOKUP($B747,표2[#ALL],2)/HLOOKUP($A747,표1[#ALL],row(),false)</f>
        <v>#N/A</v>
      </c>
      <c r="X747" s="376" t="str">
        <f>CS_PID!X747/VLOOKUP($B747,표2[#ALL],2)/HLOOKUP($A747,표1[#ALL],row(),false)</f>
        <v>#N/A</v>
      </c>
      <c r="Y747" s="376" t="str">
        <f>CS_PID!Y747/VLOOKUP($B747,표2[#ALL],2)/HLOOKUP($A747,표1[#ALL],row(),false)</f>
        <v>#N/A</v>
      </c>
      <c r="Z747" s="376" t="str">
        <f>CS_PID!Z747/VLOOKUP($B747,표2[#ALL],2)/HLOOKUP($A747,표1[#ALL],row(),false)</f>
        <v>#N/A</v>
      </c>
      <c r="AA747" s="376" t="str">
        <f>CS_PID!AA747/VLOOKUP($B747,표2[#ALL],2)/HLOOKUP($A747,표1[#ALL],row(),false)</f>
        <v>#N/A</v>
      </c>
      <c r="AB747" s="376" t="str">
        <f>CS_PID!AB747/VLOOKUP($B747,표2[#ALL],2)/HLOOKUP($A747,표1[#ALL],row(),false)</f>
        <v>#N/A</v>
      </c>
      <c r="AC747" s="376" t="str">
        <f>CS_PID!AC747/VLOOKUP($B747,표2[#ALL],2)/HLOOKUP($A747,표1[#ALL],row(),false)</f>
        <v>#N/A</v>
      </c>
      <c r="AD747" s="376" t="str">
        <f>CS_PID!AD747/VLOOKUP($B747,표2[#ALL],2)/HLOOKUP($A747,표1[#ALL],row(),false)</f>
        <v>#N/A</v>
      </c>
      <c r="AE747" s="376" t="str">
        <f>CS_PID!AE747/VLOOKUP($B747,표2[#ALL],2)/HLOOKUP($A747,표1[#ALL],row(),false)</f>
        <v>#N/A</v>
      </c>
      <c r="AF747" s="376" t="str">
        <f>CS_PID!AF747/VLOOKUP($B747,표2[#ALL],2)/HLOOKUP($A747,표1[#ALL],row(),false)</f>
        <v>#N/A</v>
      </c>
      <c r="AG747" s="376" t="str">
        <f>CS_PID!AG747/VLOOKUP($B747,표2[#ALL],2)/HLOOKUP($A747,표1[#ALL],row(),false)</f>
        <v>#N/A</v>
      </c>
      <c r="AH747" s="376" t="str">
        <f>CS_PID!AH747/VLOOKUP($B747,표2[#ALL],2)/HLOOKUP($A747,표1[#ALL],row(),false)</f>
        <v>#N/A</v>
      </c>
      <c r="AI747" s="376" t="str">
        <f>CS_PID!AI747/VLOOKUP($B747,표2[#ALL],2)/HLOOKUP($A747,표1[#ALL],row(),false)</f>
        <v>#N/A</v>
      </c>
      <c r="AJ747" s="376" t="str">
        <f>CS_PID!AJ747/VLOOKUP($B747,표2[#ALL],2)/HLOOKUP($A747,표1[#ALL],row(),false)</f>
        <v>#N/A</v>
      </c>
      <c r="AK747" s="376" t="str">
        <f>CS_PID!AK747/VLOOKUP($B747,표2[#ALL],2)/HLOOKUP($A747,표1[#ALL],row(),false)</f>
        <v>#N/A</v>
      </c>
      <c r="AL747" s="376" t="str">
        <f>CS_PID!AL747/VLOOKUP($B747,표2[#ALL],2)/HLOOKUP($A747,표1[#ALL],row(),false)</f>
        <v>#N/A</v>
      </c>
      <c r="AM747" s="376" t="str">
        <f>CS_PID!AM747/VLOOKUP($B747,표2[#ALL],2)/HLOOKUP($A747,표1[#ALL],row(),false)</f>
        <v>#N/A</v>
      </c>
      <c r="AN747" s="376" t="str">
        <f>CS_PID!AN747/VLOOKUP($B747,표2[#ALL],2)/HLOOKUP($A747,표1[#ALL],row(),false)</f>
        <v>#N/A</v>
      </c>
      <c r="AO747" s="376" t="str">
        <f>CS_PID!AO747/VLOOKUP($B747,표2[#ALL],2)/HLOOKUP($A747,표1[#ALL],row(),false)</f>
        <v>#N/A</v>
      </c>
      <c r="AP747" s="376" t="str">
        <f>CS_PID!AP747/VLOOKUP($B747,표2[#ALL],2)/HLOOKUP($A747,표1[#ALL],row(),false)</f>
        <v>#N/A</v>
      </c>
      <c r="AQ747" s="376" t="str">
        <f>CS_PID!AQ747/VLOOKUP($B747,표2[#ALL],2)/HLOOKUP($A747,표1[#ALL],row(),false)</f>
        <v>#N/A</v>
      </c>
      <c r="AR747" s="376" t="str">
        <f>CS_PID!AR747/VLOOKUP($B747,표2[#ALL],2)/HLOOKUP($A747,표1[#ALL],row(),false)</f>
        <v>#N/A</v>
      </c>
      <c r="AS747" s="377" t="str">
        <f>CS_PID!AS747/VLOOKUP($B747,표2[#ALL],2)/HLOOKUP($A747,표1[#ALL],row(),false)</f>
        <v>#N/A</v>
      </c>
    </row>
    <row r="748">
      <c r="A748" s="370"/>
      <c r="B748" s="371"/>
      <c r="C748" s="372" t="str">
        <f>CS_PID!C748/VLOOKUP($B748,표2[#ALL],2)</f>
        <v>#N/A</v>
      </c>
      <c r="D748" s="372" t="str">
        <f>CS_PID!D748/VLOOKUP($B748,표2[#ALL],2)</f>
        <v>#N/A</v>
      </c>
      <c r="E748" s="372" t="str">
        <f>CS_PID!E748/VLOOKUP($B748,표2[#ALL],2)</f>
        <v>#N/A</v>
      </c>
      <c r="F748" s="372" t="str">
        <f>CS_PID!F748/VLOOKUP($B748,표2[#ALL],2)</f>
        <v>#N/A</v>
      </c>
      <c r="G748" s="372" t="str">
        <f>CS_PID!G748/VLOOKUP($B748,표2[#ALL],2)</f>
        <v>#N/A</v>
      </c>
      <c r="H748" s="372" t="str">
        <f>CS_PID!H748/VLOOKUP($B748,표2[#ALL],2)/HLOOKUP($A748,표1[#ALL],row(),false)</f>
        <v>#N/A</v>
      </c>
      <c r="I748" s="372" t="str">
        <f>CS_PID!I748/VLOOKUP($B748,표2[#ALL],2)/HLOOKUP($A748,표1[#ALL],row(),false)</f>
        <v>#N/A</v>
      </c>
      <c r="J748" s="372" t="str">
        <f>CS_PID!J748/VLOOKUP($B748,표2[#ALL],2)/HLOOKUP($A748,표1[#ALL],row(),false)</f>
        <v>#N/A</v>
      </c>
      <c r="K748" s="372" t="str">
        <f>CS_PID!K748/VLOOKUP($B748,표2[#ALL],2)/HLOOKUP($A748,표1[#ALL],row(),false)</f>
        <v>#N/A</v>
      </c>
      <c r="L748" s="372" t="str">
        <f>CS_PID!L748/VLOOKUP($B748,표2[#ALL],2)/HLOOKUP($A748,표1[#ALL],row(),false)</f>
        <v>#N/A</v>
      </c>
      <c r="M748" s="372" t="str">
        <f>CS_PID!M748/VLOOKUP($B748,표2[#ALL],2)/HLOOKUP($A748,표1[#ALL],row(),false)</f>
        <v>#N/A</v>
      </c>
      <c r="N748" s="372" t="str">
        <f>CS_PID!N748/VLOOKUP($B748,표2[#ALL],2)/HLOOKUP($A748,표1[#ALL],row(),false)</f>
        <v>#N/A</v>
      </c>
      <c r="O748" s="372" t="str">
        <f>CS_PID!O748/VLOOKUP($B748,표2[#ALL],2)/HLOOKUP($A748,표1[#ALL],row(),false)</f>
        <v>#N/A</v>
      </c>
      <c r="P748" s="372" t="str">
        <f>CS_PID!P748/VLOOKUP($B748,표2[#ALL],2)/HLOOKUP($A748,표1[#ALL],row(),false)</f>
        <v>#N/A</v>
      </c>
      <c r="Q748" s="372" t="str">
        <f>CS_PID!Q748/VLOOKUP($B748,표2[#ALL],2)/HLOOKUP($A748,표1[#ALL],row(),false)</f>
        <v>#N/A</v>
      </c>
      <c r="R748" s="372" t="str">
        <f>CS_PID!R748/VLOOKUP($B748,표2[#ALL],2)/HLOOKUP($A748,표1[#ALL],row(),false)</f>
        <v>#N/A</v>
      </c>
      <c r="S748" s="372" t="str">
        <f>CS_PID!S748/VLOOKUP($B748,표2[#ALL],2)/HLOOKUP($A748,표1[#ALL],row(),false)</f>
        <v>#N/A</v>
      </c>
      <c r="T748" s="372" t="str">
        <f>CS_PID!T748/VLOOKUP($B748,표2[#ALL],2)/HLOOKUP($A748,표1[#ALL],row(),false)</f>
        <v>#N/A</v>
      </c>
      <c r="U748" s="372" t="str">
        <f>CS_PID!U748/VLOOKUP($B748,표2[#ALL],2)/HLOOKUP($A748,표1[#ALL],row(),false)</f>
        <v>#N/A</v>
      </c>
      <c r="V748" s="372" t="str">
        <f>CS_PID!V748/VLOOKUP($B748,표2[#ALL],2)/HLOOKUP($A748,표1[#ALL],row(),false)</f>
        <v>#N/A</v>
      </c>
      <c r="W748" s="372" t="str">
        <f>CS_PID!W748/VLOOKUP($B748,표2[#ALL],2)/HLOOKUP($A748,표1[#ALL],row(),false)</f>
        <v>#N/A</v>
      </c>
      <c r="X748" s="372" t="str">
        <f>CS_PID!X748/VLOOKUP($B748,표2[#ALL],2)/HLOOKUP($A748,표1[#ALL],row(),false)</f>
        <v>#N/A</v>
      </c>
      <c r="Y748" s="372" t="str">
        <f>CS_PID!Y748/VLOOKUP($B748,표2[#ALL],2)/HLOOKUP($A748,표1[#ALL],row(),false)</f>
        <v>#N/A</v>
      </c>
      <c r="Z748" s="372" t="str">
        <f>CS_PID!Z748/VLOOKUP($B748,표2[#ALL],2)/HLOOKUP($A748,표1[#ALL],row(),false)</f>
        <v>#N/A</v>
      </c>
      <c r="AA748" s="372" t="str">
        <f>CS_PID!AA748/VLOOKUP($B748,표2[#ALL],2)/HLOOKUP($A748,표1[#ALL],row(),false)</f>
        <v>#N/A</v>
      </c>
      <c r="AB748" s="372" t="str">
        <f>CS_PID!AB748/VLOOKUP($B748,표2[#ALL],2)/HLOOKUP($A748,표1[#ALL],row(),false)</f>
        <v>#N/A</v>
      </c>
      <c r="AC748" s="372" t="str">
        <f>CS_PID!AC748/VLOOKUP($B748,표2[#ALL],2)/HLOOKUP($A748,표1[#ALL],row(),false)</f>
        <v>#N/A</v>
      </c>
      <c r="AD748" s="372" t="str">
        <f>CS_PID!AD748/VLOOKUP($B748,표2[#ALL],2)/HLOOKUP($A748,표1[#ALL],row(),false)</f>
        <v>#N/A</v>
      </c>
      <c r="AE748" s="372" t="str">
        <f>CS_PID!AE748/VLOOKUP($B748,표2[#ALL],2)/HLOOKUP($A748,표1[#ALL],row(),false)</f>
        <v>#N/A</v>
      </c>
      <c r="AF748" s="372" t="str">
        <f>CS_PID!AF748/VLOOKUP($B748,표2[#ALL],2)/HLOOKUP($A748,표1[#ALL],row(),false)</f>
        <v>#N/A</v>
      </c>
      <c r="AG748" s="372" t="str">
        <f>CS_PID!AG748/VLOOKUP($B748,표2[#ALL],2)/HLOOKUP($A748,표1[#ALL],row(),false)</f>
        <v>#N/A</v>
      </c>
      <c r="AH748" s="372" t="str">
        <f>CS_PID!AH748/VLOOKUP($B748,표2[#ALL],2)/HLOOKUP($A748,표1[#ALL],row(),false)</f>
        <v>#N/A</v>
      </c>
      <c r="AI748" s="372" t="str">
        <f>CS_PID!AI748/VLOOKUP($B748,표2[#ALL],2)/HLOOKUP($A748,표1[#ALL],row(),false)</f>
        <v>#N/A</v>
      </c>
      <c r="AJ748" s="372" t="str">
        <f>CS_PID!AJ748/VLOOKUP($B748,표2[#ALL],2)/HLOOKUP($A748,표1[#ALL],row(),false)</f>
        <v>#N/A</v>
      </c>
      <c r="AK748" s="372" t="str">
        <f>CS_PID!AK748/VLOOKUP($B748,표2[#ALL],2)/HLOOKUP($A748,표1[#ALL],row(),false)</f>
        <v>#N/A</v>
      </c>
      <c r="AL748" s="372" t="str">
        <f>CS_PID!AL748/VLOOKUP($B748,표2[#ALL],2)/HLOOKUP($A748,표1[#ALL],row(),false)</f>
        <v>#N/A</v>
      </c>
      <c r="AM748" s="372" t="str">
        <f>CS_PID!AM748/VLOOKUP($B748,표2[#ALL],2)/HLOOKUP($A748,표1[#ALL],row(),false)</f>
        <v>#N/A</v>
      </c>
      <c r="AN748" s="372" t="str">
        <f>CS_PID!AN748/VLOOKUP($B748,표2[#ALL],2)/HLOOKUP($A748,표1[#ALL],row(),false)</f>
        <v>#N/A</v>
      </c>
      <c r="AO748" s="372" t="str">
        <f>CS_PID!AO748/VLOOKUP($B748,표2[#ALL],2)/HLOOKUP($A748,표1[#ALL],row(),false)</f>
        <v>#N/A</v>
      </c>
      <c r="AP748" s="372" t="str">
        <f>CS_PID!AP748/VLOOKUP($B748,표2[#ALL],2)/HLOOKUP($A748,표1[#ALL],row(),false)</f>
        <v>#N/A</v>
      </c>
      <c r="AQ748" s="372" t="str">
        <f>CS_PID!AQ748/VLOOKUP($B748,표2[#ALL],2)/HLOOKUP($A748,표1[#ALL],row(),false)</f>
        <v>#N/A</v>
      </c>
      <c r="AR748" s="372" t="str">
        <f>CS_PID!AR748/VLOOKUP($B748,표2[#ALL],2)/HLOOKUP($A748,표1[#ALL],row(),false)</f>
        <v>#N/A</v>
      </c>
      <c r="AS748" s="373" t="str">
        <f>CS_PID!AS748/VLOOKUP($B748,표2[#ALL],2)/HLOOKUP($A748,표1[#ALL],row(),false)</f>
        <v>#N/A</v>
      </c>
    </row>
    <row r="749">
      <c r="A749" s="374"/>
      <c r="B749" s="375"/>
      <c r="C749" s="376" t="str">
        <f>CS_PID!C749/VLOOKUP($B749,표2[#ALL],2)</f>
        <v>#N/A</v>
      </c>
      <c r="D749" s="376" t="str">
        <f>CS_PID!D749/VLOOKUP($B749,표2[#ALL],2)</f>
        <v>#N/A</v>
      </c>
      <c r="E749" s="376" t="str">
        <f>CS_PID!E749/VLOOKUP($B749,표2[#ALL],2)</f>
        <v>#N/A</v>
      </c>
      <c r="F749" s="376" t="str">
        <f>CS_PID!F749/VLOOKUP($B749,표2[#ALL],2)</f>
        <v>#N/A</v>
      </c>
      <c r="G749" s="376" t="str">
        <f>CS_PID!G749/VLOOKUP($B749,표2[#ALL],2)</f>
        <v>#N/A</v>
      </c>
      <c r="H749" s="376" t="str">
        <f>CS_PID!H749/VLOOKUP($B749,표2[#ALL],2)/HLOOKUP($A749,표1[#ALL],row(),false)</f>
        <v>#N/A</v>
      </c>
      <c r="I749" s="376" t="str">
        <f>CS_PID!I749/VLOOKUP($B749,표2[#ALL],2)/HLOOKUP($A749,표1[#ALL],row(),false)</f>
        <v>#N/A</v>
      </c>
      <c r="J749" s="376" t="str">
        <f>CS_PID!J749/VLOOKUP($B749,표2[#ALL],2)/HLOOKUP($A749,표1[#ALL],row(),false)</f>
        <v>#N/A</v>
      </c>
      <c r="K749" s="376" t="str">
        <f>CS_PID!K749/VLOOKUP($B749,표2[#ALL],2)/HLOOKUP($A749,표1[#ALL],row(),false)</f>
        <v>#N/A</v>
      </c>
      <c r="L749" s="376" t="str">
        <f>CS_PID!L749/VLOOKUP($B749,표2[#ALL],2)/HLOOKUP($A749,표1[#ALL],row(),false)</f>
        <v>#N/A</v>
      </c>
      <c r="M749" s="376" t="str">
        <f>CS_PID!M749/VLOOKUP($B749,표2[#ALL],2)/HLOOKUP($A749,표1[#ALL],row(),false)</f>
        <v>#N/A</v>
      </c>
      <c r="N749" s="376" t="str">
        <f>CS_PID!N749/VLOOKUP($B749,표2[#ALL],2)/HLOOKUP($A749,표1[#ALL],row(),false)</f>
        <v>#N/A</v>
      </c>
      <c r="O749" s="376" t="str">
        <f>CS_PID!O749/VLOOKUP($B749,표2[#ALL],2)/HLOOKUP($A749,표1[#ALL],row(),false)</f>
        <v>#N/A</v>
      </c>
      <c r="P749" s="376" t="str">
        <f>CS_PID!P749/VLOOKUP($B749,표2[#ALL],2)/HLOOKUP($A749,표1[#ALL],row(),false)</f>
        <v>#N/A</v>
      </c>
      <c r="Q749" s="376" t="str">
        <f>CS_PID!Q749/VLOOKUP($B749,표2[#ALL],2)/HLOOKUP($A749,표1[#ALL],row(),false)</f>
        <v>#N/A</v>
      </c>
      <c r="R749" s="376" t="str">
        <f>CS_PID!R749/VLOOKUP($B749,표2[#ALL],2)/HLOOKUP($A749,표1[#ALL],row(),false)</f>
        <v>#N/A</v>
      </c>
      <c r="S749" s="376" t="str">
        <f>CS_PID!S749/VLOOKUP($B749,표2[#ALL],2)/HLOOKUP($A749,표1[#ALL],row(),false)</f>
        <v>#N/A</v>
      </c>
      <c r="T749" s="376" t="str">
        <f>CS_PID!T749/VLOOKUP($B749,표2[#ALL],2)/HLOOKUP($A749,표1[#ALL],row(),false)</f>
        <v>#N/A</v>
      </c>
      <c r="U749" s="376" t="str">
        <f>CS_PID!U749/VLOOKUP($B749,표2[#ALL],2)/HLOOKUP($A749,표1[#ALL],row(),false)</f>
        <v>#N/A</v>
      </c>
      <c r="V749" s="376" t="str">
        <f>CS_PID!V749/VLOOKUP($B749,표2[#ALL],2)/HLOOKUP($A749,표1[#ALL],row(),false)</f>
        <v>#N/A</v>
      </c>
      <c r="W749" s="376" t="str">
        <f>CS_PID!W749/VLOOKUP($B749,표2[#ALL],2)/HLOOKUP($A749,표1[#ALL],row(),false)</f>
        <v>#N/A</v>
      </c>
      <c r="X749" s="376" t="str">
        <f>CS_PID!X749/VLOOKUP($B749,표2[#ALL],2)/HLOOKUP($A749,표1[#ALL],row(),false)</f>
        <v>#N/A</v>
      </c>
      <c r="Y749" s="376" t="str">
        <f>CS_PID!Y749/VLOOKUP($B749,표2[#ALL],2)/HLOOKUP($A749,표1[#ALL],row(),false)</f>
        <v>#N/A</v>
      </c>
      <c r="Z749" s="376" t="str">
        <f>CS_PID!Z749/VLOOKUP($B749,표2[#ALL],2)/HLOOKUP($A749,표1[#ALL],row(),false)</f>
        <v>#N/A</v>
      </c>
      <c r="AA749" s="376" t="str">
        <f>CS_PID!AA749/VLOOKUP($B749,표2[#ALL],2)/HLOOKUP($A749,표1[#ALL],row(),false)</f>
        <v>#N/A</v>
      </c>
      <c r="AB749" s="376" t="str">
        <f>CS_PID!AB749/VLOOKUP($B749,표2[#ALL],2)/HLOOKUP($A749,표1[#ALL],row(),false)</f>
        <v>#N/A</v>
      </c>
      <c r="AC749" s="376" t="str">
        <f>CS_PID!AC749/VLOOKUP($B749,표2[#ALL],2)/HLOOKUP($A749,표1[#ALL],row(),false)</f>
        <v>#N/A</v>
      </c>
      <c r="AD749" s="376" t="str">
        <f>CS_PID!AD749/VLOOKUP($B749,표2[#ALL],2)/HLOOKUP($A749,표1[#ALL],row(),false)</f>
        <v>#N/A</v>
      </c>
      <c r="AE749" s="376" t="str">
        <f>CS_PID!AE749/VLOOKUP($B749,표2[#ALL],2)/HLOOKUP($A749,표1[#ALL],row(),false)</f>
        <v>#N/A</v>
      </c>
      <c r="AF749" s="376" t="str">
        <f>CS_PID!AF749/VLOOKUP($B749,표2[#ALL],2)/HLOOKUP($A749,표1[#ALL],row(),false)</f>
        <v>#N/A</v>
      </c>
      <c r="AG749" s="376" t="str">
        <f>CS_PID!AG749/VLOOKUP($B749,표2[#ALL],2)/HLOOKUP($A749,표1[#ALL],row(),false)</f>
        <v>#N/A</v>
      </c>
      <c r="AH749" s="376" t="str">
        <f>CS_PID!AH749/VLOOKUP($B749,표2[#ALL],2)/HLOOKUP($A749,표1[#ALL],row(),false)</f>
        <v>#N/A</v>
      </c>
      <c r="AI749" s="376" t="str">
        <f>CS_PID!AI749/VLOOKUP($B749,표2[#ALL],2)/HLOOKUP($A749,표1[#ALL],row(),false)</f>
        <v>#N/A</v>
      </c>
      <c r="AJ749" s="376" t="str">
        <f>CS_PID!AJ749/VLOOKUP($B749,표2[#ALL],2)/HLOOKUP($A749,표1[#ALL],row(),false)</f>
        <v>#N/A</v>
      </c>
      <c r="AK749" s="376" t="str">
        <f>CS_PID!AK749/VLOOKUP($B749,표2[#ALL],2)/HLOOKUP($A749,표1[#ALL],row(),false)</f>
        <v>#N/A</v>
      </c>
      <c r="AL749" s="376" t="str">
        <f>CS_PID!AL749/VLOOKUP($B749,표2[#ALL],2)/HLOOKUP($A749,표1[#ALL],row(),false)</f>
        <v>#N/A</v>
      </c>
      <c r="AM749" s="376" t="str">
        <f>CS_PID!AM749/VLOOKUP($B749,표2[#ALL],2)/HLOOKUP($A749,표1[#ALL],row(),false)</f>
        <v>#N/A</v>
      </c>
      <c r="AN749" s="376" t="str">
        <f>CS_PID!AN749/VLOOKUP($B749,표2[#ALL],2)/HLOOKUP($A749,표1[#ALL],row(),false)</f>
        <v>#N/A</v>
      </c>
      <c r="AO749" s="376" t="str">
        <f>CS_PID!AO749/VLOOKUP($B749,표2[#ALL],2)/HLOOKUP($A749,표1[#ALL],row(),false)</f>
        <v>#N/A</v>
      </c>
      <c r="AP749" s="376" t="str">
        <f>CS_PID!AP749/VLOOKUP($B749,표2[#ALL],2)/HLOOKUP($A749,표1[#ALL],row(),false)</f>
        <v>#N/A</v>
      </c>
      <c r="AQ749" s="376" t="str">
        <f>CS_PID!AQ749/VLOOKUP($B749,표2[#ALL],2)/HLOOKUP($A749,표1[#ALL],row(),false)</f>
        <v>#N/A</v>
      </c>
      <c r="AR749" s="376" t="str">
        <f>CS_PID!AR749/VLOOKUP($B749,표2[#ALL],2)/HLOOKUP($A749,표1[#ALL],row(),false)</f>
        <v>#N/A</v>
      </c>
      <c r="AS749" s="377" t="str">
        <f>CS_PID!AS749/VLOOKUP($B749,표2[#ALL],2)/HLOOKUP($A749,표1[#ALL],row(),false)</f>
        <v>#N/A</v>
      </c>
    </row>
    <row r="750">
      <c r="A750" s="370"/>
      <c r="B750" s="371"/>
      <c r="C750" s="372" t="str">
        <f>CS_PID!C750/VLOOKUP($B750,표2[#ALL],2)</f>
        <v>#N/A</v>
      </c>
      <c r="D750" s="372" t="str">
        <f>CS_PID!D750/VLOOKUP($B750,표2[#ALL],2)</f>
        <v>#N/A</v>
      </c>
      <c r="E750" s="372" t="str">
        <f>CS_PID!E750/VLOOKUP($B750,표2[#ALL],2)</f>
        <v>#N/A</v>
      </c>
      <c r="F750" s="372" t="str">
        <f>CS_PID!F750/VLOOKUP($B750,표2[#ALL],2)</f>
        <v>#N/A</v>
      </c>
      <c r="G750" s="372" t="str">
        <f>CS_PID!G750/VLOOKUP($B750,표2[#ALL],2)</f>
        <v>#N/A</v>
      </c>
      <c r="H750" s="372" t="str">
        <f>CS_PID!H750/VLOOKUP($B750,표2[#ALL],2)/HLOOKUP($A750,표1[#ALL],row(),false)</f>
        <v>#N/A</v>
      </c>
      <c r="I750" s="372" t="str">
        <f>CS_PID!I750/VLOOKUP($B750,표2[#ALL],2)/HLOOKUP($A750,표1[#ALL],row(),false)</f>
        <v>#N/A</v>
      </c>
      <c r="J750" s="372" t="str">
        <f>CS_PID!J750/VLOOKUP($B750,표2[#ALL],2)/HLOOKUP($A750,표1[#ALL],row(),false)</f>
        <v>#N/A</v>
      </c>
      <c r="K750" s="372" t="str">
        <f>CS_PID!K750/VLOOKUP($B750,표2[#ALL],2)/HLOOKUP($A750,표1[#ALL],row(),false)</f>
        <v>#N/A</v>
      </c>
      <c r="L750" s="372" t="str">
        <f>CS_PID!L750/VLOOKUP($B750,표2[#ALL],2)/HLOOKUP($A750,표1[#ALL],row(),false)</f>
        <v>#N/A</v>
      </c>
      <c r="M750" s="372" t="str">
        <f>CS_PID!M750/VLOOKUP($B750,표2[#ALL],2)/HLOOKUP($A750,표1[#ALL],row(),false)</f>
        <v>#N/A</v>
      </c>
      <c r="N750" s="372" t="str">
        <f>CS_PID!N750/VLOOKUP($B750,표2[#ALL],2)/HLOOKUP($A750,표1[#ALL],row(),false)</f>
        <v>#N/A</v>
      </c>
      <c r="O750" s="372" t="str">
        <f>CS_PID!O750/VLOOKUP($B750,표2[#ALL],2)/HLOOKUP($A750,표1[#ALL],row(),false)</f>
        <v>#N/A</v>
      </c>
      <c r="P750" s="372" t="str">
        <f>CS_PID!P750/VLOOKUP($B750,표2[#ALL],2)/HLOOKUP($A750,표1[#ALL],row(),false)</f>
        <v>#N/A</v>
      </c>
      <c r="Q750" s="372" t="str">
        <f>CS_PID!Q750/VLOOKUP($B750,표2[#ALL],2)/HLOOKUP($A750,표1[#ALL],row(),false)</f>
        <v>#N/A</v>
      </c>
      <c r="R750" s="372" t="str">
        <f>CS_PID!R750/VLOOKUP($B750,표2[#ALL],2)/HLOOKUP($A750,표1[#ALL],row(),false)</f>
        <v>#N/A</v>
      </c>
      <c r="S750" s="372" t="str">
        <f>CS_PID!S750/VLOOKUP($B750,표2[#ALL],2)/HLOOKUP($A750,표1[#ALL],row(),false)</f>
        <v>#N/A</v>
      </c>
      <c r="T750" s="372" t="str">
        <f>CS_PID!T750/VLOOKUP($B750,표2[#ALL],2)/HLOOKUP($A750,표1[#ALL],row(),false)</f>
        <v>#N/A</v>
      </c>
      <c r="U750" s="372" t="str">
        <f>CS_PID!U750/VLOOKUP($B750,표2[#ALL],2)/HLOOKUP($A750,표1[#ALL],row(),false)</f>
        <v>#N/A</v>
      </c>
      <c r="V750" s="372" t="str">
        <f>CS_PID!V750/VLOOKUP($B750,표2[#ALL],2)/HLOOKUP($A750,표1[#ALL],row(),false)</f>
        <v>#N/A</v>
      </c>
      <c r="W750" s="372" t="str">
        <f>CS_PID!W750/VLOOKUP($B750,표2[#ALL],2)/HLOOKUP($A750,표1[#ALL],row(),false)</f>
        <v>#N/A</v>
      </c>
      <c r="X750" s="372" t="str">
        <f>CS_PID!X750/VLOOKUP($B750,표2[#ALL],2)/HLOOKUP($A750,표1[#ALL],row(),false)</f>
        <v>#N/A</v>
      </c>
      <c r="Y750" s="372" t="str">
        <f>CS_PID!Y750/VLOOKUP($B750,표2[#ALL],2)/HLOOKUP($A750,표1[#ALL],row(),false)</f>
        <v>#N/A</v>
      </c>
      <c r="Z750" s="372" t="str">
        <f>CS_PID!Z750/VLOOKUP($B750,표2[#ALL],2)/HLOOKUP($A750,표1[#ALL],row(),false)</f>
        <v>#N/A</v>
      </c>
      <c r="AA750" s="372" t="str">
        <f>CS_PID!AA750/VLOOKUP($B750,표2[#ALL],2)/HLOOKUP($A750,표1[#ALL],row(),false)</f>
        <v>#N/A</v>
      </c>
      <c r="AB750" s="372" t="str">
        <f>CS_PID!AB750/VLOOKUP($B750,표2[#ALL],2)/HLOOKUP($A750,표1[#ALL],row(),false)</f>
        <v>#N/A</v>
      </c>
      <c r="AC750" s="372" t="str">
        <f>CS_PID!AC750/VLOOKUP($B750,표2[#ALL],2)/HLOOKUP($A750,표1[#ALL],row(),false)</f>
        <v>#N/A</v>
      </c>
      <c r="AD750" s="372" t="str">
        <f>CS_PID!AD750/VLOOKUP($B750,표2[#ALL],2)/HLOOKUP($A750,표1[#ALL],row(),false)</f>
        <v>#N/A</v>
      </c>
      <c r="AE750" s="372" t="str">
        <f>CS_PID!AE750/VLOOKUP($B750,표2[#ALL],2)/HLOOKUP($A750,표1[#ALL],row(),false)</f>
        <v>#N/A</v>
      </c>
      <c r="AF750" s="372" t="str">
        <f>CS_PID!AF750/VLOOKUP($B750,표2[#ALL],2)/HLOOKUP($A750,표1[#ALL],row(),false)</f>
        <v>#N/A</v>
      </c>
      <c r="AG750" s="372" t="str">
        <f>CS_PID!AG750/VLOOKUP($B750,표2[#ALL],2)/HLOOKUP($A750,표1[#ALL],row(),false)</f>
        <v>#N/A</v>
      </c>
      <c r="AH750" s="372" t="str">
        <f>CS_PID!AH750/VLOOKUP($B750,표2[#ALL],2)/HLOOKUP($A750,표1[#ALL],row(),false)</f>
        <v>#N/A</v>
      </c>
      <c r="AI750" s="372" t="str">
        <f>CS_PID!AI750/VLOOKUP($B750,표2[#ALL],2)/HLOOKUP($A750,표1[#ALL],row(),false)</f>
        <v>#N/A</v>
      </c>
      <c r="AJ750" s="372" t="str">
        <f>CS_PID!AJ750/VLOOKUP($B750,표2[#ALL],2)/HLOOKUP($A750,표1[#ALL],row(),false)</f>
        <v>#N/A</v>
      </c>
      <c r="AK750" s="372" t="str">
        <f>CS_PID!AK750/VLOOKUP($B750,표2[#ALL],2)/HLOOKUP($A750,표1[#ALL],row(),false)</f>
        <v>#N/A</v>
      </c>
      <c r="AL750" s="372" t="str">
        <f>CS_PID!AL750/VLOOKUP($B750,표2[#ALL],2)/HLOOKUP($A750,표1[#ALL],row(),false)</f>
        <v>#N/A</v>
      </c>
      <c r="AM750" s="372" t="str">
        <f>CS_PID!AM750/VLOOKUP($B750,표2[#ALL],2)/HLOOKUP($A750,표1[#ALL],row(),false)</f>
        <v>#N/A</v>
      </c>
      <c r="AN750" s="372" t="str">
        <f>CS_PID!AN750/VLOOKUP($B750,표2[#ALL],2)/HLOOKUP($A750,표1[#ALL],row(),false)</f>
        <v>#N/A</v>
      </c>
      <c r="AO750" s="372" t="str">
        <f>CS_PID!AO750/VLOOKUP($B750,표2[#ALL],2)/HLOOKUP($A750,표1[#ALL],row(),false)</f>
        <v>#N/A</v>
      </c>
      <c r="AP750" s="372" t="str">
        <f>CS_PID!AP750/VLOOKUP($B750,표2[#ALL],2)/HLOOKUP($A750,표1[#ALL],row(),false)</f>
        <v>#N/A</v>
      </c>
      <c r="AQ750" s="372" t="str">
        <f>CS_PID!AQ750/VLOOKUP($B750,표2[#ALL],2)/HLOOKUP($A750,표1[#ALL],row(),false)</f>
        <v>#N/A</v>
      </c>
      <c r="AR750" s="372" t="str">
        <f>CS_PID!AR750/VLOOKUP($B750,표2[#ALL],2)/HLOOKUP($A750,표1[#ALL],row(),false)</f>
        <v>#N/A</v>
      </c>
      <c r="AS750" s="373" t="str">
        <f>CS_PID!AS750/VLOOKUP($B750,표2[#ALL],2)/HLOOKUP($A750,표1[#ALL],row(),false)</f>
        <v>#N/A</v>
      </c>
    </row>
    <row r="751">
      <c r="A751" s="374"/>
      <c r="B751" s="375"/>
      <c r="C751" s="376" t="str">
        <f>CS_PID!C751/VLOOKUP($B751,표2[#ALL],2)</f>
        <v>#N/A</v>
      </c>
      <c r="D751" s="376" t="str">
        <f>CS_PID!D751/VLOOKUP($B751,표2[#ALL],2)</f>
        <v>#N/A</v>
      </c>
      <c r="E751" s="376" t="str">
        <f>CS_PID!E751/VLOOKUP($B751,표2[#ALL],2)</f>
        <v>#N/A</v>
      </c>
      <c r="F751" s="376" t="str">
        <f>CS_PID!F751/VLOOKUP($B751,표2[#ALL],2)</f>
        <v>#N/A</v>
      </c>
      <c r="G751" s="376" t="str">
        <f>CS_PID!G751/VLOOKUP($B751,표2[#ALL],2)</f>
        <v>#N/A</v>
      </c>
      <c r="H751" s="376" t="str">
        <f>CS_PID!H751/VLOOKUP($B751,표2[#ALL],2)/HLOOKUP($A751,표1[#ALL],row(),false)</f>
        <v>#N/A</v>
      </c>
      <c r="I751" s="376" t="str">
        <f>CS_PID!I751/VLOOKUP($B751,표2[#ALL],2)/HLOOKUP($A751,표1[#ALL],row(),false)</f>
        <v>#N/A</v>
      </c>
      <c r="J751" s="376" t="str">
        <f>CS_PID!J751/VLOOKUP($B751,표2[#ALL],2)/HLOOKUP($A751,표1[#ALL],row(),false)</f>
        <v>#N/A</v>
      </c>
      <c r="K751" s="376" t="str">
        <f>CS_PID!K751/VLOOKUP($B751,표2[#ALL],2)/HLOOKUP($A751,표1[#ALL],row(),false)</f>
        <v>#N/A</v>
      </c>
      <c r="L751" s="376" t="str">
        <f>CS_PID!L751/VLOOKUP($B751,표2[#ALL],2)/HLOOKUP($A751,표1[#ALL],row(),false)</f>
        <v>#N/A</v>
      </c>
      <c r="M751" s="376" t="str">
        <f>CS_PID!M751/VLOOKUP($B751,표2[#ALL],2)/HLOOKUP($A751,표1[#ALL],row(),false)</f>
        <v>#N/A</v>
      </c>
      <c r="N751" s="376" t="str">
        <f>CS_PID!N751/VLOOKUP($B751,표2[#ALL],2)/HLOOKUP($A751,표1[#ALL],row(),false)</f>
        <v>#N/A</v>
      </c>
      <c r="O751" s="376" t="str">
        <f>CS_PID!O751/VLOOKUP($B751,표2[#ALL],2)/HLOOKUP($A751,표1[#ALL],row(),false)</f>
        <v>#N/A</v>
      </c>
      <c r="P751" s="376" t="str">
        <f>CS_PID!P751/VLOOKUP($B751,표2[#ALL],2)/HLOOKUP($A751,표1[#ALL],row(),false)</f>
        <v>#N/A</v>
      </c>
      <c r="Q751" s="376" t="str">
        <f>CS_PID!Q751/VLOOKUP($B751,표2[#ALL],2)/HLOOKUP($A751,표1[#ALL],row(),false)</f>
        <v>#N/A</v>
      </c>
      <c r="R751" s="376" t="str">
        <f>CS_PID!R751/VLOOKUP($B751,표2[#ALL],2)/HLOOKUP($A751,표1[#ALL],row(),false)</f>
        <v>#N/A</v>
      </c>
      <c r="S751" s="376" t="str">
        <f>CS_PID!S751/VLOOKUP($B751,표2[#ALL],2)/HLOOKUP($A751,표1[#ALL],row(),false)</f>
        <v>#N/A</v>
      </c>
      <c r="T751" s="376" t="str">
        <f>CS_PID!T751/VLOOKUP($B751,표2[#ALL],2)/HLOOKUP($A751,표1[#ALL],row(),false)</f>
        <v>#N/A</v>
      </c>
      <c r="U751" s="376" t="str">
        <f>CS_PID!U751/VLOOKUP($B751,표2[#ALL],2)/HLOOKUP($A751,표1[#ALL],row(),false)</f>
        <v>#N/A</v>
      </c>
      <c r="V751" s="376" t="str">
        <f>CS_PID!V751/VLOOKUP($B751,표2[#ALL],2)/HLOOKUP($A751,표1[#ALL],row(),false)</f>
        <v>#N/A</v>
      </c>
      <c r="W751" s="376" t="str">
        <f>CS_PID!W751/VLOOKUP($B751,표2[#ALL],2)/HLOOKUP($A751,표1[#ALL],row(),false)</f>
        <v>#N/A</v>
      </c>
      <c r="X751" s="376" t="str">
        <f>CS_PID!X751/VLOOKUP($B751,표2[#ALL],2)/HLOOKUP($A751,표1[#ALL],row(),false)</f>
        <v>#N/A</v>
      </c>
      <c r="Y751" s="376" t="str">
        <f>CS_PID!Y751/VLOOKUP($B751,표2[#ALL],2)/HLOOKUP($A751,표1[#ALL],row(),false)</f>
        <v>#N/A</v>
      </c>
      <c r="Z751" s="376" t="str">
        <f>CS_PID!Z751/VLOOKUP($B751,표2[#ALL],2)/HLOOKUP($A751,표1[#ALL],row(),false)</f>
        <v>#N/A</v>
      </c>
      <c r="AA751" s="376" t="str">
        <f>CS_PID!AA751/VLOOKUP($B751,표2[#ALL],2)/HLOOKUP($A751,표1[#ALL],row(),false)</f>
        <v>#N/A</v>
      </c>
      <c r="AB751" s="376" t="str">
        <f>CS_PID!AB751/VLOOKUP($B751,표2[#ALL],2)/HLOOKUP($A751,표1[#ALL],row(),false)</f>
        <v>#N/A</v>
      </c>
      <c r="AC751" s="376" t="str">
        <f>CS_PID!AC751/VLOOKUP($B751,표2[#ALL],2)/HLOOKUP($A751,표1[#ALL],row(),false)</f>
        <v>#N/A</v>
      </c>
      <c r="AD751" s="376" t="str">
        <f>CS_PID!AD751/VLOOKUP($B751,표2[#ALL],2)/HLOOKUP($A751,표1[#ALL],row(),false)</f>
        <v>#N/A</v>
      </c>
      <c r="AE751" s="376" t="str">
        <f>CS_PID!AE751/VLOOKUP($B751,표2[#ALL],2)/HLOOKUP($A751,표1[#ALL],row(),false)</f>
        <v>#N/A</v>
      </c>
      <c r="AF751" s="376" t="str">
        <f>CS_PID!AF751/VLOOKUP($B751,표2[#ALL],2)/HLOOKUP($A751,표1[#ALL],row(),false)</f>
        <v>#N/A</v>
      </c>
      <c r="AG751" s="376" t="str">
        <f>CS_PID!AG751/VLOOKUP($B751,표2[#ALL],2)/HLOOKUP($A751,표1[#ALL],row(),false)</f>
        <v>#N/A</v>
      </c>
      <c r="AH751" s="376" t="str">
        <f>CS_PID!AH751/VLOOKUP($B751,표2[#ALL],2)/HLOOKUP($A751,표1[#ALL],row(),false)</f>
        <v>#N/A</v>
      </c>
      <c r="AI751" s="376" t="str">
        <f>CS_PID!AI751/VLOOKUP($B751,표2[#ALL],2)/HLOOKUP($A751,표1[#ALL],row(),false)</f>
        <v>#N/A</v>
      </c>
      <c r="AJ751" s="376" t="str">
        <f>CS_PID!AJ751/VLOOKUP($B751,표2[#ALL],2)/HLOOKUP($A751,표1[#ALL],row(),false)</f>
        <v>#N/A</v>
      </c>
      <c r="AK751" s="376" t="str">
        <f>CS_PID!AK751/VLOOKUP($B751,표2[#ALL],2)/HLOOKUP($A751,표1[#ALL],row(),false)</f>
        <v>#N/A</v>
      </c>
      <c r="AL751" s="376" t="str">
        <f>CS_PID!AL751/VLOOKUP($B751,표2[#ALL],2)/HLOOKUP($A751,표1[#ALL],row(),false)</f>
        <v>#N/A</v>
      </c>
      <c r="AM751" s="376" t="str">
        <f>CS_PID!AM751/VLOOKUP($B751,표2[#ALL],2)/HLOOKUP($A751,표1[#ALL],row(),false)</f>
        <v>#N/A</v>
      </c>
      <c r="AN751" s="376" t="str">
        <f>CS_PID!AN751/VLOOKUP($B751,표2[#ALL],2)/HLOOKUP($A751,표1[#ALL],row(),false)</f>
        <v>#N/A</v>
      </c>
      <c r="AO751" s="376" t="str">
        <f>CS_PID!AO751/VLOOKUP($B751,표2[#ALL],2)/HLOOKUP($A751,표1[#ALL],row(),false)</f>
        <v>#N/A</v>
      </c>
      <c r="AP751" s="376" t="str">
        <f>CS_PID!AP751/VLOOKUP($B751,표2[#ALL],2)/HLOOKUP($A751,표1[#ALL],row(),false)</f>
        <v>#N/A</v>
      </c>
      <c r="AQ751" s="376" t="str">
        <f>CS_PID!AQ751/VLOOKUP($B751,표2[#ALL],2)/HLOOKUP($A751,표1[#ALL],row(),false)</f>
        <v>#N/A</v>
      </c>
      <c r="AR751" s="376" t="str">
        <f>CS_PID!AR751/VLOOKUP($B751,표2[#ALL],2)/HLOOKUP($A751,표1[#ALL],row(),false)</f>
        <v>#N/A</v>
      </c>
      <c r="AS751" s="377" t="str">
        <f>CS_PID!AS751/VLOOKUP($B751,표2[#ALL],2)/HLOOKUP($A751,표1[#ALL],row(),false)</f>
        <v>#N/A</v>
      </c>
    </row>
    <row r="752">
      <c r="A752" s="370"/>
      <c r="B752" s="371"/>
      <c r="C752" s="372" t="str">
        <f>CS_PID!C752/VLOOKUP($B752,표2[#ALL],2)</f>
        <v>#N/A</v>
      </c>
      <c r="D752" s="372" t="str">
        <f>CS_PID!D752/VLOOKUP($B752,표2[#ALL],2)</f>
        <v>#N/A</v>
      </c>
      <c r="E752" s="372" t="str">
        <f>CS_PID!E752/VLOOKUP($B752,표2[#ALL],2)</f>
        <v>#N/A</v>
      </c>
      <c r="F752" s="372" t="str">
        <f>CS_PID!F752/VLOOKUP($B752,표2[#ALL],2)</f>
        <v>#N/A</v>
      </c>
      <c r="G752" s="372" t="str">
        <f>CS_PID!G752/VLOOKUP($B752,표2[#ALL],2)</f>
        <v>#N/A</v>
      </c>
      <c r="H752" s="372" t="str">
        <f>CS_PID!H752/VLOOKUP($B752,표2[#ALL],2)/HLOOKUP($A752,표1[#ALL],row(),false)</f>
        <v>#N/A</v>
      </c>
      <c r="I752" s="372" t="str">
        <f>CS_PID!I752/VLOOKUP($B752,표2[#ALL],2)/HLOOKUP($A752,표1[#ALL],row(),false)</f>
        <v>#N/A</v>
      </c>
      <c r="J752" s="372" t="str">
        <f>CS_PID!J752/VLOOKUP($B752,표2[#ALL],2)/HLOOKUP($A752,표1[#ALL],row(),false)</f>
        <v>#N/A</v>
      </c>
      <c r="K752" s="372" t="str">
        <f>CS_PID!K752/VLOOKUP($B752,표2[#ALL],2)/HLOOKUP($A752,표1[#ALL],row(),false)</f>
        <v>#N/A</v>
      </c>
      <c r="L752" s="372" t="str">
        <f>CS_PID!L752/VLOOKUP($B752,표2[#ALL],2)/HLOOKUP($A752,표1[#ALL],row(),false)</f>
        <v>#N/A</v>
      </c>
      <c r="M752" s="372" t="str">
        <f>CS_PID!M752/VLOOKUP($B752,표2[#ALL],2)/HLOOKUP($A752,표1[#ALL],row(),false)</f>
        <v>#N/A</v>
      </c>
      <c r="N752" s="372" t="str">
        <f>CS_PID!N752/VLOOKUP($B752,표2[#ALL],2)/HLOOKUP($A752,표1[#ALL],row(),false)</f>
        <v>#N/A</v>
      </c>
      <c r="O752" s="372" t="str">
        <f>CS_PID!O752/VLOOKUP($B752,표2[#ALL],2)/HLOOKUP($A752,표1[#ALL],row(),false)</f>
        <v>#N/A</v>
      </c>
      <c r="P752" s="372" t="str">
        <f>CS_PID!P752/VLOOKUP($B752,표2[#ALL],2)/HLOOKUP($A752,표1[#ALL],row(),false)</f>
        <v>#N/A</v>
      </c>
      <c r="Q752" s="372" t="str">
        <f>CS_PID!Q752/VLOOKUP($B752,표2[#ALL],2)/HLOOKUP($A752,표1[#ALL],row(),false)</f>
        <v>#N/A</v>
      </c>
      <c r="R752" s="372" t="str">
        <f>CS_PID!R752/VLOOKUP($B752,표2[#ALL],2)/HLOOKUP($A752,표1[#ALL],row(),false)</f>
        <v>#N/A</v>
      </c>
      <c r="S752" s="372" t="str">
        <f>CS_PID!S752/VLOOKUP($B752,표2[#ALL],2)/HLOOKUP($A752,표1[#ALL],row(),false)</f>
        <v>#N/A</v>
      </c>
      <c r="T752" s="372" t="str">
        <f>CS_PID!T752/VLOOKUP($B752,표2[#ALL],2)/HLOOKUP($A752,표1[#ALL],row(),false)</f>
        <v>#N/A</v>
      </c>
      <c r="U752" s="372" t="str">
        <f>CS_PID!U752/VLOOKUP($B752,표2[#ALL],2)/HLOOKUP($A752,표1[#ALL],row(),false)</f>
        <v>#N/A</v>
      </c>
      <c r="V752" s="372" t="str">
        <f>CS_PID!V752/VLOOKUP($B752,표2[#ALL],2)/HLOOKUP($A752,표1[#ALL],row(),false)</f>
        <v>#N/A</v>
      </c>
      <c r="W752" s="372" t="str">
        <f>CS_PID!W752/VLOOKUP($B752,표2[#ALL],2)/HLOOKUP($A752,표1[#ALL],row(),false)</f>
        <v>#N/A</v>
      </c>
      <c r="X752" s="372" t="str">
        <f>CS_PID!X752/VLOOKUP($B752,표2[#ALL],2)/HLOOKUP($A752,표1[#ALL],row(),false)</f>
        <v>#N/A</v>
      </c>
      <c r="Y752" s="372" t="str">
        <f>CS_PID!Y752/VLOOKUP($B752,표2[#ALL],2)/HLOOKUP($A752,표1[#ALL],row(),false)</f>
        <v>#N/A</v>
      </c>
      <c r="Z752" s="372" t="str">
        <f>CS_PID!Z752/VLOOKUP($B752,표2[#ALL],2)/HLOOKUP($A752,표1[#ALL],row(),false)</f>
        <v>#N/A</v>
      </c>
      <c r="AA752" s="372" t="str">
        <f>CS_PID!AA752/VLOOKUP($B752,표2[#ALL],2)/HLOOKUP($A752,표1[#ALL],row(),false)</f>
        <v>#N/A</v>
      </c>
      <c r="AB752" s="372" t="str">
        <f>CS_PID!AB752/VLOOKUP($B752,표2[#ALL],2)/HLOOKUP($A752,표1[#ALL],row(),false)</f>
        <v>#N/A</v>
      </c>
      <c r="AC752" s="372" t="str">
        <f>CS_PID!AC752/VLOOKUP($B752,표2[#ALL],2)/HLOOKUP($A752,표1[#ALL],row(),false)</f>
        <v>#N/A</v>
      </c>
      <c r="AD752" s="372" t="str">
        <f>CS_PID!AD752/VLOOKUP($B752,표2[#ALL],2)/HLOOKUP($A752,표1[#ALL],row(),false)</f>
        <v>#N/A</v>
      </c>
      <c r="AE752" s="372" t="str">
        <f>CS_PID!AE752/VLOOKUP($B752,표2[#ALL],2)/HLOOKUP($A752,표1[#ALL],row(),false)</f>
        <v>#N/A</v>
      </c>
      <c r="AF752" s="372" t="str">
        <f>CS_PID!AF752/VLOOKUP($B752,표2[#ALL],2)/HLOOKUP($A752,표1[#ALL],row(),false)</f>
        <v>#N/A</v>
      </c>
      <c r="AG752" s="372" t="str">
        <f>CS_PID!AG752/VLOOKUP($B752,표2[#ALL],2)/HLOOKUP($A752,표1[#ALL],row(),false)</f>
        <v>#N/A</v>
      </c>
      <c r="AH752" s="372" t="str">
        <f>CS_PID!AH752/VLOOKUP($B752,표2[#ALL],2)/HLOOKUP($A752,표1[#ALL],row(),false)</f>
        <v>#N/A</v>
      </c>
      <c r="AI752" s="372" t="str">
        <f>CS_PID!AI752/VLOOKUP($B752,표2[#ALL],2)/HLOOKUP($A752,표1[#ALL],row(),false)</f>
        <v>#N/A</v>
      </c>
      <c r="AJ752" s="372" t="str">
        <f>CS_PID!AJ752/VLOOKUP($B752,표2[#ALL],2)/HLOOKUP($A752,표1[#ALL],row(),false)</f>
        <v>#N/A</v>
      </c>
      <c r="AK752" s="372" t="str">
        <f>CS_PID!AK752/VLOOKUP($B752,표2[#ALL],2)/HLOOKUP($A752,표1[#ALL],row(),false)</f>
        <v>#N/A</v>
      </c>
      <c r="AL752" s="372" t="str">
        <f>CS_PID!AL752/VLOOKUP($B752,표2[#ALL],2)/HLOOKUP($A752,표1[#ALL],row(),false)</f>
        <v>#N/A</v>
      </c>
      <c r="AM752" s="372" t="str">
        <f>CS_PID!AM752/VLOOKUP($B752,표2[#ALL],2)/HLOOKUP($A752,표1[#ALL],row(),false)</f>
        <v>#N/A</v>
      </c>
      <c r="AN752" s="372" t="str">
        <f>CS_PID!AN752/VLOOKUP($B752,표2[#ALL],2)/HLOOKUP($A752,표1[#ALL],row(),false)</f>
        <v>#N/A</v>
      </c>
      <c r="AO752" s="372" t="str">
        <f>CS_PID!AO752/VLOOKUP($B752,표2[#ALL],2)/HLOOKUP($A752,표1[#ALL],row(),false)</f>
        <v>#N/A</v>
      </c>
      <c r="AP752" s="372" t="str">
        <f>CS_PID!AP752/VLOOKUP($B752,표2[#ALL],2)/HLOOKUP($A752,표1[#ALL],row(),false)</f>
        <v>#N/A</v>
      </c>
      <c r="AQ752" s="372" t="str">
        <f>CS_PID!AQ752/VLOOKUP($B752,표2[#ALL],2)/HLOOKUP($A752,표1[#ALL],row(),false)</f>
        <v>#N/A</v>
      </c>
      <c r="AR752" s="372" t="str">
        <f>CS_PID!AR752/VLOOKUP($B752,표2[#ALL],2)/HLOOKUP($A752,표1[#ALL],row(),false)</f>
        <v>#N/A</v>
      </c>
      <c r="AS752" s="373" t="str">
        <f>CS_PID!AS752/VLOOKUP($B752,표2[#ALL],2)/HLOOKUP($A752,표1[#ALL],row(),false)</f>
        <v>#N/A</v>
      </c>
    </row>
    <row r="753">
      <c r="A753" s="374"/>
      <c r="B753" s="375"/>
      <c r="C753" s="376" t="str">
        <f>CS_PID!C753/VLOOKUP($B753,표2[#ALL],2)</f>
        <v>#N/A</v>
      </c>
      <c r="D753" s="376" t="str">
        <f>CS_PID!D753/VLOOKUP($B753,표2[#ALL],2)</f>
        <v>#N/A</v>
      </c>
      <c r="E753" s="376" t="str">
        <f>CS_PID!E753/VLOOKUP($B753,표2[#ALL],2)</f>
        <v>#N/A</v>
      </c>
      <c r="F753" s="376" t="str">
        <f>CS_PID!F753/VLOOKUP($B753,표2[#ALL],2)</f>
        <v>#N/A</v>
      </c>
      <c r="G753" s="376" t="str">
        <f>CS_PID!G753/VLOOKUP($B753,표2[#ALL],2)</f>
        <v>#N/A</v>
      </c>
      <c r="H753" s="376" t="str">
        <f>CS_PID!H753/VLOOKUP($B753,표2[#ALL],2)/HLOOKUP($A753,표1[#ALL],row(),false)</f>
        <v>#N/A</v>
      </c>
      <c r="I753" s="376" t="str">
        <f>CS_PID!I753/VLOOKUP($B753,표2[#ALL],2)/HLOOKUP($A753,표1[#ALL],row(),false)</f>
        <v>#N/A</v>
      </c>
      <c r="J753" s="376" t="str">
        <f>CS_PID!J753/VLOOKUP($B753,표2[#ALL],2)/HLOOKUP($A753,표1[#ALL],row(),false)</f>
        <v>#N/A</v>
      </c>
      <c r="K753" s="376" t="str">
        <f>CS_PID!K753/VLOOKUP($B753,표2[#ALL],2)/HLOOKUP($A753,표1[#ALL],row(),false)</f>
        <v>#N/A</v>
      </c>
      <c r="L753" s="376" t="str">
        <f>CS_PID!L753/VLOOKUP($B753,표2[#ALL],2)/HLOOKUP($A753,표1[#ALL],row(),false)</f>
        <v>#N/A</v>
      </c>
      <c r="M753" s="376" t="str">
        <f>CS_PID!M753/VLOOKUP($B753,표2[#ALL],2)/HLOOKUP($A753,표1[#ALL],row(),false)</f>
        <v>#N/A</v>
      </c>
      <c r="N753" s="376" t="str">
        <f>CS_PID!N753/VLOOKUP($B753,표2[#ALL],2)/HLOOKUP($A753,표1[#ALL],row(),false)</f>
        <v>#N/A</v>
      </c>
      <c r="O753" s="376" t="str">
        <f>CS_PID!O753/VLOOKUP($B753,표2[#ALL],2)/HLOOKUP($A753,표1[#ALL],row(),false)</f>
        <v>#N/A</v>
      </c>
      <c r="P753" s="376" t="str">
        <f>CS_PID!P753/VLOOKUP($B753,표2[#ALL],2)/HLOOKUP($A753,표1[#ALL],row(),false)</f>
        <v>#N/A</v>
      </c>
      <c r="Q753" s="376" t="str">
        <f>CS_PID!Q753/VLOOKUP($B753,표2[#ALL],2)/HLOOKUP($A753,표1[#ALL],row(),false)</f>
        <v>#N/A</v>
      </c>
      <c r="R753" s="376" t="str">
        <f>CS_PID!R753/VLOOKUP($B753,표2[#ALL],2)/HLOOKUP($A753,표1[#ALL],row(),false)</f>
        <v>#N/A</v>
      </c>
      <c r="S753" s="376" t="str">
        <f>CS_PID!S753/VLOOKUP($B753,표2[#ALL],2)/HLOOKUP($A753,표1[#ALL],row(),false)</f>
        <v>#N/A</v>
      </c>
      <c r="T753" s="376" t="str">
        <f>CS_PID!T753/VLOOKUP($B753,표2[#ALL],2)/HLOOKUP($A753,표1[#ALL],row(),false)</f>
        <v>#N/A</v>
      </c>
      <c r="U753" s="376" t="str">
        <f>CS_PID!U753/VLOOKUP($B753,표2[#ALL],2)/HLOOKUP($A753,표1[#ALL],row(),false)</f>
        <v>#N/A</v>
      </c>
      <c r="V753" s="376" t="str">
        <f>CS_PID!V753/VLOOKUP($B753,표2[#ALL],2)/HLOOKUP($A753,표1[#ALL],row(),false)</f>
        <v>#N/A</v>
      </c>
      <c r="W753" s="376" t="str">
        <f>CS_PID!W753/VLOOKUP($B753,표2[#ALL],2)/HLOOKUP($A753,표1[#ALL],row(),false)</f>
        <v>#N/A</v>
      </c>
      <c r="X753" s="376" t="str">
        <f>CS_PID!X753/VLOOKUP($B753,표2[#ALL],2)/HLOOKUP($A753,표1[#ALL],row(),false)</f>
        <v>#N/A</v>
      </c>
      <c r="Y753" s="376" t="str">
        <f>CS_PID!Y753/VLOOKUP($B753,표2[#ALL],2)/HLOOKUP($A753,표1[#ALL],row(),false)</f>
        <v>#N/A</v>
      </c>
      <c r="Z753" s="376" t="str">
        <f>CS_PID!Z753/VLOOKUP($B753,표2[#ALL],2)/HLOOKUP($A753,표1[#ALL],row(),false)</f>
        <v>#N/A</v>
      </c>
      <c r="AA753" s="376" t="str">
        <f>CS_PID!AA753/VLOOKUP($B753,표2[#ALL],2)/HLOOKUP($A753,표1[#ALL],row(),false)</f>
        <v>#N/A</v>
      </c>
      <c r="AB753" s="376" t="str">
        <f>CS_PID!AB753/VLOOKUP($B753,표2[#ALL],2)/HLOOKUP($A753,표1[#ALL],row(),false)</f>
        <v>#N/A</v>
      </c>
      <c r="AC753" s="376" t="str">
        <f>CS_PID!AC753/VLOOKUP($B753,표2[#ALL],2)/HLOOKUP($A753,표1[#ALL],row(),false)</f>
        <v>#N/A</v>
      </c>
      <c r="AD753" s="376" t="str">
        <f>CS_PID!AD753/VLOOKUP($B753,표2[#ALL],2)/HLOOKUP($A753,표1[#ALL],row(),false)</f>
        <v>#N/A</v>
      </c>
      <c r="AE753" s="376" t="str">
        <f>CS_PID!AE753/VLOOKUP($B753,표2[#ALL],2)/HLOOKUP($A753,표1[#ALL],row(),false)</f>
        <v>#N/A</v>
      </c>
      <c r="AF753" s="376" t="str">
        <f>CS_PID!AF753/VLOOKUP($B753,표2[#ALL],2)/HLOOKUP($A753,표1[#ALL],row(),false)</f>
        <v>#N/A</v>
      </c>
      <c r="AG753" s="376" t="str">
        <f>CS_PID!AG753/VLOOKUP($B753,표2[#ALL],2)/HLOOKUP($A753,표1[#ALL],row(),false)</f>
        <v>#N/A</v>
      </c>
      <c r="AH753" s="376" t="str">
        <f>CS_PID!AH753/VLOOKUP($B753,표2[#ALL],2)/HLOOKUP($A753,표1[#ALL],row(),false)</f>
        <v>#N/A</v>
      </c>
      <c r="AI753" s="376" t="str">
        <f>CS_PID!AI753/VLOOKUP($B753,표2[#ALL],2)/HLOOKUP($A753,표1[#ALL],row(),false)</f>
        <v>#N/A</v>
      </c>
      <c r="AJ753" s="376" t="str">
        <f>CS_PID!AJ753/VLOOKUP($B753,표2[#ALL],2)/HLOOKUP($A753,표1[#ALL],row(),false)</f>
        <v>#N/A</v>
      </c>
      <c r="AK753" s="376" t="str">
        <f>CS_PID!AK753/VLOOKUP($B753,표2[#ALL],2)/HLOOKUP($A753,표1[#ALL],row(),false)</f>
        <v>#N/A</v>
      </c>
      <c r="AL753" s="376" t="str">
        <f>CS_PID!AL753/VLOOKUP($B753,표2[#ALL],2)/HLOOKUP($A753,표1[#ALL],row(),false)</f>
        <v>#N/A</v>
      </c>
      <c r="AM753" s="376" t="str">
        <f>CS_PID!AM753/VLOOKUP($B753,표2[#ALL],2)/HLOOKUP($A753,표1[#ALL],row(),false)</f>
        <v>#N/A</v>
      </c>
      <c r="AN753" s="376" t="str">
        <f>CS_PID!AN753/VLOOKUP($B753,표2[#ALL],2)/HLOOKUP($A753,표1[#ALL],row(),false)</f>
        <v>#N/A</v>
      </c>
      <c r="AO753" s="376" t="str">
        <f>CS_PID!AO753/VLOOKUP($B753,표2[#ALL],2)/HLOOKUP($A753,표1[#ALL],row(),false)</f>
        <v>#N/A</v>
      </c>
      <c r="AP753" s="376" t="str">
        <f>CS_PID!AP753/VLOOKUP($B753,표2[#ALL],2)/HLOOKUP($A753,표1[#ALL],row(),false)</f>
        <v>#N/A</v>
      </c>
      <c r="AQ753" s="376" t="str">
        <f>CS_PID!AQ753/VLOOKUP($B753,표2[#ALL],2)/HLOOKUP($A753,표1[#ALL],row(),false)</f>
        <v>#N/A</v>
      </c>
      <c r="AR753" s="376" t="str">
        <f>CS_PID!AR753/VLOOKUP($B753,표2[#ALL],2)/HLOOKUP($A753,표1[#ALL],row(),false)</f>
        <v>#N/A</v>
      </c>
      <c r="AS753" s="377" t="str">
        <f>CS_PID!AS753/VLOOKUP($B753,표2[#ALL],2)/HLOOKUP($A753,표1[#ALL],row(),false)</f>
        <v>#N/A</v>
      </c>
    </row>
    <row r="754">
      <c r="A754" s="370"/>
      <c r="B754" s="371"/>
      <c r="C754" s="372" t="str">
        <f>CS_PID!C754/VLOOKUP($B754,표2[#ALL],2)</f>
        <v>#N/A</v>
      </c>
      <c r="D754" s="372" t="str">
        <f>CS_PID!D754/VLOOKUP($B754,표2[#ALL],2)</f>
        <v>#N/A</v>
      </c>
      <c r="E754" s="372" t="str">
        <f>CS_PID!E754/VLOOKUP($B754,표2[#ALL],2)</f>
        <v>#N/A</v>
      </c>
      <c r="F754" s="372" t="str">
        <f>CS_PID!F754/VLOOKUP($B754,표2[#ALL],2)</f>
        <v>#N/A</v>
      </c>
      <c r="G754" s="372" t="str">
        <f>CS_PID!G754/VLOOKUP($B754,표2[#ALL],2)</f>
        <v>#N/A</v>
      </c>
      <c r="H754" s="372" t="str">
        <f>CS_PID!H754/VLOOKUP($B754,표2[#ALL],2)/HLOOKUP($A754,표1[#ALL],row(),false)</f>
        <v>#N/A</v>
      </c>
      <c r="I754" s="372" t="str">
        <f>CS_PID!I754/VLOOKUP($B754,표2[#ALL],2)/HLOOKUP($A754,표1[#ALL],row(),false)</f>
        <v>#N/A</v>
      </c>
      <c r="J754" s="372" t="str">
        <f>CS_PID!J754/VLOOKUP($B754,표2[#ALL],2)/HLOOKUP($A754,표1[#ALL],row(),false)</f>
        <v>#N/A</v>
      </c>
      <c r="K754" s="372" t="str">
        <f>CS_PID!K754/VLOOKUP($B754,표2[#ALL],2)/HLOOKUP($A754,표1[#ALL],row(),false)</f>
        <v>#N/A</v>
      </c>
      <c r="L754" s="372" t="str">
        <f>CS_PID!L754/VLOOKUP($B754,표2[#ALL],2)/HLOOKUP($A754,표1[#ALL],row(),false)</f>
        <v>#N/A</v>
      </c>
      <c r="M754" s="372" t="str">
        <f>CS_PID!M754/VLOOKUP($B754,표2[#ALL],2)/HLOOKUP($A754,표1[#ALL],row(),false)</f>
        <v>#N/A</v>
      </c>
      <c r="N754" s="372" t="str">
        <f>CS_PID!N754/VLOOKUP($B754,표2[#ALL],2)/HLOOKUP($A754,표1[#ALL],row(),false)</f>
        <v>#N/A</v>
      </c>
      <c r="O754" s="372" t="str">
        <f>CS_PID!O754/VLOOKUP($B754,표2[#ALL],2)/HLOOKUP($A754,표1[#ALL],row(),false)</f>
        <v>#N/A</v>
      </c>
      <c r="P754" s="372" t="str">
        <f>CS_PID!P754/VLOOKUP($B754,표2[#ALL],2)/HLOOKUP($A754,표1[#ALL],row(),false)</f>
        <v>#N/A</v>
      </c>
      <c r="Q754" s="372" t="str">
        <f>CS_PID!Q754/VLOOKUP($B754,표2[#ALL],2)/HLOOKUP($A754,표1[#ALL],row(),false)</f>
        <v>#N/A</v>
      </c>
      <c r="R754" s="372" t="str">
        <f>CS_PID!R754/VLOOKUP($B754,표2[#ALL],2)/HLOOKUP($A754,표1[#ALL],row(),false)</f>
        <v>#N/A</v>
      </c>
      <c r="S754" s="372" t="str">
        <f>CS_PID!S754/VLOOKUP($B754,표2[#ALL],2)/HLOOKUP($A754,표1[#ALL],row(),false)</f>
        <v>#N/A</v>
      </c>
      <c r="T754" s="372" t="str">
        <f>CS_PID!T754/VLOOKUP($B754,표2[#ALL],2)/HLOOKUP($A754,표1[#ALL],row(),false)</f>
        <v>#N/A</v>
      </c>
      <c r="U754" s="372" t="str">
        <f>CS_PID!U754/VLOOKUP($B754,표2[#ALL],2)/HLOOKUP($A754,표1[#ALL],row(),false)</f>
        <v>#N/A</v>
      </c>
      <c r="V754" s="372" t="str">
        <f>CS_PID!V754/VLOOKUP($B754,표2[#ALL],2)/HLOOKUP($A754,표1[#ALL],row(),false)</f>
        <v>#N/A</v>
      </c>
      <c r="W754" s="372" t="str">
        <f>CS_PID!W754/VLOOKUP($B754,표2[#ALL],2)/HLOOKUP($A754,표1[#ALL],row(),false)</f>
        <v>#N/A</v>
      </c>
      <c r="X754" s="372" t="str">
        <f>CS_PID!X754/VLOOKUP($B754,표2[#ALL],2)/HLOOKUP($A754,표1[#ALL],row(),false)</f>
        <v>#N/A</v>
      </c>
      <c r="Y754" s="372" t="str">
        <f>CS_PID!Y754/VLOOKUP($B754,표2[#ALL],2)/HLOOKUP($A754,표1[#ALL],row(),false)</f>
        <v>#N/A</v>
      </c>
      <c r="Z754" s="372" t="str">
        <f>CS_PID!Z754/VLOOKUP($B754,표2[#ALL],2)/HLOOKUP($A754,표1[#ALL],row(),false)</f>
        <v>#N/A</v>
      </c>
      <c r="AA754" s="372" t="str">
        <f>CS_PID!AA754/VLOOKUP($B754,표2[#ALL],2)/HLOOKUP($A754,표1[#ALL],row(),false)</f>
        <v>#N/A</v>
      </c>
      <c r="AB754" s="372" t="str">
        <f>CS_PID!AB754/VLOOKUP($B754,표2[#ALL],2)/HLOOKUP($A754,표1[#ALL],row(),false)</f>
        <v>#N/A</v>
      </c>
      <c r="AC754" s="372" t="str">
        <f>CS_PID!AC754/VLOOKUP($B754,표2[#ALL],2)/HLOOKUP($A754,표1[#ALL],row(),false)</f>
        <v>#N/A</v>
      </c>
      <c r="AD754" s="372" t="str">
        <f>CS_PID!AD754/VLOOKUP($B754,표2[#ALL],2)/HLOOKUP($A754,표1[#ALL],row(),false)</f>
        <v>#N/A</v>
      </c>
      <c r="AE754" s="372" t="str">
        <f>CS_PID!AE754/VLOOKUP($B754,표2[#ALL],2)/HLOOKUP($A754,표1[#ALL],row(),false)</f>
        <v>#N/A</v>
      </c>
      <c r="AF754" s="372" t="str">
        <f>CS_PID!AF754/VLOOKUP($B754,표2[#ALL],2)/HLOOKUP($A754,표1[#ALL],row(),false)</f>
        <v>#N/A</v>
      </c>
      <c r="AG754" s="372" t="str">
        <f>CS_PID!AG754/VLOOKUP($B754,표2[#ALL],2)/HLOOKUP($A754,표1[#ALL],row(),false)</f>
        <v>#N/A</v>
      </c>
      <c r="AH754" s="372" t="str">
        <f>CS_PID!AH754/VLOOKUP($B754,표2[#ALL],2)/HLOOKUP($A754,표1[#ALL],row(),false)</f>
        <v>#N/A</v>
      </c>
      <c r="AI754" s="372" t="str">
        <f>CS_PID!AI754/VLOOKUP($B754,표2[#ALL],2)/HLOOKUP($A754,표1[#ALL],row(),false)</f>
        <v>#N/A</v>
      </c>
      <c r="AJ754" s="372" t="str">
        <f>CS_PID!AJ754/VLOOKUP($B754,표2[#ALL],2)/HLOOKUP($A754,표1[#ALL],row(),false)</f>
        <v>#N/A</v>
      </c>
      <c r="AK754" s="372" t="str">
        <f>CS_PID!AK754/VLOOKUP($B754,표2[#ALL],2)/HLOOKUP($A754,표1[#ALL],row(),false)</f>
        <v>#N/A</v>
      </c>
      <c r="AL754" s="372" t="str">
        <f>CS_PID!AL754/VLOOKUP($B754,표2[#ALL],2)/HLOOKUP($A754,표1[#ALL],row(),false)</f>
        <v>#N/A</v>
      </c>
      <c r="AM754" s="372" t="str">
        <f>CS_PID!AM754/VLOOKUP($B754,표2[#ALL],2)/HLOOKUP($A754,표1[#ALL],row(),false)</f>
        <v>#N/A</v>
      </c>
      <c r="AN754" s="372" t="str">
        <f>CS_PID!AN754/VLOOKUP($B754,표2[#ALL],2)/HLOOKUP($A754,표1[#ALL],row(),false)</f>
        <v>#N/A</v>
      </c>
      <c r="AO754" s="372" t="str">
        <f>CS_PID!AO754/VLOOKUP($B754,표2[#ALL],2)/HLOOKUP($A754,표1[#ALL],row(),false)</f>
        <v>#N/A</v>
      </c>
      <c r="AP754" s="372" t="str">
        <f>CS_PID!AP754/VLOOKUP($B754,표2[#ALL],2)/HLOOKUP($A754,표1[#ALL],row(),false)</f>
        <v>#N/A</v>
      </c>
      <c r="AQ754" s="372" t="str">
        <f>CS_PID!AQ754/VLOOKUP($B754,표2[#ALL],2)/HLOOKUP($A754,표1[#ALL],row(),false)</f>
        <v>#N/A</v>
      </c>
      <c r="AR754" s="372" t="str">
        <f>CS_PID!AR754/VLOOKUP($B754,표2[#ALL],2)/HLOOKUP($A754,표1[#ALL],row(),false)</f>
        <v>#N/A</v>
      </c>
      <c r="AS754" s="373" t="str">
        <f>CS_PID!AS754/VLOOKUP($B754,표2[#ALL],2)/HLOOKUP($A754,표1[#ALL],row(),false)</f>
        <v>#N/A</v>
      </c>
    </row>
    <row r="755">
      <c r="A755" s="374"/>
      <c r="B755" s="375"/>
      <c r="C755" s="376" t="str">
        <f>CS_PID!C755/VLOOKUP($B755,표2[#ALL],2)</f>
        <v>#N/A</v>
      </c>
      <c r="D755" s="376" t="str">
        <f>CS_PID!D755/VLOOKUP($B755,표2[#ALL],2)</f>
        <v>#N/A</v>
      </c>
      <c r="E755" s="376" t="str">
        <f>CS_PID!E755/VLOOKUP($B755,표2[#ALL],2)</f>
        <v>#N/A</v>
      </c>
      <c r="F755" s="376" t="str">
        <f>CS_PID!F755/VLOOKUP($B755,표2[#ALL],2)</f>
        <v>#N/A</v>
      </c>
      <c r="G755" s="376" t="str">
        <f>CS_PID!G755/VLOOKUP($B755,표2[#ALL],2)</f>
        <v>#N/A</v>
      </c>
      <c r="H755" s="376" t="str">
        <f>CS_PID!H755/VLOOKUP($B755,표2[#ALL],2)/HLOOKUP($A755,표1[#ALL],row(),false)</f>
        <v>#N/A</v>
      </c>
      <c r="I755" s="376" t="str">
        <f>CS_PID!I755/VLOOKUP($B755,표2[#ALL],2)/HLOOKUP($A755,표1[#ALL],row(),false)</f>
        <v>#N/A</v>
      </c>
      <c r="J755" s="376" t="str">
        <f>CS_PID!J755/VLOOKUP($B755,표2[#ALL],2)/HLOOKUP($A755,표1[#ALL],row(),false)</f>
        <v>#N/A</v>
      </c>
      <c r="K755" s="376" t="str">
        <f>CS_PID!K755/VLOOKUP($B755,표2[#ALL],2)/HLOOKUP($A755,표1[#ALL],row(),false)</f>
        <v>#N/A</v>
      </c>
      <c r="L755" s="376" t="str">
        <f>CS_PID!L755/VLOOKUP($B755,표2[#ALL],2)/HLOOKUP($A755,표1[#ALL],row(),false)</f>
        <v>#N/A</v>
      </c>
      <c r="M755" s="376" t="str">
        <f>CS_PID!M755/VLOOKUP($B755,표2[#ALL],2)/HLOOKUP($A755,표1[#ALL],row(),false)</f>
        <v>#N/A</v>
      </c>
      <c r="N755" s="376" t="str">
        <f>CS_PID!N755/VLOOKUP($B755,표2[#ALL],2)/HLOOKUP($A755,표1[#ALL],row(),false)</f>
        <v>#N/A</v>
      </c>
      <c r="O755" s="376" t="str">
        <f>CS_PID!O755/VLOOKUP($B755,표2[#ALL],2)/HLOOKUP($A755,표1[#ALL],row(),false)</f>
        <v>#N/A</v>
      </c>
      <c r="P755" s="376" t="str">
        <f>CS_PID!P755/VLOOKUP($B755,표2[#ALL],2)/HLOOKUP($A755,표1[#ALL],row(),false)</f>
        <v>#N/A</v>
      </c>
      <c r="Q755" s="376" t="str">
        <f>CS_PID!Q755/VLOOKUP($B755,표2[#ALL],2)/HLOOKUP($A755,표1[#ALL],row(),false)</f>
        <v>#N/A</v>
      </c>
      <c r="R755" s="376" t="str">
        <f>CS_PID!R755/VLOOKUP($B755,표2[#ALL],2)/HLOOKUP($A755,표1[#ALL],row(),false)</f>
        <v>#N/A</v>
      </c>
      <c r="S755" s="376" t="str">
        <f>CS_PID!S755/VLOOKUP($B755,표2[#ALL],2)/HLOOKUP($A755,표1[#ALL],row(),false)</f>
        <v>#N/A</v>
      </c>
      <c r="T755" s="376" t="str">
        <f>CS_PID!T755/VLOOKUP($B755,표2[#ALL],2)/HLOOKUP($A755,표1[#ALL],row(),false)</f>
        <v>#N/A</v>
      </c>
      <c r="U755" s="376" t="str">
        <f>CS_PID!U755/VLOOKUP($B755,표2[#ALL],2)/HLOOKUP($A755,표1[#ALL],row(),false)</f>
        <v>#N/A</v>
      </c>
      <c r="V755" s="376" t="str">
        <f>CS_PID!V755/VLOOKUP($B755,표2[#ALL],2)/HLOOKUP($A755,표1[#ALL],row(),false)</f>
        <v>#N/A</v>
      </c>
      <c r="W755" s="376" t="str">
        <f>CS_PID!W755/VLOOKUP($B755,표2[#ALL],2)/HLOOKUP($A755,표1[#ALL],row(),false)</f>
        <v>#N/A</v>
      </c>
      <c r="X755" s="376" t="str">
        <f>CS_PID!X755/VLOOKUP($B755,표2[#ALL],2)/HLOOKUP($A755,표1[#ALL],row(),false)</f>
        <v>#N/A</v>
      </c>
      <c r="Y755" s="376" t="str">
        <f>CS_PID!Y755/VLOOKUP($B755,표2[#ALL],2)/HLOOKUP($A755,표1[#ALL],row(),false)</f>
        <v>#N/A</v>
      </c>
      <c r="Z755" s="376" t="str">
        <f>CS_PID!Z755/VLOOKUP($B755,표2[#ALL],2)/HLOOKUP($A755,표1[#ALL],row(),false)</f>
        <v>#N/A</v>
      </c>
      <c r="AA755" s="376" t="str">
        <f>CS_PID!AA755/VLOOKUP($B755,표2[#ALL],2)/HLOOKUP($A755,표1[#ALL],row(),false)</f>
        <v>#N/A</v>
      </c>
      <c r="AB755" s="376" t="str">
        <f>CS_PID!AB755/VLOOKUP($B755,표2[#ALL],2)/HLOOKUP($A755,표1[#ALL],row(),false)</f>
        <v>#N/A</v>
      </c>
      <c r="AC755" s="376" t="str">
        <f>CS_PID!AC755/VLOOKUP($B755,표2[#ALL],2)/HLOOKUP($A755,표1[#ALL],row(),false)</f>
        <v>#N/A</v>
      </c>
      <c r="AD755" s="376" t="str">
        <f>CS_PID!AD755/VLOOKUP($B755,표2[#ALL],2)/HLOOKUP($A755,표1[#ALL],row(),false)</f>
        <v>#N/A</v>
      </c>
      <c r="AE755" s="376" t="str">
        <f>CS_PID!AE755/VLOOKUP($B755,표2[#ALL],2)/HLOOKUP($A755,표1[#ALL],row(),false)</f>
        <v>#N/A</v>
      </c>
      <c r="AF755" s="376" t="str">
        <f>CS_PID!AF755/VLOOKUP($B755,표2[#ALL],2)/HLOOKUP($A755,표1[#ALL],row(),false)</f>
        <v>#N/A</v>
      </c>
      <c r="AG755" s="376" t="str">
        <f>CS_PID!AG755/VLOOKUP($B755,표2[#ALL],2)/HLOOKUP($A755,표1[#ALL],row(),false)</f>
        <v>#N/A</v>
      </c>
      <c r="AH755" s="376" t="str">
        <f>CS_PID!AH755/VLOOKUP($B755,표2[#ALL],2)/HLOOKUP($A755,표1[#ALL],row(),false)</f>
        <v>#N/A</v>
      </c>
      <c r="AI755" s="376" t="str">
        <f>CS_PID!AI755/VLOOKUP($B755,표2[#ALL],2)/HLOOKUP($A755,표1[#ALL],row(),false)</f>
        <v>#N/A</v>
      </c>
      <c r="AJ755" s="376" t="str">
        <f>CS_PID!AJ755/VLOOKUP($B755,표2[#ALL],2)/HLOOKUP($A755,표1[#ALL],row(),false)</f>
        <v>#N/A</v>
      </c>
      <c r="AK755" s="376" t="str">
        <f>CS_PID!AK755/VLOOKUP($B755,표2[#ALL],2)/HLOOKUP($A755,표1[#ALL],row(),false)</f>
        <v>#N/A</v>
      </c>
      <c r="AL755" s="376" t="str">
        <f>CS_PID!AL755/VLOOKUP($B755,표2[#ALL],2)/HLOOKUP($A755,표1[#ALL],row(),false)</f>
        <v>#N/A</v>
      </c>
      <c r="AM755" s="376" t="str">
        <f>CS_PID!AM755/VLOOKUP($B755,표2[#ALL],2)/HLOOKUP($A755,표1[#ALL],row(),false)</f>
        <v>#N/A</v>
      </c>
      <c r="AN755" s="376" t="str">
        <f>CS_PID!AN755/VLOOKUP($B755,표2[#ALL],2)/HLOOKUP($A755,표1[#ALL],row(),false)</f>
        <v>#N/A</v>
      </c>
      <c r="AO755" s="376" t="str">
        <f>CS_PID!AO755/VLOOKUP($B755,표2[#ALL],2)/HLOOKUP($A755,표1[#ALL],row(),false)</f>
        <v>#N/A</v>
      </c>
      <c r="AP755" s="376" t="str">
        <f>CS_PID!AP755/VLOOKUP($B755,표2[#ALL],2)/HLOOKUP($A755,표1[#ALL],row(),false)</f>
        <v>#N/A</v>
      </c>
      <c r="AQ755" s="376" t="str">
        <f>CS_PID!AQ755/VLOOKUP($B755,표2[#ALL],2)/HLOOKUP($A755,표1[#ALL],row(),false)</f>
        <v>#N/A</v>
      </c>
      <c r="AR755" s="376" t="str">
        <f>CS_PID!AR755/VLOOKUP($B755,표2[#ALL],2)/HLOOKUP($A755,표1[#ALL],row(),false)</f>
        <v>#N/A</v>
      </c>
      <c r="AS755" s="377" t="str">
        <f>CS_PID!AS755/VLOOKUP($B755,표2[#ALL],2)/HLOOKUP($A755,표1[#ALL],row(),false)</f>
        <v>#N/A</v>
      </c>
    </row>
    <row r="756">
      <c r="A756" s="370"/>
      <c r="B756" s="371"/>
      <c r="C756" s="372" t="str">
        <f>CS_PID!C756/VLOOKUP($B756,표2[#ALL],2)</f>
        <v>#N/A</v>
      </c>
      <c r="D756" s="372" t="str">
        <f>CS_PID!D756/VLOOKUP($B756,표2[#ALL],2)</f>
        <v>#N/A</v>
      </c>
      <c r="E756" s="372" t="str">
        <f>CS_PID!E756/VLOOKUP($B756,표2[#ALL],2)</f>
        <v>#N/A</v>
      </c>
      <c r="F756" s="372" t="str">
        <f>CS_PID!F756/VLOOKUP($B756,표2[#ALL],2)</f>
        <v>#N/A</v>
      </c>
      <c r="G756" s="372" t="str">
        <f>CS_PID!G756/VLOOKUP($B756,표2[#ALL],2)</f>
        <v>#N/A</v>
      </c>
      <c r="H756" s="372" t="str">
        <f>CS_PID!H756/VLOOKUP($B756,표2[#ALL],2)/HLOOKUP($A756,표1[#ALL],row(),false)</f>
        <v>#N/A</v>
      </c>
      <c r="I756" s="372" t="str">
        <f>CS_PID!I756/VLOOKUP($B756,표2[#ALL],2)/HLOOKUP($A756,표1[#ALL],row(),false)</f>
        <v>#N/A</v>
      </c>
      <c r="J756" s="372" t="str">
        <f>CS_PID!J756/VLOOKUP($B756,표2[#ALL],2)/HLOOKUP($A756,표1[#ALL],row(),false)</f>
        <v>#N/A</v>
      </c>
      <c r="K756" s="372" t="str">
        <f>CS_PID!K756/VLOOKUP($B756,표2[#ALL],2)/HLOOKUP($A756,표1[#ALL],row(),false)</f>
        <v>#N/A</v>
      </c>
      <c r="L756" s="372" t="str">
        <f>CS_PID!L756/VLOOKUP($B756,표2[#ALL],2)/HLOOKUP($A756,표1[#ALL],row(),false)</f>
        <v>#N/A</v>
      </c>
      <c r="M756" s="372" t="str">
        <f>CS_PID!M756/VLOOKUP($B756,표2[#ALL],2)/HLOOKUP($A756,표1[#ALL],row(),false)</f>
        <v>#N/A</v>
      </c>
      <c r="N756" s="372" t="str">
        <f>CS_PID!N756/VLOOKUP($B756,표2[#ALL],2)/HLOOKUP($A756,표1[#ALL],row(),false)</f>
        <v>#N/A</v>
      </c>
      <c r="O756" s="372" t="str">
        <f>CS_PID!O756/VLOOKUP($B756,표2[#ALL],2)/HLOOKUP($A756,표1[#ALL],row(),false)</f>
        <v>#N/A</v>
      </c>
      <c r="P756" s="372" t="str">
        <f>CS_PID!P756/VLOOKUP($B756,표2[#ALL],2)/HLOOKUP($A756,표1[#ALL],row(),false)</f>
        <v>#N/A</v>
      </c>
      <c r="Q756" s="372" t="str">
        <f>CS_PID!Q756/VLOOKUP($B756,표2[#ALL],2)/HLOOKUP($A756,표1[#ALL],row(),false)</f>
        <v>#N/A</v>
      </c>
      <c r="R756" s="372" t="str">
        <f>CS_PID!R756/VLOOKUP($B756,표2[#ALL],2)/HLOOKUP($A756,표1[#ALL],row(),false)</f>
        <v>#N/A</v>
      </c>
      <c r="S756" s="372" t="str">
        <f>CS_PID!S756/VLOOKUP($B756,표2[#ALL],2)/HLOOKUP($A756,표1[#ALL],row(),false)</f>
        <v>#N/A</v>
      </c>
      <c r="T756" s="372" t="str">
        <f>CS_PID!T756/VLOOKUP($B756,표2[#ALL],2)/HLOOKUP($A756,표1[#ALL],row(),false)</f>
        <v>#N/A</v>
      </c>
      <c r="U756" s="372" t="str">
        <f>CS_PID!U756/VLOOKUP($B756,표2[#ALL],2)/HLOOKUP($A756,표1[#ALL],row(),false)</f>
        <v>#N/A</v>
      </c>
      <c r="V756" s="372" t="str">
        <f>CS_PID!V756/VLOOKUP($B756,표2[#ALL],2)/HLOOKUP($A756,표1[#ALL],row(),false)</f>
        <v>#N/A</v>
      </c>
      <c r="W756" s="372" t="str">
        <f>CS_PID!W756/VLOOKUP($B756,표2[#ALL],2)/HLOOKUP($A756,표1[#ALL],row(),false)</f>
        <v>#N/A</v>
      </c>
      <c r="X756" s="372" t="str">
        <f>CS_PID!X756/VLOOKUP($B756,표2[#ALL],2)/HLOOKUP($A756,표1[#ALL],row(),false)</f>
        <v>#N/A</v>
      </c>
      <c r="Y756" s="372" t="str">
        <f>CS_PID!Y756/VLOOKUP($B756,표2[#ALL],2)/HLOOKUP($A756,표1[#ALL],row(),false)</f>
        <v>#N/A</v>
      </c>
      <c r="Z756" s="372" t="str">
        <f>CS_PID!Z756/VLOOKUP($B756,표2[#ALL],2)/HLOOKUP($A756,표1[#ALL],row(),false)</f>
        <v>#N/A</v>
      </c>
      <c r="AA756" s="372" t="str">
        <f>CS_PID!AA756/VLOOKUP($B756,표2[#ALL],2)/HLOOKUP($A756,표1[#ALL],row(),false)</f>
        <v>#N/A</v>
      </c>
      <c r="AB756" s="372" t="str">
        <f>CS_PID!AB756/VLOOKUP($B756,표2[#ALL],2)/HLOOKUP($A756,표1[#ALL],row(),false)</f>
        <v>#N/A</v>
      </c>
      <c r="AC756" s="372" t="str">
        <f>CS_PID!AC756/VLOOKUP($B756,표2[#ALL],2)/HLOOKUP($A756,표1[#ALL],row(),false)</f>
        <v>#N/A</v>
      </c>
      <c r="AD756" s="372" t="str">
        <f>CS_PID!AD756/VLOOKUP($B756,표2[#ALL],2)/HLOOKUP($A756,표1[#ALL],row(),false)</f>
        <v>#N/A</v>
      </c>
      <c r="AE756" s="372" t="str">
        <f>CS_PID!AE756/VLOOKUP($B756,표2[#ALL],2)/HLOOKUP($A756,표1[#ALL],row(),false)</f>
        <v>#N/A</v>
      </c>
      <c r="AF756" s="372" t="str">
        <f>CS_PID!AF756/VLOOKUP($B756,표2[#ALL],2)/HLOOKUP($A756,표1[#ALL],row(),false)</f>
        <v>#N/A</v>
      </c>
      <c r="AG756" s="372" t="str">
        <f>CS_PID!AG756/VLOOKUP($B756,표2[#ALL],2)/HLOOKUP($A756,표1[#ALL],row(),false)</f>
        <v>#N/A</v>
      </c>
      <c r="AH756" s="372" t="str">
        <f>CS_PID!AH756/VLOOKUP($B756,표2[#ALL],2)/HLOOKUP($A756,표1[#ALL],row(),false)</f>
        <v>#N/A</v>
      </c>
      <c r="AI756" s="372" t="str">
        <f>CS_PID!AI756/VLOOKUP($B756,표2[#ALL],2)/HLOOKUP($A756,표1[#ALL],row(),false)</f>
        <v>#N/A</v>
      </c>
      <c r="AJ756" s="372" t="str">
        <f>CS_PID!AJ756/VLOOKUP($B756,표2[#ALL],2)/HLOOKUP($A756,표1[#ALL],row(),false)</f>
        <v>#N/A</v>
      </c>
      <c r="AK756" s="372" t="str">
        <f>CS_PID!AK756/VLOOKUP($B756,표2[#ALL],2)/HLOOKUP($A756,표1[#ALL],row(),false)</f>
        <v>#N/A</v>
      </c>
      <c r="AL756" s="372" t="str">
        <f>CS_PID!AL756/VLOOKUP($B756,표2[#ALL],2)/HLOOKUP($A756,표1[#ALL],row(),false)</f>
        <v>#N/A</v>
      </c>
      <c r="AM756" s="372" t="str">
        <f>CS_PID!AM756/VLOOKUP($B756,표2[#ALL],2)/HLOOKUP($A756,표1[#ALL],row(),false)</f>
        <v>#N/A</v>
      </c>
      <c r="AN756" s="372" t="str">
        <f>CS_PID!AN756/VLOOKUP($B756,표2[#ALL],2)/HLOOKUP($A756,표1[#ALL],row(),false)</f>
        <v>#N/A</v>
      </c>
      <c r="AO756" s="372" t="str">
        <f>CS_PID!AO756/VLOOKUP($B756,표2[#ALL],2)/HLOOKUP($A756,표1[#ALL],row(),false)</f>
        <v>#N/A</v>
      </c>
      <c r="AP756" s="372" t="str">
        <f>CS_PID!AP756/VLOOKUP($B756,표2[#ALL],2)/HLOOKUP($A756,표1[#ALL],row(),false)</f>
        <v>#N/A</v>
      </c>
      <c r="AQ756" s="372" t="str">
        <f>CS_PID!AQ756/VLOOKUP($B756,표2[#ALL],2)/HLOOKUP($A756,표1[#ALL],row(),false)</f>
        <v>#N/A</v>
      </c>
      <c r="AR756" s="372" t="str">
        <f>CS_PID!AR756/VLOOKUP($B756,표2[#ALL],2)/HLOOKUP($A756,표1[#ALL],row(),false)</f>
        <v>#N/A</v>
      </c>
      <c r="AS756" s="373" t="str">
        <f>CS_PID!AS756/VLOOKUP($B756,표2[#ALL],2)/HLOOKUP($A756,표1[#ALL],row(),false)</f>
        <v>#N/A</v>
      </c>
    </row>
    <row r="757">
      <c r="A757" s="374"/>
      <c r="B757" s="375"/>
      <c r="C757" s="376" t="str">
        <f>CS_PID!C757/VLOOKUP($B757,표2[#ALL],2)</f>
        <v>#N/A</v>
      </c>
      <c r="D757" s="376" t="str">
        <f>CS_PID!D757/VLOOKUP($B757,표2[#ALL],2)</f>
        <v>#N/A</v>
      </c>
      <c r="E757" s="376" t="str">
        <f>CS_PID!E757/VLOOKUP($B757,표2[#ALL],2)</f>
        <v>#N/A</v>
      </c>
      <c r="F757" s="376" t="str">
        <f>CS_PID!F757/VLOOKUP($B757,표2[#ALL],2)</f>
        <v>#N/A</v>
      </c>
      <c r="G757" s="376" t="str">
        <f>CS_PID!G757/VLOOKUP($B757,표2[#ALL],2)</f>
        <v>#N/A</v>
      </c>
      <c r="H757" s="376" t="str">
        <f>CS_PID!H757/VLOOKUP($B757,표2[#ALL],2)/HLOOKUP($A757,표1[#ALL],row(),false)</f>
        <v>#N/A</v>
      </c>
      <c r="I757" s="376" t="str">
        <f>CS_PID!I757/VLOOKUP($B757,표2[#ALL],2)/HLOOKUP($A757,표1[#ALL],row(),false)</f>
        <v>#N/A</v>
      </c>
      <c r="J757" s="376" t="str">
        <f>CS_PID!J757/VLOOKUP($B757,표2[#ALL],2)/HLOOKUP($A757,표1[#ALL],row(),false)</f>
        <v>#N/A</v>
      </c>
      <c r="K757" s="376" t="str">
        <f>CS_PID!K757/VLOOKUP($B757,표2[#ALL],2)/HLOOKUP($A757,표1[#ALL],row(),false)</f>
        <v>#N/A</v>
      </c>
      <c r="L757" s="376" t="str">
        <f>CS_PID!L757/VLOOKUP($B757,표2[#ALL],2)/HLOOKUP($A757,표1[#ALL],row(),false)</f>
        <v>#N/A</v>
      </c>
      <c r="M757" s="376" t="str">
        <f>CS_PID!M757/VLOOKUP($B757,표2[#ALL],2)/HLOOKUP($A757,표1[#ALL],row(),false)</f>
        <v>#N/A</v>
      </c>
      <c r="N757" s="376" t="str">
        <f>CS_PID!N757/VLOOKUP($B757,표2[#ALL],2)/HLOOKUP($A757,표1[#ALL],row(),false)</f>
        <v>#N/A</v>
      </c>
      <c r="O757" s="376" t="str">
        <f>CS_PID!O757/VLOOKUP($B757,표2[#ALL],2)/HLOOKUP($A757,표1[#ALL],row(),false)</f>
        <v>#N/A</v>
      </c>
      <c r="P757" s="376" t="str">
        <f>CS_PID!P757/VLOOKUP($B757,표2[#ALL],2)/HLOOKUP($A757,표1[#ALL],row(),false)</f>
        <v>#N/A</v>
      </c>
      <c r="Q757" s="376" t="str">
        <f>CS_PID!Q757/VLOOKUP($B757,표2[#ALL],2)/HLOOKUP($A757,표1[#ALL],row(),false)</f>
        <v>#N/A</v>
      </c>
      <c r="R757" s="376" t="str">
        <f>CS_PID!R757/VLOOKUP($B757,표2[#ALL],2)/HLOOKUP($A757,표1[#ALL],row(),false)</f>
        <v>#N/A</v>
      </c>
      <c r="S757" s="376" t="str">
        <f>CS_PID!S757/VLOOKUP($B757,표2[#ALL],2)/HLOOKUP($A757,표1[#ALL],row(),false)</f>
        <v>#N/A</v>
      </c>
      <c r="T757" s="376" t="str">
        <f>CS_PID!T757/VLOOKUP($B757,표2[#ALL],2)/HLOOKUP($A757,표1[#ALL],row(),false)</f>
        <v>#N/A</v>
      </c>
      <c r="U757" s="376" t="str">
        <f>CS_PID!U757/VLOOKUP($B757,표2[#ALL],2)/HLOOKUP($A757,표1[#ALL],row(),false)</f>
        <v>#N/A</v>
      </c>
      <c r="V757" s="376" t="str">
        <f>CS_PID!V757/VLOOKUP($B757,표2[#ALL],2)/HLOOKUP($A757,표1[#ALL],row(),false)</f>
        <v>#N/A</v>
      </c>
      <c r="W757" s="376" t="str">
        <f>CS_PID!W757/VLOOKUP($B757,표2[#ALL],2)/HLOOKUP($A757,표1[#ALL],row(),false)</f>
        <v>#N/A</v>
      </c>
      <c r="X757" s="376" t="str">
        <f>CS_PID!X757/VLOOKUP($B757,표2[#ALL],2)/HLOOKUP($A757,표1[#ALL],row(),false)</f>
        <v>#N/A</v>
      </c>
      <c r="Y757" s="376" t="str">
        <f>CS_PID!Y757/VLOOKUP($B757,표2[#ALL],2)/HLOOKUP($A757,표1[#ALL],row(),false)</f>
        <v>#N/A</v>
      </c>
      <c r="Z757" s="376" t="str">
        <f>CS_PID!Z757/VLOOKUP($B757,표2[#ALL],2)/HLOOKUP($A757,표1[#ALL],row(),false)</f>
        <v>#N/A</v>
      </c>
      <c r="AA757" s="376" t="str">
        <f>CS_PID!AA757/VLOOKUP($B757,표2[#ALL],2)/HLOOKUP($A757,표1[#ALL],row(),false)</f>
        <v>#N/A</v>
      </c>
      <c r="AB757" s="376" t="str">
        <f>CS_PID!AB757/VLOOKUP($B757,표2[#ALL],2)/HLOOKUP($A757,표1[#ALL],row(),false)</f>
        <v>#N/A</v>
      </c>
      <c r="AC757" s="376" t="str">
        <f>CS_PID!AC757/VLOOKUP($B757,표2[#ALL],2)/HLOOKUP($A757,표1[#ALL],row(),false)</f>
        <v>#N/A</v>
      </c>
      <c r="AD757" s="376" t="str">
        <f>CS_PID!AD757/VLOOKUP($B757,표2[#ALL],2)/HLOOKUP($A757,표1[#ALL],row(),false)</f>
        <v>#N/A</v>
      </c>
      <c r="AE757" s="376" t="str">
        <f>CS_PID!AE757/VLOOKUP($B757,표2[#ALL],2)/HLOOKUP($A757,표1[#ALL],row(),false)</f>
        <v>#N/A</v>
      </c>
      <c r="AF757" s="376" t="str">
        <f>CS_PID!AF757/VLOOKUP($B757,표2[#ALL],2)/HLOOKUP($A757,표1[#ALL],row(),false)</f>
        <v>#N/A</v>
      </c>
      <c r="AG757" s="376" t="str">
        <f>CS_PID!AG757/VLOOKUP($B757,표2[#ALL],2)/HLOOKUP($A757,표1[#ALL],row(),false)</f>
        <v>#N/A</v>
      </c>
      <c r="AH757" s="376" t="str">
        <f>CS_PID!AH757/VLOOKUP($B757,표2[#ALL],2)/HLOOKUP($A757,표1[#ALL],row(),false)</f>
        <v>#N/A</v>
      </c>
      <c r="AI757" s="376" t="str">
        <f>CS_PID!AI757/VLOOKUP($B757,표2[#ALL],2)/HLOOKUP($A757,표1[#ALL],row(),false)</f>
        <v>#N/A</v>
      </c>
      <c r="AJ757" s="376" t="str">
        <f>CS_PID!AJ757/VLOOKUP($B757,표2[#ALL],2)/HLOOKUP($A757,표1[#ALL],row(),false)</f>
        <v>#N/A</v>
      </c>
      <c r="AK757" s="376" t="str">
        <f>CS_PID!AK757/VLOOKUP($B757,표2[#ALL],2)/HLOOKUP($A757,표1[#ALL],row(),false)</f>
        <v>#N/A</v>
      </c>
      <c r="AL757" s="376" t="str">
        <f>CS_PID!AL757/VLOOKUP($B757,표2[#ALL],2)/HLOOKUP($A757,표1[#ALL],row(),false)</f>
        <v>#N/A</v>
      </c>
      <c r="AM757" s="376" t="str">
        <f>CS_PID!AM757/VLOOKUP($B757,표2[#ALL],2)/HLOOKUP($A757,표1[#ALL],row(),false)</f>
        <v>#N/A</v>
      </c>
      <c r="AN757" s="376" t="str">
        <f>CS_PID!AN757/VLOOKUP($B757,표2[#ALL],2)/HLOOKUP($A757,표1[#ALL],row(),false)</f>
        <v>#N/A</v>
      </c>
      <c r="AO757" s="376" t="str">
        <f>CS_PID!AO757/VLOOKUP($B757,표2[#ALL],2)/HLOOKUP($A757,표1[#ALL],row(),false)</f>
        <v>#N/A</v>
      </c>
      <c r="AP757" s="376" t="str">
        <f>CS_PID!AP757/VLOOKUP($B757,표2[#ALL],2)/HLOOKUP($A757,표1[#ALL],row(),false)</f>
        <v>#N/A</v>
      </c>
      <c r="AQ757" s="376" t="str">
        <f>CS_PID!AQ757/VLOOKUP($B757,표2[#ALL],2)/HLOOKUP($A757,표1[#ALL],row(),false)</f>
        <v>#N/A</v>
      </c>
      <c r="AR757" s="376" t="str">
        <f>CS_PID!AR757/VLOOKUP($B757,표2[#ALL],2)/HLOOKUP($A757,표1[#ALL],row(),false)</f>
        <v>#N/A</v>
      </c>
      <c r="AS757" s="377" t="str">
        <f>CS_PID!AS757/VLOOKUP($B757,표2[#ALL],2)/HLOOKUP($A757,표1[#ALL],row(),false)</f>
        <v>#N/A</v>
      </c>
    </row>
    <row r="758">
      <c r="A758" s="370"/>
      <c r="B758" s="371"/>
      <c r="C758" s="372" t="str">
        <f>CS_PID!C758/VLOOKUP($B758,표2[#ALL],2)</f>
        <v>#N/A</v>
      </c>
      <c r="D758" s="372" t="str">
        <f>CS_PID!D758/VLOOKUP($B758,표2[#ALL],2)</f>
        <v>#N/A</v>
      </c>
      <c r="E758" s="372" t="str">
        <f>CS_PID!E758/VLOOKUP($B758,표2[#ALL],2)</f>
        <v>#N/A</v>
      </c>
      <c r="F758" s="372" t="str">
        <f>CS_PID!F758/VLOOKUP($B758,표2[#ALL],2)</f>
        <v>#N/A</v>
      </c>
      <c r="G758" s="372" t="str">
        <f>CS_PID!G758/VLOOKUP($B758,표2[#ALL],2)</f>
        <v>#N/A</v>
      </c>
      <c r="H758" s="372" t="str">
        <f>CS_PID!H758/VLOOKUP($B758,표2[#ALL],2)/HLOOKUP($A758,표1[#ALL],row(),false)</f>
        <v>#N/A</v>
      </c>
      <c r="I758" s="372" t="str">
        <f>CS_PID!I758/VLOOKUP($B758,표2[#ALL],2)/HLOOKUP($A758,표1[#ALL],row(),false)</f>
        <v>#N/A</v>
      </c>
      <c r="J758" s="372" t="str">
        <f>CS_PID!J758/VLOOKUP($B758,표2[#ALL],2)/HLOOKUP($A758,표1[#ALL],row(),false)</f>
        <v>#N/A</v>
      </c>
      <c r="K758" s="372" t="str">
        <f>CS_PID!K758/VLOOKUP($B758,표2[#ALL],2)/HLOOKUP($A758,표1[#ALL],row(),false)</f>
        <v>#N/A</v>
      </c>
      <c r="L758" s="372" t="str">
        <f>CS_PID!L758/VLOOKUP($B758,표2[#ALL],2)/HLOOKUP($A758,표1[#ALL],row(),false)</f>
        <v>#N/A</v>
      </c>
      <c r="M758" s="372" t="str">
        <f>CS_PID!M758/VLOOKUP($B758,표2[#ALL],2)/HLOOKUP($A758,표1[#ALL],row(),false)</f>
        <v>#N/A</v>
      </c>
      <c r="N758" s="372" t="str">
        <f>CS_PID!N758/VLOOKUP($B758,표2[#ALL],2)/HLOOKUP($A758,표1[#ALL],row(),false)</f>
        <v>#N/A</v>
      </c>
      <c r="O758" s="372" t="str">
        <f>CS_PID!O758/VLOOKUP($B758,표2[#ALL],2)/HLOOKUP($A758,표1[#ALL],row(),false)</f>
        <v>#N/A</v>
      </c>
      <c r="P758" s="372" t="str">
        <f>CS_PID!P758/VLOOKUP($B758,표2[#ALL],2)/HLOOKUP($A758,표1[#ALL],row(),false)</f>
        <v>#N/A</v>
      </c>
      <c r="Q758" s="372" t="str">
        <f>CS_PID!Q758/VLOOKUP($B758,표2[#ALL],2)/HLOOKUP($A758,표1[#ALL],row(),false)</f>
        <v>#N/A</v>
      </c>
      <c r="R758" s="372" t="str">
        <f>CS_PID!R758/VLOOKUP($B758,표2[#ALL],2)/HLOOKUP($A758,표1[#ALL],row(),false)</f>
        <v>#N/A</v>
      </c>
      <c r="S758" s="372" t="str">
        <f>CS_PID!S758/VLOOKUP($B758,표2[#ALL],2)/HLOOKUP($A758,표1[#ALL],row(),false)</f>
        <v>#N/A</v>
      </c>
      <c r="T758" s="372" t="str">
        <f>CS_PID!T758/VLOOKUP($B758,표2[#ALL],2)/HLOOKUP($A758,표1[#ALL],row(),false)</f>
        <v>#N/A</v>
      </c>
      <c r="U758" s="372" t="str">
        <f>CS_PID!U758/VLOOKUP($B758,표2[#ALL],2)/HLOOKUP($A758,표1[#ALL],row(),false)</f>
        <v>#N/A</v>
      </c>
      <c r="V758" s="372" t="str">
        <f>CS_PID!V758/VLOOKUP($B758,표2[#ALL],2)/HLOOKUP($A758,표1[#ALL],row(),false)</f>
        <v>#N/A</v>
      </c>
      <c r="W758" s="372" t="str">
        <f>CS_PID!W758/VLOOKUP($B758,표2[#ALL],2)/HLOOKUP($A758,표1[#ALL],row(),false)</f>
        <v>#N/A</v>
      </c>
      <c r="X758" s="372" t="str">
        <f>CS_PID!X758/VLOOKUP($B758,표2[#ALL],2)/HLOOKUP($A758,표1[#ALL],row(),false)</f>
        <v>#N/A</v>
      </c>
      <c r="Y758" s="372" t="str">
        <f>CS_PID!Y758/VLOOKUP($B758,표2[#ALL],2)/HLOOKUP($A758,표1[#ALL],row(),false)</f>
        <v>#N/A</v>
      </c>
      <c r="Z758" s="372" t="str">
        <f>CS_PID!Z758/VLOOKUP($B758,표2[#ALL],2)/HLOOKUP($A758,표1[#ALL],row(),false)</f>
        <v>#N/A</v>
      </c>
      <c r="AA758" s="372" t="str">
        <f>CS_PID!AA758/VLOOKUP($B758,표2[#ALL],2)/HLOOKUP($A758,표1[#ALL],row(),false)</f>
        <v>#N/A</v>
      </c>
      <c r="AB758" s="372" t="str">
        <f>CS_PID!AB758/VLOOKUP($B758,표2[#ALL],2)/HLOOKUP($A758,표1[#ALL],row(),false)</f>
        <v>#N/A</v>
      </c>
      <c r="AC758" s="372" t="str">
        <f>CS_PID!AC758/VLOOKUP($B758,표2[#ALL],2)/HLOOKUP($A758,표1[#ALL],row(),false)</f>
        <v>#N/A</v>
      </c>
      <c r="AD758" s="372" t="str">
        <f>CS_PID!AD758/VLOOKUP($B758,표2[#ALL],2)/HLOOKUP($A758,표1[#ALL],row(),false)</f>
        <v>#N/A</v>
      </c>
      <c r="AE758" s="372" t="str">
        <f>CS_PID!AE758/VLOOKUP($B758,표2[#ALL],2)/HLOOKUP($A758,표1[#ALL],row(),false)</f>
        <v>#N/A</v>
      </c>
      <c r="AF758" s="372" t="str">
        <f>CS_PID!AF758/VLOOKUP($B758,표2[#ALL],2)/HLOOKUP($A758,표1[#ALL],row(),false)</f>
        <v>#N/A</v>
      </c>
      <c r="AG758" s="372" t="str">
        <f>CS_PID!AG758/VLOOKUP($B758,표2[#ALL],2)/HLOOKUP($A758,표1[#ALL],row(),false)</f>
        <v>#N/A</v>
      </c>
      <c r="AH758" s="372" t="str">
        <f>CS_PID!AH758/VLOOKUP($B758,표2[#ALL],2)/HLOOKUP($A758,표1[#ALL],row(),false)</f>
        <v>#N/A</v>
      </c>
      <c r="AI758" s="372" t="str">
        <f>CS_PID!AI758/VLOOKUP($B758,표2[#ALL],2)/HLOOKUP($A758,표1[#ALL],row(),false)</f>
        <v>#N/A</v>
      </c>
      <c r="AJ758" s="372" t="str">
        <f>CS_PID!AJ758/VLOOKUP($B758,표2[#ALL],2)/HLOOKUP($A758,표1[#ALL],row(),false)</f>
        <v>#N/A</v>
      </c>
      <c r="AK758" s="372" t="str">
        <f>CS_PID!AK758/VLOOKUP($B758,표2[#ALL],2)/HLOOKUP($A758,표1[#ALL],row(),false)</f>
        <v>#N/A</v>
      </c>
      <c r="AL758" s="372" t="str">
        <f>CS_PID!AL758/VLOOKUP($B758,표2[#ALL],2)/HLOOKUP($A758,표1[#ALL],row(),false)</f>
        <v>#N/A</v>
      </c>
      <c r="AM758" s="372" t="str">
        <f>CS_PID!AM758/VLOOKUP($B758,표2[#ALL],2)/HLOOKUP($A758,표1[#ALL],row(),false)</f>
        <v>#N/A</v>
      </c>
      <c r="AN758" s="372" t="str">
        <f>CS_PID!AN758/VLOOKUP($B758,표2[#ALL],2)/HLOOKUP($A758,표1[#ALL],row(),false)</f>
        <v>#N/A</v>
      </c>
      <c r="AO758" s="372" t="str">
        <f>CS_PID!AO758/VLOOKUP($B758,표2[#ALL],2)/HLOOKUP($A758,표1[#ALL],row(),false)</f>
        <v>#N/A</v>
      </c>
      <c r="AP758" s="372" t="str">
        <f>CS_PID!AP758/VLOOKUP($B758,표2[#ALL],2)/HLOOKUP($A758,표1[#ALL],row(),false)</f>
        <v>#N/A</v>
      </c>
      <c r="AQ758" s="372" t="str">
        <f>CS_PID!AQ758/VLOOKUP($B758,표2[#ALL],2)/HLOOKUP($A758,표1[#ALL],row(),false)</f>
        <v>#N/A</v>
      </c>
      <c r="AR758" s="372" t="str">
        <f>CS_PID!AR758/VLOOKUP($B758,표2[#ALL],2)/HLOOKUP($A758,표1[#ALL],row(),false)</f>
        <v>#N/A</v>
      </c>
      <c r="AS758" s="373" t="str">
        <f>CS_PID!AS758/VLOOKUP($B758,표2[#ALL],2)/HLOOKUP($A758,표1[#ALL],row(),false)</f>
        <v>#N/A</v>
      </c>
    </row>
    <row r="759">
      <c r="A759" s="374"/>
      <c r="B759" s="375"/>
      <c r="C759" s="376" t="str">
        <f>CS_PID!C759/VLOOKUP($B759,표2[#ALL],2)</f>
        <v>#N/A</v>
      </c>
      <c r="D759" s="376" t="str">
        <f>CS_PID!D759/VLOOKUP($B759,표2[#ALL],2)</f>
        <v>#N/A</v>
      </c>
      <c r="E759" s="376" t="str">
        <f>CS_PID!E759/VLOOKUP($B759,표2[#ALL],2)</f>
        <v>#N/A</v>
      </c>
      <c r="F759" s="376" t="str">
        <f>CS_PID!F759/VLOOKUP($B759,표2[#ALL],2)</f>
        <v>#N/A</v>
      </c>
      <c r="G759" s="376" t="str">
        <f>CS_PID!G759/VLOOKUP($B759,표2[#ALL],2)</f>
        <v>#N/A</v>
      </c>
      <c r="H759" s="376" t="str">
        <f>CS_PID!H759/VLOOKUP($B759,표2[#ALL],2)/HLOOKUP($A759,표1[#ALL],row(),false)</f>
        <v>#N/A</v>
      </c>
      <c r="I759" s="376" t="str">
        <f>CS_PID!I759/VLOOKUP($B759,표2[#ALL],2)/HLOOKUP($A759,표1[#ALL],row(),false)</f>
        <v>#N/A</v>
      </c>
      <c r="J759" s="376" t="str">
        <f>CS_PID!J759/VLOOKUP($B759,표2[#ALL],2)/HLOOKUP($A759,표1[#ALL],row(),false)</f>
        <v>#N/A</v>
      </c>
      <c r="K759" s="376" t="str">
        <f>CS_PID!K759/VLOOKUP($B759,표2[#ALL],2)/HLOOKUP($A759,표1[#ALL],row(),false)</f>
        <v>#N/A</v>
      </c>
      <c r="L759" s="376" t="str">
        <f>CS_PID!L759/VLOOKUP($B759,표2[#ALL],2)/HLOOKUP($A759,표1[#ALL],row(),false)</f>
        <v>#N/A</v>
      </c>
      <c r="M759" s="376" t="str">
        <f>CS_PID!M759/VLOOKUP($B759,표2[#ALL],2)/HLOOKUP($A759,표1[#ALL],row(),false)</f>
        <v>#N/A</v>
      </c>
      <c r="N759" s="376" t="str">
        <f>CS_PID!N759/VLOOKUP($B759,표2[#ALL],2)/HLOOKUP($A759,표1[#ALL],row(),false)</f>
        <v>#N/A</v>
      </c>
      <c r="O759" s="376" t="str">
        <f>CS_PID!O759/VLOOKUP($B759,표2[#ALL],2)/HLOOKUP($A759,표1[#ALL],row(),false)</f>
        <v>#N/A</v>
      </c>
      <c r="P759" s="376" t="str">
        <f>CS_PID!P759/VLOOKUP($B759,표2[#ALL],2)/HLOOKUP($A759,표1[#ALL],row(),false)</f>
        <v>#N/A</v>
      </c>
      <c r="Q759" s="376" t="str">
        <f>CS_PID!Q759/VLOOKUP($B759,표2[#ALL],2)/HLOOKUP($A759,표1[#ALL],row(),false)</f>
        <v>#N/A</v>
      </c>
      <c r="R759" s="376" t="str">
        <f>CS_PID!R759/VLOOKUP($B759,표2[#ALL],2)/HLOOKUP($A759,표1[#ALL],row(),false)</f>
        <v>#N/A</v>
      </c>
      <c r="S759" s="376" t="str">
        <f>CS_PID!S759/VLOOKUP($B759,표2[#ALL],2)/HLOOKUP($A759,표1[#ALL],row(),false)</f>
        <v>#N/A</v>
      </c>
      <c r="T759" s="376" t="str">
        <f>CS_PID!T759/VLOOKUP($B759,표2[#ALL],2)/HLOOKUP($A759,표1[#ALL],row(),false)</f>
        <v>#N/A</v>
      </c>
      <c r="U759" s="376" t="str">
        <f>CS_PID!U759/VLOOKUP($B759,표2[#ALL],2)/HLOOKUP($A759,표1[#ALL],row(),false)</f>
        <v>#N/A</v>
      </c>
      <c r="V759" s="376" t="str">
        <f>CS_PID!V759/VLOOKUP($B759,표2[#ALL],2)/HLOOKUP($A759,표1[#ALL],row(),false)</f>
        <v>#N/A</v>
      </c>
      <c r="W759" s="376" t="str">
        <f>CS_PID!W759/VLOOKUP($B759,표2[#ALL],2)/HLOOKUP($A759,표1[#ALL],row(),false)</f>
        <v>#N/A</v>
      </c>
      <c r="X759" s="376" t="str">
        <f>CS_PID!X759/VLOOKUP($B759,표2[#ALL],2)/HLOOKUP($A759,표1[#ALL],row(),false)</f>
        <v>#N/A</v>
      </c>
      <c r="Y759" s="376" t="str">
        <f>CS_PID!Y759/VLOOKUP($B759,표2[#ALL],2)/HLOOKUP($A759,표1[#ALL],row(),false)</f>
        <v>#N/A</v>
      </c>
      <c r="Z759" s="376" t="str">
        <f>CS_PID!Z759/VLOOKUP($B759,표2[#ALL],2)/HLOOKUP($A759,표1[#ALL],row(),false)</f>
        <v>#N/A</v>
      </c>
      <c r="AA759" s="376" t="str">
        <f>CS_PID!AA759/VLOOKUP($B759,표2[#ALL],2)/HLOOKUP($A759,표1[#ALL],row(),false)</f>
        <v>#N/A</v>
      </c>
      <c r="AB759" s="376" t="str">
        <f>CS_PID!AB759/VLOOKUP($B759,표2[#ALL],2)/HLOOKUP($A759,표1[#ALL],row(),false)</f>
        <v>#N/A</v>
      </c>
      <c r="AC759" s="376" t="str">
        <f>CS_PID!AC759/VLOOKUP($B759,표2[#ALL],2)/HLOOKUP($A759,표1[#ALL],row(),false)</f>
        <v>#N/A</v>
      </c>
      <c r="AD759" s="376" t="str">
        <f>CS_PID!AD759/VLOOKUP($B759,표2[#ALL],2)/HLOOKUP($A759,표1[#ALL],row(),false)</f>
        <v>#N/A</v>
      </c>
      <c r="AE759" s="376" t="str">
        <f>CS_PID!AE759/VLOOKUP($B759,표2[#ALL],2)/HLOOKUP($A759,표1[#ALL],row(),false)</f>
        <v>#N/A</v>
      </c>
      <c r="AF759" s="376" t="str">
        <f>CS_PID!AF759/VLOOKUP($B759,표2[#ALL],2)/HLOOKUP($A759,표1[#ALL],row(),false)</f>
        <v>#N/A</v>
      </c>
      <c r="AG759" s="376" t="str">
        <f>CS_PID!AG759/VLOOKUP($B759,표2[#ALL],2)/HLOOKUP($A759,표1[#ALL],row(),false)</f>
        <v>#N/A</v>
      </c>
      <c r="AH759" s="376" t="str">
        <f>CS_PID!AH759/VLOOKUP($B759,표2[#ALL],2)/HLOOKUP($A759,표1[#ALL],row(),false)</f>
        <v>#N/A</v>
      </c>
      <c r="AI759" s="376" t="str">
        <f>CS_PID!AI759/VLOOKUP($B759,표2[#ALL],2)/HLOOKUP($A759,표1[#ALL],row(),false)</f>
        <v>#N/A</v>
      </c>
      <c r="AJ759" s="376" t="str">
        <f>CS_PID!AJ759/VLOOKUP($B759,표2[#ALL],2)/HLOOKUP($A759,표1[#ALL],row(),false)</f>
        <v>#N/A</v>
      </c>
      <c r="AK759" s="376" t="str">
        <f>CS_PID!AK759/VLOOKUP($B759,표2[#ALL],2)/HLOOKUP($A759,표1[#ALL],row(),false)</f>
        <v>#N/A</v>
      </c>
      <c r="AL759" s="376" t="str">
        <f>CS_PID!AL759/VLOOKUP($B759,표2[#ALL],2)/HLOOKUP($A759,표1[#ALL],row(),false)</f>
        <v>#N/A</v>
      </c>
      <c r="AM759" s="376" t="str">
        <f>CS_PID!AM759/VLOOKUP($B759,표2[#ALL],2)/HLOOKUP($A759,표1[#ALL],row(),false)</f>
        <v>#N/A</v>
      </c>
      <c r="AN759" s="376" t="str">
        <f>CS_PID!AN759/VLOOKUP($B759,표2[#ALL],2)/HLOOKUP($A759,표1[#ALL],row(),false)</f>
        <v>#N/A</v>
      </c>
      <c r="AO759" s="376" t="str">
        <f>CS_PID!AO759/VLOOKUP($B759,표2[#ALL],2)/HLOOKUP($A759,표1[#ALL],row(),false)</f>
        <v>#N/A</v>
      </c>
      <c r="AP759" s="376" t="str">
        <f>CS_PID!AP759/VLOOKUP($B759,표2[#ALL],2)/HLOOKUP($A759,표1[#ALL],row(),false)</f>
        <v>#N/A</v>
      </c>
      <c r="AQ759" s="376" t="str">
        <f>CS_PID!AQ759/VLOOKUP($B759,표2[#ALL],2)/HLOOKUP($A759,표1[#ALL],row(),false)</f>
        <v>#N/A</v>
      </c>
      <c r="AR759" s="376" t="str">
        <f>CS_PID!AR759/VLOOKUP($B759,표2[#ALL],2)/HLOOKUP($A759,표1[#ALL],row(),false)</f>
        <v>#N/A</v>
      </c>
      <c r="AS759" s="377" t="str">
        <f>CS_PID!AS759/VLOOKUP($B759,표2[#ALL],2)/HLOOKUP($A759,표1[#ALL],row(),false)</f>
        <v>#N/A</v>
      </c>
    </row>
    <row r="760">
      <c r="A760" s="370"/>
      <c r="B760" s="371"/>
      <c r="C760" s="372" t="str">
        <f>CS_PID!C760/VLOOKUP($B760,표2[#ALL],2)</f>
        <v>#N/A</v>
      </c>
      <c r="D760" s="372" t="str">
        <f>CS_PID!D760/VLOOKUP($B760,표2[#ALL],2)</f>
        <v>#N/A</v>
      </c>
      <c r="E760" s="372" t="str">
        <f>CS_PID!E760/VLOOKUP($B760,표2[#ALL],2)</f>
        <v>#N/A</v>
      </c>
      <c r="F760" s="372" t="str">
        <f>CS_PID!F760/VLOOKUP($B760,표2[#ALL],2)</f>
        <v>#N/A</v>
      </c>
      <c r="G760" s="372" t="str">
        <f>CS_PID!G760/VLOOKUP($B760,표2[#ALL],2)</f>
        <v>#N/A</v>
      </c>
      <c r="H760" s="372" t="str">
        <f>CS_PID!H760/VLOOKUP($B760,표2[#ALL],2)/HLOOKUP($A760,표1[#ALL],row(),false)</f>
        <v>#N/A</v>
      </c>
      <c r="I760" s="372" t="str">
        <f>CS_PID!I760/VLOOKUP($B760,표2[#ALL],2)/HLOOKUP($A760,표1[#ALL],row(),false)</f>
        <v>#N/A</v>
      </c>
      <c r="J760" s="372" t="str">
        <f>CS_PID!J760/VLOOKUP($B760,표2[#ALL],2)/HLOOKUP($A760,표1[#ALL],row(),false)</f>
        <v>#N/A</v>
      </c>
      <c r="K760" s="372" t="str">
        <f>CS_PID!K760/VLOOKUP($B760,표2[#ALL],2)/HLOOKUP($A760,표1[#ALL],row(),false)</f>
        <v>#N/A</v>
      </c>
      <c r="L760" s="372" t="str">
        <f>CS_PID!L760/VLOOKUP($B760,표2[#ALL],2)/HLOOKUP($A760,표1[#ALL],row(),false)</f>
        <v>#N/A</v>
      </c>
      <c r="M760" s="372" t="str">
        <f>CS_PID!M760/VLOOKUP($B760,표2[#ALL],2)/HLOOKUP($A760,표1[#ALL],row(),false)</f>
        <v>#N/A</v>
      </c>
      <c r="N760" s="372" t="str">
        <f>CS_PID!N760/VLOOKUP($B760,표2[#ALL],2)/HLOOKUP($A760,표1[#ALL],row(),false)</f>
        <v>#N/A</v>
      </c>
      <c r="O760" s="372" t="str">
        <f>CS_PID!O760/VLOOKUP($B760,표2[#ALL],2)/HLOOKUP($A760,표1[#ALL],row(),false)</f>
        <v>#N/A</v>
      </c>
      <c r="P760" s="372" t="str">
        <f>CS_PID!P760/VLOOKUP($B760,표2[#ALL],2)/HLOOKUP($A760,표1[#ALL],row(),false)</f>
        <v>#N/A</v>
      </c>
      <c r="Q760" s="372" t="str">
        <f>CS_PID!Q760/VLOOKUP($B760,표2[#ALL],2)/HLOOKUP($A760,표1[#ALL],row(),false)</f>
        <v>#N/A</v>
      </c>
      <c r="R760" s="372" t="str">
        <f>CS_PID!R760/VLOOKUP($B760,표2[#ALL],2)/HLOOKUP($A760,표1[#ALL],row(),false)</f>
        <v>#N/A</v>
      </c>
      <c r="S760" s="372" t="str">
        <f>CS_PID!S760/VLOOKUP($B760,표2[#ALL],2)/HLOOKUP($A760,표1[#ALL],row(),false)</f>
        <v>#N/A</v>
      </c>
      <c r="T760" s="372" t="str">
        <f>CS_PID!T760/VLOOKUP($B760,표2[#ALL],2)/HLOOKUP($A760,표1[#ALL],row(),false)</f>
        <v>#N/A</v>
      </c>
      <c r="U760" s="372" t="str">
        <f>CS_PID!U760/VLOOKUP($B760,표2[#ALL],2)/HLOOKUP($A760,표1[#ALL],row(),false)</f>
        <v>#N/A</v>
      </c>
      <c r="V760" s="372" t="str">
        <f>CS_PID!V760/VLOOKUP($B760,표2[#ALL],2)/HLOOKUP($A760,표1[#ALL],row(),false)</f>
        <v>#N/A</v>
      </c>
      <c r="W760" s="372" t="str">
        <f>CS_PID!W760/VLOOKUP($B760,표2[#ALL],2)/HLOOKUP($A760,표1[#ALL],row(),false)</f>
        <v>#N/A</v>
      </c>
      <c r="X760" s="372" t="str">
        <f>CS_PID!X760/VLOOKUP($B760,표2[#ALL],2)/HLOOKUP($A760,표1[#ALL],row(),false)</f>
        <v>#N/A</v>
      </c>
      <c r="Y760" s="372" t="str">
        <f>CS_PID!Y760/VLOOKUP($B760,표2[#ALL],2)/HLOOKUP($A760,표1[#ALL],row(),false)</f>
        <v>#N/A</v>
      </c>
      <c r="Z760" s="372" t="str">
        <f>CS_PID!Z760/VLOOKUP($B760,표2[#ALL],2)/HLOOKUP($A760,표1[#ALL],row(),false)</f>
        <v>#N/A</v>
      </c>
      <c r="AA760" s="372" t="str">
        <f>CS_PID!AA760/VLOOKUP($B760,표2[#ALL],2)/HLOOKUP($A760,표1[#ALL],row(),false)</f>
        <v>#N/A</v>
      </c>
      <c r="AB760" s="372" t="str">
        <f>CS_PID!AB760/VLOOKUP($B760,표2[#ALL],2)/HLOOKUP($A760,표1[#ALL],row(),false)</f>
        <v>#N/A</v>
      </c>
      <c r="AC760" s="372" t="str">
        <f>CS_PID!AC760/VLOOKUP($B760,표2[#ALL],2)/HLOOKUP($A760,표1[#ALL],row(),false)</f>
        <v>#N/A</v>
      </c>
      <c r="AD760" s="372" t="str">
        <f>CS_PID!AD760/VLOOKUP($B760,표2[#ALL],2)/HLOOKUP($A760,표1[#ALL],row(),false)</f>
        <v>#N/A</v>
      </c>
      <c r="AE760" s="372" t="str">
        <f>CS_PID!AE760/VLOOKUP($B760,표2[#ALL],2)/HLOOKUP($A760,표1[#ALL],row(),false)</f>
        <v>#N/A</v>
      </c>
      <c r="AF760" s="372" t="str">
        <f>CS_PID!AF760/VLOOKUP($B760,표2[#ALL],2)/HLOOKUP($A760,표1[#ALL],row(),false)</f>
        <v>#N/A</v>
      </c>
      <c r="AG760" s="372" t="str">
        <f>CS_PID!AG760/VLOOKUP($B760,표2[#ALL],2)/HLOOKUP($A760,표1[#ALL],row(),false)</f>
        <v>#N/A</v>
      </c>
      <c r="AH760" s="372" t="str">
        <f>CS_PID!AH760/VLOOKUP($B760,표2[#ALL],2)/HLOOKUP($A760,표1[#ALL],row(),false)</f>
        <v>#N/A</v>
      </c>
      <c r="AI760" s="372" t="str">
        <f>CS_PID!AI760/VLOOKUP($B760,표2[#ALL],2)/HLOOKUP($A760,표1[#ALL],row(),false)</f>
        <v>#N/A</v>
      </c>
      <c r="AJ760" s="372" t="str">
        <f>CS_PID!AJ760/VLOOKUP($B760,표2[#ALL],2)/HLOOKUP($A760,표1[#ALL],row(),false)</f>
        <v>#N/A</v>
      </c>
      <c r="AK760" s="372" t="str">
        <f>CS_PID!AK760/VLOOKUP($B760,표2[#ALL],2)/HLOOKUP($A760,표1[#ALL],row(),false)</f>
        <v>#N/A</v>
      </c>
      <c r="AL760" s="372" t="str">
        <f>CS_PID!AL760/VLOOKUP($B760,표2[#ALL],2)/HLOOKUP($A760,표1[#ALL],row(),false)</f>
        <v>#N/A</v>
      </c>
      <c r="AM760" s="372" t="str">
        <f>CS_PID!AM760/VLOOKUP($B760,표2[#ALL],2)/HLOOKUP($A760,표1[#ALL],row(),false)</f>
        <v>#N/A</v>
      </c>
      <c r="AN760" s="372" t="str">
        <f>CS_PID!AN760/VLOOKUP($B760,표2[#ALL],2)/HLOOKUP($A760,표1[#ALL],row(),false)</f>
        <v>#N/A</v>
      </c>
      <c r="AO760" s="372" t="str">
        <f>CS_PID!AO760/VLOOKUP($B760,표2[#ALL],2)/HLOOKUP($A760,표1[#ALL],row(),false)</f>
        <v>#N/A</v>
      </c>
      <c r="AP760" s="372" t="str">
        <f>CS_PID!AP760/VLOOKUP($B760,표2[#ALL],2)/HLOOKUP($A760,표1[#ALL],row(),false)</f>
        <v>#N/A</v>
      </c>
      <c r="AQ760" s="372" t="str">
        <f>CS_PID!AQ760/VLOOKUP($B760,표2[#ALL],2)/HLOOKUP($A760,표1[#ALL],row(),false)</f>
        <v>#N/A</v>
      </c>
      <c r="AR760" s="372" t="str">
        <f>CS_PID!AR760/VLOOKUP($B760,표2[#ALL],2)/HLOOKUP($A760,표1[#ALL],row(),false)</f>
        <v>#N/A</v>
      </c>
      <c r="AS760" s="373" t="str">
        <f>CS_PID!AS760/VLOOKUP($B760,표2[#ALL],2)/HLOOKUP($A760,표1[#ALL],row(),false)</f>
        <v>#N/A</v>
      </c>
    </row>
    <row r="761">
      <c r="A761" s="374"/>
      <c r="B761" s="375"/>
      <c r="C761" s="376" t="str">
        <f>CS_PID!C761/VLOOKUP($B761,표2[#ALL],2)</f>
        <v>#N/A</v>
      </c>
      <c r="D761" s="376" t="str">
        <f>CS_PID!D761/VLOOKUP($B761,표2[#ALL],2)</f>
        <v>#N/A</v>
      </c>
      <c r="E761" s="376" t="str">
        <f>CS_PID!E761/VLOOKUP($B761,표2[#ALL],2)</f>
        <v>#N/A</v>
      </c>
      <c r="F761" s="376" t="str">
        <f>CS_PID!F761/VLOOKUP($B761,표2[#ALL],2)</f>
        <v>#N/A</v>
      </c>
      <c r="G761" s="376" t="str">
        <f>CS_PID!G761/VLOOKUP($B761,표2[#ALL],2)</f>
        <v>#N/A</v>
      </c>
      <c r="H761" s="376" t="str">
        <f>CS_PID!H761/VLOOKUP($B761,표2[#ALL],2)/HLOOKUP($A761,표1[#ALL],row(),false)</f>
        <v>#N/A</v>
      </c>
      <c r="I761" s="376" t="str">
        <f>CS_PID!I761/VLOOKUP($B761,표2[#ALL],2)/HLOOKUP($A761,표1[#ALL],row(),false)</f>
        <v>#N/A</v>
      </c>
      <c r="J761" s="376" t="str">
        <f>CS_PID!J761/VLOOKUP($B761,표2[#ALL],2)/HLOOKUP($A761,표1[#ALL],row(),false)</f>
        <v>#N/A</v>
      </c>
      <c r="K761" s="376" t="str">
        <f>CS_PID!K761/VLOOKUP($B761,표2[#ALL],2)/HLOOKUP($A761,표1[#ALL],row(),false)</f>
        <v>#N/A</v>
      </c>
      <c r="L761" s="376" t="str">
        <f>CS_PID!L761/VLOOKUP($B761,표2[#ALL],2)/HLOOKUP($A761,표1[#ALL],row(),false)</f>
        <v>#N/A</v>
      </c>
      <c r="M761" s="376" t="str">
        <f>CS_PID!M761/VLOOKUP($B761,표2[#ALL],2)/HLOOKUP($A761,표1[#ALL],row(),false)</f>
        <v>#N/A</v>
      </c>
      <c r="N761" s="376" t="str">
        <f>CS_PID!N761/VLOOKUP($B761,표2[#ALL],2)/HLOOKUP($A761,표1[#ALL],row(),false)</f>
        <v>#N/A</v>
      </c>
      <c r="O761" s="376" t="str">
        <f>CS_PID!O761/VLOOKUP($B761,표2[#ALL],2)/HLOOKUP($A761,표1[#ALL],row(),false)</f>
        <v>#N/A</v>
      </c>
      <c r="P761" s="376" t="str">
        <f>CS_PID!P761/VLOOKUP($B761,표2[#ALL],2)/HLOOKUP($A761,표1[#ALL],row(),false)</f>
        <v>#N/A</v>
      </c>
      <c r="Q761" s="376" t="str">
        <f>CS_PID!Q761/VLOOKUP($B761,표2[#ALL],2)/HLOOKUP($A761,표1[#ALL],row(),false)</f>
        <v>#N/A</v>
      </c>
      <c r="R761" s="376" t="str">
        <f>CS_PID!R761/VLOOKUP($B761,표2[#ALL],2)/HLOOKUP($A761,표1[#ALL],row(),false)</f>
        <v>#N/A</v>
      </c>
      <c r="S761" s="376" t="str">
        <f>CS_PID!S761/VLOOKUP($B761,표2[#ALL],2)/HLOOKUP($A761,표1[#ALL],row(),false)</f>
        <v>#N/A</v>
      </c>
      <c r="T761" s="376" t="str">
        <f>CS_PID!T761/VLOOKUP($B761,표2[#ALL],2)/HLOOKUP($A761,표1[#ALL],row(),false)</f>
        <v>#N/A</v>
      </c>
      <c r="U761" s="376" t="str">
        <f>CS_PID!U761/VLOOKUP($B761,표2[#ALL],2)/HLOOKUP($A761,표1[#ALL],row(),false)</f>
        <v>#N/A</v>
      </c>
      <c r="V761" s="376" t="str">
        <f>CS_PID!V761/VLOOKUP($B761,표2[#ALL],2)/HLOOKUP($A761,표1[#ALL],row(),false)</f>
        <v>#N/A</v>
      </c>
      <c r="W761" s="376" t="str">
        <f>CS_PID!W761/VLOOKUP($B761,표2[#ALL],2)/HLOOKUP($A761,표1[#ALL],row(),false)</f>
        <v>#N/A</v>
      </c>
      <c r="X761" s="376" t="str">
        <f>CS_PID!X761/VLOOKUP($B761,표2[#ALL],2)/HLOOKUP($A761,표1[#ALL],row(),false)</f>
        <v>#N/A</v>
      </c>
      <c r="Y761" s="376" t="str">
        <f>CS_PID!Y761/VLOOKUP($B761,표2[#ALL],2)/HLOOKUP($A761,표1[#ALL],row(),false)</f>
        <v>#N/A</v>
      </c>
      <c r="Z761" s="376" t="str">
        <f>CS_PID!Z761/VLOOKUP($B761,표2[#ALL],2)/HLOOKUP($A761,표1[#ALL],row(),false)</f>
        <v>#N/A</v>
      </c>
      <c r="AA761" s="376" t="str">
        <f>CS_PID!AA761/VLOOKUP($B761,표2[#ALL],2)/HLOOKUP($A761,표1[#ALL],row(),false)</f>
        <v>#N/A</v>
      </c>
      <c r="AB761" s="376" t="str">
        <f>CS_PID!AB761/VLOOKUP($B761,표2[#ALL],2)/HLOOKUP($A761,표1[#ALL],row(),false)</f>
        <v>#N/A</v>
      </c>
      <c r="AC761" s="376" t="str">
        <f>CS_PID!AC761/VLOOKUP($B761,표2[#ALL],2)/HLOOKUP($A761,표1[#ALL],row(),false)</f>
        <v>#N/A</v>
      </c>
      <c r="AD761" s="376" t="str">
        <f>CS_PID!AD761/VLOOKUP($B761,표2[#ALL],2)/HLOOKUP($A761,표1[#ALL],row(),false)</f>
        <v>#N/A</v>
      </c>
      <c r="AE761" s="376" t="str">
        <f>CS_PID!AE761/VLOOKUP($B761,표2[#ALL],2)/HLOOKUP($A761,표1[#ALL],row(),false)</f>
        <v>#N/A</v>
      </c>
      <c r="AF761" s="376" t="str">
        <f>CS_PID!AF761/VLOOKUP($B761,표2[#ALL],2)/HLOOKUP($A761,표1[#ALL],row(),false)</f>
        <v>#N/A</v>
      </c>
      <c r="AG761" s="376" t="str">
        <f>CS_PID!AG761/VLOOKUP($B761,표2[#ALL],2)/HLOOKUP($A761,표1[#ALL],row(),false)</f>
        <v>#N/A</v>
      </c>
      <c r="AH761" s="376" t="str">
        <f>CS_PID!AH761/VLOOKUP($B761,표2[#ALL],2)/HLOOKUP($A761,표1[#ALL],row(),false)</f>
        <v>#N/A</v>
      </c>
      <c r="AI761" s="376" t="str">
        <f>CS_PID!AI761/VLOOKUP($B761,표2[#ALL],2)/HLOOKUP($A761,표1[#ALL],row(),false)</f>
        <v>#N/A</v>
      </c>
      <c r="AJ761" s="376" t="str">
        <f>CS_PID!AJ761/VLOOKUP($B761,표2[#ALL],2)/HLOOKUP($A761,표1[#ALL],row(),false)</f>
        <v>#N/A</v>
      </c>
      <c r="AK761" s="376" t="str">
        <f>CS_PID!AK761/VLOOKUP($B761,표2[#ALL],2)/HLOOKUP($A761,표1[#ALL],row(),false)</f>
        <v>#N/A</v>
      </c>
      <c r="AL761" s="376" t="str">
        <f>CS_PID!AL761/VLOOKUP($B761,표2[#ALL],2)/HLOOKUP($A761,표1[#ALL],row(),false)</f>
        <v>#N/A</v>
      </c>
      <c r="AM761" s="376" t="str">
        <f>CS_PID!AM761/VLOOKUP($B761,표2[#ALL],2)/HLOOKUP($A761,표1[#ALL],row(),false)</f>
        <v>#N/A</v>
      </c>
      <c r="AN761" s="376" t="str">
        <f>CS_PID!AN761/VLOOKUP($B761,표2[#ALL],2)/HLOOKUP($A761,표1[#ALL],row(),false)</f>
        <v>#N/A</v>
      </c>
      <c r="AO761" s="376" t="str">
        <f>CS_PID!AO761/VLOOKUP($B761,표2[#ALL],2)/HLOOKUP($A761,표1[#ALL],row(),false)</f>
        <v>#N/A</v>
      </c>
      <c r="AP761" s="376" t="str">
        <f>CS_PID!AP761/VLOOKUP($B761,표2[#ALL],2)/HLOOKUP($A761,표1[#ALL],row(),false)</f>
        <v>#N/A</v>
      </c>
      <c r="AQ761" s="376" t="str">
        <f>CS_PID!AQ761/VLOOKUP($B761,표2[#ALL],2)/HLOOKUP($A761,표1[#ALL],row(),false)</f>
        <v>#N/A</v>
      </c>
      <c r="AR761" s="376" t="str">
        <f>CS_PID!AR761/VLOOKUP($B761,표2[#ALL],2)/HLOOKUP($A761,표1[#ALL],row(),false)</f>
        <v>#N/A</v>
      </c>
      <c r="AS761" s="377" t="str">
        <f>CS_PID!AS761/VLOOKUP($B761,표2[#ALL],2)/HLOOKUP($A761,표1[#ALL],row(),false)</f>
        <v>#N/A</v>
      </c>
    </row>
    <row r="762">
      <c r="A762" s="370"/>
      <c r="B762" s="371"/>
      <c r="C762" s="372" t="str">
        <f>CS_PID!C762/VLOOKUP($B762,표2[#ALL],2)</f>
        <v>#N/A</v>
      </c>
      <c r="D762" s="372" t="str">
        <f>CS_PID!D762/VLOOKUP($B762,표2[#ALL],2)</f>
        <v>#N/A</v>
      </c>
      <c r="E762" s="372" t="str">
        <f>CS_PID!E762/VLOOKUP($B762,표2[#ALL],2)</f>
        <v>#N/A</v>
      </c>
      <c r="F762" s="372" t="str">
        <f>CS_PID!F762/VLOOKUP($B762,표2[#ALL],2)</f>
        <v>#N/A</v>
      </c>
      <c r="G762" s="372" t="str">
        <f>CS_PID!G762/VLOOKUP($B762,표2[#ALL],2)</f>
        <v>#N/A</v>
      </c>
      <c r="H762" s="372" t="str">
        <f>CS_PID!H762/VLOOKUP($B762,표2[#ALL],2)/HLOOKUP($A762,표1[#ALL],row(),false)</f>
        <v>#N/A</v>
      </c>
      <c r="I762" s="372" t="str">
        <f>CS_PID!I762/VLOOKUP($B762,표2[#ALL],2)/HLOOKUP($A762,표1[#ALL],row(),false)</f>
        <v>#N/A</v>
      </c>
      <c r="J762" s="372" t="str">
        <f>CS_PID!J762/VLOOKUP($B762,표2[#ALL],2)/HLOOKUP($A762,표1[#ALL],row(),false)</f>
        <v>#N/A</v>
      </c>
      <c r="K762" s="372" t="str">
        <f>CS_PID!K762/VLOOKUP($B762,표2[#ALL],2)/HLOOKUP($A762,표1[#ALL],row(),false)</f>
        <v>#N/A</v>
      </c>
      <c r="L762" s="372" t="str">
        <f>CS_PID!L762/VLOOKUP($B762,표2[#ALL],2)/HLOOKUP($A762,표1[#ALL],row(),false)</f>
        <v>#N/A</v>
      </c>
      <c r="M762" s="372" t="str">
        <f>CS_PID!M762/VLOOKUP($B762,표2[#ALL],2)/HLOOKUP($A762,표1[#ALL],row(),false)</f>
        <v>#N/A</v>
      </c>
      <c r="N762" s="372" t="str">
        <f>CS_PID!N762/VLOOKUP($B762,표2[#ALL],2)/HLOOKUP($A762,표1[#ALL],row(),false)</f>
        <v>#N/A</v>
      </c>
      <c r="O762" s="372" t="str">
        <f>CS_PID!O762/VLOOKUP($B762,표2[#ALL],2)/HLOOKUP($A762,표1[#ALL],row(),false)</f>
        <v>#N/A</v>
      </c>
      <c r="P762" s="372" t="str">
        <f>CS_PID!P762/VLOOKUP($B762,표2[#ALL],2)/HLOOKUP($A762,표1[#ALL],row(),false)</f>
        <v>#N/A</v>
      </c>
      <c r="Q762" s="372" t="str">
        <f>CS_PID!Q762/VLOOKUP($B762,표2[#ALL],2)/HLOOKUP($A762,표1[#ALL],row(),false)</f>
        <v>#N/A</v>
      </c>
      <c r="R762" s="372" t="str">
        <f>CS_PID!R762/VLOOKUP($B762,표2[#ALL],2)/HLOOKUP($A762,표1[#ALL],row(),false)</f>
        <v>#N/A</v>
      </c>
      <c r="S762" s="372" t="str">
        <f>CS_PID!S762/VLOOKUP($B762,표2[#ALL],2)/HLOOKUP($A762,표1[#ALL],row(),false)</f>
        <v>#N/A</v>
      </c>
      <c r="T762" s="372" t="str">
        <f>CS_PID!T762/VLOOKUP($B762,표2[#ALL],2)/HLOOKUP($A762,표1[#ALL],row(),false)</f>
        <v>#N/A</v>
      </c>
      <c r="U762" s="372" t="str">
        <f>CS_PID!U762/VLOOKUP($B762,표2[#ALL],2)/HLOOKUP($A762,표1[#ALL],row(),false)</f>
        <v>#N/A</v>
      </c>
      <c r="V762" s="372" t="str">
        <f>CS_PID!V762/VLOOKUP($B762,표2[#ALL],2)/HLOOKUP($A762,표1[#ALL],row(),false)</f>
        <v>#N/A</v>
      </c>
      <c r="W762" s="372" t="str">
        <f>CS_PID!W762/VLOOKUP($B762,표2[#ALL],2)/HLOOKUP($A762,표1[#ALL],row(),false)</f>
        <v>#N/A</v>
      </c>
      <c r="X762" s="372" t="str">
        <f>CS_PID!X762/VLOOKUP($B762,표2[#ALL],2)/HLOOKUP($A762,표1[#ALL],row(),false)</f>
        <v>#N/A</v>
      </c>
      <c r="Y762" s="372" t="str">
        <f>CS_PID!Y762/VLOOKUP($B762,표2[#ALL],2)/HLOOKUP($A762,표1[#ALL],row(),false)</f>
        <v>#N/A</v>
      </c>
      <c r="Z762" s="372" t="str">
        <f>CS_PID!Z762/VLOOKUP($B762,표2[#ALL],2)/HLOOKUP($A762,표1[#ALL],row(),false)</f>
        <v>#N/A</v>
      </c>
      <c r="AA762" s="372" t="str">
        <f>CS_PID!AA762/VLOOKUP($B762,표2[#ALL],2)/HLOOKUP($A762,표1[#ALL],row(),false)</f>
        <v>#N/A</v>
      </c>
      <c r="AB762" s="372" t="str">
        <f>CS_PID!AB762/VLOOKUP($B762,표2[#ALL],2)/HLOOKUP($A762,표1[#ALL],row(),false)</f>
        <v>#N/A</v>
      </c>
      <c r="AC762" s="372" t="str">
        <f>CS_PID!AC762/VLOOKUP($B762,표2[#ALL],2)/HLOOKUP($A762,표1[#ALL],row(),false)</f>
        <v>#N/A</v>
      </c>
      <c r="AD762" s="372" t="str">
        <f>CS_PID!AD762/VLOOKUP($B762,표2[#ALL],2)/HLOOKUP($A762,표1[#ALL],row(),false)</f>
        <v>#N/A</v>
      </c>
      <c r="AE762" s="372" t="str">
        <f>CS_PID!AE762/VLOOKUP($B762,표2[#ALL],2)/HLOOKUP($A762,표1[#ALL],row(),false)</f>
        <v>#N/A</v>
      </c>
      <c r="AF762" s="372" t="str">
        <f>CS_PID!AF762/VLOOKUP($B762,표2[#ALL],2)/HLOOKUP($A762,표1[#ALL],row(),false)</f>
        <v>#N/A</v>
      </c>
      <c r="AG762" s="372" t="str">
        <f>CS_PID!AG762/VLOOKUP($B762,표2[#ALL],2)/HLOOKUP($A762,표1[#ALL],row(),false)</f>
        <v>#N/A</v>
      </c>
      <c r="AH762" s="372" t="str">
        <f>CS_PID!AH762/VLOOKUP($B762,표2[#ALL],2)/HLOOKUP($A762,표1[#ALL],row(),false)</f>
        <v>#N/A</v>
      </c>
      <c r="AI762" s="372" t="str">
        <f>CS_PID!AI762/VLOOKUP($B762,표2[#ALL],2)/HLOOKUP($A762,표1[#ALL],row(),false)</f>
        <v>#N/A</v>
      </c>
      <c r="AJ762" s="372" t="str">
        <f>CS_PID!AJ762/VLOOKUP($B762,표2[#ALL],2)/HLOOKUP($A762,표1[#ALL],row(),false)</f>
        <v>#N/A</v>
      </c>
      <c r="AK762" s="372" t="str">
        <f>CS_PID!AK762/VLOOKUP($B762,표2[#ALL],2)/HLOOKUP($A762,표1[#ALL],row(),false)</f>
        <v>#N/A</v>
      </c>
      <c r="AL762" s="372" t="str">
        <f>CS_PID!AL762/VLOOKUP($B762,표2[#ALL],2)/HLOOKUP($A762,표1[#ALL],row(),false)</f>
        <v>#N/A</v>
      </c>
      <c r="AM762" s="372" t="str">
        <f>CS_PID!AM762/VLOOKUP($B762,표2[#ALL],2)/HLOOKUP($A762,표1[#ALL],row(),false)</f>
        <v>#N/A</v>
      </c>
      <c r="AN762" s="372" t="str">
        <f>CS_PID!AN762/VLOOKUP($B762,표2[#ALL],2)/HLOOKUP($A762,표1[#ALL],row(),false)</f>
        <v>#N/A</v>
      </c>
      <c r="AO762" s="372" t="str">
        <f>CS_PID!AO762/VLOOKUP($B762,표2[#ALL],2)/HLOOKUP($A762,표1[#ALL],row(),false)</f>
        <v>#N/A</v>
      </c>
      <c r="AP762" s="372" t="str">
        <f>CS_PID!AP762/VLOOKUP($B762,표2[#ALL],2)/HLOOKUP($A762,표1[#ALL],row(),false)</f>
        <v>#N/A</v>
      </c>
      <c r="AQ762" s="372" t="str">
        <f>CS_PID!AQ762/VLOOKUP($B762,표2[#ALL],2)/HLOOKUP($A762,표1[#ALL],row(),false)</f>
        <v>#N/A</v>
      </c>
      <c r="AR762" s="372" t="str">
        <f>CS_PID!AR762/VLOOKUP($B762,표2[#ALL],2)/HLOOKUP($A762,표1[#ALL],row(),false)</f>
        <v>#N/A</v>
      </c>
      <c r="AS762" s="373" t="str">
        <f>CS_PID!AS762/VLOOKUP($B762,표2[#ALL],2)/HLOOKUP($A762,표1[#ALL],row(),false)</f>
        <v>#N/A</v>
      </c>
    </row>
    <row r="763">
      <c r="A763" s="374"/>
      <c r="B763" s="375"/>
      <c r="C763" s="376" t="str">
        <f>CS_PID!C763/VLOOKUP($B763,표2[#ALL],2)</f>
        <v>#N/A</v>
      </c>
      <c r="D763" s="376" t="str">
        <f>CS_PID!D763/VLOOKUP($B763,표2[#ALL],2)</f>
        <v>#N/A</v>
      </c>
      <c r="E763" s="376" t="str">
        <f>CS_PID!E763/VLOOKUP($B763,표2[#ALL],2)</f>
        <v>#N/A</v>
      </c>
      <c r="F763" s="376" t="str">
        <f>CS_PID!F763/VLOOKUP($B763,표2[#ALL],2)</f>
        <v>#N/A</v>
      </c>
      <c r="G763" s="376" t="str">
        <f>CS_PID!G763/VLOOKUP($B763,표2[#ALL],2)</f>
        <v>#N/A</v>
      </c>
      <c r="H763" s="376" t="str">
        <f>CS_PID!H763/VLOOKUP($B763,표2[#ALL],2)/HLOOKUP($A763,표1[#ALL],row(),false)</f>
        <v>#N/A</v>
      </c>
      <c r="I763" s="376" t="str">
        <f>CS_PID!I763/VLOOKUP($B763,표2[#ALL],2)/HLOOKUP($A763,표1[#ALL],row(),false)</f>
        <v>#N/A</v>
      </c>
      <c r="J763" s="376" t="str">
        <f>CS_PID!J763/VLOOKUP($B763,표2[#ALL],2)/HLOOKUP($A763,표1[#ALL],row(),false)</f>
        <v>#N/A</v>
      </c>
      <c r="K763" s="376" t="str">
        <f>CS_PID!K763/VLOOKUP($B763,표2[#ALL],2)/HLOOKUP($A763,표1[#ALL],row(),false)</f>
        <v>#N/A</v>
      </c>
      <c r="L763" s="376" t="str">
        <f>CS_PID!L763/VLOOKUP($B763,표2[#ALL],2)/HLOOKUP($A763,표1[#ALL],row(),false)</f>
        <v>#N/A</v>
      </c>
      <c r="M763" s="376" t="str">
        <f>CS_PID!M763/VLOOKUP($B763,표2[#ALL],2)/HLOOKUP($A763,표1[#ALL],row(),false)</f>
        <v>#N/A</v>
      </c>
      <c r="N763" s="376" t="str">
        <f>CS_PID!N763/VLOOKUP($B763,표2[#ALL],2)/HLOOKUP($A763,표1[#ALL],row(),false)</f>
        <v>#N/A</v>
      </c>
      <c r="O763" s="376" t="str">
        <f>CS_PID!O763/VLOOKUP($B763,표2[#ALL],2)/HLOOKUP($A763,표1[#ALL],row(),false)</f>
        <v>#N/A</v>
      </c>
      <c r="P763" s="376" t="str">
        <f>CS_PID!P763/VLOOKUP($B763,표2[#ALL],2)/HLOOKUP($A763,표1[#ALL],row(),false)</f>
        <v>#N/A</v>
      </c>
      <c r="Q763" s="376" t="str">
        <f>CS_PID!Q763/VLOOKUP($B763,표2[#ALL],2)/HLOOKUP($A763,표1[#ALL],row(),false)</f>
        <v>#N/A</v>
      </c>
      <c r="R763" s="376" t="str">
        <f>CS_PID!R763/VLOOKUP($B763,표2[#ALL],2)/HLOOKUP($A763,표1[#ALL],row(),false)</f>
        <v>#N/A</v>
      </c>
      <c r="S763" s="376" t="str">
        <f>CS_PID!S763/VLOOKUP($B763,표2[#ALL],2)/HLOOKUP($A763,표1[#ALL],row(),false)</f>
        <v>#N/A</v>
      </c>
      <c r="T763" s="376" t="str">
        <f>CS_PID!T763/VLOOKUP($B763,표2[#ALL],2)/HLOOKUP($A763,표1[#ALL],row(),false)</f>
        <v>#N/A</v>
      </c>
      <c r="U763" s="376" t="str">
        <f>CS_PID!U763/VLOOKUP($B763,표2[#ALL],2)/HLOOKUP($A763,표1[#ALL],row(),false)</f>
        <v>#N/A</v>
      </c>
      <c r="V763" s="376" t="str">
        <f>CS_PID!V763/VLOOKUP($B763,표2[#ALL],2)/HLOOKUP($A763,표1[#ALL],row(),false)</f>
        <v>#N/A</v>
      </c>
      <c r="W763" s="376" t="str">
        <f>CS_PID!W763/VLOOKUP($B763,표2[#ALL],2)/HLOOKUP($A763,표1[#ALL],row(),false)</f>
        <v>#N/A</v>
      </c>
      <c r="X763" s="376" t="str">
        <f>CS_PID!X763/VLOOKUP($B763,표2[#ALL],2)/HLOOKUP($A763,표1[#ALL],row(),false)</f>
        <v>#N/A</v>
      </c>
      <c r="Y763" s="376" t="str">
        <f>CS_PID!Y763/VLOOKUP($B763,표2[#ALL],2)/HLOOKUP($A763,표1[#ALL],row(),false)</f>
        <v>#N/A</v>
      </c>
      <c r="Z763" s="376" t="str">
        <f>CS_PID!Z763/VLOOKUP($B763,표2[#ALL],2)/HLOOKUP($A763,표1[#ALL],row(),false)</f>
        <v>#N/A</v>
      </c>
      <c r="AA763" s="376" t="str">
        <f>CS_PID!AA763/VLOOKUP($B763,표2[#ALL],2)/HLOOKUP($A763,표1[#ALL],row(),false)</f>
        <v>#N/A</v>
      </c>
      <c r="AB763" s="376" t="str">
        <f>CS_PID!AB763/VLOOKUP($B763,표2[#ALL],2)/HLOOKUP($A763,표1[#ALL],row(),false)</f>
        <v>#N/A</v>
      </c>
      <c r="AC763" s="376" t="str">
        <f>CS_PID!AC763/VLOOKUP($B763,표2[#ALL],2)/HLOOKUP($A763,표1[#ALL],row(),false)</f>
        <v>#N/A</v>
      </c>
      <c r="AD763" s="376" t="str">
        <f>CS_PID!AD763/VLOOKUP($B763,표2[#ALL],2)/HLOOKUP($A763,표1[#ALL],row(),false)</f>
        <v>#N/A</v>
      </c>
      <c r="AE763" s="376" t="str">
        <f>CS_PID!AE763/VLOOKUP($B763,표2[#ALL],2)/HLOOKUP($A763,표1[#ALL],row(),false)</f>
        <v>#N/A</v>
      </c>
      <c r="AF763" s="376" t="str">
        <f>CS_PID!AF763/VLOOKUP($B763,표2[#ALL],2)/HLOOKUP($A763,표1[#ALL],row(),false)</f>
        <v>#N/A</v>
      </c>
      <c r="AG763" s="376" t="str">
        <f>CS_PID!AG763/VLOOKUP($B763,표2[#ALL],2)/HLOOKUP($A763,표1[#ALL],row(),false)</f>
        <v>#N/A</v>
      </c>
      <c r="AH763" s="376" t="str">
        <f>CS_PID!AH763/VLOOKUP($B763,표2[#ALL],2)/HLOOKUP($A763,표1[#ALL],row(),false)</f>
        <v>#N/A</v>
      </c>
      <c r="AI763" s="376" t="str">
        <f>CS_PID!AI763/VLOOKUP($B763,표2[#ALL],2)/HLOOKUP($A763,표1[#ALL],row(),false)</f>
        <v>#N/A</v>
      </c>
      <c r="AJ763" s="376" t="str">
        <f>CS_PID!AJ763/VLOOKUP($B763,표2[#ALL],2)/HLOOKUP($A763,표1[#ALL],row(),false)</f>
        <v>#N/A</v>
      </c>
      <c r="AK763" s="376" t="str">
        <f>CS_PID!AK763/VLOOKUP($B763,표2[#ALL],2)/HLOOKUP($A763,표1[#ALL],row(),false)</f>
        <v>#N/A</v>
      </c>
      <c r="AL763" s="376" t="str">
        <f>CS_PID!AL763/VLOOKUP($B763,표2[#ALL],2)/HLOOKUP($A763,표1[#ALL],row(),false)</f>
        <v>#N/A</v>
      </c>
      <c r="AM763" s="376" t="str">
        <f>CS_PID!AM763/VLOOKUP($B763,표2[#ALL],2)/HLOOKUP($A763,표1[#ALL],row(),false)</f>
        <v>#N/A</v>
      </c>
      <c r="AN763" s="376" t="str">
        <f>CS_PID!AN763/VLOOKUP($B763,표2[#ALL],2)/HLOOKUP($A763,표1[#ALL],row(),false)</f>
        <v>#N/A</v>
      </c>
      <c r="AO763" s="376" t="str">
        <f>CS_PID!AO763/VLOOKUP($B763,표2[#ALL],2)/HLOOKUP($A763,표1[#ALL],row(),false)</f>
        <v>#N/A</v>
      </c>
      <c r="AP763" s="376" t="str">
        <f>CS_PID!AP763/VLOOKUP($B763,표2[#ALL],2)/HLOOKUP($A763,표1[#ALL],row(),false)</f>
        <v>#N/A</v>
      </c>
      <c r="AQ763" s="376" t="str">
        <f>CS_PID!AQ763/VLOOKUP($B763,표2[#ALL],2)/HLOOKUP($A763,표1[#ALL],row(),false)</f>
        <v>#N/A</v>
      </c>
      <c r="AR763" s="376" t="str">
        <f>CS_PID!AR763/VLOOKUP($B763,표2[#ALL],2)/HLOOKUP($A763,표1[#ALL],row(),false)</f>
        <v>#N/A</v>
      </c>
      <c r="AS763" s="377" t="str">
        <f>CS_PID!AS763/VLOOKUP($B763,표2[#ALL],2)/HLOOKUP($A763,표1[#ALL],row(),false)</f>
        <v>#N/A</v>
      </c>
    </row>
    <row r="764">
      <c r="A764" s="370"/>
      <c r="B764" s="371"/>
      <c r="C764" s="372" t="str">
        <f>CS_PID!C764/VLOOKUP($B764,표2[#ALL],2)</f>
        <v>#N/A</v>
      </c>
      <c r="D764" s="372" t="str">
        <f>CS_PID!D764/VLOOKUP($B764,표2[#ALL],2)</f>
        <v>#N/A</v>
      </c>
      <c r="E764" s="372" t="str">
        <f>CS_PID!E764/VLOOKUP($B764,표2[#ALL],2)</f>
        <v>#N/A</v>
      </c>
      <c r="F764" s="372" t="str">
        <f>CS_PID!F764/VLOOKUP($B764,표2[#ALL],2)</f>
        <v>#N/A</v>
      </c>
      <c r="G764" s="372" t="str">
        <f>CS_PID!G764/VLOOKUP($B764,표2[#ALL],2)</f>
        <v>#N/A</v>
      </c>
      <c r="H764" s="372" t="str">
        <f>CS_PID!H764/VLOOKUP($B764,표2[#ALL],2)/HLOOKUP($A764,표1[#ALL],row(),false)</f>
        <v>#N/A</v>
      </c>
      <c r="I764" s="372" t="str">
        <f>CS_PID!I764/VLOOKUP($B764,표2[#ALL],2)/HLOOKUP($A764,표1[#ALL],row(),false)</f>
        <v>#N/A</v>
      </c>
      <c r="J764" s="372" t="str">
        <f>CS_PID!J764/VLOOKUP($B764,표2[#ALL],2)/HLOOKUP($A764,표1[#ALL],row(),false)</f>
        <v>#N/A</v>
      </c>
      <c r="K764" s="372" t="str">
        <f>CS_PID!K764/VLOOKUP($B764,표2[#ALL],2)/HLOOKUP($A764,표1[#ALL],row(),false)</f>
        <v>#N/A</v>
      </c>
      <c r="L764" s="372" t="str">
        <f>CS_PID!L764/VLOOKUP($B764,표2[#ALL],2)/HLOOKUP($A764,표1[#ALL],row(),false)</f>
        <v>#N/A</v>
      </c>
      <c r="M764" s="372" t="str">
        <f>CS_PID!M764/VLOOKUP($B764,표2[#ALL],2)/HLOOKUP($A764,표1[#ALL],row(),false)</f>
        <v>#N/A</v>
      </c>
      <c r="N764" s="372" t="str">
        <f>CS_PID!N764/VLOOKUP($B764,표2[#ALL],2)/HLOOKUP($A764,표1[#ALL],row(),false)</f>
        <v>#N/A</v>
      </c>
      <c r="O764" s="372" t="str">
        <f>CS_PID!O764/VLOOKUP($B764,표2[#ALL],2)/HLOOKUP($A764,표1[#ALL],row(),false)</f>
        <v>#N/A</v>
      </c>
      <c r="P764" s="372" t="str">
        <f>CS_PID!P764/VLOOKUP($B764,표2[#ALL],2)/HLOOKUP($A764,표1[#ALL],row(),false)</f>
        <v>#N/A</v>
      </c>
      <c r="Q764" s="372" t="str">
        <f>CS_PID!Q764/VLOOKUP($B764,표2[#ALL],2)/HLOOKUP($A764,표1[#ALL],row(),false)</f>
        <v>#N/A</v>
      </c>
      <c r="R764" s="372" t="str">
        <f>CS_PID!R764/VLOOKUP($B764,표2[#ALL],2)/HLOOKUP($A764,표1[#ALL],row(),false)</f>
        <v>#N/A</v>
      </c>
      <c r="S764" s="372" t="str">
        <f>CS_PID!S764/VLOOKUP($B764,표2[#ALL],2)/HLOOKUP($A764,표1[#ALL],row(),false)</f>
        <v>#N/A</v>
      </c>
      <c r="T764" s="372" t="str">
        <f>CS_PID!T764/VLOOKUP($B764,표2[#ALL],2)/HLOOKUP($A764,표1[#ALL],row(),false)</f>
        <v>#N/A</v>
      </c>
      <c r="U764" s="372" t="str">
        <f>CS_PID!U764/VLOOKUP($B764,표2[#ALL],2)/HLOOKUP($A764,표1[#ALL],row(),false)</f>
        <v>#N/A</v>
      </c>
      <c r="V764" s="372" t="str">
        <f>CS_PID!V764/VLOOKUP($B764,표2[#ALL],2)/HLOOKUP($A764,표1[#ALL],row(),false)</f>
        <v>#N/A</v>
      </c>
      <c r="W764" s="372" t="str">
        <f>CS_PID!W764/VLOOKUP($B764,표2[#ALL],2)/HLOOKUP($A764,표1[#ALL],row(),false)</f>
        <v>#N/A</v>
      </c>
      <c r="X764" s="372" t="str">
        <f>CS_PID!X764/VLOOKUP($B764,표2[#ALL],2)/HLOOKUP($A764,표1[#ALL],row(),false)</f>
        <v>#N/A</v>
      </c>
      <c r="Y764" s="372" t="str">
        <f>CS_PID!Y764/VLOOKUP($B764,표2[#ALL],2)/HLOOKUP($A764,표1[#ALL],row(),false)</f>
        <v>#N/A</v>
      </c>
      <c r="Z764" s="372" t="str">
        <f>CS_PID!Z764/VLOOKUP($B764,표2[#ALL],2)/HLOOKUP($A764,표1[#ALL],row(),false)</f>
        <v>#N/A</v>
      </c>
      <c r="AA764" s="372" t="str">
        <f>CS_PID!AA764/VLOOKUP($B764,표2[#ALL],2)/HLOOKUP($A764,표1[#ALL],row(),false)</f>
        <v>#N/A</v>
      </c>
      <c r="AB764" s="372" t="str">
        <f>CS_PID!AB764/VLOOKUP($B764,표2[#ALL],2)/HLOOKUP($A764,표1[#ALL],row(),false)</f>
        <v>#N/A</v>
      </c>
      <c r="AC764" s="372" t="str">
        <f>CS_PID!AC764/VLOOKUP($B764,표2[#ALL],2)/HLOOKUP($A764,표1[#ALL],row(),false)</f>
        <v>#N/A</v>
      </c>
      <c r="AD764" s="372" t="str">
        <f>CS_PID!AD764/VLOOKUP($B764,표2[#ALL],2)/HLOOKUP($A764,표1[#ALL],row(),false)</f>
        <v>#N/A</v>
      </c>
      <c r="AE764" s="372" t="str">
        <f>CS_PID!AE764/VLOOKUP($B764,표2[#ALL],2)/HLOOKUP($A764,표1[#ALL],row(),false)</f>
        <v>#N/A</v>
      </c>
      <c r="AF764" s="372" t="str">
        <f>CS_PID!AF764/VLOOKUP($B764,표2[#ALL],2)/HLOOKUP($A764,표1[#ALL],row(),false)</f>
        <v>#N/A</v>
      </c>
      <c r="AG764" s="372" t="str">
        <f>CS_PID!AG764/VLOOKUP($B764,표2[#ALL],2)/HLOOKUP($A764,표1[#ALL],row(),false)</f>
        <v>#N/A</v>
      </c>
      <c r="AH764" s="372" t="str">
        <f>CS_PID!AH764/VLOOKUP($B764,표2[#ALL],2)/HLOOKUP($A764,표1[#ALL],row(),false)</f>
        <v>#N/A</v>
      </c>
      <c r="AI764" s="372" t="str">
        <f>CS_PID!AI764/VLOOKUP($B764,표2[#ALL],2)/HLOOKUP($A764,표1[#ALL],row(),false)</f>
        <v>#N/A</v>
      </c>
      <c r="AJ764" s="372" t="str">
        <f>CS_PID!AJ764/VLOOKUP($B764,표2[#ALL],2)/HLOOKUP($A764,표1[#ALL],row(),false)</f>
        <v>#N/A</v>
      </c>
      <c r="AK764" s="372" t="str">
        <f>CS_PID!AK764/VLOOKUP($B764,표2[#ALL],2)/HLOOKUP($A764,표1[#ALL],row(),false)</f>
        <v>#N/A</v>
      </c>
      <c r="AL764" s="372" t="str">
        <f>CS_PID!AL764/VLOOKUP($B764,표2[#ALL],2)/HLOOKUP($A764,표1[#ALL],row(),false)</f>
        <v>#N/A</v>
      </c>
      <c r="AM764" s="372" t="str">
        <f>CS_PID!AM764/VLOOKUP($B764,표2[#ALL],2)/HLOOKUP($A764,표1[#ALL],row(),false)</f>
        <v>#N/A</v>
      </c>
      <c r="AN764" s="372" t="str">
        <f>CS_PID!AN764/VLOOKUP($B764,표2[#ALL],2)/HLOOKUP($A764,표1[#ALL],row(),false)</f>
        <v>#N/A</v>
      </c>
      <c r="AO764" s="372" t="str">
        <f>CS_PID!AO764/VLOOKUP($B764,표2[#ALL],2)/HLOOKUP($A764,표1[#ALL],row(),false)</f>
        <v>#N/A</v>
      </c>
      <c r="AP764" s="372" t="str">
        <f>CS_PID!AP764/VLOOKUP($B764,표2[#ALL],2)/HLOOKUP($A764,표1[#ALL],row(),false)</f>
        <v>#N/A</v>
      </c>
      <c r="AQ764" s="372" t="str">
        <f>CS_PID!AQ764/VLOOKUP($B764,표2[#ALL],2)/HLOOKUP($A764,표1[#ALL],row(),false)</f>
        <v>#N/A</v>
      </c>
      <c r="AR764" s="372" t="str">
        <f>CS_PID!AR764/VLOOKUP($B764,표2[#ALL],2)/HLOOKUP($A764,표1[#ALL],row(),false)</f>
        <v>#N/A</v>
      </c>
      <c r="AS764" s="373" t="str">
        <f>CS_PID!AS764/VLOOKUP($B764,표2[#ALL],2)/HLOOKUP($A764,표1[#ALL],row(),false)</f>
        <v>#N/A</v>
      </c>
    </row>
    <row r="765">
      <c r="A765" s="374"/>
      <c r="B765" s="375"/>
      <c r="C765" s="376" t="str">
        <f>CS_PID!C765/VLOOKUP($B765,표2[#ALL],2)</f>
        <v>#N/A</v>
      </c>
      <c r="D765" s="376" t="str">
        <f>CS_PID!D765/VLOOKUP($B765,표2[#ALL],2)</f>
        <v>#N/A</v>
      </c>
      <c r="E765" s="376" t="str">
        <f>CS_PID!E765/VLOOKUP($B765,표2[#ALL],2)</f>
        <v>#N/A</v>
      </c>
      <c r="F765" s="376" t="str">
        <f>CS_PID!F765/VLOOKUP($B765,표2[#ALL],2)</f>
        <v>#N/A</v>
      </c>
      <c r="G765" s="376" t="str">
        <f>CS_PID!G765/VLOOKUP($B765,표2[#ALL],2)</f>
        <v>#N/A</v>
      </c>
      <c r="H765" s="376" t="str">
        <f>CS_PID!H765/VLOOKUP($B765,표2[#ALL],2)/HLOOKUP($A765,표1[#ALL],row(),false)</f>
        <v>#N/A</v>
      </c>
      <c r="I765" s="376" t="str">
        <f>CS_PID!I765/VLOOKUP($B765,표2[#ALL],2)/HLOOKUP($A765,표1[#ALL],row(),false)</f>
        <v>#N/A</v>
      </c>
      <c r="J765" s="376" t="str">
        <f>CS_PID!J765/VLOOKUP($B765,표2[#ALL],2)/HLOOKUP($A765,표1[#ALL],row(),false)</f>
        <v>#N/A</v>
      </c>
      <c r="K765" s="376" t="str">
        <f>CS_PID!K765/VLOOKUP($B765,표2[#ALL],2)/HLOOKUP($A765,표1[#ALL],row(),false)</f>
        <v>#N/A</v>
      </c>
      <c r="L765" s="376" t="str">
        <f>CS_PID!L765/VLOOKUP($B765,표2[#ALL],2)/HLOOKUP($A765,표1[#ALL],row(),false)</f>
        <v>#N/A</v>
      </c>
      <c r="M765" s="376" t="str">
        <f>CS_PID!M765/VLOOKUP($B765,표2[#ALL],2)/HLOOKUP($A765,표1[#ALL],row(),false)</f>
        <v>#N/A</v>
      </c>
      <c r="N765" s="376" t="str">
        <f>CS_PID!N765/VLOOKUP($B765,표2[#ALL],2)/HLOOKUP($A765,표1[#ALL],row(),false)</f>
        <v>#N/A</v>
      </c>
      <c r="O765" s="376" t="str">
        <f>CS_PID!O765/VLOOKUP($B765,표2[#ALL],2)/HLOOKUP($A765,표1[#ALL],row(),false)</f>
        <v>#N/A</v>
      </c>
      <c r="P765" s="376" t="str">
        <f>CS_PID!P765/VLOOKUP($B765,표2[#ALL],2)/HLOOKUP($A765,표1[#ALL],row(),false)</f>
        <v>#N/A</v>
      </c>
      <c r="Q765" s="376" t="str">
        <f>CS_PID!Q765/VLOOKUP($B765,표2[#ALL],2)/HLOOKUP($A765,표1[#ALL],row(),false)</f>
        <v>#N/A</v>
      </c>
      <c r="R765" s="376" t="str">
        <f>CS_PID!R765/VLOOKUP($B765,표2[#ALL],2)/HLOOKUP($A765,표1[#ALL],row(),false)</f>
        <v>#N/A</v>
      </c>
      <c r="S765" s="376" t="str">
        <f>CS_PID!S765/VLOOKUP($B765,표2[#ALL],2)/HLOOKUP($A765,표1[#ALL],row(),false)</f>
        <v>#N/A</v>
      </c>
      <c r="T765" s="376" t="str">
        <f>CS_PID!T765/VLOOKUP($B765,표2[#ALL],2)/HLOOKUP($A765,표1[#ALL],row(),false)</f>
        <v>#N/A</v>
      </c>
      <c r="U765" s="376" t="str">
        <f>CS_PID!U765/VLOOKUP($B765,표2[#ALL],2)/HLOOKUP($A765,표1[#ALL],row(),false)</f>
        <v>#N/A</v>
      </c>
      <c r="V765" s="376" t="str">
        <f>CS_PID!V765/VLOOKUP($B765,표2[#ALL],2)/HLOOKUP($A765,표1[#ALL],row(),false)</f>
        <v>#N/A</v>
      </c>
      <c r="W765" s="376" t="str">
        <f>CS_PID!W765/VLOOKUP($B765,표2[#ALL],2)/HLOOKUP($A765,표1[#ALL],row(),false)</f>
        <v>#N/A</v>
      </c>
      <c r="X765" s="376" t="str">
        <f>CS_PID!X765/VLOOKUP($B765,표2[#ALL],2)/HLOOKUP($A765,표1[#ALL],row(),false)</f>
        <v>#N/A</v>
      </c>
      <c r="Y765" s="376" t="str">
        <f>CS_PID!Y765/VLOOKUP($B765,표2[#ALL],2)/HLOOKUP($A765,표1[#ALL],row(),false)</f>
        <v>#N/A</v>
      </c>
      <c r="Z765" s="376" t="str">
        <f>CS_PID!Z765/VLOOKUP($B765,표2[#ALL],2)/HLOOKUP($A765,표1[#ALL],row(),false)</f>
        <v>#N/A</v>
      </c>
      <c r="AA765" s="376" t="str">
        <f>CS_PID!AA765/VLOOKUP($B765,표2[#ALL],2)/HLOOKUP($A765,표1[#ALL],row(),false)</f>
        <v>#N/A</v>
      </c>
      <c r="AB765" s="376" t="str">
        <f>CS_PID!AB765/VLOOKUP($B765,표2[#ALL],2)/HLOOKUP($A765,표1[#ALL],row(),false)</f>
        <v>#N/A</v>
      </c>
      <c r="AC765" s="376" t="str">
        <f>CS_PID!AC765/VLOOKUP($B765,표2[#ALL],2)/HLOOKUP($A765,표1[#ALL],row(),false)</f>
        <v>#N/A</v>
      </c>
      <c r="AD765" s="376" t="str">
        <f>CS_PID!AD765/VLOOKUP($B765,표2[#ALL],2)/HLOOKUP($A765,표1[#ALL],row(),false)</f>
        <v>#N/A</v>
      </c>
      <c r="AE765" s="376" t="str">
        <f>CS_PID!AE765/VLOOKUP($B765,표2[#ALL],2)/HLOOKUP($A765,표1[#ALL],row(),false)</f>
        <v>#N/A</v>
      </c>
      <c r="AF765" s="376" t="str">
        <f>CS_PID!AF765/VLOOKUP($B765,표2[#ALL],2)/HLOOKUP($A765,표1[#ALL],row(),false)</f>
        <v>#N/A</v>
      </c>
      <c r="AG765" s="376" t="str">
        <f>CS_PID!AG765/VLOOKUP($B765,표2[#ALL],2)/HLOOKUP($A765,표1[#ALL],row(),false)</f>
        <v>#N/A</v>
      </c>
      <c r="AH765" s="376" t="str">
        <f>CS_PID!AH765/VLOOKUP($B765,표2[#ALL],2)/HLOOKUP($A765,표1[#ALL],row(),false)</f>
        <v>#N/A</v>
      </c>
      <c r="AI765" s="376" t="str">
        <f>CS_PID!AI765/VLOOKUP($B765,표2[#ALL],2)/HLOOKUP($A765,표1[#ALL],row(),false)</f>
        <v>#N/A</v>
      </c>
      <c r="AJ765" s="376" t="str">
        <f>CS_PID!AJ765/VLOOKUP($B765,표2[#ALL],2)/HLOOKUP($A765,표1[#ALL],row(),false)</f>
        <v>#N/A</v>
      </c>
      <c r="AK765" s="376" t="str">
        <f>CS_PID!AK765/VLOOKUP($B765,표2[#ALL],2)/HLOOKUP($A765,표1[#ALL],row(),false)</f>
        <v>#N/A</v>
      </c>
      <c r="AL765" s="376" t="str">
        <f>CS_PID!AL765/VLOOKUP($B765,표2[#ALL],2)/HLOOKUP($A765,표1[#ALL],row(),false)</f>
        <v>#N/A</v>
      </c>
      <c r="AM765" s="376" t="str">
        <f>CS_PID!AM765/VLOOKUP($B765,표2[#ALL],2)/HLOOKUP($A765,표1[#ALL],row(),false)</f>
        <v>#N/A</v>
      </c>
      <c r="AN765" s="376" t="str">
        <f>CS_PID!AN765/VLOOKUP($B765,표2[#ALL],2)/HLOOKUP($A765,표1[#ALL],row(),false)</f>
        <v>#N/A</v>
      </c>
      <c r="AO765" s="376" t="str">
        <f>CS_PID!AO765/VLOOKUP($B765,표2[#ALL],2)/HLOOKUP($A765,표1[#ALL],row(),false)</f>
        <v>#N/A</v>
      </c>
      <c r="AP765" s="376" t="str">
        <f>CS_PID!AP765/VLOOKUP($B765,표2[#ALL],2)/HLOOKUP($A765,표1[#ALL],row(),false)</f>
        <v>#N/A</v>
      </c>
      <c r="AQ765" s="376" t="str">
        <f>CS_PID!AQ765/VLOOKUP($B765,표2[#ALL],2)/HLOOKUP($A765,표1[#ALL],row(),false)</f>
        <v>#N/A</v>
      </c>
      <c r="AR765" s="376" t="str">
        <f>CS_PID!AR765/VLOOKUP($B765,표2[#ALL],2)/HLOOKUP($A765,표1[#ALL],row(),false)</f>
        <v>#N/A</v>
      </c>
      <c r="AS765" s="377" t="str">
        <f>CS_PID!AS765/VLOOKUP($B765,표2[#ALL],2)/HLOOKUP($A765,표1[#ALL],row(),false)</f>
        <v>#N/A</v>
      </c>
    </row>
    <row r="766">
      <c r="A766" s="370"/>
      <c r="B766" s="371"/>
      <c r="C766" s="372" t="str">
        <f>CS_PID!C766/VLOOKUP($B766,표2[#ALL],2)</f>
        <v>#N/A</v>
      </c>
      <c r="D766" s="372" t="str">
        <f>CS_PID!D766/VLOOKUP($B766,표2[#ALL],2)</f>
        <v>#N/A</v>
      </c>
      <c r="E766" s="372" t="str">
        <f>CS_PID!E766/VLOOKUP($B766,표2[#ALL],2)</f>
        <v>#N/A</v>
      </c>
      <c r="F766" s="372" t="str">
        <f>CS_PID!F766/VLOOKUP($B766,표2[#ALL],2)</f>
        <v>#N/A</v>
      </c>
      <c r="G766" s="372" t="str">
        <f>CS_PID!G766/VLOOKUP($B766,표2[#ALL],2)</f>
        <v>#N/A</v>
      </c>
      <c r="H766" s="372" t="str">
        <f>CS_PID!H766/VLOOKUP($B766,표2[#ALL],2)/HLOOKUP($A766,표1[#ALL],row(),false)</f>
        <v>#N/A</v>
      </c>
      <c r="I766" s="372" t="str">
        <f>CS_PID!I766/VLOOKUP($B766,표2[#ALL],2)/HLOOKUP($A766,표1[#ALL],row(),false)</f>
        <v>#N/A</v>
      </c>
      <c r="J766" s="372" t="str">
        <f>CS_PID!J766/VLOOKUP($B766,표2[#ALL],2)/HLOOKUP($A766,표1[#ALL],row(),false)</f>
        <v>#N/A</v>
      </c>
      <c r="K766" s="372" t="str">
        <f>CS_PID!K766/VLOOKUP($B766,표2[#ALL],2)/HLOOKUP($A766,표1[#ALL],row(),false)</f>
        <v>#N/A</v>
      </c>
      <c r="L766" s="372" t="str">
        <f>CS_PID!L766/VLOOKUP($B766,표2[#ALL],2)/HLOOKUP($A766,표1[#ALL],row(),false)</f>
        <v>#N/A</v>
      </c>
      <c r="M766" s="372" t="str">
        <f>CS_PID!M766/VLOOKUP($B766,표2[#ALL],2)/HLOOKUP($A766,표1[#ALL],row(),false)</f>
        <v>#N/A</v>
      </c>
      <c r="N766" s="372" t="str">
        <f>CS_PID!N766/VLOOKUP($B766,표2[#ALL],2)/HLOOKUP($A766,표1[#ALL],row(),false)</f>
        <v>#N/A</v>
      </c>
      <c r="O766" s="372" t="str">
        <f>CS_PID!O766/VLOOKUP($B766,표2[#ALL],2)/HLOOKUP($A766,표1[#ALL],row(),false)</f>
        <v>#N/A</v>
      </c>
      <c r="P766" s="372" t="str">
        <f>CS_PID!P766/VLOOKUP($B766,표2[#ALL],2)/HLOOKUP($A766,표1[#ALL],row(),false)</f>
        <v>#N/A</v>
      </c>
      <c r="Q766" s="372" t="str">
        <f>CS_PID!Q766/VLOOKUP($B766,표2[#ALL],2)/HLOOKUP($A766,표1[#ALL],row(),false)</f>
        <v>#N/A</v>
      </c>
      <c r="R766" s="372" t="str">
        <f>CS_PID!R766/VLOOKUP($B766,표2[#ALL],2)/HLOOKUP($A766,표1[#ALL],row(),false)</f>
        <v>#N/A</v>
      </c>
      <c r="S766" s="372" t="str">
        <f>CS_PID!S766/VLOOKUP($B766,표2[#ALL],2)/HLOOKUP($A766,표1[#ALL],row(),false)</f>
        <v>#N/A</v>
      </c>
      <c r="T766" s="372" t="str">
        <f>CS_PID!T766/VLOOKUP($B766,표2[#ALL],2)/HLOOKUP($A766,표1[#ALL],row(),false)</f>
        <v>#N/A</v>
      </c>
      <c r="U766" s="372" t="str">
        <f>CS_PID!U766/VLOOKUP($B766,표2[#ALL],2)/HLOOKUP($A766,표1[#ALL],row(),false)</f>
        <v>#N/A</v>
      </c>
      <c r="V766" s="372" t="str">
        <f>CS_PID!V766/VLOOKUP($B766,표2[#ALL],2)/HLOOKUP($A766,표1[#ALL],row(),false)</f>
        <v>#N/A</v>
      </c>
      <c r="W766" s="372" t="str">
        <f>CS_PID!W766/VLOOKUP($B766,표2[#ALL],2)/HLOOKUP($A766,표1[#ALL],row(),false)</f>
        <v>#N/A</v>
      </c>
      <c r="X766" s="372" t="str">
        <f>CS_PID!X766/VLOOKUP($B766,표2[#ALL],2)/HLOOKUP($A766,표1[#ALL],row(),false)</f>
        <v>#N/A</v>
      </c>
      <c r="Y766" s="372" t="str">
        <f>CS_PID!Y766/VLOOKUP($B766,표2[#ALL],2)/HLOOKUP($A766,표1[#ALL],row(),false)</f>
        <v>#N/A</v>
      </c>
      <c r="Z766" s="372" t="str">
        <f>CS_PID!Z766/VLOOKUP($B766,표2[#ALL],2)/HLOOKUP($A766,표1[#ALL],row(),false)</f>
        <v>#N/A</v>
      </c>
      <c r="AA766" s="372" t="str">
        <f>CS_PID!AA766/VLOOKUP($B766,표2[#ALL],2)/HLOOKUP($A766,표1[#ALL],row(),false)</f>
        <v>#N/A</v>
      </c>
      <c r="AB766" s="372" t="str">
        <f>CS_PID!AB766/VLOOKUP($B766,표2[#ALL],2)/HLOOKUP($A766,표1[#ALL],row(),false)</f>
        <v>#N/A</v>
      </c>
      <c r="AC766" s="372" t="str">
        <f>CS_PID!AC766/VLOOKUP($B766,표2[#ALL],2)/HLOOKUP($A766,표1[#ALL],row(),false)</f>
        <v>#N/A</v>
      </c>
      <c r="AD766" s="372" t="str">
        <f>CS_PID!AD766/VLOOKUP($B766,표2[#ALL],2)/HLOOKUP($A766,표1[#ALL],row(),false)</f>
        <v>#N/A</v>
      </c>
      <c r="AE766" s="372" t="str">
        <f>CS_PID!AE766/VLOOKUP($B766,표2[#ALL],2)/HLOOKUP($A766,표1[#ALL],row(),false)</f>
        <v>#N/A</v>
      </c>
      <c r="AF766" s="372" t="str">
        <f>CS_PID!AF766/VLOOKUP($B766,표2[#ALL],2)/HLOOKUP($A766,표1[#ALL],row(),false)</f>
        <v>#N/A</v>
      </c>
      <c r="AG766" s="372" t="str">
        <f>CS_PID!AG766/VLOOKUP($B766,표2[#ALL],2)/HLOOKUP($A766,표1[#ALL],row(),false)</f>
        <v>#N/A</v>
      </c>
      <c r="AH766" s="372" t="str">
        <f>CS_PID!AH766/VLOOKUP($B766,표2[#ALL],2)/HLOOKUP($A766,표1[#ALL],row(),false)</f>
        <v>#N/A</v>
      </c>
      <c r="AI766" s="372" t="str">
        <f>CS_PID!AI766/VLOOKUP($B766,표2[#ALL],2)/HLOOKUP($A766,표1[#ALL],row(),false)</f>
        <v>#N/A</v>
      </c>
      <c r="AJ766" s="372" t="str">
        <f>CS_PID!AJ766/VLOOKUP($B766,표2[#ALL],2)/HLOOKUP($A766,표1[#ALL],row(),false)</f>
        <v>#N/A</v>
      </c>
      <c r="AK766" s="372" t="str">
        <f>CS_PID!AK766/VLOOKUP($B766,표2[#ALL],2)/HLOOKUP($A766,표1[#ALL],row(),false)</f>
        <v>#N/A</v>
      </c>
      <c r="AL766" s="372" t="str">
        <f>CS_PID!AL766/VLOOKUP($B766,표2[#ALL],2)/HLOOKUP($A766,표1[#ALL],row(),false)</f>
        <v>#N/A</v>
      </c>
      <c r="AM766" s="372" t="str">
        <f>CS_PID!AM766/VLOOKUP($B766,표2[#ALL],2)/HLOOKUP($A766,표1[#ALL],row(),false)</f>
        <v>#N/A</v>
      </c>
      <c r="AN766" s="372" t="str">
        <f>CS_PID!AN766/VLOOKUP($B766,표2[#ALL],2)/HLOOKUP($A766,표1[#ALL],row(),false)</f>
        <v>#N/A</v>
      </c>
      <c r="AO766" s="372" t="str">
        <f>CS_PID!AO766/VLOOKUP($B766,표2[#ALL],2)/HLOOKUP($A766,표1[#ALL],row(),false)</f>
        <v>#N/A</v>
      </c>
      <c r="AP766" s="372" t="str">
        <f>CS_PID!AP766/VLOOKUP($B766,표2[#ALL],2)/HLOOKUP($A766,표1[#ALL],row(),false)</f>
        <v>#N/A</v>
      </c>
      <c r="AQ766" s="372" t="str">
        <f>CS_PID!AQ766/VLOOKUP($B766,표2[#ALL],2)/HLOOKUP($A766,표1[#ALL],row(),false)</f>
        <v>#N/A</v>
      </c>
      <c r="AR766" s="372" t="str">
        <f>CS_PID!AR766/VLOOKUP($B766,표2[#ALL],2)/HLOOKUP($A766,표1[#ALL],row(),false)</f>
        <v>#N/A</v>
      </c>
      <c r="AS766" s="373" t="str">
        <f>CS_PID!AS766/VLOOKUP($B766,표2[#ALL],2)/HLOOKUP($A766,표1[#ALL],row(),false)</f>
        <v>#N/A</v>
      </c>
    </row>
    <row r="767">
      <c r="A767" s="374"/>
      <c r="B767" s="375"/>
      <c r="C767" s="376" t="str">
        <f>CS_PID!C767/VLOOKUP($B767,표2[#ALL],2)</f>
        <v>#N/A</v>
      </c>
      <c r="D767" s="376" t="str">
        <f>CS_PID!D767/VLOOKUP($B767,표2[#ALL],2)</f>
        <v>#N/A</v>
      </c>
      <c r="E767" s="376" t="str">
        <f>CS_PID!E767/VLOOKUP($B767,표2[#ALL],2)</f>
        <v>#N/A</v>
      </c>
      <c r="F767" s="376" t="str">
        <f>CS_PID!F767/VLOOKUP($B767,표2[#ALL],2)</f>
        <v>#N/A</v>
      </c>
      <c r="G767" s="376" t="str">
        <f>CS_PID!G767/VLOOKUP($B767,표2[#ALL],2)</f>
        <v>#N/A</v>
      </c>
      <c r="H767" s="376" t="str">
        <f>CS_PID!H767/VLOOKUP($B767,표2[#ALL],2)/HLOOKUP($A767,표1[#ALL],row(),false)</f>
        <v>#N/A</v>
      </c>
      <c r="I767" s="376" t="str">
        <f>CS_PID!I767/VLOOKUP($B767,표2[#ALL],2)/HLOOKUP($A767,표1[#ALL],row(),false)</f>
        <v>#N/A</v>
      </c>
      <c r="J767" s="376" t="str">
        <f>CS_PID!J767/VLOOKUP($B767,표2[#ALL],2)/HLOOKUP($A767,표1[#ALL],row(),false)</f>
        <v>#N/A</v>
      </c>
      <c r="K767" s="376" t="str">
        <f>CS_PID!K767/VLOOKUP($B767,표2[#ALL],2)/HLOOKUP($A767,표1[#ALL],row(),false)</f>
        <v>#N/A</v>
      </c>
      <c r="L767" s="376" t="str">
        <f>CS_PID!L767/VLOOKUP($B767,표2[#ALL],2)/HLOOKUP($A767,표1[#ALL],row(),false)</f>
        <v>#N/A</v>
      </c>
      <c r="M767" s="376" t="str">
        <f>CS_PID!M767/VLOOKUP($B767,표2[#ALL],2)/HLOOKUP($A767,표1[#ALL],row(),false)</f>
        <v>#N/A</v>
      </c>
      <c r="N767" s="376" t="str">
        <f>CS_PID!N767/VLOOKUP($B767,표2[#ALL],2)/HLOOKUP($A767,표1[#ALL],row(),false)</f>
        <v>#N/A</v>
      </c>
      <c r="O767" s="376" t="str">
        <f>CS_PID!O767/VLOOKUP($B767,표2[#ALL],2)/HLOOKUP($A767,표1[#ALL],row(),false)</f>
        <v>#N/A</v>
      </c>
      <c r="P767" s="376" t="str">
        <f>CS_PID!P767/VLOOKUP($B767,표2[#ALL],2)/HLOOKUP($A767,표1[#ALL],row(),false)</f>
        <v>#N/A</v>
      </c>
      <c r="Q767" s="376" t="str">
        <f>CS_PID!Q767/VLOOKUP($B767,표2[#ALL],2)/HLOOKUP($A767,표1[#ALL],row(),false)</f>
        <v>#N/A</v>
      </c>
      <c r="R767" s="376" t="str">
        <f>CS_PID!R767/VLOOKUP($B767,표2[#ALL],2)/HLOOKUP($A767,표1[#ALL],row(),false)</f>
        <v>#N/A</v>
      </c>
      <c r="S767" s="376" t="str">
        <f>CS_PID!S767/VLOOKUP($B767,표2[#ALL],2)/HLOOKUP($A767,표1[#ALL],row(),false)</f>
        <v>#N/A</v>
      </c>
      <c r="T767" s="376" t="str">
        <f>CS_PID!T767/VLOOKUP($B767,표2[#ALL],2)/HLOOKUP($A767,표1[#ALL],row(),false)</f>
        <v>#N/A</v>
      </c>
      <c r="U767" s="376" t="str">
        <f>CS_PID!U767/VLOOKUP($B767,표2[#ALL],2)/HLOOKUP($A767,표1[#ALL],row(),false)</f>
        <v>#N/A</v>
      </c>
      <c r="V767" s="376" t="str">
        <f>CS_PID!V767/VLOOKUP($B767,표2[#ALL],2)/HLOOKUP($A767,표1[#ALL],row(),false)</f>
        <v>#N/A</v>
      </c>
      <c r="W767" s="376" t="str">
        <f>CS_PID!W767/VLOOKUP($B767,표2[#ALL],2)/HLOOKUP($A767,표1[#ALL],row(),false)</f>
        <v>#N/A</v>
      </c>
      <c r="X767" s="376" t="str">
        <f>CS_PID!X767/VLOOKUP($B767,표2[#ALL],2)/HLOOKUP($A767,표1[#ALL],row(),false)</f>
        <v>#N/A</v>
      </c>
      <c r="Y767" s="376" t="str">
        <f>CS_PID!Y767/VLOOKUP($B767,표2[#ALL],2)/HLOOKUP($A767,표1[#ALL],row(),false)</f>
        <v>#N/A</v>
      </c>
      <c r="Z767" s="376" t="str">
        <f>CS_PID!Z767/VLOOKUP($B767,표2[#ALL],2)/HLOOKUP($A767,표1[#ALL],row(),false)</f>
        <v>#N/A</v>
      </c>
      <c r="AA767" s="376" t="str">
        <f>CS_PID!AA767/VLOOKUP($B767,표2[#ALL],2)/HLOOKUP($A767,표1[#ALL],row(),false)</f>
        <v>#N/A</v>
      </c>
      <c r="AB767" s="376" t="str">
        <f>CS_PID!AB767/VLOOKUP($B767,표2[#ALL],2)/HLOOKUP($A767,표1[#ALL],row(),false)</f>
        <v>#N/A</v>
      </c>
      <c r="AC767" s="376" t="str">
        <f>CS_PID!AC767/VLOOKUP($B767,표2[#ALL],2)/HLOOKUP($A767,표1[#ALL],row(),false)</f>
        <v>#N/A</v>
      </c>
      <c r="AD767" s="376" t="str">
        <f>CS_PID!AD767/VLOOKUP($B767,표2[#ALL],2)/HLOOKUP($A767,표1[#ALL],row(),false)</f>
        <v>#N/A</v>
      </c>
      <c r="AE767" s="376" t="str">
        <f>CS_PID!AE767/VLOOKUP($B767,표2[#ALL],2)/HLOOKUP($A767,표1[#ALL],row(),false)</f>
        <v>#N/A</v>
      </c>
      <c r="AF767" s="376" t="str">
        <f>CS_PID!AF767/VLOOKUP($B767,표2[#ALL],2)/HLOOKUP($A767,표1[#ALL],row(),false)</f>
        <v>#N/A</v>
      </c>
      <c r="AG767" s="376" t="str">
        <f>CS_PID!AG767/VLOOKUP($B767,표2[#ALL],2)/HLOOKUP($A767,표1[#ALL],row(),false)</f>
        <v>#N/A</v>
      </c>
      <c r="AH767" s="376" t="str">
        <f>CS_PID!AH767/VLOOKUP($B767,표2[#ALL],2)/HLOOKUP($A767,표1[#ALL],row(),false)</f>
        <v>#N/A</v>
      </c>
      <c r="AI767" s="376" t="str">
        <f>CS_PID!AI767/VLOOKUP($B767,표2[#ALL],2)/HLOOKUP($A767,표1[#ALL],row(),false)</f>
        <v>#N/A</v>
      </c>
      <c r="AJ767" s="376" t="str">
        <f>CS_PID!AJ767/VLOOKUP($B767,표2[#ALL],2)/HLOOKUP($A767,표1[#ALL],row(),false)</f>
        <v>#N/A</v>
      </c>
      <c r="AK767" s="376" t="str">
        <f>CS_PID!AK767/VLOOKUP($B767,표2[#ALL],2)/HLOOKUP($A767,표1[#ALL],row(),false)</f>
        <v>#N/A</v>
      </c>
      <c r="AL767" s="376" t="str">
        <f>CS_PID!AL767/VLOOKUP($B767,표2[#ALL],2)/HLOOKUP($A767,표1[#ALL],row(),false)</f>
        <v>#N/A</v>
      </c>
      <c r="AM767" s="376" t="str">
        <f>CS_PID!AM767/VLOOKUP($B767,표2[#ALL],2)/HLOOKUP($A767,표1[#ALL],row(),false)</f>
        <v>#N/A</v>
      </c>
      <c r="AN767" s="376" t="str">
        <f>CS_PID!AN767/VLOOKUP($B767,표2[#ALL],2)/HLOOKUP($A767,표1[#ALL],row(),false)</f>
        <v>#N/A</v>
      </c>
      <c r="AO767" s="376" t="str">
        <f>CS_PID!AO767/VLOOKUP($B767,표2[#ALL],2)/HLOOKUP($A767,표1[#ALL],row(),false)</f>
        <v>#N/A</v>
      </c>
      <c r="AP767" s="376" t="str">
        <f>CS_PID!AP767/VLOOKUP($B767,표2[#ALL],2)/HLOOKUP($A767,표1[#ALL],row(),false)</f>
        <v>#N/A</v>
      </c>
      <c r="AQ767" s="376" t="str">
        <f>CS_PID!AQ767/VLOOKUP($B767,표2[#ALL],2)/HLOOKUP($A767,표1[#ALL],row(),false)</f>
        <v>#N/A</v>
      </c>
      <c r="AR767" s="376" t="str">
        <f>CS_PID!AR767/VLOOKUP($B767,표2[#ALL],2)/HLOOKUP($A767,표1[#ALL],row(),false)</f>
        <v>#N/A</v>
      </c>
      <c r="AS767" s="377" t="str">
        <f>CS_PID!AS767/VLOOKUP($B767,표2[#ALL],2)/HLOOKUP($A767,표1[#ALL],row(),false)</f>
        <v>#N/A</v>
      </c>
    </row>
    <row r="768">
      <c r="A768" s="370"/>
      <c r="B768" s="371"/>
      <c r="C768" s="372" t="str">
        <f>CS_PID!C768/VLOOKUP($B768,표2[#ALL],2)</f>
        <v>#N/A</v>
      </c>
      <c r="D768" s="372" t="str">
        <f>CS_PID!D768/VLOOKUP($B768,표2[#ALL],2)</f>
        <v>#N/A</v>
      </c>
      <c r="E768" s="372" t="str">
        <f>CS_PID!E768/VLOOKUP($B768,표2[#ALL],2)</f>
        <v>#N/A</v>
      </c>
      <c r="F768" s="372" t="str">
        <f>CS_PID!F768/VLOOKUP($B768,표2[#ALL],2)</f>
        <v>#N/A</v>
      </c>
      <c r="G768" s="372" t="str">
        <f>CS_PID!G768/VLOOKUP($B768,표2[#ALL],2)</f>
        <v>#N/A</v>
      </c>
      <c r="H768" s="372" t="str">
        <f>CS_PID!H768/VLOOKUP($B768,표2[#ALL],2)/HLOOKUP($A768,표1[#ALL],row(),false)</f>
        <v>#N/A</v>
      </c>
      <c r="I768" s="372" t="str">
        <f>CS_PID!I768/VLOOKUP($B768,표2[#ALL],2)/HLOOKUP($A768,표1[#ALL],row(),false)</f>
        <v>#N/A</v>
      </c>
      <c r="J768" s="372" t="str">
        <f>CS_PID!J768/VLOOKUP($B768,표2[#ALL],2)/HLOOKUP($A768,표1[#ALL],row(),false)</f>
        <v>#N/A</v>
      </c>
      <c r="K768" s="372" t="str">
        <f>CS_PID!K768/VLOOKUP($B768,표2[#ALL],2)/HLOOKUP($A768,표1[#ALL],row(),false)</f>
        <v>#N/A</v>
      </c>
      <c r="L768" s="372" t="str">
        <f>CS_PID!L768/VLOOKUP($B768,표2[#ALL],2)/HLOOKUP($A768,표1[#ALL],row(),false)</f>
        <v>#N/A</v>
      </c>
      <c r="M768" s="372" t="str">
        <f>CS_PID!M768/VLOOKUP($B768,표2[#ALL],2)/HLOOKUP($A768,표1[#ALL],row(),false)</f>
        <v>#N/A</v>
      </c>
      <c r="N768" s="372" t="str">
        <f>CS_PID!N768/VLOOKUP($B768,표2[#ALL],2)/HLOOKUP($A768,표1[#ALL],row(),false)</f>
        <v>#N/A</v>
      </c>
      <c r="O768" s="372" t="str">
        <f>CS_PID!O768/VLOOKUP($B768,표2[#ALL],2)/HLOOKUP($A768,표1[#ALL],row(),false)</f>
        <v>#N/A</v>
      </c>
      <c r="P768" s="372" t="str">
        <f>CS_PID!P768/VLOOKUP($B768,표2[#ALL],2)/HLOOKUP($A768,표1[#ALL],row(),false)</f>
        <v>#N/A</v>
      </c>
      <c r="Q768" s="372" t="str">
        <f>CS_PID!Q768/VLOOKUP($B768,표2[#ALL],2)/HLOOKUP($A768,표1[#ALL],row(),false)</f>
        <v>#N/A</v>
      </c>
      <c r="R768" s="372" t="str">
        <f>CS_PID!R768/VLOOKUP($B768,표2[#ALL],2)/HLOOKUP($A768,표1[#ALL],row(),false)</f>
        <v>#N/A</v>
      </c>
      <c r="S768" s="372" t="str">
        <f>CS_PID!S768/VLOOKUP($B768,표2[#ALL],2)/HLOOKUP($A768,표1[#ALL],row(),false)</f>
        <v>#N/A</v>
      </c>
      <c r="T768" s="372" t="str">
        <f>CS_PID!T768/VLOOKUP($B768,표2[#ALL],2)/HLOOKUP($A768,표1[#ALL],row(),false)</f>
        <v>#N/A</v>
      </c>
      <c r="U768" s="372" t="str">
        <f>CS_PID!U768/VLOOKUP($B768,표2[#ALL],2)/HLOOKUP($A768,표1[#ALL],row(),false)</f>
        <v>#N/A</v>
      </c>
      <c r="V768" s="372" t="str">
        <f>CS_PID!V768/VLOOKUP($B768,표2[#ALL],2)/HLOOKUP($A768,표1[#ALL],row(),false)</f>
        <v>#N/A</v>
      </c>
      <c r="W768" s="372" t="str">
        <f>CS_PID!W768/VLOOKUP($B768,표2[#ALL],2)/HLOOKUP($A768,표1[#ALL],row(),false)</f>
        <v>#N/A</v>
      </c>
      <c r="X768" s="372" t="str">
        <f>CS_PID!X768/VLOOKUP($B768,표2[#ALL],2)/HLOOKUP($A768,표1[#ALL],row(),false)</f>
        <v>#N/A</v>
      </c>
      <c r="Y768" s="372" t="str">
        <f>CS_PID!Y768/VLOOKUP($B768,표2[#ALL],2)/HLOOKUP($A768,표1[#ALL],row(),false)</f>
        <v>#N/A</v>
      </c>
      <c r="Z768" s="372" t="str">
        <f>CS_PID!Z768/VLOOKUP($B768,표2[#ALL],2)/HLOOKUP($A768,표1[#ALL],row(),false)</f>
        <v>#N/A</v>
      </c>
      <c r="AA768" s="372" t="str">
        <f>CS_PID!AA768/VLOOKUP($B768,표2[#ALL],2)/HLOOKUP($A768,표1[#ALL],row(),false)</f>
        <v>#N/A</v>
      </c>
      <c r="AB768" s="372" t="str">
        <f>CS_PID!AB768/VLOOKUP($B768,표2[#ALL],2)/HLOOKUP($A768,표1[#ALL],row(),false)</f>
        <v>#N/A</v>
      </c>
      <c r="AC768" s="372" t="str">
        <f>CS_PID!AC768/VLOOKUP($B768,표2[#ALL],2)/HLOOKUP($A768,표1[#ALL],row(),false)</f>
        <v>#N/A</v>
      </c>
      <c r="AD768" s="372" t="str">
        <f>CS_PID!AD768/VLOOKUP($B768,표2[#ALL],2)/HLOOKUP($A768,표1[#ALL],row(),false)</f>
        <v>#N/A</v>
      </c>
      <c r="AE768" s="372" t="str">
        <f>CS_PID!AE768/VLOOKUP($B768,표2[#ALL],2)/HLOOKUP($A768,표1[#ALL],row(),false)</f>
        <v>#N/A</v>
      </c>
      <c r="AF768" s="372" t="str">
        <f>CS_PID!AF768/VLOOKUP($B768,표2[#ALL],2)/HLOOKUP($A768,표1[#ALL],row(),false)</f>
        <v>#N/A</v>
      </c>
      <c r="AG768" s="372" t="str">
        <f>CS_PID!AG768/VLOOKUP($B768,표2[#ALL],2)/HLOOKUP($A768,표1[#ALL],row(),false)</f>
        <v>#N/A</v>
      </c>
      <c r="AH768" s="372" t="str">
        <f>CS_PID!AH768/VLOOKUP($B768,표2[#ALL],2)/HLOOKUP($A768,표1[#ALL],row(),false)</f>
        <v>#N/A</v>
      </c>
      <c r="AI768" s="372" t="str">
        <f>CS_PID!AI768/VLOOKUP($B768,표2[#ALL],2)/HLOOKUP($A768,표1[#ALL],row(),false)</f>
        <v>#N/A</v>
      </c>
      <c r="AJ768" s="372" t="str">
        <f>CS_PID!AJ768/VLOOKUP($B768,표2[#ALL],2)/HLOOKUP($A768,표1[#ALL],row(),false)</f>
        <v>#N/A</v>
      </c>
      <c r="AK768" s="372" t="str">
        <f>CS_PID!AK768/VLOOKUP($B768,표2[#ALL],2)/HLOOKUP($A768,표1[#ALL],row(),false)</f>
        <v>#N/A</v>
      </c>
      <c r="AL768" s="372" t="str">
        <f>CS_PID!AL768/VLOOKUP($B768,표2[#ALL],2)/HLOOKUP($A768,표1[#ALL],row(),false)</f>
        <v>#N/A</v>
      </c>
      <c r="AM768" s="372" t="str">
        <f>CS_PID!AM768/VLOOKUP($B768,표2[#ALL],2)/HLOOKUP($A768,표1[#ALL],row(),false)</f>
        <v>#N/A</v>
      </c>
      <c r="AN768" s="372" t="str">
        <f>CS_PID!AN768/VLOOKUP($B768,표2[#ALL],2)/HLOOKUP($A768,표1[#ALL],row(),false)</f>
        <v>#N/A</v>
      </c>
      <c r="AO768" s="372" t="str">
        <f>CS_PID!AO768/VLOOKUP($B768,표2[#ALL],2)/HLOOKUP($A768,표1[#ALL],row(),false)</f>
        <v>#N/A</v>
      </c>
      <c r="AP768" s="372" t="str">
        <f>CS_PID!AP768/VLOOKUP($B768,표2[#ALL],2)/HLOOKUP($A768,표1[#ALL],row(),false)</f>
        <v>#N/A</v>
      </c>
      <c r="AQ768" s="372" t="str">
        <f>CS_PID!AQ768/VLOOKUP($B768,표2[#ALL],2)/HLOOKUP($A768,표1[#ALL],row(),false)</f>
        <v>#N/A</v>
      </c>
      <c r="AR768" s="372" t="str">
        <f>CS_PID!AR768/VLOOKUP($B768,표2[#ALL],2)/HLOOKUP($A768,표1[#ALL],row(),false)</f>
        <v>#N/A</v>
      </c>
      <c r="AS768" s="373" t="str">
        <f>CS_PID!AS768/VLOOKUP($B768,표2[#ALL],2)/HLOOKUP($A768,표1[#ALL],row(),false)</f>
        <v>#N/A</v>
      </c>
    </row>
    <row r="769">
      <c r="A769" s="374"/>
      <c r="B769" s="375"/>
      <c r="C769" s="376" t="str">
        <f>CS_PID!C769/VLOOKUP($B769,표2[#ALL],2)</f>
        <v>#N/A</v>
      </c>
      <c r="D769" s="376" t="str">
        <f>CS_PID!D769/VLOOKUP($B769,표2[#ALL],2)</f>
        <v>#N/A</v>
      </c>
      <c r="E769" s="376" t="str">
        <f>CS_PID!E769/VLOOKUP($B769,표2[#ALL],2)</f>
        <v>#N/A</v>
      </c>
      <c r="F769" s="376" t="str">
        <f>CS_PID!F769/VLOOKUP($B769,표2[#ALL],2)</f>
        <v>#N/A</v>
      </c>
      <c r="G769" s="376" t="str">
        <f>CS_PID!G769/VLOOKUP($B769,표2[#ALL],2)</f>
        <v>#N/A</v>
      </c>
      <c r="H769" s="376" t="str">
        <f>CS_PID!H769/VLOOKUP($B769,표2[#ALL],2)/HLOOKUP($A769,표1[#ALL],row(),false)</f>
        <v>#N/A</v>
      </c>
      <c r="I769" s="376" t="str">
        <f>CS_PID!I769/VLOOKUP($B769,표2[#ALL],2)/HLOOKUP($A769,표1[#ALL],row(),false)</f>
        <v>#N/A</v>
      </c>
      <c r="J769" s="376" t="str">
        <f>CS_PID!J769/VLOOKUP($B769,표2[#ALL],2)/HLOOKUP($A769,표1[#ALL],row(),false)</f>
        <v>#N/A</v>
      </c>
      <c r="K769" s="376" t="str">
        <f>CS_PID!K769/VLOOKUP($B769,표2[#ALL],2)/HLOOKUP($A769,표1[#ALL],row(),false)</f>
        <v>#N/A</v>
      </c>
      <c r="L769" s="376" t="str">
        <f>CS_PID!L769/VLOOKUP($B769,표2[#ALL],2)/HLOOKUP($A769,표1[#ALL],row(),false)</f>
        <v>#N/A</v>
      </c>
      <c r="M769" s="376" t="str">
        <f>CS_PID!M769/VLOOKUP($B769,표2[#ALL],2)/HLOOKUP($A769,표1[#ALL],row(),false)</f>
        <v>#N/A</v>
      </c>
      <c r="N769" s="376" t="str">
        <f>CS_PID!N769/VLOOKUP($B769,표2[#ALL],2)/HLOOKUP($A769,표1[#ALL],row(),false)</f>
        <v>#N/A</v>
      </c>
      <c r="O769" s="376" t="str">
        <f>CS_PID!O769/VLOOKUP($B769,표2[#ALL],2)/HLOOKUP($A769,표1[#ALL],row(),false)</f>
        <v>#N/A</v>
      </c>
      <c r="P769" s="376" t="str">
        <f>CS_PID!P769/VLOOKUP($B769,표2[#ALL],2)/HLOOKUP($A769,표1[#ALL],row(),false)</f>
        <v>#N/A</v>
      </c>
      <c r="Q769" s="376" t="str">
        <f>CS_PID!Q769/VLOOKUP($B769,표2[#ALL],2)/HLOOKUP($A769,표1[#ALL],row(),false)</f>
        <v>#N/A</v>
      </c>
      <c r="R769" s="376" t="str">
        <f>CS_PID!R769/VLOOKUP($B769,표2[#ALL],2)/HLOOKUP($A769,표1[#ALL],row(),false)</f>
        <v>#N/A</v>
      </c>
      <c r="S769" s="376" t="str">
        <f>CS_PID!S769/VLOOKUP($B769,표2[#ALL],2)/HLOOKUP($A769,표1[#ALL],row(),false)</f>
        <v>#N/A</v>
      </c>
      <c r="T769" s="376" t="str">
        <f>CS_PID!T769/VLOOKUP($B769,표2[#ALL],2)/HLOOKUP($A769,표1[#ALL],row(),false)</f>
        <v>#N/A</v>
      </c>
      <c r="U769" s="376" t="str">
        <f>CS_PID!U769/VLOOKUP($B769,표2[#ALL],2)/HLOOKUP($A769,표1[#ALL],row(),false)</f>
        <v>#N/A</v>
      </c>
      <c r="V769" s="376" t="str">
        <f>CS_PID!V769/VLOOKUP($B769,표2[#ALL],2)/HLOOKUP($A769,표1[#ALL],row(),false)</f>
        <v>#N/A</v>
      </c>
      <c r="W769" s="376" t="str">
        <f>CS_PID!W769/VLOOKUP($B769,표2[#ALL],2)/HLOOKUP($A769,표1[#ALL],row(),false)</f>
        <v>#N/A</v>
      </c>
      <c r="X769" s="376" t="str">
        <f>CS_PID!X769/VLOOKUP($B769,표2[#ALL],2)/HLOOKUP($A769,표1[#ALL],row(),false)</f>
        <v>#N/A</v>
      </c>
      <c r="Y769" s="376" t="str">
        <f>CS_PID!Y769/VLOOKUP($B769,표2[#ALL],2)/HLOOKUP($A769,표1[#ALL],row(),false)</f>
        <v>#N/A</v>
      </c>
      <c r="Z769" s="376" t="str">
        <f>CS_PID!Z769/VLOOKUP($B769,표2[#ALL],2)/HLOOKUP($A769,표1[#ALL],row(),false)</f>
        <v>#N/A</v>
      </c>
      <c r="AA769" s="376" t="str">
        <f>CS_PID!AA769/VLOOKUP($B769,표2[#ALL],2)/HLOOKUP($A769,표1[#ALL],row(),false)</f>
        <v>#N/A</v>
      </c>
      <c r="AB769" s="376" t="str">
        <f>CS_PID!AB769/VLOOKUP($B769,표2[#ALL],2)/HLOOKUP($A769,표1[#ALL],row(),false)</f>
        <v>#N/A</v>
      </c>
      <c r="AC769" s="376" t="str">
        <f>CS_PID!AC769/VLOOKUP($B769,표2[#ALL],2)/HLOOKUP($A769,표1[#ALL],row(),false)</f>
        <v>#N/A</v>
      </c>
      <c r="AD769" s="376" t="str">
        <f>CS_PID!AD769/VLOOKUP($B769,표2[#ALL],2)/HLOOKUP($A769,표1[#ALL],row(),false)</f>
        <v>#N/A</v>
      </c>
      <c r="AE769" s="376" t="str">
        <f>CS_PID!AE769/VLOOKUP($B769,표2[#ALL],2)/HLOOKUP($A769,표1[#ALL],row(),false)</f>
        <v>#N/A</v>
      </c>
      <c r="AF769" s="376" t="str">
        <f>CS_PID!AF769/VLOOKUP($B769,표2[#ALL],2)/HLOOKUP($A769,표1[#ALL],row(),false)</f>
        <v>#N/A</v>
      </c>
      <c r="AG769" s="376" t="str">
        <f>CS_PID!AG769/VLOOKUP($B769,표2[#ALL],2)/HLOOKUP($A769,표1[#ALL],row(),false)</f>
        <v>#N/A</v>
      </c>
      <c r="AH769" s="376" t="str">
        <f>CS_PID!AH769/VLOOKUP($B769,표2[#ALL],2)/HLOOKUP($A769,표1[#ALL],row(),false)</f>
        <v>#N/A</v>
      </c>
      <c r="AI769" s="376" t="str">
        <f>CS_PID!AI769/VLOOKUP($B769,표2[#ALL],2)/HLOOKUP($A769,표1[#ALL],row(),false)</f>
        <v>#N/A</v>
      </c>
      <c r="AJ769" s="376" t="str">
        <f>CS_PID!AJ769/VLOOKUP($B769,표2[#ALL],2)/HLOOKUP($A769,표1[#ALL],row(),false)</f>
        <v>#N/A</v>
      </c>
      <c r="AK769" s="376" t="str">
        <f>CS_PID!AK769/VLOOKUP($B769,표2[#ALL],2)/HLOOKUP($A769,표1[#ALL],row(),false)</f>
        <v>#N/A</v>
      </c>
      <c r="AL769" s="376" t="str">
        <f>CS_PID!AL769/VLOOKUP($B769,표2[#ALL],2)/HLOOKUP($A769,표1[#ALL],row(),false)</f>
        <v>#N/A</v>
      </c>
      <c r="AM769" s="376" t="str">
        <f>CS_PID!AM769/VLOOKUP($B769,표2[#ALL],2)/HLOOKUP($A769,표1[#ALL],row(),false)</f>
        <v>#N/A</v>
      </c>
      <c r="AN769" s="376" t="str">
        <f>CS_PID!AN769/VLOOKUP($B769,표2[#ALL],2)/HLOOKUP($A769,표1[#ALL],row(),false)</f>
        <v>#N/A</v>
      </c>
      <c r="AO769" s="376" t="str">
        <f>CS_PID!AO769/VLOOKUP($B769,표2[#ALL],2)/HLOOKUP($A769,표1[#ALL],row(),false)</f>
        <v>#N/A</v>
      </c>
      <c r="AP769" s="376" t="str">
        <f>CS_PID!AP769/VLOOKUP($B769,표2[#ALL],2)/HLOOKUP($A769,표1[#ALL],row(),false)</f>
        <v>#N/A</v>
      </c>
      <c r="AQ769" s="376" t="str">
        <f>CS_PID!AQ769/VLOOKUP($B769,표2[#ALL],2)/HLOOKUP($A769,표1[#ALL],row(),false)</f>
        <v>#N/A</v>
      </c>
      <c r="AR769" s="376" t="str">
        <f>CS_PID!AR769/VLOOKUP($B769,표2[#ALL],2)/HLOOKUP($A769,표1[#ALL],row(),false)</f>
        <v>#N/A</v>
      </c>
      <c r="AS769" s="377" t="str">
        <f>CS_PID!AS769/VLOOKUP($B769,표2[#ALL],2)/HLOOKUP($A769,표1[#ALL],row(),false)</f>
        <v>#N/A</v>
      </c>
    </row>
    <row r="770">
      <c r="A770" s="370"/>
      <c r="B770" s="371"/>
      <c r="C770" s="372" t="str">
        <f>CS_PID!C770/VLOOKUP($B770,표2[#ALL],2)</f>
        <v>#N/A</v>
      </c>
      <c r="D770" s="372" t="str">
        <f>CS_PID!D770/VLOOKUP($B770,표2[#ALL],2)</f>
        <v>#N/A</v>
      </c>
      <c r="E770" s="372" t="str">
        <f>CS_PID!E770/VLOOKUP($B770,표2[#ALL],2)</f>
        <v>#N/A</v>
      </c>
      <c r="F770" s="372" t="str">
        <f>CS_PID!F770/VLOOKUP($B770,표2[#ALL],2)</f>
        <v>#N/A</v>
      </c>
      <c r="G770" s="372" t="str">
        <f>CS_PID!G770/VLOOKUP($B770,표2[#ALL],2)</f>
        <v>#N/A</v>
      </c>
      <c r="H770" s="372" t="str">
        <f>CS_PID!H770/VLOOKUP($B770,표2[#ALL],2)/HLOOKUP($A770,표1[#ALL],row(),false)</f>
        <v>#N/A</v>
      </c>
      <c r="I770" s="372" t="str">
        <f>CS_PID!I770/VLOOKUP($B770,표2[#ALL],2)/HLOOKUP($A770,표1[#ALL],row(),false)</f>
        <v>#N/A</v>
      </c>
      <c r="J770" s="372" t="str">
        <f>CS_PID!J770/VLOOKUP($B770,표2[#ALL],2)/HLOOKUP($A770,표1[#ALL],row(),false)</f>
        <v>#N/A</v>
      </c>
      <c r="K770" s="372" t="str">
        <f>CS_PID!K770/VLOOKUP($B770,표2[#ALL],2)/HLOOKUP($A770,표1[#ALL],row(),false)</f>
        <v>#N/A</v>
      </c>
      <c r="L770" s="372" t="str">
        <f>CS_PID!L770/VLOOKUP($B770,표2[#ALL],2)/HLOOKUP($A770,표1[#ALL],row(),false)</f>
        <v>#N/A</v>
      </c>
      <c r="M770" s="372" t="str">
        <f>CS_PID!M770/VLOOKUP($B770,표2[#ALL],2)/HLOOKUP($A770,표1[#ALL],row(),false)</f>
        <v>#N/A</v>
      </c>
      <c r="N770" s="372" t="str">
        <f>CS_PID!N770/VLOOKUP($B770,표2[#ALL],2)/HLOOKUP($A770,표1[#ALL],row(),false)</f>
        <v>#N/A</v>
      </c>
      <c r="O770" s="372" t="str">
        <f>CS_PID!O770/VLOOKUP($B770,표2[#ALL],2)/HLOOKUP($A770,표1[#ALL],row(),false)</f>
        <v>#N/A</v>
      </c>
      <c r="P770" s="372" t="str">
        <f>CS_PID!P770/VLOOKUP($B770,표2[#ALL],2)/HLOOKUP($A770,표1[#ALL],row(),false)</f>
        <v>#N/A</v>
      </c>
      <c r="Q770" s="372" t="str">
        <f>CS_PID!Q770/VLOOKUP($B770,표2[#ALL],2)/HLOOKUP($A770,표1[#ALL],row(),false)</f>
        <v>#N/A</v>
      </c>
      <c r="R770" s="372" t="str">
        <f>CS_PID!R770/VLOOKUP($B770,표2[#ALL],2)/HLOOKUP($A770,표1[#ALL],row(),false)</f>
        <v>#N/A</v>
      </c>
      <c r="S770" s="372" t="str">
        <f>CS_PID!S770/VLOOKUP($B770,표2[#ALL],2)/HLOOKUP($A770,표1[#ALL],row(),false)</f>
        <v>#N/A</v>
      </c>
      <c r="T770" s="372" t="str">
        <f>CS_PID!T770/VLOOKUP($B770,표2[#ALL],2)/HLOOKUP($A770,표1[#ALL],row(),false)</f>
        <v>#N/A</v>
      </c>
      <c r="U770" s="372" t="str">
        <f>CS_PID!U770/VLOOKUP($B770,표2[#ALL],2)/HLOOKUP($A770,표1[#ALL],row(),false)</f>
        <v>#N/A</v>
      </c>
      <c r="V770" s="372" t="str">
        <f>CS_PID!V770/VLOOKUP($B770,표2[#ALL],2)/HLOOKUP($A770,표1[#ALL],row(),false)</f>
        <v>#N/A</v>
      </c>
      <c r="W770" s="372" t="str">
        <f>CS_PID!W770/VLOOKUP($B770,표2[#ALL],2)/HLOOKUP($A770,표1[#ALL],row(),false)</f>
        <v>#N/A</v>
      </c>
      <c r="X770" s="372" t="str">
        <f>CS_PID!X770/VLOOKUP($B770,표2[#ALL],2)/HLOOKUP($A770,표1[#ALL],row(),false)</f>
        <v>#N/A</v>
      </c>
      <c r="Y770" s="372" t="str">
        <f>CS_PID!Y770/VLOOKUP($B770,표2[#ALL],2)/HLOOKUP($A770,표1[#ALL],row(),false)</f>
        <v>#N/A</v>
      </c>
      <c r="Z770" s="372" t="str">
        <f>CS_PID!Z770/VLOOKUP($B770,표2[#ALL],2)/HLOOKUP($A770,표1[#ALL],row(),false)</f>
        <v>#N/A</v>
      </c>
      <c r="AA770" s="372" t="str">
        <f>CS_PID!AA770/VLOOKUP($B770,표2[#ALL],2)/HLOOKUP($A770,표1[#ALL],row(),false)</f>
        <v>#N/A</v>
      </c>
      <c r="AB770" s="372" t="str">
        <f>CS_PID!AB770/VLOOKUP($B770,표2[#ALL],2)/HLOOKUP($A770,표1[#ALL],row(),false)</f>
        <v>#N/A</v>
      </c>
      <c r="AC770" s="372" t="str">
        <f>CS_PID!AC770/VLOOKUP($B770,표2[#ALL],2)/HLOOKUP($A770,표1[#ALL],row(),false)</f>
        <v>#N/A</v>
      </c>
      <c r="AD770" s="372" t="str">
        <f>CS_PID!AD770/VLOOKUP($B770,표2[#ALL],2)/HLOOKUP($A770,표1[#ALL],row(),false)</f>
        <v>#N/A</v>
      </c>
      <c r="AE770" s="372" t="str">
        <f>CS_PID!AE770/VLOOKUP($B770,표2[#ALL],2)/HLOOKUP($A770,표1[#ALL],row(),false)</f>
        <v>#N/A</v>
      </c>
      <c r="AF770" s="372" t="str">
        <f>CS_PID!AF770/VLOOKUP($B770,표2[#ALL],2)/HLOOKUP($A770,표1[#ALL],row(),false)</f>
        <v>#N/A</v>
      </c>
      <c r="AG770" s="372" t="str">
        <f>CS_PID!AG770/VLOOKUP($B770,표2[#ALL],2)/HLOOKUP($A770,표1[#ALL],row(),false)</f>
        <v>#N/A</v>
      </c>
      <c r="AH770" s="372" t="str">
        <f>CS_PID!AH770/VLOOKUP($B770,표2[#ALL],2)/HLOOKUP($A770,표1[#ALL],row(),false)</f>
        <v>#N/A</v>
      </c>
      <c r="AI770" s="372" t="str">
        <f>CS_PID!AI770/VLOOKUP($B770,표2[#ALL],2)/HLOOKUP($A770,표1[#ALL],row(),false)</f>
        <v>#N/A</v>
      </c>
      <c r="AJ770" s="372" t="str">
        <f>CS_PID!AJ770/VLOOKUP($B770,표2[#ALL],2)/HLOOKUP($A770,표1[#ALL],row(),false)</f>
        <v>#N/A</v>
      </c>
      <c r="AK770" s="372" t="str">
        <f>CS_PID!AK770/VLOOKUP($B770,표2[#ALL],2)/HLOOKUP($A770,표1[#ALL],row(),false)</f>
        <v>#N/A</v>
      </c>
      <c r="AL770" s="372" t="str">
        <f>CS_PID!AL770/VLOOKUP($B770,표2[#ALL],2)/HLOOKUP($A770,표1[#ALL],row(),false)</f>
        <v>#N/A</v>
      </c>
      <c r="AM770" s="372" t="str">
        <f>CS_PID!AM770/VLOOKUP($B770,표2[#ALL],2)/HLOOKUP($A770,표1[#ALL],row(),false)</f>
        <v>#N/A</v>
      </c>
      <c r="AN770" s="372" t="str">
        <f>CS_PID!AN770/VLOOKUP($B770,표2[#ALL],2)/HLOOKUP($A770,표1[#ALL],row(),false)</f>
        <v>#N/A</v>
      </c>
      <c r="AO770" s="372" t="str">
        <f>CS_PID!AO770/VLOOKUP($B770,표2[#ALL],2)/HLOOKUP($A770,표1[#ALL],row(),false)</f>
        <v>#N/A</v>
      </c>
      <c r="AP770" s="372" t="str">
        <f>CS_PID!AP770/VLOOKUP($B770,표2[#ALL],2)/HLOOKUP($A770,표1[#ALL],row(),false)</f>
        <v>#N/A</v>
      </c>
      <c r="AQ770" s="372" t="str">
        <f>CS_PID!AQ770/VLOOKUP($B770,표2[#ALL],2)/HLOOKUP($A770,표1[#ALL],row(),false)</f>
        <v>#N/A</v>
      </c>
      <c r="AR770" s="372" t="str">
        <f>CS_PID!AR770/VLOOKUP($B770,표2[#ALL],2)/HLOOKUP($A770,표1[#ALL],row(),false)</f>
        <v>#N/A</v>
      </c>
      <c r="AS770" s="373" t="str">
        <f>CS_PID!AS770/VLOOKUP($B770,표2[#ALL],2)/HLOOKUP($A770,표1[#ALL],row(),false)</f>
        <v>#N/A</v>
      </c>
    </row>
    <row r="771">
      <c r="A771" s="374"/>
      <c r="B771" s="375"/>
      <c r="C771" s="376" t="str">
        <f>CS_PID!C771/VLOOKUP($B771,표2[#ALL],2)</f>
        <v>#N/A</v>
      </c>
      <c r="D771" s="376" t="str">
        <f>CS_PID!D771/VLOOKUP($B771,표2[#ALL],2)</f>
        <v>#N/A</v>
      </c>
      <c r="E771" s="376" t="str">
        <f>CS_PID!E771/VLOOKUP($B771,표2[#ALL],2)</f>
        <v>#N/A</v>
      </c>
      <c r="F771" s="376" t="str">
        <f>CS_PID!F771/VLOOKUP($B771,표2[#ALL],2)</f>
        <v>#N/A</v>
      </c>
      <c r="G771" s="376" t="str">
        <f>CS_PID!G771/VLOOKUP($B771,표2[#ALL],2)</f>
        <v>#N/A</v>
      </c>
      <c r="H771" s="376" t="str">
        <f>CS_PID!H771/VLOOKUP($B771,표2[#ALL],2)/HLOOKUP($A771,표1[#ALL],row(),false)</f>
        <v>#N/A</v>
      </c>
      <c r="I771" s="376" t="str">
        <f>CS_PID!I771/VLOOKUP($B771,표2[#ALL],2)/HLOOKUP($A771,표1[#ALL],row(),false)</f>
        <v>#N/A</v>
      </c>
      <c r="J771" s="376" t="str">
        <f>CS_PID!J771/VLOOKUP($B771,표2[#ALL],2)/HLOOKUP($A771,표1[#ALL],row(),false)</f>
        <v>#N/A</v>
      </c>
      <c r="K771" s="376" t="str">
        <f>CS_PID!K771/VLOOKUP($B771,표2[#ALL],2)/HLOOKUP($A771,표1[#ALL],row(),false)</f>
        <v>#N/A</v>
      </c>
      <c r="L771" s="376" t="str">
        <f>CS_PID!L771/VLOOKUP($B771,표2[#ALL],2)/HLOOKUP($A771,표1[#ALL],row(),false)</f>
        <v>#N/A</v>
      </c>
      <c r="M771" s="376" t="str">
        <f>CS_PID!M771/VLOOKUP($B771,표2[#ALL],2)/HLOOKUP($A771,표1[#ALL],row(),false)</f>
        <v>#N/A</v>
      </c>
      <c r="N771" s="376" t="str">
        <f>CS_PID!N771/VLOOKUP($B771,표2[#ALL],2)/HLOOKUP($A771,표1[#ALL],row(),false)</f>
        <v>#N/A</v>
      </c>
      <c r="O771" s="376" t="str">
        <f>CS_PID!O771/VLOOKUP($B771,표2[#ALL],2)/HLOOKUP($A771,표1[#ALL],row(),false)</f>
        <v>#N/A</v>
      </c>
      <c r="P771" s="376" t="str">
        <f>CS_PID!P771/VLOOKUP($B771,표2[#ALL],2)/HLOOKUP($A771,표1[#ALL],row(),false)</f>
        <v>#N/A</v>
      </c>
      <c r="Q771" s="376" t="str">
        <f>CS_PID!Q771/VLOOKUP($B771,표2[#ALL],2)/HLOOKUP($A771,표1[#ALL],row(),false)</f>
        <v>#N/A</v>
      </c>
      <c r="R771" s="376" t="str">
        <f>CS_PID!R771/VLOOKUP($B771,표2[#ALL],2)/HLOOKUP($A771,표1[#ALL],row(),false)</f>
        <v>#N/A</v>
      </c>
      <c r="S771" s="376" t="str">
        <f>CS_PID!S771/VLOOKUP($B771,표2[#ALL],2)/HLOOKUP($A771,표1[#ALL],row(),false)</f>
        <v>#N/A</v>
      </c>
      <c r="T771" s="376" t="str">
        <f>CS_PID!T771/VLOOKUP($B771,표2[#ALL],2)/HLOOKUP($A771,표1[#ALL],row(),false)</f>
        <v>#N/A</v>
      </c>
      <c r="U771" s="376" t="str">
        <f>CS_PID!U771/VLOOKUP($B771,표2[#ALL],2)/HLOOKUP($A771,표1[#ALL],row(),false)</f>
        <v>#N/A</v>
      </c>
      <c r="V771" s="376" t="str">
        <f>CS_PID!V771/VLOOKUP($B771,표2[#ALL],2)/HLOOKUP($A771,표1[#ALL],row(),false)</f>
        <v>#N/A</v>
      </c>
      <c r="W771" s="376" t="str">
        <f>CS_PID!W771/VLOOKUP($B771,표2[#ALL],2)/HLOOKUP($A771,표1[#ALL],row(),false)</f>
        <v>#N/A</v>
      </c>
      <c r="X771" s="376" t="str">
        <f>CS_PID!X771/VLOOKUP($B771,표2[#ALL],2)/HLOOKUP($A771,표1[#ALL],row(),false)</f>
        <v>#N/A</v>
      </c>
      <c r="Y771" s="376" t="str">
        <f>CS_PID!Y771/VLOOKUP($B771,표2[#ALL],2)/HLOOKUP($A771,표1[#ALL],row(),false)</f>
        <v>#N/A</v>
      </c>
      <c r="Z771" s="376" t="str">
        <f>CS_PID!Z771/VLOOKUP($B771,표2[#ALL],2)/HLOOKUP($A771,표1[#ALL],row(),false)</f>
        <v>#N/A</v>
      </c>
      <c r="AA771" s="376" t="str">
        <f>CS_PID!AA771/VLOOKUP($B771,표2[#ALL],2)/HLOOKUP($A771,표1[#ALL],row(),false)</f>
        <v>#N/A</v>
      </c>
      <c r="AB771" s="376" t="str">
        <f>CS_PID!AB771/VLOOKUP($B771,표2[#ALL],2)/HLOOKUP($A771,표1[#ALL],row(),false)</f>
        <v>#N/A</v>
      </c>
      <c r="AC771" s="376" t="str">
        <f>CS_PID!AC771/VLOOKUP($B771,표2[#ALL],2)/HLOOKUP($A771,표1[#ALL],row(),false)</f>
        <v>#N/A</v>
      </c>
      <c r="AD771" s="376" t="str">
        <f>CS_PID!AD771/VLOOKUP($B771,표2[#ALL],2)/HLOOKUP($A771,표1[#ALL],row(),false)</f>
        <v>#N/A</v>
      </c>
      <c r="AE771" s="376" t="str">
        <f>CS_PID!AE771/VLOOKUP($B771,표2[#ALL],2)/HLOOKUP($A771,표1[#ALL],row(),false)</f>
        <v>#N/A</v>
      </c>
      <c r="AF771" s="376" t="str">
        <f>CS_PID!AF771/VLOOKUP($B771,표2[#ALL],2)/HLOOKUP($A771,표1[#ALL],row(),false)</f>
        <v>#N/A</v>
      </c>
      <c r="AG771" s="376" t="str">
        <f>CS_PID!AG771/VLOOKUP($B771,표2[#ALL],2)/HLOOKUP($A771,표1[#ALL],row(),false)</f>
        <v>#N/A</v>
      </c>
      <c r="AH771" s="376" t="str">
        <f>CS_PID!AH771/VLOOKUP($B771,표2[#ALL],2)/HLOOKUP($A771,표1[#ALL],row(),false)</f>
        <v>#N/A</v>
      </c>
      <c r="AI771" s="376" t="str">
        <f>CS_PID!AI771/VLOOKUP($B771,표2[#ALL],2)/HLOOKUP($A771,표1[#ALL],row(),false)</f>
        <v>#N/A</v>
      </c>
      <c r="AJ771" s="376" t="str">
        <f>CS_PID!AJ771/VLOOKUP($B771,표2[#ALL],2)/HLOOKUP($A771,표1[#ALL],row(),false)</f>
        <v>#N/A</v>
      </c>
      <c r="AK771" s="376" t="str">
        <f>CS_PID!AK771/VLOOKUP($B771,표2[#ALL],2)/HLOOKUP($A771,표1[#ALL],row(),false)</f>
        <v>#N/A</v>
      </c>
      <c r="AL771" s="376" t="str">
        <f>CS_PID!AL771/VLOOKUP($B771,표2[#ALL],2)/HLOOKUP($A771,표1[#ALL],row(),false)</f>
        <v>#N/A</v>
      </c>
      <c r="AM771" s="376" t="str">
        <f>CS_PID!AM771/VLOOKUP($B771,표2[#ALL],2)/HLOOKUP($A771,표1[#ALL],row(),false)</f>
        <v>#N/A</v>
      </c>
      <c r="AN771" s="376" t="str">
        <f>CS_PID!AN771/VLOOKUP($B771,표2[#ALL],2)/HLOOKUP($A771,표1[#ALL],row(),false)</f>
        <v>#N/A</v>
      </c>
      <c r="AO771" s="376" t="str">
        <f>CS_PID!AO771/VLOOKUP($B771,표2[#ALL],2)/HLOOKUP($A771,표1[#ALL],row(),false)</f>
        <v>#N/A</v>
      </c>
      <c r="AP771" s="376" t="str">
        <f>CS_PID!AP771/VLOOKUP($B771,표2[#ALL],2)/HLOOKUP($A771,표1[#ALL],row(),false)</f>
        <v>#N/A</v>
      </c>
      <c r="AQ771" s="376" t="str">
        <f>CS_PID!AQ771/VLOOKUP($B771,표2[#ALL],2)/HLOOKUP($A771,표1[#ALL],row(),false)</f>
        <v>#N/A</v>
      </c>
      <c r="AR771" s="376" t="str">
        <f>CS_PID!AR771/VLOOKUP($B771,표2[#ALL],2)/HLOOKUP($A771,표1[#ALL],row(),false)</f>
        <v>#N/A</v>
      </c>
      <c r="AS771" s="377" t="str">
        <f>CS_PID!AS771/VLOOKUP($B771,표2[#ALL],2)/HLOOKUP($A771,표1[#ALL],row(),false)</f>
        <v>#N/A</v>
      </c>
    </row>
    <row r="772">
      <c r="A772" s="370"/>
      <c r="B772" s="371"/>
      <c r="C772" s="372" t="str">
        <f>CS_PID!C772/VLOOKUP($B772,표2[#ALL],2)</f>
        <v>#N/A</v>
      </c>
      <c r="D772" s="372" t="str">
        <f>CS_PID!D772/VLOOKUP($B772,표2[#ALL],2)</f>
        <v>#N/A</v>
      </c>
      <c r="E772" s="372" t="str">
        <f>CS_PID!E772/VLOOKUP($B772,표2[#ALL],2)</f>
        <v>#N/A</v>
      </c>
      <c r="F772" s="372" t="str">
        <f>CS_PID!F772/VLOOKUP($B772,표2[#ALL],2)</f>
        <v>#N/A</v>
      </c>
      <c r="G772" s="372" t="str">
        <f>CS_PID!G772/VLOOKUP($B772,표2[#ALL],2)</f>
        <v>#N/A</v>
      </c>
      <c r="H772" s="372" t="str">
        <f>CS_PID!H772/VLOOKUP($B772,표2[#ALL],2)/HLOOKUP($A772,표1[#ALL],row(),false)</f>
        <v>#N/A</v>
      </c>
      <c r="I772" s="372" t="str">
        <f>CS_PID!I772/VLOOKUP($B772,표2[#ALL],2)/HLOOKUP($A772,표1[#ALL],row(),false)</f>
        <v>#N/A</v>
      </c>
      <c r="J772" s="372" t="str">
        <f>CS_PID!J772/VLOOKUP($B772,표2[#ALL],2)/HLOOKUP($A772,표1[#ALL],row(),false)</f>
        <v>#N/A</v>
      </c>
      <c r="K772" s="372" t="str">
        <f>CS_PID!K772/VLOOKUP($B772,표2[#ALL],2)/HLOOKUP($A772,표1[#ALL],row(),false)</f>
        <v>#N/A</v>
      </c>
      <c r="L772" s="372" t="str">
        <f>CS_PID!L772/VLOOKUP($B772,표2[#ALL],2)/HLOOKUP($A772,표1[#ALL],row(),false)</f>
        <v>#N/A</v>
      </c>
      <c r="M772" s="372" t="str">
        <f>CS_PID!M772/VLOOKUP($B772,표2[#ALL],2)/HLOOKUP($A772,표1[#ALL],row(),false)</f>
        <v>#N/A</v>
      </c>
      <c r="N772" s="372" t="str">
        <f>CS_PID!N772/VLOOKUP($B772,표2[#ALL],2)/HLOOKUP($A772,표1[#ALL],row(),false)</f>
        <v>#N/A</v>
      </c>
      <c r="O772" s="372" t="str">
        <f>CS_PID!O772/VLOOKUP($B772,표2[#ALL],2)/HLOOKUP($A772,표1[#ALL],row(),false)</f>
        <v>#N/A</v>
      </c>
      <c r="P772" s="372" t="str">
        <f>CS_PID!P772/VLOOKUP($B772,표2[#ALL],2)/HLOOKUP($A772,표1[#ALL],row(),false)</f>
        <v>#N/A</v>
      </c>
      <c r="Q772" s="372" t="str">
        <f>CS_PID!Q772/VLOOKUP($B772,표2[#ALL],2)/HLOOKUP($A772,표1[#ALL],row(),false)</f>
        <v>#N/A</v>
      </c>
      <c r="R772" s="372" t="str">
        <f>CS_PID!R772/VLOOKUP($B772,표2[#ALL],2)/HLOOKUP($A772,표1[#ALL],row(),false)</f>
        <v>#N/A</v>
      </c>
      <c r="S772" s="372" t="str">
        <f>CS_PID!S772/VLOOKUP($B772,표2[#ALL],2)/HLOOKUP($A772,표1[#ALL],row(),false)</f>
        <v>#N/A</v>
      </c>
      <c r="T772" s="372" t="str">
        <f>CS_PID!T772/VLOOKUP($B772,표2[#ALL],2)/HLOOKUP($A772,표1[#ALL],row(),false)</f>
        <v>#N/A</v>
      </c>
      <c r="U772" s="372" t="str">
        <f>CS_PID!U772/VLOOKUP($B772,표2[#ALL],2)/HLOOKUP($A772,표1[#ALL],row(),false)</f>
        <v>#N/A</v>
      </c>
      <c r="V772" s="372" t="str">
        <f>CS_PID!V772/VLOOKUP($B772,표2[#ALL],2)/HLOOKUP($A772,표1[#ALL],row(),false)</f>
        <v>#N/A</v>
      </c>
      <c r="W772" s="372" t="str">
        <f>CS_PID!W772/VLOOKUP($B772,표2[#ALL],2)/HLOOKUP($A772,표1[#ALL],row(),false)</f>
        <v>#N/A</v>
      </c>
      <c r="X772" s="372" t="str">
        <f>CS_PID!X772/VLOOKUP($B772,표2[#ALL],2)/HLOOKUP($A772,표1[#ALL],row(),false)</f>
        <v>#N/A</v>
      </c>
      <c r="Y772" s="372" t="str">
        <f>CS_PID!Y772/VLOOKUP($B772,표2[#ALL],2)/HLOOKUP($A772,표1[#ALL],row(),false)</f>
        <v>#N/A</v>
      </c>
      <c r="Z772" s="372" t="str">
        <f>CS_PID!Z772/VLOOKUP($B772,표2[#ALL],2)/HLOOKUP($A772,표1[#ALL],row(),false)</f>
        <v>#N/A</v>
      </c>
      <c r="AA772" s="372" t="str">
        <f>CS_PID!AA772/VLOOKUP($B772,표2[#ALL],2)/HLOOKUP($A772,표1[#ALL],row(),false)</f>
        <v>#N/A</v>
      </c>
      <c r="AB772" s="372" t="str">
        <f>CS_PID!AB772/VLOOKUP($B772,표2[#ALL],2)/HLOOKUP($A772,표1[#ALL],row(),false)</f>
        <v>#N/A</v>
      </c>
      <c r="AC772" s="372" t="str">
        <f>CS_PID!AC772/VLOOKUP($B772,표2[#ALL],2)/HLOOKUP($A772,표1[#ALL],row(),false)</f>
        <v>#N/A</v>
      </c>
      <c r="AD772" s="372" t="str">
        <f>CS_PID!AD772/VLOOKUP($B772,표2[#ALL],2)/HLOOKUP($A772,표1[#ALL],row(),false)</f>
        <v>#N/A</v>
      </c>
      <c r="AE772" s="372" t="str">
        <f>CS_PID!AE772/VLOOKUP($B772,표2[#ALL],2)/HLOOKUP($A772,표1[#ALL],row(),false)</f>
        <v>#N/A</v>
      </c>
      <c r="AF772" s="372" t="str">
        <f>CS_PID!AF772/VLOOKUP($B772,표2[#ALL],2)/HLOOKUP($A772,표1[#ALL],row(),false)</f>
        <v>#N/A</v>
      </c>
      <c r="AG772" s="372" t="str">
        <f>CS_PID!AG772/VLOOKUP($B772,표2[#ALL],2)/HLOOKUP($A772,표1[#ALL],row(),false)</f>
        <v>#N/A</v>
      </c>
      <c r="AH772" s="372" t="str">
        <f>CS_PID!AH772/VLOOKUP($B772,표2[#ALL],2)/HLOOKUP($A772,표1[#ALL],row(),false)</f>
        <v>#N/A</v>
      </c>
      <c r="AI772" s="372" t="str">
        <f>CS_PID!AI772/VLOOKUP($B772,표2[#ALL],2)/HLOOKUP($A772,표1[#ALL],row(),false)</f>
        <v>#N/A</v>
      </c>
      <c r="AJ772" s="372" t="str">
        <f>CS_PID!AJ772/VLOOKUP($B772,표2[#ALL],2)/HLOOKUP($A772,표1[#ALL],row(),false)</f>
        <v>#N/A</v>
      </c>
      <c r="AK772" s="372" t="str">
        <f>CS_PID!AK772/VLOOKUP($B772,표2[#ALL],2)/HLOOKUP($A772,표1[#ALL],row(),false)</f>
        <v>#N/A</v>
      </c>
      <c r="AL772" s="372" t="str">
        <f>CS_PID!AL772/VLOOKUP($B772,표2[#ALL],2)/HLOOKUP($A772,표1[#ALL],row(),false)</f>
        <v>#N/A</v>
      </c>
      <c r="AM772" s="372" t="str">
        <f>CS_PID!AM772/VLOOKUP($B772,표2[#ALL],2)/HLOOKUP($A772,표1[#ALL],row(),false)</f>
        <v>#N/A</v>
      </c>
      <c r="AN772" s="372" t="str">
        <f>CS_PID!AN772/VLOOKUP($B772,표2[#ALL],2)/HLOOKUP($A772,표1[#ALL],row(),false)</f>
        <v>#N/A</v>
      </c>
      <c r="AO772" s="372" t="str">
        <f>CS_PID!AO772/VLOOKUP($B772,표2[#ALL],2)/HLOOKUP($A772,표1[#ALL],row(),false)</f>
        <v>#N/A</v>
      </c>
      <c r="AP772" s="372" t="str">
        <f>CS_PID!AP772/VLOOKUP($B772,표2[#ALL],2)/HLOOKUP($A772,표1[#ALL],row(),false)</f>
        <v>#N/A</v>
      </c>
      <c r="AQ772" s="372" t="str">
        <f>CS_PID!AQ772/VLOOKUP($B772,표2[#ALL],2)/HLOOKUP($A772,표1[#ALL],row(),false)</f>
        <v>#N/A</v>
      </c>
      <c r="AR772" s="372" t="str">
        <f>CS_PID!AR772/VLOOKUP($B772,표2[#ALL],2)/HLOOKUP($A772,표1[#ALL],row(),false)</f>
        <v>#N/A</v>
      </c>
      <c r="AS772" s="373" t="str">
        <f>CS_PID!AS772/VLOOKUP($B772,표2[#ALL],2)/HLOOKUP($A772,표1[#ALL],row(),false)</f>
        <v>#N/A</v>
      </c>
    </row>
    <row r="773">
      <c r="A773" s="374"/>
      <c r="B773" s="375"/>
      <c r="C773" s="376" t="str">
        <f>CS_PID!C773/VLOOKUP($B773,표2[#ALL],2)</f>
        <v>#N/A</v>
      </c>
      <c r="D773" s="376" t="str">
        <f>CS_PID!D773/VLOOKUP($B773,표2[#ALL],2)</f>
        <v>#N/A</v>
      </c>
      <c r="E773" s="376" t="str">
        <f>CS_PID!E773/VLOOKUP($B773,표2[#ALL],2)</f>
        <v>#N/A</v>
      </c>
      <c r="F773" s="376" t="str">
        <f>CS_PID!F773/VLOOKUP($B773,표2[#ALL],2)</f>
        <v>#N/A</v>
      </c>
      <c r="G773" s="376" t="str">
        <f>CS_PID!G773/VLOOKUP($B773,표2[#ALL],2)</f>
        <v>#N/A</v>
      </c>
      <c r="H773" s="376" t="str">
        <f>CS_PID!H773/VLOOKUP($B773,표2[#ALL],2)/HLOOKUP($A773,표1[#ALL],row(),false)</f>
        <v>#N/A</v>
      </c>
      <c r="I773" s="376" t="str">
        <f>CS_PID!I773/VLOOKUP($B773,표2[#ALL],2)/HLOOKUP($A773,표1[#ALL],row(),false)</f>
        <v>#N/A</v>
      </c>
      <c r="J773" s="376" t="str">
        <f>CS_PID!J773/VLOOKUP($B773,표2[#ALL],2)/HLOOKUP($A773,표1[#ALL],row(),false)</f>
        <v>#N/A</v>
      </c>
      <c r="K773" s="376" t="str">
        <f>CS_PID!K773/VLOOKUP($B773,표2[#ALL],2)/HLOOKUP($A773,표1[#ALL],row(),false)</f>
        <v>#N/A</v>
      </c>
      <c r="L773" s="376" t="str">
        <f>CS_PID!L773/VLOOKUP($B773,표2[#ALL],2)/HLOOKUP($A773,표1[#ALL],row(),false)</f>
        <v>#N/A</v>
      </c>
      <c r="M773" s="376" t="str">
        <f>CS_PID!M773/VLOOKUP($B773,표2[#ALL],2)/HLOOKUP($A773,표1[#ALL],row(),false)</f>
        <v>#N/A</v>
      </c>
      <c r="N773" s="376" t="str">
        <f>CS_PID!N773/VLOOKUP($B773,표2[#ALL],2)/HLOOKUP($A773,표1[#ALL],row(),false)</f>
        <v>#N/A</v>
      </c>
      <c r="O773" s="376" t="str">
        <f>CS_PID!O773/VLOOKUP($B773,표2[#ALL],2)/HLOOKUP($A773,표1[#ALL],row(),false)</f>
        <v>#N/A</v>
      </c>
      <c r="P773" s="376" t="str">
        <f>CS_PID!P773/VLOOKUP($B773,표2[#ALL],2)/HLOOKUP($A773,표1[#ALL],row(),false)</f>
        <v>#N/A</v>
      </c>
      <c r="Q773" s="376" t="str">
        <f>CS_PID!Q773/VLOOKUP($B773,표2[#ALL],2)/HLOOKUP($A773,표1[#ALL],row(),false)</f>
        <v>#N/A</v>
      </c>
      <c r="R773" s="376" t="str">
        <f>CS_PID!R773/VLOOKUP($B773,표2[#ALL],2)/HLOOKUP($A773,표1[#ALL],row(),false)</f>
        <v>#N/A</v>
      </c>
      <c r="S773" s="376" t="str">
        <f>CS_PID!S773/VLOOKUP($B773,표2[#ALL],2)/HLOOKUP($A773,표1[#ALL],row(),false)</f>
        <v>#N/A</v>
      </c>
      <c r="T773" s="376" t="str">
        <f>CS_PID!T773/VLOOKUP($B773,표2[#ALL],2)/HLOOKUP($A773,표1[#ALL],row(),false)</f>
        <v>#N/A</v>
      </c>
      <c r="U773" s="376" t="str">
        <f>CS_PID!U773/VLOOKUP($B773,표2[#ALL],2)/HLOOKUP($A773,표1[#ALL],row(),false)</f>
        <v>#N/A</v>
      </c>
      <c r="V773" s="376" t="str">
        <f>CS_PID!V773/VLOOKUP($B773,표2[#ALL],2)/HLOOKUP($A773,표1[#ALL],row(),false)</f>
        <v>#N/A</v>
      </c>
      <c r="W773" s="376" t="str">
        <f>CS_PID!W773/VLOOKUP($B773,표2[#ALL],2)/HLOOKUP($A773,표1[#ALL],row(),false)</f>
        <v>#N/A</v>
      </c>
      <c r="X773" s="376" t="str">
        <f>CS_PID!X773/VLOOKUP($B773,표2[#ALL],2)/HLOOKUP($A773,표1[#ALL],row(),false)</f>
        <v>#N/A</v>
      </c>
      <c r="Y773" s="376" t="str">
        <f>CS_PID!Y773/VLOOKUP($B773,표2[#ALL],2)/HLOOKUP($A773,표1[#ALL],row(),false)</f>
        <v>#N/A</v>
      </c>
      <c r="Z773" s="376" t="str">
        <f>CS_PID!Z773/VLOOKUP($B773,표2[#ALL],2)/HLOOKUP($A773,표1[#ALL],row(),false)</f>
        <v>#N/A</v>
      </c>
      <c r="AA773" s="376" t="str">
        <f>CS_PID!AA773/VLOOKUP($B773,표2[#ALL],2)/HLOOKUP($A773,표1[#ALL],row(),false)</f>
        <v>#N/A</v>
      </c>
      <c r="AB773" s="376" t="str">
        <f>CS_PID!AB773/VLOOKUP($B773,표2[#ALL],2)/HLOOKUP($A773,표1[#ALL],row(),false)</f>
        <v>#N/A</v>
      </c>
      <c r="AC773" s="376" t="str">
        <f>CS_PID!AC773/VLOOKUP($B773,표2[#ALL],2)/HLOOKUP($A773,표1[#ALL],row(),false)</f>
        <v>#N/A</v>
      </c>
      <c r="AD773" s="376" t="str">
        <f>CS_PID!AD773/VLOOKUP($B773,표2[#ALL],2)/HLOOKUP($A773,표1[#ALL],row(),false)</f>
        <v>#N/A</v>
      </c>
      <c r="AE773" s="376" t="str">
        <f>CS_PID!AE773/VLOOKUP($B773,표2[#ALL],2)/HLOOKUP($A773,표1[#ALL],row(),false)</f>
        <v>#N/A</v>
      </c>
      <c r="AF773" s="376" t="str">
        <f>CS_PID!AF773/VLOOKUP($B773,표2[#ALL],2)/HLOOKUP($A773,표1[#ALL],row(),false)</f>
        <v>#N/A</v>
      </c>
      <c r="AG773" s="376" t="str">
        <f>CS_PID!AG773/VLOOKUP($B773,표2[#ALL],2)/HLOOKUP($A773,표1[#ALL],row(),false)</f>
        <v>#N/A</v>
      </c>
      <c r="AH773" s="376" t="str">
        <f>CS_PID!AH773/VLOOKUP($B773,표2[#ALL],2)/HLOOKUP($A773,표1[#ALL],row(),false)</f>
        <v>#N/A</v>
      </c>
      <c r="AI773" s="376" t="str">
        <f>CS_PID!AI773/VLOOKUP($B773,표2[#ALL],2)/HLOOKUP($A773,표1[#ALL],row(),false)</f>
        <v>#N/A</v>
      </c>
      <c r="AJ773" s="376" t="str">
        <f>CS_PID!AJ773/VLOOKUP($B773,표2[#ALL],2)/HLOOKUP($A773,표1[#ALL],row(),false)</f>
        <v>#N/A</v>
      </c>
      <c r="AK773" s="376" t="str">
        <f>CS_PID!AK773/VLOOKUP($B773,표2[#ALL],2)/HLOOKUP($A773,표1[#ALL],row(),false)</f>
        <v>#N/A</v>
      </c>
      <c r="AL773" s="376" t="str">
        <f>CS_PID!AL773/VLOOKUP($B773,표2[#ALL],2)/HLOOKUP($A773,표1[#ALL],row(),false)</f>
        <v>#N/A</v>
      </c>
      <c r="AM773" s="376" t="str">
        <f>CS_PID!AM773/VLOOKUP($B773,표2[#ALL],2)/HLOOKUP($A773,표1[#ALL],row(),false)</f>
        <v>#N/A</v>
      </c>
      <c r="AN773" s="376" t="str">
        <f>CS_PID!AN773/VLOOKUP($B773,표2[#ALL],2)/HLOOKUP($A773,표1[#ALL],row(),false)</f>
        <v>#N/A</v>
      </c>
      <c r="AO773" s="376" t="str">
        <f>CS_PID!AO773/VLOOKUP($B773,표2[#ALL],2)/HLOOKUP($A773,표1[#ALL],row(),false)</f>
        <v>#N/A</v>
      </c>
      <c r="AP773" s="376" t="str">
        <f>CS_PID!AP773/VLOOKUP($B773,표2[#ALL],2)/HLOOKUP($A773,표1[#ALL],row(),false)</f>
        <v>#N/A</v>
      </c>
      <c r="AQ773" s="376" t="str">
        <f>CS_PID!AQ773/VLOOKUP($B773,표2[#ALL],2)/HLOOKUP($A773,표1[#ALL],row(),false)</f>
        <v>#N/A</v>
      </c>
      <c r="AR773" s="376" t="str">
        <f>CS_PID!AR773/VLOOKUP($B773,표2[#ALL],2)/HLOOKUP($A773,표1[#ALL],row(),false)</f>
        <v>#N/A</v>
      </c>
      <c r="AS773" s="377" t="str">
        <f>CS_PID!AS773/VLOOKUP($B773,표2[#ALL],2)/HLOOKUP($A773,표1[#ALL],row(),false)</f>
        <v>#N/A</v>
      </c>
    </row>
    <row r="774">
      <c r="A774" s="370"/>
      <c r="B774" s="371"/>
      <c r="C774" s="372" t="str">
        <f>CS_PID!C774/VLOOKUP($B774,표2[#ALL],2)</f>
        <v>#N/A</v>
      </c>
      <c r="D774" s="372" t="str">
        <f>CS_PID!D774/VLOOKUP($B774,표2[#ALL],2)</f>
        <v>#N/A</v>
      </c>
      <c r="E774" s="372" t="str">
        <f>CS_PID!E774/VLOOKUP($B774,표2[#ALL],2)</f>
        <v>#N/A</v>
      </c>
      <c r="F774" s="372" t="str">
        <f>CS_PID!F774/VLOOKUP($B774,표2[#ALL],2)</f>
        <v>#N/A</v>
      </c>
      <c r="G774" s="372" t="str">
        <f>CS_PID!G774/VLOOKUP($B774,표2[#ALL],2)</f>
        <v>#N/A</v>
      </c>
      <c r="H774" s="372" t="str">
        <f>CS_PID!H774/VLOOKUP($B774,표2[#ALL],2)/HLOOKUP($A774,표1[#ALL],row(),false)</f>
        <v>#N/A</v>
      </c>
      <c r="I774" s="372" t="str">
        <f>CS_PID!I774/VLOOKUP($B774,표2[#ALL],2)/HLOOKUP($A774,표1[#ALL],row(),false)</f>
        <v>#N/A</v>
      </c>
      <c r="J774" s="372" t="str">
        <f>CS_PID!J774/VLOOKUP($B774,표2[#ALL],2)/HLOOKUP($A774,표1[#ALL],row(),false)</f>
        <v>#N/A</v>
      </c>
      <c r="K774" s="372" t="str">
        <f>CS_PID!K774/VLOOKUP($B774,표2[#ALL],2)/HLOOKUP($A774,표1[#ALL],row(),false)</f>
        <v>#N/A</v>
      </c>
      <c r="L774" s="372" t="str">
        <f>CS_PID!L774/VLOOKUP($B774,표2[#ALL],2)/HLOOKUP($A774,표1[#ALL],row(),false)</f>
        <v>#N/A</v>
      </c>
      <c r="M774" s="372" t="str">
        <f>CS_PID!M774/VLOOKUP($B774,표2[#ALL],2)/HLOOKUP($A774,표1[#ALL],row(),false)</f>
        <v>#N/A</v>
      </c>
      <c r="N774" s="372" t="str">
        <f>CS_PID!N774/VLOOKUP($B774,표2[#ALL],2)/HLOOKUP($A774,표1[#ALL],row(),false)</f>
        <v>#N/A</v>
      </c>
      <c r="O774" s="372" t="str">
        <f>CS_PID!O774/VLOOKUP($B774,표2[#ALL],2)/HLOOKUP($A774,표1[#ALL],row(),false)</f>
        <v>#N/A</v>
      </c>
      <c r="P774" s="372" t="str">
        <f>CS_PID!P774/VLOOKUP($B774,표2[#ALL],2)/HLOOKUP($A774,표1[#ALL],row(),false)</f>
        <v>#N/A</v>
      </c>
      <c r="Q774" s="372" t="str">
        <f>CS_PID!Q774/VLOOKUP($B774,표2[#ALL],2)/HLOOKUP($A774,표1[#ALL],row(),false)</f>
        <v>#N/A</v>
      </c>
      <c r="R774" s="372" t="str">
        <f>CS_PID!R774/VLOOKUP($B774,표2[#ALL],2)/HLOOKUP($A774,표1[#ALL],row(),false)</f>
        <v>#N/A</v>
      </c>
      <c r="S774" s="372" t="str">
        <f>CS_PID!S774/VLOOKUP($B774,표2[#ALL],2)/HLOOKUP($A774,표1[#ALL],row(),false)</f>
        <v>#N/A</v>
      </c>
      <c r="T774" s="372" t="str">
        <f>CS_PID!T774/VLOOKUP($B774,표2[#ALL],2)/HLOOKUP($A774,표1[#ALL],row(),false)</f>
        <v>#N/A</v>
      </c>
      <c r="U774" s="372" t="str">
        <f>CS_PID!U774/VLOOKUP($B774,표2[#ALL],2)/HLOOKUP($A774,표1[#ALL],row(),false)</f>
        <v>#N/A</v>
      </c>
      <c r="V774" s="372" t="str">
        <f>CS_PID!V774/VLOOKUP($B774,표2[#ALL],2)/HLOOKUP($A774,표1[#ALL],row(),false)</f>
        <v>#N/A</v>
      </c>
      <c r="W774" s="372" t="str">
        <f>CS_PID!W774/VLOOKUP($B774,표2[#ALL],2)/HLOOKUP($A774,표1[#ALL],row(),false)</f>
        <v>#N/A</v>
      </c>
      <c r="X774" s="372" t="str">
        <f>CS_PID!X774/VLOOKUP($B774,표2[#ALL],2)/HLOOKUP($A774,표1[#ALL],row(),false)</f>
        <v>#N/A</v>
      </c>
      <c r="Y774" s="372" t="str">
        <f>CS_PID!Y774/VLOOKUP($B774,표2[#ALL],2)/HLOOKUP($A774,표1[#ALL],row(),false)</f>
        <v>#N/A</v>
      </c>
      <c r="Z774" s="372" t="str">
        <f>CS_PID!Z774/VLOOKUP($B774,표2[#ALL],2)/HLOOKUP($A774,표1[#ALL],row(),false)</f>
        <v>#N/A</v>
      </c>
      <c r="AA774" s="372" t="str">
        <f>CS_PID!AA774/VLOOKUP($B774,표2[#ALL],2)/HLOOKUP($A774,표1[#ALL],row(),false)</f>
        <v>#N/A</v>
      </c>
      <c r="AB774" s="372" t="str">
        <f>CS_PID!AB774/VLOOKUP($B774,표2[#ALL],2)/HLOOKUP($A774,표1[#ALL],row(),false)</f>
        <v>#N/A</v>
      </c>
      <c r="AC774" s="372" t="str">
        <f>CS_PID!AC774/VLOOKUP($B774,표2[#ALL],2)/HLOOKUP($A774,표1[#ALL],row(),false)</f>
        <v>#N/A</v>
      </c>
      <c r="AD774" s="372" t="str">
        <f>CS_PID!AD774/VLOOKUP($B774,표2[#ALL],2)/HLOOKUP($A774,표1[#ALL],row(),false)</f>
        <v>#N/A</v>
      </c>
      <c r="AE774" s="372" t="str">
        <f>CS_PID!AE774/VLOOKUP($B774,표2[#ALL],2)/HLOOKUP($A774,표1[#ALL],row(),false)</f>
        <v>#N/A</v>
      </c>
      <c r="AF774" s="372" t="str">
        <f>CS_PID!AF774/VLOOKUP($B774,표2[#ALL],2)/HLOOKUP($A774,표1[#ALL],row(),false)</f>
        <v>#N/A</v>
      </c>
      <c r="AG774" s="372" t="str">
        <f>CS_PID!AG774/VLOOKUP($B774,표2[#ALL],2)/HLOOKUP($A774,표1[#ALL],row(),false)</f>
        <v>#N/A</v>
      </c>
      <c r="AH774" s="372" t="str">
        <f>CS_PID!AH774/VLOOKUP($B774,표2[#ALL],2)/HLOOKUP($A774,표1[#ALL],row(),false)</f>
        <v>#N/A</v>
      </c>
      <c r="AI774" s="372" t="str">
        <f>CS_PID!AI774/VLOOKUP($B774,표2[#ALL],2)/HLOOKUP($A774,표1[#ALL],row(),false)</f>
        <v>#N/A</v>
      </c>
      <c r="AJ774" s="372" t="str">
        <f>CS_PID!AJ774/VLOOKUP($B774,표2[#ALL],2)/HLOOKUP($A774,표1[#ALL],row(),false)</f>
        <v>#N/A</v>
      </c>
      <c r="AK774" s="372" t="str">
        <f>CS_PID!AK774/VLOOKUP($B774,표2[#ALL],2)/HLOOKUP($A774,표1[#ALL],row(),false)</f>
        <v>#N/A</v>
      </c>
      <c r="AL774" s="372" t="str">
        <f>CS_PID!AL774/VLOOKUP($B774,표2[#ALL],2)/HLOOKUP($A774,표1[#ALL],row(),false)</f>
        <v>#N/A</v>
      </c>
      <c r="AM774" s="372" t="str">
        <f>CS_PID!AM774/VLOOKUP($B774,표2[#ALL],2)/HLOOKUP($A774,표1[#ALL],row(),false)</f>
        <v>#N/A</v>
      </c>
      <c r="AN774" s="372" t="str">
        <f>CS_PID!AN774/VLOOKUP($B774,표2[#ALL],2)/HLOOKUP($A774,표1[#ALL],row(),false)</f>
        <v>#N/A</v>
      </c>
      <c r="AO774" s="372" t="str">
        <f>CS_PID!AO774/VLOOKUP($B774,표2[#ALL],2)/HLOOKUP($A774,표1[#ALL],row(),false)</f>
        <v>#N/A</v>
      </c>
      <c r="AP774" s="372" t="str">
        <f>CS_PID!AP774/VLOOKUP($B774,표2[#ALL],2)/HLOOKUP($A774,표1[#ALL],row(),false)</f>
        <v>#N/A</v>
      </c>
      <c r="AQ774" s="372" t="str">
        <f>CS_PID!AQ774/VLOOKUP($B774,표2[#ALL],2)/HLOOKUP($A774,표1[#ALL],row(),false)</f>
        <v>#N/A</v>
      </c>
      <c r="AR774" s="372" t="str">
        <f>CS_PID!AR774/VLOOKUP($B774,표2[#ALL],2)/HLOOKUP($A774,표1[#ALL],row(),false)</f>
        <v>#N/A</v>
      </c>
      <c r="AS774" s="373" t="str">
        <f>CS_PID!AS774/VLOOKUP($B774,표2[#ALL],2)/HLOOKUP($A774,표1[#ALL],row(),false)</f>
        <v>#N/A</v>
      </c>
    </row>
    <row r="775">
      <c r="A775" s="374"/>
      <c r="B775" s="375"/>
      <c r="C775" s="376" t="str">
        <f>CS_PID!C775/VLOOKUP($B775,표2[#ALL],2)</f>
        <v>#N/A</v>
      </c>
      <c r="D775" s="376" t="str">
        <f>CS_PID!D775/VLOOKUP($B775,표2[#ALL],2)</f>
        <v>#N/A</v>
      </c>
      <c r="E775" s="376" t="str">
        <f>CS_PID!E775/VLOOKUP($B775,표2[#ALL],2)</f>
        <v>#N/A</v>
      </c>
      <c r="F775" s="376" t="str">
        <f>CS_PID!F775/VLOOKUP($B775,표2[#ALL],2)</f>
        <v>#N/A</v>
      </c>
      <c r="G775" s="376" t="str">
        <f>CS_PID!G775/VLOOKUP($B775,표2[#ALL],2)</f>
        <v>#N/A</v>
      </c>
      <c r="H775" s="376" t="str">
        <f>CS_PID!H775/VLOOKUP($B775,표2[#ALL],2)/HLOOKUP($A775,표1[#ALL],row(),false)</f>
        <v>#N/A</v>
      </c>
      <c r="I775" s="376" t="str">
        <f>CS_PID!I775/VLOOKUP($B775,표2[#ALL],2)/HLOOKUP($A775,표1[#ALL],row(),false)</f>
        <v>#N/A</v>
      </c>
      <c r="J775" s="376" t="str">
        <f>CS_PID!J775/VLOOKUP($B775,표2[#ALL],2)/HLOOKUP($A775,표1[#ALL],row(),false)</f>
        <v>#N/A</v>
      </c>
      <c r="K775" s="376" t="str">
        <f>CS_PID!K775/VLOOKUP($B775,표2[#ALL],2)/HLOOKUP($A775,표1[#ALL],row(),false)</f>
        <v>#N/A</v>
      </c>
      <c r="L775" s="376" t="str">
        <f>CS_PID!L775/VLOOKUP($B775,표2[#ALL],2)/HLOOKUP($A775,표1[#ALL],row(),false)</f>
        <v>#N/A</v>
      </c>
      <c r="M775" s="376" t="str">
        <f>CS_PID!M775/VLOOKUP($B775,표2[#ALL],2)/HLOOKUP($A775,표1[#ALL],row(),false)</f>
        <v>#N/A</v>
      </c>
      <c r="N775" s="376" t="str">
        <f>CS_PID!N775/VLOOKUP($B775,표2[#ALL],2)/HLOOKUP($A775,표1[#ALL],row(),false)</f>
        <v>#N/A</v>
      </c>
      <c r="O775" s="376" t="str">
        <f>CS_PID!O775/VLOOKUP($B775,표2[#ALL],2)/HLOOKUP($A775,표1[#ALL],row(),false)</f>
        <v>#N/A</v>
      </c>
      <c r="P775" s="376" t="str">
        <f>CS_PID!P775/VLOOKUP($B775,표2[#ALL],2)/HLOOKUP($A775,표1[#ALL],row(),false)</f>
        <v>#N/A</v>
      </c>
      <c r="Q775" s="376" t="str">
        <f>CS_PID!Q775/VLOOKUP($B775,표2[#ALL],2)/HLOOKUP($A775,표1[#ALL],row(),false)</f>
        <v>#N/A</v>
      </c>
      <c r="R775" s="376" t="str">
        <f>CS_PID!R775/VLOOKUP($B775,표2[#ALL],2)/HLOOKUP($A775,표1[#ALL],row(),false)</f>
        <v>#N/A</v>
      </c>
      <c r="S775" s="376" t="str">
        <f>CS_PID!S775/VLOOKUP($B775,표2[#ALL],2)/HLOOKUP($A775,표1[#ALL],row(),false)</f>
        <v>#N/A</v>
      </c>
      <c r="T775" s="376" t="str">
        <f>CS_PID!T775/VLOOKUP($B775,표2[#ALL],2)/HLOOKUP($A775,표1[#ALL],row(),false)</f>
        <v>#N/A</v>
      </c>
      <c r="U775" s="376" t="str">
        <f>CS_PID!U775/VLOOKUP($B775,표2[#ALL],2)/HLOOKUP($A775,표1[#ALL],row(),false)</f>
        <v>#N/A</v>
      </c>
      <c r="V775" s="376" t="str">
        <f>CS_PID!V775/VLOOKUP($B775,표2[#ALL],2)/HLOOKUP($A775,표1[#ALL],row(),false)</f>
        <v>#N/A</v>
      </c>
      <c r="W775" s="376" t="str">
        <f>CS_PID!W775/VLOOKUP($B775,표2[#ALL],2)/HLOOKUP($A775,표1[#ALL],row(),false)</f>
        <v>#N/A</v>
      </c>
      <c r="X775" s="376" t="str">
        <f>CS_PID!X775/VLOOKUP($B775,표2[#ALL],2)/HLOOKUP($A775,표1[#ALL],row(),false)</f>
        <v>#N/A</v>
      </c>
      <c r="Y775" s="376" t="str">
        <f>CS_PID!Y775/VLOOKUP($B775,표2[#ALL],2)/HLOOKUP($A775,표1[#ALL],row(),false)</f>
        <v>#N/A</v>
      </c>
      <c r="Z775" s="376" t="str">
        <f>CS_PID!Z775/VLOOKUP($B775,표2[#ALL],2)/HLOOKUP($A775,표1[#ALL],row(),false)</f>
        <v>#N/A</v>
      </c>
      <c r="AA775" s="376" t="str">
        <f>CS_PID!AA775/VLOOKUP($B775,표2[#ALL],2)/HLOOKUP($A775,표1[#ALL],row(),false)</f>
        <v>#N/A</v>
      </c>
      <c r="AB775" s="376" t="str">
        <f>CS_PID!AB775/VLOOKUP($B775,표2[#ALL],2)/HLOOKUP($A775,표1[#ALL],row(),false)</f>
        <v>#N/A</v>
      </c>
      <c r="AC775" s="376" t="str">
        <f>CS_PID!AC775/VLOOKUP($B775,표2[#ALL],2)/HLOOKUP($A775,표1[#ALL],row(),false)</f>
        <v>#N/A</v>
      </c>
      <c r="AD775" s="376" t="str">
        <f>CS_PID!AD775/VLOOKUP($B775,표2[#ALL],2)/HLOOKUP($A775,표1[#ALL],row(),false)</f>
        <v>#N/A</v>
      </c>
      <c r="AE775" s="376" t="str">
        <f>CS_PID!AE775/VLOOKUP($B775,표2[#ALL],2)/HLOOKUP($A775,표1[#ALL],row(),false)</f>
        <v>#N/A</v>
      </c>
      <c r="AF775" s="376" t="str">
        <f>CS_PID!AF775/VLOOKUP($B775,표2[#ALL],2)/HLOOKUP($A775,표1[#ALL],row(),false)</f>
        <v>#N/A</v>
      </c>
      <c r="AG775" s="376" t="str">
        <f>CS_PID!AG775/VLOOKUP($B775,표2[#ALL],2)/HLOOKUP($A775,표1[#ALL],row(),false)</f>
        <v>#N/A</v>
      </c>
      <c r="AH775" s="376" t="str">
        <f>CS_PID!AH775/VLOOKUP($B775,표2[#ALL],2)/HLOOKUP($A775,표1[#ALL],row(),false)</f>
        <v>#N/A</v>
      </c>
      <c r="AI775" s="376" t="str">
        <f>CS_PID!AI775/VLOOKUP($B775,표2[#ALL],2)/HLOOKUP($A775,표1[#ALL],row(),false)</f>
        <v>#N/A</v>
      </c>
      <c r="AJ775" s="376" t="str">
        <f>CS_PID!AJ775/VLOOKUP($B775,표2[#ALL],2)/HLOOKUP($A775,표1[#ALL],row(),false)</f>
        <v>#N/A</v>
      </c>
      <c r="AK775" s="376" t="str">
        <f>CS_PID!AK775/VLOOKUP($B775,표2[#ALL],2)/HLOOKUP($A775,표1[#ALL],row(),false)</f>
        <v>#N/A</v>
      </c>
      <c r="AL775" s="376" t="str">
        <f>CS_PID!AL775/VLOOKUP($B775,표2[#ALL],2)/HLOOKUP($A775,표1[#ALL],row(),false)</f>
        <v>#N/A</v>
      </c>
      <c r="AM775" s="376" t="str">
        <f>CS_PID!AM775/VLOOKUP($B775,표2[#ALL],2)/HLOOKUP($A775,표1[#ALL],row(),false)</f>
        <v>#N/A</v>
      </c>
      <c r="AN775" s="376" t="str">
        <f>CS_PID!AN775/VLOOKUP($B775,표2[#ALL],2)/HLOOKUP($A775,표1[#ALL],row(),false)</f>
        <v>#N/A</v>
      </c>
      <c r="AO775" s="376" t="str">
        <f>CS_PID!AO775/VLOOKUP($B775,표2[#ALL],2)/HLOOKUP($A775,표1[#ALL],row(),false)</f>
        <v>#N/A</v>
      </c>
      <c r="AP775" s="376" t="str">
        <f>CS_PID!AP775/VLOOKUP($B775,표2[#ALL],2)/HLOOKUP($A775,표1[#ALL],row(),false)</f>
        <v>#N/A</v>
      </c>
      <c r="AQ775" s="376" t="str">
        <f>CS_PID!AQ775/VLOOKUP($B775,표2[#ALL],2)/HLOOKUP($A775,표1[#ALL],row(),false)</f>
        <v>#N/A</v>
      </c>
      <c r="AR775" s="376" t="str">
        <f>CS_PID!AR775/VLOOKUP($B775,표2[#ALL],2)/HLOOKUP($A775,표1[#ALL],row(),false)</f>
        <v>#N/A</v>
      </c>
      <c r="AS775" s="377" t="str">
        <f>CS_PID!AS775/VLOOKUP($B775,표2[#ALL],2)/HLOOKUP($A775,표1[#ALL],row(),false)</f>
        <v>#N/A</v>
      </c>
    </row>
    <row r="776">
      <c r="A776" s="370"/>
      <c r="B776" s="371"/>
      <c r="C776" s="372" t="str">
        <f>CS_PID!C776/VLOOKUP($B776,표2[#ALL],2)</f>
        <v>#N/A</v>
      </c>
      <c r="D776" s="372" t="str">
        <f>CS_PID!D776/VLOOKUP($B776,표2[#ALL],2)</f>
        <v>#N/A</v>
      </c>
      <c r="E776" s="372" t="str">
        <f>CS_PID!E776/VLOOKUP($B776,표2[#ALL],2)</f>
        <v>#N/A</v>
      </c>
      <c r="F776" s="372" t="str">
        <f>CS_PID!F776/VLOOKUP($B776,표2[#ALL],2)</f>
        <v>#N/A</v>
      </c>
      <c r="G776" s="372" t="str">
        <f>CS_PID!G776/VLOOKUP($B776,표2[#ALL],2)</f>
        <v>#N/A</v>
      </c>
      <c r="H776" s="372" t="str">
        <f>CS_PID!H776/VLOOKUP($B776,표2[#ALL],2)/HLOOKUP($A776,표1[#ALL],row(),false)</f>
        <v>#N/A</v>
      </c>
      <c r="I776" s="372" t="str">
        <f>CS_PID!I776/VLOOKUP($B776,표2[#ALL],2)/HLOOKUP($A776,표1[#ALL],row(),false)</f>
        <v>#N/A</v>
      </c>
      <c r="J776" s="372" t="str">
        <f>CS_PID!J776/VLOOKUP($B776,표2[#ALL],2)/HLOOKUP($A776,표1[#ALL],row(),false)</f>
        <v>#N/A</v>
      </c>
      <c r="K776" s="372" t="str">
        <f>CS_PID!K776/VLOOKUP($B776,표2[#ALL],2)/HLOOKUP($A776,표1[#ALL],row(),false)</f>
        <v>#N/A</v>
      </c>
      <c r="L776" s="372" t="str">
        <f>CS_PID!L776/VLOOKUP($B776,표2[#ALL],2)/HLOOKUP($A776,표1[#ALL],row(),false)</f>
        <v>#N/A</v>
      </c>
      <c r="M776" s="372" t="str">
        <f>CS_PID!M776/VLOOKUP($B776,표2[#ALL],2)/HLOOKUP($A776,표1[#ALL],row(),false)</f>
        <v>#N/A</v>
      </c>
      <c r="N776" s="372" t="str">
        <f>CS_PID!N776/VLOOKUP($B776,표2[#ALL],2)/HLOOKUP($A776,표1[#ALL],row(),false)</f>
        <v>#N/A</v>
      </c>
      <c r="O776" s="372" t="str">
        <f>CS_PID!O776/VLOOKUP($B776,표2[#ALL],2)/HLOOKUP($A776,표1[#ALL],row(),false)</f>
        <v>#N/A</v>
      </c>
      <c r="P776" s="372" t="str">
        <f>CS_PID!P776/VLOOKUP($B776,표2[#ALL],2)/HLOOKUP($A776,표1[#ALL],row(),false)</f>
        <v>#N/A</v>
      </c>
      <c r="Q776" s="372" t="str">
        <f>CS_PID!Q776/VLOOKUP($B776,표2[#ALL],2)/HLOOKUP($A776,표1[#ALL],row(),false)</f>
        <v>#N/A</v>
      </c>
      <c r="R776" s="372" t="str">
        <f>CS_PID!R776/VLOOKUP($B776,표2[#ALL],2)/HLOOKUP($A776,표1[#ALL],row(),false)</f>
        <v>#N/A</v>
      </c>
      <c r="S776" s="372" t="str">
        <f>CS_PID!S776/VLOOKUP($B776,표2[#ALL],2)/HLOOKUP($A776,표1[#ALL],row(),false)</f>
        <v>#N/A</v>
      </c>
      <c r="T776" s="372" t="str">
        <f>CS_PID!T776/VLOOKUP($B776,표2[#ALL],2)/HLOOKUP($A776,표1[#ALL],row(),false)</f>
        <v>#N/A</v>
      </c>
      <c r="U776" s="372" t="str">
        <f>CS_PID!U776/VLOOKUP($B776,표2[#ALL],2)/HLOOKUP($A776,표1[#ALL],row(),false)</f>
        <v>#N/A</v>
      </c>
      <c r="V776" s="372" t="str">
        <f>CS_PID!V776/VLOOKUP($B776,표2[#ALL],2)/HLOOKUP($A776,표1[#ALL],row(),false)</f>
        <v>#N/A</v>
      </c>
      <c r="W776" s="372" t="str">
        <f>CS_PID!W776/VLOOKUP($B776,표2[#ALL],2)/HLOOKUP($A776,표1[#ALL],row(),false)</f>
        <v>#N/A</v>
      </c>
      <c r="X776" s="372" t="str">
        <f>CS_PID!X776/VLOOKUP($B776,표2[#ALL],2)/HLOOKUP($A776,표1[#ALL],row(),false)</f>
        <v>#N/A</v>
      </c>
      <c r="Y776" s="372" t="str">
        <f>CS_PID!Y776/VLOOKUP($B776,표2[#ALL],2)/HLOOKUP($A776,표1[#ALL],row(),false)</f>
        <v>#N/A</v>
      </c>
      <c r="Z776" s="372" t="str">
        <f>CS_PID!Z776/VLOOKUP($B776,표2[#ALL],2)/HLOOKUP($A776,표1[#ALL],row(),false)</f>
        <v>#N/A</v>
      </c>
      <c r="AA776" s="372" t="str">
        <f>CS_PID!AA776/VLOOKUP($B776,표2[#ALL],2)/HLOOKUP($A776,표1[#ALL],row(),false)</f>
        <v>#N/A</v>
      </c>
      <c r="AB776" s="372" t="str">
        <f>CS_PID!AB776/VLOOKUP($B776,표2[#ALL],2)/HLOOKUP($A776,표1[#ALL],row(),false)</f>
        <v>#N/A</v>
      </c>
      <c r="AC776" s="372" t="str">
        <f>CS_PID!AC776/VLOOKUP($B776,표2[#ALL],2)/HLOOKUP($A776,표1[#ALL],row(),false)</f>
        <v>#N/A</v>
      </c>
      <c r="AD776" s="372" t="str">
        <f>CS_PID!AD776/VLOOKUP($B776,표2[#ALL],2)/HLOOKUP($A776,표1[#ALL],row(),false)</f>
        <v>#N/A</v>
      </c>
      <c r="AE776" s="372" t="str">
        <f>CS_PID!AE776/VLOOKUP($B776,표2[#ALL],2)/HLOOKUP($A776,표1[#ALL],row(),false)</f>
        <v>#N/A</v>
      </c>
      <c r="AF776" s="372" t="str">
        <f>CS_PID!AF776/VLOOKUP($B776,표2[#ALL],2)/HLOOKUP($A776,표1[#ALL],row(),false)</f>
        <v>#N/A</v>
      </c>
      <c r="AG776" s="372" t="str">
        <f>CS_PID!AG776/VLOOKUP($B776,표2[#ALL],2)/HLOOKUP($A776,표1[#ALL],row(),false)</f>
        <v>#N/A</v>
      </c>
      <c r="AH776" s="372" t="str">
        <f>CS_PID!AH776/VLOOKUP($B776,표2[#ALL],2)/HLOOKUP($A776,표1[#ALL],row(),false)</f>
        <v>#N/A</v>
      </c>
      <c r="AI776" s="372" t="str">
        <f>CS_PID!AI776/VLOOKUP($B776,표2[#ALL],2)/HLOOKUP($A776,표1[#ALL],row(),false)</f>
        <v>#N/A</v>
      </c>
      <c r="AJ776" s="372" t="str">
        <f>CS_PID!AJ776/VLOOKUP($B776,표2[#ALL],2)/HLOOKUP($A776,표1[#ALL],row(),false)</f>
        <v>#N/A</v>
      </c>
      <c r="AK776" s="372" t="str">
        <f>CS_PID!AK776/VLOOKUP($B776,표2[#ALL],2)/HLOOKUP($A776,표1[#ALL],row(),false)</f>
        <v>#N/A</v>
      </c>
      <c r="AL776" s="372" t="str">
        <f>CS_PID!AL776/VLOOKUP($B776,표2[#ALL],2)/HLOOKUP($A776,표1[#ALL],row(),false)</f>
        <v>#N/A</v>
      </c>
      <c r="AM776" s="372" t="str">
        <f>CS_PID!AM776/VLOOKUP($B776,표2[#ALL],2)/HLOOKUP($A776,표1[#ALL],row(),false)</f>
        <v>#N/A</v>
      </c>
      <c r="AN776" s="372" t="str">
        <f>CS_PID!AN776/VLOOKUP($B776,표2[#ALL],2)/HLOOKUP($A776,표1[#ALL],row(),false)</f>
        <v>#N/A</v>
      </c>
      <c r="AO776" s="372" t="str">
        <f>CS_PID!AO776/VLOOKUP($B776,표2[#ALL],2)/HLOOKUP($A776,표1[#ALL],row(),false)</f>
        <v>#N/A</v>
      </c>
      <c r="AP776" s="372" t="str">
        <f>CS_PID!AP776/VLOOKUP($B776,표2[#ALL],2)/HLOOKUP($A776,표1[#ALL],row(),false)</f>
        <v>#N/A</v>
      </c>
      <c r="AQ776" s="372" t="str">
        <f>CS_PID!AQ776/VLOOKUP($B776,표2[#ALL],2)/HLOOKUP($A776,표1[#ALL],row(),false)</f>
        <v>#N/A</v>
      </c>
      <c r="AR776" s="372" t="str">
        <f>CS_PID!AR776/VLOOKUP($B776,표2[#ALL],2)/HLOOKUP($A776,표1[#ALL],row(),false)</f>
        <v>#N/A</v>
      </c>
      <c r="AS776" s="373" t="str">
        <f>CS_PID!AS776/VLOOKUP($B776,표2[#ALL],2)/HLOOKUP($A776,표1[#ALL],row(),false)</f>
        <v>#N/A</v>
      </c>
    </row>
    <row r="777">
      <c r="A777" s="374"/>
      <c r="B777" s="375"/>
      <c r="C777" s="376" t="str">
        <f>CS_PID!C777/VLOOKUP($B777,표2[#ALL],2)</f>
        <v>#N/A</v>
      </c>
      <c r="D777" s="376" t="str">
        <f>CS_PID!D777/VLOOKUP($B777,표2[#ALL],2)</f>
        <v>#N/A</v>
      </c>
      <c r="E777" s="376" t="str">
        <f>CS_PID!E777/VLOOKUP($B777,표2[#ALL],2)</f>
        <v>#N/A</v>
      </c>
      <c r="F777" s="376" t="str">
        <f>CS_PID!F777/VLOOKUP($B777,표2[#ALL],2)</f>
        <v>#N/A</v>
      </c>
      <c r="G777" s="376" t="str">
        <f>CS_PID!G777/VLOOKUP($B777,표2[#ALL],2)</f>
        <v>#N/A</v>
      </c>
      <c r="H777" s="376" t="str">
        <f>CS_PID!H777/VLOOKUP($B777,표2[#ALL],2)/HLOOKUP($A777,표1[#ALL],row(),false)</f>
        <v>#N/A</v>
      </c>
      <c r="I777" s="376" t="str">
        <f>CS_PID!I777/VLOOKUP($B777,표2[#ALL],2)/HLOOKUP($A777,표1[#ALL],row(),false)</f>
        <v>#N/A</v>
      </c>
      <c r="J777" s="376" t="str">
        <f>CS_PID!J777/VLOOKUP($B777,표2[#ALL],2)/HLOOKUP($A777,표1[#ALL],row(),false)</f>
        <v>#N/A</v>
      </c>
      <c r="K777" s="376" t="str">
        <f>CS_PID!K777/VLOOKUP($B777,표2[#ALL],2)/HLOOKUP($A777,표1[#ALL],row(),false)</f>
        <v>#N/A</v>
      </c>
      <c r="L777" s="376" t="str">
        <f>CS_PID!L777/VLOOKUP($B777,표2[#ALL],2)/HLOOKUP($A777,표1[#ALL],row(),false)</f>
        <v>#N/A</v>
      </c>
      <c r="M777" s="376" t="str">
        <f>CS_PID!M777/VLOOKUP($B777,표2[#ALL],2)/HLOOKUP($A777,표1[#ALL],row(),false)</f>
        <v>#N/A</v>
      </c>
      <c r="N777" s="376" t="str">
        <f>CS_PID!N777/VLOOKUP($B777,표2[#ALL],2)/HLOOKUP($A777,표1[#ALL],row(),false)</f>
        <v>#N/A</v>
      </c>
      <c r="O777" s="376" t="str">
        <f>CS_PID!O777/VLOOKUP($B777,표2[#ALL],2)/HLOOKUP($A777,표1[#ALL],row(),false)</f>
        <v>#N/A</v>
      </c>
      <c r="P777" s="376" t="str">
        <f>CS_PID!P777/VLOOKUP($B777,표2[#ALL],2)/HLOOKUP($A777,표1[#ALL],row(),false)</f>
        <v>#N/A</v>
      </c>
      <c r="Q777" s="376" t="str">
        <f>CS_PID!Q777/VLOOKUP($B777,표2[#ALL],2)/HLOOKUP($A777,표1[#ALL],row(),false)</f>
        <v>#N/A</v>
      </c>
      <c r="R777" s="376" t="str">
        <f>CS_PID!R777/VLOOKUP($B777,표2[#ALL],2)/HLOOKUP($A777,표1[#ALL],row(),false)</f>
        <v>#N/A</v>
      </c>
      <c r="S777" s="376" t="str">
        <f>CS_PID!S777/VLOOKUP($B777,표2[#ALL],2)/HLOOKUP($A777,표1[#ALL],row(),false)</f>
        <v>#N/A</v>
      </c>
      <c r="T777" s="376" t="str">
        <f>CS_PID!T777/VLOOKUP($B777,표2[#ALL],2)/HLOOKUP($A777,표1[#ALL],row(),false)</f>
        <v>#N/A</v>
      </c>
      <c r="U777" s="376" t="str">
        <f>CS_PID!U777/VLOOKUP($B777,표2[#ALL],2)/HLOOKUP($A777,표1[#ALL],row(),false)</f>
        <v>#N/A</v>
      </c>
      <c r="V777" s="376" t="str">
        <f>CS_PID!V777/VLOOKUP($B777,표2[#ALL],2)/HLOOKUP($A777,표1[#ALL],row(),false)</f>
        <v>#N/A</v>
      </c>
      <c r="W777" s="376" t="str">
        <f>CS_PID!W777/VLOOKUP($B777,표2[#ALL],2)/HLOOKUP($A777,표1[#ALL],row(),false)</f>
        <v>#N/A</v>
      </c>
      <c r="X777" s="376" t="str">
        <f>CS_PID!X777/VLOOKUP($B777,표2[#ALL],2)/HLOOKUP($A777,표1[#ALL],row(),false)</f>
        <v>#N/A</v>
      </c>
      <c r="Y777" s="376" t="str">
        <f>CS_PID!Y777/VLOOKUP($B777,표2[#ALL],2)/HLOOKUP($A777,표1[#ALL],row(),false)</f>
        <v>#N/A</v>
      </c>
      <c r="Z777" s="376" t="str">
        <f>CS_PID!Z777/VLOOKUP($B777,표2[#ALL],2)/HLOOKUP($A777,표1[#ALL],row(),false)</f>
        <v>#N/A</v>
      </c>
      <c r="AA777" s="376" t="str">
        <f>CS_PID!AA777/VLOOKUP($B777,표2[#ALL],2)/HLOOKUP($A777,표1[#ALL],row(),false)</f>
        <v>#N/A</v>
      </c>
      <c r="AB777" s="376" t="str">
        <f>CS_PID!AB777/VLOOKUP($B777,표2[#ALL],2)/HLOOKUP($A777,표1[#ALL],row(),false)</f>
        <v>#N/A</v>
      </c>
      <c r="AC777" s="376" t="str">
        <f>CS_PID!AC777/VLOOKUP($B777,표2[#ALL],2)/HLOOKUP($A777,표1[#ALL],row(),false)</f>
        <v>#N/A</v>
      </c>
      <c r="AD777" s="376" t="str">
        <f>CS_PID!AD777/VLOOKUP($B777,표2[#ALL],2)/HLOOKUP($A777,표1[#ALL],row(),false)</f>
        <v>#N/A</v>
      </c>
      <c r="AE777" s="376" t="str">
        <f>CS_PID!AE777/VLOOKUP($B777,표2[#ALL],2)/HLOOKUP($A777,표1[#ALL],row(),false)</f>
        <v>#N/A</v>
      </c>
      <c r="AF777" s="376" t="str">
        <f>CS_PID!AF777/VLOOKUP($B777,표2[#ALL],2)/HLOOKUP($A777,표1[#ALL],row(),false)</f>
        <v>#N/A</v>
      </c>
      <c r="AG777" s="376" t="str">
        <f>CS_PID!AG777/VLOOKUP($B777,표2[#ALL],2)/HLOOKUP($A777,표1[#ALL],row(),false)</f>
        <v>#N/A</v>
      </c>
      <c r="AH777" s="376" t="str">
        <f>CS_PID!AH777/VLOOKUP($B777,표2[#ALL],2)/HLOOKUP($A777,표1[#ALL],row(),false)</f>
        <v>#N/A</v>
      </c>
      <c r="AI777" s="376" t="str">
        <f>CS_PID!AI777/VLOOKUP($B777,표2[#ALL],2)/HLOOKUP($A777,표1[#ALL],row(),false)</f>
        <v>#N/A</v>
      </c>
      <c r="AJ777" s="376" t="str">
        <f>CS_PID!AJ777/VLOOKUP($B777,표2[#ALL],2)/HLOOKUP($A777,표1[#ALL],row(),false)</f>
        <v>#N/A</v>
      </c>
      <c r="AK777" s="376" t="str">
        <f>CS_PID!AK777/VLOOKUP($B777,표2[#ALL],2)/HLOOKUP($A777,표1[#ALL],row(),false)</f>
        <v>#N/A</v>
      </c>
      <c r="AL777" s="376" t="str">
        <f>CS_PID!AL777/VLOOKUP($B777,표2[#ALL],2)/HLOOKUP($A777,표1[#ALL],row(),false)</f>
        <v>#N/A</v>
      </c>
      <c r="AM777" s="376" t="str">
        <f>CS_PID!AM777/VLOOKUP($B777,표2[#ALL],2)/HLOOKUP($A777,표1[#ALL],row(),false)</f>
        <v>#N/A</v>
      </c>
      <c r="AN777" s="376" t="str">
        <f>CS_PID!AN777/VLOOKUP($B777,표2[#ALL],2)/HLOOKUP($A777,표1[#ALL],row(),false)</f>
        <v>#N/A</v>
      </c>
      <c r="AO777" s="376" t="str">
        <f>CS_PID!AO777/VLOOKUP($B777,표2[#ALL],2)/HLOOKUP($A777,표1[#ALL],row(),false)</f>
        <v>#N/A</v>
      </c>
      <c r="AP777" s="376" t="str">
        <f>CS_PID!AP777/VLOOKUP($B777,표2[#ALL],2)/HLOOKUP($A777,표1[#ALL],row(),false)</f>
        <v>#N/A</v>
      </c>
      <c r="AQ777" s="376" t="str">
        <f>CS_PID!AQ777/VLOOKUP($B777,표2[#ALL],2)/HLOOKUP($A777,표1[#ALL],row(),false)</f>
        <v>#N/A</v>
      </c>
      <c r="AR777" s="376" t="str">
        <f>CS_PID!AR777/VLOOKUP($B777,표2[#ALL],2)/HLOOKUP($A777,표1[#ALL],row(),false)</f>
        <v>#N/A</v>
      </c>
      <c r="AS777" s="377" t="str">
        <f>CS_PID!AS777/VLOOKUP($B777,표2[#ALL],2)/HLOOKUP($A777,표1[#ALL],row(),false)</f>
        <v>#N/A</v>
      </c>
    </row>
    <row r="778">
      <c r="A778" s="370"/>
      <c r="B778" s="371"/>
      <c r="C778" s="372" t="str">
        <f>CS_PID!C778/VLOOKUP($B778,표2[#ALL],2)</f>
        <v>#N/A</v>
      </c>
      <c r="D778" s="372" t="str">
        <f>CS_PID!D778/VLOOKUP($B778,표2[#ALL],2)</f>
        <v>#N/A</v>
      </c>
      <c r="E778" s="372" t="str">
        <f>CS_PID!E778/VLOOKUP($B778,표2[#ALL],2)</f>
        <v>#N/A</v>
      </c>
      <c r="F778" s="372" t="str">
        <f>CS_PID!F778/VLOOKUP($B778,표2[#ALL],2)</f>
        <v>#N/A</v>
      </c>
      <c r="G778" s="372" t="str">
        <f>CS_PID!G778/VLOOKUP($B778,표2[#ALL],2)</f>
        <v>#N/A</v>
      </c>
      <c r="H778" s="372" t="str">
        <f>CS_PID!H778/VLOOKUP($B778,표2[#ALL],2)/HLOOKUP($A778,표1[#ALL],row(),false)</f>
        <v>#N/A</v>
      </c>
      <c r="I778" s="372" t="str">
        <f>CS_PID!I778/VLOOKUP($B778,표2[#ALL],2)/HLOOKUP($A778,표1[#ALL],row(),false)</f>
        <v>#N/A</v>
      </c>
      <c r="J778" s="372" t="str">
        <f>CS_PID!J778/VLOOKUP($B778,표2[#ALL],2)/HLOOKUP($A778,표1[#ALL],row(),false)</f>
        <v>#N/A</v>
      </c>
      <c r="K778" s="372" t="str">
        <f>CS_PID!K778/VLOOKUP($B778,표2[#ALL],2)/HLOOKUP($A778,표1[#ALL],row(),false)</f>
        <v>#N/A</v>
      </c>
      <c r="L778" s="372" t="str">
        <f>CS_PID!L778/VLOOKUP($B778,표2[#ALL],2)/HLOOKUP($A778,표1[#ALL],row(),false)</f>
        <v>#N/A</v>
      </c>
      <c r="M778" s="372" t="str">
        <f>CS_PID!M778/VLOOKUP($B778,표2[#ALL],2)/HLOOKUP($A778,표1[#ALL],row(),false)</f>
        <v>#N/A</v>
      </c>
      <c r="N778" s="372" t="str">
        <f>CS_PID!N778/VLOOKUP($B778,표2[#ALL],2)/HLOOKUP($A778,표1[#ALL],row(),false)</f>
        <v>#N/A</v>
      </c>
      <c r="O778" s="372" t="str">
        <f>CS_PID!O778/VLOOKUP($B778,표2[#ALL],2)/HLOOKUP($A778,표1[#ALL],row(),false)</f>
        <v>#N/A</v>
      </c>
      <c r="P778" s="372" t="str">
        <f>CS_PID!P778/VLOOKUP($B778,표2[#ALL],2)/HLOOKUP($A778,표1[#ALL],row(),false)</f>
        <v>#N/A</v>
      </c>
      <c r="Q778" s="372" t="str">
        <f>CS_PID!Q778/VLOOKUP($B778,표2[#ALL],2)/HLOOKUP($A778,표1[#ALL],row(),false)</f>
        <v>#N/A</v>
      </c>
      <c r="R778" s="372" t="str">
        <f>CS_PID!R778/VLOOKUP($B778,표2[#ALL],2)/HLOOKUP($A778,표1[#ALL],row(),false)</f>
        <v>#N/A</v>
      </c>
      <c r="S778" s="372" t="str">
        <f>CS_PID!S778/VLOOKUP($B778,표2[#ALL],2)/HLOOKUP($A778,표1[#ALL],row(),false)</f>
        <v>#N/A</v>
      </c>
      <c r="T778" s="372" t="str">
        <f>CS_PID!T778/VLOOKUP($B778,표2[#ALL],2)/HLOOKUP($A778,표1[#ALL],row(),false)</f>
        <v>#N/A</v>
      </c>
      <c r="U778" s="372" t="str">
        <f>CS_PID!U778/VLOOKUP($B778,표2[#ALL],2)/HLOOKUP($A778,표1[#ALL],row(),false)</f>
        <v>#N/A</v>
      </c>
      <c r="V778" s="372" t="str">
        <f>CS_PID!V778/VLOOKUP($B778,표2[#ALL],2)/HLOOKUP($A778,표1[#ALL],row(),false)</f>
        <v>#N/A</v>
      </c>
      <c r="W778" s="372" t="str">
        <f>CS_PID!W778/VLOOKUP($B778,표2[#ALL],2)/HLOOKUP($A778,표1[#ALL],row(),false)</f>
        <v>#N/A</v>
      </c>
      <c r="X778" s="372" t="str">
        <f>CS_PID!X778/VLOOKUP($B778,표2[#ALL],2)/HLOOKUP($A778,표1[#ALL],row(),false)</f>
        <v>#N/A</v>
      </c>
      <c r="Y778" s="372" t="str">
        <f>CS_PID!Y778/VLOOKUP($B778,표2[#ALL],2)/HLOOKUP($A778,표1[#ALL],row(),false)</f>
        <v>#N/A</v>
      </c>
      <c r="Z778" s="372" t="str">
        <f>CS_PID!Z778/VLOOKUP($B778,표2[#ALL],2)/HLOOKUP($A778,표1[#ALL],row(),false)</f>
        <v>#N/A</v>
      </c>
      <c r="AA778" s="372" t="str">
        <f>CS_PID!AA778/VLOOKUP($B778,표2[#ALL],2)/HLOOKUP($A778,표1[#ALL],row(),false)</f>
        <v>#N/A</v>
      </c>
      <c r="AB778" s="372" t="str">
        <f>CS_PID!AB778/VLOOKUP($B778,표2[#ALL],2)/HLOOKUP($A778,표1[#ALL],row(),false)</f>
        <v>#N/A</v>
      </c>
      <c r="AC778" s="372" t="str">
        <f>CS_PID!AC778/VLOOKUP($B778,표2[#ALL],2)/HLOOKUP($A778,표1[#ALL],row(),false)</f>
        <v>#N/A</v>
      </c>
      <c r="AD778" s="372" t="str">
        <f>CS_PID!AD778/VLOOKUP($B778,표2[#ALL],2)/HLOOKUP($A778,표1[#ALL],row(),false)</f>
        <v>#N/A</v>
      </c>
      <c r="AE778" s="372" t="str">
        <f>CS_PID!AE778/VLOOKUP($B778,표2[#ALL],2)/HLOOKUP($A778,표1[#ALL],row(),false)</f>
        <v>#N/A</v>
      </c>
      <c r="AF778" s="372" t="str">
        <f>CS_PID!AF778/VLOOKUP($B778,표2[#ALL],2)/HLOOKUP($A778,표1[#ALL],row(),false)</f>
        <v>#N/A</v>
      </c>
      <c r="AG778" s="372" t="str">
        <f>CS_PID!AG778/VLOOKUP($B778,표2[#ALL],2)/HLOOKUP($A778,표1[#ALL],row(),false)</f>
        <v>#N/A</v>
      </c>
      <c r="AH778" s="372" t="str">
        <f>CS_PID!AH778/VLOOKUP($B778,표2[#ALL],2)/HLOOKUP($A778,표1[#ALL],row(),false)</f>
        <v>#N/A</v>
      </c>
      <c r="AI778" s="372" t="str">
        <f>CS_PID!AI778/VLOOKUP($B778,표2[#ALL],2)/HLOOKUP($A778,표1[#ALL],row(),false)</f>
        <v>#N/A</v>
      </c>
      <c r="AJ778" s="372" t="str">
        <f>CS_PID!AJ778/VLOOKUP($B778,표2[#ALL],2)/HLOOKUP($A778,표1[#ALL],row(),false)</f>
        <v>#N/A</v>
      </c>
      <c r="AK778" s="372" t="str">
        <f>CS_PID!AK778/VLOOKUP($B778,표2[#ALL],2)/HLOOKUP($A778,표1[#ALL],row(),false)</f>
        <v>#N/A</v>
      </c>
      <c r="AL778" s="372" t="str">
        <f>CS_PID!AL778/VLOOKUP($B778,표2[#ALL],2)/HLOOKUP($A778,표1[#ALL],row(),false)</f>
        <v>#N/A</v>
      </c>
      <c r="AM778" s="372" t="str">
        <f>CS_PID!AM778/VLOOKUP($B778,표2[#ALL],2)/HLOOKUP($A778,표1[#ALL],row(),false)</f>
        <v>#N/A</v>
      </c>
      <c r="AN778" s="372" t="str">
        <f>CS_PID!AN778/VLOOKUP($B778,표2[#ALL],2)/HLOOKUP($A778,표1[#ALL],row(),false)</f>
        <v>#N/A</v>
      </c>
      <c r="AO778" s="372" t="str">
        <f>CS_PID!AO778/VLOOKUP($B778,표2[#ALL],2)/HLOOKUP($A778,표1[#ALL],row(),false)</f>
        <v>#N/A</v>
      </c>
      <c r="AP778" s="372" t="str">
        <f>CS_PID!AP778/VLOOKUP($B778,표2[#ALL],2)/HLOOKUP($A778,표1[#ALL],row(),false)</f>
        <v>#N/A</v>
      </c>
      <c r="AQ778" s="372" t="str">
        <f>CS_PID!AQ778/VLOOKUP($B778,표2[#ALL],2)/HLOOKUP($A778,표1[#ALL],row(),false)</f>
        <v>#N/A</v>
      </c>
      <c r="AR778" s="372" t="str">
        <f>CS_PID!AR778/VLOOKUP($B778,표2[#ALL],2)/HLOOKUP($A778,표1[#ALL],row(),false)</f>
        <v>#N/A</v>
      </c>
      <c r="AS778" s="373" t="str">
        <f>CS_PID!AS778/VLOOKUP($B778,표2[#ALL],2)/HLOOKUP($A778,표1[#ALL],row(),false)</f>
        <v>#N/A</v>
      </c>
    </row>
    <row r="779">
      <c r="A779" s="374"/>
      <c r="B779" s="375"/>
      <c r="C779" s="376" t="str">
        <f>CS_PID!C779/VLOOKUP($B779,표2[#ALL],2)</f>
        <v>#N/A</v>
      </c>
      <c r="D779" s="376" t="str">
        <f>CS_PID!D779/VLOOKUP($B779,표2[#ALL],2)</f>
        <v>#N/A</v>
      </c>
      <c r="E779" s="376" t="str">
        <f>CS_PID!E779/VLOOKUP($B779,표2[#ALL],2)</f>
        <v>#N/A</v>
      </c>
      <c r="F779" s="376" t="str">
        <f>CS_PID!F779/VLOOKUP($B779,표2[#ALL],2)</f>
        <v>#N/A</v>
      </c>
      <c r="G779" s="376" t="str">
        <f>CS_PID!G779/VLOOKUP($B779,표2[#ALL],2)</f>
        <v>#N/A</v>
      </c>
      <c r="H779" s="376" t="str">
        <f>CS_PID!H779/VLOOKUP($B779,표2[#ALL],2)/HLOOKUP($A779,표1[#ALL],row(),false)</f>
        <v>#N/A</v>
      </c>
      <c r="I779" s="376" t="str">
        <f>CS_PID!I779/VLOOKUP($B779,표2[#ALL],2)/HLOOKUP($A779,표1[#ALL],row(),false)</f>
        <v>#N/A</v>
      </c>
      <c r="J779" s="376" t="str">
        <f>CS_PID!J779/VLOOKUP($B779,표2[#ALL],2)/HLOOKUP($A779,표1[#ALL],row(),false)</f>
        <v>#N/A</v>
      </c>
      <c r="K779" s="376" t="str">
        <f>CS_PID!K779/VLOOKUP($B779,표2[#ALL],2)/HLOOKUP($A779,표1[#ALL],row(),false)</f>
        <v>#N/A</v>
      </c>
      <c r="L779" s="376" t="str">
        <f>CS_PID!L779/VLOOKUP($B779,표2[#ALL],2)/HLOOKUP($A779,표1[#ALL],row(),false)</f>
        <v>#N/A</v>
      </c>
      <c r="M779" s="376" t="str">
        <f>CS_PID!M779/VLOOKUP($B779,표2[#ALL],2)/HLOOKUP($A779,표1[#ALL],row(),false)</f>
        <v>#N/A</v>
      </c>
      <c r="N779" s="376" t="str">
        <f>CS_PID!N779/VLOOKUP($B779,표2[#ALL],2)/HLOOKUP($A779,표1[#ALL],row(),false)</f>
        <v>#N/A</v>
      </c>
      <c r="O779" s="376" t="str">
        <f>CS_PID!O779/VLOOKUP($B779,표2[#ALL],2)/HLOOKUP($A779,표1[#ALL],row(),false)</f>
        <v>#N/A</v>
      </c>
      <c r="P779" s="376" t="str">
        <f>CS_PID!P779/VLOOKUP($B779,표2[#ALL],2)/HLOOKUP($A779,표1[#ALL],row(),false)</f>
        <v>#N/A</v>
      </c>
      <c r="Q779" s="376" t="str">
        <f>CS_PID!Q779/VLOOKUP($B779,표2[#ALL],2)/HLOOKUP($A779,표1[#ALL],row(),false)</f>
        <v>#N/A</v>
      </c>
      <c r="R779" s="376" t="str">
        <f>CS_PID!R779/VLOOKUP($B779,표2[#ALL],2)/HLOOKUP($A779,표1[#ALL],row(),false)</f>
        <v>#N/A</v>
      </c>
      <c r="S779" s="376" t="str">
        <f>CS_PID!S779/VLOOKUP($B779,표2[#ALL],2)/HLOOKUP($A779,표1[#ALL],row(),false)</f>
        <v>#N/A</v>
      </c>
      <c r="T779" s="376" t="str">
        <f>CS_PID!T779/VLOOKUP($B779,표2[#ALL],2)/HLOOKUP($A779,표1[#ALL],row(),false)</f>
        <v>#N/A</v>
      </c>
      <c r="U779" s="376" t="str">
        <f>CS_PID!U779/VLOOKUP($B779,표2[#ALL],2)/HLOOKUP($A779,표1[#ALL],row(),false)</f>
        <v>#N/A</v>
      </c>
      <c r="V779" s="376" t="str">
        <f>CS_PID!V779/VLOOKUP($B779,표2[#ALL],2)/HLOOKUP($A779,표1[#ALL],row(),false)</f>
        <v>#N/A</v>
      </c>
      <c r="W779" s="376" t="str">
        <f>CS_PID!W779/VLOOKUP($B779,표2[#ALL],2)/HLOOKUP($A779,표1[#ALL],row(),false)</f>
        <v>#N/A</v>
      </c>
      <c r="X779" s="376" t="str">
        <f>CS_PID!X779/VLOOKUP($B779,표2[#ALL],2)/HLOOKUP($A779,표1[#ALL],row(),false)</f>
        <v>#N/A</v>
      </c>
      <c r="Y779" s="376" t="str">
        <f>CS_PID!Y779/VLOOKUP($B779,표2[#ALL],2)/HLOOKUP($A779,표1[#ALL],row(),false)</f>
        <v>#N/A</v>
      </c>
      <c r="Z779" s="376" t="str">
        <f>CS_PID!Z779/VLOOKUP($B779,표2[#ALL],2)/HLOOKUP($A779,표1[#ALL],row(),false)</f>
        <v>#N/A</v>
      </c>
      <c r="AA779" s="376" t="str">
        <f>CS_PID!AA779/VLOOKUP($B779,표2[#ALL],2)/HLOOKUP($A779,표1[#ALL],row(),false)</f>
        <v>#N/A</v>
      </c>
      <c r="AB779" s="376" t="str">
        <f>CS_PID!AB779/VLOOKUP($B779,표2[#ALL],2)/HLOOKUP($A779,표1[#ALL],row(),false)</f>
        <v>#N/A</v>
      </c>
      <c r="AC779" s="376" t="str">
        <f>CS_PID!AC779/VLOOKUP($B779,표2[#ALL],2)/HLOOKUP($A779,표1[#ALL],row(),false)</f>
        <v>#N/A</v>
      </c>
      <c r="AD779" s="376" t="str">
        <f>CS_PID!AD779/VLOOKUP($B779,표2[#ALL],2)/HLOOKUP($A779,표1[#ALL],row(),false)</f>
        <v>#N/A</v>
      </c>
      <c r="AE779" s="376" t="str">
        <f>CS_PID!AE779/VLOOKUP($B779,표2[#ALL],2)/HLOOKUP($A779,표1[#ALL],row(),false)</f>
        <v>#N/A</v>
      </c>
      <c r="AF779" s="376" t="str">
        <f>CS_PID!AF779/VLOOKUP($B779,표2[#ALL],2)/HLOOKUP($A779,표1[#ALL],row(),false)</f>
        <v>#N/A</v>
      </c>
      <c r="AG779" s="376" t="str">
        <f>CS_PID!AG779/VLOOKUP($B779,표2[#ALL],2)/HLOOKUP($A779,표1[#ALL],row(),false)</f>
        <v>#N/A</v>
      </c>
      <c r="AH779" s="376" t="str">
        <f>CS_PID!AH779/VLOOKUP($B779,표2[#ALL],2)/HLOOKUP($A779,표1[#ALL],row(),false)</f>
        <v>#N/A</v>
      </c>
      <c r="AI779" s="376" t="str">
        <f>CS_PID!AI779/VLOOKUP($B779,표2[#ALL],2)/HLOOKUP($A779,표1[#ALL],row(),false)</f>
        <v>#N/A</v>
      </c>
      <c r="AJ779" s="376" t="str">
        <f>CS_PID!AJ779/VLOOKUP($B779,표2[#ALL],2)/HLOOKUP($A779,표1[#ALL],row(),false)</f>
        <v>#N/A</v>
      </c>
      <c r="AK779" s="376" t="str">
        <f>CS_PID!AK779/VLOOKUP($B779,표2[#ALL],2)/HLOOKUP($A779,표1[#ALL],row(),false)</f>
        <v>#N/A</v>
      </c>
      <c r="AL779" s="376" t="str">
        <f>CS_PID!AL779/VLOOKUP($B779,표2[#ALL],2)/HLOOKUP($A779,표1[#ALL],row(),false)</f>
        <v>#N/A</v>
      </c>
      <c r="AM779" s="376" t="str">
        <f>CS_PID!AM779/VLOOKUP($B779,표2[#ALL],2)/HLOOKUP($A779,표1[#ALL],row(),false)</f>
        <v>#N/A</v>
      </c>
      <c r="AN779" s="376" t="str">
        <f>CS_PID!AN779/VLOOKUP($B779,표2[#ALL],2)/HLOOKUP($A779,표1[#ALL],row(),false)</f>
        <v>#N/A</v>
      </c>
      <c r="AO779" s="376" t="str">
        <f>CS_PID!AO779/VLOOKUP($B779,표2[#ALL],2)/HLOOKUP($A779,표1[#ALL],row(),false)</f>
        <v>#N/A</v>
      </c>
      <c r="AP779" s="376" t="str">
        <f>CS_PID!AP779/VLOOKUP($B779,표2[#ALL],2)/HLOOKUP($A779,표1[#ALL],row(),false)</f>
        <v>#N/A</v>
      </c>
      <c r="AQ779" s="376" t="str">
        <f>CS_PID!AQ779/VLOOKUP($B779,표2[#ALL],2)/HLOOKUP($A779,표1[#ALL],row(),false)</f>
        <v>#N/A</v>
      </c>
      <c r="AR779" s="376" t="str">
        <f>CS_PID!AR779/VLOOKUP($B779,표2[#ALL],2)/HLOOKUP($A779,표1[#ALL],row(),false)</f>
        <v>#N/A</v>
      </c>
      <c r="AS779" s="377" t="str">
        <f>CS_PID!AS779/VLOOKUP($B779,표2[#ALL],2)/HLOOKUP($A779,표1[#ALL],row(),false)</f>
        <v>#N/A</v>
      </c>
    </row>
    <row r="780">
      <c r="A780" s="370"/>
      <c r="B780" s="371"/>
      <c r="C780" s="372" t="str">
        <f>CS_PID!C780/VLOOKUP($B780,표2[#ALL],2)</f>
        <v>#N/A</v>
      </c>
      <c r="D780" s="372" t="str">
        <f>CS_PID!D780/VLOOKUP($B780,표2[#ALL],2)</f>
        <v>#N/A</v>
      </c>
      <c r="E780" s="372" t="str">
        <f>CS_PID!E780/VLOOKUP($B780,표2[#ALL],2)</f>
        <v>#N/A</v>
      </c>
      <c r="F780" s="372" t="str">
        <f>CS_PID!F780/VLOOKUP($B780,표2[#ALL],2)</f>
        <v>#N/A</v>
      </c>
      <c r="G780" s="372" t="str">
        <f>CS_PID!G780/VLOOKUP($B780,표2[#ALL],2)</f>
        <v>#N/A</v>
      </c>
      <c r="H780" s="372" t="str">
        <f>CS_PID!H780/VLOOKUP($B780,표2[#ALL],2)/HLOOKUP($A780,표1[#ALL],row(),false)</f>
        <v>#N/A</v>
      </c>
      <c r="I780" s="372" t="str">
        <f>CS_PID!I780/VLOOKUP($B780,표2[#ALL],2)/HLOOKUP($A780,표1[#ALL],row(),false)</f>
        <v>#N/A</v>
      </c>
      <c r="J780" s="372" t="str">
        <f>CS_PID!J780/VLOOKUP($B780,표2[#ALL],2)/HLOOKUP($A780,표1[#ALL],row(),false)</f>
        <v>#N/A</v>
      </c>
      <c r="K780" s="372" t="str">
        <f>CS_PID!K780/VLOOKUP($B780,표2[#ALL],2)/HLOOKUP($A780,표1[#ALL],row(),false)</f>
        <v>#N/A</v>
      </c>
      <c r="L780" s="372" t="str">
        <f>CS_PID!L780/VLOOKUP($B780,표2[#ALL],2)/HLOOKUP($A780,표1[#ALL],row(),false)</f>
        <v>#N/A</v>
      </c>
      <c r="M780" s="372" t="str">
        <f>CS_PID!M780/VLOOKUP($B780,표2[#ALL],2)/HLOOKUP($A780,표1[#ALL],row(),false)</f>
        <v>#N/A</v>
      </c>
      <c r="N780" s="372" t="str">
        <f>CS_PID!N780/VLOOKUP($B780,표2[#ALL],2)/HLOOKUP($A780,표1[#ALL],row(),false)</f>
        <v>#N/A</v>
      </c>
      <c r="O780" s="372" t="str">
        <f>CS_PID!O780/VLOOKUP($B780,표2[#ALL],2)/HLOOKUP($A780,표1[#ALL],row(),false)</f>
        <v>#N/A</v>
      </c>
      <c r="P780" s="372" t="str">
        <f>CS_PID!P780/VLOOKUP($B780,표2[#ALL],2)/HLOOKUP($A780,표1[#ALL],row(),false)</f>
        <v>#N/A</v>
      </c>
      <c r="Q780" s="372" t="str">
        <f>CS_PID!Q780/VLOOKUP($B780,표2[#ALL],2)/HLOOKUP($A780,표1[#ALL],row(),false)</f>
        <v>#N/A</v>
      </c>
      <c r="R780" s="372" t="str">
        <f>CS_PID!R780/VLOOKUP($B780,표2[#ALL],2)/HLOOKUP($A780,표1[#ALL],row(),false)</f>
        <v>#N/A</v>
      </c>
      <c r="S780" s="372" t="str">
        <f>CS_PID!S780/VLOOKUP($B780,표2[#ALL],2)/HLOOKUP($A780,표1[#ALL],row(),false)</f>
        <v>#N/A</v>
      </c>
      <c r="T780" s="372" t="str">
        <f>CS_PID!T780/VLOOKUP($B780,표2[#ALL],2)/HLOOKUP($A780,표1[#ALL],row(),false)</f>
        <v>#N/A</v>
      </c>
      <c r="U780" s="372" t="str">
        <f>CS_PID!U780/VLOOKUP($B780,표2[#ALL],2)/HLOOKUP($A780,표1[#ALL],row(),false)</f>
        <v>#N/A</v>
      </c>
      <c r="V780" s="372" t="str">
        <f>CS_PID!V780/VLOOKUP($B780,표2[#ALL],2)/HLOOKUP($A780,표1[#ALL],row(),false)</f>
        <v>#N/A</v>
      </c>
      <c r="W780" s="372" t="str">
        <f>CS_PID!W780/VLOOKUP($B780,표2[#ALL],2)/HLOOKUP($A780,표1[#ALL],row(),false)</f>
        <v>#N/A</v>
      </c>
      <c r="X780" s="372" t="str">
        <f>CS_PID!X780/VLOOKUP($B780,표2[#ALL],2)/HLOOKUP($A780,표1[#ALL],row(),false)</f>
        <v>#N/A</v>
      </c>
      <c r="Y780" s="372" t="str">
        <f>CS_PID!Y780/VLOOKUP($B780,표2[#ALL],2)/HLOOKUP($A780,표1[#ALL],row(),false)</f>
        <v>#N/A</v>
      </c>
      <c r="Z780" s="372" t="str">
        <f>CS_PID!Z780/VLOOKUP($B780,표2[#ALL],2)/HLOOKUP($A780,표1[#ALL],row(),false)</f>
        <v>#N/A</v>
      </c>
      <c r="AA780" s="372" t="str">
        <f>CS_PID!AA780/VLOOKUP($B780,표2[#ALL],2)/HLOOKUP($A780,표1[#ALL],row(),false)</f>
        <v>#N/A</v>
      </c>
      <c r="AB780" s="372" t="str">
        <f>CS_PID!AB780/VLOOKUP($B780,표2[#ALL],2)/HLOOKUP($A780,표1[#ALL],row(),false)</f>
        <v>#N/A</v>
      </c>
      <c r="AC780" s="372" t="str">
        <f>CS_PID!AC780/VLOOKUP($B780,표2[#ALL],2)/HLOOKUP($A780,표1[#ALL],row(),false)</f>
        <v>#N/A</v>
      </c>
      <c r="AD780" s="372" t="str">
        <f>CS_PID!AD780/VLOOKUP($B780,표2[#ALL],2)/HLOOKUP($A780,표1[#ALL],row(),false)</f>
        <v>#N/A</v>
      </c>
      <c r="AE780" s="372" t="str">
        <f>CS_PID!AE780/VLOOKUP($B780,표2[#ALL],2)/HLOOKUP($A780,표1[#ALL],row(),false)</f>
        <v>#N/A</v>
      </c>
      <c r="AF780" s="372" t="str">
        <f>CS_PID!AF780/VLOOKUP($B780,표2[#ALL],2)/HLOOKUP($A780,표1[#ALL],row(),false)</f>
        <v>#N/A</v>
      </c>
      <c r="AG780" s="372" t="str">
        <f>CS_PID!AG780/VLOOKUP($B780,표2[#ALL],2)/HLOOKUP($A780,표1[#ALL],row(),false)</f>
        <v>#N/A</v>
      </c>
      <c r="AH780" s="372" t="str">
        <f>CS_PID!AH780/VLOOKUP($B780,표2[#ALL],2)/HLOOKUP($A780,표1[#ALL],row(),false)</f>
        <v>#N/A</v>
      </c>
      <c r="AI780" s="372" t="str">
        <f>CS_PID!AI780/VLOOKUP($B780,표2[#ALL],2)/HLOOKUP($A780,표1[#ALL],row(),false)</f>
        <v>#N/A</v>
      </c>
      <c r="AJ780" s="372" t="str">
        <f>CS_PID!AJ780/VLOOKUP($B780,표2[#ALL],2)/HLOOKUP($A780,표1[#ALL],row(),false)</f>
        <v>#N/A</v>
      </c>
      <c r="AK780" s="372" t="str">
        <f>CS_PID!AK780/VLOOKUP($B780,표2[#ALL],2)/HLOOKUP($A780,표1[#ALL],row(),false)</f>
        <v>#N/A</v>
      </c>
      <c r="AL780" s="372" t="str">
        <f>CS_PID!AL780/VLOOKUP($B780,표2[#ALL],2)/HLOOKUP($A780,표1[#ALL],row(),false)</f>
        <v>#N/A</v>
      </c>
      <c r="AM780" s="372" t="str">
        <f>CS_PID!AM780/VLOOKUP($B780,표2[#ALL],2)/HLOOKUP($A780,표1[#ALL],row(),false)</f>
        <v>#N/A</v>
      </c>
      <c r="AN780" s="372" t="str">
        <f>CS_PID!AN780/VLOOKUP($B780,표2[#ALL],2)/HLOOKUP($A780,표1[#ALL],row(),false)</f>
        <v>#N/A</v>
      </c>
      <c r="AO780" s="372" t="str">
        <f>CS_PID!AO780/VLOOKUP($B780,표2[#ALL],2)/HLOOKUP($A780,표1[#ALL],row(),false)</f>
        <v>#N/A</v>
      </c>
      <c r="AP780" s="372" t="str">
        <f>CS_PID!AP780/VLOOKUP($B780,표2[#ALL],2)/HLOOKUP($A780,표1[#ALL],row(),false)</f>
        <v>#N/A</v>
      </c>
      <c r="AQ780" s="372" t="str">
        <f>CS_PID!AQ780/VLOOKUP($B780,표2[#ALL],2)/HLOOKUP($A780,표1[#ALL],row(),false)</f>
        <v>#N/A</v>
      </c>
      <c r="AR780" s="372" t="str">
        <f>CS_PID!AR780/VLOOKUP($B780,표2[#ALL],2)/HLOOKUP($A780,표1[#ALL],row(),false)</f>
        <v>#N/A</v>
      </c>
      <c r="AS780" s="373" t="str">
        <f>CS_PID!AS780/VLOOKUP($B780,표2[#ALL],2)/HLOOKUP($A780,표1[#ALL],row(),false)</f>
        <v>#N/A</v>
      </c>
    </row>
    <row r="781">
      <c r="A781" s="374"/>
      <c r="B781" s="375"/>
      <c r="C781" s="376" t="str">
        <f>CS_PID!C781/VLOOKUP($B781,표2[#ALL],2)</f>
        <v>#N/A</v>
      </c>
      <c r="D781" s="376" t="str">
        <f>CS_PID!D781/VLOOKUP($B781,표2[#ALL],2)</f>
        <v>#N/A</v>
      </c>
      <c r="E781" s="376" t="str">
        <f>CS_PID!E781/VLOOKUP($B781,표2[#ALL],2)</f>
        <v>#N/A</v>
      </c>
      <c r="F781" s="376" t="str">
        <f>CS_PID!F781/VLOOKUP($B781,표2[#ALL],2)</f>
        <v>#N/A</v>
      </c>
      <c r="G781" s="376" t="str">
        <f>CS_PID!G781/VLOOKUP($B781,표2[#ALL],2)</f>
        <v>#N/A</v>
      </c>
      <c r="H781" s="376" t="str">
        <f>CS_PID!H781/VLOOKUP($B781,표2[#ALL],2)/HLOOKUP($A781,표1[#ALL],row(),false)</f>
        <v>#N/A</v>
      </c>
      <c r="I781" s="376" t="str">
        <f>CS_PID!I781/VLOOKUP($B781,표2[#ALL],2)/HLOOKUP($A781,표1[#ALL],row(),false)</f>
        <v>#N/A</v>
      </c>
      <c r="J781" s="376" t="str">
        <f>CS_PID!J781/VLOOKUP($B781,표2[#ALL],2)/HLOOKUP($A781,표1[#ALL],row(),false)</f>
        <v>#N/A</v>
      </c>
      <c r="K781" s="376" t="str">
        <f>CS_PID!K781/VLOOKUP($B781,표2[#ALL],2)/HLOOKUP($A781,표1[#ALL],row(),false)</f>
        <v>#N/A</v>
      </c>
      <c r="L781" s="376" t="str">
        <f>CS_PID!L781/VLOOKUP($B781,표2[#ALL],2)/HLOOKUP($A781,표1[#ALL],row(),false)</f>
        <v>#N/A</v>
      </c>
      <c r="M781" s="376" t="str">
        <f>CS_PID!M781/VLOOKUP($B781,표2[#ALL],2)/HLOOKUP($A781,표1[#ALL],row(),false)</f>
        <v>#N/A</v>
      </c>
      <c r="N781" s="376" t="str">
        <f>CS_PID!N781/VLOOKUP($B781,표2[#ALL],2)/HLOOKUP($A781,표1[#ALL],row(),false)</f>
        <v>#N/A</v>
      </c>
      <c r="O781" s="376" t="str">
        <f>CS_PID!O781/VLOOKUP($B781,표2[#ALL],2)/HLOOKUP($A781,표1[#ALL],row(),false)</f>
        <v>#N/A</v>
      </c>
      <c r="P781" s="376" t="str">
        <f>CS_PID!P781/VLOOKUP($B781,표2[#ALL],2)/HLOOKUP($A781,표1[#ALL],row(),false)</f>
        <v>#N/A</v>
      </c>
      <c r="Q781" s="376" t="str">
        <f>CS_PID!Q781/VLOOKUP($B781,표2[#ALL],2)/HLOOKUP($A781,표1[#ALL],row(),false)</f>
        <v>#N/A</v>
      </c>
      <c r="R781" s="376" t="str">
        <f>CS_PID!R781/VLOOKUP($B781,표2[#ALL],2)/HLOOKUP($A781,표1[#ALL],row(),false)</f>
        <v>#N/A</v>
      </c>
      <c r="S781" s="376" t="str">
        <f>CS_PID!S781/VLOOKUP($B781,표2[#ALL],2)/HLOOKUP($A781,표1[#ALL],row(),false)</f>
        <v>#N/A</v>
      </c>
      <c r="T781" s="376" t="str">
        <f>CS_PID!T781/VLOOKUP($B781,표2[#ALL],2)/HLOOKUP($A781,표1[#ALL],row(),false)</f>
        <v>#N/A</v>
      </c>
      <c r="U781" s="376" t="str">
        <f>CS_PID!U781/VLOOKUP($B781,표2[#ALL],2)/HLOOKUP($A781,표1[#ALL],row(),false)</f>
        <v>#N/A</v>
      </c>
      <c r="V781" s="376" t="str">
        <f>CS_PID!V781/VLOOKUP($B781,표2[#ALL],2)/HLOOKUP($A781,표1[#ALL],row(),false)</f>
        <v>#N/A</v>
      </c>
      <c r="W781" s="376" t="str">
        <f>CS_PID!W781/VLOOKUP($B781,표2[#ALL],2)/HLOOKUP($A781,표1[#ALL],row(),false)</f>
        <v>#N/A</v>
      </c>
      <c r="X781" s="376" t="str">
        <f>CS_PID!X781/VLOOKUP($B781,표2[#ALL],2)/HLOOKUP($A781,표1[#ALL],row(),false)</f>
        <v>#N/A</v>
      </c>
      <c r="Y781" s="376" t="str">
        <f>CS_PID!Y781/VLOOKUP($B781,표2[#ALL],2)/HLOOKUP($A781,표1[#ALL],row(),false)</f>
        <v>#N/A</v>
      </c>
      <c r="Z781" s="376" t="str">
        <f>CS_PID!Z781/VLOOKUP($B781,표2[#ALL],2)/HLOOKUP($A781,표1[#ALL],row(),false)</f>
        <v>#N/A</v>
      </c>
      <c r="AA781" s="376" t="str">
        <f>CS_PID!AA781/VLOOKUP($B781,표2[#ALL],2)/HLOOKUP($A781,표1[#ALL],row(),false)</f>
        <v>#N/A</v>
      </c>
      <c r="AB781" s="376" t="str">
        <f>CS_PID!AB781/VLOOKUP($B781,표2[#ALL],2)/HLOOKUP($A781,표1[#ALL],row(),false)</f>
        <v>#N/A</v>
      </c>
      <c r="AC781" s="376" t="str">
        <f>CS_PID!AC781/VLOOKUP($B781,표2[#ALL],2)/HLOOKUP($A781,표1[#ALL],row(),false)</f>
        <v>#N/A</v>
      </c>
      <c r="AD781" s="376" t="str">
        <f>CS_PID!AD781/VLOOKUP($B781,표2[#ALL],2)/HLOOKUP($A781,표1[#ALL],row(),false)</f>
        <v>#N/A</v>
      </c>
      <c r="AE781" s="376" t="str">
        <f>CS_PID!AE781/VLOOKUP($B781,표2[#ALL],2)/HLOOKUP($A781,표1[#ALL],row(),false)</f>
        <v>#N/A</v>
      </c>
      <c r="AF781" s="376" t="str">
        <f>CS_PID!AF781/VLOOKUP($B781,표2[#ALL],2)/HLOOKUP($A781,표1[#ALL],row(),false)</f>
        <v>#N/A</v>
      </c>
      <c r="AG781" s="376" t="str">
        <f>CS_PID!AG781/VLOOKUP($B781,표2[#ALL],2)/HLOOKUP($A781,표1[#ALL],row(),false)</f>
        <v>#N/A</v>
      </c>
      <c r="AH781" s="376" t="str">
        <f>CS_PID!AH781/VLOOKUP($B781,표2[#ALL],2)/HLOOKUP($A781,표1[#ALL],row(),false)</f>
        <v>#N/A</v>
      </c>
      <c r="AI781" s="376" t="str">
        <f>CS_PID!AI781/VLOOKUP($B781,표2[#ALL],2)/HLOOKUP($A781,표1[#ALL],row(),false)</f>
        <v>#N/A</v>
      </c>
      <c r="AJ781" s="376" t="str">
        <f>CS_PID!AJ781/VLOOKUP($B781,표2[#ALL],2)/HLOOKUP($A781,표1[#ALL],row(),false)</f>
        <v>#N/A</v>
      </c>
      <c r="AK781" s="376" t="str">
        <f>CS_PID!AK781/VLOOKUP($B781,표2[#ALL],2)/HLOOKUP($A781,표1[#ALL],row(),false)</f>
        <v>#N/A</v>
      </c>
      <c r="AL781" s="376" t="str">
        <f>CS_PID!AL781/VLOOKUP($B781,표2[#ALL],2)/HLOOKUP($A781,표1[#ALL],row(),false)</f>
        <v>#N/A</v>
      </c>
      <c r="AM781" s="376" t="str">
        <f>CS_PID!AM781/VLOOKUP($B781,표2[#ALL],2)/HLOOKUP($A781,표1[#ALL],row(),false)</f>
        <v>#N/A</v>
      </c>
      <c r="AN781" s="376" t="str">
        <f>CS_PID!AN781/VLOOKUP($B781,표2[#ALL],2)/HLOOKUP($A781,표1[#ALL],row(),false)</f>
        <v>#N/A</v>
      </c>
      <c r="AO781" s="376" t="str">
        <f>CS_PID!AO781/VLOOKUP($B781,표2[#ALL],2)/HLOOKUP($A781,표1[#ALL],row(),false)</f>
        <v>#N/A</v>
      </c>
      <c r="AP781" s="376" t="str">
        <f>CS_PID!AP781/VLOOKUP($B781,표2[#ALL],2)/HLOOKUP($A781,표1[#ALL],row(),false)</f>
        <v>#N/A</v>
      </c>
      <c r="AQ781" s="376" t="str">
        <f>CS_PID!AQ781/VLOOKUP($B781,표2[#ALL],2)/HLOOKUP($A781,표1[#ALL],row(),false)</f>
        <v>#N/A</v>
      </c>
      <c r="AR781" s="376" t="str">
        <f>CS_PID!AR781/VLOOKUP($B781,표2[#ALL],2)/HLOOKUP($A781,표1[#ALL],row(),false)</f>
        <v>#N/A</v>
      </c>
      <c r="AS781" s="377" t="str">
        <f>CS_PID!AS781/VLOOKUP($B781,표2[#ALL],2)/HLOOKUP($A781,표1[#ALL],row(),false)</f>
        <v>#N/A</v>
      </c>
    </row>
    <row r="782">
      <c r="A782" s="370"/>
      <c r="B782" s="371"/>
      <c r="C782" s="372" t="str">
        <f>CS_PID!C782/VLOOKUP($B782,표2[#ALL],2)</f>
        <v>#N/A</v>
      </c>
      <c r="D782" s="372" t="str">
        <f>CS_PID!D782/VLOOKUP($B782,표2[#ALL],2)</f>
        <v>#N/A</v>
      </c>
      <c r="E782" s="372" t="str">
        <f>CS_PID!E782/VLOOKUP($B782,표2[#ALL],2)</f>
        <v>#N/A</v>
      </c>
      <c r="F782" s="372" t="str">
        <f>CS_PID!F782/VLOOKUP($B782,표2[#ALL],2)</f>
        <v>#N/A</v>
      </c>
      <c r="G782" s="372" t="str">
        <f>CS_PID!G782/VLOOKUP($B782,표2[#ALL],2)</f>
        <v>#N/A</v>
      </c>
      <c r="H782" s="372" t="str">
        <f>CS_PID!H782/VLOOKUP($B782,표2[#ALL],2)/HLOOKUP($A782,표1[#ALL],row(),false)</f>
        <v>#N/A</v>
      </c>
      <c r="I782" s="372" t="str">
        <f>CS_PID!I782/VLOOKUP($B782,표2[#ALL],2)/HLOOKUP($A782,표1[#ALL],row(),false)</f>
        <v>#N/A</v>
      </c>
      <c r="J782" s="372" t="str">
        <f>CS_PID!J782/VLOOKUP($B782,표2[#ALL],2)/HLOOKUP($A782,표1[#ALL],row(),false)</f>
        <v>#N/A</v>
      </c>
      <c r="K782" s="372" t="str">
        <f>CS_PID!K782/VLOOKUP($B782,표2[#ALL],2)/HLOOKUP($A782,표1[#ALL],row(),false)</f>
        <v>#N/A</v>
      </c>
      <c r="L782" s="372" t="str">
        <f>CS_PID!L782/VLOOKUP($B782,표2[#ALL],2)/HLOOKUP($A782,표1[#ALL],row(),false)</f>
        <v>#N/A</v>
      </c>
      <c r="M782" s="372" t="str">
        <f>CS_PID!M782/VLOOKUP($B782,표2[#ALL],2)/HLOOKUP($A782,표1[#ALL],row(),false)</f>
        <v>#N/A</v>
      </c>
      <c r="N782" s="372" t="str">
        <f>CS_PID!N782/VLOOKUP($B782,표2[#ALL],2)/HLOOKUP($A782,표1[#ALL],row(),false)</f>
        <v>#N/A</v>
      </c>
      <c r="O782" s="372" t="str">
        <f>CS_PID!O782/VLOOKUP($B782,표2[#ALL],2)/HLOOKUP($A782,표1[#ALL],row(),false)</f>
        <v>#N/A</v>
      </c>
      <c r="P782" s="372" t="str">
        <f>CS_PID!P782/VLOOKUP($B782,표2[#ALL],2)/HLOOKUP($A782,표1[#ALL],row(),false)</f>
        <v>#N/A</v>
      </c>
      <c r="Q782" s="372" t="str">
        <f>CS_PID!Q782/VLOOKUP($B782,표2[#ALL],2)/HLOOKUP($A782,표1[#ALL],row(),false)</f>
        <v>#N/A</v>
      </c>
      <c r="R782" s="372" t="str">
        <f>CS_PID!R782/VLOOKUP($B782,표2[#ALL],2)/HLOOKUP($A782,표1[#ALL],row(),false)</f>
        <v>#N/A</v>
      </c>
      <c r="S782" s="372" t="str">
        <f>CS_PID!S782/VLOOKUP($B782,표2[#ALL],2)/HLOOKUP($A782,표1[#ALL],row(),false)</f>
        <v>#N/A</v>
      </c>
      <c r="T782" s="372" t="str">
        <f>CS_PID!T782/VLOOKUP($B782,표2[#ALL],2)/HLOOKUP($A782,표1[#ALL],row(),false)</f>
        <v>#N/A</v>
      </c>
      <c r="U782" s="372" t="str">
        <f>CS_PID!U782/VLOOKUP($B782,표2[#ALL],2)/HLOOKUP($A782,표1[#ALL],row(),false)</f>
        <v>#N/A</v>
      </c>
      <c r="V782" s="372" t="str">
        <f>CS_PID!V782/VLOOKUP($B782,표2[#ALL],2)/HLOOKUP($A782,표1[#ALL],row(),false)</f>
        <v>#N/A</v>
      </c>
      <c r="W782" s="372" t="str">
        <f>CS_PID!W782/VLOOKUP($B782,표2[#ALL],2)/HLOOKUP($A782,표1[#ALL],row(),false)</f>
        <v>#N/A</v>
      </c>
      <c r="X782" s="372" t="str">
        <f>CS_PID!X782/VLOOKUP($B782,표2[#ALL],2)/HLOOKUP($A782,표1[#ALL],row(),false)</f>
        <v>#N/A</v>
      </c>
      <c r="Y782" s="372" t="str">
        <f>CS_PID!Y782/VLOOKUP($B782,표2[#ALL],2)/HLOOKUP($A782,표1[#ALL],row(),false)</f>
        <v>#N/A</v>
      </c>
      <c r="Z782" s="372" t="str">
        <f>CS_PID!Z782/VLOOKUP($B782,표2[#ALL],2)/HLOOKUP($A782,표1[#ALL],row(),false)</f>
        <v>#N/A</v>
      </c>
      <c r="AA782" s="372" t="str">
        <f>CS_PID!AA782/VLOOKUP($B782,표2[#ALL],2)/HLOOKUP($A782,표1[#ALL],row(),false)</f>
        <v>#N/A</v>
      </c>
      <c r="AB782" s="372" t="str">
        <f>CS_PID!AB782/VLOOKUP($B782,표2[#ALL],2)/HLOOKUP($A782,표1[#ALL],row(),false)</f>
        <v>#N/A</v>
      </c>
      <c r="AC782" s="372" t="str">
        <f>CS_PID!AC782/VLOOKUP($B782,표2[#ALL],2)/HLOOKUP($A782,표1[#ALL],row(),false)</f>
        <v>#N/A</v>
      </c>
      <c r="AD782" s="372" t="str">
        <f>CS_PID!AD782/VLOOKUP($B782,표2[#ALL],2)/HLOOKUP($A782,표1[#ALL],row(),false)</f>
        <v>#N/A</v>
      </c>
      <c r="AE782" s="372" t="str">
        <f>CS_PID!AE782/VLOOKUP($B782,표2[#ALL],2)/HLOOKUP($A782,표1[#ALL],row(),false)</f>
        <v>#N/A</v>
      </c>
      <c r="AF782" s="372" t="str">
        <f>CS_PID!AF782/VLOOKUP($B782,표2[#ALL],2)/HLOOKUP($A782,표1[#ALL],row(),false)</f>
        <v>#N/A</v>
      </c>
      <c r="AG782" s="372" t="str">
        <f>CS_PID!AG782/VLOOKUP($B782,표2[#ALL],2)/HLOOKUP($A782,표1[#ALL],row(),false)</f>
        <v>#N/A</v>
      </c>
      <c r="AH782" s="372" t="str">
        <f>CS_PID!AH782/VLOOKUP($B782,표2[#ALL],2)/HLOOKUP($A782,표1[#ALL],row(),false)</f>
        <v>#N/A</v>
      </c>
      <c r="AI782" s="372" t="str">
        <f>CS_PID!AI782/VLOOKUP($B782,표2[#ALL],2)/HLOOKUP($A782,표1[#ALL],row(),false)</f>
        <v>#N/A</v>
      </c>
      <c r="AJ782" s="372" t="str">
        <f>CS_PID!AJ782/VLOOKUP($B782,표2[#ALL],2)/HLOOKUP($A782,표1[#ALL],row(),false)</f>
        <v>#N/A</v>
      </c>
      <c r="AK782" s="372" t="str">
        <f>CS_PID!AK782/VLOOKUP($B782,표2[#ALL],2)/HLOOKUP($A782,표1[#ALL],row(),false)</f>
        <v>#N/A</v>
      </c>
      <c r="AL782" s="372" t="str">
        <f>CS_PID!AL782/VLOOKUP($B782,표2[#ALL],2)/HLOOKUP($A782,표1[#ALL],row(),false)</f>
        <v>#N/A</v>
      </c>
      <c r="AM782" s="372" t="str">
        <f>CS_PID!AM782/VLOOKUP($B782,표2[#ALL],2)/HLOOKUP($A782,표1[#ALL],row(),false)</f>
        <v>#N/A</v>
      </c>
      <c r="AN782" s="372" t="str">
        <f>CS_PID!AN782/VLOOKUP($B782,표2[#ALL],2)/HLOOKUP($A782,표1[#ALL],row(),false)</f>
        <v>#N/A</v>
      </c>
      <c r="AO782" s="372" t="str">
        <f>CS_PID!AO782/VLOOKUP($B782,표2[#ALL],2)/HLOOKUP($A782,표1[#ALL],row(),false)</f>
        <v>#N/A</v>
      </c>
      <c r="AP782" s="372" t="str">
        <f>CS_PID!AP782/VLOOKUP($B782,표2[#ALL],2)/HLOOKUP($A782,표1[#ALL],row(),false)</f>
        <v>#N/A</v>
      </c>
      <c r="AQ782" s="372" t="str">
        <f>CS_PID!AQ782/VLOOKUP($B782,표2[#ALL],2)/HLOOKUP($A782,표1[#ALL],row(),false)</f>
        <v>#N/A</v>
      </c>
      <c r="AR782" s="372" t="str">
        <f>CS_PID!AR782/VLOOKUP($B782,표2[#ALL],2)/HLOOKUP($A782,표1[#ALL],row(),false)</f>
        <v>#N/A</v>
      </c>
      <c r="AS782" s="373" t="str">
        <f>CS_PID!AS782/VLOOKUP($B782,표2[#ALL],2)/HLOOKUP($A782,표1[#ALL],row(),false)</f>
        <v>#N/A</v>
      </c>
    </row>
    <row r="783">
      <c r="A783" s="374"/>
      <c r="B783" s="375"/>
      <c r="C783" s="376" t="str">
        <f>CS_PID!C783/VLOOKUP($B783,표2[#ALL],2)</f>
        <v>#N/A</v>
      </c>
      <c r="D783" s="376" t="str">
        <f>CS_PID!D783/VLOOKUP($B783,표2[#ALL],2)</f>
        <v>#N/A</v>
      </c>
      <c r="E783" s="376" t="str">
        <f>CS_PID!E783/VLOOKUP($B783,표2[#ALL],2)</f>
        <v>#N/A</v>
      </c>
      <c r="F783" s="376" t="str">
        <f>CS_PID!F783/VLOOKUP($B783,표2[#ALL],2)</f>
        <v>#N/A</v>
      </c>
      <c r="G783" s="376" t="str">
        <f>CS_PID!G783/VLOOKUP($B783,표2[#ALL],2)</f>
        <v>#N/A</v>
      </c>
      <c r="H783" s="376" t="str">
        <f>CS_PID!H783/VLOOKUP($B783,표2[#ALL],2)/HLOOKUP($A783,표1[#ALL],row(),false)</f>
        <v>#N/A</v>
      </c>
      <c r="I783" s="376" t="str">
        <f>CS_PID!I783/VLOOKUP($B783,표2[#ALL],2)/HLOOKUP($A783,표1[#ALL],row(),false)</f>
        <v>#N/A</v>
      </c>
      <c r="J783" s="376" t="str">
        <f>CS_PID!J783/VLOOKUP($B783,표2[#ALL],2)/HLOOKUP($A783,표1[#ALL],row(),false)</f>
        <v>#N/A</v>
      </c>
      <c r="K783" s="376" t="str">
        <f>CS_PID!K783/VLOOKUP($B783,표2[#ALL],2)/HLOOKUP($A783,표1[#ALL],row(),false)</f>
        <v>#N/A</v>
      </c>
      <c r="L783" s="376" t="str">
        <f>CS_PID!L783/VLOOKUP($B783,표2[#ALL],2)/HLOOKUP($A783,표1[#ALL],row(),false)</f>
        <v>#N/A</v>
      </c>
      <c r="M783" s="376" t="str">
        <f>CS_PID!M783/VLOOKUP($B783,표2[#ALL],2)/HLOOKUP($A783,표1[#ALL],row(),false)</f>
        <v>#N/A</v>
      </c>
      <c r="N783" s="376" t="str">
        <f>CS_PID!N783/VLOOKUP($B783,표2[#ALL],2)/HLOOKUP($A783,표1[#ALL],row(),false)</f>
        <v>#N/A</v>
      </c>
      <c r="O783" s="376" t="str">
        <f>CS_PID!O783/VLOOKUP($B783,표2[#ALL],2)/HLOOKUP($A783,표1[#ALL],row(),false)</f>
        <v>#N/A</v>
      </c>
      <c r="P783" s="376" t="str">
        <f>CS_PID!P783/VLOOKUP($B783,표2[#ALL],2)/HLOOKUP($A783,표1[#ALL],row(),false)</f>
        <v>#N/A</v>
      </c>
      <c r="Q783" s="376" t="str">
        <f>CS_PID!Q783/VLOOKUP($B783,표2[#ALL],2)/HLOOKUP($A783,표1[#ALL],row(),false)</f>
        <v>#N/A</v>
      </c>
      <c r="R783" s="376" t="str">
        <f>CS_PID!R783/VLOOKUP($B783,표2[#ALL],2)/HLOOKUP($A783,표1[#ALL],row(),false)</f>
        <v>#N/A</v>
      </c>
      <c r="S783" s="376" t="str">
        <f>CS_PID!S783/VLOOKUP($B783,표2[#ALL],2)/HLOOKUP($A783,표1[#ALL],row(),false)</f>
        <v>#N/A</v>
      </c>
      <c r="T783" s="376" t="str">
        <f>CS_PID!T783/VLOOKUP($B783,표2[#ALL],2)/HLOOKUP($A783,표1[#ALL],row(),false)</f>
        <v>#N/A</v>
      </c>
      <c r="U783" s="376" t="str">
        <f>CS_PID!U783/VLOOKUP($B783,표2[#ALL],2)/HLOOKUP($A783,표1[#ALL],row(),false)</f>
        <v>#N/A</v>
      </c>
      <c r="V783" s="376" t="str">
        <f>CS_PID!V783/VLOOKUP($B783,표2[#ALL],2)/HLOOKUP($A783,표1[#ALL],row(),false)</f>
        <v>#N/A</v>
      </c>
      <c r="W783" s="376" t="str">
        <f>CS_PID!W783/VLOOKUP($B783,표2[#ALL],2)/HLOOKUP($A783,표1[#ALL],row(),false)</f>
        <v>#N/A</v>
      </c>
      <c r="X783" s="376" t="str">
        <f>CS_PID!X783/VLOOKUP($B783,표2[#ALL],2)/HLOOKUP($A783,표1[#ALL],row(),false)</f>
        <v>#N/A</v>
      </c>
      <c r="Y783" s="376" t="str">
        <f>CS_PID!Y783/VLOOKUP($B783,표2[#ALL],2)/HLOOKUP($A783,표1[#ALL],row(),false)</f>
        <v>#N/A</v>
      </c>
      <c r="Z783" s="376" t="str">
        <f>CS_PID!Z783/VLOOKUP($B783,표2[#ALL],2)/HLOOKUP($A783,표1[#ALL],row(),false)</f>
        <v>#N/A</v>
      </c>
      <c r="AA783" s="376" t="str">
        <f>CS_PID!AA783/VLOOKUP($B783,표2[#ALL],2)/HLOOKUP($A783,표1[#ALL],row(),false)</f>
        <v>#N/A</v>
      </c>
      <c r="AB783" s="376" t="str">
        <f>CS_PID!AB783/VLOOKUP($B783,표2[#ALL],2)/HLOOKUP($A783,표1[#ALL],row(),false)</f>
        <v>#N/A</v>
      </c>
      <c r="AC783" s="376" t="str">
        <f>CS_PID!AC783/VLOOKUP($B783,표2[#ALL],2)/HLOOKUP($A783,표1[#ALL],row(),false)</f>
        <v>#N/A</v>
      </c>
      <c r="AD783" s="376" t="str">
        <f>CS_PID!AD783/VLOOKUP($B783,표2[#ALL],2)/HLOOKUP($A783,표1[#ALL],row(),false)</f>
        <v>#N/A</v>
      </c>
      <c r="AE783" s="376" t="str">
        <f>CS_PID!AE783/VLOOKUP($B783,표2[#ALL],2)/HLOOKUP($A783,표1[#ALL],row(),false)</f>
        <v>#N/A</v>
      </c>
      <c r="AF783" s="376" t="str">
        <f>CS_PID!AF783/VLOOKUP($B783,표2[#ALL],2)/HLOOKUP($A783,표1[#ALL],row(),false)</f>
        <v>#N/A</v>
      </c>
      <c r="AG783" s="376" t="str">
        <f>CS_PID!AG783/VLOOKUP($B783,표2[#ALL],2)/HLOOKUP($A783,표1[#ALL],row(),false)</f>
        <v>#N/A</v>
      </c>
      <c r="AH783" s="376" t="str">
        <f>CS_PID!AH783/VLOOKUP($B783,표2[#ALL],2)/HLOOKUP($A783,표1[#ALL],row(),false)</f>
        <v>#N/A</v>
      </c>
      <c r="AI783" s="376" t="str">
        <f>CS_PID!AI783/VLOOKUP($B783,표2[#ALL],2)/HLOOKUP($A783,표1[#ALL],row(),false)</f>
        <v>#N/A</v>
      </c>
      <c r="AJ783" s="376" t="str">
        <f>CS_PID!AJ783/VLOOKUP($B783,표2[#ALL],2)/HLOOKUP($A783,표1[#ALL],row(),false)</f>
        <v>#N/A</v>
      </c>
      <c r="AK783" s="376" t="str">
        <f>CS_PID!AK783/VLOOKUP($B783,표2[#ALL],2)/HLOOKUP($A783,표1[#ALL],row(),false)</f>
        <v>#N/A</v>
      </c>
      <c r="AL783" s="376" t="str">
        <f>CS_PID!AL783/VLOOKUP($B783,표2[#ALL],2)/HLOOKUP($A783,표1[#ALL],row(),false)</f>
        <v>#N/A</v>
      </c>
      <c r="AM783" s="376" t="str">
        <f>CS_PID!AM783/VLOOKUP($B783,표2[#ALL],2)/HLOOKUP($A783,표1[#ALL],row(),false)</f>
        <v>#N/A</v>
      </c>
      <c r="AN783" s="376" t="str">
        <f>CS_PID!AN783/VLOOKUP($B783,표2[#ALL],2)/HLOOKUP($A783,표1[#ALL],row(),false)</f>
        <v>#N/A</v>
      </c>
      <c r="AO783" s="376" t="str">
        <f>CS_PID!AO783/VLOOKUP($B783,표2[#ALL],2)/HLOOKUP($A783,표1[#ALL],row(),false)</f>
        <v>#N/A</v>
      </c>
      <c r="AP783" s="376" t="str">
        <f>CS_PID!AP783/VLOOKUP($B783,표2[#ALL],2)/HLOOKUP($A783,표1[#ALL],row(),false)</f>
        <v>#N/A</v>
      </c>
      <c r="AQ783" s="376" t="str">
        <f>CS_PID!AQ783/VLOOKUP($B783,표2[#ALL],2)/HLOOKUP($A783,표1[#ALL],row(),false)</f>
        <v>#N/A</v>
      </c>
      <c r="AR783" s="376" t="str">
        <f>CS_PID!AR783/VLOOKUP($B783,표2[#ALL],2)/HLOOKUP($A783,표1[#ALL],row(),false)</f>
        <v>#N/A</v>
      </c>
      <c r="AS783" s="377" t="str">
        <f>CS_PID!AS783/VLOOKUP($B783,표2[#ALL],2)/HLOOKUP($A783,표1[#ALL],row(),false)</f>
        <v>#N/A</v>
      </c>
    </row>
    <row r="784">
      <c r="A784" s="370"/>
      <c r="B784" s="371"/>
      <c r="C784" s="372" t="str">
        <f>CS_PID!C784/VLOOKUP($B784,표2[#ALL],2)</f>
        <v>#N/A</v>
      </c>
      <c r="D784" s="372" t="str">
        <f>CS_PID!D784/VLOOKUP($B784,표2[#ALL],2)</f>
        <v>#N/A</v>
      </c>
      <c r="E784" s="372" t="str">
        <f>CS_PID!E784/VLOOKUP($B784,표2[#ALL],2)</f>
        <v>#N/A</v>
      </c>
      <c r="F784" s="372" t="str">
        <f>CS_PID!F784/VLOOKUP($B784,표2[#ALL],2)</f>
        <v>#N/A</v>
      </c>
      <c r="G784" s="372" t="str">
        <f>CS_PID!G784/VLOOKUP($B784,표2[#ALL],2)</f>
        <v>#N/A</v>
      </c>
      <c r="H784" s="372" t="str">
        <f>CS_PID!H784/VLOOKUP($B784,표2[#ALL],2)/HLOOKUP($A784,표1[#ALL],row(),false)</f>
        <v>#N/A</v>
      </c>
      <c r="I784" s="372" t="str">
        <f>CS_PID!I784/VLOOKUP($B784,표2[#ALL],2)/HLOOKUP($A784,표1[#ALL],row(),false)</f>
        <v>#N/A</v>
      </c>
      <c r="J784" s="372" t="str">
        <f>CS_PID!J784/VLOOKUP($B784,표2[#ALL],2)/HLOOKUP($A784,표1[#ALL],row(),false)</f>
        <v>#N/A</v>
      </c>
      <c r="K784" s="372" t="str">
        <f>CS_PID!K784/VLOOKUP($B784,표2[#ALL],2)/HLOOKUP($A784,표1[#ALL],row(),false)</f>
        <v>#N/A</v>
      </c>
      <c r="L784" s="372" t="str">
        <f>CS_PID!L784/VLOOKUP($B784,표2[#ALL],2)/HLOOKUP($A784,표1[#ALL],row(),false)</f>
        <v>#N/A</v>
      </c>
      <c r="M784" s="372" t="str">
        <f>CS_PID!M784/VLOOKUP($B784,표2[#ALL],2)/HLOOKUP($A784,표1[#ALL],row(),false)</f>
        <v>#N/A</v>
      </c>
      <c r="N784" s="372" t="str">
        <f>CS_PID!N784/VLOOKUP($B784,표2[#ALL],2)/HLOOKUP($A784,표1[#ALL],row(),false)</f>
        <v>#N/A</v>
      </c>
      <c r="O784" s="372" t="str">
        <f>CS_PID!O784/VLOOKUP($B784,표2[#ALL],2)/HLOOKUP($A784,표1[#ALL],row(),false)</f>
        <v>#N/A</v>
      </c>
      <c r="P784" s="372" t="str">
        <f>CS_PID!P784/VLOOKUP($B784,표2[#ALL],2)/HLOOKUP($A784,표1[#ALL],row(),false)</f>
        <v>#N/A</v>
      </c>
      <c r="Q784" s="372" t="str">
        <f>CS_PID!Q784/VLOOKUP($B784,표2[#ALL],2)/HLOOKUP($A784,표1[#ALL],row(),false)</f>
        <v>#N/A</v>
      </c>
      <c r="R784" s="372" t="str">
        <f>CS_PID!R784/VLOOKUP($B784,표2[#ALL],2)/HLOOKUP($A784,표1[#ALL],row(),false)</f>
        <v>#N/A</v>
      </c>
      <c r="S784" s="372" t="str">
        <f>CS_PID!S784/VLOOKUP($B784,표2[#ALL],2)/HLOOKUP($A784,표1[#ALL],row(),false)</f>
        <v>#N/A</v>
      </c>
      <c r="T784" s="372" t="str">
        <f>CS_PID!T784/VLOOKUP($B784,표2[#ALL],2)/HLOOKUP($A784,표1[#ALL],row(),false)</f>
        <v>#N/A</v>
      </c>
      <c r="U784" s="372" t="str">
        <f>CS_PID!U784/VLOOKUP($B784,표2[#ALL],2)/HLOOKUP($A784,표1[#ALL],row(),false)</f>
        <v>#N/A</v>
      </c>
      <c r="V784" s="372" t="str">
        <f>CS_PID!V784/VLOOKUP($B784,표2[#ALL],2)/HLOOKUP($A784,표1[#ALL],row(),false)</f>
        <v>#N/A</v>
      </c>
      <c r="W784" s="372" t="str">
        <f>CS_PID!W784/VLOOKUP($B784,표2[#ALL],2)/HLOOKUP($A784,표1[#ALL],row(),false)</f>
        <v>#N/A</v>
      </c>
      <c r="X784" s="372" t="str">
        <f>CS_PID!X784/VLOOKUP($B784,표2[#ALL],2)/HLOOKUP($A784,표1[#ALL],row(),false)</f>
        <v>#N/A</v>
      </c>
      <c r="Y784" s="372" t="str">
        <f>CS_PID!Y784/VLOOKUP($B784,표2[#ALL],2)/HLOOKUP($A784,표1[#ALL],row(),false)</f>
        <v>#N/A</v>
      </c>
      <c r="Z784" s="372" t="str">
        <f>CS_PID!Z784/VLOOKUP($B784,표2[#ALL],2)/HLOOKUP($A784,표1[#ALL],row(),false)</f>
        <v>#N/A</v>
      </c>
      <c r="AA784" s="372" t="str">
        <f>CS_PID!AA784/VLOOKUP($B784,표2[#ALL],2)/HLOOKUP($A784,표1[#ALL],row(),false)</f>
        <v>#N/A</v>
      </c>
      <c r="AB784" s="372" t="str">
        <f>CS_PID!AB784/VLOOKUP($B784,표2[#ALL],2)/HLOOKUP($A784,표1[#ALL],row(),false)</f>
        <v>#N/A</v>
      </c>
      <c r="AC784" s="372" t="str">
        <f>CS_PID!AC784/VLOOKUP($B784,표2[#ALL],2)/HLOOKUP($A784,표1[#ALL],row(),false)</f>
        <v>#N/A</v>
      </c>
      <c r="AD784" s="372" t="str">
        <f>CS_PID!AD784/VLOOKUP($B784,표2[#ALL],2)/HLOOKUP($A784,표1[#ALL],row(),false)</f>
        <v>#N/A</v>
      </c>
      <c r="AE784" s="372" t="str">
        <f>CS_PID!AE784/VLOOKUP($B784,표2[#ALL],2)/HLOOKUP($A784,표1[#ALL],row(),false)</f>
        <v>#N/A</v>
      </c>
      <c r="AF784" s="372" t="str">
        <f>CS_PID!AF784/VLOOKUP($B784,표2[#ALL],2)/HLOOKUP($A784,표1[#ALL],row(),false)</f>
        <v>#N/A</v>
      </c>
      <c r="AG784" s="372" t="str">
        <f>CS_PID!AG784/VLOOKUP($B784,표2[#ALL],2)/HLOOKUP($A784,표1[#ALL],row(),false)</f>
        <v>#N/A</v>
      </c>
      <c r="AH784" s="372" t="str">
        <f>CS_PID!AH784/VLOOKUP($B784,표2[#ALL],2)/HLOOKUP($A784,표1[#ALL],row(),false)</f>
        <v>#N/A</v>
      </c>
      <c r="AI784" s="372" t="str">
        <f>CS_PID!AI784/VLOOKUP($B784,표2[#ALL],2)/HLOOKUP($A784,표1[#ALL],row(),false)</f>
        <v>#N/A</v>
      </c>
      <c r="AJ784" s="372" t="str">
        <f>CS_PID!AJ784/VLOOKUP($B784,표2[#ALL],2)/HLOOKUP($A784,표1[#ALL],row(),false)</f>
        <v>#N/A</v>
      </c>
      <c r="AK784" s="372" t="str">
        <f>CS_PID!AK784/VLOOKUP($B784,표2[#ALL],2)/HLOOKUP($A784,표1[#ALL],row(),false)</f>
        <v>#N/A</v>
      </c>
      <c r="AL784" s="372" t="str">
        <f>CS_PID!AL784/VLOOKUP($B784,표2[#ALL],2)/HLOOKUP($A784,표1[#ALL],row(),false)</f>
        <v>#N/A</v>
      </c>
      <c r="AM784" s="372" t="str">
        <f>CS_PID!AM784/VLOOKUP($B784,표2[#ALL],2)/HLOOKUP($A784,표1[#ALL],row(),false)</f>
        <v>#N/A</v>
      </c>
      <c r="AN784" s="372" t="str">
        <f>CS_PID!AN784/VLOOKUP($B784,표2[#ALL],2)/HLOOKUP($A784,표1[#ALL],row(),false)</f>
        <v>#N/A</v>
      </c>
      <c r="AO784" s="372" t="str">
        <f>CS_PID!AO784/VLOOKUP($B784,표2[#ALL],2)/HLOOKUP($A784,표1[#ALL],row(),false)</f>
        <v>#N/A</v>
      </c>
      <c r="AP784" s="372" t="str">
        <f>CS_PID!AP784/VLOOKUP($B784,표2[#ALL],2)/HLOOKUP($A784,표1[#ALL],row(),false)</f>
        <v>#N/A</v>
      </c>
      <c r="AQ784" s="372" t="str">
        <f>CS_PID!AQ784/VLOOKUP($B784,표2[#ALL],2)/HLOOKUP($A784,표1[#ALL],row(),false)</f>
        <v>#N/A</v>
      </c>
      <c r="AR784" s="372" t="str">
        <f>CS_PID!AR784/VLOOKUP($B784,표2[#ALL],2)/HLOOKUP($A784,표1[#ALL],row(),false)</f>
        <v>#N/A</v>
      </c>
      <c r="AS784" s="373" t="str">
        <f>CS_PID!AS784/VLOOKUP($B784,표2[#ALL],2)/HLOOKUP($A784,표1[#ALL],row(),false)</f>
        <v>#N/A</v>
      </c>
    </row>
    <row r="785">
      <c r="A785" s="374"/>
      <c r="B785" s="375"/>
      <c r="C785" s="376" t="str">
        <f>CS_PID!C785/VLOOKUP($B785,표2[#ALL],2)</f>
        <v>#N/A</v>
      </c>
      <c r="D785" s="376" t="str">
        <f>CS_PID!D785/VLOOKUP($B785,표2[#ALL],2)</f>
        <v>#N/A</v>
      </c>
      <c r="E785" s="376" t="str">
        <f>CS_PID!E785/VLOOKUP($B785,표2[#ALL],2)</f>
        <v>#N/A</v>
      </c>
      <c r="F785" s="376" t="str">
        <f>CS_PID!F785/VLOOKUP($B785,표2[#ALL],2)</f>
        <v>#N/A</v>
      </c>
      <c r="G785" s="376" t="str">
        <f>CS_PID!G785/VLOOKUP($B785,표2[#ALL],2)</f>
        <v>#N/A</v>
      </c>
      <c r="H785" s="376" t="str">
        <f>CS_PID!H785/VLOOKUP($B785,표2[#ALL],2)/HLOOKUP($A785,표1[#ALL],row(),false)</f>
        <v>#N/A</v>
      </c>
      <c r="I785" s="376" t="str">
        <f>CS_PID!I785/VLOOKUP($B785,표2[#ALL],2)/HLOOKUP($A785,표1[#ALL],row(),false)</f>
        <v>#N/A</v>
      </c>
      <c r="J785" s="376" t="str">
        <f>CS_PID!J785/VLOOKUP($B785,표2[#ALL],2)/HLOOKUP($A785,표1[#ALL],row(),false)</f>
        <v>#N/A</v>
      </c>
      <c r="K785" s="376" t="str">
        <f>CS_PID!K785/VLOOKUP($B785,표2[#ALL],2)/HLOOKUP($A785,표1[#ALL],row(),false)</f>
        <v>#N/A</v>
      </c>
      <c r="L785" s="376" t="str">
        <f>CS_PID!L785/VLOOKUP($B785,표2[#ALL],2)/HLOOKUP($A785,표1[#ALL],row(),false)</f>
        <v>#N/A</v>
      </c>
      <c r="M785" s="376" t="str">
        <f>CS_PID!M785/VLOOKUP($B785,표2[#ALL],2)/HLOOKUP($A785,표1[#ALL],row(),false)</f>
        <v>#N/A</v>
      </c>
      <c r="N785" s="376" t="str">
        <f>CS_PID!N785/VLOOKUP($B785,표2[#ALL],2)/HLOOKUP($A785,표1[#ALL],row(),false)</f>
        <v>#N/A</v>
      </c>
      <c r="O785" s="376" t="str">
        <f>CS_PID!O785/VLOOKUP($B785,표2[#ALL],2)/HLOOKUP($A785,표1[#ALL],row(),false)</f>
        <v>#N/A</v>
      </c>
      <c r="P785" s="376" t="str">
        <f>CS_PID!P785/VLOOKUP($B785,표2[#ALL],2)/HLOOKUP($A785,표1[#ALL],row(),false)</f>
        <v>#N/A</v>
      </c>
      <c r="Q785" s="376" t="str">
        <f>CS_PID!Q785/VLOOKUP($B785,표2[#ALL],2)/HLOOKUP($A785,표1[#ALL],row(),false)</f>
        <v>#N/A</v>
      </c>
      <c r="R785" s="376" t="str">
        <f>CS_PID!R785/VLOOKUP($B785,표2[#ALL],2)/HLOOKUP($A785,표1[#ALL],row(),false)</f>
        <v>#N/A</v>
      </c>
      <c r="S785" s="376" t="str">
        <f>CS_PID!S785/VLOOKUP($B785,표2[#ALL],2)/HLOOKUP($A785,표1[#ALL],row(),false)</f>
        <v>#N/A</v>
      </c>
      <c r="T785" s="376" t="str">
        <f>CS_PID!T785/VLOOKUP($B785,표2[#ALL],2)/HLOOKUP($A785,표1[#ALL],row(),false)</f>
        <v>#N/A</v>
      </c>
      <c r="U785" s="376" t="str">
        <f>CS_PID!U785/VLOOKUP($B785,표2[#ALL],2)/HLOOKUP($A785,표1[#ALL],row(),false)</f>
        <v>#N/A</v>
      </c>
      <c r="V785" s="376" t="str">
        <f>CS_PID!V785/VLOOKUP($B785,표2[#ALL],2)/HLOOKUP($A785,표1[#ALL],row(),false)</f>
        <v>#N/A</v>
      </c>
      <c r="W785" s="376" t="str">
        <f>CS_PID!W785/VLOOKUP($B785,표2[#ALL],2)/HLOOKUP($A785,표1[#ALL],row(),false)</f>
        <v>#N/A</v>
      </c>
      <c r="X785" s="376" t="str">
        <f>CS_PID!X785/VLOOKUP($B785,표2[#ALL],2)/HLOOKUP($A785,표1[#ALL],row(),false)</f>
        <v>#N/A</v>
      </c>
      <c r="Y785" s="376" t="str">
        <f>CS_PID!Y785/VLOOKUP($B785,표2[#ALL],2)/HLOOKUP($A785,표1[#ALL],row(),false)</f>
        <v>#N/A</v>
      </c>
      <c r="Z785" s="376" t="str">
        <f>CS_PID!Z785/VLOOKUP($B785,표2[#ALL],2)/HLOOKUP($A785,표1[#ALL],row(),false)</f>
        <v>#N/A</v>
      </c>
      <c r="AA785" s="376" t="str">
        <f>CS_PID!AA785/VLOOKUP($B785,표2[#ALL],2)/HLOOKUP($A785,표1[#ALL],row(),false)</f>
        <v>#N/A</v>
      </c>
      <c r="AB785" s="376" t="str">
        <f>CS_PID!AB785/VLOOKUP($B785,표2[#ALL],2)/HLOOKUP($A785,표1[#ALL],row(),false)</f>
        <v>#N/A</v>
      </c>
      <c r="AC785" s="376" t="str">
        <f>CS_PID!AC785/VLOOKUP($B785,표2[#ALL],2)/HLOOKUP($A785,표1[#ALL],row(),false)</f>
        <v>#N/A</v>
      </c>
      <c r="AD785" s="376" t="str">
        <f>CS_PID!AD785/VLOOKUP($B785,표2[#ALL],2)/HLOOKUP($A785,표1[#ALL],row(),false)</f>
        <v>#N/A</v>
      </c>
      <c r="AE785" s="376" t="str">
        <f>CS_PID!AE785/VLOOKUP($B785,표2[#ALL],2)/HLOOKUP($A785,표1[#ALL],row(),false)</f>
        <v>#N/A</v>
      </c>
      <c r="AF785" s="376" t="str">
        <f>CS_PID!AF785/VLOOKUP($B785,표2[#ALL],2)/HLOOKUP($A785,표1[#ALL],row(),false)</f>
        <v>#N/A</v>
      </c>
      <c r="AG785" s="376" t="str">
        <f>CS_PID!AG785/VLOOKUP($B785,표2[#ALL],2)/HLOOKUP($A785,표1[#ALL],row(),false)</f>
        <v>#N/A</v>
      </c>
      <c r="AH785" s="376" t="str">
        <f>CS_PID!AH785/VLOOKUP($B785,표2[#ALL],2)/HLOOKUP($A785,표1[#ALL],row(),false)</f>
        <v>#N/A</v>
      </c>
      <c r="AI785" s="376" t="str">
        <f>CS_PID!AI785/VLOOKUP($B785,표2[#ALL],2)/HLOOKUP($A785,표1[#ALL],row(),false)</f>
        <v>#N/A</v>
      </c>
      <c r="AJ785" s="376" t="str">
        <f>CS_PID!AJ785/VLOOKUP($B785,표2[#ALL],2)/HLOOKUP($A785,표1[#ALL],row(),false)</f>
        <v>#N/A</v>
      </c>
      <c r="AK785" s="376" t="str">
        <f>CS_PID!AK785/VLOOKUP($B785,표2[#ALL],2)/HLOOKUP($A785,표1[#ALL],row(),false)</f>
        <v>#N/A</v>
      </c>
      <c r="AL785" s="376" t="str">
        <f>CS_PID!AL785/VLOOKUP($B785,표2[#ALL],2)/HLOOKUP($A785,표1[#ALL],row(),false)</f>
        <v>#N/A</v>
      </c>
      <c r="AM785" s="376" t="str">
        <f>CS_PID!AM785/VLOOKUP($B785,표2[#ALL],2)/HLOOKUP($A785,표1[#ALL],row(),false)</f>
        <v>#N/A</v>
      </c>
      <c r="AN785" s="376" t="str">
        <f>CS_PID!AN785/VLOOKUP($B785,표2[#ALL],2)/HLOOKUP($A785,표1[#ALL],row(),false)</f>
        <v>#N/A</v>
      </c>
      <c r="AO785" s="376" t="str">
        <f>CS_PID!AO785/VLOOKUP($B785,표2[#ALL],2)/HLOOKUP($A785,표1[#ALL],row(),false)</f>
        <v>#N/A</v>
      </c>
      <c r="AP785" s="376" t="str">
        <f>CS_PID!AP785/VLOOKUP($B785,표2[#ALL],2)/HLOOKUP($A785,표1[#ALL],row(),false)</f>
        <v>#N/A</v>
      </c>
      <c r="AQ785" s="376" t="str">
        <f>CS_PID!AQ785/VLOOKUP($B785,표2[#ALL],2)/HLOOKUP($A785,표1[#ALL],row(),false)</f>
        <v>#N/A</v>
      </c>
      <c r="AR785" s="376" t="str">
        <f>CS_PID!AR785/VLOOKUP($B785,표2[#ALL],2)/HLOOKUP($A785,표1[#ALL],row(),false)</f>
        <v>#N/A</v>
      </c>
      <c r="AS785" s="377" t="str">
        <f>CS_PID!AS785/VLOOKUP($B785,표2[#ALL],2)/HLOOKUP($A785,표1[#ALL],row(),false)</f>
        <v>#N/A</v>
      </c>
    </row>
    <row r="786">
      <c r="A786" s="370"/>
      <c r="B786" s="371"/>
      <c r="C786" s="372" t="str">
        <f>CS_PID!C786/VLOOKUP($B786,표2[#ALL],2)</f>
        <v>#N/A</v>
      </c>
      <c r="D786" s="372" t="str">
        <f>CS_PID!D786/VLOOKUP($B786,표2[#ALL],2)</f>
        <v>#N/A</v>
      </c>
      <c r="E786" s="372" t="str">
        <f>CS_PID!E786/VLOOKUP($B786,표2[#ALL],2)</f>
        <v>#N/A</v>
      </c>
      <c r="F786" s="372" t="str">
        <f>CS_PID!F786/VLOOKUP($B786,표2[#ALL],2)</f>
        <v>#N/A</v>
      </c>
      <c r="G786" s="372" t="str">
        <f>CS_PID!G786/VLOOKUP($B786,표2[#ALL],2)</f>
        <v>#N/A</v>
      </c>
      <c r="H786" s="372" t="str">
        <f>CS_PID!H786/VLOOKUP($B786,표2[#ALL],2)/HLOOKUP($A786,표1[#ALL],row(),false)</f>
        <v>#N/A</v>
      </c>
      <c r="I786" s="372" t="str">
        <f>CS_PID!I786/VLOOKUP($B786,표2[#ALL],2)/HLOOKUP($A786,표1[#ALL],row(),false)</f>
        <v>#N/A</v>
      </c>
      <c r="J786" s="372" t="str">
        <f>CS_PID!J786/VLOOKUP($B786,표2[#ALL],2)/HLOOKUP($A786,표1[#ALL],row(),false)</f>
        <v>#N/A</v>
      </c>
      <c r="K786" s="372" t="str">
        <f>CS_PID!K786/VLOOKUP($B786,표2[#ALL],2)/HLOOKUP($A786,표1[#ALL],row(),false)</f>
        <v>#N/A</v>
      </c>
      <c r="L786" s="372" t="str">
        <f>CS_PID!L786/VLOOKUP($B786,표2[#ALL],2)/HLOOKUP($A786,표1[#ALL],row(),false)</f>
        <v>#N/A</v>
      </c>
      <c r="M786" s="372" t="str">
        <f>CS_PID!M786/VLOOKUP($B786,표2[#ALL],2)/HLOOKUP($A786,표1[#ALL],row(),false)</f>
        <v>#N/A</v>
      </c>
      <c r="N786" s="372" t="str">
        <f>CS_PID!N786/VLOOKUP($B786,표2[#ALL],2)/HLOOKUP($A786,표1[#ALL],row(),false)</f>
        <v>#N/A</v>
      </c>
      <c r="O786" s="372" t="str">
        <f>CS_PID!O786/VLOOKUP($B786,표2[#ALL],2)/HLOOKUP($A786,표1[#ALL],row(),false)</f>
        <v>#N/A</v>
      </c>
      <c r="P786" s="372" t="str">
        <f>CS_PID!P786/VLOOKUP($B786,표2[#ALL],2)/HLOOKUP($A786,표1[#ALL],row(),false)</f>
        <v>#N/A</v>
      </c>
      <c r="Q786" s="372" t="str">
        <f>CS_PID!Q786/VLOOKUP($B786,표2[#ALL],2)/HLOOKUP($A786,표1[#ALL],row(),false)</f>
        <v>#N/A</v>
      </c>
      <c r="R786" s="372" t="str">
        <f>CS_PID!R786/VLOOKUP($B786,표2[#ALL],2)/HLOOKUP($A786,표1[#ALL],row(),false)</f>
        <v>#N/A</v>
      </c>
      <c r="S786" s="372" t="str">
        <f>CS_PID!S786/VLOOKUP($B786,표2[#ALL],2)/HLOOKUP($A786,표1[#ALL],row(),false)</f>
        <v>#N/A</v>
      </c>
      <c r="T786" s="372" t="str">
        <f>CS_PID!T786/VLOOKUP($B786,표2[#ALL],2)/HLOOKUP($A786,표1[#ALL],row(),false)</f>
        <v>#N/A</v>
      </c>
      <c r="U786" s="372" t="str">
        <f>CS_PID!U786/VLOOKUP($B786,표2[#ALL],2)/HLOOKUP($A786,표1[#ALL],row(),false)</f>
        <v>#N/A</v>
      </c>
      <c r="V786" s="372" t="str">
        <f>CS_PID!V786/VLOOKUP($B786,표2[#ALL],2)/HLOOKUP($A786,표1[#ALL],row(),false)</f>
        <v>#N/A</v>
      </c>
      <c r="W786" s="372" t="str">
        <f>CS_PID!W786/VLOOKUP($B786,표2[#ALL],2)/HLOOKUP($A786,표1[#ALL],row(),false)</f>
        <v>#N/A</v>
      </c>
      <c r="X786" s="372" t="str">
        <f>CS_PID!X786/VLOOKUP($B786,표2[#ALL],2)/HLOOKUP($A786,표1[#ALL],row(),false)</f>
        <v>#N/A</v>
      </c>
      <c r="Y786" s="372" t="str">
        <f>CS_PID!Y786/VLOOKUP($B786,표2[#ALL],2)/HLOOKUP($A786,표1[#ALL],row(),false)</f>
        <v>#N/A</v>
      </c>
      <c r="Z786" s="372" t="str">
        <f>CS_PID!Z786/VLOOKUP($B786,표2[#ALL],2)/HLOOKUP($A786,표1[#ALL],row(),false)</f>
        <v>#N/A</v>
      </c>
      <c r="AA786" s="372" t="str">
        <f>CS_PID!AA786/VLOOKUP($B786,표2[#ALL],2)/HLOOKUP($A786,표1[#ALL],row(),false)</f>
        <v>#N/A</v>
      </c>
      <c r="AB786" s="372" t="str">
        <f>CS_PID!AB786/VLOOKUP($B786,표2[#ALL],2)/HLOOKUP($A786,표1[#ALL],row(),false)</f>
        <v>#N/A</v>
      </c>
      <c r="AC786" s="372" t="str">
        <f>CS_PID!AC786/VLOOKUP($B786,표2[#ALL],2)/HLOOKUP($A786,표1[#ALL],row(),false)</f>
        <v>#N/A</v>
      </c>
      <c r="AD786" s="372" t="str">
        <f>CS_PID!AD786/VLOOKUP($B786,표2[#ALL],2)/HLOOKUP($A786,표1[#ALL],row(),false)</f>
        <v>#N/A</v>
      </c>
      <c r="AE786" s="372" t="str">
        <f>CS_PID!AE786/VLOOKUP($B786,표2[#ALL],2)/HLOOKUP($A786,표1[#ALL],row(),false)</f>
        <v>#N/A</v>
      </c>
      <c r="AF786" s="372" t="str">
        <f>CS_PID!AF786/VLOOKUP($B786,표2[#ALL],2)/HLOOKUP($A786,표1[#ALL],row(),false)</f>
        <v>#N/A</v>
      </c>
      <c r="AG786" s="372" t="str">
        <f>CS_PID!AG786/VLOOKUP($B786,표2[#ALL],2)/HLOOKUP($A786,표1[#ALL],row(),false)</f>
        <v>#N/A</v>
      </c>
      <c r="AH786" s="372" t="str">
        <f>CS_PID!AH786/VLOOKUP($B786,표2[#ALL],2)/HLOOKUP($A786,표1[#ALL],row(),false)</f>
        <v>#N/A</v>
      </c>
      <c r="AI786" s="372" t="str">
        <f>CS_PID!AI786/VLOOKUP($B786,표2[#ALL],2)/HLOOKUP($A786,표1[#ALL],row(),false)</f>
        <v>#N/A</v>
      </c>
      <c r="AJ786" s="372" t="str">
        <f>CS_PID!AJ786/VLOOKUP($B786,표2[#ALL],2)/HLOOKUP($A786,표1[#ALL],row(),false)</f>
        <v>#N/A</v>
      </c>
      <c r="AK786" s="372" t="str">
        <f>CS_PID!AK786/VLOOKUP($B786,표2[#ALL],2)/HLOOKUP($A786,표1[#ALL],row(),false)</f>
        <v>#N/A</v>
      </c>
      <c r="AL786" s="372" t="str">
        <f>CS_PID!AL786/VLOOKUP($B786,표2[#ALL],2)/HLOOKUP($A786,표1[#ALL],row(),false)</f>
        <v>#N/A</v>
      </c>
      <c r="AM786" s="372" t="str">
        <f>CS_PID!AM786/VLOOKUP($B786,표2[#ALL],2)/HLOOKUP($A786,표1[#ALL],row(),false)</f>
        <v>#N/A</v>
      </c>
      <c r="AN786" s="372" t="str">
        <f>CS_PID!AN786/VLOOKUP($B786,표2[#ALL],2)/HLOOKUP($A786,표1[#ALL],row(),false)</f>
        <v>#N/A</v>
      </c>
      <c r="AO786" s="372" t="str">
        <f>CS_PID!AO786/VLOOKUP($B786,표2[#ALL],2)/HLOOKUP($A786,표1[#ALL],row(),false)</f>
        <v>#N/A</v>
      </c>
      <c r="AP786" s="372" t="str">
        <f>CS_PID!AP786/VLOOKUP($B786,표2[#ALL],2)/HLOOKUP($A786,표1[#ALL],row(),false)</f>
        <v>#N/A</v>
      </c>
      <c r="AQ786" s="372" t="str">
        <f>CS_PID!AQ786/VLOOKUP($B786,표2[#ALL],2)/HLOOKUP($A786,표1[#ALL],row(),false)</f>
        <v>#N/A</v>
      </c>
      <c r="AR786" s="372" t="str">
        <f>CS_PID!AR786/VLOOKUP($B786,표2[#ALL],2)/HLOOKUP($A786,표1[#ALL],row(),false)</f>
        <v>#N/A</v>
      </c>
      <c r="AS786" s="373" t="str">
        <f>CS_PID!AS786/VLOOKUP($B786,표2[#ALL],2)/HLOOKUP($A786,표1[#ALL],row(),false)</f>
        <v>#N/A</v>
      </c>
    </row>
    <row r="787">
      <c r="A787" s="374"/>
      <c r="B787" s="375"/>
      <c r="C787" s="376" t="str">
        <f>CS_PID!C787/VLOOKUP($B787,표2[#ALL],2)</f>
        <v>#N/A</v>
      </c>
      <c r="D787" s="376" t="str">
        <f>CS_PID!D787/VLOOKUP($B787,표2[#ALL],2)</f>
        <v>#N/A</v>
      </c>
      <c r="E787" s="376" t="str">
        <f>CS_PID!E787/VLOOKUP($B787,표2[#ALL],2)</f>
        <v>#N/A</v>
      </c>
      <c r="F787" s="376" t="str">
        <f>CS_PID!F787/VLOOKUP($B787,표2[#ALL],2)</f>
        <v>#N/A</v>
      </c>
      <c r="G787" s="376" t="str">
        <f>CS_PID!G787/VLOOKUP($B787,표2[#ALL],2)</f>
        <v>#N/A</v>
      </c>
      <c r="H787" s="376" t="str">
        <f>CS_PID!H787/VLOOKUP($B787,표2[#ALL],2)/HLOOKUP($A787,표1[#ALL],row(),false)</f>
        <v>#N/A</v>
      </c>
      <c r="I787" s="376" t="str">
        <f>CS_PID!I787/VLOOKUP($B787,표2[#ALL],2)/HLOOKUP($A787,표1[#ALL],row(),false)</f>
        <v>#N/A</v>
      </c>
      <c r="J787" s="376" t="str">
        <f>CS_PID!J787/VLOOKUP($B787,표2[#ALL],2)/HLOOKUP($A787,표1[#ALL],row(),false)</f>
        <v>#N/A</v>
      </c>
      <c r="K787" s="376" t="str">
        <f>CS_PID!K787/VLOOKUP($B787,표2[#ALL],2)/HLOOKUP($A787,표1[#ALL],row(),false)</f>
        <v>#N/A</v>
      </c>
      <c r="L787" s="376" t="str">
        <f>CS_PID!L787/VLOOKUP($B787,표2[#ALL],2)/HLOOKUP($A787,표1[#ALL],row(),false)</f>
        <v>#N/A</v>
      </c>
      <c r="M787" s="376" t="str">
        <f>CS_PID!M787/VLOOKUP($B787,표2[#ALL],2)/HLOOKUP($A787,표1[#ALL],row(),false)</f>
        <v>#N/A</v>
      </c>
      <c r="N787" s="376" t="str">
        <f>CS_PID!N787/VLOOKUP($B787,표2[#ALL],2)/HLOOKUP($A787,표1[#ALL],row(),false)</f>
        <v>#N/A</v>
      </c>
      <c r="O787" s="376" t="str">
        <f>CS_PID!O787/VLOOKUP($B787,표2[#ALL],2)/HLOOKUP($A787,표1[#ALL],row(),false)</f>
        <v>#N/A</v>
      </c>
      <c r="P787" s="376" t="str">
        <f>CS_PID!P787/VLOOKUP($B787,표2[#ALL],2)/HLOOKUP($A787,표1[#ALL],row(),false)</f>
        <v>#N/A</v>
      </c>
      <c r="Q787" s="376" t="str">
        <f>CS_PID!Q787/VLOOKUP($B787,표2[#ALL],2)/HLOOKUP($A787,표1[#ALL],row(),false)</f>
        <v>#N/A</v>
      </c>
      <c r="R787" s="376" t="str">
        <f>CS_PID!R787/VLOOKUP($B787,표2[#ALL],2)/HLOOKUP($A787,표1[#ALL],row(),false)</f>
        <v>#N/A</v>
      </c>
      <c r="S787" s="376" t="str">
        <f>CS_PID!S787/VLOOKUP($B787,표2[#ALL],2)/HLOOKUP($A787,표1[#ALL],row(),false)</f>
        <v>#N/A</v>
      </c>
      <c r="T787" s="376" t="str">
        <f>CS_PID!T787/VLOOKUP($B787,표2[#ALL],2)/HLOOKUP($A787,표1[#ALL],row(),false)</f>
        <v>#N/A</v>
      </c>
      <c r="U787" s="376" t="str">
        <f>CS_PID!U787/VLOOKUP($B787,표2[#ALL],2)/HLOOKUP($A787,표1[#ALL],row(),false)</f>
        <v>#N/A</v>
      </c>
      <c r="V787" s="376" t="str">
        <f>CS_PID!V787/VLOOKUP($B787,표2[#ALL],2)/HLOOKUP($A787,표1[#ALL],row(),false)</f>
        <v>#N/A</v>
      </c>
      <c r="W787" s="376" t="str">
        <f>CS_PID!W787/VLOOKUP($B787,표2[#ALL],2)/HLOOKUP($A787,표1[#ALL],row(),false)</f>
        <v>#N/A</v>
      </c>
      <c r="X787" s="376" t="str">
        <f>CS_PID!X787/VLOOKUP($B787,표2[#ALL],2)/HLOOKUP($A787,표1[#ALL],row(),false)</f>
        <v>#N/A</v>
      </c>
      <c r="Y787" s="376" t="str">
        <f>CS_PID!Y787/VLOOKUP($B787,표2[#ALL],2)/HLOOKUP($A787,표1[#ALL],row(),false)</f>
        <v>#N/A</v>
      </c>
      <c r="Z787" s="376" t="str">
        <f>CS_PID!Z787/VLOOKUP($B787,표2[#ALL],2)/HLOOKUP($A787,표1[#ALL],row(),false)</f>
        <v>#N/A</v>
      </c>
      <c r="AA787" s="376" t="str">
        <f>CS_PID!AA787/VLOOKUP($B787,표2[#ALL],2)/HLOOKUP($A787,표1[#ALL],row(),false)</f>
        <v>#N/A</v>
      </c>
      <c r="AB787" s="376" t="str">
        <f>CS_PID!AB787/VLOOKUP($B787,표2[#ALL],2)/HLOOKUP($A787,표1[#ALL],row(),false)</f>
        <v>#N/A</v>
      </c>
      <c r="AC787" s="376" t="str">
        <f>CS_PID!AC787/VLOOKUP($B787,표2[#ALL],2)/HLOOKUP($A787,표1[#ALL],row(),false)</f>
        <v>#N/A</v>
      </c>
      <c r="AD787" s="376" t="str">
        <f>CS_PID!AD787/VLOOKUP($B787,표2[#ALL],2)/HLOOKUP($A787,표1[#ALL],row(),false)</f>
        <v>#N/A</v>
      </c>
      <c r="AE787" s="376" t="str">
        <f>CS_PID!AE787/VLOOKUP($B787,표2[#ALL],2)/HLOOKUP($A787,표1[#ALL],row(),false)</f>
        <v>#N/A</v>
      </c>
      <c r="AF787" s="376" t="str">
        <f>CS_PID!AF787/VLOOKUP($B787,표2[#ALL],2)/HLOOKUP($A787,표1[#ALL],row(),false)</f>
        <v>#N/A</v>
      </c>
      <c r="AG787" s="376" t="str">
        <f>CS_PID!AG787/VLOOKUP($B787,표2[#ALL],2)/HLOOKUP($A787,표1[#ALL],row(),false)</f>
        <v>#N/A</v>
      </c>
      <c r="AH787" s="376" t="str">
        <f>CS_PID!AH787/VLOOKUP($B787,표2[#ALL],2)/HLOOKUP($A787,표1[#ALL],row(),false)</f>
        <v>#N/A</v>
      </c>
      <c r="AI787" s="376" t="str">
        <f>CS_PID!AI787/VLOOKUP($B787,표2[#ALL],2)/HLOOKUP($A787,표1[#ALL],row(),false)</f>
        <v>#N/A</v>
      </c>
      <c r="AJ787" s="376" t="str">
        <f>CS_PID!AJ787/VLOOKUP($B787,표2[#ALL],2)/HLOOKUP($A787,표1[#ALL],row(),false)</f>
        <v>#N/A</v>
      </c>
      <c r="AK787" s="376" t="str">
        <f>CS_PID!AK787/VLOOKUP($B787,표2[#ALL],2)/HLOOKUP($A787,표1[#ALL],row(),false)</f>
        <v>#N/A</v>
      </c>
      <c r="AL787" s="376" t="str">
        <f>CS_PID!AL787/VLOOKUP($B787,표2[#ALL],2)/HLOOKUP($A787,표1[#ALL],row(),false)</f>
        <v>#N/A</v>
      </c>
      <c r="AM787" s="376" t="str">
        <f>CS_PID!AM787/VLOOKUP($B787,표2[#ALL],2)/HLOOKUP($A787,표1[#ALL],row(),false)</f>
        <v>#N/A</v>
      </c>
      <c r="AN787" s="376" t="str">
        <f>CS_PID!AN787/VLOOKUP($B787,표2[#ALL],2)/HLOOKUP($A787,표1[#ALL],row(),false)</f>
        <v>#N/A</v>
      </c>
      <c r="AO787" s="376" t="str">
        <f>CS_PID!AO787/VLOOKUP($B787,표2[#ALL],2)/HLOOKUP($A787,표1[#ALL],row(),false)</f>
        <v>#N/A</v>
      </c>
      <c r="AP787" s="376" t="str">
        <f>CS_PID!AP787/VLOOKUP($B787,표2[#ALL],2)/HLOOKUP($A787,표1[#ALL],row(),false)</f>
        <v>#N/A</v>
      </c>
      <c r="AQ787" s="376" t="str">
        <f>CS_PID!AQ787/VLOOKUP($B787,표2[#ALL],2)/HLOOKUP($A787,표1[#ALL],row(),false)</f>
        <v>#N/A</v>
      </c>
      <c r="AR787" s="376" t="str">
        <f>CS_PID!AR787/VLOOKUP($B787,표2[#ALL],2)/HLOOKUP($A787,표1[#ALL],row(),false)</f>
        <v>#N/A</v>
      </c>
      <c r="AS787" s="377" t="str">
        <f>CS_PID!AS787/VLOOKUP($B787,표2[#ALL],2)/HLOOKUP($A787,표1[#ALL],row(),false)</f>
        <v>#N/A</v>
      </c>
    </row>
    <row r="788">
      <c r="A788" s="370"/>
      <c r="B788" s="371"/>
      <c r="C788" s="372" t="str">
        <f>CS_PID!C788/VLOOKUP($B788,표2[#ALL],2)</f>
        <v>#N/A</v>
      </c>
      <c r="D788" s="372" t="str">
        <f>CS_PID!D788/VLOOKUP($B788,표2[#ALL],2)</f>
        <v>#N/A</v>
      </c>
      <c r="E788" s="372" t="str">
        <f>CS_PID!E788/VLOOKUP($B788,표2[#ALL],2)</f>
        <v>#N/A</v>
      </c>
      <c r="F788" s="372" t="str">
        <f>CS_PID!F788/VLOOKUP($B788,표2[#ALL],2)</f>
        <v>#N/A</v>
      </c>
      <c r="G788" s="372" t="str">
        <f>CS_PID!G788/VLOOKUP($B788,표2[#ALL],2)</f>
        <v>#N/A</v>
      </c>
      <c r="H788" s="372" t="str">
        <f>CS_PID!H788/VLOOKUP($B788,표2[#ALL],2)/HLOOKUP($A788,표1[#ALL],row(),false)</f>
        <v>#N/A</v>
      </c>
      <c r="I788" s="372" t="str">
        <f>CS_PID!I788/VLOOKUP($B788,표2[#ALL],2)/HLOOKUP($A788,표1[#ALL],row(),false)</f>
        <v>#N/A</v>
      </c>
      <c r="J788" s="372" t="str">
        <f>CS_PID!J788/VLOOKUP($B788,표2[#ALL],2)/HLOOKUP($A788,표1[#ALL],row(),false)</f>
        <v>#N/A</v>
      </c>
      <c r="K788" s="372" t="str">
        <f>CS_PID!K788/VLOOKUP($B788,표2[#ALL],2)/HLOOKUP($A788,표1[#ALL],row(),false)</f>
        <v>#N/A</v>
      </c>
      <c r="L788" s="372" t="str">
        <f>CS_PID!L788/VLOOKUP($B788,표2[#ALL],2)/HLOOKUP($A788,표1[#ALL],row(),false)</f>
        <v>#N/A</v>
      </c>
      <c r="M788" s="372" t="str">
        <f>CS_PID!M788/VLOOKUP($B788,표2[#ALL],2)/HLOOKUP($A788,표1[#ALL],row(),false)</f>
        <v>#N/A</v>
      </c>
      <c r="N788" s="372" t="str">
        <f>CS_PID!N788/VLOOKUP($B788,표2[#ALL],2)/HLOOKUP($A788,표1[#ALL],row(),false)</f>
        <v>#N/A</v>
      </c>
      <c r="O788" s="372" t="str">
        <f>CS_PID!O788/VLOOKUP($B788,표2[#ALL],2)/HLOOKUP($A788,표1[#ALL],row(),false)</f>
        <v>#N/A</v>
      </c>
      <c r="P788" s="372" t="str">
        <f>CS_PID!P788/VLOOKUP($B788,표2[#ALL],2)/HLOOKUP($A788,표1[#ALL],row(),false)</f>
        <v>#N/A</v>
      </c>
      <c r="Q788" s="372" t="str">
        <f>CS_PID!Q788/VLOOKUP($B788,표2[#ALL],2)/HLOOKUP($A788,표1[#ALL],row(),false)</f>
        <v>#N/A</v>
      </c>
      <c r="R788" s="372" t="str">
        <f>CS_PID!R788/VLOOKUP($B788,표2[#ALL],2)/HLOOKUP($A788,표1[#ALL],row(),false)</f>
        <v>#N/A</v>
      </c>
      <c r="S788" s="372" t="str">
        <f>CS_PID!S788/VLOOKUP($B788,표2[#ALL],2)/HLOOKUP($A788,표1[#ALL],row(),false)</f>
        <v>#N/A</v>
      </c>
      <c r="T788" s="372" t="str">
        <f>CS_PID!T788/VLOOKUP($B788,표2[#ALL],2)/HLOOKUP($A788,표1[#ALL],row(),false)</f>
        <v>#N/A</v>
      </c>
      <c r="U788" s="372" t="str">
        <f>CS_PID!U788/VLOOKUP($B788,표2[#ALL],2)/HLOOKUP($A788,표1[#ALL],row(),false)</f>
        <v>#N/A</v>
      </c>
      <c r="V788" s="372" t="str">
        <f>CS_PID!V788/VLOOKUP($B788,표2[#ALL],2)/HLOOKUP($A788,표1[#ALL],row(),false)</f>
        <v>#N/A</v>
      </c>
      <c r="W788" s="372" t="str">
        <f>CS_PID!W788/VLOOKUP($B788,표2[#ALL],2)/HLOOKUP($A788,표1[#ALL],row(),false)</f>
        <v>#N/A</v>
      </c>
      <c r="X788" s="372" t="str">
        <f>CS_PID!X788/VLOOKUP($B788,표2[#ALL],2)/HLOOKUP($A788,표1[#ALL],row(),false)</f>
        <v>#N/A</v>
      </c>
      <c r="Y788" s="372" t="str">
        <f>CS_PID!Y788/VLOOKUP($B788,표2[#ALL],2)/HLOOKUP($A788,표1[#ALL],row(),false)</f>
        <v>#N/A</v>
      </c>
      <c r="Z788" s="372" t="str">
        <f>CS_PID!Z788/VLOOKUP($B788,표2[#ALL],2)/HLOOKUP($A788,표1[#ALL],row(),false)</f>
        <v>#N/A</v>
      </c>
      <c r="AA788" s="372" t="str">
        <f>CS_PID!AA788/VLOOKUP($B788,표2[#ALL],2)/HLOOKUP($A788,표1[#ALL],row(),false)</f>
        <v>#N/A</v>
      </c>
      <c r="AB788" s="372" t="str">
        <f>CS_PID!AB788/VLOOKUP($B788,표2[#ALL],2)/HLOOKUP($A788,표1[#ALL],row(),false)</f>
        <v>#N/A</v>
      </c>
      <c r="AC788" s="372" t="str">
        <f>CS_PID!AC788/VLOOKUP($B788,표2[#ALL],2)/HLOOKUP($A788,표1[#ALL],row(),false)</f>
        <v>#N/A</v>
      </c>
      <c r="AD788" s="372" t="str">
        <f>CS_PID!AD788/VLOOKUP($B788,표2[#ALL],2)/HLOOKUP($A788,표1[#ALL],row(),false)</f>
        <v>#N/A</v>
      </c>
      <c r="AE788" s="372" t="str">
        <f>CS_PID!AE788/VLOOKUP($B788,표2[#ALL],2)/HLOOKUP($A788,표1[#ALL],row(),false)</f>
        <v>#N/A</v>
      </c>
      <c r="AF788" s="372" t="str">
        <f>CS_PID!AF788/VLOOKUP($B788,표2[#ALL],2)/HLOOKUP($A788,표1[#ALL],row(),false)</f>
        <v>#N/A</v>
      </c>
      <c r="AG788" s="372" t="str">
        <f>CS_PID!AG788/VLOOKUP($B788,표2[#ALL],2)/HLOOKUP($A788,표1[#ALL],row(),false)</f>
        <v>#N/A</v>
      </c>
      <c r="AH788" s="372" t="str">
        <f>CS_PID!AH788/VLOOKUP($B788,표2[#ALL],2)/HLOOKUP($A788,표1[#ALL],row(),false)</f>
        <v>#N/A</v>
      </c>
      <c r="AI788" s="372" t="str">
        <f>CS_PID!AI788/VLOOKUP($B788,표2[#ALL],2)/HLOOKUP($A788,표1[#ALL],row(),false)</f>
        <v>#N/A</v>
      </c>
      <c r="AJ788" s="372" t="str">
        <f>CS_PID!AJ788/VLOOKUP($B788,표2[#ALL],2)/HLOOKUP($A788,표1[#ALL],row(),false)</f>
        <v>#N/A</v>
      </c>
      <c r="AK788" s="372" t="str">
        <f>CS_PID!AK788/VLOOKUP($B788,표2[#ALL],2)/HLOOKUP($A788,표1[#ALL],row(),false)</f>
        <v>#N/A</v>
      </c>
      <c r="AL788" s="372" t="str">
        <f>CS_PID!AL788/VLOOKUP($B788,표2[#ALL],2)/HLOOKUP($A788,표1[#ALL],row(),false)</f>
        <v>#N/A</v>
      </c>
      <c r="AM788" s="372" t="str">
        <f>CS_PID!AM788/VLOOKUP($B788,표2[#ALL],2)/HLOOKUP($A788,표1[#ALL],row(),false)</f>
        <v>#N/A</v>
      </c>
      <c r="AN788" s="372" t="str">
        <f>CS_PID!AN788/VLOOKUP($B788,표2[#ALL],2)/HLOOKUP($A788,표1[#ALL],row(),false)</f>
        <v>#N/A</v>
      </c>
      <c r="AO788" s="372" t="str">
        <f>CS_PID!AO788/VLOOKUP($B788,표2[#ALL],2)/HLOOKUP($A788,표1[#ALL],row(),false)</f>
        <v>#N/A</v>
      </c>
      <c r="AP788" s="372" t="str">
        <f>CS_PID!AP788/VLOOKUP($B788,표2[#ALL],2)/HLOOKUP($A788,표1[#ALL],row(),false)</f>
        <v>#N/A</v>
      </c>
      <c r="AQ788" s="372" t="str">
        <f>CS_PID!AQ788/VLOOKUP($B788,표2[#ALL],2)/HLOOKUP($A788,표1[#ALL],row(),false)</f>
        <v>#N/A</v>
      </c>
      <c r="AR788" s="372" t="str">
        <f>CS_PID!AR788/VLOOKUP($B788,표2[#ALL],2)/HLOOKUP($A788,표1[#ALL],row(),false)</f>
        <v>#N/A</v>
      </c>
      <c r="AS788" s="373" t="str">
        <f>CS_PID!AS788/VLOOKUP($B788,표2[#ALL],2)/HLOOKUP($A788,표1[#ALL],row(),false)</f>
        <v>#N/A</v>
      </c>
    </row>
    <row r="789">
      <c r="A789" s="374"/>
      <c r="B789" s="375"/>
      <c r="C789" s="376" t="str">
        <f>CS_PID!C789/VLOOKUP($B789,표2[#ALL],2)</f>
        <v>#N/A</v>
      </c>
      <c r="D789" s="376" t="str">
        <f>CS_PID!D789/VLOOKUP($B789,표2[#ALL],2)</f>
        <v>#N/A</v>
      </c>
      <c r="E789" s="376" t="str">
        <f>CS_PID!E789/VLOOKUP($B789,표2[#ALL],2)</f>
        <v>#N/A</v>
      </c>
      <c r="F789" s="376" t="str">
        <f>CS_PID!F789/VLOOKUP($B789,표2[#ALL],2)</f>
        <v>#N/A</v>
      </c>
      <c r="G789" s="376" t="str">
        <f>CS_PID!G789/VLOOKUP($B789,표2[#ALL],2)</f>
        <v>#N/A</v>
      </c>
      <c r="H789" s="376" t="str">
        <f>CS_PID!H789/VLOOKUP($B789,표2[#ALL],2)/HLOOKUP($A789,표1[#ALL],row(),false)</f>
        <v>#N/A</v>
      </c>
      <c r="I789" s="376" t="str">
        <f>CS_PID!I789/VLOOKUP($B789,표2[#ALL],2)/HLOOKUP($A789,표1[#ALL],row(),false)</f>
        <v>#N/A</v>
      </c>
      <c r="J789" s="376" t="str">
        <f>CS_PID!J789/VLOOKUP($B789,표2[#ALL],2)/HLOOKUP($A789,표1[#ALL],row(),false)</f>
        <v>#N/A</v>
      </c>
      <c r="K789" s="376" t="str">
        <f>CS_PID!K789/VLOOKUP($B789,표2[#ALL],2)/HLOOKUP($A789,표1[#ALL],row(),false)</f>
        <v>#N/A</v>
      </c>
      <c r="L789" s="376" t="str">
        <f>CS_PID!L789/VLOOKUP($B789,표2[#ALL],2)/HLOOKUP($A789,표1[#ALL],row(),false)</f>
        <v>#N/A</v>
      </c>
      <c r="M789" s="376" t="str">
        <f>CS_PID!M789/VLOOKUP($B789,표2[#ALL],2)/HLOOKUP($A789,표1[#ALL],row(),false)</f>
        <v>#N/A</v>
      </c>
      <c r="N789" s="376" t="str">
        <f>CS_PID!N789/VLOOKUP($B789,표2[#ALL],2)/HLOOKUP($A789,표1[#ALL],row(),false)</f>
        <v>#N/A</v>
      </c>
      <c r="O789" s="376" t="str">
        <f>CS_PID!O789/VLOOKUP($B789,표2[#ALL],2)/HLOOKUP($A789,표1[#ALL],row(),false)</f>
        <v>#N/A</v>
      </c>
      <c r="P789" s="376" t="str">
        <f>CS_PID!P789/VLOOKUP($B789,표2[#ALL],2)/HLOOKUP($A789,표1[#ALL],row(),false)</f>
        <v>#N/A</v>
      </c>
      <c r="Q789" s="376" t="str">
        <f>CS_PID!Q789/VLOOKUP($B789,표2[#ALL],2)/HLOOKUP($A789,표1[#ALL],row(),false)</f>
        <v>#N/A</v>
      </c>
      <c r="R789" s="376" t="str">
        <f>CS_PID!R789/VLOOKUP($B789,표2[#ALL],2)/HLOOKUP($A789,표1[#ALL],row(),false)</f>
        <v>#N/A</v>
      </c>
      <c r="S789" s="376" t="str">
        <f>CS_PID!S789/VLOOKUP($B789,표2[#ALL],2)/HLOOKUP($A789,표1[#ALL],row(),false)</f>
        <v>#N/A</v>
      </c>
      <c r="T789" s="376" t="str">
        <f>CS_PID!T789/VLOOKUP($B789,표2[#ALL],2)/HLOOKUP($A789,표1[#ALL],row(),false)</f>
        <v>#N/A</v>
      </c>
      <c r="U789" s="376" t="str">
        <f>CS_PID!U789/VLOOKUP($B789,표2[#ALL],2)/HLOOKUP($A789,표1[#ALL],row(),false)</f>
        <v>#N/A</v>
      </c>
      <c r="V789" s="376" t="str">
        <f>CS_PID!V789/VLOOKUP($B789,표2[#ALL],2)/HLOOKUP($A789,표1[#ALL],row(),false)</f>
        <v>#N/A</v>
      </c>
      <c r="W789" s="376" t="str">
        <f>CS_PID!W789/VLOOKUP($B789,표2[#ALL],2)/HLOOKUP($A789,표1[#ALL],row(),false)</f>
        <v>#N/A</v>
      </c>
      <c r="X789" s="376" t="str">
        <f>CS_PID!X789/VLOOKUP($B789,표2[#ALL],2)/HLOOKUP($A789,표1[#ALL],row(),false)</f>
        <v>#N/A</v>
      </c>
      <c r="Y789" s="376" t="str">
        <f>CS_PID!Y789/VLOOKUP($B789,표2[#ALL],2)/HLOOKUP($A789,표1[#ALL],row(),false)</f>
        <v>#N/A</v>
      </c>
      <c r="Z789" s="376" t="str">
        <f>CS_PID!Z789/VLOOKUP($B789,표2[#ALL],2)/HLOOKUP($A789,표1[#ALL],row(),false)</f>
        <v>#N/A</v>
      </c>
      <c r="AA789" s="376" t="str">
        <f>CS_PID!AA789/VLOOKUP($B789,표2[#ALL],2)/HLOOKUP($A789,표1[#ALL],row(),false)</f>
        <v>#N/A</v>
      </c>
      <c r="AB789" s="376" t="str">
        <f>CS_PID!AB789/VLOOKUP($B789,표2[#ALL],2)/HLOOKUP($A789,표1[#ALL],row(),false)</f>
        <v>#N/A</v>
      </c>
      <c r="AC789" s="376" t="str">
        <f>CS_PID!AC789/VLOOKUP($B789,표2[#ALL],2)/HLOOKUP($A789,표1[#ALL],row(),false)</f>
        <v>#N/A</v>
      </c>
      <c r="AD789" s="376" t="str">
        <f>CS_PID!AD789/VLOOKUP($B789,표2[#ALL],2)/HLOOKUP($A789,표1[#ALL],row(),false)</f>
        <v>#N/A</v>
      </c>
      <c r="AE789" s="376" t="str">
        <f>CS_PID!AE789/VLOOKUP($B789,표2[#ALL],2)/HLOOKUP($A789,표1[#ALL],row(),false)</f>
        <v>#N/A</v>
      </c>
      <c r="AF789" s="376" t="str">
        <f>CS_PID!AF789/VLOOKUP($B789,표2[#ALL],2)/HLOOKUP($A789,표1[#ALL],row(),false)</f>
        <v>#N/A</v>
      </c>
      <c r="AG789" s="376" t="str">
        <f>CS_PID!AG789/VLOOKUP($B789,표2[#ALL],2)/HLOOKUP($A789,표1[#ALL],row(),false)</f>
        <v>#N/A</v>
      </c>
      <c r="AH789" s="376" t="str">
        <f>CS_PID!AH789/VLOOKUP($B789,표2[#ALL],2)/HLOOKUP($A789,표1[#ALL],row(),false)</f>
        <v>#N/A</v>
      </c>
      <c r="AI789" s="376" t="str">
        <f>CS_PID!AI789/VLOOKUP($B789,표2[#ALL],2)/HLOOKUP($A789,표1[#ALL],row(),false)</f>
        <v>#N/A</v>
      </c>
      <c r="AJ789" s="376" t="str">
        <f>CS_PID!AJ789/VLOOKUP($B789,표2[#ALL],2)/HLOOKUP($A789,표1[#ALL],row(),false)</f>
        <v>#N/A</v>
      </c>
      <c r="AK789" s="376" t="str">
        <f>CS_PID!AK789/VLOOKUP($B789,표2[#ALL],2)/HLOOKUP($A789,표1[#ALL],row(),false)</f>
        <v>#N/A</v>
      </c>
      <c r="AL789" s="376" t="str">
        <f>CS_PID!AL789/VLOOKUP($B789,표2[#ALL],2)/HLOOKUP($A789,표1[#ALL],row(),false)</f>
        <v>#N/A</v>
      </c>
      <c r="AM789" s="376" t="str">
        <f>CS_PID!AM789/VLOOKUP($B789,표2[#ALL],2)/HLOOKUP($A789,표1[#ALL],row(),false)</f>
        <v>#N/A</v>
      </c>
      <c r="AN789" s="376" t="str">
        <f>CS_PID!AN789/VLOOKUP($B789,표2[#ALL],2)/HLOOKUP($A789,표1[#ALL],row(),false)</f>
        <v>#N/A</v>
      </c>
      <c r="AO789" s="376" t="str">
        <f>CS_PID!AO789/VLOOKUP($B789,표2[#ALL],2)/HLOOKUP($A789,표1[#ALL],row(),false)</f>
        <v>#N/A</v>
      </c>
      <c r="AP789" s="376" t="str">
        <f>CS_PID!AP789/VLOOKUP($B789,표2[#ALL],2)/HLOOKUP($A789,표1[#ALL],row(),false)</f>
        <v>#N/A</v>
      </c>
      <c r="AQ789" s="376" t="str">
        <f>CS_PID!AQ789/VLOOKUP($B789,표2[#ALL],2)/HLOOKUP($A789,표1[#ALL],row(),false)</f>
        <v>#N/A</v>
      </c>
      <c r="AR789" s="376" t="str">
        <f>CS_PID!AR789/VLOOKUP($B789,표2[#ALL],2)/HLOOKUP($A789,표1[#ALL],row(),false)</f>
        <v>#N/A</v>
      </c>
      <c r="AS789" s="377" t="str">
        <f>CS_PID!AS789/VLOOKUP($B789,표2[#ALL],2)/HLOOKUP($A789,표1[#ALL],row(),false)</f>
        <v>#N/A</v>
      </c>
    </row>
    <row r="790">
      <c r="A790" s="370"/>
      <c r="B790" s="371"/>
      <c r="C790" s="372" t="str">
        <f>CS_PID!C790/VLOOKUP($B790,표2[#ALL],2)</f>
        <v>#N/A</v>
      </c>
      <c r="D790" s="372" t="str">
        <f>CS_PID!D790/VLOOKUP($B790,표2[#ALL],2)</f>
        <v>#N/A</v>
      </c>
      <c r="E790" s="372" t="str">
        <f>CS_PID!E790/VLOOKUP($B790,표2[#ALL],2)</f>
        <v>#N/A</v>
      </c>
      <c r="F790" s="372" t="str">
        <f>CS_PID!F790/VLOOKUP($B790,표2[#ALL],2)</f>
        <v>#N/A</v>
      </c>
      <c r="G790" s="372" t="str">
        <f>CS_PID!G790/VLOOKUP($B790,표2[#ALL],2)</f>
        <v>#N/A</v>
      </c>
      <c r="H790" s="372" t="str">
        <f>CS_PID!H790/VLOOKUP($B790,표2[#ALL],2)/HLOOKUP($A790,표1[#ALL],row(),false)</f>
        <v>#N/A</v>
      </c>
      <c r="I790" s="372" t="str">
        <f>CS_PID!I790/VLOOKUP($B790,표2[#ALL],2)/HLOOKUP($A790,표1[#ALL],row(),false)</f>
        <v>#N/A</v>
      </c>
      <c r="J790" s="372" t="str">
        <f>CS_PID!J790/VLOOKUP($B790,표2[#ALL],2)/HLOOKUP($A790,표1[#ALL],row(),false)</f>
        <v>#N/A</v>
      </c>
      <c r="K790" s="372" t="str">
        <f>CS_PID!K790/VLOOKUP($B790,표2[#ALL],2)/HLOOKUP($A790,표1[#ALL],row(),false)</f>
        <v>#N/A</v>
      </c>
      <c r="L790" s="372" t="str">
        <f>CS_PID!L790/VLOOKUP($B790,표2[#ALL],2)/HLOOKUP($A790,표1[#ALL],row(),false)</f>
        <v>#N/A</v>
      </c>
      <c r="M790" s="372" t="str">
        <f>CS_PID!M790/VLOOKUP($B790,표2[#ALL],2)/HLOOKUP($A790,표1[#ALL],row(),false)</f>
        <v>#N/A</v>
      </c>
      <c r="N790" s="372" t="str">
        <f>CS_PID!N790/VLOOKUP($B790,표2[#ALL],2)/HLOOKUP($A790,표1[#ALL],row(),false)</f>
        <v>#N/A</v>
      </c>
      <c r="O790" s="372" t="str">
        <f>CS_PID!O790/VLOOKUP($B790,표2[#ALL],2)/HLOOKUP($A790,표1[#ALL],row(),false)</f>
        <v>#N/A</v>
      </c>
      <c r="P790" s="372" t="str">
        <f>CS_PID!P790/VLOOKUP($B790,표2[#ALL],2)/HLOOKUP($A790,표1[#ALL],row(),false)</f>
        <v>#N/A</v>
      </c>
      <c r="Q790" s="372" t="str">
        <f>CS_PID!Q790/VLOOKUP($B790,표2[#ALL],2)/HLOOKUP($A790,표1[#ALL],row(),false)</f>
        <v>#N/A</v>
      </c>
      <c r="R790" s="372" t="str">
        <f>CS_PID!R790/VLOOKUP($B790,표2[#ALL],2)/HLOOKUP($A790,표1[#ALL],row(),false)</f>
        <v>#N/A</v>
      </c>
      <c r="S790" s="372" t="str">
        <f>CS_PID!S790/VLOOKUP($B790,표2[#ALL],2)/HLOOKUP($A790,표1[#ALL],row(),false)</f>
        <v>#N/A</v>
      </c>
      <c r="T790" s="372" t="str">
        <f>CS_PID!T790/VLOOKUP($B790,표2[#ALL],2)/HLOOKUP($A790,표1[#ALL],row(),false)</f>
        <v>#N/A</v>
      </c>
      <c r="U790" s="372" t="str">
        <f>CS_PID!U790/VLOOKUP($B790,표2[#ALL],2)/HLOOKUP($A790,표1[#ALL],row(),false)</f>
        <v>#N/A</v>
      </c>
      <c r="V790" s="372" t="str">
        <f>CS_PID!V790/VLOOKUP($B790,표2[#ALL],2)/HLOOKUP($A790,표1[#ALL],row(),false)</f>
        <v>#N/A</v>
      </c>
      <c r="W790" s="372" t="str">
        <f>CS_PID!W790/VLOOKUP($B790,표2[#ALL],2)/HLOOKUP($A790,표1[#ALL],row(),false)</f>
        <v>#N/A</v>
      </c>
      <c r="X790" s="372" t="str">
        <f>CS_PID!X790/VLOOKUP($B790,표2[#ALL],2)/HLOOKUP($A790,표1[#ALL],row(),false)</f>
        <v>#N/A</v>
      </c>
      <c r="Y790" s="372" t="str">
        <f>CS_PID!Y790/VLOOKUP($B790,표2[#ALL],2)/HLOOKUP($A790,표1[#ALL],row(),false)</f>
        <v>#N/A</v>
      </c>
      <c r="Z790" s="372" t="str">
        <f>CS_PID!Z790/VLOOKUP($B790,표2[#ALL],2)/HLOOKUP($A790,표1[#ALL],row(),false)</f>
        <v>#N/A</v>
      </c>
      <c r="AA790" s="372" t="str">
        <f>CS_PID!AA790/VLOOKUP($B790,표2[#ALL],2)/HLOOKUP($A790,표1[#ALL],row(),false)</f>
        <v>#N/A</v>
      </c>
      <c r="AB790" s="372" t="str">
        <f>CS_PID!AB790/VLOOKUP($B790,표2[#ALL],2)/HLOOKUP($A790,표1[#ALL],row(),false)</f>
        <v>#N/A</v>
      </c>
      <c r="AC790" s="372" t="str">
        <f>CS_PID!AC790/VLOOKUP($B790,표2[#ALL],2)/HLOOKUP($A790,표1[#ALL],row(),false)</f>
        <v>#N/A</v>
      </c>
      <c r="AD790" s="372" t="str">
        <f>CS_PID!AD790/VLOOKUP($B790,표2[#ALL],2)/HLOOKUP($A790,표1[#ALL],row(),false)</f>
        <v>#N/A</v>
      </c>
      <c r="AE790" s="372" t="str">
        <f>CS_PID!AE790/VLOOKUP($B790,표2[#ALL],2)/HLOOKUP($A790,표1[#ALL],row(),false)</f>
        <v>#N/A</v>
      </c>
      <c r="AF790" s="372" t="str">
        <f>CS_PID!AF790/VLOOKUP($B790,표2[#ALL],2)/HLOOKUP($A790,표1[#ALL],row(),false)</f>
        <v>#N/A</v>
      </c>
      <c r="AG790" s="372" t="str">
        <f>CS_PID!AG790/VLOOKUP($B790,표2[#ALL],2)/HLOOKUP($A790,표1[#ALL],row(),false)</f>
        <v>#N/A</v>
      </c>
      <c r="AH790" s="372" t="str">
        <f>CS_PID!AH790/VLOOKUP($B790,표2[#ALL],2)/HLOOKUP($A790,표1[#ALL],row(),false)</f>
        <v>#N/A</v>
      </c>
      <c r="AI790" s="372" t="str">
        <f>CS_PID!AI790/VLOOKUP($B790,표2[#ALL],2)/HLOOKUP($A790,표1[#ALL],row(),false)</f>
        <v>#N/A</v>
      </c>
      <c r="AJ790" s="372" t="str">
        <f>CS_PID!AJ790/VLOOKUP($B790,표2[#ALL],2)/HLOOKUP($A790,표1[#ALL],row(),false)</f>
        <v>#N/A</v>
      </c>
      <c r="AK790" s="372" t="str">
        <f>CS_PID!AK790/VLOOKUP($B790,표2[#ALL],2)/HLOOKUP($A790,표1[#ALL],row(),false)</f>
        <v>#N/A</v>
      </c>
      <c r="AL790" s="372" t="str">
        <f>CS_PID!AL790/VLOOKUP($B790,표2[#ALL],2)/HLOOKUP($A790,표1[#ALL],row(),false)</f>
        <v>#N/A</v>
      </c>
      <c r="AM790" s="372" t="str">
        <f>CS_PID!AM790/VLOOKUP($B790,표2[#ALL],2)/HLOOKUP($A790,표1[#ALL],row(),false)</f>
        <v>#N/A</v>
      </c>
      <c r="AN790" s="372" t="str">
        <f>CS_PID!AN790/VLOOKUP($B790,표2[#ALL],2)/HLOOKUP($A790,표1[#ALL],row(),false)</f>
        <v>#N/A</v>
      </c>
      <c r="AO790" s="372" t="str">
        <f>CS_PID!AO790/VLOOKUP($B790,표2[#ALL],2)/HLOOKUP($A790,표1[#ALL],row(),false)</f>
        <v>#N/A</v>
      </c>
      <c r="AP790" s="372" t="str">
        <f>CS_PID!AP790/VLOOKUP($B790,표2[#ALL],2)/HLOOKUP($A790,표1[#ALL],row(),false)</f>
        <v>#N/A</v>
      </c>
      <c r="AQ790" s="372" t="str">
        <f>CS_PID!AQ790/VLOOKUP($B790,표2[#ALL],2)/HLOOKUP($A790,표1[#ALL],row(),false)</f>
        <v>#N/A</v>
      </c>
      <c r="AR790" s="372" t="str">
        <f>CS_PID!AR790/VLOOKUP($B790,표2[#ALL],2)/HLOOKUP($A790,표1[#ALL],row(),false)</f>
        <v>#N/A</v>
      </c>
      <c r="AS790" s="373" t="str">
        <f>CS_PID!AS790/VLOOKUP($B790,표2[#ALL],2)/HLOOKUP($A790,표1[#ALL],row(),false)</f>
        <v>#N/A</v>
      </c>
    </row>
    <row r="791">
      <c r="A791" s="374"/>
      <c r="B791" s="375"/>
      <c r="C791" s="376" t="str">
        <f>CS_PID!C791/VLOOKUP($B791,표2[#ALL],2)</f>
        <v>#N/A</v>
      </c>
      <c r="D791" s="376" t="str">
        <f>CS_PID!D791/VLOOKUP($B791,표2[#ALL],2)</f>
        <v>#N/A</v>
      </c>
      <c r="E791" s="376" t="str">
        <f>CS_PID!E791/VLOOKUP($B791,표2[#ALL],2)</f>
        <v>#N/A</v>
      </c>
      <c r="F791" s="376" t="str">
        <f>CS_PID!F791/VLOOKUP($B791,표2[#ALL],2)</f>
        <v>#N/A</v>
      </c>
      <c r="G791" s="376" t="str">
        <f>CS_PID!G791/VLOOKUP($B791,표2[#ALL],2)</f>
        <v>#N/A</v>
      </c>
      <c r="H791" s="376" t="str">
        <f>CS_PID!H791/VLOOKUP($B791,표2[#ALL],2)/HLOOKUP($A791,표1[#ALL],row(),false)</f>
        <v>#N/A</v>
      </c>
      <c r="I791" s="376" t="str">
        <f>CS_PID!I791/VLOOKUP($B791,표2[#ALL],2)/HLOOKUP($A791,표1[#ALL],row(),false)</f>
        <v>#N/A</v>
      </c>
      <c r="J791" s="376" t="str">
        <f>CS_PID!J791/VLOOKUP($B791,표2[#ALL],2)/HLOOKUP($A791,표1[#ALL],row(),false)</f>
        <v>#N/A</v>
      </c>
      <c r="K791" s="376" t="str">
        <f>CS_PID!K791/VLOOKUP($B791,표2[#ALL],2)/HLOOKUP($A791,표1[#ALL],row(),false)</f>
        <v>#N/A</v>
      </c>
      <c r="L791" s="376" t="str">
        <f>CS_PID!L791/VLOOKUP($B791,표2[#ALL],2)/HLOOKUP($A791,표1[#ALL],row(),false)</f>
        <v>#N/A</v>
      </c>
      <c r="M791" s="376" t="str">
        <f>CS_PID!M791/VLOOKUP($B791,표2[#ALL],2)/HLOOKUP($A791,표1[#ALL],row(),false)</f>
        <v>#N/A</v>
      </c>
      <c r="N791" s="376" t="str">
        <f>CS_PID!N791/VLOOKUP($B791,표2[#ALL],2)/HLOOKUP($A791,표1[#ALL],row(),false)</f>
        <v>#N/A</v>
      </c>
      <c r="O791" s="376" t="str">
        <f>CS_PID!O791/VLOOKUP($B791,표2[#ALL],2)/HLOOKUP($A791,표1[#ALL],row(),false)</f>
        <v>#N/A</v>
      </c>
      <c r="P791" s="376" t="str">
        <f>CS_PID!P791/VLOOKUP($B791,표2[#ALL],2)/HLOOKUP($A791,표1[#ALL],row(),false)</f>
        <v>#N/A</v>
      </c>
      <c r="Q791" s="376" t="str">
        <f>CS_PID!Q791/VLOOKUP($B791,표2[#ALL],2)/HLOOKUP($A791,표1[#ALL],row(),false)</f>
        <v>#N/A</v>
      </c>
      <c r="R791" s="376" t="str">
        <f>CS_PID!R791/VLOOKUP($B791,표2[#ALL],2)/HLOOKUP($A791,표1[#ALL],row(),false)</f>
        <v>#N/A</v>
      </c>
      <c r="S791" s="376" t="str">
        <f>CS_PID!S791/VLOOKUP($B791,표2[#ALL],2)/HLOOKUP($A791,표1[#ALL],row(),false)</f>
        <v>#N/A</v>
      </c>
      <c r="T791" s="376" t="str">
        <f>CS_PID!T791/VLOOKUP($B791,표2[#ALL],2)/HLOOKUP($A791,표1[#ALL],row(),false)</f>
        <v>#N/A</v>
      </c>
      <c r="U791" s="376" t="str">
        <f>CS_PID!U791/VLOOKUP($B791,표2[#ALL],2)/HLOOKUP($A791,표1[#ALL],row(),false)</f>
        <v>#N/A</v>
      </c>
      <c r="V791" s="376" t="str">
        <f>CS_PID!V791/VLOOKUP($B791,표2[#ALL],2)/HLOOKUP($A791,표1[#ALL],row(),false)</f>
        <v>#N/A</v>
      </c>
      <c r="W791" s="376" t="str">
        <f>CS_PID!W791/VLOOKUP($B791,표2[#ALL],2)/HLOOKUP($A791,표1[#ALL],row(),false)</f>
        <v>#N/A</v>
      </c>
      <c r="X791" s="376" t="str">
        <f>CS_PID!X791/VLOOKUP($B791,표2[#ALL],2)/HLOOKUP($A791,표1[#ALL],row(),false)</f>
        <v>#N/A</v>
      </c>
      <c r="Y791" s="376" t="str">
        <f>CS_PID!Y791/VLOOKUP($B791,표2[#ALL],2)/HLOOKUP($A791,표1[#ALL],row(),false)</f>
        <v>#N/A</v>
      </c>
      <c r="Z791" s="376" t="str">
        <f>CS_PID!Z791/VLOOKUP($B791,표2[#ALL],2)/HLOOKUP($A791,표1[#ALL],row(),false)</f>
        <v>#N/A</v>
      </c>
      <c r="AA791" s="376" t="str">
        <f>CS_PID!AA791/VLOOKUP($B791,표2[#ALL],2)/HLOOKUP($A791,표1[#ALL],row(),false)</f>
        <v>#N/A</v>
      </c>
      <c r="AB791" s="376" t="str">
        <f>CS_PID!AB791/VLOOKUP($B791,표2[#ALL],2)/HLOOKUP($A791,표1[#ALL],row(),false)</f>
        <v>#N/A</v>
      </c>
      <c r="AC791" s="376" t="str">
        <f>CS_PID!AC791/VLOOKUP($B791,표2[#ALL],2)/HLOOKUP($A791,표1[#ALL],row(),false)</f>
        <v>#N/A</v>
      </c>
      <c r="AD791" s="376" t="str">
        <f>CS_PID!AD791/VLOOKUP($B791,표2[#ALL],2)/HLOOKUP($A791,표1[#ALL],row(),false)</f>
        <v>#N/A</v>
      </c>
      <c r="AE791" s="376" t="str">
        <f>CS_PID!AE791/VLOOKUP($B791,표2[#ALL],2)/HLOOKUP($A791,표1[#ALL],row(),false)</f>
        <v>#N/A</v>
      </c>
      <c r="AF791" s="376" t="str">
        <f>CS_PID!AF791/VLOOKUP($B791,표2[#ALL],2)/HLOOKUP($A791,표1[#ALL],row(),false)</f>
        <v>#N/A</v>
      </c>
      <c r="AG791" s="376" t="str">
        <f>CS_PID!AG791/VLOOKUP($B791,표2[#ALL],2)/HLOOKUP($A791,표1[#ALL],row(),false)</f>
        <v>#N/A</v>
      </c>
      <c r="AH791" s="376" t="str">
        <f>CS_PID!AH791/VLOOKUP($B791,표2[#ALL],2)/HLOOKUP($A791,표1[#ALL],row(),false)</f>
        <v>#N/A</v>
      </c>
      <c r="AI791" s="376" t="str">
        <f>CS_PID!AI791/VLOOKUP($B791,표2[#ALL],2)/HLOOKUP($A791,표1[#ALL],row(),false)</f>
        <v>#N/A</v>
      </c>
      <c r="AJ791" s="376" t="str">
        <f>CS_PID!AJ791/VLOOKUP($B791,표2[#ALL],2)/HLOOKUP($A791,표1[#ALL],row(),false)</f>
        <v>#N/A</v>
      </c>
      <c r="AK791" s="376" t="str">
        <f>CS_PID!AK791/VLOOKUP($B791,표2[#ALL],2)/HLOOKUP($A791,표1[#ALL],row(),false)</f>
        <v>#N/A</v>
      </c>
      <c r="AL791" s="376" t="str">
        <f>CS_PID!AL791/VLOOKUP($B791,표2[#ALL],2)/HLOOKUP($A791,표1[#ALL],row(),false)</f>
        <v>#N/A</v>
      </c>
      <c r="AM791" s="376" t="str">
        <f>CS_PID!AM791/VLOOKUP($B791,표2[#ALL],2)/HLOOKUP($A791,표1[#ALL],row(),false)</f>
        <v>#N/A</v>
      </c>
      <c r="AN791" s="376" t="str">
        <f>CS_PID!AN791/VLOOKUP($B791,표2[#ALL],2)/HLOOKUP($A791,표1[#ALL],row(),false)</f>
        <v>#N/A</v>
      </c>
      <c r="AO791" s="376" t="str">
        <f>CS_PID!AO791/VLOOKUP($B791,표2[#ALL],2)/HLOOKUP($A791,표1[#ALL],row(),false)</f>
        <v>#N/A</v>
      </c>
      <c r="AP791" s="376" t="str">
        <f>CS_PID!AP791/VLOOKUP($B791,표2[#ALL],2)/HLOOKUP($A791,표1[#ALL],row(),false)</f>
        <v>#N/A</v>
      </c>
      <c r="AQ791" s="376" t="str">
        <f>CS_PID!AQ791/VLOOKUP($B791,표2[#ALL],2)/HLOOKUP($A791,표1[#ALL],row(),false)</f>
        <v>#N/A</v>
      </c>
      <c r="AR791" s="376" t="str">
        <f>CS_PID!AR791/VLOOKUP($B791,표2[#ALL],2)/HLOOKUP($A791,표1[#ALL],row(),false)</f>
        <v>#N/A</v>
      </c>
      <c r="AS791" s="377" t="str">
        <f>CS_PID!AS791/VLOOKUP($B791,표2[#ALL],2)/HLOOKUP($A791,표1[#ALL],row(),false)</f>
        <v>#N/A</v>
      </c>
    </row>
    <row r="792">
      <c r="A792" s="370"/>
      <c r="B792" s="371"/>
      <c r="C792" s="372" t="str">
        <f>CS_PID!C792/VLOOKUP($B792,표2[#ALL],2)</f>
        <v>#N/A</v>
      </c>
      <c r="D792" s="372" t="str">
        <f>CS_PID!D792/VLOOKUP($B792,표2[#ALL],2)</f>
        <v>#N/A</v>
      </c>
      <c r="E792" s="372" t="str">
        <f>CS_PID!E792/VLOOKUP($B792,표2[#ALL],2)</f>
        <v>#N/A</v>
      </c>
      <c r="F792" s="372" t="str">
        <f>CS_PID!F792/VLOOKUP($B792,표2[#ALL],2)</f>
        <v>#N/A</v>
      </c>
      <c r="G792" s="372" t="str">
        <f>CS_PID!G792/VLOOKUP($B792,표2[#ALL],2)</f>
        <v>#N/A</v>
      </c>
      <c r="H792" s="372" t="str">
        <f>CS_PID!H792/VLOOKUP($B792,표2[#ALL],2)/HLOOKUP($A792,표1[#ALL],row(),false)</f>
        <v>#N/A</v>
      </c>
      <c r="I792" s="372" t="str">
        <f>CS_PID!I792/VLOOKUP($B792,표2[#ALL],2)/HLOOKUP($A792,표1[#ALL],row(),false)</f>
        <v>#N/A</v>
      </c>
      <c r="J792" s="372" t="str">
        <f>CS_PID!J792/VLOOKUP($B792,표2[#ALL],2)/HLOOKUP($A792,표1[#ALL],row(),false)</f>
        <v>#N/A</v>
      </c>
      <c r="K792" s="372" t="str">
        <f>CS_PID!K792/VLOOKUP($B792,표2[#ALL],2)/HLOOKUP($A792,표1[#ALL],row(),false)</f>
        <v>#N/A</v>
      </c>
      <c r="L792" s="372" t="str">
        <f>CS_PID!L792/VLOOKUP($B792,표2[#ALL],2)/HLOOKUP($A792,표1[#ALL],row(),false)</f>
        <v>#N/A</v>
      </c>
      <c r="M792" s="372" t="str">
        <f>CS_PID!M792/VLOOKUP($B792,표2[#ALL],2)/HLOOKUP($A792,표1[#ALL],row(),false)</f>
        <v>#N/A</v>
      </c>
      <c r="N792" s="372" t="str">
        <f>CS_PID!N792/VLOOKUP($B792,표2[#ALL],2)/HLOOKUP($A792,표1[#ALL],row(),false)</f>
        <v>#N/A</v>
      </c>
      <c r="O792" s="372" t="str">
        <f>CS_PID!O792/VLOOKUP($B792,표2[#ALL],2)/HLOOKUP($A792,표1[#ALL],row(),false)</f>
        <v>#N/A</v>
      </c>
      <c r="P792" s="372" t="str">
        <f>CS_PID!P792/VLOOKUP($B792,표2[#ALL],2)/HLOOKUP($A792,표1[#ALL],row(),false)</f>
        <v>#N/A</v>
      </c>
      <c r="Q792" s="372" t="str">
        <f>CS_PID!Q792/VLOOKUP($B792,표2[#ALL],2)/HLOOKUP($A792,표1[#ALL],row(),false)</f>
        <v>#N/A</v>
      </c>
      <c r="R792" s="372" t="str">
        <f>CS_PID!R792/VLOOKUP($B792,표2[#ALL],2)/HLOOKUP($A792,표1[#ALL],row(),false)</f>
        <v>#N/A</v>
      </c>
      <c r="S792" s="372" t="str">
        <f>CS_PID!S792/VLOOKUP($B792,표2[#ALL],2)/HLOOKUP($A792,표1[#ALL],row(),false)</f>
        <v>#N/A</v>
      </c>
      <c r="T792" s="372" t="str">
        <f>CS_PID!T792/VLOOKUP($B792,표2[#ALL],2)/HLOOKUP($A792,표1[#ALL],row(),false)</f>
        <v>#N/A</v>
      </c>
      <c r="U792" s="372" t="str">
        <f>CS_PID!U792/VLOOKUP($B792,표2[#ALL],2)/HLOOKUP($A792,표1[#ALL],row(),false)</f>
        <v>#N/A</v>
      </c>
      <c r="V792" s="372" t="str">
        <f>CS_PID!V792/VLOOKUP($B792,표2[#ALL],2)/HLOOKUP($A792,표1[#ALL],row(),false)</f>
        <v>#N/A</v>
      </c>
      <c r="W792" s="372" t="str">
        <f>CS_PID!W792/VLOOKUP($B792,표2[#ALL],2)/HLOOKUP($A792,표1[#ALL],row(),false)</f>
        <v>#N/A</v>
      </c>
      <c r="X792" s="372" t="str">
        <f>CS_PID!X792/VLOOKUP($B792,표2[#ALL],2)/HLOOKUP($A792,표1[#ALL],row(),false)</f>
        <v>#N/A</v>
      </c>
      <c r="Y792" s="372" t="str">
        <f>CS_PID!Y792/VLOOKUP($B792,표2[#ALL],2)/HLOOKUP($A792,표1[#ALL],row(),false)</f>
        <v>#N/A</v>
      </c>
      <c r="Z792" s="372" t="str">
        <f>CS_PID!Z792/VLOOKUP($B792,표2[#ALL],2)/HLOOKUP($A792,표1[#ALL],row(),false)</f>
        <v>#N/A</v>
      </c>
      <c r="AA792" s="372" t="str">
        <f>CS_PID!AA792/VLOOKUP($B792,표2[#ALL],2)/HLOOKUP($A792,표1[#ALL],row(),false)</f>
        <v>#N/A</v>
      </c>
      <c r="AB792" s="372" t="str">
        <f>CS_PID!AB792/VLOOKUP($B792,표2[#ALL],2)/HLOOKUP($A792,표1[#ALL],row(),false)</f>
        <v>#N/A</v>
      </c>
      <c r="AC792" s="372" t="str">
        <f>CS_PID!AC792/VLOOKUP($B792,표2[#ALL],2)/HLOOKUP($A792,표1[#ALL],row(),false)</f>
        <v>#N/A</v>
      </c>
      <c r="AD792" s="372" t="str">
        <f>CS_PID!AD792/VLOOKUP($B792,표2[#ALL],2)/HLOOKUP($A792,표1[#ALL],row(),false)</f>
        <v>#N/A</v>
      </c>
      <c r="AE792" s="372" t="str">
        <f>CS_PID!AE792/VLOOKUP($B792,표2[#ALL],2)/HLOOKUP($A792,표1[#ALL],row(),false)</f>
        <v>#N/A</v>
      </c>
      <c r="AF792" s="372" t="str">
        <f>CS_PID!AF792/VLOOKUP($B792,표2[#ALL],2)/HLOOKUP($A792,표1[#ALL],row(),false)</f>
        <v>#N/A</v>
      </c>
      <c r="AG792" s="372" t="str">
        <f>CS_PID!AG792/VLOOKUP($B792,표2[#ALL],2)/HLOOKUP($A792,표1[#ALL],row(),false)</f>
        <v>#N/A</v>
      </c>
      <c r="AH792" s="372" t="str">
        <f>CS_PID!AH792/VLOOKUP($B792,표2[#ALL],2)/HLOOKUP($A792,표1[#ALL],row(),false)</f>
        <v>#N/A</v>
      </c>
      <c r="AI792" s="372" t="str">
        <f>CS_PID!AI792/VLOOKUP($B792,표2[#ALL],2)/HLOOKUP($A792,표1[#ALL],row(),false)</f>
        <v>#N/A</v>
      </c>
      <c r="AJ792" s="372" t="str">
        <f>CS_PID!AJ792/VLOOKUP($B792,표2[#ALL],2)/HLOOKUP($A792,표1[#ALL],row(),false)</f>
        <v>#N/A</v>
      </c>
      <c r="AK792" s="372" t="str">
        <f>CS_PID!AK792/VLOOKUP($B792,표2[#ALL],2)/HLOOKUP($A792,표1[#ALL],row(),false)</f>
        <v>#N/A</v>
      </c>
      <c r="AL792" s="372" t="str">
        <f>CS_PID!AL792/VLOOKUP($B792,표2[#ALL],2)/HLOOKUP($A792,표1[#ALL],row(),false)</f>
        <v>#N/A</v>
      </c>
      <c r="AM792" s="372" t="str">
        <f>CS_PID!AM792/VLOOKUP($B792,표2[#ALL],2)/HLOOKUP($A792,표1[#ALL],row(),false)</f>
        <v>#N/A</v>
      </c>
      <c r="AN792" s="372" t="str">
        <f>CS_PID!AN792/VLOOKUP($B792,표2[#ALL],2)/HLOOKUP($A792,표1[#ALL],row(),false)</f>
        <v>#N/A</v>
      </c>
      <c r="AO792" s="372" t="str">
        <f>CS_PID!AO792/VLOOKUP($B792,표2[#ALL],2)/HLOOKUP($A792,표1[#ALL],row(),false)</f>
        <v>#N/A</v>
      </c>
      <c r="AP792" s="372" t="str">
        <f>CS_PID!AP792/VLOOKUP($B792,표2[#ALL],2)/HLOOKUP($A792,표1[#ALL],row(),false)</f>
        <v>#N/A</v>
      </c>
      <c r="AQ792" s="372" t="str">
        <f>CS_PID!AQ792/VLOOKUP($B792,표2[#ALL],2)/HLOOKUP($A792,표1[#ALL],row(),false)</f>
        <v>#N/A</v>
      </c>
      <c r="AR792" s="372" t="str">
        <f>CS_PID!AR792/VLOOKUP($B792,표2[#ALL],2)/HLOOKUP($A792,표1[#ALL],row(),false)</f>
        <v>#N/A</v>
      </c>
      <c r="AS792" s="373" t="str">
        <f>CS_PID!AS792/VLOOKUP($B792,표2[#ALL],2)/HLOOKUP($A792,표1[#ALL],row(),false)</f>
        <v>#N/A</v>
      </c>
    </row>
    <row r="793">
      <c r="A793" s="374"/>
      <c r="B793" s="375"/>
      <c r="C793" s="376" t="str">
        <f>CS_PID!C793/VLOOKUP($B793,표2[#ALL],2)</f>
        <v>#N/A</v>
      </c>
      <c r="D793" s="376" t="str">
        <f>CS_PID!D793/VLOOKUP($B793,표2[#ALL],2)</f>
        <v>#N/A</v>
      </c>
      <c r="E793" s="376" t="str">
        <f>CS_PID!E793/VLOOKUP($B793,표2[#ALL],2)</f>
        <v>#N/A</v>
      </c>
      <c r="F793" s="376" t="str">
        <f>CS_PID!F793/VLOOKUP($B793,표2[#ALL],2)</f>
        <v>#N/A</v>
      </c>
      <c r="G793" s="376" t="str">
        <f>CS_PID!G793/VLOOKUP($B793,표2[#ALL],2)</f>
        <v>#N/A</v>
      </c>
      <c r="H793" s="376" t="str">
        <f>CS_PID!H793/VLOOKUP($B793,표2[#ALL],2)/HLOOKUP($A793,표1[#ALL],row(),false)</f>
        <v>#N/A</v>
      </c>
      <c r="I793" s="376" t="str">
        <f>CS_PID!I793/VLOOKUP($B793,표2[#ALL],2)/HLOOKUP($A793,표1[#ALL],row(),false)</f>
        <v>#N/A</v>
      </c>
      <c r="J793" s="376" t="str">
        <f>CS_PID!J793/VLOOKUP($B793,표2[#ALL],2)/HLOOKUP($A793,표1[#ALL],row(),false)</f>
        <v>#N/A</v>
      </c>
      <c r="K793" s="376" t="str">
        <f>CS_PID!K793/VLOOKUP($B793,표2[#ALL],2)/HLOOKUP($A793,표1[#ALL],row(),false)</f>
        <v>#N/A</v>
      </c>
      <c r="L793" s="376" t="str">
        <f>CS_PID!L793/VLOOKUP($B793,표2[#ALL],2)/HLOOKUP($A793,표1[#ALL],row(),false)</f>
        <v>#N/A</v>
      </c>
      <c r="M793" s="376" t="str">
        <f>CS_PID!M793/VLOOKUP($B793,표2[#ALL],2)/HLOOKUP($A793,표1[#ALL],row(),false)</f>
        <v>#N/A</v>
      </c>
      <c r="N793" s="376" t="str">
        <f>CS_PID!N793/VLOOKUP($B793,표2[#ALL],2)/HLOOKUP($A793,표1[#ALL],row(),false)</f>
        <v>#N/A</v>
      </c>
      <c r="O793" s="376" t="str">
        <f>CS_PID!O793/VLOOKUP($B793,표2[#ALL],2)/HLOOKUP($A793,표1[#ALL],row(),false)</f>
        <v>#N/A</v>
      </c>
      <c r="P793" s="376" t="str">
        <f>CS_PID!P793/VLOOKUP($B793,표2[#ALL],2)/HLOOKUP($A793,표1[#ALL],row(),false)</f>
        <v>#N/A</v>
      </c>
      <c r="Q793" s="376" t="str">
        <f>CS_PID!Q793/VLOOKUP($B793,표2[#ALL],2)/HLOOKUP($A793,표1[#ALL],row(),false)</f>
        <v>#N/A</v>
      </c>
      <c r="R793" s="376" t="str">
        <f>CS_PID!R793/VLOOKUP($B793,표2[#ALL],2)/HLOOKUP($A793,표1[#ALL],row(),false)</f>
        <v>#N/A</v>
      </c>
      <c r="S793" s="376" t="str">
        <f>CS_PID!S793/VLOOKUP($B793,표2[#ALL],2)/HLOOKUP($A793,표1[#ALL],row(),false)</f>
        <v>#N/A</v>
      </c>
      <c r="T793" s="376" t="str">
        <f>CS_PID!T793/VLOOKUP($B793,표2[#ALL],2)/HLOOKUP($A793,표1[#ALL],row(),false)</f>
        <v>#N/A</v>
      </c>
      <c r="U793" s="376" t="str">
        <f>CS_PID!U793/VLOOKUP($B793,표2[#ALL],2)/HLOOKUP($A793,표1[#ALL],row(),false)</f>
        <v>#N/A</v>
      </c>
      <c r="V793" s="376" t="str">
        <f>CS_PID!V793/VLOOKUP($B793,표2[#ALL],2)/HLOOKUP($A793,표1[#ALL],row(),false)</f>
        <v>#N/A</v>
      </c>
      <c r="W793" s="376" t="str">
        <f>CS_PID!W793/VLOOKUP($B793,표2[#ALL],2)/HLOOKUP($A793,표1[#ALL],row(),false)</f>
        <v>#N/A</v>
      </c>
      <c r="X793" s="376" t="str">
        <f>CS_PID!X793/VLOOKUP($B793,표2[#ALL],2)/HLOOKUP($A793,표1[#ALL],row(),false)</f>
        <v>#N/A</v>
      </c>
      <c r="Y793" s="376" t="str">
        <f>CS_PID!Y793/VLOOKUP($B793,표2[#ALL],2)/HLOOKUP($A793,표1[#ALL],row(),false)</f>
        <v>#N/A</v>
      </c>
      <c r="Z793" s="376" t="str">
        <f>CS_PID!Z793/VLOOKUP($B793,표2[#ALL],2)/HLOOKUP($A793,표1[#ALL],row(),false)</f>
        <v>#N/A</v>
      </c>
      <c r="AA793" s="376" t="str">
        <f>CS_PID!AA793/VLOOKUP($B793,표2[#ALL],2)/HLOOKUP($A793,표1[#ALL],row(),false)</f>
        <v>#N/A</v>
      </c>
      <c r="AB793" s="376" t="str">
        <f>CS_PID!AB793/VLOOKUP($B793,표2[#ALL],2)/HLOOKUP($A793,표1[#ALL],row(),false)</f>
        <v>#N/A</v>
      </c>
      <c r="AC793" s="376" t="str">
        <f>CS_PID!AC793/VLOOKUP($B793,표2[#ALL],2)/HLOOKUP($A793,표1[#ALL],row(),false)</f>
        <v>#N/A</v>
      </c>
      <c r="AD793" s="376" t="str">
        <f>CS_PID!AD793/VLOOKUP($B793,표2[#ALL],2)/HLOOKUP($A793,표1[#ALL],row(),false)</f>
        <v>#N/A</v>
      </c>
      <c r="AE793" s="376" t="str">
        <f>CS_PID!AE793/VLOOKUP($B793,표2[#ALL],2)/HLOOKUP($A793,표1[#ALL],row(),false)</f>
        <v>#N/A</v>
      </c>
      <c r="AF793" s="376" t="str">
        <f>CS_PID!AF793/VLOOKUP($B793,표2[#ALL],2)/HLOOKUP($A793,표1[#ALL],row(),false)</f>
        <v>#N/A</v>
      </c>
      <c r="AG793" s="376" t="str">
        <f>CS_PID!AG793/VLOOKUP($B793,표2[#ALL],2)/HLOOKUP($A793,표1[#ALL],row(),false)</f>
        <v>#N/A</v>
      </c>
      <c r="AH793" s="376" t="str">
        <f>CS_PID!AH793/VLOOKUP($B793,표2[#ALL],2)/HLOOKUP($A793,표1[#ALL],row(),false)</f>
        <v>#N/A</v>
      </c>
      <c r="AI793" s="376" t="str">
        <f>CS_PID!AI793/VLOOKUP($B793,표2[#ALL],2)/HLOOKUP($A793,표1[#ALL],row(),false)</f>
        <v>#N/A</v>
      </c>
      <c r="AJ793" s="376" t="str">
        <f>CS_PID!AJ793/VLOOKUP($B793,표2[#ALL],2)/HLOOKUP($A793,표1[#ALL],row(),false)</f>
        <v>#N/A</v>
      </c>
      <c r="AK793" s="376" t="str">
        <f>CS_PID!AK793/VLOOKUP($B793,표2[#ALL],2)/HLOOKUP($A793,표1[#ALL],row(),false)</f>
        <v>#N/A</v>
      </c>
      <c r="AL793" s="376" t="str">
        <f>CS_PID!AL793/VLOOKUP($B793,표2[#ALL],2)/HLOOKUP($A793,표1[#ALL],row(),false)</f>
        <v>#N/A</v>
      </c>
      <c r="AM793" s="376" t="str">
        <f>CS_PID!AM793/VLOOKUP($B793,표2[#ALL],2)/HLOOKUP($A793,표1[#ALL],row(),false)</f>
        <v>#N/A</v>
      </c>
      <c r="AN793" s="376" t="str">
        <f>CS_PID!AN793/VLOOKUP($B793,표2[#ALL],2)/HLOOKUP($A793,표1[#ALL],row(),false)</f>
        <v>#N/A</v>
      </c>
      <c r="AO793" s="376" t="str">
        <f>CS_PID!AO793/VLOOKUP($B793,표2[#ALL],2)/HLOOKUP($A793,표1[#ALL],row(),false)</f>
        <v>#N/A</v>
      </c>
      <c r="AP793" s="376" t="str">
        <f>CS_PID!AP793/VLOOKUP($B793,표2[#ALL],2)/HLOOKUP($A793,표1[#ALL],row(),false)</f>
        <v>#N/A</v>
      </c>
      <c r="AQ793" s="376" t="str">
        <f>CS_PID!AQ793/VLOOKUP($B793,표2[#ALL],2)/HLOOKUP($A793,표1[#ALL],row(),false)</f>
        <v>#N/A</v>
      </c>
      <c r="AR793" s="376" t="str">
        <f>CS_PID!AR793/VLOOKUP($B793,표2[#ALL],2)/HLOOKUP($A793,표1[#ALL],row(),false)</f>
        <v>#N/A</v>
      </c>
      <c r="AS793" s="377" t="str">
        <f>CS_PID!AS793/VLOOKUP($B793,표2[#ALL],2)/HLOOKUP($A793,표1[#ALL],row(),false)</f>
        <v>#N/A</v>
      </c>
    </row>
    <row r="794">
      <c r="A794" s="370"/>
      <c r="B794" s="371"/>
      <c r="C794" s="372" t="str">
        <f>CS_PID!C794/VLOOKUP($B794,표2[#ALL],2)</f>
        <v>#N/A</v>
      </c>
      <c r="D794" s="372" t="str">
        <f>CS_PID!D794/VLOOKUP($B794,표2[#ALL],2)</f>
        <v>#N/A</v>
      </c>
      <c r="E794" s="372" t="str">
        <f>CS_PID!E794/VLOOKUP($B794,표2[#ALL],2)</f>
        <v>#N/A</v>
      </c>
      <c r="F794" s="372" t="str">
        <f>CS_PID!F794/VLOOKUP($B794,표2[#ALL],2)</f>
        <v>#N/A</v>
      </c>
      <c r="G794" s="372" t="str">
        <f>CS_PID!G794/VLOOKUP($B794,표2[#ALL],2)</f>
        <v>#N/A</v>
      </c>
      <c r="H794" s="372" t="str">
        <f>CS_PID!H794/VLOOKUP($B794,표2[#ALL],2)/HLOOKUP($A794,표1[#ALL],row(),false)</f>
        <v>#N/A</v>
      </c>
      <c r="I794" s="372" t="str">
        <f>CS_PID!I794/VLOOKUP($B794,표2[#ALL],2)/HLOOKUP($A794,표1[#ALL],row(),false)</f>
        <v>#N/A</v>
      </c>
      <c r="J794" s="372" t="str">
        <f>CS_PID!J794/VLOOKUP($B794,표2[#ALL],2)/HLOOKUP($A794,표1[#ALL],row(),false)</f>
        <v>#N/A</v>
      </c>
      <c r="K794" s="372" t="str">
        <f>CS_PID!K794/VLOOKUP($B794,표2[#ALL],2)/HLOOKUP($A794,표1[#ALL],row(),false)</f>
        <v>#N/A</v>
      </c>
      <c r="L794" s="372" t="str">
        <f>CS_PID!L794/VLOOKUP($B794,표2[#ALL],2)/HLOOKUP($A794,표1[#ALL],row(),false)</f>
        <v>#N/A</v>
      </c>
      <c r="M794" s="372" t="str">
        <f>CS_PID!M794/VLOOKUP($B794,표2[#ALL],2)/HLOOKUP($A794,표1[#ALL],row(),false)</f>
        <v>#N/A</v>
      </c>
      <c r="N794" s="372" t="str">
        <f>CS_PID!N794/VLOOKUP($B794,표2[#ALL],2)/HLOOKUP($A794,표1[#ALL],row(),false)</f>
        <v>#N/A</v>
      </c>
      <c r="O794" s="372" t="str">
        <f>CS_PID!O794/VLOOKUP($B794,표2[#ALL],2)/HLOOKUP($A794,표1[#ALL],row(),false)</f>
        <v>#N/A</v>
      </c>
      <c r="P794" s="372" t="str">
        <f>CS_PID!P794/VLOOKUP($B794,표2[#ALL],2)/HLOOKUP($A794,표1[#ALL],row(),false)</f>
        <v>#N/A</v>
      </c>
      <c r="Q794" s="372" t="str">
        <f>CS_PID!Q794/VLOOKUP($B794,표2[#ALL],2)/HLOOKUP($A794,표1[#ALL],row(),false)</f>
        <v>#N/A</v>
      </c>
      <c r="R794" s="372" t="str">
        <f>CS_PID!R794/VLOOKUP($B794,표2[#ALL],2)/HLOOKUP($A794,표1[#ALL],row(),false)</f>
        <v>#N/A</v>
      </c>
      <c r="S794" s="372" t="str">
        <f>CS_PID!S794/VLOOKUP($B794,표2[#ALL],2)/HLOOKUP($A794,표1[#ALL],row(),false)</f>
        <v>#N/A</v>
      </c>
      <c r="T794" s="372" t="str">
        <f>CS_PID!T794/VLOOKUP($B794,표2[#ALL],2)/HLOOKUP($A794,표1[#ALL],row(),false)</f>
        <v>#N/A</v>
      </c>
      <c r="U794" s="372" t="str">
        <f>CS_PID!U794/VLOOKUP($B794,표2[#ALL],2)/HLOOKUP($A794,표1[#ALL],row(),false)</f>
        <v>#N/A</v>
      </c>
      <c r="V794" s="372" t="str">
        <f>CS_PID!V794/VLOOKUP($B794,표2[#ALL],2)/HLOOKUP($A794,표1[#ALL],row(),false)</f>
        <v>#N/A</v>
      </c>
      <c r="W794" s="372" t="str">
        <f>CS_PID!W794/VLOOKUP($B794,표2[#ALL],2)/HLOOKUP($A794,표1[#ALL],row(),false)</f>
        <v>#N/A</v>
      </c>
      <c r="X794" s="372" t="str">
        <f>CS_PID!X794/VLOOKUP($B794,표2[#ALL],2)/HLOOKUP($A794,표1[#ALL],row(),false)</f>
        <v>#N/A</v>
      </c>
      <c r="Y794" s="372" t="str">
        <f>CS_PID!Y794/VLOOKUP($B794,표2[#ALL],2)/HLOOKUP($A794,표1[#ALL],row(),false)</f>
        <v>#N/A</v>
      </c>
      <c r="Z794" s="372" t="str">
        <f>CS_PID!Z794/VLOOKUP($B794,표2[#ALL],2)/HLOOKUP($A794,표1[#ALL],row(),false)</f>
        <v>#N/A</v>
      </c>
      <c r="AA794" s="372" t="str">
        <f>CS_PID!AA794/VLOOKUP($B794,표2[#ALL],2)/HLOOKUP($A794,표1[#ALL],row(),false)</f>
        <v>#N/A</v>
      </c>
      <c r="AB794" s="372" t="str">
        <f>CS_PID!AB794/VLOOKUP($B794,표2[#ALL],2)/HLOOKUP($A794,표1[#ALL],row(),false)</f>
        <v>#N/A</v>
      </c>
      <c r="AC794" s="372" t="str">
        <f>CS_PID!AC794/VLOOKUP($B794,표2[#ALL],2)/HLOOKUP($A794,표1[#ALL],row(),false)</f>
        <v>#N/A</v>
      </c>
      <c r="AD794" s="372" t="str">
        <f>CS_PID!AD794/VLOOKUP($B794,표2[#ALL],2)/HLOOKUP($A794,표1[#ALL],row(),false)</f>
        <v>#N/A</v>
      </c>
      <c r="AE794" s="372" t="str">
        <f>CS_PID!AE794/VLOOKUP($B794,표2[#ALL],2)/HLOOKUP($A794,표1[#ALL],row(),false)</f>
        <v>#N/A</v>
      </c>
      <c r="AF794" s="372" t="str">
        <f>CS_PID!AF794/VLOOKUP($B794,표2[#ALL],2)/HLOOKUP($A794,표1[#ALL],row(),false)</f>
        <v>#N/A</v>
      </c>
      <c r="AG794" s="372" t="str">
        <f>CS_PID!AG794/VLOOKUP($B794,표2[#ALL],2)/HLOOKUP($A794,표1[#ALL],row(),false)</f>
        <v>#N/A</v>
      </c>
      <c r="AH794" s="372" t="str">
        <f>CS_PID!AH794/VLOOKUP($B794,표2[#ALL],2)/HLOOKUP($A794,표1[#ALL],row(),false)</f>
        <v>#N/A</v>
      </c>
      <c r="AI794" s="372" t="str">
        <f>CS_PID!AI794/VLOOKUP($B794,표2[#ALL],2)/HLOOKUP($A794,표1[#ALL],row(),false)</f>
        <v>#N/A</v>
      </c>
      <c r="AJ794" s="372" t="str">
        <f>CS_PID!AJ794/VLOOKUP($B794,표2[#ALL],2)/HLOOKUP($A794,표1[#ALL],row(),false)</f>
        <v>#N/A</v>
      </c>
      <c r="AK794" s="372" t="str">
        <f>CS_PID!AK794/VLOOKUP($B794,표2[#ALL],2)/HLOOKUP($A794,표1[#ALL],row(),false)</f>
        <v>#N/A</v>
      </c>
      <c r="AL794" s="372" t="str">
        <f>CS_PID!AL794/VLOOKUP($B794,표2[#ALL],2)/HLOOKUP($A794,표1[#ALL],row(),false)</f>
        <v>#N/A</v>
      </c>
      <c r="AM794" s="372" t="str">
        <f>CS_PID!AM794/VLOOKUP($B794,표2[#ALL],2)/HLOOKUP($A794,표1[#ALL],row(),false)</f>
        <v>#N/A</v>
      </c>
      <c r="AN794" s="372" t="str">
        <f>CS_PID!AN794/VLOOKUP($B794,표2[#ALL],2)/HLOOKUP($A794,표1[#ALL],row(),false)</f>
        <v>#N/A</v>
      </c>
      <c r="AO794" s="372" t="str">
        <f>CS_PID!AO794/VLOOKUP($B794,표2[#ALL],2)/HLOOKUP($A794,표1[#ALL],row(),false)</f>
        <v>#N/A</v>
      </c>
      <c r="AP794" s="372" t="str">
        <f>CS_PID!AP794/VLOOKUP($B794,표2[#ALL],2)/HLOOKUP($A794,표1[#ALL],row(),false)</f>
        <v>#N/A</v>
      </c>
      <c r="AQ794" s="372" t="str">
        <f>CS_PID!AQ794/VLOOKUP($B794,표2[#ALL],2)/HLOOKUP($A794,표1[#ALL],row(),false)</f>
        <v>#N/A</v>
      </c>
      <c r="AR794" s="372" t="str">
        <f>CS_PID!AR794/VLOOKUP($B794,표2[#ALL],2)/HLOOKUP($A794,표1[#ALL],row(),false)</f>
        <v>#N/A</v>
      </c>
      <c r="AS794" s="373" t="str">
        <f>CS_PID!AS794/VLOOKUP($B794,표2[#ALL],2)/HLOOKUP($A794,표1[#ALL],row(),false)</f>
        <v>#N/A</v>
      </c>
    </row>
    <row r="795">
      <c r="A795" s="374"/>
      <c r="B795" s="375"/>
      <c r="C795" s="376" t="str">
        <f>CS_PID!C795/VLOOKUP($B795,표2[#ALL],2)</f>
        <v>#N/A</v>
      </c>
      <c r="D795" s="376" t="str">
        <f>CS_PID!D795/VLOOKUP($B795,표2[#ALL],2)</f>
        <v>#N/A</v>
      </c>
      <c r="E795" s="376" t="str">
        <f>CS_PID!E795/VLOOKUP($B795,표2[#ALL],2)</f>
        <v>#N/A</v>
      </c>
      <c r="F795" s="376" t="str">
        <f>CS_PID!F795/VLOOKUP($B795,표2[#ALL],2)</f>
        <v>#N/A</v>
      </c>
      <c r="G795" s="376" t="str">
        <f>CS_PID!G795/VLOOKUP($B795,표2[#ALL],2)</f>
        <v>#N/A</v>
      </c>
      <c r="H795" s="376" t="str">
        <f>CS_PID!H795/VLOOKUP($B795,표2[#ALL],2)/HLOOKUP($A795,표1[#ALL],row(),false)</f>
        <v>#N/A</v>
      </c>
      <c r="I795" s="376" t="str">
        <f>CS_PID!I795/VLOOKUP($B795,표2[#ALL],2)/HLOOKUP($A795,표1[#ALL],row(),false)</f>
        <v>#N/A</v>
      </c>
      <c r="J795" s="376" t="str">
        <f>CS_PID!J795/VLOOKUP($B795,표2[#ALL],2)/HLOOKUP($A795,표1[#ALL],row(),false)</f>
        <v>#N/A</v>
      </c>
      <c r="K795" s="376" t="str">
        <f>CS_PID!K795/VLOOKUP($B795,표2[#ALL],2)/HLOOKUP($A795,표1[#ALL],row(),false)</f>
        <v>#N/A</v>
      </c>
      <c r="L795" s="376" t="str">
        <f>CS_PID!L795/VLOOKUP($B795,표2[#ALL],2)/HLOOKUP($A795,표1[#ALL],row(),false)</f>
        <v>#N/A</v>
      </c>
      <c r="M795" s="376" t="str">
        <f>CS_PID!M795/VLOOKUP($B795,표2[#ALL],2)/HLOOKUP($A795,표1[#ALL],row(),false)</f>
        <v>#N/A</v>
      </c>
      <c r="N795" s="376" t="str">
        <f>CS_PID!N795/VLOOKUP($B795,표2[#ALL],2)/HLOOKUP($A795,표1[#ALL],row(),false)</f>
        <v>#N/A</v>
      </c>
      <c r="O795" s="376" t="str">
        <f>CS_PID!O795/VLOOKUP($B795,표2[#ALL],2)/HLOOKUP($A795,표1[#ALL],row(),false)</f>
        <v>#N/A</v>
      </c>
      <c r="P795" s="376" t="str">
        <f>CS_PID!P795/VLOOKUP($B795,표2[#ALL],2)/HLOOKUP($A795,표1[#ALL],row(),false)</f>
        <v>#N/A</v>
      </c>
      <c r="Q795" s="376" t="str">
        <f>CS_PID!Q795/VLOOKUP($B795,표2[#ALL],2)/HLOOKUP($A795,표1[#ALL],row(),false)</f>
        <v>#N/A</v>
      </c>
      <c r="R795" s="376" t="str">
        <f>CS_PID!R795/VLOOKUP($B795,표2[#ALL],2)/HLOOKUP($A795,표1[#ALL],row(),false)</f>
        <v>#N/A</v>
      </c>
      <c r="S795" s="376" t="str">
        <f>CS_PID!S795/VLOOKUP($B795,표2[#ALL],2)/HLOOKUP($A795,표1[#ALL],row(),false)</f>
        <v>#N/A</v>
      </c>
      <c r="T795" s="376" t="str">
        <f>CS_PID!T795/VLOOKUP($B795,표2[#ALL],2)/HLOOKUP($A795,표1[#ALL],row(),false)</f>
        <v>#N/A</v>
      </c>
      <c r="U795" s="376" t="str">
        <f>CS_PID!U795/VLOOKUP($B795,표2[#ALL],2)/HLOOKUP($A795,표1[#ALL],row(),false)</f>
        <v>#N/A</v>
      </c>
      <c r="V795" s="376" t="str">
        <f>CS_PID!V795/VLOOKUP($B795,표2[#ALL],2)/HLOOKUP($A795,표1[#ALL],row(),false)</f>
        <v>#N/A</v>
      </c>
      <c r="W795" s="376" t="str">
        <f>CS_PID!W795/VLOOKUP($B795,표2[#ALL],2)/HLOOKUP($A795,표1[#ALL],row(),false)</f>
        <v>#N/A</v>
      </c>
      <c r="X795" s="376" t="str">
        <f>CS_PID!X795/VLOOKUP($B795,표2[#ALL],2)/HLOOKUP($A795,표1[#ALL],row(),false)</f>
        <v>#N/A</v>
      </c>
      <c r="Y795" s="376" t="str">
        <f>CS_PID!Y795/VLOOKUP($B795,표2[#ALL],2)/HLOOKUP($A795,표1[#ALL],row(),false)</f>
        <v>#N/A</v>
      </c>
      <c r="Z795" s="376" t="str">
        <f>CS_PID!Z795/VLOOKUP($B795,표2[#ALL],2)/HLOOKUP($A795,표1[#ALL],row(),false)</f>
        <v>#N/A</v>
      </c>
      <c r="AA795" s="376" t="str">
        <f>CS_PID!AA795/VLOOKUP($B795,표2[#ALL],2)/HLOOKUP($A795,표1[#ALL],row(),false)</f>
        <v>#N/A</v>
      </c>
      <c r="AB795" s="376" t="str">
        <f>CS_PID!AB795/VLOOKUP($B795,표2[#ALL],2)/HLOOKUP($A795,표1[#ALL],row(),false)</f>
        <v>#N/A</v>
      </c>
      <c r="AC795" s="376" t="str">
        <f>CS_PID!AC795/VLOOKUP($B795,표2[#ALL],2)/HLOOKUP($A795,표1[#ALL],row(),false)</f>
        <v>#N/A</v>
      </c>
      <c r="AD795" s="376" t="str">
        <f>CS_PID!AD795/VLOOKUP($B795,표2[#ALL],2)/HLOOKUP($A795,표1[#ALL],row(),false)</f>
        <v>#N/A</v>
      </c>
      <c r="AE795" s="376" t="str">
        <f>CS_PID!AE795/VLOOKUP($B795,표2[#ALL],2)/HLOOKUP($A795,표1[#ALL],row(),false)</f>
        <v>#N/A</v>
      </c>
      <c r="AF795" s="376" t="str">
        <f>CS_PID!AF795/VLOOKUP($B795,표2[#ALL],2)/HLOOKUP($A795,표1[#ALL],row(),false)</f>
        <v>#N/A</v>
      </c>
      <c r="AG795" s="376" t="str">
        <f>CS_PID!AG795/VLOOKUP($B795,표2[#ALL],2)/HLOOKUP($A795,표1[#ALL],row(),false)</f>
        <v>#N/A</v>
      </c>
      <c r="AH795" s="376" t="str">
        <f>CS_PID!AH795/VLOOKUP($B795,표2[#ALL],2)/HLOOKUP($A795,표1[#ALL],row(),false)</f>
        <v>#N/A</v>
      </c>
      <c r="AI795" s="376" t="str">
        <f>CS_PID!AI795/VLOOKUP($B795,표2[#ALL],2)/HLOOKUP($A795,표1[#ALL],row(),false)</f>
        <v>#N/A</v>
      </c>
      <c r="AJ795" s="376" t="str">
        <f>CS_PID!AJ795/VLOOKUP($B795,표2[#ALL],2)/HLOOKUP($A795,표1[#ALL],row(),false)</f>
        <v>#N/A</v>
      </c>
      <c r="AK795" s="376" t="str">
        <f>CS_PID!AK795/VLOOKUP($B795,표2[#ALL],2)/HLOOKUP($A795,표1[#ALL],row(),false)</f>
        <v>#N/A</v>
      </c>
      <c r="AL795" s="376" t="str">
        <f>CS_PID!AL795/VLOOKUP($B795,표2[#ALL],2)/HLOOKUP($A795,표1[#ALL],row(),false)</f>
        <v>#N/A</v>
      </c>
      <c r="AM795" s="376" t="str">
        <f>CS_PID!AM795/VLOOKUP($B795,표2[#ALL],2)/HLOOKUP($A795,표1[#ALL],row(),false)</f>
        <v>#N/A</v>
      </c>
      <c r="AN795" s="376" t="str">
        <f>CS_PID!AN795/VLOOKUP($B795,표2[#ALL],2)/HLOOKUP($A795,표1[#ALL],row(),false)</f>
        <v>#N/A</v>
      </c>
      <c r="AO795" s="376" t="str">
        <f>CS_PID!AO795/VLOOKUP($B795,표2[#ALL],2)/HLOOKUP($A795,표1[#ALL],row(),false)</f>
        <v>#N/A</v>
      </c>
      <c r="AP795" s="376" t="str">
        <f>CS_PID!AP795/VLOOKUP($B795,표2[#ALL],2)/HLOOKUP($A795,표1[#ALL],row(),false)</f>
        <v>#N/A</v>
      </c>
      <c r="AQ795" s="376" t="str">
        <f>CS_PID!AQ795/VLOOKUP($B795,표2[#ALL],2)/HLOOKUP($A795,표1[#ALL],row(),false)</f>
        <v>#N/A</v>
      </c>
      <c r="AR795" s="376" t="str">
        <f>CS_PID!AR795/VLOOKUP($B795,표2[#ALL],2)/HLOOKUP($A795,표1[#ALL],row(),false)</f>
        <v>#N/A</v>
      </c>
      <c r="AS795" s="377" t="str">
        <f>CS_PID!AS795/VLOOKUP($B795,표2[#ALL],2)/HLOOKUP($A795,표1[#ALL],row(),false)</f>
        <v>#N/A</v>
      </c>
    </row>
    <row r="796">
      <c r="A796" s="370"/>
      <c r="B796" s="371"/>
      <c r="C796" s="372" t="str">
        <f>CS_PID!C796/VLOOKUP($B796,표2[#ALL],2)</f>
        <v>#N/A</v>
      </c>
      <c r="D796" s="372" t="str">
        <f>CS_PID!D796/VLOOKUP($B796,표2[#ALL],2)</f>
        <v>#N/A</v>
      </c>
      <c r="E796" s="372" t="str">
        <f>CS_PID!E796/VLOOKUP($B796,표2[#ALL],2)</f>
        <v>#N/A</v>
      </c>
      <c r="F796" s="372" t="str">
        <f>CS_PID!F796/VLOOKUP($B796,표2[#ALL],2)</f>
        <v>#N/A</v>
      </c>
      <c r="G796" s="372" t="str">
        <f>CS_PID!G796/VLOOKUP($B796,표2[#ALL],2)</f>
        <v>#N/A</v>
      </c>
      <c r="H796" s="372" t="str">
        <f>CS_PID!H796/VLOOKUP($B796,표2[#ALL],2)/HLOOKUP($A796,표1[#ALL],row(),false)</f>
        <v>#N/A</v>
      </c>
      <c r="I796" s="372" t="str">
        <f>CS_PID!I796/VLOOKUP($B796,표2[#ALL],2)/HLOOKUP($A796,표1[#ALL],row(),false)</f>
        <v>#N/A</v>
      </c>
      <c r="J796" s="372" t="str">
        <f>CS_PID!J796/VLOOKUP($B796,표2[#ALL],2)/HLOOKUP($A796,표1[#ALL],row(),false)</f>
        <v>#N/A</v>
      </c>
      <c r="K796" s="372" t="str">
        <f>CS_PID!K796/VLOOKUP($B796,표2[#ALL],2)/HLOOKUP($A796,표1[#ALL],row(),false)</f>
        <v>#N/A</v>
      </c>
      <c r="L796" s="372" t="str">
        <f>CS_PID!L796/VLOOKUP($B796,표2[#ALL],2)/HLOOKUP($A796,표1[#ALL],row(),false)</f>
        <v>#N/A</v>
      </c>
      <c r="M796" s="372" t="str">
        <f>CS_PID!M796/VLOOKUP($B796,표2[#ALL],2)/HLOOKUP($A796,표1[#ALL],row(),false)</f>
        <v>#N/A</v>
      </c>
      <c r="N796" s="372" t="str">
        <f>CS_PID!N796/VLOOKUP($B796,표2[#ALL],2)/HLOOKUP($A796,표1[#ALL],row(),false)</f>
        <v>#N/A</v>
      </c>
      <c r="O796" s="372" t="str">
        <f>CS_PID!O796/VLOOKUP($B796,표2[#ALL],2)/HLOOKUP($A796,표1[#ALL],row(),false)</f>
        <v>#N/A</v>
      </c>
      <c r="P796" s="372" t="str">
        <f>CS_PID!P796/VLOOKUP($B796,표2[#ALL],2)/HLOOKUP($A796,표1[#ALL],row(),false)</f>
        <v>#N/A</v>
      </c>
      <c r="Q796" s="372" t="str">
        <f>CS_PID!Q796/VLOOKUP($B796,표2[#ALL],2)/HLOOKUP($A796,표1[#ALL],row(),false)</f>
        <v>#N/A</v>
      </c>
      <c r="R796" s="372" t="str">
        <f>CS_PID!R796/VLOOKUP($B796,표2[#ALL],2)/HLOOKUP($A796,표1[#ALL],row(),false)</f>
        <v>#N/A</v>
      </c>
      <c r="S796" s="372" t="str">
        <f>CS_PID!S796/VLOOKUP($B796,표2[#ALL],2)/HLOOKUP($A796,표1[#ALL],row(),false)</f>
        <v>#N/A</v>
      </c>
      <c r="T796" s="372" t="str">
        <f>CS_PID!T796/VLOOKUP($B796,표2[#ALL],2)/HLOOKUP($A796,표1[#ALL],row(),false)</f>
        <v>#N/A</v>
      </c>
      <c r="U796" s="372" t="str">
        <f>CS_PID!U796/VLOOKUP($B796,표2[#ALL],2)/HLOOKUP($A796,표1[#ALL],row(),false)</f>
        <v>#N/A</v>
      </c>
      <c r="V796" s="372" t="str">
        <f>CS_PID!V796/VLOOKUP($B796,표2[#ALL],2)/HLOOKUP($A796,표1[#ALL],row(),false)</f>
        <v>#N/A</v>
      </c>
      <c r="W796" s="372" t="str">
        <f>CS_PID!W796/VLOOKUP($B796,표2[#ALL],2)/HLOOKUP($A796,표1[#ALL],row(),false)</f>
        <v>#N/A</v>
      </c>
      <c r="X796" s="372" t="str">
        <f>CS_PID!X796/VLOOKUP($B796,표2[#ALL],2)/HLOOKUP($A796,표1[#ALL],row(),false)</f>
        <v>#N/A</v>
      </c>
      <c r="Y796" s="372" t="str">
        <f>CS_PID!Y796/VLOOKUP($B796,표2[#ALL],2)/HLOOKUP($A796,표1[#ALL],row(),false)</f>
        <v>#N/A</v>
      </c>
      <c r="Z796" s="372" t="str">
        <f>CS_PID!Z796/VLOOKUP($B796,표2[#ALL],2)/HLOOKUP($A796,표1[#ALL],row(),false)</f>
        <v>#N/A</v>
      </c>
      <c r="AA796" s="372" t="str">
        <f>CS_PID!AA796/VLOOKUP($B796,표2[#ALL],2)/HLOOKUP($A796,표1[#ALL],row(),false)</f>
        <v>#N/A</v>
      </c>
      <c r="AB796" s="372" t="str">
        <f>CS_PID!AB796/VLOOKUP($B796,표2[#ALL],2)/HLOOKUP($A796,표1[#ALL],row(),false)</f>
        <v>#N/A</v>
      </c>
      <c r="AC796" s="372" t="str">
        <f>CS_PID!AC796/VLOOKUP($B796,표2[#ALL],2)/HLOOKUP($A796,표1[#ALL],row(),false)</f>
        <v>#N/A</v>
      </c>
      <c r="AD796" s="372" t="str">
        <f>CS_PID!AD796/VLOOKUP($B796,표2[#ALL],2)/HLOOKUP($A796,표1[#ALL],row(),false)</f>
        <v>#N/A</v>
      </c>
      <c r="AE796" s="372" t="str">
        <f>CS_PID!AE796/VLOOKUP($B796,표2[#ALL],2)/HLOOKUP($A796,표1[#ALL],row(),false)</f>
        <v>#N/A</v>
      </c>
      <c r="AF796" s="372" t="str">
        <f>CS_PID!AF796/VLOOKUP($B796,표2[#ALL],2)/HLOOKUP($A796,표1[#ALL],row(),false)</f>
        <v>#N/A</v>
      </c>
      <c r="AG796" s="372" t="str">
        <f>CS_PID!AG796/VLOOKUP($B796,표2[#ALL],2)/HLOOKUP($A796,표1[#ALL],row(),false)</f>
        <v>#N/A</v>
      </c>
      <c r="AH796" s="372" t="str">
        <f>CS_PID!AH796/VLOOKUP($B796,표2[#ALL],2)/HLOOKUP($A796,표1[#ALL],row(),false)</f>
        <v>#N/A</v>
      </c>
      <c r="AI796" s="372" t="str">
        <f>CS_PID!AI796/VLOOKUP($B796,표2[#ALL],2)/HLOOKUP($A796,표1[#ALL],row(),false)</f>
        <v>#N/A</v>
      </c>
      <c r="AJ796" s="372" t="str">
        <f>CS_PID!AJ796/VLOOKUP($B796,표2[#ALL],2)/HLOOKUP($A796,표1[#ALL],row(),false)</f>
        <v>#N/A</v>
      </c>
      <c r="AK796" s="372" t="str">
        <f>CS_PID!AK796/VLOOKUP($B796,표2[#ALL],2)/HLOOKUP($A796,표1[#ALL],row(),false)</f>
        <v>#N/A</v>
      </c>
      <c r="AL796" s="372" t="str">
        <f>CS_PID!AL796/VLOOKUP($B796,표2[#ALL],2)/HLOOKUP($A796,표1[#ALL],row(),false)</f>
        <v>#N/A</v>
      </c>
      <c r="AM796" s="372" t="str">
        <f>CS_PID!AM796/VLOOKUP($B796,표2[#ALL],2)/HLOOKUP($A796,표1[#ALL],row(),false)</f>
        <v>#N/A</v>
      </c>
      <c r="AN796" s="372" t="str">
        <f>CS_PID!AN796/VLOOKUP($B796,표2[#ALL],2)/HLOOKUP($A796,표1[#ALL],row(),false)</f>
        <v>#N/A</v>
      </c>
      <c r="AO796" s="372" t="str">
        <f>CS_PID!AO796/VLOOKUP($B796,표2[#ALL],2)/HLOOKUP($A796,표1[#ALL],row(),false)</f>
        <v>#N/A</v>
      </c>
      <c r="AP796" s="372" t="str">
        <f>CS_PID!AP796/VLOOKUP($B796,표2[#ALL],2)/HLOOKUP($A796,표1[#ALL],row(),false)</f>
        <v>#N/A</v>
      </c>
      <c r="AQ796" s="372" t="str">
        <f>CS_PID!AQ796/VLOOKUP($B796,표2[#ALL],2)/HLOOKUP($A796,표1[#ALL],row(),false)</f>
        <v>#N/A</v>
      </c>
      <c r="AR796" s="372" t="str">
        <f>CS_PID!AR796/VLOOKUP($B796,표2[#ALL],2)/HLOOKUP($A796,표1[#ALL],row(),false)</f>
        <v>#N/A</v>
      </c>
      <c r="AS796" s="373" t="str">
        <f>CS_PID!AS796/VLOOKUP($B796,표2[#ALL],2)/HLOOKUP($A796,표1[#ALL],row(),false)</f>
        <v>#N/A</v>
      </c>
    </row>
    <row r="797">
      <c r="A797" s="374"/>
      <c r="B797" s="375"/>
      <c r="C797" s="376" t="str">
        <f>CS_PID!C797/VLOOKUP($B797,표2[#ALL],2)</f>
        <v>#N/A</v>
      </c>
      <c r="D797" s="376" t="str">
        <f>CS_PID!D797/VLOOKUP($B797,표2[#ALL],2)</f>
        <v>#N/A</v>
      </c>
      <c r="E797" s="376" t="str">
        <f>CS_PID!E797/VLOOKUP($B797,표2[#ALL],2)</f>
        <v>#N/A</v>
      </c>
      <c r="F797" s="376" t="str">
        <f>CS_PID!F797/VLOOKUP($B797,표2[#ALL],2)</f>
        <v>#N/A</v>
      </c>
      <c r="G797" s="376" t="str">
        <f>CS_PID!G797/VLOOKUP($B797,표2[#ALL],2)</f>
        <v>#N/A</v>
      </c>
      <c r="H797" s="376" t="str">
        <f>CS_PID!H797/VLOOKUP($B797,표2[#ALL],2)/HLOOKUP($A797,표1[#ALL],row(),false)</f>
        <v>#N/A</v>
      </c>
      <c r="I797" s="376" t="str">
        <f>CS_PID!I797/VLOOKUP($B797,표2[#ALL],2)/HLOOKUP($A797,표1[#ALL],row(),false)</f>
        <v>#N/A</v>
      </c>
      <c r="J797" s="376" t="str">
        <f>CS_PID!J797/VLOOKUP($B797,표2[#ALL],2)/HLOOKUP($A797,표1[#ALL],row(),false)</f>
        <v>#N/A</v>
      </c>
      <c r="K797" s="376" t="str">
        <f>CS_PID!K797/VLOOKUP($B797,표2[#ALL],2)/HLOOKUP($A797,표1[#ALL],row(),false)</f>
        <v>#N/A</v>
      </c>
      <c r="L797" s="376" t="str">
        <f>CS_PID!L797/VLOOKUP($B797,표2[#ALL],2)/HLOOKUP($A797,표1[#ALL],row(),false)</f>
        <v>#N/A</v>
      </c>
      <c r="M797" s="376" t="str">
        <f>CS_PID!M797/VLOOKUP($B797,표2[#ALL],2)/HLOOKUP($A797,표1[#ALL],row(),false)</f>
        <v>#N/A</v>
      </c>
      <c r="N797" s="376" t="str">
        <f>CS_PID!N797/VLOOKUP($B797,표2[#ALL],2)/HLOOKUP($A797,표1[#ALL],row(),false)</f>
        <v>#N/A</v>
      </c>
      <c r="O797" s="376" t="str">
        <f>CS_PID!O797/VLOOKUP($B797,표2[#ALL],2)/HLOOKUP($A797,표1[#ALL],row(),false)</f>
        <v>#N/A</v>
      </c>
      <c r="P797" s="376" t="str">
        <f>CS_PID!P797/VLOOKUP($B797,표2[#ALL],2)/HLOOKUP($A797,표1[#ALL],row(),false)</f>
        <v>#N/A</v>
      </c>
      <c r="Q797" s="376" t="str">
        <f>CS_PID!Q797/VLOOKUP($B797,표2[#ALL],2)/HLOOKUP($A797,표1[#ALL],row(),false)</f>
        <v>#N/A</v>
      </c>
      <c r="R797" s="376" t="str">
        <f>CS_PID!R797/VLOOKUP($B797,표2[#ALL],2)/HLOOKUP($A797,표1[#ALL],row(),false)</f>
        <v>#N/A</v>
      </c>
      <c r="S797" s="376" t="str">
        <f>CS_PID!S797/VLOOKUP($B797,표2[#ALL],2)/HLOOKUP($A797,표1[#ALL],row(),false)</f>
        <v>#N/A</v>
      </c>
      <c r="T797" s="376" t="str">
        <f>CS_PID!T797/VLOOKUP($B797,표2[#ALL],2)/HLOOKUP($A797,표1[#ALL],row(),false)</f>
        <v>#N/A</v>
      </c>
      <c r="U797" s="376" t="str">
        <f>CS_PID!U797/VLOOKUP($B797,표2[#ALL],2)/HLOOKUP($A797,표1[#ALL],row(),false)</f>
        <v>#N/A</v>
      </c>
      <c r="V797" s="376" t="str">
        <f>CS_PID!V797/VLOOKUP($B797,표2[#ALL],2)/HLOOKUP($A797,표1[#ALL],row(),false)</f>
        <v>#N/A</v>
      </c>
      <c r="W797" s="376" t="str">
        <f>CS_PID!W797/VLOOKUP($B797,표2[#ALL],2)/HLOOKUP($A797,표1[#ALL],row(),false)</f>
        <v>#N/A</v>
      </c>
      <c r="X797" s="376" t="str">
        <f>CS_PID!X797/VLOOKUP($B797,표2[#ALL],2)/HLOOKUP($A797,표1[#ALL],row(),false)</f>
        <v>#N/A</v>
      </c>
      <c r="Y797" s="376" t="str">
        <f>CS_PID!Y797/VLOOKUP($B797,표2[#ALL],2)/HLOOKUP($A797,표1[#ALL],row(),false)</f>
        <v>#N/A</v>
      </c>
      <c r="Z797" s="376" t="str">
        <f>CS_PID!Z797/VLOOKUP($B797,표2[#ALL],2)/HLOOKUP($A797,표1[#ALL],row(),false)</f>
        <v>#N/A</v>
      </c>
      <c r="AA797" s="376" t="str">
        <f>CS_PID!AA797/VLOOKUP($B797,표2[#ALL],2)/HLOOKUP($A797,표1[#ALL],row(),false)</f>
        <v>#N/A</v>
      </c>
      <c r="AB797" s="376" t="str">
        <f>CS_PID!AB797/VLOOKUP($B797,표2[#ALL],2)/HLOOKUP($A797,표1[#ALL],row(),false)</f>
        <v>#N/A</v>
      </c>
      <c r="AC797" s="376" t="str">
        <f>CS_PID!AC797/VLOOKUP($B797,표2[#ALL],2)/HLOOKUP($A797,표1[#ALL],row(),false)</f>
        <v>#N/A</v>
      </c>
      <c r="AD797" s="376" t="str">
        <f>CS_PID!AD797/VLOOKUP($B797,표2[#ALL],2)/HLOOKUP($A797,표1[#ALL],row(),false)</f>
        <v>#N/A</v>
      </c>
      <c r="AE797" s="376" t="str">
        <f>CS_PID!AE797/VLOOKUP($B797,표2[#ALL],2)/HLOOKUP($A797,표1[#ALL],row(),false)</f>
        <v>#N/A</v>
      </c>
      <c r="AF797" s="376" t="str">
        <f>CS_PID!AF797/VLOOKUP($B797,표2[#ALL],2)/HLOOKUP($A797,표1[#ALL],row(),false)</f>
        <v>#N/A</v>
      </c>
      <c r="AG797" s="376" t="str">
        <f>CS_PID!AG797/VLOOKUP($B797,표2[#ALL],2)/HLOOKUP($A797,표1[#ALL],row(),false)</f>
        <v>#N/A</v>
      </c>
      <c r="AH797" s="376" t="str">
        <f>CS_PID!AH797/VLOOKUP($B797,표2[#ALL],2)/HLOOKUP($A797,표1[#ALL],row(),false)</f>
        <v>#N/A</v>
      </c>
      <c r="AI797" s="376" t="str">
        <f>CS_PID!AI797/VLOOKUP($B797,표2[#ALL],2)/HLOOKUP($A797,표1[#ALL],row(),false)</f>
        <v>#N/A</v>
      </c>
      <c r="AJ797" s="376" t="str">
        <f>CS_PID!AJ797/VLOOKUP($B797,표2[#ALL],2)/HLOOKUP($A797,표1[#ALL],row(),false)</f>
        <v>#N/A</v>
      </c>
      <c r="AK797" s="376" t="str">
        <f>CS_PID!AK797/VLOOKUP($B797,표2[#ALL],2)/HLOOKUP($A797,표1[#ALL],row(),false)</f>
        <v>#N/A</v>
      </c>
      <c r="AL797" s="376" t="str">
        <f>CS_PID!AL797/VLOOKUP($B797,표2[#ALL],2)/HLOOKUP($A797,표1[#ALL],row(),false)</f>
        <v>#N/A</v>
      </c>
      <c r="AM797" s="376" t="str">
        <f>CS_PID!AM797/VLOOKUP($B797,표2[#ALL],2)/HLOOKUP($A797,표1[#ALL],row(),false)</f>
        <v>#N/A</v>
      </c>
      <c r="AN797" s="376" t="str">
        <f>CS_PID!AN797/VLOOKUP($B797,표2[#ALL],2)/HLOOKUP($A797,표1[#ALL],row(),false)</f>
        <v>#N/A</v>
      </c>
      <c r="AO797" s="376" t="str">
        <f>CS_PID!AO797/VLOOKUP($B797,표2[#ALL],2)/HLOOKUP($A797,표1[#ALL],row(),false)</f>
        <v>#N/A</v>
      </c>
      <c r="AP797" s="376" t="str">
        <f>CS_PID!AP797/VLOOKUP($B797,표2[#ALL],2)/HLOOKUP($A797,표1[#ALL],row(),false)</f>
        <v>#N/A</v>
      </c>
      <c r="AQ797" s="376" t="str">
        <f>CS_PID!AQ797/VLOOKUP($B797,표2[#ALL],2)/HLOOKUP($A797,표1[#ALL],row(),false)</f>
        <v>#N/A</v>
      </c>
      <c r="AR797" s="376" t="str">
        <f>CS_PID!AR797/VLOOKUP($B797,표2[#ALL],2)/HLOOKUP($A797,표1[#ALL],row(),false)</f>
        <v>#N/A</v>
      </c>
      <c r="AS797" s="377" t="str">
        <f>CS_PID!AS797/VLOOKUP($B797,표2[#ALL],2)/HLOOKUP($A797,표1[#ALL],row(),false)</f>
        <v>#N/A</v>
      </c>
    </row>
    <row r="798">
      <c r="A798" s="370"/>
      <c r="B798" s="371"/>
      <c r="C798" s="372" t="str">
        <f>CS_PID!C798/VLOOKUP($B798,표2[#ALL],2)</f>
        <v>#N/A</v>
      </c>
      <c r="D798" s="372" t="str">
        <f>CS_PID!D798/VLOOKUP($B798,표2[#ALL],2)</f>
        <v>#N/A</v>
      </c>
      <c r="E798" s="372" t="str">
        <f>CS_PID!E798/VLOOKUP($B798,표2[#ALL],2)</f>
        <v>#N/A</v>
      </c>
      <c r="F798" s="372" t="str">
        <f>CS_PID!F798/VLOOKUP($B798,표2[#ALL],2)</f>
        <v>#N/A</v>
      </c>
      <c r="G798" s="372" t="str">
        <f>CS_PID!G798/VLOOKUP($B798,표2[#ALL],2)</f>
        <v>#N/A</v>
      </c>
      <c r="H798" s="372" t="str">
        <f>CS_PID!H798/VLOOKUP($B798,표2[#ALL],2)/HLOOKUP($A798,표1[#ALL],row(),false)</f>
        <v>#N/A</v>
      </c>
      <c r="I798" s="372" t="str">
        <f>CS_PID!I798/VLOOKUP($B798,표2[#ALL],2)/HLOOKUP($A798,표1[#ALL],row(),false)</f>
        <v>#N/A</v>
      </c>
      <c r="J798" s="372" t="str">
        <f>CS_PID!J798/VLOOKUP($B798,표2[#ALL],2)/HLOOKUP($A798,표1[#ALL],row(),false)</f>
        <v>#N/A</v>
      </c>
      <c r="K798" s="372" t="str">
        <f>CS_PID!K798/VLOOKUP($B798,표2[#ALL],2)/HLOOKUP($A798,표1[#ALL],row(),false)</f>
        <v>#N/A</v>
      </c>
      <c r="L798" s="372" t="str">
        <f>CS_PID!L798/VLOOKUP($B798,표2[#ALL],2)/HLOOKUP($A798,표1[#ALL],row(),false)</f>
        <v>#N/A</v>
      </c>
      <c r="M798" s="372" t="str">
        <f>CS_PID!M798/VLOOKUP($B798,표2[#ALL],2)/HLOOKUP($A798,표1[#ALL],row(),false)</f>
        <v>#N/A</v>
      </c>
      <c r="N798" s="372" t="str">
        <f>CS_PID!N798/VLOOKUP($B798,표2[#ALL],2)/HLOOKUP($A798,표1[#ALL],row(),false)</f>
        <v>#N/A</v>
      </c>
      <c r="O798" s="372" t="str">
        <f>CS_PID!O798/VLOOKUP($B798,표2[#ALL],2)/HLOOKUP($A798,표1[#ALL],row(),false)</f>
        <v>#N/A</v>
      </c>
      <c r="P798" s="372" t="str">
        <f>CS_PID!P798/VLOOKUP($B798,표2[#ALL],2)/HLOOKUP($A798,표1[#ALL],row(),false)</f>
        <v>#N/A</v>
      </c>
      <c r="Q798" s="372" t="str">
        <f>CS_PID!Q798/VLOOKUP($B798,표2[#ALL],2)/HLOOKUP($A798,표1[#ALL],row(),false)</f>
        <v>#N/A</v>
      </c>
      <c r="R798" s="372" t="str">
        <f>CS_PID!R798/VLOOKUP($B798,표2[#ALL],2)/HLOOKUP($A798,표1[#ALL],row(),false)</f>
        <v>#N/A</v>
      </c>
      <c r="S798" s="372" t="str">
        <f>CS_PID!S798/VLOOKUP($B798,표2[#ALL],2)/HLOOKUP($A798,표1[#ALL],row(),false)</f>
        <v>#N/A</v>
      </c>
      <c r="T798" s="372" t="str">
        <f>CS_PID!T798/VLOOKUP($B798,표2[#ALL],2)/HLOOKUP($A798,표1[#ALL],row(),false)</f>
        <v>#N/A</v>
      </c>
      <c r="U798" s="372" t="str">
        <f>CS_PID!U798/VLOOKUP($B798,표2[#ALL],2)/HLOOKUP($A798,표1[#ALL],row(),false)</f>
        <v>#N/A</v>
      </c>
      <c r="V798" s="372" t="str">
        <f>CS_PID!V798/VLOOKUP($B798,표2[#ALL],2)/HLOOKUP($A798,표1[#ALL],row(),false)</f>
        <v>#N/A</v>
      </c>
      <c r="W798" s="372" t="str">
        <f>CS_PID!W798/VLOOKUP($B798,표2[#ALL],2)/HLOOKUP($A798,표1[#ALL],row(),false)</f>
        <v>#N/A</v>
      </c>
      <c r="X798" s="372" t="str">
        <f>CS_PID!X798/VLOOKUP($B798,표2[#ALL],2)/HLOOKUP($A798,표1[#ALL],row(),false)</f>
        <v>#N/A</v>
      </c>
      <c r="Y798" s="372" t="str">
        <f>CS_PID!Y798/VLOOKUP($B798,표2[#ALL],2)/HLOOKUP($A798,표1[#ALL],row(),false)</f>
        <v>#N/A</v>
      </c>
      <c r="Z798" s="372" t="str">
        <f>CS_PID!Z798/VLOOKUP($B798,표2[#ALL],2)/HLOOKUP($A798,표1[#ALL],row(),false)</f>
        <v>#N/A</v>
      </c>
      <c r="AA798" s="372" t="str">
        <f>CS_PID!AA798/VLOOKUP($B798,표2[#ALL],2)/HLOOKUP($A798,표1[#ALL],row(),false)</f>
        <v>#N/A</v>
      </c>
      <c r="AB798" s="372" t="str">
        <f>CS_PID!AB798/VLOOKUP($B798,표2[#ALL],2)/HLOOKUP($A798,표1[#ALL],row(),false)</f>
        <v>#N/A</v>
      </c>
      <c r="AC798" s="372" t="str">
        <f>CS_PID!AC798/VLOOKUP($B798,표2[#ALL],2)/HLOOKUP($A798,표1[#ALL],row(),false)</f>
        <v>#N/A</v>
      </c>
      <c r="AD798" s="372" t="str">
        <f>CS_PID!AD798/VLOOKUP($B798,표2[#ALL],2)/HLOOKUP($A798,표1[#ALL],row(),false)</f>
        <v>#N/A</v>
      </c>
      <c r="AE798" s="372" t="str">
        <f>CS_PID!AE798/VLOOKUP($B798,표2[#ALL],2)/HLOOKUP($A798,표1[#ALL],row(),false)</f>
        <v>#N/A</v>
      </c>
      <c r="AF798" s="372" t="str">
        <f>CS_PID!AF798/VLOOKUP($B798,표2[#ALL],2)/HLOOKUP($A798,표1[#ALL],row(),false)</f>
        <v>#N/A</v>
      </c>
      <c r="AG798" s="372" t="str">
        <f>CS_PID!AG798/VLOOKUP($B798,표2[#ALL],2)/HLOOKUP($A798,표1[#ALL],row(),false)</f>
        <v>#N/A</v>
      </c>
      <c r="AH798" s="372" t="str">
        <f>CS_PID!AH798/VLOOKUP($B798,표2[#ALL],2)/HLOOKUP($A798,표1[#ALL],row(),false)</f>
        <v>#N/A</v>
      </c>
      <c r="AI798" s="372" t="str">
        <f>CS_PID!AI798/VLOOKUP($B798,표2[#ALL],2)/HLOOKUP($A798,표1[#ALL],row(),false)</f>
        <v>#N/A</v>
      </c>
      <c r="AJ798" s="372" t="str">
        <f>CS_PID!AJ798/VLOOKUP($B798,표2[#ALL],2)/HLOOKUP($A798,표1[#ALL],row(),false)</f>
        <v>#N/A</v>
      </c>
      <c r="AK798" s="372" t="str">
        <f>CS_PID!AK798/VLOOKUP($B798,표2[#ALL],2)/HLOOKUP($A798,표1[#ALL],row(),false)</f>
        <v>#N/A</v>
      </c>
      <c r="AL798" s="372" t="str">
        <f>CS_PID!AL798/VLOOKUP($B798,표2[#ALL],2)/HLOOKUP($A798,표1[#ALL],row(),false)</f>
        <v>#N/A</v>
      </c>
      <c r="AM798" s="372" t="str">
        <f>CS_PID!AM798/VLOOKUP($B798,표2[#ALL],2)/HLOOKUP($A798,표1[#ALL],row(),false)</f>
        <v>#N/A</v>
      </c>
      <c r="AN798" s="372" t="str">
        <f>CS_PID!AN798/VLOOKUP($B798,표2[#ALL],2)/HLOOKUP($A798,표1[#ALL],row(),false)</f>
        <v>#N/A</v>
      </c>
      <c r="AO798" s="372" t="str">
        <f>CS_PID!AO798/VLOOKUP($B798,표2[#ALL],2)/HLOOKUP($A798,표1[#ALL],row(),false)</f>
        <v>#N/A</v>
      </c>
      <c r="AP798" s="372" t="str">
        <f>CS_PID!AP798/VLOOKUP($B798,표2[#ALL],2)/HLOOKUP($A798,표1[#ALL],row(),false)</f>
        <v>#N/A</v>
      </c>
      <c r="AQ798" s="372" t="str">
        <f>CS_PID!AQ798/VLOOKUP($B798,표2[#ALL],2)/HLOOKUP($A798,표1[#ALL],row(),false)</f>
        <v>#N/A</v>
      </c>
      <c r="AR798" s="372" t="str">
        <f>CS_PID!AR798/VLOOKUP($B798,표2[#ALL],2)/HLOOKUP($A798,표1[#ALL],row(),false)</f>
        <v>#N/A</v>
      </c>
      <c r="AS798" s="373" t="str">
        <f>CS_PID!AS798/VLOOKUP($B798,표2[#ALL],2)/HLOOKUP($A798,표1[#ALL],row(),false)</f>
        <v>#N/A</v>
      </c>
    </row>
    <row r="799">
      <c r="A799" s="374"/>
      <c r="B799" s="375"/>
      <c r="C799" s="376" t="str">
        <f>CS_PID!C799/VLOOKUP($B799,표2[#ALL],2)</f>
        <v>#N/A</v>
      </c>
      <c r="D799" s="376" t="str">
        <f>CS_PID!D799/VLOOKUP($B799,표2[#ALL],2)</f>
        <v>#N/A</v>
      </c>
      <c r="E799" s="376" t="str">
        <f>CS_PID!E799/VLOOKUP($B799,표2[#ALL],2)</f>
        <v>#N/A</v>
      </c>
      <c r="F799" s="376" t="str">
        <f>CS_PID!F799/VLOOKUP($B799,표2[#ALL],2)</f>
        <v>#N/A</v>
      </c>
      <c r="G799" s="376" t="str">
        <f>CS_PID!G799/VLOOKUP($B799,표2[#ALL],2)</f>
        <v>#N/A</v>
      </c>
      <c r="H799" s="376" t="str">
        <f>CS_PID!H799/VLOOKUP($B799,표2[#ALL],2)/HLOOKUP($A799,표1[#ALL],row(),false)</f>
        <v>#N/A</v>
      </c>
      <c r="I799" s="376" t="str">
        <f>CS_PID!I799/VLOOKUP($B799,표2[#ALL],2)/HLOOKUP($A799,표1[#ALL],row(),false)</f>
        <v>#N/A</v>
      </c>
      <c r="J799" s="376" t="str">
        <f>CS_PID!J799/VLOOKUP($B799,표2[#ALL],2)/HLOOKUP($A799,표1[#ALL],row(),false)</f>
        <v>#N/A</v>
      </c>
      <c r="K799" s="376" t="str">
        <f>CS_PID!K799/VLOOKUP($B799,표2[#ALL],2)/HLOOKUP($A799,표1[#ALL],row(),false)</f>
        <v>#N/A</v>
      </c>
      <c r="L799" s="376" t="str">
        <f>CS_PID!L799/VLOOKUP($B799,표2[#ALL],2)/HLOOKUP($A799,표1[#ALL],row(),false)</f>
        <v>#N/A</v>
      </c>
      <c r="M799" s="376" t="str">
        <f>CS_PID!M799/VLOOKUP($B799,표2[#ALL],2)/HLOOKUP($A799,표1[#ALL],row(),false)</f>
        <v>#N/A</v>
      </c>
      <c r="N799" s="376" t="str">
        <f>CS_PID!N799/VLOOKUP($B799,표2[#ALL],2)/HLOOKUP($A799,표1[#ALL],row(),false)</f>
        <v>#N/A</v>
      </c>
      <c r="O799" s="376" t="str">
        <f>CS_PID!O799/VLOOKUP($B799,표2[#ALL],2)/HLOOKUP($A799,표1[#ALL],row(),false)</f>
        <v>#N/A</v>
      </c>
      <c r="P799" s="376" t="str">
        <f>CS_PID!P799/VLOOKUP($B799,표2[#ALL],2)/HLOOKUP($A799,표1[#ALL],row(),false)</f>
        <v>#N/A</v>
      </c>
      <c r="Q799" s="376" t="str">
        <f>CS_PID!Q799/VLOOKUP($B799,표2[#ALL],2)/HLOOKUP($A799,표1[#ALL],row(),false)</f>
        <v>#N/A</v>
      </c>
      <c r="R799" s="376" t="str">
        <f>CS_PID!R799/VLOOKUP($B799,표2[#ALL],2)/HLOOKUP($A799,표1[#ALL],row(),false)</f>
        <v>#N/A</v>
      </c>
      <c r="S799" s="376" t="str">
        <f>CS_PID!S799/VLOOKUP($B799,표2[#ALL],2)/HLOOKUP($A799,표1[#ALL],row(),false)</f>
        <v>#N/A</v>
      </c>
      <c r="T799" s="376" t="str">
        <f>CS_PID!T799/VLOOKUP($B799,표2[#ALL],2)/HLOOKUP($A799,표1[#ALL],row(),false)</f>
        <v>#N/A</v>
      </c>
      <c r="U799" s="376" t="str">
        <f>CS_PID!U799/VLOOKUP($B799,표2[#ALL],2)/HLOOKUP($A799,표1[#ALL],row(),false)</f>
        <v>#N/A</v>
      </c>
      <c r="V799" s="376" t="str">
        <f>CS_PID!V799/VLOOKUP($B799,표2[#ALL],2)/HLOOKUP($A799,표1[#ALL],row(),false)</f>
        <v>#N/A</v>
      </c>
      <c r="W799" s="376" t="str">
        <f>CS_PID!W799/VLOOKUP($B799,표2[#ALL],2)/HLOOKUP($A799,표1[#ALL],row(),false)</f>
        <v>#N/A</v>
      </c>
      <c r="X799" s="376" t="str">
        <f>CS_PID!X799/VLOOKUP($B799,표2[#ALL],2)/HLOOKUP($A799,표1[#ALL],row(),false)</f>
        <v>#N/A</v>
      </c>
      <c r="Y799" s="376" t="str">
        <f>CS_PID!Y799/VLOOKUP($B799,표2[#ALL],2)/HLOOKUP($A799,표1[#ALL],row(),false)</f>
        <v>#N/A</v>
      </c>
      <c r="Z799" s="376" t="str">
        <f>CS_PID!Z799/VLOOKUP($B799,표2[#ALL],2)/HLOOKUP($A799,표1[#ALL],row(),false)</f>
        <v>#N/A</v>
      </c>
      <c r="AA799" s="376" t="str">
        <f>CS_PID!AA799/VLOOKUP($B799,표2[#ALL],2)/HLOOKUP($A799,표1[#ALL],row(),false)</f>
        <v>#N/A</v>
      </c>
      <c r="AB799" s="376" t="str">
        <f>CS_PID!AB799/VLOOKUP($B799,표2[#ALL],2)/HLOOKUP($A799,표1[#ALL],row(),false)</f>
        <v>#N/A</v>
      </c>
      <c r="AC799" s="376" t="str">
        <f>CS_PID!AC799/VLOOKUP($B799,표2[#ALL],2)/HLOOKUP($A799,표1[#ALL],row(),false)</f>
        <v>#N/A</v>
      </c>
      <c r="AD799" s="376" t="str">
        <f>CS_PID!AD799/VLOOKUP($B799,표2[#ALL],2)/HLOOKUP($A799,표1[#ALL],row(),false)</f>
        <v>#N/A</v>
      </c>
      <c r="AE799" s="376" t="str">
        <f>CS_PID!AE799/VLOOKUP($B799,표2[#ALL],2)/HLOOKUP($A799,표1[#ALL],row(),false)</f>
        <v>#N/A</v>
      </c>
      <c r="AF799" s="376" t="str">
        <f>CS_PID!AF799/VLOOKUP($B799,표2[#ALL],2)/HLOOKUP($A799,표1[#ALL],row(),false)</f>
        <v>#N/A</v>
      </c>
      <c r="AG799" s="376" t="str">
        <f>CS_PID!AG799/VLOOKUP($B799,표2[#ALL],2)/HLOOKUP($A799,표1[#ALL],row(),false)</f>
        <v>#N/A</v>
      </c>
      <c r="AH799" s="376" t="str">
        <f>CS_PID!AH799/VLOOKUP($B799,표2[#ALL],2)/HLOOKUP($A799,표1[#ALL],row(),false)</f>
        <v>#N/A</v>
      </c>
      <c r="AI799" s="376" t="str">
        <f>CS_PID!AI799/VLOOKUP($B799,표2[#ALL],2)/HLOOKUP($A799,표1[#ALL],row(),false)</f>
        <v>#N/A</v>
      </c>
      <c r="AJ799" s="376" t="str">
        <f>CS_PID!AJ799/VLOOKUP($B799,표2[#ALL],2)/HLOOKUP($A799,표1[#ALL],row(),false)</f>
        <v>#N/A</v>
      </c>
      <c r="AK799" s="376" t="str">
        <f>CS_PID!AK799/VLOOKUP($B799,표2[#ALL],2)/HLOOKUP($A799,표1[#ALL],row(),false)</f>
        <v>#N/A</v>
      </c>
      <c r="AL799" s="376" t="str">
        <f>CS_PID!AL799/VLOOKUP($B799,표2[#ALL],2)/HLOOKUP($A799,표1[#ALL],row(),false)</f>
        <v>#N/A</v>
      </c>
      <c r="AM799" s="376" t="str">
        <f>CS_PID!AM799/VLOOKUP($B799,표2[#ALL],2)/HLOOKUP($A799,표1[#ALL],row(),false)</f>
        <v>#N/A</v>
      </c>
      <c r="AN799" s="376" t="str">
        <f>CS_PID!AN799/VLOOKUP($B799,표2[#ALL],2)/HLOOKUP($A799,표1[#ALL],row(),false)</f>
        <v>#N/A</v>
      </c>
      <c r="AO799" s="376" t="str">
        <f>CS_PID!AO799/VLOOKUP($B799,표2[#ALL],2)/HLOOKUP($A799,표1[#ALL],row(),false)</f>
        <v>#N/A</v>
      </c>
      <c r="AP799" s="376" t="str">
        <f>CS_PID!AP799/VLOOKUP($B799,표2[#ALL],2)/HLOOKUP($A799,표1[#ALL],row(),false)</f>
        <v>#N/A</v>
      </c>
      <c r="AQ799" s="376" t="str">
        <f>CS_PID!AQ799/VLOOKUP($B799,표2[#ALL],2)/HLOOKUP($A799,표1[#ALL],row(),false)</f>
        <v>#N/A</v>
      </c>
      <c r="AR799" s="376" t="str">
        <f>CS_PID!AR799/VLOOKUP($B799,표2[#ALL],2)/HLOOKUP($A799,표1[#ALL],row(),false)</f>
        <v>#N/A</v>
      </c>
      <c r="AS799" s="377" t="str">
        <f>CS_PID!AS799/VLOOKUP($B799,표2[#ALL],2)/HLOOKUP($A799,표1[#ALL],row(),false)</f>
        <v>#N/A</v>
      </c>
    </row>
    <row r="800">
      <c r="A800" s="370"/>
      <c r="B800" s="371"/>
      <c r="C800" s="372" t="str">
        <f>CS_PID!C800/VLOOKUP($B800,표2[#ALL],2)</f>
        <v>#N/A</v>
      </c>
      <c r="D800" s="372" t="str">
        <f>CS_PID!D800/VLOOKUP($B800,표2[#ALL],2)</f>
        <v>#N/A</v>
      </c>
      <c r="E800" s="372" t="str">
        <f>CS_PID!E800/VLOOKUP($B800,표2[#ALL],2)</f>
        <v>#N/A</v>
      </c>
      <c r="F800" s="372" t="str">
        <f>CS_PID!F800/VLOOKUP($B800,표2[#ALL],2)</f>
        <v>#N/A</v>
      </c>
      <c r="G800" s="372" t="str">
        <f>CS_PID!G800/VLOOKUP($B800,표2[#ALL],2)</f>
        <v>#N/A</v>
      </c>
      <c r="H800" s="372" t="str">
        <f>CS_PID!H800/VLOOKUP($B800,표2[#ALL],2)/HLOOKUP($A800,표1[#ALL],row(),false)</f>
        <v>#N/A</v>
      </c>
      <c r="I800" s="372" t="str">
        <f>CS_PID!I800/VLOOKUP($B800,표2[#ALL],2)/HLOOKUP($A800,표1[#ALL],row(),false)</f>
        <v>#N/A</v>
      </c>
      <c r="J800" s="372" t="str">
        <f>CS_PID!J800/VLOOKUP($B800,표2[#ALL],2)/HLOOKUP($A800,표1[#ALL],row(),false)</f>
        <v>#N/A</v>
      </c>
      <c r="K800" s="372" t="str">
        <f>CS_PID!K800/VLOOKUP($B800,표2[#ALL],2)/HLOOKUP($A800,표1[#ALL],row(),false)</f>
        <v>#N/A</v>
      </c>
      <c r="L800" s="372" t="str">
        <f>CS_PID!L800/VLOOKUP($B800,표2[#ALL],2)/HLOOKUP($A800,표1[#ALL],row(),false)</f>
        <v>#N/A</v>
      </c>
      <c r="M800" s="372" t="str">
        <f>CS_PID!M800/VLOOKUP($B800,표2[#ALL],2)/HLOOKUP($A800,표1[#ALL],row(),false)</f>
        <v>#N/A</v>
      </c>
      <c r="N800" s="372" t="str">
        <f>CS_PID!N800/VLOOKUP($B800,표2[#ALL],2)/HLOOKUP($A800,표1[#ALL],row(),false)</f>
        <v>#N/A</v>
      </c>
      <c r="O800" s="372" t="str">
        <f>CS_PID!O800/VLOOKUP($B800,표2[#ALL],2)/HLOOKUP($A800,표1[#ALL],row(),false)</f>
        <v>#N/A</v>
      </c>
      <c r="P800" s="372" t="str">
        <f>CS_PID!P800/VLOOKUP($B800,표2[#ALL],2)/HLOOKUP($A800,표1[#ALL],row(),false)</f>
        <v>#N/A</v>
      </c>
      <c r="Q800" s="372" t="str">
        <f>CS_PID!Q800/VLOOKUP($B800,표2[#ALL],2)/HLOOKUP($A800,표1[#ALL],row(),false)</f>
        <v>#N/A</v>
      </c>
      <c r="R800" s="372" t="str">
        <f>CS_PID!R800/VLOOKUP($B800,표2[#ALL],2)/HLOOKUP($A800,표1[#ALL],row(),false)</f>
        <v>#N/A</v>
      </c>
      <c r="S800" s="372" t="str">
        <f>CS_PID!S800/VLOOKUP($B800,표2[#ALL],2)/HLOOKUP($A800,표1[#ALL],row(),false)</f>
        <v>#N/A</v>
      </c>
      <c r="T800" s="372" t="str">
        <f>CS_PID!T800/VLOOKUP($B800,표2[#ALL],2)/HLOOKUP($A800,표1[#ALL],row(),false)</f>
        <v>#N/A</v>
      </c>
      <c r="U800" s="372" t="str">
        <f>CS_PID!U800/VLOOKUP($B800,표2[#ALL],2)/HLOOKUP($A800,표1[#ALL],row(),false)</f>
        <v>#N/A</v>
      </c>
      <c r="V800" s="372" t="str">
        <f>CS_PID!V800/VLOOKUP($B800,표2[#ALL],2)/HLOOKUP($A800,표1[#ALL],row(),false)</f>
        <v>#N/A</v>
      </c>
      <c r="W800" s="372" t="str">
        <f>CS_PID!W800/VLOOKUP($B800,표2[#ALL],2)/HLOOKUP($A800,표1[#ALL],row(),false)</f>
        <v>#N/A</v>
      </c>
      <c r="X800" s="372" t="str">
        <f>CS_PID!X800/VLOOKUP($B800,표2[#ALL],2)/HLOOKUP($A800,표1[#ALL],row(),false)</f>
        <v>#N/A</v>
      </c>
      <c r="Y800" s="372" t="str">
        <f>CS_PID!Y800/VLOOKUP($B800,표2[#ALL],2)/HLOOKUP($A800,표1[#ALL],row(),false)</f>
        <v>#N/A</v>
      </c>
      <c r="Z800" s="372" t="str">
        <f>CS_PID!Z800/VLOOKUP($B800,표2[#ALL],2)/HLOOKUP($A800,표1[#ALL],row(),false)</f>
        <v>#N/A</v>
      </c>
      <c r="AA800" s="372" t="str">
        <f>CS_PID!AA800/VLOOKUP($B800,표2[#ALL],2)/HLOOKUP($A800,표1[#ALL],row(),false)</f>
        <v>#N/A</v>
      </c>
      <c r="AB800" s="372" t="str">
        <f>CS_PID!AB800/VLOOKUP($B800,표2[#ALL],2)/HLOOKUP($A800,표1[#ALL],row(),false)</f>
        <v>#N/A</v>
      </c>
      <c r="AC800" s="372" t="str">
        <f>CS_PID!AC800/VLOOKUP($B800,표2[#ALL],2)/HLOOKUP($A800,표1[#ALL],row(),false)</f>
        <v>#N/A</v>
      </c>
      <c r="AD800" s="372" t="str">
        <f>CS_PID!AD800/VLOOKUP($B800,표2[#ALL],2)/HLOOKUP($A800,표1[#ALL],row(),false)</f>
        <v>#N/A</v>
      </c>
      <c r="AE800" s="372" t="str">
        <f>CS_PID!AE800/VLOOKUP($B800,표2[#ALL],2)/HLOOKUP($A800,표1[#ALL],row(),false)</f>
        <v>#N/A</v>
      </c>
      <c r="AF800" s="372" t="str">
        <f>CS_PID!AF800/VLOOKUP($B800,표2[#ALL],2)/HLOOKUP($A800,표1[#ALL],row(),false)</f>
        <v>#N/A</v>
      </c>
      <c r="AG800" s="372" t="str">
        <f>CS_PID!AG800/VLOOKUP($B800,표2[#ALL],2)/HLOOKUP($A800,표1[#ALL],row(),false)</f>
        <v>#N/A</v>
      </c>
      <c r="AH800" s="372" t="str">
        <f>CS_PID!AH800/VLOOKUP($B800,표2[#ALL],2)/HLOOKUP($A800,표1[#ALL],row(),false)</f>
        <v>#N/A</v>
      </c>
      <c r="AI800" s="372" t="str">
        <f>CS_PID!AI800/VLOOKUP($B800,표2[#ALL],2)/HLOOKUP($A800,표1[#ALL],row(),false)</f>
        <v>#N/A</v>
      </c>
      <c r="AJ800" s="372" t="str">
        <f>CS_PID!AJ800/VLOOKUP($B800,표2[#ALL],2)/HLOOKUP($A800,표1[#ALL],row(),false)</f>
        <v>#N/A</v>
      </c>
      <c r="AK800" s="372" t="str">
        <f>CS_PID!AK800/VLOOKUP($B800,표2[#ALL],2)/HLOOKUP($A800,표1[#ALL],row(),false)</f>
        <v>#N/A</v>
      </c>
      <c r="AL800" s="372" t="str">
        <f>CS_PID!AL800/VLOOKUP($B800,표2[#ALL],2)/HLOOKUP($A800,표1[#ALL],row(),false)</f>
        <v>#N/A</v>
      </c>
      <c r="AM800" s="372" t="str">
        <f>CS_PID!AM800/VLOOKUP($B800,표2[#ALL],2)/HLOOKUP($A800,표1[#ALL],row(),false)</f>
        <v>#N/A</v>
      </c>
      <c r="AN800" s="372" t="str">
        <f>CS_PID!AN800/VLOOKUP($B800,표2[#ALL],2)/HLOOKUP($A800,표1[#ALL],row(),false)</f>
        <v>#N/A</v>
      </c>
      <c r="AO800" s="372" t="str">
        <f>CS_PID!AO800/VLOOKUP($B800,표2[#ALL],2)/HLOOKUP($A800,표1[#ALL],row(),false)</f>
        <v>#N/A</v>
      </c>
      <c r="AP800" s="372" t="str">
        <f>CS_PID!AP800/VLOOKUP($B800,표2[#ALL],2)/HLOOKUP($A800,표1[#ALL],row(),false)</f>
        <v>#N/A</v>
      </c>
      <c r="AQ800" s="372" t="str">
        <f>CS_PID!AQ800/VLOOKUP($B800,표2[#ALL],2)/HLOOKUP($A800,표1[#ALL],row(),false)</f>
        <v>#N/A</v>
      </c>
      <c r="AR800" s="372" t="str">
        <f>CS_PID!AR800/VLOOKUP($B800,표2[#ALL],2)/HLOOKUP($A800,표1[#ALL],row(),false)</f>
        <v>#N/A</v>
      </c>
      <c r="AS800" s="373" t="str">
        <f>CS_PID!AS800/VLOOKUP($B800,표2[#ALL],2)/HLOOKUP($A800,표1[#ALL],row(),false)</f>
        <v>#N/A</v>
      </c>
    </row>
    <row r="801">
      <c r="A801" s="374"/>
      <c r="B801" s="375"/>
      <c r="C801" s="376" t="str">
        <f>CS_PID!C801/VLOOKUP($B801,표2[#ALL],2)</f>
        <v>#N/A</v>
      </c>
      <c r="D801" s="376" t="str">
        <f>CS_PID!D801/VLOOKUP($B801,표2[#ALL],2)</f>
        <v>#N/A</v>
      </c>
      <c r="E801" s="376" t="str">
        <f>CS_PID!E801/VLOOKUP($B801,표2[#ALL],2)</f>
        <v>#N/A</v>
      </c>
      <c r="F801" s="376" t="str">
        <f>CS_PID!F801/VLOOKUP($B801,표2[#ALL],2)</f>
        <v>#N/A</v>
      </c>
      <c r="G801" s="376" t="str">
        <f>CS_PID!G801/VLOOKUP($B801,표2[#ALL],2)</f>
        <v>#N/A</v>
      </c>
      <c r="H801" s="376" t="str">
        <f>CS_PID!H801/VLOOKUP($B801,표2[#ALL],2)/HLOOKUP($A801,표1[#ALL],row(),false)</f>
        <v>#N/A</v>
      </c>
      <c r="I801" s="376" t="str">
        <f>CS_PID!I801/VLOOKUP($B801,표2[#ALL],2)/HLOOKUP($A801,표1[#ALL],row(),false)</f>
        <v>#N/A</v>
      </c>
      <c r="J801" s="376" t="str">
        <f>CS_PID!J801/VLOOKUP($B801,표2[#ALL],2)/HLOOKUP($A801,표1[#ALL],row(),false)</f>
        <v>#N/A</v>
      </c>
      <c r="K801" s="376" t="str">
        <f>CS_PID!K801/VLOOKUP($B801,표2[#ALL],2)/HLOOKUP($A801,표1[#ALL],row(),false)</f>
        <v>#N/A</v>
      </c>
      <c r="L801" s="376" t="str">
        <f>CS_PID!L801/VLOOKUP($B801,표2[#ALL],2)/HLOOKUP($A801,표1[#ALL],row(),false)</f>
        <v>#N/A</v>
      </c>
      <c r="M801" s="376" t="str">
        <f>CS_PID!M801/VLOOKUP($B801,표2[#ALL],2)/HLOOKUP($A801,표1[#ALL],row(),false)</f>
        <v>#N/A</v>
      </c>
      <c r="N801" s="376" t="str">
        <f>CS_PID!N801/VLOOKUP($B801,표2[#ALL],2)/HLOOKUP($A801,표1[#ALL],row(),false)</f>
        <v>#N/A</v>
      </c>
      <c r="O801" s="376" t="str">
        <f>CS_PID!O801/VLOOKUP($B801,표2[#ALL],2)/HLOOKUP($A801,표1[#ALL],row(),false)</f>
        <v>#N/A</v>
      </c>
      <c r="P801" s="376" t="str">
        <f>CS_PID!P801/VLOOKUP($B801,표2[#ALL],2)/HLOOKUP($A801,표1[#ALL],row(),false)</f>
        <v>#N/A</v>
      </c>
      <c r="Q801" s="376" t="str">
        <f>CS_PID!Q801/VLOOKUP($B801,표2[#ALL],2)/HLOOKUP($A801,표1[#ALL],row(),false)</f>
        <v>#N/A</v>
      </c>
      <c r="R801" s="376" t="str">
        <f>CS_PID!R801/VLOOKUP($B801,표2[#ALL],2)/HLOOKUP($A801,표1[#ALL],row(),false)</f>
        <v>#N/A</v>
      </c>
      <c r="S801" s="376" t="str">
        <f>CS_PID!S801/VLOOKUP($B801,표2[#ALL],2)/HLOOKUP($A801,표1[#ALL],row(),false)</f>
        <v>#N/A</v>
      </c>
      <c r="T801" s="376" t="str">
        <f>CS_PID!T801/VLOOKUP($B801,표2[#ALL],2)/HLOOKUP($A801,표1[#ALL],row(),false)</f>
        <v>#N/A</v>
      </c>
      <c r="U801" s="376" t="str">
        <f>CS_PID!U801/VLOOKUP($B801,표2[#ALL],2)/HLOOKUP($A801,표1[#ALL],row(),false)</f>
        <v>#N/A</v>
      </c>
      <c r="V801" s="376" t="str">
        <f>CS_PID!V801/VLOOKUP($B801,표2[#ALL],2)/HLOOKUP($A801,표1[#ALL],row(),false)</f>
        <v>#N/A</v>
      </c>
      <c r="W801" s="376" t="str">
        <f>CS_PID!W801/VLOOKUP($B801,표2[#ALL],2)/HLOOKUP($A801,표1[#ALL],row(),false)</f>
        <v>#N/A</v>
      </c>
      <c r="X801" s="376" t="str">
        <f>CS_PID!X801/VLOOKUP($B801,표2[#ALL],2)/HLOOKUP($A801,표1[#ALL],row(),false)</f>
        <v>#N/A</v>
      </c>
      <c r="Y801" s="376" t="str">
        <f>CS_PID!Y801/VLOOKUP($B801,표2[#ALL],2)/HLOOKUP($A801,표1[#ALL],row(),false)</f>
        <v>#N/A</v>
      </c>
      <c r="Z801" s="376" t="str">
        <f>CS_PID!Z801/VLOOKUP($B801,표2[#ALL],2)/HLOOKUP($A801,표1[#ALL],row(),false)</f>
        <v>#N/A</v>
      </c>
      <c r="AA801" s="376" t="str">
        <f>CS_PID!AA801/VLOOKUP($B801,표2[#ALL],2)/HLOOKUP($A801,표1[#ALL],row(),false)</f>
        <v>#N/A</v>
      </c>
      <c r="AB801" s="376" t="str">
        <f>CS_PID!AB801/VLOOKUP($B801,표2[#ALL],2)/HLOOKUP($A801,표1[#ALL],row(),false)</f>
        <v>#N/A</v>
      </c>
      <c r="AC801" s="376" t="str">
        <f>CS_PID!AC801/VLOOKUP($B801,표2[#ALL],2)/HLOOKUP($A801,표1[#ALL],row(),false)</f>
        <v>#N/A</v>
      </c>
      <c r="AD801" s="376" t="str">
        <f>CS_PID!AD801/VLOOKUP($B801,표2[#ALL],2)/HLOOKUP($A801,표1[#ALL],row(),false)</f>
        <v>#N/A</v>
      </c>
      <c r="AE801" s="376" t="str">
        <f>CS_PID!AE801/VLOOKUP($B801,표2[#ALL],2)/HLOOKUP($A801,표1[#ALL],row(),false)</f>
        <v>#N/A</v>
      </c>
      <c r="AF801" s="376" t="str">
        <f>CS_PID!AF801/VLOOKUP($B801,표2[#ALL],2)/HLOOKUP($A801,표1[#ALL],row(),false)</f>
        <v>#N/A</v>
      </c>
      <c r="AG801" s="376" t="str">
        <f>CS_PID!AG801/VLOOKUP($B801,표2[#ALL],2)/HLOOKUP($A801,표1[#ALL],row(),false)</f>
        <v>#N/A</v>
      </c>
      <c r="AH801" s="376" t="str">
        <f>CS_PID!AH801/VLOOKUP($B801,표2[#ALL],2)/HLOOKUP($A801,표1[#ALL],row(),false)</f>
        <v>#N/A</v>
      </c>
      <c r="AI801" s="376" t="str">
        <f>CS_PID!AI801/VLOOKUP($B801,표2[#ALL],2)/HLOOKUP($A801,표1[#ALL],row(),false)</f>
        <v>#N/A</v>
      </c>
      <c r="AJ801" s="376" t="str">
        <f>CS_PID!AJ801/VLOOKUP($B801,표2[#ALL],2)/HLOOKUP($A801,표1[#ALL],row(),false)</f>
        <v>#N/A</v>
      </c>
      <c r="AK801" s="376" t="str">
        <f>CS_PID!AK801/VLOOKUP($B801,표2[#ALL],2)/HLOOKUP($A801,표1[#ALL],row(),false)</f>
        <v>#N/A</v>
      </c>
      <c r="AL801" s="376" t="str">
        <f>CS_PID!AL801/VLOOKUP($B801,표2[#ALL],2)/HLOOKUP($A801,표1[#ALL],row(),false)</f>
        <v>#N/A</v>
      </c>
      <c r="AM801" s="376" t="str">
        <f>CS_PID!AM801/VLOOKUP($B801,표2[#ALL],2)/HLOOKUP($A801,표1[#ALL],row(),false)</f>
        <v>#N/A</v>
      </c>
      <c r="AN801" s="376" t="str">
        <f>CS_PID!AN801/VLOOKUP($B801,표2[#ALL],2)/HLOOKUP($A801,표1[#ALL],row(),false)</f>
        <v>#N/A</v>
      </c>
      <c r="AO801" s="376" t="str">
        <f>CS_PID!AO801/VLOOKUP($B801,표2[#ALL],2)/HLOOKUP($A801,표1[#ALL],row(),false)</f>
        <v>#N/A</v>
      </c>
      <c r="AP801" s="376" t="str">
        <f>CS_PID!AP801/VLOOKUP($B801,표2[#ALL],2)/HLOOKUP($A801,표1[#ALL],row(),false)</f>
        <v>#N/A</v>
      </c>
      <c r="AQ801" s="376" t="str">
        <f>CS_PID!AQ801/VLOOKUP($B801,표2[#ALL],2)/HLOOKUP($A801,표1[#ALL],row(),false)</f>
        <v>#N/A</v>
      </c>
      <c r="AR801" s="376" t="str">
        <f>CS_PID!AR801/VLOOKUP($B801,표2[#ALL],2)/HLOOKUP($A801,표1[#ALL],row(),false)</f>
        <v>#N/A</v>
      </c>
      <c r="AS801" s="377" t="str">
        <f>CS_PID!AS801/VLOOKUP($B801,표2[#ALL],2)/HLOOKUP($A801,표1[#ALL],row(),false)</f>
        <v>#N/A</v>
      </c>
    </row>
    <row r="802">
      <c r="A802" s="370"/>
      <c r="B802" s="371"/>
      <c r="C802" s="372" t="str">
        <f>CS_PID!C802/VLOOKUP($B802,표2[#ALL],2)</f>
        <v>#N/A</v>
      </c>
      <c r="D802" s="372" t="str">
        <f>CS_PID!D802/VLOOKUP($B802,표2[#ALL],2)</f>
        <v>#N/A</v>
      </c>
      <c r="E802" s="372" t="str">
        <f>CS_PID!E802/VLOOKUP($B802,표2[#ALL],2)</f>
        <v>#N/A</v>
      </c>
      <c r="F802" s="372" t="str">
        <f>CS_PID!F802/VLOOKUP($B802,표2[#ALL],2)</f>
        <v>#N/A</v>
      </c>
      <c r="G802" s="372" t="str">
        <f>CS_PID!G802/VLOOKUP($B802,표2[#ALL],2)</f>
        <v>#N/A</v>
      </c>
      <c r="H802" s="372" t="str">
        <f>CS_PID!H802/VLOOKUP($B802,표2[#ALL],2)/HLOOKUP($A802,표1[#ALL],row(),false)</f>
        <v>#N/A</v>
      </c>
      <c r="I802" s="372" t="str">
        <f>CS_PID!I802/VLOOKUP($B802,표2[#ALL],2)/HLOOKUP($A802,표1[#ALL],row(),false)</f>
        <v>#N/A</v>
      </c>
      <c r="J802" s="372" t="str">
        <f>CS_PID!J802/VLOOKUP($B802,표2[#ALL],2)/HLOOKUP($A802,표1[#ALL],row(),false)</f>
        <v>#N/A</v>
      </c>
      <c r="K802" s="372" t="str">
        <f>CS_PID!K802/VLOOKUP($B802,표2[#ALL],2)/HLOOKUP($A802,표1[#ALL],row(),false)</f>
        <v>#N/A</v>
      </c>
      <c r="L802" s="372" t="str">
        <f>CS_PID!L802/VLOOKUP($B802,표2[#ALL],2)/HLOOKUP($A802,표1[#ALL],row(),false)</f>
        <v>#N/A</v>
      </c>
      <c r="M802" s="372" t="str">
        <f>CS_PID!M802/VLOOKUP($B802,표2[#ALL],2)/HLOOKUP($A802,표1[#ALL],row(),false)</f>
        <v>#N/A</v>
      </c>
      <c r="N802" s="372" t="str">
        <f>CS_PID!N802/VLOOKUP($B802,표2[#ALL],2)/HLOOKUP($A802,표1[#ALL],row(),false)</f>
        <v>#N/A</v>
      </c>
      <c r="O802" s="372" t="str">
        <f>CS_PID!O802/VLOOKUP($B802,표2[#ALL],2)/HLOOKUP($A802,표1[#ALL],row(),false)</f>
        <v>#N/A</v>
      </c>
      <c r="P802" s="372" t="str">
        <f>CS_PID!P802/VLOOKUP($B802,표2[#ALL],2)/HLOOKUP($A802,표1[#ALL],row(),false)</f>
        <v>#N/A</v>
      </c>
      <c r="Q802" s="372" t="str">
        <f>CS_PID!Q802/VLOOKUP($B802,표2[#ALL],2)/HLOOKUP($A802,표1[#ALL],row(),false)</f>
        <v>#N/A</v>
      </c>
      <c r="R802" s="372" t="str">
        <f>CS_PID!R802/VLOOKUP($B802,표2[#ALL],2)/HLOOKUP($A802,표1[#ALL],row(),false)</f>
        <v>#N/A</v>
      </c>
      <c r="S802" s="372" t="str">
        <f>CS_PID!S802/VLOOKUP($B802,표2[#ALL],2)/HLOOKUP($A802,표1[#ALL],row(),false)</f>
        <v>#N/A</v>
      </c>
      <c r="T802" s="372" t="str">
        <f>CS_PID!T802/VLOOKUP($B802,표2[#ALL],2)/HLOOKUP($A802,표1[#ALL],row(),false)</f>
        <v>#N/A</v>
      </c>
      <c r="U802" s="372" t="str">
        <f>CS_PID!U802/VLOOKUP($B802,표2[#ALL],2)/HLOOKUP($A802,표1[#ALL],row(),false)</f>
        <v>#N/A</v>
      </c>
      <c r="V802" s="372" t="str">
        <f>CS_PID!V802/VLOOKUP($B802,표2[#ALL],2)/HLOOKUP($A802,표1[#ALL],row(),false)</f>
        <v>#N/A</v>
      </c>
      <c r="W802" s="372" t="str">
        <f>CS_PID!W802/VLOOKUP($B802,표2[#ALL],2)/HLOOKUP($A802,표1[#ALL],row(),false)</f>
        <v>#N/A</v>
      </c>
      <c r="X802" s="372" t="str">
        <f>CS_PID!X802/VLOOKUP($B802,표2[#ALL],2)/HLOOKUP($A802,표1[#ALL],row(),false)</f>
        <v>#N/A</v>
      </c>
      <c r="Y802" s="372" t="str">
        <f>CS_PID!Y802/VLOOKUP($B802,표2[#ALL],2)/HLOOKUP($A802,표1[#ALL],row(),false)</f>
        <v>#N/A</v>
      </c>
      <c r="Z802" s="372" t="str">
        <f>CS_PID!Z802/VLOOKUP($B802,표2[#ALL],2)/HLOOKUP($A802,표1[#ALL],row(),false)</f>
        <v>#N/A</v>
      </c>
      <c r="AA802" s="372" t="str">
        <f>CS_PID!AA802/VLOOKUP($B802,표2[#ALL],2)/HLOOKUP($A802,표1[#ALL],row(),false)</f>
        <v>#N/A</v>
      </c>
      <c r="AB802" s="372" t="str">
        <f>CS_PID!AB802/VLOOKUP($B802,표2[#ALL],2)/HLOOKUP($A802,표1[#ALL],row(),false)</f>
        <v>#N/A</v>
      </c>
      <c r="AC802" s="372" t="str">
        <f>CS_PID!AC802/VLOOKUP($B802,표2[#ALL],2)/HLOOKUP($A802,표1[#ALL],row(),false)</f>
        <v>#N/A</v>
      </c>
      <c r="AD802" s="372" t="str">
        <f>CS_PID!AD802/VLOOKUP($B802,표2[#ALL],2)/HLOOKUP($A802,표1[#ALL],row(),false)</f>
        <v>#N/A</v>
      </c>
      <c r="AE802" s="372" t="str">
        <f>CS_PID!AE802/VLOOKUP($B802,표2[#ALL],2)/HLOOKUP($A802,표1[#ALL],row(),false)</f>
        <v>#N/A</v>
      </c>
      <c r="AF802" s="372" t="str">
        <f>CS_PID!AF802/VLOOKUP($B802,표2[#ALL],2)/HLOOKUP($A802,표1[#ALL],row(),false)</f>
        <v>#N/A</v>
      </c>
      <c r="AG802" s="372" t="str">
        <f>CS_PID!AG802/VLOOKUP($B802,표2[#ALL],2)/HLOOKUP($A802,표1[#ALL],row(),false)</f>
        <v>#N/A</v>
      </c>
      <c r="AH802" s="372" t="str">
        <f>CS_PID!AH802/VLOOKUP($B802,표2[#ALL],2)/HLOOKUP($A802,표1[#ALL],row(),false)</f>
        <v>#N/A</v>
      </c>
      <c r="AI802" s="372" t="str">
        <f>CS_PID!AI802/VLOOKUP($B802,표2[#ALL],2)/HLOOKUP($A802,표1[#ALL],row(),false)</f>
        <v>#N/A</v>
      </c>
      <c r="AJ802" s="372" t="str">
        <f>CS_PID!AJ802/VLOOKUP($B802,표2[#ALL],2)/HLOOKUP($A802,표1[#ALL],row(),false)</f>
        <v>#N/A</v>
      </c>
      <c r="AK802" s="372" t="str">
        <f>CS_PID!AK802/VLOOKUP($B802,표2[#ALL],2)/HLOOKUP($A802,표1[#ALL],row(),false)</f>
        <v>#N/A</v>
      </c>
      <c r="AL802" s="372" t="str">
        <f>CS_PID!AL802/VLOOKUP($B802,표2[#ALL],2)/HLOOKUP($A802,표1[#ALL],row(),false)</f>
        <v>#N/A</v>
      </c>
      <c r="AM802" s="372" t="str">
        <f>CS_PID!AM802/VLOOKUP($B802,표2[#ALL],2)/HLOOKUP($A802,표1[#ALL],row(),false)</f>
        <v>#N/A</v>
      </c>
      <c r="AN802" s="372" t="str">
        <f>CS_PID!AN802/VLOOKUP($B802,표2[#ALL],2)/HLOOKUP($A802,표1[#ALL],row(),false)</f>
        <v>#N/A</v>
      </c>
      <c r="AO802" s="372" t="str">
        <f>CS_PID!AO802/VLOOKUP($B802,표2[#ALL],2)/HLOOKUP($A802,표1[#ALL],row(),false)</f>
        <v>#N/A</v>
      </c>
      <c r="AP802" s="372" t="str">
        <f>CS_PID!AP802/VLOOKUP($B802,표2[#ALL],2)/HLOOKUP($A802,표1[#ALL],row(),false)</f>
        <v>#N/A</v>
      </c>
      <c r="AQ802" s="372" t="str">
        <f>CS_PID!AQ802/VLOOKUP($B802,표2[#ALL],2)/HLOOKUP($A802,표1[#ALL],row(),false)</f>
        <v>#N/A</v>
      </c>
      <c r="AR802" s="372" t="str">
        <f>CS_PID!AR802/VLOOKUP($B802,표2[#ALL],2)/HLOOKUP($A802,표1[#ALL],row(),false)</f>
        <v>#N/A</v>
      </c>
      <c r="AS802" s="373" t="str">
        <f>CS_PID!AS802/VLOOKUP($B802,표2[#ALL],2)/HLOOKUP($A802,표1[#ALL],row(),false)</f>
        <v>#N/A</v>
      </c>
    </row>
    <row r="803">
      <c r="A803" s="374"/>
      <c r="B803" s="375"/>
      <c r="C803" s="376" t="str">
        <f>CS_PID!C803/VLOOKUP($B803,표2[#ALL],2)</f>
        <v>#N/A</v>
      </c>
      <c r="D803" s="376" t="str">
        <f>CS_PID!D803/VLOOKUP($B803,표2[#ALL],2)</f>
        <v>#N/A</v>
      </c>
      <c r="E803" s="376" t="str">
        <f>CS_PID!E803/VLOOKUP($B803,표2[#ALL],2)</f>
        <v>#N/A</v>
      </c>
      <c r="F803" s="376" t="str">
        <f>CS_PID!F803/VLOOKUP($B803,표2[#ALL],2)</f>
        <v>#N/A</v>
      </c>
      <c r="G803" s="376" t="str">
        <f>CS_PID!G803/VLOOKUP($B803,표2[#ALL],2)</f>
        <v>#N/A</v>
      </c>
      <c r="H803" s="376" t="str">
        <f>CS_PID!H803/VLOOKUP($B803,표2[#ALL],2)/HLOOKUP($A803,표1[#ALL],row(),false)</f>
        <v>#N/A</v>
      </c>
      <c r="I803" s="376" t="str">
        <f>CS_PID!I803/VLOOKUP($B803,표2[#ALL],2)/HLOOKUP($A803,표1[#ALL],row(),false)</f>
        <v>#N/A</v>
      </c>
      <c r="J803" s="376" t="str">
        <f>CS_PID!J803/VLOOKUP($B803,표2[#ALL],2)/HLOOKUP($A803,표1[#ALL],row(),false)</f>
        <v>#N/A</v>
      </c>
      <c r="K803" s="376" t="str">
        <f>CS_PID!K803/VLOOKUP($B803,표2[#ALL],2)/HLOOKUP($A803,표1[#ALL],row(),false)</f>
        <v>#N/A</v>
      </c>
      <c r="L803" s="376" t="str">
        <f>CS_PID!L803/VLOOKUP($B803,표2[#ALL],2)/HLOOKUP($A803,표1[#ALL],row(),false)</f>
        <v>#N/A</v>
      </c>
      <c r="M803" s="376" t="str">
        <f>CS_PID!M803/VLOOKUP($B803,표2[#ALL],2)/HLOOKUP($A803,표1[#ALL],row(),false)</f>
        <v>#N/A</v>
      </c>
      <c r="N803" s="376" t="str">
        <f>CS_PID!N803/VLOOKUP($B803,표2[#ALL],2)/HLOOKUP($A803,표1[#ALL],row(),false)</f>
        <v>#N/A</v>
      </c>
      <c r="O803" s="376" t="str">
        <f>CS_PID!O803/VLOOKUP($B803,표2[#ALL],2)/HLOOKUP($A803,표1[#ALL],row(),false)</f>
        <v>#N/A</v>
      </c>
      <c r="P803" s="376" t="str">
        <f>CS_PID!P803/VLOOKUP($B803,표2[#ALL],2)/HLOOKUP($A803,표1[#ALL],row(),false)</f>
        <v>#N/A</v>
      </c>
      <c r="Q803" s="376" t="str">
        <f>CS_PID!Q803/VLOOKUP($B803,표2[#ALL],2)/HLOOKUP($A803,표1[#ALL],row(),false)</f>
        <v>#N/A</v>
      </c>
      <c r="R803" s="376" t="str">
        <f>CS_PID!R803/VLOOKUP($B803,표2[#ALL],2)/HLOOKUP($A803,표1[#ALL],row(),false)</f>
        <v>#N/A</v>
      </c>
      <c r="S803" s="376" t="str">
        <f>CS_PID!S803/VLOOKUP($B803,표2[#ALL],2)/HLOOKUP($A803,표1[#ALL],row(),false)</f>
        <v>#N/A</v>
      </c>
      <c r="T803" s="376" t="str">
        <f>CS_PID!T803/VLOOKUP($B803,표2[#ALL],2)/HLOOKUP($A803,표1[#ALL],row(),false)</f>
        <v>#N/A</v>
      </c>
      <c r="U803" s="376" t="str">
        <f>CS_PID!U803/VLOOKUP($B803,표2[#ALL],2)/HLOOKUP($A803,표1[#ALL],row(),false)</f>
        <v>#N/A</v>
      </c>
      <c r="V803" s="376" t="str">
        <f>CS_PID!V803/VLOOKUP($B803,표2[#ALL],2)/HLOOKUP($A803,표1[#ALL],row(),false)</f>
        <v>#N/A</v>
      </c>
      <c r="W803" s="376" t="str">
        <f>CS_PID!W803/VLOOKUP($B803,표2[#ALL],2)/HLOOKUP($A803,표1[#ALL],row(),false)</f>
        <v>#N/A</v>
      </c>
      <c r="X803" s="376" t="str">
        <f>CS_PID!X803/VLOOKUP($B803,표2[#ALL],2)/HLOOKUP($A803,표1[#ALL],row(),false)</f>
        <v>#N/A</v>
      </c>
      <c r="Y803" s="376" t="str">
        <f>CS_PID!Y803/VLOOKUP($B803,표2[#ALL],2)/HLOOKUP($A803,표1[#ALL],row(),false)</f>
        <v>#N/A</v>
      </c>
      <c r="Z803" s="376" t="str">
        <f>CS_PID!Z803/VLOOKUP($B803,표2[#ALL],2)/HLOOKUP($A803,표1[#ALL],row(),false)</f>
        <v>#N/A</v>
      </c>
      <c r="AA803" s="376" t="str">
        <f>CS_PID!AA803/VLOOKUP($B803,표2[#ALL],2)/HLOOKUP($A803,표1[#ALL],row(),false)</f>
        <v>#N/A</v>
      </c>
      <c r="AB803" s="376" t="str">
        <f>CS_PID!AB803/VLOOKUP($B803,표2[#ALL],2)/HLOOKUP($A803,표1[#ALL],row(),false)</f>
        <v>#N/A</v>
      </c>
      <c r="AC803" s="376" t="str">
        <f>CS_PID!AC803/VLOOKUP($B803,표2[#ALL],2)/HLOOKUP($A803,표1[#ALL],row(),false)</f>
        <v>#N/A</v>
      </c>
      <c r="AD803" s="376" t="str">
        <f>CS_PID!AD803/VLOOKUP($B803,표2[#ALL],2)/HLOOKUP($A803,표1[#ALL],row(),false)</f>
        <v>#N/A</v>
      </c>
      <c r="AE803" s="376" t="str">
        <f>CS_PID!AE803/VLOOKUP($B803,표2[#ALL],2)/HLOOKUP($A803,표1[#ALL],row(),false)</f>
        <v>#N/A</v>
      </c>
      <c r="AF803" s="376" t="str">
        <f>CS_PID!AF803/VLOOKUP($B803,표2[#ALL],2)/HLOOKUP($A803,표1[#ALL],row(),false)</f>
        <v>#N/A</v>
      </c>
      <c r="AG803" s="376" t="str">
        <f>CS_PID!AG803/VLOOKUP($B803,표2[#ALL],2)/HLOOKUP($A803,표1[#ALL],row(),false)</f>
        <v>#N/A</v>
      </c>
      <c r="AH803" s="376" t="str">
        <f>CS_PID!AH803/VLOOKUP($B803,표2[#ALL],2)/HLOOKUP($A803,표1[#ALL],row(),false)</f>
        <v>#N/A</v>
      </c>
      <c r="AI803" s="376" t="str">
        <f>CS_PID!AI803/VLOOKUP($B803,표2[#ALL],2)/HLOOKUP($A803,표1[#ALL],row(),false)</f>
        <v>#N/A</v>
      </c>
      <c r="AJ803" s="376" t="str">
        <f>CS_PID!AJ803/VLOOKUP($B803,표2[#ALL],2)/HLOOKUP($A803,표1[#ALL],row(),false)</f>
        <v>#N/A</v>
      </c>
      <c r="AK803" s="376" t="str">
        <f>CS_PID!AK803/VLOOKUP($B803,표2[#ALL],2)/HLOOKUP($A803,표1[#ALL],row(),false)</f>
        <v>#N/A</v>
      </c>
      <c r="AL803" s="376" t="str">
        <f>CS_PID!AL803/VLOOKUP($B803,표2[#ALL],2)/HLOOKUP($A803,표1[#ALL],row(),false)</f>
        <v>#N/A</v>
      </c>
      <c r="AM803" s="376" t="str">
        <f>CS_PID!AM803/VLOOKUP($B803,표2[#ALL],2)/HLOOKUP($A803,표1[#ALL],row(),false)</f>
        <v>#N/A</v>
      </c>
      <c r="AN803" s="376" t="str">
        <f>CS_PID!AN803/VLOOKUP($B803,표2[#ALL],2)/HLOOKUP($A803,표1[#ALL],row(),false)</f>
        <v>#N/A</v>
      </c>
      <c r="AO803" s="376" t="str">
        <f>CS_PID!AO803/VLOOKUP($B803,표2[#ALL],2)/HLOOKUP($A803,표1[#ALL],row(),false)</f>
        <v>#N/A</v>
      </c>
      <c r="AP803" s="376" t="str">
        <f>CS_PID!AP803/VLOOKUP($B803,표2[#ALL],2)/HLOOKUP($A803,표1[#ALL],row(),false)</f>
        <v>#N/A</v>
      </c>
      <c r="AQ803" s="376" t="str">
        <f>CS_PID!AQ803/VLOOKUP($B803,표2[#ALL],2)/HLOOKUP($A803,표1[#ALL],row(),false)</f>
        <v>#N/A</v>
      </c>
      <c r="AR803" s="376" t="str">
        <f>CS_PID!AR803/VLOOKUP($B803,표2[#ALL],2)/HLOOKUP($A803,표1[#ALL],row(),false)</f>
        <v>#N/A</v>
      </c>
      <c r="AS803" s="377" t="str">
        <f>CS_PID!AS803/VLOOKUP($B803,표2[#ALL],2)/HLOOKUP($A803,표1[#ALL],row(),false)</f>
        <v>#N/A</v>
      </c>
    </row>
    <row r="804">
      <c r="A804" s="370"/>
      <c r="B804" s="371"/>
      <c r="C804" s="372" t="str">
        <f>CS_PID!C804/VLOOKUP($B804,표2[#ALL],2)</f>
        <v>#N/A</v>
      </c>
      <c r="D804" s="372" t="str">
        <f>CS_PID!D804/VLOOKUP($B804,표2[#ALL],2)</f>
        <v>#N/A</v>
      </c>
      <c r="E804" s="372" t="str">
        <f>CS_PID!E804/VLOOKUP($B804,표2[#ALL],2)</f>
        <v>#N/A</v>
      </c>
      <c r="F804" s="372" t="str">
        <f>CS_PID!F804/VLOOKUP($B804,표2[#ALL],2)</f>
        <v>#N/A</v>
      </c>
      <c r="G804" s="372" t="str">
        <f>CS_PID!G804/VLOOKUP($B804,표2[#ALL],2)</f>
        <v>#N/A</v>
      </c>
      <c r="H804" s="372" t="str">
        <f>CS_PID!H804/VLOOKUP($B804,표2[#ALL],2)/HLOOKUP($A804,표1[#ALL],row(),false)</f>
        <v>#N/A</v>
      </c>
      <c r="I804" s="372" t="str">
        <f>CS_PID!I804/VLOOKUP($B804,표2[#ALL],2)/HLOOKUP($A804,표1[#ALL],row(),false)</f>
        <v>#N/A</v>
      </c>
      <c r="J804" s="372" t="str">
        <f>CS_PID!J804/VLOOKUP($B804,표2[#ALL],2)/HLOOKUP($A804,표1[#ALL],row(),false)</f>
        <v>#N/A</v>
      </c>
      <c r="K804" s="372" t="str">
        <f>CS_PID!K804/VLOOKUP($B804,표2[#ALL],2)/HLOOKUP($A804,표1[#ALL],row(),false)</f>
        <v>#N/A</v>
      </c>
      <c r="L804" s="372" t="str">
        <f>CS_PID!L804/VLOOKUP($B804,표2[#ALL],2)/HLOOKUP($A804,표1[#ALL],row(),false)</f>
        <v>#N/A</v>
      </c>
      <c r="M804" s="372" t="str">
        <f>CS_PID!M804/VLOOKUP($B804,표2[#ALL],2)/HLOOKUP($A804,표1[#ALL],row(),false)</f>
        <v>#N/A</v>
      </c>
      <c r="N804" s="372" t="str">
        <f>CS_PID!N804/VLOOKUP($B804,표2[#ALL],2)/HLOOKUP($A804,표1[#ALL],row(),false)</f>
        <v>#N/A</v>
      </c>
      <c r="O804" s="372" t="str">
        <f>CS_PID!O804/VLOOKUP($B804,표2[#ALL],2)/HLOOKUP($A804,표1[#ALL],row(),false)</f>
        <v>#N/A</v>
      </c>
      <c r="P804" s="372" t="str">
        <f>CS_PID!P804/VLOOKUP($B804,표2[#ALL],2)/HLOOKUP($A804,표1[#ALL],row(),false)</f>
        <v>#N/A</v>
      </c>
      <c r="Q804" s="372" t="str">
        <f>CS_PID!Q804/VLOOKUP($B804,표2[#ALL],2)/HLOOKUP($A804,표1[#ALL],row(),false)</f>
        <v>#N/A</v>
      </c>
      <c r="R804" s="372" t="str">
        <f>CS_PID!R804/VLOOKUP($B804,표2[#ALL],2)/HLOOKUP($A804,표1[#ALL],row(),false)</f>
        <v>#N/A</v>
      </c>
      <c r="S804" s="372" t="str">
        <f>CS_PID!S804/VLOOKUP($B804,표2[#ALL],2)/HLOOKUP($A804,표1[#ALL],row(),false)</f>
        <v>#N/A</v>
      </c>
      <c r="T804" s="372" t="str">
        <f>CS_PID!T804/VLOOKUP($B804,표2[#ALL],2)/HLOOKUP($A804,표1[#ALL],row(),false)</f>
        <v>#N/A</v>
      </c>
      <c r="U804" s="372" t="str">
        <f>CS_PID!U804/VLOOKUP($B804,표2[#ALL],2)/HLOOKUP($A804,표1[#ALL],row(),false)</f>
        <v>#N/A</v>
      </c>
      <c r="V804" s="372" t="str">
        <f>CS_PID!V804/VLOOKUP($B804,표2[#ALL],2)/HLOOKUP($A804,표1[#ALL],row(),false)</f>
        <v>#N/A</v>
      </c>
      <c r="W804" s="372" t="str">
        <f>CS_PID!W804/VLOOKUP($B804,표2[#ALL],2)/HLOOKUP($A804,표1[#ALL],row(),false)</f>
        <v>#N/A</v>
      </c>
      <c r="X804" s="372" t="str">
        <f>CS_PID!X804/VLOOKUP($B804,표2[#ALL],2)/HLOOKUP($A804,표1[#ALL],row(),false)</f>
        <v>#N/A</v>
      </c>
      <c r="Y804" s="372" t="str">
        <f>CS_PID!Y804/VLOOKUP($B804,표2[#ALL],2)/HLOOKUP($A804,표1[#ALL],row(),false)</f>
        <v>#N/A</v>
      </c>
      <c r="Z804" s="372" t="str">
        <f>CS_PID!Z804/VLOOKUP($B804,표2[#ALL],2)/HLOOKUP($A804,표1[#ALL],row(),false)</f>
        <v>#N/A</v>
      </c>
      <c r="AA804" s="372" t="str">
        <f>CS_PID!AA804/VLOOKUP($B804,표2[#ALL],2)/HLOOKUP($A804,표1[#ALL],row(),false)</f>
        <v>#N/A</v>
      </c>
      <c r="AB804" s="372" t="str">
        <f>CS_PID!AB804/VLOOKUP($B804,표2[#ALL],2)/HLOOKUP($A804,표1[#ALL],row(),false)</f>
        <v>#N/A</v>
      </c>
      <c r="AC804" s="372" t="str">
        <f>CS_PID!AC804/VLOOKUP($B804,표2[#ALL],2)/HLOOKUP($A804,표1[#ALL],row(),false)</f>
        <v>#N/A</v>
      </c>
      <c r="AD804" s="372" t="str">
        <f>CS_PID!AD804/VLOOKUP($B804,표2[#ALL],2)/HLOOKUP($A804,표1[#ALL],row(),false)</f>
        <v>#N/A</v>
      </c>
      <c r="AE804" s="372" t="str">
        <f>CS_PID!AE804/VLOOKUP($B804,표2[#ALL],2)/HLOOKUP($A804,표1[#ALL],row(),false)</f>
        <v>#N/A</v>
      </c>
      <c r="AF804" s="372" t="str">
        <f>CS_PID!AF804/VLOOKUP($B804,표2[#ALL],2)/HLOOKUP($A804,표1[#ALL],row(),false)</f>
        <v>#N/A</v>
      </c>
      <c r="AG804" s="372" t="str">
        <f>CS_PID!AG804/VLOOKUP($B804,표2[#ALL],2)/HLOOKUP($A804,표1[#ALL],row(),false)</f>
        <v>#N/A</v>
      </c>
      <c r="AH804" s="372" t="str">
        <f>CS_PID!AH804/VLOOKUP($B804,표2[#ALL],2)/HLOOKUP($A804,표1[#ALL],row(),false)</f>
        <v>#N/A</v>
      </c>
      <c r="AI804" s="372" t="str">
        <f>CS_PID!AI804/VLOOKUP($B804,표2[#ALL],2)/HLOOKUP($A804,표1[#ALL],row(),false)</f>
        <v>#N/A</v>
      </c>
      <c r="AJ804" s="372" t="str">
        <f>CS_PID!AJ804/VLOOKUP($B804,표2[#ALL],2)/HLOOKUP($A804,표1[#ALL],row(),false)</f>
        <v>#N/A</v>
      </c>
      <c r="AK804" s="372" t="str">
        <f>CS_PID!AK804/VLOOKUP($B804,표2[#ALL],2)/HLOOKUP($A804,표1[#ALL],row(),false)</f>
        <v>#N/A</v>
      </c>
      <c r="AL804" s="372" t="str">
        <f>CS_PID!AL804/VLOOKUP($B804,표2[#ALL],2)/HLOOKUP($A804,표1[#ALL],row(),false)</f>
        <v>#N/A</v>
      </c>
      <c r="AM804" s="372" t="str">
        <f>CS_PID!AM804/VLOOKUP($B804,표2[#ALL],2)/HLOOKUP($A804,표1[#ALL],row(),false)</f>
        <v>#N/A</v>
      </c>
      <c r="AN804" s="372" t="str">
        <f>CS_PID!AN804/VLOOKUP($B804,표2[#ALL],2)/HLOOKUP($A804,표1[#ALL],row(),false)</f>
        <v>#N/A</v>
      </c>
      <c r="AO804" s="372" t="str">
        <f>CS_PID!AO804/VLOOKUP($B804,표2[#ALL],2)/HLOOKUP($A804,표1[#ALL],row(),false)</f>
        <v>#N/A</v>
      </c>
      <c r="AP804" s="372" t="str">
        <f>CS_PID!AP804/VLOOKUP($B804,표2[#ALL],2)/HLOOKUP($A804,표1[#ALL],row(),false)</f>
        <v>#N/A</v>
      </c>
      <c r="AQ804" s="372" t="str">
        <f>CS_PID!AQ804/VLOOKUP($B804,표2[#ALL],2)/HLOOKUP($A804,표1[#ALL],row(),false)</f>
        <v>#N/A</v>
      </c>
      <c r="AR804" s="372" t="str">
        <f>CS_PID!AR804/VLOOKUP($B804,표2[#ALL],2)/HLOOKUP($A804,표1[#ALL],row(),false)</f>
        <v>#N/A</v>
      </c>
      <c r="AS804" s="373" t="str">
        <f>CS_PID!AS804/VLOOKUP($B804,표2[#ALL],2)/HLOOKUP($A804,표1[#ALL],row(),false)</f>
        <v>#N/A</v>
      </c>
    </row>
    <row r="805">
      <c r="A805" s="374"/>
      <c r="B805" s="375"/>
      <c r="C805" s="376" t="str">
        <f>CS_PID!C805/VLOOKUP($B805,표2[#ALL],2)</f>
        <v>#N/A</v>
      </c>
      <c r="D805" s="376" t="str">
        <f>CS_PID!D805/VLOOKUP($B805,표2[#ALL],2)</f>
        <v>#N/A</v>
      </c>
      <c r="E805" s="376" t="str">
        <f>CS_PID!E805/VLOOKUP($B805,표2[#ALL],2)</f>
        <v>#N/A</v>
      </c>
      <c r="F805" s="376" t="str">
        <f>CS_PID!F805/VLOOKUP($B805,표2[#ALL],2)</f>
        <v>#N/A</v>
      </c>
      <c r="G805" s="376" t="str">
        <f>CS_PID!G805/VLOOKUP($B805,표2[#ALL],2)</f>
        <v>#N/A</v>
      </c>
      <c r="H805" s="376" t="str">
        <f>CS_PID!H805/VLOOKUP($B805,표2[#ALL],2)/HLOOKUP($A805,표1[#ALL],row(),false)</f>
        <v>#N/A</v>
      </c>
      <c r="I805" s="376" t="str">
        <f>CS_PID!I805/VLOOKUP($B805,표2[#ALL],2)/HLOOKUP($A805,표1[#ALL],row(),false)</f>
        <v>#N/A</v>
      </c>
      <c r="J805" s="376" t="str">
        <f>CS_PID!J805/VLOOKUP($B805,표2[#ALL],2)/HLOOKUP($A805,표1[#ALL],row(),false)</f>
        <v>#N/A</v>
      </c>
      <c r="K805" s="376" t="str">
        <f>CS_PID!K805/VLOOKUP($B805,표2[#ALL],2)/HLOOKUP($A805,표1[#ALL],row(),false)</f>
        <v>#N/A</v>
      </c>
      <c r="L805" s="376" t="str">
        <f>CS_PID!L805/VLOOKUP($B805,표2[#ALL],2)/HLOOKUP($A805,표1[#ALL],row(),false)</f>
        <v>#N/A</v>
      </c>
      <c r="M805" s="376" t="str">
        <f>CS_PID!M805/VLOOKUP($B805,표2[#ALL],2)/HLOOKUP($A805,표1[#ALL],row(),false)</f>
        <v>#N/A</v>
      </c>
      <c r="N805" s="376" t="str">
        <f>CS_PID!N805/VLOOKUP($B805,표2[#ALL],2)/HLOOKUP($A805,표1[#ALL],row(),false)</f>
        <v>#N/A</v>
      </c>
      <c r="O805" s="376" t="str">
        <f>CS_PID!O805/VLOOKUP($B805,표2[#ALL],2)/HLOOKUP($A805,표1[#ALL],row(),false)</f>
        <v>#N/A</v>
      </c>
      <c r="P805" s="376" t="str">
        <f>CS_PID!P805/VLOOKUP($B805,표2[#ALL],2)/HLOOKUP($A805,표1[#ALL],row(),false)</f>
        <v>#N/A</v>
      </c>
      <c r="Q805" s="376" t="str">
        <f>CS_PID!Q805/VLOOKUP($B805,표2[#ALL],2)/HLOOKUP($A805,표1[#ALL],row(),false)</f>
        <v>#N/A</v>
      </c>
      <c r="R805" s="376" t="str">
        <f>CS_PID!R805/VLOOKUP($B805,표2[#ALL],2)/HLOOKUP($A805,표1[#ALL],row(),false)</f>
        <v>#N/A</v>
      </c>
      <c r="S805" s="376" t="str">
        <f>CS_PID!S805/VLOOKUP($B805,표2[#ALL],2)/HLOOKUP($A805,표1[#ALL],row(),false)</f>
        <v>#N/A</v>
      </c>
      <c r="T805" s="376" t="str">
        <f>CS_PID!T805/VLOOKUP($B805,표2[#ALL],2)/HLOOKUP($A805,표1[#ALL],row(),false)</f>
        <v>#N/A</v>
      </c>
      <c r="U805" s="376" t="str">
        <f>CS_PID!U805/VLOOKUP($B805,표2[#ALL],2)/HLOOKUP($A805,표1[#ALL],row(),false)</f>
        <v>#N/A</v>
      </c>
      <c r="V805" s="376" t="str">
        <f>CS_PID!V805/VLOOKUP($B805,표2[#ALL],2)/HLOOKUP($A805,표1[#ALL],row(),false)</f>
        <v>#N/A</v>
      </c>
      <c r="W805" s="376" t="str">
        <f>CS_PID!W805/VLOOKUP($B805,표2[#ALL],2)/HLOOKUP($A805,표1[#ALL],row(),false)</f>
        <v>#N/A</v>
      </c>
      <c r="X805" s="376" t="str">
        <f>CS_PID!X805/VLOOKUP($B805,표2[#ALL],2)/HLOOKUP($A805,표1[#ALL],row(),false)</f>
        <v>#N/A</v>
      </c>
      <c r="Y805" s="376" t="str">
        <f>CS_PID!Y805/VLOOKUP($B805,표2[#ALL],2)/HLOOKUP($A805,표1[#ALL],row(),false)</f>
        <v>#N/A</v>
      </c>
      <c r="Z805" s="376" t="str">
        <f>CS_PID!Z805/VLOOKUP($B805,표2[#ALL],2)/HLOOKUP($A805,표1[#ALL],row(),false)</f>
        <v>#N/A</v>
      </c>
      <c r="AA805" s="376" t="str">
        <f>CS_PID!AA805/VLOOKUP($B805,표2[#ALL],2)/HLOOKUP($A805,표1[#ALL],row(),false)</f>
        <v>#N/A</v>
      </c>
      <c r="AB805" s="376" t="str">
        <f>CS_PID!AB805/VLOOKUP($B805,표2[#ALL],2)/HLOOKUP($A805,표1[#ALL],row(),false)</f>
        <v>#N/A</v>
      </c>
      <c r="AC805" s="376" t="str">
        <f>CS_PID!AC805/VLOOKUP($B805,표2[#ALL],2)/HLOOKUP($A805,표1[#ALL],row(),false)</f>
        <v>#N/A</v>
      </c>
      <c r="AD805" s="376" t="str">
        <f>CS_PID!AD805/VLOOKUP($B805,표2[#ALL],2)/HLOOKUP($A805,표1[#ALL],row(),false)</f>
        <v>#N/A</v>
      </c>
      <c r="AE805" s="376" t="str">
        <f>CS_PID!AE805/VLOOKUP($B805,표2[#ALL],2)/HLOOKUP($A805,표1[#ALL],row(),false)</f>
        <v>#N/A</v>
      </c>
      <c r="AF805" s="376" t="str">
        <f>CS_PID!AF805/VLOOKUP($B805,표2[#ALL],2)/HLOOKUP($A805,표1[#ALL],row(),false)</f>
        <v>#N/A</v>
      </c>
      <c r="AG805" s="376" t="str">
        <f>CS_PID!AG805/VLOOKUP($B805,표2[#ALL],2)/HLOOKUP($A805,표1[#ALL],row(),false)</f>
        <v>#N/A</v>
      </c>
      <c r="AH805" s="376" t="str">
        <f>CS_PID!AH805/VLOOKUP($B805,표2[#ALL],2)/HLOOKUP($A805,표1[#ALL],row(),false)</f>
        <v>#N/A</v>
      </c>
      <c r="AI805" s="376" t="str">
        <f>CS_PID!AI805/VLOOKUP($B805,표2[#ALL],2)/HLOOKUP($A805,표1[#ALL],row(),false)</f>
        <v>#N/A</v>
      </c>
      <c r="AJ805" s="376" t="str">
        <f>CS_PID!AJ805/VLOOKUP($B805,표2[#ALL],2)/HLOOKUP($A805,표1[#ALL],row(),false)</f>
        <v>#N/A</v>
      </c>
      <c r="AK805" s="376" t="str">
        <f>CS_PID!AK805/VLOOKUP($B805,표2[#ALL],2)/HLOOKUP($A805,표1[#ALL],row(),false)</f>
        <v>#N/A</v>
      </c>
      <c r="AL805" s="376" t="str">
        <f>CS_PID!AL805/VLOOKUP($B805,표2[#ALL],2)/HLOOKUP($A805,표1[#ALL],row(),false)</f>
        <v>#N/A</v>
      </c>
      <c r="AM805" s="376" t="str">
        <f>CS_PID!AM805/VLOOKUP($B805,표2[#ALL],2)/HLOOKUP($A805,표1[#ALL],row(),false)</f>
        <v>#N/A</v>
      </c>
      <c r="AN805" s="376" t="str">
        <f>CS_PID!AN805/VLOOKUP($B805,표2[#ALL],2)/HLOOKUP($A805,표1[#ALL],row(),false)</f>
        <v>#N/A</v>
      </c>
      <c r="AO805" s="376" t="str">
        <f>CS_PID!AO805/VLOOKUP($B805,표2[#ALL],2)/HLOOKUP($A805,표1[#ALL],row(),false)</f>
        <v>#N/A</v>
      </c>
      <c r="AP805" s="376" t="str">
        <f>CS_PID!AP805/VLOOKUP($B805,표2[#ALL],2)/HLOOKUP($A805,표1[#ALL],row(),false)</f>
        <v>#N/A</v>
      </c>
      <c r="AQ805" s="376" t="str">
        <f>CS_PID!AQ805/VLOOKUP($B805,표2[#ALL],2)/HLOOKUP($A805,표1[#ALL],row(),false)</f>
        <v>#N/A</v>
      </c>
      <c r="AR805" s="376" t="str">
        <f>CS_PID!AR805/VLOOKUP($B805,표2[#ALL],2)/HLOOKUP($A805,표1[#ALL],row(),false)</f>
        <v>#N/A</v>
      </c>
      <c r="AS805" s="377" t="str">
        <f>CS_PID!AS805/VLOOKUP($B805,표2[#ALL],2)/HLOOKUP($A805,표1[#ALL],row(),false)</f>
        <v>#N/A</v>
      </c>
    </row>
    <row r="806">
      <c r="A806" s="370"/>
      <c r="B806" s="371"/>
      <c r="C806" s="372" t="str">
        <f>CS_PID!C806/VLOOKUP($B806,표2[#ALL],2)</f>
        <v>#N/A</v>
      </c>
      <c r="D806" s="372" t="str">
        <f>CS_PID!D806/VLOOKUP($B806,표2[#ALL],2)</f>
        <v>#N/A</v>
      </c>
      <c r="E806" s="372" t="str">
        <f>CS_PID!E806/VLOOKUP($B806,표2[#ALL],2)</f>
        <v>#N/A</v>
      </c>
      <c r="F806" s="372" t="str">
        <f>CS_PID!F806/VLOOKUP($B806,표2[#ALL],2)</f>
        <v>#N/A</v>
      </c>
      <c r="G806" s="372" t="str">
        <f>CS_PID!G806/VLOOKUP($B806,표2[#ALL],2)</f>
        <v>#N/A</v>
      </c>
      <c r="H806" s="372" t="str">
        <f>CS_PID!H806/VLOOKUP($B806,표2[#ALL],2)/HLOOKUP($A806,표1[#ALL],row(),false)</f>
        <v>#N/A</v>
      </c>
      <c r="I806" s="372" t="str">
        <f>CS_PID!I806/VLOOKUP($B806,표2[#ALL],2)/HLOOKUP($A806,표1[#ALL],row(),false)</f>
        <v>#N/A</v>
      </c>
      <c r="J806" s="372" t="str">
        <f>CS_PID!J806/VLOOKUP($B806,표2[#ALL],2)/HLOOKUP($A806,표1[#ALL],row(),false)</f>
        <v>#N/A</v>
      </c>
      <c r="K806" s="372" t="str">
        <f>CS_PID!K806/VLOOKUP($B806,표2[#ALL],2)/HLOOKUP($A806,표1[#ALL],row(),false)</f>
        <v>#N/A</v>
      </c>
      <c r="L806" s="372" t="str">
        <f>CS_PID!L806/VLOOKUP($B806,표2[#ALL],2)/HLOOKUP($A806,표1[#ALL],row(),false)</f>
        <v>#N/A</v>
      </c>
      <c r="M806" s="372" t="str">
        <f>CS_PID!M806/VLOOKUP($B806,표2[#ALL],2)/HLOOKUP($A806,표1[#ALL],row(),false)</f>
        <v>#N/A</v>
      </c>
      <c r="N806" s="372" t="str">
        <f>CS_PID!N806/VLOOKUP($B806,표2[#ALL],2)/HLOOKUP($A806,표1[#ALL],row(),false)</f>
        <v>#N/A</v>
      </c>
      <c r="O806" s="372" t="str">
        <f>CS_PID!O806/VLOOKUP($B806,표2[#ALL],2)/HLOOKUP($A806,표1[#ALL],row(),false)</f>
        <v>#N/A</v>
      </c>
      <c r="P806" s="372" t="str">
        <f>CS_PID!P806/VLOOKUP($B806,표2[#ALL],2)/HLOOKUP($A806,표1[#ALL],row(),false)</f>
        <v>#N/A</v>
      </c>
      <c r="Q806" s="372" t="str">
        <f>CS_PID!Q806/VLOOKUP($B806,표2[#ALL],2)/HLOOKUP($A806,표1[#ALL],row(),false)</f>
        <v>#N/A</v>
      </c>
      <c r="R806" s="372" t="str">
        <f>CS_PID!R806/VLOOKUP($B806,표2[#ALL],2)/HLOOKUP($A806,표1[#ALL],row(),false)</f>
        <v>#N/A</v>
      </c>
      <c r="S806" s="372" t="str">
        <f>CS_PID!S806/VLOOKUP($B806,표2[#ALL],2)/HLOOKUP($A806,표1[#ALL],row(),false)</f>
        <v>#N/A</v>
      </c>
      <c r="T806" s="372" t="str">
        <f>CS_PID!T806/VLOOKUP($B806,표2[#ALL],2)/HLOOKUP($A806,표1[#ALL],row(),false)</f>
        <v>#N/A</v>
      </c>
      <c r="U806" s="372" t="str">
        <f>CS_PID!U806/VLOOKUP($B806,표2[#ALL],2)/HLOOKUP($A806,표1[#ALL],row(),false)</f>
        <v>#N/A</v>
      </c>
      <c r="V806" s="372" t="str">
        <f>CS_PID!V806/VLOOKUP($B806,표2[#ALL],2)/HLOOKUP($A806,표1[#ALL],row(),false)</f>
        <v>#N/A</v>
      </c>
      <c r="W806" s="372" t="str">
        <f>CS_PID!W806/VLOOKUP($B806,표2[#ALL],2)/HLOOKUP($A806,표1[#ALL],row(),false)</f>
        <v>#N/A</v>
      </c>
      <c r="X806" s="372" t="str">
        <f>CS_PID!X806/VLOOKUP($B806,표2[#ALL],2)/HLOOKUP($A806,표1[#ALL],row(),false)</f>
        <v>#N/A</v>
      </c>
      <c r="Y806" s="372" t="str">
        <f>CS_PID!Y806/VLOOKUP($B806,표2[#ALL],2)/HLOOKUP($A806,표1[#ALL],row(),false)</f>
        <v>#N/A</v>
      </c>
      <c r="Z806" s="372" t="str">
        <f>CS_PID!Z806/VLOOKUP($B806,표2[#ALL],2)/HLOOKUP($A806,표1[#ALL],row(),false)</f>
        <v>#N/A</v>
      </c>
      <c r="AA806" s="372" t="str">
        <f>CS_PID!AA806/VLOOKUP($B806,표2[#ALL],2)/HLOOKUP($A806,표1[#ALL],row(),false)</f>
        <v>#N/A</v>
      </c>
      <c r="AB806" s="372" t="str">
        <f>CS_PID!AB806/VLOOKUP($B806,표2[#ALL],2)/HLOOKUP($A806,표1[#ALL],row(),false)</f>
        <v>#N/A</v>
      </c>
      <c r="AC806" s="372" t="str">
        <f>CS_PID!AC806/VLOOKUP($B806,표2[#ALL],2)/HLOOKUP($A806,표1[#ALL],row(),false)</f>
        <v>#N/A</v>
      </c>
      <c r="AD806" s="372" t="str">
        <f>CS_PID!AD806/VLOOKUP($B806,표2[#ALL],2)/HLOOKUP($A806,표1[#ALL],row(),false)</f>
        <v>#N/A</v>
      </c>
      <c r="AE806" s="372" t="str">
        <f>CS_PID!AE806/VLOOKUP($B806,표2[#ALL],2)/HLOOKUP($A806,표1[#ALL],row(),false)</f>
        <v>#N/A</v>
      </c>
      <c r="AF806" s="372" t="str">
        <f>CS_PID!AF806/VLOOKUP($B806,표2[#ALL],2)/HLOOKUP($A806,표1[#ALL],row(),false)</f>
        <v>#N/A</v>
      </c>
      <c r="AG806" s="372" t="str">
        <f>CS_PID!AG806/VLOOKUP($B806,표2[#ALL],2)/HLOOKUP($A806,표1[#ALL],row(),false)</f>
        <v>#N/A</v>
      </c>
      <c r="AH806" s="372" t="str">
        <f>CS_PID!AH806/VLOOKUP($B806,표2[#ALL],2)/HLOOKUP($A806,표1[#ALL],row(),false)</f>
        <v>#N/A</v>
      </c>
      <c r="AI806" s="372" t="str">
        <f>CS_PID!AI806/VLOOKUP($B806,표2[#ALL],2)/HLOOKUP($A806,표1[#ALL],row(),false)</f>
        <v>#N/A</v>
      </c>
      <c r="AJ806" s="372" t="str">
        <f>CS_PID!AJ806/VLOOKUP($B806,표2[#ALL],2)/HLOOKUP($A806,표1[#ALL],row(),false)</f>
        <v>#N/A</v>
      </c>
      <c r="AK806" s="372" t="str">
        <f>CS_PID!AK806/VLOOKUP($B806,표2[#ALL],2)/HLOOKUP($A806,표1[#ALL],row(),false)</f>
        <v>#N/A</v>
      </c>
      <c r="AL806" s="372" t="str">
        <f>CS_PID!AL806/VLOOKUP($B806,표2[#ALL],2)/HLOOKUP($A806,표1[#ALL],row(),false)</f>
        <v>#N/A</v>
      </c>
      <c r="AM806" s="372" t="str">
        <f>CS_PID!AM806/VLOOKUP($B806,표2[#ALL],2)/HLOOKUP($A806,표1[#ALL],row(),false)</f>
        <v>#N/A</v>
      </c>
      <c r="AN806" s="372" t="str">
        <f>CS_PID!AN806/VLOOKUP($B806,표2[#ALL],2)/HLOOKUP($A806,표1[#ALL],row(),false)</f>
        <v>#N/A</v>
      </c>
      <c r="AO806" s="372" t="str">
        <f>CS_PID!AO806/VLOOKUP($B806,표2[#ALL],2)/HLOOKUP($A806,표1[#ALL],row(),false)</f>
        <v>#N/A</v>
      </c>
      <c r="AP806" s="372" t="str">
        <f>CS_PID!AP806/VLOOKUP($B806,표2[#ALL],2)/HLOOKUP($A806,표1[#ALL],row(),false)</f>
        <v>#N/A</v>
      </c>
      <c r="AQ806" s="372" t="str">
        <f>CS_PID!AQ806/VLOOKUP($B806,표2[#ALL],2)/HLOOKUP($A806,표1[#ALL],row(),false)</f>
        <v>#N/A</v>
      </c>
      <c r="AR806" s="372" t="str">
        <f>CS_PID!AR806/VLOOKUP($B806,표2[#ALL],2)/HLOOKUP($A806,표1[#ALL],row(),false)</f>
        <v>#N/A</v>
      </c>
      <c r="AS806" s="373" t="str">
        <f>CS_PID!AS806/VLOOKUP($B806,표2[#ALL],2)/HLOOKUP($A806,표1[#ALL],row(),false)</f>
        <v>#N/A</v>
      </c>
    </row>
    <row r="807">
      <c r="A807" s="374"/>
      <c r="B807" s="375"/>
      <c r="C807" s="376" t="str">
        <f>CS_PID!C807/VLOOKUP($B807,표2[#ALL],2)</f>
        <v>#N/A</v>
      </c>
      <c r="D807" s="376" t="str">
        <f>CS_PID!D807/VLOOKUP($B807,표2[#ALL],2)</f>
        <v>#N/A</v>
      </c>
      <c r="E807" s="376" t="str">
        <f>CS_PID!E807/VLOOKUP($B807,표2[#ALL],2)</f>
        <v>#N/A</v>
      </c>
      <c r="F807" s="376" t="str">
        <f>CS_PID!F807/VLOOKUP($B807,표2[#ALL],2)</f>
        <v>#N/A</v>
      </c>
      <c r="G807" s="376" t="str">
        <f>CS_PID!G807/VLOOKUP($B807,표2[#ALL],2)</f>
        <v>#N/A</v>
      </c>
      <c r="H807" s="376" t="str">
        <f>CS_PID!H807/VLOOKUP($B807,표2[#ALL],2)/HLOOKUP($A807,표1[#ALL],row(),false)</f>
        <v>#N/A</v>
      </c>
      <c r="I807" s="376" t="str">
        <f>CS_PID!I807/VLOOKUP($B807,표2[#ALL],2)/HLOOKUP($A807,표1[#ALL],row(),false)</f>
        <v>#N/A</v>
      </c>
      <c r="J807" s="376" t="str">
        <f>CS_PID!J807/VLOOKUP($B807,표2[#ALL],2)/HLOOKUP($A807,표1[#ALL],row(),false)</f>
        <v>#N/A</v>
      </c>
      <c r="K807" s="376" t="str">
        <f>CS_PID!K807/VLOOKUP($B807,표2[#ALL],2)/HLOOKUP($A807,표1[#ALL],row(),false)</f>
        <v>#N/A</v>
      </c>
      <c r="L807" s="376" t="str">
        <f>CS_PID!L807/VLOOKUP($B807,표2[#ALL],2)/HLOOKUP($A807,표1[#ALL],row(),false)</f>
        <v>#N/A</v>
      </c>
      <c r="M807" s="376" t="str">
        <f>CS_PID!M807/VLOOKUP($B807,표2[#ALL],2)/HLOOKUP($A807,표1[#ALL],row(),false)</f>
        <v>#N/A</v>
      </c>
      <c r="N807" s="376" t="str">
        <f>CS_PID!N807/VLOOKUP($B807,표2[#ALL],2)/HLOOKUP($A807,표1[#ALL],row(),false)</f>
        <v>#N/A</v>
      </c>
      <c r="O807" s="376" t="str">
        <f>CS_PID!O807/VLOOKUP($B807,표2[#ALL],2)/HLOOKUP($A807,표1[#ALL],row(),false)</f>
        <v>#N/A</v>
      </c>
      <c r="P807" s="376" t="str">
        <f>CS_PID!P807/VLOOKUP($B807,표2[#ALL],2)/HLOOKUP($A807,표1[#ALL],row(),false)</f>
        <v>#N/A</v>
      </c>
      <c r="Q807" s="376" t="str">
        <f>CS_PID!Q807/VLOOKUP($B807,표2[#ALL],2)/HLOOKUP($A807,표1[#ALL],row(),false)</f>
        <v>#N/A</v>
      </c>
      <c r="R807" s="376" t="str">
        <f>CS_PID!R807/VLOOKUP($B807,표2[#ALL],2)/HLOOKUP($A807,표1[#ALL],row(),false)</f>
        <v>#N/A</v>
      </c>
      <c r="S807" s="376" t="str">
        <f>CS_PID!S807/VLOOKUP($B807,표2[#ALL],2)/HLOOKUP($A807,표1[#ALL],row(),false)</f>
        <v>#N/A</v>
      </c>
      <c r="T807" s="376" t="str">
        <f>CS_PID!T807/VLOOKUP($B807,표2[#ALL],2)/HLOOKUP($A807,표1[#ALL],row(),false)</f>
        <v>#N/A</v>
      </c>
      <c r="U807" s="376" t="str">
        <f>CS_PID!U807/VLOOKUP($B807,표2[#ALL],2)/HLOOKUP($A807,표1[#ALL],row(),false)</f>
        <v>#N/A</v>
      </c>
      <c r="V807" s="376" t="str">
        <f>CS_PID!V807/VLOOKUP($B807,표2[#ALL],2)/HLOOKUP($A807,표1[#ALL],row(),false)</f>
        <v>#N/A</v>
      </c>
      <c r="W807" s="376" t="str">
        <f>CS_PID!W807/VLOOKUP($B807,표2[#ALL],2)/HLOOKUP($A807,표1[#ALL],row(),false)</f>
        <v>#N/A</v>
      </c>
      <c r="X807" s="376" t="str">
        <f>CS_PID!X807/VLOOKUP($B807,표2[#ALL],2)/HLOOKUP($A807,표1[#ALL],row(),false)</f>
        <v>#N/A</v>
      </c>
      <c r="Y807" s="376" t="str">
        <f>CS_PID!Y807/VLOOKUP($B807,표2[#ALL],2)/HLOOKUP($A807,표1[#ALL],row(),false)</f>
        <v>#N/A</v>
      </c>
      <c r="Z807" s="376" t="str">
        <f>CS_PID!Z807/VLOOKUP($B807,표2[#ALL],2)/HLOOKUP($A807,표1[#ALL],row(),false)</f>
        <v>#N/A</v>
      </c>
      <c r="AA807" s="376" t="str">
        <f>CS_PID!AA807/VLOOKUP($B807,표2[#ALL],2)/HLOOKUP($A807,표1[#ALL],row(),false)</f>
        <v>#N/A</v>
      </c>
      <c r="AB807" s="376" t="str">
        <f>CS_PID!AB807/VLOOKUP($B807,표2[#ALL],2)/HLOOKUP($A807,표1[#ALL],row(),false)</f>
        <v>#N/A</v>
      </c>
      <c r="AC807" s="376" t="str">
        <f>CS_PID!AC807/VLOOKUP($B807,표2[#ALL],2)/HLOOKUP($A807,표1[#ALL],row(),false)</f>
        <v>#N/A</v>
      </c>
      <c r="AD807" s="376" t="str">
        <f>CS_PID!AD807/VLOOKUP($B807,표2[#ALL],2)/HLOOKUP($A807,표1[#ALL],row(),false)</f>
        <v>#N/A</v>
      </c>
      <c r="AE807" s="376" t="str">
        <f>CS_PID!AE807/VLOOKUP($B807,표2[#ALL],2)/HLOOKUP($A807,표1[#ALL],row(),false)</f>
        <v>#N/A</v>
      </c>
      <c r="AF807" s="376" t="str">
        <f>CS_PID!AF807/VLOOKUP($B807,표2[#ALL],2)/HLOOKUP($A807,표1[#ALL],row(),false)</f>
        <v>#N/A</v>
      </c>
      <c r="AG807" s="376" t="str">
        <f>CS_PID!AG807/VLOOKUP($B807,표2[#ALL],2)/HLOOKUP($A807,표1[#ALL],row(),false)</f>
        <v>#N/A</v>
      </c>
      <c r="AH807" s="376" t="str">
        <f>CS_PID!AH807/VLOOKUP($B807,표2[#ALL],2)/HLOOKUP($A807,표1[#ALL],row(),false)</f>
        <v>#N/A</v>
      </c>
      <c r="AI807" s="376" t="str">
        <f>CS_PID!AI807/VLOOKUP($B807,표2[#ALL],2)/HLOOKUP($A807,표1[#ALL],row(),false)</f>
        <v>#N/A</v>
      </c>
      <c r="AJ807" s="376" t="str">
        <f>CS_PID!AJ807/VLOOKUP($B807,표2[#ALL],2)/HLOOKUP($A807,표1[#ALL],row(),false)</f>
        <v>#N/A</v>
      </c>
      <c r="AK807" s="376" t="str">
        <f>CS_PID!AK807/VLOOKUP($B807,표2[#ALL],2)/HLOOKUP($A807,표1[#ALL],row(),false)</f>
        <v>#N/A</v>
      </c>
      <c r="AL807" s="376" t="str">
        <f>CS_PID!AL807/VLOOKUP($B807,표2[#ALL],2)/HLOOKUP($A807,표1[#ALL],row(),false)</f>
        <v>#N/A</v>
      </c>
      <c r="AM807" s="376" t="str">
        <f>CS_PID!AM807/VLOOKUP($B807,표2[#ALL],2)/HLOOKUP($A807,표1[#ALL],row(),false)</f>
        <v>#N/A</v>
      </c>
      <c r="AN807" s="376" t="str">
        <f>CS_PID!AN807/VLOOKUP($B807,표2[#ALL],2)/HLOOKUP($A807,표1[#ALL],row(),false)</f>
        <v>#N/A</v>
      </c>
      <c r="AO807" s="376" t="str">
        <f>CS_PID!AO807/VLOOKUP($B807,표2[#ALL],2)/HLOOKUP($A807,표1[#ALL],row(),false)</f>
        <v>#N/A</v>
      </c>
      <c r="AP807" s="376" t="str">
        <f>CS_PID!AP807/VLOOKUP($B807,표2[#ALL],2)/HLOOKUP($A807,표1[#ALL],row(),false)</f>
        <v>#N/A</v>
      </c>
      <c r="AQ807" s="376" t="str">
        <f>CS_PID!AQ807/VLOOKUP($B807,표2[#ALL],2)/HLOOKUP($A807,표1[#ALL],row(),false)</f>
        <v>#N/A</v>
      </c>
      <c r="AR807" s="376" t="str">
        <f>CS_PID!AR807/VLOOKUP($B807,표2[#ALL],2)/HLOOKUP($A807,표1[#ALL],row(),false)</f>
        <v>#N/A</v>
      </c>
      <c r="AS807" s="377" t="str">
        <f>CS_PID!AS807/VLOOKUP($B807,표2[#ALL],2)/HLOOKUP($A807,표1[#ALL],row(),false)</f>
        <v>#N/A</v>
      </c>
    </row>
    <row r="808">
      <c r="A808" s="370"/>
      <c r="B808" s="371"/>
      <c r="C808" s="372" t="str">
        <f>CS_PID!C808/VLOOKUP($B808,표2[#ALL],2)</f>
        <v>#N/A</v>
      </c>
      <c r="D808" s="372" t="str">
        <f>CS_PID!D808/VLOOKUP($B808,표2[#ALL],2)</f>
        <v>#N/A</v>
      </c>
      <c r="E808" s="372" t="str">
        <f>CS_PID!E808/VLOOKUP($B808,표2[#ALL],2)</f>
        <v>#N/A</v>
      </c>
      <c r="F808" s="372" t="str">
        <f>CS_PID!F808/VLOOKUP($B808,표2[#ALL],2)</f>
        <v>#N/A</v>
      </c>
      <c r="G808" s="372" t="str">
        <f>CS_PID!G808/VLOOKUP($B808,표2[#ALL],2)</f>
        <v>#N/A</v>
      </c>
      <c r="H808" s="372" t="str">
        <f>CS_PID!H808/VLOOKUP($B808,표2[#ALL],2)/HLOOKUP($A808,표1[#ALL],row(),false)</f>
        <v>#N/A</v>
      </c>
      <c r="I808" s="372" t="str">
        <f>CS_PID!I808/VLOOKUP($B808,표2[#ALL],2)/HLOOKUP($A808,표1[#ALL],row(),false)</f>
        <v>#N/A</v>
      </c>
      <c r="J808" s="372" t="str">
        <f>CS_PID!J808/VLOOKUP($B808,표2[#ALL],2)/HLOOKUP($A808,표1[#ALL],row(),false)</f>
        <v>#N/A</v>
      </c>
      <c r="K808" s="372" t="str">
        <f>CS_PID!K808/VLOOKUP($B808,표2[#ALL],2)/HLOOKUP($A808,표1[#ALL],row(),false)</f>
        <v>#N/A</v>
      </c>
      <c r="L808" s="372" t="str">
        <f>CS_PID!L808/VLOOKUP($B808,표2[#ALL],2)/HLOOKUP($A808,표1[#ALL],row(),false)</f>
        <v>#N/A</v>
      </c>
      <c r="M808" s="372" t="str">
        <f>CS_PID!M808/VLOOKUP($B808,표2[#ALL],2)/HLOOKUP($A808,표1[#ALL],row(),false)</f>
        <v>#N/A</v>
      </c>
      <c r="N808" s="372" t="str">
        <f>CS_PID!N808/VLOOKUP($B808,표2[#ALL],2)/HLOOKUP($A808,표1[#ALL],row(),false)</f>
        <v>#N/A</v>
      </c>
      <c r="O808" s="372" t="str">
        <f>CS_PID!O808/VLOOKUP($B808,표2[#ALL],2)/HLOOKUP($A808,표1[#ALL],row(),false)</f>
        <v>#N/A</v>
      </c>
      <c r="P808" s="372" t="str">
        <f>CS_PID!P808/VLOOKUP($B808,표2[#ALL],2)/HLOOKUP($A808,표1[#ALL],row(),false)</f>
        <v>#N/A</v>
      </c>
      <c r="Q808" s="372" t="str">
        <f>CS_PID!Q808/VLOOKUP($B808,표2[#ALL],2)/HLOOKUP($A808,표1[#ALL],row(),false)</f>
        <v>#N/A</v>
      </c>
      <c r="R808" s="372" t="str">
        <f>CS_PID!R808/VLOOKUP($B808,표2[#ALL],2)/HLOOKUP($A808,표1[#ALL],row(),false)</f>
        <v>#N/A</v>
      </c>
      <c r="S808" s="372" t="str">
        <f>CS_PID!S808/VLOOKUP($B808,표2[#ALL],2)/HLOOKUP($A808,표1[#ALL],row(),false)</f>
        <v>#N/A</v>
      </c>
      <c r="T808" s="372" t="str">
        <f>CS_PID!T808/VLOOKUP($B808,표2[#ALL],2)/HLOOKUP($A808,표1[#ALL],row(),false)</f>
        <v>#N/A</v>
      </c>
      <c r="U808" s="372" t="str">
        <f>CS_PID!U808/VLOOKUP($B808,표2[#ALL],2)/HLOOKUP($A808,표1[#ALL],row(),false)</f>
        <v>#N/A</v>
      </c>
      <c r="V808" s="372" t="str">
        <f>CS_PID!V808/VLOOKUP($B808,표2[#ALL],2)/HLOOKUP($A808,표1[#ALL],row(),false)</f>
        <v>#N/A</v>
      </c>
      <c r="W808" s="372" t="str">
        <f>CS_PID!W808/VLOOKUP($B808,표2[#ALL],2)/HLOOKUP($A808,표1[#ALL],row(),false)</f>
        <v>#N/A</v>
      </c>
      <c r="X808" s="372" t="str">
        <f>CS_PID!X808/VLOOKUP($B808,표2[#ALL],2)/HLOOKUP($A808,표1[#ALL],row(),false)</f>
        <v>#N/A</v>
      </c>
      <c r="Y808" s="372" t="str">
        <f>CS_PID!Y808/VLOOKUP($B808,표2[#ALL],2)/HLOOKUP($A808,표1[#ALL],row(),false)</f>
        <v>#N/A</v>
      </c>
      <c r="Z808" s="372" t="str">
        <f>CS_PID!Z808/VLOOKUP($B808,표2[#ALL],2)/HLOOKUP($A808,표1[#ALL],row(),false)</f>
        <v>#N/A</v>
      </c>
      <c r="AA808" s="372" t="str">
        <f>CS_PID!AA808/VLOOKUP($B808,표2[#ALL],2)/HLOOKUP($A808,표1[#ALL],row(),false)</f>
        <v>#N/A</v>
      </c>
      <c r="AB808" s="372" t="str">
        <f>CS_PID!AB808/VLOOKUP($B808,표2[#ALL],2)/HLOOKUP($A808,표1[#ALL],row(),false)</f>
        <v>#N/A</v>
      </c>
      <c r="AC808" s="372" t="str">
        <f>CS_PID!AC808/VLOOKUP($B808,표2[#ALL],2)/HLOOKUP($A808,표1[#ALL],row(),false)</f>
        <v>#N/A</v>
      </c>
      <c r="AD808" s="372" t="str">
        <f>CS_PID!AD808/VLOOKUP($B808,표2[#ALL],2)/HLOOKUP($A808,표1[#ALL],row(),false)</f>
        <v>#N/A</v>
      </c>
      <c r="AE808" s="372" t="str">
        <f>CS_PID!AE808/VLOOKUP($B808,표2[#ALL],2)/HLOOKUP($A808,표1[#ALL],row(),false)</f>
        <v>#N/A</v>
      </c>
      <c r="AF808" s="372" t="str">
        <f>CS_PID!AF808/VLOOKUP($B808,표2[#ALL],2)/HLOOKUP($A808,표1[#ALL],row(),false)</f>
        <v>#N/A</v>
      </c>
      <c r="AG808" s="372" t="str">
        <f>CS_PID!AG808/VLOOKUP($B808,표2[#ALL],2)/HLOOKUP($A808,표1[#ALL],row(),false)</f>
        <v>#N/A</v>
      </c>
      <c r="AH808" s="372" t="str">
        <f>CS_PID!AH808/VLOOKUP($B808,표2[#ALL],2)/HLOOKUP($A808,표1[#ALL],row(),false)</f>
        <v>#N/A</v>
      </c>
      <c r="AI808" s="372" t="str">
        <f>CS_PID!AI808/VLOOKUP($B808,표2[#ALL],2)/HLOOKUP($A808,표1[#ALL],row(),false)</f>
        <v>#N/A</v>
      </c>
      <c r="AJ808" s="372" t="str">
        <f>CS_PID!AJ808/VLOOKUP($B808,표2[#ALL],2)/HLOOKUP($A808,표1[#ALL],row(),false)</f>
        <v>#N/A</v>
      </c>
      <c r="AK808" s="372" t="str">
        <f>CS_PID!AK808/VLOOKUP($B808,표2[#ALL],2)/HLOOKUP($A808,표1[#ALL],row(),false)</f>
        <v>#N/A</v>
      </c>
      <c r="AL808" s="372" t="str">
        <f>CS_PID!AL808/VLOOKUP($B808,표2[#ALL],2)/HLOOKUP($A808,표1[#ALL],row(),false)</f>
        <v>#N/A</v>
      </c>
      <c r="AM808" s="372" t="str">
        <f>CS_PID!AM808/VLOOKUP($B808,표2[#ALL],2)/HLOOKUP($A808,표1[#ALL],row(),false)</f>
        <v>#N/A</v>
      </c>
      <c r="AN808" s="372" t="str">
        <f>CS_PID!AN808/VLOOKUP($B808,표2[#ALL],2)/HLOOKUP($A808,표1[#ALL],row(),false)</f>
        <v>#N/A</v>
      </c>
      <c r="AO808" s="372" t="str">
        <f>CS_PID!AO808/VLOOKUP($B808,표2[#ALL],2)/HLOOKUP($A808,표1[#ALL],row(),false)</f>
        <v>#N/A</v>
      </c>
      <c r="AP808" s="372" t="str">
        <f>CS_PID!AP808/VLOOKUP($B808,표2[#ALL],2)/HLOOKUP($A808,표1[#ALL],row(),false)</f>
        <v>#N/A</v>
      </c>
      <c r="AQ808" s="372" t="str">
        <f>CS_PID!AQ808/VLOOKUP($B808,표2[#ALL],2)/HLOOKUP($A808,표1[#ALL],row(),false)</f>
        <v>#N/A</v>
      </c>
      <c r="AR808" s="372" t="str">
        <f>CS_PID!AR808/VLOOKUP($B808,표2[#ALL],2)/HLOOKUP($A808,표1[#ALL],row(),false)</f>
        <v>#N/A</v>
      </c>
      <c r="AS808" s="373" t="str">
        <f>CS_PID!AS808/VLOOKUP($B808,표2[#ALL],2)/HLOOKUP($A808,표1[#ALL],row(),false)</f>
        <v>#N/A</v>
      </c>
    </row>
    <row r="809">
      <c r="A809" s="374"/>
      <c r="B809" s="375"/>
      <c r="C809" s="376" t="str">
        <f>CS_PID!C809/VLOOKUP($B809,표2[#ALL],2)</f>
        <v>#N/A</v>
      </c>
      <c r="D809" s="376" t="str">
        <f>CS_PID!D809/VLOOKUP($B809,표2[#ALL],2)</f>
        <v>#N/A</v>
      </c>
      <c r="E809" s="376" t="str">
        <f>CS_PID!E809/VLOOKUP($B809,표2[#ALL],2)</f>
        <v>#N/A</v>
      </c>
      <c r="F809" s="376" t="str">
        <f>CS_PID!F809/VLOOKUP($B809,표2[#ALL],2)</f>
        <v>#N/A</v>
      </c>
      <c r="G809" s="376" t="str">
        <f>CS_PID!G809/VLOOKUP($B809,표2[#ALL],2)</f>
        <v>#N/A</v>
      </c>
      <c r="H809" s="376" t="str">
        <f>CS_PID!H809/VLOOKUP($B809,표2[#ALL],2)/HLOOKUP($A809,표1[#ALL],row(),false)</f>
        <v>#N/A</v>
      </c>
      <c r="I809" s="376" t="str">
        <f>CS_PID!I809/VLOOKUP($B809,표2[#ALL],2)/HLOOKUP($A809,표1[#ALL],row(),false)</f>
        <v>#N/A</v>
      </c>
      <c r="J809" s="376" t="str">
        <f>CS_PID!J809/VLOOKUP($B809,표2[#ALL],2)/HLOOKUP($A809,표1[#ALL],row(),false)</f>
        <v>#N/A</v>
      </c>
      <c r="K809" s="376" t="str">
        <f>CS_PID!K809/VLOOKUP($B809,표2[#ALL],2)/HLOOKUP($A809,표1[#ALL],row(),false)</f>
        <v>#N/A</v>
      </c>
      <c r="L809" s="376" t="str">
        <f>CS_PID!L809/VLOOKUP($B809,표2[#ALL],2)/HLOOKUP($A809,표1[#ALL],row(),false)</f>
        <v>#N/A</v>
      </c>
      <c r="M809" s="376" t="str">
        <f>CS_PID!M809/VLOOKUP($B809,표2[#ALL],2)/HLOOKUP($A809,표1[#ALL],row(),false)</f>
        <v>#N/A</v>
      </c>
      <c r="N809" s="376" t="str">
        <f>CS_PID!N809/VLOOKUP($B809,표2[#ALL],2)/HLOOKUP($A809,표1[#ALL],row(),false)</f>
        <v>#N/A</v>
      </c>
      <c r="O809" s="376" t="str">
        <f>CS_PID!O809/VLOOKUP($B809,표2[#ALL],2)/HLOOKUP($A809,표1[#ALL],row(),false)</f>
        <v>#N/A</v>
      </c>
      <c r="P809" s="376" t="str">
        <f>CS_PID!P809/VLOOKUP($B809,표2[#ALL],2)/HLOOKUP($A809,표1[#ALL],row(),false)</f>
        <v>#N/A</v>
      </c>
      <c r="Q809" s="376" t="str">
        <f>CS_PID!Q809/VLOOKUP($B809,표2[#ALL],2)/HLOOKUP($A809,표1[#ALL],row(),false)</f>
        <v>#N/A</v>
      </c>
      <c r="R809" s="376" t="str">
        <f>CS_PID!R809/VLOOKUP($B809,표2[#ALL],2)/HLOOKUP($A809,표1[#ALL],row(),false)</f>
        <v>#N/A</v>
      </c>
      <c r="S809" s="376" t="str">
        <f>CS_PID!S809/VLOOKUP($B809,표2[#ALL],2)/HLOOKUP($A809,표1[#ALL],row(),false)</f>
        <v>#N/A</v>
      </c>
      <c r="T809" s="376" t="str">
        <f>CS_PID!T809/VLOOKUP($B809,표2[#ALL],2)/HLOOKUP($A809,표1[#ALL],row(),false)</f>
        <v>#N/A</v>
      </c>
      <c r="U809" s="376" t="str">
        <f>CS_PID!U809/VLOOKUP($B809,표2[#ALL],2)/HLOOKUP($A809,표1[#ALL],row(),false)</f>
        <v>#N/A</v>
      </c>
      <c r="V809" s="376" t="str">
        <f>CS_PID!V809/VLOOKUP($B809,표2[#ALL],2)/HLOOKUP($A809,표1[#ALL],row(),false)</f>
        <v>#N/A</v>
      </c>
      <c r="W809" s="376" t="str">
        <f>CS_PID!W809/VLOOKUP($B809,표2[#ALL],2)/HLOOKUP($A809,표1[#ALL],row(),false)</f>
        <v>#N/A</v>
      </c>
      <c r="X809" s="376" t="str">
        <f>CS_PID!X809/VLOOKUP($B809,표2[#ALL],2)/HLOOKUP($A809,표1[#ALL],row(),false)</f>
        <v>#N/A</v>
      </c>
      <c r="Y809" s="376" t="str">
        <f>CS_PID!Y809/VLOOKUP($B809,표2[#ALL],2)/HLOOKUP($A809,표1[#ALL],row(),false)</f>
        <v>#N/A</v>
      </c>
      <c r="Z809" s="376" t="str">
        <f>CS_PID!Z809/VLOOKUP($B809,표2[#ALL],2)/HLOOKUP($A809,표1[#ALL],row(),false)</f>
        <v>#N/A</v>
      </c>
      <c r="AA809" s="376" t="str">
        <f>CS_PID!AA809/VLOOKUP($B809,표2[#ALL],2)/HLOOKUP($A809,표1[#ALL],row(),false)</f>
        <v>#N/A</v>
      </c>
      <c r="AB809" s="376" t="str">
        <f>CS_PID!AB809/VLOOKUP($B809,표2[#ALL],2)/HLOOKUP($A809,표1[#ALL],row(),false)</f>
        <v>#N/A</v>
      </c>
      <c r="AC809" s="376" t="str">
        <f>CS_PID!AC809/VLOOKUP($B809,표2[#ALL],2)/HLOOKUP($A809,표1[#ALL],row(),false)</f>
        <v>#N/A</v>
      </c>
      <c r="AD809" s="376" t="str">
        <f>CS_PID!AD809/VLOOKUP($B809,표2[#ALL],2)/HLOOKUP($A809,표1[#ALL],row(),false)</f>
        <v>#N/A</v>
      </c>
      <c r="AE809" s="376" t="str">
        <f>CS_PID!AE809/VLOOKUP($B809,표2[#ALL],2)/HLOOKUP($A809,표1[#ALL],row(),false)</f>
        <v>#N/A</v>
      </c>
      <c r="AF809" s="376" t="str">
        <f>CS_PID!AF809/VLOOKUP($B809,표2[#ALL],2)/HLOOKUP($A809,표1[#ALL],row(),false)</f>
        <v>#N/A</v>
      </c>
      <c r="AG809" s="376" t="str">
        <f>CS_PID!AG809/VLOOKUP($B809,표2[#ALL],2)/HLOOKUP($A809,표1[#ALL],row(),false)</f>
        <v>#N/A</v>
      </c>
      <c r="AH809" s="376" t="str">
        <f>CS_PID!AH809/VLOOKUP($B809,표2[#ALL],2)/HLOOKUP($A809,표1[#ALL],row(),false)</f>
        <v>#N/A</v>
      </c>
      <c r="AI809" s="376" t="str">
        <f>CS_PID!AI809/VLOOKUP($B809,표2[#ALL],2)/HLOOKUP($A809,표1[#ALL],row(),false)</f>
        <v>#N/A</v>
      </c>
      <c r="AJ809" s="376" t="str">
        <f>CS_PID!AJ809/VLOOKUP($B809,표2[#ALL],2)/HLOOKUP($A809,표1[#ALL],row(),false)</f>
        <v>#N/A</v>
      </c>
      <c r="AK809" s="376" t="str">
        <f>CS_PID!AK809/VLOOKUP($B809,표2[#ALL],2)/HLOOKUP($A809,표1[#ALL],row(),false)</f>
        <v>#N/A</v>
      </c>
      <c r="AL809" s="376" t="str">
        <f>CS_PID!AL809/VLOOKUP($B809,표2[#ALL],2)/HLOOKUP($A809,표1[#ALL],row(),false)</f>
        <v>#N/A</v>
      </c>
      <c r="AM809" s="376" t="str">
        <f>CS_PID!AM809/VLOOKUP($B809,표2[#ALL],2)/HLOOKUP($A809,표1[#ALL],row(),false)</f>
        <v>#N/A</v>
      </c>
      <c r="AN809" s="376" t="str">
        <f>CS_PID!AN809/VLOOKUP($B809,표2[#ALL],2)/HLOOKUP($A809,표1[#ALL],row(),false)</f>
        <v>#N/A</v>
      </c>
      <c r="AO809" s="376" t="str">
        <f>CS_PID!AO809/VLOOKUP($B809,표2[#ALL],2)/HLOOKUP($A809,표1[#ALL],row(),false)</f>
        <v>#N/A</v>
      </c>
      <c r="AP809" s="376" t="str">
        <f>CS_PID!AP809/VLOOKUP($B809,표2[#ALL],2)/HLOOKUP($A809,표1[#ALL],row(),false)</f>
        <v>#N/A</v>
      </c>
      <c r="AQ809" s="376" t="str">
        <f>CS_PID!AQ809/VLOOKUP($B809,표2[#ALL],2)/HLOOKUP($A809,표1[#ALL],row(),false)</f>
        <v>#N/A</v>
      </c>
      <c r="AR809" s="376" t="str">
        <f>CS_PID!AR809/VLOOKUP($B809,표2[#ALL],2)/HLOOKUP($A809,표1[#ALL],row(),false)</f>
        <v>#N/A</v>
      </c>
      <c r="AS809" s="377" t="str">
        <f>CS_PID!AS809/VLOOKUP($B809,표2[#ALL],2)/HLOOKUP($A809,표1[#ALL],row(),false)</f>
        <v>#N/A</v>
      </c>
    </row>
    <row r="810">
      <c r="A810" s="370"/>
      <c r="B810" s="371"/>
      <c r="C810" s="372" t="str">
        <f>CS_PID!C810/VLOOKUP($B810,표2[#ALL],2)</f>
        <v>#N/A</v>
      </c>
      <c r="D810" s="372" t="str">
        <f>CS_PID!D810/VLOOKUP($B810,표2[#ALL],2)</f>
        <v>#N/A</v>
      </c>
      <c r="E810" s="372" t="str">
        <f>CS_PID!E810/VLOOKUP($B810,표2[#ALL],2)</f>
        <v>#N/A</v>
      </c>
      <c r="F810" s="372" t="str">
        <f>CS_PID!F810/VLOOKUP($B810,표2[#ALL],2)</f>
        <v>#N/A</v>
      </c>
      <c r="G810" s="372" t="str">
        <f>CS_PID!G810/VLOOKUP($B810,표2[#ALL],2)</f>
        <v>#N/A</v>
      </c>
      <c r="H810" s="372" t="str">
        <f>CS_PID!H810/VLOOKUP($B810,표2[#ALL],2)/HLOOKUP($A810,표1[#ALL],row(),false)</f>
        <v>#N/A</v>
      </c>
      <c r="I810" s="372" t="str">
        <f>CS_PID!I810/VLOOKUP($B810,표2[#ALL],2)/HLOOKUP($A810,표1[#ALL],row(),false)</f>
        <v>#N/A</v>
      </c>
      <c r="J810" s="372" t="str">
        <f>CS_PID!J810/VLOOKUP($B810,표2[#ALL],2)/HLOOKUP($A810,표1[#ALL],row(),false)</f>
        <v>#N/A</v>
      </c>
      <c r="K810" s="372" t="str">
        <f>CS_PID!K810/VLOOKUP($B810,표2[#ALL],2)/HLOOKUP($A810,표1[#ALL],row(),false)</f>
        <v>#N/A</v>
      </c>
      <c r="L810" s="372" t="str">
        <f>CS_PID!L810/VLOOKUP($B810,표2[#ALL],2)/HLOOKUP($A810,표1[#ALL],row(),false)</f>
        <v>#N/A</v>
      </c>
      <c r="M810" s="372" t="str">
        <f>CS_PID!M810/VLOOKUP($B810,표2[#ALL],2)/HLOOKUP($A810,표1[#ALL],row(),false)</f>
        <v>#N/A</v>
      </c>
      <c r="N810" s="372" t="str">
        <f>CS_PID!N810/VLOOKUP($B810,표2[#ALL],2)/HLOOKUP($A810,표1[#ALL],row(),false)</f>
        <v>#N/A</v>
      </c>
      <c r="O810" s="372" t="str">
        <f>CS_PID!O810/VLOOKUP($B810,표2[#ALL],2)/HLOOKUP($A810,표1[#ALL],row(),false)</f>
        <v>#N/A</v>
      </c>
      <c r="P810" s="372" t="str">
        <f>CS_PID!P810/VLOOKUP($B810,표2[#ALL],2)/HLOOKUP($A810,표1[#ALL],row(),false)</f>
        <v>#N/A</v>
      </c>
      <c r="Q810" s="372" t="str">
        <f>CS_PID!Q810/VLOOKUP($B810,표2[#ALL],2)/HLOOKUP($A810,표1[#ALL],row(),false)</f>
        <v>#N/A</v>
      </c>
      <c r="R810" s="372" t="str">
        <f>CS_PID!R810/VLOOKUP($B810,표2[#ALL],2)/HLOOKUP($A810,표1[#ALL],row(),false)</f>
        <v>#N/A</v>
      </c>
      <c r="S810" s="372" t="str">
        <f>CS_PID!S810/VLOOKUP($B810,표2[#ALL],2)/HLOOKUP($A810,표1[#ALL],row(),false)</f>
        <v>#N/A</v>
      </c>
      <c r="T810" s="372" t="str">
        <f>CS_PID!T810/VLOOKUP($B810,표2[#ALL],2)/HLOOKUP($A810,표1[#ALL],row(),false)</f>
        <v>#N/A</v>
      </c>
      <c r="U810" s="372" t="str">
        <f>CS_PID!U810/VLOOKUP($B810,표2[#ALL],2)/HLOOKUP($A810,표1[#ALL],row(),false)</f>
        <v>#N/A</v>
      </c>
      <c r="V810" s="372" t="str">
        <f>CS_PID!V810/VLOOKUP($B810,표2[#ALL],2)/HLOOKUP($A810,표1[#ALL],row(),false)</f>
        <v>#N/A</v>
      </c>
      <c r="W810" s="372" t="str">
        <f>CS_PID!W810/VLOOKUP($B810,표2[#ALL],2)/HLOOKUP($A810,표1[#ALL],row(),false)</f>
        <v>#N/A</v>
      </c>
      <c r="X810" s="372" t="str">
        <f>CS_PID!X810/VLOOKUP($B810,표2[#ALL],2)/HLOOKUP($A810,표1[#ALL],row(),false)</f>
        <v>#N/A</v>
      </c>
      <c r="Y810" s="372" t="str">
        <f>CS_PID!Y810/VLOOKUP($B810,표2[#ALL],2)/HLOOKUP($A810,표1[#ALL],row(),false)</f>
        <v>#N/A</v>
      </c>
      <c r="Z810" s="372" t="str">
        <f>CS_PID!Z810/VLOOKUP($B810,표2[#ALL],2)/HLOOKUP($A810,표1[#ALL],row(),false)</f>
        <v>#N/A</v>
      </c>
      <c r="AA810" s="372" t="str">
        <f>CS_PID!AA810/VLOOKUP($B810,표2[#ALL],2)/HLOOKUP($A810,표1[#ALL],row(),false)</f>
        <v>#N/A</v>
      </c>
      <c r="AB810" s="372" t="str">
        <f>CS_PID!AB810/VLOOKUP($B810,표2[#ALL],2)/HLOOKUP($A810,표1[#ALL],row(),false)</f>
        <v>#N/A</v>
      </c>
      <c r="AC810" s="372" t="str">
        <f>CS_PID!AC810/VLOOKUP($B810,표2[#ALL],2)/HLOOKUP($A810,표1[#ALL],row(),false)</f>
        <v>#N/A</v>
      </c>
      <c r="AD810" s="372" t="str">
        <f>CS_PID!AD810/VLOOKUP($B810,표2[#ALL],2)/HLOOKUP($A810,표1[#ALL],row(),false)</f>
        <v>#N/A</v>
      </c>
      <c r="AE810" s="372" t="str">
        <f>CS_PID!AE810/VLOOKUP($B810,표2[#ALL],2)/HLOOKUP($A810,표1[#ALL],row(),false)</f>
        <v>#N/A</v>
      </c>
      <c r="AF810" s="372" t="str">
        <f>CS_PID!AF810/VLOOKUP($B810,표2[#ALL],2)/HLOOKUP($A810,표1[#ALL],row(),false)</f>
        <v>#N/A</v>
      </c>
      <c r="AG810" s="372" t="str">
        <f>CS_PID!AG810/VLOOKUP($B810,표2[#ALL],2)/HLOOKUP($A810,표1[#ALL],row(),false)</f>
        <v>#N/A</v>
      </c>
      <c r="AH810" s="372" t="str">
        <f>CS_PID!AH810/VLOOKUP($B810,표2[#ALL],2)/HLOOKUP($A810,표1[#ALL],row(),false)</f>
        <v>#N/A</v>
      </c>
      <c r="AI810" s="372" t="str">
        <f>CS_PID!AI810/VLOOKUP($B810,표2[#ALL],2)/HLOOKUP($A810,표1[#ALL],row(),false)</f>
        <v>#N/A</v>
      </c>
      <c r="AJ810" s="372" t="str">
        <f>CS_PID!AJ810/VLOOKUP($B810,표2[#ALL],2)/HLOOKUP($A810,표1[#ALL],row(),false)</f>
        <v>#N/A</v>
      </c>
      <c r="AK810" s="372" t="str">
        <f>CS_PID!AK810/VLOOKUP($B810,표2[#ALL],2)/HLOOKUP($A810,표1[#ALL],row(),false)</f>
        <v>#N/A</v>
      </c>
      <c r="AL810" s="372" t="str">
        <f>CS_PID!AL810/VLOOKUP($B810,표2[#ALL],2)/HLOOKUP($A810,표1[#ALL],row(),false)</f>
        <v>#N/A</v>
      </c>
      <c r="AM810" s="372" t="str">
        <f>CS_PID!AM810/VLOOKUP($B810,표2[#ALL],2)/HLOOKUP($A810,표1[#ALL],row(),false)</f>
        <v>#N/A</v>
      </c>
      <c r="AN810" s="372" t="str">
        <f>CS_PID!AN810/VLOOKUP($B810,표2[#ALL],2)/HLOOKUP($A810,표1[#ALL],row(),false)</f>
        <v>#N/A</v>
      </c>
      <c r="AO810" s="372" t="str">
        <f>CS_PID!AO810/VLOOKUP($B810,표2[#ALL],2)/HLOOKUP($A810,표1[#ALL],row(),false)</f>
        <v>#N/A</v>
      </c>
      <c r="AP810" s="372" t="str">
        <f>CS_PID!AP810/VLOOKUP($B810,표2[#ALL],2)/HLOOKUP($A810,표1[#ALL],row(),false)</f>
        <v>#N/A</v>
      </c>
      <c r="AQ810" s="372" t="str">
        <f>CS_PID!AQ810/VLOOKUP($B810,표2[#ALL],2)/HLOOKUP($A810,표1[#ALL],row(),false)</f>
        <v>#N/A</v>
      </c>
      <c r="AR810" s="372" t="str">
        <f>CS_PID!AR810/VLOOKUP($B810,표2[#ALL],2)/HLOOKUP($A810,표1[#ALL],row(),false)</f>
        <v>#N/A</v>
      </c>
      <c r="AS810" s="373" t="str">
        <f>CS_PID!AS810/VLOOKUP($B810,표2[#ALL],2)/HLOOKUP($A810,표1[#ALL],row(),false)</f>
        <v>#N/A</v>
      </c>
    </row>
    <row r="811">
      <c r="A811" s="374"/>
      <c r="B811" s="375"/>
      <c r="C811" s="376" t="str">
        <f>CS_PID!C811/VLOOKUP($B811,표2[#ALL],2)</f>
        <v>#N/A</v>
      </c>
      <c r="D811" s="376" t="str">
        <f>CS_PID!D811/VLOOKUP($B811,표2[#ALL],2)</f>
        <v>#N/A</v>
      </c>
      <c r="E811" s="376" t="str">
        <f>CS_PID!E811/VLOOKUP($B811,표2[#ALL],2)</f>
        <v>#N/A</v>
      </c>
      <c r="F811" s="376" t="str">
        <f>CS_PID!F811/VLOOKUP($B811,표2[#ALL],2)</f>
        <v>#N/A</v>
      </c>
      <c r="G811" s="376" t="str">
        <f>CS_PID!G811/VLOOKUP($B811,표2[#ALL],2)</f>
        <v>#N/A</v>
      </c>
      <c r="H811" s="376" t="str">
        <f>CS_PID!H811/VLOOKUP($B811,표2[#ALL],2)/HLOOKUP($A811,표1[#ALL],row(),false)</f>
        <v>#N/A</v>
      </c>
      <c r="I811" s="376" t="str">
        <f>CS_PID!I811/VLOOKUP($B811,표2[#ALL],2)/HLOOKUP($A811,표1[#ALL],row(),false)</f>
        <v>#N/A</v>
      </c>
      <c r="J811" s="376" t="str">
        <f>CS_PID!J811/VLOOKUP($B811,표2[#ALL],2)/HLOOKUP($A811,표1[#ALL],row(),false)</f>
        <v>#N/A</v>
      </c>
      <c r="K811" s="376" t="str">
        <f>CS_PID!K811/VLOOKUP($B811,표2[#ALL],2)/HLOOKUP($A811,표1[#ALL],row(),false)</f>
        <v>#N/A</v>
      </c>
      <c r="L811" s="376" t="str">
        <f>CS_PID!L811/VLOOKUP($B811,표2[#ALL],2)/HLOOKUP($A811,표1[#ALL],row(),false)</f>
        <v>#N/A</v>
      </c>
      <c r="M811" s="376" t="str">
        <f>CS_PID!M811/VLOOKUP($B811,표2[#ALL],2)/HLOOKUP($A811,표1[#ALL],row(),false)</f>
        <v>#N/A</v>
      </c>
      <c r="N811" s="376" t="str">
        <f>CS_PID!N811/VLOOKUP($B811,표2[#ALL],2)/HLOOKUP($A811,표1[#ALL],row(),false)</f>
        <v>#N/A</v>
      </c>
      <c r="O811" s="376" t="str">
        <f>CS_PID!O811/VLOOKUP($B811,표2[#ALL],2)/HLOOKUP($A811,표1[#ALL],row(),false)</f>
        <v>#N/A</v>
      </c>
      <c r="P811" s="376" t="str">
        <f>CS_PID!P811/VLOOKUP($B811,표2[#ALL],2)/HLOOKUP($A811,표1[#ALL],row(),false)</f>
        <v>#N/A</v>
      </c>
      <c r="Q811" s="376" t="str">
        <f>CS_PID!Q811/VLOOKUP($B811,표2[#ALL],2)/HLOOKUP($A811,표1[#ALL],row(),false)</f>
        <v>#N/A</v>
      </c>
      <c r="R811" s="376" t="str">
        <f>CS_PID!R811/VLOOKUP($B811,표2[#ALL],2)/HLOOKUP($A811,표1[#ALL],row(),false)</f>
        <v>#N/A</v>
      </c>
      <c r="S811" s="376" t="str">
        <f>CS_PID!S811/VLOOKUP($B811,표2[#ALL],2)/HLOOKUP($A811,표1[#ALL],row(),false)</f>
        <v>#N/A</v>
      </c>
      <c r="T811" s="376" t="str">
        <f>CS_PID!T811/VLOOKUP($B811,표2[#ALL],2)/HLOOKUP($A811,표1[#ALL],row(),false)</f>
        <v>#N/A</v>
      </c>
      <c r="U811" s="376" t="str">
        <f>CS_PID!U811/VLOOKUP($B811,표2[#ALL],2)/HLOOKUP($A811,표1[#ALL],row(),false)</f>
        <v>#N/A</v>
      </c>
      <c r="V811" s="376" t="str">
        <f>CS_PID!V811/VLOOKUP($B811,표2[#ALL],2)/HLOOKUP($A811,표1[#ALL],row(),false)</f>
        <v>#N/A</v>
      </c>
      <c r="W811" s="376" t="str">
        <f>CS_PID!W811/VLOOKUP($B811,표2[#ALL],2)/HLOOKUP($A811,표1[#ALL],row(),false)</f>
        <v>#N/A</v>
      </c>
      <c r="X811" s="376" t="str">
        <f>CS_PID!X811/VLOOKUP($B811,표2[#ALL],2)/HLOOKUP($A811,표1[#ALL],row(),false)</f>
        <v>#N/A</v>
      </c>
      <c r="Y811" s="376" t="str">
        <f>CS_PID!Y811/VLOOKUP($B811,표2[#ALL],2)/HLOOKUP($A811,표1[#ALL],row(),false)</f>
        <v>#N/A</v>
      </c>
      <c r="Z811" s="376" t="str">
        <f>CS_PID!Z811/VLOOKUP($B811,표2[#ALL],2)/HLOOKUP($A811,표1[#ALL],row(),false)</f>
        <v>#N/A</v>
      </c>
      <c r="AA811" s="376" t="str">
        <f>CS_PID!AA811/VLOOKUP($B811,표2[#ALL],2)/HLOOKUP($A811,표1[#ALL],row(),false)</f>
        <v>#N/A</v>
      </c>
      <c r="AB811" s="376" t="str">
        <f>CS_PID!AB811/VLOOKUP($B811,표2[#ALL],2)/HLOOKUP($A811,표1[#ALL],row(),false)</f>
        <v>#N/A</v>
      </c>
      <c r="AC811" s="376" t="str">
        <f>CS_PID!AC811/VLOOKUP($B811,표2[#ALL],2)/HLOOKUP($A811,표1[#ALL],row(),false)</f>
        <v>#N/A</v>
      </c>
      <c r="AD811" s="376" t="str">
        <f>CS_PID!AD811/VLOOKUP($B811,표2[#ALL],2)/HLOOKUP($A811,표1[#ALL],row(),false)</f>
        <v>#N/A</v>
      </c>
      <c r="AE811" s="376" t="str">
        <f>CS_PID!AE811/VLOOKUP($B811,표2[#ALL],2)/HLOOKUP($A811,표1[#ALL],row(),false)</f>
        <v>#N/A</v>
      </c>
      <c r="AF811" s="376" t="str">
        <f>CS_PID!AF811/VLOOKUP($B811,표2[#ALL],2)/HLOOKUP($A811,표1[#ALL],row(),false)</f>
        <v>#N/A</v>
      </c>
      <c r="AG811" s="376" t="str">
        <f>CS_PID!AG811/VLOOKUP($B811,표2[#ALL],2)/HLOOKUP($A811,표1[#ALL],row(),false)</f>
        <v>#N/A</v>
      </c>
      <c r="AH811" s="376" t="str">
        <f>CS_PID!AH811/VLOOKUP($B811,표2[#ALL],2)/HLOOKUP($A811,표1[#ALL],row(),false)</f>
        <v>#N/A</v>
      </c>
      <c r="AI811" s="376" t="str">
        <f>CS_PID!AI811/VLOOKUP($B811,표2[#ALL],2)/HLOOKUP($A811,표1[#ALL],row(),false)</f>
        <v>#N/A</v>
      </c>
      <c r="AJ811" s="376" t="str">
        <f>CS_PID!AJ811/VLOOKUP($B811,표2[#ALL],2)/HLOOKUP($A811,표1[#ALL],row(),false)</f>
        <v>#N/A</v>
      </c>
      <c r="AK811" s="376" t="str">
        <f>CS_PID!AK811/VLOOKUP($B811,표2[#ALL],2)/HLOOKUP($A811,표1[#ALL],row(),false)</f>
        <v>#N/A</v>
      </c>
      <c r="AL811" s="376" t="str">
        <f>CS_PID!AL811/VLOOKUP($B811,표2[#ALL],2)/HLOOKUP($A811,표1[#ALL],row(),false)</f>
        <v>#N/A</v>
      </c>
      <c r="AM811" s="376" t="str">
        <f>CS_PID!AM811/VLOOKUP($B811,표2[#ALL],2)/HLOOKUP($A811,표1[#ALL],row(),false)</f>
        <v>#N/A</v>
      </c>
      <c r="AN811" s="376" t="str">
        <f>CS_PID!AN811/VLOOKUP($B811,표2[#ALL],2)/HLOOKUP($A811,표1[#ALL],row(),false)</f>
        <v>#N/A</v>
      </c>
      <c r="AO811" s="376" t="str">
        <f>CS_PID!AO811/VLOOKUP($B811,표2[#ALL],2)/HLOOKUP($A811,표1[#ALL],row(),false)</f>
        <v>#N/A</v>
      </c>
      <c r="AP811" s="376" t="str">
        <f>CS_PID!AP811/VLOOKUP($B811,표2[#ALL],2)/HLOOKUP($A811,표1[#ALL],row(),false)</f>
        <v>#N/A</v>
      </c>
      <c r="AQ811" s="376" t="str">
        <f>CS_PID!AQ811/VLOOKUP($B811,표2[#ALL],2)/HLOOKUP($A811,표1[#ALL],row(),false)</f>
        <v>#N/A</v>
      </c>
      <c r="AR811" s="376" t="str">
        <f>CS_PID!AR811/VLOOKUP($B811,표2[#ALL],2)/HLOOKUP($A811,표1[#ALL],row(),false)</f>
        <v>#N/A</v>
      </c>
      <c r="AS811" s="377" t="str">
        <f>CS_PID!AS811/VLOOKUP($B811,표2[#ALL],2)/HLOOKUP($A811,표1[#ALL],row(),false)</f>
        <v>#N/A</v>
      </c>
    </row>
    <row r="812">
      <c r="A812" s="370"/>
      <c r="B812" s="371"/>
      <c r="C812" s="372" t="str">
        <f>CS_PID!C812/VLOOKUP($B812,표2[#ALL],2)</f>
        <v>#N/A</v>
      </c>
      <c r="D812" s="372" t="str">
        <f>CS_PID!D812/VLOOKUP($B812,표2[#ALL],2)</f>
        <v>#N/A</v>
      </c>
      <c r="E812" s="372" t="str">
        <f>CS_PID!E812/VLOOKUP($B812,표2[#ALL],2)</f>
        <v>#N/A</v>
      </c>
      <c r="F812" s="372" t="str">
        <f>CS_PID!F812/VLOOKUP($B812,표2[#ALL],2)</f>
        <v>#N/A</v>
      </c>
      <c r="G812" s="372" t="str">
        <f>CS_PID!G812/VLOOKUP($B812,표2[#ALL],2)</f>
        <v>#N/A</v>
      </c>
      <c r="H812" s="372" t="str">
        <f>CS_PID!H812/VLOOKUP($B812,표2[#ALL],2)/HLOOKUP($A812,표1[#ALL],row(),false)</f>
        <v>#N/A</v>
      </c>
      <c r="I812" s="372" t="str">
        <f>CS_PID!I812/VLOOKUP($B812,표2[#ALL],2)/HLOOKUP($A812,표1[#ALL],row(),false)</f>
        <v>#N/A</v>
      </c>
      <c r="J812" s="372" t="str">
        <f>CS_PID!J812/VLOOKUP($B812,표2[#ALL],2)/HLOOKUP($A812,표1[#ALL],row(),false)</f>
        <v>#N/A</v>
      </c>
      <c r="K812" s="372" t="str">
        <f>CS_PID!K812/VLOOKUP($B812,표2[#ALL],2)/HLOOKUP($A812,표1[#ALL],row(),false)</f>
        <v>#N/A</v>
      </c>
      <c r="L812" s="372" t="str">
        <f>CS_PID!L812/VLOOKUP($B812,표2[#ALL],2)/HLOOKUP($A812,표1[#ALL],row(),false)</f>
        <v>#N/A</v>
      </c>
      <c r="M812" s="372" t="str">
        <f>CS_PID!M812/VLOOKUP($B812,표2[#ALL],2)/HLOOKUP($A812,표1[#ALL],row(),false)</f>
        <v>#N/A</v>
      </c>
      <c r="N812" s="372" t="str">
        <f>CS_PID!N812/VLOOKUP($B812,표2[#ALL],2)/HLOOKUP($A812,표1[#ALL],row(),false)</f>
        <v>#N/A</v>
      </c>
      <c r="O812" s="372" t="str">
        <f>CS_PID!O812/VLOOKUP($B812,표2[#ALL],2)/HLOOKUP($A812,표1[#ALL],row(),false)</f>
        <v>#N/A</v>
      </c>
      <c r="P812" s="372" t="str">
        <f>CS_PID!P812/VLOOKUP($B812,표2[#ALL],2)/HLOOKUP($A812,표1[#ALL],row(),false)</f>
        <v>#N/A</v>
      </c>
      <c r="Q812" s="372" t="str">
        <f>CS_PID!Q812/VLOOKUP($B812,표2[#ALL],2)/HLOOKUP($A812,표1[#ALL],row(),false)</f>
        <v>#N/A</v>
      </c>
      <c r="R812" s="372" t="str">
        <f>CS_PID!R812/VLOOKUP($B812,표2[#ALL],2)/HLOOKUP($A812,표1[#ALL],row(),false)</f>
        <v>#N/A</v>
      </c>
      <c r="S812" s="372" t="str">
        <f>CS_PID!S812/VLOOKUP($B812,표2[#ALL],2)/HLOOKUP($A812,표1[#ALL],row(),false)</f>
        <v>#N/A</v>
      </c>
      <c r="T812" s="372" t="str">
        <f>CS_PID!T812/VLOOKUP($B812,표2[#ALL],2)/HLOOKUP($A812,표1[#ALL],row(),false)</f>
        <v>#N/A</v>
      </c>
      <c r="U812" s="372" t="str">
        <f>CS_PID!U812/VLOOKUP($B812,표2[#ALL],2)/HLOOKUP($A812,표1[#ALL],row(),false)</f>
        <v>#N/A</v>
      </c>
      <c r="V812" s="372" t="str">
        <f>CS_PID!V812/VLOOKUP($B812,표2[#ALL],2)/HLOOKUP($A812,표1[#ALL],row(),false)</f>
        <v>#N/A</v>
      </c>
      <c r="W812" s="372" t="str">
        <f>CS_PID!W812/VLOOKUP($B812,표2[#ALL],2)/HLOOKUP($A812,표1[#ALL],row(),false)</f>
        <v>#N/A</v>
      </c>
      <c r="X812" s="372" t="str">
        <f>CS_PID!X812/VLOOKUP($B812,표2[#ALL],2)/HLOOKUP($A812,표1[#ALL],row(),false)</f>
        <v>#N/A</v>
      </c>
      <c r="Y812" s="372" t="str">
        <f>CS_PID!Y812/VLOOKUP($B812,표2[#ALL],2)/HLOOKUP($A812,표1[#ALL],row(),false)</f>
        <v>#N/A</v>
      </c>
      <c r="Z812" s="372" t="str">
        <f>CS_PID!Z812/VLOOKUP($B812,표2[#ALL],2)/HLOOKUP($A812,표1[#ALL],row(),false)</f>
        <v>#N/A</v>
      </c>
      <c r="AA812" s="372" t="str">
        <f>CS_PID!AA812/VLOOKUP($B812,표2[#ALL],2)/HLOOKUP($A812,표1[#ALL],row(),false)</f>
        <v>#N/A</v>
      </c>
      <c r="AB812" s="372" t="str">
        <f>CS_PID!AB812/VLOOKUP($B812,표2[#ALL],2)/HLOOKUP($A812,표1[#ALL],row(),false)</f>
        <v>#N/A</v>
      </c>
      <c r="AC812" s="372" t="str">
        <f>CS_PID!AC812/VLOOKUP($B812,표2[#ALL],2)/HLOOKUP($A812,표1[#ALL],row(),false)</f>
        <v>#N/A</v>
      </c>
      <c r="AD812" s="372" t="str">
        <f>CS_PID!AD812/VLOOKUP($B812,표2[#ALL],2)/HLOOKUP($A812,표1[#ALL],row(),false)</f>
        <v>#N/A</v>
      </c>
      <c r="AE812" s="372" t="str">
        <f>CS_PID!AE812/VLOOKUP($B812,표2[#ALL],2)/HLOOKUP($A812,표1[#ALL],row(),false)</f>
        <v>#N/A</v>
      </c>
      <c r="AF812" s="372" t="str">
        <f>CS_PID!AF812/VLOOKUP($B812,표2[#ALL],2)/HLOOKUP($A812,표1[#ALL],row(),false)</f>
        <v>#N/A</v>
      </c>
      <c r="AG812" s="372" t="str">
        <f>CS_PID!AG812/VLOOKUP($B812,표2[#ALL],2)/HLOOKUP($A812,표1[#ALL],row(),false)</f>
        <v>#N/A</v>
      </c>
      <c r="AH812" s="372" t="str">
        <f>CS_PID!AH812/VLOOKUP($B812,표2[#ALL],2)/HLOOKUP($A812,표1[#ALL],row(),false)</f>
        <v>#N/A</v>
      </c>
      <c r="AI812" s="372" t="str">
        <f>CS_PID!AI812/VLOOKUP($B812,표2[#ALL],2)/HLOOKUP($A812,표1[#ALL],row(),false)</f>
        <v>#N/A</v>
      </c>
      <c r="AJ812" s="372" t="str">
        <f>CS_PID!AJ812/VLOOKUP($B812,표2[#ALL],2)/HLOOKUP($A812,표1[#ALL],row(),false)</f>
        <v>#N/A</v>
      </c>
      <c r="AK812" s="372" t="str">
        <f>CS_PID!AK812/VLOOKUP($B812,표2[#ALL],2)/HLOOKUP($A812,표1[#ALL],row(),false)</f>
        <v>#N/A</v>
      </c>
      <c r="AL812" s="372" t="str">
        <f>CS_PID!AL812/VLOOKUP($B812,표2[#ALL],2)/HLOOKUP($A812,표1[#ALL],row(),false)</f>
        <v>#N/A</v>
      </c>
      <c r="AM812" s="372" t="str">
        <f>CS_PID!AM812/VLOOKUP($B812,표2[#ALL],2)/HLOOKUP($A812,표1[#ALL],row(),false)</f>
        <v>#N/A</v>
      </c>
      <c r="AN812" s="372" t="str">
        <f>CS_PID!AN812/VLOOKUP($B812,표2[#ALL],2)/HLOOKUP($A812,표1[#ALL],row(),false)</f>
        <v>#N/A</v>
      </c>
      <c r="AO812" s="372" t="str">
        <f>CS_PID!AO812/VLOOKUP($B812,표2[#ALL],2)/HLOOKUP($A812,표1[#ALL],row(),false)</f>
        <v>#N/A</v>
      </c>
      <c r="AP812" s="372" t="str">
        <f>CS_PID!AP812/VLOOKUP($B812,표2[#ALL],2)/HLOOKUP($A812,표1[#ALL],row(),false)</f>
        <v>#N/A</v>
      </c>
      <c r="AQ812" s="372" t="str">
        <f>CS_PID!AQ812/VLOOKUP($B812,표2[#ALL],2)/HLOOKUP($A812,표1[#ALL],row(),false)</f>
        <v>#N/A</v>
      </c>
      <c r="AR812" s="372" t="str">
        <f>CS_PID!AR812/VLOOKUP($B812,표2[#ALL],2)/HLOOKUP($A812,표1[#ALL],row(),false)</f>
        <v>#N/A</v>
      </c>
      <c r="AS812" s="373" t="str">
        <f>CS_PID!AS812/VLOOKUP($B812,표2[#ALL],2)/HLOOKUP($A812,표1[#ALL],row(),false)</f>
        <v>#N/A</v>
      </c>
    </row>
    <row r="813">
      <c r="A813" s="374"/>
      <c r="B813" s="375"/>
      <c r="C813" s="376" t="str">
        <f>CS_PID!C813/VLOOKUP($B813,표2[#ALL],2)</f>
        <v>#N/A</v>
      </c>
      <c r="D813" s="376" t="str">
        <f>CS_PID!D813/VLOOKUP($B813,표2[#ALL],2)</f>
        <v>#N/A</v>
      </c>
      <c r="E813" s="376" t="str">
        <f>CS_PID!E813/VLOOKUP($B813,표2[#ALL],2)</f>
        <v>#N/A</v>
      </c>
      <c r="F813" s="376" t="str">
        <f>CS_PID!F813/VLOOKUP($B813,표2[#ALL],2)</f>
        <v>#N/A</v>
      </c>
      <c r="G813" s="376" t="str">
        <f>CS_PID!G813/VLOOKUP($B813,표2[#ALL],2)</f>
        <v>#N/A</v>
      </c>
      <c r="H813" s="376" t="str">
        <f>CS_PID!H813/VLOOKUP($B813,표2[#ALL],2)/HLOOKUP($A813,표1[#ALL],row(),false)</f>
        <v>#N/A</v>
      </c>
      <c r="I813" s="376" t="str">
        <f>CS_PID!I813/VLOOKUP($B813,표2[#ALL],2)/HLOOKUP($A813,표1[#ALL],row(),false)</f>
        <v>#N/A</v>
      </c>
      <c r="J813" s="376" t="str">
        <f>CS_PID!J813/VLOOKUP($B813,표2[#ALL],2)/HLOOKUP($A813,표1[#ALL],row(),false)</f>
        <v>#N/A</v>
      </c>
      <c r="K813" s="376" t="str">
        <f>CS_PID!K813/VLOOKUP($B813,표2[#ALL],2)/HLOOKUP($A813,표1[#ALL],row(),false)</f>
        <v>#N/A</v>
      </c>
      <c r="L813" s="376" t="str">
        <f>CS_PID!L813/VLOOKUP($B813,표2[#ALL],2)/HLOOKUP($A813,표1[#ALL],row(),false)</f>
        <v>#N/A</v>
      </c>
      <c r="M813" s="376" t="str">
        <f>CS_PID!M813/VLOOKUP($B813,표2[#ALL],2)/HLOOKUP($A813,표1[#ALL],row(),false)</f>
        <v>#N/A</v>
      </c>
      <c r="N813" s="376" t="str">
        <f>CS_PID!N813/VLOOKUP($B813,표2[#ALL],2)/HLOOKUP($A813,표1[#ALL],row(),false)</f>
        <v>#N/A</v>
      </c>
      <c r="O813" s="376" t="str">
        <f>CS_PID!O813/VLOOKUP($B813,표2[#ALL],2)/HLOOKUP($A813,표1[#ALL],row(),false)</f>
        <v>#N/A</v>
      </c>
      <c r="P813" s="376" t="str">
        <f>CS_PID!P813/VLOOKUP($B813,표2[#ALL],2)/HLOOKUP($A813,표1[#ALL],row(),false)</f>
        <v>#N/A</v>
      </c>
      <c r="Q813" s="376" t="str">
        <f>CS_PID!Q813/VLOOKUP($B813,표2[#ALL],2)/HLOOKUP($A813,표1[#ALL],row(),false)</f>
        <v>#N/A</v>
      </c>
      <c r="R813" s="376" t="str">
        <f>CS_PID!R813/VLOOKUP($B813,표2[#ALL],2)/HLOOKUP($A813,표1[#ALL],row(),false)</f>
        <v>#N/A</v>
      </c>
      <c r="S813" s="376" t="str">
        <f>CS_PID!S813/VLOOKUP($B813,표2[#ALL],2)/HLOOKUP($A813,표1[#ALL],row(),false)</f>
        <v>#N/A</v>
      </c>
      <c r="T813" s="376" t="str">
        <f>CS_PID!T813/VLOOKUP($B813,표2[#ALL],2)/HLOOKUP($A813,표1[#ALL],row(),false)</f>
        <v>#N/A</v>
      </c>
      <c r="U813" s="376" t="str">
        <f>CS_PID!U813/VLOOKUP($B813,표2[#ALL],2)/HLOOKUP($A813,표1[#ALL],row(),false)</f>
        <v>#N/A</v>
      </c>
      <c r="V813" s="376" t="str">
        <f>CS_PID!V813/VLOOKUP($B813,표2[#ALL],2)/HLOOKUP($A813,표1[#ALL],row(),false)</f>
        <v>#N/A</v>
      </c>
      <c r="W813" s="376" t="str">
        <f>CS_PID!W813/VLOOKUP($B813,표2[#ALL],2)/HLOOKUP($A813,표1[#ALL],row(),false)</f>
        <v>#N/A</v>
      </c>
      <c r="X813" s="376" t="str">
        <f>CS_PID!X813/VLOOKUP($B813,표2[#ALL],2)/HLOOKUP($A813,표1[#ALL],row(),false)</f>
        <v>#N/A</v>
      </c>
      <c r="Y813" s="376" t="str">
        <f>CS_PID!Y813/VLOOKUP($B813,표2[#ALL],2)/HLOOKUP($A813,표1[#ALL],row(),false)</f>
        <v>#N/A</v>
      </c>
      <c r="Z813" s="376" t="str">
        <f>CS_PID!Z813/VLOOKUP($B813,표2[#ALL],2)/HLOOKUP($A813,표1[#ALL],row(),false)</f>
        <v>#N/A</v>
      </c>
      <c r="AA813" s="376" t="str">
        <f>CS_PID!AA813/VLOOKUP($B813,표2[#ALL],2)/HLOOKUP($A813,표1[#ALL],row(),false)</f>
        <v>#N/A</v>
      </c>
      <c r="AB813" s="376" t="str">
        <f>CS_PID!AB813/VLOOKUP($B813,표2[#ALL],2)/HLOOKUP($A813,표1[#ALL],row(),false)</f>
        <v>#N/A</v>
      </c>
      <c r="AC813" s="376" t="str">
        <f>CS_PID!AC813/VLOOKUP($B813,표2[#ALL],2)/HLOOKUP($A813,표1[#ALL],row(),false)</f>
        <v>#N/A</v>
      </c>
      <c r="AD813" s="376" t="str">
        <f>CS_PID!AD813/VLOOKUP($B813,표2[#ALL],2)/HLOOKUP($A813,표1[#ALL],row(),false)</f>
        <v>#N/A</v>
      </c>
      <c r="AE813" s="376" t="str">
        <f>CS_PID!AE813/VLOOKUP($B813,표2[#ALL],2)/HLOOKUP($A813,표1[#ALL],row(),false)</f>
        <v>#N/A</v>
      </c>
      <c r="AF813" s="376" t="str">
        <f>CS_PID!AF813/VLOOKUP($B813,표2[#ALL],2)/HLOOKUP($A813,표1[#ALL],row(),false)</f>
        <v>#N/A</v>
      </c>
      <c r="AG813" s="376" t="str">
        <f>CS_PID!AG813/VLOOKUP($B813,표2[#ALL],2)/HLOOKUP($A813,표1[#ALL],row(),false)</f>
        <v>#N/A</v>
      </c>
      <c r="AH813" s="376" t="str">
        <f>CS_PID!AH813/VLOOKUP($B813,표2[#ALL],2)/HLOOKUP($A813,표1[#ALL],row(),false)</f>
        <v>#N/A</v>
      </c>
      <c r="AI813" s="376" t="str">
        <f>CS_PID!AI813/VLOOKUP($B813,표2[#ALL],2)/HLOOKUP($A813,표1[#ALL],row(),false)</f>
        <v>#N/A</v>
      </c>
      <c r="AJ813" s="376" t="str">
        <f>CS_PID!AJ813/VLOOKUP($B813,표2[#ALL],2)/HLOOKUP($A813,표1[#ALL],row(),false)</f>
        <v>#N/A</v>
      </c>
      <c r="AK813" s="376" t="str">
        <f>CS_PID!AK813/VLOOKUP($B813,표2[#ALL],2)/HLOOKUP($A813,표1[#ALL],row(),false)</f>
        <v>#N/A</v>
      </c>
      <c r="AL813" s="376" t="str">
        <f>CS_PID!AL813/VLOOKUP($B813,표2[#ALL],2)/HLOOKUP($A813,표1[#ALL],row(),false)</f>
        <v>#N/A</v>
      </c>
      <c r="AM813" s="376" t="str">
        <f>CS_PID!AM813/VLOOKUP($B813,표2[#ALL],2)/HLOOKUP($A813,표1[#ALL],row(),false)</f>
        <v>#N/A</v>
      </c>
      <c r="AN813" s="376" t="str">
        <f>CS_PID!AN813/VLOOKUP($B813,표2[#ALL],2)/HLOOKUP($A813,표1[#ALL],row(),false)</f>
        <v>#N/A</v>
      </c>
      <c r="AO813" s="376" t="str">
        <f>CS_PID!AO813/VLOOKUP($B813,표2[#ALL],2)/HLOOKUP($A813,표1[#ALL],row(),false)</f>
        <v>#N/A</v>
      </c>
      <c r="AP813" s="376" t="str">
        <f>CS_PID!AP813/VLOOKUP($B813,표2[#ALL],2)/HLOOKUP($A813,표1[#ALL],row(),false)</f>
        <v>#N/A</v>
      </c>
      <c r="AQ813" s="376" t="str">
        <f>CS_PID!AQ813/VLOOKUP($B813,표2[#ALL],2)/HLOOKUP($A813,표1[#ALL],row(),false)</f>
        <v>#N/A</v>
      </c>
      <c r="AR813" s="376" t="str">
        <f>CS_PID!AR813/VLOOKUP($B813,표2[#ALL],2)/HLOOKUP($A813,표1[#ALL],row(),false)</f>
        <v>#N/A</v>
      </c>
      <c r="AS813" s="377" t="str">
        <f>CS_PID!AS813/VLOOKUP($B813,표2[#ALL],2)/HLOOKUP($A813,표1[#ALL],row(),false)</f>
        <v>#N/A</v>
      </c>
    </row>
    <row r="814">
      <c r="A814" s="370"/>
      <c r="B814" s="371"/>
      <c r="C814" s="372" t="str">
        <f>CS_PID!C814/VLOOKUP($B814,표2[#ALL],2)</f>
        <v>#N/A</v>
      </c>
      <c r="D814" s="372" t="str">
        <f>CS_PID!D814/VLOOKUP($B814,표2[#ALL],2)</f>
        <v>#N/A</v>
      </c>
      <c r="E814" s="372" t="str">
        <f>CS_PID!E814/VLOOKUP($B814,표2[#ALL],2)</f>
        <v>#N/A</v>
      </c>
      <c r="F814" s="372" t="str">
        <f>CS_PID!F814/VLOOKUP($B814,표2[#ALL],2)</f>
        <v>#N/A</v>
      </c>
      <c r="G814" s="372" t="str">
        <f>CS_PID!G814/VLOOKUP($B814,표2[#ALL],2)</f>
        <v>#N/A</v>
      </c>
      <c r="H814" s="372" t="str">
        <f>CS_PID!H814/VLOOKUP($B814,표2[#ALL],2)/HLOOKUP($A814,표1[#ALL],row(),false)</f>
        <v>#N/A</v>
      </c>
      <c r="I814" s="372" t="str">
        <f>CS_PID!I814/VLOOKUP($B814,표2[#ALL],2)/HLOOKUP($A814,표1[#ALL],row(),false)</f>
        <v>#N/A</v>
      </c>
      <c r="J814" s="372" t="str">
        <f>CS_PID!J814/VLOOKUP($B814,표2[#ALL],2)/HLOOKUP($A814,표1[#ALL],row(),false)</f>
        <v>#N/A</v>
      </c>
      <c r="K814" s="372" t="str">
        <f>CS_PID!K814/VLOOKUP($B814,표2[#ALL],2)/HLOOKUP($A814,표1[#ALL],row(),false)</f>
        <v>#N/A</v>
      </c>
      <c r="L814" s="372" t="str">
        <f>CS_PID!L814/VLOOKUP($B814,표2[#ALL],2)/HLOOKUP($A814,표1[#ALL],row(),false)</f>
        <v>#N/A</v>
      </c>
      <c r="M814" s="372" t="str">
        <f>CS_PID!M814/VLOOKUP($B814,표2[#ALL],2)/HLOOKUP($A814,표1[#ALL],row(),false)</f>
        <v>#N/A</v>
      </c>
      <c r="N814" s="372" t="str">
        <f>CS_PID!N814/VLOOKUP($B814,표2[#ALL],2)/HLOOKUP($A814,표1[#ALL],row(),false)</f>
        <v>#N/A</v>
      </c>
      <c r="O814" s="372" t="str">
        <f>CS_PID!O814/VLOOKUP($B814,표2[#ALL],2)/HLOOKUP($A814,표1[#ALL],row(),false)</f>
        <v>#N/A</v>
      </c>
      <c r="P814" s="372" t="str">
        <f>CS_PID!P814/VLOOKUP($B814,표2[#ALL],2)/HLOOKUP($A814,표1[#ALL],row(),false)</f>
        <v>#N/A</v>
      </c>
      <c r="Q814" s="372" t="str">
        <f>CS_PID!Q814/VLOOKUP($B814,표2[#ALL],2)/HLOOKUP($A814,표1[#ALL],row(),false)</f>
        <v>#N/A</v>
      </c>
      <c r="R814" s="372" t="str">
        <f>CS_PID!R814/VLOOKUP($B814,표2[#ALL],2)/HLOOKUP($A814,표1[#ALL],row(),false)</f>
        <v>#N/A</v>
      </c>
      <c r="S814" s="372" t="str">
        <f>CS_PID!S814/VLOOKUP($B814,표2[#ALL],2)/HLOOKUP($A814,표1[#ALL],row(),false)</f>
        <v>#N/A</v>
      </c>
      <c r="T814" s="372" t="str">
        <f>CS_PID!T814/VLOOKUP($B814,표2[#ALL],2)/HLOOKUP($A814,표1[#ALL],row(),false)</f>
        <v>#N/A</v>
      </c>
      <c r="U814" s="372" t="str">
        <f>CS_PID!U814/VLOOKUP($B814,표2[#ALL],2)/HLOOKUP($A814,표1[#ALL],row(),false)</f>
        <v>#N/A</v>
      </c>
      <c r="V814" s="372" t="str">
        <f>CS_PID!V814/VLOOKUP($B814,표2[#ALL],2)/HLOOKUP($A814,표1[#ALL],row(),false)</f>
        <v>#N/A</v>
      </c>
      <c r="W814" s="372" t="str">
        <f>CS_PID!W814/VLOOKUP($B814,표2[#ALL],2)/HLOOKUP($A814,표1[#ALL],row(),false)</f>
        <v>#N/A</v>
      </c>
      <c r="X814" s="372" t="str">
        <f>CS_PID!X814/VLOOKUP($B814,표2[#ALL],2)/HLOOKUP($A814,표1[#ALL],row(),false)</f>
        <v>#N/A</v>
      </c>
      <c r="Y814" s="372" t="str">
        <f>CS_PID!Y814/VLOOKUP($B814,표2[#ALL],2)/HLOOKUP($A814,표1[#ALL],row(),false)</f>
        <v>#N/A</v>
      </c>
      <c r="Z814" s="372" t="str">
        <f>CS_PID!Z814/VLOOKUP($B814,표2[#ALL],2)/HLOOKUP($A814,표1[#ALL],row(),false)</f>
        <v>#N/A</v>
      </c>
      <c r="AA814" s="372" t="str">
        <f>CS_PID!AA814/VLOOKUP($B814,표2[#ALL],2)/HLOOKUP($A814,표1[#ALL],row(),false)</f>
        <v>#N/A</v>
      </c>
      <c r="AB814" s="372" t="str">
        <f>CS_PID!AB814/VLOOKUP($B814,표2[#ALL],2)/HLOOKUP($A814,표1[#ALL],row(),false)</f>
        <v>#N/A</v>
      </c>
      <c r="AC814" s="372" t="str">
        <f>CS_PID!AC814/VLOOKUP($B814,표2[#ALL],2)/HLOOKUP($A814,표1[#ALL],row(),false)</f>
        <v>#N/A</v>
      </c>
      <c r="AD814" s="372" t="str">
        <f>CS_PID!AD814/VLOOKUP($B814,표2[#ALL],2)/HLOOKUP($A814,표1[#ALL],row(),false)</f>
        <v>#N/A</v>
      </c>
      <c r="AE814" s="372" t="str">
        <f>CS_PID!AE814/VLOOKUP($B814,표2[#ALL],2)/HLOOKUP($A814,표1[#ALL],row(),false)</f>
        <v>#N/A</v>
      </c>
      <c r="AF814" s="372" t="str">
        <f>CS_PID!AF814/VLOOKUP($B814,표2[#ALL],2)/HLOOKUP($A814,표1[#ALL],row(),false)</f>
        <v>#N/A</v>
      </c>
      <c r="AG814" s="372" t="str">
        <f>CS_PID!AG814/VLOOKUP($B814,표2[#ALL],2)/HLOOKUP($A814,표1[#ALL],row(),false)</f>
        <v>#N/A</v>
      </c>
      <c r="AH814" s="372" t="str">
        <f>CS_PID!AH814/VLOOKUP($B814,표2[#ALL],2)/HLOOKUP($A814,표1[#ALL],row(),false)</f>
        <v>#N/A</v>
      </c>
      <c r="AI814" s="372" t="str">
        <f>CS_PID!AI814/VLOOKUP($B814,표2[#ALL],2)/HLOOKUP($A814,표1[#ALL],row(),false)</f>
        <v>#N/A</v>
      </c>
      <c r="AJ814" s="372" t="str">
        <f>CS_PID!AJ814/VLOOKUP($B814,표2[#ALL],2)/HLOOKUP($A814,표1[#ALL],row(),false)</f>
        <v>#N/A</v>
      </c>
      <c r="AK814" s="372" t="str">
        <f>CS_PID!AK814/VLOOKUP($B814,표2[#ALL],2)/HLOOKUP($A814,표1[#ALL],row(),false)</f>
        <v>#N/A</v>
      </c>
      <c r="AL814" s="372" t="str">
        <f>CS_PID!AL814/VLOOKUP($B814,표2[#ALL],2)/HLOOKUP($A814,표1[#ALL],row(),false)</f>
        <v>#N/A</v>
      </c>
      <c r="AM814" s="372" t="str">
        <f>CS_PID!AM814/VLOOKUP($B814,표2[#ALL],2)/HLOOKUP($A814,표1[#ALL],row(),false)</f>
        <v>#N/A</v>
      </c>
      <c r="AN814" s="372" t="str">
        <f>CS_PID!AN814/VLOOKUP($B814,표2[#ALL],2)/HLOOKUP($A814,표1[#ALL],row(),false)</f>
        <v>#N/A</v>
      </c>
      <c r="AO814" s="372" t="str">
        <f>CS_PID!AO814/VLOOKUP($B814,표2[#ALL],2)/HLOOKUP($A814,표1[#ALL],row(),false)</f>
        <v>#N/A</v>
      </c>
      <c r="AP814" s="372" t="str">
        <f>CS_PID!AP814/VLOOKUP($B814,표2[#ALL],2)/HLOOKUP($A814,표1[#ALL],row(),false)</f>
        <v>#N/A</v>
      </c>
      <c r="AQ814" s="372" t="str">
        <f>CS_PID!AQ814/VLOOKUP($B814,표2[#ALL],2)/HLOOKUP($A814,표1[#ALL],row(),false)</f>
        <v>#N/A</v>
      </c>
      <c r="AR814" s="372" t="str">
        <f>CS_PID!AR814/VLOOKUP($B814,표2[#ALL],2)/HLOOKUP($A814,표1[#ALL],row(),false)</f>
        <v>#N/A</v>
      </c>
      <c r="AS814" s="373" t="str">
        <f>CS_PID!AS814/VLOOKUP($B814,표2[#ALL],2)/HLOOKUP($A814,표1[#ALL],row(),false)</f>
        <v>#N/A</v>
      </c>
    </row>
    <row r="815">
      <c r="A815" s="374"/>
      <c r="B815" s="375"/>
      <c r="C815" s="376" t="str">
        <f>CS_PID!C815/VLOOKUP($B815,표2[#ALL],2)</f>
        <v>#N/A</v>
      </c>
      <c r="D815" s="376" t="str">
        <f>CS_PID!D815/VLOOKUP($B815,표2[#ALL],2)</f>
        <v>#N/A</v>
      </c>
      <c r="E815" s="376" t="str">
        <f>CS_PID!E815/VLOOKUP($B815,표2[#ALL],2)</f>
        <v>#N/A</v>
      </c>
      <c r="F815" s="376" t="str">
        <f>CS_PID!F815/VLOOKUP($B815,표2[#ALL],2)</f>
        <v>#N/A</v>
      </c>
      <c r="G815" s="376" t="str">
        <f>CS_PID!G815/VLOOKUP($B815,표2[#ALL],2)</f>
        <v>#N/A</v>
      </c>
      <c r="H815" s="376" t="str">
        <f>CS_PID!H815/VLOOKUP($B815,표2[#ALL],2)/HLOOKUP($A815,표1[#ALL],row(),false)</f>
        <v>#N/A</v>
      </c>
      <c r="I815" s="376" t="str">
        <f>CS_PID!I815/VLOOKUP($B815,표2[#ALL],2)/HLOOKUP($A815,표1[#ALL],row(),false)</f>
        <v>#N/A</v>
      </c>
      <c r="J815" s="376" t="str">
        <f>CS_PID!J815/VLOOKUP($B815,표2[#ALL],2)/HLOOKUP($A815,표1[#ALL],row(),false)</f>
        <v>#N/A</v>
      </c>
      <c r="K815" s="376" t="str">
        <f>CS_PID!K815/VLOOKUP($B815,표2[#ALL],2)/HLOOKUP($A815,표1[#ALL],row(),false)</f>
        <v>#N/A</v>
      </c>
      <c r="L815" s="376" t="str">
        <f>CS_PID!L815/VLOOKUP($B815,표2[#ALL],2)/HLOOKUP($A815,표1[#ALL],row(),false)</f>
        <v>#N/A</v>
      </c>
      <c r="M815" s="376" t="str">
        <f>CS_PID!M815/VLOOKUP($B815,표2[#ALL],2)/HLOOKUP($A815,표1[#ALL],row(),false)</f>
        <v>#N/A</v>
      </c>
      <c r="N815" s="376" t="str">
        <f>CS_PID!N815/VLOOKUP($B815,표2[#ALL],2)/HLOOKUP($A815,표1[#ALL],row(),false)</f>
        <v>#N/A</v>
      </c>
      <c r="O815" s="376" t="str">
        <f>CS_PID!O815/VLOOKUP($B815,표2[#ALL],2)/HLOOKUP($A815,표1[#ALL],row(),false)</f>
        <v>#N/A</v>
      </c>
      <c r="P815" s="376" t="str">
        <f>CS_PID!P815/VLOOKUP($B815,표2[#ALL],2)/HLOOKUP($A815,표1[#ALL],row(),false)</f>
        <v>#N/A</v>
      </c>
      <c r="Q815" s="376" t="str">
        <f>CS_PID!Q815/VLOOKUP($B815,표2[#ALL],2)/HLOOKUP($A815,표1[#ALL],row(),false)</f>
        <v>#N/A</v>
      </c>
      <c r="R815" s="376" t="str">
        <f>CS_PID!R815/VLOOKUP($B815,표2[#ALL],2)/HLOOKUP($A815,표1[#ALL],row(),false)</f>
        <v>#N/A</v>
      </c>
      <c r="S815" s="376" t="str">
        <f>CS_PID!S815/VLOOKUP($B815,표2[#ALL],2)/HLOOKUP($A815,표1[#ALL],row(),false)</f>
        <v>#N/A</v>
      </c>
      <c r="T815" s="376" t="str">
        <f>CS_PID!T815/VLOOKUP($B815,표2[#ALL],2)/HLOOKUP($A815,표1[#ALL],row(),false)</f>
        <v>#N/A</v>
      </c>
      <c r="U815" s="376" t="str">
        <f>CS_PID!U815/VLOOKUP($B815,표2[#ALL],2)/HLOOKUP($A815,표1[#ALL],row(),false)</f>
        <v>#N/A</v>
      </c>
      <c r="V815" s="376" t="str">
        <f>CS_PID!V815/VLOOKUP($B815,표2[#ALL],2)/HLOOKUP($A815,표1[#ALL],row(),false)</f>
        <v>#N/A</v>
      </c>
      <c r="W815" s="376" t="str">
        <f>CS_PID!W815/VLOOKUP($B815,표2[#ALL],2)/HLOOKUP($A815,표1[#ALL],row(),false)</f>
        <v>#N/A</v>
      </c>
      <c r="X815" s="376" t="str">
        <f>CS_PID!X815/VLOOKUP($B815,표2[#ALL],2)/HLOOKUP($A815,표1[#ALL],row(),false)</f>
        <v>#N/A</v>
      </c>
      <c r="Y815" s="376" t="str">
        <f>CS_PID!Y815/VLOOKUP($B815,표2[#ALL],2)/HLOOKUP($A815,표1[#ALL],row(),false)</f>
        <v>#N/A</v>
      </c>
      <c r="Z815" s="376" t="str">
        <f>CS_PID!Z815/VLOOKUP($B815,표2[#ALL],2)/HLOOKUP($A815,표1[#ALL],row(),false)</f>
        <v>#N/A</v>
      </c>
      <c r="AA815" s="376" t="str">
        <f>CS_PID!AA815/VLOOKUP($B815,표2[#ALL],2)/HLOOKUP($A815,표1[#ALL],row(),false)</f>
        <v>#N/A</v>
      </c>
      <c r="AB815" s="376" t="str">
        <f>CS_PID!AB815/VLOOKUP($B815,표2[#ALL],2)/HLOOKUP($A815,표1[#ALL],row(),false)</f>
        <v>#N/A</v>
      </c>
      <c r="AC815" s="376" t="str">
        <f>CS_PID!AC815/VLOOKUP($B815,표2[#ALL],2)/HLOOKUP($A815,표1[#ALL],row(),false)</f>
        <v>#N/A</v>
      </c>
      <c r="AD815" s="376" t="str">
        <f>CS_PID!AD815/VLOOKUP($B815,표2[#ALL],2)/HLOOKUP($A815,표1[#ALL],row(),false)</f>
        <v>#N/A</v>
      </c>
      <c r="AE815" s="376" t="str">
        <f>CS_PID!AE815/VLOOKUP($B815,표2[#ALL],2)/HLOOKUP($A815,표1[#ALL],row(),false)</f>
        <v>#N/A</v>
      </c>
      <c r="AF815" s="376" t="str">
        <f>CS_PID!AF815/VLOOKUP($B815,표2[#ALL],2)/HLOOKUP($A815,표1[#ALL],row(),false)</f>
        <v>#N/A</v>
      </c>
      <c r="AG815" s="376" t="str">
        <f>CS_PID!AG815/VLOOKUP($B815,표2[#ALL],2)/HLOOKUP($A815,표1[#ALL],row(),false)</f>
        <v>#N/A</v>
      </c>
      <c r="AH815" s="376" t="str">
        <f>CS_PID!AH815/VLOOKUP($B815,표2[#ALL],2)/HLOOKUP($A815,표1[#ALL],row(),false)</f>
        <v>#N/A</v>
      </c>
      <c r="AI815" s="376" t="str">
        <f>CS_PID!AI815/VLOOKUP($B815,표2[#ALL],2)/HLOOKUP($A815,표1[#ALL],row(),false)</f>
        <v>#N/A</v>
      </c>
      <c r="AJ815" s="376" t="str">
        <f>CS_PID!AJ815/VLOOKUP($B815,표2[#ALL],2)/HLOOKUP($A815,표1[#ALL],row(),false)</f>
        <v>#N/A</v>
      </c>
      <c r="AK815" s="376" t="str">
        <f>CS_PID!AK815/VLOOKUP($B815,표2[#ALL],2)/HLOOKUP($A815,표1[#ALL],row(),false)</f>
        <v>#N/A</v>
      </c>
      <c r="AL815" s="376" t="str">
        <f>CS_PID!AL815/VLOOKUP($B815,표2[#ALL],2)/HLOOKUP($A815,표1[#ALL],row(),false)</f>
        <v>#N/A</v>
      </c>
      <c r="AM815" s="376" t="str">
        <f>CS_PID!AM815/VLOOKUP($B815,표2[#ALL],2)/HLOOKUP($A815,표1[#ALL],row(),false)</f>
        <v>#N/A</v>
      </c>
      <c r="AN815" s="376" t="str">
        <f>CS_PID!AN815/VLOOKUP($B815,표2[#ALL],2)/HLOOKUP($A815,표1[#ALL],row(),false)</f>
        <v>#N/A</v>
      </c>
      <c r="AO815" s="376" t="str">
        <f>CS_PID!AO815/VLOOKUP($B815,표2[#ALL],2)/HLOOKUP($A815,표1[#ALL],row(),false)</f>
        <v>#N/A</v>
      </c>
      <c r="AP815" s="376" t="str">
        <f>CS_PID!AP815/VLOOKUP($B815,표2[#ALL],2)/HLOOKUP($A815,표1[#ALL],row(),false)</f>
        <v>#N/A</v>
      </c>
      <c r="AQ815" s="376" t="str">
        <f>CS_PID!AQ815/VLOOKUP($B815,표2[#ALL],2)/HLOOKUP($A815,표1[#ALL],row(),false)</f>
        <v>#N/A</v>
      </c>
      <c r="AR815" s="376" t="str">
        <f>CS_PID!AR815/VLOOKUP($B815,표2[#ALL],2)/HLOOKUP($A815,표1[#ALL],row(),false)</f>
        <v>#N/A</v>
      </c>
      <c r="AS815" s="377" t="str">
        <f>CS_PID!AS815/VLOOKUP($B815,표2[#ALL],2)/HLOOKUP($A815,표1[#ALL],row(),false)</f>
        <v>#N/A</v>
      </c>
    </row>
    <row r="816">
      <c r="A816" s="370"/>
      <c r="B816" s="371"/>
      <c r="C816" s="372" t="str">
        <f>CS_PID!C816/VLOOKUP($B816,표2[#ALL],2)</f>
        <v>#N/A</v>
      </c>
      <c r="D816" s="372" t="str">
        <f>CS_PID!D816/VLOOKUP($B816,표2[#ALL],2)</f>
        <v>#N/A</v>
      </c>
      <c r="E816" s="372" t="str">
        <f>CS_PID!E816/VLOOKUP($B816,표2[#ALL],2)</f>
        <v>#N/A</v>
      </c>
      <c r="F816" s="372" t="str">
        <f>CS_PID!F816/VLOOKUP($B816,표2[#ALL],2)</f>
        <v>#N/A</v>
      </c>
      <c r="G816" s="372" t="str">
        <f>CS_PID!G816/VLOOKUP($B816,표2[#ALL],2)</f>
        <v>#N/A</v>
      </c>
      <c r="H816" s="372" t="str">
        <f>CS_PID!H816/VLOOKUP($B816,표2[#ALL],2)/HLOOKUP($A816,표1[#ALL],row(),false)</f>
        <v>#N/A</v>
      </c>
      <c r="I816" s="372" t="str">
        <f>CS_PID!I816/VLOOKUP($B816,표2[#ALL],2)/HLOOKUP($A816,표1[#ALL],row(),false)</f>
        <v>#N/A</v>
      </c>
      <c r="J816" s="372" t="str">
        <f>CS_PID!J816/VLOOKUP($B816,표2[#ALL],2)/HLOOKUP($A816,표1[#ALL],row(),false)</f>
        <v>#N/A</v>
      </c>
      <c r="K816" s="372" t="str">
        <f>CS_PID!K816/VLOOKUP($B816,표2[#ALL],2)/HLOOKUP($A816,표1[#ALL],row(),false)</f>
        <v>#N/A</v>
      </c>
      <c r="L816" s="372" t="str">
        <f>CS_PID!L816/VLOOKUP($B816,표2[#ALL],2)/HLOOKUP($A816,표1[#ALL],row(),false)</f>
        <v>#N/A</v>
      </c>
      <c r="M816" s="372" t="str">
        <f>CS_PID!M816/VLOOKUP($B816,표2[#ALL],2)/HLOOKUP($A816,표1[#ALL],row(),false)</f>
        <v>#N/A</v>
      </c>
      <c r="N816" s="372" t="str">
        <f>CS_PID!N816/VLOOKUP($B816,표2[#ALL],2)/HLOOKUP($A816,표1[#ALL],row(),false)</f>
        <v>#N/A</v>
      </c>
      <c r="O816" s="372" t="str">
        <f>CS_PID!O816/VLOOKUP($B816,표2[#ALL],2)/HLOOKUP($A816,표1[#ALL],row(),false)</f>
        <v>#N/A</v>
      </c>
      <c r="P816" s="372" t="str">
        <f>CS_PID!P816/VLOOKUP($B816,표2[#ALL],2)/HLOOKUP($A816,표1[#ALL],row(),false)</f>
        <v>#N/A</v>
      </c>
      <c r="Q816" s="372" t="str">
        <f>CS_PID!Q816/VLOOKUP($B816,표2[#ALL],2)/HLOOKUP($A816,표1[#ALL],row(),false)</f>
        <v>#N/A</v>
      </c>
      <c r="R816" s="372" t="str">
        <f>CS_PID!R816/VLOOKUP($B816,표2[#ALL],2)/HLOOKUP($A816,표1[#ALL],row(),false)</f>
        <v>#N/A</v>
      </c>
      <c r="S816" s="372" t="str">
        <f>CS_PID!S816/VLOOKUP($B816,표2[#ALL],2)/HLOOKUP($A816,표1[#ALL],row(),false)</f>
        <v>#N/A</v>
      </c>
      <c r="T816" s="372" t="str">
        <f>CS_PID!T816/VLOOKUP($B816,표2[#ALL],2)/HLOOKUP($A816,표1[#ALL],row(),false)</f>
        <v>#N/A</v>
      </c>
      <c r="U816" s="372" t="str">
        <f>CS_PID!U816/VLOOKUP($B816,표2[#ALL],2)/HLOOKUP($A816,표1[#ALL],row(),false)</f>
        <v>#N/A</v>
      </c>
      <c r="V816" s="372" t="str">
        <f>CS_PID!V816/VLOOKUP($B816,표2[#ALL],2)/HLOOKUP($A816,표1[#ALL],row(),false)</f>
        <v>#N/A</v>
      </c>
      <c r="W816" s="372" t="str">
        <f>CS_PID!W816/VLOOKUP($B816,표2[#ALL],2)/HLOOKUP($A816,표1[#ALL],row(),false)</f>
        <v>#N/A</v>
      </c>
      <c r="X816" s="372" t="str">
        <f>CS_PID!X816/VLOOKUP($B816,표2[#ALL],2)/HLOOKUP($A816,표1[#ALL],row(),false)</f>
        <v>#N/A</v>
      </c>
      <c r="Y816" s="372" t="str">
        <f>CS_PID!Y816/VLOOKUP($B816,표2[#ALL],2)/HLOOKUP($A816,표1[#ALL],row(),false)</f>
        <v>#N/A</v>
      </c>
      <c r="Z816" s="372" t="str">
        <f>CS_PID!Z816/VLOOKUP($B816,표2[#ALL],2)/HLOOKUP($A816,표1[#ALL],row(),false)</f>
        <v>#N/A</v>
      </c>
      <c r="AA816" s="372" t="str">
        <f>CS_PID!AA816/VLOOKUP($B816,표2[#ALL],2)/HLOOKUP($A816,표1[#ALL],row(),false)</f>
        <v>#N/A</v>
      </c>
      <c r="AB816" s="372" t="str">
        <f>CS_PID!AB816/VLOOKUP($B816,표2[#ALL],2)/HLOOKUP($A816,표1[#ALL],row(),false)</f>
        <v>#N/A</v>
      </c>
      <c r="AC816" s="372" t="str">
        <f>CS_PID!AC816/VLOOKUP($B816,표2[#ALL],2)/HLOOKUP($A816,표1[#ALL],row(),false)</f>
        <v>#N/A</v>
      </c>
      <c r="AD816" s="372" t="str">
        <f>CS_PID!AD816/VLOOKUP($B816,표2[#ALL],2)/HLOOKUP($A816,표1[#ALL],row(),false)</f>
        <v>#N/A</v>
      </c>
      <c r="AE816" s="372" t="str">
        <f>CS_PID!AE816/VLOOKUP($B816,표2[#ALL],2)/HLOOKUP($A816,표1[#ALL],row(),false)</f>
        <v>#N/A</v>
      </c>
      <c r="AF816" s="372" t="str">
        <f>CS_PID!AF816/VLOOKUP($B816,표2[#ALL],2)/HLOOKUP($A816,표1[#ALL],row(),false)</f>
        <v>#N/A</v>
      </c>
      <c r="AG816" s="372" t="str">
        <f>CS_PID!AG816/VLOOKUP($B816,표2[#ALL],2)/HLOOKUP($A816,표1[#ALL],row(),false)</f>
        <v>#N/A</v>
      </c>
      <c r="AH816" s="372" t="str">
        <f>CS_PID!AH816/VLOOKUP($B816,표2[#ALL],2)/HLOOKUP($A816,표1[#ALL],row(),false)</f>
        <v>#N/A</v>
      </c>
      <c r="AI816" s="372" t="str">
        <f>CS_PID!AI816/VLOOKUP($B816,표2[#ALL],2)/HLOOKUP($A816,표1[#ALL],row(),false)</f>
        <v>#N/A</v>
      </c>
      <c r="AJ816" s="372" t="str">
        <f>CS_PID!AJ816/VLOOKUP($B816,표2[#ALL],2)/HLOOKUP($A816,표1[#ALL],row(),false)</f>
        <v>#N/A</v>
      </c>
      <c r="AK816" s="372" t="str">
        <f>CS_PID!AK816/VLOOKUP($B816,표2[#ALL],2)/HLOOKUP($A816,표1[#ALL],row(),false)</f>
        <v>#N/A</v>
      </c>
      <c r="AL816" s="372" t="str">
        <f>CS_PID!AL816/VLOOKUP($B816,표2[#ALL],2)/HLOOKUP($A816,표1[#ALL],row(),false)</f>
        <v>#N/A</v>
      </c>
      <c r="AM816" s="372" t="str">
        <f>CS_PID!AM816/VLOOKUP($B816,표2[#ALL],2)/HLOOKUP($A816,표1[#ALL],row(),false)</f>
        <v>#N/A</v>
      </c>
      <c r="AN816" s="372" t="str">
        <f>CS_PID!AN816/VLOOKUP($B816,표2[#ALL],2)/HLOOKUP($A816,표1[#ALL],row(),false)</f>
        <v>#N/A</v>
      </c>
      <c r="AO816" s="372" t="str">
        <f>CS_PID!AO816/VLOOKUP($B816,표2[#ALL],2)/HLOOKUP($A816,표1[#ALL],row(),false)</f>
        <v>#N/A</v>
      </c>
      <c r="AP816" s="372" t="str">
        <f>CS_PID!AP816/VLOOKUP($B816,표2[#ALL],2)/HLOOKUP($A816,표1[#ALL],row(),false)</f>
        <v>#N/A</v>
      </c>
      <c r="AQ816" s="372" t="str">
        <f>CS_PID!AQ816/VLOOKUP($B816,표2[#ALL],2)/HLOOKUP($A816,표1[#ALL],row(),false)</f>
        <v>#N/A</v>
      </c>
      <c r="AR816" s="372" t="str">
        <f>CS_PID!AR816/VLOOKUP($B816,표2[#ALL],2)/HLOOKUP($A816,표1[#ALL],row(),false)</f>
        <v>#N/A</v>
      </c>
      <c r="AS816" s="373" t="str">
        <f>CS_PID!AS816/VLOOKUP($B816,표2[#ALL],2)/HLOOKUP($A816,표1[#ALL],row(),false)</f>
        <v>#N/A</v>
      </c>
    </row>
    <row r="817">
      <c r="A817" s="374"/>
      <c r="B817" s="375"/>
      <c r="C817" s="376" t="str">
        <f>CS_PID!C817/VLOOKUP($B817,표2[#ALL],2)</f>
        <v>#N/A</v>
      </c>
      <c r="D817" s="376" t="str">
        <f>CS_PID!D817/VLOOKUP($B817,표2[#ALL],2)</f>
        <v>#N/A</v>
      </c>
      <c r="E817" s="376" t="str">
        <f>CS_PID!E817/VLOOKUP($B817,표2[#ALL],2)</f>
        <v>#N/A</v>
      </c>
      <c r="F817" s="376" t="str">
        <f>CS_PID!F817/VLOOKUP($B817,표2[#ALL],2)</f>
        <v>#N/A</v>
      </c>
      <c r="G817" s="376" t="str">
        <f>CS_PID!G817/VLOOKUP($B817,표2[#ALL],2)</f>
        <v>#N/A</v>
      </c>
      <c r="H817" s="376" t="str">
        <f>CS_PID!H817/VLOOKUP($B817,표2[#ALL],2)/HLOOKUP($A817,표1[#ALL],row(),false)</f>
        <v>#N/A</v>
      </c>
      <c r="I817" s="376" t="str">
        <f>CS_PID!I817/VLOOKUP($B817,표2[#ALL],2)/HLOOKUP($A817,표1[#ALL],row(),false)</f>
        <v>#N/A</v>
      </c>
      <c r="J817" s="376" t="str">
        <f>CS_PID!J817/VLOOKUP($B817,표2[#ALL],2)/HLOOKUP($A817,표1[#ALL],row(),false)</f>
        <v>#N/A</v>
      </c>
      <c r="K817" s="376" t="str">
        <f>CS_PID!K817/VLOOKUP($B817,표2[#ALL],2)/HLOOKUP($A817,표1[#ALL],row(),false)</f>
        <v>#N/A</v>
      </c>
      <c r="L817" s="376" t="str">
        <f>CS_PID!L817/VLOOKUP($B817,표2[#ALL],2)/HLOOKUP($A817,표1[#ALL],row(),false)</f>
        <v>#N/A</v>
      </c>
      <c r="M817" s="376" t="str">
        <f>CS_PID!M817/VLOOKUP($B817,표2[#ALL],2)/HLOOKUP($A817,표1[#ALL],row(),false)</f>
        <v>#N/A</v>
      </c>
      <c r="N817" s="376" t="str">
        <f>CS_PID!N817/VLOOKUP($B817,표2[#ALL],2)/HLOOKUP($A817,표1[#ALL],row(),false)</f>
        <v>#N/A</v>
      </c>
      <c r="O817" s="376" t="str">
        <f>CS_PID!O817/VLOOKUP($B817,표2[#ALL],2)/HLOOKUP($A817,표1[#ALL],row(),false)</f>
        <v>#N/A</v>
      </c>
      <c r="P817" s="376" t="str">
        <f>CS_PID!P817/VLOOKUP($B817,표2[#ALL],2)/HLOOKUP($A817,표1[#ALL],row(),false)</f>
        <v>#N/A</v>
      </c>
      <c r="Q817" s="376" t="str">
        <f>CS_PID!Q817/VLOOKUP($B817,표2[#ALL],2)/HLOOKUP($A817,표1[#ALL],row(),false)</f>
        <v>#N/A</v>
      </c>
      <c r="R817" s="376" t="str">
        <f>CS_PID!R817/VLOOKUP($B817,표2[#ALL],2)/HLOOKUP($A817,표1[#ALL],row(),false)</f>
        <v>#N/A</v>
      </c>
      <c r="S817" s="376" t="str">
        <f>CS_PID!S817/VLOOKUP($B817,표2[#ALL],2)/HLOOKUP($A817,표1[#ALL],row(),false)</f>
        <v>#N/A</v>
      </c>
      <c r="T817" s="376" t="str">
        <f>CS_PID!T817/VLOOKUP($B817,표2[#ALL],2)/HLOOKUP($A817,표1[#ALL],row(),false)</f>
        <v>#N/A</v>
      </c>
      <c r="U817" s="376" t="str">
        <f>CS_PID!U817/VLOOKUP($B817,표2[#ALL],2)/HLOOKUP($A817,표1[#ALL],row(),false)</f>
        <v>#N/A</v>
      </c>
      <c r="V817" s="376" t="str">
        <f>CS_PID!V817/VLOOKUP($B817,표2[#ALL],2)/HLOOKUP($A817,표1[#ALL],row(),false)</f>
        <v>#N/A</v>
      </c>
      <c r="W817" s="376" t="str">
        <f>CS_PID!W817/VLOOKUP($B817,표2[#ALL],2)/HLOOKUP($A817,표1[#ALL],row(),false)</f>
        <v>#N/A</v>
      </c>
      <c r="X817" s="376" t="str">
        <f>CS_PID!X817/VLOOKUP($B817,표2[#ALL],2)/HLOOKUP($A817,표1[#ALL],row(),false)</f>
        <v>#N/A</v>
      </c>
      <c r="Y817" s="376" t="str">
        <f>CS_PID!Y817/VLOOKUP($B817,표2[#ALL],2)/HLOOKUP($A817,표1[#ALL],row(),false)</f>
        <v>#N/A</v>
      </c>
      <c r="Z817" s="376" t="str">
        <f>CS_PID!Z817/VLOOKUP($B817,표2[#ALL],2)/HLOOKUP($A817,표1[#ALL],row(),false)</f>
        <v>#N/A</v>
      </c>
      <c r="AA817" s="376" t="str">
        <f>CS_PID!AA817/VLOOKUP($B817,표2[#ALL],2)/HLOOKUP($A817,표1[#ALL],row(),false)</f>
        <v>#N/A</v>
      </c>
      <c r="AB817" s="376" t="str">
        <f>CS_PID!AB817/VLOOKUP($B817,표2[#ALL],2)/HLOOKUP($A817,표1[#ALL],row(),false)</f>
        <v>#N/A</v>
      </c>
      <c r="AC817" s="376" t="str">
        <f>CS_PID!AC817/VLOOKUP($B817,표2[#ALL],2)/HLOOKUP($A817,표1[#ALL],row(),false)</f>
        <v>#N/A</v>
      </c>
      <c r="AD817" s="376" t="str">
        <f>CS_PID!AD817/VLOOKUP($B817,표2[#ALL],2)/HLOOKUP($A817,표1[#ALL],row(),false)</f>
        <v>#N/A</v>
      </c>
      <c r="AE817" s="376" t="str">
        <f>CS_PID!AE817/VLOOKUP($B817,표2[#ALL],2)/HLOOKUP($A817,표1[#ALL],row(),false)</f>
        <v>#N/A</v>
      </c>
      <c r="AF817" s="376" t="str">
        <f>CS_PID!AF817/VLOOKUP($B817,표2[#ALL],2)/HLOOKUP($A817,표1[#ALL],row(),false)</f>
        <v>#N/A</v>
      </c>
      <c r="AG817" s="376" t="str">
        <f>CS_PID!AG817/VLOOKUP($B817,표2[#ALL],2)/HLOOKUP($A817,표1[#ALL],row(),false)</f>
        <v>#N/A</v>
      </c>
      <c r="AH817" s="376" t="str">
        <f>CS_PID!AH817/VLOOKUP($B817,표2[#ALL],2)/HLOOKUP($A817,표1[#ALL],row(),false)</f>
        <v>#N/A</v>
      </c>
      <c r="AI817" s="376" t="str">
        <f>CS_PID!AI817/VLOOKUP($B817,표2[#ALL],2)/HLOOKUP($A817,표1[#ALL],row(),false)</f>
        <v>#N/A</v>
      </c>
      <c r="AJ817" s="376" t="str">
        <f>CS_PID!AJ817/VLOOKUP($B817,표2[#ALL],2)/HLOOKUP($A817,표1[#ALL],row(),false)</f>
        <v>#N/A</v>
      </c>
      <c r="AK817" s="376" t="str">
        <f>CS_PID!AK817/VLOOKUP($B817,표2[#ALL],2)/HLOOKUP($A817,표1[#ALL],row(),false)</f>
        <v>#N/A</v>
      </c>
      <c r="AL817" s="376" t="str">
        <f>CS_PID!AL817/VLOOKUP($B817,표2[#ALL],2)/HLOOKUP($A817,표1[#ALL],row(),false)</f>
        <v>#N/A</v>
      </c>
      <c r="AM817" s="376" t="str">
        <f>CS_PID!AM817/VLOOKUP($B817,표2[#ALL],2)/HLOOKUP($A817,표1[#ALL],row(),false)</f>
        <v>#N/A</v>
      </c>
      <c r="AN817" s="376" t="str">
        <f>CS_PID!AN817/VLOOKUP($B817,표2[#ALL],2)/HLOOKUP($A817,표1[#ALL],row(),false)</f>
        <v>#N/A</v>
      </c>
      <c r="AO817" s="376" t="str">
        <f>CS_PID!AO817/VLOOKUP($B817,표2[#ALL],2)/HLOOKUP($A817,표1[#ALL],row(),false)</f>
        <v>#N/A</v>
      </c>
      <c r="AP817" s="376" t="str">
        <f>CS_PID!AP817/VLOOKUP($B817,표2[#ALL],2)/HLOOKUP($A817,표1[#ALL],row(),false)</f>
        <v>#N/A</v>
      </c>
      <c r="AQ817" s="376" t="str">
        <f>CS_PID!AQ817/VLOOKUP($B817,표2[#ALL],2)/HLOOKUP($A817,표1[#ALL],row(),false)</f>
        <v>#N/A</v>
      </c>
      <c r="AR817" s="376" t="str">
        <f>CS_PID!AR817/VLOOKUP($B817,표2[#ALL],2)/HLOOKUP($A817,표1[#ALL],row(),false)</f>
        <v>#N/A</v>
      </c>
      <c r="AS817" s="377" t="str">
        <f>CS_PID!AS817/VLOOKUP($B817,표2[#ALL],2)/HLOOKUP($A817,표1[#ALL],row(),false)</f>
        <v>#N/A</v>
      </c>
    </row>
    <row r="818">
      <c r="A818" s="370"/>
      <c r="B818" s="371"/>
      <c r="C818" s="372" t="str">
        <f>CS_PID!C818/VLOOKUP($B818,표2[#ALL],2)</f>
        <v>#N/A</v>
      </c>
      <c r="D818" s="372" t="str">
        <f>CS_PID!D818/VLOOKUP($B818,표2[#ALL],2)</f>
        <v>#N/A</v>
      </c>
      <c r="E818" s="372" t="str">
        <f>CS_PID!E818/VLOOKUP($B818,표2[#ALL],2)</f>
        <v>#N/A</v>
      </c>
      <c r="F818" s="372" t="str">
        <f>CS_PID!F818/VLOOKUP($B818,표2[#ALL],2)</f>
        <v>#N/A</v>
      </c>
      <c r="G818" s="372" t="str">
        <f>CS_PID!G818/VLOOKUP($B818,표2[#ALL],2)</f>
        <v>#N/A</v>
      </c>
      <c r="H818" s="372" t="str">
        <f>CS_PID!H818/VLOOKUP($B818,표2[#ALL],2)/HLOOKUP($A818,표1[#ALL],row(),false)</f>
        <v>#N/A</v>
      </c>
      <c r="I818" s="372" t="str">
        <f>CS_PID!I818/VLOOKUP($B818,표2[#ALL],2)/HLOOKUP($A818,표1[#ALL],row(),false)</f>
        <v>#N/A</v>
      </c>
      <c r="J818" s="372" t="str">
        <f>CS_PID!J818/VLOOKUP($B818,표2[#ALL],2)/HLOOKUP($A818,표1[#ALL],row(),false)</f>
        <v>#N/A</v>
      </c>
      <c r="K818" s="372" t="str">
        <f>CS_PID!K818/VLOOKUP($B818,표2[#ALL],2)/HLOOKUP($A818,표1[#ALL],row(),false)</f>
        <v>#N/A</v>
      </c>
      <c r="L818" s="372" t="str">
        <f>CS_PID!L818/VLOOKUP($B818,표2[#ALL],2)/HLOOKUP($A818,표1[#ALL],row(),false)</f>
        <v>#N/A</v>
      </c>
      <c r="M818" s="372" t="str">
        <f>CS_PID!M818/VLOOKUP($B818,표2[#ALL],2)/HLOOKUP($A818,표1[#ALL],row(),false)</f>
        <v>#N/A</v>
      </c>
      <c r="N818" s="372" t="str">
        <f>CS_PID!N818/VLOOKUP($B818,표2[#ALL],2)/HLOOKUP($A818,표1[#ALL],row(),false)</f>
        <v>#N/A</v>
      </c>
      <c r="O818" s="372" t="str">
        <f>CS_PID!O818/VLOOKUP($B818,표2[#ALL],2)/HLOOKUP($A818,표1[#ALL],row(),false)</f>
        <v>#N/A</v>
      </c>
      <c r="P818" s="372" t="str">
        <f>CS_PID!P818/VLOOKUP($B818,표2[#ALL],2)/HLOOKUP($A818,표1[#ALL],row(),false)</f>
        <v>#N/A</v>
      </c>
      <c r="Q818" s="372" t="str">
        <f>CS_PID!Q818/VLOOKUP($B818,표2[#ALL],2)/HLOOKUP($A818,표1[#ALL],row(),false)</f>
        <v>#N/A</v>
      </c>
      <c r="R818" s="372" t="str">
        <f>CS_PID!R818/VLOOKUP($B818,표2[#ALL],2)/HLOOKUP($A818,표1[#ALL],row(),false)</f>
        <v>#N/A</v>
      </c>
      <c r="S818" s="372" t="str">
        <f>CS_PID!S818/VLOOKUP($B818,표2[#ALL],2)/HLOOKUP($A818,표1[#ALL],row(),false)</f>
        <v>#N/A</v>
      </c>
      <c r="T818" s="372" t="str">
        <f>CS_PID!T818/VLOOKUP($B818,표2[#ALL],2)/HLOOKUP($A818,표1[#ALL],row(),false)</f>
        <v>#N/A</v>
      </c>
      <c r="U818" s="372" t="str">
        <f>CS_PID!U818/VLOOKUP($B818,표2[#ALL],2)/HLOOKUP($A818,표1[#ALL],row(),false)</f>
        <v>#N/A</v>
      </c>
      <c r="V818" s="372" t="str">
        <f>CS_PID!V818/VLOOKUP($B818,표2[#ALL],2)/HLOOKUP($A818,표1[#ALL],row(),false)</f>
        <v>#N/A</v>
      </c>
      <c r="W818" s="372" t="str">
        <f>CS_PID!W818/VLOOKUP($B818,표2[#ALL],2)/HLOOKUP($A818,표1[#ALL],row(),false)</f>
        <v>#N/A</v>
      </c>
      <c r="X818" s="372" t="str">
        <f>CS_PID!X818/VLOOKUP($B818,표2[#ALL],2)/HLOOKUP($A818,표1[#ALL],row(),false)</f>
        <v>#N/A</v>
      </c>
      <c r="Y818" s="372" t="str">
        <f>CS_PID!Y818/VLOOKUP($B818,표2[#ALL],2)/HLOOKUP($A818,표1[#ALL],row(),false)</f>
        <v>#N/A</v>
      </c>
      <c r="Z818" s="372" t="str">
        <f>CS_PID!Z818/VLOOKUP($B818,표2[#ALL],2)/HLOOKUP($A818,표1[#ALL],row(),false)</f>
        <v>#N/A</v>
      </c>
      <c r="AA818" s="372" t="str">
        <f>CS_PID!AA818/VLOOKUP($B818,표2[#ALL],2)/HLOOKUP($A818,표1[#ALL],row(),false)</f>
        <v>#N/A</v>
      </c>
      <c r="AB818" s="372" t="str">
        <f>CS_PID!AB818/VLOOKUP($B818,표2[#ALL],2)/HLOOKUP($A818,표1[#ALL],row(),false)</f>
        <v>#N/A</v>
      </c>
      <c r="AC818" s="372" t="str">
        <f>CS_PID!AC818/VLOOKUP($B818,표2[#ALL],2)/HLOOKUP($A818,표1[#ALL],row(),false)</f>
        <v>#N/A</v>
      </c>
      <c r="AD818" s="372" t="str">
        <f>CS_PID!AD818/VLOOKUP($B818,표2[#ALL],2)/HLOOKUP($A818,표1[#ALL],row(),false)</f>
        <v>#N/A</v>
      </c>
      <c r="AE818" s="372" t="str">
        <f>CS_PID!AE818/VLOOKUP($B818,표2[#ALL],2)/HLOOKUP($A818,표1[#ALL],row(),false)</f>
        <v>#N/A</v>
      </c>
      <c r="AF818" s="372" t="str">
        <f>CS_PID!AF818/VLOOKUP($B818,표2[#ALL],2)/HLOOKUP($A818,표1[#ALL],row(),false)</f>
        <v>#N/A</v>
      </c>
      <c r="AG818" s="372" t="str">
        <f>CS_PID!AG818/VLOOKUP($B818,표2[#ALL],2)/HLOOKUP($A818,표1[#ALL],row(),false)</f>
        <v>#N/A</v>
      </c>
      <c r="AH818" s="372" t="str">
        <f>CS_PID!AH818/VLOOKUP($B818,표2[#ALL],2)/HLOOKUP($A818,표1[#ALL],row(),false)</f>
        <v>#N/A</v>
      </c>
      <c r="AI818" s="372" t="str">
        <f>CS_PID!AI818/VLOOKUP($B818,표2[#ALL],2)/HLOOKUP($A818,표1[#ALL],row(),false)</f>
        <v>#N/A</v>
      </c>
      <c r="AJ818" s="372" t="str">
        <f>CS_PID!AJ818/VLOOKUP($B818,표2[#ALL],2)/HLOOKUP($A818,표1[#ALL],row(),false)</f>
        <v>#N/A</v>
      </c>
      <c r="AK818" s="372" t="str">
        <f>CS_PID!AK818/VLOOKUP($B818,표2[#ALL],2)/HLOOKUP($A818,표1[#ALL],row(),false)</f>
        <v>#N/A</v>
      </c>
      <c r="AL818" s="372" t="str">
        <f>CS_PID!AL818/VLOOKUP($B818,표2[#ALL],2)/HLOOKUP($A818,표1[#ALL],row(),false)</f>
        <v>#N/A</v>
      </c>
      <c r="AM818" s="372" t="str">
        <f>CS_PID!AM818/VLOOKUP($B818,표2[#ALL],2)/HLOOKUP($A818,표1[#ALL],row(),false)</f>
        <v>#N/A</v>
      </c>
      <c r="AN818" s="372" t="str">
        <f>CS_PID!AN818/VLOOKUP($B818,표2[#ALL],2)/HLOOKUP($A818,표1[#ALL],row(),false)</f>
        <v>#N/A</v>
      </c>
      <c r="AO818" s="372" t="str">
        <f>CS_PID!AO818/VLOOKUP($B818,표2[#ALL],2)/HLOOKUP($A818,표1[#ALL],row(),false)</f>
        <v>#N/A</v>
      </c>
      <c r="AP818" s="372" t="str">
        <f>CS_PID!AP818/VLOOKUP($B818,표2[#ALL],2)/HLOOKUP($A818,표1[#ALL],row(),false)</f>
        <v>#N/A</v>
      </c>
      <c r="AQ818" s="372" t="str">
        <f>CS_PID!AQ818/VLOOKUP($B818,표2[#ALL],2)/HLOOKUP($A818,표1[#ALL],row(),false)</f>
        <v>#N/A</v>
      </c>
      <c r="AR818" s="372" t="str">
        <f>CS_PID!AR818/VLOOKUP($B818,표2[#ALL],2)/HLOOKUP($A818,표1[#ALL],row(),false)</f>
        <v>#N/A</v>
      </c>
      <c r="AS818" s="373" t="str">
        <f>CS_PID!AS818/VLOOKUP($B818,표2[#ALL],2)/HLOOKUP($A818,표1[#ALL],row(),false)</f>
        <v>#N/A</v>
      </c>
    </row>
    <row r="819">
      <c r="A819" s="374"/>
      <c r="B819" s="375"/>
      <c r="C819" s="376" t="str">
        <f>CS_PID!C819/VLOOKUP($B819,표2[#ALL],2)</f>
        <v>#N/A</v>
      </c>
      <c r="D819" s="376" t="str">
        <f>CS_PID!D819/VLOOKUP($B819,표2[#ALL],2)</f>
        <v>#N/A</v>
      </c>
      <c r="E819" s="376" t="str">
        <f>CS_PID!E819/VLOOKUP($B819,표2[#ALL],2)</f>
        <v>#N/A</v>
      </c>
      <c r="F819" s="376" t="str">
        <f>CS_PID!F819/VLOOKUP($B819,표2[#ALL],2)</f>
        <v>#N/A</v>
      </c>
      <c r="G819" s="376" t="str">
        <f>CS_PID!G819/VLOOKUP($B819,표2[#ALL],2)</f>
        <v>#N/A</v>
      </c>
      <c r="H819" s="376" t="str">
        <f>CS_PID!H819/VLOOKUP($B819,표2[#ALL],2)/HLOOKUP($A819,표1[#ALL],row(),false)</f>
        <v>#N/A</v>
      </c>
      <c r="I819" s="376" t="str">
        <f>CS_PID!I819/VLOOKUP($B819,표2[#ALL],2)/HLOOKUP($A819,표1[#ALL],row(),false)</f>
        <v>#N/A</v>
      </c>
      <c r="J819" s="376" t="str">
        <f>CS_PID!J819/VLOOKUP($B819,표2[#ALL],2)/HLOOKUP($A819,표1[#ALL],row(),false)</f>
        <v>#N/A</v>
      </c>
      <c r="K819" s="376" t="str">
        <f>CS_PID!K819/VLOOKUP($B819,표2[#ALL],2)/HLOOKUP($A819,표1[#ALL],row(),false)</f>
        <v>#N/A</v>
      </c>
      <c r="L819" s="376" t="str">
        <f>CS_PID!L819/VLOOKUP($B819,표2[#ALL],2)/HLOOKUP($A819,표1[#ALL],row(),false)</f>
        <v>#N/A</v>
      </c>
      <c r="M819" s="376" t="str">
        <f>CS_PID!M819/VLOOKUP($B819,표2[#ALL],2)/HLOOKUP($A819,표1[#ALL],row(),false)</f>
        <v>#N/A</v>
      </c>
      <c r="N819" s="376" t="str">
        <f>CS_PID!N819/VLOOKUP($B819,표2[#ALL],2)/HLOOKUP($A819,표1[#ALL],row(),false)</f>
        <v>#N/A</v>
      </c>
      <c r="O819" s="376" t="str">
        <f>CS_PID!O819/VLOOKUP($B819,표2[#ALL],2)/HLOOKUP($A819,표1[#ALL],row(),false)</f>
        <v>#N/A</v>
      </c>
      <c r="P819" s="376" t="str">
        <f>CS_PID!P819/VLOOKUP($B819,표2[#ALL],2)/HLOOKUP($A819,표1[#ALL],row(),false)</f>
        <v>#N/A</v>
      </c>
      <c r="Q819" s="376" t="str">
        <f>CS_PID!Q819/VLOOKUP($B819,표2[#ALL],2)/HLOOKUP($A819,표1[#ALL],row(),false)</f>
        <v>#N/A</v>
      </c>
      <c r="R819" s="376" t="str">
        <f>CS_PID!R819/VLOOKUP($B819,표2[#ALL],2)/HLOOKUP($A819,표1[#ALL],row(),false)</f>
        <v>#N/A</v>
      </c>
      <c r="S819" s="376" t="str">
        <f>CS_PID!S819/VLOOKUP($B819,표2[#ALL],2)/HLOOKUP($A819,표1[#ALL],row(),false)</f>
        <v>#N/A</v>
      </c>
      <c r="T819" s="376" t="str">
        <f>CS_PID!T819/VLOOKUP($B819,표2[#ALL],2)/HLOOKUP($A819,표1[#ALL],row(),false)</f>
        <v>#N/A</v>
      </c>
      <c r="U819" s="376" t="str">
        <f>CS_PID!U819/VLOOKUP($B819,표2[#ALL],2)/HLOOKUP($A819,표1[#ALL],row(),false)</f>
        <v>#N/A</v>
      </c>
      <c r="V819" s="376" t="str">
        <f>CS_PID!V819/VLOOKUP($B819,표2[#ALL],2)/HLOOKUP($A819,표1[#ALL],row(),false)</f>
        <v>#N/A</v>
      </c>
      <c r="W819" s="376" t="str">
        <f>CS_PID!W819/VLOOKUP($B819,표2[#ALL],2)/HLOOKUP($A819,표1[#ALL],row(),false)</f>
        <v>#N/A</v>
      </c>
      <c r="X819" s="376" t="str">
        <f>CS_PID!X819/VLOOKUP($B819,표2[#ALL],2)/HLOOKUP($A819,표1[#ALL],row(),false)</f>
        <v>#N/A</v>
      </c>
      <c r="Y819" s="376" t="str">
        <f>CS_PID!Y819/VLOOKUP($B819,표2[#ALL],2)/HLOOKUP($A819,표1[#ALL],row(),false)</f>
        <v>#N/A</v>
      </c>
      <c r="Z819" s="376" t="str">
        <f>CS_PID!Z819/VLOOKUP($B819,표2[#ALL],2)/HLOOKUP($A819,표1[#ALL],row(),false)</f>
        <v>#N/A</v>
      </c>
      <c r="AA819" s="376" t="str">
        <f>CS_PID!AA819/VLOOKUP($B819,표2[#ALL],2)/HLOOKUP($A819,표1[#ALL],row(),false)</f>
        <v>#N/A</v>
      </c>
      <c r="AB819" s="376" t="str">
        <f>CS_PID!AB819/VLOOKUP($B819,표2[#ALL],2)/HLOOKUP($A819,표1[#ALL],row(),false)</f>
        <v>#N/A</v>
      </c>
      <c r="AC819" s="376" t="str">
        <f>CS_PID!AC819/VLOOKUP($B819,표2[#ALL],2)/HLOOKUP($A819,표1[#ALL],row(),false)</f>
        <v>#N/A</v>
      </c>
      <c r="AD819" s="376" t="str">
        <f>CS_PID!AD819/VLOOKUP($B819,표2[#ALL],2)/HLOOKUP($A819,표1[#ALL],row(),false)</f>
        <v>#N/A</v>
      </c>
      <c r="AE819" s="376" t="str">
        <f>CS_PID!AE819/VLOOKUP($B819,표2[#ALL],2)/HLOOKUP($A819,표1[#ALL],row(),false)</f>
        <v>#N/A</v>
      </c>
      <c r="AF819" s="376" t="str">
        <f>CS_PID!AF819/VLOOKUP($B819,표2[#ALL],2)/HLOOKUP($A819,표1[#ALL],row(),false)</f>
        <v>#N/A</v>
      </c>
      <c r="AG819" s="376" t="str">
        <f>CS_PID!AG819/VLOOKUP($B819,표2[#ALL],2)/HLOOKUP($A819,표1[#ALL],row(),false)</f>
        <v>#N/A</v>
      </c>
      <c r="AH819" s="376" t="str">
        <f>CS_PID!AH819/VLOOKUP($B819,표2[#ALL],2)/HLOOKUP($A819,표1[#ALL],row(),false)</f>
        <v>#N/A</v>
      </c>
      <c r="AI819" s="376" t="str">
        <f>CS_PID!AI819/VLOOKUP($B819,표2[#ALL],2)/HLOOKUP($A819,표1[#ALL],row(),false)</f>
        <v>#N/A</v>
      </c>
      <c r="AJ819" s="376" t="str">
        <f>CS_PID!AJ819/VLOOKUP($B819,표2[#ALL],2)/HLOOKUP($A819,표1[#ALL],row(),false)</f>
        <v>#N/A</v>
      </c>
      <c r="AK819" s="376" t="str">
        <f>CS_PID!AK819/VLOOKUP($B819,표2[#ALL],2)/HLOOKUP($A819,표1[#ALL],row(),false)</f>
        <v>#N/A</v>
      </c>
      <c r="AL819" s="376" t="str">
        <f>CS_PID!AL819/VLOOKUP($B819,표2[#ALL],2)/HLOOKUP($A819,표1[#ALL],row(),false)</f>
        <v>#N/A</v>
      </c>
      <c r="AM819" s="376" t="str">
        <f>CS_PID!AM819/VLOOKUP($B819,표2[#ALL],2)/HLOOKUP($A819,표1[#ALL],row(),false)</f>
        <v>#N/A</v>
      </c>
      <c r="AN819" s="376" t="str">
        <f>CS_PID!AN819/VLOOKUP($B819,표2[#ALL],2)/HLOOKUP($A819,표1[#ALL],row(),false)</f>
        <v>#N/A</v>
      </c>
      <c r="AO819" s="376" t="str">
        <f>CS_PID!AO819/VLOOKUP($B819,표2[#ALL],2)/HLOOKUP($A819,표1[#ALL],row(),false)</f>
        <v>#N/A</v>
      </c>
      <c r="AP819" s="376" t="str">
        <f>CS_PID!AP819/VLOOKUP($B819,표2[#ALL],2)/HLOOKUP($A819,표1[#ALL],row(),false)</f>
        <v>#N/A</v>
      </c>
      <c r="AQ819" s="376" t="str">
        <f>CS_PID!AQ819/VLOOKUP($B819,표2[#ALL],2)/HLOOKUP($A819,표1[#ALL],row(),false)</f>
        <v>#N/A</v>
      </c>
      <c r="AR819" s="376" t="str">
        <f>CS_PID!AR819/VLOOKUP($B819,표2[#ALL],2)/HLOOKUP($A819,표1[#ALL],row(),false)</f>
        <v>#N/A</v>
      </c>
      <c r="AS819" s="377" t="str">
        <f>CS_PID!AS819/VLOOKUP($B819,표2[#ALL],2)/HLOOKUP($A819,표1[#ALL],row(),false)</f>
        <v>#N/A</v>
      </c>
    </row>
    <row r="820">
      <c r="A820" s="370"/>
      <c r="B820" s="371"/>
      <c r="C820" s="372" t="str">
        <f>CS_PID!C820/VLOOKUP($B820,표2[#ALL],2)</f>
        <v>#N/A</v>
      </c>
      <c r="D820" s="372" t="str">
        <f>CS_PID!D820/VLOOKUP($B820,표2[#ALL],2)</f>
        <v>#N/A</v>
      </c>
      <c r="E820" s="372" t="str">
        <f>CS_PID!E820/VLOOKUP($B820,표2[#ALL],2)</f>
        <v>#N/A</v>
      </c>
      <c r="F820" s="372" t="str">
        <f>CS_PID!F820/VLOOKUP($B820,표2[#ALL],2)</f>
        <v>#N/A</v>
      </c>
      <c r="G820" s="372" t="str">
        <f>CS_PID!G820/VLOOKUP($B820,표2[#ALL],2)</f>
        <v>#N/A</v>
      </c>
      <c r="H820" s="372" t="str">
        <f>CS_PID!H820/VLOOKUP($B820,표2[#ALL],2)/HLOOKUP($A820,표1[#ALL],row(),false)</f>
        <v>#N/A</v>
      </c>
      <c r="I820" s="372" t="str">
        <f>CS_PID!I820/VLOOKUP($B820,표2[#ALL],2)/HLOOKUP($A820,표1[#ALL],row(),false)</f>
        <v>#N/A</v>
      </c>
      <c r="J820" s="372" t="str">
        <f>CS_PID!J820/VLOOKUP($B820,표2[#ALL],2)/HLOOKUP($A820,표1[#ALL],row(),false)</f>
        <v>#N/A</v>
      </c>
      <c r="K820" s="372" t="str">
        <f>CS_PID!K820/VLOOKUP($B820,표2[#ALL],2)/HLOOKUP($A820,표1[#ALL],row(),false)</f>
        <v>#N/A</v>
      </c>
      <c r="L820" s="372" t="str">
        <f>CS_PID!L820/VLOOKUP($B820,표2[#ALL],2)/HLOOKUP($A820,표1[#ALL],row(),false)</f>
        <v>#N/A</v>
      </c>
      <c r="M820" s="372" t="str">
        <f>CS_PID!M820/VLOOKUP($B820,표2[#ALL],2)/HLOOKUP($A820,표1[#ALL],row(),false)</f>
        <v>#N/A</v>
      </c>
      <c r="N820" s="372" t="str">
        <f>CS_PID!N820/VLOOKUP($B820,표2[#ALL],2)/HLOOKUP($A820,표1[#ALL],row(),false)</f>
        <v>#N/A</v>
      </c>
      <c r="O820" s="372" t="str">
        <f>CS_PID!O820/VLOOKUP($B820,표2[#ALL],2)/HLOOKUP($A820,표1[#ALL],row(),false)</f>
        <v>#N/A</v>
      </c>
      <c r="P820" s="372" t="str">
        <f>CS_PID!P820/VLOOKUP($B820,표2[#ALL],2)/HLOOKUP($A820,표1[#ALL],row(),false)</f>
        <v>#N/A</v>
      </c>
      <c r="Q820" s="372" t="str">
        <f>CS_PID!Q820/VLOOKUP($B820,표2[#ALL],2)/HLOOKUP($A820,표1[#ALL],row(),false)</f>
        <v>#N/A</v>
      </c>
      <c r="R820" s="372" t="str">
        <f>CS_PID!R820/VLOOKUP($B820,표2[#ALL],2)/HLOOKUP($A820,표1[#ALL],row(),false)</f>
        <v>#N/A</v>
      </c>
      <c r="S820" s="372" t="str">
        <f>CS_PID!S820/VLOOKUP($B820,표2[#ALL],2)/HLOOKUP($A820,표1[#ALL],row(),false)</f>
        <v>#N/A</v>
      </c>
      <c r="T820" s="372" t="str">
        <f>CS_PID!T820/VLOOKUP($B820,표2[#ALL],2)/HLOOKUP($A820,표1[#ALL],row(),false)</f>
        <v>#N/A</v>
      </c>
      <c r="U820" s="372" t="str">
        <f>CS_PID!U820/VLOOKUP($B820,표2[#ALL],2)/HLOOKUP($A820,표1[#ALL],row(),false)</f>
        <v>#N/A</v>
      </c>
      <c r="V820" s="372" t="str">
        <f>CS_PID!V820/VLOOKUP($B820,표2[#ALL],2)/HLOOKUP($A820,표1[#ALL],row(),false)</f>
        <v>#N/A</v>
      </c>
      <c r="W820" s="372" t="str">
        <f>CS_PID!W820/VLOOKUP($B820,표2[#ALL],2)/HLOOKUP($A820,표1[#ALL],row(),false)</f>
        <v>#N/A</v>
      </c>
      <c r="X820" s="372" t="str">
        <f>CS_PID!X820/VLOOKUP($B820,표2[#ALL],2)/HLOOKUP($A820,표1[#ALL],row(),false)</f>
        <v>#N/A</v>
      </c>
      <c r="Y820" s="372" t="str">
        <f>CS_PID!Y820/VLOOKUP($B820,표2[#ALL],2)/HLOOKUP($A820,표1[#ALL],row(),false)</f>
        <v>#N/A</v>
      </c>
      <c r="Z820" s="372" t="str">
        <f>CS_PID!Z820/VLOOKUP($B820,표2[#ALL],2)/HLOOKUP($A820,표1[#ALL],row(),false)</f>
        <v>#N/A</v>
      </c>
      <c r="AA820" s="372" t="str">
        <f>CS_PID!AA820/VLOOKUP($B820,표2[#ALL],2)/HLOOKUP($A820,표1[#ALL],row(),false)</f>
        <v>#N/A</v>
      </c>
      <c r="AB820" s="372" t="str">
        <f>CS_PID!AB820/VLOOKUP($B820,표2[#ALL],2)/HLOOKUP($A820,표1[#ALL],row(),false)</f>
        <v>#N/A</v>
      </c>
      <c r="AC820" s="372" t="str">
        <f>CS_PID!AC820/VLOOKUP($B820,표2[#ALL],2)/HLOOKUP($A820,표1[#ALL],row(),false)</f>
        <v>#N/A</v>
      </c>
      <c r="AD820" s="372" t="str">
        <f>CS_PID!AD820/VLOOKUP($B820,표2[#ALL],2)/HLOOKUP($A820,표1[#ALL],row(),false)</f>
        <v>#N/A</v>
      </c>
      <c r="AE820" s="372" t="str">
        <f>CS_PID!AE820/VLOOKUP($B820,표2[#ALL],2)/HLOOKUP($A820,표1[#ALL],row(),false)</f>
        <v>#N/A</v>
      </c>
      <c r="AF820" s="372" t="str">
        <f>CS_PID!AF820/VLOOKUP($B820,표2[#ALL],2)/HLOOKUP($A820,표1[#ALL],row(),false)</f>
        <v>#N/A</v>
      </c>
      <c r="AG820" s="372" t="str">
        <f>CS_PID!AG820/VLOOKUP($B820,표2[#ALL],2)/HLOOKUP($A820,표1[#ALL],row(),false)</f>
        <v>#N/A</v>
      </c>
      <c r="AH820" s="372" t="str">
        <f>CS_PID!AH820/VLOOKUP($B820,표2[#ALL],2)/HLOOKUP($A820,표1[#ALL],row(),false)</f>
        <v>#N/A</v>
      </c>
      <c r="AI820" s="372" t="str">
        <f>CS_PID!AI820/VLOOKUP($B820,표2[#ALL],2)/HLOOKUP($A820,표1[#ALL],row(),false)</f>
        <v>#N/A</v>
      </c>
      <c r="AJ820" s="372" t="str">
        <f>CS_PID!AJ820/VLOOKUP($B820,표2[#ALL],2)/HLOOKUP($A820,표1[#ALL],row(),false)</f>
        <v>#N/A</v>
      </c>
      <c r="AK820" s="372" t="str">
        <f>CS_PID!AK820/VLOOKUP($B820,표2[#ALL],2)/HLOOKUP($A820,표1[#ALL],row(),false)</f>
        <v>#N/A</v>
      </c>
      <c r="AL820" s="372" t="str">
        <f>CS_PID!AL820/VLOOKUP($B820,표2[#ALL],2)/HLOOKUP($A820,표1[#ALL],row(),false)</f>
        <v>#N/A</v>
      </c>
      <c r="AM820" s="372" t="str">
        <f>CS_PID!AM820/VLOOKUP($B820,표2[#ALL],2)/HLOOKUP($A820,표1[#ALL],row(),false)</f>
        <v>#N/A</v>
      </c>
      <c r="AN820" s="372" t="str">
        <f>CS_PID!AN820/VLOOKUP($B820,표2[#ALL],2)/HLOOKUP($A820,표1[#ALL],row(),false)</f>
        <v>#N/A</v>
      </c>
      <c r="AO820" s="372" t="str">
        <f>CS_PID!AO820/VLOOKUP($B820,표2[#ALL],2)/HLOOKUP($A820,표1[#ALL],row(),false)</f>
        <v>#N/A</v>
      </c>
      <c r="AP820" s="372" t="str">
        <f>CS_PID!AP820/VLOOKUP($B820,표2[#ALL],2)/HLOOKUP($A820,표1[#ALL],row(),false)</f>
        <v>#N/A</v>
      </c>
      <c r="AQ820" s="372" t="str">
        <f>CS_PID!AQ820/VLOOKUP($B820,표2[#ALL],2)/HLOOKUP($A820,표1[#ALL],row(),false)</f>
        <v>#N/A</v>
      </c>
      <c r="AR820" s="372" t="str">
        <f>CS_PID!AR820/VLOOKUP($B820,표2[#ALL],2)/HLOOKUP($A820,표1[#ALL],row(),false)</f>
        <v>#N/A</v>
      </c>
      <c r="AS820" s="373" t="str">
        <f>CS_PID!AS820/VLOOKUP($B820,표2[#ALL],2)/HLOOKUP($A820,표1[#ALL],row(),false)</f>
        <v>#N/A</v>
      </c>
    </row>
    <row r="821">
      <c r="A821" s="374"/>
      <c r="B821" s="375"/>
      <c r="C821" s="376" t="str">
        <f>CS_PID!C821/VLOOKUP($B821,표2[#ALL],2)</f>
        <v>#N/A</v>
      </c>
      <c r="D821" s="376" t="str">
        <f>CS_PID!D821/VLOOKUP($B821,표2[#ALL],2)</f>
        <v>#N/A</v>
      </c>
      <c r="E821" s="376" t="str">
        <f>CS_PID!E821/VLOOKUP($B821,표2[#ALL],2)</f>
        <v>#N/A</v>
      </c>
      <c r="F821" s="376" t="str">
        <f>CS_PID!F821/VLOOKUP($B821,표2[#ALL],2)</f>
        <v>#N/A</v>
      </c>
      <c r="G821" s="376" t="str">
        <f>CS_PID!G821/VLOOKUP($B821,표2[#ALL],2)</f>
        <v>#N/A</v>
      </c>
      <c r="H821" s="376" t="str">
        <f>CS_PID!H821/VLOOKUP($B821,표2[#ALL],2)/HLOOKUP($A821,표1[#ALL],row(),false)</f>
        <v>#N/A</v>
      </c>
      <c r="I821" s="376" t="str">
        <f>CS_PID!I821/VLOOKUP($B821,표2[#ALL],2)/HLOOKUP($A821,표1[#ALL],row(),false)</f>
        <v>#N/A</v>
      </c>
      <c r="J821" s="376" t="str">
        <f>CS_PID!J821/VLOOKUP($B821,표2[#ALL],2)/HLOOKUP($A821,표1[#ALL],row(),false)</f>
        <v>#N/A</v>
      </c>
      <c r="K821" s="376" t="str">
        <f>CS_PID!K821/VLOOKUP($B821,표2[#ALL],2)/HLOOKUP($A821,표1[#ALL],row(),false)</f>
        <v>#N/A</v>
      </c>
      <c r="L821" s="376" t="str">
        <f>CS_PID!L821/VLOOKUP($B821,표2[#ALL],2)/HLOOKUP($A821,표1[#ALL],row(),false)</f>
        <v>#N/A</v>
      </c>
      <c r="M821" s="376" t="str">
        <f>CS_PID!M821/VLOOKUP($B821,표2[#ALL],2)/HLOOKUP($A821,표1[#ALL],row(),false)</f>
        <v>#N/A</v>
      </c>
      <c r="N821" s="376" t="str">
        <f>CS_PID!N821/VLOOKUP($B821,표2[#ALL],2)/HLOOKUP($A821,표1[#ALL],row(),false)</f>
        <v>#N/A</v>
      </c>
      <c r="O821" s="376" t="str">
        <f>CS_PID!O821/VLOOKUP($B821,표2[#ALL],2)/HLOOKUP($A821,표1[#ALL],row(),false)</f>
        <v>#N/A</v>
      </c>
      <c r="P821" s="376" t="str">
        <f>CS_PID!P821/VLOOKUP($B821,표2[#ALL],2)/HLOOKUP($A821,표1[#ALL],row(),false)</f>
        <v>#N/A</v>
      </c>
      <c r="Q821" s="376" t="str">
        <f>CS_PID!Q821/VLOOKUP($B821,표2[#ALL],2)/HLOOKUP($A821,표1[#ALL],row(),false)</f>
        <v>#N/A</v>
      </c>
      <c r="R821" s="376" t="str">
        <f>CS_PID!R821/VLOOKUP($B821,표2[#ALL],2)/HLOOKUP($A821,표1[#ALL],row(),false)</f>
        <v>#N/A</v>
      </c>
      <c r="S821" s="376" t="str">
        <f>CS_PID!S821/VLOOKUP($B821,표2[#ALL],2)/HLOOKUP($A821,표1[#ALL],row(),false)</f>
        <v>#N/A</v>
      </c>
      <c r="T821" s="376" t="str">
        <f>CS_PID!T821/VLOOKUP($B821,표2[#ALL],2)/HLOOKUP($A821,표1[#ALL],row(),false)</f>
        <v>#N/A</v>
      </c>
      <c r="U821" s="376" t="str">
        <f>CS_PID!U821/VLOOKUP($B821,표2[#ALL],2)/HLOOKUP($A821,표1[#ALL],row(),false)</f>
        <v>#N/A</v>
      </c>
      <c r="V821" s="376" t="str">
        <f>CS_PID!V821/VLOOKUP($B821,표2[#ALL],2)/HLOOKUP($A821,표1[#ALL],row(),false)</f>
        <v>#N/A</v>
      </c>
      <c r="W821" s="376" t="str">
        <f>CS_PID!W821/VLOOKUP($B821,표2[#ALL],2)/HLOOKUP($A821,표1[#ALL],row(),false)</f>
        <v>#N/A</v>
      </c>
      <c r="X821" s="376" t="str">
        <f>CS_PID!X821/VLOOKUP($B821,표2[#ALL],2)/HLOOKUP($A821,표1[#ALL],row(),false)</f>
        <v>#N/A</v>
      </c>
      <c r="Y821" s="376" t="str">
        <f>CS_PID!Y821/VLOOKUP($B821,표2[#ALL],2)/HLOOKUP($A821,표1[#ALL],row(),false)</f>
        <v>#N/A</v>
      </c>
      <c r="Z821" s="376" t="str">
        <f>CS_PID!Z821/VLOOKUP($B821,표2[#ALL],2)/HLOOKUP($A821,표1[#ALL],row(),false)</f>
        <v>#N/A</v>
      </c>
      <c r="AA821" s="376" t="str">
        <f>CS_PID!AA821/VLOOKUP($B821,표2[#ALL],2)/HLOOKUP($A821,표1[#ALL],row(),false)</f>
        <v>#N/A</v>
      </c>
      <c r="AB821" s="376" t="str">
        <f>CS_PID!AB821/VLOOKUP($B821,표2[#ALL],2)/HLOOKUP($A821,표1[#ALL],row(),false)</f>
        <v>#N/A</v>
      </c>
      <c r="AC821" s="376" t="str">
        <f>CS_PID!AC821/VLOOKUP($B821,표2[#ALL],2)/HLOOKUP($A821,표1[#ALL],row(),false)</f>
        <v>#N/A</v>
      </c>
      <c r="AD821" s="376" t="str">
        <f>CS_PID!AD821/VLOOKUP($B821,표2[#ALL],2)/HLOOKUP($A821,표1[#ALL],row(),false)</f>
        <v>#N/A</v>
      </c>
      <c r="AE821" s="376" t="str">
        <f>CS_PID!AE821/VLOOKUP($B821,표2[#ALL],2)/HLOOKUP($A821,표1[#ALL],row(),false)</f>
        <v>#N/A</v>
      </c>
      <c r="AF821" s="376" t="str">
        <f>CS_PID!AF821/VLOOKUP($B821,표2[#ALL],2)/HLOOKUP($A821,표1[#ALL],row(),false)</f>
        <v>#N/A</v>
      </c>
      <c r="AG821" s="376" t="str">
        <f>CS_PID!AG821/VLOOKUP($B821,표2[#ALL],2)/HLOOKUP($A821,표1[#ALL],row(),false)</f>
        <v>#N/A</v>
      </c>
      <c r="AH821" s="376" t="str">
        <f>CS_PID!AH821/VLOOKUP($B821,표2[#ALL],2)/HLOOKUP($A821,표1[#ALL],row(),false)</f>
        <v>#N/A</v>
      </c>
      <c r="AI821" s="376" t="str">
        <f>CS_PID!AI821/VLOOKUP($B821,표2[#ALL],2)/HLOOKUP($A821,표1[#ALL],row(),false)</f>
        <v>#N/A</v>
      </c>
      <c r="AJ821" s="376" t="str">
        <f>CS_PID!AJ821/VLOOKUP($B821,표2[#ALL],2)/HLOOKUP($A821,표1[#ALL],row(),false)</f>
        <v>#N/A</v>
      </c>
      <c r="AK821" s="376" t="str">
        <f>CS_PID!AK821/VLOOKUP($B821,표2[#ALL],2)/HLOOKUP($A821,표1[#ALL],row(),false)</f>
        <v>#N/A</v>
      </c>
      <c r="AL821" s="376" t="str">
        <f>CS_PID!AL821/VLOOKUP($B821,표2[#ALL],2)/HLOOKUP($A821,표1[#ALL],row(),false)</f>
        <v>#N/A</v>
      </c>
      <c r="AM821" s="376" t="str">
        <f>CS_PID!AM821/VLOOKUP($B821,표2[#ALL],2)/HLOOKUP($A821,표1[#ALL],row(),false)</f>
        <v>#N/A</v>
      </c>
      <c r="AN821" s="376" t="str">
        <f>CS_PID!AN821/VLOOKUP($B821,표2[#ALL],2)/HLOOKUP($A821,표1[#ALL],row(),false)</f>
        <v>#N/A</v>
      </c>
      <c r="AO821" s="376" t="str">
        <f>CS_PID!AO821/VLOOKUP($B821,표2[#ALL],2)/HLOOKUP($A821,표1[#ALL],row(),false)</f>
        <v>#N/A</v>
      </c>
      <c r="AP821" s="376" t="str">
        <f>CS_PID!AP821/VLOOKUP($B821,표2[#ALL],2)/HLOOKUP($A821,표1[#ALL],row(),false)</f>
        <v>#N/A</v>
      </c>
      <c r="AQ821" s="376" t="str">
        <f>CS_PID!AQ821/VLOOKUP($B821,표2[#ALL],2)/HLOOKUP($A821,표1[#ALL],row(),false)</f>
        <v>#N/A</v>
      </c>
      <c r="AR821" s="376" t="str">
        <f>CS_PID!AR821/VLOOKUP($B821,표2[#ALL],2)/HLOOKUP($A821,표1[#ALL],row(),false)</f>
        <v>#N/A</v>
      </c>
      <c r="AS821" s="377" t="str">
        <f>CS_PID!AS821/VLOOKUP($B821,표2[#ALL],2)/HLOOKUP($A821,표1[#ALL],row(),false)</f>
        <v>#N/A</v>
      </c>
    </row>
    <row r="822">
      <c r="A822" s="370"/>
      <c r="B822" s="371"/>
      <c r="C822" s="372" t="str">
        <f>CS_PID!C822/VLOOKUP($B822,표2[#ALL],2)</f>
        <v>#N/A</v>
      </c>
      <c r="D822" s="372" t="str">
        <f>CS_PID!D822/VLOOKUP($B822,표2[#ALL],2)</f>
        <v>#N/A</v>
      </c>
      <c r="E822" s="372" t="str">
        <f>CS_PID!E822/VLOOKUP($B822,표2[#ALL],2)</f>
        <v>#N/A</v>
      </c>
      <c r="F822" s="372" t="str">
        <f>CS_PID!F822/VLOOKUP($B822,표2[#ALL],2)</f>
        <v>#N/A</v>
      </c>
      <c r="G822" s="372" t="str">
        <f>CS_PID!G822/VLOOKUP($B822,표2[#ALL],2)</f>
        <v>#N/A</v>
      </c>
      <c r="H822" s="372" t="str">
        <f>CS_PID!H822/VLOOKUP($B822,표2[#ALL],2)/HLOOKUP($A822,표1[#ALL],row(),false)</f>
        <v>#N/A</v>
      </c>
      <c r="I822" s="372" t="str">
        <f>CS_PID!I822/VLOOKUP($B822,표2[#ALL],2)/HLOOKUP($A822,표1[#ALL],row(),false)</f>
        <v>#N/A</v>
      </c>
      <c r="J822" s="372" t="str">
        <f>CS_PID!J822/VLOOKUP($B822,표2[#ALL],2)/HLOOKUP($A822,표1[#ALL],row(),false)</f>
        <v>#N/A</v>
      </c>
      <c r="K822" s="372" t="str">
        <f>CS_PID!K822/VLOOKUP($B822,표2[#ALL],2)/HLOOKUP($A822,표1[#ALL],row(),false)</f>
        <v>#N/A</v>
      </c>
      <c r="L822" s="372" t="str">
        <f>CS_PID!L822/VLOOKUP($B822,표2[#ALL],2)/HLOOKUP($A822,표1[#ALL],row(),false)</f>
        <v>#N/A</v>
      </c>
      <c r="M822" s="372" t="str">
        <f>CS_PID!M822/VLOOKUP($B822,표2[#ALL],2)/HLOOKUP($A822,표1[#ALL],row(),false)</f>
        <v>#N/A</v>
      </c>
      <c r="N822" s="372" t="str">
        <f>CS_PID!N822/VLOOKUP($B822,표2[#ALL],2)/HLOOKUP($A822,표1[#ALL],row(),false)</f>
        <v>#N/A</v>
      </c>
      <c r="O822" s="372" t="str">
        <f>CS_PID!O822/VLOOKUP($B822,표2[#ALL],2)/HLOOKUP($A822,표1[#ALL],row(),false)</f>
        <v>#N/A</v>
      </c>
      <c r="P822" s="372" t="str">
        <f>CS_PID!P822/VLOOKUP($B822,표2[#ALL],2)/HLOOKUP($A822,표1[#ALL],row(),false)</f>
        <v>#N/A</v>
      </c>
      <c r="Q822" s="372" t="str">
        <f>CS_PID!Q822/VLOOKUP($B822,표2[#ALL],2)/HLOOKUP($A822,표1[#ALL],row(),false)</f>
        <v>#N/A</v>
      </c>
      <c r="R822" s="372" t="str">
        <f>CS_PID!R822/VLOOKUP($B822,표2[#ALL],2)/HLOOKUP($A822,표1[#ALL],row(),false)</f>
        <v>#N/A</v>
      </c>
      <c r="S822" s="372" t="str">
        <f>CS_PID!S822/VLOOKUP($B822,표2[#ALL],2)/HLOOKUP($A822,표1[#ALL],row(),false)</f>
        <v>#N/A</v>
      </c>
      <c r="T822" s="372" t="str">
        <f>CS_PID!T822/VLOOKUP($B822,표2[#ALL],2)/HLOOKUP($A822,표1[#ALL],row(),false)</f>
        <v>#N/A</v>
      </c>
      <c r="U822" s="372" t="str">
        <f>CS_PID!U822/VLOOKUP($B822,표2[#ALL],2)/HLOOKUP($A822,표1[#ALL],row(),false)</f>
        <v>#N/A</v>
      </c>
      <c r="V822" s="372" t="str">
        <f>CS_PID!V822/VLOOKUP($B822,표2[#ALL],2)/HLOOKUP($A822,표1[#ALL],row(),false)</f>
        <v>#N/A</v>
      </c>
      <c r="W822" s="372" t="str">
        <f>CS_PID!W822/VLOOKUP($B822,표2[#ALL],2)/HLOOKUP($A822,표1[#ALL],row(),false)</f>
        <v>#N/A</v>
      </c>
      <c r="X822" s="372" t="str">
        <f>CS_PID!X822/VLOOKUP($B822,표2[#ALL],2)/HLOOKUP($A822,표1[#ALL],row(),false)</f>
        <v>#N/A</v>
      </c>
      <c r="Y822" s="372" t="str">
        <f>CS_PID!Y822/VLOOKUP($B822,표2[#ALL],2)/HLOOKUP($A822,표1[#ALL],row(),false)</f>
        <v>#N/A</v>
      </c>
      <c r="Z822" s="372" t="str">
        <f>CS_PID!Z822/VLOOKUP($B822,표2[#ALL],2)/HLOOKUP($A822,표1[#ALL],row(),false)</f>
        <v>#N/A</v>
      </c>
      <c r="AA822" s="372" t="str">
        <f>CS_PID!AA822/VLOOKUP($B822,표2[#ALL],2)/HLOOKUP($A822,표1[#ALL],row(),false)</f>
        <v>#N/A</v>
      </c>
      <c r="AB822" s="372" t="str">
        <f>CS_PID!AB822/VLOOKUP($B822,표2[#ALL],2)/HLOOKUP($A822,표1[#ALL],row(),false)</f>
        <v>#N/A</v>
      </c>
      <c r="AC822" s="372" t="str">
        <f>CS_PID!AC822/VLOOKUP($B822,표2[#ALL],2)/HLOOKUP($A822,표1[#ALL],row(),false)</f>
        <v>#N/A</v>
      </c>
      <c r="AD822" s="372" t="str">
        <f>CS_PID!AD822/VLOOKUP($B822,표2[#ALL],2)/HLOOKUP($A822,표1[#ALL],row(),false)</f>
        <v>#N/A</v>
      </c>
      <c r="AE822" s="372" t="str">
        <f>CS_PID!AE822/VLOOKUP($B822,표2[#ALL],2)/HLOOKUP($A822,표1[#ALL],row(),false)</f>
        <v>#N/A</v>
      </c>
      <c r="AF822" s="372" t="str">
        <f>CS_PID!AF822/VLOOKUP($B822,표2[#ALL],2)/HLOOKUP($A822,표1[#ALL],row(),false)</f>
        <v>#N/A</v>
      </c>
      <c r="AG822" s="372" t="str">
        <f>CS_PID!AG822/VLOOKUP($B822,표2[#ALL],2)/HLOOKUP($A822,표1[#ALL],row(),false)</f>
        <v>#N/A</v>
      </c>
      <c r="AH822" s="372" t="str">
        <f>CS_PID!AH822/VLOOKUP($B822,표2[#ALL],2)/HLOOKUP($A822,표1[#ALL],row(),false)</f>
        <v>#N/A</v>
      </c>
      <c r="AI822" s="372" t="str">
        <f>CS_PID!AI822/VLOOKUP($B822,표2[#ALL],2)/HLOOKUP($A822,표1[#ALL],row(),false)</f>
        <v>#N/A</v>
      </c>
      <c r="AJ822" s="372" t="str">
        <f>CS_PID!AJ822/VLOOKUP($B822,표2[#ALL],2)/HLOOKUP($A822,표1[#ALL],row(),false)</f>
        <v>#N/A</v>
      </c>
      <c r="AK822" s="372" t="str">
        <f>CS_PID!AK822/VLOOKUP($B822,표2[#ALL],2)/HLOOKUP($A822,표1[#ALL],row(),false)</f>
        <v>#N/A</v>
      </c>
      <c r="AL822" s="372" t="str">
        <f>CS_PID!AL822/VLOOKUP($B822,표2[#ALL],2)/HLOOKUP($A822,표1[#ALL],row(),false)</f>
        <v>#N/A</v>
      </c>
      <c r="AM822" s="372" t="str">
        <f>CS_PID!AM822/VLOOKUP($B822,표2[#ALL],2)/HLOOKUP($A822,표1[#ALL],row(),false)</f>
        <v>#N/A</v>
      </c>
      <c r="AN822" s="372" t="str">
        <f>CS_PID!AN822/VLOOKUP($B822,표2[#ALL],2)/HLOOKUP($A822,표1[#ALL],row(),false)</f>
        <v>#N/A</v>
      </c>
      <c r="AO822" s="372" t="str">
        <f>CS_PID!AO822/VLOOKUP($B822,표2[#ALL],2)/HLOOKUP($A822,표1[#ALL],row(),false)</f>
        <v>#N/A</v>
      </c>
      <c r="AP822" s="372" t="str">
        <f>CS_PID!AP822/VLOOKUP($B822,표2[#ALL],2)/HLOOKUP($A822,표1[#ALL],row(),false)</f>
        <v>#N/A</v>
      </c>
      <c r="AQ822" s="372" t="str">
        <f>CS_PID!AQ822/VLOOKUP($B822,표2[#ALL],2)/HLOOKUP($A822,표1[#ALL],row(),false)</f>
        <v>#N/A</v>
      </c>
      <c r="AR822" s="372" t="str">
        <f>CS_PID!AR822/VLOOKUP($B822,표2[#ALL],2)/HLOOKUP($A822,표1[#ALL],row(),false)</f>
        <v>#N/A</v>
      </c>
      <c r="AS822" s="373" t="str">
        <f>CS_PID!AS822/VLOOKUP($B822,표2[#ALL],2)/HLOOKUP($A822,표1[#ALL],row(),false)</f>
        <v>#N/A</v>
      </c>
    </row>
    <row r="823">
      <c r="A823" s="374"/>
      <c r="B823" s="375"/>
      <c r="C823" s="376" t="str">
        <f>CS_PID!C823/VLOOKUP($B823,표2[#ALL],2)</f>
        <v>#N/A</v>
      </c>
      <c r="D823" s="376" t="str">
        <f>CS_PID!D823/VLOOKUP($B823,표2[#ALL],2)</f>
        <v>#N/A</v>
      </c>
      <c r="E823" s="376" t="str">
        <f>CS_PID!E823/VLOOKUP($B823,표2[#ALL],2)</f>
        <v>#N/A</v>
      </c>
      <c r="F823" s="376" t="str">
        <f>CS_PID!F823/VLOOKUP($B823,표2[#ALL],2)</f>
        <v>#N/A</v>
      </c>
      <c r="G823" s="376" t="str">
        <f>CS_PID!G823/VLOOKUP($B823,표2[#ALL],2)</f>
        <v>#N/A</v>
      </c>
      <c r="H823" s="376" t="str">
        <f>CS_PID!H823/VLOOKUP($B823,표2[#ALL],2)/HLOOKUP($A823,표1[#ALL],row(),false)</f>
        <v>#N/A</v>
      </c>
      <c r="I823" s="376" t="str">
        <f>CS_PID!I823/VLOOKUP($B823,표2[#ALL],2)/HLOOKUP($A823,표1[#ALL],row(),false)</f>
        <v>#N/A</v>
      </c>
      <c r="J823" s="376" t="str">
        <f>CS_PID!J823/VLOOKUP($B823,표2[#ALL],2)/HLOOKUP($A823,표1[#ALL],row(),false)</f>
        <v>#N/A</v>
      </c>
      <c r="K823" s="376" t="str">
        <f>CS_PID!K823/VLOOKUP($B823,표2[#ALL],2)/HLOOKUP($A823,표1[#ALL],row(),false)</f>
        <v>#N/A</v>
      </c>
      <c r="L823" s="376" t="str">
        <f>CS_PID!L823/VLOOKUP($B823,표2[#ALL],2)/HLOOKUP($A823,표1[#ALL],row(),false)</f>
        <v>#N/A</v>
      </c>
      <c r="M823" s="376" t="str">
        <f>CS_PID!M823/VLOOKUP($B823,표2[#ALL],2)/HLOOKUP($A823,표1[#ALL],row(),false)</f>
        <v>#N/A</v>
      </c>
      <c r="N823" s="376" t="str">
        <f>CS_PID!N823/VLOOKUP($B823,표2[#ALL],2)/HLOOKUP($A823,표1[#ALL],row(),false)</f>
        <v>#N/A</v>
      </c>
      <c r="O823" s="376" t="str">
        <f>CS_PID!O823/VLOOKUP($B823,표2[#ALL],2)/HLOOKUP($A823,표1[#ALL],row(),false)</f>
        <v>#N/A</v>
      </c>
      <c r="P823" s="376" t="str">
        <f>CS_PID!P823/VLOOKUP($B823,표2[#ALL],2)/HLOOKUP($A823,표1[#ALL],row(),false)</f>
        <v>#N/A</v>
      </c>
      <c r="Q823" s="376" t="str">
        <f>CS_PID!Q823/VLOOKUP($B823,표2[#ALL],2)/HLOOKUP($A823,표1[#ALL],row(),false)</f>
        <v>#N/A</v>
      </c>
      <c r="R823" s="376" t="str">
        <f>CS_PID!R823/VLOOKUP($B823,표2[#ALL],2)/HLOOKUP($A823,표1[#ALL],row(),false)</f>
        <v>#N/A</v>
      </c>
      <c r="S823" s="376" t="str">
        <f>CS_PID!S823/VLOOKUP($B823,표2[#ALL],2)/HLOOKUP($A823,표1[#ALL],row(),false)</f>
        <v>#N/A</v>
      </c>
      <c r="T823" s="376" t="str">
        <f>CS_PID!T823/VLOOKUP($B823,표2[#ALL],2)/HLOOKUP($A823,표1[#ALL],row(),false)</f>
        <v>#N/A</v>
      </c>
      <c r="U823" s="376" t="str">
        <f>CS_PID!U823/VLOOKUP($B823,표2[#ALL],2)/HLOOKUP($A823,표1[#ALL],row(),false)</f>
        <v>#N/A</v>
      </c>
      <c r="V823" s="376" t="str">
        <f>CS_PID!V823/VLOOKUP($B823,표2[#ALL],2)/HLOOKUP($A823,표1[#ALL],row(),false)</f>
        <v>#N/A</v>
      </c>
      <c r="W823" s="376" t="str">
        <f>CS_PID!W823/VLOOKUP($B823,표2[#ALL],2)/HLOOKUP($A823,표1[#ALL],row(),false)</f>
        <v>#N/A</v>
      </c>
      <c r="X823" s="376" t="str">
        <f>CS_PID!X823/VLOOKUP($B823,표2[#ALL],2)/HLOOKUP($A823,표1[#ALL],row(),false)</f>
        <v>#N/A</v>
      </c>
      <c r="Y823" s="376" t="str">
        <f>CS_PID!Y823/VLOOKUP($B823,표2[#ALL],2)/HLOOKUP($A823,표1[#ALL],row(),false)</f>
        <v>#N/A</v>
      </c>
      <c r="Z823" s="376" t="str">
        <f>CS_PID!Z823/VLOOKUP($B823,표2[#ALL],2)/HLOOKUP($A823,표1[#ALL],row(),false)</f>
        <v>#N/A</v>
      </c>
      <c r="AA823" s="376" t="str">
        <f>CS_PID!AA823/VLOOKUP($B823,표2[#ALL],2)/HLOOKUP($A823,표1[#ALL],row(),false)</f>
        <v>#N/A</v>
      </c>
      <c r="AB823" s="376" t="str">
        <f>CS_PID!AB823/VLOOKUP($B823,표2[#ALL],2)/HLOOKUP($A823,표1[#ALL],row(),false)</f>
        <v>#N/A</v>
      </c>
      <c r="AC823" s="376" t="str">
        <f>CS_PID!AC823/VLOOKUP($B823,표2[#ALL],2)/HLOOKUP($A823,표1[#ALL],row(),false)</f>
        <v>#N/A</v>
      </c>
      <c r="AD823" s="376" t="str">
        <f>CS_PID!AD823/VLOOKUP($B823,표2[#ALL],2)/HLOOKUP($A823,표1[#ALL],row(),false)</f>
        <v>#N/A</v>
      </c>
      <c r="AE823" s="376" t="str">
        <f>CS_PID!AE823/VLOOKUP($B823,표2[#ALL],2)/HLOOKUP($A823,표1[#ALL],row(),false)</f>
        <v>#N/A</v>
      </c>
      <c r="AF823" s="376" t="str">
        <f>CS_PID!AF823/VLOOKUP($B823,표2[#ALL],2)/HLOOKUP($A823,표1[#ALL],row(),false)</f>
        <v>#N/A</v>
      </c>
      <c r="AG823" s="376" t="str">
        <f>CS_PID!AG823/VLOOKUP($B823,표2[#ALL],2)/HLOOKUP($A823,표1[#ALL],row(),false)</f>
        <v>#N/A</v>
      </c>
      <c r="AH823" s="376" t="str">
        <f>CS_PID!AH823/VLOOKUP($B823,표2[#ALL],2)/HLOOKUP($A823,표1[#ALL],row(),false)</f>
        <v>#N/A</v>
      </c>
      <c r="AI823" s="376" t="str">
        <f>CS_PID!AI823/VLOOKUP($B823,표2[#ALL],2)/HLOOKUP($A823,표1[#ALL],row(),false)</f>
        <v>#N/A</v>
      </c>
      <c r="AJ823" s="376" t="str">
        <f>CS_PID!AJ823/VLOOKUP($B823,표2[#ALL],2)/HLOOKUP($A823,표1[#ALL],row(),false)</f>
        <v>#N/A</v>
      </c>
      <c r="AK823" s="376" t="str">
        <f>CS_PID!AK823/VLOOKUP($B823,표2[#ALL],2)/HLOOKUP($A823,표1[#ALL],row(),false)</f>
        <v>#N/A</v>
      </c>
      <c r="AL823" s="376" t="str">
        <f>CS_PID!AL823/VLOOKUP($B823,표2[#ALL],2)/HLOOKUP($A823,표1[#ALL],row(),false)</f>
        <v>#N/A</v>
      </c>
      <c r="AM823" s="376" t="str">
        <f>CS_PID!AM823/VLOOKUP($B823,표2[#ALL],2)/HLOOKUP($A823,표1[#ALL],row(),false)</f>
        <v>#N/A</v>
      </c>
      <c r="AN823" s="376" t="str">
        <f>CS_PID!AN823/VLOOKUP($B823,표2[#ALL],2)/HLOOKUP($A823,표1[#ALL],row(),false)</f>
        <v>#N/A</v>
      </c>
      <c r="AO823" s="376" t="str">
        <f>CS_PID!AO823/VLOOKUP($B823,표2[#ALL],2)/HLOOKUP($A823,표1[#ALL],row(),false)</f>
        <v>#N/A</v>
      </c>
      <c r="AP823" s="376" t="str">
        <f>CS_PID!AP823/VLOOKUP($B823,표2[#ALL],2)/HLOOKUP($A823,표1[#ALL],row(),false)</f>
        <v>#N/A</v>
      </c>
      <c r="AQ823" s="376" t="str">
        <f>CS_PID!AQ823/VLOOKUP($B823,표2[#ALL],2)/HLOOKUP($A823,표1[#ALL],row(),false)</f>
        <v>#N/A</v>
      </c>
      <c r="AR823" s="376" t="str">
        <f>CS_PID!AR823/VLOOKUP($B823,표2[#ALL],2)/HLOOKUP($A823,표1[#ALL],row(),false)</f>
        <v>#N/A</v>
      </c>
      <c r="AS823" s="377" t="str">
        <f>CS_PID!AS823/VLOOKUP($B823,표2[#ALL],2)/HLOOKUP($A823,표1[#ALL],row(),false)</f>
        <v>#N/A</v>
      </c>
    </row>
    <row r="824">
      <c r="A824" s="370"/>
      <c r="B824" s="371"/>
      <c r="C824" s="372" t="str">
        <f>CS_PID!C824/VLOOKUP($B824,표2[#ALL],2)</f>
        <v>#N/A</v>
      </c>
      <c r="D824" s="372" t="str">
        <f>CS_PID!D824/VLOOKUP($B824,표2[#ALL],2)</f>
        <v>#N/A</v>
      </c>
      <c r="E824" s="372" t="str">
        <f>CS_PID!E824/VLOOKUP($B824,표2[#ALL],2)</f>
        <v>#N/A</v>
      </c>
      <c r="F824" s="372" t="str">
        <f>CS_PID!F824/VLOOKUP($B824,표2[#ALL],2)</f>
        <v>#N/A</v>
      </c>
      <c r="G824" s="372" t="str">
        <f>CS_PID!G824/VLOOKUP($B824,표2[#ALL],2)</f>
        <v>#N/A</v>
      </c>
      <c r="H824" s="372" t="str">
        <f>CS_PID!H824/VLOOKUP($B824,표2[#ALL],2)/HLOOKUP($A824,표1[#ALL],row(),false)</f>
        <v>#N/A</v>
      </c>
      <c r="I824" s="372" t="str">
        <f>CS_PID!I824/VLOOKUP($B824,표2[#ALL],2)/HLOOKUP($A824,표1[#ALL],row(),false)</f>
        <v>#N/A</v>
      </c>
      <c r="J824" s="372" t="str">
        <f>CS_PID!J824/VLOOKUP($B824,표2[#ALL],2)/HLOOKUP($A824,표1[#ALL],row(),false)</f>
        <v>#N/A</v>
      </c>
      <c r="K824" s="372" t="str">
        <f>CS_PID!K824/VLOOKUP($B824,표2[#ALL],2)/HLOOKUP($A824,표1[#ALL],row(),false)</f>
        <v>#N/A</v>
      </c>
      <c r="L824" s="372" t="str">
        <f>CS_PID!L824/VLOOKUP($B824,표2[#ALL],2)/HLOOKUP($A824,표1[#ALL],row(),false)</f>
        <v>#N/A</v>
      </c>
      <c r="M824" s="372" t="str">
        <f>CS_PID!M824/VLOOKUP($B824,표2[#ALL],2)/HLOOKUP($A824,표1[#ALL],row(),false)</f>
        <v>#N/A</v>
      </c>
      <c r="N824" s="372" t="str">
        <f>CS_PID!N824/VLOOKUP($B824,표2[#ALL],2)/HLOOKUP($A824,표1[#ALL],row(),false)</f>
        <v>#N/A</v>
      </c>
      <c r="O824" s="372" t="str">
        <f>CS_PID!O824/VLOOKUP($B824,표2[#ALL],2)/HLOOKUP($A824,표1[#ALL],row(),false)</f>
        <v>#N/A</v>
      </c>
      <c r="P824" s="372" t="str">
        <f>CS_PID!P824/VLOOKUP($B824,표2[#ALL],2)/HLOOKUP($A824,표1[#ALL],row(),false)</f>
        <v>#N/A</v>
      </c>
      <c r="Q824" s="372" t="str">
        <f>CS_PID!Q824/VLOOKUP($B824,표2[#ALL],2)/HLOOKUP($A824,표1[#ALL],row(),false)</f>
        <v>#N/A</v>
      </c>
      <c r="R824" s="372" t="str">
        <f>CS_PID!R824/VLOOKUP($B824,표2[#ALL],2)/HLOOKUP($A824,표1[#ALL],row(),false)</f>
        <v>#N/A</v>
      </c>
      <c r="S824" s="372" t="str">
        <f>CS_PID!S824/VLOOKUP($B824,표2[#ALL],2)/HLOOKUP($A824,표1[#ALL],row(),false)</f>
        <v>#N/A</v>
      </c>
      <c r="T824" s="372" t="str">
        <f>CS_PID!T824/VLOOKUP($B824,표2[#ALL],2)/HLOOKUP($A824,표1[#ALL],row(),false)</f>
        <v>#N/A</v>
      </c>
      <c r="U824" s="372" t="str">
        <f>CS_PID!U824/VLOOKUP($B824,표2[#ALL],2)/HLOOKUP($A824,표1[#ALL],row(),false)</f>
        <v>#N/A</v>
      </c>
      <c r="V824" s="372" t="str">
        <f>CS_PID!V824/VLOOKUP($B824,표2[#ALL],2)/HLOOKUP($A824,표1[#ALL],row(),false)</f>
        <v>#N/A</v>
      </c>
      <c r="W824" s="372" t="str">
        <f>CS_PID!W824/VLOOKUP($B824,표2[#ALL],2)/HLOOKUP($A824,표1[#ALL],row(),false)</f>
        <v>#N/A</v>
      </c>
      <c r="X824" s="372" t="str">
        <f>CS_PID!X824/VLOOKUP($B824,표2[#ALL],2)/HLOOKUP($A824,표1[#ALL],row(),false)</f>
        <v>#N/A</v>
      </c>
      <c r="Y824" s="372" t="str">
        <f>CS_PID!Y824/VLOOKUP($B824,표2[#ALL],2)/HLOOKUP($A824,표1[#ALL],row(),false)</f>
        <v>#N/A</v>
      </c>
      <c r="Z824" s="372" t="str">
        <f>CS_PID!Z824/VLOOKUP($B824,표2[#ALL],2)/HLOOKUP($A824,표1[#ALL],row(),false)</f>
        <v>#N/A</v>
      </c>
      <c r="AA824" s="372" t="str">
        <f>CS_PID!AA824/VLOOKUP($B824,표2[#ALL],2)/HLOOKUP($A824,표1[#ALL],row(),false)</f>
        <v>#N/A</v>
      </c>
      <c r="AB824" s="372" t="str">
        <f>CS_PID!AB824/VLOOKUP($B824,표2[#ALL],2)/HLOOKUP($A824,표1[#ALL],row(),false)</f>
        <v>#N/A</v>
      </c>
      <c r="AC824" s="372" t="str">
        <f>CS_PID!AC824/VLOOKUP($B824,표2[#ALL],2)/HLOOKUP($A824,표1[#ALL],row(),false)</f>
        <v>#N/A</v>
      </c>
      <c r="AD824" s="372" t="str">
        <f>CS_PID!AD824/VLOOKUP($B824,표2[#ALL],2)/HLOOKUP($A824,표1[#ALL],row(),false)</f>
        <v>#N/A</v>
      </c>
      <c r="AE824" s="372" t="str">
        <f>CS_PID!AE824/VLOOKUP($B824,표2[#ALL],2)/HLOOKUP($A824,표1[#ALL],row(),false)</f>
        <v>#N/A</v>
      </c>
      <c r="AF824" s="372" t="str">
        <f>CS_PID!AF824/VLOOKUP($B824,표2[#ALL],2)/HLOOKUP($A824,표1[#ALL],row(),false)</f>
        <v>#N/A</v>
      </c>
      <c r="AG824" s="372" t="str">
        <f>CS_PID!AG824/VLOOKUP($B824,표2[#ALL],2)/HLOOKUP($A824,표1[#ALL],row(),false)</f>
        <v>#N/A</v>
      </c>
      <c r="AH824" s="372" t="str">
        <f>CS_PID!AH824/VLOOKUP($B824,표2[#ALL],2)/HLOOKUP($A824,표1[#ALL],row(),false)</f>
        <v>#N/A</v>
      </c>
      <c r="AI824" s="372" t="str">
        <f>CS_PID!AI824/VLOOKUP($B824,표2[#ALL],2)/HLOOKUP($A824,표1[#ALL],row(),false)</f>
        <v>#N/A</v>
      </c>
      <c r="AJ824" s="372" t="str">
        <f>CS_PID!AJ824/VLOOKUP($B824,표2[#ALL],2)/HLOOKUP($A824,표1[#ALL],row(),false)</f>
        <v>#N/A</v>
      </c>
      <c r="AK824" s="372" t="str">
        <f>CS_PID!AK824/VLOOKUP($B824,표2[#ALL],2)/HLOOKUP($A824,표1[#ALL],row(),false)</f>
        <v>#N/A</v>
      </c>
      <c r="AL824" s="372" t="str">
        <f>CS_PID!AL824/VLOOKUP($B824,표2[#ALL],2)/HLOOKUP($A824,표1[#ALL],row(),false)</f>
        <v>#N/A</v>
      </c>
      <c r="AM824" s="372" t="str">
        <f>CS_PID!AM824/VLOOKUP($B824,표2[#ALL],2)/HLOOKUP($A824,표1[#ALL],row(),false)</f>
        <v>#N/A</v>
      </c>
      <c r="AN824" s="372" t="str">
        <f>CS_PID!AN824/VLOOKUP($B824,표2[#ALL],2)/HLOOKUP($A824,표1[#ALL],row(),false)</f>
        <v>#N/A</v>
      </c>
      <c r="AO824" s="372" t="str">
        <f>CS_PID!AO824/VLOOKUP($B824,표2[#ALL],2)/HLOOKUP($A824,표1[#ALL],row(),false)</f>
        <v>#N/A</v>
      </c>
      <c r="AP824" s="372" t="str">
        <f>CS_PID!AP824/VLOOKUP($B824,표2[#ALL],2)/HLOOKUP($A824,표1[#ALL],row(),false)</f>
        <v>#N/A</v>
      </c>
      <c r="AQ824" s="372" t="str">
        <f>CS_PID!AQ824/VLOOKUP($B824,표2[#ALL],2)/HLOOKUP($A824,표1[#ALL],row(),false)</f>
        <v>#N/A</v>
      </c>
      <c r="AR824" s="372" t="str">
        <f>CS_PID!AR824/VLOOKUP($B824,표2[#ALL],2)/HLOOKUP($A824,표1[#ALL],row(),false)</f>
        <v>#N/A</v>
      </c>
      <c r="AS824" s="373" t="str">
        <f>CS_PID!AS824/VLOOKUP($B824,표2[#ALL],2)/HLOOKUP($A824,표1[#ALL],row(),false)</f>
        <v>#N/A</v>
      </c>
    </row>
    <row r="825">
      <c r="A825" s="374"/>
      <c r="B825" s="375"/>
      <c r="C825" s="376" t="str">
        <f>CS_PID!C825/VLOOKUP($B825,표2[#ALL],2)</f>
        <v>#N/A</v>
      </c>
      <c r="D825" s="376" t="str">
        <f>CS_PID!D825/VLOOKUP($B825,표2[#ALL],2)</f>
        <v>#N/A</v>
      </c>
      <c r="E825" s="376" t="str">
        <f>CS_PID!E825/VLOOKUP($B825,표2[#ALL],2)</f>
        <v>#N/A</v>
      </c>
      <c r="F825" s="376" t="str">
        <f>CS_PID!F825/VLOOKUP($B825,표2[#ALL],2)</f>
        <v>#N/A</v>
      </c>
      <c r="G825" s="376" t="str">
        <f>CS_PID!G825/VLOOKUP($B825,표2[#ALL],2)</f>
        <v>#N/A</v>
      </c>
      <c r="H825" s="376" t="str">
        <f>CS_PID!H825/VLOOKUP($B825,표2[#ALL],2)/HLOOKUP($A825,표1[#ALL],row(),false)</f>
        <v>#N/A</v>
      </c>
      <c r="I825" s="376" t="str">
        <f>CS_PID!I825/VLOOKUP($B825,표2[#ALL],2)/HLOOKUP($A825,표1[#ALL],row(),false)</f>
        <v>#N/A</v>
      </c>
      <c r="J825" s="376" t="str">
        <f>CS_PID!J825/VLOOKUP($B825,표2[#ALL],2)/HLOOKUP($A825,표1[#ALL],row(),false)</f>
        <v>#N/A</v>
      </c>
      <c r="K825" s="376" t="str">
        <f>CS_PID!K825/VLOOKUP($B825,표2[#ALL],2)/HLOOKUP($A825,표1[#ALL],row(),false)</f>
        <v>#N/A</v>
      </c>
      <c r="L825" s="376" t="str">
        <f>CS_PID!L825/VLOOKUP($B825,표2[#ALL],2)/HLOOKUP($A825,표1[#ALL],row(),false)</f>
        <v>#N/A</v>
      </c>
      <c r="M825" s="376" t="str">
        <f>CS_PID!M825/VLOOKUP($B825,표2[#ALL],2)/HLOOKUP($A825,표1[#ALL],row(),false)</f>
        <v>#N/A</v>
      </c>
      <c r="N825" s="376" t="str">
        <f>CS_PID!N825/VLOOKUP($B825,표2[#ALL],2)/HLOOKUP($A825,표1[#ALL],row(),false)</f>
        <v>#N/A</v>
      </c>
      <c r="O825" s="376" t="str">
        <f>CS_PID!O825/VLOOKUP($B825,표2[#ALL],2)/HLOOKUP($A825,표1[#ALL],row(),false)</f>
        <v>#N/A</v>
      </c>
      <c r="P825" s="376" t="str">
        <f>CS_PID!P825/VLOOKUP($B825,표2[#ALL],2)/HLOOKUP($A825,표1[#ALL],row(),false)</f>
        <v>#N/A</v>
      </c>
      <c r="Q825" s="376" t="str">
        <f>CS_PID!Q825/VLOOKUP($B825,표2[#ALL],2)/HLOOKUP($A825,표1[#ALL],row(),false)</f>
        <v>#N/A</v>
      </c>
      <c r="R825" s="376" t="str">
        <f>CS_PID!R825/VLOOKUP($B825,표2[#ALL],2)/HLOOKUP($A825,표1[#ALL],row(),false)</f>
        <v>#N/A</v>
      </c>
      <c r="S825" s="376" t="str">
        <f>CS_PID!S825/VLOOKUP($B825,표2[#ALL],2)/HLOOKUP($A825,표1[#ALL],row(),false)</f>
        <v>#N/A</v>
      </c>
      <c r="T825" s="376" t="str">
        <f>CS_PID!T825/VLOOKUP($B825,표2[#ALL],2)/HLOOKUP($A825,표1[#ALL],row(),false)</f>
        <v>#N/A</v>
      </c>
      <c r="U825" s="376" t="str">
        <f>CS_PID!U825/VLOOKUP($B825,표2[#ALL],2)/HLOOKUP($A825,표1[#ALL],row(),false)</f>
        <v>#N/A</v>
      </c>
      <c r="V825" s="376" t="str">
        <f>CS_PID!V825/VLOOKUP($B825,표2[#ALL],2)/HLOOKUP($A825,표1[#ALL],row(),false)</f>
        <v>#N/A</v>
      </c>
      <c r="W825" s="376" t="str">
        <f>CS_PID!W825/VLOOKUP($B825,표2[#ALL],2)/HLOOKUP($A825,표1[#ALL],row(),false)</f>
        <v>#N/A</v>
      </c>
      <c r="X825" s="376" t="str">
        <f>CS_PID!X825/VLOOKUP($B825,표2[#ALL],2)/HLOOKUP($A825,표1[#ALL],row(),false)</f>
        <v>#N/A</v>
      </c>
      <c r="Y825" s="376" t="str">
        <f>CS_PID!Y825/VLOOKUP($B825,표2[#ALL],2)/HLOOKUP($A825,표1[#ALL],row(),false)</f>
        <v>#N/A</v>
      </c>
      <c r="Z825" s="376" t="str">
        <f>CS_PID!Z825/VLOOKUP($B825,표2[#ALL],2)/HLOOKUP($A825,표1[#ALL],row(),false)</f>
        <v>#N/A</v>
      </c>
      <c r="AA825" s="376" t="str">
        <f>CS_PID!AA825/VLOOKUP($B825,표2[#ALL],2)/HLOOKUP($A825,표1[#ALL],row(),false)</f>
        <v>#N/A</v>
      </c>
      <c r="AB825" s="376" t="str">
        <f>CS_PID!AB825/VLOOKUP($B825,표2[#ALL],2)/HLOOKUP($A825,표1[#ALL],row(),false)</f>
        <v>#N/A</v>
      </c>
      <c r="AC825" s="376" t="str">
        <f>CS_PID!AC825/VLOOKUP($B825,표2[#ALL],2)/HLOOKUP($A825,표1[#ALL],row(),false)</f>
        <v>#N/A</v>
      </c>
      <c r="AD825" s="376" t="str">
        <f>CS_PID!AD825/VLOOKUP($B825,표2[#ALL],2)/HLOOKUP($A825,표1[#ALL],row(),false)</f>
        <v>#N/A</v>
      </c>
      <c r="AE825" s="376" t="str">
        <f>CS_PID!AE825/VLOOKUP($B825,표2[#ALL],2)/HLOOKUP($A825,표1[#ALL],row(),false)</f>
        <v>#N/A</v>
      </c>
      <c r="AF825" s="376" t="str">
        <f>CS_PID!AF825/VLOOKUP($B825,표2[#ALL],2)/HLOOKUP($A825,표1[#ALL],row(),false)</f>
        <v>#N/A</v>
      </c>
      <c r="AG825" s="376" t="str">
        <f>CS_PID!AG825/VLOOKUP($B825,표2[#ALL],2)/HLOOKUP($A825,표1[#ALL],row(),false)</f>
        <v>#N/A</v>
      </c>
      <c r="AH825" s="376" t="str">
        <f>CS_PID!AH825/VLOOKUP($B825,표2[#ALL],2)/HLOOKUP($A825,표1[#ALL],row(),false)</f>
        <v>#N/A</v>
      </c>
      <c r="AI825" s="376" t="str">
        <f>CS_PID!AI825/VLOOKUP($B825,표2[#ALL],2)/HLOOKUP($A825,표1[#ALL],row(),false)</f>
        <v>#N/A</v>
      </c>
      <c r="AJ825" s="376" t="str">
        <f>CS_PID!AJ825/VLOOKUP($B825,표2[#ALL],2)/HLOOKUP($A825,표1[#ALL],row(),false)</f>
        <v>#N/A</v>
      </c>
      <c r="AK825" s="376" t="str">
        <f>CS_PID!AK825/VLOOKUP($B825,표2[#ALL],2)/HLOOKUP($A825,표1[#ALL],row(),false)</f>
        <v>#N/A</v>
      </c>
      <c r="AL825" s="376" t="str">
        <f>CS_PID!AL825/VLOOKUP($B825,표2[#ALL],2)/HLOOKUP($A825,표1[#ALL],row(),false)</f>
        <v>#N/A</v>
      </c>
      <c r="AM825" s="376" t="str">
        <f>CS_PID!AM825/VLOOKUP($B825,표2[#ALL],2)/HLOOKUP($A825,표1[#ALL],row(),false)</f>
        <v>#N/A</v>
      </c>
      <c r="AN825" s="376" t="str">
        <f>CS_PID!AN825/VLOOKUP($B825,표2[#ALL],2)/HLOOKUP($A825,표1[#ALL],row(),false)</f>
        <v>#N/A</v>
      </c>
      <c r="AO825" s="376" t="str">
        <f>CS_PID!AO825/VLOOKUP($B825,표2[#ALL],2)/HLOOKUP($A825,표1[#ALL],row(),false)</f>
        <v>#N/A</v>
      </c>
      <c r="AP825" s="376" t="str">
        <f>CS_PID!AP825/VLOOKUP($B825,표2[#ALL],2)/HLOOKUP($A825,표1[#ALL],row(),false)</f>
        <v>#N/A</v>
      </c>
      <c r="AQ825" s="376" t="str">
        <f>CS_PID!AQ825/VLOOKUP($B825,표2[#ALL],2)/HLOOKUP($A825,표1[#ALL],row(),false)</f>
        <v>#N/A</v>
      </c>
      <c r="AR825" s="376" t="str">
        <f>CS_PID!AR825/VLOOKUP($B825,표2[#ALL],2)/HLOOKUP($A825,표1[#ALL],row(),false)</f>
        <v>#N/A</v>
      </c>
      <c r="AS825" s="377" t="str">
        <f>CS_PID!AS825/VLOOKUP($B825,표2[#ALL],2)/HLOOKUP($A825,표1[#ALL],row(),false)</f>
        <v>#N/A</v>
      </c>
    </row>
    <row r="826">
      <c r="A826" s="370"/>
      <c r="B826" s="371"/>
      <c r="C826" s="372" t="str">
        <f>CS_PID!C826/VLOOKUP($B826,표2[#ALL],2)</f>
        <v>#N/A</v>
      </c>
      <c r="D826" s="372" t="str">
        <f>CS_PID!D826/VLOOKUP($B826,표2[#ALL],2)</f>
        <v>#N/A</v>
      </c>
      <c r="E826" s="372" t="str">
        <f>CS_PID!E826/VLOOKUP($B826,표2[#ALL],2)</f>
        <v>#N/A</v>
      </c>
      <c r="F826" s="372" t="str">
        <f>CS_PID!F826/VLOOKUP($B826,표2[#ALL],2)</f>
        <v>#N/A</v>
      </c>
      <c r="G826" s="372" t="str">
        <f>CS_PID!G826/VLOOKUP($B826,표2[#ALL],2)</f>
        <v>#N/A</v>
      </c>
      <c r="H826" s="372" t="str">
        <f>CS_PID!H826/VLOOKUP($B826,표2[#ALL],2)/HLOOKUP($A826,표1[#ALL],row(),false)</f>
        <v>#N/A</v>
      </c>
      <c r="I826" s="372" t="str">
        <f>CS_PID!I826/VLOOKUP($B826,표2[#ALL],2)/HLOOKUP($A826,표1[#ALL],row(),false)</f>
        <v>#N/A</v>
      </c>
      <c r="J826" s="372" t="str">
        <f>CS_PID!J826/VLOOKUP($B826,표2[#ALL],2)/HLOOKUP($A826,표1[#ALL],row(),false)</f>
        <v>#N/A</v>
      </c>
      <c r="K826" s="372" t="str">
        <f>CS_PID!K826/VLOOKUP($B826,표2[#ALL],2)/HLOOKUP($A826,표1[#ALL],row(),false)</f>
        <v>#N/A</v>
      </c>
      <c r="L826" s="372" t="str">
        <f>CS_PID!L826/VLOOKUP($B826,표2[#ALL],2)/HLOOKUP($A826,표1[#ALL],row(),false)</f>
        <v>#N/A</v>
      </c>
      <c r="M826" s="372" t="str">
        <f>CS_PID!M826/VLOOKUP($B826,표2[#ALL],2)/HLOOKUP($A826,표1[#ALL],row(),false)</f>
        <v>#N/A</v>
      </c>
      <c r="N826" s="372" t="str">
        <f>CS_PID!N826/VLOOKUP($B826,표2[#ALL],2)/HLOOKUP($A826,표1[#ALL],row(),false)</f>
        <v>#N/A</v>
      </c>
      <c r="O826" s="372" t="str">
        <f>CS_PID!O826/VLOOKUP($B826,표2[#ALL],2)/HLOOKUP($A826,표1[#ALL],row(),false)</f>
        <v>#N/A</v>
      </c>
      <c r="P826" s="372" t="str">
        <f>CS_PID!P826/VLOOKUP($B826,표2[#ALL],2)/HLOOKUP($A826,표1[#ALL],row(),false)</f>
        <v>#N/A</v>
      </c>
      <c r="Q826" s="372" t="str">
        <f>CS_PID!Q826/VLOOKUP($B826,표2[#ALL],2)/HLOOKUP($A826,표1[#ALL],row(),false)</f>
        <v>#N/A</v>
      </c>
      <c r="R826" s="372" t="str">
        <f>CS_PID!R826/VLOOKUP($B826,표2[#ALL],2)/HLOOKUP($A826,표1[#ALL],row(),false)</f>
        <v>#N/A</v>
      </c>
      <c r="S826" s="372" t="str">
        <f>CS_PID!S826/VLOOKUP($B826,표2[#ALL],2)/HLOOKUP($A826,표1[#ALL],row(),false)</f>
        <v>#N/A</v>
      </c>
      <c r="T826" s="372" t="str">
        <f>CS_PID!T826/VLOOKUP($B826,표2[#ALL],2)/HLOOKUP($A826,표1[#ALL],row(),false)</f>
        <v>#N/A</v>
      </c>
      <c r="U826" s="372" t="str">
        <f>CS_PID!U826/VLOOKUP($B826,표2[#ALL],2)/HLOOKUP($A826,표1[#ALL],row(),false)</f>
        <v>#N/A</v>
      </c>
      <c r="V826" s="372" t="str">
        <f>CS_PID!V826/VLOOKUP($B826,표2[#ALL],2)/HLOOKUP($A826,표1[#ALL],row(),false)</f>
        <v>#N/A</v>
      </c>
      <c r="W826" s="372" t="str">
        <f>CS_PID!W826/VLOOKUP($B826,표2[#ALL],2)/HLOOKUP($A826,표1[#ALL],row(),false)</f>
        <v>#N/A</v>
      </c>
      <c r="X826" s="372" t="str">
        <f>CS_PID!X826/VLOOKUP($B826,표2[#ALL],2)/HLOOKUP($A826,표1[#ALL],row(),false)</f>
        <v>#N/A</v>
      </c>
      <c r="Y826" s="372" t="str">
        <f>CS_PID!Y826/VLOOKUP($B826,표2[#ALL],2)/HLOOKUP($A826,표1[#ALL],row(),false)</f>
        <v>#N/A</v>
      </c>
      <c r="Z826" s="372" t="str">
        <f>CS_PID!Z826/VLOOKUP($B826,표2[#ALL],2)/HLOOKUP($A826,표1[#ALL],row(),false)</f>
        <v>#N/A</v>
      </c>
      <c r="AA826" s="372" t="str">
        <f>CS_PID!AA826/VLOOKUP($B826,표2[#ALL],2)/HLOOKUP($A826,표1[#ALL],row(),false)</f>
        <v>#N/A</v>
      </c>
      <c r="AB826" s="372" t="str">
        <f>CS_PID!AB826/VLOOKUP($B826,표2[#ALL],2)/HLOOKUP($A826,표1[#ALL],row(),false)</f>
        <v>#N/A</v>
      </c>
      <c r="AC826" s="372" t="str">
        <f>CS_PID!AC826/VLOOKUP($B826,표2[#ALL],2)/HLOOKUP($A826,표1[#ALL],row(),false)</f>
        <v>#N/A</v>
      </c>
      <c r="AD826" s="372" t="str">
        <f>CS_PID!AD826/VLOOKUP($B826,표2[#ALL],2)/HLOOKUP($A826,표1[#ALL],row(),false)</f>
        <v>#N/A</v>
      </c>
      <c r="AE826" s="372" t="str">
        <f>CS_PID!AE826/VLOOKUP($B826,표2[#ALL],2)/HLOOKUP($A826,표1[#ALL],row(),false)</f>
        <v>#N/A</v>
      </c>
      <c r="AF826" s="372" t="str">
        <f>CS_PID!AF826/VLOOKUP($B826,표2[#ALL],2)/HLOOKUP($A826,표1[#ALL],row(),false)</f>
        <v>#N/A</v>
      </c>
      <c r="AG826" s="372" t="str">
        <f>CS_PID!AG826/VLOOKUP($B826,표2[#ALL],2)/HLOOKUP($A826,표1[#ALL],row(),false)</f>
        <v>#N/A</v>
      </c>
      <c r="AH826" s="372" t="str">
        <f>CS_PID!AH826/VLOOKUP($B826,표2[#ALL],2)/HLOOKUP($A826,표1[#ALL],row(),false)</f>
        <v>#N/A</v>
      </c>
      <c r="AI826" s="372" t="str">
        <f>CS_PID!AI826/VLOOKUP($B826,표2[#ALL],2)/HLOOKUP($A826,표1[#ALL],row(),false)</f>
        <v>#N/A</v>
      </c>
      <c r="AJ826" s="372" t="str">
        <f>CS_PID!AJ826/VLOOKUP($B826,표2[#ALL],2)/HLOOKUP($A826,표1[#ALL],row(),false)</f>
        <v>#N/A</v>
      </c>
      <c r="AK826" s="372" t="str">
        <f>CS_PID!AK826/VLOOKUP($B826,표2[#ALL],2)/HLOOKUP($A826,표1[#ALL],row(),false)</f>
        <v>#N/A</v>
      </c>
      <c r="AL826" s="372" t="str">
        <f>CS_PID!AL826/VLOOKUP($B826,표2[#ALL],2)/HLOOKUP($A826,표1[#ALL],row(),false)</f>
        <v>#N/A</v>
      </c>
      <c r="AM826" s="372" t="str">
        <f>CS_PID!AM826/VLOOKUP($B826,표2[#ALL],2)/HLOOKUP($A826,표1[#ALL],row(),false)</f>
        <v>#N/A</v>
      </c>
      <c r="AN826" s="372" t="str">
        <f>CS_PID!AN826/VLOOKUP($B826,표2[#ALL],2)/HLOOKUP($A826,표1[#ALL],row(),false)</f>
        <v>#N/A</v>
      </c>
      <c r="AO826" s="372" t="str">
        <f>CS_PID!AO826/VLOOKUP($B826,표2[#ALL],2)/HLOOKUP($A826,표1[#ALL],row(),false)</f>
        <v>#N/A</v>
      </c>
      <c r="AP826" s="372" t="str">
        <f>CS_PID!AP826/VLOOKUP($B826,표2[#ALL],2)/HLOOKUP($A826,표1[#ALL],row(),false)</f>
        <v>#N/A</v>
      </c>
      <c r="AQ826" s="372" t="str">
        <f>CS_PID!AQ826/VLOOKUP($B826,표2[#ALL],2)/HLOOKUP($A826,표1[#ALL],row(),false)</f>
        <v>#N/A</v>
      </c>
      <c r="AR826" s="372" t="str">
        <f>CS_PID!AR826/VLOOKUP($B826,표2[#ALL],2)/HLOOKUP($A826,표1[#ALL],row(),false)</f>
        <v>#N/A</v>
      </c>
      <c r="AS826" s="373" t="str">
        <f>CS_PID!AS826/VLOOKUP($B826,표2[#ALL],2)/HLOOKUP($A826,표1[#ALL],row(),false)</f>
        <v>#N/A</v>
      </c>
    </row>
    <row r="827">
      <c r="A827" s="374"/>
      <c r="B827" s="375"/>
      <c r="C827" s="376" t="str">
        <f>CS_PID!C827/VLOOKUP($B827,표2[#ALL],2)</f>
        <v>#N/A</v>
      </c>
      <c r="D827" s="376" t="str">
        <f>CS_PID!D827/VLOOKUP($B827,표2[#ALL],2)</f>
        <v>#N/A</v>
      </c>
      <c r="E827" s="376" t="str">
        <f>CS_PID!E827/VLOOKUP($B827,표2[#ALL],2)</f>
        <v>#N/A</v>
      </c>
      <c r="F827" s="376" t="str">
        <f>CS_PID!F827/VLOOKUP($B827,표2[#ALL],2)</f>
        <v>#N/A</v>
      </c>
      <c r="G827" s="376" t="str">
        <f>CS_PID!G827/VLOOKUP($B827,표2[#ALL],2)</f>
        <v>#N/A</v>
      </c>
      <c r="H827" s="376" t="str">
        <f>CS_PID!H827/VLOOKUP($B827,표2[#ALL],2)/HLOOKUP($A827,표1[#ALL],row(),false)</f>
        <v>#N/A</v>
      </c>
      <c r="I827" s="376" t="str">
        <f>CS_PID!I827/VLOOKUP($B827,표2[#ALL],2)/HLOOKUP($A827,표1[#ALL],row(),false)</f>
        <v>#N/A</v>
      </c>
      <c r="J827" s="376" t="str">
        <f>CS_PID!J827/VLOOKUP($B827,표2[#ALL],2)/HLOOKUP($A827,표1[#ALL],row(),false)</f>
        <v>#N/A</v>
      </c>
      <c r="K827" s="376" t="str">
        <f>CS_PID!K827/VLOOKUP($B827,표2[#ALL],2)/HLOOKUP($A827,표1[#ALL],row(),false)</f>
        <v>#N/A</v>
      </c>
      <c r="L827" s="376" t="str">
        <f>CS_PID!L827/VLOOKUP($B827,표2[#ALL],2)/HLOOKUP($A827,표1[#ALL],row(),false)</f>
        <v>#N/A</v>
      </c>
      <c r="M827" s="376" t="str">
        <f>CS_PID!M827/VLOOKUP($B827,표2[#ALL],2)/HLOOKUP($A827,표1[#ALL],row(),false)</f>
        <v>#N/A</v>
      </c>
      <c r="N827" s="376" t="str">
        <f>CS_PID!N827/VLOOKUP($B827,표2[#ALL],2)/HLOOKUP($A827,표1[#ALL],row(),false)</f>
        <v>#N/A</v>
      </c>
      <c r="O827" s="376" t="str">
        <f>CS_PID!O827/VLOOKUP($B827,표2[#ALL],2)/HLOOKUP($A827,표1[#ALL],row(),false)</f>
        <v>#N/A</v>
      </c>
      <c r="P827" s="376" t="str">
        <f>CS_PID!P827/VLOOKUP($B827,표2[#ALL],2)/HLOOKUP($A827,표1[#ALL],row(),false)</f>
        <v>#N/A</v>
      </c>
      <c r="Q827" s="376" t="str">
        <f>CS_PID!Q827/VLOOKUP($B827,표2[#ALL],2)/HLOOKUP($A827,표1[#ALL],row(),false)</f>
        <v>#N/A</v>
      </c>
      <c r="R827" s="376" t="str">
        <f>CS_PID!R827/VLOOKUP($B827,표2[#ALL],2)/HLOOKUP($A827,표1[#ALL],row(),false)</f>
        <v>#N/A</v>
      </c>
      <c r="S827" s="376" t="str">
        <f>CS_PID!S827/VLOOKUP($B827,표2[#ALL],2)/HLOOKUP($A827,표1[#ALL],row(),false)</f>
        <v>#N/A</v>
      </c>
      <c r="T827" s="376" t="str">
        <f>CS_PID!T827/VLOOKUP($B827,표2[#ALL],2)/HLOOKUP($A827,표1[#ALL],row(),false)</f>
        <v>#N/A</v>
      </c>
      <c r="U827" s="376" t="str">
        <f>CS_PID!U827/VLOOKUP($B827,표2[#ALL],2)/HLOOKUP($A827,표1[#ALL],row(),false)</f>
        <v>#N/A</v>
      </c>
      <c r="V827" s="376" t="str">
        <f>CS_PID!V827/VLOOKUP($B827,표2[#ALL],2)/HLOOKUP($A827,표1[#ALL],row(),false)</f>
        <v>#N/A</v>
      </c>
      <c r="W827" s="376" t="str">
        <f>CS_PID!W827/VLOOKUP($B827,표2[#ALL],2)/HLOOKUP($A827,표1[#ALL],row(),false)</f>
        <v>#N/A</v>
      </c>
      <c r="X827" s="376" t="str">
        <f>CS_PID!X827/VLOOKUP($B827,표2[#ALL],2)/HLOOKUP($A827,표1[#ALL],row(),false)</f>
        <v>#N/A</v>
      </c>
      <c r="Y827" s="376" t="str">
        <f>CS_PID!Y827/VLOOKUP($B827,표2[#ALL],2)/HLOOKUP($A827,표1[#ALL],row(),false)</f>
        <v>#N/A</v>
      </c>
      <c r="Z827" s="376" t="str">
        <f>CS_PID!Z827/VLOOKUP($B827,표2[#ALL],2)/HLOOKUP($A827,표1[#ALL],row(),false)</f>
        <v>#N/A</v>
      </c>
      <c r="AA827" s="376" t="str">
        <f>CS_PID!AA827/VLOOKUP($B827,표2[#ALL],2)/HLOOKUP($A827,표1[#ALL],row(),false)</f>
        <v>#N/A</v>
      </c>
      <c r="AB827" s="376" t="str">
        <f>CS_PID!AB827/VLOOKUP($B827,표2[#ALL],2)/HLOOKUP($A827,표1[#ALL],row(),false)</f>
        <v>#N/A</v>
      </c>
      <c r="AC827" s="376" t="str">
        <f>CS_PID!AC827/VLOOKUP($B827,표2[#ALL],2)/HLOOKUP($A827,표1[#ALL],row(),false)</f>
        <v>#N/A</v>
      </c>
      <c r="AD827" s="376" t="str">
        <f>CS_PID!AD827/VLOOKUP($B827,표2[#ALL],2)/HLOOKUP($A827,표1[#ALL],row(),false)</f>
        <v>#N/A</v>
      </c>
      <c r="AE827" s="376" t="str">
        <f>CS_PID!AE827/VLOOKUP($B827,표2[#ALL],2)/HLOOKUP($A827,표1[#ALL],row(),false)</f>
        <v>#N/A</v>
      </c>
      <c r="AF827" s="376" t="str">
        <f>CS_PID!AF827/VLOOKUP($B827,표2[#ALL],2)/HLOOKUP($A827,표1[#ALL],row(),false)</f>
        <v>#N/A</v>
      </c>
      <c r="AG827" s="376" t="str">
        <f>CS_PID!AG827/VLOOKUP($B827,표2[#ALL],2)/HLOOKUP($A827,표1[#ALL],row(),false)</f>
        <v>#N/A</v>
      </c>
      <c r="AH827" s="376" t="str">
        <f>CS_PID!AH827/VLOOKUP($B827,표2[#ALL],2)/HLOOKUP($A827,표1[#ALL],row(),false)</f>
        <v>#N/A</v>
      </c>
      <c r="AI827" s="376" t="str">
        <f>CS_PID!AI827/VLOOKUP($B827,표2[#ALL],2)/HLOOKUP($A827,표1[#ALL],row(),false)</f>
        <v>#N/A</v>
      </c>
      <c r="AJ827" s="376" t="str">
        <f>CS_PID!AJ827/VLOOKUP($B827,표2[#ALL],2)/HLOOKUP($A827,표1[#ALL],row(),false)</f>
        <v>#N/A</v>
      </c>
      <c r="AK827" s="376" t="str">
        <f>CS_PID!AK827/VLOOKUP($B827,표2[#ALL],2)/HLOOKUP($A827,표1[#ALL],row(),false)</f>
        <v>#N/A</v>
      </c>
      <c r="AL827" s="376" t="str">
        <f>CS_PID!AL827/VLOOKUP($B827,표2[#ALL],2)/HLOOKUP($A827,표1[#ALL],row(),false)</f>
        <v>#N/A</v>
      </c>
      <c r="AM827" s="376" t="str">
        <f>CS_PID!AM827/VLOOKUP($B827,표2[#ALL],2)/HLOOKUP($A827,표1[#ALL],row(),false)</f>
        <v>#N/A</v>
      </c>
      <c r="AN827" s="376" t="str">
        <f>CS_PID!AN827/VLOOKUP($B827,표2[#ALL],2)/HLOOKUP($A827,표1[#ALL],row(),false)</f>
        <v>#N/A</v>
      </c>
      <c r="AO827" s="376" t="str">
        <f>CS_PID!AO827/VLOOKUP($B827,표2[#ALL],2)/HLOOKUP($A827,표1[#ALL],row(),false)</f>
        <v>#N/A</v>
      </c>
      <c r="AP827" s="376" t="str">
        <f>CS_PID!AP827/VLOOKUP($B827,표2[#ALL],2)/HLOOKUP($A827,표1[#ALL],row(),false)</f>
        <v>#N/A</v>
      </c>
      <c r="AQ827" s="376" t="str">
        <f>CS_PID!AQ827/VLOOKUP($B827,표2[#ALL],2)/HLOOKUP($A827,표1[#ALL],row(),false)</f>
        <v>#N/A</v>
      </c>
      <c r="AR827" s="376" t="str">
        <f>CS_PID!AR827/VLOOKUP($B827,표2[#ALL],2)/HLOOKUP($A827,표1[#ALL],row(),false)</f>
        <v>#N/A</v>
      </c>
      <c r="AS827" s="377" t="str">
        <f>CS_PID!AS827/VLOOKUP($B827,표2[#ALL],2)/HLOOKUP($A827,표1[#ALL],row(),false)</f>
        <v>#N/A</v>
      </c>
    </row>
    <row r="828">
      <c r="A828" s="370"/>
      <c r="B828" s="371"/>
      <c r="C828" s="372" t="str">
        <f>CS_PID!C828/VLOOKUP($B828,표2[#ALL],2)</f>
        <v>#N/A</v>
      </c>
      <c r="D828" s="372" t="str">
        <f>CS_PID!D828/VLOOKUP($B828,표2[#ALL],2)</f>
        <v>#N/A</v>
      </c>
      <c r="E828" s="372" t="str">
        <f>CS_PID!E828/VLOOKUP($B828,표2[#ALL],2)</f>
        <v>#N/A</v>
      </c>
      <c r="F828" s="372" t="str">
        <f>CS_PID!F828/VLOOKUP($B828,표2[#ALL],2)</f>
        <v>#N/A</v>
      </c>
      <c r="G828" s="372" t="str">
        <f>CS_PID!G828/VLOOKUP($B828,표2[#ALL],2)</f>
        <v>#N/A</v>
      </c>
      <c r="H828" s="372" t="str">
        <f>CS_PID!H828/VLOOKUP($B828,표2[#ALL],2)/HLOOKUP($A828,표1[#ALL],row(),false)</f>
        <v>#N/A</v>
      </c>
      <c r="I828" s="372" t="str">
        <f>CS_PID!I828/VLOOKUP($B828,표2[#ALL],2)/HLOOKUP($A828,표1[#ALL],row(),false)</f>
        <v>#N/A</v>
      </c>
      <c r="J828" s="372" t="str">
        <f>CS_PID!J828/VLOOKUP($B828,표2[#ALL],2)/HLOOKUP($A828,표1[#ALL],row(),false)</f>
        <v>#N/A</v>
      </c>
      <c r="K828" s="372" t="str">
        <f>CS_PID!K828/VLOOKUP($B828,표2[#ALL],2)/HLOOKUP($A828,표1[#ALL],row(),false)</f>
        <v>#N/A</v>
      </c>
      <c r="L828" s="372" t="str">
        <f>CS_PID!L828/VLOOKUP($B828,표2[#ALL],2)/HLOOKUP($A828,표1[#ALL],row(),false)</f>
        <v>#N/A</v>
      </c>
      <c r="M828" s="372" t="str">
        <f>CS_PID!M828/VLOOKUP($B828,표2[#ALL],2)/HLOOKUP($A828,표1[#ALL],row(),false)</f>
        <v>#N/A</v>
      </c>
      <c r="N828" s="372" t="str">
        <f>CS_PID!N828/VLOOKUP($B828,표2[#ALL],2)/HLOOKUP($A828,표1[#ALL],row(),false)</f>
        <v>#N/A</v>
      </c>
      <c r="O828" s="372" t="str">
        <f>CS_PID!O828/VLOOKUP($B828,표2[#ALL],2)/HLOOKUP($A828,표1[#ALL],row(),false)</f>
        <v>#N/A</v>
      </c>
      <c r="P828" s="372" t="str">
        <f>CS_PID!P828/VLOOKUP($B828,표2[#ALL],2)/HLOOKUP($A828,표1[#ALL],row(),false)</f>
        <v>#N/A</v>
      </c>
      <c r="Q828" s="372" t="str">
        <f>CS_PID!Q828/VLOOKUP($B828,표2[#ALL],2)/HLOOKUP($A828,표1[#ALL],row(),false)</f>
        <v>#N/A</v>
      </c>
      <c r="R828" s="372" t="str">
        <f>CS_PID!R828/VLOOKUP($B828,표2[#ALL],2)/HLOOKUP($A828,표1[#ALL],row(),false)</f>
        <v>#N/A</v>
      </c>
      <c r="S828" s="372" t="str">
        <f>CS_PID!S828/VLOOKUP($B828,표2[#ALL],2)/HLOOKUP($A828,표1[#ALL],row(),false)</f>
        <v>#N/A</v>
      </c>
      <c r="T828" s="372" t="str">
        <f>CS_PID!T828/VLOOKUP($B828,표2[#ALL],2)/HLOOKUP($A828,표1[#ALL],row(),false)</f>
        <v>#N/A</v>
      </c>
      <c r="U828" s="372" t="str">
        <f>CS_PID!U828/VLOOKUP($B828,표2[#ALL],2)/HLOOKUP($A828,표1[#ALL],row(),false)</f>
        <v>#N/A</v>
      </c>
      <c r="V828" s="372" t="str">
        <f>CS_PID!V828/VLOOKUP($B828,표2[#ALL],2)/HLOOKUP($A828,표1[#ALL],row(),false)</f>
        <v>#N/A</v>
      </c>
      <c r="W828" s="372" t="str">
        <f>CS_PID!W828/VLOOKUP($B828,표2[#ALL],2)/HLOOKUP($A828,표1[#ALL],row(),false)</f>
        <v>#N/A</v>
      </c>
      <c r="X828" s="372" t="str">
        <f>CS_PID!X828/VLOOKUP($B828,표2[#ALL],2)/HLOOKUP($A828,표1[#ALL],row(),false)</f>
        <v>#N/A</v>
      </c>
      <c r="Y828" s="372" t="str">
        <f>CS_PID!Y828/VLOOKUP($B828,표2[#ALL],2)/HLOOKUP($A828,표1[#ALL],row(),false)</f>
        <v>#N/A</v>
      </c>
      <c r="Z828" s="372" t="str">
        <f>CS_PID!Z828/VLOOKUP($B828,표2[#ALL],2)/HLOOKUP($A828,표1[#ALL],row(),false)</f>
        <v>#N/A</v>
      </c>
      <c r="AA828" s="372" t="str">
        <f>CS_PID!AA828/VLOOKUP($B828,표2[#ALL],2)/HLOOKUP($A828,표1[#ALL],row(),false)</f>
        <v>#N/A</v>
      </c>
      <c r="AB828" s="372" t="str">
        <f>CS_PID!AB828/VLOOKUP($B828,표2[#ALL],2)/HLOOKUP($A828,표1[#ALL],row(),false)</f>
        <v>#N/A</v>
      </c>
      <c r="AC828" s="372" t="str">
        <f>CS_PID!AC828/VLOOKUP($B828,표2[#ALL],2)/HLOOKUP($A828,표1[#ALL],row(),false)</f>
        <v>#N/A</v>
      </c>
      <c r="AD828" s="372" t="str">
        <f>CS_PID!AD828/VLOOKUP($B828,표2[#ALL],2)/HLOOKUP($A828,표1[#ALL],row(),false)</f>
        <v>#N/A</v>
      </c>
      <c r="AE828" s="372" t="str">
        <f>CS_PID!AE828/VLOOKUP($B828,표2[#ALL],2)/HLOOKUP($A828,표1[#ALL],row(),false)</f>
        <v>#N/A</v>
      </c>
      <c r="AF828" s="372" t="str">
        <f>CS_PID!AF828/VLOOKUP($B828,표2[#ALL],2)/HLOOKUP($A828,표1[#ALL],row(),false)</f>
        <v>#N/A</v>
      </c>
      <c r="AG828" s="372" t="str">
        <f>CS_PID!AG828/VLOOKUP($B828,표2[#ALL],2)/HLOOKUP($A828,표1[#ALL],row(),false)</f>
        <v>#N/A</v>
      </c>
      <c r="AH828" s="372" t="str">
        <f>CS_PID!AH828/VLOOKUP($B828,표2[#ALL],2)/HLOOKUP($A828,표1[#ALL],row(),false)</f>
        <v>#N/A</v>
      </c>
      <c r="AI828" s="372" t="str">
        <f>CS_PID!AI828/VLOOKUP($B828,표2[#ALL],2)/HLOOKUP($A828,표1[#ALL],row(),false)</f>
        <v>#N/A</v>
      </c>
      <c r="AJ828" s="372" t="str">
        <f>CS_PID!AJ828/VLOOKUP($B828,표2[#ALL],2)/HLOOKUP($A828,표1[#ALL],row(),false)</f>
        <v>#N/A</v>
      </c>
      <c r="AK828" s="372" t="str">
        <f>CS_PID!AK828/VLOOKUP($B828,표2[#ALL],2)/HLOOKUP($A828,표1[#ALL],row(),false)</f>
        <v>#N/A</v>
      </c>
      <c r="AL828" s="372" t="str">
        <f>CS_PID!AL828/VLOOKUP($B828,표2[#ALL],2)/HLOOKUP($A828,표1[#ALL],row(),false)</f>
        <v>#N/A</v>
      </c>
      <c r="AM828" s="372" t="str">
        <f>CS_PID!AM828/VLOOKUP($B828,표2[#ALL],2)/HLOOKUP($A828,표1[#ALL],row(),false)</f>
        <v>#N/A</v>
      </c>
      <c r="AN828" s="372" t="str">
        <f>CS_PID!AN828/VLOOKUP($B828,표2[#ALL],2)/HLOOKUP($A828,표1[#ALL],row(),false)</f>
        <v>#N/A</v>
      </c>
      <c r="AO828" s="372" t="str">
        <f>CS_PID!AO828/VLOOKUP($B828,표2[#ALL],2)/HLOOKUP($A828,표1[#ALL],row(),false)</f>
        <v>#N/A</v>
      </c>
      <c r="AP828" s="372" t="str">
        <f>CS_PID!AP828/VLOOKUP($B828,표2[#ALL],2)/HLOOKUP($A828,표1[#ALL],row(),false)</f>
        <v>#N/A</v>
      </c>
      <c r="AQ828" s="372" t="str">
        <f>CS_PID!AQ828/VLOOKUP($B828,표2[#ALL],2)/HLOOKUP($A828,표1[#ALL],row(),false)</f>
        <v>#N/A</v>
      </c>
      <c r="AR828" s="372" t="str">
        <f>CS_PID!AR828/VLOOKUP($B828,표2[#ALL],2)/HLOOKUP($A828,표1[#ALL],row(),false)</f>
        <v>#N/A</v>
      </c>
      <c r="AS828" s="373" t="str">
        <f>CS_PID!AS828/VLOOKUP($B828,표2[#ALL],2)/HLOOKUP($A828,표1[#ALL],row(),false)</f>
        <v>#N/A</v>
      </c>
    </row>
    <row r="829">
      <c r="A829" s="374"/>
      <c r="B829" s="375"/>
      <c r="C829" s="376" t="str">
        <f>CS_PID!C829/VLOOKUP($B829,표2[#ALL],2)</f>
        <v>#N/A</v>
      </c>
      <c r="D829" s="376" t="str">
        <f>CS_PID!D829/VLOOKUP($B829,표2[#ALL],2)</f>
        <v>#N/A</v>
      </c>
      <c r="E829" s="376" t="str">
        <f>CS_PID!E829/VLOOKUP($B829,표2[#ALL],2)</f>
        <v>#N/A</v>
      </c>
      <c r="F829" s="376" t="str">
        <f>CS_PID!F829/VLOOKUP($B829,표2[#ALL],2)</f>
        <v>#N/A</v>
      </c>
      <c r="G829" s="376" t="str">
        <f>CS_PID!G829/VLOOKUP($B829,표2[#ALL],2)</f>
        <v>#N/A</v>
      </c>
      <c r="H829" s="376" t="str">
        <f>CS_PID!H829/VLOOKUP($B829,표2[#ALL],2)/HLOOKUP($A829,표1[#ALL],row(),false)</f>
        <v>#N/A</v>
      </c>
      <c r="I829" s="376" t="str">
        <f>CS_PID!I829/VLOOKUP($B829,표2[#ALL],2)/HLOOKUP($A829,표1[#ALL],row(),false)</f>
        <v>#N/A</v>
      </c>
      <c r="J829" s="376" t="str">
        <f>CS_PID!J829/VLOOKUP($B829,표2[#ALL],2)/HLOOKUP($A829,표1[#ALL],row(),false)</f>
        <v>#N/A</v>
      </c>
      <c r="K829" s="376" t="str">
        <f>CS_PID!K829/VLOOKUP($B829,표2[#ALL],2)/HLOOKUP($A829,표1[#ALL],row(),false)</f>
        <v>#N/A</v>
      </c>
      <c r="L829" s="376" t="str">
        <f>CS_PID!L829/VLOOKUP($B829,표2[#ALL],2)/HLOOKUP($A829,표1[#ALL],row(),false)</f>
        <v>#N/A</v>
      </c>
      <c r="M829" s="376" t="str">
        <f>CS_PID!M829/VLOOKUP($B829,표2[#ALL],2)/HLOOKUP($A829,표1[#ALL],row(),false)</f>
        <v>#N/A</v>
      </c>
      <c r="N829" s="376" t="str">
        <f>CS_PID!N829/VLOOKUP($B829,표2[#ALL],2)/HLOOKUP($A829,표1[#ALL],row(),false)</f>
        <v>#N/A</v>
      </c>
      <c r="O829" s="376" t="str">
        <f>CS_PID!O829/VLOOKUP($B829,표2[#ALL],2)/HLOOKUP($A829,표1[#ALL],row(),false)</f>
        <v>#N/A</v>
      </c>
      <c r="P829" s="376" t="str">
        <f>CS_PID!P829/VLOOKUP($B829,표2[#ALL],2)/HLOOKUP($A829,표1[#ALL],row(),false)</f>
        <v>#N/A</v>
      </c>
      <c r="Q829" s="376" t="str">
        <f>CS_PID!Q829/VLOOKUP($B829,표2[#ALL],2)/HLOOKUP($A829,표1[#ALL],row(),false)</f>
        <v>#N/A</v>
      </c>
      <c r="R829" s="376" t="str">
        <f>CS_PID!R829/VLOOKUP($B829,표2[#ALL],2)/HLOOKUP($A829,표1[#ALL],row(),false)</f>
        <v>#N/A</v>
      </c>
      <c r="S829" s="376" t="str">
        <f>CS_PID!S829/VLOOKUP($B829,표2[#ALL],2)/HLOOKUP($A829,표1[#ALL],row(),false)</f>
        <v>#N/A</v>
      </c>
      <c r="T829" s="376" t="str">
        <f>CS_PID!T829/VLOOKUP($B829,표2[#ALL],2)/HLOOKUP($A829,표1[#ALL],row(),false)</f>
        <v>#N/A</v>
      </c>
      <c r="U829" s="376" t="str">
        <f>CS_PID!U829/VLOOKUP($B829,표2[#ALL],2)/HLOOKUP($A829,표1[#ALL],row(),false)</f>
        <v>#N/A</v>
      </c>
      <c r="V829" s="376" t="str">
        <f>CS_PID!V829/VLOOKUP($B829,표2[#ALL],2)/HLOOKUP($A829,표1[#ALL],row(),false)</f>
        <v>#N/A</v>
      </c>
      <c r="W829" s="376" t="str">
        <f>CS_PID!W829/VLOOKUP($B829,표2[#ALL],2)/HLOOKUP($A829,표1[#ALL],row(),false)</f>
        <v>#N/A</v>
      </c>
      <c r="X829" s="376" t="str">
        <f>CS_PID!X829/VLOOKUP($B829,표2[#ALL],2)/HLOOKUP($A829,표1[#ALL],row(),false)</f>
        <v>#N/A</v>
      </c>
      <c r="Y829" s="376" t="str">
        <f>CS_PID!Y829/VLOOKUP($B829,표2[#ALL],2)/HLOOKUP($A829,표1[#ALL],row(),false)</f>
        <v>#N/A</v>
      </c>
      <c r="Z829" s="376" t="str">
        <f>CS_PID!Z829/VLOOKUP($B829,표2[#ALL],2)/HLOOKUP($A829,표1[#ALL],row(),false)</f>
        <v>#N/A</v>
      </c>
      <c r="AA829" s="376" t="str">
        <f>CS_PID!AA829/VLOOKUP($B829,표2[#ALL],2)/HLOOKUP($A829,표1[#ALL],row(),false)</f>
        <v>#N/A</v>
      </c>
      <c r="AB829" s="376" t="str">
        <f>CS_PID!AB829/VLOOKUP($B829,표2[#ALL],2)/HLOOKUP($A829,표1[#ALL],row(),false)</f>
        <v>#N/A</v>
      </c>
      <c r="AC829" s="376" t="str">
        <f>CS_PID!AC829/VLOOKUP($B829,표2[#ALL],2)/HLOOKUP($A829,표1[#ALL],row(),false)</f>
        <v>#N/A</v>
      </c>
      <c r="AD829" s="376" t="str">
        <f>CS_PID!AD829/VLOOKUP($B829,표2[#ALL],2)/HLOOKUP($A829,표1[#ALL],row(),false)</f>
        <v>#N/A</v>
      </c>
      <c r="AE829" s="376" t="str">
        <f>CS_PID!AE829/VLOOKUP($B829,표2[#ALL],2)/HLOOKUP($A829,표1[#ALL],row(),false)</f>
        <v>#N/A</v>
      </c>
      <c r="AF829" s="376" t="str">
        <f>CS_PID!AF829/VLOOKUP($B829,표2[#ALL],2)/HLOOKUP($A829,표1[#ALL],row(),false)</f>
        <v>#N/A</v>
      </c>
      <c r="AG829" s="376" t="str">
        <f>CS_PID!AG829/VLOOKUP($B829,표2[#ALL],2)/HLOOKUP($A829,표1[#ALL],row(),false)</f>
        <v>#N/A</v>
      </c>
      <c r="AH829" s="376" t="str">
        <f>CS_PID!AH829/VLOOKUP($B829,표2[#ALL],2)/HLOOKUP($A829,표1[#ALL],row(),false)</f>
        <v>#N/A</v>
      </c>
      <c r="AI829" s="376" t="str">
        <f>CS_PID!AI829/VLOOKUP($B829,표2[#ALL],2)/HLOOKUP($A829,표1[#ALL],row(),false)</f>
        <v>#N/A</v>
      </c>
      <c r="AJ829" s="376" t="str">
        <f>CS_PID!AJ829/VLOOKUP($B829,표2[#ALL],2)/HLOOKUP($A829,표1[#ALL],row(),false)</f>
        <v>#N/A</v>
      </c>
      <c r="AK829" s="376" t="str">
        <f>CS_PID!AK829/VLOOKUP($B829,표2[#ALL],2)/HLOOKUP($A829,표1[#ALL],row(),false)</f>
        <v>#N/A</v>
      </c>
      <c r="AL829" s="376" t="str">
        <f>CS_PID!AL829/VLOOKUP($B829,표2[#ALL],2)/HLOOKUP($A829,표1[#ALL],row(),false)</f>
        <v>#N/A</v>
      </c>
      <c r="AM829" s="376" t="str">
        <f>CS_PID!AM829/VLOOKUP($B829,표2[#ALL],2)/HLOOKUP($A829,표1[#ALL],row(),false)</f>
        <v>#N/A</v>
      </c>
      <c r="AN829" s="376" t="str">
        <f>CS_PID!AN829/VLOOKUP($B829,표2[#ALL],2)/HLOOKUP($A829,표1[#ALL],row(),false)</f>
        <v>#N/A</v>
      </c>
      <c r="AO829" s="376" t="str">
        <f>CS_PID!AO829/VLOOKUP($B829,표2[#ALL],2)/HLOOKUP($A829,표1[#ALL],row(),false)</f>
        <v>#N/A</v>
      </c>
      <c r="AP829" s="376" t="str">
        <f>CS_PID!AP829/VLOOKUP($B829,표2[#ALL],2)/HLOOKUP($A829,표1[#ALL],row(),false)</f>
        <v>#N/A</v>
      </c>
      <c r="AQ829" s="376" t="str">
        <f>CS_PID!AQ829/VLOOKUP($B829,표2[#ALL],2)/HLOOKUP($A829,표1[#ALL],row(),false)</f>
        <v>#N/A</v>
      </c>
      <c r="AR829" s="376" t="str">
        <f>CS_PID!AR829/VLOOKUP($B829,표2[#ALL],2)/HLOOKUP($A829,표1[#ALL],row(),false)</f>
        <v>#N/A</v>
      </c>
      <c r="AS829" s="377" t="str">
        <f>CS_PID!AS829/VLOOKUP($B829,표2[#ALL],2)/HLOOKUP($A829,표1[#ALL],row(),false)</f>
        <v>#N/A</v>
      </c>
    </row>
    <row r="830">
      <c r="A830" s="370"/>
      <c r="B830" s="371"/>
      <c r="C830" s="372" t="str">
        <f>CS_PID!C830/VLOOKUP($B830,표2[#ALL],2)</f>
        <v>#N/A</v>
      </c>
      <c r="D830" s="372" t="str">
        <f>CS_PID!D830/VLOOKUP($B830,표2[#ALL],2)</f>
        <v>#N/A</v>
      </c>
      <c r="E830" s="372" t="str">
        <f>CS_PID!E830/VLOOKUP($B830,표2[#ALL],2)</f>
        <v>#N/A</v>
      </c>
      <c r="F830" s="372" t="str">
        <f>CS_PID!F830/VLOOKUP($B830,표2[#ALL],2)</f>
        <v>#N/A</v>
      </c>
      <c r="G830" s="372" t="str">
        <f>CS_PID!G830/VLOOKUP($B830,표2[#ALL],2)</f>
        <v>#N/A</v>
      </c>
      <c r="H830" s="372" t="str">
        <f>CS_PID!H830/VLOOKUP($B830,표2[#ALL],2)/HLOOKUP($A830,표1[#ALL],row(),false)</f>
        <v>#N/A</v>
      </c>
      <c r="I830" s="372" t="str">
        <f>CS_PID!I830/VLOOKUP($B830,표2[#ALL],2)/HLOOKUP($A830,표1[#ALL],row(),false)</f>
        <v>#N/A</v>
      </c>
      <c r="J830" s="372" t="str">
        <f>CS_PID!J830/VLOOKUP($B830,표2[#ALL],2)/HLOOKUP($A830,표1[#ALL],row(),false)</f>
        <v>#N/A</v>
      </c>
      <c r="K830" s="372" t="str">
        <f>CS_PID!K830/VLOOKUP($B830,표2[#ALL],2)/HLOOKUP($A830,표1[#ALL],row(),false)</f>
        <v>#N/A</v>
      </c>
      <c r="L830" s="372" t="str">
        <f>CS_PID!L830/VLOOKUP($B830,표2[#ALL],2)/HLOOKUP($A830,표1[#ALL],row(),false)</f>
        <v>#N/A</v>
      </c>
      <c r="M830" s="372" t="str">
        <f>CS_PID!M830/VLOOKUP($B830,표2[#ALL],2)/HLOOKUP($A830,표1[#ALL],row(),false)</f>
        <v>#N/A</v>
      </c>
      <c r="N830" s="372" t="str">
        <f>CS_PID!N830/VLOOKUP($B830,표2[#ALL],2)/HLOOKUP($A830,표1[#ALL],row(),false)</f>
        <v>#N/A</v>
      </c>
      <c r="O830" s="372" t="str">
        <f>CS_PID!O830/VLOOKUP($B830,표2[#ALL],2)/HLOOKUP($A830,표1[#ALL],row(),false)</f>
        <v>#N/A</v>
      </c>
      <c r="P830" s="372" t="str">
        <f>CS_PID!P830/VLOOKUP($B830,표2[#ALL],2)/HLOOKUP($A830,표1[#ALL],row(),false)</f>
        <v>#N/A</v>
      </c>
      <c r="Q830" s="372" t="str">
        <f>CS_PID!Q830/VLOOKUP($B830,표2[#ALL],2)/HLOOKUP($A830,표1[#ALL],row(),false)</f>
        <v>#N/A</v>
      </c>
      <c r="R830" s="372" t="str">
        <f>CS_PID!R830/VLOOKUP($B830,표2[#ALL],2)/HLOOKUP($A830,표1[#ALL],row(),false)</f>
        <v>#N/A</v>
      </c>
      <c r="S830" s="372" t="str">
        <f>CS_PID!S830/VLOOKUP($B830,표2[#ALL],2)/HLOOKUP($A830,표1[#ALL],row(),false)</f>
        <v>#N/A</v>
      </c>
      <c r="T830" s="372" t="str">
        <f>CS_PID!T830/VLOOKUP($B830,표2[#ALL],2)/HLOOKUP($A830,표1[#ALL],row(),false)</f>
        <v>#N/A</v>
      </c>
      <c r="U830" s="372" t="str">
        <f>CS_PID!U830/VLOOKUP($B830,표2[#ALL],2)/HLOOKUP($A830,표1[#ALL],row(),false)</f>
        <v>#N/A</v>
      </c>
      <c r="V830" s="372" t="str">
        <f>CS_PID!V830/VLOOKUP($B830,표2[#ALL],2)/HLOOKUP($A830,표1[#ALL],row(),false)</f>
        <v>#N/A</v>
      </c>
      <c r="W830" s="372" t="str">
        <f>CS_PID!W830/VLOOKUP($B830,표2[#ALL],2)/HLOOKUP($A830,표1[#ALL],row(),false)</f>
        <v>#N/A</v>
      </c>
      <c r="X830" s="372" t="str">
        <f>CS_PID!X830/VLOOKUP($B830,표2[#ALL],2)/HLOOKUP($A830,표1[#ALL],row(),false)</f>
        <v>#N/A</v>
      </c>
      <c r="Y830" s="372" t="str">
        <f>CS_PID!Y830/VLOOKUP($B830,표2[#ALL],2)/HLOOKUP($A830,표1[#ALL],row(),false)</f>
        <v>#N/A</v>
      </c>
      <c r="Z830" s="372" t="str">
        <f>CS_PID!Z830/VLOOKUP($B830,표2[#ALL],2)/HLOOKUP($A830,표1[#ALL],row(),false)</f>
        <v>#N/A</v>
      </c>
      <c r="AA830" s="372" t="str">
        <f>CS_PID!AA830/VLOOKUP($B830,표2[#ALL],2)/HLOOKUP($A830,표1[#ALL],row(),false)</f>
        <v>#N/A</v>
      </c>
      <c r="AB830" s="372" t="str">
        <f>CS_PID!AB830/VLOOKUP($B830,표2[#ALL],2)/HLOOKUP($A830,표1[#ALL],row(),false)</f>
        <v>#N/A</v>
      </c>
      <c r="AC830" s="372" t="str">
        <f>CS_PID!AC830/VLOOKUP($B830,표2[#ALL],2)/HLOOKUP($A830,표1[#ALL],row(),false)</f>
        <v>#N/A</v>
      </c>
      <c r="AD830" s="372" t="str">
        <f>CS_PID!AD830/VLOOKUP($B830,표2[#ALL],2)/HLOOKUP($A830,표1[#ALL],row(),false)</f>
        <v>#N/A</v>
      </c>
      <c r="AE830" s="372" t="str">
        <f>CS_PID!AE830/VLOOKUP($B830,표2[#ALL],2)/HLOOKUP($A830,표1[#ALL],row(),false)</f>
        <v>#N/A</v>
      </c>
      <c r="AF830" s="372" t="str">
        <f>CS_PID!AF830/VLOOKUP($B830,표2[#ALL],2)/HLOOKUP($A830,표1[#ALL],row(),false)</f>
        <v>#N/A</v>
      </c>
      <c r="AG830" s="372" t="str">
        <f>CS_PID!AG830/VLOOKUP($B830,표2[#ALL],2)/HLOOKUP($A830,표1[#ALL],row(),false)</f>
        <v>#N/A</v>
      </c>
      <c r="AH830" s="372" t="str">
        <f>CS_PID!AH830/VLOOKUP($B830,표2[#ALL],2)/HLOOKUP($A830,표1[#ALL],row(),false)</f>
        <v>#N/A</v>
      </c>
      <c r="AI830" s="372" t="str">
        <f>CS_PID!AI830/VLOOKUP($B830,표2[#ALL],2)/HLOOKUP($A830,표1[#ALL],row(),false)</f>
        <v>#N/A</v>
      </c>
      <c r="AJ830" s="372" t="str">
        <f>CS_PID!AJ830/VLOOKUP($B830,표2[#ALL],2)/HLOOKUP($A830,표1[#ALL],row(),false)</f>
        <v>#N/A</v>
      </c>
      <c r="AK830" s="372" t="str">
        <f>CS_PID!AK830/VLOOKUP($B830,표2[#ALL],2)/HLOOKUP($A830,표1[#ALL],row(),false)</f>
        <v>#N/A</v>
      </c>
      <c r="AL830" s="372" t="str">
        <f>CS_PID!AL830/VLOOKUP($B830,표2[#ALL],2)/HLOOKUP($A830,표1[#ALL],row(),false)</f>
        <v>#N/A</v>
      </c>
      <c r="AM830" s="372" t="str">
        <f>CS_PID!AM830/VLOOKUP($B830,표2[#ALL],2)/HLOOKUP($A830,표1[#ALL],row(),false)</f>
        <v>#N/A</v>
      </c>
      <c r="AN830" s="372" t="str">
        <f>CS_PID!AN830/VLOOKUP($B830,표2[#ALL],2)/HLOOKUP($A830,표1[#ALL],row(),false)</f>
        <v>#N/A</v>
      </c>
      <c r="AO830" s="372" t="str">
        <f>CS_PID!AO830/VLOOKUP($B830,표2[#ALL],2)/HLOOKUP($A830,표1[#ALL],row(),false)</f>
        <v>#N/A</v>
      </c>
      <c r="AP830" s="372" t="str">
        <f>CS_PID!AP830/VLOOKUP($B830,표2[#ALL],2)/HLOOKUP($A830,표1[#ALL],row(),false)</f>
        <v>#N/A</v>
      </c>
      <c r="AQ830" s="372" t="str">
        <f>CS_PID!AQ830/VLOOKUP($B830,표2[#ALL],2)/HLOOKUP($A830,표1[#ALL],row(),false)</f>
        <v>#N/A</v>
      </c>
      <c r="AR830" s="372" t="str">
        <f>CS_PID!AR830/VLOOKUP($B830,표2[#ALL],2)/HLOOKUP($A830,표1[#ALL],row(),false)</f>
        <v>#N/A</v>
      </c>
      <c r="AS830" s="373" t="str">
        <f>CS_PID!AS830/VLOOKUP($B830,표2[#ALL],2)/HLOOKUP($A830,표1[#ALL],row(),false)</f>
        <v>#N/A</v>
      </c>
    </row>
    <row r="831">
      <c r="A831" s="374"/>
      <c r="B831" s="375"/>
      <c r="C831" s="376" t="str">
        <f>CS_PID!C831/VLOOKUP($B831,표2[#ALL],2)</f>
        <v>#N/A</v>
      </c>
      <c r="D831" s="376" t="str">
        <f>CS_PID!D831/VLOOKUP($B831,표2[#ALL],2)</f>
        <v>#N/A</v>
      </c>
      <c r="E831" s="376" t="str">
        <f>CS_PID!E831/VLOOKUP($B831,표2[#ALL],2)</f>
        <v>#N/A</v>
      </c>
      <c r="F831" s="376" t="str">
        <f>CS_PID!F831/VLOOKUP($B831,표2[#ALL],2)</f>
        <v>#N/A</v>
      </c>
      <c r="G831" s="376" t="str">
        <f>CS_PID!G831/VLOOKUP($B831,표2[#ALL],2)</f>
        <v>#N/A</v>
      </c>
      <c r="H831" s="376" t="str">
        <f>CS_PID!H831/VLOOKUP($B831,표2[#ALL],2)/HLOOKUP($A831,표1[#ALL],row(),false)</f>
        <v>#N/A</v>
      </c>
      <c r="I831" s="376" t="str">
        <f>CS_PID!I831/VLOOKUP($B831,표2[#ALL],2)/HLOOKUP($A831,표1[#ALL],row(),false)</f>
        <v>#N/A</v>
      </c>
      <c r="J831" s="376" t="str">
        <f>CS_PID!J831/VLOOKUP($B831,표2[#ALL],2)/HLOOKUP($A831,표1[#ALL],row(),false)</f>
        <v>#N/A</v>
      </c>
      <c r="K831" s="376" t="str">
        <f>CS_PID!K831/VLOOKUP($B831,표2[#ALL],2)/HLOOKUP($A831,표1[#ALL],row(),false)</f>
        <v>#N/A</v>
      </c>
      <c r="L831" s="376" t="str">
        <f>CS_PID!L831/VLOOKUP($B831,표2[#ALL],2)/HLOOKUP($A831,표1[#ALL],row(),false)</f>
        <v>#N/A</v>
      </c>
      <c r="M831" s="376" t="str">
        <f>CS_PID!M831/VLOOKUP($B831,표2[#ALL],2)/HLOOKUP($A831,표1[#ALL],row(),false)</f>
        <v>#N/A</v>
      </c>
      <c r="N831" s="376" t="str">
        <f>CS_PID!N831/VLOOKUP($B831,표2[#ALL],2)/HLOOKUP($A831,표1[#ALL],row(),false)</f>
        <v>#N/A</v>
      </c>
      <c r="O831" s="376" t="str">
        <f>CS_PID!O831/VLOOKUP($B831,표2[#ALL],2)/HLOOKUP($A831,표1[#ALL],row(),false)</f>
        <v>#N/A</v>
      </c>
      <c r="P831" s="376" t="str">
        <f>CS_PID!P831/VLOOKUP($B831,표2[#ALL],2)/HLOOKUP($A831,표1[#ALL],row(),false)</f>
        <v>#N/A</v>
      </c>
      <c r="Q831" s="376" t="str">
        <f>CS_PID!Q831/VLOOKUP($B831,표2[#ALL],2)/HLOOKUP($A831,표1[#ALL],row(),false)</f>
        <v>#N/A</v>
      </c>
      <c r="R831" s="376" t="str">
        <f>CS_PID!R831/VLOOKUP($B831,표2[#ALL],2)/HLOOKUP($A831,표1[#ALL],row(),false)</f>
        <v>#N/A</v>
      </c>
      <c r="S831" s="376" t="str">
        <f>CS_PID!S831/VLOOKUP($B831,표2[#ALL],2)/HLOOKUP($A831,표1[#ALL],row(),false)</f>
        <v>#N/A</v>
      </c>
      <c r="T831" s="376" t="str">
        <f>CS_PID!T831/VLOOKUP($B831,표2[#ALL],2)/HLOOKUP($A831,표1[#ALL],row(),false)</f>
        <v>#N/A</v>
      </c>
      <c r="U831" s="376" t="str">
        <f>CS_PID!U831/VLOOKUP($B831,표2[#ALL],2)/HLOOKUP($A831,표1[#ALL],row(),false)</f>
        <v>#N/A</v>
      </c>
      <c r="V831" s="376" t="str">
        <f>CS_PID!V831/VLOOKUP($B831,표2[#ALL],2)/HLOOKUP($A831,표1[#ALL],row(),false)</f>
        <v>#N/A</v>
      </c>
      <c r="W831" s="376" t="str">
        <f>CS_PID!W831/VLOOKUP($B831,표2[#ALL],2)/HLOOKUP($A831,표1[#ALL],row(),false)</f>
        <v>#N/A</v>
      </c>
      <c r="X831" s="376" t="str">
        <f>CS_PID!X831/VLOOKUP($B831,표2[#ALL],2)/HLOOKUP($A831,표1[#ALL],row(),false)</f>
        <v>#N/A</v>
      </c>
      <c r="Y831" s="376" t="str">
        <f>CS_PID!Y831/VLOOKUP($B831,표2[#ALL],2)/HLOOKUP($A831,표1[#ALL],row(),false)</f>
        <v>#N/A</v>
      </c>
      <c r="Z831" s="376" t="str">
        <f>CS_PID!Z831/VLOOKUP($B831,표2[#ALL],2)/HLOOKUP($A831,표1[#ALL],row(),false)</f>
        <v>#N/A</v>
      </c>
      <c r="AA831" s="376" t="str">
        <f>CS_PID!AA831/VLOOKUP($B831,표2[#ALL],2)/HLOOKUP($A831,표1[#ALL],row(),false)</f>
        <v>#N/A</v>
      </c>
      <c r="AB831" s="376" t="str">
        <f>CS_PID!AB831/VLOOKUP($B831,표2[#ALL],2)/HLOOKUP($A831,표1[#ALL],row(),false)</f>
        <v>#N/A</v>
      </c>
      <c r="AC831" s="376" t="str">
        <f>CS_PID!AC831/VLOOKUP($B831,표2[#ALL],2)/HLOOKUP($A831,표1[#ALL],row(),false)</f>
        <v>#N/A</v>
      </c>
      <c r="AD831" s="376" t="str">
        <f>CS_PID!AD831/VLOOKUP($B831,표2[#ALL],2)/HLOOKUP($A831,표1[#ALL],row(),false)</f>
        <v>#N/A</v>
      </c>
      <c r="AE831" s="376" t="str">
        <f>CS_PID!AE831/VLOOKUP($B831,표2[#ALL],2)/HLOOKUP($A831,표1[#ALL],row(),false)</f>
        <v>#N/A</v>
      </c>
      <c r="AF831" s="376" t="str">
        <f>CS_PID!AF831/VLOOKUP($B831,표2[#ALL],2)/HLOOKUP($A831,표1[#ALL],row(),false)</f>
        <v>#N/A</v>
      </c>
      <c r="AG831" s="376" t="str">
        <f>CS_PID!AG831/VLOOKUP($B831,표2[#ALL],2)/HLOOKUP($A831,표1[#ALL],row(),false)</f>
        <v>#N/A</v>
      </c>
      <c r="AH831" s="376" t="str">
        <f>CS_PID!AH831/VLOOKUP($B831,표2[#ALL],2)/HLOOKUP($A831,표1[#ALL],row(),false)</f>
        <v>#N/A</v>
      </c>
      <c r="AI831" s="376" t="str">
        <f>CS_PID!AI831/VLOOKUP($B831,표2[#ALL],2)/HLOOKUP($A831,표1[#ALL],row(),false)</f>
        <v>#N/A</v>
      </c>
      <c r="AJ831" s="376" t="str">
        <f>CS_PID!AJ831/VLOOKUP($B831,표2[#ALL],2)/HLOOKUP($A831,표1[#ALL],row(),false)</f>
        <v>#N/A</v>
      </c>
      <c r="AK831" s="376" t="str">
        <f>CS_PID!AK831/VLOOKUP($B831,표2[#ALL],2)/HLOOKUP($A831,표1[#ALL],row(),false)</f>
        <v>#N/A</v>
      </c>
      <c r="AL831" s="376" t="str">
        <f>CS_PID!AL831/VLOOKUP($B831,표2[#ALL],2)/HLOOKUP($A831,표1[#ALL],row(),false)</f>
        <v>#N/A</v>
      </c>
      <c r="AM831" s="376" t="str">
        <f>CS_PID!AM831/VLOOKUP($B831,표2[#ALL],2)/HLOOKUP($A831,표1[#ALL],row(),false)</f>
        <v>#N/A</v>
      </c>
      <c r="AN831" s="376" t="str">
        <f>CS_PID!AN831/VLOOKUP($B831,표2[#ALL],2)/HLOOKUP($A831,표1[#ALL],row(),false)</f>
        <v>#N/A</v>
      </c>
      <c r="AO831" s="376" t="str">
        <f>CS_PID!AO831/VLOOKUP($B831,표2[#ALL],2)/HLOOKUP($A831,표1[#ALL],row(),false)</f>
        <v>#N/A</v>
      </c>
      <c r="AP831" s="376" t="str">
        <f>CS_PID!AP831/VLOOKUP($B831,표2[#ALL],2)/HLOOKUP($A831,표1[#ALL],row(),false)</f>
        <v>#N/A</v>
      </c>
      <c r="AQ831" s="376" t="str">
        <f>CS_PID!AQ831/VLOOKUP($B831,표2[#ALL],2)/HLOOKUP($A831,표1[#ALL],row(),false)</f>
        <v>#N/A</v>
      </c>
      <c r="AR831" s="376" t="str">
        <f>CS_PID!AR831/VLOOKUP($B831,표2[#ALL],2)/HLOOKUP($A831,표1[#ALL],row(),false)</f>
        <v>#N/A</v>
      </c>
      <c r="AS831" s="377" t="str">
        <f>CS_PID!AS831/VLOOKUP($B831,표2[#ALL],2)/HLOOKUP($A831,표1[#ALL],row(),false)</f>
        <v>#N/A</v>
      </c>
    </row>
    <row r="832">
      <c r="A832" s="370"/>
      <c r="B832" s="371"/>
      <c r="C832" s="372" t="str">
        <f>CS_PID!C832/VLOOKUP($B832,표2[#ALL],2)</f>
        <v>#N/A</v>
      </c>
      <c r="D832" s="372" t="str">
        <f>CS_PID!D832/VLOOKUP($B832,표2[#ALL],2)</f>
        <v>#N/A</v>
      </c>
      <c r="E832" s="372" t="str">
        <f>CS_PID!E832/VLOOKUP($B832,표2[#ALL],2)</f>
        <v>#N/A</v>
      </c>
      <c r="F832" s="372" t="str">
        <f>CS_PID!F832/VLOOKUP($B832,표2[#ALL],2)</f>
        <v>#N/A</v>
      </c>
      <c r="G832" s="372" t="str">
        <f>CS_PID!G832/VLOOKUP($B832,표2[#ALL],2)</f>
        <v>#N/A</v>
      </c>
      <c r="H832" s="372" t="str">
        <f>CS_PID!H832/VLOOKUP($B832,표2[#ALL],2)/HLOOKUP($A832,표1[#ALL],row(),false)</f>
        <v>#N/A</v>
      </c>
      <c r="I832" s="372" t="str">
        <f>CS_PID!I832/VLOOKUP($B832,표2[#ALL],2)/HLOOKUP($A832,표1[#ALL],row(),false)</f>
        <v>#N/A</v>
      </c>
      <c r="J832" s="372" t="str">
        <f>CS_PID!J832/VLOOKUP($B832,표2[#ALL],2)/HLOOKUP($A832,표1[#ALL],row(),false)</f>
        <v>#N/A</v>
      </c>
      <c r="K832" s="372" t="str">
        <f>CS_PID!K832/VLOOKUP($B832,표2[#ALL],2)/HLOOKUP($A832,표1[#ALL],row(),false)</f>
        <v>#N/A</v>
      </c>
      <c r="L832" s="372" t="str">
        <f>CS_PID!L832/VLOOKUP($B832,표2[#ALL],2)/HLOOKUP($A832,표1[#ALL],row(),false)</f>
        <v>#N/A</v>
      </c>
      <c r="M832" s="372" t="str">
        <f>CS_PID!M832/VLOOKUP($B832,표2[#ALL],2)/HLOOKUP($A832,표1[#ALL],row(),false)</f>
        <v>#N/A</v>
      </c>
      <c r="N832" s="372" t="str">
        <f>CS_PID!N832/VLOOKUP($B832,표2[#ALL],2)/HLOOKUP($A832,표1[#ALL],row(),false)</f>
        <v>#N/A</v>
      </c>
      <c r="O832" s="372" t="str">
        <f>CS_PID!O832/VLOOKUP($B832,표2[#ALL],2)/HLOOKUP($A832,표1[#ALL],row(),false)</f>
        <v>#N/A</v>
      </c>
      <c r="P832" s="372" t="str">
        <f>CS_PID!P832/VLOOKUP($B832,표2[#ALL],2)/HLOOKUP($A832,표1[#ALL],row(),false)</f>
        <v>#N/A</v>
      </c>
      <c r="Q832" s="372" t="str">
        <f>CS_PID!Q832/VLOOKUP($B832,표2[#ALL],2)/HLOOKUP($A832,표1[#ALL],row(),false)</f>
        <v>#N/A</v>
      </c>
      <c r="R832" s="372" t="str">
        <f>CS_PID!R832/VLOOKUP($B832,표2[#ALL],2)/HLOOKUP($A832,표1[#ALL],row(),false)</f>
        <v>#N/A</v>
      </c>
      <c r="S832" s="372" t="str">
        <f>CS_PID!S832/VLOOKUP($B832,표2[#ALL],2)/HLOOKUP($A832,표1[#ALL],row(),false)</f>
        <v>#N/A</v>
      </c>
      <c r="T832" s="372" t="str">
        <f>CS_PID!T832/VLOOKUP($B832,표2[#ALL],2)/HLOOKUP($A832,표1[#ALL],row(),false)</f>
        <v>#N/A</v>
      </c>
      <c r="U832" s="372" t="str">
        <f>CS_PID!U832/VLOOKUP($B832,표2[#ALL],2)/HLOOKUP($A832,표1[#ALL],row(),false)</f>
        <v>#N/A</v>
      </c>
      <c r="V832" s="372" t="str">
        <f>CS_PID!V832/VLOOKUP($B832,표2[#ALL],2)/HLOOKUP($A832,표1[#ALL],row(),false)</f>
        <v>#N/A</v>
      </c>
      <c r="W832" s="372" t="str">
        <f>CS_PID!W832/VLOOKUP($B832,표2[#ALL],2)/HLOOKUP($A832,표1[#ALL],row(),false)</f>
        <v>#N/A</v>
      </c>
      <c r="X832" s="372" t="str">
        <f>CS_PID!X832/VLOOKUP($B832,표2[#ALL],2)/HLOOKUP($A832,표1[#ALL],row(),false)</f>
        <v>#N/A</v>
      </c>
      <c r="Y832" s="372" t="str">
        <f>CS_PID!Y832/VLOOKUP($B832,표2[#ALL],2)/HLOOKUP($A832,표1[#ALL],row(),false)</f>
        <v>#N/A</v>
      </c>
      <c r="Z832" s="372" t="str">
        <f>CS_PID!Z832/VLOOKUP($B832,표2[#ALL],2)/HLOOKUP($A832,표1[#ALL],row(),false)</f>
        <v>#N/A</v>
      </c>
      <c r="AA832" s="372" t="str">
        <f>CS_PID!AA832/VLOOKUP($B832,표2[#ALL],2)/HLOOKUP($A832,표1[#ALL],row(),false)</f>
        <v>#N/A</v>
      </c>
      <c r="AB832" s="372" t="str">
        <f>CS_PID!AB832/VLOOKUP($B832,표2[#ALL],2)/HLOOKUP($A832,표1[#ALL],row(),false)</f>
        <v>#N/A</v>
      </c>
      <c r="AC832" s="372" t="str">
        <f>CS_PID!AC832/VLOOKUP($B832,표2[#ALL],2)/HLOOKUP($A832,표1[#ALL],row(),false)</f>
        <v>#N/A</v>
      </c>
      <c r="AD832" s="372" t="str">
        <f>CS_PID!AD832/VLOOKUP($B832,표2[#ALL],2)/HLOOKUP($A832,표1[#ALL],row(),false)</f>
        <v>#N/A</v>
      </c>
      <c r="AE832" s="372" t="str">
        <f>CS_PID!AE832/VLOOKUP($B832,표2[#ALL],2)/HLOOKUP($A832,표1[#ALL],row(),false)</f>
        <v>#N/A</v>
      </c>
      <c r="AF832" s="372" t="str">
        <f>CS_PID!AF832/VLOOKUP($B832,표2[#ALL],2)/HLOOKUP($A832,표1[#ALL],row(),false)</f>
        <v>#N/A</v>
      </c>
      <c r="AG832" s="372" t="str">
        <f>CS_PID!AG832/VLOOKUP($B832,표2[#ALL],2)/HLOOKUP($A832,표1[#ALL],row(),false)</f>
        <v>#N/A</v>
      </c>
      <c r="AH832" s="372" t="str">
        <f>CS_PID!AH832/VLOOKUP($B832,표2[#ALL],2)/HLOOKUP($A832,표1[#ALL],row(),false)</f>
        <v>#N/A</v>
      </c>
      <c r="AI832" s="372" t="str">
        <f>CS_PID!AI832/VLOOKUP($B832,표2[#ALL],2)/HLOOKUP($A832,표1[#ALL],row(),false)</f>
        <v>#N/A</v>
      </c>
      <c r="AJ832" s="372" t="str">
        <f>CS_PID!AJ832/VLOOKUP($B832,표2[#ALL],2)/HLOOKUP($A832,표1[#ALL],row(),false)</f>
        <v>#N/A</v>
      </c>
      <c r="AK832" s="372" t="str">
        <f>CS_PID!AK832/VLOOKUP($B832,표2[#ALL],2)/HLOOKUP($A832,표1[#ALL],row(),false)</f>
        <v>#N/A</v>
      </c>
      <c r="AL832" s="372" t="str">
        <f>CS_PID!AL832/VLOOKUP($B832,표2[#ALL],2)/HLOOKUP($A832,표1[#ALL],row(),false)</f>
        <v>#N/A</v>
      </c>
      <c r="AM832" s="372" t="str">
        <f>CS_PID!AM832/VLOOKUP($B832,표2[#ALL],2)/HLOOKUP($A832,표1[#ALL],row(),false)</f>
        <v>#N/A</v>
      </c>
      <c r="AN832" s="372" t="str">
        <f>CS_PID!AN832/VLOOKUP($B832,표2[#ALL],2)/HLOOKUP($A832,표1[#ALL],row(),false)</f>
        <v>#N/A</v>
      </c>
      <c r="AO832" s="372" t="str">
        <f>CS_PID!AO832/VLOOKUP($B832,표2[#ALL],2)/HLOOKUP($A832,표1[#ALL],row(),false)</f>
        <v>#N/A</v>
      </c>
      <c r="AP832" s="372" t="str">
        <f>CS_PID!AP832/VLOOKUP($B832,표2[#ALL],2)/HLOOKUP($A832,표1[#ALL],row(),false)</f>
        <v>#N/A</v>
      </c>
      <c r="AQ832" s="372" t="str">
        <f>CS_PID!AQ832/VLOOKUP($B832,표2[#ALL],2)/HLOOKUP($A832,표1[#ALL],row(),false)</f>
        <v>#N/A</v>
      </c>
      <c r="AR832" s="372" t="str">
        <f>CS_PID!AR832/VLOOKUP($B832,표2[#ALL],2)/HLOOKUP($A832,표1[#ALL],row(),false)</f>
        <v>#N/A</v>
      </c>
      <c r="AS832" s="373" t="str">
        <f>CS_PID!AS832/VLOOKUP($B832,표2[#ALL],2)/HLOOKUP($A832,표1[#ALL],row(),false)</f>
        <v>#N/A</v>
      </c>
    </row>
    <row r="833">
      <c r="A833" s="374"/>
      <c r="B833" s="375"/>
      <c r="C833" s="376" t="str">
        <f>CS_PID!C833/VLOOKUP($B833,표2[#ALL],2)</f>
        <v>#N/A</v>
      </c>
      <c r="D833" s="376" t="str">
        <f>CS_PID!D833/VLOOKUP($B833,표2[#ALL],2)</f>
        <v>#N/A</v>
      </c>
      <c r="E833" s="376" t="str">
        <f>CS_PID!E833/VLOOKUP($B833,표2[#ALL],2)</f>
        <v>#N/A</v>
      </c>
      <c r="F833" s="376" t="str">
        <f>CS_PID!F833/VLOOKUP($B833,표2[#ALL],2)</f>
        <v>#N/A</v>
      </c>
      <c r="G833" s="376" t="str">
        <f>CS_PID!G833/VLOOKUP($B833,표2[#ALL],2)</f>
        <v>#N/A</v>
      </c>
      <c r="H833" s="376" t="str">
        <f>CS_PID!H833/VLOOKUP($B833,표2[#ALL],2)/HLOOKUP($A833,표1[#ALL],row(),false)</f>
        <v>#N/A</v>
      </c>
      <c r="I833" s="376" t="str">
        <f>CS_PID!I833/VLOOKUP($B833,표2[#ALL],2)/HLOOKUP($A833,표1[#ALL],row(),false)</f>
        <v>#N/A</v>
      </c>
      <c r="J833" s="376" t="str">
        <f>CS_PID!J833/VLOOKUP($B833,표2[#ALL],2)/HLOOKUP($A833,표1[#ALL],row(),false)</f>
        <v>#N/A</v>
      </c>
      <c r="K833" s="376" t="str">
        <f>CS_PID!K833/VLOOKUP($B833,표2[#ALL],2)/HLOOKUP($A833,표1[#ALL],row(),false)</f>
        <v>#N/A</v>
      </c>
      <c r="L833" s="376" t="str">
        <f>CS_PID!L833/VLOOKUP($B833,표2[#ALL],2)/HLOOKUP($A833,표1[#ALL],row(),false)</f>
        <v>#N/A</v>
      </c>
      <c r="M833" s="376" t="str">
        <f>CS_PID!M833/VLOOKUP($B833,표2[#ALL],2)/HLOOKUP($A833,표1[#ALL],row(),false)</f>
        <v>#N/A</v>
      </c>
      <c r="N833" s="376" t="str">
        <f>CS_PID!N833/VLOOKUP($B833,표2[#ALL],2)/HLOOKUP($A833,표1[#ALL],row(),false)</f>
        <v>#N/A</v>
      </c>
      <c r="O833" s="376" t="str">
        <f>CS_PID!O833/VLOOKUP($B833,표2[#ALL],2)/HLOOKUP($A833,표1[#ALL],row(),false)</f>
        <v>#N/A</v>
      </c>
      <c r="P833" s="376" t="str">
        <f>CS_PID!P833/VLOOKUP($B833,표2[#ALL],2)/HLOOKUP($A833,표1[#ALL],row(),false)</f>
        <v>#N/A</v>
      </c>
      <c r="Q833" s="376" t="str">
        <f>CS_PID!Q833/VLOOKUP($B833,표2[#ALL],2)/HLOOKUP($A833,표1[#ALL],row(),false)</f>
        <v>#N/A</v>
      </c>
      <c r="R833" s="376" t="str">
        <f>CS_PID!R833/VLOOKUP($B833,표2[#ALL],2)/HLOOKUP($A833,표1[#ALL],row(),false)</f>
        <v>#N/A</v>
      </c>
      <c r="S833" s="376" t="str">
        <f>CS_PID!S833/VLOOKUP($B833,표2[#ALL],2)/HLOOKUP($A833,표1[#ALL],row(),false)</f>
        <v>#N/A</v>
      </c>
      <c r="T833" s="376" t="str">
        <f>CS_PID!T833/VLOOKUP($B833,표2[#ALL],2)/HLOOKUP($A833,표1[#ALL],row(),false)</f>
        <v>#N/A</v>
      </c>
      <c r="U833" s="376" t="str">
        <f>CS_PID!U833/VLOOKUP($B833,표2[#ALL],2)/HLOOKUP($A833,표1[#ALL],row(),false)</f>
        <v>#N/A</v>
      </c>
      <c r="V833" s="376" t="str">
        <f>CS_PID!V833/VLOOKUP($B833,표2[#ALL],2)/HLOOKUP($A833,표1[#ALL],row(),false)</f>
        <v>#N/A</v>
      </c>
      <c r="W833" s="376" t="str">
        <f>CS_PID!W833/VLOOKUP($B833,표2[#ALL],2)/HLOOKUP($A833,표1[#ALL],row(),false)</f>
        <v>#N/A</v>
      </c>
      <c r="X833" s="376" t="str">
        <f>CS_PID!X833/VLOOKUP($B833,표2[#ALL],2)/HLOOKUP($A833,표1[#ALL],row(),false)</f>
        <v>#N/A</v>
      </c>
      <c r="Y833" s="376" t="str">
        <f>CS_PID!Y833/VLOOKUP($B833,표2[#ALL],2)/HLOOKUP($A833,표1[#ALL],row(),false)</f>
        <v>#N/A</v>
      </c>
      <c r="Z833" s="376" t="str">
        <f>CS_PID!Z833/VLOOKUP($B833,표2[#ALL],2)/HLOOKUP($A833,표1[#ALL],row(),false)</f>
        <v>#N/A</v>
      </c>
      <c r="AA833" s="376" t="str">
        <f>CS_PID!AA833/VLOOKUP($B833,표2[#ALL],2)/HLOOKUP($A833,표1[#ALL],row(),false)</f>
        <v>#N/A</v>
      </c>
      <c r="AB833" s="376" t="str">
        <f>CS_PID!AB833/VLOOKUP($B833,표2[#ALL],2)/HLOOKUP($A833,표1[#ALL],row(),false)</f>
        <v>#N/A</v>
      </c>
      <c r="AC833" s="376" t="str">
        <f>CS_PID!AC833/VLOOKUP($B833,표2[#ALL],2)/HLOOKUP($A833,표1[#ALL],row(),false)</f>
        <v>#N/A</v>
      </c>
      <c r="AD833" s="376" t="str">
        <f>CS_PID!AD833/VLOOKUP($B833,표2[#ALL],2)/HLOOKUP($A833,표1[#ALL],row(),false)</f>
        <v>#N/A</v>
      </c>
      <c r="AE833" s="376" t="str">
        <f>CS_PID!AE833/VLOOKUP($B833,표2[#ALL],2)/HLOOKUP($A833,표1[#ALL],row(),false)</f>
        <v>#N/A</v>
      </c>
      <c r="AF833" s="376" t="str">
        <f>CS_PID!AF833/VLOOKUP($B833,표2[#ALL],2)/HLOOKUP($A833,표1[#ALL],row(),false)</f>
        <v>#N/A</v>
      </c>
      <c r="AG833" s="376" t="str">
        <f>CS_PID!AG833/VLOOKUP($B833,표2[#ALL],2)/HLOOKUP($A833,표1[#ALL],row(),false)</f>
        <v>#N/A</v>
      </c>
      <c r="AH833" s="376" t="str">
        <f>CS_PID!AH833/VLOOKUP($B833,표2[#ALL],2)/HLOOKUP($A833,표1[#ALL],row(),false)</f>
        <v>#N/A</v>
      </c>
      <c r="AI833" s="376" t="str">
        <f>CS_PID!AI833/VLOOKUP($B833,표2[#ALL],2)/HLOOKUP($A833,표1[#ALL],row(),false)</f>
        <v>#N/A</v>
      </c>
      <c r="AJ833" s="376" t="str">
        <f>CS_PID!AJ833/VLOOKUP($B833,표2[#ALL],2)/HLOOKUP($A833,표1[#ALL],row(),false)</f>
        <v>#N/A</v>
      </c>
      <c r="AK833" s="376" t="str">
        <f>CS_PID!AK833/VLOOKUP($B833,표2[#ALL],2)/HLOOKUP($A833,표1[#ALL],row(),false)</f>
        <v>#N/A</v>
      </c>
      <c r="AL833" s="376" t="str">
        <f>CS_PID!AL833/VLOOKUP($B833,표2[#ALL],2)/HLOOKUP($A833,표1[#ALL],row(),false)</f>
        <v>#N/A</v>
      </c>
      <c r="AM833" s="376" t="str">
        <f>CS_PID!AM833/VLOOKUP($B833,표2[#ALL],2)/HLOOKUP($A833,표1[#ALL],row(),false)</f>
        <v>#N/A</v>
      </c>
      <c r="AN833" s="376" t="str">
        <f>CS_PID!AN833/VLOOKUP($B833,표2[#ALL],2)/HLOOKUP($A833,표1[#ALL],row(),false)</f>
        <v>#N/A</v>
      </c>
      <c r="AO833" s="376" t="str">
        <f>CS_PID!AO833/VLOOKUP($B833,표2[#ALL],2)/HLOOKUP($A833,표1[#ALL],row(),false)</f>
        <v>#N/A</v>
      </c>
      <c r="AP833" s="376" t="str">
        <f>CS_PID!AP833/VLOOKUP($B833,표2[#ALL],2)/HLOOKUP($A833,표1[#ALL],row(),false)</f>
        <v>#N/A</v>
      </c>
      <c r="AQ833" s="376" t="str">
        <f>CS_PID!AQ833/VLOOKUP($B833,표2[#ALL],2)/HLOOKUP($A833,표1[#ALL],row(),false)</f>
        <v>#N/A</v>
      </c>
      <c r="AR833" s="376" t="str">
        <f>CS_PID!AR833/VLOOKUP($B833,표2[#ALL],2)/HLOOKUP($A833,표1[#ALL],row(),false)</f>
        <v>#N/A</v>
      </c>
      <c r="AS833" s="377" t="str">
        <f>CS_PID!AS833/VLOOKUP($B833,표2[#ALL],2)/HLOOKUP($A833,표1[#ALL],row(),false)</f>
        <v>#N/A</v>
      </c>
    </row>
    <row r="834">
      <c r="A834" s="370"/>
      <c r="B834" s="371"/>
      <c r="C834" s="372" t="str">
        <f>CS_PID!C834/VLOOKUP($B834,표2[#ALL],2)</f>
        <v>#N/A</v>
      </c>
      <c r="D834" s="372" t="str">
        <f>CS_PID!D834/VLOOKUP($B834,표2[#ALL],2)</f>
        <v>#N/A</v>
      </c>
      <c r="E834" s="372" t="str">
        <f>CS_PID!E834/VLOOKUP($B834,표2[#ALL],2)</f>
        <v>#N/A</v>
      </c>
      <c r="F834" s="372" t="str">
        <f>CS_PID!F834/VLOOKUP($B834,표2[#ALL],2)</f>
        <v>#N/A</v>
      </c>
      <c r="G834" s="372" t="str">
        <f>CS_PID!G834/VLOOKUP($B834,표2[#ALL],2)</f>
        <v>#N/A</v>
      </c>
      <c r="H834" s="372" t="str">
        <f>CS_PID!H834/VLOOKUP($B834,표2[#ALL],2)/HLOOKUP($A834,표1[#ALL],row(),false)</f>
        <v>#N/A</v>
      </c>
      <c r="I834" s="372" t="str">
        <f>CS_PID!I834/VLOOKUP($B834,표2[#ALL],2)/HLOOKUP($A834,표1[#ALL],row(),false)</f>
        <v>#N/A</v>
      </c>
      <c r="J834" s="372" t="str">
        <f>CS_PID!J834/VLOOKUP($B834,표2[#ALL],2)/HLOOKUP($A834,표1[#ALL],row(),false)</f>
        <v>#N/A</v>
      </c>
      <c r="K834" s="372" t="str">
        <f>CS_PID!K834/VLOOKUP($B834,표2[#ALL],2)/HLOOKUP($A834,표1[#ALL],row(),false)</f>
        <v>#N/A</v>
      </c>
      <c r="L834" s="372" t="str">
        <f>CS_PID!L834/VLOOKUP($B834,표2[#ALL],2)/HLOOKUP($A834,표1[#ALL],row(),false)</f>
        <v>#N/A</v>
      </c>
      <c r="M834" s="372" t="str">
        <f>CS_PID!M834/VLOOKUP($B834,표2[#ALL],2)/HLOOKUP($A834,표1[#ALL],row(),false)</f>
        <v>#N/A</v>
      </c>
      <c r="N834" s="372" t="str">
        <f>CS_PID!N834/VLOOKUP($B834,표2[#ALL],2)/HLOOKUP($A834,표1[#ALL],row(),false)</f>
        <v>#N/A</v>
      </c>
      <c r="O834" s="372" t="str">
        <f>CS_PID!O834/VLOOKUP($B834,표2[#ALL],2)/HLOOKUP($A834,표1[#ALL],row(),false)</f>
        <v>#N/A</v>
      </c>
      <c r="P834" s="372" t="str">
        <f>CS_PID!P834/VLOOKUP($B834,표2[#ALL],2)/HLOOKUP($A834,표1[#ALL],row(),false)</f>
        <v>#N/A</v>
      </c>
      <c r="Q834" s="372" t="str">
        <f>CS_PID!Q834/VLOOKUP($B834,표2[#ALL],2)/HLOOKUP($A834,표1[#ALL],row(),false)</f>
        <v>#N/A</v>
      </c>
      <c r="R834" s="372" t="str">
        <f>CS_PID!R834/VLOOKUP($B834,표2[#ALL],2)/HLOOKUP($A834,표1[#ALL],row(),false)</f>
        <v>#N/A</v>
      </c>
      <c r="S834" s="372" t="str">
        <f>CS_PID!S834/VLOOKUP($B834,표2[#ALL],2)/HLOOKUP($A834,표1[#ALL],row(),false)</f>
        <v>#N/A</v>
      </c>
      <c r="T834" s="372" t="str">
        <f>CS_PID!T834/VLOOKUP($B834,표2[#ALL],2)/HLOOKUP($A834,표1[#ALL],row(),false)</f>
        <v>#N/A</v>
      </c>
      <c r="U834" s="372" t="str">
        <f>CS_PID!U834/VLOOKUP($B834,표2[#ALL],2)/HLOOKUP($A834,표1[#ALL],row(),false)</f>
        <v>#N/A</v>
      </c>
      <c r="V834" s="372" t="str">
        <f>CS_PID!V834/VLOOKUP($B834,표2[#ALL],2)/HLOOKUP($A834,표1[#ALL],row(),false)</f>
        <v>#N/A</v>
      </c>
      <c r="W834" s="372" t="str">
        <f>CS_PID!W834/VLOOKUP($B834,표2[#ALL],2)/HLOOKUP($A834,표1[#ALL],row(),false)</f>
        <v>#N/A</v>
      </c>
      <c r="X834" s="372" t="str">
        <f>CS_PID!X834/VLOOKUP($B834,표2[#ALL],2)/HLOOKUP($A834,표1[#ALL],row(),false)</f>
        <v>#N/A</v>
      </c>
      <c r="Y834" s="372" t="str">
        <f>CS_PID!Y834/VLOOKUP($B834,표2[#ALL],2)/HLOOKUP($A834,표1[#ALL],row(),false)</f>
        <v>#N/A</v>
      </c>
      <c r="Z834" s="372" t="str">
        <f>CS_PID!Z834/VLOOKUP($B834,표2[#ALL],2)/HLOOKUP($A834,표1[#ALL],row(),false)</f>
        <v>#N/A</v>
      </c>
      <c r="AA834" s="372" t="str">
        <f>CS_PID!AA834/VLOOKUP($B834,표2[#ALL],2)/HLOOKUP($A834,표1[#ALL],row(),false)</f>
        <v>#N/A</v>
      </c>
      <c r="AB834" s="372" t="str">
        <f>CS_PID!AB834/VLOOKUP($B834,표2[#ALL],2)/HLOOKUP($A834,표1[#ALL],row(),false)</f>
        <v>#N/A</v>
      </c>
      <c r="AC834" s="372" t="str">
        <f>CS_PID!AC834/VLOOKUP($B834,표2[#ALL],2)/HLOOKUP($A834,표1[#ALL],row(),false)</f>
        <v>#N/A</v>
      </c>
      <c r="AD834" s="372" t="str">
        <f>CS_PID!AD834/VLOOKUP($B834,표2[#ALL],2)/HLOOKUP($A834,표1[#ALL],row(),false)</f>
        <v>#N/A</v>
      </c>
      <c r="AE834" s="372" t="str">
        <f>CS_PID!AE834/VLOOKUP($B834,표2[#ALL],2)/HLOOKUP($A834,표1[#ALL],row(),false)</f>
        <v>#N/A</v>
      </c>
      <c r="AF834" s="372" t="str">
        <f>CS_PID!AF834/VLOOKUP($B834,표2[#ALL],2)/HLOOKUP($A834,표1[#ALL],row(),false)</f>
        <v>#N/A</v>
      </c>
      <c r="AG834" s="372" t="str">
        <f>CS_PID!AG834/VLOOKUP($B834,표2[#ALL],2)/HLOOKUP($A834,표1[#ALL],row(),false)</f>
        <v>#N/A</v>
      </c>
      <c r="AH834" s="372" t="str">
        <f>CS_PID!AH834/VLOOKUP($B834,표2[#ALL],2)/HLOOKUP($A834,표1[#ALL],row(),false)</f>
        <v>#N/A</v>
      </c>
      <c r="AI834" s="372" t="str">
        <f>CS_PID!AI834/VLOOKUP($B834,표2[#ALL],2)/HLOOKUP($A834,표1[#ALL],row(),false)</f>
        <v>#N/A</v>
      </c>
      <c r="AJ834" s="372" t="str">
        <f>CS_PID!AJ834/VLOOKUP($B834,표2[#ALL],2)/HLOOKUP($A834,표1[#ALL],row(),false)</f>
        <v>#N/A</v>
      </c>
      <c r="AK834" s="372" t="str">
        <f>CS_PID!AK834/VLOOKUP($B834,표2[#ALL],2)/HLOOKUP($A834,표1[#ALL],row(),false)</f>
        <v>#N/A</v>
      </c>
      <c r="AL834" s="372" t="str">
        <f>CS_PID!AL834/VLOOKUP($B834,표2[#ALL],2)/HLOOKUP($A834,표1[#ALL],row(),false)</f>
        <v>#N/A</v>
      </c>
      <c r="AM834" s="372" t="str">
        <f>CS_PID!AM834/VLOOKUP($B834,표2[#ALL],2)/HLOOKUP($A834,표1[#ALL],row(),false)</f>
        <v>#N/A</v>
      </c>
      <c r="AN834" s="372" t="str">
        <f>CS_PID!AN834/VLOOKUP($B834,표2[#ALL],2)/HLOOKUP($A834,표1[#ALL],row(),false)</f>
        <v>#N/A</v>
      </c>
      <c r="AO834" s="372" t="str">
        <f>CS_PID!AO834/VLOOKUP($B834,표2[#ALL],2)/HLOOKUP($A834,표1[#ALL],row(),false)</f>
        <v>#N/A</v>
      </c>
      <c r="AP834" s="372" t="str">
        <f>CS_PID!AP834/VLOOKUP($B834,표2[#ALL],2)/HLOOKUP($A834,표1[#ALL],row(),false)</f>
        <v>#N/A</v>
      </c>
      <c r="AQ834" s="372" t="str">
        <f>CS_PID!AQ834/VLOOKUP($B834,표2[#ALL],2)/HLOOKUP($A834,표1[#ALL],row(),false)</f>
        <v>#N/A</v>
      </c>
      <c r="AR834" s="372" t="str">
        <f>CS_PID!AR834/VLOOKUP($B834,표2[#ALL],2)/HLOOKUP($A834,표1[#ALL],row(),false)</f>
        <v>#N/A</v>
      </c>
      <c r="AS834" s="373" t="str">
        <f>CS_PID!AS834/VLOOKUP($B834,표2[#ALL],2)/HLOOKUP($A834,표1[#ALL],row(),false)</f>
        <v>#N/A</v>
      </c>
    </row>
    <row r="835">
      <c r="A835" s="374"/>
      <c r="B835" s="375"/>
      <c r="C835" s="376" t="str">
        <f>CS_PID!C835/VLOOKUP($B835,표2[#ALL],2)</f>
        <v>#N/A</v>
      </c>
      <c r="D835" s="376" t="str">
        <f>CS_PID!D835/VLOOKUP($B835,표2[#ALL],2)</f>
        <v>#N/A</v>
      </c>
      <c r="E835" s="376" t="str">
        <f>CS_PID!E835/VLOOKUP($B835,표2[#ALL],2)</f>
        <v>#N/A</v>
      </c>
      <c r="F835" s="376" t="str">
        <f>CS_PID!F835/VLOOKUP($B835,표2[#ALL],2)</f>
        <v>#N/A</v>
      </c>
      <c r="G835" s="376" t="str">
        <f>CS_PID!G835/VLOOKUP($B835,표2[#ALL],2)</f>
        <v>#N/A</v>
      </c>
      <c r="H835" s="376" t="str">
        <f>CS_PID!H835/VLOOKUP($B835,표2[#ALL],2)/HLOOKUP($A835,표1[#ALL],row(),false)</f>
        <v>#N/A</v>
      </c>
      <c r="I835" s="376" t="str">
        <f>CS_PID!I835/VLOOKUP($B835,표2[#ALL],2)/HLOOKUP($A835,표1[#ALL],row(),false)</f>
        <v>#N/A</v>
      </c>
      <c r="J835" s="376" t="str">
        <f>CS_PID!J835/VLOOKUP($B835,표2[#ALL],2)/HLOOKUP($A835,표1[#ALL],row(),false)</f>
        <v>#N/A</v>
      </c>
      <c r="K835" s="376" t="str">
        <f>CS_PID!K835/VLOOKUP($B835,표2[#ALL],2)/HLOOKUP($A835,표1[#ALL],row(),false)</f>
        <v>#N/A</v>
      </c>
      <c r="L835" s="376" t="str">
        <f>CS_PID!L835/VLOOKUP($B835,표2[#ALL],2)/HLOOKUP($A835,표1[#ALL],row(),false)</f>
        <v>#N/A</v>
      </c>
      <c r="M835" s="376" t="str">
        <f>CS_PID!M835/VLOOKUP($B835,표2[#ALL],2)/HLOOKUP($A835,표1[#ALL],row(),false)</f>
        <v>#N/A</v>
      </c>
      <c r="N835" s="376" t="str">
        <f>CS_PID!N835/VLOOKUP($B835,표2[#ALL],2)/HLOOKUP($A835,표1[#ALL],row(),false)</f>
        <v>#N/A</v>
      </c>
      <c r="O835" s="376" t="str">
        <f>CS_PID!O835/VLOOKUP($B835,표2[#ALL],2)/HLOOKUP($A835,표1[#ALL],row(),false)</f>
        <v>#N/A</v>
      </c>
      <c r="P835" s="376" t="str">
        <f>CS_PID!P835/VLOOKUP($B835,표2[#ALL],2)/HLOOKUP($A835,표1[#ALL],row(),false)</f>
        <v>#N/A</v>
      </c>
      <c r="Q835" s="376" t="str">
        <f>CS_PID!Q835/VLOOKUP($B835,표2[#ALL],2)/HLOOKUP($A835,표1[#ALL],row(),false)</f>
        <v>#N/A</v>
      </c>
      <c r="R835" s="376" t="str">
        <f>CS_PID!R835/VLOOKUP($B835,표2[#ALL],2)/HLOOKUP($A835,표1[#ALL],row(),false)</f>
        <v>#N/A</v>
      </c>
      <c r="S835" s="376" t="str">
        <f>CS_PID!S835/VLOOKUP($B835,표2[#ALL],2)/HLOOKUP($A835,표1[#ALL],row(),false)</f>
        <v>#N/A</v>
      </c>
      <c r="T835" s="376" t="str">
        <f>CS_PID!T835/VLOOKUP($B835,표2[#ALL],2)/HLOOKUP($A835,표1[#ALL],row(),false)</f>
        <v>#N/A</v>
      </c>
      <c r="U835" s="376" t="str">
        <f>CS_PID!U835/VLOOKUP($B835,표2[#ALL],2)/HLOOKUP($A835,표1[#ALL],row(),false)</f>
        <v>#N/A</v>
      </c>
      <c r="V835" s="376" t="str">
        <f>CS_PID!V835/VLOOKUP($B835,표2[#ALL],2)/HLOOKUP($A835,표1[#ALL],row(),false)</f>
        <v>#N/A</v>
      </c>
      <c r="W835" s="376" t="str">
        <f>CS_PID!W835/VLOOKUP($B835,표2[#ALL],2)/HLOOKUP($A835,표1[#ALL],row(),false)</f>
        <v>#N/A</v>
      </c>
      <c r="X835" s="376" t="str">
        <f>CS_PID!X835/VLOOKUP($B835,표2[#ALL],2)/HLOOKUP($A835,표1[#ALL],row(),false)</f>
        <v>#N/A</v>
      </c>
      <c r="Y835" s="376" t="str">
        <f>CS_PID!Y835/VLOOKUP($B835,표2[#ALL],2)/HLOOKUP($A835,표1[#ALL],row(),false)</f>
        <v>#N/A</v>
      </c>
      <c r="Z835" s="376" t="str">
        <f>CS_PID!Z835/VLOOKUP($B835,표2[#ALL],2)/HLOOKUP($A835,표1[#ALL],row(),false)</f>
        <v>#N/A</v>
      </c>
      <c r="AA835" s="376" t="str">
        <f>CS_PID!AA835/VLOOKUP($B835,표2[#ALL],2)/HLOOKUP($A835,표1[#ALL],row(),false)</f>
        <v>#N/A</v>
      </c>
      <c r="AB835" s="376" t="str">
        <f>CS_PID!AB835/VLOOKUP($B835,표2[#ALL],2)/HLOOKUP($A835,표1[#ALL],row(),false)</f>
        <v>#N/A</v>
      </c>
      <c r="AC835" s="376" t="str">
        <f>CS_PID!AC835/VLOOKUP($B835,표2[#ALL],2)/HLOOKUP($A835,표1[#ALL],row(),false)</f>
        <v>#N/A</v>
      </c>
      <c r="AD835" s="376" t="str">
        <f>CS_PID!AD835/VLOOKUP($B835,표2[#ALL],2)/HLOOKUP($A835,표1[#ALL],row(),false)</f>
        <v>#N/A</v>
      </c>
      <c r="AE835" s="376" t="str">
        <f>CS_PID!AE835/VLOOKUP($B835,표2[#ALL],2)/HLOOKUP($A835,표1[#ALL],row(),false)</f>
        <v>#N/A</v>
      </c>
      <c r="AF835" s="376" t="str">
        <f>CS_PID!AF835/VLOOKUP($B835,표2[#ALL],2)/HLOOKUP($A835,표1[#ALL],row(),false)</f>
        <v>#N/A</v>
      </c>
      <c r="AG835" s="376" t="str">
        <f>CS_PID!AG835/VLOOKUP($B835,표2[#ALL],2)/HLOOKUP($A835,표1[#ALL],row(),false)</f>
        <v>#N/A</v>
      </c>
      <c r="AH835" s="376" t="str">
        <f>CS_PID!AH835/VLOOKUP($B835,표2[#ALL],2)/HLOOKUP($A835,표1[#ALL],row(),false)</f>
        <v>#N/A</v>
      </c>
      <c r="AI835" s="376" t="str">
        <f>CS_PID!AI835/VLOOKUP($B835,표2[#ALL],2)/HLOOKUP($A835,표1[#ALL],row(),false)</f>
        <v>#N/A</v>
      </c>
      <c r="AJ835" s="376" t="str">
        <f>CS_PID!AJ835/VLOOKUP($B835,표2[#ALL],2)/HLOOKUP($A835,표1[#ALL],row(),false)</f>
        <v>#N/A</v>
      </c>
      <c r="AK835" s="376" t="str">
        <f>CS_PID!AK835/VLOOKUP($B835,표2[#ALL],2)/HLOOKUP($A835,표1[#ALL],row(),false)</f>
        <v>#N/A</v>
      </c>
      <c r="AL835" s="376" t="str">
        <f>CS_PID!AL835/VLOOKUP($B835,표2[#ALL],2)/HLOOKUP($A835,표1[#ALL],row(),false)</f>
        <v>#N/A</v>
      </c>
      <c r="AM835" s="376" t="str">
        <f>CS_PID!AM835/VLOOKUP($B835,표2[#ALL],2)/HLOOKUP($A835,표1[#ALL],row(),false)</f>
        <v>#N/A</v>
      </c>
      <c r="AN835" s="376" t="str">
        <f>CS_PID!AN835/VLOOKUP($B835,표2[#ALL],2)/HLOOKUP($A835,표1[#ALL],row(),false)</f>
        <v>#N/A</v>
      </c>
      <c r="AO835" s="376" t="str">
        <f>CS_PID!AO835/VLOOKUP($B835,표2[#ALL],2)/HLOOKUP($A835,표1[#ALL],row(),false)</f>
        <v>#N/A</v>
      </c>
      <c r="AP835" s="376" t="str">
        <f>CS_PID!AP835/VLOOKUP($B835,표2[#ALL],2)/HLOOKUP($A835,표1[#ALL],row(),false)</f>
        <v>#N/A</v>
      </c>
      <c r="AQ835" s="376" t="str">
        <f>CS_PID!AQ835/VLOOKUP($B835,표2[#ALL],2)/HLOOKUP($A835,표1[#ALL],row(),false)</f>
        <v>#N/A</v>
      </c>
      <c r="AR835" s="376" t="str">
        <f>CS_PID!AR835/VLOOKUP($B835,표2[#ALL],2)/HLOOKUP($A835,표1[#ALL],row(),false)</f>
        <v>#N/A</v>
      </c>
      <c r="AS835" s="377" t="str">
        <f>CS_PID!AS835/VLOOKUP($B835,표2[#ALL],2)/HLOOKUP($A835,표1[#ALL],row(),false)</f>
        <v>#N/A</v>
      </c>
    </row>
    <row r="836">
      <c r="A836" s="370"/>
      <c r="B836" s="371"/>
      <c r="C836" s="372" t="str">
        <f>CS_PID!C836/VLOOKUP($B836,표2[#ALL],2)</f>
        <v>#N/A</v>
      </c>
      <c r="D836" s="372" t="str">
        <f>CS_PID!D836/VLOOKUP($B836,표2[#ALL],2)</f>
        <v>#N/A</v>
      </c>
      <c r="E836" s="372" t="str">
        <f>CS_PID!E836/VLOOKUP($B836,표2[#ALL],2)</f>
        <v>#N/A</v>
      </c>
      <c r="F836" s="372" t="str">
        <f>CS_PID!F836/VLOOKUP($B836,표2[#ALL],2)</f>
        <v>#N/A</v>
      </c>
      <c r="G836" s="372" t="str">
        <f>CS_PID!G836/VLOOKUP($B836,표2[#ALL],2)</f>
        <v>#N/A</v>
      </c>
      <c r="H836" s="372" t="str">
        <f>CS_PID!H836/VLOOKUP($B836,표2[#ALL],2)/HLOOKUP($A836,표1[#ALL],row(),false)</f>
        <v>#N/A</v>
      </c>
      <c r="I836" s="372" t="str">
        <f>CS_PID!I836/VLOOKUP($B836,표2[#ALL],2)/HLOOKUP($A836,표1[#ALL],row(),false)</f>
        <v>#N/A</v>
      </c>
      <c r="J836" s="372" t="str">
        <f>CS_PID!J836/VLOOKUP($B836,표2[#ALL],2)/HLOOKUP($A836,표1[#ALL],row(),false)</f>
        <v>#N/A</v>
      </c>
      <c r="K836" s="372" t="str">
        <f>CS_PID!K836/VLOOKUP($B836,표2[#ALL],2)/HLOOKUP($A836,표1[#ALL],row(),false)</f>
        <v>#N/A</v>
      </c>
      <c r="L836" s="372" t="str">
        <f>CS_PID!L836/VLOOKUP($B836,표2[#ALL],2)/HLOOKUP($A836,표1[#ALL],row(),false)</f>
        <v>#N/A</v>
      </c>
      <c r="M836" s="372" t="str">
        <f>CS_PID!M836/VLOOKUP($B836,표2[#ALL],2)/HLOOKUP($A836,표1[#ALL],row(),false)</f>
        <v>#N/A</v>
      </c>
      <c r="N836" s="372" t="str">
        <f>CS_PID!N836/VLOOKUP($B836,표2[#ALL],2)/HLOOKUP($A836,표1[#ALL],row(),false)</f>
        <v>#N/A</v>
      </c>
      <c r="O836" s="372" t="str">
        <f>CS_PID!O836/VLOOKUP($B836,표2[#ALL],2)/HLOOKUP($A836,표1[#ALL],row(),false)</f>
        <v>#N/A</v>
      </c>
      <c r="P836" s="372" t="str">
        <f>CS_PID!P836/VLOOKUP($B836,표2[#ALL],2)/HLOOKUP($A836,표1[#ALL],row(),false)</f>
        <v>#N/A</v>
      </c>
      <c r="Q836" s="372" t="str">
        <f>CS_PID!Q836/VLOOKUP($B836,표2[#ALL],2)/HLOOKUP($A836,표1[#ALL],row(),false)</f>
        <v>#N/A</v>
      </c>
      <c r="R836" s="372" t="str">
        <f>CS_PID!R836/VLOOKUP($B836,표2[#ALL],2)/HLOOKUP($A836,표1[#ALL],row(),false)</f>
        <v>#N/A</v>
      </c>
      <c r="S836" s="372" t="str">
        <f>CS_PID!S836/VLOOKUP($B836,표2[#ALL],2)/HLOOKUP($A836,표1[#ALL],row(),false)</f>
        <v>#N/A</v>
      </c>
      <c r="T836" s="372" t="str">
        <f>CS_PID!T836/VLOOKUP($B836,표2[#ALL],2)/HLOOKUP($A836,표1[#ALL],row(),false)</f>
        <v>#N/A</v>
      </c>
      <c r="U836" s="372" t="str">
        <f>CS_PID!U836/VLOOKUP($B836,표2[#ALL],2)/HLOOKUP($A836,표1[#ALL],row(),false)</f>
        <v>#N/A</v>
      </c>
      <c r="V836" s="372" t="str">
        <f>CS_PID!V836/VLOOKUP($B836,표2[#ALL],2)/HLOOKUP($A836,표1[#ALL],row(),false)</f>
        <v>#N/A</v>
      </c>
      <c r="W836" s="372" t="str">
        <f>CS_PID!W836/VLOOKUP($B836,표2[#ALL],2)/HLOOKUP($A836,표1[#ALL],row(),false)</f>
        <v>#N/A</v>
      </c>
      <c r="X836" s="372" t="str">
        <f>CS_PID!X836/VLOOKUP($B836,표2[#ALL],2)/HLOOKUP($A836,표1[#ALL],row(),false)</f>
        <v>#N/A</v>
      </c>
      <c r="Y836" s="372" t="str">
        <f>CS_PID!Y836/VLOOKUP($B836,표2[#ALL],2)/HLOOKUP($A836,표1[#ALL],row(),false)</f>
        <v>#N/A</v>
      </c>
      <c r="Z836" s="372" t="str">
        <f>CS_PID!Z836/VLOOKUP($B836,표2[#ALL],2)/HLOOKUP($A836,표1[#ALL],row(),false)</f>
        <v>#N/A</v>
      </c>
      <c r="AA836" s="372" t="str">
        <f>CS_PID!AA836/VLOOKUP($B836,표2[#ALL],2)/HLOOKUP($A836,표1[#ALL],row(),false)</f>
        <v>#N/A</v>
      </c>
      <c r="AB836" s="372" t="str">
        <f>CS_PID!AB836/VLOOKUP($B836,표2[#ALL],2)/HLOOKUP($A836,표1[#ALL],row(),false)</f>
        <v>#N/A</v>
      </c>
      <c r="AC836" s="372" t="str">
        <f>CS_PID!AC836/VLOOKUP($B836,표2[#ALL],2)/HLOOKUP($A836,표1[#ALL],row(),false)</f>
        <v>#N/A</v>
      </c>
      <c r="AD836" s="372" t="str">
        <f>CS_PID!AD836/VLOOKUP($B836,표2[#ALL],2)/HLOOKUP($A836,표1[#ALL],row(),false)</f>
        <v>#N/A</v>
      </c>
      <c r="AE836" s="372" t="str">
        <f>CS_PID!AE836/VLOOKUP($B836,표2[#ALL],2)/HLOOKUP($A836,표1[#ALL],row(),false)</f>
        <v>#N/A</v>
      </c>
      <c r="AF836" s="372" t="str">
        <f>CS_PID!AF836/VLOOKUP($B836,표2[#ALL],2)/HLOOKUP($A836,표1[#ALL],row(),false)</f>
        <v>#N/A</v>
      </c>
      <c r="AG836" s="372" t="str">
        <f>CS_PID!AG836/VLOOKUP($B836,표2[#ALL],2)/HLOOKUP($A836,표1[#ALL],row(),false)</f>
        <v>#N/A</v>
      </c>
      <c r="AH836" s="372" t="str">
        <f>CS_PID!AH836/VLOOKUP($B836,표2[#ALL],2)/HLOOKUP($A836,표1[#ALL],row(),false)</f>
        <v>#N/A</v>
      </c>
      <c r="AI836" s="372" t="str">
        <f>CS_PID!AI836/VLOOKUP($B836,표2[#ALL],2)/HLOOKUP($A836,표1[#ALL],row(),false)</f>
        <v>#N/A</v>
      </c>
      <c r="AJ836" s="372" t="str">
        <f>CS_PID!AJ836/VLOOKUP($B836,표2[#ALL],2)/HLOOKUP($A836,표1[#ALL],row(),false)</f>
        <v>#N/A</v>
      </c>
      <c r="AK836" s="372" t="str">
        <f>CS_PID!AK836/VLOOKUP($B836,표2[#ALL],2)/HLOOKUP($A836,표1[#ALL],row(),false)</f>
        <v>#N/A</v>
      </c>
      <c r="AL836" s="372" t="str">
        <f>CS_PID!AL836/VLOOKUP($B836,표2[#ALL],2)/HLOOKUP($A836,표1[#ALL],row(),false)</f>
        <v>#N/A</v>
      </c>
      <c r="AM836" s="372" t="str">
        <f>CS_PID!AM836/VLOOKUP($B836,표2[#ALL],2)/HLOOKUP($A836,표1[#ALL],row(),false)</f>
        <v>#N/A</v>
      </c>
      <c r="AN836" s="372" t="str">
        <f>CS_PID!AN836/VLOOKUP($B836,표2[#ALL],2)/HLOOKUP($A836,표1[#ALL],row(),false)</f>
        <v>#N/A</v>
      </c>
      <c r="AO836" s="372" t="str">
        <f>CS_PID!AO836/VLOOKUP($B836,표2[#ALL],2)/HLOOKUP($A836,표1[#ALL],row(),false)</f>
        <v>#N/A</v>
      </c>
      <c r="AP836" s="372" t="str">
        <f>CS_PID!AP836/VLOOKUP($B836,표2[#ALL],2)/HLOOKUP($A836,표1[#ALL],row(),false)</f>
        <v>#N/A</v>
      </c>
      <c r="AQ836" s="372" t="str">
        <f>CS_PID!AQ836/VLOOKUP($B836,표2[#ALL],2)/HLOOKUP($A836,표1[#ALL],row(),false)</f>
        <v>#N/A</v>
      </c>
      <c r="AR836" s="372" t="str">
        <f>CS_PID!AR836/VLOOKUP($B836,표2[#ALL],2)/HLOOKUP($A836,표1[#ALL],row(),false)</f>
        <v>#N/A</v>
      </c>
      <c r="AS836" s="373" t="str">
        <f>CS_PID!AS836/VLOOKUP($B836,표2[#ALL],2)/HLOOKUP($A836,표1[#ALL],row(),false)</f>
        <v>#N/A</v>
      </c>
    </row>
    <row r="837">
      <c r="A837" s="374"/>
      <c r="B837" s="375"/>
      <c r="C837" s="376" t="str">
        <f>CS_PID!C837/VLOOKUP($B837,표2[#ALL],2)</f>
        <v>#N/A</v>
      </c>
      <c r="D837" s="376" t="str">
        <f>CS_PID!D837/VLOOKUP($B837,표2[#ALL],2)</f>
        <v>#N/A</v>
      </c>
      <c r="E837" s="376" t="str">
        <f>CS_PID!E837/VLOOKUP($B837,표2[#ALL],2)</f>
        <v>#N/A</v>
      </c>
      <c r="F837" s="376" t="str">
        <f>CS_PID!F837/VLOOKUP($B837,표2[#ALL],2)</f>
        <v>#N/A</v>
      </c>
      <c r="G837" s="376" t="str">
        <f>CS_PID!G837/VLOOKUP($B837,표2[#ALL],2)</f>
        <v>#N/A</v>
      </c>
      <c r="H837" s="376" t="str">
        <f>CS_PID!H837/VLOOKUP($B837,표2[#ALL],2)/HLOOKUP($A837,표1[#ALL],row(),false)</f>
        <v>#N/A</v>
      </c>
      <c r="I837" s="376" t="str">
        <f>CS_PID!I837/VLOOKUP($B837,표2[#ALL],2)/HLOOKUP($A837,표1[#ALL],row(),false)</f>
        <v>#N/A</v>
      </c>
      <c r="J837" s="376" t="str">
        <f>CS_PID!J837/VLOOKUP($B837,표2[#ALL],2)/HLOOKUP($A837,표1[#ALL],row(),false)</f>
        <v>#N/A</v>
      </c>
      <c r="K837" s="376" t="str">
        <f>CS_PID!K837/VLOOKUP($B837,표2[#ALL],2)/HLOOKUP($A837,표1[#ALL],row(),false)</f>
        <v>#N/A</v>
      </c>
      <c r="L837" s="376" t="str">
        <f>CS_PID!L837/VLOOKUP($B837,표2[#ALL],2)/HLOOKUP($A837,표1[#ALL],row(),false)</f>
        <v>#N/A</v>
      </c>
      <c r="M837" s="376" t="str">
        <f>CS_PID!M837/VLOOKUP($B837,표2[#ALL],2)/HLOOKUP($A837,표1[#ALL],row(),false)</f>
        <v>#N/A</v>
      </c>
      <c r="N837" s="376" t="str">
        <f>CS_PID!N837/VLOOKUP($B837,표2[#ALL],2)/HLOOKUP($A837,표1[#ALL],row(),false)</f>
        <v>#N/A</v>
      </c>
      <c r="O837" s="376" t="str">
        <f>CS_PID!O837/VLOOKUP($B837,표2[#ALL],2)/HLOOKUP($A837,표1[#ALL],row(),false)</f>
        <v>#N/A</v>
      </c>
      <c r="P837" s="376" t="str">
        <f>CS_PID!P837/VLOOKUP($B837,표2[#ALL],2)/HLOOKUP($A837,표1[#ALL],row(),false)</f>
        <v>#N/A</v>
      </c>
      <c r="Q837" s="376" t="str">
        <f>CS_PID!Q837/VLOOKUP($B837,표2[#ALL],2)/HLOOKUP($A837,표1[#ALL],row(),false)</f>
        <v>#N/A</v>
      </c>
      <c r="R837" s="376" t="str">
        <f>CS_PID!R837/VLOOKUP($B837,표2[#ALL],2)/HLOOKUP($A837,표1[#ALL],row(),false)</f>
        <v>#N/A</v>
      </c>
      <c r="S837" s="376" t="str">
        <f>CS_PID!S837/VLOOKUP($B837,표2[#ALL],2)/HLOOKUP($A837,표1[#ALL],row(),false)</f>
        <v>#N/A</v>
      </c>
      <c r="T837" s="376" t="str">
        <f>CS_PID!T837/VLOOKUP($B837,표2[#ALL],2)/HLOOKUP($A837,표1[#ALL],row(),false)</f>
        <v>#N/A</v>
      </c>
      <c r="U837" s="376" t="str">
        <f>CS_PID!U837/VLOOKUP($B837,표2[#ALL],2)/HLOOKUP($A837,표1[#ALL],row(),false)</f>
        <v>#N/A</v>
      </c>
      <c r="V837" s="376" t="str">
        <f>CS_PID!V837/VLOOKUP($B837,표2[#ALL],2)/HLOOKUP($A837,표1[#ALL],row(),false)</f>
        <v>#N/A</v>
      </c>
      <c r="W837" s="376" t="str">
        <f>CS_PID!W837/VLOOKUP($B837,표2[#ALL],2)/HLOOKUP($A837,표1[#ALL],row(),false)</f>
        <v>#N/A</v>
      </c>
      <c r="X837" s="376" t="str">
        <f>CS_PID!X837/VLOOKUP($B837,표2[#ALL],2)/HLOOKUP($A837,표1[#ALL],row(),false)</f>
        <v>#N/A</v>
      </c>
      <c r="Y837" s="376" t="str">
        <f>CS_PID!Y837/VLOOKUP($B837,표2[#ALL],2)/HLOOKUP($A837,표1[#ALL],row(),false)</f>
        <v>#N/A</v>
      </c>
      <c r="Z837" s="376" t="str">
        <f>CS_PID!Z837/VLOOKUP($B837,표2[#ALL],2)/HLOOKUP($A837,표1[#ALL],row(),false)</f>
        <v>#N/A</v>
      </c>
      <c r="AA837" s="376" t="str">
        <f>CS_PID!AA837/VLOOKUP($B837,표2[#ALL],2)/HLOOKUP($A837,표1[#ALL],row(),false)</f>
        <v>#N/A</v>
      </c>
      <c r="AB837" s="376" t="str">
        <f>CS_PID!AB837/VLOOKUP($B837,표2[#ALL],2)/HLOOKUP($A837,표1[#ALL],row(),false)</f>
        <v>#N/A</v>
      </c>
      <c r="AC837" s="376" t="str">
        <f>CS_PID!AC837/VLOOKUP($B837,표2[#ALL],2)/HLOOKUP($A837,표1[#ALL],row(),false)</f>
        <v>#N/A</v>
      </c>
      <c r="AD837" s="376" t="str">
        <f>CS_PID!AD837/VLOOKUP($B837,표2[#ALL],2)/HLOOKUP($A837,표1[#ALL],row(),false)</f>
        <v>#N/A</v>
      </c>
      <c r="AE837" s="376" t="str">
        <f>CS_PID!AE837/VLOOKUP($B837,표2[#ALL],2)/HLOOKUP($A837,표1[#ALL],row(),false)</f>
        <v>#N/A</v>
      </c>
      <c r="AF837" s="376" t="str">
        <f>CS_PID!AF837/VLOOKUP($B837,표2[#ALL],2)/HLOOKUP($A837,표1[#ALL],row(),false)</f>
        <v>#N/A</v>
      </c>
      <c r="AG837" s="376" t="str">
        <f>CS_PID!AG837/VLOOKUP($B837,표2[#ALL],2)/HLOOKUP($A837,표1[#ALL],row(),false)</f>
        <v>#N/A</v>
      </c>
      <c r="AH837" s="376" t="str">
        <f>CS_PID!AH837/VLOOKUP($B837,표2[#ALL],2)/HLOOKUP($A837,표1[#ALL],row(),false)</f>
        <v>#N/A</v>
      </c>
      <c r="AI837" s="376" t="str">
        <f>CS_PID!AI837/VLOOKUP($B837,표2[#ALL],2)/HLOOKUP($A837,표1[#ALL],row(),false)</f>
        <v>#N/A</v>
      </c>
      <c r="AJ837" s="376" t="str">
        <f>CS_PID!AJ837/VLOOKUP($B837,표2[#ALL],2)/HLOOKUP($A837,표1[#ALL],row(),false)</f>
        <v>#N/A</v>
      </c>
      <c r="AK837" s="376" t="str">
        <f>CS_PID!AK837/VLOOKUP($B837,표2[#ALL],2)/HLOOKUP($A837,표1[#ALL],row(),false)</f>
        <v>#N/A</v>
      </c>
      <c r="AL837" s="376" t="str">
        <f>CS_PID!AL837/VLOOKUP($B837,표2[#ALL],2)/HLOOKUP($A837,표1[#ALL],row(),false)</f>
        <v>#N/A</v>
      </c>
      <c r="AM837" s="376" t="str">
        <f>CS_PID!AM837/VLOOKUP($B837,표2[#ALL],2)/HLOOKUP($A837,표1[#ALL],row(),false)</f>
        <v>#N/A</v>
      </c>
      <c r="AN837" s="376" t="str">
        <f>CS_PID!AN837/VLOOKUP($B837,표2[#ALL],2)/HLOOKUP($A837,표1[#ALL],row(),false)</f>
        <v>#N/A</v>
      </c>
      <c r="AO837" s="376" t="str">
        <f>CS_PID!AO837/VLOOKUP($B837,표2[#ALL],2)/HLOOKUP($A837,표1[#ALL],row(),false)</f>
        <v>#N/A</v>
      </c>
      <c r="AP837" s="376" t="str">
        <f>CS_PID!AP837/VLOOKUP($B837,표2[#ALL],2)/HLOOKUP($A837,표1[#ALL],row(),false)</f>
        <v>#N/A</v>
      </c>
      <c r="AQ837" s="376" t="str">
        <f>CS_PID!AQ837/VLOOKUP($B837,표2[#ALL],2)/HLOOKUP($A837,표1[#ALL],row(),false)</f>
        <v>#N/A</v>
      </c>
      <c r="AR837" s="376" t="str">
        <f>CS_PID!AR837/VLOOKUP($B837,표2[#ALL],2)/HLOOKUP($A837,표1[#ALL],row(),false)</f>
        <v>#N/A</v>
      </c>
      <c r="AS837" s="377" t="str">
        <f>CS_PID!AS837/VLOOKUP($B837,표2[#ALL],2)/HLOOKUP($A837,표1[#ALL],row(),false)</f>
        <v>#N/A</v>
      </c>
    </row>
    <row r="838">
      <c r="A838" s="370"/>
      <c r="B838" s="371"/>
      <c r="C838" s="372" t="str">
        <f>CS_PID!C838/VLOOKUP($B838,표2[#ALL],2)</f>
        <v>#N/A</v>
      </c>
      <c r="D838" s="372" t="str">
        <f>CS_PID!D838/VLOOKUP($B838,표2[#ALL],2)</f>
        <v>#N/A</v>
      </c>
      <c r="E838" s="372" t="str">
        <f>CS_PID!E838/VLOOKUP($B838,표2[#ALL],2)</f>
        <v>#N/A</v>
      </c>
      <c r="F838" s="372" t="str">
        <f>CS_PID!F838/VLOOKUP($B838,표2[#ALL],2)</f>
        <v>#N/A</v>
      </c>
      <c r="G838" s="372" t="str">
        <f>CS_PID!G838/VLOOKUP($B838,표2[#ALL],2)</f>
        <v>#N/A</v>
      </c>
      <c r="H838" s="372" t="str">
        <f>CS_PID!H838/VLOOKUP($B838,표2[#ALL],2)/HLOOKUP($A838,표1[#ALL],row(),false)</f>
        <v>#N/A</v>
      </c>
      <c r="I838" s="372" t="str">
        <f>CS_PID!I838/VLOOKUP($B838,표2[#ALL],2)/HLOOKUP($A838,표1[#ALL],row(),false)</f>
        <v>#N/A</v>
      </c>
      <c r="J838" s="372" t="str">
        <f>CS_PID!J838/VLOOKUP($B838,표2[#ALL],2)/HLOOKUP($A838,표1[#ALL],row(),false)</f>
        <v>#N/A</v>
      </c>
      <c r="K838" s="372" t="str">
        <f>CS_PID!K838/VLOOKUP($B838,표2[#ALL],2)/HLOOKUP($A838,표1[#ALL],row(),false)</f>
        <v>#N/A</v>
      </c>
      <c r="L838" s="372" t="str">
        <f>CS_PID!L838/VLOOKUP($B838,표2[#ALL],2)/HLOOKUP($A838,표1[#ALL],row(),false)</f>
        <v>#N/A</v>
      </c>
      <c r="M838" s="372" t="str">
        <f>CS_PID!M838/VLOOKUP($B838,표2[#ALL],2)/HLOOKUP($A838,표1[#ALL],row(),false)</f>
        <v>#N/A</v>
      </c>
      <c r="N838" s="372" t="str">
        <f>CS_PID!N838/VLOOKUP($B838,표2[#ALL],2)/HLOOKUP($A838,표1[#ALL],row(),false)</f>
        <v>#N/A</v>
      </c>
      <c r="O838" s="372" t="str">
        <f>CS_PID!O838/VLOOKUP($B838,표2[#ALL],2)/HLOOKUP($A838,표1[#ALL],row(),false)</f>
        <v>#N/A</v>
      </c>
      <c r="P838" s="372" t="str">
        <f>CS_PID!P838/VLOOKUP($B838,표2[#ALL],2)/HLOOKUP($A838,표1[#ALL],row(),false)</f>
        <v>#N/A</v>
      </c>
      <c r="Q838" s="372" t="str">
        <f>CS_PID!Q838/VLOOKUP($B838,표2[#ALL],2)/HLOOKUP($A838,표1[#ALL],row(),false)</f>
        <v>#N/A</v>
      </c>
      <c r="R838" s="372" t="str">
        <f>CS_PID!R838/VLOOKUP($B838,표2[#ALL],2)/HLOOKUP($A838,표1[#ALL],row(),false)</f>
        <v>#N/A</v>
      </c>
      <c r="S838" s="372" t="str">
        <f>CS_PID!S838/VLOOKUP($B838,표2[#ALL],2)/HLOOKUP($A838,표1[#ALL],row(),false)</f>
        <v>#N/A</v>
      </c>
      <c r="T838" s="372" t="str">
        <f>CS_PID!T838/VLOOKUP($B838,표2[#ALL],2)/HLOOKUP($A838,표1[#ALL],row(),false)</f>
        <v>#N/A</v>
      </c>
      <c r="U838" s="372" t="str">
        <f>CS_PID!U838/VLOOKUP($B838,표2[#ALL],2)/HLOOKUP($A838,표1[#ALL],row(),false)</f>
        <v>#N/A</v>
      </c>
      <c r="V838" s="372" t="str">
        <f>CS_PID!V838/VLOOKUP($B838,표2[#ALL],2)/HLOOKUP($A838,표1[#ALL],row(),false)</f>
        <v>#N/A</v>
      </c>
      <c r="W838" s="372" t="str">
        <f>CS_PID!W838/VLOOKUP($B838,표2[#ALL],2)/HLOOKUP($A838,표1[#ALL],row(),false)</f>
        <v>#N/A</v>
      </c>
      <c r="X838" s="372" t="str">
        <f>CS_PID!X838/VLOOKUP($B838,표2[#ALL],2)/HLOOKUP($A838,표1[#ALL],row(),false)</f>
        <v>#N/A</v>
      </c>
      <c r="Y838" s="372" t="str">
        <f>CS_PID!Y838/VLOOKUP($B838,표2[#ALL],2)/HLOOKUP($A838,표1[#ALL],row(),false)</f>
        <v>#N/A</v>
      </c>
      <c r="Z838" s="372" t="str">
        <f>CS_PID!Z838/VLOOKUP($B838,표2[#ALL],2)/HLOOKUP($A838,표1[#ALL],row(),false)</f>
        <v>#N/A</v>
      </c>
      <c r="AA838" s="372" t="str">
        <f>CS_PID!AA838/VLOOKUP($B838,표2[#ALL],2)/HLOOKUP($A838,표1[#ALL],row(),false)</f>
        <v>#N/A</v>
      </c>
      <c r="AB838" s="372" t="str">
        <f>CS_PID!AB838/VLOOKUP($B838,표2[#ALL],2)/HLOOKUP($A838,표1[#ALL],row(),false)</f>
        <v>#N/A</v>
      </c>
      <c r="AC838" s="372" t="str">
        <f>CS_PID!AC838/VLOOKUP($B838,표2[#ALL],2)/HLOOKUP($A838,표1[#ALL],row(),false)</f>
        <v>#N/A</v>
      </c>
      <c r="AD838" s="372" t="str">
        <f>CS_PID!AD838/VLOOKUP($B838,표2[#ALL],2)/HLOOKUP($A838,표1[#ALL],row(),false)</f>
        <v>#N/A</v>
      </c>
      <c r="AE838" s="372" t="str">
        <f>CS_PID!AE838/VLOOKUP($B838,표2[#ALL],2)/HLOOKUP($A838,표1[#ALL],row(),false)</f>
        <v>#N/A</v>
      </c>
      <c r="AF838" s="372" t="str">
        <f>CS_PID!AF838/VLOOKUP($B838,표2[#ALL],2)/HLOOKUP($A838,표1[#ALL],row(),false)</f>
        <v>#N/A</v>
      </c>
      <c r="AG838" s="372" t="str">
        <f>CS_PID!AG838/VLOOKUP($B838,표2[#ALL],2)/HLOOKUP($A838,표1[#ALL],row(),false)</f>
        <v>#N/A</v>
      </c>
      <c r="AH838" s="372" t="str">
        <f>CS_PID!AH838/VLOOKUP($B838,표2[#ALL],2)/HLOOKUP($A838,표1[#ALL],row(),false)</f>
        <v>#N/A</v>
      </c>
      <c r="AI838" s="372" t="str">
        <f>CS_PID!AI838/VLOOKUP($B838,표2[#ALL],2)/HLOOKUP($A838,표1[#ALL],row(),false)</f>
        <v>#N/A</v>
      </c>
      <c r="AJ838" s="372" t="str">
        <f>CS_PID!AJ838/VLOOKUP($B838,표2[#ALL],2)/HLOOKUP($A838,표1[#ALL],row(),false)</f>
        <v>#N/A</v>
      </c>
      <c r="AK838" s="372" t="str">
        <f>CS_PID!AK838/VLOOKUP($B838,표2[#ALL],2)/HLOOKUP($A838,표1[#ALL],row(),false)</f>
        <v>#N/A</v>
      </c>
      <c r="AL838" s="372" t="str">
        <f>CS_PID!AL838/VLOOKUP($B838,표2[#ALL],2)/HLOOKUP($A838,표1[#ALL],row(),false)</f>
        <v>#N/A</v>
      </c>
      <c r="AM838" s="372" t="str">
        <f>CS_PID!AM838/VLOOKUP($B838,표2[#ALL],2)/HLOOKUP($A838,표1[#ALL],row(),false)</f>
        <v>#N/A</v>
      </c>
      <c r="AN838" s="372" t="str">
        <f>CS_PID!AN838/VLOOKUP($B838,표2[#ALL],2)/HLOOKUP($A838,표1[#ALL],row(),false)</f>
        <v>#N/A</v>
      </c>
      <c r="AO838" s="372" t="str">
        <f>CS_PID!AO838/VLOOKUP($B838,표2[#ALL],2)/HLOOKUP($A838,표1[#ALL],row(),false)</f>
        <v>#N/A</v>
      </c>
      <c r="AP838" s="372" t="str">
        <f>CS_PID!AP838/VLOOKUP($B838,표2[#ALL],2)/HLOOKUP($A838,표1[#ALL],row(),false)</f>
        <v>#N/A</v>
      </c>
      <c r="AQ838" s="372" t="str">
        <f>CS_PID!AQ838/VLOOKUP($B838,표2[#ALL],2)/HLOOKUP($A838,표1[#ALL],row(),false)</f>
        <v>#N/A</v>
      </c>
      <c r="AR838" s="372" t="str">
        <f>CS_PID!AR838/VLOOKUP($B838,표2[#ALL],2)/HLOOKUP($A838,표1[#ALL],row(),false)</f>
        <v>#N/A</v>
      </c>
      <c r="AS838" s="373" t="str">
        <f>CS_PID!AS838/VLOOKUP($B838,표2[#ALL],2)/HLOOKUP($A838,표1[#ALL],row(),false)</f>
        <v>#N/A</v>
      </c>
    </row>
    <row r="839">
      <c r="A839" s="374"/>
      <c r="B839" s="375"/>
      <c r="C839" s="376" t="str">
        <f>CS_PID!C839/VLOOKUP($B839,표2[#ALL],2)</f>
        <v>#N/A</v>
      </c>
      <c r="D839" s="376" t="str">
        <f>CS_PID!D839/VLOOKUP($B839,표2[#ALL],2)</f>
        <v>#N/A</v>
      </c>
      <c r="E839" s="376" t="str">
        <f>CS_PID!E839/VLOOKUP($B839,표2[#ALL],2)</f>
        <v>#N/A</v>
      </c>
      <c r="F839" s="376" t="str">
        <f>CS_PID!F839/VLOOKUP($B839,표2[#ALL],2)</f>
        <v>#N/A</v>
      </c>
      <c r="G839" s="376" t="str">
        <f>CS_PID!G839/VLOOKUP($B839,표2[#ALL],2)</f>
        <v>#N/A</v>
      </c>
      <c r="H839" s="376" t="str">
        <f>CS_PID!H839/VLOOKUP($B839,표2[#ALL],2)/HLOOKUP($A839,표1[#ALL],row(),false)</f>
        <v>#N/A</v>
      </c>
      <c r="I839" s="376" t="str">
        <f>CS_PID!I839/VLOOKUP($B839,표2[#ALL],2)/HLOOKUP($A839,표1[#ALL],row(),false)</f>
        <v>#N/A</v>
      </c>
      <c r="J839" s="376" t="str">
        <f>CS_PID!J839/VLOOKUP($B839,표2[#ALL],2)/HLOOKUP($A839,표1[#ALL],row(),false)</f>
        <v>#N/A</v>
      </c>
      <c r="K839" s="376" t="str">
        <f>CS_PID!K839/VLOOKUP($B839,표2[#ALL],2)/HLOOKUP($A839,표1[#ALL],row(),false)</f>
        <v>#N/A</v>
      </c>
      <c r="L839" s="376" t="str">
        <f>CS_PID!L839/VLOOKUP($B839,표2[#ALL],2)/HLOOKUP($A839,표1[#ALL],row(),false)</f>
        <v>#N/A</v>
      </c>
      <c r="M839" s="376" t="str">
        <f>CS_PID!M839/VLOOKUP($B839,표2[#ALL],2)/HLOOKUP($A839,표1[#ALL],row(),false)</f>
        <v>#N/A</v>
      </c>
      <c r="N839" s="376" t="str">
        <f>CS_PID!N839/VLOOKUP($B839,표2[#ALL],2)/HLOOKUP($A839,표1[#ALL],row(),false)</f>
        <v>#N/A</v>
      </c>
      <c r="O839" s="376" t="str">
        <f>CS_PID!O839/VLOOKUP($B839,표2[#ALL],2)/HLOOKUP($A839,표1[#ALL],row(),false)</f>
        <v>#N/A</v>
      </c>
      <c r="P839" s="376" t="str">
        <f>CS_PID!P839/VLOOKUP($B839,표2[#ALL],2)/HLOOKUP($A839,표1[#ALL],row(),false)</f>
        <v>#N/A</v>
      </c>
      <c r="Q839" s="376" t="str">
        <f>CS_PID!Q839/VLOOKUP($B839,표2[#ALL],2)/HLOOKUP($A839,표1[#ALL],row(),false)</f>
        <v>#N/A</v>
      </c>
      <c r="R839" s="376" t="str">
        <f>CS_PID!R839/VLOOKUP($B839,표2[#ALL],2)/HLOOKUP($A839,표1[#ALL],row(),false)</f>
        <v>#N/A</v>
      </c>
      <c r="S839" s="376" t="str">
        <f>CS_PID!S839/VLOOKUP($B839,표2[#ALL],2)/HLOOKUP($A839,표1[#ALL],row(),false)</f>
        <v>#N/A</v>
      </c>
      <c r="T839" s="376" t="str">
        <f>CS_PID!T839/VLOOKUP($B839,표2[#ALL],2)/HLOOKUP($A839,표1[#ALL],row(),false)</f>
        <v>#N/A</v>
      </c>
      <c r="U839" s="376" t="str">
        <f>CS_PID!U839/VLOOKUP($B839,표2[#ALL],2)/HLOOKUP($A839,표1[#ALL],row(),false)</f>
        <v>#N/A</v>
      </c>
      <c r="V839" s="376" t="str">
        <f>CS_PID!V839/VLOOKUP($B839,표2[#ALL],2)/HLOOKUP($A839,표1[#ALL],row(),false)</f>
        <v>#N/A</v>
      </c>
      <c r="W839" s="376" t="str">
        <f>CS_PID!W839/VLOOKUP($B839,표2[#ALL],2)/HLOOKUP($A839,표1[#ALL],row(),false)</f>
        <v>#N/A</v>
      </c>
      <c r="X839" s="376" t="str">
        <f>CS_PID!X839/VLOOKUP($B839,표2[#ALL],2)/HLOOKUP($A839,표1[#ALL],row(),false)</f>
        <v>#N/A</v>
      </c>
      <c r="Y839" s="376" t="str">
        <f>CS_PID!Y839/VLOOKUP($B839,표2[#ALL],2)/HLOOKUP($A839,표1[#ALL],row(),false)</f>
        <v>#N/A</v>
      </c>
      <c r="Z839" s="376" t="str">
        <f>CS_PID!Z839/VLOOKUP($B839,표2[#ALL],2)/HLOOKUP($A839,표1[#ALL],row(),false)</f>
        <v>#N/A</v>
      </c>
      <c r="AA839" s="376" t="str">
        <f>CS_PID!AA839/VLOOKUP($B839,표2[#ALL],2)/HLOOKUP($A839,표1[#ALL],row(),false)</f>
        <v>#N/A</v>
      </c>
      <c r="AB839" s="376" t="str">
        <f>CS_PID!AB839/VLOOKUP($B839,표2[#ALL],2)/HLOOKUP($A839,표1[#ALL],row(),false)</f>
        <v>#N/A</v>
      </c>
      <c r="AC839" s="376" t="str">
        <f>CS_PID!AC839/VLOOKUP($B839,표2[#ALL],2)/HLOOKUP($A839,표1[#ALL],row(),false)</f>
        <v>#N/A</v>
      </c>
      <c r="AD839" s="376" t="str">
        <f>CS_PID!AD839/VLOOKUP($B839,표2[#ALL],2)/HLOOKUP($A839,표1[#ALL],row(),false)</f>
        <v>#N/A</v>
      </c>
      <c r="AE839" s="376" t="str">
        <f>CS_PID!AE839/VLOOKUP($B839,표2[#ALL],2)/HLOOKUP($A839,표1[#ALL],row(),false)</f>
        <v>#N/A</v>
      </c>
      <c r="AF839" s="376" t="str">
        <f>CS_PID!AF839/VLOOKUP($B839,표2[#ALL],2)/HLOOKUP($A839,표1[#ALL],row(),false)</f>
        <v>#N/A</v>
      </c>
      <c r="AG839" s="376" t="str">
        <f>CS_PID!AG839/VLOOKUP($B839,표2[#ALL],2)/HLOOKUP($A839,표1[#ALL],row(),false)</f>
        <v>#N/A</v>
      </c>
      <c r="AH839" s="376" t="str">
        <f>CS_PID!AH839/VLOOKUP($B839,표2[#ALL],2)/HLOOKUP($A839,표1[#ALL],row(),false)</f>
        <v>#N/A</v>
      </c>
      <c r="AI839" s="376" t="str">
        <f>CS_PID!AI839/VLOOKUP($B839,표2[#ALL],2)/HLOOKUP($A839,표1[#ALL],row(),false)</f>
        <v>#N/A</v>
      </c>
      <c r="AJ839" s="376" t="str">
        <f>CS_PID!AJ839/VLOOKUP($B839,표2[#ALL],2)/HLOOKUP($A839,표1[#ALL],row(),false)</f>
        <v>#N/A</v>
      </c>
      <c r="AK839" s="376" t="str">
        <f>CS_PID!AK839/VLOOKUP($B839,표2[#ALL],2)/HLOOKUP($A839,표1[#ALL],row(),false)</f>
        <v>#N/A</v>
      </c>
      <c r="AL839" s="376" t="str">
        <f>CS_PID!AL839/VLOOKUP($B839,표2[#ALL],2)/HLOOKUP($A839,표1[#ALL],row(),false)</f>
        <v>#N/A</v>
      </c>
      <c r="AM839" s="376" t="str">
        <f>CS_PID!AM839/VLOOKUP($B839,표2[#ALL],2)/HLOOKUP($A839,표1[#ALL],row(),false)</f>
        <v>#N/A</v>
      </c>
      <c r="AN839" s="376" t="str">
        <f>CS_PID!AN839/VLOOKUP($B839,표2[#ALL],2)/HLOOKUP($A839,표1[#ALL],row(),false)</f>
        <v>#N/A</v>
      </c>
      <c r="AO839" s="376" t="str">
        <f>CS_PID!AO839/VLOOKUP($B839,표2[#ALL],2)/HLOOKUP($A839,표1[#ALL],row(),false)</f>
        <v>#N/A</v>
      </c>
      <c r="AP839" s="376" t="str">
        <f>CS_PID!AP839/VLOOKUP($B839,표2[#ALL],2)/HLOOKUP($A839,표1[#ALL],row(),false)</f>
        <v>#N/A</v>
      </c>
      <c r="AQ839" s="376" t="str">
        <f>CS_PID!AQ839/VLOOKUP($B839,표2[#ALL],2)/HLOOKUP($A839,표1[#ALL],row(),false)</f>
        <v>#N/A</v>
      </c>
      <c r="AR839" s="376" t="str">
        <f>CS_PID!AR839/VLOOKUP($B839,표2[#ALL],2)/HLOOKUP($A839,표1[#ALL],row(),false)</f>
        <v>#N/A</v>
      </c>
      <c r="AS839" s="377" t="str">
        <f>CS_PID!AS839/VLOOKUP($B839,표2[#ALL],2)/HLOOKUP($A839,표1[#ALL],row(),false)</f>
        <v>#N/A</v>
      </c>
    </row>
    <row r="840">
      <c r="A840" s="370"/>
      <c r="B840" s="371"/>
      <c r="C840" s="372" t="str">
        <f>CS_PID!C840/VLOOKUP($B840,표2[#ALL],2)</f>
        <v>#N/A</v>
      </c>
      <c r="D840" s="372" t="str">
        <f>CS_PID!D840/VLOOKUP($B840,표2[#ALL],2)</f>
        <v>#N/A</v>
      </c>
      <c r="E840" s="372" t="str">
        <f>CS_PID!E840/VLOOKUP($B840,표2[#ALL],2)</f>
        <v>#N/A</v>
      </c>
      <c r="F840" s="372" t="str">
        <f>CS_PID!F840/VLOOKUP($B840,표2[#ALL],2)</f>
        <v>#N/A</v>
      </c>
      <c r="G840" s="372" t="str">
        <f>CS_PID!G840/VLOOKUP($B840,표2[#ALL],2)</f>
        <v>#N/A</v>
      </c>
      <c r="H840" s="372" t="str">
        <f>CS_PID!H840/VLOOKUP($B840,표2[#ALL],2)/HLOOKUP($A840,표1[#ALL],row(),false)</f>
        <v>#N/A</v>
      </c>
      <c r="I840" s="372" t="str">
        <f>CS_PID!I840/VLOOKUP($B840,표2[#ALL],2)/HLOOKUP($A840,표1[#ALL],row(),false)</f>
        <v>#N/A</v>
      </c>
      <c r="J840" s="372" t="str">
        <f>CS_PID!J840/VLOOKUP($B840,표2[#ALL],2)/HLOOKUP($A840,표1[#ALL],row(),false)</f>
        <v>#N/A</v>
      </c>
      <c r="K840" s="372" t="str">
        <f>CS_PID!K840/VLOOKUP($B840,표2[#ALL],2)/HLOOKUP($A840,표1[#ALL],row(),false)</f>
        <v>#N/A</v>
      </c>
      <c r="L840" s="372" t="str">
        <f>CS_PID!L840/VLOOKUP($B840,표2[#ALL],2)/HLOOKUP($A840,표1[#ALL],row(),false)</f>
        <v>#N/A</v>
      </c>
      <c r="M840" s="372" t="str">
        <f>CS_PID!M840/VLOOKUP($B840,표2[#ALL],2)/HLOOKUP($A840,표1[#ALL],row(),false)</f>
        <v>#N/A</v>
      </c>
      <c r="N840" s="372" t="str">
        <f>CS_PID!N840/VLOOKUP($B840,표2[#ALL],2)/HLOOKUP($A840,표1[#ALL],row(),false)</f>
        <v>#N/A</v>
      </c>
      <c r="O840" s="372" t="str">
        <f>CS_PID!O840/VLOOKUP($B840,표2[#ALL],2)/HLOOKUP($A840,표1[#ALL],row(),false)</f>
        <v>#N/A</v>
      </c>
      <c r="P840" s="372" t="str">
        <f>CS_PID!P840/VLOOKUP($B840,표2[#ALL],2)/HLOOKUP($A840,표1[#ALL],row(),false)</f>
        <v>#N/A</v>
      </c>
      <c r="Q840" s="372" t="str">
        <f>CS_PID!Q840/VLOOKUP($B840,표2[#ALL],2)/HLOOKUP($A840,표1[#ALL],row(),false)</f>
        <v>#N/A</v>
      </c>
      <c r="R840" s="372" t="str">
        <f>CS_PID!R840/VLOOKUP($B840,표2[#ALL],2)/HLOOKUP($A840,표1[#ALL],row(),false)</f>
        <v>#N/A</v>
      </c>
      <c r="S840" s="372" t="str">
        <f>CS_PID!S840/VLOOKUP($B840,표2[#ALL],2)/HLOOKUP($A840,표1[#ALL],row(),false)</f>
        <v>#N/A</v>
      </c>
      <c r="T840" s="372" t="str">
        <f>CS_PID!T840/VLOOKUP($B840,표2[#ALL],2)/HLOOKUP($A840,표1[#ALL],row(),false)</f>
        <v>#N/A</v>
      </c>
      <c r="U840" s="372" t="str">
        <f>CS_PID!U840/VLOOKUP($B840,표2[#ALL],2)/HLOOKUP($A840,표1[#ALL],row(),false)</f>
        <v>#N/A</v>
      </c>
      <c r="V840" s="372" t="str">
        <f>CS_PID!V840/VLOOKUP($B840,표2[#ALL],2)/HLOOKUP($A840,표1[#ALL],row(),false)</f>
        <v>#N/A</v>
      </c>
      <c r="W840" s="372" t="str">
        <f>CS_PID!W840/VLOOKUP($B840,표2[#ALL],2)/HLOOKUP($A840,표1[#ALL],row(),false)</f>
        <v>#N/A</v>
      </c>
      <c r="X840" s="372" t="str">
        <f>CS_PID!X840/VLOOKUP($B840,표2[#ALL],2)/HLOOKUP($A840,표1[#ALL],row(),false)</f>
        <v>#N/A</v>
      </c>
      <c r="Y840" s="372" t="str">
        <f>CS_PID!Y840/VLOOKUP($B840,표2[#ALL],2)/HLOOKUP($A840,표1[#ALL],row(),false)</f>
        <v>#N/A</v>
      </c>
      <c r="Z840" s="372" t="str">
        <f>CS_PID!Z840/VLOOKUP($B840,표2[#ALL],2)/HLOOKUP($A840,표1[#ALL],row(),false)</f>
        <v>#N/A</v>
      </c>
      <c r="AA840" s="372" t="str">
        <f>CS_PID!AA840/VLOOKUP($B840,표2[#ALL],2)/HLOOKUP($A840,표1[#ALL],row(),false)</f>
        <v>#N/A</v>
      </c>
      <c r="AB840" s="372" t="str">
        <f>CS_PID!AB840/VLOOKUP($B840,표2[#ALL],2)/HLOOKUP($A840,표1[#ALL],row(),false)</f>
        <v>#N/A</v>
      </c>
      <c r="AC840" s="372" t="str">
        <f>CS_PID!AC840/VLOOKUP($B840,표2[#ALL],2)/HLOOKUP($A840,표1[#ALL],row(),false)</f>
        <v>#N/A</v>
      </c>
      <c r="AD840" s="372" t="str">
        <f>CS_PID!AD840/VLOOKUP($B840,표2[#ALL],2)/HLOOKUP($A840,표1[#ALL],row(),false)</f>
        <v>#N/A</v>
      </c>
      <c r="AE840" s="372" t="str">
        <f>CS_PID!AE840/VLOOKUP($B840,표2[#ALL],2)/HLOOKUP($A840,표1[#ALL],row(),false)</f>
        <v>#N/A</v>
      </c>
      <c r="AF840" s="372" t="str">
        <f>CS_PID!AF840/VLOOKUP($B840,표2[#ALL],2)/HLOOKUP($A840,표1[#ALL],row(),false)</f>
        <v>#N/A</v>
      </c>
      <c r="AG840" s="372" t="str">
        <f>CS_PID!AG840/VLOOKUP($B840,표2[#ALL],2)/HLOOKUP($A840,표1[#ALL],row(),false)</f>
        <v>#N/A</v>
      </c>
      <c r="AH840" s="372" t="str">
        <f>CS_PID!AH840/VLOOKUP($B840,표2[#ALL],2)/HLOOKUP($A840,표1[#ALL],row(),false)</f>
        <v>#N/A</v>
      </c>
      <c r="AI840" s="372" t="str">
        <f>CS_PID!AI840/VLOOKUP($B840,표2[#ALL],2)/HLOOKUP($A840,표1[#ALL],row(),false)</f>
        <v>#N/A</v>
      </c>
      <c r="AJ840" s="372" t="str">
        <f>CS_PID!AJ840/VLOOKUP($B840,표2[#ALL],2)/HLOOKUP($A840,표1[#ALL],row(),false)</f>
        <v>#N/A</v>
      </c>
      <c r="AK840" s="372" t="str">
        <f>CS_PID!AK840/VLOOKUP($B840,표2[#ALL],2)/HLOOKUP($A840,표1[#ALL],row(),false)</f>
        <v>#N/A</v>
      </c>
      <c r="AL840" s="372" t="str">
        <f>CS_PID!AL840/VLOOKUP($B840,표2[#ALL],2)/HLOOKUP($A840,표1[#ALL],row(),false)</f>
        <v>#N/A</v>
      </c>
      <c r="AM840" s="372" t="str">
        <f>CS_PID!AM840/VLOOKUP($B840,표2[#ALL],2)/HLOOKUP($A840,표1[#ALL],row(),false)</f>
        <v>#N/A</v>
      </c>
      <c r="AN840" s="372" t="str">
        <f>CS_PID!AN840/VLOOKUP($B840,표2[#ALL],2)/HLOOKUP($A840,표1[#ALL],row(),false)</f>
        <v>#N/A</v>
      </c>
      <c r="AO840" s="372" t="str">
        <f>CS_PID!AO840/VLOOKUP($B840,표2[#ALL],2)/HLOOKUP($A840,표1[#ALL],row(),false)</f>
        <v>#N/A</v>
      </c>
      <c r="AP840" s="372" t="str">
        <f>CS_PID!AP840/VLOOKUP($B840,표2[#ALL],2)/HLOOKUP($A840,표1[#ALL],row(),false)</f>
        <v>#N/A</v>
      </c>
      <c r="AQ840" s="372" t="str">
        <f>CS_PID!AQ840/VLOOKUP($B840,표2[#ALL],2)/HLOOKUP($A840,표1[#ALL],row(),false)</f>
        <v>#N/A</v>
      </c>
      <c r="AR840" s="372" t="str">
        <f>CS_PID!AR840/VLOOKUP($B840,표2[#ALL],2)/HLOOKUP($A840,표1[#ALL],row(),false)</f>
        <v>#N/A</v>
      </c>
      <c r="AS840" s="373" t="str">
        <f>CS_PID!AS840/VLOOKUP($B840,표2[#ALL],2)/HLOOKUP($A840,표1[#ALL],row(),false)</f>
        <v>#N/A</v>
      </c>
    </row>
    <row r="841">
      <c r="A841" s="374"/>
      <c r="B841" s="375"/>
      <c r="C841" s="376" t="str">
        <f>CS_PID!C841/VLOOKUP($B841,표2[#ALL],2)</f>
        <v>#N/A</v>
      </c>
      <c r="D841" s="376" t="str">
        <f>CS_PID!D841/VLOOKUP($B841,표2[#ALL],2)</f>
        <v>#N/A</v>
      </c>
      <c r="E841" s="376" t="str">
        <f>CS_PID!E841/VLOOKUP($B841,표2[#ALL],2)</f>
        <v>#N/A</v>
      </c>
      <c r="F841" s="376" t="str">
        <f>CS_PID!F841/VLOOKUP($B841,표2[#ALL],2)</f>
        <v>#N/A</v>
      </c>
      <c r="G841" s="376" t="str">
        <f>CS_PID!G841/VLOOKUP($B841,표2[#ALL],2)</f>
        <v>#N/A</v>
      </c>
      <c r="H841" s="376" t="str">
        <f>CS_PID!H841/VLOOKUP($B841,표2[#ALL],2)/HLOOKUP($A841,표1[#ALL],row(),false)</f>
        <v>#N/A</v>
      </c>
      <c r="I841" s="376" t="str">
        <f>CS_PID!I841/VLOOKUP($B841,표2[#ALL],2)/HLOOKUP($A841,표1[#ALL],row(),false)</f>
        <v>#N/A</v>
      </c>
      <c r="J841" s="376" t="str">
        <f>CS_PID!J841/VLOOKUP($B841,표2[#ALL],2)/HLOOKUP($A841,표1[#ALL],row(),false)</f>
        <v>#N/A</v>
      </c>
      <c r="K841" s="376" t="str">
        <f>CS_PID!K841/VLOOKUP($B841,표2[#ALL],2)/HLOOKUP($A841,표1[#ALL],row(),false)</f>
        <v>#N/A</v>
      </c>
      <c r="L841" s="376" t="str">
        <f>CS_PID!L841/VLOOKUP($B841,표2[#ALL],2)/HLOOKUP($A841,표1[#ALL],row(),false)</f>
        <v>#N/A</v>
      </c>
      <c r="M841" s="376" t="str">
        <f>CS_PID!M841/VLOOKUP($B841,표2[#ALL],2)/HLOOKUP($A841,표1[#ALL],row(),false)</f>
        <v>#N/A</v>
      </c>
      <c r="N841" s="376" t="str">
        <f>CS_PID!N841/VLOOKUP($B841,표2[#ALL],2)/HLOOKUP($A841,표1[#ALL],row(),false)</f>
        <v>#N/A</v>
      </c>
      <c r="O841" s="376" t="str">
        <f>CS_PID!O841/VLOOKUP($B841,표2[#ALL],2)/HLOOKUP($A841,표1[#ALL],row(),false)</f>
        <v>#N/A</v>
      </c>
      <c r="P841" s="376" t="str">
        <f>CS_PID!P841/VLOOKUP($B841,표2[#ALL],2)/HLOOKUP($A841,표1[#ALL],row(),false)</f>
        <v>#N/A</v>
      </c>
      <c r="Q841" s="376" t="str">
        <f>CS_PID!Q841/VLOOKUP($B841,표2[#ALL],2)/HLOOKUP($A841,표1[#ALL],row(),false)</f>
        <v>#N/A</v>
      </c>
      <c r="R841" s="376" t="str">
        <f>CS_PID!R841/VLOOKUP($B841,표2[#ALL],2)/HLOOKUP($A841,표1[#ALL],row(),false)</f>
        <v>#N/A</v>
      </c>
      <c r="S841" s="376" t="str">
        <f>CS_PID!S841/VLOOKUP($B841,표2[#ALL],2)/HLOOKUP($A841,표1[#ALL],row(),false)</f>
        <v>#N/A</v>
      </c>
      <c r="T841" s="376" t="str">
        <f>CS_PID!T841/VLOOKUP($B841,표2[#ALL],2)/HLOOKUP($A841,표1[#ALL],row(),false)</f>
        <v>#N/A</v>
      </c>
      <c r="U841" s="376" t="str">
        <f>CS_PID!U841/VLOOKUP($B841,표2[#ALL],2)/HLOOKUP($A841,표1[#ALL],row(),false)</f>
        <v>#N/A</v>
      </c>
      <c r="V841" s="376" t="str">
        <f>CS_PID!V841/VLOOKUP($B841,표2[#ALL],2)/HLOOKUP($A841,표1[#ALL],row(),false)</f>
        <v>#N/A</v>
      </c>
      <c r="W841" s="376" t="str">
        <f>CS_PID!W841/VLOOKUP($B841,표2[#ALL],2)/HLOOKUP($A841,표1[#ALL],row(),false)</f>
        <v>#N/A</v>
      </c>
      <c r="X841" s="376" t="str">
        <f>CS_PID!X841/VLOOKUP($B841,표2[#ALL],2)/HLOOKUP($A841,표1[#ALL],row(),false)</f>
        <v>#N/A</v>
      </c>
      <c r="Y841" s="376" t="str">
        <f>CS_PID!Y841/VLOOKUP($B841,표2[#ALL],2)/HLOOKUP($A841,표1[#ALL],row(),false)</f>
        <v>#N/A</v>
      </c>
      <c r="Z841" s="376" t="str">
        <f>CS_PID!Z841/VLOOKUP($B841,표2[#ALL],2)/HLOOKUP($A841,표1[#ALL],row(),false)</f>
        <v>#N/A</v>
      </c>
      <c r="AA841" s="376" t="str">
        <f>CS_PID!AA841/VLOOKUP($B841,표2[#ALL],2)/HLOOKUP($A841,표1[#ALL],row(),false)</f>
        <v>#N/A</v>
      </c>
      <c r="AB841" s="376" t="str">
        <f>CS_PID!AB841/VLOOKUP($B841,표2[#ALL],2)/HLOOKUP($A841,표1[#ALL],row(),false)</f>
        <v>#N/A</v>
      </c>
      <c r="AC841" s="376" t="str">
        <f>CS_PID!AC841/VLOOKUP($B841,표2[#ALL],2)/HLOOKUP($A841,표1[#ALL],row(),false)</f>
        <v>#N/A</v>
      </c>
      <c r="AD841" s="376" t="str">
        <f>CS_PID!AD841/VLOOKUP($B841,표2[#ALL],2)/HLOOKUP($A841,표1[#ALL],row(),false)</f>
        <v>#N/A</v>
      </c>
      <c r="AE841" s="376" t="str">
        <f>CS_PID!AE841/VLOOKUP($B841,표2[#ALL],2)/HLOOKUP($A841,표1[#ALL],row(),false)</f>
        <v>#N/A</v>
      </c>
      <c r="AF841" s="376" t="str">
        <f>CS_PID!AF841/VLOOKUP($B841,표2[#ALL],2)/HLOOKUP($A841,표1[#ALL],row(),false)</f>
        <v>#N/A</v>
      </c>
      <c r="AG841" s="376" t="str">
        <f>CS_PID!AG841/VLOOKUP($B841,표2[#ALL],2)/HLOOKUP($A841,표1[#ALL],row(),false)</f>
        <v>#N/A</v>
      </c>
      <c r="AH841" s="376" t="str">
        <f>CS_PID!AH841/VLOOKUP($B841,표2[#ALL],2)/HLOOKUP($A841,표1[#ALL],row(),false)</f>
        <v>#N/A</v>
      </c>
      <c r="AI841" s="376" t="str">
        <f>CS_PID!AI841/VLOOKUP($B841,표2[#ALL],2)/HLOOKUP($A841,표1[#ALL],row(),false)</f>
        <v>#N/A</v>
      </c>
      <c r="AJ841" s="376" t="str">
        <f>CS_PID!AJ841/VLOOKUP($B841,표2[#ALL],2)/HLOOKUP($A841,표1[#ALL],row(),false)</f>
        <v>#N/A</v>
      </c>
      <c r="AK841" s="376" t="str">
        <f>CS_PID!AK841/VLOOKUP($B841,표2[#ALL],2)/HLOOKUP($A841,표1[#ALL],row(),false)</f>
        <v>#N/A</v>
      </c>
      <c r="AL841" s="376" t="str">
        <f>CS_PID!AL841/VLOOKUP($B841,표2[#ALL],2)/HLOOKUP($A841,표1[#ALL],row(),false)</f>
        <v>#N/A</v>
      </c>
      <c r="AM841" s="376" t="str">
        <f>CS_PID!AM841/VLOOKUP($B841,표2[#ALL],2)/HLOOKUP($A841,표1[#ALL],row(),false)</f>
        <v>#N/A</v>
      </c>
      <c r="AN841" s="376" t="str">
        <f>CS_PID!AN841/VLOOKUP($B841,표2[#ALL],2)/HLOOKUP($A841,표1[#ALL],row(),false)</f>
        <v>#N/A</v>
      </c>
      <c r="AO841" s="376" t="str">
        <f>CS_PID!AO841/VLOOKUP($B841,표2[#ALL],2)/HLOOKUP($A841,표1[#ALL],row(),false)</f>
        <v>#N/A</v>
      </c>
      <c r="AP841" s="376" t="str">
        <f>CS_PID!AP841/VLOOKUP($B841,표2[#ALL],2)/HLOOKUP($A841,표1[#ALL],row(),false)</f>
        <v>#N/A</v>
      </c>
      <c r="AQ841" s="376" t="str">
        <f>CS_PID!AQ841/VLOOKUP($B841,표2[#ALL],2)/HLOOKUP($A841,표1[#ALL],row(),false)</f>
        <v>#N/A</v>
      </c>
      <c r="AR841" s="376" t="str">
        <f>CS_PID!AR841/VLOOKUP($B841,표2[#ALL],2)/HLOOKUP($A841,표1[#ALL],row(),false)</f>
        <v>#N/A</v>
      </c>
      <c r="AS841" s="377" t="str">
        <f>CS_PID!AS841/VLOOKUP($B841,표2[#ALL],2)/HLOOKUP($A841,표1[#ALL],row(),false)</f>
        <v>#N/A</v>
      </c>
    </row>
    <row r="842">
      <c r="A842" s="370"/>
      <c r="B842" s="371"/>
      <c r="C842" s="372" t="str">
        <f>CS_PID!C842/VLOOKUP($B842,표2[#ALL],2)</f>
        <v>#N/A</v>
      </c>
      <c r="D842" s="372" t="str">
        <f>CS_PID!D842/VLOOKUP($B842,표2[#ALL],2)</f>
        <v>#N/A</v>
      </c>
      <c r="E842" s="372" t="str">
        <f>CS_PID!E842/VLOOKUP($B842,표2[#ALL],2)</f>
        <v>#N/A</v>
      </c>
      <c r="F842" s="372" t="str">
        <f>CS_PID!F842/VLOOKUP($B842,표2[#ALL],2)</f>
        <v>#N/A</v>
      </c>
      <c r="G842" s="372" t="str">
        <f>CS_PID!G842/VLOOKUP($B842,표2[#ALL],2)</f>
        <v>#N/A</v>
      </c>
      <c r="H842" s="372" t="str">
        <f>CS_PID!H842/VLOOKUP($B842,표2[#ALL],2)/HLOOKUP($A842,표1[#ALL],row(),false)</f>
        <v>#N/A</v>
      </c>
      <c r="I842" s="372" t="str">
        <f>CS_PID!I842/VLOOKUP($B842,표2[#ALL],2)/HLOOKUP($A842,표1[#ALL],row(),false)</f>
        <v>#N/A</v>
      </c>
      <c r="J842" s="372" t="str">
        <f>CS_PID!J842/VLOOKUP($B842,표2[#ALL],2)/HLOOKUP($A842,표1[#ALL],row(),false)</f>
        <v>#N/A</v>
      </c>
      <c r="K842" s="372" t="str">
        <f>CS_PID!K842/VLOOKUP($B842,표2[#ALL],2)/HLOOKUP($A842,표1[#ALL],row(),false)</f>
        <v>#N/A</v>
      </c>
      <c r="L842" s="372" t="str">
        <f>CS_PID!L842/VLOOKUP($B842,표2[#ALL],2)/HLOOKUP($A842,표1[#ALL],row(),false)</f>
        <v>#N/A</v>
      </c>
      <c r="M842" s="372" t="str">
        <f>CS_PID!M842/VLOOKUP($B842,표2[#ALL],2)/HLOOKUP($A842,표1[#ALL],row(),false)</f>
        <v>#N/A</v>
      </c>
      <c r="N842" s="372" t="str">
        <f>CS_PID!N842/VLOOKUP($B842,표2[#ALL],2)/HLOOKUP($A842,표1[#ALL],row(),false)</f>
        <v>#N/A</v>
      </c>
      <c r="O842" s="372" t="str">
        <f>CS_PID!O842/VLOOKUP($B842,표2[#ALL],2)/HLOOKUP($A842,표1[#ALL],row(),false)</f>
        <v>#N/A</v>
      </c>
      <c r="P842" s="372" t="str">
        <f>CS_PID!P842/VLOOKUP($B842,표2[#ALL],2)/HLOOKUP($A842,표1[#ALL],row(),false)</f>
        <v>#N/A</v>
      </c>
      <c r="Q842" s="372" t="str">
        <f>CS_PID!Q842/VLOOKUP($B842,표2[#ALL],2)/HLOOKUP($A842,표1[#ALL],row(),false)</f>
        <v>#N/A</v>
      </c>
      <c r="R842" s="372" t="str">
        <f>CS_PID!R842/VLOOKUP($B842,표2[#ALL],2)/HLOOKUP($A842,표1[#ALL],row(),false)</f>
        <v>#N/A</v>
      </c>
      <c r="S842" s="372" t="str">
        <f>CS_PID!S842/VLOOKUP($B842,표2[#ALL],2)/HLOOKUP($A842,표1[#ALL],row(),false)</f>
        <v>#N/A</v>
      </c>
      <c r="T842" s="372" t="str">
        <f>CS_PID!T842/VLOOKUP($B842,표2[#ALL],2)/HLOOKUP($A842,표1[#ALL],row(),false)</f>
        <v>#N/A</v>
      </c>
      <c r="U842" s="372" t="str">
        <f>CS_PID!U842/VLOOKUP($B842,표2[#ALL],2)/HLOOKUP($A842,표1[#ALL],row(),false)</f>
        <v>#N/A</v>
      </c>
      <c r="V842" s="372" t="str">
        <f>CS_PID!V842/VLOOKUP($B842,표2[#ALL],2)/HLOOKUP($A842,표1[#ALL],row(),false)</f>
        <v>#N/A</v>
      </c>
      <c r="W842" s="372" t="str">
        <f>CS_PID!W842/VLOOKUP($B842,표2[#ALL],2)/HLOOKUP($A842,표1[#ALL],row(),false)</f>
        <v>#N/A</v>
      </c>
      <c r="X842" s="372" t="str">
        <f>CS_PID!X842/VLOOKUP($B842,표2[#ALL],2)/HLOOKUP($A842,표1[#ALL],row(),false)</f>
        <v>#N/A</v>
      </c>
      <c r="Y842" s="372" t="str">
        <f>CS_PID!Y842/VLOOKUP($B842,표2[#ALL],2)/HLOOKUP($A842,표1[#ALL],row(),false)</f>
        <v>#N/A</v>
      </c>
      <c r="Z842" s="372" t="str">
        <f>CS_PID!Z842/VLOOKUP($B842,표2[#ALL],2)/HLOOKUP($A842,표1[#ALL],row(),false)</f>
        <v>#N/A</v>
      </c>
      <c r="AA842" s="372" t="str">
        <f>CS_PID!AA842/VLOOKUP($B842,표2[#ALL],2)/HLOOKUP($A842,표1[#ALL],row(),false)</f>
        <v>#N/A</v>
      </c>
      <c r="AB842" s="372" t="str">
        <f>CS_PID!AB842/VLOOKUP($B842,표2[#ALL],2)/HLOOKUP($A842,표1[#ALL],row(),false)</f>
        <v>#N/A</v>
      </c>
      <c r="AC842" s="372" t="str">
        <f>CS_PID!AC842/VLOOKUP($B842,표2[#ALL],2)/HLOOKUP($A842,표1[#ALL],row(),false)</f>
        <v>#N/A</v>
      </c>
      <c r="AD842" s="372" t="str">
        <f>CS_PID!AD842/VLOOKUP($B842,표2[#ALL],2)/HLOOKUP($A842,표1[#ALL],row(),false)</f>
        <v>#N/A</v>
      </c>
      <c r="AE842" s="372" t="str">
        <f>CS_PID!AE842/VLOOKUP($B842,표2[#ALL],2)/HLOOKUP($A842,표1[#ALL],row(),false)</f>
        <v>#N/A</v>
      </c>
      <c r="AF842" s="372" t="str">
        <f>CS_PID!AF842/VLOOKUP($B842,표2[#ALL],2)/HLOOKUP($A842,표1[#ALL],row(),false)</f>
        <v>#N/A</v>
      </c>
      <c r="AG842" s="372" t="str">
        <f>CS_PID!AG842/VLOOKUP($B842,표2[#ALL],2)/HLOOKUP($A842,표1[#ALL],row(),false)</f>
        <v>#N/A</v>
      </c>
      <c r="AH842" s="372" t="str">
        <f>CS_PID!AH842/VLOOKUP($B842,표2[#ALL],2)/HLOOKUP($A842,표1[#ALL],row(),false)</f>
        <v>#N/A</v>
      </c>
      <c r="AI842" s="372" t="str">
        <f>CS_PID!AI842/VLOOKUP($B842,표2[#ALL],2)/HLOOKUP($A842,표1[#ALL],row(),false)</f>
        <v>#N/A</v>
      </c>
      <c r="AJ842" s="372" t="str">
        <f>CS_PID!AJ842/VLOOKUP($B842,표2[#ALL],2)/HLOOKUP($A842,표1[#ALL],row(),false)</f>
        <v>#N/A</v>
      </c>
      <c r="AK842" s="372" t="str">
        <f>CS_PID!AK842/VLOOKUP($B842,표2[#ALL],2)/HLOOKUP($A842,표1[#ALL],row(),false)</f>
        <v>#N/A</v>
      </c>
      <c r="AL842" s="372" t="str">
        <f>CS_PID!AL842/VLOOKUP($B842,표2[#ALL],2)/HLOOKUP($A842,표1[#ALL],row(),false)</f>
        <v>#N/A</v>
      </c>
      <c r="AM842" s="372" t="str">
        <f>CS_PID!AM842/VLOOKUP($B842,표2[#ALL],2)/HLOOKUP($A842,표1[#ALL],row(),false)</f>
        <v>#N/A</v>
      </c>
      <c r="AN842" s="372" t="str">
        <f>CS_PID!AN842/VLOOKUP($B842,표2[#ALL],2)/HLOOKUP($A842,표1[#ALL],row(),false)</f>
        <v>#N/A</v>
      </c>
      <c r="AO842" s="372" t="str">
        <f>CS_PID!AO842/VLOOKUP($B842,표2[#ALL],2)/HLOOKUP($A842,표1[#ALL],row(),false)</f>
        <v>#N/A</v>
      </c>
      <c r="AP842" s="372" t="str">
        <f>CS_PID!AP842/VLOOKUP($B842,표2[#ALL],2)/HLOOKUP($A842,표1[#ALL],row(),false)</f>
        <v>#N/A</v>
      </c>
      <c r="AQ842" s="372" t="str">
        <f>CS_PID!AQ842/VLOOKUP($B842,표2[#ALL],2)/HLOOKUP($A842,표1[#ALL],row(),false)</f>
        <v>#N/A</v>
      </c>
      <c r="AR842" s="372" t="str">
        <f>CS_PID!AR842/VLOOKUP($B842,표2[#ALL],2)/HLOOKUP($A842,표1[#ALL],row(),false)</f>
        <v>#N/A</v>
      </c>
      <c r="AS842" s="373" t="str">
        <f>CS_PID!AS842/VLOOKUP($B842,표2[#ALL],2)/HLOOKUP($A842,표1[#ALL],row(),false)</f>
        <v>#N/A</v>
      </c>
    </row>
    <row r="843">
      <c r="A843" s="374"/>
      <c r="B843" s="375"/>
      <c r="C843" s="376" t="str">
        <f>CS_PID!C843/VLOOKUP($B843,표2[#ALL],2)</f>
        <v>#N/A</v>
      </c>
      <c r="D843" s="376" t="str">
        <f>CS_PID!D843/VLOOKUP($B843,표2[#ALL],2)</f>
        <v>#N/A</v>
      </c>
      <c r="E843" s="376" t="str">
        <f>CS_PID!E843/VLOOKUP($B843,표2[#ALL],2)</f>
        <v>#N/A</v>
      </c>
      <c r="F843" s="376" t="str">
        <f>CS_PID!F843/VLOOKUP($B843,표2[#ALL],2)</f>
        <v>#N/A</v>
      </c>
      <c r="G843" s="376" t="str">
        <f>CS_PID!G843/VLOOKUP($B843,표2[#ALL],2)</f>
        <v>#N/A</v>
      </c>
      <c r="H843" s="376" t="str">
        <f>CS_PID!H843/VLOOKUP($B843,표2[#ALL],2)/HLOOKUP($A843,표1[#ALL],row(),false)</f>
        <v>#N/A</v>
      </c>
      <c r="I843" s="376" t="str">
        <f>CS_PID!I843/VLOOKUP($B843,표2[#ALL],2)/HLOOKUP($A843,표1[#ALL],row(),false)</f>
        <v>#N/A</v>
      </c>
      <c r="J843" s="376" t="str">
        <f>CS_PID!J843/VLOOKUP($B843,표2[#ALL],2)/HLOOKUP($A843,표1[#ALL],row(),false)</f>
        <v>#N/A</v>
      </c>
      <c r="K843" s="376" t="str">
        <f>CS_PID!K843/VLOOKUP($B843,표2[#ALL],2)/HLOOKUP($A843,표1[#ALL],row(),false)</f>
        <v>#N/A</v>
      </c>
      <c r="L843" s="376" t="str">
        <f>CS_PID!L843/VLOOKUP($B843,표2[#ALL],2)/HLOOKUP($A843,표1[#ALL],row(),false)</f>
        <v>#N/A</v>
      </c>
      <c r="M843" s="376" t="str">
        <f>CS_PID!M843/VLOOKUP($B843,표2[#ALL],2)/HLOOKUP($A843,표1[#ALL],row(),false)</f>
        <v>#N/A</v>
      </c>
      <c r="N843" s="376" t="str">
        <f>CS_PID!N843/VLOOKUP($B843,표2[#ALL],2)/HLOOKUP($A843,표1[#ALL],row(),false)</f>
        <v>#N/A</v>
      </c>
      <c r="O843" s="376" t="str">
        <f>CS_PID!O843/VLOOKUP($B843,표2[#ALL],2)/HLOOKUP($A843,표1[#ALL],row(),false)</f>
        <v>#N/A</v>
      </c>
      <c r="P843" s="376" t="str">
        <f>CS_PID!P843/VLOOKUP($B843,표2[#ALL],2)/HLOOKUP($A843,표1[#ALL],row(),false)</f>
        <v>#N/A</v>
      </c>
      <c r="Q843" s="376" t="str">
        <f>CS_PID!Q843/VLOOKUP($B843,표2[#ALL],2)/HLOOKUP($A843,표1[#ALL],row(),false)</f>
        <v>#N/A</v>
      </c>
      <c r="R843" s="376" t="str">
        <f>CS_PID!R843/VLOOKUP($B843,표2[#ALL],2)/HLOOKUP($A843,표1[#ALL],row(),false)</f>
        <v>#N/A</v>
      </c>
      <c r="S843" s="376" t="str">
        <f>CS_PID!S843/VLOOKUP($B843,표2[#ALL],2)/HLOOKUP($A843,표1[#ALL],row(),false)</f>
        <v>#N/A</v>
      </c>
      <c r="T843" s="376" t="str">
        <f>CS_PID!T843/VLOOKUP($B843,표2[#ALL],2)/HLOOKUP($A843,표1[#ALL],row(),false)</f>
        <v>#N/A</v>
      </c>
      <c r="U843" s="376" t="str">
        <f>CS_PID!U843/VLOOKUP($B843,표2[#ALL],2)/HLOOKUP($A843,표1[#ALL],row(),false)</f>
        <v>#N/A</v>
      </c>
      <c r="V843" s="376" t="str">
        <f>CS_PID!V843/VLOOKUP($B843,표2[#ALL],2)/HLOOKUP($A843,표1[#ALL],row(),false)</f>
        <v>#N/A</v>
      </c>
      <c r="W843" s="376" t="str">
        <f>CS_PID!W843/VLOOKUP($B843,표2[#ALL],2)/HLOOKUP($A843,표1[#ALL],row(),false)</f>
        <v>#N/A</v>
      </c>
      <c r="X843" s="376" t="str">
        <f>CS_PID!X843/VLOOKUP($B843,표2[#ALL],2)/HLOOKUP($A843,표1[#ALL],row(),false)</f>
        <v>#N/A</v>
      </c>
      <c r="Y843" s="376" t="str">
        <f>CS_PID!Y843/VLOOKUP($B843,표2[#ALL],2)/HLOOKUP($A843,표1[#ALL],row(),false)</f>
        <v>#N/A</v>
      </c>
      <c r="Z843" s="376" t="str">
        <f>CS_PID!Z843/VLOOKUP($B843,표2[#ALL],2)/HLOOKUP($A843,표1[#ALL],row(),false)</f>
        <v>#N/A</v>
      </c>
      <c r="AA843" s="376" t="str">
        <f>CS_PID!AA843/VLOOKUP($B843,표2[#ALL],2)/HLOOKUP($A843,표1[#ALL],row(),false)</f>
        <v>#N/A</v>
      </c>
      <c r="AB843" s="376" t="str">
        <f>CS_PID!AB843/VLOOKUP($B843,표2[#ALL],2)/HLOOKUP($A843,표1[#ALL],row(),false)</f>
        <v>#N/A</v>
      </c>
      <c r="AC843" s="376" t="str">
        <f>CS_PID!AC843/VLOOKUP($B843,표2[#ALL],2)/HLOOKUP($A843,표1[#ALL],row(),false)</f>
        <v>#N/A</v>
      </c>
      <c r="AD843" s="376" t="str">
        <f>CS_PID!AD843/VLOOKUP($B843,표2[#ALL],2)/HLOOKUP($A843,표1[#ALL],row(),false)</f>
        <v>#N/A</v>
      </c>
      <c r="AE843" s="376" t="str">
        <f>CS_PID!AE843/VLOOKUP($B843,표2[#ALL],2)/HLOOKUP($A843,표1[#ALL],row(),false)</f>
        <v>#N/A</v>
      </c>
      <c r="AF843" s="376" t="str">
        <f>CS_PID!AF843/VLOOKUP($B843,표2[#ALL],2)/HLOOKUP($A843,표1[#ALL],row(),false)</f>
        <v>#N/A</v>
      </c>
      <c r="AG843" s="376" t="str">
        <f>CS_PID!AG843/VLOOKUP($B843,표2[#ALL],2)/HLOOKUP($A843,표1[#ALL],row(),false)</f>
        <v>#N/A</v>
      </c>
      <c r="AH843" s="376" t="str">
        <f>CS_PID!AH843/VLOOKUP($B843,표2[#ALL],2)/HLOOKUP($A843,표1[#ALL],row(),false)</f>
        <v>#N/A</v>
      </c>
      <c r="AI843" s="376" t="str">
        <f>CS_PID!AI843/VLOOKUP($B843,표2[#ALL],2)/HLOOKUP($A843,표1[#ALL],row(),false)</f>
        <v>#N/A</v>
      </c>
      <c r="AJ843" s="376" t="str">
        <f>CS_PID!AJ843/VLOOKUP($B843,표2[#ALL],2)/HLOOKUP($A843,표1[#ALL],row(),false)</f>
        <v>#N/A</v>
      </c>
      <c r="AK843" s="376" t="str">
        <f>CS_PID!AK843/VLOOKUP($B843,표2[#ALL],2)/HLOOKUP($A843,표1[#ALL],row(),false)</f>
        <v>#N/A</v>
      </c>
      <c r="AL843" s="376" t="str">
        <f>CS_PID!AL843/VLOOKUP($B843,표2[#ALL],2)/HLOOKUP($A843,표1[#ALL],row(),false)</f>
        <v>#N/A</v>
      </c>
      <c r="AM843" s="376" t="str">
        <f>CS_PID!AM843/VLOOKUP($B843,표2[#ALL],2)/HLOOKUP($A843,표1[#ALL],row(),false)</f>
        <v>#N/A</v>
      </c>
      <c r="AN843" s="376" t="str">
        <f>CS_PID!AN843/VLOOKUP($B843,표2[#ALL],2)/HLOOKUP($A843,표1[#ALL],row(),false)</f>
        <v>#N/A</v>
      </c>
      <c r="AO843" s="376" t="str">
        <f>CS_PID!AO843/VLOOKUP($B843,표2[#ALL],2)/HLOOKUP($A843,표1[#ALL],row(),false)</f>
        <v>#N/A</v>
      </c>
      <c r="AP843" s="376" t="str">
        <f>CS_PID!AP843/VLOOKUP($B843,표2[#ALL],2)/HLOOKUP($A843,표1[#ALL],row(),false)</f>
        <v>#N/A</v>
      </c>
      <c r="AQ843" s="376" t="str">
        <f>CS_PID!AQ843/VLOOKUP($B843,표2[#ALL],2)/HLOOKUP($A843,표1[#ALL],row(),false)</f>
        <v>#N/A</v>
      </c>
      <c r="AR843" s="376" t="str">
        <f>CS_PID!AR843/VLOOKUP($B843,표2[#ALL],2)/HLOOKUP($A843,표1[#ALL],row(),false)</f>
        <v>#N/A</v>
      </c>
      <c r="AS843" s="377" t="str">
        <f>CS_PID!AS843/VLOOKUP($B843,표2[#ALL],2)/HLOOKUP($A843,표1[#ALL],row(),false)</f>
        <v>#N/A</v>
      </c>
    </row>
    <row r="844">
      <c r="A844" s="370"/>
      <c r="B844" s="371"/>
      <c r="C844" s="372" t="str">
        <f>CS_PID!C844/VLOOKUP($B844,표2[#ALL],2)</f>
        <v>#N/A</v>
      </c>
      <c r="D844" s="372" t="str">
        <f>CS_PID!D844/VLOOKUP($B844,표2[#ALL],2)</f>
        <v>#N/A</v>
      </c>
      <c r="E844" s="372" t="str">
        <f>CS_PID!E844/VLOOKUP($B844,표2[#ALL],2)</f>
        <v>#N/A</v>
      </c>
      <c r="F844" s="372" t="str">
        <f>CS_PID!F844/VLOOKUP($B844,표2[#ALL],2)</f>
        <v>#N/A</v>
      </c>
      <c r="G844" s="372" t="str">
        <f>CS_PID!G844/VLOOKUP($B844,표2[#ALL],2)</f>
        <v>#N/A</v>
      </c>
      <c r="H844" s="372" t="str">
        <f>CS_PID!H844/VLOOKUP($B844,표2[#ALL],2)/HLOOKUP($A844,표1[#ALL],row(),false)</f>
        <v>#N/A</v>
      </c>
      <c r="I844" s="372" t="str">
        <f>CS_PID!I844/VLOOKUP($B844,표2[#ALL],2)/HLOOKUP($A844,표1[#ALL],row(),false)</f>
        <v>#N/A</v>
      </c>
      <c r="J844" s="372" t="str">
        <f>CS_PID!J844/VLOOKUP($B844,표2[#ALL],2)/HLOOKUP($A844,표1[#ALL],row(),false)</f>
        <v>#N/A</v>
      </c>
      <c r="K844" s="372" t="str">
        <f>CS_PID!K844/VLOOKUP($B844,표2[#ALL],2)/HLOOKUP($A844,표1[#ALL],row(),false)</f>
        <v>#N/A</v>
      </c>
      <c r="L844" s="372" t="str">
        <f>CS_PID!L844/VLOOKUP($B844,표2[#ALL],2)/HLOOKUP($A844,표1[#ALL],row(),false)</f>
        <v>#N/A</v>
      </c>
      <c r="M844" s="372" t="str">
        <f>CS_PID!M844/VLOOKUP($B844,표2[#ALL],2)/HLOOKUP($A844,표1[#ALL],row(),false)</f>
        <v>#N/A</v>
      </c>
      <c r="N844" s="372" t="str">
        <f>CS_PID!N844/VLOOKUP($B844,표2[#ALL],2)/HLOOKUP($A844,표1[#ALL],row(),false)</f>
        <v>#N/A</v>
      </c>
      <c r="O844" s="372" t="str">
        <f>CS_PID!O844/VLOOKUP($B844,표2[#ALL],2)/HLOOKUP($A844,표1[#ALL],row(),false)</f>
        <v>#N/A</v>
      </c>
      <c r="P844" s="372" t="str">
        <f>CS_PID!P844/VLOOKUP($B844,표2[#ALL],2)/HLOOKUP($A844,표1[#ALL],row(),false)</f>
        <v>#N/A</v>
      </c>
      <c r="Q844" s="372" t="str">
        <f>CS_PID!Q844/VLOOKUP($B844,표2[#ALL],2)/HLOOKUP($A844,표1[#ALL],row(),false)</f>
        <v>#N/A</v>
      </c>
      <c r="R844" s="372" t="str">
        <f>CS_PID!R844/VLOOKUP($B844,표2[#ALL],2)/HLOOKUP($A844,표1[#ALL],row(),false)</f>
        <v>#N/A</v>
      </c>
      <c r="S844" s="372" t="str">
        <f>CS_PID!S844/VLOOKUP($B844,표2[#ALL],2)/HLOOKUP($A844,표1[#ALL],row(),false)</f>
        <v>#N/A</v>
      </c>
      <c r="T844" s="372" t="str">
        <f>CS_PID!T844/VLOOKUP($B844,표2[#ALL],2)/HLOOKUP($A844,표1[#ALL],row(),false)</f>
        <v>#N/A</v>
      </c>
      <c r="U844" s="372" t="str">
        <f>CS_PID!U844/VLOOKUP($B844,표2[#ALL],2)/HLOOKUP($A844,표1[#ALL],row(),false)</f>
        <v>#N/A</v>
      </c>
      <c r="V844" s="372" t="str">
        <f>CS_PID!V844/VLOOKUP($B844,표2[#ALL],2)/HLOOKUP($A844,표1[#ALL],row(),false)</f>
        <v>#N/A</v>
      </c>
      <c r="W844" s="372" t="str">
        <f>CS_PID!W844/VLOOKUP($B844,표2[#ALL],2)/HLOOKUP($A844,표1[#ALL],row(),false)</f>
        <v>#N/A</v>
      </c>
      <c r="X844" s="372" t="str">
        <f>CS_PID!X844/VLOOKUP($B844,표2[#ALL],2)/HLOOKUP($A844,표1[#ALL],row(),false)</f>
        <v>#N/A</v>
      </c>
      <c r="Y844" s="372" t="str">
        <f>CS_PID!Y844/VLOOKUP($B844,표2[#ALL],2)/HLOOKUP($A844,표1[#ALL],row(),false)</f>
        <v>#N/A</v>
      </c>
      <c r="Z844" s="372" t="str">
        <f>CS_PID!Z844/VLOOKUP($B844,표2[#ALL],2)/HLOOKUP($A844,표1[#ALL],row(),false)</f>
        <v>#N/A</v>
      </c>
      <c r="AA844" s="372" t="str">
        <f>CS_PID!AA844/VLOOKUP($B844,표2[#ALL],2)/HLOOKUP($A844,표1[#ALL],row(),false)</f>
        <v>#N/A</v>
      </c>
      <c r="AB844" s="372" t="str">
        <f>CS_PID!AB844/VLOOKUP($B844,표2[#ALL],2)/HLOOKUP($A844,표1[#ALL],row(),false)</f>
        <v>#N/A</v>
      </c>
      <c r="AC844" s="372" t="str">
        <f>CS_PID!AC844/VLOOKUP($B844,표2[#ALL],2)/HLOOKUP($A844,표1[#ALL],row(),false)</f>
        <v>#N/A</v>
      </c>
      <c r="AD844" s="372" t="str">
        <f>CS_PID!AD844/VLOOKUP($B844,표2[#ALL],2)/HLOOKUP($A844,표1[#ALL],row(),false)</f>
        <v>#N/A</v>
      </c>
      <c r="AE844" s="372" t="str">
        <f>CS_PID!AE844/VLOOKUP($B844,표2[#ALL],2)/HLOOKUP($A844,표1[#ALL],row(),false)</f>
        <v>#N/A</v>
      </c>
      <c r="AF844" s="372" t="str">
        <f>CS_PID!AF844/VLOOKUP($B844,표2[#ALL],2)/HLOOKUP($A844,표1[#ALL],row(),false)</f>
        <v>#N/A</v>
      </c>
      <c r="AG844" s="372" t="str">
        <f>CS_PID!AG844/VLOOKUP($B844,표2[#ALL],2)/HLOOKUP($A844,표1[#ALL],row(),false)</f>
        <v>#N/A</v>
      </c>
      <c r="AH844" s="372" t="str">
        <f>CS_PID!AH844/VLOOKUP($B844,표2[#ALL],2)/HLOOKUP($A844,표1[#ALL],row(),false)</f>
        <v>#N/A</v>
      </c>
      <c r="AI844" s="372" t="str">
        <f>CS_PID!AI844/VLOOKUP($B844,표2[#ALL],2)/HLOOKUP($A844,표1[#ALL],row(),false)</f>
        <v>#N/A</v>
      </c>
      <c r="AJ844" s="372" t="str">
        <f>CS_PID!AJ844/VLOOKUP($B844,표2[#ALL],2)/HLOOKUP($A844,표1[#ALL],row(),false)</f>
        <v>#N/A</v>
      </c>
      <c r="AK844" s="372" t="str">
        <f>CS_PID!AK844/VLOOKUP($B844,표2[#ALL],2)/HLOOKUP($A844,표1[#ALL],row(),false)</f>
        <v>#N/A</v>
      </c>
      <c r="AL844" s="372" t="str">
        <f>CS_PID!AL844/VLOOKUP($B844,표2[#ALL],2)/HLOOKUP($A844,표1[#ALL],row(),false)</f>
        <v>#N/A</v>
      </c>
      <c r="AM844" s="372" t="str">
        <f>CS_PID!AM844/VLOOKUP($B844,표2[#ALL],2)/HLOOKUP($A844,표1[#ALL],row(),false)</f>
        <v>#N/A</v>
      </c>
      <c r="AN844" s="372" t="str">
        <f>CS_PID!AN844/VLOOKUP($B844,표2[#ALL],2)/HLOOKUP($A844,표1[#ALL],row(),false)</f>
        <v>#N/A</v>
      </c>
      <c r="AO844" s="372" t="str">
        <f>CS_PID!AO844/VLOOKUP($B844,표2[#ALL],2)/HLOOKUP($A844,표1[#ALL],row(),false)</f>
        <v>#N/A</v>
      </c>
      <c r="AP844" s="372" t="str">
        <f>CS_PID!AP844/VLOOKUP($B844,표2[#ALL],2)/HLOOKUP($A844,표1[#ALL],row(),false)</f>
        <v>#N/A</v>
      </c>
      <c r="AQ844" s="372" t="str">
        <f>CS_PID!AQ844/VLOOKUP($B844,표2[#ALL],2)/HLOOKUP($A844,표1[#ALL],row(),false)</f>
        <v>#N/A</v>
      </c>
      <c r="AR844" s="372" t="str">
        <f>CS_PID!AR844/VLOOKUP($B844,표2[#ALL],2)/HLOOKUP($A844,표1[#ALL],row(),false)</f>
        <v>#N/A</v>
      </c>
      <c r="AS844" s="373" t="str">
        <f>CS_PID!AS844/VLOOKUP($B844,표2[#ALL],2)/HLOOKUP($A844,표1[#ALL],row(),false)</f>
        <v>#N/A</v>
      </c>
    </row>
    <row r="845">
      <c r="A845" s="374"/>
      <c r="B845" s="375"/>
      <c r="C845" s="376" t="str">
        <f>CS_PID!C845/VLOOKUP($B845,표2[#ALL],2)</f>
        <v>#N/A</v>
      </c>
      <c r="D845" s="376" t="str">
        <f>CS_PID!D845/VLOOKUP($B845,표2[#ALL],2)</f>
        <v>#N/A</v>
      </c>
      <c r="E845" s="376" t="str">
        <f>CS_PID!E845/VLOOKUP($B845,표2[#ALL],2)</f>
        <v>#N/A</v>
      </c>
      <c r="F845" s="376" t="str">
        <f>CS_PID!F845/VLOOKUP($B845,표2[#ALL],2)</f>
        <v>#N/A</v>
      </c>
      <c r="G845" s="376" t="str">
        <f>CS_PID!G845/VLOOKUP($B845,표2[#ALL],2)</f>
        <v>#N/A</v>
      </c>
      <c r="H845" s="376" t="str">
        <f>CS_PID!H845/VLOOKUP($B845,표2[#ALL],2)/HLOOKUP($A845,표1[#ALL],row(),false)</f>
        <v>#N/A</v>
      </c>
      <c r="I845" s="376" t="str">
        <f>CS_PID!I845/VLOOKUP($B845,표2[#ALL],2)/HLOOKUP($A845,표1[#ALL],row(),false)</f>
        <v>#N/A</v>
      </c>
      <c r="J845" s="376" t="str">
        <f>CS_PID!J845/VLOOKUP($B845,표2[#ALL],2)/HLOOKUP($A845,표1[#ALL],row(),false)</f>
        <v>#N/A</v>
      </c>
      <c r="K845" s="376" t="str">
        <f>CS_PID!K845/VLOOKUP($B845,표2[#ALL],2)/HLOOKUP($A845,표1[#ALL],row(),false)</f>
        <v>#N/A</v>
      </c>
      <c r="L845" s="376" t="str">
        <f>CS_PID!L845/VLOOKUP($B845,표2[#ALL],2)/HLOOKUP($A845,표1[#ALL],row(),false)</f>
        <v>#N/A</v>
      </c>
      <c r="M845" s="376" t="str">
        <f>CS_PID!M845/VLOOKUP($B845,표2[#ALL],2)/HLOOKUP($A845,표1[#ALL],row(),false)</f>
        <v>#N/A</v>
      </c>
      <c r="N845" s="376" t="str">
        <f>CS_PID!N845/VLOOKUP($B845,표2[#ALL],2)/HLOOKUP($A845,표1[#ALL],row(),false)</f>
        <v>#N/A</v>
      </c>
      <c r="O845" s="376" t="str">
        <f>CS_PID!O845/VLOOKUP($B845,표2[#ALL],2)/HLOOKUP($A845,표1[#ALL],row(),false)</f>
        <v>#N/A</v>
      </c>
      <c r="P845" s="376" t="str">
        <f>CS_PID!P845/VLOOKUP($B845,표2[#ALL],2)/HLOOKUP($A845,표1[#ALL],row(),false)</f>
        <v>#N/A</v>
      </c>
      <c r="Q845" s="376" t="str">
        <f>CS_PID!Q845/VLOOKUP($B845,표2[#ALL],2)/HLOOKUP($A845,표1[#ALL],row(),false)</f>
        <v>#N/A</v>
      </c>
      <c r="R845" s="376" t="str">
        <f>CS_PID!R845/VLOOKUP($B845,표2[#ALL],2)/HLOOKUP($A845,표1[#ALL],row(),false)</f>
        <v>#N/A</v>
      </c>
      <c r="S845" s="376" t="str">
        <f>CS_PID!S845/VLOOKUP($B845,표2[#ALL],2)/HLOOKUP($A845,표1[#ALL],row(),false)</f>
        <v>#N/A</v>
      </c>
      <c r="T845" s="376" t="str">
        <f>CS_PID!T845/VLOOKUP($B845,표2[#ALL],2)/HLOOKUP($A845,표1[#ALL],row(),false)</f>
        <v>#N/A</v>
      </c>
      <c r="U845" s="376" t="str">
        <f>CS_PID!U845/VLOOKUP($B845,표2[#ALL],2)/HLOOKUP($A845,표1[#ALL],row(),false)</f>
        <v>#N/A</v>
      </c>
      <c r="V845" s="376" t="str">
        <f>CS_PID!V845/VLOOKUP($B845,표2[#ALL],2)/HLOOKUP($A845,표1[#ALL],row(),false)</f>
        <v>#N/A</v>
      </c>
      <c r="W845" s="376" t="str">
        <f>CS_PID!W845/VLOOKUP($B845,표2[#ALL],2)/HLOOKUP($A845,표1[#ALL],row(),false)</f>
        <v>#N/A</v>
      </c>
      <c r="X845" s="376" t="str">
        <f>CS_PID!X845/VLOOKUP($B845,표2[#ALL],2)/HLOOKUP($A845,표1[#ALL],row(),false)</f>
        <v>#N/A</v>
      </c>
      <c r="Y845" s="376" t="str">
        <f>CS_PID!Y845/VLOOKUP($B845,표2[#ALL],2)/HLOOKUP($A845,표1[#ALL],row(),false)</f>
        <v>#N/A</v>
      </c>
      <c r="Z845" s="376" t="str">
        <f>CS_PID!Z845/VLOOKUP($B845,표2[#ALL],2)/HLOOKUP($A845,표1[#ALL],row(),false)</f>
        <v>#N/A</v>
      </c>
      <c r="AA845" s="376" t="str">
        <f>CS_PID!AA845/VLOOKUP($B845,표2[#ALL],2)/HLOOKUP($A845,표1[#ALL],row(),false)</f>
        <v>#N/A</v>
      </c>
      <c r="AB845" s="376" t="str">
        <f>CS_PID!AB845/VLOOKUP($B845,표2[#ALL],2)/HLOOKUP($A845,표1[#ALL],row(),false)</f>
        <v>#N/A</v>
      </c>
      <c r="AC845" s="376" t="str">
        <f>CS_PID!AC845/VLOOKUP($B845,표2[#ALL],2)/HLOOKUP($A845,표1[#ALL],row(),false)</f>
        <v>#N/A</v>
      </c>
      <c r="AD845" s="376" t="str">
        <f>CS_PID!AD845/VLOOKUP($B845,표2[#ALL],2)/HLOOKUP($A845,표1[#ALL],row(),false)</f>
        <v>#N/A</v>
      </c>
      <c r="AE845" s="376" t="str">
        <f>CS_PID!AE845/VLOOKUP($B845,표2[#ALL],2)/HLOOKUP($A845,표1[#ALL],row(),false)</f>
        <v>#N/A</v>
      </c>
      <c r="AF845" s="376" t="str">
        <f>CS_PID!AF845/VLOOKUP($B845,표2[#ALL],2)/HLOOKUP($A845,표1[#ALL],row(),false)</f>
        <v>#N/A</v>
      </c>
      <c r="AG845" s="376" t="str">
        <f>CS_PID!AG845/VLOOKUP($B845,표2[#ALL],2)/HLOOKUP($A845,표1[#ALL],row(),false)</f>
        <v>#N/A</v>
      </c>
      <c r="AH845" s="376" t="str">
        <f>CS_PID!AH845/VLOOKUP($B845,표2[#ALL],2)/HLOOKUP($A845,표1[#ALL],row(),false)</f>
        <v>#N/A</v>
      </c>
      <c r="AI845" s="376" t="str">
        <f>CS_PID!AI845/VLOOKUP($B845,표2[#ALL],2)/HLOOKUP($A845,표1[#ALL],row(),false)</f>
        <v>#N/A</v>
      </c>
      <c r="AJ845" s="376" t="str">
        <f>CS_PID!AJ845/VLOOKUP($B845,표2[#ALL],2)/HLOOKUP($A845,표1[#ALL],row(),false)</f>
        <v>#N/A</v>
      </c>
      <c r="AK845" s="376" t="str">
        <f>CS_PID!AK845/VLOOKUP($B845,표2[#ALL],2)/HLOOKUP($A845,표1[#ALL],row(),false)</f>
        <v>#N/A</v>
      </c>
      <c r="AL845" s="376" t="str">
        <f>CS_PID!AL845/VLOOKUP($B845,표2[#ALL],2)/HLOOKUP($A845,표1[#ALL],row(),false)</f>
        <v>#N/A</v>
      </c>
      <c r="AM845" s="376" t="str">
        <f>CS_PID!AM845/VLOOKUP($B845,표2[#ALL],2)/HLOOKUP($A845,표1[#ALL],row(),false)</f>
        <v>#N/A</v>
      </c>
      <c r="AN845" s="376" t="str">
        <f>CS_PID!AN845/VLOOKUP($B845,표2[#ALL],2)/HLOOKUP($A845,표1[#ALL],row(),false)</f>
        <v>#N/A</v>
      </c>
      <c r="AO845" s="376" t="str">
        <f>CS_PID!AO845/VLOOKUP($B845,표2[#ALL],2)/HLOOKUP($A845,표1[#ALL],row(),false)</f>
        <v>#N/A</v>
      </c>
      <c r="AP845" s="376" t="str">
        <f>CS_PID!AP845/VLOOKUP($B845,표2[#ALL],2)/HLOOKUP($A845,표1[#ALL],row(),false)</f>
        <v>#N/A</v>
      </c>
      <c r="AQ845" s="376" t="str">
        <f>CS_PID!AQ845/VLOOKUP($B845,표2[#ALL],2)/HLOOKUP($A845,표1[#ALL],row(),false)</f>
        <v>#N/A</v>
      </c>
      <c r="AR845" s="376" t="str">
        <f>CS_PID!AR845/VLOOKUP($B845,표2[#ALL],2)/HLOOKUP($A845,표1[#ALL],row(),false)</f>
        <v>#N/A</v>
      </c>
      <c r="AS845" s="377" t="str">
        <f>CS_PID!AS845/VLOOKUP($B845,표2[#ALL],2)/HLOOKUP($A845,표1[#ALL],row(),false)</f>
        <v>#N/A</v>
      </c>
    </row>
    <row r="846">
      <c r="A846" s="370"/>
      <c r="B846" s="371"/>
      <c r="C846" s="372" t="str">
        <f>CS_PID!C846/VLOOKUP($B846,표2[#ALL],2)</f>
        <v>#N/A</v>
      </c>
      <c r="D846" s="372" t="str">
        <f>CS_PID!D846/VLOOKUP($B846,표2[#ALL],2)</f>
        <v>#N/A</v>
      </c>
      <c r="E846" s="372" t="str">
        <f>CS_PID!E846/VLOOKUP($B846,표2[#ALL],2)</f>
        <v>#N/A</v>
      </c>
      <c r="F846" s="372" t="str">
        <f>CS_PID!F846/VLOOKUP($B846,표2[#ALL],2)</f>
        <v>#N/A</v>
      </c>
      <c r="G846" s="372" t="str">
        <f>CS_PID!G846/VLOOKUP($B846,표2[#ALL],2)</f>
        <v>#N/A</v>
      </c>
      <c r="H846" s="372" t="str">
        <f>CS_PID!H846/VLOOKUP($B846,표2[#ALL],2)/HLOOKUP($A846,표1[#ALL],row(),false)</f>
        <v>#N/A</v>
      </c>
      <c r="I846" s="372" t="str">
        <f>CS_PID!I846/VLOOKUP($B846,표2[#ALL],2)/HLOOKUP($A846,표1[#ALL],row(),false)</f>
        <v>#N/A</v>
      </c>
      <c r="J846" s="372" t="str">
        <f>CS_PID!J846/VLOOKUP($B846,표2[#ALL],2)/HLOOKUP($A846,표1[#ALL],row(),false)</f>
        <v>#N/A</v>
      </c>
      <c r="K846" s="372" t="str">
        <f>CS_PID!K846/VLOOKUP($B846,표2[#ALL],2)/HLOOKUP($A846,표1[#ALL],row(),false)</f>
        <v>#N/A</v>
      </c>
      <c r="L846" s="372" t="str">
        <f>CS_PID!L846/VLOOKUP($B846,표2[#ALL],2)/HLOOKUP($A846,표1[#ALL],row(),false)</f>
        <v>#N/A</v>
      </c>
      <c r="M846" s="372" t="str">
        <f>CS_PID!M846/VLOOKUP($B846,표2[#ALL],2)/HLOOKUP($A846,표1[#ALL],row(),false)</f>
        <v>#N/A</v>
      </c>
      <c r="N846" s="372" t="str">
        <f>CS_PID!N846/VLOOKUP($B846,표2[#ALL],2)/HLOOKUP($A846,표1[#ALL],row(),false)</f>
        <v>#N/A</v>
      </c>
      <c r="O846" s="372" t="str">
        <f>CS_PID!O846/VLOOKUP($B846,표2[#ALL],2)/HLOOKUP($A846,표1[#ALL],row(),false)</f>
        <v>#N/A</v>
      </c>
      <c r="P846" s="372" t="str">
        <f>CS_PID!P846/VLOOKUP($B846,표2[#ALL],2)/HLOOKUP($A846,표1[#ALL],row(),false)</f>
        <v>#N/A</v>
      </c>
      <c r="Q846" s="372" t="str">
        <f>CS_PID!Q846/VLOOKUP($B846,표2[#ALL],2)/HLOOKUP($A846,표1[#ALL],row(),false)</f>
        <v>#N/A</v>
      </c>
      <c r="R846" s="372" t="str">
        <f>CS_PID!R846/VLOOKUP($B846,표2[#ALL],2)/HLOOKUP($A846,표1[#ALL],row(),false)</f>
        <v>#N/A</v>
      </c>
      <c r="S846" s="372" t="str">
        <f>CS_PID!S846/VLOOKUP($B846,표2[#ALL],2)/HLOOKUP($A846,표1[#ALL],row(),false)</f>
        <v>#N/A</v>
      </c>
      <c r="T846" s="372" t="str">
        <f>CS_PID!T846/VLOOKUP($B846,표2[#ALL],2)/HLOOKUP($A846,표1[#ALL],row(),false)</f>
        <v>#N/A</v>
      </c>
      <c r="U846" s="372" t="str">
        <f>CS_PID!U846/VLOOKUP($B846,표2[#ALL],2)/HLOOKUP($A846,표1[#ALL],row(),false)</f>
        <v>#N/A</v>
      </c>
      <c r="V846" s="372" t="str">
        <f>CS_PID!V846/VLOOKUP($B846,표2[#ALL],2)/HLOOKUP($A846,표1[#ALL],row(),false)</f>
        <v>#N/A</v>
      </c>
      <c r="W846" s="372" t="str">
        <f>CS_PID!W846/VLOOKUP($B846,표2[#ALL],2)/HLOOKUP($A846,표1[#ALL],row(),false)</f>
        <v>#N/A</v>
      </c>
      <c r="X846" s="372" t="str">
        <f>CS_PID!X846/VLOOKUP($B846,표2[#ALL],2)/HLOOKUP($A846,표1[#ALL],row(),false)</f>
        <v>#N/A</v>
      </c>
      <c r="Y846" s="372" t="str">
        <f>CS_PID!Y846/VLOOKUP($B846,표2[#ALL],2)/HLOOKUP($A846,표1[#ALL],row(),false)</f>
        <v>#N/A</v>
      </c>
      <c r="Z846" s="372" t="str">
        <f>CS_PID!Z846/VLOOKUP($B846,표2[#ALL],2)/HLOOKUP($A846,표1[#ALL],row(),false)</f>
        <v>#N/A</v>
      </c>
      <c r="AA846" s="372" t="str">
        <f>CS_PID!AA846/VLOOKUP($B846,표2[#ALL],2)/HLOOKUP($A846,표1[#ALL],row(),false)</f>
        <v>#N/A</v>
      </c>
      <c r="AB846" s="372" t="str">
        <f>CS_PID!AB846/VLOOKUP($B846,표2[#ALL],2)/HLOOKUP($A846,표1[#ALL],row(),false)</f>
        <v>#N/A</v>
      </c>
      <c r="AC846" s="372" t="str">
        <f>CS_PID!AC846/VLOOKUP($B846,표2[#ALL],2)/HLOOKUP($A846,표1[#ALL],row(),false)</f>
        <v>#N/A</v>
      </c>
      <c r="AD846" s="372" t="str">
        <f>CS_PID!AD846/VLOOKUP($B846,표2[#ALL],2)/HLOOKUP($A846,표1[#ALL],row(),false)</f>
        <v>#N/A</v>
      </c>
      <c r="AE846" s="372" t="str">
        <f>CS_PID!AE846/VLOOKUP($B846,표2[#ALL],2)/HLOOKUP($A846,표1[#ALL],row(),false)</f>
        <v>#N/A</v>
      </c>
      <c r="AF846" s="372" t="str">
        <f>CS_PID!AF846/VLOOKUP($B846,표2[#ALL],2)/HLOOKUP($A846,표1[#ALL],row(),false)</f>
        <v>#N/A</v>
      </c>
      <c r="AG846" s="372" t="str">
        <f>CS_PID!AG846/VLOOKUP($B846,표2[#ALL],2)/HLOOKUP($A846,표1[#ALL],row(),false)</f>
        <v>#N/A</v>
      </c>
      <c r="AH846" s="372" t="str">
        <f>CS_PID!AH846/VLOOKUP($B846,표2[#ALL],2)/HLOOKUP($A846,표1[#ALL],row(),false)</f>
        <v>#N/A</v>
      </c>
      <c r="AI846" s="372" t="str">
        <f>CS_PID!AI846/VLOOKUP($B846,표2[#ALL],2)/HLOOKUP($A846,표1[#ALL],row(),false)</f>
        <v>#N/A</v>
      </c>
      <c r="AJ846" s="372" t="str">
        <f>CS_PID!AJ846/VLOOKUP($B846,표2[#ALL],2)/HLOOKUP($A846,표1[#ALL],row(),false)</f>
        <v>#N/A</v>
      </c>
      <c r="AK846" s="372" t="str">
        <f>CS_PID!AK846/VLOOKUP($B846,표2[#ALL],2)/HLOOKUP($A846,표1[#ALL],row(),false)</f>
        <v>#N/A</v>
      </c>
      <c r="AL846" s="372" t="str">
        <f>CS_PID!AL846/VLOOKUP($B846,표2[#ALL],2)/HLOOKUP($A846,표1[#ALL],row(),false)</f>
        <v>#N/A</v>
      </c>
      <c r="AM846" s="372" t="str">
        <f>CS_PID!AM846/VLOOKUP($B846,표2[#ALL],2)/HLOOKUP($A846,표1[#ALL],row(),false)</f>
        <v>#N/A</v>
      </c>
      <c r="AN846" s="372" t="str">
        <f>CS_PID!AN846/VLOOKUP($B846,표2[#ALL],2)/HLOOKUP($A846,표1[#ALL],row(),false)</f>
        <v>#N/A</v>
      </c>
      <c r="AO846" s="372" t="str">
        <f>CS_PID!AO846/VLOOKUP($B846,표2[#ALL],2)/HLOOKUP($A846,표1[#ALL],row(),false)</f>
        <v>#N/A</v>
      </c>
      <c r="AP846" s="372" t="str">
        <f>CS_PID!AP846/VLOOKUP($B846,표2[#ALL],2)/HLOOKUP($A846,표1[#ALL],row(),false)</f>
        <v>#N/A</v>
      </c>
      <c r="AQ846" s="372" t="str">
        <f>CS_PID!AQ846/VLOOKUP($B846,표2[#ALL],2)/HLOOKUP($A846,표1[#ALL],row(),false)</f>
        <v>#N/A</v>
      </c>
      <c r="AR846" s="372" t="str">
        <f>CS_PID!AR846/VLOOKUP($B846,표2[#ALL],2)/HLOOKUP($A846,표1[#ALL],row(),false)</f>
        <v>#N/A</v>
      </c>
      <c r="AS846" s="373" t="str">
        <f>CS_PID!AS846/VLOOKUP($B846,표2[#ALL],2)/HLOOKUP($A846,표1[#ALL],row(),false)</f>
        <v>#N/A</v>
      </c>
    </row>
    <row r="847">
      <c r="A847" s="374"/>
      <c r="B847" s="375"/>
      <c r="C847" s="376" t="str">
        <f>CS_PID!C847/VLOOKUP($B847,표2[#ALL],2)</f>
        <v>#N/A</v>
      </c>
      <c r="D847" s="376" t="str">
        <f>CS_PID!D847/VLOOKUP($B847,표2[#ALL],2)</f>
        <v>#N/A</v>
      </c>
      <c r="E847" s="376" t="str">
        <f>CS_PID!E847/VLOOKUP($B847,표2[#ALL],2)</f>
        <v>#N/A</v>
      </c>
      <c r="F847" s="376" t="str">
        <f>CS_PID!F847/VLOOKUP($B847,표2[#ALL],2)</f>
        <v>#N/A</v>
      </c>
      <c r="G847" s="376" t="str">
        <f>CS_PID!G847/VLOOKUP($B847,표2[#ALL],2)</f>
        <v>#N/A</v>
      </c>
      <c r="H847" s="376" t="str">
        <f>CS_PID!H847/VLOOKUP($B847,표2[#ALL],2)/HLOOKUP($A847,표1[#ALL],row(),false)</f>
        <v>#N/A</v>
      </c>
      <c r="I847" s="376" t="str">
        <f>CS_PID!I847/VLOOKUP($B847,표2[#ALL],2)/HLOOKUP($A847,표1[#ALL],row(),false)</f>
        <v>#N/A</v>
      </c>
      <c r="J847" s="376" t="str">
        <f>CS_PID!J847/VLOOKUP($B847,표2[#ALL],2)/HLOOKUP($A847,표1[#ALL],row(),false)</f>
        <v>#N/A</v>
      </c>
      <c r="K847" s="376" t="str">
        <f>CS_PID!K847/VLOOKUP($B847,표2[#ALL],2)/HLOOKUP($A847,표1[#ALL],row(),false)</f>
        <v>#N/A</v>
      </c>
      <c r="L847" s="376" t="str">
        <f>CS_PID!L847/VLOOKUP($B847,표2[#ALL],2)/HLOOKUP($A847,표1[#ALL],row(),false)</f>
        <v>#N/A</v>
      </c>
      <c r="M847" s="376" t="str">
        <f>CS_PID!M847/VLOOKUP($B847,표2[#ALL],2)/HLOOKUP($A847,표1[#ALL],row(),false)</f>
        <v>#N/A</v>
      </c>
      <c r="N847" s="376" t="str">
        <f>CS_PID!N847/VLOOKUP($B847,표2[#ALL],2)/HLOOKUP($A847,표1[#ALL],row(),false)</f>
        <v>#N/A</v>
      </c>
      <c r="O847" s="376" t="str">
        <f>CS_PID!O847/VLOOKUP($B847,표2[#ALL],2)/HLOOKUP($A847,표1[#ALL],row(),false)</f>
        <v>#N/A</v>
      </c>
      <c r="P847" s="376" t="str">
        <f>CS_PID!P847/VLOOKUP($B847,표2[#ALL],2)/HLOOKUP($A847,표1[#ALL],row(),false)</f>
        <v>#N/A</v>
      </c>
      <c r="Q847" s="376" t="str">
        <f>CS_PID!Q847/VLOOKUP($B847,표2[#ALL],2)/HLOOKUP($A847,표1[#ALL],row(),false)</f>
        <v>#N/A</v>
      </c>
      <c r="R847" s="376" t="str">
        <f>CS_PID!R847/VLOOKUP($B847,표2[#ALL],2)/HLOOKUP($A847,표1[#ALL],row(),false)</f>
        <v>#N/A</v>
      </c>
      <c r="S847" s="376" t="str">
        <f>CS_PID!S847/VLOOKUP($B847,표2[#ALL],2)/HLOOKUP($A847,표1[#ALL],row(),false)</f>
        <v>#N/A</v>
      </c>
      <c r="T847" s="376" t="str">
        <f>CS_PID!T847/VLOOKUP($B847,표2[#ALL],2)/HLOOKUP($A847,표1[#ALL],row(),false)</f>
        <v>#N/A</v>
      </c>
      <c r="U847" s="376" t="str">
        <f>CS_PID!U847/VLOOKUP($B847,표2[#ALL],2)/HLOOKUP($A847,표1[#ALL],row(),false)</f>
        <v>#N/A</v>
      </c>
      <c r="V847" s="376" t="str">
        <f>CS_PID!V847/VLOOKUP($B847,표2[#ALL],2)/HLOOKUP($A847,표1[#ALL],row(),false)</f>
        <v>#N/A</v>
      </c>
      <c r="W847" s="376" t="str">
        <f>CS_PID!W847/VLOOKUP($B847,표2[#ALL],2)/HLOOKUP($A847,표1[#ALL],row(),false)</f>
        <v>#N/A</v>
      </c>
      <c r="X847" s="376" t="str">
        <f>CS_PID!X847/VLOOKUP($B847,표2[#ALL],2)/HLOOKUP($A847,표1[#ALL],row(),false)</f>
        <v>#N/A</v>
      </c>
      <c r="Y847" s="376" t="str">
        <f>CS_PID!Y847/VLOOKUP($B847,표2[#ALL],2)/HLOOKUP($A847,표1[#ALL],row(),false)</f>
        <v>#N/A</v>
      </c>
      <c r="Z847" s="376" t="str">
        <f>CS_PID!Z847/VLOOKUP($B847,표2[#ALL],2)/HLOOKUP($A847,표1[#ALL],row(),false)</f>
        <v>#N/A</v>
      </c>
      <c r="AA847" s="376" t="str">
        <f>CS_PID!AA847/VLOOKUP($B847,표2[#ALL],2)/HLOOKUP($A847,표1[#ALL],row(),false)</f>
        <v>#N/A</v>
      </c>
      <c r="AB847" s="376" t="str">
        <f>CS_PID!AB847/VLOOKUP($B847,표2[#ALL],2)/HLOOKUP($A847,표1[#ALL],row(),false)</f>
        <v>#N/A</v>
      </c>
      <c r="AC847" s="376" t="str">
        <f>CS_PID!AC847/VLOOKUP($B847,표2[#ALL],2)/HLOOKUP($A847,표1[#ALL],row(),false)</f>
        <v>#N/A</v>
      </c>
      <c r="AD847" s="376" t="str">
        <f>CS_PID!AD847/VLOOKUP($B847,표2[#ALL],2)/HLOOKUP($A847,표1[#ALL],row(),false)</f>
        <v>#N/A</v>
      </c>
      <c r="AE847" s="376" t="str">
        <f>CS_PID!AE847/VLOOKUP($B847,표2[#ALL],2)/HLOOKUP($A847,표1[#ALL],row(),false)</f>
        <v>#N/A</v>
      </c>
      <c r="AF847" s="376" t="str">
        <f>CS_PID!AF847/VLOOKUP($B847,표2[#ALL],2)/HLOOKUP($A847,표1[#ALL],row(),false)</f>
        <v>#N/A</v>
      </c>
      <c r="AG847" s="376" t="str">
        <f>CS_PID!AG847/VLOOKUP($B847,표2[#ALL],2)/HLOOKUP($A847,표1[#ALL],row(),false)</f>
        <v>#N/A</v>
      </c>
      <c r="AH847" s="376" t="str">
        <f>CS_PID!AH847/VLOOKUP($B847,표2[#ALL],2)/HLOOKUP($A847,표1[#ALL],row(),false)</f>
        <v>#N/A</v>
      </c>
      <c r="AI847" s="376" t="str">
        <f>CS_PID!AI847/VLOOKUP($B847,표2[#ALL],2)/HLOOKUP($A847,표1[#ALL],row(),false)</f>
        <v>#N/A</v>
      </c>
      <c r="AJ847" s="376" t="str">
        <f>CS_PID!AJ847/VLOOKUP($B847,표2[#ALL],2)/HLOOKUP($A847,표1[#ALL],row(),false)</f>
        <v>#N/A</v>
      </c>
      <c r="AK847" s="376" t="str">
        <f>CS_PID!AK847/VLOOKUP($B847,표2[#ALL],2)/HLOOKUP($A847,표1[#ALL],row(),false)</f>
        <v>#N/A</v>
      </c>
      <c r="AL847" s="376" t="str">
        <f>CS_PID!AL847/VLOOKUP($B847,표2[#ALL],2)/HLOOKUP($A847,표1[#ALL],row(),false)</f>
        <v>#N/A</v>
      </c>
      <c r="AM847" s="376" t="str">
        <f>CS_PID!AM847/VLOOKUP($B847,표2[#ALL],2)/HLOOKUP($A847,표1[#ALL],row(),false)</f>
        <v>#N/A</v>
      </c>
      <c r="AN847" s="376" t="str">
        <f>CS_PID!AN847/VLOOKUP($B847,표2[#ALL],2)/HLOOKUP($A847,표1[#ALL],row(),false)</f>
        <v>#N/A</v>
      </c>
      <c r="AO847" s="376" t="str">
        <f>CS_PID!AO847/VLOOKUP($B847,표2[#ALL],2)/HLOOKUP($A847,표1[#ALL],row(),false)</f>
        <v>#N/A</v>
      </c>
      <c r="AP847" s="376" t="str">
        <f>CS_PID!AP847/VLOOKUP($B847,표2[#ALL],2)/HLOOKUP($A847,표1[#ALL],row(),false)</f>
        <v>#N/A</v>
      </c>
      <c r="AQ847" s="376" t="str">
        <f>CS_PID!AQ847/VLOOKUP($B847,표2[#ALL],2)/HLOOKUP($A847,표1[#ALL],row(),false)</f>
        <v>#N/A</v>
      </c>
      <c r="AR847" s="376" t="str">
        <f>CS_PID!AR847/VLOOKUP($B847,표2[#ALL],2)/HLOOKUP($A847,표1[#ALL],row(),false)</f>
        <v>#N/A</v>
      </c>
      <c r="AS847" s="377" t="str">
        <f>CS_PID!AS847/VLOOKUP($B847,표2[#ALL],2)/HLOOKUP($A847,표1[#ALL],row(),false)</f>
        <v>#N/A</v>
      </c>
    </row>
    <row r="848">
      <c r="A848" s="370"/>
      <c r="B848" s="371"/>
      <c r="C848" s="372" t="str">
        <f>CS_PID!C848/VLOOKUP($B848,표2[#ALL],2)</f>
        <v>#N/A</v>
      </c>
      <c r="D848" s="372" t="str">
        <f>CS_PID!D848/VLOOKUP($B848,표2[#ALL],2)</f>
        <v>#N/A</v>
      </c>
      <c r="E848" s="372" t="str">
        <f>CS_PID!E848/VLOOKUP($B848,표2[#ALL],2)</f>
        <v>#N/A</v>
      </c>
      <c r="F848" s="372" t="str">
        <f>CS_PID!F848/VLOOKUP($B848,표2[#ALL],2)</f>
        <v>#N/A</v>
      </c>
      <c r="G848" s="372" t="str">
        <f>CS_PID!G848/VLOOKUP($B848,표2[#ALL],2)</f>
        <v>#N/A</v>
      </c>
      <c r="H848" s="372" t="str">
        <f>CS_PID!H848/VLOOKUP($B848,표2[#ALL],2)/HLOOKUP($A848,표1[#ALL],row(),false)</f>
        <v>#N/A</v>
      </c>
      <c r="I848" s="372" t="str">
        <f>CS_PID!I848/VLOOKUP($B848,표2[#ALL],2)/HLOOKUP($A848,표1[#ALL],row(),false)</f>
        <v>#N/A</v>
      </c>
      <c r="J848" s="372" t="str">
        <f>CS_PID!J848/VLOOKUP($B848,표2[#ALL],2)/HLOOKUP($A848,표1[#ALL],row(),false)</f>
        <v>#N/A</v>
      </c>
      <c r="K848" s="372" t="str">
        <f>CS_PID!K848/VLOOKUP($B848,표2[#ALL],2)/HLOOKUP($A848,표1[#ALL],row(),false)</f>
        <v>#N/A</v>
      </c>
      <c r="L848" s="372" t="str">
        <f>CS_PID!L848/VLOOKUP($B848,표2[#ALL],2)/HLOOKUP($A848,표1[#ALL],row(),false)</f>
        <v>#N/A</v>
      </c>
      <c r="M848" s="372" t="str">
        <f>CS_PID!M848/VLOOKUP($B848,표2[#ALL],2)/HLOOKUP($A848,표1[#ALL],row(),false)</f>
        <v>#N/A</v>
      </c>
      <c r="N848" s="372" t="str">
        <f>CS_PID!N848/VLOOKUP($B848,표2[#ALL],2)/HLOOKUP($A848,표1[#ALL],row(),false)</f>
        <v>#N/A</v>
      </c>
      <c r="O848" s="372" t="str">
        <f>CS_PID!O848/VLOOKUP($B848,표2[#ALL],2)/HLOOKUP($A848,표1[#ALL],row(),false)</f>
        <v>#N/A</v>
      </c>
      <c r="P848" s="372" t="str">
        <f>CS_PID!P848/VLOOKUP($B848,표2[#ALL],2)/HLOOKUP($A848,표1[#ALL],row(),false)</f>
        <v>#N/A</v>
      </c>
      <c r="Q848" s="372" t="str">
        <f>CS_PID!Q848/VLOOKUP($B848,표2[#ALL],2)/HLOOKUP($A848,표1[#ALL],row(),false)</f>
        <v>#N/A</v>
      </c>
      <c r="R848" s="372" t="str">
        <f>CS_PID!R848/VLOOKUP($B848,표2[#ALL],2)/HLOOKUP($A848,표1[#ALL],row(),false)</f>
        <v>#N/A</v>
      </c>
      <c r="S848" s="372" t="str">
        <f>CS_PID!S848/VLOOKUP($B848,표2[#ALL],2)/HLOOKUP($A848,표1[#ALL],row(),false)</f>
        <v>#N/A</v>
      </c>
      <c r="T848" s="372" t="str">
        <f>CS_PID!T848/VLOOKUP($B848,표2[#ALL],2)/HLOOKUP($A848,표1[#ALL],row(),false)</f>
        <v>#N/A</v>
      </c>
      <c r="U848" s="372" t="str">
        <f>CS_PID!U848/VLOOKUP($B848,표2[#ALL],2)/HLOOKUP($A848,표1[#ALL],row(),false)</f>
        <v>#N/A</v>
      </c>
      <c r="V848" s="372" t="str">
        <f>CS_PID!V848/VLOOKUP($B848,표2[#ALL],2)/HLOOKUP($A848,표1[#ALL],row(),false)</f>
        <v>#N/A</v>
      </c>
      <c r="W848" s="372" t="str">
        <f>CS_PID!W848/VLOOKUP($B848,표2[#ALL],2)/HLOOKUP($A848,표1[#ALL],row(),false)</f>
        <v>#N/A</v>
      </c>
      <c r="X848" s="372" t="str">
        <f>CS_PID!X848/VLOOKUP($B848,표2[#ALL],2)/HLOOKUP($A848,표1[#ALL],row(),false)</f>
        <v>#N/A</v>
      </c>
      <c r="Y848" s="372" t="str">
        <f>CS_PID!Y848/VLOOKUP($B848,표2[#ALL],2)/HLOOKUP($A848,표1[#ALL],row(),false)</f>
        <v>#N/A</v>
      </c>
      <c r="Z848" s="372" t="str">
        <f>CS_PID!Z848/VLOOKUP($B848,표2[#ALL],2)/HLOOKUP($A848,표1[#ALL],row(),false)</f>
        <v>#N/A</v>
      </c>
      <c r="AA848" s="372" t="str">
        <f>CS_PID!AA848/VLOOKUP($B848,표2[#ALL],2)/HLOOKUP($A848,표1[#ALL],row(),false)</f>
        <v>#N/A</v>
      </c>
      <c r="AB848" s="372" t="str">
        <f>CS_PID!AB848/VLOOKUP($B848,표2[#ALL],2)/HLOOKUP($A848,표1[#ALL],row(),false)</f>
        <v>#N/A</v>
      </c>
      <c r="AC848" s="372" t="str">
        <f>CS_PID!AC848/VLOOKUP($B848,표2[#ALL],2)/HLOOKUP($A848,표1[#ALL],row(),false)</f>
        <v>#N/A</v>
      </c>
      <c r="AD848" s="372" t="str">
        <f>CS_PID!AD848/VLOOKUP($B848,표2[#ALL],2)/HLOOKUP($A848,표1[#ALL],row(),false)</f>
        <v>#N/A</v>
      </c>
      <c r="AE848" s="372" t="str">
        <f>CS_PID!AE848/VLOOKUP($B848,표2[#ALL],2)/HLOOKUP($A848,표1[#ALL],row(),false)</f>
        <v>#N/A</v>
      </c>
      <c r="AF848" s="372" t="str">
        <f>CS_PID!AF848/VLOOKUP($B848,표2[#ALL],2)/HLOOKUP($A848,표1[#ALL],row(),false)</f>
        <v>#N/A</v>
      </c>
      <c r="AG848" s="372" t="str">
        <f>CS_PID!AG848/VLOOKUP($B848,표2[#ALL],2)/HLOOKUP($A848,표1[#ALL],row(),false)</f>
        <v>#N/A</v>
      </c>
      <c r="AH848" s="372" t="str">
        <f>CS_PID!AH848/VLOOKUP($B848,표2[#ALL],2)/HLOOKUP($A848,표1[#ALL],row(),false)</f>
        <v>#N/A</v>
      </c>
      <c r="AI848" s="372" t="str">
        <f>CS_PID!AI848/VLOOKUP($B848,표2[#ALL],2)/HLOOKUP($A848,표1[#ALL],row(),false)</f>
        <v>#N/A</v>
      </c>
      <c r="AJ848" s="372" t="str">
        <f>CS_PID!AJ848/VLOOKUP($B848,표2[#ALL],2)/HLOOKUP($A848,표1[#ALL],row(),false)</f>
        <v>#N/A</v>
      </c>
      <c r="AK848" s="372" t="str">
        <f>CS_PID!AK848/VLOOKUP($B848,표2[#ALL],2)/HLOOKUP($A848,표1[#ALL],row(),false)</f>
        <v>#N/A</v>
      </c>
      <c r="AL848" s="372" t="str">
        <f>CS_PID!AL848/VLOOKUP($B848,표2[#ALL],2)/HLOOKUP($A848,표1[#ALL],row(),false)</f>
        <v>#N/A</v>
      </c>
      <c r="AM848" s="372" t="str">
        <f>CS_PID!AM848/VLOOKUP($B848,표2[#ALL],2)/HLOOKUP($A848,표1[#ALL],row(),false)</f>
        <v>#N/A</v>
      </c>
      <c r="AN848" s="372" t="str">
        <f>CS_PID!AN848/VLOOKUP($B848,표2[#ALL],2)/HLOOKUP($A848,표1[#ALL],row(),false)</f>
        <v>#N/A</v>
      </c>
      <c r="AO848" s="372" t="str">
        <f>CS_PID!AO848/VLOOKUP($B848,표2[#ALL],2)/HLOOKUP($A848,표1[#ALL],row(),false)</f>
        <v>#N/A</v>
      </c>
      <c r="AP848" s="372" t="str">
        <f>CS_PID!AP848/VLOOKUP($B848,표2[#ALL],2)/HLOOKUP($A848,표1[#ALL],row(),false)</f>
        <v>#N/A</v>
      </c>
      <c r="AQ848" s="372" t="str">
        <f>CS_PID!AQ848/VLOOKUP($B848,표2[#ALL],2)/HLOOKUP($A848,표1[#ALL],row(),false)</f>
        <v>#N/A</v>
      </c>
      <c r="AR848" s="372" t="str">
        <f>CS_PID!AR848/VLOOKUP($B848,표2[#ALL],2)/HLOOKUP($A848,표1[#ALL],row(),false)</f>
        <v>#N/A</v>
      </c>
      <c r="AS848" s="373" t="str">
        <f>CS_PID!AS848/VLOOKUP($B848,표2[#ALL],2)/HLOOKUP($A848,표1[#ALL],row(),false)</f>
        <v>#N/A</v>
      </c>
    </row>
    <row r="849">
      <c r="A849" s="374"/>
      <c r="B849" s="375"/>
      <c r="C849" s="376" t="str">
        <f>CS_PID!C849/VLOOKUP($B849,표2[#ALL],2)</f>
        <v>#N/A</v>
      </c>
      <c r="D849" s="376" t="str">
        <f>CS_PID!D849/VLOOKUP($B849,표2[#ALL],2)</f>
        <v>#N/A</v>
      </c>
      <c r="E849" s="376" t="str">
        <f>CS_PID!E849/VLOOKUP($B849,표2[#ALL],2)</f>
        <v>#N/A</v>
      </c>
      <c r="F849" s="376" t="str">
        <f>CS_PID!F849/VLOOKUP($B849,표2[#ALL],2)</f>
        <v>#N/A</v>
      </c>
      <c r="G849" s="376" t="str">
        <f>CS_PID!G849/VLOOKUP($B849,표2[#ALL],2)</f>
        <v>#N/A</v>
      </c>
      <c r="H849" s="376" t="str">
        <f>CS_PID!H849/VLOOKUP($B849,표2[#ALL],2)/HLOOKUP($A849,표1[#ALL],row(),false)</f>
        <v>#N/A</v>
      </c>
      <c r="I849" s="376" t="str">
        <f>CS_PID!I849/VLOOKUP($B849,표2[#ALL],2)/HLOOKUP($A849,표1[#ALL],row(),false)</f>
        <v>#N/A</v>
      </c>
      <c r="J849" s="376" t="str">
        <f>CS_PID!J849/VLOOKUP($B849,표2[#ALL],2)/HLOOKUP($A849,표1[#ALL],row(),false)</f>
        <v>#N/A</v>
      </c>
      <c r="K849" s="376" t="str">
        <f>CS_PID!K849/VLOOKUP($B849,표2[#ALL],2)/HLOOKUP($A849,표1[#ALL],row(),false)</f>
        <v>#N/A</v>
      </c>
      <c r="L849" s="376" t="str">
        <f>CS_PID!L849/VLOOKUP($B849,표2[#ALL],2)/HLOOKUP($A849,표1[#ALL],row(),false)</f>
        <v>#N/A</v>
      </c>
      <c r="M849" s="376" t="str">
        <f>CS_PID!M849/VLOOKUP($B849,표2[#ALL],2)/HLOOKUP($A849,표1[#ALL],row(),false)</f>
        <v>#N/A</v>
      </c>
      <c r="N849" s="376" t="str">
        <f>CS_PID!N849/VLOOKUP($B849,표2[#ALL],2)/HLOOKUP($A849,표1[#ALL],row(),false)</f>
        <v>#N/A</v>
      </c>
      <c r="O849" s="376" t="str">
        <f>CS_PID!O849/VLOOKUP($B849,표2[#ALL],2)/HLOOKUP($A849,표1[#ALL],row(),false)</f>
        <v>#N/A</v>
      </c>
      <c r="P849" s="376" t="str">
        <f>CS_PID!P849/VLOOKUP($B849,표2[#ALL],2)/HLOOKUP($A849,표1[#ALL],row(),false)</f>
        <v>#N/A</v>
      </c>
      <c r="Q849" s="376" t="str">
        <f>CS_PID!Q849/VLOOKUP($B849,표2[#ALL],2)/HLOOKUP($A849,표1[#ALL],row(),false)</f>
        <v>#N/A</v>
      </c>
      <c r="R849" s="376" t="str">
        <f>CS_PID!R849/VLOOKUP($B849,표2[#ALL],2)/HLOOKUP($A849,표1[#ALL],row(),false)</f>
        <v>#N/A</v>
      </c>
      <c r="S849" s="376" t="str">
        <f>CS_PID!S849/VLOOKUP($B849,표2[#ALL],2)/HLOOKUP($A849,표1[#ALL],row(),false)</f>
        <v>#N/A</v>
      </c>
      <c r="T849" s="376" t="str">
        <f>CS_PID!T849/VLOOKUP($B849,표2[#ALL],2)/HLOOKUP($A849,표1[#ALL],row(),false)</f>
        <v>#N/A</v>
      </c>
      <c r="U849" s="376" t="str">
        <f>CS_PID!U849/VLOOKUP($B849,표2[#ALL],2)/HLOOKUP($A849,표1[#ALL],row(),false)</f>
        <v>#N/A</v>
      </c>
      <c r="V849" s="376" t="str">
        <f>CS_PID!V849/VLOOKUP($B849,표2[#ALL],2)/HLOOKUP($A849,표1[#ALL],row(),false)</f>
        <v>#N/A</v>
      </c>
      <c r="W849" s="376" t="str">
        <f>CS_PID!W849/VLOOKUP($B849,표2[#ALL],2)/HLOOKUP($A849,표1[#ALL],row(),false)</f>
        <v>#N/A</v>
      </c>
      <c r="X849" s="376" t="str">
        <f>CS_PID!X849/VLOOKUP($B849,표2[#ALL],2)/HLOOKUP($A849,표1[#ALL],row(),false)</f>
        <v>#N/A</v>
      </c>
      <c r="Y849" s="376" t="str">
        <f>CS_PID!Y849/VLOOKUP($B849,표2[#ALL],2)/HLOOKUP($A849,표1[#ALL],row(),false)</f>
        <v>#N/A</v>
      </c>
      <c r="Z849" s="376" t="str">
        <f>CS_PID!Z849/VLOOKUP($B849,표2[#ALL],2)/HLOOKUP($A849,표1[#ALL],row(),false)</f>
        <v>#N/A</v>
      </c>
      <c r="AA849" s="376" t="str">
        <f>CS_PID!AA849/VLOOKUP($B849,표2[#ALL],2)/HLOOKUP($A849,표1[#ALL],row(),false)</f>
        <v>#N/A</v>
      </c>
      <c r="AB849" s="376" t="str">
        <f>CS_PID!AB849/VLOOKUP($B849,표2[#ALL],2)/HLOOKUP($A849,표1[#ALL],row(),false)</f>
        <v>#N/A</v>
      </c>
      <c r="AC849" s="376" t="str">
        <f>CS_PID!AC849/VLOOKUP($B849,표2[#ALL],2)/HLOOKUP($A849,표1[#ALL],row(),false)</f>
        <v>#N/A</v>
      </c>
      <c r="AD849" s="376" t="str">
        <f>CS_PID!AD849/VLOOKUP($B849,표2[#ALL],2)/HLOOKUP($A849,표1[#ALL],row(),false)</f>
        <v>#N/A</v>
      </c>
      <c r="AE849" s="376" t="str">
        <f>CS_PID!AE849/VLOOKUP($B849,표2[#ALL],2)/HLOOKUP($A849,표1[#ALL],row(),false)</f>
        <v>#N/A</v>
      </c>
      <c r="AF849" s="376" t="str">
        <f>CS_PID!AF849/VLOOKUP($B849,표2[#ALL],2)/HLOOKUP($A849,표1[#ALL],row(),false)</f>
        <v>#N/A</v>
      </c>
      <c r="AG849" s="376" t="str">
        <f>CS_PID!AG849/VLOOKUP($B849,표2[#ALL],2)/HLOOKUP($A849,표1[#ALL],row(),false)</f>
        <v>#N/A</v>
      </c>
      <c r="AH849" s="376" t="str">
        <f>CS_PID!AH849/VLOOKUP($B849,표2[#ALL],2)/HLOOKUP($A849,표1[#ALL],row(),false)</f>
        <v>#N/A</v>
      </c>
      <c r="AI849" s="376" t="str">
        <f>CS_PID!AI849/VLOOKUP($B849,표2[#ALL],2)/HLOOKUP($A849,표1[#ALL],row(),false)</f>
        <v>#N/A</v>
      </c>
      <c r="AJ849" s="376" t="str">
        <f>CS_PID!AJ849/VLOOKUP($B849,표2[#ALL],2)/HLOOKUP($A849,표1[#ALL],row(),false)</f>
        <v>#N/A</v>
      </c>
      <c r="AK849" s="376" t="str">
        <f>CS_PID!AK849/VLOOKUP($B849,표2[#ALL],2)/HLOOKUP($A849,표1[#ALL],row(),false)</f>
        <v>#N/A</v>
      </c>
      <c r="AL849" s="376" t="str">
        <f>CS_PID!AL849/VLOOKUP($B849,표2[#ALL],2)/HLOOKUP($A849,표1[#ALL],row(),false)</f>
        <v>#N/A</v>
      </c>
      <c r="AM849" s="376" t="str">
        <f>CS_PID!AM849/VLOOKUP($B849,표2[#ALL],2)/HLOOKUP($A849,표1[#ALL],row(),false)</f>
        <v>#N/A</v>
      </c>
      <c r="AN849" s="376" t="str">
        <f>CS_PID!AN849/VLOOKUP($B849,표2[#ALL],2)/HLOOKUP($A849,표1[#ALL],row(),false)</f>
        <v>#N/A</v>
      </c>
      <c r="AO849" s="376" t="str">
        <f>CS_PID!AO849/VLOOKUP($B849,표2[#ALL],2)/HLOOKUP($A849,표1[#ALL],row(),false)</f>
        <v>#N/A</v>
      </c>
      <c r="AP849" s="376" t="str">
        <f>CS_PID!AP849/VLOOKUP($B849,표2[#ALL],2)/HLOOKUP($A849,표1[#ALL],row(),false)</f>
        <v>#N/A</v>
      </c>
      <c r="AQ849" s="376" t="str">
        <f>CS_PID!AQ849/VLOOKUP($B849,표2[#ALL],2)/HLOOKUP($A849,표1[#ALL],row(),false)</f>
        <v>#N/A</v>
      </c>
      <c r="AR849" s="376" t="str">
        <f>CS_PID!AR849/VLOOKUP($B849,표2[#ALL],2)/HLOOKUP($A849,표1[#ALL],row(),false)</f>
        <v>#N/A</v>
      </c>
      <c r="AS849" s="377" t="str">
        <f>CS_PID!AS849/VLOOKUP($B849,표2[#ALL],2)/HLOOKUP($A849,표1[#ALL],row(),false)</f>
        <v>#N/A</v>
      </c>
    </row>
    <row r="850">
      <c r="A850" s="370"/>
      <c r="B850" s="371"/>
      <c r="C850" s="372" t="str">
        <f>CS_PID!C850/VLOOKUP($B850,표2[#ALL],2)</f>
        <v>#N/A</v>
      </c>
      <c r="D850" s="372" t="str">
        <f>CS_PID!D850/VLOOKUP($B850,표2[#ALL],2)</f>
        <v>#N/A</v>
      </c>
      <c r="E850" s="372" t="str">
        <f>CS_PID!E850/VLOOKUP($B850,표2[#ALL],2)</f>
        <v>#N/A</v>
      </c>
      <c r="F850" s="372" t="str">
        <f>CS_PID!F850/VLOOKUP($B850,표2[#ALL],2)</f>
        <v>#N/A</v>
      </c>
      <c r="G850" s="372" t="str">
        <f>CS_PID!G850/VLOOKUP($B850,표2[#ALL],2)</f>
        <v>#N/A</v>
      </c>
      <c r="H850" s="372" t="str">
        <f>CS_PID!H850/VLOOKUP($B850,표2[#ALL],2)/HLOOKUP($A850,표1[#ALL],row(),false)</f>
        <v>#N/A</v>
      </c>
      <c r="I850" s="372" t="str">
        <f>CS_PID!I850/VLOOKUP($B850,표2[#ALL],2)/HLOOKUP($A850,표1[#ALL],row(),false)</f>
        <v>#N/A</v>
      </c>
      <c r="J850" s="372" t="str">
        <f>CS_PID!J850/VLOOKUP($B850,표2[#ALL],2)/HLOOKUP($A850,표1[#ALL],row(),false)</f>
        <v>#N/A</v>
      </c>
      <c r="K850" s="372" t="str">
        <f>CS_PID!K850/VLOOKUP($B850,표2[#ALL],2)/HLOOKUP($A850,표1[#ALL],row(),false)</f>
        <v>#N/A</v>
      </c>
      <c r="L850" s="372" t="str">
        <f>CS_PID!L850/VLOOKUP($B850,표2[#ALL],2)/HLOOKUP($A850,표1[#ALL],row(),false)</f>
        <v>#N/A</v>
      </c>
      <c r="M850" s="372" t="str">
        <f>CS_PID!M850/VLOOKUP($B850,표2[#ALL],2)/HLOOKUP($A850,표1[#ALL],row(),false)</f>
        <v>#N/A</v>
      </c>
      <c r="N850" s="372" t="str">
        <f>CS_PID!N850/VLOOKUP($B850,표2[#ALL],2)/HLOOKUP($A850,표1[#ALL],row(),false)</f>
        <v>#N/A</v>
      </c>
      <c r="O850" s="372" t="str">
        <f>CS_PID!O850/VLOOKUP($B850,표2[#ALL],2)/HLOOKUP($A850,표1[#ALL],row(),false)</f>
        <v>#N/A</v>
      </c>
      <c r="P850" s="372" t="str">
        <f>CS_PID!P850/VLOOKUP($B850,표2[#ALL],2)/HLOOKUP($A850,표1[#ALL],row(),false)</f>
        <v>#N/A</v>
      </c>
      <c r="Q850" s="372" t="str">
        <f>CS_PID!Q850/VLOOKUP($B850,표2[#ALL],2)/HLOOKUP($A850,표1[#ALL],row(),false)</f>
        <v>#N/A</v>
      </c>
      <c r="R850" s="372" t="str">
        <f>CS_PID!R850/VLOOKUP($B850,표2[#ALL],2)/HLOOKUP($A850,표1[#ALL],row(),false)</f>
        <v>#N/A</v>
      </c>
      <c r="S850" s="372" t="str">
        <f>CS_PID!S850/VLOOKUP($B850,표2[#ALL],2)/HLOOKUP($A850,표1[#ALL],row(),false)</f>
        <v>#N/A</v>
      </c>
      <c r="T850" s="372" t="str">
        <f>CS_PID!T850/VLOOKUP($B850,표2[#ALL],2)/HLOOKUP($A850,표1[#ALL],row(),false)</f>
        <v>#N/A</v>
      </c>
      <c r="U850" s="372" t="str">
        <f>CS_PID!U850/VLOOKUP($B850,표2[#ALL],2)/HLOOKUP($A850,표1[#ALL],row(),false)</f>
        <v>#N/A</v>
      </c>
      <c r="V850" s="372" t="str">
        <f>CS_PID!V850/VLOOKUP($B850,표2[#ALL],2)/HLOOKUP($A850,표1[#ALL],row(),false)</f>
        <v>#N/A</v>
      </c>
      <c r="W850" s="372" t="str">
        <f>CS_PID!W850/VLOOKUP($B850,표2[#ALL],2)/HLOOKUP($A850,표1[#ALL],row(),false)</f>
        <v>#N/A</v>
      </c>
      <c r="X850" s="372" t="str">
        <f>CS_PID!X850/VLOOKUP($B850,표2[#ALL],2)/HLOOKUP($A850,표1[#ALL],row(),false)</f>
        <v>#N/A</v>
      </c>
      <c r="Y850" s="372" t="str">
        <f>CS_PID!Y850/VLOOKUP($B850,표2[#ALL],2)/HLOOKUP($A850,표1[#ALL],row(),false)</f>
        <v>#N/A</v>
      </c>
      <c r="Z850" s="372" t="str">
        <f>CS_PID!Z850/VLOOKUP($B850,표2[#ALL],2)/HLOOKUP($A850,표1[#ALL],row(),false)</f>
        <v>#N/A</v>
      </c>
      <c r="AA850" s="372" t="str">
        <f>CS_PID!AA850/VLOOKUP($B850,표2[#ALL],2)/HLOOKUP($A850,표1[#ALL],row(),false)</f>
        <v>#N/A</v>
      </c>
      <c r="AB850" s="372" t="str">
        <f>CS_PID!AB850/VLOOKUP($B850,표2[#ALL],2)/HLOOKUP($A850,표1[#ALL],row(),false)</f>
        <v>#N/A</v>
      </c>
      <c r="AC850" s="372" t="str">
        <f>CS_PID!AC850/VLOOKUP($B850,표2[#ALL],2)/HLOOKUP($A850,표1[#ALL],row(),false)</f>
        <v>#N/A</v>
      </c>
      <c r="AD850" s="372" t="str">
        <f>CS_PID!AD850/VLOOKUP($B850,표2[#ALL],2)/HLOOKUP($A850,표1[#ALL],row(),false)</f>
        <v>#N/A</v>
      </c>
      <c r="AE850" s="372" t="str">
        <f>CS_PID!AE850/VLOOKUP($B850,표2[#ALL],2)/HLOOKUP($A850,표1[#ALL],row(),false)</f>
        <v>#N/A</v>
      </c>
      <c r="AF850" s="372" t="str">
        <f>CS_PID!AF850/VLOOKUP($B850,표2[#ALL],2)/HLOOKUP($A850,표1[#ALL],row(),false)</f>
        <v>#N/A</v>
      </c>
      <c r="AG850" s="372" t="str">
        <f>CS_PID!AG850/VLOOKUP($B850,표2[#ALL],2)/HLOOKUP($A850,표1[#ALL],row(),false)</f>
        <v>#N/A</v>
      </c>
      <c r="AH850" s="372" t="str">
        <f>CS_PID!AH850/VLOOKUP($B850,표2[#ALL],2)/HLOOKUP($A850,표1[#ALL],row(),false)</f>
        <v>#N/A</v>
      </c>
      <c r="AI850" s="372" t="str">
        <f>CS_PID!AI850/VLOOKUP($B850,표2[#ALL],2)/HLOOKUP($A850,표1[#ALL],row(),false)</f>
        <v>#N/A</v>
      </c>
      <c r="AJ850" s="372" t="str">
        <f>CS_PID!AJ850/VLOOKUP($B850,표2[#ALL],2)/HLOOKUP($A850,표1[#ALL],row(),false)</f>
        <v>#N/A</v>
      </c>
      <c r="AK850" s="372" t="str">
        <f>CS_PID!AK850/VLOOKUP($B850,표2[#ALL],2)/HLOOKUP($A850,표1[#ALL],row(),false)</f>
        <v>#N/A</v>
      </c>
      <c r="AL850" s="372" t="str">
        <f>CS_PID!AL850/VLOOKUP($B850,표2[#ALL],2)/HLOOKUP($A850,표1[#ALL],row(),false)</f>
        <v>#N/A</v>
      </c>
      <c r="AM850" s="372" t="str">
        <f>CS_PID!AM850/VLOOKUP($B850,표2[#ALL],2)/HLOOKUP($A850,표1[#ALL],row(),false)</f>
        <v>#N/A</v>
      </c>
      <c r="AN850" s="372" t="str">
        <f>CS_PID!AN850/VLOOKUP($B850,표2[#ALL],2)/HLOOKUP($A850,표1[#ALL],row(),false)</f>
        <v>#N/A</v>
      </c>
      <c r="AO850" s="372" t="str">
        <f>CS_PID!AO850/VLOOKUP($B850,표2[#ALL],2)/HLOOKUP($A850,표1[#ALL],row(),false)</f>
        <v>#N/A</v>
      </c>
      <c r="AP850" s="372" t="str">
        <f>CS_PID!AP850/VLOOKUP($B850,표2[#ALL],2)/HLOOKUP($A850,표1[#ALL],row(),false)</f>
        <v>#N/A</v>
      </c>
      <c r="AQ850" s="372" t="str">
        <f>CS_PID!AQ850/VLOOKUP($B850,표2[#ALL],2)/HLOOKUP($A850,표1[#ALL],row(),false)</f>
        <v>#N/A</v>
      </c>
      <c r="AR850" s="372" t="str">
        <f>CS_PID!AR850/VLOOKUP($B850,표2[#ALL],2)/HLOOKUP($A850,표1[#ALL],row(),false)</f>
        <v>#N/A</v>
      </c>
      <c r="AS850" s="373" t="str">
        <f>CS_PID!AS850/VLOOKUP($B850,표2[#ALL],2)/HLOOKUP($A850,표1[#ALL],row(),false)</f>
        <v>#N/A</v>
      </c>
    </row>
    <row r="851">
      <c r="A851" s="374"/>
      <c r="B851" s="375"/>
      <c r="C851" s="376" t="str">
        <f>CS_PID!C851/VLOOKUP($B851,표2[#ALL],2)</f>
        <v>#N/A</v>
      </c>
      <c r="D851" s="376" t="str">
        <f>CS_PID!D851/VLOOKUP($B851,표2[#ALL],2)</f>
        <v>#N/A</v>
      </c>
      <c r="E851" s="376" t="str">
        <f>CS_PID!E851/VLOOKUP($B851,표2[#ALL],2)</f>
        <v>#N/A</v>
      </c>
      <c r="F851" s="376" t="str">
        <f>CS_PID!F851/VLOOKUP($B851,표2[#ALL],2)</f>
        <v>#N/A</v>
      </c>
      <c r="G851" s="376" t="str">
        <f>CS_PID!G851/VLOOKUP($B851,표2[#ALL],2)</f>
        <v>#N/A</v>
      </c>
      <c r="H851" s="376" t="str">
        <f>CS_PID!H851/VLOOKUP($B851,표2[#ALL],2)/HLOOKUP($A851,표1[#ALL],row(),false)</f>
        <v>#N/A</v>
      </c>
      <c r="I851" s="376" t="str">
        <f>CS_PID!I851/VLOOKUP($B851,표2[#ALL],2)/HLOOKUP($A851,표1[#ALL],row(),false)</f>
        <v>#N/A</v>
      </c>
      <c r="J851" s="376" t="str">
        <f>CS_PID!J851/VLOOKUP($B851,표2[#ALL],2)/HLOOKUP($A851,표1[#ALL],row(),false)</f>
        <v>#N/A</v>
      </c>
      <c r="K851" s="376" t="str">
        <f>CS_PID!K851/VLOOKUP($B851,표2[#ALL],2)/HLOOKUP($A851,표1[#ALL],row(),false)</f>
        <v>#N/A</v>
      </c>
      <c r="L851" s="376" t="str">
        <f>CS_PID!L851/VLOOKUP($B851,표2[#ALL],2)/HLOOKUP($A851,표1[#ALL],row(),false)</f>
        <v>#N/A</v>
      </c>
      <c r="M851" s="376" t="str">
        <f>CS_PID!M851/VLOOKUP($B851,표2[#ALL],2)/HLOOKUP($A851,표1[#ALL],row(),false)</f>
        <v>#N/A</v>
      </c>
      <c r="N851" s="376" t="str">
        <f>CS_PID!N851/VLOOKUP($B851,표2[#ALL],2)/HLOOKUP($A851,표1[#ALL],row(),false)</f>
        <v>#N/A</v>
      </c>
      <c r="O851" s="376" t="str">
        <f>CS_PID!O851/VLOOKUP($B851,표2[#ALL],2)/HLOOKUP($A851,표1[#ALL],row(),false)</f>
        <v>#N/A</v>
      </c>
      <c r="P851" s="376" t="str">
        <f>CS_PID!P851/VLOOKUP($B851,표2[#ALL],2)/HLOOKUP($A851,표1[#ALL],row(),false)</f>
        <v>#N/A</v>
      </c>
      <c r="Q851" s="376" t="str">
        <f>CS_PID!Q851/VLOOKUP($B851,표2[#ALL],2)/HLOOKUP($A851,표1[#ALL],row(),false)</f>
        <v>#N/A</v>
      </c>
      <c r="R851" s="376" t="str">
        <f>CS_PID!R851/VLOOKUP($B851,표2[#ALL],2)/HLOOKUP($A851,표1[#ALL],row(),false)</f>
        <v>#N/A</v>
      </c>
      <c r="S851" s="376" t="str">
        <f>CS_PID!S851/VLOOKUP($B851,표2[#ALL],2)/HLOOKUP($A851,표1[#ALL],row(),false)</f>
        <v>#N/A</v>
      </c>
      <c r="T851" s="376" t="str">
        <f>CS_PID!T851/VLOOKUP($B851,표2[#ALL],2)/HLOOKUP($A851,표1[#ALL],row(),false)</f>
        <v>#N/A</v>
      </c>
      <c r="U851" s="376" t="str">
        <f>CS_PID!U851/VLOOKUP($B851,표2[#ALL],2)/HLOOKUP($A851,표1[#ALL],row(),false)</f>
        <v>#N/A</v>
      </c>
      <c r="V851" s="376" t="str">
        <f>CS_PID!V851/VLOOKUP($B851,표2[#ALL],2)/HLOOKUP($A851,표1[#ALL],row(),false)</f>
        <v>#N/A</v>
      </c>
      <c r="W851" s="376" t="str">
        <f>CS_PID!W851/VLOOKUP($B851,표2[#ALL],2)/HLOOKUP($A851,표1[#ALL],row(),false)</f>
        <v>#N/A</v>
      </c>
      <c r="X851" s="376" t="str">
        <f>CS_PID!X851/VLOOKUP($B851,표2[#ALL],2)/HLOOKUP($A851,표1[#ALL],row(),false)</f>
        <v>#N/A</v>
      </c>
      <c r="Y851" s="376" t="str">
        <f>CS_PID!Y851/VLOOKUP($B851,표2[#ALL],2)/HLOOKUP($A851,표1[#ALL],row(),false)</f>
        <v>#N/A</v>
      </c>
      <c r="Z851" s="376" t="str">
        <f>CS_PID!Z851/VLOOKUP($B851,표2[#ALL],2)/HLOOKUP($A851,표1[#ALL],row(),false)</f>
        <v>#N/A</v>
      </c>
      <c r="AA851" s="376" t="str">
        <f>CS_PID!AA851/VLOOKUP($B851,표2[#ALL],2)/HLOOKUP($A851,표1[#ALL],row(),false)</f>
        <v>#N/A</v>
      </c>
      <c r="AB851" s="376" t="str">
        <f>CS_PID!AB851/VLOOKUP($B851,표2[#ALL],2)/HLOOKUP($A851,표1[#ALL],row(),false)</f>
        <v>#N/A</v>
      </c>
      <c r="AC851" s="376" t="str">
        <f>CS_PID!AC851/VLOOKUP($B851,표2[#ALL],2)/HLOOKUP($A851,표1[#ALL],row(),false)</f>
        <v>#N/A</v>
      </c>
      <c r="AD851" s="376" t="str">
        <f>CS_PID!AD851/VLOOKUP($B851,표2[#ALL],2)/HLOOKUP($A851,표1[#ALL],row(),false)</f>
        <v>#N/A</v>
      </c>
      <c r="AE851" s="376" t="str">
        <f>CS_PID!AE851/VLOOKUP($B851,표2[#ALL],2)/HLOOKUP($A851,표1[#ALL],row(),false)</f>
        <v>#N/A</v>
      </c>
      <c r="AF851" s="376" t="str">
        <f>CS_PID!AF851/VLOOKUP($B851,표2[#ALL],2)/HLOOKUP($A851,표1[#ALL],row(),false)</f>
        <v>#N/A</v>
      </c>
      <c r="AG851" s="376" t="str">
        <f>CS_PID!AG851/VLOOKUP($B851,표2[#ALL],2)/HLOOKUP($A851,표1[#ALL],row(),false)</f>
        <v>#N/A</v>
      </c>
      <c r="AH851" s="376" t="str">
        <f>CS_PID!AH851/VLOOKUP($B851,표2[#ALL],2)/HLOOKUP($A851,표1[#ALL],row(),false)</f>
        <v>#N/A</v>
      </c>
      <c r="AI851" s="376" t="str">
        <f>CS_PID!AI851/VLOOKUP($B851,표2[#ALL],2)/HLOOKUP($A851,표1[#ALL],row(),false)</f>
        <v>#N/A</v>
      </c>
      <c r="AJ851" s="376" t="str">
        <f>CS_PID!AJ851/VLOOKUP($B851,표2[#ALL],2)/HLOOKUP($A851,표1[#ALL],row(),false)</f>
        <v>#N/A</v>
      </c>
      <c r="AK851" s="376" t="str">
        <f>CS_PID!AK851/VLOOKUP($B851,표2[#ALL],2)/HLOOKUP($A851,표1[#ALL],row(),false)</f>
        <v>#N/A</v>
      </c>
      <c r="AL851" s="376" t="str">
        <f>CS_PID!AL851/VLOOKUP($B851,표2[#ALL],2)/HLOOKUP($A851,표1[#ALL],row(),false)</f>
        <v>#N/A</v>
      </c>
      <c r="AM851" s="376" t="str">
        <f>CS_PID!AM851/VLOOKUP($B851,표2[#ALL],2)/HLOOKUP($A851,표1[#ALL],row(),false)</f>
        <v>#N/A</v>
      </c>
      <c r="AN851" s="376" t="str">
        <f>CS_PID!AN851/VLOOKUP($B851,표2[#ALL],2)/HLOOKUP($A851,표1[#ALL],row(),false)</f>
        <v>#N/A</v>
      </c>
      <c r="AO851" s="376" t="str">
        <f>CS_PID!AO851/VLOOKUP($B851,표2[#ALL],2)/HLOOKUP($A851,표1[#ALL],row(),false)</f>
        <v>#N/A</v>
      </c>
      <c r="AP851" s="376" t="str">
        <f>CS_PID!AP851/VLOOKUP($B851,표2[#ALL],2)/HLOOKUP($A851,표1[#ALL],row(),false)</f>
        <v>#N/A</v>
      </c>
      <c r="AQ851" s="376" t="str">
        <f>CS_PID!AQ851/VLOOKUP($B851,표2[#ALL],2)/HLOOKUP($A851,표1[#ALL],row(),false)</f>
        <v>#N/A</v>
      </c>
      <c r="AR851" s="376" t="str">
        <f>CS_PID!AR851/VLOOKUP($B851,표2[#ALL],2)/HLOOKUP($A851,표1[#ALL],row(),false)</f>
        <v>#N/A</v>
      </c>
      <c r="AS851" s="377" t="str">
        <f>CS_PID!AS851/VLOOKUP($B851,표2[#ALL],2)/HLOOKUP($A851,표1[#ALL],row(),false)</f>
        <v>#N/A</v>
      </c>
    </row>
    <row r="852">
      <c r="A852" s="370"/>
      <c r="B852" s="371"/>
      <c r="C852" s="372" t="str">
        <f>CS_PID!C852/VLOOKUP($B852,표2[#ALL],2)</f>
        <v>#N/A</v>
      </c>
      <c r="D852" s="372" t="str">
        <f>CS_PID!D852/VLOOKUP($B852,표2[#ALL],2)</f>
        <v>#N/A</v>
      </c>
      <c r="E852" s="372" t="str">
        <f>CS_PID!E852/VLOOKUP($B852,표2[#ALL],2)</f>
        <v>#N/A</v>
      </c>
      <c r="F852" s="372" t="str">
        <f>CS_PID!F852/VLOOKUP($B852,표2[#ALL],2)</f>
        <v>#N/A</v>
      </c>
      <c r="G852" s="372" t="str">
        <f>CS_PID!G852/VLOOKUP($B852,표2[#ALL],2)</f>
        <v>#N/A</v>
      </c>
      <c r="H852" s="372" t="str">
        <f>CS_PID!H852/VLOOKUP($B852,표2[#ALL],2)/HLOOKUP($A852,표1[#ALL],row(),false)</f>
        <v>#N/A</v>
      </c>
      <c r="I852" s="372" t="str">
        <f>CS_PID!I852/VLOOKUP($B852,표2[#ALL],2)/HLOOKUP($A852,표1[#ALL],row(),false)</f>
        <v>#N/A</v>
      </c>
      <c r="J852" s="372" t="str">
        <f>CS_PID!J852/VLOOKUP($B852,표2[#ALL],2)/HLOOKUP($A852,표1[#ALL],row(),false)</f>
        <v>#N/A</v>
      </c>
      <c r="K852" s="372" t="str">
        <f>CS_PID!K852/VLOOKUP($B852,표2[#ALL],2)/HLOOKUP($A852,표1[#ALL],row(),false)</f>
        <v>#N/A</v>
      </c>
      <c r="L852" s="372" t="str">
        <f>CS_PID!L852/VLOOKUP($B852,표2[#ALL],2)/HLOOKUP($A852,표1[#ALL],row(),false)</f>
        <v>#N/A</v>
      </c>
      <c r="M852" s="372" t="str">
        <f>CS_PID!M852/VLOOKUP($B852,표2[#ALL],2)/HLOOKUP($A852,표1[#ALL],row(),false)</f>
        <v>#N/A</v>
      </c>
      <c r="N852" s="372" t="str">
        <f>CS_PID!N852/VLOOKUP($B852,표2[#ALL],2)/HLOOKUP($A852,표1[#ALL],row(),false)</f>
        <v>#N/A</v>
      </c>
      <c r="O852" s="372" t="str">
        <f>CS_PID!O852/VLOOKUP($B852,표2[#ALL],2)/HLOOKUP($A852,표1[#ALL],row(),false)</f>
        <v>#N/A</v>
      </c>
      <c r="P852" s="372" t="str">
        <f>CS_PID!P852/VLOOKUP($B852,표2[#ALL],2)/HLOOKUP($A852,표1[#ALL],row(),false)</f>
        <v>#N/A</v>
      </c>
      <c r="Q852" s="372" t="str">
        <f>CS_PID!Q852/VLOOKUP($B852,표2[#ALL],2)/HLOOKUP($A852,표1[#ALL],row(),false)</f>
        <v>#N/A</v>
      </c>
      <c r="R852" s="372" t="str">
        <f>CS_PID!R852/VLOOKUP($B852,표2[#ALL],2)/HLOOKUP($A852,표1[#ALL],row(),false)</f>
        <v>#N/A</v>
      </c>
      <c r="S852" s="372" t="str">
        <f>CS_PID!S852/VLOOKUP($B852,표2[#ALL],2)/HLOOKUP($A852,표1[#ALL],row(),false)</f>
        <v>#N/A</v>
      </c>
      <c r="T852" s="372" t="str">
        <f>CS_PID!T852/VLOOKUP($B852,표2[#ALL],2)/HLOOKUP($A852,표1[#ALL],row(),false)</f>
        <v>#N/A</v>
      </c>
      <c r="U852" s="372" t="str">
        <f>CS_PID!U852/VLOOKUP($B852,표2[#ALL],2)/HLOOKUP($A852,표1[#ALL],row(),false)</f>
        <v>#N/A</v>
      </c>
      <c r="V852" s="372" t="str">
        <f>CS_PID!V852/VLOOKUP($B852,표2[#ALL],2)/HLOOKUP($A852,표1[#ALL],row(),false)</f>
        <v>#N/A</v>
      </c>
      <c r="W852" s="372" t="str">
        <f>CS_PID!W852/VLOOKUP($B852,표2[#ALL],2)/HLOOKUP($A852,표1[#ALL],row(),false)</f>
        <v>#N/A</v>
      </c>
      <c r="X852" s="372" t="str">
        <f>CS_PID!X852/VLOOKUP($B852,표2[#ALL],2)/HLOOKUP($A852,표1[#ALL],row(),false)</f>
        <v>#N/A</v>
      </c>
      <c r="Y852" s="372" t="str">
        <f>CS_PID!Y852/VLOOKUP($B852,표2[#ALL],2)/HLOOKUP($A852,표1[#ALL],row(),false)</f>
        <v>#N/A</v>
      </c>
      <c r="Z852" s="372" t="str">
        <f>CS_PID!Z852/VLOOKUP($B852,표2[#ALL],2)/HLOOKUP($A852,표1[#ALL],row(),false)</f>
        <v>#N/A</v>
      </c>
      <c r="AA852" s="372" t="str">
        <f>CS_PID!AA852/VLOOKUP($B852,표2[#ALL],2)/HLOOKUP($A852,표1[#ALL],row(),false)</f>
        <v>#N/A</v>
      </c>
      <c r="AB852" s="372" t="str">
        <f>CS_PID!AB852/VLOOKUP($B852,표2[#ALL],2)/HLOOKUP($A852,표1[#ALL],row(),false)</f>
        <v>#N/A</v>
      </c>
      <c r="AC852" s="372" t="str">
        <f>CS_PID!AC852/VLOOKUP($B852,표2[#ALL],2)/HLOOKUP($A852,표1[#ALL],row(),false)</f>
        <v>#N/A</v>
      </c>
      <c r="AD852" s="372" t="str">
        <f>CS_PID!AD852/VLOOKUP($B852,표2[#ALL],2)/HLOOKUP($A852,표1[#ALL],row(),false)</f>
        <v>#N/A</v>
      </c>
      <c r="AE852" s="372" t="str">
        <f>CS_PID!AE852/VLOOKUP($B852,표2[#ALL],2)/HLOOKUP($A852,표1[#ALL],row(),false)</f>
        <v>#N/A</v>
      </c>
      <c r="AF852" s="372" t="str">
        <f>CS_PID!AF852/VLOOKUP($B852,표2[#ALL],2)/HLOOKUP($A852,표1[#ALL],row(),false)</f>
        <v>#N/A</v>
      </c>
      <c r="AG852" s="372" t="str">
        <f>CS_PID!AG852/VLOOKUP($B852,표2[#ALL],2)/HLOOKUP($A852,표1[#ALL],row(),false)</f>
        <v>#N/A</v>
      </c>
      <c r="AH852" s="372" t="str">
        <f>CS_PID!AH852/VLOOKUP($B852,표2[#ALL],2)/HLOOKUP($A852,표1[#ALL],row(),false)</f>
        <v>#N/A</v>
      </c>
      <c r="AI852" s="372" t="str">
        <f>CS_PID!AI852/VLOOKUP($B852,표2[#ALL],2)/HLOOKUP($A852,표1[#ALL],row(),false)</f>
        <v>#N/A</v>
      </c>
      <c r="AJ852" s="372" t="str">
        <f>CS_PID!AJ852/VLOOKUP($B852,표2[#ALL],2)/HLOOKUP($A852,표1[#ALL],row(),false)</f>
        <v>#N/A</v>
      </c>
      <c r="AK852" s="372" t="str">
        <f>CS_PID!AK852/VLOOKUP($B852,표2[#ALL],2)/HLOOKUP($A852,표1[#ALL],row(),false)</f>
        <v>#N/A</v>
      </c>
      <c r="AL852" s="372" t="str">
        <f>CS_PID!AL852/VLOOKUP($B852,표2[#ALL],2)/HLOOKUP($A852,표1[#ALL],row(),false)</f>
        <v>#N/A</v>
      </c>
      <c r="AM852" s="372" t="str">
        <f>CS_PID!AM852/VLOOKUP($B852,표2[#ALL],2)/HLOOKUP($A852,표1[#ALL],row(),false)</f>
        <v>#N/A</v>
      </c>
      <c r="AN852" s="372" t="str">
        <f>CS_PID!AN852/VLOOKUP($B852,표2[#ALL],2)/HLOOKUP($A852,표1[#ALL],row(),false)</f>
        <v>#N/A</v>
      </c>
      <c r="AO852" s="372" t="str">
        <f>CS_PID!AO852/VLOOKUP($B852,표2[#ALL],2)/HLOOKUP($A852,표1[#ALL],row(),false)</f>
        <v>#N/A</v>
      </c>
      <c r="AP852" s="372" t="str">
        <f>CS_PID!AP852/VLOOKUP($B852,표2[#ALL],2)/HLOOKUP($A852,표1[#ALL],row(),false)</f>
        <v>#N/A</v>
      </c>
      <c r="AQ852" s="372" t="str">
        <f>CS_PID!AQ852/VLOOKUP($B852,표2[#ALL],2)/HLOOKUP($A852,표1[#ALL],row(),false)</f>
        <v>#N/A</v>
      </c>
      <c r="AR852" s="372" t="str">
        <f>CS_PID!AR852/VLOOKUP($B852,표2[#ALL],2)/HLOOKUP($A852,표1[#ALL],row(),false)</f>
        <v>#N/A</v>
      </c>
      <c r="AS852" s="373" t="str">
        <f>CS_PID!AS852/VLOOKUP($B852,표2[#ALL],2)/HLOOKUP($A852,표1[#ALL],row(),false)</f>
        <v>#N/A</v>
      </c>
    </row>
    <row r="853">
      <c r="A853" s="374"/>
      <c r="B853" s="375"/>
      <c r="C853" s="376" t="str">
        <f>CS_PID!C853/VLOOKUP($B853,표2[#ALL],2)</f>
        <v>#N/A</v>
      </c>
      <c r="D853" s="376" t="str">
        <f>CS_PID!D853/VLOOKUP($B853,표2[#ALL],2)</f>
        <v>#N/A</v>
      </c>
      <c r="E853" s="376" t="str">
        <f>CS_PID!E853/VLOOKUP($B853,표2[#ALL],2)</f>
        <v>#N/A</v>
      </c>
      <c r="F853" s="376" t="str">
        <f>CS_PID!F853/VLOOKUP($B853,표2[#ALL],2)</f>
        <v>#N/A</v>
      </c>
      <c r="G853" s="376" t="str">
        <f>CS_PID!G853/VLOOKUP($B853,표2[#ALL],2)</f>
        <v>#N/A</v>
      </c>
      <c r="H853" s="376" t="str">
        <f>CS_PID!H853/VLOOKUP($B853,표2[#ALL],2)/HLOOKUP($A853,표1[#ALL],row(),false)</f>
        <v>#N/A</v>
      </c>
      <c r="I853" s="376" t="str">
        <f>CS_PID!I853/VLOOKUP($B853,표2[#ALL],2)/HLOOKUP($A853,표1[#ALL],row(),false)</f>
        <v>#N/A</v>
      </c>
      <c r="J853" s="376" t="str">
        <f>CS_PID!J853/VLOOKUP($B853,표2[#ALL],2)/HLOOKUP($A853,표1[#ALL],row(),false)</f>
        <v>#N/A</v>
      </c>
      <c r="K853" s="376" t="str">
        <f>CS_PID!K853/VLOOKUP($B853,표2[#ALL],2)/HLOOKUP($A853,표1[#ALL],row(),false)</f>
        <v>#N/A</v>
      </c>
      <c r="L853" s="376" t="str">
        <f>CS_PID!L853/VLOOKUP($B853,표2[#ALL],2)/HLOOKUP($A853,표1[#ALL],row(),false)</f>
        <v>#N/A</v>
      </c>
      <c r="M853" s="376" t="str">
        <f>CS_PID!M853/VLOOKUP($B853,표2[#ALL],2)/HLOOKUP($A853,표1[#ALL],row(),false)</f>
        <v>#N/A</v>
      </c>
      <c r="N853" s="376" t="str">
        <f>CS_PID!N853/VLOOKUP($B853,표2[#ALL],2)/HLOOKUP($A853,표1[#ALL],row(),false)</f>
        <v>#N/A</v>
      </c>
      <c r="O853" s="376" t="str">
        <f>CS_PID!O853/VLOOKUP($B853,표2[#ALL],2)/HLOOKUP($A853,표1[#ALL],row(),false)</f>
        <v>#N/A</v>
      </c>
      <c r="P853" s="376" t="str">
        <f>CS_PID!P853/VLOOKUP($B853,표2[#ALL],2)/HLOOKUP($A853,표1[#ALL],row(),false)</f>
        <v>#N/A</v>
      </c>
      <c r="Q853" s="376" t="str">
        <f>CS_PID!Q853/VLOOKUP($B853,표2[#ALL],2)/HLOOKUP($A853,표1[#ALL],row(),false)</f>
        <v>#N/A</v>
      </c>
      <c r="R853" s="376" t="str">
        <f>CS_PID!R853/VLOOKUP($B853,표2[#ALL],2)/HLOOKUP($A853,표1[#ALL],row(),false)</f>
        <v>#N/A</v>
      </c>
      <c r="S853" s="376" t="str">
        <f>CS_PID!S853/VLOOKUP($B853,표2[#ALL],2)/HLOOKUP($A853,표1[#ALL],row(),false)</f>
        <v>#N/A</v>
      </c>
      <c r="T853" s="376" t="str">
        <f>CS_PID!T853/VLOOKUP($B853,표2[#ALL],2)/HLOOKUP($A853,표1[#ALL],row(),false)</f>
        <v>#N/A</v>
      </c>
      <c r="U853" s="376" t="str">
        <f>CS_PID!U853/VLOOKUP($B853,표2[#ALL],2)/HLOOKUP($A853,표1[#ALL],row(),false)</f>
        <v>#N/A</v>
      </c>
      <c r="V853" s="376" t="str">
        <f>CS_PID!V853/VLOOKUP($B853,표2[#ALL],2)/HLOOKUP($A853,표1[#ALL],row(),false)</f>
        <v>#N/A</v>
      </c>
      <c r="W853" s="376" t="str">
        <f>CS_PID!W853/VLOOKUP($B853,표2[#ALL],2)/HLOOKUP($A853,표1[#ALL],row(),false)</f>
        <v>#N/A</v>
      </c>
      <c r="X853" s="376" t="str">
        <f>CS_PID!X853/VLOOKUP($B853,표2[#ALL],2)/HLOOKUP($A853,표1[#ALL],row(),false)</f>
        <v>#N/A</v>
      </c>
      <c r="Y853" s="376" t="str">
        <f>CS_PID!Y853/VLOOKUP($B853,표2[#ALL],2)/HLOOKUP($A853,표1[#ALL],row(),false)</f>
        <v>#N/A</v>
      </c>
      <c r="Z853" s="376" t="str">
        <f>CS_PID!Z853/VLOOKUP($B853,표2[#ALL],2)/HLOOKUP($A853,표1[#ALL],row(),false)</f>
        <v>#N/A</v>
      </c>
      <c r="AA853" s="376" t="str">
        <f>CS_PID!AA853/VLOOKUP($B853,표2[#ALL],2)/HLOOKUP($A853,표1[#ALL],row(),false)</f>
        <v>#N/A</v>
      </c>
      <c r="AB853" s="376" t="str">
        <f>CS_PID!AB853/VLOOKUP($B853,표2[#ALL],2)/HLOOKUP($A853,표1[#ALL],row(),false)</f>
        <v>#N/A</v>
      </c>
      <c r="AC853" s="376" t="str">
        <f>CS_PID!AC853/VLOOKUP($B853,표2[#ALL],2)/HLOOKUP($A853,표1[#ALL],row(),false)</f>
        <v>#N/A</v>
      </c>
      <c r="AD853" s="376" t="str">
        <f>CS_PID!AD853/VLOOKUP($B853,표2[#ALL],2)/HLOOKUP($A853,표1[#ALL],row(),false)</f>
        <v>#N/A</v>
      </c>
      <c r="AE853" s="376" t="str">
        <f>CS_PID!AE853/VLOOKUP($B853,표2[#ALL],2)/HLOOKUP($A853,표1[#ALL],row(),false)</f>
        <v>#N/A</v>
      </c>
      <c r="AF853" s="376" t="str">
        <f>CS_PID!AF853/VLOOKUP($B853,표2[#ALL],2)/HLOOKUP($A853,표1[#ALL],row(),false)</f>
        <v>#N/A</v>
      </c>
      <c r="AG853" s="376" t="str">
        <f>CS_PID!AG853/VLOOKUP($B853,표2[#ALL],2)/HLOOKUP($A853,표1[#ALL],row(),false)</f>
        <v>#N/A</v>
      </c>
      <c r="AH853" s="376" t="str">
        <f>CS_PID!AH853/VLOOKUP($B853,표2[#ALL],2)/HLOOKUP($A853,표1[#ALL],row(),false)</f>
        <v>#N/A</v>
      </c>
      <c r="AI853" s="376" t="str">
        <f>CS_PID!AI853/VLOOKUP($B853,표2[#ALL],2)/HLOOKUP($A853,표1[#ALL],row(),false)</f>
        <v>#N/A</v>
      </c>
      <c r="AJ853" s="376" t="str">
        <f>CS_PID!AJ853/VLOOKUP($B853,표2[#ALL],2)/HLOOKUP($A853,표1[#ALL],row(),false)</f>
        <v>#N/A</v>
      </c>
      <c r="AK853" s="376" t="str">
        <f>CS_PID!AK853/VLOOKUP($B853,표2[#ALL],2)/HLOOKUP($A853,표1[#ALL],row(),false)</f>
        <v>#N/A</v>
      </c>
      <c r="AL853" s="376" t="str">
        <f>CS_PID!AL853/VLOOKUP($B853,표2[#ALL],2)/HLOOKUP($A853,표1[#ALL],row(),false)</f>
        <v>#N/A</v>
      </c>
      <c r="AM853" s="376" t="str">
        <f>CS_PID!AM853/VLOOKUP($B853,표2[#ALL],2)/HLOOKUP($A853,표1[#ALL],row(),false)</f>
        <v>#N/A</v>
      </c>
      <c r="AN853" s="376" t="str">
        <f>CS_PID!AN853/VLOOKUP($B853,표2[#ALL],2)/HLOOKUP($A853,표1[#ALL],row(),false)</f>
        <v>#N/A</v>
      </c>
      <c r="AO853" s="376" t="str">
        <f>CS_PID!AO853/VLOOKUP($B853,표2[#ALL],2)/HLOOKUP($A853,표1[#ALL],row(),false)</f>
        <v>#N/A</v>
      </c>
      <c r="AP853" s="376" t="str">
        <f>CS_PID!AP853/VLOOKUP($B853,표2[#ALL],2)/HLOOKUP($A853,표1[#ALL],row(),false)</f>
        <v>#N/A</v>
      </c>
      <c r="AQ853" s="376" t="str">
        <f>CS_PID!AQ853/VLOOKUP($B853,표2[#ALL],2)/HLOOKUP($A853,표1[#ALL],row(),false)</f>
        <v>#N/A</v>
      </c>
      <c r="AR853" s="376" t="str">
        <f>CS_PID!AR853/VLOOKUP($B853,표2[#ALL],2)/HLOOKUP($A853,표1[#ALL],row(),false)</f>
        <v>#N/A</v>
      </c>
      <c r="AS853" s="377" t="str">
        <f>CS_PID!AS853/VLOOKUP($B853,표2[#ALL],2)/HLOOKUP($A853,표1[#ALL],row(),false)</f>
        <v>#N/A</v>
      </c>
    </row>
    <row r="854">
      <c r="A854" s="370"/>
      <c r="B854" s="371"/>
      <c r="C854" s="372" t="str">
        <f>CS_PID!C854/VLOOKUP($B854,표2[#ALL],2)</f>
        <v>#N/A</v>
      </c>
      <c r="D854" s="372" t="str">
        <f>CS_PID!D854/VLOOKUP($B854,표2[#ALL],2)</f>
        <v>#N/A</v>
      </c>
      <c r="E854" s="372" t="str">
        <f>CS_PID!E854/VLOOKUP($B854,표2[#ALL],2)</f>
        <v>#N/A</v>
      </c>
      <c r="F854" s="372" t="str">
        <f>CS_PID!F854/VLOOKUP($B854,표2[#ALL],2)</f>
        <v>#N/A</v>
      </c>
      <c r="G854" s="372" t="str">
        <f>CS_PID!G854/VLOOKUP($B854,표2[#ALL],2)</f>
        <v>#N/A</v>
      </c>
      <c r="H854" s="372" t="str">
        <f>CS_PID!H854/VLOOKUP($B854,표2[#ALL],2)/HLOOKUP($A854,표1[#ALL],row(),false)</f>
        <v>#N/A</v>
      </c>
      <c r="I854" s="372" t="str">
        <f>CS_PID!I854/VLOOKUP($B854,표2[#ALL],2)/HLOOKUP($A854,표1[#ALL],row(),false)</f>
        <v>#N/A</v>
      </c>
      <c r="J854" s="372" t="str">
        <f>CS_PID!J854/VLOOKUP($B854,표2[#ALL],2)/HLOOKUP($A854,표1[#ALL],row(),false)</f>
        <v>#N/A</v>
      </c>
      <c r="K854" s="372" t="str">
        <f>CS_PID!K854/VLOOKUP($B854,표2[#ALL],2)/HLOOKUP($A854,표1[#ALL],row(),false)</f>
        <v>#N/A</v>
      </c>
      <c r="L854" s="372" t="str">
        <f>CS_PID!L854/VLOOKUP($B854,표2[#ALL],2)/HLOOKUP($A854,표1[#ALL],row(),false)</f>
        <v>#N/A</v>
      </c>
      <c r="M854" s="372" t="str">
        <f>CS_PID!M854/VLOOKUP($B854,표2[#ALL],2)/HLOOKUP($A854,표1[#ALL],row(),false)</f>
        <v>#N/A</v>
      </c>
      <c r="N854" s="372" t="str">
        <f>CS_PID!N854/VLOOKUP($B854,표2[#ALL],2)/HLOOKUP($A854,표1[#ALL],row(),false)</f>
        <v>#N/A</v>
      </c>
      <c r="O854" s="372" t="str">
        <f>CS_PID!O854/VLOOKUP($B854,표2[#ALL],2)/HLOOKUP($A854,표1[#ALL],row(),false)</f>
        <v>#N/A</v>
      </c>
      <c r="P854" s="372" t="str">
        <f>CS_PID!P854/VLOOKUP($B854,표2[#ALL],2)/HLOOKUP($A854,표1[#ALL],row(),false)</f>
        <v>#N/A</v>
      </c>
      <c r="Q854" s="372" t="str">
        <f>CS_PID!Q854/VLOOKUP($B854,표2[#ALL],2)/HLOOKUP($A854,표1[#ALL],row(),false)</f>
        <v>#N/A</v>
      </c>
      <c r="R854" s="372" t="str">
        <f>CS_PID!R854/VLOOKUP($B854,표2[#ALL],2)/HLOOKUP($A854,표1[#ALL],row(),false)</f>
        <v>#N/A</v>
      </c>
      <c r="S854" s="372" t="str">
        <f>CS_PID!S854/VLOOKUP($B854,표2[#ALL],2)/HLOOKUP($A854,표1[#ALL],row(),false)</f>
        <v>#N/A</v>
      </c>
      <c r="T854" s="372" t="str">
        <f>CS_PID!T854/VLOOKUP($B854,표2[#ALL],2)/HLOOKUP($A854,표1[#ALL],row(),false)</f>
        <v>#N/A</v>
      </c>
      <c r="U854" s="372" t="str">
        <f>CS_PID!U854/VLOOKUP($B854,표2[#ALL],2)/HLOOKUP($A854,표1[#ALL],row(),false)</f>
        <v>#N/A</v>
      </c>
      <c r="V854" s="372" t="str">
        <f>CS_PID!V854/VLOOKUP($B854,표2[#ALL],2)/HLOOKUP($A854,표1[#ALL],row(),false)</f>
        <v>#N/A</v>
      </c>
      <c r="W854" s="372" t="str">
        <f>CS_PID!W854/VLOOKUP($B854,표2[#ALL],2)/HLOOKUP($A854,표1[#ALL],row(),false)</f>
        <v>#N/A</v>
      </c>
      <c r="X854" s="372" t="str">
        <f>CS_PID!X854/VLOOKUP($B854,표2[#ALL],2)/HLOOKUP($A854,표1[#ALL],row(),false)</f>
        <v>#N/A</v>
      </c>
      <c r="Y854" s="372" t="str">
        <f>CS_PID!Y854/VLOOKUP($B854,표2[#ALL],2)/HLOOKUP($A854,표1[#ALL],row(),false)</f>
        <v>#N/A</v>
      </c>
      <c r="Z854" s="372" t="str">
        <f>CS_PID!Z854/VLOOKUP($B854,표2[#ALL],2)/HLOOKUP($A854,표1[#ALL],row(),false)</f>
        <v>#N/A</v>
      </c>
      <c r="AA854" s="372" t="str">
        <f>CS_PID!AA854/VLOOKUP($B854,표2[#ALL],2)/HLOOKUP($A854,표1[#ALL],row(),false)</f>
        <v>#N/A</v>
      </c>
      <c r="AB854" s="372" t="str">
        <f>CS_PID!AB854/VLOOKUP($B854,표2[#ALL],2)/HLOOKUP($A854,표1[#ALL],row(),false)</f>
        <v>#N/A</v>
      </c>
      <c r="AC854" s="372" t="str">
        <f>CS_PID!AC854/VLOOKUP($B854,표2[#ALL],2)/HLOOKUP($A854,표1[#ALL],row(),false)</f>
        <v>#N/A</v>
      </c>
      <c r="AD854" s="372" t="str">
        <f>CS_PID!AD854/VLOOKUP($B854,표2[#ALL],2)/HLOOKUP($A854,표1[#ALL],row(),false)</f>
        <v>#N/A</v>
      </c>
      <c r="AE854" s="372" t="str">
        <f>CS_PID!AE854/VLOOKUP($B854,표2[#ALL],2)/HLOOKUP($A854,표1[#ALL],row(),false)</f>
        <v>#N/A</v>
      </c>
      <c r="AF854" s="372" t="str">
        <f>CS_PID!AF854/VLOOKUP($B854,표2[#ALL],2)/HLOOKUP($A854,표1[#ALL],row(),false)</f>
        <v>#N/A</v>
      </c>
      <c r="AG854" s="372" t="str">
        <f>CS_PID!AG854/VLOOKUP($B854,표2[#ALL],2)/HLOOKUP($A854,표1[#ALL],row(),false)</f>
        <v>#N/A</v>
      </c>
      <c r="AH854" s="372" t="str">
        <f>CS_PID!AH854/VLOOKUP($B854,표2[#ALL],2)/HLOOKUP($A854,표1[#ALL],row(),false)</f>
        <v>#N/A</v>
      </c>
      <c r="AI854" s="372" t="str">
        <f>CS_PID!AI854/VLOOKUP($B854,표2[#ALL],2)/HLOOKUP($A854,표1[#ALL],row(),false)</f>
        <v>#N/A</v>
      </c>
      <c r="AJ854" s="372" t="str">
        <f>CS_PID!AJ854/VLOOKUP($B854,표2[#ALL],2)/HLOOKUP($A854,표1[#ALL],row(),false)</f>
        <v>#N/A</v>
      </c>
      <c r="AK854" s="372" t="str">
        <f>CS_PID!AK854/VLOOKUP($B854,표2[#ALL],2)/HLOOKUP($A854,표1[#ALL],row(),false)</f>
        <v>#N/A</v>
      </c>
      <c r="AL854" s="372" t="str">
        <f>CS_PID!AL854/VLOOKUP($B854,표2[#ALL],2)/HLOOKUP($A854,표1[#ALL],row(),false)</f>
        <v>#N/A</v>
      </c>
      <c r="AM854" s="372" t="str">
        <f>CS_PID!AM854/VLOOKUP($B854,표2[#ALL],2)/HLOOKUP($A854,표1[#ALL],row(),false)</f>
        <v>#N/A</v>
      </c>
      <c r="AN854" s="372" t="str">
        <f>CS_PID!AN854/VLOOKUP($B854,표2[#ALL],2)/HLOOKUP($A854,표1[#ALL],row(),false)</f>
        <v>#N/A</v>
      </c>
      <c r="AO854" s="372" t="str">
        <f>CS_PID!AO854/VLOOKUP($B854,표2[#ALL],2)/HLOOKUP($A854,표1[#ALL],row(),false)</f>
        <v>#N/A</v>
      </c>
      <c r="AP854" s="372" t="str">
        <f>CS_PID!AP854/VLOOKUP($B854,표2[#ALL],2)/HLOOKUP($A854,표1[#ALL],row(),false)</f>
        <v>#N/A</v>
      </c>
      <c r="AQ854" s="372" t="str">
        <f>CS_PID!AQ854/VLOOKUP($B854,표2[#ALL],2)/HLOOKUP($A854,표1[#ALL],row(),false)</f>
        <v>#N/A</v>
      </c>
      <c r="AR854" s="372" t="str">
        <f>CS_PID!AR854/VLOOKUP($B854,표2[#ALL],2)/HLOOKUP($A854,표1[#ALL],row(),false)</f>
        <v>#N/A</v>
      </c>
      <c r="AS854" s="373" t="str">
        <f>CS_PID!AS854/VLOOKUP($B854,표2[#ALL],2)/HLOOKUP($A854,표1[#ALL],row(),false)</f>
        <v>#N/A</v>
      </c>
    </row>
    <row r="855">
      <c r="A855" s="374"/>
      <c r="B855" s="375"/>
      <c r="C855" s="376" t="str">
        <f>CS_PID!C855/VLOOKUP($B855,표2[#ALL],2)</f>
        <v>#N/A</v>
      </c>
      <c r="D855" s="376" t="str">
        <f>CS_PID!D855/VLOOKUP($B855,표2[#ALL],2)</f>
        <v>#N/A</v>
      </c>
      <c r="E855" s="376" t="str">
        <f>CS_PID!E855/VLOOKUP($B855,표2[#ALL],2)</f>
        <v>#N/A</v>
      </c>
      <c r="F855" s="376" t="str">
        <f>CS_PID!F855/VLOOKUP($B855,표2[#ALL],2)</f>
        <v>#N/A</v>
      </c>
      <c r="G855" s="376" t="str">
        <f>CS_PID!G855/VLOOKUP($B855,표2[#ALL],2)</f>
        <v>#N/A</v>
      </c>
      <c r="H855" s="376" t="str">
        <f>CS_PID!H855/VLOOKUP($B855,표2[#ALL],2)/HLOOKUP($A855,표1[#ALL],row(),false)</f>
        <v>#N/A</v>
      </c>
      <c r="I855" s="376" t="str">
        <f>CS_PID!I855/VLOOKUP($B855,표2[#ALL],2)/HLOOKUP($A855,표1[#ALL],row(),false)</f>
        <v>#N/A</v>
      </c>
      <c r="J855" s="376" t="str">
        <f>CS_PID!J855/VLOOKUP($B855,표2[#ALL],2)/HLOOKUP($A855,표1[#ALL],row(),false)</f>
        <v>#N/A</v>
      </c>
      <c r="K855" s="376" t="str">
        <f>CS_PID!K855/VLOOKUP($B855,표2[#ALL],2)/HLOOKUP($A855,표1[#ALL],row(),false)</f>
        <v>#N/A</v>
      </c>
      <c r="L855" s="376" t="str">
        <f>CS_PID!L855/VLOOKUP($B855,표2[#ALL],2)/HLOOKUP($A855,표1[#ALL],row(),false)</f>
        <v>#N/A</v>
      </c>
      <c r="M855" s="376" t="str">
        <f>CS_PID!M855/VLOOKUP($B855,표2[#ALL],2)/HLOOKUP($A855,표1[#ALL],row(),false)</f>
        <v>#N/A</v>
      </c>
      <c r="N855" s="376" t="str">
        <f>CS_PID!N855/VLOOKUP($B855,표2[#ALL],2)/HLOOKUP($A855,표1[#ALL],row(),false)</f>
        <v>#N/A</v>
      </c>
      <c r="O855" s="376" t="str">
        <f>CS_PID!O855/VLOOKUP($B855,표2[#ALL],2)/HLOOKUP($A855,표1[#ALL],row(),false)</f>
        <v>#N/A</v>
      </c>
      <c r="P855" s="376" t="str">
        <f>CS_PID!P855/VLOOKUP($B855,표2[#ALL],2)/HLOOKUP($A855,표1[#ALL],row(),false)</f>
        <v>#N/A</v>
      </c>
      <c r="Q855" s="376" t="str">
        <f>CS_PID!Q855/VLOOKUP($B855,표2[#ALL],2)/HLOOKUP($A855,표1[#ALL],row(),false)</f>
        <v>#N/A</v>
      </c>
      <c r="R855" s="376" t="str">
        <f>CS_PID!R855/VLOOKUP($B855,표2[#ALL],2)/HLOOKUP($A855,표1[#ALL],row(),false)</f>
        <v>#N/A</v>
      </c>
      <c r="S855" s="376" t="str">
        <f>CS_PID!S855/VLOOKUP($B855,표2[#ALL],2)/HLOOKUP($A855,표1[#ALL],row(),false)</f>
        <v>#N/A</v>
      </c>
      <c r="T855" s="376" t="str">
        <f>CS_PID!T855/VLOOKUP($B855,표2[#ALL],2)/HLOOKUP($A855,표1[#ALL],row(),false)</f>
        <v>#N/A</v>
      </c>
      <c r="U855" s="376" t="str">
        <f>CS_PID!U855/VLOOKUP($B855,표2[#ALL],2)/HLOOKUP($A855,표1[#ALL],row(),false)</f>
        <v>#N/A</v>
      </c>
      <c r="V855" s="376" t="str">
        <f>CS_PID!V855/VLOOKUP($B855,표2[#ALL],2)/HLOOKUP($A855,표1[#ALL],row(),false)</f>
        <v>#N/A</v>
      </c>
      <c r="W855" s="376" t="str">
        <f>CS_PID!W855/VLOOKUP($B855,표2[#ALL],2)/HLOOKUP($A855,표1[#ALL],row(),false)</f>
        <v>#N/A</v>
      </c>
      <c r="X855" s="376" t="str">
        <f>CS_PID!X855/VLOOKUP($B855,표2[#ALL],2)/HLOOKUP($A855,표1[#ALL],row(),false)</f>
        <v>#N/A</v>
      </c>
      <c r="Y855" s="376" t="str">
        <f>CS_PID!Y855/VLOOKUP($B855,표2[#ALL],2)/HLOOKUP($A855,표1[#ALL],row(),false)</f>
        <v>#N/A</v>
      </c>
      <c r="Z855" s="376" t="str">
        <f>CS_PID!Z855/VLOOKUP($B855,표2[#ALL],2)/HLOOKUP($A855,표1[#ALL],row(),false)</f>
        <v>#N/A</v>
      </c>
      <c r="AA855" s="376" t="str">
        <f>CS_PID!AA855/VLOOKUP($B855,표2[#ALL],2)/HLOOKUP($A855,표1[#ALL],row(),false)</f>
        <v>#N/A</v>
      </c>
      <c r="AB855" s="376" t="str">
        <f>CS_PID!AB855/VLOOKUP($B855,표2[#ALL],2)/HLOOKUP($A855,표1[#ALL],row(),false)</f>
        <v>#N/A</v>
      </c>
      <c r="AC855" s="376" t="str">
        <f>CS_PID!AC855/VLOOKUP($B855,표2[#ALL],2)/HLOOKUP($A855,표1[#ALL],row(),false)</f>
        <v>#N/A</v>
      </c>
      <c r="AD855" s="376" t="str">
        <f>CS_PID!AD855/VLOOKUP($B855,표2[#ALL],2)/HLOOKUP($A855,표1[#ALL],row(),false)</f>
        <v>#N/A</v>
      </c>
      <c r="AE855" s="376" t="str">
        <f>CS_PID!AE855/VLOOKUP($B855,표2[#ALL],2)/HLOOKUP($A855,표1[#ALL],row(),false)</f>
        <v>#N/A</v>
      </c>
      <c r="AF855" s="376" t="str">
        <f>CS_PID!AF855/VLOOKUP($B855,표2[#ALL],2)/HLOOKUP($A855,표1[#ALL],row(),false)</f>
        <v>#N/A</v>
      </c>
      <c r="AG855" s="376" t="str">
        <f>CS_PID!AG855/VLOOKUP($B855,표2[#ALL],2)/HLOOKUP($A855,표1[#ALL],row(),false)</f>
        <v>#N/A</v>
      </c>
      <c r="AH855" s="376" t="str">
        <f>CS_PID!AH855/VLOOKUP($B855,표2[#ALL],2)/HLOOKUP($A855,표1[#ALL],row(),false)</f>
        <v>#N/A</v>
      </c>
      <c r="AI855" s="376" t="str">
        <f>CS_PID!AI855/VLOOKUP($B855,표2[#ALL],2)/HLOOKUP($A855,표1[#ALL],row(),false)</f>
        <v>#N/A</v>
      </c>
      <c r="AJ855" s="376" t="str">
        <f>CS_PID!AJ855/VLOOKUP($B855,표2[#ALL],2)/HLOOKUP($A855,표1[#ALL],row(),false)</f>
        <v>#N/A</v>
      </c>
      <c r="AK855" s="376" t="str">
        <f>CS_PID!AK855/VLOOKUP($B855,표2[#ALL],2)/HLOOKUP($A855,표1[#ALL],row(),false)</f>
        <v>#N/A</v>
      </c>
      <c r="AL855" s="376" t="str">
        <f>CS_PID!AL855/VLOOKUP($B855,표2[#ALL],2)/HLOOKUP($A855,표1[#ALL],row(),false)</f>
        <v>#N/A</v>
      </c>
      <c r="AM855" s="376" t="str">
        <f>CS_PID!AM855/VLOOKUP($B855,표2[#ALL],2)/HLOOKUP($A855,표1[#ALL],row(),false)</f>
        <v>#N/A</v>
      </c>
      <c r="AN855" s="376" t="str">
        <f>CS_PID!AN855/VLOOKUP($B855,표2[#ALL],2)/HLOOKUP($A855,표1[#ALL],row(),false)</f>
        <v>#N/A</v>
      </c>
      <c r="AO855" s="376" t="str">
        <f>CS_PID!AO855/VLOOKUP($B855,표2[#ALL],2)/HLOOKUP($A855,표1[#ALL],row(),false)</f>
        <v>#N/A</v>
      </c>
      <c r="AP855" s="376" t="str">
        <f>CS_PID!AP855/VLOOKUP($B855,표2[#ALL],2)/HLOOKUP($A855,표1[#ALL],row(),false)</f>
        <v>#N/A</v>
      </c>
      <c r="AQ855" s="376" t="str">
        <f>CS_PID!AQ855/VLOOKUP($B855,표2[#ALL],2)/HLOOKUP($A855,표1[#ALL],row(),false)</f>
        <v>#N/A</v>
      </c>
      <c r="AR855" s="376" t="str">
        <f>CS_PID!AR855/VLOOKUP($B855,표2[#ALL],2)/HLOOKUP($A855,표1[#ALL],row(),false)</f>
        <v>#N/A</v>
      </c>
      <c r="AS855" s="377" t="str">
        <f>CS_PID!AS855/VLOOKUP($B855,표2[#ALL],2)/HLOOKUP($A855,표1[#ALL],row(),false)</f>
        <v>#N/A</v>
      </c>
    </row>
    <row r="856">
      <c r="A856" s="370"/>
      <c r="B856" s="371"/>
      <c r="C856" s="372" t="str">
        <f>CS_PID!C856/VLOOKUP($B856,표2[#ALL],2)</f>
        <v>#N/A</v>
      </c>
      <c r="D856" s="372" t="str">
        <f>CS_PID!D856/VLOOKUP($B856,표2[#ALL],2)</f>
        <v>#N/A</v>
      </c>
      <c r="E856" s="372" t="str">
        <f>CS_PID!E856/VLOOKUP($B856,표2[#ALL],2)</f>
        <v>#N/A</v>
      </c>
      <c r="F856" s="372" t="str">
        <f>CS_PID!F856/VLOOKUP($B856,표2[#ALL],2)</f>
        <v>#N/A</v>
      </c>
      <c r="G856" s="372" t="str">
        <f>CS_PID!G856/VLOOKUP($B856,표2[#ALL],2)</f>
        <v>#N/A</v>
      </c>
      <c r="H856" s="372" t="str">
        <f>CS_PID!H856/VLOOKUP($B856,표2[#ALL],2)/HLOOKUP($A856,표1[#ALL],row(),false)</f>
        <v>#N/A</v>
      </c>
      <c r="I856" s="372" t="str">
        <f>CS_PID!I856/VLOOKUP($B856,표2[#ALL],2)/HLOOKUP($A856,표1[#ALL],row(),false)</f>
        <v>#N/A</v>
      </c>
      <c r="J856" s="372" t="str">
        <f>CS_PID!J856/VLOOKUP($B856,표2[#ALL],2)/HLOOKUP($A856,표1[#ALL],row(),false)</f>
        <v>#N/A</v>
      </c>
      <c r="K856" s="372" t="str">
        <f>CS_PID!K856/VLOOKUP($B856,표2[#ALL],2)/HLOOKUP($A856,표1[#ALL],row(),false)</f>
        <v>#N/A</v>
      </c>
      <c r="L856" s="372" t="str">
        <f>CS_PID!L856/VLOOKUP($B856,표2[#ALL],2)/HLOOKUP($A856,표1[#ALL],row(),false)</f>
        <v>#N/A</v>
      </c>
      <c r="M856" s="372" t="str">
        <f>CS_PID!M856/VLOOKUP($B856,표2[#ALL],2)/HLOOKUP($A856,표1[#ALL],row(),false)</f>
        <v>#N/A</v>
      </c>
      <c r="N856" s="372" t="str">
        <f>CS_PID!N856/VLOOKUP($B856,표2[#ALL],2)/HLOOKUP($A856,표1[#ALL],row(),false)</f>
        <v>#N/A</v>
      </c>
      <c r="O856" s="372" t="str">
        <f>CS_PID!O856/VLOOKUP($B856,표2[#ALL],2)/HLOOKUP($A856,표1[#ALL],row(),false)</f>
        <v>#N/A</v>
      </c>
      <c r="P856" s="372" t="str">
        <f>CS_PID!P856/VLOOKUP($B856,표2[#ALL],2)/HLOOKUP($A856,표1[#ALL],row(),false)</f>
        <v>#N/A</v>
      </c>
      <c r="Q856" s="372" t="str">
        <f>CS_PID!Q856/VLOOKUP($B856,표2[#ALL],2)/HLOOKUP($A856,표1[#ALL],row(),false)</f>
        <v>#N/A</v>
      </c>
      <c r="R856" s="372" t="str">
        <f>CS_PID!R856/VLOOKUP($B856,표2[#ALL],2)/HLOOKUP($A856,표1[#ALL],row(),false)</f>
        <v>#N/A</v>
      </c>
      <c r="S856" s="372" t="str">
        <f>CS_PID!S856/VLOOKUP($B856,표2[#ALL],2)/HLOOKUP($A856,표1[#ALL],row(),false)</f>
        <v>#N/A</v>
      </c>
      <c r="T856" s="372" t="str">
        <f>CS_PID!T856/VLOOKUP($B856,표2[#ALL],2)/HLOOKUP($A856,표1[#ALL],row(),false)</f>
        <v>#N/A</v>
      </c>
      <c r="U856" s="372" t="str">
        <f>CS_PID!U856/VLOOKUP($B856,표2[#ALL],2)/HLOOKUP($A856,표1[#ALL],row(),false)</f>
        <v>#N/A</v>
      </c>
      <c r="V856" s="372" t="str">
        <f>CS_PID!V856/VLOOKUP($B856,표2[#ALL],2)/HLOOKUP($A856,표1[#ALL],row(),false)</f>
        <v>#N/A</v>
      </c>
      <c r="W856" s="372" t="str">
        <f>CS_PID!W856/VLOOKUP($B856,표2[#ALL],2)/HLOOKUP($A856,표1[#ALL],row(),false)</f>
        <v>#N/A</v>
      </c>
      <c r="X856" s="372" t="str">
        <f>CS_PID!X856/VLOOKUP($B856,표2[#ALL],2)/HLOOKUP($A856,표1[#ALL],row(),false)</f>
        <v>#N/A</v>
      </c>
      <c r="Y856" s="372" t="str">
        <f>CS_PID!Y856/VLOOKUP($B856,표2[#ALL],2)/HLOOKUP($A856,표1[#ALL],row(),false)</f>
        <v>#N/A</v>
      </c>
      <c r="Z856" s="372" t="str">
        <f>CS_PID!Z856/VLOOKUP($B856,표2[#ALL],2)/HLOOKUP($A856,표1[#ALL],row(),false)</f>
        <v>#N/A</v>
      </c>
      <c r="AA856" s="372" t="str">
        <f>CS_PID!AA856/VLOOKUP($B856,표2[#ALL],2)/HLOOKUP($A856,표1[#ALL],row(),false)</f>
        <v>#N/A</v>
      </c>
      <c r="AB856" s="372" t="str">
        <f>CS_PID!AB856/VLOOKUP($B856,표2[#ALL],2)/HLOOKUP($A856,표1[#ALL],row(),false)</f>
        <v>#N/A</v>
      </c>
      <c r="AC856" s="372" t="str">
        <f>CS_PID!AC856/VLOOKUP($B856,표2[#ALL],2)/HLOOKUP($A856,표1[#ALL],row(),false)</f>
        <v>#N/A</v>
      </c>
      <c r="AD856" s="372" t="str">
        <f>CS_PID!AD856/VLOOKUP($B856,표2[#ALL],2)/HLOOKUP($A856,표1[#ALL],row(),false)</f>
        <v>#N/A</v>
      </c>
      <c r="AE856" s="372" t="str">
        <f>CS_PID!AE856/VLOOKUP($B856,표2[#ALL],2)/HLOOKUP($A856,표1[#ALL],row(),false)</f>
        <v>#N/A</v>
      </c>
      <c r="AF856" s="372" t="str">
        <f>CS_PID!AF856/VLOOKUP($B856,표2[#ALL],2)/HLOOKUP($A856,표1[#ALL],row(),false)</f>
        <v>#N/A</v>
      </c>
      <c r="AG856" s="372" t="str">
        <f>CS_PID!AG856/VLOOKUP($B856,표2[#ALL],2)/HLOOKUP($A856,표1[#ALL],row(),false)</f>
        <v>#N/A</v>
      </c>
      <c r="AH856" s="372" t="str">
        <f>CS_PID!AH856/VLOOKUP($B856,표2[#ALL],2)/HLOOKUP($A856,표1[#ALL],row(),false)</f>
        <v>#N/A</v>
      </c>
      <c r="AI856" s="372" t="str">
        <f>CS_PID!AI856/VLOOKUP($B856,표2[#ALL],2)/HLOOKUP($A856,표1[#ALL],row(),false)</f>
        <v>#N/A</v>
      </c>
      <c r="AJ856" s="372" t="str">
        <f>CS_PID!AJ856/VLOOKUP($B856,표2[#ALL],2)/HLOOKUP($A856,표1[#ALL],row(),false)</f>
        <v>#N/A</v>
      </c>
      <c r="AK856" s="372" t="str">
        <f>CS_PID!AK856/VLOOKUP($B856,표2[#ALL],2)/HLOOKUP($A856,표1[#ALL],row(),false)</f>
        <v>#N/A</v>
      </c>
      <c r="AL856" s="372" t="str">
        <f>CS_PID!AL856/VLOOKUP($B856,표2[#ALL],2)/HLOOKUP($A856,표1[#ALL],row(),false)</f>
        <v>#N/A</v>
      </c>
      <c r="AM856" s="372" t="str">
        <f>CS_PID!AM856/VLOOKUP($B856,표2[#ALL],2)/HLOOKUP($A856,표1[#ALL],row(),false)</f>
        <v>#N/A</v>
      </c>
      <c r="AN856" s="372" t="str">
        <f>CS_PID!AN856/VLOOKUP($B856,표2[#ALL],2)/HLOOKUP($A856,표1[#ALL],row(),false)</f>
        <v>#N/A</v>
      </c>
      <c r="AO856" s="372" t="str">
        <f>CS_PID!AO856/VLOOKUP($B856,표2[#ALL],2)/HLOOKUP($A856,표1[#ALL],row(),false)</f>
        <v>#N/A</v>
      </c>
      <c r="AP856" s="372" t="str">
        <f>CS_PID!AP856/VLOOKUP($B856,표2[#ALL],2)/HLOOKUP($A856,표1[#ALL],row(),false)</f>
        <v>#N/A</v>
      </c>
      <c r="AQ856" s="372" t="str">
        <f>CS_PID!AQ856/VLOOKUP($B856,표2[#ALL],2)/HLOOKUP($A856,표1[#ALL],row(),false)</f>
        <v>#N/A</v>
      </c>
      <c r="AR856" s="372" t="str">
        <f>CS_PID!AR856/VLOOKUP($B856,표2[#ALL],2)/HLOOKUP($A856,표1[#ALL],row(),false)</f>
        <v>#N/A</v>
      </c>
      <c r="AS856" s="373" t="str">
        <f>CS_PID!AS856/VLOOKUP($B856,표2[#ALL],2)/HLOOKUP($A856,표1[#ALL],row(),false)</f>
        <v>#N/A</v>
      </c>
    </row>
    <row r="857">
      <c r="A857" s="374"/>
      <c r="B857" s="375"/>
      <c r="C857" s="376" t="str">
        <f>CS_PID!C857/VLOOKUP($B857,표2[#ALL],2)</f>
        <v>#N/A</v>
      </c>
      <c r="D857" s="376" t="str">
        <f>CS_PID!D857/VLOOKUP($B857,표2[#ALL],2)</f>
        <v>#N/A</v>
      </c>
      <c r="E857" s="376" t="str">
        <f>CS_PID!E857/VLOOKUP($B857,표2[#ALL],2)</f>
        <v>#N/A</v>
      </c>
      <c r="F857" s="376" t="str">
        <f>CS_PID!F857/VLOOKUP($B857,표2[#ALL],2)</f>
        <v>#N/A</v>
      </c>
      <c r="G857" s="376" t="str">
        <f>CS_PID!G857/VLOOKUP($B857,표2[#ALL],2)</f>
        <v>#N/A</v>
      </c>
      <c r="H857" s="376" t="str">
        <f>CS_PID!H857/VLOOKUP($B857,표2[#ALL],2)/HLOOKUP($A857,표1[#ALL],row(),false)</f>
        <v>#N/A</v>
      </c>
      <c r="I857" s="376" t="str">
        <f>CS_PID!I857/VLOOKUP($B857,표2[#ALL],2)/HLOOKUP($A857,표1[#ALL],row(),false)</f>
        <v>#N/A</v>
      </c>
      <c r="J857" s="376" t="str">
        <f>CS_PID!J857/VLOOKUP($B857,표2[#ALL],2)/HLOOKUP($A857,표1[#ALL],row(),false)</f>
        <v>#N/A</v>
      </c>
      <c r="K857" s="376" t="str">
        <f>CS_PID!K857/VLOOKUP($B857,표2[#ALL],2)/HLOOKUP($A857,표1[#ALL],row(),false)</f>
        <v>#N/A</v>
      </c>
      <c r="L857" s="376" t="str">
        <f>CS_PID!L857/VLOOKUP($B857,표2[#ALL],2)/HLOOKUP($A857,표1[#ALL],row(),false)</f>
        <v>#N/A</v>
      </c>
      <c r="M857" s="376" t="str">
        <f>CS_PID!M857/VLOOKUP($B857,표2[#ALL],2)/HLOOKUP($A857,표1[#ALL],row(),false)</f>
        <v>#N/A</v>
      </c>
      <c r="N857" s="376" t="str">
        <f>CS_PID!N857/VLOOKUP($B857,표2[#ALL],2)/HLOOKUP($A857,표1[#ALL],row(),false)</f>
        <v>#N/A</v>
      </c>
      <c r="O857" s="376" t="str">
        <f>CS_PID!O857/VLOOKUP($B857,표2[#ALL],2)/HLOOKUP($A857,표1[#ALL],row(),false)</f>
        <v>#N/A</v>
      </c>
      <c r="P857" s="376" t="str">
        <f>CS_PID!P857/VLOOKUP($B857,표2[#ALL],2)/HLOOKUP($A857,표1[#ALL],row(),false)</f>
        <v>#N/A</v>
      </c>
      <c r="Q857" s="376" t="str">
        <f>CS_PID!Q857/VLOOKUP($B857,표2[#ALL],2)/HLOOKUP($A857,표1[#ALL],row(),false)</f>
        <v>#N/A</v>
      </c>
      <c r="R857" s="376" t="str">
        <f>CS_PID!R857/VLOOKUP($B857,표2[#ALL],2)/HLOOKUP($A857,표1[#ALL],row(),false)</f>
        <v>#N/A</v>
      </c>
      <c r="S857" s="376" t="str">
        <f>CS_PID!S857/VLOOKUP($B857,표2[#ALL],2)/HLOOKUP($A857,표1[#ALL],row(),false)</f>
        <v>#N/A</v>
      </c>
      <c r="T857" s="376" t="str">
        <f>CS_PID!T857/VLOOKUP($B857,표2[#ALL],2)/HLOOKUP($A857,표1[#ALL],row(),false)</f>
        <v>#N/A</v>
      </c>
      <c r="U857" s="376" t="str">
        <f>CS_PID!U857/VLOOKUP($B857,표2[#ALL],2)/HLOOKUP($A857,표1[#ALL],row(),false)</f>
        <v>#N/A</v>
      </c>
      <c r="V857" s="376" t="str">
        <f>CS_PID!V857/VLOOKUP($B857,표2[#ALL],2)/HLOOKUP($A857,표1[#ALL],row(),false)</f>
        <v>#N/A</v>
      </c>
      <c r="W857" s="376" t="str">
        <f>CS_PID!W857/VLOOKUP($B857,표2[#ALL],2)/HLOOKUP($A857,표1[#ALL],row(),false)</f>
        <v>#N/A</v>
      </c>
      <c r="X857" s="376" t="str">
        <f>CS_PID!X857/VLOOKUP($B857,표2[#ALL],2)/HLOOKUP($A857,표1[#ALL],row(),false)</f>
        <v>#N/A</v>
      </c>
      <c r="Y857" s="376" t="str">
        <f>CS_PID!Y857/VLOOKUP($B857,표2[#ALL],2)/HLOOKUP($A857,표1[#ALL],row(),false)</f>
        <v>#N/A</v>
      </c>
      <c r="Z857" s="376" t="str">
        <f>CS_PID!Z857/VLOOKUP($B857,표2[#ALL],2)/HLOOKUP($A857,표1[#ALL],row(),false)</f>
        <v>#N/A</v>
      </c>
      <c r="AA857" s="376" t="str">
        <f>CS_PID!AA857/VLOOKUP($B857,표2[#ALL],2)/HLOOKUP($A857,표1[#ALL],row(),false)</f>
        <v>#N/A</v>
      </c>
      <c r="AB857" s="376" t="str">
        <f>CS_PID!AB857/VLOOKUP($B857,표2[#ALL],2)/HLOOKUP($A857,표1[#ALL],row(),false)</f>
        <v>#N/A</v>
      </c>
      <c r="AC857" s="376" t="str">
        <f>CS_PID!AC857/VLOOKUP($B857,표2[#ALL],2)/HLOOKUP($A857,표1[#ALL],row(),false)</f>
        <v>#N/A</v>
      </c>
      <c r="AD857" s="376" t="str">
        <f>CS_PID!AD857/VLOOKUP($B857,표2[#ALL],2)/HLOOKUP($A857,표1[#ALL],row(),false)</f>
        <v>#N/A</v>
      </c>
      <c r="AE857" s="376" t="str">
        <f>CS_PID!AE857/VLOOKUP($B857,표2[#ALL],2)/HLOOKUP($A857,표1[#ALL],row(),false)</f>
        <v>#N/A</v>
      </c>
      <c r="AF857" s="376" t="str">
        <f>CS_PID!AF857/VLOOKUP($B857,표2[#ALL],2)/HLOOKUP($A857,표1[#ALL],row(),false)</f>
        <v>#N/A</v>
      </c>
      <c r="AG857" s="376" t="str">
        <f>CS_PID!AG857/VLOOKUP($B857,표2[#ALL],2)/HLOOKUP($A857,표1[#ALL],row(),false)</f>
        <v>#N/A</v>
      </c>
      <c r="AH857" s="376" t="str">
        <f>CS_PID!AH857/VLOOKUP($B857,표2[#ALL],2)/HLOOKUP($A857,표1[#ALL],row(),false)</f>
        <v>#N/A</v>
      </c>
      <c r="AI857" s="376" t="str">
        <f>CS_PID!AI857/VLOOKUP($B857,표2[#ALL],2)/HLOOKUP($A857,표1[#ALL],row(),false)</f>
        <v>#N/A</v>
      </c>
      <c r="AJ857" s="376" t="str">
        <f>CS_PID!AJ857/VLOOKUP($B857,표2[#ALL],2)/HLOOKUP($A857,표1[#ALL],row(),false)</f>
        <v>#N/A</v>
      </c>
      <c r="AK857" s="376" t="str">
        <f>CS_PID!AK857/VLOOKUP($B857,표2[#ALL],2)/HLOOKUP($A857,표1[#ALL],row(),false)</f>
        <v>#N/A</v>
      </c>
      <c r="AL857" s="376" t="str">
        <f>CS_PID!AL857/VLOOKUP($B857,표2[#ALL],2)/HLOOKUP($A857,표1[#ALL],row(),false)</f>
        <v>#N/A</v>
      </c>
      <c r="AM857" s="376" t="str">
        <f>CS_PID!AM857/VLOOKUP($B857,표2[#ALL],2)/HLOOKUP($A857,표1[#ALL],row(),false)</f>
        <v>#N/A</v>
      </c>
      <c r="AN857" s="376" t="str">
        <f>CS_PID!AN857/VLOOKUP($B857,표2[#ALL],2)/HLOOKUP($A857,표1[#ALL],row(),false)</f>
        <v>#N/A</v>
      </c>
      <c r="AO857" s="376" t="str">
        <f>CS_PID!AO857/VLOOKUP($B857,표2[#ALL],2)/HLOOKUP($A857,표1[#ALL],row(),false)</f>
        <v>#N/A</v>
      </c>
      <c r="AP857" s="376" t="str">
        <f>CS_PID!AP857/VLOOKUP($B857,표2[#ALL],2)/HLOOKUP($A857,표1[#ALL],row(),false)</f>
        <v>#N/A</v>
      </c>
      <c r="AQ857" s="376" t="str">
        <f>CS_PID!AQ857/VLOOKUP($B857,표2[#ALL],2)/HLOOKUP($A857,표1[#ALL],row(),false)</f>
        <v>#N/A</v>
      </c>
      <c r="AR857" s="376" t="str">
        <f>CS_PID!AR857/VLOOKUP($B857,표2[#ALL],2)/HLOOKUP($A857,표1[#ALL],row(),false)</f>
        <v>#N/A</v>
      </c>
      <c r="AS857" s="377" t="str">
        <f>CS_PID!AS857/VLOOKUP($B857,표2[#ALL],2)/HLOOKUP($A857,표1[#ALL],row(),false)</f>
        <v>#N/A</v>
      </c>
    </row>
    <row r="858">
      <c r="A858" s="370"/>
      <c r="B858" s="371"/>
      <c r="C858" s="372" t="str">
        <f>CS_PID!C858/VLOOKUP($B858,표2[#ALL],2)</f>
        <v>#N/A</v>
      </c>
      <c r="D858" s="372" t="str">
        <f>CS_PID!D858/VLOOKUP($B858,표2[#ALL],2)</f>
        <v>#N/A</v>
      </c>
      <c r="E858" s="372" t="str">
        <f>CS_PID!E858/VLOOKUP($B858,표2[#ALL],2)</f>
        <v>#N/A</v>
      </c>
      <c r="F858" s="372" t="str">
        <f>CS_PID!F858/VLOOKUP($B858,표2[#ALL],2)</f>
        <v>#N/A</v>
      </c>
      <c r="G858" s="372" t="str">
        <f>CS_PID!G858/VLOOKUP($B858,표2[#ALL],2)</f>
        <v>#N/A</v>
      </c>
      <c r="H858" s="372" t="str">
        <f>CS_PID!H858/VLOOKUP($B858,표2[#ALL],2)/HLOOKUP($A858,표1[#ALL],row(),false)</f>
        <v>#N/A</v>
      </c>
      <c r="I858" s="372" t="str">
        <f>CS_PID!I858/VLOOKUP($B858,표2[#ALL],2)/HLOOKUP($A858,표1[#ALL],row(),false)</f>
        <v>#N/A</v>
      </c>
      <c r="J858" s="372" t="str">
        <f>CS_PID!J858/VLOOKUP($B858,표2[#ALL],2)/HLOOKUP($A858,표1[#ALL],row(),false)</f>
        <v>#N/A</v>
      </c>
      <c r="K858" s="372" t="str">
        <f>CS_PID!K858/VLOOKUP($B858,표2[#ALL],2)/HLOOKUP($A858,표1[#ALL],row(),false)</f>
        <v>#N/A</v>
      </c>
      <c r="L858" s="372" t="str">
        <f>CS_PID!L858/VLOOKUP($B858,표2[#ALL],2)/HLOOKUP($A858,표1[#ALL],row(),false)</f>
        <v>#N/A</v>
      </c>
      <c r="M858" s="372" t="str">
        <f>CS_PID!M858/VLOOKUP($B858,표2[#ALL],2)/HLOOKUP($A858,표1[#ALL],row(),false)</f>
        <v>#N/A</v>
      </c>
      <c r="N858" s="372" t="str">
        <f>CS_PID!N858/VLOOKUP($B858,표2[#ALL],2)/HLOOKUP($A858,표1[#ALL],row(),false)</f>
        <v>#N/A</v>
      </c>
      <c r="O858" s="372" t="str">
        <f>CS_PID!O858/VLOOKUP($B858,표2[#ALL],2)/HLOOKUP($A858,표1[#ALL],row(),false)</f>
        <v>#N/A</v>
      </c>
      <c r="P858" s="372" t="str">
        <f>CS_PID!P858/VLOOKUP($B858,표2[#ALL],2)/HLOOKUP($A858,표1[#ALL],row(),false)</f>
        <v>#N/A</v>
      </c>
      <c r="Q858" s="372" t="str">
        <f>CS_PID!Q858/VLOOKUP($B858,표2[#ALL],2)/HLOOKUP($A858,표1[#ALL],row(),false)</f>
        <v>#N/A</v>
      </c>
      <c r="R858" s="372" t="str">
        <f>CS_PID!R858/VLOOKUP($B858,표2[#ALL],2)/HLOOKUP($A858,표1[#ALL],row(),false)</f>
        <v>#N/A</v>
      </c>
      <c r="S858" s="372" t="str">
        <f>CS_PID!S858/VLOOKUP($B858,표2[#ALL],2)/HLOOKUP($A858,표1[#ALL],row(),false)</f>
        <v>#N/A</v>
      </c>
      <c r="T858" s="372" t="str">
        <f>CS_PID!T858/VLOOKUP($B858,표2[#ALL],2)/HLOOKUP($A858,표1[#ALL],row(),false)</f>
        <v>#N/A</v>
      </c>
      <c r="U858" s="372" t="str">
        <f>CS_PID!U858/VLOOKUP($B858,표2[#ALL],2)/HLOOKUP($A858,표1[#ALL],row(),false)</f>
        <v>#N/A</v>
      </c>
      <c r="V858" s="372" t="str">
        <f>CS_PID!V858/VLOOKUP($B858,표2[#ALL],2)/HLOOKUP($A858,표1[#ALL],row(),false)</f>
        <v>#N/A</v>
      </c>
      <c r="W858" s="372" t="str">
        <f>CS_PID!W858/VLOOKUP($B858,표2[#ALL],2)/HLOOKUP($A858,표1[#ALL],row(),false)</f>
        <v>#N/A</v>
      </c>
      <c r="X858" s="372" t="str">
        <f>CS_PID!X858/VLOOKUP($B858,표2[#ALL],2)/HLOOKUP($A858,표1[#ALL],row(),false)</f>
        <v>#N/A</v>
      </c>
      <c r="Y858" s="372" t="str">
        <f>CS_PID!Y858/VLOOKUP($B858,표2[#ALL],2)/HLOOKUP($A858,표1[#ALL],row(),false)</f>
        <v>#N/A</v>
      </c>
      <c r="Z858" s="372" t="str">
        <f>CS_PID!Z858/VLOOKUP($B858,표2[#ALL],2)/HLOOKUP($A858,표1[#ALL],row(),false)</f>
        <v>#N/A</v>
      </c>
      <c r="AA858" s="372" t="str">
        <f>CS_PID!AA858/VLOOKUP($B858,표2[#ALL],2)/HLOOKUP($A858,표1[#ALL],row(),false)</f>
        <v>#N/A</v>
      </c>
      <c r="AB858" s="372" t="str">
        <f>CS_PID!AB858/VLOOKUP($B858,표2[#ALL],2)/HLOOKUP($A858,표1[#ALL],row(),false)</f>
        <v>#N/A</v>
      </c>
      <c r="AC858" s="372" t="str">
        <f>CS_PID!AC858/VLOOKUP($B858,표2[#ALL],2)/HLOOKUP($A858,표1[#ALL],row(),false)</f>
        <v>#N/A</v>
      </c>
      <c r="AD858" s="372" t="str">
        <f>CS_PID!AD858/VLOOKUP($B858,표2[#ALL],2)/HLOOKUP($A858,표1[#ALL],row(),false)</f>
        <v>#N/A</v>
      </c>
      <c r="AE858" s="372" t="str">
        <f>CS_PID!AE858/VLOOKUP($B858,표2[#ALL],2)/HLOOKUP($A858,표1[#ALL],row(),false)</f>
        <v>#N/A</v>
      </c>
      <c r="AF858" s="372" t="str">
        <f>CS_PID!AF858/VLOOKUP($B858,표2[#ALL],2)/HLOOKUP($A858,표1[#ALL],row(),false)</f>
        <v>#N/A</v>
      </c>
      <c r="AG858" s="372" t="str">
        <f>CS_PID!AG858/VLOOKUP($B858,표2[#ALL],2)/HLOOKUP($A858,표1[#ALL],row(),false)</f>
        <v>#N/A</v>
      </c>
      <c r="AH858" s="372" t="str">
        <f>CS_PID!AH858/VLOOKUP($B858,표2[#ALL],2)/HLOOKUP($A858,표1[#ALL],row(),false)</f>
        <v>#N/A</v>
      </c>
      <c r="AI858" s="372" t="str">
        <f>CS_PID!AI858/VLOOKUP($B858,표2[#ALL],2)/HLOOKUP($A858,표1[#ALL],row(),false)</f>
        <v>#N/A</v>
      </c>
      <c r="AJ858" s="372" t="str">
        <f>CS_PID!AJ858/VLOOKUP($B858,표2[#ALL],2)/HLOOKUP($A858,표1[#ALL],row(),false)</f>
        <v>#N/A</v>
      </c>
      <c r="AK858" s="372" t="str">
        <f>CS_PID!AK858/VLOOKUP($B858,표2[#ALL],2)/HLOOKUP($A858,표1[#ALL],row(),false)</f>
        <v>#N/A</v>
      </c>
      <c r="AL858" s="372" t="str">
        <f>CS_PID!AL858/VLOOKUP($B858,표2[#ALL],2)/HLOOKUP($A858,표1[#ALL],row(),false)</f>
        <v>#N/A</v>
      </c>
      <c r="AM858" s="372" t="str">
        <f>CS_PID!AM858/VLOOKUP($B858,표2[#ALL],2)/HLOOKUP($A858,표1[#ALL],row(),false)</f>
        <v>#N/A</v>
      </c>
      <c r="AN858" s="372" t="str">
        <f>CS_PID!AN858/VLOOKUP($B858,표2[#ALL],2)/HLOOKUP($A858,표1[#ALL],row(),false)</f>
        <v>#N/A</v>
      </c>
      <c r="AO858" s="372" t="str">
        <f>CS_PID!AO858/VLOOKUP($B858,표2[#ALL],2)/HLOOKUP($A858,표1[#ALL],row(),false)</f>
        <v>#N/A</v>
      </c>
      <c r="AP858" s="372" t="str">
        <f>CS_PID!AP858/VLOOKUP($B858,표2[#ALL],2)/HLOOKUP($A858,표1[#ALL],row(),false)</f>
        <v>#N/A</v>
      </c>
      <c r="AQ858" s="372" t="str">
        <f>CS_PID!AQ858/VLOOKUP($B858,표2[#ALL],2)/HLOOKUP($A858,표1[#ALL],row(),false)</f>
        <v>#N/A</v>
      </c>
      <c r="AR858" s="372" t="str">
        <f>CS_PID!AR858/VLOOKUP($B858,표2[#ALL],2)/HLOOKUP($A858,표1[#ALL],row(),false)</f>
        <v>#N/A</v>
      </c>
      <c r="AS858" s="373" t="str">
        <f>CS_PID!AS858/VLOOKUP($B858,표2[#ALL],2)/HLOOKUP($A858,표1[#ALL],row(),false)</f>
        <v>#N/A</v>
      </c>
    </row>
    <row r="859">
      <c r="A859" s="374"/>
      <c r="B859" s="375"/>
      <c r="C859" s="376" t="str">
        <f>CS_PID!C859/VLOOKUP($B859,표2[#ALL],2)</f>
        <v>#N/A</v>
      </c>
      <c r="D859" s="376" t="str">
        <f>CS_PID!D859/VLOOKUP($B859,표2[#ALL],2)</f>
        <v>#N/A</v>
      </c>
      <c r="E859" s="376" t="str">
        <f>CS_PID!E859/VLOOKUP($B859,표2[#ALL],2)</f>
        <v>#N/A</v>
      </c>
      <c r="F859" s="376" t="str">
        <f>CS_PID!F859/VLOOKUP($B859,표2[#ALL],2)</f>
        <v>#N/A</v>
      </c>
      <c r="G859" s="376" t="str">
        <f>CS_PID!G859/VLOOKUP($B859,표2[#ALL],2)</f>
        <v>#N/A</v>
      </c>
      <c r="H859" s="376" t="str">
        <f>CS_PID!H859/VLOOKUP($B859,표2[#ALL],2)/HLOOKUP($A859,표1[#ALL],row(),false)</f>
        <v>#N/A</v>
      </c>
      <c r="I859" s="376" t="str">
        <f>CS_PID!I859/VLOOKUP($B859,표2[#ALL],2)/HLOOKUP($A859,표1[#ALL],row(),false)</f>
        <v>#N/A</v>
      </c>
      <c r="J859" s="376" t="str">
        <f>CS_PID!J859/VLOOKUP($B859,표2[#ALL],2)/HLOOKUP($A859,표1[#ALL],row(),false)</f>
        <v>#N/A</v>
      </c>
      <c r="K859" s="376" t="str">
        <f>CS_PID!K859/VLOOKUP($B859,표2[#ALL],2)/HLOOKUP($A859,표1[#ALL],row(),false)</f>
        <v>#N/A</v>
      </c>
      <c r="L859" s="376" t="str">
        <f>CS_PID!L859/VLOOKUP($B859,표2[#ALL],2)/HLOOKUP($A859,표1[#ALL],row(),false)</f>
        <v>#N/A</v>
      </c>
      <c r="M859" s="376" t="str">
        <f>CS_PID!M859/VLOOKUP($B859,표2[#ALL],2)/HLOOKUP($A859,표1[#ALL],row(),false)</f>
        <v>#N/A</v>
      </c>
      <c r="N859" s="376" t="str">
        <f>CS_PID!N859/VLOOKUP($B859,표2[#ALL],2)/HLOOKUP($A859,표1[#ALL],row(),false)</f>
        <v>#N/A</v>
      </c>
      <c r="O859" s="376" t="str">
        <f>CS_PID!O859/VLOOKUP($B859,표2[#ALL],2)/HLOOKUP($A859,표1[#ALL],row(),false)</f>
        <v>#N/A</v>
      </c>
      <c r="P859" s="376" t="str">
        <f>CS_PID!P859/VLOOKUP($B859,표2[#ALL],2)/HLOOKUP($A859,표1[#ALL],row(),false)</f>
        <v>#N/A</v>
      </c>
      <c r="Q859" s="376" t="str">
        <f>CS_PID!Q859/VLOOKUP($B859,표2[#ALL],2)/HLOOKUP($A859,표1[#ALL],row(),false)</f>
        <v>#N/A</v>
      </c>
      <c r="R859" s="376" t="str">
        <f>CS_PID!R859/VLOOKUP($B859,표2[#ALL],2)/HLOOKUP($A859,표1[#ALL],row(),false)</f>
        <v>#N/A</v>
      </c>
      <c r="S859" s="376" t="str">
        <f>CS_PID!S859/VLOOKUP($B859,표2[#ALL],2)/HLOOKUP($A859,표1[#ALL],row(),false)</f>
        <v>#N/A</v>
      </c>
      <c r="T859" s="376" t="str">
        <f>CS_PID!T859/VLOOKUP($B859,표2[#ALL],2)/HLOOKUP($A859,표1[#ALL],row(),false)</f>
        <v>#N/A</v>
      </c>
      <c r="U859" s="376" t="str">
        <f>CS_PID!U859/VLOOKUP($B859,표2[#ALL],2)/HLOOKUP($A859,표1[#ALL],row(),false)</f>
        <v>#N/A</v>
      </c>
      <c r="V859" s="376" t="str">
        <f>CS_PID!V859/VLOOKUP($B859,표2[#ALL],2)/HLOOKUP($A859,표1[#ALL],row(),false)</f>
        <v>#N/A</v>
      </c>
      <c r="W859" s="376" t="str">
        <f>CS_PID!W859/VLOOKUP($B859,표2[#ALL],2)/HLOOKUP($A859,표1[#ALL],row(),false)</f>
        <v>#N/A</v>
      </c>
      <c r="X859" s="376" t="str">
        <f>CS_PID!X859/VLOOKUP($B859,표2[#ALL],2)/HLOOKUP($A859,표1[#ALL],row(),false)</f>
        <v>#N/A</v>
      </c>
      <c r="Y859" s="376" t="str">
        <f>CS_PID!Y859/VLOOKUP($B859,표2[#ALL],2)/HLOOKUP($A859,표1[#ALL],row(),false)</f>
        <v>#N/A</v>
      </c>
      <c r="Z859" s="376" t="str">
        <f>CS_PID!Z859/VLOOKUP($B859,표2[#ALL],2)/HLOOKUP($A859,표1[#ALL],row(),false)</f>
        <v>#N/A</v>
      </c>
      <c r="AA859" s="376" t="str">
        <f>CS_PID!AA859/VLOOKUP($B859,표2[#ALL],2)/HLOOKUP($A859,표1[#ALL],row(),false)</f>
        <v>#N/A</v>
      </c>
      <c r="AB859" s="376" t="str">
        <f>CS_PID!AB859/VLOOKUP($B859,표2[#ALL],2)/HLOOKUP($A859,표1[#ALL],row(),false)</f>
        <v>#N/A</v>
      </c>
      <c r="AC859" s="376" t="str">
        <f>CS_PID!AC859/VLOOKUP($B859,표2[#ALL],2)/HLOOKUP($A859,표1[#ALL],row(),false)</f>
        <v>#N/A</v>
      </c>
      <c r="AD859" s="376" t="str">
        <f>CS_PID!AD859/VLOOKUP($B859,표2[#ALL],2)/HLOOKUP($A859,표1[#ALL],row(),false)</f>
        <v>#N/A</v>
      </c>
      <c r="AE859" s="376" t="str">
        <f>CS_PID!AE859/VLOOKUP($B859,표2[#ALL],2)/HLOOKUP($A859,표1[#ALL],row(),false)</f>
        <v>#N/A</v>
      </c>
      <c r="AF859" s="376" t="str">
        <f>CS_PID!AF859/VLOOKUP($B859,표2[#ALL],2)/HLOOKUP($A859,표1[#ALL],row(),false)</f>
        <v>#N/A</v>
      </c>
      <c r="AG859" s="376" t="str">
        <f>CS_PID!AG859/VLOOKUP($B859,표2[#ALL],2)/HLOOKUP($A859,표1[#ALL],row(),false)</f>
        <v>#N/A</v>
      </c>
      <c r="AH859" s="376" t="str">
        <f>CS_PID!AH859/VLOOKUP($B859,표2[#ALL],2)/HLOOKUP($A859,표1[#ALL],row(),false)</f>
        <v>#N/A</v>
      </c>
      <c r="AI859" s="376" t="str">
        <f>CS_PID!AI859/VLOOKUP($B859,표2[#ALL],2)/HLOOKUP($A859,표1[#ALL],row(),false)</f>
        <v>#N/A</v>
      </c>
      <c r="AJ859" s="376" t="str">
        <f>CS_PID!AJ859/VLOOKUP($B859,표2[#ALL],2)/HLOOKUP($A859,표1[#ALL],row(),false)</f>
        <v>#N/A</v>
      </c>
      <c r="AK859" s="376" t="str">
        <f>CS_PID!AK859/VLOOKUP($B859,표2[#ALL],2)/HLOOKUP($A859,표1[#ALL],row(),false)</f>
        <v>#N/A</v>
      </c>
      <c r="AL859" s="376" t="str">
        <f>CS_PID!AL859/VLOOKUP($B859,표2[#ALL],2)/HLOOKUP($A859,표1[#ALL],row(),false)</f>
        <v>#N/A</v>
      </c>
      <c r="AM859" s="376" t="str">
        <f>CS_PID!AM859/VLOOKUP($B859,표2[#ALL],2)/HLOOKUP($A859,표1[#ALL],row(),false)</f>
        <v>#N/A</v>
      </c>
      <c r="AN859" s="376" t="str">
        <f>CS_PID!AN859/VLOOKUP($B859,표2[#ALL],2)/HLOOKUP($A859,표1[#ALL],row(),false)</f>
        <v>#N/A</v>
      </c>
      <c r="AO859" s="376" t="str">
        <f>CS_PID!AO859/VLOOKUP($B859,표2[#ALL],2)/HLOOKUP($A859,표1[#ALL],row(),false)</f>
        <v>#N/A</v>
      </c>
      <c r="AP859" s="376" t="str">
        <f>CS_PID!AP859/VLOOKUP($B859,표2[#ALL],2)/HLOOKUP($A859,표1[#ALL],row(),false)</f>
        <v>#N/A</v>
      </c>
      <c r="AQ859" s="376" t="str">
        <f>CS_PID!AQ859/VLOOKUP($B859,표2[#ALL],2)/HLOOKUP($A859,표1[#ALL],row(),false)</f>
        <v>#N/A</v>
      </c>
      <c r="AR859" s="376" t="str">
        <f>CS_PID!AR859/VLOOKUP($B859,표2[#ALL],2)/HLOOKUP($A859,표1[#ALL],row(),false)</f>
        <v>#N/A</v>
      </c>
      <c r="AS859" s="377" t="str">
        <f>CS_PID!AS859/VLOOKUP($B859,표2[#ALL],2)/HLOOKUP($A859,표1[#ALL],row(),false)</f>
        <v>#N/A</v>
      </c>
    </row>
    <row r="860">
      <c r="A860" s="370"/>
      <c r="B860" s="371"/>
      <c r="C860" s="372" t="str">
        <f>CS_PID!C860/VLOOKUP($B860,표2[#ALL],2)</f>
        <v>#N/A</v>
      </c>
      <c r="D860" s="372" t="str">
        <f>CS_PID!D860/VLOOKUP($B860,표2[#ALL],2)</f>
        <v>#N/A</v>
      </c>
      <c r="E860" s="372" t="str">
        <f>CS_PID!E860/VLOOKUP($B860,표2[#ALL],2)</f>
        <v>#N/A</v>
      </c>
      <c r="F860" s="372" t="str">
        <f>CS_PID!F860/VLOOKUP($B860,표2[#ALL],2)</f>
        <v>#N/A</v>
      </c>
      <c r="G860" s="372" t="str">
        <f>CS_PID!G860/VLOOKUP($B860,표2[#ALL],2)</f>
        <v>#N/A</v>
      </c>
      <c r="H860" s="372" t="str">
        <f>CS_PID!H860/VLOOKUP($B860,표2[#ALL],2)/HLOOKUP($A860,표1[#ALL],row(),false)</f>
        <v>#N/A</v>
      </c>
      <c r="I860" s="372" t="str">
        <f>CS_PID!I860/VLOOKUP($B860,표2[#ALL],2)/HLOOKUP($A860,표1[#ALL],row(),false)</f>
        <v>#N/A</v>
      </c>
      <c r="J860" s="372" t="str">
        <f>CS_PID!J860/VLOOKUP($B860,표2[#ALL],2)/HLOOKUP($A860,표1[#ALL],row(),false)</f>
        <v>#N/A</v>
      </c>
      <c r="K860" s="372" t="str">
        <f>CS_PID!K860/VLOOKUP($B860,표2[#ALL],2)/HLOOKUP($A860,표1[#ALL],row(),false)</f>
        <v>#N/A</v>
      </c>
      <c r="L860" s="372" t="str">
        <f>CS_PID!L860/VLOOKUP($B860,표2[#ALL],2)/HLOOKUP($A860,표1[#ALL],row(),false)</f>
        <v>#N/A</v>
      </c>
      <c r="M860" s="372" t="str">
        <f>CS_PID!M860/VLOOKUP($B860,표2[#ALL],2)/HLOOKUP($A860,표1[#ALL],row(),false)</f>
        <v>#N/A</v>
      </c>
      <c r="N860" s="372" t="str">
        <f>CS_PID!N860/VLOOKUP($B860,표2[#ALL],2)/HLOOKUP($A860,표1[#ALL],row(),false)</f>
        <v>#N/A</v>
      </c>
      <c r="O860" s="372" t="str">
        <f>CS_PID!O860/VLOOKUP($B860,표2[#ALL],2)/HLOOKUP($A860,표1[#ALL],row(),false)</f>
        <v>#N/A</v>
      </c>
      <c r="P860" s="372" t="str">
        <f>CS_PID!P860/VLOOKUP($B860,표2[#ALL],2)/HLOOKUP($A860,표1[#ALL],row(),false)</f>
        <v>#N/A</v>
      </c>
      <c r="Q860" s="372" t="str">
        <f>CS_PID!Q860/VLOOKUP($B860,표2[#ALL],2)/HLOOKUP($A860,표1[#ALL],row(),false)</f>
        <v>#N/A</v>
      </c>
      <c r="R860" s="372" t="str">
        <f>CS_PID!R860/VLOOKUP($B860,표2[#ALL],2)/HLOOKUP($A860,표1[#ALL],row(),false)</f>
        <v>#N/A</v>
      </c>
      <c r="S860" s="372" t="str">
        <f>CS_PID!S860/VLOOKUP($B860,표2[#ALL],2)/HLOOKUP($A860,표1[#ALL],row(),false)</f>
        <v>#N/A</v>
      </c>
      <c r="T860" s="372" t="str">
        <f>CS_PID!T860/VLOOKUP($B860,표2[#ALL],2)/HLOOKUP($A860,표1[#ALL],row(),false)</f>
        <v>#N/A</v>
      </c>
      <c r="U860" s="372" t="str">
        <f>CS_PID!U860/VLOOKUP($B860,표2[#ALL],2)/HLOOKUP($A860,표1[#ALL],row(),false)</f>
        <v>#N/A</v>
      </c>
      <c r="V860" s="372" t="str">
        <f>CS_PID!V860/VLOOKUP($B860,표2[#ALL],2)/HLOOKUP($A860,표1[#ALL],row(),false)</f>
        <v>#N/A</v>
      </c>
      <c r="W860" s="372" t="str">
        <f>CS_PID!W860/VLOOKUP($B860,표2[#ALL],2)/HLOOKUP($A860,표1[#ALL],row(),false)</f>
        <v>#N/A</v>
      </c>
      <c r="X860" s="372" t="str">
        <f>CS_PID!X860/VLOOKUP($B860,표2[#ALL],2)/HLOOKUP($A860,표1[#ALL],row(),false)</f>
        <v>#N/A</v>
      </c>
      <c r="Y860" s="372" t="str">
        <f>CS_PID!Y860/VLOOKUP($B860,표2[#ALL],2)/HLOOKUP($A860,표1[#ALL],row(),false)</f>
        <v>#N/A</v>
      </c>
      <c r="Z860" s="372" t="str">
        <f>CS_PID!Z860/VLOOKUP($B860,표2[#ALL],2)/HLOOKUP($A860,표1[#ALL],row(),false)</f>
        <v>#N/A</v>
      </c>
      <c r="AA860" s="372" t="str">
        <f>CS_PID!AA860/VLOOKUP($B860,표2[#ALL],2)/HLOOKUP($A860,표1[#ALL],row(),false)</f>
        <v>#N/A</v>
      </c>
      <c r="AB860" s="372" t="str">
        <f>CS_PID!AB860/VLOOKUP($B860,표2[#ALL],2)/HLOOKUP($A860,표1[#ALL],row(),false)</f>
        <v>#N/A</v>
      </c>
      <c r="AC860" s="372" t="str">
        <f>CS_PID!AC860/VLOOKUP($B860,표2[#ALL],2)/HLOOKUP($A860,표1[#ALL],row(),false)</f>
        <v>#N/A</v>
      </c>
      <c r="AD860" s="372" t="str">
        <f>CS_PID!AD860/VLOOKUP($B860,표2[#ALL],2)/HLOOKUP($A860,표1[#ALL],row(),false)</f>
        <v>#N/A</v>
      </c>
      <c r="AE860" s="372" t="str">
        <f>CS_PID!AE860/VLOOKUP($B860,표2[#ALL],2)/HLOOKUP($A860,표1[#ALL],row(),false)</f>
        <v>#N/A</v>
      </c>
      <c r="AF860" s="372" t="str">
        <f>CS_PID!AF860/VLOOKUP($B860,표2[#ALL],2)/HLOOKUP($A860,표1[#ALL],row(),false)</f>
        <v>#N/A</v>
      </c>
      <c r="AG860" s="372" t="str">
        <f>CS_PID!AG860/VLOOKUP($B860,표2[#ALL],2)/HLOOKUP($A860,표1[#ALL],row(),false)</f>
        <v>#N/A</v>
      </c>
      <c r="AH860" s="372" t="str">
        <f>CS_PID!AH860/VLOOKUP($B860,표2[#ALL],2)/HLOOKUP($A860,표1[#ALL],row(),false)</f>
        <v>#N/A</v>
      </c>
      <c r="AI860" s="372" t="str">
        <f>CS_PID!AI860/VLOOKUP($B860,표2[#ALL],2)/HLOOKUP($A860,표1[#ALL],row(),false)</f>
        <v>#N/A</v>
      </c>
      <c r="AJ860" s="372" t="str">
        <f>CS_PID!AJ860/VLOOKUP($B860,표2[#ALL],2)/HLOOKUP($A860,표1[#ALL],row(),false)</f>
        <v>#N/A</v>
      </c>
      <c r="AK860" s="372" t="str">
        <f>CS_PID!AK860/VLOOKUP($B860,표2[#ALL],2)/HLOOKUP($A860,표1[#ALL],row(),false)</f>
        <v>#N/A</v>
      </c>
      <c r="AL860" s="372" t="str">
        <f>CS_PID!AL860/VLOOKUP($B860,표2[#ALL],2)/HLOOKUP($A860,표1[#ALL],row(),false)</f>
        <v>#N/A</v>
      </c>
      <c r="AM860" s="372" t="str">
        <f>CS_PID!AM860/VLOOKUP($B860,표2[#ALL],2)/HLOOKUP($A860,표1[#ALL],row(),false)</f>
        <v>#N/A</v>
      </c>
      <c r="AN860" s="372" t="str">
        <f>CS_PID!AN860/VLOOKUP($B860,표2[#ALL],2)/HLOOKUP($A860,표1[#ALL],row(),false)</f>
        <v>#N/A</v>
      </c>
      <c r="AO860" s="372" t="str">
        <f>CS_PID!AO860/VLOOKUP($B860,표2[#ALL],2)/HLOOKUP($A860,표1[#ALL],row(),false)</f>
        <v>#N/A</v>
      </c>
      <c r="AP860" s="372" t="str">
        <f>CS_PID!AP860/VLOOKUP($B860,표2[#ALL],2)/HLOOKUP($A860,표1[#ALL],row(),false)</f>
        <v>#N/A</v>
      </c>
      <c r="AQ860" s="372" t="str">
        <f>CS_PID!AQ860/VLOOKUP($B860,표2[#ALL],2)/HLOOKUP($A860,표1[#ALL],row(),false)</f>
        <v>#N/A</v>
      </c>
      <c r="AR860" s="372" t="str">
        <f>CS_PID!AR860/VLOOKUP($B860,표2[#ALL],2)/HLOOKUP($A860,표1[#ALL],row(),false)</f>
        <v>#N/A</v>
      </c>
      <c r="AS860" s="373" t="str">
        <f>CS_PID!AS860/VLOOKUP($B860,표2[#ALL],2)/HLOOKUP($A860,표1[#ALL],row(),false)</f>
        <v>#N/A</v>
      </c>
    </row>
    <row r="861">
      <c r="A861" s="374"/>
      <c r="B861" s="375"/>
      <c r="C861" s="376" t="str">
        <f>CS_PID!C861/VLOOKUP($B861,표2[#ALL],2)</f>
        <v>#N/A</v>
      </c>
      <c r="D861" s="376" t="str">
        <f>CS_PID!D861/VLOOKUP($B861,표2[#ALL],2)</f>
        <v>#N/A</v>
      </c>
      <c r="E861" s="376" t="str">
        <f>CS_PID!E861/VLOOKUP($B861,표2[#ALL],2)</f>
        <v>#N/A</v>
      </c>
      <c r="F861" s="376" t="str">
        <f>CS_PID!F861/VLOOKUP($B861,표2[#ALL],2)</f>
        <v>#N/A</v>
      </c>
      <c r="G861" s="376" t="str">
        <f>CS_PID!G861/VLOOKUP($B861,표2[#ALL],2)</f>
        <v>#N/A</v>
      </c>
      <c r="H861" s="376" t="str">
        <f>CS_PID!H861/VLOOKUP($B861,표2[#ALL],2)/HLOOKUP($A861,표1[#ALL],row(),false)</f>
        <v>#N/A</v>
      </c>
      <c r="I861" s="376" t="str">
        <f>CS_PID!I861/VLOOKUP($B861,표2[#ALL],2)/HLOOKUP($A861,표1[#ALL],row(),false)</f>
        <v>#N/A</v>
      </c>
      <c r="J861" s="376" t="str">
        <f>CS_PID!J861/VLOOKUP($B861,표2[#ALL],2)/HLOOKUP($A861,표1[#ALL],row(),false)</f>
        <v>#N/A</v>
      </c>
      <c r="K861" s="376" t="str">
        <f>CS_PID!K861/VLOOKUP($B861,표2[#ALL],2)/HLOOKUP($A861,표1[#ALL],row(),false)</f>
        <v>#N/A</v>
      </c>
      <c r="L861" s="376" t="str">
        <f>CS_PID!L861/VLOOKUP($B861,표2[#ALL],2)/HLOOKUP($A861,표1[#ALL],row(),false)</f>
        <v>#N/A</v>
      </c>
      <c r="M861" s="376" t="str">
        <f>CS_PID!M861/VLOOKUP($B861,표2[#ALL],2)/HLOOKUP($A861,표1[#ALL],row(),false)</f>
        <v>#N/A</v>
      </c>
      <c r="N861" s="376" t="str">
        <f>CS_PID!N861/VLOOKUP($B861,표2[#ALL],2)/HLOOKUP($A861,표1[#ALL],row(),false)</f>
        <v>#N/A</v>
      </c>
      <c r="O861" s="376" t="str">
        <f>CS_PID!O861/VLOOKUP($B861,표2[#ALL],2)/HLOOKUP($A861,표1[#ALL],row(),false)</f>
        <v>#N/A</v>
      </c>
      <c r="P861" s="376" t="str">
        <f>CS_PID!P861/VLOOKUP($B861,표2[#ALL],2)/HLOOKUP($A861,표1[#ALL],row(),false)</f>
        <v>#N/A</v>
      </c>
      <c r="Q861" s="376" t="str">
        <f>CS_PID!Q861/VLOOKUP($B861,표2[#ALL],2)/HLOOKUP($A861,표1[#ALL],row(),false)</f>
        <v>#N/A</v>
      </c>
      <c r="R861" s="376" t="str">
        <f>CS_PID!R861/VLOOKUP($B861,표2[#ALL],2)/HLOOKUP($A861,표1[#ALL],row(),false)</f>
        <v>#N/A</v>
      </c>
      <c r="S861" s="376" t="str">
        <f>CS_PID!S861/VLOOKUP($B861,표2[#ALL],2)/HLOOKUP($A861,표1[#ALL],row(),false)</f>
        <v>#N/A</v>
      </c>
      <c r="T861" s="376" t="str">
        <f>CS_PID!T861/VLOOKUP($B861,표2[#ALL],2)/HLOOKUP($A861,표1[#ALL],row(),false)</f>
        <v>#N/A</v>
      </c>
      <c r="U861" s="376" t="str">
        <f>CS_PID!U861/VLOOKUP($B861,표2[#ALL],2)/HLOOKUP($A861,표1[#ALL],row(),false)</f>
        <v>#N/A</v>
      </c>
      <c r="V861" s="376" t="str">
        <f>CS_PID!V861/VLOOKUP($B861,표2[#ALL],2)/HLOOKUP($A861,표1[#ALL],row(),false)</f>
        <v>#N/A</v>
      </c>
      <c r="W861" s="376" t="str">
        <f>CS_PID!W861/VLOOKUP($B861,표2[#ALL],2)/HLOOKUP($A861,표1[#ALL],row(),false)</f>
        <v>#N/A</v>
      </c>
      <c r="X861" s="376" t="str">
        <f>CS_PID!X861/VLOOKUP($B861,표2[#ALL],2)/HLOOKUP($A861,표1[#ALL],row(),false)</f>
        <v>#N/A</v>
      </c>
      <c r="Y861" s="376" t="str">
        <f>CS_PID!Y861/VLOOKUP($B861,표2[#ALL],2)/HLOOKUP($A861,표1[#ALL],row(),false)</f>
        <v>#N/A</v>
      </c>
      <c r="Z861" s="376" t="str">
        <f>CS_PID!Z861/VLOOKUP($B861,표2[#ALL],2)/HLOOKUP($A861,표1[#ALL],row(),false)</f>
        <v>#N/A</v>
      </c>
      <c r="AA861" s="376" t="str">
        <f>CS_PID!AA861/VLOOKUP($B861,표2[#ALL],2)/HLOOKUP($A861,표1[#ALL],row(),false)</f>
        <v>#N/A</v>
      </c>
      <c r="AB861" s="376" t="str">
        <f>CS_PID!AB861/VLOOKUP($B861,표2[#ALL],2)/HLOOKUP($A861,표1[#ALL],row(),false)</f>
        <v>#N/A</v>
      </c>
      <c r="AC861" s="376" t="str">
        <f>CS_PID!AC861/VLOOKUP($B861,표2[#ALL],2)/HLOOKUP($A861,표1[#ALL],row(),false)</f>
        <v>#N/A</v>
      </c>
      <c r="AD861" s="376" t="str">
        <f>CS_PID!AD861/VLOOKUP($B861,표2[#ALL],2)/HLOOKUP($A861,표1[#ALL],row(),false)</f>
        <v>#N/A</v>
      </c>
      <c r="AE861" s="376" t="str">
        <f>CS_PID!AE861/VLOOKUP($B861,표2[#ALL],2)/HLOOKUP($A861,표1[#ALL],row(),false)</f>
        <v>#N/A</v>
      </c>
      <c r="AF861" s="376" t="str">
        <f>CS_PID!AF861/VLOOKUP($B861,표2[#ALL],2)/HLOOKUP($A861,표1[#ALL],row(),false)</f>
        <v>#N/A</v>
      </c>
      <c r="AG861" s="376" t="str">
        <f>CS_PID!AG861/VLOOKUP($B861,표2[#ALL],2)/HLOOKUP($A861,표1[#ALL],row(),false)</f>
        <v>#N/A</v>
      </c>
      <c r="AH861" s="376" t="str">
        <f>CS_PID!AH861/VLOOKUP($B861,표2[#ALL],2)/HLOOKUP($A861,표1[#ALL],row(),false)</f>
        <v>#N/A</v>
      </c>
      <c r="AI861" s="376" t="str">
        <f>CS_PID!AI861/VLOOKUP($B861,표2[#ALL],2)/HLOOKUP($A861,표1[#ALL],row(),false)</f>
        <v>#N/A</v>
      </c>
      <c r="AJ861" s="376" t="str">
        <f>CS_PID!AJ861/VLOOKUP($B861,표2[#ALL],2)/HLOOKUP($A861,표1[#ALL],row(),false)</f>
        <v>#N/A</v>
      </c>
      <c r="AK861" s="376" t="str">
        <f>CS_PID!AK861/VLOOKUP($B861,표2[#ALL],2)/HLOOKUP($A861,표1[#ALL],row(),false)</f>
        <v>#N/A</v>
      </c>
      <c r="AL861" s="376" t="str">
        <f>CS_PID!AL861/VLOOKUP($B861,표2[#ALL],2)/HLOOKUP($A861,표1[#ALL],row(),false)</f>
        <v>#N/A</v>
      </c>
      <c r="AM861" s="376" t="str">
        <f>CS_PID!AM861/VLOOKUP($B861,표2[#ALL],2)/HLOOKUP($A861,표1[#ALL],row(),false)</f>
        <v>#N/A</v>
      </c>
      <c r="AN861" s="376" t="str">
        <f>CS_PID!AN861/VLOOKUP($B861,표2[#ALL],2)/HLOOKUP($A861,표1[#ALL],row(),false)</f>
        <v>#N/A</v>
      </c>
      <c r="AO861" s="376" t="str">
        <f>CS_PID!AO861/VLOOKUP($B861,표2[#ALL],2)/HLOOKUP($A861,표1[#ALL],row(),false)</f>
        <v>#N/A</v>
      </c>
      <c r="AP861" s="376" t="str">
        <f>CS_PID!AP861/VLOOKUP($B861,표2[#ALL],2)/HLOOKUP($A861,표1[#ALL],row(),false)</f>
        <v>#N/A</v>
      </c>
      <c r="AQ861" s="376" t="str">
        <f>CS_PID!AQ861/VLOOKUP($B861,표2[#ALL],2)/HLOOKUP($A861,표1[#ALL],row(),false)</f>
        <v>#N/A</v>
      </c>
      <c r="AR861" s="376" t="str">
        <f>CS_PID!AR861/VLOOKUP($B861,표2[#ALL],2)/HLOOKUP($A861,표1[#ALL],row(),false)</f>
        <v>#N/A</v>
      </c>
      <c r="AS861" s="377" t="str">
        <f>CS_PID!AS861/VLOOKUP($B861,표2[#ALL],2)/HLOOKUP($A861,표1[#ALL],row(),false)</f>
        <v>#N/A</v>
      </c>
    </row>
    <row r="862">
      <c r="A862" s="370"/>
      <c r="B862" s="371"/>
      <c r="C862" s="372" t="str">
        <f>CS_PID!C862/VLOOKUP($B862,표2[#ALL],2)</f>
        <v>#N/A</v>
      </c>
      <c r="D862" s="372" t="str">
        <f>CS_PID!D862/VLOOKUP($B862,표2[#ALL],2)</f>
        <v>#N/A</v>
      </c>
      <c r="E862" s="372" t="str">
        <f>CS_PID!E862/VLOOKUP($B862,표2[#ALL],2)</f>
        <v>#N/A</v>
      </c>
      <c r="F862" s="372" t="str">
        <f>CS_PID!F862/VLOOKUP($B862,표2[#ALL],2)</f>
        <v>#N/A</v>
      </c>
      <c r="G862" s="372" t="str">
        <f>CS_PID!G862/VLOOKUP($B862,표2[#ALL],2)</f>
        <v>#N/A</v>
      </c>
      <c r="H862" s="372" t="str">
        <f>CS_PID!H862/VLOOKUP($B862,표2[#ALL],2)/HLOOKUP($A862,표1[#ALL],row(),false)</f>
        <v>#N/A</v>
      </c>
      <c r="I862" s="372" t="str">
        <f>CS_PID!I862/VLOOKUP($B862,표2[#ALL],2)/HLOOKUP($A862,표1[#ALL],row(),false)</f>
        <v>#N/A</v>
      </c>
      <c r="J862" s="372" t="str">
        <f>CS_PID!J862/VLOOKUP($B862,표2[#ALL],2)/HLOOKUP($A862,표1[#ALL],row(),false)</f>
        <v>#N/A</v>
      </c>
      <c r="K862" s="372" t="str">
        <f>CS_PID!K862/VLOOKUP($B862,표2[#ALL],2)/HLOOKUP($A862,표1[#ALL],row(),false)</f>
        <v>#N/A</v>
      </c>
      <c r="L862" s="372" t="str">
        <f>CS_PID!L862/VLOOKUP($B862,표2[#ALL],2)/HLOOKUP($A862,표1[#ALL],row(),false)</f>
        <v>#N/A</v>
      </c>
      <c r="M862" s="372" t="str">
        <f>CS_PID!M862/VLOOKUP($B862,표2[#ALL],2)/HLOOKUP($A862,표1[#ALL],row(),false)</f>
        <v>#N/A</v>
      </c>
      <c r="N862" s="372" t="str">
        <f>CS_PID!N862/VLOOKUP($B862,표2[#ALL],2)/HLOOKUP($A862,표1[#ALL],row(),false)</f>
        <v>#N/A</v>
      </c>
      <c r="O862" s="372" t="str">
        <f>CS_PID!O862/VLOOKUP($B862,표2[#ALL],2)/HLOOKUP($A862,표1[#ALL],row(),false)</f>
        <v>#N/A</v>
      </c>
      <c r="P862" s="372" t="str">
        <f>CS_PID!P862/VLOOKUP($B862,표2[#ALL],2)/HLOOKUP($A862,표1[#ALL],row(),false)</f>
        <v>#N/A</v>
      </c>
      <c r="Q862" s="372" t="str">
        <f>CS_PID!Q862/VLOOKUP($B862,표2[#ALL],2)/HLOOKUP($A862,표1[#ALL],row(),false)</f>
        <v>#N/A</v>
      </c>
      <c r="R862" s="372" t="str">
        <f>CS_PID!R862/VLOOKUP($B862,표2[#ALL],2)/HLOOKUP($A862,표1[#ALL],row(),false)</f>
        <v>#N/A</v>
      </c>
      <c r="S862" s="372" t="str">
        <f>CS_PID!S862/VLOOKUP($B862,표2[#ALL],2)/HLOOKUP($A862,표1[#ALL],row(),false)</f>
        <v>#N/A</v>
      </c>
      <c r="T862" s="372" t="str">
        <f>CS_PID!T862/VLOOKUP($B862,표2[#ALL],2)/HLOOKUP($A862,표1[#ALL],row(),false)</f>
        <v>#N/A</v>
      </c>
      <c r="U862" s="372" t="str">
        <f>CS_PID!U862/VLOOKUP($B862,표2[#ALL],2)/HLOOKUP($A862,표1[#ALL],row(),false)</f>
        <v>#N/A</v>
      </c>
      <c r="V862" s="372" t="str">
        <f>CS_PID!V862/VLOOKUP($B862,표2[#ALL],2)/HLOOKUP($A862,표1[#ALL],row(),false)</f>
        <v>#N/A</v>
      </c>
      <c r="W862" s="372" t="str">
        <f>CS_PID!W862/VLOOKUP($B862,표2[#ALL],2)/HLOOKUP($A862,표1[#ALL],row(),false)</f>
        <v>#N/A</v>
      </c>
      <c r="X862" s="372" t="str">
        <f>CS_PID!X862/VLOOKUP($B862,표2[#ALL],2)/HLOOKUP($A862,표1[#ALL],row(),false)</f>
        <v>#N/A</v>
      </c>
      <c r="Y862" s="372" t="str">
        <f>CS_PID!Y862/VLOOKUP($B862,표2[#ALL],2)/HLOOKUP($A862,표1[#ALL],row(),false)</f>
        <v>#N/A</v>
      </c>
      <c r="Z862" s="372" t="str">
        <f>CS_PID!Z862/VLOOKUP($B862,표2[#ALL],2)/HLOOKUP($A862,표1[#ALL],row(),false)</f>
        <v>#N/A</v>
      </c>
      <c r="AA862" s="372" t="str">
        <f>CS_PID!AA862/VLOOKUP($B862,표2[#ALL],2)/HLOOKUP($A862,표1[#ALL],row(),false)</f>
        <v>#N/A</v>
      </c>
      <c r="AB862" s="372" t="str">
        <f>CS_PID!AB862/VLOOKUP($B862,표2[#ALL],2)/HLOOKUP($A862,표1[#ALL],row(),false)</f>
        <v>#N/A</v>
      </c>
      <c r="AC862" s="372" t="str">
        <f>CS_PID!AC862/VLOOKUP($B862,표2[#ALL],2)/HLOOKUP($A862,표1[#ALL],row(),false)</f>
        <v>#N/A</v>
      </c>
      <c r="AD862" s="372" t="str">
        <f>CS_PID!AD862/VLOOKUP($B862,표2[#ALL],2)/HLOOKUP($A862,표1[#ALL],row(),false)</f>
        <v>#N/A</v>
      </c>
      <c r="AE862" s="372" t="str">
        <f>CS_PID!AE862/VLOOKUP($B862,표2[#ALL],2)/HLOOKUP($A862,표1[#ALL],row(),false)</f>
        <v>#N/A</v>
      </c>
      <c r="AF862" s="372" t="str">
        <f>CS_PID!AF862/VLOOKUP($B862,표2[#ALL],2)/HLOOKUP($A862,표1[#ALL],row(),false)</f>
        <v>#N/A</v>
      </c>
      <c r="AG862" s="372" t="str">
        <f>CS_PID!AG862/VLOOKUP($B862,표2[#ALL],2)/HLOOKUP($A862,표1[#ALL],row(),false)</f>
        <v>#N/A</v>
      </c>
      <c r="AH862" s="372" t="str">
        <f>CS_PID!AH862/VLOOKUP($B862,표2[#ALL],2)/HLOOKUP($A862,표1[#ALL],row(),false)</f>
        <v>#N/A</v>
      </c>
      <c r="AI862" s="372" t="str">
        <f>CS_PID!AI862/VLOOKUP($B862,표2[#ALL],2)/HLOOKUP($A862,표1[#ALL],row(),false)</f>
        <v>#N/A</v>
      </c>
      <c r="AJ862" s="372" t="str">
        <f>CS_PID!AJ862/VLOOKUP($B862,표2[#ALL],2)/HLOOKUP($A862,표1[#ALL],row(),false)</f>
        <v>#N/A</v>
      </c>
      <c r="AK862" s="372" t="str">
        <f>CS_PID!AK862/VLOOKUP($B862,표2[#ALL],2)/HLOOKUP($A862,표1[#ALL],row(),false)</f>
        <v>#N/A</v>
      </c>
      <c r="AL862" s="372" t="str">
        <f>CS_PID!AL862/VLOOKUP($B862,표2[#ALL],2)/HLOOKUP($A862,표1[#ALL],row(),false)</f>
        <v>#N/A</v>
      </c>
      <c r="AM862" s="372" t="str">
        <f>CS_PID!AM862/VLOOKUP($B862,표2[#ALL],2)/HLOOKUP($A862,표1[#ALL],row(),false)</f>
        <v>#N/A</v>
      </c>
      <c r="AN862" s="372" t="str">
        <f>CS_PID!AN862/VLOOKUP($B862,표2[#ALL],2)/HLOOKUP($A862,표1[#ALL],row(),false)</f>
        <v>#N/A</v>
      </c>
      <c r="AO862" s="372" t="str">
        <f>CS_PID!AO862/VLOOKUP($B862,표2[#ALL],2)/HLOOKUP($A862,표1[#ALL],row(),false)</f>
        <v>#N/A</v>
      </c>
      <c r="AP862" s="372" t="str">
        <f>CS_PID!AP862/VLOOKUP($B862,표2[#ALL],2)/HLOOKUP($A862,표1[#ALL],row(),false)</f>
        <v>#N/A</v>
      </c>
      <c r="AQ862" s="372" t="str">
        <f>CS_PID!AQ862/VLOOKUP($B862,표2[#ALL],2)/HLOOKUP($A862,표1[#ALL],row(),false)</f>
        <v>#N/A</v>
      </c>
      <c r="AR862" s="372" t="str">
        <f>CS_PID!AR862/VLOOKUP($B862,표2[#ALL],2)/HLOOKUP($A862,표1[#ALL],row(),false)</f>
        <v>#N/A</v>
      </c>
      <c r="AS862" s="373" t="str">
        <f>CS_PID!AS862/VLOOKUP($B862,표2[#ALL],2)/HLOOKUP($A862,표1[#ALL],row(),false)</f>
        <v>#N/A</v>
      </c>
    </row>
    <row r="863">
      <c r="A863" s="374"/>
      <c r="B863" s="375"/>
      <c r="C863" s="376" t="str">
        <f>CS_PID!C863/VLOOKUP($B863,표2[#ALL],2)</f>
        <v>#N/A</v>
      </c>
      <c r="D863" s="376" t="str">
        <f>CS_PID!D863/VLOOKUP($B863,표2[#ALL],2)</f>
        <v>#N/A</v>
      </c>
      <c r="E863" s="376" t="str">
        <f>CS_PID!E863/VLOOKUP($B863,표2[#ALL],2)</f>
        <v>#N/A</v>
      </c>
      <c r="F863" s="376" t="str">
        <f>CS_PID!F863/VLOOKUP($B863,표2[#ALL],2)</f>
        <v>#N/A</v>
      </c>
      <c r="G863" s="376" t="str">
        <f>CS_PID!G863/VLOOKUP($B863,표2[#ALL],2)</f>
        <v>#N/A</v>
      </c>
      <c r="H863" s="376" t="str">
        <f>CS_PID!H863/VLOOKUP($B863,표2[#ALL],2)/HLOOKUP($A863,표1[#ALL],row(),false)</f>
        <v>#N/A</v>
      </c>
      <c r="I863" s="376" t="str">
        <f>CS_PID!I863/VLOOKUP($B863,표2[#ALL],2)/HLOOKUP($A863,표1[#ALL],row(),false)</f>
        <v>#N/A</v>
      </c>
      <c r="J863" s="376" t="str">
        <f>CS_PID!J863/VLOOKUP($B863,표2[#ALL],2)/HLOOKUP($A863,표1[#ALL],row(),false)</f>
        <v>#N/A</v>
      </c>
      <c r="K863" s="376" t="str">
        <f>CS_PID!K863/VLOOKUP($B863,표2[#ALL],2)/HLOOKUP($A863,표1[#ALL],row(),false)</f>
        <v>#N/A</v>
      </c>
      <c r="L863" s="376" t="str">
        <f>CS_PID!L863/VLOOKUP($B863,표2[#ALL],2)/HLOOKUP($A863,표1[#ALL],row(),false)</f>
        <v>#N/A</v>
      </c>
      <c r="M863" s="376" t="str">
        <f>CS_PID!M863/VLOOKUP($B863,표2[#ALL],2)/HLOOKUP($A863,표1[#ALL],row(),false)</f>
        <v>#N/A</v>
      </c>
      <c r="N863" s="376" t="str">
        <f>CS_PID!N863/VLOOKUP($B863,표2[#ALL],2)/HLOOKUP($A863,표1[#ALL],row(),false)</f>
        <v>#N/A</v>
      </c>
      <c r="O863" s="376" t="str">
        <f>CS_PID!O863/VLOOKUP($B863,표2[#ALL],2)/HLOOKUP($A863,표1[#ALL],row(),false)</f>
        <v>#N/A</v>
      </c>
      <c r="P863" s="376" t="str">
        <f>CS_PID!P863/VLOOKUP($B863,표2[#ALL],2)/HLOOKUP($A863,표1[#ALL],row(),false)</f>
        <v>#N/A</v>
      </c>
      <c r="Q863" s="376" t="str">
        <f>CS_PID!Q863/VLOOKUP($B863,표2[#ALL],2)/HLOOKUP($A863,표1[#ALL],row(),false)</f>
        <v>#N/A</v>
      </c>
      <c r="R863" s="376" t="str">
        <f>CS_PID!R863/VLOOKUP($B863,표2[#ALL],2)/HLOOKUP($A863,표1[#ALL],row(),false)</f>
        <v>#N/A</v>
      </c>
      <c r="S863" s="376" t="str">
        <f>CS_PID!S863/VLOOKUP($B863,표2[#ALL],2)/HLOOKUP($A863,표1[#ALL],row(),false)</f>
        <v>#N/A</v>
      </c>
      <c r="T863" s="376" t="str">
        <f>CS_PID!T863/VLOOKUP($B863,표2[#ALL],2)/HLOOKUP($A863,표1[#ALL],row(),false)</f>
        <v>#N/A</v>
      </c>
      <c r="U863" s="376" t="str">
        <f>CS_PID!U863/VLOOKUP($B863,표2[#ALL],2)/HLOOKUP($A863,표1[#ALL],row(),false)</f>
        <v>#N/A</v>
      </c>
      <c r="V863" s="376" t="str">
        <f>CS_PID!V863/VLOOKUP($B863,표2[#ALL],2)/HLOOKUP($A863,표1[#ALL],row(),false)</f>
        <v>#N/A</v>
      </c>
      <c r="W863" s="376" t="str">
        <f>CS_PID!W863/VLOOKUP($B863,표2[#ALL],2)/HLOOKUP($A863,표1[#ALL],row(),false)</f>
        <v>#N/A</v>
      </c>
      <c r="X863" s="376" t="str">
        <f>CS_PID!X863/VLOOKUP($B863,표2[#ALL],2)/HLOOKUP($A863,표1[#ALL],row(),false)</f>
        <v>#N/A</v>
      </c>
      <c r="Y863" s="376" t="str">
        <f>CS_PID!Y863/VLOOKUP($B863,표2[#ALL],2)/HLOOKUP($A863,표1[#ALL],row(),false)</f>
        <v>#N/A</v>
      </c>
      <c r="Z863" s="376" t="str">
        <f>CS_PID!Z863/VLOOKUP($B863,표2[#ALL],2)/HLOOKUP($A863,표1[#ALL],row(),false)</f>
        <v>#N/A</v>
      </c>
      <c r="AA863" s="376" t="str">
        <f>CS_PID!AA863/VLOOKUP($B863,표2[#ALL],2)/HLOOKUP($A863,표1[#ALL],row(),false)</f>
        <v>#N/A</v>
      </c>
      <c r="AB863" s="376" t="str">
        <f>CS_PID!AB863/VLOOKUP($B863,표2[#ALL],2)/HLOOKUP($A863,표1[#ALL],row(),false)</f>
        <v>#N/A</v>
      </c>
      <c r="AC863" s="376" t="str">
        <f>CS_PID!AC863/VLOOKUP($B863,표2[#ALL],2)/HLOOKUP($A863,표1[#ALL],row(),false)</f>
        <v>#N/A</v>
      </c>
      <c r="AD863" s="376" t="str">
        <f>CS_PID!AD863/VLOOKUP($B863,표2[#ALL],2)/HLOOKUP($A863,표1[#ALL],row(),false)</f>
        <v>#N/A</v>
      </c>
      <c r="AE863" s="376" t="str">
        <f>CS_PID!AE863/VLOOKUP($B863,표2[#ALL],2)/HLOOKUP($A863,표1[#ALL],row(),false)</f>
        <v>#N/A</v>
      </c>
      <c r="AF863" s="376" t="str">
        <f>CS_PID!AF863/VLOOKUP($B863,표2[#ALL],2)/HLOOKUP($A863,표1[#ALL],row(),false)</f>
        <v>#N/A</v>
      </c>
      <c r="AG863" s="376" t="str">
        <f>CS_PID!AG863/VLOOKUP($B863,표2[#ALL],2)/HLOOKUP($A863,표1[#ALL],row(),false)</f>
        <v>#N/A</v>
      </c>
      <c r="AH863" s="376" t="str">
        <f>CS_PID!AH863/VLOOKUP($B863,표2[#ALL],2)/HLOOKUP($A863,표1[#ALL],row(),false)</f>
        <v>#N/A</v>
      </c>
      <c r="AI863" s="376" t="str">
        <f>CS_PID!AI863/VLOOKUP($B863,표2[#ALL],2)/HLOOKUP($A863,표1[#ALL],row(),false)</f>
        <v>#N/A</v>
      </c>
      <c r="AJ863" s="376" t="str">
        <f>CS_PID!AJ863/VLOOKUP($B863,표2[#ALL],2)/HLOOKUP($A863,표1[#ALL],row(),false)</f>
        <v>#N/A</v>
      </c>
      <c r="AK863" s="376" t="str">
        <f>CS_PID!AK863/VLOOKUP($B863,표2[#ALL],2)/HLOOKUP($A863,표1[#ALL],row(),false)</f>
        <v>#N/A</v>
      </c>
      <c r="AL863" s="376" t="str">
        <f>CS_PID!AL863/VLOOKUP($B863,표2[#ALL],2)/HLOOKUP($A863,표1[#ALL],row(),false)</f>
        <v>#N/A</v>
      </c>
      <c r="AM863" s="376" t="str">
        <f>CS_PID!AM863/VLOOKUP($B863,표2[#ALL],2)/HLOOKUP($A863,표1[#ALL],row(),false)</f>
        <v>#N/A</v>
      </c>
      <c r="AN863" s="376" t="str">
        <f>CS_PID!AN863/VLOOKUP($B863,표2[#ALL],2)/HLOOKUP($A863,표1[#ALL],row(),false)</f>
        <v>#N/A</v>
      </c>
      <c r="AO863" s="376" t="str">
        <f>CS_PID!AO863/VLOOKUP($B863,표2[#ALL],2)/HLOOKUP($A863,표1[#ALL],row(),false)</f>
        <v>#N/A</v>
      </c>
      <c r="AP863" s="376" t="str">
        <f>CS_PID!AP863/VLOOKUP($B863,표2[#ALL],2)/HLOOKUP($A863,표1[#ALL],row(),false)</f>
        <v>#N/A</v>
      </c>
      <c r="AQ863" s="376" t="str">
        <f>CS_PID!AQ863/VLOOKUP($B863,표2[#ALL],2)/HLOOKUP($A863,표1[#ALL],row(),false)</f>
        <v>#N/A</v>
      </c>
      <c r="AR863" s="376" t="str">
        <f>CS_PID!AR863/VLOOKUP($B863,표2[#ALL],2)/HLOOKUP($A863,표1[#ALL],row(),false)</f>
        <v>#N/A</v>
      </c>
      <c r="AS863" s="377" t="str">
        <f>CS_PID!AS863/VLOOKUP($B863,표2[#ALL],2)/HLOOKUP($A863,표1[#ALL],row(),false)</f>
        <v>#N/A</v>
      </c>
    </row>
    <row r="864">
      <c r="A864" s="370"/>
      <c r="B864" s="371"/>
      <c r="C864" s="372" t="str">
        <f>CS_PID!C864/VLOOKUP($B864,표2[#ALL],2)</f>
        <v>#N/A</v>
      </c>
      <c r="D864" s="372" t="str">
        <f>CS_PID!D864/VLOOKUP($B864,표2[#ALL],2)</f>
        <v>#N/A</v>
      </c>
      <c r="E864" s="372" t="str">
        <f>CS_PID!E864/VLOOKUP($B864,표2[#ALL],2)</f>
        <v>#N/A</v>
      </c>
      <c r="F864" s="372" t="str">
        <f>CS_PID!F864/VLOOKUP($B864,표2[#ALL],2)</f>
        <v>#N/A</v>
      </c>
      <c r="G864" s="372" t="str">
        <f>CS_PID!G864/VLOOKUP($B864,표2[#ALL],2)</f>
        <v>#N/A</v>
      </c>
      <c r="H864" s="372" t="str">
        <f>CS_PID!H864/VLOOKUP($B864,표2[#ALL],2)/HLOOKUP($A864,표1[#ALL],row(),false)</f>
        <v>#N/A</v>
      </c>
      <c r="I864" s="372" t="str">
        <f>CS_PID!I864/VLOOKUP($B864,표2[#ALL],2)/HLOOKUP($A864,표1[#ALL],row(),false)</f>
        <v>#N/A</v>
      </c>
      <c r="J864" s="372" t="str">
        <f>CS_PID!J864/VLOOKUP($B864,표2[#ALL],2)/HLOOKUP($A864,표1[#ALL],row(),false)</f>
        <v>#N/A</v>
      </c>
      <c r="K864" s="372" t="str">
        <f>CS_PID!K864/VLOOKUP($B864,표2[#ALL],2)/HLOOKUP($A864,표1[#ALL],row(),false)</f>
        <v>#N/A</v>
      </c>
      <c r="L864" s="372" t="str">
        <f>CS_PID!L864/VLOOKUP($B864,표2[#ALL],2)/HLOOKUP($A864,표1[#ALL],row(),false)</f>
        <v>#N/A</v>
      </c>
      <c r="M864" s="372" t="str">
        <f>CS_PID!M864/VLOOKUP($B864,표2[#ALL],2)/HLOOKUP($A864,표1[#ALL],row(),false)</f>
        <v>#N/A</v>
      </c>
      <c r="N864" s="372" t="str">
        <f>CS_PID!N864/VLOOKUP($B864,표2[#ALL],2)/HLOOKUP($A864,표1[#ALL],row(),false)</f>
        <v>#N/A</v>
      </c>
      <c r="O864" s="372" t="str">
        <f>CS_PID!O864/VLOOKUP($B864,표2[#ALL],2)/HLOOKUP($A864,표1[#ALL],row(),false)</f>
        <v>#N/A</v>
      </c>
      <c r="P864" s="372" t="str">
        <f>CS_PID!P864/VLOOKUP($B864,표2[#ALL],2)/HLOOKUP($A864,표1[#ALL],row(),false)</f>
        <v>#N/A</v>
      </c>
      <c r="Q864" s="372" t="str">
        <f>CS_PID!Q864/VLOOKUP($B864,표2[#ALL],2)/HLOOKUP($A864,표1[#ALL],row(),false)</f>
        <v>#N/A</v>
      </c>
      <c r="R864" s="372" t="str">
        <f>CS_PID!R864/VLOOKUP($B864,표2[#ALL],2)/HLOOKUP($A864,표1[#ALL],row(),false)</f>
        <v>#N/A</v>
      </c>
      <c r="S864" s="372" t="str">
        <f>CS_PID!S864/VLOOKUP($B864,표2[#ALL],2)/HLOOKUP($A864,표1[#ALL],row(),false)</f>
        <v>#N/A</v>
      </c>
      <c r="T864" s="372" t="str">
        <f>CS_PID!T864/VLOOKUP($B864,표2[#ALL],2)/HLOOKUP($A864,표1[#ALL],row(),false)</f>
        <v>#N/A</v>
      </c>
      <c r="U864" s="372" t="str">
        <f>CS_PID!U864/VLOOKUP($B864,표2[#ALL],2)/HLOOKUP($A864,표1[#ALL],row(),false)</f>
        <v>#N/A</v>
      </c>
      <c r="V864" s="372" t="str">
        <f>CS_PID!V864/VLOOKUP($B864,표2[#ALL],2)/HLOOKUP($A864,표1[#ALL],row(),false)</f>
        <v>#N/A</v>
      </c>
      <c r="W864" s="372" t="str">
        <f>CS_PID!W864/VLOOKUP($B864,표2[#ALL],2)/HLOOKUP($A864,표1[#ALL],row(),false)</f>
        <v>#N/A</v>
      </c>
      <c r="X864" s="372" t="str">
        <f>CS_PID!X864/VLOOKUP($B864,표2[#ALL],2)/HLOOKUP($A864,표1[#ALL],row(),false)</f>
        <v>#N/A</v>
      </c>
      <c r="Y864" s="372" t="str">
        <f>CS_PID!Y864/VLOOKUP($B864,표2[#ALL],2)/HLOOKUP($A864,표1[#ALL],row(),false)</f>
        <v>#N/A</v>
      </c>
      <c r="Z864" s="372" t="str">
        <f>CS_PID!Z864/VLOOKUP($B864,표2[#ALL],2)/HLOOKUP($A864,표1[#ALL],row(),false)</f>
        <v>#N/A</v>
      </c>
      <c r="AA864" s="372" t="str">
        <f>CS_PID!AA864/VLOOKUP($B864,표2[#ALL],2)/HLOOKUP($A864,표1[#ALL],row(),false)</f>
        <v>#N/A</v>
      </c>
      <c r="AB864" s="372" t="str">
        <f>CS_PID!AB864/VLOOKUP($B864,표2[#ALL],2)/HLOOKUP($A864,표1[#ALL],row(),false)</f>
        <v>#N/A</v>
      </c>
      <c r="AC864" s="372" t="str">
        <f>CS_PID!AC864/VLOOKUP($B864,표2[#ALL],2)/HLOOKUP($A864,표1[#ALL],row(),false)</f>
        <v>#N/A</v>
      </c>
      <c r="AD864" s="372" t="str">
        <f>CS_PID!AD864/VLOOKUP($B864,표2[#ALL],2)/HLOOKUP($A864,표1[#ALL],row(),false)</f>
        <v>#N/A</v>
      </c>
      <c r="AE864" s="372" t="str">
        <f>CS_PID!AE864/VLOOKUP($B864,표2[#ALL],2)/HLOOKUP($A864,표1[#ALL],row(),false)</f>
        <v>#N/A</v>
      </c>
      <c r="AF864" s="372" t="str">
        <f>CS_PID!AF864/VLOOKUP($B864,표2[#ALL],2)/HLOOKUP($A864,표1[#ALL],row(),false)</f>
        <v>#N/A</v>
      </c>
      <c r="AG864" s="372" t="str">
        <f>CS_PID!AG864/VLOOKUP($B864,표2[#ALL],2)/HLOOKUP($A864,표1[#ALL],row(),false)</f>
        <v>#N/A</v>
      </c>
      <c r="AH864" s="372" t="str">
        <f>CS_PID!AH864/VLOOKUP($B864,표2[#ALL],2)/HLOOKUP($A864,표1[#ALL],row(),false)</f>
        <v>#N/A</v>
      </c>
      <c r="AI864" s="372" t="str">
        <f>CS_PID!AI864/VLOOKUP($B864,표2[#ALL],2)/HLOOKUP($A864,표1[#ALL],row(),false)</f>
        <v>#N/A</v>
      </c>
      <c r="AJ864" s="372" t="str">
        <f>CS_PID!AJ864/VLOOKUP($B864,표2[#ALL],2)/HLOOKUP($A864,표1[#ALL],row(),false)</f>
        <v>#N/A</v>
      </c>
      <c r="AK864" s="372" t="str">
        <f>CS_PID!AK864/VLOOKUP($B864,표2[#ALL],2)/HLOOKUP($A864,표1[#ALL],row(),false)</f>
        <v>#N/A</v>
      </c>
      <c r="AL864" s="372" t="str">
        <f>CS_PID!AL864/VLOOKUP($B864,표2[#ALL],2)/HLOOKUP($A864,표1[#ALL],row(),false)</f>
        <v>#N/A</v>
      </c>
      <c r="AM864" s="372" t="str">
        <f>CS_PID!AM864/VLOOKUP($B864,표2[#ALL],2)/HLOOKUP($A864,표1[#ALL],row(),false)</f>
        <v>#N/A</v>
      </c>
      <c r="AN864" s="372" t="str">
        <f>CS_PID!AN864/VLOOKUP($B864,표2[#ALL],2)/HLOOKUP($A864,표1[#ALL],row(),false)</f>
        <v>#N/A</v>
      </c>
      <c r="AO864" s="372" t="str">
        <f>CS_PID!AO864/VLOOKUP($B864,표2[#ALL],2)/HLOOKUP($A864,표1[#ALL],row(),false)</f>
        <v>#N/A</v>
      </c>
      <c r="AP864" s="372" t="str">
        <f>CS_PID!AP864/VLOOKUP($B864,표2[#ALL],2)/HLOOKUP($A864,표1[#ALL],row(),false)</f>
        <v>#N/A</v>
      </c>
      <c r="AQ864" s="372" t="str">
        <f>CS_PID!AQ864/VLOOKUP($B864,표2[#ALL],2)/HLOOKUP($A864,표1[#ALL],row(),false)</f>
        <v>#N/A</v>
      </c>
      <c r="AR864" s="372" t="str">
        <f>CS_PID!AR864/VLOOKUP($B864,표2[#ALL],2)/HLOOKUP($A864,표1[#ALL],row(),false)</f>
        <v>#N/A</v>
      </c>
      <c r="AS864" s="373" t="str">
        <f>CS_PID!AS864/VLOOKUP($B864,표2[#ALL],2)/HLOOKUP($A864,표1[#ALL],row(),false)</f>
        <v>#N/A</v>
      </c>
    </row>
    <row r="865">
      <c r="A865" s="374"/>
      <c r="B865" s="375"/>
      <c r="C865" s="376" t="str">
        <f>CS_PID!C865/VLOOKUP($B865,표2[#ALL],2)</f>
        <v>#N/A</v>
      </c>
      <c r="D865" s="376" t="str">
        <f>CS_PID!D865/VLOOKUP($B865,표2[#ALL],2)</f>
        <v>#N/A</v>
      </c>
      <c r="E865" s="376" t="str">
        <f>CS_PID!E865/VLOOKUP($B865,표2[#ALL],2)</f>
        <v>#N/A</v>
      </c>
      <c r="F865" s="376" t="str">
        <f>CS_PID!F865/VLOOKUP($B865,표2[#ALL],2)</f>
        <v>#N/A</v>
      </c>
      <c r="G865" s="376" t="str">
        <f>CS_PID!G865/VLOOKUP($B865,표2[#ALL],2)</f>
        <v>#N/A</v>
      </c>
      <c r="H865" s="376" t="str">
        <f>CS_PID!H865/VLOOKUP($B865,표2[#ALL],2)/HLOOKUP($A865,표1[#ALL],row(),false)</f>
        <v>#N/A</v>
      </c>
      <c r="I865" s="376" t="str">
        <f>CS_PID!I865/VLOOKUP($B865,표2[#ALL],2)/HLOOKUP($A865,표1[#ALL],row(),false)</f>
        <v>#N/A</v>
      </c>
      <c r="J865" s="376" t="str">
        <f>CS_PID!J865/VLOOKUP($B865,표2[#ALL],2)/HLOOKUP($A865,표1[#ALL],row(),false)</f>
        <v>#N/A</v>
      </c>
      <c r="K865" s="376" t="str">
        <f>CS_PID!K865/VLOOKUP($B865,표2[#ALL],2)/HLOOKUP($A865,표1[#ALL],row(),false)</f>
        <v>#N/A</v>
      </c>
      <c r="L865" s="376" t="str">
        <f>CS_PID!L865/VLOOKUP($B865,표2[#ALL],2)/HLOOKUP($A865,표1[#ALL],row(),false)</f>
        <v>#N/A</v>
      </c>
      <c r="M865" s="376" t="str">
        <f>CS_PID!M865/VLOOKUP($B865,표2[#ALL],2)/HLOOKUP($A865,표1[#ALL],row(),false)</f>
        <v>#N/A</v>
      </c>
      <c r="N865" s="376" t="str">
        <f>CS_PID!N865/VLOOKUP($B865,표2[#ALL],2)/HLOOKUP($A865,표1[#ALL],row(),false)</f>
        <v>#N/A</v>
      </c>
      <c r="O865" s="376" t="str">
        <f>CS_PID!O865/VLOOKUP($B865,표2[#ALL],2)/HLOOKUP($A865,표1[#ALL],row(),false)</f>
        <v>#N/A</v>
      </c>
      <c r="P865" s="376" t="str">
        <f>CS_PID!P865/VLOOKUP($B865,표2[#ALL],2)/HLOOKUP($A865,표1[#ALL],row(),false)</f>
        <v>#N/A</v>
      </c>
      <c r="Q865" s="376" t="str">
        <f>CS_PID!Q865/VLOOKUP($B865,표2[#ALL],2)/HLOOKUP($A865,표1[#ALL],row(),false)</f>
        <v>#N/A</v>
      </c>
      <c r="R865" s="376" t="str">
        <f>CS_PID!R865/VLOOKUP($B865,표2[#ALL],2)/HLOOKUP($A865,표1[#ALL],row(),false)</f>
        <v>#N/A</v>
      </c>
      <c r="S865" s="376" t="str">
        <f>CS_PID!S865/VLOOKUP($B865,표2[#ALL],2)/HLOOKUP($A865,표1[#ALL],row(),false)</f>
        <v>#N/A</v>
      </c>
      <c r="T865" s="376" t="str">
        <f>CS_PID!T865/VLOOKUP($B865,표2[#ALL],2)/HLOOKUP($A865,표1[#ALL],row(),false)</f>
        <v>#N/A</v>
      </c>
      <c r="U865" s="376" t="str">
        <f>CS_PID!U865/VLOOKUP($B865,표2[#ALL],2)/HLOOKUP($A865,표1[#ALL],row(),false)</f>
        <v>#N/A</v>
      </c>
      <c r="V865" s="376" t="str">
        <f>CS_PID!V865/VLOOKUP($B865,표2[#ALL],2)/HLOOKUP($A865,표1[#ALL],row(),false)</f>
        <v>#N/A</v>
      </c>
      <c r="W865" s="376" t="str">
        <f>CS_PID!W865/VLOOKUP($B865,표2[#ALL],2)/HLOOKUP($A865,표1[#ALL],row(),false)</f>
        <v>#N/A</v>
      </c>
      <c r="X865" s="376" t="str">
        <f>CS_PID!X865/VLOOKUP($B865,표2[#ALL],2)/HLOOKUP($A865,표1[#ALL],row(),false)</f>
        <v>#N/A</v>
      </c>
      <c r="Y865" s="376" t="str">
        <f>CS_PID!Y865/VLOOKUP($B865,표2[#ALL],2)/HLOOKUP($A865,표1[#ALL],row(),false)</f>
        <v>#N/A</v>
      </c>
      <c r="Z865" s="376" t="str">
        <f>CS_PID!Z865/VLOOKUP($B865,표2[#ALL],2)/HLOOKUP($A865,표1[#ALL],row(),false)</f>
        <v>#N/A</v>
      </c>
      <c r="AA865" s="376" t="str">
        <f>CS_PID!AA865/VLOOKUP($B865,표2[#ALL],2)/HLOOKUP($A865,표1[#ALL],row(),false)</f>
        <v>#N/A</v>
      </c>
      <c r="AB865" s="376" t="str">
        <f>CS_PID!AB865/VLOOKUP($B865,표2[#ALL],2)/HLOOKUP($A865,표1[#ALL],row(),false)</f>
        <v>#N/A</v>
      </c>
      <c r="AC865" s="376" t="str">
        <f>CS_PID!AC865/VLOOKUP($B865,표2[#ALL],2)/HLOOKUP($A865,표1[#ALL],row(),false)</f>
        <v>#N/A</v>
      </c>
      <c r="AD865" s="376" t="str">
        <f>CS_PID!AD865/VLOOKUP($B865,표2[#ALL],2)/HLOOKUP($A865,표1[#ALL],row(),false)</f>
        <v>#N/A</v>
      </c>
      <c r="AE865" s="376" t="str">
        <f>CS_PID!AE865/VLOOKUP($B865,표2[#ALL],2)/HLOOKUP($A865,표1[#ALL],row(),false)</f>
        <v>#N/A</v>
      </c>
      <c r="AF865" s="376" t="str">
        <f>CS_PID!AF865/VLOOKUP($B865,표2[#ALL],2)/HLOOKUP($A865,표1[#ALL],row(),false)</f>
        <v>#N/A</v>
      </c>
      <c r="AG865" s="376" t="str">
        <f>CS_PID!AG865/VLOOKUP($B865,표2[#ALL],2)/HLOOKUP($A865,표1[#ALL],row(),false)</f>
        <v>#N/A</v>
      </c>
      <c r="AH865" s="376" t="str">
        <f>CS_PID!AH865/VLOOKUP($B865,표2[#ALL],2)/HLOOKUP($A865,표1[#ALL],row(),false)</f>
        <v>#N/A</v>
      </c>
      <c r="AI865" s="376" t="str">
        <f>CS_PID!AI865/VLOOKUP($B865,표2[#ALL],2)/HLOOKUP($A865,표1[#ALL],row(),false)</f>
        <v>#N/A</v>
      </c>
      <c r="AJ865" s="376" t="str">
        <f>CS_PID!AJ865/VLOOKUP($B865,표2[#ALL],2)/HLOOKUP($A865,표1[#ALL],row(),false)</f>
        <v>#N/A</v>
      </c>
      <c r="AK865" s="376" t="str">
        <f>CS_PID!AK865/VLOOKUP($B865,표2[#ALL],2)/HLOOKUP($A865,표1[#ALL],row(),false)</f>
        <v>#N/A</v>
      </c>
      <c r="AL865" s="376" t="str">
        <f>CS_PID!AL865/VLOOKUP($B865,표2[#ALL],2)/HLOOKUP($A865,표1[#ALL],row(),false)</f>
        <v>#N/A</v>
      </c>
      <c r="AM865" s="376" t="str">
        <f>CS_PID!AM865/VLOOKUP($B865,표2[#ALL],2)/HLOOKUP($A865,표1[#ALL],row(),false)</f>
        <v>#N/A</v>
      </c>
      <c r="AN865" s="376" t="str">
        <f>CS_PID!AN865/VLOOKUP($B865,표2[#ALL],2)/HLOOKUP($A865,표1[#ALL],row(),false)</f>
        <v>#N/A</v>
      </c>
      <c r="AO865" s="376" t="str">
        <f>CS_PID!AO865/VLOOKUP($B865,표2[#ALL],2)/HLOOKUP($A865,표1[#ALL],row(),false)</f>
        <v>#N/A</v>
      </c>
      <c r="AP865" s="376" t="str">
        <f>CS_PID!AP865/VLOOKUP($B865,표2[#ALL],2)/HLOOKUP($A865,표1[#ALL],row(),false)</f>
        <v>#N/A</v>
      </c>
      <c r="AQ865" s="376" t="str">
        <f>CS_PID!AQ865/VLOOKUP($B865,표2[#ALL],2)/HLOOKUP($A865,표1[#ALL],row(),false)</f>
        <v>#N/A</v>
      </c>
      <c r="AR865" s="376" t="str">
        <f>CS_PID!AR865/VLOOKUP($B865,표2[#ALL],2)/HLOOKUP($A865,표1[#ALL],row(),false)</f>
        <v>#N/A</v>
      </c>
      <c r="AS865" s="377" t="str">
        <f>CS_PID!AS865/VLOOKUP($B865,표2[#ALL],2)/HLOOKUP($A865,표1[#ALL],row(),false)</f>
        <v>#N/A</v>
      </c>
    </row>
    <row r="866">
      <c r="A866" s="370"/>
      <c r="B866" s="371"/>
      <c r="C866" s="372" t="str">
        <f>CS_PID!C866/VLOOKUP($B866,표2[#ALL],2)</f>
        <v>#N/A</v>
      </c>
      <c r="D866" s="372" t="str">
        <f>CS_PID!D866/VLOOKUP($B866,표2[#ALL],2)</f>
        <v>#N/A</v>
      </c>
      <c r="E866" s="372" t="str">
        <f>CS_PID!E866/VLOOKUP($B866,표2[#ALL],2)</f>
        <v>#N/A</v>
      </c>
      <c r="F866" s="372" t="str">
        <f>CS_PID!F866/VLOOKUP($B866,표2[#ALL],2)</f>
        <v>#N/A</v>
      </c>
      <c r="G866" s="372" t="str">
        <f>CS_PID!G866/VLOOKUP($B866,표2[#ALL],2)</f>
        <v>#N/A</v>
      </c>
      <c r="H866" s="372" t="str">
        <f>CS_PID!H866/VLOOKUP($B866,표2[#ALL],2)/HLOOKUP($A866,표1[#ALL],row(),false)</f>
        <v>#N/A</v>
      </c>
      <c r="I866" s="372" t="str">
        <f>CS_PID!I866/VLOOKUP($B866,표2[#ALL],2)/HLOOKUP($A866,표1[#ALL],row(),false)</f>
        <v>#N/A</v>
      </c>
      <c r="J866" s="372" t="str">
        <f>CS_PID!J866/VLOOKUP($B866,표2[#ALL],2)/HLOOKUP($A866,표1[#ALL],row(),false)</f>
        <v>#N/A</v>
      </c>
      <c r="K866" s="372" t="str">
        <f>CS_PID!K866/VLOOKUP($B866,표2[#ALL],2)/HLOOKUP($A866,표1[#ALL],row(),false)</f>
        <v>#N/A</v>
      </c>
      <c r="L866" s="372" t="str">
        <f>CS_PID!L866/VLOOKUP($B866,표2[#ALL],2)/HLOOKUP($A866,표1[#ALL],row(),false)</f>
        <v>#N/A</v>
      </c>
      <c r="M866" s="372" t="str">
        <f>CS_PID!M866/VLOOKUP($B866,표2[#ALL],2)/HLOOKUP($A866,표1[#ALL],row(),false)</f>
        <v>#N/A</v>
      </c>
      <c r="N866" s="372" t="str">
        <f>CS_PID!N866/VLOOKUP($B866,표2[#ALL],2)/HLOOKUP($A866,표1[#ALL],row(),false)</f>
        <v>#N/A</v>
      </c>
      <c r="O866" s="372" t="str">
        <f>CS_PID!O866/VLOOKUP($B866,표2[#ALL],2)/HLOOKUP($A866,표1[#ALL],row(),false)</f>
        <v>#N/A</v>
      </c>
      <c r="P866" s="372" t="str">
        <f>CS_PID!P866/VLOOKUP($B866,표2[#ALL],2)/HLOOKUP($A866,표1[#ALL],row(),false)</f>
        <v>#N/A</v>
      </c>
      <c r="Q866" s="372" t="str">
        <f>CS_PID!Q866/VLOOKUP($B866,표2[#ALL],2)/HLOOKUP($A866,표1[#ALL],row(),false)</f>
        <v>#N/A</v>
      </c>
      <c r="R866" s="372" t="str">
        <f>CS_PID!R866/VLOOKUP($B866,표2[#ALL],2)/HLOOKUP($A866,표1[#ALL],row(),false)</f>
        <v>#N/A</v>
      </c>
      <c r="S866" s="372" t="str">
        <f>CS_PID!S866/VLOOKUP($B866,표2[#ALL],2)/HLOOKUP($A866,표1[#ALL],row(),false)</f>
        <v>#N/A</v>
      </c>
      <c r="T866" s="372" t="str">
        <f>CS_PID!T866/VLOOKUP($B866,표2[#ALL],2)/HLOOKUP($A866,표1[#ALL],row(),false)</f>
        <v>#N/A</v>
      </c>
      <c r="U866" s="372" t="str">
        <f>CS_PID!U866/VLOOKUP($B866,표2[#ALL],2)/HLOOKUP($A866,표1[#ALL],row(),false)</f>
        <v>#N/A</v>
      </c>
      <c r="V866" s="372" t="str">
        <f>CS_PID!V866/VLOOKUP($B866,표2[#ALL],2)/HLOOKUP($A866,표1[#ALL],row(),false)</f>
        <v>#N/A</v>
      </c>
      <c r="W866" s="372" t="str">
        <f>CS_PID!W866/VLOOKUP($B866,표2[#ALL],2)/HLOOKUP($A866,표1[#ALL],row(),false)</f>
        <v>#N/A</v>
      </c>
      <c r="X866" s="372" t="str">
        <f>CS_PID!X866/VLOOKUP($B866,표2[#ALL],2)/HLOOKUP($A866,표1[#ALL],row(),false)</f>
        <v>#N/A</v>
      </c>
      <c r="Y866" s="372" t="str">
        <f>CS_PID!Y866/VLOOKUP($B866,표2[#ALL],2)/HLOOKUP($A866,표1[#ALL],row(),false)</f>
        <v>#N/A</v>
      </c>
      <c r="Z866" s="372" t="str">
        <f>CS_PID!Z866/VLOOKUP($B866,표2[#ALL],2)/HLOOKUP($A866,표1[#ALL],row(),false)</f>
        <v>#N/A</v>
      </c>
      <c r="AA866" s="372" t="str">
        <f>CS_PID!AA866/VLOOKUP($B866,표2[#ALL],2)/HLOOKUP($A866,표1[#ALL],row(),false)</f>
        <v>#N/A</v>
      </c>
      <c r="AB866" s="372" t="str">
        <f>CS_PID!AB866/VLOOKUP($B866,표2[#ALL],2)/HLOOKUP($A866,표1[#ALL],row(),false)</f>
        <v>#N/A</v>
      </c>
      <c r="AC866" s="372" t="str">
        <f>CS_PID!AC866/VLOOKUP($B866,표2[#ALL],2)/HLOOKUP($A866,표1[#ALL],row(),false)</f>
        <v>#N/A</v>
      </c>
      <c r="AD866" s="372" t="str">
        <f>CS_PID!AD866/VLOOKUP($B866,표2[#ALL],2)/HLOOKUP($A866,표1[#ALL],row(),false)</f>
        <v>#N/A</v>
      </c>
      <c r="AE866" s="372" t="str">
        <f>CS_PID!AE866/VLOOKUP($B866,표2[#ALL],2)/HLOOKUP($A866,표1[#ALL],row(),false)</f>
        <v>#N/A</v>
      </c>
      <c r="AF866" s="372" t="str">
        <f>CS_PID!AF866/VLOOKUP($B866,표2[#ALL],2)/HLOOKUP($A866,표1[#ALL],row(),false)</f>
        <v>#N/A</v>
      </c>
      <c r="AG866" s="372" t="str">
        <f>CS_PID!AG866/VLOOKUP($B866,표2[#ALL],2)/HLOOKUP($A866,표1[#ALL],row(),false)</f>
        <v>#N/A</v>
      </c>
      <c r="AH866" s="372" t="str">
        <f>CS_PID!AH866/VLOOKUP($B866,표2[#ALL],2)/HLOOKUP($A866,표1[#ALL],row(),false)</f>
        <v>#N/A</v>
      </c>
      <c r="AI866" s="372" t="str">
        <f>CS_PID!AI866/VLOOKUP($B866,표2[#ALL],2)/HLOOKUP($A866,표1[#ALL],row(),false)</f>
        <v>#N/A</v>
      </c>
      <c r="AJ866" s="372" t="str">
        <f>CS_PID!AJ866/VLOOKUP($B866,표2[#ALL],2)/HLOOKUP($A866,표1[#ALL],row(),false)</f>
        <v>#N/A</v>
      </c>
      <c r="AK866" s="372" t="str">
        <f>CS_PID!AK866/VLOOKUP($B866,표2[#ALL],2)/HLOOKUP($A866,표1[#ALL],row(),false)</f>
        <v>#N/A</v>
      </c>
      <c r="AL866" s="372" t="str">
        <f>CS_PID!AL866/VLOOKUP($B866,표2[#ALL],2)/HLOOKUP($A866,표1[#ALL],row(),false)</f>
        <v>#N/A</v>
      </c>
      <c r="AM866" s="372" t="str">
        <f>CS_PID!AM866/VLOOKUP($B866,표2[#ALL],2)/HLOOKUP($A866,표1[#ALL],row(),false)</f>
        <v>#N/A</v>
      </c>
      <c r="AN866" s="372" t="str">
        <f>CS_PID!AN866/VLOOKUP($B866,표2[#ALL],2)/HLOOKUP($A866,표1[#ALL],row(),false)</f>
        <v>#N/A</v>
      </c>
      <c r="AO866" s="372" t="str">
        <f>CS_PID!AO866/VLOOKUP($B866,표2[#ALL],2)/HLOOKUP($A866,표1[#ALL],row(),false)</f>
        <v>#N/A</v>
      </c>
      <c r="AP866" s="372" t="str">
        <f>CS_PID!AP866/VLOOKUP($B866,표2[#ALL],2)/HLOOKUP($A866,표1[#ALL],row(),false)</f>
        <v>#N/A</v>
      </c>
      <c r="AQ866" s="372" t="str">
        <f>CS_PID!AQ866/VLOOKUP($B866,표2[#ALL],2)/HLOOKUP($A866,표1[#ALL],row(),false)</f>
        <v>#N/A</v>
      </c>
      <c r="AR866" s="372" t="str">
        <f>CS_PID!AR866/VLOOKUP($B866,표2[#ALL],2)/HLOOKUP($A866,표1[#ALL],row(),false)</f>
        <v>#N/A</v>
      </c>
      <c r="AS866" s="373" t="str">
        <f>CS_PID!AS866/VLOOKUP($B866,표2[#ALL],2)/HLOOKUP($A866,표1[#ALL],row(),false)</f>
        <v>#N/A</v>
      </c>
    </row>
    <row r="867">
      <c r="A867" s="374"/>
      <c r="B867" s="375"/>
      <c r="C867" s="376" t="str">
        <f>CS_PID!C867/VLOOKUP($B867,표2[#ALL],2)</f>
        <v>#N/A</v>
      </c>
      <c r="D867" s="376" t="str">
        <f>CS_PID!D867/VLOOKUP($B867,표2[#ALL],2)</f>
        <v>#N/A</v>
      </c>
      <c r="E867" s="376" t="str">
        <f>CS_PID!E867/VLOOKUP($B867,표2[#ALL],2)</f>
        <v>#N/A</v>
      </c>
      <c r="F867" s="376" t="str">
        <f>CS_PID!F867/VLOOKUP($B867,표2[#ALL],2)</f>
        <v>#N/A</v>
      </c>
      <c r="G867" s="376" t="str">
        <f>CS_PID!G867/VLOOKUP($B867,표2[#ALL],2)</f>
        <v>#N/A</v>
      </c>
      <c r="H867" s="376" t="str">
        <f>CS_PID!H867/VLOOKUP($B867,표2[#ALL],2)/HLOOKUP($A867,표1[#ALL],row(),false)</f>
        <v>#N/A</v>
      </c>
      <c r="I867" s="376" t="str">
        <f>CS_PID!I867/VLOOKUP($B867,표2[#ALL],2)/HLOOKUP($A867,표1[#ALL],row(),false)</f>
        <v>#N/A</v>
      </c>
      <c r="J867" s="376" t="str">
        <f>CS_PID!J867/VLOOKUP($B867,표2[#ALL],2)/HLOOKUP($A867,표1[#ALL],row(),false)</f>
        <v>#N/A</v>
      </c>
      <c r="K867" s="376" t="str">
        <f>CS_PID!K867/VLOOKUP($B867,표2[#ALL],2)/HLOOKUP($A867,표1[#ALL],row(),false)</f>
        <v>#N/A</v>
      </c>
      <c r="L867" s="376" t="str">
        <f>CS_PID!L867/VLOOKUP($B867,표2[#ALL],2)/HLOOKUP($A867,표1[#ALL],row(),false)</f>
        <v>#N/A</v>
      </c>
      <c r="M867" s="376" t="str">
        <f>CS_PID!M867/VLOOKUP($B867,표2[#ALL],2)/HLOOKUP($A867,표1[#ALL],row(),false)</f>
        <v>#N/A</v>
      </c>
      <c r="N867" s="376" t="str">
        <f>CS_PID!N867/VLOOKUP($B867,표2[#ALL],2)/HLOOKUP($A867,표1[#ALL],row(),false)</f>
        <v>#N/A</v>
      </c>
      <c r="O867" s="376" t="str">
        <f>CS_PID!O867/VLOOKUP($B867,표2[#ALL],2)/HLOOKUP($A867,표1[#ALL],row(),false)</f>
        <v>#N/A</v>
      </c>
      <c r="P867" s="376" t="str">
        <f>CS_PID!P867/VLOOKUP($B867,표2[#ALL],2)/HLOOKUP($A867,표1[#ALL],row(),false)</f>
        <v>#N/A</v>
      </c>
      <c r="Q867" s="376" t="str">
        <f>CS_PID!Q867/VLOOKUP($B867,표2[#ALL],2)/HLOOKUP($A867,표1[#ALL],row(),false)</f>
        <v>#N/A</v>
      </c>
      <c r="R867" s="376" t="str">
        <f>CS_PID!R867/VLOOKUP($B867,표2[#ALL],2)/HLOOKUP($A867,표1[#ALL],row(),false)</f>
        <v>#N/A</v>
      </c>
      <c r="S867" s="376" t="str">
        <f>CS_PID!S867/VLOOKUP($B867,표2[#ALL],2)/HLOOKUP($A867,표1[#ALL],row(),false)</f>
        <v>#N/A</v>
      </c>
      <c r="T867" s="376" t="str">
        <f>CS_PID!T867/VLOOKUP($B867,표2[#ALL],2)/HLOOKUP($A867,표1[#ALL],row(),false)</f>
        <v>#N/A</v>
      </c>
      <c r="U867" s="376" t="str">
        <f>CS_PID!U867/VLOOKUP($B867,표2[#ALL],2)/HLOOKUP($A867,표1[#ALL],row(),false)</f>
        <v>#N/A</v>
      </c>
      <c r="V867" s="376" t="str">
        <f>CS_PID!V867/VLOOKUP($B867,표2[#ALL],2)/HLOOKUP($A867,표1[#ALL],row(),false)</f>
        <v>#N/A</v>
      </c>
      <c r="W867" s="376" t="str">
        <f>CS_PID!W867/VLOOKUP($B867,표2[#ALL],2)/HLOOKUP($A867,표1[#ALL],row(),false)</f>
        <v>#N/A</v>
      </c>
      <c r="X867" s="376" t="str">
        <f>CS_PID!X867/VLOOKUP($B867,표2[#ALL],2)/HLOOKUP($A867,표1[#ALL],row(),false)</f>
        <v>#N/A</v>
      </c>
      <c r="Y867" s="376" t="str">
        <f>CS_PID!Y867/VLOOKUP($B867,표2[#ALL],2)/HLOOKUP($A867,표1[#ALL],row(),false)</f>
        <v>#N/A</v>
      </c>
      <c r="Z867" s="376" t="str">
        <f>CS_PID!Z867/VLOOKUP($B867,표2[#ALL],2)/HLOOKUP($A867,표1[#ALL],row(),false)</f>
        <v>#N/A</v>
      </c>
      <c r="AA867" s="376" t="str">
        <f>CS_PID!AA867/VLOOKUP($B867,표2[#ALL],2)/HLOOKUP($A867,표1[#ALL],row(),false)</f>
        <v>#N/A</v>
      </c>
      <c r="AB867" s="376" t="str">
        <f>CS_PID!AB867/VLOOKUP($B867,표2[#ALL],2)/HLOOKUP($A867,표1[#ALL],row(),false)</f>
        <v>#N/A</v>
      </c>
      <c r="AC867" s="376" t="str">
        <f>CS_PID!AC867/VLOOKUP($B867,표2[#ALL],2)/HLOOKUP($A867,표1[#ALL],row(),false)</f>
        <v>#N/A</v>
      </c>
      <c r="AD867" s="376" t="str">
        <f>CS_PID!AD867/VLOOKUP($B867,표2[#ALL],2)/HLOOKUP($A867,표1[#ALL],row(),false)</f>
        <v>#N/A</v>
      </c>
      <c r="AE867" s="376" t="str">
        <f>CS_PID!AE867/VLOOKUP($B867,표2[#ALL],2)/HLOOKUP($A867,표1[#ALL],row(),false)</f>
        <v>#N/A</v>
      </c>
      <c r="AF867" s="376" t="str">
        <f>CS_PID!AF867/VLOOKUP($B867,표2[#ALL],2)/HLOOKUP($A867,표1[#ALL],row(),false)</f>
        <v>#N/A</v>
      </c>
      <c r="AG867" s="376" t="str">
        <f>CS_PID!AG867/VLOOKUP($B867,표2[#ALL],2)/HLOOKUP($A867,표1[#ALL],row(),false)</f>
        <v>#N/A</v>
      </c>
      <c r="AH867" s="376" t="str">
        <f>CS_PID!AH867/VLOOKUP($B867,표2[#ALL],2)/HLOOKUP($A867,표1[#ALL],row(),false)</f>
        <v>#N/A</v>
      </c>
      <c r="AI867" s="376" t="str">
        <f>CS_PID!AI867/VLOOKUP($B867,표2[#ALL],2)/HLOOKUP($A867,표1[#ALL],row(),false)</f>
        <v>#N/A</v>
      </c>
      <c r="AJ867" s="376" t="str">
        <f>CS_PID!AJ867/VLOOKUP($B867,표2[#ALL],2)/HLOOKUP($A867,표1[#ALL],row(),false)</f>
        <v>#N/A</v>
      </c>
      <c r="AK867" s="376" t="str">
        <f>CS_PID!AK867/VLOOKUP($B867,표2[#ALL],2)/HLOOKUP($A867,표1[#ALL],row(),false)</f>
        <v>#N/A</v>
      </c>
      <c r="AL867" s="376" t="str">
        <f>CS_PID!AL867/VLOOKUP($B867,표2[#ALL],2)/HLOOKUP($A867,표1[#ALL],row(),false)</f>
        <v>#N/A</v>
      </c>
      <c r="AM867" s="376" t="str">
        <f>CS_PID!AM867/VLOOKUP($B867,표2[#ALL],2)/HLOOKUP($A867,표1[#ALL],row(),false)</f>
        <v>#N/A</v>
      </c>
      <c r="AN867" s="376" t="str">
        <f>CS_PID!AN867/VLOOKUP($B867,표2[#ALL],2)/HLOOKUP($A867,표1[#ALL],row(),false)</f>
        <v>#N/A</v>
      </c>
      <c r="AO867" s="376" t="str">
        <f>CS_PID!AO867/VLOOKUP($B867,표2[#ALL],2)/HLOOKUP($A867,표1[#ALL],row(),false)</f>
        <v>#N/A</v>
      </c>
      <c r="AP867" s="376" t="str">
        <f>CS_PID!AP867/VLOOKUP($B867,표2[#ALL],2)/HLOOKUP($A867,표1[#ALL],row(),false)</f>
        <v>#N/A</v>
      </c>
      <c r="AQ867" s="376" t="str">
        <f>CS_PID!AQ867/VLOOKUP($B867,표2[#ALL],2)/HLOOKUP($A867,표1[#ALL],row(),false)</f>
        <v>#N/A</v>
      </c>
      <c r="AR867" s="376" t="str">
        <f>CS_PID!AR867/VLOOKUP($B867,표2[#ALL],2)/HLOOKUP($A867,표1[#ALL],row(),false)</f>
        <v>#N/A</v>
      </c>
      <c r="AS867" s="377" t="str">
        <f>CS_PID!AS867/VLOOKUP($B867,표2[#ALL],2)/HLOOKUP($A867,표1[#ALL],row(),false)</f>
        <v>#N/A</v>
      </c>
    </row>
    <row r="868">
      <c r="A868" s="370"/>
      <c r="B868" s="371"/>
      <c r="C868" s="372" t="str">
        <f>CS_PID!C868/VLOOKUP($B868,표2[#ALL],2)</f>
        <v>#N/A</v>
      </c>
      <c r="D868" s="372" t="str">
        <f>CS_PID!D868/VLOOKUP($B868,표2[#ALL],2)</f>
        <v>#N/A</v>
      </c>
      <c r="E868" s="372" t="str">
        <f>CS_PID!E868/VLOOKUP($B868,표2[#ALL],2)</f>
        <v>#N/A</v>
      </c>
      <c r="F868" s="372" t="str">
        <f>CS_PID!F868/VLOOKUP($B868,표2[#ALL],2)</f>
        <v>#N/A</v>
      </c>
      <c r="G868" s="372" t="str">
        <f>CS_PID!G868/VLOOKUP($B868,표2[#ALL],2)</f>
        <v>#N/A</v>
      </c>
      <c r="H868" s="372" t="str">
        <f>CS_PID!H868/VLOOKUP($B868,표2[#ALL],2)/HLOOKUP($A868,표1[#ALL],row(),false)</f>
        <v>#N/A</v>
      </c>
      <c r="I868" s="372" t="str">
        <f>CS_PID!I868/VLOOKUP($B868,표2[#ALL],2)/HLOOKUP($A868,표1[#ALL],row(),false)</f>
        <v>#N/A</v>
      </c>
      <c r="J868" s="372" t="str">
        <f>CS_PID!J868/VLOOKUP($B868,표2[#ALL],2)/HLOOKUP($A868,표1[#ALL],row(),false)</f>
        <v>#N/A</v>
      </c>
      <c r="K868" s="372" t="str">
        <f>CS_PID!K868/VLOOKUP($B868,표2[#ALL],2)/HLOOKUP($A868,표1[#ALL],row(),false)</f>
        <v>#N/A</v>
      </c>
      <c r="L868" s="372" t="str">
        <f>CS_PID!L868/VLOOKUP($B868,표2[#ALL],2)/HLOOKUP($A868,표1[#ALL],row(),false)</f>
        <v>#N/A</v>
      </c>
      <c r="M868" s="372" t="str">
        <f>CS_PID!M868/VLOOKUP($B868,표2[#ALL],2)/HLOOKUP($A868,표1[#ALL],row(),false)</f>
        <v>#N/A</v>
      </c>
      <c r="N868" s="372" t="str">
        <f>CS_PID!N868/VLOOKUP($B868,표2[#ALL],2)/HLOOKUP($A868,표1[#ALL],row(),false)</f>
        <v>#N/A</v>
      </c>
      <c r="O868" s="372" t="str">
        <f>CS_PID!O868/VLOOKUP($B868,표2[#ALL],2)/HLOOKUP($A868,표1[#ALL],row(),false)</f>
        <v>#N/A</v>
      </c>
      <c r="P868" s="372" t="str">
        <f>CS_PID!P868/VLOOKUP($B868,표2[#ALL],2)/HLOOKUP($A868,표1[#ALL],row(),false)</f>
        <v>#N/A</v>
      </c>
      <c r="Q868" s="372" t="str">
        <f>CS_PID!Q868/VLOOKUP($B868,표2[#ALL],2)/HLOOKUP($A868,표1[#ALL],row(),false)</f>
        <v>#N/A</v>
      </c>
      <c r="R868" s="372" t="str">
        <f>CS_PID!R868/VLOOKUP($B868,표2[#ALL],2)/HLOOKUP($A868,표1[#ALL],row(),false)</f>
        <v>#N/A</v>
      </c>
      <c r="S868" s="372" t="str">
        <f>CS_PID!S868/VLOOKUP($B868,표2[#ALL],2)/HLOOKUP($A868,표1[#ALL],row(),false)</f>
        <v>#N/A</v>
      </c>
      <c r="T868" s="372" t="str">
        <f>CS_PID!T868/VLOOKUP($B868,표2[#ALL],2)/HLOOKUP($A868,표1[#ALL],row(),false)</f>
        <v>#N/A</v>
      </c>
      <c r="U868" s="372" t="str">
        <f>CS_PID!U868/VLOOKUP($B868,표2[#ALL],2)/HLOOKUP($A868,표1[#ALL],row(),false)</f>
        <v>#N/A</v>
      </c>
      <c r="V868" s="372" t="str">
        <f>CS_PID!V868/VLOOKUP($B868,표2[#ALL],2)/HLOOKUP($A868,표1[#ALL],row(),false)</f>
        <v>#N/A</v>
      </c>
      <c r="W868" s="372" t="str">
        <f>CS_PID!W868/VLOOKUP($B868,표2[#ALL],2)/HLOOKUP($A868,표1[#ALL],row(),false)</f>
        <v>#N/A</v>
      </c>
      <c r="X868" s="372" t="str">
        <f>CS_PID!X868/VLOOKUP($B868,표2[#ALL],2)/HLOOKUP($A868,표1[#ALL],row(),false)</f>
        <v>#N/A</v>
      </c>
      <c r="Y868" s="372" t="str">
        <f>CS_PID!Y868/VLOOKUP($B868,표2[#ALL],2)/HLOOKUP($A868,표1[#ALL],row(),false)</f>
        <v>#N/A</v>
      </c>
      <c r="Z868" s="372" t="str">
        <f>CS_PID!Z868/VLOOKUP($B868,표2[#ALL],2)/HLOOKUP($A868,표1[#ALL],row(),false)</f>
        <v>#N/A</v>
      </c>
      <c r="AA868" s="372" t="str">
        <f>CS_PID!AA868/VLOOKUP($B868,표2[#ALL],2)/HLOOKUP($A868,표1[#ALL],row(),false)</f>
        <v>#N/A</v>
      </c>
      <c r="AB868" s="372" t="str">
        <f>CS_PID!AB868/VLOOKUP($B868,표2[#ALL],2)/HLOOKUP($A868,표1[#ALL],row(),false)</f>
        <v>#N/A</v>
      </c>
      <c r="AC868" s="372" t="str">
        <f>CS_PID!AC868/VLOOKUP($B868,표2[#ALL],2)/HLOOKUP($A868,표1[#ALL],row(),false)</f>
        <v>#N/A</v>
      </c>
      <c r="AD868" s="372" t="str">
        <f>CS_PID!AD868/VLOOKUP($B868,표2[#ALL],2)/HLOOKUP($A868,표1[#ALL],row(),false)</f>
        <v>#N/A</v>
      </c>
      <c r="AE868" s="372" t="str">
        <f>CS_PID!AE868/VLOOKUP($B868,표2[#ALL],2)/HLOOKUP($A868,표1[#ALL],row(),false)</f>
        <v>#N/A</v>
      </c>
      <c r="AF868" s="372" t="str">
        <f>CS_PID!AF868/VLOOKUP($B868,표2[#ALL],2)/HLOOKUP($A868,표1[#ALL],row(),false)</f>
        <v>#N/A</v>
      </c>
      <c r="AG868" s="372" t="str">
        <f>CS_PID!AG868/VLOOKUP($B868,표2[#ALL],2)/HLOOKUP($A868,표1[#ALL],row(),false)</f>
        <v>#N/A</v>
      </c>
      <c r="AH868" s="372" t="str">
        <f>CS_PID!AH868/VLOOKUP($B868,표2[#ALL],2)/HLOOKUP($A868,표1[#ALL],row(),false)</f>
        <v>#N/A</v>
      </c>
      <c r="AI868" s="372" t="str">
        <f>CS_PID!AI868/VLOOKUP($B868,표2[#ALL],2)/HLOOKUP($A868,표1[#ALL],row(),false)</f>
        <v>#N/A</v>
      </c>
      <c r="AJ868" s="372" t="str">
        <f>CS_PID!AJ868/VLOOKUP($B868,표2[#ALL],2)/HLOOKUP($A868,표1[#ALL],row(),false)</f>
        <v>#N/A</v>
      </c>
      <c r="AK868" s="372" t="str">
        <f>CS_PID!AK868/VLOOKUP($B868,표2[#ALL],2)/HLOOKUP($A868,표1[#ALL],row(),false)</f>
        <v>#N/A</v>
      </c>
      <c r="AL868" s="372" t="str">
        <f>CS_PID!AL868/VLOOKUP($B868,표2[#ALL],2)/HLOOKUP($A868,표1[#ALL],row(),false)</f>
        <v>#N/A</v>
      </c>
      <c r="AM868" s="372" t="str">
        <f>CS_PID!AM868/VLOOKUP($B868,표2[#ALL],2)/HLOOKUP($A868,표1[#ALL],row(),false)</f>
        <v>#N/A</v>
      </c>
      <c r="AN868" s="372" t="str">
        <f>CS_PID!AN868/VLOOKUP($B868,표2[#ALL],2)/HLOOKUP($A868,표1[#ALL],row(),false)</f>
        <v>#N/A</v>
      </c>
      <c r="AO868" s="372" t="str">
        <f>CS_PID!AO868/VLOOKUP($B868,표2[#ALL],2)/HLOOKUP($A868,표1[#ALL],row(),false)</f>
        <v>#N/A</v>
      </c>
      <c r="AP868" s="372" t="str">
        <f>CS_PID!AP868/VLOOKUP($B868,표2[#ALL],2)/HLOOKUP($A868,표1[#ALL],row(),false)</f>
        <v>#N/A</v>
      </c>
      <c r="AQ868" s="372" t="str">
        <f>CS_PID!AQ868/VLOOKUP($B868,표2[#ALL],2)/HLOOKUP($A868,표1[#ALL],row(),false)</f>
        <v>#N/A</v>
      </c>
      <c r="AR868" s="372" t="str">
        <f>CS_PID!AR868/VLOOKUP($B868,표2[#ALL],2)/HLOOKUP($A868,표1[#ALL],row(),false)</f>
        <v>#N/A</v>
      </c>
      <c r="AS868" s="373" t="str">
        <f>CS_PID!AS868/VLOOKUP($B868,표2[#ALL],2)/HLOOKUP($A868,표1[#ALL],row(),false)</f>
        <v>#N/A</v>
      </c>
    </row>
    <row r="869">
      <c r="A869" s="374"/>
      <c r="B869" s="375"/>
      <c r="C869" s="376" t="str">
        <f>CS_PID!C869/VLOOKUP($B869,표2[#ALL],2)</f>
        <v>#N/A</v>
      </c>
      <c r="D869" s="376" t="str">
        <f>CS_PID!D869/VLOOKUP($B869,표2[#ALL],2)</f>
        <v>#N/A</v>
      </c>
      <c r="E869" s="376" t="str">
        <f>CS_PID!E869/VLOOKUP($B869,표2[#ALL],2)</f>
        <v>#N/A</v>
      </c>
      <c r="F869" s="376" t="str">
        <f>CS_PID!F869/VLOOKUP($B869,표2[#ALL],2)</f>
        <v>#N/A</v>
      </c>
      <c r="G869" s="376" t="str">
        <f>CS_PID!G869/VLOOKUP($B869,표2[#ALL],2)</f>
        <v>#N/A</v>
      </c>
      <c r="H869" s="376" t="str">
        <f>CS_PID!H869/VLOOKUP($B869,표2[#ALL],2)/HLOOKUP($A869,표1[#ALL],row(),false)</f>
        <v>#N/A</v>
      </c>
      <c r="I869" s="376" t="str">
        <f>CS_PID!I869/VLOOKUP($B869,표2[#ALL],2)/HLOOKUP($A869,표1[#ALL],row(),false)</f>
        <v>#N/A</v>
      </c>
      <c r="J869" s="376" t="str">
        <f>CS_PID!J869/VLOOKUP($B869,표2[#ALL],2)/HLOOKUP($A869,표1[#ALL],row(),false)</f>
        <v>#N/A</v>
      </c>
      <c r="K869" s="376" t="str">
        <f>CS_PID!K869/VLOOKUP($B869,표2[#ALL],2)/HLOOKUP($A869,표1[#ALL],row(),false)</f>
        <v>#N/A</v>
      </c>
      <c r="L869" s="376" t="str">
        <f>CS_PID!L869/VLOOKUP($B869,표2[#ALL],2)/HLOOKUP($A869,표1[#ALL],row(),false)</f>
        <v>#N/A</v>
      </c>
      <c r="M869" s="376" t="str">
        <f>CS_PID!M869/VLOOKUP($B869,표2[#ALL],2)/HLOOKUP($A869,표1[#ALL],row(),false)</f>
        <v>#N/A</v>
      </c>
      <c r="N869" s="376" t="str">
        <f>CS_PID!N869/VLOOKUP($B869,표2[#ALL],2)/HLOOKUP($A869,표1[#ALL],row(),false)</f>
        <v>#N/A</v>
      </c>
      <c r="O869" s="376" t="str">
        <f>CS_PID!O869/VLOOKUP($B869,표2[#ALL],2)/HLOOKUP($A869,표1[#ALL],row(),false)</f>
        <v>#N/A</v>
      </c>
      <c r="P869" s="376" t="str">
        <f>CS_PID!P869/VLOOKUP($B869,표2[#ALL],2)/HLOOKUP($A869,표1[#ALL],row(),false)</f>
        <v>#N/A</v>
      </c>
      <c r="Q869" s="376" t="str">
        <f>CS_PID!Q869/VLOOKUP($B869,표2[#ALL],2)/HLOOKUP($A869,표1[#ALL],row(),false)</f>
        <v>#N/A</v>
      </c>
      <c r="R869" s="376" t="str">
        <f>CS_PID!R869/VLOOKUP($B869,표2[#ALL],2)/HLOOKUP($A869,표1[#ALL],row(),false)</f>
        <v>#N/A</v>
      </c>
      <c r="S869" s="376" t="str">
        <f>CS_PID!S869/VLOOKUP($B869,표2[#ALL],2)/HLOOKUP($A869,표1[#ALL],row(),false)</f>
        <v>#N/A</v>
      </c>
      <c r="T869" s="376" t="str">
        <f>CS_PID!T869/VLOOKUP($B869,표2[#ALL],2)/HLOOKUP($A869,표1[#ALL],row(),false)</f>
        <v>#N/A</v>
      </c>
      <c r="U869" s="376" t="str">
        <f>CS_PID!U869/VLOOKUP($B869,표2[#ALL],2)/HLOOKUP($A869,표1[#ALL],row(),false)</f>
        <v>#N/A</v>
      </c>
      <c r="V869" s="376" t="str">
        <f>CS_PID!V869/VLOOKUP($B869,표2[#ALL],2)/HLOOKUP($A869,표1[#ALL],row(),false)</f>
        <v>#N/A</v>
      </c>
      <c r="W869" s="376" t="str">
        <f>CS_PID!W869/VLOOKUP($B869,표2[#ALL],2)/HLOOKUP($A869,표1[#ALL],row(),false)</f>
        <v>#N/A</v>
      </c>
      <c r="X869" s="376" t="str">
        <f>CS_PID!X869/VLOOKUP($B869,표2[#ALL],2)/HLOOKUP($A869,표1[#ALL],row(),false)</f>
        <v>#N/A</v>
      </c>
      <c r="Y869" s="376" t="str">
        <f>CS_PID!Y869/VLOOKUP($B869,표2[#ALL],2)/HLOOKUP($A869,표1[#ALL],row(),false)</f>
        <v>#N/A</v>
      </c>
      <c r="Z869" s="376" t="str">
        <f>CS_PID!Z869/VLOOKUP($B869,표2[#ALL],2)/HLOOKUP($A869,표1[#ALL],row(),false)</f>
        <v>#N/A</v>
      </c>
      <c r="AA869" s="376" t="str">
        <f>CS_PID!AA869/VLOOKUP($B869,표2[#ALL],2)/HLOOKUP($A869,표1[#ALL],row(),false)</f>
        <v>#N/A</v>
      </c>
      <c r="AB869" s="376" t="str">
        <f>CS_PID!AB869/VLOOKUP($B869,표2[#ALL],2)/HLOOKUP($A869,표1[#ALL],row(),false)</f>
        <v>#N/A</v>
      </c>
      <c r="AC869" s="376" t="str">
        <f>CS_PID!AC869/VLOOKUP($B869,표2[#ALL],2)/HLOOKUP($A869,표1[#ALL],row(),false)</f>
        <v>#N/A</v>
      </c>
      <c r="AD869" s="376" t="str">
        <f>CS_PID!AD869/VLOOKUP($B869,표2[#ALL],2)/HLOOKUP($A869,표1[#ALL],row(),false)</f>
        <v>#N/A</v>
      </c>
      <c r="AE869" s="376" t="str">
        <f>CS_PID!AE869/VLOOKUP($B869,표2[#ALL],2)/HLOOKUP($A869,표1[#ALL],row(),false)</f>
        <v>#N/A</v>
      </c>
      <c r="AF869" s="376" t="str">
        <f>CS_PID!AF869/VLOOKUP($B869,표2[#ALL],2)/HLOOKUP($A869,표1[#ALL],row(),false)</f>
        <v>#N/A</v>
      </c>
      <c r="AG869" s="376" t="str">
        <f>CS_PID!AG869/VLOOKUP($B869,표2[#ALL],2)/HLOOKUP($A869,표1[#ALL],row(),false)</f>
        <v>#N/A</v>
      </c>
      <c r="AH869" s="376" t="str">
        <f>CS_PID!AH869/VLOOKUP($B869,표2[#ALL],2)/HLOOKUP($A869,표1[#ALL],row(),false)</f>
        <v>#N/A</v>
      </c>
      <c r="AI869" s="376" t="str">
        <f>CS_PID!AI869/VLOOKUP($B869,표2[#ALL],2)/HLOOKUP($A869,표1[#ALL],row(),false)</f>
        <v>#N/A</v>
      </c>
      <c r="AJ869" s="376" t="str">
        <f>CS_PID!AJ869/VLOOKUP($B869,표2[#ALL],2)/HLOOKUP($A869,표1[#ALL],row(),false)</f>
        <v>#N/A</v>
      </c>
      <c r="AK869" s="376" t="str">
        <f>CS_PID!AK869/VLOOKUP($B869,표2[#ALL],2)/HLOOKUP($A869,표1[#ALL],row(),false)</f>
        <v>#N/A</v>
      </c>
      <c r="AL869" s="376" t="str">
        <f>CS_PID!AL869/VLOOKUP($B869,표2[#ALL],2)/HLOOKUP($A869,표1[#ALL],row(),false)</f>
        <v>#N/A</v>
      </c>
      <c r="AM869" s="376" t="str">
        <f>CS_PID!AM869/VLOOKUP($B869,표2[#ALL],2)/HLOOKUP($A869,표1[#ALL],row(),false)</f>
        <v>#N/A</v>
      </c>
      <c r="AN869" s="376" t="str">
        <f>CS_PID!AN869/VLOOKUP($B869,표2[#ALL],2)/HLOOKUP($A869,표1[#ALL],row(),false)</f>
        <v>#N/A</v>
      </c>
      <c r="AO869" s="376" t="str">
        <f>CS_PID!AO869/VLOOKUP($B869,표2[#ALL],2)/HLOOKUP($A869,표1[#ALL],row(),false)</f>
        <v>#N/A</v>
      </c>
      <c r="AP869" s="376" t="str">
        <f>CS_PID!AP869/VLOOKUP($B869,표2[#ALL],2)/HLOOKUP($A869,표1[#ALL],row(),false)</f>
        <v>#N/A</v>
      </c>
      <c r="AQ869" s="376" t="str">
        <f>CS_PID!AQ869/VLOOKUP($B869,표2[#ALL],2)/HLOOKUP($A869,표1[#ALL],row(),false)</f>
        <v>#N/A</v>
      </c>
      <c r="AR869" s="376" t="str">
        <f>CS_PID!AR869/VLOOKUP($B869,표2[#ALL],2)/HLOOKUP($A869,표1[#ALL],row(),false)</f>
        <v>#N/A</v>
      </c>
      <c r="AS869" s="377" t="str">
        <f>CS_PID!AS869/VLOOKUP($B869,표2[#ALL],2)/HLOOKUP($A869,표1[#ALL],row(),false)</f>
        <v>#N/A</v>
      </c>
    </row>
    <row r="870">
      <c r="A870" s="370"/>
      <c r="B870" s="371"/>
      <c r="C870" s="372" t="str">
        <f>CS_PID!C870/VLOOKUP($B870,표2[#ALL],2)</f>
        <v>#N/A</v>
      </c>
      <c r="D870" s="372" t="str">
        <f>CS_PID!D870/VLOOKUP($B870,표2[#ALL],2)</f>
        <v>#N/A</v>
      </c>
      <c r="E870" s="372" t="str">
        <f>CS_PID!E870/VLOOKUP($B870,표2[#ALL],2)</f>
        <v>#N/A</v>
      </c>
      <c r="F870" s="372" t="str">
        <f>CS_PID!F870/VLOOKUP($B870,표2[#ALL],2)</f>
        <v>#N/A</v>
      </c>
      <c r="G870" s="372" t="str">
        <f>CS_PID!G870/VLOOKUP($B870,표2[#ALL],2)</f>
        <v>#N/A</v>
      </c>
      <c r="H870" s="372" t="str">
        <f>CS_PID!H870/VLOOKUP($B870,표2[#ALL],2)/HLOOKUP($A870,표1[#ALL],row(),false)</f>
        <v>#N/A</v>
      </c>
      <c r="I870" s="372" t="str">
        <f>CS_PID!I870/VLOOKUP($B870,표2[#ALL],2)/HLOOKUP($A870,표1[#ALL],row(),false)</f>
        <v>#N/A</v>
      </c>
      <c r="J870" s="372" t="str">
        <f>CS_PID!J870/VLOOKUP($B870,표2[#ALL],2)/HLOOKUP($A870,표1[#ALL],row(),false)</f>
        <v>#N/A</v>
      </c>
      <c r="K870" s="372" t="str">
        <f>CS_PID!K870/VLOOKUP($B870,표2[#ALL],2)/HLOOKUP($A870,표1[#ALL],row(),false)</f>
        <v>#N/A</v>
      </c>
      <c r="L870" s="372" t="str">
        <f>CS_PID!L870/VLOOKUP($B870,표2[#ALL],2)/HLOOKUP($A870,표1[#ALL],row(),false)</f>
        <v>#N/A</v>
      </c>
      <c r="M870" s="372" t="str">
        <f>CS_PID!M870/VLOOKUP($B870,표2[#ALL],2)/HLOOKUP($A870,표1[#ALL],row(),false)</f>
        <v>#N/A</v>
      </c>
      <c r="N870" s="372" t="str">
        <f>CS_PID!N870/VLOOKUP($B870,표2[#ALL],2)/HLOOKUP($A870,표1[#ALL],row(),false)</f>
        <v>#N/A</v>
      </c>
      <c r="O870" s="372" t="str">
        <f>CS_PID!O870/VLOOKUP($B870,표2[#ALL],2)/HLOOKUP($A870,표1[#ALL],row(),false)</f>
        <v>#N/A</v>
      </c>
      <c r="P870" s="372" t="str">
        <f>CS_PID!P870/VLOOKUP($B870,표2[#ALL],2)/HLOOKUP($A870,표1[#ALL],row(),false)</f>
        <v>#N/A</v>
      </c>
      <c r="Q870" s="372" t="str">
        <f>CS_PID!Q870/VLOOKUP($B870,표2[#ALL],2)/HLOOKUP($A870,표1[#ALL],row(),false)</f>
        <v>#N/A</v>
      </c>
      <c r="R870" s="372" t="str">
        <f>CS_PID!R870/VLOOKUP($B870,표2[#ALL],2)/HLOOKUP($A870,표1[#ALL],row(),false)</f>
        <v>#N/A</v>
      </c>
      <c r="S870" s="372" t="str">
        <f>CS_PID!S870/VLOOKUP($B870,표2[#ALL],2)/HLOOKUP($A870,표1[#ALL],row(),false)</f>
        <v>#N/A</v>
      </c>
      <c r="T870" s="372" t="str">
        <f>CS_PID!T870/VLOOKUP($B870,표2[#ALL],2)/HLOOKUP($A870,표1[#ALL],row(),false)</f>
        <v>#N/A</v>
      </c>
      <c r="U870" s="372" t="str">
        <f>CS_PID!U870/VLOOKUP($B870,표2[#ALL],2)/HLOOKUP($A870,표1[#ALL],row(),false)</f>
        <v>#N/A</v>
      </c>
      <c r="V870" s="372" t="str">
        <f>CS_PID!V870/VLOOKUP($B870,표2[#ALL],2)/HLOOKUP($A870,표1[#ALL],row(),false)</f>
        <v>#N/A</v>
      </c>
      <c r="W870" s="372" t="str">
        <f>CS_PID!W870/VLOOKUP($B870,표2[#ALL],2)/HLOOKUP($A870,표1[#ALL],row(),false)</f>
        <v>#N/A</v>
      </c>
      <c r="X870" s="372" t="str">
        <f>CS_PID!X870/VLOOKUP($B870,표2[#ALL],2)/HLOOKUP($A870,표1[#ALL],row(),false)</f>
        <v>#N/A</v>
      </c>
      <c r="Y870" s="372" t="str">
        <f>CS_PID!Y870/VLOOKUP($B870,표2[#ALL],2)/HLOOKUP($A870,표1[#ALL],row(),false)</f>
        <v>#N/A</v>
      </c>
      <c r="Z870" s="372" t="str">
        <f>CS_PID!Z870/VLOOKUP($B870,표2[#ALL],2)/HLOOKUP($A870,표1[#ALL],row(),false)</f>
        <v>#N/A</v>
      </c>
      <c r="AA870" s="372" t="str">
        <f>CS_PID!AA870/VLOOKUP($B870,표2[#ALL],2)/HLOOKUP($A870,표1[#ALL],row(),false)</f>
        <v>#N/A</v>
      </c>
      <c r="AB870" s="372" t="str">
        <f>CS_PID!AB870/VLOOKUP($B870,표2[#ALL],2)/HLOOKUP($A870,표1[#ALL],row(),false)</f>
        <v>#N/A</v>
      </c>
      <c r="AC870" s="372" t="str">
        <f>CS_PID!AC870/VLOOKUP($B870,표2[#ALL],2)/HLOOKUP($A870,표1[#ALL],row(),false)</f>
        <v>#N/A</v>
      </c>
      <c r="AD870" s="372" t="str">
        <f>CS_PID!AD870/VLOOKUP($B870,표2[#ALL],2)/HLOOKUP($A870,표1[#ALL],row(),false)</f>
        <v>#N/A</v>
      </c>
      <c r="AE870" s="372" t="str">
        <f>CS_PID!AE870/VLOOKUP($B870,표2[#ALL],2)/HLOOKUP($A870,표1[#ALL],row(),false)</f>
        <v>#N/A</v>
      </c>
      <c r="AF870" s="372" t="str">
        <f>CS_PID!AF870/VLOOKUP($B870,표2[#ALL],2)/HLOOKUP($A870,표1[#ALL],row(),false)</f>
        <v>#N/A</v>
      </c>
      <c r="AG870" s="372" t="str">
        <f>CS_PID!AG870/VLOOKUP($B870,표2[#ALL],2)/HLOOKUP($A870,표1[#ALL],row(),false)</f>
        <v>#N/A</v>
      </c>
      <c r="AH870" s="372" t="str">
        <f>CS_PID!AH870/VLOOKUP($B870,표2[#ALL],2)/HLOOKUP($A870,표1[#ALL],row(),false)</f>
        <v>#N/A</v>
      </c>
      <c r="AI870" s="372" t="str">
        <f>CS_PID!AI870/VLOOKUP($B870,표2[#ALL],2)/HLOOKUP($A870,표1[#ALL],row(),false)</f>
        <v>#N/A</v>
      </c>
      <c r="AJ870" s="372" t="str">
        <f>CS_PID!AJ870/VLOOKUP($B870,표2[#ALL],2)/HLOOKUP($A870,표1[#ALL],row(),false)</f>
        <v>#N/A</v>
      </c>
      <c r="AK870" s="372" t="str">
        <f>CS_PID!AK870/VLOOKUP($B870,표2[#ALL],2)/HLOOKUP($A870,표1[#ALL],row(),false)</f>
        <v>#N/A</v>
      </c>
      <c r="AL870" s="372" t="str">
        <f>CS_PID!AL870/VLOOKUP($B870,표2[#ALL],2)/HLOOKUP($A870,표1[#ALL],row(),false)</f>
        <v>#N/A</v>
      </c>
      <c r="AM870" s="372" t="str">
        <f>CS_PID!AM870/VLOOKUP($B870,표2[#ALL],2)/HLOOKUP($A870,표1[#ALL],row(),false)</f>
        <v>#N/A</v>
      </c>
      <c r="AN870" s="372" t="str">
        <f>CS_PID!AN870/VLOOKUP($B870,표2[#ALL],2)/HLOOKUP($A870,표1[#ALL],row(),false)</f>
        <v>#N/A</v>
      </c>
      <c r="AO870" s="372" t="str">
        <f>CS_PID!AO870/VLOOKUP($B870,표2[#ALL],2)/HLOOKUP($A870,표1[#ALL],row(),false)</f>
        <v>#N/A</v>
      </c>
      <c r="AP870" s="372" t="str">
        <f>CS_PID!AP870/VLOOKUP($B870,표2[#ALL],2)/HLOOKUP($A870,표1[#ALL],row(),false)</f>
        <v>#N/A</v>
      </c>
      <c r="AQ870" s="372" t="str">
        <f>CS_PID!AQ870/VLOOKUP($B870,표2[#ALL],2)/HLOOKUP($A870,표1[#ALL],row(),false)</f>
        <v>#N/A</v>
      </c>
      <c r="AR870" s="372" t="str">
        <f>CS_PID!AR870/VLOOKUP($B870,표2[#ALL],2)/HLOOKUP($A870,표1[#ALL],row(),false)</f>
        <v>#N/A</v>
      </c>
      <c r="AS870" s="373" t="str">
        <f>CS_PID!AS870/VLOOKUP($B870,표2[#ALL],2)/HLOOKUP($A870,표1[#ALL],row(),false)</f>
        <v>#N/A</v>
      </c>
    </row>
    <row r="871">
      <c r="A871" s="374"/>
      <c r="B871" s="375"/>
      <c r="C871" s="376" t="str">
        <f>CS_PID!C871/VLOOKUP($B871,표2[#ALL],2)</f>
        <v>#N/A</v>
      </c>
      <c r="D871" s="376" t="str">
        <f>CS_PID!D871/VLOOKUP($B871,표2[#ALL],2)</f>
        <v>#N/A</v>
      </c>
      <c r="E871" s="376" t="str">
        <f>CS_PID!E871/VLOOKUP($B871,표2[#ALL],2)</f>
        <v>#N/A</v>
      </c>
      <c r="F871" s="376" t="str">
        <f>CS_PID!F871/VLOOKUP($B871,표2[#ALL],2)</f>
        <v>#N/A</v>
      </c>
      <c r="G871" s="376" t="str">
        <f>CS_PID!G871/VLOOKUP($B871,표2[#ALL],2)</f>
        <v>#N/A</v>
      </c>
      <c r="H871" s="376" t="str">
        <f>CS_PID!H871/VLOOKUP($B871,표2[#ALL],2)/HLOOKUP($A871,표1[#ALL],row(),false)</f>
        <v>#N/A</v>
      </c>
      <c r="I871" s="376" t="str">
        <f>CS_PID!I871/VLOOKUP($B871,표2[#ALL],2)/HLOOKUP($A871,표1[#ALL],row(),false)</f>
        <v>#N/A</v>
      </c>
      <c r="J871" s="376" t="str">
        <f>CS_PID!J871/VLOOKUP($B871,표2[#ALL],2)/HLOOKUP($A871,표1[#ALL],row(),false)</f>
        <v>#N/A</v>
      </c>
      <c r="K871" s="376" t="str">
        <f>CS_PID!K871/VLOOKUP($B871,표2[#ALL],2)/HLOOKUP($A871,표1[#ALL],row(),false)</f>
        <v>#N/A</v>
      </c>
      <c r="L871" s="376" t="str">
        <f>CS_PID!L871/VLOOKUP($B871,표2[#ALL],2)/HLOOKUP($A871,표1[#ALL],row(),false)</f>
        <v>#N/A</v>
      </c>
      <c r="M871" s="376" t="str">
        <f>CS_PID!M871/VLOOKUP($B871,표2[#ALL],2)/HLOOKUP($A871,표1[#ALL],row(),false)</f>
        <v>#N/A</v>
      </c>
      <c r="N871" s="376" t="str">
        <f>CS_PID!N871/VLOOKUP($B871,표2[#ALL],2)/HLOOKUP($A871,표1[#ALL],row(),false)</f>
        <v>#N/A</v>
      </c>
      <c r="O871" s="376" t="str">
        <f>CS_PID!O871/VLOOKUP($B871,표2[#ALL],2)/HLOOKUP($A871,표1[#ALL],row(),false)</f>
        <v>#N/A</v>
      </c>
      <c r="P871" s="376" t="str">
        <f>CS_PID!P871/VLOOKUP($B871,표2[#ALL],2)/HLOOKUP($A871,표1[#ALL],row(),false)</f>
        <v>#N/A</v>
      </c>
      <c r="Q871" s="376" t="str">
        <f>CS_PID!Q871/VLOOKUP($B871,표2[#ALL],2)/HLOOKUP($A871,표1[#ALL],row(),false)</f>
        <v>#N/A</v>
      </c>
      <c r="R871" s="376" t="str">
        <f>CS_PID!R871/VLOOKUP($B871,표2[#ALL],2)/HLOOKUP($A871,표1[#ALL],row(),false)</f>
        <v>#N/A</v>
      </c>
      <c r="S871" s="376" t="str">
        <f>CS_PID!S871/VLOOKUP($B871,표2[#ALL],2)/HLOOKUP($A871,표1[#ALL],row(),false)</f>
        <v>#N/A</v>
      </c>
      <c r="T871" s="376" t="str">
        <f>CS_PID!T871/VLOOKUP($B871,표2[#ALL],2)/HLOOKUP($A871,표1[#ALL],row(),false)</f>
        <v>#N/A</v>
      </c>
      <c r="U871" s="376" t="str">
        <f>CS_PID!U871/VLOOKUP($B871,표2[#ALL],2)/HLOOKUP($A871,표1[#ALL],row(),false)</f>
        <v>#N/A</v>
      </c>
      <c r="V871" s="376" t="str">
        <f>CS_PID!V871/VLOOKUP($B871,표2[#ALL],2)/HLOOKUP($A871,표1[#ALL],row(),false)</f>
        <v>#N/A</v>
      </c>
      <c r="W871" s="376" t="str">
        <f>CS_PID!W871/VLOOKUP($B871,표2[#ALL],2)/HLOOKUP($A871,표1[#ALL],row(),false)</f>
        <v>#N/A</v>
      </c>
      <c r="X871" s="376" t="str">
        <f>CS_PID!X871/VLOOKUP($B871,표2[#ALL],2)/HLOOKUP($A871,표1[#ALL],row(),false)</f>
        <v>#N/A</v>
      </c>
      <c r="Y871" s="376" t="str">
        <f>CS_PID!Y871/VLOOKUP($B871,표2[#ALL],2)/HLOOKUP($A871,표1[#ALL],row(),false)</f>
        <v>#N/A</v>
      </c>
      <c r="Z871" s="376" t="str">
        <f>CS_PID!Z871/VLOOKUP($B871,표2[#ALL],2)/HLOOKUP($A871,표1[#ALL],row(),false)</f>
        <v>#N/A</v>
      </c>
      <c r="AA871" s="376" t="str">
        <f>CS_PID!AA871/VLOOKUP($B871,표2[#ALL],2)/HLOOKUP($A871,표1[#ALL],row(),false)</f>
        <v>#N/A</v>
      </c>
      <c r="AB871" s="376" t="str">
        <f>CS_PID!AB871/VLOOKUP($B871,표2[#ALL],2)/HLOOKUP($A871,표1[#ALL],row(),false)</f>
        <v>#N/A</v>
      </c>
      <c r="AC871" s="376" t="str">
        <f>CS_PID!AC871/VLOOKUP($B871,표2[#ALL],2)/HLOOKUP($A871,표1[#ALL],row(),false)</f>
        <v>#N/A</v>
      </c>
      <c r="AD871" s="376" t="str">
        <f>CS_PID!AD871/VLOOKUP($B871,표2[#ALL],2)/HLOOKUP($A871,표1[#ALL],row(),false)</f>
        <v>#N/A</v>
      </c>
      <c r="AE871" s="376" t="str">
        <f>CS_PID!AE871/VLOOKUP($B871,표2[#ALL],2)/HLOOKUP($A871,표1[#ALL],row(),false)</f>
        <v>#N/A</v>
      </c>
      <c r="AF871" s="376" t="str">
        <f>CS_PID!AF871/VLOOKUP($B871,표2[#ALL],2)/HLOOKUP($A871,표1[#ALL],row(),false)</f>
        <v>#N/A</v>
      </c>
      <c r="AG871" s="376" t="str">
        <f>CS_PID!AG871/VLOOKUP($B871,표2[#ALL],2)/HLOOKUP($A871,표1[#ALL],row(),false)</f>
        <v>#N/A</v>
      </c>
      <c r="AH871" s="376" t="str">
        <f>CS_PID!AH871/VLOOKUP($B871,표2[#ALL],2)/HLOOKUP($A871,표1[#ALL],row(),false)</f>
        <v>#N/A</v>
      </c>
      <c r="AI871" s="376" t="str">
        <f>CS_PID!AI871/VLOOKUP($B871,표2[#ALL],2)/HLOOKUP($A871,표1[#ALL],row(),false)</f>
        <v>#N/A</v>
      </c>
      <c r="AJ871" s="376" t="str">
        <f>CS_PID!AJ871/VLOOKUP($B871,표2[#ALL],2)/HLOOKUP($A871,표1[#ALL],row(),false)</f>
        <v>#N/A</v>
      </c>
      <c r="AK871" s="376" t="str">
        <f>CS_PID!AK871/VLOOKUP($B871,표2[#ALL],2)/HLOOKUP($A871,표1[#ALL],row(),false)</f>
        <v>#N/A</v>
      </c>
      <c r="AL871" s="376" t="str">
        <f>CS_PID!AL871/VLOOKUP($B871,표2[#ALL],2)/HLOOKUP($A871,표1[#ALL],row(),false)</f>
        <v>#N/A</v>
      </c>
      <c r="AM871" s="376" t="str">
        <f>CS_PID!AM871/VLOOKUP($B871,표2[#ALL],2)/HLOOKUP($A871,표1[#ALL],row(),false)</f>
        <v>#N/A</v>
      </c>
      <c r="AN871" s="376" t="str">
        <f>CS_PID!AN871/VLOOKUP($B871,표2[#ALL],2)/HLOOKUP($A871,표1[#ALL],row(),false)</f>
        <v>#N/A</v>
      </c>
      <c r="AO871" s="376" t="str">
        <f>CS_PID!AO871/VLOOKUP($B871,표2[#ALL],2)/HLOOKUP($A871,표1[#ALL],row(),false)</f>
        <v>#N/A</v>
      </c>
      <c r="AP871" s="376" t="str">
        <f>CS_PID!AP871/VLOOKUP($B871,표2[#ALL],2)/HLOOKUP($A871,표1[#ALL],row(),false)</f>
        <v>#N/A</v>
      </c>
      <c r="AQ871" s="376" t="str">
        <f>CS_PID!AQ871/VLOOKUP($B871,표2[#ALL],2)/HLOOKUP($A871,표1[#ALL],row(),false)</f>
        <v>#N/A</v>
      </c>
      <c r="AR871" s="376" t="str">
        <f>CS_PID!AR871/VLOOKUP($B871,표2[#ALL],2)/HLOOKUP($A871,표1[#ALL],row(),false)</f>
        <v>#N/A</v>
      </c>
      <c r="AS871" s="377" t="str">
        <f>CS_PID!AS871/VLOOKUP($B871,표2[#ALL],2)/HLOOKUP($A871,표1[#ALL],row(),false)</f>
        <v>#N/A</v>
      </c>
    </row>
    <row r="872">
      <c r="A872" s="370"/>
      <c r="B872" s="371"/>
      <c r="C872" s="372" t="str">
        <f>CS_PID!C872/VLOOKUP($B872,표2[#ALL],2)</f>
        <v>#N/A</v>
      </c>
      <c r="D872" s="372" t="str">
        <f>CS_PID!D872/VLOOKUP($B872,표2[#ALL],2)</f>
        <v>#N/A</v>
      </c>
      <c r="E872" s="372" t="str">
        <f>CS_PID!E872/VLOOKUP($B872,표2[#ALL],2)</f>
        <v>#N/A</v>
      </c>
      <c r="F872" s="372" t="str">
        <f>CS_PID!F872/VLOOKUP($B872,표2[#ALL],2)</f>
        <v>#N/A</v>
      </c>
      <c r="G872" s="372" t="str">
        <f>CS_PID!G872/VLOOKUP($B872,표2[#ALL],2)</f>
        <v>#N/A</v>
      </c>
      <c r="H872" s="372" t="str">
        <f>CS_PID!H872/VLOOKUP($B872,표2[#ALL],2)/HLOOKUP($A872,표1[#ALL],row(),false)</f>
        <v>#N/A</v>
      </c>
      <c r="I872" s="372" t="str">
        <f>CS_PID!I872/VLOOKUP($B872,표2[#ALL],2)/HLOOKUP($A872,표1[#ALL],row(),false)</f>
        <v>#N/A</v>
      </c>
      <c r="J872" s="372" t="str">
        <f>CS_PID!J872/VLOOKUP($B872,표2[#ALL],2)/HLOOKUP($A872,표1[#ALL],row(),false)</f>
        <v>#N/A</v>
      </c>
      <c r="K872" s="372" t="str">
        <f>CS_PID!K872/VLOOKUP($B872,표2[#ALL],2)/HLOOKUP($A872,표1[#ALL],row(),false)</f>
        <v>#N/A</v>
      </c>
      <c r="L872" s="372" t="str">
        <f>CS_PID!L872/VLOOKUP($B872,표2[#ALL],2)/HLOOKUP($A872,표1[#ALL],row(),false)</f>
        <v>#N/A</v>
      </c>
      <c r="M872" s="372" t="str">
        <f>CS_PID!M872/VLOOKUP($B872,표2[#ALL],2)/HLOOKUP($A872,표1[#ALL],row(),false)</f>
        <v>#N/A</v>
      </c>
      <c r="N872" s="372" t="str">
        <f>CS_PID!N872/VLOOKUP($B872,표2[#ALL],2)/HLOOKUP($A872,표1[#ALL],row(),false)</f>
        <v>#N/A</v>
      </c>
      <c r="O872" s="372" t="str">
        <f>CS_PID!O872/VLOOKUP($B872,표2[#ALL],2)/HLOOKUP($A872,표1[#ALL],row(),false)</f>
        <v>#N/A</v>
      </c>
      <c r="P872" s="372" t="str">
        <f>CS_PID!P872/VLOOKUP($B872,표2[#ALL],2)/HLOOKUP($A872,표1[#ALL],row(),false)</f>
        <v>#N/A</v>
      </c>
      <c r="Q872" s="372" t="str">
        <f>CS_PID!Q872/VLOOKUP($B872,표2[#ALL],2)/HLOOKUP($A872,표1[#ALL],row(),false)</f>
        <v>#N/A</v>
      </c>
      <c r="R872" s="372" t="str">
        <f>CS_PID!R872/VLOOKUP($B872,표2[#ALL],2)/HLOOKUP($A872,표1[#ALL],row(),false)</f>
        <v>#N/A</v>
      </c>
      <c r="S872" s="372" t="str">
        <f>CS_PID!S872/VLOOKUP($B872,표2[#ALL],2)/HLOOKUP($A872,표1[#ALL],row(),false)</f>
        <v>#N/A</v>
      </c>
      <c r="T872" s="372" t="str">
        <f>CS_PID!T872/VLOOKUP($B872,표2[#ALL],2)/HLOOKUP($A872,표1[#ALL],row(),false)</f>
        <v>#N/A</v>
      </c>
      <c r="U872" s="372" t="str">
        <f>CS_PID!U872/VLOOKUP($B872,표2[#ALL],2)/HLOOKUP($A872,표1[#ALL],row(),false)</f>
        <v>#N/A</v>
      </c>
      <c r="V872" s="372" t="str">
        <f>CS_PID!V872/VLOOKUP($B872,표2[#ALL],2)/HLOOKUP($A872,표1[#ALL],row(),false)</f>
        <v>#N/A</v>
      </c>
      <c r="W872" s="372" t="str">
        <f>CS_PID!W872/VLOOKUP($B872,표2[#ALL],2)/HLOOKUP($A872,표1[#ALL],row(),false)</f>
        <v>#N/A</v>
      </c>
      <c r="X872" s="372" t="str">
        <f>CS_PID!X872/VLOOKUP($B872,표2[#ALL],2)/HLOOKUP($A872,표1[#ALL],row(),false)</f>
        <v>#N/A</v>
      </c>
      <c r="Y872" s="372" t="str">
        <f>CS_PID!Y872/VLOOKUP($B872,표2[#ALL],2)/HLOOKUP($A872,표1[#ALL],row(),false)</f>
        <v>#N/A</v>
      </c>
      <c r="Z872" s="372" t="str">
        <f>CS_PID!Z872/VLOOKUP($B872,표2[#ALL],2)/HLOOKUP($A872,표1[#ALL],row(),false)</f>
        <v>#N/A</v>
      </c>
      <c r="AA872" s="372" t="str">
        <f>CS_PID!AA872/VLOOKUP($B872,표2[#ALL],2)/HLOOKUP($A872,표1[#ALL],row(),false)</f>
        <v>#N/A</v>
      </c>
      <c r="AB872" s="372" t="str">
        <f>CS_PID!AB872/VLOOKUP($B872,표2[#ALL],2)/HLOOKUP($A872,표1[#ALL],row(),false)</f>
        <v>#N/A</v>
      </c>
      <c r="AC872" s="372" t="str">
        <f>CS_PID!AC872/VLOOKUP($B872,표2[#ALL],2)/HLOOKUP($A872,표1[#ALL],row(),false)</f>
        <v>#N/A</v>
      </c>
      <c r="AD872" s="372" t="str">
        <f>CS_PID!AD872/VLOOKUP($B872,표2[#ALL],2)/HLOOKUP($A872,표1[#ALL],row(),false)</f>
        <v>#N/A</v>
      </c>
      <c r="AE872" s="372" t="str">
        <f>CS_PID!AE872/VLOOKUP($B872,표2[#ALL],2)/HLOOKUP($A872,표1[#ALL],row(),false)</f>
        <v>#N/A</v>
      </c>
      <c r="AF872" s="372" t="str">
        <f>CS_PID!AF872/VLOOKUP($B872,표2[#ALL],2)/HLOOKUP($A872,표1[#ALL],row(),false)</f>
        <v>#N/A</v>
      </c>
      <c r="AG872" s="372" t="str">
        <f>CS_PID!AG872/VLOOKUP($B872,표2[#ALL],2)/HLOOKUP($A872,표1[#ALL],row(),false)</f>
        <v>#N/A</v>
      </c>
      <c r="AH872" s="372" t="str">
        <f>CS_PID!AH872/VLOOKUP($B872,표2[#ALL],2)/HLOOKUP($A872,표1[#ALL],row(),false)</f>
        <v>#N/A</v>
      </c>
      <c r="AI872" s="372" t="str">
        <f>CS_PID!AI872/VLOOKUP($B872,표2[#ALL],2)/HLOOKUP($A872,표1[#ALL],row(),false)</f>
        <v>#N/A</v>
      </c>
      <c r="AJ872" s="372" t="str">
        <f>CS_PID!AJ872/VLOOKUP($B872,표2[#ALL],2)/HLOOKUP($A872,표1[#ALL],row(),false)</f>
        <v>#N/A</v>
      </c>
      <c r="AK872" s="372" t="str">
        <f>CS_PID!AK872/VLOOKUP($B872,표2[#ALL],2)/HLOOKUP($A872,표1[#ALL],row(),false)</f>
        <v>#N/A</v>
      </c>
      <c r="AL872" s="372" t="str">
        <f>CS_PID!AL872/VLOOKUP($B872,표2[#ALL],2)/HLOOKUP($A872,표1[#ALL],row(),false)</f>
        <v>#N/A</v>
      </c>
      <c r="AM872" s="372" t="str">
        <f>CS_PID!AM872/VLOOKUP($B872,표2[#ALL],2)/HLOOKUP($A872,표1[#ALL],row(),false)</f>
        <v>#N/A</v>
      </c>
      <c r="AN872" s="372" t="str">
        <f>CS_PID!AN872/VLOOKUP($B872,표2[#ALL],2)/HLOOKUP($A872,표1[#ALL],row(),false)</f>
        <v>#N/A</v>
      </c>
      <c r="AO872" s="372" t="str">
        <f>CS_PID!AO872/VLOOKUP($B872,표2[#ALL],2)/HLOOKUP($A872,표1[#ALL],row(),false)</f>
        <v>#N/A</v>
      </c>
      <c r="AP872" s="372" t="str">
        <f>CS_PID!AP872/VLOOKUP($B872,표2[#ALL],2)/HLOOKUP($A872,표1[#ALL],row(),false)</f>
        <v>#N/A</v>
      </c>
      <c r="AQ872" s="372" t="str">
        <f>CS_PID!AQ872/VLOOKUP($B872,표2[#ALL],2)/HLOOKUP($A872,표1[#ALL],row(),false)</f>
        <v>#N/A</v>
      </c>
      <c r="AR872" s="372" t="str">
        <f>CS_PID!AR872/VLOOKUP($B872,표2[#ALL],2)/HLOOKUP($A872,표1[#ALL],row(),false)</f>
        <v>#N/A</v>
      </c>
      <c r="AS872" s="373" t="str">
        <f>CS_PID!AS872/VLOOKUP($B872,표2[#ALL],2)/HLOOKUP($A872,표1[#ALL],row(),false)</f>
        <v>#N/A</v>
      </c>
    </row>
    <row r="873">
      <c r="A873" s="374"/>
      <c r="B873" s="375"/>
      <c r="C873" s="376" t="str">
        <f>CS_PID!C873/VLOOKUP($B873,표2[#ALL],2)</f>
        <v>#N/A</v>
      </c>
      <c r="D873" s="376" t="str">
        <f>CS_PID!D873/VLOOKUP($B873,표2[#ALL],2)</f>
        <v>#N/A</v>
      </c>
      <c r="E873" s="376" t="str">
        <f>CS_PID!E873/VLOOKUP($B873,표2[#ALL],2)</f>
        <v>#N/A</v>
      </c>
      <c r="F873" s="376" t="str">
        <f>CS_PID!F873/VLOOKUP($B873,표2[#ALL],2)</f>
        <v>#N/A</v>
      </c>
      <c r="G873" s="376" t="str">
        <f>CS_PID!G873/VLOOKUP($B873,표2[#ALL],2)</f>
        <v>#N/A</v>
      </c>
      <c r="H873" s="376" t="str">
        <f>CS_PID!H873/VLOOKUP($B873,표2[#ALL],2)/HLOOKUP($A873,표1[#ALL],row(),false)</f>
        <v>#N/A</v>
      </c>
      <c r="I873" s="376" t="str">
        <f>CS_PID!I873/VLOOKUP($B873,표2[#ALL],2)/HLOOKUP($A873,표1[#ALL],row(),false)</f>
        <v>#N/A</v>
      </c>
      <c r="J873" s="376" t="str">
        <f>CS_PID!J873/VLOOKUP($B873,표2[#ALL],2)/HLOOKUP($A873,표1[#ALL],row(),false)</f>
        <v>#N/A</v>
      </c>
      <c r="K873" s="376" t="str">
        <f>CS_PID!K873/VLOOKUP($B873,표2[#ALL],2)/HLOOKUP($A873,표1[#ALL],row(),false)</f>
        <v>#N/A</v>
      </c>
      <c r="L873" s="376" t="str">
        <f>CS_PID!L873/VLOOKUP($B873,표2[#ALL],2)/HLOOKUP($A873,표1[#ALL],row(),false)</f>
        <v>#N/A</v>
      </c>
      <c r="M873" s="376" t="str">
        <f>CS_PID!M873/VLOOKUP($B873,표2[#ALL],2)/HLOOKUP($A873,표1[#ALL],row(),false)</f>
        <v>#N/A</v>
      </c>
      <c r="N873" s="376" t="str">
        <f>CS_PID!N873/VLOOKUP($B873,표2[#ALL],2)/HLOOKUP($A873,표1[#ALL],row(),false)</f>
        <v>#N/A</v>
      </c>
      <c r="O873" s="376" t="str">
        <f>CS_PID!O873/VLOOKUP($B873,표2[#ALL],2)/HLOOKUP($A873,표1[#ALL],row(),false)</f>
        <v>#N/A</v>
      </c>
      <c r="P873" s="376" t="str">
        <f>CS_PID!P873/VLOOKUP($B873,표2[#ALL],2)/HLOOKUP($A873,표1[#ALL],row(),false)</f>
        <v>#N/A</v>
      </c>
      <c r="Q873" s="376" t="str">
        <f>CS_PID!Q873/VLOOKUP($B873,표2[#ALL],2)/HLOOKUP($A873,표1[#ALL],row(),false)</f>
        <v>#N/A</v>
      </c>
      <c r="R873" s="376" t="str">
        <f>CS_PID!R873/VLOOKUP($B873,표2[#ALL],2)/HLOOKUP($A873,표1[#ALL],row(),false)</f>
        <v>#N/A</v>
      </c>
      <c r="S873" s="376" t="str">
        <f>CS_PID!S873/VLOOKUP($B873,표2[#ALL],2)/HLOOKUP($A873,표1[#ALL],row(),false)</f>
        <v>#N/A</v>
      </c>
      <c r="T873" s="376" t="str">
        <f>CS_PID!T873/VLOOKUP($B873,표2[#ALL],2)/HLOOKUP($A873,표1[#ALL],row(),false)</f>
        <v>#N/A</v>
      </c>
      <c r="U873" s="376" t="str">
        <f>CS_PID!U873/VLOOKUP($B873,표2[#ALL],2)/HLOOKUP($A873,표1[#ALL],row(),false)</f>
        <v>#N/A</v>
      </c>
      <c r="V873" s="376" t="str">
        <f>CS_PID!V873/VLOOKUP($B873,표2[#ALL],2)/HLOOKUP($A873,표1[#ALL],row(),false)</f>
        <v>#N/A</v>
      </c>
      <c r="W873" s="376" t="str">
        <f>CS_PID!W873/VLOOKUP($B873,표2[#ALL],2)/HLOOKUP($A873,표1[#ALL],row(),false)</f>
        <v>#N/A</v>
      </c>
      <c r="X873" s="376" t="str">
        <f>CS_PID!X873/VLOOKUP($B873,표2[#ALL],2)/HLOOKUP($A873,표1[#ALL],row(),false)</f>
        <v>#N/A</v>
      </c>
      <c r="Y873" s="376" t="str">
        <f>CS_PID!Y873/VLOOKUP($B873,표2[#ALL],2)/HLOOKUP($A873,표1[#ALL],row(),false)</f>
        <v>#N/A</v>
      </c>
      <c r="Z873" s="376" t="str">
        <f>CS_PID!Z873/VLOOKUP($B873,표2[#ALL],2)/HLOOKUP($A873,표1[#ALL],row(),false)</f>
        <v>#N/A</v>
      </c>
      <c r="AA873" s="376" t="str">
        <f>CS_PID!AA873/VLOOKUP($B873,표2[#ALL],2)/HLOOKUP($A873,표1[#ALL],row(),false)</f>
        <v>#N/A</v>
      </c>
      <c r="AB873" s="376" t="str">
        <f>CS_PID!AB873/VLOOKUP($B873,표2[#ALL],2)/HLOOKUP($A873,표1[#ALL],row(),false)</f>
        <v>#N/A</v>
      </c>
      <c r="AC873" s="376" t="str">
        <f>CS_PID!AC873/VLOOKUP($B873,표2[#ALL],2)/HLOOKUP($A873,표1[#ALL],row(),false)</f>
        <v>#N/A</v>
      </c>
      <c r="AD873" s="376" t="str">
        <f>CS_PID!AD873/VLOOKUP($B873,표2[#ALL],2)/HLOOKUP($A873,표1[#ALL],row(),false)</f>
        <v>#N/A</v>
      </c>
      <c r="AE873" s="376" t="str">
        <f>CS_PID!AE873/VLOOKUP($B873,표2[#ALL],2)/HLOOKUP($A873,표1[#ALL],row(),false)</f>
        <v>#N/A</v>
      </c>
      <c r="AF873" s="376" t="str">
        <f>CS_PID!AF873/VLOOKUP($B873,표2[#ALL],2)/HLOOKUP($A873,표1[#ALL],row(),false)</f>
        <v>#N/A</v>
      </c>
      <c r="AG873" s="376" t="str">
        <f>CS_PID!AG873/VLOOKUP($B873,표2[#ALL],2)/HLOOKUP($A873,표1[#ALL],row(),false)</f>
        <v>#N/A</v>
      </c>
      <c r="AH873" s="376" t="str">
        <f>CS_PID!AH873/VLOOKUP($B873,표2[#ALL],2)/HLOOKUP($A873,표1[#ALL],row(),false)</f>
        <v>#N/A</v>
      </c>
      <c r="AI873" s="376" t="str">
        <f>CS_PID!AI873/VLOOKUP($B873,표2[#ALL],2)/HLOOKUP($A873,표1[#ALL],row(),false)</f>
        <v>#N/A</v>
      </c>
      <c r="AJ873" s="376" t="str">
        <f>CS_PID!AJ873/VLOOKUP($B873,표2[#ALL],2)/HLOOKUP($A873,표1[#ALL],row(),false)</f>
        <v>#N/A</v>
      </c>
      <c r="AK873" s="376" t="str">
        <f>CS_PID!AK873/VLOOKUP($B873,표2[#ALL],2)/HLOOKUP($A873,표1[#ALL],row(),false)</f>
        <v>#N/A</v>
      </c>
      <c r="AL873" s="376" t="str">
        <f>CS_PID!AL873/VLOOKUP($B873,표2[#ALL],2)/HLOOKUP($A873,표1[#ALL],row(),false)</f>
        <v>#N/A</v>
      </c>
      <c r="AM873" s="376" t="str">
        <f>CS_PID!AM873/VLOOKUP($B873,표2[#ALL],2)/HLOOKUP($A873,표1[#ALL],row(),false)</f>
        <v>#N/A</v>
      </c>
      <c r="AN873" s="376" t="str">
        <f>CS_PID!AN873/VLOOKUP($B873,표2[#ALL],2)/HLOOKUP($A873,표1[#ALL],row(),false)</f>
        <v>#N/A</v>
      </c>
      <c r="AO873" s="376" t="str">
        <f>CS_PID!AO873/VLOOKUP($B873,표2[#ALL],2)/HLOOKUP($A873,표1[#ALL],row(),false)</f>
        <v>#N/A</v>
      </c>
      <c r="AP873" s="376" t="str">
        <f>CS_PID!AP873/VLOOKUP($B873,표2[#ALL],2)/HLOOKUP($A873,표1[#ALL],row(),false)</f>
        <v>#N/A</v>
      </c>
      <c r="AQ873" s="376" t="str">
        <f>CS_PID!AQ873/VLOOKUP($B873,표2[#ALL],2)/HLOOKUP($A873,표1[#ALL],row(),false)</f>
        <v>#N/A</v>
      </c>
      <c r="AR873" s="376" t="str">
        <f>CS_PID!AR873/VLOOKUP($B873,표2[#ALL],2)/HLOOKUP($A873,표1[#ALL],row(),false)</f>
        <v>#N/A</v>
      </c>
      <c r="AS873" s="377" t="str">
        <f>CS_PID!AS873/VLOOKUP($B873,표2[#ALL],2)/HLOOKUP($A873,표1[#ALL],row(),false)</f>
        <v>#N/A</v>
      </c>
    </row>
    <row r="874">
      <c r="A874" s="370"/>
      <c r="B874" s="371"/>
      <c r="C874" s="372" t="str">
        <f>CS_PID!C874/VLOOKUP($B874,표2[#ALL],2)</f>
        <v>#N/A</v>
      </c>
      <c r="D874" s="372" t="str">
        <f>CS_PID!D874/VLOOKUP($B874,표2[#ALL],2)</f>
        <v>#N/A</v>
      </c>
      <c r="E874" s="372" t="str">
        <f>CS_PID!E874/VLOOKUP($B874,표2[#ALL],2)</f>
        <v>#N/A</v>
      </c>
      <c r="F874" s="372" t="str">
        <f>CS_PID!F874/VLOOKUP($B874,표2[#ALL],2)</f>
        <v>#N/A</v>
      </c>
      <c r="G874" s="372" t="str">
        <f>CS_PID!G874/VLOOKUP($B874,표2[#ALL],2)</f>
        <v>#N/A</v>
      </c>
      <c r="H874" s="372" t="str">
        <f>CS_PID!H874/VLOOKUP($B874,표2[#ALL],2)/HLOOKUP($A874,표1[#ALL],row(),false)</f>
        <v>#N/A</v>
      </c>
      <c r="I874" s="372" t="str">
        <f>CS_PID!I874/VLOOKUP($B874,표2[#ALL],2)/HLOOKUP($A874,표1[#ALL],row(),false)</f>
        <v>#N/A</v>
      </c>
      <c r="J874" s="372" t="str">
        <f>CS_PID!J874/VLOOKUP($B874,표2[#ALL],2)/HLOOKUP($A874,표1[#ALL],row(),false)</f>
        <v>#N/A</v>
      </c>
      <c r="K874" s="372" t="str">
        <f>CS_PID!K874/VLOOKUP($B874,표2[#ALL],2)/HLOOKUP($A874,표1[#ALL],row(),false)</f>
        <v>#N/A</v>
      </c>
      <c r="L874" s="372" t="str">
        <f>CS_PID!L874/VLOOKUP($B874,표2[#ALL],2)/HLOOKUP($A874,표1[#ALL],row(),false)</f>
        <v>#N/A</v>
      </c>
      <c r="M874" s="372" t="str">
        <f>CS_PID!M874/VLOOKUP($B874,표2[#ALL],2)/HLOOKUP($A874,표1[#ALL],row(),false)</f>
        <v>#N/A</v>
      </c>
      <c r="N874" s="372" t="str">
        <f>CS_PID!N874/VLOOKUP($B874,표2[#ALL],2)/HLOOKUP($A874,표1[#ALL],row(),false)</f>
        <v>#N/A</v>
      </c>
      <c r="O874" s="372" t="str">
        <f>CS_PID!O874/VLOOKUP($B874,표2[#ALL],2)/HLOOKUP($A874,표1[#ALL],row(),false)</f>
        <v>#N/A</v>
      </c>
      <c r="P874" s="372" t="str">
        <f>CS_PID!P874/VLOOKUP($B874,표2[#ALL],2)/HLOOKUP($A874,표1[#ALL],row(),false)</f>
        <v>#N/A</v>
      </c>
      <c r="Q874" s="372" t="str">
        <f>CS_PID!Q874/VLOOKUP($B874,표2[#ALL],2)/HLOOKUP($A874,표1[#ALL],row(),false)</f>
        <v>#N/A</v>
      </c>
      <c r="R874" s="372" t="str">
        <f>CS_PID!R874/VLOOKUP($B874,표2[#ALL],2)/HLOOKUP($A874,표1[#ALL],row(),false)</f>
        <v>#N/A</v>
      </c>
      <c r="S874" s="372" t="str">
        <f>CS_PID!S874/VLOOKUP($B874,표2[#ALL],2)/HLOOKUP($A874,표1[#ALL],row(),false)</f>
        <v>#N/A</v>
      </c>
      <c r="T874" s="372" t="str">
        <f>CS_PID!T874/VLOOKUP($B874,표2[#ALL],2)/HLOOKUP($A874,표1[#ALL],row(),false)</f>
        <v>#N/A</v>
      </c>
      <c r="U874" s="372" t="str">
        <f>CS_PID!U874/VLOOKUP($B874,표2[#ALL],2)/HLOOKUP($A874,표1[#ALL],row(),false)</f>
        <v>#N/A</v>
      </c>
      <c r="V874" s="372" t="str">
        <f>CS_PID!V874/VLOOKUP($B874,표2[#ALL],2)/HLOOKUP($A874,표1[#ALL],row(),false)</f>
        <v>#N/A</v>
      </c>
      <c r="W874" s="372" t="str">
        <f>CS_PID!W874/VLOOKUP($B874,표2[#ALL],2)/HLOOKUP($A874,표1[#ALL],row(),false)</f>
        <v>#N/A</v>
      </c>
      <c r="X874" s="372" t="str">
        <f>CS_PID!X874/VLOOKUP($B874,표2[#ALL],2)/HLOOKUP($A874,표1[#ALL],row(),false)</f>
        <v>#N/A</v>
      </c>
      <c r="Y874" s="372" t="str">
        <f>CS_PID!Y874/VLOOKUP($B874,표2[#ALL],2)/HLOOKUP($A874,표1[#ALL],row(),false)</f>
        <v>#N/A</v>
      </c>
      <c r="Z874" s="372" t="str">
        <f>CS_PID!Z874/VLOOKUP($B874,표2[#ALL],2)/HLOOKUP($A874,표1[#ALL],row(),false)</f>
        <v>#N/A</v>
      </c>
      <c r="AA874" s="372" t="str">
        <f>CS_PID!AA874/VLOOKUP($B874,표2[#ALL],2)/HLOOKUP($A874,표1[#ALL],row(),false)</f>
        <v>#N/A</v>
      </c>
      <c r="AB874" s="372" t="str">
        <f>CS_PID!AB874/VLOOKUP($B874,표2[#ALL],2)/HLOOKUP($A874,표1[#ALL],row(),false)</f>
        <v>#N/A</v>
      </c>
      <c r="AC874" s="372" t="str">
        <f>CS_PID!AC874/VLOOKUP($B874,표2[#ALL],2)/HLOOKUP($A874,표1[#ALL],row(),false)</f>
        <v>#N/A</v>
      </c>
      <c r="AD874" s="372" t="str">
        <f>CS_PID!AD874/VLOOKUP($B874,표2[#ALL],2)/HLOOKUP($A874,표1[#ALL],row(),false)</f>
        <v>#N/A</v>
      </c>
      <c r="AE874" s="372" t="str">
        <f>CS_PID!AE874/VLOOKUP($B874,표2[#ALL],2)/HLOOKUP($A874,표1[#ALL],row(),false)</f>
        <v>#N/A</v>
      </c>
      <c r="AF874" s="372" t="str">
        <f>CS_PID!AF874/VLOOKUP($B874,표2[#ALL],2)/HLOOKUP($A874,표1[#ALL],row(),false)</f>
        <v>#N/A</v>
      </c>
      <c r="AG874" s="372" t="str">
        <f>CS_PID!AG874/VLOOKUP($B874,표2[#ALL],2)/HLOOKUP($A874,표1[#ALL],row(),false)</f>
        <v>#N/A</v>
      </c>
      <c r="AH874" s="372" t="str">
        <f>CS_PID!AH874/VLOOKUP($B874,표2[#ALL],2)/HLOOKUP($A874,표1[#ALL],row(),false)</f>
        <v>#N/A</v>
      </c>
      <c r="AI874" s="372" t="str">
        <f>CS_PID!AI874/VLOOKUP($B874,표2[#ALL],2)/HLOOKUP($A874,표1[#ALL],row(),false)</f>
        <v>#N/A</v>
      </c>
      <c r="AJ874" s="372" t="str">
        <f>CS_PID!AJ874/VLOOKUP($B874,표2[#ALL],2)/HLOOKUP($A874,표1[#ALL],row(),false)</f>
        <v>#N/A</v>
      </c>
      <c r="AK874" s="372" t="str">
        <f>CS_PID!AK874/VLOOKUP($B874,표2[#ALL],2)/HLOOKUP($A874,표1[#ALL],row(),false)</f>
        <v>#N/A</v>
      </c>
      <c r="AL874" s="372" t="str">
        <f>CS_PID!AL874/VLOOKUP($B874,표2[#ALL],2)/HLOOKUP($A874,표1[#ALL],row(),false)</f>
        <v>#N/A</v>
      </c>
      <c r="AM874" s="372" t="str">
        <f>CS_PID!AM874/VLOOKUP($B874,표2[#ALL],2)/HLOOKUP($A874,표1[#ALL],row(),false)</f>
        <v>#N/A</v>
      </c>
      <c r="AN874" s="372" t="str">
        <f>CS_PID!AN874/VLOOKUP($B874,표2[#ALL],2)/HLOOKUP($A874,표1[#ALL],row(),false)</f>
        <v>#N/A</v>
      </c>
      <c r="AO874" s="372" t="str">
        <f>CS_PID!AO874/VLOOKUP($B874,표2[#ALL],2)/HLOOKUP($A874,표1[#ALL],row(),false)</f>
        <v>#N/A</v>
      </c>
      <c r="AP874" s="372" t="str">
        <f>CS_PID!AP874/VLOOKUP($B874,표2[#ALL],2)/HLOOKUP($A874,표1[#ALL],row(),false)</f>
        <v>#N/A</v>
      </c>
      <c r="AQ874" s="372" t="str">
        <f>CS_PID!AQ874/VLOOKUP($B874,표2[#ALL],2)/HLOOKUP($A874,표1[#ALL],row(),false)</f>
        <v>#N/A</v>
      </c>
      <c r="AR874" s="372" t="str">
        <f>CS_PID!AR874/VLOOKUP($B874,표2[#ALL],2)/HLOOKUP($A874,표1[#ALL],row(),false)</f>
        <v>#N/A</v>
      </c>
      <c r="AS874" s="373" t="str">
        <f>CS_PID!AS874/VLOOKUP($B874,표2[#ALL],2)/HLOOKUP($A874,표1[#ALL],row(),false)</f>
        <v>#N/A</v>
      </c>
    </row>
    <row r="875">
      <c r="A875" s="374"/>
      <c r="B875" s="375"/>
      <c r="C875" s="376" t="str">
        <f>CS_PID!C875/VLOOKUP($B875,표2[#ALL],2)</f>
        <v>#N/A</v>
      </c>
      <c r="D875" s="376" t="str">
        <f>CS_PID!D875/VLOOKUP($B875,표2[#ALL],2)</f>
        <v>#N/A</v>
      </c>
      <c r="E875" s="376" t="str">
        <f>CS_PID!E875/VLOOKUP($B875,표2[#ALL],2)</f>
        <v>#N/A</v>
      </c>
      <c r="F875" s="376" t="str">
        <f>CS_PID!F875/VLOOKUP($B875,표2[#ALL],2)</f>
        <v>#N/A</v>
      </c>
      <c r="G875" s="376" t="str">
        <f>CS_PID!G875/VLOOKUP($B875,표2[#ALL],2)</f>
        <v>#N/A</v>
      </c>
      <c r="H875" s="376" t="str">
        <f>CS_PID!H875/VLOOKUP($B875,표2[#ALL],2)/HLOOKUP($A875,표1[#ALL],row(),false)</f>
        <v>#N/A</v>
      </c>
      <c r="I875" s="376" t="str">
        <f>CS_PID!I875/VLOOKUP($B875,표2[#ALL],2)/HLOOKUP($A875,표1[#ALL],row(),false)</f>
        <v>#N/A</v>
      </c>
      <c r="J875" s="376" t="str">
        <f>CS_PID!J875/VLOOKUP($B875,표2[#ALL],2)/HLOOKUP($A875,표1[#ALL],row(),false)</f>
        <v>#N/A</v>
      </c>
      <c r="K875" s="376" t="str">
        <f>CS_PID!K875/VLOOKUP($B875,표2[#ALL],2)/HLOOKUP($A875,표1[#ALL],row(),false)</f>
        <v>#N/A</v>
      </c>
      <c r="L875" s="376" t="str">
        <f>CS_PID!L875/VLOOKUP($B875,표2[#ALL],2)/HLOOKUP($A875,표1[#ALL],row(),false)</f>
        <v>#N/A</v>
      </c>
      <c r="M875" s="376" t="str">
        <f>CS_PID!M875/VLOOKUP($B875,표2[#ALL],2)/HLOOKUP($A875,표1[#ALL],row(),false)</f>
        <v>#N/A</v>
      </c>
      <c r="N875" s="376" t="str">
        <f>CS_PID!N875/VLOOKUP($B875,표2[#ALL],2)/HLOOKUP($A875,표1[#ALL],row(),false)</f>
        <v>#N/A</v>
      </c>
      <c r="O875" s="376" t="str">
        <f>CS_PID!O875/VLOOKUP($B875,표2[#ALL],2)/HLOOKUP($A875,표1[#ALL],row(),false)</f>
        <v>#N/A</v>
      </c>
      <c r="P875" s="376" t="str">
        <f>CS_PID!P875/VLOOKUP($B875,표2[#ALL],2)/HLOOKUP($A875,표1[#ALL],row(),false)</f>
        <v>#N/A</v>
      </c>
      <c r="Q875" s="376" t="str">
        <f>CS_PID!Q875/VLOOKUP($B875,표2[#ALL],2)/HLOOKUP($A875,표1[#ALL],row(),false)</f>
        <v>#N/A</v>
      </c>
      <c r="R875" s="376" t="str">
        <f>CS_PID!R875/VLOOKUP($B875,표2[#ALL],2)/HLOOKUP($A875,표1[#ALL],row(),false)</f>
        <v>#N/A</v>
      </c>
      <c r="S875" s="376" t="str">
        <f>CS_PID!S875/VLOOKUP($B875,표2[#ALL],2)/HLOOKUP($A875,표1[#ALL],row(),false)</f>
        <v>#N/A</v>
      </c>
      <c r="T875" s="376" t="str">
        <f>CS_PID!T875/VLOOKUP($B875,표2[#ALL],2)/HLOOKUP($A875,표1[#ALL],row(),false)</f>
        <v>#N/A</v>
      </c>
      <c r="U875" s="376" t="str">
        <f>CS_PID!U875/VLOOKUP($B875,표2[#ALL],2)/HLOOKUP($A875,표1[#ALL],row(),false)</f>
        <v>#N/A</v>
      </c>
      <c r="V875" s="376" t="str">
        <f>CS_PID!V875/VLOOKUP($B875,표2[#ALL],2)/HLOOKUP($A875,표1[#ALL],row(),false)</f>
        <v>#N/A</v>
      </c>
      <c r="W875" s="376" t="str">
        <f>CS_PID!W875/VLOOKUP($B875,표2[#ALL],2)/HLOOKUP($A875,표1[#ALL],row(),false)</f>
        <v>#N/A</v>
      </c>
      <c r="X875" s="376" t="str">
        <f>CS_PID!X875/VLOOKUP($B875,표2[#ALL],2)/HLOOKUP($A875,표1[#ALL],row(),false)</f>
        <v>#N/A</v>
      </c>
      <c r="Y875" s="376" t="str">
        <f>CS_PID!Y875/VLOOKUP($B875,표2[#ALL],2)/HLOOKUP($A875,표1[#ALL],row(),false)</f>
        <v>#N/A</v>
      </c>
      <c r="Z875" s="376" t="str">
        <f>CS_PID!Z875/VLOOKUP($B875,표2[#ALL],2)/HLOOKUP($A875,표1[#ALL],row(),false)</f>
        <v>#N/A</v>
      </c>
      <c r="AA875" s="376" t="str">
        <f>CS_PID!AA875/VLOOKUP($B875,표2[#ALL],2)/HLOOKUP($A875,표1[#ALL],row(),false)</f>
        <v>#N/A</v>
      </c>
      <c r="AB875" s="376" t="str">
        <f>CS_PID!AB875/VLOOKUP($B875,표2[#ALL],2)/HLOOKUP($A875,표1[#ALL],row(),false)</f>
        <v>#N/A</v>
      </c>
      <c r="AC875" s="376" t="str">
        <f>CS_PID!AC875/VLOOKUP($B875,표2[#ALL],2)/HLOOKUP($A875,표1[#ALL],row(),false)</f>
        <v>#N/A</v>
      </c>
      <c r="AD875" s="376" t="str">
        <f>CS_PID!AD875/VLOOKUP($B875,표2[#ALL],2)/HLOOKUP($A875,표1[#ALL],row(),false)</f>
        <v>#N/A</v>
      </c>
      <c r="AE875" s="376" t="str">
        <f>CS_PID!AE875/VLOOKUP($B875,표2[#ALL],2)/HLOOKUP($A875,표1[#ALL],row(),false)</f>
        <v>#N/A</v>
      </c>
      <c r="AF875" s="376" t="str">
        <f>CS_PID!AF875/VLOOKUP($B875,표2[#ALL],2)/HLOOKUP($A875,표1[#ALL],row(),false)</f>
        <v>#N/A</v>
      </c>
      <c r="AG875" s="376" t="str">
        <f>CS_PID!AG875/VLOOKUP($B875,표2[#ALL],2)/HLOOKUP($A875,표1[#ALL],row(),false)</f>
        <v>#N/A</v>
      </c>
      <c r="AH875" s="376" t="str">
        <f>CS_PID!AH875/VLOOKUP($B875,표2[#ALL],2)/HLOOKUP($A875,표1[#ALL],row(),false)</f>
        <v>#N/A</v>
      </c>
      <c r="AI875" s="376" t="str">
        <f>CS_PID!AI875/VLOOKUP($B875,표2[#ALL],2)/HLOOKUP($A875,표1[#ALL],row(),false)</f>
        <v>#N/A</v>
      </c>
      <c r="AJ875" s="376" t="str">
        <f>CS_PID!AJ875/VLOOKUP($B875,표2[#ALL],2)/HLOOKUP($A875,표1[#ALL],row(),false)</f>
        <v>#N/A</v>
      </c>
      <c r="AK875" s="376" t="str">
        <f>CS_PID!AK875/VLOOKUP($B875,표2[#ALL],2)/HLOOKUP($A875,표1[#ALL],row(),false)</f>
        <v>#N/A</v>
      </c>
      <c r="AL875" s="376" t="str">
        <f>CS_PID!AL875/VLOOKUP($B875,표2[#ALL],2)/HLOOKUP($A875,표1[#ALL],row(),false)</f>
        <v>#N/A</v>
      </c>
      <c r="AM875" s="376" t="str">
        <f>CS_PID!AM875/VLOOKUP($B875,표2[#ALL],2)/HLOOKUP($A875,표1[#ALL],row(),false)</f>
        <v>#N/A</v>
      </c>
      <c r="AN875" s="376" t="str">
        <f>CS_PID!AN875/VLOOKUP($B875,표2[#ALL],2)/HLOOKUP($A875,표1[#ALL],row(),false)</f>
        <v>#N/A</v>
      </c>
      <c r="AO875" s="376" t="str">
        <f>CS_PID!AO875/VLOOKUP($B875,표2[#ALL],2)/HLOOKUP($A875,표1[#ALL],row(),false)</f>
        <v>#N/A</v>
      </c>
      <c r="AP875" s="376" t="str">
        <f>CS_PID!AP875/VLOOKUP($B875,표2[#ALL],2)/HLOOKUP($A875,표1[#ALL],row(),false)</f>
        <v>#N/A</v>
      </c>
      <c r="AQ875" s="376" t="str">
        <f>CS_PID!AQ875/VLOOKUP($B875,표2[#ALL],2)/HLOOKUP($A875,표1[#ALL],row(),false)</f>
        <v>#N/A</v>
      </c>
      <c r="AR875" s="376" t="str">
        <f>CS_PID!AR875/VLOOKUP($B875,표2[#ALL],2)/HLOOKUP($A875,표1[#ALL],row(),false)</f>
        <v>#N/A</v>
      </c>
      <c r="AS875" s="377" t="str">
        <f>CS_PID!AS875/VLOOKUP($B875,표2[#ALL],2)/HLOOKUP($A875,표1[#ALL],row(),false)</f>
        <v>#N/A</v>
      </c>
    </row>
    <row r="876">
      <c r="A876" s="370"/>
      <c r="B876" s="371"/>
      <c r="C876" s="372" t="str">
        <f>CS_PID!C876/VLOOKUP($B876,표2[#ALL],2)</f>
        <v>#N/A</v>
      </c>
      <c r="D876" s="372" t="str">
        <f>CS_PID!D876/VLOOKUP($B876,표2[#ALL],2)</f>
        <v>#N/A</v>
      </c>
      <c r="E876" s="372" t="str">
        <f>CS_PID!E876/VLOOKUP($B876,표2[#ALL],2)</f>
        <v>#N/A</v>
      </c>
      <c r="F876" s="372" t="str">
        <f>CS_PID!F876/VLOOKUP($B876,표2[#ALL],2)</f>
        <v>#N/A</v>
      </c>
      <c r="G876" s="372" t="str">
        <f>CS_PID!G876/VLOOKUP($B876,표2[#ALL],2)</f>
        <v>#N/A</v>
      </c>
      <c r="H876" s="372" t="str">
        <f>CS_PID!H876/VLOOKUP($B876,표2[#ALL],2)/HLOOKUP($A876,표1[#ALL],row(),false)</f>
        <v>#N/A</v>
      </c>
      <c r="I876" s="372" t="str">
        <f>CS_PID!I876/VLOOKUP($B876,표2[#ALL],2)/HLOOKUP($A876,표1[#ALL],row(),false)</f>
        <v>#N/A</v>
      </c>
      <c r="J876" s="372" t="str">
        <f>CS_PID!J876/VLOOKUP($B876,표2[#ALL],2)/HLOOKUP($A876,표1[#ALL],row(),false)</f>
        <v>#N/A</v>
      </c>
      <c r="K876" s="372" t="str">
        <f>CS_PID!K876/VLOOKUP($B876,표2[#ALL],2)/HLOOKUP($A876,표1[#ALL],row(),false)</f>
        <v>#N/A</v>
      </c>
      <c r="L876" s="372" t="str">
        <f>CS_PID!L876/VLOOKUP($B876,표2[#ALL],2)/HLOOKUP($A876,표1[#ALL],row(),false)</f>
        <v>#N/A</v>
      </c>
      <c r="M876" s="372" t="str">
        <f>CS_PID!M876/VLOOKUP($B876,표2[#ALL],2)/HLOOKUP($A876,표1[#ALL],row(),false)</f>
        <v>#N/A</v>
      </c>
      <c r="N876" s="372" t="str">
        <f>CS_PID!N876/VLOOKUP($B876,표2[#ALL],2)/HLOOKUP($A876,표1[#ALL],row(),false)</f>
        <v>#N/A</v>
      </c>
      <c r="O876" s="372" t="str">
        <f>CS_PID!O876/VLOOKUP($B876,표2[#ALL],2)/HLOOKUP($A876,표1[#ALL],row(),false)</f>
        <v>#N/A</v>
      </c>
      <c r="P876" s="372" t="str">
        <f>CS_PID!P876/VLOOKUP($B876,표2[#ALL],2)/HLOOKUP($A876,표1[#ALL],row(),false)</f>
        <v>#N/A</v>
      </c>
      <c r="Q876" s="372" t="str">
        <f>CS_PID!Q876/VLOOKUP($B876,표2[#ALL],2)/HLOOKUP($A876,표1[#ALL],row(),false)</f>
        <v>#N/A</v>
      </c>
      <c r="R876" s="372" t="str">
        <f>CS_PID!R876/VLOOKUP($B876,표2[#ALL],2)/HLOOKUP($A876,표1[#ALL],row(),false)</f>
        <v>#N/A</v>
      </c>
      <c r="S876" s="372" t="str">
        <f>CS_PID!S876/VLOOKUP($B876,표2[#ALL],2)/HLOOKUP($A876,표1[#ALL],row(),false)</f>
        <v>#N/A</v>
      </c>
      <c r="T876" s="372" t="str">
        <f>CS_PID!T876/VLOOKUP($B876,표2[#ALL],2)/HLOOKUP($A876,표1[#ALL],row(),false)</f>
        <v>#N/A</v>
      </c>
      <c r="U876" s="372" t="str">
        <f>CS_PID!U876/VLOOKUP($B876,표2[#ALL],2)/HLOOKUP($A876,표1[#ALL],row(),false)</f>
        <v>#N/A</v>
      </c>
      <c r="V876" s="372" t="str">
        <f>CS_PID!V876/VLOOKUP($B876,표2[#ALL],2)/HLOOKUP($A876,표1[#ALL],row(),false)</f>
        <v>#N/A</v>
      </c>
      <c r="W876" s="372" t="str">
        <f>CS_PID!W876/VLOOKUP($B876,표2[#ALL],2)/HLOOKUP($A876,표1[#ALL],row(),false)</f>
        <v>#N/A</v>
      </c>
      <c r="X876" s="372" t="str">
        <f>CS_PID!X876/VLOOKUP($B876,표2[#ALL],2)/HLOOKUP($A876,표1[#ALL],row(),false)</f>
        <v>#N/A</v>
      </c>
      <c r="Y876" s="372" t="str">
        <f>CS_PID!Y876/VLOOKUP($B876,표2[#ALL],2)/HLOOKUP($A876,표1[#ALL],row(),false)</f>
        <v>#N/A</v>
      </c>
      <c r="Z876" s="372" t="str">
        <f>CS_PID!Z876/VLOOKUP($B876,표2[#ALL],2)/HLOOKUP($A876,표1[#ALL],row(),false)</f>
        <v>#N/A</v>
      </c>
      <c r="AA876" s="372" t="str">
        <f>CS_PID!AA876/VLOOKUP($B876,표2[#ALL],2)/HLOOKUP($A876,표1[#ALL],row(),false)</f>
        <v>#N/A</v>
      </c>
      <c r="AB876" s="372" t="str">
        <f>CS_PID!AB876/VLOOKUP($B876,표2[#ALL],2)/HLOOKUP($A876,표1[#ALL],row(),false)</f>
        <v>#N/A</v>
      </c>
      <c r="AC876" s="372" t="str">
        <f>CS_PID!AC876/VLOOKUP($B876,표2[#ALL],2)/HLOOKUP($A876,표1[#ALL],row(),false)</f>
        <v>#N/A</v>
      </c>
      <c r="AD876" s="372" t="str">
        <f>CS_PID!AD876/VLOOKUP($B876,표2[#ALL],2)/HLOOKUP($A876,표1[#ALL],row(),false)</f>
        <v>#N/A</v>
      </c>
      <c r="AE876" s="372" t="str">
        <f>CS_PID!AE876/VLOOKUP($B876,표2[#ALL],2)/HLOOKUP($A876,표1[#ALL],row(),false)</f>
        <v>#N/A</v>
      </c>
      <c r="AF876" s="372" t="str">
        <f>CS_PID!AF876/VLOOKUP($B876,표2[#ALL],2)/HLOOKUP($A876,표1[#ALL],row(),false)</f>
        <v>#N/A</v>
      </c>
      <c r="AG876" s="372" t="str">
        <f>CS_PID!AG876/VLOOKUP($B876,표2[#ALL],2)/HLOOKUP($A876,표1[#ALL],row(),false)</f>
        <v>#N/A</v>
      </c>
      <c r="AH876" s="372" t="str">
        <f>CS_PID!AH876/VLOOKUP($B876,표2[#ALL],2)/HLOOKUP($A876,표1[#ALL],row(),false)</f>
        <v>#N/A</v>
      </c>
      <c r="AI876" s="372" t="str">
        <f>CS_PID!AI876/VLOOKUP($B876,표2[#ALL],2)/HLOOKUP($A876,표1[#ALL],row(),false)</f>
        <v>#N/A</v>
      </c>
      <c r="AJ876" s="372" t="str">
        <f>CS_PID!AJ876/VLOOKUP($B876,표2[#ALL],2)/HLOOKUP($A876,표1[#ALL],row(),false)</f>
        <v>#N/A</v>
      </c>
      <c r="AK876" s="372" t="str">
        <f>CS_PID!AK876/VLOOKUP($B876,표2[#ALL],2)/HLOOKUP($A876,표1[#ALL],row(),false)</f>
        <v>#N/A</v>
      </c>
      <c r="AL876" s="372" t="str">
        <f>CS_PID!AL876/VLOOKUP($B876,표2[#ALL],2)/HLOOKUP($A876,표1[#ALL],row(),false)</f>
        <v>#N/A</v>
      </c>
      <c r="AM876" s="372" t="str">
        <f>CS_PID!AM876/VLOOKUP($B876,표2[#ALL],2)/HLOOKUP($A876,표1[#ALL],row(),false)</f>
        <v>#N/A</v>
      </c>
      <c r="AN876" s="372" t="str">
        <f>CS_PID!AN876/VLOOKUP($B876,표2[#ALL],2)/HLOOKUP($A876,표1[#ALL],row(),false)</f>
        <v>#N/A</v>
      </c>
      <c r="AO876" s="372" t="str">
        <f>CS_PID!AO876/VLOOKUP($B876,표2[#ALL],2)/HLOOKUP($A876,표1[#ALL],row(),false)</f>
        <v>#N/A</v>
      </c>
      <c r="AP876" s="372" t="str">
        <f>CS_PID!AP876/VLOOKUP($B876,표2[#ALL],2)/HLOOKUP($A876,표1[#ALL],row(),false)</f>
        <v>#N/A</v>
      </c>
      <c r="AQ876" s="372" t="str">
        <f>CS_PID!AQ876/VLOOKUP($B876,표2[#ALL],2)/HLOOKUP($A876,표1[#ALL],row(),false)</f>
        <v>#N/A</v>
      </c>
      <c r="AR876" s="372" t="str">
        <f>CS_PID!AR876/VLOOKUP($B876,표2[#ALL],2)/HLOOKUP($A876,표1[#ALL],row(),false)</f>
        <v>#N/A</v>
      </c>
      <c r="AS876" s="373" t="str">
        <f>CS_PID!AS876/VLOOKUP($B876,표2[#ALL],2)/HLOOKUP($A876,표1[#ALL],row(),false)</f>
        <v>#N/A</v>
      </c>
    </row>
    <row r="877">
      <c r="A877" s="374"/>
      <c r="B877" s="375"/>
      <c r="C877" s="376" t="str">
        <f>CS_PID!C877/VLOOKUP($B877,표2[#ALL],2)</f>
        <v>#N/A</v>
      </c>
      <c r="D877" s="376" t="str">
        <f>CS_PID!D877/VLOOKUP($B877,표2[#ALL],2)</f>
        <v>#N/A</v>
      </c>
      <c r="E877" s="376" t="str">
        <f>CS_PID!E877/VLOOKUP($B877,표2[#ALL],2)</f>
        <v>#N/A</v>
      </c>
      <c r="F877" s="376" t="str">
        <f>CS_PID!F877/VLOOKUP($B877,표2[#ALL],2)</f>
        <v>#N/A</v>
      </c>
      <c r="G877" s="376" t="str">
        <f>CS_PID!G877/VLOOKUP($B877,표2[#ALL],2)</f>
        <v>#N/A</v>
      </c>
      <c r="H877" s="376" t="str">
        <f>CS_PID!H877/VLOOKUP($B877,표2[#ALL],2)/HLOOKUP($A877,표1[#ALL],row(),false)</f>
        <v>#N/A</v>
      </c>
      <c r="I877" s="376" t="str">
        <f>CS_PID!I877/VLOOKUP($B877,표2[#ALL],2)/HLOOKUP($A877,표1[#ALL],row(),false)</f>
        <v>#N/A</v>
      </c>
      <c r="J877" s="376" t="str">
        <f>CS_PID!J877/VLOOKUP($B877,표2[#ALL],2)/HLOOKUP($A877,표1[#ALL],row(),false)</f>
        <v>#N/A</v>
      </c>
      <c r="K877" s="376" t="str">
        <f>CS_PID!K877/VLOOKUP($B877,표2[#ALL],2)/HLOOKUP($A877,표1[#ALL],row(),false)</f>
        <v>#N/A</v>
      </c>
      <c r="L877" s="376" t="str">
        <f>CS_PID!L877/VLOOKUP($B877,표2[#ALL],2)/HLOOKUP($A877,표1[#ALL],row(),false)</f>
        <v>#N/A</v>
      </c>
      <c r="M877" s="376" t="str">
        <f>CS_PID!M877/VLOOKUP($B877,표2[#ALL],2)/HLOOKUP($A877,표1[#ALL],row(),false)</f>
        <v>#N/A</v>
      </c>
      <c r="N877" s="376" t="str">
        <f>CS_PID!N877/VLOOKUP($B877,표2[#ALL],2)/HLOOKUP($A877,표1[#ALL],row(),false)</f>
        <v>#N/A</v>
      </c>
      <c r="O877" s="376" t="str">
        <f>CS_PID!O877/VLOOKUP($B877,표2[#ALL],2)/HLOOKUP($A877,표1[#ALL],row(),false)</f>
        <v>#N/A</v>
      </c>
      <c r="P877" s="376" t="str">
        <f>CS_PID!P877/VLOOKUP($B877,표2[#ALL],2)/HLOOKUP($A877,표1[#ALL],row(),false)</f>
        <v>#N/A</v>
      </c>
      <c r="Q877" s="376" t="str">
        <f>CS_PID!Q877/VLOOKUP($B877,표2[#ALL],2)/HLOOKUP($A877,표1[#ALL],row(),false)</f>
        <v>#N/A</v>
      </c>
      <c r="R877" s="376" t="str">
        <f>CS_PID!R877/VLOOKUP($B877,표2[#ALL],2)/HLOOKUP($A877,표1[#ALL],row(),false)</f>
        <v>#N/A</v>
      </c>
      <c r="S877" s="376" t="str">
        <f>CS_PID!S877/VLOOKUP($B877,표2[#ALL],2)/HLOOKUP($A877,표1[#ALL],row(),false)</f>
        <v>#N/A</v>
      </c>
      <c r="T877" s="376" t="str">
        <f>CS_PID!T877/VLOOKUP($B877,표2[#ALL],2)/HLOOKUP($A877,표1[#ALL],row(),false)</f>
        <v>#N/A</v>
      </c>
      <c r="U877" s="376" t="str">
        <f>CS_PID!U877/VLOOKUP($B877,표2[#ALL],2)/HLOOKUP($A877,표1[#ALL],row(),false)</f>
        <v>#N/A</v>
      </c>
      <c r="V877" s="376" t="str">
        <f>CS_PID!V877/VLOOKUP($B877,표2[#ALL],2)/HLOOKUP($A877,표1[#ALL],row(),false)</f>
        <v>#N/A</v>
      </c>
      <c r="W877" s="376" t="str">
        <f>CS_PID!W877/VLOOKUP($B877,표2[#ALL],2)/HLOOKUP($A877,표1[#ALL],row(),false)</f>
        <v>#N/A</v>
      </c>
      <c r="X877" s="376" t="str">
        <f>CS_PID!X877/VLOOKUP($B877,표2[#ALL],2)/HLOOKUP($A877,표1[#ALL],row(),false)</f>
        <v>#N/A</v>
      </c>
      <c r="Y877" s="376" t="str">
        <f>CS_PID!Y877/VLOOKUP($B877,표2[#ALL],2)/HLOOKUP($A877,표1[#ALL],row(),false)</f>
        <v>#N/A</v>
      </c>
      <c r="Z877" s="376" t="str">
        <f>CS_PID!Z877/VLOOKUP($B877,표2[#ALL],2)/HLOOKUP($A877,표1[#ALL],row(),false)</f>
        <v>#N/A</v>
      </c>
      <c r="AA877" s="376" t="str">
        <f>CS_PID!AA877/VLOOKUP($B877,표2[#ALL],2)/HLOOKUP($A877,표1[#ALL],row(),false)</f>
        <v>#N/A</v>
      </c>
      <c r="AB877" s="376" t="str">
        <f>CS_PID!AB877/VLOOKUP($B877,표2[#ALL],2)/HLOOKUP($A877,표1[#ALL],row(),false)</f>
        <v>#N/A</v>
      </c>
      <c r="AC877" s="376" t="str">
        <f>CS_PID!AC877/VLOOKUP($B877,표2[#ALL],2)/HLOOKUP($A877,표1[#ALL],row(),false)</f>
        <v>#N/A</v>
      </c>
      <c r="AD877" s="376" t="str">
        <f>CS_PID!AD877/VLOOKUP($B877,표2[#ALL],2)/HLOOKUP($A877,표1[#ALL],row(),false)</f>
        <v>#N/A</v>
      </c>
      <c r="AE877" s="376" t="str">
        <f>CS_PID!AE877/VLOOKUP($B877,표2[#ALL],2)/HLOOKUP($A877,표1[#ALL],row(),false)</f>
        <v>#N/A</v>
      </c>
      <c r="AF877" s="376" t="str">
        <f>CS_PID!AF877/VLOOKUP($B877,표2[#ALL],2)/HLOOKUP($A877,표1[#ALL],row(),false)</f>
        <v>#N/A</v>
      </c>
      <c r="AG877" s="376" t="str">
        <f>CS_PID!AG877/VLOOKUP($B877,표2[#ALL],2)/HLOOKUP($A877,표1[#ALL],row(),false)</f>
        <v>#N/A</v>
      </c>
      <c r="AH877" s="376" t="str">
        <f>CS_PID!AH877/VLOOKUP($B877,표2[#ALL],2)/HLOOKUP($A877,표1[#ALL],row(),false)</f>
        <v>#N/A</v>
      </c>
      <c r="AI877" s="376" t="str">
        <f>CS_PID!AI877/VLOOKUP($B877,표2[#ALL],2)/HLOOKUP($A877,표1[#ALL],row(),false)</f>
        <v>#N/A</v>
      </c>
      <c r="AJ877" s="376" t="str">
        <f>CS_PID!AJ877/VLOOKUP($B877,표2[#ALL],2)/HLOOKUP($A877,표1[#ALL],row(),false)</f>
        <v>#N/A</v>
      </c>
      <c r="AK877" s="376" t="str">
        <f>CS_PID!AK877/VLOOKUP($B877,표2[#ALL],2)/HLOOKUP($A877,표1[#ALL],row(),false)</f>
        <v>#N/A</v>
      </c>
      <c r="AL877" s="376" t="str">
        <f>CS_PID!AL877/VLOOKUP($B877,표2[#ALL],2)/HLOOKUP($A877,표1[#ALL],row(),false)</f>
        <v>#N/A</v>
      </c>
      <c r="AM877" s="376" t="str">
        <f>CS_PID!AM877/VLOOKUP($B877,표2[#ALL],2)/HLOOKUP($A877,표1[#ALL],row(),false)</f>
        <v>#N/A</v>
      </c>
      <c r="AN877" s="376" t="str">
        <f>CS_PID!AN877/VLOOKUP($B877,표2[#ALL],2)/HLOOKUP($A877,표1[#ALL],row(),false)</f>
        <v>#N/A</v>
      </c>
      <c r="AO877" s="376" t="str">
        <f>CS_PID!AO877/VLOOKUP($B877,표2[#ALL],2)/HLOOKUP($A877,표1[#ALL],row(),false)</f>
        <v>#N/A</v>
      </c>
      <c r="AP877" s="376" t="str">
        <f>CS_PID!AP877/VLOOKUP($B877,표2[#ALL],2)/HLOOKUP($A877,표1[#ALL],row(),false)</f>
        <v>#N/A</v>
      </c>
      <c r="AQ877" s="376" t="str">
        <f>CS_PID!AQ877/VLOOKUP($B877,표2[#ALL],2)/HLOOKUP($A877,표1[#ALL],row(),false)</f>
        <v>#N/A</v>
      </c>
      <c r="AR877" s="376" t="str">
        <f>CS_PID!AR877/VLOOKUP($B877,표2[#ALL],2)/HLOOKUP($A877,표1[#ALL],row(),false)</f>
        <v>#N/A</v>
      </c>
      <c r="AS877" s="377" t="str">
        <f>CS_PID!AS877/VLOOKUP($B877,표2[#ALL],2)/HLOOKUP($A877,표1[#ALL],row(),false)</f>
        <v>#N/A</v>
      </c>
    </row>
    <row r="878">
      <c r="A878" s="370"/>
      <c r="B878" s="371"/>
      <c r="C878" s="372" t="str">
        <f>CS_PID!C878/VLOOKUP($B878,표2[#ALL],2)</f>
        <v>#N/A</v>
      </c>
      <c r="D878" s="372" t="str">
        <f>CS_PID!D878/VLOOKUP($B878,표2[#ALL],2)</f>
        <v>#N/A</v>
      </c>
      <c r="E878" s="372" t="str">
        <f>CS_PID!E878/VLOOKUP($B878,표2[#ALL],2)</f>
        <v>#N/A</v>
      </c>
      <c r="F878" s="372" t="str">
        <f>CS_PID!F878/VLOOKUP($B878,표2[#ALL],2)</f>
        <v>#N/A</v>
      </c>
      <c r="G878" s="372" t="str">
        <f>CS_PID!G878/VLOOKUP($B878,표2[#ALL],2)</f>
        <v>#N/A</v>
      </c>
      <c r="H878" s="372" t="str">
        <f>CS_PID!H878/VLOOKUP($B878,표2[#ALL],2)/HLOOKUP($A878,표1[#ALL],row(),false)</f>
        <v>#N/A</v>
      </c>
      <c r="I878" s="372" t="str">
        <f>CS_PID!I878/VLOOKUP($B878,표2[#ALL],2)/HLOOKUP($A878,표1[#ALL],row(),false)</f>
        <v>#N/A</v>
      </c>
      <c r="J878" s="372" t="str">
        <f>CS_PID!J878/VLOOKUP($B878,표2[#ALL],2)/HLOOKUP($A878,표1[#ALL],row(),false)</f>
        <v>#N/A</v>
      </c>
      <c r="K878" s="372" t="str">
        <f>CS_PID!K878/VLOOKUP($B878,표2[#ALL],2)/HLOOKUP($A878,표1[#ALL],row(),false)</f>
        <v>#N/A</v>
      </c>
      <c r="L878" s="372" t="str">
        <f>CS_PID!L878/VLOOKUP($B878,표2[#ALL],2)/HLOOKUP($A878,표1[#ALL],row(),false)</f>
        <v>#N/A</v>
      </c>
      <c r="M878" s="372" t="str">
        <f>CS_PID!M878/VLOOKUP($B878,표2[#ALL],2)/HLOOKUP($A878,표1[#ALL],row(),false)</f>
        <v>#N/A</v>
      </c>
      <c r="N878" s="372" t="str">
        <f>CS_PID!N878/VLOOKUP($B878,표2[#ALL],2)/HLOOKUP($A878,표1[#ALL],row(),false)</f>
        <v>#N/A</v>
      </c>
      <c r="O878" s="372" t="str">
        <f>CS_PID!O878/VLOOKUP($B878,표2[#ALL],2)/HLOOKUP($A878,표1[#ALL],row(),false)</f>
        <v>#N/A</v>
      </c>
      <c r="P878" s="372" t="str">
        <f>CS_PID!P878/VLOOKUP($B878,표2[#ALL],2)/HLOOKUP($A878,표1[#ALL],row(),false)</f>
        <v>#N/A</v>
      </c>
      <c r="Q878" s="372" t="str">
        <f>CS_PID!Q878/VLOOKUP($B878,표2[#ALL],2)/HLOOKUP($A878,표1[#ALL],row(),false)</f>
        <v>#N/A</v>
      </c>
      <c r="R878" s="372" t="str">
        <f>CS_PID!R878/VLOOKUP($B878,표2[#ALL],2)/HLOOKUP($A878,표1[#ALL],row(),false)</f>
        <v>#N/A</v>
      </c>
      <c r="S878" s="372" t="str">
        <f>CS_PID!S878/VLOOKUP($B878,표2[#ALL],2)/HLOOKUP($A878,표1[#ALL],row(),false)</f>
        <v>#N/A</v>
      </c>
      <c r="T878" s="372" t="str">
        <f>CS_PID!T878/VLOOKUP($B878,표2[#ALL],2)/HLOOKUP($A878,표1[#ALL],row(),false)</f>
        <v>#N/A</v>
      </c>
      <c r="U878" s="372" t="str">
        <f>CS_PID!U878/VLOOKUP($B878,표2[#ALL],2)/HLOOKUP($A878,표1[#ALL],row(),false)</f>
        <v>#N/A</v>
      </c>
      <c r="V878" s="372" t="str">
        <f>CS_PID!V878/VLOOKUP($B878,표2[#ALL],2)/HLOOKUP($A878,표1[#ALL],row(),false)</f>
        <v>#N/A</v>
      </c>
      <c r="W878" s="372" t="str">
        <f>CS_PID!W878/VLOOKUP($B878,표2[#ALL],2)/HLOOKUP($A878,표1[#ALL],row(),false)</f>
        <v>#N/A</v>
      </c>
      <c r="X878" s="372" t="str">
        <f>CS_PID!X878/VLOOKUP($B878,표2[#ALL],2)/HLOOKUP($A878,표1[#ALL],row(),false)</f>
        <v>#N/A</v>
      </c>
      <c r="Y878" s="372" t="str">
        <f>CS_PID!Y878/VLOOKUP($B878,표2[#ALL],2)/HLOOKUP($A878,표1[#ALL],row(),false)</f>
        <v>#N/A</v>
      </c>
      <c r="Z878" s="372" t="str">
        <f>CS_PID!Z878/VLOOKUP($B878,표2[#ALL],2)/HLOOKUP($A878,표1[#ALL],row(),false)</f>
        <v>#N/A</v>
      </c>
      <c r="AA878" s="372" t="str">
        <f>CS_PID!AA878/VLOOKUP($B878,표2[#ALL],2)/HLOOKUP($A878,표1[#ALL],row(),false)</f>
        <v>#N/A</v>
      </c>
      <c r="AB878" s="372" t="str">
        <f>CS_PID!AB878/VLOOKUP($B878,표2[#ALL],2)/HLOOKUP($A878,표1[#ALL],row(),false)</f>
        <v>#N/A</v>
      </c>
      <c r="AC878" s="372" t="str">
        <f>CS_PID!AC878/VLOOKUP($B878,표2[#ALL],2)/HLOOKUP($A878,표1[#ALL],row(),false)</f>
        <v>#N/A</v>
      </c>
      <c r="AD878" s="372" t="str">
        <f>CS_PID!AD878/VLOOKUP($B878,표2[#ALL],2)/HLOOKUP($A878,표1[#ALL],row(),false)</f>
        <v>#N/A</v>
      </c>
      <c r="AE878" s="372" t="str">
        <f>CS_PID!AE878/VLOOKUP($B878,표2[#ALL],2)/HLOOKUP($A878,표1[#ALL],row(),false)</f>
        <v>#N/A</v>
      </c>
      <c r="AF878" s="372" t="str">
        <f>CS_PID!AF878/VLOOKUP($B878,표2[#ALL],2)/HLOOKUP($A878,표1[#ALL],row(),false)</f>
        <v>#N/A</v>
      </c>
      <c r="AG878" s="372" t="str">
        <f>CS_PID!AG878/VLOOKUP($B878,표2[#ALL],2)/HLOOKUP($A878,표1[#ALL],row(),false)</f>
        <v>#N/A</v>
      </c>
      <c r="AH878" s="372" t="str">
        <f>CS_PID!AH878/VLOOKUP($B878,표2[#ALL],2)/HLOOKUP($A878,표1[#ALL],row(),false)</f>
        <v>#N/A</v>
      </c>
      <c r="AI878" s="372" t="str">
        <f>CS_PID!AI878/VLOOKUP($B878,표2[#ALL],2)/HLOOKUP($A878,표1[#ALL],row(),false)</f>
        <v>#N/A</v>
      </c>
      <c r="AJ878" s="372" t="str">
        <f>CS_PID!AJ878/VLOOKUP($B878,표2[#ALL],2)/HLOOKUP($A878,표1[#ALL],row(),false)</f>
        <v>#N/A</v>
      </c>
      <c r="AK878" s="372" t="str">
        <f>CS_PID!AK878/VLOOKUP($B878,표2[#ALL],2)/HLOOKUP($A878,표1[#ALL],row(),false)</f>
        <v>#N/A</v>
      </c>
      <c r="AL878" s="372" t="str">
        <f>CS_PID!AL878/VLOOKUP($B878,표2[#ALL],2)/HLOOKUP($A878,표1[#ALL],row(),false)</f>
        <v>#N/A</v>
      </c>
      <c r="AM878" s="372" t="str">
        <f>CS_PID!AM878/VLOOKUP($B878,표2[#ALL],2)/HLOOKUP($A878,표1[#ALL],row(),false)</f>
        <v>#N/A</v>
      </c>
      <c r="AN878" s="372" t="str">
        <f>CS_PID!AN878/VLOOKUP($B878,표2[#ALL],2)/HLOOKUP($A878,표1[#ALL],row(),false)</f>
        <v>#N/A</v>
      </c>
      <c r="AO878" s="372" t="str">
        <f>CS_PID!AO878/VLOOKUP($B878,표2[#ALL],2)/HLOOKUP($A878,표1[#ALL],row(),false)</f>
        <v>#N/A</v>
      </c>
      <c r="AP878" s="372" t="str">
        <f>CS_PID!AP878/VLOOKUP($B878,표2[#ALL],2)/HLOOKUP($A878,표1[#ALL],row(),false)</f>
        <v>#N/A</v>
      </c>
      <c r="AQ878" s="372" t="str">
        <f>CS_PID!AQ878/VLOOKUP($B878,표2[#ALL],2)/HLOOKUP($A878,표1[#ALL],row(),false)</f>
        <v>#N/A</v>
      </c>
      <c r="AR878" s="372" t="str">
        <f>CS_PID!AR878/VLOOKUP($B878,표2[#ALL],2)/HLOOKUP($A878,표1[#ALL],row(),false)</f>
        <v>#N/A</v>
      </c>
      <c r="AS878" s="373" t="str">
        <f>CS_PID!AS878/VLOOKUP($B878,표2[#ALL],2)/HLOOKUP($A878,표1[#ALL],row(),false)</f>
        <v>#N/A</v>
      </c>
    </row>
    <row r="879">
      <c r="A879" s="374"/>
      <c r="B879" s="375"/>
      <c r="C879" s="376" t="str">
        <f>CS_PID!C879/VLOOKUP($B879,표2[#ALL],2)</f>
        <v>#N/A</v>
      </c>
      <c r="D879" s="376" t="str">
        <f>CS_PID!D879/VLOOKUP($B879,표2[#ALL],2)</f>
        <v>#N/A</v>
      </c>
      <c r="E879" s="376" t="str">
        <f>CS_PID!E879/VLOOKUP($B879,표2[#ALL],2)</f>
        <v>#N/A</v>
      </c>
      <c r="F879" s="376" t="str">
        <f>CS_PID!F879/VLOOKUP($B879,표2[#ALL],2)</f>
        <v>#N/A</v>
      </c>
      <c r="G879" s="376" t="str">
        <f>CS_PID!G879/VLOOKUP($B879,표2[#ALL],2)</f>
        <v>#N/A</v>
      </c>
      <c r="H879" s="376" t="str">
        <f>CS_PID!H879/VLOOKUP($B879,표2[#ALL],2)/HLOOKUP($A879,표1[#ALL],row(),false)</f>
        <v>#N/A</v>
      </c>
      <c r="I879" s="376" t="str">
        <f>CS_PID!I879/VLOOKUP($B879,표2[#ALL],2)/HLOOKUP($A879,표1[#ALL],row(),false)</f>
        <v>#N/A</v>
      </c>
      <c r="J879" s="376" t="str">
        <f>CS_PID!J879/VLOOKUP($B879,표2[#ALL],2)/HLOOKUP($A879,표1[#ALL],row(),false)</f>
        <v>#N/A</v>
      </c>
      <c r="K879" s="376" t="str">
        <f>CS_PID!K879/VLOOKUP($B879,표2[#ALL],2)/HLOOKUP($A879,표1[#ALL],row(),false)</f>
        <v>#N/A</v>
      </c>
      <c r="L879" s="376" t="str">
        <f>CS_PID!L879/VLOOKUP($B879,표2[#ALL],2)/HLOOKUP($A879,표1[#ALL],row(),false)</f>
        <v>#N/A</v>
      </c>
      <c r="M879" s="376" t="str">
        <f>CS_PID!M879/VLOOKUP($B879,표2[#ALL],2)/HLOOKUP($A879,표1[#ALL],row(),false)</f>
        <v>#N/A</v>
      </c>
      <c r="N879" s="376" t="str">
        <f>CS_PID!N879/VLOOKUP($B879,표2[#ALL],2)/HLOOKUP($A879,표1[#ALL],row(),false)</f>
        <v>#N/A</v>
      </c>
      <c r="O879" s="376" t="str">
        <f>CS_PID!O879/VLOOKUP($B879,표2[#ALL],2)/HLOOKUP($A879,표1[#ALL],row(),false)</f>
        <v>#N/A</v>
      </c>
      <c r="P879" s="376" t="str">
        <f>CS_PID!P879/VLOOKUP($B879,표2[#ALL],2)/HLOOKUP($A879,표1[#ALL],row(),false)</f>
        <v>#N/A</v>
      </c>
      <c r="Q879" s="376" t="str">
        <f>CS_PID!Q879/VLOOKUP($B879,표2[#ALL],2)/HLOOKUP($A879,표1[#ALL],row(),false)</f>
        <v>#N/A</v>
      </c>
      <c r="R879" s="376" t="str">
        <f>CS_PID!R879/VLOOKUP($B879,표2[#ALL],2)/HLOOKUP($A879,표1[#ALL],row(),false)</f>
        <v>#N/A</v>
      </c>
      <c r="S879" s="376" t="str">
        <f>CS_PID!S879/VLOOKUP($B879,표2[#ALL],2)/HLOOKUP($A879,표1[#ALL],row(),false)</f>
        <v>#N/A</v>
      </c>
      <c r="T879" s="376" t="str">
        <f>CS_PID!T879/VLOOKUP($B879,표2[#ALL],2)/HLOOKUP($A879,표1[#ALL],row(),false)</f>
        <v>#N/A</v>
      </c>
      <c r="U879" s="376" t="str">
        <f>CS_PID!U879/VLOOKUP($B879,표2[#ALL],2)/HLOOKUP($A879,표1[#ALL],row(),false)</f>
        <v>#N/A</v>
      </c>
      <c r="V879" s="376" t="str">
        <f>CS_PID!V879/VLOOKUP($B879,표2[#ALL],2)/HLOOKUP($A879,표1[#ALL],row(),false)</f>
        <v>#N/A</v>
      </c>
      <c r="W879" s="376" t="str">
        <f>CS_PID!W879/VLOOKUP($B879,표2[#ALL],2)/HLOOKUP($A879,표1[#ALL],row(),false)</f>
        <v>#N/A</v>
      </c>
      <c r="X879" s="376" t="str">
        <f>CS_PID!X879/VLOOKUP($B879,표2[#ALL],2)/HLOOKUP($A879,표1[#ALL],row(),false)</f>
        <v>#N/A</v>
      </c>
      <c r="Y879" s="376" t="str">
        <f>CS_PID!Y879/VLOOKUP($B879,표2[#ALL],2)/HLOOKUP($A879,표1[#ALL],row(),false)</f>
        <v>#N/A</v>
      </c>
      <c r="Z879" s="376" t="str">
        <f>CS_PID!Z879/VLOOKUP($B879,표2[#ALL],2)/HLOOKUP($A879,표1[#ALL],row(),false)</f>
        <v>#N/A</v>
      </c>
      <c r="AA879" s="376" t="str">
        <f>CS_PID!AA879/VLOOKUP($B879,표2[#ALL],2)/HLOOKUP($A879,표1[#ALL],row(),false)</f>
        <v>#N/A</v>
      </c>
      <c r="AB879" s="376" t="str">
        <f>CS_PID!AB879/VLOOKUP($B879,표2[#ALL],2)/HLOOKUP($A879,표1[#ALL],row(),false)</f>
        <v>#N/A</v>
      </c>
      <c r="AC879" s="376" t="str">
        <f>CS_PID!AC879/VLOOKUP($B879,표2[#ALL],2)/HLOOKUP($A879,표1[#ALL],row(),false)</f>
        <v>#N/A</v>
      </c>
      <c r="AD879" s="376" t="str">
        <f>CS_PID!AD879/VLOOKUP($B879,표2[#ALL],2)/HLOOKUP($A879,표1[#ALL],row(),false)</f>
        <v>#N/A</v>
      </c>
      <c r="AE879" s="376" t="str">
        <f>CS_PID!AE879/VLOOKUP($B879,표2[#ALL],2)/HLOOKUP($A879,표1[#ALL],row(),false)</f>
        <v>#N/A</v>
      </c>
      <c r="AF879" s="376" t="str">
        <f>CS_PID!AF879/VLOOKUP($B879,표2[#ALL],2)/HLOOKUP($A879,표1[#ALL],row(),false)</f>
        <v>#N/A</v>
      </c>
      <c r="AG879" s="376" t="str">
        <f>CS_PID!AG879/VLOOKUP($B879,표2[#ALL],2)/HLOOKUP($A879,표1[#ALL],row(),false)</f>
        <v>#N/A</v>
      </c>
      <c r="AH879" s="376" t="str">
        <f>CS_PID!AH879/VLOOKUP($B879,표2[#ALL],2)/HLOOKUP($A879,표1[#ALL],row(),false)</f>
        <v>#N/A</v>
      </c>
      <c r="AI879" s="376" t="str">
        <f>CS_PID!AI879/VLOOKUP($B879,표2[#ALL],2)/HLOOKUP($A879,표1[#ALL],row(),false)</f>
        <v>#N/A</v>
      </c>
      <c r="AJ879" s="376" t="str">
        <f>CS_PID!AJ879/VLOOKUP($B879,표2[#ALL],2)/HLOOKUP($A879,표1[#ALL],row(),false)</f>
        <v>#N/A</v>
      </c>
      <c r="AK879" s="376" t="str">
        <f>CS_PID!AK879/VLOOKUP($B879,표2[#ALL],2)/HLOOKUP($A879,표1[#ALL],row(),false)</f>
        <v>#N/A</v>
      </c>
      <c r="AL879" s="376" t="str">
        <f>CS_PID!AL879/VLOOKUP($B879,표2[#ALL],2)/HLOOKUP($A879,표1[#ALL],row(),false)</f>
        <v>#N/A</v>
      </c>
      <c r="AM879" s="376" t="str">
        <f>CS_PID!AM879/VLOOKUP($B879,표2[#ALL],2)/HLOOKUP($A879,표1[#ALL],row(),false)</f>
        <v>#N/A</v>
      </c>
      <c r="AN879" s="376" t="str">
        <f>CS_PID!AN879/VLOOKUP($B879,표2[#ALL],2)/HLOOKUP($A879,표1[#ALL],row(),false)</f>
        <v>#N/A</v>
      </c>
      <c r="AO879" s="376" t="str">
        <f>CS_PID!AO879/VLOOKUP($B879,표2[#ALL],2)/HLOOKUP($A879,표1[#ALL],row(),false)</f>
        <v>#N/A</v>
      </c>
      <c r="AP879" s="376" t="str">
        <f>CS_PID!AP879/VLOOKUP($B879,표2[#ALL],2)/HLOOKUP($A879,표1[#ALL],row(),false)</f>
        <v>#N/A</v>
      </c>
      <c r="AQ879" s="376" t="str">
        <f>CS_PID!AQ879/VLOOKUP($B879,표2[#ALL],2)/HLOOKUP($A879,표1[#ALL],row(),false)</f>
        <v>#N/A</v>
      </c>
      <c r="AR879" s="376" t="str">
        <f>CS_PID!AR879/VLOOKUP($B879,표2[#ALL],2)/HLOOKUP($A879,표1[#ALL],row(),false)</f>
        <v>#N/A</v>
      </c>
      <c r="AS879" s="377" t="str">
        <f>CS_PID!AS879/VLOOKUP($B879,표2[#ALL],2)/HLOOKUP($A879,표1[#ALL],row(),false)</f>
        <v>#N/A</v>
      </c>
    </row>
    <row r="880">
      <c r="A880" s="370"/>
      <c r="B880" s="371"/>
      <c r="C880" s="372" t="str">
        <f>CS_PID!C880/VLOOKUP($B880,표2[#ALL],2)</f>
        <v>#N/A</v>
      </c>
      <c r="D880" s="372" t="str">
        <f>CS_PID!D880/VLOOKUP($B880,표2[#ALL],2)</f>
        <v>#N/A</v>
      </c>
      <c r="E880" s="372" t="str">
        <f>CS_PID!E880/VLOOKUP($B880,표2[#ALL],2)</f>
        <v>#N/A</v>
      </c>
      <c r="F880" s="372" t="str">
        <f>CS_PID!F880/VLOOKUP($B880,표2[#ALL],2)</f>
        <v>#N/A</v>
      </c>
      <c r="G880" s="372" t="str">
        <f>CS_PID!G880/VLOOKUP($B880,표2[#ALL],2)</f>
        <v>#N/A</v>
      </c>
      <c r="H880" s="372" t="str">
        <f>CS_PID!H880/VLOOKUP($B880,표2[#ALL],2)/HLOOKUP($A880,표1[#ALL],row(),false)</f>
        <v>#N/A</v>
      </c>
      <c r="I880" s="372" t="str">
        <f>CS_PID!I880/VLOOKUP($B880,표2[#ALL],2)/HLOOKUP($A880,표1[#ALL],row(),false)</f>
        <v>#N/A</v>
      </c>
      <c r="J880" s="372" t="str">
        <f>CS_PID!J880/VLOOKUP($B880,표2[#ALL],2)/HLOOKUP($A880,표1[#ALL],row(),false)</f>
        <v>#N/A</v>
      </c>
      <c r="K880" s="372" t="str">
        <f>CS_PID!K880/VLOOKUP($B880,표2[#ALL],2)/HLOOKUP($A880,표1[#ALL],row(),false)</f>
        <v>#N/A</v>
      </c>
      <c r="L880" s="372" t="str">
        <f>CS_PID!L880/VLOOKUP($B880,표2[#ALL],2)/HLOOKUP($A880,표1[#ALL],row(),false)</f>
        <v>#N/A</v>
      </c>
      <c r="M880" s="372" t="str">
        <f>CS_PID!M880/VLOOKUP($B880,표2[#ALL],2)/HLOOKUP($A880,표1[#ALL],row(),false)</f>
        <v>#N/A</v>
      </c>
      <c r="N880" s="372" t="str">
        <f>CS_PID!N880/VLOOKUP($B880,표2[#ALL],2)/HLOOKUP($A880,표1[#ALL],row(),false)</f>
        <v>#N/A</v>
      </c>
      <c r="O880" s="372" t="str">
        <f>CS_PID!O880/VLOOKUP($B880,표2[#ALL],2)/HLOOKUP($A880,표1[#ALL],row(),false)</f>
        <v>#N/A</v>
      </c>
      <c r="P880" s="372" t="str">
        <f>CS_PID!P880/VLOOKUP($B880,표2[#ALL],2)/HLOOKUP($A880,표1[#ALL],row(),false)</f>
        <v>#N/A</v>
      </c>
      <c r="Q880" s="372" t="str">
        <f>CS_PID!Q880/VLOOKUP($B880,표2[#ALL],2)/HLOOKUP($A880,표1[#ALL],row(),false)</f>
        <v>#N/A</v>
      </c>
      <c r="R880" s="372" t="str">
        <f>CS_PID!R880/VLOOKUP($B880,표2[#ALL],2)/HLOOKUP($A880,표1[#ALL],row(),false)</f>
        <v>#N/A</v>
      </c>
      <c r="S880" s="372" t="str">
        <f>CS_PID!S880/VLOOKUP($B880,표2[#ALL],2)/HLOOKUP($A880,표1[#ALL],row(),false)</f>
        <v>#N/A</v>
      </c>
      <c r="T880" s="372" t="str">
        <f>CS_PID!T880/VLOOKUP($B880,표2[#ALL],2)/HLOOKUP($A880,표1[#ALL],row(),false)</f>
        <v>#N/A</v>
      </c>
      <c r="U880" s="372" t="str">
        <f>CS_PID!U880/VLOOKUP($B880,표2[#ALL],2)/HLOOKUP($A880,표1[#ALL],row(),false)</f>
        <v>#N/A</v>
      </c>
      <c r="V880" s="372" t="str">
        <f>CS_PID!V880/VLOOKUP($B880,표2[#ALL],2)/HLOOKUP($A880,표1[#ALL],row(),false)</f>
        <v>#N/A</v>
      </c>
      <c r="W880" s="372" t="str">
        <f>CS_PID!W880/VLOOKUP($B880,표2[#ALL],2)/HLOOKUP($A880,표1[#ALL],row(),false)</f>
        <v>#N/A</v>
      </c>
      <c r="X880" s="372" t="str">
        <f>CS_PID!X880/VLOOKUP($B880,표2[#ALL],2)/HLOOKUP($A880,표1[#ALL],row(),false)</f>
        <v>#N/A</v>
      </c>
      <c r="Y880" s="372" t="str">
        <f>CS_PID!Y880/VLOOKUP($B880,표2[#ALL],2)/HLOOKUP($A880,표1[#ALL],row(),false)</f>
        <v>#N/A</v>
      </c>
      <c r="Z880" s="372" t="str">
        <f>CS_PID!Z880/VLOOKUP($B880,표2[#ALL],2)/HLOOKUP($A880,표1[#ALL],row(),false)</f>
        <v>#N/A</v>
      </c>
      <c r="AA880" s="372" t="str">
        <f>CS_PID!AA880/VLOOKUP($B880,표2[#ALL],2)/HLOOKUP($A880,표1[#ALL],row(),false)</f>
        <v>#N/A</v>
      </c>
      <c r="AB880" s="372" t="str">
        <f>CS_PID!AB880/VLOOKUP($B880,표2[#ALL],2)/HLOOKUP($A880,표1[#ALL],row(),false)</f>
        <v>#N/A</v>
      </c>
      <c r="AC880" s="372" t="str">
        <f>CS_PID!AC880/VLOOKUP($B880,표2[#ALL],2)/HLOOKUP($A880,표1[#ALL],row(),false)</f>
        <v>#N/A</v>
      </c>
      <c r="AD880" s="372" t="str">
        <f>CS_PID!AD880/VLOOKUP($B880,표2[#ALL],2)/HLOOKUP($A880,표1[#ALL],row(),false)</f>
        <v>#N/A</v>
      </c>
      <c r="AE880" s="372" t="str">
        <f>CS_PID!AE880/VLOOKUP($B880,표2[#ALL],2)/HLOOKUP($A880,표1[#ALL],row(),false)</f>
        <v>#N/A</v>
      </c>
      <c r="AF880" s="372" t="str">
        <f>CS_PID!AF880/VLOOKUP($B880,표2[#ALL],2)/HLOOKUP($A880,표1[#ALL],row(),false)</f>
        <v>#N/A</v>
      </c>
      <c r="AG880" s="372" t="str">
        <f>CS_PID!AG880/VLOOKUP($B880,표2[#ALL],2)/HLOOKUP($A880,표1[#ALL],row(),false)</f>
        <v>#N/A</v>
      </c>
      <c r="AH880" s="372" t="str">
        <f>CS_PID!AH880/VLOOKUP($B880,표2[#ALL],2)/HLOOKUP($A880,표1[#ALL],row(),false)</f>
        <v>#N/A</v>
      </c>
      <c r="AI880" s="372" t="str">
        <f>CS_PID!AI880/VLOOKUP($B880,표2[#ALL],2)/HLOOKUP($A880,표1[#ALL],row(),false)</f>
        <v>#N/A</v>
      </c>
      <c r="AJ880" s="372" t="str">
        <f>CS_PID!AJ880/VLOOKUP($B880,표2[#ALL],2)/HLOOKUP($A880,표1[#ALL],row(),false)</f>
        <v>#N/A</v>
      </c>
      <c r="AK880" s="372" t="str">
        <f>CS_PID!AK880/VLOOKUP($B880,표2[#ALL],2)/HLOOKUP($A880,표1[#ALL],row(),false)</f>
        <v>#N/A</v>
      </c>
      <c r="AL880" s="372" t="str">
        <f>CS_PID!AL880/VLOOKUP($B880,표2[#ALL],2)/HLOOKUP($A880,표1[#ALL],row(),false)</f>
        <v>#N/A</v>
      </c>
      <c r="AM880" s="372" t="str">
        <f>CS_PID!AM880/VLOOKUP($B880,표2[#ALL],2)/HLOOKUP($A880,표1[#ALL],row(),false)</f>
        <v>#N/A</v>
      </c>
      <c r="AN880" s="372" t="str">
        <f>CS_PID!AN880/VLOOKUP($B880,표2[#ALL],2)/HLOOKUP($A880,표1[#ALL],row(),false)</f>
        <v>#N/A</v>
      </c>
      <c r="AO880" s="372" t="str">
        <f>CS_PID!AO880/VLOOKUP($B880,표2[#ALL],2)/HLOOKUP($A880,표1[#ALL],row(),false)</f>
        <v>#N/A</v>
      </c>
      <c r="AP880" s="372" t="str">
        <f>CS_PID!AP880/VLOOKUP($B880,표2[#ALL],2)/HLOOKUP($A880,표1[#ALL],row(),false)</f>
        <v>#N/A</v>
      </c>
      <c r="AQ880" s="372" t="str">
        <f>CS_PID!AQ880/VLOOKUP($B880,표2[#ALL],2)/HLOOKUP($A880,표1[#ALL],row(),false)</f>
        <v>#N/A</v>
      </c>
      <c r="AR880" s="372" t="str">
        <f>CS_PID!AR880/VLOOKUP($B880,표2[#ALL],2)/HLOOKUP($A880,표1[#ALL],row(),false)</f>
        <v>#N/A</v>
      </c>
      <c r="AS880" s="373" t="str">
        <f>CS_PID!AS880/VLOOKUP($B880,표2[#ALL],2)/HLOOKUP($A880,표1[#ALL],row(),false)</f>
        <v>#N/A</v>
      </c>
    </row>
    <row r="881">
      <c r="A881" s="374"/>
      <c r="B881" s="375"/>
      <c r="C881" s="376" t="str">
        <f>CS_PID!C881/VLOOKUP($B881,표2[#ALL],2)</f>
        <v>#N/A</v>
      </c>
      <c r="D881" s="376" t="str">
        <f>CS_PID!D881/VLOOKUP($B881,표2[#ALL],2)</f>
        <v>#N/A</v>
      </c>
      <c r="E881" s="376" t="str">
        <f>CS_PID!E881/VLOOKUP($B881,표2[#ALL],2)</f>
        <v>#N/A</v>
      </c>
      <c r="F881" s="376" t="str">
        <f>CS_PID!F881/VLOOKUP($B881,표2[#ALL],2)</f>
        <v>#N/A</v>
      </c>
      <c r="G881" s="376" t="str">
        <f>CS_PID!G881/VLOOKUP($B881,표2[#ALL],2)</f>
        <v>#N/A</v>
      </c>
      <c r="H881" s="376" t="str">
        <f>CS_PID!H881/VLOOKUP($B881,표2[#ALL],2)/HLOOKUP($A881,표1[#ALL],row(),false)</f>
        <v>#N/A</v>
      </c>
      <c r="I881" s="376" t="str">
        <f>CS_PID!I881/VLOOKUP($B881,표2[#ALL],2)/HLOOKUP($A881,표1[#ALL],row(),false)</f>
        <v>#N/A</v>
      </c>
      <c r="J881" s="376" t="str">
        <f>CS_PID!J881/VLOOKUP($B881,표2[#ALL],2)/HLOOKUP($A881,표1[#ALL],row(),false)</f>
        <v>#N/A</v>
      </c>
      <c r="K881" s="376" t="str">
        <f>CS_PID!K881/VLOOKUP($B881,표2[#ALL],2)/HLOOKUP($A881,표1[#ALL],row(),false)</f>
        <v>#N/A</v>
      </c>
      <c r="L881" s="376" t="str">
        <f>CS_PID!L881/VLOOKUP($B881,표2[#ALL],2)/HLOOKUP($A881,표1[#ALL],row(),false)</f>
        <v>#N/A</v>
      </c>
      <c r="M881" s="376" t="str">
        <f>CS_PID!M881/VLOOKUP($B881,표2[#ALL],2)/HLOOKUP($A881,표1[#ALL],row(),false)</f>
        <v>#N/A</v>
      </c>
      <c r="N881" s="376" t="str">
        <f>CS_PID!N881/VLOOKUP($B881,표2[#ALL],2)/HLOOKUP($A881,표1[#ALL],row(),false)</f>
        <v>#N/A</v>
      </c>
      <c r="O881" s="376" t="str">
        <f>CS_PID!O881/VLOOKUP($B881,표2[#ALL],2)/HLOOKUP($A881,표1[#ALL],row(),false)</f>
        <v>#N/A</v>
      </c>
      <c r="P881" s="376" t="str">
        <f>CS_PID!P881/VLOOKUP($B881,표2[#ALL],2)/HLOOKUP($A881,표1[#ALL],row(),false)</f>
        <v>#N/A</v>
      </c>
      <c r="Q881" s="376" t="str">
        <f>CS_PID!Q881/VLOOKUP($B881,표2[#ALL],2)/HLOOKUP($A881,표1[#ALL],row(),false)</f>
        <v>#N/A</v>
      </c>
      <c r="R881" s="376" t="str">
        <f>CS_PID!R881/VLOOKUP($B881,표2[#ALL],2)/HLOOKUP($A881,표1[#ALL],row(),false)</f>
        <v>#N/A</v>
      </c>
      <c r="S881" s="376" t="str">
        <f>CS_PID!S881/VLOOKUP($B881,표2[#ALL],2)/HLOOKUP($A881,표1[#ALL],row(),false)</f>
        <v>#N/A</v>
      </c>
      <c r="T881" s="376" t="str">
        <f>CS_PID!T881/VLOOKUP($B881,표2[#ALL],2)/HLOOKUP($A881,표1[#ALL],row(),false)</f>
        <v>#N/A</v>
      </c>
      <c r="U881" s="376" t="str">
        <f>CS_PID!U881/VLOOKUP($B881,표2[#ALL],2)/HLOOKUP($A881,표1[#ALL],row(),false)</f>
        <v>#N/A</v>
      </c>
      <c r="V881" s="376" t="str">
        <f>CS_PID!V881/VLOOKUP($B881,표2[#ALL],2)/HLOOKUP($A881,표1[#ALL],row(),false)</f>
        <v>#N/A</v>
      </c>
      <c r="W881" s="376" t="str">
        <f>CS_PID!W881/VLOOKUP($B881,표2[#ALL],2)/HLOOKUP($A881,표1[#ALL],row(),false)</f>
        <v>#N/A</v>
      </c>
      <c r="X881" s="376" t="str">
        <f>CS_PID!X881/VLOOKUP($B881,표2[#ALL],2)/HLOOKUP($A881,표1[#ALL],row(),false)</f>
        <v>#N/A</v>
      </c>
      <c r="Y881" s="376" t="str">
        <f>CS_PID!Y881/VLOOKUP($B881,표2[#ALL],2)/HLOOKUP($A881,표1[#ALL],row(),false)</f>
        <v>#N/A</v>
      </c>
      <c r="Z881" s="376" t="str">
        <f>CS_PID!Z881/VLOOKUP($B881,표2[#ALL],2)/HLOOKUP($A881,표1[#ALL],row(),false)</f>
        <v>#N/A</v>
      </c>
      <c r="AA881" s="376" t="str">
        <f>CS_PID!AA881/VLOOKUP($B881,표2[#ALL],2)/HLOOKUP($A881,표1[#ALL],row(),false)</f>
        <v>#N/A</v>
      </c>
      <c r="AB881" s="376" t="str">
        <f>CS_PID!AB881/VLOOKUP($B881,표2[#ALL],2)/HLOOKUP($A881,표1[#ALL],row(),false)</f>
        <v>#N/A</v>
      </c>
      <c r="AC881" s="376" t="str">
        <f>CS_PID!AC881/VLOOKUP($B881,표2[#ALL],2)/HLOOKUP($A881,표1[#ALL],row(),false)</f>
        <v>#N/A</v>
      </c>
      <c r="AD881" s="376" t="str">
        <f>CS_PID!AD881/VLOOKUP($B881,표2[#ALL],2)/HLOOKUP($A881,표1[#ALL],row(),false)</f>
        <v>#N/A</v>
      </c>
      <c r="AE881" s="376" t="str">
        <f>CS_PID!AE881/VLOOKUP($B881,표2[#ALL],2)/HLOOKUP($A881,표1[#ALL],row(),false)</f>
        <v>#N/A</v>
      </c>
      <c r="AF881" s="376" t="str">
        <f>CS_PID!AF881/VLOOKUP($B881,표2[#ALL],2)/HLOOKUP($A881,표1[#ALL],row(),false)</f>
        <v>#N/A</v>
      </c>
      <c r="AG881" s="376" t="str">
        <f>CS_PID!AG881/VLOOKUP($B881,표2[#ALL],2)/HLOOKUP($A881,표1[#ALL],row(),false)</f>
        <v>#N/A</v>
      </c>
      <c r="AH881" s="376" t="str">
        <f>CS_PID!AH881/VLOOKUP($B881,표2[#ALL],2)/HLOOKUP($A881,표1[#ALL],row(),false)</f>
        <v>#N/A</v>
      </c>
      <c r="AI881" s="376" t="str">
        <f>CS_PID!AI881/VLOOKUP($B881,표2[#ALL],2)/HLOOKUP($A881,표1[#ALL],row(),false)</f>
        <v>#N/A</v>
      </c>
      <c r="AJ881" s="376" t="str">
        <f>CS_PID!AJ881/VLOOKUP($B881,표2[#ALL],2)/HLOOKUP($A881,표1[#ALL],row(),false)</f>
        <v>#N/A</v>
      </c>
      <c r="AK881" s="376" t="str">
        <f>CS_PID!AK881/VLOOKUP($B881,표2[#ALL],2)/HLOOKUP($A881,표1[#ALL],row(),false)</f>
        <v>#N/A</v>
      </c>
      <c r="AL881" s="376" t="str">
        <f>CS_PID!AL881/VLOOKUP($B881,표2[#ALL],2)/HLOOKUP($A881,표1[#ALL],row(),false)</f>
        <v>#N/A</v>
      </c>
      <c r="AM881" s="376" t="str">
        <f>CS_PID!AM881/VLOOKUP($B881,표2[#ALL],2)/HLOOKUP($A881,표1[#ALL],row(),false)</f>
        <v>#N/A</v>
      </c>
      <c r="AN881" s="376" t="str">
        <f>CS_PID!AN881/VLOOKUP($B881,표2[#ALL],2)/HLOOKUP($A881,표1[#ALL],row(),false)</f>
        <v>#N/A</v>
      </c>
      <c r="AO881" s="376" t="str">
        <f>CS_PID!AO881/VLOOKUP($B881,표2[#ALL],2)/HLOOKUP($A881,표1[#ALL],row(),false)</f>
        <v>#N/A</v>
      </c>
      <c r="AP881" s="376" t="str">
        <f>CS_PID!AP881/VLOOKUP($B881,표2[#ALL],2)/HLOOKUP($A881,표1[#ALL],row(),false)</f>
        <v>#N/A</v>
      </c>
      <c r="AQ881" s="376" t="str">
        <f>CS_PID!AQ881/VLOOKUP($B881,표2[#ALL],2)/HLOOKUP($A881,표1[#ALL],row(),false)</f>
        <v>#N/A</v>
      </c>
      <c r="AR881" s="376" t="str">
        <f>CS_PID!AR881/VLOOKUP($B881,표2[#ALL],2)/HLOOKUP($A881,표1[#ALL],row(),false)</f>
        <v>#N/A</v>
      </c>
      <c r="AS881" s="377" t="str">
        <f>CS_PID!AS881/VLOOKUP($B881,표2[#ALL],2)/HLOOKUP($A881,표1[#ALL],row(),false)</f>
        <v>#N/A</v>
      </c>
    </row>
    <row r="882">
      <c r="A882" s="370"/>
      <c r="B882" s="371"/>
      <c r="C882" s="372" t="str">
        <f>CS_PID!C882/VLOOKUP($B882,표2[#ALL],2)</f>
        <v>#N/A</v>
      </c>
      <c r="D882" s="372" t="str">
        <f>CS_PID!D882/VLOOKUP($B882,표2[#ALL],2)</f>
        <v>#N/A</v>
      </c>
      <c r="E882" s="372" t="str">
        <f>CS_PID!E882/VLOOKUP($B882,표2[#ALL],2)</f>
        <v>#N/A</v>
      </c>
      <c r="F882" s="372" t="str">
        <f>CS_PID!F882/VLOOKUP($B882,표2[#ALL],2)</f>
        <v>#N/A</v>
      </c>
      <c r="G882" s="372" t="str">
        <f>CS_PID!G882/VLOOKUP($B882,표2[#ALL],2)</f>
        <v>#N/A</v>
      </c>
      <c r="H882" s="372" t="str">
        <f>CS_PID!H882/VLOOKUP($B882,표2[#ALL],2)/HLOOKUP($A882,표1[#ALL],row(),false)</f>
        <v>#N/A</v>
      </c>
      <c r="I882" s="372" t="str">
        <f>CS_PID!I882/VLOOKUP($B882,표2[#ALL],2)/HLOOKUP($A882,표1[#ALL],row(),false)</f>
        <v>#N/A</v>
      </c>
      <c r="J882" s="372" t="str">
        <f>CS_PID!J882/VLOOKUP($B882,표2[#ALL],2)/HLOOKUP($A882,표1[#ALL],row(),false)</f>
        <v>#N/A</v>
      </c>
      <c r="K882" s="372" t="str">
        <f>CS_PID!K882/VLOOKUP($B882,표2[#ALL],2)/HLOOKUP($A882,표1[#ALL],row(),false)</f>
        <v>#N/A</v>
      </c>
      <c r="L882" s="372" t="str">
        <f>CS_PID!L882/VLOOKUP($B882,표2[#ALL],2)/HLOOKUP($A882,표1[#ALL],row(),false)</f>
        <v>#N/A</v>
      </c>
      <c r="M882" s="372" t="str">
        <f>CS_PID!M882/VLOOKUP($B882,표2[#ALL],2)/HLOOKUP($A882,표1[#ALL],row(),false)</f>
        <v>#N/A</v>
      </c>
      <c r="N882" s="372" t="str">
        <f>CS_PID!N882/VLOOKUP($B882,표2[#ALL],2)/HLOOKUP($A882,표1[#ALL],row(),false)</f>
        <v>#N/A</v>
      </c>
      <c r="O882" s="372" t="str">
        <f>CS_PID!O882/VLOOKUP($B882,표2[#ALL],2)/HLOOKUP($A882,표1[#ALL],row(),false)</f>
        <v>#N/A</v>
      </c>
      <c r="P882" s="372" t="str">
        <f>CS_PID!P882/VLOOKUP($B882,표2[#ALL],2)/HLOOKUP($A882,표1[#ALL],row(),false)</f>
        <v>#N/A</v>
      </c>
      <c r="Q882" s="372" t="str">
        <f>CS_PID!Q882/VLOOKUP($B882,표2[#ALL],2)/HLOOKUP($A882,표1[#ALL],row(),false)</f>
        <v>#N/A</v>
      </c>
      <c r="R882" s="372" t="str">
        <f>CS_PID!R882/VLOOKUP($B882,표2[#ALL],2)/HLOOKUP($A882,표1[#ALL],row(),false)</f>
        <v>#N/A</v>
      </c>
      <c r="S882" s="372" t="str">
        <f>CS_PID!S882/VLOOKUP($B882,표2[#ALL],2)/HLOOKUP($A882,표1[#ALL],row(),false)</f>
        <v>#N/A</v>
      </c>
      <c r="T882" s="372" t="str">
        <f>CS_PID!T882/VLOOKUP($B882,표2[#ALL],2)/HLOOKUP($A882,표1[#ALL],row(),false)</f>
        <v>#N/A</v>
      </c>
      <c r="U882" s="372" t="str">
        <f>CS_PID!U882/VLOOKUP($B882,표2[#ALL],2)/HLOOKUP($A882,표1[#ALL],row(),false)</f>
        <v>#N/A</v>
      </c>
      <c r="V882" s="372" t="str">
        <f>CS_PID!V882/VLOOKUP($B882,표2[#ALL],2)/HLOOKUP($A882,표1[#ALL],row(),false)</f>
        <v>#N/A</v>
      </c>
      <c r="W882" s="372" t="str">
        <f>CS_PID!W882/VLOOKUP($B882,표2[#ALL],2)/HLOOKUP($A882,표1[#ALL],row(),false)</f>
        <v>#N/A</v>
      </c>
      <c r="X882" s="372" t="str">
        <f>CS_PID!X882/VLOOKUP($B882,표2[#ALL],2)/HLOOKUP($A882,표1[#ALL],row(),false)</f>
        <v>#N/A</v>
      </c>
      <c r="Y882" s="372" t="str">
        <f>CS_PID!Y882/VLOOKUP($B882,표2[#ALL],2)/HLOOKUP($A882,표1[#ALL],row(),false)</f>
        <v>#N/A</v>
      </c>
      <c r="Z882" s="372" t="str">
        <f>CS_PID!Z882/VLOOKUP($B882,표2[#ALL],2)/HLOOKUP($A882,표1[#ALL],row(),false)</f>
        <v>#N/A</v>
      </c>
      <c r="AA882" s="372" t="str">
        <f>CS_PID!AA882/VLOOKUP($B882,표2[#ALL],2)/HLOOKUP($A882,표1[#ALL],row(),false)</f>
        <v>#N/A</v>
      </c>
      <c r="AB882" s="372" t="str">
        <f>CS_PID!AB882/VLOOKUP($B882,표2[#ALL],2)/HLOOKUP($A882,표1[#ALL],row(),false)</f>
        <v>#N/A</v>
      </c>
      <c r="AC882" s="372" t="str">
        <f>CS_PID!AC882/VLOOKUP($B882,표2[#ALL],2)/HLOOKUP($A882,표1[#ALL],row(),false)</f>
        <v>#N/A</v>
      </c>
      <c r="AD882" s="372" t="str">
        <f>CS_PID!AD882/VLOOKUP($B882,표2[#ALL],2)/HLOOKUP($A882,표1[#ALL],row(),false)</f>
        <v>#N/A</v>
      </c>
      <c r="AE882" s="372" t="str">
        <f>CS_PID!AE882/VLOOKUP($B882,표2[#ALL],2)/HLOOKUP($A882,표1[#ALL],row(),false)</f>
        <v>#N/A</v>
      </c>
      <c r="AF882" s="372" t="str">
        <f>CS_PID!AF882/VLOOKUP($B882,표2[#ALL],2)/HLOOKUP($A882,표1[#ALL],row(),false)</f>
        <v>#N/A</v>
      </c>
      <c r="AG882" s="372" t="str">
        <f>CS_PID!AG882/VLOOKUP($B882,표2[#ALL],2)/HLOOKUP($A882,표1[#ALL],row(),false)</f>
        <v>#N/A</v>
      </c>
      <c r="AH882" s="372" t="str">
        <f>CS_PID!AH882/VLOOKUP($B882,표2[#ALL],2)/HLOOKUP($A882,표1[#ALL],row(),false)</f>
        <v>#N/A</v>
      </c>
      <c r="AI882" s="372" t="str">
        <f>CS_PID!AI882/VLOOKUP($B882,표2[#ALL],2)/HLOOKUP($A882,표1[#ALL],row(),false)</f>
        <v>#N/A</v>
      </c>
      <c r="AJ882" s="372" t="str">
        <f>CS_PID!AJ882/VLOOKUP($B882,표2[#ALL],2)/HLOOKUP($A882,표1[#ALL],row(),false)</f>
        <v>#N/A</v>
      </c>
      <c r="AK882" s="372" t="str">
        <f>CS_PID!AK882/VLOOKUP($B882,표2[#ALL],2)/HLOOKUP($A882,표1[#ALL],row(),false)</f>
        <v>#N/A</v>
      </c>
      <c r="AL882" s="372" t="str">
        <f>CS_PID!AL882/VLOOKUP($B882,표2[#ALL],2)/HLOOKUP($A882,표1[#ALL],row(),false)</f>
        <v>#N/A</v>
      </c>
      <c r="AM882" s="372" t="str">
        <f>CS_PID!AM882/VLOOKUP($B882,표2[#ALL],2)/HLOOKUP($A882,표1[#ALL],row(),false)</f>
        <v>#N/A</v>
      </c>
      <c r="AN882" s="372" t="str">
        <f>CS_PID!AN882/VLOOKUP($B882,표2[#ALL],2)/HLOOKUP($A882,표1[#ALL],row(),false)</f>
        <v>#N/A</v>
      </c>
      <c r="AO882" s="372" t="str">
        <f>CS_PID!AO882/VLOOKUP($B882,표2[#ALL],2)/HLOOKUP($A882,표1[#ALL],row(),false)</f>
        <v>#N/A</v>
      </c>
      <c r="AP882" s="372" t="str">
        <f>CS_PID!AP882/VLOOKUP($B882,표2[#ALL],2)/HLOOKUP($A882,표1[#ALL],row(),false)</f>
        <v>#N/A</v>
      </c>
      <c r="AQ882" s="372" t="str">
        <f>CS_PID!AQ882/VLOOKUP($B882,표2[#ALL],2)/HLOOKUP($A882,표1[#ALL],row(),false)</f>
        <v>#N/A</v>
      </c>
      <c r="AR882" s="372" t="str">
        <f>CS_PID!AR882/VLOOKUP($B882,표2[#ALL],2)/HLOOKUP($A882,표1[#ALL],row(),false)</f>
        <v>#N/A</v>
      </c>
      <c r="AS882" s="373" t="str">
        <f>CS_PID!AS882/VLOOKUP($B882,표2[#ALL],2)/HLOOKUP($A882,표1[#ALL],row(),false)</f>
        <v>#N/A</v>
      </c>
    </row>
    <row r="883">
      <c r="A883" s="374"/>
      <c r="B883" s="375"/>
      <c r="C883" s="376" t="str">
        <f>CS_PID!C883/VLOOKUP($B883,표2[#ALL],2)</f>
        <v>#N/A</v>
      </c>
      <c r="D883" s="376" t="str">
        <f>CS_PID!D883/VLOOKUP($B883,표2[#ALL],2)</f>
        <v>#N/A</v>
      </c>
      <c r="E883" s="376" t="str">
        <f>CS_PID!E883/VLOOKUP($B883,표2[#ALL],2)</f>
        <v>#N/A</v>
      </c>
      <c r="F883" s="376" t="str">
        <f>CS_PID!F883/VLOOKUP($B883,표2[#ALL],2)</f>
        <v>#N/A</v>
      </c>
      <c r="G883" s="376" t="str">
        <f>CS_PID!G883/VLOOKUP($B883,표2[#ALL],2)</f>
        <v>#N/A</v>
      </c>
      <c r="H883" s="376" t="str">
        <f>CS_PID!H883/VLOOKUP($B883,표2[#ALL],2)/HLOOKUP($A883,표1[#ALL],row(),false)</f>
        <v>#N/A</v>
      </c>
      <c r="I883" s="376" t="str">
        <f>CS_PID!I883/VLOOKUP($B883,표2[#ALL],2)/HLOOKUP($A883,표1[#ALL],row(),false)</f>
        <v>#N/A</v>
      </c>
      <c r="J883" s="376" t="str">
        <f>CS_PID!J883/VLOOKUP($B883,표2[#ALL],2)/HLOOKUP($A883,표1[#ALL],row(),false)</f>
        <v>#N/A</v>
      </c>
      <c r="K883" s="376" t="str">
        <f>CS_PID!K883/VLOOKUP($B883,표2[#ALL],2)/HLOOKUP($A883,표1[#ALL],row(),false)</f>
        <v>#N/A</v>
      </c>
      <c r="L883" s="376" t="str">
        <f>CS_PID!L883/VLOOKUP($B883,표2[#ALL],2)/HLOOKUP($A883,표1[#ALL],row(),false)</f>
        <v>#N/A</v>
      </c>
      <c r="M883" s="376" t="str">
        <f>CS_PID!M883/VLOOKUP($B883,표2[#ALL],2)/HLOOKUP($A883,표1[#ALL],row(),false)</f>
        <v>#N/A</v>
      </c>
      <c r="N883" s="376" t="str">
        <f>CS_PID!N883/VLOOKUP($B883,표2[#ALL],2)/HLOOKUP($A883,표1[#ALL],row(),false)</f>
        <v>#N/A</v>
      </c>
      <c r="O883" s="376" t="str">
        <f>CS_PID!O883/VLOOKUP($B883,표2[#ALL],2)/HLOOKUP($A883,표1[#ALL],row(),false)</f>
        <v>#N/A</v>
      </c>
      <c r="P883" s="376" t="str">
        <f>CS_PID!P883/VLOOKUP($B883,표2[#ALL],2)/HLOOKUP($A883,표1[#ALL],row(),false)</f>
        <v>#N/A</v>
      </c>
      <c r="Q883" s="376" t="str">
        <f>CS_PID!Q883/VLOOKUP($B883,표2[#ALL],2)/HLOOKUP($A883,표1[#ALL],row(),false)</f>
        <v>#N/A</v>
      </c>
      <c r="R883" s="376" t="str">
        <f>CS_PID!R883/VLOOKUP($B883,표2[#ALL],2)/HLOOKUP($A883,표1[#ALL],row(),false)</f>
        <v>#N/A</v>
      </c>
      <c r="S883" s="376" t="str">
        <f>CS_PID!S883/VLOOKUP($B883,표2[#ALL],2)/HLOOKUP($A883,표1[#ALL],row(),false)</f>
        <v>#N/A</v>
      </c>
      <c r="T883" s="376" t="str">
        <f>CS_PID!T883/VLOOKUP($B883,표2[#ALL],2)/HLOOKUP($A883,표1[#ALL],row(),false)</f>
        <v>#N/A</v>
      </c>
      <c r="U883" s="376" t="str">
        <f>CS_PID!U883/VLOOKUP($B883,표2[#ALL],2)/HLOOKUP($A883,표1[#ALL],row(),false)</f>
        <v>#N/A</v>
      </c>
      <c r="V883" s="376" t="str">
        <f>CS_PID!V883/VLOOKUP($B883,표2[#ALL],2)/HLOOKUP($A883,표1[#ALL],row(),false)</f>
        <v>#N/A</v>
      </c>
      <c r="W883" s="376" t="str">
        <f>CS_PID!W883/VLOOKUP($B883,표2[#ALL],2)/HLOOKUP($A883,표1[#ALL],row(),false)</f>
        <v>#N/A</v>
      </c>
      <c r="X883" s="376" t="str">
        <f>CS_PID!X883/VLOOKUP($B883,표2[#ALL],2)/HLOOKUP($A883,표1[#ALL],row(),false)</f>
        <v>#N/A</v>
      </c>
      <c r="Y883" s="376" t="str">
        <f>CS_PID!Y883/VLOOKUP($B883,표2[#ALL],2)/HLOOKUP($A883,표1[#ALL],row(),false)</f>
        <v>#N/A</v>
      </c>
      <c r="Z883" s="376" t="str">
        <f>CS_PID!Z883/VLOOKUP($B883,표2[#ALL],2)/HLOOKUP($A883,표1[#ALL],row(),false)</f>
        <v>#N/A</v>
      </c>
      <c r="AA883" s="376" t="str">
        <f>CS_PID!AA883/VLOOKUP($B883,표2[#ALL],2)/HLOOKUP($A883,표1[#ALL],row(),false)</f>
        <v>#N/A</v>
      </c>
      <c r="AB883" s="376" t="str">
        <f>CS_PID!AB883/VLOOKUP($B883,표2[#ALL],2)/HLOOKUP($A883,표1[#ALL],row(),false)</f>
        <v>#N/A</v>
      </c>
      <c r="AC883" s="376" t="str">
        <f>CS_PID!AC883/VLOOKUP($B883,표2[#ALL],2)/HLOOKUP($A883,표1[#ALL],row(),false)</f>
        <v>#N/A</v>
      </c>
      <c r="AD883" s="376" t="str">
        <f>CS_PID!AD883/VLOOKUP($B883,표2[#ALL],2)/HLOOKUP($A883,표1[#ALL],row(),false)</f>
        <v>#N/A</v>
      </c>
      <c r="AE883" s="376" t="str">
        <f>CS_PID!AE883/VLOOKUP($B883,표2[#ALL],2)/HLOOKUP($A883,표1[#ALL],row(),false)</f>
        <v>#N/A</v>
      </c>
      <c r="AF883" s="376" t="str">
        <f>CS_PID!AF883/VLOOKUP($B883,표2[#ALL],2)/HLOOKUP($A883,표1[#ALL],row(),false)</f>
        <v>#N/A</v>
      </c>
      <c r="AG883" s="376" t="str">
        <f>CS_PID!AG883/VLOOKUP($B883,표2[#ALL],2)/HLOOKUP($A883,표1[#ALL],row(),false)</f>
        <v>#N/A</v>
      </c>
      <c r="AH883" s="376" t="str">
        <f>CS_PID!AH883/VLOOKUP($B883,표2[#ALL],2)/HLOOKUP($A883,표1[#ALL],row(),false)</f>
        <v>#N/A</v>
      </c>
      <c r="AI883" s="376" t="str">
        <f>CS_PID!AI883/VLOOKUP($B883,표2[#ALL],2)/HLOOKUP($A883,표1[#ALL],row(),false)</f>
        <v>#N/A</v>
      </c>
      <c r="AJ883" s="376" t="str">
        <f>CS_PID!AJ883/VLOOKUP($B883,표2[#ALL],2)/HLOOKUP($A883,표1[#ALL],row(),false)</f>
        <v>#N/A</v>
      </c>
      <c r="AK883" s="376" t="str">
        <f>CS_PID!AK883/VLOOKUP($B883,표2[#ALL],2)/HLOOKUP($A883,표1[#ALL],row(),false)</f>
        <v>#N/A</v>
      </c>
      <c r="AL883" s="376" t="str">
        <f>CS_PID!AL883/VLOOKUP($B883,표2[#ALL],2)/HLOOKUP($A883,표1[#ALL],row(),false)</f>
        <v>#N/A</v>
      </c>
      <c r="AM883" s="376" t="str">
        <f>CS_PID!AM883/VLOOKUP($B883,표2[#ALL],2)/HLOOKUP($A883,표1[#ALL],row(),false)</f>
        <v>#N/A</v>
      </c>
      <c r="AN883" s="376" t="str">
        <f>CS_PID!AN883/VLOOKUP($B883,표2[#ALL],2)/HLOOKUP($A883,표1[#ALL],row(),false)</f>
        <v>#N/A</v>
      </c>
      <c r="AO883" s="376" t="str">
        <f>CS_PID!AO883/VLOOKUP($B883,표2[#ALL],2)/HLOOKUP($A883,표1[#ALL],row(),false)</f>
        <v>#N/A</v>
      </c>
      <c r="AP883" s="376" t="str">
        <f>CS_PID!AP883/VLOOKUP($B883,표2[#ALL],2)/HLOOKUP($A883,표1[#ALL],row(),false)</f>
        <v>#N/A</v>
      </c>
      <c r="AQ883" s="376" t="str">
        <f>CS_PID!AQ883/VLOOKUP($B883,표2[#ALL],2)/HLOOKUP($A883,표1[#ALL],row(),false)</f>
        <v>#N/A</v>
      </c>
      <c r="AR883" s="376" t="str">
        <f>CS_PID!AR883/VLOOKUP($B883,표2[#ALL],2)/HLOOKUP($A883,표1[#ALL],row(),false)</f>
        <v>#N/A</v>
      </c>
      <c r="AS883" s="377" t="str">
        <f>CS_PID!AS883/VLOOKUP($B883,표2[#ALL],2)/HLOOKUP($A883,표1[#ALL],row(),false)</f>
        <v>#N/A</v>
      </c>
    </row>
    <row r="884">
      <c r="A884" s="370"/>
      <c r="B884" s="371"/>
      <c r="C884" s="372" t="str">
        <f>CS_PID!C884/VLOOKUP($B884,표2[#ALL],2)</f>
        <v>#N/A</v>
      </c>
      <c r="D884" s="372" t="str">
        <f>CS_PID!D884/VLOOKUP($B884,표2[#ALL],2)</f>
        <v>#N/A</v>
      </c>
      <c r="E884" s="372" t="str">
        <f>CS_PID!E884/VLOOKUP($B884,표2[#ALL],2)</f>
        <v>#N/A</v>
      </c>
      <c r="F884" s="372" t="str">
        <f>CS_PID!F884/VLOOKUP($B884,표2[#ALL],2)</f>
        <v>#N/A</v>
      </c>
      <c r="G884" s="372" t="str">
        <f>CS_PID!G884/VLOOKUP($B884,표2[#ALL],2)</f>
        <v>#N/A</v>
      </c>
      <c r="H884" s="372" t="str">
        <f>CS_PID!H884/VLOOKUP($B884,표2[#ALL],2)/HLOOKUP($A884,표1[#ALL],row(),false)</f>
        <v>#N/A</v>
      </c>
      <c r="I884" s="372" t="str">
        <f>CS_PID!I884/VLOOKUP($B884,표2[#ALL],2)/HLOOKUP($A884,표1[#ALL],row(),false)</f>
        <v>#N/A</v>
      </c>
      <c r="J884" s="372" t="str">
        <f>CS_PID!J884/VLOOKUP($B884,표2[#ALL],2)/HLOOKUP($A884,표1[#ALL],row(),false)</f>
        <v>#N/A</v>
      </c>
      <c r="K884" s="372" t="str">
        <f>CS_PID!K884/VLOOKUP($B884,표2[#ALL],2)/HLOOKUP($A884,표1[#ALL],row(),false)</f>
        <v>#N/A</v>
      </c>
      <c r="L884" s="372" t="str">
        <f>CS_PID!L884/VLOOKUP($B884,표2[#ALL],2)/HLOOKUP($A884,표1[#ALL],row(),false)</f>
        <v>#N/A</v>
      </c>
      <c r="M884" s="372" t="str">
        <f>CS_PID!M884/VLOOKUP($B884,표2[#ALL],2)/HLOOKUP($A884,표1[#ALL],row(),false)</f>
        <v>#N/A</v>
      </c>
      <c r="N884" s="372" t="str">
        <f>CS_PID!N884/VLOOKUP($B884,표2[#ALL],2)/HLOOKUP($A884,표1[#ALL],row(),false)</f>
        <v>#N/A</v>
      </c>
      <c r="O884" s="372" t="str">
        <f>CS_PID!O884/VLOOKUP($B884,표2[#ALL],2)/HLOOKUP($A884,표1[#ALL],row(),false)</f>
        <v>#N/A</v>
      </c>
      <c r="P884" s="372" t="str">
        <f>CS_PID!P884/VLOOKUP($B884,표2[#ALL],2)/HLOOKUP($A884,표1[#ALL],row(),false)</f>
        <v>#N/A</v>
      </c>
      <c r="Q884" s="372" t="str">
        <f>CS_PID!Q884/VLOOKUP($B884,표2[#ALL],2)/HLOOKUP($A884,표1[#ALL],row(),false)</f>
        <v>#N/A</v>
      </c>
      <c r="R884" s="372" t="str">
        <f>CS_PID!R884/VLOOKUP($B884,표2[#ALL],2)/HLOOKUP($A884,표1[#ALL],row(),false)</f>
        <v>#N/A</v>
      </c>
      <c r="S884" s="372" t="str">
        <f>CS_PID!S884/VLOOKUP($B884,표2[#ALL],2)/HLOOKUP($A884,표1[#ALL],row(),false)</f>
        <v>#N/A</v>
      </c>
      <c r="T884" s="372" t="str">
        <f>CS_PID!T884/VLOOKUP($B884,표2[#ALL],2)/HLOOKUP($A884,표1[#ALL],row(),false)</f>
        <v>#N/A</v>
      </c>
      <c r="U884" s="372" t="str">
        <f>CS_PID!U884/VLOOKUP($B884,표2[#ALL],2)/HLOOKUP($A884,표1[#ALL],row(),false)</f>
        <v>#N/A</v>
      </c>
      <c r="V884" s="372" t="str">
        <f>CS_PID!V884/VLOOKUP($B884,표2[#ALL],2)/HLOOKUP($A884,표1[#ALL],row(),false)</f>
        <v>#N/A</v>
      </c>
      <c r="W884" s="372" t="str">
        <f>CS_PID!W884/VLOOKUP($B884,표2[#ALL],2)/HLOOKUP($A884,표1[#ALL],row(),false)</f>
        <v>#N/A</v>
      </c>
      <c r="X884" s="372" t="str">
        <f>CS_PID!X884/VLOOKUP($B884,표2[#ALL],2)/HLOOKUP($A884,표1[#ALL],row(),false)</f>
        <v>#N/A</v>
      </c>
      <c r="Y884" s="372" t="str">
        <f>CS_PID!Y884/VLOOKUP($B884,표2[#ALL],2)/HLOOKUP($A884,표1[#ALL],row(),false)</f>
        <v>#N/A</v>
      </c>
      <c r="Z884" s="372" t="str">
        <f>CS_PID!Z884/VLOOKUP($B884,표2[#ALL],2)/HLOOKUP($A884,표1[#ALL],row(),false)</f>
        <v>#N/A</v>
      </c>
      <c r="AA884" s="372" t="str">
        <f>CS_PID!AA884/VLOOKUP($B884,표2[#ALL],2)/HLOOKUP($A884,표1[#ALL],row(),false)</f>
        <v>#N/A</v>
      </c>
      <c r="AB884" s="372" t="str">
        <f>CS_PID!AB884/VLOOKUP($B884,표2[#ALL],2)/HLOOKUP($A884,표1[#ALL],row(),false)</f>
        <v>#N/A</v>
      </c>
      <c r="AC884" s="372" t="str">
        <f>CS_PID!AC884/VLOOKUP($B884,표2[#ALL],2)/HLOOKUP($A884,표1[#ALL],row(),false)</f>
        <v>#N/A</v>
      </c>
      <c r="AD884" s="372" t="str">
        <f>CS_PID!AD884/VLOOKUP($B884,표2[#ALL],2)/HLOOKUP($A884,표1[#ALL],row(),false)</f>
        <v>#N/A</v>
      </c>
      <c r="AE884" s="372" t="str">
        <f>CS_PID!AE884/VLOOKUP($B884,표2[#ALL],2)/HLOOKUP($A884,표1[#ALL],row(),false)</f>
        <v>#N/A</v>
      </c>
      <c r="AF884" s="372" t="str">
        <f>CS_PID!AF884/VLOOKUP($B884,표2[#ALL],2)/HLOOKUP($A884,표1[#ALL],row(),false)</f>
        <v>#N/A</v>
      </c>
      <c r="AG884" s="372" t="str">
        <f>CS_PID!AG884/VLOOKUP($B884,표2[#ALL],2)/HLOOKUP($A884,표1[#ALL],row(),false)</f>
        <v>#N/A</v>
      </c>
      <c r="AH884" s="372" t="str">
        <f>CS_PID!AH884/VLOOKUP($B884,표2[#ALL],2)/HLOOKUP($A884,표1[#ALL],row(),false)</f>
        <v>#N/A</v>
      </c>
      <c r="AI884" s="372" t="str">
        <f>CS_PID!AI884/VLOOKUP($B884,표2[#ALL],2)/HLOOKUP($A884,표1[#ALL],row(),false)</f>
        <v>#N/A</v>
      </c>
      <c r="AJ884" s="372" t="str">
        <f>CS_PID!AJ884/VLOOKUP($B884,표2[#ALL],2)/HLOOKUP($A884,표1[#ALL],row(),false)</f>
        <v>#N/A</v>
      </c>
      <c r="AK884" s="372" t="str">
        <f>CS_PID!AK884/VLOOKUP($B884,표2[#ALL],2)/HLOOKUP($A884,표1[#ALL],row(),false)</f>
        <v>#N/A</v>
      </c>
      <c r="AL884" s="372" t="str">
        <f>CS_PID!AL884/VLOOKUP($B884,표2[#ALL],2)/HLOOKUP($A884,표1[#ALL],row(),false)</f>
        <v>#N/A</v>
      </c>
      <c r="AM884" s="372" t="str">
        <f>CS_PID!AM884/VLOOKUP($B884,표2[#ALL],2)/HLOOKUP($A884,표1[#ALL],row(),false)</f>
        <v>#N/A</v>
      </c>
      <c r="AN884" s="372" t="str">
        <f>CS_PID!AN884/VLOOKUP($B884,표2[#ALL],2)/HLOOKUP($A884,표1[#ALL],row(),false)</f>
        <v>#N/A</v>
      </c>
      <c r="AO884" s="372" t="str">
        <f>CS_PID!AO884/VLOOKUP($B884,표2[#ALL],2)/HLOOKUP($A884,표1[#ALL],row(),false)</f>
        <v>#N/A</v>
      </c>
      <c r="AP884" s="372" t="str">
        <f>CS_PID!AP884/VLOOKUP($B884,표2[#ALL],2)/HLOOKUP($A884,표1[#ALL],row(),false)</f>
        <v>#N/A</v>
      </c>
      <c r="AQ884" s="372" t="str">
        <f>CS_PID!AQ884/VLOOKUP($B884,표2[#ALL],2)/HLOOKUP($A884,표1[#ALL],row(),false)</f>
        <v>#N/A</v>
      </c>
      <c r="AR884" s="372" t="str">
        <f>CS_PID!AR884/VLOOKUP($B884,표2[#ALL],2)/HLOOKUP($A884,표1[#ALL],row(),false)</f>
        <v>#N/A</v>
      </c>
      <c r="AS884" s="373" t="str">
        <f>CS_PID!AS884/VLOOKUP($B884,표2[#ALL],2)/HLOOKUP($A884,표1[#ALL],row(),false)</f>
        <v>#N/A</v>
      </c>
    </row>
    <row r="885">
      <c r="A885" s="374"/>
      <c r="B885" s="375"/>
      <c r="C885" s="376" t="str">
        <f>CS_PID!C885/VLOOKUP($B885,표2[#ALL],2)</f>
        <v>#N/A</v>
      </c>
      <c r="D885" s="376" t="str">
        <f>CS_PID!D885/VLOOKUP($B885,표2[#ALL],2)</f>
        <v>#N/A</v>
      </c>
      <c r="E885" s="376" t="str">
        <f>CS_PID!E885/VLOOKUP($B885,표2[#ALL],2)</f>
        <v>#N/A</v>
      </c>
      <c r="F885" s="376" t="str">
        <f>CS_PID!F885/VLOOKUP($B885,표2[#ALL],2)</f>
        <v>#N/A</v>
      </c>
      <c r="G885" s="376" t="str">
        <f>CS_PID!G885/VLOOKUP($B885,표2[#ALL],2)</f>
        <v>#N/A</v>
      </c>
      <c r="H885" s="376" t="str">
        <f>CS_PID!H885/VLOOKUP($B885,표2[#ALL],2)/HLOOKUP($A885,표1[#ALL],row(),false)</f>
        <v>#N/A</v>
      </c>
      <c r="I885" s="376" t="str">
        <f>CS_PID!I885/VLOOKUP($B885,표2[#ALL],2)/HLOOKUP($A885,표1[#ALL],row(),false)</f>
        <v>#N/A</v>
      </c>
      <c r="J885" s="376" t="str">
        <f>CS_PID!J885/VLOOKUP($B885,표2[#ALL],2)/HLOOKUP($A885,표1[#ALL],row(),false)</f>
        <v>#N/A</v>
      </c>
      <c r="K885" s="376" t="str">
        <f>CS_PID!K885/VLOOKUP($B885,표2[#ALL],2)/HLOOKUP($A885,표1[#ALL],row(),false)</f>
        <v>#N/A</v>
      </c>
      <c r="L885" s="376" t="str">
        <f>CS_PID!L885/VLOOKUP($B885,표2[#ALL],2)/HLOOKUP($A885,표1[#ALL],row(),false)</f>
        <v>#N/A</v>
      </c>
      <c r="M885" s="376" t="str">
        <f>CS_PID!M885/VLOOKUP($B885,표2[#ALL],2)/HLOOKUP($A885,표1[#ALL],row(),false)</f>
        <v>#N/A</v>
      </c>
      <c r="N885" s="376" t="str">
        <f>CS_PID!N885/VLOOKUP($B885,표2[#ALL],2)/HLOOKUP($A885,표1[#ALL],row(),false)</f>
        <v>#N/A</v>
      </c>
      <c r="O885" s="376" t="str">
        <f>CS_PID!O885/VLOOKUP($B885,표2[#ALL],2)/HLOOKUP($A885,표1[#ALL],row(),false)</f>
        <v>#N/A</v>
      </c>
      <c r="P885" s="376" t="str">
        <f>CS_PID!P885/VLOOKUP($B885,표2[#ALL],2)/HLOOKUP($A885,표1[#ALL],row(),false)</f>
        <v>#N/A</v>
      </c>
      <c r="Q885" s="376" t="str">
        <f>CS_PID!Q885/VLOOKUP($B885,표2[#ALL],2)/HLOOKUP($A885,표1[#ALL],row(),false)</f>
        <v>#N/A</v>
      </c>
      <c r="R885" s="376" t="str">
        <f>CS_PID!R885/VLOOKUP($B885,표2[#ALL],2)/HLOOKUP($A885,표1[#ALL],row(),false)</f>
        <v>#N/A</v>
      </c>
      <c r="S885" s="376" t="str">
        <f>CS_PID!S885/VLOOKUP($B885,표2[#ALL],2)/HLOOKUP($A885,표1[#ALL],row(),false)</f>
        <v>#N/A</v>
      </c>
      <c r="T885" s="376" t="str">
        <f>CS_PID!T885/VLOOKUP($B885,표2[#ALL],2)/HLOOKUP($A885,표1[#ALL],row(),false)</f>
        <v>#N/A</v>
      </c>
      <c r="U885" s="376" t="str">
        <f>CS_PID!U885/VLOOKUP($B885,표2[#ALL],2)/HLOOKUP($A885,표1[#ALL],row(),false)</f>
        <v>#N/A</v>
      </c>
      <c r="V885" s="376" t="str">
        <f>CS_PID!V885/VLOOKUP($B885,표2[#ALL],2)/HLOOKUP($A885,표1[#ALL],row(),false)</f>
        <v>#N/A</v>
      </c>
      <c r="W885" s="376" t="str">
        <f>CS_PID!W885/VLOOKUP($B885,표2[#ALL],2)/HLOOKUP($A885,표1[#ALL],row(),false)</f>
        <v>#N/A</v>
      </c>
      <c r="X885" s="376" t="str">
        <f>CS_PID!X885/VLOOKUP($B885,표2[#ALL],2)/HLOOKUP($A885,표1[#ALL],row(),false)</f>
        <v>#N/A</v>
      </c>
      <c r="Y885" s="376" t="str">
        <f>CS_PID!Y885/VLOOKUP($B885,표2[#ALL],2)/HLOOKUP($A885,표1[#ALL],row(),false)</f>
        <v>#N/A</v>
      </c>
      <c r="Z885" s="376" t="str">
        <f>CS_PID!Z885/VLOOKUP($B885,표2[#ALL],2)/HLOOKUP($A885,표1[#ALL],row(),false)</f>
        <v>#N/A</v>
      </c>
      <c r="AA885" s="376" t="str">
        <f>CS_PID!AA885/VLOOKUP($B885,표2[#ALL],2)/HLOOKUP($A885,표1[#ALL],row(),false)</f>
        <v>#N/A</v>
      </c>
      <c r="AB885" s="376" t="str">
        <f>CS_PID!AB885/VLOOKUP($B885,표2[#ALL],2)/HLOOKUP($A885,표1[#ALL],row(),false)</f>
        <v>#N/A</v>
      </c>
      <c r="AC885" s="376" t="str">
        <f>CS_PID!AC885/VLOOKUP($B885,표2[#ALL],2)/HLOOKUP($A885,표1[#ALL],row(),false)</f>
        <v>#N/A</v>
      </c>
      <c r="AD885" s="376" t="str">
        <f>CS_PID!AD885/VLOOKUP($B885,표2[#ALL],2)/HLOOKUP($A885,표1[#ALL],row(),false)</f>
        <v>#N/A</v>
      </c>
      <c r="AE885" s="376" t="str">
        <f>CS_PID!AE885/VLOOKUP($B885,표2[#ALL],2)/HLOOKUP($A885,표1[#ALL],row(),false)</f>
        <v>#N/A</v>
      </c>
      <c r="AF885" s="376" t="str">
        <f>CS_PID!AF885/VLOOKUP($B885,표2[#ALL],2)/HLOOKUP($A885,표1[#ALL],row(),false)</f>
        <v>#N/A</v>
      </c>
      <c r="AG885" s="376" t="str">
        <f>CS_PID!AG885/VLOOKUP($B885,표2[#ALL],2)/HLOOKUP($A885,표1[#ALL],row(),false)</f>
        <v>#N/A</v>
      </c>
      <c r="AH885" s="376" t="str">
        <f>CS_PID!AH885/VLOOKUP($B885,표2[#ALL],2)/HLOOKUP($A885,표1[#ALL],row(),false)</f>
        <v>#N/A</v>
      </c>
      <c r="AI885" s="376" t="str">
        <f>CS_PID!AI885/VLOOKUP($B885,표2[#ALL],2)/HLOOKUP($A885,표1[#ALL],row(),false)</f>
        <v>#N/A</v>
      </c>
      <c r="AJ885" s="376" t="str">
        <f>CS_PID!AJ885/VLOOKUP($B885,표2[#ALL],2)/HLOOKUP($A885,표1[#ALL],row(),false)</f>
        <v>#N/A</v>
      </c>
      <c r="AK885" s="376" t="str">
        <f>CS_PID!AK885/VLOOKUP($B885,표2[#ALL],2)/HLOOKUP($A885,표1[#ALL],row(),false)</f>
        <v>#N/A</v>
      </c>
      <c r="AL885" s="376" t="str">
        <f>CS_PID!AL885/VLOOKUP($B885,표2[#ALL],2)/HLOOKUP($A885,표1[#ALL],row(),false)</f>
        <v>#N/A</v>
      </c>
      <c r="AM885" s="376" t="str">
        <f>CS_PID!AM885/VLOOKUP($B885,표2[#ALL],2)/HLOOKUP($A885,표1[#ALL],row(),false)</f>
        <v>#N/A</v>
      </c>
      <c r="AN885" s="376" t="str">
        <f>CS_PID!AN885/VLOOKUP($B885,표2[#ALL],2)/HLOOKUP($A885,표1[#ALL],row(),false)</f>
        <v>#N/A</v>
      </c>
      <c r="AO885" s="376" t="str">
        <f>CS_PID!AO885/VLOOKUP($B885,표2[#ALL],2)/HLOOKUP($A885,표1[#ALL],row(),false)</f>
        <v>#N/A</v>
      </c>
      <c r="AP885" s="376" t="str">
        <f>CS_PID!AP885/VLOOKUP($B885,표2[#ALL],2)/HLOOKUP($A885,표1[#ALL],row(),false)</f>
        <v>#N/A</v>
      </c>
      <c r="AQ885" s="376" t="str">
        <f>CS_PID!AQ885/VLOOKUP($B885,표2[#ALL],2)/HLOOKUP($A885,표1[#ALL],row(),false)</f>
        <v>#N/A</v>
      </c>
      <c r="AR885" s="376" t="str">
        <f>CS_PID!AR885/VLOOKUP($B885,표2[#ALL],2)/HLOOKUP($A885,표1[#ALL],row(),false)</f>
        <v>#N/A</v>
      </c>
      <c r="AS885" s="377" t="str">
        <f>CS_PID!AS885/VLOOKUP($B885,표2[#ALL],2)/HLOOKUP($A885,표1[#ALL],row(),false)</f>
        <v>#N/A</v>
      </c>
    </row>
    <row r="886">
      <c r="A886" s="370"/>
      <c r="B886" s="371"/>
      <c r="C886" s="372" t="str">
        <f>CS_PID!C886/VLOOKUP($B886,표2[#ALL],2)</f>
        <v>#N/A</v>
      </c>
      <c r="D886" s="372" t="str">
        <f>CS_PID!D886/VLOOKUP($B886,표2[#ALL],2)</f>
        <v>#N/A</v>
      </c>
      <c r="E886" s="372" t="str">
        <f>CS_PID!E886/VLOOKUP($B886,표2[#ALL],2)</f>
        <v>#N/A</v>
      </c>
      <c r="F886" s="372" t="str">
        <f>CS_PID!F886/VLOOKUP($B886,표2[#ALL],2)</f>
        <v>#N/A</v>
      </c>
      <c r="G886" s="372" t="str">
        <f>CS_PID!G886/VLOOKUP($B886,표2[#ALL],2)</f>
        <v>#N/A</v>
      </c>
      <c r="H886" s="372" t="str">
        <f>CS_PID!H886/VLOOKUP($B886,표2[#ALL],2)/HLOOKUP($A886,표1[#ALL],row(),false)</f>
        <v>#N/A</v>
      </c>
      <c r="I886" s="372" t="str">
        <f>CS_PID!I886/VLOOKUP($B886,표2[#ALL],2)/HLOOKUP($A886,표1[#ALL],row(),false)</f>
        <v>#N/A</v>
      </c>
      <c r="J886" s="372" t="str">
        <f>CS_PID!J886/VLOOKUP($B886,표2[#ALL],2)/HLOOKUP($A886,표1[#ALL],row(),false)</f>
        <v>#N/A</v>
      </c>
      <c r="K886" s="372" t="str">
        <f>CS_PID!K886/VLOOKUP($B886,표2[#ALL],2)/HLOOKUP($A886,표1[#ALL],row(),false)</f>
        <v>#N/A</v>
      </c>
      <c r="L886" s="372" t="str">
        <f>CS_PID!L886/VLOOKUP($B886,표2[#ALL],2)/HLOOKUP($A886,표1[#ALL],row(),false)</f>
        <v>#N/A</v>
      </c>
      <c r="M886" s="372" t="str">
        <f>CS_PID!M886/VLOOKUP($B886,표2[#ALL],2)/HLOOKUP($A886,표1[#ALL],row(),false)</f>
        <v>#N/A</v>
      </c>
      <c r="N886" s="372" t="str">
        <f>CS_PID!N886/VLOOKUP($B886,표2[#ALL],2)/HLOOKUP($A886,표1[#ALL],row(),false)</f>
        <v>#N/A</v>
      </c>
      <c r="O886" s="372" t="str">
        <f>CS_PID!O886/VLOOKUP($B886,표2[#ALL],2)/HLOOKUP($A886,표1[#ALL],row(),false)</f>
        <v>#N/A</v>
      </c>
      <c r="P886" s="372" t="str">
        <f>CS_PID!P886/VLOOKUP($B886,표2[#ALL],2)/HLOOKUP($A886,표1[#ALL],row(),false)</f>
        <v>#N/A</v>
      </c>
      <c r="Q886" s="372" t="str">
        <f>CS_PID!Q886/VLOOKUP($B886,표2[#ALL],2)/HLOOKUP($A886,표1[#ALL],row(),false)</f>
        <v>#N/A</v>
      </c>
      <c r="R886" s="372" t="str">
        <f>CS_PID!R886/VLOOKUP($B886,표2[#ALL],2)/HLOOKUP($A886,표1[#ALL],row(),false)</f>
        <v>#N/A</v>
      </c>
      <c r="S886" s="372" t="str">
        <f>CS_PID!S886/VLOOKUP($B886,표2[#ALL],2)/HLOOKUP($A886,표1[#ALL],row(),false)</f>
        <v>#N/A</v>
      </c>
      <c r="T886" s="372" t="str">
        <f>CS_PID!T886/VLOOKUP($B886,표2[#ALL],2)/HLOOKUP($A886,표1[#ALL],row(),false)</f>
        <v>#N/A</v>
      </c>
      <c r="U886" s="372" t="str">
        <f>CS_PID!U886/VLOOKUP($B886,표2[#ALL],2)/HLOOKUP($A886,표1[#ALL],row(),false)</f>
        <v>#N/A</v>
      </c>
      <c r="V886" s="372" t="str">
        <f>CS_PID!V886/VLOOKUP($B886,표2[#ALL],2)/HLOOKUP($A886,표1[#ALL],row(),false)</f>
        <v>#N/A</v>
      </c>
      <c r="W886" s="372" t="str">
        <f>CS_PID!W886/VLOOKUP($B886,표2[#ALL],2)/HLOOKUP($A886,표1[#ALL],row(),false)</f>
        <v>#N/A</v>
      </c>
      <c r="X886" s="372" t="str">
        <f>CS_PID!X886/VLOOKUP($B886,표2[#ALL],2)/HLOOKUP($A886,표1[#ALL],row(),false)</f>
        <v>#N/A</v>
      </c>
      <c r="Y886" s="372" t="str">
        <f>CS_PID!Y886/VLOOKUP($B886,표2[#ALL],2)/HLOOKUP($A886,표1[#ALL],row(),false)</f>
        <v>#N/A</v>
      </c>
      <c r="Z886" s="372" t="str">
        <f>CS_PID!Z886/VLOOKUP($B886,표2[#ALL],2)/HLOOKUP($A886,표1[#ALL],row(),false)</f>
        <v>#N/A</v>
      </c>
      <c r="AA886" s="372" t="str">
        <f>CS_PID!AA886/VLOOKUP($B886,표2[#ALL],2)/HLOOKUP($A886,표1[#ALL],row(),false)</f>
        <v>#N/A</v>
      </c>
      <c r="AB886" s="372" t="str">
        <f>CS_PID!AB886/VLOOKUP($B886,표2[#ALL],2)/HLOOKUP($A886,표1[#ALL],row(),false)</f>
        <v>#N/A</v>
      </c>
      <c r="AC886" s="372" t="str">
        <f>CS_PID!AC886/VLOOKUP($B886,표2[#ALL],2)/HLOOKUP($A886,표1[#ALL],row(),false)</f>
        <v>#N/A</v>
      </c>
      <c r="AD886" s="372" t="str">
        <f>CS_PID!AD886/VLOOKUP($B886,표2[#ALL],2)/HLOOKUP($A886,표1[#ALL],row(),false)</f>
        <v>#N/A</v>
      </c>
      <c r="AE886" s="372" t="str">
        <f>CS_PID!AE886/VLOOKUP($B886,표2[#ALL],2)/HLOOKUP($A886,표1[#ALL],row(),false)</f>
        <v>#N/A</v>
      </c>
      <c r="AF886" s="372" t="str">
        <f>CS_PID!AF886/VLOOKUP($B886,표2[#ALL],2)/HLOOKUP($A886,표1[#ALL],row(),false)</f>
        <v>#N/A</v>
      </c>
      <c r="AG886" s="372" t="str">
        <f>CS_PID!AG886/VLOOKUP($B886,표2[#ALL],2)/HLOOKUP($A886,표1[#ALL],row(),false)</f>
        <v>#N/A</v>
      </c>
      <c r="AH886" s="372" t="str">
        <f>CS_PID!AH886/VLOOKUP($B886,표2[#ALL],2)/HLOOKUP($A886,표1[#ALL],row(),false)</f>
        <v>#N/A</v>
      </c>
      <c r="AI886" s="372" t="str">
        <f>CS_PID!AI886/VLOOKUP($B886,표2[#ALL],2)/HLOOKUP($A886,표1[#ALL],row(),false)</f>
        <v>#N/A</v>
      </c>
      <c r="AJ886" s="372" t="str">
        <f>CS_PID!AJ886/VLOOKUP($B886,표2[#ALL],2)/HLOOKUP($A886,표1[#ALL],row(),false)</f>
        <v>#N/A</v>
      </c>
      <c r="AK886" s="372" t="str">
        <f>CS_PID!AK886/VLOOKUP($B886,표2[#ALL],2)/HLOOKUP($A886,표1[#ALL],row(),false)</f>
        <v>#N/A</v>
      </c>
      <c r="AL886" s="372" t="str">
        <f>CS_PID!AL886/VLOOKUP($B886,표2[#ALL],2)/HLOOKUP($A886,표1[#ALL],row(),false)</f>
        <v>#N/A</v>
      </c>
      <c r="AM886" s="372" t="str">
        <f>CS_PID!AM886/VLOOKUP($B886,표2[#ALL],2)/HLOOKUP($A886,표1[#ALL],row(),false)</f>
        <v>#N/A</v>
      </c>
      <c r="AN886" s="372" t="str">
        <f>CS_PID!AN886/VLOOKUP($B886,표2[#ALL],2)/HLOOKUP($A886,표1[#ALL],row(),false)</f>
        <v>#N/A</v>
      </c>
      <c r="AO886" s="372" t="str">
        <f>CS_PID!AO886/VLOOKUP($B886,표2[#ALL],2)/HLOOKUP($A886,표1[#ALL],row(),false)</f>
        <v>#N/A</v>
      </c>
      <c r="AP886" s="372" t="str">
        <f>CS_PID!AP886/VLOOKUP($B886,표2[#ALL],2)/HLOOKUP($A886,표1[#ALL],row(),false)</f>
        <v>#N/A</v>
      </c>
      <c r="AQ886" s="372" t="str">
        <f>CS_PID!AQ886/VLOOKUP($B886,표2[#ALL],2)/HLOOKUP($A886,표1[#ALL],row(),false)</f>
        <v>#N/A</v>
      </c>
      <c r="AR886" s="372" t="str">
        <f>CS_PID!AR886/VLOOKUP($B886,표2[#ALL],2)/HLOOKUP($A886,표1[#ALL],row(),false)</f>
        <v>#N/A</v>
      </c>
      <c r="AS886" s="373" t="str">
        <f>CS_PID!AS886/VLOOKUP($B886,표2[#ALL],2)/HLOOKUP($A886,표1[#ALL],row(),false)</f>
        <v>#N/A</v>
      </c>
    </row>
    <row r="887">
      <c r="A887" s="374"/>
      <c r="B887" s="375"/>
      <c r="C887" s="376" t="str">
        <f>CS_PID!C887/VLOOKUP($B887,표2[#ALL],2)</f>
        <v>#N/A</v>
      </c>
      <c r="D887" s="376" t="str">
        <f>CS_PID!D887/VLOOKUP($B887,표2[#ALL],2)</f>
        <v>#N/A</v>
      </c>
      <c r="E887" s="376" t="str">
        <f>CS_PID!E887/VLOOKUP($B887,표2[#ALL],2)</f>
        <v>#N/A</v>
      </c>
      <c r="F887" s="376" t="str">
        <f>CS_PID!F887/VLOOKUP($B887,표2[#ALL],2)</f>
        <v>#N/A</v>
      </c>
      <c r="G887" s="376" t="str">
        <f>CS_PID!G887/VLOOKUP($B887,표2[#ALL],2)</f>
        <v>#N/A</v>
      </c>
      <c r="H887" s="376" t="str">
        <f>CS_PID!H887/VLOOKUP($B887,표2[#ALL],2)/HLOOKUP($A887,표1[#ALL],row(),false)</f>
        <v>#N/A</v>
      </c>
      <c r="I887" s="376" t="str">
        <f>CS_PID!I887/VLOOKUP($B887,표2[#ALL],2)/HLOOKUP($A887,표1[#ALL],row(),false)</f>
        <v>#N/A</v>
      </c>
      <c r="J887" s="376" t="str">
        <f>CS_PID!J887/VLOOKUP($B887,표2[#ALL],2)/HLOOKUP($A887,표1[#ALL],row(),false)</f>
        <v>#N/A</v>
      </c>
      <c r="K887" s="376" t="str">
        <f>CS_PID!K887/VLOOKUP($B887,표2[#ALL],2)/HLOOKUP($A887,표1[#ALL],row(),false)</f>
        <v>#N/A</v>
      </c>
      <c r="L887" s="376" t="str">
        <f>CS_PID!L887/VLOOKUP($B887,표2[#ALL],2)/HLOOKUP($A887,표1[#ALL],row(),false)</f>
        <v>#N/A</v>
      </c>
      <c r="M887" s="376" t="str">
        <f>CS_PID!M887/VLOOKUP($B887,표2[#ALL],2)/HLOOKUP($A887,표1[#ALL],row(),false)</f>
        <v>#N/A</v>
      </c>
      <c r="N887" s="376" t="str">
        <f>CS_PID!N887/VLOOKUP($B887,표2[#ALL],2)/HLOOKUP($A887,표1[#ALL],row(),false)</f>
        <v>#N/A</v>
      </c>
      <c r="O887" s="376" t="str">
        <f>CS_PID!O887/VLOOKUP($B887,표2[#ALL],2)/HLOOKUP($A887,표1[#ALL],row(),false)</f>
        <v>#N/A</v>
      </c>
      <c r="P887" s="376" t="str">
        <f>CS_PID!P887/VLOOKUP($B887,표2[#ALL],2)/HLOOKUP($A887,표1[#ALL],row(),false)</f>
        <v>#N/A</v>
      </c>
      <c r="Q887" s="376" t="str">
        <f>CS_PID!Q887/VLOOKUP($B887,표2[#ALL],2)/HLOOKUP($A887,표1[#ALL],row(),false)</f>
        <v>#N/A</v>
      </c>
      <c r="R887" s="376" t="str">
        <f>CS_PID!R887/VLOOKUP($B887,표2[#ALL],2)/HLOOKUP($A887,표1[#ALL],row(),false)</f>
        <v>#N/A</v>
      </c>
      <c r="S887" s="376" t="str">
        <f>CS_PID!S887/VLOOKUP($B887,표2[#ALL],2)/HLOOKUP($A887,표1[#ALL],row(),false)</f>
        <v>#N/A</v>
      </c>
      <c r="T887" s="376" t="str">
        <f>CS_PID!T887/VLOOKUP($B887,표2[#ALL],2)/HLOOKUP($A887,표1[#ALL],row(),false)</f>
        <v>#N/A</v>
      </c>
      <c r="U887" s="376" t="str">
        <f>CS_PID!U887/VLOOKUP($B887,표2[#ALL],2)/HLOOKUP($A887,표1[#ALL],row(),false)</f>
        <v>#N/A</v>
      </c>
      <c r="V887" s="376" t="str">
        <f>CS_PID!V887/VLOOKUP($B887,표2[#ALL],2)/HLOOKUP($A887,표1[#ALL],row(),false)</f>
        <v>#N/A</v>
      </c>
      <c r="W887" s="376" t="str">
        <f>CS_PID!W887/VLOOKUP($B887,표2[#ALL],2)/HLOOKUP($A887,표1[#ALL],row(),false)</f>
        <v>#N/A</v>
      </c>
      <c r="X887" s="376" t="str">
        <f>CS_PID!X887/VLOOKUP($B887,표2[#ALL],2)/HLOOKUP($A887,표1[#ALL],row(),false)</f>
        <v>#N/A</v>
      </c>
      <c r="Y887" s="376" t="str">
        <f>CS_PID!Y887/VLOOKUP($B887,표2[#ALL],2)/HLOOKUP($A887,표1[#ALL],row(),false)</f>
        <v>#N/A</v>
      </c>
      <c r="Z887" s="376" t="str">
        <f>CS_PID!Z887/VLOOKUP($B887,표2[#ALL],2)/HLOOKUP($A887,표1[#ALL],row(),false)</f>
        <v>#N/A</v>
      </c>
      <c r="AA887" s="376" t="str">
        <f>CS_PID!AA887/VLOOKUP($B887,표2[#ALL],2)/HLOOKUP($A887,표1[#ALL],row(),false)</f>
        <v>#N/A</v>
      </c>
      <c r="AB887" s="376" t="str">
        <f>CS_PID!AB887/VLOOKUP($B887,표2[#ALL],2)/HLOOKUP($A887,표1[#ALL],row(),false)</f>
        <v>#N/A</v>
      </c>
      <c r="AC887" s="376" t="str">
        <f>CS_PID!AC887/VLOOKUP($B887,표2[#ALL],2)/HLOOKUP($A887,표1[#ALL],row(),false)</f>
        <v>#N/A</v>
      </c>
      <c r="AD887" s="376" t="str">
        <f>CS_PID!AD887/VLOOKUP($B887,표2[#ALL],2)/HLOOKUP($A887,표1[#ALL],row(),false)</f>
        <v>#N/A</v>
      </c>
      <c r="AE887" s="376" t="str">
        <f>CS_PID!AE887/VLOOKUP($B887,표2[#ALL],2)/HLOOKUP($A887,표1[#ALL],row(),false)</f>
        <v>#N/A</v>
      </c>
      <c r="AF887" s="376" t="str">
        <f>CS_PID!AF887/VLOOKUP($B887,표2[#ALL],2)/HLOOKUP($A887,표1[#ALL],row(),false)</f>
        <v>#N/A</v>
      </c>
      <c r="AG887" s="376" t="str">
        <f>CS_PID!AG887/VLOOKUP($B887,표2[#ALL],2)/HLOOKUP($A887,표1[#ALL],row(),false)</f>
        <v>#N/A</v>
      </c>
      <c r="AH887" s="376" t="str">
        <f>CS_PID!AH887/VLOOKUP($B887,표2[#ALL],2)/HLOOKUP($A887,표1[#ALL],row(),false)</f>
        <v>#N/A</v>
      </c>
      <c r="AI887" s="376" t="str">
        <f>CS_PID!AI887/VLOOKUP($B887,표2[#ALL],2)/HLOOKUP($A887,표1[#ALL],row(),false)</f>
        <v>#N/A</v>
      </c>
      <c r="AJ887" s="376" t="str">
        <f>CS_PID!AJ887/VLOOKUP($B887,표2[#ALL],2)/HLOOKUP($A887,표1[#ALL],row(),false)</f>
        <v>#N/A</v>
      </c>
      <c r="AK887" s="376" t="str">
        <f>CS_PID!AK887/VLOOKUP($B887,표2[#ALL],2)/HLOOKUP($A887,표1[#ALL],row(),false)</f>
        <v>#N/A</v>
      </c>
      <c r="AL887" s="376" t="str">
        <f>CS_PID!AL887/VLOOKUP($B887,표2[#ALL],2)/HLOOKUP($A887,표1[#ALL],row(),false)</f>
        <v>#N/A</v>
      </c>
      <c r="AM887" s="376" t="str">
        <f>CS_PID!AM887/VLOOKUP($B887,표2[#ALL],2)/HLOOKUP($A887,표1[#ALL],row(),false)</f>
        <v>#N/A</v>
      </c>
      <c r="AN887" s="376" t="str">
        <f>CS_PID!AN887/VLOOKUP($B887,표2[#ALL],2)/HLOOKUP($A887,표1[#ALL],row(),false)</f>
        <v>#N/A</v>
      </c>
      <c r="AO887" s="376" t="str">
        <f>CS_PID!AO887/VLOOKUP($B887,표2[#ALL],2)/HLOOKUP($A887,표1[#ALL],row(),false)</f>
        <v>#N/A</v>
      </c>
      <c r="AP887" s="376" t="str">
        <f>CS_PID!AP887/VLOOKUP($B887,표2[#ALL],2)/HLOOKUP($A887,표1[#ALL],row(),false)</f>
        <v>#N/A</v>
      </c>
      <c r="AQ887" s="376" t="str">
        <f>CS_PID!AQ887/VLOOKUP($B887,표2[#ALL],2)/HLOOKUP($A887,표1[#ALL],row(),false)</f>
        <v>#N/A</v>
      </c>
      <c r="AR887" s="376" t="str">
        <f>CS_PID!AR887/VLOOKUP($B887,표2[#ALL],2)/HLOOKUP($A887,표1[#ALL],row(),false)</f>
        <v>#N/A</v>
      </c>
      <c r="AS887" s="377" t="str">
        <f>CS_PID!AS887/VLOOKUP($B887,표2[#ALL],2)/HLOOKUP($A887,표1[#ALL],row(),false)</f>
        <v>#N/A</v>
      </c>
    </row>
    <row r="888">
      <c r="A888" s="370"/>
      <c r="B888" s="371"/>
      <c r="C888" s="372" t="str">
        <f>CS_PID!C888/VLOOKUP($B888,표2[#ALL],2)</f>
        <v>#N/A</v>
      </c>
      <c r="D888" s="372" t="str">
        <f>CS_PID!D888/VLOOKUP($B888,표2[#ALL],2)</f>
        <v>#N/A</v>
      </c>
      <c r="E888" s="372" t="str">
        <f>CS_PID!E888/VLOOKUP($B888,표2[#ALL],2)</f>
        <v>#N/A</v>
      </c>
      <c r="F888" s="372" t="str">
        <f>CS_PID!F888/VLOOKUP($B888,표2[#ALL],2)</f>
        <v>#N/A</v>
      </c>
      <c r="G888" s="372" t="str">
        <f>CS_PID!G888/VLOOKUP($B888,표2[#ALL],2)</f>
        <v>#N/A</v>
      </c>
      <c r="H888" s="372" t="str">
        <f>CS_PID!H888/VLOOKUP($B888,표2[#ALL],2)/HLOOKUP($A888,표1[#ALL],row(),false)</f>
        <v>#N/A</v>
      </c>
      <c r="I888" s="372" t="str">
        <f>CS_PID!I888/VLOOKUP($B888,표2[#ALL],2)/HLOOKUP($A888,표1[#ALL],row(),false)</f>
        <v>#N/A</v>
      </c>
      <c r="J888" s="372" t="str">
        <f>CS_PID!J888/VLOOKUP($B888,표2[#ALL],2)/HLOOKUP($A888,표1[#ALL],row(),false)</f>
        <v>#N/A</v>
      </c>
      <c r="K888" s="372" t="str">
        <f>CS_PID!K888/VLOOKUP($B888,표2[#ALL],2)/HLOOKUP($A888,표1[#ALL],row(),false)</f>
        <v>#N/A</v>
      </c>
      <c r="L888" s="372" t="str">
        <f>CS_PID!L888/VLOOKUP($B888,표2[#ALL],2)/HLOOKUP($A888,표1[#ALL],row(),false)</f>
        <v>#N/A</v>
      </c>
      <c r="M888" s="372" t="str">
        <f>CS_PID!M888/VLOOKUP($B888,표2[#ALL],2)/HLOOKUP($A888,표1[#ALL],row(),false)</f>
        <v>#N/A</v>
      </c>
      <c r="N888" s="372" t="str">
        <f>CS_PID!N888/VLOOKUP($B888,표2[#ALL],2)/HLOOKUP($A888,표1[#ALL],row(),false)</f>
        <v>#N/A</v>
      </c>
      <c r="O888" s="372" t="str">
        <f>CS_PID!O888/VLOOKUP($B888,표2[#ALL],2)/HLOOKUP($A888,표1[#ALL],row(),false)</f>
        <v>#N/A</v>
      </c>
      <c r="P888" s="372" t="str">
        <f>CS_PID!P888/VLOOKUP($B888,표2[#ALL],2)/HLOOKUP($A888,표1[#ALL],row(),false)</f>
        <v>#N/A</v>
      </c>
      <c r="Q888" s="372" t="str">
        <f>CS_PID!Q888/VLOOKUP($B888,표2[#ALL],2)/HLOOKUP($A888,표1[#ALL],row(),false)</f>
        <v>#N/A</v>
      </c>
      <c r="R888" s="372" t="str">
        <f>CS_PID!R888/VLOOKUP($B888,표2[#ALL],2)/HLOOKUP($A888,표1[#ALL],row(),false)</f>
        <v>#N/A</v>
      </c>
      <c r="S888" s="372" t="str">
        <f>CS_PID!S888/VLOOKUP($B888,표2[#ALL],2)/HLOOKUP($A888,표1[#ALL],row(),false)</f>
        <v>#N/A</v>
      </c>
      <c r="T888" s="372" t="str">
        <f>CS_PID!T888/VLOOKUP($B888,표2[#ALL],2)/HLOOKUP($A888,표1[#ALL],row(),false)</f>
        <v>#N/A</v>
      </c>
      <c r="U888" s="372" t="str">
        <f>CS_PID!U888/VLOOKUP($B888,표2[#ALL],2)/HLOOKUP($A888,표1[#ALL],row(),false)</f>
        <v>#N/A</v>
      </c>
      <c r="V888" s="372" t="str">
        <f>CS_PID!V888/VLOOKUP($B888,표2[#ALL],2)/HLOOKUP($A888,표1[#ALL],row(),false)</f>
        <v>#N/A</v>
      </c>
      <c r="W888" s="372" t="str">
        <f>CS_PID!W888/VLOOKUP($B888,표2[#ALL],2)/HLOOKUP($A888,표1[#ALL],row(),false)</f>
        <v>#N/A</v>
      </c>
      <c r="X888" s="372" t="str">
        <f>CS_PID!X888/VLOOKUP($B888,표2[#ALL],2)/HLOOKUP($A888,표1[#ALL],row(),false)</f>
        <v>#N/A</v>
      </c>
      <c r="Y888" s="372" t="str">
        <f>CS_PID!Y888/VLOOKUP($B888,표2[#ALL],2)/HLOOKUP($A888,표1[#ALL],row(),false)</f>
        <v>#N/A</v>
      </c>
      <c r="Z888" s="372" t="str">
        <f>CS_PID!Z888/VLOOKUP($B888,표2[#ALL],2)/HLOOKUP($A888,표1[#ALL],row(),false)</f>
        <v>#N/A</v>
      </c>
      <c r="AA888" s="372" t="str">
        <f>CS_PID!AA888/VLOOKUP($B888,표2[#ALL],2)/HLOOKUP($A888,표1[#ALL],row(),false)</f>
        <v>#N/A</v>
      </c>
      <c r="AB888" s="372" t="str">
        <f>CS_PID!AB888/VLOOKUP($B888,표2[#ALL],2)/HLOOKUP($A888,표1[#ALL],row(),false)</f>
        <v>#N/A</v>
      </c>
      <c r="AC888" s="372" t="str">
        <f>CS_PID!AC888/VLOOKUP($B888,표2[#ALL],2)/HLOOKUP($A888,표1[#ALL],row(),false)</f>
        <v>#N/A</v>
      </c>
      <c r="AD888" s="372" t="str">
        <f>CS_PID!AD888/VLOOKUP($B888,표2[#ALL],2)/HLOOKUP($A888,표1[#ALL],row(),false)</f>
        <v>#N/A</v>
      </c>
      <c r="AE888" s="372" t="str">
        <f>CS_PID!AE888/VLOOKUP($B888,표2[#ALL],2)/HLOOKUP($A888,표1[#ALL],row(),false)</f>
        <v>#N/A</v>
      </c>
      <c r="AF888" s="372" t="str">
        <f>CS_PID!AF888/VLOOKUP($B888,표2[#ALL],2)/HLOOKUP($A888,표1[#ALL],row(),false)</f>
        <v>#N/A</v>
      </c>
      <c r="AG888" s="372" t="str">
        <f>CS_PID!AG888/VLOOKUP($B888,표2[#ALL],2)/HLOOKUP($A888,표1[#ALL],row(),false)</f>
        <v>#N/A</v>
      </c>
      <c r="AH888" s="372" t="str">
        <f>CS_PID!AH888/VLOOKUP($B888,표2[#ALL],2)/HLOOKUP($A888,표1[#ALL],row(),false)</f>
        <v>#N/A</v>
      </c>
      <c r="AI888" s="372" t="str">
        <f>CS_PID!AI888/VLOOKUP($B888,표2[#ALL],2)/HLOOKUP($A888,표1[#ALL],row(),false)</f>
        <v>#N/A</v>
      </c>
      <c r="AJ888" s="372" t="str">
        <f>CS_PID!AJ888/VLOOKUP($B888,표2[#ALL],2)/HLOOKUP($A888,표1[#ALL],row(),false)</f>
        <v>#N/A</v>
      </c>
      <c r="AK888" s="372" t="str">
        <f>CS_PID!AK888/VLOOKUP($B888,표2[#ALL],2)/HLOOKUP($A888,표1[#ALL],row(),false)</f>
        <v>#N/A</v>
      </c>
      <c r="AL888" s="372" t="str">
        <f>CS_PID!AL888/VLOOKUP($B888,표2[#ALL],2)/HLOOKUP($A888,표1[#ALL],row(),false)</f>
        <v>#N/A</v>
      </c>
      <c r="AM888" s="372" t="str">
        <f>CS_PID!AM888/VLOOKUP($B888,표2[#ALL],2)/HLOOKUP($A888,표1[#ALL],row(),false)</f>
        <v>#N/A</v>
      </c>
      <c r="AN888" s="372" t="str">
        <f>CS_PID!AN888/VLOOKUP($B888,표2[#ALL],2)/HLOOKUP($A888,표1[#ALL],row(),false)</f>
        <v>#N/A</v>
      </c>
      <c r="AO888" s="372" t="str">
        <f>CS_PID!AO888/VLOOKUP($B888,표2[#ALL],2)/HLOOKUP($A888,표1[#ALL],row(),false)</f>
        <v>#N/A</v>
      </c>
      <c r="AP888" s="372" t="str">
        <f>CS_PID!AP888/VLOOKUP($B888,표2[#ALL],2)/HLOOKUP($A888,표1[#ALL],row(),false)</f>
        <v>#N/A</v>
      </c>
      <c r="AQ888" s="372" t="str">
        <f>CS_PID!AQ888/VLOOKUP($B888,표2[#ALL],2)/HLOOKUP($A888,표1[#ALL],row(),false)</f>
        <v>#N/A</v>
      </c>
      <c r="AR888" s="372" t="str">
        <f>CS_PID!AR888/VLOOKUP($B888,표2[#ALL],2)/HLOOKUP($A888,표1[#ALL],row(),false)</f>
        <v>#N/A</v>
      </c>
      <c r="AS888" s="373" t="str">
        <f>CS_PID!AS888/VLOOKUP($B888,표2[#ALL],2)/HLOOKUP($A888,표1[#ALL],row(),false)</f>
        <v>#N/A</v>
      </c>
    </row>
    <row r="889">
      <c r="A889" s="374"/>
      <c r="B889" s="375"/>
      <c r="C889" s="376" t="str">
        <f>CS_PID!C889/VLOOKUP($B889,표2[#ALL],2)</f>
        <v>#N/A</v>
      </c>
      <c r="D889" s="376" t="str">
        <f>CS_PID!D889/VLOOKUP($B889,표2[#ALL],2)</f>
        <v>#N/A</v>
      </c>
      <c r="E889" s="376" t="str">
        <f>CS_PID!E889/VLOOKUP($B889,표2[#ALL],2)</f>
        <v>#N/A</v>
      </c>
      <c r="F889" s="376" t="str">
        <f>CS_PID!F889/VLOOKUP($B889,표2[#ALL],2)</f>
        <v>#N/A</v>
      </c>
      <c r="G889" s="376" t="str">
        <f>CS_PID!G889/VLOOKUP($B889,표2[#ALL],2)</f>
        <v>#N/A</v>
      </c>
      <c r="H889" s="376" t="str">
        <f>CS_PID!H889/VLOOKUP($B889,표2[#ALL],2)/HLOOKUP($A889,표1[#ALL],row(),false)</f>
        <v>#N/A</v>
      </c>
      <c r="I889" s="376" t="str">
        <f>CS_PID!I889/VLOOKUP($B889,표2[#ALL],2)/HLOOKUP($A889,표1[#ALL],row(),false)</f>
        <v>#N/A</v>
      </c>
      <c r="J889" s="376" t="str">
        <f>CS_PID!J889/VLOOKUP($B889,표2[#ALL],2)/HLOOKUP($A889,표1[#ALL],row(),false)</f>
        <v>#N/A</v>
      </c>
      <c r="K889" s="376" t="str">
        <f>CS_PID!K889/VLOOKUP($B889,표2[#ALL],2)/HLOOKUP($A889,표1[#ALL],row(),false)</f>
        <v>#N/A</v>
      </c>
      <c r="L889" s="376" t="str">
        <f>CS_PID!L889/VLOOKUP($B889,표2[#ALL],2)/HLOOKUP($A889,표1[#ALL],row(),false)</f>
        <v>#N/A</v>
      </c>
      <c r="M889" s="376" t="str">
        <f>CS_PID!M889/VLOOKUP($B889,표2[#ALL],2)/HLOOKUP($A889,표1[#ALL],row(),false)</f>
        <v>#N/A</v>
      </c>
      <c r="N889" s="376" t="str">
        <f>CS_PID!N889/VLOOKUP($B889,표2[#ALL],2)/HLOOKUP($A889,표1[#ALL],row(),false)</f>
        <v>#N/A</v>
      </c>
      <c r="O889" s="376" t="str">
        <f>CS_PID!O889/VLOOKUP($B889,표2[#ALL],2)/HLOOKUP($A889,표1[#ALL],row(),false)</f>
        <v>#N/A</v>
      </c>
      <c r="P889" s="376" t="str">
        <f>CS_PID!P889/VLOOKUP($B889,표2[#ALL],2)/HLOOKUP($A889,표1[#ALL],row(),false)</f>
        <v>#N/A</v>
      </c>
      <c r="Q889" s="376" t="str">
        <f>CS_PID!Q889/VLOOKUP($B889,표2[#ALL],2)/HLOOKUP($A889,표1[#ALL],row(),false)</f>
        <v>#N/A</v>
      </c>
      <c r="R889" s="376" t="str">
        <f>CS_PID!R889/VLOOKUP($B889,표2[#ALL],2)/HLOOKUP($A889,표1[#ALL],row(),false)</f>
        <v>#N/A</v>
      </c>
      <c r="S889" s="376" t="str">
        <f>CS_PID!S889/VLOOKUP($B889,표2[#ALL],2)/HLOOKUP($A889,표1[#ALL],row(),false)</f>
        <v>#N/A</v>
      </c>
      <c r="T889" s="376" t="str">
        <f>CS_PID!T889/VLOOKUP($B889,표2[#ALL],2)/HLOOKUP($A889,표1[#ALL],row(),false)</f>
        <v>#N/A</v>
      </c>
      <c r="U889" s="376" t="str">
        <f>CS_PID!U889/VLOOKUP($B889,표2[#ALL],2)/HLOOKUP($A889,표1[#ALL],row(),false)</f>
        <v>#N/A</v>
      </c>
      <c r="V889" s="376" t="str">
        <f>CS_PID!V889/VLOOKUP($B889,표2[#ALL],2)/HLOOKUP($A889,표1[#ALL],row(),false)</f>
        <v>#N/A</v>
      </c>
      <c r="W889" s="376" t="str">
        <f>CS_PID!W889/VLOOKUP($B889,표2[#ALL],2)/HLOOKUP($A889,표1[#ALL],row(),false)</f>
        <v>#N/A</v>
      </c>
      <c r="X889" s="376" t="str">
        <f>CS_PID!X889/VLOOKUP($B889,표2[#ALL],2)/HLOOKUP($A889,표1[#ALL],row(),false)</f>
        <v>#N/A</v>
      </c>
      <c r="Y889" s="376" t="str">
        <f>CS_PID!Y889/VLOOKUP($B889,표2[#ALL],2)/HLOOKUP($A889,표1[#ALL],row(),false)</f>
        <v>#N/A</v>
      </c>
      <c r="Z889" s="376" t="str">
        <f>CS_PID!Z889/VLOOKUP($B889,표2[#ALL],2)/HLOOKUP($A889,표1[#ALL],row(),false)</f>
        <v>#N/A</v>
      </c>
      <c r="AA889" s="376" t="str">
        <f>CS_PID!AA889/VLOOKUP($B889,표2[#ALL],2)/HLOOKUP($A889,표1[#ALL],row(),false)</f>
        <v>#N/A</v>
      </c>
      <c r="AB889" s="376" t="str">
        <f>CS_PID!AB889/VLOOKUP($B889,표2[#ALL],2)/HLOOKUP($A889,표1[#ALL],row(),false)</f>
        <v>#N/A</v>
      </c>
      <c r="AC889" s="376" t="str">
        <f>CS_PID!AC889/VLOOKUP($B889,표2[#ALL],2)/HLOOKUP($A889,표1[#ALL],row(),false)</f>
        <v>#N/A</v>
      </c>
      <c r="AD889" s="376" t="str">
        <f>CS_PID!AD889/VLOOKUP($B889,표2[#ALL],2)/HLOOKUP($A889,표1[#ALL],row(),false)</f>
        <v>#N/A</v>
      </c>
      <c r="AE889" s="376" t="str">
        <f>CS_PID!AE889/VLOOKUP($B889,표2[#ALL],2)/HLOOKUP($A889,표1[#ALL],row(),false)</f>
        <v>#N/A</v>
      </c>
      <c r="AF889" s="376" t="str">
        <f>CS_PID!AF889/VLOOKUP($B889,표2[#ALL],2)/HLOOKUP($A889,표1[#ALL],row(),false)</f>
        <v>#N/A</v>
      </c>
      <c r="AG889" s="376" t="str">
        <f>CS_PID!AG889/VLOOKUP($B889,표2[#ALL],2)/HLOOKUP($A889,표1[#ALL],row(),false)</f>
        <v>#N/A</v>
      </c>
      <c r="AH889" s="376" t="str">
        <f>CS_PID!AH889/VLOOKUP($B889,표2[#ALL],2)/HLOOKUP($A889,표1[#ALL],row(),false)</f>
        <v>#N/A</v>
      </c>
      <c r="AI889" s="376" t="str">
        <f>CS_PID!AI889/VLOOKUP($B889,표2[#ALL],2)/HLOOKUP($A889,표1[#ALL],row(),false)</f>
        <v>#N/A</v>
      </c>
      <c r="AJ889" s="376" t="str">
        <f>CS_PID!AJ889/VLOOKUP($B889,표2[#ALL],2)/HLOOKUP($A889,표1[#ALL],row(),false)</f>
        <v>#N/A</v>
      </c>
      <c r="AK889" s="376" t="str">
        <f>CS_PID!AK889/VLOOKUP($B889,표2[#ALL],2)/HLOOKUP($A889,표1[#ALL],row(),false)</f>
        <v>#N/A</v>
      </c>
      <c r="AL889" s="376" t="str">
        <f>CS_PID!AL889/VLOOKUP($B889,표2[#ALL],2)/HLOOKUP($A889,표1[#ALL],row(),false)</f>
        <v>#N/A</v>
      </c>
      <c r="AM889" s="376" t="str">
        <f>CS_PID!AM889/VLOOKUP($B889,표2[#ALL],2)/HLOOKUP($A889,표1[#ALL],row(),false)</f>
        <v>#N/A</v>
      </c>
      <c r="AN889" s="376" t="str">
        <f>CS_PID!AN889/VLOOKUP($B889,표2[#ALL],2)/HLOOKUP($A889,표1[#ALL],row(),false)</f>
        <v>#N/A</v>
      </c>
      <c r="AO889" s="376" t="str">
        <f>CS_PID!AO889/VLOOKUP($B889,표2[#ALL],2)/HLOOKUP($A889,표1[#ALL],row(),false)</f>
        <v>#N/A</v>
      </c>
      <c r="AP889" s="376" t="str">
        <f>CS_PID!AP889/VLOOKUP($B889,표2[#ALL],2)/HLOOKUP($A889,표1[#ALL],row(),false)</f>
        <v>#N/A</v>
      </c>
      <c r="AQ889" s="376" t="str">
        <f>CS_PID!AQ889/VLOOKUP($B889,표2[#ALL],2)/HLOOKUP($A889,표1[#ALL],row(),false)</f>
        <v>#N/A</v>
      </c>
      <c r="AR889" s="376" t="str">
        <f>CS_PID!AR889/VLOOKUP($B889,표2[#ALL],2)/HLOOKUP($A889,표1[#ALL],row(),false)</f>
        <v>#N/A</v>
      </c>
      <c r="AS889" s="377" t="str">
        <f>CS_PID!AS889/VLOOKUP($B889,표2[#ALL],2)/HLOOKUP($A889,표1[#ALL],row(),false)</f>
        <v>#N/A</v>
      </c>
    </row>
    <row r="890">
      <c r="A890" s="370"/>
      <c r="B890" s="371"/>
      <c r="C890" s="372" t="str">
        <f>CS_PID!C890/VLOOKUP($B890,표2[#ALL],2)</f>
        <v>#N/A</v>
      </c>
      <c r="D890" s="372" t="str">
        <f>CS_PID!D890/VLOOKUP($B890,표2[#ALL],2)</f>
        <v>#N/A</v>
      </c>
      <c r="E890" s="372" t="str">
        <f>CS_PID!E890/VLOOKUP($B890,표2[#ALL],2)</f>
        <v>#N/A</v>
      </c>
      <c r="F890" s="372" t="str">
        <f>CS_PID!F890/VLOOKUP($B890,표2[#ALL],2)</f>
        <v>#N/A</v>
      </c>
      <c r="G890" s="372" t="str">
        <f>CS_PID!G890/VLOOKUP($B890,표2[#ALL],2)</f>
        <v>#N/A</v>
      </c>
      <c r="H890" s="372" t="str">
        <f>CS_PID!H890/VLOOKUP($B890,표2[#ALL],2)/HLOOKUP($A890,표1[#ALL],row(),false)</f>
        <v>#N/A</v>
      </c>
      <c r="I890" s="372" t="str">
        <f>CS_PID!I890/VLOOKUP($B890,표2[#ALL],2)/HLOOKUP($A890,표1[#ALL],row(),false)</f>
        <v>#N/A</v>
      </c>
      <c r="J890" s="372" t="str">
        <f>CS_PID!J890/VLOOKUP($B890,표2[#ALL],2)/HLOOKUP($A890,표1[#ALL],row(),false)</f>
        <v>#N/A</v>
      </c>
      <c r="K890" s="372" t="str">
        <f>CS_PID!K890/VLOOKUP($B890,표2[#ALL],2)/HLOOKUP($A890,표1[#ALL],row(),false)</f>
        <v>#N/A</v>
      </c>
      <c r="L890" s="372" t="str">
        <f>CS_PID!L890/VLOOKUP($B890,표2[#ALL],2)/HLOOKUP($A890,표1[#ALL],row(),false)</f>
        <v>#N/A</v>
      </c>
      <c r="M890" s="372" t="str">
        <f>CS_PID!M890/VLOOKUP($B890,표2[#ALL],2)/HLOOKUP($A890,표1[#ALL],row(),false)</f>
        <v>#N/A</v>
      </c>
      <c r="N890" s="372" t="str">
        <f>CS_PID!N890/VLOOKUP($B890,표2[#ALL],2)/HLOOKUP($A890,표1[#ALL],row(),false)</f>
        <v>#N/A</v>
      </c>
      <c r="O890" s="372" t="str">
        <f>CS_PID!O890/VLOOKUP($B890,표2[#ALL],2)/HLOOKUP($A890,표1[#ALL],row(),false)</f>
        <v>#N/A</v>
      </c>
      <c r="P890" s="372" t="str">
        <f>CS_PID!P890/VLOOKUP($B890,표2[#ALL],2)/HLOOKUP($A890,표1[#ALL],row(),false)</f>
        <v>#N/A</v>
      </c>
      <c r="Q890" s="372" t="str">
        <f>CS_PID!Q890/VLOOKUP($B890,표2[#ALL],2)/HLOOKUP($A890,표1[#ALL],row(),false)</f>
        <v>#N/A</v>
      </c>
      <c r="R890" s="372" t="str">
        <f>CS_PID!R890/VLOOKUP($B890,표2[#ALL],2)/HLOOKUP($A890,표1[#ALL],row(),false)</f>
        <v>#N/A</v>
      </c>
      <c r="S890" s="372" t="str">
        <f>CS_PID!S890/VLOOKUP($B890,표2[#ALL],2)/HLOOKUP($A890,표1[#ALL],row(),false)</f>
        <v>#N/A</v>
      </c>
      <c r="T890" s="372" t="str">
        <f>CS_PID!T890/VLOOKUP($B890,표2[#ALL],2)/HLOOKUP($A890,표1[#ALL],row(),false)</f>
        <v>#N/A</v>
      </c>
      <c r="U890" s="372" t="str">
        <f>CS_PID!U890/VLOOKUP($B890,표2[#ALL],2)/HLOOKUP($A890,표1[#ALL],row(),false)</f>
        <v>#N/A</v>
      </c>
      <c r="V890" s="372" t="str">
        <f>CS_PID!V890/VLOOKUP($B890,표2[#ALL],2)/HLOOKUP($A890,표1[#ALL],row(),false)</f>
        <v>#N/A</v>
      </c>
      <c r="W890" s="372" t="str">
        <f>CS_PID!W890/VLOOKUP($B890,표2[#ALL],2)/HLOOKUP($A890,표1[#ALL],row(),false)</f>
        <v>#N/A</v>
      </c>
      <c r="X890" s="372" t="str">
        <f>CS_PID!X890/VLOOKUP($B890,표2[#ALL],2)/HLOOKUP($A890,표1[#ALL],row(),false)</f>
        <v>#N/A</v>
      </c>
      <c r="Y890" s="372" t="str">
        <f>CS_PID!Y890/VLOOKUP($B890,표2[#ALL],2)/HLOOKUP($A890,표1[#ALL],row(),false)</f>
        <v>#N/A</v>
      </c>
      <c r="Z890" s="372" t="str">
        <f>CS_PID!Z890/VLOOKUP($B890,표2[#ALL],2)/HLOOKUP($A890,표1[#ALL],row(),false)</f>
        <v>#N/A</v>
      </c>
      <c r="AA890" s="372" t="str">
        <f>CS_PID!AA890/VLOOKUP($B890,표2[#ALL],2)/HLOOKUP($A890,표1[#ALL],row(),false)</f>
        <v>#N/A</v>
      </c>
      <c r="AB890" s="372" t="str">
        <f>CS_PID!AB890/VLOOKUP($B890,표2[#ALL],2)/HLOOKUP($A890,표1[#ALL],row(),false)</f>
        <v>#N/A</v>
      </c>
      <c r="AC890" s="372" t="str">
        <f>CS_PID!AC890/VLOOKUP($B890,표2[#ALL],2)/HLOOKUP($A890,표1[#ALL],row(),false)</f>
        <v>#N/A</v>
      </c>
      <c r="AD890" s="372" t="str">
        <f>CS_PID!AD890/VLOOKUP($B890,표2[#ALL],2)/HLOOKUP($A890,표1[#ALL],row(),false)</f>
        <v>#N/A</v>
      </c>
      <c r="AE890" s="372" t="str">
        <f>CS_PID!AE890/VLOOKUP($B890,표2[#ALL],2)/HLOOKUP($A890,표1[#ALL],row(),false)</f>
        <v>#N/A</v>
      </c>
      <c r="AF890" s="372" t="str">
        <f>CS_PID!AF890/VLOOKUP($B890,표2[#ALL],2)/HLOOKUP($A890,표1[#ALL],row(),false)</f>
        <v>#N/A</v>
      </c>
      <c r="AG890" s="372" t="str">
        <f>CS_PID!AG890/VLOOKUP($B890,표2[#ALL],2)/HLOOKUP($A890,표1[#ALL],row(),false)</f>
        <v>#N/A</v>
      </c>
      <c r="AH890" s="372" t="str">
        <f>CS_PID!AH890/VLOOKUP($B890,표2[#ALL],2)/HLOOKUP($A890,표1[#ALL],row(),false)</f>
        <v>#N/A</v>
      </c>
      <c r="AI890" s="372" t="str">
        <f>CS_PID!AI890/VLOOKUP($B890,표2[#ALL],2)/HLOOKUP($A890,표1[#ALL],row(),false)</f>
        <v>#N/A</v>
      </c>
      <c r="AJ890" s="372" t="str">
        <f>CS_PID!AJ890/VLOOKUP($B890,표2[#ALL],2)/HLOOKUP($A890,표1[#ALL],row(),false)</f>
        <v>#N/A</v>
      </c>
      <c r="AK890" s="372" t="str">
        <f>CS_PID!AK890/VLOOKUP($B890,표2[#ALL],2)/HLOOKUP($A890,표1[#ALL],row(),false)</f>
        <v>#N/A</v>
      </c>
      <c r="AL890" s="372" t="str">
        <f>CS_PID!AL890/VLOOKUP($B890,표2[#ALL],2)/HLOOKUP($A890,표1[#ALL],row(),false)</f>
        <v>#N/A</v>
      </c>
      <c r="AM890" s="372" t="str">
        <f>CS_PID!AM890/VLOOKUP($B890,표2[#ALL],2)/HLOOKUP($A890,표1[#ALL],row(),false)</f>
        <v>#N/A</v>
      </c>
      <c r="AN890" s="372" t="str">
        <f>CS_PID!AN890/VLOOKUP($B890,표2[#ALL],2)/HLOOKUP($A890,표1[#ALL],row(),false)</f>
        <v>#N/A</v>
      </c>
      <c r="AO890" s="372" t="str">
        <f>CS_PID!AO890/VLOOKUP($B890,표2[#ALL],2)/HLOOKUP($A890,표1[#ALL],row(),false)</f>
        <v>#N/A</v>
      </c>
      <c r="AP890" s="372" t="str">
        <f>CS_PID!AP890/VLOOKUP($B890,표2[#ALL],2)/HLOOKUP($A890,표1[#ALL],row(),false)</f>
        <v>#N/A</v>
      </c>
      <c r="AQ890" s="372" t="str">
        <f>CS_PID!AQ890/VLOOKUP($B890,표2[#ALL],2)/HLOOKUP($A890,표1[#ALL],row(),false)</f>
        <v>#N/A</v>
      </c>
      <c r="AR890" s="372" t="str">
        <f>CS_PID!AR890/VLOOKUP($B890,표2[#ALL],2)/HLOOKUP($A890,표1[#ALL],row(),false)</f>
        <v>#N/A</v>
      </c>
      <c r="AS890" s="373" t="str">
        <f>CS_PID!AS890/VLOOKUP($B890,표2[#ALL],2)/HLOOKUP($A890,표1[#ALL],row(),false)</f>
        <v>#N/A</v>
      </c>
    </row>
    <row r="891">
      <c r="A891" s="374"/>
      <c r="B891" s="375"/>
      <c r="C891" s="376" t="str">
        <f>CS_PID!C891/VLOOKUP($B891,표2[#ALL],2)</f>
        <v>#N/A</v>
      </c>
      <c r="D891" s="376" t="str">
        <f>CS_PID!D891/VLOOKUP($B891,표2[#ALL],2)</f>
        <v>#N/A</v>
      </c>
      <c r="E891" s="376" t="str">
        <f>CS_PID!E891/VLOOKUP($B891,표2[#ALL],2)</f>
        <v>#N/A</v>
      </c>
      <c r="F891" s="376" t="str">
        <f>CS_PID!F891/VLOOKUP($B891,표2[#ALL],2)</f>
        <v>#N/A</v>
      </c>
      <c r="G891" s="376" t="str">
        <f>CS_PID!G891/VLOOKUP($B891,표2[#ALL],2)</f>
        <v>#N/A</v>
      </c>
      <c r="H891" s="376" t="str">
        <f>CS_PID!H891/VLOOKUP($B891,표2[#ALL],2)/HLOOKUP($A891,표1[#ALL],row(),false)</f>
        <v>#N/A</v>
      </c>
      <c r="I891" s="376" t="str">
        <f>CS_PID!I891/VLOOKUP($B891,표2[#ALL],2)/HLOOKUP($A891,표1[#ALL],row(),false)</f>
        <v>#N/A</v>
      </c>
      <c r="J891" s="376" t="str">
        <f>CS_PID!J891/VLOOKUP($B891,표2[#ALL],2)/HLOOKUP($A891,표1[#ALL],row(),false)</f>
        <v>#N/A</v>
      </c>
      <c r="K891" s="376" t="str">
        <f>CS_PID!K891/VLOOKUP($B891,표2[#ALL],2)/HLOOKUP($A891,표1[#ALL],row(),false)</f>
        <v>#N/A</v>
      </c>
      <c r="L891" s="376" t="str">
        <f>CS_PID!L891/VLOOKUP($B891,표2[#ALL],2)/HLOOKUP($A891,표1[#ALL],row(),false)</f>
        <v>#N/A</v>
      </c>
      <c r="M891" s="376" t="str">
        <f>CS_PID!M891/VLOOKUP($B891,표2[#ALL],2)/HLOOKUP($A891,표1[#ALL],row(),false)</f>
        <v>#N/A</v>
      </c>
      <c r="N891" s="376" t="str">
        <f>CS_PID!N891/VLOOKUP($B891,표2[#ALL],2)/HLOOKUP($A891,표1[#ALL],row(),false)</f>
        <v>#N/A</v>
      </c>
      <c r="O891" s="376" t="str">
        <f>CS_PID!O891/VLOOKUP($B891,표2[#ALL],2)/HLOOKUP($A891,표1[#ALL],row(),false)</f>
        <v>#N/A</v>
      </c>
      <c r="P891" s="376" t="str">
        <f>CS_PID!P891/VLOOKUP($B891,표2[#ALL],2)/HLOOKUP($A891,표1[#ALL],row(),false)</f>
        <v>#N/A</v>
      </c>
      <c r="Q891" s="376" t="str">
        <f>CS_PID!Q891/VLOOKUP($B891,표2[#ALL],2)/HLOOKUP($A891,표1[#ALL],row(),false)</f>
        <v>#N/A</v>
      </c>
      <c r="R891" s="376" t="str">
        <f>CS_PID!R891/VLOOKUP($B891,표2[#ALL],2)/HLOOKUP($A891,표1[#ALL],row(),false)</f>
        <v>#N/A</v>
      </c>
      <c r="S891" s="376" t="str">
        <f>CS_PID!S891/VLOOKUP($B891,표2[#ALL],2)/HLOOKUP($A891,표1[#ALL],row(),false)</f>
        <v>#N/A</v>
      </c>
      <c r="T891" s="376" t="str">
        <f>CS_PID!T891/VLOOKUP($B891,표2[#ALL],2)/HLOOKUP($A891,표1[#ALL],row(),false)</f>
        <v>#N/A</v>
      </c>
      <c r="U891" s="376" t="str">
        <f>CS_PID!U891/VLOOKUP($B891,표2[#ALL],2)/HLOOKUP($A891,표1[#ALL],row(),false)</f>
        <v>#N/A</v>
      </c>
      <c r="V891" s="376" t="str">
        <f>CS_PID!V891/VLOOKUP($B891,표2[#ALL],2)/HLOOKUP($A891,표1[#ALL],row(),false)</f>
        <v>#N/A</v>
      </c>
      <c r="W891" s="376" t="str">
        <f>CS_PID!W891/VLOOKUP($B891,표2[#ALL],2)/HLOOKUP($A891,표1[#ALL],row(),false)</f>
        <v>#N/A</v>
      </c>
      <c r="X891" s="376" t="str">
        <f>CS_PID!X891/VLOOKUP($B891,표2[#ALL],2)/HLOOKUP($A891,표1[#ALL],row(),false)</f>
        <v>#N/A</v>
      </c>
      <c r="Y891" s="376" t="str">
        <f>CS_PID!Y891/VLOOKUP($B891,표2[#ALL],2)/HLOOKUP($A891,표1[#ALL],row(),false)</f>
        <v>#N/A</v>
      </c>
      <c r="Z891" s="376" t="str">
        <f>CS_PID!Z891/VLOOKUP($B891,표2[#ALL],2)/HLOOKUP($A891,표1[#ALL],row(),false)</f>
        <v>#N/A</v>
      </c>
      <c r="AA891" s="376" t="str">
        <f>CS_PID!AA891/VLOOKUP($B891,표2[#ALL],2)/HLOOKUP($A891,표1[#ALL],row(),false)</f>
        <v>#N/A</v>
      </c>
      <c r="AB891" s="376" t="str">
        <f>CS_PID!AB891/VLOOKUP($B891,표2[#ALL],2)/HLOOKUP($A891,표1[#ALL],row(),false)</f>
        <v>#N/A</v>
      </c>
      <c r="AC891" s="376" t="str">
        <f>CS_PID!AC891/VLOOKUP($B891,표2[#ALL],2)/HLOOKUP($A891,표1[#ALL],row(),false)</f>
        <v>#N/A</v>
      </c>
      <c r="AD891" s="376" t="str">
        <f>CS_PID!AD891/VLOOKUP($B891,표2[#ALL],2)/HLOOKUP($A891,표1[#ALL],row(),false)</f>
        <v>#N/A</v>
      </c>
      <c r="AE891" s="376" t="str">
        <f>CS_PID!AE891/VLOOKUP($B891,표2[#ALL],2)/HLOOKUP($A891,표1[#ALL],row(),false)</f>
        <v>#N/A</v>
      </c>
      <c r="AF891" s="376" t="str">
        <f>CS_PID!AF891/VLOOKUP($B891,표2[#ALL],2)/HLOOKUP($A891,표1[#ALL],row(),false)</f>
        <v>#N/A</v>
      </c>
      <c r="AG891" s="376" t="str">
        <f>CS_PID!AG891/VLOOKUP($B891,표2[#ALL],2)/HLOOKUP($A891,표1[#ALL],row(),false)</f>
        <v>#N/A</v>
      </c>
      <c r="AH891" s="376" t="str">
        <f>CS_PID!AH891/VLOOKUP($B891,표2[#ALL],2)/HLOOKUP($A891,표1[#ALL],row(),false)</f>
        <v>#N/A</v>
      </c>
      <c r="AI891" s="376" t="str">
        <f>CS_PID!AI891/VLOOKUP($B891,표2[#ALL],2)/HLOOKUP($A891,표1[#ALL],row(),false)</f>
        <v>#N/A</v>
      </c>
      <c r="AJ891" s="376" t="str">
        <f>CS_PID!AJ891/VLOOKUP($B891,표2[#ALL],2)/HLOOKUP($A891,표1[#ALL],row(),false)</f>
        <v>#N/A</v>
      </c>
      <c r="AK891" s="376" t="str">
        <f>CS_PID!AK891/VLOOKUP($B891,표2[#ALL],2)/HLOOKUP($A891,표1[#ALL],row(),false)</f>
        <v>#N/A</v>
      </c>
      <c r="AL891" s="376" t="str">
        <f>CS_PID!AL891/VLOOKUP($B891,표2[#ALL],2)/HLOOKUP($A891,표1[#ALL],row(),false)</f>
        <v>#N/A</v>
      </c>
      <c r="AM891" s="376" t="str">
        <f>CS_PID!AM891/VLOOKUP($B891,표2[#ALL],2)/HLOOKUP($A891,표1[#ALL],row(),false)</f>
        <v>#N/A</v>
      </c>
      <c r="AN891" s="376" t="str">
        <f>CS_PID!AN891/VLOOKUP($B891,표2[#ALL],2)/HLOOKUP($A891,표1[#ALL],row(),false)</f>
        <v>#N/A</v>
      </c>
      <c r="AO891" s="376" t="str">
        <f>CS_PID!AO891/VLOOKUP($B891,표2[#ALL],2)/HLOOKUP($A891,표1[#ALL],row(),false)</f>
        <v>#N/A</v>
      </c>
      <c r="AP891" s="376" t="str">
        <f>CS_PID!AP891/VLOOKUP($B891,표2[#ALL],2)/HLOOKUP($A891,표1[#ALL],row(),false)</f>
        <v>#N/A</v>
      </c>
      <c r="AQ891" s="376" t="str">
        <f>CS_PID!AQ891/VLOOKUP($B891,표2[#ALL],2)/HLOOKUP($A891,표1[#ALL],row(),false)</f>
        <v>#N/A</v>
      </c>
      <c r="AR891" s="376" t="str">
        <f>CS_PID!AR891/VLOOKUP($B891,표2[#ALL],2)/HLOOKUP($A891,표1[#ALL],row(),false)</f>
        <v>#N/A</v>
      </c>
      <c r="AS891" s="377" t="str">
        <f>CS_PID!AS891/VLOOKUP($B891,표2[#ALL],2)/HLOOKUP($A891,표1[#ALL],row(),false)</f>
        <v>#N/A</v>
      </c>
    </row>
    <row r="892">
      <c r="A892" s="370"/>
      <c r="B892" s="371"/>
      <c r="C892" s="372" t="str">
        <f>CS_PID!C892/VLOOKUP($B892,표2[#ALL],2)</f>
        <v>#N/A</v>
      </c>
      <c r="D892" s="372" t="str">
        <f>CS_PID!D892/VLOOKUP($B892,표2[#ALL],2)</f>
        <v>#N/A</v>
      </c>
      <c r="E892" s="372" t="str">
        <f>CS_PID!E892/VLOOKUP($B892,표2[#ALL],2)</f>
        <v>#N/A</v>
      </c>
      <c r="F892" s="372" t="str">
        <f>CS_PID!F892/VLOOKUP($B892,표2[#ALL],2)</f>
        <v>#N/A</v>
      </c>
      <c r="G892" s="372" t="str">
        <f>CS_PID!G892/VLOOKUP($B892,표2[#ALL],2)</f>
        <v>#N/A</v>
      </c>
      <c r="H892" s="372" t="str">
        <f>CS_PID!H892/VLOOKUP($B892,표2[#ALL],2)/HLOOKUP($A892,표1[#ALL],row(),false)</f>
        <v>#N/A</v>
      </c>
      <c r="I892" s="372" t="str">
        <f>CS_PID!I892/VLOOKUP($B892,표2[#ALL],2)/HLOOKUP($A892,표1[#ALL],row(),false)</f>
        <v>#N/A</v>
      </c>
      <c r="J892" s="372" t="str">
        <f>CS_PID!J892/VLOOKUP($B892,표2[#ALL],2)/HLOOKUP($A892,표1[#ALL],row(),false)</f>
        <v>#N/A</v>
      </c>
      <c r="K892" s="372" t="str">
        <f>CS_PID!K892/VLOOKUP($B892,표2[#ALL],2)/HLOOKUP($A892,표1[#ALL],row(),false)</f>
        <v>#N/A</v>
      </c>
      <c r="L892" s="372" t="str">
        <f>CS_PID!L892/VLOOKUP($B892,표2[#ALL],2)/HLOOKUP($A892,표1[#ALL],row(),false)</f>
        <v>#N/A</v>
      </c>
      <c r="M892" s="372" t="str">
        <f>CS_PID!M892/VLOOKUP($B892,표2[#ALL],2)/HLOOKUP($A892,표1[#ALL],row(),false)</f>
        <v>#N/A</v>
      </c>
      <c r="N892" s="372" t="str">
        <f>CS_PID!N892/VLOOKUP($B892,표2[#ALL],2)/HLOOKUP($A892,표1[#ALL],row(),false)</f>
        <v>#N/A</v>
      </c>
      <c r="O892" s="372" t="str">
        <f>CS_PID!O892/VLOOKUP($B892,표2[#ALL],2)/HLOOKUP($A892,표1[#ALL],row(),false)</f>
        <v>#N/A</v>
      </c>
      <c r="P892" s="372" t="str">
        <f>CS_PID!P892/VLOOKUP($B892,표2[#ALL],2)/HLOOKUP($A892,표1[#ALL],row(),false)</f>
        <v>#N/A</v>
      </c>
      <c r="Q892" s="372" t="str">
        <f>CS_PID!Q892/VLOOKUP($B892,표2[#ALL],2)/HLOOKUP($A892,표1[#ALL],row(),false)</f>
        <v>#N/A</v>
      </c>
      <c r="R892" s="372" t="str">
        <f>CS_PID!R892/VLOOKUP($B892,표2[#ALL],2)/HLOOKUP($A892,표1[#ALL],row(),false)</f>
        <v>#N/A</v>
      </c>
      <c r="S892" s="372" t="str">
        <f>CS_PID!S892/VLOOKUP($B892,표2[#ALL],2)/HLOOKUP($A892,표1[#ALL],row(),false)</f>
        <v>#N/A</v>
      </c>
      <c r="T892" s="372" t="str">
        <f>CS_PID!T892/VLOOKUP($B892,표2[#ALL],2)/HLOOKUP($A892,표1[#ALL],row(),false)</f>
        <v>#N/A</v>
      </c>
      <c r="U892" s="372" t="str">
        <f>CS_PID!U892/VLOOKUP($B892,표2[#ALL],2)/HLOOKUP($A892,표1[#ALL],row(),false)</f>
        <v>#N/A</v>
      </c>
      <c r="V892" s="372" t="str">
        <f>CS_PID!V892/VLOOKUP($B892,표2[#ALL],2)/HLOOKUP($A892,표1[#ALL],row(),false)</f>
        <v>#N/A</v>
      </c>
      <c r="W892" s="372" t="str">
        <f>CS_PID!W892/VLOOKUP($B892,표2[#ALL],2)/HLOOKUP($A892,표1[#ALL],row(),false)</f>
        <v>#N/A</v>
      </c>
      <c r="X892" s="372" t="str">
        <f>CS_PID!X892/VLOOKUP($B892,표2[#ALL],2)/HLOOKUP($A892,표1[#ALL],row(),false)</f>
        <v>#N/A</v>
      </c>
      <c r="Y892" s="372" t="str">
        <f>CS_PID!Y892/VLOOKUP($B892,표2[#ALL],2)/HLOOKUP($A892,표1[#ALL],row(),false)</f>
        <v>#N/A</v>
      </c>
      <c r="Z892" s="372" t="str">
        <f>CS_PID!Z892/VLOOKUP($B892,표2[#ALL],2)/HLOOKUP($A892,표1[#ALL],row(),false)</f>
        <v>#N/A</v>
      </c>
      <c r="AA892" s="372" t="str">
        <f>CS_PID!AA892/VLOOKUP($B892,표2[#ALL],2)/HLOOKUP($A892,표1[#ALL],row(),false)</f>
        <v>#N/A</v>
      </c>
      <c r="AB892" s="372" t="str">
        <f>CS_PID!AB892/VLOOKUP($B892,표2[#ALL],2)/HLOOKUP($A892,표1[#ALL],row(),false)</f>
        <v>#N/A</v>
      </c>
      <c r="AC892" s="372" t="str">
        <f>CS_PID!AC892/VLOOKUP($B892,표2[#ALL],2)/HLOOKUP($A892,표1[#ALL],row(),false)</f>
        <v>#N/A</v>
      </c>
      <c r="AD892" s="372" t="str">
        <f>CS_PID!AD892/VLOOKUP($B892,표2[#ALL],2)/HLOOKUP($A892,표1[#ALL],row(),false)</f>
        <v>#N/A</v>
      </c>
      <c r="AE892" s="372" t="str">
        <f>CS_PID!AE892/VLOOKUP($B892,표2[#ALL],2)/HLOOKUP($A892,표1[#ALL],row(),false)</f>
        <v>#N/A</v>
      </c>
      <c r="AF892" s="372" t="str">
        <f>CS_PID!AF892/VLOOKUP($B892,표2[#ALL],2)/HLOOKUP($A892,표1[#ALL],row(),false)</f>
        <v>#N/A</v>
      </c>
      <c r="AG892" s="372" t="str">
        <f>CS_PID!AG892/VLOOKUP($B892,표2[#ALL],2)/HLOOKUP($A892,표1[#ALL],row(),false)</f>
        <v>#N/A</v>
      </c>
      <c r="AH892" s="372" t="str">
        <f>CS_PID!AH892/VLOOKUP($B892,표2[#ALL],2)/HLOOKUP($A892,표1[#ALL],row(),false)</f>
        <v>#N/A</v>
      </c>
      <c r="AI892" s="372" t="str">
        <f>CS_PID!AI892/VLOOKUP($B892,표2[#ALL],2)/HLOOKUP($A892,표1[#ALL],row(),false)</f>
        <v>#N/A</v>
      </c>
      <c r="AJ892" s="372" t="str">
        <f>CS_PID!AJ892/VLOOKUP($B892,표2[#ALL],2)/HLOOKUP($A892,표1[#ALL],row(),false)</f>
        <v>#N/A</v>
      </c>
      <c r="AK892" s="372" t="str">
        <f>CS_PID!AK892/VLOOKUP($B892,표2[#ALL],2)/HLOOKUP($A892,표1[#ALL],row(),false)</f>
        <v>#N/A</v>
      </c>
      <c r="AL892" s="372" t="str">
        <f>CS_PID!AL892/VLOOKUP($B892,표2[#ALL],2)/HLOOKUP($A892,표1[#ALL],row(),false)</f>
        <v>#N/A</v>
      </c>
      <c r="AM892" s="372" t="str">
        <f>CS_PID!AM892/VLOOKUP($B892,표2[#ALL],2)/HLOOKUP($A892,표1[#ALL],row(),false)</f>
        <v>#N/A</v>
      </c>
      <c r="AN892" s="372" t="str">
        <f>CS_PID!AN892/VLOOKUP($B892,표2[#ALL],2)/HLOOKUP($A892,표1[#ALL],row(),false)</f>
        <v>#N/A</v>
      </c>
      <c r="AO892" s="372" t="str">
        <f>CS_PID!AO892/VLOOKUP($B892,표2[#ALL],2)/HLOOKUP($A892,표1[#ALL],row(),false)</f>
        <v>#N/A</v>
      </c>
      <c r="AP892" s="372" t="str">
        <f>CS_PID!AP892/VLOOKUP($B892,표2[#ALL],2)/HLOOKUP($A892,표1[#ALL],row(),false)</f>
        <v>#N/A</v>
      </c>
      <c r="AQ892" s="372" t="str">
        <f>CS_PID!AQ892/VLOOKUP($B892,표2[#ALL],2)/HLOOKUP($A892,표1[#ALL],row(),false)</f>
        <v>#N/A</v>
      </c>
      <c r="AR892" s="372" t="str">
        <f>CS_PID!AR892/VLOOKUP($B892,표2[#ALL],2)/HLOOKUP($A892,표1[#ALL],row(),false)</f>
        <v>#N/A</v>
      </c>
      <c r="AS892" s="373" t="str">
        <f>CS_PID!AS892/VLOOKUP($B892,표2[#ALL],2)/HLOOKUP($A892,표1[#ALL],row(),false)</f>
        <v>#N/A</v>
      </c>
    </row>
    <row r="893">
      <c r="A893" s="374"/>
      <c r="B893" s="375"/>
      <c r="C893" s="376" t="str">
        <f>CS_PID!C893/VLOOKUP($B893,표2[#ALL],2)</f>
        <v>#N/A</v>
      </c>
      <c r="D893" s="376" t="str">
        <f>CS_PID!D893/VLOOKUP($B893,표2[#ALL],2)</f>
        <v>#N/A</v>
      </c>
      <c r="E893" s="376" t="str">
        <f>CS_PID!E893/VLOOKUP($B893,표2[#ALL],2)</f>
        <v>#N/A</v>
      </c>
      <c r="F893" s="376" t="str">
        <f>CS_PID!F893/VLOOKUP($B893,표2[#ALL],2)</f>
        <v>#N/A</v>
      </c>
      <c r="G893" s="376" t="str">
        <f>CS_PID!G893/VLOOKUP($B893,표2[#ALL],2)</f>
        <v>#N/A</v>
      </c>
      <c r="H893" s="376" t="str">
        <f>CS_PID!H893/VLOOKUP($B893,표2[#ALL],2)/HLOOKUP($A893,표1[#ALL],row(),false)</f>
        <v>#N/A</v>
      </c>
      <c r="I893" s="376" t="str">
        <f>CS_PID!I893/VLOOKUP($B893,표2[#ALL],2)/HLOOKUP($A893,표1[#ALL],row(),false)</f>
        <v>#N/A</v>
      </c>
      <c r="J893" s="376" t="str">
        <f>CS_PID!J893/VLOOKUP($B893,표2[#ALL],2)/HLOOKUP($A893,표1[#ALL],row(),false)</f>
        <v>#N/A</v>
      </c>
      <c r="K893" s="376" t="str">
        <f>CS_PID!K893/VLOOKUP($B893,표2[#ALL],2)/HLOOKUP($A893,표1[#ALL],row(),false)</f>
        <v>#N/A</v>
      </c>
      <c r="L893" s="376" t="str">
        <f>CS_PID!L893/VLOOKUP($B893,표2[#ALL],2)/HLOOKUP($A893,표1[#ALL],row(),false)</f>
        <v>#N/A</v>
      </c>
      <c r="M893" s="376" t="str">
        <f>CS_PID!M893/VLOOKUP($B893,표2[#ALL],2)/HLOOKUP($A893,표1[#ALL],row(),false)</f>
        <v>#N/A</v>
      </c>
      <c r="N893" s="376" t="str">
        <f>CS_PID!N893/VLOOKUP($B893,표2[#ALL],2)/HLOOKUP($A893,표1[#ALL],row(),false)</f>
        <v>#N/A</v>
      </c>
      <c r="O893" s="376" t="str">
        <f>CS_PID!O893/VLOOKUP($B893,표2[#ALL],2)/HLOOKUP($A893,표1[#ALL],row(),false)</f>
        <v>#N/A</v>
      </c>
      <c r="P893" s="376" t="str">
        <f>CS_PID!P893/VLOOKUP($B893,표2[#ALL],2)/HLOOKUP($A893,표1[#ALL],row(),false)</f>
        <v>#N/A</v>
      </c>
      <c r="Q893" s="376" t="str">
        <f>CS_PID!Q893/VLOOKUP($B893,표2[#ALL],2)/HLOOKUP($A893,표1[#ALL],row(),false)</f>
        <v>#N/A</v>
      </c>
      <c r="R893" s="376" t="str">
        <f>CS_PID!R893/VLOOKUP($B893,표2[#ALL],2)/HLOOKUP($A893,표1[#ALL],row(),false)</f>
        <v>#N/A</v>
      </c>
      <c r="S893" s="376" t="str">
        <f>CS_PID!S893/VLOOKUP($B893,표2[#ALL],2)/HLOOKUP($A893,표1[#ALL],row(),false)</f>
        <v>#N/A</v>
      </c>
      <c r="T893" s="376" t="str">
        <f>CS_PID!T893/VLOOKUP($B893,표2[#ALL],2)/HLOOKUP($A893,표1[#ALL],row(),false)</f>
        <v>#N/A</v>
      </c>
      <c r="U893" s="376" t="str">
        <f>CS_PID!U893/VLOOKUP($B893,표2[#ALL],2)/HLOOKUP($A893,표1[#ALL],row(),false)</f>
        <v>#N/A</v>
      </c>
      <c r="V893" s="376" t="str">
        <f>CS_PID!V893/VLOOKUP($B893,표2[#ALL],2)/HLOOKUP($A893,표1[#ALL],row(),false)</f>
        <v>#N/A</v>
      </c>
      <c r="W893" s="376" t="str">
        <f>CS_PID!W893/VLOOKUP($B893,표2[#ALL],2)/HLOOKUP($A893,표1[#ALL],row(),false)</f>
        <v>#N/A</v>
      </c>
      <c r="X893" s="376" t="str">
        <f>CS_PID!X893/VLOOKUP($B893,표2[#ALL],2)/HLOOKUP($A893,표1[#ALL],row(),false)</f>
        <v>#N/A</v>
      </c>
      <c r="Y893" s="376" t="str">
        <f>CS_PID!Y893/VLOOKUP($B893,표2[#ALL],2)/HLOOKUP($A893,표1[#ALL],row(),false)</f>
        <v>#N/A</v>
      </c>
      <c r="Z893" s="376" t="str">
        <f>CS_PID!Z893/VLOOKUP($B893,표2[#ALL],2)/HLOOKUP($A893,표1[#ALL],row(),false)</f>
        <v>#N/A</v>
      </c>
      <c r="AA893" s="376" t="str">
        <f>CS_PID!AA893/VLOOKUP($B893,표2[#ALL],2)/HLOOKUP($A893,표1[#ALL],row(),false)</f>
        <v>#N/A</v>
      </c>
      <c r="AB893" s="376" t="str">
        <f>CS_PID!AB893/VLOOKUP($B893,표2[#ALL],2)/HLOOKUP($A893,표1[#ALL],row(),false)</f>
        <v>#N/A</v>
      </c>
      <c r="AC893" s="376" t="str">
        <f>CS_PID!AC893/VLOOKUP($B893,표2[#ALL],2)/HLOOKUP($A893,표1[#ALL],row(),false)</f>
        <v>#N/A</v>
      </c>
      <c r="AD893" s="376" t="str">
        <f>CS_PID!AD893/VLOOKUP($B893,표2[#ALL],2)/HLOOKUP($A893,표1[#ALL],row(),false)</f>
        <v>#N/A</v>
      </c>
      <c r="AE893" s="376" t="str">
        <f>CS_PID!AE893/VLOOKUP($B893,표2[#ALL],2)/HLOOKUP($A893,표1[#ALL],row(),false)</f>
        <v>#N/A</v>
      </c>
      <c r="AF893" s="376" t="str">
        <f>CS_PID!AF893/VLOOKUP($B893,표2[#ALL],2)/HLOOKUP($A893,표1[#ALL],row(),false)</f>
        <v>#N/A</v>
      </c>
      <c r="AG893" s="376" t="str">
        <f>CS_PID!AG893/VLOOKUP($B893,표2[#ALL],2)/HLOOKUP($A893,표1[#ALL],row(),false)</f>
        <v>#N/A</v>
      </c>
      <c r="AH893" s="376" t="str">
        <f>CS_PID!AH893/VLOOKUP($B893,표2[#ALL],2)/HLOOKUP($A893,표1[#ALL],row(),false)</f>
        <v>#N/A</v>
      </c>
      <c r="AI893" s="376" t="str">
        <f>CS_PID!AI893/VLOOKUP($B893,표2[#ALL],2)/HLOOKUP($A893,표1[#ALL],row(),false)</f>
        <v>#N/A</v>
      </c>
      <c r="AJ893" s="376" t="str">
        <f>CS_PID!AJ893/VLOOKUP($B893,표2[#ALL],2)/HLOOKUP($A893,표1[#ALL],row(),false)</f>
        <v>#N/A</v>
      </c>
      <c r="AK893" s="376" t="str">
        <f>CS_PID!AK893/VLOOKUP($B893,표2[#ALL],2)/HLOOKUP($A893,표1[#ALL],row(),false)</f>
        <v>#N/A</v>
      </c>
      <c r="AL893" s="376" t="str">
        <f>CS_PID!AL893/VLOOKUP($B893,표2[#ALL],2)/HLOOKUP($A893,표1[#ALL],row(),false)</f>
        <v>#N/A</v>
      </c>
      <c r="AM893" s="376" t="str">
        <f>CS_PID!AM893/VLOOKUP($B893,표2[#ALL],2)/HLOOKUP($A893,표1[#ALL],row(),false)</f>
        <v>#N/A</v>
      </c>
      <c r="AN893" s="376" t="str">
        <f>CS_PID!AN893/VLOOKUP($B893,표2[#ALL],2)/HLOOKUP($A893,표1[#ALL],row(),false)</f>
        <v>#N/A</v>
      </c>
      <c r="AO893" s="376" t="str">
        <f>CS_PID!AO893/VLOOKUP($B893,표2[#ALL],2)/HLOOKUP($A893,표1[#ALL],row(),false)</f>
        <v>#N/A</v>
      </c>
      <c r="AP893" s="376" t="str">
        <f>CS_PID!AP893/VLOOKUP($B893,표2[#ALL],2)/HLOOKUP($A893,표1[#ALL],row(),false)</f>
        <v>#N/A</v>
      </c>
      <c r="AQ893" s="376" t="str">
        <f>CS_PID!AQ893/VLOOKUP($B893,표2[#ALL],2)/HLOOKUP($A893,표1[#ALL],row(),false)</f>
        <v>#N/A</v>
      </c>
      <c r="AR893" s="376" t="str">
        <f>CS_PID!AR893/VLOOKUP($B893,표2[#ALL],2)/HLOOKUP($A893,표1[#ALL],row(),false)</f>
        <v>#N/A</v>
      </c>
      <c r="AS893" s="377" t="str">
        <f>CS_PID!AS893/VLOOKUP($B893,표2[#ALL],2)/HLOOKUP($A893,표1[#ALL],row(),false)</f>
        <v>#N/A</v>
      </c>
    </row>
    <row r="894">
      <c r="A894" s="370"/>
      <c r="B894" s="371"/>
      <c r="C894" s="372" t="str">
        <f>CS_PID!C894/VLOOKUP($B894,표2[#ALL],2)</f>
        <v>#N/A</v>
      </c>
      <c r="D894" s="372" t="str">
        <f>CS_PID!D894/VLOOKUP($B894,표2[#ALL],2)</f>
        <v>#N/A</v>
      </c>
      <c r="E894" s="372" t="str">
        <f>CS_PID!E894/VLOOKUP($B894,표2[#ALL],2)</f>
        <v>#N/A</v>
      </c>
      <c r="F894" s="372" t="str">
        <f>CS_PID!F894/VLOOKUP($B894,표2[#ALL],2)</f>
        <v>#N/A</v>
      </c>
      <c r="G894" s="372" t="str">
        <f>CS_PID!G894/VLOOKUP($B894,표2[#ALL],2)</f>
        <v>#N/A</v>
      </c>
      <c r="H894" s="372" t="str">
        <f>CS_PID!H894/VLOOKUP($B894,표2[#ALL],2)/HLOOKUP($A894,표1[#ALL],row(),false)</f>
        <v>#N/A</v>
      </c>
      <c r="I894" s="372" t="str">
        <f>CS_PID!I894/VLOOKUP($B894,표2[#ALL],2)/HLOOKUP($A894,표1[#ALL],row(),false)</f>
        <v>#N/A</v>
      </c>
      <c r="J894" s="372" t="str">
        <f>CS_PID!J894/VLOOKUP($B894,표2[#ALL],2)/HLOOKUP($A894,표1[#ALL],row(),false)</f>
        <v>#N/A</v>
      </c>
      <c r="K894" s="372" t="str">
        <f>CS_PID!K894/VLOOKUP($B894,표2[#ALL],2)/HLOOKUP($A894,표1[#ALL],row(),false)</f>
        <v>#N/A</v>
      </c>
      <c r="L894" s="372" t="str">
        <f>CS_PID!L894/VLOOKUP($B894,표2[#ALL],2)/HLOOKUP($A894,표1[#ALL],row(),false)</f>
        <v>#N/A</v>
      </c>
      <c r="M894" s="372" t="str">
        <f>CS_PID!M894/VLOOKUP($B894,표2[#ALL],2)/HLOOKUP($A894,표1[#ALL],row(),false)</f>
        <v>#N/A</v>
      </c>
      <c r="N894" s="372" t="str">
        <f>CS_PID!N894/VLOOKUP($B894,표2[#ALL],2)/HLOOKUP($A894,표1[#ALL],row(),false)</f>
        <v>#N/A</v>
      </c>
      <c r="O894" s="372" t="str">
        <f>CS_PID!O894/VLOOKUP($B894,표2[#ALL],2)/HLOOKUP($A894,표1[#ALL],row(),false)</f>
        <v>#N/A</v>
      </c>
      <c r="P894" s="372" t="str">
        <f>CS_PID!P894/VLOOKUP($B894,표2[#ALL],2)/HLOOKUP($A894,표1[#ALL],row(),false)</f>
        <v>#N/A</v>
      </c>
      <c r="Q894" s="372" t="str">
        <f>CS_PID!Q894/VLOOKUP($B894,표2[#ALL],2)/HLOOKUP($A894,표1[#ALL],row(),false)</f>
        <v>#N/A</v>
      </c>
      <c r="R894" s="372" t="str">
        <f>CS_PID!R894/VLOOKUP($B894,표2[#ALL],2)/HLOOKUP($A894,표1[#ALL],row(),false)</f>
        <v>#N/A</v>
      </c>
      <c r="S894" s="372" t="str">
        <f>CS_PID!S894/VLOOKUP($B894,표2[#ALL],2)/HLOOKUP($A894,표1[#ALL],row(),false)</f>
        <v>#N/A</v>
      </c>
      <c r="T894" s="372" t="str">
        <f>CS_PID!T894/VLOOKUP($B894,표2[#ALL],2)/HLOOKUP($A894,표1[#ALL],row(),false)</f>
        <v>#N/A</v>
      </c>
      <c r="U894" s="372" t="str">
        <f>CS_PID!U894/VLOOKUP($B894,표2[#ALL],2)/HLOOKUP($A894,표1[#ALL],row(),false)</f>
        <v>#N/A</v>
      </c>
      <c r="V894" s="372" t="str">
        <f>CS_PID!V894/VLOOKUP($B894,표2[#ALL],2)/HLOOKUP($A894,표1[#ALL],row(),false)</f>
        <v>#N/A</v>
      </c>
      <c r="W894" s="372" t="str">
        <f>CS_PID!W894/VLOOKUP($B894,표2[#ALL],2)/HLOOKUP($A894,표1[#ALL],row(),false)</f>
        <v>#N/A</v>
      </c>
      <c r="X894" s="372" t="str">
        <f>CS_PID!X894/VLOOKUP($B894,표2[#ALL],2)/HLOOKUP($A894,표1[#ALL],row(),false)</f>
        <v>#N/A</v>
      </c>
      <c r="Y894" s="372" t="str">
        <f>CS_PID!Y894/VLOOKUP($B894,표2[#ALL],2)/HLOOKUP($A894,표1[#ALL],row(),false)</f>
        <v>#N/A</v>
      </c>
      <c r="Z894" s="372" t="str">
        <f>CS_PID!Z894/VLOOKUP($B894,표2[#ALL],2)/HLOOKUP($A894,표1[#ALL],row(),false)</f>
        <v>#N/A</v>
      </c>
      <c r="AA894" s="372" t="str">
        <f>CS_PID!AA894/VLOOKUP($B894,표2[#ALL],2)/HLOOKUP($A894,표1[#ALL],row(),false)</f>
        <v>#N/A</v>
      </c>
      <c r="AB894" s="372" t="str">
        <f>CS_PID!AB894/VLOOKUP($B894,표2[#ALL],2)/HLOOKUP($A894,표1[#ALL],row(),false)</f>
        <v>#N/A</v>
      </c>
      <c r="AC894" s="372" t="str">
        <f>CS_PID!AC894/VLOOKUP($B894,표2[#ALL],2)/HLOOKUP($A894,표1[#ALL],row(),false)</f>
        <v>#N/A</v>
      </c>
      <c r="AD894" s="372" t="str">
        <f>CS_PID!AD894/VLOOKUP($B894,표2[#ALL],2)/HLOOKUP($A894,표1[#ALL],row(),false)</f>
        <v>#N/A</v>
      </c>
      <c r="AE894" s="372" t="str">
        <f>CS_PID!AE894/VLOOKUP($B894,표2[#ALL],2)/HLOOKUP($A894,표1[#ALL],row(),false)</f>
        <v>#N/A</v>
      </c>
      <c r="AF894" s="372" t="str">
        <f>CS_PID!AF894/VLOOKUP($B894,표2[#ALL],2)/HLOOKUP($A894,표1[#ALL],row(),false)</f>
        <v>#N/A</v>
      </c>
      <c r="AG894" s="372" t="str">
        <f>CS_PID!AG894/VLOOKUP($B894,표2[#ALL],2)/HLOOKUP($A894,표1[#ALL],row(),false)</f>
        <v>#N/A</v>
      </c>
      <c r="AH894" s="372" t="str">
        <f>CS_PID!AH894/VLOOKUP($B894,표2[#ALL],2)/HLOOKUP($A894,표1[#ALL],row(),false)</f>
        <v>#N/A</v>
      </c>
      <c r="AI894" s="372" t="str">
        <f>CS_PID!AI894/VLOOKUP($B894,표2[#ALL],2)/HLOOKUP($A894,표1[#ALL],row(),false)</f>
        <v>#N/A</v>
      </c>
      <c r="AJ894" s="372" t="str">
        <f>CS_PID!AJ894/VLOOKUP($B894,표2[#ALL],2)/HLOOKUP($A894,표1[#ALL],row(),false)</f>
        <v>#N/A</v>
      </c>
      <c r="AK894" s="372" t="str">
        <f>CS_PID!AK894/VLOOKUP($B894,표2[#ALL],2)/HLOOKUP($A894,표1[#ALL],row(),false)</f>
        <v>#N/A</v>
      </c>
      <c r="AL894" s="372" t="str">
        <f>CS_PID!AL894/VLOOKUP($B894,표2[#ALL],2)/HLOOKUP($A894,표1[#ALL],row(),false)</f>
        <v>#N/A</v>
      </c>
      <c r="AM894" s="372" t="str">
        <f>CS_PID!AM894/VLOOKUP($B894,표2[#ALL],2)/HLOOKUP($A894,표1[#ALL],row(),false)</f>
        <v>#N/A</v>
      </c>
      <c r="AN894" s="372" t="str">
        <f>CS_PID!AN894/VLOOKUP($B894,표2[#ALL],2)/HLOOKUP($A894,표1[#ALL],row(),false)</f>
        <v>#N/A</v>
      </c>
      <c r="AO894" s="372" t="str">
        <f>CS_PID!AO894/VLOOKUP($B894,표2[#ALL],2)/HLOOKUP($A894,표1[#ALL],row(),false)</f>
        <v>#N/A</v>
      </c>
      <c r="AP894" s="372" t="str">
        <f>CS_PID!AP894/VLOOKUP($B894,표2[#ALL],2)/HLOOKUP($A894,표1[#ALL],row(),false)</f>
        <v>#N/A</v>
      </c>
      <c r="AQ894" s="372" t="str">
        <f>CS_PID!AQ894/VLOOKUP($B894,표2[#ALL],2)/HLOOKUP($A894,표1[#ALL],row(),false)</f>
        <v>#N/A</v>
      </c>
      <c r="AR894" s="372" t="str">
        <f>CS_PID!AR894/VLOOKUP($B894,표2[#ALL],2)/HLOOKUP($A894,표1[#ALL],row(),false)</f>
        <v>#N/A</v>
      </c>
      <c r="AS894" s="373" t="str">
        <f>CS_PID!AS894/VLOOKUP($B894,표2[#ALL],2)/HLOOKUP($A894,표1[#ALL],row(),false)</f>
        <v>#N/A</v>
      </c>
    </row>
    <row r="895">
      <c r="A895" s="374"/>
      <c r="B895" s="375"/>
      <c r="C895" s="376" t="str">
        <f>CS_PID!C895/VLOOKUP($B895,표2[#ALL],2)</f>
        <v>#N/A</v>
      </c>
      <c r="D895" s="376" t="str">
        <f>CS_PID!D895/VLOOKUP($B895,표2[#ALL],2)</f>
        <v>#N/A</v>
      </c>
      <c r="E895" s="376" t="str">
        <f>CS_PID!E895/VLOOKUP($B895,표2[#ALL],2)</f>
        <v>#N/A</v>
      </c>
      <c r="F895" s="376" t="str">
        <f>CS_PID!F895/VLOOKUP($B895,표2[#ALL],2)</f>
        <v>#N/A</v>
      </c>
      <c r="G895" s="376" t="str">
        <f>CS_PID!G895/VLOOKUP($B895,표2[#ALL],2)</f>
        <v>#N/A</v>
      </c>
      <c r="H895" s="376" t="str">
        <f>CS_PID!H895/VLOOKUP($B895,표2[#ALL],2)/HLOOKUP($A895,표1[#ALL],row(),false)</f>
        <v>#N/A</v>
      </c>
      <c r="I895" s="376" t="str">
        <f>CS_PID!I895/VLOOKUP($B895,표2[#ALL],2)/HLOOKUP($A895,표1[#ALL],row(),false)</f>
        <v>#N/A</v>
      </c>
      <c r="J895" s="376" t="str">
        <f>CS_PID!J895/VLOOKUP($B895,표2[#ALL],2)/HLOOKUP($A895,표1[#ALL],row(),false)</f>
        <v>#N/A</v>
      </c>
      <c r="K895" s="376" t="str">
        <f>CS_PID!K895/VLOOKUP($B895,표2[#ALL],2)/HLOOKUP($A895,표1[#ALL],row(),false)</f>
        <v>#N/A</v>
      </c>
      <c r="L895" s="376" t="str">
        <f>CS_PID!L895/VLOOKUP($B895,표2[#ALL],2)/HLOOKUP($A895,표1[#ALL],row(),false)</f>
        <v>#N/A</v>
      </c>
      <c r="M895" s="376" t="str">
        <f>CS_PID!M895/VLOOKUP($B895,표2[#ALL],2)/HLOOKUP($A895,표1[#ALL],row(),false)</f>
        <v>#N/A</v>
      </c>
      <c r="N895" s="376" t="str">
        <f>CS_PID!N895/VLOOKUP($B895,표2[#ALL],2)/HLOOKUP($A895,표1[#ALL],row(),false)</f>
        <v>#N/A</v>
      </c>
      <c r="O895" s="376" t="str">
        <f>CS_PID!O895/VLOOKUP($B895,표2[#ALL],2)/HLOOKUP($A895,표1[#ALL],row(),false)</f>
        <v>#N/A</v>
      </c>
      <c r="P895" s="376" t="str">
        <f>CS_PID!P895/VLOOKUP($B895,표2[#ALL],2)/HLOOKUP($A895,표1[#ALL],row(),false)</f>
        <v>#N/A</v>
      </c>
      <c r="Q895" s="376" t="str">
        <f>CS_PID!Q895/VLOOKUP($B895,표2[#ALL],2)/HLOOKUP($A895,표1[#ALL],row(),false)</f>
        <v>#N/A</v>
      </c>
      <c r="R895" s="376" t="str">
        <f>CS_PID!R895/VLOOKUP($B895,표2[#ALL],2)/HLOOKUP($A895,표1[#ALL],row(),false)</f>
        <v>#N/A</v>
      </c>
      <c r="S895" s="376" t="str">
        <f>CS_PID!S895/VLOOKUP($B895,표2[#ALL],2)/HLOOKUP($A895,표1[#ALL],row(),false)</f>
        <v>#N/A</v>
      </c>
      <c r="T895" s="376" t="str">
        <f>CS_PID!T895/VLOOKUP($B895,표2[#ALL],2)/HLOOKUP($A895,표1[#ALL],row(),false)</f>
        <v>#N/A</v>
      </c>
      <c r="U895" s="376" t="str">
        <f>CS_PID!U895/VLOOKUP($B895,표2[#ALL],2)/HLOOKUP($A895,표1[#ALL],row(),false)</f>
        <v>#N/A</v>
      </c>
      <c r="V895" s="376" t="str">
        <f>CS_PID!V895/VLOOKUP($B895,표2[#ALL],2)/HLOOKUP($A895,표1[#ALL],row(),false)</f>
        <v>#N/A</v>
      </c>
      <c r="W895" s="376" t="str">
        <f>CS_PID!W895/VLOOKUP($B895,표2[#ALL],2)/HLOOKUP($A895,표1[#ALL],row(),false)</f>
        <v>#N/A</v>
      </c>
      <c r="X895" s="376" t="str">
        <f>CS_PID!X895/VLOOKUP($B895,표2[#ALL],2)/HLOOKUP($A895,표1[#ALL],row(),false)</f>
        <v>#N/A</v>
      </c>
      <c r="Y895" s="376" t="str">
        <f>CS_PID!Y895/VLOOKUP($B895,표2[#ALL],2)/HLOOKUP($A895,표1[#ALL],row(),false)</f>
        <v>#N/A</v>
      </c>
      <c r="Z895" s="376" t="str">
        <f>CS_PID!Z895/VLOOKUP($B895,표2[#ALL],2)/HLOOKUP($A895,표1[#ALL],row(),false)</f>
        <v>#N/A</v>
      </c>
      <c r="AA895" s="376" t="str">
        <f>CS_PID!AA895/VLOOKUP($B895,표2[#ALL],2)/HLOOKUP($A895,표1[#ALL],row(),false)</f>
        <v>#N/A</v>
      </c>
      <c r="AB895" s="376" t="str">
        <f>CS_PID!AB895/VLOOKUP($B895,표2[#ALL],2)/HLOOKUP($A895,표1[#ALL],row(),false)</f>
        <v>#N/A</v>
      </c>
      <c r="AC895" s="376" t="str">
        <f>CS_PID!AC895/VLOOKUP($B895,표2[#ALL],2)/HLOOKUP($A895,표1[#ALL],row(),false)</f>
        <v>#N/A</v>
      </c>
      <c r="AD895" s="376" t="str">
        <f>CS_PID!AD895/VLOOKUP($B895,표2[#ALL],2)/HLOOKUP($A895,표1[#ALL],row(),false)</f>
        <v>#N/A</v>
      </c>
      <c r="AE895" s="376" t="str">
        <f>CS_PID!AE895/VLOOKUP($B895,표2[#ALL],2)/HLOOKUP($A895,표1[#ALL],row(),false)</f>
        <v>#N/A</v>
      </c>
      <c r="AF895" s="376" t="str">
        <f>CS_PID!AF895/VLOOKUP($B895,표2[#ALL],2)/HLOOKUP($A895,표1[#ALL],row(),false)</f>
        <v>#N/A</v>
      </c>
      <c r="AG895" s="376" t="str">
        <f>CS_PID!AG895/VLOOKUP($B895,표2[#ALL],2)/HLOOKUP($A895,표1[#ALL],row(),false)</f>
        <v>#N/A</v>
      </c>
      <c r="AH895" s="376" t="str">
        <f>CS_PID!AH895/VLOOKUP($B895,표2[#ALL],2)/HLOOKUP($A895,표1[#ALL],row(),false)</f>
        <v>#N/A</v>
      </c>
      <c r="AI895" s="376" t="str">
        <f>CS_PID!AI895/VLOOKUP($B895,표2[#ALL],2)/HLOOKUP($A895,표1[#ALL],row(),false)</f>
        <v>#N/A</v>
      </c>
      <c r="AJ895" s="376" t="str">
        <f>CS_PID!AJ895/VLOOKUP($B895,표2[#ALL],2)/HLOOKUP($A895,표1[#ALL],row(),false)</f>
        <v>#N/A</v>
      </c>
      <c r="AK895" s="376" t="str">
        <f>CS_PID!AK895/VLOOKUP($B895,표2[#ALL],2)/HLOOKUP($A895,표1[#ALL],row(),false)</f>
        <v>#N/A</v>
      </c>
      <c r="AL895" s="376" t="str">
        <f>CS_PID!AL895/VLOOKUP($B895,표2[#ALL],2)/HLOOKUP($A895,표1[#ALL],row(),false)</f>
        <v>#N/A</v>
      </c>
      <c r="AM895" s="376" t="str">
        <f>CS_PID!AM895/VLOOKUP($B895,표2[#ALL],2)/HLOOKUP($A895,표1[#ALL],row(),false)</f>
        <v>#N/A</v>
      </c>
      <c r="AN895" s="376" t="str">
        <f>CS_PID!AN895/VLOOKUP($B895,표2[#ALL],2)/HLOOKUP($A895,표1[#ALL],row(),false)</f>
        <v>#N/A</v>
      </c>
      <c r="AO895" s="376" t="str">
        <f>CS_PID!AO895/VLOOKUP($B895,표2[#ALL],2)/HLOOKUP($A895,표1[#ALL],row(),false)</f>
        <v>#N/A</v>
      </c>
      <c r="AP895" s="376" t="str">
        <f>CS_PID!AP895/VLOOKUP($B895,표2[#ALL],2)/HLOOKUP($A895,표1[#ALL],row(),false)</f>
        <v>#N/A</v>
      </c>
      <c r="AQ895" s="376" t="str">
        <f>CS_PID!AQ895/VLOOKUP($B895,표2[#ALL],2)/HLOOKUP($A895,표1[#ALL],row(),false)</f>
        <v>#N/A</v>
      </c>
      <c r="AR895" s="376" t="str">
        <f>CS_PID!AR895/VLOOKUP($B895,표2[#ALL],2)/HLOOKUP($A895,표1[#ALL],row(),false)</f>
        <v>#N/A</v>
      </c>
      <c r="AS895" s="377" t="str">
        <f>CS_PID!AS895/VLOOKUP($B895,표2[#ALL],2)/HLOOKUP($A895,표1[#ALL],row(),false)</f>
        <v>#N/A</v>
      </c>
    </row>
    <row r="896">
      <c r="A896" s="370"/>
      <c r="B896" s="371"/>
      <c r="C896" s="372" t="str">
        <f>CS_PID!C896/VLOOKUP($B896,표2[#ALL],2)</f>
        <v>#N/A</v>
      </c>
      <c r="D896" s="372" t="str">
        <f>CS_PID!D896/VLOOKUP($B896,표2[#ALL],2)</f>
        <v>#N/A</v>
      </c>
      <c r="E896" s="372" t="str">
        <f>CS_PID!E896/VLOOKUP($B896,표2[#ALL],2)</f>
        <v>#N/A</v>
      </c>
      <c r="F896" s="372" t="str">
        <f>CS_PID!F896/VLOOKUP($B896,표2[#ALL],2)</f>
        <v>#N/A</v>
      </c>
      <c r="G896" s="372" t="str">
        <f>CS_PID!G896/VLOOKUP($B896,표2[#ALL],2)</f>
        <v>#N/A</v>
      </c>
      <c r="H896" s="372" t="str">
        <f>CS_PID!H896/VLOOKUP($B896,표2[#ALL],2)/HLOOKUP($A896,표1[#ALL],row(),false)</f>
        <v>#N/A</v>
      </c>
      <c r="I896" s="372" t="str">
        <f>CS_PID!I896/VLOOKUP($B896,표2[#ALL],2)/HLOOKUP($A896,표1[#ALL],row(),false)</f>
        <v>#N/A</v>
      </c>
      <c r="J896" s="372" t="str">
        <f>CS_PID!J896/VLOOKUP($B896,표2[#ALL],2)/HLOOKUP($A896,표1[#ALL],row(),false)</f>
        <v>#N/A</v>
      </c>
      <c r="K896" s="372" t="str">
        <f>CS_PID!K896/VLOOKUP($B896,표2[#ALL],2)/HLOOKUP($A896,표1[#ALL],row(),false)</f>
        <v>#N/A</v>
      </c>
      <c r="L896" s="372" t="str">
        <f>CS_PID!L896/VLOOKUP($B896,표2[#ALL],2)/HLOOKUP($A896,표1[#ALL],row(),false)</f>
        <v>#N/A</v>
      </c>
      <c r="M896" s="372" t="str">
        <f>CS_PID!M896/VLOOKUP($B896,표2[#ALL],2)/HLOOKUP($A896,표1[#ALL],row(),false)</f>
        <v>#N/A</v>
      </c>
      <c r="N896" s="372" t="str">
        <f>CS_PID!N896/VLOOKUP($B896,표2[#ALL],2)/HLOOKUP($A896,표1[#ALL],row(),false)</f>
        <v>#N/A</v>
      </c>
      <c r="O896" s="372" t="str">
        <f>CS_PID!O896/VLOOKUP($B896,표2[#ALL],2)/HLOOKUP($A896,표1[#ALL],row(),false)</f>
        <v>#N/A</v>
      </c>
      <c r="P896" s="372" t="str">
        <f>CS_PID!P896/VLOOKUP($B896,표2[#ALL],2)/HLOOKUP($A896,표1[#ALL],row(),false)</f>
        <v>#N/A</v>
      </c>
      <c r="Q896" s="372" t="str">
        <f>CS_PID!Q896/VLOOKUP($B896,표2[#ALL],2)/HLOOKUP($A896,표1[#ALL],row(),false)</f>
        <v>#N/A</v>
      </c>
      <c r="R896" s="372" t="str">
        <f>CS_PID!R896/VLOOKUP($B896,표2[#ALL],2)/HLOOKUP($A896,표1[#ALL],row(),false)</f>
        <v>#N/A</v>
      </c>
      <c r="S896" s="372" t="str">
        <f>CS_PID!S896/VLOOKUP($B896,표2[#ALL],2)/HLOOKUP($A896,표1[#ALL],row(),false)</f>
        <v>#N/A</v>
      </c>
      <c r="T896" s="372" t="str">
        <f>CS_PID!T896/VLOOKUP($B896,표2[#ALL],2)/HLOOKUP($A896,표1[#ALL],row(),false)</f>
        <v>#N/A</v>
      </c>
      <c r="U896" s="372" t="str">
        <f>CS_PID!U896/VLOOKUP($B896,표2[#ALL],2)/HLOOKUP($A896,표1[#ALL],row(),false)</f>
        <v>#N/A</v>
      </c>
      <c r="V896" s="372" t="str">
        <f>CS_PID!V896/VLOOKUP($B896,표2[#ALL],2)/HLOOKUP($A896,표1[#ALL],row(),false)</f>
        <v>#N/A</v>
      </c>
      <c r="W896" s="372" t="str">
        <f>CS_PID!W896/VLOOKUP($B896,표2[#ALL],2)/HLOOKUP($A896,표1[#ALL],row(),false)</f>
        <v>#N/A</v>
      </c>
      <c r="X896" s="372" t="str">
        <f>CS_PID!X896/VLOOKUP($B896,표2[#ALL],2)/HLOOKUP($A896,표1[#ALL],row(),false)</f>
        <v>#N/A</v>
      </c>
      <c r="Y896" s="372" t="str">
        <f>CS_PID!Y896/VLOOKUP($B896,표2[#ALL],2)/HLOOKUP($A896,표1[#ALL],row(),false)</f>
        <v>#N/A</v>
      </c>
      <c r="Z896" s="372" t="str">
        <f>CS_PID!Z896/VLOOKUP($B896,표2[#ALL],2)/HLOOKUP($A896,표1[#ALL],row(),false)</f>
        <v>#N/A</v>
      </c>
      <c r="AA896" s="372" t="str">
        <f>CS_PID!AA896/VLOOKUP($B896,표2[#ALL],2)/HLOOKUP($A896,표1[#ALL],row(),false)</f>
        <v>#N/A</v>
      </c>
      <c r="AB896" s="372" t="str">
        <f>CS_PID!AB896/VLOOKUP($B896,표2[#ALL],2)/HLOOKUP($A896,표1[#ALL],row(),false)</f>
        <v>#N/A</v>
      </c>
      <c r="AC896" s="372" t="str">
        <f>CS_PID!AC896/VLOOKUP($B896,표2[#ALL],2)/HLOOKUP($A896,표1[#ALL],row(),false)</f>
        <v>#N/A</v>
      </c>
      <c r="AD896" s="372" t="str">
        <f>CS_PID!AD896/VLOOKUP($B896,표2[#ALL],2)/HLOOKUP($A896,표1[#ALL],row(),false)</f>
        <v>#N/A</v>
      </c>
      <c r="AE896" s="372" t="str">
        <f>CS_PID!AE896/VLOOKUP($B896,표2[#ALL],2)/HLOOKUP($A896,표1[#ALL],row(),false)</f>
        <v>#N/A</v>
      </c>
      <c r="AF896" s="372" t="str">
        <f>CS_PID!AF896/VLOOKUP($B896,표2[#ALL],2)/HLOOKUP($A896,표1[#ALL],row(),false)</f>
        <v>#N/A</v>
      </c>
      <c r="AG896" s="372" t="str">
        <f>CS_PID!AG896/VLOOKUP($B896,표2[#ALL],2)/HLOOKUP($A896,표1[#ALL],row(),false)</f>
        <v>#N/A</v>
      </c>
      <c r="AH896" s="372" t="str">
        <f>CS_PID!AH896/VLOOKUP($B896,표2[#ALL],2)/HLOOKUP($A896,표1[#ALL],row(),false)</f>
        <v>#N/A</v>
      </c>
      <c r="AI896" s="372" t="str">
        <f>CS_PID!AI896/VLOOKUP($B896,표2[#ALL],2)/HLOOKUP($A896,표1[#ALL],row(),false)</f>
        <v>#N/A</v>
      </c>
      <c r="AJ896" s="372" t="str">
        <f>CS_PID!AJ896/VLOOKUP($B896,표2[#ALL],2)/HLOOKUP($A896,표1[#ALL],row(),false)</f>
        <v>#N/A</v>
      </c>
      <c r="AK896" s="372" t="str">
        <f>CS_PID!AK896/VLOOKUP($B896,표2[#ALL],2)/HLOOKUP($A896,표1[#ALL],row(),false)</f>
        <v>#N/A</v>
      </c>
      <c r="AL896" s="372" t="str">
        <f>CS_PID!AL896/VLOOKUP($B896,표2[#ALL],2)/HLOOKUP($A896,표1[#ALL],row(),false)</f>
        <v>#N/A</v>
      </c>
      <c r="AM896" s="372" t="str">
        <f>CS_PID!AM896/VLOOKUP($B896,표2[#ALL],2)/HLOOKUP($A896,표1[#ALL],row(),false)</f>
        <v>#N/A</v>
      </c>
      <c r="AN896" s="372" t="str">
        <f>CS_PID!AN896/VLOOKUP($B896,표2[#ALL],2)/HLOOKUP($A896,표1[#ALL],row(),false)</f>
        <v>#N/A</v>
      </c>
      <c r="AO896" s="372" t="str">
        <f>CS_PID!AO896/VLOOKUP($B896,표2[#ALL],2)/HLOOKUP($A896,표1[#ALL],row(),false)</f>
        <v>#N/A</v>
      </c>
      <c r="AP896" s="372" t="str">
        <f>CS_PID!AP896/VLOOKUP($B896,표2[#ALL],2)/HLOOKUP($A896,표1[#ALL],row(),false)</f>
        <v>#N/A</v>
      </c>
      <c r="AQ896" s="372" t="str">
        <f>CS_PID!AQ896/VLOOKUP($B896,표2[#ALL],2)/HLOOKUP($A896,표1[#ALL],row(),false)</f>
        <v>#N/A</v>
      </c>
      <c r="AR896" s="372" t="str">
        <f>CS_PID!AR896/VLOOKUP($B896,표2[#ALL],2)/HLOOKUP($A896,표1[#ALL],row(),false)</f>
        <v>#N/A</v>
      </c>
      <c r="AS896" s="373" t="str">
        <f>CS_PID!AS896/VLOOKUP($B896,표2[#ALL],2)/HLOOKUP($A896,표1[#ALL],row(),false)</f>
        <v>#N/A</v>
      </c>
    </row>
    <row r="897">
      <c r="A897" s="374"/>
      <c r="B897" s="375"/>
      <c r="C897" s="376" t="str">
        <f>CS_PID!C897/VLOOKUP($B897,표2[#ALL],2)</f>
        <v>#N/A</v>
      </c>
      <c r="D897" s="376" t="str">
        <f>CS_PID!D897/VLOOKUP($B897,표2[#ALL],2)</f>
        <v>#N/A</v>
      </c>
      <c r="E897" s="376" t="str">
        <f>CS_PID!E897/VLOOKUP($B897,표2[#ALL],2)</f>
        <v>#N/A</v>
      </c>
      <c r="F897" s="376" t="str">
        <f>CS_PID!F897/VLOOKUP($B897,표2[#ALL],2)</f>
        <v>#N/A</v>
      </c>
      <c r="G897" s="376" t="str">
        <f>CS_PID!G897/VLOOKUP($B897,표2[#ALL],2)</f>
        <v>#N/A</v>
      </c>
      <c r="H897" s="376" t="str">
        <f>CS_PID!H897/VLOOKUP($B897,표2[#ALL],2)/HLOOKUP($A897,표1[#ALL],row(),false)</f>
        <v>#N/A</v>
      </c>
      <c r="I897" s="376" t="str">
        <f>CS_PID!I897/VLOOKUP($B897,표2[#ALL],2)/HLOOKUP($A897,표1[#ALL],row(),false)</f>
        <v>#N/A</v>
      </c>
      <c r="J897" s="376" t="str">
        <f>CS_PID!J897/VLOOKUP($B897,표2[#ALL],2)/HLOOKUP($A897,표1[#ALL],row(),false)</f>
        <v>#N/A</v>
      </c>
      <c r="K897" s="376" t="str">
        <f>CS_PID!K897/VLOOKUP($B897,표2[#ALL],2)/HLOOKUP($A897,표1[#ALL],row(),false)</f>
        <v>#N/A</v>
      </c>
      <c r="L897" s="376" t="str">
        <f>CS_PID!L897/VLOOKUP($B897,표2[#ALL],2)/HLOOKUP($A897,표1[#ALL],row(),false)</f>
        <v>#N/A</v>
      </c>
      <c r="M897" s="376" t="str">
        <f>CS_PID!M897/VLOOKUP($B897,표2[#ALL],2)/HLOOKUP($A897,표1[#ALL],row(),false)</f>
        <v>#N/A</v>
      </c>
      <c r="N897" s="376" t="str">
        <f>CS_PID!N897/VLOOKUP($B897,표2[#ALL],2)/HLOOKUP($A897,표1[#ALL],row(),false)</f>
        <v>#N/A</v>
      </c>
      <c r="O897" s="376" t="str">
        <f>CS_PID!O897/VLOOKUP($B897,표2[#ALL],2)/HLOOKUP($A897,표1[#ALL],row(),false)</f>
        <v>#N/A</v>
      </c>
      <c r="P897" s="376" t="str">
        <f>CS_PID!P897/VLOOKUP($B897,표2[#ALL],2)/HLOOKUP($A897,표1[#ALL],row(),false)</f>
        <v>#N/A</v>
      </c>
      <c r="Q897" s="376" t="str">
        <f>CS_PID!Q897/VLOOKUP($B897,표2[#ALL],2)/HLOOKUP($A897,표1[#ALL],row(),false)</f>
        <v>#N/A</v>
      </c>
      <c r="R897" s="376" t="str">
        <f>CS_PID!R897/VLOOKUP($B897,표2[#ALL],2)/HLOOKUP($A897,표1[#ALL],row(),false)</f>
        <v>#N/A</v>
      </c>
      <c r="S897" s="376" t="str">
        <f>CS_PID!S897/VLOOKUP($B897,표2[#ALL],2)/HLOOKUP($A897,표1[#ALL],row(),false)</f>
        <v>#N/A</v>
      </c>
      <c r="T897" s="376" t="str">
        <f>CS_PID!T897/VLOOKUP($B897,표2[#ALL],2)/HLOOKUP($A897,표1[#ALL],row(),false)</f>
        <v>#N/A</v>
      </c>
      <c r="U897" s="376" t="str">
        <f>CS_PID!U897/VLOOKUP($B897,표2[#ALL],2)/HLOOKUP($A897,표1[#ALL],row(),false)</f>
        <v>#N/A</v>
      </c>
      <c r="V897" s="376" t="str">
        <f>CS_PID!V897/VLOOKUP($B897,표2[#ALL],2)/HLOOKUP($A897,표1[#ALL],row(),false)</f>
        <v>#N/A</v>
      </c>
      <c r="W897" s="376" t="str">
        <f>CS_PID!W897/VLOOKUP($B897,표2[#ALL],2)/HLOOKUP($A897,표1[#ALL],row(),false)</f>
        <v>#N/A</v>
      </c>
      <c r="X897" s="376" t="str">
        <f>CS_PID!X897/VLOOKUP($B897,표2[#ALL],2)/HLOOKUP($A897,표1[#ALL],row(),false)</f>
        <v>#N/A</v>
      </c>
      <c r="Y897" s="376" t="str">
        <f>CS_PID!Y897/VLOOKUP($B897,표2[#ALL],2)/HLOOKUP($A897,표1[#ALL],row(),false)</f>
        <v>#N/A</v>
      </c>
      <c r="Z897" s="376" t="str">
        <f>CS_PID!Z897/VLOOKUP($B897,표2[#ALL],2)/HLOOKUP($A897,표1[#ALL],row(),false)</f>
        <v>#N/A</v>
      </c>
      <c r="AA897" s="376" t="str">
        <f>CS_PID!AA897/VLOOKUP($B897,표2[#ALL],2)/HLOOKUP($A897,표1[#ALL],row(),false)</f>
        <v>#N/A</v>
      </c>
      <c r="AB897" s="376" t="str">
        <f>CS_PID!AB897/VLOOKUP($B897,표2[#ALL],2)/HLOOKUP($A897,표1[#ALL],row(),false)</f>
        <v>#N/A</v>
      </c>
      <c r="AC897" s="376" t="str">
        <f>CS_PID!AC897/VLOOKUP($B897,표2[#ALL],2)/HLOOKUP($A897,표1[#ALL],row(),false)</f>
        <v>#N/A</v>
      </c>
      <c r="AD897" s="376" t="str">
        <f>CS_PID!AD897/VLOOKUP($B897,표2[#ALL],2)/HLOOKUP($A897,표1[#ALL],row(),false)</f>
        <v>#N/A</v>
      </c>
      <c r="AE897" s="376" t="str">
        <f>CS_PID!AE897/VLOOKUP($B897,표2[#ALL],2)/HLOOKUP($A897,표1[#ALL],row(),false)</f>
        <v>#N/A</v>
      </c>
      <c r="AF897" s="376" t="str">
        <f>CS_PID!AF897/VLOOKUP($B897,표2[#ALL],2)/HLOOKUP($A897,표1[#ALL],row(),false)</f>
        <v>#N/A</v>
      </c>
      <c r="AG897" s="376" t="str">
        <f>CS_PID!AG897/VLOOKUP($B897,표2[#ALL],2)/HLOOKUP($A897,표1[#ALL],row(),false)</f>
        <v>#N/A</v>
      </c>
      <c r="AH897" s="376" t="str">
        <f>CS_PID!AH897/VLOOKUP($B897,표2[#ALL],2)/HLOOKUP($A897,표1[#ALL],row(),false)</f>
        <v>#N/A</v>
      </c>
      <c r="AI897" s="376" t="str">
        <f>CS_PID!AI897/VLOOKUP($B897,표2[#ALL],2)/HLOOKUP($A897,표1[#ALL],row(),false)</f>
        <v>#N/A</v>
      </c>
      <c r="AJ897" s="376" t="str">
        <f>CS_PID!AJ897/VLOOKUP($B897,표2[#ALL],2)/HLOOKUP($A897,표1[#ALL],row(),false)</f>
        <v>#N/A</v>
      </c>
      <c r="AK897" s="376" t="str">
        <f>CS_PID!AK897/VLOOKUP($B897,표2[#ALL],2)/HLOOKUP($A897,표1[#ALL],row(),false)</f>
        <v>#N/A</v>
      </c>
      <c r="AL897" s="376" t="str">
        <f>CS_PID!AL897/VLOOKUP($B897,표2[#ALL],2)/HLOOKUP($A897,표1[#ALL],row(),false)</f>
        <v>#N/A</v>
      </c>
      <c r="AM897" s="376" t="str">
        <f>CS_PID!AM897/VLOOKUP($B897,표2[#ALL],2)/HLOOKUP($A897,표1[#ALL],row(),false)</f>
        <v>#N/A</v>
      </c>
      <c r="AN897" s="376" t="str">
        <f>CS_PID!AN897/VLOOKUP($B897,표2[#ALL],2)/HLOOKUP($A897,표1[#ALL],row(),false)</f>
        <v>#N/A</v>
      </c>
      <c r="AO897" s="376" t="str">
        <f>CS_PID!AO897/VLOOKUP($B897,표2[#ALL],2)/HLOOKUP($A897,표1[#ALL],row(),false)</f>
        <v>#N/A</v>
      </c>
      <c r="AP897" s="376" t="str">
        <f>CS_PID!AP897/VLOOKUP($B897,표2[#ALL],2)/HLOOKUP($A897,표1[#ALL],row(),false)</f>
        <v>#N/A</v>
      </c>
      <c r="AQ897" s="376" t="str">
        <f>CS_PID!AQ897/VLOOKUP($B897,표2[#ALL],2)/HLOOKUP($A897,표1[#ALL],row(),false)</f>
        <v>#N/A</v>
      </c>
      <c r="AR897" s="376" t="str">
        <f>CS_PID!AR897/VLOOKUP($B897,표2[#ALL],2)/HLOOKUP($A897,표1[#ALL],row(),false)</f>
        <v>#N/A</v>
      </c>
      <c r="AS897" s="377" t="str">
        <f>CS_PID!AS897/VLOOKUP($B897,표2[#ALL],2)/HLOOKUP($A897,표1[#ALL],row(),false)</f>
        <v>#N/A</v>
      </c>
    </row>
    <row r="898">
      <c r="A898" s="370"/>
      <c r="B898" s="371"/>
      <c r="C898" s="372" t="str">
        <f>CS_PID!C898/VLOOKUP($B898,표2[#ALL],2)</f>
        <v>#N/A</v>
      </c>
      <c r="D898" s="372" t="str">
        <f>CS_PID!D898/VLOOKUP($B898,표2[#ALL],2)</f>
        <v>#N/A</v>
      </c>
      <c r="E898" s="372" t="str">
        <f>CS_PID!E898/VLOOKUP($B898,표2[#ALL],2)</f>
        <v>#N/A</v>
      </c>
      <c r="F898" s="372" t="str">
        <f>CS_PID!F898/VLOOKUP($B898,표2[#ALL],2)</f>
        <v>#N/A</v>
      </c>
      <c r="G898" s="372" t="str">
        <f>CS_PID!G898/VLOOKUP($B898,표2[#ALL],2)</f>
        <v>#N/A</v>
      </c>
      <c r="H898" s="372" t="str">
        <f>CS_PID!H898/VLOOKUP($B898,표2[#ALL],2)/HLOOKUP($A898,표1[#ALL],row(),false)</f>
        <v>#N/A</v>
      </c>
      <c r="I898" s="372" t="str">
        <f>CS_PID!I898/VLOOKUP($B898,표2[#ALL],2)/HLOOKUP($A898,표1[#ALL],row(),false)</f>
        <v>#N/A</v>
      </c>
      <c r="J898" s="372" t="str">
        <f>CS_PID!J898/VLOOKUP($B898,표2[#ALL],2)/HLOOKUP($A898,표1[#ALL],row(),false)</f>
        <v>#N/A</v>
      </c>
      <c r="K898" s="372" t="str">
        <f>CS_PID!K898/VLOOKUP($B898,표2[#ALL],2)/HLOOKUP($A898,표1[#ALL],row(),false)</f>
        <v>#N/A</v>
      </c>
      <c r="L898" s="372" t="str">
        <f>CS_PID!L898/VLOOKUP($B898,표2[#ALL],2)/HLOOKUP($A898,표1[#ALL],row(),false)</f>
        <v>#N/A</v>
      </c>
      <c r="M898" s="372" t="str">
        <f>CS_PID!M898/VLOOKUP($B898,표2[#ALL],2)/HLOOKUP($A898,표1[#ALL],row(),false)</f>
        <v>#N/A</v>
      </c>
      <c r="N898" s="372" t="str">
        <f>CS_PID!N898/VLOOKUP($B898,표2[#ALL],2)/HLOOKUP($A898,표1[#ALL],row(),false)</f>
        <v>#N/A</v>
      </c>
      <c r="O898" s="372" t="str">
        <f>CS_PID!O898/VLOOKUP($B898,표2[#ALL],2)/HLOOKUP($A898,표1[#ALL],row(),false)</f>
        <v>#N/A</v>
      </c>
      <c r="P898" s="372" t="str">
        <f>CS_PID!P898/VLOOKUP($B898,표2[#ALL],2)/HLOOKUP($A898,표1[#ALL],row(),false)</f>
        <v>#N/A</v>
      </c>
      <c r="Q898" s="372" t="str">
        <f>CS_PID!Q898/VLOOKUP($B898,표2[#ALL],2)/HLOOKUP($A898,표1[#ALL],row(),false)</f>
        <v>#N/A</v>
      </c>
      <c r="R898" s="372" t="str">
        <f>CS_PID!R898/VLOOKUP($B898,표2[#ALL],2)/HLOOKUP($A898,표1[#ALL],row(),false)</f>
        <v>#N/A</v>
      </c>
      <c r="S898" s="372" t="str">
        <f>CS_PID!S898/VLOOKUP($B898,표2[#ALL],2)/HLOOKUP($A898,표1[#ALL],row(),false)</f>
        <v>#N/A</v>
      </c>
      <c r="T898" s="372" t="str">
        <f>CS_PID!T898/VLOOKUP($B898,표2[#ALL],2)/HLOOKUP($A898,표1[#ALL],row(),false)</f>
        <v>#N/A</v>
      </c>
      <c r="U898" s="372" t="str">
        <f>CS_PID!U898/VLOOKUP($B898,표2[#ALL],2)/HLOOKUP($A898,표1[#ALL],row(),false)</f>
        <v>#N/A</v>
      </c>
      <c r="V898" s="372" t="str">
        <f>CS_PID!V898/VLOOKUP($B898,표2[#ALL],2)/HLOOKUP($A898,표1[#ALL],row(),false)</f>
        <v>#N/A</v>
      </c>
      <c r="W898" s="372" t="str">
        <f>CS_PID!W898/VLOOKUP($B898,표2[#ALL],2)/HLOOKUP($A898,표1[#ALL],row(),false)</f>
        <v>#N/A</v>
      </c>
      <c r="X898" s="372" t="str">
        <f>CS_PID!X898/VLOOKUP($B898,표2[#ALL],2)/HLOOKUP($A898,표1[#ALL],row(),false)</f>
        <v>#N/A</v>
      </c>
      <c r="Y898" s="372" t="str">
        <f>CS_PID!Y898/VLOOKUP($B898,표2[#ALL],2)/HLOOKUP($A898,표1[#ALL],row(),false)</f>
        <v>#N/A</v>
      </c>
      <c r="Z898" s="372" t="str">
        <f>CS_PID!Z898/VLOOKUP($B898,표2[#ALL],2)/HLOOKUP($A898,표1[#ALL],row(),false)</f>
        <v>#N/A</v>
      </c>
      <c r="AA898" s="372" t="str">
        <f>CS_PID!AA898/VLOOKUP($B898,표2[#ALL],2)/HLOOKUP($A898,표1[#ALL],row(),false)</f>
        <v>#N/A</v>
      </c>
      <c r="AB898" s="372" t="str">
        <f>CS_PID!AB898/VLOOKUP($B898,표2[#ALL],2)/HLOOKUP($A898,표1[#ALL],row(),false)</f>
        <v>#N/A</v>
      </c>
      <c r="AC898" s="372" t="str">
        <f>CS_PID!AC898/VLOOKUP($B898,표2[#ALL],2)/HLOOKUP($A898,표1[#ALL],row(),false)</f>
        <v>#N/A</v>
      </c>
      <c r="AD898" s="372" t="str">
        <f>CS_PID!AD898/VLOOKUP($B898,표2[#ALL],2)/HLOOKUP($A898,표1[#ALL],row(),false)</f>
        <v>#N/A</v>
      </c>
      <c r="AE898" s="372" t="str">
        <f>CS_PID!AE898/VLOOKUP($B898,표2[#ALL],2)/HLOOKUP($A898,표1[#ALL],row(),false)</f>
        <v>#N/A</v>
      </c>
      <c r="AF898" s="372" t="str">
        <f>CS_PID!AF898/VLOOKUP($B898,표2[#ALL],2)/HLOOKUP($A898,표1[#ALL],row(),false)</f>
        <v>#N/A</v>
      </c>
      <c r="AG898" s="372" t="str">
        <f>CS_PID!AG898/VLOOKUP($B898,표2[#ALL],2)/HLOOKUP($A898,표1[#ALL],row(),false)</f>
        <v>#N/A</v>
      </c>
      <c r="AH898" s="372" t="str">
        <f>CS_PID!AH898/VLOOKUP($B898,표2[#ALL],2)/HLOOKUP($A898,표1[#ALL],row(),false)</f>
        <v>#N/A</v>
      </c>
      <c r="AI898" s="372" t="str">
        <f>CS_PID!AI898/VLOOKUP($B898,표2[#ALL],2)/HLOOKUP($A898,표1[#ALL],row(),false)</f>
        <v>#N/A</v>
      </c>
      <c r="AJ898" s="372" t="str">
        <f>CS_PID!AJ898/VLOOKUP($B898,표2[#ALL],2)/HLOOKUP($A898,표1[#ALL],row(),false)</f>
        <v>#N/A</v>
      </c>
      <c r="AK898" s="372" t="str">
        <f>CS_PID!AK898/VLOOKUP($B898,표2[#ALL],2)/HLOOKUP($A898,표1[#ALL],row(),false)</f>
        <v>#N/A</v>
      </c>
      <c r="AL898" s="372" t="str">
        <f>CS_PID!AL898/VLOOKUP($B898,표2[#ALL],2)/HLOOKUP($A898,표1[#ALL],row(),false)</f>
        <v>#N/A</v>
      </c>
      <c r="AM898" s="372" t="str">
        <f>CS_PID!AM898/VLOOKUP($B898,표2[#ALL],2)/HLOOKUP($A898,표1[#ALL],row(),false)</f>
        <v>#N/A</v>
      </c>
      <c r="AN898" s="372" t="str">
        <f>CS_PID!AN898/VLOOKUP($B898,표2[#ALL],2)/HLOOKUP($A898,표1[#ALL],row(),false)</f>
        <v>#N/A</v>
      </c>
      <c r="AO898" s="372" t="str">
        <f>CS_PID!AO898/VLOOKUP($B898,표2[#ALL],2)/HLOOKUP($A898,표1[#ALL],row(),false)</f>
        <v>#N/A</v>
      </c>
      <c r="AP898" s="372" t="str">
        <f>CS_PID!AP898/VLOOKUP($B898,표2[#ALL],2)/HLOOKUP($A898,표1[#ALL],row(),false)</f>
        <v>#N/A</v>
      </c>
      <c r="AQ898" s="372" t="str">
        <f>CS_PID!AQ898/VLOOKUP($B898,표2[#ALL],2)/HLOOKUP($A898,표1[#ALL],row(),false)</f>
        <v>#N/A</v>
      </c>
      <c r="AR898" s="372" t="str">
        <f>CS_PID!AR898/VLOOKUP($B898,표2[#ALL],2)/HLOOKUP($A898,표1[#ALL],row(),false)</f>
        <v>#N/A</v>
      </c>
      <c r="AS898" s="373" t="str">
        <f>CS_PID!AS898/VLOOKUP($B898,표2[#ALL],2)/HLOOKUP($A898,표1[#ALL],row(),false)</f>
        <v>#N/A</v>
      </c>
    </row>
    <row r="899">
      <c r="A899" s="374"/>
      <c r="B899" s="375"/>
      <c r="C899" s="376" t="str">
        <f>CS_PID!C899/VLOOKUP($B899,표2[#ALL],2)</f>
        <v>#N/A</v>
      </c>
      <c r="D899" s="376" t="str">
        <f>CS_PID!D899/VLOOKUP($B899,표2[#ALL],2)</f>
        <v>#N/A</v>
      </c>
      <c r="E899" s="376" t="str">
        <f>CS_PID!E899/VLOOKUP($B899,표2[#ALL],2)</f>
        <v>#N/A</v>
      </c>
      <c r="F899" s="376" t="str">
        <f>CS_PID!F899/VLOOKUP($B899,표2[#ALL],2)</f>
        <v>#N/A</v>
      </c>
      <c r="G899" s="376" t="str">
        <f>CS_PID!G899/VLOOKUP($B899,표2[#ALL],2)</f>
        <v>#N/A</v>
      </c>
      <c r="H899" s="376" t="str">
        <f>CS_PID!H899/VLOOKUP($B899,표2[#ALL],2)/HLOOKUP($A899,표1[#ALL],row(),false)</f>
        <v>#N/A</v>
      </c>
      <c r="I899" s="376" t="str">
        <f>CS_PID!I899/VLOOKUP($B899,표2[#ALL],2)/HLOOKUP($A899,표1[#ALL],row(),false)</f>
        <v>#N/A</v>
      </c>
      <c r="J899" s="376" t="str">
        <f>CS_PID!J899/VLOOKUP($B899,표2[#ALL],2)/HLOOKUP($A899,표1[#ALL],row(),false)</f>
        <v>#N/A</v>
      </c>
      <c r="K899" s="376" t="str">
        <f>CS_PID!K899/VLOOKUP($B899,표2[#ALL],2)/HLOOKUP($A899,표1[#ALL],row(),false)</f>
        <v>#N/A</v>
      </c>
      <c r="L899" s="376" t="str">
        <f>CS_PID!L899/VLOOKUP($B899,표2[#ALL],2)/HLOOKUP($A899,표1[#ALL],row(),false)</f>
        <v>#N/A</v>
      </c>
      <c r="M899" s="376" t="str">
        <f>CS_PID!M899/VLOOKUP($B899,표2[#ALL],2)/HLOOKUP($A899,표1[#ALL],row(),false)</f>
        <v>#N/A</v>
      </c>
      <c r="N899" s="376" t="str">
        <f>CS_PID!N899/VLOOKUP($B899,표2[#ALL],2)/HLOOKUP($A899,표1[#ALL],row(),false)</f>
        <v>#N/A</v>
      </c>
      <c r="O899" s="376" t="str">
        <f>CS_PID!O899/VLOOKUP($B899,표2[#ALL],2)/HLOOKUP($A899,표1[#ALL],row(),false)</f>
        <v>#N/A</v>
      </c>
      <c r="P899" s="376" t="str">
        <f>CS_PID!P899/VLOOKUP($B899,표2[#ALL],2)/HLOOKUP($A899,표1[#ALL],row(),false)</f>
        <v>#N/A</v>
      </c>
      <c r="Q899" s="376" t="str">
        <f>CS_PID!Q899/VLOOKUP($B899,표2[#ALL],2)/HLOOKUP($A899,표1[#ALL],row(),false)</f>
        <v>#N/A</v>
      </c>
      <c r="R899" s="376" t="str">
        <f>CS_PID!R899/VLOOKUP($B899,표2[#ALL],2)/HLOOKUP($A899,표1[#ALL],row(),false)</f>
        <v>#N/A</v>
      </c>
      <c r="S899" s="376" t="str">
        <f>CS_PID!S899/VLOOKUP($B899,표2[#ALL],2)/HLOOKUP($A899,표1[#ALL],row(),false)</f>
        <v>#N/A</v>
      </c>
      <c r="T899" s="376" t="str">
        <f>CS_PID!T899/VLOOKUP($B899,표2[#ALL],2)/HLOOKUP($A899,표1[#ALL],row(),false)</f>
        <v>#N/A</v>
      </c>
      <c r="U899" s="376" t="str">
        <f>CS_PID!U899/VLOOKUP($B899,표2[#ALL],2)/HLOOKUP($A899,표1[#ALL],row(),false)</f>
        <v>#N/A</v>
      </c>
      <c r="V899" s="376" t="str">
        <f>CS_PID!V899/VLOOKUP($B899,표2[#ALL],2)/HLOOKUP($A899,표1[#ALL],row(),false)</f>
        <v>#N/A</v>
      </c>
      <c r="W899" s="376" t="str">
        <f>CS_PID!W899/VLOOKUP($B899,표2[#ALL],2)/HLOOKUP($A899,표1[#ALL],row(),false)</f>
        <v>#N/A</v>
      </c>
      <c r="X899" s="376" t="str">
        <f>CS_PID!X899/VLOOKUP($B899,표2[#ALL],2)/HLOOKUP($A899,표1[#ALL],row(),false)</f>
        <v>#N/A</v>
      </c>
      <c r="Y899" s="376" t="str">
        <f>CS_PID!Y899/VLOOKUP($B899,표2[#ALL],2)/HLOOKUP($A899,표1[#ALL],row(),false)</f>
        <v>#N/A</v>
      </c>
      <c r="Z899" s="376" t="str">
        <f>CS_PID!Z899/VLOOKUP($B899,표2[#ALL],2)/HLOOKUP($A899,표1[#ALL],row(),false)</f>
        <v>#N/A</v>
      </c>
      <c r="AA899" s="376" t="str">
        <f>CS_PID!AA899/VLOOKUP($B899,표2[#ALL],2)/HLOOKUP($A899,표1[#ALL],row(),false)</f>
        <v>#N/A</v>
      </c>
      <c r="AB899" s="376" t="str">
        <f>CS_PID!AB899/VLOOKUP($B899,표2[#ALL],2)/HLOOKUP($A899,표1[#ALL],row(),false)</f>
        <v>#N/A</v>
      </c>
      <c r="AC899" s="376" t="str">
        <f>CS_PID!AC899/VLOOKUP($B899,표2[#ALL],2)/HLOOKUP($A899,표1[#ALL],row(),false)</f>
        <v>#N/A</v>
      </c>
      <c r="AD899" s="376" t="str">
        <f>CS_PID!AD899/VLOOKUP($B899,표2[#ALL],2)/HLOOKUP($A899,표1[#ALL],row(),false)</f>
        <v>#N/A</v>
      </c>
      <c r="AE899" s="376" t="str">
        <f>CS_PID!AE899/VLOOKUP($B899,표2[#ALL],2)/HLOOKUP($A899,표1[#ALL],row(),false)</f>
        <v>#N/A</v>
      </c>
      <c r="AF899" s="376" t="str">
        <f>CS_PID!AF899/VLOOKUP($B899,표2[#ALL],2)/HLOOKUP($A899,표1[#ALL],row(),false)</f>
        <v>#N/A</v>
      </c>
      <c r="AG899" s="376" t="str">
        <f>CS_PID!AG899/VLOOKUP($B899,표2[#ALL],2)/HLOOKUP($A899,표1[#ALL],row(),false)</f>
        <v>#N/A</v>
      </c>
      <c r="AH899" s="376" t="str">
        <f>CS_PID!AH899/VLOOKUP($B899,표2[#ALL],2)/HLOOKUP($A899,표1[#ALL],row(),false)</f>
        <v>#N/A</v>
      </c>
      <c r="AI899" s="376" t="str">
        <f>CS_PID!AI899/VLOOKUP($B899,표2[#ALL],2)/HLOOKUP($A899,표1[#ALL],row(),false)</f>
        <v>#N/A</v>
      </c>
      <c r="AJ899" s="376" t="str">
        <f>CS_PID!AJ899/VLOOKUP($B899,표2[#ALL],2)/HLOOKUP($A899,표1[#ALL],row(),false)</f>
        <v>#N/A</v>
      </c>
      <c r="AK899" s="376" t="str">
        <f>CS_PID!AK899/VLOOKUP($B899,표2[#ALL],2)/HLOOKUP($A899,표1[#ALL],row(),false)</f>
        <v>#N/A</v>
      </c>
      <c r="AL899" s="376" t="str">
        <f>CS_PID!AL899/VLOOKUP($B899,표2[#ALL],2)/HLOOKUP($A899,표1[#ALL],row(),false)</f>
        <v>#N/A</v>
      </c>
      <c r="AM899" s="376" t="str">
        <f>CS_PID!AM899/VLOOKUP($B899,표2[#ALL],2)/HLOOKUP($A899,표1[#ALL],row(),false)</f>
        <v>#N/A</v>
      </c>
      <c r="AN899" s="376" t="str">
        <f>CS_PID!AN899/VLOOKUP($B899,표2[#ALL],2)/HLOOKUP($A899,표1[#ALL],row(),false)</f>
        <v>#N/A</v>
      </c>
      <c r="AO899" s="376" t="str">
        <f>CS_PID!AO899/VLOOKUP($B899,표2[#ALL],2)/HLOOKUP($A899,표1[#ALL],row(),false)</f>
        <v>#N/A</v>
      </c>
      <c r="AP899" s="376" t="str">
        <f>CS_PID!AP899/VLOOKUP($B899,표2[#ALL],2)/HLOOKUP($A899,표1[#ALL],row(),false)</f>
        <v>#N/A</v>
      </c>
      <c r="AQ899" s="376" t="str">
        <f>CS_PID!AQ899/VLOOKUP($B899,표2[#ALL],2)/HLOOKUP($A899,표1[#ALL],row(),false)</f>
        <v>#N/A</v>
      </c>
      <c r="AR899" s="376" t="str">
        <f>CS_PID!AR899/VLOOKUP($B899,표2[#ALL],2)/HLOOKUP($A899,표1[#ALL],row(),false)</f>
        <v>#N/A</v>
      </c>
      <c r="AS899" s="377" t="str">
        <f>CS_PID!AS899/VLOOKUP($B899,표2[#ALL],2)/HLOOKUP($A899,표1[#ALL],row(),false)</f>
        <v>#N/A</v>
      </c>
    </row>
    <row r="900">
      <c r="A900" s="370"/>
      <c r="B900" s="371"/>
      <c r="C900" s="372" t="str">
        <f>CS_PID!C900/VLOOKUP($B900,표2[#ALL],2)</f>
        <v>#N/A</v>
      </c>
      <c r="D900" s="372" t="str">
        <f>CS_PID!D900/VLOOKUP($B900,표2[#ALL],2)</f>
        <v>#N/A</v>
      </c>
      <c r="E900" s="372" t="str">
        <f>CS_PID!E900/VLOOKUP($B900,표2[#ALL],2)</f>
        <v>#N/A</v>
      </c>
      <c r="F900" s="372" t="str">
        <f>CS_PID!F900/VLOOKUP($B900,표2[#ALL],2)</f>
        <v>#N/A</v>
      </c>
      <c r="G900" s="372" t="str">
        <f>CS_PID!G900/VLOOKUP($B900,표2[#ALL],2)</f>
        <v>#N/A</v>
      </c>
      <c r="H900" s="372" t="str">
        <f>CS_PID!H900/VLOOKUP($B900,표2[#ALL],2)/HLOOKUP($A900,표1[#ALL],row(),false)</f>
        <v>#N/A</v>
      </c>
      <c r="I900" s="372" t="str">
        <f>CS_PID!I900/VLOOKUP($B900,표2[#ALL],2)/HLOOKUP($A900,표1[#ALL],row(),false)</f>
        <v>#N/A</v>
      </c>
      <c r="J900" s="372" t="str">
        <f>CS_PID!J900/VLOOKUP($B900,표2[#ALL],2)/HLOOKUP($A900,표1[#ALL],row(),false)</f>
        <v>#N/A</v>
      </c>
      <c r="K900" s="372" t="str">
        <f>CS_PID!K900/VLOOKUP($B900,표2[#ALL],2)/HLOOKUP($A900,표1[#ALL],row(),false)</f>
        <v>#N/A</v>
      </c>
      <c r="L900" s="372" t="str">
        <f>CS_PID!L900/VLOOKUP($B900,표2[#ALL],2)/HLOOKUP($A900,표1[#ALL],row(),false)</f>
        <v>#N/A</v>
      </c>
      <c r="M900" s="372" t="str">
        <f>CS_PID!M900/VLOOKUP($B900,표2[#ALL],2)/HLOOKUP($A900,표1[#ALL],row(),false)</f>
        <v>#N/A</v>
      </c>
      <c r="N900" s="372" t="str">
        <f>CS_PID!N900/VLOOKUP($B900,표2[#ALL],2)/HLOOKUP($A900,표1[#ALL],row(),false)</f>
        <v>#N/A</v>
      </c>
      <c r="O900" s="372" t="str">
        <f>CS_PID!O900/VLOOKUP($B900,표2[#ALL],2)/HLOOKUP($A900,표1[#ALL],row(),false)</f>
        <v>#N/A</v>
      </c>
      <c r="P900" s="372" t="str">
        <f>CS_PID!P900/VLOOKUP($B900,표2[#ALL],2)/HLOOKUP($A900,표1[#ALL],row(),false)</f>
        <v>#N/A</v>
      </c>
      <c r="Q900" s="372" t="str">
        <f>CS_PID!Q900/VLOOKUP($B900,표2[#ALL],2)/HLOOKUP($A900,표1[#ALL],row(),false)</f>
        <v>#N/A</v>
      </c>
      <c r="R900" s="372" t="str">
        <f>CS_PID!R900/VLOOKUP($B900,표2[#ALL],2)/HLOOKUP($A900,표1[#ALL],row(),false)</f>
        <v>#N/A</v>
      </c>
      <c r="S900" s="372" t="str">
        <f>CS_PID!S900/VLOOKUP($B900,표2[#ALL],2)/HLOOKUP($A900,표1[#ALL],row(),false)</f>
        <v>#N/A</v>
      </c>
      <c r="T900" s="372" t="str">
        <f>CS_PID!T900/VLOOKUP($B900,표2[#ALL],2)/HLOOKUP($A900,표1[#ALL],row(),false)</f>
        <v>#N/A</v>
      </c>
      <c r="U900" s="372" t="str">
        <f>CS_PID!U900/VLOOKUP($B900,표2[#ALL],2)/HLOOKUP($A900,표1[#ALL],row(),false)</f>
        <v>#N/A</v>
      </c>
      <c r="V900" s="372" t="str">
        <f>CS_PID!V900/VLOOKUP($B900,표2[#ALL],2)/HLOOKUP($A900,표1[#ALL],row(),false)</f>
        <v>#N/A</v>
      </c>
      <c r="W900" s="372" t="str">
        <f>CS_PID!W900/VLOOKUP($B900,표2[#ALL],2)/HLOOKUP($A900,표1[#ALL],row(),false)</f>
        <v>#N/A</v>
      </c>
      <c r="X900" s="372" t="str">
        <f>CS_PID!X900/VLOOKUP($B900,표2[#ALL],2)/HLOOKUP($A900,표1[#ALL],row(),false)</f>
        <v>#N/A</v>
      </c>
      <c r="Y900" s="372" t="str">
        <f>CS_PID!Y900/VLOOKUP($B900,표2[#ALL],2)/HLOOKUP($A900,표1[#ALL],row(),false)</f>
        <v>#N/A</v>
      </c>
      <c r="Z900" s="372" t="str">
        <f>CS_PID!Z900/VLOOKUP($B900,표2[#ALL],2)/HLOOKUP($A900,표1[#ALL],row(),false)</f>
        <v>#N/A</v>
      </c>
      <c r="AA900" s="372" t="str">
        <f>CS_PID!AA900/VLOOKUP($B900,표2[#ALL],2)/HLOOKUP($A900,표1[#ALL],row(),false)</f>
        <v>#N/A</v>
      </c>
      <c r="AB900" s="372" t="str">
        <f>CS_PID!AB900/VLOOKUP($B900,표2[#ALL],2)/HLOOKUP($A900,표1[#ALL],row(),false)</f>
        <v>#N/A</v>
      </c>
      <c r="AC900" s="372" t="str">
        <f>CS_PID!AC900/VLOOKUP($B900,표2[#ALL],2)/HLOOKUP($A900,표1[#ALL],row(),false)</f>
        <v>#N/A</v>
      </c>
      <c r="AD900" s="372" t="str">
        <f>CS_PID!AD900/VLOOKUP($B900,표2[#ALL],2)/HLOOKUP($A900,표1[#ALL],row(),false)</f>
        <v>#N/A</v>
      </c>
      <c r="AE900" s="372" t="str">
        <f>CS_PID!AE900/VLOOKUP($B900,표2[#ALL],2)/HLOOKUP($A900,표1[#ALL],row(),false)</f>
        <v>#N/A</v>
      </c>
      <c r="AF900" s="372" t="str">
        <f>CS_PID!AF900/VLOOKUP($B900,표2[#ALL],2)/HLOOKUP($A900,표1[#ALL],row(),false)</f>
        <v>#N/A</v>
      </c>
      <c r="AG900" s="372" t="str">
        <f>CS_PID!AG900/VLOOKUP($B900,표2[#ALL],2)/HLOOKUP($A900,표1[#ALL],row(),false)</f>
        <v>#N/A</v>
      </c>
      <c r="AH900" s="372" t="str">
        <f>CS_PID!AH900/VLOOKUP($B900,표2[#ALL],2)/HLOOKUP($A900,표1[#ALL],row(),false)</f>
        <v>#N/A</v>
      </c>
      <c r="AI900" s="372" t="str">
        <f>CS_PID!AI900/VLOOKUP($B900,표2[#ALL],2)/HLOOKUP($A900,표1[#ALL],row(),false)</f>
        <v>#N/A</v>
      </c>
      <c r="AJ900" s="372" t="str">
        <f>CS_PID!AJ900/VLOOKUP($B900,표2[#ALL],2)/HLOOKUP($A900,표1[#ALL],row(),false)</f>
        <v>#N/A</v>
      </c>
      <c r="AK900" s="372" t="str">
        <f>CS_PID!AK900/VLOOKUP($B900,표2[#ALL],2)/HLOOKUP($A900,표1[#ALL],row(),false)</f>
        <v>#N/A</v>
      </c>
      <c r="AL900" s="372" t="str">
        <f>CS_PID!AL900/VLOOKUP($B900,표2[#ALL],2)/HLOOKUP($A900,표1[#ALL],row(),false)</f>
        <v>#N/A</v>
      </c>
      <c r="AM900" s="372" t="str">
        <f>CS_PID!AM900/VLOOKUP($B900,표2[#ALL],2)/HLOOKUP($A900,표1[#ALL],row(),false)</f>
        <v>#N/A</v>
      </c>
      <c r="AN900" s="372" t="str">
        <f>CS_PID!AN900/VLOOKUP($B900,표2[#ALL],2)/HLOOKUP($A900,표1[#ALL],row(),false)</f>
        <v>#N/A</v>
      </c>
      <c r="AO900" s="372" t="str">
        <f>CS_PID!AO900/VLOOKUP($B900,표2[#ALL],2)/HLOOKUP($A900,표1[#ALL],row(),false)</f>
        <v>#N/A</v>
      </c>
      <c r="AP900" s="372" t="str">
        <f>CS_PID!AP900/VLOOKUP($B900,표2[#ALL],2)/HLOOKUP($A900,표1[#ALL],row(),false)</f>
        <v>#N/A</v>
      </c>
      <c r="AQ900" s="372" t="str">
        <f>CS_PID!AQ900/VLOOKUP($B900,표2[#ALL],2)/HLOOKUP($A900,표1[#ALL],row(),false)</f>
        <v>#N/A</v>
      </c>
      <c r="AR900" s="372" t="str">
        <f>CS_PID!AR900/VLOOKUP($B900,표2[#ALL],2)/HLOOKUP($A900,표1[#ALL],row(),false)</f>
        <v>#N/A</v>
      </c>
      <c r="AS900" s="373" t="str">
        <f>CS_PID!AS900/VLOOKUP($B900,표2[#ALL],2)/HLOOKUP($A900,표1[#ALL],row(),false)</f>
        <v>#N/A</v>
      </c>
    </row>
    <row r="901">
      <c r="A901" s="374"/>
      <c r="B901" s="375"/>
      <c r="C901" s="376" t="str">
        <f>CS_PID!C901/VLOOKUP($B901,표2[#ALL],2)</f>
        <v>#N/A</v>
      </c>
      <c r="D901" s="376" t="str">
        <f>CS_PID!D901/VLOOKUP($B901,표2[#ALL],2)</f>
        <v>#N/A</v>
      </c>
      <c r="E901" s="376" t="str">
        <f>CS_PID!E901/VLOOKUP($B901,표2[#ALL],2)</f>
        <v>#N/A</v>
      </c>
      <c r="F901" s="376" t="str">
        <f>CS_PID!F901/VLOOKUP($B901,표2[#ALL],2)</f>
        <v>#N/A</v>
      </c>
      <c r="G901" s="376" t="str">
        <f>CS_PID!G901/VLOOKUP($B901,표2[#ALL],2)</f>
        <v>#N/A</v>
      </c>
      <c r="H901" s="376" t="str">
        <f>CS_PID!H901/VLOOKUP($B901,표2[#ALL],2)/HLOOKUP($A901,표1[#ALL],row(),false)</f>
        <v>#N/A</v>
      </c>
      <c r="I901" s="376" t="str">
        <f>CS_PID!I901/VLOOKUP($B901,표2[#ALL],2)/HLOOKUP($A901,표1[#ALL],row(),false)</f>
        <v>#N/A</v>
      </c>
      <c r="J901" s="376" t="str">
        <f>CS_PID!J901/VLOOKUP($B901,표2[#ALL],2)/HLOOKUP($A901,표1[#ALL],row(),false)</f>
        <v>#N/A</v>
      </c>
      <c r="K901" s="376" t="str">
        <f>CS_PID!K901/VLOOKUP($B901,표2[#ALL],2)/HLOOKUP($A901,표1[#ALL],row(),false)</f>
        <v>#N/A</v>
      </c>
      <c r="L901" s="376" t="str">
        <f>CS_PID!L901/VLOOKUP($B901,표2[#ALL],2)/HLOOKUP($A901,표1[#ALL],row(),false)</f>
        <v>#N/A</v>
      </c>
      <c r="M901" s="376" t="str">
        <f>CS_PID!M901/VLOOKUP($B901,표2[#ALL],2)/HLOOKUP($A901,표1[#ALL],row(),false)</f>
        <v>#N/A</v>
      </c>
      <c r="N901" s="376" t="str">
        <f>CS_PID!N901/VLOOKUP($B901,표2[#ALL],2)/HLOOKUP($A901,표1[#ALL],row(),false)</f>
        <v>#N/A</v>
      </c>
      <c r="O901" s="376" t="str">
        <f>CS_PID!O901/VLOOKUP($B901,표2[#ALL],2)/HLOOKUP($A901,표1[#ALL],row(),false)</f>
        <v>#N/A</v>
      </c>
      <c r="P901" s="376" t="str">
        <f>CS_PID!P901/VLOOKUP($B901,표2[#ALL],2)/HLOOKUP($A901,표1[#ALL],row(),false)</f>
        <v>#N/A</v>
      </c>
      <c r="Q901" s="376" t="str">
        <f>CS_PID!Q901/VLOOKUP($B901,표2[#ALL],2)/HLOOKUP($A901,표1[#ALL],row(),false)</f>
        <v>#N/A</v>
      </c>
      <c r="R901" s="376" t="str">
        <f>CS_PID!R901/VLOOKUP($B901,표2[#ALL],2)/HLOOKUP($A901,표1[#ALL],row(),false)</f>
        <v>#N/A</v>
      </c>
      <c r="S901" s="376" t="str">
        <f>CS_PID!S901/VLOOKUP($B901,표2[#ALL],2)/HLOOKUP($A901,표1[#ALL],row(),false)</f>
        <v>#N/A</v>
      </c>
      <c r="T901" s="376" t="str">
        <f>CS_PID!T901/VLOOKUP($B901,표2[#ALL],2)/HLOOKUP($A901,표1[#ALL],row(),false)</f>
        <v>#N/A</v>
      </c>
      <c r="U901" s="376" t="str">
        <f>CS_PID!U901/VLOOKUP($B901,표2[#ALL],2)/HLOOKUP($A901,표1[#ALL],row(),false)</f>
        <v>#N/A</v>
      </c>
      <c r="V901" s="376" t="str">
        <f>CS_PID!V901/VLOOKUP($B901,표2[#ALL],2)/HLOOKUP($A901,표1[#ALL],row(),false)</f>
        <v>#N/A</v>
      </c>
      <c r="W901" s="376" t="str">
        <f>CS_PID!W901/VLOOKUP($B901,표2[#ALL],2)/HLOOKUP($A901,표1[#ALL],row(),false)</f>
        <v>#N/A</v>
      </c>
      <c r="X901" s="376" t="str">
        <f>CS_PID!X901/VLOOKUP($B901,표2[#ALL],2)/HLOOKUP($A901,표1[#ALL],row(),false)</f>
        <v>#N/A</v>
      </c>
      <c r="Y901" s="376" t="str">
        <f>CS_PID!Y901/VLOOKUP($B901,표2[#ALL],2)/HLOOKUP($A901,표1[#ALL],row(),false)</f>
        <v>#N/A</v>
      </c>
      <c r="Z901" s="376" t="str">
        <f>CS_PID!Z901/VLOOKUP($B901,표2[#ALL],2)/HLOOKUP($A901,표1[#ALL],row(),false)</f>
        <v>#N/A</v>
      </c>
      <c r="AA901" s="376" t="str">
        <f>CS_PID!AA901/VLOOKUP($B901,표2[#ALL],2)/HLOOKUP($A901,표1[#ALL],row(),false)</f>
        <v>#N/A</v>
      </c>
      <c r="AB901" s="376" t="str">
        <f>CS_PID!AB901/VLOOKUP($B901,표2[#ALL],2)/HLOOKUP($A901,표1[#ALL],row(),false)</f>
        <v>#N/A</v>
      </c>
      <c r="AC901" s="376" t="str">
        <f>CS_PID!AC901/VLOOKUP($B901,표2[#ALL],2)/HLOOKUP($A901,표1[#ALL],row(),false)</f>
        <v>#N/A</v>
      </c>
      <c r="AD901" s="376" t="str">
        <f>CS_PID!AD901/VLOOKUP($B901,표2[#ALL],2)/HLOOKUP($A901,표1[#ALL],row(),false)</f>
        <v>#N/A</v>
      </c>
      <c r="AE901" s="376" t="str">
        <f>CS_PID!AE901/VLOOKUP($B901,표2[#ALL],2)/HLOOKUP($A901,표1[#ALL],row(),false)</f>
        <v>#N/A</v>
      </c>
      <c r="AF901" s="376" t="str">
        <f>CS_PID!AF901/VLOOKUP($B901,표2[#ALL],2)/HLOOKUP($A901,표1[#ALL],row(),false)</f>
        <v>#N/A</v>
      </c>
      <c r="AG901" s="376" t="str">
        <f>CS_PID!AG901/VLOOKUP($B901,표2[#ALL],2)/HLOOKUP($A901,표1[#ALL],row(),false)</f>
        <v>#N/A</v>
      </c>
      <c r="AH901" s="376" t="str">
        <f>CS_PID!AH901/VLOOKUP($B901,표2[#ALL],2)/HLOOKUP($A901,표1[#ALL],row(),false)</f>
        <v>#N/A</v>
      </c>
      <c r="AI901" s="376" t="str">
        <f>CS_PID!AI901/VLOOKUP($B901,표2[#ALL],2)/HLOOKUP($A901,표1[#ALL],row(),false)</f>
        <v>#N/A</v>
      </c>
      <c r="AJ901" s="376" t="str">
        <f>CS_PID!AJ901/VLOOKUP($B901,표2[#ALL],2)/HLOOKUP($A901,표1[#ALL],row(),false)</f>
        <v>#N/A</v>
      </c>
      <c r="AK901" s="376" t="str">
        <f>CS_PID!AK901/VLOOKUP($B901,표2[#ALL],2)/HLOOKUP($A901,표1[#ALL],row(),false)</f>
        <v>#N/A</v>
      </c>
      <c r="AL901" s="376" t="str">
        <f>CS_PID!AL901/VLOOKUP($B901,표2[#ALL],2)/HLOOKUP($A901,표1[#ALL],row(),false)</f>
        <v>#N/A</v>
      </c>
      <c r="AM901" s="376" t="str">
        <f>CS_PID!AM901/VLOOKUP($B901,표2[#ALL],2)/HLOOKUP($A901,표1[#ALL],row(),false)</f>
        <v>#N/A</v>
      </c>
      <c r="AN901" s="376" t="str">
        <f>CS_PID!AN901/VLOOKUP($B901,표2[#ALL],2)/HLOOKUP($A901,표1[#ALL],row(),false)</f>
        <v>#N/A</v>
      </c>
      <c r="AO901" s="376" t="str">
        <f>CS_PID!AO901/VLOOKUP($B901,표2[#ALL],2)/HLOOKUP($A901,표1[#ALL],row(),false)</f>
        <v>#N/A</v>
      </c>
      <c r="AP901" s="376" t="str">
        <f>CS_PID!AP901/VLOOKUP($B901,표2[#ALL],2)/HLOOKUP($A901,표1[#ALL],row(),false)</f>
        <v>#N/A</v>
      </c>
      <c r="AQ901" s="376" t="str">
        <f>CS_PID!AQ901/VLOOKUP($B901,표2[#ALL],2)/HLOOKUP($A901,표1[#ALL],row(),false)</f>
        <v>#N/A</v>
      </c>
      <c r="AR901" s="376" t="str">
        <f>CS_PID!AR901/VLOOKUP($B901,표2[#ALL],2)/HLOOKUP($A901,표1[#ALL],row(),false)</f>
        <v>#N/A</v>
      </c>
      <c r="AS901" s="377" t="str">
        <f>CS_PID!AS901/VLOOKUP($B901,표2[#ALL],2)/HLOOKUP($A901,표1[#ALL],row(),false)</f>
        <v>#N/A</v>
      </c>
    </row>
    <row r="902">
      <c r="A902" s="370"/>
      <c r="B902" s="371"/>
      <c r="C902" s="372" t="str">
        <f>CS_PID!C902/VLOOKUP($B902,표2[#ALL],2)</f>
        <v>#N/A</v>
      </c>
      <c r="D902" s="372" t="str">
        <f>CS_PID!D902/VLOOKUP($B902,표2[#ALL],2)</f>
        <v>#N/A</v>
      </c>
      <c r="E902" s="372" t="str">
        <f>CS_PID!E902/VLOOKUP($B902,표2[#ALL],2)</f>
        <v>#N/A</v>
      </c>
      <c r="F902" s="372" t="str">
        <f>CS_PID!F902/VLOOKUP($B902,표2[#ALL],2)</f>
        <v>#N/A</v>
      </c>
      <c r="G902" s="372" t="str">
        <f>CS_PID!G902/VLOOKUP($B902,표2[#ALL],2)</f>
        <v>#N/A</v>
      </c>
      <c r="H902" s="372" t="str">
        <f>CS_PID!H902/VLOOKUP($B902,표2[#ALL],2)/HLOOKUP($A902,표1[#ALL],row(),false)</f>
        <v>#N/A</v>
      </c>
      <c r="I902" s="372" t="str">
        <f>CS_PID!I902/VLOOKUP($B902,표2[#ALL],2)/HLOOKUP($A902,표1[#ALL],row(),false)</f>
        <v>#N/A</v>
      </c>
      <c r="J902" s="372" t="str">
        <f>CS_PID!J902/VLOOKUP($B902,표2[#ALL],2)/HLOOKUP($A902,표1[#ALL],row(),false)</f>
        <v>#N/A</v>
      </c>
      <c r="K902" s="372" t="str">
        <f>CS_PID!K902/VLOOKUP($B902,표2[#ALL],2)/HLOOKUP($A902,표1[#ALL],row(),false)</f>
        <v>#N/A</v>
      </c>
      <c r="L902" s="372" t="str">
        <f>CS_PID!L902/VLOOKUP($B902,표2[#ALL],2)/HLOOKUP($A902,표1[#ALL],row(),false)</f>
        <v>#N/A</v>
      </c>
      <c r="M902" s="372" t="str">
        <f>CS_PID!M902/VLOOKUP($B902,표2[#ALL],2)/HLOOKUP($A902,표1[#ALL],row(),false)</f>
        <v>#N/A</v>
      </c>
      <c r="N902" s="372" t="str">
        <f>CS_PID!N902/VLOOKUP($B902,표2[#ALL],2)/HLOOKUP($A902,표1[#ALL],row(),false)</f>
        <v>#N/A</v>
      </c>
      <c r="O902" s="372" t="str">
        <f>CS_PID!O902/VLOOKUP($B902,표2[#ALL],2)/HLOOKUP($A902,표1[#ALL],row(),false)</f>
        <v>#N/A</v>
      </c>
      <c r="P902" s="372" t="str">
        <f>CS_PID!P902/VLOOKUP($B902,표2[#ALL],2)/HLOOKUP($A902,표1[#ALL],row(),false)</f>
        <v>#N/A</v>
      </c>
      <c r="Q902" s="372" t="str">
        <f>CS_PID!Q902/VLOOKUP($B902,표2[#ALL],2)/HLOOKUP($A902,표1[#ALL],row(),false)</f>
        <v>#N/A</v>
      </c>
      <c r="R902" s="372" t="str">
        <f>CS_PID!R902/VLOOKUP($B902,표2[#ALL],2)/HLOOKUP($A902,표1[#ALL],row(),false)</f>
        <v>#N/A</v>
      </c>
      <c r="S902" s="372" t="str">
        <f>CS_PID!S902/VLOOKUP($B902,표2[#ALL],2)/HLOOKUP($A902,표1[#ALL],row(),false)</f>
        <v>#N/A</v>
      </c>
      <c r="T902" s="372" t="str">
        <f>CS_PID!T902/VLOOKUP($B902,표2[#ALL],2)/HLOOKUP($A902,표1[#ALL],row(),false)</f>
        <v>#N/A</v>
      </c>
      <c r="U902" s="372" t="str">
        <f>CS_PID!U902/VLOOKUP($B902,표2[#ALL],2)/HLOOKUP($A902,표1[#ALL],row(),false)</f>
        <v>#N/A</v>
      </c>
      <c r="V902" s="372" t="str">
        <f>CS_PID!V902/VLOOKUP($B902,표2[#ALL],2)/HLOOKUP($A902,표1[#ALL],row(),false)</f>
        <v>#N/A</v>
      </c>
      <c r="W902" s="372" t="str">
        <f>CS_PID!W902/VLOOKUP($B902,표2[#ALL],2)/HLOOKUP($A902,표1[#ALL],row(),false)</f>
        <v>#N/A</v>
      </c>
      <c r="X902" s="372" t="str">
        <f>CS_PID!X902/VLOOKUP($B902,표2[#ALL],2)/HLOOKUP($A902,표1[#ALL],row(),false)</f>
        <v>#N/A</v>
      </c>
      <c r="Y902" s="372" t="str">
        <f>CS_PID!Y902/VLOOKUP($B902,표2[#ALL],2)/HLOOKUP($A902,표1[#ALL],row(),false)</f>
        <v>#N/A</v>
      </c>
      <c r="Z902" s="372" t="str">
        <f>CS_PID!Z902/VLOOKUP($B902,표2[#ALL],2)/HLOOKUP($A902,표1[#ALL],row(),false)</f>
        <v>#N/A</v>
      </c>
      <c r="AA902" s="372" t="str">
        <f>CS_PID!AA902/VLOOKUP($B902,표2[#ALL],2)/HLOOKUP($A902,표1[#ALL],row(),false)</f>
        <v>#N/A</v>
      </c>
      <c r="AB902" s="372" t="str">
        <f>CS_PID!AB902/VLOOKUP($B902,표2[#ALL],2)/HLOOKUP($A902,표1[#ALL],row(),false)</f>
        <v>#N/A</v>
      </c>
      <c r="AC902" s="372" t="str">
        <f>CS_PID!AC902/VLOOKUP($B902,표2[#ALL],2)/HLOOKUP($A902,표1[#ALL],row(),false)</f>
        <v>#N/A</v>
      </c>
      <c r="AD902" s="372" t="str">
        <f>CS_PID!AD902/VLOOKUP($B902,표2[#ALL],2)/HLOOKUP($A902,표1[#ALL],row(),false)</f>
        <v>#N/A</v>
      </c>
      <c r="AE902" s="372" t="str">
        <f>CS_PID!AE902/VLOOKUP($B902,표2[#ALL],2)/HLOOKUP($A902,표1[#ALL],row(),false)</f>
        <v>#N/A</v>
      </c>
      <c r="AF902" s="372" t="str">
        <f>CS_PID!AF902/VLOOKUP($B902,표2[#ALL],2)/HLOOKUP($A902,표1[#ALL],row(),false)</f>
        <v>#N/A</v>
      </c>
      <c r="AG902" s="372" t="str">
        <f>CS_PID!AG902/VLOOKUP($B902,표2[#ALL],2)/HLOOKUP($A902,표1[#ALL],row(),false)</f>
        <v>#N/A</v>
      </c>
      <c r="AH902" s="372" t="str">
        <f>CS_PID!AH902/VLOOKUP($B902,표2[#ALL],2)/HLOOKUP($A902,표1[#ALL],row(),false)</f>
        <v>#N/A</v>
      </c>
      <c r="AI902" s="372" t="str">
        <f>CS_PID!AI902/VLOOKUP($B902,표2[#ALL],2)/HLOOKUP($A902,표1[#ALL],row(),false)</f>
        <v>#N/A</v>
      </c>
      <c r="AJ902" s="372" t="str">
        <f>CS_PID!AJ902/VLOOKUP($B902,표2[#ALL],2)/HLOOKUP($A902,표1[#ALL],row(),false)</f>
        <v>#N/A</v>
      </c>
      <c r="AK902" s="372" t="str">
        <f>CS_PID!AK902/VLOOKUP($B902,표2[#ALL],2)/HLOOKUP($A902,표1[#ALL],row(),false)</f>
        <v>#N/A</v>
      </c>
      <c r="AL902" s="372" t="str">
        <f>CS_PID!AL902/VLOOKUP($B902,표2[#ALL],2)/HLOOKUP($A902,표1[#ALL],row(),false)</f>
        <v>#N/A</v>
      </c>
      <c r="AM902" s="372" t="str">
        <f>CS_PID!AM902/VLOOKUP($B902,표2[#ALL],2)/HLOOKUP($A902,표1[#ALL],row(),false)</f>
        <v>#N/A</v>
      </c>
      <c r="AN902" s="372" t="str">
        <f>CS_PID!AN902/VLOOKUP($B902,표2[#ALL],2)/HLOOKUP($A902,표1[#ALL],row(),false)</f>
        <v>#N/A</v>
      </c>
      <c r="AO902" s="372" t="str">
        <f>CS_PID!AO902/VLOOKUP($B902,표2[#ALL],2)/HLOOKUP($A902,표1[#ALL],row(),false)</f>
        <v>#N/A</v>
      </c>
      <c r="AP902" s="372" t="str">
        <f>CS_PID!AP902/VLOOKUP($B902,표2[#ALL],2)/HLOOKUP($A902,표1[#ALL],row(),false)</f>
        <v>#N/A</v>
      </c>
      <c r="AQ902" s="372" t="str">
        <f>CS_PID!AQ902/VLOOKUP($B902,표2[#ALL],2)/HLOOKUP($A902,표1[#ALL],row(),false)</f>
        <v>#N/A</v>
      </c>
      <c r="AR902" s="372" t="str">
        <f>CS_PID!AR902/VLOOKUP($B902,표2[#ALL],2)/HLOOKUP($A902,표1[#ALL],row(),false)</f>
        <v>#N/A</v>
      </c>
      <c r="AS902" s="373" t="str">
        <f>CS_PID!AS902/VLOOKUP($B902,표2[#ALL],2)/HLOOKUP($A902,표1[#ALL],row(),false)</f>
        <v>#N/A</v>
      </c>
    </row>
    <row r="903">
      <c r="A903" s="374"/>
      <c r="B903" s="375"/>
      <c r="C903" s="376" t="str">
        <f>CS_PID!C903/VLOOKUP($B903,표2[#ALL],2)</f>
        <v>#N/A</v>
      </c>
      <c r="D903" s="376" t="str">
        <f>CS_PID!D903/VLOOKUP($B903,표2[#ALL],2)</f>
        <v>#N/A</v>
      </c>
      <c r="E903" s="376" t="str">
        <f>CS_PID!E903/VLOOKUP($B903,표2[#ALL],2)</f>
        <v>#N/A</v>
      </c>
      <c r="F903" s="376" t="str">
        <f>CS_PID!F903/VLOOKUP($B903,표2[#ALL],2)</f>
        <v>#N/A</v>
      </c>
      <c r="G903" s="376" t="str">
        <f>CS_PID!G903/VLOOKUP($B903,표2[#ALL],2)</f>
        <v>#N/A</v>
      </c>
      <c r="H903" s="376" t="str">
        <f>CS_PID!H903/VLOOKUP($B903,표2[#ALL],2)/HLOOKUP($A903,표1[#ALL],row(),false)</f>
        <v>#N/A</v>
      </c>
      <c r="I903" s="376" t="str">
        <f>CS_PID!I903/VLOOKUP($B903,표2[#ALL],2)/HLOOKUP($A903,표1[#ALL],row(),false)</f>
        <v>#N/A</v>
      </c>
      <c r="J903" s="376" t="str">
        <f>CS_PID!J903/VLOOKUP($B903,표2[#ALL],2)/HLOOKUP($A903,표1[#ALL],row(),false)</f>
        <v>#N/A</v>
      </c>
      <c r="K903" s="376" t="str">
        <f>CS_PID!K903/VLOOKUP($B903,표2[#ALL],2)/HLOOKUP($A903,표1[#ALL],row(),false)</f>
        <v>#N/A</v>
      </c>
      <c r="L903" s="376" t="str">
        <f>CS_PID!L903/VLOOKUP($B903,표2[#ALL],2)/HLOOKUP($A903,표1[#ALL],row(),false)</f>
        <v>#N/A</v>
      </c>
      <c r="M903" s="376" t="str">
        <f>CS_PID!M903/VLOOKUP($B903,표2[#ALL],2)/HLOOKUP($A903,표1[#ALL],row(),false)</f>
        <v>#N/A</v>
      </c>
      <c r="N903" s="376" t="str">
        <f>CS_PID!N903/VLOOKUP($B903,표2[#ALL],2)/HLOOKUP($A903,표1[#ALL],row(),false)</f>
        <v>#N/A</v>
      </c>
      <c r="O903" s="376" t="str">
        <f>CS_PID!O903/VLOOKUP($B903,표2[#ALL],2)/HLOOKUP($A903,표1[#ALL],row(),false)</f>
        <v>#N/A</v>
      </c>
      <c r="P903" s="376" t="str">
        <f>CS_PID!P903/VLOOKUP($B903,표2[#ALL],2)/HLOOKUP($A903,표1[#ALL],row(),false)</f>
        <v>#N/A</v>
      </c>
      <c r="Q903" s="376" t="str">
        <f>CS_PID!Q903/VLOOKUP($B903,표2[#ALL],2)/HLOOKUP($A903,표1[#ALL],row(),false)</f>
        <v>#N/A</v>
      </c>
      <c r="R903" s="376" t="str">
        <f>CS_PID!R903/VLOOKUP($B903,표2[#ALL],2)/HLOOKUP($A903,표1[#ALL],row(),false)</f>
        <v>#N/A</v>
      </c>
      <c r="S903" s="376" t="str">
        <f>CS_PID!S903/VLOOKUP($B903,표2[#ALL],2)/HLOOKUP($A903,표1[#ALL],row(),false)</f>
        <v>#N/A</v>
      </c>
      <c r="T903" s="376" t="str">
        <f>CS_PID!T903/VLOOKUP($B903,표2[#ALL],2)/HLOOKUP($A903,표1[#ALL],row(),false)</f>
        <v>#N/A</v>
      </c>
      <c r="U903" s="376" t="str">
        <f>CS_PID!U903/VLOOKUP($B903,표2[#ALL],2)/HLOOKUP($A903,표1[#ALL],row(),false)</f>
        <v>#N/A</v>
      </c>
      <c r="V903" s="376" t="str">
        <f>CS_PID!V903/VLOOKUP($B903,표2[#ALL],2)/HLOOKUP($A903,표1[#ALL],row(),false)</f>
        <v>#N/A</v>
      </c>
      <c r="W903" s="376" t="str">
        <f>CS_PID!W903/VLOOKUP($B903,표2[#ALL],2)/HLOOKUP($A903,표1[#ALL],row(),false)</f>
        <v>#N/A</v>
      </c>
      <c r="X903" s="376" t="str">
        <f>CS_PID!X903/VLOOKUP($B903,표2[#ALL],2)/HLOOKUP($A903,표1[#ALL],row(),false)</f>
        <v>#N/A</v>
      </c>
      <c r="Y903" s="376" t="str">
        <f>CS_PID!Y903/VLOOKUP($B903,표2[#ALL],2)/HLOOKUP($A903,표1[#ALL],row(),false)</f>
        <v>#N/A</v>
      </c>
      <c r="Z903" s="376" t="str">
        <f>CS_PID!Z903/VLOOKUP($B903,표2[#ALL],2)/HLOOKUP($A903,표1[#ALL],row(),false)</f>
        <v>#N/A</v>
      </c>
      <c r="AA903" s="376" t="str">
        <f>CS_PID!AA903/VLOOKUP($B903,표2[#ALL],2)/HLOOKUP($A903,표1[#ALL],row(),false)</f>
        <v>#N/A</v>
      </c>
      <c r="AB903" s="376" t="str">
        <f>CS_PID!AB903/VLOOKUP($B903,표2[#ALL],2)/HLOOKUP($A903,표1[#ALL],row(),false)</f>
        <v>#N/A</v>
      </c>
      <c r="AC903" s="376" t="str">
        <f>CS_PID!AC903/VLOOKUP($B903,표2[#ALL],2)/HLOOKUP($A903,표1[#ALL],row(),false)</f>
        <v>#N/A</v>
      </c>
      <c r="AD903" s="376" t="str">
        <f>CS_PID!AD903/VLOOKUP($B903,표2[#ALL],2)/HLOOKUP($A903,표1[#ALL],row(),false)</f>
        <v>#N/A</v>
      </c>
      <c r="AE903" s="376" t="str">
        <f>CS_PID!AE903/VLOOKUP($B903,표2[#ALL],2)/HLOOKUP($A903,표1[#ALL],row(),false)</f>
        <v>#N/A</v>
      </c>
      <c r="AF903" s="376" t="str">
        <f>CS_PID!AF903/VLOOKUP($B903,표2[#ALL],2)/HLOOKUP($A903,표1[#ALL],row(),false)</f>
        <v>#N/A</v>
      </c>
      <c r="AG903" s="376" t="str">
        <f>CS_PID!AG903/VLOOKUP($B903,표2[#ALL],2)/HLOOKUP($A903,표1[#ALL],row(),false)</f>
        <v>#N/A</v>
      </c>
      <c r="AH903" s="376" t="str">
        <f>CS_PID!AH903/VLOOKUP($B903,표2[#ALL],2)/HLOOKUP($A903,표1[#ALL],row(),false)</f>
        <v>#N/A</v>
      </c>
      <c r="AI903" s="376" t="str">
        <f>CS_PID!AI903/VLOOKUP($B903,표2[#ALL],2)/HLOOKUP($A903,표1[#ALL],row(),false)</f>
        <v>#N/A</v>
      </c>
      <c r="AJ903" s="376" t="str">
        <f>CS_PID!AJ903/VLOOKUP($B903,표2[#ALL],2)/HLOOKUP($A903,표1[#ALL],row(),false)</f>
        <v>#N/A</v>
      </c>
      <c r="AK903" s="376" t="str">
        <f>CS_PID!AK903/VLOOKUP($B903,표2[#ALL],2)/HLOOKUP($A903,표1[#ALL],row(),false)</f>
        <v>#N/A</v>
      </c>
      <c r="AL903" s="376" t="str">
        <f>CS_PID!AL903/VLOOKUP($B903,표2[#ALL],2)/HLOOKUP($A903,표1[#ALL],row(),false)</f>
        <v>#N/A</v>
      </c>
      <c r="AM903" s="376" t="str">
        <f>CS_PID!AM903/VLOOKUP($B903,표2[#ALL],2)/HLOOKUP($A903,표1[#ALL],row(),false)</f>
        <v>#N/A</v>
      </c>
      <c r="AN903" s="376" t="str">
        <f>CS_PID!AN903/VLOOKUP($B903,표2[#ALL],2)/HLOOKUP($A903,표1[#ALL],row(),false)</f>
        <v>#N/A</v>
      </c>
      <c r="AO903" s="376" t="str">
        <f>CS_PID!AO903/VLOOKUP($B903,표2[#ALL],2)/HLOOKUP($A903,표1[#ALL],row(),false)</f>
        <v>#N/A</v>
      </c>
      <c r="AP903" s="376" t="str">
        <f>CS_PID!AP903/VLOOKUP($B903,표2[#ALL],2)/HLOOKUP($A903,표1[#ALL],row(),false)</f>
        <v>#N/A</v>
      </c>
      <c r="AQ903" s="376" t="str">
        <f>CS_PID!AQ903/VLOOKUP($B903,표2[#ALL],2)/HLOOKUP($A903,표1[#ALL],row(),false)</f>
        <v>#N/A</v>
      </c>
      <c r="AR903" s="376" t="str">
        <f>CS_PID!AR903/VLOOKUP($B903,표2[#ALL],2)/HLOOKUP($A903,표1[#ALL],row(),false)</f>
        <v>#N/A</v>
      </c>
      <c r="AS903" s="377" t="str">
        <f>CS_PID!AS903/VLOOKUP($B903,표2[#ALL],2)/HLOOKUP($A903,표1[#ALL],row(),false)</f>
        <v>#N/A</v>
      </c>
    </row>
    <row r="904">
      <c r="A904" s="370"/>
      <c r="B904" s="371"/>
      <c r="C904" s="372" t="str">
        <f>CS_PID!C904/VLOOKUP($B904,표2[#ALL],2)</f>
        <v>#N/A</v>
      </c>
      <c r="D904" s="372" t="str">
        <f>CS_PID!D904/VLOOKUP($B904,표2[#ALL],2)</f>
        <v>#N/A</v>
      </c>
      <c r="E904" s="372" t="str">
        <f>CS_PID!E904/VLOOKUP($B904,표2[#ALL],2)</f>
        <v>#N/A</v>
      </c>
      <c r="F904" s="372" t="str">
        <f>CS_PID!F904/VLOOKUP($B904,표2[#ALL],2)</f>
        <v>#N/A</v>
      </c>
      <c r="G904" s="372" t="str">
        <f>CS_PID!G904/VLOOKUP($B904,표2[#ALL],2)</f>
        <v>#N/A</v>
      </c>
      <c r="H904" s="372" t="str">
        <f>CS_PID!H904/VLOOKUP($B904,표2[#ALL],2)/HLOOKUP($A904,표1[#ALL],row(),false)</f>
        <v>#N/A</v>
      </c>
      <c r="I904" s="372" t="str">
        <f>CS_PID!I904/VLOOKUP($B904,표2[#ALL],2)/HLOOKUP($A904,표1[#ALL],row(),false)</f>
        <v>#N/A</v>
      </c>
      <c r="J904" s="372" t="str">
        <f>CS_PID!J904/VLOOKUP($B904,표2[#ALL],2)/HLOOKUP($A904,표1[#ALL],row(),false)</f>
        <v>#N/A</v>
      </c>
      <c r="K904" s="372" t="str">
        <f>CS_PID!K904/VLOOKUP($B904,표2[#ALL],2)/HLOOKUP($A904,표1[#ALL],row(),false)</f>
        <v>#N/A</v>
      </c>
      <c r="L904" s="372" t="str">
        <f>CS_PID!L904/VLOOKUP($B904,표2[#ALL],2)/HLOOKUP($A904,표1[#ALL],row(),false)</f>
        <v>#N/A</v>
      </c>
      <c r="M904" s="372" t="str">
        <f>CS_PID!M904/VLOOKUP($B904,표2[#ALL],2)/HLOOKUP($A904,표1[#ALL],row(),false)</f>
        <v>#N/A</v>
      </c>
      <c r="N904" s="372" t="str">
        <f>CS_PID!N904/VLOOKUP($B904,표2[#ALL],2)/HLOOKUP($A904,표1[#ALL],row(),false)</f>
        <v>#N/A</v>
      </c>
      <c r="O904" s="372" t="str">
        <f>CS_PID!O904/VLOOKUP($B904,표2[#ALL],2)/HLOOKUP($A904,표1[#ALL],row(),false)</f>
        <v>#N/A</v>
      </c>
      <c r="P904" s="372" t="str">
        <f>CS_PID!P904/VLOOKUP($B904,표2[#ALL],2)/HLOOKUP($A904,표1[#ALL],row(),false)</f>
        <v>#N/A</v>
      </c>
      <c r="Q904" s="372" t="str">
        <f>CS_PID!Q904/VLOOKUP($B904,표2[#ALL],2)/HLOOKUP($A904,표1[#ALL],row(),false)</f>
        <v>#N/A</v>
      </c>
      <c r="R904" s="372" t="str">
        <f>CS_PID!R904/VLOOKUP($B904,표2[#ALL],2)/HLOOKUP($A904,표1[#ALL],row(),false)</f>
        <v>#N/A</v>
      </c>
      <c r="S904" s="372" t="str">
        <f>CS_PID!S904/VLOOKUP($B904,표2[#ALL],2)/HLOOKUP($A904,표1[#ALL],row(),false)</f>
        <v>#N/A</v>
      </c>
      <c r="T904" s="372" t="str">
        <f>CS_PID!T904/VLOOKUP($B904,표2[#ALL],2)/HLOOKUP($A904,표1[#ALL],row(),false)</f>
        <v>#N/A</v>
      </c>
      <c r="U904" s="372" t="str">
        <f>CS_PID!U904/VLOOKUP($B904,표2[#ALL],2)/HLOOKUP($A904,표1[#ALL],row(),false)</f>
        <v>#N/A</v>
      </c>
      <c r="V904" s="372" t="str">
        <f>CS_PID!V904/VLOOKUP($B904,표2[#ALL],2)/HLOOKUP($A904,표1[#ALL],row(),false)</f>
        <v>#N/A</v>
      </c>
      <c r="W904" s="372" t="str">
        <f>CS_PID!W904/VLOOKUP($B904,표2[#ALL],2)/HLOOKUP($A904,표1[#ALL],row(),false)</f>
        <v>#N/A</v>
      </c>
      <c r="X904" s="372" t="str">
        <f>CS_PID!X904/VLOOKUP($B904,표2[#ALL],2)/HLOOKUP($A904,표1[#ALL],row(),false)</f>
        <v>#N/A</v>
      </c>
      <c r="Y904" s="372" t="str">
        <f>CS_PID!Y904/VLOOKUP($B904,표2[#ALL],2)/HLOOKUP($A904,표1[#ALL],row(),false)</f>
        <v>#N/A</v>
      </c>
      <c r="Z904" s="372" t="str">
        <f>CS_PID!Z904/VLOOKUP($B904,표2[#ALL],2)/HLOOKUP($A904,표1[#ALL],row(),false)</f>
        <v>#N/A</v>
      </c>
      <c r="AA904" s="372" t="str">
        <f>CS_PID!AA904/VLOOKUP($B904,표2[#ALL],2)/HLOOKUP($A904,표1[#ALL],row(),false)</f>
        <v>#N/A</v>
      </c>
      <c r="AB904" s="372" t="str">
        <f>CS_PID!AB904/VLOOKUP($B904,표2[#ALL],2)/HLOOKUP($A904,표1[#ALL],row(),false)</f>
        <v>#N/A</v>
      </c>
      <c r="AC904" s="372" t="str">
        <f>CS_PID!AC904/VLOOKUP($B904,표2[#ALL],2)/HLOOKUP($A904,표1[#ALL],row(),false)</f>
        <v>#N/A</v>
      </c>
      <c r="AD904" s="372" t="str">
        <f>CS_PID!AD904/VLOOKUP($B904,표2[#ALL],2)/HLOOKUP($A904,표1[#ALL],row(),false)</f>
        <v>#N/A</v>
      </c>
      <c r="AE904" s="372" t="str">
        <f>CS_PID!AE904/VLOOKUP($B904,표2[#ALL],2)/HLOOKUP($A904,표1[#ALL],row(),false)</f>
        <v>#N/A</v>
      </c>
      <c r="AF904" s="372" t="str">
        <f>CS_PID!AF904/VLOOKUP($B904,표2[#ALL],2)/HLOOKUP($A904,표1[#ALL],row(),false)</f>
        <v>#N/A</v>
      </c>
      <c r="AG904" s="372" t="str">
        <f>CS_PID!AG904/VLOOKUP($B904,표2[#ALL],2)/HLOOKUP($A904,표1[#ALL],row(),false)</f>
        <v>#N/A</v>
      </c>
      <c r="AH904" s="372" t="str">
        <f>CS_PID!AH904/VLOOKUP($B904,표2[#ALL],2)/HLOOKUP($A904,표1[#ALL],row(),false)</f>
        <v>#N/A</v>
      </c>
      <c r="AI904" s="372" t="str">
        <f>CS_PID!AI904/VLOOKUP($B904,표2[#ALL],2)/HLOOKUP($A904,표1[#ALL],row(),false)</f>
        <v>#N/A</v>
      </c>
      <c r="AJ904" s="372" t="str">
        <f>CS_PID!AJ904/VLOOKUP($B904,표2[#ALL],2)/HLOOKUP($A904,표1[#ALL],row(),false)</f>
        <v>#N/A</v>
      </c>
      <c r="AK904" s="372" t="str">
        <f>CS_PID!AK904/VLOOKUP($B904,표2[#ALL],2)/HLOOKUP($A904,표1[#ALL],row(),false)</f>
        <v>#N/A</v>
      </c>
      <c r="AL904" s="372" t="str">
        <f>CS_PID!AL904/VLOOKUP($B904,표2[#ALL],2)/HLOOKUP($A904,표1[#ALL],row(),false)</f>
        <v>#N/A</v>
      </c>
      <c r="AM904" s="372" t="str">
        <f>CS_PID!AM904/VLOOKUP($B904,표2[#ALL],2)/HLOOKUP($A904,표1[#ALL],row(),false)</f>
        <v>#N/A</v>
      </c>
      <c r="AN904" s="372" t="str">
        <f>CS_PID!AN904/VLOOKUP($B904,표2[#ALL],2)/HLOOKUP($A904,표1[#ALL],row(),false)</f>
        <v>#N/A</v>
      </c>
      <c r="AO904" s="372" t="str">
        <f>CS_PID!AO904/VLOOKUP($B904,표2[#ALL],2)/HLOOKUP($A904,표1[#ALL],row(),false)</f>
        <v>#N/A</v>
      </c>
      <c r="AP904" s="372" t="str">
        <f>CS_PID!AP904/VLOOKUP($B904,표2[#ALL],2)/HLOOKUP($A904,표1[#ALL],row(),false)</f>
        <v>#N/A</v>
      </c>
      <c r="AQ904" s="372" t="str">
        <f>CS_PID!AQ904/VLOOKUP($B904,표2[#ALL],2)/HLOOKUP($A904,표1[#ALL],row(),false)</f>
        <v>#N/A</v>
      </c>
      <c r="AR904" s="372" t="str">
        <f>CS_PID!AR904/VLOOKUP($B904,표2[#ALL],2)/HLOOKUP($A904,표1[#ALL],row(),false)</f>
        <v>#N/A</v>
      </c>
      <c r="AS904" s="373" t="str">
        <f>CS_PID!AS904/VLOOKUP($B904,표2[#ALL],2)/HLOOKUP($A904,표1[#ALL],row(),false)</f>
        <v>#N/A</v>
      </c>
    </row>
    <row r="905">
      <c r="A905" s="374"/>
      <c r="B905" s="375"/>
      <c r="C905" s="376" t="str">
        <f>CS_PID!C905/VLOOKUP($B905,표2[#ALL],2)</f>
        <v>#N/A</v>
      </c>
      <c r="D905" s="376" t="str">
        <f>CS_PID!D905/VLOOKUP($B905,표2[#ALL],2)</f>
        <v>#N/A</v>
      </c>
      <c r="E905" s="376" t="str">
        <f>CS_PID!E905/VLOOKUP($B905,표2[#ALL],2)</f>
        <v>#N/A</v>
      </c>
      <c r="F905" s="376" t="str">
        <f>CS_PID!F905/VLOOKUP($B905,표2[#ALL],2)</f>
        <v>#N/A</v>
      </c>
      <c r="G905" s="376" t="str">
        <f>CS_PID!G905/VLOOKUP($B905,표2[#ALL],2)</f>
        <v>#N/A</v>
      </c>
      <c r="H905" s="376" t="str">
        <f>CS_PID!H905/VLOOKUP($B905,표2[#ALL],2)/HLOOKUP($A905,표1[#ALL],row(),false)</f>
        <v>#N/A</v>
      </c>
      <c r="I905" s="376" t="str">
        <f>CS_PID!I905/VLOOKUP($B905,표2[#ALL],2)/HLOOKUP($A905,표1[#ALL],row(),false)</f>
        <v>#N/A</v>
      </c>
      <c r="J905" s="376" t="str">
        <f>CS_PID!J905/VLOOKUP($B905,표2[#ALL],2)/HLOOKUP($A905,표1[#ALL],row(),false)</f>
        <v>#N/A</v>
      </c>
      <c r="K905" s="376" t="str">
        <f>CS_PID!K905/VLOOKUP($B905,표2[#ALL],2)/HLOOKUP($A905,표1[#ALL],row(),false)</f>
        <v>#N/A</v>
      </c>
      <c r="L905" s="376" t="str">
        <f>CS_PID!L905/VLOOKUP($B905,표2[#ALL],2)/HLOOKUP($A905,표1[#ALL],row(),false)</f>
        <v>#N/A</v>
      </c>
      <c r="M905" s="376" t="str">
        <f>CS_PID!M905/VLOOKUP($B905,표2[#ALL],2)/HLOOKUP($A905,표1[#ALL],row(),false)</f>
        <v>#N/A</v>
      </c>
      <c r="N905" s="376" t="str">
        <f>CS_PID!N905/VLOOKUP($B905,표2[#ALL],2)/HLOOKUP($A905,표1[#ALL],row(),false)</f>
        <v>#N/A</v>
      </c>
      <c r="O905" s="376" t="str">
        <f>CS_PID!O905/VLOOKUP($B905,표2[#ALL],2)/HLOOKUP($A905,표1[#ALL],row(),false)</f>
        <v>#N/A</v>
      </c>
      <c r="P905" s="376" t="str">
        <f>CS_PID!P905/VLOOKUP($B905,표2[#ALL],2)/HLOOKUP($A905,표1[#ALL],row(),false)</f>
        <v>#N/A</v>
      </c>
      <c r="Q905" s="376" t="str">
        <f>CS_PID!Q905/VLOOKUP($B905,표2[#ALL],2)/HLOOKUP($A905,표1[#ALL],row(),false)</f>
        <v>#N/A</v>
      </c>
      <c r="R905" s="376" t="str">
        <f>CS_PID!R905/VLOOKUP($B905,표2[#ALL],2)/HLOOKUP($A905,표1[#ALL],row(),false)</f>
        <v>#N/A</v>
      </c>
      <c r="S905" s="376" t="str">
        <f>CS_PID!S905/VLOOKUP($B905,표2[#ALL],2)/HLOOKUP($A905,표1[#ALL],row(),false)</f>
        <v>#N/A</v>
      </c>
      <c r="T905" s="376" t="str">
        <f>CS_PID!T905/VLOOKUP($B905,표2[#ALL],2)/HLOOKUP($A905,표1[#ALL],row(),false)</f>
        <v>#N/A</v>
      </c>
      <c r="U905" s="376" t="str">
        <f>CS_PID!U905/VLOOKUP($B905,표2[#ALL],2)/HLOOKUP($A905,표1[#ALL],row(),false)</f>
        <v>#N/A</v>
      </c>
      <c r="V905" s="376" t="str">
        <f>CS_PID!V905/VLOOKUP($B905,표2[#ALL],2)/HLOOKUP($A905,표1[#ALL],row(),false)</f>
        <v>#N/A</v>
      </c>
      <c r="W905" s="376" t="str">
        <f>CS_PID!W905/VLOOKUP($B905,표2[#ALL],2)/HLOOKUP($A905,표1[#ALL],row(),false)</f>
        <v>#N/A</v>
      </c>
      <c r="X905" s="376" t="str">
        <f>CS_PID!X905/VLOOKUP($B905,표2[#ALL],2)/HLOOKUP($A905,표1[#ALL],row(),false)</f>
        <v>#N/A</v>
      </c>
      <c r="Y905" s="376" t="str">
        <f>CS_PID!Y905/VLOOKUP($B905,표2[#ALL],2)/HLOOKUP($A905,표1[#ALL],row(),false)</f>
        <v>#N/A</v>
      </c>
      <c r="Z905" s="376" t="str">
        <f>CS_PID!Z905/VLOOKUP($B905,표2[#ALL],2)/HLOOKUP($A905,표1[#ALL],row(),false)</f>
        <v>#N/A</v>
      </c>
      <c r="AA905" s="376" t="str">
        <f>CS_PID!AA905/VLOOKUP($B905,표2[#ALL],2)/HLOOKUP($A905,표1[#ALL],row(),false)</f>
        <v>#N/A</v>
      </c>
      <c r="AB905" s="376" t="str">
        <f>CS_PID!AB905/VLOOKUP($B905,표2[#ALL],2)/HLOOKUP($A905,표1[#ALL],row(),false)</f>
        <v>#N/A</v>
      </c>
      <c r="AC905" s="376" t="str">
        <f>CS_PID!AC905/VLOOKUP($B905,표2[#ALL],2)/HLOOKUP($A905,표1[#ALL],row(),false)</f>
        <v>#N/A</v>
      </c>
      <c r="AD905" s="376" t="str">
        <f>CS_PID!AD905/VLOOKUP($B905,표2[#ALL],2)/HLOOKUP($A905,표1[#ALL],row(),false)</f>
        <v>#N/A</v>
      </c>
      <c r="AE905" s="376" t="str">
        <f>CS_PID!AE905/VLOOKUP($B905,표2[#ALL],2)/HLOOKUP($A905,표1[#ALL],row(),false)</f>
        <v>#N/A</v>
      </c>
      <c r="AF905" s="376" t="str">
        <f>CS_PID!AF905/VLOOKUP($B905,표2[#ALL],2)/HLOOKUP($A905,표1[#ALL],row(),false)</f>
        <v>#N/A</v>
      </c>
      <c r="AG905" s="376" t="str">
        <f>CS_PID!AG905/VLOOKUP($B905,표2[#ALL],2)/HLOOKUP($A905,표1[#ALL],row(),false)</f>
        <v>#N/A</v>
      </c>
      <c r="AH905" s="376" t="str">
        <f>CS_PID!AH905/VLOOKUP($B905,표2[#ALL],2)/HLOOKUP($A905,표1[#ALL],row(),false)</f>
        <v>#N/A</v>
      </c>
      <c r="AI905" s="376" t="str">
        <f>CS_PID!AI905/VLOOKUP($B905,표2[#ALL],2)/HLOOKUP($A905,표1[#ALL],row(),false)</f>
        <v>#N/A</v>
      </c>
      <c r="AJ905" s="376" t="str">
        <f>CS_PID!AJ905/VLOOKUP($B905,표2[#ALL],2)/HLOOKUP($A905,표1[#ALL],row(),false)</f>
        <v>#N/A</v>
      </c>
      <c r="AK905" s="376" t="str">
        <f>CS_PID!AK905/VLOOKUP($B905,표2[#ALL],2)/HLOOKUP($A905,표1[#ALL],row(),false)</f>
        <v>#N/A</v>
      </c>
      <c r="AL905" s="376" t="str">
        <f>CS_PID!AL905/VLOOKUP($B905,표2[#ALL],2)/HLOOKUP($A905,표1[#ALL],row(),false)</f>
        <v>#N/A</v>
      </c>
      <c r="AM905" s="376" t="str">
        <f>CS_PID!AM905/VLOOKUP($B905,표2[#ALL],2)/HLOOKUP($A905,표1[#ALL],row(),false)</f>
        <v>#N/A</v>
      </c>
      <c r="AN905" s="376" t="str">
        <f>CS_PID!AN905/VLOOKUP($B905,표2[#ALL],2)/HLOOKUP($A905,표1[#ALL],row(),false)</f>
        <v>#N/A</v>
      </c>
      <c r="AO905" s="376" t="str">
        <f>CS_PID!AO905/VLOOKUP($B905,표2[#ALL],2)/HLOOKUP($A905,표1[#ALL],row(),false)</f>
        <v>#N/A</v>
      </c>
      <c r="AP905" s="376" t="str">
        <f>CS_PID!AP905/VLOOKUP($B905,표2[#ALL],2)/HLOOKUP($A905,표1[#ALL],row(),false)</f>
        <v>#N/A</v>
      </c>
      <c r="AQ905" s="376" t="str">
        <f>CS_PID!AQ905/VLOOKUP($B905,표2[#ALL],2)/HLOOKUP($A905,표1[#ALL],row(),false)</f>
        <v>#N/A</v>
      </c>
      <c r="AR905" s="376" t="str">
        <f>CS_PID!AR905/VLOOKUP($B905,표2[#ALL],2)/HLOOKUP($A905,표1[#ALL],row(),false)</f>
        <v>#N/A</v>
      </c>
      <c r="AS905" s="377" t="str">
        <f>CS_PID!AS905/VLOOKUP($B905,표2[#ALL],2)/HLOOKUP($A905,표1[#ALL],row(),false)</f>
        <v>#N/A</v>
      </c>
    </row>
    <row r="906">
      <c r="A906" s="370"/>
      <c r="B906" s="371"/>
      <c r="C906" s="372" t="str">
        <f>CS_PID!C906/VLOOKUP($B906,표2[#ALL],2)</f>
        <v>#N/A</v>
      </c>
      <c r="D906" s="372" t="str">
        <f>CS_PID!D906/VLOOKUP($B906,표2[#ALL],2)</f>
        <v>#N/A</v>
      </c>
      <c r="E906" s="372" t="str">
        <f>CS_PID!E906/VLOOKUP($B906,표2[#ALL],2)</f>
        <v>#N/A</v>
      </c>
      <c r="F906" s="372" t="str">
        <f>CS_PID!F906/VLOOKUP($B906,표2[#ALL],2)</f>
        <v>#N/A</v>
      </c>
      <c r="G906" s="372" t="str">
        <f>CS_PID!G906/VLOOKUP($B906,표2[#ALL],2)</f>
        <v>#N/A</v>
      </c>
      <c r="H906" s="372" t="str">
        <f>CS_PID!H906/VLOOKUP($B906,표2[#ALL],2)/HLOOKUP($A906,표1[#ALL],row(),false)</f>
        <v>#N/A</v>
      </c>
      <c r="I906" s="372" t="str">
        <f>CS_PID!I906/VLOOKUP($B906,표2[#ALL],2)/HLOOKUP($A906,표1[#ALL],row(),false)</f>
        <v>#N/A</v>
      </c>
      <c r="J906" s="372" t="str">
        <f>CS_PID!J906/VLOOKUP($B906,표2[#ALL],2)/HLOOKUP($A906,표1[#ALL],row(),false)</f>
        <v>#N/A</v>
      </c>
      <c r="K906" s="372" t="str">
        <f>CS_PID!K906/VLOOKUP($B906,표2[#ALL],2)/HLOOKUP($A906,표1[#ALL],row(),false)</f>
        <v>#N/A</v>
      </c>
      <c r="L906" s="372" t="str">
        <f>CS_PID!L906/VLOOKUP($B906,표2[#ALL],2)/HLOOKUP($A906,표1[#ALL],row(),false)</f>
        <v>#N/A</v>
      </c>
      <c r="M906" s="372" t="str">
        <f>CS_PID!M906/VLOOKUP($B906,표2[#ALL],2)/HLOOKUP($A906,표1[#ALL],row(),false)</f>
        <v>#N/A</v>
      </c>
      <c r="N906" s="372" t="str">
        <f>CS_PID!N906/VLOOKUP($B906,표2[#ALL],2)/HLOOKUP($A906,표1[#ALL],row(),false)</f>
        <v>#N/A</v>
      </c>
      <c r="O906" s="372" t="str">
        <f>CS_PID!O906/VLOOKUP($B906,표2[#ALL],2)/HLOOKUP($A906,표1[#ALL],row(),false)</f>
        <v>#N/A</v>
      </c>
      <c r="P906" s="372" t="str">
        <f>CS_PID!P906/VLOOKUP($B906,표2[#ALL],2)/HLOOKUP($A906,표1[#ALL],row(),false)</f>
        <v>#N/A</v>
      </c>
      <c r="Q906" s="372" t="str">
        <f>CS_PID!Q906/VLOOKUP($B906,표2[#ALL],2)/HLOOKUP($A906,표1[#ALL],row(),false)</f>
        <v>#N/A</v>
      </c>
      <c r="R906" s="372" t="str">
        <f>CS_PID!R906/VLOOKUP($B906,표2[#ALL],2)/HLOOKUP($A906,표1[#ALL],row(),false)</f>
        <v>#N/A</v>
      </c>
      <c r="S906" s="372" t="str">
        <f>CS_PID!S906/VLOOKUP($B906,표2[#ALL],2)/HLOOKUP($A906,표1[#ALL],row(),false)</f>
        <v>#N/A</v>
      </c>
      <c r="T906" s="372" t="str">
        <f>CS_PID!T906/VLOOKUP($B906,표2[#ALL],2)/HLOOKUP($A906,표1[#ALL],row(),false)</f>
        <v>#N/A</v>
      </c>
      <c r="U906" s="372" t="str">
        <f>CS_PID!U906/VLOOKUP($B906,표2[#ALL],2)/HLOOKUP($A906,표1[#ALL],row(),false)</f>
        <v>#N/A</v>
      </c>
      <c r="V906" s="372" t="str">
        <f>CS_PID!V906/VLOOKUP($B906,표2[#ALL],2)/HLOOKUP($A906,표1[#ALL],row(),false)</f>
        <v>#N/A</v>
      </c>
      <c r="W906" s="372" t="str">
        <f>CS_PID!W906/VLOOKUP($B906,표2[#ALL],2)/HLOOKUP($A906,표1[#ALL],row(),false)</f>
        <v>#N/A</v>
      </c>
      <c r="X906" s="372" t="str">
        <f>CS_PID!X906/VLOOKUP($B906,표2[#ALL],2)/HLOOKUP($A906,표1[#ALL],row(),false)</f>
        <v>#N/A</v>
      </c>
      <c r="Y906" s="372" t="str">
        <f>CS_PID!Y906/VLOOKUP($B906,표2[#ALL],2)/HLOOKUP($A906,표1[#ALL],row(),false)</f>
        <v>#N/A</v>
      </c>
      <c r="Z906" s="372" t="str">
        <f>CS_PID!Z906/VLOOKUP($B906,표2[#ALL],2)/HLOOKUP($A906,표1[#ALL],row(),false)</f>
        <v>#N/A</v>
      </c>
      <c r="AA906" s="372" t="str">
        <f>CS_PID!AA906/VLOOKUP($B906,표2[#ALL],2)/HLOOKUP($A906,표1[#ALL],row(),false)</f>
        <v>#N/A</v>
      </c>
      <c r="AB906" s="372" t="str">
        <f>CS_PID!AB906/VLOOKUP($B906,표2[#ALL],2)/HLOOKUP($A906,표1[#ALL],row(),false)</f>
        <v>#N/A</v>
      </c>
      <c r="AC906" s="372" t="str">
        <f>CS_PID!AC906/VLOOKUP($B906,표2[#ALL],2)/HLOOKUP($A906,표1[#ALL],row(),false)</f>
        <v>#N/A</v>
      </c>
      <c r="AD906" s="372" t="str">
        <f>CS_PID!AD906/VLOOKUP($B906,표2[#ALL],2)/HLOOKUP($A906,표1[#ALL],row(),false)</f>
        <v>#N/A</v>
      </c>
      <c r="AE906" s="372" t="str">
        <f>CS_PID!AE906/VLOOKUP($B906,표2[#ALL],2)/HLOOKUP($A906,표1[#ALL],row(),false)</f>
        <v>#N/A</v>
      </c>
      <c r="AF906" s="372" t="str">
        <f>CS_PID!AF906/VLOOKUP($B906,표2[#ALL],2)/HLOOKUP($A906,표1[#ALL],row(),false)</f>
        <v>#N/A</v>
      </c>
      <c r="AG906" s="372" t="str">
        <f>CS_PID!AG906/VLOOKUP($B906,표2[#ALL],2)/HLOOKUP($A906,표1[#ALL],row(),false)</f>
        <v>#N/A</v>
      </c>
      <c r="AH906" s="372" t="str">
        <f>CS_PID!AH906/VLOOKUP($B906,표2[#ALL],2)/HLOOKUP($A906,표1[#ALL],row(),false)</f>
        <v>#N/A</v>
      </c>
      <c r="AI906" s="372" t="str">
        <f>CS_PID!AI906/VLOOKUP($B906,표2[#ALL],2)/HLOOKUP($A906,표1[#ALL],row(),false)</f>
        <v>#N/A</v>
      </c>
      <c r="AJ906" s="372" t="str">
        <f>CS_PID!AJ906/VLOOKUP($B906,표2[#ALL],2)/HLOOKUP($A906,표1[#ALL],row(),false)</f>
        <v>#N/A</v>
      </c>
      <c r="AK906" s="372" t="str">
        <f>CS_PID!AK906/VLOOKUP($B906,표2[#ALL],2)/HLOOKUP($A906,표1[#ALL],row(),false)</f>
        <v>#N/A</v>
      </c>
      <c r="AL906" s="372" t="str">
        <f>CS_PID!AL906/VLOOKUP($B906,표2[#ALL],2)/HLOOKUP($A906,표1[#ALL],row(),false)</f>
        <v>#N/A</v>
      </c>
      <c r="AM906" s="372" t="str">
        <f>CS_PID!AM906/VLOOKUP($B906,표2[#ALL],2)/HLOOKUP($A906,표1[#ALL],row(),false)</f>
        <v>#N/A</v>
      </c>
      <c r="AN906" s="372" t="str">
        <f>CS_PID!AN906/VLOOKUP($B906,표2[#ALL],2)/HLOOKUP($A906,표1[#ALL],row(),false)</f>
        <v>#N/A</v>
      </c>
      <c r="AO906" s="372" t="str">
        <f>CS_PID!AO906/VLOOKUP($B906,표2[#ALL],2)/HLOOKUP($A906,표1[#ALL],row(),false)</f>
        <v>#N/A</v>
      </c>
      <c r="AP906" s="372" t="str">
        <f>CS_PID!AP906/VLOOKUP($B906,표2[#ALL],2)/HLOOKUP($A906,표1[#ALL],row(),false)</f>
        <v>#N/A</v>
      </c>
      <c r="AQ906" s="372" t="str">
        <f>CS_PID!AQ906/VLOOKUP($B906,표2[#ALL],2)/HLOOKUP($A906,표1[#ALL],row(),false)</f>
        <v>#N/A</v>
      </c>
      <c r="AR906" s="372" t="str">
        <f>CS_PID!AR906/VLOOKUP($B906,표2[#ALL],2)/HLOOKUP($A906,표1[#ALL],row(),false)</f>
        <v>#N/A</v>
      </c>
      <c r="AS906" s="373" t="str">
        <f>CS_PID!AS906/VLOOKUP($B906,표2[#ALL],2)/HLOOKUP($A906,표1[#ALL],row(),false)</f>
        <v>#N/A</v>
      </c>
    </row>
    <row r="907">
      <c r="A907" s="374"/>
      <c r="B907" s="375"/>
      <c r="C907" s="376" t="str">
        <f>CS_PID!C907/VLOOKUP($B907,표2[#ALL],2)</f>
        <v>#N/A</v>
      </c>
      <c r="D907" s="376" t="str">
        <f>CS_PID!D907/VLOOKUP($B907,표2[#ALL],2)</f>
        <v>#N/A</v>
      </c>
      <c r="E907" s="376" t="str">
        <f>CS_PID!E907/VLOOKUP($B907,표2[#ALL],2)</f>
        <v>#N/A</v>
      </c>
      <c r="F907" s="376" t="str">
        <f>CS_PID!F907/VLOOKUP($B907,표2[#ALL],2)</f>
        <v>#N/A</v>
      </c>
      <c r="G907" s="376" t="str">
        <f>CS_PID!G907/VLOOKUP($B907,표2[#ALL],2)</f>
        <v>#N/A</v>
      </c>
      <c r="H907" s="376" t="str">
        <f>CS_PID!H907/VLOOKUP($B907,표2[#ALL],2)/HLOOKUP($A907,표1[#ALL],row(),false)</f>
        <v>#N/A</v>
      </c>
      <c r="I907" s="376" t="str">
        <f>CS_PID!I907/VLOOKUP($B907,표2[#ALL],2)/HLOOKUP($A907,표1[#ALL],row(),false)</f>
        <v>#N/A</v>
      </c>
      <c r="J907" s="376" t="str">
        <f>CS_PID!J907/VLOOKUP($B907,표2[#ALL],2)/HLOOKUP($A907,표1[#ALL],row(),false)</f>
        <v>#N/A</v>
      </c>
      <c r="K907" s="376" t="str">
        <f>CS_PID!K907/VLOOKUP($B907,표2[#ALL],2)/HLOOKUP($A907,표1[#ALL],row(),false)</f>
        <v>#N/A</v>
      </c>
      <c r="L907" s="376" t="str">
        <f>CS_PID!L907/VLOOKUP($B907,표2[#ALL],2)/HLOOKUP($A907,표1[#ALL],row(),false)</f>
        <v>#N/A</v>
      </c>
      <c r="M907" s="376" t="str">
        <f>CS_PID!M907/VLOOKUP($B907,표2[#ALL],2)/HLOOKUP($A907,표1[#ALL],row(),false)</f>
        <v>#N/A</v>
      </c>
      <c r="N907" s="376" t="str">
        <f>CS_PID!N907/VLOOKUP($B907,표2[#ALL],2)/HLOOKUP($A907,표1[#ALL],row(),false)</f>
        <v>#N/A</v>
      </c>
      <c r="O907" s="376" t="str">
        <f>CS_PID!O907/VLOOKUP($B907,표2[#ALL],2)/HLOOKUP($A907,표1[#ALL],row(),false)</f>
        <v>#N/A</v>
      </c>
      <c r="P907" s="376" t="str">
        <f>CS_PID!P907/VLOOKUP($B907,표2[#ALL],2)/HLOOKUP($A907,표1[#ALL],row(),false)</f>
        <v>#N/A</v>
      </c>
      <c r="Q907" s="376" t="str">
        <f>CS_PID!Q907/VLOOKUP($B907,표2[#ALL],2)/HLOOKUP($A907,표1[#ALL],row(),false)</f>
        <v>#N/A</v>
      </c>
      <c r="R907" s="376" t="str">
        <f>CS_PID!R907/VLOOKUP($B907,표2[#ALL],2)/HLOOKUP($A907,표1[#ALL],row(),false)</f>
        <v>#N/A</v>
      </c>
      <c r="S907" s="376" t="str">
        <f>CS_PID!S907/VLOOKUP($B907,표2[#ALL],2)/HLOOKUP($A907,표1[#ALL],row(),false)</f>
        <v>#N/A</v>
      </c>
      <c r="T907" s="376" t="str">
        <f>CS_PID!T907/VLOOKUP($B907,표2[#ALL],2)/HLOOKUP($A907,표1[#ALL],row(),false)</f>
        <v>#N/A</v>
      </c>
      <c r="U907" s="376" t="str">
        <f>CS_PID!U907/VLOOKUP($B907,표2[#ALL],2)/HLOOKUP($A907,표1[#ALL],row(),false)</f>
        <v>#N/A</v>
      </c>
      <c r="V907" s="376" t="str">
        <f>CS_PID!V907/VLOOKUP($B907,표2[#ALL],2)/HLOOKUP($A907,표1[#ALL],row(),false)</f>
        <v>#N/A</v>
      </c>
      <c r="W907" s="376" t="str">
        <f>CS_PID!W907/VLOOKUP($B907,표2[#ALL],2)/HLOOKUP($A907,표1[#ALL],row(),false)</f>
        <v>#N/A</v>
      </c>
      <c r="X907" s="376" t="str">
        <f>CS_PID!X907/VLOOKUP($B907,표2[#ALL],2)/HLOOKUP($A907,표1[#ALL],row(),false)</f>
        <v>#N/A</v>
      </c>
      <c r="Y907" s="376" t="str">
        <f>CS_PID!Y907/VLOOKUP($B907,표2[#ALL],2)/HLOOKUP($A907,표1[#ALL],row(),false)</f>
        <v>#N/A</v>
      </c>
      <c r="Z907" s="376" t="str">
        <f>CS_PID!Z907/VLOOKUP($B907,표2[#ALL],2)/HLOOKUP($A907,표1[#ALL],row(),false)</f>
        <v>#N/A</v>
      </c>
      <c r="AA907" s="376" t="str">
        <f>CS_PID!AA907/VLOOKUP($B907,표2[#ALL],2)/HLOOKUP($A907,표1[#ALL],row(),false)</f>
        <v>#N/A</v>
      </c>
      <c r="AB907" s="376" t="str">
        <f>CS_PID!AB907/VLOOKUP($B907,표2[#ALL],2)/HLOOKUP($A907,표1[#ALL],row(),false)</f>
        <v>#N/A</v>
      </c>
      <c r="AC907" s="376" t="str">
        <f>CS_PID!AC907/VLOOKUP($B907,표2[#ALL],2)/HLOOKUP($A907,표1[#ALL],row(),false)</f>
        <v>#N/A</v>
      </c>
      <c r="AD907" s="376" t="str">
        <f>CS_PID!AD907/VLOOKUP($B907,표2[#ALL],2)/HLOOKUP($A907,표1[#ALL],row(),false)</f>
        <v>#N/A</v>
      </c>
      <c r="AE907" s="376" t="str">
        <f>CS_PID!AE907/VLOOKUP($B907,표2[#ALL],2)/HLOOKUP($A907,표1[#ALL],row(),false)</f>
        <v>#N/A</v>
      </c>
      <c r="AF907" s="376" t="str">
        <f>CS_PID!AF907/VLOOKUP($B907,표2[#ALL],2)/HLOOKUP($A907,표1[#ALL],row(),false)</f>
        <v>#N/A</v>
      </c>
      <c r="AG907" s="376" t="str">
        <f>CS_PID!AG907/VLOOKUP($B907,표2[#ALL],2)/HLOOKUP($A907,표1[#ALL],row(),false)</f>
        <v>#N/A</v>
      </c>
      <c r="AH907" s="376" t="str">
        <f>CS_PID!AH907/VLOOKUP($B907,표2[#ALL],2)/HLOOKUP($A907,표1[#ALL],row(),false)</f>
        <v>#N/A</v>
      </c>
      <c r="AI907" s="376" t="str">
        <f>CS_PID!AI907/VLOOKUP($B907,표2[#ALL],2)/HLOOKUP($A907,표1[#ALL],row(),false)</f>
        <v>#N/A</v>
      </c>
      <c r="AJ907" s="376" t="str">
        <f>CS_PID!AJ907/VLOOKUP($B907,표2[#ALL],2)/HLOOKUP($A907,표1[#ALL],row(),false)</f>
        <v>#N/A</v>
      </c>
      <c r="AK907" s="376" t="str">
        <f>CS_PID!AK907/VLOOKUP($B907,표2[#ALL],2)/HLOOKUP($A907,표1[#ALL],row(),false)</f>
        <v>#N/A</v>
      </c>
      <c r="AL907" s="376" t="str">
        <f>CS_PID!AL907/VLOOKUP($B907,표2[#ALL],2)/HLOOKUP($A907,표1[#ALL],row(),false)</f>
        <v>#N/A</v>
      </c>
      <c r="AM907" s="376" t="str">
        <f>CS_PID!AM907/VLOOKUP($B907,표2[#ALL],2)/HLOOKUP($A907,표1[#ALL],row(),false)</f>
        <v>#N/A</v>
      </c>
      <c r="AN907" s="376" t="str">
        <f>CS_PID!AN907/VLOOKUP($B907,표2[#ALL],2)/HLOOKUP($A907,표1[#ALL],row(),false)</f>
        <v>#N/A</v>
      </c>
      <c r="AO907" s="376" t="str">
        <f>CS_PID!AO907/VLOOKUP($B907,표2[#ALL],2)/HLOOKUP($A907,표1[#ALL],row(),false)</f>
        <v>#N/A</v>
      </c>
      <c r="AP907" s="376" t="str">
        <f>CS_PID!AP907/VLOOKUP($B907,표2[#ALL],2)/HLOOKUP($A907,표1[#ALL],row(),false)</f>
        <v>#N/A</v>
      </c>
      <c r="AQ907" s="376" t="str">
        <f>CS_PID!AQ907/VLOOKUP($B907,표2[#ALL],2)/HLOOKUP($A907,표1[#ALL],row(),false)</f>
        <v>#N/A</v>
      </c>
      <c r="AR907" s="376" t="str">
        <f>CS_PID!AR907/VLOOKUP($B907,표2[#ALL],2)/HLOOKUP($A907,표1[#ALL],row(),false)</f>
        <v>#N/A</v>
      </c>
      <c r="AS907" s="377" t="str">
        <f>CS_PID!AS907/VLOOKUP($B907,표2[#ALL],2)/HLOOKUP($A907,표1[#ALL],row(),false)</f>
        <v>#N/A</v>
      </c>
    </row>
    <row r="908">
      <c r="A908" s="370"/>
      <c r="B908" s="371"/>
      <c r="C908" s="372" t="str">
        <f>CS_PID!C908/VLOOKUP($B908,표2[#ALL],2)</f>
        <v>#N/A</v>
      </c>
      <c r="D908" s="372" t="str">
        <f>CS_PID!D908/VLOOKUP($B908,표2[#ALL],2)</f>
        <v>#N/A</v>
      </c>
      <c r="E908" s="372" t="str">
        <f>CS_PID!E908/VLOOKUP($B908,표2[#ALL],2)</f>
        <v>#N/A</v>
      </c>
      <c r="F908" s="372" t="str">
        <f>CS_PID!F908/VLOOKUP($B908,표2[#ALL],2)</f>
        <v>#N/A</v>
      </c>
      <c r="G908" s="372" t="str">
        <f>CS_PID!G908/VLOOKUP($B908,표2[#ALL],2)</f>
        <v>#N/A</v>
      </c>
      <c r="H908" s="372" t="str">
        <f>CS_PID!H908/VLOOKUP($B908,표2[#ALL],2)/HLOOKUP($A908,표1[#ALL],row(),false)</f>
        <v>#N/A</v>
      </c>
      <c r="I908" s="372" t="str">
        <f>CS_PID!I908/VLOOKUP($B908,표2[#ALL],2)/HLOOKUP($A908,표1[#ALL],row(),false)</f>
        <v>#N/A</v>
      </c>
      <c r="J908" s="372" t="str">
        <f>CS_PID!J908/VLOOKUP($B908,표2[#ALL],2)/HLOOKUP($A908,표1[#ALL],row(),false)</f>
        <v>#N/A</v>
      </c>
      <c r="K908" s="372" t="str">
        <f>CS_PID!K908/VLOOKUP($B908,표2[#ALL],2)/HLOOKUP($A908,표1[#ALL],row(),false)</f>
        <v>#N/A</v>
      </c>
      <c r="L908" s="372" t="str">
        <f>CS_PID!L908/VLOOKUP($B908,표2[#ALL],2)/HLOOKUP($A908,표1[#ALL],row(),false)</f>
        <v>#N/A</v>
      </c>
      <c r="M908" s="372" t="str">
        <f>CS_PID!M908/VLOOKUP($B908,표2[#ALL],2)/HLOOKUP($A908,표1[#ALL],row(),false)</f>
        <v>#N/A</v>
      </c>
      <c r="N908" s="372" t="str">
        <f>CS_PID!N908/VLOOKUP($B908,표2[#ALL],2)/HLOOKUP($A908,표1[#ALL],row(),false)</f>
        <v>#N/A</v>
      </c>
      <c r="O908" s="372" t="str">
        <f>CS_PID!O908/VLOOKUP($B908,표2[#ALL],2)/HLOOKUP($A908,표1[#ALL],row(),false)</f>
        <v>#N/A</v>
      </c>
      <c r="P908" s="372" t="str">
        <f>CS_PID!P908/VLOOKUP($B908,표2[#ALL],2)/HLOOKUP($A908,표1[#ALL],row(),false)</f>
        <v>#N/A</v>
      </c>
      <c r="Q908" s="372" t="str">
        <f>CS_PID!Q908/VLOOKUP($B908,표2[#ALL],2)/HLOOKUP($A908,표1[#ALL],row(),false)</f>
        <v>#N/A</v>
      </c>
      <c r="R908" s="372" t="str">
        <f>CS_PID!R908/VLOOKUP($B908,표2[#ALL],2)/HLOOKUP($A908,표1[#ALL],row(),false)</f>
        <v>#N/A</v>
      </c>
      <c r="S908" s="372" t="str">
        <f>CS_PID!S908/VLOOKUP($B908,표2[#ALL],2)/HLOOKUP($A908,표1[#ALL],row(),false)</f>
        <v>#N/A</v>
      </c>
      <c r="T908" s="372" t="str">
        <f>CS_PID!T908/VLOOKUP($B908,표2[#ALL],2)/HLOOKUP($A908,표1[#ALL],row(),false)</f>
        <v>#N/A</v>
      </c>
      <c r="U908" s="372" t="str">
        <f>CS_PID!U908/VLOOKUP($B908,표2[#ALL],2)/HLOOKUP($A908,표1[#ALL],row(),false)</f>
        <v>#N/A</v>
      </c>
      <c r="V908" s="372" t="str">
        <f>CS_PID!V908/VLOOKUP($B908,표2[#ALL],2)/HLOOKUP($A908,표1[#ALL],row(),false)</f>
        <v>#N/A</v>
      </c>
      <c r="W908" s="372" t="str">
        <f>CS_PID!W908/VLOOKUP($B908,표2[#ALL],2)/HLOOKUP($A908,표1[#ALL],row(),false)</f>
        <v>#N/A</v>
      </c>
      <c r="X908" s="372" t="str">
        <f>CS_PID!X908/VLOOKUP($B908,표2[#ALL],2)/HLOOKUP($A908,표1[#ALL],row(),false)</f>
        <v>#N/A</v>
      </c>
      <c r="Y908" s="372" t="str">
        <f>CS_PID!Y908/VLOOKUP($B908,표2[#ALL],2)/HLOOKUP($A908,표1[#ALL],row(),false)</f>
        <v>#N/A</v>
      </c>
      <c r="Z908" s="372" t="str">
        <f>CS_PID!Z908/VLOOKUP($B908,표2[#ALL],2)/HLOOKUP($A908,표1[#ALL],row(),false)</f>
        <v>#N/A</v>
      </c>
      <c r="AA908" s="372" t="str">
        <f>CS_PID!AA908/VLOOKUP($B908,표2[#ALL],2)/HLOOKUP($A908,표1[#ALL],row(),false)</f>
        <v>#N/A</v>
      </c>
      <c r="AB908" s="372" t="str">
        <f>CS_PID!AB908/VLOOKUP($B908,표2[#ALL],2)/HLOOKUP($A908,표1[#ALL],row(),false)</f>
        <v>#N/A</v>
      </c>
      <c r="AC908" s="372" t="str">
        <f>CS_PID!AC908/VLOOKUP($B908,표2[#ALL],2)/HLOOKUP($A908,표1[#ALL],row(),false)</f>
        <v>#N/A</v>
      </c>
      <c r="AD908" s="372" t="str">
        <f>CS_PID!AD908/VLOOKUP($B908,표2[#ALL],2)/HLOOKUP($A908,표1[#ALL],row(),false)</f>
        <v>#N/A</v>
      </c>
      <c r="AE908" s="372" t="str">
        <f>CS_PID!AE908/VLOOKUP($B908,표2[#ALL],2)/HLOOKUP($A908,표1[#ALL],row(),false)</f>
        <v>#N/A</v>
      </c>
      <c r="AF908" s="372" t="str">
        <f>CS_PID!AF908/VLOOKUP($B908,표2[#ALL],2)/HLOOKUP($A908,표1[#ALL],row(),false)</f>
        <v>#N/A</v>
      </c>
      <c r="AG908" s="372" t="str">
        <f>CS_PID!AG908/VLOOKUP($B908,표2[#ALL],2)/HLOOKUP($A908,표1[#ALL],row(),false)</f>
        <v>#N/A</v>
      </c>
      <c r="AH908" s="372" t="str">
        <f>CS_PID!AH908/VLOOKUP($B908,표2[#ALL],2)/HLOOKUP($A908,표1[#ALL],row(),false)</f>
        <v>#N/A</v>
      </c>
      <c r="AI908" s="372" t="str">
        <f>CS_PID!AI908/VLOOKUP($B908,표2[#ALL],2)/HLOOKUP($A908,표1[#ALL],row(),false)</f>
        <v>#N/A</v>
      </c>
      <c r="AJ908" s="372" t="str">
        <f>CS_PID!AJ908/VLOOKUP($B908,표2[#ALL],2)/HLOOKUP($A908,표1[#ALL],row(),false)</f>
        <v>#N/A</v>
      </c>
      <c r="AK908" s="372" t="str">
        <f>CS_PID!AK908/VLOOKUP($B908,표2[#ALL],2)/HLOOKUP($A908,표1[#ALL],row(),false)</f>
        <v>#N/A</v>
      </c>
      <c r="AL908" s="372" t="str">
        <f>CS_PID!AL908/VLOOKUP($B908,표2[#ALL],2)/HLOOKUP($A908,표1[#ALL],row(),false)</f>
        <v>#N/A</v>
      </c>
      <c r="AM908" s="372" t="str">
        <f>CS_PID!AM908/VLOOKUP($B908,표2[#ALL],2)/HLOOKUP($A908,표1[#ALL],row(),false)</f>
        <v>#N/A</v>
      </c>
      <c r="AN908" s="372" t="str">
        <f>CS_PID!AN908/VLOOKUP($B908,표2[#ALL],2)/HLOOKUP($A908,표1[#ALL],row(),false)</f>
        <v>#N/A</v>
      </c>
      <c r="AO908" s="372" t="str">
        <f>CS_PID!AO908/VLOOKUP($B908,표2[#ALL],2)/HLOOKUP($A908,표1[#ALL],row(),false)</f>
        <v>#N/A</v>
      </c>
      <c r="AP908" s="372" t="str">
        <f>CS_PID!AP908/VLOOKUP($B908,표2[#ALL],2)/HLOOKUP($A908,표1[#ALL],row(),false)</f>
        <v>#N/A</v>
      </c>
      <c r="AQ908" s="372" t="str">
        <f>CS_PID!AQ908/VLOOKUP($B908,표2[#ALL],2)/HLOOKUP($A908,표1[#ALL],row(),false)</f>
        <v>#N/A</v>
      </c>
      <c r="AR908" s="372" t="str">
        <f>CS_PID!AR908/VLOOKUP($B908,표2[#ALL],2)/HLOOKUP($A908,표1[#ALL],row(),false)</f>
        <v>#N/A</v>
      </c>
      <c r="AS908" s="373" t="str">
        <f>CS_PID!AS908/VLOOKUP($B908,표2[#ALL],2)/HLOOKUP($A908,표1[#ALL],row(),false)</f>
        <v>#N/A</v>
      </c>
    </row>
    <row r="909">
      <c r="A909" s="374"/>
      <c r="B909" s="375"/>
      <c r="C909" s="376" t="str">
        <f>CS_PID!C909/VLOOKUP($B909,표2[#ALL],2)</f>
        <v>#N/A</v>
      </c>
      <c r="D909" s="376" t="str">
        <f>CS_PID!D909/VLOOKUP($B909,표2[#ALL],2)</f>
        <v>#N/A</v>
      </c>
      <c r="E909" s="376" t="str">
        <f>CS_PID!E909/VLOOKUP($B909,표2[#ALL],2)</f>
        <v>#N/A</v>
      </c>
      <c r="F909" s="376" t="str">
        <f>CS_PID!F909/VLOOKUP($B909,표2[#ALL],2)</f>
        <v>#N/A</v>
      </c>
      <c r="G909" s="376" t="str">
        <f>CS_PID!G909/VLOOKUP($B909,표2[#ALL],2)</f>
        <v>#N/A</v>
      </c>
      <c r="H909" s="376" t="str">
        <f>CS_PID!H909/VLOOKUP($B909,표2[#ALL],2)/HLOOKUP($A909,표1[#ALL],row(),false)</f>
        <v>#N/A</v>
      </c>
      <c r="I909" s="376" t="str">
        <f>CS_PID!I909/VLOOKUP($B909,표2[#ALL],2)/HLOOKUP($A909,표1[#ALL],row(),false)</f>
        <v>#N/A</v>
      </c>
      <c r="J909" s="376" t="str">
        <f>CS_PID!J909/VLOOKUP($B909,표2[#ALL],2)/HLOOKUP($A909,표1[#ALL],row(),false)</f>
        <v>#N/A</v>
      </c>
      <c r="K909" s="376" t="str">
        <f>CS_PID!K909/VLOOKUP($B909,표2[#ALL],2)/HLOOKUP($A909,표1[#ALL],row(),false)</f>
        <v>#N/A</v>
      </c>
      <c r="L909" s="376" t="str">
        <f>CS_PID!L909/VLOOKUP($B909,표2[#ALL],2)/HLOOKUP($A909,표1[#ALL],row(),false)</f>
        <v>#N/A</v>
      </c>
      <c r="M909" s="376" t="str">
        <f>CS_PID!M909/VLOOKUP($B909,표2[#ALL],2)/HLOOKUP($A909,표1[#ALL],row(),false)</f>
        <v>#N/A</v>
      </c>
      <c r="N909" s="376" t="str">
        <f>CS_PID!N909/VLOOKUP($B909,표2[#ALL],2)/HLOOKUP($A909,표1[#ALL],row(),false)</f>
        <v>#N/A</v>
      </c>
      <c r="O909" s="376" t="str">
        <f>CS_PID!O909/VLOOKUP($B909,표2[#ALL],2)/HLOOKUP($A909,표1[#ALL],row(),false)</f>
        <v>#N/A</v>
      </c>
      <c r="P909" s="376" t="str">
        <f>CS_PID!P909/VLOOKUP($B909,표2[#ALL],2)/HLOOKUP($A909,표1[#ALL],row(),false)</f>
        <v>#N/A</v>
      </c>
      <c r="Q909" s="376" t="str">
        <f>CS_PID!Q909/VLOOKUP($B909,표2[#ALL],2)/HLOOKUP($A909,표1[#ALL],row(),false)</f>
        <v>#N/A</v>
      </c>
      <c r="R909" s="376" t="str">
        <f>CS_PID!R909/VLOOKUP($B909,표2[#ALL],2)/HLOOKUP($A909,표1[#ALL],row(),false)</f>
        <v>#N/A</v>
      </c>
      <c r="S909" s="376" t="str">
        <f>CS_PID!S909/VLOOKUP($B909,표2[#ALL],2)/HLOOKUP($A909,표1[#ALL],row(),false)</f>
        <v>#N/A</v>
      </c>
      <c r="T909" s="376" t="str">
        <f>CS_PID!T909/VLOOKUP($B909,표2[#ALL],2)/HLOOKUP($A909,표1[#ALL],row(),false)</f>
        <v>#N/A</v>
      </c>
      <c r="U909" s="376" t="str">
        <f>CS_PID!U909/VLOOKUP($B909,표2[#ALL],2)/HLOOKUP($A909,표1[#ALL],row(),false)</f>
        <v>#N/A</v>
      </c>
      <c r="V909" s="376" t="str">
        <f>CS_PID!V909/VLOOKUP($B909,표2[#ALL],2)/HLOOKUP($A909,표1[#ALL],row(),false)</f>
        <v>#N/A</v>
      </c>
      <c r="W909" s="376" t="str">
        <f>CS_PID!W909/VLOOKUP($B909,표2[#ALL],2)/HLOOKUP($A909,표1[#ALL],row(),false)</f>
        <v>#N/A</v>
      </c>
      <c r="X909" s="376" t="str">
        <f>CS_PID!X909/VLOOKUP($B909,표2[#ALL],2)/HLOOKUP($A909,표1[#ALL],row(),false)</f>
        <v>#N/A</v>
      </c>
      <c r="Y909" s="376" t="str">
        <f>CS_PID!Y909/VLOOKUP($B909,표2[#ALL],2)/HLOOKUP($A909,표1[#ALL],row(),false)</f>
        <v>#N/A</v>
      </c>
      <c r="Z909" s="376" t="str">
        <f>CS_PID!Z909/VLOOKUP($B909,표2[#ALL],2)/HLOOKUP($A909,표1[#ALL],row(),false)</f>
        <v>#N/A</v>
      </c>
      <c r="AA909" s="376" t="str">
        <f>CS_PID!AA909/VLOOKUP($B909,표2[#ALL],2)/HLOOKUP($A909,표1[#ALL],row(),false)</f>
        <v>#N/A</v>
      </c>
      <c r="AB909" s="376" t="str">
        <f>CS_PID!AB909/VLOOKUP($B909,표2[#ALL],2)/HLOOKUP($A909,표1[#ALL],row(),false)</f>
        <v>#N/A</v>
      </c>
      <c r="AC909" s="376" t="str">
        <f>CS_PID!AC909/VLOOKUP($B909,표2[#ALL],2)/HLOOKUP($A909,표1[#ALL],row(),false)</f>
        <v>#N/A</v>
      </c>
      <c r="AD909" s="376" t="str">
        <f>CS_PID!AD909/VLOOKUP($B909,표2[#ALL],2)/HLOOKUP($A909,표1[#ALL],row(),false)</f>
        <v>#N/A</v>
      </c>
      <c r="AE909" s="376" t="str">
        <f>CS_PID!AE909/VLOOKUP($B909,표2[#ALL],2)/HLOOKUP($A909,표1[#ALL],row(),false)</f>
        <v>#N/A</v>
      </c>
      <c r="AF909" s="376" t="str">
        <f>CS_PID!AF909/VLOOKUP($B909,표2[#ALL],2)/HLOOKUP($A909,표1[#ALL],row(),false)</f>
        <v>#N/A</v>
      </c>
      <c r="AG909" s="376" t="str">
        <f>CS_PID!AG909/VLOOKUP($B909,표2[#ALL],2)/HLOOKUP($A909,표1[#ALL],row(),false)</f>
        <v>#N/A</v>
      </c>
      <c r="AH909" s="376" t="str">
        <f>CS_PID!AH909/VLOOKUP($B909,표2[#ALL],2)/HLOOKUP($A909,표1[#ALL],row(),false)</f>
        <v>#N/A</v>
      </c>
      <c r="AI909" s="376" t="str">
        <f>CS_PID!AI909/VLOOKUP($B909,표2[#ALL],2)/HLOOKUP($A909,표1[#ALL],row(),false)</f>
        <v>#N/A</v>
      </c>
      <c r="AJ909" s="376" t="str">
        <f>CS_PID!AJ909/VLOOKUP($B909,표2[#ALL],2)/HLOOKUP($A909,표1[#ALL],row(),false)</f>
        <v>#N/A</v>
      </c>
      <c r="AK909" s="376" t="str">
        <f>CS_PID!AK909/VLOOKUP($B909,표2[#ALL],2)/HLOOKUP($A909,표1[#ALL],row(),false)</f>
        <v>#N/A</v>
      </c>
      <c r="AL909" s="376" t="str">
        <f>CS_PID!AL909/VLOOKUP($B909,표2[#ALL],2)/HLOOKUP($A909,표1[#ALL],row(),false)</f>
        <v>#N/A</v>
      </c>
      <c r="AM909" s="376" t="str">
        <f>CS_PID!AM909/VLOOKUP($B909,표2[#ALL],2)/HLOOKUP($A909,표1[#ALL],row(),false)</f>
        <v>#N/A</v>
      </c>
      <c r="AN909" s="376" t="str">
        <f>CS_PID!AN909/VLOOKUP($B909,표2[#ALL],2)/HLOOKUP($A909,표1[#ALL],row(),false)</f>
        <v>#N/A</v>
      </c>
      <c r="AO909" s="376" t="str">
        <f>CS_PID!AO909/VLOOKUP($B909,표2[#ALL],2)/HLOOKUP($A909,표1[#ALL],row(),false)</f>
        <v>#N/A</v>
      </c>
      <c r="AP909" s="376" t="str">
        <f>CS_PID!AP909/VLOOKUP($B909,표2[#ALL],2)/HLOOKUP($A909,표1[#ALL],row(),false)</f>
        <v>#N/A</v>
      </c>
      <c r="AQ909" s="376" t="str">
        <f>CS_PID!AQ909/VLOOKUP($B909,표2[#ALL],2)/HLOOKUP($A909,표1[#ALL],row(),false)</f>
        <v>#N/A</v>
      </c>
      <c r="AR909" s="376" t="str">
        <f>CS_PID!AR909/VLOOKUP($B909,표2[#ALL],2)/HLOOKUP($A909,표1[#ALL],row(),false)</f>
        <v>#N/A</v>
      </c>
      <c r="AS909" s="377" t="str">
        <f>CS_PID!AS909/VLOOKUP($B909,표2[#ALL],2)/HLOOKUP($A909,표1[#ALL],row(),false)</f>
        <v>#N/A</v>
      </c>
    </row>
    <row r="910">
      <c r="A910" s="370"/>
      <c r="B910" s="371"/>
      <c r="C910" s="372" t="str">
        <f>CS_PID!C910/VLOOKUP($B910,표2[#ALL],2)</f>
        <v>#N/A</v>
      </c>
      <c r="D910" s="372" t="str">
        <f>CS_PID!D910/VLOOKUP($B910,표2[#ALL],2)</f>
        <v>#N/A</v>
      </c>
      <c r="E910" s="372" t="str">
        <f>CS_PID!E910/VLOOKUP($B910,표2[#ALL],2)</f>
        <v>#N/A</v>
      </c>
      <c r="F910" s="372" t="str">
        <f>CS_PID!F910/VLOOKUP($B910,표2[#ALL],2)</f>
        <v>#N/A</v>
      </c>
      <c r="G910" s="372" t="str">
        <f>CS_PID!G910/VLOOKUP($B910,표2[#ALL],2)</f>
        <v>#N/A</v>
      </c>
      <c r="H910" s="372" t="str">
        <f>CS_PID!H910/VLOOKUP($B910,표2[#ALL],2)/HLOOKUP($A910,표1[#ALL],row(),false)</f>
        <v>#N/A</v>
      </c>
      <c r="I910" s="372" t="str">
        <f>CS_PID!I910/VLOOKUP($B910,표2[#ALL],2)/HLOOKUP($A910,표1[#ALL],row(),false)</f>
        <v>#N/A</v>
      </c>
      <c r="J910" s="372" t="str">
        <f>CS_PID!J910/VLOOKUP($B910,표2[#ALL],2)/HLOOKUP($A910,표1[#ALL],row(),false)</f>
        <v>#N/A</v>
      </c>
      <c r="K910" s="372" t="str">
        <f>CS_PID!K910/VLOOKUP($B910,표2[#ALL],2)/HLOOKUP($A910,표1[#ALL],row(),false)</f>
        <v>#N/A</v>
      </c>
      <c r="L910" s="372" t="str">
        <f>CS_PID!L910/VLOOKUP($B910,표2[#ALL],2)/HLOOKUP($A910,표1[#ALL],row(),false)</f>
        <v>#N/A</v>
      </c>
      <c r="M910" s="372" t="str">
        <f>CS_PID!M910/VLOOKUP($B910,표2[#ALL],2)/HLOOKUP($A910,표1[#ALL],row(),false)</f>
        <v>#N/A</v>
      </c>
      <c r="N910" s="372" t="str">
        <f>CS_PID!N910/VLOOKUP($B910,표2[#ALL],2)/HLOOKUP($A910,표1[#ALL],row(),false)</f>
        <v>#N/A</v>
      </c>
      <c r="O910" s="372" t="str">
        <f>CS_PID!O910/VLOOKUP($B910,표2[#ALL],2)/HLOOKUP($A910,표1[#ALL],row(),false)</f>
        <v>#N/A</v>
      </c>
      <c r="P910" s="372" t="str">
        <f>CS_PID!P910/VLOOKUP($B910,표2[#ALL],2)/HLOOKUP($A910,표1[#ALL],row(),false)</f>
        <v>#N/A</v>
      </c>
      <c r="Q910" s="372" t="str">
        <f>CS_PID!Q910/VLOOKUP($B910,표2[#ALL],2)/HLOOKUP($A910,표1[#ALL],row(),false)</f>
        <v>#N/A</v>
      </c>
      <c r="R910" s="372" t="str">
        <f>CS_PID!R910/VLOOKUP($B910,표2[#ALL],2)/HLOOKUP($A910,표1[#ALL],row(),false)</f>
        <v>#N/A</v>
      </c>
      <c r="S910" s="372" t="str">
        <f>CS_PID!S910/VLOOKUP($B910,표2[#ALL],2)/HLOOKUP($A910,표1[#ALL],row(),false)</f>
        <v>#N/A</v>
      </c>
      <c r="T910" s="372" t="str">
        <f>CS_PID!T910/VLOOKUP($B910,표2[#ALL],2)/HLOOKUP($A910,표1[#ALL],row(),false)</f>
        <v>#N/A</v>
      </c>
      <c r="U910" s="372" t="str">
        <f>CS_PID!U910/VLOOKUP($B910,표2[#ALL],2)/HLOOKUP($A910,표1[#ALL],row(),false)</f>
        <v>#N/A</v>
      </c>
      <c r="V910" s="372" t="str">
        <f>CS_PID!V910/VLOOKUP($B910,표2[#ALL],2)/HLOOKUP($A910,표1[#ALL],row(),false)</f>
        <v>#N/A</v>
      </c>
      <c r="W910" s="372" t="str">
        <f>CS_PID!W910/VLOOKUP($B910,표2[#ALL],2)/HLOOKUP($A910,표1[#ALL],row(),false)</f>
        <v>#N/A</v>
      </c>
      <c r="X910" s="372" t="str">
        <f>CS_PID!X910/VLOOKUP($B910,표2[#ALL],2)/HLOOKUP($A910,표1[#ALL],row(),false)</f>
        <v>#N/A</v>
      </c>
      <c r="Y910" s="372" t="str">
        <f>CS_PID!Y910/VLOOKUP($B910,표2[#ALL],2)/HLOOKUP($A910,표1[#ALL],row(),false)</f>
        <v>#N/A</v>
      </c>
      <c r="Z910" s="372" t="str">
        <f>CS_PID!Z910/VLOOKUP($B910,표2[#ALL],2)/HLOOKUP($A910,표1[#ALL],row(),false)</f>
        <v>#N/A</v>
      </c>
      <c r="AA910" s="372" t="str">
        <f>CS_PID!AA910/VLOOKUP($B910,표2[#ALL],2)/HLOOKUP($A910,표1[#ALL],row(),false)</f>
        <v>#N/A</v>
      </c>
      <c r="AB910" s="372" t="str">
        <f>CS_PID!AB910/VLOOKUP($B910,표2[#ALL],2)/HLOOKUP($A910,표1[#ALL],row(),false)</f>
        <v>#N/A</v>
      </c>
      <c r="AC910" s="372" t="str">
        <f>CS_PID!AC910/VLOOKUP($B910,표2[#ALL],2)/HLOOKUP($A910,표1[#ALL],row(),false)</f>
        <v>#N/A</v>
      </c>
      <c r="AD910" s="372" t="str">
        <f>CS_PID!AD910/VLOOKUP($B910,표2[#ALL],2)/HLOOKUP($A910,표1[#ALL],row(),false)</f>
        <v>#N/A</v>
      </c>
      <c r="AE910" s="372" t="str">
        <f>CS_PID!AE910/VLOOKUP($B910,표2[#ALL],2)/HLOOKUP($A910,표1[#ALL],row(),false)</f>
        <v>#N/A</v>
      </c>
      <c r="AF910" s="372" t="str">
        <f>CS_PID!AF910/VLOOKUP($B910,표2[#ALL],2)/HLOOKUP($A910,표1[#ALL],row(),false)</f>
        <v>#N/A</v>
      </c>
      <c r="AG910" s="372" t="str">
        <f>CS_PID!AG910/VLOOKUP($B910,표2[#ALL],2)/HLOOKUP($A910,표1[#ALL],row(),false)</f>
        <v>#N/A</v>
      </c>
      <c r="AH910" s="372" t="str">
        <f>CS_PID!AH910/VLOOKUP($B910,표2[#ALL],2)/HLOOKUP($A910,표1[#ALL],row(),false)</f>
        <v>#N/A</v>
      </c>
      <c r="AI910" s="372" t="str">
        <f>CS_PID!AI910/VLOOKUP($B910,표2[#ALL],2)/HLOOKUP($A910,표1[#ALL],row(),false)</f>
        <v>#N/A</v>
      </c>
      <c r="AJ910" s="372" t="str">
        <f>CS_PID!AJ910/VLOOKUP($B910,표2[#ALL],2)/HLOOKUP($A910,표1[#ALL],row(),false)</f>
        <v>#N/A</v>
      </c>
      <c r="AK910" s="372" t="str">
        <f>CS_PID!AK910/VLOOKUP($B910,표2[#ALL],2)/HLOOKUP($A910,표1[#ALL],row(),false)</f>
        <v>#N/A</v>
      </c>
      <c r="AL910" s="372" t="str">
        <f>CS_PID!AL910/VLOOKUP($B910,표2[#ALL],2)/HLOOKUP($A910,표1[#ALL],row(),false)</f>
        <v>#N/A</v>
      </c>
      <c r="AM910" s="372" t="str">
        <f>CS_PID!AM910/VLOOKUP($B910,표2[#ALL],2)/HLOOKUP($A910,표1[#ALL],row(),false)</f>
        <v>#N/A</v>
      </c>
      <c r="AN910" s="372" t="str">
        <f>CS_PID!AN910/VLOOKUP($B910,표2[#ALL],2)/HLOOKUP($A910,표1[#ALL],row(),false)</f>
        <v>#N/A</v>
      </c>
      <c r="AO910" s="372" t="str">
        <f>CS_PID!AO910/VLOOKUP($B910,표2[#ALL],2)/HLOOKUP($A910,표1[#ALL],row(),false)</f>
        <v>#N/A</v>
      </c>
      <c r="AP910" s="372" t="str">
        <f>CS_PID!AP910/VLOOKUP($B910,표2[#ALL],2)/HLOOKUP($A910,표1[#ALL],row(),false)</f>
        <v>#N/A</v>
      </c>
      <c r="AQ910" s="372" t="str">
        <f>CS_PID!AQ910/VLOOKUP($B910,표2[#ALL],2)/HLOOKUP($A910,표1[#ALL],row(),false)</f>
        <v>#N/A</v>
      </c>
      <c r="AR910" s="372" t="str">
        <f>CS_PID!AR910/VLOOKUP($B910,표2[#ALL],2)/HLOOKUP($A910,표1[#ALL],row(),false)</f>
        <v>#N/A</v>
      </c>
      <c r="AS910" s="373" t="str">
        <f>CS_PID!AS910/VLOOKUP($B910,표2[#ALL],2)/HLOOKUP($A910,표1[#ALL],row(),false)</f>
        <v>#N/A</v>
      </c>
    </row>
    <row r="911">
      <c r="A911" s="374"/>
      <c r="B911" s="375"/>
      <c r="C911" s="376" t="str">
        <f>CS_PID!C911/VLOOKUP($B911,표2[#ALL],2)</f>
        <v>#N/A</v>
      </c>
      <c r="D911" s="376" t="str">
        <f>CS_PID!D911/VLOOKUP($B911,표2[#ALL],2)</f>
        <v>#N/A</v>
      </c>
      <c r="E911" s="376" t="str">
        <f>CS_PID!E911/VLOOKUP($B911,표2[#ALL],2)</f>
        <v>#N/A</v>
      </c>
      <c r="F911" s="376" t="str">
        <f>CS_PID!F911/VLOOKUP($B911,표2[#ALL],2)</f>
        <v>#N/A</v>
      </c>
      <c r="G911" s="376" t="str">
        <f>CS_PID!G911/VLOOKUP($B911,표2[#ALL],2)</f>
        <v>#N/A</v>
      </c>
      <c r="H911" s="376" t="str">
        <f>CS_PID!H911/VLOOKUP($B911,표2[#ALL],2)/HLOOKUP($A911,표1[#ALL],row(),false)</f>
        <v>#N/A</v>
      </c>
      <c r="I911" s="376" t="str">
        <f>CS_PID!I911/VLOOKUP($B911,표2[#ALL],2)/HLOOKUP($A911,표1[#ALL],row(),false)</f>
        <v>#N/A</v>
      </c>
      <c r="J911" s="376" t="str">
        <f>CS_PID!J911/VLOOKUP($B911,표2[#ALL],2)/HLOOKUP($A911,표1[#ALL],row(),false)</f>
        <v>#N/A</v>
      </c>
      <c r="K911" s="376" t="str">
        <f>CS_PID!K911/VLOOKUP($B911,표2[#ALL],2)/HLOOKUP($A911,표1[#ALL],row(),false)</f>
        <v>#N/A</v>
      </c>
      <c r="L911" s="376" t="str">
        <f>CS_PID!L911/VLOOKUP($B911,표2[#ALL],2)/HLOOKUP($A911,표1[#ALL],row(),false)</f>
        <v>#N/A</v>
      </c>
      <c r="M911" s="376" t="str">
        <f>CS_PID!M911/VLOOKUP($B911,표2[#ALL],2)/HLOOKUP($A911,표1[#ALL],row(),false)</f>
        <v>#N/A</v>
      </c>
      <c r="N911" s="376" t="str">
        <f>CS_PID!N911/VLOOKUP($B911,표2[#ALL],2)/HLOOKUP($A911,표1[#ALL],row(),false)</f>
        <v>#N/A</v>
      </c>
      <c r="O911" s="376" t="str">
        <f>CS_PID!O911/VLOOKUP($B911,표2[#ALL],2)/HLOOKUP($A911,표1[#ALL],row(),false)</f>
        <v>#N/A</v>
      </c>
      <c r="P911" s="376" t="str">
        <f>CS_PID!P911/VLOOKUP($B911,표2[#ALL],2)/HLOOKUP($A911,표1[#ALL],row(),false)</f>
        <v>#N/A</v>
      </c>
      <c r="Q911" s="376" t="str">
        <f>CS_PID!Q911/VLOOKUP($B911,표2[#ALL],2)/HLOOKUP($A911,표1[#ALL],row(),false)</f>
        <v>#N/A</v>
      </c>
      <c r="R911" s="376" t="str">
        <f>CS_PID!R911/VLOOKUP($B911,표2[#ALL],2)/HLOOKUP($A911,표1[#ALL],row(),false)</f>
        <v>#N/A</v>
      </c>
      <c r="S911" s="376" t="str">
        <f>CS_PID!S911/VLOOKUP($B911,표2[#ALL],2)/HLOOKUP($A911,표1[#ALL],row(),false)</f>
        <v>#N/A</v>
      </c>
      <c r="T911" s="376" t="str">
        <f>CS_PID!T911/VLOOKUP($B911,표2[#ALL],2)/HLOOKUP($A911,표1[#ALL],row(),false)</f>
        <v>#N/A</v>
      </c>
      <c r="U911" s="376" t="str">
        <f>CS_PID!U911/VLOOKUP($B911,표2[#ALL],2)/HLOOKUP($A911,표1[#ALL],row(),false)</f>
        <v>#N/A</v>
      </c>
      <c r="V911" s="376" t="str">
        <f>CS_PID!V911/VLOOKUP($B911,표2[#ALL],2)/HLOOKUP($A911,표1[#ALL],row(),false)</f>
        <v>#N/A</v>
      </c>
      <c r="W911" s="376" t="str">
        <f>CS_PID!W911/VLOOKUP($B911,표2[#ALL],2)/HLOOKUP($A911,표1[#ALL],row(),false)</f>
        <v>#N/A</v>
      </c>
      <c r="X911" s="376" t="str">
        <f>CS_PID!X911/VLOOKUP($B911,표2[#ALL],2)/HLOOKUP($A911,표1[#ALL],row(),false)</f>
        <v>#N/A</v>
      </c>
      <c r="Y911" s="376" t="str">
        <f>CS_PID!Y911/VLOOKUP($B911,표2[#ALL],2)/HLOOKUP($A911,표1[#ALL],row(),false)</f>
        <v>#N/A</v>
      </c>
      <c r="Z911" s="376" t="str">
        <f>CS_PID!Z911/VLOOKUP($B911,표2[#ALL],2)/HLOOKUP($A911,표1[#ALL],row(),false)</f>
        <v>#N/A</v>
      </c>
      <c r="AA911" s="376" t="str">
        <f>CS_PID!AA911/VLOOKUP($B911,표2[#ALL],2)/HLOOKUP($A911,표1[#ALL],row(),false)</f>
        <v>#N/A</v>
      </c>
      <c r="AB911" s="376" t="str">
        <f>CS_PID!AB911/VLOOKUP($B911,표2[#ALL],2)/HLOOKUP($A911,표1[#ALL],row(),false)</f>
        <v>#N/A</v>
      </c>
      <c r="AC911" s="376" t="str">
        <f>CS_PID!AC911/VLOOKUP($B911,표2[#ALL],2)/HLOOKUP($A911,표1[#ALL],row(),false)</f>
        <v>#N/A</v>
      </c>
      <c r="AD911" s="376" t="str">
        <f>CS_PID!AD911/VLOOKUP($B911,표2[#ALL],2)/HLOOKUP($A911,표1[#ALL],row(),false)</f>
        <v>#N/A</v>
      </c>
      <c r="AE911" s="376" t="str">
        <f>CS_PID!AE911/VLOOKUP($B911,표2[#ALL],2)/HLOOKUP($A911,표1[#ALL],row(),false)</f>
        <v>#N/A</v>
      </c>
      <c r="AF911" s="376" t="str">
        <f>CS_PID!AF911/VLOOKUP($B911,표2[#ALL],2)/HLOOKUP($A911,표1[#ALL],row(),false)</f>
        <v>#N/A</v>
      </c>
      <c r="AG911" s="376" t="str">
        <f>CS_PID!AG911/VLOOKUP($B911,표2[#ALL],2)/HLOOKUP($A911,표1[#ALL],row(),false)</f>
        <v>#N/A</v>
      </c>
      <c r="AH911" s="376" t="str">
        <f>CS_PID!AH911/VLOOKUP($B911,표2[#ALL],2)/HLOOKUP($A911,표1[#ALL],row(),false)</f>
        <v>#N/A</v>
      </c>
      <c r="AI911" s="376" t="str">
        <f>CS_PID!AI911/VLOOKUP($B911,표2[#ALL],2)/HLOOKUP($A911,표1[#ALL],row(),false)</f>
        <v>#N/A</v>
      </c>
      <c r="AJ911" s="376" t="str">
        <f>CS_PID!AJ911/VLOOKUP($B911,표2[#ALL],2)/HLOOKUP($A911,표1[#ALL],row(),false)</f>
        <v>#N/A</v>
      </c>
      <c r="AK911" s="376" t="str">
        <f>CS_PID!AK911/VLOOKUP($B911,표2[#ALL],2)/HLOOKUP($A911,표1[#ALL],row(),false)</f>
        <v>#N/A</v>
      </c>
      <c r="AL911" s="376" t="str">
        <f>CS_PID!AL911/VLOOKUP($B911,표2[#ALL],2)/HLOOKUP($A911,표1[#ALL],row(),false)</f>
        <v>#N/A</v>
      </c>
      <c r="AM911" s="376" t="str">
        <f>CS_PID!AM911/VLOOKUP($B911,표2[#ALL],2)/HLOOKUP($A911,표1[#ALL],row(),false)</f>
        <v>#N/A</v>
      </c>
      <c r="AN911" s="376" t="str">
        <f>CS_PID!AN911/VLOOKUP($B911,표2[#ALL],2)/HLOOKUP($A911,표1[#ALL],row(),false)</f>
        <v>#N/A</v>
      </c>
      <c r="AO911" s="376" t="str">
        <f>CS_PID!AO911/VLOOKUP($B911,표2[#ALL],2)/HLOOKUP($A911,표1[#ALL],row(),false)</f>
        <v>#N/A</v>
      </c>
      <c r="AP911" s="376" t="str">
        <f>CS_PID!AP911/VLOOKUP($B911,표2[#ALL],2)/HLOOKUP($A911,표1[#ALL],row(),false)</f>
        <v>#N/A</v>
      </c>
      <c r="AQ911" s="376" t="str">
        <f>CS_PID!AQ911/VLOOKUP($B911,표2[#ALL],2)/HLOOKUP($A911,표1[#ALL],row(),false)</f>
        <v>#N/A</v>
      </c>
      <c r="AR911" s="376" t="str">
        <f>CS_PID!AR911/VLOOKUP($B911,표2[#ALL],2)/HLOOKUP($A911,표1[#ALL],row(),false)</f>
        <v>#N/A</v>
      </c>
      <c r="AS911" s="377" t="str">
        <f>CS_PID!AS911/VLOOKUP($B911,표2[#ALL],2)/HLOOKUP($A911,표1[#ALL],row(),false)</f>
        <v>#N/A</v>
      </c>
    </row>
    <row r="912">
      <c r="A912" s="370"/>
      <c r="B912" s="371"/>
      <c r="C912" s="372" t="str">
        <f>CS_PID!C912/VLOOKUP($B912,표2[#ALL],2)</f>
        <v>#N/A</v>
      </c>
      <c r="D912" s="372" t="str">
        <f>CS_PID!D912/VLOOKUP($B912,표2[#ALL],2)</f>
        <v>#N/A</v>
      </c>
      <c r="E912" s="372" t="str">
        <f>CS_PID!E912/VLOOKUP($B912,표2[#ALL],2)</f>
        <v>#N/A</v>
      </c>
      <c r="F912" s="372" t="str">
        <f>CS_PID!F912/VLOOKUP($B912,표2[#ALL],2)</f>
        <v>#N/A</v>
      </c>
      <c r="G912" s="372" t="str">
        <f>CS_PID!G912/VLOOKUP($B912,표2[#ALL],2)</f>
        <v>#N/A</v>
      </c>
      <c r="H912" s="372" t="str">
        <f>CS_PID!H912/VLOOKUP($B912,표2[#ALL],2)/HLOOKUP($A912,표1[#ALL],row(),false)</f>
        <v>#N/A</v>
      </c>
      <c r="I912" s="372" t="str">
        <f>CS_PID!I912/VLOOKUP($B912,표2[#ALL],2)/HLOOKUP($A912,표1[#ALL],row(),false)</f>
        <v>#N/A</v>
      </c>
      <c r="J912" s="372" t="str">
        <f>CS_PID!J912/VLOOKUP($B912,표2[#ALL],2)/HLOOKUP($A912,표1[#ALL],row(),false)</f>
        <v>#N/A</v>
      </c>
      <c r="K912" s="372" t="str">
        <f>CS_PID!K912/VLOOKUP($B912,표2[#ALL],2)/HLOOKUP($A912,표1[#ALL],row(),false)</f>
        <v>#N/A</v>
      </c>
      <c r="L912" s="372" t="str">
        <f>CS_PID!L912/VLOOKUP($B912,표2[#ALL],2)/HLOOKUP($A912,표1[#ALL],row(),false)</f>
        <v>#N/A</v>
      </c>
      <c r="M912" s="372" t="str">
        <f>CS_PID!M912/VLOOKUP($B912,표2[#ALL],2)/HLOOKUP($A912,표1[#ALL],row(),false)</f>
        <v>#N/A</v>
      </c>
      <c r="N912" s="372" t="str">
        <f>CS_PID!N912/VLOOKUP($B912,표2[#ALL],2)/HLOOKUP($A912,표1[#ALL],row(),false)</f>
        <v>#N/A</v>
      </c>
      <c r="O912" s="372" t="str">
        <f>CS_PID!O912/VLOOKUP($B912,표2[#ALL],2)/HLOOKUP($A912,표1[#ALL],row(),false)</f>
        <v>#N/A</v>
      </c>
      <c r="P912" s="372" t="str">
        <f>CS_PID!P912/VLOOKUP($B912,표2[#ALL],2)/HLOOKUP($A912,표1[#ALL],row(),false)</f>
        <v>#N/A</v>
      </c>
      <c r="Q912" s="372" t="str">
        <f>CS_PID!Q912/VLOOKUP($B912,표2[#ALL],2)/HLOOKUP($A912,표1[#ALL],row(),false)</f>
        <v>#N/A</v>
      </c>
      <c r="R912" s="372" t="str">
        <f>CS_PID!R912/VLOOKUP($B912,표2[#ALL],2)/HLOOKUP($A912,표1[#ALL],row(),false)</f>
        <v>#N/A</v>
      </c>
      <c r="S912" s="372" t="str">
        <f>CS_PID!S912/VLOOKUP($B912,표2[#ALL],2)/HLOOKUP($A912,표1[#ALL],row(),false)</f>
        <v>#N/A</v>
      </c>
      <c r="T912" s="372" t="str">
        <f>CS_PID!T912/VLOOKUP($B912,표2[#ALL],2)/HLOOKUP($A912,표1[#ALL],row(),false)</f>
        <v>#N/A</v>
      </c>
      <c r="U912" s="372" t="str">
        <f>CS_PID!U912/VLOOKUP($B912,표2[#ALL],2)/HLOOKUP($A912,표1[#ALL],row(),false)</f>
        <v>#N/A</v>
      </c>
      <c r="V912" s="372" t="str">
        <f>CS_PID!V912/VLOOKUP($B912,표2[#ALL],2)/HLOOKUP($A912,표1[#ALL],row(),false)</f>
        <v>#N/A</v>
      </c>
      <c r="W912" s="372" t="str">
        <f>CS_PID!W912/VLOOKUP($B912,표2[#ALL],2)/HLOOKUP($A912,표1[#ALL],row(),false)</f>
        <v>#N/A</v>
      </c>
      <c r="X912" s="372" t="str">
        <f>CS_PID!X912/VLOOKUP($B912,표2[#ALL],2)/HLOOKUP($A912,표1[#ALL],row(),false)</f>
        <v>#N/A</v>
      </c>
      <c r="Y912" s="372" t="str">
        <f>CS_PID!Y912/VLOOKUP($B912,표2[#ALL],2)/HLOOKUP($A912,표1[#ALL],row(),false)</f>
        <v>#N/A</v>
      </c>
      <c r="Z912" s="372" t="str">
        <f>CS_PID!Z912/VLOOKUP($B912,표2[#ALL],2)/HLOOKUP($A912,표1[#ALL],row(),false)</f>
        <v>#N/A</v>
      </c>
      <c r="AA912" s="372" t="str">
        <f>CS_PID!AA912/VLOOKUP($B912,표2[#ALL],2)/HLOOKUP($A912,표1[#ALL],row(),false)</f>
        <v>#N/A</v>
      </c>
      <c r="AB912" s="372" t="str">
        <f>CS_PID!AB912/VLOOKUP($B912,표2[#ALL],2)/HLOOKUP($A912,표1[#ALL],row(),false)</f>
        <v>#N/A</v>
      </c>
      <c r="AC912" s="372" t="str">
        <f>CS_PID!AC912/VLOOKUP($B912,표2[#ALL],2)/HLOOKUP($A912,표1[#ALL],row(),false)</f>
        <v>#N/A</v>
      </c>
      <c r="AD912" s="372" t="str">
        <f>CS_PID!AD912/VLOOKUP($B912,표2[#ALL],2)/HLOOKUP($A912,표1[#ALL],row(),false)</f>
        <v>#N/A</v>
      </c>
      <c r="AE912" s="372" t="str">
        <f>CS_PID!AE912/VLOOKUP($B912,표2[#ALL],2)/HLOOKUP($A912,표1[#ALL],row(),false)</f>
        <v>#N/A</v>
      </c>
      <c r="AF912" s="372" t="str">
        <f>CS_PID!AF912/VLOOKUP($B912,표2[#ALL],2)/HLOOKUP($A912,표1[#ALL],row(),false)</f>
        <v>#N/A</v>
      </c>
      <c r="AG912" s="372" t="str">
        <f>CS_PID!AG912/VLOOKUP($B912,표2[#ALL],2)/HLOOKUP($A912,표1[#ALL],row(),false)</f>
        <v>#N/A</v>
      </c>
      <c r="AH912" s="372" t="str">
        <f>CS_PID!AH912/VLOOKUP($B912,표2[#ALL],2)/HLOOKUP($A912,표1[#ALL],row(),false)</f>
        <v>#N/A</v>
      </c>
      <c r="AI912" s="372" t="str">
        <f>CS_PID!AI912/VLOOKUP($B912,표2[#ALL],2)/HLOOKUP($A912,표1[#ALL],row(),false)</f>
        <v>#N/A</v>
      </c>
      <c r="AJ912" s="372" t="str">
        <f>CS_PID!AJ912/VLOOKUP($B912,표2[#ALL],2)/HLOOKUP($A912,표1[#ALL],row(),false)</f>
        <v>#N/A</v>
      </c>
      <c r="AK912" s="372" t="str">
        <f>CS_PID!AK912/VLOOKUP($B912,표2[#ALL],2)/HLOOKUP($A912,표1[#ALL],row(),false)</f>
        <v>#N/A</v>
      </c>
      <c r="AL912" s="372" t="str">
        <f>CS_PID!AL912/VLOOKUP($B912,표2[#ALL],2)/HLOOKUP($A912,표1[#ALL],row(),false)</f>
        <v>#N/A</v>
      </c>
      <c r="AM912" s="372" t="str">
        <f>CS_PID!AM912/VLOOKUP($B912,표2[#ALL],2)/HLOOKUP($A912,표1[#ALL],row(),false)</f>
        <v>#N/A</v>
      </c>
      <c r="AN912" s="372" t="str">
        <f>CS_PID!AN912/VLOOKUP($B912,표2[#ALL],2)/HLOOKUP($A912,표1[#ALL],row(),false)</f>
        <v>#N/A</v>
      </c>
      <c r="AO912" s="372" t="str">
        <f>CS_PID!AO912/VLOOKUP($B912,표2[#ALL],2)/HLOOKUP($A912,표1[#ALL],row(),false)</f>
        <v>#N/A</v>
      </c>
      <c r="AP912" s="372" t="str">
        <f>CS_PID!AP912/VLOOKUP($B912,표2[#ALL],2)/HLOOKUP($A912,표1[#ALL],row(),false)</f>
        <v>#N/A</v>
      </c>
      <c r="AQ912" s="372" t="str">
        <f>CS_PID!AQ912/VLOOKUP($B912,표2[#ALL],2)/HLOOKUP($A912,표1[#ALL],row(),false)</f>
        <v>#N/A</v>
      </c>
      <c r="AR912" s="372" t="str">
        <f>CS_PID!AR912/VLOOKUP($B912,표2[#ALL],2)/HLOOKUP($A912,표1[#ALL],row(),false)</f>
        <v>#N/A</v>
      </c>
      <c r="AS912" s="373" t="str">
        <f>CS_PID!AS912/VLOOKUP($B912,표2[#ALL],2)/HLOOKUP($A912,표1[#ALL],row(),false)</f>
        <v>#N/A</v>
      </c>
    </row>
    <row r="913">
      <c r="A913" s="374"/>
      <c r="B913" s="375"/>
      <c r="C913" s="376" t="str">
        <f>CS_PID!C913/VLOOKUP($B913,표2[#ALL],2)</f>
        <v>#N/A</v>
      </c>
      <c r="D913" s="376" t="str">
        <f>CS_PID!D913/VLOOKUP($B913,표2[#ALL],2)</f>
        <v>#N/A</v>
      </c>
      <c r="E913" s="376" t="str">
        <f>CS_PID!E913/VLOOKUP($B913,표2[#ALL],2)</f>
        <v>#N/A</v>
      </c>
      <c r="F913" s="376" t="str">
        <f>CS_PID!F913/VLOOKUP($B913,표2[#ALL],2)</f>
        <v>#N/A</v>
      </c>
      <c r="G913" s="376" t="str">
        <f>CS_PID!G913/VLOOKUP($B913,표2[#ALL],2)</f>
        <v>#N/A</v>
      </c>
      <c r="H913" s="376" t="str">
        <f>CS_PID!H913/VLOOKUP($B913,표2[#ALL],2)/HLOOKUP($A913,표1[#ALL],row(),false)</f>
        <v>#N/A</v>
      </c>
      <c r="I913" s="376" t="str">
        <f>CS_PID!I913/VLOOKUP($B913,표2[#ALL],2)/HLOOKUP($A913,표1[#ALL],row(),false)</f>
        <v>#N/A</v>
      </c>
      <c r="J913" s="376" t="str">
        <f>CS_PID!J913/VLOOKUP($B913,표2[#ALL],2)/HLOOKUP($A913,표1[#ALL],row(),false)</f>
        <v>#N/A</v>
      </c>
      <c r="K913" s="376" t="str">
        <f>CS_PID!K913/VLOOKUP($B913,표2[#ALL],2)/HLOOKUP($A913,표1[#ALL],row(),false)</f>
        <v>#N/A</v>
      </c>
      <c r="L913" s="376" t="str">
        <f>CS_PID!L913/VLOOKUP($B913,표2[#ALL],2)/HLOOKUP($A913,표1[#ALL],row(),false)</f>
        <v>#N/A</v>
      </c>
      <c r="M913" s="376" t="str">
        <f>CS_PID!M913/VLOOKUP($B913,표2[#ALL],2)/HLOOKUP($A913,표1[#ALL],row(),false)</f>
        <v>#N/A</v>
      </c>
      <c r="N913" s="376" t="str">
        <f>CS_PID!N913/VLOOKUP($B913,표2[#ALL],2)/HLOOKUP($A913,표1[#ALL],row(),false)</f>
        <v>#N/A</v>
      </c>
      <c r="O913" s="376" t="str">
        <f>CS_PID!O913/VLOOKUP($B913,표2[#ALL],2)/HLOOKUP($A913,표1[#ALL],row(),false)</f>
        <v>#N/A</v>
      </c>
      <c r="P913" s="376" t="str">
        <f>CS_PID!P913/VLOOKUP($B913,표2[#ALL],2)/HLOOKUP($A913,표1[#ALL],row(),false)</f>
        <v>#N/A</v>
      </c>
      <c r="Q913" s="376" t="str">
        <f>CS_PID!Q913/VLOOKUP($B913,표2[#ALL],2)/HLOOKUP($A913,표1[#ALL],row(),false)</f>
        <v>#N/A</v>
      </c>
      <c r="R913" s="376" t="str">
        <f>CS_PID!R913/VLOOKUP($B913,표2[#ALL],2)/HLOOKUP($A913,표1[#ALL],row(),false)</f>
        <v>#N/A</v>
      </c>
      <c r="S913" s="376" t="str">
        <f>CS_PID!S913/VLOOKUP($B913,표2[#ALL],2)/HLOOKUP($A913,표1[#ALL],row(),false)</f>
        <v>#N/A</v>
      </c>
      <c r="T913" s="376" t="str">
        <f>CS_PID!T913/VLOOKUP($B913,표2[#ALL],2)/HLOOKUP($A913,표1[#ALL],row(),false)</f>
        <v>#N/A</v>
      </c>
      <c r="U913" s="376" t="str">
        <f>CS_PID!U913/VLOOKUP($B913,표2[#ALL],2)/HLOOKUP($A913,표1[#ALL],row(),false)</f>
        <v>#N/A</v>
      </c>
      <c r="V913" s="376" t="str">
        <f>CS_PID!V913/VLOOKUP($B913,표2[#ALL],2)/HLOOKUP($A913,표1[#ALL],row(),false)</f>
        <v>#N/A</v>
      </c>
      <c r="W913" s="376" t="str">
        <f>CS_PID!W913/VLOOKUP($B913,표2[#ALL],2)/HLOOKUP($A913,표1[#ALL],row(),false)</f>
        <v>#N/A</v>
      </c>
      <c r="X913" s="376" t="str">
        <f>CS_PID!X913/VLOOKUP($B913,표2[#ALL],2)/HLOOKUP($A913,표1[#ALL],row(),false)</f>
        <v>#N/A</v>
      </c>
      <c r="Y913" s="376" t="str">
        <f>CS_PID!Y913/VLOOKUP($B913,표2[#ALL],2)/HLOOKUP($A913,표1[#ALL],row(),false)</f>
        <v>#N/A</v>
      </c>
      <c r="Z913" s="376" t="str">
        <f>CS_PID!Z913/VLOOKUP($B913,표2[#ALL],2)/HLOOKUP($A913,표1[#ALL],row(),false)</f>
        <v>#N/A</v>
      </c>
      <c r="AA913" s="376" t="str">
        <f>CS_PID!AA913/VLOOKUP($B913,표2[#ALL],2)/HLOOKUP($A913,표1[#ALL],row(),false)</f>
        <v>#N/A</v>
      </c>
      <c r="AB913" s="376" t="str">
        <f>CS_PID!AB913/VLOOKUP($B913,표2[#ALL],2)/HLOOKUP($A913,표1[#ALL],row(),false)</f>
        <v>#N/A</v>
      </c>
      <c r="AC913" s="376" t="str">
        <f>CS_PID!AC913/VLOOKUP($B913,표2[#ALL],2)/HLOOKUP($A913,표1[#ALL],row(),false)</f>
        <v>#N/A</v>
      </c>
      <c r="AD913" s="376" t="str">
        <f>CS_PID!AD913/VLOOKUP($B913,표2[#ALL],2)/HLOOKUP($A913,표1[#ALL],row(),false)</f>
        <v>#N/A</v>
      </c>
      <c r="AE913" s="376" t="str">
        <f>CS_PID!AE913/VLOOKUP($B913,표2[#ALL],2)/HLOOKUP($A913,표1[#ALL],row(),false)</f>
        <v>#N/A</v>
      </c>
      <c r="AF913" s="376" t="str">
        <f>CS_PID!AF913/VLOOKUP($B913,표2[#ALL],2)/HLOOKUP($A913,표1[#ALL],row(),false)</f>
        <v>#N/A</v>
      </c>
      <c r="AG913" s="376" t="str">
        <f>CS_PID!AG913/VLOOKUP($B913,표2[#ALL],2)/HLOOKUP($A913,표1[#ALL],row(),false)</f>
        <v>#N/A</v>
      </c>
      <c r="AH913" s="376" t="str">
        <f>CS_PID!AH913/VLOOKUP($B913,표2[#ALL],2)/HLOOKUP($A913,표1[#ALL],row(),false)</f>
        <v>#N/A</v>
      </c>
      <c r="AI913" s="376" t="str">
        <f>CS_PID!AI913/VLOOKUP($B913,표2[#ALL],2)/HLOOKUP($A913,표1[#ALL],row(),false)</f>
        <v>#N/A</v>
      </c>
      <c r="AJ913" s="376" t="str">
        <f>CS_PID!AJ913/VLOOKUP($B913,표2[#ALL],2)/HLOOKUP($A913,표1[#ALL],row(),false)</f>
        <v>#N/A</v>
      </c>
      <c r="AK913" s="376" t="str">
        <f>CS_PID!AK913/VLOOKUP($B913,표2[#ALL],2)/HLOOKUP($A913,표1[#ALL],row(),false)</f>
        <v>#N/A</v>
      </c>
      <c r="AL913" s="376" t="str">
        <f>CS_PID!AL913/VLOOKUP($B913,표2[#ALL],2)/HLOOKUP($A913,표1[#ALL],row(),false)</f>
        <v>#N/A</v>
      </c>
      <c r="AM913" s="376" t="str">
        <f>CS_PID!AM913/VLOOKUP($B913,표2[#ALL],2)/HLOOKUP($A913,표1[#ALL],row(),false)</f>
        <v>#N/A</v>
      </c>
      <c r="AN913" s="376" t="str">
        <f>CS_PID!AN913/VLOOKUP($B913,표2[#ALL],2)/HLOOKUP($A913,표1[#ALL],row(),false)</f>
        <v>#N/A</v>
      </c>
      <c r="AO913" s="376" t="str">
        <f>CS_PID!AO913/VLOOKUP($B913,표2[#ALL],2)/HLOOKUP($A913,표1[#ALL],row(),false)</f>
        <v>#N/A</v>
      </c>
      <c r="AP913" s="376" t="str">
        <f>CS_PID!AP913/VLOOKUP($B913,표2[#ALL],2)/HLOOKUP($A913,표1[#ALL],row(),false)</f>
        <v>#N/A</v>
      </c>
      <c r="AQ913" s="376" t="str">
        <f>CS_PID!AQ913/VLOOKUP($B913,표2[#ALL],2)/HLOOKUP($A913,표1[#ALL],row(),false)</f>
        <v>#N/A</v>
      </c>
      <c r="AR913" s="376" t="str">
        <f>CS_PID!AR913/VLOOKUP($B913,표2[#ALL],2)/HLOOKUP($A913,표1[#ALL],row(),false)</f>
        <v>#N/A</v>
      </c>
      <c r="AS913" s="377" t="str">
        <f>CS_PID!AS913/VLOOKUP($B913,표2[#ALL],2)/HLOOKUP($A913,표1[#ALL],row(),false)</f>
        <v>#N/A</v>
      </c>
    </row>
    <row r="914">
      <c r="A914" s="370"/>
      <c r="B914" s="371"/>
      <c r="C914" s="372" t="str">
        <f>CS_PID!C914/VLOOKUP($B914,표2[#ALL],2)</f>
        <v>#N/A</v>
      </c>
      <c r="D914" s="372" t="str">
        <f>CS_PID!D914/VLOOKUP($B914,표2[#ALL],2)</f>
        <v>#N/A</v>
      </c>
      <c r="E914" s="372" t="str">
        <f>CS_PID!E914/VLOOKUP($B914,표2[#ALL],2)</f>
        <v>#N/A</v>
      </c>
      <c r="F914" s="372" t="str">
        <f>CS_PID!F914/VLOOKUP($B914,표2[#ALL],2)</f>
        <v>#N/A</v>
      </c>
      <c r="G914" s="372" t="str">
        <f>CS_PID!G914/VLOOKUP($B914,표2[#ALL],2)</f>
        <v>#N/A</v>
      </c>
      <c r="H914" s="372" t="str">
        <f>CS_PID!H914/VLOOKUP($B914,표2[#ALL],2)/HLOOKUP($A914,표1[#ALL],row(),false)</f>
        <v>#N/A</v>
      </c>
      <c r="I914" s="372" t="str">
        <f>CS_PID!I914/VLOOKUP($B914,표2[#ALL],2)/HLOOKUP($A914,표1[#ALL],row(),false)</f>
        <v>#N/A</v>
      </c>
      <c r="J914" s="372" t="str">
        <f>CS_PID!J914/VLOOKUP($B914,표2[#ALL],2)/HLOOKUP($A914,표1[#ALL],row(),false)</f>
        <v>#N/A</v>
      </c>
      <c r="K914" s="372" t="str">
        <f>CS_PID!K914/VLOOKUP($B914,표2[#ALL],2)/HLOOKUP($A914,표1[#ALL],row(),false)</f>
        <v>#N/A</v>
      </c>
      <c r="L914" s="372" t="str">
        <f>CS_PID!L914/VLOOKUP($B914,표2[#ALL],2)/HLOOKUP($A914,표1[#ALL],row(),false)</f>
        <v>#N/A</v>
      </c>
      <c r="M914" s="372" t="str">
        <f>CS_PID!M914/VLOOKUP($B914,표2[#ALL],2)/HLOOKUP($A914,표1[#ALL],row(),false)</f>
        <v>#N/A</v>
      </c>
      <c r="N914" s="372" t="str">
        <f>CS_PID!N914/VLOOKUP($B914,표2[#ALL],2)/HLOOKUP($A914,표1[#ALL],row(),false)</f>
        <v>#N/A</v>
      </c>
      <c r="O914" s="372" t="str">
        <f>CS_PID!O914/VLOOKUP($B914,표2[#ALL],2)/HLOOKUP($A914,표1[#ALL],row(),false)</f>
        <v>#N/A</v>
      </c>
      <c r="P914" s="372" t="str">
        <f>CS_PID!P914/VLOOKUP($B914,표2[#ALL],2)/HLOOKUP($A914,표1[#ALL],row(),false)</f>
        <v>#N/A</v>
      </c>
      <c r="Q914" s="372" t="str">
        <f>CS_PID!Q914/VLOOKUP($B914,표2[#ALL],2)/HLOOKUP($A914,표1[#ALL],row(),false)</f>
        <v>#N/A</v>
      </c>
      <c r="R914" s="372" t="str">
        <f>CS_PID!R914/VLOOKUP($B914,표2[#ALL],2)/HLOOKUP($A914,표1[#ALL],row(),false)</f>
        <v>#N/A</v>
      </c>
      <c r="S914" s="372" t="str">
        <f>CS_PID!S914/VLOOKUP($B914,표2[#ALL],2)/HLOOKUP($A914,표1[#ALL],row(),false)</f>
        <v>#N/A</v>
      </c>
      <c r="T914" s="372" t="str">
        <f>CS_PID!T914/VLOOKUP($B914,표2[#ALL],2)/HLOOKUP($A914,표1[#ALL],row(),false)</f>
        <v>#N/A</v>
      </c>
      <c r="U914" s="372" t="str">
        <f>CS_PID!U914/VLOOKUP($B914,표2[#ALL],2)/HLOOKUP($A914,표1[#ALL],row(),false)</f>
        <v>#N/A</v>
      </c>
      <c r="V914" s="372" t="str">
        <f>CS_PID!V914/VLOOKUP($B914,표2[#ALL],2)/HLOOKUP($A914,표1[#ALL],row(),false)</f>
        <v>#N/A</v>
      </c>
      <c r="W914" s="372" t="str">
        <f>CS_PID!W914/VLOOKUP($B914,표2[#ALL],2)/HLOOKUP($A914,표1[#ALL],row(),false)</f>
        <v>#N/A</v>
      </c>
      <c r="X914" s="372" t="str">
        <f>CS_PID!X914/VLOOKUP($B914,표2[#ALL],2)/HLOOKUP($A914,표1[#ALL],row(),false)</f>
        <v>#N/A</v>
      </c>
      <c r="Y914" s="372" t="str">
        <f>CS_PID!Y914/VLOOKUP($B914,표2[#ALL],2)/HLOOKUP($A914,표1[#ALL],row(),false)</f>
        <v>#N/A</v>
      </c>
      <c r="Z914" s="372" t="str">
        <f>CS_PID!Z914/VLOOKUP($B914,표2[#ALL],2)/HLOOKUP($A914,표1[#ALL],row(),false)</f>
        <v>#N/A</v>
      </c>
      <c r="AA914" s="372" t="str">
        <f>CS_PID!AA914/VLOOKUP($B914,표2[#ALL],2)/HLOOKUP($A914,표1[#ALL],row(),false)</f>
        <v>#N/A</v>
      </c>
      <c r="AB914" s="372" t="str">
        <f>CS_PID!AB914/VLOOKUP($B914,표2[#ALL],2)/HLOOKUP($A914,표1[#ALL],row(),false)</f>
        <v>#N/A</v>
      </c>
      <c r="AC914" s="372" t="str">
        <f>CS_PID!AC914/VLOOKUP($B914,표2[#ALL],2)/HLOOKUP($A914,표1[#ALL],row(),false)</f>
        <v>#N/A</v>
      </c>
      <c r="AD914" s="372" t="str">
        <f>CS_PID!AD914/VLOOKUP($B914,표2[#ALL],2)/HLOOKUP($A914,표1[#ALL],row(),false)</f>
        <v>#N/A</v>
      </c>
      <c r="AE914" s="372" t="str">
        <f>CS_PID!AE914/VLOOKUP($B914,표2[#ALL],2)/HLOOKUP($A914,표1[#ALL],row(),false)</f>
        <v>#N/A</v>
      </c>
      <c r="AF914" s="372" t="str">
        <f>CS_PID!AF914/VLOOKUP($B914,표2[#ALL],2)/HLOOKUP($A914,표1[#ALL],row(),false)</f>
        <v>#N/A</v>
      </c>
      <c r="AG914" s="372" t="str">
        <f>CS_PID!AG914/VLOOKUP($B914,표2[#ALL],2)/HLOOKUP($A914,표1[#ALL],row(),false)</f>
        <v>#N/A</v>
      </c>
      <c r="AH914" s="372" t="str">
        <f>CS_PID!AH914/VLOOKUP($B914,표2[#ALL],2)/HLOOKUP($A914,표1[#ALL],row(),false)</f>
        <v>#N/A</v>
      </c>
      <c r="AI914" s="372" t="str">
        <f>CS_PID!AI914/VLOOKUP($B914,표2[#ALL],2)/HLOOKUP($A914,표1[#ALL],row(),false)</f>
        <v>#N/A</v>
      </c>
      <c r="AJ914" s="372" t="str">
        <f>CS_PID!AJ914/VLOOKUP($B914,표2[#ALL],2)/HLOOKUP($A914,표1[#ALL],row(),false)</f>
        <v>#N/A</v>
      </c>
      <c r="AK914" s="372" t="str">
        <f>CS_PID!AK914/VLOOKUP($B914,표2[#ALL],2)/HLOOKUP($A914,표1[#ALL],row(),false)</f>
        <v>#N/A</v>
      </c>
      <c r="AL914" s="372" t="str">
        <f>CS_PID!AL914/VLOOKUP($B914,표2[#ALL],2)/HLOOKUP($A914,표1[#ALL],row(),false)</f>
        <v>#N/A</v>
      </c>
      <c r="AM914" s="372" t="str">
        <f>CS_PID!AM914/VLOOKUP($B914,표2[#ALL],2)/HLOOKUP($A914,표1[#ALL],row(),false)</f>
        <v>#N/A</v>
      </c>
      <c r="AN914" s="372" t="str">
        <f>CS_PID!AN914/VLOOKUP($B914,표2[#ALL],2)/HLOOKUP($A914,표1[#ALL],row(),false)</f>
        <v>#N/A</v>
      </c>
      <c r="AO914" s="372" t="str">
        <f>CS_PID!AO914/VLOOKUP($B914,표2[#ALL],2)/HLOOKUP($A914,표1[#ALL],row(),false)</f>
        <v>#N/A</v>
      </c>
      <c r="AP914" s="372" t="str">
        <f>CS_PID!AP914/VLOOKUP($B914,표2[#ALL],2)/HLOOKUP($A914,표1[#ALL],row(),false)</f>
        <v>#N/A</v>
      </c>
      <c r="AQ914" s="372" t="str">
        <f>CS_PID!AQ914/VLOOKUP($B914,표2[#ALL],2)/HLOOKUP($A914,표1[#ALL],row(),false)</f>
        <v>#N/A</v>
      </c>
      <c r="AR914" s="372" t="str">
        <f>CS_PID!AR914/VLOOKUP($B914,표2[#ALL],2)/HLOOKUP($A914,표1[#ALL],row(),false)</f>
        <v>#N/A</v>
      </c>
      <c r="AS914" s="373" t="str">
        <f>CS_PID!AS914/VLOOKUP($B914,표2[#ALL],2)/HLOOKUP($A914,표1[#ALL],row(),false)</f>
        <v>#N/A</v>
      </c>
    </row>
    <row r="915">
      <c r="A915" s="374"/>
      <c r="B915" s="375"/>
      <c r="C915" s="376" t="str">
        <f>CS_PID!C915/VLOOKUP($B915,표2[#ALL],2)</f>
        <v>#N/A</v>
      </c>
      <c r="D915" s="376" t="str">
        <f>CS_PID!D915/VLOOKUP($B915,표2[#ALL],2)</f>
        <v>#N/A</v>
      </c>
      <c r="E915" s="376" t="str">
        <f>CS_PID!E915/VLOOKUP($B915,표2[#ALL],2)</f>
        <v>#N/A</v>
      </c>
      <c r="F915" s="376" t="str">
        <f>CS_PID!F915/VLOOKUP($B915,표2[#ALL],2)</f>
        <v>#N/A</v>
      </c>
      <c r="G915" s="376" t="str">
        <f>CS_PID!G915/VLOOKUP($B915,표2[#ALL],2)</f>
        <v>#N/A</v>
      </c>
      <c r="H915" s="376" t="str">
        <f>CS_PID!H915/VLOOKUP($B915,표2[#ALL],2)/HLOOKUP($A915,표1[#ALL],row(),false)</f>
        <v>#N/A</v>
      </c>
      <c r="I915" s="376" t="str">
        <f>CS_PID!I915/VLOOKUP($B915,표2[#ALL],2)/HLOOKUP($A915,표1[#ALL],row(),false)</f>
        <v>#N/A</v>
      </c>
      <c r="J915" s="376" t="str">
        <f>CS_PID!J915/VLOOKUP($B915,표2[#ALL],2)/HLOOKUP($A915,표1[#ALL],row(),false)</f>
        <v>#N/A</v>
      </c>
      <c r="K915" s="376" t="str">
        <f>CS_PID!K915/VLOOKUP($B915,표2[#ALL],2)/HLOOKUP($A915,표1[#ALL],row(),false)</f>
        <v>#N/A</v>
      </c>
      <c r="L915" s="376" t="str">
        <f>CS_PID!L915/VLOOKUP($B915,표2[#ALL],2)/HLOOKUP($A915,표1[#ALL],row(),false)</f>
        <v>#N/A</v>
      </c>
      <c r="M915" s="376" t="str">
        <f>CS_PID!M915/VLOOKUP($B915,표2[#ALL],2)/HLOOKUP($A915,표1[#ALL],row(),false)</f>
        <v>#N/A</v>
      </c>
      <c r="N915" s="376" t="str">
        <f>CS_PID!N915/VLOOKUP($B915,표2[#ALL],2)/HLOOKUP($A915,표1[#ALL],row(),false)</f>
        <v>#N/A</v>
      </c>
      <c r="O915" s="376" t="str">
        <f>CS_PID!O915/VLOOKUP($B915,표2[#ALL],2)/HLOOKUP($A915,표1[#ALL],row(),false)</f>
        <v>#N/A</v>
      </c>
      <c r="P915" s="376" t="str">
        <f>CS_PID!P915/VLOOKUP($B915,표2[#ALL],2)/HLOOKUP($A915,표1[#ALL],row(),false)</f>
        <v>#N/A</v>
      </c>
      <c r="Q915" s="376" t="str">
        <f>CS_PID!Q915/VLOOKUP($B915,표2[#ALL],2)/HLOOKUP($A915,표1[#ALL],row(),false)</f>
        <v>#N/A</v>
      </c>
      <c r="R915" s="376" t="str">
        <f>CS_PID!R915/VLOOKUP($B915,표2[#ALL],2)/HLOOKUP($A915,표1[#ALL],row(),false)</f>
        <v>#N/A</v>
      </c>
      <c r="S915" s="376" t="str">
        <f>CS_PID!S915/VLOOKUP($B915,표2[#ALL],2)/HLOOKUP($A915,표1[#ALL],row(),false)</f>
        <v>#N/A</v>
      </c>
      <c r="T915" s="376" t="str">
        <f>CS_PID!T915/VLOOKUP($B915,표2[#ALL],2)/HLOOKUP($A915,표1[#ALL],row(),false)</f>
        <v>#N/A</v>
      </c>
      <c r="U915" s="376" t="str">
        <f>CS_PID!U915/VLOOKUP($B915,표2[#ALL],2)/HLOOKUP($A915,표1[#ALL],row(),false)</f>
        <v>#N/A</v>
      </c>
      <c r="V915" s="376" t="str">
        <f>CS_PID!V915/VLOOKUP($B915,표2[#ALL],2)/HLOOKUP($A915,표1[#ALL],row(),false)</f>
        <v>#N/A</v>
      </c>
      <c r="W915" s="376" t="str">
        <f>CS_PID!W915/VLOOKUP($B915,표2[#ALL],2)/HLOOKUP($A915,표1[#ALL],row(),false)</f>
        <v>#N/A</v>
      </c>
      <c r="X915" s="376" t="str">
        <f>CS_PID!X915/VLOOKUP($B915,표2[#ALL],2)/HLOOKUP($A915,표1[#ALL],row(),false)</f>
        <v>#N/A</v>
      </c>
      <c r="Y915" s="376" t="str">
        <f>CS_PID!Y915/VLOOKUP($B915,표2[#ALL],2)/HLOOKUP($A915,표1[#ALL],row(),false)</f>
        <v>#N/A</v>
      </c>
      <c r="Z915" s="376" t="str">
        <f>CS_PID!Z915/VLOOKUP($B915,표2[#ALL],2)/HLOOKUP($A915,표1[#ALL],row(),false)</f>
        <v>#N/A</v>
      </c>
      <c r="AA915" s="376" t="str">
        <f>CS_PID!AA915/VLOOKUP($B915,표2[#ALL],2)/HLOOKUP($A915,표1[#ALL],row(),false)</f>
        <v>#N/A</v>
      </c>
      <c r="AB915" s="376" t="str">
        <f>CS_PID!AB915/VLOOKUP($B915,표2[#ALL],2)/HLOOKUP($A915,표1[#ALL],row(),false)</f>
        <v>#N/A</v>
      </c>
      <c r="AC915" s="376" t="str">
        <f>CS_PID!AC915/VLOOKUP($B915,표2[#ALL],2)/HLOOKUP($A915,표1[#ALL],row(),false)</f>
        <v>#N/A</v>
      </c>
      <c r="AD915" s="376" t="str">
        <f>CS_PID!AD915/VLOOKUP($B915,표2[#ALL],2)/HLOOKUP($A915,표1[#ALL],row(),false)</f>
        <v>#N/A</v>
      </c>
      <c r="AE915" s="376" t="str">
        <f>CS_PID!AE915/VLOOKUP($B915,표2[#ALL],2)/HLOOKUP($A915,표1[#ALL],row(),false)</f>
        <v>#N/A</v>
      </c>
      <c r="AF915" s="376" t="str">
        <f>CS_PID!AF915/VLOOKUP($B915,표2[#ALL],2)/HLOOKUP($A915,표1[#ALL],row(),false)</f>
        <v>#N/A</v>
      </c>
      <c r="AG915" s="376" t="str">
        <f>CS_PID!AG915/VLOOKUP($B915,표2[#ALL],2)/HLOOKUP($A915,표1[#ALL],row(),false)</f>
        <v>#N/A</v>
      </c>
      <c r="AH915" s="376" t="str">
        <f>CS_PID!AH915/VLOOKUP($B915,표2[#ALL],2)/HLOOKUP($A915,표1[#ALL],row(),false)</f>
        <v>#N/A</v>
      </c>
      <c r="AI915" s="376" t="str">
        <f>CS_PID!AI915/VLOOKUP($B915,표2[#ALL],2)/HLOOKUP($A915,표1[#ALL],row(),false)</f>
        <v>#N/A</v>
      </c>
      <c r="AJ915" s="376" t="str">
        <f>CS_PID!AJ915/VLOOKUP($B915,표2[#ALL],2)/HLOOKUP($A915,표1[#ALL],row(),false)</f>
        <v>#N/A</v>
      </c>
      <c r="AK915" s="376" t="str">
        <f>CS_PID!AK915/VLOOKUP($B915,표2[#ALL],2)/HLOOKUP($A915,표1[#ALL],row(),false)</f>
        <v>#N/A</v>
      </c>
      <c r="AL915" s="376" t="str">
        <f>CS_PID!AL915/VLOOKUP($B915,표2[#ALL],2)/HLOOKUP($A915,표1[#ALL],row(),false)</f>
        <v>#N/A</v>
      </c>
      <c r="AM915" s="376" t="str">
        <f>CS_PID!AM915/VLOOKUP($B915,표2[#ALL],2)/HLOOKUP($A915,표1[#ALL],row(),false)</f>
        <v>#N/A</v>
      </c>
      <c r="AN915" s="376" t="str">
        <f>CS_PID!AN915/VLOOKUP($B915,표2[#ALL],2)/HLOOKUP($A915,표1[#ALL],row(),false)</f>
        <v>#N/A</v>
      </c>
      <c r="AO915" s="376" t="str">
        <f>CS_PID!AO915/VLOOKUP($B915,표2[#ALL],2)/HLOOKUP($A915,표1[#ALL],row(),false)</f>
        <v>#N/A</v>
      </c>
      <c r="AP915" s="376" t="str">
        <f>CS_PID!AP915/VLOOKUP($B915,표2[#ALL],2)/HLOOKUP($A915,표1[#ALL],row(),false)</f>
        <v>#N/A</v>
      </c>
      <c r="AQ915" s="376" t="str">
        <f>CS_PID!AQ915/VLOOKUP($B915,표2[#ALL],2)/HLOOKUP($A915,표1[#ALL],row(),false)</f>
        <v>#N/A</v>
      </c>
      <c r="AR915" s="376" t="str">
        <f>CS_PID!AR915/VLOOKUP($B915,표2[#ALL],2)/HLOOKUP($A915,표1[#ALL],row(),false)</f>
        <v>#N/A</v>
      </c>
      <c r="AS915" s="377" t="str">
        <f>CS_PID!AS915/VLOOKUP($B915,표2[#ALL],2)/HLOOKUP($A915,표1[#ALL],row(),false)</f>
        <v>#N/A</v>
      </c>
    </row>
    <row r="916">
      <c r="A916" s="370"/>
      <c r="B916" s="371"/>
      <c r="C916" s="372" t="str">
        <f>CS_PID!C916/VLOOKUP($B916,표2[#ALL],2)</f>
        <v>#N/A</v>
      </c>
      <c r="D916" s="372" t="str">
        <f>CS_PID!D916/VLOOKUP($B916,표2[#ALL],2)</f>
        <v>#N/A</v>
      </c>
      <c r="E916" s="372" t="str">
        <f>CS_PID!E916/VLOOKUP($B916,표2[#ALL],2)</f>
        <v>#N/A</v>
      </c>
      <c r="F916" s="372" t="str">
        <f>CS_PID!F916/VLOOKUP($B916,표2[#ALL],2)</f>
        <v>#N/A</v>
      </c>
      <c r="G916" s="372" t="str">
        <f>CS_PID!G916/VLOOKUP($B916,표2[#ALL],2)</f>
        <v>#N/A</v>
      </c>
      <c r="H916" s="372" t="str">
        <f>CS_PID!H916/VLOOKUP($B916,표2[#ALL],2)/HLOOKUP($A916,표1[#ALL],row(),false)</f>
        <v>#N/A</v>
      </c>
      <c r="I916" s="372" t="str">
        <f>CS_PID!I916/VLOOKUP($B916,표2[#ALL],2)/HLOOKUP($A916,표1[#ALL],row(),false)</f>
        <v>#N/A</v>
      </c>
      <c r="J916" s="372" t="str">
        <f>CS_PID!J916/VLOOKUP($B916,표2[#ALL],2)/HLOOKUP($A916,표1[#ALL],row(),false)</f>
        <v>#N/A</v>
      </c>
      <c r="K916" s="372" t="str">
        <f>CS_PID!K916/VLOOKUP($B916,표2[#ALL],2)/HLOOKUP($A916,표1[#ALL],row(),false)</f>
        <v>#N/A</v>
      </c>
      <c r="L916" s="372" t="str">
        <f>CS_PID!L916/VLOOKUP($B916,표2[#ALL],2)/HLOOKUP($A916,표1[#ALL],row(),false)</f>
        <v>#N/A</v>
      </c>
      <c r="M916" s="372" t="str">
        <f>CS_PID!M916/VLOOKUP($B916,표2[#ALL],2)/HLOOKUP($A916,표1[#ALL],row(),false)</f>
        <v>#N/A</v>
      </c>
      <c r="N916" s="372" t="str">
        <f>CS_PID!N916/VLOOKUP($B916,표2[#ALL],2)/HLOOKUP($A916,표1[#ALL],row(),false)</f>
        <v>#N/A</v>
      </c>
      <c r="O916" s="372" t="str">
        <f>CS_PID!O916/VLOOKUP($B916,표2[#ALL],2)/HLOOKUP($A916,표1[#ALL],row(),false)</f>
        <v>#N/A</v>
      </c>
      <c r="P916" s="372" t="str">
        <f>CS_PID!P916/VLOOKUP($B916,표2[#ALL],2)/HLOOKUP($A916,표1[#ALL],row(),false)</f>
        <v>#N/A</v>
      </c>
      <c r="Q916" s="372" t="str">
        <f>CS_PID!Q916/VLOOKUP($B916,표2[#ALL],2)/HLOOKUP($A916,표1[#ALL],row(),false)</f>
        <v>#N/A</v>
      </c>
      <c r="R916" s="372" t="str">
        <f>CS_PID!R916/VLOOKUP($B916,표2[#ALL],2)/HLOOKUP($A916,표1[#ALL],row(),false)</f>
        <v>#N/A</v>
      </c>
      <c r="S916" s="372" t="str">
        <f>CS_PID!S916/VLOOKUP($B916,표2[#ALL],2)/HLOOKUP($A916,표1[#ALL],row(),false)</f>
        <v>#N/A</v>
      </c>
      <c r="T916" s="372" t="str">
        <f>CS_PID!T916/VLOOKUP($B916,표2[#ALL],2)/HLOOKUP($A916,표1[#ALL],row(),false)</f>
        <v>#N/A</v>
      </c>
      <c r="U916" s="372" t="str">
        <f>CS_PID!U916/VLOOKUP($B916,표2[#ALL],2)/HLOOKUP($A916,표1[#ALL],row(),false)</f>
        <v>#N/A</v>
      </c>
      <c r="V916" s="372" t="str">
        <f>CS_PID!V916/VLOOKUP($B916,표2[#ALL],2)/HLOOKUP($A916,표1[#ALL],row(),false)</f>
        <v>#N/A</v>
      </c>
      <c r="W916" s="372" t="str">
        <f>CS_PID!W916/VLOOKUP($B916,표2[#ALL],2)/HLOOKUP($A916,표1[#ALL],row(),false)</f>
        <v>#N/A</v>
      </c>
      <c r="X916" s="372" t="str">
        <f>CS_PID!X916/VLOOKUP($B916,표2[#ALL],2)/HLOOKUP($A916,표1[#ALL],row(),false)</f>
        <v>#N/A</v>
      </c>
      <c r="Y916" s="372" t="str">
        <f>CS_PID!Y916/VLOOKUP($B916,표2[#ALL],2)/HLOOKUP($A916,표1[#ALL],row(),false)</f>
        <v>#N/A</v>
      </c>
      <c r="Z916" s="372" t="str">
        <f>CS_PID!Z916/VLOOKUP($B916,표2[#ALL],2)/HLOOKUP($A916,표1[#ALL],row(),false)</f>
        <v>#N/A</v>
      </c>
      <c r="AA916" s="372" t="str">
        <f>CS_PID!AA916/VLOOKUP($B916,표2[#ALL],2)/HLOOKUP($A916,표1[#ALL],row(),false)</f>
        <v>#N/A</v>
      </c>
      <c r="AB916" s="372" t="str">
        <f>CS_PID!AB916/VLOOKUP($B916,표2[#ALL],2)/HLOOKUP($A916,표1[#ALL],row(),false)</f>
        <v>#N/A</v>
      </c>
      <c r="AC916" s="372" t="str">
        <f>CS_PID!AC916/VLOOKUP($B916,표2[#ALL],2)/HLOOKUP($A916,표1[#ALL],row(),false)</f>
        <v>#N/A</v>
      </c>
      <c r="AD916" s="372" t="str">
        <f>CS_PID!AD916/VLOOKUP($B916,표2[#ALL],2)/HLOOKUP($A916,표1[#ALL],row(),false)</f>
        <v>#N/A</v>
      </c>
      <c r="AE916" s="372" t="str">
        <f>CS_PID!AE916/VLOOKUP($B916,표2[#ALL],2)/HLOOKUP($A916,표1[#ALL],row(),false)</f>
        <v>#N/A</v>
      </c>
      <c r="AF916" s="372" t="str">
        <f>CS_PID!AF916/VLOOKUP($B916,표2[#ALL],2)/HLOOKUP($A916,표1[#ALL],row(),false)</f>
        <v>#N/A</v>
      </c>
      <c r="AG916" s="372" t="str">
        <f>CS_PID!AG916/VLOOKUP($B916,표2[#ALL],2)/HLOOKUP($A916,표1[#ALL],row(),false)</f>
        <v>#N/A</v>
      </c>
      <c r="AH916" s="372" t="str">
        <f>CS_PID!AH916/VLOOKUP($B916,표2[#ALL],2)/HLOOKUP($A916,표1[#ALL],row(),false)</f>
        <v>#N/A</v>
      </c>
      <c r="AI916" s="372" t="str">
        <f>CS_PID!AI916/VLOOKUP($B916,표2[#ALL],2)/HLOOKUP($A916,표1[#ALL],row(),false)</f>
        <v>#N/A</v>
      </c>
      <c r="AJ916" s="372" t="str">
        <f>CS_PID!AJ916/VLOOKUP($B916,표2[#ALL],2)/HLOOKUP($A916,표1[#ALL],row(),false)</f>
        <v>#N/A</v>
      </c>
      <c r="AK916" s="372" t="str">
        <f>CS_PID!AK916/VLOOKUP($B916,표2[#ALL],2)/HLOOKUP($A916,표1[#ALL],row(),false)</f>
        <v>#N/A</v>
      </c>
      <c r="AL916" s="372" t="str">
        <f>CS_PID!AL916/VLOOKUP($B916,표2[#ALL],2)/HLOOKUP($A916,표1[#ALL],row(),false)</f>
        <v>#N/A</v>
      </c>
      <c r="AM916" s="372" t="str">
        <f>CS_PID!AM916/VLOOKUP($B916,표2[#ALL],2)/HLOOKUP($A916,표1[#ALL],row(),false)</f>
        <v>#N/A</v>
      </c>
      <c r="AN916" s="372" t="str">
        <f>CS_PID!AN916/VLOOKUP($B916,표2[#ALL],2)/HLOOKUP($A916,표1[#ALL],row(),false)</f>
        <v>#N/A</v>
      </c>
      <c r="AO916" s="372" t="str">
        <f>CS_PID!AO916/VLOOKUP($B916,표2[#ALL],2)/HLOOKUP($A916,표1[#ALL],row(),false)</f>
        <v>#N/A</v>
      </c>
      <c r="AP916" s="372" t="str">
        <f>CS_PID!AP916/VLOOKUP($B916,표2[#ALL],2)/HLOOKUP($A916,표1[#ALL],row(),false)</f>
        <v>#N/A</v>
      </c>
      <c r="AQ916" s="372" t="str">
        <f>CS_PID!AQ916/VLOOKUP($B916,표2[#ALL],2)/HLOOKUP($A916,표1[#ALL],row(),false)</f>
        <v>#N/A</v>
      </c>
      <c r="AR916" s="372" t="str">
        <f>CS_PID!AR916/VLOOKUP($B916,표2[#ALL],2)/HLOOKUP($A916,표1[#ALL],row(),false)</f>
        <v>#N/A</v>
      </c>
      <c r="AS916" s="373" t="str">
        <f>CS_PID!AS916/VLOOKUP($B916,표2[#ALL],2)/HLOOKUP($A916,표1[#ALL],row(),false)</f>
        <v>#N/A</v>
      </c>
    </row>
    <row r="917">
      <c r="A917" s="374"/>
      <c r="B917" s="375"/>
      <c r="C917" s="376" t="str">
        <f>CS_PID!C917/VLOOKUP($B917,표2[#ALL],2)</f>
        <v>#N/A</v>
      </c>
      <c r="D917" s="376" t="str">
        <f>CS_PID!D917/VLOOKUP($B917,표2[#ALL],2)</f>
        <v>#N/A</v>
      </c>
      <c r="E917" s="376" t="str">
        <f>CS_PID!E917/VLOOKUP($B917,표2[#ALL],2)</f>
        <v>#N/A</v>
      </c>
      <c r="F917" s="376" t="str">
        <f>CS_PID!F917/VLOOKUP($B917,표2[#ALL],2)</f>
        <v>#N/A</v>
      </c>
      <c r="G917" s="376" t="str">
        <f>CS_PID!G917/VLOOKUP($B917,표2[#ALL],2)</f>
        <v>#N/A</v>
      </c>
      <c r="H917" s="376" t="str">
        <f>CS_PID!H917/VLOOKUP($B917,표2[#ALL],2)/HLOOKUP($A917,표1[#ALL],row(),false)</f>
        <v>#N/A</v>
      </c>
      <c r="I917" s="376" t="str">
        <f>CS_PID!I917/VLOOKUP($B917,표2[#ALL],2)/HLOOKUP($A917,표1[#ALL],row(),false)</f>
        <v>#N/A</v>
      </c>
      <c r="J917" s="376" t="str">
        <f>CS_PID!J917/VLOOKUP($B917,표2[#ALL],2)/HLOOKUP($A917,표1[#ALL],row(),false)</f>
        <v>#N/A</v>
      </c>
      <c r="K917" s="376" t="str">
        <f>CS_PID!K917/VLOOKUP($B917,표2[#ALL],2)/HLOOKUP($A917,표1[#ALL],row(),false)</f>
        <v>#N/A</v>
      </c>
      <c r="L917" s="376" t="str">
        <f>CS_PID!L917/VLOOKUP($B917,표2[#ALL],2)/HLOOKUP($A917,표1[#ALL],row(),false)</f>
        <v>#N/A</v>
      </c>
      <c r="M917" s="376" t="str">
        <f>CS_PID!M917/VLOOKUP($B917,표2[#ALL],2)/HLOOKUP($A917,표1[#ALL],row(),false)</f>
        <v>#N/A</v>
      </c>
      <c r="N917" s="376" t="str">
        <f>CS_PID!N917/VLOOKUP($B917,표2[#ALL],2)/HLOOKUP($A917,표1[#ALL],row(),false)</f>
        <v>#N/A</v>
      </c>
      <c r="O917" s="376" t="str">
        <f>CS_PID!O917/VLOOKUP($B917,표2[#ALL],2)/HLOOKUP($A917,표1[#ALL],row(),false)</f>
        <v>#N/A</v>
      </c>
      <c r="P917" s="376" t="str">
        <f>CS_PID!P917/VLOOKUP($B917,표2[#ALL],2)/HLOOKUP($A917,표1[#ALL],row(),false)</f>
        <v>#N/A</v>
      </c>
      <c r="Q917" s="376" t="str">
        <f>CS_PID!Q917/VLOOKUP($B917,표2[#ALL],2)/HLOOKUP($A917,표1[#ALL],row(),false)</f>
        <v>#N/A</v>
      </c>
      <c r="R917" s="376" t="str">
        <f>CS_PID!R917/VLOOKUP($B917,표2[#ALL],2)/HLOOKUP($A917,표1[#ALL],row(),false)</f>
        <v>#N/A</v>
      </c>
      <c r="S917" s="376" t="str">
        <f>CS_PID!S917/VLOOKUP($B917,표2[#ALL],2)/HLOOKUP($A917,표1[#ALL],row(),false)</f>
        <v>#N/A</v>
      </c>
      <c r="T917" s="376" t="str">
        <f>CS_PID!T917/VLOOKUP($B917,표2[#ALL],2)/HLOOKUP($A917,표1[#ALL],row(),false)</f>
        <v>#N/A</v>
      </c>
      <c r="U917" s="376" t="str">
        <f>CS_PID!U917/VLOOKUP($B917,표2[#ALL],2)/HLOOKUP($A917,표1[#ALL],row(),false)</f>
        <v>#N/A</v>
      </c>
      <c r="V917" s="376" t="str">
        <f>CS_PID!V917/VLOOKUP($B917,표2[#ALL],2)/HLOOKUP($A917,표1[#ALL],row(),false)</f>
        <v>#N/A</v>
      </c>
      <c r="W917" s="376" t="str">
        <f>CS_PID!W917/VLOOKUP($B917,표2[#ALL],2)/HLOOKUP($A917,표1[#ALL],row(),false)</f>
        <v>#N/A</v>
      </c>
      <c r="X917" s="376" t="str">
        <f>CS_PID!X917/VLOOKUP($B917,표2[#ALL],2)/HLOOKUP($A917,표1[#ALL],row(),false)</f>
        <v>#N/A</v>
      </c>
      <c r="Y917" s="376" t="str">
        <f>CS_PID!Y917/VLOOKUP($B917,표2[#ALL],2)/HLOOKUP($A917,표1[#ALL],row(),false)</f>
        <v>#N/A</v>
      </c>
      <c r="Z917" s="376" t="str">
        <f>CS_PID!Z917/VLOOKUP($B917,표2[#ALL],2)/HLOOKUP($A917,표1[#ALL],row(),false)</f>
        <v>#N/A</v>
      </c>
      <c r="AA917" s="376" t="str">
        <f>CS_PID!AA917/VLOOKUP($B917,표2[#ALL],2)/HLOOKUP($A917,표1[#ALL],row(),false)</f>
        <v>#N/A</v>
      </c>
      <c r="AB917" s="376" t="str">
        <f>CS_PID!AB917/VLOOKUP($B917,표2[#ALL],2)/HLOOKUP($A917,표1[#ALL],row(),false)</f>
        <v>#N/A</v>
      </c>
      <c r="AC917" s="376" t="str">
        <f>CS_PID!AC917/VLOOKUP($B917,표2[#ALL],2)/HLOOKUP($A917,표1[#ALL],row(),false)</f>
        <v>#N/A</v>
      </c>
      <c r="AD917" s="376" t="str">
        <f>CS_PID!AD917/VLOOKUP($B917,표2[#ALL],2)/HLOOKUP($A917,표1[#ALL],row(),false)</f>
        <v>#N/A</v>
      </c>
      <c r="AE917" s="376" t="str">
        <f>CS_PID!AE917/VLOOKUP($B917,표2[#ALL],2)/HLOOKUP($A917,표1[#ALL],row(),false)</f>
        <v>#N/A</v>
      </c>
      <c r="AF917" s="376" t="str">
        <f>CS_PID!AF917/VLOOKUP($B917,표2[#ALL],2)/HLOOKUP($A917,표1[#ALL],row(),false)</f>
        <v>#N/A</v>
      </c>
      <c r="AG917" s="376" t="str">
        <f>CS_PID!AG917/VLOOKUP($B917,표2[#ALL],2)/HLOOKUP($A917,표1[#ALL],row(),false)</f>
        <v>#N/A</v>
      </c>
      <c r="AH917" s="376" t="str">
        <f>CS_PID!AH917/VLOOKUP($B917,표2[#ALL],2)/HLOOKUP($A917,표1[#ALL],row(),false)</f>
        <v>#N/A</v>
      </c>
      <c r="AI917" s="376" t="str">
        <f>CS_PID!AI917/VLOOKUP($B917,표2[#ALL],2)/HLOOKUP($A917,표1[#ALL],row(),false)</f>
        <v>#N/A</v>
      </c>
      <c r="AJ917" s="376" t="str">
        <f>CS_PID!AJ917/VLOOKUP($B917,표2[#ALL],2)/HLOOKUP($A917,표1[#ALL],row(),false)</f>
        <v>#N/A</v>
      </c>
      <c r="AK917" s="376" t="str">
        <f>CS_PID!AK917/VLOOKUP($B917,표2[#ALL],2)/HLOOKUP($A917,표1[#ALL],row(),false)</f>
        <v>#N/A</v>
      </c>
      <c r="AL917" s="376" t="str">
        <f>CS_PID!AL917/VLOOKUP($B917,표2[#ALL],2)/HLOOKUP($A917,표1[#ALL],row(),false)</f>
        <v>#N/A</v>
      </c>
      <c r="AM917" s="376" t="str">
        <f>CS_PID!AM917/VLOOKUP($B917,표2[#ALL],2)/HLOOKUP($A917,표1[#ALL],row(),false)</f>
        <v>#N/A</v>
      </c>
      <c r="AN917" s="376" t="str">
        <f>CS_PID!AN917/VLOOKUP($B917,표2[#ALL],2)/HLOOKUP($A917,표1[#ALL],row(),false)</f>
        <v>#N/A</v>
      </c>
      <c r="AO917" s="376" t="str">
        <f>CS_PID!AO917/VLOOKUP($B917,표2[#ALL],2)/HLOOKUP($A917,표1[#ALL],row(),false)</f>
        <v>#N/A</v>
      </c>
      <c r="AP917" s="376" t="str">
        <f>CS_PID!AP917/VLOOKUP($B917,표2[#ALL],2)/HLOOKUP($A917,표1[#ALL],row(),false)</f>
        <v>#N/A</v>
      </c>
      <c r="AQ917" s="376" t="str">
        <f>CS_PID!AQ917/VLOOKUP($B917,표2[#ALL],2)/HLOOKUP($A917,표1[#ALL],row(),false)</f>
        <v>#N/A</v>
      </c>
      <c r="AR917" s="376" t="str">
        <f>CS_PID!AR917/VLOOKUP($B917,표2[#ALL],2)/HLOOKUP($A917,표1[#ALL],row(),false)</f>
        <v>#N/A</v>
      </c>
      <c r="AS917" s="377" t="str">
        <f>CS_PID!AS917/VLOOKUP($B917,표2[#ALL],2)/HLOOKUP($A917,표1[#ALL],row(),false)</f>
        <v>#N/A</v>
      </c>
    </row>
    <row r="918">
      <c r="A918" s="370"/>
      <c r="B918" s="371"/>
      <c r="C918" s="372" t="str">
        <f>CS_PID!C918/VLOOKUP($B918,표2[#ALL],2)</f>
        <v>#N/A</v>
      </c>
      <c r="D918" s="372" t="str">
        <f>CS_PID!D918/VLOOKUP($B918,표2[#ALL],2)</f>
        <v>#N/A</v>
      </c>
      <c r="E918" s="372" t="str">
        <f>CS_PID!E918/VLOOKUP($B918,표2[#ALL],2)</f>
        <v>#N/A</v>
      </c>
      <c r="F918" s="372" t="str">
        <f>CS_PID!F918/VLOOKUP($B918,표2[#ALL],2)</f>
        <v>#N/A</v>
      </c>
      <c r="G918" s="372" t="str">
        <f>CS_PID!G918/VLOOKUP($B918,표2[#ALL],2)</f>
        <v>#N/A</v>
      </c>
      <c r="H918" s="372" t="str">
        <f>CS_PID!H918/VLOOKUP($B918,표2[#ALL],2)/HLOOKUP($A918,표1[#ALL],row(),false)</f>
        <v>#N/A</v>
      </c>
      <c r="I918" s="372" t="str">
        <f>CS_PID!I918/VLOOKUP($B918,표2[#ALL],2)/HLOOKUP($A918,표1[#ALL],row(),false)</f>
        <v>#N/A</v>
      </c>
      <c r="J918" s="372" t="str">
        <f>CS_PID!J918/VLOOKUP($B918,표2[#ALL],2)/HLOOKUP($A918,표1[#ALL],row(),false)</f>
        <v>#N/A</v>
      </c>
      <c r="K918" s="372" t="str">
        <f>CS_PID!K918/VLOOKUP($B918,표2[#ALL],2)/HLOOKUP($A918,표1[#ALL],row(),false)</f>
        <v>#N/A</v>
      </c>
      <c r="L918" s="372" t="str">
        <f>CS_PID!L918/VLOOKUP($B918,표2[#ALL],2)/HLOOKUP($A918,표1[#ALL],row(),false)</f>
        <v>#N/A</v>
      </c>
      <c r="M918" s="372" t="str">
        <f>CS_PID!M918/VLOOKUP($B918,표2[#ALL],2)/HLOOKUP($A918,표1[#ALL],row(),false)</f>
        <v>#N/A</v>
      </c>
      <c r="N918" s="372" t="str">
        <f>CS_PID!N918/VLOOKUP($B918,표2[#ALL],2)/HLOOKUP($A918,표1[#ALL],row(),false)</f>
        <v>#N/A</v>
      </c>
      <c r="O918" s="372" t="str">
        <f>CS_PID!O918/VLOOKUP($B918,표2[#ALL],2)/HLOOKUP($A918,표1[#ALL],row(),false)</f>
        <v>#N/A</v>
      </c>
      <c r="P918" s="372" t="str">
        <f>CS_PID!P918/VLOOKUP($B918,표2[#ALL],2)/HLOOKUP($A918,표1[#ALL],row(),false)</f>
        <v>#N/A</v>
      </c>
      <c r="Q918" s="372" t="str">
        <f>CS_PID!Q918/VLOOKUP($B918,표2[#ALL],2)/HLOOKUP($A918,표1[#ALL],row(),false)</f>
        <v>#N/A</v>
      </c>
      <c r="R918" s="372" t="str">
        <f>CS_PID!R918/VLOOKUP($B918,표2[#ALL],2)/HLOOKUP($A918,표1[#ALL],row(),false)</f>
        <v>#N/A</v>
      </c>
      <c r="S918" s="372" t="str">
        <f>CS_PID!S918/VLOOKUP($B918,표2[#ALL],2)/HLOOKUP($A918,표1[#ALL],row(),false)</f>
        <v>#N/A</v>
      </c>
      <c r="T918" s="372" t="str">
        <f>CS_PID!T918/VLOOKUP($B918,표2[#ALL],2)/HLOOKUP($A918,표1[#ALL],row(),false)</f>
        <v>#N/A</v>
      </c>
      <c r="U918" s="372" t="str">
        <f>CS_PID!U918/VLOOKUP($B918,표2[#ALL],2)/HLOOKUP($A918,표1[#ALL],row(),false)</f>
        <v>#N/A</v>
      </c>
      <c r="V918" s="372" t="str">
        <f>CS_PID!V918/VLOOKUP($B918,표2[#ALL],2)/HLOOKUP($A918,표1[#ALL],row(),false)</f>
        <v>#N/A</v>
      </c>
      <c r="W918" s="372" t="str">
        <f>CS_PID!W918/VLOOKUP($B918,표2[#ALL],2)/HLOOKUP($A918,표1[#ALL],row(),false)</f>
        <v>#N/A</v>
      </c>
      <c r="X918" s="372" t="str">
        <f>CS_PID!X918/VLOOKUP($B918,표2[#ALL],2)/HLOOKUP($A918,표1[#ALL],row(),false)</f>
        <v>#N/A</v>
      </c>
      <c r="Y918" s="372" t="str">
        <f>CS_PID!Y918/VLOOKUP($B918,표2[#ALL],2)/HLOOKUP($A918,표1[#ALL],row(),false)</f>
        <v>#N/A</v>
      </c>
      <c r="Z918" s="372" t="str">
        <f>CS_PID!Z918/VLOOKUP($B918,표2[#ALL],2)/HLOOKUP($A918,표1[#ALL],row(),false)</f>
        <v>#N/A</v>
      </c>
      <c r="AA918" s="372" t="str">
        <f>CS_PID!AA918/VLOOKUP($B918,표2[#ALL],2)/HLOOKUP($A918,표1[#ALL],row(),false)</f>
        <v>#N/A</v>
      </c>
      <c r="AB918" s="372" t="str">
        <f>CS_PID!AB918/VLOOKUP($B918,표2[#ALL],2)/HLOOKUP($A918,표1[#ALL],row(),false)</f>
        <v>#N/A</v>
      </c>
      <c r="AC918" s="372" t="str">
        <f>CS_PID!AC918/VLOOKUP($B918,표2[#ALL],2)/HLOOKUP($A918,표1[#ALL],row(),false)</f>
        <v>#N/A</v>
      </c>
      <c r="AD918" s="372" t="str">
        <f>CS_PID!AD918/VLOOKUP($B918,표2[#ALL],2)/HLOOKUP($A918,표1[#ALL],row(),false)</f>
        <v>#N/A</v>
      </c>
      <c r="AE918" s="372" t="str">
        <f>CS_PID!AE918/VLOOKUP($B918,표2[#ALL],2)/HLOOKUP($A918,표1[#ALL],row(),false)</f>
        <v>#N/A</v>
      </c>
      <c r="AF918" s="372" t="str">
        <f>CS_PID!AF918/VLOOKUP($B918,표2[#ALL],2)/HLOOKUP($A918,표1[#ALL],row(),false)</f>
        <v>#N/A</v>
      </c>
      <c r="AG918" s="372" t="str">
        <f>CS_PID!AG918/VLOOKUP($B918,표2[#ALL],2)/HLOOKUP($A918,표1[#ALL],row(),false)</f>
        <v>#N/A</v>
      </c>
      <c r="AH918" s="372" t="str">
        <f>CS_PID!AH918/VLOOKUP($B918,표2[#ALL],2)/HLOOKUP($A918,표1[#ALL],row(),false)</f>
        <v>#N/A</v>
      </c>
      <c r="AI918" s="372" t="str">
        <f>CS_PID!AI918/VLOOKUP($B918,표2[#ALL],2)/HLOOKUP($A918,표1[#ALL],row(),false)</f>
        <v>#N/A</v>
      </c>
      <c r="AJ918" s="372" t="str">
        <f>CS_PID!AJ918/VLOOKUP($B918,표2[#ALL],2)/HLOOKUP($A918,표1[#ALL],row(),false)</f>
        <v>#N/A</v>
      </c>
      <c r="AK918" s="372" t="str">
        <f>CS_PID!AK918/VLOOKUP($B918,표2[#ALL],2)/HLOOKUP($A918,표1[#ALL],row(),false)</f>
        <v>#N/A</v>
      </c>
      <c r="AL918" s="372" t="str">
        <f>CS_PID!AL918/VLOOKUP($B918,표2[#ALL],2)/HLOOKUP($A918,표1[#ALL],row(),false)</f>
        <v>#N/A</v>
      </c>
      <c r="AM918" s="372" t="str">
        <f>CS_PID!AM918/VLOOKUP($B918,표2[#ALL],2)/HLOOKUP($A918,표1[#ALL],row(),false)</f>
        <v>#N/A</v>
      </c>
      <c r="AN918" s="372" t="str">
        <f>CS_PID!AN918/VLOOKUP($B918,표2[#ALL],2)/HLOOKUP($A918,표1[#ALL],row(),false)</f>
        <v>#N/A</v>
      </c>
      <c r="AO918" s="372" t="str">
        <f>CS_PID!AO918/VLOOKUP($B918,표2[#ALL],2)/HLOOKUP($A918,표1[#ALL],row(),false)</f>
        <v>#N/A</v>
      </c>
      <c r="AP918" s="372" t="str">
        <f>CS_PID!AP918/VLOOKUP($B918,표2[#ALL],2)/HLOOKUP($A918,표1[#ALL],row(),false)</f>
        <v>#N/A</v>
      </c>
      <c r="AQ918" s="372" t="str">
        <f>CS_PID!AQ918/VLOOKUP($B918,표2[#ALL],2)/HLOOKUP($A918,표1[#ALL],row(),false)</f>
        <v>#N/A</v>
      </c>
      <c r="AR918" s="372" t="str">
        <f>CS_PID!AR918/VLOOKUP($B918,표2[#ALL],2)/HLOOKUP($A918,표1[#ALL],row(),false)</f>
        <v>#N/A</v>
      </c>
      <c r="AS918" s="373" t="str">
        <f>CS_PID!AS918/VLOOKUP($B918,표2[#ALL],2)/HLOOKUP($A918,표1[#ALL],row(),false)</f>
        <v>#N/A</v>
      </c>
    </row>
    <row r="919">
      <c r="A919" s="374"/>
      <c r="B919" s="375"/>
      <c r="C919" s="376" t="str">
        <f>CS_PID!C919/VLOOKUP($B919,표2[#ALL],2)</f>
        <v>#N/A</v>
      </c>
      <c r="D919" s="376" t="str">
        <f>CS_PID!D919/VLOOKUP($B919,표2[#ALL],2)</f>
        <v>#N/A</v>
      </c>
      <c r="E919" s="376" t="str">
        <f>CS_PID!E919/VLOOKUP($B919,표2[#ALL],2)</f>
        <v>#N/A</v>
      </c>
      <c r="F919" s="376" t="str">
        <f>CS_PID!F919/VLOOKUP($B919,표2[#ALL],2)</f>
        <v>#N/A</v>
      </c>
      <c r="G919" s="376" t="str">
        <f>CS_PID!G919/VLOOKUP($B919,표2[#ALL],2)</f>
        <v>#N/A</v>
      </c>
      <c r="H919" s="376" t="str">
        <f>CS_PID!H919/VLOOKUP($B919,표2[#ALL],2)/HLOOKUP($A919,표1[#ALL],row(),false)</f>
        <v>#N/A</v>
      </c>
      <c r="I919" s="376" t="str">
        <f>CS_PID!I919/VLOOKUP($B919,표2[#ALL],2)/HLOOKUP($A919,표1[#ALL],row(),false)</f>
        <v>#N/A</v>
      </c>
      <c r="J919" s="376" t="str">
        <f>CS_PID!J919/VLOOKUP($B919,표2[#ALL],2)/HLOOKUP($A919,표1[#ALL],row(),false)</f>
        <v>#N/A</v>
      </c>
      <c r="K919" s="376" t="str">
        <f>CS_PID!K919/VLOOKUP($B919,표2[#ALL],2)/HLOOKUP($A919,표1[#ALL],row(),false)</f>
        <v>#N/A</v>
      </c>
      <c r="L919" s="376" t="str">
        <f>CS_PID!L919/VLOOKUP($B919,표2[#ALL],2)/HLOOKUP($A919,표1[#ALL],row(),false)</f>
        <v>#N/A</v>
      </c>
      <c r="M919" s="376" t="str">
        <f>CS_PID!M919/VLOOKUP($B919,표2[#ALL],2)/HLOOKUP($A919,표1[#ALL],row(),false)</f>
        <v>#N/A</v>
      </c>
      <c r="N919" s="376" t="str">
        <f>CS_PID!N919/VLOOKUP($B919,표2[#ALL],2)/HLOOKUP($A919,표1[#ALL],row(),false)</f>
        <v>#N/A</v>
      </c>
      <c r="O919" s="376" t="str">
        <f>CS_PID!O919/VLOOKUP($B919,표2[#ALL],2)/HLOOKUP($A919,표1[#ALL],row(),false)</f>
        <v>#N/A</v>
      </c>
      <c r="P919" s="376" t="str">
        <f>CS_PID!P919/VLOOKUP($B919,표2[#ALL],2)/HLOOKUP($A919,표1[#ALL],row(),false)</f>
        <v>#N/A</v>
      </c>
      <c r="Q919" s="376" t="str">
        <f>CS_PID!Q919/VLOOKUP($B919,표2[#ALL],2)/HLOOKUP($A919,표1[#ALL],row(),false)</f>
        <v>#N/A</v>
      </c>
      <c r="R919" s="376" t="str">
        <f>CS_PID!R919/VLOOKUP($B919,표2[#ALL],2)/HLOOKUP($A919,표1[#ALL],row(),false)</f>
        <v>#N/A</v>
      </c>
      <c r="S919" s="376" t="str">
        <f>CS_PID!S919/VLOOKUP($B919,표2[#ALL],2)/HLOOKUP($A919,표1[#ALL],row(),false)</f>
        <v>#N/A</v>
      </c>
      <c r="T919" s="376" t="str">
        <f>CS_PID!T919/VLOOKUP($B919,표2[#ALL],2)/HLOOKUP($A919,표1[#ALL],row(),false)</f>
        <v>#N/A</v>
      </c>
      <c r="U919" s="376" t="str">
        <f>CS_PID!U919/VLOOKUP($B919,표2[#ALL],2)/HLOOKUP($A919,표1[#ALL],row(),false)</f>
        <v>#N/A</v>
      </c>
      <c r="V919" s="376" t="str">
        <f>CS_PID!V919/VLOOKUP($B919,표2[#ALL],2)/HLOOKUP($A919,표1[#ALL],row(),false)</f>
        <v>#N/A</v>
      </c>
      <c r="W919" s="376" t="str">
        <f>CS_PID!W919/VLOOKUP($B919,표2[#ALL],2)/HLOOKUP($A919,표1[#ALL],row(),false)</f>
        <v>#N/A</v>
      </c>
      <c r="X919" s="376" t="str">
        <f>CS_PID!X919/VLOOKUP($B919,표2[#ALL],2)/HLOOKUP($A919,표1[#ALL],row(),false)</f>
        <v>#N/A</v>
      </c>
      <c r="Y919" s="376" t="str">
        <f>CS_PID!Y919/VLOOKUP($B919,표2[#ALL],2)/HLOOKUP($A919,표1[#ALL],row(),false)</f>
        <v>#N/A</v>
      </c>
      <c r="Z919" s="376" t="str">
        <f>CS_PID!Z919/VLOOKUP($B919,표2[#ALL],2)/HLOOKUP($A919,표1[#ALL],row(),false)</f>
        <v>#N/A</v>
      </c>
      <c r="AA919" s="376" t="str">
        <f>CS_PID!AA919/VLOOKUP($B919,표2[#ALL],2)/HLOOKUP($A919,표1[#ALL],row(),false)</f>
        <v>#N/A</v>
      </c>
      <c r="AB919" s="376" t="str">
        <f>CS_PID!AB919/VLOOKUP($B919,표2[#ALL],2)/HLOOKUP($A919,표1[#ALL],row(),false)</f>
        <v>#N/A</v>
      </c>
      <c r="AC919" s="376" t="str">
        <f>CS_PID!AC919/VLOOKUP($B919,표2[#ALL],2)/HLOOKUP($A919,표1[#ALL],row(),false)</f>
        <v>#N/A</v>
      </c>
      <c r="AD919" s="376" t="str">
        <f>CS_PID!AD919/VLOOKUP($B919,표2[#ALL],2)/HLOOKUP($A919,표1[#ALL],row(),false)</f>
        <v>#N/A</v>
      </c>
      <c r="AE919" s="376" t="str">
        <f>CS_PID!AE919/VLOOKUP($B919,표2[#ALL],2)/HLOOKUP($A919,표1[#ALL],row(),false)</f>
        <v>#N/A</v>
      </c>
      <c r="AF919" s="376" t="str">
        <f>CS_PID!AF919/VLOOKUP($B919,표2[#ALL],2)/HLOOKUP($A919,표1[#ALL],row(),false)</f>
        <v>#N/A</v>
      </c>
      <c r="AG919" s="376" t="str">
        <f>CS_PID!AG919/VLOOKUP($B919,표2[#ALL],2)/HLOOKUP($A919,표1[#ALL],row(),false)</f>
        <v>#N/A</v>
      </c>
      <c r="AH919" s="376" t="str">
        <f>CS_PID!AH919/VLOOKUP($B919,표2[#ALL],2)/HLOOKUP($A919,표1[#ALL],row(),false)</f>
        <v>#N/A</v>
      </c>
      <c r="AI919" s="376" t="str">
        <f>CS_PID!AI919/VLOOKUP($B919,표2[#ALL],2)/HLOOKUP($A919,표1[#ALL],row(),false)</f>
        <v>#N/A</v>
      </c>
      <c r="AJ919" s="376" t="str">
        <f>CS_PID!AJ919/VLOOKUP($B919,표2[#ALL],2)/HLOOKUP($A919,표1[#ALL],row(),false)</f>
        <v>#N/A</v>
      </c>
      <c r="AK919" s="376" t="str">
        <f>CS_PID!AK919/VLOOKUP($B919,표2[#ALL],2)/HLOOKUP($A919,표1[#ALL],row(),false)</f>
        <v>#N/A</v>
      </c>
      <c r="AL919" s="376" t="str">
        <f>CS_PID!AL919/VLOOKUP($B919,표2[#ALL],2)/HLOOKUP($A919,표1[#ALL],row(),false)</f>
        <v>#N/A</v>
      </c>
      <c r="AM919" s="376" t="str">
        <f>CS_PID!AM919/VLOOKUP($B919,표2[#ALL],2)/HLOOKUP($A919,표1[#ALL],row(),false)</f>
        <v>#N/A</v>
      </c>
      <c r="AN919" s="376" t="str">
        <f>CS_PID!AN919/VLOOKUP($B919,표2[#ALL],2)/HLOOKUP($A919,표1[#ALL],row(),false)</f>
        <v>#N/A</v>
      </c>
      <c r="AO919" s="376" t="str">
        <f>CS_PID!AO919/VLOOKUP($B919,표2[#ALL],2)/HLOOKUP($A919,표1[#ALL],row(),false)</f>
        <v>#N/A</v>
      </c>
      <c r="AP919" s="376" t="str">
        <f>CS_PID!AP919/VLOOKUP($B919,표2[#ALL],2)/HLOOKUP($A919,표1[#ALL],row(),false)</f>
        <v>#N/A</v>
      </c>
      <c r="AQ919" s="376" t="str">
        <f>CS_PID!AQ919/VLOOKUP($B919,표2[#ALL],2)/HLOOKUP($A919,표1[#ALL],row(),false)</f>
        <v>#N/A</v>
      </c>
      <c r="AR919" s="376" t="str">
        <f>CS_PID!AR919/VLOOKUP($B919,표2[#ALL],2)/HLOOKUP($A919,표1[#ALL],row(),false)</f>
        <v>#N/A</v>
      </c>
      <c r="AS919" s="377" t="str">
        <f>CS_PID!AS919/VLOOKUP($B919,표2[#ALL],2)/HLOOKUP($A919,표1[#ALL],row(),false)</f>
        <v>#N/A</v>
      </c>
    </row>
    <row r="920">
      <c r="A920" s="370"/>
      <c r="B920" s="371"/>
      <c r="C920" s="372" t="str">
        <f>CS_PID!C920/VLOOKUP($B920,표2[#ALL],2)</f>
        <v>#N/A</v>
      </c>
      <c r="D920" s="372" t="str">
        <f>CS_PID!D920/VLOOKUP($B920,표2[#ALL],2)</f>
        <v>#N/A</v>
      </c>
      <c r="E920" s="372" t="str">
        <f>CS_PID!E920/VLOOKUP($B920,표2[#ALL],2)</f>
        <v>#N/A</v>
      </c>
      <c r="F920" s="372" t="str">
        <f>CS_PID!F920/VLOOKUP($B920,표2[#ALL],2)</f>
        <v>#N/A</v>
      </c>
      <c r="G920" s="372" t="str">
        <f>CS_PID!G920/VLOOKUP($B920,표2[#ALL],2)</f>
        <v>#N/A</v>
      </c>
      <c r="H920" s="372" t="str">
        <f>CS_PID!H920/VLOOKUP($B920,표2[#ALL],2)/HLOOKUP($A920,표1[#ALL],row(),false)</f>
        <v>#N/A</v>
      </c>
      <c r="I920" s="372" t="str">
        <f>CS_PID!I920/VLOOKUP($B920,표2[#ALL],2)/HLOOKUP($A920,표1[#ALL],row(),false)</f>
        <v>#N/A</v>
      </c>
      <c r="J920" s="372" t="str">
        <f>CS_PID!J920/VLOOKUP($B920,표2[#ALL],2)/HLOOKUP($A920,표1[#ALL],row(),false)</f>
        <v>#N/A</v>
      </c>
      <c r="K920" s="372" t="str">
        <f>CS_PID!K920/VLOOKUP($B920,표2[#ALL],2)/HLOOKUP($A920,표1[#ALL],row(),false)</f>
        <v>#N/A</v>
      </c>
      <c r="L920" s="372" t="str">
        <f>CS_PID!L920/VLOOKUP($B920,표2[#ALL],2)/HLOOKUP($A920,표1[#ALL],row(),false)</f>
        <v>#N/A</v>
      </c>
      <c r="M920" s="372" t="str">
        <f>CS_PID!M920/VLOOKUP($B920,표2[#ALL],2)/HLOOKUP($A920,표1[#ALL],row(),false)</f>
        <v>#N/A</v>
      </c>
      <c r="N920" s="372" t="str">
        <f>CS_PID!N920/VLOOKUP($B920,표2[#ALL],2)/HLOOKUP($A920,표1[#ALL],row(),false)</f>
        <v>#N/A</v>
      </c>
      <c r="O920" s="372" t="str">
        <f>CS_PID!O920/VLOOKUP($B920,표2[#ALL],2)/HLOOKUP($A920,표1[#ALL],row(),false)</f>
        <v>#N/A</v>
      </c>
      <c r="P920" s="372" t="str">
        <f>CS_PID!P920/VLOOKUP($B920,표2[#ALL],2)/HLOOKUP($A920,표1[#ALL],row(),false)</f>
        <v>#N/A</v>
      </c>
      <c r="Q920" s="372" t="str">
        <f>CS_PID!Q920/VLOOKUP($B920,표2[#ALL],2)/HLOOKUP($A920,표1[#ALL],row(),false)</f>
        <v>#N/A</v>
      </c>
      <c r="R920" s="372" t="str">
        <f>CS_PID!R920/VLOOKUP($B920,표2[#ALL],2)/HLOOKUP($A920,표1[#ALL],row(),false)</f>
        <v>#N/A</v>
      </c>
      <c r="S920" s="372" t="str">
        <f>CS_PID!S920/VLOOKUP($B920,표2[#ALL],2)/HLOOKUP($A920,표1[#ALL],row(),false)</f>
        <v>#N/A</v>
      </c>
      <c r="T920" s="372" t="str">
        <f>CS_PID!T920/VLOOKUP($B920,표2[#ALL],2)/HLOOKUP($A920,표1[#ALL],row(),false)</f>
        <v>#N/A</v>
      </c>
      <c r="U920" s="372" t="str">
        <f>CS_PID!U920/VLOOKUP($B920,표2[#ALL],2)/HLOOKUP($A920,표1[#ALL],row(),false)</f>
        <v>#N/A</v>
      </c>
      <c r="V920" s="372" t="str">
        <f>CS_PID!V920/VLOOKUP($B920,표2[#ALL],2)/HLOOKUP($A920,표1[#ALL],row(),false)</f>
        <v>#N/A</v>
      </c>
      <c r="W920" s="372" t="str">
        <f>CS_PID!W920/VLOOKUP($B920,표2[#ALL],2)/HLOOKUP($A920,표1[#ALL],row(),false)</f>
        <v>#N/A</v>
      </c>
      <c r="X920" s="372" t="str">
        <f>CS_PID!X920/VLOOKUP($B920,표2[#ALL],2)/HLOOKUP($A920,표1[#ALL],row(),false)</f>
        <v>#N/A</v>
      </c>
      <c r="Y920" s="372" t="str">
        <f>CS_PID!Y920/VLOOKUP($B920,표2[#ALL],2)/HLOOKUP($A920,표1[#ALL],row(),false)</f>
        <v>#N/A</v>
      </c>
      <c r="Z920" s="372" t="str">
        <f>CS_PID!Z920/VLOOKUP($B920,표2[#ALL],2)/HLOOKUP($A920,표1[#ALL],row(),false)</f>
        <v>#N/A</v>
      </c>
      <c r="AA920" s="372" t="str">
        <f>CS_PID!AA920/VLOOKUP($B920,표2[#ALL],2)/HLOOKUP($A920,표1[#ALL],row(),false)</f>
        <v>#N/A</v>
      </c>
      <c r="AB920" s="372" t="str">
        <f>CS_PID!AB920/VLOOKUP($B920,표2[#ALL],2)/HLOOKUP($A920,표1[#ALL],row(),false)</f>
        <v>#N/A</v>
      </c>
      <c r="AC920" s="372" t="str">
        <f>CS_PID!AC920/VLOOKUP($B920,표2[#ALL],2)/HLOOKUP($A920,표1[#ALL],row(),false)</f>
        <v>#N/A</v>
      </c>
      <c r="AD920" s="372" t="str">
        <f>CS_PID!AD920/VLOOKUP($B920,표2[#ALL],2)/HLOOKUP($A920,표1[#ALL],row(),false)</f>
        <v>#N/A</v>
      </c>
      <c r="AE920" s="372" t="str">
        <f>CS_PID!AE920/VLOOKUP($B920,표2[#ALL],2)/HLOOKUP($A920,표1[#ALL],row(),false)</f>
        <v>#N/A</v>
      </c>
      <c r="AF920" s="372" t="str">
        <f>CS_PID!AF920/VLOOKUP($B920,표2[#ALL],2)/HLOOKUP($A920,표1[#ALL],row(),false)</f>
        <v>#N/A</v>
      </c>
      <c r="AG920" s="372" t="str">
        <f>CS_PID!AG920/VLOOKUP($B920,표2[#ALL],2)/HLOOKUP($A920,표1[#ALL],row(),false)</f>
        <v>#N/A</v>
      </c>
      <c r="AH920" s="372" t="str">
        <f>CS_PID!AH920/VLOOKUP($B920,표2[#ALL],2)/HLOOKUP($A920,표1[#ALL],row(),false)</f>
        <v>#N/A</v>
      </c>
      <c r="AI920" s="372" t="str">
        <f>CS_PID!AI920/VLOOKUP($B920,표2[#ALL],2)/HLOOKUP($A920,표1[#ALL],row(),false)</f>
        <v>#N/A</v>
      </c>
      <c r="AJ920" s="372" t="str">
        <f>CS_PID!AJ920/VLOOKUP($B920,표2[#ALL],2)/HLOOKUP($A920,표1[#ALL],row(),false)</f>
        <v>#N/A</v>
      </c>
      <c r="AK920" s="372" t="str">
        <f>CS_PID!AK920/VLOOKUP($B920,표2[#ALL],2)/HLOOKUP($A920,표1[#ALL],row(),false)</f>
        <v>#N/A</v>
      </c>
      <c r="AL920" s="372" t="str">
        <f>CS_PID!AL920/VLOOKUP($B920,표2[#ALL],2)/HLOOKUP($A920,표1[#ALL],row(),false)</f>
        <v>#N/A</v>
      </c>
      <c r="AM920" s="372" t="str">
        <f>CS_PID!AM920/VLOOKUP($B920,표2[#ALL],2)/HLOOKUP($A920,표1[#ALL],row(),false)</f>
        <v>#N/A</v>
      </c>
      <c r="AN920" s="372" t="str">
        <f>CS_PID!AN920/VLOOKUP($B920,표2[#ALL],2)/HLOOKUP($A920,표1[#ALL],row(),false)</f>
        <v>#N/A</v>
      </c>
      <c r="AO920" s="372" t="str">
        <f>CS_PID!AO920/VLOOKUP($B920,표2[#ALL],2)/HLOOKUP($A920,표1[#ALL],row(),false)</f>
        <v>#N/A</v>
      </c>
      <c r="AP920" s="372" t="str">
        <f>CS_PID!AP920/VLOOKUP($B920,표2[#ALL],2)/HLOOKUP($A920,표1[#ALL],row(),false)</f>
        <v>#N/A</v>
      </c>
      <c r="AQ920" s="372" t="str">
        <f>CS_PID!AQ920/VLOOKUP($B920,표2[#ALL],2)/HLOOKUP($A920,표1[#ALL],row(),false)</f>
        <v>#N/A</v>
      </c>
      <c r="AR920" s="372" t="str">
        <f>CS_PID!AR920/VLOOKUP($B920,표2[#ALL],2)/HLOOKUP($A920,표1[#ALL],row(),false)</f>
        <v>#N/A</v>
      </c>
      <c r="AS920" s="373" t="str">
        <f>CS_PID!AS920/VLOOKUP($B920,표2[#ALL],2)/HLOOKUP($A920,표1[#ALL],row(),false)</f>
        <v>#N/A</v>
      </c>
    </row>
    <row r="921">
      <c r="A921" s="374"/>
      <c r="B921" s="375"/>
      <c r="C921" s="376" t="str">
        <f>CS_PID!C921/VLOOKUP($B921,표2[#ALL],2)</f>
        <v>#N/A</v>
      </c>
      <c r="D921" s="376" t="str">
        <f>CS_PID!D921/VLOOKUP($B921,표2[#ALL],2)</f>
        <v>#N/A</v>
      </c>
      <c r="E921" s="376" t="str">
        <f>CS_PID!E921/VLOOKUP($B921,표2[#ALL],2)</f>
        <v>#N/A</v>
      </c>
      <c r="F921" s="376" t="str">
        <f>CS_PID!F921/VLOOKUP($B921,표2[#ALL],2)</f>
        <v>#N/A</v>
      </c>
      <c r="G921" s="376" t="str">
        <f>CS_PID!G921/VLOOKUP($B921,표2[#ALL],2)</f>
        <v>#N/A</v>
      </c>
      <c r="H921" s="376" t="str">
        <f>CS_PID!H921/VLOOKUP($B921,표2[#ALL],2)/HLOOKUP($A921,표1[#ALL],row(),false)</f>
        <v>#N/A</v>
      </c>
      <c r="I921" s="376" t="str">
        <f>CS_PID!I921/VLOOKUP($B921,표2[#ALL],2)/HLOOKUP($A921,표1[#ALL],row(),false)</f>
        <v>#N/A</v>
      </c>
      <c r="J921" s="376" t="str">
        <f>CS_PID!J921/VLOOKUP($B921,표2[#ALL],2)/HLOOKUP($A921,표1[#ALL],row(),false)</f>
        <v>#N/A</v>
      </c>
      <c r="K921" s="376" t="str">
        <f>CS_PID!K921/VLOOKUP($B921,표2[#ALL],2)/HLOOKUP($A921,표1[#ALL],row(),false)</f>
        <v>#N/A</v>
      </c>
      <c r="L921" s="376" t="str">
        <f>CS_PID!L921/VLOOKUP($B921,표2[#ALL],2)/HLOOKUP($A921,표1[#ALL],row(),false)</f>
        <v>#N/A</v>
      </c>
      <c r="M921" s="376" t="str">
        <f>CS_PID!M921/VLOOKUP($B921,표2[#ALL],2)/HLOOKUP($A921,표1[#ALL],row(),false)</f>
        <v>#N/A</v>
      </c>
      <c r="N921" s="376" t="str">
        <f>CS_PID!N921/VLOOKUP($B921,표2[#ALL],2)/HLOOKUP($A921,표1[#ALL],row(),false)</f>
        <v>#N/A</v>
      </c>
      <c r="O921" s="376" t="str">
        <f>CS_PID!O921/VLOOKUP($B921,표2[#ALL],2)/HLOOKUP($A921,표1[#ALL],row(),false)</f>
        <v>#N/A</v>
      </c>
      <c r="P921" s="376" t="str">
        <f>CS_PID!P921/VLOOKUP($B921,표2[#ALL],2)/HLOOKUP($A921,표1[#ALL],row(),false)</f>
        <v>#N/A</v>
      </c>
      <c r="Q921" s="376" t="str">
        <f>CS_PID!Q921/VLOOKUP($B921,표2[#ALL],2)/HLOOKUP($A921,표1[#ALL],row(),false)</f>
        <v>#N/A</v>
      </c>
      <c r="R921" s="376" t="str">
        <f>CS_PID!R921/VLOOKUP($B921,표2[#ALL],2)/HLOOKUP($A921,표1[#ALL],row(),false)</f>
        <v>#N/A</v>
      </c>
      <c r="S921" s="376" t="str">
        <f>CS_PID!S921/VLOOKUP($B921,표2[#ALL],2)/HLOOKUP($A921,표1[#ALL],row(),false)</f>
        <v>#N/A</v>
      </c>
      <c r="T921" s="376" t="str">
        <f>CS_PID!T921/VLOOKUP($B921,표2[#ALL],2)/HLOOKUP($A921,표1[#ALL],row(),false)</f>
        <v>#N/A</v>
      </c>
      <c r="U921" s="376" t="str">
        <f>CS_PID!U921/VLOOKUP($B921,표2[#ALL],2)/HLOOKUP($A921,표1[#ALL],row(),false)</f>
        <v>#N/A</v>
      </c>
      <c r="V921" s="376" t="str">
        <f>CS_PID!V921/VLOOKUP($B921,표2[#ALL],2)/HLOOKUP($A921,표1[#ALL],row(),false)</f>
        <v>#N/A</v>
      </c>
      <c r="W921" s="376" t="str">
        <f>CS_PID!W921/VLOOKUP($B921,표2[#ALL],2)/HLOOKUP($A921,표1[#ALL],row(),false)</f>
        <v>#N/A</v>
      </c>
      <c r="X921" s="376" t="str">
        <f>CS_PID!X921/VLOOKUP($B921,표2[#ALL],2)/HLOOKUP($A921,표1[#ALL],row(),false)</f>
        <v>#N/A</v>
      </c>
      <c r="Y921" s="376" t="str">
        <f>CS_PID!Y921/VLOOKUP($B921,표2[#ALL],2)/HLOOKUP($A921,표1[#ALL],row(),false)</f>
        <v>#N/A</v>
      </c>
      <c r="Z921" s="376" t="str">
        <f>CS_PID!Z921/VLOOKUP($B921,표2[#ALL],2)/HLOOKUP($A921,표1[#ALL],row(),false)</f>
        <v>#N/A</v>
      </c>
      <c r="AA921" s="376" t="str">
        <f>CS_PID!AA921/VLOOKUP($B921,표2[#ALL],2)/HLOOKUP($A921,표1[#ALL],row(),false)</f>
        <v>#N/A</v>
      </c>
      <c r="AB921" s="376" t="str">
        <f>CS_PID!AB921/VLOOKUP($B921,표2[#ALL],2)/HLOOKUP($A921,표1[#ALL],row(),false)</f>
        <v>#N/A</v>
      </c>
      <c r="AC921" s="376" t="str">
        <f>CS_PID!AC921/VLOOKUP($B921,표2[#ALL],2)/HLOOKUP($A921,표1[#ALL],row(),false)</f>
        <v>#N/A</v>
      </c>
      <c r="AD921" s="376" t="str">
        <f>CS_PID!AD921/VLOOKUP($B921,표2[#ALL],2)/HLOOKUP($A921,표1[#ALL],row(),false)</f>
        <v>#N/A</v>
      </c>
      <c r="AE921" s="376" t="str">
        <f>CS_PID!AE921/VLOOKUP($B921,표2[#ALL],2)/HLOOKUP($A921,표1[#ALL],row(),false)</f>
        <v>#N/A</v>
      </c>
      <c r="AF921" s="376" t="str">
        <f>CS_PID!AF921/VLOOKUP($B921,표2[#ALL],2)/HLOOKUP($A921,표1[#ALL],row(),false)</f>
        <v>#N/A</v>
      </c>
      <c r="AG921" s="376" t="str">
        <f>CS_PID!AG921/VLOOKUP($B921,표2[#ALL],2)/HLOOKUP($A921,표1[#ALL],row(),false)</f>
        <v>#N/A</v>
      </c>
      <c r="AH921" s="376" t="str">
        <f>CS_PID!AH921/VLOOKUP($B921,표2[#ALL],2)/HLOOKUP($A921,표1[#ALL],row(),false)</f>
        <v>#N/A</v>
      </c>
      <c r="AI921" s="376" t="str">
        <f>CS_PID!AI921/VLOOKUP($B921,표2[#ALL],2)/HLOOKUP($A921,표1[#ALL],row(),false)</f>
        <v>#N/A</v>
      </c>
      <c r="AJ921" s="376" t="str">
        <f>CS_PID!AJ921/VLOOKUP($B921,표2[#ALL],2)/HLOOKUP($A921,표1[#ALL],row(),false)</f>
        <v>#N/A</v>
      </c>
      <c r="AK921" s="376" t="str">
        <f>CS_PID!AK921/VLOOKUP($B921,표2[#ALL],2)/HLOOKUP($A921,표1[#ALL],row(),false)</f>
        <v>#N/A</v>
      </c>
      <c r="AL921" s="376" t="str">
        <f>CS_PID!AL921/VLOOKUP($B921,표2[#ALL],2)/HLOOKUP($A921,표1[#ALL],row(),false)</f>
        <v>#N/A</v>
      </c>
      <c r="AM921" s="376" t="str">
        <f>CS_PID!AM921/VLOOKUP($B921,표2[#ALL],2)/HLOOKUP($A921,표1[#ALL],row(),false)</f>
        <v>#N/A</v>
      </c>
      <c r="AN921" s="376" t="str">
        <f>CS_PID!AN921/VLOOKUP($B921,표2[#ALL],2)/HLOOKUP($A921,표1[#ALL],row(),false)</f>
        <v>#N/A</v>
      </c>
      <c r="AO921" s="376" t="str">
        <f>CS_PID!AO921/VLOOKUP($B921,표2[#ALL],2)/HLOOKUP($A921,표1[#ALL],row(),false)</f>
        <v>#N/A</v>
      </c>
      <c r="AP921" s="376" t="str">
        <f>CS_PID!AP921/VLOOKUP($B921,표2[#ALL],2)/HLOOKUP($A921,표1[#ALL],row(),false)</f>
        <v>#N/A</v>
      </c>
      <c r="AQ921" s="376" t="str">
        <f>CS_PID!AQ921/VLOOKUP($B921,표2[#ALL],2)/HLOOKUP($A921,표1[#ALL],row(),false)</f>
        <v>#N/A</v>
      </c>
      <c r="AR921" s="376" t="str">
        <f>CS_PID!AR921/VLOOKUP($B921,표2[#ALL],2)/HLOOKUP($A921,표1[#ALL],row(),false)</f>
        <v>#N/A</v>
      </c>
      <c r="AS921" s="377" t="str">
        <f>CS_PID!AS921/VLOOKUP($B921,표2[#ALL],2)/HLOOKUP($A921,표1[#ALL],row(),false)</f>
        <v>#N/A</v>
      </c>
    </row>
    <row r="922">
      <c r="A922" s="370"/>
      <c r="B922" s="371"/>
      <c r="C922" s="372" t="str">
        <f>CS_PID!C922/VLOOKUP($B922,표2[#ALL],2)</f>
        <v>#N/A</v>
      </c>
      <c r="D922" s="372" t="str">
        <f>CS_PID!D922/VLOOKUP($B922,표2[#ALL],2)</f>
        <v>#N/A</v>
      </c>
      <c r="E922" s="372" t="str">
        <f>CS_PID!E922/VLOOKUP($B922,표2[#ALL],2)</f>
        <v>#N/A</v>
      </c>
      <c r="F922" s="372" t="str">
        <f>CS_PID!F922/VLOOKUP($B922,표2[#ALL],2)</f>
        <v>#N/A</v>
      </c>
      <c r="G922" s="372" t="str">
        <f>CS_PID!G922/VLOOKUP($B922,표2[#ALL],2)</f>
        <v>#N/A</v>
      </c>
      <c r="H922" s="372" t="str">
        <f>CS_PID!H922/VLOOKUP($B922,표2[#ALL],2)/HLOOKUP($A922,표1[#ALL],row(),false)</f>
        <v>#N/A</v>
      </c>
      <c r="I922" s="372" t="str">
        <f>CS_PID!I922/VLOOKUP($B922,표2[#ALL],2)/HLOOKUP($A922,표1[#ALL],row(),false)</f>
        <v>#N/A</v>
      </c>
      <c r="J922" s="372" t="str">
        <f>CS_PID!J922/VLOOKUP($B922,표2[#ALL],2)/HLOOKUP($A922,표1[#ALL],row(),false)</f>
        <v>#N/A</v>
      </c>
      <c r="K922" s="372" t="str">
        <f>CS_PID!K922/VLOOKUP($B922,표2[#ALL],2)/HLOOKUP($A922,표1[#ALL],row(),false)</f>
        <v>#N/A</v>
      </c>
      <c r="L922" s="372" t="str">
        <f>CS_PID!L922/VLOOKUP($B922,표2[#ALL],2)/HLOOKUP($A922,표1[#ALL],row(),false)</f>
        <v>#N/A</v>
      </c>
      <c r="M922" s="372" t="str">
        <f>CS_PID!M922/VLOOKUP($B922,표2[#ALL],2)/HLOOKUP($A922,표1[#ALL],row(),false)</f>
        <v>#N/A</v>
      </c>
      <c r="N922" s="372" t="str">
        <f>CS_PID!N922/VLOOKUP($B922,표2[#ALL],2)/HLOOKUP($A922,표1[#ALL],row(),false)</f>
        <v>#N/A</v>
      </c>
      <c r="O922" s="372" t="str">
        <f>CS_PID!O922/VLOOKUP($B922,표2[#ALL],2)/HLOOKUP($A922,표1[#ALL],row(),false)</f>
        <v>#N/A</v>
      </c>
      <c r="P922" s="372" t="str">
        <f>CS_PID!P922/VLOOKUP($B922,표2[#ALL],2)/HLOOKUP($A922,표1[#ALL],row(),false)</f>
        <v>#N/A</v>
      </c>
      <c r="Q922" s="372" t="str">
        <f>CS_PID!Q922/VLOOKUP($B922,표2[#ALL],2)/HLOOKUP($A922,표1[#ALL],row(),false)</f>
        <v>#N/A</v>
      </c>
      <c r="R922" s="372" t="str">
        <f>CS_PID!R922/VLOOKUP($B922,표2[#ALL],2)/HLOOKUP($A922,표1[#ALL],row(),false)</f>
        <v>#N/A</v>
      </c>
      <c r="S922" s="372" t="str">
        <f>CS_PID!S922/VLOOKUP($B922,표2[#ALL],2)/HLOOKUP($A922,표1[#ALL],row(),false)</f>
        <v>#N/A</v>
      </c>
      <c r="T922" s="372" t="str">
        <f>CS_PID!T922/VLOOKUP($B922,표2[#ALL],2)/HLOOKUP($A922,표1[#ALL],row(),false)</f>
        <v>#N/A</v>
      </c>
      <c r="U922" s="372" t="str">
        <f>CS_PID!U922/VLOOKUP($B922,표2[#ALL],2)/HLOOKUP($A922,표1[#ALL],row(),false)</f>
        <v>#N/A</v>
      </c>
      <c r="V922" s="372" t="str">
        <f>CS_PID!V922/VLOOKUP($B922,표2[#ALL],2)/HLOOKUP($A922,표1[#ALL],row(),false)</f>
        <v>#N/A</v>
      </c>
      <c r="W922" s="372" t="str">
        <f>CS_PID!W922/VLOOKUP($B922,표2[#ALL],2)/HLOOKUP($A922,표1[#ALL],row(),false)</f>
        <v>#N/A</v>
      </c>
      <c r="X922" s="372" t="str">
        <f>CS_PID!X922/VLOOKUP($B922,표2[#ALL],2)/HLOOKUP($A922,표1[#ALL],row(),false)</f>
        <v>#N/A</v>
      </c>
      <c r="Y922" s="372" t="str">
        <f>CS_PID!Y922/VLOOKUP($B922,표2[#ALL],2)/HLOOKUP($A922,표1[#ALL],row(),false)</f>
        <v>#N/A</v>
      </c>
      <c r="Z922" s="372" t="str">
        <f>CS_PID!Z922/VLOOKUP($B922,표2[#ALL],2)/HLOOKUP($A922,표1[#ALL],row(),false)</f>
        <v>#N/A</v>
      </c>
      <c r="AA922" s="372" t="str">
        <f>CS_PID!AA922/VLOOKUP($B922,표2[#ALL],2)/HLOOKUP($A922,표1[#ALL],row(),false)</f>
        <v>#N/A</v>
      </c>
      <c r="AB922" s="372" t="str">
        <f>CS_PID!AB922/VLOOKUP($B922,표2[#ALL],2)/HLOOKUP($A922,표1[#ALL],row(),false)</f>
        <v>#N/A</v>
      </c>
      <c r="AC922" s="372" t="str">
        <f>CS_PID!AC922/VLOOKUP($B922,표2[#ALL],2)/HLOOKUP($A922,표1[#ALL],row(),false)</f>
        <v>#N/A</v>
      </c>
      <c r="AD922" s="372" t="str">
        <f>CS_PID!AD922/VLOOKUP($B922,표2[#ALL],2)/HLOOKUP($A922,표1[#ALL],row(),false)</f>
        <v>#N/A</v>
      </c>
      <c r="AE922" s="372" t="str">
        <f>CS_PID!AE922/VLOOKUP($B922,표2[#ALL],2)/HLOOKUP($A922,표1[#ALL],row(),false)</f>
        <v>#N/A</v>
      </c>
      <c r="AF922" s="372" t="str">
        <f>CS_PID!AF922/VLOOKUP($B922,표2[#ALL],2)/HLOOKUP($A922,표1[#ALL],row(),false)</f>
        <v>#N/A</v>
      </c>
      <c r="AG922" s="372" t="str">
        <f>CS_PID!AG922/VLOOKUP($B922,표2[#ALL],2)/HLOOKUP($A922,표1[#ALL],row(),false)</f>
        <v>#N/A</v>
      </c>
      <c r="AH922" s="372" t="str">
        <f>CS_PID!AH922/VLOOKUP($B922,표2[#ALL],2)/HLOOKUP($A922,표1[#ALL],row(),false)</f>
        <v>#N/A</v>
      </c>
      <c r="AI922" s="372" t="str">
        <f>CS_PID!AI922/VLOOKUP($B922,표2[#ALL],2)/HLOOKUP($A922,표1[#ALL],row(),false)</f>
        <v>#N/A</v>
      </c>
      <c r="AJ922" s="372" t="str">
        <f>CS_PID!AJ922/VLOOKUP($B922,표2[#ALL],2)/HLOOKUP($A922,표1[#ALL],row(),false)</f>
        <v>#N/A</v>
      </c>
      <c r="AK922" s="372" t="str">
        <f>CS_PID!AK922/VLOOKUP($B922,표2[#ALL],2)/HLOOKUP($A922,표1[#ALL],row(),false)</f>
        <v>#N/A</v>
      </c>
      <c r="AL922" s="372" t="str">
        <f>CS_PID!AL922/VLOOKUP($B922,표2[#ALL],2)/HLOOKUP($A922,표1[#ALL],row(),false)</f>
        <v>#N/A</v>
      </c>
      <c r="AM922" s="372" t="str">
        <f>CS_PID!AM922/VLOOKUP($B922,표2[#ALL],2)/HLOOKUP($A922,표1[#ALL],row(),false)</f>
        <v>#N/A</v>
      </c>
      <c r="AN922" s="372" t="str">
        <f>CS_PID!AN922/VLOOKUP($B922,표2[#ALL],2)/HLOOKUP($A922,표1[#ALL],row(),false)</f>
        <v>#N/A</v>
      </c>
      <c r="AO922" s="372" t="str">
        <f>CS_PID!AO922/VLOOKUP($B922,표2[#ALL],2)/HLOOKUP($A922,표1[#ALL],row(),false)</f>
        <v>#N/A</v>
      </c>
      <c r="AP922" s="372" t="str">
        <f>CS_PID!AP922/VLOOKUP($B922,표2[#ALL],2)/HLOOKUP($A922,표1[#ALL],row(),false)</f>
        <v>#N/A</v>
      </c>
      <c r="AQ922" s="372" t="str">
        <f>CS_PID!AQ922/VLOOKUP($B922,표2[#ALL],2)/HLOOKUP($A922,표1[#ALL],row(),false)</f>
        <v>#N/A</v>
      </c>
      <c r="AR922" s="372" t="str">
        <f>CS_PID!AR922/VLOOKUP($B922,표2[#ALL],2)/HLOOKUP($A922,표1[#ALL],row(),false)</f>
        <v>#N/A</v>
      </c>
      <c r="AS922" s="373" t="str">
        <f>CS_PID!AS922/VLOOKUP($B922,표2[#ALL],2)/HLOOKUP($A922,표1[#ALL],row(),false)</f>
        <v>#N/A</v>
      </c>
    </row>
    <row r="923">
      <c r="A923" s="374"/>
      <c r="B923" s="375"/>
      <c r="C923" s="376" t="str">
        <f>CS_PID!C923/VLOOKUP($B923,표2[#ALL],2)</f>
        <v>#N/A</v>
      </c>
      <c r="D923" s="376" t="str">
        <f>CS_PID!D923/VLOOKUP($B923,표2[#ALL],2)</f>
        <v>#N/A</v>
      </c>
      <c r="E923" s="376" t="str">
        <f>CS_PID!E923/VLOOKUP($B923,표2[#ALL],2)</f>
        <v>#N/A</v>
      </c>
      <c r="F923" s="376" t="str">
        <f>CS_PID!F923/VLOOKUP($B923,표2[#ALL],2)</f>
        <v>#N/A</v>
      </c>
      <c r="G923" s="376" t="str">
        <f>CS_PID!G923/VLOOKUP($B923,표2[#ALL],2)</f>
        <v>#N/A</v>
      </c>
      <c r="H923" s="376" t="str">
        <f>CS_PID!H923/VLOOKUP($B923,표2[#ALL],2)/HLOOKUP($A923,표1[#ALL],row(),false)</f>
        <v>#N/A</v>
      </c>
      <c r="I923" s="376" t="str">
        <f>CS_PID!I923/VLOOKUP($B923,표2[#ALL],2)/HLOOKUP($A923,표1[#ALL],row(),false)</f>
        <v>#N/A</v>
      </c>
      <c r="J923" s="376" t="str">
        <f>CS_PID!J923/VLOOKUP($B923,표2[#ALL],2)/HLOOKUP($A923,표1[#ALL],row(),false)</f>
        <v>#N/A</v>
      </c>
      <c r="K923" s="376" t="str">
        <f>CS_PID!K923/VLOOKUP($B923,표2[#ALL],2)/HLOOKUP($A923,표1[#ALL],row(),false)</f>
        <v>#N/A</v>
      </c>
      <c r="L923" s="376" t="str">
        <f>CS_PID!L923/VLOOKUP($B923,표2[#ALL],2)/HLOOKUP($A923,표1[#ALL],row(),false)</f>
        <v>#N/A</v>
      </c>
      <c r="M923" s="376" t="str">
        <f>CS_PID!M923/VLOOKUP($B923,표2[#ALL],2)/HLOOKUP($A923,표1[#ALL],row(),false)</f>
        <v>#N/A</v>
      </c>
      <c r="N923" s="376" t="str">
        <f>CS_PID!N923/VLOOKUP($B923,표2[#ALL],2)/HLOOKUP($A923,표1[#ALL],row(),false)</f>
        <v>#N/A</v>
      </c>
      <c r="O923" s="376" t="str">
        <f>CS_PID!O923/VLOOKUP($B923,표2[#ALL],2)/HLOOKUP($A923,표1[#ALL],row(),false)</f>
        <v>#N/A</v>
      </c>
      <c r="P923" s="376" t="str">
        <f>CS_PID!P923/VLOOKUP($B923,표2[#ALL],2)/HLOOKUP($A923,표1[#ALL],row(),false)</f>
        <v>#N/A</v>
      </c>
      <c r="Q923" s="376" t="str">
        <f>CS_PID!Q923/VLOOKUP($B923,표2[#ALL],2)/HLOOKUP($A923,표1[#ALL],row(),false)</f>
        <v>#N/A</v>
      </c>
      <c r="R923" s="376" t="str">
        <f>CS_PID!R923/VLOOKUP($B923,표2[#ALL],2)/HLOOKUP($A923,표1[#ALL],row(),false)</f>
        <v>#N/A</v>
      </c>
      <c r="S923" s="376" t="str">
        <f>CS_PID!S923/VLOOKUP($B923,표2[#ALL],2)/HLOOKUP($A923,표1[#ALL],row(),false)</f>
        <v>#N/A</v>
      </c>
      <c r="T923" s="376" t="str">
        <f>CS_PID!T923/VLOOKUP($B923,표2[#ALL],2)/HLOOKUP($A923,표1[#ALL],row(),false)</f>
        <v>#N/A</v>
      </c>
      <c r="U923" s="376" t="str">
        <f>CS_PID!U923/VLOOKUP($B923,표2[#ALL],2)/HLOOKUP($A923,표1[#ALL],row(),false)</f>
        <v>#N/A</v>
      </c>
      <c r="V923" s="376" t="str">
        <f>CS_PID!V923/VLOOKUP($B923,표2[#ALL],2)/HLOOKUP($A923,표1[#ALL],row(),false)</f>
        <v>#N/A</v>
      </c>
      <c r="W923" s="376" t="str">
        <f>CS_PID!W923/VLOOKUP($B923,표2[#ALL],2)/HLOOKUP($A923,표1[#ALL],row(),false)</f>
        <v>#N/A</v>
      </c>
      <c r="X923" s="376" t="str">
        <f>CS_PID!X923/VLOOKUP($B923,표2[#ALL],2)/HLOOKUP($A923,표1[#ALL],row(),false)</f>
        <v>#N/A</v>
      </c>
      <c r="Y923" s="376" t="str">
        <f>CS_PID!Y923/VLOOKUP($B923,표2[#ALL],2)/HLOOKUP($A923,표1[#ALL],row(),false)</f>
        <v>#N/A</v>
      </c>
      <c r="Z923" s="376" t="str">
        <f>CS_PID!Z923/VLOOKUP($B923,표2[#ALL],2)/HLOOKUP($A923,표1[#ALL],row(),false)</f>
        <v>#N/A</v>
      </c>
      <c r="AA923" s="376" t="str">
        <f>CS_PID!AA923/VLOOKUP($B923,표2[#ALL],2)/HLOOKUP($A923,표1[#ALL],row(),false)</f>
        <v>#N/A</v>
      </c>
      <c r="AB923" s="376" t="str">
        <f>CS_PID!AB923/VLOOKUP($B923,표2[#ALL],2)/HLOOKUP($A923,표1[#ALL],row(),false)</f>
        <v>#N/A</v>
      </c>
      <c r="AC923" s="376" t="str">
        <f>CS_PID!AC923/VLOOKUP($B923,표2[#ALL],2)/HLOOKUP($A923,표1[#ALL],row(),false)</f>
        <v>#N/A</v>
      </c>
      <c r="AD923" s="376" t="str">
        <f>CS_PID!AD923/VLOOKUP($B923,표2[#ALL],2)/HLOOKUP($A923,표1[#ALL],row(),false)</f>
        <v>#N/A</v>
      </c>
      <c r="AE923" s="376" t="str">
        <f>CS_PID!AE923/VLOOKUP($B923,표2[#ALL],2)/HLOOKUP($A923,표1[#ALL],row(),false)</f>
        <v>#N/A</v>
      </c>
      <c r="AF923" s="376" t="str">
        <f>CS_PID!AF923/VLOOKUP($B923,표2[#ALL],2)/HLOOKUP($A923,표1[#ALL],row(),false)</f>
        <v>#N/A</v>
      </c>
      <c r="AG923" s="376" t="str">
        <f>CS_PID!AG923/VLOOKUP($B923,표2[#ALL],2)/HLOOKUP($A923,표1[#ALL],row(),false)</f>
        <v>#N/A</v>
      </c>
      <c r="AH923" s="376" t="str">
        <f>CS_PID!AH923/VLOOKUP($B923,표2[#ALL],2)/HLOOKUP($A923,표1[#ALL],row(),false)</f>
        <v>#N/A</v>
      </c>
      <c r="AI923" s="376" t="str">
        <f>CS_PID!AI923/VLOOKUP($B923,표2[#ALL],2)/HLOOKUP($A923,표1[#ALL],row(),false)</f>
        <v>#N/A</v>
      </c>
      <c r="AJ923" s="376" t="str">
        <f>CS_PID!AJ923/VLOOKUP($B923,표2[#ALL],2)/HLOOKUP($A923,표1[#ALL],row(),false)</f>
        <v>#N/A</v>
      </c>
      <c r="AK923" s="376" t="str">
        <f>CS_PID!AK923/VLOOKUP($B923,표2[#ALL],2)/HLOOKUP($A923,표1[#ALL],row(),false)</f>
        <v>#N/A</v>
      </c>
      <c r="AL923" s="376" t="str">
        <f>CS_PID!AL923/VLOOKUP($B923,표2[#ALL],2)/HLOOKUP($A923,표1[#ALL],row(),false)</f>
        <v>#N/A</v>
      </c>
      <c r="AM923" s="376" t="str">
        <f>CS_PID!AM923/VLOOKUP($B923,표2[#ALL],2)/HLOOKUP($A923,표1[#ALL],row(),false)</f>
        <v>#N/A</v>
      </c>
      <c r="AN923" s="376" t="str">
        <f>CS_PID!AN923/VLOOKUP($B923,표2[#ALL],2)/HLOOKUP($A923,표1[#ALL],row(),false)</f>
        <v>#N/A</v>
      </c>
      <c r="AO923" s="376" t="str">
        <f>CS_PID!AO923/VLOOKUP($B923,표2[#ALL],2)/HLOOKUP($A923,표1[#ALL],row(),false)</f>
        <v>#N/A</v>
      </c>
      <c r="AP923" s="376" t="str">
        <f>CS_PID!AP923/VLOOKUP($B923,표2[#ALL],2)/HLOOKUP($A923,표1[#ALL],row(),false)</f>
        <v>#N/A</v>
      </c>
      <c r="AQ923" s="376" t="str">
        <f>CS_PID!AQ923/VLOOKUP($B923,표2[#ALL],2)/HLOOKUP($A923,표1[#ALL],row(),false)</f>
        <v>#N/A</v>
      </c>
      <c r="AR923" s="376" t="str">
        <f>CS_PID!AR923/VLOOKUP($B923,표2[#ALL],2)/HLOOKUP($A923,표1[#ALL],row(),false)</f>
        <v>#N/A</v>
      </c>
      <c r="AS923" s="377" t="str">
        <f>CS_PID!AS923/VLOOKUP($B923,표2[#ALL],2)/HLOOKUP($A923,표1[#ALL],row(),false)</f>
        <v>#N/A</v>
      </c>
    </row>
    <row r="924">
      <c r="A924" s="370"/>
      <c r="B924" s="371"/>
      <c r="C924" s="372" t="str">
        <f>CS_PID!C924/VLOOKUP($B924,표2[#ALL],2)</f>
        <v>#N/A</v>
      </c>
      <c r="D924" s="372" t="str">
        <f>CS_PID!D924/VLOOKUP($B924,표2[#ALL],2)</f>
        <v>#N/A</v>
      </c>
      <c r="E924" s="372" t="str">
        <f>CS_PID!E924/VLOOKUP($B924,표2[#ALL],2)</f>
        <v>#N/A</v>
      </c>
      <c r="F924" s="372" t="str">
        <f>CS_PID!F924/VLOOKUP($B924,표2[#ALL],2)</f>
        <v>#N/A</v>
      </c>
      <c r="G924" s="372" t="str">
        <f>CS_PID!G924/VLOOKUP($B924,표2[#ALL],2)</f>
        <v>#N/A</v>
      </c>
      <c r="H924" s="372" t="str">
        <f>CS_PID!H924/VLOOKUP($B924,표2[#ALL],2)/HLOOKUP($A924,표1[#ALL],row(),false)</f>
        <v>#N/A</v>
      </c>
      <c r="I924" s="372" t="str">
        <f>CS_PID!I924/VLOOKUP($B924,표2[#ALL],2)/HLOOKUP($A924,표1[#ALL],row(),false)</f>
        <v>#N/A</v>
      </c>
      <c r="J924" s="372" t="str">
        <f>CS_PID!J924/VLOOKUP($B924,표2[#ALL],2)/HLOOKUP($A924,표1[#ALL],row(),false)</f>
        <v>#N/A</v>
      </c>
      <c r="K924" s="372" t="str">
        <f>CS_PID!K924/VLOOKUP($B924,표2[#ALL],2)/HLOOKUP($A924,표1[#ALL],row(),false)</f>
        <v>#N/A</v>
      </c>
      <c r="L924" s="372" t="str">
        <f>CS_PID!L924/VLOOKUP($B924,표2[#ALL],2)/HLOOKUP($A924,표1[#ALL],row(),false)</f>
        <v>#N/A</v>
      </c>
      <c r="M924" s="372" t="str">
        <f>CS_PID!M924/VLOOKUP($B924,표2[#ALL],2)/HLOOKUP($A924,표1[#ALL],row(),false)</f>
        <v>#N/A</v>
      </c>
      <c r="N924" s="372" t="str">
        <f>CS_PID!N924/VLOOKUP($B924,표2[#ALL],2)/HLOOKUP($A924,표1[#ALL],row(),false)</f>
        <v>#N/A</v>
      </c>
      <c r="O924" s="372" t="str">
        <f>CS_PID!O924/VLOOKUP($B924,표2[#ALL],2)/HLOOKUP($A924,표1[#ALL],row(),false)</f>
        <v>#N/A</v>
      </c>
      <c r="P924" s="372" t="str">
        <f>CS_PID!P924/VLOOKUP($B924,표2[#ALL],2)/HLOOKUP($A924,표1[#ALL],row(),false)</f>
        <v>#N/A</v>
      </c>
      <c r="Q924" s="372" t="str">
        <f>CS_PID!Q924/VLOOKUP($B924,표2[#ALL],2)/HLOOKUP($A924,표1[#ALL],row(),false)</f>
        <v>#N/A</v>
      </c>
      <c r="R924" s="372" t="str">
        <f>CS_PID!R924/VLOOKUP($B924,표2[#ALL],2)/HLOOKUP($A924,표1[#ALL],row(),false)</f>
        <v>#N/A</v>
      </c>
      <c r="S924" s="372" t="str">
        <f>CS_PID!S924/VLOOKUP($B924,표2[#ALL],2)/HLOOKUP($A924,표1[#ALL],row(),false)</f>
        <v>#N/A</v>
      </c>
      <c r="T924" s="372" t="str">
        <f>CS_PID!T924/VLOOKUP($B924,표2[#ALL],2)/HLOOKUP($A924,표1[#ALL],row(),false)</f>
        <v>#N/A</v>
      </c>
      <c r="U924" s="372" t="str">
        <f>CS_PID!U924/VLOOKUP($B924,표2[#ALL],2)/HLOOKUP($A924,표1[#ALL],row(),false)</f>
        <v>#N/A</v>
      </c>
      <c r="V924" s="372" t="str">
        <f>CS_PID!V924/VLOOKUP($B924,표2[#ALL],2)/HLOOKUP($A924,표1[#ALL],row(),false)</f>
        <v>#N/A</v>
      </c>
      <c r="W924" s="372" t="str">
        <f>CS_PID!W924/VLOOKUP($B924,표2[#ALL],2)/HLOOKUP($A924,표1[#ALL],row(),false)</f>
        <v>#N/A</v>
      </c>
      <c r="X924" s="372" t="str">
        <f>CS_PID!X924/VLOOKUP($B924,표2[#ALL],2)/HLOOKUP($A924,표1[#ALL],row(),false)</f>
        <v>#N/A</v>
      </c>
      <c r="Y924" s="372" t="str">
        <f>CS_PID!Y924/VLOOKUP($B924,표2[#ALL],2)/HLOOKUP($A924,표1[#ALL],row(),false)</f>
        <v>#N/A</v>
      </c>
      <c r="Z924" s="372" t="str">
        <f>CS_PID!Z924/VLOOKUP($B924,표2[#ALL],2)/HLOOKUP($A924,표1[#ALL],row(),false)</f>
        <v>#N/A</v>
      </c>
      <c r="AA924" s="372" t="str">
        <f>CS_PID!AA924/VLOOKUP($B924,표2[#ALL],2)/HLOOKUP($A924,표1[#ALL],row(),false)</f>
        <v>#N/A</v>
      </c>
      <c r="AB924" s="372" t="str">
        <f>CS_PID!AB924/VLOOKUP($B924,표2[#ALL],2)/HLOOKUP($A924,표1[#ALL],row(),false)</f>
        <v>#N/A</v>
      </c>
      <c r="AC924" s="372" t="str">
        <f>CS_PID!AC924/VLOOKUP($B924,표2[#ALL],2)/HLOOKUP($A924,표1[#ALL],row(),false)</f>
        <v>#N/A</v>
      </c>
      <c r="AD924" s="372" t="str">
        <f>CS_PID!AD924/VLOOKUP($B924,표2[#ALL],2)/HLOOKUP($A924,표1[#ALL],row(),false)</f>
        <v>#N/A</v>
      </c>
      <c r="AE924" s="372" t="str">
        <f>CS_PID!AE924/VLOOKUP($B924,표2[#ALL],2)/HLOOKUP($A924,표1[#ALL],row(),false)</f>
        <v>#N/A</v>
      </c>
      <c r="AF924" s="372" t="str">
        <f>CS_PID!AF924/VLOOKUP($B924,표2[#ALL],2)/HLOOKUP($A924,표1[#ALL],row(),false)</f>
        <v>#N/A</v>
      </c>
      <c r="AG924" s="372" t="str">
        <f>CS_PID!AG924/VLOOKUP($B924,표2[#ALL],2)/HLOOKUP($A924,표1[#ALL],row(),false)</f>
        <v>#N/A</v>
      </c>
      <c r="AH924" s="372" t="str">
        <f>CS_PID!AH924/VLOOKUP($B924,표2[#ALL],2)/HLOOKUP($A924,표1[#ALL],row(),false)</f>
        <v>#N/A</v>
      </c>
      <c r="AI924" s="372" t="str">
        <f>CS_PID!AI924/VLOOKUP($B924,표2[#ALL],2)/HLOOKUP($A924,표1[#ALL],row(),false)</f>
        <v>#N/A</v>
      </c>
      <c r="AJ924" s="372" t="str">
        <f>CS_PID!AJ924/VLOOKUP($B924,표2[#ALL],2)/HLOOKUP($A924,표1[#ALL],row(),false)</f>
        <v>#N/A</v>
      </c>
      <c r="AK924" s="372" t="str">
        <f>CS_PID!AK924/VLOOKUP($B924,표2[#ALL],2)/HLOOKUP($A924,표1[#ALL],row(),false)</f>
        <v>#N/A</v>
      </c>
      <c r="AL924" s="372" t="str">
        <f>CS_PID!AL924/VLOOKUP($B924,표2[#ALL],2)/HLOOKUP($A924,표1[#ALL],row(),false)</f>
        <v>#N/A</v>
      </c>
      <c r="AM924" s="372" t="str">
        <f>CS_PID!AM924/VLOOKUP($B924,표2[#ALL],2)/HLOOKUP($A924,표1[#ALL],row(),false)</f>
        <v>#N/A</v>
      </c>
      <c r="AN924" s="372" t="str">
        <f>CS_PID!AN924/VLOOKUP($B924,표2[#ALL],2)/HLOOKUP($A924,표1[#ALL],row(),false)</f>
        <v>#N/A</v>
      </c>
      <c r="AO924" s="372" t="str">
        <f>CS_PID!AO924/VLOOKUP($B924,표2[#ALL],2)/HLOOKUP($A924,표1[#ALL],row(),false)</f>
        <v>#N/A</v>
      </c>
      <c r="AP924" s="372" t="str">
        <f>CS_PID!AP924/VLOOKUP($B924,표2[#ALL],2)/HLOOKUP($A924,표1[#ALL],row(),false)</f>
        <v>#N/A</v>
      </c>
      <c r="AQ924" s="372" t="str">
        <f>CS_PID!AQ924/VLOOKUP($B924,표2[#ALL],2)/HLOOKUP($A924,표1[#ALL],row(),false)</f>
        <v>#N/A</v>
      </c>
      <c r="AR924" s="372" t="str">
        <f>CS_PID!AR924/VLOOKUP($B924,표2[#ALL],2)/HLOOKUP($A924,표1[#ALL],row(),false)</f>
        <v>#N/A</v>
      </c>
      <c r="AS924" s="373" t="str">
        <f>CS_PID!AS924/VLOOKUP($B924,표2[#ALL],2)/HLOOKUP($A924,표1[#ALL],row(),false)</f>
        <v>#N/A</v>
      </c>
    </row>
    <row r="925">
      <c r="A925" s="374"/>
      <c r="B925" s="375"/>
      <c r="C925" s="376" t="str">
        <f>CS_PID!C925/VLOOKUP($B925,표2[#ALL],2)</f>
        <v>#N/A</v>
      </c>
      <c r="D925" s="376" t="str">
        <f>CS_PID!D925/VLOOKUP($B925,표2[#ALL],2)</f>
        <v>#N/A</v>
      </c>
      <c r="E925" s="376" t="str">
        <f>CS_PID!E925/VLOOKUP($B925,표2[#ALL],2)</f>
        <v>#N/A</v>
      </c>
      <c r="F925" s="376" t="str">
        <f>CS_PID!F925/VLOOKUP($B925,표2[#ALL],2)</f>
        <v>#N/A</v>
      </c>
      <c r="G925" s="376" t="str">
        <f>CS_PID!G925/VLOOKUP($B925,표2[#ALL],2)</f>
        <v>#N/A</v>
      </c>
      <c r="H925" s="376" t="str">
        <f>CS_PID!H925/VLOOKUP($B925,표2[#ALL],2)/HLOOKUP($A925,표1[#ALL],row(),false)</f>
        <v>#N/A</v>
      </c>
      <c r="I925" s="376" t="str">
        <f>CS_PID!I925/VLOOKUP($B925,표2[#ALL],2)/HLOOKUP($A925,표1[#ALL],row(),false)</f>
        <v>#N/A</v>
      </c>
      <c r="J925" s="376" t="str">
        <f>CS_PID!J925/VLOOKUP($B925,표2[#ALL],2)/HLOOKUP($A925,표1[#ALL],row(),false)</f>
        <v>#N/A</v>
      </c>
      <c r="K925" s="376" t="str">
        <f>CS_PID!K925/VLOOKUP($B925,표2[#ALL],2)/HLOOKUP($A925,표1[#ALL],row(),false)</f>
        <v>#N/A</v>
      </c>
      <c r="L925" s="376" t="str">
        <f>CS_PID!L925/VLOOKUP($B925,표2[#ALL],2)/HLOOKUP($A925,표1[#ALL],row(),false)</f>
        <v>#N/A</v>
      </c>
      <c r="M925" s="376" t="str">
        <f>CS_PID!M925/VLOOKUP($B925,표2[#ALL],2)/HLOOKUP($A925,표1[#ALL],row(),false)</f>
        <v>#N/A</v>
      </c>
      <c r="N925" s="376" t="str">
        <f>CS_PID!N925/VLOOKUP($B925,표2[#ALL],2)/HLOOKUP($A925,표1[#ALL],row(),false)</f>
        <v>#N/A</v>
      </c>
      <c r="O925" s="376" t="str">
        <f>CS_PID!O925/VLOOKUP($B925,표2[#ALL],2)/HLOOKUP($A925,표1[#ALL],row(),false)</f>
        <v>#N/A</v>
      </c>
      <c r="P925" s="376" t="str">
        <f>CS_PID!P925/VLOOKUP($B925,표2[#ALL],2)/HLOOKUP($A925,표1[#ALL],row(),false)</f>
        <v>#N/A</v>
      </c>
      <c r="Q925" s="376" t="str">
        <f>CS_PID!Q925/VLOOKUP($B925,표2[#ALL],2)/HLOOKUP($A925,표1[#ALL],row(),false)</f>
        <v>#N/A</v>
      </c>
      <c r="R925" s="376" t="str">
        <f>CS_PID!R925/VLOOKUP($B925,표2[#ALL],2)/HLOOKUP($A925,표1[#ALL],row(),false)</f>
        <v>#N/A</v>
      </c>
      <c r="S925" s="376" t="str">
        <f>CS_PID!S925/VLOOKUP($B925,표2[#ALL],2)/HLOOKUP($A925,표1[#ALL],row(),false)</f>
        <v>#N/A</v>
      </c>
      <c r="T925" s="376" t="str">
        <f>CS_PID!T925/VLOOKUP($B925,표2[#ALL],2)/HLOOKUP($A925,표1[#ALL],row(),false)</f>
        <v>#N/A</v>
      </c>
      <c r="U925" s="376" t="str">
        <f>CS_PID!U925/VLOOKUP($B925,표2[#ALL],2)/HLOOKUP($A925,표1[#ALL],row(),false)</f>
        <v>#N/A</v>
      </c>
      <c r="V925" s="376" t="str">
        <f>CS_PID!V925/VLOOKUP($B925,표2[#ALL],2)/HLOOKUP($A925,표1[#ALL],row(),false)</f>
        <v>#N/A</v>
      </c>
      <c r="W925" s="376" t="str">
        <f>CS_PID!W925/VLOOKUP($B925,표2[#ALL],2)/HLOOKUP($A925,표1[#ALL],row(),false)</f>
        <v>#N/A</v>
      </c>
      <c r="X925" s="376" t="str">
        <f>CS_PID!X925/VLOOKUP($B925,표2[#ALL],2)/HLOOKUP($A925,표1[#ALL],row(),false)</f>
        <v>#N/A</v>
      </c>
      <c r="Y925" s="376" t="str">
        <f>CS_PID!Y925/VLOOKUP($B925,표2[#ALL],2)/HLOOKUP($A925,표1[#ALL],row(),false)</f>
        <v>#N/A</v>
      </c>
      <c r="Z925" s="376" t="str">
        <f>CS_PID!Z925/VLOOKUP($B925,표2[#ALL],2)/HLOOKUP($A925,표1[#ALL],row(),false)</f>
        <v>#N/A</v>
      </c>
      <c r="AA925" s="376" t="str">
        <f>CS_PID!AA925/VLOOKUP($B925,표2[#ALL],2)/HLOOKUP($A925,표1[#ALL],row(),false)</f>
        <v>#N/A</v>
      </c>
      <c r="AB925" s="376" t="str">
        <f>CS_PID!AB925/VLOOKUP($B925,표2[#ALL],2)/HLOOKUP($A925,표1[#ALL],row(),false)</f>
        <v>#N/A</v>
      </c>
      <c r="AC925" s="376" t="str">
        <f>CS_PID!AC925/VLOOKUP($B925,표2[#ALL],2)/HLOOKUP($A925,표1[#ALL],row(),false)</f>
        <v>#N/A</v>
      </c>
      <c r="AD925" s="376" t="str">
        <f>CS_PID!AD925/VLOOKUP($B925,표2[#ALL],2)/HLOOKUP($A925,표1[#ALL],row(),false)</f>
        <v>#N/A</v>
      </c>
      <c r="AE925" s="376" t="str">
        <f>CS_PID!AE925/VLOOKUP($B925,표2[#ALL],2)/HLOOKUP($A925,표1[#ALL],row(),false)</f>
        <v>#N/A</v>
      </c>
      <c r="AF925" s="376" t="str">
        <f>CS_PID!AF925/VLOOKUP($B925,표2[#ALL],2)/HLOOKUP($A925,표1[#ALL],row(),false)</f>
        <v>#N/A</v>
      </c>
      <c r="AG925" s="376" t="str">
        <f>CS_PID!AG925/VLOOKUP($B925,표2[#ALL],2)/HLOOKUP($A925,표1[#ALL],row(),false)</f>
        <v>#N/A</v>
      </c>
      <c r="AH925" s="376" t="str">
        <f>CS_PID!AH925/VLOOKUP($B925,표2[#ALL],2)/HLOOKUP($A925,표1[#ALL],row(),false)</f>
        <v>#N/A</v>
      </c>
      <c r="AI925" s="376" t="str">
        <f>CS_PID!AI925/VLOOKUP($B925,표2[#ALL],2)/HLOOKUP($A925,표1[#ALL],row(),false)</f>
        <v>#N/A</v>
      </c>
      <c r="AJ925" s="376" t="str">
        <f>CS_PID!AJ925/VLOOKUP($B925,표2[#ALL],2)/HLOOKUP($A925,표1[#ALL],row(),false)</f>
        <v>#N/A</v>
      </c>
      <c r="AK925" s="376" t="str">
        <f>CS_PID!AK925/VLOOKUP($B925,표2[#ALL],2)/HLOOKUP($A925,표1[#ALL],row(),false)</f>
        <v>#N/A</v>
      </c>
      <c r="AL925" s="376" t="str">
        <f>CS_PID!AL925/VLOOKUP($B925,표2[#ALL],2)/HLOOKUP($A925,표1[#ALL],row(),false)</f>
        <v>#N/A</v>
      </c>
      <c r="AM925" s="376" t="str">
        <f>CS_PID!AM925/VLOOKUP($B925,표2[#ALL],2)/HLOOKUP($A925,표1[#ALL],row(),false)</f>
        <v>#N/A</v>
      </c>
      <c r="AN925" s="376" t="str">
        <f>CS_PID!AN925/VLOOKUP($B925,표2[#ALL],2)/HLOOKUP($A925,표1[#ALL],row(),false)</f>
        <v>#N/A</v>
      </c>
      <c r="AO925" s="376" t="str">
        <f>CS_PID!AO925/VLOOKUP($B925,표2[#ALL],2)/HLOOKUP($A925,표1[#ALL],row(),false)</f>
        <v>#N/A</v>
      </c>
      <c r="AP925" s="376" t="str">
        <f>CS_PID!AP925/VLOOKUP($B925,표2[#ALL],2)/HLOOKUP($A925,표1[#ALL],row(),false)</f>
        <v>#N/A</v>
      </c>
      <c r="AQ925" s="376" t="str">
        <f>CS_PID!AQ925/VLOOKUP($B925,표2[#ALL],2)/HLOOKUP($A925,표1[#ALL],row(),false)</f>
        <v>#N/A</v>
      </c>
      <c r="AR925" s="376" t="str">
        <f>CS_PID!AR925/VLOOKUP($B925,표2[#ALL],2)/HLOOKUP($A925,표1[#ALL],row(),false)</f>
        <v>#N/A</v>
      </c>
      <c r="AS925" s="377" t="str">
        <f>CS_PID!AS925/VLOOKUP($B925,표2[#ALL],2)/HLOOKUP($A925,표1[#ALL],row(),false)</f>
        <v>#N/A</v>
      </c>
    </row>
    <row r="926">
      <c r="A926" s="370"/>
      <c r="B926" s="371"/>
      <c r="C926" s="372" t="str">
        <f>CS_PID!C926/VLOOKUP($B926,표2[#ALL],2)</f>
        <v>#N/A</v>
      </c>
      <c r="D926" s="372" t="str">
        <f>CS_PID!D926/VLOOKUP($B926,표2[#ALL],2)</f>
        <v>#N/A</v>
      </c>
      <c r="E926" s="372" t="str">
        <f>CS_PID!E926/VLOOKUP($B926,표2[#ALL],2)</f>
        <v>#N/A</v>
      </c>
      <c r="F926" s="372" t="str">
        <f>CS_PID!F926/VLOOKUP($B926,표2[#ALL],2)</f>
        <v>#N/A</v>
      </c>
      <c r="G926" s="372" t="str">
        <f>CS_PID!G926/VLOOKUP($B926,표2[#ALL],2)</f>
        <v>#N/A</v>
      </c>
      <c r="H926" s="372" t="str">
        <f>CS_PID!H926/VLOOKUP($B926,표2[#ALL],2)/HLOOKUP($A926,표1[#ALL],row(),false)</f>
        <v>#N/A</v>
      </c>
      <c r="I926" s="372" t="str">
        <f>CS_PID!I926/VLOOKUP($B926,표2[#ALL],2)/HLOOKUP($A926,표1[#ALL],row(),false)</f>
        <v>#N/A</v>
      </c>
      <c r="J926" s="372" t="str">
        <f>CS_PID!J926/VLOOKUP($B926,표2[#ALL],2)/HLOOKUP($A926,표1[#ALL],row(),false)</f>
        <v>#N/A</v>
      </c>
      <c r="K926" s="372" t="str">
        <f>CS_PID!K926/VLOOKUP($B926,표2[#ALL],2)/HLOOKUP($A926,표1[#ALL],row(),false)</f>
        <v>#N/A</v>
      </c>
      <c r="L926" s="372" t="str">
        <f>CS_PID!L926/VLOOKUP($B926,표2[#ALL],2)/HLOOKUP($A926,표1[#ALL],row(),false)</f>
        <v>#N/A</v>
      </c>
      <c r="M926" s="372" t="str">
        <f>CS_PID!M926/VLOOKUP($B926,표2[#ALL],2)/HLOOKUP($A926,표1[#ALL],row(),false)</f>
        <v>#N/A</v>
      </c>
      <c r="N926" s="372" t="str">
        <f>CS_PID!N926/VLOOKUP($B926,표2[#ALL],2)/HLOOKUP($A926,표1[#ALL],row(),false)</f>
        <v>#N/A</v>
      </c>
      <c r="O926" s="372" t="str">
        <f>CS_PID!O926/VLOOKUP($B926,표2[#ALL],2)/HLOOKUP($A926,표1[#ALL],row(),false)</f>
        <v>#N/A</v>
      </c>
      <c r="P926" s="372" t="str">
        <f>CS_PID!P926/VLOOKUP($B926,표2[#ALL],2)/HLOOKUP($A926,표1[#ALL],row(),false)</f>
        <v>#N/A</v>
      </c>
      <c r="Q926" s="372" t="str">
        <f>CS_PID!Q926/VLOOKUP($B926,표2[#ALL],2)/HLOOKUP($A926,표1[#ALL],row(),false)</f>
        <v>#N/A</v>
      </c>
      <c r="R926" s="372" t="str">
        <f>CS_PID!R926/VLOOKUP($B926,표2[#ALL],2)/HLOOKUP($A926,표1[#ALL],row(),false)</f>
        <v>#N/A</v>
      </c>
      <c r="S926" s="372" t="str">
        <f>CS_PID!S926/VLOOKUP($B926,표2[#ALL],2)/HLOOKUP($A926,표1[#ALL],row(),false)</f>
        <v>#N/A</v>
      </c>
      <c r="T926" s="372" t="str">
        <f>CS_PID!T926/VLOOKUP($B926,표2[#ALL],2)/HLOOKUP($A926,표1[#ALL],row(),false)</f>
        <v>#N/A</v>
      </c>
      <c r="U926" s="372" t="str">
        <f>CS_PID!U926/VLOOKUP($B926,표2[#ALL],2)/HLOOKUP($A926,표1[#ALL],row(),false)</f>
        <v>#N/A</v>
      </c>
      <c r="V926" s="372" t="str">
        <f>CS_PID!V926/VLOOKUP($B926,표2[#ALL],2)/HLOOKUP($A926,표1[#ALL],row(),false)</f>
        <v>#N/A</v>
      </c>
      <c r="W926" s="372" t="str">
        <f>CS_PID!W926/VLOOKUP($B926,표2[#ALL],2)/HLOOKUP($A926,표1[#ALL],row(),false)</f>
        <v>#N/A</v>
      </c>
      <c r="X926" s="372" t="str">
        <f>CS_PID!X926/VLOOKUP($B926,표2[#ALL],2)/HLOOKUP($A926,표1[#ALL],row(),false)</f>
        <v>#N/A</v>
      </c>
      <c r="Y926" s="372" t="str">
        <f>CS_PID!Y926/VLOOKUP($B926,표2[#ALL],2)/HLOOKUP($A926,표1[#ALL],row(),false)</f>
        <v>#N/A</v>
      </c>
      <c r="Z926" s="372" t="str">
        <f>CS_PID!Z926/VLOOKUP($B926,표2[#ALL],2)/HLOOKUP($A926,표1[#ALL],row(),false)</f>
        <v>#N/A</v>
      </c>
      <c r="AA926" s="372" t="str">
        <f>CS_PID!AA926/VLOOKUP($B926,표2[#ALL],2)/HLOOKUP($A926,표1[#ALL],row(),false)</f>
        <v>#N/A</v>
      </c>
      <c r="AB926" s="372" t="str">
        <f>CS_PID!AB926/VLOOKUP($B926,표2[#ALL],2)/HLOOKUP($A926,표1[#ALL],row(),false)</f>
        <v>#N/A</v>
      </c>
      <c r="AC926" s="372" t="str">
        <f>CS_PID!AC926/VLOOKUP($B926,표2[#ALL],2)/HLOOKUP($A926,표1[#ALL],row(),false)</f>
        <v>#N/A</v>
      </c>
      <c r="AD926" s="372" t="str">
        <f>CS_PID!AD926/VLOOKUP($B926,표2[#ALL],2)/HLOOKUP($A926,표1[#ALL],row(),false)</f>
        <v>#N/A</v>
      </c>
      <c r="AE926" s="372" t="str">
        <f>CS_PID!AE926/VLOOKUP($B926,표2[#ALL],2)/HLOOKUP($A926,표1[#ALL],row(),false)</f>
        <v>#N/A</v>
      </c>
      <c r="AF926" s="372" t="str">
        <f>CS_PID!AF926/VLOOKUP($B926,표2[#ALL],2)/HLOOKUP($A926,표1[#ALL],row(),false)</f>
        <v>#N/A</v>
      </c>
      <c r="AG926" s="372" t="str">
        <f>CS_PID!AG926/VLOOKUP($B926,표2[#ALL],2)/HLOOKUP($A926,표1[#ALL],row(),false)</f>
        <v>#N/A</v>
      </c>
      <c r="AH926" s="372" t="str">
        <f>CS_PID!AH926/VLOOKUP($B926,표2[#ALL],2)/HLOOKUP($A926,표1[#ALL],row(),false)</f>
        <v>#N/A</v>
      </c>
      <c r="AI926" s="372" t="str">
        <f>CS_PID!AI926/VLOOKUP($B926,표2[#ALL],2)/HLOOKUP($A926,표1[#ALL],row(),false)</f>
        <v>#N/A</v>
      </c>
      <c r="AJ926" s="372" t="str">
        <f>CS_PID!AJ926/VLOOKUP($B926,표2[#ALL],2)/HLOOKUP($A926,표1[#ALL],row(),false)</f>
        <v>#N/A</v>
      </c>
      <c r="AK926" s="372" t="str">
        <f>CS_PID!AK926/VLOOKUP($B926,표2[#ALL],2)/HLOOKUP($A926,표1[#ALL],row(),false)</f>
        <v>#N/A</v>
      </c>
      <c r="AL926" s="372" t="str">
        <f>CS_PID!AL926/VLOOKUP($B926,표2[#ALL],2)/HLOOKUP($A926,표1[#ALL],row(),false)</f>
        <v>#N/A</v>
      </c>
      <c r="AM926" s="372" t="str">
        <f>CS_PID!AM926/VLOOKUP($B926,표2[#ALL],2)/HLOOKUP($A926,표1[#ALL],row(),false)</f>
        <v>#N/A</v>
      </c>
      <c r="AN926" s="372" t="str">
        <f>CS_PID!AN926/VLOOKUP($B926,표2[#ALL],2)/HLOOKUP($A926,표1[#ALL],row(),false)</f>
        <v>#N/A</v>
      </c>
      <c r="AO926" s="372" t="str">
        <f>CS_PID!AO926/VLOOKUP($B926,표2[#ALL],2)/HLOOKUP($A926,표1[#ALL],row(),false)</f>
        <v>#N/A</v>
      </c>
      <c r="AP926" s="372" t="str">
        <f>CS_PID!AP926/VLOOKUP($B926,표2[#ALL],2)/HLOOKUP($A926,표1[#ALL],row(),false)</f>
        <v>#N/A</v>
      </c>
      <c r="AQ926" s="372" t="str">
        <f>CS_PID!AQ926/VLOOKUP($B926,표2[#ALL],2)/HLOOKUP($A926,표1[#ALL],row(),false)</f>
        <v>#N/A</v>
      </c>
      <c r="AR926" s="372" t="str">
        <f>CS_PID!AR926/VLOOKUP($B926,표2[#ALL],2)/HLOOKUP($A926,표1[#ALL],row(),false)</f>
        <v>#N/A</v>
      </c>
      <c r="AS926" s="373" t="str">
        <f>CS_PID!AS926/VLOOKUP($B926,표2[#ALL],2)/HLOOKUP($A926,표1[#ALL],row(),false)</f>
        <v>#N/A</v>
      </c>
    </row>
    <row r="927">
      <c r="A927" s="374"/>
      <c r="B927" s="375"/>
      <c r="C927" s="376" t="str">
        <f>CS_PID!C927/VLOOKUP($B927,표2[#ALL],2)</f>
        <v>#N/A</v>
      </c>
      <c r="D927" s="376" t="str">
        <f>CS_PID!D927/VLOOKUP($B927,표2[#ALL],2)</f>
        <v>#N/A</v>
      </c>
      <c r="E927" s="376" t="str">
        <f>CS_PID!E927/VLOOKUP($B927,표2[#ALL],2)</f>
        <v>#N/A</v>
      </c>
      <c r="F927" s="376" t="str">
        <f>CS_PID!F927/VLOOKUP($B927,표2[#ALL],2)</f>
        <v>#N/A</v>
      </c>
      <c r="G927" s="376" t="str">
        <f>CS_PID!G927/VLOOKUP($B927,표2[#ALL],2)</f>
        <v>#N/A</v>
      </c>
      <c r="H927" s="376" t="str">
        <f>CS_PID!H927/VLOOKUP($B927,표2[#ALL],2)/HLOOKUP($A927,표1[#ALL],row(),false)</f>
        <v>#N/A</v>
      </c>
      <c r="I927" s="376" t="str">
        <f>CS_PID!I927/VLOOKUP($B927,표2[#ALL],2)/HLOOKUP($A927,표1[#ALL],row(),false)</f>
        <v>#N/A</v>
      </c>
      <c r="J927" s="376" t="str">
        <f>CS_PID!J927/VLOOKUP($B927,표2[#ALL],2)/HLOOKUP($A927,표1[#ALL],row(),false)</f>
        <v>#N/A</v>
      </c>
      <c r="K927" s="376" t="str">
        <f>CS_PID!K927/VLOOKUP($B927,표2[#ALL],2)/HLOOKUP($A927,표1[#ALL],row(),false)</f>
        <v>#N/A</v>
      </c>
      <c r="L927" s="376" t="str">
        <f>CS_PID!L927/VLOOKUP($B927,표2[#ALL],2)/HLOOKUP($A927,표1[#ALL],row(),false)</f>
        <v>#N/A</v>
      </c>
      <c r="M927" s="376" t="str">
        <f>CS_PID!M927/VLOOKUP($B927,표2[#ALL],2)/HLOOKUP($A927,표1[#ALL],row(),false)</f>
        <v>#N/A</v>
      </c>
      <c r="N927" s="376" t="str">
        <f>CS_PID!N927/VLOOKUP($B927,표2[#ALL],2)/HLOOKUP($A927,표1[#ALL],row(),false)</f>
        <v>#N/A</v>
      </c>
      <c r="O927" s="376" t="str">
        <f>CS_PID!O927/VLOOKUP($B927,표2[#ALL],2)/HLOOKUP($A927,표1[#ALL],row(),false)</f>
        <v>#N/A</v>
      </c>
      <c r="P927" s="376" t="str">
        <f>CS_PID!P927/VLOOKUP($B927,표2[#ALL],2)/HLOOKUP($A927,표1[#ALL],row(),false)</f>
        <v>#N/A</v>
      </c>
      <c r="Q927" s="376" t="str">
        <f>CS_PID!Q927/VLOOKUP($B927,표2[#ALL],2)/HLOOKUP($A927,표1[#ALL],row(),false)</f>
        <v>#N/A</v>
      </c>
      <c r="R927" s="376" t="str">
        <f>CS_PID!R927/VLOOKUP($B927,표2[#ALL],2)/HLOOKUP($A927,표1[#ALL],row(),false)</f>
        <v>#N/A</v>
      </c>
      <c r="S927" s="376" t="str">
        <f>CS_PID!S927/VLOOKUP($B927,표2[#ALL],2)/HLOOKUP($A927,표1[#ALL],row(),false)</f>
        <v>#N/A</v>
      </c>
      <c r="T927" s="376" t="str">
        <f>CS_PID!T927/VLOOKUP($B927,표2[#ALL],2)/HLOOKUP($A927,표1[#ALL],row(),false)</f>
        <v>#N/A</v>
      </c>
      <c r="U927" s="376" t="str">
        <f>CS_PID!U927/VLOOKUP($B927,표2[#ALL],2)/HLOOKUP($A927,표1[#ALL],row(),false)</f>
        <v>#N/A</v>
      </c>
      <c r="V927" s="376" t="str">
        <f>CS_PID!V927/VLOOKUP($B927,표2[#ALL],2)/HLOOKUP($A927,표1[#ALL],row(),false)</f>
        <v>#N/A</v>
      </c>
      <c r="W927" s="376" t="str">
        <f>CS_PID!W927/VLOOKUP($B927,표2[#ALL],2)/HLOOKUP($A927,표1[#ALL],row(),false)</f>
        <v>#N/A</v>
      </c>
      <c r="X927" s="376" t="str">
        <f>CS_PID!X927/VLOOKUP($B927,표2[#ALL],2)/HLOOKUP($A927,표1[#ALL],row(),false)</f>
        <v>#N/A</v>
      </c>
      <c r="Y927" s="376" t="str">
        <f>CS_PID!Y927/VLOOKUP($B927,표2[#ALL],2)/HLOOKUP($A927,표1[#ALL],row(),false)</f>
        <v>#N/A</v>
      </c>
      <c r="Z927" s="376" t="str">
        <f>CS_PID!Z927/VLOOKUP($B927,표2[#ALL],2)/HLOOKUP($A927,표1[#ALL],row(),false)</f>
        <v>#N/A</v>
      </c>
      <c r="AA927" s="376" t="str">
        <f>CS_PID!AA927/VLOOKUP($B927,표2[#ALL],2)/HLOOKUP($A927,표1[#ALL],row(),false)</f>
        <v>#N/A</v>
      </c>
      <c r="AB927" s="376" t="str">
        <f>CS_PID!AB927/VLOOKUP($B927,표2[#ALL],2)/HLOOKUP($A927,표1[#ALL],row(),false)</f>
        <v>#N/A</v>
      </c>
      <c r="AC927" s="376" t="str">
        <f>CS_PID!AC927/VLOOKUP($B927,표2[#ALL],2)/HLOOKUP($A927,표1[#ALL],row(),false)</f>
        <v>#N/A</v>
      </c>
      <c r="AD927" s="376" t="str">
        <f>CS_PID!AD927/VLOOKUP($B927,표2[#ALL],2)/HLOOKUP($A927,표1[#ALL],row(),false)</f>
        <v>#N/A</v>
      </c>
      <c r="AE927" s="376" t="str">
        <f>CS_PID!AE927/VLOOKUP($B927,표2[#ALL],2)/HLOOKUP($A927,표1[#ALL],row(),false)</f>
        <v>#N/A</v>
      </c>
      <c r="AF927" s="376" t="str">
        <f>CS_PID!AF927/VLOOKUP($B927,표2[#ALL],2)/HLOOKUP($A927,표1[#ALL],row(),false)</f>
        <v>#N/A</v>
      </c>
      <c r="AG927" s="376" t="str">
        <f>CS_PID!AG927/VLOOKUP($B927,표2[#ALL],2)/HLOOKUP($A927,표1[#ALL],row(),false)</f>
        <v>#N/A</v>
      </c>
      <c r="AH927" s="376" t="str">
        <f>CS_PID!AH927/VLOOKUP($B927,표2[#ALL],2)/HLOOKUP($A927,표1[#ALL],row(),false)</f>
        <v>#N/A</v>
      </c>
      <c r="AI927" s="376" t="str">
        <f>CS_PID!AI927/VLOOKUP($B927,표2[#ALL],2)/HLOOKUP($A927,표1[#ALL],row(),false)</f>
        <v>#N/A</v>
      </c>
      <c r="AJ927" s="376" t="str">
        <f>CS_PID!AJ927/VLOOKUP($B927,표2[#ALL],2)/HLOOKUP($A927,표1[#ALL],row(),false)</f>
        <v>#N/A</v>
      </c>
      <c r="AK927" s="376" t="str">
        <f>CS_PID!AK927/VLOOKUP($B927,표2[#ALL],2)/HLOOKUP($A927,표1[#ALL],row(),false)</f>
        <v>#N/A</v>
      </c>
      <c r="AL927" s="376" t="str">
        <f>CS_PID!AL927/VLOOKUP($B927,표2[#ALL],2)/HLOOKUP($A927,표1[#ALL],row(),false)</f>
        <v>#N/A</v>
      </c>
      <c r="AM927" s="376" t="str">
        <f>CS_PID!AM927/VLOOKUP($B927,표2[#ALL],2)/HLOOKUP($A927,표1[#ALL],row(),false)</f>
        <v>#N/A</v>
      </c>
      <c r="AN927" s="376" t="str">
        <f>CS_PID!AN927/VLOOKUP($B927,표2[#ALL],2)/HLOOKUP($A927,표1[#ALL],row(),false)</f>
        <v>#N/A</v>
      </c>
      <c r="AO927" s="376" t="str">
        <f>CS_PID!AO927/VLOOKUP($B927,표2[#ALL],2)/HLOOKUP($A927,표1[#ALL],row(),false)</f>
        <v>#N/A</v>
      </c>
      <c r="AP927" s="376" t="str">
        <f>CS_PID!AP927/VLOOKUP($B927,표2[#ALL],2)/HLOOKUP($A927,표1[#ALL],row(),false)</f>
        <v>#N/A</v>
      </c>
      <c r="AQ927" s="376" t="str">
        <f>CS_PID!AQ927/VLOOKUP($B927,표2[#ALL],2)/HLOOKUP($A927,표1[#ALL],row(),false)</f>
        <v>#N/A</v>
      </c>
      <c r="AR927" s="376" t="str">
        <f>CS_PID!AR927/VLOOKUP($B927,표2[#ALL],2)/HLOOKUP($A927,표1[#ALL],row(),false)</f>
        <v>#N/A</v>
      </c>
      <c r="AS927" s="377" t="str">
        <f>CS_PID!AS927/VLOOKUP($B927,표2[#ALL],2)/HLOOKUP($A927,표1[#ALL],row(),false)</f>
        <v>#N/A</v>
      </c>
    </row>
    <row r="928">
      <c r="A928" s="370"/>
      <c r="B928" s="371"/>
      <c r="C928" s="372" t="str">
        <f>CS_PID!C928/VLOOKUP($B928,표2[#ALL],2)</f>
        <v>#N/A</v>
      </c>
      <c r="D928" s="372" t="str">
        <f>CS_PID!D928/VLOOKUP($B928,표2[#ALL],2)</f>
        <v>#N/A</v>
      </c>
      <c r="E928" s="372" t="str">
        <f>CS_PID!E928/VLOOKUP($B928,표2[#ALL],2)</f>
        <v>#N/A</v>
      </c>
      <c r="F928" s="372" t="str">
        <f>CS_PID!F928/VLOOKUP($B928,표2[#ALL],2)</f>
        <v>#N/A</v>
      </c>
      <c r="G928" s="372" t="str">
        <f>CS_PID!G928/VLOOKUP($B928,표2[#ALL],2)</f>
        <v>#N/A</v>
      </c>
      <c r="H928" s="372" t="str">
        <f>CS_PID!H928/VLOOKUP($B928,표2[#ALL],2)/HLOOKUP($A928,표1[#ALL],row(),false)</f>
        <v>#N/A</v>
      </c>
      <c r="I928" s="372" t="str">
        <f>CS_PID!I928/VLOOKUP($B928,표2[#ALL],2)/HLOOKUP($A928,표1[#ALL],row(),false)</f>
        <v>#N/A</v>
      </c>
      <c r="J928" s="372" t="str">
        <f>CS_PID!J928/VLOOKUP($B928,표2[#ALL],2)/HLOOKUP($A928,표1[#ALL],row(),false)</f>
        <v>#N/A</v>
      </c>
      <c r="K928" s="372" t="str">
        <f>CS_PID!K928/VLOOKUP($B928,표2[#ALL],2)/HLOOKUP($A928,표1[#ALL],row(),false)</f>
        <v>#N/A</v>
      </c>
      <c r="L928" s="372" t="str">
        <f>CS_PID!L928/VLOOKUP($B928,표2[#ALL],2)/HLOOKUP($A928,표1[#ALL],row(),false)</f>
        <v>#N/A</v>
      </c>
      <c r="M928" s="372" t="str">
        <f>CS_PID!M928/VLOOKUP($B928,표2[#ALL],2)/HLOOKUP($A928,표1[#ALL],row(),false)</f>
        <v>#N/A</v>
      </c>
      <c r="N928" s="372" t="str">
        <f>CS_PID!N928/VLOOKUP($B928,표2[#ALL],2)/HLOOKUP($A928,표1[#ALL],row(),false)</f>
        <v>#N/A</v>
      </c>
      <c r="O928" s="372" t="str">
        <f>CS_PID!O928/VLOOKUP($B928,표2[#ALL],2)/HLOOKUP($A928,표1[#ALL],row(),false)</f>
        <v>#N/A</v>
      </c>
      <c r="P928" s="372" t="str">
        <f>CS_PID!P928/VLOOKUP($B928,표2[#ALL],2)/HLOOKUP($A928,표1[#ALL],row(),false)</f>
        <v>#N/A</v>
      </c>
      <c r="Q928" s="372" t="str">
        <f>CS_PID!Q928/VLOOKUP($B928,표2[#ALL],2)/HLOOKUP($A928,표1[#ALL],row(),false)</f>
        <v>#N/A</v>
      </c>
      <c r="R928" s="372" t="str">
        <f>CS_PID!R928/VLOOKUP($B928,표2[#ALL],2)/HLOOKUP($A928,표1[#ALL],row(),false)</f>
        <v>#N/A</v>
      </c>
      <c r="S928" s="372" t="str">
        <f>CS_PID!S928/VLOOKUP($B928,표2[#ALL],2)/HLOOKUP($A928,표1[#ALL],row(),false)</f>
        <v>#N/A</v>
      </c>
      <c r="T928" s="372" t="str">
        <f>CS_PID!T928/VLOOKUP($B928,표2[#ALL],2)/HLOOKUP($A928,표1[#ALL],row(),false)</f>
        <v>#N/A</v>
      </c>
      <c r="U928" s="372" t="str">
        <f>CS_PID!U928/VLOOKUP($B928,표2[#ALL],2)/HLOOKUP($A928,표1[#ALL],row(),false)</f>
        <v>#N/A</v>
      </c>
      <c r="V928" s="372" t="str">
        <f>CS_PID!V928/VLOOKUP($B928,표2[#ALL],2)/HLOOKUP($A928,표1[#ALL],row(),false)</f>
        <v>#N/A</v>
      </c>
      <c r="W928" s="372" t="str">
        <f>CS_PID!W928/VLOOKUP($B928,표2[#ALL],2)/HLOOKUP($A928,표1[#ALL],row(),false)</f>
        <v>#N/A</v>
      </c>
      <c r="X928" s="372" t="str">
        <f>CS_PID!X928/VLOOKUP($B928,표2[#ALL],2)/HLOOKUP($A928,표1[#ALL],row(),false)</f>
        <v>#N/A</v>
      </c>
      <c r="Y928" s="372" t="str">
        <f>CS_PID!Y928/VLOOKUP($B928,표2[#ALL],2)/HLOOKUP($A928,표1[#ALL],row(),false)</f>
        <v>#N/A</v>
      </c>
      <c r="Z928" s="372" t="str">
        <f>CS_PID!Z928/VLOOKUP($B928,표2[#ALL],2)/HLOOKUP($A928,표1[#ALL],row(),false)</f>
        <v>#N/A</v>
      </c>
      <c r="AA928" s="372" t="str">
        <f>CS_PID!AA928/VLOOKUP($B928,표2[#ALL],2)/HLOOKUP($A928,표1[#ALL],row(),false)</f>
        <v>#N/A</v>
      </c>
      <c r="AB928" s="372" t="str">
        <f>CS_PID!AB928/VLOOKUP($B928,표2[#ALL],2)/HLOOKUP($A928,표1[#ALL],row(),false)</f>
        <v>#N/A</v>
      </c>
      <c r="AC928" s="372" t="str">
        <f>CS_PID!AC928/VLOOKUP($B928,표2[#ALL],2)/HLOOKUP($A928,표1[#ALL],row(),false)</f>
        <v>#N/A</v>
      </c>
      <c r="AD928" s="372" t="str">
        <f>CS_PID!AD928/VLOOKUP($B928,표2[#ALL],2)/HLOOKUP($A928,표1[#ALL],row(),false)</f>
        <v>#N/A</v>
      </c>
      <c r="AE928" s="372" t="str">
        <f>CS_PID!AE928/VLOOKUP($B928,표2[#ALL],2)/HLOOKUP($A928,표1[#ALL],row(),false)</f>
        <v>#N/A</v>
      </c>
      <c r="AF928" s="372" t="str">
        <f>CS_PID!AF928/VLOOKUP($B928,표2[#ALL],2)/HLOOKUP($A928,표1[#ALL],row(),false)</f>
        <v>#N/A</v>
      </c>
      <c r="AG928" s="372" t="str">
        <f>CS_PID!AG928/VLOOKUP($B928,표2[#ALL],2)/HLOOKUP($A928,표1[#ALL],row(),false)</f>
        <v>#N/A</v>
      </c>
      <c r="AH928" s="372" t="str">
        <f>CS_PID!AH928/VLOOKUP($B928,표2[#ALL],2)/HLOOKUP($A928,표1[#ALL],row(),false)</f>
        <v>#N/A</v>
      </c>
      <c r="AI928" s="372" t="str">
        <f>CS_PID!AI928/VLOOKUP($B928,표2[#ALL],2)/HLOOKUP($A928,표1[#ALL],row(),false)</f>
        <v>#N/A</v>
      </c>
      <c r="AJ928" s="372" t="str">
        <f>CS_PID!AJ928/VLOOKUP($B928,표2[#ALL],2)/HLOOKUP($A928,표1[#ALL],row(),false)</f>
        <v>#N/A</v>
      </c>
      <c r="AK928" s="372" t="str">
        <f>CS_PID!AK928/VLOOKUP($B928,표2[#ALL],2)/HLOOKUP($A928,표1[#ALL],row(),false)</f>
        <v>#N/A</v>
      </c>
      <c r="AL928" s="372" t="str">
        <f>CS_PID!AL928/VLOOKUP($B928,표2[#ALL],2)/HLOOKUP($A928,표1[#ALL],row(),false)</f>
        <v>#N/A</v>
      </c>
      <c r="AM928" s="372" t="str">
        <f>CS_PID!AM928/VLOOKUP($B928,표2[#ALL],2)/HLOOKUP($A928,표1[#ALL],row(),false)</f>
        <v>#N/A</v>
      </c>
      <c r="AN928" s="372" t="str">
        <f>CS_PID!AN928/VLOOKUP($B928,표2[#ALL],2)/HLOOKUP($A928,표1[#ALL],row(),false)</f>
        <v>#N/A</v>
      </c>
      <c r="AO928" s="372" t="str">
        <f>CS_PID!AO928/VLOOKUP($B928,표2[#ALL],2)/HLOOKUP($A928,표1[#ALL],row(),false)</f>
        <v>#N/A</v>
      </c>
      <c r="AP928" s="372" t="str">
        <f>CS_PID!AP928/VLOOKUP($B928,표2[#ALL],2)/HLOOKUP($A928,표1[#ALL],row(),false)</f>
        <v>#N/A</v>
      </c>
      <c r="AQ928" s="372" t="str">
        <f>CS_PID!AQ928/VLOOKUP($B928,표2[#ALL],2)/HLOOKUP($A928,표1[#ALL],row(),false)</f>
        <v>#N/A</v>
      </c>
      <c r="AR928" s="372" t="str">
        <f>CS_PID!AR928/VLOOKUP($B928,표2[#ALL],2)/HLOOKUP($A928,표1[#ALL],row(),false)</f>
        <v>#N/A</v>
      </c>
      <c r="AS928" s="373" t="str">
        <f>CS_PID!AS928/VLOOKUP($B928,표2[#ALL],2)/HLOOKUP($A928,표1[#ALL],row(),false)</f>
        <v>#N/A</v>
      </c>
    </row>
    <row r="929">
      <c r="A929" s="374"/>
      <c r="B929" s="375"/>
      <c r="C929" s="376" t="str">
        <f>CS_PID!C929/VLOOKUP($B929,표2[#ALL],2)</f>
        <v>#N/A</v>
      </c>
      <c r="D929" s="376" t="str">
        <f>CS_PID!D929/VLOOKUP($B929,표2[#ALL],2)</f>
        <v>#N/A</v>
      </c>
      <c r="E929" s="376" t="str">
        <f>CS_PID!E929/VLOOKUP($B929,표2[#ALL],2)</f>
        <v>#N/A</v>
      </c>
      <c r="F929" s="376" t="str">
        <f>CS_PID!F929/VLOOKUP($B929,표2[#ALL],2)</f>
        <v>#N/A</v>
      </c>
      <c r="G929" s="376" t="str">
        <f>CS_PID!G929/VLOOKUP($B929,표2[#ALL],2)</f>
        <v>#N/A</v>
      </c>
      <c r="H929" s="376" t="str">
        <f>CS_PID!H929/VLOOKUP($B929,표2[#ALL],2)/HLOOKUP($A929,표1[#ALL],row(),false)</f>
        <v>#N/A</v>
      </c>
      <c r="I929" s="376" t="str">
        <f>CS_PID!I929/VLOOKUP($B929,표2[#ALL],2)/HLOOKUP($A929,표1[#ALL],row(),false)</f>
        <v>#N/A</v>
      </c>
      <c r="J929" s="376" t="str">
        <f>CS_PID!J929/VLOOKUP($B929,표2[#ALL],2)/HLOOKUP($A929,표1[#ALL],row(),false)</f>
        <v>#N/A</v>
      </c>
      <c r="K929" s="376" t="str">
        <f>CS_PID!K929/VLOOKUP($B929,표2[#ALL],2)/HLOOKUP($A929,표1[#ALL],row(),false)</f>
        <v>#N/A</v>
      </c>
      <c r="L929" s="376" t="str">
        <f>CS_PID!L929/VLOOKUP($B929,표2[#ALL],2)/HLOOKUP($A929,표1[#ALL],row(),false)</f>
        <v>#N/A</v>
      </c>
      <c r="M929" s="376" t="str">
        <f>CS_PID!M929/VLOOKUP($B929,표2[#ALL],2)/HLOOKUP($A929,표1[#ALL],row(),false)</f>
        <v>#N/A</v>
      </c>
      <c r="N929" s="376" t="str">
        <f>CS_PID!N929/VLOOKUP($B929,표2[#ALL],2)/HLOOKUP($A929,표1[#ALL],row(),false)</f>
        <v>#N/A</v>
      </c>
      <c r="O929" s="376" t="str">
        <f>CS_PID!O929/VLOOKUP($B929,표2[#ALL],2)/HLOOKUP($A929,표1[#ALL],row(),false)</f>
        <v>#N/A</v>
      </c>
      <c r="P929" s="376" t="str">
        <f>CS_PID!P929/VLOOKUP($B929,표2[#ALL],2)/HLOOKUP($A929,표1[#ALL],row(),false)</f>
        <v>#N/A</v>
      </c>
      <c r="Q929" s="376" t="str">
        <f>CS_PID!Q929/VLOOKUP($B929,표2[#ALL],2)/HLOOKUP($A929,표1[#ALL],row(),false)</f>
        <v>#N/A</v>
      </c>
      <c r="R929" s="376" t="str">
        <f>CS_PID!R929/VLOOKUP($B929,표2[#ALL],2)/HLOOKUP($A929,표1[#ALL],row(),false)</f>
        <v>#N/A</v>
      </c>
      <c r="S929" s="376" t="str">
        <f>CS_PID!S929/VLOOKUP($B929,표2[#ALL],2)/HLOOKUP($A929,표1[#ALL],row(),false)</f>
        <v>#N/A</v>
      </c>
      <c r="T929" s="376" t="str">
        <f>CS_PID!T929/VLOOKUP($B929,표2[#ALL],2)/HLOOKUP($A929,표1[#ALL],row(),false)</f>
        <v>#N/A</v>
      </c>
      <c r="U929" s="376" t="str">
        <f>CS_PID!U929/VLOOKUP($B929,표2[#ALL],2)/HLOOKUP($A929,표1[#ALL],row(),false)</f>
        <v>#N/A</v>
      </c>
      <c r="V929" s="376" t="str">
        <f>CS_PID!V929/VLOOKUP($B929,표2[#ALL],2)/HLOOKUP($A929,표1[#ALL],row(),false)</f>
        <v>#N/A</v>
      </c>
      <c r="W929" s="376" t="str">
        <f>CS_PID!W929/VLOOKUP($B929,표2[#ALL],2)/HLOOKUP($A929,표1[#ALL],row(),false)</f>
        <v>#N/A</v>
      </c>
      <c r="X929" s="376" t="str">
        <f>CS_PID!X929/VLOOKUP($B929,표2[#ALL],2)/HLOOKUP($A929,표1[#ALL],row(),false)</f>
        <v>#N/A</v>
      </c>
      <c r="Y929" s="376" t="str">
        <f>CS_PID!Y929/VLOOKUP($B929,표2[#ALL],2)/HLOOKUP($A929,표1[#ALL],row(),false)</f>
        <v>#N/A</v>
      </c>
      <c r="Z929" s="376" t="str">
        <f>CS_PID!Z929/VLOOKUP($B929,표2[#ALL],2)/HLOOKUP($A929,표1[#ALL],row(),false)</f>
        <v>#N/A</v>
      </c>
      <c r="AA929" s="376" t="str">
        <f>CS_PID!AA929/VLOOKUP($B929,표2[#ALL],2)/HLOOKUP($A929,표1[#ALL],row(),false)</f>
        <v>#N/A</v>
      </c>
      <c r="AB929" s="376" t="str">
        <f>CS_PID!AB929/VLOOKUP($B929,표2[#ALL],2)/HLOOKUP($A929,표1[#ALL],row(),false)</f>
        <v>#N/A</v>
      </c>
      <c r="AC929" s="376" t="str">
        <f>CS_PID!AC929/VLOOKUP($B929,표2[#ALL],2)/HLOOKUP($A929,표1[#ALL],row(),false)</f>
        <v>#N/A</v>
      </c>
      <c r="AD929" s="376" t="str">
        <f>CS_PID!AD929/VLOOKUP($B929,표2[#ALL],2)/HLOOKUP($A929,표1[#ALL],row(),false)</f>
        <v>#N/A</v>
      </c>
      <c r="AE929" s="376" t="str">
        <f>CS_PID!AE929/VLOOKUP($B929,표2[#ALL],2)/HLOOKUP($A929,표1[#ALL],row(),false)</f>
        <v>#N/A</v>
      </c>
      <c r="AF929" s="376" t="str">
        <f>CS_PID!AF929/VLOOKUP($B929,표2[#ALL],2)/HLOOKUP($A929,표1[#ALL],row(),false)</f>
        <v>#N/A</v>
      </c>
      <c r="AG929" s="376" t="str">
        <f>CS_PID!AG929/VLOOKUP($B929,표2[#ALL],2)/HLOOKUP($A929,표1[#ALL],row(),false)</f>
        <v>#N/A</v>
      </c>
      <c r="AH929" s="376" t="str">
        <f>CS_PID!AH929/VLOOKUP($B929,표2[#ALL],2)/HLOOKUP($A929,표1[#ALL],row(),false)</f>
        <v>#N/A</v>
      </c>
      <c r="AI929" s="376" t="str">
        <f>CS_PID!AI929/VLOOKUP($B929,표2[#ALL],2)/HLOOKUP($A929,표1[#ALL],row(),false)</f>
        <v>#N/A</v>
      </c>
      <c r="AJ929" s="376" t="str">
        <f>CS_PID!AJ929/VLOOKUP($B929,표2[#ALL],2)/HLOOKUP($A929,표1[#ALL],row(),false)</f>
        <v>#N/A</v>
      </c>
      <c r="AK929" s="376" t="str">
        <f>CS_PID!AK929/VLOOKUP($B929,표2[#ALL],2)/HLOOKUP($A929,표1[#ALL],row(),false)</f>
        <v>#N/A</v>
      </c>
      <c r="AL929" s="376" t="str">
        <f>CS_PID!AL929/VLOOKUP($B929,표2[#ALL],2)/HLOOKUP($A929,표1[#ALL],row(),false)</f>
        <v>#N/A</v>
      </c>
      <c r="AM929" s="376" t="str">
        <f>CS_PID!AM929/VLOOKUP($B929,표2[#ALL],2)/HLOOKUP($A929,표1[#ALL],row(),false)</f>
        <v>#N/A</v>
      </c>
      <c r="AN929" s="376" t="str">
        <f>CS_PID!AN929/VLOOKUP($B929,표2[#ALL],2)/HLOOKUP($A929,표1[#ALL],row(),false)</f>
        <v>#N/A</v>
      </c>
      <c r="AO929" s="376" t="str">
        <f>CS_PID!AO929/VLOOKUP($B929,표2[#ALL],2)/HLOOKUP($A929,표1[#ALL],row(),false)</f>
        <v>#N/A</v>
      </c>
      <c r="AP929" s="376" t="str">
        <f>CS_PID!AP929/VLOOKUP($B929,표2[#ALL],2)/HLOOKUP($A929,표1[#ALL],row(),false)</f>
        <v>#N/A</v>
      </c>
      <c r="AQ929" s="376" t="str">
        <f>CS_PID!AQ929/VLOOKUP($B929,표2[#ALL],2)/HLOOKUP($A929,표1[#ALL],row(),false)</f>
        <v>#N/A</v>
      </c>
      <c r="AR929" s="376" t="str">
        <f>CS_PID!AR929/VLOOKUP($B929,표2[#ALL],2)/HLOOKUP($A929,표1[#ALL],row(),false)</f>
        <v>#N/A</v>
      </c>
      <c r="AS929" s="377" t="str">
        <f>CS_PID!AS929/VLOOKUP($B929,표2[#ALL],2)/HLOOKUP($A929,표1[#ALL],row(),false)</f>
        <v>#N/A</v>
      </c>
    </row>
    <row r="930">
      <c r="A930" s="370"/>
      <c r="B930" s="371"/>
      <c r="C930" s="372" t="str">
        <f>CS_PID!C930/VLOOKUP($B930,표2[#ALL],2)</f>
        <v>#N/A</v>
      </c>
      <c r="D930" s="372" t="str">
        <f>CS_PID!D930/VLOOKUP($B930,표2[#ALL],2)</f>
        <v>#N/A</v>
      </c>
      <c r="E930" s="372" t="str">
        <f>CS_PID!E930/VLOOKUP($B930,표2[#ALL],2)</f>
        <v>#N/A</v>
      </c>
      <c r="F930" s="372" t="str">
        <f>CS_PID!F930/VLOOKUP($B930,표2[#ALL],2)</f>
        <v>#N/A</v>
      </c>
      <c r="G930" s="372" t="str">
        <f>CS_PID!G930/VLOOKUP($B930,표2[#ALL],2)</f>
        <v>#N/A</v>
      </c>
      <c r="H930" s="372" t="str">
        <f>CS_PID!H930/VLOOKUP($B930,표2[#ALL],2)/HLOOKUP($A930,표1[#ALL],row(),false)</f>
        <v>#N/A</v>
      </c>
      <c r="I930" s="372" t="str">
        <f>CS_PID!I930/VLOOKUP($B930,표2[#ALL],2)/HLOOKUP($A930,표1[#ALL],row(),false)</f>
        <v>#N/A</v>
      </c>
      <c r="J930" s="372" t="str">
        <f>CS_PID!J930/VLOOKUP($B930,표2[#ALL],2)/HLOOKUP($A930,표1[#ALL],row(),false)</f>
        <v>#N/A</v>
      </c>
      <c r="K930" s="372" t="str">
        <f>CS_PID!K930/VLOOKUP($B930,표2[#ALL],2)/HLOOKUP($A930,표1[#ALL],row(),false)</f>
        <v>#N/A</v>
      </c>
      <c r="L930" s="372" t="str">
        <f>CS_PID!L930/VLOOKUP($B930,표2[#ALL],2)/HLOOKUP($A930,표1[#ALL],row(),false)</f>
        <v>#N/A</v>
      </c>
      <c r="M930" s="372" t="str">
        <f>CS_PID!M930/VLOOKUP($B930,표2[#ALL],2)/HLOOKUP($A930,표1[#ALL],row(),false)</f>
        <v>#N/A</v>
      </c>
      <c r="N930" s="372" t="str">
        <f>CS_PID!N930/VLOOKUP($B930,표2[#ALL],2)/HLOOKUP($A930,표1[#ALL],row(),false)</f>
        <v>#N/A</v>
      </c>
      <c r="O930" s="372" t="str">
        <f>CS_PID!O930/VLOOKUP($B930,표2[#ALL],2)/HLOOKUP($A930,표1[#ALL],row(),false)</f>
        <v>#N/A</v>
      </c>
      <c r="P930" s="372" t="str">
        <f>CS_PID!P930/VLOOKUP($B930,표2[#ALL],2)/HLOOKUP($A930,표1[#ALL],row(),false)</f>
        <v>#N/A</v>
      </c>
      <c r="Q930" s="372" t="str">
        <f>CS_PID!Q930/VLOOKUP($B930,표2[#ALL],2)/HLOOKUP($A930,표1[#ALL],row(),false)</f>
        <v>#N/A</v>
      </c>
      <c r="R930" s="372" t="str">
        <f>CS_PID!R930/VLOOKUP($B930,표2[#ALL],2)/HLOOKUP($A930,표1[#ALL],row(),false)</f>
        <v>#N/A</v>
      </c>
      <c r="S930" s="372" t="str">
        <f>CS_PID!S930/VLOOKUP($B930,표2[#ALL],2)/HLOOKUP($A930,표1[#ALL],row(),false)</f>
        <v>#N/A</v>
      </c>
      <c r="T930" s="372" t="str">
        <f>CS_PID!T930/VLOOKUP($B930,표2[#ALL],2)/HLOOKUP($A930,표1[#ALL],row(),false)</f>
        <v>#N/A</v>
      </c>
      <c r="U930" s="372" t="str">
        <f>CS_PID!U930/VLOOKUP($B930,표2[#ALL],2)/HLOOKUP($A930,표1[#ALL],row(),false)</f>
        <v>#N/A</v>
      </c>
      <c r="V930" s="372" t="str">
        <f>CS_PID!V930/VLOOKUP($B930,표2[#ALL],2)/HLOOKUP($A930,표1[#ALL],row(),false)</f>
        <v>#N/A</v>
      </c>
      <c r="W930" s="372" t="str">
        <f>CS_PID!W930/VLOOKUP($B930,표2[#ALL],2)/HLOOKUP($A930,표1[#ALL],row(),false)</f>
        <v>#N/A</v>
      </c>
      <c r="X930" s="372" t="str">
        <f>CS_PID!X930/VLOOKUP($B930,표2[#ALL],2)/HLOOKUP($A930,표1[#ALL],row(),false)</f>
        <v>#N/A</v>
      </c>
      <c r="Y930" s="372" t="str">
        <f>CS_PID!Y930/VLOOKUP($B930,표2[#ALL],2)/HLOOKUP($A930,표1[#ALL],row(),false)</f>
        <v>#N/A</v>
      </c>
      <c r="Z930" s="372" t="str">
        <f>CS_PID!Z930/VLOOKUP($B930,표2[#ALL],2)/HLOOKUP($A930,표1[#ALL],row(),false)</f>
        <v>#N/A</v>
      </c>
      <c r="AA930" s="372" t="str">
        <f>CS_PID!AA930/VLOOKUP($B930,표2[#ALL],2)/HLOOKUP($A930,표1[#ALL],row(),false)</f>
        <v>#N/A</v>
      </c>
      <c r="AB930" s="372" t="str">
        <f>CS_PID!AB930/VLOOKUP($B930,표2[#ALL],2)/HLOOKUP($A930,표1[#ALL],row(),false)</f>
        <v>#N/A</v>
      </c>
      <c r="AC930" s="372" t="str">
        <f>CS_PID!AC930/VLOOKUP($B930,표2[#ALL],2)/HLOOKUP($A930,표1[#ALL],row(),false)</f>
        <v>#N/A</v>
      </c>
      <c r="AD930" s="372" t="str">
        <f>CS_PID!AD930/VLOOKUP($B930,표2[#ALL],2)/HLOOKUP($A930,표1[#ALL],row(),false)</f>
        <v>#N/A</v>
      </c>
      <c r="AE930" s="372" t="str">
        <f>CS_PID!AE930/VLOOKUP($B930,표2[#ALL],2)/HLOOKUP($A930,표1[#ALL],row(),false)</f>
        <v>#N/A</v>
      </c>
      <c r="AF930" s="372" t="str">
        <f>CS_PID!AF930/VLOOKUP($B930,표2[#ALL],2)/HLOOKUP($A930,표1[#ALL],row(),false)</f>
        <v>#N/A</v>
      </c>
      <c r="AG930" s="372" t="str">
        <f>CS_PID!AG930/VLOOKUP($B930,표2[#ALL],2)/HLOOKUP($A930,표1[#ALL],row(),false)</f>
        <v>#N/A</v>
      </c>
      <c r="AH930" s="372" t="str">
        <f>CS_PID!AH930/VLOOKUP($B930,표2[#ALL],2)/HLOOKUP($A930,표1[#ALL],row(),false)</f>
        <v>#N/A</v>
      </c>
      <c r="AI930" s="372" t="str">
        <f>CS_PID!AI930/VLOOKUP($B930,표2[#ALL],2)/HLOOKUP($A930,표1[#ALL],row(),false)</f>
        <v>#N/A</v>
      </c>
      <c r="AJ930" s="372" t="str">
        <f>CS_PID!AJ930/VLOOKUP($B930,표2[#ALL],2)/HLOOKUP($A930,표1[#ALL],row(),false)</f>
        <v>#N/A</v>
      </c>
      <c r="AK930" s="372" t="str">
        <f>CS_PID!AK930/VLOOKUP($B930,표2[#ALL],2)/HLOOKUP($A930,표1[#ALL],row(),false)</f>
        <v>#N/A</v>
      </c>
      <c r="AL930" s="372" t="str">
        <f>CS_PID!AL930/VLOOKUP($B930,표2[#ALL],2)/HLOOKUP($A930,표1[#ALL],row(),false)</f>
        <v>#N/A</v>
      </c>
      <c r="AM930" s="372" t="str">
        <f>CS_PID!AM930/VLOOKUP($B930,표2[#ALL],2)/HLOOKUP($A930,표1[#ALL],row(),false)</f>
        <v>#N/A</v>
      </c>
      <c r="AN930" s="372" t="str">
        <f>CS_PID!AN930/VLOOKUP($B930,표2[#ALL],2)/HLOOKUP($A930,표1[#ALL],row(),false)</f>
        <v>#N/A</v>
      </c>
      <c r="AO930" s="372" t="str">
        <f>CS_PID!AO930/VLOOKUP($B930,표2[#ALL],2)/HLOOKUP($A930,표1[#ALL],row(),false)</f>
        <v>#N/A</v>
      </c>
      <c r="AP930" s="372" t="str">
        <f>CS_PID!AP930/VLOOKUP($B930,표2[#ALL],2)/HLOOKUP($A930,표1[#ALL],row(),false)</f>
        <v>#N/A</v>
      </c>
      <c r="AQ930" s="372" t="str">
        <f>CS_PID!AQ930/VLOOKUP($B930,표2[#ALL],2)/HLOOKUP($A930,표1[#ALL],row(),false)</f>
        <v>#N/A</v>
      </c>
      <c r="AR930" s="372" t="str">
        <f>CS_PID!AR930/VLOOKUP($B930,표2[#ALL],2)/HLOOKUP($A930,표1[#ALL],row(),false)</f>
        <v>#N/A</v>
      </c>
      <c r="AS930" s="373" t="str">
        <f>CS_PID!AS930/VLOOKUP($B930,표2[#ALL],2)/HLOOKUP($A930,표1[#ALL],row(),false)</f>
        <v>#N/A</v>
      </c>
    </row>
    <row r="931">
      <c r="A931" s="374"/>
      <c r="B931" s="375"/>
      <c r="C931" s="376" t="str">
        <f>CS_PID!C931/VLOOKUP($B931,표2[#ALL],2)</f>
        <v>#N/A</v>
      </c>
      <c r="D931" s="376" t="str">
        <f>CS_PID!D931/VLOOKUP($B931,표2[#ALL],2)</f>
        <v>#N/A</v>
      </c>
      <c r="E931" s="376" t="str">
        <f>CS_PID!E931/VLOOKUP($B931,표2[#ALL],2)</f>
        <v>#N/A</v>
      </c>
      <c r="F931" s="376" t="str">
        <f>CS_PID!F931/VLOOKUP($B931,표2[#ALL],2)</f>
        <v>#N/A</v>
      </c>
      <c r="G931" s="376" t="str">
        <f>CS_PID!G931/VLOOKUP($B931,표2[#ALL],2)</f>
        <v>#N/A</v>
      </c>
      <c r="H931" s="376" t="str">
        <f>CS_PID!H931/VLOOKUP($B931,표2[#ALL],2)/HLOOKUP($A931,표1[#ALL],row(),false)</f>
        <v>#N/A</v>
      </c>
      <c r="I931" s="376" t="str">
        <f>CS_PID!I931/VLOOKUP($B931,표2[#ALL],2)/HLOOKUP($A931,표1[#ALL],row(),false)</f>
        <v>#N/A</v>
      </c>
      <c r="J931" s="376" t="str">
        <f>CS_PID!J931/VLOOKUP($B931,표2[#ALL],2)/HLOOKUP($A931,표1[#ALL],row(),false)</f>
        <v>#N/A</v>
      </c>
      <c r="K931" s="376" t="str">
        <f>CS_PID!K931/VLOOKUP($B931,표2[#ALL],2)/HLOOKUP($A931,표1[#ALL],row(),false)</f>
        <v>#N/A</v>
      </c>
      <c r="L931" s="376" t="str">
        <f>CS_PID!L931/VLOOKUP($B931,표2[#ALL],2)/HLOOKUP($A931,표1[#ALL],row(),false)</f>
        <v>#N/A</v>
      </c>
      <c r="M931" s="376" t="str">
        <f>CS_PID!M931/VLOOKUP($B931,표2[#ALL],2)/HLOOKUP($A931,표1[#ALL],row(),false)</f>
        <v>#N/A</v>
      </c>
      <c r="N931" s="376" t="str">
        <f>CS_PID!N931/VLOOKUP($B931,표2[#ALL],2)/HLOOKUP($A931,표1[#ALL],row(),false)</f>
        <v>#N/A</v>
      </c>
      <c r="O931" s="376" t="str">
        <f>CS_PID!O931/VLOOKUP($B931,표2[#ALL],2)/HLOOKUP($A931,표1[#ALL],row(),false)</f>
        <v>#N/A</v>
      </c>
      <c r="P931" s="376" t="str">
        <f>CS_PID!P931/VLOOKUP($B931,표2[#ALL],2)/HLOOKUP($A931,표1[#ALL],row(),false)</f>
        <v>#N/A</v>
      </c>
      <c r="Q931" s="376" t="str">
        <f>CS_PID!Q931/VLOOKUP($B931,표2[#ALL],2)/HLOOKUP($A931,표1[#ALL],row(),false)</f>
        <v>#N/A</v>
      </c>
      <c r="R931" s="376" t="str">
        <f>CS_PID!R931/VLOOKUP($B931,표2[#ALL],2)/HLOOKUP($A931,표1[#ALL],row(),false)</f>
        <v>#N/A</v>
      </c>
      <c r="S931" s="376" t="str">
        <f>CS_PID!S931/VLOOKUP($B931,표2[#ALL],2)/HLOOKUP($A931,표1[#ALL],row(),false)</f>
        <v>#N/A</v>
      </c>
      <c r="T931" s="376" t="str">
        <f>CS_PID!T931/VLOOKUP($B931,표2[#ALL],2)/HLOOKUP($A931,표1[#ALL],row(),false)</f>
        <v>#N/A</v>
      </c>
      <c r="U931" s="376" t="str">
        <f>CS_PID!U931/VLOOKUP($B931,표2[#ALL],2)/HLOOKUP($A931,표1[#ALL],row(),false)</f>
        <v>#N/A</v>
      </c>
      <c r="V931" s="376" t="str">
        <f>CS_PID!V931/VLOOKUP($B931,표2[#ALL],2)/HLOOKUP($A931,표1[#ALL],row(),false)</f>
        <v>#N/A</v>
      </c>
      <c r="W931" s="376" t="str">
        <f>CS_PID!W931/VLOOKUP($B931,표2[#ALL],2)/HLOOKUP($A931,표1[#ALL],row(),false)</f>
        <v>#N/A</v>
      </c>
      <c r="X931" s="376" t="str">
        <f>CS_PID!X931/VLOOKUP($B931,표2[#ALL],2)/HLOOKUP($A931,표1[#ALL],row(),false)</f>
        <v>#N/A</v>
      </c>
      <c r="Y931" s="376" t="str">
        <f>CS_PID!Y931/VLOOKUP($B931,표2[#ALL],2)/HLOOKUP($A931,표1[#ALL],row(),false)</f>
        <v>#N/A</v>
      </c>
      <c r="Z931" s="376" t="str">
        <f>CS_PID!Z931/VLOOKUP($B931,표2[#ALL],2)/HLOOKUP($A931,표1[#ALL],row(),false)</f>
        <v>#N/A</v>
      </c>
      <c r="AA931" s="376" t="str">
        <f>CS_PID!AA931/VLOOKUP($B931,표2[#ALL],2)/HLOOKUP($A931,표1[#ALL],row(),false)</f>
        <v>#N/A</v>
      </c>
      <c r="AB931" s="376" t="str">
        <f>CS_PID!AB931/VLOOKUP($B931,표2[#ALL],2)/HLOOKUP($A931,표1[#ALL],row(),false)</f>
        <v>#N/A</v>
      </c>
      <c r="AC931" s="376" t="str">
        <f>CS_PID!AC931/VLOOKUP($B931,표2[#ALL],2)/HLOOKUP($A931,표1[#ALL],row(),false)</f>
        <v>#N/A</v>
      </c>
      <c r="AD931" s="376" t="str">
        <f>CS_PID!AD931/VLOOKUP($B931,표2[#ALL],2)/HLOOKUP($A931,표1[#ALL],row(),false)</f>
        <v>#N/A</v>
      </c>
      <c r="AE931" s="376" t="str">
        <f>CS_PID!AE931/VLOOKUP($B931,표2[#ALL],2)/HLOOKUP($A931,표1[#ALL],row(),false)</f>
        <v>#N/A</v>
      </c>
      <c r="AF931" s="376" t="str">
        <f>CS_PID!AF931/VLOOKUP($B931,표2[#ALL],2)/HLOOKUP($A931,표1[#ALL],row(),false)</f>
        <v>#N/A</v>
      </c>
      <c r="AG931" s="376" t="str">
        <f>CS_PID!AG931/VLOOKUP($B931,표2[#ALL],2)/HLOOKUP($A931,표1[#ALL],row(),false)</f>
        <v>#N/A</v>
      </c>
      <c r="AH931" s="376" t="str">
        <f>CS_PID!AH931/VLOOKUP($B931,표2[#ALL],2)/HLOOKUP($A931,표1[#ALL],row(),false)</f>
        <v>#N/A</v>
      </c>
      <c r="AI931" s="376" t="str">
        <f>CS_PID!AI931/VLOOKUP($B931,표2[#ALL],2)/HLOOKUP($A931,표1[#ALL],row(),false)</f>
        <v>#N/A</v>
      </c>
      <c r="AJ931" s="376" t="str">
        <f>CS_PID!AJ931/VLOOKUP($B931,표2[#ALL],2)/HLOOKUP($A931,표1[#ALL],row(),false)</f>
        <v>#N/A</v>
      </c>
      <c r="AK931" s="376" t="str">
        <f>CS_PID!AK931/VLOOKUP($B931,표2[#ALL],2)/HLOOKUP($A931,표1[#ALL],row(),false)</f>
        <v>#N/A</v>
      </c>
      <c r="AL931" s="376" t="str">
        <f>CS_PID!AL931/VLOOKUP($B931,표2[#ALL],2)/HLOOKUP($A931,표1[#ALL],row(),false)</f>
        <v>#N/A</v>
      </c>
      <c r="AM931" s="376" t="str">
        <f>CS_PID!AM931/VLOOKUP($B931,표2[#ALL],2)/HLOOKUP($A931,표1[#ALL],row(),false)</f>
        <v>#N/A</v>
      </c>
      <c r="AN931" s="376" t="str">
        <f>CS_PID!AN931/VLOOKUP($B931,표2[#ALL],2)/HLOOKUP($A931,표1[#ALL],row(),false)</f>
        <v>#N/A</v>
      </c>
      <c r="AO931" s="376" t="str">
        <f>CS_PID!AO931/VLOOKUP($B931,표2[#ALL],2)/HLOOKUP($A931,표1[#ALL],row(),false)</f>
        <v>#N/A</v>
      </c>
      <c r="AP931" s="376" t="str">
        <f>CS_PID!AP931/VLOOKUP($B931,표2[#ALL],2)/HLOOKUP($A931,표1[#ALL],row(),false)</f>
        <v>#N/A</v>
      </c>
      <c r="AQ931" s="376" t="str">
        <f>CS_PID!AQ931/VLOOKUP($B931,표2[#ALL],2)/HLOOKUP($A931,표1[#ALL],row(),false)</f>
        <v>#N/A</v>
      </c>
      <c r="AR931" s="376" t="str">
        <f>CS_PID!AR931/VLOOKUP($B931,표2[#ALL],2)/HLOOKUP($A931,표1[#ALL],row(),false)</f>
        <v>#N/A</v>
      </c>
      <c r="AS931" s="377" t="str">
        <f>CS_PID!AS931/VLOOKUP($B931,표2[#ALL],2)/HLOOKUP($A931,표1[#ALL],row(),false)</f>
        <v>#N/A</v>
      </c>
    </row>
    <row r="932">
      <c r="A932" s="370"/>
      <c r="B932" s="371"/>
      <c r="C932" s="372" t="str">
        <f>CS_PID!C932/VLOOKUP($B932,표2[#ALL],2)</f>
        <v>#N/A</v>
      </c>
      <c r="D932" s="372" t="str">
        <f>CS_PID!D932/VLOOKUP($B932,표2[#ALL],2)</f>
        <v>#N/A</v>
      </c>
      <c r="E932" s="372" t="str">
        <f>CS_PID!E932/VLOOKUP($B932,표2[#ALL],2)</f>
        <v>#N/A</v>
      </c>
      <c r="F932" s="372" t="str">
        <f>CS_PID!F932/VLOOKUP($B932,표2[#ALL],2)</f>
        <v>#N/A</v>
      </c>
      <c r="G932" s="372" t="str">
        <f>CS_PID!G932/VLOOKUP($B932,표2[#ALL],2)</f>
        <v>#N/A</v>
      </c>
      <c r="H932" s="372" t="str">
        <f>CS_PID!H932/VLOOKUP($B932,표2[#ALL],2)/HLOOKUP($A932,표1[#ALL],row(),false)</f>
        <v>#N/A</v>
      </c>
      <c r="I932" s="372" t="str">
        <f>CS_PID!I932/VLOOKUP($B932,표2[#ALL],2)/HLOOKUP($A932,표1[#ALL],row(),false)</f>
        <v>#N/A</v>
      </c>
      <c r="J932" s="372" t="str">
        <f>CS_PID!J932/VLOOKUP($B932,표2[#ALL],2)/HLOOKUP($A932,표1[#ALL],row(),false)</f>
        <v>#N/A</v>
      </c>
      <c r="K932" s="372" t="str">
        <f>CS_PID!K932/VLOOKUP($B932,표2[#ALL],2)/HLOOKUP($A932,표1[#ALL],row(),false)</f>
        <v>#N/A</v>
      </c>
      <c r="L932" s="372" t="str">
        <f>CS_PID!L932/VLOOKUP($B932,표2[#ALL],2)/HLOOKUP($A932,표1[#ALL],row(),false)</f>
        <v>#N/A</v>
      </c>
      <c r="M932" s="372" t="str">
        <f>CS_PID!M932/VLOOKUP($B932,표2[#ALL],2)/HLOOKUP($A932,표1[#ALL],row(),false)</f>
        <v>#N/A</v>
      </c>
      <c r="N932" s="372" t="str">
        <f>CS_PID!N932/VLOOKUP($B932,표2[#ALL],2)/HLOOKUP($A932,표1[#ALL],row(),false)</f>
        <v>#N/A</v>
      </c>
      <c r="O932" s="372" t="str">
        <f>CS_PID!O932/VLOOKUP($B932,표2[#ALL],2)/HLOOKUP($A932,표1[#ALL],row(),false)</f>
        <v>#N/A</v>
      </c>
      <c r="P932" s="372" t="str">
        <f>CS_PID!P932/VLOOKUP($B932,표2[#ALL],2)/HLOOKUP($A932,표1[#ALL],row(),false)</f>
        <v>#N/A</v>
      </c>
      <c r="Q932" s="372" t="str">
        <f>CS_PID!Q932/VLOOKUP($B932,표2[#ALL],2)/HLOOKUP($A932,표1[#ALL],row(),false)</f>
        <v>#N/A</v>
      </c>
      <c r="R932" s="372" t="str">
        <f>CS_PID!R932/VLOOKUP($B932,표2[#ALL],2)/HLOOKUP($A932,표1[#ALL],row(),false)</f>
        <v>#N/A</v>
      </c>
      <c r="S932" s="372" t="str">
        <f>CS_PID!S932/VLOOKUP($B932,표2[#ALL],2)/HLOOKUP($A932,표1[#ALL],row(),false)</f>
        <v>#N/A</v>
      </c>
      <c r="T932" s="372" t="str">
        <f>CS_PID!T932/VLOOKUP($B932,표2[#ALL],2)/HLOOKUP($A932,표1[#ALL],row(),false)</f>
        <v>#N/A</v>
      </c>
      <c r="U932" s="372" t="str">
        <f>CS_PID!U932/VLOOKUP($B932,표2[#ALL],2)/HLOOKUP($A932,표1[#ALL],row(),false)</f>
        <v>#N/A</v>
      </c>
      <c r="V932" s="372" t="str">
        <f>CS_PID!V932/VLOOKUP($B932,표2[#ALL],2)/HLOOKUP($A932,표1[#ALL],row(),false)</f>
        <v>#N/A</v>
      </c>
      <c r="W932" s="372" t="str">
        <f>CS_PID!W932/VLOOKUP($B932,표2[#ALL],2)/HLOOKUP($A932,표1[#ALL],row(),false)</f>
        <v>#N/A</v>
      </c>
      <c r="X932" s="372" t="str">
        <f>CS_PID!X932/VLOOKUP($B932,표2[#ALL],2)/HLOOKUP($A932,표1[#ALL],row(),false)</f>
        <v>#N/A</v>
      </c>
      <c r="Y932" s="372" t="str">
        <f>CS_PID!Y932/VLOOKUP($B932,표2[#ALL],2)/HLOOKUP($A932,표1[#ALL],row(),false)</f>
        <v>#N/A</v>
      </c>
      <c r="Z932" s="372" t="str">
        <f>CS_PID!Z932/VLOOKUP($B932,표2[#ALL],2)/HLOOKUP($A932,표1[#ALL],row(),false)</f>
        <v>#N/A</v>
      </c>
      <c r="AA932" s="372" t="str">
        <f>CS_PID!AA932/VLOOKUP($B932,표2[#ALL],2)/HLOOKUP($A932,표1[#ALL],row(),false)</f>
        <v>#N/A</v>
      </c>
      <c r="AB932" s="372" t="str">
        <f>CS_PID!AB932/VLOOKUP($B932,표2[#ALL],2)/HLOOKUP($A932,표1[#ALL],row(),false)</f>
        <v>#N/A</v>
      </c>
      <c r="AC932" s="372" t="str">
        <f>CS_PID!AC932/VLOOKUP($B932,표2[#ALL],2)/HLOOKUP($A932,표1[#ALL],row(),false)</f>
        <v>#N/A</v>
      </c>
      <c r="AD932" s="372" t="str">
        <f>CS_PID!AD932/VLOOKUP($B932,표2[#ALL],2)/HLOOKUP($A932,표1[#ALL],row(),false)</f>
        <v>#N/A</v>
      </c>
      <c r="AE932" s="372" t="str">
        <f>CS_PID!AE932/VLOOKUP($B932,표2[#ALL],2)/HLOOKUP($A932,표1[#ALL],row(),false)</f>
        <v>#N/A</v>
      </c>
      <c r="AF932" s="372" t="str">
        <f>CS_PID!AF932/VLOOKUP($B932,표2[#ALL],2)/HLOOKUP($A932,표1[#ALL],row(),false)</f>
        <v>#N/A</v>
      </c>
      <c r="AG932" s="372" t="str">
        <f>CS_PID!AG932/VLOOKUP($B932,표2[#ALL],2)/HLOOKUP($A932,표1[#ALL],row(),false)</f>
        <v>#N/A</v>
      </c>
      <c r="AH932" s="372" t="str">
        <f>CS_PID!AH932/VLOOKUP($B932,표2[#ALL],2)/HLOOKUP($A932,표1[#ALL],row(),false)</f>
        <v>#N/A</v>
      </c>
      <c r="AI932" s="372" t="str">
        <f>CS_PID!AI932/VLOOKUP($B932,표2[#ALL],2)/HLOOKUP($A932,표1[#ALL],row(),false)</f>
        <v>#N/A</v>
      </c>
      <c r="AJ932" s="372" t="str">
        <f>CS_PID!AJ932/VLOOKUP($B932,표2[#ALL],2)/HLOOKUP($A932,표1[#ALL],row(),false)</f>
        <v>#N/A</v>
      </c>
      <c r="AK932" s="372" t="str">
        <f>CS_PID!AK932/VLOOKUP($B932,표2[#ALL],2)/HLOOKUP($A932,표1[#ALL],row(),false)</f>
        <v>#N/A</v>
      </c>
      <c r="AL932" s="372" t="str">
        <f>CS_PID!AL932/VLOOKUP($B932,표2[#ALL],2)/HLOOKUP($A932,표1[#ALL],row(),false)</f>
        <v>#N/A</v>
      </c>
      <c r="AM932" s="372" t="str">
        <f>CS_PID!AM932/VLOOKUP($B932,표2[#ALL],2)/HLOOKUP($A932,표1[#ALL],row(),false)</f>
        <v>#N/A</v>
      </c>
      <c r="AN932" s="372" t="str">
        <f>CS_PID!AN932/VLOOKUP($B932,표2[#ALL],2)/HLOOKUP($A932,표1[#ALL],row(),false)</f>
        <v>#N/A</v>
      </c>
      <c r="AO932" s="372" t="str">
        <f>CS_PID!AO932/VLOOKUP($B932,표2[#ALL],2)/HLOOKUP($A932,표1[#ALL],row(),false)</f>
        <v>#N/A</v>
      </c>
      <c r="AP932" s="372" t="str">
        <f>CS_PID!AP932/VLOOKUP($B932,표2[#ALL],2)/HLOOKUP($A932,표1[#ALL],row(),false)</f>
        <v>#N/A</v>
      </c>
      <c r="AQ932" s="372" t="str">
        <f>CS_PID!AQ932/VLOOKUP($B932,표2[#ALL],2)/HLOOKUP($A932,표1[#ALL],row(),false)</f>
        <v>#N/A</v>
      </c>
      <c r="AR932" s="372" t="str">
        <f>CS_PID!AR932/VLOOKUP($B932,표2[#ALL],2)/HLOOKUP($A932,표1[#ALL],row(),false)</f>
        <v>#N/A</v>
      </c>
      <c r="AS932" s="373" t="str">
        <f>CS_PID!AS932/VLOOKUP($B932,표2[#ALL],2)/HLOOKUP($A932,표1[#ALL],row(),false)</f>
        <v>#N/A</v>
      </c>
    </row>
    <row r="933">
      <c r="A933" s="374"/>
      <c r="B933" s="375"/>
      <c r="C933" s="376" t="str">
        <f>CS_PID!C933/VLOOKUP($B933,표2[#ALL],2)</f>
        <v>#N/A</v>
      </c>
      <c r="D933" s="376" t="str">
        <f>CS_PID!D933/VLOOKUP($B933,표2[#ALL],2)</f>
        <v>#N/A</v>
      </c>
      <c r="E933" s="376" t="str">
        <f>CS_PID!E933/VLOOKUP($B933,표2[#ALL],2)</f>
        <v>#N/A</v>
      </c>
      <c r="F933" s="376" t="str">
        <f>CS_PID!F933/VLOOKUP($B933,표2[#ALL],2)</f>
        <v>#N/A</v>
      </c>
      <c r="G933" s="376" t="str">
        <f>CS_PID!G933/VLOOKUP($B933,표2[#ALL],2)</f>
        <v>#N/A</v>
      </c>
      <c r="H933" s="376" t="str">
        <f>CS_PID!H933/VLOOKUP($B933,표2[#ALL],2)/HLOOKUP($A933,표1[#ALL],row(),false)</f>
        <v>#N/A</v>
      </c>
      <c r="I933" s="376" t="str">
        <f>CS_PID!I933/VLOOKUP($B933,표2[#ALL],2)/HLOOKUP($A933,표1[#ALL],row(),false)</f>
        <v>#N/A</v>
      </c>
      <c r="J933" s="376" t="str">
        <f>CS_PID!J933/VLOOKUP($B933,표2[#ALL],2)/HLOOKUP($A933,표1[#ALL],row(),false)</f>
        <v>#N/A</v>
      </c>
      <c r="K933" s="376" t="str">
        <f>CS_PID!K933/VLOOKUP($B933,표2[#ALL],2)/HLOOKUP($A933,표1[#ALL],row(),false)</f>
        <v>#N/A</v>
      </c>
      <c r="L933" s="376" t="str">
        <f>CS_PID!L933/VLOOKUP($B933,표2[#ALL],2)/HLOOKUP($A933,표1[#ALL],row(),false)</f>
        <v>#N/A</v>
      </c>
      <c r="M933" s="376" t="str">
        <f>CS_PID!M933/VLOOKUP($B933,표2[#ALL],2)/HLOOKUP($A933,표1[#ALL],row(),false)</f>
        <v>#N/A</v>
      </c>
      <c r="N933" s="376" t="str">
        <f>CS_PID!N933/VLOOKUP($B933,표2[#ALL],2)/HLOOKUP($A933,표1[#ALL],row(),false)</f>
        <v>#N/A</v>
      </c>
      <c r="O933" s="376" t="str">
        <f>CS_PID!O933/VLOOKUP($B933,표2[#ALL],2)/HLOOKUP($A933,표1[#ALL],row(),false)</f>
        <v>#N/A</v>
      </c>
      <c r="P933" s="376" t="str">
        <f>CS_PID!P933/VLOOKUP($B933,표2[#ALL],2)/HLOOKUP($A933,표1[#ALL],row(),false)</f>
        <v>#N/A</v>
      </c>
      <c r="Q933" s="376" t="str">
        <f>CS_PID!Q933/VLOOKUP($B933,표2[#ALL],2)/HLOOKUP($A933,표1[#ALL],row(),false)</f>
        <v>#N/A</v>
      </c>
      <c r="R933" s="376" t="str">
        <f>CS_PID!R933/VLOOKUP($B933,표2[#ALL],2)/HLOOKUP($A933,표1[#ALL],row(),false)</f>
        <v>#N/A</v>
      </c>
      <c r="S933" s="376" t="str">
        <f>CS_PID!S933/VLOOKUP($B933,표2[#ALL],2)/HLOOKUP($A933,표1[#ALL],row(),false)</f>
        <v>#N/A</v>
      </c>
      <c r="T933" s="376" t="str">
        <f>CS_PID!T933/VLOOKUP($B933,표2[#ALL],2)/HLOOKUP($A933,표1[#ALL],row(),false)</f>
        <v>#N/A</v>
      </c>
      <c r="U933" s="376" t="str">
        <f>CS_PID!U933/VLOOKUP($B933,표2[#ALL],2)/HLOOKUP($A933,표1[#ALL],row(),false)</f>
        <v>#N/A</v>
      </c>
      <c r="V933" s="376" t="str">
        <f>CS_PID!V933/VLOOKUP($B933,표2[#ALL],2)/HLOOKUP($A933,표1[#ALL],row(),false)</f>
        <v>#N/A</v>
      </c>
      <c r="W933" s="376" t="str">
        <f>CS_PID!W933/VLOOKUP($B933,표2[#ALL],2)/HLOOKUP($A933,표1[#ALL],row(),false)</f>
        <v>#N/A</v>
      </c>
      <c r="X933" s="376" t="str">
        <f>CS_PID!X933/VLOOKUP($B933,표2[#ALL],2)/HLOOKUP($A933,표1[#ALL],row(),false)</f>
        <v>#N/A</v>
      </c>
      <c r="Y933" s="376" t="str">
        <f>CS_PID!Y933/VLOOKUP($B933,표2[#ALL],2)/HLOOKUP($A933,표1[#ALL],row(),false)</f>
        <v>#N/A</v>
      </c>
      <c r="Z933" s="376" t="str">
        <f>CS_PID!Z933/VLOOKUP($B933,표2[#ALL],2)/HLOOKUP($A933,표1[#ALL],row(),false)</f>
        <v>#N/A</v>
      </c>
      <c r="AA933" s="376" t="str">
        <f>CS_PID!AA933/VLOOKUP($B933,표2[#ALL],2)/HLOOKUP($A933,표1[#ALL],row(),false)</f>
        <v>#N/A</v>
      </c>
      <c r="AB933" s="376" t="str">
        <f>CS_PID!AB933/VLOOKUP($B933,표2[#ALL],2)/HLOOKUP($A933,표1[#ALL],row(),false)</f>
        <v>#N/A</v>
      </c>
      <c r="AC933" s="376" t="str">
        <f>CS_PID!AC933/VLOOKUP($B933,표2[#ALL],2)/HLOOKUP($A933,표1[#ALL],row(),false)</f>
        <v>#N/A</v>
      </c>
      <c r="AD933" s="376" t="str">
        <f>CS_PID!AD933/VLOOKUP($B933,표2[#ALL],2)/HLOOKUP($A933,표1[#ALL],row(),false)</f>
        <v>#N/A</v>
      </c>
      <c r="AE933" s="376" t="str">
        <f>CS_PID!AE933/VLOOKUP($B933,표2[#ALL],2)/HLOOKUP($A933,표1[#ALL],row(),false)</f>
        <v>#N/A</v>
      </c>
      <c r="AF933" s="376" t="str">
        <f>CS_PID!AF933/VLOOKUP($B933,표2[#ALL],2)/HLOOKUP($A933,표1[#ALL],row(),false)</f>
        <v>#N/A</v>
      </c>
      <c r="AG933" s="376" t="str">
        <f>CS_PID!AG933/VLOOKUP($B933,표2[#ALL],2)/HLOOKUP($A933,표1[#ALL],row(),false)</f>
        <v>#N/A</v>
      </c>
      <c r="AH933" s="376" t="str">
        <f>CS_PID!AH933/VLOOKUP($B933,표2[#ALL],2)/HLOOKUP($A933,표1[#ALL],row(),false)</f>
        <v>#N/A</v>
      </c>
      <c r="AI933" s="376" t="str">
        <f>CS_PID!AI933/VLOOKUP($B933,표2[#ALL],2)/HLOOKUP($A933,표1[#ALL],row(),false)</f>
        <v>#N/A</v>
      </c>
      <c r="AJ933" s="376" t="str">
        <f>CS_PID!AJ933/VLOOKUP($B933,표2[#ALL],2)/HLOOKUP($A933,표1[#ALL],row(),false)</f>
        <v>#N/A</v>
      </c>
      <c r="AK933" s="376" t="str">
        <f>CS_PID!AK933/VLOOKUP($B933,표2[#ALL],2)/HLOOKUP($A933,표1[#ALL],row(),false)</f>
        <v>#N/A</v>
      </c>
      <c r="AL933" s="376" t="str">
        <f>CS_PID!AL933/VLOOKUP($B933,표2[#ALL],2)/HLOOKUP($A933,표1[#ALL],row(),false)</f>
        <v>#N/A</v>
      </c>
      <c r="AM933" s="376" t="str">
        <f>CS_PID!AM933/VLOOKUP($B933,표2[#ALL],2)/HLOOKUP($A933,표1[#ALL],row(),false)</f>
        <v>#N/A</v>
      </c>
      <c r="AN933" s="376" t="str">
        <f>CS_PID!AN933/VLOOKUP($B933,표2[#ALL],2)/HLOOKUP($A933,표1[#ALL],row(),false)</f>
        <v>#N/A</v>
      </c>
      <c r="AO933" s="376" t="str">
        <f>CS_PID!AO933/VLOOKUP($B933,표2[#ALL],2)/HLOOKUP($A933,표1[#ALL],row(),false)</f>
        <v>#N/A</v>
      </c>
      <c r="AP933" s="376" t="str">
        <f>CS_PID!AP933/VLOOKUP($B933,표2[#ALL],2)/HLOOKUP($A933,표1[#ALL],row(),false)</f>
        <v>#N/A</v>
      </c>
      <c r="AQ933" s="376" t="str">
        <f>CS_PID!AQ933/VLOOKUP($B933,표2[#ALL],2)/HLOOKUP($A933,표1[#ALL],row(),false)</f>
        <v>#N/A</v>
      </c>
      <c r="AR933" s="376" t="str">
        <f>CS_PID!AR933/VLOOKUP($B933,표2[#ALL],2)/HLOOKUP($A933,표1[#ALL],row(),false)</f>
        <v>#N/A</v>
      </c>
      <c r="AS933" s="377" t="str">
        <f>CS_PID!AS933/VLOOKUP($B933,표2[#ALL],2)/HLOOKUP($A933,표1[#ALL],row(),false)</f>
        <v>#N/A</v>
      </c>
    </row>
    <row r="934">
      <c r="A934" s="370"/>
      <c r="B934" s="371"/>
      <c r="C934" s="372" t="str">
        <f>CS_PID!C934/VLOOKUP($B934,표2[#ALL],2)</f>
        <v>#N/A</v>
      </c>
      <c r="D934" s="372" t="str">
        <f>CS_PID!D934/VLOOKUP($B934,표2[#ALL],2)</f>
        <v>#N/A</v>
      </c>
      <c r="E934" s="372" t="str">
        <f>CS_PID!E934/VLOOKUP($B934,표2[#ALL],2)</f>
        <v>#N/A</v>
      </c>
      <c r="F934" s="372" t="str">
        <f>CS_PID!F934/VLOOKUP($B934,표2[#ALL],2)</f>
        <v>#N/A</v>
      </c>
      <c r="G934" s="372" t="str">
        <f>CS_PID!G934/VLOOKUP($B934,표2[#ALL],2)</f>
        <v>#N/A</v>
      </c>
      <c r="H934" s="372" t="str">
        <f>CS_PID!H934/VLOOKUP($B934,표2[#ALL],2)/HLOOKUP($A934,표1[#ALL],row(),false)</f>
        <v>#N/A</v>
      </c>
      <c r="I934" s="372" t="str">
        <f>CS_PID!I934/VLOOKUP($B934,표2[#ALL],2)/HLOOKUP($A934,표1[#ALL],row(),false)</f>
        <v>#N/A</v>
      </c>
      <c r="J934" s="372" t="str">
        <f>CS_PID!J934/VLOOKUP($B934,표2[#ALL],2)/HLOOKUP($A934,표1[#ALL],row(),false)</f>
        <v>#N/A</v>
      </c>
      <c r="K934" s="372" t="str">
        <f>CS_PID!K934/VLOOKUP($B934,표2[#ALL],2)/HLOOKUP($A934,표1[#ALL],row(),false)</f>
        <v>#N/A</v>
      </c>
      <c r="L934" s="372" t="str">
        <f>CS_PID!L934/VLOOKUP($B934,표2[#ALL],2)/HLOOKUP($A934,표1[#ALL],row(),false)</f>
        <v>#N/A</v>
      </c>
      <c r="M934" s="372" t="str">
        <f>CS_PID!M934/VLOOKUP($B934,표2[#ALL],2)/HLOOKUP($A934,표1[#ALL],row(),false)</f>
        <v>#N/A</v>
      </c>
      <c r="N934" s="372" t="str">
        <f>CS_PID!N934/VLOOKUP($B934,표2[#ALL],2)/HLOOKUP($A934,표1[#ALL],row(),false)</f>
        <v>#N/A</v>
      </c>
      <c r="O934" s="372" t="str">
        <f>CS_PID!O934/VLOOKUP($B934,표2[#ALL],2)/HLOOKUP($A934,표1[#ALL],row(),false)</f>
        <v>#N/A</v>
      </c>
      <c r="P934" s="372" t="str">
        <f>CS_PID!P934/VLOOKUP($B934,표2[#ALL],2)/HLOOKUP($A934,표1[#ALL],row(),false)</f>
        <v>#N/A</v>
      </c>
      <c r="Q934" s="372" t="str">
        <f>CS_PID!Q934/VLOOKUP($B934,표2[#ALL],2)/HLOOKUP($A934,표1[#ALL],row(),false)</f>
        <v>#N/A</v>
      </c>
      <c r="R934" s="372" t="str">
        <f>CS_PID!R934/VLOOKUP($B934,표2[#ALL],2)/HLOOKUP($A934,표1[#ALL],row(),false)</f>
        <v>#N/A</v>
      </c>
      <c r="S934" s="372" t="str">
        <f>CS_PID!S934/VLOOKUP($B934,표2[#ALL],2)/HLOOKUP($A934,표1[#ALL],row(),false)</f>
        <v>#N/A</v>
      </c>
      <c r="T934" s="372" t="str">
        <f>CS_PID!T934/VLOOKUP($B934,표2[#ALL],2)/HLOOKUP($A934,표1[#ALL],row(),false)</f>
        <v>#N/A</v>
      </c>
      <c r="U934" s="372" t="str">
        <f>CS_PID!U934/VLOOKUP($B934,표2[#ALL],2)/HLOOKUP($A934,표1[#ALL],row(),false)</f>
        <v>#N/A</v>
      </c>
      <c r="V934" s="372" t="str">
        <f>CS_PID!V934/VLOOKUP($B934,표2[#ALL],2)/HLOOKUP($A934,표1[#ALL],row(),false)</f>
        <v>#N/A</v>
      </c>
      <c r="W934" s="372" t="str">
        <f>CS_PID!W934/VLOOKUP($B934,표2[#ALL],2)/HLOOKUP($A934,표1[#ALL],row(),false)</f>
        <v>#N/A</v>
      </c>
      <c r="X934" s="372" t="str">
        <f>CS_PID!X934/VLOOKUP($B934,표2[#ALL],2)/HLOOKUP($A934,표1[#ALL],row(),false)</f>
        <v>#N/A</v>
      </c>
      <c r="Y934" s="372" t="str">
        <f>CS_PID!Y934/VLOOKUP($B934,표2[#ALL],2)/HLOOKUP($A934,표1[#ALL],row(),false)</f>
        <v>#N/A</v>
      </c>
      <c r="Z934" s="372" t="str">
        <f>CS_PID!Z934/VLOOKUP($B934,표2[#ALL],2)/HLOOKUP($A934,표1[#ALL],row(),false)</f>
        <v>#N/A</v>
      </c>
      <c r="AA934" s="372" t="str">
        <f>CS_PID!AA934/VLOOKUP($B934,표2[#ALL],2)/HLOOKUP($A934,표1[#ALL],row(),false)</f>
        <v>#N/A</v>
      </c>
      <c r="AB934" s="372" t="str">
        <f>CS_PID!AB934/VLOOKUP($B934,표2[#ALL],2)/HLOOKUP($A934,표1[#ALL],row(),false)</f>
        <v>#N/A</v>
      </c>
      <c r="AC934" s="372" t="str">
        <f>CS_PID!AC934/VLOOKUP($B934,표2[#ALL],2)/HLOOKUP($A934,표1[#ALL],row(),false)</f>
        <v>#N/A</v>
      </c>
      <c r="AD934" s="372" t="str">
        <f>CS_PID!AD934/VLOOKUP($B934,표2[#ALL],2)/HLOOKUP($A934,표1[#ALL],row(),false)</f>
        <v>#N/A</v>
      </c>
      <c r="AE934" s="372" t="str">
        <f>CS_PID!AE934/VLOOKUP($B934,표2[#ALL],2)/HLOOKUP($A934,표1[#ALL],row(),false)</f>
        <v>#N/A</v>
      </c>
      <c r="AF934" s="372" t="str">
        <f>CS_PID!AF934/VLOOKUP($B934,표2[#ALL],2)/HLOOKUP($A934,표1[#ALL],row(),false)</f>
        <v>#N/A</v>
      </c>
      <c r="AG934" s="372" t="str">
        <f>CS_PID!AG934/VLOOKUP($B934,표2[#ALL],2)/HLOOKUP($A934,표1[#ALL],row(),false)</f>
        <v>#N/A</v>
      </c>
      <c r="AH934" s="372" t="str">
        <f>CS_PID!AH934/VLOOKUP($B934,표2[#ALL],2)/HLOOKUP($A934,표1[#ALL],row(),false)</f>
        <v>#N/A</v>
      </c>
      <c r="AI934" s="372" t="str">
        <f>CS_PID!AI934/VLOOKUP($B934,표2[#ALL],2)/HLOOKUP($A934,표1[#ALL],row(),false)</f>
        <v>#N/A</v>
      </c>
      <c r="AJ934" s="372" t="str">
        <f>CS_PID!AJ934/VLOOKUP($B934,표2[#ALL],2)/HLOOKUP($A934,표1[#ALL],row(),false)</f>
        <v>#N/A</v>
      </c>
      <c r="AK934" s="372" t="str">
        <f>CS_PID!AK934/VLOOKUP($B934,표2[#ALL],2)/HLOOKUP($A934,표1[#ALL],row(),false)</f>
        <v>#N/A</v>
      </c>
      <c r="AL934" s="372" t="str">
        <f>CS_PID!AL934/VLOOKUP($B934,표2[#ALL],2)/HLOOKUP($A934,표1[#ALL],row(),false)</f>
        <v>#N/A</v>
      </c>
      <c r="AM934" s="372" t="str">
        <f>CS_PID!AM934/VLOOKUP($B934,표2[#ALL],2)/HLOOKUP($A934,표1[#ALL],row(),false)</f>
        <v>#N/A</v>
      </c>
      <c r="AN934" s="372" t="str">
        <f>CS_PID!AN934/VLOOKUP($B934,표2[#ALL],2)/HLOOKUP($A934,표1[#ALL],row(),false)</f>
        <v>#N/A</v>
      </c>
      <c r="AO934" s="372" t="str">
        <f>CS_PID!AO934/VLOOKUP($B934,표2[#ALL],2)/HLOOKUP($A934,표1[#ALL],row(),false)</f>
        <v>#N/A</v>
      </c>
      <c r="AP934" s="372" t="str">
        <f>CS_PID!AP934/VLOOKUP($B934,표2[#ALL],2)/HLOOKUP($A934,표1[#ALL],row(),false)</f>
        <v>#N/A</v>
      </c>
      <c r="AQ934" s="372" t="str">
        <f>CS_PID!AQ934/VLOOKUP($B934,표2[#ALL],2)/HLOOKUP($A934,표1[#ALL],row(),false)</f>
        <v>#N/A</v>
      </c>
      <c r="AR934" s="372" t="str">
        <f>CS_PID!AR934/VLOOKUP($B934,표2[#ALL],2)/HLOOKUP($A934,표1[#ALL],row(),false)</f>
        <v>#N/A</v>
      </c>
      <c r="AS934" s="373" t="str">
        <f>CS_PID!AS934/VLOOKUP($B934,표2[#ALL],2)/HLOOKUP($A934,표1[#ALL],row(),false)</f>
        <v>#N/A</v>
      </c>
    </row>
    <row r="935">
      <c r="A935" s="374"/>
      <c r="B935" s="375"/>
      <c r="C935" s="376" t="str">
        <f>CS_PID!C935/VLOOKUP($B935,표2[#ALL],2)</f>
        <v>#N/A</v>
      </c>
      <c r="D935" s="376" t="str">
        <f>CS_PID!D935/VLOOKUP($B935,표2[#ALL],2)</f>
        <v>#N/A</v>
      </c>
      <c r="E935" s="376" t="str">
        <f>CS_PID!E935/VLOOKUP($B935,표2[#ALL],2)</f>
        <v>#N/A</v>
      </c>
      <c r="F935" s="376" t="str">
        <f>CS_PID!F935/VLOOKUP($B935,표2[#ALL],2)</f>
        <v>#N/A</v>
      </c>
      <c r="G935" s="376" t="str">
        <f>CS_PID!G935/VLOOKUP($B935,표2[#ALL],2)</f>
        <v>#N/A</v>
      </c>
      <c r="H935" s="376" t="str">
        <f>CS_PID!H935/VLOOKUP($B935,표2[#ALL],2)/HLOOKUP($A935,표1[#ALL],row(),false)</f>
        <v>#N/A</v>
      </c>
      <c r="I935" s="376" t="str">
        <f>CS_PID!I935/VLOOKUP($B935,표2[#ALL],2)/HLOOKUP($A935,표1[#ALL],row(),false)</f>
        <v>#N/A</v>
      </c>
      <c r="J935" s="376" t="str">
        <f>CS_PID!J935/VLOOKUP($B935,표2[#ALL],2)/HLOOKUP($A935,표1[#ALL],row(),false)</f>
        <v>#N/A</v>
      </c>
      <c r="K935" s="376" t="str">
        <f>CS_PID!K935/VLOOKUP($B935,표2[#ALL],2)/HLOOKUP($A935,표1[#ALL],row(),false)</f>
        <v>#N/A</v>
      </c>
      <c r="L935" s="376" t="str">
        <f>CS_PID!L935/VLOOKUP($B935,표2[#ALL],2)/HLOOKUP($A935,표1[#ALL],row(),false)</f>
        <v>#N/A</v>
      </c>
      <c r="M935" s="376" t="str">
        <f>CS_PID!M935/VLOOKUP($B935,표2[#ALL],2)/HLOOKUP($A935,표1[#ALL],row(),false)</f>
        <v>#N/A</v>
      </c>
      <c r="N935" s="376" t="str">
        <f>CS_PID!N935/VLOOKUP($B935,표2[#ALL],2)/HLOOKUP($A935,표1[#ALL],row(),false)</f>
        <v>#N/A</v>
      </c>
      <c r="O935" s="376" t="str">
        <f>CS_PID!O935/VLOOKUP($B935,표2[#ALL],2)/HLOOKUP($A935,표1[#ALL],row(),false)</f>
        <v>#N/A</v>
      </c>
      <c r="P935" s="376" t="str">
        <f>CS_PID!P935/VLOOKUP($B935,표2[#ALL],2)/HLOOKUP($A935,표1[#ALL],row(),false)</f>
        <v>#N/A</v>
      </c>
      <c r="Q935" s="376" t="str">
        <f>CS_PID!Q935/VLOOKUP($B935,표2[#ALL],2)/HLOOKUP($A935,표1[#ALL],row(),false)</f>
        <v>#N/A</v>
      </c>
      <c r="R935" s="376" t="str">
        <f>CS_PID!R935/VLOOKUP($B935,표2[#ALL],2)/HLOOKUP($A935,표1[#ALL],row(),false)</f>
        <v>#N/A</v>
      </c>
      <c r="S935" s="376" t="str">
        <f>CS_PID!S935/VLOOKUP($B935,표2[#ALL],2)/HLOOKUP($A935,표1[#ALL],row(),false)</f>
        <v>#N/A</v>
      </c>
      <c r="T935" s="376" t="str">
        <f>CS_PID!T935/VLOOKUP($B935,표2[#ALL],2)/HLOOKUP($A935,표1[#ALL],row(),false)</f>
        <v>#N/A</v>
      </c>
      <c r="U935" s="376" t="str">
        <f>CS_PID!U935/VLOOKUP($B935,표2[#ALL],2)/HLOOKUP($A935,표1[#ALL],row(),false)</f>
        <v>#N/A</v>
      </c>
      <c r="V935" s="376" t="str">
        <f>CS_PID!V935/VLOOKUP($B935,표2[#ALL],2)/HLOOKUP($A935,표1[#ALL],row(),false)</f>
        <v>#N/A</v>
      </c>
      <c r="W935" s="376" t="str">
        <f>CS_PID!W935/VLOOKUP($B935,표2[#ALL],2)/HLOOKUP($A935,표1[#ALL],row(),false)</f>
        <v>#N/A</v>
      </c>
      <c r="X935" s="376" t="str">
        <f>CS_PID!X935/VLOOKUP($B935,표2[#ALL],2)/HLOOKUP($A935,표1[#ALL],row(),false)</f>
        <v>#N/A</v>
      </c>
      <c r="Y935" s="376" t="str">
        <f>CS_PID!Y935/VLOOKUP($B935,표2[#ALL],2)/HLOOKUP($A935,표1[#ALL],row(),false)</f>
        <v>#N/A</v>
      </c>
      <c r="Z935" s="376" t="str">
        <f>CS_PID!Z935/VLOOKUP($B935,표2[#ALL],2)/HLOOKUP($A935,표1[#ALL],row(),false)</f>
        <v>#N/A</v>
      </c>
      <c r="AA935" s="376" t="str">
        <f>CS_PID!AA935/VLOOKUP($B935,표2[#ALL],2)/HLOOKUP($A935,표1[#ALL],row(),false)</f>
        <v>#N/A</v>
      </c>
      <c r="AB935" s="376" t="str">
        <f>CS_PID!AB935/VLOOKUP($B935,표2[#ALL],2)/HLOOKUP($A935,표1[#ALL],row(),false)</f>
        <v>#N/A</v>
      </c>
      <c r="AC935" s="376" t="str">
        <f>CS_PID!AC935/VLOOKUP($B935,표2[#ALL],2)/HLOOKUP($A935,표1[#ALL],row(),false)</f>
        <v>#N/A</v>
      </c>
      <c r="AD935" s="376" t="str">
        <f>CS_PID!AD935/VLOOKUP($B935,표2[#ALL],2)/HLOOKUP($A935,표1[#ALL],row(),false)</f>
        <v>#N/A</v>
      </c>
      <c r="AE935" s="376" t="str">
        <f>CS_PID!AE935/VLOOKUP($B935,표2[#ALL],2)/HLOOKUP($A935,표1[#ALL],row(),false)</f>
        <v>#N/A</v>
      </c>
      <c r="AF935" s="376" t="str">
        <f>CS_PID!AF935/VLOOKUP($B935,표2[#ALL],2)/HLOOKUP($A935,표1[#ALL],row(),false)</f>
        <v>#N/A</v>
      </c>
      <c r="AG935" s="376" t="str">
        <f>CS_PID!AG935/VLOOKUP($B935,표2[#ALL],2)/HLOOKUP($A935,표1[#ALL],row(),false)</f>
        <v>#N/A</v>
      </c>
      <c r="AH935" s="376" t="str">
        <f>CS_PID!AH935/VLOOKUP($B935,표2[#ALL],2)/HLOOKUP($A935,표1[#ALL],row(),false)</f>
        <v>#N/A</v>
      </c>
      <c r="AI935" s="376" t="str">
        <f>CS_PID!AI935/VLOOKUP($B935,표2[#ALL],2)/HLOOKUP($A935,표1[#ALL],row(),false)</f>
        <v>#N/A</v>
      </c>
      <c r="AJ935" s="376" t="str">
        <f>CS_PID!AJ935/VLOOKUP($B935,표2[#ALL],2)/HLOOKUP($A935,표1[#ALL],row(),false)</f>
        <v>#N/A</v>
      </c>
      <c r="AK935" s="376" t="str">
        <f>CS_PID!AK935/VLOOKUP($B935,표2[#ALL],2)/HLOOKUP($A935,표1[#ALL],row(),false)</f>
        <v>#N/A</v>
      </c>
      <c r="AL935" s="376" t="str">
        <f>CS_PID!AL935/VLOOKUP($B935,표2[#ALL],2)/HLOOKUP($A935,표1[#ALL],row(),false)</f>
        <v>#N/A</v>
      </c>
      <c r="AM935" s="376" t="str">
        <f>CS_PID!AM935/VLOOKUP($B935,표2[#ALL],2)/HLOOKUP($A935,표1[#ALL],row(),false)</f>
        <v>#N/A</v>
      </c>
      <c r="AN935" s="376" t="str">
        <f>CS_PID!AN935/VLOOKUP($B935,표2[#ALL],2)/HLOOKUP($A935,표1[#ALL],row(),false)</f>
        <v>#N/A</v>
      </c>
      <c r="AO935" s="376" t="str">
        <f>CS_PID!AO935/VLOOKUP($B935,표2[#ALL],2)/HLOOKUP($A935,표1[#ALL],row(),false)</f>
        <v>#N/A</v>
      </c>
      <c r="AP935" s="376" t="str">
        <f>CS_PID!AP935/VLOOKUP($B935,표2[#ALL],2)/HLOOKUP($A935,표1[#ALL],row(),false)</f>
        <v>#N/A</v>
      </c>
      <c r="AQ935" s="376" t="str">
        <f>CS_PID!AQ935/VLOOKUP($B935,표2[#ALL],2)/HLOOKUP($A935,표1[#ALL],row(),false)</f>
        <v>#N/A</v>
      </c>
      <c r="AR935" s="376" t="str">
        <f>CS_PID!AR935/VLOOKUP($B935,표2[#ALL],2)/HLOOKUP($A935,표1[#ALL],row(),false)</f>
        <v>#N/A</v>
      </c>
      <c r="AS935" s="377" t="str">
        <f>CS_PID!AS935/VLOOKUP($B935,표2[#ALL],2)/HLOOKUP($A935,표1[#ALL],row(),false)</f>
        <v>#N/A</v>
      </c>
    </row>
    <row r="936">
      <c r="A936" s="370"/>
      <c r="B936" s="371"/>
      <c r="C936" s="372" t="str">
        <f>CS_PID!C936/VLOOKUP($B936,표2[#ALL],2)</f>
        <v>#N/A</v>
      </c>
      <c r="D936" s="372" t="str">
        <f>CS_PID!D936/VLOOKUP($B936,표2[#ALL],2)</f>
        <v>#N/A</v>
      </c>
      <c r="E936" s="372" t="str">
        <f>CS_PID!E936/VLOOKUP($B936,표2[#ALL],2)</f>
        <v>#N/A</v>
      </c>
      <c r="F936" s="372" t="str">
        <f>CS_PID!F936/VLOOKUP($B936,표2[#ALL],2)</f>
        <v>#N/A</v>
      </c>
      <c r="G936" s="372" t="str">
        <f>CS_PID!G936/VLOOKUP($B936,표2[#ALL],2)</f>
        <v>#N/A</v>
      </c>
      <c r="H936" s="372" t="str">
        <f>CS_PID!H936/VLOOKUP($B936,표2[#ALL],2)/HLOOKUP($A936,표1[#ALL],row(),false)</f>
        <v>#N/A</v>
      </c>
      <c r="I936" s="372" t="str">
        <f>CS_PID!I936/VLOOKUP($B936,표2[#ALL],2)/HLOOKUP($A936,표1[#ALL],row(),false)</f>
        <v>#N/A</v>
      </c>
      <c r="J936" s="372" t="str">
        <f>CS_PID!J936/VLOOKUP($B936,표2[#ALL],2)/HLOOKUP($A936,표1[#ALL],row(),false)</f>
        <v>#N/A</v>
      </c>
      <c r="K936" s="372" t="str">
        <f>CS_PID!K936/VLOOKUP($B936,표2[#ALL],2)/HLOOKUP($A936,표1[#ALL],row(),false)</f>
        <v>#N/A</v>
      </c>
      <c r="L936" s="372" t="str">
        <f>CS_PID!L936/VLOOKUP($B936,표2[#ALL],2)/HLOOKUP($A936,표1[#ALL],row(),false)</f>
        <v>#N/A</v>
      </c>
      <c r="M936" s="372" t="str">
        <f>CS_PID!M936/VLOOKUP($B936,표2[#ALL],2)/HLOOKUP($A936,표1[#ALL],row(),false)</f>
        <v>#N/A</v>
      </c>
      <c r="N936" s="372" t="str">
        <f>CS_PID!N936/VLOOKUP($B936,표2[#ALL],2)/HLOOKUP($A936,표1[#ALL],row(),false)</f>
        <v>#N/A</v>
      </c>
      <c r="O936" s="372" t="str">
        <f>CS_PID!O936/VLOOKUP($B936,표2[#ALL],2)/HLOOKUP($A936,표1[#ALL],row(),false)</f>
        <v>#N/A</v>
      </c>
      <c r="P936" s="372" t="str">
        <f>CS_PID!P936/VLOOKUP($B936,표2[#ALL],2)/HLOOKUP($A936,표1[#ALL],row(),false)</f>
        <v>#N/A</v>
      </c>
      <c r="Q936" s="372" t="str">
        <f>CS_PID!Q936/VLOOKUP($B936,표2[#ALL],2)/HLOOKUP($A936,표1[#ALL],row(),false)</f>
        <v>#N/A</v>
      </c>
      <c r="R936" s="372" t="str">
        <f>CS_PID!R936/VLOOKUP($B936,표2[#ALL],2)/HLOOKUP($A936,표1[#ALL],row(),false)</f>
        <v>#N/A</v>
      </c>
      <c r="S936" s="372" t="str">
        <f>CS_PID!S936/VLOOKUP($B936,표2[#ALL],2)/HLOOKUP($A936,표1[#ALL],row(),false)</f>
        <v>#N/A</v>
      </c>
      <c r="T936" s="372" t="str">
        <f>CS_PID!T936/VLOOKUP($B936,표2[#ALL],2)/HLOOKUP($A936,표1[#ALL],row(),false)</f>
        <v>#N/A</v>
      </c>
      <c r="U936" s="372" t="str">
        <f>CS_PID!U936/VLOOKUP($B936,표2[#ALL],2)/HLOOKUP($A936,표1[#ALL],row(),false)</f>
        <v>#N/A</v>
      </c>
      <c r="V936" s="372" t="str">
        <f>CS_PID!V936/VLOOKUP($B936,표2[#ALL],2)/HLOOKUP($A936,표1[#ALL],row(),false)</f>
        <v>#N/A</v>
      </c>
      <c r="W936" s="372" t="str">
        <f>CS_PID!W936/VLOOKUP($B936,표2[#ALL],2)/HLOOKUP($A936,표1[#ALL],row(),false)</f>
        <v>#N/A</v>
      </c>
      <c r="X936" s="372" t="str">
        <f>CS_PID!X936/VLOOKUP($B936,표2[#ALL],2)/HLOOKUP($A936,표1[#ALL],row(),false)</f>
        <v>#N/A</v>
      </c>
      <c r="Y936" s="372" t="str">
        <f>CS_PID!Y936/VLOOKUP($B936,표2[#ALL],2)/HLOOKUP($A936,표1[#ALL],row(),false)</f>
        <v>#N/A</v>
      </c>
      <c r="Z936" s="372" t="str">
        <f>CS_PID!Z936/VLOOKUP($B936,표2[#ALL],2)/HLOOKUP($A936,표1[#ALL],row(),false)</f>
        <v>#N/A</v>
      </c>
      <c r="AA936" s="372" t="str">
        <f>CS_PID!AA936/VLOOKUP($B936,표2[#ALL],2)/HLOOKUP($A936,표1[#ALL],row(),false)</f>
        <v>#N/A</v>
      </c>
      <c r="AB936" s="372" t="str">
        <f>CS_PID!AB936/VLOOKUP($B936,표2[#ALL],2)/HLOOKUP($A936,표1[#ALL],row(),false)</f>
        <v>#N/A</v>
      </c>
      <c r="AC936" s="372" t="str">
        <f>CS_PID!AC936/VLOOKUP($B936,표2[#ALL],2)/HLOOKUP($A936,표1[#ALL],row(),false)</f>
        <v>#N/A</v>
      </c>
      <c r="AD936" s="372" t="str">
        <f>CS_PID!AD936/VLOOKUP($B936,표2[#ALL],2)/HLOOKUP($A936,표1[#ALL],row(),false)</f>
        <v>#N/A</v>
      </c>
      <c r="AE936" s="372" t="str">
        <f>CS_PID!AE936/VLOOKUP($B936,표2[#ALL],2)/HLOOKUP($A936,표1[#ALL],row(),false)</f>
        <v>#N/A</v>
      </c>
      <c r="AF936" s="372" t="str">
        <f>CS_PID!AF936/VLOOKUP($B936,표2[#ALL],2)/HLOOKUP($A936,표1[#ALL],row(),false)</f>
        <v>#N/A</v>
      </c>
      <c r="AG936" s="372" t="str">
        <f>CS_PID!AG936/VLOOKUP($B936,표2[#ALL],2)/HLOOKUP($A936,표1[#ALL],row(),false)</f>
        <v>#N/A</v>
      </c>
      <c r="AH936" s="372" t="str">
        <f>CS_PID!AH936/VLOOKUP($B936,표2[#ALL],2)/HLOOKUP($A936,표1[#ALL],row(),false)</f>
        <v>#N/A</v>
      </c>
      <c r="AI936" s="372" t="str">
        <f>CS_PID!AI936/VLOOKUP($B936,표2[#ALL],2)/HLOOKUP($A936,표1[#ALL],row(),false)</f>
        <v>#N/A</v>
      </c>
      <c r="AJ936" s="372" t="str">
        <f>CS_PID!AJ936/VLOOKUP($B936,표2[#ALL],2)/HLOOKUP($A936,표1[#ALL],row(),false)</f>
        <v>#N/A</v>
      </c>
      <c r="AK936" s="372" t="str">
        <f>CS_PID!AK936/VLOOKUP($B936,표2[#ALL],2)/HLOOKUP($A936,표1[#ALL],row(),false)</f>
        <v>#N/A</v>
      </c>
      <c r="AL936" s="372" t="str">
        <f>CS_PID!AL936/VLOOKUP($B936,표2[#ALL],2)/HLOOKUP($A936,표1[#ALL],row(),false)</f>
        <v>#N/A</v>
      </c>
      <c r="AM936" s="372" t="str">
        <f>CS_PID!AM936/VLOOKUP($B936,표2[#ALL],2)/HLOOKUP($A936,표1[#ALL],row(),false)</f>
        <v>#N/A</v>
      </c>
      <c r="AN936" s="372" t="str">
        <f>CS_PID!AN936/VLOOKUP($B936,표2[#ALL],2)/HLOOKUP($A936,표1[#ALL],row(),false)</f>
        <v>#N/A</v>
      </c>
      <c r="AO936" s="372" t="str">
        <f>CS_PID!AO936/VLOOKUP($B936,표2[#ALL],2)/HLOOKUP($A936,표1[#ALL],row(),false)</f>
        <v>#N/A</v>
      </c>
      <c r="AP936" s="372" t="str">
        <f>CS_PID!AP936/VLOOKUP($B936,표2[#ALL],2)/HLOOKUP($A936,표1[#ALL],row(),false)</f>
        <v>#N/A</v>
      </c>
      <c r="AQ936" s="372" t="str">
        <f>CS_PID!AQ936/VLOOKUP($B936,표2[#ALL],2)/HLOOKUP($A936,표1[#ALL],row(),false)</f>
        <v>#N/A</v>
      </c>
      <c r="AR936" s="372" t="str">
        <f>CS_PID!AR936/VLOOKUP($B936,표2[#ALL],2)/HLOOKUP($A936,표1[#ALL],row(),false)</f>
        <v>#N/A</v>
      </c>
      <c r="AS936" s="373" t="str">
        <f>CS_PID!AS936/VLOOKUP($B936,표2[#ALL],2)/HLOOKUP($A936,표1[#ALL],row(),false)</f>
        <v>#N/A</v>
      </c>
    </row>
    <row r="937">
      <c r="A937" s="374"/>
      <c r="B937" s="375"/>
      <c r="C937" s="376" t="str">
        <f>CS_PID!C937/VLOOKUP($B937,표2[#ALL],2)</f>
        <v>#N/A</v>
      </c>
      <c r="D937" s="376" t="str">
        <f>CS_PID!D937/VLOOKUP($B937,표2[#ALL],2)</f>
        <v>#N/A</v>
      </c>
      <c r="E937" s="376" t="str">
        <f>CS_PID!E937/VLOOKUP($B937,표2[#ALL],2)</f>
        <v>#N/A</v>
      </c>
      <c r="F937" s="376" t="str">
        <f>CS_PID!F937/VLOOKUP($B937,표2[#ALL],2)</f>
        <v>#N/A</v>
      </c>
      <c r="G937" s="376" t="str">
        <f>CS_PID!G937/VLOOKUP($B937,표2[#ALL],2)</f>
        <v>#N/A</v>
      </c>
      <c r="H937" s="376" t="str">
        <f>CS_PID!H937/VLOOKUP($B937,표2[#ALL],2)/HLOOKUP($A937,표1[#ALL],row(),false)</f>
        <v>#N/A</v>
      </c>
      <c r="I937" s="376" t="str">
        <f>CS_PID!I937/VLOOKUP($B937,표2[#ALL],2)/HLOOKUP($A937,표1[#ALL],row(),false)</f>
        <v>#N/A</v>
      </c>
      <c r="J937" s="376" t="str">
        <f>CS_PID!J937/VLOOKUP($B937,표2[#ALL],2)/HLOOKUP($A937,표1[#ALL],row(),false)</f>
        <v>#N/A</v>
      </c>
      <c r="K937" s="376" t="str">
        <f>CS_PID!K937/VLOOKUP($B937,표2[#ALL],2)/HLOOKUP($A937,표1[#ALL],row(),false)</f>
        <v>#N/A</v>
      </c>
      <c r="L937" s="376" t="str">
        <f>CS_PID!L937/VLOOKUP($B937,표2[#ALL],2)/HLOOKUP($A937,표1[#ALL],row(),false)</f>
        <v>#N/A</v>
      </c>
      <c r="M937" s="376" t="str">
        <f>CS_PID!M937/VLOOKUP($B937,표2[#ALL],2)/HLOOKUP($A937,표1[#ALL],row(),false)</f>
        <v>#N/A</v>
      </c>
      <c r="N937" s="376" t="str">
        <f>CS_PID!N937/VLOOKUP($B937,표2[#ALL],2)/HLOOKUP($A937,표1[#ALL],row(),false)</f>
        <v>#N/A</v>
      </c>
      <c r="O937" s="376" t="str">
        <f>CS_PID!O937/VLOOKUP($B937,표2[#ALL],2)/HLOOKUP($A937,표1[#ALL],row(),false)</f>
        <v>#N/A</v>
      </c>
      <c r="P937" s="376" t="str">
        <f>CS_PID!P937/VLOOKUP($B937,표2[#ALL],2)/HLOOKUP($A937,표1[#ALL],row(),false)</f>
        <v>#N/A</v>
      </c>
      <c r="Q937" s="376" t="str">
        <f>CS_PID!Q937/VLOOKUP($B937,표2[#ALL],2)/HLOOKUP($A937,표1[#ALL],row(),false)</f>
        <v>#N/A</v>
      </c>
      <c r="R937" s="376" t="str">
        <f>CS_PID!R937/VLOOKUP($B937,표2[#ALL],2)/HLOOKUP($A937,표1[#ALL],row(),false)</f>
        <v>#N/A</v>
      </c>
      <c r="S937" s="376" t="str">
        <f>CS_PID!S937/VLOOKUP($B937,표2[#ALL],2)/HLOOKUP($A937,표1[#ALL],row(),false)</f>
        <v>#N/A</v>
      </c>
      <c r="T937" s="376" t="str">
        <f>CS_PID!T937/VLOOKUP($B937,표2[#ALL],2)/HLOOKUP($A937,표1[#ALL],row(),false)</f>
        <v>#N/A</v>
      </c>
      <c r="U937" s="376" t="str">
        <f>CS_PID!U937/VLOOKUP($B937,표2[#ALL],2)/HLOOKUP($A937,표1[#ALL],row(),false)</f>
        <v>#N/A</v>
      </c>
      <c r="V937" s="376" t="str">
        <f>CS_PID!V937/VLOOKUP($B937,표2[#ALL],2)/HLOOKUP($A937,표1[#ALL],row(),false)</f>
        <v>#N/A</v>
      </c>
      <c r="W937" s="376" t="str">
        <f>CS_PID!W937/VLOOKUP($B937,표2[#ALL],2)/HLOOKUP($A937,표1[#ALL],row(),false)</f>
        <v>#N/A</v>
      </c>
      <c r="X937" s="376" t="str">
        <f>CS_PID!X937/VLOOKUP($B937,표2[#ALL],2)/HLOOKUP($A937,표1[#ALL],row(),false)</f>
        <v>#N/A</v>
      </c>
      <c r="Y937" s="376" t="str">
        <f>CS_PID!Y937/VLOOKUP($B937,표2[#ALL],2)/HLOOKUP($A937,표1[#ALL],row(),false)</f>
        <v>#N/A</v>
      </c>
      <c r="Z937" s="376" t="str">
        <f>CS_PID!Z937/VLOOKUP($B937,표2[#ALL],2)/HLOOKUP($A937,표1[#ALL],row(),false)</f>
        <v>#N/A</v>
      </c>
      <c r="AA937" s="376" t="str">
        <f>CS_PID!AA937/VLOOKUP($B937,표2[#ALL],2)/HLOOKUP($A937,표1[#ALL],row(),false)</f>
        <v>#N/A</v>
      </c>
      <c r="AB937" s="376" t="str">
        <f>CS_PID!AB937/VLOOKUP($B937,표2[#ALL],2)/HLOOKUP($A937,표1[#ALL],row(),false)</f>
        <v>#N/A</v>
      </c>
      <c r="AC937" s="376" t="str">
        <f>CS_PID!AC937/VLOOKUP($B937,표2[#ALL],2)/HLOOKUP($A937,표1[#ALL],row(),false)</f>
        <v>#N/A</v>
      </c>
      <c r="AD937" s="376" t="str">
        <f>CS_PID!AD937/VLOOKUP($B937,표2[#ALL],2)/HLOOKUP($A937,표1[#ALL],row(),false)</f>
        <v>#N/A</v>
      </c>
      <c r="AE937" s="376" t="str">
        <f>CS_PID!AE937/VLOOKUP($B937,표2[#ALL],2)/HLOOKUP($A937,표1[#ALL],row(),false)</f>
        <v>#N/A</v>
      </c>
      <c r="AF937" s="376" t="str">
        <f>CS_PID!AF937/VLOOKUP($B937,표2[#ALL],2)/HLOOKUP($A937,표1[#ALL],row(),false)</f>
        <v>#N/A</v>
      </c>
      <c r="AG937" s="376" t="str">
        <f>CS_PID!AG937/VLOOKUP($B937,표2[#ALL],2)/HLOOKUP($A937,표1[#ALL],row(),false)</f>
        <v>#N/A</v>
      </c>
      <c r="AH937" s="376" t="str">
        <f>CS_PID!AH937/VLOOKUP($B937,표2[#ALL],2)/HLOOKUP($A937,표1[#ALL],row(),false)</f>
        <v>#N/A</v>
      </c>
      <c r="AI937" s="376" t="str">
        <f>CS_PID!AI937/VLOOKUP($B937,표2[#ALL],2)/HLOOKUP($A937,표1[#ALL],row(),false)</f>
        <v>#N/A</v>
      </c>
      <c r="AJ937" s="376" t="str">
        <f>CS_PID!AJ937/VLOOKUP($B937,표2[#ALL],2)/HLOOKUP($A937,표1[#ALL],row(),false)</f>
        <v>#N/A</v>
      </c>
      <c r="AK937" s="376" t="str">
        <f>CS_PID!AK937/VLOOKUP($B937,표2[#ALL],2)/HLOOKUP($A937,표1[#ALL],row(),false)</f>
        <v>#N/A</v>
      </c>
      <c r="AL937" s="376" t="str">
        <f>CS_PID!AL937/VLOOKUP($B937,표2[#ALL],2)/HLOOKUP($A937,표1[#ALL],row(),false)</f>
        <v>#N/A</v>
      </c>
      <c r="AM937" s="376" t="str">
        <f>CS_PID!AM937/VLOOKUP($B937,표2[#ALL],2)/HLOOKUP($A937,표1[#ALL],row(),false)</f>
        <v>#N/A</v>
      </c>
      <c r="AN937" s="376" t="str">
        <f>CS_PID!AN937/VLOOKUP($B937,표2[#ALL],2)/HLOOKUP($A937,표1[#ALL],row(),false)</f>
        <v>#N/A</v>
      </c>
      <c r="AO937" s="376" t="str">
        <f>CS_PID!AO937/VLOOKUP($B937,표2[#ALL],2)/HLOOKUP($A937,표1[#ALL],row(),false)</f>
        <v>#N/A</v>
      </c>
      <c r="AP937" s="376" t="str">
        <f>CS_PID!AP937/VLOOKUP($B937,표2[#ALL],2)/HLOOKUP($A937,표1[#ALL],row(),false)</f>
        <v>#N/A</v>
      </c>
      <c r="AQ937" s="376" t="str">
        <f>CS_PID!AQ937/VLOOKUP($B937,표2[#ALL],2)/HLOOKUP($A937,표1[#ALL],row(),false)</f>
        <v>#N/A</v>
      </c>
      <c r="AR937" s="376" t="str">
        <f>CS_PID!AR937/VLOOKUP($B937,표2[#ALL],2)/HLOOKUP($A937,표1[#ALL],row(),false)</f>
        <v>#N/A</v>
      </c>
      <c r="AS937" s="377" t="str">
        <f>CS_PID!AS937/VLOOKUP($B937,표2[#ALL],2)/HLOOKUP($A937,표1[#ALL],row(),false)</f>
        <v>#N/A</v>
      </c>
    </row>
    <row r="938">
      <c r="A938" s="370"/>
      <c r="B938" s="371"/>
      <c r="C938" s="372" t="str">
        <f>CS_PID!C938/VLOOKUP($B938,표2[#ALL],2)</f>
        <v>#N/A</v>
      </c>
      <c r="D938" s="372" t="str">
        <f>CS_PID!D938/VLOOKUP($B938,표2[#ALL],2)</f>
        <v>#N/A</v>
      </c>
      <c r="E938" s="372" t="str">
        <f>CS_PID!E938/VLOOKUP($B938,표2[#ALL],2)</f>
        <v>#N/A</v>
      </c>
      <c r="F938" s="372" t="str">
        <f>CS_PID!F938/VLOOKUP($B938,표2[#ALL],2)</f>
        <v>#N/A</v>
      </c>
      <c r="G938" s="372" t="str">
        <f>CS_PID!G938/VLOOKUP($B938,표2[#ALL],2)</f>
        <v>#N/A</v>
      </c>
      <c r="H938" s="372" t="str">
        <f>CS_PID!H938/VLOOKUP($B938,표2[#ALL],2)/HLOOKUP($A938,표1[#ALL],row(),false)</f>
        <v>#N/A</v>
      </c>
      <c r="I938" s="372" t="str">
        <f>CS_PID!I938/VLOOKUP($B938,표2[#ALL],2)/HLOOKUP($A938,표1[#ALL],row(),false)</f>
        <v>#N/A</v>
      </c>
      <c r="J938" s="372" t="str">
        <f>CS_PID!J938/VLOOKUP($B938,표2[#ALL],2)/HLOOKUP($A938,표1[#ALL],row(),false)</f>
        <v>#N/A</v>
      </c>
      <c r="K938" s="372" t="str">
        <f>CS_PID!K938/VLOOKUP($B938,표2[#ALL],2)/HLOOKUP($A938,표1[#ALL],row(),false)</f>
        <v>#N/A</v>
      </c>
      <c r="L938" s="372" t="str">
        <f>CS_PID!L938/VLOOKUP($B938,표2[#ALL],2)/HLOOKUP($A938,표1[#ALL],row(),false)</f>
        <v>#N/A</v>
      </c>
      <c r="M938" s="372" t="str">
        <f>CS_PID!M938/VLOOKUP($B938,표2[#ALL],2)/HLOOKUP($A938,표1[#ALL],row(),false)</f>
        <v>#N/A</v>
      </c>
      <c r="N938" s="372" t="str">
        <f>CS_PID!N938/VLOOKUP($B938,표2[#ALL],2)/HLOOKUP($A938,표1[#ALL],row(),false)</f>
        <v>#N/A</v>
      </c>
      <c r="O938" s="372" t="str">
        <f>CS_PID!O938/VLOOKUP($B938,표2[#ALL],2)/HLOOKUP($A938,표1[#ALL],row(),false)</f>
        <v>#N/A</v>
      </c>
      <c r="P938" s="372" t="str">
        <f>CS_PID!P938/VLOOKUP($B938,표2[#ALL],2)/HLOOKUP($A938,표1[#ALL],row(),false)</f>
        <v>#N/A</v>
      </c>
      <c r="Q938" s="372" t="str">
        <f>CS_PID!Q938/VLOOKUP($B938,표2[#ALL],2)/HLOOKUP($A938,표1[#ALL],row(),false)</f>
        <v>#N/A</v>
      </c>
      <c r="R938" s="372" t="str">
        <f>CS_PID!R938/VLOOKUP($B938,표2[#ALL],2)/HLOOKUP($A938,표1[#ALL],row(),false)</f>
        <v>#N/A</v>
      </c>
      <c r="S938" s="372" t="str">
        <f>CS_PID!S938/VLOOKUP($B938,표2[#ALL],2)/HLOOKUP($A938,표1[#ALL],row(),false)</f>
        <v>#N/A</v>
      </c>
      <c r="T938" s="372" t="str">
        <f>CS_PID!T938/VLOOKUP($B938,표2[#ALL],2)/HLOOKUP($A938,표1[#ALL],row(),false)</f>
        <v>#N/A</v>
      </c>
      <c r="U938" s="372" t="str">
        <f>CS_PID!U938/VLOOKUP($B938,표2[#ALL],2)/HLOOKUP($A938,표1[#ALL],row(),false)</f>
        <v>#N/A</v>
      </c>
      <c r="V938" s="372" t="str">
        <f>CS_PID!V938/VLOOKUP($B938,표2[#ALL],2)/HLOOKUP($A938,표1[#ALL],row(),false)</f>
        <v>#N/A</v>
      </c>
      <c r="W938" s="372" t="str">
        <f>CS_PID!W938/VLOOKUP($B938,표2[#ALL],2)/HLOOKUP($A938,표1[#ALL],row(),false)</f>
        <v>#N/A</v>
      </c>
      <c r="X938" s="372" t="str">
        <f>CS_PID!X938/VLOOKUP($B938,표2[#ALL],2)/HLOOKUP($A938,표1[#ALL],row(),false)</f>
        <v>#N/A</v>
      </c>
      <c r="Y938" s="372" t="str">
        <f>CS_PID!Y938/VLOOKUP($B938,표2[#ALL],2)/HLOOKUP($A938,표1[#ALL],row(),false)</f>
        <v>#N/A</v>
      </c>
      <c r="Z938" s="372" t="str">
        <f>CS_PID!Z938/VLOOKUP($B938,표2[#ALL],2)/HLOOKUP($A938,표1[#ALL],row(),false)</f>
        <v>#N/A</v>
      </c>
      <c r="AA938" s="372" t="str">
        <f>CS_PID!AA938/VLOOKUP($B938,표2[#ALL],2)/HLOOKUP($A938,표1[#ALL],row(),false)</f>
        <v>#N/A</v>
      </c>
      <c r="AB938" s="372" t="str">
        <f>CS_PID!AB938/VLOOKUP($B938,표2[#ALL],2)/HLOOKUP($A938,표1[#ALL],row(),false)</f>
        <v>#N/A</v>
      </c>
      <c r="AC938" s="372" t="str">
        <f>CS_PID!AC938/VLOOKUP($B938,표2[#ALL],2)/HLOOKUP($A938,표1[#ALL],row(),false)</f>
        <v>#N/A</v>
      </c>
      <c r="AD938" s="372" t="str">
        <f>CS_PID!AD938/VLOOKUP($B938,표2[#ALL],2)/HLOOKUP($A938,표1[#ALL],row(),false)</f>
        <v>#N/A</v>
      </c>
      <c r="AE938" s="372" t="str">
        <f>CS_PID!AE938/VLOOKUP($B938,표2[#ALL],2)/HLOOKUP($A938,표1[#ALL],row(),false)</f>
        <v>#N/A</v>
      </c>
      <c r="AF938" s="372" t="str">
        <f>CS_PID!AF938/VLOOKUP($B938,표2[#ALL],2)/HLOOKUP($A938,표1[#ALL],row(),false)</f>
        <v>#N/A</v>
      </c>
      <c r="AG938" s="372" t="str">
        <f>CS_PID!AG938/VLOOKUP($B938,표2[#ALL],2)/HLOOKUP($A938,표1[#ALL],row(),false)</f>
        <v>#N/A</v>
      </c>
      <c r="AH938" s="372" t="str">
        <f>CS_PID!AH938/VLOOKUP($B938,표2[#ALL],2)/HLOOKUP($A938,표1[#ALL],row(),false)</f>
        <v>#N/A</v>
      </c>
      <c r="AI938" s="372" t="str">
        <f>CS_PID!AI938/VLOOKUP($B938,표2[#ALL],2)/HLOOKUP($A938,표1[#ALL],row(),false)</f>
        <v>#N/A</v>
      </c>
      <c r="AJ938" s="372" t="str">
        <f>CS_PID!AJ938/VLOOKUP($B938,표2[#ALL],2)/HLOOKUP($A938,표1[#ALL],row(),false)</f>
        <v>#N/A</v>
      </c>
      <c r="AK938" s="372" t="str">
        <f>CS_PID!AK938/VLOOKUP($B938,표2[#ALL],2)/HLOOKUP($A938,표1[#ALL],row(),false)</f>
        <v>#N/A</v>
      </c>
      <c r="AL938" s="372" t="str">
        <f>CS_PID!AL938/VLOOKUP($B938,표2[#ALL],2)/HLOOKUP($A938,표1[#ALL],row(),false)</f>
        <v>#N/A</v>
      </c>
      <c r="AM938" s="372" t="str">
        <f>CS_PID!AM938/VLOOKUP($B938,표2[#ALL],2)/HLOOKUP($A938,표1[#ALL],row(),false)</f>
        <v>#N/A</v>
      </c>
      <c r="AN938" s="372" t="str">
        <f>CS_PID!AN938/VLOOKUP($B938,표2[#ALL],2)/HLOOKUP($A938,표1[#ALL],row(),false)</f>
        <v>#N/A</v>
      </c>
      <c r="AO938" s="372" t="str">
        <f>CS_PID!AO938/VLOOKUP($B938,표2[#ALL],2)/HLOOKUP($A938,표1[#ALL],row(),false)</f>
        <v>#N/A</v>
      </c>
      <c r="AP938" s="372" t="str">
        <f>CS_PID!AP938/VLOOKUP($B938,표2[#ALL],2)/HLOOKUP($A938,표1[#ALL],row(),false)</f>
        <v>#N/A</v>
      </c>
      <c r="AQ938" s="372" t="str">
        <f>CS_PID!AQ938/VLOOKUP($B938,표2[#ALL],2)/HLOOKUP($A938,표1[#ALL],row(),false)</f>
        <v>#N/A</v>
      </c>
      <c r="AR938" s="372" t="str">
        <f>CS_PID!AR938/VLOOKUP($B938,표2[#ALL],2)/HLOOKUP($A938,표1[#ALL],row(),false)</f>
        <v>#N/A</v>
      </c>
      <c r="AS938" s="373" t="str">
        <f>CS_PID!AS938/VLOOKUP($B938,표2[#ALL],2)/HLOOKUP($A938,표1[#ALL],row(),false)</f>
        <v>#N/A</v>
      </c>
    </row>
    <row r="939">
      <c r="A939" s="374"/>
      <c r="B939" s="375"/>
      <c r="C939" s="376" t="str">
        <f>CS_PID!C939/VLOOKUP($B939,표2[#ALL],2)</f>
        <v>#N/A</v>
      </c>
      <c r="D939" s="376" t="str">
        <f>CS_PID!D939/VLOOKUP($B939,표2[#ALL],2)</f>
        <v>#N/A</v>
      </c>
      <c r="E939" s="376" t="str">
        <f>CS_PID!E939/VLOOKUP($B939,표2[#ALL],2)</f>
        <v>#N/A</v>
      </c>
      <c r="F939" s="376" t="str">
        <f>CS_PID!F939/VLOOKUP($B939,표2[#ALL],2)</f>
        <v>#N/A</v>
      </c>
      <c r="G939" s="376" t="str">
        <f>CS_PID!G939/VLOOKUP($B939,표2[#ALL],2)</f>
        <v>#N/A</v>
      </c>
      <c r="H939" s="376" t="str">
        <f>CS_PID!H939/VLOOKUP($B939,표2[#ALL],2)/HLOOKUP($A939,표1[#ALL],row(),false)</f>
        <v>#N/A</v>
      </c>
      <c r="I939" s="376" t="str">
        <f>CS_PID!I939/VLOOKUP($B939,표2[#ALL],2)/HLOOKUP($A939,표1[#ALL],row(),false)</f>
        <v>#N/A</v>
      </c>
      <c r="J939" s="376" t="str">
        <f>CS_PID!J939/VLOOKUP($B939,표2[#ALL],2)/HLOOKUP($A939,표1[#ALL],row(),false)</f>
        <v>#N/A</v>
      </c>
      <c r="K939" s="376" t="str">
        <f>CS_PID!K939/VLOOKUP($B939,표2[#ALL],2)/HLOOKUP($A939,표1[#ALL],row(),false)</f>
        <v>#N/A</v>
      </c>
      <c r="L939" s="376" t="str">
        <f>CS_PID!L939/VLOOKUP($B939,표2[#ALL],2)/HLOOKUP($A939,표1[#ALL],row(),false)</f>
        <v>#N/A</v>
      </c>
      <c r="M939" s="376" t="str">
        <f>CS_PID!M939/VLOOKUP($B939,표2[#ALL],2)/HLOOKUP($A939,표1[#ALL],row(),false)</f>
        <v>#N/A</v>
      </c>
      <c r="N939" s="376" t="str">
        <f>CS_PID!N939/VLOOKUP($B939,표2[#ALL],2)/HLOOKUP($A939,표1[#ALL],row(),false)</f>
        <v>#N/A</v>
      </c>
      <c r="O939" s="376" t="str">
        <f>CS_PID!O939/VLOOKUP($B939,표2[#ALL],2)/HLOOKUP($A939,표1[#ALL],row(),false)</f>
        <v>#N/A</v>
      </c>
      <c r="P939" s="376" t="str">
        <f>CS_PID!P939/VLOOKUP($B939,표2[#ALL],2)/HLOOKUP($A939,표1[#ALL],row(),false)</f>
        <v>#N/A</v>
      </c>
      <c r="Q939" s="376" t="str">
        <f>CS_PID!Q939/VLOOKUP($B939,표2[#ALL],2)/HLOOKUP($A939,표1[#ALL],row(),false)</f>
        <v>#N/A</v>
      </c>
      <c r="R939" s="376" t="str">
        <f>CS_PID!R939/VLOOKUP($B939,표2[#ALL],2)/HLOOKUP($A939,표1[#ALL],row(),false)</f>
        <v>#N/A</v>
      </c>
      <c r="S939" s="376" t="str">
        <f>CS_PID!S939/VLOOKUP($B939,표2[#ALL],2)/HLOOKUP($A939,표1[#ALL],row(),false)</f>
        <v>#N/A</v>
      </c>
      <c r="T939" s="376" t="str">
        <f>CS_PID!T939/VLOOKUP($B939,표2[#ALL],2)/HLOOKUP($A939,표1[#ALL],row(),false)</f>
        <v>#N/A</v>
      </c>
      <c r="U939" s="376" t="str">
        <f>CS_PID!U939/VLOOKUP($B939,표2[#ALL],2)/HLOOKUP($A939,표1[#ALL],row(),false)</f>
        <v>#N/A</v>
      </c>
      <c r="V939" s="376" t="str">
        <f>CS_PID!V939/VLOOKUP($B939,표2[#ALL],2)/HLOOKUP($A939,표1[#ALL],row(),false)</f>
        <v>#N/A</v>
      </c>
      <c r="W939" s="376" t="str">
        <f>CS_PID!W939/VLOOKUP($B939,표2[#ALL],2)/HLOOKUP($A939,표1[#ALL],row(),false)</f>
        <v>#N/A</v>
      </c>
      <c r="X939" s="376" t="str">
        <f>CS_PID!X939/VLOOKUP($B939,표2[#ALL],2)/HLOOKUP($A939,표1[#ALL],row(),false)</f>
        <v>#N/A</v>
      </c>
      <c r="Y939" s="376" t="str">
        <f>CS_PID!Y939/VLOOKUP($B939,표2[#ALL],2)/HLOOKUP($A939,표1[#ALL],row(),false)</f>
        <v>#N/A</v>
      </c>
      <c r="Z939" s="376" t="str">
        <f>CS_PID!Z939/VLOOKUP($B939,표2[#ALL],2)/HLOOKUP($A939,표1[#ALL],row(),false)</f>
        <v>#N/A</v>
      </c>
      <c r="AA939" s="376" t="str">
        <f>CS_PID!AA939/VLOOKUP($B939,표2[#ALL],2)/HLOOKUP($A939,표1[#ALL],row(),false)</f>
        <v>#N/A</v>
      </c>
      <c r="AB939" s="376" t="str">
        <f>CS_PID!AB939/VLOOKUP($B939,표2[#ALL],2)/HLOOKUP($A939,표1[#ALL],row(),false)</f>
        <v>#N/A</v>
      </c>
      <c r="AC939" s="376" t="str">
        <f>CS_PID!AC939/VLOOKUP($B939,표2[#ALL],2)/HLOOKUP($A939,표1[#ALL],row(),false)</f>
        <v>#N/A</v>
      </c>
      <c r="AD939" s="376" t="str">
        <f>CS_PID!AD939/VLOOKUP($B939,표2[#ALL],2)/HLOOKUP($A939,표1[#ALL],row(),false)</f>
        <v>#N/A</v>
      </c>
      <c r="AE939" s="376" t="str">
        <f>CS_PID!AE939/VLOOKUP($B939,표2[#ALL],2)/HLOOKUP($A939,표1[#ALL],row(),false)</f>
        <v>#N/A</v>
      </c>
      <c r="AF939" s="376" t="str">
        <f>CS_PID!AF939/VLOOKUP($B939,표2[#ALL],2)/HLOOKUP($A939,표1[#ALL],row(),false)</f>
        <v>#N/A</v>
      </c>
      <c r="AG939" s="376" t="str">
        <f>CS_PID!AG939/VLOOKUP($B939,표2[#ALL],2)/HLOOKUP($A939,표1[#ALL],row(),false)</f>
        <v>#N/A</v>
      </c>
      <c r="AH939" s="376" t="str">
        <f>CS_PID!AH939/VLOOKUP($B939,표2[#ALL],2)/HLOOKUP($A939,표1[#ALL],row(),false)</f>
        <v>#N/A</v>
      </c>
      <c r="AI939" s="376" t="str">
        <f>CS_PID!AI939/VLOOKUP($B939,표2[#ALL],2)/HLOOKUP($A939,표1[#ALL],row(),false)</f>
        <v>#N/A</v>
      </c>
      <c r="AJ939" s="376" t="str">
        <f>CS_PID!AJ939/VLOOKUP($B939,표2[#ALL],2)/HLOOKUP($A939,표1[#ALL],row(),false)</f>
        <v>#N/A</v>
      </c>
      <c r="AK939" s="376" t="str">
        <f>CS_PID!AK939/VLOOKUP($B939,표2[#ALL],2)/HLOOKUP($A939,표1[#ALL],row(),false)</f>
        <v>#N/A</v>
      </c>
      <c r="AL939" s="376" t="str">
        <f>CS_PID!AL939/VLOOKUP($B939,표2[#ALL],2)/HLOOKUP($A939,표1[#ALL],row(),false)</f>
        <v>#N/A</v>
      </c>
      <c r="AM939" s="376" t="str">
        <f>CS_PID!AM939/VLOOKUP($B939,표2[#ALL],2)/HLOOKUP($A939,표1[#ALL],row(),false)</f>
        <v>#N/A</v>
      </c>
      <c r="AN939" s="376" t="str">
        <f>CS_PID!AN939/VLOOKUP($B939,표2[#ALL],2)/HLOOKUP($A939,표1[#ALL],row(),false)</f>
        <v>#N/A</v>
      </c>
      <c r="AO939" s="376" t="str">
        <f>CS_PID!AO939/VLOOKUP($B939,표2[#ALL],2)/HLOOKUP($A939,표1[#ALL],row(),false)</f>
        <v>#N/A</v>
      </c>
      <c r="AP939" s="376" t="str">
        <f>CS_PID!AP939/VLOOKUP($B939,표2[#ALL],2)/HLOOKUP($A939,표1[#ALL],row(),false)</f>
        <v>#N/A</v>
      </c>
      <c r="AQ939" s="376" t="str">
        <f>CS_PID!AQ939/VLOOKUP($B939,표2[#ALL],2)/HLOOKUP($A939,표1[#ALL],row(),false)</f>
        <v>#N/A</v>
      </c>
      <c r="AR939" s="376" t="str">
        <f>CS_PID!AR939/VLOOKUP($B939,표2[#ALL],2)/HLOOKUP($A939,표1[#ALL],row(),false)</f>
        <v>#N/A</v>
      </c>
      <c r="AS939" s="377" t="str">
        <f>CS_PID!AS939/VLOOKUP($B939,표2[#ALL],2)/HLOOKUP($A939,표1[#ALL],row(),false)</f>
        <v>#N/A</v>
      </c>
    </row>
    <row r="940">
      <c r="A940" s="370"/>
      <c r="B940" s="371"/>
      <c r="C940" s="372" t="str">
        <f>CS_PID!C940/VLOOKUP($B940,표2[#ALL],2)</f>
        <v>#N/A</v>
      </c>
      <c r="D940" s="372" t="str">
        <f>CS_PID!D940/VLOOKUP($B940,표2[#ALL],2)</f>
        <v>#N/A</v>
      </c>
      <c r="E940" s="372" t="str">
        <f>CS_PID!E940/VLOOKUP($B940,표2[#ALL],2)</f>
        <v>#N/A</v>
      </c>
      <c r="F940" s="372" t="str">
        <f>CS_PID!F940/VLOOKUP($B940,표2[#ALL],2)</f>
        <v>#N/A</v>
      </c>
      <c r="G940" s="372" t="str">
        <f>CS_PID!G940/VLOOKUP($B940,표2[#ALL],2)</f>
        <v>#N/A</v>
      </c>
      <c r="H940" s="372" t="str">
        <f>CS_PID!H940/VLOOKUP($B940,표2[#ALL],2)/HLOOKUP($A940,표1[#ALL],row(),false)</f>
        <v>#N/A</v>
      </c>
      <c r="I940" s="372" t="str">
        <f>CS_PID!I940/VLOOKUP($B940,표2[#ALL],2)/HLOOKUP($A940,표1[#ALL],row(),false)</f>
        <v>#N/A</v>
      </c>
      <c r="J940" s="372" t="str">
        <f>CS_PID!J940/VLOOKUP($B940,표2[#ALL],2)/HLOOKUP($A940,표1[#ALL],row(),false)</f>
        <v>#N/A</v>
      </c>
      <c r="K940" s="372" t="str">
        <f>CS_PID!K940/VLOOKUP($B940,표2[#ALL],2)/HLOOKUP($A940,표1[#ALL],row(),false)</f>
        <v>#N/A</v>
      </c>
      <c r="L940" s="372" t="str">
        <f>CS_PID!L940/VLOOKUP($B940,표2[#ALL],2)/HLOOKUP($A940,표1[#ALL],row(),false)</f>
        <v>#N/A</v>
      </c>
      <c r="M940" s="372" t="str">
        <f>CS_PID!M940/VLOOKUP($B940,표2[#ALL],2)/HLOOKUP($A940,표1[#ALL],row(),false)</f>
        <v>#N/A</v>
      </c>
      <c r="N940" s="372" t="str">
        <f>CS_PID!N940/VLOOKUP($B940,표2[#ALL],2)/HLOOKUP($A940,표1[#ALL],row(),false)</f>
        <v>#N/A</v>
      </c>
      <c r="O940" s="372" t="str">
        <f>CS_PID!O940/VLOOKUP($B940,표2[#ALL],2)/HLOOKUP($A940,표1[#ALL],row(),false)</f>
        <v>#N/A</v>
      </c>
      <c r="P940" s="372" t="str">
        <f>CS_PID!P940/VLOOKUP($B940,표2[#ALL],2)/HLOOKUP($A940,표1[#ALL],row(),false)</f>
        <v>#N/A</v>
      </c>
      <c r="Q940" s="372" t="str">
        <f>CS_PID!Q940/VLOOKUP($B940,표2[#ALL],2)/HLOOKUP($A940,표1[#ALL],row(),false)</f>
        <v>#N/A</v>
      </c>
      <c r="R940" s="372" t="str">
        <f>CS_PID!R940/VLOOKUP($B940,표2[#ALL],2)/HLOOKUP($A940,표1[#ALL],row(),false)</f>
        <v>#N/A</v>
      </c>
      <c r="S940" s="372" t="str">
        <f>CS_PID!S940/VLOOKUP($B940,표2[#ALL],2)/HLOOKUP($A940,표1[#ALL],row(),false)</f>
        <v>#N/A</v>
      </c>
      <c r="T940" s="372" t="str">
        <f>CS_PID!T940/VLOOKUP($B940,표2[#ALL],2)/HLOOKUP($A940,표1[#ALL],row(),false)</f>
        <v>#N/A</v>
      </c>
      <c r="U940" s="372" t="str">
        <f>CS_PID!U940/VLOOKUP($B940,표2[#ALL],2)/HLOOKUP($A940,표1[#ALL],row(),false)</f>
        <v>#N/A</v>
      </c>
      <c r="V940" s="372" t="str">
        <f>CS_PID!V940/VLOOKUP($B940,표2[#ALL],2)/HLOOKUP($A940,표1[#ALL],row(),false)</f>
        <v>#N/A</v>
      </c>
      <c r="W940" s="372" t="str">
        <f>CS_PID!W940/VLOOKUP($B940,표2[#ALL],2)/HLOOKUP($A940,표1[#ALL],row(),false)</f>
        <v>#N/A</v>
      </c>
      <c r="X940" s="372" t="str">
        <f>CS_PID!X940/VLOOKUP($B940,표2[#ALL],2)/HLOOKUP($A940,표1[#ALL],row(),false)</f>
        <v>#N/A</v>
      </c>
      <c r="Y940" s="372" t="str">
        <f>CS_PID!Y940/VLOOKUP($B940,표2[#ALL],2)/HLOOKUP($A940,표1[#ALL],row(),false)</f>
        <v>#N/A</v>
      </c>
      <c r="Z940" s="372" t="str">
        <f>CS_PID!Z940/VLOOKUP($B940,표2[#ALL],2)/HLOOKUP($A940,표1[#ALL],row(),false)</f>
        <v>#N/A</v>
      </c>
      <c r="AA940" s="372" t="str">
        <f>CS_PID!AA940/VLOOKUP($B940,표2[#ALL],2)/HLOOKUP($A940,표1[#ALL],row(),false)</f>
        <v>#N/A</v>
      </c>
      <c r="AB940" s="372" t="str">
        <f>CS_PID!AB940/VLOOKUP($B940,표2[#ALL],2)/HLOOKUP($A940,표1[#ALL],row(),false)</f>
        <v>#N/A</v>
      </c>
      <c r="AC940" s="372" t="str">
        <f>CS_PID!AC940/VLOOKUP($B940,표2[#ALL],2)/HLOOKUP($A940,표1[#ALL],row(),false)</f>
        <v>#N/A</v>
      </c>
      <c r="AD940" s="372" t="str">
        <f>CS_PID!AD940/VLOOKUP($B940,표2[#ALL],2)/HLOOKUP($A940,표1[#ALL],row(),false)</f>
        <v>#N/A</v>
      </c>
      <c r="AE940" s="372" t="str">
        <f>CS_PID!AE940/VLOOKUP($B940,표2[#ALL],2)/HLOOKUP($A940,표1[#ALL],row(),false)</f>
        <v>#N/A</v>
      </c>
      <c r="AF940" s="372" t="str">
        <f>CS_PID!AF940/VLOOKUP($B940,표2[#ALL],2)/HLOOKUP($A940,표1[#ALL],row(),false)</f>
        <v>#N/A</v>
      </c>
      <c r="AG940" s="372" t="str">
        <f>CS_PID!AG940/VLOOKUP($B940,표2[#ALL],2)/HLOOKUP($A940,표1[#ALL],row(),false)</f>
        <v>#N/A</v>
      </c>
      <c r="AH940" s="372" t="str">
        <f>CS_PID!AH940/VLOOKUP($B940,표2[#ALL],2)/HLOOKUP($A940,표1[#ALL],row(),false)</f>
        <v>#N/A</v>
      </c>
      <c r="AI940" s="372" t="str">
        <f>CS_PID!AI940/VLOOKUP($B940,표2[#ALL],2)/HLOOKUP($A940,표1[#ALL],row(),false)</f>
        <v>#N/A</v>
      </c>
      <c r="AJ940" s="372" t="str">
        <f>CS_PID!AJ940/VLOOKUP($B940,표2[#ALL],2)/HLOOKUP($A940,표1[#ALL],row(),false)</f>
        <v>#N/A</v>
      </c>
      <c r="AK940" s="372" t="str">
        <f>CS_PID!AK940/VLOOKUP($B940,표2[#ALL],2)/HLOOKUP($A940,표1[#ALL],row(),false)</f>
        <v>#N/A</v>
      </c>
      <c r="AL940" s="372" t="str">
        <f>CS_PID!AL940/VLOOKUP($B940,표2[#ALL],2)/HLOOKUP($A940,표1[#ALL],row(),false)</f>
        <v>#N/A</v>
      </c>
      <c r="AM940" s="372" t="str">
        <f>CS_PID!AM940/VLOOKUP($B940,표2[#ALL],2)/HLOOKUP($A940,표1[#ALL],row(),false)</f>
        <v>#N/A</v>
      </c>
      <c r="AN940" s="372" t="str">
        <f>CS_PID!AN940/VLOOKUP($B940,표2[#ALL],2)/HLOOKUP($A940,표1[#ALL],row(),false)</f>
        <v>#N/A</v>
      </c>
      <c r="AO940" s="372" t="str">
        <f>CS_PID!AO940/VLOOKUP($B940,표2[#ALL],2)/HLOOKUP($A940,표1[#ALL],row(),false)</f>
        <v>#N/A</v>
      </c>
      <c r="AP940" s="372" t="str">
        <f>CS_PID!AP940/VLOOKUP($B940,표2[#ALL],2)/HLOOKUP($A940,표1[#ALL],row(),false)</f>
        <v>#N/A</v>
      </c>
      <c r="AQ940" s="372" t="str">
        <f>CS_PID!AQ940/VLOOKUP($B940,표2[#ALL],2)/HLOOKUP($A940,표1[#ALL],row(),false)</f>
        <v>#N/A</v>
      </c>
      <c r="AR940" s="372" t="str">
        <f>CS_PID!AR940/VLOOKUP($B940,표2[#ALL],2)/HLOOKUP($A940,표1[#ALL],row(),false)</f>
        <v>#N/A</v>
      </c>
      <c r="AS940" s="373" t="str">
        <f>CS_PID!AS940/VLOOKUP($B940,표2[#ALL],2)/HLOOKUP($A940,표1[#ALL],row(),false)</f>
        <v>#N/A</v>
      </c>
    </row>
    <row r="941">
      <c r="A941" s="374"/>
      <c r="B941" s="375"/>
      <c r="C941" s="376" t="str">
        <f>CS_PID!C941/VLOOKUP($B941,표2[#ALL],2)</f>
        <v>#N/A</v>
      </c>
      <c r="D941" s="376" t="str">
        <f>CS_PID!D941/VLOOKUP($B941,표2[#ALL],2)</f>
        <v>#N/A</v>
      </c>
      <c r="E941" s="376" t="str">
        <f>CS_PID!E941/VLOOKUP($B941,표2[#ALL],2)</f>
        <v>#N/A</v>
      </c>
      <c r="F941" s="376" t="str">
        <f>CS_PID!F941/VLOOKUP($B941,표2[#ALL],2)</f>
        <v>#N/A</v>
      </c>
      <c r="G941" s="376" t="str">
        <f>CS_PID!G941/VLOOKUP($B941,표2[#ALL],2)</f>
        <v>#N/A</v>
      </c>
      <c r="H941" s="376" t="str">
        <f>CS_PID!H941/VLOOKUP($B941,표2[#ALL],2)/HLOOKUP($A941,표1[#ALL],row(),false)</f>
        <v>#N/A</v>
      </c>
      <c r="I941" s="376" t="str">
        <f>CS_PID!I941/VLOOKUP($B941,표2[#ALL],2)/HLOOKUP($A941,표1[#ALL],row(),false)</f>
        <v>#N/A</v>
      </c>
      <c r="J941" s="376" t="str">
        <f>CS_PID!J941/VLOOKUP($B941,표2[#ALL],2)/HLOOKUP($A941,표1[#ALL],row(),false)</f>
        <v>#N/A</v>
      </c>
      <c r="K941" s="376" t="str">
        <f>CS_PID!K941/VLOOKUP($B941,표2[#ALL],2)/HLOOKUP($A941,표1[#ALL],row(),false)</f>
        <v>#N/A</v>
      </c>
      <c r="L941" s="376" t="str">
        <f>CS_PID!L941/VLOOKUP($B941,표2[#ALL],2)/HLOOKUP($A941,표1[#ALL],row(),false)</f>
        <v>#N/A</v>
      </c>
      <c r="M941" s="376" t="str">
        <f>CS_PID!M941/VLOOKUP($B941,표2[#ALL],2)/HLOOKUP($A941,표1[#ALL],row(),false)</f>
        <v>#N/A</v>
      </c>
      <c r="N941" s="376" t="str">
        <f>CS_PID!N941/VLOOKUP($B941,표2[#ALL],2)/HLOOKUP($A941,표1[#ALL],row(),false)</f>
        <v>#N/A</v>
      </c>
      <c r="O941" s="376" t="str">
        <f>CS_PID!O941/VLOOKUP($B941,표2[#ALL],2)/HLOOKUP($A941,표1[#ALL],row(),false)</f>
        <v>#N/A</v>
      </c>
      <c r="P941" s="376" t="str">
        <f>CS_PID!P941/VLOOKUP($B941,표2[#ALL],2)/HLOOKUP($A941,표1[#ALL],row(),false)</f>
        <v>#N/A</v>
      </c>
      <c r="Q941" s="376" t="str">
        <f>CS_PID!Q941/VLOOKUP($B941,표2[#ALL],2)/HLOOKUP($A941,표1[#ALL],row(),false)</f>
        <v>#N/A</v>
      </c>
      <c r="R941" s="376" t="str">
        <f>CS_PID!R941/VLOOKUP($B941,표2[#ALL],2)/HLOOKUP($A941,표1[#ALL],row(),false)</f>
        <v>#N/A</v>
      </c>
      <c r="S941" s="376" t="str">
        <f>CS_PID!S941/VLOOKUP($B941,표2[#ALL],2)/HLOOKUP($A941,표1[#ALL],row(),false)</f>
        <v>#N/A</v>
      </c>
      <c r="T941" s="376" t="str">
        <f>CS_PID!T941/VLOOKUP($B941,표2[#ALL],2)/HLOOKUP($A941,표1[#ALL],row(),false)</f>
        <v>#N/A</v>
      </c>
      <c r="U941" s="376" t="str">
        <f>CS_PID!U941/VLOOKUP($B941,표2[#ALL],2)/HLOOKUP($A941,표1[#ALL],row(),false)</f>
        <v>#N/A</v>
      </c>
      <c r="V941" s="376" t="str">
        <f>CS_PID!V941/VLOOKUP($B941,표2[#ALL],2)/HLOOKUP($A941,표1[#ALL],row(),false)</f>
        <v>#N/A</v>
      </c>
      <c r="W941" s="376" t="str">
        <f>CS_PID!W941/VLOOKUP($B941,표2[#ALL],2)/HLOOKUP($A941,표1[#ALL],row(),false)</f>
        <v>#N/A</v>
      </c>
      <c r="X941" s="376" t="str">
        <f>CS_PID!X941/VLOOKUP($B941,표2[#ALL],2)/HLOOKUP($A941,표1[#ALL],row(),false)</f>
        <v>#N/A</v>
      </c>
      <c r="Y941" s="376" t="str">
        <f>CS_PID!Y941/VLOOKUP($B941,표2[#ALL],2)/HLOOKUP($A941,표1[#ALL],row(),false)</f>
        <v>#N/A</v>
      </c>
      <c r="Z941" s="376" t="str">
        <f>CS_PID!Z941/VLOOKUP($B941,표2[#ALL],2)/HLOOKUP($A941,표1[#ALL],row(),false)</f>
        <v>#N/A</v>
      </c>
      <c r="AA941" s="376" t="str">
        <f>CS_PID!AA941/VLOOKUP($B941,표2[#ALL],2)/HLOOKUP($A941,표1[#ALL],row(),false)</f>
        <v>#N/A</v>
      </c>
      <c r="AB941" s="376" t="str">
        <f>CS_PID!AB941/VLOOKUP($B941,표2[#ALL],2)/HLOOKUP($A941,표1[#ALL],row(),false)</f>
        <v>#N/A</v>
      </c>
      <c r="AC941" s="376" t="str">
        <f>CS_PID!AC941/VLOOKUP($B941,표2[#ALL],2)/HLOOKUP($A941,표1[#ALL],row(),false)</f>
        <v>#N/A</v>
      </c>
      <c r="AD941" s="376" t="str">
        <f>CS_PID!AD941/VLOOKUP($B941,표2[#ALL],2)/HLOOKUP($A941,표1[#ALL],row(),false)</f>
        <v>#N/A</v>
      </c>
      <c r="AE941" s="376" t="str">
        <f>CS_PID!AE941/VLOOKUP($B941,표2[#ALL],2)/HLOOKUP($A941,표1[#ALL],row(),false)</f>
        <v>#N/A</v>
      </c>
      <c r="AF941" s="376" t="str">
        <f>CS_PID!AF941/VLOOKUP($B941,표2[#ALL],2)/HLOOKUP($A941,표1[#ALL],row(),false)</f>
        <v>#N/A</v>
      </c>
      <c r="AG941" s="376" t="str">
        <f>CS_PID!AG941/VLOOKUP($B941,표2[#ALL],2)/HLOOKUP($A941,표1[#ALL],row(),false)</f>
        <v>#N/A</v>
      </c>
      <c r="AH941" s="376" t="str">
        <f>CS_PID!AH941/VLOOKUP($B941,표2[#ALL],2)/HLOOKUP($A941,표1[#ALL],row(),false)</f>
        <v>#N/A</v>
      </c>
      <c r="AI941" s="376" t="str">
        <f>CS_PID!AI941/VLOOKUP($B941,표2[#ALL],2)/HLOOKUP($A941,표1[#ALL],row(),false)</f>
        <v>#N/A</v>
      </c>
      <c r="AJ941" s="376" t="str">
        <f>CS_PID!AJ941/VLOOKUP($B941,표2[#ALL],2)/HLOOKUP($A941,표1[#ALL],row(),false)</f>
        <v>#N/A</v>
      </c>
      <c r="AK941" s="376" t="str">
        <f>CS_PID!AK941/VLOOKUP($B941,표2[#ALL],2)/HLOOKUP($A941,표1[#ALL],row(),false)</f>
        <v>#N/A</v>
      </c>
      <c r="AL941" s="376" t="str">
        <f>CS_PID!AL941/VLOOKUP($B941,표2[#ALL],2)/HLOOKUP($A941,표1[#ALL],row(),false)</f>
        <v>#N/A</v>
      </c>
      <c r="AM941" s="376" t="str">
        <f>CS_PID!AM941/VLOOKUP($B941,표2[#ALL],2)/HLOOKUP($A941,표1[#ALL],row(),false)</f>
        <v>#N/A</v>
      </c>
      <c r="AN941" s="376" t="str">
        <f>CS_PID!AN941/VLOOKUP($B941,표2[#ALL],2)/HLOOKUP($A941,표1[#ALL],row(),false)</f>
        <v>#N/A</v>
      </c>
      <c r="AO941" s="376" t="str">
        <f>CS_PID!AO941/VLOOKUP($B941,표2[#ALL],2)/HLOOKUP($A941,표1[#ALL],row(),false)</f>
        <v>#N/A</v>
      </c>
      <c r="AP941" s="376" t="str">
        <f>CS_PID!AP941/VLOOKUP($B941,표2[#ALL],2)/HLOOKUP($A941,표1[#ALL],row(),false)</f>
        <v>#N/A</v>
      </c>
      <c r="AQ941" s="376" t="str">
        <f>CS_PID!AQ941/VLOOKUP($B941,표2[#ALL],2)/HLOOKUP($A941,표1[#ALL],row(),false)</f>
        <v>#N/A</v>
      </c>
      <c r="AR941" s="376" t="str">
        <f>CS_PID!AR941/VLOOKUP($B941,표2[#ALL],2)/HLOOKUP($A941,표1[#ALL],row(),false)</f>
        <v>#N/A</v>
      </c>
      <c r="AS941" s="377" t="str">
        <f>CS_PID!AS941/VLOOKUP($B941,표2[#ALL],2)/HLOOKUP($A941,표1[#ALL],row(),false)</f>
        <v>#N/A</v>
      </c>
    </row>
    <row r="942">
      <c r="A942" s="370"/>
      <c r="B942" s="371"/>
      <c r="C942" s="372" t="str">
        <f>CS_PID!C942/VLOOKUP($B942,표2[#ALL],2)</f>
        <v>#N/A</v>
      </c>
      <c r="D942" s="372" t="str">
        <f>CS_PID!D942/VLOOKUP($B942,표2[#ALL],2)</f>
        <v>#N/A</v>
      </c>
      <c r="E942" s="372" t="str">
        <f>CS_PID!E942/VLOOKUP($B942,표2[#ALL],2)</f>
        <v>#N/A</v>
      </c>
      <c r="F942" s="372" t="str">
        <f>CS_PID!F942/VLOOKUP($B942,표2[#ALL],2)</f>
        <v>#N/A</v>
      </c>
      <c r="G942" s="372" t="str">
        <f>CS_PID!G942/VLOOKUP($B942,표2[#ALL],2)</f>
        <v>#N/A</v>
      </c>
      <c r="H942" s="372" t="str">
        <f>CS_PID!H942/VLOOKUP($B942,표2[#ALL],2)/HLOOKUP($A942,표1[#ALL],row(),false)</f>
        <v>#N/A</v>
      </c>
      <c r="I942" s="372" t="str">
        <f>CS_PID!I942/VLOOKUP($B942,표2[#ALL],2)/HLOOKUP($A942,표1[#ALL],row(),false)</f>
        <v>#N/A</v>
      </c>
      <c r="J942" s="372" t="str">
        <f>CS_PID!J942/VLOOKUP($B942,표2[#ALL],2)/HLOOKUP($A942,표1[#ALL],row(),false)</f>
        <v>#N/A</v>
      </c>
      <c r="K942" s="372" t="str">
        <f>CS_PID!K942/VLOOKUP($B942,표2[#ALL],2)/HLOOKUP($A942,표1[#ALL],row(),false)</f>
        <v>#N/A</v>
      </c>
      <c r="L942" s="372" t="str">
        <f>CS_PID!L942/VLOOKUP($B942,표2[#ALL],2)/HLOOKUP($A942,표1[#ALL],row(),false)</f>
        <v>#N/A</v>
      </c>
      <c r="M942" s="372" t="str">
        <f>CS_PID!M942/VLOOKUP($B942,표2[#ALL],2)/HLOOKUP($A942,표1[#ALL],row(),false)</f>
        <v>#N/A</v>
      </c>
      <c r="N942" s="372" t="str">
        <f>CS_PID!N942/VLOOKUP($B942,표2[#ALL],2)/HLOOKUP($A942,표1[#ALL],row(),false)</f>
        <v>#N/A</v>
      </c>
      <c r="O942" s="372" t="str">
        <f>CS_PID!O942/VLOOKUP($B942,표2[#ALL],2)/HLOOKUP($A942,표1[#ALL],row(),false)</f>
        <v>#N/A</v>
      </c>
      <c r="P942" s="372" t="str">
        <f>CS_PID!P942/VLOOKUP($B942,표2[#ALL],2)/HLOOKUP($A942,표1[#ALL],row(),false)</f>
        <v>#N/A</v>
      </c>
      <c r="Q942" s="372" t="str">
        <f>CS_PID!Q942/VLOOKUP($B942,표2[#ALL],2)/HLOOKUP($A942,표1[#ALL],row(),false)</f>
        <v>#N/A</v>
      </c>
      <c r="R942" s="372" t="str">
        <f>CS_PID!R942/VLOOKUP($B942,표2[#ALL],2)/HLOOKUP($A942,표1[#ALL],row(),false)</f>
        <v>#N/A</v>
      </c>
      <c r="S942" s="372" t="str">
        <f>CS_PID!S942/VLOOKUP($B942,표2[#ALL],2)/HLOOKUP($A942,표1[#ALL],row(),false)</f>
        <v>#N/A</v>
      </c>
      <c r="T942" s="372" t="str">
        <f>CS_PID!T942/VLOOKUP($B942,표2[#ALL],2)/HLOOKUP($A942,표1[#ALL],row(),false)</f>
        <v>#N/A</v>
      </c>
      <c r="U942" s="372" t="str">
        <f>CS_PID!U942/VLOOKUP($B942,표2[#ALL],2)/HLOOKUP($A942,표1[#ALL],row(),false)</f>
        <v>#N/A</v>
      </c>
      <c r="V942" s="372" t="str">
        <f>CS_PID!V942/VLOOKUP($B942,표2[#ALL],2)/HLOOKUP($A942,표1[#ALL],row(),false)</f>
        <v>#N/A</v>
      </c>
      <c r="W942" s="372" t="str">
        <f>CS_PID!W942/VLOOKUP($B942,표2[#ALL],2)/HLOOKUP($A942,표1[#ALL],row(),false)</f>
        <v>#N/A</v>
      </c>
      <c r="X942" s="372" t="str">
        <f>CS_PID!X942/VLOOKUP($B942,표2[#ALL],2)/HLOOKUP($A942,표1[#ALL],row(),false)</f>
        <v>#N/A</v>
      </c>
      <c r="Y942" s="372" t="str">
        <f>CS_PID!Y942/VLOOKUP($B942,표2[#ALL],2)/HLOOKUP($A942,표1[#ALL],row(),false)</f>
        <v>#N/A</v>
      </c>
      <c r="Z942" s="372" t="str">
        <f>CS_PID!Z942/VLOOKUP($B942,표2[#ALL],2)/HLOOKUP($A942,표1[#ALL],row(),false)</f>
        <v>#N/A</v>
      </c>
      <c r="AA942" s="372" t="str">
        <f>CS_PID!AA942/VLOOKUP($B942,표2[#ALL],2)/HLOOKUP($A942,표1[#ALL],row(),false)</f>
        <v>#N/A</v>
      </c>
      <c r="AB942" s="372" t="str">
        <f>CS_PID!AB942/VLOOKUP($B942,표2[#ALL],2)/HLOOKUP($A942,표1[#ALL],row(),false)</f>
        <v>#N/A</v>
      </c>
      <c r="AC942" s="372" t="str">
        <f>CS_PID!AC942/VLOOKUP($B942,표2[#ALL],2)/HLOOKUP($A942,표1[#ALL],row(),false)</f>
        <v>#N/A</v>
      </c>
      <c r="AD942" s="372" t="str">
        <f>CS_PID!AD942/VLOOKUP($B942,표2[#ALL],2)/HLOOKUP($A942,표1[#ALL],row(),false)</f>
        <v>#N/A</v>
      </c>
      <c r="AE942" s="372" t="str">
        <f>CS_PID!AE942/VLOOKUP($B942,표2[#ALL],2)/HLOOKUP($A942,표1[#ALL],row(),false)</f>
        <v>#N/A</v>
      </c>
      <c r="AF942" s="372" t="str">
        <f>CS_PID!AF942/VLOOKUP($B942,표2[#ALL],2)/HLOOKUP($A942,표1[#ALL],row(),false)</f>
        <v>#N/A</v>
      </c>
      <c r="AG942" s="372" t="str">
        <f>CS_PID!AG942/VLOOKUP($B942,표2[#ALL],2)/HLOOKUP($A942,표1[#ALL],row(),false)</f>
        <v>#N/A</v>
      </c>
      <c r="AH942" s="372" t="str">
        <f>CS_PID!AH942/VLOOKUP($B942,표2[#ALL],2)/HLOOKUP($A942,표1[#ALL],row(),false)</f>
        <v>#N/A</v>
      </c>
      <c r="AI942" s="372" t="str">
        <f>CS_PID!AI942/VLOOKUP($B942,표2[#ALL],2)/HLOOKUP($A942,표1[#ALL],row(),false)</f>
        <v>#N/A</v>
      </c>
      <c r="AJ942" s="372" t="str">
        <f>CS_PID!AJ942/VLOOKUP($B942,표2[#ALL],2)/HLOOKUP($A942,표1[#ALL],row(),false)</f>
        <v>#N/A</v>
      </c>
      <c r="AK942" s="372" t="str">
        <f>CS_PID!AK942/VLOOKUP($B942,표2[#ALL],2)/HLOOKUP($A942,표1[#ALL],row(),false)</f>
        <v>#N/A</v>
      </c>
      <c r="AL942" s="372" t="str">
        <f>CS_PID!AL942/VLOOKUP($B942,표2[#ALL],2)/HLOOKUP($A942,표1[#ALL],row(),false)</f>
        <v>#N/A</v>
      </c>
      <c r="AM942" s="372" t="str">
        <f>CS_PID!AM942/VLOOKUP($B942,표2[#ALL],2)/HLOOKUP($A942,표1[#ALL],row(),false)</f>
        <v>#N/A</v>
      </c>
      <c r="AN942" s="372" t="str">
        <f>CS_PID!AN942/VLOOKUP($B942,표2[#ALL],2)/HLOOKUP($A942,표1[#ALL],row(),false)</f>
        <v>#N/A</v>
      </c>
      <c r="AO942" s="372" t="str">
        <f>CS_PID!AO942/VLOOKUP($B942,표2[#ALL],2)/HLOOKUP($A942,표1[#ALL],row(),false)</f>
        <v>#N/A</v>
      </c>
      <c r="AP942" s="372" t="str">
        <f>CS_PID!AP942/VLOOKUP($B942,표2[#ALL],2)/HLOOKUP($A942,표1[#ALL],row(),false)</f>
        <v>#N/A</v>
      </c>
      <c r="AQ942" s="372" t="str">
        <f>CS_PID!AQ942/VLOOKUP($B942,표2[#ALL],2)/HLOOKUP($A942,표1[#ALL],row(),false)</f>
        <v>#N/A</v>
      </c>
      <c r="AR942" s="372" t="str">
        <f>CS_PID!AR942/VLOOKUP($B942,표2[#ALL],2)/HLOOKUP($A942,표1[#ALL],row(),false)</f>
        <v>#N/A</v>
      </c>
      <c r="AS942" s="373" t="str">
        <f>CS_PID!AS942/VLOOKUP($B942,표2[#ALL],2)/HLOOKUP($A942,표1[#ALL],row(),false)</f>
        <v>#N/A</v>
      </c>
    </row>
    <row r="943">
      <c r="A943" s="374"/>
      <c r="B943" s="375"/>
      <c r="C943" s="376" t="str">
        <f>CS_PID!C943/VLOOKUP($B943,표2[#ALL],2)</f>
        <v>#N/A</v>
      </c>
      <c r="D943" s="376" t="str">
        <f>CS_PID!D943/VLOOKUP($B943,표2[#ALL],2)</f>
        <v>#N/A</v>
      </c>
      <c r="E943" s="376" t="str">
        <f>CS_PID!E943/VLOOKUP($B943,표2[#ALL],2)</f>
        <v>#N/A</v>
      </c>
      <c r="F943" s="376" t="str">
        <f>CS_PID!F943/VLOOKUP($B943,표2[#ALL],2)</f>
        <v>#N/A</v>
      </c>
      <c r="G943" s="376" t="str">
        <f>CS_PID!G943/VLOOKUP($B943,표2[#ALL],2)</f>
        <v>#N/A</v>
      </c>
      <c r="H943" s="376" t="str">
        <f>CS_PID!H943/VLOOKUP($B943,표2[#ALL],2)/HLOOKUP($A943,표1[#ALL],row(),false)</f>
        <v>#N/A</v>
      </c>
      <c r="I943" s="376" t="str">
        <f>CS_PID!I943/VLOOKUP($B943,표2[#ALL],2)/HLOOKUP($A943,표1[#ALL],row(),false)</f>
        <v>#N/A</v>
      </c>
      <c r="J943" s="376" t="str">
        <f>CS_PID!J943/VLOOKUP($B943,표2[#ALL],2)/HLOOKUP($A943,표1[#ALL],row(),false)</f>
        <v>#N/A</v>
      </c>
      <c r="K943" s="376" t="str">
        <f>CS_PID!K943/VLOOKUP($B943,표2[#ALL],2)/HLOOKUP($A943,표1[#ALL],row(),false)</f>
        <v>#N/A</v>
      </c>
      <c r="L943" s="376" t="str">
        <f>CS_PID!L943/VLOOKUP($B943,표2[#ALL],2)/HLOOKUP($A943,표1[#ALL],row(),false)</f>
        <v>#N/A</v>
      </c>
      <c r="M943" s="376" t="str">
        <f>CS_PID!M943/VLOOKUP($B943,표2[#ALL],2)/HLOOKUP($A943,표1[#ALL],row(),false)</f>
        <v>#N/A</v>
      </c>
      <c r="N943" s="376" t="str">
        <f>CS_PID!N943/VLOOKUP($B943,표2[#ALL],2)/HLOOKUP($A943,표1[#ALL],row(),false)</f>
        <v>#N/A</v>
      </c>
      <c r="O943" s="376" t="str">
        <f>CS_PID!O943/VLOOKUP($B943,표2[#ALL],2)/HLOOKUP($A943,표1[#ALL],row(),false)</f>
        <v>#N/A</v>
      </c>
      <c r="P943" s="376" t="str">
        <f>CS_PID!P943/VLOOKUP($B943,표2[#ALL],2)/HLOOKUP($A943,표1[#ALL],row(),false)</f>
        <v>#N/A</v>
      </c>
      <c r="Q943" s="376" t="str">
        <f>CS_PID!Q943/VLOOKUP($B943,표2[#ALL],2)/HLOOKUP($A943,표1[#ALL],row(),false)</f>
        <v>#N/A</v>
      </c>
      <c r="R943" s="376" t="str">
        <f>CS_PID!R943/VLOOKUP($B943,표2[#ALL],2)/HLOOKUP($A943,표1[#ALL],row(),false)</f>
        <v>#N/A</v>
      </c>
      <c r="S943" s="376" t="str">
        <f>CS_PID!S943/VLOOKUP($B943,표2[#ALL],2)/HLOOKUP($A943,표1[#ALL],row(),false)</f>
        <v>#N/A</v>
      </c>
      <c r="T943" s="376" t="str">
        <f>CS_PID!T943/VLOOKUP($B943,표2[#ALL],2)/HLOOKUP($A943,표1[#ALL],row(),false)</f>
        <v>#N/A</v>
      </c>
      <c r="U943" s="376" t="str">
        <f>CS_PID!U943/VLOOKUP($B943,표2[#ALL],2)/HLOOKUP($A943,표1[#ALL],row(),false)</f>
        <v>#N/A</v>
      </c>
      <c r="V943" s="376" t="str">
        <f>CS_PID!V943/VLOOKUP($B943,표2[#ALL],2)/HLOOKUP($A943,표1[#ALL],row(),false)</f>
        <v>#N/A</v>
      </c>
      <c r="W943" s="376" t="str">
        <f>CS_PID!W943/VLOOKUP($B943,표2[#ALL],2)/HLOOKUP($A943,표1[#ALL],row(),false)</f>
        <v>#N/A</v>
      </c>
      <c r="X943" s="376" t="str">
        <f>CS_PID!X943/VLOOKUP($B943,표2[#ALL],2)/HLOOKUP($A943,표1[#ALL],row(),false)</f>
        <v>#N/A</v>
      </c>
      <c r="Y943" s="376" t="str">
        <f>CS_PID!Y943/VLOOKUP($B943,표2[#ALL],2)/HLOOKUP($A943,표1[#ALL],row(),false)</f>
        <v>#N/A</v>
      </c>
      <c r="Z943" s="376" t="str">
        <f>CS_PID!Z943/VLOOKUP($B943,표2[#ALL],2)/HLOOKUP($A943,표1[#ALL],row(),false)</f>
        <v>#N/A</v>
      </c>
      <c r="AA943" s="376" t="str">
        <f>CS_PID!AA943/VLOOKUP($B943,표2[#ALL],2)/HLOOKUP($A943,표1[#ALL],row(),false)</f>
        <v>#N/A</v>
      </c>
      <c r="AB943" s="376" t="str">
        <f>CS_PID!AB943/VLOOKUP($B943,표2[#ALL],2)/HLOOKUP($A943,표1[#ALL],row(),false)</f>
        <v>#N/A</v>
      </c>
      <c r="AC943" s="376" t="str">
        <f>CS_PID!AC943/VLOOKUP($B943,표2[#ALL],2)/HLOOKUP($A943,표1[#ALL],row(),false)</f>
        <v>#N/A</v>
      </c>
      <c r="AD943" s="376" t="str">
        <f>CS_PID!AD943/VLOOKUP($B943,표2[#ALL],2)/HLOOKUP($A943,표1[#ALL],row(),false)</f>
        <v>#N/A</v>
      </c>
      <c r="AE943" s="376" t="str">
        <f>CS_PID!AE943/VLOOKUP($B943,표2[#ALL],2)/HLOOKUP($A943,표1[#ALL],row(),false)</f>
        <v>#N/A</v>
      </c>
      <c r="AF943" s="376" t="str">
        <f>CS_PID!AF943/VLOOKUP($B943,표2[#ALL],2)/HLOOKUP($A943,표1[#ALL],row(),false)</f>
        <v>#N/A</v>
      </c>
      <c r="AG943" s="376" t="str">
        <f>CS_PID!AG943/VLOOKUP($B943,표2[#ALL],2)/HLOOKUP($A943,표1[#ALL],row(),false)</f>
        <v>#N/A</v>
      </c>
      <c r="AH943" s="376" t="str">
        <f>CS_PID!AH943/VLOOKUP($B943,표2[#ALL],2)/HLOOKUP($A943,표1[#ALL],row(),false)</f>
        <v>#N/A</v>
      </c>
      <c r="AI943" s="376" t="str">
        <f>CS_PID!AI943/VLOOKUP($B943,표2[#ALL],2)/HLOOKUP($A943,표1[#ALL],row(),false)</f>
        <v>#N/A</v>
      </c>
      <c r="AJ943" s="376" t="str">
        <f>CS_PID!AJ943/VLOOKUP($B943,표2[#ALL],2)/HLOOKUP($A943,표1[#ALL],row(),false)</f>
        <v>#N/A</v>
      </c>
      <c r="AK943" s="376" t="str">
        <f>CS_PID!AK943/VLOOKUP($B943,표2[#ALL],2)/HLOOKUP($A943,표1[#ALL],row(),false)</f>
        <v>#N/A</v>
      </c>
      <c r="AL943" s="376" t="str">
        <f>CS_PID!AL943/VLOOKUP($B943,표2[#ALL],2)/HLOOKUP($A943,표1[#ALL],row(),false)</f>
        <v>#N/A</v>
      </c>
      <c r="AM943" s="376" t="str">
        <f>CS_PID!AM943/VLOOKUP($B943,표2[#ALL],2)/HLOOKUP($A943,표1[#ALL],row(),false)</f>
        <v>#N/A</v>
      </c>
      <c r="AN943" s="376" t="str">
        <f>CS_PID!AN943/VLOOKUP($B943,표2[#ALL],2)/HLOOKUP($A943,표1[#ALL],row(),false)</f>
        <v>#N/A</v>
      </c>
      <c r="AO943" s="376" t="str">
        <f>CS_PID!AO943/VLOOKUP($B943,표2[#ALL],2)/HLOOKUP($A943,표1[#ALL],row(),false)</f>
        <v>#N/A</v>
      </c>
      <c r="AP943" s="376" t="str">
        <f>CS_PID!AP943/VLOOKUP($B943,표2[#ALL],2)/HLOOKUP($A943,표1[#ALL],row(),false)</f>
        <v>#N/A</v>
      </c>
      <c r="AQ943" s="376" t="str">
        <f>CS_PID!AQ943/VLOOKUP($B943,표2[#ALL],2)/HLOOKUP($A943,표1[#ALL],row(),false)</f>
        <v>#N/A</v>
      </c>
      <c r="AR943" s="376" t="str">
        <f>CS_PID!AR943/VLOOKUP($B943,표2[#ALL],2)/HLOOKUP($A943,표1[#ALL],row(),false)</f>
        <v>#N/A</v>
      </c>
      <c r="AS943" s="377" t="str">
        <f>CS_PID!AS943/VLOOKUP($B943,표2[#ALL],2)/HLOOKUP($A943,표1[#ALL],row(),false)</f>
        <v>#N/A</v>
      </c>
    </row>
    <row r="944">
      <c r="A944" s="370"/>
      <c r="B944" s="371"/>
      <c r="C944" s="372" t="str">
        <f>CS_PID!C944/VLOOKUP($B944,표2[#ALL],2)</f>
        <v>#N/A</v>
      </c>
      <c r="D944" s="372" t="str">
        <f>CS_PID!D944/VLOOKUP($B944,표2[#ALL],2)</f>
        <v>#N/A</v>
      </c>
      <c r="E944" s="372" t="str">
        <f>CS_PID!E944/VLOOKUP($B944,표2[#ALL],2)</f>
        <v>#N/A</v>
      </c>
      <c r="F944" s="372" t="str">
        <f>CS_PID!F944/VLOOKUP($B944,표2[#ALL],2)</f>
        <v>#N/A</v>
      </c>
      <c r="G944" s="372" t="str">
        <f>CS_PID!G944/VLOOKUP($B944,표2[#ALL],2)</f>
        <v>#N/A</v>
      </c>
      <c r="H944" s="372" t="str">
        <f>CS_PID!H944/VLOOKUP($B944,표2[#ALL],2)/HLOOKUP($A944,표1[#ALL],row(),false)</f>
        <v>#N/A</v>
      </c>
      <c r="I944" s="372" t="str">
        <f>CS_PID!I944/VLOOKUP($B944,표2[#ALL],2)/HLOOKUP($A944,표1[#ALL],row(),false)</f>
        <v>#N/A</v>
      </c>
      <c r="J944" s="372" t="str">
        <f>CS_PID!J944/VLOOKUP($B944,표2[#ALL],2)/HLOOKUP($A944,표1[#ALL],row(),false)</f>
        <v>#N/A</v>
      </c>
      <c r="K944" s="372" t="str">
        <f>CS_PID!K944/VLOOKUP($B944,표2[#ALL],2)/HLOOKUP($A944,표1[#ALL],row(),false)</f>
        <v>#N/A</v>
      </c>
      <c r="L944" s="372" t="str">
        <f>CS_PID!L944/VLOOKUP($B944,표2[#ALL],2)/HLOOKUP($A944,표1[#ALL],row(),false)</f>
        <v>#N/A</v>
      </c>
      <c r="M944" s="372" t="str">
        <f>CS_PID!M944/VLOOKUP($B944,표2[#ALL],2)/HLOOKUP($A944,표1[#ALL],row(),false)</f>
        <v>#N/A</v>
      </c>
      <c r="N944" s="372" t="str">
        <f>CS_PID!N944/VLOOKUP($B944,표2[#ALL],2)/HLOOKUP($A944,표1[#ALL],row(),false)</f>
        <v>#N/A</v>
      </c>
      <c r="O944" s="372" t="str">
        <f>CS_PID!O944/VLOOKUP($B944,표2[#ALL],2)/HLOOKUP($A944,표1[#ALL],row(),false)</f>
        <v>#N/A</v>
      </c>
      <c r="P944" s="372" t="str">
        <f>CS_PID!P944/VLOOKUP($B944,표2[#ALL],2)/HLOOKUP($A944,표1[#ALL],row(),false)</f>
        <v>#N/A</v>
      </c>
      <c r="Q944" s="372" t="str">
        <f>CS_PID!Q944/VLOOKUP($B944,표2[#ALL],2)/HLOOKUP($A944,표1[#ALL],row(),false)</f>
        <v>#N/A</v>
      </c>
      <c r="R944" s="372" t="str">
        <f>CS_PID!R944/VLOOKUP($B944,표2[#ALL],2)/HLOOKUP($A944,표1[#ALL],row(),false)</f>
        <v>#N/A</v>
      </c>
      <c r="S944" s="372" t="str">
        <f>CS_PID!S944/VLOOKUP($B944,표2[#ALL],2)/HLOOKUP($A944,표1[#ALL],row(),false)</f>
        <v>#N/A</v>
      </c>
      <c r="T944" s="372" t="str">
        <f>CS_PID!T944/VLOOKUP($B944,표2[#ALL],2)/HLOOKUP($A944,표1[#ALL],row(),false)</f>
        <v>#N/A</v>
      </c>
      <c r="U944" s="372" t="str">
        <f>CS_PID!U944/VLOOKUP($B944,표2[#ALL],2)/HLOOKUP($A944,표1[#ALL],row(),false)</f>
        <v>#N/A</v>
      </c>
      <c r="V944" s="372" t="str">
        <f>CS_PID!V944/VLOOKUP($B944,표2[#ALL],2)/HLOOKUP($A944,표1[#ALL],row(),false)</f>
        <v>#N/A</v>
      </c>
      <c r="W944" s="372" t="str">
        <f>CS_PID!W944/VLOOKUP($B944,표2[#ALL],2)/HLOOKUP($A944,표1[#ALL],row(),false)</f>
        <v>#N/A</v>
      </c>
      <c r="X944" s="372" t="str">
        <f>CS_PID!X944/VLOOKUP($B944,표2[#ALL],2)/HLOOKUP($A944,표1[#ALL],row(),false)</f>
        <v>#N/A</v>
      </c>
      <c r="Y944" s="372" t="str">
        <f>CS_PID!Y944/VLOOKUP($B944,표2[#ALL],2)/HLOOKUP($A944,표1[#ALL],row(),false)</f>
        <v>#N/A</v>
      </c>
      <c r="Z944" s="372" t="str">
        <f>CS_PID!Z944/VLOOKUP($B944,표2[#ALL],2)/HLOOKUP($A944,표1[#ALL],row(),false)</f>
        <v>#N/A</v>
      </c>
      <c r="AA944" s="372" t="str">
        <f>CS_PID!AA944/VLOOKUP($B944,표2[#ALL],2)/HLOOKUP($A944,표1[#ALL],row(),false)</f>
        <v>#N/A</v>
      </c>
      <c r="AB944" s="372" t="str">
        <f>CS_PID!AB944/VLOOKUP($B944,표2[#ALL],2)/HLOOKUP($A944,표1[#ALL],row(),false)</f>
        <v>#N/A</v>
      </c>
      <c r="AC944" s="372" t="str">
        <f>CS_PID!AC944/VLOOKUP($B944,표2[#ALL],2)/HLOOKUP($A944,표1[#ALL],row(),false)</f>
        <v>#N/A</v>
      </c>
      <c r="AD944" s="372" t="str">
        <f>CS_PID!AD944/VLOOKUP($B944,표2[#ALL],2)/HLOOKUP($A944,표1[#ALL],row(),false)</f>
        <v>#N/A</v>
      </c>
      <c r="AE944" s="372" t="str">
        <f>CS_PID!AE944/VLOOKUP($B944,표2[#ALL],2)/HLOOKUP($A944,표1[#ALL],row(),false)</f>
        <v>#N/A</v>
      </c>
      <c r="AF944" s="372" t="str">
        <f>CS_PID!AF944/VLOOKUP($B944,표2[#ALL],2)/HLOOKUP($A944,표1[#ALL],row(),false)</f>
        <v>#N/A</v>
      </c>
      <c r="AG944" s="372" t="str">
        <f>CS_PID!AG944/VLOOKUP($B944,표2[#ALL],2)/HLOOKUP($A944,표1[#ALL],row(),false)</f>
        <v>#N/A</v>
      </c>
      <c r="AH944" s="372" t="str">
        <f>CS_PID!AH944/VLOOKUP($B944,표2[#ALL],2)/HLOOKUP($A944,표1[#ALL],row(),false)</f>
        <v>#N/A</v>
      </c>
      <c r="AI944" s="372" t="str">
        <f>CS_PID!AI944/VLOOKUP($B944,표2[#ALL],2)/HLOOKUP($A944,표1[#ALL],row(),false)</f>
        <v>#N/A</v>
      </c>
      <c r="AJ944" s="372" t="str">
        <f>CS_PID!AJ944/VLOOKUP($B944,표2[#ALL],2)/HLOOKUP($A944,표1[#ALL],row(),false)</f>
        <v>#N/A</v>
      </c>
      <c r="AK944" s="372" t="str">
        <f>CS_PID!AK944/VLOOKUP($B944,표2[#ALL],2)/HLOOKUP($A944,표1[#ALL],row(),false)</f>
        <v>#N/A</v>
      </c>
      <c r="AL944" s="372" t="str">
        <f>CS_PID!AL944/VLOOKUP($B944,표2[#ALL],2)/HLOOKUP($A944,표1[#ALL],row(),false)</f>
        <v>#N/A</v>
      </c>
      <c r="AM944" s="372" t="str">
        <f>CS_PID!AM944/VLOOKUP($B944,표2[#ALL],2)/HLOOKUP($A944,표1[#ALL],row(),false)</f>
        <v>#N/A</v>
      </c>
      <c r="AN944" s="372" t="str">
        <f>CS_PID!AN944/VLOOKUP($B944,표2[#ALL],2)/HLOOKUP($A944,표1[#ALL],row(),false)</f>
        <v>#N/A</v>
      </c>
      <c r="AO944" s="372" t="str">
        <f>CS_PID!AO944/VLOOKUP($B944,표2[#ALL],2)/HLOOKUP($A944,표1[#ALL],row(),false)</f>
        <v>#N/A</v>
      </c>
      <c r="AP944" s="372" t="str">
        <f>CS_PID!AP944/VLOOKUP($B944,표2[#ALL],2)/HLOOKUP($A944,표1[#ALL],row(),false)</f>
        <v>#N/A</v>
      </c>
      <c r="AQ944" s="372" t="str">
        <f>CS_PID!AQ944/VLOOKUP($B944,표2[#ALL],2)/HLOOKUP($A944,표1[#ALL],row(),false)</f>
        <v>#N/A</v>
      </c>
      <c r="AR944" s="372" t="str">
        <f>CS_PID!AR944/VLOOKUP($B944,표2[#ALL],2)/HLOOKUP($A944,표1[#ALL],row(),false)</f>
        <v>#N/A</v>
      </c>
      <c r="AS944" s="373" t="str">
        <f>CS_PID!AS944/VLOOKUP($B944,표2[#ALL],2)/HLOOKUP($A944,표1[#ALL],row(),false)</f>
        <v>#N/A</v>
      </c>
    </row>
    <row r="945">
      <c r="A945" s="374"/>
      <c r="B945" s="375"/>
      <c r="C945" s="376" t="str">
        <f>CS_PID!C945/VLOOKUP($B945,표2[#ALL],2)</f>
        <v>#N/A</v>
      </c>
      <c r="D945" s="376" t="str">
        <f>CS_PID!D945/VLOOKUP($B945,표2[#ALL],2)</f>
        <v>#N/A</v>
      </c>
      <c r="E945" s="376" t="str">
        <f>CS_PID!E945/VLOOKUP($B945,표2[#ALL],2)</f>
        <v>#N/A</v>
      </c>
      <c r="F945" s="376" t="str">
        <f>CS_PID!F945/VLOOKUP($B945,표2[#ALL],2)</f>
        <v>#N/A</v>
      </c>
      <c r="G945" s="376" t="str">
        <f>CS_PID!G945/VLOOKUP($B945,표2[#ALL],2)</f>
        <v>#N/A</v>
      </c>
      <c r="H945" s="376" t="str">
        <f>CS_PID!H945/VLOOKUP($B945,표2[#ALL],2)/HLOOKUP($A945,표1[#ALL],row(),false)</f>
        <v>#N/A</v>
      </c>
      <c r="I945" s="376" t="str">
        <f>CS_PID!I945/VLOOKUP($B945,표2[#ALL],2)/HLOOKUP($A945,표1[#ALL],row(),false)</f>
        <v>#N/A</v>
      </c>
      <c r="J945" s="376" t="str">
        <f>CS_PID!J945/VLOOKUP($B945,표2[#ALL],2)/HLOOKUP($A945,표1[#ALL],row(),false)</f>
        <v>#N/A</v>
      </c>
      <c r="K945" s="376" t="str">
        <f>CS_PID!K945/VLOOKUP($B945,표2[#ALL],2)/HLOOKUP($A945,표1[#ALL],row(),false)</f>
        <v>#N/A</v>
      </c>
      <c r="L945" s="376" t="str">
        <f>CS_PID!L945/VLOOKUP($B945,표2[#ALL],2)/HLOOKUP($A945,표1[#ALL],row(),false)</f>
        <v>#N/A</v>
      </c>
      <c r="M945" s="376" t="str">
        <f>CS_PID!M945/VLOOKUP($B945,표2[#ALL],2)/HLOOKUP($A945,표1[#ALL],row(),false)</f>
        <v>#N/A</v>
      </c>
      <c r="N945" s="376" t="str">
        <f>CS_PID!N945/VLOOKUP($B945,표2[#ALL],2)/HLOOKUP($A945,표1[#ALL],row(),false)</f>
        <v>#N/A</v>
      </c>
      <c r="O945" s="376" t="str">
        <f>CS_PID!O945/VLOOKUP($B945,표2[#ALL],2)/HLOOKUP($A945,표1[#ALL],row(),false)</f>
        <v>#N/A</v>
      </c>
      <c r="P945" s="376" t="str">
        <f>CS_PID!P945/VLOOKUP($B945,표2[#ALL],2)/HLOOKUP($A945,표1[#ALL],row(),false)</f>
        <v>#N/A</v>
      </c>
      <c r="Q945" s="376" t="str">
        <f>CS_PID!Q945/VLOOKUP($B945,표2[#ALL],2)/HLOOKUP($A945,표1[#ALL],row(),false)</f>
        <v>#N/A</v>
      </c>
      <c r="R945" s="376" t="str">
        <f>CS_PID!R945/VLOOKUP($B945,표2[#ALL],2)/HLOOKUP($A945,표1[#ALL],row(),false)</f>
        <v>#N/A</v>
      </c>
      <c r="S945" s="376" t="str">
        <f>CS_PID!S945/VLOOKUP($B945,표2[#ALL],2)/HLOOKUP($A945,표1[#ALL],row(),false)</f>
        <v>#N/A</v>
      </c>
      <c r="T945" s="376" t="str">
        <f>CS_PID!T945/VLOOKUP($B945,표2[#ALL],2)/HLOOKUP($A945,표1[#ALL],row(),false)</f>
        <v>#N/A</v>
      </c>
      <c r="U945" s="376" t="str">
        <f>CS_PID!U945/VLOOKUP($B945,표2[#ALL],2)/HLOOKUP($A945,표1[#ALL],row(),false)</f>
        <v>#N/A</v>
      </c>
      <c r="V945" s="376" t="str">
        <f>CS_PID!V945/VLOOKUP($B945,표2[#ALL],2)/HLOOKUP($A945,표1[#ALL],row(),false)</f>
        <v>#N/A</v>
      </c>
      <c r="W945" s="376" t="str">
        <f>CS_PID!W945/VLOOKUP($B945,표2[#ALL],2)/HLOOKUP($A945,표1[#ALL],row(),false)</f>
        <v>#N/A</v>
      </c>
      <c r="X945" s="376" t="str">
        <f>CS_PID!X945/VLOOKUP($B945,표2[#ALL],2)/HLOOKUP($A945,표1[#ALL],row(),false)</f>
        <v>#N/A</v>
      </c>
      <c r="Y945" s="376" t="str">
        <f>CS_PID!Y945/VLOOKUP($B945,표2[#ALL],2)/HLOOKUP($A945,표1[#ALL],row(),false)</f>
        <v>#N/A</v>
      </c>
      <c r="Z945" s="376" t="str">
        <f>CS_PID!Z945/VLOOKUP($B945,표2[#ALL],2)/HLOOKUP($A945,표1[#ALL],row(),false)</f>
        <v>#N/A</v>
      </c>
      <c r="AA945" s="376" t="str">
        <f>CS_PID!AA945/VLOOKUP($B945,표2[#ALL],2)/HLOOKUP($A945,표1[#ALL],row(),false)</f>
        <v>#N/A</v>
      </c>
      <c r="AB945" s="376" t="str">
        <f>CS_PID!AB945/VLOOKUP($B945,표2[#ALL],2)/HLOOKUP($A945,표1[#ALL],row(),false)</f>
        <v>#N/A</v>
      </c>
      <c r="AC945" s="376" t="str">
        <f>CS_PID!AC945/VLOOKUP($B945,표2[#ALL],2)/HLOOKUP($A945,표1[#ALL],row(),false)</f>
        <v>#N/A</v>
      </c>
      <c r="AD945" s="376" t="str">
        <f>CS_PID!AD945/VLOOKUP($B945,표2[#ALL],2)/HLOOKUP($A945,표1[#ALL],row(),false)</f>
        <v>#N/A</v>
      </c>
      <c r="AE945" s="376" t="str">
        <f>CS_PID!AE945/VLOOKUP($B945,표2[#ALL],2)/HLOOKUP($A945,표1[#ALL],row(),false)</f>
        <v>#N/A</v>
      </c>
      <c r="AF945" s="376" t="str">
        <f>CS_PID!AF945/VLOOKUP($B945,표2[#ALL],2)/HLOOKUP($A945,표1[#ALL],row(),false)</f>
        <v>#N/A</v>
      </c>
      <c r="AG945" s="376" t="str">
        <f>CS_PID!AG945/VLOOKUP($B945,표2[#ALL],2)/HLOOKUP($A945,표1[#ALL],row(),false)</f>
        <v>#N/A</v>
      </c>
      <c r="AH945" s="376" t="str">
        <f>CS_PID!AH945/VLOOKUP($B945,표2[#ALL],2)/HLOOKUP($A945,표1[#ALL],row(),false)</f>
        <v>#N/A</v>
      </c>
      <c r="AI945" s="376" t="str">
        <f>CS_PID!AI945/VLOOKUP($B945,표2[#ALL],2)/HLOOKUP($A945,표1[#ALL],row(),false)</f>
        <v>#N/A</v>
      </c>
      <c r="AJ945" s="376" t="str">
        <f>CS_PID!AJ945/VLOOKUP($B945,표2[#ALL],2)/HLOOKUP($A945,표1[#ALL],row(),false)</f>
        <v>#N/A</v>
      </c>
      <c r="AK945" s="376" t="str">
        <f>CS_PID!AK945/VLOOKUP($B945,표2[#ALL],2)/HLOOKUP($A945,표1[#ALL],row(),false)</f>
        <v>#N/A</v>
      </c>
      <c r="AL945" s="376" t="str">
        <f>CS_PID!AL945/VLOOKUP($B945,표2[#ALL],2)/HLOOKUP($A945,표1[#ALL],row(),false)</f>
        <v>#N/A</v>
      </c>
      <c r="AM945" s="376" t="str">
        <f>CS_PID!AM945/VLOOKUP($B945,표2[#ALL],2)/HLOOKUP($A945,표1[#ALL],row(),false)</f>
        <v>#N/A</v>
      </c>
      <c r="AN945" s="376" t="str">
        <f>CS_PID!AN945/VLOOKUP($B945,표2[#ALL],2)/HLOOKUP($A945,표1[#ALL],row(),false)</f>
        <v>#N/A</v>
      </c>
      <c r="AO945" s="376" t="str">
        <f>CS_PID!AO945/VLOOKUP($B945,표2[#ALL],2)/HLOOKUP($A945,표1[#ALL],row(),false)</f>
        <v>#N/A</v>
      </c>
      <c r="AP945" s="376" t="str">
        <f>CS_PID!AP945/VLOOKUP($B945,표2[#ALL],2)/HLOOKUP($A945,표1[#ALL],row(),false)</f>
        <v>#N/A</v>
      </c>
      <c r="AQ945" s="376" t="str">
        <f>CS_PID!AQ945/VLOOKUP($B945,표2[#ALL],2)/HLOOKUP($A945,표1[#ALL],row(),false)</f>
        <v>#N/A</v>
      </c>
      <c r="AR945" s="376" t="str">
        <f>CS_PID!AR945/VLOOKUP($B945,표2[#ALL],2)/HLOOKUP($A945,표1[#ALL],row(),false)</f>
        <v>#N/A</v>
      </c>
      <c r="AS945" s="377" t="str">
        <f>CS_PID!AS945/VLOOKUP($B945,표2[#ALL],2)/HLOOKUP($A945,표1[#ALL],row(),false)</f>
        <v>#N/A</v>
      </c>
    </row>
    <row r="946">
      <c r="A946" s="370"/>
      <c r="B946" s="371"/>
      <c r="C946" s="372" t="str">
        <f>CS_PID!C946/VLOOKUP($B946,표2[#ALL],2)</f>
        <v>#N/A</v>
      </c>
      <c r="D946" s="372" t="str">
        <f>CS_PID!D946/VLOOKUP($B946,표2[#ALL],2)</f>
        <v>#N/A</v>
      </c>
      <c r="E946" s="372" t="str">
        <f>CS_PID!E946/VLOOKUP($B946,표2[#ALL],2)</f>
        <v>#N/A</v>
      </c>
      <c r="F946" s="372" t="str">
        <f>CS_PID!F946/VLOOKUP($B946,표2[#ALL],2)</f>
        <v>#N/A</v>
      </c>
      <c r="G946" s="372" t="str">
        <f>CS_PID!G946/VLOOKUP($B946,표2[#ALL],2)</f>
        <v>#N/A</v>
      </c>
      <c r="H946" s="372" t="str">
        <f>CS_PID!H946/VLOOKUP($B946,표2[#ALL],2)/HLOOKUP($A946,표1[#ALL],row(),false)</f>
        <v>#N/A</v>
      </c>
      <c r="I946" s="372" t="str">
        <f>CS_PID!I946/VLOOKUP($B946,표2[#ALL],2)/HLOOKUP($A946,표1[#ALL],row(),false)</f>
        <v>#N/A</v>
      </c>
      <c r="J946" s="372" t="str">
        <f>CS_PID!J946/VLOOKUP($B946,표2[#ALL],2)/HLOOKUP($A946,표1[#ALL],row(),false)</f>
        <v>#N/A</v>
      </c>
      <c r="K946" s="372" t="str">
        <f>CS_PID!K946/VLOOKUP($B946,표2[#ALL],2)/HLOOKUP($A946,표1[#ALL],row(),false)</f>
        <v>#N/A</v>
      </c>
      <c r="L946" s="372" t="str">
        <f>CS_PID!L946/VLOOKUP($B946,표2[#ALL],2)/HLOOKUP($A946,표1[#ALL],row(),false)</f>
        <v>#N/A</v>
      </c>
      <c r="M946" s="372" t="str">
        <f>CS_PID!M946/VLOOKUP($B946,표2[#ALL],2)/HLOOKUP($A946,표1[#ALL],row(),false)</f>
        <v>#N/A</v>
      </c>
      <c r="N946" s="372" t="str">
        <f>CS_PID!N946/VLOOKUP($B946,표2[#ALL],2)/HLOOKUP($A946,표1[#ALL],row(),false)</f>
        <v>#N/A</v>
      </c>
      <c r="O946" s="372" t="str">
        <f>CS_PID!O946/VLOOKUP($B946,표2[#ALL],2)/HLOOKUP($A946,표1[#ALL],row(),false)</f>
        <v>#N/A</v>
      </c>
      <c r="P946" s="372" t="str">
        <f>CS_PID!P946/VLOOKUP($B946,표2[#ALL],2)/HLOOKUP($A946,표1[#ALL],row(),false)</f>
        <v>#N/A</v>
      </c>
      <c r="Q946" s="372" t="str">
        <f>CS_PID!Q946/VLOOKUP($B946,표2[#ALL],2)/HLOOKUP($A946,표1[#ALL],row(),false)</f>
        <v>#N/A</v>
      </c>
      <c r="R946" s="372" t="str">
        <f>CS_PID!R946/VLOOKUP($B946,표2[#ALL],2)/HLOOKUP($A946,표1[#ALL],row(),false)</f>
        <v>#N/A</v>
      </c>
      <c r="S946" s="372" t="str">
        <f>CS_PID!S946/VLOOKUP($B946,표2[#ALL],2)/HLOOKUP($A946,표1[#ALL],row(),false)</f>
        <v>#N/A</v>
      </c>
      <c r="T946" s="372" t="str">
        <f>CS_PID!T946/VLOOKUP($B946,표2[#ALL],2)/HLOOKUP($A946,표1[#ALL],row(),false)</f>
        <v>#N/A</v>
      </c>
      <c r="U946" s="372" t="str">
        <f>CS_PID!U946/VLOOKUP($B946,표2[#ALL],2)/HLOOKUP($A946,표1[#ALL],row(),false)</f>
        <v>#N/A</v>
      </c>
      <c r="V946" s="372" t="str">
        <f>CS_PID!V946/VLOOKUP($B946,표2[#ALL],2)/HLOOKUP($A946,표1[#ALL],row(),false)</f>
        <v>#N/A</v>
      </c>
      <c r="W946" s="372" t="str">
        <f>CS_PID!W946/VLOOKUP($B946,표2[#ALL],2)/HLOOKUP($A946,표1[#ALL],row(),false)</f>
        <v>#N/A</v>
      </c>
      <c r="X946" s="372" t="str">
        <f>CS_PID!X946/VLOOKUP($B946,표2[#ALL],2)/HLOOKUP($A946,표1[#ALL],row(),false)</f>
        <v>#N/A</v>
      </c>
      <c r="Y946" s="372" t="str">
        <f>CS_PID!Y946/VLOOKUP($B946,표2[#ALL],2)/HLOOKUP($A946,표1[#ALL],row(),false)</f>
        <v>#N/A</v>
      </c>
      <c r="Z946" s="372" t="str">
        <f>CS_PID!Z946/VLOOKUP($B946,표2[#ALL],2)/HLOOKUP($A946,표1[#ALL],row(),false)</f>
        <v>#N/A</v>
      </c>
      <c r="AA946" s="372" t="str">
        <f>CS_PID!AA946/VLOOKUP($B946,표2[#ALL],2)/HLOOKUP($A946,표1[#ALL],row(),false)</f>
        <v>#N/A</v>
      </c>
      <c r="AB946" s="372" t="str">
        <f>CS_PID!AB946/VLOOKUP($B946,표2[#ALL],2)/HLOOKUP($A946,표1[#ALL],row(),false)</f>
        <v>#N/A</v>
      </c>
      <c r="AC946" s="372" t="str">
        <f>CS_PID!AC946/VLOOKUP($B946,표2[#ALL],2)/HLOOKUP($A946,표1[#ALL],row(),false)</f>
        <v>#N/A</v>
      </c>
      <c r="AD946" s="372" t="str">
        <f>CS_PID!AD946/VLOOKUP($B946,표2[#ALL],2)/HLOOKUP($A946,표1[#ALL],row(),false)</f>
        <v>#N/A</v>
      </c>
      <c r="AE946" s="372" t="str">
        <f>CS_PID!AE946/VLOOKUP($B946,표2[#ALL],2)/HLOOKUP($A946,표1[#ALL],row(),false)</f>
        <v>#N/A</v>
      </c>
      <c r="AF946" s="372" t="str">
        <f>CS_PID!AF946/VLOOKUP($B946,표2[#ALL],2)/HLOOKUP($A946,표1[#ALL],row(),false)</f>
        <v>#N/A</v>
      </c>
      <c r="AG946" s="372" t="str">
        <f>CS_PID!AG946/VLOOKUP($B946,표2[#ALL],2)/HLOOKUP($A946,표1[#ALL],row(),false)</f>
        <v>#N/A</v>
      </c>
      <c r="AH946" s="372" t="str">
        <f>CS_PID!AH946/VLOOKUP($B946,표2[#ALL],2)/HLOOKUP($A946,표1[#ALL],row(),false)</f>
        <v>#N/A</v>
      </c>
      <c r="AI946" s="372" t="str">
        <f>CS_PID!AI946/VLOOKUP($B946,표2[#ALL],2)/HLOOKUP($A946,표1[#ALL],row(),false)</f>
        <v>#N/A</v>
      </c>
      <c r="AJ946" s="372" t="str">
        <f>CS_PID!AJ946/VLOOKUP($B946,표2[#ALL],2)/HLOOKUP($A946,표1[#ALL],row(),false)</f>
        <v>#N/A</v>
      </c>
      <c r="AK946" s="372" t="str">
        <f>CS_PID!AK946/VLOOKUP($B946,표2[#ALL],2)/HLOOKUP($A946,표1[#ALL],row(),false)</f>
        <v>#N/A</v>
      </c>
      <c r="AL946" s="372" t="str">
        <f>CS_PID!AL946/VLOOKUP($B946,표2[#ALL],2)/HLOOKUP($A946,표1[#ALL],row(),false)</f>
        <v>#N/A</v>
      </c>
      <c r="AM946" s="372" t="str">
        <f>CS_PID!AM946/VLOOKUP($B946,표2[#ALL],2)/HLOOKUP($A946,표1[#ALL],row(),false)</f>
        <v>#N/A</v>
      </c>
      <c r="AN946" s="372" t="str">
        <f>CS_PID!AN946/VLOOKUP($B946,표2[#ALL],2)/HLOOKUP($A946,표1[#ALL],row(),false)</f>
        <v>#N/A</v>
      </c>
      <c r="AO946" s="372" t="str">
        <f>CS_PID!AO946/VLOOKUP($B946,표2[#ALL],2)/HLOOKUP($A946,표1[#ALL],row(),false)</f>
        <v>#N/A</v>
      </c>
      <c r="AP946" s="372" t="str">
        <f>CS_PID!AP946/VLOOKUP($B946,표2[#ALL],2)/HLOOKUP($A946,표1[#ALL],row(),false)</f>
        <v>#N/A</v>
      </c>
      <c r="AQ946" s="372" t="str">
        <f>CS_PID!AQ946/VLOOKUP($B946,표2[#ALL],2)/HLOOKUP($A946,표1[#ALL],row(),false)</f>
        <v>#N/A</v>
      </c>
      <c r="AR946" s="372" t="str">
        <f>CS_PID!AR946/VLOOKUP($B946,표2[#ALL],2)/HLOOKUP($A946,표1[#ALL],row(),false)</f>
        <v>#N/A</v>
      </c>
      <c r="AS946" s="373" t="str">
        <f>CS_PID!AS946/VLOOKUP($B946,표2[#ALL],2)/HLOOKUP($A946,표1[#ALL],row(),false)</f>
        <v>#N/A</v>
      </c>
    </row>
    <row r="947">
      <c r="A947" s="374"/>
      <c r="B947" s="375"/>
      <c r="C947" s="376" t="str">
        <f>CS_PID!C947/VLOOKUP($B947,표2[#ALL],2)</f>
        <v>#N/A</v>
      </c>
      <c r="D947" s="376" t="str">
        <f>CS_PID!D947/VLOOKUP($B947,표2[#ALL],2)</f>
        <v>#N/A</v>
      </c>
      <c r="E947" s="376" t="str">
        <f>CS_PID!E947/VLOOKUP($B947,표2[#ALL],2)</f>
        <v>#N/A</v>
      </c>
      <c r="F947" s="376" t="str">
        <f>CS_PID!F947/VLOOKUP($B947,표2[#ALL],2)</f>
        <v>#N/A</v>
      </c>
      <c r="G947" s="376" t="str">
        <f>CS_PID!G947/VLOOKUP($B947,표2[#ALL],2)</f>
        <v>#N/A</v>
      </c>
      <c r="H947" s="376" t="str">
        <f>CS_PID!H947/VLOOKUP($B947,표2[#ALL],2)/HLOOKUP($A947,표1[#ALL],row(),false)</f>
        <v>#N/A</v>
      </c>
      <c r="I947" s="376" t="str">
        <f>CS_PID!I947/VLOOKUP($B947,표2[#ALL],2)/HLOOKUP($A947,표1[#ALL],row(),false)</f>
        <v>#N/A</v>
      </c>
      <c r="J947" s="376" t="str">
        <f>CS_PID!J947/VLOOKUP($B947,표2[#ALL],2)/HLOOKUP($A947,표1[#ALL],row(),false)</f>
        <v>#N/A</v>
      </c>
      <c r="K947" s="376" t="str">
        <f>CS_PID!K947/VLOOKUP($B947,표2[#ALL],2)/HLOOKUP($A947,표1[#ALL],row(),false)</f>
        <v>#N/A</v>
      </c>
      <c r="L947" s="376" t="str">
        <f>CS_PID!L947/VLOOKUP($B947,표2[#ALL],2)/HLOOKUP($A947,표1[#ALL],row(),false)</f>
        <v>#N/A</v>
      </c>
      <c r="M947" s="376" t="str">
        <f>CS_PID!M947/VLOOKUP($B947,표2[#ALL],2)/HLOOKUP($A947,표1[#ALL],row(),false)</f>
        <v>#N/A</v>
      </c>
      <c r="N947" s="376" t="str">
        <f>CS_PID!N947/VLOOKUP($B947,표2[#ALL],2)/HLOOKUP($A947,표1[#ALL],row(),false)</f>
        <v>#N/A</v>
      </c>
      <c r="O947" s="376" t="str">
        <f>CS_PID!O947/VLOOKUP($B947,표2[#ALL],2)/HLOOKUP($A947,표1[#ALL],row(),false)</f>
        <v>#N/A</v>
      </c>
      <c r="P947" s="376" t="str">
        <f>CS_PID!P947/VLOOKUP($B947,표2[#ALL],2)/HLOOKUP($A947,표1[#ALL],row(),false)</f>
        <v>#N/A</v>
      </c>
      <c r="Q947" s="376" t="str">
        <f>CS_PID!Q947/VLOOKUP($B947,표2[#ALL],2)/HLOOKUP($A947,표1[#ALL],row(),false)</f>
        <v>#N/A</v>
      </c>
      <c r="R947" s="376" t="str">
        <f>CS_PID!R947/VLOOKUP($B947,표2[#ALL],2)/HLOOKUP($A947,표1[#ALL],row(),false)</f>
        <v>#N/A</v>
      </c>
      <c r="S947" s="376" t="str">
        <f>CS_PID!S947/VLOOKUP($B947,표2[#ALL],2)/HLOOKUP($A947,표1[#ALL],row(),false)</f>
        <v>#N/A</v>
      </c>
      <c r="T947" s="376" t="str">
        <f>CS_PID!T947/VLOOKUP($B947,표2[#ALL],2)/HLOOKUP($A947,표1[#ALL],row(),false)</f>
        <v>#N/A</v>
      </c>
      <c r="U947" s="376" t="str">
        <f>CS_PID!U947/VLOOKUP($B947,표2[#ALL],2)/HLOOKUP($A947,표1[#ALL],row(),false)</f>
        <v>#N/A</v>
      </c>
      <c r="V947" s="376" t="str">
        <f>CS_PID!V947/VLOOKUP($B947,표2[#ALL],2)/HLOOKUP($A947,표1[#ALL],row(),false)</f>
        <v>#N/A</v>
      </c>
      <c r="W947" s="376" t="str">
        <f>CS_PID!W947/VLOOKUP($B947,표2[#ALL],2)/HLOOKUP($A947,표1[#ALL],row(),false)</f>
        <v>#N/A</v>
      </c>
      <c r="X947" s="376" t="str">
        <f>CS_PID!X947/VLOOKUP($B947,표2[#ALL],2)/HLOOKUP($A947,표1[#ALL],row(),false)</f>
        <v>#N/A</v>
      </c>
      <c r="Y947" s="376" t="str">
        <f>CS_PID!Y947/VLOOKUP($B947,표2[#ALL],2)/HLOOKUP($A947,표1[#ALL],row(),false)</f>
        <v>#N/A</v>
      </c>
      <c r="Z947" s="376" t="str">
        <f>CS_PID!Z947/VLOOKUP($B947,표2[#ALL],2)/HLOOKUP($A947,표1[#ALL],row(),false)</f>
        <v>#N/A</v>
      </c>
      <c r="AA947" s="376" t="str">
        <f>CS_PID!AA947/VLOOKUP($B947,표2[#ALL],2)/HLOOKUP($A947,표1[#ALL],row(),false)</f>
        <v>#N/A</v>
      </c>
      <c r="AB947" s="376" t="str">
        <f>CS_PID!AB947/VLOOKUP($B947,표2[#ALL],2)/HLOOKUP($A947,표1[#ALL],row(),false)</f>
        <v>#N/A</v>
      </c>
      <c r="AC947" s="376" t="str">
        <f>CS_PID!AC947/VLOOKUP($B947,표2[#ALL],2)/HLOOKUP($A947,표1[#ALL],row(),false)</f>
        <v>#N/A</v>
      </c>
      <c r="AD947" s="376" t="str">
        <f>CS_PID!AD947/VLOOKUP($B947,표2[#ALL],2)/HLOOKUP($A947,표1[#ALL],row(),false)</f>
        <v>#N/A</v>
      </c>
      <c r="AE947" s="376" t="str">
        <f>CS_PID!AE947/VLOOKUP($B947,표2[#ALL],2)/HLOOKUP($A947,표1[#ALL],row(),false)</f>
        <v>#N/A</v>
      </c>
      <c r="AF947" s="376" t="str">
        <f>CS_PID!AF947/VLOOKUP($B947,표2[#ALL],2)/HLOOKUP($A947,표1[#ALL],row(),false)</f>
        <v>#N/A</v>
      </c>
      <c r="AG947" s="376" t="str">
        <f>CS_PID!AG947/VLOOKUP($B947,표2[#ALL],2)/HLOOKUP($A947,표1[#ALL],row(),false)</f>
        <v>#N/A</v>
      </c>
      <c r="AH947" s="376" t="str">
        <f>CS_PID!AH947/VLOOKUP($B947,표2[#ALL],2)/HLOOKUP($A947,표1[#ALL],row(),false)</f>
        <v>#N/A</v>
      </c>
      <c r="AI947" s="376" t="str">
        <f>CS_PID!AI947/VLOOKUP($B947,표2[#ALL],2)/HLOOKUP($A947,표1[#ALL],row(),false)</f>
        <v>#N/A</v>
      </c>
      <c r="AJ947" s="376" t="str">
        <f>CS_PID!AJ947/VLOOKUP($B947,표2[#ALL],2)/HLOOKUP($A947,표1[#ALL],row(),false)</f>
        <v>#N/A</v>
      </c>
      <c r="AK947" s="376" t="str">
        <f>CS_PID!AK947/VLOOKUP($B947,표2[#ALL],2)/HLOOKUP($A947,표1[#ALL],row(),false)</f>
        <v>#N/A</v>
      </c>
      <c r="AL947" s="376" t="str">
        <f>CS_PID!AL947/VLOOKUP($B947,표2[#ALL],2)/HLOOKUP($A947,표1[#ALL],row(),false)</f>
        <v>#N/A</v>
      </c>
      <c r="AM947" s="376" t="str">
        <f>CS_PID!AM947/VLOOKUP($B947,표2[#ALL],2)/HLOOKUP($A947,표1[#ALL],row(),false)</f>
        <v>#N/A</v>
      </c>
      <c r="AN947" s="376" t="str">
        <f>CS_PID!AN947/VLOOKUP($B947,표2[#ALL],2)/HLOOKUP($A947,표1[#ALL],row(),false)</f>
        <v>#N/A</v>
      </c>
      <c r="AO947" s="376" t="str">
        <f>CS_PID!AO947/VLOOKUP($B947,표2[#ALL],2)/HLOOKUP($A947,표1[#ALL],row(),false)</f>
        <v>#N/A</v>
      </c>
      <c r="AP947" s="376" t="str">
        <f>CS_PID!AP947/VLOOKUP($B947,표2[#ALL],2)/HLOOKUP($A947,표1[#ALL],row(),false)</f>
        <v>#N/A</v>
      </c>
      <c r="AQ947" s="376" t="str">
        <f>CS_PID!AQ947/VLOOKUP($B947,표2[#ALL],2)/HLOOKUP($A947,표1[#ALL],row(),false)</f>
        <v>#N/A</v>
      </c>
      <c r="AR947" s="376" t="str">
        <f>CS_PID!AR947/VLOOKUP($B947,표2[#ALL],2)/HLOOKUP($A947,표1[#ALL],row(),false)</f>
        <v>#N/A</v>
      </c>
      <c r="AS947" s="377" t="str">
        <f>CS_PID!AS947/VLOOKUP($B947,표2[#ALL],2)/HLOOKUP($A947,표1[#ALL],row(),false)</f>
        <v>#N/A</v>
      </c>
    </row>
    <row r="948">
      <c r="A948" s="370"/>
      <c r="B948" s="371"/>
      <c r="C948" s="372" t="str">
        <f>CS_PID!C948/VLOOKUP($B948,표2[#ALL],2)</f>
        <v>#N/A</v>
      </c>
      <c r="D948" s="372" t="str">
        <f>CS_PID!D948/VLOOKUP($B948,표2[#ALL],2)</f>
        <v>#N/A</v>
      </c>
      <c r="E948" s="372" t="str">
        <f>CS_PID!E948/VLOOKUP($B948,표2[#ALL],2)</f>
        <v>#N/A</v>
      </c>
      <c r="F948" s="372" t="str">
        <f>CS_PID!F948/VLOOKUP($B948,표2[#ALL],2)</f>
        <v>#N/A</v>
      </c>
      <c r="G948" s="372" t="str">
        <f>CS_PID!G948/VLOOKUP($B948,표2[#ALL],2)</f>
        <v>#N/A</v>
      </c>
      <c r="H948" s="372" t="str">
        <f>CS_PID!H948/VLOOKUP($B948,표2[#ALL],2)/HLOOKUP($A948,표1[#ALL],row(),false)</f>
        <v>#N/A</v>
      </c>
      <c r="I948" s="372" t="str">
        <f>CS_PID!I948/VLOOKUP($B948,표2[#ALL],2)/HLOOKUP($A948,표1[#ALL],row(),false)</f>
        <v>#N/A</v>
      </c>
      <c r="J948" s="372" t="str">
        <f>CS_PID!J948/VLOOKUP($B948,표2[#ALL],2)/HLOOKUP($A948,표1[#ALL],row(),false)</f>
        <v>#N/A</v>
      </c>
      <c r="K948" s="372" t="str">
        <f>CS_PID!K948/VLOOKUP($B948,표2[#ALL],2)/HLOOKUP($A948,표1[#ALL],row(),false)</f>
        <v>#N/A</v>
      </c>
      <c r="L948" s="372" t="str">
        <f>CS_PID!L948/VLOOKUP($B948,표2[#ALL],2)/HLOOKUP($A948,표1[#ALL],row(),false)</f>
        <v>#N/A</v>
      </c>
      <c r="M948" s="372" t="str">
        <f>CS_PID!M948/VLOOKUP($B948,표2[#ALL],2)/HLOOKUP($A948,표1[#ALL],row(),false)</f>
        <v>#N/A</v>
      </c>
      <c r="N948" s="372" t="str">
        <f>CS_PID!N948/VLOOKUP($B948,표2[#ALL],2)/HLOOKUP($A948,표1[#ALL],row(),false)</f>
        <v>#N/A</v>
      </c>
      <c r="O948" s="372" t="str">
        <f>CS_PID!O948/VLOOKUP($B948,표2[#ALL],2)/HLOOKUP($A948,표1[#ALL],row(),false)</f>
        <v>#N/A</v>
      </c>
      <c r="P948" s="372" t="str">
        <f>CS_PID!P948/VLOOKUP($B948,표2[#ALL],2)/HLOOKUP($A948,표1[#ALL],row(),false)</f>
        <v>#N/A</v>
      </c>
      <c r="Q948" s="372" t="str">
        <f>CS_PID!Q948/VLOOKUP($B948,표2[#ALL],2)/HLOOKUP($A948,표1[#ALL],row(),false)</f>
        <v>#N/A</v>
      </c>
      <c r="R948" s="372" t="str">
        <f>CS_PID!R948/VLOOKUP($B948,표2[#ALL],2)/HLOOKUP($A948,표1[#ALL],row(),false)</f>
        <v>#N/A</v>
      </c>
      <c r="S948" s="372" t="str">
        <f>CS_PID!S948/VLOOKUP($B948,표2[#ALL],2)/HLOOKUP($A948,표1[#ALL],row(),false)</f>
        <v>#N/A</v>
      </c>
      <c r="T948" s="372" t="str">
        <f>CS_PID!T948/VLOOKUP($B948,표2[#ALL],2)/HLOOKUP($A948,표1[#ALL],row(),false)</f>
        <v>#N/A</v>
      </c>
      <c r="U948" s="372" t="str">
        <f>CS_PID!U948/VLOOKUP($B948,표2[#ALL],2)/HLOOKUP($A948,표1[#ALL],row(),false)</f>
        <v>#N/A</v>
      </c>
      <c r="V948" s="372" t="str">
        <f>CS_PID!V948/VLOOKUP($B948,표2[#ALL],2)/HLOOKUP($A948,표1[#ALL],row(),false)</f>
        <v>#N/A</v>
      </c>
      <c r="W948" s="372" t="str">
        <f>CS_PID!W948/VLOOKUP($B948,표2[#ALL],2)/HLOOKUP($A948,표1[#ALL],row(),false)</f>
        <v>#N/A</v>
      </c>
      <c r="X948" s="372" t="str">
        <f>CS_PID!X948/VLOOKUP($B948,표2[#ALL],2)/HLOOKUP($A948,표1[#ALL],row(),false)</f>
        <v>#N/A</v>
      </c>
      <c r="Y948" s="372" t="str">
        <f>CS_PID!Y948/VLOOKUP($B948,표2[#ALL],2)/HLOOKUP($A948,표1[#ALL],row(),false)</f>
        <v>#N/A</v>
      </c>
      <c r="Z948" s="372" t="str">
        <f>CS_PID!Z948/VLOOKUP($B948,표2[#ALL],2)/HLOOKUP($A948,표1[#ALL],row(),false)</f>
        <v>#N/A</v>
      </c>
      <c r="AA948" s="372" t="str">
        <f>CS_PID!AA948/VLOOKUP($B948,표2[#ALL],2)/HLOOKUP($A948,표1[#ALL],row(),false)</f>
        <v>#N/A</v>
      </c>
      <c r="AB948" s="372" t="str">
        <f>CS_PID!AB948/VLOOKUP($B948,표2[#ALL],2)/HLOOKUP($A948,표1[#ALL],row(),false)</f>
        <v>#N/A</v>
      </c>
      <c r="AC948" s="372" t="str">
        <f>CS_PID!AC948/VLOOKUP($B948,표2[#ALL],2)/HLOOKUP($A948,표1[#ALL],row(),false)</f>
        <v>#N/A</v>
      </c>
      <c r="AD948" s="372" t="str">
        <f>CS_PID!AD948/VLOOKUP($B948,표2[#ALL],2)/HLOOKUP($A948,표1[#ALL],row(),false)</f>
        <v>#N/A</v>
      </c>
      <c r="AE948" s="372" t="str">
        <f>CS_PID!AE948/VLOOKUP($B948,표2[#ALL],2)/HLOOKUP($A948,표1[#ALL],row(),false)</f>
        <v>#N/A</v>
      </c>
      <c r="AF948" s="372" t="str">
        <f>CS_PID!AF948/VLOOKUP($B948,표2[#ALL],2)/HLOOKUP($A948,표1[#ALL],row(),false)</f>
        <v>#N/A</v>
      </c>
      <c r="AG948" s="372" t="str">
        <f>CS_PID!AG948/VLOOKUP($B948,표2[#ALL],2)/HLOOKUP($A948,표1[#ALL],row(),false)</f>
        <v>#N/A</v>
      </c>
      <c r="AH948" s="372" t="str">
        <f>CS_PID!AH948/VLOOKUP($B948,표2[#ALL],2)/HLOOKUP($A948,표1[#ALL],row(),false)</f>
        <v>#N/A</v>
      </c>
      <c r="AI948" s="372" t="str">
        <f>CS_PID!AI948/VLOOKUP($B948,표2[#ALL],2)/HLOOKUP($A948,표1[#ALL],row(),false)</f>
        <v>#N/A</v>
      </c>
      <c r="AJ948" s="372" t="str">
        <f>CS_PID!AJ948/VLOOKUP($B948,표2[#ALL],2)/HLOOKUP($A948,표1[#ALL],row(),false)</f>
        <v>#N/A</v>
      </c>
      <c r="AK948" s="372" t="str">
        <f>CS_PID!AK948/VLOOKUP($B948,표2[#ALL],2)/HLOOKUP($A948,표1[#ALL],row(),false)</f>
        <v>#N/A</v>
      </c>
      <c r="AL948" s="372" t="str">
        <f>CS_PID!AL948/VLOOKUP($B948,표2[#ALL],2)/HLOOKUP($A948,표1[#ALL],row(),false)</f>
        <v>#N/A</v>
      </c>
      <c r="AM948" s="372" t="str">
        <f>CS_PID!AM948/VLOOKUP($B948,표2[#ALL],2)/HLOOKUP($A948,표1[#ALL],row(),false)</f>
        <v>#N/A</v>
      </c>
      <c r="AN948" s="372" t="str">
        <f>CS_PID!AN948/VLOOKUP($B948,표2[#ALL],2)/HLOOKUP($A948,표1[#ALL],row(),false)</f>
        <v>#N/A</v>
      </c>
      <c r="AO948" s="372" t="str">
        <f>CS_PID!AO948/VLOOKUP($B948,표2[#ALL],2)/HLOOKUP($A948,표1[#ALL],row(),false)</f>
        <v>#N/A</v>
      </c>
      <c r="AP948" s="372" t="str">
        <f>CS_PID!AP948/VLOOKUP($B948,표2[#ALL],2)/HLOOKUP($A948,표1[#ALL],row(),false)</f>
        <v>#N/A</v>
      </c>
      <c r="AQ948" s="372" t="str">
        <f>CS_PID!AQ948/VLOOKUP($B948,표2[#ALL],2)/HLOOKUP($A948,표1[#ALL],row(),false)</f>
        <v>#N/A</v>
      </c>
      <c r="AR948" s="372" t="str">
        <f>CS_PID!AR948/VLOOKUP($B948,표2[#ALL],2)/HLOOKUP($A948,표1[#ALL],row(),false)</f>
        <v>#N/A</v>
      </c>
      <c r="AS948" s="373" t="str">
        <f>CS_PID!AS948/VLOOKUP($B948,표2[#ALL],2)/HLOOKUP($A948,표1[#ALL],row(),false)</f>
        <v>#N/A</v>
      </c>
    </row>
    <row r="949">
      <c r="A949" s="374"/>
      <c r="B949" s="375"/>
      <c r="C949" s="376" t="str">
        <f>CS_PID!C949/VLOOKUP($B949,표2[#ALL],2)</f>
        <v>#N/A</v>
      </c>
      <c r="D949" s="376" t="str">
        <f>CS_PID!D949/VLOOKUP($B949,표2[#ALL],2)</f>
        <v>#N/A</v>
      </c>
      <c r="E949" s="376" t="str">
        <f>CS_PID!E949/VLOOKUP($B949,표2[#ALL],2)</f>
        <v>#N/A</v>
      </c>
      <c r="F949" s="376" t="str">
        <f>CS_PID!F949/VLOOKUP($B949,표2[#ALL],2)</f>
        <v>#N/A</v>
      </c>
      <c r="G949" s="376" t="str">
        <f>CS_PID!G949/VLOOKUP($B949,표2[#ALL],2)</f>
        <v>#N/A</v>
      </c>
      <c r="H949" s="376" t="str">
        <f>CS_PID!H949/VLOOKUP($B949,표2[#ALL],2)/HLOOKUP($A949,표1[#ALL],row(),false)</f>
        <v>#N/A</v>
      </c>
      <c r="I949" s="376" t="str">
        <f>CS_PID!I949/VLOOKUP($B949,표2[#ALL],2)/HLOOKUP($A949,표1[#ALL],row(),false)</f>
        <v>#N/A</v>
      </c>
      <c r="J949" s="376" t="str">
        <f>CS_PID!J949/VLOOKUP($B949,표2[#ALL],2)/HLOOKUP($A949,표1[#ALL],row(),false)</f>
        <v>#N/A</v>
      </c>
      <c r="K949" s="376" t="str">
        <f>CS_PID!K949/VLOOKUP($B949,표2[#ALL],2)/HLOOKUP($A949,표1[#ALL],row(),false)</f>
        <v>#N/A</v>
      </c>
      <c r="L949" s="376" t="str">
        <f>CS_PID!L949/VLOOKUP($B949,표2[#ALL],2)/HLOOKUP($A949,표1[#ALL],row(),false)</f>
        <v>#N/A</v>
      </c>
      <c r="M949" s="376" t="str">
        <f>CS_PID!M949/VLOOKUP($B949,표2[#ALL],2)/HLOOKUP($A949,표1[#ALL],row(),false)</f>
        <v>#N/A</v>
      </c>
      <c r="N949" s="376" t="str">
        <f>CS_PID!N949/VLOOKUP($B949,표2[#ALL],2)/HLOOKUP($A949,표1[#ALL],row(),false)</f>
        <v>#N/A</v>
      </c>
      <c r="O949" s="376" t="str">
        <f>CS_PID!O949/VLOOKUP($B949,표2[#ALL],2)/HLOOKUP($A949,표1[#ALL],row(),false)</f>
        <v>#N/A</v>
      </c>
      <c r="P949" s="376" t="str">
        <f>CS_PID!P949/VLOOKUP($B949,표2[#ALL],2)/HLOOKUP($A949,표1[#ALL],row(),false)</f>
        <v>#N/A</v>
      </c>
      <c r="Q949" s="376" t="str">
        <f>CS_PID!Q949/VLOOKUP($B949,표2[#ALL],2)/HLOOKUP($A949,표1[#ALL],row(),false)</f>
        <v>#N/A</v>
      </c>
      <c r="R949" s="376" t="str">
        <f>CS_PID!R949/VLOOKUP($B949,표2[#ALL],2)/HLOOKUP($A949,표1[#ALL],row(),false)</f>
        <v>#N/A</v>
      </c>
      <c r="S949" s="376" t="str">
        <f>CS_PID!S949/VLOOKUP($B949,표2[#ALL],2)/HLOOKUP($A949,표1[#ALL],row(),false)</f>
        <v>#N/A</v>
      </c>
      <c r="T949" s="376" t="str">
        <f>CS_PID!T949/VLOOKUP($B949,표2[#ALL],2)/HLOOKUP($A949,표1[#ALL],row(),false)</f>
        <v>#N/A</v>
      </c>
      <c r="U949" s="376" t="str">
        <f>CS_PID!U949/VLOOKUP($B949,표2[#ALL],2)/HLOOKUP($A949,표1[#ALL],row(),false)</f>
        <v>#N/A</v>
      </c>
      <c r="V949" s="376" t="str">
        <f>CS_PID!V949/VLOOKUP($B949,표2[#ALL],2)/HLOOKUP($A949,표1[#ALL],row(),false)</f>
        <v>#N/A</v>
      </c>
      <c r="W949" s="376" t="str">
        <f>CS_PID!W949/VLOOKUP($B949,표2[#ALL],2)/HLOOKUP($A949,표1[#ALL],row(),false)</f>
        <v>#N/A</v>
      </c>
      <c r="X949" s="376" t="str">
        <f>CS_PID!X949/VLOOKUP($B949,표2[#ALL],2)/HLOOKUP($A949,표1[#ALL],row(),false)</f>
        <v>#N/A</v>
      </c>
      <c r="Y949" s="376" t="str">
        <f>CS_PID!Y949/VLOOKUP($B949,표2[#ALL],2)/HLOOKUP($A949,표1[#ALL],row(),false)</f>
        <v>#N/A</v>
      </c>
      <c r="Z949" s="376" t="str">
        <f>CS_PID!Z949/VLOOKUP($B949,표2[#ALL],2)/HLOOKUP($A949,표1[#ALL],row(),false)</f>
        <v>#N/A</v>
      </c>
      <c r="AA949" s="376" t="str">
        <f>CS_PID!AA949/VLOOKUP($B949,표2[#ALL],2)/HLOOKUP($A949,표1[#ALL],row(),false)</f>
        <v>#N/A</v>
      </c>
      <c r="AB949" s="376" t="str">
        <f>CS_PID!AB949/VLOOKUP($B949,표2[#ALL],2)/HLOOKUP($A949,표1[#ALL],row(),false)</f>
        <v>#N/A</v>
      </c>
      <c r="AC949" s="376" t="str">
        <f>CS_PID!AC949/VLOOKUP($B949,표2[#ALL],2)/HLOOKUP($A949,표1[#ALL],row(),false)</f>
        <v>#N/A</v>
      </c>
      <c r="AD949" s="376" t="str">
        <f>CS_PID!AD949/VLOOKUP($B949,표2[#ALL],2)/HLOOKUP($A949,표1[#ALL],row(),false)</f>
        <v>#N/A</v>
      </c>
      <c r="AE949" s="376" t="str">
        <f>CS_PID!AE949/VLOOKUP($B949,표2[#ALL],2)/HLOOKUP($A949,표1[#ALL],row(),false)</f>
        <v>#N/A</v>
      </c>
      <c r="AF949" s="376" t="str">
        <f>CS_PID!AF949/VLOOKUP($B949,표2[#ALL],2)/HLOOKUP($A949,표1[#ALL],row(),false)</f>
        <v>#N/A</v>
      </c>
      <c r="AG949" s="376" t="str">
        <f>CS_PID!AG949/VLOOKUP($B949,표2[#ALL],2)/HLOOKUP($A949,표1[#ALL],row(),false)</f>
        <v>#N/A</v>
      </c>
      <c r="AH949" s="376" t="str">
        <f>CS_PID!AH949/VLOOKUP($B949,표2[#ALL],2)/HLOOKUP($A949,표1[#ALL],row(),false)</f>
        <v>#N/A</v>
      </c>
      <c r="AI949" s="376" t="str">
        <f>CS_PID!AI949/VLOOKUP($B949,표2[#ALL],2)/HLOOKUP($A949,표1[#ALL],row(),false)</f>
        <v>#N/A</v>
      </c>
      <c r="AJ949" s="376" t="str">
        <f>CS_PID!AJ949/VLOOKUP($B949,표2[#ALL],2)/HLOOKUP($A949,표1[#ALL],row(),false)</f>
        <v>#N/A</v>
      </c>
      <c r="AK949" s="376" t="str">
        <f>CS_PID!AK949/VLOOKUP($B949,표2[#ALL],2)/HLOOKUP($A949,표1[#ALL],row(),false)</f>
        <v>#N/A</v>
      </c>
      <c r="AL949" s="376" t="str">
        <f>CS_PID!AL949/VLOOKUP($B949,표2[#ALL],2)/HLOOKUP($A949,표1[#ALL],row(),false)</f>
        <v>#N/A</v>
      </c>
      <c r="AM949" s="376" t="str">
        <f>CS_PID!AM949/VLOOKUP($B949,표2[#ALL],2)/HLOOKUP($A949,표1[#ALL],row(),false)</f>
        <v>#N/A</v>
      </c>
      <c r="AN949" s="376" t="str">
        <f>CS_PID!AN949/VLOOKUP($B949,표2[#ALL],2)/HLOOKUP($A949,표1[#ALL],row(),false)</f>
        <v>#N/A</v>
      </c>
      <c r="AO949" s="376" t="str">
        <f>CS_PID!AO949/VLOOKUP($B949,표2[#ALL],2)/HLOOKUP($A949,표1[#ALL],row(),false)</f>
        <v>#N/A</v>
      </c>
      <c r="AP949" s="376" t="str">
        <f>CS_PID!AP949/VLOOKUP($B949,표2[#ALL],2)/HLOOKUP($A949,표1[#ALL],row(),false)</f>
        <v>#N/A</v>
      </c>
      <c r="AQ949" s="376" t="str">
        <f>CS_PID!AQ949/VLOOKUP($B949,표2[#ALL],2)/HLOOKUP($A949,표1[#ALL],row(),false)</f>
        <v>#N/A</v>
      </c>
      <c r="AR949" s="376" t="str">
        <f>CS_PID!AR949/VLOOKUP($B949,표2[#ALL],2)/HLOOKUP($A949,표1[#ALL],row(),false)</f>
        <v>#N/A</v>
      </c>
      <c r="AS949" s="377" t="str">
        <f>CS_PID!AS949/VLOOKUP($B949,표2[#ALL],2)/HLOOKUP($A949,표1[#ALL],row(),false)</f>
        <v>#N/A</v>
      </c>
    </row>
    <row r="950">
      <c r="A950" s="370"/>
      <c r="B950" s="371"/>
      <c r="C950" s="372" t="str">
        <f>CS_PID!C950/VLOOKUP($B950,표2[#ALL],2)</f>
        <v>#N/A</v>
      </c>
      <c r="D950" s="372" t="str">
        <f>CS_PID!D950/VLOOKUP($B950,표2[#ALL],2)</f>
        <v>#N/A</v>
      </c>
      <c r="E950" s="372" t="str">
        <f>CS_PID!E950/VLOOKUP($B950,표2[#ALL],2)</f>
        <v>#N/A</v>
      </c>
      <c r="F950" s="372" t="str">
        <f>CS_PID!F950/VLOOKUP($B950,표2[#ALL],2)</f>
        <v>#N/A</v>
      </c>
      <c r="G950" s="372" t="str">
        <f>CS_PID!G950/VLOOKUP($B950,표2[#ALL],2)</f>
        <v>#N/A</v>
      </c>
      <c r="H950" s="372" t="str">
        <f>CS_PID!H950/VLOOKUP($B950,표2[#ALL],2)/HLOOKUP($A950,표1[#ALL],row(),false)</f>
        <v>#N/A</v>
      </c>
      <c r="I950" s="372" t="str">
        <f>CS_PID!I950/VLOOKUP($B950,표2[#ALL],2)/HLOOKUP($A950,표1[#ALL],row(),false)</f>
        <v>#N/A</v>
      </c>
      <c r="J950" s="372" t="str">
        <f>CS_PID!J950/VLOOKUP($B950,표2[#ALL],2)/HLOOKUP($A950,표1[#ALL],row(),false)</f>
        <v>#N/A</v>
      </c>
      <c r="K950" s="372" t="str">
        <f>CS_PID!K950/VLOOKUP($B950,표2[#ALL],2)/HLOOKUP($A950,표1[#ALL],row(),false)</f>
        <v>#N/A</v>
      </c>
      <c r="L950" s="372" t="str">
        <f>CS_PID!L950/VLOOKUP($B950,표2[#ALL],2)/HLOOKUP($A950,표1[#ALL],row(),false)</f>
        <v>#N/A</v>
      </c>
      <c r="M950" s="372" t="str">
        <f>CS_PID!M950/VLOOKUP($B950,표2[#ALL],2)/HLOOKUP($A950,표1[#ALL],row(),false)</f>
        <v>#N/A</v>
      </c>
      <c r="N950" s="372" t="str">
        <f>CS_PID!N950/VLOOKUP($B950,표2[#ALL],2)/HLOOKUP($A950,표1[#ALL],row(),false)</f>
        <v>#N/A</v>
      </c>
      <c r="O950" s="372" t="str">
        <f>CS_PID!O950/VLOOKUP($B950,표2[#ALL],2)/HLOOKUP($A950,표1[#ALL],row(),false)</f>
        <v>#N/A</v>
      </c>
      <c r="P950" s="372" t="str">
        <f>CS_PID!P950/VLOOKUP($B950,표2[#ALL],2)/HLOOKUP($A950,표1[#ALL],row(),false)</f>
        <v>#N/A</v>
      </c>
      <c r="Q950" s="372" t="str">
        <f>CS_PID!Q950/VLOOKUP($B950,표2[#ALL],2)/HLOOKUP($A950,표1[#ALL],row(),false)</f>
        <v>#N/A</v>
      </c>
      <c r="R950" s="372" t="str">
        <f>CS_PID!R950/VLOOKUP($B950,표2[#ALL],2)/HLOOKUP($A950,표1[#ALL],row(),false)</f>
        <v>#N/A</v>
      </c>
      <c r="S950" s="372" t="str">
        <f>CS_PID!S950/VLOOKUP($B950,표2[#ALL],2)/HLOOKUP($A950,표1[#ALL],row(),false)</f>
        <v>#N/A</v>
      </c>
      <c r="T950" s="372" t="str">
        <f>CS_PID!T950/VLOOKUP($B950,표2[#ALL],2)/HLOOKUP($A950,표1[#ALL],row(),false)</f>
        <v>#N/A</v>
      </c>
      <c r="U950" s="372" t="str">
        <f>CS_PID!U950/VLOOKUP($B950,표2[#ALL],2)/HLOOKUP($A950,표1[#ALL],row(),false)</f>
        <v>#N/A</v>
      </c>
      <c r="V950" s="372" t="str">
        <f>CS_PID!V950/VLOOKUP($B950,표2[#ALL],2)/HLOOKUP($A950,표1[#ALL],row(),false)</f>
        <v>#N/A</v>
      </c>
      <c r="W950" s="372" t="str">
        <f>CS_PID!W950/VLOOKUP($B950,표2[#ALL],2)/HLOOKUP($A950,표1[#ALL],row(),false)</f>
        <v>#N/A</v>
      </c>
      <c r="X950" s="372" t="str">
        <f>CS_PID!X950/VLOOKUP($B950,표2[#ALL],2)/HLOOKUP($A950,표1[#ALL],row(),false)</f>
        <v>#N/A</v>
      </c>
      <c r="Y950" s="372" t="str">
        <f>CS_PID!Y950/VLOOKUP($B950,표2[#ALL],2)/HLOOKUP($A950,표1[#ALL],row(),false)</f>
        <v>#N/A</v>
      </c>
      <c r="Z950" s="372" t="str">
        <f>CS_PID!Z950/VLOOKUP($B950,표2[#ALL],2)/HLOOKUP($A950,표1[#ALL],row(),false)</f>
        <v>#N/A</v>
      </c>
      <c r="AA950" s="372" t="str">
        <f>CS_PID!AA950/VLOOKUP($B950,표2[#ALL],2)/HLOOKUP($A950,표1[#ALL],row(),false)</f>
        <v>#N/A</v>
      </c>
      <c r="AB950" s="372" t="str">
        <f>CS_PID!AB950/VLOOKUP($B950,표2[#ALL],2)/HLOOKUP($A950,표1[#ALL],row(),false)</f>
        <v>#N/A</v>
      </c>
      <c r="AC950" s="372" t="str">
        <f>CS_PID!AC950/VLOOKUP($B950,표2[#ALL],2)/HLOOKUP($A950,표1[#ALL],row(),false)</f>
        <v>#N/A</v>
      </c>
      <c r="AD950" s="372" t="str">
        <f>CS_PID!AD950/VLOOKUP($B950,표2[#ALL],2)/HLOOKUP($A950,표1[#ALL],row(),false)</f>
        <v>#N/A</v>
      </c>
      <c r="AE950" s="372" t="str">
        <f>CS_PID!AE950/VLOOKUP($B950,표2[#ALL],2)/HLOOKUP($A950,표1[#ALL],row(),false)</f>
        <v>#N/A</v>
      </c>
      <c r="AF950" s="372" t="str">
        <f>CS_PID!AF950/VLOOKUP($B950,표2[#ALL],2)/HLOOKUP($A950,표1[#ALL],row(),false)</f>
        <v>#N/A</v>
      </c>
      <c r="AG950" s="372" t="str">
        <f>CS_PID!AG950/VLOOKUP($B950,표2[#ALL],2)/HLOOKUP($A950,표1[#ALL],row(),false)</f>
        <v>#N/A</v>
      </c>
      <c r="AH950" s="372" t="str">
        <f>CS_PID!AH950/VLOOKUP($B950,표2[#ALL],2)/HLOOKUP($A950,표1[#ALL],row(),false)</f>
        <v>#N/A</v>
      </c>
      <c r="AI950" s="372" t="str">
        <f>CS_PID!AI950/VLOOKUP($B950,표2[#ALL],2)/HLOOKUP($A950,표1[#ALL],row(),false)</f>
        <v>#N/A</v>
      </c>
      <c r="AJ950" s="372" t="str">
        <f>CS_PID!AJ950/VLOOKUP($B950,표2[#ALL],2)/HLOOKUP($A950,표1[#ALL],row(),false)</f>
        <v>#N/A</v>
      </c>
      <c r="AK950" s="372" t="str">
        <f>CS_PID!AK950/VLOOKUP($B950,표2[#ALL],2)/HLOOKUP($A950,표1[#ALL],row(),false)</f>
        <v>#N/A</v>
      </c>
      <c r="AL950" s="372" t="str">
        <f>CS_PID!AL950/VLOOKUP($B950,표2[#ALL],2)/HLOOKUP($A950,표1[#ALL],row(),false)</f>
        <v>#N/A</v>
      </c>
      <c r="AM950" s="372" t="str">
        <f>CS_PID!AM950/VLOOKUP($B950,표2[#ALL],2)/HLOOKUP($A950,표1[#ALL],row(),false)</f>
        <v>#N/A</v>
      </c>
      <c r="AN950" s="372" t="str">
        <f>CS_PID!AN950/VLOOKUP($B950,표2[#ALL],2)/HLOOKUP($A950,표1[#ALL],row(),false)</f>
        <v>#N/A</v>
      </c>
      <c r="AO950" s="372" t="str">
        <f>CS_PID!AO950/VLOOKUP($B950,표2[#ALL],2)/HLOOKUP($A950,표1[#ALL],row(),false)</f>
        <v>#N/A</v>
      </c>
      <c r="AP950" s="372" t="str">
        <f>CS_PID!AP950/VLOOKUP($B950,표2[#ALL],2)/HLOOKUP($A950,표1[#ALL],row(),false)</f>
        <v>#N/A</v>
      </c>
      <c r="AQ950" s="372" t="str">
        <f>CS_PID!AQ950/VLOOKUP($B950,표2[#ALL],2)/HLOOKUP($A950,표1[#ALL],row(),false)</f>
        <v>#N/A</v>
      </c>
      <c r="AR950" s="372" t="str">
        <f>CS_PID!AR950/VLOOKUP($B950,표2[#ALL],2)/HLOOKUP($A950,표1[#ALL],row(),false)</f>
        <v>#N/A</v>
      </c>
      <c r="AS950" s="373" t="str">
        <f>CS_PID!AS950/VLOOKUP($B950,표2[#ALL],2)/HLOOKUP($A950,표1[#ALL],row(),false)</f>
        <v>#N/A</v>
      </c>
    </row>
    <row r="951">
      <c r="A951" s="374"/>
      <c r="B951" s="375"/>
      <c r="C951" s="376" t="str">
        <f>CS_PID!C951/VLOOKUP($B951,표2[#ALL],2)</f>
        <v>#N/A</v>
      </c>
      <c r="D951" s="376" t="str">
        <f>CS_PID!D951/VLOOKUP($B951,표2[#ALL],2)</f>
        <v>#N/A</v>
      </c>
      <c r="E951" s="376" t="str">
        <f>CS_PID!E951/VLOOKUP($B951,표2[#ALL],2)</f>
        <v>#N/A</v>
      </c>
      <c r="F951" s="376" t="str">
        <f>CS_PID!F951/VLOOKUP($B951,표2[#ALL],2)</f>
        <v>#N/A</v>
      </c>
      <c r="G951" s="376" t="str">
        <f>CS_PID!G951/VLOOKUP($B951,표2[#ALL],2)</f>
        <v>#N/A</v>
      </c>
      <c r="H951" s="376" t="str">
        <f>CS_PID!H951/VLOOKUP($B951,표2[#ALL],2)/HLOOKUP($A951,표1[#ALL],row(),false)</f>
        <v>#N/A</v>
      </c>
      <c r="I951" s="376" t="str">
        <f>CS_PID!I951/VLOOKUP($B951,표2[#ALL],2)/HLOOKUP($A951,표1[#ALL],row(),false)</f>
        <v>#N/A</v>
      </c>
      <c r="J951" s="376" t="str">
        <f>CS_PID!J951/VLOOKUP($B951,표2[#ALL],2)/HLOOKUP($A951,표1[#ALL],row(),false)</f>
        <v>#N/A</v>
      </c>
      <c r="K951" s="376" t="str">
        <f>CS_PID!K951/VLOOKUP($B951,표2[#ALL],2)/HLOOKUP($A951,표1[#ALL],row(),false)</f>
        <v>#N/A</v>
      </c>
      <c r="L951" s="376" t="str">
        <f>CS_PID!L951/VLOOKUP($B951,표2[#ALL],2)/HLOOKUP($A951,표1[#ALL],row(),false)</f>
        <v>#N/A</v>
      </c>
      <c r="M951" s="376" t="str">
        <f>CS_PID!M951/VLOOKUP($B951,표2[#ALL],2)/HLOOKUP($A951,표1[#ALL],row(),false)</f>
        <v>#N/A</v>
      </c>
      <c r="N951" s="376" t="str">
        <f>CS_PID!N951/VLOOKUP($B951,표2[#ALL],2)/HLOOKUP($A951,표1[#ALL],row(),false)</f>
        <v>#N/A</v>
      </c>
      <c r="O951" s="376" t="str">
        <f>CS_PID!O951/VLOOKUP($B951,표2[#ALL],2)/HLOOKUP($A951,표1[#ALL],row(),false)</f>
        <v>#N/A</v>
      </c>
      <c r="P951" s="376" t="str">
        <f>CS_PID!P951/VLOOKUP($B951,표2[#ALL],2)/HLOOKUP($A951,표1[#ALL],row(),false)</f>
        <v>#N/A</v>
      </c>
      <c r="Q951" s="376" t="str">
        <f>CS_PID!Q951/VLOOKUP($B951,표2[#ALL],2)/HLOOKUP($A951,표1[#ALL],row(),false)</f>
        <v>#N/A</v>
      </c>
      <c r="R951" s="376" t="str">
        <f>CS_PID!R951/VLOOKUP($B951,표2[#ALL],2)/HLOOKUP($A951,표1[#ALL],row(),false)</f>
        <v>#N/A</v>
      </c>
      <c r="S951" s="376" t="str">
        <f>CS_PID!S951/VLOOKUP($B951,표2[#ALL],2)/HLOOKUP($A951,표1[#ALL],row(),false)</f>
        <v>#N/A</v>
      </c>
      <c r="T951" s="376" t="str">
        <f>CS_PID!T951/VLOOKUP($B951,표2[#ALL],2)/HLOOKUP($A951,표1[#ALL],row(),false)</f>
        <v>#N/A</v>
      </c>
      <c r="U951" s="376" t="str">
        <f>CS_PID!U951/VLOOKUP($B951,표2[#ALL],2)/HLOOKUP($A951,표1[#ALL],row(),false)</f>
        <v>#N/A</v>
      </c>
      <c r="V951" s="376" t="str">
        <f>CS_PID!V951/VLOOKUP($B951,표2[#ALL],2)/HLOOKUP($A951,표1[#ALL],row(),false)</f>
        <v>#N/A</v>
      </c>
      <c r="W951" s="376" t="str">
        <f>CS_PID!W951/VLOOKUP($B951,표2[#ALL],2)/HLOOKUP($A951,표1[#ALL],row(),false)</f>
        <v>#N/A</v>
      </c>
      <c r="X951" s="376" t="str">
        <f>CS_PID!X951/VLOOKUP($B951,표2[#ALL],2)/HLOOKUP($A951,표1[#ALL],row(),false)</f>
        <v>#N/A</v>
      </c>
      <c r="Y951" s="376" t="str">
        <f>CS_PID!Y951/VLOOKUP($B951,표2[#ALL],2)/HLOOKUP($A951,표1[#ALL],row(),false)</f>
        <v>#N/A</v>
      </c>
      <c r="Z951" s="376" t="str">
        <f>CS_PID!Z951/VLOOKUP($B951,표2[#ALL],2)/HLOOKUP($A951,표1[#ALL],row(),false)</f>
        <v>#N/A</v>
      </c>
      <c r="AA951" s="376" t="str">
        <f>CS_PID!AA951/VLOOKUP($B951,표2[#ALL],2)/HLOOKUP($A951,표1[#ALL],row(),false)</f>
        <v>#N/A</v>
      </c>
      <c r="AB951" s="376" t="str">
        <f>CS_PID!AB951/VLOOKUP($B951,표2[#ALL],2)/HLOOKUP($A951,표1[#ALL],row(),false)</f>
        <v>#N/A</v>
      </c>
      <c r="AC951" s="376" t="str">
        <f>CS_PID!AC951/VLOOKUP($B951,표2[#ALL],2)/HLOOKUP($A951,표1[#ALL],row(),false)</f>
        <v>#N/A</v>
      </c>
      <c r="AD951" s="376" t="str">
        <f>CS_PID!AD951/VLOOKUP($B951,표2[#ALL],2)/HLOOKUP($A951,표1[#ALL],row(),false)</f>
        <v>#N/A</v>
      </c>
      <c r="AE951" s="376" t="str">
        <f>CS_PID!AE951/VLOOKUP($B951,표2[#ALL],2)/HLOOKUP($A951,표1[#ALL],row(),false)</f>
        <v>#N/A</v>
      </c>
      <c r="AF951" s="376" t="str">
        <f>CS_PID!AF951/VLOOKUP($B951,표2[#ALL],2)/HLOOKUP($A951,표1[#ALL],row(),false)</f>
        <v>#N/A</v>
      </c>
      <c r="AG951" s="376" t="str">
        <f>CS_PID!AG951/VLOOKUP($B951,표2[#ALL],2)/HLOOKUP($A951,표1[#ALL],row(),false)</f>
        <v>#N/A</v>
      </c>
      <c r="AH951" s="376" t="str">
        <f>CS_PID!AH951/VLOOKUP($B951,표2[#ALL],2)/HLOOKUP($A951,표1[#ALL],row(),false)</f>
        <v>#N/A</v>
      </c>
      <c r="AI951" s="376" t="str">
        <f>CS_PID!AI951/VLOOKUP($B951,표2[#ALL],2)/HLOOKUP($A951,표1[#ALL],row(),false)</f>
        <v>#N/A</v>
      </c>
      <c r="AJ951" s="376" t="str">
        <f>CS_PID!AJ951/VLOOKUP($B951,표2[#ALL],2)/HLOOKUP($A951,표1[#ALL],row(),false)</f>
        <v>#N/A</v>
      </c>
      <c r="AK951" s="376" t="str">
        <f>CS_PID!AK951/VLOOKUP($B951,표2[#ALL],2)/HLOOKUP($A951,표1[#ALL],row(),false)</f>
        <v>#N/A</v>
      </c>
      <c r="AL951" s="376" t="str">
        <f>CS_PID!AL951/VLOOKUP($B951,표2[#ALL],2)/HLOOKUP($A951,표1[#ALL],row(),false)</f>
        <v>#N/A</v>
      </c>
      <c r="AM951" s="376" t="str">
        <f>CS_PID!AM951/VLOOKUP($B951,표2[#ALL],2)/HLOOKUP($A951,표1[#ALL],row(),false)</f>
        <v>#N/A</v>
      </c>
      <c r="AN951" s="376" t="str">
        <f>CS_PID!AN951/VLOOKUP($B951,표2[#ALL],2)/HLOOKUP($A951,표1[#ALL],row(),false)</f>
        <v>#N/A</v>
      </c>
      <c r="AO951" s="376" t="str">
        <f>CS_PID!AO951/VLOOKUP($B951,표2[#ALL],2)/HLOOKUP($A951,표1[#ALL],row(),false)</f>
        <v>#N/A</v>
      </c>
      <c r="AP951" s="376" t="str">
        <f>CS_PID!AP951/VLOOKUP($B951,표2[#ALL],2)/HLOOKUP($A951,표1[#ALL],row(),false)</f>
        <v>#N/A</v>
      </c>
      <c r="AQ951" s="376" t="str">
        <f>CS_PID!AQ951/VLOOKUP($B951,표2[#ALL],2)/HLOOKUP($A951,표1[#ALL],row(),false)</f>
        <v>#N/A</v>
      </c>
      <c r="AR951" s="376" t="str">
        <f>CS_PID!AR951/VLOOKUP($B951,표2[#ALL],2)/HLOOKUP($A951,표1[#ALL],row(),false)</f>
        <v>#N/A</v>
      </c>
      <c r="AS951" s="377" t="str">
        <f>CS_PID!AS951/VLOOKUP($B951,표2[#ALL],2)/HLOOKUP($A951,표1[#ALL],row(),false)</f>
        <v>#N/A</v>
      </c>
    </row>
    <row r="952">
      <c r="A952" s="370"/>
      <c r="B952" s="371"/>
      <c r="C952" s="372" t="str">
        <f>CS_PID!C952/VLOOKUP($B952,표2[#ALL],2)</f>
        <v>#N/A</v>
      </c>
      <c r="D952" s="372" t="str">
        <f>CS_PID!D952/VLOOKUP($B952,표2[#ALL],2)</f>
        <v>#N/A</v>
      </c>
      <c r="E952" s="372" t="str">
        <f>CS_PID!E952/VLOOKUP($B952,표2[#ALL],2)</f>
        <v>#N/A</v>
      </c>
      <c r="F952" s="372" t="str">
        <f>CS_PID!F952/VLOOKUP($B952,표2[#ALL],2)</f>
        <v>#N/A</v>
      </c>
      <c r="G952" s="372" t="str">
        <f>CS_PID!G952/VLOOKUP($B952,표2[#ALL],2)</f>
        <v>#N/A</v>
      </c>
      <c r="H952" s="372" t="str">
        <f>CS_PID!H952/VLOOKUP($B952,표2[#ALL],2)/HLOOKUP($A952,표1[#ALL],row(),false)</f>
        <v>#N/A</v>
      </c>
      <c r="I952" s="372" t="str">
        <f>CS_PID!I952/VLOOKUP($B952,표2[#ALL],2)/HLOOKUP($A952,표1[#ALL],row(),false)</f>
        <v>#N/A</v>
      </c>
      <c r="J952" s="372" t="str">
        <f>CS_PID!J952/VLOOKUP($B952,표2[#ALL],2)/HLOOKUP($A952,표1[#ALL],row(),false)</f>
        <v>#N/A</v>
      </c>
      <c r="K952" s="372" t="str">
        <f>CS_PID!K952/VLOOKUP($B952,표2[#ALL],2)/HLOOKUP($A952,표1[#ALL],row(),false)</f>
        <v>#N/A</v>
      </c>
      <c r="L952" s="372" t="str">
        <f>CS_PID!L952/VLOOKUP($B952,표2[#ALL],2)/HLOOKUP($A952,표1[#ALL],row(),false)</f>
        <v>#N/A</v>
      </c>
      <c r="M952" s="372" t="str">
        <f>CS_PID!M952/VLOOKUP($B952,표2[#ALL],2)/HLOOKUP($A952,표1[#ALL],row(),false)</f>
        <v>#N/A</v>
      </c>
      <c r="N952" s="372" t="str">
        <f>CS_PID!N952/VLOOKUP($B952,표2[#ALL],2)/HLOOKUP($A952,표1[#ALL],row(),false)</f>
        <v>#N/A</v>
      </c>
      <c r="O952" s="372" t="str">
        <f>CS_PID!O952/VLOOKUP($B952,표2[#ALL],2)/HLOOKUP($A952,표1[#ALL],row(),false)</f>
        <v>#N/A</v>
      </c>
      <c r="P952" s="372" t="str">
        <f>CS_PID!P952/VLOOKUP($B952,표2[#ALL],2)/HLOOKUP($A952,표1[#ALL],row(),false)</f>
        <v>#N/A</v>
      </c>
      <c r="Q952" s="372" t="str">
        <f>CS_PID!Q952/VLOOKUP($B952,표2[#ALL],2)/HLOOKUP($A952,표1[#ALL],row(),false)</f>
        <v>#N/A</v>
      </c>
      <c r="R952" s="372" t="str">
        <f>CS_PID!R952/VLOOKUP($B952,표2[#ALL],2)/HLOOKUP($A952,표1[#ALL],row(),false)</f>
        <v>#N/A</v>
      </c>
      <c r="S952" s="372" t="str">
        <f>CS_PID!S952/VLOOKUP($B952,표2[#ALL],2)/HLOOKUP($A952,표1[#ALL],row(),false)</f>
        <v>#N/A</v>
      </c>
      <c r="T952" s="372" t="str">
        <f>CS_PID!T952/VLOOKUP($B952,표2[#ALL],2)/HLOOKUP($A952,표1[#ALL],row(),false)</f>
        <v>#N/A</v>
      </c>
      <c r="U952" s="372" t="str">
        <f>CS_PID!U952/VLOOKUP($B952,표2[#ALL],2)/HLOOKUP($A952,표1[#ALL],row(),false)</f>
        <v>#N/A</v>
      </c>
      <c r="V952" s="372" t="str">
        <f>CS_PID!V952/VLOOKUP($B952,표2[#ALL],2)/HLOOKUP($A952,표1[#ALL],row(),false)</f>
        <v>#N/A</v>
      </c>
      <c r="W952" s="372" t="str">
        <f>CS_PID!W952/VLOOKUP($B952,표2[#ALL],2)/HLOOKUP($A952,표1[#ALL],row(),false)</f>
        <v>#N/A</v>
      </c>
      <c r="X952" s="372" t="str">
        <f>CS_PID!X952/VLOOKUP($B952,표2[#ALL],2)/HLOOKUP($A952,표1[#ALL],row(),false)</f>
        <v>#N/A</v>
      </c>
      <c r="Y952" s="372" t="str">
        <f>CS_PID!Y952/VLOOKUP($B952,표2[#ALL],2)/HLOOKUP($A952,표1[#ALL],row(),false)</f>
        <v>#N/A</v>
      </c>
      <c r="Z952" s="372" t="str">
        <f>CS_PID!Z952/VLOOKUP($B952,표2[#ALL],2)/HLOOKUP($A952,표1[#ALL],row(),false)</f>
        <v>#N/A</v>
      </c>
      <c r="AA952" s="372" t="str">
        <f>CS_PID!AA952/VLOOKUP($B952,표2[#ALL],2)/HLOOKUP($A952,표1[#ALL],row(),false)</f>
        <v>#N/A</v>
      </c>
      <c r="AB952" s="372" t="str">
        <f>CS_PID!AB952/VLOOKUP($B952,표2[#ALL],2)/HLOOKUP($A952,표1[#ALL],row(),false)</f>
        <v>#N/A</v>
      </c>
      <c r="AC952" s="372" t="str">
        <f>CS_PID!AC952/VLOOKUP($B952,표2[#ALL],2)/HLOOKUP($A952,표1[#ALL],row(),false)</f>
        <v>#N/A</v>
      </c>
      <c r="AD952" s="372" t="str">
        <f>CS_PID!AD952/VLOOKUP($B952,표2[#ALL],2)/HLOOKUP($A952,표1[#ALL],row(),false)</f>
        <v>#N/A</v>
      </c>
      <c r="AE952" s="372" t="str">
        <f>CS_PID!AE952/VLOOKUP($B952,표2[#ALL],2)/HLOOKUP($A952,표1[#ALL],row(),false)</f>
        <v>#N/A</v>
      </c>
      <c r="AF952" s="372" t="str">
        <f>CS_PID!AF952/VLOOKUP($B952,표2[#ALL],2)/HLOOKUP($A952,표1[#ALL],row(),false)</f>
        <v>#N/A</v>
      </c>
      <c r="AG952" s="372" t="str">
        <f>CS_PID!AG952/VLOOKUP($B952,표2[#ALL],2)/HLOOKUP($A952,표1[#ALL],row(),false)</f>
        <v>#N/A</v>
      </c>
      <c r="AH952" s="372" t="str">
        <f>CS_PID!AH952/VLOOKUP($B952,표2[#ALL],2)/HLOOKUP($A952,표1[#ALL],row(),false)</f>
        <v>#N/A</v>
      </c>
      <c r="AI952" s="372" t="str">
        <f>CS_PID!AI952/VLOOKUP($B952,표2[#ALL],2)/HLOOKUP($A952,표1[#ALL],row(),false)</f>
        <v>#N/A</v>
      </c>
      <c r="AJ952" s="372" t="str">
        <f>CS_PID!AJ952/VLOOKUP($B952,표2[#ALL],2)/HLOOKUP($A952,표1[#ALL],row(),false)</f>
        <v>#N/A</v>
      </c>
      <c r="AK952" s="372" t="str">
        <f>CS_PID!AK952/VLOOKUP($B952,표2[#ALL],2)/HLOOKUP($A952,표1[#ALL],row(),false)</f>
        <v>#N/A</v>
      </c>
      <c r="AL952" s="372" t="str">
        <f>CS_PID!AL952/VLOOKUP($B952,표2[#ALL],2)/HLOOKUP($A952,표1[#ALL],row(),false)</f>
        <v>#N/A</v>
      </c>
      <c r="AM952" s="372" t="str">
        <f>CS_PID!AM952/VLOOKUP($B952,표2[#ALL],2)/HLOOKUP($A952,표1[#ALL],row(),false)</f>
        <v>#N/A</v>
      </c>
      <c r="AN952" s="372" t="str">
        <f>CS_PID!AN952/VLOOKUP($B952,표2[#ALL],2)/HLOOKUP($A952,표1[#ALL],row(),false)</f>
        <v>#N/A</v>
      </c>
      <c r="AO952" s="372" t="str">
        <f>CS_PID!AO952/VLOOKUP($B952,표2[#ALL],2)/HLOOKUP($A952,표1[#ALL],row(),false)</f>
        <v>#N/A</v>
      </c>
      <c r="AP952" s="372" t="str">
        <f>CS_PID!AP952/VLOOKUP($B952,표2[#ALL],2)/HLOOKUP($A952,표1[#ALL],row(),false)</f>
        <v>#N/A</v>
      </c>
      <c r="AQ952" s="372" t="str">
        <f>CS_PID!AQ952/VLOOKUP($B952,표2[#ALL],2)/HLOOKUP($A952,표1[#ALL],row(),false)</f>
        <v>#N/A</v>
      </c>
      <c r="AR952" s="372" t="str">
        <f>CS_PID!AR952/VLOOKUP($B952,표2[#ALL],2)/HLOOKUP($A952,표1[#ALL],row(),false)</f>
        <v>#N/A</v>
      </c>
      <c r="AS952" s="373" t="str">
        <f>CS_PID!AS952/VLOOKUP($B952,표2[#ALL],2)/HLOOKUP($A952,표1[#ALL],row(),false)</f>
        <v>#N/A</v>
      </c>
    </row>
    <row r="953">
      <c r="A953" s="374"/>
      <c r="B953" s="375"/>
      <c r="C953" s="376" t="str">
        <f>CS_PID!C953/VLOOKUP($B953,표2[#ALL],2)</f>
        <v>#N/A</v>
      </c>
      <c r="D953" s="376" t="str">
        <f>CS_PID!D953/VLOOKUP($B953,표2[#ALL],2)</f>
        <v>#N/A</v>
      </c>
      <c r="E953" s="376" t="str">
        <f>CS_PID!E953/VLOOKUP($B953,표2[#ALL],2)</f>
        <v>#N/A</v>
      </c>
      <c r="F953" s="376" t="str">
        <f>CS_PID!F953/VLOOKUP($B953,표2[#ALL],2)</f>
        <v>#N/A</v>
      </c>
      <c r="G953" s="376" t="str">
        <f>CS_PID!G953/VLOOKUP($B953,표2[#ALL],2)</f>
        <v>#N/A</v>
      </c>
      <c r="H953" s="376" t="str">
        <f>CS_PID!H953/VLOOKUP($B953,표2[#ALL],2)/HLOOKUP($A953,표1[#ALL],row(),false)</f>
        <v>#N/A</v>
      </c>
      <c r="I953" s="376" t="str">
        <f>CS_PID!I953/VLOOKUP($B953,표2[#ALL],2)/HLOOKUP($A953,표1[#ALL],row(),false)</f>
        <v>#N/A</v>
      </c>
      <c r="J953" s="376" t="str">
        <f>CS_PID!J953/VLOOKUP($B953,표2[#ALL],2)/HLOOKUP($A953,표1[#ALL],row(),false)</f>
        <v>#N/A</v>
      </c>
      <c r="K953" s="376" t="str">
        <f>CS_PID!K953/VLOOKUP($B953,표2[#ALL],2)/HLOOKUP($A953,표1[#ALL],row(),false)</f>
        <v>#N/A</v>
      </c>
      <c r="L953" s="376" t="str">
        <f>CS_PID!L953/VLOOKUP($B953,표2[#ALL],2)/HLOOKUP($A953,표1[#ALL],row(),false)</f>
        <v>#N/A</v>
      </c>
      <c r="M953" s="376" t="str">
        <f>CS_PID!M953/VLOOKUP($B953,표2[#ALL],2)/HLOOKUP($A953,표1[#ALL],row(),false)</f>
        <v>#N/A</v>
      </c>
      <c r="N953" s="376" t="str">
        <f>CS_PID!N953/VLOOKUP($B953,표2[#ALL],2)/HLOOKUP($A953,표1[#ALL],row(),false)</f>
        <v>#N/A</v>
      </c>
      <c r="O953" s="376" t="str">
        <f>CS_PID!O953/VLOOKUP($B953,표2[#ALL],2)/HLOOKUP($A953,표1[#ALL],row(),false)</f>
        <v>#N/A</v>
      </c>
      <c r="P953" s="376" t="str">
        <f>CS_PID!P953/VLOOKUP($B953,표2[#ALL],2)/HLOOKUP($A953,표1[#ALL],row(),false)</f>
        <v>#N/A</v>
      </c>
      <c r="Q953" s="376" t="str">
        <f>CS_PID!Q953/VLOOKUP($B953,표2[#ALL],2)/HLOOKUP($A953,표1[#ALL],row(),false)</f>
        <v>#N/A</v>
      </c>
      <c r="R953" s="376" t="str">
        <f>CS_PID!R953/VLOOKUP($B953,표2[#ALL],2)/HLOOKUP($A953,표1[#ALL],row(),false)</f>
        <v>#N/A</v>
      </c>
      <c r="S953" s="376" t="str">
        <f>CS_PID!S953/VLOOKUP($B953,표2[#ALL],2)/HLOOKUP($A953,표1[#ALL],row(),false)</f>
        <v>#N/A</v>
      </c>
      <c r="T953" s="376" t="str">
        <f>CS_PID!T953/VLOOKUP($B953,표2[#ALL],2)/HLOOKUP($A953,표1[#ALL],row(),false)</f>
        <v>#N/A</v>
      </c>
      <c r="U953" s="376" t="str">
        <f>CS_PID!U953/VLOOKUP($B953,표2[#ALL],2)/HLOOKUP($A953,표1[#ALL],row(),false)</f>
        <v>#N/A</v>
      </c>
      <c r="V953" s="376" t="str">
        <f>CS_PID!V953/VLOOKUP($B953,표2[#ALL],2)/HLOOKUP($A953,표1[#ALL],row(),false)</f>
        <v>#N/A</v>
      </c>
      <c r="W953" s="376" t="str">
        <f>CS_PID!W953/VLOOKUP($B953,표2[#ALL],2)/HLOOKUP($A953,표1[#ALL],row(),false)</f>
        <v>#N/A</v>
      </c>
      <c r="X953" s="376" t="str">
        <f>CS_PID!X953/VLOOKUP($B953,표2[#ALL],2)/HLOOKUP($A953,표1[#ALL],row(),false)</f>
        <v>#N/A</v>
      </c>
      <c r="Y953" s="376" t="str">
        <f>CS_PID!Y953/VLOOKUP($B953,표2[#ALL],2)/HLOOKUP($A953,표1[#ALL],row(),false)</f>
        <v>#N/A</v>
      </c>
      <c r="Z953" s="376" t="str">
        <f>CS_PID!Z953/VLOOKUP($B953,표2[#ALL],2)/HLOOKUP($A953,표1[#ALL],row(),false)</f>
        <v>#N/A</v>
      </c>
      <c r="AA953" s="376" t="str">
        <f>CS_PID!AA953/VLOOKUP($B953,표2[#ALL],2)/HLOOKUP($A953,표1[#ALL],row(),false)</f>
        <v>#N/A</v>
      </c>
      <c r="AB953" s="376" t="str">
        <f>CS_PID!AB953/VLOOKUP($B953,표2[#ALL],2)/HLOOKUP($A953,표1[#ALL],row(),false)</f>
        <v>#N/A</v>
      </c>
      <c r="AC953" s="376" t="str">
        <f>CS_PID!AC953/VLOOKUP($B953,표2[#ALL],2)/HLOOKUP($A953,표1[#ALL],row(),false)</f>
        <v>#N/A</v>
      </c>
      <c r="AD953" s="376" t="str">
        <f>CS_PID!AD953/VLOOKUP($B953,표2[#ALL],2)/HLOOKUP($A953,표1[#ALL],row(),false)</f>
        <v>#N/A</v>
      </c>
      <c r="AE953" s="376" t="str">
        <f>CS_PID!AE953/VLOOKUP($B953,표2[#ALL],2)/HLOOKUP($A953,표1[#ALL],row(),false)</f>
        <v>#N/A</v>
      </c>
      <c r="AF953" s="376" t="str">
        <f>CS_PID!AF953/VLOOKUP($B953,표2[#ALL],2)/HLOOKUP($A953,표1[#ALL],row(),false)</f>
        <v>#N/A</v>
      </c>
      <c r="AG953" s="376" t="str">
        <f>CS_PID!AG953/VLOOKUP($B953,표2[#ALL],2)/HLOOKUP($A953,표1[#ALL],row(),false)</f>
        <v>#N/A</v>
      </c>
      <c r="AH953" s="376" t="str">
        <f>CS_PID!AH953/VLOOKUP($B953,표2[#ALL],2)/HLOOKUP($A953,표1[#ALL],row(),false)</f>
        <v>#N/A</v>
      </c>
      <c r="AI953" s="376" t="str">
        <f>CS_PID!AI953/VLOOKUP($B953,표2[#ALL],2)/HLOOKUP($A953,표1[#ALL],row(),false)</f>
        <v>#N/A</v>
      </c>
      <c r="AJ953" s="376" t="str">
        <f>CS_PID!AJ953/VLOOKUP($B953,표2[#ALL],2)/HLOOKUP($A953,표1[#ALL],row(),false)</f>
        <v>#N/A</v>
      </c>
      <c r="AK953" s="376" t="str">
        <f>CS_PID!AK953/VLOOKUP($B953,표2[#ALL],2)/HLOOKUP($A953,표1[#ALL],row(),false)</f>
        <v>#N/A</v>
      </c>
      <c r="AL953" s="376" t="str">
        <f>CS_PID!AL953/VLOOKUP($B953,표2[#ALL],2)/HLOOKUP($A953,표1[#ALL],row(),false)</f>
        <v>#N/A</v>
      </c>
      <c r="AM953" s="376" t="str">
        <f>CS_PID!AM953/VLOOKUP($B953,표2[#ALL],2)/HLOOKUP($A953,표1[#ALL],row(),false)</f>
        <v>#N/A</v>
      </c>
      <c r="AN953" s="376" t="str">
        <f>CS_PID!AN953/VLOOKUP($B953,표2[#ALL],2)/HLOOKUP($A953,표1[#ALL],row(),false)</f>
        <v>#N/A</v>
      </c>
      <c r="AO953" s="376" t="str">
        <f>CS_PID!AO953/VLOOKUP($B953,표2[#ALL],2)/HLOOKUP($A953,표1[#ALL],row(),false)</f>
        <v>#N/A</v>
      </c>
      <c r="AP953" s="376" t="str">
        <f>CS_PID!AP953/VLOOKUP($B953,표2[#ALL],2)/HLOOKUP($A953,표1[#ALL],row(),false)</f>
        <v>#N/A</v>
      </c>
      <c r="AQ953" s="376" t="str">
        <f>CS_PID!AQ953/VLOOKUP($B953,표2[#ALL],2)/HLOOKUP($A953,표1[#ALL],row(),false)</f>
        <v>#N/A</v>
      </c>
      <c r="AR953" s="376" t="str">
        <f>CS_PID!AR953/VLOOKUP($B953,표2[#ALL],2)/HLOOKUP($A953,표1[#ALL],row(),false)</f>
        <v>#N/A</v>
      </c>
      <c r="AS953" s="377" t="str">
        <f>CS_PID!AS953/VLOOKUP($B953,표2[#ALL],2)/HLOOKUP($A953,표1[#ALL],row(),false)</f>
        <v>#N/A</v>
      </c>
    </row>
    <row r="954">
      <c r="A954" s="370"/>
      <c r="B954" s="371"/>
      <c r="C954" s="372" t="str">
        <f>CS_PID!C954/VLOOKUP($B954,표2[#ALL],2)</f>
        <v>#N/A</v>
      </c>
      <c r="D954" s="372" t="str">
        <f>CS_PID!D954/VLOOKUP($B954,표2[#ALL],2)</f>
        <v>#N/A</v>
      </c>
      <c r="E954" s="372" t="str">
        <f>CS_PID!E954/VLOOKUP($B954,표2[#ALL],2)</f>
        <v>#N/A</v>
      </c>
      <c r="F954" s="372" t="str">
        <f>CS_PID!F954/VLOOKUP($B954,표2[#ALL],2)</f>
        <v>#N/A</v>
      </c>
      <c r="G954" s="372" t="str">
        <f>CS_PID!G954/VLOOKUP($B954,표2[#ALL],2)</f>
        <v>#N/A</v>
      </c>
      <c r="H954" s="372" t="str">
        <f>CS_PID!H954/VLOOKUP($B954,표2[#ALL],2)/HLOOKUP($A954,표1[#ALL],row(),false)</f>
        <v>#N/A</v>
      </c>
      <c r="I954" s="372" t="str">
        <f>CS_PID!I954/VLOOKUP($B954,표2[#ALL],2)/HLOOKUP($A954,표1[#ALL],row(),false)</f>
        <v>#N/A</v>
      </c>
      <c r="J954" s="372" t="str">
        <f>CS_PID!J954/VLOOKUP($B954,표2[#ALL],2)/HLOOKUP($A954,표1[#ALL],row(),false)</f>
        <v>#N/A</v>
      </c>
      <c r="K954" s="372" t="str">
        <f>CS_PID!K954/VLOOKUP($B954,표2[#ALL],2)/HLOOKUP($A954,표1[#ALL],row(),false)</f>
        <v>#N/A</v>
      </c>
      <c r="L954" s="372" t="str">
        <f>CS_PID!L954/VLOOKUP($B954,표2[#ALL],2)/HLOOKUP($A954,표1[#ALL],row(),false)</f>
        <v>#N/A</v>
      </c>
      <c r="M954" s="372" t="str">
        <f>CS_PID!M954/VLOOKUP($B954,표2[#ALL],2)/HLOOKUP($A954,표1[#ALL],row(),false)</f>
        <v>#N/A</v>
      </c>
      <c r="N954" s="372" t="str">
        <f>CS_PID!N954/VLOOKUP($B954,표2[#ALL],2)/HLOOKUP($A954,표1[#ALL],row(),false)</f>
        <v>#N/A</v>
      </c>
      <c r="O954" s="372" t="str">
        <f>CS_PID!O954/VLOOKUP($B954,표2[#ALL],2)/HLOOKUP($A954,표1[#ALL],row(),false)</f>
        <v>#N/A</v>
      </c>
      <c r="P954" s="372" t="str">
        <f>CS_PID!P954/VLOOKUP($B954,표2[#ALL],2)/HLOOKUP($A954,표1[#ALL],row(),false)</f>
        <v>#N/A</v>
      </c>
      <c r="Q954" s="372" t="str">
        <f>CS_PID!Q954/VLOOKUP($B954,표2[#ALL],2)/HLOOKUP($A954,표1[#ALL],row(),false)</f>
        <v>#N/A</v>
      </c>
      <c r="R954" s="372" t="str">
        <f>CS_PID!R954/VLOOKUP($B954,표2[#ALL],2)/HLOOKUP($A954,표1[#ALL],row(),false)</f>
        <v>#N/A</v>
      </c>
      <c r="S954" s="372" t="str">
        <f>CS_PID!S954/VLOOKUP($B954,표2[#ALL],2)/HLOOKUP($A954,표1[#ALL],row(),false)</f>
        <v>#N/A</v>
      </c>
      <c r="T954" s="372" t="str">
        <f>CS_PID!T954/VLOOKUP($B954,표2[#ALL],2)/HLOOKUP($A954,표1[#ALL],row(),false)</f>
        <v>#N/A</v>
      </c>
      <c r="U954" s="372" t="str">
        <f>CS_PID!U954/VLOOKUP($B954,표2[#ALL],2)/HLOOKUP($A954,표1[#ALL],row(),false)</f>
        <v>#N/A</v>
      </c>
      <c r="V954" s="372" t="str">
        <f>CS_PID!V954/VLOOKUP($B954,표2[#ALL],2)/HLOOKUP($A954,표1[#ALL],row(),false)</f>
        <v>#N/A</v>
      </c>
      <c r="W954" s="372" t="str">
        <f>CS_PID!W954/VLOOKUP($B954,표2[#ALL],2)/HLOOKUP($A954,표1[#ALL],row(),false)</f>
        <v>#N/A</v>
      </c>
      <c r="X954" s="372" t="str">
        <f>CS_PID!X954/VLOOKUP($B954,표2[#ALL],2)/HLOOKUP($A954,표1[#ALL],row(),false)</f>
        <v>#N/A</v>
      </c>
      <c r="Y954" s="372" t="str">
        <f>CS_PID!Y954/VLOOKUP($B954,표2[#ALL],2)/HLOOKUP($A954,표1[#ALL],row(),false)</f>
        <v>#N/A</v>
      </c>
      <c r="Z954" s="372" t="str">
        <f>CS_PID!Z954/VLOOKUP($B954,표2[#ALL],2)/HLOOKUP($A954,표1[#ALL],row(),false)</f>
        <v>#N/A</v>
      </c>
      <c r="AA954" s="372" t="str">
        <f>CS_PID!AA954/VLOOKUP($B954,표2[#ALL],2)/HLOOKUP($A954,표1[#ALL],row(),false)</f>
        <v>#N/A</v>
      </c>
      <c r="AB954" s="372" t="str">
        <f>CS_PID!AB954/VLOOKUP($B954,표2[#ALL],2)/HLOOKUP($A954,표1[#ALL],row(),false)</f>
        <v>#N/A</v>
      </c>
      <c r="AC954" s="372" t="str">
        <f>CS_PID!AC954/VLOOKUP($B954,표2[#ALL],2)/HLOOKUP($A954,표1[#ALL],row(),false)</f>
        <v>#N/A</v>
      </c>
      <c r="AD954" s="372" t="str">
        <f>CS_PID!AD954/VLOOKUP($B954,표2[#ALL],2)/HLOOKUP($A954,표1[#ALL],row(),false)</f>
        <v>#N/A</v>
      </c>
      <c r="AE954" s="372" t="str">
        <f>CS_PID!AE954/VLOOKUP($B954,표2[#ALL],2)/HLOOKUP($A954,표1[#ALL],row(),false)</f>
        <v>#N/A</v>
      </c>
      <c r="AF954" s="372" t="str">
        <f>CS_PID!AF954/VLOOKUP($B954,표2[#ALL],2)/HLOOKUP($A954,표1[#ALL],row(),false)</f>
        <v>#N/A</v>
      </c>
      <c r="AG954" s="372" t="str">
        <f>CS_PID!AG954/VLOOKUP($B954,표2[#ALL],2)/HLOOKUP($A954,표1[#ALL],row(),false)</f>
        <v>#N/A</v>
      </c>
      <c r="AH954" s="372" t="str">
        <f>CS_PID!AH954/VLOOKUP($B954,표2[#ALL],2)/HLOOKUP($A954,표1[#ALL],row(),false)</f>
        <v>#N/A</v>
      </c>
      <c r="AI954" s="372" t="str">
        <f>CS_PID!AI954/VLOOKUP($B954,표2[#ALL],2)/HLOOKUP($A954,표1[#ALL],row(),false)</f>
        <v>#N/A</v>
      </c>
      <c r="AJ954" s="372" t="str">
        <f>CS_PID!AJ954/VLOOKUP($B954,표2[#ALL],2)/HLOOKUP($A954,표1[#ALL],row(),false)</f>
        <v>#N/A</v>
      </c>
      <c r="AK954" s="372" t="str">
        <f>CS_PID!AK954/VLOOKUP($B954,표2[#ALL],2)/HLOOKUP($A954,표1[#ALL],row(),false)</f>
        <v>#N/A</v>
      </c>
      <c r="AL954" s="372" t="str">
        <f>CS_PID!AL954/VLOOKUP($B954,표2[#ALL],2)/HLOOKUP($A954,표1[#ALL],row(),false)</f>
        <v>#N/A</v>
      </c>
      <c r="AM954" s="372" t="str">
        <f>CS_PID!AM954/VLOOKUP($B954,표2[#ALL],2)/HLOOKUP($A954,표1[#ALL],row(),false)</f>
        <v>#N/A</v>
      </c>
      <c r="AN954" s="372" t="str">
        <f>CS_PID!AN954/VLOOKUP($B954,표2[#ALL],2)/HLOOKUP($A954,표1[#ALL],row(),false)</f>
        <v>#N/A</v>
      </c>
      <c r="AO954" s="372" t="str">
        <f>CS_PID!AO954/VLOOKUP($B954,표2[#ALL],2)/HLOOKUP($A954,표1[#ALL],row(),false)</f>
        <v>#N/A</v>
      </c>
      <c r="AP954" s="372" t="str">
        <f>CS_PID!AP954/VLOOKUP($B954,표2[#ALL],2)/HLOOKUP($A954,표1[#ALL],row(),false)</f>
        <v>#N/A</v>
      </c>
      <c r="AQ954" s="372" t="str">
        <f>CS_PID!AQ954/VLOOKUP($B954,표2[#ALL],2)/HLOOKUP($A954,표1[#ALL],row(),false)</f>
        <v>#N/A</v>
      </c>
      <c r="AR954" s="372" t="str">
        <f>CS_PID!AR954/VLOOKUP($B954,표2[#ALL],2)/HLOOKUP($A954,표1[#ALL],row(),false)</f>
        <v>#N/A</v>
      </c>
      <c r="AS954" s="373" t="str">
        <f>CS_PID!AS954/VLOOKUP($B954,표2[#ALL],2)/HLOOKUP($A954,표1[#ALL],row(),false)</f>
        <v>#N/A</v>
      </c>
    </row>
    <row r="955">
      <c r="A955" s="374"/>
      <c r="B955" s="375"/>
      <c r="C955" s="376" t="str">
        <f>CS_PID!C955/VLOOKUP($B955,표2[#ALL],2)</f>
        <v>#N/A</v>
      </c>
      <c r="D955" s="376" t="str">
        <f>CS_PID!D955/VLOOKUP($B955,표2[#ALL],2)</f>
        <v>#N/A</v>
      </c>
      <c r="E955" s="376" t="str">
        <f>CS_PID!E955/VLOOKUP($B955,표2[#ALL],2)</f>
        <v>#N/A</v>
      </c>
      <c r="F955" s="376" t="str">
        <f>CS_PID!F955/VLOOKUP($B955,표2[#ALL],2)</f>
        <v>#N/A</v>
      </c>
      <c r="G955" s="376" t="str">
        <f>CS_PID!G955/VLOOKUP($B955,표2[#ALL],2)</f>
        <v>#N/A</v>
      </c>
      <c r="H955" s="376" t="str">
        <f>CS_PID!H955/VLOOKUP($B955,표2[#ALL],2)/HLOOKUP($A955,표1[#ALL],row(),false)</f>
        <v>#N/A</v>
      </c>
      <c r="I955" s="376" t="str">
        <f>CS_PID!I955/VLOOKUP($B955,표2[#ALL],2)/HLOOKUP($A955,표1[#ALL],row(),false)</f>
        <v>#N/A</v>
      </c>
      <c r="J955" s="376" t="str">
        <f>CS_PID!J955/VLOOKUP($B955,표2[#ALL],2)/HLOOKUP($A955,표1[#ALL],row(),false)</f>
        <v>#N/A</v>
      </c>
      <c r="K955" s="376" t="str">
        <f>CS_PID!K955/VLOOKUP($B955,표2[#ALL],2)/HLOOKUP($A955,표1[#ALL],row(),false)</f>
        <v>#N/A</v>
      </c>
      <c r="L955" s="376" t="str">
        <f>CS_PID!L955/VLOOKUP($B955,표2[#ALL],2)/HLOOKUP($A955,표1[#ALL],row(),false)</f>
        <v>#N/A</v>
      </c>
      <c r="M955" s="376" t="str">
        <f>CS_PID!M955/VLOOKUP($B955,표2[#ALL],2)/HLOOKUP($A955,표1[#ALL],row(),false)</f>
        <v>#N/A</v>
      </c>
      <c r="N955" s="376" t="str">
        <f>CS_PID!N955/VLOOKUP($B955,표2[#ALL],2)/HLOOKUP($A955,표1[#ALL],row(),false)</f>
        <v>#N/A</v>
      </c>
      <c r="O955" s="376" t="str">
        <f>CS_PID!O955/VLOOKUP($B955,표2[#ALL],2)/HLOOKUP($A955,표1[#ALL],row(),false)</f>
        <v>#N/A</v>
      </c>
      <c r="P955" s="376" t="str">
        <f>CS_PID!P955/VLOOKUP($B955,표2[#ALL],2)/HLOOKUP($A955,표1[#ALL],row(),false)</f>
        <v>#N/A</v>
      </c>
      <c r="Q955" s="376" t="str">
        <f>CS_PID!Q955/VLOOKUP($B955,표2[#ALL],2)/HLOOKUP($A955,표1[#ALL],row(),false)</f>
        <v>#N/A</v>
      </c>
      <c r="R955" s="376" t="str">
        <f>CS_PID!R955/VLOOKUP($B955,표2[#ALL],2)/HLOOKUP($A955,표1[#ALL],row(),false)</f>
        <v>#N/A</v>
      </c>
      <c r="S955" s="376" t="str">
        <f>CS_PID!S955/VLOOKUP($B955,표2[#ALL],2)/HLOOKUP($A955,표1[#ALL],row(),false)</f>
        <v>#N/A</v>
      </c>
      <c r="T955" s="376" t="str">
        <f>CS_PID!T955/VLOOKUP($B955,표2[#ALL],2)/HLOOKUP($A955,표1[#ALL],row(),false)</f>
        <v>#N/A</v>
      </c>
      <c r="U955" s="376" t="str">
        <f>CS_PID!U955/VLOOKUP($B955,표2[#ALL],2)/HLOOKUP($A955,표1[#ALL],row(),false)</f>
        <v>#N/A</v>
      </c>
      <c r="V955" s="376" t="str">
        <f>CS_PID!V955/VLOOKUP($B955,표2[#ALL],2)/HLOOKUP($A955,표1[#ALL],row(),false)</f>
        <v>#N/A</v>
      </c>
      <c r="W955" s="376" t="str">
        <f>CS_PID!W955/VLOOKUP($B955,표2[#ALL],2)/HLOOKUP($A955,표1[#ALL],row(),false)</f>
        <v>#N/A</v>
      </c>
      <c r="X955" s="376" t="str">
        <f>CS_PID!X955/VLOOKUP($B955,표2[#ALL],2)/HLOOKUP($A955,표1[#ALL],row(),false)</f>
        <v>#N/A</v>
      </c>
      <c r="Y955" s="376" t="str">
        <f>CS_PID!Y955/VLOOKUP($B955,표2[#ALL],2)/HLOOKUP($A955,표1[#ALL],row(),false)</f>
        <v>#N/A</v>
      </c>
      <c r="Z955" s="376" t="str">
        <f>CS_PID!Z955/VLOOKUP($B955,표2[#ALL],2)/HLOOKUP($A955,표1[#ALL],row(),false)</f>
        <v>#N/A</v>
      </c>
      <c r="AA955" s="376" t="str">
        <f>CS_PID!AA955/VLOOKUP($B955,표2[#ALL],2)/HLOOKUP($A955,표1[#ALL],row(),false)</f>
        <v>#N/A</v>
      </c>
      <c r="AB955" s="376" t="str">
        <f>CS_PID!AB955/VLOOKUP($B955,표2[#ALL],2)/HLOOKUP($A955,표1[#ALL],row(),false)</f>
        <v>#N/A</v>
      </c>
      <c r="AC955" s="376" t="str">
        <f>CS_PID!AC955/VLOOKUP($B955,표2[#ALL],2)/HLOOKUP($A955,표1[#ALL],row(),false)</f>
        <v>#N/A</v>
      </c>
      <c r="AD955" s="376" t="str">
        <f>CS_PID!AD955/VLOOKUP($B955,표2[#ALL],2)/HLOOKUP($A955,표1[#ALL],row(),false)</f>
        <v>#N/A</v>
      </c>
      <c r="AE955" s="376" t="str">
        <f>CS_PID!AE955/VLOOKUP($B955,표2[#ALL],2)/HLOOKUP($A955,표1[#ALL],row(),false)</f>
        <v>#N/A</v>
      </c>
      <c r="AF955" s="376" t="str">
        <f>CS_PID!AF955/VLOOKUP($B955,표2[#ALL],2)/HLOOKUP($A955,표1[#ALL],row(),false)</f>
        <v>#N/A</v>
      </c>
      <c r="AG955" s="376" t="str">
        <f>CS_PID!AG955/VLOOKUP($B955,표2[#ALL],2)/HLOOKUP($A955,표1[#ALL],row(),false)</f>
        <v>#N/A</v>
      </c>
      <c r="AH955" s="376" t="str">
        <f>CS_PID!AH955/VLOOKUP($B955,표2[#ALL],2)/HLOOKUP($A955,표1[#ALL],row(),false)</f>
        <v>#N/A</v>
      </c>
      <c r="AI955" s="376" t="str">
        <f>CS_PID!AI955/VLOOKUP($B955,표2[#ALL],2)/HLOOKUP($A955,표1[#ALL],row(),false)</f>
        <v>#N/A</v>
      </c>
      <c r="AJ955" s="376" t="str">
        <f>CS_PID!AJ955/VLOOKUP($B955,표2[#ALL],2)/HLOOKUP($A955,표1[#ALL],row(),false)</f>
        <v>#N/A</v>
      </c>
      <c r="AK955" s="376" t="str">
        <f>CS_PID!AK955/VLOOKUP($B955,표2[#ALL],2)/HLOOKUP($A955,표1[#ALL],row(),false)</f>
        <v>#N/A</v>
      </c>
      <c r="AL955" s="376" t="str">
        <f>CS_PID!AL955/VLOOKUP($B955,표2[#ALL],2)/HLOOKUP($A955,표1[#ALL],row(),false)</f>
        <v>#N/A</v>
      </c>
      <c r="AM955" s="376" t="str">
        <f>CS_PID!AM955/VLOOKUP($B955,표2[#ALL],2)/HLOOKUP($A955,표1[#ALL],row(),false)</f>
        <v>#N/A</v>
      </c>
      <c r="AN955" s="376" t="str">
        <f>CS_PID!AN955/VLOOKUP($B955,표2[#ALL],2)/HLOOKUP($A955,표1[#ALL],row(),false)</f>
        <v>#N/A</v>
      </c>
      <c r="AO955" s="376" t="str">
        <f>CS_PID!AO955/VLOOKUP($B955,표2[#ALL],2)/HLOOKUP($A955,표1[#ALL],row(),false)</f>
        <v>#N/A</v>
      </c>
      <c r="AP955" s="376" t="str">
        <f>CS_PID!AP955/VLOOKUP($B955,표2[#ALL],2)/HLOOKUP($A955,표1[#ALL],row(),false)</f>
        <v>#N/A</v>
      </c>
      <c r="AQ955" s="376" t="str">
        <f>CS_PID!AQ955/VLOOKUP($B955,표2[#ALL],2)/HLOOKUP($A955,표1[#ALL],row(),false)</f>
        <v>#N/A</v>
      </c>
      <c r="AR955" s="376" t="str">
        <f>CS_PID!AR955/VLOOKUP($B955,표2[#ALL],2)/HLOOKUP($A955,표1[#ALL],row(),false)</f>
        <v>#N/A</v>
      </c>
      <c r="AS955" s="377" t="str">
        <f>CS_PID!AS955/VLOOKUP($B955,표2[#ALL],2)/HLOOKUP($A955,표1[#ALL],row(),false)</f>
        <v>#N/A</v>
      </c>
    </row>
    <row r="956">
      <c r="A956" s="370"/>
      <c r="B956" s="371"/>
      <c r="C956" s="372" t="str">
        <f>CS_PID!C956/VLOOKUP($B956,표2[#ALL],2)</f>
        <v>#N/A</v>
      </c>
      <c r="D956" s="372" t="str">
        <f>CS_PID!D956/VLOOKUP($B956,표2[#ALL],2)</f>
        <v>#N/A</v>
      </c>
      <c r="E956" s="372" t="str">
        <f>CS_PID!E956/VLOOKUP($B956,표2[#ALL],2)</f>
        <v>#N/A</v>
      </c>
      <c r="F956" s="372" t="str">
        <f>CS_PID!F956/VLOOKUP($B956,표2[#ALL],2)</f>
        <v>#N/A</v>
      </c>
      <c r="G956" s="372" t="str">
        <f>CS_PID!G956/VLOOKUP($B956,표2[#ALL],2)</f>
        <v>#N/A</v>
      </c>
      <c r="H956" s="372" t="str">
        <f>CS_PID!H956/VLOOKUP($B956,표2[#ALL],2)/HLOOKUP($A956,표1[#ALL],row(),false)</f>
        <v>#N/A</v>
      </c>
      <c r="I956" s="372" t="str">
        <f>CS_PID!I956/VLOOKUP($B956,표2[#ALL],2)/HLOOKUP($A956,표1[#ALL],row(),false)</f>
        <v>#N/A</v>
      </c>
      <c r="J956" s="372" t="str">
        <f>CS_PID!J956/VLOOKUP($B956,표2[#ALL],2)/HLOOKUP($A956,표1[#ALL],row(),false)</f>
        <v>#N/A</v>
      </c>
      <c r="K956" s="372" t="str">
        <f>CS_PID!K956/VLOOKUP($B956,표2[#ALL],2)/HLOOKUP($A956,표1[#ALL],row(),false)</f>
        <v>#N/A</v>
      </c>
      <c r="L956" s="372" t="str">
        <f>CS_PID!L956/VLOOKUP($B956,표2[#ALL],2)/HLOOKUP($A956,표1[#ALL],row(),false)</f>
        <v>#N/A</v>
      </c>
      <c r="M956" s="372" t="str">
        <f>CS_PID!M956/VLOOKUP($B956,표2[#ALL],2)/HLOOKUP($A956,표1[#ALL],row(),false)</f>
        <v>#N/A</v>
      </c>
      <c r="N956" s="372" t="str">
        <f>CS_PID!N956/VLOOKUP($B956,표2[#ALL],2)/HLOOKUP($A956,표1[#ALL],row(),false)</f>
        <v>#N/A</v>
      </c>
      <c r="O956" s="372" t="str">
        <f>CS_PID!O956/VLOOKUP($B956,표2[#ALL],2)/HLOOKUP($A956,표1[#ALL],row(),false)</f>
        <v>#N/A</v>
      </c>
      <c r="P956" s="372" t="str">
        <f>CS_PID!P956/VLOOKUP($B956,표2[#ALL],2)/HLOOKUP($A956,표1[#ALL],row(),false)</f>
        <v>#N/A</v>
      </c>
      <c r="Q956" s="372" t="str">
        <f>CS_PID!Q956/VLOOKUP($B956,표2[#ALL],2)/HLOOKUP($A956,표1[#ALL],row(),false)</f>
        <v>#N/A</v>
      </c>
      <c r="R956" s="372" t="str">
        <f>CS_PID!R956/VLOOKUP($B956,표2[#ALL],2)/HLOOKUP($A956,표1[#ALL],row(),false)</f>
        <v>#N/A</v>
      </c>
      <c r="S956" s="372" t="str">
        <f>CS_PID!S956/VLOOKUP($B956,표2[#ALL],2)/HLOOKUP($A956,표1[#ALL],row(),false)</f>
        <v>#N/A</v>
      </c>
      <c r="T956" s="372" t="str">
        <f>CS_PID!T956/VLOOKUP($B956,표2[#ALL],2)/HLOOKUP($A956,표1[#ALL],row(),false)</f>
        <v>#N/A</v>
      </c>
      <c r="U956" s="372" t="str">
        <f>CS_PID!U956/VLOOKUP($B956,표2[#ALL],2)/HLOOKUP($A956,표1[#ALL],row(),false)</f>
        <v>#N/A</v>
      </c>
      <c r="V956" s="372" t="str">
        <f>CS_PID!V956/VLOOKUP($B956,표2[#ALL],2)/HLOOKUP($A956,표1[#ALL],row(),false)</f>
        <v>#N/A</v>
      </c>
      <c r="W956" s="372" t="str">
        <f>CS_PID!W956/VLOOKUP($B956,표2[#ALL],2)/HLOOKUP($A956,표1[#ALL],row(),false)</f>
        <v>#N/A</v>
      </c>
      <c r="X956" s="372" t="str">
        <f>CS_PID!X956/VLOOKUP($B956,표2[#ALL],2)/HLOOKUP($A956,표1[#ALL],row(),false)</f>
        <v>#N/A</v>
      </c>
      <c r="Y956" s="372" t="str">
        <f>CS_PID!Y956/VLOOKUP($B956,표2[#ALL],2)/HLOOKUP($A956,표1[#ALL],row(),false)</f>
        <v>#N/A</v>
      </c>
      <c r="Z956" s="372" t="str">
        <f>CS_PID!Z956/VLOOKUP($B956,표2[#ALL],2)/HLOOKUP($A956,표1[#ALL],row(),false)</f>
        <v>#N/A</v>
      </c>
      <c r="AA956" s="372" t="str">
        <f>CS_PID!AA956/VLOOKUP($B956,표2[#ALL],2)/HLOOKUP($A956,표1[#ALL],row(),false)</f>
        <v>#N/A</v>
      </c>
      <c r="AB956" s="372" t="str">
        <f>CS_PID!AB956/VLOOKUP($B956,표2[#ALL],2)/HLOOKUP($A956,표1[#ALL],row(),false)</f>
        <v>#N/A</v>
      </c>
      <c r="AC956" s="372" t="str">
        <f>CS_PID!AC956/VLOOKUP($B956,표2[#ALL],2)/HLOOKUP($A956,표1[#ALL],row(),false)</f>
        <v>#N/A</v>
      </c>
      <c r="AD956" s="372" t="str">
        <f>CS_PID!AD956/VLOOKUP($B956,표2[#ALL],2)/HLOOKUP($A956,표1[#ALL],row(),false)</f>
        <v>#N/A</v>
      </c>
      <c r="AE956" s="372" t="str">
        <f>CS_PID!AE956/VLOOKUP($B956,표2[#ALL],2)/HLOOKUP($A956,표1[#ALL],row(),false)</f>
        <v>#N/A</v>
      </c>
      <c r="AF956" s="372" t="str">
        <f>CS_PID!AF956/VLOOKUP($B956,표2[#ALL],2)/HLOOKUP($A956,표1[#ALL],row(),false)</f>
        <v>#N/A</v>
      </c>
      <c r="AG956" s="372" t="str">
        <f>CS_PID!AG956/VLOOKUP($B956,표2[#ALL],2)/HLOOKUP($A956,표1[#ALL],row(),false)</f>
        <v>#N/A</v>
      </c>
      <c r="AH956" s="372" t="str">
        <f>CS_PID!AH956/VLOOKUP($B956,표2[#ALL],2)/HLOOKUP($A956,표1[#ALL],row(),false)</f>
        <v>#N/A</v>
      </c>
      <c r="AI956" s="372" t="str">
        <f>CS_PID!AI956/VLOOKUP($B956,표2[#ALL],2)/HLOOKUP($A956,표1[#ALL],row(),false)</f>
        <v>#N/A</v>
      </c>
      <c r="AJ956" s="372" t="str">
        <f>CS_PID!AJ956/VLOOKUP($B956,표2[#ALL],2)/HLOOKUP($A956,표1[#ALL],row(),false)</f>
        <v>#N/A</v>
      </c>
      <c r="AK956" s="372" t="str">
        <f>CS_PID!AK956/VLOOKUP($B956,표2[#ALL],2)/HLOOKUP($A956,표1[#ALL],row(),false)</f>
        <v>#N/A</v>
      </c>
      <c r="AL956" s="372" t="str">
        <f>CS_PID!AL956/VLOOKUP($B956,표2[#ALL],2)/HLOOKUP($A956,표1[#ALL],row(),false)</f>
        <v>#N/A</v>
      </c>
      <c r="AM956" s="372" t="str">
        <f>CS_PID!AM956/VLOOKUP($B956,표2[#ALL],2)/HLOOKUP($A956,표1[#ALL],row(),false)</f>
        <v>#N/A</v>
      </c>
      <c r="AN956" s="372" t="str">
        <f>CS_PID!AN956/VLOOKUP($B956,표2[#ALL],2)/HLOOKUP($A956,표1[#ALL],row(),false)</f>
        <v>#N/A</v>
      </c>
      <c r="AO956" s="372" t="str">
        <f>CS_PID!AO956/VLOOKUP($B956,표2[#ALL],2)/HLOOKUP($A956,표1[#ALL],row(),false)</f>
        <v>#N/A</v>
      </c>
      <c r="AP956" s="372" t="str">
        <f>CS_PID!AP956/VLOOKUP($B956,표2[#ALL],2)/HLOOKUP($A956,표1[#ALL],row(),false)</f>
        <v>#N/A</v>
      </c>
      <c r="AQ956" s="372" t="str">
        <f>CS_PID!AQ956/VLOOKUP($B956,표2[#ALL],2)/HLOOKUP($A956,표1[#ALL],row(),false)</f>
        <v>#N/A</v>
      </c>
      <c r="AR956" s="372" t="str">
        <f>CS_PID!AR956/VLOOKUP($B956,표2[#ALL],2)/HLOOKUP($A956,표1[#ALL],row(),false)</f>
        <v>#N/A</v>
      </c>
      <c r="AS956" s="373" t="str">
        <f>CS_PID!AS956/VLOOKUP($B956,표2[#ALL],2)/HLOOKUP($A956,표1[#ALL],row(),false)</f>
        <v>#N/A</v>
      </c>
    </row>
    <row r="957">
      <c r="A957" s="374"/>
      <c r="B957" s="375"/>
      <c r="C957" s="376" t="str">
        <f>CS_PID!C957/VLOOKUP($B957,표2[#ALL],2)</f>
        <v>#N/A</v>
      </c>
      <c r="D957" s="376" t="str">
        <f>CS_PID!D957/VLOOKUP($B957,표2[#ALL],2)</f>
        <v>#N/A</v>
      </c>
      <c r="E957" s="376" t="str">
        <f>CS_PID!E957/VLOOKUP($B957,표2[#ALL],2)</f>
        <v>#N/A</v>
      </c>
      <c r="F957" s="376" t="str">
        <f>CS_PID!F957/VLOOKUP($B957,표2[#ALL],2)</f>
        <v>#N/A</v>
      </c>
      <c r="G957" s="376" t="str">
        <f>CS_PID!G957/VLOOKUP($B957,표2[#ALL],2)</f>
        <v>#N/A</v>
      </c>
      <c r="H957" s="376" t="str">
        <f>CS_PID!H957/VLOOKUP($B957,표2[#ALL],2)/HLOOKUP($A957,표1[#ALL],row(),false)</f>
        <v>#N/A</v>
      </c>
      <c r="I957" s="376" t="str">
        <f>CS_PID!I957/VLOOKUP($B957,표2[#ALL],2)/HLOOKUP($A957,표1[#ALL],row(),false)</f>
        <v>#N/A</v>
      </c>
      <c r="J957" s="376" t="str">
        <f>CS_PID!J957/VLOOKUP($B957,표2[#ALL],2)/HLOOKUP($A957,표1[#ALL],row(),false)</f>
        <v>#N/A</v>
      </c>
      <c r="K957" s="376" t="str">
        <f>CS_PID!K957/VLOOKUP($B957,표2[#ALL],2)/HLOOKUP($A957,표1[#ALL],row(),false)</f>
        <v>#N/A</v>
      </c>
      <c r="L957" s="376" t="str">
        <f>CS_PID!L957/VLOOKUP($B957,표2[#ALL],2)/HLOOKUP($A957,표1[#ALL],row(),false)</f>
        <v>#N/A</v>
      </c>
      <c r="M957" s="376" t="str">
        <f>CS_PID!M957/VLOOKUP($B957,표2[#ALL],2)/HLOOKUP($A957,표1[#ALL],row(),false)</f>
        <v>#N/A</v>
      </c>
      <c r="N957" s="376" t="str">
        <f>CS_PID!N957/VLOOKUP($B957,표2[#ALL],2)/HLOOKUP($A957,표1[#ALL],row(),false)</f>
        <v>#N/A</v>
      </c>
      <c r="O957" s="376" t="str">
        <f>CS_PID!O957/VLOOKUP($B957,표2[#ALL],2)/HLOOKUP($A957,표1[#ALL],row(),false)</f>
        <v>#N/A</v>
      </c>
      <c r="P957" s="376" t="str">
        <f>CS_PID!P957/VLOOKUP($B957,표2[#ALL],2)/HLOOKUP($A957,표1[#ALL],row(),false)</f>
        <v>#N/A</v>
      </c>
      <c r="Q957" s="376" t="str">
        <f>CS_PID!Q957/VLOOKUP($B957,표2[#ALL],2)/HLOOKUP($A957,표1[#ALL],row(),false)</f>
        <v>#N/A</v>
      </c>
      <c r="R957" s="376" t="str">
        <f>CS_PID!R957/VLOOKUP($B957,표2[#ALL],2)/HLOOKUP($A957,표1[#ALL],row(),false)</f>
        <v>#N/A</v>
      </c>
      <c r="S957" s="376" t="str">
        <f>CS_PID!S957/VLOOKUP($B957,표2[#ALL],2)/HLOOKUP($A957,표1[#ALL],row(),false)</f>
        <v>#N/A</v>
      </c>
      <c r="T957" s="376" t="str">
        <f>CS_PID!T957/VLOOKUP($B957,표2[#ALL],2)/HLOOKUP($A957,표1[#ALL],row(),false)</f>
        <v>#N/A</v>
      </c>
      <c r="U957" s="376" t="str">
        <f>CS_PID!U957/VLOOKUP($B957,표2[#ALL],2)/HLOOKUP($A957,표1[#ALL],row(),false)</f>
        <v>#N/A</v>
      </c>
      <c r="V957" s="376" t="str">
        <f>CS_PID!V957/VLOOKUP($B957,표2[#ALL],2)/HLOOKUP($A957,표1[#ALL],row(),false)</f>
        <v>#N/A</v>
      </c>
      <c r="W957" s="376" t="str">
        <f>CS_PID!W957/VLOOKUP($B957,표2[#ALL],2)/HLOOKUP($A957,표1[#ALL],row(),false)</f>
        <v>#N/A</v>
      </c>
      <c r="X957" s="376" t="str">
        <f>CS_PID!X957/VLOOKUP($B957,표2[#ALL],2)/HLOOKUP($A957,표1[#ALL],row(),false)</f>
        <v>#N/A</v>
      </c>
      <c r="Y957" s="376" t="str">
        <f>CS_PID!Y957/VLOOKUP($B957,표2[#ALL],2)/HLOOKUP($A957,표1[#ALL],row(),false)</f>
        <v>#N/A</v>
      </c>
      <c r="Z957" s="376" t="str">
        <f>CS_PID!Z957/VLOOKUP($B957,표2[#ALL],2)/HLOOKUP($A957,표1[#ALL],row(),false)</f>
        <v>#N/A</v>
      </c>
      <c r="AA957" s="376" t="str">
        <f>CS_PID!AA957/VLOOKUP($B957,표2[#ALL],2)/HLOOKUP($A957,표1[#ALL],row(),false)</f>
        <v>#N/A</v>
      </c>
      <c r="AB957" s="376" t="str">
        <f>CS_PID!AB957/VLOOKUP($B957,표2[#ALL],2)/HLOOKUP($A957,표1[#ALL],row(),false)</f>
        <v>#N/A</v>
      </c>
      <c r="AC957" s="376" t="str">
        <f>CS_PID!AC957/VLOOKUP($B957,표2[#ALL],2)/HLOOKUP($A957,표1[#ALL],row(),false)</f>
        <v>#N/A</v>
      </c>
      <c r="AD957" s="376" t="str">
        <f>CS_PID!AD957/VLOOKUP($B957,표2[#ALL],2)/HLOOKUP($A957,표1[#ALL],row(),false)</f>
        <v>#N/A</v>
      </c>
      <c r="AE957" s="376" t="str">
        <f>CS_PID!AE957/VLOOKUP($B957,표2[#ALL],2)/HLOOKUP($A957,표1[#ALL],row(),false)</f>
        <v>#N/A</v>
      </c>
      <c r="AF957" s="376" t="str">
        <f>CS_PID!AF957/VLOOKUP($B957,표2[#ALL],2)/HLOOKUP($A957,표1[#ALL],row(),false)</f>
        <v>#N/A</v>
      </c>
      <c r="AG957" s="376" t="str">
        <f>CS_PID!AG957/VLOOKUP($B957,표2[#ALL],2)/HLOOKUP($A957,표1[#ALL],row(),false)</f>
        <v>#N/A</v>
      </c>
      <c r="AH957" s="376" t="str">
        <f>CS_PID!AH957/VLOOKUP($B957,표2[#ALL],2)/HLOOKUP($A957,표1[#ALL],row(),false)</f>
        <v>#N/A</v>
      </c>
      <c r="AI957" s="376" t="str">
        <f>CS_PID!AI957/VLOOKUP($B957,표2[#ALL],2)/HLOOKUP($A957,표1[#ALL],row(),false)</f>
        <v>#N/A</v>
      </c>
      <c r="AJ957" s="376" t="str">
        <f>CS_PID!AJ957/VLOOKUP($B957,표2[#ALL],2)/HLOOKUP($A957,표1[#ALL],row(),false)</f>
        <v>#N/A</v>
      </c>
      <c r="AK957" s="376" t="str">
        <f>CS_PID!AK957/VLOOKUP($B957,표2[#ALL],2)/HLOOKUP($A957,표1[#ALL],row(),false)</f>
        <v>#N/A</v>
      </c>
      <c r="AL957" s="376" t="str">
        <f>CS_PID!AL957/VLOOKUP($B957,표2[#ALL],2)/HLOOKUP($A957,표1[#ALL],row(),false)</f>
        <v>#N/A</v>
      </c>
      <c r="AM957" s="376" t="str">
        <f>CS_PID!AM957/VLOOKUP($B957,표2[#ALL],2)/HLOOKUP($A957,표1[#ALL],row(),false)</f>
        <v>#N/A</v>
      </c>
      <c r="AN957" s="376" t="str">
        <f>CS_PID!AN957/VLOOKUP($B957,표2[#ALL],2)/HLOOKUP($A957,표1[#ALL],row(),false)</f>
        <v>#N/A</v>
      </c>
      <c r="AO957" s="376" t="str">
        <f>CS_PID!AO957/VLOOKUP($B957,표2[#ALL],2)/HLOOKUP($A957,표1[#ALL],row(),false)</f>
        <v>#N/A</v>
      </c>
      <c r="AP957" s="376" t="str">
        <f>CS_PID!AP957/VLOOKUP($B957,표2[#ALL],2)/HLOOKUP($A957,표1[#ALL],row(),false)</f>
        <v>#N/A</v>
      </c>
      <c r="AQ957" s="376" t="str">
        <f>CS_PID!AQ957/VLOOKUP($B957,표2[#ALL],2)/HLOOKUP($A957,표1[#ALL],row(),false)</f>
        <v>#N/A</v>
      </c>
      <c r="AR957" s="376" t="str">
        <f>CS_PID!AR957/VLOOKUP($B957,표2[#ALL],2)/HLOOKUP($A957,표1[#ALL],row(),false)</f>
        <v>#N/A</v>
      </c>
      <c r="AS957" s="377" t="str">
        <f>CS_PID!AS957/VLOOKUP($B957,표2[#ALL],2)/HLOOKUP($A957,표1[#ALL],row(),false)</f>
        <v>#N/A</v>
      </c>
    </row>
    <row r="958">
      <c r="A958" s="370"/>
      <c r="B958" s="371"/>
      <c r="C958" s="372" t="str">
        <f>CS_PID!C958/VLOOKUP($B958,표2[#ALL],2)</f>
        <v>#N/A</v>
      </c>
      <c r="D958" s="372" t="str">
        <f>CS_PID!D958/VLOOKUP($B958,표2[#ALL],2)</f>
        <v>#N/A</v>
      </c>
      <c r="E958" s="372" t="str">
        <f>CS_PID!E958/VLOOKUP($B958,표2[#ALL],2)</f>
        <v>#N/A</v>
      </c>
      <c r="F958" s="372" t="str">
        <f>CS_PID!F958/VLOOKUP($B958,표2[#ALL],2)</f>
        <v>#N/A</v>
      </c>
      <c r="G958" s="372" t="str">
        <f>CS_PID!G958/VLOOKUP($B958,표2[#ALL],2)</f>
        <v>#N/A</v>
      </c>
      <c r="H958" s="372" t="str">
        <f>CS_PID!H958/VLOOKUP($B958,표2[#ALL],2)/HLOOKUP($A958,표1[#ALL],row(),false)</f>
        <v>#N/A</v>
      </c>
      <c r="I958" s="372" t="str">
        <f>CS_PID!I958/VLOOKUP($B958,표2[#ALL],2)/HLOOKUP($A958,표1[#ALL],row(),false)</f>
        <v>#N/A</v>
      </c>
      <c r="J958" s="372" t="str">
        <f>CS_PID!J958/VLOOKUP($B958,표2[#ALL],2)/HLOOKUP($A958,표1[#ALL],row(),false)</f>
        <v>#N/A</v>
      </c>
      <c r="K958" s="372" t="str">
        <f>CS_PID!K958/VLOOKUP($B958,표2[#ALL],2)/HLOOKUP($A958,표1[#ALL],row(),false)</f>
        <v>#N/A</v>
      </c>
      <c r="L958" s="372" t="str">
        <f>CS_PID!L958/VLOOKUP($B958,표2[#ALL],2)/HLOOKUP($A958,표1[#ALL],row(),false)</f>
        <v>#N/A</v>
      </c>
      <c r="M958" s="372" t="str">
        <f>CS_PID!M958/VLOOKUP($B958,표2[#ALL],2)/HLOOKUP($A958,표1[#ALL],row(),false)</f>
        <v>#N/A</v>
      </c>
      <c r="N958" s="372" t="str">
        <f>CS_PID!N958/VLOOKUP($B958,표2[#ALL],2)/HLOOKUP($A958,표1[#ALL],row(),false)</f>
        <v>#N/A</v>
      </c>
      <c r="O958" s="372" t="str">
        <f>CS_PID!O958/VLOOKUP($B958,표2[#ALL],2)/HLOOKUP($A958,표1[#ALL],row(),false)</f>
        <v>#N/A</v>
      </c>
      <c r="P958" s="372" t="str">
        <f>CS_PID!P958/VLOOKUP($B958,표2[#ALL],2)/HLOOKUP($A958,표1[#ALL],row(),false)</f>
        <v>#N/A</v>
      </c>
      <c r="Q958" s="372" t="str">
        <f>CS_PID!Q958/VLOOKUP($B958,표2[#ALL],2)/HLOOKUP($A958,표1[#ALL],row(),false)</f>
        <v>#N/A</v>
      </c>
      <c r="R958" s="372" t="str">
        <f>CS_PID!R958/VLOOKUP($B958,표2[#ALL],2)/HLOOKUP($A958,표1[#ALL],row(),false)</f>
        <v>#N/A</v>
      </c>
      <c r="S958" s="372" t="str">
        <f>CS_PID!S958/VLOOKUP($B958,표2[#ALL],2)/HLOOKUP($A958,표1[#ALL],row(),false)</f>
        <v>#N/A</v>
      </c>
      <c r="T958" s="372" t="str">
        <f>CS_PID!T958/VLOOKUP($B958,표2[#ALL],2)/HLOOKUP($A958,표1[#ALL],row(),false)</f>
        <v>#N/A</v>
      </c>
      <c r="U958" s="372" t="str">
        <f>CS_PID!U958/VLOOKUP($B958,표2[#ALL],2)/HLOOKUP($A958,표1[#ALL],row(),false)</f>
        <v>#N/A</v>
      </c>
      <c r="V958" s="372" t="str">
        <f>CS_PID!V958/VLOOKUP($B958,표2[#ALL],2)/HLOOKUP($A958,표1[#ALL],row(),false)</f>
        <v>#N/A</v>
      </c>
      <c r="W958" s="372" t="str">
        <f>CS_PID!W958/VLOOKUP($B958,표2[#ALL],2)/HLOOKUP($A958,표1[#ALL],row(),false)</f>
        <v>#N/A</v>
      </c>
      <c r="X958" s="372" t="str">
        <f>CS_PID!X958/VLOOKUP($B958,표2[#ALL],2)/HLOOKUP($A958,표1[#ALL],row(),false)</f>
        <v>#N/A</v>
      </c>
      <c r="Y958" s="372" t="str">
        <f>CS_PID!Y958/VLOOKUP($B958,표2[#ALL],2)/HLOOKUP($A958,표1[#ALL],row(),false)</f>
        <v>#N/A</v>
      </c>
      <c r="Z958" s="372" t="str">
        <f>CS_PID!Z958/VLOOKUP($B958,표2[#ALL],2)/HLOOKUP($A958,표1[#ALL],row(),false)</f>
        <v>#N/A</v>
      </c>
      <c r="AA958" s="372" t="str">
        <f>CS_PID!AA958/VLOOKUP($B958,표2[#ALL],2)/HLOOKUP($A958,표1[#ALL],row(),false)</f>
        <v>#N/A</v>
      </c>
      <c r="AB958" s="372" t="str">
        <f>CS_PID!AB958/VLOOKUP($B958,표2[#ALL],2)/HLOOKUP($A958,표1[#ALL],row(),false)</f>
        <v>#N/A</v>
      </c>
      <c r="AC958" s="372" t="str">
        <f>CS_PID!AC958/VLOOKUP($B958,표2[#ALL],2)/HLOOKUP($A958,표1[#ALL],row(),false)</f>
        <v>#N/A</v>
      </c>
      <c r="AD958" s="372" t="str">
        <f>CS_PID!AD958/VLOOKUP($B958,표2[#ALL],2)/HLOOKUP($A958,표1[#ALL],row(),false)</f>
        <v>#N/A</v>
      </c>
      <c r="AE958" s="372" t="str">
        <f>CS_PID!AE958/VLOOKUP($B958,표2[#ALL],2)/HLOOKUP($A958,표1[#ALL],row(),false)</f>
        <v>#N/A</v>
      </c>
      <c r="AF958" s="372" t="str">
        <f>CS_PID!AF958/VLOOKUP($B958,표2[#ALL],2)/HLOOKUP($A958,표1[#ALL],row(),false)</f>
        <v>#N/A</v>
      </c>
      <c r="AG958" s="372" t="str">
        <f>CS_PID!AG958/VLOOKUP($B958,표2[#ALL],2)/HLOOKUP($A958,표1[#ALL],row(),false)</f>
        <v>#N/A</v>
      </c>
      <c r="AH958" s="372" t="str">
        <f>CS_PID!AH958/VLOOKUP($B958,표2[#ALL],2)/HLOOKUP($A958,표1[#ALL],row(),false)</f>
        <v>#N/A</v>
      </c>
      <c r="AI958" s="372" t="str">
        <f>CS_PID!AI958/VLOOKUP($B958,표2[#ALL],2)/HLOOKUP($A958,표1[#ALL],row(),false)</f>
        <v>#N/A</v>
      </c>
      <c r="AJ958" s="372" t="str">
        <f>CS_PID!AJ958/VLOOKUP($B958,표2[#ALL],2)/HLOOKUP($A958,표1[#ALL],row(),false)</f>
        <v>#N/A</v>
      </c>
      <c r="AK958" s="372" t="str">
        <f>CS_PID!AK958/VLOOKUP($B958,표2[#ALL],2)/HLOOKUP($A958,표1[#ALL],row(),false)</f>
        <v>#N/A</v>
      </c>
      <c r="AL958" s="372" t="str">
        <f>CS_PID!AL958/VLOOKUP($B958,표2[#ALL],2)/HLOOKUP($A958,표1[#ALL],row(),false)</f>
        <v>#N/A</v>
      </c>
      <c r="AM958" s="372" t="str">
        <f>CS_PID!AM958/VLOOKUP($B958,표2[#ALL],2)/HLOOKUP($A958,표1[#ALL],row(),false)</f>
        <v>#N/A</v>
      </c>
      <c r="AN958" s="372" t="str">
        <f>CS_PID!AN958/VLOOKUP($B958,표2[#ALL],2)/HLOOKUP($A958,표1[#ALL],row(),false)</f>
        <v>#N/A</v>
      </c>
      <c r="AO958" s="372" t="str">
        <f>CS_PID!AO958/VLOOKUP($B958,표2[#ALL],2)/HLOOKUP($A958,표1[#ALL],row(),false)</f>
        <v>#N/A</v>
      </c>
      <c r="AP958" s="372" t="str">
        <f>CS_PID!AP958/VLOOKUP($B958,표2[#ALL],2)/HLOOKUP($A958,표1[#ALL],row(),false)</f>
        <v>#N/A</v>
      </c>
      <c r="AQ958" s="372" t="str">
        <f>CS_PID!AQ958/VLOOKUP($B958,표2[#ALL],2)/HLOOKUP($A958,표1[#ALL],row(),false)</f>
        <v>#N/A</v>
      </c>
      <c r="AR958" s="372" t="str">
        <f>CS_PID!AR958/VLOOKUP($B958,표2[#ALL],2)/HLOOKUP($A958,표1[#ALL],row(),false)</f>
        <v>#N/A</v>
      </c>
      <c r="AS958" s="373" t="str">
        <f>CS_PID!AS958/VLOOKUP($B958,표2[#ALL],2)/HLOOKUP($A958,표1[#ALL],row(),false)</f>
        <v>#N/A</v>
      </c>
    </row>
    <row r="959">
      <c r="A959" s="374"/>
      <c r="B959" s="375"/>
      <c r="C959" s="376" t="str">
        <f>CS_PID!C959/VLOOKUP($B959,표2[#ALL],2)</f>
        <v>#N/A</v>
      </c>
      <c r="D959" s="376" t="str">
        <f>CS_PID!D959/VLOOKUP($B959,표2[#ALL],2)</f>
        <v>#N/A</v>
      </c>
      <c r="E959" s="376" t="str">
        <f>CS_PID!E959/VLOOKUP($B959,표2[#ALL],2)</f>
        <v>#N/A</v>
      </c>
      <c r="F959" s="376" t="str">
        <f>CS_PID!F959/VLOOKUP($B959,표2[#ALL],2)</f>
        <v>#N/A</v>
      </c>
      <c r="G959" s="376" t="str">
        <f>CS_PID!G959/VLOOKUP($B959,표2[#ALL],2)</f>
        <v>#N/A</v>
      </c>
      <c r="H959" s="376" t="str">
        <f>CS_PID!H959/VLOOKUP($B959,표2[#ALL],2)/HLOOKUP($A959,표1[#ALL],row(),false)</f>
        <v>#N/A</v>
      </c>
      <c r="I959" s="376" t="str">
        <f>CS_PID!I959/VLOOKUP($B959,표2[#ALL],2)/HLOOKUP($A959,표1[#ALL],row(),false)</f>
        <v>#N/A</v>
      </c>
      <c r="J959" s="376" t="str">
        <f>CS_PID!J959/VLOOKUP($B959,표2[#ALL],2)/HLOOKUP($A959,표1[#ALL],row(),false)</f>
        <v>#N/A</v>
      </c>
      <c r="K959" s="376" t="str">
        <f>CS_PID!K959/VLOOKUP($B959,표2[#ALL],2)/HLOOKUP($A959,표1[#ALL],row(),false)</f>
        <v>#N/A</v>
      </c>
      <c r="L959" s="376" t="str">
        <f>CS_PID!L959/VLOOKUP($B959,표2[#ALL],2)/HLOOKUP($A959,표1[#ALL],row(),false)</f>
        <v>#N/A</v>
      </c>
      <c r="M959" s="376" t="str">
        <f>CS_PID!M959/VLOOKUP($B959,표2[#ALL],2)/HLOOKUP($A959,표1[#ALL],row(),false)</f>
        <v>#N/A</v>
      </c>
      <c r="N959" s="376" t="str">
        <f>CS_PID!N959/VLOOKUP($B959,표2[#ALL],2)/HLOOKUP($A959,표1[#ALL],row(),false)</f>
        <v>#N/A</v>
      </c>
      <c r="O959" s="376" t="str">
        <f>CS_PID!O959/VLOOKUP($B959,표2[#ALL],2)/HLOOKUP($A959,표1[#ALL],row(),false)</f>
        <v>#N/A</v>
      </c>
      <c r="P959" s="376" t="str">
        <f>CS_PID!P959/VLOOKUP($B959,표2[#ALL],2)/HLOOKUP($A959,표1[#ALL],row(),false)</f>
        <v>#N/A</v>
      </c>
      <c r="Q959" s="376" t="str">
        <f>CS_PID!Q959/VLOOKUP($B959,표2[#ALL],2)/HLOOKUP($A959,표1[#ALL],row(),false)</f>
        <v>#N/A</v>
      </c>
      <c r="R959" s="376" t="str">
        <f>CS_PID!R959/VLOOKUP($B959,표2[#ALL],2)/HLOOKUP($A959,표1[#ALL],row(),false)</f>
        <v>#N/A</v>
      </c>
      <c r="S959" s="376" t="str">
        <f>CS_PID!S959/VLOOKUP($B959,표2[#ALL],2)/HLOOKUP($A959,표1[#ALL],row(),false)</f>
        <v>#N/A</v>
      </c>
      <c r="T959" s="376" t="str">
        <f>CS_PID!T959/VLOOKUP($B959,표2[#ALL],2)/HLOOKUP($A959,표1[#ALL],row(),false)</f>
        <v>#N/A</v>
      </c>
      <c r="U959" s="376" t="str">
        <f>CS_PID!U959/VLOOKUP($B959,표2[#ALL],2)/HLOOKUP($A959,표1[#ALL],row(),false)</f>
        <v>#N/A</v>
      </c>
      <c r="V959" s="376" t="str">
        <f>CS_PID!V959/VLOOKUP($B959,표2[#ALL],2)/HLOOKUP($A959,표1[#ALL],row(),false)</f>
        <v>#N/A</v>
      </c>
      <c r="W959" s="376" t="str">
        <f>CS_PID!W959/VLOOKUP($B959,표2[#ALL],2)/HLOOKUP($A959,표1[#ALL],row(),false)</f>
        <v>#N/A</v>
      </c>
      <c r="X959" s="376" t="str">
        <f>CS_PID!X959/VLOOKUP($B959,표2[#ALL],2)/HLOOKUP($A959,표1[#ALL],row(),false)</f>
        <v>#N/A</v>
      </c>
      <c r="Y959" s="376" t="str">
        <f>CS_PID!Y959/VLOOKUP($B959,표2[#ALL],2)/HLOOKUP($A959,표1[#ALL],row(),false)</f>
        <v>#N/A</v>
      </c>
      <c r="Z959" s="376" t="str">
        <f>CS_PID!Z959/VLOOKUP($B959,표2[#ALL],2)/HLOOKUP($A959,표1[#ALL],row(),false)</f>
        <v>#N/A</v>
      </c>
      <c r="AA959" s="376" t="str">
        <f>CS_PID!AA959/VLOOKUP($B959,표2[#ALL],2)/HLOOKUP($A959,표1[#ALL],row(),false)</f>
        <v>#N/A</v>
      </c>
      <c r="AB959" s="376" t="str">
        <f>CS_PID!AB959/VLOOKUP($B959,표2[#ALL],2)/HLOOKUP($A959,표1[#ALL],row(),false)</f>
        <v>#N/A</v>
      </c>
      <c r="AC959" s="376" t="str">
        <f>CS_PID!AC959/VLOOKUP($B959,표2[#ALL],2)/HLOOKUP($A959,표1[#ALL],row(),false)</f>
        <v>#N/A</v>
      </c>
      <c r="AD959" s="376" t="str">
        <f>CS_PID!AD959/VLOOKUP($B959,표2[#ALL],2)/HLOOKUP($A959,표1[#ALL],row(),false)</f>
        <v>#N/A</v>
      </c>
      <c r="AE959" s="376" t="str">
        <f>CS_PID!AE959/VLOOKUP($B959,표2[#ALL],2)/HLOOKUP($A959,표1[#ALL],row(),false)</f>
        <v>#N/A</v>
      </c>
      <c r="AF959" s="376" t="str">
        <f>CS_PID!AF959/VLOOKUP($B959,표2[#ALL],2)/HLOOKUP($A959,표1[#ALL],row(),false)</f>
        <v>#N/A</v>
      </c>
      <c r="AG959" s="376" t="str">
        <f>CS_PID!AG959/VLOOKUP($B959,표2[#ALL],2)/HLOOKUP($A959,표1[#ALL],row(),false)</f>
        <v>#N/A</v>
      </c>
      <c r="AH959" s="376" t="str">
        <f>CS_PID!AH959/VLOOKUP($B959,표2[#ALL],2)/HLOOKUP($A959,표1[#ALL],row(),false)</f>
        <v>#N/A</v>
      </c>
      <c r="AI959" s="376" t="str">
        <f>CS_PID!AI959/VLOOKUP($B959,표2[#ALL],2)/HLOOKUP($A959,표1[#ALL],row(),false)</f>
        <v>#N/A</v>
      </c>
      <c r="AJ959" s="376" t="str">
        <f>CS_PID!AJ959/VLOOKUP($B959,표2[#ALL],2)/HLOOKUP($A959,표1[#ALL],row(),false)</f>
        <v>#N/A</v>
      </c>
      <c r="AK959" s="376" t="str">
        <f>CS_PID!AK959/VLOOKUP($B959,표2[#ALL],2)/HLOOKUP($A959,표1[#ALL],row(),false)</f>
        <v>#N/A</v>
      </c>
      <c r="AL959" s="376" t="str">
        <f>CS_PID!AL959/VLOOKUP($B959,표2[#ALL],2)/HLOOKUP($A959,표1[#ALL],row(),false)</f>
        <v>#N/A</v>
      </c>
      <c r="AM959" s="376" t="str">
        <f>CS_PID!AM959/VLOOKUP($B959,표2[#ALL],2)/HLOOKUP($A959,표1[#ALL],row(),false)</f>
        <v>#N/A</v>
      </c>
      <c r="AN959" s="376" t="str">
        <f>CS_PID!AN959/VLOOKUP($B959,표2[#ALL],2)/HLOOKUP($A959,표1[#ALL],row(),false)</f>
        <v>#N/A</v>
      </c>
      <c r="AO959" s="376" t="str">
        <f>CS_PID!AO959/VLOOKUP($B959,표2[#ALL],2)/HLOOKUP($A959,표1[#ALL],row(),false)</f>
        <v>#N/A</v>
      </c>
      <c r="AP959" s="376" t="str">
        <f>CS_PID!AP959/VLOOKUP($B959,표2[#ALL],2)/HLOOKUP($A959,표1[#ALL],row(),false)</f>
        <v>#N/A</v>
      </c>
      <c r="AQ959" s="376" t="str">
        <f>CS_PID!AQ959/VLOOKUP($B959,표2[#ALL],2)/HLOOKUP($A959,표1[#ALL],row(),false)</f>
        <v>#N/A</v>
      </c>
      <c r="AR959" s="376" t="str">
        <f>CS_PID!AR959/VLOOKUP($B959,표2[#ALL],2)/HLOOKUP($A959,표1[#ALL],row(),false)</f>
        <v>#N/A</v>
      </c>
      <c r="AS959" s="377" t="str">
        <f>CS_PID!AS959/VLOOKUP($B959,표2[#ALL],2)/HLOOKUP($A959,표1[#ALL],row(),false)</f>
        <v>#N/A</v>
      </c>
    </row>
    <row r="960">
      <c r="A960" s="370"/>
      <c r="B960" s="371"/>
      <c r="C960" s="372" t="str">
        <f>CS_PID!C960/VLOOKUP($B960,표2[#ALL],2)</f>
        <v>#N/A</v>
      </c>
      <c r="D960" s="372" t="str">
        <f>CS_PID!D960/VLOOKUP($B960,표2[#ALL],2)</f>
        <v>#N/A</v>
      </c>
      <c r="E960" s="372" t="str">
        <f>CS_PID!E960/VLOOKUP($B960,표2[#ALL],2)</f>
        <v>#N/A</v>
      </c>
      <c r="F960" s="372" t="str">
        <f>CS_PID!F960/VLOOKUP($B960,표2[#ALL],2)</f>
        <v>#N/A</v>
      </c>
      <c r="G960" s="372" t="str">
        <f>CS_PID!G960/VLOOKUP($B960,표2[#ALL],2)</f>
        <v>#N/A</v>
      </c>
      <c r="H960" s="372" t="str">
        <f>CS_PID!H960/VLOOKUP($B960,표2[#ALL],2)/HLOOKUP($A960,표1[#ALL],row(),false)</f>
        <v>#N/A</v>
      </c>
      <c r="I960" s="372" t="str">
        <f>CS_PID!I960/VLOOKUP($B960,표2[#ALL],2)/HLOOKUP($A960,표1[#ALL],row(),false)</f>
        <v>#N/A</v>
      </c>
      <c r="J960" s="372" t="str">
        <f>CS_PID!J960/VLOOKUP($B960,표2[#ALL],2)/HLOOKUP($A960,표1[#ALL],row(),false)</f>
        <v>#N/A</v>
      </c>
      <c r="K960" s="372" t="str">
        <f>CS_PID!K960/VLOOKUP($B960,표2[#ALL],2)/HLOOKUP($A960,표1[#ALL],row(),false)</f>
        <v>#N/A</v>
      </c>
      <c r="L960" s="372" t="str">
        <f>CS_PID!L960/VLOOKUP($B960,표2[#ALL],2)/HLOOKUP($A960,표1[#ALL],row(),false)</f>
        <v>#N/A</v>
      </c>
      <c r="M960" s="372" t="str">
        <f>CS_PID!M960/VLOOKUP($B960,표2[#ALL],2)/HLOOKUP($A960,표1[#ALL],row(),false)</f>
        <v>#N/A</v>
      </c>
      <c r="N960" s="372" t="str">
        <f>CS_PID!N960/VLOOKUP($B960,표2[#ALL],2)/HLOOKUP($A960,표1[#ALL],row(),false)</f>
        <v>#N/A</v>
      </c>
      <c r="O960" s="372" t="str">
        <f>CS_PID!O960/VLOOKUP($B960,표2[#ALL],2)/HLOOKUP($A960,표1[#ALL],row(),false)</f>
        <v>#N/A</v>
      </c>
      <c r="P960" s="372" t="str">
        <f>CS_PID!P960/VLOOKUP($B960,표2[#ALL],2)/HLOOKUP($A960,표1[#ALL],row(),false)</f>
        <v>#N/A</v>
      </c>
      <c r="Q960" s="372" t="str">
        <f>CS_PID!Q960/VLOOKUP($B960,표2[#ALL],2)/HLOOKUP($A960,표1[#ALL],row(),false)</f>
        <v>#N/A</v>
      </c>
      <c r="R960" s="372" t="str">
        <f>CS_PID!R960/VLOOKUP($B960,표2[#ALL],2)/HLOOKUP($A960,표1[#ALL],row(),false)</f>
        <v>#N/A</v>
      </c>
      <c r="S960" s="372" t="str">
        <f>CS_PID!S960/VLOOKUP($B960,표2[#ALL],2)/HLOOKUP($A960,표1[#ALL],row(),false)</f>
        <v>#N/A</v>
      </c>
      <c r="T960" s="372" t="str">
        <f>CS_PID!T960/VLOOKUP($B960,표2[#ALL],2)/HLOOKUP($A960,표1[#ALL],row(),false)</f>
        <v>#N/A</v>
      </c>
      <c r="U960" s="372" t="str">
        <f>CS_PID!U960/VLOOKUP($B960,표2[#ALL],2)/HLOOKUP($A960,표1[#ALL],row(),false)</f>
        <v>#N/A</v>
      </c>
      <c r="V960" s="372" t="str">
        <f>CS_PID!V960/VLOOKUP($B960,표2[#ALL],2)/HLOOKUP($A960,표1[#ALL],row(),false)</f>
        <v>#N/A</v>
      </c>
      <c r="W960" s="372" t="str">
        <f>CS_PID!W960/VLOOKUP($B960,표2[#ALL],2)/HLOOKUP($A960,표1[#ALL],row(),false)</f>
        <v>#N/A</v>
      </c>
      <c r="X960" s="372" t="str">
        <f>CS_PID!X960/VLOOKUP($B960,표2[#ALL],2)/HLOOKUP($A960,표1[#ALL],row(),false)</f>
        <v>#N/A</v>
      </c>
      <c r="Y960" s="372" t="str">
        <f>CS_PID!Y960/VLOOKUP($B960,표2[#ALL],2)/HLOOKUP($A960,표1[#ALL],row(),false)</f>
        <v>#N/A</v>
      </c>
      <c r="Z960" s="372" t="str">
        <f>CS_PID!Z960/VLOOKUP($B960,표2[#ALL],2)/HLOOKUP($A960,표1[#ALL],row(),false)</f>
        <v>#N/A</v>
      </c>
      <c r="AA960" s="372" t="str">
        <f>CS_PID!AA960/VLOOKUP($B960,표2[#ALL],2)/HLOOKUP($A960,표1[#ALL],row(),false)</f>
        <v>#N/A</v>
      </c>
      <c r="AB960" s="372" t="str">
        <f>CS_PID!AB960/VLOOKUP($B960,표2[#ALL],2)/HLOOKUP($A960,표1[#ALL],row(),false)</f>
        <v>#N/A</v>
      </c>
      <c r="AC960" s="372" t="str">
        <f>CS_PID!AC960/VLOOKUP($B960,표2[#ALL],2)/HLOOKUP($A960,표1[#ALL],row(),false)</f>
        <v>#N/A</v>
      </c>
      <c r="AD960" s="372" t="str">
        <f>CS_PID!AD960/VLOOKUP($B960,표2[#ALL],2)/HLOOKUP($A960,표1[#ALL],row(),false)</f>
        <v>#N/A</v>
      </c>
      <c r="AE960" s="372" t="str">
        <f>CS_PID!AE960/VLOOKUP($B960,표2[#ALL],2)/HLOOKUP($A960,표1[#ALL],row(),false)</f>
        <v>#N/A</v>
      </c>
      <c r="AF960" s="372" t="str">
        <f>CS_PID!AF960/VLOOKUP($B960,표2[#ALL],2)/HLOOKUP($A960,표1[#ALL],row(),false)</f>
        <v>#N/A</v>
      </c>
      <c r="AG960" s="372" t="str">
        <f>CS_PID!AG960/VLOOKUP($B960,표2[#ALL],2)/HLOOKUP($A960,표1[#ALL],row(),false)</f>
        <v>#N/A</v>
      </c>
      <c r="AH960" s="372" t="str">
        <f>CS_PID!AH960/VLOOKUP($B960,표2[#ALL],2)/HLOOKUP($A960,표1[#ALL],row(),false)</f>
        <v>#N/A</v>
      </c>
      <c r="AI960" s="372" t="str">
        <f>CS_PID!AI960/VLOOKUP($B960,표2[#ALL],2)/HLOOKUP($A960,표1[#ALL],row(),false)</f>
        <v>#N/A</v>
      </c>
      <c r="AJ960" s="372" t="str">
        <f>CS_PID!AJ960/VLOOKUP($B960,표2[#ALL],2)/HLOOKUP($A960,표1[#ALL],row(),false)</f>
        <v>#N/A</v>
      </c>
      <c r="AK960" s="372" t="str">
        <f>CS_PID!AK960/VLOOKUP($B960,표2[#ALL],2)/HLOOKUP($A960,표1[#ALL],row(),false)</f>
        <v>#N/A</v>
      </c>
      <c r="AL960" s="372" t="str">
        <f>CS_PID!AL960/VLOOKUP($B960,표2[#ALL],2)/HLOOKUP($A960,표1[#ALL],row(),false)</f>
        <v>#N/A</v>
      </c>
      <c r="AM960" s="372" t="str">
        <f>CS_PID!AM960/VLOOKUP($B960,표2[#ALL],2)/HLOOKUP($A960,표1[#ALL],row(),false)</f>
        <v>#N/A</v>
      </c>
      <c r="AN960" s="372" t="str">
        <f>CS_PID!AN960/VLOOKUP($B960,표2[#ALL],2)/HLOOKUP($A960,표1[#ALL],row(),false)</f>
        <v>#N/A</v>
      </c>
      <c r="AO960" s="372" t="str">
        <f>CS_PID!AO960/VLOOKUP($B960,표2[#ALL],2)/HLOOKUP($A960,표1[#ALL],row(),false)</f>
        <v>#N/A</v>
      </c>
      <c r="AP960" s="372" t="str">
        <f>CS_PID!AP960/VLOOKUP($B960,표2[#ALL],2)/HLOOKUP($A960,표1[#ALL],row(),false)</f>
        <v>#N/A</v>
      </c>
      <c r="AQ960" s="372" t="str">
        <f>CS_PID!AQ960/VLOOKUP($B960,표2[#ALL],2)/HLOOKUP($A960,표1[#ALL],row(),false)</f>
        <v>#N/A</v>
      </c>
      <c r="AR960" s="372" t="str">
        <f>CS_PID!AR960/VLOOKUP($B960,표2[#ALL],2)/HLOOKUP($A960,표1[#ALL],row(),false)</f>
        <v>#N/A</v>
      </c>
      <c r="AS960" s="373" t="str">
        <f>CS_PID!AS960/VLOOKUP($B960,표2[#ALL],2)/HLOOKUP($A960,표1[#ALL],row(),false)</f>
        <v>#N/A</v>
      </c>
    </row>
    <row r="961">
      <c r="A961" s="374"/>
      <c r="B961" s="375"/>
      <c r="C961" s="376" t="str">
        <f>CS_PID!C961/VLOOKUP($B961,표2[#ALL],2)</f>
        <v>#N/A</v>
      </c>
      <c r="D961" s="376" t="str">
        <f>CS_PID!D961/VLOOKUP($B961,표2[#ALL],2)</f>
        <v>#N/A</v>
      </c>
      <c r="E961" s="376" t="str">
        <f>CS_PID!E961/VLOOKUP($B961,표2[#ALL],2)</f>
        <v>#N/A</v>
      </c>
      <c r="F961" s="376" t="str">
        <f>CS_PID!F961/VLOOKUP($B961,표2[#ALL],2)</f>
        <v>#N/A</v>
      </c>
      <c r="G961" s="376" t="str">
        <f>CS_PID!G961/VLOOKUP($B961,표2[#ALL],2)</f>
        <v>#N/A</v>
      </c>
      <c r="H961" s="376" t="str">
        <f>CS_PID!H961/VLOOKUP($B961,표2[#ALL],2)/HLOOKUP($A961,표1[#ALL],row(),false)</f>
        <v>#N/A</v>
      </c>
      <c r="I961" s="376" t="str">
        <f>CS_PID!I961/VLOOKUP($B961,표2[#ALL],2)/HLOOKUP($A961,표1[#ALL],row(),false)</f>
        <v>#N/A</v>
      </c>
      <c r="J961" s="376" t="str">
        <f>CS_PID!J961/VLOOKUP($B961,표2[#ALL],2)/HLOOKUP($A961,표1[#ALL],row(),false)</f>
        <v>#N/A</v>
      </c>
      <c r="K961" s="376" t="str">
        <f>CS_PID!K961/VLOOKUP($B961,표2[#ALL],2)/HLOOKUP($A961,표1[#ALL],row(),false)</f>
        <v>#N/A</v>
      </c>
      <c r="L961" s="376" t="str">
        <f>CS_PID!L961/VLOOKUP($B961,표2[#ALL],2)/HLOOKUP($A961,표1[#ALL],row(),false)</f>
        <v>#N/A</v>
      </c>
      <c r="M961" s="376" t="str">
        <f>CS_PID!M961/VLOOKUP($B961,표2[#ALL],2)/HLOOKUP($A961,표1[#ALL],row(),false)</f>
        <v>#N/A</v>
      </c>
      <c r="N961" s="376" t="str">
        <f>CS_PID!N961/VLOOKUP($B961,표2[#ALL],2)/HLOOKUP($A961,표1[#ALL],row(),false)</f>
        <v>#N/A</v>
      </c>
      <c r="O961" s="376" t="str">
        <f>CS_PID!O961/VLOOKUP($B961,표2[#ALL],2)/HLOOKUP($A961,표1[#ALL],row(),false)</f>
        <v>#N/A</v>
      </c>
      <c r="P961" s="376" t="str">
        <f>CS_PID!P961/VLOOKUP($B961,표2[#ALL],2)/HLOOKUP($A961,표1[#ALL],row(),false)</f>
        <v>#N/A</v>
      </c>
      <c r="Q961" s="376" t="str">
        <f>CS_PID!Q961/VLOOKUP($B961,표2[#ALL],2)/HLOOKUP($A961,표1[#ALL],row(),false)</f>
        <v>#N/A</v>
      </c>
      <c r="R961" s="376" t="str">
        <f>CS_PID!R961/VLOOKUP($B961,표2[#ALL],2)/HLOOKUP($A961,표1[#ALL],row(),false)</f>
        <v>#N/A</v>
      </c>
      <c r="S961" s="376" t="str">
        <f>CS_PID!S961/VLOOKUP($B961,표2[#ALL],2)/HLOOKUP($A961,표1[#ALL],row(),false)</f>
        <v>#N/A</v>
      </c>
      <c r="T961" s="376" t="str">
        <f>CS_PID!T961/VLOOKUP($B961,표2[#ALL],2)/HLOOKUP($A961,표1[#ALL],row(),false)</f>
        <v>#N/A</v>
      </c>
      <c r="U961" s="376" t="str">
        <f>CS_PID!U961/VLOOKUP($B961,표2[#ALL],2)/HLOOKUP($A961,표1[#ALL],row(),false)</f>
        <v>#N/A</v>
      </c>
      <c r="V961" s="376" t="str">
        <f>CS_PID!V961/VLOOKUP($B961,표2[#ALL],2)/HLOOKUP($A961,표1[#ALL],row(),false)</f>
        <v>#N/A</v>
      </c>
      <c r="W961" s="376" t="str">
        <f>CS_PID!W961/VLOOKUP($B961,표2[#ALL],2)/HLOOKUP($A961,표1[#ALL],row(),false)</f>
        <v>#N/A</v>
      </c>
      <c r="X961" s="376" t="str">
        <f>CS_PID!X961/VLOOKUP($B961,표2[#ALL],2)/HLOOKUP($A961,표1[#ALL],row(),false)</f>
        <v>#N/A</v>
      </c>
      <c r="Y961" s="376" t="str">
        <f>CS_PID!Y961/VLOOKUP($B961,표2[#ALL],2)/HLOOKUP($A961,표1[#ALL],row(),false)</f>
        <v>#N/A</v>
      </c>
      <c r="Z961" s="376" t="str">
        <f>CS_PID!Z961/VLOOKUP($B961,표2[#ALL],2)/HLOOKUP($A961,표1[#ALL],row(),false)</f>
        <v>#N/A</v>
      </c>
      <c r="AA961" s="376" t="str">
        <f>CS_PID!AA961/VLOOKUP($B961,표2[#ALL],2)/HLOOKUP($A961,표1[#ALL],row(),false)</f>
        <v>#N/A</v>
      </c>
      <c r="AB961" s="376" t="str">
        <f>CS_PID!AB961/VLOOKUP($B961,표2[#ALL],2)/HLOOKUP($A961,표1[#ALL],row(),false)</f>
        <v>#N/A</v>
      </c>
      <c r="AC961" s="376" t="str">
        <f>CS_PID!AC961/VLOOKUP($B961,표2[#ALL],2)/HLOOKUP($A961,표1[#ALL],row(),false)</f>
        <v>#N/A</v>
      </c>
      <c r="AD961" s="376" t="str">
        <f>CS_PID!AD961/VLOOKUP($B961,표2[#ALL],2)/HLOOKUP($A961,표1[#ALL],row(),false)</f>
        <v>#N/A</v>
      </c>
      <c r="AE961" s="376" t="str">
        <f>CS_PID!AE961/VLOOKUP($B961,표2[#ALL],2)/HLOOKUP($A961,표1[#ALL],row(),false)</f>
        <v>#N/A</v>
      </c>
      <c r="AF961" s="376" t="str">
        <f>CS_PID!AF961/VLOOKUP($B961,표2[#ALL],2)/HLOOKUP($A961,표1[#ALL],row(),false)</f>
        <v>#N/A</v>
      </c>
      <c r="AG961" s="376" t="str">
        <f>CS_PID!AG961/VLOOKUP($B961,표2[#ALL],2)/HLOOKUP($A961,표1[#ALL],row(),false)</f>
        <v>#N/A</v>
      </c>
      <c r="AH961" s="376" t="str">
        <f>CS_PID!AH961/VLOOKUP($B961,표2[#ALL],2)/HLOOKUP($A961,표1[#ALL],row(),false)</f>
        <v>#N/A</v>
      </c>
      <c r="AI961" s="376" t="str">
        <f>CS_PID!AI961/VLOOKUP($B961,표2[#ALL],2)/HLOOKUP($A961,표1[#ALL],row(),false)</f>
        <v>#N/A</v>
      </c>
      <c r="AJ961" s="376" t="str">
        <f>CS_PID!AJ961/VLOOKUP($B961,표2[#ALL],2)/HLOOKUP($A961,표1[#ALL],row(),false)</f>
        <v>#N/A</v>
      </c>
      <c r="AK961" s="376" t="str">
        <f>CS_PID!AK961/VLOOKUP($B961,표2[#ALL],2)/HLOOKUP($A961,표1[#ALL],row(),false)</f>
        <v>#N/A</v>
      </c>
      <c r="AL961" s="376" t="str">
        <f>CS_PID!AL961/VLOOKUP($B961,표2[#ALL],2)/HLOOKUP($A961,표1[#ALL],row(),false)</f>
        <v>#N/A</v>
      </c>
      <c r="AM961" s="376" t="str">
        <f>CS_PID!AM961/VLOOKUP($B961,표2[#ALL],2)/HLOOKUP($A961,표1[#ALL],row(),false)</f>
        <v>#N/A</v>
      </c>
      <c r="AN961" s="376" t="str">
        <f>CS_PID!AN961/VLOOKUP($B961,표2[#ALL],2)/HLOOKUP($A961,표1[#ALL],row(),false)</f>
        <v>#N/A</v>
      </c>
      <c r="AO961" s="376" t="str">
        <f>CS_PID!AO961/VLOOKUP($B961,표2[#ALL],2)/HLOOKUP($A961,표1[#ALL],row(),false)</f>
        <v>#N/A</v>
      </c>
      <c r="AP961" s="376" t="str">
        <f>CS_PID!AP961/VLOOKUP($B961,표2[#ALL],2)/HLOOKUP($A961,표1[#ALL],row(),false)</f>
        <v>#N/A</v>
      </c>
      <c r="AQ961" s="376" t="str">
        <f>CS_PID!AQ961/VLOOKUP($B961,표2[#ALL],2)/HLOOKUP($A961,표1[#ALL],row(),false)</f>
        <v>#N/A</v>
      </c>
      <c r="AR961" s="376" t="str">
        <f>CS_PID!AR961/VLOOKUP($B961,표2[#ALL],2)/HLOOKUP($A961,표1[#ALL],row(),false)</f>
        <v>#N/A</v>
      </c>
      <c r="AS961" s="377" t="str">
        <f>CS_PID!AS961/VLOOKUP($B961,표2[#ALL],2)/HLOOKUP($A961,표1[#ALL],row(),false)</f>
        <v>#N/A</v>
      </c>
    </row>
    <row r="962">
      <c r="A962" s="370"/>
      <c r="B962" s="371"/>
      <c r="C962" s="372" t="str">
        <f>CS_PID!C962/VLOOKUP($B962,표2[#ALL],2)</f>
        <v>#N/A</v>
      </c>
      <c r="D962" s="372" t="str">
        <f>CS_PID!D962/VLOOKUP($B962,표2[#ALL],2)</f>
        <v>#N/A</v>
      </c>
      <c r="E962" s="372" t="str">
        <f>CS_PID!E962/VLOOKUP($B962,표2[#ALL],2)</f>
        <v>#N/A</v>
      </c>
      <c r="F962" s="372" t="str">
        <f>CS_PID!F962/VLOOKUP($B962,표2[#ALL],2)</f>
        <v>#N/A</v>
      </c>
      <c r="G962" s="372" t="str">
        <f>CS_PID!G962/VLOOKUP($B962,표2[#ALL],2)</f>
        <v>#N/A</v>
      </c>
      <c r="H962" s="372" t="str">
        <f>CS_PID!H962/VLOOKUP($B962,표2[#ALL],2)/HLOOKUP($A962,표1[#ALL],row(),false)</f>
        <v>#N/A</v>
      </c>
      <c r="I962" s="372" t="str">
        <f>CS_PID!I962/VLOOKUP($B962,표2[#ALL],2)/HLOOKUP($A962,표1[#ALL],row(),false)</f>
        <v>#N/A</v>
      </c>
      <c r="J962" s="372" t="str">
        <f>CS_PID!J962/VLOOKUP($B962,표2[#ALL],2)/HLOOKUP($A962,표1[#ALL],row(),false)</f>
        <v>#N/A</v>
      </c>
      <c r="K962" s="372" t="str">
        <f>CS_PID!K962/VLOOKUP($B962,표2[#ALL],2)/HLOOKUP($A962,표1[#ALL],row(),false)</f>
        <v>#N/A</v>
      </c>
      <c r="L962" s="372" t="str">
        <f>CS_PID!L962/VLOOKUP($B962,표2[#ALL],2)/HLOOKUP($A962,표1[#ALL],row(),false)</f>
        <v>#N/A</v>
      </c>
      <c r="M962" s="372" t="str">
        <f>CS_PID!M962/VLOOKUP($B962,표2[#ALL],2)/HLOOKUP($A962,표1[#ALL],row(),false)</f>
        <v>#N/A</v>
      </c>
      <c r="N962" s="372" t="str">
        <f>CS_PID!N962/VLOOKUP($B962,표2[#ALL],2)/HLOOKUP($A962,표1[#ALL],row(),false)</f>
        <v>#N/A</v>
      </c>
      <c r="O962" s="372" t="str">
        <f>CS_PID!O962/VLOOKUP($B962,표2[#ALL],2)/HLOOKUP($A962,표1[#ALL],row(),false)</f>
        <v>#N/A</v>
      </c>
      <c r="P962" s="372" t="str">
        <f>CS_PID!P962/VLOOKUP($B962,표2[#ALL],2)/HLOOKUP($A962,표1[#ALL],row(),false)</f>
        <v>#N/A</v>
      </c>
      <c r="Q962" s="372" t="str">
        <f>CS_PID!Q962/VLOOKUP($B962,표2[#ALL],2)/HLOOKUP($A962,표1[#ALL],row(),false)</f>
        <v>#N/A</v>
      </c>
      <c r="R962" s="372" t="str">
        <f>CS_PID!R962/VLOOKUP($B962,표2[#ALL],2)/HLOOKUP($A962,표1[#ALL],row(),false)</f>
        <v>#N/A</v>
      </c>
      <c r="S962" s="372" t="str">
        <f>CS_PID!S962/VLOOKUP($B962,표2[#ALL],2)/HLOOKUP($A962,표1[#ALL],row(),false)</f>
        <v>#N/A</v>
      </c>
      <c r="T962" s="372" t="str">
        <f>CS_PID!T962/VLOOKUP($B962,표2[#ALL],2)/HLOOKUP($A962,표1[#ALL],row(),false)</f>
        <v>#N/A</v>
      </c>
      <c r="U962" s="372" t="str">
        <f>CS_PID!U962/VLOOKUP($B962,표2[#ALL],2)/HLOOKUP($A962,표1[#ALL],row(),false)</f>
        <v>#N/A</v>
      </c>
      <c r="V962" s="372" t="str">
        <f>CS_PID!V962/VLOOKUP($B962,표2[#ALL],2)/HLOOKUP($A962,표1[#ALL],row(),false)</f>
        <v>#N/A</v>
      </c>
      <c r="W962" s="372" t="str">
        <f>CS_PID!W962/VLOOKUP($B962,표2[#ALL],2)/HLOOKUP($A962,표1[#ALL],row(),false)</f>
        <v>#N/A</v>
      </c>
      <c r="X962" s="372" t="str">
        <f>CS_PID!X962/VLOOKUP($B962,표2[#ALL],2)/HLOOKUP($A962,표1[#ALL],row(),false)</f>
        <v>#N/A</v>
      </c>
      <c r="Y962" s="372" t="str">
        <f>CS_PID!Y962/VLOOKUP($B962,표2[#ALL],2)/HLOOKUP($A962,표1[#ALL],row(),false)</f>
        <v>#N/A</v>
      </c>
      <c r="Z962" s="372" t="str">
        <f>CS_PID!Z962/VLOOKUP($B962,표2[#ALL],2)/HLOOKUP($A962,표1[#ALL],row(),false)</f>
        <v>#N/A</v>
      </c>
      <c r="AA962" s="372" t="str">
        <f>CS_PID!AA962/VLOOKUP($B962,표2[#ALL],2)/HLOOKUP($A962,표1[#ALL],row(),false)</f>
        <v>#N/A</v>
      </c>
      <c r="AB962" s="372" t="str">
        <f>CS_PID!AB962/VLOOKUP($B962,표2[#ALL],2)/HLOOKUP($A962,표1[#ALL],row(),false)</f>
        <v>#N/A</v>
      </c>
      <c r="AC962" s="372" t="str">
        <f>CS_PID!AC962/VLOOKUP($B962,표2[#ALL],2)/HLOOKUP($A962,표1[#ALL],row(),false)</f>
        <v>#N/A</v>
      </c>
      <c r="AD962" s="372" t="str">
        <f>CS_PID!AD962/VLOOKUP($B962,표2[#ALL],2)/HLOOKUP($A962,표1[#ALL],row(),false)</f>
        <v>#N/A</v>
      </c>
      <c r="AE962" s="372" t="str">
        <f>CS_PID!AE962/VLOOKUP($B962,표2[#ALL],2)/HLOOKUP($A962,표1[#ALL],row(),false)</f>
        <v>#N/A</v>
      </c>
      <c r="AF962" s="372" t="str">
        <f>CS_PID!AF962/VLOOKUP($B962,표2[#ALL],2)/HLOOKUP($A962,표1[#ALL],row(),false)</f>
        <v>#N/A</v>
      </c>
      <c r="AG962" s="372" t="str">
        <f>CS_PID!AG962/VLOOKUP($B962,표2[#ALL],2)/HLOOKUP($A962,표1[#ALL],row(),false)</f>
        <v>#N/A</v>
      </c>
      <c r="AH962" s="372" t="str">
        <f>CS_PID!AH962/VLOOKUP($B962,표2[#ALL],2)/HLOOKUP($A962,표1[#ALL],row(),false)</f>
        <v>#N/A</v>
      </c>
      <c r="AI962" s="372" t="str">
        <f>CS_PID!AI962/VLOOKUP($B962,표2[#ALL],2)/HLOOKUP($A962,표1[#ALL],row(),false)</f>
        <v>#N/A</v>
      </c>
      <c r="AJ962" s="372" t="str">
        <f>CS_PID!AJ962/VLOOKUP($B962,표2[#ALL],2)/HLOOKUP($A962,표1[#ALL],row(),false)</f>
        <v>#N/A</v>
      </c>
      <c r="AK962" s="372" t="str">
        <f>CS_PID!AK962/VLOOKUP($B962,표2[#ALL],2)/HLOOKUP($A962,표1[#ALL],row(),false)</f>
        <v>#N/A</v>
      </c>
      <c r="AL962" s="372" t="str">
        <f>CS_PID!AL962/VLOOKUP($B962,표2[#ALL],2)/HLOOKUP($A962,표1[#ALL],row(),false)</f>
        <v>#N/A</v>
      </c>
      <c r="AM962" s="372" t="str">
        <f>CS_PID!AM962/VLOOKUP($B962,표2[#ALL],2)/HLOOKUP($A962,표1[#ALL],row(),false)</f>
        <v>#N/A</v>
      </c>
      <c r="AN962" s="372" t="str">
        <f>CS_PID!AN962/VLOOKUP($B962,표2[#ALL],2)/HLOOKUP($A962,표1[#ALL],row(),false)</f>
        <v>#N/A</v>
      </c>
      <c r="AO962" s="372" t="str">
        <f>CS_PID!AO962/VLOOKUP($B962,표2[#ALL],2)/HLOOKUP($A962,표1[#ALL],row(),false)</f>
        <v>#N/A</v>
      </c>
      <c r="AP962" s="372" t="str">
        <f>CS_PID!AP962/VLOOKUP($B962,표2[#ALL],2)/HLOOKUP($A962,표1[#ALL],row(),false)</f>
        <v>#N/A</v>
      </c>
      <c r="AQ962" s="372" t="str">
        <f>CS_PID!AQ962/VLOOKUP($B962,표2[#ALL],2)/HLOOKUP($A962,표1[#ALL],row(),false)</f>
        <v>#N/A</v>
      </c>
      <c r="AR962" s="372" t="str">
        <f>CS_PID!AR962/VLOOKUP($B962,표2[#ALL],2)/HLOOKUP($A962,표1[#ALL],row(),false)</f>
        <v>#N/A</v>
      </c>
      <c r="AS962" s="373" t="str">
        <f>CS_PID!AS962/VLOOKUP($B962,표2[#ALL],2)/HLOOKUP($A962,표1[#ALL],row(),false)</f>
        <v>#N/A</v>
      </c>
    </row>
    <row r="963">
      <c r="A963" s="374"/>
      <c r="B963" s="375"/>
      <c r="C963" s="376" t="str">
        <f>CS_PID!C963/VLOOKUP($B963,표2[#ALL],2)</f>
        <v>#N/A</v>
      </c>
      <c r="D963" s="376" t="str">
        <f>CS_PID!D963/VLOOKUP($B963,표2[#ALL],2)</f>
        <v>#N/A</v>
      </c>
      <c r="E963" s="376" t="str">
        <f>CS_PID!E963/VLOOKUP($B963,표2[#ALL],2)</f>
        <v>#N/A</v>
      </c>
      <c r="F963" s="376" t="str">
        <f>CS_PID!F963/VLOOKUP($B963,표2[#ALL],2)</f>
        <v>#N/A</v>
      </c>
      <c r="G963" s="376" t="str">
        <f>CS_PID!G963/VLOOKUP($B963,표2[#ALL],2)</f>
        <v>#N/A</v>
      </c>
      <c r="H963" s="376" t="str">
        <f>CS_PID!H963/VLOOKUP($B963,표2[#ALL],2)/HLOOKUP($A963,표1[#ALL],row(),false)</f>
        <v>#N/A</v>
      </c>
      <c r="I963" s="376" t="str">
        <f>CS_PID!I963/VLOOKUP($B963,표2[#ALL],2)/HLOOKUP($A963,표1[#ALL],row(),false)</f>
        <v>#N/A</v>
      </c>
      <c r="J963" s="376" t="str">
        <f>CS_PID!J963/VLOOKUP($B963,표2[#ALL],2)/HLOOKUP($A963,표1[#ALL],row(),false)</f>
        <v>#N/A</v>
      </c>
      <c r="K963" s="376" t="str">
        <f>CS_PID!K963/VLOOKUP($B963,표2[#ALL],2)/HLOOKUP($A963,표1[#ALL],row(),false)</f>
        <v>#N/A</v>
      </c>
      <c r="L963" s="376" t="str">
        <f>CS_PID!L963/VLOOKUP($B963,표2[#ALL],2)/HLOOKUP($A963,표1[#ALL],row(),false)</f>
        <v>#N/A</v>
      </c>
      <c r="M963" s="376" t="str">
        <f>CS_PID!M963/VLOOKUP($B963,표2[#ALL],2)/HLOOKUP($A963,표1[#ALL],row(),false)</f>
        <v>#N/A</v>
      </c>
      <c r="N963" s="376" t="str">
        <f>CS_PID!N963/VLOOKUP($B963,표2[#ALL],2)/HLOOKUP($A963,표1[#ALL],row(),false)</f>
        <v>#N/A</v>
      </c>
      <c r="O963" s="376" t="str">
        <f>CS_PID!O963/VLOOKUP($B963,표2[#ALL],2)/HLOOKUP($A963,표1[#ALL],row(),false)</f>
        <v>#N/A</v>
      </c>
      <c r="P963" s="376" t="str">
        <f>CS_PID!P963/VLOOKUP($B963,표2[#ALL],2)/HLOOKUP($A963,표1[#ALL],row(),false)</f>
        <v>#N/A</v>
      </c>
      <c r="Q963" s="376" t="str">
        <f>CS_PID!Q963/VLOOKUP($B963,표2[#ALL],2)/HLOOKUP($A963,표1[#ALL],row(),false)</f>
        <v>#N/A</v>
      </c>
      <c r="R963" s="376" t="str">
        <f>CS_PID!R963/VLOOKUP($B963,표2[#ALL],2)/HLOOKUP($A963,표1[#ALL],row(),false)</f>
        <v>#N/A</v>
      </c>
      <c r="S963" s="376" t="str">
        <f>CS_PID!S963/VLOOKUP($B963,표2[#ALL],2)/HLOOKUP($A963,표1[#ALL],row(),false)</f>
        <v>#N/A</v>
      </c>
      <c r="T963" s="376" t="str">
        <f>CS_PID!T963/VLOOKUP($B963,표2[#ALL],2)/HLOOKUP($A963,표1[#ALL],row(),false)</f>
        <v>#N/A</v>
      </c>
      <c r="U963" s="376" t="str">
        <f>CS_PID!U963/VLOOKUP($B963,표2[#ALL],2)/HLOOKUP($A963,표1[#ALL],row(),false)</f>
        <v>#N/A</v>
      </c>
      <c r="V963" s="376" t="str">
        <f>CS_PID!V963/VLOOKUP($B963,표2[#ALL],2)/HLOOKUP($A963,표1[#ALL],row(),false)</f>
        <v>#N/A</v>
      </c>
      <c r="W963" s="376" t="str">
        <f>CS_PID!W963/VLOOKUP($B963,표2[#ALL],2)/HLOOKUP($A963,표1[#ALL],row(),false)</f>
        <v>#N/A</v>
      </c>
      <c r="X963" s="376" t="str">
        <f>CS_PID!X963/VLOOKUP($B963,표2[#ALL],2)/HLOOKUP($A963,표1[#ALL],row(),false)</f>
        <v>#N/A</v>
      </c>
      <c r="Y963" s="376" t="str">
        <f>CS_PID!Y963/VLOOKUP($B963,표2[#ALL],2)/HLOOKUP($A963,표1[#ALL],row(),false)</f>
        <v>#N/A</v>
      </c>
      <c r="Z963" s="376" t="str">
        <f>CS_PID!Z963/VLOOKUP($B963,표2[#ALL],2)/HLOOKUP($A963,표1[#ALL],row(),false)</f>
        <v>#N/A</v>
      </c>
      <c r="AA963" s="376" t="str">
        <f>CS_PID!AA963/VLOOKUP($B963,표2[#ALL],2)/HLOOKUP($A963,표1[#ALL],row(),false)</f>
        <v>#N/A</v>
      </c>
      <c r="AB963" s="376" t="str">
        <f>CS_PID!AB963/VLOOKUP($B963,표2[#ALL],2)/HLOOKUP($A963,표1[#ALL],row(),false)</f>
        <v>#N/A</v>
      </c>
      <c r="AC963" s="376" t="str">
        <f>CS_PID!AC963/VLOOKUP($B963,표2[#ALL],2)/HLOOKUP($A963,표1[#ALL],row(),false)</f>
        <v>#N/A</v>
      </c>
      <c r="AD963" s="376" t="str">
        <f>CS_PID!AD963/VLOOKUP($B963,표2[#ALL],2)/HLOOKUP($A963,표1[#ALL],row(),false)</f>
        <v>#N/A</v>
      </c>
      <c r="AE963" s="376" t="str">
        <f>CS_PID!AE963/VLOOKUP($B963,표2[#ALL],2)/HLOOKUP($A963,표1[#ALL],row(),false)</f>
        <v>#N/A</v>
      </c>
      <c r="AF963" s="376" t="str">
        <f>CS_PID!AF963/VLOOKUP($B963,표2[#ALL],2)/HLOOKUP($A963,표1[#ALL],row(),false)</f>
        <v>#N/A</v>
      </c>
      <c r="AG963" s="376" t="str">
        <f>CS_PID!AG963/VLOOKUP($B963,표2[#ALL],2)/HLOOKUP($A963,표1[#ALL],row(),false)</f>
        <v>#N/A</v>
      </c>
      <c r="AH963" s="376" t="str">
        <f>CS_PID!AH963/VLOOKUP($B963,표2[#ALL],2)/HLOOKUP($A963,표1[#ALL],row(),false)</f>
        <v>#N/A</v>
      </c>
      <c r="AI963" s="376" t="str">
        <f>CS_PID!AI963/VLOOKUP($B963,표2[#ALL],2)/HLOOKUP($A963,표1[#ALL],row(),false)</f>
        <v>#N/A</v>
      </c>
      <c r="AJ963" s="376" t="str">
        <f>CS_PID!AJ963/VLOOKUP($B963,표2[#ALL],2)/HLOOKUP($A963,표1[#ALL],row(),false)</f>
        <v>#N/A</v>
      </c>
      <c r="AK963" s="376" t="str">
        <f>CS_PID!AK963/VLOOKUP($B963,표2[#ALL],2)/HLOOKUP($A963,표1[#ALL],row(),false)</f>
        <v>#N/A</v>
      </c>
      <c r="AL963" s="376" t="str">
        <f>CS_PID!AL963/VLOOKUP($B963,표2[#ALL],2)/HLOOKUP($A963,표1[#ALL],row(),false)</f>
        <v>#N/A</v>
      </c>
      <c r="AM963" s="376" t="str">
        <f>CS_PID!AM963/VLOOKUP($B963,표2[#ALL],2)/HLOOKUP($A963,표1[#ALL],row(),false)</f>
        <v>#N/A</v>
      </c>
      <c r="AN963" s="376" t="str">
        <f>CS_PID!AN963/VLOOKUP($B963,표2[#ALL],2)/HLOOKUP($A963,표1[#ALL],row(),false)</f>
        <v>#N/A</v>
      </c>
      <c r="AO963" s="376" t="str">
        <f>CS_PID!AO963/VLOOKUP($B963,표2[#ALL],2)/HLOOKUP($A963,표1[#ALL],row(),false)</f>
        <v>#N/A</v>
      </c>
      <c r="AP963" s="376" t="str">
        <f>CS_PID!AP963/VLOOKUP($B963,표2[#ALL],2)/HLOOKUP($A963,표1[#ALL],row(),false)</f>
        <v>#N/A</v>
      </c>
      <c r="AQ963" s="376" t="str">
        <f>CS_PID!AQ963/VLOOKUP($B963,표2[#ALL],2)/HLOOKUP($A963,표1[#ALL],row(),false)</f>
        <v>#N/A</v>
      </c>
      <c r="AR963" s="376" t="str">
        <f>CS_PID!AR963/VLOOKUP($B963,표2[#ALL],2)/HLOOKUP($A963,표1[#ALL],row(),false)</f>
        <v>#N/A</v>
      </c>
      <c r="AS963" s="377" t="str">
        <f>CS_PID!AS963/VLOOKUP($B963,표2[#ALL],2)/HLOOKUP($A963,표1[#ALL],row(),false)</f>
        <v>#N/A</v>
      </c>
    </row>
    <row r="964">
      <c r="A964" s="370"/>
      <c r="B964" s="371"/>
      <c r="C964" s="372" t="str">
        <f>CS_PID!C964/VLOOKUP($B964,표2[#ALL],2)</f>
        <v>#N/A</v>
      </c>
      <c r="D964" s="372" t="str">
        <f>CS_PID!D964/VLOOKUP($B964,표2[#ALL],2)</f>
        <v>#N/A</v>
      </c>
      <c r="E964" s="372" t="str">
        <f>CS_PID!E964/VLOOKUP($B964,표2[#ALL],2)</f>
        <v>#N/A</v>
      </c>
      <c r="F964" s="372" t="str">
        <f>CS_PID!F964/VLOOKUP($B964,표2[#ALL],2)</f>
        <v>#N/A</v>
      </c>
      <c r="G964" s="372" t="str">
        <f>CS_PID!G964/VLOOKUP($B964,표2[#ALL],2)</f>
        <v>#N/A</v>
      </c>
      <c r="H964" s="372" t="str">
        <f>CS_PID!H964/VLOOKUP($B964,표2[#ALL],2)/HLOOKUP($A964,표1[#ALL],row(),false)</f>
        <v>#N/A</v>
      </c>
      <c r="I964" s="372" t="str">
        <f>CS_PID!I964/VLOOKUP($B964,표2[#ALL],2)/HLOOKUP($A964,표1[#ALL],row(),false)</f>
        <v>#N/A</v>
      </c>
      <c r="J964" s="372" t="str">
        <f>CS_PID!J964/VLOOKUP($B964,표2[#ALL],2)/HLOOKUP($A964,표1[#ALL],row(),false)</f>
        <v>#N/A</v>
      </c>
      <c r="K964" s="372" t="str">
        <f>CS_PID!K964/VLOOKUP($B964,표2[#ALL],2)/HLOOKUP($A964,표1[#ALL],row(),false)</f>
        <v>#N/A</v>
      </c>
      <c r="L964" s="372" t="str">
        <f>CS_PID!L964/VLOOKUP($B964,표2[#ALL],2)/HLOOKUP($A964,표1[#ALL],row(),false)</f>
        <v>#N/A</v>
      </c>
      <c r="M964" s="372" t="str">
        <f>CS_PID!M964/VLOOKUP($B964,표2[#ALL],2)/HLOOKUP($A964,표1[#ALL],row(),false)</f>
        <v>#N/A</v>
      </c>
      <c r="N964" s="372" t="str">
        <f>CS_PID!N964/VLOOKUP($B964,표2[#ALL],2)/HLOOKUP($A964,표1[#ALL],row(),false)</f>
        <v>#N/A</v>
      </c>
      <c r="O964" s="372" t="str">
        <f>CS_PID!O964/VLOOKUP($B964,표2[#ALL],2)/HLOOKUP($A964,표1[#ALL],row(),false)</f>
        <v>#N/A</v>
      </c>
      <c r="P964" s="372" t="str">
        <f>CS_PID!P964/VLOOKUP($B964,표2[#ALL],2)/HLOOKUP($A964,표1[#ALL],row(),false)</f>
        <v>#N/A</v>
      </c>
      <c r="Q964" s="372" t="str">
        <f>CS_PID!Q964/VLOOKUP($B964,표2[#ALL],2)/HLOOKUP($A964,표1[#ALL],row(),false)</f>
        <v>#N/A</v>
      </c>
      <c r="R964" s="372" t="str">
        <f>CS_PID!R964/VLOOKUP($B964,표2[#ALL],2)/HLOOKUP($A964,표1[#ALL],row(),false)</f>
        <v>#N/A</v>
      </c>
      <c r="S964" s="372" t="str">
        <f>CS_PID!S964/VLOOKUP($B964,표2[#ALL],2)/HLOOKUP($A964,표1[#ALL],row(),false)</f>
        <v>#N/A</v>
      </c>
      <c r="T964" s="372" t="str">
        <f>CS_PID!T964/VLOOKUP($B964,표2[#ALL],2)/HLOOKUP($A964,표1[#ALL],row(),false)</f>
        <v>#N/A</v>
      </c>
      <c r="U964" s="372" t="str">
        <f>CS_PID!U964/VLOOKUP($B964,표2[#ALL],2)/HLOOKUP($A964,표1[#ALL],row(),false)</f>
        <v>#N/A</v>
      </c>
      <c r="V964" s="372" t="str">
        <f>CS_PID!V964/VLOOKUP($B964,표2[#ALL],2)/HLOOKUP($A964,표1[#ALL],row(),false)</f>
        <v>#N/A</v>
      </c>
      <c r="W964" s="372" t="str">
        <f>CS_PID!W964/VLOOKUP($B964,표2[#ALL],2)/HLOOKUP($A964,표1[#ALL],row(),false)</f>
        <v>#N/A</v>
      </c>
      <c r="X964" s="372" t="str">
        <f>CS_PID!X964/VLOOKUP($B964,표2[#ALL],2)/HLOOKUP($A964,표1[#ALL],row(),false)</f>
        <v>#N/A</v>
      </c>
      <c r="Y964" s="372" t="str">
        <f>CS_PID!Y964/VLOOKUP($B964,표2[#ALL],2)/HLOOKUP($A964,표1[#ALL],row(),false)</f>
        <v>#N/A</v>
      </c>
      <c r="Z964" s="372" t="str">
        <f>CS_PID!Z964/VLOOKUP($B964,표2[#ALL],2)/HLOOKUP($A964,표1[#ALL],row(),false)</f>
        <v>#N/A</v>
      </c>
      <c r="AA964" s="372" t="str">
        <f>CS_PID!AA964/VLOOKUP($B964,표2[#ALL],2)/HLOOKUP($A964,표1[#ALL],row(),false)</f>
        <v>#N/A</v>
      </c>
      <c r="AB964" s="372" t="str">
        <f>CS_PID!AB964/VLOOKUP($B964,표2[#ALL],2)/HLOOKUP($A964,표1[#ALL],row(),false)</f>
        <v>#N/A</v>
      </c>
      <c r="AC964" s="372" t="str">
        <f>CS_PID!AC964/VLOOKUP($B964,표2[#ALL],2)/HLOOKUP($A964,표1[#ALL],row(),false)</f>
        <v>#N/A</v>
      </c>
      <c r="AD964" s="372" t="str">
        <f>CS_PID!AD964/VLOOKUP($B964,표2[#ALL],2)/HLOOKUP($A964,표1[#ALL],row(),false)</f>
        <v>#N/A</v>
      </c>
      <c r="AE964" s="372" t="str">
        <f>CS_PID!AE964/VLOOKUP($B964,표2[#ALL],2)/HLOOKUP($A964,표1[#ALL],row(),false)</f>
        <v>#N/A</v>
      </c>
      <c r="AF964" s="372" t="str">
        <f>CS_PID!AF964/VLOOKUP($B964,표2[#ALL],2)/HLOOKUP($A964,표1[#ALL],row(),false)</f>
        <v>#N/A</v>
      </c>
      <c r="AG964" s="372" t="str">
        <f>CS_PID!AG964/VLOOKUP($B964,표2[#ALL],2)/HLOOKUP($A964,표1[#ALL],row(),false)</f>
        <v>#N/A</v>
      </c>
      <c r="AH964" s="372" t="str">
        <f>CS_PID!AH964/VLOOKUP($B964,표2[#ALL],2)/HLOOKUP($A964,표1[#ALL],row(),false)</f>
        <v>#N/A</v>
      </c>
      <c r="AI964" s="372" t="str">
        <f>CS_PID!AI964/VLOOKUP($B964,표2[#ALL],2)/HLOOKUP($A964,표1[#ALL],row(),false)</f>
        <v>#N/A</v>
      </c>
      <c r="AJ964" s="372" t="str">
        <f>CS_PID!AJ964/VLOOKUP($B964,표2[#ALL],2)/HLOOKUP($A964,표1[#ALL],row(),false)</f>
        <v>#N/A</v>
      </c>
      <c r="AK964" s="372" t="str">
        <f>CS_PID!AK964/VLOOKUP($B964,표2[#ALL],2)/HLOOKUP($A964,표1[#ALL],row(),false)</f>
        <v>#N/A</v>
      </c>
      <c r="AL964" s="372" t="str">
        <f>CS_PID!AL964/VLOOKUP($B964,표2[#ALL],2)/HLOOKUP($A964,표1[#ALL],row(),false)</f>
        <v>#N/A</v>
      </c>
      <c r="AM964" s="372" t="str">
        <f>CS_PID!AM964/VLOOKUP($B964,표2[#ALL],2)/HLOOKUP($A964,표1[#ALL],row(),false)</f>
        <v>#N/A</v>
      </c>
      <c r="AN964" s="372" t="str">
        <f>CS_PID!AN964/VLOOKUP($B964,표2[#ALL],2)/HLOOKUP($A964,표1[#ALL],row(),false)</f>
        <v>#N/A</v>
      </c>
      <c r="AO964" s="372" t="str">
        <f>CS_PID!AO964/VLOOKUP($B964,표2[#ALL],2)/HLOOKUP($A964,표1[#ALL],row(),false)</f>
        <v>#N/A</v>
      </c>
      <c r="AP964" s="372" t="str">
        <f>CS_PID!AP964/VLOOKUP($B964,표2[#ALL],2)/HLOOKUP($A964,표1[#ALL],row(),false)</f>
        <v>#N/A</v>
      </c>
      <c r="AQ964" s="372" t="str">
        <f>CS_PID!AQ964/VLOOKUP($B964,표2[#ALL],2)/HLOOKUP($A964,표1[#ALL],row(),false)</f>
        <v>#N/A</v>
      </c>
      <c r="AR964" s="372" t="str">
        <f>CS_PID!AR964/VLOOKUP($B964,표2[#ALL],2)/HLOOKUP($A964,표1[#ALL],row(),false)</f>
        <v>#N/A</v>
      </c>
      <c r="AS964" s="373" t="str">
        <f>CS_PID!AS964/VLOOKUP($B964,표2[#ALL],2)/HLOOKUP($A964,표1[#ALL],row(),false)</f>
        <v>#N/A</v>
      </c>
    </row>
    <row r="965">
      <c r="A965" s="374"/>
      <c r="B965" s="375"/>
      <c r="C965" s="376" t="str">
        <f>CS_PID!C965/VLOOKUP($B965,표2[#ALL],2)</f>
        <v>#N/A</v>
      </c>
      <c r="D965" s="376" t="str">
        <f>CS_PID!D965/VLOOKUP($B965,표2[#ALL],2)</f>
        <v>#N/A</v>
      </c>
      <c r="E965" s="376" t="str">
        <f>CS_PID!E965/VLOOKUP($B965,표2[#ALL],2)</f>
        <v>#N/A</v>
      </c>
      <c r="F965" s="376" t="str">
        <f>CS_PID!F965/VLOOKUP($B965,표2[#ALL],2)</f>
        <v>#N/A</v>
      </c>
      <c r="G965" s="376" t="str">
        <f>CS_PID!G965/VLOOKUP($B965,표2[#ALL],2)</f>
        <v>#N/A</v>
      </c>
      <c r="H965" s="376" t="str">
        <f>CS_PID!H965/VLOOKUP($B965,표2[#ALL],2)/HLOOKUP($A965,표1[#ALL],row(),false)</f>
        <v>#N/A</v>
      </c>
      <c r="I965" s="376" t="str">
        <f>CS_PID!I965/VLOOKUP($B965,표2[#ALL],2)/HLOOKUP($A965,표1[#ALL],row(),false)</f>
        <v>#N/A</v>
      </c>
      <c r="J965" s="376" t="str">
        <f>CS_PID!J965/VLOOKUP($B965,표2[#ALL],2)/HLOOKUP($A965,표1[#ALL],row(),false)</f>
        <v>#N/A</v>
      </c>
      <c r="K965" s="376" t="str">
        <f>CS_PID!K965/VLOOKUP($B965,표2[#ALL],2)/HLOOKUP($A965,표1[#ALL],row(),false)</f>
        <v>#N/A</v>
      </c>
      <c r="L965" s="376" t="str">
        <f>CS_PID!L965/VLOOKUP($B965,표2[#ALL],2)/HLOOKUP($A965,표1[#ALL],row(),false)</f>
        <v>#N/A</v>
      </c>
      <c r="M965" s="376" t="str">
        <f>CS_PID!M965/VLOOKUP($B965,표2[#ALL],2)/HLOOKUP($A965,표1[#ALL],row(),false)</f>
        <v>#N/A</v>
      </c>
      <c r="N965" s="376" t="str">
        <f>CS_PID!N965/VLOOKUP($B965,표2[#ALL],2)/HLOOKUP($A965,표1[#ALL],row(),false)</f>
        <v>#N/A</v>
      </c>
      <c r="O965" s="376" t="str">
        <f>CS_PID!O965/VLOOKUP($B965,표2[#ALL],2)/HLOOKUP($A965,표1[#ALL],row(),false)</f>
        <v>#N/A</v>
      </c>
      <c r="P965" s="376" t="str">
        <f>CS_PID!P965/VLOOKUP($B965,표2[#ALL],2)/HLOOKUP($A965,표1[#ALL],row(),false)</f>
        <v>#N/A</v>
      </c>
      <c r="Q965" s="376" t="str">
        <f>CS_PID!Q965/VLOOKUP($B965,표2[#ALL],2)/HLOOKUP($A965,표1[#ALL],row(),false)</f>
        <v>#N/A</v>
      </c>
      <c r="R965" s="376" t="str">
        <f>CS_PID!R965/VLOOKUP($B965,표2[#ALL],2)/HLOOKUP($A965,표1[#ALL],row(),false)</f>
        <v>#N/A</v>
      </c>
      <c r="S965" s="376" t="str">
        <f>CS_PID!S965/VLOOKUP($B965,표2[#ALL],2)/HLOOKUP($A965,표1[#ALL],row(),false)</f>
        <v>#N/A</v>
      </c>
      <c r="T965" s="376" t="str">
        <f>CS_PID!T965/VLOOKUP($B965,표2[#ALL],2)/HLOOKUP($A965,표1[#ALL],row(),false)</f>
        <v>#N/A</v>
      </c>
      <c r="U965" s="376" t="str">
        <f>CS_PID!U965/VLOOKUP($B965,표2[#ALL],2)/HLOOKUP($A965,표1[#ALL],row(),false)</f>
        <v>#N/A</v>
      </c>
      <c r="V965" s="376" t="str">
        <f>CS_PID!V965/VLOOKUP($B965,표2[#ALL],2)/HLOOKUP($A965,표1[#ALL],row(),false)</f>
        <v>#N/A</v>
      </c>
      <c r="W965" s="376" t="str">
        <f>CS_PID!W965/VLOOKUP($B965,표2[#ALL],2)/HLOOKUP($A965,표1[#ALL],row(),false)</f>
        <v>#N/A</v>
      </c>
      <c r="X965" s="376" t="str">
        <f>CS_PID!X965/VLOOKUP($B965,표2[#ALL],2)/HLOOKUP($A965,표1[#ALL],row(),false)</f>
        <v>#N/A</v>
      </c>
      <c r="Y965" s="376" t="str">
        <f>CS_PID!Y965/VLOOKUP($B965,표2[#ALL],2)/HLOOKUP($A965,표1[#ALL],row(),false)</f>
        <v>#N/A</v>
      </c>
      <c r="Z965" s="376" t="str">
        <f>CS_PID!Z965/VLOOKUP($B965,표2[#ALL],2)/HLOOKUP($A965,표1[#ALL],row(),false)</f>
        <v>#N/A</v>
      </c>
      <c r="AA965" s="376" t="str">
        <f>CS_PID!AA965/VLOOKUP($B965,표2[#ALL],2)/HLOOKUP($A965,표1[#ALL],row(),false)</f>
        <v>#N/A</v>
      </c>
      <c r="AB965" s="376" t="str">
        <f>CS_PID!AB965/VLOOKUP($B965,표2[#ALL],2)/HLOOKUP($A965,표1[#ALL],row(),false)</f>
        <v>#N/A</v>
      </c>
      <c r="AC965" s="376" t="str">
        <f>CS_PID!AC965/VLOOKUP($B965,표2[#ALL],2)/HLOOKUP($A965,표1[#ALL],row(),false)</f>
        <v>#N/A</v>
      </c>
      <c r="AD965" s="376" t="str">
        <f>CS_PID!AD965/VLOOKUP($B965,표2[#ALL],2)/HLOOKUP($A965,표1[#ALL],row(),false)</f>
        <v>#N/A</v>
      </c>
      <c r="AE965" s="376" t="str">
        <f>CS_PID!AE965/VLOOKUP($B965,표2[#ALL],2)/HLOOKUP($A965,표1[#ALL],row(),false)</f>
        <v>#N/A</v>
      </c>
      <c r="AF965" s="376" t="str">
        <f>CS_PID!AF965/VLOOKUP($B965,표2[#ALL],2)/HLOOKUP($A965,표1[#ALL],row(),false)</f>
        <v>#N/A</v>
      </c>
      <c r="AG965" s="376" t="str">
        <f>CS_PID!AG965/VLOOKUP($B965,표2[#ALL],2)/HLOOKUP($A965,표1[#ALL],row(),false)</f>
        <v>#N/A</v>
      </c>
      <c r="AH965" s="376" t="str">
        <f>CS_PID!AH965/VLOOKUP($B965,표2[#ALL],2)/HLOOKUP($A965,표1[#ALL],row(),false)</f>
        <v>#N/A</v>
      </c>
      <c r="AI965" s="376" t="str">
        <f>CS_PID!AI965/VLOOKUP($B965,표2[#ALL],2)/HLOOKUP($A965,표1[#ALL],row(),false)</f>
        <v>#N/A</v>
      </c>
      <c r="AJ965" s="376" t="str">
        <f>CS_PID!AJ965/VLOOKUP($B965,표2[#ALL],2)/HLOOKUP($A965,표1[#ALL],row(),false)</f>
        <v>#N/A</v>
      </c>
      <c r="AK965" s="376" t="str">
        <f>CS_PID!AK965/VLOOKUP($B965,표2[#ALL],2)/HLOOKUP($A965,표1[#ALL],row(),false)</f>
        <v>#N/A</v>
      </c>
      <c r="AL965" s="376" t="str">
        <f>CS_PID!AL965/VLOOKUP($B965,표2[#ALL],2)/HLOOKUP($A965,표1[#ALL],row(),false)</f>
        <v>#N/A</v>
      </c>
      <c r="AM965" s="376" t="str">
        <f>CS_PID!AM965/VLOOKUP($B965,표2[#ALL],2)/HLOOKUP($A965,표1[#ALL],row(),false)</f>
        <v>#N/A</v>
      </c>
      <c r="AN965" s="376" t="str">
        <f>CS_PID!AN965/VLOOKUP($B965,표2[#ALL],2)/HLOOKUP($A965,표1[#ALL],row(),false)</f>
        <v>#N/A</v>
      </c>
      <c r="AO965" s="376" t="str">
        <f>CS_PID!AO965/VLOOKUP($B965,표2[#ALL],2)/HLOOKUP($A965,표1[#ALL],row(),false)</f>
        <v>#N/A</v>
      </c>
      <c r="AP965" s="376" t="str">
        <f>CS_PID!AP965/VLOOKUP($B965,표2[#ALL],2)/HLOOKUP($A965,표1[#ALL],row(),false)</f>
        <v>#N/A</v>
      </c>
      <c r="AQ965" s="376" t="str">
        <f>CS_PID!AQ965/VLOOKUP($B965,표2[#ALL],2)/HLOOKUP($A965,표1[#ALL],row(),false)</f>
        <v>#N/A</v>
      </c>
      <c r="AR965" s="376" t="str">
        <f>CS_PID!AR965/VLOOKUP($B965,표2[#ALL],2)/HLOOKUP($A965,표1[#ALL],row(),false)</f>
        <v>#N/A</v>
      </c>
      <c r="AS965" s="377" t="str">
        <f>CS_PID!AS965/VLOOKUP($B965,표2[#ALL],2)/HLOOKUP($A965,표1[#ALL],row(),false)</f>
        <v>#N/A</v>
      </c>
    </row>
    <row r="966">
      <c r="A966" s="370"/>
      <c r="B966" s="371"/>
      <c r="C966" s="372" t="str">
        <f>CS_PID!C966/VLOOKUP($B966,표2[#ALL],2)</f>
        <v>#N/A</v>
      </c>
      <c r="D966" s="372" t="str">
        <f>CS_PID!D966/VLOOKUP($B966,표2[#ALL],2)</f>
        <v>#N/A</v>
      </c>
      <c r="E966" s="372" t="str">
        <f>CS_PID!E966/VLOOKUP($B966,표2[#ALL],2)</f>
        <v>#N/A</v>
      </c>
      <c r="F966" s="372" t="str">
        <f>CS_PID!F966/VLOOKUP($B966,표2[#ALL],2)</f>
        <v>#N/A</v>
      </c>
      <c r="G966" s="372" t="str">
        <f>CS_PID!G966/VLOOKUP($B966,표2[#ALL],2)</f>
        <v>#N/A</v>
      </c>
      <c r="H966" s="372" t="str">
        <f>CS_PID!H966/VLOOKUP($B966,표2[#ALL],2)/HLOOKUP($A966,표1[#ALL],row(),false)</f>
        <v>#N/A</v>
      </c>
      <c r="I966" s="372" t="str">
        <f>CS_PID!I966/VLOOKUP($B966,표2[#ALL],2)/HLOOKUP($A966,표1[#ALL],row(),false)</f>
        <v>#N/A</v>
      </c>
      <c r="J966" s="372" t="str">
        <f>CS_PID!J966/VLOOKUP($B966,표2[#ALL],2)/HLOOKUP($A966,표1[#ALL],row(),false)</f>
        <v>#N/A</v>
      </c>
      <c r="K966" s="372" t="str">
        <f>CS_PID!K966/VLOOKUP($B966,표2[#ALL],2)/HLOOKUP($A966,표1[#ALL],row(),false)</f>
        <v>#N/A</v>
      </c>
      <c r="L966" s="372" t="str">
        <f>CS_PID!L966/VLOOKUP($B966,표2[#ALL],2)/HLOOKUP($A966,표1[#ALL],row(),false)</f>
        <v>#N/A</v>
      </c>
      <c r="M966" s="372" t="str">
        <f>CS_PID!M966/VLOOKUP($B966,표2[#ALL],2)/HLOOKUP($A966,표1[#ALL],row(),false)</f>
        <v>#N/A</v>
      </c>
      <c r="N966" s="372" t="str">
        <f>CS_PID!N966/VLOOKUP($B966,표2[#ALL],2)/HLOOKUP($A966,표1[#ALL],row(),false)</f>
        <v>#N/A</v>
      </c>
      <c r="O966" s="372" t="str">
        <f>CS_PID!O966/VLOOKUP($B966,표2[#ALL],2)/HLOOKUP($A966,표1[#ALL],row(),false)</f>
        <v>#N/A</v>
      </c>
      <c r="P966" s="372" t="str">
        <f>CS_PID!P966/VLOOKUP($B966,표2[#ALL],2)/HLOOKUP($A966,표1[#ALL],row(),false)</f>
        <v>#N/A</v>
      </c>
      <c r="Q966" s="372" t="str">
        <f>CS_PID!Q966/VLOOKUP($B966,표2[#ALL],2)/HLOOKUP($A966,표1[#ALL],row(),false)</f>
        <v>#N/A</v>
      </c>
      <c r="R966" s="372" t="str">
        <f>CS_PID!R966/VLOOKUP($B966,표2[#ALL],2)/HLOOKUP($A966,표1[#ALL],row(),false)</f>
        <v>#N/A</v>
      </c>
      <c r="S966" s="372" t="str">
        <f>CS_PID!S966/VLOOKUP($B966,표2[#ALL],2)/HLOOKUP($A966,표1[#ALL],row(),false)</f>
        <v>#N/A</v>
      </c>
      <c r="T966" s="372" t="str">
        <f>CS_PID!T966/VLOOKUP($B966,표2[#ALL],2)/HLOOKUP($A966,표1[#ALL],row(),false)</f>
        <v>#N/A</v>
      </c>
      <c r="U966" s="372" t="str">
        <f>CS_PID!U966/VLOOKUP($B966,표2[#ALL],2)/HLOOKUP($A966,표1[#ALL],row(),false)</f>
        <v>#N/A</v>
      </c>
      <c r="V966" s="372" t="str">
        <f>CS_PID!V966/VLOOKUP($B966,표2[#ALL],2)/HLOOKUP($A966,표1[#ALL],row(),false)</f>
        <v>#N/A</v>
      </c>
      <c r="W966" s="372" t="str">
        <f>CS_PID!W966/VLOOKUP($B966,표2[#ALL],2)/HLOOKUP($A966,표1[#ALL],row(),false)</f>
        <v>#N/A</v>
      </c>
      <c r="X966" s="372" t="str">
        <f>CS_PID!X966/VLOOKUP($B966,표2[#ALL],2)/HLOOKUP($A966,표1[#ALL],row(),false)</f>
        <v>#N/A</v>
      </c>
      <c r="Y966" s="372" t="str">
        <f>CS_PID!Y966/VLOOKUP($B966,표2[#ALL],2)/HLOOKUP($A966,표1[#ALL],row(),false)</f>
        <v>#N/A</v>
      </c>
      <c r="Z966" s="372" t="str">
        <f>CS_PID!Z966/VLOOKUP($B966,표2[#ALL],2)/HLOOKUP($A966,표1[#ALL],row(),false)</f>
        <v>#N/A</v>
      </c>
      <c r="AA966" s="372" t="str">
        <f>CS_PID!AA966/VLOOKUP($B966,표2[#ALL],2)/HLOOKUP($A966,표1[#ALL],row(),false)</f>
        <v>#N/A</v>
      </c>
      <c r="AB966" s="372" t="str">
        <f>CS_PID!AB966/VLOOKUP($B966,표2[#ALL],2)/HLOOKUP($A966,표1[#ALL],row(),false)</f>
        <v>#N/A</v>
      </c>
      <c r="AC966" s="372" t="str">
        <f>CS_PID!AC966/VLOOKUP($B966,표2[#ALL],2)/HLOOKUP($A966,표1[#ALL],row(),false)</f>
        <v>#N/A</v>
      </c>
      <c r="AD966" s="372" t="str">
        <f>CS_PID!AD966/VLOOKUP($B966,표2[#ALL],2)/HLOOKUP($A966,표1[#ALL],row(),false)</f>
        <v>#N/A</v>
      </c>
      <c r="AE966" s="372" t="str">
        <f>CS_PID!AE966/VLOOKUP($B966,표2[#ALL],2)/HLOOKUP($A966,표1[#ALL],row(),false)</f>
        <v>#N/A</v>
      </c>
      <c r="AF966" s="372" t="str">
        <f>CS_PID!AF966/VLOOKUP($B966,표2[#ALL],2)/HLOOKUP($A966,표1[#ALL],row(),false)</f>
        <v>#N/A</v>
      </c>
      <c r="AG966" s="372" t="str">
        <f>CS_PID!AG966/VLOOKUP($B966,표2[#ALL],2)/HLOOKUP($A966,표1[#ALL],row(),false)</f>
        <v>#N/A</v>
      </c>
      <c r="AH966" s="372" t="str">
        <f>CS_PID!AH966/VLOOKUP($B966,표2[#ALL],2)/HLOOKUP($A966,표1[#ALL],row(),false)</f>
        <v>#N/A</v>
      </c>
      <c r="AI966" s="372" t="str">
        <f>CS_PID!AI966/VLOOKUP($B966,표2[#ALL],2)/HLOOKUP($A966,표1[#ALL],row(),false)</f>
        <v>#N/A</v>
      </c>
      <c r="AJ966" s="372" t="str">
        <f>CS_PID!AJ966/VLOOKUP($B966,표2[#ALL],2)/HLOOKUP($A966,표1[#ALL],row(),false)</f>
        <v>#N/A</v>
      </c>
      <c r="AK966" s="372" t="str">
        <f>CS_PID!AK966/VLOOKUP($B966,표2[#ALL],2)/HLOOKUP($A966,표1[#ALL],row(),false)</f>
        <v>#N/A</v>
      </c>
      <c r="AL966" s="372" t="str">
        <f>CS_PID!AL966/VLOOKUP($B966,표2[#ALL],2)/HLOOKUP($A966,표1[#ALL],row(),false)</f>
        <v>#N/A</v>
      </c>
      <c r="AM966" s="372" t="str">
        <f>CS_PID!AM966/VLOOKUP($B966,표2[#ALL],2)/HLOOKUP($A966,표1[#ALL],row(),false)</f>
        <v>#N/A</v>
      </c>
      <c r="AN966" s="372" t="str">
        <f>CS_PID!AN966/VLOOKUP($B966,표2[#ALL],2)/HLOOKUP($A966,표1[#ALL],row(),false)</f>
        <v>#N/A</v>
      </c>
      <c r="AO966" s="372" t="str">
        <f>CS_PID!AO966/VLOOKUP($B966,표2[#ALL],2)/HLOOKUP($A966,표1[#ALL],row(),false)</f>
        <v>#N/A</v>
      </c>
      <c r="AP966" s="372" t="str">
        <f>CS_PID!AP966/VLOOKUP($B966,표2[#ALL],2)/HLOOKUP($A966,표1[#ALL],row(),false)</f>
        <v>#N/A</v>
      </c>
      <c r="AQ966" s="372" t="str">
        <f>CS_PID!AQ966/VLOOKUP($B966,표2[#ALL],2)/HLOOKUP($A966,표1[#ALL],row(),false)</f>
        <v>#N/A</v>
      </c>
      <c r="AR966" s="372" t="str">
        <f>CS_PID!AR966/VLOOKUP($B966,표2[#ALL],2)/HLOOKUP($A966,표1[#ALL],row(),false)</f>
        <v>#N/A</v>
      </c>
      <c r="AS966" s="373" t="str">
        <f>CS_PID!AS966/VLOOKUP($B966,표2[#ALL],2)/HLOOKUP($A966,표1[#ALL],row(),false)</f>
        <v>#N/A</v>
      </c>
    </row>
    <row r="967">
      <c r="A967" s="374"/>
      <c r="B967" s="375"/>
      <c r="C967" s="376" t="str">
        <f>CS_PID!C967/VLOOKUP($B967,표2[#ALL],2)</f>
        <v>#N/A</v>
      </c>
      <c r="D967" s="376" t="str">
        <f>CS_PID!D967/VLOOKUP($B967,표2[#ALL],2)</f>
        <v>#N/A</v>
      </c>
      <c r="E967" s="376" t="str">
        <f>CS_PID!E967/VLOOKUP($B967,표2[#ALL],2)</f>
        <v>#N/A</v>
      </c>
      <c r="F967" s="376" t="str">
        <f>CS_PID!F967/VLOOKUP($B967,표2[#ALL],2)</f>
        <v>#N/A</v>
      </c>
      <c r="G967" s="376" t="str">
        <f>CS_PID!G967/VLOOKUP($B967,표2[#ALL],2)</f>
        <v>#N/A</v>
      </c>
      <c r="H967" s="376" t="str">
        <f>CS_PID!H967/VLOOKUP($B967,표2[#ALL],2)/HLOOKUP($A967,표1[#ALL],row(),false)</f>
        <v>#N/A</v>
      </c>
      <c r="I967" s="376" t="str">
        <f>CS_PID!I967/VLOOKUP($B967,표2[#ALL],2)/HLOOKUP($A967,표1[#ALL],row(),false)</f>
        <v>#N/A</v>
      </c>
      <c r="J967" s="376" t="str">
        <f>CS_PID!J967/VLOOKUP($B967,표2[#ALL],2)/HLOOKUP($A967,표1[#ALL],row(),false)</f>
        <v>#N/A</v>
      </c>
      <c r="K967" s="376" t="str">
        <f>CS_PID!K967/VLOOKUP($B967,표2[#ALL],2)/HLOOKUP($A967,표1[#ALL],row(),false)</f>
        <v>#N/A</v>
      </c>
      <c r="L967" s="376" t="str">
        <f>CS_PID!L967/VLOOKUP($B967,표2[#ALL],2)/HLOOKUP($A967,표1[#ALL],row(),false)</f>
        <v>#N/A</v>
      </c>
      <c r="M967" s="376" t="str">
        <f>CS_PID!M967/VLOOKUP($B967,표2[#ALL],2)/HLOOKUP($A967,표1[#ALL],row(),false)</f>
        <v>#N/A</v>
      </c>
      <c r="N967" s="376" t="str">
        <f>CS_PID!N967/VLOOKUP($B967,표2[#ALL],2)/HLOOKUP($A967,표1[#ALL],row(),false)</f>
        <v>#N/A</v>
      </c>
      <c r="O967" s="376" t="str">
        <f>CS_PID!O967/VLOOKUP($B967,표2[#ALL],2)/HLOOKUP($A967,표1[#ALL],row(),false)</f>
        <v>#N/A</v>
      </c>
      <c r="P967" s="376" t="str">
        <f>CS_PID!P967/VLOOKUP($B967,표2[#ALL],2)/HLOOKUP($A967,표1[#ALL],row(),false)</f>
        <v>#N/A</v>
      </c>
      <c r="Q967" s="376" t="str">
        <f>CS_PID!Q967/VLOOKUP($B967,표2[#ALL],2)/HLOOKUP($A967,표1[#ALL],row(),false)</f>
        <v>#N/A</v>
      </c>
      <c r="R967" s="376" t="str">
        <f>CS_PID!R967/VLOOKUP($B967,표2[#ALL],2)/HLOOKUP($A967,표1[#ALL],row(),false)</f>
        <v>#N/A</v>
      </c>
      <c r="S967" s="376" t="str">
        <f>CS_PID!S967/VLOOKUP($B967,표2[#ALL],2)/HLOOKUP($A967,표1[#ALL],row(),false)</f>
        <v>#N/A</v>
      </c>
      <c r="T967" s="376" t="str">
        <f>CS_PID!T967/VLOOKUP($B967,표2[#ALL],2)/HLOOKUP($A967,표1[#ALL],row(),false)</f>
        <v>#N/A</v>
      </c>
      <c r="U967" s="376" t="str">
        <f>CS_PID!U967/VLOOKUP($B967,표2[#ALL],2)/HLOOKUP($A967,표1[#ALL],row(),false)</f>
        <v>#N/A</v>
      </c>
      <c r="V967" s="376" t="str">
        <f>CS_PID!V967/VLOOKUP($B967,표2[#ALL],2)/HLOOKUP($A967,표1[#ALL],row(),false)</f>
        <v>#N/A</v>
      </c>
      <c r="W967" s="376" t="str">
        <f>CS_PID!W967/VLOOKUP($B967,표2[#ALL],2)/HLOOKUP($A967,표1[#ALL],row(),false)</f>
        <v>#N/A</v>
      </c>
      <c r="X967" s="376" t="str">
        <f>CS_PID!X967/VLOOKUP($B967,표2[#ALL],2)/HLOOKUP($A967,표1[#ALL],row(),false)</f>
        <v>#N/A</v>
      </c>
      <c r="Y967" s="376" t="str">
        <f>CS_PID!Y967/VLOOKUP($B967,표2[#ALL],2)/HLOOKUP($A967,표1[#ALL],row(),false)</f>
        <v>#N/A</v>
      </c>
      <c r="Z967" s="376" t="str">
        <f>CS_PID!Z967/VLOOKUP($B967,표2[#ALL],2)/HLOOKUP($A967,표1[#ALL],row(),false)</f>
        <v>#N/A</v>
      </c>
      <c r="AA967" s="376" t="str">
        <f>CS_PID!AA967/VLOOKUP($B967,표2[#ALL],2)/HLOOKUP($A967,표1[#ALL],row(),false)</f>
        <v>#N/A</v>
      </c>
      <c r="AB967" s="376" t="str">
        <f>CS_PID!AB967/VLOOKUP($B967,표2[#ALL],2)/HLOOKUP($A967,표1[#ALL],row(),false)</f>
        <v>#N/A</v>
      </c>
      <c r="AC967" s="376" t="str">
        <f>CS_PID!AC967/VLOOKUP($B967,표2[#ALL],2)/HLOOKUP($A967,표1[#ALL],row(),false)</f>
        <v>#N/A</v>
      </c>
      <c r="AD967" s="376" t="str">
        <f>CS_PID!AD967/VLOOKUP($B967,표2[#ALL],2)/HLOOKUP($A967,표1[#ALL],row(),false)</f>
        <v>#N/A</v>
      </c>
      <c r="AE967" s="376" t="str">
        <f>CS_PID!AE967/VLOOKUP($B967,표2[#ALL],2)/HLOOKUP($A967,표1[#ALL],row(),false)</f>
        <v>#N/A</v>
      </c>
      <c r="AF967" s="376" t="str">
        <f>CS_PID!AF967/VLOOKUP($B967,표2[#ALL],2)/HLOOKUP($A967,표1[#ALL],row(),false)</f>
        <v>#N/A</v>
      </c>
      <c r="AG967" s="376" t="str">
        <f>CS_PID!AG967/VLOOKUP($B967,표2[#ALL],2)/HLOOKUP($A967,표1[#ALL],row(),false)</f>
        <v>#N/A</v>
      </c>
      <c r="AH967" s="376" t="str">
        <f>CS_PID!AH967/VLOOKUP($B967,표2[#ALL],2)/HLOOKUP($A967,표1[#ALL],row(),false)</f>
        <v>#N/A</v>
      </c>
      <c r="AI967" s="376" t="str">
        <f>CS_PID!AI967/VLOOKUP($B967,표2[#ALL],2)/HLOOKUP($A967,표1[#ALL],row(),false)</f>
        <v>#N/A</v>
      </c>
      <c r="AJ967" s="376" t="str">
        <f>CS_PID!AJ967/VLOOKUP($B967,표2[#ALL],2)/HLOOKUP($A967,표1[#ALL],row(),false)</f>
        <v>#N/A</v>
      </c>
      <c r="AK967" s="376" t="str">
        <f>CS_PID!AK967/VLOOKUP($B967,표2[#ALL],2)/HLOOKUP($A967,표1[#ALL],row(),false)</f>
        <v>#N/A</v>
      </c>
      <c r="AL967" s="376" t="str">
        <f>CS_PID!AL967/VLOOKUP($B967,표2[#ALL],2)/HLOOKUP($A967,표1[#ALL],row(),false)</f>
        <v>#N/A</v>
      </c>
      <c r="AM967" s="376" t="str">
        <f>CS_PID!AM967/VLOOKUP($B967,표2[#ALL],2)/HLOOKUP($A967,표1[#ALL],row(),false)</f>
        <v>#N/A</v>
      </c>
      <c r="AN967" s="376" t="str">
        <f>CS_PID!AN967/VLOOKUP($B967,표2[#ALL],2)/HLOOKUP($A967,표1[#ALL],row(),false)</f>
        <v>#N/A</v>
      </c>
      <c r="AO967" s="376" t="str">
        <f>CS_PID!AO967/VLOOKUP($B967,표2[#ALL],2)/HLOOKUP($A967,표1[#ALL],row(),false)</f>
        <v>#N/A</v>
      </c>
      <c r="AP967" s="376" t="str">
        <f>CS_PID!AP967/VLOOKUP($B967,표2[#ALL],2)/HLOOKUP($A967,표1[#ALL],row(),false)</f>
        <v>#N/A</v>
      </c>
      <c r="AQ967" s="376" t="str">
        <f>CS_PID!AQ967/VLOOKUP($B967,표2[#ALL],2)/HLOOKUP($A967,표1[#ALL],row(),false)</f>
        <v>#N/A</v>
      </c>
      <c r="AR967" s="376" t="str">
        <f>CS_PID!AR967/VLOOKUP($B967,표2[#ALL],2)/HLOOKUP($A967,표1[#ALL],row(),false)</f>
        <v>#N/A</v>
      </c>
      <c r="AS967" s="377" t="str">
        <f>CS_PID!AS967/VLOOKUP($B967,표2[#ALL],2)/HLOOKUP($A967,표1[#ALL],row(),false)</f>
        <v>#N/A</v>
      </c>
    </row>
    <row r="968">
      <c r="A968" s="370"/>
      <c r="B968" s="371"/>
      <c r="C968" s="372" t="str">
        <f>CS_PID!C968/VLOOKUP($B968,표2[#ALL],2)</f>
        <v>#N/A</v>
      </c>
      <c r="D968" s="372" t="str">
        <f>CS_PID!D968/VLOOKUP($B968,표2[#ALL],2)</f>
        <v>#N/A</v>
      </c>
      <c r="E968" s="372" t="str">
        <f>CS_PID!E968/VLOOKUP($B968,표2[#ALL],2)</f>
        <v>#N/A</v>
      </c>
      <c r="F968" s="372" t="str">
        <f>CS_PID!F968/VLOOKUP($B968,표2[#ALL],2)</f>
        <v>#N/A</v>
      </c>
      <c r="G968" s="372" t="str">
        <f>CS_PID!G968/VLOOKUP($B968,표2[#ALL],2)</f>
        <v>#N/A</v>
      </c>
      <c r="H968" s="372" t="str">
        <f>CS_PID!H968/VLOOKUP($B968,표2[#ALL],2)/HLOOKUP($A968,표1[#ALL],row(),false)</f>
        <v>#N/A</v>
      </c>
      <c r="I968" s="372" t="str">
        <f>CS_PID!I968/VLOOKUP($B968,표2[#ALL],2)/HLOOKUP($A968,표1[#ALL],row(),false)</f>
        <v>#N/A</v>
      </c>
      <c r="J968" s="372" t="str">
        <f>CS_PID!J968/VLOOKUP($B968,표2[#ALL],2)/HLOOKUP($A968,표1[#ALL],row(),false)</f>
        <v>#N/A</v>
      </c>
      <c r="K968" s="372" t="str">
        <f>CS_PID!K968/VLOOKUP($B968,표2[#ALL],2)/HLOOKUP($A968,표1[#ALL],row(),false)</f>
        <v>#N/A</v>
      </c>
      <c r="L968" s="372" t="str">
        <f>CS_PID!L968/VLOOKUP($B968,표2[#ALL],2)/HLOOKUP($A968,표1[#ALL],row(),false)</f>
        <v>#N/A</v>
      </c>
      <c r="M968" s="372" t="str">
        <f>CS_PID!M968/VLOOKUP($B968,표2[#ALL],2)/HLOOKUP($A968,표1[#ALL],row(),false)</f>
        <v>#N/A</v>
      </c>
      <c r="N968" s="372" t="str">
        <f>CS_PID!N968/VLOOKUP($B968,표2[#ALL],2)/HLOOKUP($A968,표1[#ALL],row(),false)</f>
        <v>#N/A</v>
      </c>
      <c r="O968" s="372" t="str">
        <f>CS_PID!O968/VLOOKUP($B968,표2[#ALL],2)/HLOOKUP($A968,표1[#ALL],row(),false)</f>
        <v>#N/A</v>
      </c>
      <c r="P968" s="372" t="str">
        <f>CS_PID!P968/VLOOKUP($B968,표2[#ALL],2)/HLOOKUP($A968,표1[#ALL],row(),false)</f>
        <v>#N/A</v>
      </c>
      <c r="Q968" s="372" t="str">
        <f>CS_PID!Q968/VLOOKUP($B968,표2[#ALL],2)/HLOOKUP($A968,표1[#ALL],row(),false)</f>
        <v>#N/A</v>
      </c>
      <c r="R968" s="372" t="str">
        <f>CS_PID!R968/VLOOKUP($B968,표2[#ALL],2)/HLOOKUP($A968,표1[#ALL],row(),false)</f>
        <v>#N/A</v>
      </c>
      <c r="S968" s="372" t="str">
        <f>CS_PID!S968/VLOOKUP($B968,표2[#ALL],2)/HLOOKUP($A968,표1[#ALL],row(),false)</f>
        <v>#N/A</v>
      </c>
      <c r="T968" s="372" t="str">
        <f>CS_PID!T968/VLOOKUP($B968,표2[#ALL],2)/HLOOKUP($A968,표1[#ALL],row(),false)</f>
        <v>#N/A</v>
      </c>
      <c r="U968" s="372" t="str">
        <f>CS_PID!U968/VLOOKUP($B968,표2[#ALL],2)/HLOOKUP($A968,표1[#ALL],row(),false)</f>
        <v>#N/A</v>
      </c>
      <c r="V968" s="372" t="str">
        <f>CS_PID!V968/VLOOKUP($B968,표2[#ALL],2)/HLOOKUP($A968,표1[#ALL],row(),false)</f>
        <v>#N/A</v>
      </c>
      <c r="W968" s="372" t="str">
        <f>CS_PID!W968/VLOOKUP($B968,표2[#ALL],2)/HLOOKUP($A968,표1[#ALL],row(),false)</f>
        <v>#N/A</v>
      </c>
      <c r="X968" s="372" t="str">
        <f>CS_PID!X968/VLOOKUP($B968,표2[#ALL],2)/HLOOKUP($A968,표1[#ALL],row(),false)</f>
        <v>#N/A</v>
      </c>
      <c r="Y968" s="372" t="str">
        <f>CS_PID!Y968/VLOOKUP($B968,표2[#ALL],2)/HLOOKUP($A968,표1[#ALL],row(),false)</f>
        <v>#N/A</v>
      </c>
      <c r="Z968" s="372" t="str">
        <f>CS_PID!Z968/VLOOKUP($B968,표2[#ALL],2)/HLOOKUP($A968,표1[#ALL],row(),false)</f>
        <v>#N/A</v>
      </c>
      <c r="AA968" s="372" t="str">
        <f>CS_PID!AA968/VLOOKUP($B968,표2[#ALL],2)/HLOOKUP($A968,표1[#ALL],row(),false)</f>
        <v>#N/A</v>
      </c>
      <c r="AB968" s="372" t="str">
        <f>CS_PID!AB968/VLOOKUP($B968,표2[#ALL],2)/HLOOKUP($A968,표1[#ALL],row(),false)</f>
        <v>#N/A</v>
      </c>
      <c r="AC968" s="372" t="str">
        <f>CS_PID!AC968/VLOOKUP($B968,표2[#ALL],2)/HLOOKUP($A968,표1[#ALL],row(),false)</f>
        <v>#N/A</v>
      </c>
      <c r="AD968" s="372" t="str">
        <f>CS_PID!AD968/VLOOKUP($B968,표2[#ALL],2)/HLOOKUP($A968,표1[#ALL],row(),false)</f>
        <v>#N/A</v>
      </c>
      <c r="AE968" s="372" t="str">
        <f>CS_PID!AE968/VLOOKUP($B968,표2[#ALL],2)/HLOOKUP($A968,표1[#ALL],row(),false)</f>
        <v>#N/A</v>
      </c>
      <c r="AF968" s="372" t="str">
        <f>CS_PID!AF968/VLOOKUP($B968,표2[#ALL],2)/HLOOKUP($A968,표1[#ALL],row(),false)</f>
        <v>#N/A</v>
      </c>
      <c r="AG968" s="372" t="str">
        <f>CS_PID!AG968/VLOOKUP($B968,표2[#ALL],2)/HLOOKUP($A968,표1[#ALL],row(),false)</f>
        <v>#N/A</v>
      </c>
      <c r="AH968" s="372" t="str">
        <f>CS_PID!AH968/VLOOKUP($B968,표2[#ALL],2)/HLOOKUP($A968,표1[#ALL],row(),false)</f>
        <v>#N/A</v>
      </c>
      <c r="AI968" s="372" t="str">
        <f>CS_PID!AI968/VLOOKUP($B968,표2[#ALL],2)/HLOOKUP($A968,표1[#ALL],row(),false)</f>
        <v>#N/A</v>
      </c>
      <c r="AJ968" s="372" t="str">
        <f>CS_PID!AJ968/VLOOKUP($B968,표2[#ALL],2)/HLOOKUP($A968,표1[#ALL],row(),false)</f>
        <v>#N/A</v>
      </c>
      <c r="AK968" s="372" t="str">
        <f>CS_PID!AK968/VLOOKUP($B968,표2[#ALL],2)/HLOOKUP($A968,표1[#ALL],row(),false)</f>
        <v>#N/A</v>
      </c>
      <c r="AL968" s="372" t="str">
        <f>CS_PID!AL968/VLOOKUP($B968,표2[#ALL],2)/HLOOKUP($A968,표1[#ALL],row(),false)</f>
        <v>#N/A</v>
      </c>
      <c r="AM968" s="372" t="str">
        <f>CS_PID!AM968/VLOOKUP($B968,표2[#ALL],2)/HLOOKUP($A968,표1[#ALL],row(),false)</f>
        <v>#N/A</v>
      </c>
      <c r="AN968" s="372" t="str">
        <f>CS_PID!AN968/VLOOKUP($B968,표2[#ALL],2)/HLOOKUP($A968,표1[#ALL],row(),false)</f>
        <v>#N/A</v>
      </c>
      <c r="AO968" s="372" t="str">
        <f>CS_PID!AO968/VLOOKUP($B968,표2[#ALL],2)/HLOOKUP($A968,표1[#ALL],row(),false)</f>
        <v>#N/A</v>
      </c>
      <c r="AP968" s="372" t="str">
        <f>CS_PID!AP968/VLOOKUP($B968,표2[#ALL],2)/HLOOKUP($A968,표1[#ALL],row(),false)</f>
        <v>#N/A</v>
      </c>
      <c r="AQ968" s="372" t="str">
        <f>CS_PID!AQ968/VLOOKUP($B968,표2[#ALL],2)/HLOOKUP($A968,표1[#ALL],row(),false)</f>
        <v>#N/A</v>
      </c>
      <c r="AR968" s="372" t="str">
        <f>CS_PID!AR968/VLOOKUP($B968,표2[#ALL],2)/HLOOKUP($A968,표1[#ALL],row(),false)</f>
        <v>#N/A</v>
      </c>
      <c r="AS968" s="373" t="str">
        <f>CS_PID!AS968/VLOOKUP($B968,표2[#ALL],2)/HLOOKUP($A968,표1[#ALL],row(),false)</f>
        <v>#N/A</v>
      </c>
    </row>
    <row r="969">
      <c r="A969" s="374"/>
      <c r="B969" s="375"/>
      <c r="C969" s="376" t="str">
        <f>CS_PID!C969/VLOOKUP($B969,표2[#ALL],2)</f>
        <v>#N/A</v>
      </c>
      <c r="D969" s="376" t="str">
        <f>CS_PID!D969/VLOOKUP($B969,표2[#ALL],2)</f>
        <v>#N/A</v>
      </c>
      <c r="E969" s="376" t="str">
        <f>CS_PID!E969/VLOOKUP($B969,표2[#ALL],2)</f>
        <v>#N/A</v>
      </c>
      <c r="F969" s="376" t="str">
        <f>CS_PID!F969/VLOOKUP($B969,표2[#ALL],2)</f>
        <v>#N/A</v>
      </c>
      <c r="G969" s="376" t="str">
        <f>CS_PID!G969/VLOOKUP($B969,표2[#ALL],2)</f>
        <v>#N/A</v>
      </c>
      <c r="H969" s="376" t="str">
        <f>CS_PID!H969/VLOOKUP($B969,표2[#ALL],2)/HLOOKUP($A969,표1[#ALL],row(),false)</f>
        <v>#N/A</v>
      </c>
      <c r="I969" s="376" t="str">
        <f>CS_PID!I969/VLOOKUP($B969,표2[#ALL],2)/HLOOKUP($A969,표1[#ALL],row(),false)</f>
        <v>#N/A</v>
      </c>
      <c r="J969" s="376" t="str">
        <f>CS_PID!J969/VLOOKUP($B969,표2[#ALL],2)/HLOOKUP($A969,표1[#ALL],row(),false)</f>
        <v>#N/A</v>
      </c>
      <c r="K969" s="376" t="str">
        <f>CS_PID!K969/VLOOKUP($B969,표2[#ALL],2)/HLOOKUP($A969,표1[#ALL],row(),false)</f>
        <v>#N/A</v>
      </c>
      <c r="L969" s="376" t="str">
        <f>CS_PID!L969/VLOOKUP($B969,표2[#ALL],2)/HLOOKUP($A969,표1[#ALL],row(),false)</f>
        <v>#N/A</v>
      </c>
      <c r="M969" s="376" t="str">
        <f>CS_PID!M969/VLOOKUP($B969,표2[#ALL],2)/HLOOKUP($A969,표1[#ALL],row(),false)</f>
        <v>#N/A</v>
      </c>
      <c r="N969" s="376" t="str">
        <f>CS_PID!N969/VLOOKUP($B969,표2[#ALL],2)/HLOOKUP($A969,표1[#ALL],row(),false)</f>
        <v>#N/A</v>
      </c>
      <c r="O969" s="376" t="str">
        <f>CS_PID!O969/VLOOKUP($B969,표2[#ALL],2)/HLOOKUP($A969,표1[#ALL],row(),false)</f>
        <v>#N/A</v>
      </c>
      <c r="P969" s="376" t="str">
        <f>CS_PID!P969/VLOOKUP($B969,표2[#ALL],2)/HLOOKUP($A969,표1[#ALL],row(),false)</f>
        <v>#N/A</v>
      </c>
      <c r="Q969" s="376" t="str">
        <f>CS_PID!Q969/VLOOKUP($B969,표2[#ALL],2)/HLOOKUP($A969,표1[#ALL],row(),false)</f>
        <v>#N/A</v>
      </c>
      <c r="R969" s="376" t="str">
        <f>CS_PID!R969/VLOOKUP($B969,표2[#ALL],2)/HLOOKUP($A969,표1[#ALL],row(),false)</f>
        <v>#N/A</v>
      </c>
      <c r="S969" s="376" t="str">
        <f>CS_PID!S969/VLOOKUP($B969,표2[#ALL],2)/HLOOKUP($A969,표1[#ALL],row(),false)</f>
        <v>#N/A</v>
      </c>
      <c r="T969" s="376" t="str">
        <f>CS_PID!T969/VLOOKUP($B969,표2[#ALL],2)/HLOOKUP($A969,표1[#ALL],row(),false)</f>
        <v>#N/A</v>
      </c>
      <c r="U969" s="376" t="str">
        <f>CS_PID!U969/VLOOKUP($B969,표2[#ALL],2)/HLOOKUP($A969,표1[#ALL],row(),false)</f>
        <v>#N/A</v>
      </c>
      <c r="V969" s="376" t="str">
        <f>CS_PID!V969/VLOOKUP($B969,표2[#ALL],2)/HLOOKUP($A969,표1[#ALL],row(),false)</f>
        <v>#N/A</v>
      </c>
      <c r="W969" s="376" t="str">
        <f>CS_PID!W969/VLOOKUP($B969,표2[#ALL],2)/HLOOKUP($A969,표1[#ALL],row(),false)</f>
        <v>#N/A</v>
      </c>
      <c r="X969" s="376" t="str">
        <f>CS_PID!X969/VLOOKUP($B969,표2[#ALL],2)/HLOOKUP($A969,표1[#ALL],row(),false)</f>
        <v>#N/A</v>
      </c>
      <c r="Y969" s="376" t="str">
        <f>CS_PID!Y969/VLOOKUP($B969,표2[#ALL],2)/HLOOKUP($A969,표1[#ALL],row(),false)</f>
        <v>#N/A</v>
      </c>
      <c r="Z969" s="376" t="str">
        <f>CS_PID!Z969/VLOOKUP($B969,표2[#ALL],2)/HLOOKUP($A969,표1[#ALL],row(),false)</f>
        <v>#N/A</v>
      </c>
      <c r="AA969" s="376" t="str">
        <f>CS_PID!AA969/VLOOKUP($B969,표2[#ALL],2)/HLOOKUP($A969,표1[#ALL],row(),false)</f>
        <v>#N/A</v>
      </c>
      <c r="AB969" s="376" t="str">
        <f>CS_PID!AB969/VLOOKUP($B969,표2[#ALL],2)/HLOOKUP($A969,표1[#ALL],row(),false)</f>
        <v>#N/A</v>
      </c>
      <c r="AC969" s="376" t="str">
        <f>CS_PID!AC969/VLOOKUP($B969,표2[#ALL],2)/HLOOKUP($A969,표1[#ALL],row(),false)</f>
        <v>#N/A</v>
      </c>
      <c r="AD969" s="376" t="str">
        <f>CS_PID!AD969/VLOOKUP($B969,표2[#ALL],2)/HLOOKUP($A969,표1[#ALL],row(),false)</f>
        <v>#N/A</v>
      </c>
      <c r="AE969" s="376" t="str">
        <f>CS_PID!AE969/VLOOKUP($B969,표2[#ALL],2)/HLOOKUP($A969,표1[#ALL],row(),false)</f>
        <v>#N/A</v>
      </c>
      <c r="AF969" s="376" t="str">
        <f>CS_PID!AF969/VLOOKUP($B969,표2[#ALL],2)/HLOOKUP($A969,표1[#ALL],row(),false)</f>
        <v>#N/A</v>
      </c>
      <c r="AG969" s="376" t="str">
        <f>CS_PID!AG969/VLOOKUP($B969,표2[#ALL],2)/HLOOKUP($A969,표1[#ALL],row(),false)</f>
        <v>#N/A</v>
      </c>
      <c r="AH969" s="376" t="str">
        <f>CS_PID!AH969/VLOOKUP($B969,표2[#ALL],2)/HLOOKUP($A969,표1[#ALL],row(),false)</f>
        <v>#N/A</v>
      </c>
      <c r="AI969" s="376" t="str">
        <f>CS_PID!AI969/VLOOKUP($B969,표2[#ALL],2)/HLOOKUP($A969,표1[#ALL],row(),false)</f>
        <v>#N/A</v>
      </c>
      <c r="AJ969" s="376" t="str">
        <f>CS_PID!AJ969/VLOOKUP($B969,표2[#ALL],2)/HLOOKUP($A969,표1[#ALL],row(),false)</f>
        <v>#N/A</v>
      </c>
      <c r="AK969" s="376" t="str">
        <f>CS_PID!AK969/VLOOKUP($B969,표2[#ALL],2)/HLOOKUP($A969,표1[#ALL],row(),false)</f>
        <v>#N/A</v>
      </c>
      <c r="AL969" s="376" t="str">
        <f>CS_PID!AL969/VLOOKUP($B969,표2[#ALL],2)/HLOOKUP($A969,표1[#ALL],row(),false)</f>
        <v>#N/A</v>
      </c>
      <c r="AM969" s="376" t="str">
        <f>CS_PID!AM969/VLOOKUP($B969,표2[#ALL],2)/HLOOKUP($A969,표1[#ALL],row(),false)</f>
        <v>#N/A</v>
      </c>
      <c r="AN969" s="376" t="str">
        <f>CS_PID!AN969/VLOOKUP($B969,표2[#ALL],2)/HLOOKUP($A969,표1[#ALL],row(),false)</f>
        <v>#N/A</v>
      </c>
      <c r="AO969" s="376" t="str">
        <f>CS_PID!AO969/VLOOKUP($B969,표2[#ALL],2)/HLOOKUP($A969,표1[#ALL],row(),false)</f>
        <v>#N/A</v>
      </c>
      <c r="AP969" s="376" t="str">
        <f>CS_PID!AP969/VLOOKUP($B969,표2[#ALL],2)/HLOOKUP($A969,표1[#ALL],row(),false)</f>
        <v>#N/A</v>
      </c>
      <c r="AQ969" s="376" t="str">
        <f>CS_PID!AQ969/VLOOKUP($B969,표2[#ALL],2)/HLOOKUP($A969,표1[#ALL],row(),false)</f>
        <v>#N/A</v>
      </c>
      <c r="AR969" s="376" t="str">
        <f>CS_PID!AR969/VLOOKUP($B969,표2[#ALL],2)/HLOOKUP($A969,표1[#ALL],row(),false)</f>
        <v>#N/A</v>
      </c>
      <c r="AS969" s="377" t="str">
        <f>CS_PID!AS969/VLOOKUP($B969,표2[#ALL],2)/HLOOKUP($A969,표1[#ALL],row(),false)</f>
        <v>#N/A</v>
      </c>
    </row>
    <row r="970">
      <c r="A970" s="370"/>
      <c r="B970" s="371"/>
      <c r="C970" s="372" t="str">
        <f>CS_PID!C970/VLOOKUP($B970,표2[#ALL],2)</f>
        <v>#N/A</v>
      </c>
      <c r="D970" s="372" t="str">
        <f>CS_PID!D970/VLOOKUP($B970,표2[#ALL],2)</f>
        <v>#N/A</v>
      </c>
      <c r="E970" s="372" t="str">
        <f>CS_PID!E970/VLOOKUP($B970,표2[#ALL],2)</f>
        <v>#N/A</v>
      </c>
      <c r="F970" s="372" t="str">
        <f>CS_PID!F970/VLOOKUP($B970,표2[#ALL],2)</f>
        <v>#N/A</v>
      </c>
      <c r="G970" s="372" t="str">
        <f>CS_PID!G970/VLOOKUP($B970,표2[#ALL],2)</f>
        <v>#N/A</v>
      </c>
      <c r="H970" s="372" t="str">
        <f>CS_PID!H970/VLOOKUP($B970,표2[#ALL],2)/HLOOKUP($A970,표1[#ALL],row(),false)</f>
        <v>#N/A</v>
      </c>
      <c r="I970" s="372" t="str">
        <f>CS_PID!I970/VLOOKUP($B970,표2[#ALL],2)/HLOOKUP($A970,표1[#ALL],row(),false)</f>
        <v>#N/A</v>
      </c>
      <c r="J970" s="372" t="str">
        <f>CS_PID!J970/VLOOKUP($B970,표2[#ALL],2)/HLOOKUP($A970,표1[#ALL],row(),false)</f>
        <v>#N/A</v>
      </c>
      <c r="K970" s="372" t="str">
        <f>CS_PID!K970/VLOOKUP($B970,표2[#ALL],2)/HLOOKUP($A970,표1[#ALL],row(),false)</f>
        <v>#N/A</v>
      </c>
      <c r="L970" s="372" t="str">
        <f>CS_PID!L970/VLOOKUP($B970,표2[#ALL],2)/HLOOKUP($A970,표1[#ALL],row(),false)</f>
        <v>#N/A</v>
      </c>
      <c r="M970" s="372" t="str">
        <f>CS_PID!M970/VLOOKUP($B970,표2[#ALL],2)/HLOOKUP($A970,표1[#ALL],row(),false)</f>
        <v>#N/A</v>
      </c>
      <c r="N970" s="372" t="str">
        <f>CS_PID!N970/VLOOKUP($B970,표2[#ALL],2)/HLOOKUP($A970,표1[#ALL],row(),false)</f>
        <v>#N/A</v>
      </c>
      <c r="O970" s="372" t="str">
        <f>CS_PID!O970/VLOOKUP($B970,표2[#ALL],2)/HLOOKUP($A970,표1[#ALL],row(),false)</f>
        <v>#N/A</v>
      </c>
      <c r="P970" s="372" t="str">
        <f>CS_PID!P970/VLOOKUP($B970,표2[#ALL],2)/HLOOKUP($A970,표1[#ALL],row(),false)</f>
        <v>#N/A</v>
      </c>
      <c r="Q970" s="372" t="str">
        <f>CS_PID!Q970/VLOOKUP($B970,표2[#ALL],2)/HLOOKUP($A970,표1[#ALL],row(),false)</f>
        <v>#N/A</v>
      </c>
      <c r="R970" s="372" t="str">
        <f>CS_PID!R970/VLOOKUP($B970,표2[#ALL],2)/HLOOKUP($A970,표1[#ALL],row(),false)</f>
        <v>#N/A</v>
      </c>
      <c r="S970" s="372" t="str">
        <f>CS_PID!S970/VLOOKUP($B970,표2[#ALL],2)/HLOOKUP($A970,표1[#ALL],row(),false)</f>
        <v>#N/A</v>
      </c>
      <c r="T970" s="372" t="str">
        <f>CS_PID!T970/VLOOKUP($B970,표2[#ALL],2)/HLOOKUP($A970,표1[#ALL],row(),false)</f>
        <v>#N/A</v>
      </c>
      <c r="U970" s="372" t="str">
        <f>CS_PID!U970/VLOOKUP($B970,표2[#ALL],2)/HLOOKUP($A970,표1[#ALL],row(),false)</f>
        <v>#N/A</v>
      </c>
      <c r="V970" s="372" t="str">
        <f>CS_PID!V970/VLOOKUP($B970,표2[#ALL],2)/HLOOKUP($A970,표1[#ALL],row(),false)</f>
        <v>#N/A</v>
      </c>
      <c r="W970" s="372" t="str">
        <f>CS_PID!W970/VLOOKUP($B970,표2[#ALL],2)/HLOOKUP($A970,표1[#ALL],row(),false)</f>
        <v>#N/A</v>
      </c>
      <c r="X970" s="372" t="str">
        <f>CS_PID!X970/VLOOKUP($B970,표2[#ALL],2)/HLOOKUP($A970,표1[#ALL],row(),false)</f>
        <v>#N/A</v>
      </c>
      <c r="Y970" s="372" t="str">
        <f>CS_PID!Y970/VLOOKUP($B970,표2[#ALL],2)/HLOOKUP($A970,표1[#ALL],row(),false)</f>
        <v>#N/A</v>
      </c>
      <c r="Z970" s="372" t="str">
        <f>CS_PID!Z970/VLOOKUP($B970,표2[#ALL],2)/HLOOKUP($A970,표1[#ALL],row(),false)</f>
        <v>#N/A</v>
      </c>
      <c r="AA970" s="372" t="str">
        <f>CS_PID!AA970/VLOOKUP($B970,표2[#ALL],2)/HLOOKUP($A970,표1[#ALL],row(),false)</f>
        <v>#N/A</v>
      </c>
      <c r="AB970" s="372" t="str">
        <f>CS_PID!AB970/VLOOKUP($B970,표2[#ALL],2)/HLOOKUP($A970,표1[#ALL],row(),false)</f>
        <v>#N/A</v>
      </c>
      <c r="AC970" s="372" t="str">
        <f>CS_PID!AC970/VLOOKUP($B970,표2[#ALL],2)/HLOOKUP($A970,표1[#ALL],row(),false)</f>
        <v>#N/A</v>
      </c>
      <c r="AD970" s="372" t="str">
        <f>CS_PID!AD970/VLOOKUP($B970,표2[#ALL],2)/HLOOKUP($A970,표1[#ALL],row(),false)</f>
        <v>#N/A</v>
      </c>
      <c r="AE970" s="372" t="str">
        <f>CS_PID!AE970/VLOOKUP($B970,표2[#ALL],2)/HLOOKUP($A970,표1[#ALL],row(),false)</f>
        <v>#N/A</v>
      </c>
      <c r="AF970" s="372" t="str">
        <f>CS_PID!AF970/VLOOKUP($B970,표2[#ALL],2)/HLOOKUP($A970,표1[#ALL],row(),false)</f>
        <v>#N/A</v>
      </c>
      <c r="AG970" s="372" t="str">
        <f>CS_PID!AG970/VLOOKUP($B970,표2[#ALL],2)/HLOOKUP($A970,표1[#ALL],row(),false)</f>
        <v>#N/A</v>
      </c>
      <c r="AH970" s="372" t="str">
        <f>CS_PID!AH970/VLOOKUP($B970,표2[#ALL],2)/HLOOKUP($A970,표1[#ALL],row(),false)</f>
        <v>#N/A</v>
      </c>
      <c r="AI970" s="372" t="str">
        <f>CS_PID!AI970/VLOOKUP($B970,표2[#ALL],2)/HLOOKUP($A970,표1[#ALL],row(),false)</f>
        <v>#N/A</v>
      </c>
      <c r="AJ970" s="372" t="str">
        <f>CS_PID!AJ970/VLOOKUP($B970,표2[#ALL],2)/HLOOKUP($A970,표1[#ALL],row(),false)</f>
        <v>#N/A</v>
      </c>
      <c r="AK970" s="372" t="str">
        <f>CS_PID!AK970/VLOOKUP($B970,표2[#ALL],2)/HLOOKUP($A970,표1[#ALL],row(),false)</f>
        <v>#N/A</v>
      </c>
      <c r="AL970" s="372" t="str">
        <f>CS_PID!AL970/VLOOKUP($B970,표2[#ALL],2)/HLOOKUP($A970,표1[#ALL],row(),false)</f>
        <v>#N/A</v>
      </c>
      <c r="AM970" s="372" t="str">
        <f>CS_PID!AM970/VLOOKUP($B970,표2[#ALL],2)/HLOOKUP($A970,표1[#ALL],row(),false)</f>
        <v>#N/A</v>
      </c>
      <c r="AN970" s="372" t="str">
        <f>CS_PID!AN970/VLOOKUP($B970,표2[#ALL],2)/HLOOKUP($A970,표1[#ALL],row(),false)</f>
        <v>#N/A</v>
      </c>
      <c r="AO970" s="372" t="str">
        <f>CS_PID!AO970/VLOOKUP($B970,표2[#ALL],2)/HLOOKUP($A970,표1[#ALL],row(),false)</f>
        <v>#N/A</v>
      </c>
      <c r="AP970" s="372" t="str">
        <f>CS_PID!AP970/VLOOKUP($B970,표2[#ALL],2)/HLOOKUP($A970,표1[#ALL],row(),false)</f>
        <v>#N/A</v>
      </c>
      <c r="AQ970" s="372" t="str">
        <f>CS_PID!AQ970/VLOOKUP($B970,표2[#ALL],2)/HLOOKUP($A970,표1[#ALL],row(),false)</f>
        <v>#N/A</v>
      </c>
      <c r="AR970" s="372" t="str">
        <f>CS_PID!AR970/VLOOKUP($B970,표2[#ALL],2)/HLOOKUP($A970,표1[#ALL],row(),false)</f>
        <v>#N/A</v>
      </c>
      <c r="AS970" s="373" t="str">
        <f>CS_PID!AS970/VLOOKUP($B970,표2[#ALL],2)/HLOOKUP($A970,표1[#ALL],row(),false)</f>
        <v>#N/A</v>
      </c>
    </row>
    <row r="971">
      <c r="A971" s="374"/>
      <c r="B971" s="375"/>
      <c r="C971" s="376" t="str">
        <f>CS_PID!C971/VLOOKUP($B971,표2[#ALL],2)</f>
        <v>#N/A</v>
      </c>
      <c r="D971" s="376" t="str">
        <f>CS_PID!D971/VLOOKUP($B971,표2[#ALL],2)</f>
        <v>#N/A</v>
      </c>
      <c r="E971" s="376" t="str">
        <f>CS_PID!E971/VLOOKUP($B971,표2[#ALL],2)</f>
        <v>#N/A</v>
      </c>
      <c r="F971" s="376" t="str">
        <f>CS_PID!F971/VLOOKUP($B971,표2[#ALL],2)</f>
        <v>#N/A</v>
      </c>
      <c r="G971" s="376" t="str">
        <f>CS_PID!G971/VLOOKUP($B971,표2[#ALL],2)</f>
        <v>#N/A</v>
      </c>
      <c r="H971" s="376" t="str">
        <f>CS_PID!H971/VLOOKUP($B971,표2[#ALL],2)/HLOOKUP($A971,표1[#ALL],row(),false)</f>
        <v>#N/A</v>
      </c>
      <c r="I971" s="376" t="str">
        <f>CS_PID!I971/VLOOKUP($B971,표2[#ALL],2)/HLOOKUP($A971,표1[#ALL],row(),false)</f>
        <v>#N/A</v>
      </c>
      <c r="J971" s="376" t="str">
        <f>CS_PID!J971/VLOOKUP($B971,표2[#ALL],2)/HLOOKUP($A971,표1[#ALL],row(),false)</f>
        <v>#N/A</v>
      </c>
      <c r="K971" s="376" t="str">
        <f>CS_PID!K971/VLOOKUP($B971,표2[#ALL],2)/HLOOKUP($A971,표1[#ALL],row(),false)</f>
        <v>#N/A</v>
      </c>
      <c r="L971" s="376" t="str">
        <f>CS_PID!L971/VLOOKUP($B971,표2[#ALL],2)/HLOOKUP($A971,표1[#ALL],row(),false)</f>
        <v>#N/A</v>
      </c>
      <c r="M971" s="376" t="str">
        <f>CS_PID!M971/VLOOKUP($B971,표2[#ALL],2)/HLOOKUP($A971,표1[#ALL],row(),false)</f>
        <v>#N/A</v>
      </c>
      <c r="N971" s="376" t="str">
        <f>CS_PID!N971/VLOOKUP($B971,표2[#ALL],2)/HLOOKUP($A971,표1[#ALL],row(),false)</f>
        <v>#N/A</v>
      </c>
      <c r="O971" s="376" t="str">
        <f>CS_PID!O971/VLOOKUP($B971,표2[#ALL],2)/HLOOKUP($A971,표1[#ALL],row(),false)</f>
        <v>#N/A</v>
      </c>
      <c r="P971" s="376" t="str">
        <f>CS_PID!P971/VLOOKUP($B971,표2[#ALL],2)/HLOOKUP($A971,표1[#ALL],row(),false)</f>
        <v>#N/A</v>
      </c>
      <c r="Q971" s="376" t="str">
        <f>CS_PID!Q971/VLOOKUP($B971,표2[#ALL],2)/HLOOKUP($A971,표1[#ALL],row(),false)</f>
        <v>#N/A</v>
      </c>
      <c r="R971" s="376" t="str">
        <f>CS_PID!R971/VLOOKUP($B971,표2[#ALL],2)/HLOOKUP($A971,표1[#ALL],row(),false)</f>
        <v>#N/A</v>
      </c>
      <c r="S971" s="376" t="str">
        <f>CS_PID!S971/VLOOKUP($B971,표2[#ALL],2)/HLOOKUP($A971,표1[#ALL],row(),false)</f>
        <v>#N/A</v>
      </c>
      <c r="T971" s="376" t="str">
        <f>CS_PID!T971/VLOOKUP($B971,표2[#ALL],2)/HLOOKUP($A971,표1[#ALL],row(),false)</f>
        <v>#N/A</v>
      </c>
      <c r="U971" s="376" t="str">
        <f>CS_PID!U971/VLOOKUP($B971,표2[#ALL],2)/HLOOKUP($A971,표1[#ALL],row(),false)</f>
        <v>#N/A</v>
      </c>
      <c r="V971" s="376" t="str">
        <f>CS_PID!V971/VLOOKUP($B971,표2[#ALL],2)/HLOOKUP($A971,표1[#ALL],row(),false)</f>
        <v>#N/A</v>
      </c>
      <c r="W971" s="376" t="str">
        <f>CS_PID!W971/VLOOKUP($B971,표2[#ALL],2)/HLOOKUP($A971,표1[#ALL],row(),false)</f>
        <v>#N/A</v>
      </c>
      <c r="X971" s="376" t="str">
        <f>CS_PID!X971/VLOOKUP($B971,표2[#ALL],2)/HLOOKUP($A971,표1[#ALL],row(),false)</f>
        <v>#N/A</v>
      </c>
      <c r="Y971" s="376" t="str">
        <f>CS_PID!Y971/VLOOKUP($B971,표2[#ALL],2)/HLOOKUP($A971,표1[#ALL],row(),false)</f>
        <v>#N/A</v>
      </c>
      <c r="Z971" s="376" t="str">
        <f>CS_PID!Z971/VLOOKUP($B971,표2[#ALL],2)/HLOOKUP($A971,표1[#ALL],row(),false)</f>
        <v>#N/A</v>
      </c>
      <c r="AA971" s="376" t="str">
        <f>CS_PID!AA971/VLOOKUP($B971,표2[#ALL],2)/HLOOKUP($A971,표1[#ALL],row(),false)</f>
        <v>#N/A</v>
      </c>
      <c r="AB971" s="376" t="str">
        <f>CS_PID!AB971/VLOOKUP($B971,표2[#ALL],2)/HLOOKUP($A971,표1[#ALL],row(),false)</f>
        <v>#N/A</v>
      </c>
      <c r="AC971" s="376" t="str">
        <f>CS_PID!AC971/VLOOKUP($B971,표2[#ALL],2)/HLOOKUP($A971,표1[#ALL],row(),false)</f>
        <v>#N/A</v>
      </c>
      <c r="AD971" s="376" t="str">
        <f>CS_PID!AD971/VLOOKUP($B971,표2[#ALL],2)/HLOOKUP($A971,표1[#ALL],row(),false)</f>
        <v>#N/A</v>
      </c>
      <c r="AE971" s="376" t="str">
        <f>CS_PID!AE971/VLOOKUP($B971,표2[#ALL],2)/HLOOKUP($A971,표1[#ALL],row(),false)</f>
        <v>#N/A</v>
      </c>
      <c r="AF971" s="376" t="str">
        <f>CS_PID!AF971/VLOOKUP($B971,표2[#ALL],2)/HLOOKUP($A971,표1[#ALL],row(),false)</f>
        <v>#N/A</v>
      </c>
      <c r="AG971" s="376" t="str">
        <f>CS_PID!AG971/VLOOKUP($B971,표2[#ALL],2)/HLOOKUP($A971,표1[#ALL],row(),false)</f>
        <v>#N/A</v>
      </c>
      <c r="AH971" s="376" t="str">
        <f>CS_PID!AH971/VLOOKUP($B971,표2[#ALL],2)/HLOOKUP($A971,표1[#ALL],row(),false)</f>
        <v>#N/A</v>
      </c>
      <c r="AI971" s="376" t="str">
        <f>CS_PID!AI971/VLOOKUP($B971,표2[#ALL],2)/HLOOKUP($A971,표1[#ALL],row(),false)</f>
        <v>#N/A</v>
      </c>
      <c r="AJ971" s="376" t="str">
        <f>CS_PID!AJ971/VLOOKUP($B971,표2[#ALL],2)/HLOOKUP($A971,표1[#ALL],row(),false)</f>
        <v>#N/A</v>
      </c>
      <c r="AK971" s="376" t="str">
        <f>CS_PID!AK971/VLOOKUP($B971,표2[#ALL],2)/HLOOKUP($A971,표1[#ALL],row(),false)</f>
        <v>#N/A</v>
      </c>
      <c r="AL971" s="376" t="str">
        <f>CS_PID!AL971/VLOOKUP($B971,표2[#ALL],2)/HLOOKUP($A971,표1[#ALL],row(),false)</f>
        <v>#N/A</v>
      </c>
      <c r="AM971" s="376" t="str">
        <f>CS_PID!AM971/VLOOKUP($B971,표2[#ALL],2)/HLOOKUP($A971,표1[#ALL],row(),false)</f>
        <v>#N/A</v>
      </c>
      <c r="AN971" s="376" t="str">
        <f>CS_PID!AN971/VLOOKUP($B971,표2[#ALL],2)/HLOOKUP($A971,표1[#ALL],row(),false)</f>
        <v>#N/A</v>
      </c>
      <c r="AO971" s="376" t="str">
        <f>CS_PID!AO971/VLOOKUP($B971,표2[#ALL],2)/HLOOKUP($A971,표1[#ALL],row(),false)</f>
        <v>#N/A</v>
      </c>
      <c r="AP971" s="376" t="str">
        <f>CS_PID!AP971/VLOOKUP($B971,표2[#ALL],2)/HLOOKUP($A971,표1[#ALL],row(),false)</f>
        <v>#N/A</v>
      </c>
      <c r="AQ971" s="376" t="str">
        <f>CS_PID!AQ971/VLOOKUP($B971,표2[#ALL],2)/HLOOKUP($A971,표1[#ALL],row(),false)</f>
        <v>#N/A</v>
      </c>
      <c r="AR971" s="376" t="str">
        <f>CS_PID!AR971/VLOOKUP($B971,표2[#ALL],2)/HLOOKUP($A971,표1[#ALL],row(),false)</f>
        <v>#N/A</v>
      </c>
      <c r="AS971" s="377" t="str">
        <f>CS_PID!AS971/VLOOKUP($B971,표2[#ALL],2)/HLOOKUP($A971,표1[#ALL],row(),false)</f>
        <v>#N/A</v>
      </c>
    </row>
    <row r="972">
      <c r="A972" s="370"/>
      <c r="B972" s="371"/>
      <c r="C972" s="372" t="str">
        <f>CS_PID!C972/VLOOKUP($B972,표2[#ALL],2)</f>
        <v>#N/A</v>
      </c>
      <c r="D972" s="372" t="str">
        <f>CS_PID!D972/VLOOKUP($B972,표2[#ALL],2)</f>
        <v>#N/A</v>
      </c>
      <c r="E972" s="372" t="str">
        <f>CS_PID!E972/VLOOKUP($B972,표2[#ALL],2)</f>
        <v>#N/A</v>
      </c>
      <c r="F972" s="372" t="str">
        <f>CS_PID!F972/VLOOKUP($B972,표2[#ALL],2)</f>
        <v>#N/A</v>
      </c>
      <c r="G972" s="372" t="str">
        <f>CS_PID!G972/VLOOKUP($B972,표2[#ALL],2)</f>
        <v>#N/A</v>
      </c>
      <c r="H972" s="372" t="str">
        <f>CS_PID!H972/VLOOKUP($B972,표2[#ALL],2)/HLOOKUP($A972,표1[#ALL],row(),false)</f>
        <v>#N/A</v>
      </c>
      <c r="I972" s="372" t="str">
        <f>CS_PID!I972/VLOOKUP($B972,표2[#ALL],2)/HLOOKUP($A972,표1[#ALL],row(),false)</f>
        <v>#N/A</v>
      </c>
      <c r="J972" s="372" t="str">
        <f>CS_PID!J972/VLOOKUP($B972,표2[#ALL],2)/HLOOKUP($A972,표1[#ALL],row(),false)</f>
        <v>#N/A</v>
      </c>
      <c r="K972" s="372" t="str">
        <f>CS_PID!K972/VLOOKUP($B972,표2[#ALL],2)/HLOOKUP($A972,표1[#ALL],row(),false)</f>
        <v>#N/A</v>
      </c>
      <c r="L972" s="372" t="str">
        <f>CS_PID!L972/VLOOKUP($B972,표2[#ALL],2)/HLOOKUP($A972,표1[#ALL],row(),false)</f>
        <v>#N/A</v>
      </c>
      <c r="M972" s="372" t="str">
        <f>CS_PID!M972/VLOOKUP($B972,표2[#ALL],2)/HLOOKUP($A972,표1[#ALL],row(),false)</f>
        <v>#N/A</v>
      </c>
      <c r="N972" s="372" t="str">
        <f>CS_PID!N972/VLOOKUP($B972,표2[#ALL],2)/HLOOKUP($A972,표1[#ALL],row(),false)</f>
        <v>#N/A</v>
      </c>
      <c r="O972" s="372" t="str">
        <f>CS_PID!O972/VLOOKUP($B972,표2[#ALL],2)/HLOOKUP($A972,표1[#ALL],row(),false)</f>
        <v>#N/A</v>
      </c>
      <c r="P972" s="372" t="str">
        <f>CS_PID!P972/VLOOKUP($B972,표2[#ALL],2)/HLOOKUP($A972,표1[#ALL],row(),false)</f>
        <v>#N/A</v>
      </c>
      <c r="Q972" s="372" t="str">
        <f>CS_PID!Q972/VLOOKUP($B972,표2[#ALL],2)/HLOOKUP($A972,표1[#ALL],row(),false)</f>
        <v>#N/A</v>
      </c>
      <c r="R972" s="372" t="str">
        <f>CS_PID!R972/VLOOKUP($B972,표2[#ALL],2)/HLOOKUP($A972,표1[#ALL],row(),false)</f>
        <v>#N/A</v>
      </c>
      <c r="S972" s="372" t="str">
        <f>CS_PID!S972/VLOOKUP($B972,표2[#ALL],2)/HLOOKUP($A972,표1[#ALL],row(),false)</f>
        <v>#N/A</v>
      </c>
      <c r="T972" s="372" t="str">
        <f>CS_PID!T972/VLOOKUP($B972,표2[#ALL],2)/HLOOKUP($A972,표1[#ALL],row(),false)</f>
        <v>#N/A</v>
      </c>
      <c r="U972" s="372" t="str">
        <f>CS_PID!U972/VLOOKUP($B972,표2[#ALL],2)/HLOOKUP($A972,표1[#ALL],row(),false)</f>
        <v>#N/A</v>
      </c>
      <c r="V972" s="372" t="str">
        <f>CS_PID!V972/VLOOKUP($B972,표2[#ALL],2)/HLOOKUP($A972,표1[#ALL],row(),false)</f>
        <v>#N/A</v>
      </c>
      <c r="W972" s="372" t="str">
        <f>CS_PID!W972/VLOOKUP($B972,표2[#ALL],2)/HLOOKUP($A972,표1[#ALL],row(),false)</f>
        <v>#N/A</v>
      </c>
      <c r="X972" s="372" t="str">
        <f>CS_PID!X972/VLOOKUP($B972,표2[#ALL],2)/HLOOKUP($A972,표1[#ALL],row(),false)</f>
        <v>#N/A</v>
      </c>
      <c r="Y972" s="372" t="str">
        <f>CS_PID!Y972/VLOOKUP($B972,표2[#ALL],2)/HLOOKUP($A972,표1[#ALL],row(),false)</f>
        <v>#N/A</v>
      </c>
      <c r="Z972" s="372" t="str">
        <f>CS_PID!Z972/VLOOKUP($B972,표2[#ALL],2)/HLOOKUP($A972,표1[#ALL],row(),false)</f>
        <v>#N/A</v>
      </c>
      <c r="AA972" s="372" t="str">
        <f>CS_PID!AA972/VLOOKUP($B972,표2[#ALL],2)/HLOOKUP($A972,표1[#ALL],row(),false)</f>
        <v>#N/A</v>
      </c>
      <c r="AB972" s="372" t="str">
        <f>CS_PID!AB972/VLOOKUP($B972,표2[#ALL],2)/HLOOKUP($A972,표1[#ALL],row(),false)</f>
        <v>#N/A</v>
      </c>
      <c r="AC972" s="372" t="str">
        <f>CS_PID!AC972/VLOOKUP($B972,표2[#ALL],2)/HLOOKUP($A972,표1[#ALL],row(),false)</f>
        <v>#N/A</v>
      </c>
      <c r="AD972" s="372" t="str">
        <f>CS_PID!AD972/VLOOKUP($B972,표2[#ALL],2)/HLOOKUP($A972,표1[#ALL],row(),false)</f>
        <v>#N/A</v>
      </c>
      <c r="AE972" s="372" t="str">
        <f>CS_PID!AE972/VLOOKUP($B972,표2[#ALL],2)/HLOOKUP($A972,표1[#ALL],row(),false)</f>
        <v>#N/A</v>
      </c>
      <c r="AF972" s="372" t="str">
        <f>CS_PID!AF972/VLOOKUP($B972,표2[#ALL],2)/HLOOKUP($A972,표1[#ALL],row(),false)</f>
        <v>#N/A</v>
      </c>
      <c r="AG972" s="372" t="str">
        <f>CS_PID!AG972/VLOOKUP($B972,표2[#ALL],2)/HLOOKUP($A972,표1[#ALL],row(),false)</f>
        <v>#N/A</v>
      </c>
      <c r="AH972" s="372" t="str">
        <f>CS_PID!AH972/VLOOKUP($B972,표2[#ALL],2)/HLOOKUP($A972,표1[#ALL],row(),false)</f>
        <v>#N/A</v>
      </c>
      <c r="AI972" s="372" t="str">
        <f>CS_PID!AI972/VLOOKUP($B972,표2[#ALL],2)/HLOOKUP($A972,표1[#ALL],row(),false)</f>
        <v>#N/A</v>
      </c>
      <c r="AJ972" s="372" t="str">
        <f>CS_PID!AJ972/VLOOKUP($B972,표2[#ALL],2)/HLOOKUP($A972,표1[#ALL],row(),false)</f>
        <v>#N/A</v>
      </c>
      <c r="AK972" s="372" t="str">
        <f>CS_PID!AK972/VLOOKUP($B972,표2[#ALL],2)/HLOOKUP($A972,표1[#ALL],row(),false)</f>
        <v>#N/A</v>
      </c>
      <c r="AL972" s="372" t="str">
        <f>CS_PID!AL972/VLOOKUP($B972,표2[#ALL],2)/HLOOKUP($A972,표1[#ALL],row(),false)</f>
        <v>#N/A</v>
      </c>
      <c r="AM972" s="372" t="str">
        <f>CS_PID!AM972/VLOOKUP($B972,표2[#ALL],2)/HLOOKUP($A972,표1[#ALL],row(),false)</f>
        <v>#N/A</v>
      </c>
      <c r="AN972" s="372" t="str">
        <f>CS_PID!AN972/VLOOKUP($B972,표2[#ALL],2)/HLOOKUP($A972,표1[#ALL],row(),false)</f>
        <v>#N/A</v>
      </c>
      <c r="AO972" s="372" t="str">
        <f>CS_PID!AO972/VLOOKUP($B972,표2[#ALL],2)/HLOOKUP($A972,표1[#ALL],row(),false)</f>
        <v>#N/A</v>
      </c>
      <c r="AP972" s="372" t="str">
        <f>CS_PID!AP972/VLOOKUP($B972,표2[#ALL],2)/HLOOKUP($A972,표1[#ALL],row(),false)</f>
        <v>#N/A</v>
      </c>
      <c r="AQ972" s="372" t="str">
        <f>CS_PID!AQ972/VLOOKUP($B972,표2[#ALL],2)/HLOOKUP($A972,표1[#ALL],row(),false)</f>
        <v>#N/A</v>
      </c>
      <c r="AR972" s="372" t="str">
        <f>CS_PID!AR972/VLOOKUP($B972,표2[#ALL],2)/HLOOKUP($A972,표1[#ALL],row(),false)</f>
        <v>#N/A</v>
      </c>
      <c r="AS972" s="373" t="str">
        <f>CS_PID!AS972/VLOOKUP($B972,표2[#ALL],2)/HLOOKUP($A972,표1[#ALL],row(),false)</f>
        <v>#N/A</v>
      </c>
    </row>
    <row r="973">
      <c r="A973" s="374"/>
      <c r="B973" s="375"/>
      <c r="C973" s="376" t="str">
        <f>CS_PID!C973/VLOOKUP($B973,표2[#ALL],2)</f>
        <v>#N/A</v>
      </c>
      <c r="D973" s="376" t="str">
        <f>CS_PID!D973/VLOOKUP($B973,표2[#ALL],2)</f>
        <v>#N/A</v>
      </c>
      <c r="E973" s="376" t="str">
        <f>CS_PID!E973/VLOOKUP($B973,표2[#ALL],2)</f>
        <v>#N/A</v>
      </c>
      <c r="F973" s="376" t="str">
        <f>CS_PID!F973/VLOOKUP($B973,표2[#ALL],2)</f>
        <v>#N/A</v>
      </c>
      <c r="G973" s="376" t="str">
        <f>CS_PID!G973/VLOOKUP($B973,표2[#ALL],2)</f>
        <v>#N/A</v>
      </c>
      <c r="H973" s="376" t="str">
        <f>CS_PID!H973/VLOOKUP($B973,표2[#ALL],2)/HLOOKUP($A973,표1[#ALL],row(),false)</f>
        <v>#N/A</v>
      </c>
      <c r="I973" s="376" t="str">
        <f>CS_PID!I973/VLOOKUP($B973,표2[#ALL],2)/HLOOKUP($A973,표1[#ALL],row(),false)</f>
        <v>#N/A</v>
      </c>
      <c r="J973" s="376" t="str">
        <f>CS_PID!J973/VLOOKUP($B973,표2[#ALL],2)/HLOOKUP($A973,표1[#ALL],row(),false)</f>
        <v>#N/A</v>
      </c>
      <c r="K973" s="376" t="str">
        <f>CS_PID!K973/VLOOKUP($B973,표2[#ALL],2)/HLOOKUP($A973,표1[#ALL],row(),false)</f>
        <v>#N/A</v>
      </c>
      <c r="L973" s="376" t="str">
        <f>CS_PID!L973/VLOOKUP($B973,표2[#ALL],2)/HLOOKUP($A973,표1[#ALL],row(),false)</f>
        <v>#N/A</v>
      </c>
      <c r="M973" s="376" t="str">
        <f>CS_PID!M973/VLOOKUP($B973,표2[#ALL],2)/HLOOKUP($A973,표1[#ALL],row(),false)</f>
        <v>#N/A</v>
      </c>
      <c r="N973" s="376" t="str">
        <f>CS_PID!N973/VLOOKUP($B973,표2[#ALL],2)/HLOOKUP($A973,표1[#ALL],row(),false)</f>
        <v>#N/A</v>
      </c>
      <c r="O973" s="376" t="str">
        <f>CS_PID!O973/VLOOKUP($B973,표2[#ALL],2)/HLOOKUP($A973,표1[#ALL],row(),false)</f>
        <v>#N/A</v>
      </c>
      <c r="P973" s="376" t="str">
        <f>CS_PID!P973/VLOOKUP($B973,표2[#ALL],2)/HLOOKUP($A973,표1[#ALL],row(),false)</f>
        <v>#N/A</v>
      </c>
      <c r="Q973" s="376" t="str">
        <f>CS_PID!Q973/VLOOKUP($B973,표2[#ALL],2)/HLOOKUP($A973,표1[#ALL],row(),false)</f>
        <v>#N/A</v>
      </c>
      <c r="R973" s="376" t="str">
        <f>CS_PID!R973/VLOOKUP($B973,표2[#ALL],2)/HLOOKUP($A973,표1[#ALL],row(),false)</f>
        <v>#N/A</v>
      </c>
      <c r="S973" s="376" t="str">
        <f>CS_PID!S973/VLOOKUP($B973,표2[#ALL],2)/HLOOKUP($A973,표1[#ALL],row(),false)</f>
        <v>#N/A</v>
      </c>
      <c r="T973" s="376" t="str">
        <f>CS_PID!T973/VLOOKUP($B973,표2[#ALL],2)/HLOOKUP($A973,표1[#ALL],row(),false)</f>
        <v>#N/A</v>
      </c>
      <c r="U973" s="376" t="str">
        <f>CS_PID!U973/VLOOKUP($B973,표2[#ALL],2)/HLOOKUP($A973,표1[#ALL],row(),false)</f>
        <v>#N/A</v>
      </c>
      <c r="V973" s="376" t="str">
        <f>CS_PID!V973/VLOOKUP($B973,표2[#ALL],2)/HLOOKUP($A973,표1[#ALL],row(),false)</f>
        <v>#N/A</v>
      </c>
      <c r="W973" s="376" t="str">
        <f>CS_PID!W973/VLOOKUP($B973,표2[#ALL],2)/HLOOKUP($A973,표1[#ALL],row(),false)</f>
        <v>#N/A</v>
      </c>
      <c r="X973" s="376" t="str">
        <f>CS_PID!X973/VLOOKUP($B973,표2[#ALL],2)/HLOOKUP($A973,표1[#ALL],row(),false)</f>
        <v>#N/A</v>
      </c>
      <c r="Y973" s="376" t="str">
        <f>CS_PID!Y973/VLOOKUP($B973,표2[#ALL],2)/HLOOKUP($A973,표1[#ALL],row(),false)</f>
        <v>#N/A</v>
      </c>
      <c r="Z973" s="376" t="str">
        <f>CS_PID!Z973/VLOOKUP($B973,표2[#ALL],2)/HLOOKUP($A973,표1[#ALL],row(),false)</f>
        <v>#N/A</v>
      </c>
      <c r="AA973" s="376" t="str">
        <f>CS_PID!AA973/VLOOKUP($B973,표2[#ALL],2)/HLOOKUP($A973,표1[#ALL],row(),false)</f>
        <v>#N/A</v>
      </c>
      <c r="AB973" s="376" t="str">
        <f>CS_PID!AB973/VLOOKUP($B973,표2[#ALL],2)/HLOOKUP($A973,표1[#ALL],row(),false)</f>
        <v>#N/A</v>
      </c>
      <c r="AC973" s="376" t="str">
        <f>CS_PID!AC973/VLOOKUP($B973,표2[#ALL],2)/HLOOKUP($A973,표1[#ALL],row(),false)</f>
        <v>#N/A</v>
      </c>
      <c r="AD973" s="376" t="str">
        <f>CS_PID!AD973/VLOOKUP($B973,표2[#ALL],2)/HLOOKUP($A973,표1[#ALL],row(),false)</f>
        <v>#N/A</v>
      </c>
      <c r="AE973" s="376" t="str">
        <f>CS_PID!AE973/VLOOKUP($B973,표2[#ALL],2)/HLOOKUP($A973,표1[#ALL],row(),false)</f>
        <v>#N/A</v>
      </c>
      <c r="AF973" s="376" t="str">
        <f>CS_PID!AF973/VLOOKUP($B973,표2[#ALL],2)/HLOOKUP($A973,표1[#ALL],row(),false)</f>
        <v>#N/A</v>
      </c>
      <c r="AG973" s="376" t="str">
        <f>CS_PID!AG973/VLOOKUP($B973,표2[#ALL],2)/HLOOKUP($A973,표1[#ALL],row(),false)</f>
        <v>#N/A</v>
      </c>
      <c r="AH973" s="376" t="str">
        <f>CS_PID!AH973/VLOOKUP($B973,표2[#ALL],2)/HLOOKUP($A973,표1[#ALL],row(),false)</f>
        <v>#N/A</v>
      </c>
      <c r="AI973" s="376" t="str">
        <f>CS_PID!AI973/VLOOKUP($B973,표2[#ALL],2)/HLOOKUP($A973,표1[#ALL],row(),false)</f>
        <v>#N/A</v>
      </c>
      <c r="AJ973" s="376" t="str">
        <f>CS_PID!AJ973/VLOOKUP($B973,표2[#ALL],2)/HLOOKUP($A973,표1[#ALL],row(),false)</f>
        <v>#N/A</v>
      </c>
      <c r="AK973" s="376" t="str">
        <f>CS_PID!AK973/VLOOKUP($B973,표2[#ALL],2)/HLOOKUP($A973,표1[#ALL],row(),false)</f>
        <v>#N/A</v>
      </c>
      <c r="AL973" s="376" t="str">
        <f>CS_PID!AL973/VLOOKUP($B973,표2[#ALL],2)/HLOOKUP($A973,표1[#ALL],row(),false)</f>
        <v>#N/A</v>
      </c>
      <c r="AM973" s="376" t="str">
        <f>CS_PID!AM973/VLOOKUP($B973,표2[#ALL],2)/HLOOKUP($A973,표1[#ALL],row(),false)</f>
        <v>#N/A</v>
      </c>
      <c r="AN973" s="376" t="str">
        <f>CS_PID!AN973/VLOOKUP($B973,표2[#ALL],2)/HLOOKUP($A973,표1[#ALL],row(),false)</f>
        <v>#N/A</v>
      </c>
      <c r="AO973" s="376" t="str">
        <f>CS_PID!AO973/VLOOKUP($B973,표2[#ALL],2)/HLOOKUP($A973,표1[#ALL],row(),false)</f>
        <v>#N/A</v>
      </c>
      <c r="AP973" s="376" t="str">
        <f>CS_PID!AP973/VLOOKUP($B973,표2[#ALL],2)/HLOOKUP($A973,표1[#ALL],row(),false)</f>
        <v>#N/A</v>
      </c>
      <c r="AQ973" s="376" t="str">
        <f>CS_PID!AQ973/VLOOKUP($B973,표2[#ALL],2)/HLOOKUP($A973,표1[#ALL],row(),false)</f>
        <v>#N/A</v>
      </c>
      <c r="AR973" s="376" t="str">
        <f>CS_PID!AR973/VLOOKUP($B973,표2[#ALL],2)/HLOOKUP($A973,표1[#ALL],row(),false)</f>
        <v>#N/A</v>
      </c>
      <c r="AS973" s="377" t="str">
        <f>CS_PID!AS973/VLOOKUP($B973,표2[#ALL],2)/HLOOKUP($A973,표1[#ALL],row(),false)</f>
        <v>#N/A</v>
      </c>
    </row>
    <row r="974">
      <c r="A974" s="370"/>
      <c r="B974" s="371"/>
      <c r="C974" s="372" t="str">
        <f>CS_PID!C974/VLOOKUP($B974,표2[#ALL],2)</f>
        <v>#N/A</v>
      </c>
      <c r="D974" s="372" t="str">
        <f>CS_PID!D974/VLOOKUP($B974,표2[#ALL],2)</f>
        <v>#N/A</v>
      </c>
      <c r="E974" s="372" t="str">
        <f>CS_PID!E974/VLOOKUP($B974,표2[#ALL],2)</f>
        <v>#N/A</v>
      </c>
      <c r="F974" s="372" t="str">
        <f>CS_PID!F974/VLOOKUP($B974,표2[#ALL],2)</f>
        <v>#N/A</v>
      </c>
      <c r="G974" s="372" t="str">
        <f>CS_PID!G974/VLOOKUP($B974,표2[#ALL],2)</f>
        <v>#N/A</v>
      </c>
      <c r="H974" s="372" t="str">
        <f>CS_PID!H974/VLOOKUP($B974,표2[#ALL],2)/HLOOKUP($A974,표1[#ALL],row(),false)</f>
        <v>#N/A</v>
      </c>
      <c r="I974" s="372" t="str">
        <f>CS_PID!I974/VLOOKUP($B974,표2[#ALL],2)/HLOOKUP($A974,표1[#ALL],row(),false)</f>
        <v>#N/A</v>
      </c>
      <c r="J974" s="372" t="str">
        <f>CS_PID!J974/VLOOKUP($B974,표2[#ALL],2)/HLOOKUP($A974,표1[#ALL],row(),false)</f>
        <v>#N/A</v>
      </c>
      <c r="K974" s="372" t="str">
        <f>CS_PID!K974/VLOOKUP($B974,표2[#ALL],2)/HLOOKUP($A974,표1[#ALL],row(),false)</f>
        <v>#N/A</v>
      </c>
      <c r="L974" s="372" t="str">
        <f>CS_PID!L974/VLOOKUP($B974,표2[#ALL],2)/HLOOKUP($A974,표1[#ALL],row(),false)</f>
        <v>#N/A</v>
      </c>
      <c r="M974" s="372" t="str">
        <f>CS_PID!M974/VLOOKUP($B974,표2[#ALL],2)/HLOOKUP($A974,표1[#ALL],row(),false)</f>
        <v>#N/A</v>
      </c>
      <c r="N974" s="372" t="str">
        <f>CS_PID!N974/VLOOKUP($B974,표2[#ALL],2)/HLOOKUP($A974,표1[#ALL],row(),false)</f>
        <v>#N/A</v>
      </c>
      <c r="O974" s="372" t="str">
        <f>CS_PID!O974/VLOOKUP($B974,표2[#ALL],2)/HLOOKUP($A974,표1[#ALL],row(),false)</f>
        <v>#N/A</v>
      </c>
      <c r="P974" s="372" t="str">
        <f>CS_PID!P974/VLOOKUP($B974,표2[#ALL],2)/HLOOKUP($A974,표1[#ALL],row(),false)</f>
        <v>#N/A</v>
      </c>
      <c r="Q974" s="372" t="str">
        <f>CS_PID!Q974/VLOOKUP($B974,표2[#ALL],2)/HLOOKUP($A974,표1[#ALL],row(),false)</f>
        <v>#N/A</v>
      </c>
      <c r="R974" s="372" t="str">
        <f>CS_PID!R974/VLOOKUP($B974,표2[#ALL],2)/HLOOKUP($A974,표1[#ALL],row(),false)</f>
        <v>#N/A</v>
      </c>
      <c r="S974" s="372" t="str">
        <f>CS_PID!S974/VLOOKUP($B974,표2[#ALL],2)/HLOOKUP($A974,표1[#ALL],row(),false)</f>
        <v>#N/A</v>
      </c>
      <c r="T974" s="372" t="str">
        <f>CS_PID!T974/VLOOKUP($B974,표2[#ALL],2)/HLOOKUP($A974,표1[#ALL],row(),false)</f>
        <v>#N/A</v>
      </c>
      <c r="U974" s="372" t="str">
        <f>CS_PID!U974/VLOOKUP($B974,표2[#ALL],2)/HLOOKUP($A974,표1[#ALL],row(),false)</f>
        <v>#N/A</v>
      </c>
      <c r="V974" s="372" t="str">
        <f>CS_PID!V974/VLOOKUP($B974,표2[#ALL],2)/HLOOKUP($A974,표1[#ALL],row(),false)</f>
        <v>#N/A</v>
      </c>
      <c r="W974" s="372" t="str">
        <f>CS_PID!W974/VLOOKUP($B974,표2[#ALL],2)/HLOOKUP($A974,표1[#ALL],row(),false)</f>
        <v>#N/A</v>
      </c>
      <c r="X974" s="372" t="str">
        <f>CS_PID!X974/VLOOKUP($B974,표2[#ALL],2)/HLOOKUP($A974,표1[#ALL],row(),false)</f>
        <v>#N/A</v>
      </c>
      <c r="Y974" s="372" t="str">
        <f>CS_PID!Y974/VLOOKUP($B974,표2[#ALL],2)/HLOOKUP($A974,표1[#ALL],row(),false)</f>
        <v>#N/A</v>
      </c>
      <c r="Z974" s="372" t="str">
        <f>CS_PID!Z974/VLOOKUP($B974,표2[#ALL],2)/HLOOKUP($A974,표1[#ALL],row(),false)</f>
        <v>#N/A</v>
      </c>
      <c r="AA974" s="372" t="str">
        <f>CS_PID!AA974/VLOOKUP($B974,표2[#ALL],2)/HLOOKUP($A974,표1[#ALL],row(),false)</f>
        <v>#N/A</v>
      </c>
      <c r="AB974" s="372" t="str">
        <f>CS_PID!AB974/VLOOKUP($B974,표2[#ALL],2)/HLOOKUP($A974,표1[#ALL],row(),false)</f>
        <v>#N/A</v>
      </c>
      <c r="AC974" s="372" t="str">
        <f>CS_PID!AC974/VLOOKUP($B974,표2[#ALL],2)/HLOOKUP($A974,표1[#ALL],row(),false)</f>
        <v>#N/A</v>
      </c>
      <c r="AD974" s="372" t="str">
        <f>CS_PID!AD974/VLOOKUP($B974,표2[#ALL],2)/HLOOKUP($A974,표1[#ALL],row(),false)</f>
        <v>#N/A</v>
      </c>
      <c r="AE974" s="372" t="str">
        <f>CS_PID!AE974/VLOOKUP($B974,표2[#ALL],2)/HLOOKUP($A974,표1[#ALL],row(),false)</f>
        <v>#N/A</v>
      </c>
      <c r="AF974" s="372" t="str">
        <f>CS_PID!AF974/VLOOKUP($B974,표2[#ALL],2)/HLOOKUP($A974,표1[#ALL],row(),false)</f>
        <v>#N/A</v>
      </c>
      <c r="AG974" s="372" t="str">
        <f>CS_PID!AG974/VLOOKUP($B974,표2[#ALL],2)/HLOOKUP($A974,표1[#ALL],row(),false)</f>
        <v>#N/A</v>
      </c>
      <c r="AH974" s="372" t="str">
        <f>CS_PID!AH974/VLOOKUP($B974,표2[#ALL],2)/HLOOKUP($A974,표1[#ALL],row(),false)</f>
        <v>#N/A</v>
      </c>
      <c r="AI974" s="372" t="str">
        <f>CS_PID!AI974/VLOOKUP($B974,표2[#ALL],2)/HLOOKUP($A974,표1[#ALL],row(),false)</f>
        <v>#N/A</v>
      </c>
      <c r="AJ974" s="372" t="str">
        <f>CS_PID!AJ974/VLOOKUP($B974,표2[#ALL],2)/HLOOKUP($A974,표1[#ALL],row(),false)</f>
        <v>#N/A</v>
      </c>
      <c r="AK974" s="372" t="str">
        <f>CS_PID!AK974/VLOOKUP($B974,표2[#ALL],2)/HLOOKUP($A974,표1[#ALL],row(),false)</f>
        <v>#N/A</v>
      </c>
      <c r="AL974" s="372" t="str">
        <f>CS_PID!AL974/VLOOKUP($B974,표2[#ALL],2)/HLOOKUP($A974,표1[#ALL],row(),false)</f>
        <v>#N/A</v>
      </c>
      <c r="AM974" s="372" t="str">
        <f>CS_PID!AM974/VLOOKUP($B974,표2[#ALL],2)/HLOOKUP($A974,표1[#ALL],row(),false)</f>
        <v>#N/A</v>
      </c>
      <c r="AN974" s="372" t="str">
        <f>CS_PID!AN974/VLOOKUP($B974,표2[#ALL],2)/HLOOKUP($A974,표1[#ALL],row(),false)</f>
        <v>#N/A</v>
      </c>
      <c r="AO974" s="372" t="str">
        <f>CS_PID!AO974/VLOOKUP($B974,표2[#ALL],2)/HLOOKUP($A974,표1[#ALL],row(),false)</f>
        <v>#N/A</v>
      </c>
      <c r="AP974" s="372" t="str">
        <f>CS_PID!AP974/VLOOKUP($B974,표2[#ALL],2)/HLOOKUP($A974,표1[#ALL],row(),false)</f>
        <v>#N/A</v>
      </c>
      <c r="AQ974" s="372" t="str">
        <f>CS_PID!AQ974/VLOOKUP($B974,표2[#ALL],2)/HLOOKUP($A974,표1[#ALL],row(),false)</f>
        <v>#N/A</v>
      </c>
      <c r="AR974" s="372" t="str">
        <f>CS_PID!AR974/VLOOKUP($B974,표2[#ALL],2)/HLOOKUP($A974,표1[#ALL],row(),false)</f>
        <v>#N/A</v>
      </c>
      <c r="AS974" s="373" t="str">
        <f>CS_PID!AS974/VLOOKUP($B974,표2[#ALL],2)/HLOOKUP($A974,표1[#ALL],row(),false)</f>
        <v>#N/A</v>
      </c>
    </row>
    <row r="975">
      <c r="A975" s="374"/>
      <c r="B975" s="375"/>
      <c r="C975" s="376" t="str">
        <f>CS_PID!C975/VLOOKUP($B975,표2[#ALL],2)</f>
        <v>#N/A</v>
      </c>
      <c r="D975" s="376" t="str">
        <f>CS_PID!D975/VLOOKUP($B975,표2[#ALL],2)</f>
        <v>#N/A</v>
      </c>
      <c r="E975" s="376" t="str">
        <f>CS_PID!E975/VLOOKUP($B975,표2[#ALL],2)</f>
        <v>#N/A</v>
      </c>
      <c r="F975" s="376" t="str">
        <f>CS_PID!F975/VLOOKUP($B975,표2[#ALL],2)</f>
        <v>#N/A</v>
      </c>
      <c r="G975" s="376" t="str">
        <f>CS_PID!G975/VLOOKUP($B975,표2[#ALL],2)</f>
        <v>#N/A</v>
      </c>
      <c r="H975" s="376" t="str">
        <f>CS_PID!H975/VLOOKUP($B975,표2[#ALL],2)/HLOOKUP($A975,표1[#ALL],row(),false)</f>
        <v>#N/A</v>
      </c>
      <c r="I975" s="376" t="str">
        <f>CS_PID!I975/VLOOKUP($B975,표2[#ALL],2)/HLOOKUP($A975,표1[#ALL],row(),false)</f>
        <v>#N/A</v>
      </c>
      <c r="J975" s="376" t="str">
        <f>CS_PID!J975/VLOOKUP($B975,표2[#ALL],2)/HLOOKUP($A975,표1[#ALL],row(),false)</f>
        <v>#N/A</v>
      </c>
      <c r="K975" s="376" t="str">
        <f>CS_PID!K975/VLOOKUP($B975,표2[#ALL],2)/HLOOKUP($A975,표1[#ALL],row(),false)</f>
        <v>#N/A</v>
      </c>
      <c r="L975" s="376" t="str">
        <f>CS_PID!L975/VLOOKUP($B975,표2[#ALL],2)/HLOOKUP($A975,표1[#ALL],row(),false)</f>
        <v>#N/A</v>
      </c>
      <c r="M975" s="376" t="str">
        <f>CS_PID!M975/VLOOKUP($B975,표2[#ALL],2)/HLOOKUP($A975,표1[#ALL],row(),false)</f>
        <v>#N/A</v>
      </c>
      <c r="N975" s="376" t="str">
        <f>CS_PID!N975/VLOOKUP($B975,표2[#ALL],2)/HLOOKUP($A975,표1[#ALL],row(),false)</f>
        <v>#N/A</v>
      </c>
      <c r="O975" s="376" t="str">
        <f>CS_PID!O975/VLOOKUP($B975,표2[#ALL],2)/HLOOKUP($A975,표1[#ALL],row(),false)</f>
        <v>#N/A</v>
      </c>
      <c r="P975" s="376" t="str">
        <f>CS_PID!P975/VLOOKUP($B975,표2[#ALL],2)/HLOOKUP($A975,표1[#ALL],row(),false)</f>
        <v>#N/A</v>
      </c>
      <c r="Q975" s="376" t="str">
        <f>CS_PID!Q975/VLOOKUP($B975,표2[#ALL],2)/HLOOKUP($A975,표1[#ALL],row(),false)</f>
        <v>#N/A</v>
      </c>
      <c r="R975" s="376" t="str">
        <f>CS_PID!R975/VLOOKUP($B975,표2[#ALL],2)/HLOOKUP($A975,표1[#ALL],row(),false)</f>
        <v>#N/A</v>
      </c>
      <c r="S975" s="376" t="str">
        <f>CS_PID!S975/VLOOKUP($B975,표2[#ALL],2)/HLOOKUP($A975,표1[#ALL],row(),false)</f>
        <v>#N/A</v>
      </c>
      <c r="T975" s="376" t="str">
        <f>CS_PID!T975/VLOOKUP($B975,표2[#ALL],2)/HLOOKUP($A975,표1[#ALL],row(),false)</f>
        <v>#N/A</v>
      </c>
      <c r="U975" s="376" t="str">
        <f>CS_PID!U975/VLOOKUP($B975,표2[#ALL],2)/HLOOKUP($A975,표1[#ALL],row(),false)</f>
        <v>#N/A</v>
      </c>
      <c r="V975" s="376" t="str">
        <f>CS_PID!V975/VLOOKUP($B975,표2[#ALL],2)/HLOOKUP($A975,표1[#ALL],row(),false)</f>
        <v>#N/A</v>
      </c>
      <c r="W975" s="376" t="str">
        <f>CS_PID!W975/VLOOKUP($B975,표2[#ALL],2)/HLOOKUP($A975,표1[#ALL],row(),false)</f>
        <v>#N/A</v>
      </c>
      <c r="X975" s="376" t="str">
        <f>CS_PID!X975/VLOOKUP($B975,표2[#ALL],2)/HLOOKUP($A975,표1[#ALL],row(),false)</f>
        <v>#N/A</v>
      </c>
      <c r="Y975" s="376" t="str">
        <f>CS_PID!Y975/VLOOKUP($B975,표2[#ALL],2)/HLOOKUP($A975,표1[#ALL],row(),false)</f>
        <v>#N/A</v>
      </c>
      <c r="Z975" s="376" t="str">
        <f>CS_PID!Z975/VLOOKUP($B975,표2[#ALL],2)/HLOOKUP($A975,표1[#ALL],row(),false)</f>
        <v>#N/A</v>
      </c>
      <c r="AA975" s="376" t="str">
        <f>CS_PID!AA975/VLOOKUP($B975,표2[#ALL],2)/HLOOKUP($A975,표1[#ALL],row(),false)</f>
        <v>#N/A</v>
      </c>
      <c r="AB975" s="376" t="str">
        <f>CS_PID!AB975/VLOOKUP($B975,표2[#ALL],2)/HLOOKUP($A975,표1[#ALL],row(),false)</f>
        <v>#N/A</v>
      </c>
      <c r="AC975" s="376" t="str">
        <f>CS_PID!AC975/VLOOKUP($B975,표2[#ALL],2)/HLOOKUP($A975,표1[#ALL],row(),false)</f>
        <v>#N/A</v>
      </c>
      <c r="AD975" s="376" t="str">
        <f>CS_PID!AD975/VLOOKUP($B975,표2[#ALL],2)/HLOOKUP($A975,표1[#ALL],row(),false)</f>
        <v>#N/A</v>
      </c>
      <c r="AE975" s="376" t="str">
        <f>CS_PID!AE975/VLOOKUP($B975,표2[#ALL],2)/HLOOKUP($A975,표1[#ALL],row(),false)</f>
        <v>#N/A</v>
      </c>
      <c r="AF975" s="376" t="str">
        <f>CS_PID!AF975/VLOOKUP($B975,표2[#ALL],2)/HLOOKUP($A975,표1[#ALL],row(),false)</f>
        <v>#N/A</v>
      </c>
      <c r="AG975" s="376" t="str">
        <f>CS_PID!AG975/VLOOKUP($B975,표2[#ALL],2)/HLOOKUP($A975,표1[#ALL],row(),false)</f>
        <v>#N/A</v>
      </c>
      <c r="AH975" s="376" t="str">
        <f>CS_PID!AH975/VLOOKUP($B975,표2[#ALL],2)/HLOOKUP($A975,표1[#ALL],row(),false)</f>
        <v>#N/A</v>
      </c>
      <c r="AI975" s="376" t="str">
        <f>CS_PID!AI975/VLOOKUP($B975,표2[#ALL],2)/HLOOKUP($A975,표1[#ALL],row(),false)</f>
        <v>#N/A</v>
      </c>
      <c r="AJ975" s="376" t="str">
        <f>CS_PID!AJ975/VLOOKUP($B975,표2[#ALL],2)/HLOOKUP($A975,표1[#ALL],row(),false)</f>
        <v>#N/A</v>
      </c>
      <c r="AK975" s="376" t="str">
        <f>CS_PID!AK975/VLOOKUP($B975,표2[#ALL],2)/HLOOKUP($A975,표1[#ALL],row(),false)</f>
        <v>#N/A</v>
      </c>
      <c r="AL975" s="376" t="str">
        <f>CS_PID!AL975/VLOOKUP($B975,표2[#ALL],2)/HLOOKUP($A975,표1[#ALL],row(),false)</f>
        <v>#N/A</v>
      </c>
      <c r="AM975" s="376" t="str">
        <f>CS_PID!AM975/VLOOKUP($B975,표2[#ALL],2)/HLOOKUP($A975,표1[#ALL],row(),false)</f>
        <v>#N/A</v>
      </c>
      <c r="AN975" s="376" t="str">
        <f>CS_PID!AN975/VLOOKUP($B975,표2[#ALL],2)/HLOOKUP($A975,표1[#ALL],row(),false)</f>
        <v>#N/A</v>
      </c>
      <c r="AO975" s="376" t="str">
        <f>CS_PID!AO975/VLOOKUP($B975,표2[#ALL],2)/HLOOKUP($A975,표1[#ALL],row(),false)</f>
        <v>#N/A</v>
      </c>
      <c r="AP975" s="376" t="str">
        <f>CS_PID!AP975/VLOOKUP($B975,표2[#ALL],2)/HLOOKUP($A975,표1[#ALL],row(),false)</f>
        <v>#N/A</v>
      </c>
      <c r="AQ975" s="376" t="str">
        <f>CS_PID!AQ975/VLOOKUP($B975,표2[#ALL],2)/HLOOKUP($A975,표1[#ALL],row(),false)</f>
        <v>#N/A</v>
      </c>
      <c r="AR975" s="376" t="str">
        <f>CS_PID!AR975/VLOOKUP($B975,표2[#ALL],2)/HLOOKUP($A975,표1[#ALL],row(),false)</f>
        <v>#N/A</v>
      </c>
      <c r="AS975" s="377" t="str">
        <f>CS_PID!AS975/VLOOKUP($B975,표2[#ALL],2)/HLOOKUP($A975,표1[#ALL],row(),false)</f>
        <v>#N/A</v>
      </c>
    </row>
    <row r="976">
      <c r="A976" s="370"/>
      <c r="B976" s="371"/>
      <c r="C976" s="372" t="str">
        <f>CS_PID!C976/VLOOKUP($B976,표2[#ALL],2)</f>
        <v>#N/A</v>
      </c>
      <c r="D976" s="372" t="str">
        <f>CS_PID!D976/VLOOKUP($B976,표2[#ALL],2)</f>
        <v>#N/A</v>
      </c>
      <c r="E976" s="372" t="str">
        <f>CS_PID!E976/VLOOKUP($B976,표2[#ALL],2)</f>
        <v>#N/A</v>
      </c>
      <c r="F976" s="372" t="str">
        <f>CS_PID!F976/VLOOKUP($B976,표2[#ALL],2)</f>
        <v>#N/A</v>
      </c>
      <c r="G976" s="372" t="str">
        <f>CS_PID!G976/VLOOKUP($B976,표2[#ALL],2)</f>
        <v>#N/A</v>
      </c>
      <c r="H976" s="372" t="str">
        <f>CS_PID!H976/VLOOKUP($B976,표2[#ALL],2)/HLOOKUP($A976,표1[#ALL],row(),false)</f>
        <v>#N/A</v>
      </c>
      <c r="I976" s="372" t="str">
        <f>CS_PID!I976/VLOOKUP($B976,표2[#ALL],2)/HLOOKUP($A976,표1[#ALL],row(),false)</f>
        <v>#N/A</v>
      </c>
      <c r="J976" s="372" t="str">
        <f>CS_PID!J976/VLOOKUP($B976,표2[#ALL],2)/HLOOKUP($A976,표1[#ALL],row(),false)</f>
        <v>#N/A</v>
      </c>
      <c r="K976" s="372" t="str">
        <f>CS_PID!K976/VLOOKUP($B976,표2[#ALL],2)/HLOOKUP($A976,표1[#ALL],row(),false)</f>
        <v>#N/A</v>
      </c>
      <c r="L976" s="372" t="str">
        <f>CS_PID!L976/VLOOKUP($B976,표2[#ALL],2)/HLOOKUP($A976,표1[#ALL],row(),false)</f>
        <v>#N/A</v>
      </c>
      <c r="M976" s="372" t="str">
        <f>CS_PID!M976/VLOOKUP($B976,표2[#ALL],2)/HLOOKUP($A976,표1[#ALL],row(),false)</f>
        <v>#N/A</v>
      </c>
      <c r="N976" s="372" t="str">
        <f>CS_PID!N976/VLOOKUP($B976,표2[#ALL],2)/HLOOKUP($A976,표1[#ALL],row(),false)</f>
        <v>#N/A</v>
      </c>
      <c r="O976" s="372" t="str">
        <f>CS_PID!O976/VLOOKUP($B976,표2[#ALL],2)/HLOOKUP($A976,표1[#ALL],row(),false)</f>
        <v>#N/A</v>
      </c>
      <c r="P976" s="372" t="str">
        <f>CS_PID!P976/VLOOKUP($B976,표2[#ALL],2)/HLOOKUP($A976,표1[#ALL],row(),false)</f>
        <v>#N/A</v>
      </c>
      <c r="Q976" s="372" t="str">
        <f>CS_PID!Q976/VLOOKUP($B976,표2[#ALL],2)/HLOOKUP($A976,표1[#ALL],row(),false)</f>
        <v>#N/A</v>
      </c>
      <c r="R976" s="372" t="str">
        <f>CS_PID!R976/VLOOKUP($B976,표2[#ALL],2)/HLOOKUP($A976,표1[#ALL],row(),false)</f>
        <v>#N/A</v>
      </c>
      <c r="S976" s="372" t="str">
        <f>CS_PID!S976/VLOOKUP($B976,표2[#ALL],2)/HLOOKUP($A976,표1[#ALL],row(),false)</f>
        <v>#N/A</v>
      </c>
      <c r="T976" s="372" t="str">
        <f>CS_PID!T976/VLOOKUP($B976,표2[#ALL],2)/HLOOKUP($A976,표1[#ALL],row(),false)</f>
        <v>#N/A</v>
      </c>
      <c r="U976" s="372" t="str">
        <f>CS_PID!U976/VLOOKUP($B976,표2[#ALL],2)/HLOOKUP($A976,표1[#ALL],row(),false)</f>
        <v>#N/A</v>
      </c>
      <c r="V976" s="372" t="str">
        <f>CS_PID!V976/VLOOKUP($B976,표2[#ALL],2)/HLOOKUP($A976,표1[#ALL],row(),false)</f>
        <v>#N/A</v>
      </c>
      <c r="W976" s="372" t="str">
        <f>CS_PID!W976/VLOOKUP($B976,표2[#ALL],2)/HLOOKUP($A976,표1[#ALL],row(),false)</f>
        <v>#N/A</v>
      </c>
      <c r="X976" s="372" t="str">
        <f>CS_PID!X976/VLOOKUP($B976,표2[#ALL],2)/HLOOKUP($A976,표1[#ALL],row(),false)</f>
        <v>#N/A</v>
      </c>
      <c r="Y976" s="372" t="str">
        <f>CS_PID!Y976/VLOOKUP($B976,표2[#ALL],2)/HLOOKUP($A976,표1[#ALL],row(),false)</f>
        <v>#N/A</v>
      </c>
      <c r="Z976" s="372" t="str">
        <f>CS_PID!Z976/VLOOKUP($B976,표2[#ALL],2)/HLOOKUP($A976,표1[#ALL],row(),false)</f>
        <v>#N/A</v>
      </c>
      <c r="AA976" s="372" t="str">
        <f>CS_PID!AA976/VLOOKUP($B976,표2[#ALL],2)/HLOOKUP($A976,표1[#ALL],row(),false)</f>
        <v>#N/A</v>
      </c>
      <c r="AB976" s="372" t="str">
        <f>CS_PID!AB976/VLOOKUP($B976,표2[#ALL],2)/HLOOKUP($A976,표1[#ALL],row(),false)</f>
        <v>#N/A</v>
      </c>
      <c r="AC976" s="372" t="str">
        <f>CS_PID!AC976/VLOOKUP($B976,표2[#ALL],2)/HLOOKUP($A976,표1[#ALL],row(),false)</f>
        <v>#N/A</v>
      </c>
      <c r="AD976" s="372" t="str">
        <f>CS_PID!AD976/VLOOKUP($B976,표2[#ALL],2)/HLOOKUP($A976,표1[#ALL],row(),false)</f>
        <v>#N/A</v>
      </c>
      <c r="AE976" s="372" t="str">
        <f>CS_PID!AE976/VLOOKUP($B976,표2[#ALL],2)/HLOOKUP($A976,표1[#ALL],row(),false)</f>
        <v>#N/A</v>
      </c>
      <c r="AF976" s="372" t="str">
        <f>CS_PID!AF976/VLOOKUP($B976,표2[#ALL],2)/HLOOKUP($A976,표1[#ALL],row(),false)</f>
        <v>#N/A</v>
      </c>
      <c r="AG976" s="372" t="str">
        <f>CS_PID!AG976/VLOOKUP($B976,표2[#ALL],2)/HLOOKUP($A976,표1[#ALL],row(),false)</f>
        <v>#N/A</v>
      </c>
      <c r="AH976" s="372" t="str">
        <f>CS_PID!AH976/VLOOKUP($B976,표2[#ALL],2)/HLOOKUP($A976,표1[#ALL],row(),false)</f>
        <v>#N/A</v>
      </c>
      <c r="AI976" s="372" t="str">
        <f>CS_PID!AI976/VLOOKUP($B976,표2[#ALL],2)/HLOOKUP($A976,표1[#ALL],row(),false)</f>
        <v>#N/A</v>
      </c>
      <c r="AJ976" s="372" t="str">
        <f>CS_PID!AJ976/VLOOKUP($B976,표2[#ALL],2)/HLOOKUP($A976,표1[#ALL],row(),false)</f>
        <v>#N/A</v>
      </c>
      <c r="AK976" s="372" t="str">
        <f>CS_PID!AK976/VLOOKUP($B976,표2[#ALL],2)/HLOOKUP($A976,표1[#ALL],row(),false)</f>
        <v>#N/A</v>
      </c>
      <c r="AL976" s="372" t="str">
        <f>CS_PID!AL976/VLOOKUP($B976,표2[#ALL],2)/HLOOKUP($A976,표1[#ALL],row(),false)</f>
        <v>#N/A</v>
      </c>
      <c r="AM976" s="372" t="str">
        <f>CS_PID!AM976/VLOOKUP($B976,표2[#ALL],2)/HLOOKUP($A976,표1[#ALL],row(),false)</f>
        <v>#N/A</v>
      </c>
      <c r="AN976" s="372" t="str">
        <f>CS_PID!AN976/VLOOKUP($B976,표2[#ALL],2)/HLOOKUP($A976,표1[#ALL],row(),false)</f>
        <v>#N/A</v>
      </c>
      <c r="AO976" s="372" t="str">
        <f>CS_PID!AO976/VLOOKUP($B976,표2[#ALL],2)/HLOOKUP($A976,표1[#ALL],row(),false)</f>
        <v>#N/A</v>
      </c>
      <c r="AP976" s="372" t="str">
        <f>CS_PID!AP976/VLOOKUP($B976,표2[#ALL],2)/HLOOKUP($A976,표1[#ALL],row(),false)</f>
        <v>#N/A</v>
      </c>
      <c r="AQ976" s="372" t="str">
        <f>CS_PID!AQ976/VLOOKUP($B976,표2[#ALL],2)/HLOOKUP($A976,표1[#ALL],row(),false)</f>
        <v>#N/A</v>
      </c>
      <c r="AR976" s="372" t="str">
        <f>CS_PID!AR976/VLOOKUP($B976,표2[#ALL],2)/HLOOKUP($A976,표1[#ALL],row(),false)</f>
        <v>#N/A</v>
      </c>
      <c r="AS976" s="373" t="str">
        <f>CS_PID!AS976/VLOOKUP($B976,표2[#ALL],2)/HLOOKUP($A976,표1[#ALL],row(),false)</f>
        <v>#N/A</v>
      </c>
    </row>
    <row r="977">
      <c r="A977" s="374"/>
      <c r="B977" s="375"/>
      <c r="C977" s="376" t="str">
        <f>CS_PID!C977/VLOOKUP($B977,표2[#ALL],2)</f>
        <v>#N/A</v>
      </c>
      <c r="D977" s="376" t="str">
        <f>CS_PID!D977/VLOOKUP($B977,표2[#ALL],2)</f>
        <v>#N/A</v>
      </c>
      <c r="E977" s="376" t="str">
        <f>CS_PID!E977/VLOOKUP($B977,표2[#ALL],2)</f>
        <v>#N/A</v>
      </c>
      <c r="F977" s="376" t="str">
        <f>CS_PID!F977/VLOOKUP($B977,표2[#ALL],2)</f>
        <v>#N/A</v>
      </c>
      <c r="G977" s="376" t="str">
        <f>CS_PID!G977/VLOOKUP($B977,표2[#ALL],2)</f>
        <v>#N/A</v>
      </c>
      <c r="H977" s="376" t="str">
        <f>CS_PID!H977/VLOOKUP($B977,표2[#ALL],2)/HLOOKUP($A977,표1[#ALL],row(),false)</f>
        <v>#N/A</v>
      </c>
      <c r="I977" s="376" t="str">
        <f>CS_PID!I977/VLOOKUP($B977,표2[#ALL],2)/HLOOKUP($A977,표1[#ALL],row(),false)</f>
        <v>#N/A</v>
      </c>
      <c r="J977" s="376" t="str">
        <f>CS_PID!J977/VLOOKUP($B977,표2[#ALL],2)/HLOOKUP($A977,표1[#ALL],row(),false)</f>
        <v>#N/A</v>
      </c>
      <c r="K977" s="376" t="str">
        <f>CS_PID!K977/VLOOKUP($B977,표2[#ALL],2)/HLOOKUP($A977,표1[#ALL],row(),false)</f>
        <v>#N/A</v>
      </c>
      <c r="L977" s="376" t="str">
        <f>CS_PID!L977/VLOOKUP($B977,표2[#ALL],2)/HLOOKUP($A977,표1[#ALL],row(),false)</f>
        <v>#N/A</v>
      </c>
      <c r="M977" s="376" t="str">
        <f>CS_PID!M977/VLOOKUP($B977,표2[#ALL],2)/HLOOKUP($A977,표1[#ALL],row(),false)</f>
        <v>#N/A</v>
      </c>
      <c r="N977" s="376" t="str">
        <f>CS_PID!N977/VLOOKUP($B977,표2[#ALL],2)/HLOOKUP($A977,표1[#ALL],row(),false)</f>
        <v>#N/A</v>
      </c>
      <c r="O977" s="376" t="str">
        <f>CS_PID!O977/VLOOKUP($B977,표2[#ALL],2)/HLOOKUP($A977,표1[#ALL],row(),false)</f>
        <v>#N/A</v>
      </c>
      <c r="P977" s="376" t="str">
        <f>CS_PID!P977/VLOOKUP($B977,표2[#ALL],2)/HLOOKUP($A977,표1[#ALL],row(),false)</f>
        <v>#N/A</v>
      </c>
      <c r="Q977" s="376" t="str">
        <f>CS_PID!Q977/VLOOKUP($B977,표2[#ALL],2)/HLOOKUP($A977,표1[#ALL],row(),false)</f>
        <v>#N/A</v>
      </c>
      <c r="R977" s="376" t="str">
        <f>CS_PID!R977/VLOOKUP($B977,표2[#ALL],2)/HLOOKUP($A977,표1[#ALL],row(),false)</f>
        <v>#N/A</v>
      </c>
      <c r="S977" s="376" t="str">
        <f>CS_PID!S977/VLOOKUP($B977,표2[#ALL],2)/HLOOKUP($A977,표1[#ALL],row(),false)</f>
        <v>#N/A</v>
      </c>
      <c r="T977" s="376" t="str">
        <f>CS_PID!T977/VLOOKUP($B977,표2[#ALL],2)/HLOOKUP($A977,표1[#ALL],row(),false)</f>
        <v>#N/A</v>
      </c>
      <c r="U977" s="376" t="str">
        <f>CS_PID!U977/VLOOKUP($B977,표2[#ALL],2)/HLOOKUP($A977,표1[#ALL],row(),false)</f>
        <v>#N/A</v>
      </c>
      <c r="V977" s="376" t="str">
        <f>CS_PID!V977/VLOOKUP($B977,표2[#ALL],2)/HLOOKUP($A977,표1[#ALL],row(),false)</f>
        <v>#N/A</v>
      </c>
      <c r="W977" s="376" t="str">
        <f>CS_PID!W977/VLOOKUP($B977,표2[#ALL],2)/HLOOKUP($A977,표1[#ALL],row(),false)</f>
        <v>#N/A</v>
      </c>
      <c r="X977" s="376" t="str">
        <f>CS_PID!X977/VLOOKUP($B977,표2[#ALL],2)/HLOOKUP($A977,표1[#ALL],row(),false)</f>
        <v>#N/A</v>
      </c>
      <c r="Y977" s="376" t="str">
        <f>CS_PID!Y977/VLOOKUP($B977,표2[#ALL],2)/HLOOKUP($A977,표1[#ALL],row(),false)</f>
        <v>#N/A</v>
      </c>
      <c r="Z977" s="376" t="str">
        <f>CS_PID!Z977/VLOOKUP($B977,표2[#ALL],2)/HLOOKUP($A977,표1[#ALL],row(),false)</f>
        <v>#N/A</v>
      </c>
      <c r="AA977" s="376" t="str">
        <f>CS_PID!AA977/VLOOKUP($B977,표2[#ALL],2)/HLOOKUP($A977,표1[#ALL],row(),false)</f>
        <v>#N/A</v>
      </c>
      <c r="AB977" s="376" t="str">
        <f>CS_PID!AB977/VLOOKUP($B977,표2[#ALL],2)/HLOOKUP($A977,표1[#ALL],row(),false)</f>
        <v>#N/A</v>
      </c>
      <c r="AC977" s="376" t="str">
        <f>CS_PID!AC977/VLOOKUP($B977,표2[#ALL],2)/HLOOKUP($A977,표1[#ALL],row(),false)</f>
        <v>#N/A</v>
      </c>
      <c r="AD977" s="376" t="str">
        <f>CS_PID!AD977/VLOOKUP($B977,표2[#ALL],2)/HLOOKUP($A977,표1[#ALL],row(),false)</f>
        <v>#N/A</v>
      </c>
      <c r="AE977" s="376" t="str">
        <f>CS_PID!AE977/VLOOKUP($B977,표2[#ALL],2)/HLOOKUP($A977,표1[#ALL],row(),false)</f>
        <v>#N/A</v>
      </c>
      <c r="AF977" s="376" t="str">
        <f>CS_PID!AF977/VLOOKUP($B977,표2[#ALL],2)/HLOOKUP($A977,표1[#ALL],row(),false)</f>
        <v>#N/A</v>
      </c>
      <c r="AG977" s="376" t="str">
        <f>CS_PID!AG977/VLOOKUP($B977,표2[#ALL],2)/HLOOKUP($A977,표1[#ALL],row(),false)</f>
        <v>#N/A</v>
      </c>
      <c r="AH977" s="376" t="str">
        <f>CS_PID!AH977/VLOOKUP($B977,표2[#ALL],2)/HLOOKUP($A977,표1[#ALL],row(),false)</f>
        <v>#N/A</v>
      </c>
      <c r="AI977" s="376" t="str">
        <f>CS_PID!AI977/VLOOKUP($B977,표2[#ALL],2)/HLOOKUP($A977,표1[#ALL],row(),false)</f>
        <v>#N/A</v>
      </c>
      <c r="AJ977" s="376" t="str">
        <f>CS_PID!AJ977/VLOOKUP($B977,표2[#ALL],2)/HLOOKUP($A977,표1[#ALL],row(),false)</f>
        <v>#N/A</v>
      </c>
      <c r="AK977" s="376" t="str">
        <f>CS_PID!AK977/VLOOKUP($B977,표2[#ALL],2)/HLOOKUP($A977,표1[#ALL],row(),false)</f>
        <v>#N/A</v>
      </c>
      <c r="AL977" s="376" t="str">
        <f>CS_PID!AL977/VLOOKUP($B977,표2[#ALL],2)/HLOOKUP($A977,표1[#ALL],row(),false)</f>
        <v>#N/A</v>
      </c>
      <c r="AM977" s="376" t="str">
        <f>CS_PID!AM977/VLOOKUP($B977,표2[#ALL],2)/HLOOKUP($A977,표1[#ALL],row(),false)</f>
        <v>#N/A</v>
      </c>
      <c r="AN977" s="376" t="str">
        <f>CS_PID!AN977/VLOOKUP($B977,표2[#ALL],2)/HLOOKUP($A977,표1[#ALL],row(),false)</f>
        <v>#N/A</v>
      </c>
      <c r="AO977" s="376" t="str">
        <f>CS_PID!AO977/VLOOKUP($B977,표2[#ALL],2)/HLOOKUP($A977,표1[#ALL],row(),false)</f>
        <v>#N/A</v>
      </c>
      <c r="AP977" s="376" t="str">
        <f>CS_PID!AP977/VLOOKUP($B977,표2[#ALL],2)/HLOOKUP($A977,표1[#ALL],row(),false)</f>
        <v>#N/A</v>
      </c>
      <c r="AQ977" s="376" t="str">
        <f>CS_PID!AQ977/VLOOKUP($B977,표2[#ALL],2)/HLOOKUP($A977,표1[#ALL],row(),false)</f>
        <v>#N/A</v>
      </c>
      <c r="AR977" s="376" t="str">
        <f>CS_PID!AR977/VLOOKUP($B977,표2[#ALL],2)/HLOOKUP($A977,표1[#ALL],row(),false)</f>
        <v>#N/A</v>
      </c>
      <c r="AS977" s="377" t="str">
        <f>CS_PID!AS977/VLOOKUP($B977,표2[#ALL],2)/HLOOKUP($A977,표1[#ALL],row(),false)</f>
        <v>#N/A</v>
      </c>
    </row>
    <row r="978">
      <c r="A978" s="370"/>
      <c r="B978" s="371"/>
      <c r="C978" s="372" t="str">
        <f>CS_PID!C978/VLOOKUP($B978,표2[#ALL],2)</f>
        <v>#N/A</v>
      </c>
      <c r="D978" s="372" t="str">
        <f>CS_PID!D978/VLOOKUP($B978,표2[#ALL],2)</f>
        <v>#N/A</v>
      </c>
      <c r="E978" s="372" t="str">
        <f>CS_PID!E978/VLOOKUP($B978,표2[#ALL],2)</f>
        <v>#N/A</v>
      </c>
      <c r="F978" s="372" t="str">
        <f>CS_PID!F978/VLOOKUP($B978,표2[#ALL],2)</f>
        <v>#N/A</v>
      </c>
      <c r="G978" s="372" t="str">
        <f>CS_PID!G978/VLOOKUP($B978,표2[#ALL],2)</f>
        <v>#N/A</v>
      </c>
      <c r="H978" s="372" t="str">
        <f>CS_PID!H978/VLOOKUP($B978,표2[#ALL],2)/HLOOKUP($A978,표1[#ALL],row(),false)</f>
        <v>#N/A</v>
      </c>
      <c r="I978" s="372" t="str">
        <f>CS_PID!I978/VLOOKUP($B978,표2[#ALL],2)/HLOOKUP($A978,표1[#ALL],row(),false)</f>
        <v>#N/A</v>
      </c>
      <c r="J978" s="372" t="str">
        <f>CS_PID!J978/VLOOKUP($B978,표2[#ALL],2)/HLOOKUP($A978,표1[#ALL],row(),false)</f>
        <v>#N/A</v>
      </c>
      <c r="K978" s="372" t="str">
        <f>CS_PID!K978/VLOOKUP($B978,표2[#ALL],2)/HLOOKUP($A978,표1[#ALL],row(),false)</f>
        <v>#N/A</v>
      </c>
      <c r="L978" s="372" t="str">
        <f>CS_PID!L978/VLOOKUP($B978,표2[#ALL],2)/HLOOKUP($A978,표1[#ALL],row(),false)</f>
        <v>#N/A</v>
      </c>
      <c r="M978" s="372" t="str">
        <f>CS_PID!M978/VLOOKUP($B978,표2[#ALL],2)/HLOOKUP($A978,표1[#ALL],row(),false)</f>
        <v>#N/A</v>
      </c>
      <c r="N978" s="372" t="str">
        <f>CS_PID!N978/VLOOKUP($B978,표2[#ALL],2)/HLOOKUP($A978,표1[#ALL],row(),false)</f>
        <v>#N/A</v>
      </c>
      <c r="O978" s="372" t="str">
        <f>CS_PID!O978/VLOOKUP($B978,표2[#ALL],2)/HLOOKUP($A978,표1[#ALL],row(),false)</f>
        <v>#N/A</v>
      </c>
      <c r="P978" s="372" t="str">
        <f>CS_PID!P978/VLOOKUP($B978,표2[#ALL],2)/HLOOKUP($A978,표1[#ALL],row(),false)</f>
        <v>#N/A</v>
      </c>
      <c r="Q978" s="372" t="str">
        <f>CS_PID!Q978/VLOOKUP($B978,표2[#ALL],2)/HLOOKUP($A978,표1[#ALL],row(),false)</f>
        <v>#N/A</v>
      </c>
      <c r="R978" s="372" t="str">
        <f>CS_PID!R978/VLOOKUP($B978,표2[#ALL],2)/HLOOKUP($A978,표1[#ALL],row(),false)</f>
        <v>#N/A</v>
      </c>
      <c r="S978" s="372" t="str">
        <f>CS_PID!S978/VLOOKUP($B978,표2[#ALL],2)/HLOOKUP($A978,표1[#ALL],row(),false)</f>
        <v>#N/A</v>
      </c>
      <c r="T978" s="372" t="str">
        <f>CS_PID!T978/VLOOKUP($B978,표2[#ALL],2)/HLOOKUP($A978,표1[#ALL],row(),false)</f>
        <v>#N/A</v>
      </c>
      <c r="U978" s="372" t="str">
        <f>CS_PID!U978/VLOOKUP($B978,표2[#ALL],2)/HLOOKUP($A978,표1[#ALL],row(),false)</f>
        <v>#N/A</v>
      </c>
      <c r="V978" s="372" t="str">
        <f>CS_PID!V978/VLOOKUP($B978,표2[#ALL],2)/HLOOKUP($A978,표1[#ALL],row(),false)</f>
        <v>#N/A</v>
      </c>
      <c r="W978" s="372" t="str">
        <f>CS_PID!W978/VLOOKUP($B978,표2[#ALL],2)/HLOOKUP($A978,표1[#ALL],row(),false)</f>
        <v>#N/A</v>
      </c>
      <c r="X978" s="372" t="str">
        <f>CS_PID!X978/VLOOKUP($B978,표2[#ALL],2)/HLOOKUP($A978,표1[#ALL],row(),false)</f>
        <v>#N/A</v>
      </c>
      <c r="Y978" s="372" t="str">
        <f>CS_PID!Y978/VLOOKUP($B978,표2[#ALL],2)/HLOOKUP($A978,표1[#ALL],row(),false)</f>
        <v>#N/A</v>
      </c>
      <c r="Z978" s="372" t="str">
        <f>CS_PID!Z978/VLOOKUP($B978,표2[#ALL],2)/HLOOKUP($A978,표1[#ALL],row(),false)</f>
        <v>#N/A</v>
      </c>
      <c r="AA978" s="372" t="str">
        <f>CS_PID!AA978/VLOOKUP($B978,표2[#ALL],2)/HLOOKUP($A978,표1[#ALL],row(),false)</f>
        <v>#N/A</v>
      </c>
      <c r="AB978" s="372" t="str">
        <f>CS_PID!AB978/VLOOKUP($B978,표2[#ALL],2)/HLOOKUP($A978,표1[#ALL],row(),false)</f>
        <v>#N/A</v>
      </c>
      <c r="AC978" s="372" t="str">
        <f>CS_PID!AC978/VLOOKUP($B978,표2[#ALL],2)/HLOOKUP($A978,표1[#ALL],row(),false)</f>
        <v>#N/A</v>
      </c>
      <c r="AD978" s="372" t="str">
        <f>CS_PID!AD978/VLOOKUP($B978,표2[#ALL],2)/HLOOKUP($A978,표1[#ALL],row(),false)</f>
        <v>#N/A</v>
      </c>
      <c r="AE978" s="372" t="str">
        <f>CS_PID!AE978/VLOOKUP($B978,표2[#ALL],2)/HLOOKUP($A978,표1[#ALL],row(),false)</f>
        <v>#N/A</v>
      </c>
      <c r="AF978" s="372" t="str">
        <f>CS_PID!AF978/VLOOKUP($B978,표2[#ALL],2)/HLOOKUP($A978,표1[#ALL],row(),false)</f>
        <v>#N/A</v>
      </c>
      <c r="AG978" s="372" t="str">
        <f>CS_PID!AG978/VLOOKUP($B978,표2[#ALL],2)/HLOOKUP($A978,표1[#ALL],row(),false)</f>
        <v>#N/A</v>
      </c>
      <c r="AH978" s="372" t="str">
        <f>CS_PID!AH978/VLOOKUP($B978,표2[#ALL],2)/HLOOKUP($A978,표1[#ALL],row(),false)</f>
        <v>#N/A</v>
      </c>
      <c r="AI978" s="372" t="str">
        <f>CS_PID!AI978/VLOOKUP($B978,표2[#ALL],2)/HLOOKUP($A978,표1[#ALL],row(),false)</f>
        <v>#N/A</v>
      </c>
      <c r="AJ978" s="372" t="str">
        <f>CS_PID!AJ978/VLOOKUP($B978,표2[#ALL],2)/HLOOKUP($A978,표1[#ALL],row(),false)</f>
        <v>#N/A</v>
      </c>
      <c r="AK978" s="372" t="str">
        <f>CS_PID!AK978/VLOOKUP($B978,표2[#ALL],2)/HLOOKUP($A978,표1[#ALL],row(),false)</f>
        <v>#N/A</v>
      </c>
      <c r="AL978" s="372" t="str">
        <f>CS_PID!AL978/VLOOKUP($B978,표2[#ALL],2)/HLOOKUP($A978,표1[#ALL],row(),false)</f>
        <v>#N/A</v>
      </c>
      <c r="AM978" s="372" t="str">
        <f>CS_PID!AM978/VLOOKUP($B978,표2[#ALL],2)/HLOOKUP($A978,표1[#ALL],row(),false)</f>
        <v>#N/A</v>
      </c>
      <c r="AN978" s="372" t="str">
        <f>CS_PID!AN978/VLOOKUP($B978,표2[#ALL],2)/HLOOKUP($A978,표1[#ALL],row(),false)</f>
        <v>#N/A</v>
      </c>
      <c r="AO978" s="372" t="str">
        <f>CS_PID!AO978/VLOOKUP($B978,표2[#ALL],2)/HLOOKUP($A978,표1[#ALL],row(),false)</f>
        <v>#N/A</v>
      </c>
      <c r="AP978" s="372" t="str">
        <f>CS_PID!AP978/VLOOKUP($B978,표2[#ALL],2)/HLOOKUP($A978,표1[#ALL],row(),false)</f>
        <v>#N/A</v>
      </c>
      <c r="AQ978" s="372" t="str">
        <f>CS_PID!AQ978/VLOOKUP($B978,표2[#ALL],2)/HLOOKUP($A978,표1[#ALL],row(),false)</f>
        <v>#N/A</v>
      </c>
      <c r="AR978" s="372" t="str">
        <f>CS_PID!AR978/VLOOKUP($B978,표2[#ALL],2)/HLOOKUP($A978,표1[#ALL],row(),false)</f>
        <v>#N/A</v>
      </c>
      <c r="AS978" s="373" t="str">
        <f>CS_PID!AS978/VLOOKUP($B978,표2[#ALL],2)/HLOOKUP($A978,표1[#ALL],row(),false)</f>
        <v>#N/A</v>
      </c>
    </row>
    <row r="979">
      <c r="A979" s="374"/>
      <c r="B979" s="375"/>
      <c r="C979" s="376" t="str">
        <f>CS_PID!C979/VLOOKUP($B979,표2[#ALL],2)</f>
        <v>#N/A</v>
      </c>
      <c r="D979" s="376" t="str">
        <f>CS_PID!D979/VLOOKUP($B979,표2[#ALL],2)</f>
        <v>#N/A</v>
      </c>
      <c r="E979" s="376" t="str">
        <f>CS_PID!E979/VLOOKUP($B979,표2[#ALL],2)</f>
        <v>#N/A</v>
      </c>
      <c r="F979" s="376" t="str">
        <f>CS_PID!F979/VLOOKUP($B979,표2[#ALL],2)</f>
        <v>#N/A</v>
      </c>
      <c r="G979" s="376" t="str">
        <f>CS_PID!G979/VLOOKUP($B979,표2[#ALL],2)</f>
        <v>#N/A</v>
      </c>
      <c r="H979" s="376" t="str">
        <f>CS_PID!H979/VLOOKUP($B979,표2[#ALL],2)/HLOOKUP($A979,표1[#ALL],row(),false)</f>
        <v>#N/A</v>
      </c>
      <c r="I979" s="376" t="str">
        <f>CS_PID!I979/VLOOKUP($B979,표2[#ALL],2)/HLOOKUP($A979,표1[#ALL],row(),false)</f>
        <v>#N/A</v>
      </c>
      <c r="J979" s="376" t="str">
        <f>CS_PID!J979/VLOOKUP($B979,표2[#ALL],2)/HLOOKUP($A979,표1[#ALL],row(),false)</f>
        <v>#N/A</v>
      </c>
      <c r="K979" s="376" t="str">
        <f>CS_PID!K979/VLOOKUP($B979,표2[#ALL],2)/HLOOKUP($A979,표1[#ALL],row(),false)</f>
        <v>#N/A</v>
      </c>
      <c r="L979" s="376" t="str">
        <f>CS_PID!L979/VLOOKUP($B979,표2[#ALL],2)/HLOOKUP($A979,표1[#ALL],row(),false)</f>
        <v>#N/A</v>
      </c>
      <c r="M979" s="376" t="str">
        <f>CS_PID!M979/VLOOKUP($B979,표2[#ALL],2)/HLOOKUP($A979,표1[#ALL],row(),false)</f>
        <v>#N/A</v>
      </c>
      <c r="N979" s="376" t="str">
        <f>CS_PID!N979/VLOOKUP($B979,표2[#ALL],2)/HLOOKUP($A979,표1[#ALL],row(),false)</f>
        <v>#N/A</v>
      </c>
      <c r="O979" s="376" t="str">
        <f>CS_PID!O979/VLOOKUP($B979,표2[#ALL],2)/HLOOKUP($A979,표1[#ALL],row(),false)</f>
        <v>#N/A</v>
      </c>
      <c r="P979" s="376" t="str">
        <f>CS_PID!P979/VLOOKUP($B979,표2[#ALL],2)/HLOOKUP($A979,표1[#ALL],row(),false)</f>
        <v>#N/A</v>
      </c>
      <c r="Q979" s="376" t="str">
        <f>CS_PID!Q979/VLOOKUP($B979,표2[#ALL],2)/HLOOKUP($A979,표1[#ALL],row(),false)</f>
        <v>#N/A</v>
      </c>
      <c r="R979" s="376" t="str">
        <f>CS_PID!R979/VLOOKUP($B979,표2[#ALL],2)/HLOOKUP($A979,표1[#ALL],row(),false)</f>
        <v>#N/A</v>
      </c>
      <c r="S979" s="376" t="str">
        <f>CS_PID!S979/VLOOKUP($B979,표2[#ALL],2)/HLOOKUP($A979,표1[#ALL],row(),false)</f>
        <v>#N/A</v>
      </c>
      <c r="T979" s="376" t="str">
        <f>CS_PID!T979/VLOOKUP($B979,표2[#ALL],2)/HLOOKUP($A979,표1[#ALL],row(),false)</f>
        <v>#N/A</v>
      </c>
      <c r="U979" s="376" t="str">
        <f>CS_PID!U979/VLOOKUP($B979,표2[#ALL],2)/HLOOKUP($A979,표1[#ALL],row(),false)</f>
        <v>#N/A</v>
      </c>
      <c r="V979" s="376" t="str">
        <f>CS_PID!V979/VLOOKUP($B979,표2[#ALL],2)/HLOOKUP($A979,표1[#ALL],row(),false)</f>
        <v>#N/A</v>
      </c>
      <c r="W979" s="376" t="str">
        <f>CS_PID!W979/VLOOKUP($B979,표2[#ALL],2)/HLOOKUP($A979,표1[#ALL],row(),false)</f>
        <v>#N/A</v>
      </c>
      <c r="X979" s="376" t="str">
        <f>CS_PID!X979/VLOOKUP($B979,표2[#ALL],2)/HLOOKUP($A979,표1[#ALL],row(),false)</f>
        <v>#N/A</v>
      </c>
      <c r="Y979" s="376" t="str">
        <f>CS_PID!Y979/VLOOKUP($B979,표2[#ALL],2)/HLOOKUP($A979,표1[#ALL],row(),false)</f>
        <v>#N/A</v>
      </c>
      <c r="Z979" s="376" t="str">
        <f>CS_PID!Z979/VLOOKUP($B979,표2[#ALL],2)/HLOOKUP($A979,표1[#ALL],row(),false)</f>
        <v>#N/A</v>
      </c>
      <c r="AA979" s="376" t="str">
        <f>CS_PID!AA979/VLOOKUP($B979,표2[#ALL],2)/HLOOKUP($A979,표1[#ALL],row(),false)</f>
        <v>#N/A</v>
      </c>
      <c r="AB979" s="376" t="str">
        <f>CS_PID!AB979/VLOOKUP($B979,표2[#ALL],2)/HLOOKUP($A979,표1[#ALL],row(),false)</f>
        <v>#N/A</v>
      </c>
      <c r="AC979" s="376" t="str">
        <f>CS_PID!AC979/VLOOKUP($B979,표2[#ALL],2)/HLOOKUP($A979,표1[#ALL],row(),false)</f>
        <v>#N/A</v>
      </c>
      <c r="AD979" s="376" t="str">
        <f>CS_PID!AD979/VLOOKUP($B979,표2[#ALL],2)/HLOOKUP($A979,표1[#ALL],row(),false)</f>
        <v>#N/A</v>
      </c>
      <c r="AE979" s="376" t="str">
        <f>CS_PID!AE979/VLOOKUP($B979,표2[#ALL],2)/HLOOKUP($A979,표1[#ALL],row(),false)</f>
        <v>#N/A</v>
      </c>
      <c r="AF979" s="376" t="str">
        <f>CS_PID!AF979/VLOOKUP($B979,표2[#ALL],2)/HLOOKUP($A979,표1[#ALL],row(),false)</f>
        <v>#N/A</v>
      </c>
      <c r="AG979" s="376" t="str">
        <f>CS_PID!AG979/VLOOKUP($B979,표2[#ALL],2)/HLOOKUP($A979,표1[#ALL],row(),false)</f>
        <v>#N/A</v>
      </c>
      <c r="AH979" s="376" t="str">
        <f>CS_PID!AH979/VLOOKUP($B979,표2[#ALL],2)/HLOOKUP($A979,표1[#ALL],row(),false)</f>
        <v>#N/A</v>
      </c>
      <c r="AI979" s="376" t="str">
        <f>CS_PID!AI979/VLOOKUP($B979,표2[#ALL],2)/HLOOKUP($A979,표1[#ALL],row(),false)</f>
        <v>#N/A</v>
      </c>
      <c r="AJ979" s="376" t="str">
        <f>CS_PID!AJ979/VLOOKUP($B979,표2[#ALL],2)/HLOOKUP($A979,표1[#ALL],row(),false)</f>
        <v>#N/A</v>
      </c>
      <c r="AK979" s="376" t="str">
        <f>CS_PID!AK979/VLOOKUP($B979,표2[#ALL],2)/HLOOKUP($A979,표1[#ALL],row(),false)</f>
        <v>#N/A</v>
      </c>
      <c r="AL979" s="376" t="str">
        <f>CS_PID!AL979/VLOOKUP($B979,표2[#ALL],2)/HLOOKUP($A979,표1[#ALL],row(),false)</f>
        <v>#N/A</v>
      </c>
      <c r="AM979" s="376" t="str">
        <f>CS_PID!AM979/VLOOKUP($B979,표2[#ALL],2)/HLOOKUP($A979,표1[#ALL],row(),false)</f>
        <v>#N/A</v>
      </c>
      <c r="AN979" s="376" t="str">
        <f>CS_PID!AN979/VLOOKUP($B979,표2[#ALL],2)/HLOOKUP($A979,표1[#ALL],row(),false)</f>
        <v>#N/A</v>
      </c>
      <c r="AO979" s="376" t="str">
        <f>CS_PID!AO979/VLOOKUP($B979,표2[#ALL],2)/HLOOKUP($A979,표1[#ALL],row(),false)</f>
        <v>#N/A</v>
      </c>
      <c r="AP979" s="376" t="str">
        <f>CS_PID!AP979/VLOOKUP($B979,표2[#ALL],2)/HLOOKUP($A979,표1[#ALL],row(),false)</f>
        <v>#N/A</v>
      </c>
      <c r="AQ979" s="376" t="str">
        <f>CS_PID!AQ979/VLOOKUP($B979,표2[#ALL],2)/HLOOKUP($A979,표1[#ALL],row(),false)</f>
        <v>#N/A</v>
      </c>
      <c r="AR979" s="376" t="str">
        <f>CS_PID!AR979/VLOOKUP($B979,표2[#ALL],2)/HLOOKUP($A979,표1[#ALL],row(),false)</f>
        <v>#N/A</v>
      </c>
      <c r="AS979" s="377" t="str">
        <f>CS_PID!AS979/VLOOKUP($B979,표2[#ALL],2)/HLOOKUP($A979,표1[#ALL],row(),false)</f>
        <v>#N/A</v>
      </c>
    </row>
    <row r="980">
      <c r="A980" s="370"/>
      <c r="B980" s="371"/>
      <c r="C980" s="372" t="str">
        <f>CS_PID!C980/VLOOKUP($B980,표2[#ALL],2)</f>
        <v>#N/A</v>
      </c>
      <c r="D980" s="372" t="str">
        <f>CS_PID!D980/VLOOKUP($B980,표2[#ALL],2)</f>
        <v>#N/A</v>
      </c>
      <c r="E980" s="372" t="str">
        <f>CS_PID!E980/VLOOKUP($B980,표2[#ALL],2)</f>
        <v>#N/A</v>
      </c>
      <c r="F980" s="372" t="str">
        <f>CS_PID!F980/VLOOKUP($B980,표2[#ALL],2)</f>
        <v>#N/A</v>
      </c>
      <c r="G980" s="372" t="str">
        <f>CS_PID!G980/VLOOKUP($B980,표2[#ALL],2)</f>
        <v>#N/A</v>
      </c>
      <c r="H980" s="372" t="str">
        <f>CS_PID!H980/VLOOKUP($B980,표2[#ALL],2)/HLOOKUP($A980,표1[#ALL],row(),false)</f>
        <v>#N/A</v>
      </c>
      <c r="I980" s="372" t="str">
        <f>CS_PID!I980/VLOOKUP($B980,표2[#ALL],2)/HLOOKUP($A980,표1[#ALL],row(),false)</f>
        <v>#N/A</v>
      </c>
      <c r="J980" s="372" t="str">
        <f>CS_PID!J980/VLOOKUP($B980,표2[#ALL],2)/HLOOKUP($A980,표1[#ALL],row(),false)</f>
        <v>#N/A</v>
      </c>
      <c r="K980" s="372" t="str">
        <f>CS_PID!K980/VLOOKUP($B980,표2[#ALL],2)/HLOOKUP($A980,표1[#ALL],row(),false)</f>
        <v>#N/A</v>
      </c>
      <c r="L980" s="372" t="str">
        <f>CS_PID!L980/VLOOKUP($B980,표2[#ALL],2)/HLOOKUP($A980,표1[#ALL],row(),false)</f>
        <v>#N/A</v>
      </c>
      <c r="M980" s="372" t="str">
        <f>CS_PID!M980/VLOOKUP($B980,표2[#ALL],2)/HLOOKUP($A980,표1[#ALL],row(),false)</f>
        <v>#N/A</v>
      </c>
      <c r="N980" s="372" t="str">
        <f>CS_PID!N980/VLOOKUP($B980,표2[#ALL],2)/HLOOKUP($A980,표1[#ALL],row(),false)</f>
        <v>#N/A</v>
      </c>
      <c r="O980" s="372" t="str">
        <f>CS_PID!O980/VLOOKUP($B980,표2[#ALL],2)/HLOOKUP($A980,표1[#ALL],row(),false)</f>
        <v>#N/A</v>
      </c>
      <c r="P980" s="372" t="str">
        <f>CS_PID!P980/VLOOKUP($B980,표2[#ALL],2)/HLOOKUP($A980,표1[#ALL],row(),false)</f>
        <v>#N/A</v>
      </c>
      <c r="Q980" s="372" t="str">
        <f>CS_PID!Q980/VLOOKUP($B980,표2[#ALL],2)/HLOOKUP($A980,표1[#ALL],row(),false)</f>
        <v>#N/A</v>
      </c>
      <c r="R980" s="372" t="str">
        <f>CS_PID!R980/VLOOKUP($B980,표2[#ALL],2)/HLOOKUP($A980,표1[#ALL],row(),false)</f>
        <v>#N/A</v>
      </c>
      <c r="S980" s="372" t="str">
        <f>CS_PID!S980/VLOOKUP($B980,표2[#ALL],2)/HLOOKUP($A980,표1[#ALL],row(),false)</f>
        <v>#N/A</v>
      </c>
      <c r="T980" s="372" t="str">
        <f>CS_PID!T980/VLOOKUP($B980,표2[#ALL],2)/HLOOKUP($A980,표1[#ALL],row(),false)</f>
        <v>#N/A</v>
      </c>
      <c r="U980" s="372" t="str">
        <f>CS_PID!U980/VLOOKUP($B980,표2[#ALL],2)/HLOOKUP($A980,표1[#ALL],row(),false)</f>
        <v>#N/A</v>
      </c>
      <c r="V980" s="372" t="str">
        <f>CS_PID!V980/VLOOKUP($B980,표2[#ALL],2)/HLOOKUP($A980,표1[#ALL],row(),false)</f>
        <v>#N/A</v>
      </c>
      <c r="W980" s="372" t="str">
        <f>CS_PID!W980/VLOOKUP($B980,표2[#ALL],2)/HLOOKUP($A980,표1[#ALL],row(),false)</f>
        <v>#N/A</v>
      </c>
      <c r="X980" s="372" t="str">
        <f>CS_PID!X980/VLOOKUP($B980,표2[#ALL],2)/HLOOKUP($A980,표1[#ALL],row(),false)</f>
        <v>#N/A</v>
      </c>
      <c r="Y980" s="372" t="str">
        <f>CS_PID!Y980/VLOOKUP($B980,표2[#ALL],2)/HLOOKUP($A980,표1[#ALL],row(),false)</f>
        <v>#N/A</v>
      </c>
      <c r="Z980" s="372" t="str">
        <f>CS_PID!Z980/VLOOKUP($B980,표2[#ALL],2)/HLOOKUP($A980,표1[#ALL],row(),false)</f>
        <v>#N/A</v>
      </c>
      <c r="AA980" s="372" t="str">
        <f>CS_PID!AA980/VLOOKUP($B980,표2[#ALL],2)/HLOOKUP($A980,표1[#ALL],row(),false)</f>
        <v>#N/A</v>
      </c>
      <c r="AB980" s="372" t="str">
        <f>CS_PID!AB980/VLOOKUP($B980,표2[#ALL],2)/HLOOKUP($A980,표1[#ALL],row(),false)</f>
        <v>#N/A</v>
      </c>
      <c r="AC980" s="372" t="str">
        <f>CS_PID!AC980/VLOOKUP($B980,표2[#ALL],2)/HLOOKUP($A980,표1[#ALL],row(),false)</f>
        <v>#N/A</v>
      </c>
      <c r="AD980" s="372" t="str">
        <f>CS_PID!AD980/VLOOKUP($B980,표2[#ALL],2)/HLOOKUP($A980,표1[#ALL],row(),false)</f>
        <v>#N/A</v>
      </c>
      <c r="AE980" s="372" t="str">
        <f>CS_PID!AE980/VLOOKUP($B980,표2[#ALL],2)/HLOOKUP($A980,표1[#ALL],row(),false)</f>
        <v>#N/A</v>
      </c>
      <c r="AF980" s="372" t="str">
        <f>CS_PID!AF980/VLOOKUP($B980,표2[#ALL],2)/HLOOKUP($A980,표1[#ALL],row(),false)</f>
        <v>#N/A</v>
      </c>
      <c r="AG980" s="372" t="str">
        <f>CS_PID!AG980/VLOOKUP($B980,표2[#ALL],2)/HLOOKUP($A980,표1[#ALL],row(),false)</f>
        <v>#N/A</v>
      </c>
      <c r="AH980" s="372" t="str">
        <f>CS_PID!AH980/VLOOKUP($B980,표2[#ALL],2)/HLOOKUP($A980,표1[#ALL],row(),false)</f>
        <v>#N/A</v>
      </c>
      <c r="AI980" s="372" t="str">
        <f>CS_PID!AI980/VLOOKUP($B980,표2[#ALL],2)/HLOOKUP($A980,표1[#ALL],row(),false)</f>
        <v>#N/A</v>
      </c>
      <c r="AJ980" s="372" t="str">
        <f>CS_PID!AJ980/VLOOKUP($B980,표2[#ALL],2)/HLOOKUP($A980,표1[#ALL],row(),false)</f>
        <v>#N/A</v>
      </c>
      <c r="AK980" s="372" t="str">
        <f>CS_PID!AK980/VLOOKUP($B980,표2[#ALL],2)/HLOOKUP($A980,표1[#ALL],row(),false)</f>
        <v>#N/A</v>
      </c>
      <c r="AL980" s="372" t="str">
        <f>CS_PID!AL980/VLOOKUP($B980,표2[#ALL],2)/HLOOKUP($A980,표1[#ALL],row(),false)</f>
        <v>#N/A</v>
      </c>
      <c r="AM980" s="372" t="str">
        <f>CS_PID!AM980/VLOOKUP($B980,표2[#ALL],2)/HLOOKUP($A980,표1[#ALL],row(),false)</f>
        <v>#N/A</v>
      </c>
      <c r="AN980" s="372" t="str">
        <f>CS_PID!AN980/VLOOKUP($B980,표2[#ALL],2)/HLOOKUP($A980,표1[#ALL],row(),false)</f>
        <v>#N/A</v>
      </c>
      <c r="AO980" s="372" t="str">
        <f>CS_PID!AO980/VLOOKUP($B980,표2[#ALL],2)/HLOOKUP($A980,표1[#ALL],row(),false)</f>
        <v>#N/A</v>
      </c>
      <c r="AP980" s="372" t="str">
        <f>CS_PID!AP980/VLOOKUP($B980,표2[#ALL],2)/HLOOKUP($A980,표1[#ALL],row(),false)</f>
        <v>#N/A</v>
      </c>
      <c r="AQ980" s="372" t="str">
        <f>CS_PID!AQ980/VLOOKUP($B980,표2[#ALL],2)/HLOOKUP($A980,표1[#ALL],row(),false)</f>
        <v>#N/A</v>
      </c>
      <c r="AR980" s="372" t="str">
        <f>CS_PID!AR980/VLOOKUP($B980,표2[#ALL],2)/HLOOKUP($A980,표1[#ALL],row(),false)</f>
        <v>#N/A</v>
      </c>
      <c r="AS980" s="373" t="str">
        <f>CS_PID!AS980/VLOOKUP($B980,표2[#ALL],2)/HLOOKUP($A980,표1[#ALL],row(),false)</f>
        <v>#N/A</v>
      </c>
    </row>
    <row r="981">
      <c r="A981" s="374"/>
      <c r="B981" s="375"/>
      <c r="C981" s="376" t="str">
        <f>CS_PID!C981/VLOOKUP($B981,표2[#ALL],2)</f>
        <v>#N/A</v>
      </c>
      <c r="D981" s="376" t="str">
        <f>CS_PID!D981/VLOOKUP($B981,표2[#ALL],2)</f>
        <v>#N/A</v>
      </c>
      <c r="E981" s="376" t="str">
        <f>CS_PID!E981/VLOOKUP($B981,표2[#ALL],2)</f>
        <v>#N/A</v>
      </c>
      <c r="F981" s="376" t="str">
        <f>CS_PID!F981/VLOOKUP($B981,표2[#ALL],2)</f>
        <v>#N/A</v>
      </c>
      <c r="G981" s="376" t="str">
        <f>CS_PID!G981/VLOOKUP($B981,표2[#ALL],2)</f>
        <v>#N/A</v>
      </c>
      <c r="H981" s="376" t="str">
        <f>CS_PID!H981/VLOOKUP($B981,표2[#ALL],2)/HLOOKUP($A981,표1[#ALL],row(),false)</f>
        <v>#N/A</v>
      </c>
      <c r="I981" s="376" t="str">
        <f>CS_PID!I981/VLOOKUP($B981,표2[#ALL],2)/HLOOKUP($A981,표1[#ALL],row(),false)</f>
        <v>#N/A</v>
      </c>
      <c r="J981" s="376" t="str">
        <f>CS_PID!J981/VLOOKUP($B981,표2[#ALL],2)/HLOOKUP($A981,표1[#ALL],row(),false)</f>
        <v>#N/A</v>
      </c>
      <c r="K981" s="376" t="str">
        <f>CS_PID!K981/VLOOKUP($B981,표2[#ALL],2)/HLOOKUP($A981,표1[#ALL],row(),false)</f>
        <v>#N/A</v>
      </c>
      <c r="L981" s="376" t="str">
        <f>CS_PID!L981/VLOOKUP($B981,표2[#ALL],2)/HLOOKUP($A981,표1[#ALL],row(),false)</f>
        <v>#N/A</v>
      </c>
      <c r="M981" s="376" t="str">
        <f>CS_PID!M981/VLOOKUP($B981,표2[#ALL],2)/HLOOKUP($A981,표1[#ALL],row(),false)</f>
        <v>#N/A</v>
      </c>
      <c r="N981" s="376" t="str">
        <f>CS_PID!N981/VLOOKUP($B981,표2[#ALL],2)/HLOOKUP($A981,표1[#ALL],row(),false)</f>
        <v>#N/A</v>
      </c>
      <c r="O981" s="376" t="str">
        <f>CS_PID!O981/VLOOKUP($B981,표2[#ALL],2)/HLOOKUP($A981,표1[#ALL],row(),false)</f>
        <v>#N/A</v>
      </c>
      <c r="P981" s="376" t="str">
        <f>CS_PID!P981/VLOOKUP($B981,표2[#ALL],2)/HLOOKUP($A981,표1[#ALL],row(),false)</f>
        <v>#N/A</v>
      </c>
      <c r="Q981" s="376" t="str">
        <f>CS_PID!Q981/VLOOKUP($B981,표2[#ALL],2)/HLOOKUP($A981,표1[#ALL],row(),false)</f>
        <v>#N/A</v>
      </c>
      <c r="R981" s="376" t="str">
        <f>CS_PID!R981/VLOOKUP($B981,표2[#ALL],2)/HLOOKUP($A981,표1[#ALL],row(),false)</f>
        <v>#N/A</v>
      </c>
      <c r="S981" s="376" t="str">
        <f>CS_PID!S981/VLOOKUP($B981,표2[#ALL],2)/HLOOKUP($A981,표1[#ALL],row(),false)</f>
        <v>#N/A</v>
      </c>
      <c r="T981" s="376" t="str">
        <f>CS_PID!T981/VLOOKUP($B981,표2[#ALL],2)/HLOOKUP($A981,표1[#ALL],row(),false)</f>
        <v>#N/A</v>
      </c>
      <c r="U981" s="376" t="str">
        <f>CS_PID!U981/VLOOKUP($B981,표2[#ALL],2)/HLOOKUP($A981,표1[#ALL],row(),false)</f>
        <v>#N/A</v>
      </c>
      <c r="V981" s="376" t="str">
        <f>CS_PID!V981/VLOOKUP($B981,표2[#ALL],2)/HLOOKUP($A981,표1[#ALL],row(),false)</f>
        <v>#N/A</v>
      </c>
      <c r="W981" s="376" t="str">
        <f>CS_PID!W981/VLOOKUP($B981,표2[#ALL],2)/HLOOKUP($A981,표1[#ALL],row(),false)</f>
        <v>#N/A</v>
      </c>
      <c r="X981" s="376" t="str">
        <f>CS_PID!X981/VLOOKUP($B981,표2[#ALL],2)/HLOOKUP($A981,표1[#ALL],row(),false)</f>
        <v>#N/A</v>
      </c>
      <c r="Y981" s="376" t="str">
        <f>CS_PID!Y981/VLOOKUP($B981,표2[#ALL],2)/HLOOKUP($A981,표1[#ALL],row(),false)</f>
        <v>#N/A</v>
      </c>
      <c r="Z981" s="376" t="str">
        <f>CS_PID!Z981/VLOOKUP($B981,표2[#ALL],2)/HLOOKUP($A981,표1[#ALL],row(),false)</f>
        <v>#N/A</v>
      </c>
      <c r="AA981" s="376" t="str">
        <f>CS_PID!AA981/VLOOKUP($B981,표2[#ALL],2)/HLOOKUP($A981,표1[#ALL],row(),false)</f>
        <v>#N/A</v>
      </c>
      <c r="AB981" s="376" t="str">
        <f>CS_PID!AB981/VLOOKUP($B981,표2[#ALL],2)/HLOOKUP($A981,표1[#ALL],row(),false)</f>
        <v>#N/A</v>
      </c>
      <c r="AC981" s="376" t="str">
        <f>CS_PID!AC981/VLOOKUP($B981,표2[#ALL],2)/HLOOKUP($A981,표1[#ALL],row(),false)</f>
        <v>#N/A</v>
      </c>
      <c r="AD981" s="376" t="str">
        <f>CS_PID!AD981/VLOOKUP($B981,표2[#ALL],2)/HLOOKUP($A981,표1[#ALL],row(),false)</f>
        <v>#N/A</v>
      </c>
      <c r="AE981" s="376" t="str">
        <f>CS_PID!AE981/VLOOKUP($B981,표2[#ALL],2)/HLOOKUP($A981,표1[#ALL],row(),false)</f>
        <v>#N/A</v>
      </c>
      <c r="AF981" s="376" t="str">
        <f>CS_PID!AF981/VLOOKUP($B981,표2[#ALL],2)/HLOOKUP($A981,표1[#ALL],row(),false)</f>
        <v>#N/A</v>
      </c>
      <c r="AG981" s="376" t="str">
        <f>CS_PID!AG981/VLOOKUP($B981,표2[#ALL],2)/HLOOKUP($A981,표1[#ALL],row(),false)</f>
        <v>#N/A</v>
      </c>
      <c r="AH981" s="376" t="str">
        <f>CS_PID!AH981/VLOOKUP($B981,표2[#ALL],2)/HLOOKUP($A981,표1[#ALL],row(),false)</f>
        <v>#N/A</v>
      </c>
      <c r="AI981" s="376" t="str">
        <f>CS_PID!AI981/VLOOKUP($B981,표2[#ALL],2)/HLOOKUP($A981,표1[#ALL],row(),false)</f>
        <v>#N/A</v>
      </c>
      <c r="AJ981" s="376" t="str">
        <f>CS_PID!AJ981/VLOOKUP($B981,표2[#ALL],2)/HLOOKUP($A981,표1[#ALL],row(),false)</f>
        <v>#N/A</v>
      </c>
      <c r="AK981" s="376" t="str">
        <f>CS_PID!AK981/VLOOKUP($B981,표2[#ALL],2)/HLOOKUP($A981,표1[#ALL],row(),false)</f>
        <v>#N/A</v>
      </c>
      <c r="AL981" s="376" t="str">
        <f>CS_PID!AL981/VLOOKUP($B981,표2[#ALL],2)/HLOOKUP($A981,표1[#ALL],row(),false)</f>
        <v>#N/A</v>
      </c>
      <c r="AM981" s="376" t="str">
        <f>CS_PID!AM981/VLOOKUP($B981,표2[#ALL],2)/HLOOKUP($A981,표1[#ALL],row(),false)</f>
        <v>#N/A</v>
      </c>
      <c r="AN981" s="376" t="str">
        <f>CS_PID!AN981/VLOOKUP($B981,표2[#ALL],2)/HLOOKUP($A981,표1[#ALL],row(),false)</f>
        <v>#N/A</v>
      </c>
      <c r="AO981" s="376" t="str">
        <f>CS_PID!AO981/VLOOKUP($B981,표2[#ALL],2)/HLOOKUP($A981,표1[#ALL],row(),false)</f>
        <v>#N/A</v>
      </c>
      <c r="AP981" s="376" t="str">
        <f>CS_PID!AP981/VLOOKUP($B981,표2[#ALL],2)/HLOOKUP($A981,표1[#ALL],row(),false)</f>
        <v>#N/A</v>
      </c>
      <c r="AQ981" s="376" t="str">
        <f>CS_PID!AQ981/VLOOKUP($B981,표2[#ALL],2)/HLOOKUP($A981,표1[#ALL],row(),false)</f>
        <v>#N/A</v>
      </c>
      <c r="AR981" s="376" t="str">
        <f>CS_PID!AR981/VLOOKUP($B981,표2[#ALL],2)/HLOOKUP($A981,표1[#ALL],row(),false)</f>
        <v>#N/A</v>
      </c>
      <c r="AS981" s="377" t="str">
        <f>CS_PID!AS981/VLOOKUP($B981,표2[#ALL],2)/HLOOKUP($A981,표1[#ALL],row(),false)</f>
        <v>#N/A</v>
      </c>
    </row>
    <row r="982">
      <c r="A982" s="370"/>
      <c r="B982" s="371"/>
      <c r="C982" s="372" t="str">
        <f>CS_PID!C982/VLOOKUP($B982,표2[#ALL],2)</f>
        <v>#N/A</v>
      </c>
      <c r="D982" s="372" t="str">
        <f>CS_PID!D982/VLOOKUP($B982,표2[#ALL],2)</f>
        <v>#N/A</v>
      </c>
      <c r="E982" s="372" t="str">
        <f>CS_PID!E982/VLOOKUP($B982,표2[#ALL],2)</f>
        <v>#N/A</v>
      </c>
      <c r="F982" s="372" t="str">
        <f>CS_PID!F982/VLOOKUP($B982,표2[#ALL],2)</f>
        <v>#N/A</v>
      </c>
      <c r="G982" s="372" t="str">
        <f>CS_PID!G982/VLOOKUP($B982,표2[#ALL],2)</f>
        <v>#N/A</v>
      </c>
      <c r="H982" s="372" t="str">
        <f>CS_PID!H982/VLOOKUP($B982,표2[#ALL],2)/HLOOKUP($A982,표1[#ALL],row(),false)</f>
        <v>#N/A</v>
      </c>
      <c r="I982" s="372" t="str">
        <f>CS_PID!I982/VLOOKUP($B982,표2[#ALL],2)/HLOOKUP($A982,표1[#ALL],row(),false)</f>
        <v>#N/A</v>
      </c>
      <c r="J982" s="372" t="str">
        <f>CS_PID!J982/VLOOKUP($B982,표2[#ALL],2)/HLOOKUP($A982,표1[#ALL],row(),false)</f>
        <v>#N/A</v>
      </c>
      <c r="K982" s="372" t="str">
        <f>CS_PID!K982/VLOOKUP($B982,표2[#ALL],2)/HLOOKUP($A982,표1[#ALL],row(),false)</f>
        <v>#N/A</v>
      </c>
      <c r="L982" s="372" t="str">
        <f>CS_PID!L982/VLOOKUP($B982,표2[#ALL],2)/HLOOKUP($A982,표1[#ALL],row(),false)</f>
        <v>#N/A</v>
      </c>
      <c r="M982" s="372" t="str">
        <f>CS_PID!M982/VLOOKUP($B982,표2[#ALL],2)/HLOOKUP($A982,표1[#ALL],row(),false)</f>
        <v>#N/A</v>
      </c>
      <c r="N982" s="372" t="str">
        <f>CS_PID!N982/VLOOKUP($B982,표2[#ALL],2)/HLOOKUP($A982,표1[#ALL],row(),false)</f>
        <v>#N/A</v>
      </c>
      <c r="O982" s="372" t="str">
        <f>CS_PID!O982/VLOOKUP($B982,표2[#ALL],2)/HLOOKUP($A982,표1[#ALL],row(),false)</f>
        <v>#N/A</v>
      </c>
      <c r="P982" s="372" t="str">
        <f>CS_PID!P982/VLOOKUP($B982,표2[#ALL],2)/HLOOKUP($A982,표1[#ALL],row(),false)</f>
        <v>#N/A</v>
      </c>
      <c r="Q982" s="372" t="str">
        <f>CS_PID!Q982/VLOOKUP($B982,표2[#ALL],2)/HLOOKUP($A982,표1[#ALL],row(),false)</f>
        <v>#N/A</v>
      </c>
      <c r="R982" s="372" t="str">
        <f>CS_PID!R982/VLOOKUP($B982,표2[#ALL],2)/HLOOKUP($A982,표1[#ALL],row(),false)</f>
        <v>#N/A</v>
      </c>
      <c r="S982" s="372" t="str">
        <f>CS_PID!S982/VLOOKUP($B982,표2[#ALL],2)/HLOOKUP($A982,표1[#ALL],row(),false)</f>
        <v>#N/A</v>
      </c>
      <c r="T982" s="372" t="str">
        <f>CS_PID!T982/VLOOKUP($B982,표2[#ALL],2)/HLOOKUP($A982,표1[#ALL],row(),false)</f>
        <v>#N/A</v>
      </c>
      <c r="U982" s="372" t="str">
        <f>CS_PID!U982/VLOOKUP($B982,표2[#ALL],2)/HLOOKUP($A982,표1[#ALL],row(),false)</f>
        <v>#N/A</v>
      </c>
      <c r="V982" s="372" t="str">
        <f>CS_PID!V982/VLOOKUP($B982,표2[#ALL],2)/HLOOKUP($A982,표1[#ALL],row(),false)</f>
        <v>#N/A</v>
      </c>
      <c r="W982" s="372" t="str">
        <f>CS_PID!W982/VLOOKUP($B982,표2[#ALL],2)/HLOOKUP($A982,표1[#ALL],row(),false)</f>
        <v>#N/A</v>
      </c>
      <c r="X982" s="372" t="str">
        <f>CS_PID!X982/VLOOKUP($B982,표2[#ALL],2)/HLOOKUP($A982,표1[#ALL],row(),false)</f>
        <v>#N/A</v>
      </c>
      <c r="Y982" s="372" t="str">
        <f>CS_PID!Y982/VLOOKUP($B982,표2[#ALL],2)/HLOOKUP($A982,표1[#ALL],row(),false)</f>
        <v>#N/A</v>
      </c>
      <c r="Z982" s="372" t="str">
        <f>CS_PID!Z982/VLOOKUP($B982,표2[#ALL],2)/HLOOKUP($A982,표1[#ALL],row(),false)</f>
        <v>#N/A</v>
      </c>
      <c r="AA982" s="372" t="str">
        <f>CS_PID!AA982/VLOOKUP($B982,표2[#ALL],2)/HLOOKUP($A982,표1[#ALL],row(),false)</f>
        <v>#N/A</v>
      </c>
      <c r="AB982" s="372" t="str">
        <f>CS_PID!AB982/VLOOKUP($B982,표2[#ALL],2)/HLOOKUP($A982,표1[#ALL],row(),false)</f>
        <v>#N/A</v>
      </c>
      <c r="AC982" s="372" t="str">
        <f>CS_PID!AC982/VLOOKUP($B982,표2[#ALL],2)/HLOOKUP($A982,표1[#ALL],row(),false)</f>
        <v>#N/A</v>
      </c>
      <c r="AD982" s="372" t="str">
        <f>CS_PID!AD982/VLOOKUP($B982,표2[#ALL],2)/HLOOKUP($A982,표1[#ALL],row(),false)</f>
        <v>#N/A</v>
      </c>
      <c r="AE982" s="372" t="str">
        <f>CS_PID!AE982/VLOOKUP($B982,표2[#ALL],2)/HLOOKUP($A982,표1[#ALL],row(),false)</f>
        <v>#N/A</v>
      </c>
      <c r="AF982" s="372" t="str">
        <f>CS_PID!AF982/VLOOKUP($B982,표2[#ALL],2)/HLOOKUP($A982,표1[#ALL],row(),false)</f>
        <v>#N/A</v>
      </c>
      <c r="AG982" s="372" t="str">
        <f>CS_PID!AG982/VLOOKUP($B982,표2[#ALL],2)/HLOOKUP($A982,표1[#ALL],row(),false)</f>
        <v>#N/A</v>
      </c>
      <c r="AH982" s="372" t="str">
        <f>CS_PID!AH982/VLOOKUP($B982,표2[#ALL],2)/HLOOKUP($A982,표1[#ALL],row(),false)</f>
        <v>#N/A</v>
      </c>
      <c r="AI982" s="372" t="str">
        <f>CS_PID!AI982/VLOOKUP($B982,표2[#ALL],2)/HLOOKUP($A982,표1[#ALL],row(),false)</f>
        <v>#N/A</v>
      </c>
      <c r="AJ982" s="372" t="str">
        <f>CS_PID!AJ982/VLOOKUP($B982,표2[#ALL],2)/HLOOKUP($A982,표1[#ALL],row(),false)</f>
        <v>#N/A</v>
      </c>
      <c r="AK982" s="372" t="str">
        <f>CS_PID!AK982/VLOOKUP($B982,표2[#ALL],2)/HLOOKUP($A982,표1[#ALL],row(),false)</f>
        <v>#N/A</v>
      </c>
      <c r="AL982" s="372" t="str">
        <f>CS_PID!AL982/VLOOKUP($B982,표2[#ALL],2)/HLOOKUP($A982,표1[#ALL],row(),false)</f>
        <v>#N/A</v>
      </c>
      <c r="AM982" s="372" t="str">
        <f>CS_PID!AM982/VLOOKUP($B982,표2[#ALL],2)/HLOOKUP($A982,표1[#ALL],row(),false)</f>
        <v>#N/A</v>
      </c>
      <c r="AN982" s="372" t="str">
        <f>CS_PID!AN982/VLOOKUP($B982,표2[#ALL],2)/HLOOKUP($A982,표1[#ALL],row(),false)</f>
        <v>#N/A</v>
      </c>
      <c r="AO982" s="372" t="str">
        <f>CS_PID!AO982/VLOOKUP($B982,표2[#ALL],2)/HLOOKUP($A982,표1[#ALL],row(),false)</f>
        <v>#N/A</v>
      </c>
      <c r="AP982" s="372" t="str">
        <f>CS_PID!AP982/VLOOKUP($B982,표2[#ALL],2)/HLOOKUP($A982,표1[#ALL],row(),false)</f>
        <v>#N/A</v>
      </c>
      <c r="AQ982" s="372" t="str">
        <f>CS_PID!AQ982/VLOOKUP($B982,표2[#ALL],2)/HLOOKUP($A982,표1[#ALL],row(),false)</f>
        <v>#N/A</v>
      </c>
      <c r="AR982" s="372" t="str">
        <f>CS_PID!AR982/VLOOKUP($B982,표2[#ALL],2)/HLOOKUP($A982,표1[#ALL],row(),false)</f>
        <v>#N/A</v>
      </c>
      <c r="AS982" s="373" t="str">
        <f>CS_PID!AS982/VLOOKUP($B982,표2[#ALL],2)/HLOOKUP($A982,표1[#ALL],row(),false)</f>
        <v>#N/A</v>
      </c>
    </row>
    <row r="983">
      <c r="A983" s="374"/>
      <c r="B983" s="375"/>
      <c r="C983" s="376" t="str">
        <f>CS_PID!C983/VLOOKUP($B983,표2[#ALL],2)</f>
        <v>#N/A</v>
      </c>
      <c r="D983" s="376" t="str">
        <f>CS_PID!D983/VLOOKUP($B983,표2[#ALL],2)</f>
        <v>#N/A</v>
      </c>
      <c r="E983" s="376" t="str">
        <f>CS_PID!E983/VLOOKUP($B983,표2[#ALL],2)</f>
        <v>#N/A</v>
      </c>
      <c r="F983" s="376" t="str">
        <f>CS_PID!F983/VLOOKUP($B983,표2[#ALL],2)</f>
        <v>#N/A</v>
      </c>
      <c r="G983" s="376" t="str">
        <f>CS_PID!G983/VLOOKUP($B983,표2[#ALL],2)</f>
        <v>#N/A</v>
      </c>
      <c r="H983" s="376" t="str">
        <f>CS_PID!H983/VLOOKUP($B983,표2[#ALL],2)/HLOOKUP($A983,표1[#ALL],row(),false)</f>
        <v>#N/A</v>
      </c>
      <c r="I983" s="376" t="str">
        <f>CS_PID!I983/VLOOKUP($B983,표2[#ALL],2)/HLOOKUP($A983,표1[#ALL],row(),false)</f>
        <v>#N/A</v>
      </c>
      <c r="J983" s="376" t="str">
        <f>CS_PID!J983/VLOOKUP($B983,표2[#ALL],2)/HLOOKUP($A983,표1[#ALL],row(),false)</f>
        <v>#N/A</v>
      </c>
      <c r="K983" s="376" t="str">
        <f>CS_PID!K983/VLOOKUP($B983,표2[#ALL],2)/HLOOKUP($A983,표1[#ALL],row(),false)</f>
        <v>#N/A</v>
      </c>
      <c r="L983" s="376" t="str">
        <f>CS_PID!L983/VLOOKUP($B983,표2[#ALL],2)/HLOOKUP($A983,표1[#ALL],row(),false)</f>
        <v>#N/A</v>
      </c>
      <c r="M983" s="376" t="str">
        <f>CS_PID!M983/VLOOKUP($B983,표2[#ALL],2)/HLOOKUP($A983,표1[#ALL],row(),false)</f>
        <v>#N/A</v>
      </c>
      <c r="N983" s="376" t="str">
        <f>CS_PID!N983/VLOOKUP($B983,표2[#ALL],2)/HLOOKUP($A983,표1[#ALL],row(),false)</f>
        <v>#N/A</v>
      </c>
      <c r="O983" s="376" t="str">
        <f>CS_PID!O983/VLOOKUP($B983,표2[#ALL],2)/HLOOKUP($A983,표1[#ALL],row(),false)</f>
        <v>#N/A</v>
      </c>
      <c r="P983" s="376" t="str">
        <f>CS_PID!P983/VLOOKUP($B983,표2[#ALL],2)/HLOOKUP($A983,표1[#ALL],row(),false)</f>
        <v>#N/A</v>
      </c>
      <c r="Q983" s="376" t="str">
        <f>CS_PID!Q983/VLOOKUP($B983,표2[#ALL],2)/HLOOKUP($A983,표1[#ALL],row(),false)</f>
        <v>#N/A</v>
      </c>
      <c r="R983" s="376" t="str">
        <f>CS_PID!R983/VLOOKUP($B983,표2[#ALL],2)/HLOOKUP($A983,표1[#ALL],row(),false)</f>
        <v>#N/A</v>
      </c>
      <c r="S983" s="376" t="str">
        <f>CS_PID!S983/VLOOKUP($B983,표2[#ALL],2)/HLOOKUP($A983,표1[#ALL],row(),false)</f>
        <v>#N/A</v>
      </c>
      <c r="T983" s="376" t="str">
        <f>CS_PID!T983/VLOOKUP($B983,표2[#ALL],2)/HLOOKUP($A983,표1[#ALL],row(),false)</f>
        <v>#N/A</v>
      </c>
      <c r="U983" s="376" t="str">
        <f>CS_PID!U983/VLOOKUP($B983,표2[#ALL],2)/HLOOKUP($A983,표1[#ALL],row(),false)</f>
        <v>#N/A</v>
      </c>
      <c r="V983" s="376" t="str">
        <f>CS_PID!V983/VLOOKUP($B983,표2[#ALL],2)/HLOOKUP($A983,표1[#ALL],row(),false)</f>
        <v>#N/A</v>
      </c>
      <c r="W983" s="376" t="str">
        <f>CS_PID!W983/VLOOKUP($B983,표2[#ALL],2)/HLOOKUP($A983,표1[#ALL],row(),false)</f>
        <v>#N/A</v>
      </c>
      <c r="X983" s="376" t="str">
        <f>CS_PID!X983/VLOOKUP($B983,표2[#ALL],2)/HLOOKUP($A983,표1[#ALL],row(),false)</f>
        <v>#N/A</v>
      </c>
      <c r="Y983" s="376" t="str">
        <f>CS_PID!Y983/VLOOKUP($B983,표2[#ALL],2)/HLOOKUP($A983,표1[#ALL],row(),false)</f>
        <v>#N/A</v>
      </c>
      <c r="Z983" s="376" t="str">
        <f>CS_PID!Z983/VLOOKUP($B983,표2[#ALL],2)/HLOOKUP($A983,표1[#ALL],row(),false)</f>
        <v>#N/A</v>
      </c>
      <c r="AA983" s="376" t="str">
        <f>CS_PID!AA983/VLOOKUP($B983,표2[#ALL],2)/HLOOKUP($A983,표1[#ALL],row(),false)</f>
        <v>#N/A</v>
      </c>
      <c r="AB983" s="376" t="str">
        <f>CS_PID!AB983/VLOOKUP($B983,표2[#ALL],2)/HLOOKUP($A983,표1[#ALL],row(),false)</f>
        <v>#N/A</v>
      </c>
      <c r="AC983" s="376" t="str">
        <f>CS_PID!AC983/VLOOKUP($B983,표2[#ALL],2)/HLOOKUP($A983,표1[#ALL],row(),false)</f>
        <v>#N/A</v>
      </c>
      <c r="AD983" s="376" t="str">
        <f>CS_PID!AD983/VLOOKUP($B983,표2[#ALL],2)/HLOOKUP($A983,표1[#ALL],row(),false)</f>
        <v>#N/A</v>
      </c>
      <c r="AE983" s="376" t="str">
        <f>CS_PID!AE983/VLOOKUP($B983,표2[#ALL],2)/HLOOKUP($A983,표1[#ALL],row(),false)</f>
        <v>#N/A</v>
      </c>
      <c r="AF983" s="376" t="str">
        <f>CS_PID!AF983/VLOOKUP($B983,표2[#ALL],2)/HLOOKUP($A983,표1[#ALL],row(),false)</f>
        <v>#N/A</v>
      </c>
      <c r="AG983" s="376" t="str">
        <f>CS_PID!AG983/VLOOKUP($B983,표2[#ALL],2)/HLOOKUP($A983,표1[#ALL],row(),false)</f>
        <v>#N/A</v>
      </c>
      <c r="AH983" s="376" t="str">
        <f>CS_PID!AH983/VLOOKUP($B983,표2[#ALL],2)/HLOOKUP($A983,표1[#ALL],row(),false)</f>
        <v>#N/A</v>
      </c>
      <c r="AI983" s="376" t="str">
        <f>CS_PID!AI983/VLOOKUP($B983,표2[#ALL],2)/HLOOKUP($A983,표1[#ALL],row(),false)</f>
        <v>#N/A</v>
      </c>
      <c r="AJ983" s="376" t="str">
        <f>CS_PID!AJ983/VLOOKUP($B983,표2[#ALL],2)/HLOOKUP($A983,표1[#ALL],row(),false)</f>
        <v>#N/A</v>
      </c>
      <c r="AK983" s="376" t="str">
        <f>CS_PID!AK983/VLOOKUP($B983,표2[#ALL],2)/HLOOKUP($A983,표1[#ALL],row(),false)</f>
        <v>#N/A</v>
      </c>
      <c r="AL983" s="376" t="str">
        <f>CS_PID!AL983/VLOOKUP($B983,표2[#ALL],2)/HLOOKUP($A983,표1[#ALL],row(),false)</f>
        <v>#N/A</v>
      </c>
      <c r="AM983" s="376" t="str">
        <f>CS_PID!AM983/VLOOKUP($B983,표2[#ALL],2)/HLOOKUP($A983,표1[#ALL],row(),false)</f>
        <v>#N/A</v>
      </c>
      <c r="AN983" s="376" t="str">
        <f>CS_PID!AN983/VLOOKUP($B983,표2[#ALL],2)/HLOOKUP($A983,표1[#ALL],row(),false)</f>
        <v>#N/A</v>
      </c>
      <c r="AO983" s="376" t="str">
        <f>CS_PID!AO983/VLOOKUP($B983,표2[#ALL],2)/HLOOKUP($A983,표1[#ALL],row(),false)</f>
        <v>#N/A</v>
      </c>
      <c r="AP983" s="376" t="str">
        <f>CS_PID!AP983/VLOOKUP($B983,표2[#ALL],2)/HLOOKUP($A983,표1[#ALL],row(),false)</f>
        <v>#N/A</v>
      </c>
      <c r="AQ983" s="376" t="str">
        <f>CS_PID!AQ983/VLOOKUP($B983,표2[#ALL],2)/HLOOKUP($A983,표1[#ALL],row(),false)</f>
        <v>#N/A</v>
      </c>
      <c r="AR983" s="376" t="str">
        <f>CS_PID!AR983/VLOOKUP($B983,표2[#ALL],2)/HLOOKUP($A983,표1[#ALL],row(),false)</f>
        <v>#N/A</v>
      </c>
      <c r="AS983" s="377" t="str">
        <f>CS_PID!AS983/VLOOKUP($B983,표2[#ALL],2)/HLOOKUP($A983,표1[#ALL],row(),false)</f>
        <v>#N/A</v>
      </c>
    </row>
    <row r="984">
      <c r="A984" s="370"/>
      <c r="B984" s="371"/>
      <c r="C984" s="372" t="str">
        <f>CS_PID!C984/VLOOKUP($B984,표2[#ALL],2)</f>
        <v>#N/A</v>
      </c>
      <c r="D984" s="372" t="str">
        <f>CS_PID!D984/VLOOKUP($B984,표2[#ALL],2)</f>
        <v>#N/A</v>
      </c>
      <c r="E984" s="372" t="str">
        <f>CS_PID!E984/VLOOKUP($B984,표2[#ALL],2)</f>
        <v>#N/A</v>
      </c>
      <c r="F984" s="372" t="str">
        <f>CS_PID!F984/VLOOKUP($B984,표2[#ALL],2)</f>
        <v>#N/A</v>
      </c>
      <c r="G984" s="372" t="str">
        <f>CS_PID!G984/VLOOKUP($B984,표2[#ALL],2)</f>
        <v>#N/A</v>
      </c>
      <c r="H984" s="372" t="str">
        <f>CS_PID!H984/VLOOKUP($B984,표2[#ALL],2)/HLOOKUP($A984,표1[#ALL],row(),false)</f>
        <v>#N/A</v>
      </c>
      <c r="I984" s="372" t="str">
        <f>CS_PID!I984/VLOOKUP($B984,표2[#ALL],2)/HLOOKUP($A984,표1[#ALL],row(),false)</f>
        <v>#N/A</v>
      </c>
      <c r="J984" s="372" t="str">
        <f>CS_PID!J984/VLOOKUP($B984,표2[#ALL],2)/HLOOKUP($A984,표1[#ALL],row(),false)</f>
        <v>#N/A</v>
      </c>
      <c r="K984" s="372" t="str">
        <f>CS_PID!K984/VLOOKUP($B984,표2[#ALL],2)/HLOOKUP($A984,표1[#ALL],row(),false)</f>
        <v>#N/A</v>
      </c>
      <c r="L984" s="372" t="str">
        <f>CS_PID!L984/VLOOKUP($B984,표2[#ALL],2)/HLOOKUP($A984,표1[#ALL],row(),false)</f>
        <v>#N/A</v>
      </c>
      <c r="M984" s="372" t="str">
        <f>CS_PID!M984/VLOOKUP($B984,표2[#ALL],2)/HLOOKUP($A984,표1[#ALL],row(),false)</f>
        <v>#N/A</v>
      </c>
      <c r="N984" s="372" t="str">
        <f>CS_PID!N984/VLOOKUP($B984,표2[#ALL],2)/HLOOKUP($A984,표1[#ALL],row(),false)</f>
        <v>#N/A</v>
      </c>
      <c r="O984" s="372" t="str">
        <f>CS_PID!O984/VLOOKUP($B984,표2[#ALL],2)/HLOOKUP($A984,표1[#ALL],row(),false)</f>
        <v>#N/A</v>
      </c>
      <c r="P984" s="372" t="str">
        <f>CS_PID!P984/VLOOKUP($B984,표2[#ALL],2)/HLOOKUP($A984,표1[#ALL],row(),false)</f>
        <v>#N/A</v>
      </c>
      <c r="Q984" s="372" t="str">
        <f>CS_PID!Q984/VLOOKUP($B984,표2[#ALL],2)/HLOOKUP($A984,표1[#ALL],row(),false)</f>
        <v>#N/A</v>
      </c>
      <c r="R984" s="372" t="str">
        <f>CS_PID!R984/VLOOKUP($B984,표2[#ALL],2)/HLOOKUP($A984,표1[#ALL],row(),false)</f>
        <v>#N/A</v>
      </c>
      <c r="S984" s="372" t="str">
        <f>CS_PID!S984/VLOOKUP($B984,표2[#ALL],2)/HLOOKUP($A984,표1[#ALL],row(),false)</f>
        <v>#N/A</v>
      </c>
      <c r="T984" s="372" t="str">
        <f>CS_PID!T984/VLOOKUP($B984,표2[#ALL],2)/HLOOKUP($A984,표1[#ALL],row(),false)</f>
        <v>#N/A</v>
      </c>
      <c r="U984" s="372" t="str">
        <f>CS_PID!U984/VLOOKUP($B984,표2[#ALL],2)/HLOOKUP($A984,표1[#ALL],row(),false)</f>
        <v>#N/A</v>
      </c>
      <c r="V984" s="372" t="str">
        <f>CS_PID!V984/VLOOKUP($B984,표2[#ALL],2)/HLOOKUP($A984,표1[#ALL],row(),false)</f>
        <v>#N/A</v>
      </c>
      <c r="W984" s="372" t="str">
        <f>CS_PID!W984/VLOOKUP($B984,표2[#ALL],2)/HLOOKUP($A984,표1[#ALL],row(),false)</f>
        <v>#N/A</v>
      </c>
      <c r="X984" s="372" t="str">
        <f>CS_PID!X984/VLOOKUP($B984,표2[#ALL],2)/HLOOKUP($A984,표1[#ALL],row(),false)</f>
        <v>#N/A</v>
      </c>
      <c r="Y984" s="372" t="str">
        <f>CS_PID!Y984/VLOOKUP($B984,표2[#ALL],2)/HLOOKUP($A984,표1[#ALL],row(),false)</f>
        <v>#N/A</v>
      </c>
      <c r="Z984" s="372" t="str">
        <f>CS_PID!Z984/VLOOKUP($B984,표2[#ALL],2)/HLOOKUP($A984,표1[#ALL],row(),false)</f>
        <v>#N/A</v>
      </c>
      <c r="AA984" s="372" t="str">
        <f>CS_PID!AA984/VLOOKUP($B984,표2[#ALL],2)/HLOOKUP($A984,표1[#ALL],row(),false)</f>
        <v>#N/A</v>
      </c>
      <c r="AB984" s="372" t="str">
        <f>CS_PID!AB984/VLOOKUP($B984,표2[#ALL],2)/HLOOKUP($A984,표1[#ALL],row(),false)</f>
        <v>#N/A</v>
      </c>
      <c r="AC984" s="372" t="str">
        <f>CS_PID!AC984/VLOOKUP($B984,표2[#ALL],2)/HLOOKUP($A984,표1[#ALL],row(),false)</f>
        <v>#N/A</v>
      </c>
      <c r="AD984" s="372" t="str">
        <f>CS_PID!AD984/VLOOKUP($B984,표2[#ALL],2)/HLOOKUP($A984,표1[#ALL],row(),false)</f>
        <v>#N/A</v>
      </c>
      <c r="AE984" s="372" t="str">
        <f>CS_PID!AE984/VLOOKUP($B984,표2[#ALL],2)/HLOOKUP($A984,표1[#ALL],row(),false)</f>
        <v>#N/A</v>
      </c>
      <c r="AF984" s="372" t="str">
        <f>CS_PID!AF984/VLOOKUP($B984,표2[#ALL],2)/HLOOKUP($A984,표1[#ALL],row(),false)</f>
        <v>#N/A</v>
      </c>
      <c r="AG984" s="372" t="str">
        <f>CS_PID!AG984/VLOOKUP($B984,표2[#ALL],2)/HLOOKUP($A984,표1[#ALL],row(),false)</f>
        <v>#N/A</v>
      </c>
      <c r="AH984" s="372" t="str">
        <f>CS_PID!AH984/VLOOKUP($B984,표2[#ALL],2)/HLOOKUP($A984,표1[#ALL],row(),false)</f>
        <v>#N/A</v>
      </c>
      <c r="AI984" s="372" t="str">
        <f>CS_PID!AI984/VLOOKUP($B984,표2[#ALL],2)/HLOOKUP($A984,표1[#ALL],row(),false)</f>
        <v>#N/A</v>
      </c>
      <c r="AJ984" s="372" t="str">
        <f>CS_PID!AJ984/VLOOKUP($B984,표2[#ALL],2)/HLOOKUP($A984,표1[#ALL],row(),false)</f>
        <v>#N/A</v>
      </c>
      <c r="AK984" s="372" t="str">
        <f>CS_PID!AK984/VLOOKUP($B984,표2[#ALL],2)/HLOOKUP($A984,표1[#ALL],row(),false)</f>
        <v>#N/A</v>
      </c>
      <c r="AL984" s="372" t="str">
        <f>CS_PID!AL984/VLOOKUP($B984,표2[#ALL],2)/HLOOKUP($A984,표1[#ALL],row(),false)</f>
        <v>#N/A</v>
      </c>
      <c r="AM984" s="372" t="str">
        <f>CS_PID!AM984/VLOOKUP($B984,표2[#ALL],2)/HLOOKUP($A984,표1[#ALL],row(),false)</f>
        <v>#N/A</v>
      </c>
      <c r="AN984" s="372" t="str">
        <f>CS_PID!AN984/VLOOKUP($B984,표2[#ALL],2)/HLOOKUP($A984,표1[#ALL],row(),false)</f>
        <v>#N/A</v>
      </c>
      <c r="AO984" s="372" t="str">
        <f>CS_PID!AO984/VLOOKUP($B984,표2[#ALL],2)/HLOOKUP($A984,표1[#ALL],row(),false)</f>
        <v>#N/A</v>
      </c>
      <c r="AP984" s="372" t="str">
        <f>CS_PID!AP984/VLOOKUP($B984,표2[#ALL],2)/HLOOKUP($A984,표1[#ALL],row(),false)</f>
        <v>#N/A</v>
      </c>
      <c r="AQ984" s="372" t="str">
        <f>CS_PID!AQ984/VLOOKUP($B984,표2[#ALL],2)/HLOOKUP($A984,표1[#ALL],row(),false)</f>
        <v>#N/A</v>
      </c>
      <c r="AR984" s="372" t="str">
        <f>CS_PID!AR984/VLOOKUP($B984,표2[#ALL],2)/HLOOKUP($A984,표1[#ALL],row(),false)</f>
        <v>#N/A</v>
      </c>
      <c r="AS984" s="373" t="str">
        <f>CS_PID!AS984/VLOOKUP($B984,표2[#ALL],2)/HLOOKUP($A984,표1[#ALL],row(),false)</f>
        <v>#N/A</v>
      </c>
    </row>
    <row r="985">
      <c r="A985" s="374"/>
      <c r="B985" s="375"/>
      <c r="C985" s="376" t="str">
        <f>CS_PID!C985/VLOOKUP($B985,표2[#ALL],2)</f>
        <v>#N/A</v>
      </c>
      <c r="D985" s="376" t="str">
        <f>CS_PID!D985/VLOOKUP($B985,표2[#ALL],2)</f>
        <v>#N/A</v>
      </c>
      <c r="E985" s="376" t="str">
        <f>CS_PID!E985/VLOOKUP($B985,표2[#ALL],2)</f>
        <v>#N/A</v>
      </c>
      <c r="F985" s="376" t="str">
        <f>CS_PID!F985/VLOOKUP($B985,표2[#ALL],2)</f>
        <v>#N/A</v>
      </c>
      <c r="G985" s="376" t="str">
        <f>CS_PID!G985/VLOOKUP($B985,표2[#ALL],2)</f>
        <v>#N/A</v>
      </c>
      <c r="H985" s="376" t="str">
        <f>CS_PID!H985/VLOOKUP($B985,표2[#ALL],2)/HLOOKUP($A985,표1[#ALL],row(),false)</f>
        <v>#N/A</v>
      </c>
      <c r="I985" s="376" t="str">
        <f>CS_PID!I985/VLOOKUP($B985,표2[#ALL],2)/HLOOKUP($A985,표1[#ALL],row(),false)</f>
        <v>#N/A</v>
      </c>
      <c r="J985" s="376" t="str">
        <f>CS_PID!J985/VLOOKUP($B985,표2[#ALL],2)/HLOOKUP($A985,표1[#ALL],row(),false)</f>
        <v>#N/A</v>
      </c>
      <c r="K985" s="376" t="str">
        <f>CS_PID!K985/VLOOKUP($B985,표2[#ALL],2)/HLOOKUP($A985,표1[#ALL],row(),false)</f>
        <v>#N/A</v>
      </c>
      <c r="L985" s="376" t="str">
        <f>CS_PID!L985/VLOOKUP($B985,표2[#ALL],2)/HLOOKUP($A985,표1[#ALL],row(),false)</f>
        <v>#N/A</v>
      </c>
      <c r="M985" s="376" t="str">
        <f>CS_PID!M985/VLOOKUP($B985,표2[#ALL],2)/HLOOKUP($A985,표1[#ALL],row(),false)</f>
        <v>#N/A</v>
      </c>
      <c r="N985" s="376" t="str">
        <f>CS_PID!N985/VLOOKUP($B985,표2[#ALL],2)/HLOOKUP($A985,표1[#ALL],row(),false)</f>
        <v>#N/A</v>
      </c>
      <c r="O985" s="376" t="str">
        <f>CS_PID!O985/VLOOKUP($B985,표2[#ALL],2)/HLOOKUP($A985,표1[#ALL],row(),false)</f>
        <v>#N/A</v>
      </c>
      <c r="P985" s="376" t="str">
        <f>CS_PID!P985/VLOOKUP($B985,표2[#ALL],2)/HLOOKUP($A985,표1[#ALL],row(),false)</f>
        <v>#N/A</v>
      </c>
      <c r="Q985" s="376" t="str">
        <f>CS_PID!Q985/VLOOKUP($B985,표2[#ALL],2)/HLOOKUP($A985,표1[#ALL],row(),false)</f>
        <v>#N/A</v>
      </c>
      <c r="R985" s="376" t="str">
        <f>CS_PID!R985/VLOOKUP($B985,표2[#ALL],2)/HLOOKUP($A985,표1[#ALL],row(),false)</f>
        <v>#N/A</v>
      </c>
      <c r="S985" s="376" t="str">
        <f>CS_PID!S985/VLOOKUP($B985,표2[#ALL],2)/HLOOKUP($A985,표1[#ALL],row(),false)</f>
        <v>#N/A</v>
      </c>
      <c r="T985" s="376" t="str">
        <f>CS_PID!T985/VLOOKUP($B985,표2[#ALL],2)/HLOOKUP($A985,표1[#ALL],row(),false)</f>
        <v>#N/A</v>
      </c>
      <c r="U985" s="376" t="str">
        <f>CS_PID!U985/VLOOKUP($B985,표2[#ALL],2)/HLOOKUP($A985,표1[#ALL],row(),false)</f>
        <v>#N/A</v>
      </c>
      <c r="V985" s="376" t="str">
        <f>CS_PID!V985/VLOOKUP($B985,표2[#ALL],2)/HLOOKUP($A985,표1[#ALL],row(),false)</f>
        <v>#N/A</v>
      </c>
      <c r="W985" s="376" t="str">
        <f>CS_PID!W985/VLOOKUP($B985,표2[#ALL],2)/HLOOKUP($A985,표1[#ALL],row(),false)</f>
        <v>#N/A</v>
      </c>
      <c r="X985" s="376" t="str">
        <f>CS_PID!X985/VLOOKUP($B985,표2[#ALL],2)/HLOOKUP($A985,표1[#ALL],row(),false)</f>
        <v>#N/A</v>
      </c>
      <c r="Y985" s="376" t="str">
        <f>CS_PID!Y985/VLOOKUP($B985,표2[#ALL],2)/HLOOKUP($A985,표1[#ALL],row(),false)</f>
        <v>#N/A</v>
      </c>
      <c r="Z985" s="376" t="str">
        <f>CS_PID!Z985/VLOOKUP($B985,표2[#ALL],2)/HLOOKUP($A985,표1[#ALL],row(),false)</f>
        <v>#N/A</v>
      </c>
      <c r="AA985" s="376" t="str">
        <f>CS_PID!AA985/VLOOKUP($B985,표2[#ALL],2)/HLOOKUP($A985,표1[#ALL],row(),false)</f>
        <v>#N/A</v>
      </c>
      <c r="AB985" s="376" t="str">
        <f>CS_PID!AB985/VLOOKUP($B985,표2[#ALL],2)/HLOOKUP($A985,표1[#ALL],row(),false)</f>
        <v>#N/A</v>
      </c>
      <c r="AC985" s="376" t="str">
        <f>CS_PID!AC985/VLOOKUP($B985,표2[#ALL],2)/HLOOKUP($A985,표1[#ALL],row(),false)</f>
        <v>#N/A</v>
      </c>
      <c r="AD985" s="376" t="str">
        <f>CS_PID!AD985/VLOOKUP($B985,표2[#ALL],2)/HLOOKUP($A985,표1[#ALL],row(),false)</f>
        <v>#N/A</v>
      </c>
      <c r="AE985" s="376" t="str">
        <f>CS_PID!AE985/VLOOKUP($B985,표2[#ALL],2)/HLOOKUP($A985,표1[#ALL],row(),false)</f>
        <v>#N/A</v>
      </c>
      <c r="AF985" s="376" t="str">
        <f>CS_PID!AF985/VLOOKUP($B985,표2[#ALL],2)/HLOOKUP($A985,표1[#ALL],row(),false)</f>
        <v>#N/A</v>
      </c>
      <c r="AG985" s="376" t="str">
        <f>CS_PID!AG985/VLOOKUP($B985,표2[#ALL],2)/HLOOKUP($A985,표1[#ALL],row(),false)</f>
        <v>#N/A</v>
      </c>
      <c r="AH985" s="376" t="str">
        <f>CS_PID!AH985/VLOOKUP($B985,표2[#ALL],2)/HLOOKUP($A985,표1[#ALL],row(),false)</f>
        <v>#N/A</v>
      </c>
      <c r="AI985" s="376" t="str">
        <f>CS_PID!AI985/VLOOKUP($B985,표2[#ALL],2)/HLOOKUP($A985,표1[#ALL],row(),false)</f>
        <v>#N/A</v>
      </c>
      <c r="AJ985" s="376" t="str">
        <f>CS_PID!AJ985/VLOOKUP($B985,표2[#ALL],2)/HLOOKUP($A985,표1[#ALL],row(),false)</f>
        <v>#N/A</v>
      </c>
      <c r="AK985" s="376" t="str">
        <f>CS_PID!AK985/VLOOKUP($B985,표2[#ALL],2)/HLOOKUP($A985,표1[#ALL],row(),false)</f>
        <v>#N/A</v>
      </c>
      <c r="AL985" s="376" t="str">
        <f>CS_PID!AL985/VLOOKUP($B985,표2[#ALL],2)/HLOOKUP($A985,표1[#ALL],row(),false)</f>
        <v>#N/A</v>
      </c>
      <c r="AM985" s="376" t="str">
        <f>CS_PID!AM985/VLOOKUP($B985,표2[#ALL],2)/HLOOKUP($A985,표1[#ALL],row(),false)</f>
        <v>#N/A</v>
      </c>
      <c r="AN985" s="376" t="str">
        <f>CS_PID!AN985/VLOOKUP($B985,표2[#ALL],2)/HLOOKUP($A985,표1[#ALL],row(),false)</f>
        <v>#N/A</v>
      </c>
      <c r="AO985" s="376" t="str">
        <f>CS_PID!AO985/VLOOKUP($B985,표2[#ALL],2)/HLOOKUP($A985,표1[#ALL],row(),false)</f>
        <v>#N/A</v>
      </c>
      <c r="AP985" s="376" t="str">
        <f>CS_PID!AP985/VLOOKUP($B985,표2[#ALL],2)/HLOOKUP($A985,표1[#ALL],row(),false)</f>
        <v>#N/A</v>
      </c>
      <c r="AQ985" s="376" t="str">
        <f>CS_PID!AQ985/VLOOKUP($B985,표2[#ALL],2)/HLOOKUP($A985,표1[#ALL],row(),false)</f>
        <v>#N/A</v>
      </c>
      <c r="AR985" s="376" t="str">
        <f>CS_PID!AR985/VLOOKUP($B985,표2[#ALL],2)/HLOOKUP($A985,표1[#ALL],row(),false)</f>
        <v>#N/A</v>
      </c>
      <c r="AS985" s="377" t="str">
        <f>CS_PID!AS985/VLOOKUP($B985,표2[#ALL],2)/HLOOKUP($A985,표1[#ALL],row(),false)</f>
        <v>#N/A</v>
      </c>
    </row>
    <row r="986">
      <c r="A986" s="370"/>
      <c r="B986" s="371"/>
      <c r="C986" s="372" t="str">
        <f>CS_PID!C986/VLOOKUP($B986,표2[#ALL],2)</f>
        <v>#N/A</v>
      </c>
      <c r="D986" s="372" t="str">
        <f>CS_PID!D986/VLOOKUP($B986,표2[#ALL],2)</f>
        <v>#N/A</v>
      </c>
      <c r="E986" s="372" t="str">
        <f>CS_PID!E986/VLOOKUP($B986,표2[#ALL],2)</f>
        <v>#N/A</v>
      </c>
      <c r="F986" s="372" t="str">
        <f>CS_PID!F986/VLOOKUP($B986,표2[#ALL],2)</f>
        <v>#N/A</v>
      </c>
      <c r="G986" s="372" t="str">
        <f>CS_PID!G986/VLOOKUP($B986,표2[#ALL],2)</f>
        <v>#N/A</v>
      </c>
      <c r="H986" s="372" t="str">
        <f>CS_PID!H986/VLOOKUP($B986,표2[#ALL],2)/HLOOKUP($A986,표1[#ALL],row(),false)</f>
        <v>#N/A</v>
      </c>
      <c r="I986" s="372" t="str">
        <f>CS_PID!I986/VLOOKUP($B986,표2[#ALL],2)/HLOOKUP($A986,표1[#ALL],row(),false)</f>
        <v>#N/A</v>
      </c>
      <c r="J986" s="372" t="str">
        <f>CS_PID!J986/VLOOKUP($B986,표2[#ALL],2)/HLOOKUP($A986,표1[#ALL],row(),false)</f>
        <v>#N/A</v>
      </c>
      <c r="K986" s="372" t="str">
        <f>CS_PID!K986/VLOOKUP($B986,표2[#ALL],2)/HLOOKUP($A986,표1[#ALL],row(),false)</f>
        <v>#N/A</v>
      </c>
      <c r="L986" s="372" t="str">
        <f>CS_PID!L986/VLOOKUP($B986,표2[#ALL],2)/HLOOKUP($A986,표1[#ALL],row(),false)</f>
        <v>#N/A</v>
      </c>
      <c r="M986" s="372" t="str">
        <f>CS_PID!M986/VLOOKUP($B986,표2[#ALL],2)/HLOOKUP($A986,표1[#ALL],row(),false)</f>
        <v>#N/A</v>
      </c>
      <c r="N986" s="372" t="str">
        <f>CS_PID!N986/VLOOKUP($B986,표2[#ALL],2)/HLOOKUP($A986,표1[#ALL],row(),false)</f>
        <v>#N/A</v>
      </c>
      <c r="O986" s="372" t="str">
        <f>CS_PID!O986/VLOOKUP($B986,표2[#ALL],2)/HLOOKUP($A986,표1[#ALL],row(),false)</f>
        <v>#N/A</v>
      </c>
      <c r="P986" s="372" t="str">
        <f>CS_PID!P986/VLOOKUP($B986,표2[#ALL],2)/HLOOKUP($A986,표1[#ALL],row(),false)</f>
        <v>#N/A</v>
      </c>
      <c r="Q986" s="372" t="str">
        <f>CS_PID!Q986/VLOOKUP($B986,표2[#ALL],2)/HLOOKUP($A986,표1[#ALL],row(),false)</f>
        <v>#N/A</v>
      </c>
      <c r="R986" s="372" t="str">
        <f>CS_PID!R986/VLOOKUP($B986,표2[#ALL],2)/HLOOKUP($A986,표1[#ALL],row(),false)</f>
        <v>#N/A</v>
      </c>
      <c r="S986" s="372" t="str">
        <f>CS_PID!S986/VLOOKUP($B986,표2[#ALL],2)/HLOOKUP($A986,표1[#ALL],row(),false)</f>
        <v>#N/A</v>
      </c>
      <c r="T986" s="372" t="str">
        <f>CS_PID!T986/VLOOKUP($B986,표2[#ALL],2)/HLOOKUP($A986,표1[#ALL],row(),false)</f>
        <v>#N/A</v>
      </c>
      <c r="U986" s="372" t="str">
        <f>CS_PID!U986/VLOOKUP($B986,표2[#ALL],2)/HLOOKUP($A986,표1[#ALL],row(),false)</f>
        <v>#N/A</v>
      </c>
      <c r="V986" s="372" t="str">
        <f>CS_PID!V986/VLOOKUP($B986,표2[#ALL],2)/HLOOKUP($A986,표1[#ALL],row(),false)</f>
        <v>#N/A</v>
      </c>
      <c r="W986" s="372" t="str">
        <f>CS_PID!W986/VLOOKUP($B986,표2[#ALL],2)/HLOOKUP($A986,표1[#ALL],row(),false)</f>
        <v>#N/A</v>
      </c>
      <c r="X986" s="372" t="str">
        <f>CS_PID!X986/VLOOKUP($B986,표2[#ALL],2)/HLOOKUP($A986,표1[#ALL],row(),false)</f>
        <v>#N/A</v>
      </c>
      <c r="Y986" s="372" t="str">
        <f>CS_PID!Y986/VLOOKUP($B986,표2[#ALL],2)/HLOOKUP($A986,표1[#ALL],row(),false)</f>
        <v>#N/A</v>
      </c>
      <c r="Z986" s="372" t="str">
        <f>CS_PID!Z986/VLOOKUP($B986,표2[#ALL],2)/HLOOKUP($A986,표1[#ALL],row(),false)</f>
        <v>#N/A</v>
      </c>
      <c r="AA986" s="372" t="str">
        <f>CS_PID!AA986/VLOOKUP($B986,표2[#ALL],2)/HLOOKUP($A986,표1[#ALL],row(),false)</f>
        <v>#N/A</v>
      </c>
      <c r="AB986" s="372" t="str">
        <f>CS_PID!AB986/VLOOKUP($B986,표2[#ALL],2)/HLOOKUP($A986,표1[#ALL],row(),false)</f>
        <v>#N/A</v>
      </c>
      <c r="AC986" s="372" t="str">
        <f>CS_PID!AC986/VLOOKUP($B986,표2[#ALL],2)/HLOOKUP($A986,표1[#ALL],row(),false)</f>
        <v>#N/A</v>
      </c>
      <c r="AD986" s="372" t="str">
        <f>CS_PID!AD986/VLOOKUP($B986,표2[#ALL],2)/HLOOKUP($A986,표1[#ALL],row(),false)</f>
        <v>#N/A</v>
      </c>
      <c r="AE986" s="372" t="str">
        <f>CS_PID!AE986/VLOOKUP($B986,표2[#ALL],2)/HLOOKUP($A986,표1[#ALL],row(),false)</f>
        <v>#N/A</v>
      </c>
      <c r="AF986" s="372" t="str">
        <f>CS_PID!AF986/VLOOKUP($B986,표2[#ALL],2)/HLOOKUP($A986,표1[#ALL],row(),false)</f>
        <v>#N/A</v>
      </c>
      <c r="AG986" s="372" t="str">
        <f>CS_PID!AG986/VLOOKUP($B986,표2[#ALL],2)/HLOOKUP($A986,표1[#ALL],row(),false)</f>
        <v>#N/A</v>
      </c>
      <c r="AH986" s="372" t="str">
        <f>CS_PID!AH986/VLOOKUP($B986,표2[#ALL],2)/HLOOKUP($A986,표1[#ALL],row(),false)</f>
        <v>#N/A</v>
      </c>
      <c r="AI986" s="372" t="str">
        <f>CS_PID!AI986/VLOOKUP($B986,표2[#ALL],2)/HLOOKUP($A986,표1[#ALL],row(),false)</f>
        <v>#N/A</v>
      </c>
      <c r="AJ986" s="372" t="str">
        <f>CS_PID!AJ986/VLOOKUP($B986,표2[#ALL],2)/HLOOKUP($A986,표1[#ALL],row(),false)</f>
        <v>#N/A</v>
      </c>
      <c r="AK986" s="372" t="str">
        <f>CS_PID!AK986/VLOOKUP($B986,표2[#ALL],2)/HLOOKUP($A986,표1[#ALL],row(),false)</f>
        <v>#N/A</v>
      </c>
      <c r="AL986" s="372" t="str">
        <f>CS_PID!AL986/VLOOKUP($B986,표2[#ALL],2)/HLOOKUP($A986,표1[#ALL],row(),false)</f>
        <v>#N/A</v>
      </c>
      <c r="AM986" s="372" t="str">
        <f>CS_PID!AM986/VLOOKUP($B986,표2[#ALL],2)/HLOOKUP($A986,표1[#ALL],row(),false)</f>
        <v>#N/A</v>
      </c>
      <c r="AN986" s="372" t="str">
        <f>CS_PID!AN986/VLOOKUP($B986,표2[#ALL],2)/HLOOKUP($A986,표1[#ALL],row(),false)</f>
        <v>#N/A</v>
      </c>
      <c r="AO986" s="372" t="str">
        <f>CS_PID!AO986/VLOOKUP($B986,표2[#ALL],2)/HLOOKUP($A986,표1[#ALL],row(),false)</f>
        <v>#N/A</v>
      </c>
      <c r="AP986" s="372" t="str">
        <f>CS_PID!AP986/VLOOKUP($B986,표2[#ALL],2)/HLOOKUP($A986,표1[#ALL],row(),false)</f>
        <v>#N/A</v>
      </c>
      <c r="AQ986" s="372" t="str">
        <f>CS_PID!AQ986/VLOOKUP($B986,표2[#ALL],2)/HLOOKUP($A986,표1[#ALL],row(),false)</f>
        <v>#N/A</v>
      </c>
      <c r="AR986" s="372" t="str">
        <f>CS_PID!AR986/VLOOKUP($B986,표2[#ALL],2)/HLOOKUP($A986,표1[#ALL],row(),false)</f>
        <v>#N/A</v>
      </c>
      <c r="AS986" s="373" t="str">
        <f>CS_PID!AS986/VLOOKUP($B986,표2[#ALL],2)/HLOOKUP($A986,표1[#ALL],row(),false)</f>
        <v>#N/A</v>
      </c>
    </row>
    <row r="987">
      <c r="A987" s="374"/>
      <c r="B987" s="375"/>
      <c r="C987" s="376" t="str">
        <f>CS_PID!C987/VLOOKUP($B987,표2[#ALL],2)</f>
        <v>#N/A</v>
      </c>
      <c r="D987" s="376" t="str">
        <f>CS_PID!D987/VLOOKUP($B987,표2[#ALL],2)</f>
        <v>#N/A</v>
      </c>
      <c r="E987" s="376" t="str">
        <f>CS_PID!E987/VLOOKUP($B987,표2[#ALL],2)</f>
        <v>#N/A</v>
      </c>
      <c r="F987" s="376" t="str">
        <f>CS_PID!F987/VLOOKUP($B987,표2[#ALL],2)</f>
        <v>#N/A</v>
      </c>
      <c r="G987" s="376" t="str">
        <f>CS_PID!G987/VLOOKUP($B987,표2[#ALL],2)</f>
        <v>#N/A</v>
      </c>
      <c r="H987" s="376" t="str">
        <f>CS_PID!H987/VLOOKUP($B987,표2[#ALL],2)/HLOOKUP($A987,표1[#ALL],row(),false)</f>
        <v>#N/A</v>
      </c>
      <c r="I987" s="376" t="str">
        <f>CS_PID!I987/VLOOKUP($B987,표2[#ALL],2)/HLOOKUP($A987,표1[#ALL],row(),false)</f>
        <v>#N/A</v>
      </c>
      <c r="J987" s="376" t="str">
        <f>CS_PID!J987/VLOOKUP($B987,표2[#ALL],2)/HLOOKUP($A987,표1[#ALL],row(),false)</f>
        <v>#N/A</v>
      </c>
      <c r="K987" s="376" t="str">
        <f>CS_PID!K987/VLOOKUP($B987,표2[#ALL],2)/HLOOKUP($A987,표1[#ALL],row(),false)</f>
        <v>#N/A</v>
      </c>
      <c r="L987" s="376" t="str">
        <f>CS_PID!L987/VLOOKUP($B987,표2[#ALL],2)/HLOOKUP($A987,표1[#ALL],row(),false)</f>
        <v>#N/A</v>
      </c>
      <c r="M987" s="376" t="str">
        <f>CS_PID!M987/VLOOKUP($B987,표2[#ALL],2)/HLOOKUP($A987,표1[#ALL],row(),false)</f>
        <v>#N/A</v>
      </c>
      <c r="N987" s="376" t="str">
        <f>CS_PID!N987/VLOOKUP($B987,표2[#ALL],2)/HLOOKUP($A987,표1[#ALL],row(),false)</f>
        <v>#N/A</v>
      </c>
      <c r="O987" s="376" t="str">
        <f>CS_PID!O987/VLOOKUP($B987,표2[#ALL],2)/HLOOKUP($A987,표1[#ALL],row(),false)</f>
        <v>#N/A</v>
      </c>
      <c r="P987" s="376" t="str">
        <f>CS_PID!P987/VLOOKUP($B987,표2[#ALL],2)/HLOOKUP($A987,표1[#ALL],row(),false)</f>
        <v>#N/A</v>
      </c>
      <c r="Q987" s="376" t="str">
        <f>CS_PID!Q987/VLOOKUP($B987,표2[#ALL],2)/HLOOKUP($A987,표1[#ALL],row(),false)</f>
        <v>#N/A</v>
      </c>
      <c r="R987" s="376" t="str">
        <f>CS_PID!R987/VLOOKUP($B987,표2[#ALL],2)/HLOOKUP($A987,표1[#ALL],row(),false)</f>
        <v>#N/A</v>
      </c>
      <c r="S987" s="376" t="str">
        <f>CS_PID!S987/VLOOKUP($B987,표2[#ALL],2)/HLOOKUP($A987,표1[#ALL],row(),false)</f>
        <v>#N/A</v>
      </c>
      <c r="T987" s="376" t="str">
        <f>CS_PID!T987/VLOOKUP($B987,표2[#ALL],2)/HLOOKUP($A987,표1[#ALL],row(),false)</f>
        <v>#N/A</v>
      </c>
      <c r="U987" s="376" t="str">
        <f>CS_PID!U987/VLOOKUP($B987,표2[#ALL],2)/HLOOKUP($A987,표1[#ALL],row(),false)</f>
        <v>#N/A</v>
      </c>
      <c r="V987" s="376" t="str">
        <f>CS_PID!V987/VLOOKUP($B987,표2[#ALL],2)/HLOOKUP($A987,표1[#ALL],row(),false)</f>
        <v>#N/A</v>
      </c>
      <c r="W987" s="376" t="str">
        <f>CS_PID!W987/VLOOKUP($B987,표2[#ALL],2)/HLOOKUP($A987,표1[#ALL],row(),false)</f>
        <v>#N/A</v>
      </c>
      <c r="X987" s="376" t="str">
        <f>CS_PID!X987/VLOOKUP($B987,표2[#ALL],2)/HLOOKUP($A987,표1[#ALL],row(),false)</f>
        <v>#N/A</v>
      </c>
      <c r="Y987" s="376" t="str">
        <f>CS_PID!Y987/VLOOKUP($B987,표2[#ALL],2)/HLOOKUP($A987,표1[#ALL],row(),false)</f>
        <v>#N/A</v>
      </c>
      <c r="Z987" s="376" t="str">
        <f>CS_PID!Z987/VLOOKUP($B987,표2[#ALL],2)/HLOOKUP($A987,표1[#ALL],row(),false)</f>
        <v>#N/A</v>
      </c>
      <c r="AA987" s="376" t="str">
        <f>CS_PID!AA987/VLOOKUP($B987,표2[#ALL],2)/HLOOKUP($A987,표1[#ALL],row(),false)</f>
        <v>#N/A</v>
      </c>
      <c r="AB987" s="376" t="str">
        <f>CS_PID!AB987/VLOOKUP($B987,표2[#ALL],2)/HLOOKUP($A987,표1[#ALL],row(),false)</f>
        <v>#N/A</v>
      </c>
      <c r="AC987" s="376" t="str">
        <f>CS_PID!AC987/VLOOKUP($B987,표2[#ALL],2)/HLOOKUP($A987,표1[#ALL],row(),false)</f>
        <v>#N/A</v>
      </c>
      <c r="AD987" s="376" t="str">
        <f>CS_PID!AD987/VLOOKUP($B987,표2[#ALL],2)/HLOOKUP($A987,표1[#ALL],row(),false)</f>
        <v>#N/A</v>
      </c>
      <c r="AE987" s="376" t="str">
        <f>CS_PID!AE987/VLOOKUP($B987,표2[#ALL],2)/HLOOKUP($A987,표1[#ALL],row(),false)</f>
        <v>#N/A</v>
      </c>
      <c r="AF987" s="376" t="str">
        <f>CS_PID!AF987/VLOOKUP($B987,표2[#ALL],2)/HLOOKUP($A987,표1[#ALL],row(),false)</f>
        <v>#N/A</v>
      </c>
      <c r="AG987" s="376" t="str">
        <f>CS_PID!AG987/VLOOKUP($B987,표2[#ALL],2)/HLOOKUP($A987,표1[#ALL],row(),false)</f>
        <v>#N/A</v>
      </c>
      <c r="AH987" s="376" t="str">
        <f>CS_PID!AH987/VLOOKUP($B987,표2[#ALL],2)/HLOOKUP($A987,표1[#ALL],row(),false)</f>
        <v>#N/A</v>
      </c>
      <c r="AI987" s="376" t="str">
        <f>CS_PID!AI987/VLOOKUP($B987,표2[#ALL],2)/HLOOKUP($A987,표1[#ALL],row(),false)</f>
        <v>#N/A</v>
      </c>
      <c r="AJ987" s="376" t="str">
        <f>CS_PID!AJ987/VLOOKUP($B987,표2[#ALL],2)/HLOOKUP($A987,표1[#ALL],row(),false)</f>
        <v>#N/A</v>
      </c>
      <c r="AK987" s="376" t="str">
        <f>CS_PID!AK987/VLOOKUP($B987,표2[#ALL],2)/HLOOKUP($A987,표1[#ALL],row(),false)</f>
        <v>#N/A</v>
      </c>
      <c r="AL987" s="376" t="str">
        <f>CS_PID!AL987/VLOOKUP($B987,표2[#ALL],2)/HLOOKUP($A987,표1[#ALL],row(),false)</f>
        <v>#N/A</v>
      </c>
      <c r="AM987" s="376" t="str">
        <f>CS_PID!AM987/VLOOKUP($B987,표2[#ALL],2)/HLOOKUP($A987,표1[#ALL],row(),false)</f>
        <v>#N/A</v>
      </c>
      <c r="AN987" s="376" t="str">
        <f>CS_PID!AN987/VLOOKUP($B987,표2[#ALL],2)/HLOOKUP($A987,표1[#ALL],row(),false)</f>
        <v>#N/A</v>
      </c>
      <c r="AO987" s="376" t="str">
        <f>CS_PID!AO987/VLOOKUP($B987,표2[#ALL],2)/HLOOKUP($A987,표1[#ALL],row(),false)</f>
        <v>#N/A</v>
      </c>
      <c r="AP987" s="376" t="str">
        <f>CS_PID!AP987/VLOOKUP($B987,표2[#ALL],2)/HLOOKUP($A987,표1[#ALL],row(),false)</f>
        <v>#N/A</v>
      </c>
      <c r="AQ987" s="376" t="str">
        <f>CS_PID!AQ987/VLOOKUP($B987,표2[#ALL],2)/HLOOKUP($A987,표1[#ALL],row(),false)</f>
        <v>#N/A</v>
      </c>
      <c r="AR987" s="376" t="str">
        <f>CS_PID!AR987/VLOOKUP($B987,표2[#ALL],2)/HLOOKUP($A987,표1[#ALL],row(),false)</f>
        <v>#N/A</v>
      </c>
      <c r="AS987" s="377" t="str">
        <f>CS_PID!AS987/VLOOKUP($B987,표2[#ALL],2)/HLOOKUP($A987,표1[#ALL],row(),false)</f>
        <v>#N/A</v>
      </c>
    </row>
    <row r="988">
      <c r="A988" s="370"/>
      <c r="B988" s="371"/>
      <c r="C988" s="372" t="str">
        <f>CS_PID!C988/VLOOKUP($B988,표2[#ALL],2)</f>
        <v>#N/A</v>
      </c>
      <c r="D988" s="372" t="str">
        <f>CS_PID!D988/VLOOKUP($B988,표2[#ALL],2)</f>
        <v>#N/A</v>
      </c>
      <c r="E988" s="372" t="str">
        <f>CS_PID!E988/VLOOKUP($B988,표2[#ALL],2)</f>
        <v>#N/A</v>
      </c>
      <c r="F988" s="372" t="str">
        <f>CS_PID!F988/VLOOKUP($B988,표2[#ALL],2)</f>
        <v>#N/A</v>
      </c>
      <c r="G988" s="372" t="str">
        <f>CS_PID!G988/VLOOKUP($B988,표2[#ALL],2)</f>
        <v>#N/A</v>
      </c>
      <c r="H988" s="372" t="str">
        <f>CS_PID!H988/VLOOKUP($B988,표2[#ALL],2)/HLOOKUP($A988,표1[#ALL],row(),false)</f>
        <v>#N/A</v>
      </c>
      <c r="I988" s="372" t="str">
        <f>CS_PID!I988/VLOOKUP($B988,표2[#ALL],2)/HLOOKUP($A988,표1[#ALL],row(),false)</f>
        <v>#N/A</v>
      </c>
      <c r="J988" s="372" t="str">
        <f>CS_PID!J988/VLOOKUP($B988,표2[#ALL],2)/HLOOKUP($A988,표1[#ALL],row(),false)</f>
        <v>#N/A</v>
      </c>
      <c r="K988" s="372" t="str">
        <f>CS_PID!K988/VLOOKUP($B988,표2[#ALL],2)/HLOOKUP($A988,표1[#ALL],row(),false)</f>
        <v>#N/A</v>
      </c>
      <c r="L988" s="372" t="str">
        <f>CS_PID!L988/VLOOKUP($B988,표2[#ALL],2)/HLOOKUP($A988,표1[#ALL],row(),false)</f>
        <v>#N/A</v>
      </c>
      <c r="M988" s="372" t="str">
        <f>CS_PID!M988/VLOOKUP($B988,표2[#ALL],2)/HLOOKUP($A988,표1[#ALL],row(),false)</f>
        <v>#N/A</v>
      </c>
      <c r="N988" s="372" t="str">
        <f>CS_PID!N988/VLOOKUP($B988,표2[#ALL],2)/HLOOKUP($A988,표1[#ALL],row(),false)</f>
        <v>#N/A</v>
      </c>
      <c r="O988" s="372" t="str">
        <f>CS_PID!O988/VLOOKUP($B988,표2[#ALL],2)/HLOOKUP($A988,표1[#ALL],row(),false)</f>
        <v>#N/A</v>
      </c>
      <c r="P988" s="372" t="str">
        <f>CS_PID!P988/VLOOKUP($B988,표2[#ALL],2)/HLOOKUP($A988,표1[#ALL],row(),false)</f>
        <v>#N/A</v>
      </c>
      <c r="Q988" s="372" t="str">
        <f>CS_PID!Q988/VLOOKUP($B988,표2[#ALL],2)/HLOOKUP($A988,표1[#ALL],row(),false)</f>
        <v>#N/A</v>
      </c>
      <c r="R988" s="372" t="str">
        <f>CS_PID!R988/VLOOKUP($B988,표2[#ALL],2)/HLOOKUP($A988,표1[#ALL],row(),false)</f>
        <v>#N/A</v>
      </c>
      <c r="S988" s="372" t="str">
        <f>CS_PID!S988/VLOOKUP($B988,표2[#ALL],2)/HLOOKUP($A988,표1[#ALL],row(),false)</f>
        <v>#N/A</v>
      </c>
      <c r="T988" s="372" t="str">
        <f>CS_PID!T988/VLOOKUP($B988,표2[#ALL],2)/HLOOKUP($A988,표1[#ALL],row(),false)</f>
        <v>#N/A</v>
      </c>
      <c r="U988" s="372" t="str">
        <f>CS_PID!U988/VLOOKUP($B988,표2[#ALL],2)/HLOOKUP($A988,표1[#ALL],row(),false)</f>
        <v>#N/A</v>
      </c>
      <c r="V988" s="372" t="str">
        <f>CS_PID!V988/VLOOKUP($B988,표2[#ALL],2)/HLOOKUP($A988,표1[#ALL],row(),false)</f>
        <v>#N/A</v>
      </c>
      <c r="W988" s="372" t="str">
        <f>CS_PID!W988/VLOOKUP($B988,표2[#ALL],2)/HLOOKUP($A988,표1[#ALL],row(),false)</f>
        <v>#N/A</v>
      </c>
      <c r="X988" s="372" t="str">
        <f>CS_PID!X988/VLOOKUP($B988,표2[#ALL],2)/HLOOKUP($A988,표1[#ALL],row(),false)</f>
        <v>#N/A</v>
      </c>
      <c r="Y988" s="372" t="str">
        <f>CS_PID!Y988/VLOOKUP($B988,표2[#ALL],2)/HLOOKUP($A988,표1[#ALL],row(),false)</f>
        <v>#N/A</v>
      </c>
      <c r="Z988" s="372" t="str">
        <f>CS_PID!Z988/VLOOKUP($B988,표2[#ALL],2)/HLOOKUP($A988,표1[#ALL],row(),false)</f>
        <v>#N/A</v>
      </c>
      <c r="AA988" s="372" t="str">
        <f>CS_PID!AA988/VLOOKUP($B988,표2[#ALL],2)/HLOOKUP($A988,표1[#ALL],row(),false)</f>
        <v>#N/A</v>
      </c>
      <c r="AB988" s="372" t="str">
        <f>CS_PID!AB988/VLOOKUP($B988,표2[#ALL],2)/HLOOKUP($A988,표1[#ALL],row(),false)</f>
        <v>#N/A</v>
      </c>
      <c r="AC988" s="372" t="str">
        <f>CS_PID!AC988/VLOOKUP($B988,표2[#ALL],2)/HLOOKUP($A988,표1[#ALL],row(),false)</f>
        <v>#N/A</v>
      </c>
      <c r="AD988" s="372" t="str">
        <f>CS_PID!AD988/VLOOKUP($B988,표2[#ALL],2)/HLOOKUP($A988,표1[#ALL],row(),false)</f>
        <v>#N/A</v>
      </c>
      <c r="AE988" s="372" t="str">
        <f>CS_PID!AE988/VLOOKUP($B988,표2[#ALL],2)/HLOOKUP($A988,표1[#ALL],row(),false)</f>
        <v>#N/A</v>
      </c>
      <c r="AF988" s="372" t="str">
        <f>CS_PID!AF988/VLOOKUP($B988,표2[#ALL],2)/HLOOKUP($A988,표1[#ALL],row(),false)</f>
        <v>#N/A</v>
      </c>
      <c r="AG988" s="372" t="str">
        <f>CS_PID!AG988/VLOOKUP($B988,표2[#ALL],2)/HLOOKUP($A988,표1[#ALL],row(),false)</f>
        <v>#N/A</v>
      </c>
      <c r="AH988" s="372" t="str">
        <f>CS_PID!AH988/VLOOKUP($B988,표2[#ALL],2)/HLOOKUP($A988,표1[#ALL],row(),false)</f>
        <v>#N/A</v>
      </c>
      <c r="AI988" s="372" t="str">
        <f>CS_PID!AI988/VLOOKUP($B988,표2[#ALL],2)/HLOOKUP($A988,표1[#ALL],row(),false)</f>
        <v>#N/A</v>
      </c>
      <c r="AJ988" s="372" t="str">
        <f>CS_PID!AJ988/VLOOKUP($B988,표2[#ALL],2)/HLOOKUP($A988,표1[#ALL],row(),false)</f>
        <v>#N/A</v>
      </c>
      <c r="AK988" s="372" t="str">
        <f>CS_PID!AK988/VLOOKUP($B988,표2[#ALL],2)/HLOOKUP($A988,표1[#ALL],row(),false)</f>
        <v>#N/A</v>
      </c>
      <c r="AL988" s="372" t="str">
        <f>CS_PID!AL988/VLOOKUP($B988,표2[#ALL],2)/HLOOKUP($A988,표1[#ALL],row(),false)</f>
        <v>#N/A</v>
      </c>
      <c r="AM988" s="372" t="str">
        <f>CS_PID!AM988/VLOOKUP($B988,표2[#ALL],2)/HLOOKUP($A988,표1[#ALL],row(),false)</f>
        <v>#N/A</v>
      </c>
      <c r="AN988" s="372" t="str">
        <f>CS_PID!AN988/VLOOKUP($B988,표2[#ALL],2)/HLOOKUP($A988,표1[#ALL],row(),false)</f>
        <v>#N/A</v>
      </c>
      <c r="AO988" s="372" t="str">
        <f>CS_PID!AO988/VLOOKUP($B988,표2[#ALL],2)/HLOOKUP($A988,표1[#ALL],row(),false)</f>
        <v>#N/A</v>
      </c>
      <c r="AP988" s="372" t="str">
        <f>CS_PID!AP988/VLOOKUP($B988,표2[#ALL],2)/HLOOKUP($A988,표1[#ALL],row(),false)</f>
        <v>#N/A</v>
      </c>
      <c r="AQ988" s="372" t="str">
        <f>CS_PID!AQ988/VLOOKUP($B988,표2[#ALL],2)/HLOOKUP($A988,표1[#ALL],row(),false)</f>
        <v>#N/A</v>
      </c>
      <c r="AR988" s="372" t="str">
        <f>CS_PID!AR988/VLOOKUP($B988,표2[#ALL],2)/HLOOKUP($A988,표1[#ALL],row(),false)</f>
        <v>#N/A</v>
      </c>
      <c r="AS988" s="373" t="str">
        <f>CS_PID!AS988/VLOOKUP($B988,표2[#ALL],2)/HLOOKUP($A988,표1[#ALL],row(),false)</f>
        <v>#N/A</v>
      </c>
    </row>
    <row r="989">
      <c r="A989" s="378"/>
      <c r="B989" s="379"/>
      <c r="C989" s="380" t="str">
        <f>CS_PID!C989/VLOOKUP($B989,표2[#ALL],2)</f>
        <v>#N/A</v>
      </c>
      <c r="D989" s="380" t="str">
        <f>CS_PID!D989/VLOOKUP($B989,표2[#ALL],2)</f>
        <v>#N/A</v>
      </c>
      <c r="E989" s="380" t="str">
        <f>CS_PID!E989/VLOOKUP($B989,표2[#ALL],2)</f>
        <v>#N/A</v>
      </c>
      <c r="F989" s="380" t="str">
        <f>CS_PID!F989/VLOOKUP($B989,표2[#ALL],2)</f>
        <v>#N/A</v>
      </c>
      <c r="G989" s="380" t="str">
        <f>CS_PID!G989/VLOOKUP($B989,표2[#ALL],2)</f>
        <v>#N/A</v>
      </c>
      <c r="H989" s="380" t="str">
        <f>CS_PID!H989/VLOOKUP($B989,표2[#ALL],2)/HLOOKUP($A989,표1[#ALL],row(),false)</f>
        <v>#N/A</v>
      </c>
      <c r="I989" s="380" t="str">
        <f>CS_PID!I989/VLOOKUP($B989,표2[#ALL],2)/HLOOKUP($A989,표1[#ALL],row(),false)</f>
        <v>#N/A</v>
      </c>
      <c r="J989" s="380" t="str">
        <f>CS_PID!J989/VLOOKUP($B989,표2[#ALL],2)/HLOOKUP($A989,표1[#ALL],row(),false)</f>
        <v>#N/A</v>
      </c>
      <c r="K989" s="380" t="str">
        <f>CS_PID!K989/VLOOKUP($B989,표2[#ALL],2)/HLOOKUP($A989,표1[#ALL],row(),false)</f>
        <v>#N/A</v>
      </c>
      <c r="L989" s="380" t="str">
        <f>CS_PID!L989/VLOOKUP($B989,표2[#ALL],2)/HLOOKUP($A989,표1[#ALL],row(),false)</f>
        <v>#N/A</v>
      </c>
      <c r="M989" s="380" t="str">
        <f>CS_PID!M989/VLOOKUP($B989,표2[#ALL],2)/HLOOKUP($A989,표1[#ALL],row(),false)</f>
        <v>#N/A</v>
      </c>
      <c r="N989" s="380" t="str">
        <f>CS_PID!N989/VLOOKUP($B989,표2[#ALL],2)/HLOOKUP($A989,표1[#ALL],row(),false)</f>
        <v>#N/A</v>
      </c>
      <c r="O989" s="380" t="str">
        <f>CS_PID!O989/VLOOKUP($B989,표2[#ALL],2)/HLOOKUP($A989,표1[#ALL],row(),false)</f>
        <v>#N/A</v>
      </c>
      <c r="P989" s="380" t="str">
        <f>CS_PID!P989/VLOOKUP($B989,표2[#ALL],2)/HLOOKUP($A989,표1[#ALL],row(),false)</f>
        <v>#N/A</v>
      </c>
      <c r="Q989" s="380" t="str">
        <f>CS_PID!Q989/VLOOKUP($B989,표2[#ALL],2)/HLOOKUP($A989,표1[#ALL],row(),false)</f>
        <v>#N/A</v>
      </c>
      <c r="R989" s="380" t="str">
        <f>CS_PID!R989/VLOOKUP($B989,표2[#ALL],2)/HLOOKUP($A989,표1[#ALL],row(),false)</f>
        <v>#N/A</v>
      </c>
      <c r="S989" s="380" t="str">
        <f>CS_PID!S989/VLOOKUP($B989,표2[#ALL],2)/HLOOKUP($A989,표1[#ALL],row(),false)</f>
        <v>#N/A</v>
      </c>
      <c r="T989" s="380" t="str">
        <f>CS_PID!T989/VLOOKUP($B989,표2[#ALL],2)/HLOOKUP($A989,표1[#ALL],row(),false)</f>
        <v>#N/A</v>
      </c>
      <c r="U989" s="380" t="str">
        <f>CS_PID!U989/VLOOKUP($B989,표2[#ALL],2)/HLOOKUP($A989,표1[#ALL],row(),false)</f>
        <v>#N/A</v>
      </c>
      <c r="V989" s="380" t="str">
        <f>CS_PID!V989/VLOOKUP($B989,표2[#ALL],2)/HLOOKUP($A989,표1[#ALL],row(),false)</f>
        <v>#N/A</v>
      </c>
      <c r="W989" s="380" t="str">
        <f>CS_PID!W989/VLOOKUP($B989,표2[#ALL],2)/HLOOKUP($A989,표1[#ALL],row(),false)</f>
        <v>#N/A</v>
      </c>
      <c r="X989" s="380" t="str">
        <f>CS_PID!X989/VLOOKUP($B989,표2[#ALL],2)/HLOOKUP($A989,표1[#ALL],row(),false)</f>
        <v>#N/A</v>
      </c>
      <c r="Y989" s="380" t="str">
        <f>CS_PID!Y989/VLOOKUP($B989,표2[#ALL],2)/HLOOKUP($A989,표1[#ALL],row(),false)</f>
        <v>#N/A</v>
      </c>
      <c r="Z989" s="380" t="str">
        <f>CS_PID!Z989/VLOOKUP($B989,표2[#ALL],2)/HLOOKUP($A989,표1[#ALL],row(),false)</f>
        <v>#N/A</v>
      </c>
      <c r="AA989" s="380" t="str">
        <f>CS_PID!AA989/VLOOKUP($B989,표2[#ALL],2)/HLOOKUP($A989,표1[#ALL],row(),false)</f>
        <v>#N/A</v>
      </c>
      <c r="AB989" s="380" t="str">
        <f>CS_PID!AB989/VLOOKUP($B989,표2[#ALL],2)/HLOOKUP($A989,표1[#ALL],row(),false)</f>
        <v>#N/A</v>
      </c>
      <c r="AC989" s="380" t="str">
        <f>CS_PID!AC989/VLOOKUP($B989,표2[#ALL],2)/HLOOKUP($A989,표1[#ALL],row(),false)</f>
        <v>#N/A</v>
      </c>
      <c r="AD989" s="380" t="str">
        <f>CS_PID!AD989/VLOOKUP($B989,표2[#ALL],2)/HLOOKUP($A989,표1[#ALL],row(),false)</f>
        <v>#N/A</v>
      </c>
      <c r="AE989" s="380" t="str">
        <f>CS_PID!AE989/VLOOKUP($B989,표2[#ALL],2)/HLOOKUP($A989,표1[#ALL],row(),false)</f>
        <v>#N/A</v>
      </c>
      <c r="AF989" s="380" t="str">
        <f>CS_PID!AF989/VLOOKUP($B989,표2[#ALL],2)/HLOOKUP($A989,표1[#ALL],row(),false)</f>
        <v>#N/A</v>
      </c>
      <c r="AG989" s="380" t="str">
        <f>CS_PID!AG989/VLOOKUP($B989,표2[#ALL],2)/HLOOKUP($A989,표1[#ALL],row(),false)</f>
        <v>#N/A</v>
      </c>
      <c r="AH989" s="380" t="str">
        <f>CS_PID!AH989/VLOOKUP($B989,표2[#ALL],2)/HLOOKUP($A989,표1[#ALL],row(),false)</f>
        <v>#N/A</v>
      </c>
      <c r="AI989" s="380" t="str">
        <f>CS_PID!AI989/VLOOKUP($B989,표2[#ALL],2)/HLOOKUP($A989,표1[#ALL],row(),false)</f>
        <v>#N/A</v>
      </c>
      <c r="AJ989" s="380" t="str">
        <f>CS_PID!AJ989/VLOOKUP($B989,표2[#ALL],2)/HLOOKUP($A989,표1[#ALL],row(),false)</f>
        <v>#N/A</v>
      </c>
      <c r="AK989" s="380" t="str">
        <f>CS_PID!AK989/VLOOKUP($B989,표2[#ALL],2)/HLOOKUP($A989,표1[#ALL],row(),false)</f>
        <v>#N/A</v>
      </c>
      <c r="AL989" s="380" t="str">
        <f>CS_PID!AL989/VLOOKUP($B989,표2[#ALL],2)/HLOOKUP($A989,표1[#ALL],row(),false)</f>
        <v>#N/A</v>
      </c>
      <c r="AM989" s="380" t="str">
        <f>CS_PID!AM989/VLOOKUP($B989,표2[#ALL],2)/HLOOKUP($A989,표1[#ALL],row(),false)</f>
        <v>#N/A</v>
      </c>
      <c r="AN989" s="380" t="str">
        <f>CS_PID!AN989/VLOOKUP($B989,표2[#ALL],2)/HLOOKUP($A989,표1[#ALL],row(),false)</f>
        <v>#N/A</v>
      </c>
      <c r="AO989" s="380" t="str">
        <f>CS_PID!AO989/VLOOKUP($B989,표2[#ALL],2)/HLOOKUP($A989,표1[#ALL],row(),false)</f>
        <v>#N/A</v>
      </c>
      <c r="AP989" s="380" t="str">
        <f>CS_PID!AP989/VLOOKUP($B989,표2[#ALL],2)/HLOOKUP($A989,표1[#ALL],row(),false)</f>
        <v>#N/A</v>
      </c>
      <c r="AQ989" s="380" t="str">
        <f>CS_PID!AQ989/VLOOKUP($B989,표2[#ALL],2)/HLOOKUP($A989,표1[#ALL],row(),false)</f>
        <v>#N/A</v>
      </c>
      <c r="AR989" s="380" t="str">
        <f>CS_PID!AR989/VLOOKUP($B989,표2[#ALL],2)/HLOOKUP($A989,표1[#ALL],row(),false)</f>
        <v>#N/A</v>
      </c>
      <c r="AS989" s="381" t="str">
        <f>CS_PID!AS989/VLOOKUP($B989,표2[#ALL],2)/HLOOKUP($A989,표1[#ALL],row(),false)</f>
        <v>#N/A</v>
      </c>
    </row>
  </sheetData>
  <dataValidations>
    <dataValidation type="custom" allowBlank="1" showDropDown="1" sqref="C2:AS989">
      <formula1>AND(ISNUMBER(C2),(NOT(OR(NOT(ISERROR(DATEVALUE(C2))), AND(ISNUMBER(C2), LEFT(CELL("format", C2))="D")))))</formula1>
    </dataValidation>
  </dataValidations>
  <drawing r:id="rId2"/>
  <legacyDrawing r:id="rId3"/>
  <tableParts count="1">
    <tablePart r:id="rId5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sheetData>
    <row r="1">
      <c r="A1" s="126" t="s">
        <v>119</v>
      </c>
      <c r="B1" s="127" t="s">
        <v>18</v>
      </c>
      <c r="C1" s="126" t="s">
        <v>120</v>
      </c>
      <c r="D1" s="126" t="s">
        <v>43</v>
      </c>
      <c r="E1" s="346" t="s">
        <v>121</v>
      </c>
      <c r="F1" s="346" t="s">
        <v>122</v>
      </c>
      <c r="G1" s="346" t="s">
        <v>123</v>
      </c>
      <c r="H1" s="346" t="s">
        <v>124</v>
      </c>
      <c r="I1" s="346" t="s">
        <v>44</v>
      </c>
      <c r="J1" s="346" t="s">
        <v>125</v>
      </c>
      <c r="K1" s="346" t="s">
        <v>126</v>
      </c>
      <c r="L1" s="346" t="s">
        <v>127</v>
      </c>
      <c r="M1" s="346" t="s">
        <v>128</v>
      </c>
      <c r="N1" s="346" t="s">
        <v>129</v>
      </c>
      <c r="O1" s="346" t="s">
        <v>45</v>
      </c>
      <c r="P1" s="346" t="s">
        <v>78</v>
      </c>
      <c r="Q1" s="346" t="s">
        <v>80</v>
      </c>
      <c r="R1" s="346" t="s">
        <v>82</v>
      </c>
      <c r="S1" s="346" t="s">
        <v>84</v>
      </c>
      <c r="T1" s="346" t="s">
        <v>130</v>
      </c>
      <c r="U1" s="346" t="s">
        <v>46</v>
      </c>
      <c r="V1" s="346" t="s">
        <v>131</v>
      </c>
      <c r="W1" s="346" t="s">
        <v>132</v>
      </c>
      <c r="X1" s="346" t="s">
        <v>133</v>
      </c>
      <c r="Y1" s="346" t="s">
        <v>134</v>
      </c>
      <c r="Z1" s="346" t="s">
        <v>135</v>
      </c>
      <c r="AA1" s="346" t="s">
        <v>136</v>
      </c>
      <c r="AB1" s="346" t="s">
        <v>137</v>
      </c>
      <c r="AC1" s="346" t="s">
        <v>86</v>
      </c>
      <c r="AD1" s="346" t="s">
        <v>88</v>
      </c>
      <c r="AE1" s="346" t="s">
        <v>90</v>
      </c>
      <c r="AF1" s="346" t="s">
        <v>138</v>
      </c>
      <c r="AG1" s="346" t="s">
        <v>139</v>
      </c>
      <c r="AH1" s="346" t="s">
        <v>140</v>
      </c>
      <c r="AI1" s="346" t="s">
        <v>141</v>
      </c>
      <c r="AJ1" s="346" t="s">
        <v>142</v>
      </c>
      <c r="AK1" s="346" t="s">
        <v>143</v>
      </c>
      <c r="AL1" s="346" t="s">
        <v>144</v>
      </c>
      <c r="AM1" s="346" t="s">
        <v>145</v>
      </c>
      <c r="AN1" s="346" t="s">
        <v>146</v>
      </c>
      <c r="AO1" s="346" t="s">
        <v>147</v>
      </c>
      <c r="AP1" s="346" t="s">
        <v>148</v>
      </c>
      <c r="AQ1" s="346" t="s">
        <v>149</v>
      </c>
      <c r="AR1" s="346" t="s">
        <v>150</v>
      </c>
      <c r="AS1" s="346" t="s">
        <v>151</v>
      </c>
    </row>
    <row r="2">
      <c r="A2" s="129" t="s">
        <v>45</v>
      </c>
      <c r="B2" s="130">
        <v>251.0</v>
      </c>
      <c r="C2" s="347">
        <f>CS_PID!C2/VLOOKUP($B2,표2[#ALL],2)/hlookup($A2,표4[#ALL],row(),false)</f>
        <v>0.1447368421</v>
      </c>
      <c r="D2" s="347">
        <f>CS_PID!D2/VLOOKUP($B2,표2[#ALL],2)/hlookup($A2,표4[#ALL],row(),false)</f>
        <v>0.5263157895</v>
      </c>
      <c r="E2" s="347">
        <f>CS_PID!E2/VLOOKUP($B2,표2[#ALL],2)/hlookup($A2,표4[#ALL],row(),false)</f>
        <v>0.06578947368</v>
      </c>
      <c r="F2" s="347">
        <f>CS_PID!F2/VLOOKUP($B2,표2[#ALL],2)/hlookup($A2,표4[#ALL],row(),false)</f>
        <v>0</v>
      </c>
      <c r="G2" s="347">
        <f>CS_PID!G2/VLOOKUP($B2,표2[#ALL],2)/hlookup($A2,표4[#ALL],row(),false)</f>
        <v>0</v>
      </c>
      <c r="H2" s="347">
        <f>CS_PID!H2/VLOOKUP($B2,표2[#ALL],2)/hlookup($A2,표4[#ALL],row(),false)</f>
        <v>0.1842105263</v>
      </c>
      <c r="I2" s="347">
        <f>CS_PID!I2/VLOOKUP($B2,표2[#ALL],2)/hlookup($A2,표4[#ALL],row(),false)</f>
        <v>0.5789473684</v>
      </c>
      <c r="J2" s="347">
        <f>CS_PID!J2/VLOOKUP($B2,표2[#ALL],2)/hlookup($A2,표4[#ALL],row(),false)</f>
        <v>0.1315789474</v>
      </c>
      <c r="K2" s="347">
        <f>CS_PID!K2/VLOOKUP($B2,표2[#ALL],2)/hlookup($A2,표4[#ALL],row(),false)</f>
        <v>0</v>
      </c>
      <c r="L2" s="347">
        <f>CS_PID!L2/VLOOKUP($B2,표2[#ALL],2)/hlookup($A2,표4[#ALL],row(),false)</f>
        <v>0</v>
      </c>
      <c r="M2" s="347">
        <f>CS_PID!M2/VLOOKUP($B2,표2[#ALL],2)/hlookup($A2,표4[#ALL],row(),false)</f>
        <v>0</v>
      </c>
      <c r="N2" s="347">
        <f>CS_PID!N2/VLOOKUP($B2,표2[#ALL],2)/hlookup($A2,표4[#ALL],row(),false)</f>
        <v>0.07894736842</v>
      </c>
      <c r="O2" s="347">
        <f>CS_PID!O2/VLOOKUP($B2,표2[#ALL],2)/hlookup($A2,표4[#ALL],row(),false)</f>
        <v>1</v>
      </c>
      <c r="P2" s="347">
        <f>CS_PID!P2/VLOOKUP($B2,표2[#ALL],2)/hlookup($A2,표4[#ALL],row(),false)</f>
        <v>0.1447368421</v>
      </c>
      <c r="Q2" s="347">
        <f>CS_PID!Q2/VLOOKUP($B2,표2[#ALL],2)/hlookup($A2,표4[#ALL],row(),false)</f>
        <v>0.01315789474</v>
      </c>
      <c r="R2" s="347">
        <f>CS_PID!R2/VLOOKUP($B2,표2[#ALL],2)/hlookup($A2,표4[#ALL],row(),false)</f>
        <v>0</v>
      </c>
      <c r="S2" s="347">
        <f>CS_PID!S2/VLOOKUP($B2,표2[#ALL],2)/hlookup($A2,표4[#ALL],row(),false)</f>
        <v>0</v>
      </c>
      <c r="T2" s="347">
        <f>CS_PID!T2/VLOOKUP($B2,표2[#ALL],2)/hlookup($A2,표4[#ALL],row(),false)</f>
        <v>0.06578947368</v>
      </c>
      <c r="U2" s="347">
        <f>CS_PID!U2/VLOOKUP($B2,표2[#ALL],2)/hlookup($A2,표4[#ALL],row(),false)</f>
        <v>0.4868421053</v>
      </c>
      <c r="V2" s="347">
        <f>CS_PID!V2/VLOOKUP($B2,표2[#ALL],2)/hlookup($A2,표4[#ALL],row(),false)</f>
        <v>0.09210526316</v>
      </c>
      <c r="W2" s="347">
        <f>CS_PID!W2/VLOOKUP($B2,표2[#ALL],2)/hlookup($A2,표4[#ALL],row(),false)</f>
        <v>0</v>
      </c>
      <c r="X2" s="347">
        <f>CS_PID!X2/VLOOKUP($B2,표2[#ALL],2)/hlookup($A2,표4[#ALL],row(),false)</f>
        <v>0</v>
      </c>
      <c r="Y2" s="347">
        <f>CS_PID!Y2/VLOOKUP($B2,표2[#ALL],2)/hlookup($A2,표4[#ALL],row(),false)</f>
        <v>0</v>
      </c>
      <c r="Z2" s="347">
        <f>CS_PID!Z2/VLOOKUP($B2,표2[#ALL],2)/hlookup($A2,표4[#ALL],row(),false)</f>
        <v>0.03947368421</v>
      </c>
      <c r="AA2" s="347">
        <f>CS_PID!AA2/VLOOKUP($B2,표2[#ALL],2)/hlookup($A2,표4[#ALL],row(),false)</f>
        <v>0.1052631579</v>
      </c>
      <c r="AB2" s="347">
        <f>CS_PID!AB2/VLOOKUP($B2,표2[#ALL],2)/hlookup($A2,표4[#ALL],row(),false)</f>
        <v>0</v>
      </c>
      <c r="AC2" s="347">
        <f>CS_PID!AC2/VLOOKUP($B2,표2[#ALL],2)/hlookup($A2,표4[#ALL],row(),false)</f>
        <v>0</v>
      </c>
      <c r="AD2" s="347">
        <f>CS_PID!AD2/VLOOKUP($B2,표2[#ALL],2)/hlookup($A2,표4[#ALL],row(),false)</f>
        <v>0</v>
      </c>
      <c r="AE2" s="347">
        <f>CS_PID!AE2/VLOOKUP($B2,표2[#ALL],2)/hlookup($A2,표4[#ALL],row(),false)</f>
        <v>0</v>
      </c>
      <c r="AF2" s="347">
        <f>CS_PID!AF2/VLOOKUP($B2,표2[#ALL],2)/hlookup($A2,표4[#ALL],row(),false)</f>
        <v>0.01315789474</v>
      </c>
      <c r="AG2" s="347">
        <f>CS_PID!AG2/VLOOKUP($B2,표2[#ALL],2)/hlookup($A2,표4[#ALL],row(),false)</f>
        <v>0</v>
      </c>
      <c r="AH2" s="347">
        <f>CS_PID!AH2/VLOOKUP($B2,표2[#ALL],2)/hlookup($A2,표4[#ALL],row(),false)</f>
        <v>0</v>
      </c>
      <c r="AI2" s="347">
        <f>CS_PID!AI2/VLOOKUP($B2,표2[#ALL],2)/hlookup($A2,표4[#ALL],row(),false)</f>
        <v>0</v>
      </c>
      <c r="AJ2" s="347">
        <f>CS_PID!AJ2/VLOOKUP($B2,표2[#ALL],2)/hlookup($A2,표4[#ALL],row(),false)</f>
        <v>0</v>
      </c>
      <c r="AK2" s="347">
        <f>CS_PID!AK2/VLOOKUP($B2,표2[#ALL],2)/hlookup($A2,표4[#ALL],row(),false)</f>
        <v>0</v>
      </c>
      <c r="AL2" s="347">
        <f>CS_PID!AL2/VLOOKUP($B2,표2[#ALL],2)/hlookup($A2,표4[#ALL],row(),false)</f>
        <v>0</v>
      </c>
      <c r="AM2" s="347">
        <f>CS_PID!AM2/VLOOKUP($B2,표2[#ALL],2)/hlookup($A2,표4[#ALL],row(),false)</f>
        <v>0</v>
      </c>
      <c r="AN2" s="347">
        <f>CS_PID!AN2/VLOOKUP($B2,표2[#ALL],2)/hlookup($A2,표4[#ALL],row(),false)</f>
        <v>0</v>
      </c>
      <c r="AO2" s="347">
        <f>CS_PID!AO2/VLOOKUP($B2,표2[#ALL],2)/hlookup($A2,표4[#ALL],row(),false)</f>
        <v>0</v>
      </c>
      <c r="AP2" s="347">
        <f>CS_PID!AP2/VLOOKUP($B2,표2[#ALL],2)/hlookup($A2,표4[#ALL],row(),false)</f>
        <v>0</v>
      </c>
      <c r="AQ2" s="347">
        <f>CS_PID!AQ2/VLOOKUP($B2,표2[#ALL],2)/hlookup($A2,표4[#ALL],row(),false)</f>
        <v>0</v>
      </c>
      <c r="AR2" s="347">
        <f>CS_PID!AR2/VLOOKUP($B2,표2[#ALL],2)/hlookup($A2,표4[#ALL],row(),false)</f>
        <v>0</v>
      </c>
      <c r="AS2" s="347">
        <f>CS_PID!AS2/VLOOKUP($B2,표2[#ALL],2)/hlookup($A2,표4[#ALL],row(),false)</f>
        <v>0</v>
      </c>
    </row>
    <row r="3">
      <c r="A3" s="129" t="s">
        <v>45</v>
      </c>
      <c r="B3" s="130">
        <v>252.0</v>
      </c>
      <c r="C3" s="347">
        <f>CS_PID!C3/VLOOKUP($B3,표2[#ALL],2)/hlookup($A3,표4[#ALL],row(),false)</f>
        <v>0.1475826972</v>
      </c>
      <c r="D3" s="347">
        <f>CS_PID!D3/VLOOKUP($B3,표2[#ALL],2)/hlookup($A3,표4[#ALL],row(),false)</f>
        <v>0.5368956743</v>
      </c>
      <c r="E3" s="347">
        <f>CS_PID!E3/VLOOKUP($B3,표2[#ALL],2)/hlookup($A3,표4[#ALL],row(),false)</f>
        <v>0.05089058524</v>
      </c>
      <c r="F3" s="347">
        <f>CS_PID!F3/VLOOKUP($B3,표2[#ALL],2)/hlookup($A3,표4[#ALL],row(),false)</f>
        <v>0.002544529262</v>
      </c>
      <c r="G3" s="347">
        <f>CS_PID!G3/VLOOKUP($B3,표2[#ALL],2)/hlookup($A3,표4[#ALL],row(),false)</f>
        <v>0</v>
      </c>
      <c r="H3" s="347">
        <f>CS_PID!H3/VLOOKUP($B3,표2[#ALL],2)/hlookup($A3,표4[#ALL],row(),false)</f>
        <v>0.2391857506</v>
      </c>
      <c r="I3" s="347">
        <f>CS_PID!I3/VLOOKUP($B3,표2[#ALL],2)/hlookup($A3,표4[#ALL],row(),false)</f>
        <v>0.4402035623</v>
      </c>
      <c r="J3" s="347">
        <f>CS_PID!J3/VLOOKUP($B3,표2[#ALL],2)/hlookup($A3,표4[#ALL],row(),false)</f>
        <v>0.1984732824</v>
      </c>
      <c r="K3" s="347">
        <f>CS_PID!K3/VLOOKUP($B3,표2[#ALL],2)/hlookup($A3,표4[#ALL],row(),false)</f>
        <v>0.002544529262</v>
      </c>
      <c r="L3" s="347">
        <f>CS_PID!L3/VLOOKUP($B3,표2[#ALL],2)/hlookup($A3,표4[#ALL],row(),false)</f>
        <v>0</v>
      </c>
      <c r="M3" s="347">
        <f>CS_PID!M3/VLOOKUP($B3,표2[#ALL],2)/hlookup($A3,표4[#ALL],row(),false)</f>
        <v>0</v>
      </c>
      <c r="N3" s="347">
        <f>CS_PID!N3/VLOOKUP($B3,표2[#ALL],2)/hlookup($A3,표4[#ALL],row(),false)</f>
        <v>0.106870229</v>
      </c>
      <c r="O3" s="347">
        <f>CS_PID!O3/VLOOKUP($B3,표2[#ALL],2)/hlookup($A3,표4[#ALL],row(),false)</f>
        <v>1</v>
      </c>
      <c r="P3" s="347">
        <f>CS_PID!P3/VLOOKUP($B3,표2[#ALL],2)/hlookup($A3,표4[#ALL],row(),false)</f>
        <v>0.1374045802</v>
      </c>
      <c r="Q3" s="347">
        <f>CS_PID!Q3/VLOOKUP($B3,표2[#ALL],2)/hlookup($A3,표4[#ALL],row(),false)</f>
        <v>0.005089058524</v>
      </c>
      <c r="R3" s="347">
        <f>CS_PID!R3/VLOOKUP($B3,표2[#ALL],2)/hlookup($A3,표4[#ALL],row(),false)</f>
        <v>0</v>
      </c>
      <c r="S3" s="347">
        <f>CS_PID!S3/VLOOKUP($B3,표2[#ALL],2)/hlookup($A3,표4[#ALL],row(),false)</f>
        <v>0</v>
      </c>
      <c r="T3" s="347">
        <f>CS_PID!T3/VLOOKUP($B3,표2[#ALL],2)/hlookup($A3,표4[#ALL],row(),false)</f>
        <v>0.07124681934</v>
      </c>
      <c r="U3" s="347">
        <f>CS_PID!U3/VLOOKUP($B3,표2[#ALL],2)/hlookup($A3,표4[#ALL],row(),false)</f>
        <v>0.4605597964</v>
      </c>
      <c r="V3" s="347">
        <f>CS_PID!V3/VLOOKUP($B3,표2[#ALL],2)/hlookup($A3,표4[#ALL],row(),false)</f>
        <v>0.06870229008</v>
      </c>
      <c r="W3" s="347">
        <f>CS_PID!W3/VLOOKUP($B3,표2[#ALL],2)/hlookup($A3,표4[#ALL],row(),false)</f>
        <v>0</v>
      </c>
      <c r="X3" s="347">
        <f>CS_PID!X3/VLOOKUP($B3,표2[#ALL],2)/hlookup($A3,표4[#ALL],row(),false)</f>
        <v>0</v>
      </c>
      <c r="Y3" s="347">
        <f>CS_PID!Y3/VLOOKUP($B3,표2[#ALL],2)/hlookup($A3,표4[#ALL],row(),false)</f>
        <v>0</v>
      </c>
      <c r="Z3" s="347">
        <f>CS_PID!Z3/VLOOKUP($B3,표2[#ALL],2)/hlookup($A3,표4[#ALL],row(),false)</f>
        <v>0.01526717557</v>
      </c>
      <c r="AA3" s="347">
        <f>CS_PID!AA3/VLOOKUP($B3,표2[#ALL],2)/hlookup($A3,표4[#ALL],row(),false)</f>
        <v>0.05852417303</v>
      </c>
      <c r="AB3" s="347">
        <f>CS_PID!AB3/VLOOKUP($B3,표2[#ALL],2)/hlookup($A3,표4[#ALL],row(),false)</f>
        <v>0</v>
      </c>
      <c r="AC3" s="347">
        <f>CS_PID!AC3/VLOOKUP($B3,표2[#ALL],2)/hlookup($A3,표4[#ALL],row(),false)</f>
        <v>0</v>
      </c>
      <c r="AD3" s="347">
        <f>CS_PID!AD3/VLOOKUP($B3,표2[#ALL],2)/hlookup($A3,표4[#ALL],row(),false)</f>
        <v>0</v>
      </c>
      <c r="AE3" s="347">
        <f>CS_PID!AE3/VLOOKUP($B3,표2[#ALL],2)/hlookup($A3,표4[#ALL],row(),false)</f>
        <v>0</v>
      </c>
      <c r="AF3" s="347">
        <f>CS_PID!AF3/VLOOKUP($B3,표2[#ALL],2)/hlookup($A3,표4[#ALL],row(),false)</f>
        <v>0.007633587786</v>
      </c>
      <c r="AG3" s="347">
        <f>CS_PID!AG3/VLOOKUP($B3,표2[#ALL],2)/hlookup($A3,표4[#ALL],row(),false)</f>
        <v>0</v>
      </c>
      <c r="AH3" s="347">
        <f>CS_PID!AH3/VLOOKUP($B3,표2[#ALL],2)/hlookup($A3,표4[#ALL],row(),false)</f>
        <v>0</v>
      </c>
      <c r="AI3" s="347">
        <f>CS_PID!AI3/VLOOKUP($B3,표2[#ALL],2)/hlookup($A3,표4[#ALL],row(),false)</f>
        <v>0</v>
      </c>
      <c r="AJ3" s="347">
        <f>CS_PID!AJ3/VLOOKUP($B3,표2[#ALL],2)/hlookup($A3,표4[#ALL],row(),false)</f>
        <v>0</v>
      </c>
      <c r="AK3" s="347">
        <f>CS_PID!AK3/VLOOKUP($B3,표2[#ALL],2)/hlookup($A3,표4[#ALL],row(),false)</f>
        <v>0</v>
      </c>
      <c r="AL3" s="347">
        <f>CS_PID!AL3/VLOOKUP($B3,표2[#ALL],2)/hlookup($A3,표4[#ALL],row(),false)</f>
        <v>0</v>
      </c>
      <c r="AM3" s="347">
        <f>CS_PID!AM3/VLOOKUP($B3,표2[#ALL],2)/hlookup($A3,표4[#ALL],row(),false)</f>
        <v>0</v>
      </c>
      <c r="AN3" s="347">
        <f>CS_PID!AN3/VLOOKUP($B3,표2[#ALL],2)/hlookup($A3,표4[#ALL],row(),false)</f>
        <v>0</v>
      </c>
      <c r="AO3" s="347">
        <f>CS_PID!AO3/VLOOKUP($B3,표2[#ALL],2)/hlookup($A3,표4[#ALL],row(),false)</f>
        <v>0</v>
      </c>
      <c r="AP3" s="347">
        <f>CS_PID!AP3/VLOOKUP($B3,표2[#ALL],2)/hlookup($A3,표4[#ALL],row(),false)</f>
        <v>0</v>
      </c>
      <c r="AQ3" s="347">
        <f>CS_PID!AQ3/VLOOKUP($B3,표2[#ALL],2)/hlookup($A3,표4[#ALL],row(),false)</f>
        <v>0</v>
      </c>
      <c r="AR3" s="347">
        <f>CS_PID!AR3/VLOOKUP($B3,표2[#ALL],2)/hlookup($A3,표4[#ALL],row(),false)</f>
        <v>0</v>
      </c>
      <c r="AS3" s="347">
        <f>CS_PID!AS3/VLOOKUP($B3,표2[#ALL],2)/hlookup($A3,표4[#ALL],row(),false)</f>
        <v>0</v>
      </c>
    </row>
    <row r="4">
      <c r="A4" s="129" t="s">
        <v>45</v>
      </c>
      <c r="B4" s="130">
        <v>253.0</v>
      </c>
      <c r="C4" s="347">
        <f>CS_PID!C4/VLOOKUP($B4,표2[#ALL],2)/hlookup($A4,표4[#ALL],row(),false)</f>
        <v>0.1476793249</v>
      </c>
      <c r="D4" s="347">
        <f>CS_PID!D4/VLOOKUP($B4,표2[#ALL],2)/hlookup($A4,표4[#ALL],row(),false)</f>
        <v>0.5147679325</v>
      </c>
      <c r="E4" s="347">
        <f>CS_PID!E4/VLOOKUP($B4,표2[#ALL],2)/hlookup($A4,표4[#ALL],row(),false)</f>
        <v>0.05907172996</v>
      </c>
      <c r="F4" s="347">
        <f>CS_PID!F4/VLOOKUP($B4,표2[#ALL],2)/hlookup($A4,표4[#ALL],row(),false)</f>
        <v>0</v>
      </c>
      <c r="G4" s="347">
        <f>CS_PID!G4/VLOOKUP($B4,표2[#ALL],2)/hlookup($A4,표4[#ALL],row(),false)</f>
        <v>0</v>
      </c>
      <c r="H4" s="347">
        <f>CS_PID!H4/VLOOKUP($B4,표2[#ALL],2)/hlookup($A4,표4[#ALL],row(),false)</f>
        <v>0.2362869198</v>
      </c>
      <c r="I4" s="347">
        <f>CS_PID!I4/VLOOKUP($B4,표2[#ALL],2)/hlookup($A4,표4[#ALL],row(),false)</f>
        <v>0.552742616</v>
      </c>
      <c r="J4" s="347">
        <f>CS_PID!J4/VLOOKUP($B4,표2[#ALL],2)/hlookup($A4,표4[#ALL],row(),false)</f>
        <v>0.1772151899</v>
      </c>
      <c r="K4" s="347">
        <f>CS_PID!K4/VLOOKUP($B4,표2[#ALL],2)/hlookup($A4,표4[#ALL],row(),false)</f>
        <v>0</v>
      </c>
      <c r="L4" s="347">
        <f>CS_PID!L4/VLOOKUP($B4,표2[#ALL],2)/hlookup($A4,표4[#ALL],row(),false)</f>
        <v>0</v>
      </c>
      <c r="M4" s="347">
        <f>CS_PID!M4/VLOOKUP($B4,표2[#ALL],2)/hlookup($A4,표4[#ALL],row(),false)</f>
        <v>0</v>
      </c>
      <c r="N4" s="347">
        <f>CS_PID!N4/VLOOKUP($B4,표2[#ALL],2)/hlookup($A4,표4[#ALL],row(),false)</f>
        <v>0.09282700422</v>
      </c>
      <c r="O4" s="347">
        <f>CS_PID!O4/VLOOKUP($B4,표2[#ALL],2)/hlookup($A4,표4[#ALL],row(),false)</f>
        <v>1</v>
      </c>
      <c r="P4" s="347">
        <f>CS_PID!P4/VLOOKUP($B4,표2[#ALL],2)/hlookup($A4,표4[#ALL],row(),false)</f>
        <v>0.1603375527</v>
      </c>
      <c r="Q4" s="347">
        <f>CS_PID!Q4/VLOOKUP($B4,표2[#ALL],2)/hlookup($A4,표4[#ALL],row(),false)</f>
        <v>0</v>
      </c>
      <c r="R4" s="347">
        <f>CS_PID!R4/VLOOKUP($B4,표2[#ALL],2)/hlookup($A4,표4[#ALL],row(),false)</f>
        <v>0</v>
      </c>
      <c r="S4" s="347">
        <f>CS_PID!S4/VLOOKUP($B4,표2[#ALL],2)/hlookup($A4,표4[#ALL],row(),false)</f>
        <v>0</v>
      </c>
      <c r="T4" s="347">
        <f>CS_PID!T4/VLOOKUP($B4,표2[#ALL],2)/hlookup($A4,표4[#ALL],row(),false)</f>
        <v>0.06751054852</v>
      </c>
      <c r="U4" s="347">
        <f>CS_PID!U4/VLOOKUP($B4,표2[#ALL],2)/hlookup($A4,표4[#ALL],row(),false)</f>
        <v>0.5189873418</v>
      </c>
      <c r="V4" s="347">
        <f>CS_PID!V4/VLOOKUP($B4,표2[#ALL],2)/hlookup($A4,표4[#ALL],row(),false)</f>
        <v>0.05485232068</v>
      </c>
      <c r="W4" s="347">
        <f>CS_PID!W4/VLOOKUP($B4,표2[#ALL],2)/hlookup($A4,표4[#ALL],row(),false)</f>
        <v>0</v>
      </c>
      <c r="X4" s="347">
        <f>CS_PID!X4/VLOOKUP($B4,표2[#ALL],2)/hlookup($A4,표4[#ALL],row(),false)</f>
        <v>0</v>
      </c>
      <c r="Y4" s="347">
        <f>CS_PID!Y4/VLOOKUP($B4,표2[#ALL],2)/hlookup($A4,표4[#ALL],row(),false)</f>
        <v>0</v>
      </c>
      <c r="Z4" s="347">
        <f>CS_PID!Z4/VLOOKUP($B4,표2[#ALL],2)/hlookup($A4,표4[#ALL],row(),false)</f>
        <v>0.05063291139</v>
      </c>
      <c r="AA4" s="347">
        <f>CS_PID!AA4/VLOOKUP($B4,표2[#ALL],2)/hlookup($A4,표4[#ALL],row(),false)</f>
        <v>0.1012658228</v>
      </c>
      <c r="AB4" s="347">
        <f>CS_PID!AB4/VLOOKUP($B4,표2[#ALL],2)/hlookup($A4,표4[#ALL],row(),false)</f>
        <v>0.004219409283</v>
      </c>
      <c r="AC4" s="347">
        <f>CS_PID!AC4/VLOOKUP($B4,표2[#ALL],2)/hlookup($A4,표4[#ALL],row(),false)</f>
        <v>0</v>
      </c>
      <c r="AD4" s="347">
        <f>CS_PID!AD4/VLOOKUP($B4,표2[#ALL],2)/hlookup($A4,표4[#ALL],row(),false)</f>
        <v>0</v>
      </c>
      <c r="AE4" s="347">
        <f>CS_PID!AE4/VLOOKUP($B4,표2[#ALL],2)/hlookup($A4,표4[#ALL],row(),false)</f>
        <v>0</v>
      </c>
      <c r="AF4" s="347">
        <f>CS_PID!AF4/VLOOKUP($B4,표2[#ALL],2)/hlookup($A4,표4[#ALL],row(),false)</f>
        <v>0</v>
      </c>
      <c r="AG4" s="347">
        <f>CS_PID!AG4/VLOOKUP($B4,표2[#ALL],2)/hlookup($A4,표4[#ALL],row(),false)</f>
        <v>0</v>
      </c>
      <c r="AH4" s="347">
        <f>CS_PID!AH4/VLOOKUP($B4,표2[#ALL],2)/hlookup($A4,표4[#ALL],row(),false)</f>
        <v>0</v>
      </c>
      <c r="AI4" s="347">
        <f>CS_PID!AI4/VLOOKUP($B4,표2[#ALL],2)/hlookup($A4,표4[#ALL],row(),false)</f>
        <v>0</v>
      </c>
      <c r="AJ4" s="347">
        <f>CS_PID!AJ4/VLOOKUP($B4,표2[#ALL],2)/hlookup($A4,표4[#ALL],row(),false)</f>
        <v>0</v>
      </c>
      <c r="AK4" s="347">
        <f>CS_PID!AK4/VLOOKUP($B4,표2[#ALL],2)/hlookup($A4,표4[#ALL],row(),false)</f>
        <v>0</v>
      </c>
      <c r="AL4" s="347">
        <f>CS_PID!AL4/VLOOKUP($B4,표2[#ALL],2)/hlookup($A4,표4[#ALL],row(),false)</f>
        <v>0</v>
      </c>
      <c r="AM4" s="347">
        <f>CS_PID!AM4/VLOOKUP($B4,표2[#ALL],2)/hlookup($A4,표4[#ALL],row(),false)</f>
        <v>0</v>
      </c>
      <c r="AN4" s="347">
        <f>CS_PID!AN4/VLOOKUP($B4,표2[#ALL],2)/hlookup($A4,표4[#ALL],row(),false)</f>
        <v>0</v>
      </c>
      <c r="AO4" s="347">
        <f>CS_PID!AO4/VLOOKUP($B4,표2[#ALL],2)/hlookup($A4,표4[#ALL],row(),false)</f>
        <v>0</v>
      </c>
      <c r="AP4" s="347">
        <f>CS_PID!AP4/VLOOKUP($B4,표2[#ALL],2)/hlookup($A4,표4[#ALL],row(),false)</f>
        <v>0</v>
      </c>
      <c r="AQ4" s="347">
        <f>CS_PID!AQ4/VLOOKUP($B4,표2[#ALL],2)/hlookup($A4,표4[#ALL],row(),false)</f>
        <v>0</v>
      </c>
      <c r="AR4" s="347">
        <f>CS_PID!AR4/VLOOKUP($B4,표2[#ALL],2)/hlookup($A4,표4[#ALL],row(),false)</f>
        <v>0</v>
      </c>
      <c r="AS4" s="347">
        <f>CS_PID!AS4/VLOOKUP($B4,표2[#ALL],2)/hlookup($A4,표4[#ALL],row(),false)</f>
        <v>0</v>
      </c>
    </row>
    <row r="5">
      <c r="A5" s="133" t="s">
        <v>45</v>
      </c>
      <c r="B5" s="134">
        <v>254.0</v>
      </c>
      <c r="C5" s="348">
        <f>CS_PID!C5/VLOOKUP($B5,표2[#ALL],2)/hlookup($A5,표4[#ALL],row(),false)</f>
        <v>0.1564986737</v>
      </c>
      <c r="D5" s="348">
        <f>CS_PID!D5/VLOOKUP($B5,표2[#ALL],2)/hlookup($A5,표4[#ALL],row(),false)</f>
        <v>0.5198938992</v>
      </c>
      <c r="E5" s="348">
        <f>CS_PID!E5/VLOOKUP($B5,표2[#ALL],2)/hlookup($A5,표4[#ALL],row(),false)</f>
        <v>0.06366047745</v>
      </c>
      <c r="F5" s="348">
        <f>CS_PID!F5/VLOOKUP($B5,표2[#ALL],2)/hlookup($A5,표4[#ALL],row(),false)</f>
        <v>0</v>
      </c>
      <c r="G5" s="348">
        <f>CS_PID!G5/VLOOKUP($B5,표2[#ALL],2)/hlookup($A5,표4[#ALL],row(),false)</f>
        <v>0</v>
      </c>
      <c r="H5" s="348">
        <f>CS_PID!H5/VLOOKUP($B5,표2[#ALL],2)/hlookup($A5,표4[#ALL],row(),false)</f>
        <v>0.2705570292</v>
      </c>
      <c r="I5" s="348">
        <f>CS_PID!I5/VLOOKUP($B5,표2[#ALL],2)/hlookup($A5,표4[#ALL],row(),false)</f>
        <v>0.5437665782</v>
      </c>
      <c r="J5" s="348">
        <f>CS_PID!J5/VLOOKUP($B5,표2[#ALL],2)/hlookup($A5,표4[#ALL],row(),false)</f>
        <v>0.1909814324</v>
      </c>
      <c r="K5" s="348">
        <f>CS_PID!K5/VLOOKUP($B5,표2[#ALL],2)/hlookup($A5,표4[#ALL],row(),false)</f>
        <v>0</v>
      </c>
      <c r="L5" s="348">
        <f>CS_PID!L5/VLOOKUP($B5,표2[#ALL],2)/hlookup($A5,표4[#ALL],row(),false)</f>
        <v>0</v>
      </c>
      <c r="M5" s="348">
        <f>CS_PID!M5/VLOOKUP($B5,표2[#ALL],2)/hlookup($A5,표4[#ALL],row(),false)</f>
        <v>0</v>
      </c>
      <c r="N5" s="348">
        <f>CS_PID!N5/VLOOKUP($B5,표2[#ALL],2)/hlookup($A5,표4[#ALL],row(),false)</f>
        <v>0.08222811671</v>
      </c>
      <c r="O5" s="348">
        <f>CS_PID!O5/VLOOKUP($B5,표2[#ALL],2)/hlookup($A5,표4[#ALL],row(),false)</f>
        <v>1</v>
      </c>
      <c r="P5" s="348">
        <f>CS_PID!P5/VLOOKUP($B5,표2[#ALL],2)/hlookup($A5,표4[#ALL],row(),false)</f>
        <v>0.1883289125</v>
      </c>
      <c r="Q5" s="348">
        <f>CS_PID!Q5/VLOOKUP($B5,표2[#ALL],2)/hlookup($A5,표4[#ALL],row(),false)</f>
        <v>0</v>
      </c>
      <c r="R5" s="348">
        <f>CS_PID!R5/VLOOKUP($B5,표2[#ALL],2)/hlookup($A5,표4[#ALL],row(),false)</f>
        <v>0</v>
      </c>
      <c r="S5" s="348">
        <f>CS_PID!S5/VLOOKUP($B5,표2[#ALL],2)/hlookup($A5,표4[#ALL],row(),false)</f>
        <v>0</v>
      </c>
      <c r="T5" s="348">
        <f>CS_PID!T5/VLOOKUP($B5,표2[#ALL],2)/hlookup($A5,표4[#ALL],row(),false)</f>
        <v>0.05570291777</v>
      </c>
      <c r="U5" s="348">
        <f>CS_PID!U5/VLOOKUP($B5,표2[#ALL],2)/hlookup($A5,표4[#ALL],row(),false)</f>
        <v>0.549071618</v>
      </c>
      <c r="V5" s="348">
        <f>CS_PID!V5/VLOOKUP($B5,표2[#ALL],2)/hlookup($A5,표4[#ALL],row(),false)</f>
        <v>0.07161803714</v>
      </c>
      <c r="W5" s="348">
        <f>CS_PID!W5/VLOOKUP($B5,표2[#ALL],2)/hlookup($A5,표4[#ALL],row(),false)</f>
        <v>0</v>
      </c>
      <c r="X5" s="348">
        <f>CS_PID!X5/VLOOKUP($B5,표2[#ALL],2)/hlookup($A5,표4[#ALL],row(),false)</f>
        <v>0</v>
      </c>
      <c r="Y5" s="348">
        <f>CS_PID!Y5/VLOOKUP($B5,표2[#ALL],2)/hlookup($A5,표4[#ALL],row(),false)</f>
        <v>0</v>
      </c>
      <c r="Z5" s="348">
        <f>CS_PID!Z5/VLOOKUP($B5,표2[#ALL],2)/hlookup($A5,표4[#ALL],row(),false)</f>
        <v>0.02652519894</v>
      </c>
      <c r="AA5" s="348">
        <f>CS_PID!AA5/VLOOKUP($B5,표2[#ALL],2)/hlookup($A5,표4[#ALL],row(),false)</f>
        <v>0.09814323607</v>
      </c>
      <c r="AB5" s="348">
        <f>CS_PID!AB5/VLOOKUP($B5,표2[#ALL],2)/hlookup($A5,표4[#ALL],row(),false)</f>
        <v>0.005305039788</v>
      </c>
      <c r="AC5" s="348">
        <f>CS_PID!AC5/VLOOKUP($B5,표2[#ALL],2)/hlookup($A5,표4[#ALL],row(),false)</f>
        <v>0</v>
      </c>
      <c r="AD5" s="348">
        <f>CS_PID!AD5/VLOOKUP($B5,표2[#ALL],2)/hlookup($A5,표4[#ALL],row(),false)</f>
        <v>0</v>
      </c>
      <c r="AE5" s="348">
        <f>CS_PID!AE5/VLOOKUP($B5,표2[#ALL],2)/hlookup($A5,표4[#ALL],row(),false)</f>
        <v>0</v>
      </c>
      <c r="AF5" s="348">
        <f>CS_PID!AF5/VLOOKUP($B5,표2[#ALL],2)/hlookup($A5,표4[#ALL],row(),false)</f>
        <v>0.01061007958</v>
      </c>
      <c r="AG5" s="348">
        <f>CS_PID!AG5/VLOOKUP($B5,표2[#ALL],2)/hlookup($A5,표4[#ALL],row(),false)</f>
        <v>0.007957559682</v>
      </c>
      <c r="AH5" s="348">
        <f>CS_PID!AH5/VLOOKUP($B5,표2[#ALL],2)/hlookup($A5,표4[#ALL],row(),false)</f>
        <v>0</v>
      </c>
      <c r="AI5" s="348">
        <f>CS_PID!AI5/VLOOKUP($B5,표2[#ALL],2)/hlookup($A5,표4[#ALL],row(),false)</f>
        <v>0</v>
      </c>
      <c r="AJ5" s="348">
        <f>CS_PID!AJ5/VLOOKUP($B5,표2[#ALL],2)/hlookup($A5,표4[#ALL],row(),false)</f>
        <v>0</v>
      </c>
      <c r="AK5" s="348">
        <f>CS_PID!AK5/VLOOKUP($B5,표2[#ALL],2)/hlookup($A5,표4[#ALL],row(),false)</f>
        <v>0</v>
      </c>
      <c r="AL5" s="348">
        <f>CS_PID!AL5/VLOOKUP($B5,표2[#ALL],2)/hlookup($A5,표4[#ALL],row(),false)</f>
        <v>0</v>
      </c>
      <c r="AM5" s="348">
        <f>CS_PID!AM5/VLOOKUP($B5,표2[#ALL],2)/hlookup($A5,표4[#ALL],row(),false)</f>
        <v>0</v>
      </c>
      <c r="AN5" s="348">
        <f>CS_PID!AN5/VLOOKUP($B5,표2[#ALL],2)/hlookup($A5,표4[#ALL],row(),false)</f>
        <v>0</v>
      </c>
      <c r="AO5" s="348">
        <f>CS_PID!AO5/VLOOKUP($B5,표2[#ALL],2)/hlookup($A5,표4[#ALL],row(),false)</f>
        <v>0</v>
      </c>
      <c r="AP5" s="348">
        <f>CS_PID!AP5/VLOOKUP($B5,표2[#ALL],2)/hlookup($A5,표4[#ALL],row(),false)</f>
        <v>0</v>
      </c>
      <c r="AQ5" s="348">
        <f>CS_PID!AQ5/VLOOKUP($B5,표2[#ALL],2)/hlookup($A5,표4[#ALL],row(),false)</f>
        <v>0</v>
      </c>
      <c r="AR5" s="348">
        <f>CS_PID!AR5/VLOOKUP($B5,표2[#ALL],2)/hlookup($A5,표4[#ALL],row(),false)</f>
        <v>0</v>
      </c>
      <c r="AS5" s="348">
        <f>CS_PID!AS5/VLOOKUP($B5,표2[#ALL],2)/hlookup($A5,표4[#ALL],row(),false)</f>
        <v>0</v>
      </c>
    </row>
    <row r="6">
      <c r="A6" s="137" t="s">
        <v>78</v>
      </c>
      <c r="B6" s="138">
        <v>259.0</v>
      </c>
      <c r="C6" s="349">
        <f>CS_PID!C6/VLOOKUP($B6,표2[#ALL],2)/hlookup($A6,표4[#ALL],row(),false)</f>
        <v>0</v>
      </c>
      <c r="D6" s="349">
        <f>CS_PID!D6/VLOOKUP($B6,표2[#ALL],2)/hlookup($A6,표4[#ALL],row(),false)</f>
        <v>0.3333333333</v>
      </c>
      <c r="E6" s="349">
        <f>CS_PID!E6/VLOOKUP($B6,표2[#ALL],2)/hlookup($A6,표4[#ALL],row(),false)</f>
        <v>0.1777777778</v>
      </c>
      <c r="F6" s="349">
        <f>CS_PID!F6/VLOOKUP($B6,표2[#ALL],2)/hlookup($A6,표4[#ALL],row(),false)</f>
        <v>0</v>
      </c>
      <c r="G6" s="349">
        <f>CS_PID!G6/VLOOKUP($B6,표2[#ALL],2)/hlookup($A6,표4[#ALL],row(),false)</f>
        <v>0</v>
      </c>
      <c r="H6" s="349">
        <f>CS_PID!H6/VLOOKUP($B6,표2[#ALL],2)/hlookup($A6,표4[#ALL],row(),false)</f>
        <v>0.04444444444</v>
      </c>
      <c r="I6" s="349">
        <f>CS_PID!I6/VLOOKUP($B6,표2[#ALL],2)/hlookup($A6,표4[#ALL],row(),false)</f>
        <v>0.2222222222</v>
      </c>
      <c r="J6" s="349">
        <f>CS_PID!J6/VLOOKUP($B6,표2[#ALL],2)/hlookup($A6,표4[#ALL],row(),false)</f>
        <v>0.4666666667</v>
      </c>
      <c r="K6" s="349">
        <f>CS_PID!K6/VLOOKUP($B6,표2[#ALL],2)/hlookup($A6,표4[#ALL],row(),false)</f>
        <v>0.02222222222</v>
      </c>
      <c r="L6" s="349">
        <f>CS_PID!L6/VLOOKUP($B6,표2[#ALL],2)/hlookup($A6,표4[#ALL],row(),false)</f>
        <v>0</v>
      </c>
      <c r="M6" s="349">
        <f>CS_PID!M6/VLOOKUP($B6,표2[#ALL],2)/hlookup($A6,표4[#ALL],row(),false)</f>
        <v>0</v>
      </c>
      <c r="N6" s="349">
        <f>CS_PID!N6/VLOOKUP($B6,표2[#ALL],2)/hlookup($A6,표4[#ALL],row(),false)</f>
        <v>0.04444444444</v>
      </c>
      <c r="O6" s="349">
        <f>CS_PID!O6/VLOOKUP($B6,표2[#ALL],2)/hlookup($A6,표4[#ALL],row(),false)</f>
        <v>0.4888888889</v>
      </c>
      <c r="P6" s="349">
        <f>CS_PID!P6/VLOOKUP($B6,표2[#ALL],2)/hlookup($A6,표4[#ALL],row(),false)</f>
        <v>1</v>
      </c>
      <c r="Q6" s="349">
        <f>CS_PID!Q6/VLOOKUP($B6,표2[#ALL],2)/hlookup($A6,표4[#ALL],row(),false)</f>
        <v>0.1555555556</v>
      </c>
      <c r="R6" s="349">
        <f>CS_PID!R6/VLOOKUP($B6,표2[#ALL],2)/hlookup($A6,표4[#ALL],row(),false)</f>
        <v>0</v>
      </c>
      <c r="S6" s="349">
        <f>CS_PID!S6/VLOOKUP($B6,표2[#ALL],2)/hlookup($A6,표4[#ALL],row(),false)</f>
        <v>0</v>
      </c>
      <c r="T6" s="349">
        <f>CS_PID!T6/VLOOKUP($B6,표2[#ALL],2)/hlookup($A6,표4[#ALL],row(),false)</f>
        <v>0</v>
      </c>
      <c r="U6" s="349">
        <f>CS_PID!U6/VLOOKUP($B6,표2[#ALL],2)/hlookup($A6,표4[#ALL],row(),false)</f>
        <v>0.8666666667</v>
      </c>
      <c r="V6" s="349">
        <f>CS_PID!V6/VLOOKUP($B6,표2[#ALL],2)/hlookup($A6,표4[#ALL],row(),false)</f>
        <v>1.177777778</v>
      </c>
      <c r="W6" s="349">
        <f>CS_PID!W6/VLOOKUP($B6,표2[#ALL],2)/hlookup($A6,표4[#ALL],row(),false)</f>
        <v>0.02222222222</v>
      </c>
      <c r="X6" s="349">
        <f>CS_PID!X6/VLOOKUP($B6,표2[#ALL],2)/hlookup($A6,표4[#ALL],row(),false)</f>
        <v>0</v>
      </c>
      <c r="Y6" s="349">
        <f>CS_PID!Y6/VLOOKUP($B6,표2[#ALL],2)/hlookup($A6,표4[#ALL],row(),false)</f>
        <v>0</v>
      </c>
      <c r="Z6" s="349">
        <f>CS_PID!Z6/VLOOKUP($B6,표2[#ALL],2)/hlookup($A6,표4[#ALL],row(),false)</f>
        <v>0</v>
      </c>
      <c r="AA6" s="349">
        <f>CS_PID!AA6/VLOOKUP($B6,표2[#ALL],2)/hlookup($A6,표4[#ALL],row(),false)</f>
        <v>0.3111111111</v>
      </c>
      <c r="AB6" s="349">
        <f>CS_PID!AB6/VLOOKUP($B6,표2[#ALL],2)/hlookup($A6,표4[#ALL],row(),false)</f>
        <v>0.1555555556</v>
      </c>
      <c r="AC6" s="349">
        <f>CS_PID!AC6/VLOOKUP($B6,표2[#ALL],2)/hlookup($A6,표4[#ALL],row(),false)</f>
        <v>0</v>
      </c>
      <c r="AD6" s="349">
        <f>CS_PID!AD6/VLOOKUP($B6,표2[#ALL],2)/hlookup($A6,표4[#ALL],row(),false)</f>
        <v>0</v>
      </c>
      <c r="AE6" s="349">
        <f>CS_PID!AE6/VLOOKUP($B6,표2[#ALL],2)/hlookup($A6,표4[#ALL],row(),false)</f>
        <v>0</v>
      </c>
      <c r="AF6" s="349">
        <f>CS_PID!AF6/VLOOKUP($B6,표2[#ALL],2)/hlookup($A6,표4[#ALL],row(),false)</f>
        <v>0</v>
      </c>
      <c r="AG6" s="349">
        <f>CS_PID!AG6/VLOOKUP($B6,표2[#ALL],2)/hlookup($A6,표4[#ALL],row(),false)</f>
        <v>0.08888888889</v>
      </c>
      <c r="AH6" s="349">
        <f>CS_PID!AH6/VLOOKUP($B6,표2[#ALL],2)/hlookup($A6,표4[#ALL],row(),false)</f>
        <v>0.06666666667</v>
      </c>
      <c r="AI6" s="349">
        <f>CS_PID!AI6/VLOOKUP($B6,표2[#ALL],2)/hlookup($A6,표4[#ALL],row(),false)</f>
        <v>0</v>
      </c>
      <c r="AJ6" s="349">
        <f>CS_PID!AJ6/VLOOKUP($B6,표2[#ALL],2)/hlookup($A6,표4[#ALL],row(),false)</f>
        <v>0</v>
      </c>
      <c r="AK6" s="349">
        <f>CS_PID!AK6/VLOOKUP($B6,표2[#ALL],2)/hlookup($A6,표4[#ALL],row(),false)</f>
        <v>0</v>
      </c>
      <c r="AL6" s="349">
        <f>CS_PID!AL6/VLOOKUP($B6,표2[#ALL],2)/hlookup($A6,표4[#ALL],row(),false)</f>
        <v>0.02222222222</v>
      </c>
      <c r="AM6" s="349">
        <f>CS_PID!AM6/VLOOKUP($B6,표2[#ALL],2)/hlookup($A6,표4[#ALL],row(),false)</f>
        <v>0</v>
      </c>
      <c r="AN6" s="349">
        <f>CS_PID!AN6/VLOOKUP($B6,표2[#ALL],2)/hlookup($A6,표4[#ALL],row(),false)</f>
        <v>0</v>
      </c>
      <c r="AO6" s="349">
        <f>CS_PID!AO6/VLOOKUP($B6,표2[#ALL],2)/hlookup($A6,표4[#ALL],row(),false)</f>
        <v>0</v>
      </c>
      <c r="AP6" s="349">
        <f>CS_PID!AP6/VLOOKUP($B6,표2[#ALL],2)/hlookup($A6,표4[#ALL],row(),false)</f>
        <v>0</v>
      </c>
      <c r="AQ6" s="349">
        <f>CS_PID!AQ6/VLOOKUP($B6,표2[#ALL],2)/hlookup($A6,표4[#ALL],row(),false)</f>
        <v>0</v>
      </c>
      <c r="AR6" s="349">
        <f>CS_PID!AR6/VLOOKUP($B6,표2[#ALL],2)/hlookup($A6,표4[#ALL],row(),false)</f>
        <v>0</v>
      </c>
      <c r="AS6" s="349">
        <f>CS_PID!AS6/VLOOKUP($B6,표2[#ALL],2)/hlookup($A6,표4[#ALL],row(),false)</f>
        <v>0</v>
      </c>
    </row>
    <row r="7">
      <c r="A7" s="141" t="s">
        <v>78</v>
      </c>
      <c r="B7" s="142">
        <v>260.0</v>
      </c>
      <c r="C7" s="350">
        <f>CS_PID!C7/VLOOKUP($B7,표2[#ALL],2)/hlookup($A7,표4[#ALL],row(),false)</f>
        <v>0.01612903226</v>
      </c>
      <c r="D7" s="350">
        <f>CS_PID!D7/VLOOKUP($B7,표2[#ALL],2)/hlookup($A7,표4[#ALL],row(),false)</f>
        <v>0.4677419355</v>
      </c>
      <c r="E7" s="350">
        <f>CS_PID!E7/VLOOKUP($B7,표2[#ALL],2)/hlookup($A7,표4[#ALL],row(),false)</f>
        <v>0.2096774194</v>
      </c>
      <c r="F7" s="350">
        <f>CS_PID!F7/VLOOKUP($B7,표2[#ALL],2)/hlookup($A7,표4[#ALL],row(),false)</f>
        <v>0.01612903226</v>
      </c>
      <c r="G7" s="350">
        <f>CS_PID!G7/VLOOKUP($B7,표2[#ALL],2)/hlookup($A7,표4[#ALL],row(),false)</f>
        <v>0</v>
      </c>
      <c r="H7" s="350">
        <f>CS_PID!H7/VLOOKUP($B7,표2[#ALL],2)/hlookup($A7,표4[#ALL],row(),false)</f>
        <v>0.04838709677</v>
      </c>
      <c r="I7" s="350">
        <f>CS_PID!I7/VLOOKUP($B7,표2[#ALL],2)/hlookup($A7,표4[#ALL],row(),false)</f>
        <v>0.3064516129</v>
      </c>
      <c r="J7" s="350">
        <f>CS_PID!J7/VLOOKUP($B7,표2[#ALL],2)/hlookup($A7,표4[#ALL],row(),false)</f>
        <v>0.8387096774</v>
      </c>
      <c r="K7" s="350">
        <f>CS_PID!K7/VLOOKUP($B7,표2[#ALL],2)/hlookup($A7,표4[#ALL],row(),false)</f>
        <v>0.03225806452</v>
      </c>
      <c r="L7" s="350">
        <f>CS_PID!L7/VLOOKUP($B7,표2[#ALL],2)/hlookup($A7,표4[#ALL],row(),false)</f>
        <v>0</v>
      </c>
      <c r="M7" s="350">
        <f>CS_PID!M7/VLOOKUP($B7,표2[#ALL],2)/hlookup($A7,표4[#ALL],row(),false)</f>
        <v>0</v>
      </c>
      <c r="N7" s="350">
        <f>CS_PID!N7/VLOOKUP($B7,표2[#ALL],2)/hlookup($A7,표4[#ALL],row(),false)</f>
        <v>0</v>
      </c>
      <c r="O7" s="350">
        <f>CS_PID!O7/VLOOKUP($B7,표2[#ALL],2)/hlookup($A7,표4[#ALL],row(),false)</f>
        <v>0.5967741935</v>
      </c>
      <c r="P7" s="350">
        <f>CS_PID!P7/VLOOKUP($B7,표2[#ALL],2)/hlookup($A7,표4[#ALL],row(),false)</f>
        <v>1</v>
      </c>
      <c r="Q7" s="350">
        <f>CS_PID!Q7/VLOOKUP($B7,표2[#ALL],2)/hlookup($A7,표4[#ALL],row(),false)</f>
        <v>0.1290322581</v>
      </c>
      <c r="R7" s="350">
        <f>CS_PID!R7/VLOOKUP($B7,표2[#ALL],2)/hlookup($A7,표4[#ALL],row(),false)</f>
        <v>0</v>
      </c>
      <c r="S7" s="350">
        <f>CS_PID!S7/VLOOKUP($B7,표2[#ALL],2)/hlookup($A7,표4[#ALL],row(),false)</f>
        <v>0</v>
      </c>
      <c r="T7" s="350">
        <f>CS_PID!T7/VLOOKUP($B7,표2[#ALL],2)/hlookup($A7,표4[#ALL],row(),false)</f>
        <v>0</v>
      </c>
      <c r="U7" s="350">
        <f>CS_PID!U7/VLOOKUP($B7,표2[#ALL],2)/hlookup($A7,표4[#ALL],row(),false)</f>
        <v>0.5806451613</v>
      </c>
      <c r="V7" s="350">
        <f>CS_PID!V7/VLOOKUP($B7,표2[#ALL],2)/hlookup($A7,표4[#ALL],row(),false)</f>
        <v>1.274193548</v>
      </c>
      <c r="W7" s="350">
        <f>CS_PID!W7/VLOOKUP($B7,표2[#ALL],2)/hlookup($A7,표4[#ALL],row(),false)</f>
        <v>0.06451612903</v>
      </c>
      <c r="X7" s="350">
        <f>CS_PID!X7/VLOOKUP($B7,표2[#ALL],2)/hlookup($A7,표4[#ALL],row(),false)</f>
        <v>0</v>
      </c>
      <c r="Y7" s="350">
        <f>CS_PID!Y7/VLOOKUP($B7,표2[#ALL],2)/hlookup($A7,표4[#ALL],row(),false)</f>
        <v>0</v>
      </c>
      <c r="Z7" s="350">
        <f>CS_PID!Z7/VLOOKUP($B7,표2[#ALL],2)/hlookup($A7,표4[#ALL],row(),false)</f>
        <v>0.03225806452</v>
      </c>
      <c r="AA7" s="350">
        <f>CS_PID!AA7/VLOOKUP($B7,표2[#ALL],2)/hlookup($A7,표4[#ALL],row(),false)</f>
        <v>0.4193548387</v>
      </c>
      <c r="AB7" s="350">
        <f>CS_PID!AB7/VLOOKUP($B7,표2[#ALL],2)/hlookup($A7,표4[#ALL],row(),false)</f>
        <v>0.2580645161</v>
      </c>
      <c r="AC7" s="350">
        <f>CS_PID!AC7/VLOOKUP($B7,표2[#ALL],2)/hlookup($A7,표4[#ALL],row(),false)</f>
        <v>0.03225806452</v>
      </c>
      <c r="AD7" s="350">
        <f>CS_PID!AD7/VLOOKUP($B7,표2[#ALL],2)/hlookup($A7,표4[#ALL],row(),false)</f>
        <v>0</v>
      </c>
      <c r="AE7" s="350">
        <f>CS_PID!AE7/VLOOKUP($B7,표2[#ALL],2)/hlookup($A7,표4[#ALL],row(),false)</f>
        <v>0</v>
      </c>
      <c r="AF7" s="350">
        <f>CS_PID!AF7/VLOOKUP($B7,표2[#ALL],2)/hlookup($A7,표4[#ALL],row(),false)</f>
        <v>0.01612903226</v>
      </c>
      <c r="AG7" s="350">
        <f>CS_PID!AG7/VLOOKUP($B7,표2[#ALL],2)/hlookup($A7,표4[#ALL],row(),false)</f>
        <v>0.03225806452</v>
      </c>
      <c r="AH7" s="350">
        <f>CS_PID!AH7/VLOOKUP($B7,표2[#ALL],2)/hlookup($A7,표4[#ALL],row(),false)</f>
        <v>0.01612903226</v>
      </c>
      <c r="AI7" s="350">
        <f>CS_PID!AI7/VLOOKUP($B7,표2[#ALL],2)/hlookup($A7,표4[#ALL],row(),false)</f>
        <v>0</v>
      </c>
      <c r="AJ7" s="350">
        <f>CS_PID!AJ7/VLOOKUP($B7,표2[#ALL],2)/hlookup($A7,표4[#ALL],row(),false)</f>
        <v>0</v>
      </c>
      <c r="AK7" s="350">
        <f>CS_PID!AK7/VLOOKUP($B7,표2[#ALL],2)/hlookup($A7,표4[#ALL],row(),false)</f>
        <v>0</v>
      </c>
      <c r="AL7" s="350">
        <f>CS_PID!AL7/VLOOKUP($B7,표2[#ALL],2)/hlookup($A7,표4[#ALL],row(),false)</f>
        <v>0.01612903226</v>
      </c>
      <c r="AM7" s="350">
        <f>CS_PID!AM7/VLOOKUP($B7,표2[#ALL],2)/hlookup($A7,표4[#ALL],row(),false)</f>
        <v>0</v>
      </c>
      <c r="AN7" s="350">
        <f>CS_PID!AN7/VLOOKUP($B7,표2[#ALL],2)/hlookup($A7,표4[#ALL],row(),false)</f>
        <v>0</v>
      </c>
      <c r="AO7" s="350">
        <f>CS_PID!AO7/VLOOKUP($B7,표2[#ALL],2)/hlookup($A7,표4[#ALL],row(),false)</f>
        <v>0</v>
      </c>
      <c r="AP7" s="350">
        <f>CS_PID!AP7/VLOOKUP($B7,표2[#ALL],2)/hlookup($A7,표4[#ALL],row(),false)</f>
        <v>0</v>
      </c>
      <c r="AQ7" s="350">
        <f>CS_PID!AQ7/VLOOKUP($B7,표2[#ALL],2)/hlookup($A7,표4[#ALL],row(),false)</f>
        <v>0</v>
      </c>
      <c r="AR7" s="350">
        <f>CS_PID!AR7/VLOOKUP($B7,표2[#ALL],2)/hlookup($A7,표4[#ALL],row(),false)</f>
        <v>0</v>
      </c>
      <c r="AS7" s="350">
        <f>CS_PID!AS7/VLOOKUP($B7,표2[#ALL],2)/hlookup($A7,표4[#ALL],row(),false)</f>
        <v>0</v>
      </c>
    </row>
    <row r="8">
      <c r="A8" s="141" t="s">
        <v>78</v>
      </c>
      <c r="B8" s="142">
        <v>261.0</v>
      </c>
      <c r="C8" s="350">
        <f>CS_PID!C8/VLOOKUP($B8,표2[#ALL],2)/hlookup($A8,표4[#ALL],row(),false)</f>
        <v>0.0198019802</v>
      </c>
      <c r="D8" s="350">
        <f>CS_PID!D8/VLOOKUP($B8,표2[#ALL],2)/hlookup($A8,표4[#ALL],row(),false)</f>
        <v>0.4059405941</v>
      </c>
      <c r="E8" s="350">
        <f>CS_PID!E8/VLOOKUP($B8,표2[#ALL],2)/hlookup($A8,표4[#ALL],row(),false)</f>
        <v>0.198019802</v>
      </c>
      <c r="F8" s="350">
        <f>CS_PID!F8/VLOOKUP($B8,표2[#ALL],2)/hlookup($A8,표4[#ALL],row(),false)</f>
        <v>0.009900990099</v>
      </c>
      <c r="G8" s="350">
        <f>CS_PID!G8/VLOOKUP($B8,표2[#ALL],2)/hlookup($A8,표4[#ALL],row(),false)</f>
        <v>0</v>
      </c>
      <c r="H8" s="350">
        <f>CS_PID!H8/VLOOKUP($B8,표2[#ALL],2)/hlookup($A8,표4[#ALL],row(),false)</f>
        <v>0.0297029703</v>
      </c>
      <c r="I8" s="350">
        <f>CS_PID!I8/VLOOKUP($B8,표2[#ALL],2)/hlookup($A8,표4[#ALL],row(),false)</f>
        <v>0.3267326733</v>
      </c>
      <c r="J8" s="350">
        <f>CS_PID!J8/VLOOKUP($B8,표2[#ALL],2)/hlookup($A8,표4[#ALL],row(),false)</f>
        <v>0.7425742574</v>
      </c>
      <c r="K8" s="350">
        <f>CS_PID!K8/VLOOKUP($B8,표2[#ALL],2)/hlookup($A8,표4[#ALL],row(),false)</f>
        <v>0.0495049505</v>
      </c>
      <c r="L8" s="350">
        <f>CS_PID!L8/VLOOKUP($B8,표2[#ALL],2)/hlookup($A8,표4[#ALL],row(),false)</f>
        <v>0</v>
      </c>
      <c r="M8" s="350">
        <f>CS_PID!M8/VLOOKUP($B8,표2[#ALL],2)/hlookup($A8,표4[#ALL],row(),false)</f>
        <v>0</v>
      </c>
      <c r="N8" s="350">
        <f>CS_PID!N8/VLOOKUP($B8,표2[#ALL],2)/hlookup($A8,표4[#ALL],row(),false)</f>
        <v>0.0297029703</v>
      </c>
      <c r="O8" s="350">
        <f>CS_PID!O8/VLOOKUP($B8,표2[#ALL],2)/hlookup($A8,표4[#ALL],row(),false)</f>
        <v>0.7425742574</v>
      </c>
      <c r="P8" s="350">
        <f>CS_PID!P8/VLOOKUP($B8,표2[#ALL],2)/hlookup($A8,표4[#ALL],row(),false)</f>
        <v>1</v>
      </c>
      <c r="Q8" s="350">
        <f>CS_PID!Q8/VLOOKUP($B8,표2[#ALL],2)/hlookup($A8,표4[#ALL],row(),false)</f>
        <v>0.1287128713</v>
      </c>
      <c r="R8" s="350">
        <f>CS_PID!R8/VLOOKUP($B8,표2[#ALL],2)/hlookup($A8,표4[#ALL],row(),false)</f>
        <v>0</v>
      </c>
      <c r="S8" s="350">
        <f>CS_PID!S8/VLOOKUP($B8,표2[#ALL],2)/hlookup($A8,표4[#ALL],row(),false)</f>
        <v>0</v>
      </c>
      <c r="T8" s="350">
        <f>CS_PID!T8/VLOOKUP($B8,표2[#ALL],2)/hlookup($A8,표4[#ALL],row(),false)</f>
        <v>0</v>
      </c>
      <c r="U8" s="350">
        <f>CS_PID!U8/VLOOKUP($B8,표2[#ALL],2)/hlookup($A8,표4[#ALL],row(),false)</f>
        <v>0.6732673267</v>
      </c>
      <c r="V8" s="350">
        <f>CS_PID!V8/VLOOKUP($B8,표2[#ALL],2)/hlookup($A8,표4[#ALL],row(),false)</f>
        <v>1.544554455</v>
      </c>
      <c r="W8" s="350">
        <f>CS_PID!W8/VLOOKUP($B8,표2[#ALL],2)/hlookup($A8,표4[#ALL],row(),false)</f>
        <v>0.08910891089</v>
      </c>
      <c r="X8" s="350">
        <f>CS_PID!X8/VLOOKUP($B8,표2[#ALL],2)/hlookup($A8,표4[#ALL],row(),false)</f>
        <v>0</v>
      </c>
      <c r="Y8" s="350">
        <f>CS_PID!Y8/VLOOKUP($B8,표2[#ALL],2)/hlookup($A8,표4[#ALL],row(),false)</f>
        <v>0</v>
      </c>
      <c r="Z8" s="350">
        <f>CS_PID!Z8/VLOOKUP($B8,표2[#ALL],2)/hlookup($A8,표4[#ALL],row(),false)</f>
        <v>0</v>
      </c>
      <c r="AA8" s="350">
        <f>CS_PID!AA8/VLOOKUP($B8,표2[#ALL],2)/hlookup($A8,표4[#ALL],row(),false)</f>
        <v>0.4257425743</v>
      </c>
      <c r="AB8" s="350">
        <f>CS_PID!AB8/VLOOKUP($B8,표2[#ALL],2)/hlookup($A8,표4[#ALL],row(),false)</f>
        <v>0.2871287129</v>
      </c>
      <c r="AC8" s="350">
        <f>CS_PID!AC8/VLOOKUP($B8,표2[#ALL],2)/hlookup($A8,표4[#ALL],row(),false)</f>
        <v>0.009900990099</v>
      </c>
      <c r="AD8" s="350">
        <f>CS_PID!AD8/VLOOKUP($B8,표2[#ALL],2)/hlookup($A8,표4[#ALL],row(),false)</f>
        <v>0</v>
      </c>
      <c r="AE8" s="350">
        <f>CS_PID!AE8/VLOOKUP($B8,표2[#ALL],2)/hlookup($A8,표4[#ALL],row(),false)</f>
        <v>0</v>
      </c>
      <c r="AF8" s="350">
        <f>CS_PID!AF8/VLOOKUP($B8,표2[#ALL],2)/hlookup($A8,표4[#ALL],row(),false)</f>
        <v>0</v>
      </c>
      <c r="AG8" s="350">
        <f>CS_PID!AG8/VLOOKUP($B8,표2[#ALL],2)/hlookup($A8,표4[#ALL],row(),false)</f>
        <v>0.05940594059</v>
      </c>
      <c r="AH8" s="350">
        <f>CS_PID!AH8/VLOOKUP($B8,표2[#ALL],2)/hlookup($A8,표4[#ALL],row(),false)</f>
        <v>0.009900990099</v>
      </c>
      <c r="AI8" s="350">
        <f>CS_PID!AI8/VLOOKUP($B8,표2[#ALL],2)/hlookup($A8,표4[#ALL],row(),false)</f>
        <v>0</v>
      </c>
      <c r="AJ8" s="350">
        <f>CS_PID!AJ8/VLOOKUP($B8,표2[#ALL],2)/hlookup($A8,표4[#ALL],row(),false)</f>
        <v>0</v>
      </c>
      <c r="AK8" s="350">
        <f>CS_PID!AK8/VLOOKUP($B8,표2[#ALL],2)/hlookup($A8,표4[#ALL],row(),false)</f>
        <v>0</v>
      </c>
      <c r="AL8" s="350">
        <f>CS_PID!AL8/VLOOKUP($B8,표2[#ALL],2)/hlookup($A8,표4[#ALL],row(),false)</f>
        <v>0</v>
      </c>
      <c r="AM8" s="350">
        <f>CS_PID!AM8/VLOOKUP($B8,표2[#ALL],2)/hlookup($A8,표4[#ALL],row(),false)</f>
        <v>0</v>
      </c>
      <c r="AN8" s="350">
        <f>CS_PID!AN8/VLOOKUP($B8,표2[#ALL],2)/hlookup($A8,표4[#ALL],row(),false)</f>
        <v>0</v>
      </c>
      <c r="AO8" s="350">
        <f>CS_PID!AO8/VLOOKUP($B8,표2[#ALL],2)/hlookup($A8,표4[#ALL],row(),false)</f>
        <v>0</v>
      </c>
      <c r="AP8" s="350">
        <f>CS_PID!AP8/VLOOKUP($B8,표2[#ALL],2)/hlookup($A8,표4[#ALL],row(),false)</f>
        <v>0</v>
      </c>
      <c r="AQ8" s="350">
        <f>CS_PID!AQ8/VLOOKUP($B8,표2[#ALL],2)/hlookup($A8,표4[#ALL],row(),false)</f>
        <v>0</v>
      </c>
      <c r="AR8" s="350">
        <f>CS_PID!AR8/VLOOKUP($B8,표2[#ALL],2)/hlookup($A8,표4[#ALL],row(),false)</f>
        <v>0</v>
      </c>
      <c r="AS8" s="350">
        <f>CS_PID!AS8/VLOOKUP($B8,표2[#ALL],2)/hlookup($A8,표4[#ALL],row(),false)</f>
        <v>0</v>
      </c>
    </row>
    <row r="9">
      <c r="A9" s="141" t="s">
        <v>78</v>
      </c>
      <c r="B9" s="142">
        <v>262.0</v>
      </c>
      <c r="C9" s="350">
        <f>CS_PID!C9/VLOOKUP($B9,표2[#ALL],2)/hlookup($A9,표4[#ALL],row(),false)</f>
        <v>0.0350877193</v>
      </c>
      <c r="D9" s="350">
        <f>CS_PID!D9/VLOOKUP($B9,표2[#ALL],2)/hlookup($A9,표4[#ALL],row(),false)</f>
        <v>0.4035087719</v>
      </c>
      <c r="E9" s="350">
        <f>CS_PID!E9/VLOOKUP($B9,표2[#ALL],2)/hlookup($A9,표4[#ALL],row(),false)</f>
        <v>0.1403508772</v>
      </c>
      <c r="F9" s="350">
        <f>CS_PID!F9/VLOOKUP($B9,표2[#ALL],2)/hlookup($A9,표4[#ALL],row(),false)</f>
        <v>0.0350877193</v>
      </c>
      <c r="G9" s="350">
        <f>CS_PID!G9/VLOOKUP($B9,표2[#ALL],2)/hlookup($A9,표4[#ALL],row(),false)</f>
        <v>0</v>
      </c>
      <c r="H9" s="350">
        <f>CS_PID!H9/VLOOKUP($B9,표2[#ALL],2)/hlookup($A9,표4[#ALL],row(),false)</f>
        <v>0.05263157895</v>
      </c>
      <c r="I9" s="350">
        <f>CS_PID!I9/VLOOKUP($B9,표2[#ALL],2)/hlookup($A9,표4[#ALL],row(),false)</f>
        <v>0.350877193</v>
      </c>
      <c r="J9" s="350">
        <f>CS_PID!J9/VLOOKUP($B9,표2[#ALL],2)/hlookup($A9,표4[#ALL],row(),false)</f>
        <v>0.4210526316</v>
      </c>
      <c r="K9" s="350">
        <f>CS_PID!K9/VLOOKUP($B9,표2[#ALL],2)/hlookup($A9,표4[#ALL],row(),false)</f>
        <v>0</v>
      </c>
      <c r="L9" s="350">
        <f>CS_PID!L9/VLOOKUP($B9,표2[#ALL],2)/hlookup($A9,표4[#ALL],row(),false)</f>
        <v>0</v>
      </c>
      <c r="M9" s="350">
        <f>CS_PID!M9/VLOOKUP($B9,표2[#ALL],2)/hlookup($A9,표4[#ALL],row(),false)</f>
        <v>0</v>
      </c>
      <c r="N9" s="350">
        <f>CS_PID!N9/VLOOKUP($B9,표2[#ALL],2)/hlookup($A9,표4[#ALL],row(),false)</f>
        <v>0.0350877193</v>
      </c>
      <c r="O9" s="350">
        <f>CS_PID!O9/VLOOKUP($B9,표2[#ALL],2)/hlookup($A9,표4[#ALL],row(),false)</f>
        <v>0.6315789474</v>
      </c>
      <c r="P9" s="350">
        <f>CS_PID!P9/VLOOKUP($B9,표2[#ALL],2)/hlookup($A9,표4[#ALL],row(),false)</f>
        <v>1</v>
      </c>
      <c r="Q9" s="350">
        <f>CS_PID!Q9/VLOOKUP($B9,표2[#ALL],2)/hlookup($A9,표4[#ALL],row(),false)</f>
        <v>0.05263157895</v>
      </c>
      <c r="R9" s="350">
        <f>CS_PID!R9/VLOOKUP($B9,표2[#ALL],2)/hlookup($A9,표4[#ALL],row(),false)</f>
        <v>0</v>
      </c>
      <c r="S9" s="350">
        <f>CS_PID!S9/VLOOKUP($B9,표2[#ALL],2)/hlookup($A9,표4[#ALL],row(),false)</f>
        <v>0</v>
      </c>
      <c r="T9" s="350">
        <f>CS_PID!T9/VLOOKUP($B9,표2[#ALL],2)/hlookup($A9,표4[#ALL],row(),false)</f>
        <v>0</v>
      </c>
      <c r="U9" s="350">
        <f>CS_PID!U9/VLOOKUP($B9,표2[#ALL],2)/hlookup($A9,표4[#ALL],row(),false)</f>
        <v>0.5789473684</v>
      </c>
      <c r="V9" s="350">
        <f>CS_PID!V9/VLOOKUP($B9,표2[#ALL],2)/hlookup($A9,표4[#ALL],row(),false)</f>
        <v>1.070175439</v>
      </c>
      <c r="W9" s="350">
        <f>CS_PID!W9/VLOOKUP($B9,표2[#ALL],2)/hlookup($A9,표4[#ALL],row(),false)</f>
        <v>0.0701754386</v>
      </c>
      <c r="X9" s="350">
        <f>CS_PID!X9/VLOOKUP($B9,표2[#ALL],2)/hlookup($A9,표4[#ALL],row(),false)</f>
        <v>0</v>
      </c>
      <c r="Y9" s="350">
        <f>CS_PID!Y9/VLOOKUP($B9,표2[#ALL],2)/hlookup($A9,표4[#ALL],row(),false)</f>
        <v>0</v>
      </c>
      <c r="Z9" s="350">
        <f>CS_PID!Z9/VLOOKUP($B9,표2[#ALL],2)/hlookup($A9,표4[#ALL],row(),false)</f>
        <v>0</v>
      </c>
      <c r="AA9" s="350">
        <f>CS_PID!AA9/VLOOKUP($B9,표2[#ALL],2)/hlookup($A9,표4[#ALL],row(),false)</f>
        <v>0.4385964912</v>
      </c>
      <c r="AB9" s="350">
        <f>CS_PID!AB9/VLOOKUP($B9,표2[#ALL],2)/hlookup($A9,표4[#ALL],row(),false)</f>
        <v>0.2105263158</v>
      </c>
      <c r="AC9" s="350">
        <f>CS_PID!AC9/VLOOKUP($B9,표2[#ALL],2)/hlookup($A9,표4[#ALL],row(),false)</f>
        <v>0.01754385965</v>
      </c>
      <c r="AD9" s="350">
        <f>CS_PID!AD9/VLOOKUP($B9,표2[#ALL],2)/hlookup($A9,표4[#ALL],row(),false)</f>
        <v>0</v>
      </c>
      <c r="AE9" s="350">
        <f>CS_PID!AE9/VLOOKUP($B9,표2[#ALL],2)/hlookup($A9,표4[#ALL],row(),false)</f>
        <v>0</v>
      </c>
      <c r="AF9" s="350">
        <f>CS_PID!AF9/VLOOKUP($B9,표2[#ALL],2)/hlookup($A9,표4[#ALL],row(),false)</f>
        <v>0</v>
      </c>
      <c r="AG9" s="350">
        <f>CS_PID!AG9/VLOOKUP($B9,표2[#ALL],2)/hlookup($A9,표4[#ALL],row(),false)</f>
        <v>0</v>
      </c>
      <c r="AH9" s="350">
        <f>CS_PID!AH9/VLOOKUP($B9,표2[#ALL],2)/hlookup($A9,표4[#ALL],row(),false)</f>
        <v>0.01754385965</v>
      </c>
      <c r="AI9" s="350">
        <f>CS_PID!AI9/VLOOKUP($B9,표2[#ALL],2)/hlookup($A9,표4[#ALL],row(),false)</f>
        <v>0</v>
      </c>
      <c r="AJ9" s="350">
        <f>CS_PID!AJ9/VLOOKUP($B9,표2[#ALL],2)/hlookup($A9,표4[#ALL],row(),false)</f>
        <v>0</v>
      </c>
      <c r="AK9" s="350">
        <f>CS_PID!AK9/VLOOKUP($B9,표2[#ALL],2)/hlookup($A9,표4[#ALL],row(),false)</f>
        <v>0</v>
      </c>
      <c r="AL9" s="350">
        <f>CS_PID!AL9/VLOOKUP($B9,표2[#ALL],2)/hlookup($A9,표4[#ALL],row(),false)</f>
        <v>0</v>
      </c>
      <c r="AM9" s="350">
        <f>CS_PID!AM9/VLOOKUP($B9,표2[#ALL],2)/hlookup($A9,표4[#ALL],row(),false)</f>
        <v>0</v>
      </c>
      <c r="AN9" s="350">
        <f>CS_PID!AN9/VLOOKUP($B9,표2[#ALL],2)/hlookup($A9,표4[#ALL],row(),false)</f>
        <v>0</v>
      </c>
      <c r="AO9" s="350">
        <f>CS_PID!AO9/VLOOKUP($B9,표2[#ALL],2)/hlookup($A9,표4[#ALL],row(),false)</f>
        <v>0</v>
      </c>
      <c r="AP9" s="350">
        <f>CS_PID!AP9/VLOOKUP($B9,표2[#ALL],2)/hlookup($A9,표4[#ALL],row(),false)</f>
        <v>0</v>
      </c>
      <c r="AQ9" s="350">
        <f>CS_PID!AQ9/VLOOKUP($B9,표2[#ALL],2)/hlookup($A9,표4[#ALL],row(),false)</f>
        <v>0</v>
      </c>
      <c r="AR9" s="350">
        <f>CS_PID!AR9/VLOOKUP($B9,표2[#ALL],2)/hlookup($A9,표4[#ALL],row(),false)</f>
        <v>0</v>
      </c>
      <c r="AS9" s="350">
        <f>CS_PID!AS9/VLOOKUP($B9,표2[#ALL],2)/hlookup($A9,표4[#ALL],row(),false)</f>
        <v>0</v>
      </c>
    </row>
    <row r="10">
      <c r="A10" s="141" t="s">
        <v>78</v>
      </c>
      <c r="B10" s="142">
        <v>263.0</v>
      </c>
      <c r="C10" s="350">
        <f>CS_PID!C10/VLOOKUP($B10,표2[#ALL],2)/hlookup($A10,표4[#ALL],row(),false)</f>
        <v>0.02272727273</v>
      </c>
      <c r="D10" s="350">
        <f>CS_PID!D10/VLOOKUP($B10,표2[#ALL],2)/hlookup($A10,표4[#ALL],row(),false)</f>
        <v>0.5681818182</v>
      </c>
      <c r="E10" s="350">
        <f>CS_PID!E10/VLOOKUP($B10,표2[#ALL],2)/hlookup($A10,표4[#ALL],row(),false)</f>
        <v>0.2272727273</v>
      </c>
      <c r="F10" s="350">
        <f>CS_PID!F10/VLOOKUP($B10,표2[#ALL],2)/hlookup($A10,표4[#ALL],row(),false)</f>
        <v>0</v>
      </c>
      <c r="G10" s="350">
        <f>CS_PID!G10/VLOOKUP($B10,표2[#ALL],2)/hlookup($A10,표4[#ALL],row(),false)</f>
        <v>0</v>
      </c>
      <c r="H10" s="350">
        <f>CS_PID!H10/VLOOKUP($B10,표2[#ALL],2)/hlookup($A10,표4[#ALL],row(),false)</f>
        <v>0.02272727273</v>
      </c>
      <c r="I10" s="350">
        <f>CS_PID!I10/VLOOKUP($B10,표2[#ALL],2)/hlookup($A10,표4[#ALL],row(),false)</f>
        <v>0.3409090909</v>
      </c>
      <c r="J10" s="350">
        <f>CS_PID!J10/VLOOKUP($B10,표2[#ALL],2)/hlookup($A10,표4[#ALL],row(),false)</f>
        <v>0.9090909091</v>
      </c>
      <c r="K10" s="350">
        <f>CS_PID!K10/VLOOKUP($B10,표2[#ALL],2)/hlookup($A10,표4[#ALL],row(),false)</f>
        <v>0.1363636364</v>
      </c>
      <c r="L10" s="350">
        <f>CS_PID!L10/VLOOKUP($B10,표2[#ALL],2)/hlookup($A10,표4[#ALL],row(),false)</f>
        <v>0.02272727273</v>
      </c>
      <c r="M10" s="350">
        <f>CS_PID!M10/VLOOKUP($B10,표2[#ALL],2)/hlookup($A10,표4[#ALL],row(),false)</f>
        <v>0</v>
      </c>
      <c r="N10" s="350">
        <f>CS_PID!N10/VLOOKUP($B10,표2[#ALL],2)/hlookup($A10,표4[#ALL],row(),false)</f>
        <v>0.02272727273</v>
      </c>
      <c r="O10" s="350">
        <f>CS_PID!O10/VLOOKUP($B10,표2[#ALL],2)/hlookup($A10,표4[#ALL],row(),false)</f>
        <v>1.090909091</v>
      </c>
      <c r="P10" s="350">
        <f>CS_PID!P10/VLOOKUP($B10,표2[#ALL],2)/hlookup($A10,표4[#ALL],row(),false)</f>
        <v>1</v>
      </c>
      <c r="Q10" s="350">
        <f>CS_PID!Q10/VLOOKUP($B10,표2[#ALL],2)/hlookup($A10,표4[#ALL],row(),false)</f>
        <v>0.1136363636</v>
      </c>
      <c r="R10" s="350">
        <f>CS_PID!R10/VLOOKUP($B10,표2[#ALL],2)/hlookup($A10,표4[#ALL],row(),false)</f>
        <v>0</v>
      </c>
      <c r="S10" s="350">
        <f>CS_PID!S10/VLOOKUP($B10,표2[#ALL],2)/hlookup($A10,표4[#ALL],row(),false)</f>
        <v>0</v>
      </c>
      <c r="T10" s="350">
        <f>CS_PID!T10/VLOOKUP($B10,표2[#ALL],2)/hlookup($A10,표4[#ALL],row(),false)</f>
        <v>0</v>
      </c>
      <c r="U10" s="350">
        <f>CS_PID!U10/VLOOKUP($B10,표2[#ALL],2)/hlookup($A10,표4[#ALL],row(),false)</f>
        <v>0.4545454545</v>
      </c>
      <c r="V10" s="350">
        <f>CS_PID!V10/VLOOKUP($B10,표2[#ALL],2)/hlookup($A10,표4[#ALL],row(),false)</f>
        <v>1.340909091</v>
      </c>
      <c r="W10" s="350">
        <f>CS_PID!W10/VLOOKUP($B10,표2[#ALL],2)/hlookup($A10,표4[#ALL],row(),false)</f>
        <v>0.04545454545</v>
      </c>
      <c r="X10" s="350">
        <f>CS_PID!X10/VLOOKUP($B10,표2[#ALL],2)/hlookup($A10,표4[#ALL],row(),false)</f>
        <v>0</v>
      </c>
      <c r="Y10" s="350">
        <f>CS_PID!Y10/VLOOKUP($B10,표2[#ALL],2)/hlookup($A10,표4[#ALL],row(),false)</f>
        <v>0</v>
      </c>
      <c r="Z10" s="350">
        <f>CS_PID!Z10/VLOOKUP($B10,표2[#ALL],2)/hlookup($A10,표4[#ALL],row(),false)</f>
        <v>0.02272727273</v>
      </c>
      <c r="AA10" s="350">
        <f>CS_PID!AA10/VLOOKUP($B10,표2[#ALL],2)/hlookup($A10,표4[#ALL],row(),false)</f>
        <v>0.4090909091</v>
      </c>
      <c r="AB10" s="350">
        <f>CS_PID!AB10/VLOOKUP($B10,표2[#ALL],2)/hlookup($A10,표4[#ALL],row(),false)</f>
        <v>0.25</v>
      </c>
      <c r="AC10" s="350">
        <f>CS_PID!AC10/VLOOKUP($B10,표2[#ALL],2)/hlookup($A10,표4[#ALL],row(),false)</f>
        <v>0</v>
      </c>
      <c r="AD10" s="350">
        <f>CS_PID!AD10/VLOOKUP($B10,표2[#ALL],2)/hlookup($A10,표4[#ALL],row(),false)</f>
        <v>0</v>
      </c>
      <c r="AE10" s="350">
        <f>CS_PID!AE10/VLOOKUP($B10,표2[#ALL],2)/hlookup($A10,표4[#ALL],row(),false)</f>
        <v>0</v>
      </c>
      <c r="AF10" s="350">
        <f>CS_PID!AF10/VLOOKUP($B10,표2[#ALL],2)/hlookup($A10,표4[#ALL],row(),false)</f>
        <v>0</v>
      </c>
      <c r="AG10" s="350">
        <f>CS_PID!AG10/VLOOKUP($B10,표2[#ALL],2)/hlookup($A10,표4[#ALL],row(),false)</f>
        <v>0.2045454545</v>
      </c>
      <c r="AH10" s="350">
        <f>CS_PID!AH10/VLOOKUP($B10,표2[#ALL],2)/hlookup($A10,표4[#ALL],row(),false)</f>
        <v>0</v>
      </c>
      <c r="AI10" s="350">
        <f>CS_PID!AI10/VLOOKUP($B10,표2[#ALL],2)/hlookup($A10,표4[#ALL],row(),false)</f>
        <v>0</v>
      </c>
      <c r="AJ10" s="350">
        <f>CS_PID!AJ10/VLOOKUP($B10,표2[#ALL],2)/hlookup($A10,표4[#ALL],row(),false)</f>
        <v>0</v>
      </c>
      <c r="AK10" s="350">
        <f>CS_PID!AK10/VLOOKUP($B10,표2[#ALL],2)/hlookup($A10,표4[#ALL],row(),false)</f>
        <v>0</v>
      </c>
      <c r="AL10" s="350">
        <f>CS_PID!AL10/VLOOKUP($B10,표2[#ALL],2)/hlookup($A10,표4[#ALL],row(),false)</f>
        <v>0</v>
      </c>
      <c r="AM10" s="350">
        <f>CS_PID!AM10/VLOOKUP($B10,표2[#ALL],2)/hlookup($A10,표4[#ALL],row(),false)</f>
        <v>0</v>
      </c>
      <c r="AN10" s="350">
        <f>CS_PID!AN10/VLOOKUP($B10,표2[#ALL],2)/hlookup($A10,표4[#ALL],row(),false)</f>
        <v>0</v>
      </c>
      <c r="AO10" s="350">
        <f>CS_PID!AO10/VLOOKUP($B10,표2[#ALL],2)/hlookup($A10,표4[#ALL],row(),false)</f>
        <v>0</v>
      </c>
      <c r="AP10" s="350">
        <f>CS_PID!AP10/VLOOKUP($B10,표2[#ALL],2)/hlookup($A10,표4[#ALL],row(),false)</f>
        <v>0</v>
      </c>
      <c r="AQ10" s="350">
        <f>CS_PID!AQ10/VLOOKUP($B10,표2[#ALL],2)/hlookup($A10,표4[#ALL],row(),false)</f>
        <v>0</v>
      </c>
      <c r="AR10" s="350">
        <f>CS_PID!AR10/VLOOKUP($B10,표2[#ALL],2)/hlookup($A10,표4[#ALL],row(),false)</f>
        <v>0</v>
      </c>
      <c r="AS10" s="350">
        <f>CS_PID!AS10/VLOOKUP($B10,표2[#ALL],2)/hlookup($A10,표4[#ALL],row(),false)</f>
        <v>0</v>
      </c>
    </row>
    <row r="11">
      <c r="A11" s="141" t="s">
        <v>78</v>
      </c>
      <c r="B11" s="142">
        <v>264.0</v>
      </c>
      <c r="C11" s="350">
        <f>CS_PID!C11/VLOOKUP($B11,표2[#ALL],2)/hlookup($A11,표4[#ALL],row(),false)</f>
        <v>0.01204819277</v>
      </c>
      <c r="D11" s="350">
        <f>CS_PID!D11/VLOOKUP($B11,표2[#ALL],2)/hlookup($A11,표4[#ALL],row(),false)</f>
        <v>0.4698795181</v>
      </c>
      <c r="E11" s="350">
        <f>CS_PID!E11/VLOOKUP($B11,표2[#ALL],2)/hlookup($A11,표4[#ALL],row(),false)</f>
        <v>0.2048192771</v>
      </c>
      <c r="F11" s="350">
        <f>CS_PID!F11/VLOOKUP($B11,표2[#ALL],2)/hlookup($A11,표4[#ALL],row(),false)</f>
        <v>0</v>
      </c>
      <c r="G11" s="350">
        <f>CS_PID!G11/VLOOKUP($B11,표2[#ALL],2)/hlookup($A11,표4[#ALL],row(),false)</f>
        <v>0</v>
      </c>
      <c r="H11" s="350">
        <f>CS_PID!H11/VLOOKUP($B11,표2[#ALL],2)/hlookup($A11,표4[#ALL],row(),false)</f>
        <v>0.01204819277</v>
      </c>
      <c r="I11" s="350">
        <f>CS_PID!I11/VLOOKUP($B11,표2[#ALL],2)/hlookup($A11,표4[#ALL],row(),false)</f>
        <v>0.2289156627</v>
      </c>
      <c r="J11" s="350">
        <f>CS_PID!J11/VLOOKUP($B11,표2[#ALL],2)/hlookup($A11,표4[#ALL],row(),false)</f>
        <v>0.6626506024</v>
      </c>
      <c r="K11" s="350">
        <f>CS_PID!K11/VLOOKUP($B11,표2[#ALL],2)/hlookup($A11,표4[#ALL],row(),false)</f>
        <v>0.03614457831</v>
      </c>
      <c r="L11" s="350">
        <f>CS_PID!L11/VLOOKUP($B11,표2[#ALL],2)/hlookup($A11,표4[#ALL],row(),false)</f>
        <v>0</v>
      </c>
      <c r="M11" s="350">
        <f>CS_PID!M11/VLOOKUP($B11,표2[#ALL],2)/hlookup($A11,표4[#ALL],row(),false)</f>
        <v>0</v>
      </c>
      <c r="N11" s="350">
        <f>CS_PID!N11/VLOOKUP($B11,표2[#ALL],2)/hlookup($A11,표4[#ALL],row(),false)</f>
        <v>0.02409638554</v>
      </c>
      <c r="O11" s="350">
        <f>CS_PID!O11/VLOOKUP($B11,표2[#ALL],2)/hlookup($A11,표4[#ALL],row(),false)</f>
        <v>0.5542168675</v>
      </c>
      <c r="P11" s="350">
        <f>CS_PID!P11/VLOOKUP($B11,표2[#ALL],2)/hlookup($A11,표4[#ALL],row(),false)</f>
        <v>1</v>
      </c>
      <c r="Q11" s="350">
        <f>CS_PID!Q11/VLOOKUP($B11,표2[#ALL],2)/hlookup($A11,표4[#ALL],row(),false)</f>
        <v>0.1445783133</v>
      </c>
      <c r="R11" s="350">
        <f>CS_PID!R11/VLOOKUP($B11,표2[#ALL],2)/hlookup($A11,표4[#ALL],row(),false)</f>
        <v>0</v>
      </c>
      <c r="S11" s="350">
        <f>CS_PID!S11/VLOOKUP($B11,표2[#ALL],2)/hlookup($A11,표4[#ALL],row(),false)</f>
        <v>0</v>
      </c>
      <c r="T11" s="350">
        <f>CS_PID!T11/VLOOKUP($B11,표2[#ALL],2)/hlookup($A11,표4[#ALL],row(),false)</f>
        <v>0</v>
      </c>
      <c r="U11" s="350">
        <f>CS_PID!U11/VLOOKUP($B11,표2[#ALL],2)/hlookup($A11,표4[#ALL],row(),false)</f>
        <v>0.6265060241</v>
      </c>
      <c r="V11" s="350">
        <f>CS_PID!V11/VLOOKUP($B11,표2[#ALL],2)/hlookup($A11,표4[#ALL],row(),false)</f>
        <v>1.445783133</v>
      </c>
      <c r="W11" s="350">
        <f>CS_PID!W11/VLOOKUP($B11,표2[#ALL],2)/hlookup($A11,표4[#ALL],row(),false)</f>
        <v>0.03614457831</v>
      </c>
      <c r="X11" s="350">
        <f>CS_PID!X11/VLOOKUP($B11,표2[#ALL],2)/hlookup($A11,표4[#ALL],row(),false)</f>
        <v>0</v>
      </c>
      <c r="Y11" s="350">
        <f>CS_PID!Y11/VLOOKUP($B11,표2[#ALL],2)/hlookup($A11,표4[#ALL],row(),false)</f>
        <v>0</v>
      </c>
      <c r="Z11" s="350">
        <f>CS_PID!Z11/VLOOKUP($B11,표2[#ALL],2)/hlookup($A11,표4[#ALL],row(),false)</f>
        <v>0</v>
      </c>
      <c r="AA11" s="350">
        <f>CS_PID!AA11/VLOOKUP($B11,표2[#ALL],2)/hlookup($A11,표4[#ALL],row(),false)</f>
        <v>0.3493975904</v>
      </c>
      <c r="AB11" s="350">
        <f>CS_PID!AB11/VLOOKUP($B11,표2[#ALL],2)/hlookup($A11,표4[#ALL],row(),false)</f>
        <v>0.2289156627</v>
      </c>
      <c r="AC11" s="350">
        <f>CS_PID!AC11/VLOOKUP($B11,표2[#ALL],2)/hlookup($A11,표4[#ALL],row(),false)</f>
        <v>0.01204819277</v>
      </c>
      <c r="AD11" s="350">
        <f>CS_PID!AD11/VLOOKUP($B11,표2[#ALL],2)/hlookup($A11,표4[#ALL],row(),false)</f>
        <v>0</v>
      </c>
      <c r="AE11" s="350">
        <f>CS_PID!AE11/VLOOKUP($B11,표2[#ALL],2)/hlookup($A11,표4[#ALL],row(),false)</f>
        <v>0</v>
      </c>
      <c r="AF11" s="350">
        <f>CS_PID!AF11/VLOOKUP($B11,표2[#ALL],2)/hlookup($A11,표4[#ALL],row(),false)</f>
        <v>0</v>
      </c>
      <c r="AG11" s="350">
        <f>CS_PID!AG11/VLOOKUP($B11,표2[#ALL],2)/hlookup($A11,표4[#ALL],row(),false)</f>
        <v>0.01204819277</v>
      </c>
      <c r="AH11" s="350">
        <f>CS_PID!AH11/VLOOKUP($B11,표2[#ALL],2)/hlookup($A11,표4[#ALL],row(),false)</f>
        <v>0.01204819277</v>
      </c>
      <c r="AI11" s="350">
        <f>CS_PID!AI11/VLOOKUP($B11,표2[#ALL],2)/hlookup($A11,표4[#ALL],row(),false)</f>
        <v>0</v>
      </c>
      <c r="AJ11" s="350">
        <f>CS_PID!AJ11/VLOOKUP($B11,표2[#ALL],2)/hlookup($A11,표4[#ALL],row(),false)</f>
        <v>0</v>
      </c>
      <c r="AK11" s="350">
        <f>CS_PID!AK11/VLOOKUP($B11,표2[#ALL],2)/hlookup($A11,표4[#ALL],row(),false)</f>
        <v>0</v>
      </c>
      <c r="AL11" s="350">
        <f>CS_PID!AL11/VLOOKUP($B11,표2[#ALL],2)/hlookup($A11,표4[#ALL],row(),false)</f>
        <v>0</v>
      </c>
      <c r="AM11" s="350">
        <f>CS_PID!AM11/VLOOKUP($B11,표2[#ALL],2)/hlookup($A11,표4[#ALL],row(),false)</f>
        <v>0</v>
      </c>
      <c r="AN11" s="350">
        <f>CS_PID!AN11/VLOOKUP($B11,표2[#ALL],2)/hlookup($A11,표4[#ALL],row(),false)</f>
        <v>0</v>
      </c>
      <c r="AO11" s="350">
        <f>CS_PID!AO11/VLOOKUP($B11,표2[#ALL],2)/hlookup($A11,표4[#ALL],row(),false)</f>
        <v>0</v>
      </c>
      <c r="AP11" s="350">
        <f>CS_PID!AP11/VLOOKUP($B11,표2[#ALL],2)/hlookup($A11,표4[#ALL],row(),false)</f>
        <v>0</v>
      </c>
      <c r="AQ11" s="350">
        <f>CS_PID!AQ11/VLOOKUP($B11,표2[#ALL],2)/hlookup($A11,표4[#ALL],row(),false)</f>
        <v>0</v>
      </c>
      <c r="AR11" s="350">
        <f>CS_PID!AR11/VLOOKUP($B11,표2[#ALL],2)/hlookup($A11,표4[#ALL],row(),false)</f>
        <v>0</v>
      </c>
      <c r="AS11" s="350">
        <f>CS_PID!AS11/VLOOKUP($B11,표2[#ALL],2)/hlookup($A11,표4[#ALL],row(),false)</f>
        <v>0</v>
      </c>
    </row>
    <row r="12">
      <c r="A12" s="141" t="s">
        <v>78</v>
      </c>
      <c r="B12" s="142">
        <v>265.0</v>
      </c>
      <c r="C12" s="350">
        <f>CS_PID!C12/VLOOKUP($B12,표2[#ALL],2)/hlookup($A12,표4[#ALL],row(),false)</f>
        <v>0.05882352941</v>
      </c>
      <c r="D12" s="350">
        <f>CS_PID!D12/VLOOKUP($B12,표2[#ALL],2)/hlookup($A12,표4[#ALL],row(),false)</f>
        <v>0.7058823529</v>
      </c>
      <c r="E12" s="350">
        <f>CS_PID!E12/VLOOKUP($B12,표2[#ALL],2)/hlookup($A12,표4[#ALL],row(),false)</f>
        <v>0.05882352941</v>
      </c>
      <c r="F12" s="350">
        <f>CS_PID!F12/VLOOKUP($B12,표2[#ALL],2)/hlookup($A12,표4[#ALL],row(),false)</f>
        <v>0.05882352941</v>
      </c>
      <c r="G12" s="350">
        <f>CS_PID!G12/VLOOKUP($B12,표2[#ALL],2)/hlookup($A12,표4[#ALL],row(),false)</f>
        <v>0</v>
      </c>
      <c r="H12" s="350">
        <f>CS_PID!H12/VLOOKUP($B12,표2[#ALL],2)/hlookup($A12,표4[#ALL],row(),false)</f>
        <v>0.1176470588</v>
      </c>
      <c r="I12" s="350">
        <f>CS_PID!I12/VLOOKUP($B12,표2[#ALL],2)/hlookup($A12,표4[#ALL],row(),false)</f>
        <v>0.4705882353</v>
      </c>
      <c r="J12" s="350">
        <f>CS_PID!J12/VLOOKUP($B12,표2[#ALL],2)/hlookup($A12,표4[#ALL],row(),false)</f>
        <v>0.6470588235</v>
      </c>
      <c r="K12" s="350">
        <f>CS_PID!K12/VLOOKUP($B12,표2[#ALL],2)/hlookup($A12,표4[#ALL],row(),false)</f>
        <v>0.05882352941</v>
      </c>
      <c r="L12" s="350">
        <f>CS_PID!L12/VLOOKUP($B12,표2[#ALL],2)/hlookup($A12,표4[#ALL],row(),false)</f>
        <v>0</v>
      </c>
      <c r="M12" s="350">
        <f>CS_PID!M12/VLOOKUP($B12,표2[#ALL],2)/hlookup($A12,표4[#ALL],row(),false)</f>
        <v>0</v>
      </c>
      <c r="N12" s="350">
        <f>CS_PID!N12/VLOOKUP($B12,표2[#ALL],2)/hlookup($A12,표4[#ALL],row(),false)</f>
        <v>0</v>
      </c>
      <c r="O12" s="350">
        <f>CS_PID!O12/VLOOKUP($B12,표2[#ALL],2)/hlookup($A12,표4[#ALL],row(),false)</f>
        <v>0.9411764706</v>
      </c>
      <c r="P12" s="350">
        <f>CS_PID!P12/VLOOKUP($B12,표2[#ALL],2)/hlookup($A12,표4[#ALL],row(),false)</f>
        <v>1</v>
      </c>
      <c r="Q12" s="350">
        <f>CS_PID!Q12/VLOOKUP($B12,표2[#ALL],2)/hlookup($A12,표4[#ALL],row(),false)</f>
        <v>0.1764705882</v>
      </c>
      <c r="R12" s="350">
        <f>CS_PID!R12/VLOOKUP($B12,표2[#ALL],2)/hlookup($A12,표4[#ALL],row(),false)</f>
        <v>0</v>
      </c>
      <c r="S12" s="350">
        <f>CS_PID!S12/VLOOKUP($B12,표2[#ALL],2)/hlookup($A12,표4[#ALL],row(),false)</f>
        <v>0</v>
      </c>
      <c r="T12" s="350">
        <f>CS_PID!T12/VLOOKUP($B12,표2[#ALL],2)/hlookup($A12,표4[#ALL],row(),false)</f>
        <v>0.1176470588</v>
      </c>
      <c r="U12" s="350">
        <f>CS_PID!U12/VLOOKUP($B12,표2[#ALL],2)/hlookup($A12,표4[#ALL],row(),false)</f>
        <v>0.9411764706</v>
      </c>
      <c r="V12" s="350">
        <f>CS_PID!V12/VLOOKUP($B12,표2[#ALL],2)/hlookup($A12,표4[#ALL],row(),false)</f>
        <v>1.470588235</v>
      </c>
      <c r="W12" s="350">
        <f>CS_PID!W12/VLOOKUP($B12,표2[#ALL],2)/hlookup($A12,표4[#ALL],row(),false)</f>
        <v>0.1176470588</v>
      </c>
      <c r="X12" s="350">
        <f>CS_PID!X12/VLOOKUP($B12,표2[#ALL],2)/hlookup($A12,표4[#ALL],row(),false)</f>
        <v>0</v>
      </c>
      <c r="Y12" s="350">
        <f>CS_PID!Y12/VLOOKUP($B12,표2[#ALL],2)/hlookup($A12,표4[#ALL],row(),false)</f>
        <v>0</v>
      </c>
      <c r="Z12" s="350">
        <f>CS_PID!Z12/VLOOKUP($B12,표2[#ALL],2)/hlookup($A12,표4[#ALL],row(),false)</f>
        <v>0</v>
      </c>
      <c r="AA12" s="350">
        <f>CS_PID!AA12/VLOOKUP($B12,표2[#ALL],2)/hlookup($A12,표4[#ALL],row(),false)</f>
        <v>0.6470588235</v>
      </c>
      <c r="AB12" s="350">
        <f>CS_PID!AB12/VLOOKUP($B12,표2[#ALL],2)/hlookup($A12,표4[#ALL],row(),false)</f>
        <v>0.3529411765</v>
      </c>
      <c r="AC12" s="350">
        <f>CS_PID!AC12/VLOOKUP($B12,표2[#ALL],2)/hlookup($A12,표4[#ALL],row(),false)</f>
        <v>0</v>
      </c>
      <c r="AD12" s="350">
        <f>CS_PID!AD12/VLOOKUP($B12,표2[#ALL],2)/hlookup($A12,표4[#ALL],row(),false)</f>
        <v>0</v>
      </c>
      <c r="AE12" s="350">
        <f>CS_PID!AE12/VLOOKUP($B12,표2[#ALL],2)/hlookup($A12,표4[#ALL],row(),false)</f>
        <v>0</v>
      </c>
      <c r="AF12" s="350">
        <f>CS_PID!AF12/VLOOKUP($B12,표2[#ALL],2)/hlookup($A12,표4[#ALL],row(),false)</f>
        <v>0</v>
      </c>
      <c r="AG12" s="350">
        <f>CS_PID!AG12/VLOOKUP($B12,표2[#ALL],2)/hlookup($A12,표4[#ALL],row(),false)</f>
        <v>0.1176470588</v>
      </c>
      <c r="AH12" s="350">
        <f>CS_PID!AH12/VLOOKUP($B12,표2[#ALL],2)/hlookup($A12,표4[#ALL],row(),false)</f>
        <v>0</v>
      </c>
      <c r="AI12" s="350">
        <f>CS_PID!AI12/VLOOKUP($B12,표2[#ALL],2)/hlookup($A12,표4[#ALL],row(),false)</f>
        <v>0</v>
      </c>
      <c r="AJ12" s="350">
        <f>CS_PID!AJ12/VLOOKUP($B12,표2[#ALL],2)/hlookup($A12,표4[#ALL],row(),false)</f>
        <v>0</v>
      </c>
      <c r="AK12" s="350">
        <f>CS_PID!AK12/VLOOKUP($B12,표2[#ALL],2)/hlookup($A12,표4[#ALL],row(),false)</f>
        <v>0</v>
      </c>
      <c r="AL12" s="350">
        <f>CS_PID!AL12/VLOOKUP($B12,표2[#ALL],2)/hlookup($A12,표4[#ALL],row(),false)</f>
        <v>0</v>
      </c>
      <c r="AM12" s="350">
        <f>CS_PID!AM12/VLOOKUP($B12,표2[#ALL],2)/hlookup($A12,표4[#ALL],row(),false)</f>
        <v>0</v>
      </c>
      <c r="AN12" s="350">
        <f>CS_PID!AN12/VLOOKUP($B12,표2[#ALL],2)/hlookup($A12,표4[#ALL],row(),false)</f>
        <v>0</v>
      </c>
      <c r="AO12" s="350">
        <f>CS_PID!AO12/VLOOKUP($B12,표2[#ALL],2)/hlookup($A12,표4[#ALL],row(),false)</f>
        <v>0</v>
      </c>
      <c r="AP12" s="350">
        <f>CS_PID!AP12/VLOOKUP($B12,표2[#ALL],2)/hlookup($A12,표4[#ALL],row(),false)</f>
        <v>0</v>
      </c>
      <c r="AQ12" s="350">
        <f>CS_PID!AQ12/VLOOKUP($B12,표2[#ALL],2)/hlookup($A12,표4[#ALL],row(),false)</f>
        <v>0</v>
      </c>
      <c r="AR12" s="350">
        <f>CS_PID!AR12/VLOOKUP($B12,표2[#ALL],2)/hlookup($A12,표4[#ALL],row(),false)</f>
        <v>0</v>
      </c>
      <c r="AS12" s="350">
        <f>CS_PID!AS12/VLOOKUP($B12,표2[#ALL],2)/hlookup($A12,표4[#ALL],row(),false)</f>
        <v>0</v>
      </c>
    </row>
    <row r="13">
      <c r="A13" s="141" t="s">
        <v>78</v>
      </c>
      <c r="B13" s="142">
        <v>266.0</v>
      </c>
      <c r="C13" s="350">
        <f>CS_PID!C13/VLOOKUP($B13,표2[#ALL],2)/hlookup($A13,표4[#ALL],row(),false)</f>
        <v>0.04081632653</v>
      </c>
      <c r="D13" s="350">
        <f>CS_PID!D13/VLOOKUP($B13,표2[#ALL],2)/hlookup($A13,표4[#ALL],row(),false)</f>
        <v>0.4081632653</v>
      </c>
      <c r="E13" s="350">
        <f>CS_PID!E13/VLOOKUP($B13,표2[#ALL],2)/hlookup($A13,표4[#ALL],row(),false)</f>
        <v>0.0612244898</v>
      </c>
      <c r="F13" s="350">
        <f>CS_PID!F13/VLOOKUP($B13,표2[#ALL],2)/hlookup($A13,표4[#ALL],row(),false)</f>
        <v>0.02040816327</v>
      </c>
      <c r="G13" s="350">
        <f>CS_PID!G13/VLOOKUP($B13,표2[#ALL],2)/hlookup($A13,표4[#ALL],row(),false)</f>
        <v>0</v>
      </c>
      <c r="H13" s="350">
        <f>CS_PID!H13/VLOOKUP($B13,표2[#ALL],2)/hlookup($A13,표4[#ALL],row(),false)</f>
        <v>0.0612244898</v>
      </c>
      <c r="I13" s="350">
        <f>CS_PID!I13/VLOOKUP($B13,표2[#ALL],2)/hlookup($A13,표4[#ALL],row(),false)</f>
        <v>0.3265306122</v>
      </c>
      <c r="J13" s="350">
        <f>CS_PID!J13/VLOOKUP($B13,표2[#ALL],2)/hlookup($A13,표4[#ALL],row(),false)</f>
        <v>0.693877551</v>
      </c>
      <c r="K13" s="350">
        <f>CS_PID!K13/VLOOKUP($B13,표2[#ALL],2)/hlookup($A13,표4[#ALL],row(),false)</f>
        <v>0.1020408163</v>
      </c>
      <c r="L13" s="350">
        <f>CS_PID!L13/VLOOKUP($B13,표2[#ALL],2)/hlookup($A13,표4[#ALL],row(),false)</f>
        <v>0</v>
      </c>
      <c r="M13" s="350">
        <f>CS_PID!M13/VLOOKUP($B13,표2[#ALL],2)/hlookup($A13,표4[#ALL],row(),false)</f>
        <v>0</v>
      </c>
      <c r="N13" s="350">
        <f>CS_PID!N13/VLOOKUP($B13,표2[#ALL],2)/hlookup($A13,표4[#ALL],row(),false)</f>
        <v>0.02040816327</v>
      </c>
      <c r="O13" s="350">
        <f>CS_PID!O13/VLOOKUP($B13,표2[#ALL],2)/hlookup($A13,표4[#ALL],row(),false)</f>
        <v>0.7346938776</v>
      </c>
      <c r="P13" s="350">
        <f>CS_PID!P13/VLOOKUP($B13,표2[#ALL],2)/hlookup($A13,표4[#ALL],row(),false)</f>
        <v>1</v>
      </c>
      <c r="Q13" s="350">
        <f>CS_PID!Q13/VLOOKUP($B13,표2[#ALL],2)/hlookup($A13,표4[#ALL],row(),false)</f>
        <v>0.1020408163</v>
      </c>
      <c r="R13" s="350">
        <f>CS_PID!R13/VLOOKUP($B13,표2[#ALL],2)/hlookup($A13,표4[#ALL],row(),false)</f>
        <v>0.02040816327</v>
      </c>
      <c r="S13" s="350">
        <f>CS_PID!S13/VLOOKUP($B13,표2[#ALL],2)/hlookup($A13,표4[#ALL],row(),false)</f>
        <v>0</v>
      </c>
      <c r="T13" s="350">
        <f>CS_PID!T13/VLOOKUP($B13,표2[#ALL],2)/hlookup($A13,표4[#ALL],row(),false)</f>
        <v>0.02040816327</v>
      </c>
      <c r="U13" s="350">
        <f>CS_PID!U13/VLOOKUP($B13,표2[#ALL],2)/hlookup($A13,표4[#ALL],row(),false)</f>
        <v>0.6326530612</v>
      </c>
      <c r="V13" s="350">
        <f>CS_PID!V13/VLOOKUP($B13,표2[#ALL],2)/hlookup($A13,표4[#ALL],row(),false)</f>
        <v>1.12244898</v>
      </c>
      <c r="W13" s="350">
        <f>CS_PID!W13/VLOOKUP($B13,표2[#ALL],2)/hlookup($A13,표4[#ALL],row(),false)</f>
        <v>0.0612244898</v>
      </c>
      <c r="X13" s="350">
        <f>CS_PID!X13/VLOOKUP($B13,표2[#ALL],2)/hlookup($A13,표4[#ALL],row(),false)</f>
        <v>0</v>
      </c>
      <c r="Y13" s="350">
        <f>CS_PID!Y13/VLOOKUP($B13,표2[#ALL],2)/hlookup($A13,표4[#ALL],row(),false)</f>
        <v>0</v>
      </c>
      <c r="Z13" s="350">
        <f>CS_PID!Z13/VLOOKUP($B13,표2[#ALL],2)/hlookup($A13,표4[#ALL],row(),false)</f>
        <v>0.02040816327</v>
      </c>
      <c r="AA13" s="350">
        <f>CS_PID!AA13/VLOOKUP($B13,표2[#ALL],2)/hlookup($A13,표4[#ALL],row(),false)</f>
        <v>0.4489795918</v>
      </c>
      <c r="AB13" s="350">
        <f>CS_PID!AB13/VLOOKUP($B13,표2[#ALL],2)/hlookup($A13,표4[#ALL],row(),false)</f>
        <v>0.1836734694</v>
      </c>
      <c r="AC13" s="350">
        <f>CS_PID!AC13/VLOOKUP($B13,표2[#ALL],2)/hlookup($A13,표4[#ALL],row(),false)</f>
        <v>0.02040816327</v>
      </c>
      <c r="AD13" s="350">
        <f>CS_PID!AD13/VLOOKUP($B13,표2[#ALL],2)/hlookup($A13,표4[#ALL],row(),false)</f>
        <v>0</v>
      </c>
      <c r="AE13" s="350">
        <f>CS_PID!AE13/VLOOKUP($B13,표2[#ALL],2)/hlookup($A13,표4[#ALL],row(),false)</f>
        <v>0</v>
      </c>
      <c r="AF13" s="350">
        <f>CS_PID!AF13/VLOOKUP($B13,표2[#ALL],2)/hlookup($A13,표4[#ALL],row(),false)</f>
        <v>0</v>
      </c>
      <c r="AG13" s="350">
        <f>CS_PID!AG13/VLOOKUP($B13,표2[#ALL],2)/hlookup($A13,표4[#ALL],row(),false)</f>
        <v>0.1224489796</v>
      </c>
      <c r="AH13" s="350">
        <f>CS_PID!AH13/VLOOKUP($B13,표2[#ALL],2)/hlookup($A13,표4[#ALL],row(),false)</f>
        <v>0.02040816327</v>
      </c>
      <c r="AI13" s="350">
        <f>CS_PID!AI13/VLOOKUP($B13,표2[#ALL],2)/hlookup($A13,표4[#ALL],row(),false)</f>
        <v>0</v>
      </c>
      <c r="AJ13" s="350">
        <f>CS_PID!AJ13/VLOOKUP($B13,표2[#ALL],2)/hlookup($A13,표4[#ALL],row(),false)</f>
        <v>0</v>
      </c>
      <c r="AK13" s="350">
        <f>CS_PID!AK13/VLOOKUP($B13,표2[#ALL],2)/hlookup($A13,표4[#ALL],row(),false)</f>
        <v>0</v>
      </c>
      <c r="AL13" s="350">
        <f>CS_PID!AL13/VLOOKUP($B13,표2[#ALL],2)/hlookup($A13,표4[#ALL],row(),false)</f>
        <v>0.02040816327</v>
      </c>
      <c r="AM13" s="350">
        <f>CS_PID!AM13/VLOOKUP($B13,표2[#ALL],2)/hlookup($A13,표4[#ALL],row(),false)</f>
        <v>0</v>
      </c>
      <c r="AN13" s="350">
        <f>CS_PID!AN13/VLOOKUP($B13,표2[#ALL],2)/hlookup($A13,표4[#ALL],row(),false)</f>
        <v>0</v>
      </c>
      <c r="AO13" s="350">
        <f>CS_PID!AO13/VLOOKUP($B13,표2[#ALL],2)/hlookup($A13,표4[#ALL],row(),false)</f>
        <v>0</v>
      </c>
      <c r="AP13" s="350">
        <f>CS_PID!AP13/VLOOKUP($B13,표2[#ALL],2)/hlookup($A13,표4[#ALL],row(),false)</f>
        <v>0</v>
      </c>
      <c r="AQ13" s="350">
        <f>CS_PID!AQ13/VLOOKUP($B13,표2[#ALL],2)/hlookup($A13,표4[#ALL],row(),false)</f>
        <v>0</v>
      </c>
      <c r="AR13" s="350">
        <f>CS_PID!AR13/VLOOKUP($B13,표2[#ALL],2)/hlookup($A13,표4[#ALL],row(),false)</f>
        <v>0</v>
      </c>
      <c r="AS13" s="350">
        <f>CS_PID!AS13/VLOOKUP($B13,표2[#ALL],2)/hlookup($A13,표4[#ALL],row(),false)</f>
        <v>0</v>
      </c>
    </row>
    <row r="14">
      <c r="A14" s="141" t="s">
        <v>78</v>
      </c>
      <c r="B14" s="142">
        <v>267.0</v>
      </c>
      <c r="C14" s="350">
        <f>CS_PID!C14/VLOOKUP($B14,표2[#ALL],2)/hlookup($A14,표4[#ALL],row(),false)</f>
        <v>0</v>
      </c>
      <c r="D14" s="350">
        <f>CS_PID!D14/VLOOKUP($B14,표2[#ALL],2)/hlookup($A14,표4[#ALL],row(),false)</f>
        <v>0.3289473684</v>
      </c>
      <c r="E14" s="350">
        <f>CS_PID!E14/VLOOKUP($B14,표2[#ALL],2)/hlookup($A14,표4[#ALL],row(),false)</f>
        <v>0.1842105263</v>
      </c>
      <c r="F14" s="350">
        <f>CS_PID!F14/VLOOKUP($B14,표2[#ALL],2)/hlookup($A14,표4[#ALL],row(),false)</f>
        <v>0</v>
      </c>
      <c r="G14" s="350">
        <f>CS_PID!G14/VLOOKUP($B14,표2[#ALL],2)/hlookup($A14,표4[#ALL],row(),false)</f>
        <v>0</v>
      </c>
      <c r="H14" s="350">
        <f>CS_PID!H14/VLOOKUP($B14,표2[#ALL],2)/hlookup($A14,표4[#ALL],row(),false)</f>
        <v>0.03947368421</v>
      </c>
      <c r="I14" s="350">
        <f>CS_PID!I14/VLOOKUP($B14,표2[#ALL],2)/hlookup($A14,표4[#ALL],row(),false)</f>
        <v>0.2236842105</v>
      </c>
      <c r="J14" s="350">
        <f>CS_PID!J14/VLOOKUP($B14,표2[#ALL],2)/hlookup($A14,표4[#ALL],row(),false)</f>
        <v>0.5921052632</v>
      </c>
      <c r="K14" s="350">
        <f>CS_PID!K14/VLOOKUP($B14,표2[#ALL],2)/hlookup($A14,표4[#ALL],row(),false)</f>
        <v>0.03947368421</v>
      </c>
      <c r="L14" s="350">
        <f>CS_PID!L14/VLOOKUP($B14,표2[#ALL],2)/hlookup($A14,표4[#ALL],row(),false)</f>
        <v>0</v>
      </c>
      <c r="M14" s="350">
        <f>CS_PID!M14/VLOOKUP($B14,표2[#ALL],2)/hlookup($A14,표4[#ALL],row(),false)</f>
        <v>0</v>
      </c>
      <c r="N14" s="350">
        <f>CS_PID!N14/VLOOKUP($B14,표2[#ALL],2)/hlookup($A14,표4[#ALL],row(),false)</f>
        <v>0</v>
      </c>
      <c r="O14" s="350">
        <f>CS_PID!O14/VLOOKUP($B14,표2[#ALL],2)/hlookup($A14,표4[#ALL],row(),false)</f>
        <v>0.6052631579</v>
      </c>
      <c r="P14" s="350">
        <f>CS_PID!P14/VLOOKUP($B14,표2[#ALL],2)/hlookup($A14,표4[#ALL],row(),false)</f>
        <v>1</v>
      </c>
      <c r="Q14" s="350">
        <f>CS_PID!Q14/VLOOKUP($B14,표2[#ALL],2)/hlookup($A14,표4[#ALL],row(),false)</f>
        <v>0.1710526316</v>
      </c>
      <c r="R14" s="350">
        <f>CS_PID!R14/VLOOKUP($B14,표2[#ALL],2)/hlookup($A14,표4[#ALL],row(),false)</f>
        <v>0</v>
      </c>
      <c r="S14" s="350">
        <f>CS_PID!S14/VLOOKUP($B14,표2[#ALL],2)/hlookup($A14,표4[#ALL],row(),false)</f>
        <v>0</v>
      </c>
      <c r="T14" s="350">
        <f>CS_PID!T14/VLOOKUP($B14,표2[#ALL],2)/hlookup($A14,표4[#ALL],row(),false)</f>
        <v>0.01315789474</v>
      </c>
      <c r="U14" s="350">
        <f>CS_PID!U14/VLOOKUP($B14,표2[#ALL],2)/hlookup($A14,표4[#ALL],row(),false)</f>
        <v>0.6973684211</v>
      </c>
      <c r="V14" s="350">
        <f>CS_PID!V14/VLOOKUP($B14,표2[#ALL],2)/hlookup($A14,표4[#ALL],row(),false)</f>
        <v>1</v>
      </c>
      <c r="W14" s="350">
        <f>CS_PID!W14/VLOOKUP($B14,표2[#ALL],2)/hlookup($A14,표4[#ALL],row(),false)</f>
        <v>0.05263157895</v>
      </c>
      <c r="X14" s="350">
        <f>CS_PID!X14/VLOOKUP($B14,표2[#ALL],2)/hlookup($A14,표4[#ALL],row(),false)</f>
        <v>0</v>
      </c>
      <c r="Y14" s="350">
        <f>CS_PID!Y14/VLOOKUP($B14,표2[#ALL],2)/hlookup($A14,표4[#ALL],row(),false)</f>
        <v>0</v>
      </c>
      <c r="Z14" s="350">
        <f>CS_PID!Z14/VLOOKUP($B14,표2[#ALL],2)/hlookup($A14,표4[#ALL],row(),false)</f>
        <v>0.01315789474</v>
      </c>
      <c r="AA14" s="350">
        <f>CS_PID!AA14/VLOOKUP($B14,표2[#ALL],2)/hlookup($A14,표4[#ALL],row(),false)</f>
        <v>0.3815789474</v>
      </c>
      <c r="AB14" s="350">
        <f>CS_PID!AB14/VLOOKUP($B14,표2[#ALL],2)/hlookup($A14,표4[#ALL],row(),false)</f>
        <v>0.25</v>
      </c>
      <c r="AC14" s="350">
        <f>CS_PID!AC14/VLOOKUP($B14,표2[#ALL],2)/hlookup($A14,표4[#ALL],row(),false)</f>
        <v>0</v>
      </c>
      <c r="AD14" s="350">
        <f>CS_PID!AD14/VLOOKUP($B14,표2[#ALL],2)/hlookup($A14,표4[#ALL],row(),false)</f>
        <v>0</v>
      </c>
      <c r="AE14" s="350">
        <f>CS_PID!AE14/VLOOKUP($B14,표2[#ALL],2)/hlookup($A14,표4[#ALL],row(),false)</f>
        <v>0</v>
      </c>
      <c r="AF14" s="350">
        <f>CS_PID!AF14/VLOOKUP($B14,표2[#ALL],2)/hlookup($A14,표4[#ALL],row(),false)</f>
        <v>0.01315789474</v>
      </c>
      <c r="AG14" s="350">
        <f>CS_PID!AG14/VLOOKUP($B14,표2[#ALL],2)/hlookup($A14,표4[#ALL],row(),false)</f>
        <v>0.05263157895</v>
      </c>
      <c r="AH14" s="350">
        <f>CS_PID!AH14/VLOOKUP($B14,표2[#ALL],2)/hlookup($A14,표4[#ALL],row(),false)</f>
        <v>0.03947368421</v>
      </c>
      <c r="AI14" s="350">
        <f>CS_PID!AI14/VLOOKUP($B14,표2[#ALL],2)/hlookup($A14,표4[#ALL],row(),false)</f>
        <v>0</v>
      </c>
      <c r="AJ14" s="350">
        <f>CS_PID!AJ14/VLOOKUP($B14,표2[#ALL],2)/hlookup($A14,표4[#ALL],row(),false)</f>
        <v>0</v>
      </c>
      <c r="AK14" s="350">
        <f>CS_PID!AK14/VLOOKUP($B14,표2[#ALL],2)/hlookup($A14,표4[#ALL],row(),false)</f>
        <v>0</v>
      </c>
      <c r="AL14" s="350">
        <f>CS_PID!AL14/VLOOKUP($B14,표2[#ALL],2)/hlookup($A14,표4[#ALL],row(),false)</f>
        <v>0</v>
      </c>
      <c r="AM14" s="350">
        <f>CS_PID!AM14/VLOOKUP($B14,표2[#ALL],2)/hlookup($A14,표4[#ALL],row(),false)</f>
        <v>0</v>
      </c>
      <c r="AN14" s="350">
        <f>CS_PID!AN14/VLOOKUP($B14,표2[#ALL],2)/hlookup($A14,표4[#ALL],row(),false)</f>
        <v>0</v>
      </c>
      <c r="AO14" s="350">
        <f>CS_PID!AO14/VLOOKUP($B14,표2[#ALL],2)/hlookup($A14,표4[#ALL],row(),false)</f>
        <v>0</v>
      </c>
      <c r="AP14" s="350">
        <f>CS_PID!AP14/VLOOKUP($B14,표2[#ALL],2)/hlookup($A14,표4[#ALL],row(),false)</f>
        <v>0</v>
      </c>
      <c r="AQ14" s="350">
        <f>CS_PID!AQ14/VLOOKUP($B14,표2[#ALL],2)/hlookup($A14,표4[#ALL],row(),false)</f>
        <v>0</v>
      </c>
      <c r="AR14" s="350">
        <f>CS_PID!AR14/VLOOKUP($B14,표2[#ALL],2)/hlookup($A14,표4[#ALL],row(),false)</f>
        <v>0</v>
      </c>
      <c r="AS14" s="350">
        <f>CS_PID!AS14/VLOOKUP($B14,표2[#ALL],2)/hlookup($A14,표4[#ALL],row(),false)</f>
        <v>0</v>
      </c>
    </row>
    <row r="15">
      <c r="A15" s="141" t="s">
        <v>78</v>
      </c>
      <c r="B15" s="142">
        <v>271.0</v>
      </c>
      <c r="C15" s="350">
        <f>CS_PID!C15/VLOOKUP($B15,표2[#ALL],2)/hlookup($A15,표4[#ALL],row(),false)</f>
        <v>0</v>
      </c>
      <c r="D15" s="350">
        <f>CS_PID!D15/VLOOKUP($B15,표2[#ALL],2)/hlookup($A15,표4[#ALL],row(),false)</f>
        <v>0.36</v>
      </c>
      <c r="E15" s="350">
        <f>CS_PID!E15/VLOOKUP($B15,표2[#ALL],2)/hlookup($A15,표4[#ALL],row(),false)</f>
        <v>0.24</v>
      </c>
      <c r="F15" s="350">
        <f>CS_PID!F15/VLOOKUP($B15,표2[#ALL],2)/hlookup($A15,표4[#ALL],row(),false)</f>
        <v>0.04</v>
      </c>
      <c r="G15" s="350">
        <f>CS_PID!G15/VLOOKUP($B15,표2[#ALL],2)/hlookup($A15,표4[#ALL],row(),false)</f>
        <v>0</v>
      </c>
      <c r="H15" s="350">
        <f>CS_PID!H15/VLOOKUP($B15,표2[#ALL],2)/hlookup($A15,표4[#ALL],row(),false)</f>
        <v>0.04</v>
      </c>
      <c r="I15" s="350">
        <f>CS_PID!I15/VLOOKUP($B15,표2[#ALL],2)/hlookup($A15,표4[#ALL],row(),false)</f>
        <v>0.4</v>
      </c>
      <c r="J15" s="350">
        <f>CS_PID!J15/VLOOKUP($B15,표2[#ALL],2)/hlookup($A15,표4[#ALL],row(),false)</f>
        <v>1</v>
      </c>
      <c r="K15" s="350">
        <f>CS_PID!K15/VLOOKUP($B15,표2[#ALL],2)/hlookup($A15,표4[#ALL],row(),false)</f>
        <v>0</v>
      </c>
      <c r="L15" s="350">
        <f>CS_PID!L15/VLOOKUP($B15,표2[#ALL],2)/hlookup($A15,표4[#ALL],row(),false)</f>
        <v>0</v>
      </c>
      <c r="M15" s="350">
        <f>CS_PID!M15/VLOOKUP($B15,표2[#ALL],2)/hlookup($A15,표4[#ALL],row(),false)</f>
        <v>0</v>
      </c>
      <c r="N15" s="350">
        <f>CS_PID!N15/VLOOKUP($B15,표2[#ALL],2)/hlookup($A15,표4[#ALL],row(),false)</f>
        <v>0</v>
      </c>
      <c r="O15" s="350">
        <f>CS_PID!O15/VLOOKUP($B15,표2[#ALL],2)/hlookup($A15,표4[#ALL],row(),false)</f>
        <v>0.88</v>
      </c>
      <c r="P15" s="350">
        <f>CS_PID!P15/VLOOKUP($B15,표2[#ALL],2)/hlookup($A15,표4[#ALL],row(),false)</f>
        <v>1</v>
      </c>
      <c r="Q15" s="350">
        <f>CS_PID!Q15/VLOOKUP($B15,표2[#ALL],2)/hlookup($A15,표4[#ALL],row(),false)</f>
        <v>0.24</v>
      </c>
      <c r="R15" s="350">
        <f>CS_PID!R15/VLOOKUP($B15,표2[#ALL],2)/hlookup($A15,표4[#ALL],row(),false)</f>
        <v>0</v>
      </c>
      <c r="S15" s="350">
        <f>CS_PID!S15/VLOOKUP($B15,표2[#ALL],2)/hlookup($A15,표4[#ALL],row(),false)</f>
        <v>0</v>
      </c>
      <c r="T15" s="350">
        <f>CS_PID!T15/VLOOKUP($B15,표2[#ALL],2)/hlookup($A15,표4[#ALL],row(),false)</f>
        <v>0</v>
      </c>
      <c r="U15" s="350">
        <f>CS_PID!U15/VLOOKUP($B15,표2[#ALL],2)/hlookup($A15,표4[#ALL],row(),false)</f>
        <v>0.72</v>
      </c>
      <c r="V15" s="350">
        <f>CS_PID!V15/VLOOKUP($B15,표2[#ALL],2)/hlookup($A15,표4[#ALL],row(),false)</f>
        <v>1.16</v>
      </c>
      <c r="W15" s="350">
        <f>CS_PID!W15/VLOOKUP($B15,표2[#ALL],2)/hlookup($A15,표4[#ALL],row(),false)</f>
        <v>0.04</v>
      </c>
      <c r="X15" s="350">
        <f>CS_PID!X15/VLOOKUP($B15,표2[#ALL],2)/hlookup($A15,표4[#ALL],row(),false)</f>
        <v>0</v>
      </c>
      <c r="Y15" s="350">
        <f>CS_PID!Y15/VLOOKUP($B15,표2[#ALL],2)/hlookup($A15,표4[#ALL],row(),false)</f>
        <v>0</v>
      </c>
      <c r="Z15" s="350">
        <f>CS_PID!Z15/VLOOKUP($B15,표2[#ALL],2)/hlookup($A15,표4[#ALL],row(),false)</f>
        <v>0</v>
      </c>
      <c r="AA15" s="350">
        <f>CS_PID!AA15/VLOOKUP($B15,표2[#ALL],2)/hlookup($A15,표4[#ALL],row(),false)</f>
        <v>0.48</v>
      </c>
      <c r="AB15" s="350">
        <f>CS_PID!AB15/VLOOKUP($B15,표2[#ALL],2)/hlookup($A15,표4[#ALL],row(),false)</f>
        <v>0.16</v>
      </c>
      <c r="AC15" s="350">
        <f>CS_PID!AC15/VLOOKUP($B15,표2[#ALL],2)/hlookup($A15,표4[#ALL],row(),false)</f>
        <v>0</v>
      </c>
      <c r="AD15" s="350">
        <f>CS_PID!AD15/VLOOKUP($B15,표2[#ALL],2)/hlookup($A15,표4[#ALL],row(),false)</f>
        <v>0</v>
      </c>
      <c r="AE15" s="350">
        <f>CS_PID!AE15/VLOOKUP($B15,표2[#ALL],2)/hlookup($A15,표4[#ALL],row(),false)</f>
        <v>0</v>
      </c>
      <c r="AF15" s="350">
        <f>CS_PID!AF15/VLOOKUP($B15,표2[#ALL],2)/hlookup($A15,표4[#ALL],row(),false)</f>
        <v>0</v>
      </c>
      <c r="AG15" s="350">
        <f>CS_PID!AG15/VLOOKUP($B15,표2[#ALL],2)/hlookup($A15,표4[#ALL],row(),false)</f>
        <v>0.08</v>
      </c>
      <c r="AH15" s="350">
        <f>CS_PID!AH15/VLOOKUP($B15,표2[#ALL],2)/hlookup($A15,표4[#ALL],row(),false)</f>
        <v>0</v>
      </c>
      <c r="AI15" s="350">
        <f>CS_PID!AI15/VLOOKUP($B15,표2[#ALL],2)/hlookup($A15,표4[#ALL],row(),false)</f>
        <v>0</v>
      </c>
      <c r="AJ15" s="350">
        <f>CS_PID!AJ15/VLOOKUP($B15,표2[#ALL],2)/hlookup($A15,표4[#ALL],row(),false)</f>
        <v>0</v>
      </c>
      <c r="AK15" s="350">
        <f>CS_PID!AK15/VLOOKUP($B15,표2[#ALL],2)/hlookup($A15,표4[#ALL],row(),false)</f>
        <v>0</v>
      </c>
      <c r="AL15" s="350">
        <f>CS_PID!AL15/VLOOKUP($B15,표2[#ALL],2)/hlookup($A15,표4[#ALL],row(),false)</f>
        <v>0</v>
      </c>
      <c r="AM15" s="350">
        <f>CS_PID!AM15/VLOOKUP($B15,표2[#ALL],2)/hlookup($A15,표4[#ALL],row(),false)</f>
        <v>0</v>
      </c>
      <c r="AN15" s="350">
        <f>CS_PID!AN15/VLOOKUP($B15,표2[#ALL],2)/hlookup($A15,표4[#ALL],row(),false)</f>
        <v>0</v>
      </c>
      <c r="AO15" s="350">
        <f>CS_PID!AO15/VLOOKUP($B15,표2[#ALL],2)/hlookup($A15,표4[#ALL],row(),false)</f>
        <v>0</v>
      </c>
      <c r="AP15" s="350">
        <f>CS_PID!AP15/VLOOKUP($B15,표2[#ALL],2)/hlookup($A15,표4[#ALL],row(),false)</f>
        <v>0</v>
      </c>
      <c r="AQ15" s="350">
        <f>CS_PID!AQ15/VLOOKUP($B15,표2[#ALL],2)/hlookup($A15,표4[#ALL],row(),false)</f>
        <v>0</v>
      </c>
      <c r="AR15" s="350">
        <f>CS_PID!AR15/VLOOKUP($B15,표2[#ALL],2)/hlookup($A15,표4[#ALL],row(),false)</f>
        <v>0</v>
      </c>
      <c r="AS15" s="350">
        <f>CS_PID!AS15/VLOOKUP($B15,표2[#ALL],2)/hlookup($A15,표4[#ALL],row(),false)</f>
        <v>0</v>
      </c>
    </row>
    <row r="16">
      <c r="A16" s="141" t="s">
        <v>78</v>
      </c>
      <c r="B16" s="142">
        <v>272.0</v>
      </c>
      <c r="C16" s="350">
        <f>CS_PID!C16/VLOOKUP($B16,표2[#ALL],2)/hlookup($A16,표4[#ALL],row(),false)</f>
        <v>0</v>
      </c>
      <c r="D16" s="350">
        <f>CS_PID!D16/VLOOKUP($B16,표2[#ALL],2)/hlookup($A16,표4[#ALL],row(),false)</f>
        <v>0.3333333333</v>
      </c>
      <c r="E16" s="350">
        <f>CS_PID!E16/VLOOKUP($B16,표2[#ALL],2)/hlookup($A16,표4[#ALL],row(),false)</f>
        <v>0</v>
      </c>
      <c r="F16" s="350">
        <f>CS_PID!F16/VLOOKUP($B16,표2[#ALL],2)/hlookup($A16,표4[#ALL],row(),false)</f>
        <v>0.06666666667</v>
      </c>
      <c r="G16" s="350">
        <f>CS_PID!G16/VLOOKUP($B16,표2[#ALL],2)/hlookup($A16,표4[#ALL],row(),false)</f>
        <v>0</v>
      </c>
      <c r="H16" s="350">
        <f>CS_PID!H16/VLOOKUP($B16,표2[#ALL],2)/hlookup($A16,표4[#ALL],row(),false)</f>
        <v>0.06666666667</v>
      </c>
      <c r="I16" s="350">
        <f>CS_PID!I16/VLOOKUP($B16,표2[#ALL],2)/hlookup($A16,표4[#ALL],row(),false)</f>
        <v>0.5333333333</v>
      </c>
      <c r="J16" s="350">
        <f>CS_PID!J16/VLOOKUP($B16,표2[#ALL],2)/hlookup($A16,표4[#ALL],row(),false)</f>
        <v>0.6666666667</v>
      </c>
      <c r="K16" s="350">
        <f>CS_PID!K16/VLOOKUP($B16,표2[#ALL],2)/hlookup($A16,표4[#ALL],row(),false)</f>
        <v>0.2</v>
      </c>
      <c r="L16" s="350">
        <f>CS_PID!L16/VLOOKUP($B16,표2[#ALL],2)/hlookup($A16,표4[#ALL],row(),false)</f>
        <v>0</v>
      </c>
      <c r="M16" s="350">
        <f>CS_PID!M16/VLOOKUP($B16,표2[#ALL],2)/hlookup($A16,표4[#ALL],row(),false)</f>
        <v>0</v>
      </c>
      <c r="N16" s="350">
        <f>CS_PID!N16/VLOOKUP($B16,표2[#ALL],2)/hlookup($A16,표4[#ALL],row(),false)</f>
        <v>0</v>
      </c>
      <c r="O16" s="350">
        <f>CS_PID!O16/VLOOKUP($B16,표2[#ALL],2)/hlookup($A16,표4[#ALL],row(),false)</f>
        <v>0.4666666667</v>
      </c>
      <c r="P16" s="350">
        <f>CS_PID!P16/VLOOKUP($B16,표2[#ALL],2)/hlookup($A16,표4[#ALL],row(),false)</f>
        <v>1</v>
      </c>
      <c r="Q16" s="350">
        <f>CS_PID!Q16/VLOOKUP($B16,표2[#ALL],2)/hlookup($A16,표4[#ALL],row(),false)</f>
        <v>0.2666666667</v>
      </c>
      <c r="R16" s="350">
        <f>CS_PID!R16/VLOOKUP($B16,표2[#ALL],2)/hlookup($A16,표4[#ALL],row(),false)</f>
        <v>0</v>
      </c>
      <c r="S16" s="350">
        <f>CS_PID!S16/VLOOKUP($B16,표2[#ALL],2)/hlookup($A16,표4[#ALL],row(),false)</f>
        <v>0</v>
      </c>
      <c r="T16" s="350">
        <f>CS_PID!T16/VLOOKUP($B16,표2[#ALL],2)/hlookup($A16,표4[#ALL],row(),false)</f>
        <v>0.06666666667</v>
      </c>
      <c r="U16" s="350">
        <f>CS_PID!U16/VLOOKUP($B16,표2[#ALL],2)/hlookup($A16,표4[#ALL],row(),false)</f>
        <v>1</v>
      </c>
      <c r="V16" s="350">
        <f>CS_PID!V16/VLOOKUP($B16,표2[#ALL],2)/hlookup($A16,표4[#ALL],row(),false)</f>
        <v>1.2</v>
      </c>
      <c r="W16" s="350">
        <f>CS_PID!W16/VLOOKUP($B16,표2[#ALL],2)/hlookup($A16,표4[#ALL],row(),false)</f>
        <v>0</v>
      </c>
      <c r="X16" s="350">
        <f>CS_PID!X16/VLOOKUP($B16,표2[#ALL],2)/hlookup($A16,표4[#ALL],row(),false)</f>
        <v>0</v>
      </c>
      <c r="Y16" s="350">
        <f>CS_PID!Y16/VLOOKUP($B16,표2[#ALL],2)/hlookup($A16,표4[#ALL],row(),false)</f>
        <v>0</v>
      </c>
      <c r="Z16" s="350">
        <f>CS_PID!Z16/VLOOKUP($B16,표2[#ALL],2)/hlookup($A16,표4[#ALL],row(),false)</f>
        <v>0</v>
      </c>
      <c r="AA16" s="350">
        <f>CS_PID!AA16/VLOOKUP($B16,표2[#ALL],2)/hlookup($A16,표4[#ALL],row(),false)</f>
        <v>0.6</v>
      </c>
      <c r="AB16" s="350">
        <f>CS_PID!AB16/VLOOKUP($B16,표2[#ALL],2)/hlookup($A16,표4[#ALL],row(),false)</f>
        <v>0.4666666667</v>
      </c>
      <c r="AC16" s="350">
        <f>CS_PID!AC16/VLOOKUP($B16,표2[#ALL],2)/hlookup($A16,표4[#ALL],row(),false)</f>
        <v>0</v>
      </c>
      <c r="AD16" s="350">
        <f>CS_PID!AD16/VLOOKUP($B16,표2[#ALL],2)/hlookup($A16,표4[#ALL],row(),false)</f>
        <v>0</v>
      </c>
      <c r="AE16" s="350">
        <f>CS_PID!AE16/VLOOKUP($B16,표2[#ALL],2)/hlookup($A16,표4[#ALL],row(),false)</f>
        <v>0</v>
      </c>
      <c r="AF16" s="350">
        <f>CS_PID!AF16/VLOOKUP($B16,표2[#ALL],2)/hlookup($A16,표4[#ALL],row(),false)</f>
        <v>0</v>
      </c>
      <c r="AG16" s="350">
        <f>CS_PID!AG16/VLOOKUP($B16,표2[#ALL],2)/hlookup($A16,표4[#ALL],row(),false)</f>
        <v>0.06666666667</v>
      </c>
      <c r="AH16" s="350">
        <f>CS_PID!AH16/VLOOKUP($B16,표2[#ALL],2)/hlookup($A16,표4[#ALL],row(),false)</f>
        <v>0</v>
      </c>
      <c r="AI16" s="350">
        <f>CS_PID!AI16/VLOOKUP($B16,표2[#ALL],2)/hlookup($A16,표4[#ALL],row(),false)</f>
        <v>0</v>
      </c>
      <c r="AJ16" s="350">
        <f>CS_PID!AJ16/VLOOKUP($B16,표2[#ALL],2)/hlookup($A16,표4[#ALL],row(),false)</f>
        <v>0</v>
      </c>
      <c r="AK16" s="350">
        <f>CS_PID!AK16/VLOOKUP($B16,표2[#ALL],2)/hlookup($A16,표4[#ALL],row(),false)</f>
        <v>0</v>
      </c>
      <c r="AL16" s="350">
        <f>CS_PID!AL16/VLOOKUP($B16,표2[#ALL],2)/hlookup($A16,표4[#ALL],row(),false)</f>
        <v>0.06666666667</v>
      </c>
      <c r="AM16" s="350">
        <f>CS_PID!AM16/VLOOKUP($B16,표2[#ALL],2)/hlookup($A16,표4[#ALL],row(),false)</f>
        <v>0</v>
      </c>
      <c r="AN16" s="350">
        <f>CS_PID!AN16/VLOOKUP($B16,표2[#ALL],2)/hlookup($A16,표4[#ALL],row(),false)</f>
        <v>0</v>
      </c>
      <c r="AO16" s="350">
        <f>CS_PID!AO16/VLOOKUP($B16,표2[#ALL],2)/hlookup($A16,표4[#ALL],row(),false)</f>
        <v>0</v>
      </c>
      <c r="AP16" s="350">
        <f>CS_PID!AP16/VLOOKUP($B16,표2[#ALL],2)/hlookup($A16,표4[#ALL],row(),false)</f>
        <v>0</v>
      </c>
      <c r="AQ16" s="350">
        <f>CS_PID!AQ16/VLOOKUP($B16,표2[#ALL],2)/hlookup($A16,표4[#ALL],row(),false)</f>
        <v>0</v>
      </c>
      <c r="AR16" s="350">
        <f>CS_PID!AR16/VLOOKUP($B16,표2[#ALL],2)/hlookup($A16,표4[#ALL],row(),false)</f>
        <v>0</v>
      </c>
      <c r="AS16" s="350">
        <f>CS_PID!AS16/VLOOKUP($B16,표2[#ALL],2)/hlookup($A16,표4[#ALL],row(),false)</f>
        <v>0</v>
      </c>
    </row>
    <row r="17">
      <c r="A17" s="141" t="s">
        <v>78</v>
      </c>
      <c r="B17" s="142">
        <v>273.0</v>
      </c>
      <c r="C17" s="350">
        <f>CS_PID!C17/VLOOKUP($B17,표2[#ALL],2)/hlookup($A17,표4[#ALL],row(),false)</f>
        <v>0</v>
      </c>
      <c r="D17" s="350">
        <f>CS_PID!D17/VLOOKUP($B17,표2[#ALL],2)/hlookup($A17,표4[#ALL],row(),false)</f>
        <v>0.2352941176</v>
      </c>
      <c r="E17" s="350">
        <f>CS_PID!E17/VLOOKUP($B17,표2[#ALL],2)/hlookup($A17,표4[#ALL],row(),false)</f>
        <v>0.05882352941</v>
      </c>
      <c r="F17" s="350">
        <f>CS_PID!F17/VLOOKUP($B17,표2[#ALL],2)/hlookup($A17,표4[#ALL],row(),false)</f>
        <v>0</v>
      </c>
      <c r="G17" s="350">
        <f>CS_PID!G17/VLOOKUP($B17,표2[#ALL],2)/hlookup($A17,표4[#ALL],row(),false)</f>
        <v>0</v>
      </c>
      <c r="H17" s="350">
        <f>CS_PID!H17/VLOOKUP($B17,표2[#ALL],2)/hlookup($A17,표4[#ALL],row(),false)</f>
        <v>0.05882352941</v>
      </c>
      <c r="I17" s="350">
        <f>CS_PID!I17/VLOOKUP($B17,표2[#ALL],2)/hlookup($A17,표4[#ALL],row(),false)</f>
        <v>0.1176470588</v>
      </c>
      <c r="J17" s="350">
        <f>CS_PID!J17/VLOOKUP($B17,표2[#ALL],2)/hlookup($A17,표4[#ALL],row(),false)</f>
        <v>0.4117647059</v>
      </c>
      <c r="K17" s="350">
        <f>CS_PID!K17/VLOOKUP($B17,표2[#ALL],2)/hlookup($A17,표4[#ALL],row(),false)</f>
        <v>0</v>
      </c>
      <c r="L17" s="350">
        <f>CS_PID!L17/VLOOKUP($B17,표2[#ALL],2)/hlookup($A17,표4[#ALL],row(),false)</f>
        <v>0</v>
      </c>
      <c r="M17" s="350">
        <f>CS_PID!M17/VLOOKUP($B17,표2[#ALL],2)/hlookup($A17,표4[#ALL],row(),false)</f>
        <v>0</v>
      </c>
      <c r="N17" s="350">
        <f>CS_PID!N17/VLOOKUP($B17,표2[#ALL],2)/hlookup($A17,표4[#ALL],row(),false)</f>
        <v>0</v>
      </c>
      <c r="O17" s="350">
        <f>CS_PID!O17/VLOOKUP($B17,표2[#ALL],2)/hlookup($A17,표4[#ALL],row(),false)</f>
        <v>0.2941176471</v>
      </c>
      <c r="P17" s="350">
        <f>CS_PID!P17/VLOOKUP($B17,표2[#ALL],2)/hlookup($A17,표4[#ALL],row(),false)</f>
        <v>1</v>
      </c>
      <c r="Q17" s="350">
        <f>CS_PID!Q17/VLOOKUP($B17,표2[#ALL],2)/hlookup($A17,표4[#ALL],row(),false)</f>
        <v>0.05882352941</v>
      </c>
      <c r="R17" s="350">
        <f>CS_PID!R17/VLOOKUP($B17,표2[#ALL],2)/hlookup($A17,표4[#ALL],row(),false)</f>
        <v>0</v>
      </c>
      <c r="S17" s="350">
        <f>CS_PID!S17/VLOOKUP($B17,표2[#ALL],2)/hlookup($A17,표4[#ALL],row(),false)</f>
        <v>0</v>
      </c>
      <c r="T17" s="350">
        <f>CS_PID!T17/VLOOKUP($B17,표2[#ALL],2)/hlookup($A17,표4[#ALL],row(),false)</f>
        <v>0.05882352941</v>
      </c>
      <c r="U17" s="350">
        <f>CS_PID!U17/VLOOKUP($B17,표2[#ALL],2)/hlookup($A17,표4[#ALL],row(),false)</f>
        <v>0.1764705882</v>
      </c>
      <c r="V17" s="350">
        <f>CS_PID!V17/VLOOKUP($B17,표2[#ALL],2)/hlookup($A17,표4[#ALL],row(),false)</f>
        <v>0.8823529412</v>
      </c>
      <c r="W17" s="350">
        <f>CS_PID!W17/VLOOKUP($B17,표2[#ALL],2)/hlookup($A17,표4[#ALL],row(),false)</f>
        <v>0</v>
      </c>
      <c r="X17" s="350">
        <f>CS_PID!X17/VLOOKUP($B17,표2[#ALL],2)/hlookup($A17,표4[#ALL],row(),false)</f>
        <v>0</v>
      </c>
      <c r="Y17" s="350">
        <f>CS_PID!Y17/VLOOKUP($B17,표2[#ALL],2)/hlookup($A17,표4[#ALL],row(),false)</f>
        <v>0</v>
      </c>
      <c r="Z17" s="350">
        <f>CS_PID!Z17/VLOOKUP($B17,표2[#ALL],2)/hlookup($A17,표4[#ALL],row(),false)</f>
        <v>0</v>
      </c>
      <c r="AA17" s="350">
        <f>CS_PID!AA17/VLOOKUP($B17,표2[#ALL],2)/hlookup($A17,표4[#ALL],row(),false)</f>
        <v>0.4705882353</v>
      </c>
      <c r="AB17" s="350">
        <f>CS_PID!AB17/VLOOKUP($B17,표2[#ALL],2)/hlookup($A17,표4[#ALL],row(),false)</f>
        <v>0.1176470588</v>
      </c>
      <c r="AC17" s="350">
        <f>CS_PID!AC17/VLOOKUP($B17,표2[#ALL],2)/hlookup($A17,표4[#ALL],row(),false)</f>
        <v>0</v>
      </c>
      <c r="AD17" s="350">
        <f>CS_PID!AD17/VLOOKUP($B17,표2[#ALL],2)/hlookup($A17,표4[#ALL],row(),false)</f>
        <v>0</v>
      </c>
      <c r="AE17" s="350">
        <f>CS_PID!AE17/VLOOKUP($B17,표2[#ALL],2)/hlookup($A17,표4[#ALL],row(),false)</f>
        <v>0</v>
      </c>
      <c r="AF17" s="350">
        <f>CS_PID!AF17/VLOOKUP($B17,표2[#ALL],2)/hlookup($A17,표4[#ALL],row(),false)</f>
        <v>0</v>
      </c>
      <c r="AG17" s="350">
        <f>CS_PID!AG17/VLOOKUP($B17,표2[#ALL],2)/hlookup($A17,표4[#ALL],row(),false)</f>
        <v>0</v>
      </c>
      <c r="AH17" s="350">
        <f>CS_PID!AH17/VLOOKUP($B17,표2[#ALL],2)/hlookup($A17,표4[#ALL],row(),false)</f>
        <v>0</v>
      </c>
      <c r="AI17" s="350">
        <f>CS_PID!AI17/VLOOKUP($B17,표2[#ALL],2)/hlookup($A17,표4[#ALL],row(),false)</f>
        <v>0</v>
      </c>
      <c r="AJ17" s="350">
        <f>CS_PID!AJ17/VLOOKUP($B17,표2[#ALL],2)/hlookup($A17,표4[#ALL],row(),false)</f>
        <v>0</v>
      </c>
      <c r="AK17" s="350">
        <f>CS_PID!AK17/VLOOKUP($B17,표2[#ALL],2)/hlookup($A17,표4[#ALL],row(),false)</f>
        <v>0</v>
      </c>
      <c r="AL17" s="350">
        <f>CS_PID!AL17/VLOOKUP($B17,표2[#ALL],2)/hlookup($A17,표4[#ALL],row(),false)</f>
        <v>0</v>
      </c>
      <c r="AM17" s="350">
        <f>CS_PID!AM17/VLOOKUP($B17,표2[#ALL],2)/hlookup($A17,표4[#ALL],row(),false)</f>
        <v>0</v>
      </c>
      <c r="AN17" s="350">
        <f>CS_PID!AN17/VLOOKUP($B17,표2[#ALL],2)/hlookup($A17,표4[#ALL],row(),false)</f>
        <v>0</v>
      </c>
      <c r="AO17" s="350">
        <f>CS_PID!AO17/VLOOKUP($B17,표2[#ALL],2)/hlookup($A17,표4[#ALL],row(),false)</f>
        <v>0</v>
      </c>
      <c r="AP17" s="350">
        <f>CS_PID!AP17/VLOOKUP($B17,표2[#ALL],2)/hlookup($A17,표4[#ALL],row(),false)</f>
        <v>0</v>
      </c>
      <c r="AQ17" s="350">
        <f>CS_PID!AQ17/VLOOKUP($B17,표2[#ALL],2)/hlookup($A17,표4[#ALL],row(),false)</f>
        <v>0</v>
      </c>
      <c r="AR17" s="350">
        <f>CS_PID!AR17/VLOOKUP($B17,표2[#ALL],2)/hlookup($A17,표4[#ALL],row(),false)</f>
        <v>0</v>
      </c>
      <c r="AS17" s="350">
        <f>CS_PID!AS17/VLOOKUP($B17,표2[#ALL],2)/hlookup($A17,표4[#ALL],row(),false)</f>
        <v>0</v>
      </c>
    </row>
    <row r="18">
      <c r="A18" s="141" t="s">
        <v>78</v>
      </c>
      <c r="B18" s="142">
        <v>274.0</v>
      </c>
      <c r="C18" s="350">
        <f>CS_PID!C18/VLOOKUP($B18,표2[#ALL],2)/hlookup($A18,표4[#ALL],row(),false)</f>
        <v>0</v>
      </c>
      <c r="D18" s="350">
        <f>CS_PID!D18/VLOOKUP($B18,표2[#ALL],2)/hlookup($A18,표4[#ALL],row(),false)</f>
        <v>0.6086956522</v>
      </c>
      <c r="E18" s="350">
        <f>CS_PID!E18/VLOOKUP($B18,표2[#ALL],2)/hlookup($A18,표4[#ALL],row(),false)</f>
        <v>0.1739130435</v>
      </c>
      <c r="F18" s="350">
        <f>CS_PID!F18/VLOOKUP($B18,표2[#ALL],2)/hlookup($A18,표4[#ALL],row(),false)</f>
        <v>0.04347826087</v>
      </c>
      <c r="G18" s="350">
        <f>CS_PID!G18/VLOOKUP($B18,표2[#ALL],2)/hlookup($A18,표4[#ALL],row(),false)</f>
        <v>0</v>
      </c>
      <c r="H18" s="350">
        <f>CS_PID!H18/VLOOKUP($B18,표2[#ALL],2)/hlookup($A18,표4[#ALL],row(),false)</f>
        <v>0</v>
      </c>
      <c r="I18" s="350">
        <f>CS_PID!I18/VLOOKUP($B18,표2[#ALL],2)/hlookup($A18,표4[#ALL],row(),false)</f>
        <v>0.1739130435</v>
      </c>
      <c r="J18" s="350">
        <f>CS_PID!J18/VLOOKUP($B18,표2[#ALL],2)/hlookup($A18,표4[#ALL],row(),false)</f>
        <v>0.9565217391</v>
      </c>
      <c r="K18" s="350">
        <f>CS_PID!K18/VLOOKUP($B18,표2[#ALL],2)/hlookup($A18,표4[#ALL],row(),false)</f>
        <v>0.08695652174</v>
      </c>
      <c r="L18" s="350">
        <f>CS_PID!L18/VLOOKUP($B18,표2[#ALL],2)/hlookup($A18,표4[#ALL],row(),false)</f>
        <v>0</v>
      </c>
      <c r="M18" s="350">
        <f>CS_PID!M18/VLOOKUP($B18,표2[#ALL],2)/hlookup($A18,표4[#ALL],row(),false)</f>
        <v>0</v>
      </c>
      <c r="N18" s="350">
        <f>CS_PID!N18/VLOOKUP($B18,표2[#ALL],2)/hlookup($A18,표4[#ALL],row(),false)</f>
        <v>0</v>
      </c>
      <c r="O18" s="350">
        <f>CS_PID!O18/VLOOKUP($B18,표2[#ALL],2)/hlookup($A18,표4[#ALL],row(),false)</f>
        <v>0.7826086957</v>
      </c>
      <c r="P18" s="350">
        <f>CS_PID!P18/VLOOKUP($B18,표2[#ALL],2)/hlookup($A18,표4[#ALL],row(),false)</f>
        <v>1</v>
      </c>
      <c r="Q18" s="350">
        <f>CS_PID!Q18/VLOOKUP($B18,표2[#ALL],2)/hlookup($A18,표4[#ALL],row(),false)</f>
        <v>0.08695652174</v>
      </c>
      <c r="R18" s="350">
        <f>CS_PID!R18/VLOOKUP($B18,표2[#ALL],2)/hlookup($A18,표4[#ALL],row(),false)</f>
        <v>0</v>
      </c>
      <c r="S18" s="350">
        <f>CS_PID!S18/VLOOKUP($B18,표2[#ALL],2)/hlookup($A18,표4[#ALL],row(),false)</f>
        <v>0</v>
      </c>
      <c r="T18" s="350">
        <f>CS_PID!T18/VLOOKUP($B18,표2[#ALL],2)/hlookup($A18,표4[#ALL],row(),false)</f>
        <v>0</v>
      </c>
      <c r="U18" s="350">
        <f>CS_PID!U18/VLOOKUP($B18,표2[#ALL],2)/hlookup($A18,표4[#ALL],row(),false)</f>
        <v>0.3913043478</v>
      </c>
      <c r="V18" s="350">
        <f>CS_PID!V18/VLOOKUP($B18,표2[#ALL],2)/hlookup($A18,표4[#ALL],row(),false)</f>
        <v>0.8695652174</v>
      </c>
      <c r="W18" s="350">
        <f>CS_PID!W18/VLOOKUP($B18,표2[#ALL],2)/hlookup($A18,표4[#ALL],row(),false)</f>
        <v>0</v>
      </c>
      <c r="X18" s="350">
        <f>CS_PID!X18/VLOOKUP($B18,표2[#ALL],2)/hlookup($A18,표4[#ALL],row(),false)</f>
        <v>0</v>
      </c>
      <c r="Y18" s="350">
        <f>CS_PID!Y18/VLOOKUP($B18,표2[#ALL],2)/hlookup($A18,표4[#ALL],row(),false)</f>
        <v>0</v>
      </c>
      <c r="Z18" s="350">
        <f>CS_PID!Z18/VLOOKUP($B18,표2[#ALL],2)/hlookup($A18,표4[#ALL],row(),false)</f>
        <v>0</v>
      </c>
      <c r="AA18" s="350">
        <f>CS_PID!AA18/VLOOKUP($B18,표2[#ALL],2)/hlookup($A18,표4[#ALL],row(),false)</f>
        <v>0.2173913043</v>
      </c>
      <c r="AB18" s="350">
        <f>CS_PID!AB18/VLOOKUP($B18,표2[#ALL],2)/hlookup($A18,표4[#ALL],row(),false)</f>
        <v>0.1739130435</v>
      </c>
      <c r="AC18" s="350">
        <f>CS_PID!AC18/VLOOKUP($B18,표2[#ALL],2)/hlookup($A18,표4[#ALL],row(),false)</f>
        <v>0</v>
      </c>
      <c r="AD18" s="350">
        <f>CS_PID!AD18/VLOOKUP($B18,표2[#ALL],2)/hlookup($A18,표4[#ALL],row(),false)</f>
        <v>0</v>
      </c>
      <c r="AE18" s="350">
        <f>CS_PID!AE18/VLOOKUP($B18,표2[#ALL],2)/hlookup($A18,표4[#ALL],row(),false)</f>
        <v>0</v>
      </c>
      <c r="AF18" s="350">
        <f>CS_PID!AF18/VLOOKUP($B18,표2[#ALL],2)/hlookup($A18,표4[#ALL],row(),false)</f>
        <v>0</v>
      </c>
      <c r="AG18" s="350">
        <f>CS_PID!AG18/VLOOKUP($B18,표2[#ALL],2)/hlookup($A18,표4[#ALL],row(),false)</f>
        <v>0.1739130435</v>
      </c>
      <c r="AH18" s="350">
        <f>CS_PID!AH18/VLOOKUP($B18,표2[#ALL],2)/hlookup($A18,표4[#ALL],row(),false)</f>
        <v>0</v>
      </c>
      <c r="AI18" s="350">
        <f>CS_PID!AI18/VLOOKUP($B18,표2[#ALL],2)/hlookup($A18,표4[#ALL],row(),false)</f>
        <v>0</v>
      </c>
      <c r="AJ18" s="350">
        <f>CS_PID!AJ18/VLOOKUP($B18,표2[#ALL],2)/hlookup($A18,표4[#ALL],row(),false)</f>
        <v>0</v>
      </c>
      <c r="AK18" s="350">
        <f>CS_PID!AK18/VLOOKUP($B18,표2[#ALL],2)/hlookup($A18,표4[#ALL],row(),false)</f>
        <v>0</v>
      </c>
      <c r="AL18" s="350">
        <f>CS_PID!AL18/VLOOKUP($B18,표2[#ALL],2)/hlookup($A18,표4[#ALL],row(),false)</f>
        <v>0</v>
      </c>
      <c r="AM18" s="350">
        <f>CS_PID!AM18/VLOOKUP($B18,표2[#ALL],2)/hlookup($A18,표4[#ALL],row(),false)</f>
        <v>0</v>
      </c>
      <c r="AN18" s="350">
        <f>CS_PID!AN18/VLOOKUP($B18,표2[#ALL],2)/hlookup($A18,표4[#ALL],row(),false)</f>
        <v>0</v>
      </c>
      <c r="AO18" s="350">
        <f>CS_PID!AO18/VLOOKUP($B18,표2[#ALL],2)/hlookup($A18,표4[#ALL],row(),false)</f>
        <v>0</v>
      </c>
      <c r="AP18" s="350">
        <f>CS_PID!AP18/VLOOKUP($B18,표2[#ALL],2)/hlookup($A18,표4[#ALL],row(),false)</f>
        <v>0</v>
      </c>
      <c r="AQ18" s="350">
        <f>CS_PID!AQ18/VLOOKUP($B18,표2[#ALL],2)/hlookup($A18,표4[#ALL],row(),false)</f>
        <v>0</v>
      </c>
      <c r="AR18" s="350">
        <f>CS_PID!AR18/VLOOKUP($B18,표2[#ALL],2)/hlookup($A18,표4[#ALL],row(),false)</f>
        <v>0</v>
      </c>
      <c r="AS18" s="350">
        <f>CS_PID!AS18/VLOOKUP($B18,표2[#ALL],2)/hlookup($A18,표4[#ALL],row(),false)</f>
        <v>0</v>
      </c>
    </row>
    <row r="19">
      <c r="A19" s="141" t="s">
        <v>78</v>
      </c>
      <c r="B19" s="142">
        <v>275.0</v>
      </c>
      <c r="C19" s="350">
        <f>CS_PID!C19/VLOOKUP($B19,표2[#ALL],2)/hlookup($A19,표4[#ALL],row(),false)</f>
        <v>0.02941176471</v>
      </c>
      <c r="D19" s="350">
        <f>CS_PID!D19/VLOOKUP($B19,표2[#ALL],2)/hlookup($A19,표4[#ALL],row(),false)</f>
        <v>0.5588235294</v>
      </c>
      <c r="E19" s="350">
        <f>CS_PID!E19/VLOOKUP($B19,표2[#ALL],2)/hlookup($A19,표4[#ALL],row(),false)</f>
        <v>0.1176470588</v>
      </c>
      <c r="F19" s="350">
        <f>CS_PID!F19/VLOOKUP($B19,표2[#ALL],2)/hlookup($A19,표4[#ALL],row(),false)</f>
        <v>0</v>
      </c>
      <c r="G19" s="350">
        <f>CS_PID!G19/VLOOKUP($B19,표2[#ALL],2)/hlookup($A19,표4[#ALL],row(),false)</f>
        <v>0</v>
      </c>
      <c r="H19" s="350">
        <f>CS_PID!H19/VLOOKUP($B19,표2[#ALL],2)/hlookup($A19,표4[#ALL],row(),false)</f>
        <v>0.1470588235</v>
      </c>
      <c r="I19" s="350">
        <f>CS_PID!I19/VLOOKUP($B19,표2[#ALL],2)/hlookup($A19,표4[#ALL],row(),false)</f>
        <v>0.5294117647</v>
      </c>
      <c r="J19" s="350">
        <f>CS_PID!J19/VLOOKUP($B19,표2[#ALL],2)/hlookup($A19,표4[#ALL],row(),false)</f>
        <v>1.235294118</v>
      </c>
      <c r="K19" s="350">
        <f>CS_PID!K19/VLOOKUP($B19,표2[#ALL],2)/hlookup($A19,표4[#ALL],row(),false)</f>
        <v>0.08823529412</v>
      </c>
      <c r="L19" s="350">
        <f>CS_PID!L19/VLOOKUP($B19,표2[#ALL],2)/hlookup($A19,표4[#ALL],row(),false)</f>
        <v>0</v>
      </c>
      <c r="M19" s="350">
        <f>CS_PID!M19/VLOOKUP($B19,표2[#ALL],2)/hlookup($A19,표4[#ALL],row(),false)</f>
        <v>0</v>
      </c>
      <c r="N19" s="350">
        <f>CS_PID!N19/VLOOKUP($B19,표2[#ALL],2)/hlookup($A19,표4[#ALL],row(),false)</f>
        <v>0</v>
      </c>
      <c r="O19" s="350">
        <f>CS_PID!O19/VLOOKUP($B19,표2[#ALL],2)/hlookup($A19,표4[#ALL],row(),false)</f>
        <v>1</v>
      </c>
      <c r="P19" s="350">
        <f>CS_PID!P19/VLOOKUP($B19,표2[#ALL],2)/hlookup($A19,표4[#ALL],row(),false)</f>
        <v>1</v>
      </c>
      <c r="Q19" s="350">
        <f>CS_PID!Q19/VLOOKUP($B19,표2[#ALL],2)/hlookup($A19,표4[#ALL],row(),false)</f>
        <v>0.1470588235</v>
      </c>
      <c r="R19" s="350">
        <f>CS_PID!R19/VLOOKUP($B19,표2[#ALL],2)/hlookup($A19,표4[#ALL],row(),false)</f>
        <v>0</v>
      </c>
      <c r="S19" s="350">
        <f>CS_PID!S19/VLOOKUP($B19,표2[#ALL],2)/hlookup($A19,표4[#ALL],row(),false)</f>
        <v>0</v>
      </c>
      <c r="T19" s="350">
        <f>CS_PID!T19/VLOOKUP($B19,표2[#ALL],2)/hlookup($A19,표4[#ALL],row(),false)</f>
        <v>0.02941176471</v>
      </c>
      <c r="U19" s="350">
        <f>CS_PID!U19/VLOOKUP($B19,표2[#ALL],2)/hlookup($A19,표4[#ALL],row(),false)</f>
        <v>0.5588235294</v>
      </c>
      <c r="V19" s="350">
        <f>CS_PID!V19/VLOOKUP($B19,표2[#ALL],2)/hlookup($A19,표4[#ALL],row(),false)</f>
        <v>1.058823529</v>
      </c>
      <c r="W19" s="350">
        <f>CS_PID!W19/VLOOKUP($B19,표2[#ALL],2)/hlookup($A19,표4[#ALL],row(),false)</f>
        <v>0.05882352941</v>
      </c>
      <c r="X19" s="350">
        <f>CS_PID!X19/VLOOKUP($B19,표2[#ALL],2)/hlookup($A19,표4[#ALL],row(),false)</f>
        <v>0</v>
      </c>
      <c r="Y19" s="350">
        <f>CS_PID!Y19/VLOOKUP($B19,표2[#ALL],2)/hlookup($A19,표4[#ALL],row(),false)</f>
        <v>0</v>
      </c>
      <c r="Z19" s="350">
        <f>CS_PID!Z19/VLOOKUP($B19,표2[#ALL],2)/hlookup($A19,표4[#ALL],row(),false)</f>
        <v>0</v>
      </c>
      <c r="AA19" s="350">
        <f>CS_PID!AA19/VLOOKUP($B19,표2[#ALL],2)/hlookup($A19,표4[#ALL],row(),false)</f>
        <v>0.3823529412</v>
      </c>
      <c r="AB19" s="350">
        <f>CS_PID!AB19/VLOOKUP($B19,표2[#ALL],2)/hlookup($A19,표4[#ALL],row(),false)</f>
        <v>0.3529411765</v>
      </c>
      <c r="AC19" s="350">
        <f>CS_PID!AC19/VLOOKUP($B19,표2[#ALL],2)/hlookup($A19,표4[#ALL],row(),false)</f>
        <v>0.02941176471</v>
      </c>
      <c r="AD19" s="350">
        <f>CS_PID!AD19/VLOOKUP($B19,표2[#ALL],2)/hlookup($A19,표4[#ALL],row(),false)</f>
        <v>0</v>
      </c>
      <c r="AE19" s="350">
        <f>CS_PID!AE19/VLOOKUP($B19,표2[#ALL],2)/hlookup($A19,표4[#ALL],row(),false)</f>
        <v>0</v>
      </c>
      <c r="AF19" s="350">
        <f>CS_PID!AF19/VLOOKUP($B19,표2[#ALL],2)/hlookup($A19,표4[#ALL],row(),false)</f>
        <v>0</v>
      </c>
      <c r="AG19" s="350">
        <f>CS_PID!AG19/VLOOKUP($B19,표2[#ALL],2)/hlookup($A19,표4[#ALL],row(),false)</f>
        <v>0.08823529412</v>
      </c>
      <c r="AH19" s="350">
        <f>CS_PID!AH19/VLOOKUP($B19,표2[#ALL],2)/hlookup($A19,표4[#ALL],row(),false)</f>
        <v>0</v>
      </c>
      <c r="AI19" s="350">
        <f>CS_PID!AI19/VLOOKUP($B19,표2[#ALL],2)/hlookup($A19,표4[#ALL],row(),false)</f>
        <v>0</v>
      </c>
      <c r="AJ19" s="350">
        <f>CS_PID!AJ19/VLOOKUP($B19,표2[#ALL],2)/hlookup($A19,표4[#ALL],row(),false)</f>
        <v>0</v>
      </c>
      <c r="AK19" s="350">
        <f>CS_PID!AK19/VLOOKUP($B19,표2[#ALL],2)/hlookup($A19,표4[#ALL],row(),false)</f>
        <v>0</v>
      </c>
      <c r="AL19" s="350">
        <f>CS_PID!AL19/VLOOKUP($B19,표2[#ALL],2)/hlookup($A19,표4[#ALL],row(),false)</f>
        <v>0</v>
      </c>
      <c r="AM19" s="350">
        <f>CS_PID!AM19/VLOOKUP($B19,표2[#ALL],2)/hlookup($A19,표4[#ALL],row(),false)</f>
        <v>0</v>
      </c>
      <c r="AN19" s="350">
        <f>CS_PID!AN19/VLOOKUP($B19,표2[#ALL],2)/hlookup($A19,표4[#ALL],row(),false)</f>
        <v>0</v>
      </c>
      <c r="AO19" s="350">
        <f>CS_PID!AO19/VLOOKUP($B19,표2[#ALL],2)/hlookup($A19,표4[#ALL],row(),false)</f>
        <v>0</v>
      </c>
      <c r="AP19" s="350">
        <f>CS_PID!AP19/VLOOKUP($B19,표2[#ALL],2)/hlookup($A19,표4[#ALL],row(),false)</f>
        <v>0</v>
      </c>
      <c r="AQ19" s="350">
        <f>CS_PID!AQ19/VLOOKUP($B19,표2[#ALL],2)/hlookup($A19,표4[#ALL],row(),false)</f>
        <v>0</v>
      </c>
      <c r="AR19" s="350">
        <f>CS_PID!AR19/VLOOKUP($B19,표2[#ALL],2)/hlookup($A19,표4[#ALL],row(),false)</f>
        <v>0</v>
      </c>
      <c r="AS19" s="350">
        <f>CS_PID!AS19/VLOOKUP($B19,표2[#ALL],2)/hlookup($A19,표4[#ALL],row(),false)</f>
        <v>0</v>
      </c>
    </row>
    <row r="20">
      <c r="A20" s="141" t="s">
        <v>78</v>
      </c>
      <c r="B20" s="142">
        <v>276.0</v>
      </c>
      <c r="C20" s="350">
        <f>CS_PID!C20/VLOOKUP($B20,표2[#ALL],2)/hlookup($A20,표4[#ALL],row(),false)</f>
        <v>0</v>
      </c>
      <c r="D20" s="350">
        <f>CS_PID!D20/VLOOKUP($B20,표2[#ALL],2)/hlookup($A20,표4[#ALL],row(),false)</f>
        <v>0.4032258065</v>
      </c>
      <c r="E20" s="350">
        <f>CS_PID!E20/VLOOKUP($B20,표2[#ALL],2)/hlookup($A20,표4[#ALL],row(),false)</f>
        <v>0.09677419355</v>
      </c>
      <c r="F20" s="350">
        <f>CS_PID!F20/VLOOKUP($B20,표2[#ALL],2)/hlookup($A20,표4[#ALL],row(),false)</f>
        <v>0.03225806452</v>
      </c>
      <c r="G20" s="350">
        <f>CS_PID!G20/VLOOKUP($B20,표2[#ALL],2)/hlookup($A20,표4[#ALL],row(),false)</f>
        <v>0</v>
      </c>
      <c r="H20" s="350">
        <f>CS_PID!H20/VLOOKUP($B20,표2[#ALL],2)/hlookup($A20,표4[#ALL],row(),false)</f>
        <v>0.04838709677</v>
      </c>
      <c r="I20" s="350">
        <f>CS_PID!I20/VLOOKUP($B20,표2[#ALL],2)/hlookup($A20,표4[#ALL],row(),false)</f>
        <v>0.3064516129</v>
      </c>
      <c r="J20" s="350">
        <f>CS_PID!J20/VLOOKUP($B20,표2[#ALL],2)/hlookup($A20,표4[#ALL],row(),false)</f>
        <v>0.7419354839</v>
      </c>
      <c r="K20" s="350">
        <f>CS_PID!K20/VLOOKUP($B20,표2[#ALL],2)/hlookup($A20,표4[#ALL],row(),false)</f>
        <v>0.06451612903</v>
      </c>
      <c r="L20" s="350">
        <f>CS_PID!L20/VLOOKUP($B20,표2[#ALL],2)/hlookup($A20,표4[#ALL],row(),false)</f>
        <v>0</v>
      </c>
      <c r="M20" s="350">
        <f>CS_PID!M20/VLOOKUP($B20,표2[#ALL],2)/hlookup($A20,표4[#ALL],row(),false)</f>
        <v>0</v>
      </c>
      <c r="N20" s="350">
        <f>CS_PID!N20/VLOOKUP($B20,표2[#ALL],2)/hlookup($A20,표4[#ALL],row(),false)</f>
        <v>0.03225806452</v>
      </c>
      <c r="O20" s="350">
        <f>CS_PID!O20/VLOOKUP($B20,표2[#ALL],2)/hlookup($A20,표4[#ALL],row(),false)</f>
        <v>0.7096774194</v>
      </c>
      <c r="P20" s="350">
        <f>CS_PID!P20/VLOOKUP($B20,표2[#ALL],2)/hlookup($A20,표4[#ALL],row(),false)</f>
        <v>1</v>
      </c>
      <c r="Q20" s="350">
        <f>CS_PID!Q20/VLOOKUP($B20,표2[#ALL],2)/hlookup($A20,표4[#ALL],row(),false)</f>
        <v>0.1451612903</v>
      </c>
      <c r="R20" s="350">
        <f>CS_PID!R20/VLOOKUP($B20,표2[#ALL],2)/hlookup($A20,표4[#ALL],row(),false)</f>
        <v>0</v>
      </c>
      <c r="S20" s="350">
        <f>CS_PID!S20/VLOOKUP($B20,표2[#ALL],2)/hlookup($A20,표4[#ALL],row(),false)</f>
        <v>0</v>
      </c>
      <c r="T20" s="350">
        <f>CS_PID!T20/VLOOKUP($B20,표2[#ALL],2)/hlookup($A20,표4[#ALL],row(),false)</f>
        <v>0</v>
      </c>
      <c r="U20" s="350">
        <f>CS_PID!U20/VLOOKUP($B20,표2[#ALL],2)/hlookup($A20,표4[#ALL],row(),false)</f>
        <v>0.6129032258</v>
      </c>
      <c r="V20" s="350">
        <f>CS_PID!V20/VLOOKUP($B20,표2[#ALL],2)/hlookup($A20,표4[#ALL],row(),false)</f>
        <v>1.048387097</v>
      </c>
      <c r="W20" s="350">
        <f>CS_PID!W20/VLOOKUP($B20,표2[#ALL],2)/hlookup($A20,표4[#ALL],row(),false)</f>
        <v>0.08064516129</v>
      </c>
      <c r="X20" s="350">
        <f>CS_PID!X20/VLOOKUP($B20,표2[#ALL],2)/hlookup($A20,표4[#ALL],row(),false)</f>
        <v>0</v>
      </c>
      <c r="Y20" s="350">
        <f>CS_PID!Y20/VLOOKUP($B20,표2[#ALL],2)/hlookup($A20,표4[#ALL],row(),false)</f>
        <v>0</v>
      </c>
      <c r="Z20" s="350">
        <f>CS_PID!Z20/VLOOKUP($B20,표2[#ALL],2)/hlookup($A20,표4[#ALL],row(),false)</f>
        <v>0.01612903226</v>
      </c>
      <c r="AA20" s="350">
        <f>CS_PID!AA20/VLOOKUP($B20,표2[#ALL],2)/hlookup($A20,표4[#ALL],row(),false)</f>
        <v>0.3709677419</v>
      </c>
      <c r="AB20" s="350">
        <f>CS_PID!AB20/VLOOKUP($B20,표2[#ALL],2)/hlookup($A20,표4[#ALL],row(),false)</f>
        <v>0.1935483871</v>
      </c>
      <c r="AC20" s="350">
        <f>CS_PID!AC20/VLOOKUP($B20,표2[#ALL],2)/hlookup($A20,표4[#ALL],row(),false)</f>
        <v>0.03225806452</v>
      </c>
      <c r="AD20" s="350">
        <f>CS_PID!AD20/VLOOKUP($B20,표2[#ALL],2)/hlookup($A20,표4[#ALL],row(),false)</f>
        <v>0</v>
      </c>
      <c r="AE20" s="350">
        <f>CS_PID!AE20/VLOOKUP($B20,표2[#ALL],2)/hlookup($A20,표4[#ALL],row(),false)</f>
        <v>0</v>
      </c>
      <c r="AF20" s="350">
        <f>CS_PID!AF20/VLOOKUP($B20,표2[#ALL],2)/hlookup($A20,표4[#ALL],row(),false)</f>
        <v>0.01612903226</v>
      </c>
      <c r="AG20" s="350">
        <f>CS_PID!AG20/VLOOKUP($B20,표2[#ALL],2)/hlookup($A20,표4[#ALL],row(),false)</f>
        <v>0.1290322581</v>
      </c>
      <c r="AH20" s="350">
        <f>CS_PID!AH20/VLOOKUP($B20,표2[#ALL],2)/hlookup($A20,표4[#ALL],row(),false)</f>
        <v>0.04838709677</v>
      </c>
      <c r="AI20" s="350">
        <f>CS_PID!AI20/VLOOKUP($B20,표2[#ALL],2)/hlookup($A20,표4[#ALL],row(),false)</f>
        <v>0</v>
      </c>
      <c r="AJ20" s="350">
        <f>CS_PID!AJ20/VLOOKUP($B20,표2[#ALL],2)/hlookup($A20,표4[#ALL],row(),false)</f>
        <v>0</v>
      </c>
      <c r="AK20" s="350">
        <f>CS_PID!AK20/VLOOKUP($B20,표2[#ALL],2)/hlookup($A20,표4[#ALL],row(),false)</f>
        <v>0</v>
      </c>
      <c r="AL20" s="350">
        <f>CS_PID!AL20/VLOOKUP($B20,표2[#ALL],2)/hlookup($A20,표4[#ALL],row(),false)</f>
        <v>0</v>
      </c>
      <c r="AM20" s="350">
        <f>CS_PID!AM20/VLOOKUP($B20,표2[#ALL],2)/hlookup($A20,표4[#ALL],row(),false)</f>
        <v>0</v>
      </c>
      <c r="AN20" s="350">
        <f>CS_PID!AN20/VLOOKUP($B20,표2[#ALL],2)/hlookup($A20,표4[#ALL],row(),false)</f>
        <v>0</v>
      </c>
      <c r="AO20" s="350">
        <f>CS_PID!AO20/VLOOKUP($B20,표2[#ALL],2)/hlookup($A20,표4[#ALL],row(),false)</f>
        <v>0</v>
      </c>
      <c r="AP20" s="350">
        <f>CS_PID!AP20/VLOOKUP($B20,표2[#ALL],2)/hlookup($A20,표4[#ALL],row(),false)</f>
        <v>0</v>
      </c>
      <c r="AQ20" s="350">
        <f>CS_PID!AQ20/VLOOKUP($B20,표2[#ALL],2)/hlookup($A20,표4[#ALL],row(),false)</f>
        <v>0</v>
      </c>
      <c r="AR20" s="350">
        <f>CS_PID!AR20/VLOOKUP($B20,표2[#ALL],2)/hlookup($A20,표4[#ALL],row(),false)</f>
        <v>0</v>
      </c>
      <c r="AS20" s="350">
        <f>CS_PID!AS20/VLOOKUP($B20,표2[#ALL],2)/hlookup($A20,표4[#ALL],row(),false)</f>
        <v>0</v>
      </c>
    </row>
    <row r="21">
      <c r="A21" s="141" t="s">
        <v>78</v>
      </c>
      <c r="B21" s="142">
        <v>277.0</v>
      </c>
      <c r="C21" s="350">
        <f>CS_PID!C21/VLOOKUP($B21,표2[#ALL],2)/hlookup($A21,표4[#ALL],row(),false)</f>
        <v>0</v>
      </c>
      <c r="D21" s="350">
        <f>CS_PID!D21/VLOOKUP($B21,표2[#ALL],2)/hlookup($A21,표4[#ALL],row(),false)</f>
        <v>0.35</v>
      </c>
      <c r="E21" s="350">
        <f>CS_PID!E21/VLOOKUP($B21,표2[#ALL],2)/hlookup($A21,표4[#ALL],row(),false)</f>
        <v>0.05</v>
      </c>
      <c r="F21" s="350">
        <f>CS_PID!F21/VLOOKUP($B21,표2[#ALL],2)/hlookup($A21,표4[#ALL],row(),false)</f>
        <v>0.025</v>
      </c>
      <c r="G21" s="350">
        <f>CS_PID!G21/VLOOKUP($B21,표2[#ALL],2)/hlookup($A21,표4[#ALL],row(),false)</f>
        <v>0</v>
      </c>
      <c r="H21" s="350">
        <f>CS_PID!H21/VLOOKUP($B21,표2[#ALL],2)/hlookup($A21,표4[#ALL],row(),false)</f>
        <v>0.025</v>
      </c>
      <c r="I21" s="350">
        <f>CS_PID!I21/VLOOKUP($B21,표2[#ALL],2)/hlookup($A21,표4[#ALL],row(),false)</f>
        <v>0.275</v>
      </c>
      <c r="J21" s="350">
        <f>CS_PID!J21/VLOOKUP($B21,표2[#ALL],2)/hlookup($A21,표4[#ALL],row(),false)</f>
        <v>0.775</v>
      </c>
      <c r="K21" s="350">
        <f>CS_PID!K21/VLOOKUP($B21,표2[#ALL],2)/hlookup($A21,표4[#ALL],row(),false)</f>
        <v>0</v>
      </c>
      <c r="L21" s="350">
        <f>CS_PID!L21/VLOOKUP($B21,표2[#ALL],2)/hlookup($A21,표4[#ALL],row(),false)</f>
        <v>0</v>
      </c>
      <c r="M21" s="350">
        <f>CS_PID!M21/VLOOKUP($B21,표2[#ALL],2)/hlookup($A21,표4[#ALL],row(),false)</f>
        <v>0</v>
      </c>
      <c r="N21" s="350">
        <f>CS_PID!N21/VLOOKUP($B21,표2[#ALL],2)/hlookup($A21,표4[#ALL],row(),false)</f>
        <v>0.025</v>
      </c>
      <c r="O21" s="350">
        <f>CS_PID!O21/VLOOKUP($B21,표2[#ALL],2)/hlookup($A21,표4[#ALL],row(),false)</f>
        <v>0.45</v>
      </c>
      <c r="P21" s="350">
        <f>CS_PID!P21/VLOOKUP($B21,표2[#ALL],2)/hlookup($A21,표4[#ALL],row(),false)</f>
        <v>1</v>
      </c>
      <c r="Q21" s="350">
        <f>CS_PID!Q21/VLOOKUP($B21,표2[#ALL],2)/hlookup($A21,표4[#ALL],row(),false)</f>
        <v>0.125</v>
      </c>
      <c r="R21" s="350">
        <f>CS_PID!R21/VLOOKUP($B21,표2[#ALL],2)/hlookup($A21,표4[#ALL],row(),false)</f>
        <v>0</v>
      </c>
      <c r="S21" s="350">
        <f>CS_PID!S21/VLOOKUP($B21,표2[#ALL],2)/hlookup($A21,표4[#ALL],row(),false)</f>
        <v>0</v>
      </c>
      <c r="T21" s="350">
        <f>CS_PID!T21/VLOOKUP($B21,표2[#ALL],2)/hlookup($A21,표4[#ALL],row(),false)</f>
        <v>0.025</v>
      </c>
      <c r="U21" s="350">
        <f>CS_PID!U21/VLOOKUP($B21,표2[#ALL],2)/hlookup($A21,표4[#ALL],row(),false)</f>
        <v>0.575</v>
      </c>
      <c r="V21" s="350">
        <f>CS_PID!V21/VLOOKUP($B21,표2[#ALL],2)/hlookup($A21,표4[#ALL],row(),false)</f>
        <v>1.175</v>
      </c>
      <c r="W21" s="350">
        <f>CS_PID!W21/VLOOKUP($B21,표2[#ALL],2)/hlookup($A21,표4[#ALL],row(),false)</f>
        <v>0.1</v>
      </c>
      <c r="X21" s="350">
        <f>CS_PID!X21/VLOOKUP($B21,표2[#ALL],2)/hlookup($A21,표4[#ALL],row(),false)</f>
        <v>0</v>
      </c>
      <c r="Y21" s="350">
        <f>CS_PID!Y21/VLOOKUP($B21,표2[#ALL],2)/hlookup($A21,표4[#ALL],row(),false)</f>
        <v>0</v>
      </c>
      <c r="Z21" s="350">
        <f>CS_PID!Z21/VLOOKUP($B21,표2[#ALL],2)/hlookup($A21,표4[#ALL],row(),false)</f>
        <v>0</v>
      </c>
      <c r="AA21" s="350">
        <f>CS_PID!AA21/VLOOKUP($B21,표2[#ALL],2)/hlookup($A21,표4[#ALL],row(),false)</f>
        <v>0.3</v>
      </c>
      <c r="AB21" s="350">
        <f>CS_PID!AB21/VLOOKUP($B21,표2[#ALL],2)/hlookup($A21,표4[#ALL],row(),false)</f>
        <v>0.3</v>
      </c>
      <c r="AC21" s="350">
        <f>CS_PID!AC21/VLOOKUP($B21,표2[#ALL],2)/hlookup($A21,표4[#ALL],row(),false)</f>
        <v>0</v>
      </c>
      <c r="AD21" s="350">
        <f>CS_PID!AD21/VLOOKUP($B21,표2[#ALL],2)/hlookup($A21,표4[#ALL],row(),false)</f>
        <v>0</v>
      </c>
      <c r="AE21" s="350">
        <f>CS_PID!AE21/VLOOKUP($B21,표2[#ALL],2)/hlookup($A21,표4[#ALL],row(),false)</f>
        <v>0</v>
      </c>
      <c r="AF21" s="350">
        <f>CS_PID!AF21/VLOOKUP($B21,표2[#ALL],2)/hlookup($A21,표4[#ALL],row(),false)</f>
        <v>0</v>
      </c>
      <c r="AG21" s="350">
        <f>CS_PID!AG21/VLOOKUP($B21,표2[#ALL],2)/hlookup($A21,표4[#ALL],row(),false)</f>
        <v>0.05</v>
      </c>
      <c r="AH21" s="350">
        <f>CS_PID!AH21/VLOOKUP($B21,표2[#ALL],2)/hlookup($A21,표4[#ALL],row(),false)</f>
        <v>0.025</v>
      </c>
      <c r="AI21" s="350">
        <f>CS_PID!AI21/VLOOKUP($B21,표2[#ALL],2)/hlookup($A21,표4[#ALL],row(),false)</f>
        <v>0</v>
      </c>
      <c r="AJ21" s="350">
        <f>CS_PID!AJ21/VLOOKUP($B21,표2[#ALL],2)/hlookup($A21,표4[#ALL],row(),false)</f>
        <v>0</v>
      </c>
      <c r="AK21" s="350">
        <f>CS_PID!AK21/VLOOKUP($B21,표2[#ALL],2)/hlookup($A21,표4[#ALL],row(),false)</f>
        <v>0</v>
      </c>
      <c r="AL21" s="350">
        <f>CS_PID!AL21/VLOOKUP($B21,표2[#ALL],2)/hlookup($A21,표4[#ALL],row(),false)</f>
        <v>0</v>
      </c>
      <c r="AM21" s="350">
        <f>CS_PID!AM21/VLOOKUP($B21,표2[#ALL],2)/hlookup($A21,표4[#ALL],row(),false)</f>
        <v>0</v>
      </c>
      <c r="AN21" s="350">
        <f>CS_PID!AN21/VLOOKUP($B21,표2[#ALL],2)/hlookup($A21,표4[#ALL],row(),false)</f>
        <v>0</v>
      </c>
      <c r="AO21" s="350">
        <f>CS_PID!AO21/VLOOKUP($B21,표2[#ALL],2)/hlookup($A21,표4[#ALL],row(),false)</f>
        <v>0</v>
      </c>
      <c r="AP21" s="350">
        <f>CS_PID!AP21/VLOOKUP($B21,표2[#ALL],2)/hlookup($A21,표4[#ALL],row(),false)</f>
        <v>0</v>
      </c>
      <c r="AQ21" s="350">
        <f>CS_PID!AQ21/VLOOKUP($B21,표2[#ALL],2)/hlookup($A21,표4[#ALL],row(),false)</f>
        <v>0</v>
      </c>
      <c r="AR21" s="350">
        <f>CS_PID!AR21/VLOOKUP($B21,표2[#ALL],2)/hlookup($A21,표4[#ALL],row(),false)</f>
        <v>0</v>
      </c>
      <c r="AS21" s="350">
        <f>CS_PID!AS21/VLOOKUP($B21,표2[#ALL],2)/hlookup($A21,표4[#ALL],row(),false)</f>
        <v>0</v>
      </c>
    </row>
    <row r="22">
      <c r="A22" s="141" t="s">
        <v>78</v>
      </c>
      <c r="B22" s="142">
        <v>278.0</v>
      </c>
      <c r="C22" s="350">
        <f>CS_PID!C22/VLOOKUP($B22,표2[#ALL],2)/hlookup($A22,표4[#ALL],row(),false)</f>
        <v>0.03703703704</v>
      </c>
      <c r="D22" s="350">
        <f>CS_PID!D22/VLOOKUP($B22,표2[#ALL],2)/hlookup($A22,표4[#ALL],row(),false)</f>
        <v>0.4259259259</v>
      </c>
      <c r="E22" s="350">
        <f>CS_PID!E22/VLOOKUP($B22,표2[#ALL],2)/hlookup($A22,표4[#ALL],row(),false)</f>
        <v>0.1851851852</v>
      </c>
      <c r="F22" s="350">
        <f>CS_PID!F22/VLOOKUP($B22,표2[#ALL],2)/hlookup($A22,표4[#ALL],row(),false)</f>
        <v>0</v>
      </c>
      <c r="G22" s="350">
        <f>CS_PID!G22/VLOOKUP($B22,표2[#ALL],2)/hlookup($A22,표4[#ALL],row(),false)</f>
        <v>0</v>
      </c>
      <c r="H22" s="350">
        <f>CS_PID!H22/VLOOKUP($B22,표2[#ALL],2)/hlookup($A22,표4[#ALL],row(),false)</f>
        <v>0.01851851852</v>
      </c>
      <c r="I22" s="350">
        <f>CS_PID!I22/VLOOKUP($B22,표2[#ALL],2)/hlookup($A22,표4[#ALL],row(),false)</f>
        <v>0.4814814815</v>
      </c>
      <c r="J22" s="350">
        <f>CS_PID!J22/VLOOKUP($B22,표2[#ALL],2)/hlookup($A22,표4[#ALL],row(),false)</f>
        <v>0.7592592593</v>
      </c>
      <c r="K22" s="350">
        <f>CS_PID!K22/VLOOKUP($B22,표2[#ALL],2)/hlookup($A22,표4[#ALL],row(),false)</f>
        <v>0.03703703704</v>
      </c>
      <c r="L22" s="350">
        <f>CS_PID!L22/VLOOKUP($B22,표2[#ALL],2)/hlookup($A22,표4[#ALL],row(),false)</f>
        <v>0</v>
      </c>
      <c r="M22" s="350">
        <f>CS_PID!M22/VLOOKUP($B22,표2[#ALL],2)/hlookup($A22,표4[#ALL],row(),false)</f>
        <v>0</v>
      </c>
      <c r="N22" s="350">
        <f>CS_PID!N22/VLOOKUP($B22,표2[#ALL],2)/hlookup($A22,표4[#ALL],row(),false)</f>
        <v>0</v>
      </c>
      <c r="O22" s="350">
        <f>CS_PID!O22/VLOOKUP($B22,표2[#ALL],2)/hlookup($A22,표4[#ALL],row(),false)</f>
        <v>0.7777777778</v>
      </c>
      <c r="P22" s="350">
        <f>CS_PID!P22/VLOOKUP($B22,표2[#ALL],2)/hlookup($A22,표4[#ALL],row(),false)</f>
        <v>1</v>
      </c>
      <c r="Q22" s="350">
        <f>CS_PID!Q22/VLOOKUP($B22,표2[#ALL],2)/hlookup($A22,표4[#ALL],row(),false)</f>
        <v>0.05555555556</v>
      </c>
      <c r="R22" s="350">
        <f>CS_PID!R22/VLOOKUP($B22,표2[#ALL],2)/hlookup($A22,표4[#ALL],row(),false)</f>
        <v>0</v>
      </c>
      <c r="S22" s="350">
        <f>CS_PID!S22/VLOOKUP($B22,표2[#ALL],2)/hlookup($A22,표4[#ALL],row(),false)</f>
        <v>0</v>
      </c>
      <c r="T22" s="350">
        <f>CS_PID!T22/VLOOKUP($B22,표2[#ALL],2)/hlookup($A22,표4[#ALL],row(),false)</f>
        <v>0.01851851852</v>
      </c>
      <c r="U22" s="350">
        <f>CS_PID!U22/VLOOKUP($B22,표2[#ALL],2)/hlookup($A22,표4[#ALL],row(),false)</f>
        <v>0.462962963</v>
      </c>
      <c r="V22" s="350">
        <f>CS_PID!V22/VLOOKUP($B22,표2[#ALL],2)/hlookup($A22,표4[#ALL],row(),false)</f>
        <v>1.055555556</v>
      </c>
      <c r="W22" s="350">
        <f>CS_PID!W22/VLOOKUP($B22,표2[#ALL],2)/hlookup($A22,표4[#ALL],row(),false)</f>
        <v>0</v>
      </c>
      <c r="X22" s="350">
        <f>CS_PID!X22/VLOOKUP($B22,표2[#ALL],2)/hlookup($A22,표4[#ALL],row(),false)</f>
        <v>0</v>
      </c>
      <c r="Y22" s="350">
        <f>CS_PID!Y22/VLOOKUP($B22,표2[#ALL],2)/hlookup($A22,표4[#ALL],row(),false)</f>
        <v>0</v>
      </c>
      <c r="Z22" s="350">
        <f>CS_PID!Z22/VLOOKUP($B22,표2[#ALL],2)/hlookup($A22,표4[#ALL],row(),false)</f>
        <v>0</v>
      </c>
      <c r="AA22" s="350">
        <f>CS_PID!AA22/VLOOKUP($B22,표2[#ALL],2)/hlookup($A22,표4[#ALL],row(),false)</f>
        <v>0.462962963</v>
      </c>
      <c r="AB22" s="350">
        <f>CS_PID!AB22/VLOOKUP($B22,표2[#ALL],2)/hlookup($A22,표4[#ALL],row(),false)</f>
        <v>0.2407407407</v>
      </c>
      <c r="AC22" s="350">
        <f>CS_PID!AC22/VLOOKUP($B22,표2[#ALL],2)/hlookup($A22,표4[#ALL],row(),false)</f>
        <v>0.01851851852</v>
      </c>
      <c r="AD22" s="350">
        <f>CS_PID!AD22/VLOOKUP($B22,표2[#ALL],2)/hlookup($A22,표4[#ALL],row(),false)</f>
        <v>0</v>
      </c>
      <c r="AE22" s="350">
        <f>CS_PID!AE22/VLOOKUP($B22,표2[#ALL],2)/hlookup($A22,표4[#ALL],row(),false)</f>
        <v>0</v>
      </c>
      <c r="AF22" s="350">
        <f>CS_PID!AF22/VLOOKUP($B22,표2[#ALL],2)/hlookup($A22,표4[#ALL],row(),false)</f>
        <v>0</v>
      </c>
      <c r="AG22" s="350">
        <f>CS_PID!AG22/VLOOKUP($B22,표2[#ALL],2)/hlookup($A22,표4[#ALL],row(),false)</f>
        <v>0.03703703704</v>
      </c>
      <c r="AH22" s="350">
        <f>CS_PID!AH22/VLOOKUP($B22,표2[#ALL],2)/hlookup($A22,표4[#ALL],row(),false)</f>
        <v>0</v>
      </c>
      <c r="AI22" s="350">
        <f>CS_PID!AI22/VLOOKUP($B22,표2[#ALL],2)/hlookup($A22,표4[#ALL],row(),false)</f>
        <v>0</v>
      </c>
      <c r="AJ22" s="350">
        <f>CS_PID!AJ22/VLOOKUP($B22,표2[#ALL],2)/hlookup($A22,표4[#ALL],row(),false)</f>
        <v>0</v>
      </c>
      <c r="AK22" s="350">
        <f>CS_PID!AK22/VLOOKUP($B22,표2[#ALL],2)/hlookup($A22,표4[#ALL],row(),false)</f>
        <v>0</v>
      </c>
      <c r="AL22" s="350">
        <f>CS_PID!AL22/VLOOKUP($B22,표2[#ALL],2)/hlookup($A22,표4[#ALL],row(),false)</f>
        <v>0</v>
      </c>
      <c r="AM22" s="350">
        <f>CS_PID!AM22/VLOOKUP($B22,표2[#ALL],2)/hlookup($A22,표4[#ALL],row(),false)</f>
        <v>0</v>
      </c>
      <c r="AN22" s="350">
        <f>CS_PID!AN22/VLOOKUP($B22,표2[#ALL],2)/hlookup($A22,표4[#ALL],row(),false)</f>
        <v>0</v>
      </c>
      <c r="AO22" s="350">
        <f>CS_PID!AO22/VLOOKUP($B22,표2[#ALL],2)/hlookup($A22,표4[#ALL],row(),false)</f>
        <v>0</v>
      </c>
      <c r="AP22" s="350">
        <f>CS_PID!AP22/VLOOKUP($B22,표2[#ALL],2)/hlookup($A22,표4[#ALL],row(),false)</f>
        <v>0</v>
      </c>
      <c r="AQ22" s="350">
        <f>CS_PID!AQ22/VLOOKUP($B22,표2[#ALL],2)/hlookup($A22,표4[#ALL],row(),false)</f>
        <v>0</v>
      </c>
      <c r="AR22" s="350">
        <f>CS_PID!AR22/VLOOKUP($B22,표2[#ALL],2)/hlookup($A22,표4[#ALL],row(),false)</f>
        <v>0</v>
      </c>
      <c r="AS22" s="350">
        <f>CS_PID!AS22/VLOOKUP($B22,표2[#ALL],2)/hlookup($A22,표4[#ALL],row(),false)</f>
        <v>0</v>
      </c>
    </row>
    <row r="23">
      <c r="A23" s="141" t="s">
        <v>78</v>
      </c>
      <c r="B23" s="142">
        <v>279.0</v>
      </c>
      <c r="C23" s="350">
        <f>CS_PID!C23/VLOOKUP($B23,표2[#ALL],2)/hlookup($A23,표4[#ALL],row(),false)</f>
        <v>0</v>
      </c>
      <c r="D23" s="350">
        <f>CS_PID!D23/VLOOKUP($B23,표2[#ALL],2)/hlookup($A23,표4[#ALL],row(),false)</f>
        <v>0.3333333333</v>
      </c>
      <c r="E23" s="350">
        <f>CS_PID!E23/VLOOKUP($B23,표2[#ALL],2)/hlookup($A23,표4[#ALL],row(),false)</f>
        <v>0.1666666667</v>
      </c>
      <c r="F23" s="350">
        <f>CS_PID!F23/VLOOKUP($B23,표2[#ALL],2)/hlookup($A23,표4[#ALL],row(),false)</f>
        <v>0</v>
      </c>
      <c r="G23" s="350">
        <f>CS_PID!G23/VLOOKUP($B23,표2[#ALL],2)/hlookup($A23,표4[#ALL],row(),false)</f>
        <v>0</v>
      </c>
      <c r="H23" s="350">
        <f>CS_PID!H23/VLOOKUP($B23,표2[#ALL],2)/hlookup($A23,표4[#ALL],row(),false)</f>
        <v>0</v>
      </c>
      <c r="I23" s="350">
        <f>CS_PID!I23/VLOOKUP($B23,표2[#ALL],2)/hlookup($A23,표4[#ALL],row(),false)</f>
        <v>0.4166666667</v>
      </c>
      <c r="J23" s="350">
        <f>CS_PID!J23/VLOOKUP($B23,표2[#ALL],2)/hlookup($A23,표4[#ALL],row(),false)</f>
        <v>0.75</v>
      </c>
      <c r="K23" s="350">
        <f>CS_PID!K23/VLOOKUP($B23,표2[#ALL],2)/hlookup($A23,표4[#ALL],row(),false)</f>
        <v>0.08333333333</v>
      </c>
      <c r="L23" s="350">
        <f>CS_PID!L23/VLOOKUP($B23,표2[#ALL],2)/hlookup($A23,표4[#ALL],row(),false)</f>
        <v>0</v>
      </c>
      <c r="M23" s="350">
        <f>CS_PID!M23/VLOOKUP($B23,표2[#ALL],2)/hlookup($A23,표4[#ALL],row(),false)</f>
        <v>0</v>
      </c>
      <c r="N23" s="350">
        <f>CS_PID!N23/VLOOKUP($B23,표2[#ALL],2)/hlookup($A23,표4[#ALL],row(),false)</f>
        <v>0</v>
      </c>
      <c r="O23" s="350">
        <f>CS_PID!O23/VLOOKUP($B23,표2[#ALL],2)/hlookup($A23,표4[#ALL],row(),false)</f>
        <v>0.75</v>
      </c>
      <c r="P23" s="350">
        <f>CS_PID!P23/VLOOKUP($B23,표2[#ALL],2)/hlookup($A23,표4[#ALL],row(),false)</f>
        <v>1</v>
      </c>
      <c r="Q23" s="350">
        <f>CS_PID!Q23/VLOOKUP($B23,표2[#ALL],2)/hlookup($A23,표4[#ALL],row(),false)</f>
        <v>0.1666666667</v>
      </c>
      <c r="R23" s="350">
        <f>CS_PID!R23/VLOOKUP($B23,표2[#ALL],2)/hlookup($A23,표4[#ALL],row(),false)</f>
        <v>0</v>
      </c>
      <c r="S23" s="350">
        <f>CS_PID!S23/VLOOKUP($B23,표2[#ALL],2)/hlookup($A23,표4[#ALL],row(),false)</f>
        <v>0</v>
      </c>
      <c r="T23" s="350">
        <f>CS_PID!T23/VLOOKUP($B23,표2[#ALL],2)/hlookup($A23,표4[#ALL],row(),false)</f>
        <v>0</v>
      </c>
      <c r="U23" s="350">
        <f>CS_PID!U23/VLOOKUP($B23,표2[#ALL],2)/hlookup($A23,표4[#ALL],row(),false)</f>
        <v>0.5833333333</v>
      </c>
      <c r="V23" s="350">
        <f>CS_PID!V23/VLOOKUP($B23,표2[#ALL],2)/hlookup($A23,표4[#ALL],row(),false)</f>
        <v>1.75</v>
      </c>
      <c r="W23" s="350">
        <f>CS_PID!W23/VLOOKUP($B23,표2[#ALL],2)/hlookup($A23,표4[#ALL],row(),false)</f>
        <v>0.08333333333</v>
      </c>
      <c r="X23" s="350">
        <f>CS_PID!X23/VLOOKUP($B23,표2[#ALL],2)/hlookup($A23,표4[#ALL],row(),false)</f>
        <v>0</v>
      </c>
      <c r="Y23" s="350">
        <f>CS_PID!Y23/VLOOKUP($B23,표2[#ALL],2)/hlookup($A23,표4[#ALL],row(),false)</f>
        <v>0</v>
      </c>
      <c r="Z23" s="350">
        <f>CS_PID!Z23/VLOOKUP($B23,표2[#ALL],2)/hlookup($A23,표4[#ALL],row(),false)</f>
        <v>0</v>
      </c>
      <c r="AA23" s="350">
        <f>CS_PID!AA23/VLOOKUP($B23,표2[#ALL],2)/hlookup($A23,표4[#ALL],row(),false)</f>
        <v>0.4166666667</v>
      </c>
      <c r="AB23" s="350">
        <f>CS_PID!AB23/VLOOKUP($B23,표2[#ALL],2)/hlookup($A23,표4[#ALL],row(),false)</f>
        <v>0.1666666667</v>
      </c>
      <c r="AC23" s="350">
        <f>CS_PID!AC23/VLOOKUP($B23,표2[#ALL],2)/hlookup($A23,표4[#ALL],row(),false)</f>
        <v>0</v>
      </c>
      <c r="AD23" s="350">
        <f>CS_PID!AD23/VLOOKUP($B23,표2[#ALL],2)/hlookup($A23,표4[#ALL],row(),false)</f>
        <v>0</v>
      </c>
      <c r="AE23" s="350">
        <f>CS_PID!AE23/VLOOKUP($B23,표2[#ALL],2)/hlookup($A23,표4[#ALL],row(),false)</f>
        <v>0</v>
      </c>
      <c r="AF23" s="350">
        <f>CS_PID!AF23/VLOOKUP($B23,표2[#ALL],2)/hlookup($A23,표4[#ALL],row(),false)</f>
        <v>0</v>
      </c>
      <c r="AG23" s="350">
        <f>CS_PID!AG23/VLOOKUP($B23,표2[#ALL],2)/hlookup($A23,표4[#ALL],row(),false)</f>
        <v>0</v>
      </c>
      <c r="AH23" s="350">
        <f>CS_PID!AH23/VLOOKUP($B23,표2[#ALL],2)/hlookup($A23,표4[#ALL],row(),false)</f>
        <v>0.1666666667</v>
      </c>
      <c r="AI23" s="350">
        <f>CS_PID!AI23/VLOOKUP($B23,표2[#ALL],2)/hlookup($A23,표4[#ALL],row(),false)</f>
        <v>0</v>
      </c>
      <c r="AJ23" s="350">
        <f>CS_PID!AJ23/VLOOKUP($B23,표2[#ALL],2)/hlookup($A23,표4[#ALL],row(),false)</f>
        <v>0</v>
      </c>
      <c r="AK23" s="350">
        <f>CS_PID!AK23/VLOOKUP($B23,표2[#ALL],2)/hlookup($A23,표4[#ALL],row(),false)</f>
        <v>0</v>
      </c>
      <c r="AL23" s="350">
        <f>CS_PID!AL23/VLOOKUP($B23,표2[#ALL],2)/hlookup($A23,표4[#ALL],row(),false)</f>
        <v>0</v>
      </c>
      <c r="AM23" s="350">
        <f>CS_PID!AM23/VLOOKUP($B23,표2[#ALL],2)/hlookup($A23,표4[#ALL],row(),false)</f>
        <v>0</v>
      </c>
      <c r="AN23" s="350">
        <f>CS_PID!AN23/VLOOKUP($B23,표2[#ALL],2)/hlookup($A23,표4[#ALL],row(),false)</f>
        <v>0</v>
      </c>
      <c r="AO23" s="350">
        <f>CS_PID!AO23/VLOOKUP($B23,표2[#ALL],2)/hlookup($A23,표4[#ALL],row(),false)</f>
        <v>0</v>
      </c>
      <c r="AP23" s="350">
        <f>CS_PID!AP23/VLOOKUP($B23,표2[#ALL],2)/hlookup($A23,표4[#ALL],row(),false)</f>
        <v>0</v>
      </c>
      <c r="AQ23" s="350">
        <f>CS_PID!AQ23/VLOOKUP($B23,표2[#ALL],2)/hlookup($A23,표4[#ALL],row(),false)</f>
        <v>0</v>
      </c>
      <c r="AR23" s="350">
        <f>CS_PID!AR23/VLOOKUP($B23,표2[#ALL],2)/hlookup($A23,표4[#ALL],row(),false)</f>
        <v>0</v>
      </c>
      <c r="AS23" s="350">
        <f>CS_PID!AS23/VLOOKUP($B23,표2[#ALL],2)/hlookup($A23,표4[#ALL],row(),false)</f>
        <v>0</v>
      </c>
    </row>
    <row r="24">
      <c r="A24" s="141" t="s">
        <v>78</v>
      </c>
      <c r="B24" s="142">
        <v>280.0</v>
      </c>
      <c r="C24" s="350">
        <f>CS_PID!C24/VLOOKUP($B24,표2[#ALL],2)/hlookup($A24,표4[#ALL],row(),false)</f>
        <v>0</v>
      </c>
      <c r="D24" s="350">
        <f>CS_PID!D24/VLOOKUP($B24,표2[#ALL],2)/hlookup($A24,표4[#ALL],row(),false)</f>
        <v>0.4705882353</v>
      </c>
      <c r="E24" s="350">
        <f>CS_PID!E24/VLOOKUP($B24,표2[#ALL],2)/hlookup($A24,표4[#ALL],row(),false)</f>
        <v>0.1764705882</v>
      </c>
      <c r="F24" s="350">
        <f>CS_PID!F24/VLOOKUP($B24,표2[#ALL],2)/hlookup($A24,표4[#ALL],row(),false)</f>
        <v>0</v>
      </c>
      <c r="G24" s="350">
        <f>CS_PID!G24/VLOOKUP($B24,표2[#ALL],2)/hlookup($A24,표4[#ALL],row(),false)</f>
        <v>0</v>
      </c>
      <c r="H24" s="350">
        <f>CS_PID!H24/VLOOKUP($B24,표2[#ALL],2)/hlookup($A24,표4[#ALL],row(),false)</f>
        <v>0</v>
      </c>
      <c r="I24" s="350">
        <f>CS_PID!I24/VLOOKUP($B24,표2[#ALL],2)/hlookup($A24,표4[#ALL],row(),false)</f>
        <v>0.2941176471</v>
      </c>
      <c r="J24" s="350">
        <f>CS_PID!J24/VLOOKUP($B24,표2[#ALL],2)/hlookup($A24,표4[#ALL],row(),false)</f>
        <v>0.8235294118</v>
      </c>
      <c r="K24" s="350">
        <f>CS_PID!K24/VLOOKUP($B24,표2[#ALL],2)/hlookup($A24,표4[#ALL],row(),false)</f>
        <v>0.05882352941</v>
      </c>
      <c r="L24" s="350">
        <f>CS_PID!L24/VLOOKUP($B24,표2[#ALL],2)/hlookup($A24,표4[#ALL],row(),false)</f>
        <v>0</v>
      </c>
      <c r="M24" s="350">
        <f>CS_PID!M24/VLOOKUP($B24,표2[#ALL],2)/hlookup($A24,표4[#ALL],row(),false)</f>
        <v>0</v>
      </c>
      <c r="N24" s="350">
        <f>CS_PID!N24/VLOOKUP($B24,표2[#ALL],2)/hlookup($A24,표4[#ALL],row(),false)</f>
        <v>0</v>
      </c>
      <c r="O24" s="350">
        <f>CS_PID!O24/VLOOKUP($B24,표2[#ALL],2)/hlookup($A24,표4[#ALL],row(),false)</f>
        <v>0.6470588235</v>
      </c>
      <c r="P24" s="350">
        <f>CS_PID!P24/VLOOKUP($B24,표2[#ALL],2)/hlookup($A24,표4[#ALL],row(),false)</f>
        <v>1</v>
      </c>
      <c r="Q24" s="350">
        <f>CS_PID!Q24/VLOOKUP($B24,표2[#ALL],2)/hlookup($A24,표4[#ALL],row(),false)</f>
        <v>0</v>
      </c>
      <c r="R24" s="350">
        <f>CS_PID!R24/VLOOKUP($B24,표2[#ALL],2)/hlookup($A24,표4[#ALL],row(),false)</f>
        <v>0</v>
      </c>
      <c r="S24" s="350">
        <f>CS_PID!S24/VLOOKUP($B24,표2[#ALL],2)/hlookup($A24,표4[#ALL],row(),false)</f>
        <v>0</v>
      </c>
      <c r="T24" s="350">
        <f>CS_PID!T24/VLOOKUP($B24,표2[#ALL],2)/hlookup($A24,표4[#ALL],row(),false)</f>
        <v>0.05882352941</v>
      </c>
      <c r="U24" s="350">
        <f>CS_PID!U24/VLOOKUP($B24,표2[#ALL],2)/hlookup($A24,표4[#ALL],row(),false)</f>
        <v>0.5294117647</v>
      </c>
      <c r="V24" s="350">
        <f>CS_PID!V24/VLOOKUP($B24,표2[#ALL],2)/hlookup($A24,표4[#ALL],row(),false)</f>
        <v>0.8823529412</v>
      </c>
      <c r="W24" s="350">
        <f>CS_PID!W24/VLOOKUP($B24,표2[#ALL],2)/hlookup($A24,표4[#ALL],row(),false)</f>
        <v>0</v>
      </c>
      <c r="X24" s="350">
        <f>CS_PID!X24/VLOOKUP($B24,표2[#ALL],2)/hlookup($A24,표4[#ALL],row(),false)</f>
        <v>0</v>
      </c>
      <c r="Y24" s="350">
        <f>CS_PID!Y24/VLOOKUP($B24,표2[#ALL],2)/hlookup($A24,표4[#ALL],row(),false)</f>
        <v>0</v>
      </c>
      <c r="Z24" s="350">
        <f>CS_PID!Z24/VLOOKUP($B24,표2[#ALL],2)/hlookup($A24,표4[#ALL],row(),false)</f>
        <v>0</v>
      </c>
      <c r="AA24" s="350">
        <f>CS_PID!AA24/VLOOKUP($B24,표2[#ALL],2)/hlookup($A24,표4[#ALL],row(),false)</f>
        <v>0.2352941176</v>
      </c>
      <c r="AB24" s="350">
        <f>CS_PID!AB24/VLOOKUP($B24,표2[#ALL],2)/hlookup($A24,표4[#ALL],row(),false)</f>
        <v>0.1764705882</v>
      </c>
      <c r="AC24" s="350">
        <f>CS_PID!AC24/VLOOKUP($B24,표2[#ALL],2)/hlookup($A24,표4[#ALL],row(),false)</f>
        <v>0</v>
      </c>
      <c r="AD24" s="350">
        <f>CS_PID!AD24/VLOOKUP($B24,표2[#ALL],2)/hlookup($A24,표4[#ALL],row(),false)</f>
        <v>0</v>
      </c>
      <c r="AE24" s="350">
        <f>CS_PID!AE24/VLOOKUP($B24,표2[#ALL],2)/hlookup($A24,표4[#ALL],row(),false)</f>
        <v>0</v>
      </c>
      <c r="AF24" s="350">
        <f>CS_PID!AF24/VLOOKUP($B24,표2[#ALL],2)/hlookup($A24,표4[#ALL],row(),false)</f>
        <v>0</v>
      </c>
      <c r="AG24" s="350">
        <f>CS_PID!AG24/VLOOKUP($B24,표2[#ALL],2)/hlookup($A24,표4[#ALL],row(),false)</f>
        <v>0</v>
      </c>
      <c r="AH24" s="350">
        <f>CS_PID!AH24/VLOOKUP($B24,표2[#ALL],2)/hlookup($A24,표4[#ALL],row(),false)</f>
        <v>0</v>
      </c>
      <c r="AI24" s="350">
        <f>CS_PID!AI24/VLOOKUP($B24,표2[#ALL],2)/hlookup($A24,표4[#ALL],row(),false)</f>
        <v>0</v>
      </c>
      <c r="AJ24" s="350">
        <f>CS_PID!AJ24/VLOOKUP($B24,표2[#ALL],2)/hlookup($A24,표4[#ALL],row(),false)</f>
        <v>0</v>
      </c>
      <c r="AK24" s="350">
        <f>CS_PID!AK24/VLOOKUP($B24,표2[#ALL],2)/hlookup($A24,표4[#ALL],row(),false)</f>
        <v>0</v>
      </c>
      <c r="AL24" s="350">
        <f>CS_PID!AL24/VLOOKUP($B24,표2[#ALL],2)/hlookup($A24,표4[#ALL],row(),false)</f>
        <v>0</v>
      </c>
      <c r="AM24" s="350">
        <f>CS_PID!AM24/VLOOKUP($B24,표2[#ALL],2)/hlookup($A24,표4[#ALL],row(),false)</f>
        <v>0</v>
      </c>
      <c r="AN24" s="350">
        <f>CS_PID!AN24/VLOOKUP($B24,표2[#ALL],2)/hlookup($A24,표4[#ALL],row(),false)</f>
        <v>0</v>
      </c>
      <c r="AO24" s="350">
        <f>CS_PID!AO24/VLOOKUP($B24,표2[#ALL],2)/hlookup($A24,표4[#ALL],row(),false)</f>
        <v>0</v>
      </c>
      <c r="AP24" s="350">
        <f>CS_PID!AP24/VLOOKUP($B24,표2[#ALL],2)/hlookup($A24,표4[#ALL],row(),false)</f>
        <v>0</v>
      </c>
      <c r="AQ24" s="350">
        <f>CS_PID!AQ24/VLOOKUP($B24,표2[#ALL],2)/hlookup($A24,표4[#ALL],row(),false)</f>
        <v>0</v>
      </c>
      <c r="AR24" s="350">
        <f>CS_PID!AR24/VLOOKUP($B24,표2[#ALL],2)/hlookup($A24,표4[#ALL],row(),false)</f>
        <v>0</v>
      </c>
      <c r="AS24" s="350">
        <f>CS_PID!AS24/VLOOKUP($B24,표2[#ALL],2)/hlookup($A24,표4[#ALL],row(),false)</f>
        <v>0</v>
      </c>
    </row>
    <row r="25">
      <c r="A25" s="141" t="s">
        <v>78</v>
      </c>
      <c r="B25" s="142">
        <v>281.0</v>
      </c>
      <c r="C25" s="350">
        <f>CS_PID!C25/VLOOKUP($B25,표2[#ALL],2)/hlookup($A25,표4[#ALL],row(),false)</f>
        <v>0</v>
      </c>
      <c r="D25" s="350">
        <f>CS_PID!D25/VLOOKUP($B25,표2[#ALL],2)/hlookup($A25,표4[#ALL],row(),false)</f>
        <v>0.2631578947</v>
      </c>
      <c r="E25" s="350">
        <f>CS_PID!E25/VLOOKUP($B25,표2[#ALL],2)/hlookup($A25,표4[#ALL],row(),false)</f>
        <v>0.1052631579</v>
      </c>
      <c r="F25" s="350">
        <f>CS_PID!F25/VLOOKUP($B25,표2[#ALL],2)/hlookup($A25,표4[#ALL],row(),false)</f>
        <v>0</v>
      </c>
      <c r="G25" s="350">
        <f>CS_PID!G25/VLOOKUP($B25,표2[#ALL],2)/hlookup($A25,표4[#ALL],row(),false)</f>
        <v>0</v>
      </c>
      <c r="H25" s="350">
        <f>CS_PID!H25/VLOOKUP($B25,표2[#ALL],2)/hlookup($A25,표4[#ALL],row(),false)</f>
        <v>0.05263157895</v>
      </c>
      <c r="I25" s="350">
        <f>CS_PID!I25/VLOOKUP($B25,표2[#ALL],2)/hlookup($A25,표4[#ALL],row(),false)</f>
        <v>0.2105263158</v>
      </c>
      <c r="J25" s="350">
        <f>CS_PID!J25/VLOOKUP($B25,표2[#ALL],2)/hlookup($A25,표4[#ALL],row(),false)</f>
        <v>0.4736842105</v>
      </c>
      <c r="K25" s="350">
        <f>CS_PID!K25/VLOOKUP($B25,표2[#ALL],2)/hlookup($A25,표4[#ALL],row(),false)</f>
        <v>0</v>
      </c>
      <c r="L25" s="350">
        <f>CS_PID!L25/VLOOKUP($B25,표2[#ALL],2)/hlookup($A25,표4[#ALL],row(),false)</f>
        <v>0</v>
      </c>
      <c r="M25" s="350">
        <f>CS_PID!M25/VLOOKUP($B25,표2[#ALL],2)/hlookup($A25,표4[#ALL],row(),false)</f>
        <v>0</v>
      </c>
      <c r="N25" s="350">
        <f>CS_PID!N25/VLOOKUP($B25,표2[#ALL],2)/hlookup($A25,표4[#ALL],row(),false)</f>
        <v>0</v>
      </c>
      <c r="O25" s="350">
        <f>CS_PID!O25/VLOOKUP($B25,표2[#ALL],2)/hlookup($A25,표4[#ALL],row(),false)</f>
        <v>0.2105263158</v>
      </c>
      <c r="P25" s="350">
        <f>CS_PID!P25/VLOOKUP($B25,표2[#ALL],2)/hlookup($A25,표4[#ALL],row(),false)</f>
        <v>1</v>
      </c>
      <c r="Q25" s="350">
        <f>CS_PID!Q25/VLOOKUP($B25,표2[#ALL],2)/hlookup($A25,표4[#ALL],row(),false)</f>
        <v>0.05263157895</v>
      </c>
      <c r="R25" s="350">
        <f>CS_PID!R25/VLOOKUP($B25,표2[#ALL],2)/hlookup($A25,표4[#ALL],row(),false)</f>
        <v>0</v>
      </c>
      <c r="S25" s="350">
        <f>CS_PID!S25/VLOOKUP($B25,표2[#ALL],2)/hlookup($A25,표4[#ALL],row(),false)</f>
        <v>0</v>
      </c>
      <c r="T25" s="350">
        <f>CS_PID!T25/VLOOKUP($B25,표2[#ALL],2)/hlookup($A25,표4[#ALL],row(),false)</f>
        <v>0</v>
      </c>
      <c r="U25" s="350">
        <f>CS_PID!U25/VLOOKUP($B25,표2[#ALL],2)/hlookup($A25,표4[#ALL],row(),false)</f>
        <v>0.3157894737</v>
      </c>
      <c r="V25" s="350">
        <f>CS_PID!V25/VLOOKUP($B25,표2[#ALL],2)/hlookup($A25,표4[#ALL],row(),false)</f>
        <v>0.5263157895</v>
      </c>
      <c r="W25" s="350">
        <f>CS_PID!W25/VLOOKUP($B25,표2[#ALL],2)/hlookup($A25,표4[#ALL],row(),false)</f>
        <v>0.1578947368</v>
      </c>
      <c r="X25" s="350">
        <f>CS_PID!X25/VLOOKUP($B25,표2[#ALL],2)/hlookup($A25,표4[#ALL],row(),false)</f>
        <v>0</v>
      </c>
      <c r="Y25" s="350">
        <f>CS_PID!Y25/VLOOKUP($B25,표2[#ALL],2)/hlookup($A25,표4[#ALL],row(),false)</f>
        <v>0</v>
      </c>
      <c r="Z25" s="350">
        <f>CS_PID!Z25/VLOOKUP($B25,표2[#ALL],2)/hlookup($A25,표4[#ALL],row(),false)</f>
        <v>0</v>
      </c>
      <c r="AA25" s="350">
        <f>CS_PID!AA25/VLOOKUP($B25,표2[#ALL],2)/hlookup($A25,표4[#ALL],row(),false)</f>
        <v>0.1578947368</v>
      </c>
      <c r="AB25" s="350">
        <f>CS_PID!AB25/VLOOKUP($B25,표2[#ALL],2)/hlookup($A25,표4[#ALL],row(),false)</f>
        <v>0.1052631579</v>
      </c>
      <c r="AC25" s="350">
        <f>CS_PID!AC25/VLOOKUP($B25,표2[#ALL],2)/hlookup($A25,표4[#ALL],row(),false)</f>
        <v>0</v>
      </c>
      <c r="AD25" s="350">
        <f>CS_PID!AD25/VLOOKUP($B25,표2[#ALL],2)/hlookup($A25,표4[#ALL],row(),false)</f>
        <v>0</v>
      </c>
      <c r="AE25" s="350">
        <f>CS_PID!AE25/VLOOKUP($B25,표2[#ALL],2)/hlookup($A25,표4[#ALL],row(),false)</f>
        <v>0</v>
      </c>
      <c r="AF25" s="350">
        <f>CS_PID!AF25/VLOOKUP($B25,표2[#ALL],2)/hlookup($A25,표4[#ALL],row(),false)</f>
        <v>0</v>
      </c>
      <c r="AG25" s="350">
        <f>CS_PID!AG25/VLOOKUP($B25,표2[#ALL],2)/hlookup($A25,표4[#ALL],row(),false)</f>
        <v>0</v>
      </c>
      <c r="AH25" s="350">
        <f>CS_PID!AH25/VLOOKUP($B25,표2[#ALL],2)/hlookup($A25,표4[#ALL],row(),false)</f>
        <v>0.05263157895</v>
      </c>
      <c r="AI25" s="350">
        <f>CS_PID!AI25/VLOOKUP($B25,표2[#ALL],2)/hlookup($A25,표4[#ALL],row(),false)</f>
        <v>0</v>
      </c>
      <c r="AJ25" s="350">
        <f>CS_PID!AJ25/VLOOKUP($B25,표2[#ALL],2)/hlookup($A25,표4[#ALL],row(),false)</f>
        <v>0</v>
      </c>
      <c r="AK25" s="350">
        <f>CS_PID!AK25/VLOOKUP($B25,표2[#ALL],2)/hlookup($A25,표4[#ALL],row(),false)</f>
        <v>0</v>
      </c>
      <c r="AL25" s="350">
        <f>CS_PID!AL25/VLOOKUP($B25,표2[#ALL],2)/hlookup($A25,표4[#ALL],row(),false)</f>
        <v>0</v>
      </c>
      <c r="AM25" s="350">
        <f>CS_PID!AM25/VLOOKUP($B25,표2[#ALL],2)/hlookup($A25,표4[#ALL],row(),false)</f>
        <v>0</v>
      </c>
      <c r="AN25" s="350">
        <f>CS_PID!AN25/VLOOKUP($B25,표2[#ALL],2)/hlookup($A25,표4[#ALL],row(),false)</f>
        <v>0</v>
      </c>
      <c r="AO25" s="350">
        <f>CS_PID!AO25/VLOOKUP($B25,표2[#ALL],2)/hlookup($A25,표4[#ALL],row(),false)</f>
        <v>0</v>
      </c>
      <c r="AP25" s="350">
        <f>CS_PID!AP25/VLOOKUP($B25,표2[#ALL],2)/hlookup($A25,표4[#ALL],row(),false)</f>
        <v>0</v>
      </c>
      <c r="AQ25" s="350">
        <f>CS_PID!AQ25/VLOOKUP($B25,표2[#ALL],2)/hlookup($A25,표4[#ALL],row(),false)</f>
        <v>0</v>
      </c>
      <c r="AR25" s="350">
        <f>CS_PID!AR25/VLOOKUP($B25,표2[#ALL],2)/hlookup($A25,표4[#ALL],row(),false)</f>
        <v>0</v>
      </c>
      <c r="AS25" s="350">
        <f>CS_PID!AS25/VLOOKUP($B25,표2[#ALL],2)/hlookup($A25,표4[#ALL],row(),false)</f>
        <v>0</v>
      </c>
    </row>
    <row r="26">
      <c r="A26" s="141" t="s">
        <v>78</v>
      </c>
      <c r="B26" s="142">
        <v>282.0</v>
      </c>
      <c r="C26" s="350">
        <f>CS_PID!C26/VLOOKUP($B26,표2[#ALL],2)/hlookup($A26,표4[#ALL],row(),false)</f>
        <v>0.125</v>
      </c>
      <c r="D26" s="350">
        <f>CS_PID!D26/VLOOKUP($B26,표2[#ALL],2)/hlookup($A26,표4[#ALL],row(),false)</f>
        <v>0.25</v>
      </c>
      <c r="E26" s="350">
        <f>CS_PID!E26/VLOOKUP($B26,표2[#ALL],2)/hlookup($A26,표4[#ALL],row(),false)</f>
        <v>0.25</v>
      </c>
      <c r="F26" s="350">
        <f>CS_PID!F26/VLOOKUP($B26,표2[#ALL],2)/hlookup($A26,표4[#ALL],row(),false)</f>
        <v>0</v>
      </c>
      <c r="G26" s="350">
        <f>CS_PID!G26/VLOOKUP($B26,표2[#ALL],2)/hlookup($A26,표4[#ALL],row(),false)</f>
        <v>0</v>
      </c>
      <c r="H26" s="350">
        <f>CS_PID!H26/VLOOKUP($B26,표2[#ALL],2)/hlookup($A26,표4[#ALL],row(),false)</f>
        <v>0</v>
      </c>
      <c r="I26" s="350">
        <f>CS_PID!I26/VLOOKUP($B26,표2[#ALL],2)/hlookup($A26,표4[#ALL],row(),false)</f>
        <v>0.375</v>
      </c>
      <c r="J26" s="350">
        <f>CS_PID!J26/VLOOKUP($B26,표2[#ALL],2)/hlookup($A26,표4[#ALL],row(),false)</f>
        <v>0.75</v>
      </c>
      <c r="K26" s="350">
        <f>CS_PID!K26/VLOOKUP($B26,표2[#ALL],2)/hlookup($A26,표4[#ALL],row(),false)</f>
        <v>0</v>
      </c>
      <c r="L26" s="350">
        <f>CS_PID!L26/VLOOKUP($B26,표2[#ALL],2)/hlookup($A26,표4[#ALL],row(),false)</f>
        <v>0</v>
      </c>
      <c r="M26" s="350">
        <f>CS_PID!M26/VLOOKUP($B26,표2[#ALL],2)/hlookup($A26,표4[#ALL],row(),false)</f>
        <v>0</v>
      </c>
      <c r="N26" s="350">
        <f>CS_PID!N26/VLOOKUP($B26,표2[#ALL],2)/hlookup($A26,표4[#ALL],row(),false)</f>
        <v>0</v>
      </c>
      <c r="O26" s="350">
        <f>CS_PID!O26/VLOOKUP($B26,표2[#ALL],2)/hlookup($A26,표4[#ALL],row(),false)</f>
        <v>0.5</v>
      </c>
      <c r="P26" s="350">
        <f>CS_PID!P26/VLOOKUP($B26,표2[#ALL],2)/hlookup($A26,표4[#ALL],row(),false)</f>
        <v>1</v>
      </c>
      <c r="Q26" s="350">
        <f>CS_PID!Q26/VLOOKUP($B26,표2[#ALL],2)/hlookup($A26,표4[#ALL],row(),false)</f>
        <v>0</v>
      </c>
      <c r="R26" s="350">
        <f>CS_PID!R26/VLOOKUP($B26,표2[#ALL],2)/hlookup($A26,표4[#ALL],row(),false)</f>
        <v>0</v>
      </c>
      <c r="S26" s="350">
        <f>CS_PID!S26/VLOOKUP($B26,표2[#ALL],2)/hlookup($A26,표4[#ALL],row(),false)</f>
        <v>0</v>
      </c>
      <c r="T26" s="350">
        <f>CS_PID!T26/VLOOKUP($B26,표2[#ALL],2)/hlookup($A26,표4[#ALL],row(),false)</f>
        <v>0</v>
      </c>
      <c r="U26" s="350">
        <f>CS_PID!U26/VLOOKUP($B26,표2[#ALL],2)/hlookup($A26,표4[#ALL],row(),false)</f>
        <v>0.5</v>
      </c>
      <c r="V26" s="350">
        <f>CS_PID!V26/VLOOKUP($B26,표2[#ALL],2)/hlookup($A26,표4[#ALL],row(),false)</f>
        <v>1.125</v>
      </c>
      <c r="W26" s="350">
        <f>CS_PID!W26/VLOOKUP($B26,표2[#ALL],2)/hlookup($A26,표4[#ALL],row(),false)</f>
        <v>0</v>
      </c>
      <c r="X26" s="350">
        <f>CS_PID!X26/VLOOKUP($B26,표2[#ALL],2)/hlookup($A26,표4[#ALL],row(),false)</f>
        <v>0</v>
      </c>
      <c r="Y26" s="350">
        <f>CS_PID!Y26/VLOOKUP($B26,표2[#ALL],2)/hlookup($A26,표4[#ALL],row(),false)</f>
        <v>0</v>
      </c>
      <c r="Z26" s="350">
        <f>CS_PID!Z26/VLOOKUP($B26,표2[#ALL],2)/hlookup($A26,표4[#ALL],row(),false)</f>
        <v>0</v>
      </c>
      <c r="AA26" s="350">
        <f>CS_PID!AA26/VLOOKUP($B26,표2[#ALL],2)/hlookup($A26,표4[#ALL],row(),false)</f>
        <v>0.125</v>
      </c>
      <c r="AB26" s="350">
        <f>CS_PID!AB26/VLOOKUP($B26,표2[#ALL],2)/hlookup($A26,표4[#ALL],row(),false)</f>
        <v>0.125</v>
      </c>
      <c r="AC26" s="350">
        <f>CS_PID!AC26/VLOOKUP($B26,표2[#ALL],2)/hlookup($A26,표4[#ALL],row(),false)</f>
        <v>0</v>
      </c>
      <c r="AD26" s="350">
        <f>CS_PID!AD26/VLOOKUP($B26,표2[#ALL],2)/hlookup($A26,표4[#ALL],row(),false)</f>
        <v>0</v>
      </c>
      <c r="AE26" s="350">
        <f>CS_PID!AE26/VLOOKUP($B26,표2[#ALL],2)/hlookup($A26,표4[#ALL],row(),false)</f>
        <v>0</v>
      </c>
      <c r="AF26" s="350">
        <f>CS_PID!AF26/VLOOKUP($B26,표2[#ALL],2)/hlookup($A26,표4[#ALL],row(),false)</f>
        <v>0</v>
      </c>
      <c r="AG26" s="350">
        <f>CS_PID!AG26/VLOOKUP($B26,표2[#ALL],2)/hlookup($A26,표4[#ALL],row(),false)</f>
        <v>0</v>
      </c>
      <c r="AH26" s="350">
        <f>CS_PID!AH26/VLOOKUP($B26,표2[#ALL],2)/hlookup($A26,표4[#ALL],row(),false)</f>
        <v>0</v>
      </c>
      <c r="AI26" s="350">
        <f>CS_PID!AI26/VLOOKUP($B26,표2[#ALL],2)/hlookup($A26,표4[#ALL],row(),false)</f>
        <v>0</v>
      </c>
      <c r="AJ26" s="350">
        <f>CS_PID!AJ26/VLOOKUP($B26,표2[#ALL],2)/hlookup($A26,표4[#ALL],row(),false)</f>
        <v>0</v>
      </c>
      <c r="AK26" s="350">
        <f>CS_PID!AK26/VLOOKUP($B26,표2[#ALL],2)/hlookup($A26,표4[#ALL],row(),false)</f>
        <v>0</v>
      </c>
      <c r="AL26" s="350">
        <f>CS_PID!AL26/VLOOKUP($B26,표2[#ALL],2)/hlookup($A26,표4[#ALL],row(),false)</f>
        <v>0</v>
      </c>
      <c r="AM26" s="350">
        <f>CS_PID!AM26/VLOOKUP($B26,표2[#ALL],2)/hlookup($A26,표4[#ALL],row(),false)</f>
        <v>0</v>
      </c>
      <c r="AN26" s="350">
        <f>CS_PID!AN26/VLOOKUP($B26,표2[#ALL],2)/hlookup($A26,표4[#ALL],row(),false)</f>
        <v>0</v>
      </c>
      <c r="AO26" s="350">
        <f>CS_PID!AO26/VLOOKUP($B26,표2[#ALL],2)/hlookup($A26,표4[#ALL],row(),false)</f>
        <v>0</v>
      </c>
      <c r="AP26" s="350">
        <f>CS_PID!AP26/VLOOKUP($B26,표2[#ALL],2)/hlookup($A26,표4[#ALL],row(),false)</f>
        <v>0</v>
      </c>
      <c r="AQ26" s="350">
        <f>CS_PID!AQ26/VLOOKUP($B26,표2[#ALL],2)/hlookup($A26,표4[#ALL],row(),false)</f>
        <v>0</v>
      </c>
      <c r="AR26" s="350">
        <f>CS_PID!AR26/VLOOKUP($B26,표2[#ALL],2)/hlookup($A26,표4[#ALL],row(),false)</f>
        <v>0</v>
      </c>
      <c r="AS26" s="350">
        <f>CS_PID!AS26/VLOOKUP($B26,표2[#ALL],2)/hlookup($A26,표4[#ALL],row(),false)</f>
        <v>0</v>
      </c>
    </row>
    <row r="27">
      <c r="A27" s="141" t="s">
        <v>78</v>
      </c>
      <c r="B27" s="142">
        <v>283.0</v>
      </c>
      <c r="C27" s="350">
        <f>CS_PID!C27/VLOOKUP($B27,표2[#ALL],2)/hlookup($A27,표4[#ALL],row(),false)</f>
        <v>0</v>
      </c>
      <c r="D27" s="350">
        <f>CS_PID!D27/VLOOKUP($B27,표2[#ALL],2)/hlookup($A27,표4[#ALL],row(),false)</f>
        <v>0.4117647059</v>
      </c>
      <c r="E27" s="350">
        <f>CS_PID!E27/VLOOKUP($B27,표2[#ALL],2)/hlookup($A27,표4[#ALL],row(),false)</f>
        <v>0.2352941176</v>
      </c>
      <c r="F27" s="350">
        <f>CS_PID!F27/VLOOKUP($B27,표2[#ALL],2)/hlookup($A27,표4[#ALL],row(),false)</f>
        <v>0.05882352941</v>
      </c>
      <c r="G27" s="350">
        <f>CS_PID!G27/VLOOKUP($B27,표2[#ALL],2)/hlookup($A27,표4[#ALL],row(),false)</f>
        <v>0</v>
      </c>
      <c r="H27" s="350">
        <f>CS_PID!H27/VLOOKUP($B27,표2[#ALL],2)/hlookup($A27,표4[#ALL],row(),false)</f>
        <v>0.05882352941</v>
      </c>
      <c r="I27" s="350">
        <f>CS_PID!I27/VLOOKUP($B27,표2[#ALL],2)/hlookup($A27,표4[#ALL],row(),false)</f>
        <v>0.3529411765</v>
      </c>
      <c r="J27" s="350">
        <f>CS_PID!J27/VLOOKUP($B27,표2[#ALL],2)/hlookup($A27,표4[#ALL],row(),false)</f>
        <v>0.8235294118</v>
      </c>
      <c r="K27" s="350">
        <f>CS_PID!K27/VLOOKUP($B27,표2[#ALL],2)/hlookup($A27,표4[#ALL],row(),false)</f>
        <v>0.05882352941</v>
      </c>
      <c r="L27" s="350">
        <f>CS_PID!L27/VLOOKUP($B27,표2[#ALL],2)/hlookup($A27,표4[#ALL],row(),false)</f>
        <v>0</v>
      </c>
      <c r="M27" s="350">
        <f>CS_PID!M27/VLOOKUP($B27,표2[#ALL],2)/hlookup($A27,표4[#ALL],row(),false)</f>
        <v>0</v>
      </c>
      <c r="N27" s="350">
        <f>CS_PID!N27/VLOOKUP($B27,표2[#ALL],2)/hlookup($A27,표4[#ALL],row(),false)</f>
        <v>0</v>
      </c>
      <c r="O27" s="350">
        <f>CS_PID!O27/VLOOKUP($B27,표2[#ALL],2)/hlookup($A27,표4[#ALL],row(),false)</f>
        <v>0.5882352941</v>
      </c>
      <c r="P27" s="350">
        <f>CS_PID!P27/VLOOKUP($B27,표2[#ALL],2)/hlookup($A27,표4[#ALL],row(),false)</f>
        <v>1</v>
      </c>
      <c r="Q27" s="350">
        <f>CS_PID!Q27/VLOOKUP($B27,표2[#ALL],2)/hlookup($A27,표4[#ALL],row(),false)</f>
        <v>0</v>
      </c>
      <c r="R27" s="350">
        <f>CS_PID!R27/VLOOKUP($B27,표2[#ALL],2)/hlookup($A27,표4[#ALL],row(),false)</f>
        <v>0</v>
      </c>
      <c r="S27" s="350">
        <f>CS_PID!S27/VLOOKUP($B27,표2[#ALL],2)/hlookup($A27,표4[#ALL],row(),false)</f>
        <v>0</v>
      </c>
      <c r="T27" s="350">
        <f>CS_PID!T27/VLOOKUP($B27,표2[#ALL],2)/hlookup($A27,표4[#ALL],row(),false)</f>
        <v>0</v>
      </c>
      <c r="U27" s="350">
        <f>CS_PID!U27/VLOOKUP($B27,표2[#ALL],2)/hlookup($A27,표4[#ALL],row(),false)</f>
        <v>0.5882352941</v>
      </c>
      <c r="V27" s="350">
        <f>CS_PID!V27/VLOOKUP($B27,표2[#ALL],2)/hlookup($A27,표4[#ALL],row(),false)</f>
        <v>0.9411764706</v>
      </c>
      <c r="W27" s="350">
        <f>CS_PID!W27/VLOOKUP($B27,표2[#ALL],2)/hlookup($A27,표4[#ALL],row(),false)</f>
        <v>0.05882352941</v>
      </c>
      <c r="X27" s="350">
        <f>CS_PID!X27/VLOOKUP($B27,표2[#ALL],2)/hlookup($A27,표4[#ALL],row(),false)</f>
        <v>0</v>
      </c>
      <c r="Y27" s="350">
        <f>CS_PID!Y27/VLOOKUP($B27,표2[#ALL],2)/hlookup($A27,표4[#ALL],row(),false)</f>
        <v>0</v>
      </c>
      <c r="Z27" s="350">
        <f>CS_PID!Z27/VLOOKUP($B27,표2[#ALL],2)/hlookup($A27,표4[#ALL],row(),false)</f>
        <v>0</v>
      </c>
      <c r="AA27" s="350">
        <f>CS_PID!AA27/VLOOKUP($B27,표2[#ALL],2)/hlookup($A27,표4[#ALL],row(),false)</f>
        <v>0.4705882353</v>
      </c>
      <c r="AB27" s="350">
        <f>CS_PID!AB27/VLOOKUP($B27,표2[#ALL],2)/hlookup($A27,표4[#ALL],row(),false)</f>
        <v>0.1176470588</v>
      </c>
      <c r="AC27" s="350">
        <f>CS_PID!AC27/VLOOKUP($B27,표2[#ALL],2)/hlookup($A27,표4[#ALL],row(),false)</f>
        <v>0.05882352941</v>
      </c>
      <c r="AD27" s="350">
        <f>CS_PID!AD27/VLOOKUP($B27,표2[#ALL],2)/hlookup($A27,표4[#ALL],row(),false)</f>
        <v>0</v>
      </c>
      <c r="AE27" s="350">
        <f>CS_PID!AE27/VLOOKUP($B27,표2[#ALL],2)/hlookup($A27,표4[#ALL],row(),false)</f>
        <v>0</v>
      </c>
      <c r="AF27" s="350">
        <f>CS_PID!AF27/VLOOKUP($B27,표2[#ALL],2)/hlookup($A27,표4[#ALL],row(),false)</f>
        <v>0</v>
      </c>
      <c r="AG27" s="350">
        <f>CS_PID!AG27/VLOOKUP($B27,표2[#ALL],2)/hlookup($A27,표4[#ALL],row(),false)</f>
        <v>0.05882352941</v>
      </c>
      <c r="AH27" s="350">
        <f>CS_PID!AH27/VLOOKUP($B27,표2[#ALL],2)/hlookup($A27,표4[#ALL],row(),false)</f>
        <v>0</v>
      </c>
      <c r="AI27" s="350">
        <f>CS_PID!AI27/VLOOKUP($B27,표2[#ALL],2)/hlookup($A27,표4[#ALL],row(),false)</f>
        <v>0</v>
      </c>
      <c r="AJ27" s="350">
        <f>CS_PID!AJ27/VLOOKUP($B27,표2[#ALL],2)/hlookup($A27,표4[#ALL],row(),false)</f>
        <v>0</v>
      </c>
      <c r="AK27" s="350">
        <f>CS_PID!AK27/VLOOKUP($B27,표2[#ALL],2)/hlookup($A27,표4[#ALL],row(),false)</f>
        <v>0</v>
      </c>
      <c r="AL27" s="350">
        <f>CS_PID!AL27/VLOOKUP($B27,표2[#ALL],2)/hlookup($A27,표4[#ALL],row(),false)</f>
        <v>0</v>
      </c>
      <c r="AM27" s="350">
        <f>CS_PID!AM27/VLOOKUP($B27,표2[#ALL],2)/hlookup($A27,표4[#ALL],row(),false)</f>
        <v>0</v>
      </c>
      <c r="AN27" s="350">
        <f>CS_PID!AN27/VLOOKUP($B27,표2[#ALL],2)/hlookup($A27,표4[#ALL],row(),false)</f>
        <v>0</v>
      </c>
      <c r="AO27" s="350">
        <f>CS_PID!AO27/VLOOKUP($B27,표2[#ALL],2)/hlookup($A27,표4[#ALL],row(),false)</f>
        <v>0</v>
      </c>
      <c r="AP27" s="350">
        <f>CS_PID!AP27/VLOOKUP($B27,표2[#ALL],2)/hlookup($A27,표4[#ALL],row(),false)</f>
        <v>0</v>
      </c>
      <c r="AQ27" s="350">
        <f>CS_PID!AQ27/VLOOKUP($B27,표2[#ALL],2)/hlookup($A27,표4[#ALL],row(),false)</f>
        <v>0</v>
      </c>
      <c r="AR27" s="350">
        <f>CS_PID!AR27/VLOOKUP($B27,표2[#ALL],2)/hlookup($A27,표4[#ALL],row(),false)</f>
        <v>0</v>
      </c>
      <c r="AS27" s="350">
        <f>CS_PID!AS27/VLOOKUP($B27,표2[#ALL],2)/hlookup($A27,표4[#ALL],row(),false)</f>
        <v>0</v>
      </c>
    </row>
    <row r="28">
      <c r="A28" s="141" t="s">
        <v>78</v>
      </c>
      <c r="B28" s="142">
        <v>284.0</v>
      </c>
      <c r="C28" s="350">
        <f>CS_PID!C28/VLOOKUP($B28,표2[#ALL],2)/hlookup($A28,표4[#ALL],row(),false)</f>
        <v>0</v>
      </c>
      <c r="D28" s="350">
        <f>CS_PID!D28/VLOOKUP($B28,표2[#ALL],2)/hlookup($A28,표4[#ALL],row(),false)</f>
        <v>0.2</v>
      </c>
      <c r="E28" s="350">
        <f>CS_PID!E28/VLOOKUP($B28,표2[#ALL],2)/hlookup($A28,표4[#ALL],row(),false)</f>
        <v>0.12</v>
      </c>
      <c r="F28" s="350">
        <f>CS_PID!F28/VLOOKUP($B28,표2[#ALL],2)/hlookup($A28,표4[#ALL],row(),false)</f>
        <v>0.04</v>
      </c>
      <c r="G28" s="350">
        <f>CS_PID!G28/VLOOKUP($B28,표2[#ALL],2)/hlookup($A28,표4[#ALL],row(),false)</f>
        <v>0</v>
      </c>
      <c r="H28" s="350">
        <f>CS_PID!H28/VLOOKUP($B28,표2[#ALL],2)/hlookup($A28,표4[#ALL],row(),false)</f>
        <v>0</v>
      </c>
      <c r="I28" s="350">
        <f>CS_PID!I28/VLOOKUP($B28,표2[#ALL],2)/hlookup($A28,표4[#ALL],row(),false)</f>
        <v>0.24</v>
      </c>
      <c r="J28" s="350">
        <f>CS_PID!J28/VLOOKUP($B28,표2[#ALL],2)/hlookup($A28,표4[#ALL],row(),false)</f>
        <v>0.36</v>
      </c>
      <c r="K28" s="350">
        <f>CS_PID!K28/VLOOKUP($B28,표2[#ALL],2)/hlookup($A28,표4[#ALL],row(),false)</f>
        <v>0</v>
      </c>
      <c r="L28" s="350">
        <f>CS_PID!L28/VLOOKUP($B28,표2[#ALL],2)/hlookup($A28,표4[#ALL],row(),false)</f>
        <v>0</v>
      </c>
      <c r="M28" s="350">
        <f>CS_PID!M28/VLOOKUP($B28,표2[#ALL],2)/hlookup($A28,표4[#ALL],row(),false)</f>
        <v>0</v>
      </c>
      <c r="N28" s="350">
        <f>CS_PID!N28/VLOOKUP($B28,표2[#ALL],2)/hlookup($A28,표4[#ALL],row(),false)</f>
        <v>0</v>
      </c>
      <c r="O28" s="350">
        <f>CS_PID!O28/VLOOKUP($B28,표2[#ALL],2)/hlookup($A28,표4[#ALL],row(),false)</f>
        <v>0.4</v>
      </c>
      <c r="P28" s="350">
        <f>CS_PID!P28/VLOOKUP($B28,표2[#ALL],2)/hlookup($A28,표4[#ALL],row(),false)</f>
        <v>1</v>
      </c>
      <c r="Q28" s="350">
        <f>CS_PID!Q28/VLOOKUP($B28,표2[#ALL],2)/hlookup($A28,표4[#ALL],row(),false)</f>
        <v>0.08</v>
      </c>
      <c r="R28" s="350">
        <f>CS_PID!R28/VLOOKUP($B28,표2[#ALL],2)/hlookup($A28,표4[#ALL],row(),false)</f>
        <v>0</v>
      </c>
      <c r="S28" s="350">
        <f>CS_PID!S28/VLOOKUP($B28,표2[#ALL],2)/hlookup($A28,표4[#ALL],row(),false)</f>
        <v>0</v>
      </c>
      <c r="T28" s="350">
        <f>CS_PID!T28/VLOOKUP($B28,표2[#ALL],2)/hlookup($A28,표4[#ALL],row(),false)</f>
        <v>0</v>
      </c>
      <c r="U28" s="350">
        <f>CS_PID!U28/VLOOKUP($B28,표2[#ALL],2)/hlookup($A28,표4[#ALL],row(),false)</f>
        <v>0.44</v>
      </c>
      <c r="V28" s="350">
        <f>CS_PID!V28/VLOOKUP($B28,표2[#ALL],2)/hlookup($A28,표4[#ALL],row(),false)</f>
        <v>0.76</v>
      </c>
      <c r="W28" s="350">
        <f>CS_PID!W28/VLOOKUP($B28,표2[#ALL],2)/hlookup($A28,표4[#ALL],row(),false)</f>
        <v>0.04</v>
      </c>
      <c r="X28" s="350">
        <f>CS_PID!X28/VLOOKUP($B28,표2[#ALL],2)/hlookup($A28,표4[#ALL],row(),false)</f>
        <v>0</v>
      </c>
      <c r="Y28" s="350">
        <f>CS_PID!Y28/VLOOKUP($B28,표2[#ALL],2)/hlookup($A28,표4[#ALL],row(),false)</f>
        <v>0</v>
      </c>
      <c r="Z28" s="350">
        <f>CS_PID!Z28/VLOOKUP($B28,표2[#ALL],2)/hlookup($A28,표4[#ALL],row(),false)</f>
        <v>0</v>
      </c>
      <c r="AA28" s="350">
        <f>CS_PID!AA28/VLOOKUP($B28,표2[#ALL],2)/hlookup($A28,표4[#ALL],row(),false)</f>
        <v>0.16</v>
      </c>
      <c r="AB28" s="350">
        <f>CS_PID!AB28/VLOOKUP($B28,표2[#ALL],2)/hlookup($A28,표4[#ALL],row(),false)</f>
        <v>0.36</v>
      </c>
      <c r="AC28" s="350">
        <f>CS_PID!AC28/VLOOKUP($B28,표2[#ALL],2)/hlookup($A28,표4[#ALL],row(),false)</f>
        <v>0.04</v>
      </c>
      <c r="AD28" s="350">
        <f>CS_PID!AD28/VLOOKUP($B28,표2[#ALL],2)/hlookup($A28,표4[#ALL],row(),false)</f>
        <v>0</v>
      </c>
      <c r="AE28" s="350">
        <f>CS_PID!AE28/VLOOKUP($B28,표2[#ALL],2)/hlookup($A28,표4[#ALL],row(),false)</f>
        <v>0</v>
      </c>
      <c r="AF28" s="350">
        <f>CS_PID!AF28/VLOOKUP($B28,표2[#ALL],2)/hlookup($A28,표4[#ALL],row(),false)</f>
        <v>0</v>
      </c>
      <c r="AG28" s="350">
        <f>CS_PID!AG28/VLOOKUP($B28,표2[#ALL],2)/hlookup($A28,표4[#ALL],row(),false)</f>
        <v>0.04</v>
      </c>
      <c r="AH28" s="350">
        <f>CS_PID!AH28/VLOOKUP($B28,표2[#ALL],2)/hlookup($A28,표4[#ALL],row(),false)</f>
        <v>0.04</v>
      </c>
      <c r="AI28" s="350">
        <f>CS_PID!AI28/VLOOKUP($B28,표2[#ALL],2)/hlookup($A28,표4[#ALL],row(),false)</f>
        <v>0</v>
      </c>
      <c r="AJ28" s="350">
        <f>CS_PID!AJ28/VLOOKUP($B28,표2[#ALL],2)/hlookup($A28,표4[#ALL],row(),false)</f>
        <v>0</v>
      </c>
      <c r="AK28" s="350">
        <f>CS_PID!AK28/VLOOKUP($B28,표2[#ALL],2)/hlookup($A28,표4[#ALL],row(),false)</f>
        <v>0</v>
      </c>
      <c r="AL28" s="350">
        <f>CS_PID!AL28/VLOOKUP($B28,표2[#ALL],2)/hlookup($A28,표4[#ALL],row(),false)</f>
        <v>0</v>
      </c>
      <c r="AM28" s="350">
        <f>CS_PID!AM28/VLOOKUP($B28,표2[#ALL],2)/hlookup($A28,표4[#ALL],row(),false)</f>
        <v>0</v>
      </c>
      <c r="AN28" s="350">
        <f>CS_PID!AN28/VLOOKUP($B28,표2[#ALL],2)/hlookup($A28,표4[#ALL],row(),false)</f>
        <v>0</v>
      </c>
      <c r="AO28" s="350">
        <f>CS_PID!AO28/VLOOKUP($B28,표2[#ALL],2)/hlookup($A28,표4[#ALL],row(),false)</f>
        <v>0</v>
      </c>
      <c r="AP28" s="350">
        <f>CS_PID!AP28/VLOOKUP($B28,표2[#ALL],2)/hlookup($A28,표4[#ALL],row(),false)</f>
        <v>0</v>
      </c>
      <c r="AQ28" s="350">
        <f>CS_PID!AQ28/VLOOKUP($B28,표2[#ALL],2)/hlookup($A28,표4[#ALL],row(),false)</f>
        <v>0</v>
      </c>
      <c r="AR28" s="350">
        <f>CS_PID!AR28/VLOOKUP($B28,표2[#ALL],2)/hlookup($A28,표4[#ALL],row(),false)</f>
        <v>0</v>
      </c>
      <c r="AS28" s="350">
        <f>CS_PID!AS28/VLOOKUP($B28,표2[#ALL],2)/hlookup($A28,표4[#ALL],row(),false)</f>
        <v>0</v>
      </c>
    </row>
    <row r="29">
      <c r="A29" s="141" t="s">
        <v>78</v>
      </c>
      <c r="B29" s="142">
        <v>285.0</v>
      </c>
      <c r="C29" s="350">
        <f>CS_PID!C29/VLOOKUP($B29,표2[#ALL],2)/hlookup($A29,표4[#ALL],row(),false)</f>
        <v>0</v>
      </c>
      <c r="D29" s="350">
        <f>CS_PID!D29/VLOOKUP($B29,표2[#ALL],2)/hlookup($A29,표4[#ALL],row(),false)</f>
        <v>0.4303797468</v>
      </c>
      <c r="E29" s="350">
        <f>CS_PID!E29/VLOOKUP($B29,표2[#ALL],2)/hlookup($A29,표4[#ALL],row(),false)</f>
        <v>0.07594936709</v>
      </c>
      <c r="F29" s="350">
        <f>CS_PID!F29/VLOOKUP($B29,표2[#ALL],2)/hlookup($A29,표4[#ALL],row(),false)</f>
        <v>0.0253164557</v>
      </c>
      <c r="G29" s="350">
        <f>CS_PID!G29/VLOOKUP($B29,표2[#ALL],2)/hlookup($A29,표4[#ALL],row(),false)</f>
        <v>0</v>
      </c>
      <c r="H29" s="350">
        <f>CS_PID!H29/VLOOKUP($B29,표2[#ALL],2)/hlookup($A29,표4[#ALL],row(),false)</f>
        <v>0.03797468354</v>
      </c>
      <c r="I29" s="350">
        <f>CS_PID!I29/VLOOKUP($B29,표2[#ALL],2)/hlookup($A29,표4[#ALL],row(),false)</f>
        <v>0.3417721519</v>
      </c>
      <c r="J29" s="350">
        <f>CS_PID!J29/VLOOKUP($B29,표2[#ALL],2)/hlookup($A29,표4[#ALL],row(),false)</f>
        <v>0.8101265823</v>
      </c>
      <c r="K29" s="350">
        <f>CS_PID!K29/VLOOKUP($B29,표2[#ALL],2)/hlookup($A29,표4[#ALL],row(),false)</f>
        <v>0.05063291139</v>
      </c>
      <c r="L29" s="350">
        <f>CS_PID!L29/VLOOKUP($B29,표2[#ALL],2)/hlookup($A29,표4[#ALL],row(),false)</f>
        <v>0</v>
      </c>
      <c r="M29" s="350">
        <f>CS_PID!M29/VLOOKUP($B29,표2[#ALL],2)/hlookup($A29,표4[#ALL],row(),false)</f>
        <v>0</v>
      </c>
      <c r="N29" s="350">
        <f>CS_PID!N29/VLOOKUP($B29,표2[#ALL],2)/hlookup($A29,표4[#ALL],row(),false)</f>
        <v>0.01265822785</v>
      </c>
      <c r="O29" s="350">
        <f>CS_PID!O29/VLOOKUP($B29,표2[#ALL],2)/hlookup($A29,표4[#ALL],row(),false)</f>
        <v>0.7721518987</v>
      </c>
      <c r="P29" s="350">
        <f>CS_PID!P29/VLOOKUP($B29,표2[#ALL],2)/hlookup($A29,표4[#ALL],row(),false)</f>
        <v>1</v>
      </c>
      <c r="Q29" s="350">
        <f>CS_PID!Q29/VLOOKUP($B29,표2[#ALL],2)/hlookup($A29,표4[#ALL],row(),false)</f>
        <v>0.1518987342</v>
      </c>
      <c r="R29" s="350">
        <f>CS_PID!R29/VLOOKUP($B29,표2[#ALL],2)/hlookup($A29,표4[#ALL],row(),false)</f>
        <v>0</v>
      </c>
      <c r="S29" s="350">
        <f>CS_PID!S29/VLOOKUP($B29,표2[#ALL],2)/hlookup($A29,표4[#ALL],row(),false)</f>
        <v>0</v>
      </c>
      <c r="T29" s="350">
        <f>CS_PID!T29/VLOOKUP($B29,표2[#ALL],2)/hlookup($A29,표4[#ALL],row(),false)</f>
        <v>0</v>
      </c>
      <c r="U29" s="350">
        <f>CS_PID!U29/VLOOKUP($B29,표2[#ALL],2)/hlookup($A29,표4[#ALL],row(),false)</f>
        <v>0.5569620253</v>
      </c>
      <c r="V29" s="350">
        <f>CS_PID!V29/VLOOKUP($B29,표2[#ALL],2)/hlookup($A29,표4[#ALL],row(),false)</f>
        <v>1.215189873</v>
      </c>
      <c r="W29" s="350">
        <f>CS_PID!W29/VLOOKUP($B29,표2[#ALL],2)/hlookup($A29,표4[#ALL],row(),false)</f>
        <v>0.03797468354</v>
      </c>
      <c r="X29" s="350">
        <f>CS_PID!X29/VLOOKUP($B29,표2[#ALL],2)/hlookup($A29,표4[#ALL],row(),false)</f>
        <v>0</v>
      </c>
      <c r="Y29" s="350">
        <f>CS_PID!Y29/VLOOKUP($B29,표2[#ALL],2)/hlookup($A29,표4[#ALL],row(),false)</f>
        <v>0</v>
      </c>
      <c r="Z29" s="350">
        <f>CS_PID!Z29/VLOOKUP($B29,표2[#ALL],2)/hlookup($A29,표4[#ALL],row(),false)</f>
        <v>0</v>
      </c>
      <c r="AA29" s="350">
        <f>CS_PID!AA29/VLOOKUP($B29,표2[#ALL],2)/hlookup($A29,표4[#ALL],row(),false)</f>
        <v>0.2911392405</v>
      </c>
      <c r="AB29" s="350">
        <f>CS_PID!AB29/VLOOKUP($B29,표2[#ALL],2)/hlookup($A29,표4[#ALL],row(),false)</f>
        <v>0.1392405063</v>
      </c>
      <c r="AC29" s="350">
        <f>CS_PID!AC29/VLOOKUP($B29,표2[#ALL],2)/hlookup($A29,표4[#ALL],row(),false)</f>
        <v>0.01265822785</v>
      </c>
      <c r="AD29" s="350">
        <f>CS_PID!AD29/VLOOKUP($B29,표2[#ALL],2)/hlookup($A29,표4[#ALL],row(),false)</f>
        <v>0</v>
      </c>
      <c r="AE29" s="350">
        <f>CS_PID!AE29/VLOOKUP($B29,표2[#ALL],2)/hlookup($A29,표4[#ALL],row(),false)</f>
        <v>0</v>
      </c>
      <c r="AF29" s="350">
        <f>CS_PID!AF29/VLOOKUP($B29,표2[#ALL],2)/hlookup($A29,표4[#ALL],row(),false)</f>
        <v>0</v>
      </c>
      <c r="AG29" s="350">
        <f>CS_PID!AG29/VLOOKUP($B29,표2[#ALL],2)/hlookup($A29,표4[#ALL],row(),false)</f>
        <v>0.06329113924</v>
      </c>
      <c r="AH29" s="350">
        <f>CS_PID!AH29/VLOOKUP($B29,표2[#ALL],2)/hlookup($A29,표4[#ALL],row(),false)</f>
        <v>0.0253164557</v>
      </c>
      <c r="AI29" s="350">
        <f>CS_PID!AI29/VLOOKUP($B29,표2[#ALL],2)/hlookup($A29,표4[#ALL],row(),false)</f>
        <v>0</v>
      </c>
      <c r="AJ29" s="350">
        <f>CS_PID!AJ29/VLOOKUP($B29,표2[#ALL],2)/hlookup($A29,표4[#ALL],row(),false)</f>
        <v>0</v>
      </c>
      <c r="AK29" s="350">
        <f>CS_PID!AK29/VLOOKUP($B29,표2[#ALL],2)/hlookup($A29,표4[#ALL],row(),false)</f>
        <v>0</v>
      </c>
      <c r="AL29" s="350">
        <f>CS_PID!AL29/VLOOKUP($B29,표2[#ALL],2)/hlookup($A29,표4[#ALL],row(),false)</f>
        <v>0.01265822785</v>
      </c>
      <c r="AM29" s="350">
        <f>CS_PID!AM29/VLOOKUP($B29,표2[#ALL],2)/hlookup($A29,표4[#ALL],row(),false)</f>
        <v>0</v>
      </c>
      <c r="AN29" s="350">
        <f>CS_PID!AN29/VLOOKUP($B29,표2[#ALL],2)/hlookup($A29,표4[#ALL],row(),false)</f>
        <v>0</v>
      </c>
      <c r="AO29" s="350">
        <f>CS_PID!AO29/VLOOKUP($B29,표2[#ALL],2)/hlookup($A29,표4[#ALL],row(),false)</f>
        <v>0</v>
      </c>
      <c r="AP29" s="350">
        <f>CS_PID!AP29/VLOOKUP($B29,표2[#ALL],2)/hlookup($A29,표4[#ALL],row(),false)</f>
        <v>0</v>
      </c>
      <c r="AQ29" s="350">
        <f>CS_PID!AQ29/VLOOKUP($B29,표2[#ALL],2)/hlookup($A29,표4[#ALL],row(),false)</f>
        <v>0</v>
      </c>
      <c r="AR29" s="350">
        <f>CS_PID!AR29/VLOOKUP($B29,표2[#ALL],2)/hlookup($A29,표4[#ALL],row(),false)</f>
        <v>0</v>
      </c>
      <c r="AS29" s="350">
        <f>CS_PID!AS29/VLOOKUP($B29,표2[#ALL],2)/hlookup($A29,표4[#ALL],row(),false)</f>
        <v>0</v>
      </c>
    </row>
    <row r="30">
      <c r="A30" s="141" t="s">
        <v>78</v>
      </c>
      <c r="B30" s="142">
        <v>286.0</v>
      </c>
      <c r="C30" s="350">
        <f>CS_PID!C30/VLOOKUP($B30,표2[#ALL],2)/hlookup($A30,표4[#ALL],row(),false)</f>
        <v>0</v>
      </c>
      <c r="D30" s="350">
        <f>CS_PID!D30/VLOOKUP($B30,표2[#ALL],2)/hlookup($A30,표4[#ALL],row(),false)</f>
        <v>0.5714285714</v>
      </c>
      <c r="E30" s="350">
        <f>CS_PID!E30/VLOOKUP($B30,표2[#ALL],2)/hlookup($A30,표4[#ALL],row(),false)</f>
        <v>0.4285714286</v>
      </c>
      <c r="F30" s="350">
        <f>CS_PID!F30/VLOOKUP($B30,표2[#ALL],2)/hlookup($A30,표4[#ALL],row(),false)</f>
        <v>0</v>
      </c>
      <c r="G30" s="350">
        <f>CS_PID!G30/VLOOKUP($B30,표2[#ALL],2)/hlookup($A30,표4[#ALL],row(),false)</f>
        <v>0</v>
      </c>
      <c r="H30" s="350">
        <f>CS_PID!H30/VLOOKUP($B30,표2[#ALL],2)/hlookup($A30,표4[#ALL],row(),false)</f>
        <v>0</v>
      </c>
      <c r="I30" s="350">
        <f>CS_PID!I30/VLOOKUP($B30,표2[#ALL],2)/hlookup($A30,표4[#ALL],row(),false)</f>
        <v>0.1428571429</v>
      </c>
      <c r="J30" s="350">
        <f>CS_PID!J30/VLOOKUP($B30,표2[#ALL],2)/hlookup($A30,표4[#ALL],row(),false)</f>
        <v>0.8571428571</v>
      </c>
      <c r="K30" s="350">
        <f>CS_PID!K30/VLOOKUP($B30,표2[#ALL],2)/hlookup($A30,표4[#ALL],row(),false)</f>
        <v>0.1428571429</v>
      </c>
      <c r="L30" s="350">
        <f>CS_PID!L30/VLOOKUP($B30,표2[#ALL],2)/hlookup($A30,표4[#ALL],row(),false)</f>
        <v>0</v>
      </c>
      <c r="M30" s="350">
        <f>CS_PID!M30/VLOOKUP($B30,표2[#ALL],2)/hlookup($A30,표4[#ALL],row(),false)</f>
        <v>0</v>
      </c>
      <c r="N30" s="350">
        <f>CS_PID!N30/VLOOKUP($B30,표2[#ALL],2)/hlookup($A30,표4[#ALL],row(),false)</f>
        <v>0</v>
      </c>
      <c r="O30" s="350">
        <f>CS_PID!O30/VLOOKUP($B30,표2[#ALL],2)/hlookup($A30,표4[#ALL],row(),false)</f>
        <v>0.2857142857</v>
      </c>
      <c r="P30" s="350">
        <f>CS_PID!P30/VLOOKUP($B30,표2[#ALL],2)/hlookup($A30,표4[#ALL],row(),false)</f>
        <v>1</v>
      </c>
      <c r="Q30" s="350">
        <f>CS_PID!Q30/VLOOKUP($B30,표2[#ALL],2)/hlookup($A30,표4[#ALL],row(),false)</f>
        <v>0.2857142857</v>
      </c>
      <c r="R30" s="350">
        <f>CS_PID!R30/VLOOKUP($B30,표2[#ALL],2)/hlookup($A30,표4[#ALL],row(),false)</f>
        <v>0</v>
      </c>
      <c r="S30" s="350">
        <f>CS_PID!S30/VLOOKUP($B30,표2[#ALL],2)/hlookup($A30,표4[#ALL],row(),false)</f>
        <v>0</v>
      </c>
      <c r="T30" s="350">
        <f>CS_PID!T30/VLOOKUP($B30,표2[#ALL],2)/hlookup($A30,표4[#ALL],row(),false)</f>
        <v>0</v>
      </c>
      <c r="U30" s="350">
        <f>CS_PID!U30/VLOOKUP($B30,표2[#ALL],2)/hlookup($A30,표4[#ALL],row(),false)</f>
        <v>0.2857142857</v>
      </c>
      <c r="V30" s="350">
        <f>CS_PID!V30/VLOOKUP($B30,표2[#ALL],2)/hlookup($A30,표4[#ALL],row(),false)</f>
        <v>1.142857143</v>
      </c>
      <c r="W30" s="350">
        <f>CS_PID!W30/VLOOKUP($B30,표2[#ALL],2)/hlookup($A30,표4[#ALL],row(),false)</f>
        <v>0.1428571429</v>
      </c>
      <c r="X30" s="350">
        <f>CS_PID!X30/VLOOKUP($B30,표2[#ALL],2)/hlookup($A30,표4[#ALL],row(),false)</f>
        <v>0</v>
      </c>
      <c r="Y30" s="350">
        <f>CS_PID!Y30/VLOOKUP($B30,표2[#ALL],2)/hlookup($A30,표4[#ALL],row(),false)</f>
        <v>0</v>
      </c>
      <c r="Z30" s="350">
        <f>CS_PID!Z30/VLOOKUP($B30,표2[#ALL],2)/hlookup($A30,표4[#ALL],row(),false)</f>
        <v>0</v>
      </c>
      <c r="AA30" s="350">
        <f>CS_PID!AA30/VLOOKUP($B30,표2[#ALL],2)/hlookup($A30,표4[#ALL],row(),false)</f>
        <v>0.4285714286</v>
      </c>
      <c r="AB30" s="350">
        <f>CS_PID!AB30/VLOOKUP($B30,표2[#ALL],2)/hlookup($A30,표4[#ALL],row(),false)</f>
        <v>0.2857142857</v>
      </c>
      <c r="AC30" s="350">
        <f>CS_PID!AC30/VLOOKUP($B30,표2[#ALL],2)/hlookup($A30,표4[#ALL],row(),false)</f>
        <v>0</v>
      </c>
      <c r="AD30" s="350">
        <f>CS_PID!AD30/VLOOKUP($B30,표2[#ALL],2)/hlookup($A30,표4[#ALL],row(),false)</f>
        <v>0</v>
      </c>
      <c r="AE30" s="350">
        <f>CS_PID!AE30/VLOOKUP($B30,표2[#ALL],2)/hlookup($A30,표4[#ALL],row(),false)</f>
        <v>0</v>
      </c>
      <c r="AF30" s="350">
        <f>CS_PID!AF30/VLOOKUP($B30,표2[#ALL],2)/hlookup($A30,표4[#ALL],row(),false)</f>
        <v>0</v>
      </c>
      <c r="AG30" s="350">
        <f>CS_PID!AG30/VLOOKUP($B30,표2[#ALL],2)/hlookup($A30,표4[#ALL],row(),false)</f>
        <v>0</v>
      </c>
      <c r="AH30" s="350">
        <f>CS_PID!AH30/VLOOKUP($B30,표2[#ALL],2)/hlookup($A30,표4[#ALL],row(),false)</f>
        <v>0</v>
      </c>
      <c r="AI30" s="350">
        <f>CS_PID!AI30/VLOOKUP($B30,표2[#ALL],2)/hlookup($A30,표4[#ALL],row(),false)</f>
        <v>0</v>
      </c>
      <c r="AJ30" s="350">
        <f>CS_PID!AJ30/VLOOKUP($B30,표2[#ALL],2)/hlookup($A30,표4[#ALL],row(),false)</f>
        <v>0</v>
      </c>
      <c r="AK30" s="350">
        <f>CS_PID!AK30/VLOOKUP($B30,표2[#ALL],2)/hlookup($A30,표4[#ALL],row(),false)</f>
        <v>0</v>
      </c>
      <c r="AL30" s="350">
        <f>CS_PID!AL30/VLOOKUP($B30,표2[#ALL],2)/hlookup($A30,표4[#ALL],row(),false)</f>
        <v>0</v>
      </c>
      <c r="AM30" s="350">
        <f>CS_PID!AM30/VLOOKUP($B30,표2[#ALL],2)/hlookup($A30,표4[#ALL],row(),false)</f>
        <v>0</v>
      </c>
      <c r="AN30" s="350">
        <f>CS_PID!AN30/VLOOKUP($B30,표2[#ALL],2)/hlookup($A30,표4[#ALL],row(),false)</f>
        <v>0</v>
      </c>
      <c r="AO30" s="350">
        <f>CS_PID!AO30/VLOOKUP($B30,표2[#ALL],2)/hlookup($A30,표4[#ALL],row(),false)</f>
        <v>0</v>
      </c>
      <c r="AP30" s="350">
        <f>CS_PID!AP30/VLOOKUP($B30,표2[#ALL],2)/hlookup($A30,표4[#ALL],row(),false)</f>
        <v>0</v>
      </c>
      <c r="AQ30" s="350">
        <f>CS_PID!AQ30/VLOOKUP($B30,표2[#ALL],2)/hlookup($A30,표4[#ALL],row(),false)</f>
        <v>0</v>
      </c>
      <c r="AR30" s="350">
        <f>CS_PID!AR30/VLOOKUP($B30,표2[#ALL],2)/hlookup($A30,표4[#ALL],row(),false)</f>
        <v>0</v>
      </c>
      <c r="AS30" s="350">
        <f>CS_PID!AS30/VLOOKUP($B30,표2[#ALL],2)/hlookup($A30,표4[#ALL],row(),false)</f>
        <v>0</v>
      </c>
    </row>
    <row r="31">
      <c r="A31" s="141" t="s">
        <v>78</v>
      </c>
      <c r="B31" s="142">
        <v>287.0</v>
      </c>
      <c r="C31" s="350">
        <f>CS_PID!C31/VLOOKUP($B31,표2[#ALL],2)/hlookup($A31,표4[#ALL],row(),false)</f>
        <v>0</v>
      </c>
      <c r="D31" s="350">
        <f>CS_PID!D31/VLOOKUP($B31,표2[#ALL],2)/hlookup($A31,표4[#ALL],row(),false)</f>
        <v>0.2857142857</v>
      </c>
      <c r="E31" s="350">
        <f>CS_PID!E31/VLOOKUP($B31,표2[#ALL],2)/hlookup($A31,표4[#ALL],row(),false)</f>
        <v>0.1428571429</v>
      </c>
      <c r="F31" s="350">
        <f>CS_PID!F31/VLOOKUP($B31,표2[#ALL],2)/hlookup($A31,표4[#ALL],row(),false)</f>
        <v>0</v>
      </c>
      <c r="G31" s="350">
        <f>CS_PID!G31/VLOOKUP($B31,표2[#ALL],2)/hlookup($A31,표4[#ALL],row(),false)</f>
        <v>0</v>
      </c>
      <c r="H31" s="350">
        <f>CS_PID!H31/VLOOKUP($B31,표2[#ALL],2)/hlookup($A31,표4[#ALL],row(),false)</f>
        <v>0</v>
      </c>
      <c r="I31" s="350">
        <f>CS_PID!I31/VLOOKUP($B31,표2[#ALL],2)/hlookup($A31,표4[#ALL],row(),false)</f>
        <v>0.1428571429</v>
      </c>
      <c r="J31" s="350">
        <f>CS_PID!J31/VLOOKUP($B31,표2[#ALL],2)/hlookup($A31,표4[#ALL],row(),false)</f>
        <v>0.4285714286</v>
      </c>
      <c r="K31" s="350">
        <f>CS_PID!K31/VLOOKUP($B31,표2[#ALL],2)/hlookup($A31,표4[#ALL],row(),false)</f>
        <v>0.1428571429</v>
      </c>
      <c r="L31" s="350">
        <f>CS_PID!L31/VLOOKUP($B31,표2[#ALL],2)/hlookup($A31,표4[#ALL],row(),false)</f>
        <v>0</v>
      </c>
      <c r="M31" s="350">
        <f>CS_PID!M31/VLOOKUP($B31,표2[#ALL],2)/hlookup($A31,표4[#ALL],row(),false)</f>
        <v>0</v>
      </c>
      <c r="N31" s="350">
        <f>CS_PID!N31/VLOOKUP($B31,표2[#ALL],2)/hlookup($A31,표4[#ALL],row(),false)</f>
        <v>0</v>
      </c>
      <c r="O31" s="350">
        <f>CS_PID!O31/VLOOKUP($B31,표2[#ALL],2)/hlookup($A31,표4[#ALL],row(),false)</f>
        <v>0.5714285714</v>
      </c>
      <c r="P31" s="350">
        <f>CS_PID!P31/VLOOKUP($B31,표2[#ALL],2)/hlookup($A31,표4[#ALL],row(),false)</f>
        <v>1</v>
      </c>
      <c r="Q31" s="350">
        <f>CS_PID!Q31/VLOOKUP($B31,표2[#ALL],2)/hlookup($A31,표4[#ALL],row(),false)</f>
        <v>0</v>
      </c>
      <c r="R31" s="350">
        <f>CS_PID!R31/VLOOKUP($B31,표2[#ALL],2)/hlookup($A31,표4[#ALL],row(),false)</f>
        <v>0</v>
      </c>
      <c r="S31" s="350">
        <f>CS_PID!S31/VLOOKUP($B31,표2[#ALL],2)/hlookup($A31,표4[#ALL],row(),false)</f>
        <v>0</v>
      </c>
      <c r="T31" s="350">
        <f>CS_PID!T31/VLOOKUP($B31,표2[#ALL],2)/hlookup($A31,표4[#ALL],row(),false)</f>
        <v>0</v>
      </c>
      <c r="U31" s="350">
        <f>CS_PID!U31/VLOOKUP($B31,표2[#ALL],2)/hlookup($A31,표4[#ALL],row(),false)</f>
        <v>0.2857142857</v>
      </c>
      <c r="V31" s="350">
        <f>CS_PID!V31/VLOOKUP($B31,표2[#ALL],2)/hlookup($A31,표4[#ALL],row(),false)</f>
        <v>1.571428571</v>
      </c>
      <c r="W31" s="350">
        <f>CS_PID!W31/VLOOKUP($B31,표2[#ALL],2)/hlookup($A31,표4[#ALL],row(),false)</f>
        <v>0</v>
      </c>
      <c r="X31" s="350">
        <f>CS_PID!X31/VLOOKUP($B31,표2[#ALL],2)/hlookup($A31,표4[#ALL],row(),false)</f>
        <v>0</v>
      </c>
      <c r="Y31" s="350">
        <f>CS_PID!Y31/VLOOKUP($B31,표2[#ALL],2)/hlookup($A31,표4[#ALL],row(),false)</f>
        <v>0</v>
      </c>
      <c r="Z31" s="350">
        <f>CS_PID!Z31/VLOOKUP($B31,표2[#ALL],2)/hlookup($A31,표4[#ALL],row(),false)</f>
        <v>0</v>
      </c>
      <c r="AA31" s="350">
        <f>CS_PID!AA31/VLOOKUP($B31,표2[#ALL],2)/hlookup($A31,표4[#ALL],row(),false)</f>
        <v>0.5714285714</v>
      </c>
      <c r="AB31" s="350">
        <f>CS_PID!AB31/VLOOKUP($B31,표2[#ALL],2)/hlookup($A31,표4[#ALL],row(),false)</f>
        <v>0</v>
      </c>
      <c r="AC31" s="350">
        <f>CS_PID!AC31/VLOOKUP($B31,표2[#ALL],2)/hlookup($A31,표4[#ALL],row(),false)</f>
        <v>0</v>
      </c>
      <c r="AD31" s="350">
        <f>CS_PID!AD31/VLOOKUP($B31,표2[#ALL],2)/hlookup($A31,표4[#ALL],row(),false)</f>
        <v>0</v>
      </c>
      <c r="AE31" s="350">
        <f>CS_PID!AE31/VLOOKUP($B31,표2[#ALL],2)/hlookup($A31,표4[#ALL],row(),false)</f>
        <v>0</v>
      </c>
      <c r="AF31" s="350">
        <f>CS_PID!AF31/VLOOKUP($B31,표2[#ALL],2)/hlookup($A31,표4[#ALL],row(),false)</f>
        <v>0</v>
      </c>
      <c r="AG31" s="350">
        <f>CS_PID!AG31/VLOOKUP($B31,표2[#ALL],2)/hlookup($A31,표4[#ALL],row(),false)</f>
        <v>0.1428571429</v>
      </c>
      <c r="AH31" s="350">
        <f>CS_PID!AH31/VLOOKUP($B31,표2[#ALL],2)/hlookup($A31,표4[#ALL],row(),false)</f>
        <v>0</v>
      </c>
      <c r="AI31" s="350">
        <f>CS_PID!AI31/VLOOKUP($B31,표2[#ALL],2)/hlookup($A31,표4[#ALL],row(),false)</f>
        <v>0</v>
      </c>
      <c r="AJ31" s="350">
        <f>CS_PID!AJ31/VLOOKUP($B31,표2[#ALL],2)/hlookup($A31,표4[#ALL],row(),false)</f>
        <v>0</v>
      </c>
      <c r="AK31" s="350">
        <f>CS_PID!AK31/VLOOKUP($B31,표2[#ALL],2)/hlookup($A31,표4[#ALL],row(),false)</f>
        <v>0</v>
      </c>
      <c r="AL31" s="350">
        <f>CS_PID!AL31/VLOOKUP($B31,표2[#ALL],2)/hlookup($A31,표4[#ALL],row(),false)</f>
        <v>0</v>
      </c>
      <c r="AM31" s="350">
        <f>CS_PID!AM31/VLOOKUP($B31,표2[#ALL],2)/hlookup($A31,표4[#ALL],row(),false)</f>
        <v>0</v>
      </c>
      <c r="AN31" s="350">
        <f>CS_PID!AN31/VLOOKUP($B31,표2[#ALL],2)/hlookup($A31,표4[#ALL],row(),false)</f>
        <v>0</v>
      </c>
      <c r="AO31" s="350">
        <f>CS_PID!AO31/VLOOKUP($B31,표2[#ALL],2)/hlookup($A31,표4[#ALL],row(),false)</f>
        <v>0</v>
      </c>
      <c r="AP31" s="350">
        <f>CS_PID!AP31/VLOOKUP($B31,표2[#ALL],2)/hlookup($A31,표4[#ALL],row(),false)</f>
        <v>0</v>
      </c>
      <c r="AQ31" s="350">
        <f>CS_PID!AQ31/VLOOKUP($B31,표2[#ALL],2)/hlookup($A31,표4[#ALL],row(),false)</f>
        <v>0</v>
      </c>
      <c r="AR31" s="350">
        <f>CS_PID!AR31/VLOOKUP($B31,표2[#ALL],2)/hlookup($A31,표4[#ALL],row(),false)</f>
        <v>0</v>
      </c>
      <c r="AS31" s="350">
        <f>CS_PID!AS31/VLOOKUP($B31,표2[#ALL],2)/hlookup($A31,표4[#ALL],row(),false)</f>
        <v>0</v>
      </c>
    </row>
    <row r="32">
      <c r="A32" s="141" t="s">
        <v>78</v>
      </c>
      <c r="B32" s="142">
        <v>289.0</v>
      </c>
      <c r="C32" s="350">
        <f>CS_PID!C32/VLOOKUP($B32,표2[#ALL],2)/hlookup($A32,표4[#ALL],row(),false)</f>
        <v>0.01282051282</v>
      </c>
      <c r="D32" s="350">
        <f>CS_PID!D32/VLOOKUP($B32,표2[#ALL],2)/hlookup($A32,표4[#ALL],row(),false)</f>
        <v>0.4615384615</v>
      </c>
      <c r="E32" s="350">
        <f>CS_PID!E32/VLOOKUP($B32,표2[#ALL],2)/hlookup($A32,표4[#ALL],row(),false)</f>
        <v>0.07692307692</v>
      </c>
      <c r="F32" s="350">
        <f>CS_PID!F32/VLOOKUP($B32,표2[#ALL],2)/hlookup($A32,표4[#ALL],row(),false)</f>
        <v>0.03846153846</v>
      </c>
      <c r="G32" s="350">
        <f>CS_PID!G32/VLOOKUP($B32,표2[#ALL],2)/hlookup($A32,표4[#ALL],row(),false)</f>
        <v>0</v>
      </c>
      <c r="H32" s="350">
        <f>CS_PID!H32/VLOOKUP($B32,표2[#ALL],2)/hlookup($A32,표4[#ALL],row(),false)</f>
        <v>0.03846153846</v>
      </c>
      <c r="I32" s="350">
        <f>CS_PID!I32/VLOOKUP($B32,표2[#ALL],2)/hlookup($A32,표4[#ALL],row(),false)</f>
        <v>0.3717948718</v>
      </c>
      <c r="J32" s="350">
        <f>CS_PID!J32/VLOOKUP($B32,표2[#ALL],2)/hlookup($A32,표4[#ALL],row(),false)</f>
        <v>0.8076923077</v>
      </c>
      <c r="K32" s="350">
        <f>CS_PID!K32/VLOOKUP($B32,표2[#ALL],2)/hlookup($A32,표4[#ALL],row(),false)</f>
        <v>0.05128205128</v>
      </c>
      <c r="L32" s="350">
        <f>CS_PID!L32/VLOOKUP($B32,표2[#ALL],2)/hlookup($A32,표4[#ALL],row(),false)</f>
        <v>0</v>
      </c>
      <c r="M32" s="350">
        <f>CS_PID!M32/VLOOKUP($B32,표2[#ALL],2)/hlookup($A32,표4[#ALL],row(),false)</f>
        <v>0</v>
      </c>
      <c r="N32" s="350">
        <f>CS_PID!N32/VLOOKUP($B32,표2[#ALL],2)/hlookup($A32,표4[#ALL],row(),false)</f>
        <v>0</v>
      </c>
      <c r="O32" s="350">
        <f>CS_PID!O32/VLOOKUP($B32,표2[#ALL],2)/hlookup($A32,표4[#ALL],row(),false)</f>
        <v>0.6153846154</v>
      </c>
      <c r="P32" s="350">
        <f>CS_PID!P32/VLOOKUP($B32,표2[#ALL],2)/hlookup($A32,표4[#ALL],row(),false)</f>
        <v>1</v>
      </c>
      <c r="Q32" s="350">
        <f>CS_PID!Q32/VLOOKUP($B32,표2[#ALL],2)/hlookup($A32,표4[#ALL],row(),false)</f>
        <v>0.08974358974</v>
      </c>
      <c r="R32" s="350">
        <f>CS_PID!R32/VLOOKUP($B32,표2[#ALL],2)/hlookup($A32,표4[#ALL],row(),false)</f>
        <v>0</v>
      </c>
      <c r="S32" s="350">
        <f>CS_PID!S32/VLOOKUP($B32,표2[#ALL],2)/hlookup($A32,표4[#ALL],row(),false)</f>
        <v>0</v>
      </c>
      <c r="T32" s="350">
        <f>CS_PID!T32/VLOOKUP($B32,표2[#ALL],2)/hlookup($A32,표4[#ALL],row(),false)</f>
        <v>0</v>
      </c>
      <c r="U32" s="350">
        <f>CS_PID!U32/VLOOKUP($B32,표2[#ALL],2)/hlookup($A32,표4[#ALL],row(),false)</f>
        <v>0.6282051282</v>
      </c>
      <c r="V32" s="350">
        <f>CS_PID!V32/VLOOKUP($B32,표2[#ALL],2)/hlookup($A32,표4[#ALL],row(),false)</f>
        <v>1.333333333</v>
      </c>
      <c r="W32" s="350">
        <f>CS_PID!W32/VLOOKUP($B32,표2[#ALL],2)/hlookup($A32,표4[#ALL],row(),false)</f>
        <v>0.05128205128</v>
      </c>
      <c r="X32" s="350">
        <f>CS_PID!X32/VLOOKUP($B32,표2[#ALL],2)/hlookup($A32,표4[#ALL],row(),false)</f>
        <v>0</v>
      </c>
      <c r="Y32" s="350">
        <f>CS_PID!Y32/VLOOKUP($B32,표2[#ALL],2)/hlookup($A32,표4[#ALL],row(),false)</f>
        <v>0</v>
      </c>
      <c r="Z32" s="350">
        <f>CS_PID!Z32/VLOOKUP($B32,표2[#ALL],2)/hlookup($A32,표4[#ALL],row(),false)</f>
        <v>0.01282051282</v>
      </c>
      <c r="AA32" s="350">
        <f>CS_PID!AA32/VLOOKUP($B32,표2[#ALL],2)/hlookup($A32,표4[#ALL],row(),false)</f>
        <v>0.2692307692</v>
      </c>
      <c r="AB32" s="350">
        <f>CS_PID!AB32/VLOOKUP($B32,표2[#ALL],2)/hlookup($A32,표4[#ALL],row(),false)</f>
        <v>0.2435897436</v>
      </c>
      <c r="AC32" s="350">
        <f>CS_PID!AC32/VLOOKUP($B32,표2[#ALL],2)/hlookup($A32,표4[#ALL],row(),false)</f>
        <v>0.01282051282</v>
      </c>
      <c r="AD32" s="350">
        <f>CS_PID!AD32/VLOOKUP($B32,표2[#ALL],2)/hlookup($A32,표4[#ALL],row(),false)</f>
        <v>0</v>
      </c>
      <c r="AE32" s="350">
        <f>CS_PID!AE32/VLOOKUP($B32,표2[#ALL],2)/hlookup($A32,표4[#ALL],row(),false)</f>
        <v>0</v>
      </c>
      <c r="AF32" s="350">
        <f>CS_PID!AF32/VLOOKUP($B32,표2[#ALL],2)/hlookup($A32,표4[#ALL],row(),false)</f>
        <v>0</v>
      </c>
      <c r="AG32" s="350">
        <f>CS_PID!AG32/VLOOKUP($B32,표2[#ALL],2)/hlookup($A32,표4[#ALL],row(),false)</f>
        <v>0.03846153846</v>
      </c>
      <c r="AH32" s="350">
        <f>CS_PID!AH32/VLOOKUP($B32,표2[#ALL],2)/hlookup($A32,표4[#ALL],row(),false)</f>
        <v>0</v>
      </c>
      <c r="AI32" s="350">
        <f>CS_PID!AI32/VLOOKUP($B32,표2[#ALL],2)/hlookup($A32,표4[#ALL],row(),false)</f>
        <v>0</v>
      </c>
      <c r="AJ32" s="350">
        <f>CS_PID!AJ32/VLOOKUP($B32,표2[#ALL],2)/hlookup($A32,표4[#ALL],row(),false)</f>
        <v>0</v>
      </c>
      <c r="AK32" s="350">
        <f>CS_PID!AK32/VLOOKUP($B32,표2[#ALL],2)/hlookup($A32,표4[#ALL],row(),false)</f>
        <v>0</v>
      </c>
      <c r="AL32" s="350">
        <f>CS_PID!AL32/VLOOKUP($B32,표2[#ALL],2)/hlookup($A32,표4[#ALL],row(),false)</f>
        <v>0</v>
      </c>
      <c r="AM32" s="350">
        <f>CS_PID!AM32/VLOOKUP($B32,표2[#ALL],2)/hlookup($A32,표4[#ALL],row(),false)</f>
        <v>0</v>
      </c>
      <c r="AN32" s="350">
        <f>CS_PID!AN32/VLOOKUP($B32,표2[#ALL],2)/hlookup($A32,표4[#ALL],row(),false)</f>
        <v>0</v>
      </c>
      <c r="AO32" s="350">
        <f>CS_PID!AO32/VLOOKUP($B32,표2[#ALL],2)/hlookup($A32,표4[#ALL],row(),false)</f>
        <v>0</v>
      </c>
      <c r="AP32" s="350">
        <f>CS_PID!AP32/VLOOKUP($B32,표2[#ALL],2)/hlookup($A32,표4[#ALL],row(),false)</f>
        <v>0</v>
      </c>
      <c r="AQ32" s="350">
        <f>CS_PID!AQ32/VLOOKUP($B32,표2[#ALL],2)/hlookup($A32,표4[#ALL],row(),false)</f>
        <v>0</v>
      </c>
      <c r="AR32" s="350">
        <f>CS_PID!AR32/VLOOKUP($B32,표2[#ALL],2)/hlookup($A32,표4[#ALL],row(),false)</f>
        <v>0</v>
      </c>
      <c r="AS32" s="350">
        <f>CS_PID!AS32/VLOOKUP($B32,표2[#ALL],2)/hlookup($A32,표4[#ALL],row(),false)</f>
        <v>0</v>
      </c>
    </row>
    <row r="33">
      <c r="A33" s="141" t="s">
        <v>78</v>
      </c>
      <c r="B33" s="142">
        <v>290.0</v>
      </c>
      <c r="C33" s="350">
        <f>CS_PID!C33/VLOOKUP($B33,표2[#ALL],2)/hlookup($A33,표4[#ALL],row(),false)</f>
        <v>0</v>
      </c>
      <c r="D33" s="350">
        <f>CS_PID!D33/VLOOKUP($B33,표2[#ALL],2)/hlookup($A33,표4[#ALL],row(),false)</f>
        <v>0.3548387097</v>
      </c>
      <c r="E33" s="350">
        <f>CS_PID!E33/VLOOKUP($B33,표2[#ALL],2)/hlookup($A33,표4[#ALL],row(),false)</f>
        <v>0.1612903226</v>
      </c>
      <c r="F33" s="350">
        <f>CS_PID!F33/VLOOKUP($B33,표2[#ALL],2)/hlookup($A33,표4[#ALL],row(),false)</f>
        <v>0</v>
      </c>
      <c r="G33" s="350">
        <f>CS_PID!G33/VLOOKUP($B33,표2[#ALL],2)/hlookup($A33,표4[#ALL],row(),false)</f>
        <v>0</v>
      </c>
      <c r="H33" s="350">
        <f>CS_PID!H33/VLOOKUP($B33,표2[#ALL],2)/hlookup($A33,표4[#ALL],row(),false)</f>
        <v>0.03225806452</v>
      </c>
      <c r="I33" s="350">
        <f>CS_PID!I33/VLOOKUP($B33,표2[#ALL],2)/hlookup($A33,표4[#ALL],row(),false)</f>
        <v>0.435483871</v>
      </c>
      <c r="J33" s="350">
        <f>CS_PID!J33/VLOOKUP($B33,표2[#ALL],2)/hlookup($A33,표4[#ALL],row(),false)</f>
        <v>0.6774193548</v>
      </c>
      <c r="K33" s="350">
        <f>CS_PID!K33/VLOOKUP($B33,표2[#ALL],2)/hlookup($A33,표4[#ALL],row(),false)</f>
        <v>0.06451612903</v>
      </c>
      <c r="L33" s="350">
        <f>CS_PID!L33/VLOOKUP($B33,표2[#ALL],2)/hlookup($A33,표4[#ALL],row(),false)</f>
        <v>0</v>
      </c>
      <c r="M33" s="350">
        <f>CS_PID!M33/VLOOKUP($B33,표2[#ALL],2)/hlookup($A33,표4[#ALL],row(),false)</f>
        <v>0</v>
      </c>
      <c r="N33" s="350">
        <f>CS_PID!N33/VLOOKUP($B33,표2[#ALL],2)/hlookup($A33,표4[#ALL],row(),false)</f>
        <v>0</v>
      </c>
      <c r="O33" s="350">
        <f>CS_PID!O33/VLOOKUP($B33,표2[#ALL],2)/hlookup($A33,표4[#ALL],row(),false)</f>
        <v>0.9193548387</v>
      </c>
      <c r="P33" s="350">
        <f>CS_PID!P33/VLOOKUP($B33,표2[#ALL],2)/hlookup($A33,표4[#ALL],row(),false)</f>
        <v>1</v>
      </c>
      <c r="Q33" s="350">
        <f>CS_PID!Q33/VLOOKUP($B33,표2[#ALL],2)/hlookup($A33,표4[#ALL],row(),false)</f>
        <v>0.2258064516</v>
      </c>
      <c r="R33" s="350">
        <f>CS_PID!R33/VLOOKUP($B33,표2[#ALL],2)/hlookup($A33,표4[#ALL],row(),false)</f>
        <v>0</v>
      </c>
      <c r="S33" s="350">
        <f>CS_PID!S33/VLOOKUP($B33,표2[#ALL],2)/hlookup($A33,표4[#ALL],row(),false)</f>
        <v>0</v>
      </c>
      <c r="T33" s="350">
        <f>CS_PID!T33/VLOOKUP($B33,표2[#ALL],2)/hlookup($A33,표4[#ALL],row(),false)</f>
        <v>0</v>
      </c>
      <c r="U33" s="350">
        <f>CS_PID!U33/VLOOKUP($B33,표2[#ALL],2)/hlookup($A33,표4[#ALL],row(),false)</f>
        <v>0.564516129</v>
      </c>
      <c r="V33" s="350">
        <f>CS_PID!V33/VLOOKUP($B33,표2[#ALL],2)/hlookup($A33,표4[#ALL],row(),false)</f>
        <v>1.467741935</v>
      </c>
      <c r="W33" s="350">
        <f>CS_PID!W33/VLOOKUP($B33,표2[#ALL],2)/hlookup($A33,표4[#ALL],row(),false)</f>
        <v>0.03225806452</v>
      </c>
      <c r="X33" s="350">
        <f>CS_PID!X33/VLOOKUP($B33,표2[#ALL],2)/hlookup($A33,표4[#ALL],row(),false)</f>
        <v>0</v>
      </c>
      <c r="Y33" s="350">
        <f>CS_PID!Y33/VLOOKUP($B33,표2[#ALL],2)/hlookup($A33,표4[#ALL],row(),false)</f>
        <v>0</v>
      </c>
      <c r="Z33" s="350">
        <f>CS_PID!Z33/VLOOKUP($B33,표2[#ALL],2)/hlookup($A33,표4[#ALL],row(),false)</f>
        <v>0</v>
      </c>
      <c r="AA33" s="350">
        <f>CS_PID!AA33/VLOOKUP($B33,표2[#ALL],2)/hlookup($A33,표4[#ALL],row(),false)</f>
        <v>0.3709677419</v>
      </c>
      <c r="AB33" s="350">
        <f>CS_PID!AB33/VLOOKUP($B33,표2[#ALL],2)/hlookup($A33,표4[#ALL],row(),false)</f>
        <v>0.1612903226</v>
      </c>
      <c r="AC33" s="350">
        <f>CS_PID!AC33/VLOOKUP($B33,표2[#ALL],2)/hlookup($A33,표4[#ALL],row(),false)</f>
        <v>0.03225806452</v>
      </c>
      <c r="AD33" s="350">
        <f>CS_PID!AD33/VLOOKUP($B33,표2[#ALL],2)/hlookup($A33,표4[#ALL],row(),false)</f>
        <v>0</v>
      </c>
      <c r="AE33" s="350">
        <f>CS_PID!AE33/VLOOKUP($B33,표2[#ALL],2)/hlookup($A33,표4[#ALL],row(),false)</f>
        <v>0</v>
      </c>
      <c r="AF33" s="350">
        <f>CS_PID!AF33/VLOOKUP($B33,표2[#ALL],2)/hlookup($A33,표4[#ALL],row(),false)</f>
        <v>0</v>
      </c>
      <c r="AG33" s="350">
        <f>CS_PID!AG33/VLOOKUP($B33,표2[#ALL],2)/hlookup($A33,표4[#ALL],row(),false)</f>
        <v>0.08064516129</v>
      </c>
      <c r="AH33" s="350">
        <f>CS_PID!AH33/VLOOKUP($B33,표2[#ALL],2)/hlookup($A33,표4[#ALL],row(),false)</f>
        <v>0.01612903226</v>
      </c>
      <c r="AI33" s="350">
        <f>CS_PID!AI33/VLOOKUP($B33,표2[#ALL],2)/hlookup($A33,표4[#ALL],row(),false)</f>
        <v>0</v>
      </c>
      <c r="AJ33" s="350">
        <f>CS_PID!AJ33/VLOOKUP($B33,표2[#ALL],2)/hlookup($A33,표4[#ALL],row(),false)</f>
        <v>0</v>
      </c>
      <c r="AK33" s="350">
        <f>CS_PID!AK33/VLOOKUP($B33,표2[#ALL],2)/hlookup($A33,표4[#ALL],row(),false)</f>
        <v>0</v>
      </c>
      <c r="AL33" s="350">
        <f>CS_PID!AL33/VLOOKUP($B33,표2[#ALL],2)/hlookup($A33,표4[#ALL],row(),false)</f>
        <v>0</v>
      </c>
      <c r="AM33" s="350">
        <f>CS_PID!AM33/VLOOKUP($B33,표2[#ALL],2)/hlookup($A33,표4[#ALL],row(),false)</f>
        <v>0</v>
      </c>
      <c r="AN33" s="350">
        <f>CS_PID!AN33/VLOOKUP($B33,표2[#ALL],2)/hlookup($A33,표4[#ALL],row(),false)</f>
        <v>0</v>
      </c>
      <c r="AO33" s="350">
        <f>CS_PID!AO33/VLOOKUP($B33,표2[#ALL],2)/hlookup($A33,표4[#ALL],row(),false)</f>
        <v>0</v>
      </c>
      <c r="AP33" s="350">
        <f>CS_PID!AP33/VLOOKUP($B33,표2[#ALL],2)/hlookup($A33,표4[#ALL],row(),false)</f>
        <v>0</v>
      </c>
      <c r="AQ33" s="350">
        <f>CS_PID!AQ33/VLOOKUP($B33,표2[#ALL],2)/hlookup($A33,표4[#ALL],row(),false)</f>
        <v>0</v>
      </c>
      <c r="AR33" s="350">
        <f>CS_PID!AR33/VLOOKUP($B33,표2[#ALL],2)/hlookup($A33,표4[#ALL],row(),false)</f>
        <v>0</v>
      </c>
      <c r="AS33" s="350">
        <f>CS_PID!AS33/VLOOKUP($B33,표2[#ALL],2)/hlookup($A33,표4[#ALL],row(),false)</f>
        <v>0</v>
      </c>
    </row>
    <row r="34">
      <c r="A34" s="141" t="s">
        <v>78</v>
      </c>
      <c r="B34" s="142">
        <v>291.0</v>
      </c>
      <c r="C34" s="350">
        <f>CS_PID!C34/VLOOKUP($B34,표2[#ALL],2)/hlookup($A34,표4[#ALL],row(),false)</f>
        <v>0</v>
      </c>
      <c r="D34" s="350">
        <f>CS_PID!D34/VLOOKUP($B34,표2[#ALL],2)/hlookup($A34,표4[#ALL],row(),false)</f>
        <v>0.2222222222</v>
      </c>
      <c r="E34" s="350">
        <f>CS_PID!E34/VLOOKUP($B34,표2[#ALL],2)/hlookup($A34,표4[#ALL],row(),false)</f>
        <v>0.1111111111</v>
      </c>
      <c r="F34" s="350">
        <f>CS_PID!F34/VLOOKUP($B34,표2[#ALL],2)/hlookup($A34,표4[#ALL],row(),false)</f>
        <v>0</v>
      </c>
      <c r="G34" s="350">
        <f>CS_PID!G34/VLOOKUP($B34,표2[#ALL],2)/hlookup($A34,표4[#ALL],row(),false)</f>
        <v>0</v>
      </c>
      <c r="H34" s="350">
        <f>CS_PID!H34/VLOOKUP($B34,표2[#ALL],2)/hlookup($A34,표4[#ALL],row(),false)</f>
        <v>0</v>
      </c>
      <c r="I34" s="350">
        <f>CS_PID!I34/VLOOKUP($B34,표2[#ALL],2)/hlookup($A34,표4[#ALL],row(),false)</f>
        <v>0.5555555556</v>
      </c>
      <c r="J34" s="350">
        <f>CS_PID!J34/VLOOKUP($B34,표2[#ALL],2)/hlookup($A34,표4[#ALL],row(),false)</f>
        <v>0.3333333333</v>
      </c>
      <c r="K34" s="350">
        <f>CS_PID!K34/VLOOKUP($B34,표2[#ALL],2)/hlookup($A34,표4[#ALL],row(),false)</f>
        <v>0</v>
      </c>
      <c r="L34" s="350">
        <f>CS_PID!L34/VLOOKUP($B34,표2[#ALL],2)/hlookup($A34,표4[#ALL],row(),false)</f>
        <v>0</v>
      </c>
      <c r="M34" s="350">
        <f>CS_PID!M34/VLOOKUP($B34,표2[#ALL],2)/hlookup($A34,표4[#ALL],row(),false)</f>
        <v>0</v>
      </c>
      <c r="N34" s="350">
        <f>CS_PID!N34/VLOOKUP($B34,표2[#ALL],2)/hlookup($A34,표4[#ALL],row(),false)</f>
        <v>0</v>
      </c>
      <c r="O34" s="350">
        <f>CS_PID!O34/VLOOKUP($B34,표2[#ALL],2)/hlookup($A34,표4[#ALL],row(),false)</f>
        <v>0.5555555556</v>
      </c>
      <c r="P34" s="350">
        <f>CS_PID!P34/VLOOKUP($B34,표2[#ALL],2)/hlookup($A34,표4[#ALL],row(),false)</f>
        <v>1</v>
      </c>
      <c r="Q34" s="350">
        <f>CS_PID!Q34/VLOOKUP($B34,표2[#ALL],2)/hlookup($A34,표4[#ALL],row(),false)</f>
        <v>0.2222222222</v>
      </c>
      <c r="R34" s="350">
        <f>CS_PID!R34/VLOOKUP($B34,표2[#ALL],2)/hlookup($A34,표4[#ALL],row(),false)</f>
        <v>0</v>
      </c>
      <c r="S34" s="350">
        <f>CS_PID!S34/VLOOKUP($B34,표2[#ALL],2)/hlookup($A34,표4[#ALL],row(),false)</f>
        <v>0</v>
      </c>
      <c r="T34" s="350">
        <f>CS_PID!T34/VLOOKUP($B34,표2[#ALL],2)/hlookup($A34,표4[#ALL],row(),false)</f>
        <v>0</v>
      </c>
      <c r="U34" s="350">
        <f>CS_PID!U34/VLOOKUP($B34,표2[#ALL],2)/hlookup($A34,표4[#ALL],row(),false)</f>
        <v>0.6666666667</v>
      </c>
      <c r="V34" s="350">
        <f>CS_PID!V34/VLOOKUP($B34,표2[#ALL],2)/hlookup($A34,표4[#ALL],row(),false)</f>
        <v>1</v>
      </c>
      <c r="W34" s="350">
        <f>CS_PID!W34/VLOOKUP($B34,표2[#ALL],2)/hlookup($A34,표4[#ALL],row(),false)</f>
        <v>0</v>
      </c>
      <c r="X34" s="350">
        <f>CS_PID!X34/VLOOKUP($B34,표2[#ALL],2)/hlookup($A34,표4[#ALL],row(),false)</f>
        <v>0</v>
      </c>
      <c r="Y34" s="350">
        <f>CS_PID!Y34/VLOOKUP($B34,표2[#ALL],2)/hlookup($A34,표4[#ALL],row(),false)</f>
        <v>0</v>
      </c>
      <c r="Z34" s="350">
        <f>CS_PID!Z34/VLOOKUP($B34,표2[#ALL],2)/hlookup($A34,표4[#ALL],row(),false)</f>
        <v>0</v>
      </c>
      <c r="AA34" s="350">
        <f>CS_PID!AA34/VLOOKUP($B34,표2[#ALL],2)/hlookup($A34,표4[#ALL],row(),false)</f>
        <v>0.2222222222</v>
      </c>
      <c r="AB34" s="350">
        <f>CS_PID!AB34/VLOOKUP($B34,표2[#ALL],2)/hlookup($A34,표4[#ALL],row(),false)</f>
        <v>0</v>
      </c>
      <c r="AC34" s="350">
        <f>CS_PID!AC34/VLOOKUP($B34,표2[#ALL],2)/hlookup($A34,표4[#ALL],row(),false)</f>
        <v>0</v>
      </c>
      <c r="AD34" s="350">
        <f>CS_PID!AD34/VLOOKUP($B34,표2[#ALL],2)/hlookup($A34,표4[#ALL],row(),false)</f>
        <v>0</v>
      </c>
      <c r="AE34" s="350">
        <f>CS_PID!AE34/VLOOKUP($B34,표2[#ALL],2)/hlookup($A34,표4[#ALL],row(),false)</f>
        <v>0</v>
      </c>
      <c r="AF34" s="350">
        <f>CS_PID!AF34/VLOOKUP($B34,표2[#ALL],2)/hlookup($A34,표4[#ALL],row(),false)</f>
        <v>0</v>
      </c>
      <c r="AG34" s="350">
        <f>CS_PID!AG34/VLOOKUP($B34,표2[#ALL],2)/hlookup($A34,표4[#ALL],row(),false)</f>
        <v>0.2222222222</v>
      </c>
      <c r="AH34" s="350">
        <f>CS_PID!AH34/VLOOKUP($B34,표2[#ALL],2)/hlookup($A34,표4[#ALL],row(),false)</f>
        <v>0</v>
      </c>
      <c r="AI34" s="350">
        <f>CS_PID!AI34/VLOOKUP($B34,표2[#ALL],2)/hlookup($A34,표4[#ALL],row(),false)</f>
        <v>0</v>
      </c>
      <c r="AJ34" s="350">
        <f>CS_PID!AJ34/VLOOKUP($B34,표2[#ALL],2)/hlookup($A34,표4[#ALL],row(),false)</f>
        <v>0</v>
      </c>
      <c r="AK34" s="350">
        <f>CS_PID!AK34/VLOOKUP($B34,표2[#ALL],2)/hlookup($A34,표4[#ALL],row(),false)</f>
        <v>0</v>
      </c>
      <c r="AL34" s="350">
        <f>CS_PID!AL34/VLOOKUP($B34,표2[#ALL],2)/hlookup($A34,표4[#ALL],row(),false)</f>
        <v>0</v>
      </c>
      <c r="AM34" s="350">
        <f>CS_PID!AM34/VLOOKUP($B34,표2[#ALL],2)/hlookup($A34,표4[#ALL],row(),false)</f>
        <v>0</v>
      </c>
      <c r="AN34" s="350">
        <f>CS_PID!AN34/VLOOKUP($B34,표2[#ALL],2)/hlookup($A34,표4[#ALL],row(),false)</f>
        <v>0</v>
      </c>
      <c r="AO34" s="350">
        <f>CS_PID!AO34/VLOOKUP($B34,표2[#ALL],2)/hlookup($A34,표4[#ALL],row(),false)</f>
        <v>0</v>
      </c>
      <c r="AP34" s="350">
        <f>CS_PID!AP34/VLOOKUP($B34,표2[#ALL],2)/hlookup($A34,표4[#ALL],row(),false)</f>
        <v>0</v>
      </c>
      <c r="AQ34" s="350">
        <f>CS_PID!AQ34/VLOOKUP($B34,표2[#ALL],2)/hlookup($A34,표4[#ALL],row(),false)</f>
        <v>0</v>
      </c>
      <c r="AR34" s="350">
        <f>CS_PID!AR34/VLOOKUP($B34,표2[#ALL],2)/hlookup($A34,표4[#ALL],row(),false)</f>
        <v>0</v>
      </c>
      <c r="AS34" s="350">
        <f>CS_PID!AS34/VLOOKUP($B34,표2[#ALL],2)/hlookup($A34,표4[#ALL],row(),false)</f>
        <v>0</v>
      </c>
    </row>
    <row r="35">
      <c r="A35" s="141" t="s">
        <v>78</v>
      </c>
      <c r="B35" s="142">
        <v>292.0</v>
      </c>
      <c r="C35" s="350">
        <f>CS_PID!C35/VLOOKUP($B35,표2[#ALL],2)/hlookup($A35,표4[#ALL],row(),false)</f>
        <v>0.05263157895</v>
      </c>
      <c r="D35" s="350">
        <f>CS_PID!D35/VLOOKUP($B35,표2[#ALL],2)/hlookup($A35,표4[#ALL],row(),false)</f>
        <v>0.3684210526</v>
      </c>
      <c r="E35" s="350">
        <f>CS_PID!E35/VLOOKUP($B35,표2[#ALL],2)/hlookup($A35,표4[#ALL],row(),false)</f>
        <v>0.05263157895</v>
      </c>
      <c r="F35" s="350">
        <f>CS_PID!F35/VLOOKUP($B35,표2[#ALL],2)/hlookup($A35,표4[#ALL],row(),false)</f>
        <v>0</v>
      </c>
      <c r="G35" s="350">
        <f>CS_PID!G35/VLOOKUP($B35,표2[#ALL],2)/hlookup($A35,표4[#ALL],row(),false)</f>
        <v>0</v>
      </c>
      <c r="H35" s="350">
        <f>CS_PID!H35/VLOOKUP($B35,표2[#ALL],2)/hlookup($A35,표4[#ALL],row(),false)</f>
        <v>0.1578947368</v>
      </c>
      <c r="I35" s="350">
        <f>CS_PID!I35/VLOOKUP($B35,표2[#ALL],2)/hlookup($A35,표4[#ALL],row(),false)</f>
        <v>0.1578947368</v>
      </c>
      <c r="J35" s="350">
        <f>CS_PID!J35/VLOOKUP($B35,표2[#ALL],2)/hlookup($A35,표4[#ALL],row(),false)</f>
        <v>0.7894736842</v>
      </c>
      <c r="K35" s="350">
        <f>CS_PID!K35/VLOOKUP($B35,표2[#ALL],2)/hlookup($A35,표4[#ALL],row(),false)</f>
        <v>0</v>
      </c>
      <c r="L35" s="350">
        <f>CS_PID!L35/VLOOKUP($B35,표2[#ALL],2)/hlookup($A35,표4[#ALL],row(),false)</f>
        <v>0</v>
      </c>
      <c r="M35" s="350">
        <f>CS_PID!M35/VLOOKUP($B35,표2[#ALL],2)/hlookup($A35,표4[#ALL],row(),false)</f>
        <v>0</v>
      </c>
      <c r="N35" s="350">
        <f>CS_PID!N35/VLOOKUP($B35,표2[#ALL],2)/hlookup($A35,표4[#ALL],row(),false)</f>
        <v>0</v>
      </c>
      <c r="O35" s="350">
        <f>CS_PID!O35/VLOOKUP($B35,표2[#ALL],2)/hlookup($A35,표4[#ALL],row(),false)</f>
        <v>0.6315789474</v>
      </c>
      <c r="P35" s="350">
        <f>CS_PID!P35/VLOOKUP($B35,표2[#ALL],2)/hlookup($A35,표4[#ALL],row(),false)</f>
        <v>1</v>
      </c>
      <c r="Q35" s="350">
        <f>CS_PID!Q35/VLOOKUP($B35,표2[#ALL],2)/hlookup($A35,표4[#ALL],row(),false)</f>
        <v>0.1052631579</v>
      </c>
      <c r="R35" s="350">
        <f>CS_PID!R35/VLOOKUP($B35,표2[#ALL],2)/hlookup($A35,표4[#ALL],row(),false)</f>
        <v>0</v>
      </c>
      <c r="S35" s="350">
        <f>CS_PID!S35/VLOOKUP($B35,표2[#ALL],2)/hlookup($A35,표4[#ALL],row(),false)</f>
        <v>0</v>
      </c>
      <c r="T35" s="350">
        <f>CS_PID!T35/VLOOKUP($B35,표2[#ALL],2)/hlookup($A35,표4[#ALL],row(),false)</f>
        <v>0</v>
      </c>
      <c r="U35" s="350">
        <f>CS_PID!U35/VLOOKUP($B35,표2[#ALL],2)/hlookup($A35,표4[#ALL],row(),false)</f>
        <v>0.7894736842</v>
      </c>
      <c r="V35" s="350">
        <f>CS_PID!V35/VLOOKUP($B35,표2[#ALL],2)/hlookup($A35,표4[#ALL],row(),false)</f>
        <v>1.473684211</v>
      </c>
      <c r="W35" s="350">
        <f>CS_PID!W35/VLOOKUP($B35,표2[#ALL],2)/hlookup($A35,표4[#ALL],row(),false)</f>
        <v>0.05263157895</v>
      </c>
      <c r="X35" s="350">
        <f>CS_PID!X35/VLOOKUP($B35,표2[#ALL],2)/hlookup($A35,표4[#ALL],row(),false)</f>
        <v>0</v>
      </c>
      <c r="Y35" s="350">
        <f>CS_PID!Y35/VLOOKUP($B35,표2[#ALL],2)/hlookup($A35,표4[#ALL],row(),false)</f>
        <v>0</v>
      </c>
      <c r="Z35" s="350">
        <f>CS_PID!Z35/VLOOKUP($B35,표2[#ALL],2)/hlookup($A35,표4[#ALL],row(),false)</f>
        <v>0</v>
      </c>
      <c r="AA35" s="350">
        <f>CS_PID!AA35/VLOOKUP($B35,표2[#ALL],2)/hlookup($A35,표4[#ALL],row(),false)</f>
        <v>0.1052631579</v>
      </c>
      <c r="AB35" s="350">
        <f>CS_PID!AB35/VLOOKUP($B35,표2[#ALL],2)/hlookup($A35,표4[#ALL],row(),false)</f>
        <v>0.4736842105</v>
      </c>
      <c r="AC35" s="350">
        <f>CS_PID!AC35/VLOOKUP($B35,표2[#ALL],2)/hlookup($A35,표4[#ALL],row(),false)</f>
        <v>0.05263157895</v>
      </c>
      <c r="AD35" s="350">
        <f>CS_PID!AD35/VLOOKUP($B35,표2[#ALL],2)/hlookup($A35,표4[#ALL],row(),false)</f>
        <v>0</v>
      </c>
      <c r="AE35" s="350">
        <f>CS_PID!AE35/VLOOKUP($B35,표2[#ALL],2)/hlookup($A35,표4[#ALL],row(),false)</f>
        <v>0</v>
      </c>
      <c r="AF35" s="350">
        <f>CS_PID!AF35/VLOOKUP($B35,표2[#ALL],2)/hlookup($A35,표4[#ALL],row(),false)</f>
        <v>0</v>
      </c>
      <c r="AG35" s="350">
        <f>CS_PID!AG35/VLOOKUP($B35,표2[#ALL],2)/hlookup($A35,표4[#ALL],row(),false)</f>
        <v>0</v>
      </c>
      <c r="AH35" s="350">
        <f>CS_PID!AH35/VLOOKUP($B35,표2[#ALL],2)/hlookup($A35,표4[#ALL],row(),false)</f>
        <v>0</v>
      </c>
      <c r="AI35" s="350">
        <f>CS_PID!AI35/VLOOKUP($B35,표2[#ALL],2)/hlookup($A35,표4[#ALL],row(),false)</f>
        <v>0</v>
      </c>
      <c r="AJ35" s="350">
        <f>CS_PID!AJ35/VLOOKUP($B35,표2[#ALL],2)/hlookup($A35,표4[#ALL],row(),false)</f>
        <v>0</v>
      </c>
      <c r="AK35" s="350">
        <f>CS_PID!AK35/VLOOKUP($B35,표2[#ALL],2)/hlookup($A35,표4[#ALL],row(),false)</f>
        <v>0</v>
      </c>
      <c r="AL35" s="350">
        <f>CS_PID!AL35/VLOOKUP($B35,표2[#ALL],2)/hlookup($A35,표4[#ALL],row(),false)</f>
        <v>0</v>
      </c>
      <c r="AM35" s="350">
        <f>CS_PID!AM35/VLOOKUP($B35,표2[#ALL],2)/hlookup($A35,표4[#ALL],row(),false)</f>
        <v>0</v>
      </c>
      <c r="AN35" s="350">
        <f>CS_PID!AN35/VLOOKUP($B35,표2[#ALL],2)/hlookup($A35,표4[#ALL],row(),false)</f>
        <v>0</v>
      </c>
      <c r="AO35" s="350">
        <f>CS_PID!AO35/VLOOKUP($B35,표2[#ALL],2)/hlookup($A35,표4[#ALL],row(),false)</f>
        <v>0</v>
      </c>
      <c r="AP35" s="350">
        <f>CS_PID!AP35/VLOOKUP($B35,표2[#ALL],2)/hlookup($A35,표4[#ALL],row(),false)</f>
        <v>0</v>
      </c>
      <c r="AQ35" s="350">
        <f>CS_PID!AQ35/VLOOKUP($B35,표2[#ALL],2)/hlookup($A35,표4[#ALL],row(),false)</f>
        <v>0</v>
      </c>
      <c r="AR35" s="350">
        <f>CS_PID!AR35/VLOOKUP($B35,표2[#ALL],2)/hlookup($A35,표4[#ALL],row(),false)</f>
        <v>0</v>
      </c>
      <c r="AS35" s="350">
        <f>CS_PID!AS35/VLOOKUP($B35,표2[#ALL],2)/hlookup($A35,표4[#ALL],row(),false)</f>
        <v>0</v>
      </c>
    </row>
    <row r="36">
      <c r="A36" s="141" t="s">
        <v>78</v>
      </c>
      <c r="B36" s="142">
        <v>293.0</v>
      </c>
      <c r="C36" s="350">
        <f>CS_PID!C36/VLOOKUP($B36,표2[#ALL],2)/hlookup($A36,표4[#ALL],row(),false)</f>
        <v>0.01612903226</v>
      </c>
      <c r="D36" s="350">
        <f>CS_PID!D36/VLOOKUP($B36,표2[#ALL],2)/hlookup($A36,표4[#ALL],row(),false)</f>
        <v>0.3870967742</v>
      </c>
      <c r="E36" s="350">
        <f>CS_PID!E36/VLOOKUP($B36,표2[#ALL],2)/hlookup($A36,표4[#ALL],row(),false)</f>
        <v>0.1290322581</v>
      </c>
      <c r="F36" s="350">
        <f>CS_PID!F36/VLOOKUP($B36,표2[#ALL],2)/hlookup($A36,표4[#ALL],row(),false)</f>
        <v>0.01612903226</v>
      </c>
      <c r="G36" s="350">
        <f>CS_PID!G36/VLOOKUP($B36,표2[#ALL],2)/hlookup($A36,표4[#ALL],row(),false)</f>
        <v>0</v>
      </c>
      <c r="H36" s="350">
        <f>CS_PID!H36/VLOOKUP($B36,표2[#ALL],2)/hlookup($A36,표4[#ALL],row(),false)</f>
        <v>0.09677419355</v>
      </c>
      <c r="I36" s="350">
        <f>CS_PID!I36/VLOOKUP($B36,표2[#ALL],2)/hlookup($A36,표4[#ALL],row(),false)</f>
        <v>0.4677419355</v>
      </c>
      <c r="J36" s="350">
        <f>CS_PID!J36/VLOOKUP($B36,표2[#ALL],2)/hlookup($A36,표4[#ALL],row(),false)</f>
        <v>0.7419354839</v>
      </c>
      <c r="K36" s="350">
        <f>CS_PID!K36/VLOOKUP($B36,표2[#ALL],2)/hlookup($A36,표4[#ALL],row(),false)</f>
        <v>0.09677419355</v>
      </c>
      <c r="L36" s="350">
        <f>CS_PID!L36/VLOOKUP($B36,표2[#ALL],2)/hlookup($A36,표4[#ALL],row(),false)</f>
        <v>0</v>
      </c>
      <c r="M36" s="350">
        <f>CS_PID!M36/VLOOKUP($B36,표2[#ALL],2)/hlookup($A36,표4[#ALL],row(),false)</f>
        <v>0</v>
      </c>
      <c r="N36" s="350">
        <f>CS_PID!N36/VLOOKUP($B36,표2[#ALL],2)/hlookup($A36,표4[#ALL],row(),false)</f>
        <v>0</v>
      </c>
      <c r="O36" s="350">
        <f>CS_PID!O36/VLOOKUP($B36,표2[#ALL],2)/hlookup($A36,표4[#ALL],row(),false)</f>
        <v>0.935483871</v>
      </c>
      <c r="P36" s="350">
        <f>CS_PID!P36/VLOOKUP($B36,표2[#ALL],2)/hlookup($A36,표4[#ALL],row(),false)</f>
        <v>1</v>
      </c>
      <c r="Q36" s="350">
        <f>CS_PID!Q36/VLOOKUP($B36,표2[#ALL],2)/hlookup($A36,표4[#ALL],row(),false)</f>
        <v>0.1290322581</v>
      </c>
      <c r="R36" s="350">
        <f>CS_PID!R36/VLOOKUP($B36,표2[#ALL],2)/hlookup($A36,표4[#ALL],row(),false)</f>
        <v>0</v>
      </c>
      <c r="S36" s="350">
        <f>CS_PID!S36/VLOOKUP($B36,표2[#ALL],2)/hlookup($A36,표4[#ALL],row(),false)</f>
        <v>0</v>
      </c>
      <c r="T36" s="350">
        <f>CS_PID!T36/VLOOKUP($B36,표2[#ALL],2)/hlookup($A36,표4[#ALL],row(),false)</f>
        <v>0.03225806452</v>
      </c>
      <c r="U36" s="350">
        <f>CS_PID!U36/VLOOKUP($B36,표2[#ALL],2)/hlookup($A36,표4[#ALL],row(),false)</f>
        <v>0.6612903226</v>
      </c>
      <c r="V36" s="350">
        <f>CS_PID!V36/VLOOKUP($B36,표2[#ALL],2)/hlookup($A36,표4[#ALL],row(),false)</f>
        <v>1.112903226</v>
      </c>
      <c r="W36" s="350">
        <f>CS_PID!W36/VLOOKUP($B36,표2[#ALL],2)/hlookup($A36,표4[#ALL],row(),false)</f>
        <v>0.03225806452</v>
      </c>
      <c r="X36" s="350">
        <f>CS_PID!X36/VLOOKUP($B36,표2[#ALL],2)/hlookup($A36,표4[#ALL],row(),false)</f>
        <v>0</v>
      </c>
      <c r="Y36" s="350">
        <f>CS_PID!Y36/VLOOKUP($B36,표2[#ALL],2)/hlookup($A36,표4[#ALL],row(),false)</f>
        <v>0</v>
      </c>
      <c r="Z36" s="350">
        <f>CS_PID!Z36/VLOOKUP($B36,표2[#ALL],2)/hlookup($A36,표4[#ALL],row(),false)</f>
        <v>0.04838709677</v>
      </c>
      <c r="AA36" s="350">
        <f>CS_PID!AA36/VLOOKUP($B36,표2[#ALL],2)/hlookup($A36,표4[#ALL],row(),false)</f>
        <v>0.3709677419</v>
      </c>
      <c r="AB36" s="350">
        <f>CS_PID!AB36/VLOOKUP($B36,표2[#ALL],2)/hlookup($A36,표4[#ALL],row(),false)</f>
        <v>0.3225806452</v>
      </c>
      <c r="AC36" s="350">
        <f>CS_PID!AC36/VLOOKUP($B36,표2[#ALL],2)/hlookup($A36,표4[#ALL],row(),false)</f>
        <v>0</v>
      </c>
      <c r="AD36" s="350">
        <f>CS_PID!AD36/VLOOKUP($B36,표2[#ALL],2)/hlookup($A36,표4[#ALL],row(),false)</f>
        <v>0</v>
      </c>
      <c r="AE36" s="350">
        <f>CS_PID!AE36/VLOOKUP($B36,표2[#ALL],2)/hlookup($A36,표4[#ALL],row(),false)</f>
        <v>0</v>
      </c>
      <c r="AF36" s="350">
        <f>CS_PID!AF36/VLOOKUP($B36,표2[#ALL],2)/hlookup($A36,표4[#ALL],row(),false)</f>
        <v>0</v>
      </c>
      <c r="AG36" s="350">
        <f>CS_PID!AG36/VLOOKUP($B36,표2[#ALL],2)/hlookup($A36,표4[#ALL],row(),false)</f>
        <v>0.1129032258</v>
      </c>
      <c r="AH36" s="350">
        <f>CS_PID!AH36/VLOOKUP($B36,표2[#ALL],2)/hlookup($A36,표4[#ALL],row(),false)</f>
        <v>0.01612903226</v>
      </c>
      <c r="AI36" s="350">
        <f>CS_PID!AI36/VLOOKUP($B36,표2[#ALL],2)/hlookup($A36,표4[#ALL],row(),false)</f>
        <v>0</v>
      </c>
      <c r="AJ36" s="350">
        <f>CS_PID!AJ36/VLOOKUP($B36,표2[#ALL],2)/hlookup($A36,표4[#ALL],row(),false)</f>
        <v>0</v>
      </c>
      <c r="AK36" s="350">
        <f>CS_PID!AK36/VLOOKUP($B36,표2[#ALL],2)/hlookup($A36,표4[#ALL],row(),false)</f>
        <v>0</v>
      </c>
      <c r="AL36" s="350">
        <f>CS_PID!AL36/VLOOKUP($B36,표2[#ALL],2)/hlookup($A36,표4[#ALL],row(),false)</f>
        <v>0</v>
      </c>
      <c r="AM36" s="350">
        <f>CS_PID!AM36/VLOOKUP($B36,표2[#ALL],2)/hlookup($A36,표4[#ALL],row(),false)</f>
        <v>0</v>
      </c>
      <c r="AN36" s="350">
        <f>CS_PID!AN36/VLOOKUP($B36,표2[#ALL],2)/hlookup($A36,표4[#ALL],row(),false)</f>
        <v>0</v>
      </c>
      <c r="AO36" s="350">
        <f>CS_PID!AO36/VLOOKUP($B36,표2[#ALL],2)/hlookup($A36,표4[#ALL],row(),false)</f>
        <v>0</v>
      </c>
      <c r="AP36" s="350">
        <f>CS_PID!AP36/VLOOKUP($B36,표2[#ALL],2)/hlookup($A36,표4[#ALL],row(),false)</f>
        <v>0</v>
      </c>
      <c r="AQ36" s="350">
        <f>CS_PID!AQ36/VLOOKUP($B36,표2[#ALL],2)/hlookup($A36,표4[#ALL],row(),false)</f>
        <v>0</v>
      </c>
      <c r="AR36" s="350">
        <f>CS_PID!AR36/VLOOKUP($B36,표2[#ALL],2)/hlookup($A36,표4[#ALL],row(),false)</f>
        <v>0</v>
      </c>
      <c r="AS36" s="350">
        <f>CS_PID!AS36/VLOOKUP($B36,표2[#ALL],2)/hlookup($A36,표4[#ALL],row(),false)</f>
        <v>0</v>
      </c>
    </row>
    <row r="37">
      <c r="A37" s="141" t="s">
        <v>78</v>
      </c>
      <c r="B37" s="142">
        <v>294.0</v>
      </c>
      <c r="C37" s="350">
        <f>CS_PID!C37/VLOOKUP($B37,표2[#ALL],2)/hlookup($A37,표4[#ALL],row(),false)</f>
        <v>0.1111111111</v>
      </c>
      <c r="D37" s="350">
        <f>CS_PID!D37/VLOOKUP($B37,표2[#ALL],2)/hlookup($A37,표4[#ALL],row(),false)</f>
        <v>0.5555555556</v>
      </c>
      <c r="E37" s="350">
        <f>CS_PID!E37/VLOOKUP($B37,표2[#ALL],2)/hlookup($A37,표4[#ALL],row(),false)</f>
        <v>0.1111111111</v>
      </c>
      <c r="F37" s="350">
        <f>CS_PID!F37/VLOOKUP($B37,표2[#ALL],2)/hlookup($A37,표4[#ALL],row(),false)</f>
        <v>0</v>
      </c>
      <c r="G37" s="350">
        <f>CS_PID!G37/VLOOKUP($B37,표2[#ALL],2)/hlookup($A37,표4[#ALL],row(),false)</f>
        <v>0</v>
      </c>
      <c r="H37" s="350">
        <f>CS_PID!H37/VLOOKUP($B37,표2[#ALL],2)/hlookup($A37,표4[#ALL],row(),false)</f>
        <v>0</v>
      </c>
      <c r="I37" s="350">
        <f>CS_PID!I37/VLOOKUP($B37,표2[#ALL],2)/hlookup($A37,표4[#ALL],row(),false)</f>
        <v>0.5555555556</v>
      </c>
      <c r="J37" s="350">
        <f>CS_PID!J37/VLOOKUP($B37,표2[#ALL],2)/hlookup($A37,표4[#ALL],row(),false)</f>
        <v>0.6666666667</v>
      </c>
      <c r="K37" s="350">
        <f>CS_PID!K37/VLOOKUP($B37,표2[#ALL],2)/hlookup($A37,표4[#ALL],row(),false)</f>
        <v>0</v>
      </c>
      <c r="L37" s="350">
        <f>CS_PID!L37/VLOOKUP($B37,표2[#ALL],2)/hlookup($A37,표4[#ALL],row(),false)</f>
        <v>0</v>
      </c>
      <c r="M37" s="350">
        <f>CS_PID!M37/VLOOKUP($B37,표2[#ALL],2)/hlookup($A37,표4[#ALL],row(),false)</f>
        <v>0</v>
      </c>
      <c r="N37" s="350">
        <f>CS_PID!N37/VLOOKUP($B37,표2[#ALL],2)/hlookup($A37,표4[#ALL],row(),false)</f>
        <v>0</v>
      </c>
      <c r="O37" s="350">
        <f>CS_PID!O37/VLOOKUP($B37,표2[#ALL],2)/hlookup($A37,표4[#ALL],row(),false)</f>
        <v>1.111111111</v>
      </c>
      <c r="P37" s="350">
        <f>CS_PID!P37/VLOOKUP($B37,표2[#ALL],2)/hlookup($A37,표4[#ALL],row(),false)</f>
        <v>1</v>
      </c>
      <c r="Q37" s="350">
        <f>CS_PID!Q37/VLOOKUP($B37,표2[#ALL],2)/hlookup($A37,표4[#ALL],row(),false)</f>
        <v>0.1111111111</v>
      </c>
      <c r="R37" s="350">
        <f>CS_PID!R37/VLOOKUP($B37,표2[#ALL],2)/hlookup($A37,표4[#ALL],row(),false)</f>
        <v>0</v>
      </c>
      <c r="S37" s="350">
        <f>CS_PID!S37/VLOOKUP($B37,표2[#ALL],2)/hlookup($A37,표4[#ALL],row(),false)</f>
        <v>0</v>
      </c>
      <c r="T37" s="350">
        <f>CS_PID!T37/VLOOKUP($B37,표2[#ALL],2)/hlookup($A37,표4[#ALL],row(),false)</f>
        <v>0</v>
      </c>
      <c r="U37" s="350">
        <f>CS_PID!U37/VLOOKUP($B37,표2[#ALL],2)/hlookup($A37,표4[#ALL],row(),false)</f>
        <v>0.6666666667</v>
      </c>
      <c r="V37" s="350">
        <f>CS_PID!V37/VLOOKUP($B37,표2[#ALL],2)/hlookup($A37,표4[#ALL],row(),false)</f>
        <v>2</v>
      </c>
      <c r="W37" s="350">
        <f>CS_PID!W37/VLOOKUP($B37,표2[#ALL],2)/hlookup($A37,표4[#ALL],row(),false)</f>
        <v>0</v>
      </c>
      <c r="X37" s="350">
        <f>CS_PID!X37/VLOOKUP($B37,표2[#ALL],2)/hlookup($A37,표4[#ALL],row(),false)</f>
        <v>0</v>
      </c>
      <c r="Y37" s="350">
        <f>CS_PID!Y37/VLOOKUP($B37,표2[#ALL],2)/hlookup($A37,표4[#ALL],row(),false)</f>
        <v>0</v>
      </c>
      <c r="Z37" s="350">
        <f>CS_PID!Z37/VLOOKUP($B37,표2[#ALL],2)/hlookup($A37,표4[#ALL],row(),false)</f>
        <v>0</v>
      </c>
      <c r="AA37" s="350">
        <f>CS_PID!AA37/VLOOKUP($B37,표2[#ALL],2)/hlookup($A37,표4[#ALL],row(),false)</f>
        <v>0.6666666667</v>
      </c>
      <c r="AB37" s="350">
        <f>CS_PID!AB37/VLOOKUP($B37,표2[#ALL],2)/hlookup($A37,표4[#ALL],row(),false)</f>
        <v>0.1111111111</v>
      </c>
      <c r="AC37" s="350">
        <f>CS_PID!AC37/VLOOKUP($B37,표2[#ALL],2)/hlookup($A37,표4[#ALL],row(),false)</f>
        <v>0</v>
      </c>
      <c r="AD37" s="350">
        <f>CS_PID!AD37/VLOOKUP($B37,표2[#ALL],2)/hlookup($A37,표4[#ALL],row(),false)</f>
        <v>0</v>
      </c>
      <c r="AE37" s="350">
        <f>CS_PID!AE37/VLOOKUP($B37,표2[#ALL],2)/hlookup($A37,표4[#ALL],row(),false)</f>
        <v>0</v>
      </c>
      <c r="AF37" s="350">
        <f>CS_PID!AF37/VLOOKUP($B37,표2[#ALL],2)/hlookup($A37,표4[#ALL],row(),false)</f>
        <v>0</v>
      </c>
      <c r="AG37" s="350">
        <f>CS_PID!AG37/VLOOKUP($B37,표2[#ALL],2)/hlookup($A37,표4[#ALL],row(),false)</f>
        <v>0.1111111111</v>
      </c>
      <c r="AH37" s="350">
        <f>CS_PID!AH37/VLOOKUP($B37,표2[#ALL],2)/hlookup($A37,표4[#ALL],row(),false)</f>
        <v>0</v>
      </c>
      <c r="AI37" s="350">
        <f>CS_PID!AI37/VLOOKUP($B37,표2[#ALL],2)/hlookup($A37,표4[#ALL],row(),false)</f>
        <v>0</v>
      </c>
      <c r="AJ37" s="350">
        <f>CS_PID!AJ37/VLOOKUP($B37,표2[#ALL],2)/hlookup($A37,표4[#ALL],row(),false)</f>
        <v>0</v>
      </c>
      <c r="AK37" s="350">
        <f>CS_PID!AK37/VLOOKUP($B37,표2[#ALL],2)/hlookup($A37,표4[#ALL],row(),false)</f>
        <v>0</v>
      </c>
      <c r="AL37" s="350">
        <f>CS_PID!AL37/VLOOKUP($B37,표2[#ALL],2)/hlookup($A37,표4[#ALL],row(),false)</f>
        <v>0</v>
      </c>
      <c r="AM37" s="350">
        <f>CS_PID!AM37/VLOOKUP($B37,표2[#ALL],2)/hlookup($A37,표4[#ALL],row(),false)</f>
        <v>0</v>
      </c>
      <c r="AN37" s="350">
        <f>CS_PID!AN37/VLOOKUP($B37,표2[#ALL],2)/hlookup($A37,표4[#ALL],row(),false)</f>
        <v>0</v>
      </c>
      <c r="AO37" s="350">
        <f>CS_PID!AO37/VLOOKUP($B37,표2[#ALL],2)/hlookup($A37,표4[#ALL],row(),false)</f>
        <v>0</v>
      </c>
      <c r="AP37" s="350">
        <f>CS_PID!AP37/VLOOKUP($B37,표2[#ALL],2)/hlookup($A37,표4[#ALL],row(),false)</f>
        <v>0</v>
      </c>
      <c r="AQ37" s="350">
        <f>CS_PID!AQ37/VLOOKUP($B37,표2[#ALL],2)/hlookup($A37,표4[#ALL],row(),false)</f>
        <v>0</v>
      </c>
      <c r="AR37" s="350">
        <f>CS_PID!AR37/VLOOKUP($B37,표2[#ALL],2)/hlookup($A37,표4[#ALL],row(),false)</f>
        <v>0</v>
      </c>
      <c r="AS37" s="350">
        <f>CS_PID!AS37/VLOOKUP($B37,표2[#ALL],2)/hlookup($A37,표4[#ALL],row(),false)</f>
        <v>0</v>
      </c>
    </row>
    <row r="38">
      <c r="A38" s="141" t="s">
        <v>78</v>
      </c>
      <c r="B38" s="142">
        <v>295.0</v>
      </c>
      <c r="C38" s="350">
        <f>CS_PID!C38/VLOOKUP($B38,표2[#ALL],2)/hlookup($A38,표4[#ALL],row(),false)</f>
        <v>0.05263157895</v>
      </c>
      <c r="D38" s="350">
        <f>CS_PID!D38/VLOOKUP($B38,표2[#ALL],2)/hlookup($A38,표4[#ALL],row(),false)</f>
        <v>0.8421052632</v>
      </c>
      <c r="E38" s="350">
        <f>CS_PID!E38/VLOOKUP($B38,표2[#ALL],2)/hlookup($A38,표4[#ALL],row(),false)</f>
        <v>0.2105263158</v>
      </c>
      <c r="F38" s="350">
        <f>CS_PID!F38/VLOOKUP($B38,표2[#ALL],2)/hlookup($A38,표4[#ALL],row(),false)</f>
        <v>0</v>
      </c>
      <c r="G38" s="350">
        <f>CS_PID!G38/VLOOKUP($B38,표2[#ALL],2)/hlookup($A38,표4[#ALL],row(),false)</f>
        <v>0</v>
      </c>
      <c r="H38" s="350">
        <f>CS_PID!H38/VLOOKUP($B38,표2[#ALL],2)/hlookup($A38,표4[#ALL],row(),false)</f>
        <v>0.1578947368</v>
      </c>
      <c r="I38" s="350">
        <f>CS_PID!I38/VLOOKUP($B38,표2[#ALL],2)/hlookup($A38,표4[#ALL],row(),false)</f>
        <v>0.3157894737</v>
      </c>
      <c r="J38" s="350">
        <f>CS_PID!J38/VLOOKUP($B38,표2[#ALL],2)/hlookup($A38,표4[#ALL],row(),false)</f>
        <v>0.7368421053</v>
      </c>
      <c r="K38" s="350">
        <f>CS_PID!K38/VLOOKUP($B38,표2[#ALL],2)/hlookup($A38,표4[#ALL],row(),false)</f>
        <v>0.05263157895</v>
      </c>
      <c r="L38" s="350">
        <f>CS_PID!L38/VLOOKUP($B38,표2[#ALL],2)/hlookup($A38,표4[#ALL],row(),false)</f>
        <v>0</v>
      </c>
      <c r="M38" s="350">
        <f>CS_PID!M38/VLOOKUP($B38,표2[#ALL],2)/hlookup($A38,표4[#ALL],row(),false)</f>
        <v>0</v>
      </c>
      <c r="N38" s="350">
        <f>CS_PID!N38/VLOOKUP($B38,표2[#ALL],2)/hlookup($A38,표4[#ALL],row(),false)</f>
        <v>0</v>
      </c>
      <c r="O38" s="350">
        <f>CS_PID!O38/VLOOKUP($B38,표2[#ALL],2)/hlookup($A38,표4[#ALL],row(),false)</f>
        <v>0.8421052632</v>
      </c>
      <c r="P38" s="350">
        <f>CS_PID!P38/VLOOKUP($B38,표2[#ALL],2)/hlookup($A38,표4[#ALL],row(),false)</f>
        <v>1</v>
      </c>
      <c r="Q38" s="350">
        <f>CS_PID!Q38/VLOOKUP($B38,표2[#ALL],2)/hlookup($A38,표4[#ALL],row(),false)</f>
        <v>0.1052631579</v>
      </c>
      <c r="R38" s="350">
        <f>CS_PID!R38/VLOOKUP($B38,표2[#ALL],2)/hlookup($A38,표4[#ALL],row(),false)</f>
        <v>0</v>
      </c>
      <c r="S38" s="350">
        <f>CS_PID!S38/VLOOKUP($B38,표2[#ALL],2)/hlookup($A38,표4[#ALL],row(),false)</f>
        <v>0</v>
      </c>
      <c r="T38" s="350">
        <f>CS_PID!T38/VLOOKUP($B38,표2[#ALL],2)/hlookup($A38,표4[#ALL],row(),false)</f>
        <v>0</v>
      </c>
      <c r="U38" s="350">
        <f>CS_PID!U38/VLOOKUP($B38,표2[#ALL],2)/hlookup($A38,표4[#ALL],row(),false)</f>
        <v>0.5789473684</v>
      </c>
      <c r="V38" s="350">
        <f>CS_PID!V38/VLOOKUP($B38,표2[#ALL],2)/hlookup($A38,표4[#ALL],row(),false)</f>
        <v>1</v>
      </c>
      <c r="W38" s="350">
        <f>CS_PID!W38/VLOOKUP($B38,표2[#ALL],2)/hlookup($A38,표4[#ALL],row(),false)</f>
        <v>0</v>
      </c>
      <c r="X38" s="350">
        <f>CS_PID!X38/VLOOKUP($B38,표2[#ALL],2)/hlookup($A38,표4[#ALL],row(),false)</f>
        <v>0</v>
      </c>
      <c r="Y38" s="350">
        <f>CS_PID!Y38/VLOOKUP($B38,표2[#ALL],2)/hlookup($A38,표4[#ALL],row(),false)</f>
        <v>0</v>
      </c>
      <c r="Z38" s="350">
        <f>CS_PID!Z38/VLOOKUP($B38,표2[#ALL],2)/hlookup($A38,표4[#ALL],row(),false)</f>
        <v>0</v>
      </c>
      <c r="AA38" s="350">
        <f>CS_PID!AA38/VLOOKUP($B38,표2[#ALL],2)/hlookup($A38,표4[#ALL],row(),false)</f>
        <v>0.4736842105</v>
      </c>
      <c r="AB38" s="350">
        <f>CS_PID!AB38/VLOOKUP($B38,표2[#ALL],2)/hlookup($A38,표4[#ALL],row(),false)</f>
        <v>0.1052631579</v>
      </c>
      <c r="AC38" s="350">
        <f>CS_PID!AC38/VLOOKUP($B38,표2[#ALL],2)/hlookup($A38,표4[#ALL],row(),false)</f>
        <v>0</v>
      </c>
      <c r="AD38" s="350">
        <f>CS_PID!AD38/VLOOKUP($B38,표2[#ALL],2)/hlookup($A38,표4[#ALL],row(),false)</f>
        <v>0</v>
      </c>
      <c r="AE38" s="350">
        <f>CS_PID!AE38/VLOOKUP($B38,표2[#ALL],2)/hlookup($A38,표4[#ALL],row(),false)</f>
        <v>0</v>
      </c>
      <c r="AF38" s="350">
        <f>CS_PID!AF38/VLOOKUP($B38,표2[#ALL],2)/hlookup($A38,표4[#ALL],row(),false)</f>
        <v>0</v>
      </c>
      <c r="AG38" s="350">
        <f>CS_PID!AG38/VLOOKUP($B38,표2[#ALL],2)/hlookup($A38,표4[#ALL],row(),false)</f>
        <v>0.1578947368</v>
      </c>
      <c r="AH38" s="350">
        <f>CS_PID!AH38/VLOOKUP($B38,표2[#ALL],2)/hlookup($A38,표4[#ALL],row(),false)</f>
        <v>0</v>
      </c>
      <c r="AI38" s="350">
        <f>CS_PID!AI38/VLOOKUP($B38,표2[#ALL],2)/hlookup($A38,표4[#ALL],row(),false)</f>
        <v>0</v>
      </c>
      <c r="AJ38" s="350">
        <f>CS_PID!AJ38/VLOOKUP($B38,표2[#ALL],2)/hlookup($A38,표4[#ALL],row(),false)</f>
        <v>0</v>
      </c>
      <c r="AK38" s="350">
        <f>CS_PID!AK38/VLOOKUP($B38,표2[#ALL],2)/hlookup($A38,표4[#ALL],row(),false)</f>
        <v>0</v>
      </c>
      <c r="AL38" s="350">
        <f>CS_PID!AL38/VLOOKUP($B38,표2[#ALL],2)/hlookup($A38,표4[#ALL],row(),false)</f>
        <v>0</v>
      </c>
      <c r="AM38" s="350">
        <f>CS_PID!AM38/VLOOKUP($B38,표2[#ALL],2)/hlookup($A38,표4[#ALL],row(),false)</f>
        <v>0</v>
      </c>
      <c r="AN38" s="350">
        <f>CS_PID!AN38/VLOOKUP($B38,표2[#ALL],2)/hlookup($A38,표4[#ALL],row(),false)</f>
        <v>0</v>
      </c>
      <c r="AO38" s="350">
        <f>CS_PID!AO38/VLOOKUP($B38,표2[#ALL],2)/hlookup($A38,표4[#ALL],row(),false)</f>
        <v>0</v>
      </c>
      <c r="AP38" s="350">
        <f>CS_PID!AP38/VLOOKUP($B38,표2[#ALL],2)/hlookup($A38,표4[#ALL],row(),false)</f>
        <v>0</v>
      </c>
      <c r="AQ38" s="350">
        <f>CS_PID!AQ38/VLOOKUP($B38,표2[#ALL],2)/hlookup($A38,표4[#ALL],row(),false)</f>
        <v>0</v>
      </c>
      <c r="AR38" s="350">
        <f>CS_PID!AR38/VLOOKUP($B38,표2[#ALL],2)/hlookup($A38,표4[#ALL],row(),false)</f>
        <v>0</v>
      </c>
      <c r="AS38" s="350">
        <f>CS_PID!AS38/VLOOKUP($B38,표2[#ALL],2)/hlookup($A38,표4[#ALL],row(),false)</f>
        <v>0</v>
      </c>
    </row>
    <row r="39">
      <c r="A39" s="141" t="s">
        <v>78</v>
      </c>
      <c r="B39" s="142">
        <v>296.0</v>
      </c>
      <c r="C39" s="350">
        <f>CS_PID!C39/VLOOKUP($B39,표2[#ALL],2)/hlookup($A39,표4[#ALL],row(),false)</f>
        <v>0</v>
      </c>
      <c r="D39" s="350">
        <f>CS_PID!D39/VLOOKUP($B39,표2[#ALL],2)/hlookup($A39,표4[#ALL],row(),false)</f>
        <v>0</v>
      </c>
      <c r="E39" s="350">
        <f>CS_PID!E39/VLOOKUP($B39,표2[#ALL],2)/hlookup($A39,표4[#ALL],row(),false)</f>
        <v>0</v>
      </c>
      <c r="F39" s="350">
        <f>CS_PID!F39/VLOOKUP($B39,표2[#ALL],2)/hlookup($A39,표4[#ALL],row(),false)</f>
        <v>0</v>
      </c>
      <c r="G39" s="350">
        <f>CS_PID!G39/VLOOKUP($B39,표2[#ALL],2)/hlookup($A39,표4[#ALL],row(),false)</f>
        <v>0</v>
      </c>
      <c r="H39" s="350">
        <f>CS_PID!H39/VLOOKUP($B39,표2[#ALL],2)/hlookup($A39,표4[#ALL],row(),false)</f>
        <v>0</v>
      </c>
      <c r="I39" s="350">
        <f>CS_PID!I39/VLOOKUP($B39,표2[#ALL],2)/hlookup($A39,표4[#ALL],row(),false)</f>
        <v>0</v>
      </c>
      <c r="J39" s="350">
        <f>CS_PID!J39/VLOOKUP($B39,표2[#ALL],2)/hlookup($A39,표4[#ALL],row(),false)</f>
        <v>0.6</v>
      </c>
      <c r="K39" s="350">
        <f>CS_PID!K39/VLOOKUP($B39,표2[#ALL],2)/hlookup($A39,표4[#ALL],row(),false)</f>
        <v>0</v>
      </c>
      <c r="L39" s="350">
        <f>CS_PID!L39/VLOOKUP($B39,표2[#ALL],2)/hlookup($A39,표4[#ALL],row(),false)</f>
        <v>0</v>
      </c>
      <c r="M39" s="350">
        <f>CS_PID!M39/VLOOKUP($B39,표2[#ALL],2)/hlookup($A39,표4[#ALL],row(),false)</f>
        <v>0</v>
      </c>
      <c r="N39" s="350">
        <f>CS_PID!N39/VLOOKUP($B39,표2[#ALL],2)/hlookup($A39,표4[#ALL],row(),false)</f>
        <v>0</v>
      </c>
      <c r="O39" s="350">
        <f>CS_PID!O39/VLOOKUP($B39,표2[#ALL],2)/hlookup($A39,표4[#ALL],row(),false)</f>
        <v>1</v>
      </c>
      <c r="P39" s="350">
        <f>CS_PID!P39/VLOOKUP($B39,표2[#ALL],2)/hlookup($A39,표4[#ALL],row(),false)</f>
        <v>1</v>
      </c>
      <c r="Q39" s="350">
        <f>CS_PID!Q39/VLOOKUP($B39,표2[#ALL],2)/hlookup($A39,표4[#ALL],row(),false)</f>
        <v>0</v>
      </c>
      <c r="R39" s="350">
        <f>CS_PID!R39/VLOOKUP($B39,표2[#ALL],2)/hlookup($A39,표4[#ALL],row(),false)</f>
        <v>0</v>
      </c>
      <c r="S39" s="350">
        <f>CS_PID!S39/VLOOKUP($B39,표2[#ALL],2)/hlookup($A39,표4[#ALL],row(),false)</f>
        <v>0</v>
      </c>
      <c r="T39" s="350">
        <f>CS_PID!T39/VLOOKUP($B39,표2[#ALL],2)/hlookup($A39,표4[#ALL],row(),false)</f>
        <v>0</v>
      </c>
      <c r="U39" s="350">
        <f>CS_PID!U39/VLOOKUP($B39,표2[#ALL],2)/hlookup($A39,표4[#ALL],row(),false)</f>
        <v>0.4</v>
      </c>
      <c r="V39" s="350">
        <f>CS_PID!V39/VLOOKUP($B39,표2[#ALL],2)/hlookup($A39,표4[#ALL],row(),false)</f>
        <v>0.8</v>
      </c>
      <c r="W39" s="350">
        <f>CS_PID!W39/VLOOKUP($B39,표2[#ALL],2)/hlookup($A39,표4[#ALL],row(),false)</f>
        <v>0</v>
      </c>
      <c r="X39" s="350">
        <f>CS_PID!X39/VLOOKUP($B39,표2[#ALL],2)/hlookup($A39,표4[#ALL],row(),false)</f>
        <v>0</v>
      </c>
      <c r="Y39" s="350">
        <f>CS_PID!Y39/VLOOKUP($B39,표2[#ALL],2)/hlookup($A39,표4[#ALL],row(),false)</f>
        <v>0</v>
      </c>
      <c r="Z39" s="350">
        <f>CS_PID!Z39/VLOOKUP($B39,표2[#ALL],2)/hlookup($A39,표4[#ALL],row(),false)</f>
        <v>0</v>
      </c>
      <c r="AA39" s="350">
        <f>CS_PID!AA39/VLOOKUP($B39,표2[#ALL],2)/hlookup($A39,표4[#ALL],row(),false)</f>
        <v>0</v>
      </c>
      <c r="AB39" s="350">
        <f>CS_PID!AB39/VLOOKUP($B39,표2[#ALL],2)/hlookup($A39,표4[#ALL],row(),false)</f>
        <v>0.6</v>
      </c>
      <c r="AC39" s="350">
        <f>CS_PID!AC39/VLOOKUP($B39,표2[#ALL],2)/hlookup($A39,표4[#ALL],row(),false)</f>
        <v>0</v>
      </c>
      <c r="AD39" s="350">
        <f>CS_PID!AD39/VLOOKUP($B39,표2[#ALL],2)/hlookup($A39,표4[#ALL],row(),false)</f>
        <v>0</v>
      </c>
      <c r="AE39" s="350">
        <f>CS_PID!AE39/VLOOKUP($B39,표2[#ALL],2)/hlookup($A39,표4[#ALL],row(),false)</f>
        <v>0</v>
      </c>
      <c r="AF39" s="350">
        <f>CS_PID!AF39/VLOOKUP($B39,표2[#ALL],2)/hlookup($A39,표4[#ALL],row(),false)</f>
        <v>0</v>
      </c>
      <c r="AG39" s="350">
        <f>CS_PID!AG39/VLOOKUP($B39,표2[#ALL],2)/hlookup($A39,표4[#ALL],row(),false)</f>
        <v>0.2</v>
      </c>
      <c r="AH39" s="350">
        <f>CS_PID!AH39/VLOOKUP($B39,표2[#ALL],2)/hlookup($A39,표4[#ALL],row(),false)</f>
        <v>0</v>
      </c>
      <c r="AI39" s="350">
        <f>CS_PID!AI39/VLOOKUP($B39,표2[#ALL],2)/hlookup($A39,표4[#ALL],row(),false)</f>
        <v>0</v>
      </c>
      <c r="AJ39" s="350">
        <f>CS_PID!AJ39/VLOOKUP($B39,표2[#ALL],2)/hlookup($A39,표4[#ALL],row(),false)</f>
        <v>0</v>
      </c>
      <c r="AK39" s="350">
        <f>CS_PID!AK39/VLOOKUP($B39,표2[#ALL],2)/hlookup($A39,표4[#ALL],row(),false)</f>
        <v>0</v>
      </c>
      <c r="AL39" s="350">
        <f>CS_PID!AL39/VLOOKUP($B39,표2[#ALL],2)/hlookup($A39,표4[#ALL],row(),false)</f>
        <v>0</v>
      </c>
      <c r="AM39" s="350">
        <f>CS_PID!AM39/VLOOKUP($B39,표2[#ALL],2)/hlookup($A39,표4[#ALL],row(),false)</f>
        <v>0</v>
      </c>
      <c r="AN39" s="350">
        <f>CS_PID!AN39/VLOOKUP($B39,표2[#ALL],2)/hlookup($A39,표4[#ALL],row(),false)</f>
        <v>0</v>
      </c>
      <c r="AO39" s="350">
        <f>CS_PID!AO39/VLOOKUP($B39,표2[#ALL],2)/hlookup($A39,표4[#ALL],row(),false)</f>
        <v>0</v>
      </c>
      <c r="AP39" s="350">
        <f>CS_PID!AP39/VLOOKUP($B39,표2[#ALL],2)/hlookup($A39,표4[#ALL],row(),false)</f>
        <v>0</v>
      </c>
      <c r="AQ39" s="350">
        <f>CS_PID!AQ39/VLOOKUP($B39,표2[#ALL],2)/hlookup($A39,표4[#ALL],row(),false)</f>
        <v>0</v>
      </c>
      <c r="AR39" s="350">
        <f>CS_PID!AR39/VLOOKUP($B39,표2[#ALL],2)/hlookup($A39,표4[#ALL],row(),false)</f>
        <v>0</v>
      </c>
      <c r="AS39" s="350">
        <f>CS_PID!AS39/VLOOKUP($B39,표2[#ALL],2)/hlookup($A39,표4[#ALL],row(),false)</f>
        <v>0</v>
      </c>
    </row>
    <row r="40">
      <c r="A40" s="141" t="s">
        <v>78</v>
      </c>
      <c r="B40" s="142">
        <v>297.0</v>
      </c>
      <c r="C40" s="350">
        <f>CS_PID!C40/VLOOKUP($B40,표2[#ALL],2)/hlookup($A40,표4[#ALL],row(),false)</f>
        <v>0</v>
      </c>
      <c r="D40" s="350">
        <f>CS_PID!D40/VLOOKUP($B40,표2[#ALL],2)/hlookup($A40,표4[#ALL],row(),false)</f>
        <v>0.2</v>
      </c>
      <c r="E40" s="350">
        <f>CS_PID!E40/VLOOKUP($B40,표2[#ALL],2)/hlookup($A40,표4[#ALL],row(),false)</f>
        <v>0.1</v>
      </c>
      <c r="F40" s="350">
        <f>CS_PID!F40/VLOOKUP($B40,표2[#ALL],2)/hlookup($A40,표4[#ALL],row(),false)</f>
        <v>0</v>
      </c>
      <c r="G40" s="350">
        <f>CS_PID!G40/VLOOKUP($B40,표2[#ALL],2)/hlookup($A40,표4[#ALL],row(),false)</f>
        <v>0</v>
      </c>
      <c r="H40" s="350">
        <f>CS_PID!H40/VLOOKUP($B40,표2[#ALL],2)/hlookup($A40,표4[#ALL],row(),false)</f>
        <v>0</v>
      </c>
      <c r="I40" s="350">
        <f>CS_PID!I40/VLOOKUP($B40,표2[#ALL],2)/hlookup($A40,표4[#ALL],row(),false)</f>
        <v>0.1</v>
      </c>
      <c r="J40" s="350">
        <f>CS_PID!J40/VLOOKUP($B40,표2[#ALL],2)/hlookup($A40,표4[#ALL],row(),false)</f>
        <v>0.3</v>
      </c>
      <c r="K40" s="350">
        <f>CS_PID!K40/VLOOKUP($B40,표2[#ALL],2)/hlookup($A40,표4[#ALL],row(),false)</f>
        <v>0.1</v>
      </c>
      <c r="L40" s="350">
        <f>CS_PID!L40/VLOOKUP($B40,표2[#ALL],2)/hlookup($A40,표4[#ALL],row(),false)</f>
        <v>0</v>
      </c>
      <c r="M40" s="350">
        <f>CS_PID!M40/VLOOKUP($B40,표2[#ALL],2)/hlookup($A40,표4[#ALL],row(),false)</f>
        <v>0</v>
      </c>
      <c r="N40" s="350">
        <f>CS_PID!N40/VLOOKUP($B40,표2[#ALL],2)/hlookup($A40,표4[#ALL],row(),false)</f>
        <v>0</v>
      </c>
      <c r="O40" s="350">
        <f>CS_PID!O40/VLOOKUP($B40,표2[#ALL],2)/hlookup($A40,표4[#ALL],row(),false)</f>
        <v>0.2</v>
      </c>
      <c r="P40" s="350">
        <f>CS_PID!P40/VLOOKUP($B40,표2[#ALL],2)/hlookup($A40,표4[#ALL],row(),false)</f>
        <v>1</v>
      </c>
      <c r="Q40" s="350">
        <f>CS_PID!Q40/VLOOKUP($B40,표2[#ALL],2)/hlookup($A40,표4[#ALL],row(),false)</f>
        <v>0.1</v>
      </c>
      <c r="R40" s="350">
        <f>CS_PID!R40/VLOOKUP($B40,표2[#ALL],2)/hlookup($A40,표4[#ALL],row(),false)</f>
        <v>0</v>
      </c>
      <c r="S40" s="350">
        <f>CS_PID!S40/VLOOKUP($B40,표2[#ALL],2)/hlookup($A40,표4[#ALL],row(),false)</f>
        <v>0</v>
      </c>
      <c r="T40" s="350">
        <f>CS_PID!T40/VLOOKUP($B40,표2[#ALL],2)/hlookup($A40,표4[#ALL],row(),false)</f>
        <v>0</v>
      </c>
      <c r="U40" s="350">
        <f>CS_PID!U40/VLOOKUP($B40,표2[#ALL],2)/hlookup($A40,표4[#ALL],row(),false)</f>
        <v>0.3</v>
      </c>
      <c r="V40" s="350">
        <f>CS_PID!V40/VLOOKUP($B40,표2[#ALL],2)/hlookup($A40,표4[#ALL],row(),false)</f>
        <v>0.7</v>
      </c>
      <c r="W40" s="350">
        <f>CS_PID!W40/VLOOKUP($B40,표2[#ALL],2)/hlookup($A40,표4[#ALL],row(),false)</f>
        <v>0.1</v>
      </c>
      <c r="X40" s="350">
        <f>CS_PID!X40/VLOOKUP($B40,표2[#ALL],2)/hlookup($A40,표4[#ALL],row(),false)</f>
        <v>0</v>
      </c>
      <c r="Y40" s="350">
        <f>CS_PID!Y40/VLOOKUP($B40,표2[#ALL],2)/hlookup($A40,표4[#ALL],row(),false)</f>
        <v>0</v>
      </c>
      <c r="Z40" s="350">
        <f>CS_PID!Z40/VLOOKUP($B40,표2[#ALL],2)/hlookup($A40,표4[#ALL],row(),false)</f>
        <v>0</v>
      </c>
      <c r="AA40" s="350">
        <f>CS_PID!AA40/VLOOKUP($B40,표2[#ALL],2)/hlookup($A40,표4[#ALL],row(),false)</f>
        <v>0.2</v>
      </c>
      <c r="AB40" s="350">
        <f>CS_PID!AB40/VLOOKUP($B40,표2[#ALL],2)/hlookup($A40,표4[#ALL],row(),false)</f>
        <v>0</v>
      </c>
      <c r="AC40" s="350">
        <f>CS_PID!AC40/VLOOKUP($B40,표2[#ALL],2)/hlookup($A40,표4[#ALL],row(),false)</f>
        <v>0</v>
      </c>
      <c r="AD40" s="350">
        <f>CS_PID!AD40/VLOOKUP($B40,표2[#ALL],2)/hlookup($A40,표4[#ALL],row(),false)</f>
        <v>0</v>
      </c>
      <c r="AE40" s="350">
        <f>CS_PID!AE40/VLOOKUP($B40,표2[#ALL],2)/hlookup($A40,표4[#ALL],row(),false)</f>
        <v>0</v>
      </c>
      <c r="AF40" s="350">
        <f>CS_PID!AF40/VLOOKUP($B40,표2[#ALL],2)/hlookup($A40,표4[#ALL],row(),false)</f>
        <v>0</v>
      </c>
      <c r="AG40" s="350">
        <f>CS_PID!AG40/VLOOKUP($B40,표2[#ALL],2)/hlookup($A40,표4[#ALL],row(),false)</f>
        <v>0</v>
      </c>
      <c r="AH40" s="350">
        <f>CS_PID!AH40/VLOOKUP($B40,표2[#ALL],2)/hlookup($A40,표4[#ALL],row(),false)</f>
        <v>0</v>
      </c>
      <c r="AI40" s="350">
        <f>CS_PID!AI40/VLOOKUP($B40,표2[#ALL],2)/hlookup($A40,표4[#ALL],row(),false)</f>
        <v>0</v>
      </c>
      <c r="AJ40" s="350">
        <f>CS_PID!AJ40/VLOOKUP($B40,표2[#ALL],2)/hlookup($A40,표4[#ALL],row(),false)</f>
        <v>0</v>
      </c>
      <c r="AK40" s="350">
        <f>CS_PID!AK40/VLOOKUP($B40,표2[#ALL],2)/hlookup($A40,표4[#ALL],row(),false)</f>
        <v>0</v>
      </c>
      <c r="AL40" s="350">
        <f>CS_PID!AL40/VLOOKUP($B40,표2[#ALL],2)/hlookup($A40,표4[#ALL],row(),false)</f>
        <v>0</v>
      </c>
      <c r="AM40" s="350">
        <f>CS_PID!AM40/VLOOKUP($B40,표2[#ALL],2)/hlookup($A40,표4[#ALL],row(),false)</f>
        <v>0</v>
      </c>
      <c r="AN40" s="350">
        <f>CS_PID!AN40/VLOOKUP($B40,표2[#ALL],2)/hlookup($A40,표4[#ALL],row(),false)</f>
        <v>0</v>
      </c>
      <c r="AO40" s="350">
        <f>CS_PID!AO40/VLOOKUP($B40,표2[#ALL],2)/hlookup($A40,표4[#ALL],row(),false)</f>
        <v>0</v>
      </c>
      <c r="AP40" s="350">
        <f>CS_PID!AP40/VLOOKUP($B40,표2[#ALL],2)/hlookup($A40,표4[#ALL],row(),false)</f>
        <v>0</v>
      </c>
      <c r="AQ40" s="350">
        <f>CS_PID!AQ40/VLOOKUP($B40,표2[#ALL],2)/hlookup($A40,표4[#ALL],row(),false)</f>
        <v>0</v>
      </c>
      <c r="AR40" s="350">
        <f>CS_PID!AR40/VLOOKUP($B40,표2[#ALL],2)/hlookup($A40,표4[#ALL],row(),false)</f>
        <v>0</v>
      </c>
      <c r="AS40" s="350">
        <f>CS_PID!AS40/VLOOKUP($B40,표2[#ALL],2)/hlookup($A40,표4[#ALL],row(),false)</f>
        <v>0</v>
      </c>
    </row>
    <row r="41">
      <c r="A41" s="141" t="s">
        <v>78</v>
      </c>
      <c r="B41" s="142">
        <v>298.0</v>
      </c>
      <c r="C41" s="350">
        <f>CS_PID!C41/VLOOKUP($B41,표2[#ALL],2)/hlookup($A41,표4[#ALL],row(),false)</f>
        <v>0</v>
      </c>
      <c r="D41" s="350">
        <f>CS_PID!D41/VLOOKUP($B41,표2[#ALL],2)/hlookup($A41,표4[#ALL],row(),false)</f>
        <v>0.5</v>
      </c>
      <c r="E41" s="350">
        <f>CS_PID!E41/VLOOKUP($B41,표2[#ALL],2)/hlookup($A41,표4[#ALL],row(),false)</f>
        <v>0.25</v>
      </c>
      <c r="F41" s="350">
        <f>CS_PID!F41/VLOOKUP($B41,표2[#ALL],2)/hlookup($A41,표4[#ALL],row(),false)</f>
        <v>0</v>
      </c>
      <c r="G41" s="350">
        <f>CS_PID!G41/VLOOKUP($B41,표2[#ALL],2)/hlookup($A41,표4[#ALL],row(),false)</f>
        <v>0</v>
      </c>
      <c r="H41" s="350">
        <f>CS_PID!H41/VLOOKUP($B41,표2[#ALL],2)/hlookup($A41,표4[#ALL],row(),false)</f>
        <v>0.08333333333</v>
      </c>
      <c r="I41" s="350">
        <f>CS_PID!I41/VLOOKUP($B41,표2[#ALL],2)/hlookup($A41,표4[#ALL],row(),false)</f>
        <v>0.4166666667</v>
      </c>
      <c r="J41" s="350">
        <f>CS_PID!J41/VLOOKUP($B41,표2[#ALL],2)/hlookup($A41,표4[#ALL],row(),false)</f>
        <v>1.416666667</v>
      </c>
      <c r="K41" s="350">
        <f>CS_PID!K41/VLOOKUP($B41,표2[#ALL],2)/hlookup($A41,표4[#ALL],row(),false)</f>
        <v>0</v>
      </c>
      <c r="L41" s="350">
        <f>CS_PID!L41/VLOOKUP($B41,표2[#ALL],2)/hlookup($A41,표4[#ALL],row(),false)</f>
        <v>0</v>
      </c>
      <c r="M41" s="350">
        <f>CS_PID!M41/VLOOKUP($B41,표2[#ALL],2)/hlookup($A41,표4[#ALL],row(),false)</f>
        <v>0</v>
      </c>
      <c r="N41" s="350">
        <f>CS_PID!N41/VLOOKUP($B41,표2[#ALL],2)/hlookup($A41,표4[#ALL],row(),false)</f>
        <v>0</v>
      </c>
      <c r="O41" s="350">
        <f>CS_PID!O41/VLOOKUP($B41,표2[#ALL],2)/hlookup($A41,표4[#ALL],row(),false)</f>
        <v>1</v>
      </c>
      <c r="P41" s="350">
        <f>CS_PID!P41/VLOOKUP($B41,표2[#ALL],2)/hlookup($A41,표4[#ALL],row(),false)</f>
        <v>1</v>
      </c>
      <c r="Q41" s="350">
        <f>CS_PID!Q41/VLOOKUP($B41,표2[#ALL],2)/hlookup($A41,표4[#ALL],row(),false)</f>
        <v>0.1666666667</v>
      </c>
      <c r="R41" s="350">
        <f>CS_PID!R41/VLOOKUP($B41,표2[#ALL],2)/hlookup($A41,표4[#ALL],row(),false)</f>
        <v>0</v>
      </c>
      <c r="S41" s="350">
        <f>CS_PID!S41/VLOOKUP($B41,표2[#ALL],2)/hlookup($A41,표4[#ALL],row(),false)</f>
        <v>0</v>
      </c>
      <c r="T41" s="350">
        <f>CS_PID!T41/VLOOKUP($B41,표2[#ALL],2)/hlookup($A41,표4[#ALL],row(),false)</f>
        <v>0</v>
      </c>
      <c r="U41" s="350">
        <f>CS_PID!U41/VLOOKUP($B41,표2[#ALL],2)/hlookup($A41,표4[#ALL],row(),false)</f>
        <v>0.9166666667</v>
      </c>
      <c r="V41" s="350">
        <f>CS_PID!V41/VLOOKUP($B41,표2[#ALL],2)/hlookup($A41,표4[#ALL],row(),false)</f>
        <v>1.333333333</v>
      </c>
      <c r="W41" s="350">
        <f>CS_PID!W41/VLOOKUP($B41,표2[#ALL],2)/hlookup($A41,표4[#ALL],row(),false)</f>
        <v>0</v>
      </c>
      <c r="X41" s="350">
        <f>CS_PID!X41/VLOOKUP($B41,표2[#ALL],2)/hlookup($A41,표4[#ALL],row(),false)</f>
        <v>0</v>
      </c>
      <c r="Y41" s="350">
        <f>CS_PID!Y41/VLOOKUP($B41,표2[#ALL],2)/hlookup($A41,표4[#ALL],row(),false)</f>
        <v>0</v>
      </c>
      <c r="Z41" s="350">
        <f>CS_PID!Z41/VLOOKUP($B41,표2[#ALL],2)/hlookup($A41,표4[#ALL],row(),false)</f>
        <v>0.08333333333</v>
      </c>
      <c r="AA41" s="350">
        <f>CS_PID!AA41/VLOOKUP($B41,표2[#ALL],2)/hlookup($A41,표4[#ALL],row(),false)</f>
        <v>0.8333333333</v>
      </c>
      <c r="AB41" s="350">
        <f>CS_PID!AB41/VLOOKUP($B41,표2[#ALL],2)/hlookup($A41,표4[#ALL],row(),false)</f>
        <v>0.5</v>
      </c>
      <c r="AC41" s="350">
        <f>CS_PID!AC41/VLOOKUP($B41,표2[#ALL],2)/hlookup($A41,표4[#ALL],row(),false)</f>
        <v>0</v>
      </c>
      <c r="AD41" s="350">
        <f>CS_PID!AD41/VLOOKUP($B41,표2[#ALL],2)/hlookup($A41,표4[#ALL],row(),false)</f>
        <v>0</v>
      </c>
      <c r="AE41" s="350">
        <f>CS_PID!AE41/VLOOKUP($B41,표2[#ALL],2)/hlookup($A41,표4[#ALL],row(),false)</f>
        <v>0</v>
      </c>
      <c r="AF41" s="350">
        <f>CS_PID!AF41/VLOOKUP($B41,표2[#ALL],2)/hlookup($A41,표4[#ALL],row(),false)</f>
        <v>0</v>
      </c>
      <c r="AG41" s="350">
        <f>CS_PID!AG41/VLOOKUP($B41,표2[#ALL],2)/hlookup($A41,표4[#ALL],row(),false)</f>
        <v>0</v>
      </c>
      <c r="AH41" s="350">
        <f>CS_PID!AH41/VLOOKUP($B41,표2[#ALL],2)/hlookup($A41,표4[#ALL],row(),false)</f>
        <v>0</v>
      </c>
      <c r="AI41" s="350">
        <f>CS_PID!AI41/VLOOKUP($B41,표2[#ALL],2)/hlookup($A41,표4[#ALL],row(),false)</f>
        <v>0</v>
      </c>
      <c r="AJ41" s="350">
        <f>CS_PID!AJ41/VLOOKUP($B41,표2[#ALL],2)/hlookup($A41,표4[#ALL],row(),false)</f>
        <v>0</v>
      </c>
      <c r="AK41" s="350">
        <f>CS_PID!AK41/VLOOKUP($B41,표2[#ALL],2)/hlookup($A41,표4[#ALL],row(),false)</f>
        <v>0</v>
      </c>
      <c r="AL41" s="350">
        <f>CS_PID!AL41/VLOOKUP($B41,표2[#ALL],2)/hlookup($A41,표4[#ALL],row(),false)</f>
        <v>0</v>
      </c>
      <c r="AM41" s="350">
        <f>CS_PID!AM41/VLOOKUP($B41,표2[#ALL],2)/hlookup($A41,표4[#ALL],row(),false)</f>
        <v>0</v>
      </c>
      <c r="AN41" s="350">
        <f>CS_PID!AN41/VLOOKUP($B41,표2[#ALL],2)/hlookup($A41,표4[#ALL],row(),false)</f>
        <v>0</v>
      </c>
      <c r="AO41" s="350">
        <f>CS_PID!AO41/VLOOKUP($B41,표2[#ALL],2)/hlookup($A41,표4[#ALL],row(),false)</f>
        <v>0</v>
      </c>
      <c r="AP41" s="350">
        <f>CS_PID!AP41/VLOOKUP($B41,표2[#ALL],2)/hlookup($A41,표4[#ALL],row(),false)</f>
        <v>0</v>
      </c>
      <c r="AQ41" s="350">
        <f>CS_PID!AQ41/VLOOKUP($B41,표2[#ALL],2)/hlookup($A41,표4[#ALL],row(),false)</f>
        <v>0</v>
      </c>
      <c r="AR41" s="350">
        <f>CS_PID!AR41/VLOOKUP($B41,표2[#ALL],2)/hlookup($A41,표4[#ALL],row(),false)</f>
        <v>0</v>
      </c>
      <c r="AS41" s="350">
        <f>CS_PID!AS41/VLOOKUP($B41,표2[#ALL],2)/hlookup($A41,표4[#ALL],row(),false)</f>
        <v>0</v>
      </c>
    </row>
    <row r="42">
      <c r="A42" s="145" t="s">
        <v>78</v>
      </c>
      <c r="B42" s="146">
        <v>299.0</v>
      </c>
      <c r="C42" s="351">
        <f>CS_PID!C42/VLOOKUP($B42,표2[#ALL],2)/hlookup($A42,표4[#ALL],row(),false)</f>
        <v>0</v>
      </c>
      <c r="D42" s="351">
        <f>CS_PID!D42/VLOOKUP($B42,표2[#ALL],2)/hlookup($A42,표4[#ALL],row(),false)</f>
        <v>0.32</v>
      </c>
      <c r="E42" s="351">
        <f>CS_PID!E42/VLOOKUP($B42,표2[#ALL],2)/hlookup($A42,표4[#ALL],row(),false)</f>
        <v>0.2</v>
      </c>
      <c r="F42" s="351">
        <f>CS_PID!F42/VLOOKUP($B42,표2[#ALL],2)/hlookup($A42,표4[#ALL],row(),false)</f>
        <v>0</v>
      </c>
      <c r="G42" s="351">
        <f>CS_PID!G42/VLOOKUP($B42,표2[#ALL],2)/hlookup($A42,표4[#ALL],row(),false)</f>
        <v>0</v>
      </c>
      <c r="H42" s="351">
        <f>CS_PID!H42/VLOOKUP($B42,표2[#ALL],2)/hlookup($A42,표4[#ALL],row(),false)</f>
        <v>0</v>
      </c>
      <c r="I42" s="351">
        <f>CS_PID!I42/VLOOKUP($B42,표2[#ALL],2)/hlookup($A42,표4[#ALL],row(),false)</f>
        <v>0.16</v>
      </c>
      <c r="J42" s="351">
        <f>CS_PID!J42/VLOOKUP($B42,표2[#ALL],2)/hlookup($A42,표4[#ALL],row(),false)</f>
        <v>0.84</v>
      </c>
      <c r="K42" s="351">
        <f>CS_PID!K42/VLOOKUP($B42,표2[#ALL],2)/hlookup($A42,표4[#ALL],row(),false)</f>
        <v>0.08</v>
      </c>
      <c r="L42" s="351">
        <f>CS_PID!L42/VLOOKUP($B42,표2[#ALL],2)/hlookup($A42,표4[#ALL],row(),false)</f>
        <v>0</v>
      </c>
      <c r="M42" s="351">
        <f>CS_PID!M42/VLOOKUP($B42,표2[#ALL],2)/hlookup($A42,표4[#ALL],row(),false)</f>
        <v>0</v>
      </c>
      <c r="N42" s="351">
        <f>CS_PID!N42/VLOOKUP($B42,표2[#ALL],2)/hlookup($A42,표4[#ALL],row(),false)</f>
        <v>0</v>
      </c>
      <c r="O42" s="351">
        <f>CS_PID!O42/VLOOKUP($B42,표2[#ALL],2)/hlookup($A42,표4[#ALL],row(),false)</f>
        <v>0.96</v>
      </c>
      <c r="P42" s="351">
        <f>CS_PID!P42/VLOOKUP($B42,표2[#ALL],2)/hlookup($A42,표4[#ALL],row(),false)</f>
        <v>1</v>
      </c>
      <c r="Q42" s="351">
        <f>CS_PID!Q42/VLOOKUP($B42,표2[#ALL],2)/hlookup($A42,표4[#ALL],row(),false)</f>
        <v>0.16</v>
      </c>
      <c r="R42" s="351">
        <f>CS_PID!R42/VLOOKUP($B42,표2[#ALL],2)/hlookup($A42,표4[#ALL],row(),false)</f>
        <v>0</v>
      </c>
      <c r="S42" s="351">
        <f>CS_PID!S42/VLOOKUP($B42,표2[#ALL],2)/hlookup($A42,표4[#ALL],row(),false)</f>
        <v>0</v>
      </c>
      <c r="T42" s="351">
        <f>CS_PID!T42/VLOOKUP($B42,표2[#ALL],2)/hlookup($A42,표4[#ALL],row(),false)</f>
        <v>0</v>
      </c>
      <c r="U42" s="351">
        <f>CS_PID!U42/VLOOKUP($B42,표2[#ALL],2)/hlookup($A42,표4[#ALL],row(),false)</f>
        <v>0.56</v>
      </c>
      <c r="V42" s="351">
        <f>CS_PID!V42/VLOOKUP($B42,표2[#ALL],2)/hlookup($A42,표4[#ALL],row(),false)</f>
        <v>1.04</v>
      </c>
      <c r="W42" s="351">
        <f>CS_PID!W42/VLOOKUP($B42,표2[#ALL],2)/hlookup($A42,표4[#ALL],row(),false)</f>
        <v>0</v>
      </c>
      <c r="X42" s="351">
        <f>CS_PID!X42/VLOOKUP($B42,표2[#ALL],2)/hlookup($A42,표4[#ALL],row(),false)</f>
        <v>0</v>
      </c>
      <c r="Y42" s="351">
        <f>CS_PID!Y42/VLOOKUP($B42,표2[#ALL],2)/hlookup($A42,표4[#ALL],row(),false)</f>
        <v>0</v>
      </c>
      <c r="Z42" s="351">
        <f>CS_PID!Z42/VLOOKUP($B42,표2[#ALL],2)/hlookup($A42,표4[#ALL],row(),false)</f>
        <v>0.04</v>
      </c>
      <c r="AA42" s="351">
        <f>CS_PID!AA42/VLOOKUP($B42,표2[#ALL],2)/hlookup($A42,표4[#ALL],row(),false)</f>
        <v>0.16</v>
      </c>
      <c r="AB42" s="351">
        <f>CS_PID!AB42/VLOOKUP($B42,표2[#ALL],2)/hlookup($A42,표4[#ALL],row(),false)</f>
        <v>0.12</v>
      </c>
      <c r="AC42" s="351">
        <f>CS_PID!AC42/VLOOKUP($B42,표2[#ALL],2)/hlookup($A42,표4[#ALL],row(),false)</f>
        <v>0.04</v>
      </c>
      <c r="AD42" s="351">
        <f>CS_PID!AD42/VLOOKUP($B42,표2[#ALL],2)/hlookup($A42,표4[#ALL],row(),false)</f>
        <v>0</v>
      </c>
      <c r="AE42" s="351">
        <f>CS_PID!AE42/VLOOKUP($B42,표2[#ALL],2)/hlookup($A42,표4[#ALL],row(),false)</f>
        <v>0</v>
      </c>
      <c r="AF42" s="351">
        <f>CS_PID!AF42/VLOOKUP($B42,표2[#ALL],2)/hlookup($A42,표4[#ALL],row(),false)</f>
        <v>0</v>
      </c>
      <c r="AG42" s="351">
        <f>CS_PID!AG42/VLOOKUP($B42,표2[#ALL],2)/hlookup($A42,표4[#ALL],row(),false)</f>
        <v>0.08</v>
      </c>
      <c r="AH42" s="351">
        <f>CS_PID!AH42/VLOOKUP($B42,표2[#ALL],2)/hlookup($A42,표4[#ALL],row(),false)</f>
        <v>0.04</v>
      </c>
      <c r="AI42" s="351">
        <f>CS_PID!AI42/VLOOKUP($B42,표2[#ALL],2)/hlookup($A42,표4[#ALL],row(),false)</f>
        <v>0</v>
      </c>
      <c r="AJ42" s="351">
        <f>CS_PID!AJ42/VLOOKUP($B42,표2[#ALL],2)/hlookup($A42,표4[#ALL],row(),false)</f>
        <v>0</v>
      </c>
      <c r="AK42" s="351">
        <f>CS_PID!AK42/VLOOKUP($B42,표2[#ALL],2)/hlookup($A42,표4[#ALL],row(),false)</f>
        <v>0</v>
      </c>
      <c r="AL42" s="351">
        <f>CS_PID!AL42/VLOOKUP($B42,표2[#ALL],2)/hlookup($A42,표4[#ALL],row(),false)</f>
        <v>0</v>
      </c>
      <c r="AM42" s="351">
        <f>CS_PID!AM42/VLOOKUP($B42,표2[#ALL],2)/hlookup($A42,표4[#ALL],row(),false)</f>
        <v>0</v>
      </c>
      <c r="AN42" s="351">
        <f>CS_PID!AN42/VLOOKUP($B42,표2[#ALL],2)/hlookup($A42,표4[#ALL],row(),false)</f>
        <v>0</v>
      </c>
      <c r="AO42" s="351">
        <f>CS_PID!AO42/VLOOKUP($B42,표2[#ALL],2)/hlookup($A42,표4[#ALL],row(),false)</f>
        <v>0</v>
      </c>
      <c r="AP42" s="351">
        <f>CS_PID!AP42/VLOOKUP($B42,표2[#ALL],2)/hlookup($A42,표4[#ALL],row(),false)</f>
        <v>0</v>
      </c>
      <c r="AQ42" s="351">
        <f>CS_PID!AQ42/VLOOKUP($B42,표2[#ALL],2)/hlookup($A42,표4[#ALL],row(),false)</f>
        <v>0</v>
      </c>
      <c r="AR42" s="351">
        <f>CS_PID!AR42/VLOOKUP($B42,표2[#ALL],2)/hlookup($A42,표4[#ALL],row(),false)</f>
        <v>0</v>
      </c>
      <c r="AS42" s="351">
        <f>CS_PID!AS42/VLOOKUP($B42,표2[#ALL],2)/hlookup($A42,표4[#ALL],row(),false)</f>
        <v>0</v>
      </c>
    </row>
    <row r="43">
      <c r="A43" s="149" t="s">
        <v>80</v>
      </c>
      <c r="B43" s="150">
        <v>304.0</v>
      </c>
      <c r="C43" s="352">
        <f>CS_PID!C43/VLOOKUP($B43,표2[#ALL],2)/hlookup($A43,표4[#ALL],row(),false)</f>
        <v>0.01328273245</v>
      </c>
      <c r="D43" s="352">
        <f>CS_PID!D43/VLOOKUP($B43,표2[#ALL],2)/hlookup($A43,표4[#ALL],row(),false)</f>
        <v>0.2941176471</v>
      </c>
      <c r="E43" s="352">
        <f>CS_PID!E43/VLOOKUP($B43,표2[#ALL],2)/hlookup($A43,표4[#ALL],row(),false)</f>
        <v>0.3624288425</v>
      </c>
      <c r="F43" s="352">
        <f>CS_PID!F43/VLOOKUP($B43,표2[#ALL],2)/hlookup($A43,표4[#ALL],row(),false)</f>
        <v>0.1347248577</v>
      </c>
      <c r="G43" s="352">
        <f>CS_PID!G43/VLOOKUP($B43,표2[#ALL],2)/hlookup($A43,표4[#ALL],row(),false)</f>
        <v>0.001897533207</v>
      </c>
      <c r="H43" s="352">
        <f>CS_PID!H43/VLOOKUP($B43,표2[#ALL],2)/hlookup($A43,표4[#ALL],row(),false)</f>
        <v>0.00569259962</v>
      </c>
      <c r="I43" s="352">
        <f>CS_PID!I43/VLOOKUP($B43,표2[#ALL],2)/hlookup($A43,표4[#ALL],row(),false)</f>
        <v>0.1612903226</v>
      </c>
      <c r="J43" s="352">
        <f>CS_PID!J43/VLOOKUP($B43,표2[#ALL],2)/hlookup($A43,표4[#ALL],row(),false)</f>
        <v>1.092979127</v>
      </c>
      <c r="K43" s="352">
        <f>CS_PID!K43/VLOOKUP($B43,표2[#ALL],2)/hlookup($A43,표4[#ALL],row(),false)</f>
        <v>0.3567362429</v>
      </c>
      <c r="L43" s="352">
        <f>CS_PID!L43/VLOOKUP($B43,표2[#ALL],2)/hlookup($A43,표4[#ALL],row(),false)</f>
        <v>0.0284629981</v>
      </c>
      <c r="M43" s="352">
        <f>CS_PID!M43/VLOOKUP($B43,표2[#ALL],2)/hlookup($A43,표4[#ALL],row(),false)</f>
        <v>0</v>
      </c>
      <c r="N43" s="352">
        <f>CS_PID!N43/VLOOKUP($B43,표2[#ALL],2)/hlookup($A43,표4[#ALL],row(),false)</f>
        <v>0.003795066414</v>
      </c>
      <c r="O43" s="352">
        <f>CS_PID!O43/VLOOKUP($B43,표2[#ALL],2)/hlookup($A43,표4[#ALL],row(),false)</f>
        <v>0.09297912713</v>
      </c>
      <c r="P43" s="352">
        <f>CS_PID!P43/VLOOKUP($B43,표2[#ALL],2)/hlookup($A43,표4[#ALL],row(),false)</f>
        <v>1.123339658</v>
      </c>
      <c r="Q43" s="352">
        <f>CS_PID!Q43/VLOOKUP($B43,표2[#ALL],2)/hlookup($A43,표4[#ALL],row(),false)</f>
        <v>1</v>
      </c>
      <c r="R43" s="352">
        <f>CS_PID!R43/VLOOKUP($B43,표2[#ALL],2)/hlookup($A43,표4[#ALL],row(),false)</f>
        <v>0.03415559772</v>
      </c>
      <c r="S43" s="352">
        <f>CS_PID!S43/VLOOKUP($B43,표2[#ALL],2)/hlookup($A43,표4[#ALL],row(),false)</f>
        <v>0</v>
      </c>
      <c r="T43" s="352">
        <f>CS_PID!T43/VLOOKUP($B43,표2[#ALL],2)/hlookup($A43,표4[#ALL],row(),false)</f>
        <v>0</v>
      </c>
      <c r="U43" s="352">
        <f>CS_PID!U43/VLOOKUP($B43,표2[#ALL],2)/hlookup($A43,표4[#ALL],row(),false)</f>
        <v>0.05123339658</v>
      </c>
      <c r="V43" s="352">
        <f>CS_PID!V43/VLOOKUP($B43,표2[#ALL],2)/hlookup($A43,표4[#ALL],row(),false)</f>
        <v>1.163187856</v>
      </c>
      <c r="W43" s="352">
        <f>CS_PID!W43/VLOOKUP($B43,표2[#ALL],2)/hlookup($A43,표4[#ALL],row(),false)</f>
        <v>0.6622390892</v>
      </c>
      <c r="X43" s="352">
        <f>CS_PID!X43/VLOOKUP($B43,표2[#ALL],2)/hlookup($A43,표4[#ALL],row(),false)</f>
        <v>0.02277039848</v>
      </c>
      <c r="Y43" s="352">
        <f>CS_PID!Y43/VLOOKUP($B43,표2[#ALL],2)/hlookup($A43,표4[#ALL],row(),false)</f>
        <v>0</v>
      </c>
      <c r="Z43" s="352">
        <f>CS_PID!Z43/VLOOKUP($B43,표2[#ALL],2)/hlookup($A43,표4[#ALL],row(),false)</f>
        <v>0</v>
      </c>
      <c r="AA43" s="352">
        <f>CS_PID!AA43/VLOOKUP($B43,표2[#ALL],2)/hlookup($A43,표4[#ALL],row(),false)</f>
        <v>0.01328273245</v>
      </c>
      <c r="AB43" s="352">
        <f>CS_PID!AB43/VLOOKUP($B43,표2[#ALL],2)/hlookup($A43,표4[#ALL],row(),false)</f>
        <v>0.265654649</v>
      </c>
      <c r="AC43" s="352">
        <f>CS_PID!AC43/VLOOKUP($B43,표2[#ALL],2)/hlookup($A43,표4[#ALL],row(),false)</f>
        <v>0.3036053131</v>
      </c>
      <c r="AD43" s="352">
        <f>CS_PID!AD43/VLOOKUP($B43,표2[#ALL],2)/hlookup($A43,표4[#ALL],row(),false)</f>
        <v>0.001897533207</v>
      </c>
      <c r="AE43" s="352">
        <f>CS_PID!AE43/VLOOKUP($B43,표2[#ALL],2)/hlookup($A43,표4[#ALL],row(),false)</f>
        <v>0</v>
      </c>
      <c r="AF43" s="352">
        <f>CS_PID!AF43/VLOOKUP($B43,표2[#ALL],2)/hlookup($A43,표4[#ALL],row(),false)</f>
        <v>0</v>
      </c>
      <c r="AG43" s="352">
        <f>CS_PID!AG43/VLOOKUP($B43,표2[#ALL],2)/hlookup($A43,표4[#ALL],row(),false)</f>
        <v>0.003795066414</v>
      </c>
      <c r="AH43" s="352">
        <f>CS_PID!AH43/VLOOKUP($B43,표2[#ALL],2)/hlookup($A43,표4[#ALL],row(),false)</f>
        <v>0.1404174573</v>
      </c>
      <c r="AI43" s="352">
        <f>CS_PID!AI43/VLOOKUP($B43,표2[#ALL],2)/hlookup($A43,표4[#ALL],row(),false)</f>
        <v>0.03225806452</v>
      </c>
      <c r="AJ43" s="352">
        <f>CS_PID!AJ43/VLOOKUP($B43,표2[#ALL],2)/hlookup($A43,표4[#ALL],row(),false)</f>
        <v>0.001897533207</v>
      </c>
      <c r="AK43" s="352">
        <f>CS_PID!AK43/VLOOKUP($B43,표2[#ALL],2)/hlookup($A43,표4[#ALL],row(),false)</f>
        <v>0</v>
      </c>
      <c r="AL43" s="352">
        <f>CS_PID!AL43/VLOOKUP($B43,표2[#ALL],2)/hlookup($A43,표4[#ALL],row(),false)</f>
        <v>0.003795066414</v>
      </c>
      <c r="AM43" s="352">
        <f>CS_PID!AM43/VLOOKUP($B43,표2[#ALL],2)/hlookup($A43,표4[#ALL],row(),false)</f>
        <v>0.009487666034</v>
      </c>
      <c r="AN43" s="352">
        <f>CS_PID!AN43/VLOOKUP($B43,표2[#ALL],2)/hlookup($A43,표4[#ALL],row(),false)</f>
        <v>0.001897533207</v>
      </c>
      <c r="AO43" s="352">
        <f>CS_PID!AO43/VLOOKUP($B43,표2[#ALL],2)/hlookup($A43,표4[#ALL],row(),false)</f>
        <v>0</v>
      </c>
      <c r="AP43" s="352">
        <f>CS_PID!AP43/VLOOKUP($B43,표2[#ALL],2)/hlookup($A43,표4[#ALL],row(),false)</f>
        <v>0</v>
      </c>
      <c r="AQ43" s="352">
        <f>CS_PID!AQ43/VLOOKUP($B43,표2[#ALL],2)/hlookup($A43,표4[#ALL],row(),false)</f>
        <v>0</v>
      </c>
      <c r="AR43" s="352">
        <f>CS_PID!AR43/VLOOKUP($B43,표2[#ALL],2)/hlookup($A43,표4[#ALL],row(),false)</f>
        <v>0</v>
      </c>
      <c r="AS43" s="352">
        <f>CS_PID!AS43/VLOOKUP($B43,표2[#ALL],2)/hlookup($A43,표4[#ALL],row(),false)</f>
        <v>0</v>
      </c>
    </row>
    <row r="44">
      <c r="A44" s="153" t="s">
        <v>80</v>
      </c>
      <c r="B44" s="154">
        <v>305.0</v>
      </c>
      <c r="C44" s="353">
        <f>CS_PID!C44/VLOOKUP($B44,표2[#ALL],2)/hlookup($A44,표4[#ALL],row(),false)</f>
        <v>0.006610009443</v>
      </c>
      <c r="D44" s="353">
        <f>CS_PID!D44/VLOOKUP($B44,표2[#ALL],2)/hlookup($A44,표4[#ALL],row(),false)</f>
        <v>0.3078375826</v>
      </c>
      <c r="E44" s="353">
        <f>CS_PID!E44/VLOOKUP($B44,표2[#ALL],2)/hlookup($A44,표4[#ALL],row(),false)</f>
        <v>0.3862134089</v>
      </c>
      <c r="F44" s="353">
        <f>CS_PID!F44/VLOOKUP($B44,표2[#ALL],2)/hlookup($A44,표4[#ALL],row(),false)</f>
        <v>0.1435316336</v>
      </c>
      <c r="G44" s="353">
        <f>CS_PID!G44/VLOOKUP($B44,표2[#ALL],2)/hlookup($A44,표4[#ALL],row(),false)</f>
        <v>0.0009442870633</v>
      </c>
      <c r="H44" s="353">
        <f>CS_PID!H44/VLOOKUP($B44,표2[#ALL],2)/hlookup($A44,표4[#ALL],row(),false)</f>
        <v>0.003777148253</v>
      </c>
      <c r="I44" s="353">
        <f>CS_PID!I44/VLOOKUP($B44,표2[#ALL],2)/hlookup($A44,표4[#ALL],row(),false)</f>
        <v>0.1680830973</v>
      </c>
      <c r="J44" s="353">
        <f>CS_PID!J44/VLOOKUP($B44,표2[#ALL],2)/hlookup($A44,표4[#ALL],row(),false)</f>
        <v>1.112370161</v>
      </c>
      <c r="K44" s="353">
        <f>CS_PID!K44/VLOOKUP($B44,표2[#ALL],2)/hlookup($A44,표4[#ALL],row(),false)</f>
        <v>0.3862134089</v>
      </c>
      <c r="L44" s="353">
        <f>CS_PID!L44/VLOOKUP($B44,표2[#ALL],2)/hlookup($A44,표4[#ALL],row(),false)</f>
        <v>0.0179414542</v>
      </c>
      <c r="M44" s="353">
        <f>CS_PID!M44/VLOOKUP($B44,표2[#ALL],2)/hlookup($A44,표4[#ALL],row(),false)</f>
        <v>0</v>
      </c>
      <c r="N44" s="353">
        <f>CS_PID!N44/VLOOKUP($B44,표2[#ALL],2)/hlookup($A44,표4[#ALL],row(),false)</f>
        <v>0</v>
      </c>
      <c r="O44" s="353">
        <f>CS_PID!O44/VLOOKUP($B44,표2[#ALL],2)/hlookup($A44,표4[#ALL],row(),false)</f>
        <v>0.1303116147</v>
      </c>
      <c r="P44" s="353">
        <f>CS_PID!P44/VLOOKUP($B44,표2[#ALL],2)/hlookup($A44,표4[#ALL],row(),false)</f>
        <v>1.126534466</v>
      </c>
      <c r="Q44" s="353">
        <f>CS_PID!Q44/VLOOKUP($B44,표2[#ALL],2)/hlookup($A44,표4[#ALL],row(),false)</f>
        <v>1</v>
      </c>
      <c r="R44" s="353">
        <f>CS_PID!R44/VLOOKUP($B44,표2[#ALL],2)/hlookup($A44,표4[#ALL],row(),false)</f>
        <v>0.03210576015</v>
      </c>
      <c r="S44" s="353">
        <f>CS_PID!S44/VLOOKUP($B44,표2[#ALL],2)/hlookup($A44,표4[#ALL],row(),false)</f>
        <v>0</v>
      </c>
      <c r="T44" s="353">
        <f>CS_PID!T44/VLOOKUP($B44,표2[#ALL],2)/hlookup($A44,표4[#ALL],row(),false)</f>
        <v>0</v>
      </c>
      <c r="U44" s="353">
        <f>CS_PID!U44/VLOOKUP($B44,표2[#ALL],2)/hlookup($A44,표4[#ALL],row(),false)</f>
        <v>0.04249291785</v>
      </c>
      <c r="V44" s="353">
        <f>CS_PID!V44/VLOOKUP($B44,표2[#ALL],2)/hlookup($A44,표4[#ALL],row(),false)</f>
        <v>1.150141643</v>
      </c>
      <c r="W44" s="353">
        <f>CS_PID!W44/VLOOKUP($B44,표2[#ALL],2)/hlookup($A44,표4[#ALL],row(),false)</f>
        <v>0.6694995279</v>
      </c>
      <c r="X44" s="353">
        <f>CS_PID!X44/VLOOKUP($B44,표2[#ALL],2)/hlookup($A44,표4[#ALL],row(),false)</f>
        <v>0.03210576015</v>
      </c>
      <c r="Y44" s="353">
        <f>CS_PID!Y44/VLOOKUP($B44,표2[#ALL],2)/hlookup($A44,표4[#ALL],row(),false)</f>
        <v>0</v>
      </c>
      <c r="Z44" s="353">
        <f>CS_PID!Z44/VLOOKUP($B44,표2[#ALL],2)/hlookup($A44,표4[#ALL],row(),false)</f>
        <v>0</v>
      </c>
      <c r="AA44" s="353">
        <f>CS_PID!AA44/VLOOKUP($B44,표2[#ALL],2)/hlookup($A44,표4[#ALL],row(),false)</f>
        <v>0.02644003777</v>
      </c>
      <c r="AB44" s="353">
        <f>CS_PID!AB44/VLOOKUP($B44,표2[#ALL],2)/hlookup($A44,표4[#ALL],row(),false)</f>
        <v>0.3673276676</v>
      </c>
      <c r="AC44" s="353">
        <f>CS_PID!AC44/VLOOKUP($B44,표2[#ALL],2)/hlookup($A44,표4[#ALL],row(),false)</f>
        <v>0.3220018886</v>
      </c>
      <c r="AD44" s="353">
        <f>CS_PID!AD44/VLOOKUP($B44,표2[#ALL],2)/hlookup($A44,표4[#ALL],row(),false)</f>
        <v>0.00283286119</v>
      </c>
      <c r="AE44" s="353">
        <f>CS_PID!AE44/VLOOKUP($B44,표2[#ALL],2)/hlookup($A44,표4[#ALL],row(),false)</f>
        <v>0.0009442870633</v>
      </c>
      <c r="AF44" s="353">
        <f>CS_PID!AF44/VLOOKUP($B44,표2[#ALL],2)/hlookup($A44,표4[#ALL],row(),false)</f>
        <v>0</v>
      </c>
      <c r="AG44" s="353">
        <f>CS_PID!AG44/VLOOKUP($B44,표2[#ALL],2)/hlookup($A44,표4[#ALL],row(),false)</f>
        <v>0.006610009443</v>
      </c>
      <c r="AH44" s="353">
        <f>CS_PID!AH44/VLOOKUP($B44,표2[#ALL],2)/hlookup($A44,표4[#ALL],row(),false)</f>
        <v>0.1237016053</v>
      </c>
      <c r="AI44" s="353">
        <f>CS_PID!AI44/VLOOKUP($B44,표2[#ALL],2)/hlookup($A44,표4[#ALL],row(),false)</f>
        <v>0.04154863078</v>
      </c>
      <c r="AJ44" s="353">
        <f>CS_PID!AJ44/VLOOKUP($B44,표2[#ALL],2)/hlookup($A44,표4[#ALL],row(),false)</f>
        <v>0.001888574127</v>
      </c>
      <c r="AK44" s="353">
        <f>CS_PID!AK44/VLOOKUP($B44,표2[#ALL],2)/hlookup($A44,표4[#ALL],row(),false)</f>
        <v>0</v>
      </c>
      <c r="AL44" s="353">
        <f>CS_PID!AL44/VLOOKUP($B44,표2[#ALL],2)/hlookup($A44,표4[#ALL],row(),false)</f>
        <v>0.00283286119</v>
      </c>
      <c r="AM44" s="353">
        <f>CS_PID!AM44/VLOOKUP($B44,표2[#ALL],2)/hlookup($A44,표4[#ALL],row(),false)</f>
        <v>0.01416430595</v>
      </c>
      <c r="AN44" s="353">
        <f>CS_PID!AN44/VLOOKUP($B44,표2[#ALL],2)/hlookup($A44,표4[#ALL],row(),false)</f>
        <v>0.0009442870633</v>
      </c>
      <c r="AO44" s="353">
        <f>CS_PID!AO44/VLOOKUP($B44,표2[#ALL],2)/hlookup($A44,표4[#ALL],row(),false)</f>
        <v>0</v>
      </c>
      <c r="AP44" s="353">
        <f>CS_PID!AP44/VLOOKUP($B44,표2[#ALL],2)/hlookup($A44,표4[#ALL],row(),false)</f>
        <v>0</v>
      </c>
      <c r="AQ44" s="353">
        <f>CS_PID!AQ44/VLOOKUP($B44,표2[#ALL],2)/hlookup($A44,표4[#ALL],row(),false)</f>
        <v>0</v>
      </c>
      <c r="AR44" s="353">
        <f>CS_PID!AR44/VLOOKUP($B44,표2[#ALL],2)/hlookup($A44,표4[#ALL],row(),false)</f>
        <v>0</v>
      </c>
      <c r="AS44" s="353">
        <f>CS_PID!AS44/VLOOKUP($B44,표2[#ALL],2)/hlookup($A44,표4[#ALL],row(),false)</f>
        <v>0</v>
      </c>
    </row>
    <row r="45">
      <c r="A45" s="153" t="s">
        <v>80</v>
      </c>
      <c r="B45" s="154">
        <v>306.0</v>
      </c>
      <c r="C45" s="353">
        <f>CS_PID!C45/VLOOKUP($B45,표2[#ALL],2)/hlookup($A45,표4[#ALL],row(),false)</f>
        <v>0.005773672055</v>
      </c>
      <c r="D45" s="353">
        <f>CS_PID!D45/VLOOKUP($B45,표2[#ALL],2)/hlookup($A45,표4[#ALL],row(),false)</f>
        <v>0.3302540416</v>
      </c>
      <c r="E45" s="353">
        <f>CS_PID!E45/VLOOKUP($B45,표2[#ALL],2)/hlookup($A45,표4[#ALL],row(),false)</f>
        <v>0.4191685912</v>
      </c>
      <c r="F45" s="353">
        <f>CS_PID!F45/VLOOKUP($B45,표2[#ALL],2)/hlookup($A45,표4[#ALL],row(),false)</f>
        <v>0.1593533487</v>
      </c>
      <c r="G45" s="353">
        <f>CS_PID!G45/VLOOKUP($B45,표2[#ALL],2)/hlookup($A45,표4[#ALL],row(),false)</f>
        <v>0.001154734411</v>
      </c>
      <c r="H45" s="353">
        <f>CS_PID!H45/VLOOKUP($B45,표2[#ALL],2)/hlookup($A45,표4[#ALL],row(),false)</f>
        <v>0.006928406467</v>
      </c>
      <c r="I45" s="353">
        <f>CS_PID!I45/VLOOKUP($B45,표2[#ALL],2)/hlookup($A45,표4[#ALL],row(),false)</f>
        <v>0.1743648961</v>
      </c>
      <c r="J45" s="353">
        <f>CS_PID!J45/VLOOKUP($B45,표2[#ALL],2)/hlookup($A45,표4[#ALL],row(),false)</f>
        <v>1.19630485</v>
      </c>
      <c r="K45" s="353">
        <f>CS_PID!K45/VLOOKUP($B45,표2[#ALL],2)/hlookup($A45,표4[#ALL],row(),false)</f>
        <v>0.3810623557</v>
      </c>
      <c r="L45" s="353">
        <f>CS_PID!L45/VLOOKUP($B45,표2[#ALL],2)/hlookup($A45,표4[#ALL],row(),false)</f>
        <v>0.02771362587</v>
      </c>
      <c r="M45" s="353">
        <f>CS_PID!M45/VLOOKUP($B45,표2[#ALL],2)/hlookup($A45,표4[#ALL],row(),false)</f>
        <v>0</v>
      </c>
      <c r="N45" s="353">
        <f>CS_PID!N45/VLOOKUP($B45,표2[#ALL],2)/hlookup($A45,표4[#ALL],row(),false)</f>
        <v>0.001154734411</v>
      </c>
      <c r="O45" s="353">
        <f>CS_PID!O45/VLOOKUP($B45,표2[#ALL],2)/hlookup($A45,표4[#ALL],row(),false)</f>
        <v>0.1639722864</v>
      </c>
      <c r="P45" s="353">
        <f>CS_PID!P45/VLOOKUP($B45,표2[#ALL],2)/hlookup($A45,표4[#ALL],row(),false)</f>
        <v>1.242494226</v>
      </c>
      <c r="Q45" s="353">
        <f>CS_PID!Q45/VLOOKUP($B45,표2[#ALL],2)/hlookup($A45,표4[#ALL],row(),false)</f>
        <v>1</v>
      </c>
      <c r="R45" s="353">
        <f>CS_PID!R45/VLOOKUP($B45,표2[#ALL],2)/hlookup($A45,표4[#ALL],row(),false)</f>
        <v>0.02886836028</v>
      </c>
      <c r="S45" s="353">
        <f>CS_PID!S45/VLOOKUP($B45,표2[#ALL],2)/hlookup($A45,표4[#ALL],row(),false)</f>
        <v>0</v>
      </c>
      <c r="T45" s="353">
        <f>CS_PID!T45/VLOOKUP($B45,표2[#ALL],2)/hlookup($A45,표4[#ALL],row(),false)</f>
        <v>0</v>
      </c>
      <c r="U45" s="353">
        <f>CS_PID!U45/VLOOKUP($B45,표2[#ALL],2)/hlookup($A45,표4[#ALL],row(),false)</f>
        <v>0.05080831409</v>
      </c>
      <c r="V45" s="353">
        <f>CS_PID!V45/VLOOKUP($B45,표2[#ALL],2)/hlookup($A45,표4[#ALL],row(),false)</f>
        <v>1.29330254</v>
      </c>
      <c r="W45" s="353">
        <f>CS_PID!W45/VLOOKUP($B45,표2[#ALL],2)/hlookup($A45,표4[#ALL],row(),false)</f>
        <v>0.6997690531</v>
      </c>
      <c r="X45" s="353">
        <f>CS_PID!X45/VLOOKUP($B45,표2[#ALL],2)/hlookup($A45,표4[#ALL],row(),false)</f>
        <v>0.02540415704</v>
      </c>
      <c r="Y45" s="353">
        <f>CS_PID!Y45/VLOOKUP($B45,표2[#ALL],2)/hlookup($A45,표4[#ALL],row(),false)</f>
        <v>0</v>
      </c>
      <c r="Z45" s="353">
        <f>CS_PID!Z45/VLOOKUP($B45,표2[#ALL],2)/hlookup($A45,표4[#ALL],row(),false)</f>
        <v>0</v>
      </c>
      <c r="AA45" s="353">
        <f>CS_PID!AA45/VLOOKUP($B45,표2[#ALL],2)/hlookup($A45,표4[#ALL],row(),false)</f>
        <v>0.01501154734</v>
      </c>
      <c r="AB45" s="353">
        <f>CS_PID!AB45/VLOOKUP($B45,표2[#ALL],2)/hlookup($A45,표4[#ALL],row(),false)</f>
        <v>0.3775981524</v>
      </c>
      <c r="AC45" s="353">
        <f>CS_PID!AC45/VLOOKUP($B45,표2[#ALL],2)/hlookup($A45,표4[#ALL],row(),false)</f>
        <v>0.3198614319</v>
      </c>
      <c r="AD45" s="353">
        <f>CS_PID!AD45/VLOOKUP($B45,표2[#ALL],2)/hlookup($A45,표4[#ALL],row(),false)</f>
        <v>0.003464203233</v>
      </c>
      <c r="AE45" s="353">
        <f>CS_PID!AE45/VLOOKUP($B45,표2[#ALL],2)/hlookup($A45,표4[#ALL],row(),false)</f>
        <v>0</v>
      </c>
      <c r="AF45" s="353">
        <f>CS_PID!AF45/VLOOKUP($B45,표2[#ALL],2)/hlookup($A45,표4[#ALL],row(),false)</f>
        <v>0</v>
      </c>
      <c r="AG45" s="353">
        <f>CS_PID!AG45/VLOOKUP($B45,표2[#ALL],2)/hlookup($A45,표4[#ALL],row(),false)</f>
        <v>0.005773672055</v>
      </c>
      <c r="AH45" s="353">
        <f>CS_PID!AH45/VLOOKUP($B45,표2[#ALL],2)/hlookup($A45,표4[#ALL],row(),false)</f>
        <v>0.1327944573</v>
      </c>
      <c r="AI45" s="353">
        <f>CS_PID!AI45/VLOOKUP($B45,표2[#ALL],2)/hlookup($A45,표4[#ALL],row(),false)</f>
        <v>0.0207852194</v>
      </c>
      <c r="AJ45" s="353">
        <f>CS_PID!AJ45/VLOOKUP($B45,표2[#ALL],2)/hlookup($A45,표4[#ALL],row(),false)</f>
        <v>0.002309468822</v>
      </c>
      <c r="AK45" s="353">
        <f>CS_PID!AK45/VLOOKUP($B45,표2[#ALL],2)/hlookup($A45,표4[#ALL],row(),false)</f>
        <v>0</v>
      </c>
      <c r="AL45" s="353">
        <f>CS_PID!AL45/VLOOKUP($B45,표2[#ALL],2)/hlookup($A45,표4[#ALL],row(),false)</f>
        <v>0.001154734411</v>
      </c>
      <c r="AM45" s="353">
        <f>CS_PID!AM45/VLOOKUP($B45,표2[#ALL],2)/hlookup($A45,표4[#ALL],row(),false)</f>
        <v>0.01501154734</v>
      </c>
      <c r="AN45" s="353">
        <f>CS_PID!AN45/VLOOKUP($B45,표2[#ALL],2)/hlookup($A45,표4[#ALL],row(),false)</f>
        <v>0.005773672055</v>
      </c>
      <c r="AO45" s="353">
        <f>CS_PID!AO45/VLOOKUP($B45,표2[#ALL],2)/hlookup($A45,표4[#ALL],row(),false)</f>
        <v>0.001154734411</v>
      </c>
      <c r="AP45" s="353">
        <f>CS_PID!AP45/VLOOKUP($B45,표2[#ALL],2)/hlookup($A45,표4[#ALL],row(),false)</f>
        <v>0</v>
      </c>
      <c r="AQ45" s="353">
        <f>CS_PID!AQ45/VLOOKUP($B45,표2[#ALL],2)/hlookup($A45,표4[#ALL],row(),false)</f>
        <v>0</v>
      </c>
      <c r="AR45" s="353">
        <f>CS_PID!AR45/VLOOKUP($B45,표2[#ALL],2)/hlookup($A45,표4[#ALL],row(),false)</f>
        <v>0</v>
      </c>
      <c r="AS45" s="353">
        <f>CS_PID!AS45/VLOOKUP($B45,표2[#ALL],2)/hlookup($A45,표4[#ALL],row(),false)</f>
        <v>0</v>
      </c>
    </row>
    <row r="46">
      <c r="A46" s="153" t="s">
        <v>80</v>
      </c>
      <c r="B46" s="154">
        <v>307.0</v>
      </c>
      <c r="C46" s="353">
        <f>CS_PID!C46/VLOOKUP($B46,표2[#ALL],2)/hlookup($A46,표4[#ALL],row(),false)</f>
        <v>0.01869158879</v>
      </c>
      <c r="D46" s="353">
        <f>CS_PID!D46/VLOOKUP($B46,표2[#ALL],2)/hlookup($A46,표4[#ALL],row(),false)</f>
        <v>0.2523364486</v>
      </c>
      <c r="E46" s="353">
        <f>CS_PID!E46/VLOOKUP($B46,표2[#ALL],2)/hlookup($A46,표4[#ALL],row(),false)</f>
        <v>0.261682243</v>
      </c>
      <c r="F46" s="353">
        <f>CS_PID!F46/VLOOKUP($B46,표2[#ALL],2)/hlookup($A46,표4[#ALL],row(),false)</f>
        <v>0.09345794393</v>
      </c>
      <c r="G46" s="353">
        <f>CS_PID!G46/VLOOKUP($B46,표2[#ALL],2)/hlookup($A46,표4[#ALL],row(),false)</f>
        <v>0</v>
      </c>
      <c r="H46" s="353">
        <f>CS_PID!H46/VLOOKUP($B46,표2[#ALL],2)/hlookup($A46,표4[#ALL],row(),false)</f>
        <v>0.009345794393</v>
      </c>
      <c r="I46" s="353">
        <f>CS_PID!I46/VLOOKUP($B46,표2[#ALL],2)/hlookup($A46,표4[#ALL],row(),false)</f>
        <v>0.1495327103</v>
      </c>
      <c r="J46" s="353">
        <f>CS_PID!J46/VLOOKUP($B46,표2[#ALL],2)/hlookup($A46,표4[#ALL],row(),false)</f>
        <v>1.056074766</v>
      </c>
      <c r="K46" s="353">
        <f>CS_PID!K46/VLOOKUP($B46,표2[#ALL],2)/hlookup($A46,표4[#ALL],row(),false)</f>
        <v>0.4859813084</v>
      </c>
      <c r="L46" s="353">
        <f>CS_PID!L46/VLOOKUP($B46,표2[#ALL],2)/hlookup($A46,표4[#ALL],row(),false)</f>
        <v>0.03738317757</v>
      </c>
      <c r="M46" s="353">
        <f>CS_PID!M46/VLOOKUP($B46,표2[#ALL],2)/hlookup($A46,표4[#ALL],row(),false)</f>
        <v>0</v>
      </c>
      <c r="N46" s="353">
        <f>CS_PID!N46/VLOOKUP($B46,표2[#ALL],2)/hlookup($A46,표4[#ALL],row(),false)</f>
        <v>0</v>
      </c>
      <c r="O46" s="353">
        <f>CS_PID!O46/VLOOKUP($B46,표2[#ALL],2)/hlookup($A46,표4[#ALL],row(),false)</f>
        <v>0.1308411215</v>
      </c>
      <c r="P46" s="353">
        <f>CS_PID!P46/VLOOKUP($B46,표2[#ALL],2)/hlookup($A46,표4[#ALL],row(),false)</f>
        <v>1.214953271</v>
      </c>
      <c r="Q46" s="353">
        <f>CS_PID!Q46/VLOOKUP($B46,표2[#ALL],2)/hlookup($A46,표4[#ALL],row(),false)</f>
        <v>1</v>
      </c>
      <c r="R46" s="353">
        <f>CS_PID!R46/VLOOKUP($B46,표2[#ALL],2)/hlookup($A46,표4[#ALL],row(),false)</f>
        <v>0.03738317757</v>
      </c>
      <c r="S46" s="353">
        <f>CS_PID!S46/VLOOKUP($B46,표2[#ALL],2)/hlookup($A46,표4[#ALL],row(),false)</f>
        <v>0</v>
      </c>
      <c r="T46" s="353">
        <f>CS_PID!T46/VLOOKUP($B46,표2[#ALL],2)/hlookup($A46,표4[#ALL],row(),false)</f>
        <v>0</v>
      </c>
      <c r="U46" s="353">
        <f>CS_PID!U46/VLOOKUP($B46,표2[#ALL],2)/hlookup($A46,표4[#ALL],row(),false)</f>
        <v>0.04672897196</v>
      </c>
      <c r="V46" s="353">
        <f>CS_PID!V46/VLOOKUP($B46,표2[#ALL],2)/hlookup($A46,표4[#ALL],row(),false)</f>
        <v>1.280373832</v>
      </c>
      <c r="W46" s="353">
        <f>CS_PID!W46/VLOOKUP($B46,표2[#ALL],2)/hlookup($A46,표4[#ALL],row(),false)</f>
        <v>0.6168224299</v>
      </c>
      <c r="X46" s="353">
        <f>CS_PID!X46/VLOOKUP($B46,표2[#ALL],2)/hlookup($A46,표4[#ALL],row(),false)</f>
        <v>0.02803738318</v>
      </c>
      <c r="Y46" s="353">
        <f>CS_PID!Y46/VLOOKUP($B46,표2[#ALL],2)/hlookup($A46,표4[#ALL],row(),false)</f>
        <v>0</v>
      </c>
      <c r="Z46" s="353">
        <f>CS_PID!Z46/VLOOKUP($B46,표2[#ALL],2)/hlookup($A46,표4[#ALL],row(),false)</f>
        <v>0</v>
      </c>
      <c r="AA46" s="353">
        <f>CS_PID!AA46/VLOOKUP($B46,표2[#ALL],2)/hlookup($A46,표4[#ALL],row(),false)</f>
        <v>0.02803738318</v>
      </c>
      <c r="AB46" s="353">
        <f>CS_PID!AB46/VLOOKUP($B46,표2[#ALL],2)/hlookup($A46,표4[#ALL],row(),false)</f>
        <v>0.4299065421</v>
      </c>
      <c r="AC46" s="353">
        <f>CS_PID!AC46/VLOOKUP($B46,표2[#ALL],2)/hlookup($A46,표4[#ALL],row(),false)</f>
        <v>0.2523364486</v>
      </c>
      <c r="AD46" s="353">
        <f>CS_PID!AD46/VLOOKUP($B46,표2[#ALL],2)/hlookup($A46,표4[#ALL],row(),false)</f>
        <v>0</v>
      </c>
      <c r="AE46" s="353">
        <f>CS_PID!AE46/VLOOKUP($B46,표2[#ALL],2)/hlookup($A46,표4[#ALL],row(),false)</f>
        <v>0</v>
      </c>
      <c r="AF46" s="353">
        <f>CS_PID!AF46/VLOOKUP($B46,표2[#ALL],2)/hlookup($A46,표4[#ALL],row(),false)</f>
        <v>0</v>
      </c>
      <c r="AG46" s="353">
        <f>CS_PID!AG46/VLOOKUP($B46,표2[#ALL],2)/hlookup($A46,표4[#ALL],row(),false)</f>
        <v>0</v>
      </c>
      <c r="AH46" s="353">
        <f>CS_PID!AH46/VLOOKUP($B46,표2[#ALL],2)/hlookup($A46,표4[#ALL],row(),false)</f>
        <v>0.1121495327</v>
      </c>
      <c r="AI46" s="353">
        <f>CS_PID!AI46/VLOOKUP($B46,표2[#ALL],2)/hlookup($A46,표4[#ALL],row(),false)</f>
        <v>0.02803738318</v>
      </c>
      <c r="AJ46" s="353">
        <f>CS_PID!AJ46/VLOOKUP($B46,표2[#ALL],2)/hlookup($A46,표4[#ALL],row(),false)</f>
        <v>0</v>
      </c>
      <c r="AK46" s="353">
        <f>CS_PID!AK46/VLOOKUP($B46,표2[#ALL],2)/hlookup($A46,표4[#ALL],row(),false)</f>
        <v>0</v>
      </c>
      <c r="AL46" s="353">
        <f>CS_PID!AL46/VLOOKUP($B46,표2[#ALL],2)/hlookup($A46,표4[#ALL],row(),false)</f>
        <v>0.009345794393</v>
      </c>
      <c r="AM46" s="353">
        <f>CS_PID!AM46/VLOOKUP($B46,표2[#ALL],2)/hlookup($A46,표4[#ALL],row(),false)</f>
        <v>0.009345794393</v>
      </c>
      <c r="AN46" s="353">
        <f>CS_PID!AN46/VLOOKUP($B46,표2[#ALL],2)/hlookup($A46,표4[#ALL],row(),false)</f>
        <v>0</v>
      </c>
      <c r="AO46" s="353">
        <f>CS_PID!AO46/VLOOKUP($B46,표2[#ALL],2)/hlookup($A46,표4[#ALL],row(),false)</f>
        <v>0</v>
      </c>
      <c r="AP46" s="353">
        <f>CS_PID!AP46/VLOOKUP($B46,표2[#ALL],2)/hlookup($A46,표4[#ALL],row(),false)</f>
        <v>0</v>
      </c>
      <c r="AQ46" s="353">
        <f>CS_PID!AQ46/VLOOKUP($B46,표2[#ALL],2)/hlookup($A46,표4[#ALL],row(),false)</f>
        <v>0</v>
      </c>
      <c r="AR46" s="353">
        <f>CS_PID!AR46/VLOOKUP($B46,표2[#ALL],2)/hlookup($A46,표4[#ALL],row(),false)</f>
        <v>0</v>
      </c>
      <c r="AS46" s="353">
        <f>CS_PID!AS46/VLOOKUP($B46,표2[#ALL],2)/hlookup($A46,표4[#ALL],row(),false)</f>
        <v>0</v>
      </c>
    </row>
    <row r="47">
      <c r="A47" s="153" t="s">
        <v>80</v>
      </c>
      <c r="B47" s="154">
        <v>308.0</v>
      </c>
      <c r="C47" s="353">
        <f>CS_PID!C47/VLOOKUP($B47,표2[#ALL],2)/hlookup($A47,표4[#ALL],row(),false)</f>
        <v>0</v>
      </c>
      <c r="D47" s="353">
        <f>CS_PID!D47/VLOOKUP($B47,표2[#ALL],2)/hlookup($A47,표4[#ALL],row(),false)</f>
        <v>0.2295081967</v>
      </c>
      <c r="E47" s="353">
        <f>CS_PID!E47/VLOOKUP($B47,표2[#ALL],2)/hlookup($A47,표4[#ALL],row(),false)</f>
        <v>0.4918032787</v>
      </c>
      <c r="F47" s="353">
        <f>CS_PID!F47/VLOOKUP($B47,표2[#ALL],2)/hlookup($A47,표4[#ALL],row(),false)</f>
        <v>0.09836065574</v>
      </c>
      <c r="G47" s="353">
        <f>CS_PID!G47/VLOOKUP($B47,표2[#ALL],2)/hlookup($A47,표4[#ALL],row(),false)</f>
        <v>0</v>
      </c>
      <c r="H47" s="353">
        <f>CS_PID!H47/VLOOKUP($B47,표2[#ALL],2)/hlookup($A47,표4[#ALL],row(),false)</f>
        <v>0.01639344262</v>
      </c>
      <c r="I47" s="353">
        <f>CS_PID!I47/VLOOKUP($B47,표2[#ALL],2)/hlookup($A47,표4[#ALL],row(),false)</f>
        <v>0.04918032787</v>
      </c>
      <c r="J47" s="353">
        <f>CS_PID!J47/VLOOKUP($B47,표2[#ALL],2)/hlookup($A47,표4[#ALL],row(),false)</f>
        <v>0.868852459</v>
      </c>
      <c r="K47" s="353">
        <f>CS_PID!K47/VLOOKUP($B47,표2[#ALL],2)/hlookup($A47,표4[#ALL],row(),false)</f>
        <v>0.4754098361</v>
      </c>
      <c r="L47" s="353">
        <f>CS_PID!L47/VLOOKUP($B47,표2[#ALL],2)/hlookup($A47,표4[#ALL],row(),false)</f>
        <v>0.03278688525</v>
      </c>
      <c r="M47" s="353">
        <f>CS_PID!M47/VLOOKUP($B47,표2[#ALL],2)/hlookup($A47,표4[#ALL],row(),false)</f>
        <v>0</v>
      </c>
      <c r="N47" s="353">
        <f>CS_PID!N47/VLOOKUP($B47,표2[#ALL],2)/hlookup($A47,표4[#ALL],row(),false)</f>
        <v>0.01639344262</v>
      </c>
      <c r="O47" s="353">
        <f>CS_PID!O47/VLOOKUP($B47,표2[#ALL],2)/hlookup($A47,표4[#ALL],row(),false)</f>
        <v>0.1967213115</v>
      </c>
      <c r="P47" s="353">
        <f>CS_PID!P47/VLOOKUP($B47,표2[#ALL],2)/hlookup($A47,표4[#ALL],row(),false)</f>
        <v>1.114754098</v>
      </c>
      <c r="Q47" s="353">
        <f>CS_PID!Q47/VLOOKUP($B47,표2[#ALL],2)/hlookup($A47,표4[#ALL],row(),false)</f>
        <v>1</v>
      </c>
      <c r="R47" s="353">
        <f>CS_PID!R47/VLOOKUP($B47,표2[#ALL],2)/hlookup($A47,표4[#ALL],row(),false)</f>
        <v>0.06557377049</v>
      </c>
      <c r="S47" s="353">
        <f>CS_PID!S47/VLOOKUP($B47,표2[#ALL],2)/hlookup($A47,표4[#ALL],row(),false)</f>
        <v>0</v>
      </c>
      <c r="T47" s="353">
        <f>CS_PID!T47/VLOOKUP($B47,표2[#ALL],2)/hlookup($A47,표4[#ALL],row(),false)</f>
        <v>0</v>
      </c>
      <c r="U47" s="353">
        <f>CS_PID!U47/VLOOKUP($B47,표2[#ALL],2)/hlookup($A47,표4[#ALL],row(),false)</f>
        <v>0.03278688525</v>
      </c>
      <c r="V47" s="353">
        <f>CS_PID!V47/VLOOKUP($B47,표2[#ALL],2)/hlookup($A47,표4[#ALL],row(),false)</f>
        <v>1.131147541</v>
      </c>
      <c r="W47" s="353">
        <f>CS_PID!W47/VLOOKUP($B47,표2[#ALL],2)/hlookup($A47,표4[#ALL],row(),false)</f>
        <v>0.737704918</v>
      </c>
      <c r="X47" s="353">
        <f>CS_PID!X47/VLOOKUP($B47,표2[#ALL],2)/hlookup($A47,표4[#ALL],row(),false)</f>
        <v>0.06557377049</v>
      </c>
      <c r="Y47" s="353">
        <f>CS_PID!Y47/VLOOKUP($B47,표2[#ALL],2)/hlookup($A47,표4[#ALL],row(),false)</f>
        <v>0</v>
      </c>
      <c r="Z47" s="353">
        <f>CS_PID!Z47/VLOOKUP($B47,표2[#ALL],2)/hlookup($A47,표4[#ALL],row(),false)</f>
        <v>0</v>
      </c>
      <c r="AA47" s="353">
        <f>CS_PID!AA47/VLOOKUP($B47,표2[#ALL],2)/hlookup($A47,표4[#ALL],row(),false)</f>
        <v>0.03278688525</v>
      </c>
      <c r="AB47" s="353">
        <f>CS_PID!AB47/VLOOKUP($B47,표2[#ALL],2)/hlookup($A47,표4[#ALL],row(),false)</f>
        <v>0.4098360656</v>
      </c>
      <c r="AC47" s="353">
        <f>CS_PID!AC47/VLOOKUP($B47,표2[#ALL],2)/hlookup($A47,표4[#ALL],row(),false)</f>
        <v>0.4098360656</v>
      </c>
      <c r="AD47" s="353">
        <f>CS_PID!AD47/VLOOKUP($B47,표2[#ALL],2)/hlookup($A47,표4[#ALL],row(),false)</f>
        <v>0</v>
      </c>
      <c r="AE47" s="353">
        <f>CS_PID!AE47/VLOOKUP($B47,표2[#ALL],2)/hlookup($A47,표4[#ALL],row(),false)</f>
        <v>0</v>
      </c>
      <c r="AF47" s="353">
        <f>CS_PID!AF47/VLOOKUP($B47,표2[#ALL],2)/hlookup($A47,표4[#ALL],row(),false)</f>
        <v>0</v>
      </c>
      <c r="AG47" s="353">
        <f>CS_PID!AG47/VLOOKUP($B47,표2[#ALL],2)/hlookup($A47,표4[#ALL],row(),false)</f>
        <v>0.01639344262</v>
      </c>
      <c r="AH47" s="353">
        <f>CS_PID!AH47/VLOOKUP($B47,표2[#ALL],2)/hlookup($A47,표4[#ALL],row(),false)</f>
        <v>0.131147541</v>
      </c>
      <c r="AI47" s="353">
        <f>CS_PID!AI47/VLOOKUP($B47,표2[#ALL],2)/hlookup($A47,표4[#ALL],row(),false)</f>
        <v>0</v>
      </c>
      <c r="AJ47" s="353">
        <f>CS_PID!AJ47/VLOOKUP($B47,표2[#ALL],2)/hlookup($A47,표4[#ALL],row(),false)</f>
        <v>0</v>
      </c>
      <c r="AK47" s="353">
        <f>CS_PID!AK47/VLOOKUP($B47,표2[#ALL],2)/hlookup($A47,표4[#ALL],row(),false)</f>
        <v>0</v>
      </c>
      <c r="AL47" s="353">
        <f>CS_PID!AL47/VLOOKUP($B47,표2[#ALL],2)/hlookup($A47,표4[#ALL],row(),false)</f>
        <v>0.01639344262</v>
      </c>
      <c r="AM47" s="353">
        <f>CS_PID!AM47/VLOOKUP($B47,표2[#ALL],2)/hlookup($A47,표4[#ALL],row(),false)</f>
        <v>0</v>
      </c>
      <c r="AN47" s="353">
        <f>CS_PID!AN47/VLOOKUP($B47,표2[#ALL],2)/hlookup($A47,표4[#ALL],row(),false)</f>
        <v>0</v>
      </c>
      <c r="AO47" s="353">
        <f>CS_PID!AO47/VLOOKUP($B47,표2[#ALL],2)/hlookup($A47,표4[#ALL],row(),false)</f>
        <v>0</v>
      </c>
      <c r="AP47" s="353">
        <f>CS_PID!AP47/VLOOKUP($B47,표2[#ALL],2)/hlookup($A47,표4[#ALL],row(),false)</f>
        <v>0</v>
      </c>
      <c r="AQ47" s="353">
        <f>CS_PID!AQ47/VLOOKUP($B47,표2[#ALL],2)/hlookup($A47,표4[#ALL],row(),false)</f>
        <v>0</v>
      </c>
      <c r="AR47" s="353">
        <f>CS_PID!AR47/VLOOKUP($B47,표2[#ALL],2)/hlookup($A47,표4[#ALL],row(),false)</f>
        <v>0</v>
      </c>
      <c r="AS47" s="353">
        <f>CS_PID!AS47/VLOOKUP($B47,표2[#ALL],2)/hlookup($A47,표4[#ALL],row(),false)</f>
        <v>0</v>
      </c>
    </row>
    <row r="48">
      <c r="A48" s="153" t="s">
        <v>80</v>
      </c>
      <c r="B48" s="154">
        <v>309.0</v>
      </c>
      <c r="C48" s="353">
        <f>CS_PID!C48/VLOOKUP($B48,표2[#ALL],2)/hlookup($A48,표4[#ALL],row(),false)</f>
        <v>0</v>
      </c>
      <c r="D48" s="353">
        <f>CS_PID!D48/VLOOKUP($B48,표2[#ALL],2)/hlookup($A48,표4[#ALL],row(),false)</f>
        <v>0.3118811881</v>
      </c>
      <c r="E48" s="353">
        <f>CS_PID!E48/VLOOKUP($B48,표2[#ALL],2)/hlookup($A48,표4[#ALL],row(),false)</f>
        <v>0.4059405941</v>
      </c>
      <c r="F48" s="353">
        <f>CS_PID!F48/VLOOKUP($B48,표2[#ALL],2)/hlookup($A48,표4[#ALL],row(),false)</f>
        <v>0.1188118812</v>
      </c>
      <c r="G48" s="353">
        <f>CS_PID!G48/VLOOKUP($B48,표2[#ALL],2)/hlookup($A48,표4[#ALL],row(),false)</f>
        <v>0</v>
      </c>
      <c r="H48" s="353">
        <f>CS_PID!H48/VLOOKUP($B48,표2[#ALL],2)/hlookup($A48,표4[#ALL],row(),false)</f>
        <v>0.0198019802</v>
      </c>
      <c r="I48" s="353">
        <f>CS_PID!I48/VLOOKUP($B48,표2[#ALL],2)/hlookup($A48,표4[#ALL],row(),false)</f>
        <v>0.1534653465</v>
      </c>
      <c r="J48" s="353">
        <f>CS_PID!J48/VLOOKUP($B48,표2[#ALL],2)/hlookup($A48,표4[#ALL],row(),false)</f>
        <v>1.207920792</v>
      </c>
      <c r="K48" s="353">
        <f>CS_PID!K48/VLOOKUP($B48,표2[#ALL],2)/hlookup($A48,표4[#ALL],row(),false)</f>
        <v>0.396039604</v>
      </c>
      <c r="L48" s="353">
        <f>CS_PID!L48/VLOOKUP($B48,표2[#ALL],2)/hlookup($A48,표4[#ALL],row(),false)</f>
        <v>0.02475247525</v>
      </c>
      <c r="M48" s="353">
        <f>CS_PID!M48/VLOOKUP($B48,표2[#ALL],2)/hlookup($A48,표4[#ALL],row(),false)</f>
        <v>0</v>
      </c>
      <c r="N48" s="353">
        <f>CS_PID!N48/VLOOKUP($B48,표2[#ALL],2)/hlookup($A48,표4[#ALL],row(),false)</f>
        <v>0.00495049505</v>
      </c>
      <c r="O48" s="353">
        <f>CS_PID!O48/VLOOKUP($B48,표2[#ALL],2)/hlookup($A48,표4[#ALL],row(),false)</f>
        <v>0.1831683168</v>
      </c>
      <c r="P48" s="353">
        <f>CS_PID!P48/VLOOKUP($B48,표2[#ALL],2)/hlookup($A48,표4[#ALL],row(),false)</f>
        <v>1.267326733</v>
      </c>
      <c r="Q48" s="353">
        <f>CS_PID!Q48/VLOOKUP($B48,표2[#ALL],2)/hlookup($A48,표4[#ALL],row(),false)</f>
        <v>1</v>
      </c>
      <c r="R48" s="353">
        <f>CS_PID!R48/VLOOKUP($B48,표2[#ALL],2)/hlookup($A48,표4[#ALL],row(),false)</f>
        <v>0.009900990099</v>
      </c>
      <c r="S48" s="353">
        <f>CS_PID!S48/VLOOKUP($B48,표2[#ALL],2)/hlookup($A48,표4[#ALL],row(),false)</f>
        <v>0</v>
      </c>
      <c r="T48" s="353">
        <f>CS_PID!T48/VLOOKUP($B48,표2[#ALL],2)/hlookup($A48,표4[#ALL],row(),false)</f>
        <v>0</v>
      </c>
      <c r="U48" s="353">
        <f>CS_PID!U48/VLOOKUP($B48,표2[#ALL],2)/hlookup($A48,표4[#ALL],row(),false)</f>
        <v>0.0396039604</v>
      </c>
      <c r="V48" s="353">
        <f>CS_PID!V48/VLOOKUP($B48,표2[#ALL],2)/hlookup($A48,표4[#ALL],row(),false)</f>
        <v>1.262376238</v>
      </c>
      <c r="W48" s="353">
        <f>CS_PID!W48/VLOOKUP($B48,표2[#ALL],2)/hlookup($A48,표4[#ALL],row(),false)</f>
        <v>0.8564356436</v>
      </c>
      <c r="X48" s="353">
        <f>CS_PID!X48/VLOOKUP($B48,표2[#ALL],2)/hlookup($A48,표4[#ALL],row(),false)</f>
        <v>0.03465346535</v>
      </c>
      <c r="Y48" s="353">
        <f>CS_PID!Y48/VLOOKUP($B48,표2[#ALL],2)/hlookup($A48,표4[#ALL],row(),false)</f>
        <v>0</v>
      </c>
      <c r="Z48" s="353">
        <f>CS_PID!Z48/VLOOKUP($B48,표2[#ALL],2)/hlookup($A48,표4[#ALL],row(),false)</f>
        <v>0</v>
      </c>
      <c r="AA48" s="353">
        <f>CS_PID!AA48/VLOOKUP($B48,표2[#ALL],2)/hlookup($A48,표4[#ALL],row(),false)</f>
        <v>0.0396039604</v>
      </c>
      <c r="AB48" s="353">
        <f>CS_PID!AB48/VLOOKUP($B48,표2[#ALL],2)/hlookup($A48,표4[#ALL],row(),false)</f>
        <v>0.3316831683</v>
      </c>
      <c r="AC48" s="353">
        <f>CS_PID!AC48/VLOOKUP($B48,표2[#ALL],2)/hlookup($A48,표4[#ALL],row(),false)</f>
        <v>0.4158415842</v>
      </c>
      <c r="AD48" s="353">
        <f>CS_PID!AD48/VLOOKUP($B48,표2[#ALL],2)/hlookup($A48,표4[#ALL],row(),false)</f>
        <v>0.00495049505</v>
      </c>
      <c r="AE48" s="353">
        <f>CS_PID!AE48/VLOOKUP($B48,표2[#ALL],2)/hlookup($A48,표4[#ALL],row(),false)</f>
        <v>0</v>
      </c>
      <c r="AF48" s="353">
        <f>CS_PID!AF48/VLOOKUP($B48,표2[#ALL],2)/hlookup($A48,표4[#ALL],row(),false)</f>
        <v>0</v>
      </c>
      <c r="AG48" s="353">
        <f>CS_PID!AG48/VLOOKUP($B48,표2[#ALL],2)/hlookup($A48,표4[#ALL],row(),false)</f>
        <v>0</v>
      </c>
      <c r="AH48" s="353">
        <f>CS_PID!AH48/VLOOKUP($B48,표2[#ALL],2)/hlookup($A48,표4[#ALL],row(),false)</f>
        <v>0.1732673267</v>
      </c>
      <c r="AI48" s="353">
        <f>CS_PID!AI48/VLOOKUP($B48,표2[#ALL],2)/hlookup($A48,표4[#ALL],row(),false)</f>
        <v>0.009900990099</v>
      </c>
      <c r="AJ48" s="353">
        <f>CS_PID!AJ48/VLOOKUP($B48,표2[#ALL],2)/hlookup($A48,표4[#ALL],row(),false)</f>
        <v>0</v>
      </c>
      <c r="AK48" s="353">
        <f>CS_PID!AK48/VLOOKUP($B48,표2[#ALL],2)/hlookup($A48,표4[#ALL],row(),false)</f>
        <v>0</v>
      </c>
      <c r="AL48" s="353">
        <f>CS_PID!AL48/VLOOKUP($B48,표2[#ALL],2)/hlookup($A48,표4[#ALL],row(),false)</f>
        <v>0.00495049505</v>
      </c>
      <c r="AM48" s="353">
        <f>CS_PID!AM48/VLOOKUP($B48,표2[#ALL],2)/hlookup($A48,표4[#ALL],row(),false)</f>
        <v>0.009900990099</v>
      </c>
      <c r="AN48" s="353">
        <f>CS_PID!AN48/VLOOKUP($B48,표2[#ALL],2)/hlookup($A48,표4[#ALL],row(),false)</f>
        <v>0.00495049505</v>
      </c>
      <c r="AO48" s="353">
        <f>CS_PID!AO48/VLOOKUP($B48,표2[#ALL],2)/hlookup($A48,표4[#ALL],row(),false)</f>
        <v>0</v>
      </c>
      <c r="AP48" s="353">
        <f>CS_PID!AP48/VLOOKUP($B48,표2[#ALL],2)/hlookup($A48,표4[#ALL],row(),false)</f>
        <v>0</v>
      </c>
      <c r="AQ48" s="353">
        <f>CS_PID!AQ48/VLOOKUP($B48,표2[#ALL],2)/hlookup($A48,표4[#ALL],row(),false)</f>
        <v>0</v>
      </c>
      <c r="AR48" s="353">
        <f>CS_PID!AR48/VLOOKUP($B48,표2[#ALL],2)/hlookup($A48,표4[#ALL],row(),false)</f>
        <v>0</v>
      </c>
      <c r="AS48" s="353">
        <f>CS_PID!AS48/VLOOKUP($B48,표2[#ALL],2)/hlookup($A48,표4[#ALL],row(),false)</f>
        <v>0</v>
      </c>
    </row>
    <row r="49">
      <c r="A49" s="157" t="s">
        <v>80</v>
      </c>
      <c r="B49" s="158">
        <v>310.0</v>
      </c>
      <c r="C49" s="354">
        <f>CS_PID!C49/VLOOKUP($B49,표2[#ALL],2)/hlookup($A49,표4[#ALL],row(),false)</f>
        <v>0</v>
      </c>
      <c r="D49" s="354">
        <f>CS_PID!D49/VLOOKUP($B49,표2[#ALL],2)/hlookup($A49,표4[#ALL],row(),false)</f>
        <v>0.2837370242</v>
      </c>
      <c r="E49" s="354">
        <f>CS_PID!E49/VLOOKUP($B49,표2[#ALL],2)/hlookup($A49,표4[#ALL],row(),false)</f>
        <v>0.4394463668</v>
      </c>
      <c r="F49" s="354">
        <f>CS_PID!F49/VLOOKUP($B49,표2[#ALL],2)/hlookup($A49,표4[#ALL],row(),false)</f>
        <v>0.07958477509</v>
      </c>
      <c r="G49" s="354">
        <f>CS_PID!G49/VLOOKUP($B49,표2[#ALL],2)/hlookup($A49,표4[#ALL],row(),false)</f>
        <v>0.003460207612</v>
      </c>
      <c r="H49" s="354">
        <f>CS_PID!H49/VLOOKUP($B49,표2[#ALL],2)/hlookup($A49,표4[#ALL],row(),false)</f>
        <v>0.01038062284</v>
      </c>
      <c r="I49" s="354">
        <f>CS_PID!I49/VLOOKUP($B49,표2[#ALL],2)/hlookup($A49,표4[#ALL],row(),false)</f>
        <v>0.1314878893</v>
      </c>
      <c r="J49" s="354">
        <f>CS_PID!J49/VLOOKUP($B49,표2[#ALL],2)/hlookup($A49,표4[#ALL],row(),false)</f>
        <v>1.076124567</v>
      </c>
      <c r="K49" s="354">
        <f>CS_PID!K49/VLOOKUP($B49,표2[#ALL],2)/hlookup($A49,표4[#ALL],row(),false)</f>
        <v>0.3287197232</v>
      </c>
      <c r="L49" s="354">
        <f>CS_PID!L49/VLOOKUP($B49,표2[#ALL],2)/hlookup($A49,표4[#ALL],row(),false)</f>
        <v>0.03114186851</v>
      </c>
      <c r="M49" s="354">
        <f>CS_PID!M49/VLOOKUP($B49,표2[#ALL],2)/hlookup($A49,표4[#ALL],row(),false)</f>
        <v>0.003460207612</v>
      </c>
      <c r="N49" s="354">
        <f>CS_PID!N49/VLOOKUP($B49,표2[#ALL],2)/hlookup($A49,표4[#ALL],row(),false)</f>
        <v>0</v>
      </c>
      <c r="O49" s="354">
        <f>CS_PID!O49/VLOOKUP($B49,표2[#ALL],2)/hlookup($A49,표4[#ALL],row(),false)</f>
        <v>0.1487889273</v>
      </c>
      <c r="P49" s="354">
        <f>CS_PID!P49/VLOOKUP($B49,표2[#ALL],2)/hlookup($A49,표4[#ALL],row(),false)</f>
        <v>1.224913495</v>
      </c>
      <c r="Q49" s="354">
        <f>CS_PID!Q49/VLOOKUP($B49,표2[#ALL],2)/hlookup($A49,표4[#ALL],row(),false)</f>
        <v>1</v>
      </c>
      <c r="R49" s="354">
        <f>CS_PID!R49/VLOOKUP($B49,표2[#ALL],2)/hlookup($A49,표4[#ALL],row(),false)</f>
        <v>0.0276816609</v>
      </c>
      <c r="S49" s="354">
        <f>CS_PID!S49/VLOOKUP($B49,표2[#ALL],2)/hlookup($A49,표4[#ALL],row(),false)</f>
        <v>0</v>
      </c>
      <c r="T49" s="354">
        <f>CS_PID!T49/VLOOKUP($B49,표2[#ALL],2)/hlookup($A49,표4[#ALL],row(),false)</f>
        <v>0</v>
      </c>
      <c r="U49" s="354">
        <f>CS_PID!U49/VLOOKUP($B49,표2[#ALL],2)/hlookup($A49,표4[#ALL],row(),false)</f>
        <v>0.0553633218</v>
      </c>
      <c r="V49" s="354">
        <f>CS_PID!V49/VLOOKUP($B49,표2[#ALL],2)/hlookup($A49,표4[#ALL],row(),false)</f>
        <v>1.352941176</v>
      </c>
      <c r="W49" s="354">
        <f>CS_PID!W49/VLOOKUP($B49,표2[#ALL],2)/hlookup($A49,표4[#ALL],row(),false)</f>
        <v>0.6747404844</v>
      </c>
      <c r="X49" s="354">
        <f>CS_PID!X49/VLOOKUP($B49,표2[#ALL],2)/hlookup($A49,표4[#ALL],row(),false)</f>
        <v>0.0276816609</v>
      </c>
      <c r="Y49" s="354">
        <f>CS_PID!Y49/VLOOKUP($B49,표2[#ALL],2)/hlookup($A49,표4[#ALL],row(),false)</f>
        <v>0</v>
      </c>
      <c r="Z49" s="354">
        <f>CS_PID!Z49/VLOOKUP($B49,표2[#ALL],2)/hlookup($A49,표4[#ALL],row(),false)</f>
        <v>0.003460207612</v>
      </c>
      <c r="AA49" s="354">
        <f>CS_PID!AA49/VLOOKUP($B49,표2[#ALL],2)/hlookup($A49,표4[#ALL],row(),false)</f>
        <v>0.02076124567</v>
      </c>
      <c r="AB49" s="354">
        <f>CS_PID!AB49/VLOOKUP($B49,표2[#ALL],2)/hlookup($A49,표4[#ALL],row(),false)</f>
        <v>0.3633217993</v>
      </c>
      <c r="AC49" s="354">
        <f>CS_PID!AC49/VLOOKUP($B49,표2[#ALL],2)/hlookup($A49,표4[#ALL],row(),false)</f>
        <v>0.3010380623</v>
      </c>
      <c r="AD49" s="354">
        <f>CS_PID!AD49/VLOOKUP($B49,표2[#ALL],2)/hlookup($A49,표4[#ALL],row(),false)</f>
        <v>0</v>
      </c>
      <c r="AE49" s="354">
        <f>CS_PID!AE49/VLOOKUP($B49,표2[#ALL],2)/hlookup($A49,표4[#ALL],row(),false)</f>
        <v>0</v>
      </c>
      <c r="AF49" s="354">
        <f>CS_PID!AF49/VLOOKUP($B49,표2[#ALL],2)/hlookup($A49,표4[#ALL],row(),false)</f>
        <v>0</v>
      </c>
      <c r="AG49" s="354">
        <f>CS_PID!AG49/VLOOKUP($B49,표2[#ALL],2)/hlookup($A49,표4[#ALL],row(),false)</f>
        <v>0.01730103806</v>
      </c>
      <c r="AH49" s="354">
        <f>CS_PID!AH49/VLOOKUP($B49,표2[#ALL],2)/hlookup($A49,표4[#ALL],row(),false)</f>
        <v>0.1176470588</v>
      </c>
      <c r="AI49" s="354">
        <f>CS_PID!AI49/VLOOKUP($B49,표2[#ALL],2)/hlookup($A49,표4[#ALL],row(),false)</f>
        <v>0.03806228374</v>
      </c>
      <c r="AJ49" s="354">
        <f>CS_PID!AJ49/VLOOKUP($B49,표2[#ALL],2)/hlookup($A49,표4[#ALL],row(),false)</f>
        <v>0</v>
      </c>
      <c r="AK49" s="354">
        <f>CS_PID!AK49/VLOOKUP($B49,표2[#ALL],2)/hlookup($A49,표4[#ALL],row(),false)</f>
        <v>0</v>
      </c>
      <c r="AL49" s="354">
        <f>CS_PID!AL49/VLOOKUP($B49,표2[#ALL],2)/hlookup($A49,표4[#ALL],row(),false)</f>
        <v>0.003460207612</v>
      </c>
      <c r="AM49" s="354">
        <f>CS_PID!AM49/VLOOKUP($B49,표2[#ALL],2)/hlookup($A49,표4[#ALL],row(),false)</f>
        <v>0.006920415225</v>
      </c>
      <c r="AN49" s="354">
        <f>CS_PID!AN49/VLOOKUP($B49,표2[#ALL],2)/hlookup($A49,표4[#ALL],row(),false)</f>
        <v>0.003460207612</v>
      </c>
      <c r="AO49" s="354">
        <f>CS_PID!AO49/VLOOKUP($B49,표2[#ALL],2)/hlookup($A49,표4[#ALL],row(),false)</f>
        <v>0</v>
      </c>
      <c r="AP49" s="354">
        <f>CS_PID!AP49/VLOOKUP($B49,표2[#ALL],2)/hlookup($A49,표4[#ALL],row(),false)</f>
        <v>0</v>
      </c>
      <c r="AQ49" s="354">
        <f>CS_PID!AQ49/VLOOKUP($B49,표2[#ALL],2)/hlookup($A49,표4[#ALL],row(),false)</f>
        <v>0.003460207612</v>
      </c>
      <c r="AR49" s="354">
        <f>CS_PID!AR49/VLOOKUP($B49,표2[#ALL],2)/hlookup($A49,표4[#ALL],row(),false)</f>
        <v>0</v>
      </c>
      <c r="AS49" s="354">
        <f>CS_PID!AS49/VLOOKUP($B49,표2[#ALL],2)/hlookup($A49,표4[#ALL],row(),false)</f>
        <v>0</v>
      </c>
    </row>
    <row r="50">
      <c r="A50" s="161" t="s">
        <v>82</v>
      </c>
      <c r="B50" s="162">
        <v>316.0</v>
      </c>
      <c r="C50" s="355">
        <f>CS_PID!C50/VLOOKUP($B50,표2[#ALL],2)/hlookup($A50,표4[#ALL],row(),false)</f>
        <v>0</v>
      </c>
      <c r="D50" s="355">
        <f>CS_PID!D50/VLOOKUP($B50,표2[#ALL],2)/hlookup($A50,표4[#ALL],row(),false)</f>
        <v>0.09375</v>
      </c>
      <c r="E50" s="355">
        <f>CS_PID!E50/VLOOKUP($B50,표2[#ALL],2)/hlookup($A50,표4[#ALL],row(),false)</f>
        <v>0.59375</v>
      </c>
      <c r="F50" s="355">
        <f>CS_PID!F50/VLOOKUP($B50,표2[#ALL],2)/hlookup($A50,표4[#ALL],row(),false)</f>
        <v>0.5625</v>
      </c>
      <c r="G50" s="355">
        <f>CS_PID!G50/VLOOKUP($B50,표2[#ALL],2)/hlookup($A50,표4[#ALL],row(),false)</f>
        <v>0.03125</v>
      </c>
      <c r="H50" s="355">
        <f>CS_PID!H50/VLOOKUP($B50,표2[#ALL],2)/hlookup($A50,표4[#ALL],row(),false)</f>
        <v>0.03125</v>
      </c>
      <c r="I50" s="355">
        <f>CS_PID!I50/VLOOKUP($B50,표2[#ALL],2)/hlookup($A50,표4[#ALL],row(),false)</f>
        <v>0.0625</v>
      </c>
      <c r="J50" s="355">
        <f>CS_PID!J50/VLOOKUP($B50,표2[#ALL],2)/hlookup($A50,표4[#ALL],row(),false)</f>
        <v>1.8125</v>
      </c>
      <c r="K50" s="355">
        <f>CS_PID!K50/VLOOKUP($B50,표2[#ALL],2)/hlookup($A50,표4[#ALL],row(),false)</f>
        <v>1.59375</v>
      </c>
      <c r="L50" s="355">
        <f>CS_PID!L50/VLOOKUP($B50,표2[#ALL],2)/hlookup($A50,표4[#ALL],row(),false)</f>
        <v>0.25</v>
      </c>
      <c r="M50" s="355">
        <f>CS_PID!M50/VLOOKUP($B50,표2[#ALL],2)/hlookup($A50,표4[#ALL],row(),false)</f>
        <v>0</v>
      </c>
      <c r="N50" s="355">
        <f>CS_PID!N50/VLOOKUP($B50,표2[#ALL],2)/hlookup($A50,표4[#ALL],row(),false)</f>
        <v>0</v>
      </c>
      <c r="O50" s="355">
        <f>CS_PID!O50/VLOOKUP($B50,표2[#ALL],2)/hlookup($A50,표4[#ALL],row(),false)</f>
        <v>0</v>
      </c>
      <c r="P50" s="355">
        <f>CS_PID!P50/VLOOKUP($B50,표2[#ALL],2)/hlookup($A50,표4[#ALL],row(),false)</f>
        <v>1.03125</v>
      </c>
      <c r="Q50" s="355">
        <f>CS_PID!Q50/VLOOKUP($B50,표2[#ALL],2)/hlookup($A50,표4[#ALL],row(),false)</f>
        <v>4.1875</v>
      </c>
      <c r="R50" s="355">
        <f>CS_PID!R50/VLOOKUP($B50,표2[#ALL],2)/hlookup($A50,표4[#ALL],row(),false)</f>
        <v>1</v>
      </c>
      <c r="S50" s="355">
        <f>CS_PID!S50/VLOOKUP($B50,표2[#ALL],2)/hlookup($A50,표4[#ALL],row(),false)</f>
        <v>0.03125</v>
      </c>
      <c r="T50" s="355">
        <f>CS_PID!T50/VLOOKUP($B50,표2[#ALL],2)/hlookup($A50,표4[#ALL],row(),false)</f>
        <v>0</v>
      </c>
      <c r="U50" s="355">
        <f>CS_PID!U50/VLOOKUP($B50,표2[#ALL],2)/hlookup($A50,표4[#ALL],row(),false)</f>
        <v>0</v>
      </c>
      <c r="V50" s="355">
        <f>CS_PID!V50/VLOOKUP($B50,표2[#ALL],2)/hlookup($A50,표4[#ALL],row(),false)</f>
        <v>0.53125</v>
      </c>
      <c r="W50" s="355">
        <f>CS_PID!W50/VLOOKUP($B50,표2[#ALL],2)/hlookup($A50,표4[#ALL],row(),false)</f>
        <v>3.46875</v>
      </c>
      <c r="X50" s="355">
        <f>CS_PID!X50/VLOOKUP($B50,표2[#ALL],2)/hlookup($A50,표4[#ALL],row(),false)</f>
        <v>2.21875</v>
      </c>
      <c r="Y50" s="355">
        <f>CS_PID!Y50/VLOOKUP($B50,표2[#ALL],2)/hlookup($A50,표4[#ALL],row(),false)</f>
        <v>0.03125</v>
      </c>
      <c r="Z50" s="355">
        <f>CS_PID!Z50/VLOOKUP($B50,표2[#ALL],2)/hlookup($A50,표4[#ALL],row(),false)</f>
        <v>0</v>
      </c>
      <c r="AA50" s="355">
        <f>CS_PID!AA50/VLOOKUP($B50,표2[#ALL],2)/hlookup($A50,표4[#ALL],row(),false)</f>
        <v>0</v>
      </c>
      <c r="AB50" s="355">
        <f>CS_PID!AB50/VLOOKUP($B50,표2[#ALL],2)/hlookup($A50,표4[#ALL],row(),false)</f>
        <v>0.3125</v>
      </c>
      <c r="AC50" s="355">
        <f>CS_PID!AC50/VLOOKUP($B50,표2[#ALL],2)/hlookup($A50,표4[#ALL],row(),false)</f>
        <v>4.09375</v>
      </c>
      <c r="AD50" s="355">
        <f>CS_PID!AD50/VLOOKUP($B50,표2[#ALL],2)/hlookup($A50,표4[#ALL],row(),false)</f>
        <v>0.8125</v>
      </c>
      <c r="AE50" s="355">
        <f>CS_PID!AE50/VLOOKUP($B50,표2[#ALL],2)/hlookup($A50,표4[#ALL],row(),false)</f>
        <v>0</v>
      </c>
      <c r="AF50" s="355">
        <f>CS_PID!AF50/VLOOKUP($B50,표2[#ALL],2)/hlookup($A50,표4[#ALL],row(),false)</f>
        <v>0</v>
      </c>
      <c r="AG50" s="355">
        <f>CS_PID!AG50/VLOOKUP($B50,표2[#ALL],2)/hlookup($A50,표4[#ALL],row(),false)</f>
        <v>0</v>
      </c>
      <c r="AH50" s="355">
        <f>CS_PID!AH50/VLOOKUP($B50,표2[#ALL],2)/hlookup($A50,표4[#ALL],row(),false)</f>
        <v>0.0625</v>
      </c>
      <c r="AI50" s="355">
        <f>CS_PID!AI50/VLOOKUP($B50,표2[#ALL],2)/hlookup($A50,표4[#ALL],row(),false)</f>
        <v>1.53125</v>
      </c>
      <c r="AJ50" s="355">
        <f>CS_PID!AJ50/VLOOKUP($B50,표2[#ALL],2)/hlookup($A50,표4[#ALL],row(),false)</f>
        <v>0.78125</v>
      </c>
      <c r="AK50" s="355">
        <f>CS_PID!AK50/VLOOKUP($B50,표2[#ALL],2)/hlookup($A50,표4[#ALL],row(),false)</f>
        <v>0</v>
      </c>
      <c r="AL50" s="355">
        <f>CS_PID!AL50/VLOOKUP($B50,표2[#ALL],2)/hlookup($A50,표4[#ALL],row(),false)</f>
        <v>0</v>
      </c>
      <c r="AM50" s="355">
        <f>CS_PID!AM50/VLOOKUP($B50,표2[#ALL],2)/hlookup($A50,표4[#ALL],row(),false)</f>
        <v>0</v>
      </c>
      <c r="AN50" s="355">
        <f>CS_PID!AN50/VLOOKUP($B50,표2[#ALL],2)/hlookup($A50,표4[#ALL],row(),false)</f>
        <v>0.75</v>
      </c>
      <c r="AO50" s="355">
        <f>CS_PID!AO50/VLOOKUP($B50,표2[#ALL],2)/hlookup($A50,표4[#ALL],row(),false)</f>
        <v>0.3125</v>
      </c>
      <c r="AP50" s="355">
        <f>CS_PID!AP50/VLOOKUP($B50,표2[#ALL],2)/hlookup($A50,표4[#ALL],row(),false)</f>
        <v>0</v>
      </c>
      <c r="AQ50" s="355">
        <f>CS_PID!AQ50/VLOOKUP($B50,표2[#ALL],2)/hlookup($A50,표4[#ALL],row(),false)</f>
        <v>0</v>
      </c>
      <c r="AR50" s="355">
        <f>CS_PID!AR50/VLOOKUP($B50,표2[#ALL],2)/hlookup($A50,표4[#ALL],row(),false)</f>
        <v>0</v>
      </c>
      <c r="AS50" s="355">
        <f>CS_PID!AS50/VLOOKUP($B50,표2[#ALL],2)/hlookup($A50,표4[#ALL],row(),false)</f>
        <v>0</v>
      </c>
    </row>
    <row r="51">
      <c r="A51" s="165" t="s">
        <v>82</v>
      </c>
      <c r="B51" s="166">
        <v>318.0</v>
      </c>
      <c r="C51" s="356">
        <f>CS_PID!C51/VLOOKUP($B51,표2[#ALL],2)/hlookup($A51,표4[#ALL],row(),false)</f>
        <v>0</v>
      </c>
      <c r="D51" s="356">
        <f>CS_PID!D51/VLOOKUP($B51,표2[#ALL],2)/hlookup($A51,표4[#ALL],row(),false)</f>
        <v>0.03571428571</v>
      </c>
      <c r="E51" s="356">
        <f>CS_PID!E51/VLOOKUP($B51,표2[#ALL],2)/hlookup($A51,표4[#ALL],row(),false)</f>
        <v>0.4642857143</v>
      </c>
      <c r="F51" s="356">
        <f>CS_PID!F51/VLOOKUP($B51,표2[#ALL],2)/hlookup($A51,표4[#ALL],row(),false)</f>
        <v>0.8035714286</v>
      </c>
      <c r="G51" s="356">
        <f>CS_PID!G51/VLOOKUP($B51,표2[#ALL],2)/hlookup($A51,표4[#ALL],row(),false)</f>
        <v>0.01785714286</v>
      </c>
      <c r="H51" s="356">
        <f>CS_PID!H51/VLOOKUP($B51,표2[#ALL],2)/hlookup($A51,표4[#ALL],row(),false)</f>
        <v>0</v>
      </c>
      <c r="I51" s="356">
        <f>CS_PID!I51/VLOOKUP($B51,표2[#ALL],2)/hlookup($A51,표4[#ALL],row(),false)</f>
        <v>0</v>
      </c>
      <c r="J51" s="356">
        <f>CS_PID!J51/VLOOKUP($B51,표2[#ALL],2)/hlookup($A51,표4[#ALL],row(),false)</f>
        <v>1.589285714</v>
      </c>
      <c r="K51" s="356">
        <f>CS_PID!K51/VLOOKUP($B51,표2[#ALL],2)/hlookup($A51,표4[#ALL],row(),false)</f>
        <v>1.857142857</v>
      </c>
      <c r="L51" s="356">
        <f>CS_PID!L51/VLOOKUP($B51,표2[#ALL],2)/hlookup($A51,표4[#ALL],row(),false)</f>
        <v>0.4821428571</v>
      </c>
      <c r="M51" s="356">
        <f>CS_PID!M51/VLOOKUP($B51,표2[#ALL],2)/hlookup($A51,표4[#ALL],row(),false)</f>
        <v>0.03571428571</v>
      </c>
      <c r="N51" s="356">
        <f>CS_PID!N51/VLOOKUP($B51,표2[#ALL],2)/hlookup($A51,표4[#ALL],row(),false)</f>
        <v>0</v>
      </c>
      <c r="O51" s="356">
        <f>CS_PID!O51/VLOOKUP($B51,표2[#ALL],2)/hlookup($A51,표4[#ALL],row(),false)</f>
        <v>0.07142857143</v>
      </c>
      <c r="P51" s="356">
        <f>CS_PID!P51/VLOOKUP($B51,표2[#ALL],2)/hlookup($A51,표4[#ALL],row(),false)</f>
        <v>1</v>
      </c>
      <c r="Q51" s="356">
        <f>CS_PID!Q51/VLOOKUP($B51,표2[#ALL],2)/hlookup($A51,표4[#ALL],row(),false)</f>
        <v>3.196428571</v>
      </c>
      <c r="R51" s="356">
        <f>CS_PID!R51/VLOOKUP($B51,표2[#ALL],2)/hlookup($A51,표4[#ALL],row(),false)</f>
        <v>1</v>
      </c>
      <c r="S51" s="356">
        <f>CS_PID!S51/VLOOKUP($B51,표2[#ALL],2)/hlookup($A51,표4[#ALL],row(),false)</f>
        <v>0.03571428571</v>
      </c>
      <c r="T51" s="356">
        <f>CS_PID!T51/VLOOKUP($B51,표2[#ALL],2)/hlookup($A51,표4[#ALL],row(),false)</f>
        <v>0</v>
      </c>
      <c r="U51" s="356">
        <f>CS_PID!U51/VLOOKUP($B51,표2[#ALL],2)/hlookup($A51,표4[#ALL],row(),false)</f>
        <v>0.01785714286</v>
      </c>
      <c r="V51" s="356">
        <f>CS_PID!V51/VLOOKUP($B51,표2[#ALL],2)/hlookup($A51,표4[#ALL],row(),false)</f>
        <v>0.375</v>
      </c>
      <c r="W51" s="356">
        <f>CS_PID!W51/VLOOKUP($B51,표2[#ALL],2)/hlookup($A51,표4[#ALL],row(),false)</f>
        <v>3.464285714</v>
      </c>
      <c r="X51" s="356">
        <f>CS_PID!X51/VLOOKUP($B51,표2[#ALL],2)/hlookup($A51,표4[#ALL],row(),false)</f>
        <v>2.071428571</v>
      </c>
      <c r="Y51" s="356">
        <f>CS_PID!Y51/VLOOKUP($B51,표2[#ALL],2)/hlookup($A51,표4[#ALL],row(),false)</f>
        <v>0.03571428571</v>
      </c>
      <c r="Z51" s="356">
        <f>CS_PID!Z51/VLOOKUP($B51,표2[#ALL],2)/hlookup($A51,표4[#ALL],row(),false)</f>
        <v>0</v>
      </c>
      <c r="AA51" s="356">
        <f>CS_PID!AA51/VLOOKUP($B51,표2[#ALL],2)/hlookup($A51,표4[#ALL],row(),false)</f>
        <v>0</v>
      </c>
      <c r="AB51" s="356">
        <f>CS_PID!AB51/VLOOKUP($B51,표2[#ALL],2)/hlookup($A51,표4[#ALL],row(),false)</f>
        <v>0.1964285714</v>
      </c>
      <c r="AC51" s="356">
        <f>CS_PID!AC51/VLOOKUP($B51,표2[#ALL],2)/hlookup($A51,표4[#ALL],row(),false)</f>
        <v>2.857142857</v>
      </c>
      <c r="AD51" s="356">
        <f>CS_PID!AD51/VLOOKUP($B51,표2[#ALL],2)/hlookup($A51,표4[#ALL],row(),false)</f>
        <v>0.875</v>
      </c>
      <c r="AE51" s="356">
        <f>CS_PID!AE51/VLOOKUP($B51,표2[#ALL],2)/hlookup($A51,표4[#ALL],row(),false)</f>
        <v>0</v>
      </c>
      <c r="AF51" s="356">
        <f>CS_PID!AF51/VLOOKUP($B51,표2[#ALL],2)/hlookup($A51,표4[#ALL],row(),false)</f>
        <v>0</v>
      </c>
      <c r="AG51" s="356">
        <f>CS_PID!AG51/VLOOKUP($B51,표2[#ALL],2)/hlookup($A51,표4[#ALL],row(),false)</f>
        <v>0.01785714286</v>
      </c>
      <c r="AH51" s="356">
        <f>CS_PID!AH51/VLOOKUP($B51,표2[#ALL],2)/hlookup($A51,표4[#ALL],row(),false)</f>
        <v>0.125</v>
      </c>
      <c r="AI51" s="356">
        <f>CS_PID!AI51/VLOOKUP($B51,표2[#ALL],2)/hlookup($A51,표4[#ALL],row(),false)</f>
        <v>1.321428571</v>
      </c>
      <c r="AJ51" s="356">
        <f>CS_PID!AJ51/VLOOKUP($B51,표2[#ALL],2)/hlookup($A51,표4[#ALL],row(),false)</f>
        <v>0.6607142857</v>
      </c>
      <c r="AK51" s="356">
        <f>CS_PID!AK51/VLOOKUP($B51,표2[#ALL],2)/hlookup($A51,표4[#ALL],row(),false)</f>
        <v>0</v>
      </c>
      <c r="AL51" s="356">
        <f>CS_PID!AL51/VLOOKUP($B51,표2[#ALL],2)/hlookup($A51,표4[#ALL],row(),false)</f>
        <v>0</v>
      </c>
      <c r="AM51" s="356">
        <f>CS_PID!AM51/VLOOKUP($B51,표2[#ALL],2)/hlookup($A51,표4[#ALL],row(),false)</f>
        <v>0.03571428571</v>
      </c>
      <c r="AN51" s="356">
        <f>CS_PID!AN51/VLOOKUP($B51,표2[#ALL],2)/hlookup($A51,표4[#ALL],row(),false)</f>
        <v>0.6785714286</v>
      </c>
      <c r="AO51" s="356">
        <f>CS_PID!AO51/VLOOKUP($B51,표2[#ALL],2)/hlookup($A51,표4[#ALL],row(),false)</f>
        <v>0.08928571429</v>
      </c>
      <c r="AP51" s="356">
        <f>CS_PID!AP51/VLOOKUP($B51,표2[#ALL],2)/hlookup($A51,표4[#ALL],row(),false)</f>
        <v>0</v>
      </c>
      <c r="AQ51" s="356">
        <f>CS_PID!AQ51/VLOOKUP($B51,표2[#ALL],2)/hlookup($A51,표4[#ALL],row(),false)</f>
        <v>0</v>
      </c>
      <c r="AR51" s="356">
        <f>CS_PID!AR51/VLOOKUP($B51,표2[#ALL],2)/hlookup($A51,표4[#ALL],row(),false)</f>
        <v>0.07142857143</v>
      </c>
      <c r="AS51" s="356">
        <f>CS_PID!AS51/VLOOKUP($B51,표2[#ALL],2)/hlookup($A51,표4[#ALL],row(),false)</f>
        <v>0</v>
      </c>
    </row>
    <row r="52">
      <c r="A52" s="165" t="s">
        <v>82</v>
      </c>
      <c r="B52" s="166">
        <v>319.0</v>
      </c>
      <c r="C52" s="356">
        <f>CS_PID!C52/VLOOKUP($B52,표2[#ALL],2)/hlookup($A52,표4[#ALL],row(),false)</f>
        <v>0.5</v>
      </c>
      <c r="D52" s="356">
        <f>CS_PID!D52/VLOOKUP($B52,표2[#ALL],2)/hlookup($A52,표4[#ALL],row(),false)</f>
        <v>0</v>
      </c>
      <c r="E52" s="356">
        <f>CS_PID!E52/VLOOKUP($B52,표2[#ALL],2)/hlookup($A52,표4[#ALL],row(),false)</f>
        <v>1.5</v>
      </c>
      <c r="F52" s="356">
        <f>CS_PID!F52/VLOOKUP($B52,표2[#ALL],2)/hlookup($A52,표4[#ALL],row(),false)</f>
        <v>1.5</v>
      </c>
      <c r="G52" s="356">
        <f>CS_PID!G52/VLOOKUP($B52,표2[#ALL],2)/hlookup($A52,표4[#ALL],row(),false)</f>
        <v>0</v>
      </c>
      <c r="H52" s="356">
        <f>CS_PID!H52/VLOOKUP($B52,표2[#ALL],2)/hlookup($A52,표4[#ALL],row(),false)</f>
        <v>0</v>
      </c>
      <c r="I52" s="356">
        <f>CS_PID!I52/VLOOKUP($B52,표2[#ALL],2)/hlookup($A52,표4[#ALL],row(),false)</f>
        <v>0</v>
      </c>
      <c r="J52" s="356">
        <f>CS_PID!J52/VLOOKUP($B52,표2[#ALL],2)/hlookup($A52,표4[#ALL],row(),false)</f>
        <v>2.5</v>
      </c>
      <c r="K52" s="356">
        <f>CS_PID!K52/VLOOKUP($B52,표2[#ALL],2)/hlookup($A52,표4[#ALL],row(),false)</f>
        <v>2.5</v>
      </c>
      <c r="L52" s="356">
        <f>CS_PID!L52/VLOOKUP($B52,표2[#ALL],2)/hlookup($A52,표4[#ALL],row(),false)</f>
        <v>1</v>
      </c>
      <c r="M52" s="356">
        <f>CS_PID!M52/VLOOKUP($B52,표2[#ALL],2)/hlookup($A52,표4[#ALL],row(),false)</f>
        <v>0</v>
      </c>
      <c r="N52" s="356">
        <f>CS_PID!N52/VLOOKUP($B52,표2[#ALL],2)/hlookup($A52,표4[#ALL],row(),false)</f>
        <v>0</v>
      </c>
      <c r="O52" s="356">
        <f>CS_PID!O52/VLOOKUP($B52,표2[#ALL],2)/hlookup($A52,표4[#ALL],row(),false)</f>
        <v>0</v>
      </c>
      <c r="P52" s="356">
        <f>CS_PID!P52/VLOOKUP($B52,표2[#ALL],2)/hlookup($A52,표4[#ALL],row(),false)</f>
        <v>1.5</v>
      </c>
      <c r="Q52" s="356">
        <f>CS_PID!Q52/VLOOKUP($B52,표2[#ALL],2)/hlookup($A52,표4[#ALL],row(),false)</f>
        <v>7</v>
      </c>
      <c r="R52" s="356">
        <f>CS_PID!R52/VLOOKUP($B52,표2[#ALL],2)/hlookup($A52,표4[#ALL],row(),false)</f>
        <v>1</v>
      </c>
      <c r="S52" s="356">
        <f>CS_PID!S52/VLOOKUP($B52,표2[#ALL],2)/hlookup($A52,표4[#ALL],row(),false)</f>
        <v>0</v>
      </c>
      <c r="T52" s="356">
        <f>CS_PID!T52/VLOOKUP($B52,표2[#ALL],2)/hlookup($A52,표4[#ALL],row(),false)</f>
        <v>0</v>
      </c>
      <c r="U52" s="356">
        <f>CS_PID!U52/VLOOKUP($B52,표2[#ALL],2)/hlookup($A52,표4[#ALL],row(),false)</f>
        <v>0</v>
      </c>
      <c r="V52" s="356">
        <f>CS_PID!V52/VLOOKUP($B52,표2[#ALL],2)/hlookup($A52,표4[#ALL],row(),false)</f>
        <v>0.5</v>
      </c>
      <c r="W52" s="356">
        <f>CS_PID!W52/VLOOKUP($B52,표2[#ALL],2)/hlookup($A52,표4[#ALL],row(),false)</f>
        <v>7</v>
      </c>
      <c r="X52" s="356">
        <f>CS_PID!X52/VLOOKUP($B52,표2[#ALL],2)/hlookup($A52,표4[#ALL],row(),false)</f>
        <v>3</v>
      </c>
      <c r="Y52" s="356">
        <f>CS_PID!Y52/VLOOKUP($B52,표2[#ALL],2)/hlookup($A52,표4[#ALL],row(),false)</f>
        <v>0</v>
      </c>
      <c r="Z52" s="356">
        <f>CS_PID!Z52/VLOOKUP($B52,표2[#ALL],2)/hlookup($A52,표4[#ALL],row(),false)</f>
        <v>0</v>
      </c>
      <c r="AA52" s="356">
        <f>CS_PID!AA52/VLOOKUP($B52,표2[#ALL],2)/hlookup($A52,표4[#ALL],row(),false)</f>
        <v>0</v>
      </c>
      <c r="AB52" s="356">
        <f>CS_PID!AB52/VLOOKUP($B52,표2[#ALL],2)/hlookup($A52,표4[#ALL],row(),false)</f>
        <v>1</v>
      </c>
      <c r="AC52" s="356">
        <f>CS_PID!AC52/VLOOKUP($B52,표2[#ALL],2)/hlookup($A52,표4[#ALL],row(),false)</f>
        <v>5</v>
      </c>
      <c r="AD52" s="356">
        <f>CS_PID!AD52/VLOOKUP($B52,표2[#ALL],2)/hlookup($A52,표4[#ALL],row(),false)</f>
        <v>2.5</v>
      </c>
      <c r="AE52" s="356">
        <f>CS_PID!AE52/VLOOKUP($B52,표2[#ALL],2)/hlookup($A52,표4[#ALL],row(),false)</f>
        <v>0</v>
      </c>
      <c r="AF52" s="356">
        <f>CS_PID!AF52/VLOOKUP($B52,표2[#ALL],2)/hlookup($A52,표4[#ALL],row(),false)</f>
        <v>0</v>
      </c>
      <c r="AG52" s="356">
        <f>CS_PID!AG52/VLOOKUP($B52,표2[#ALL],2)/hlookup($A52,표4[#ALL],row(),false)</f>
        <v>0</v>
      </c>
      <c r="AH52" s="356">
        <f>CS_PID!AH52/VLOOKUP($B52,표2[#ALL],2)/hlookup($A52,표4[#ALL],row(),false)</f>
        <v>0.5</v>
      </c>
      <c r="AI52" s="356">
        <f>CS_PID!AI52/VLOOKUP($B52,표2[#ALL],2)/hlookup($A52,표4[#ALL],row(),false)</f>
        <v>3</v>
      </c>
      <c r="AJ52" s="356">
        <f>CS_PID!AJ52/VLOOKUP($B52,표2[#ALL],2)/hlookup($A52,표4[#ALL],row(),false)</f>
        <v>1.5</v>
      </c>
      <c r="AK52" s="356">
        <f>CS_PID!AK52/VLOOKUP($B52,표2[#ALL],2)/hlookup($A52,표4[#ALL],row(),false)</f>
        <v>0</v>
      </c>
      <c r="AL52" s="356">
        <f>CS_PID!AL52/VLOOKUP($B52,표2[#ALL],2)/hlookup($A52,표4[#ALL],row(),false)</f>
        <v>0</v>
      </c>
      <c r="AM52" s="356">
        <f>CS_PID!AM52/VLOOKUP($B52,표2[#ALL],2)/hlookup($A52,표4[#ALL],row(),false)</f>
        <v>0.5</v>
      </c>
      <c r="AN52" s="356">
        <f>CS_PID!AN52/VLOOKUP($B52,표2[#ALL],2)/hlookup($A52,표4[#ALL],row(),false)</f>
        <v>1</v>
      </c>
      <c r="AO52" s="356">
        <f>CS_PID!AO52/VLOOKUP($B52,표2[#ALL],2)/hlookup($A52,표4[#ALL],row(),false)</f>
        <v>1</v>
      </c>
      <c r="AP52" s="356">
        <f>CS_PID!AP52/VLOOKUP($B52,표2[#ALL],2)/hlookup($A52,표4[#ALL],row(),false)</f>
        <v>0</v>
      </c>
      <c r="AQ52" s="356">
        <f>CS_PID!AQ52/VLOOKUP($B52,표2[#ALL],2)/hlookup($A52,표4[#ALL],row(),false)</f>
        <v>0</v>
      </c>
      <c r="AR52" s="356">
        <f>CS_PID!AR52/VLOOKUP($B52,표2[#ALL],2)/hlookup($A52,표4[#ALL],row(),false)</f>
        <v>0</v>
      </c>
      <c r="AS52" s="356">
        <f>CS_PID!AS52/VLOOKUP($B52,표2[#ALL],2)/hlookup($A52,표4[#ALL],row(),false)</f>
        <v>0</v>
      </c>
    </row>
    <row r="53">
      <c r="A53" s="165" t="s">
        <v>82</v>
      </c>
      <c r="B53" s="166">
        <v>320.0</v>
      </c>
      <c r="C53" s="356">
        <f>CS_PID!C53/VLOOKUP($B53,표2[#ALL],2)/hlookup($A53,표4[#ALL],row(),false)</f>
        <v>0.04</v>
      </c>
      <c r="D53" s="356">
        <f>CS_PID!D53/VLOOKUP($B53,표2[#ALL],2)/hlookup($A53,표4[#ALL],row(),false)</f>
        <v>0.08</v>
      </c>
      <c r="E53" s="356">
        <f>CS_PID!E53/VLOOKUP($B53,표2[#ALL],2)/hlookup($A53,표4[#ALL],row(),false)</f>
        <v>0.72</v>
      </c>
      <c r="F53" s="356">
        <f>CS_PID!F53/VLOOKUP($B53,표2[#ALL],2)/hlookup($A53,표4[#ALL],row(),false)</f>
        <v>0.52</v>
      </c>
      <c r="G53" s="356">
        <f>CS_PID!G53/VLOOKUP($B53,표2[#ALL],2)/hlookup($A53,표4[#ALL],row(),false)</f>
        <v>0.04</v>
      </c>
      <c r="H53" s="356">
        <f>CS_PID!H53/VLOOKUP($B53,표2[#ALL],2)/hlookup($A53,표4[#ALL],row(),false)</f>
        <v>0</v>
      </c>
      <c r="I53" s="356">
        <f>CS_PID!I53/VLOOKUP($B53,표2[#ALL],2)/hlookup($A53,표4[#ALL],row(),false)</f>
        <v>0</v>
      </c>
      <c r="J53" s="356">
        <f>CS_PID!J53/VLOOKUP($B53,표2[#ALL],2)/hlookup($A53,표4[#ALL],row(),false)</f>
        <v>1.8</v>
      </c>
      <c r="K53" s="356">
        <f>CS_PID!K53/VLOOKUP($B53,표2[#ALL],2)/hlookup($A53,표4[#ALL],row(),false)</f>
        <v>2.64</v>
      </c>
      <c r="L53" s="356">
        <f>CS_PID!L53/VLOOKUP($B53,표2[#ALL],2)/hlookup($A53,표4[#ALL],row(),false)</f>
        <v>0.88</v>
      </c>
      <c r="M53" s="356">
        <f>CS_PID!M53/VLOOKUP($B53,표2[#ALL],2)/hlookup($A53,표4[#ALL],row(),false)</f>
        <v>0</v>
      </c>
      <c r="N53" s="356">
        <f>CS_PID!N53/VLOOKUP($B53,표2[#ALL],2)/hlookup($A53,표4[#ALL],row(),false)</f>
        <v>0</v>
      </c>
      <c r="O53" s="356">
        <f>CS_PID!O53/VLOOKUP($B53,표2[#ALL],2)/hlookup($A53,표4[#ALL],row(),false)</f>
        <v>0</v>
      </c>
      <c r="P53" s="356">
        <f>CS_PID!P53/VLOOKUP($B53,표2[#ALL],2)/hlookup($A53,표4[#ALL],row(),false)</f>
        <v>1</v>
      </c>
      <c r="Q53" s="356">
        <f>CS_PID!Q53/VLOOKUP($B53,표2[#ALL],2)/hlookup($A53,표4[#ALL],row(),false)</f>
        <v>5.04</v>
      </c>
      <c r="R53" s="356">
        <f>CS_PID!R53/VLOOKUP($B53,표2[#ALL],2)/hlookup($A53,표4[#ALL],row(),false)</f>
        <v>1</v>
      </c>
      <c r="S53" s="356">
        <f>CS_PID!S53/VLOOKUP($B53,표2[#ALL],2)/hlookup($A53,표4[#ALL],row(),false)</f>
        <v>0.08</v>
      </c>
      <c r="T53" s="356">
        <f>CS_PID!T53/VLOOKUP($B53,표2[#ALL],2)/hlookup($A53,표4[#ALL],row(),false)</f>
        <v>0</v>
      </c>
      <c r="U53" s="356">
        <f>CS_PID!U53/VLOOKUP($B53,표2[#ALL],2)/hlookup($A53,표4[#ALL],row(),false)</f>
        <v>0</v>
      </c>
      <c r="V53" s="356">
        <f>CS_PID!V53/VLOOKUP($B53,표2[#ALL],2)/hlookup($A53,표4[#ALL],row(),false)</f>
        <v>0.76</v>
      </c>
      <c r="W53" s="356">
        <f>CS_PID!W53/VLOOKUP($B53,표2[#ALL],2)/hlookup($A53,표4[#ALL],row(),false)</f>
        <v>3.56</v>
      </c>
      <c r="X53" s="356">
        <f>CS_PID!X53/VLOOKUP($B53,표2[#ALL],2)/hlookup($A53,표4[#ALL],row(),false)</f>
        <v>2.64</v>
      </c>
      <c r="Y53" s="356">
        <f>CS_PID!Y53/VLOOKUP($B53,표2[#ALL],2)/hlookup($A53,표4[#ALL],row(),false)</f>
        <v>0</v>
      </c>
      <c r="Z53" s="356">
        <f>CS_PID!Z53/VLOOKUP($B53,표2[#ALL],2)/hlookup($A53,표4[#ALL],row(),false)</f>
        <v>0</v>
      </c>
      <c r="AA53" s="356">
        <f>CS_PID!AA53/VLOOKUP($B53,표2[#ALL],2)/hlookup($A53,표4[#ALL],row(),false)</f>
        <v>0</v>
      </c>
      <c r="AB53" s="356">
        <f>CS_PID!AB53/VLOOKUP($B53,표2[#ALL],2)/hlookup($A53,표4[#ALL],row(),false)</f>
        <v>0.28</v>
      </c>
      <c r="AC53" s="356">
        <f>CS_PID!AC53/VLOOKUP($B53,표2[#ALL],2)/hlookup($A53,표4[#ALL],row(),false)</f>
        <v>3.2</v>
      </c>
      <c r="AD53" s="356">
        <f>CS_PID!AD53/VLOOKUP($B53,표2[#ALL],2)/hlookup($A53,표4[#ALL],row(),false)</f>
        <v>0.44</v>
      </c>
      <c r="AE53" s="356">
        <f>CS_PID!AE53/VLOOKUP($B53,표2[#ALL],2)/hlookup($A53,표4[#ALL],row(),false)</f>
        <v>0</v>
      </c>
      <c r="AF53" s="356">
        <f>CS_PID!AF53/VLOOKUP($B53,표2[#ALL],2)/hlookup($A53,표4[#ALL],row(),false)</f>
        <v>0</v>
      </c>
      <c r="AG53" s="356">
        <f>CS_PID!AG53/VLOOKUP($B53,표2[#ALL],2)/hlookup($A53,표4[#ALL],row(),false)</f>
        <v>0</v>
      </c>
      <c r="AH53" s="356">
        <f>CS_PID!AH53/VLOOKUP($B53,표2[#ALL],2)/hlookup($A53,표4[#ALL],row(),false)</f>
        <v>0.2</v>
      </c>
      <c r="AI53" s="356">
        <f>CS_PID!AI53/VLOOKUP($B53,표2[#ALL],2)/hlookup($A53,표4[#ALL],row(),false)</f>
        <v>1.2</v>
      </c>
      <c r="AJ53" s="356">
        <f>CS_PID!AJ53/VLOOKUP($B53,표2[#ALL],2)/hlookup($A53,표4[#ALL],row(),false)</f>
        <v>0.48</v>
      </c>
      <c r="AK53" s="356">
        <f>CS_PID!AK53/VLOOKUP($B53,표2[#ALL],2)/hlookup($A53,표4[#ALL],row(),false)</f>
        <v>0.04</v>
      </c>
      <c r="AL53" s="356">
        <f>CS_PID!AL53/VLOOKUP($B53,표2[#ALL],2)/hlookup($A53,표4[#ALL],row(),false)</f>
        <v>0</v>
      </c>
      <c r="AM53" s="356">
        <f>CS_PID!AM53/VLOOKUP($B53,표2[#ALL],2)/hlookup($A53,표4[#ALL],row(),false)</f>
        <v>0.2</v>
      </c>
      <c r="AN53" s="356">
        <f>CS_PID!AN53/VLOOKUP($B53,표2[#ALL],2)/hlookup($A53,표4[#ALL],row(),false)</f>
        <v>0.8</v>
      </c>
      <c r="AO53" s="356">
        <f>CS_PID!AO53/VLOOKUP($B53,표2[#ALL],2)/hlookup($A53,표4[#ALL],row(),false)</f>
        <v>0.04</v>
      </c>
      <c r="AP53" s="356">
        <f>CS_PID!AP53/VLOOKUP($B53,표2[#ALL],2)/hlookup($A53,표4[#ALL],row(),false)</f>
        <v>0</v>
      </c>
      <c r="AQ53" s="356">
        <f>CS_PID!AQ53/VLOOKUP($B53,표2[#ALL],2)/hlookup($A53,표4[#ALL],row(),false)</f>
        <v>0</v>
      </c>
      <c r="AR53" s="356">
        <f>CS_PID!AR53/VLOOKUP($B53,표2[#ALL],2)/hlookup($A53,표4[#ALL],row(),false)</f>
        <v>0</v>
      </c>
      <c r="AS53" s="356">
        <f>CS_PID!AS53/VLOOKUP($B53,표2[#ALL],2)/hlookup($A53,표4[#ALL],row(),false)</f>
        <v>0.04</v>
      </c>
    </row>
    <row r="54">
      <c r="A54" s="165" t="s">
        <v>82</v>
      </c>
      <c r="B54" s="166">
        <v>321.0</v>
      </c>
      <c r="C54" s="356">
        <f>CS_PID!C54/VLOOKUP($B54,표2[#ALL],2)/hlookup($A54,표4[#ALL],row(),false)</f>
        <v>0</v>
      </c>
      <c r="D54" s="356">
        <f>CS_PID!D54/VLOOKUP($B54,표2[#ALL],2)/hlookup($A54,표4[#ALL],row(),false)</f>
        <v>0</v>
      </c>
      <c r="E54" s="356">
        <f>CS_PID!E54/VLOOKUP($B54,표2[#ALL],2)/hlookup($A54,표4[#ALL],row(),false)</f>
        <v>0.5263157895</v>
      </c>
      <c r="F54" s="356">
        <f>CS_PID!F54/VLOOKUP($B54,표2[#ALL],2)/hlookup($A54,표4[#ALL],row(),false)</f>
        <v>0.4210526316</v>
      </c>
      <c r="G54" s="356">
        <f>CS_PID!G54/VLOOKUP($B54,표2[#ALL],2)/hlookup($A54,표4[#ALL],row(),false)</f>
        <v>0.1052631579</v>
      </c>
      <c r="H54" s="356">
        <f>CS_PID!H54/VLOOKUP($B54,표2[#ALL],2)/hlookup($A54,표4[#ALL],row(),false)</f>
        <v>0</v>
      </c>
      <c r="I54" s="356">
        <f>CS_PID!I54/VLOOKUP($B54,표2[#ALL],2)/hlookup($A54,표4[#ALL],row(),false)</f>
        <v>0.05263157895</v>
      </c>
      <c r="J54" s="356">
        <f>CS_PID!J54/VLOOKUP($B54,표2[#ALL],2)/hlookup($A54,표4[#ALL],row(),false)</f>
        <v>2</v>
      </c>
      <c r="K54" s="356">
        <f>CS_PID!K54/VLOOKUP($B54,표2[#ALL],2)/hlookup($A54,표4[#ALL],row(),false)</f>
        <v>1.736842105</v>
      </c>
      <c r="L54" s="356">
        <f>CS_PID!L54/VLOOKUP($B54,표2[#ALL],2)/hlookup($A54,표4[#ALL],row(),false)</f>
        <v>0.2631578947</v>
      </c>
      <c r="M54" s="356">
        <f>CS_PID!M54/VLOOKUP($B54,표2[#ALL],2)/hlookup($A54,표4[#ALL],row(),false)</f>
        <v>0.05263157895</v>
      </c>
      <c r="N54" s="356">
        <f>CS_PID!N54/VLOOKUP($B54,표2[#ALL],2)/hlookup($A54,표4[#ALL],row(),false)</f>
        <v>0</v>
      </c>
      <c r="O54" s="356">
        <f>CS_PID!O54/VLOOKUP($B54,표2[#ALL],2)/hlookup($A54,표4[#ALL],row(),false)</f>
        <v>0.05263157895</v>
      </c>
      <c r="P54" s="356">
        <f>CS_PID!P54/VLOOKUP($B54,표2[#ALL],2)/hlookup($A54,표4[#ALL],row(),false)</f>
        <v>0.6842105263</v>
      </c>
      <c r="Q54" s="356">
        <f>CS_PID!Q54/VLOOKUP($B54,표2[#ALL],2)/hlookup($A54,표4[#ALL],row(),false)</f>
        <v>2.894736842</v>
      </c>
      <c r="R54" s="356">
        <f>CS_PID!R54/VLOOKUP($B54,표2[#ALL],2)/hlookup($A54,표4[#ALL],row(),false)</f>
        <v>1</v>
      </c>
      <c r="S54" s="356">
        <f>CS_PID!S54/VLOOKUP($B54,표2[#ALL],2)/hlookup($A54,표4[#ALL],row(),false)</f>
        <v>0.05263157895</v>
      </c>
      <c r="T54" s="356">
        <f>CS_PID!T54/VLOOKUP($B54,표2[#ALL],2)/hlookup($A54,표4[#ALL],row(),false)</f>
        <v>0</v>
      </c>
      <c r="U54" s="356">
        <f>CS_PID!U54/VLOOKUP($B54,표2[#ALL],2)/hlookup($A54,표4[#ALL],row(),false)</f>
        <v>0.05263157895</v>
      </c>
      <c r="V54" s="356">
        <f>CS_PID!V54/VLOOKUP($B54,표2[#ALL],2)/hlookup($A54,표4[#ALL],row(),false)</f>
        <v>0.6315789474</v>
      </c>
      <c r="W54" s="356">
        <f>CS_PID!W54/VLOOKUP($B54,표2[#ALL],2)/hlookup($A54,표4[#ALL],row(),false)</f>
        <v>3.210526316</v>
      </c>
      <c r="X54" s="356">
        <f>CS_PID!X54/VLOOKUP($B54,표2[#ALL],2)/hlookup($A54,표4[#ALL],row(),false)</f>
        <v>1.947368421</v>
      </c>
      <c r="Y54" s="356">
        <f>CS_PID!Y54/VLOOKUP($B54,표2[#ALL],2)/hlookup($A54,표4[#ALL],row(),false)</f>
        <v>0.05263157895</v>
      </c>
      <c r="Z54" s="356">
        <f>CS_PID!Z54/VLOOKUP($B54,표2[#ALL],2)/hlookup($A54,표4[#ALL],row(),false)</f>
        <v>0</v>
      </c>
      <c r="AA54" s="356">
        <f>CS_PID!AA54/VLOOKUP($B54,표2[#ALL],2)/hlookup($A54,표4[#ALL],row(),false)</f>
        <v>0.05263157895</v>
      </c>
      <c r="AB54" s="356">
        <f>CS_PID!AB54/VLOOKUP($B54,표2[#ALL],2)/hlookup($A54,표4[#ALL],row(),false)</f>
        <v>0.1578947368</v>
      </c>
      <c r="AC54" s="356">
        <f>CS_PID!AC54/VLOOKUP($B54,표2[#ALL],2)/hlookup($A54,표4[#ALL],row(),false)</f>
        <v>2.789473684</v>
      </c>
      <c r="AD54" s="356">
        <f>CS_PID!AD54/VLOOKUP($B54,표2[#ALL],2)/hlookup($A54,표4[#ALL],row(),false)</f>
        <v>0.7894736842</v>
      </c>
      <c r="AE54" s="356">
        <f>CS_PID!AE54/VLOOKUP($B54,표2[#ALL],2)/hlookup($A54,표4[#ALL],row(),false)</f>
        <v>0</v>
      </c>
      <c r="AF54" s="356">
        <f>CS_PID!AF54/VLOOKUP($B54,표2[#ALL],2)/hlookup($A54,표4[#ALL],row(),false)</f>
        <v>0</v>
      </c>
      <c r="AG54" s="356">
        <f>CS_PID!AG54/VLOOKUP($B54,표2[#ALL],2)/hlookup($A54,표4[#ALL],row(),false)</f>
        <v>0</v>
      </c>
      <c r="AH54" s="356">
        <f>CS_PID!AH54/VLOOKUP($B54,표2[#ALL],2)/hlookup($A54,표4[#ALL],row(),false)</f>
        <v>0.1578947368</v>
      </c>
      <c r="AI54" s="356">
        <f>CS_PID!AI54/VLOOKUP($B54,표2[#ALL],2)/hlookup($A54,표4[#ALL],row(),false)</f>
        <v>1.052631579</v>
      </c>
      <c r="AJ54" s="356">
        <f>CS_PID!AJ54/VLOOKUP($B54,표2[#ALL],2)/hlookup($A54,표4[#ALL],row(),false)</f>
        <v>0.5789473684</v>
      </c>
      <c r="AK54" s="356">
        <f>CS_PID!AK54/VLOOKUP($B54,표2[#ALL],2)/hlookup($A54,표4[#ALL],row(),false)</f>
        <v>0</v>
      </c>
      <c r="AL54" s="356">
        <f>CS_PID!AL54/VLOOKUP($B54,표2[#ALL],2)/hlookup($A54,표4[#ALL],row(),false)</f>
        <v>0</v>
      </c>
      <c r="AM54" s="356">
        <f>CS_PID!AM54/VLOOKUP($B54,표2[#ALL],2)/hlookup($A54,표4[#ALL],row(),false)</f>
        <v>0.05263157895</v>
      </c>
      <c r="AN54" s="356">
        <f>CS_PID!AN54/VLOOKUP($B54,표2[#ALL],2)/hlookup($A54,표4[#ALL],row(),false)</f>
        <v>0.6315789474</v>
      </c>
      <c r="AO54" s="356">
        <f>CS_PID!AO54/VLOOKUP($B54,표2[#ALL],2)/hlookup($A54,표4[#ALL],row(),false)</f>
        <v>0.2631578947</v>
      </c>
      <c r="AP54" s="356">
        <f>CS_PID!AP54/VLOOKUP($B54,표2[#ALL],2)/hlookup($A54,표4[#ALL],row(),false)</f>
        <v>0</v>
      </c>
      <c r="AQ54" s="356">
        <f>CS_PID!AQ54/VLOOKUP($B54,표2[#ALL],2)/hlookup($A54,표4[#ALL],row(),false)</f>
        <v>0</v>
      </c>
      <c r="AR54" s="356">
        <f>CS_PID!AR54/VLOOKUP($B54,표2[#ALL],2)/hlookup($A54,표4[#ALL],row(),false)</f>
        <v>0</v>
      </c>
      <c r="AS54" s="356">
        <f>CS_PID!AS54/VLOOKUP($B54,표2[#ALL],2)/hlookup($A54,표4[#ALL],row(),false)</f>
        <v>0</v>
      </c>
    </row>
    <row r="55">
      <c r="A55" s="165" t="s">
        <v>82</v>
      </c>
      <c r="B55" s="166">
        <v>322.0</v>
      </c>
      <c r="C55" s="356">
        <f>CS_PID!C55/VLOOKUP($B55,표2[#ALL],2)/hlookup($A55,표4[#ALL],row(),false)</f>
        <v>0</v>
      </c>
      <c r="D55" s="356">
        <f>CS_PID!D55/VLOOKUP($B55,표2[#ALL],2)/hlookup($A55,표4[#ALL],row(),false)</f>
        <v>0.04166666667</v>
      </c>
      <c r="E55" s="356">
        <f>CS_PID!E55/VLOOKUP($B55,표2[#ALL],2)/hlookup($A55,표4[#ALL],row(),false)</f>
        <v>0.4583333333</v>
      </c>
      <c r="F55" s="356">
        <f>CS_PID!F55/VLOOKUP($B55,표2[#ALL],2)/hlookup($A55,표4[#ALL],row(),false)</f>
        <v>0.7083333333</v>
      </c>
      <c r="G55" s="356">
        <f>CS_PID!G55/VLOOKUP($B55,표2[#ALL],2)/hlookup($A55,표4[#ALL],row(),false)</f>
        <v>0.08333333333</v>
      </c>
      <c r="H55" s="356">
        <f>CS_PID!H55/VLOOKUP($B55,표2[#ALL],2)/hlookup($A55,표4[#ALL],row(),false)</f>
        <v>0</v>
      </c>
      <c r="I55" s="356">
        <f>CS_PID!I55/VLOOKUP($B55,표2[#ALL],2)/hlookup($A55,표4[#ALL],row(),false)</f>
        <v>0.04166666667</v>
      </c>
      <c r="J55" s="356">
        <f>CS_PID!J55/VLOOKUP($B55,표2[#ALL],2)/hlookup($A55,표4[#ALL],row(),false)</f>
        <v>1.25</v>
      </c>
      <c r="K55" s="356">
        <f>CS_PID!K55/VLOOKUP($B55,표2[#ALL],2)/hlookup($A55,표4[#ALL],row(),false)</f>
        <v>1.666666667</v>
      </c>
      <c r="L55" s="356">
        <f>CS_PID!L55/VLOOKUP($B55,표2[#ALL],2)/hlookup($A55,표4[#ALL],row(),false)</f>
        <v>0.3333333333</v>
      </c>
      <c r="M55" s="356">
        <f>CS_PID!M55/VLOOKUP($B55,표2[#ALL],2)/hlookup($A55,표4[#ALL],row(),false)</f>
        <v>0.04166666667</v>
      </c>
      <c r="N55" s="356">
        <f>CS_PID!N55/VLOOKUP($B55,표2[#ALL],2)/hlookup($A55,표4[#ALL],row(),false)</f>
        <v>0</v>
      </c>
      <c r="O55" s="356">
        <f>CS_PID!O55/VLOOKUP($B55,표2[#ALL],2)/hlookup($A55,표4[#ALL],row(),false)</f>
        <v>0.04166666667</v>
      </c>
      <c r="P55" s="356">
        <f>CS_PID!P55/VLOOKUP($B55,표2[#ALL],2)/hlookup($A55,표4[#ALL],row(),false)</f>
        <v>0.875</v>
      </c>
      <c r="Q55" s="356">
        <f>CS_PID!Q55/VLOOKUP($B55,표2[#ALL],2)/hlookup($A55,표4[#ALL],row(),false)</f>
        <v>3.125</v>
      </c>
      <c r="R55" s="356">
        <f>CS_PID!R55/VLOOKUP($B55,표2[#ALL],2)/hlookup($A55,표4[#ALL],row(),false)</f>
        <v>1</v>
      </c>
      <c r="S55" s="356">
        <f>CS_PID!S55/VLOOKUP($B55,표2[#ALL],2)/hlookup($A55,표4[#ALL],row(),false)</f>
        <v>0</v>
      </c>
      <c r="T55" s="356">
        <f>CS_PID!T55/VLOOKUP($B55,표2[#ALL],2)/hlookup($A55,표4[#ALL],row(),false)</f>
        <v>0</v>
      </c>
      <c r="U55" s="356">
        <f>CS_PID!U55/VLOOKUP($B55,표2[#ALL],2)/hlookup($A55,표4[#ALL],row(),false)</f>
        <v>0</v>
      </c>
      <c r="V55" s="356">
        <f>CS_PID!V55/VLOOKUP($B55,표2[#ALL],2)/hlookup($A55,표4[#ALL],row(),false)</f>
        <v>0.375</v>
      </c>
      <c r="W55" s="356">
        <f>CS_PID!W55/VLOOKUP($B55,표2[#ALL],2)/hlookup($A55,표4[#ALL],row(),false)</f>
        <v>3.375</v>
      </c>
      <c r="X55" s="356">
        <f>CS_PID!X55/VLOOKUP($B55,표2[#ALL],2)/hlookup($A55,표4[#ALL],row(),false)</f>
        <v>2.083333333</v>
      </c>
      <c r="Y55" s="356">
        <f>CS_PID!Y55/VLOOKUP($B55,표2[#ALL],2)/hlookup($A55,표4[#ALL],row(),false)</f>
        <v>0</v>
      </c>
      <c r="Z55" s="356">
        <f>CS_PID!Z55/VLOOKUP($B55,표2[#ALL],2)/hlookup($A55,표4[#ALL],row(),false)</f>
        <v>0</v>
      </c>
      <c r="AA55" s="356">
        <f>CS_PID!AA55/VLOOKUP($B55,표2[#ALL],2)/hlookup($A55,표4[#ALL],row(),false)</f>
        <v>0</v>
      </c>
      <c r="AB55" s="356">
        <f>CS_PID!AB55/VLOOKUP($B55,표2[#ALL],2)/hlookup($A55,표4[#ALL],row(),false)</f>
        <v>0.2083333333</v>
      </c>
      <c r="AC55" s="356">
        <f>CS_PID!AC55/VLOOKUP($B55,표2[#ALL],2)/hlookup($A55,표4[#ALL],row(),false)</f>
        <v>2.291666667</v>
      </c>
      <c r="AD55" s="356">
        <f>CS_PID!AD55/VLOOKUP($B55,표2[#ALL],2)/hlookup($A55,표4[#ALL],row(),false)</f>
        <v>0.7083333333</v>
      </c>
      <c r="AE55" s="356">
        <f>CS_PID!AE55/VLOOKUP($B55,표2[#ALL],2)/hlookup($A55,표4[#ALL],row(),false)</f>
        <v>0.08333333333</v>
      </c>
      <c r="AF55" s="356">
        <f>CS_PID!AF55/VLOOKUP($B55,표2[#ALL],2)/hlookup($A55,표4[#ALL],row(),false)</f>
        <v>0</v>
      </c>
      <c r="AG55" s="356">
        <f>CS_PID!AG55/VLOOKUP($B55,표2[#ALL],2)/hlookup($A55,표4[#ALL],row(),false)</f>
        <v>0</v>
      </c>
      <c r="AH55" s="356">
        <f>CS_PID!AH55/VLOOKUP($B55,표2[#ALL],2)/hlookup($A55,표4[#ALL],row(),false)</f>
        <v>0.2083333333</v>
      </c>
      <c r="AI55" s="356">
        <f>CS_PID!AI55/VLOOKUP($B55,표2[#ALL],2)/hlookup($A55,표4[#ALL],row(),false)</f>
        <v>1.25</v>
      </c>
      <c r="AJ55" s="356">
        <f>CS_PID!AJ55/VLOOKUP($B55,표2[#ALL],2)/hlookup($A55,표4[#ALL],row(),false)</f>
        <v>0.5416666667</v>
      </c>
      <c r="AK55" s="356">
        <f>CS_PID!AK55/VLOOKUP($B55,표2[#ALL],2)/hlookup($A55,표4[#ALL],row(),false)</f>
        <v>0</v>
      </c>
      <c r="AL55" s="356">
        <f>CS_PID!AL55/VLOOKUP($B55,표2[#ALL],2)/hlookup($A55,표4[#ALL],row(),false)</f>
        <v>0</v>
      </c>
      <c r="AM55" s="356">
        <f>CS_PID!AM55/VLOOKUP($B55,표2[#ALL],2)/hlookup($A55,표4[#ALL],row(),false)</f>
        <v>0.04166666667</v>
      </c>
      <c r="AN55" s="356">
        <f>CS_PID!AN55/VLOOKUP($B55,표2[#ALL],2)/hlookup($A55,표4[#ALL],row(),false)</f>
        <v>0.5416666667</v>
      </c>
      <c r="AO55" s="356">
        <f>CS_PID!AO55/VLOOKUP($B55,표2[#ALL],2)/hlookup($A55,표4[#ALL],row(),false)</f>
        <v>0.08333333333</v>
      </c>
      <c r="AP55" s="356">
        <f>CS_PID!AP55/VLOOKUP($B55,표2[#ALL],2)/hlookup($A55,표4[#ALL],row(),false)</f>
        <v>0</v>
      </c>
      <c r="AQ55" s="356">
        <f>CS_PID!AQ55/VLOOKUP($B55,표2[#ALL],2)/hlookup($A55,표4[#ALL],row(),false)</f>
        <v>0</v>
      </c>
      <c r="AR55" s="356">
        <f>CS_PID!AR55/VLOOKUP($B55,표2[#ALL],2)/hlookup($A55,표4[#ALL],row(),false)</f>
        <v>0.04166666667</v>
      </c>
      <c r="AS55" s="356">
        <f>CS_PID!AS55/VLOOKUP($B55,표2[#ALL],2)/hlookup($A55,표4[#ALL],row(),false)</f>
        <v>0.04166666667</v>
      </c>
    </row>
    <row r="56">
      <c r="A56" s="165" t="s">
        <v>82</v>
      </c>
      <c r="B56" s="166">
        <v>323.0</v>
      </c>
      <c r="C56" s="356">
        <f>CS_PID!C56/VLOOKUP($B56,표2[#ALL],2)/hlookup($A56,표4[#ALL],row(),false)</f>
        <v>0</v>
      </c>
      <c r="D56" s="356">
        <f>CS_PID!D56/VLOOKUP($B56,표2[#ALL],2)/hlookup($A56,표4[#ALL],row(),false)</f>
        <v>0</v>
      </c>
      <c r="E56" s="356">
        <f>CS_PID!E56/VLOOKUP($B56,표2[#ALL],2)/hlookup($A56,표4[#ALL],row(),false)</f>
        <v>0.5714285714</v>
      </c>
      <c r="F56" s="356">
        <f>CS_PID!F56/VLOOKUP($B56,표2[#ALL],2)/hlookup($A56,표4[#ALL],row(),false)</f>
        <v>0.619047619</v>
      </c>
      <c r="G56" s="356">
        <f>CS_PID!G56/VLOOKUP($B56,표2[#ALL],2)/hlookup($A56,표4[#ALL],row(),false)</f>
        <v>0</v>
      </c>
      <c r="H56" s="356">
        <f>CS_PID!H56/VLOOKUP($B56,표2[#ALL],2)/hlookup($A56,표4[#ALL],row(),false)</f>
        <v>0</v>
      </c>
      <c r="I56" s="356">
        <f>CS_PID!I56/VLOOKUP($B56,표2[#ALL],2)/hlookup($A56,표4[#ALL],row(),false)</f>
        <v>0</v>
      </c>
      <c r="J56" s="356">
        <f>CS_PID!J56/VLOOKUP($B56,표2[#ALL],2)/hlookup($A56,표4[#ALL],row(),false)</f>
        <v>0.9047619048</v>
      </c>
      <c r="K56" s="356">
        <f>CS_PID!K56/VLOOKUP($B56,표2[#ALL],2)/hlookup($A56,표4[#ALL],row(),false)</f>
        <v>1.19047619</v>
      </c>
      <c r="L56" s="356">
        <f>CS_PID!L56/VLOOKUP($B56,표2[#ALL],2)/hlookup($A56,표4[#ALL],row(),false)</f>
        <v>0.2857142857</v>
      </c>
      <c r="M56" s="356">
        <f>CS_PID!M56/VLOOKUP($B56,표2[#ALL],2)/hlookup($A56,표4[#ALL],row(),false)</f>
        <v>0</v>
      </c>
      <c r="N56" s="356">
        <f>CS_PID!N56/VLOOKUP($B56,표2[#ALL],2)/hlookup($A56,표4[#ALL],row(),false)</f>
        <v>0</v>
      </c>
      <c r="O56" s="356">
        <f>CS_PID!O56/VLOOKUP($B56,표2[#ALL],2)/hlookup($A56,표4[#ALL],row(),false)</f>
        <v>0.09523809524</v>
      </c>
      <c r="P56" s="356">
        <f>CS_PID!P56/VLOOKUP($B56,표2[#ALL],2)/hlookup($A56,표4[#ALL],row(),false)</f>
        <v>1.047619048</v>
      </c>
      <c r="Q56" s="356">
        <f>CS_PID!Q56/VLOOKUP($B56,표2[#ALL],2)/hlookup($A56,표4[#ALL],row(),false)</f>
        <v>2.761904762</v>
      </c>
      <c r="R56" s="356">
        <f>CS_PID!R56/VLOOKUP($B56,표2[#ALL],2)/hlookup($A56,표4[#ALL],row(),false)</f>
        <v>1</v>
      </c>
      <c r="S56" s="356">
        <f>CS_PID!S56/VLOOKUP($B56,표2[#ALL],2)/hlookup($A56,표4[#ALL],row(),false)</f>
        <v>0.04761904762</v>
      </c>
      <c r="T56" s="356">
        <f>CS_PID!T56/VLOOKUP($B56,표2[#ALL],2)/hlookup($A56,표4[#ALL],row(),false)</f>
        <v>0</v>
      </c>
      <c r="U56" s="356">
        <f>CS_PID!U56/VLOOKUP($B56,표2[#ALL],2)/hlookup($A56,표4[#ALL],row(),false)</f>
        <v>0</v>
      </c>
      <c r="V56" s="356">
        <f>CS_PID!V56/VLOOKUP($B56,표2[#ALL],2)/hlookup($A56,표4[#ALL],row(),false)</f>
        <v>0.7142857143</v>
      </c>
      <c r="W56" s="356">
        <f>CS_PID!W56/VLOOKUP($B56,표2[#ALL],2)/hlookup($A56,표4[#ALL],row(),false)</f>
        <v>2.952380952</v>
      </c>
      <c r="X56" s="356">
        <f>CS_PID!X56/VLOOKUP($B56,표2[#ALL],2)/hlookup($A56,표4[#ALL],row(),false)</f>
        <v>1.285714286</v>
      </c>
      <c r="Y56" s="356">
        <f>CS_PID!Y56/VLOOKUP($B56,표2[#ALL],2)/hlookup($A56,표4[#ALL],row(),false)</f>
        <v>0</v>
      </c>
      <c r="Z56" s="356">
        <f>CS_PID!Z56/VLOOKUP($B56,표2[#ALL],2)/hlookup($A56,표4[#ALL],row(),false)</f>
        <v>0</v>
      </c>
      <c r="AA56" s="356">
        <f>CS_PID!AA56/VLOOKUP($B56,표2[#ALL],2)/hlookup($A56,표4[#ALL],row(),false)</f>
        <v>0</v>
      </c>
      <c r="AB56" s="356">
        <f>CS_PID!AB56/VLOOKUP($B56,표2[#ALL],2)/hlookup($A56,표4[#ALL],row(),false)</f>
        <v>0.04761904762</v>
      </c>
      <c r="AC56" s="356">
        <f>CS_PID!AC56/VLOOKUP($B56,표2[#ALL],2)/hlookup($A56,표4[#ALL],row(),false)</f>
        <v>2.333333333</v>
      </c>
      <c r="AD56" s="356">
        <f>CS_PID!AD56/VLOOKUP($B56,표2[#ALL],2)/hlookup($A56,표4[#ALL],row(),false)</f>
        <v>0.8571428571</v>
      </c>
      <c r="AE56" s="356">
        <f>CS_PID!AE56/VLOOKUP($B56,표2[#ALL],2)/hlookup($A56,표4[#ALL],row(),false)</f>
        <v>0</v>
      </c>
      <c r="AF56" s="356">
        <f>CS_PID!AF56/VLOOKUP($B56,표2[#ALL],2)/hlookup($A56,표4[#ALL],row(),false)</f>
        <v>0</v>
      </c>
      <c r="AG56" s="356">
        <f>CS_PID!AG56/VLOOKUP($B56,표2[#ALL],2)/hlookup($A56,표4[#ALL],row(),false)</f>
        <v>0</v>
      </c>
      <c r="AH56" s="356">
        <f>CS_PID!AH56/VLOOKUP($B56,표2[#ALL],2)/hlookup($A56,표4[#ALL],row(),false)</f>
        <v>0.09523809524</v>
      </c>
      <c r="AI56" s="356">
        <f>CS_PID!AI56/VLOOKUP($B56,표2[#ALL],2)/hlookup($A56,표4[#ALL],row(),false)</f>
        <v>0.5714285714</v>
      </c>
      <c r="AJ56" s="356">
        <f>CS_PID!AJ56/VLOOKUP($B56,표2[#ALL],2)/hlookup($A56,표4[#ALL],row(),false)</f>
        <v>0.4285714286</v>
      </c>
      <c r="AK56" s="356">
        <f>CS_PID!AK56/VLOOKUP($B56,표2[#ALL],2)/hlookup($A56,표4[#ALL],row(),false)</f>
        <v>0</v>
      </c>
      <c r="AL56" s="356">
        <f>CS_PID!AL56/VLOOKUP($B56,표2[#ALL],2)/hlookup($A56,표4[#ALL],row(),false)</f>
        <v>0</v>
      </c>
      <c r="AM56" s="356">
        <f>CS_PID!AM56/VLOOKUP($B56,표2[#ALL],2)/hlookup($A56,표4[#ALL],row(),false)</f>
        <v>0.1428571429</v>
      </c>
      <c r="AN56" s="356">
        <f>CS_PID!AN56/VLOOKUP($B56,표2[#ALL],2)/hlookup($A56,표4[#ALL],row(),false)</f>
        <v>0.7142857143</v>
      </c>
      <c r="AO56" s="356">
        <f>CS_PID!AO56/VLOOKUP($B56,표2[#ALL],2)/hlookup($A56,표4[#ALL],row(),false)</f>
        <v>0.04761904762</v>
      </c>
      <c r="AP56" s="356">
        <f>CS_PID!AP56/VLOOKUP($B56,표2[#ALL],2)/hlookup($A56,표4[#ALL],row(),false)</f>
        <v>0</v>
      </c>
      <c r="AQ56" s="356">
        <f>CS_PID!AQ56/VLOOKUP($B56,표2[#ALL],2)/hlookup($A56,표4[#ALL],row(),false)</f>
        <v>0</v>
      </c>
      <c r="AR56" s="356">
        <f>CS_PID!AR56/VLOOKUP($B56,표2[#ALL],2)/hlookup($A56,표4[#ALL],row(),false)</f>
        <v>0</v>
      </c>
      <c r="AS56" s="356">
        <f>CS_PID!AS56/VLOOKUP($B56,표2[#ALL],2)/hlookup($A56,표4[#ALL],row(),false)</f>
        <v>0</v>
      </c>
    </row>
    <row r="57">
      <c r="A57" s="165" t="s">
        <v>82</v>
      </c>
      <c r="B57" s="166">
        <v>324.0</v>
      </c>
      <c r="C57" s="356">
        <f>CS_PID!C57/VLOOKUP($B57,표2[#ALL],2)/hlookup($A57,표4[#ALL],row(),false)</f>
        <v>0</v>
      </c>
      <c r="D57" s="356">
        <f>CS_PID!D57/VLOOKUP($B57,표2[#ALL],2)/hlookup($A57,표4[#ALL],row(),false)</f>
        <v>0</v>
      </c>
      <c r="E57" s="356">
        <f>CS_PID!E57/VLOOKUP($B57,표2[#ALL],2)/hlookup($A57,표4[#ALL],row(),false)</f>
        <v>0.3636363636</v>
      </c>
      <c r="F57" s="356">
        <f>CS_PID!F57/VLOOKUP($B57,표2[#ALL],2)/hlookup($A57,표4[#ALL],row(),false)</f>
        <v>0.8181818182</v>
      </c>
      <c r="G57" s="356">
        <f>CS_PID!G57/VLOOKUP($B57,표2[#ALL],2)/hlookup($A57,표4[#ALL],row(),false)</f>
        <v>0</v>
      </c>
      <c r="H57" s="356">
        <f>CS_PID!H57/VLOOKUP($B57,표2[#ALL],2)/hlookup($A57,표4[#ALL],row(),false)</f>
        <v>0</v>
      </c>
      <c r="I57" s="356">
        <f>CS_PID!I57/VLOOKUP($B57,표2[#ALL],2)/hlookup($A57,표4[#ALL],row(),false)</f>
        <v>0</v>
      </c>
      <c r="J57" s="356">
        <f>CS_PID!J57/VLOOKUP($B57,표2[#ALL],2)/hlookup($A57,표4[#ALL],row(),false)</f>
        <v>2.272727273</v>
      </c>
      <c r="K57" s="356">
        <f>CS_PID!K57/VLOOKUP($B57,표2[#ALL],2)/hlookup($A57,표4[#ALL],row(),false)</f>
        <v>1.636363636</v>
      </c>
      <c r="L57" s="356">
        <f>CS_PID!L57/VLOOKUP($B57,표2[#ALL],2)/hlookup($A57,표4[#ALL],row(),false)</f>
        <v>0.5454545455</v>
      </c>
      <c r="M57" s="356">
        <f>CS_PID!M57/VLOOKUP($B57,표2[#ALL],2)/hlookup($A57,표4[#ALL],row(),false)</f>
        <v>0</v>
      </c>
      <c r="N57" s="356">
        <f>CS_PID!N57/VLOOKUP($B57,표2[#ALL],2)/hlookup($A57,표4[#ALL],row(),false)</f>
        <v>0</v>
      </c>
      <c r="O57" s="356">
        <f>CS_PID!O57/VLOOKUP($B57,표2[#ALL],2)/hlookup($A57,표4[#ALL],row(),false)</f>
        <v>0</v>
      </c>
      <c r="P57" s="356">
        <f>CS_PID!P57/VLOOKUP($B57,표2[#ALL],2)/hlookup($A57,표4[#ALL],row(),false)</f>
        <v>1.272727273</v>
      </c>
      <c r="Q57" s="356">
        <f>CS_PID!Q57/VLOOKUP($B57,표2[#ALL],2)/hlookup($A57,표4[#ALL],row(),false)</f>
        <v>4.636363636</v>
      </c>
      <c r="R57" s="356">
        <f>CS_PID!R57/VLOOKUP($B57,표2[#ALL],2)/hlookup($A57,표4[#ALL],row(),false)</f>
        <v>1</v>
      </c>
      <c r="S57" s="356">
        <f>CS_PID!S57/VLOOKUP($B57,표2[#ALL],2)/hlookup($A57,표4[#ALL],row(),false)</f>
        <v>0</v>
      </c>
      <c r="T57" s="356">
        <f>CS_PID!T57/VLOOKUP($B57,표2[#ALL],2)/hlookup($A57,표4[#ALL],row(),false)</f>
        <v>0</v>
      </c>
      <c r="U57" s="356">
        <f>CS_PID!U57/VLOOKUP($B57,표2[#ALL],2)/hlookup($A57,표4[#ALL],row(),false)</f>
        <v>0</v>
      </c>
      <c r="V57" s="356">
        <f>CS_PID!V57/VLOOKUP($B57,표2[#ALL],2)/hlookup($A57,표4[#ALL],row(),false)</f>
        <v>0.5454545455</v>
      </c>
      <c r="W57" s="356">
        <f>CS_PID!W57/VLOOKUP($B57,표2[#ALL],2)/hlookup($A57,표4[#ALL],row(),false)</f>
        <v>4.545454545</v>
      </c>
      <c r="X57" s="356">
        <f>CS_PID!X57/VLOOKUP($B57,표2[#ALL],2)/hlookup($A57,표4[#ALL],row(),false)</f>
        <v>2.363636364</v>
      </c>
      <c r="Y57" s="356">
        <f>CS_PID!Y57/VLOOKUP($B57,표2[#ALL],2)/hlookup($A57,표4[#ALL],row(),false)</f>
        <v>0</v>
      </c>
      <c r="Z57" s="356">
        <f>CS_PID!Z57/VLOOKUP($B57,표2[#ALL],2)/hlookup($A57,표4[#ALL],row(),false)</f>
        <v>0</v>
      </c>
      <c r="AA57" s="356">
        <f>CS_PID!AA57/VLOOKUP($B57,표2[#ALL],2)/hlookup($A57,표4[#ALL],row(),false)</f>
        <v>0</v>
      </c>
      <c r="AB57" s="356">
        <f>CS_PID!AB57/VLOOKUP($B57,표2[#ALL],2)/hlookup($A57,표4[#ALL],row(),false)</f>
        <v>0</v>
      </c>
      <c r="AC57" s="356">
        <f>CS_PID!AC57/VLOOKUP($B57,표2[#ALL],2)/hlookup($A57,표4[#ALL],row(),false)</f>
        <v>3.545454545</v>
      </c>
      <c r="AD57" s="356">
        <f>CS_PID!AD57/VLOOKUP($B57,표2[#ALL],2)/hlookup($A57,표4[#ALL],row(),false)</f>
        <v>1.090909091</v>
      </c>
      <c r="AE57" s="356">
        <f>CS_PID!AE57/VLOOKUP($B57,표2[#ALL],2)/hlookup($A57,표4[#ALL],row(),false)</f>
        <v>0</v>
      </c>
      <c r="AF57" s="356">
        <f>CS_PID!AF57/VLOOKUP($B57,표2[#ALL],2)/hlookup($A57,표4[#ALL],row(),false)</f>
        <v>0</v>
      </c>
      <c r="AG57" s="356">
        <f>CS_PID!AG57/VLOOKUP($B57,표2[#ALL],2)/hlookup($A57,표4[#ALL],row(),false)</f>
        <v>0</v>
      </c>
      <c r="AH57" s="356">
        <f>CS_PID!AH57/VLOOKUP($B57,표2[#ALL],2)/hlookup($A57,표4[#ALL],row(),false)</f>
        <v>0.09090909091</v>
      </c>
      <c r="AI57" s="356">
        <f>CS_PID!AI57/VLOOKUP($B57,표2[#ALL],2)/hlookup($A57,표4[#ALL],row(),false)</f>
        <v>1.454545455</v>
      </c>
      <c r="AJ57" s="356">
        <f>CS_PID!AJ57/VLOOKUP($B57,표2[#ALL],2)/hlookup($A57,표4[#ALL],row(),false)</f>
        <v>0.8181818182</v>
      </c>
      <c r="AK57" s="356">
        <f>CS_PID!AK57/VLOOKUP($B57,표2[#ALL],2)/hlookup($A57,표4[#ALL],row(),false)</f>
        <v>0</v>
      </c>
      <c r="AL57" s="356">
        <f>CS_PID!AL57/VLOOKUP($B57,표2[#ALL],2)/hlookup($A57,표4[#ALL],row(),false)</f>
        <v>0</v>
      </c>
      <c r="AM57" s="356">
        <f>CS_PID!AM57/VLOOKUP($B57,표2[#ALL],2)/hlookup($A57,표4[#ALL],row(),false)</f>
        <v>0.09090909091</v>
      </c>
      <c r="AN57" s="356">
        <f>CS_PID!AN57/VLOOKUP($B57,표2[#ALL],2)/hlookup($A57,표4[#ALL],row(),false)</f>
        <v>0.7272727273</v>
      </c>
      <c r="AO57" s="356">
        <f>CS_PID!AO57/VLOOKUP($B57,표2[#ALL],2)/hlookup($A57,표4[#ALL],row(),false)</f>
        <v>0.1818181818</v>
      </c>
      <c r="AP57" s="356">
        <f>CS_PID!AP57/VLOOKUP($B57,표2[#ALL],2)/hlookup($A57,표4[#ALL],row(),false)</f>
        <v>0</v>
      </c>
      <c r="AQ57" s="356">
        <f>CS_PID!AQ57/VLOOKUP($B57,표2[#ALL],2)/hlookup($A57,표4[#ALL],row(),false)</f>
        <v>0</v>
      </c>
      <c r="AR57" s="356">
        <f>CS_PID!AR57/VLOOKUP($B57,표2[#ALL],2)/hlookup($A57,표4[#ALL],row(),false)</f>
        <v>0</v>
      </c>
      <c r="AS57" s="356">
        <f>CS_PID!AS57/VLOOKUP($B57,표2[#ALL],2)/hlookup($A57,표4[#ALL],row(),false)</f>
        <v>0</v>
      </c>
    </row>
    <row r="58">
      <c r="A58" s="165" t="s">
        <v>82</v>
      </c>
      <c r="B58" s="166">
        <v>325.0</v>
      </c>
      <c r="C58" s="356">
        <f>CS_PID!C58/VLOOKUP($B58,표2[#ALL],2)/hlookup($A58,표4[#ALL],row(),false)</f>
        <v>0.3333333333</v>
      </c>
      <c r="D58" s="356">
        <f>CS_PID!D58/VLOOKUP($B58,표2[#ALL],2)/hlookup($A58,표4[#ALL],row(),false)</f>
        <v>0</v>
      </c>
      <c r="E58" s="356">
        <f>CS_PID!E58/VLOOKUP($B58,표2[#ALL],2)/hlookup($A58,표4[#ALL],row(),false)</f>
        <v>0.6666666667</v>
      </c>
      <c r="F58" s="356">
        <f>CS_PID!F58/VLOOKUP($B58,표2[#ALL],2)/hlookup($A58,표4[#ALL],row(),false)</f>
        <v>0.6666666667</v>
      </c>
      <c r="G58" s="356">
        <f>CS_PID!G58/VLOOKUP($B58,표2[#ALL],2)/hlookup($A58,표4[#ALL],row(),false)</f>
        <v>0</v>
      </c>
      <c r="H58" s="356">
        <f>CS_PID!H58/VLOOKUP($B58,표2[#ALL],2)/hlookup($A58,표4[#ALL],row(),false)</f>
        <v>0</v>
      </c>
      <c r="I58" s="356">
        <f>CS_PID!I58/VLOOKUP($B58,표2[#ALL],2)/hlookup($A58,표4[#ALL],row(),false)</f>
        <v>0.3333333333</v>
      </c>
      <c r="J58" s="356">
        <f>CS_PID!J58/VLOOKUP($B58,표2[#ALL],2)/hlookup($A58,표4[#ALL],row(),false)</f>
        <v>1</v>
      </c>
      <c r="K58" s="356">
        <f>CS_PID!K58/VLOOKUP($B58,표2[#ALL],2)/hlookup($A58,표4[#ALL],row(),false)</f>
        <v>1</v>
      </c>
      <c r="L58" s="356">
        <f>CS_PID!L58/VLOOKUP($B58,표2[#ALL],2)/hlookup($A58,표4[#ALL],row(),false)</f>
        <v>0.3333333333</v>
      </c>
      <c r="M58" s="356">
        <f>CS_PID!M58/VLOOKUP($B58,표2[#ALL],2)/hlookup($A58,표4[#ALL],row(),false)</f>
        <v>0</v>
      </c>
      <c r="N58" s="356">
        <f>CS_PID!N58/VLOOKUP($B58,표2[#ALL],2)/hlookup($A58,표4[#ALL],row(),false)</f>
        <v>0</v>
      </c>
      <c r="O58" s="356">
        <f>CS_PID!O58/VLOOKUP($B58,표2[#ALL],2)/hlookup($A58,표4[#ALL],row(),false)</f>
        <v>0</v>
      </c>
      <c r="P58" s="356">
        <f>CS_PID!P58/VLOOKUP($B58,표2[#ALL],2)/hlookup($A58,표4[#ALL],row(),false)</f>
        <v>1</v>
      </c>
      <c r="Q58" s="356">
        <f>CS_PID!Q58/VLOOKUP($B58,표2[#ALL],2)/hlookup($A58,표4[#ALL],row(),false)</f>
        <v>5.666666667</v>
      </c>
      <c r="R58" s="356">
        <f>CS_PID!R58/VLOOKUP($B58,표2[#ALL],2)/hlookup($A58,표4[#ALL],row(),false)</f>
        <v>1</v>
      </c>
      <c r="S58" s="356">
        <f>CS_PID!S58/VLOOKUP($B58,표2[#ALL],2)/hlookup($A58,표4[#ALL],row(),false)</f>
        <v>0</v>
      </c>
      <c r="T58" s="356">
        <f>CS_PID!T58/VLOOKUP($B58,표2[#ALL],2)/hlookup($A58,표4[#ALL],row(),false)</f>
        <v>0</v>
      </c>
      <c r="U58" s="356">
        <f>CS_PID!U58/VLOOKUP($B58,표2[#ALL],2)/hlookup($A58,표4[#ALL],row(),false)</f>
        <v>0</v>
      </c>
      <c r="V58" s="356">
        <f>CS_PID!V58/VLOOKUP($B58,표2[#ALL],2)/hlookup($A58,표4[#ALL],row(),false)</f>
        <v>0.3333333333</v>
      </c>
      <c r="W58" s="356">
        <f>CS_PID!W58/VLOOKUP($B58,표2[#ALL],2)/hlookup($A58,표4[#ALL],row(),false)</f>
        <v>5</v>
      </c>
      <c r="X58" s="356">
        <f>CS_PID!X58/VLOOKUP($B58,표2[#ALL],2)/hlookup($A58,표4[#ALL],row(),false)</f>
        <v>2.333333333</v>
      </c>
      <c r="Y58" s="356">
        <f>CS_PID!Y58/VLOOKUP($B58,표2[#ALL],2)/hlookup($A58,표4[#ALL],row(),false)</f>
        <v>0</v>
      </c>
      <c r="Z58" s="356">
        <f>CS_PID!Z58/VLOOKUP($B58,표2[#ALL],2)/hlookup($A58,표4[#ALL],row(),false)</f>
        <v>0</v>
      </c>
      <c r="AA58" s="356">
        <f>CS_PID!AA58/VLOOKUP($B58,표2[#ALL],2)/hlookup($A58,표4[#ALL],row(),false)</f>
        <v>0</v>
      </c>
      <c r="AB58" s="356">
        <f>CS_PID!AB58/VLOOKUP($B58,표2[#ALL],2)/hlookup($A58,표4[#ALL],row(),false)</f>
        <v>0.3333333333</v>
      </c>
      <c r="AC58" s="356">
        <f>CS_PID!AC58/VLOOKUP($B58,표2[#ALL],2)/hlookup($A58,표4[#ALL],row(),false)</f>
        <v>1.333333333</v>
      </c>
      <c r="AD58" s="356">
        <f>CS_PID!AD58/VLOOKUP($B58,표2[#ALL],2)/hlookup($A58,표4[#ALL],row(),false)</f>
        <v>0.3333333333</v>
      </c>
      <c r="AE58" s="356">
        <f>CS_PID!AE58/VLOOKUP($B58,표2[#ALL],2)/hlookup($A58,표4[#ALL],row(),false)</f>
        <v>0</v>
      </c>
      <c r="AF58" s="356">
        <f>CS_PID!AF58/VLOOKUP($B58,표2[#ALL],2)/hlookup($A58,표4[#ALL],row(),false)</f>
        <v>0</v>
      </c>
      <c r="AG58" s="356">
        <f>CS_PID!AG58/VLOOKUP($B58,표2[#ALL],2)/hlookup($A58,표4[#ALL],row(),false)</f>
        <v>0</v>
      </c>
      <c r="AH58" s="356">
        <f>CS_PID!AH58/VLOOKUP($B58,표2[#ALL],2)/hlookup($A58,표4[#ALL],row(),false)</f>
        <v>0</v>
      </c>
      <c r="AI58" s="356">
        <f>CS_PID!AI58/VLOOKUP($B58,표2[#ALL],2)/hlookup($A58,표4[#ALL],row(),false)</f>
        <v>2.333333333</v>
      </c>
      <c r="AJ58" s="356">
        <f>CS_PID!AJ58/VLOOKUP($B58,표2[#ALL],2)/hlookup($A58,표4[#ALL],row(),false)</f>
        <v>1</v>
      </c>
      <c r="AK58" s="356">
        <f>CS_PID!AK58/VLOOKUP($B58,표2[#ALL],2)/hlookup($A58,표4[#ALL],row(),false)</f>
        <v>0</v>
      </c>
      <c r="AL58" s="356">
        <f>CS_PID!AL58/VLOOKUP($B58,표2[#ALL],2)/hlookup($A58,표4[#ALL],row(),false)</f>
        <v>0</v>
      </c>
      <c r="AM58" s="356">
        <f>CS_PID!AM58/VLOOKUP($B58,표2[#ALL],2)/hlookup($A58,표4[#ALL],row(),false)</f>
        <v>0</v>
      </c>
      <c r="AN58" s="356">
        <f>CS_PID!AN58/VLOOKUP($B58,표2[#ALL],2)/hlookup($A58,표4[#ALL],row(),false)</f>
        <v>2</v>
      </c>
      <c r="AO58" s="356">
        <f>CS_PID!AO58/VLOOKUP($B58,표2[#ALL],2)/hlookup($A58,표4[#ALL],row(),false)</f>
        <v>0</v>
      </c>
      <c r="AP58" s="356">
        <f>CS_PID!AP58/VLOOKUP($B58,표2[#ALL],2)/hlookup($A58,표4[#ALL],row(),false)</f>
        <v>0</v>
      </c>
      <c r="AQ58" s="356">
        <f>CS_PID!AQ58/VLOOKUP($B58,표2[#ALL],2)/hlookup($A58,표4[#ALL],row(),false)</f>
        <v>0</v>
      </c>
      <c r="AR58" s="356">
        <f>CS_PID!AR58/VLOOKUP($B58,표2[#ALL],2)/hlookup($A58,표4[#ALL],row(),false)</f>
        <v>0</v>
      </c>
      <c r="AS58" s="356">
        <f>CS_PID!AS58/VLOOKUP($B58,표2[#ALL],2)/hlookup($A58,표4[#ALL],row(),false)</f>
        <v>0</v>
      </c>
    </row>
    <row r="59">
      <c r="A59" s="165" t="s">
        <v>82</v>
      </c>
      <c r="B59" s="166">
        <v>326.0</v>
      </c>
      <c r="C59" s="356">
        <f>CS_PID!C59/VLOOKUP($B59,표2[#ALL],2)/hlookup($A59,표4[#ALL],row(),false)</f>
        <v>0</v>
      </c>
      <c r="D59" s="356">
        <f>CS_PID!D59/VLOOKUP($B59,표2[#ALL],2)/hlookup($A59,표4[#ALL],row(),false)</f>
        <v>0.1052631579</v>
      </c>
      <c r="E59" s="356">
        <f>CS_PID!E59/VLOOKUP($B59,표2[#ALL],2)/hlookup($A59,표4[#ALL],row(),false)</f>
        <v>0.6315789474</v>
      </c>
      <c r="F59" s="356">
        <f>CS_PID!F59/VLOOKUP($B59,표2[#ALL],2)/hlookup($A59,표4[#ALL],row(),false)</f>
        <v>0.8947368421</v>
      </c>
      <c r="G59" s="356">
        <f>CS_PID!G59/VLOOKUP($B59,표2[#ALL],2)/hlookup($A59,표4[#ALL],row(),false)</f>
        <v>0</v>
      </c>
      <c r="H59" s="356">
        <f>CS_PID!H59/VLOOKUP($B59,표2[#ALL],2)/hlookup($A59,표4[#ALL],row(),false)</f>
        <v>0</v>
      </c>
      <c r="I59" s="356">
        <f>CS_PID!I59/VLOOKUP($B59,표2[#ALL],2)/hlookup($A59,표4[#ALL],row(),false)</f>
        <v>0</v>
      </c>
      <c r="J59" s="356">
        <f>CS_PID!J59/VLOOKUP($B59,표2[#ALL],2)/hlookup($A59,표4[#ALL],row(),false)</f>
        <v>0.9473684211</v>
      </c>
      <c r="K59" s="356">
        <f>CS_PID!K59/VLOOKUP($B59,표2[#ALL],2)/hlookup($A59,표4[#ALL],row(),false)</f>
        <v>1.736842105</v>
      </c>
      <c r="L59" s="356">
        <f>CS_PID!L59/VLOOKUP($B59,표2[#ALL],2)/hlookup($A59,표4[#ALL],row(),false)</f>
        <v>0.4736842105</v>
      </c>
      <c r="M59" s="356">
        <f>CS_PID!M59/VLOOKUP($B59,표2[#ALL],2)/hlookup($A59,표4[#ALL],row(),false)</f>
        <v>0</v>
      </c>
      <c r="N59" s="356">
        <f>CS_PID!N59/VLOOKUP($B59,표2[#ALL],2)/hlookup($A59,표4[#ALL],row(),false)</f>
        <v>0</v>
      </c>
      <c r="O59" s="356">
        <f>CS_PID!O59/VLOOKUP($B59,표2[#ALL],2)/hlookup($A59,표4[#ALL],row(),false)</f>
        <v>0</v>
      </c>
      <c r="P59" s="356">
        <f>CS_PID!P59/VLOOKUP($B59,표2[#ALL],2)/hlookup($A59,표4[#ALL],row(),false)</f>
        <v>0.8947368421</v>
      </c>
      <c r="Q59" s="356">
        <f>CS_PID!Q59/VLOOKUP($B59,표2[#ALL],2)/hlookup($A59,표4[#ALL],row(),false)</f>
        <v>3.842105263</v>
      </c>
      <c r="R59" s="356">
        <f>CS_PID!R59/VLOOKUP($B59,표2[#ALL],2)/hlookup($A59,표4[#ALL],row(),false)</f>
        <v>1</v>
      </c>
      <c r="S59" s="356">
        <f>CS_PID!S59/VLOOKUP($B59,표2[#ALL],2)/hlookup($A59,표4[#ALL],row(),false)</f>
        <v>0.05263157895</v>
      </c>
      <c r="T59" s="356">
        <f>CS_PID!T59/VLOOKUP($B59,표2[#ALL],2)/hlookup($A59,표4[#ALL],row(),false)</f>
        <v>0</v>
      </c>
      <c r="U59" s="356">
        <f>CS_PID!U59/VLOOKUP($B59,표2[#ALL],2)/hlookup($A59,표4[#ALL],row(),false)</f>
        <v>0</v>
      </c>
      <c r="V59" s="356">
        <f>CS_PID!V59/VLOOKUP($B59,표2[#ALL],2)/hlookup($A59,표4[#ALL],row(),false)</f>
        <v>0.4736842105</v>
      </c>
      <c r="W59" s="356">
        <f>CS_PID!W59/VLOOKUP($B59,표2[#ALL],2)/hlookup($A59,표4[#ALL],row(),false)</f>
        <v>3.105263158</v>
      </c>
      <c r="X59" s="356">
        <f>CS_PID!X59/VLOOKUP($B59,표2[#ALL],2)/hlookup($A59,표4[#ALL],row(),false)</f>
        <v>1.421052632</v>
      </c>
      <c r="Y59" s="356">
        <f>CS_PID!Y59/VLOOKUP($B59,표2[#ALL],2)/hlookup($A59,표4[#ALL],row(),false)</f>
        <v>0.05263157895</v>
      </c>
      <c r="Z59" s="356">
        <f>CS_PID!Z59/VLOOKUP($B59,표2[#ALL],2)/hlookup($A59,표4[#ALL],row(),false)</f>
        <v>0</v>
      </c>
      <c r="AA59" s="356">
        <f>CS_PID!AA59/VLOOKUP($B59,표2[#ALL],2)/hlookup($A59,표4[#ALL],row(),false)</f>
        <v>0</v>
      </c>
      <c r="AB59" s="356">
        <f>CS_PID!AB59/VLOOKUP($B59,표2[#ALL],2)/hlookup($A59,표4[#ALL],row(),false)</f>
        <v>0.1578947368</v>
      </c>
      <c r="AC59" s="356">
        <f>CS_PID!AC59/VLOOKUP($B59,표2[#ALL],2)/hlookup($A59,표4[#ALL],row(),false)</f>
        <v>2.105263158</v>
      </c>
      <c r="AD59" s="356">
        <f>CS_PID!AD59/VLOOKUP($B59,표2[#ALL],2)/hlookup($A59,표4[#ALL],row(),false)</f>
        <v>0.5789473684</v>
      </c>
      <c r="AE59" s="356">
        <f>CS_PID!AE59/VLOOKUP($B59,표2[#ALL],2)/hlookup($A59,표4[#ALL],row(),false)</f>
        <v>0</v>
      </c>
      <c r="AF59" s="356">
        <f>CS_PID!AF59/VLOOKUP($B59,표2[#ALL],2)/hlookup($A59,표4[#ALL],row(),false)</f>
        <v>0</v>
      </c>
      <c r="AG59" s="356">
        <f>CS_PID!AG59/VLOOKUP($B59,표2[#ALL],2)/hlookup($A59,표4[#ALL],row(),false)</f>
        <v>0</v>
      </c>
      <c r="AH59" s="356">
        <f>CS_PID!AH59/VLOOKUP($B59,표2[#ALL],2)/hlookup($A59,표4[#ALL],row(),false)</f>
        <v>0.2105263158</v>
      </c>
      <c r="AI59" s="356">
        <f>CS_PID!AI59/VLOOKUP($B59,표2[#ALL],2)/hlookup($A59,표4[#ALL],row(),false)</f>
        <v>0.5789473684</v>
      </c>
      <c r="AJ59" s="356">
        <f>CS_PID!AJ59/VLOOKUP($B59,표2[#ALL],2)/hlookup($A59,표4[#ALL],row(),false)</f>
        <v>0.2631578947</v>
      </c>
      <c r="AK59" s="356">
        <f>CS_PID!AK59/VLOOKUP($B59,표2[#ALL],2)/hlookup($A59,표4[#ALL],row(),false)</f>
        <v>0</v>
      </c>
      <c r="AL59" s="356">
        <f>CS_PID!AL59/VLOOKUP($B59,표2[#ALL],2)/hlookup($A59,표4[#ALL],row(),false)</f>
        <v>0</v>
      </c>
      <c r="AM59" s="356">
        <f>CS_PID!AM59/VLOOKUP($B59,표2[#ALL],2)/hlookup($A59,표4[#ALL],row(),false)</f>
        <v>0</v>
      </c>
      <c r="AN59" s="356">
        <f>CS_PID!AN59/VLOOKUP($B59,표2[#ALL],2)/hlookup($A59,표4[#ALL],row(),false)</f>
        <v>0.5789473684</v>
      </c>
      <c r="AO59" s="356">
        <f>CS_PID!AO59/VLOOKUP($B59,표2[#ALL],2)/hlookup($A59,표4[#ALL],row(),false)</f>
        <v>0.1578947368</v>
      </c>
      <c r="AP59" s="356">
        <f>CS_PID!AP59/VLOOKUP($B59,표2[#ALL],2)/hlookup($A59,표4[#ALL],row(),false)</f>
        <v>0</v>
      </c>
      <c r="AQ59" s="356">
        <f>CS_PID!AQ59/VLOOKUP($B59,표2[#ALL],2)/hlookup($A59,표4[#ALL],row(),false)</f>
        <v>0</v>
      </c>
      <c r="AR59" s="356">
        <f>CS_PID!AR59/VLOOKUP($B59,표2[#ALL],2)/hlookup($A59,표4[#ALL],row(),false)</f>
        <v>0.05263157895</v>
      </c>
      <c r="AS59" s="356">
        <f>CS_PID!AS59/VLOOKUP($B59,표2[#ALL],2)/hlookup($A59,표4[#ALL],row(),false)</f>
        <v>0</v>
      </c>
    </row>
    <row r="60">
      <c r="A60" s="165" t="s">
        <v>82</v>
      </c>
      <c r="B60" s="166">
        <v>327.0</v>
      </c>
      <c r="C60" s="356">
        <f>CS_PID!C60/VLOOKUP($B60,표2[#ALL],2)/hlookup($A60,표4[#ALL],row(),false)</f>
        <v>0</v>
      </c>
      <c r="D60" s="356">
        <f>CS_PID!D60/VLOOKUP($B60,표2[#ALL],2)/hlookup($A60,표4[#ALL],row(),false)</f>
        <v>0.04</v>
      </c>
      <c r="E60" s="356">
        <f>CS_PID!E60/VLOOKUP($B60,표2[#ALL],2)/hlookup($A60,표4[#ALL],row(),false)</f>
        <v>0.52</v>
      </c>
      <c r="F60" s="356">
        <f>CS_PID!F60/VLOOKUP($B60,표2[#ALL],2)/hlookup($A60,표4[#ALL],row(),false)</f>
        <v>0.72</v>
      </c>
      <c r="G60" s="356">
        <f>CS_PID!G60/VLOOKUP($B60,표2[#ALL],2)/hlookup($A60,표4[#ALL],row(),false)</f>
        <v>0.04</v>
      </c>
      <c r="H60" s="356">
        <f>CS_PID!H60/VLOOKUP($B60,표2[#ALL],2)/hlookup($A60,표4[#ALL],row(),false)</f>
        <v>0</v>
      </c>
      <c r="I60" s="356">
        <f>CS_PID!I60/VLOOKUP($B60,표2[#ALL],2)/hlookup($A60,표4[#ALL],row(),false)</f>
        <v>0</v>
      </c>
      <c r="J60" s="356">
        <f>CS_PID!J60/VLOOKUP($B60,표2[#ALL],2)/hlookup($A60,표4[#ALL],row(),false)</f>
        <v>2.08</v>
      </c>
      <c r="K60" s="356">
        <f>CS_PID!K60/VLOOKUP($B60,표2[#ALL],2)/hlookup($A60,표4[#ALL],row(),false)</f>
        <v>1.96</v>
      </c>
      <c r="L60" s="356">
        <f>CS_PID!L60/VLOOKUP($B60,표2[#ALL],2)/hlookup($A60,표4[#ALL],row(),false)</f>
        <v>0.52</v>
      </c>
      <c r="M60" s="356">
        <f>CS_PID!M60/VLOOKUP($B60,표2[#ALL],2)/hlookup($A60,표4[#ALL],row(),false)</f>
        <v>0</v>
      </c>
      <c r="N60" s="356">
        <f>CS_PID!N60/VLOOKUP($B60,표2[#ALL],2)/hlookup($A60,표4[#ALL],row(),false)</f>
        <v>0</v>
      </c>
      <c r="O60" s="356">
        <f>CS_PID!O60/VLOOKUP($B60,표2[#ALL],2)/hlookup($A60,표4[#ALL],row(),false)</f>
        <v>0.12</v>
      </c>
      <c r="P60" s="356">
        <f>CS_PID!P60/VLOOKUP($B60,표2[#ALL],2)/hlookup($A60,표4[#ALL],row(),false)</f>
        <v>0.88</v>
      </c>
      <c r="Q60" s="356">
        <f>CS_PID!Q60/VLOOKUP($B60,표2[#ALL],2)/hlookup($A60,표4[#ALL],row(),false)</f>
        <v>4.68</v>
      </c>
      <c r="R60" s="356">
        <f>CS_PID!R60/VLOOKUP($B60,표2[#ALL],2)/hlookup($A60,표4[#ALL],row(),false)</f>
        <v>1</v>
      </c>
      <c r="S60" s="356">
        <f>CS_PID!S60/VLOOKUP($B60,표2[#ALL],2)/hlookup($A60,표4[#ALL],row(),false)</f>
        <v>0.04</v>
      </c>
      <c r="T60" s="356">
        <f>CS_PID!T60/VLOOKUP($B60,표2[#ALL],2)/hlookup($A60,표4[#ALL],row(),false)</f>
        <v>0</v>
      </c>
      <c r="U60" s="356">
        <f>CS_PID!U60/VLOOKUP($B60,표2[#ALL],2)/hlookup($A60,표4[#ALL],row(),false)</f>
        <v>0</v>
      </c>
      <c r="V60" s="356">
        <f>CS_PID!V60/VLOOKUP($B60,표2[#ALL],2)/hlookup($A60,표4[#ALL],row(),false)</f>
        <v>0.6</v>
      </c>
      <c r="W60" s="356">
        <f>CS_PID!W60/VLOOKUP($B60,표2[#ALL],2)/hlookup($A60,표4[#ALL],row(),false)</f>
        <v>3.72</v>
      </c>
      <c r="X60" s="356">
        <f>CS_PID!X60/VLOOKUP($B60,표2[#ALL],2)/hlookup($A60,표4[#ALL],row(),false)</f>
        <v>1.92</v>
      </c>
      <c r="Y60" s="356">
        <f>CS_PID!Y60/VLOOKUP($B60,표2[#ALL],2)/hlookup($A60,표4[#ALL],row(),false)</f>
        <v>0.08</v>
      </c>
      <c r="Z60" s="356">
        <f>CS_PID!Z60/VLOOKUP($B60,표2[#ALL],2)/hlookup($A60,표4[#ALL],row(),false)</f>
        <v>0</v>
      </c>
      <c r="AA60" s="356">
        <f>CS_PID!AA60/VLOOKUP($B60,표2[#ALL],2)/hlookup($A60,표4[#ALL],row(),false)</f>
        <v>0.04</v>
      </c>
      <c r="AB60" s="356">
        <f>CS_PID!AB60/VLOOKUP($B60,표2[#ALL],2)/hlookup($A60,표4[#ALL],row(),false)</f>
        <v>0.04</v>
      </c>
      <c r="AC60" s="356">
        <f>CS_PID!AC60/VLOOKUP($B60,표2[#ALL],2)/hlookup($A60,표4[#ALL],row(),false)</f>
        <v>3.52</v>
      </c>
      <c r="AD60" s="356">
        <f>CS_PID!AD60/VLOOKUP($B60,표2[#ALL],2)/hlookup($A60,표4[#ALL],row(),false)</f>
        <v>0.68</v>
      </c>
      <c r="AE60" s="356">
        <f>CS_PID!AE60/VLOOKUP($B60,표2[#ALL],2)/hlookup($A60,표4[#ALL],row(),false)</f>
        <v>0.04</v>
      </c>
      <c r="AF60" s="356">
        <f>CS_PID!AF60/VLOOKUP($B60,표2[#ALL],2)/hlookup($A60,표4[#ALL],row(),false)</f>
        <v>0</v>
      </c>
      <c r="AG60" s="356">
        <f>CS_PID!AG60/VLOOKUP($B60,표2[#ALL],2)/hlookup($A60,표4[#ALL],row(),false)</f>
        <v>0</v>
      </c>
      <c r="AH60" s="356">
        <f>CS_PID!AH60/VLOOKUP($B60,표2[#ALL],2)/hlookup($A60,표4[#ALL],row(),false)</f>
        <v>0.32</v>
      </c>
      <c r="AI60" s="356">
        <f>CS_PID!AI60/VLOOKUP($B60,표2[#ALL],2)/hlookup($A60,표4[#ALL],row(),false)</f>
        <v>1.6</v>
      </c>
      <c r="AJ60" s="356">
        <f>CS_PID!AJ60/VLOOKUP($B60,표2[#ALL],2)/hlookup($A60,표4[#ALL],row(),false)</f>
        <v>0.76</v>
      </c>
      <c r="AK60" s="356">
        <f>CS_PID!AK60/VLOOKUP($B60,표2[#ALL],2)/hlookup($A60,표4[#ALL],row(),false)</f>
        <v>0.04</v>
      </c>
      <c r="AL60" s="356">
        <f>CS_PID!AL60/VLOOKUP($B60,표2[#ALL],2)/hlookup($A60,표4[#ALL],row(),false)</f>
        <v>0</v>
      </c>
      <c r="AM60" s="356">
        <f>CS_PID!AM60/VLOOKUP($B60,표2[#ALL],2)/hlookup($A60,표4[#ALL],row(),false)</f>
        <v>0.08</v>
      </c>
      <c r="AN60" s="356">
        <f>CS_PID!AN60/VLOOKUP($B60,표2[#ALL],2)/hlookup($A60,표4[#ALL],row(),false)</f>
        <v>0.68</v>
      </c>
      <c r="AO60" s="356">
        <f>CS_PID!AO60/VLOOKUP($B60,표2[#ALL],2)/hlookup($A60,표4[#ALL],row(),false)</f>
        <v>0.08</v>
      </c>
      <c r="AP60" s="356">
        <f>CS_PID!AP60/VLOOKUP($B60,표2[#ALL],2)/hlookup($A60,표4[#ALL],row(),false)</f>
        <v>0</v>
      </c>
      <c r="AQ60" s="356">
        <f>CS_PID!AQ60/VLOOKUP($B60,표2[#ALL],2)/hlookup($A60,표4[#ALL],row(),false)</f>
        <v>0.04</v>
      </c>
      <c r="AR60" s="356">
        <f>CS_PID!AR60/VLOOKUP($B60,표2[#ALL],2)/hlookup($A60,표4[#ALL],row(),false)</f>
        <v>0.04</v>
      </c>
      <c r="AS60" s="356">
        <f>CS_PID!AS60/VLOOKUP($B60,표2[#ALL],2)/hlookup($A60,표4[#ALL],row(),false)</f>
        <v>0</v>
      </c>
    </row>
    <row r="61">
      <c r="A61" s="165" t="s">
        <v>82</v>
      </c>
      <c r="B61" s="166">
        <v>328.0</v>
      </c>
      <c r="C61" s="356">
        <f>CS_PID!C61/VLOOKUP($B61,표2[#ALL],2)/hlookup($A61,표4[#ALL],row(),false)</f>
        <v>0.02857142857</v>
      </c>
      <c r="D61" s="356">
        <f>CS_PID!D61/VLOOKUP($B61,표2[#ALL],2)/hlookup($A61,표4[#ALL],row(),false)</f>
        <v>0.05714285714</v>
      </c>
      <c r="E61" s="356">
        <f>CS_PID!E61/VLOOKUP($B61,표2[#ALL],2)/hlookup($A61,표4[#ALL],row(),false)</f>
        <v>0.4857142857</v>
      </c>
      <c r="F61" s="356">
        <f>CS_PID!F61/VLOOKUP($B61,표2[#ALL],2)/hlookup($A61,표4[#ALL],row(),false)</f>
        <v>1.057142857</v>
      </c>
      <c r="G61" s="356">
        <f>CS_PID!G61/VLOOKUP($B61,표2[#ALL],2)/hlookup($A61,표4[#ALL],row(),false)</f>
        <v>0.08571428571</v>
      </c>
      <c r="H61" s="356">
        <f>CS_PID!H61/VLOOKUP($B61,표2[#ALL],2)/hlookup($A61,표4[#ALL],row(),false)</f>
        <v>0.05714285714</v>
      </c>
      <c r="I61" s="356">
        <f>CS_PID!I61/VLOOKUP($B61,표2[#ALL],2)/hlookup($A61,표4[#ALL],row(),false)</f>
        <v>0</v>
      </c>
      <c r="J61" s="356">
        <f>CS_PID!J61/VLOOKUP($B61,표2[#ALL],2)/hlookup($A61,표4[#ALL],row(),false)</f>
        <v>1.771428571</v>
      </c>
      <c r="K61" s="356">
        <f>CS_PID!K61/VLOOKUP($B61,표2[#ALL],2)/hlookup($A61,표4[#ALL],row(),false)</f>
        <v>2.285714286</v>
      </c>
      <c r="L61" s="356">
        <f>CS_PID!L61/VLOOKUP($B61,표2[#ALL],2)/hlookup($A61,표4[#ALL],row(),false)</f>
        <v>0.4857142857</v>
      </c>
      <c r="M61" s="356">
        <f>CS_PID!M61/VLOOKUP($B61,표2[#ALL],2)/hlookup($A61,표4[#ALL],row(),false)</f>
        <v>0</v>
      </c>
      <c r="N61" s="356">
        <f>CS_PID!N61/VLOOKUP($B61,표2[#ALL],2)/hlookup($A61,표4[#ALL],row(),false)</f>
        <v>0</v>
      </c>
      <c r="O61" s="356">
        <f>CS_PID!O61/VLOOKUP($B61,표2[#ALL],2)/hlookup($A61,표4[#ALL],row(),false)</f>
        <v>0</v>
      </c>
      <c r="P61" s="356">
        <f>CS_PID!P61/VLOOKUP($B61,표2[#ALL],2)/hlookup($A61,표4[#ALL],row(),false)</f>
        <v>1.2</v>
      </c>
      <c r="Q61" s="356">
        <f>CS_PID!Q61/VLOOKUP($B61,표2[#ALL],2)/hlookup($A61,표4[#ALL],row(),false)</f>
        <v>4.771428571</v>
      </c>
      <c r="R61" s="356">
        <f>CS_PID!R61/VLOOKUP($B61,표2[#ALL],2)/hlookup($A61,표4[#ALL],row(),false)</f>
        <v>1</v>
      </c>
      <c r="S61" s="356">
        <f>CS_PID!S61/VLOOKUP($B61,표2[#ALL],2)/hlookup($A61,표4[#ALL],row(),false)</f>
        <v>0.02857142857</v>
      </c>
      <c r="T61" s="356">
        <f>CS_PID!T61/VLOOKUP($B61,표2[#ALL],2)/hlookup($A61,표4[#ALL],row(),false)</f>
        <v>0</v>
      </c>
      <c r="U61" s="356">
        <f>CS_PID!U61/VLOOKUP($B61,표2[#ALL],2)/hlookup($A61,표4[#ALL],row(),false)</f>
        <v>0.05714285714</v>
      </c>
      <c r="V61" s="356">
        <f>CS_PID!V61/VLOOKUP($B61,표2[#ALL],2)/hlookup($A61,표4[#ALL],row(),false)</f>
        <v>0.6571428571</v>
      </c>
      <c r="W61" s="356">
        <f>CS_PID!W61/VLOOKUP($B61,표2[#ALL],2)/hlookup($A61,표4[#ALL],row(),false)</f>
        <v>4.228571429</v>
      </c>
      <c r="X61" s="356">
        <f>CS_PID!X61/VLOOKUP($B61,표2[#ALL],2)/hlookup($A61,표4[#ALL],row(),false)</f>
        <v>2.114285714</v>
      </c>
      <c r="Y61" s="356">
        <f>CS_PID!Y61/VLOOKUP($B61,표2[#ALL],2)/hlookup($A61,표4[#ALL],row(),false)</f>
        <v>0.05714285714</v>
      </c>
      <c r="Z61" s="356">
        <f>CS_PID!Z61/VLOOKUP($B61,표2[#ALL],2)/hlookup($A61,표4[#ALL],row(),false)</f>
        <v>0</v>
      </c>
      <c r="AA61" s="356">
        <f>CS_PID!AA61/VLOOKUP($B61,표2[#ALL],2)/hlookup($A61,표4[#ALL],row(),false)</f>
        <v>0</v>
      </c>
      <c r="AB61" s="356">
        <f>CS_PID!AB61/VLOOKUP($B61,표2[#ALL],2)/hlookup($A61,표4[#ALL],row(),false)</f>
        <v>0.05714285714</v>
      </c>
      <c r="AC61" s="356">
        <f>CS_PID!AC61/VLOOKUP($B61,표2[#ALL],2)/hlookup($A61,표4[#ALL],row(),false)</f>
        <v>3.428571429</v>
      </c>
      <c r="AD61" s="356">
        <f>CS_PID!AD61/VLOOKUP($B61,표2[#ALL],2)/hlookup($A61,표4[#ALL],row(),false)</f>
        <v>1.2</v>
      </c>
      <c r="AE61" s="356">
        <f>CS_PID!AE61/VLOOKUP($B61,표2[#ALL],2)/hlookup($A61,표4[#ALL],row(),false)</f>
        <v>0.08571428571</v>
      </c>
      <c r="AF61" s="356">
        <f>CS_PID!AF61/VLOOKUP($B61,표2[#ALL],2)/hlookup($A61,표4[#ALL],row(),false)</f>
        <v>0</v>
      </c>
      <c r="AG61" s="356">
        <f>CS_PID!AG61/VLOOKUP($B61,표2[#ALL],2)/hlookup($A61,표4[#ALL],row(),false)</f>
        <v>0</v>
      </c>
      <c r="AH61" s="356">
        <f>CS_PID!AH61/VLOOKUP($B61,표2[#ALL],2)/hlookup($A61,표4[#ALL],row(),false)</f>
        <v>0.08571428571</v>
      </c>
      <c r="AI61" s="356">
        <f>CS_PID!AI61/VLOOKUP($B61,표2[#ALL],2)/hlookup($A61,표4[#ALL],row(),false)</f>
        <v>2.114285714</v>
      </c>
      <c r="AJ61" s="356">
        <f>CS_PID!AJ61/VLOOKUP($B61,표2[#ALL],2)/hlookup($A61,표4[#ALL],row(),false)</f>
        <v>0.9714285714</v>
      </c>
      <c r="AK61" s="356">
        <f>CS_PID!AK61/VLOOKUP($B61,표2[#ALL],2)/hlookup($A61,표4[#ALL],row(),false)</f>
        <v>0</v>
      </c>
      <c r="AL61" s="356">
        <f>CS_PID!AL61/VLOOKUP($B61,표2[#ALL],2)/hlookup($A61,표4[#ALL],row(),false)</f>
        <v>0</v>
      </c>
      <c r="AM61" s="356">
        <f>CS_PID!AM61/VLOOKUP($B61,표2[#ALL],2)/hlookup($A61,표4[#ALL],row(),false)</f>
        <v>0.05714285714</v>
      </c>
      <c r="AN61" s="356">
        <f>CS_PID!AN61/VLOOKUP($B61,표2[#ALL],2)/hlookup($A61,표4[#ALL],row(),false)</f>
        <v>0.9142857143</v>
      </c>
      <c r="AO61" s="356">
        <f>CS_PID!AO61/VLOOKUP($B61,표2[#ALL],2)/hlookup($A61,표4[#ALL],row(),false)</f>
        <v>0.05714285714</v>
      </c>
      <c r="AP61" s="356">
        <f>CS_PID!AP61/VLOOKUP($B61,표2[#ALL],2)/hlookup($A61,표4[#ALL],row(),false)</f>
        <v>0</v>
      </c>
      <c r="AQ61" s="356">
        <f>CS_PID!AQ61/VLOOKUP($B61,표2[#ALL],2)/hlookup($A61,표4[#ALL],row(),false)</f>
        <v>0</v>
      </c>
      <c r="AR61" s="356">
        <f>CS_PID!AR61/VLOOKUP($B61,표2[#ALL],2)/hlookup($A61,표4[#ALL],row(),false)</f>
        <v>0.05714285714</v>
      </c>
      <c r="AS61" s="356">
        <f>CS_PID!AS61/VLOOKUP($B61,표2[#ALL],2)/hlookup($A61,표4[#ALL],row(),false)</f>
        <v>0</v>
      </c>
    </row>
    <row r="62">
      <c r="A62" s="165" t="s">
        <v>82</v>
      </c>
      <c r="B62" s="166">
        <v>329.0</v>
      </c>
      <c r="C62" s="356">
        <f>CS_PID!C62/VLOOKUP($B62,표2[#ALL],2)/hlookup($A62,표4[#ALL],row(),false)</f>
        <v>0.02040816327</v>
      </c>
      <c r="D62" s="356">
        <f>CS_PID!D62/VLOOKUP($B62,표2[#ALL],2)/hlookup($A62,표4[#ALL],row(),false)</f>
        <v>0.02040816327</v>
      </c>
      <c r="E62" s="356">
        <f>CS_PID!E62/VLOOKUP($B62,표2[#ALL],2)/hlookup($A62,표4[#ALL],row(),false)</f>
        <v>0.5306122449</v>
      </c>
      <c r="F62" s="356">
        <f>CS_PID!F62/VLOOKUP($B62,표2[#ALL],2)/hlookup($A62,표4[#ALL],row(),false)</f>
        <v>0.6530612245</v>
      </c>
      <c r="G62" s="356">
        <f>CS_PID!G62/VLOOKUP($B62,표2[#ALL],2)/hlookup($A62,표4[#ALL],row(),false)</f>
        <v>0</v>
      </c>
      <c r="H62" s="356">
        <f>CS_PID!H62/VLOOKUP($B62,표2[#ALL],2)/hlookup($A62,표4[#ALL],row(),false)</f>
        <v>0</v>
      </c>
      <c r="I62" s="356">
        <f>CS_PID!I62/VLOOKUP($B62,표2[#ALL],2)/hlookup($A62,표4[#ALL],row(),false)</f>
        <v>0</v>
      </c>
      <c r="J62" s="356">
        <f>CS_PID!J62/VLOOKUP($B62,표2[#ALL],2)/hlookup($A62,표4[#ALL],row(),false)</f>
        <v>1.857142857</v>
      </c>
      <c r="K62" s="356">
        <f>CS_PID!K62/VLOOKUP($B62,표2[#ALL],2)/hlookup($A62,표4[#ALL],row(),false)</f>
        <v>1.816326531</v>
      </c>
      <c r="L62" s="356">
        <f>CS_PID!L62/VLOOKUP($B62,표2[#ALL],2)/hlookup($A62,표4[#ALL],row(),false)</f>
        <v>0.4489795918</v>
      </c>
      <c r="M62" s="356">
        <f>CS_PID!M62/VLOOKUP($B62,표2[#ALL],2)/hlookup($A62,표4[#ALL],row(),false)</f>
        <v>0</v>
      </c>
      <c r="N62" s="356">
        <f>CS_PID!N62/VLOOKUP($B62,표2[#ALL],2)/hlookup($A62,표4[#ALL],row(),false)</f>
        <v>0</v>
      </c>
      <c r="O62" s="356">
        <f>CS_PID!O62/VLOOKUP($B62,표2[#ALL],2)/hlookup($A62,표4[#ALL],row(),false)</f>
        <v>0.04081632653</v>
      </c>
      <c r="P62" s="356">
        <f>CS_PID!P62/VLOOKUP($B62,표2[#ALL],2)/hlookup($A62,표4[#ALL],row(),false)</f>
        <v>1.040816327</v>
      </c>
      <c r="Q62" s="356">
        <f>CS_PID!Q62/VLOOKUP($B62,표2[#ALL],2)/hlookup($A62,표4[#ALL],row(),false)</f>
        <v>3.612244898</v>
      </c>
      <c r="R62" s="356">
        <f>CS_PID!R62/VLOOKUP($B62,표2[#ALL],2)/hlookup($A62,표4[#ALL],row(),false)</f>
        <v>1</v>
      </c>
      <c r="S62" s="356">
        <f>CS_PID!S62/VLOOKUP($B62,표2[#ALL],2)/hlookup($A62,표4[#ALL],row(),false)</f>
        <v>0</v>
      </c>
      <c r="T62" s="356">
        <f>CS_PID!T62/VLOOKUP($B62,표2[#ALL],2)/hlookup($A62,표4[#ALL],row(),false)</f>
        <v>0</v>
      </c>
      <c r="U62" s="356">
        <f>CS_PID!U62/VLOOKUP($B62,표2[#ALL],2)/hlookup($A62,표4[#ALL],row(),false)</f>
        <v>0</v>
      </c>
      <c r="V62" s="356">
        <f>CS_PID!V62/VLOOKUP($B62,표2[#ALL],2)/hlookup($A62,표4[#ALL],row(),false)</f>
        <v>0.4693877551</v>
      </c>
      <c r="W62" s="356">
        <f>CS_PID!W62/VLOOKUP($B62,표2[#ALL],2)/hlookup($A62,표4[#ALL],row(),false)</f>
        <v>3</v>
      </c>
      <c r="X62" s="356">
        <f>CS_PID!X62/VLOOKUP($B62,표2[#ALL],2)/hlookup($A62,표4[#ALL],row(),false)</f>
        <v>1.591836735</v>
      </c>
      <c r="Y62" s="356">
        <f>CS_PID!Y62/VLOOKUP($B62,표2[#ALL],2)/hlookup($A62,표4[#ALL],row(),false)</f>
        <v>0.02040816327</v>
      </c>
      <c r="Z62" s="356">
        <f>CS_PID!Z62/VLOOKUP($B62,표2[#ALL],2)/hlookup($A62,표4[#ALL],row(),false)</f>
        <v>0</v>
      </c>
      <c r="AA62" s="356">
        <f>CS_PID!AA62/VLOOKUP($B62,표2[#ALL],2)/hlookup($A62,표4[#ALL],row(),false)</f>
        <v>0</v>
      </c>
      <c r="AB62" s="356">
        <f>CS_PID!AB62/VLOOKUP($B62,표2[#ALL],2)/hlookup($A62,표4[#ALL],row(),false)</f>
        <v>0.1224489796</v>
      </c>
      <c r="AC62" s="356">
        <f>CS_PID!AC62/VLOOKUP($B62,표2[#ALL],2)/hlookup($A62,표4[#ALL],row(),false)</f>
        <v>2.714285714</v>
      </c>
      <c r="AD62" s="356">
        <f>CS_PID!AD62/VLOOKUP($B62,표2[#ALL],2)/hlookup($A62,표4[#ALL],row(),false)</f>
        <v>0.693877551</v>
      </c>
      <c r="AE62" s="356">
        <f>CS_PID!AE62/VLOOKUP($B62,표2[#ALL],2)/hlookup($A62,표4[#ALL],row(),false)</f>
        <v>0</v>
      </c>
      <c r="AF62" s="356">
        <f>CS_PID!AF62/VLOOKUP($B62,표2[#ALL],2)/hlookup($A62,표4[#ALL],row(),false)</f>
        <v>0</v>
      </c>
      <c r="AG62" s="356">
        <f>CS_PID!AG62/VLOOKUP($B62,표2[#ALL],2)/hlookup($A62,표4[#ALL],row(),false)</f>
        <v>0</v>
      </c>
      <c r="AH62" s="356">
        <f>CS_PID!AH62/VLOOKUP($B62,표2[#ALL],2)/hlookup($A62,표4[#ALL],row(),false)</f>
        <v>0.1020408163</v>
      </c>
      <c r="AI62" s="356">
        <f>CS_PID!AI62/VLOOKUP($B62,표2[#ALL],2)/hlookup($A62,표4[#ALL],row(),false)</f>
        <v>1.285714286</v>
      </c>
      <c r="AJ62" s="356">
        <f>CS_PID!AJ62/VLOOKUP($B62,표2[#ALL],2)/hlookup($A62,표4[#ALL],row(),false)</f>
        <v>0.4489795918</v>
      </c>
      <c r="AK62" s="356">
        <f>CS_PID!AK62/VLOOKUP($B62,표2[#ALL],2)/hlookup($A62,표4[#ALL],row(),false)</f>
        <v>0.02040816327</v>
      </c>
      <c r="AL62" s="356">
        <f>CS_PID!AL62/VLOOKUP($B62,표2[#ALL],2)/hlookup($A62,표4[#ALL],row(),false)</f>
        <v>0</v>
      </c>
      <c r="AM62" s="356">
        <f>CS_PID!AM62/VLOOKUP($B62,표2[#ALL],2)/hlookup($A62,표4[#ALL],row(),false)</f>
        <v>0.08163265306</v>
      </c>
      <c r="AN62" s="356">
        <f>CS_PID!AN62/VLOOKUP($B62,표2[#ALL],2)/hlookup($A62,표4[#ALL],row(),false)</f>
        <v>0.612244898</v>
      </c>
      <c r="AO62" s="356">
        <f>CS_PID!AO62/VLOOKUP($B62,표2[#ALL],2)/hlookup($A62,표4[#ALL],row(),false)</f>
        <v>0.08163265306</v>
      </c>
      <c r="AP62" s="356">
        <f>CS_PID!AP62/VLOOKUP($B62,표2[#ALL],2)/hlookup($A62,표4[#ALL],row(),false)</f>
        <v>0</v>
      </c>
      <c r="AQ62" s="356">
        <f>CS_PID!AQ62/VLOOKUP($B62,표2[#ALL],2)/hlookup($A62,표4[#ALL],row(),false)</f>
        <v>0</v>
      </c>
      <c r="AR62" s="356">
        <f>CS_PID!AR62/VLOOKUP($B62,표2[#ALL],2)/hlookup($A62,표4[#ALL],row(),false)</f>
        <v>0.0612244898</v>
      </c>
      <c r="AS62" s="356">
        <f>CS_PID!AS62/VLOOKUP($B62,표2[#ALL],2)/hlookup($A62,표4[#ALL],row(),false)</f>
        <v>0</v>
      </c>
    </row>
    <row r="63">
      <c r="A63" s="165" t="s">
        <v>82</v>
      </c>
      <c r="B63" s="166">
        <v>330.0</v>
      </c>
      <c r="C63" s="356">
        <f>CS_PID!C63/VLOOKUP($B63,표2[#ALL],2)/hlookup($A63,표4[#ALL],row(),false)</f>
        <v>0</v>
      </c>
      <c r="D63" s="356">
        <f>CS_PID!D63/VLOOKUP($B63,표2[#ALL],2)/hlookup($A63,표4[#ALL],row(),false)</f>
        <v>0.04545454545</v>
      </c>
      <c r="E63" s="356">
        <f>CS_PID!E63/VLOOKUP($B63,표2[#ALL],2)/hlookup($A63,표4[#ALL],row(),false)</f>
        <v>0.2272727273</v>
      </c>
      <c r="F63" s="356">
        <f>CS_PID!F63/VLOOKUP($B63,표2[#ALL],2)/hlookup($A63,표4[#ALL],row(),false)</f>
        <v>0.6363636364</v>
      </c>
      <c r="G63" s="356">
        <f>CS_PID!G63/VLOOKUP($B63,표2[#ALL],2)/hlookup($A63,표4[#ALL],row(),false)</f>
        <v>0.04545454545</v>
      </c>
      <c r="H63" s="356">
        <f>CS_PID!H63/VLOOKUP($B63,표2[#ALL],2)/hlookup($A63,표4[#ALL],row(),false)</f>
        <v>0</v>
      </c>
      <c r="I63" s="356">
        <f>CS_PID!I63/VLOOKUP($B63,표2[#ALL],2)/hlookup($A63,표4[#ALL],row(),false)</f>
        <v>0.09090909091</v>
      </c>
      <c r="J63" s="356">
        <f>CS_PID!J63/VLOOKUP($B63,표2[#ALL],2)/hlookup($A63,표4[#ALL],row(),false)</f>
        <v>1.954545455</v>
      </c>
      <c r="K63" s="356">
        <f>CS_PID!K63/VLOOKUP($B63,표2[#ALL],2)/hlookup($A63,표4[#ALL],row(),false)</f>
        <v>1.681818182</v>
      </c>
      <c r="L63" s="356">
        <f>CS_PID!L63/VLOOKUP($B63,표2[#ALL],2)/hlookup($A63,표4[#ALL],row(),false)</f>
        <v>0.2727272727</v>
      </c>
      <c r="M63" s="356">
        <f>CS_PID!M63/VLOOKUP($B63,표2[#ALL],2)/hlookup($A63,표4[#ALL],row(),false)</f>
        <v>0</v>
      </c>
      <c r="N63" s="356">
        <f>CS_PID!N63/VLOOKUP($B63,표2[#ALL],2)/hlookup($A63,표4[#ALL],row(),false)</f>
        <v>0</v>
      </c>
      <c r="O63" s="356">
        <f>CS_PID!O63/VLOOKUP($B63,표2[#ALL],2)/hlookup($A63,표4[#ALL],row(),false)</f>
        <v>0.04545454545</v>
      </c>
      <c r="P63" s="356">
        <f>CS_PID!P63/VLOOKUP($B63,표2[#ALL],2)/hlookup($A63,표4[#ALL],row(),false)</f>
        <v>0.6818181818</v>
      </c>
      <c r="Q63" s="356">
        <f>CS_PID!Q63/VLOOKUP($B63,표2[#ALL],2)/hlookup($A63,표4[#ALL],row(),false)</f>
        <v>3.454545455</v>
      </c>
      <c r="R63" s="356">
        <f>CS_PID!R63/VLOOKUP($B63,표2[#ALL],2)/hlookup($A63,표4[#ALL],row(),false)</f>
        <v>1</v>
      </c>
      <c r="S63" s="356">
        <f>CS_PID!S63/VLOOKUP($B63,표2[#ALL],2)/hlookup($A63,표4[#ALL],row(),false)</f>
        <v>0</v>
      </c>
      <c r="T63" s="356">
        <f>CS_PID!T63/VLOOKUP($B63,표2[#ALL],2)/hlookup($A63,표4[#ALL],row(),false)</f>
        <v>0</v>
      </c>
      <c r="U63" s="356">
        <f>CS_PID!U63/VLOOKUP($B63,표2[#ALL],2)/hlookup($A63,표4[#ALL],row(),false)</f>
        <v>0</v>
      </c>
      <c r="V63" s="356">
        <f>CS_PID!V63/VLOOKUP($B63,표2[#ALL],2)/hlookup($A63,표4[#ALL],row(),false)</f>
        <v>0.2272727273</v>
      </c>
      <c r="W63" s="356">
        <f>CS_PID!W63/VLOOKUP($B63,표2[#ALL],2)/hlookup($A63,표4[#ALL],row(),false)</f>
        <v>2.272727273</v>
      </c>
      <c r="X63" s="356">
        <f>CS_PID!X63/VLOOKUP($B63,표2[#ALL],2)/hlookup($A63,표4[#ALL],row(),false)</f>
        <v>1.318181818</v>
      </c>
      <c r="Y63" s="356">
        <f>CS_PID!Y63/VLOOKUP($B63,표2[#ALL],2)/hlookup($A63,표4[#ALL],row(),false)</f>
        <v>0</v>
      </c>
      <c r="Z63" s="356">
        <f>CS_PID!Z63/VLOOKUP($B63,표2[#ALL],2)/hlookup($A63,표4[#ALL],row(),false)</f>
        <v>0</v>
      </c>
      <c r="AA63" s="356">
        <f>CS_PID!AA63/VLOOKUP($B63,표2[#ALL],2)/hlookup($A63,표4[#ALL],row(),false)</f>
        <v>0</v>
      </c>
      <c r="AB63" s="356">
        <f>CS_PID!AB63/VLOOKUP($B63,표2[#ALL],2)/hlookup($A63,표4[#ALL],row(),false)</f>
        <v>0.1363636364</v>
      </c>
      <c r="AC63" s="356">
        <f>CS_PID!AC63/VLOOKUP($B63,표2[#ALL],2)/hlookup($A63,표4[#ALL],row(),false)</f>
        <v>2.772727273</v>
      </c>
      <c r="AD63" s="356">
        <f>CS_PID!AD63/VLOOKUP($B63,표2[#ALL],2)/hlookup($A63,표4[#ALL],row(),false)</f>
        <v>0.6363636364</v>
      </c>
      <c r="AE63" s="356">
        <f>CS_PID!AE63/VLOOKUP($B63,표2[#ALL],2)/hlookup($A63,표4[#ALL],row(),false)</f>
        <v>0.04545454545</v>
      </c>
      <c r="AF63" s="356">
        <f>CS_PID!AF63/VLOOKUP($B63,표2[#ALL],2)/hlookup($A63,표4[#ALL],row(),false)</f>
        <v>0</v>
      </c>
      <c r="AG63" s="356">
        <f>CS_PID!AG63/VLOOKUP($B63,표2[#ALL],2)/hlookup($A63,표4[#ALL],row(),false)</f>
        <v>0</v>
      </c>
      <c r="AH63" s="356">
        <f>CS_PID!AH63/VLOOKUP($B63,표2[#ALL],2)/hlookup($A63,표4[#ALL],row(),false)</f>
        <v>0.1363636364</v>
      </c>
      <c r="AI63" s="356">
        <f>CS_PID!AI63/VLOOKUP($B63,표2[#ALL],2)/hlookup($A63,표4[#ALL],row(),false)</f>
        <v>0.5454545455</v>
      </c>
      <c r="AJ63" s="356">
        <f>CS_PID!AJ63/VLOOKUP($B63,표2[#ALL],2)/hlookup($A63,표4[#ALL],row(),false)</f>
        <v>0.4090909091</v>
      </c>
      <c r="AK63" s="356">
        <f>CS_PID!AK63/VLOOKUP($B63,표2[#ALL],2)/hlookup($A63,표4[#ALL],row(),false)</f>
        <v>0</v>
      </c>
      <c r="AL63" s="356">
        <f>CS_PID!AL63/VLOOKUP($B63,표2[#ALL],2)/hlookup($A63,표4[#ALL],row(),false)</f>
        <v>0</v>
      </c>
      <c r="AM63" s="356">
        <f>CS_PID!AM63/VLOOKUP($B63,표2[#ALL],2)/hlookup($A63,표4[#ALL],row(),false)</f>
        <v>0</v>
      </c>
      <c r="AN63" s="356">
        <f>CS_PID!AN63/VLOOKUP($B63,표2[#ALL],2)/hlookup($A63,표4[#ALL],row(),false)</f>
        <v>0.5</v>
      </c>
      <c r="AO63" s="356">
        <f>CS_PID!AO63/VLOOKUP($B63,표2[#ALL],2)/hlookup($A63,표4[#ALL],row(),false)</f>
        <v>0</v>
      </c>
      <c r="AP63" s="356">
        <f>CS_PID!AP63/VLOOKUP($B63,표2[#ALL],2)/hlookup($A63,표4[#ALL],row(),false)</f>
        <v>0</v>
      </c>
      <c r="AQ63" s="356">
        <f>CS_PID!AQ63/VLOOKUP($B63,표2[#ALL],2)/hlookup($A63,표4[#ALL],row(),false)</f>
        <v>0</v>
      </c>
      <c r="AR63" s="356">
        <f>CS_PID!AR63/VLOOKUP($B63,표2[#ALL],2)/hlookup($A63,표4[#ALL],row(),false)</f>
        <v>0</v>
      </c>
      <c r="AS63" s="356">
        <f>CS_PID!AS63/VLOOKUP($B63,표2[#ALL],2)/hlookup($A63,표4[#ALL],row(),false)</f>
        <v>0</v>
      </c>
    </row>
    <row r="64">
      <c r="A64" s="165" t="s">
        <v>82</v>
      </c>
      <c r="B64" s="166">
        <v>331.0</v>
      </c>
      <c r="C64" s="356">
        <f>CS_PID!C64/VLOOKUP($B64,표2[#ALL],2)/hlookup($A64,표4[#ALL],row(),false)</f>
        <v>0.008403361345</v>
      </c>
      <c r="D64" s="356">
        <f>CS_PID!D64/VLOOKUP($B64,표2[#ALL],2)/hlookup($A64,표4[#ALL],row(),false)</f>
        <v>0.05042016807</v>
      </c>
      <c r="E64" s="356">
        <f>CS_PID!E64/VLOOKUP($B64,표2[#ALL],2)/hlookup($A64,표4[#ALL],row(),false)</f>
        <v>0.2857142857</v>
      </c>
      <c r="F64" s="356">
        <f>CS_PID!F64/VLOOKUP($B64,표2[#ALL],2)/hlookup($A64,표4[#ALL],row(),false)</f>
        <v>0.7647058824</v>
      </c>
      <c r="G64" s="356">
        <f>CS_PID!G64/VLOOKUP($B64,표2[#ALL],2)/hlookup($A64,표4[#ALL],row(),false)</f>
        <v>0.03361344538</v>
      </c>
      <c r="H64" s="356">
        <f>CS_PID!H64/VLOOKUP($B64,표2[#ALL],2)/hlookup($A64,표4[#ALL],row(),false)</f>
        <v>0.008403361345</v>
      </c>
      <c r="I64" s="356">
        <f>CS_PID!I64/VLOOKUP($B64,표2[#ALL],2)/hlookup($A64,표4[#ALL],row(),false)</f>
        <v>0.02521008403</v>
      </c>
      <c r="J64" s="356">
        <f>CS_PID!J64/VLOOKUP($B64,표2[#ALL],2)/hlookup($A64,표4[#ALL],row(),false)</f>
        <v>1.352941176</v>
      </c>
      <c r="K64" s="356">
        <f>CS_PID!K64/VLOOKUP($B64,표2[#ALL],2)/hlookup($A64,표4[#ALL],row(),false)</f>
        <v>1.705882353</v>
      </c>
      <c r="L64" s="356">
        <f>CS_PID!L64/VLOOKUP($B64,표2[#ALL],2)/hlookup($A64,표4[#ALL],row(),false)</f>
        <v>0.4789915966</v>
      </c>
      <c r="M64" s="356">
        <f>CS_PID!M64/VLOOKUP($B64,표2[#ALL],2)/hlookup($A64,표4[#ALL],row(),false)</f>
        <v>0</v>
      </c>
      <c r="N64" s="356">
        <f>CS_PID!N64/VLOOKUP($B64,표2[#ALL],2)/hlookup($A64,표4[#ALL],row(),false)</f>
        <v>0</v>
      </c>
      <c r="O64" s="356">
        <f>CS_PID!O64/VLOOKUP($B64,표2[#ALL],2)/hlookup($A64,표4[#ALL],row(),false)</f>
        <v>0.02521008403</v>
      </c>
      <c r="P64" s="356">
        <f>CS_PID!P64/VLOOKUP($B64,표2[#ALL],2)/hlookup($A64,표4[#ALL],row(),false)</f>
        <v>0.8235294118</v>
      </c>
      <c r="Q64" s="356">
        <f>CS_PID!Q64/VLOOKUP($B64,표2[#ALL],2)/hlookup($A64,표4[#ALL],row(),false)</f>
        <v>3.672268908</v>
      </c>
      <c r="R64" s="356">
        <f>CS_PID!R64/VLOOKUP($B64,표2[#ALL],2)/hlookup($A64,표4[#ALL],row(),false)</f>
        <v>1</v>
      </c>
      <c r="S64" s="356">
        <f>CS_PID!S64/VLOOKUP($B64,표2[#ALL],2)/hlookup($A64,표4[#ALL],row(),false)</f>
        <v>0.01680672269</v>
      </c>
      <c r="T64" s="356">
        <f>CS_PID!T64/VLOOKUP($B64,표2[#ALL],2)/hlookup($A64,표4[#ALL],row(),false)</f>
        <v>0</v>
      </c>
      <c r="U64" s="356">
        <f>CS_PID!U64/VLOOKUP($B64,표2[#ALL],2)/hlookup($A64,표4[#ALL],row(),false)</f>
        <v>0</v>
      </c>
      <c r="V64" s="356">
        <f>CS_PID!V64/VLOOKUP($B64,표2[#ALL],2)/hlookup($A64,표4[#ALL],row(),false)</f>
        <v>0.512605042</v>
      </c>
      <c r="W64" s="356">
        <f>CS_PID!W64/VLOOKUP($B64,표2[#ALL],2)/hlookup($A64,표4[#ALL],row(),false)</f>
        <v>3.210084034</v>
      </c>
      <c r="X64" s="356">
        <f>CS_PID!X64/VLOOKUP($B64,표2[#ALL],2)/hlookup($A64,표4[#ALL],row(),false)</f>
        <v>1.899159664</v>
      </c>
      <c r="Y64" s="356">
        <f>CS_PID!Y64/VLOOKUP($B64,표2[#ALL],2)/hlookup($A64,표4[#ALL],row(),false)</f>
        <v>0.06722689076</v>
      </c>
      <c r="Z64" s="356">
        <f>CS_PID!Z64/VLOOKUP($B64,표2[#ALL],2)/hlookup($A64,표4[#ALL],row(),false)</f>
        <v>0</v>
      </c>
      <c r="AA64" s="356">
        <f>CS_PID!AA64/VLOOKUP($B64,표2[#ALL],2)/hlookup($A64,표4[#ALL],row(),false)</f>
        <v>0</v>
      </c>
      <c r="AB64" s="356">
        <f>CS_PID!AB64/VLOOKUP($B64,표2[#ALL],2)/hlookup($A64,표4[#ALL],row(),false)</f>
        <v>0.1092436975</v>
      </c>
      <c r="AC64" s="356">
        <f>CS_PID!AC64/VLOOKUP($B64,표2[#ALL],2)/hlookup($A64,표4[#ALL],row(),false)</f>
        <v>2.529411765</v>
      </c>
      <c r="AD64" s="356">
        <f>CS_PID!AD64/VLOOKUP($B64,표2[#ALL],2)/hlookup($A64,표4[#ALL],row(),false)</f>
        <v>0.4789915966</v>
      </c>
      <c r="AE64" s="356">
        <f>CS_PID!AE64/VLOOKUP($B64,표2[#ALL],2)/hlookup($A64,표4[#ALL],row(),false)</f>
        <v>0.02521008403</v>
      </c>
      <c r="AF64" s="356">
        <f>CS_PID!AF64/VLOOKUP($B64,표2[#ALL],2)/hlookup($A64,표4[#ALL],row(),false)</f>
        <v>0</v>
      </c>
      <c r="AG64" s="356">
        <f>CS_PID!AG64/VLOOKUP($B64,표2[#ALL],2)/hlookup($A64,표4[#ALL],row(),false)</f>
        <v>0</v>
      </c>
      <c r="AH64" s="356">
        <f>CS_PID!AH64/VLOOKUP($B64,표2[#ALL],2)/hlookup($A64,표4[#ALL],row(),false)</f>
        <v>0.0756302521</v>
      </c>
      <c r="AI64" s="356">
        <f>CS_PID!AI64/VLOOKUP($B64,표2[#ALL],2)/hlookup($A64,표4[#ALL],row(),false)</f>
        <v>1.042016807</v>
      </c>
      <c r="AJ64" s="356">
        <f>CS_PID!AJ64/VLOOKUP($B64,표2[#ALL],2)/hlookup($A64,표4[#ALL],row(),false)</f>
        <v>0.4705882353</v>
      </c>
      <c r="AK64" s="356">
        <f>CS_PID!AK64/VLOOKUP($B64,표2[#ALL],2)/hlookup($A64,표4[#ALL],row(),false)</f>
        <v>0</v>
      </c>
      <c r="AL64" s="356">
        <f>CS_PID!AL64/VLOOKUP($B64,표2[#ALL],2)/hlookup($A64,표4[#ALL],row(),false)</f>
        <v>0</v>
      </c>
      <c r="AM64" s="356">
        <f>CS_PID!AM64/VLOOKUP($B64,표2[#ALL],2)/hlookup($A64,표4[#ALL],row(),false)</f>
        <v>0.04201680672</v>
      </c>
      <c r="AN64" s="356">
        <f>CS_PID!AN64/VLOOKUP($B64,표2[#ALL],2)/hlookup($A64,표4[#ALL],row(),false)</f>
        <v>0.8403361345</v>
      </c>
      <c r="AO64" s="356">
        <f>CS_PID!AO64/VLOOKUP($B64,표2[#ALL],2)/hlookup($A64,표4[#ALL],row(),false)</f>
        <v>0.1008403361</v>
      </c>
      <c r="AP64" s="356">
        <f>CS_PID!AP64/VLOOKUP($B64,표2[#ALL],2)/hlookup($A64,표4[#ALL],row(),false)</f>
        <v>0</v>
      </c>
      <c r="AQ64" s="356">
        <f>CS_PID!AQ64/VLOOKUP($B64,표2[#ALL],2)/hlookup($A64,표4[#ALL],row(),false)</f>
        <v>0.01680672269</v>
      </c>
      <c r="AR64" s="356">
        <f>CS_PID!AR64/VLOOKUP($B64,표2[#ALL],2)/hlookup($A64,표4[#ALL],row(),false)</f>
        <v>0.05042016807</v>
      </c>
      <c r="AS64" s="356">
        <f>CS_PID!AS64/VLOOKUP($B64,표2[#ALL],2)/hlookup($A64,표4[#ALL],row(),false)</f>
        <v>0.008403361345</v>
      </c>
    </row>
    <row r="65">
      <c r="A65" s="165" t="s">
        <v>82</v>
      </c>
      <c r="B65" s="166">
        <v>332.0</v>
      </c>
      <c r="C65" s="356">
        <f>CS_PID!C65/VLOOKUP($B65,표2[#ALL],2)/hlookup($A65,표4[#ALL],row(),false)</f>
        <v>0</v>
      </c>
      <c r="D65" s="356">
        <f>CS_PID!D65/VLOOKUP($B65,표2[#ALL],2)/hlookup($A65,표4[#ALL],row(),false)</f>
        <v>0</v>
      </c>
      <c r="E65" s="356">
        <f>CS_PID!E65/VLOOKUP($B65,표2[#ALL],2)/hlookup($A65,표4[#ALL],row(),false)</f>
        <v>0.1111111111</v>
      </c>
      <c r="F65" s="356">
        <f>CS_PID!F65/VLOOKUP($B65,표2[#ALL],2)/hlookup($A65,표4[#ALL],row(),false)</f>
        <v>1.333333333</v>
      </c>
      <c r="G65" s="356">
        <f>CS_PID!G65/VLOOKUP($B65,표2[#ALL],2)/hlookup($A65,표4[#ALL],row(),false)</f>
        <v>0</v>
      </c>
      <c r="H65" s="356">
        <f>CS_PID!H65/VLOOKUP($B65,표2[#ALL],2)/hlookup($A65,표4[#ALL],row(),false)</f>
        <v>0.1111111111</v>
      </c>
      <c r="I65" s="356">
        <f>CS_PID!I65/VLOOKUP($B65,표2[#ALL],2)/hlookup($A65,표4[#ALL],row(),false)</f>
        <v>0</v>
      </c>
      <c r="J65" s="356">
        <f>CS_PID!J65/VLOOKUP($B65,표2[#ALL],2)/hlookup($A65,표4[#ALL],row(),false)</f>
        <v>0.6666666667</v>
      </c>
      <c r="K65" s="356">
        <f>CS_PID!K65/VLOOKUP($B65,표2[#ALL],2)/hlookup($A65,표4[#ALL],row(),false)</f>
        <v>0.8888888889</v>
      </c>
      <c r="L65" s="356">
        <f>CS_PID!L65/VLOOKUP($B65,표2[#ALL],2)/hlookup($A65,표4[#ALL],row(),false)</f>
        <v>0.4444444444</v>
      </c>
      <c r="M65" s="356">
        <f>CS_PID!M65/VLOOKUP($B65,표2[#ALL],2)/hlookup($A65,표4[#ALL],row(),false)</f>
        <v>0</v>
      </c>
      <c r="N65" s="356">
        <f>CS_PID!N65/VLOOKUP($B65,표2[#ALL],2)/hlookup($A65,표4[#ALL],row(),false)</f>
        <v>0</v>
      </c>
      <c r="O65" s="356">
        <f>CS_PID!O65/VLOOKUP($B65,표2[#ALL],2)/hlookup($A65,표4[#ALL],row(),false)</f>
        <v>0</v>
      </c>
      <c r="P65" s="356">
        <f>CS_PID!P65/VLOOKUP($B65,표2[#ALL],2)/hlookup($A65,표4[#ALL],row(),false)</f>
        <v>1</v>
      </c>
      <c r="Q65" s="356">
        <f>CS_PID!Q65/VLOOKUP($B65,표2[#ALL],2)/hlookup($A65,표4[#ALL],row(),false)</f>
        <v>3.555555556</v>
      </c>
      <c r="R65" s="356">
        <f>CS_PID!R65/VLOOKUP($B65,표2[#ALL],2)/hlookup($A65,표4[#ALL],row(),false)</f>
        <v>1</v>
      </c>
      <c r="S65" s="356">
        <f>CS_PID!S65/VLOOKUP($B65,표2[#ALL],2)/hlookup($A65,표4[#ALL],row(),false)</f>
        <v>0</v>
      </c>
      <c r="T65" s="356">
        <f>CS_PID!T65/VLOOKUP($B65,표2[#ALL],2)/hlookup($A65,표4[#ALL],row(),false)</f>
        <v>0</v>
      </c>
      <c r="U65" s="356">
        <f>CS_PID!U65/VLOOKUP($B65,표2[#ALL],2)/hlookup($A65,표4[#ALL],row(),false)</f>
        <v>0</v>
      </c>
      <c r="V65" s="356">
        <f>CS_PID!V65/VLOOKUP($B65,표2[#ALL],2)/hlookup($A65,표4[#ALL],row(),false)</f>
        <v>0.2222222222</v>
      </c>
      <c r="W65" s="356">
        <f>CS_PID!W65/VLOOKUP($B65,표2[#ALL],2)/hlookup($A65,표4[#ALL],row(),false)</f>
        <v>4.444444444</v>
      </c>
      <c r="X65" s="356">
        <f>CS_PID!X65/VLOOKUP($B65,표2[#ALL],2)/hlookup($A65,표4[#ALL],row(),false)</f>
        <v>1.444444444</v>
      </c>
      <c r="Y65" s="356">
        <f>CS_PID!Y65/VLOOKUP($B65,표2[#ALL],2)/hlookup($A65,표4[#ALL],row(),false)</f>
        <v>0.1111111111</v>
      </c>
      <c r="Z65" s="356">
        <f>CS_PID!Z65/VLOOKUP($B65,표2[#ALL],2)/hlookup($A65,표4[#ALL],row(),false)</f>
        <v>0</v>
      </c>
      <c r="AA65" s="356">
        <f>CS_PID!AA65/VLOOKUP($B65,표2[#ALL],2)/hlookup($A65,표4[#ALL],row(),false)</f>
        <v>0</v>
      </c>
      <c r="AB65" s="356">
        <f>CS_PID!AB65/VLOOKUP($B65,표2[#ALL],2)/hlookup($A65,표4[#ALL],row(),false)</f>
        <v>0</v>
      </c>
      <c r="AC65" s="356">
        <f>CS_PID!AC65/VLOOKUP($B65,표2[#ALL],2)/hlookup($A65,표4[#ALL],row(),false)</f>
        <v>2.333333333</v>
      </c>
      <c r="AD65" s="356">
        <f>CS_PID!AD65/VLOOKUP($B65,표2[#ALL],2)/hlookup($A65,표4[#ALL],row(),false)</f>
        <v>0.7777777778</v>
      </c>
      <c r="AE65" s="356">
        <f>CS_PID!AE65/VLOOKUP($B65,표2[#ALL],2)/hlookup($A65,표4[#ALL],row(),false)</f>
        <v>0</v>
      </c>
      <c r="AF65" s="356">
        <f>CS_PID!AF65/VLOOKUP($B65,표2[#ALL],2)/hlookup($A65,표4[#ALL],row(),false)</f>
        <v>0</v>
      </c>
      <c r="AG65" s="356">
        <f>CS_PID!AG65/VLOOKUP($B65,표2[#ALL],2)/hlookup($A65,표4[#ALL],row(),false)</f>
        <v>0</v>
      </c>
      <c r="AH65" s="356">
        <f>CS_PID!AH65/VLOOKUP($B65,표2[#ALL],2)/hlookup($A65,표4[#ALL],row(),false)</f>
        <v>0.1111111111</v>
      </c>
      <c r="AI65" s="356">
        <f>CS_PID!AI65/VLOOKUP($B65,표2[#ALL],2)/hlookup($A65,표4[#ALL],row(),false)</f>
        <v>1.111111111</v>
      </c>
      <c r="AJ65" s="356">
        <f>CS_PID!AJ65/VLOOKUP($B65,표2[#ALL],2)/hlookup($A65,표4[#ALL],row(),false)</f>
        <v>0.5555555556</v>
      </c>
      <c r="AK65" s="356">
        <f>CS_PID!AK65/VLOOKUP($B65,표2[#ALL],2)/hlookup($A65,표4[#ALL],row(),false)</f>
        <v>0</v>
      </c>
      <c r="AL65" s="356">
        <f>CS_PID!AL65/VLOOKUP($B65,표2[#ALL],2)/hlookup($A65,표4[#ALL],row(),false)</f>
        <v>0</v>
      </c>
      <c r="AM65" s="356">
        <f>CS_PID!AM65/VLOOKUP($B65,표2[#ALL],2)/hlookup($A65,표4[#ALL],row(),false)</f>
        <v>0.1111111111</v>
      </c>
      <c r="AN65" s="356">
        <f>CS_PID!AN65/VLOOKUP($B65,표2[#ALL],2)/hlookup($A65,표4[#ALL],row(),false)</f>
        <v>1.111111111</v>
      </c>
      <c r="AO65" s="356">
        <f>CS_PID!AO65/VLOOKUP($B65,표2[#ALL],2)/hlookup($A65,표4[#ALL],row(),false)</f>
        <v>0</v>
      </c>
      <c r="AP65" s="356">
        <f>CS_PID!AP65/VLOOKUP($B65,표2[#ALL],2)/hlookup($A65,표4[#ALL],row(),false)</f>
        <v>0</v>
      </c>
      <c r="AQ65" s="356">
        <f>CS_PID!AQ65/VLOOKUP($B65,표2[#ALL],2)/hlookup($A65,표4[#ALL],row(),false)</f>
        <v>0</v>
      </c>
      <c r="AR65" s="356">
        <f>CS_PID!AR65/VLOOKUP($B65,표2[#ALL],2)/hlookup($A65,표4[#ALL],row(),false)</f>
        <v>0.1111111111</v>
      </c>
      <c r="AS65" s="356">
        <f>CS_PID!AS65/VLOOKUP($B65,표2[#ALL],2)/hlookup($A65,표4[#ALL],row(),false)</f>
        <v>0</v>
      </c>
    </row>
    <row r="66">
      <c r="A66" s="165" t="s">
        <v>82</v>
      </c>
      <c r="B66" s="166">
        <v>333.0</v>
      </c>
      <c r="C66" s="356">
        <f>CS_PID!C66/VLOOKUP($B66,표2[#ALL],2)/hlookup($A66,표4[#ALL],row(),false)</f>
        <v>0</v>
      </c>
      <c r="D66" s="356">
        <f>CS_PID!D66/VLOOKUP($B66,표2[#ALL],2)/hlookup($A66,표4[#ALL],row(),false)</f>
        <v>0.1515151515</v>
      </c>
      <c r="E66" s="356">
        <f>CS_PID!E66/VLOOKUP($B66,표2[#ALL],2)/hlookup($A66,표4[#ALL],row(),false)</f>
        <v>0.4242424242</v>
      </c>
      <c r="F66" s="356">
        <f>CS_PID!F66/VLOOKUP($B66,표2[#ALL],2)/hlookup($A66,표4[#ALL],row(),false)</f>
        <v>0.4242424242</v>
      </c>
      <c r="G66" s="356">
        <f>CS_PID!G66/VLOOKUP($B66,표2[#ALL],2)/hlookup($A66,표4[#ALL],row(),false)</f>
        <v>0.06060606061</v>
      </c>
      <c r="H66" s="356">
        <f>CS_PID!H66/VLOOKUP($B66,표2[#ALL],2)/hlookup($A66,표4[#ALL],row(),false)</f>
        <v>0</v>
      </c>
      <c r="I66" s="356">
        <f>CS_PID!I66/VLOOKUP($B66,표2[#ALL],2)/hlookup($A66,표4[#ALL],row(),false)</f>
        <v>0</v>
      </c>
      <c r="J66" s="356">
        <f>CS_PID!J66/VLOOKUP($B66,표2[#ALL],2)/hlookup($A66,표4[#ALL],row(),false)</f>
        <v>1.636363636</v>
      </c>
      <c r="K66" s="356">
        <f>CS_PID!K66/VLOOKUP($B66,표2[#ALL],2)/hlookup($A66,표4[#ALL],row(),false)</f>
        <v>1.575757576</v>
      </c>
      <c r="L66" s="356">
        <f>CS_PID!L66/VLOOKUP($B66,표2[#ALL],2)/hlookup($A66,표4[#ALL],row(),false)</f>
        <v>0.696969697</v>
      </c>
      <c r="M66" s="356">
        <f>CS_PID!M66/VLOOKUP($B66,표2[#ALL],2)/hlookup($A66,표4[#ALL],row(),false)</f>
        <v>0</v>
      </c>
      <c r="N66" s="356">
        <f>CS_PID!N66/VLOOKUP($B66,표2[#ALL],2)/hlookup($A66,표4[#ALL],row(),false)</f>
        <v>0</v>
      </c>
      <c r="O66" s="356">
        <f>CS_PID!O66/VLOOKUP($B66,표2[#ALL],2)/hlookup($A66,표4[#ALL],row(),false)</f>
        <v>0.0303030303</v>
      </c>
      <c r="P66" s="356">
        <f>CS_PID!P66/VLOOKUP($B66,표2[#ALL],2)/hlookup($A66,표4[#ALL],row(),false)</f>
        <v>0.7272727273</v>
      </c>
      <c r="Q66" s="356">
        <f>CS_PID!Q66/VLOOKUP($B66,표2[#ALL],2)/hlookup($A66,표4[#ALL],row(),false)</f>
        <v>3.696969697</v>
      </c>
      <c r="R66" s="356">
        <f>CS_PID!R66/VLOOKUP($B66,표2[#ALL],2)/hlookup($A66,표4[#ALL],row(),false)</f>
        <v>1</v>
      </c>
      <c r="S66" s="356">
        <f>CS_PID!S66/VLOOKUP($B66,표2[#ALL],2)/hlookup($A66,표4[#ALL],row(),false)</f>
        <v>0.0303030303</v>
      </c>
      <c r="T66" s="356">
        <f>CS_PID!T66/VLOOKUP($B66,표2[#ALL],2)/hlookup($A66,표4[#ALL],row(),false)</f>
        <v>0</v>
      </c>
      <c r="U66" s="356">
        <f>CS_PID!U66/VLOOKUP($B66,표2[#ALL],2)/hlookup($A66,표4[#ALL],row(),false)</f>
        <v>0</v>
      </c>
      <c r="V66" s="356">
        <f>CS_PID!V66/VLOOKUP($B66,표2[#ALL],2)/hlookup($A66,표4[#ALL],row(),false)</f>
        <v>0.3636363636</v>
      </c>
      <c r="W66" s="356">
        <f>CS_PID!W66/VLOOKUP($B66,표2[#ALL],2)/hlookup($A66,표4[#ALL],row(),false)</f>
        <v>3.939393939</v>
      </c>
      <c r="X66" s="356">
        <f>CS_PID!X66/VLOOKUP($B66,표2[#ALL],2)/hlookup($A66,표4[#ALL],row(),false)</f>
        <v>1.909090909</v>
      </c>
      <c r="Y66" s="356">
        <f>CS_PID!Y66/VLOOKUP($B66,표2[#ALL],2)/hlookup($A66,표4[#ALL],row(),false)</f>
        <v>0.0303030303</v>
      </c>
      <c r="Z66" s="356">
        <f>CS_PID!Z66/VLOOKUP($B66,표2[#ALL],2)/hlookup($A66,표4[#ALL],row(),false)</f>
        <v>0</v>
      </c>
      <c r="AA66" s="356">
        <f>CS_PID!AA66/VLOOKUP($B66,표2[#ALL],2)/hlookup($A66,표4[#ALL],row(),false)</f>
        <v>0</v>
      </c>
      <c r="AB66" s="356">
        <f>CS_PID!AB66/VLOOKUP($B66,표2[#ALL],2)/hlookup($A66,표4[#ALL],row(),false)</f>
        <v>0.1515151515</v>
      </c>
      <c r="AC66" s="356">
        <f>CS_PID!AC66/VLOOKUP($B66,표2[#ALL],2)/hlookup($A66,표4[#ALL],row(),false)</f>
        <v>2.96969697</v>
      </c>
      <c r="AD66" s="356">
        <f>CS_PID!AD66/VLOOKUP($B66,표2[#ALL],2)/hlookup($A66,표4[#ALL],row(),false)</f>
        <v>0.696969697</v>
      </c>
      <c r="AE66" s="356">
        <f>CS_PID!AE66/VLOOKUP($B66,표2[#ALL],2)/hlookup($A66,표4[#ALL],row(),false)</f>
        <v>0.0303030303</v>
      </c>
      <c r="AF66" s="356">
        <f>CS_PID!AF66/VLOOKUP($B66,표2[#ALL],2)/hlookup($A66,표4[#ALL],row(),false)</f>
        <v>0</v>
      </c>
      <c r="AG66" s="356">
        <f>CS_PID!AG66/VLOOKUP($B66,표2[#ALL],2)/hlookup($A66,표4[#ALL],row(),false)</f>
        <v>0</v>
      </c>
      <c r="AH66" s="356">
        <f>CS_PID!AH66/VLOOKUP($B66,표2[#ALL],2)/hlookup($A66,표4[#ALL],row(),false)</f>
        <v>0.2121212121</v>
      </c>
      <c r="AI66" s="356">
        <f>CS_PID!AI66/VLOOKUP($B66,표2[#ALL],2)/hlookup($A66,표4[#ALL],row(),false)</f>
        <v>1.151515152</v>
      </c>
      <c r="AJ66" s="356">
        <f>CS_PID!AJ66/VLOOKUP($B66,표2[#ALL],2)/hlookup($A66,표4[#ALL],row(),false)</f>
        <v>0.5454545455</v>
      </c>
      <c r="AK66" s="356">
        <f>CS_PID!AK66/VLOOKUP($B66,표2[#ALL],2)/hlookup($A66,표4[#ALL],row(),false)</f>
        <v>0</v>
      </c>
      <c r="AL66" s="356">
        <f>CS_PID!AL66/VLOOKUP($B66,표2[#ALL],2)/hlookup($A66,표4[#ALL],row(),false)</f>
        <v>0</v>
      </c>
      <c r="AM66" s="356">
        <f>CS_PID!AM66/VLOOKUP($B66,표2[#ALL],2)/hlookup($A66,표4[#ALL],row(),false)</f>
        <v>0.0303030303</v>
      </c>
      <c r="AN66" s="356">
        <f>CS_PID!AN66/VLOOKUP($B66,표2[#ALL],2)/hlookup($A66,표4[#ALL],row(),false)</f>
        <v>0.9393939394</v>
      </c>
      <c r="AO66" s="356">
        <f>CS_PID!AO66/VLOOKUP($B66,표2[#ALL],2)/hlookup($A66,표4[#ALL],row(),false)</f>
        <v>0</v>
      </c>
      <c r="AP66" s="356">
        <f>CS_PID!AP66/VLOOKUP($B66,표2[#ALL],2)/hlookup($A66,표4[#ALL],row(),false)</f>
        <v>0</v>
      </c>
      <c r="AQ66" s="356">
        <f>CS_PID!AQ66/VLOOKUP($B66,표2[#ALL],2)/hlookup($A66,표4[#ALL],row(),false)</f>
        <v>0.0303030303</v>
      </c>
      <c r="AR66" s="356">
        <f>CS_PID!AR66/VLOOKUP($B66,표2[#ALL],2)/hlookup($A66,표4[#ALL],row(),false)</f>
        <v>0</v>
      </c>
      <c r="AS66" s="356">
        <f>CS_PID!AS66/VLOOKUP($B66,표2[#ALL],2)/hlookup($A66,표4[#ALL],row(),false)</f>
        <v>0</v>
      </c>
    </row>
    <row r="67">
      <c r="A67" s="165" t="s">
        <v>82</v>
      </c>
      <c r="B67" s="166">
        <v>334.0</v>
      </c>
      <c r="C67" s="356">
        <f>CS_PID!C67/VLOOKUP($B67,표2[#ALL],2)/hlookup($A67,표4[#ALL],row(),false)</f>
        <v>0</v>
      </c>
      <c r="D67" s="356">
        <f>CS_PID!D67/VLOOKUP($B67,표2[#ALL],2)/hlookup($A67,표4[#ALL],row(),false)</f>
        <v>0.1428571429</v>
      </c>
      <c r="E67" s="356">
        <f>CS_PID!E67/VLOOKUP($B67,표2[#ALL],2)/hlookup($A67,표4[#ALL],row(),false)</f>
        <v>0.8571428571</v>
      </c>
      <c r="F67" s="356">
        <f>CS_PID!F67/VLOOKUP($B67,표2[#ALL],2)/hlookup($A67,표4[#ALL],row(),false)</f>
        <v>0.619047619</v>
      </c>
      <c r="G67" s="356">
        <f>CS_PID!G67/VLOOKUP($B67,표2[#ALL],2)/hlookup($A67,표4[#ALL],row(),false)</f>
        <v>0</v>
      </c>
      <c r="H67" s="356">
        <f>CS_PID!H67/VLOOKUP($B67,표2[#ALL],2)/hlookup($A67,표4[#ALL],row(),false)</f>
        <v>0</v>
      </c>
      <c r="I67" s="356">
        <f>CS_PID!I67/VLOOKUP($B67,표2[#ALL],2)/hlookup($A67,표4[#ALL],row(),false)</f>
        <v>0.04761904762</v>
      </c>
      <c r="J67" s="356">
        <f>CS_PID!J67/VLOOKUP($B67,표2[#ALL],2)/hlookup($A67,표4[#ALL],row(),false)</f>
        <v>2.142857143</v>
      </c>
      <c r="K67" s="356">
        <f>CS_PID!K67/VLOOKUP($B67,표2[#ALL],2)/hlookup($A67,표4[#ALL],row(),false)</f>
        <v>2</v>
      </c>
      <c r="L67" s="356">
        <f>CS_PID!L67/VLOOKUP($B67,표2[#ALL],2)/hlookup($A67,표4[#ALL],row(),false)</f>
        <v>0.8571428571</v>
      </c>
      <c r="M67" s="356">
        <f>CS_PID!M67/VLOOKUP($B67,표2[#ALL],2)/hlookup($A67,표4[#ALL],row(),false)</f>
        <v>0</v>
      </c>
      <c r="N67" s="356">
        <f>CS_PID!N67/VLOOKUP($B67,표2[#ALL],2)/hlookup($A67,표4[#ALL],row(),false)</f>
        <v>0</v>
      </c>
      <c r="O67" s="356">
        <f>CS_PID!O67/VLOOKUP($B67,표2[#ALL],2)/hlookup($A67,표4[#ALL],row(),false)</f>
        <v>0</v>
      </c>
      <c r="P67" s="356">
        <f>CS_PID!P67/VLOOKUP($B67,표2[#ALL],2)/hlookup($A67,표4[#ALL],row(),false)</f>
        <v>1.380952381</v>
      </c>
      <c r="Q67" s="356">
        <f>CS_PID!Q67/VLOOKUP($B67,표2[#ALL],2)/hlookup($A67,표4[#ALL],row(),false)</f>
        <v>4.857142857</v>
      </c>
      <c r="R67" s="356">
        <f>CS_PID!R67/VLOOKUP($B67,표2[#ALL],2)/hlookup($A67,표4[#ALL],row(),false)</f>
        <v>1</v>
      </c>
      <c r="S67" s="356">
        <f>CS_PID!S67/VLOOKUP($B67,표2[#ALL],2)/hlookup($A67,표4[#ALL],row(),false)</f>
        <v>0</v>
      </c>
      <c r="T67" s="356">
        <f>CS_PID!T67/VLOOKUP($B67,표2[#ALL],2)/hlookup($A67,표4[#ALL],row(),false)</f>
        <v>0</v>
      </c>
      <c r="U67" s="356">
        <f>CS_PID!U67/VLOOKUP($B67,표2[#ALL],2)/hlookup($A67,표4[#ALL],row(),false)</f>
        <v>0</v>
      </c>
      <c r="V67" s="356">
        <f>CS_PID!V67/VLOOKUP($B67,표2[#ALL],2)/hlookup($A67,표4[#ALL],row(),false)</f>
        <v>0.5714285714</v>
      </c>
      <c r="W67" s="356">
        <f>CS_PID!W67/VLOOKUP($B67,표2[#ALL],2)/hlookup($A67,표4[#ALL],row(),false)</f>
        <v>3.380952381</v>
      </c>
      <c r="X67" s="356">
        <f>CS_PID!X67/VLOOKUP($B67,표2[#ALL],2)/hlookup($A67,표4[#ALL],row(),false)</f>
        <v>1.952380952</v>
      </c>
      <c r="Y67" s="356">
        <f>CS_PID!Y67/VLOOKUP($B67,표2[#ALL],2)/hlookup($A67,표4[#ALL],row(),false)</f>
        <v>0</v>
      </c>
      <c r="Z67" s="356">
        <f>CS_PID!Z67/VLOOKUP($B67,표2[#ALL],2)/hlookup($A67,표4[#ALL],row(),false)</f>
        <v>0</v>
      </c>
      <c r="AA67" s="356">
        <f>CS_PID!AA67/VLOOKUP($B67,표2[#ALL],2)/hlookup($A67,표4[#ALL],row(),false)</f>
        <v>0.04761904762</v>
      </c>
      <c r="AB67" s="356">
        <f>CS_PID!AB67/VLOOKUP($B67,표2[#ALL],2)/hlookup($A67,표4[#ALL],row(),false)</f>
        <v>0.1428571429</v>
      </c>
      <c r="AC67" s="356">
        <f>CS_PID!AC67/VLOOKUP($B67,표2[#ALL],2)/hlookup($A67,표4[#ALL],row(),false)</f>
        <v>3.333333333</v>
      </c>
      <c r="AD67" s="356">
        <f>CS_PID!AD67/VLOOKUP($B67,표2[#ALL],2)/hlookup($A67,표4[#ALL],row(),false)</f>
        <v>0.9047619048</v>
      </c>
      <c r="AE67" s="356">
        <f>CS_PID!AE67/VLOOKUP($B67,표2[#ALL],2)/hlookup($A67,표4[#ALL],row(),false)</f>
        <v>0.09523809524</v>
      </c>
      <c r="AF67" s="356">
        <f>CS_PID!AF67/VLOOKUP($B67,표2[#ALL],2)/hlookup($A67,표4[#ALL],row(),false)</f>
        <v>0</v>
      </c>
      <c r="AG67" s="356">
        <f>CS_PID!AG67/VLOOKUP($B67,표2[#ALL],2)/hlookup($A67,표4[#ALL],row(),false)</f>
        <v>0</v>
      </c>
      <c r="AH67" s="356">
        <f>CS_PID!AH67/VLOOKUP($B67,표2[#ALL],2)/hlookup($A67,표4[#ALL],row(),false)</f>
        <v>0.2380952381</v>
      </c>
      <c r="AI67" s="356">
        <f>CS_PID!AI67/VLOOKUP($B67,표2[#ALL],2)/hlookup($A67,표4[#ALL],row(),false)</f>
        <v>1.047619048</v>
      </c>
      <c r="AJ67" s="356">
        <f>CS_PID!AJ67/VLOOKUP($B67,표2[#ALL],2)/hlookup($A67,표4[#ALL],row(),false)</f>
        <v>0.5714285714</v>
      </c>
      <c r="AK67" s="356">
        <f>CS_PID!AK67/VLOOKUP($B67,표2[#ALL],2)/hlookup($A67,표4[#ALL],row(),false)</f>
        <v>0.04761904762</v>
      </c>
      <c r="AL67" s="356">
        <f>CS_PID!AL67/VLOOKUP($B67,표2[#ALL],2)/hlookup($A67,표4[#ALL],row(),false)</f>
        <v>0</v>
      </c>
      <c r="AM67" s="356">
        <f>CS_PID!AM67/VLOOKUP($B67,표2[#ALL],2)/hlookup($A67,표4[#ALL],row(),false)</f>
        <v>0</v>
      </c>
      <c r="AN67" s="356">
        <f>CS_PID!AN67/VLOOKUP($B67,표2[#ALL],2)/hlookup($A67,표4[#ALL],row(),false)</f>
        <v>0.9523809524</v>
      </c>
      <c r="AO67" s="356">
        <f>CS_PID!AO67/VLOOKUP($B67,표2[#ALL],2)/hlookup($A67,표4[#ALL],row(),false)</f>
        <v>0</v>
      </c>
      <c r="AP67" s="356">
        <f>CS_PID!AP67/VLOOKUP($B67,표2[#ALL],2)/hlookup($A67,표4[#ALL],row(),false)</f>
        <v>0</v>
      </c>
      <c r="AQ67" s="356">
        <f>CS_PID!AQ67/VLOOKUP($B67,표2[#ALL],2)/hlookup($A67,표4[#ALL],row(),false)</f>
        <v>0</v>
      </c>
      <c r="AR67" s="356">
        <f>CS_PID!AR67/VLOOKUP($B67,표2[#ALL],2)/hlookup($A67,표4[#ALL],row(),false)</f>
        <v>0.04761904762</v>
      </c>
      <c r="AS67" s="356">
        <f>CS_PID!AS67/VLOOKUP($B67,표2[#ALL],2)/hlookup($A67,표4[#ALL],row(),false)</f>
        <v>0.04761904762</v>
      </c>
    </row>
    <row r="68">
      <c r="A68" s="165" t="s">
        <v>82</v>
      </c>
      <c r="B68" s="166">
        <v>335.0</v>
      </c>
      <c r="C68" s="356">
        <f>CS_PID!C68/VLOOKUP($B68,표2[#ALL],2)/hlookup($A68,표4[#ALL],row(),false)</f>
        <v>0</v>
      </c>
      <c r="D68" s="356">
        <f>CS_PID!D68/VLOOKUP($B68,표2[#ALL],2)/hlookup($A68,표4[#ALL],row(),false)</f>
        <v>0.1081081081</v>
      </c>
      <c r="E68" s="356">
        <f>CS_PID!E68/VLOOKUP($B68,표2[#ALL],2)/hlookup($A68,표4[#ALL],row(),false)</f>
        <v>0.5675675676</v>
      </c>
      <c r="F68" s="356">
        <f>CS_PID!F68/VLOOKUP($B68,표2[#ALL],2)/hlookup($A68,표4[#ALL],row(),false)</f>
        <v>0.6756756757</v>
      </c>
      <c r="G68" s="356">
        <f>CS_PID!G68/VLOOKUP($B68,표2[#ALL],2)/hlookup($A68,표4[#ALL],row(),false)</f>
        <v>0.02702702703</v>
      </c>
      <c r="H68" s="356">
        <f>CS_PID!H68/VLOOKUP($B68,표2[#ALL],2)/hlookup($A68,표4[#ALL],row(),false)</f>
        <v>0.02702702703</v>
      </c>
      <c r="I68" s="356">
        <f>CS_PID!I68/VLOOKUP($B68,표2[#ALL],2)/hlookup($A68,표4[#ALL],row(),false)</f>
        <v>0.05405405405</v>
      </c>
      <c r="J68" s="356">
        <f>CS_PID!J68/VLOOKUP($B68,표2[#ALL],2)/hlookup($A68,표4[#ALL],row(),false)</f>
        <v>1.810810811</v>
      </c>
      <c r="K68" s="356">
        <f>CS_PID!K68/VLOOKUP($B68,표2[#ALL],2)/hlookup($A68,표4[#ALL],row(),false)</f>
        <v>1.432432432</v>
      </c>
      <c r="L68" s="356">
        <f>CS_PID!L68/VLOOKUP($B68,표2[#ALL],2)/hlookup($A68,표4[#ALL],row(),false)</f>
        <v>0.4864864865</v>
      </c>
      <c r="M68" s="356">
        <f>CS_PID!M68/VLOOKUP($B68,표2[#ALL],2)/hlookup($A68,표4[#ALL],row(),false)</f>
        <v>0.02702702703</v>
      </c>
      <c r="N68" s="356">
        <f>CS_PID!N68/VLOOKUP($B68,표2[#ALL],2)/hlookup($A68,표4[#ALL],row(),false)</f>
        <v>0</v>
      </c>
      <c r="O68" s="356">
        <f>CS_PID!O68/VLOOKUP($B68,표2[#ALL],2)/hlookup($A68,표4[#ALL],row(),false)</f>
        <v>0</v>
      </c>
      <c r="P68" s="356">
        <f>CS_PID!P68/VLOOKUP($B68,표2[#ALL],2)/hlookup($A68,표4[#ALL],row(),false)</f>
        <v>1.243243243</v>
      </c>
      <c r="Q68" s="356">
        <f>CS_PID!Q68/VLOOKUP($B68,표2[#ALL],2)/hlookup($A68,표4[#ALL],row(),false)</f>
        <v>4</v>
      </c>
      <c r="R68" s="356">
        <f>CS_PID!R68/VLOOKUP($B68,표2[#ALL],2)/hlookup($A68,표4[#ALL],row(),false)</f>
        <v>1</v>
      </c>
      <c r="S68" s="356">
        <f>CS_PID!S68/VLOOKUP($B68,표2[#ALL],2)/hlookup($A68,표4[#ALL],row(),false)</f>
        <v>0.02702702703</v>
      </c>
      <c r="T68" s="356">
        <f>CS_PID!T68/VLOOKUP($B68,표2[#ALL],2)/hlookup($A68,표4[#ALL],row(),false)</f>
        <v>0</v>
      </c>
      <c r="U68" s="356">
        <f>CS_PID!U68/VLOOKUP($B68,표2[#ALL],2)/hlookup($A68,표4[#ALL],row(),false)</f>
        <v>0.02702702703</v>
      </c>
      <c r="V68" s="356">
        <f>CS_PID!V68/VLOOKUP($B68,표2[#ALL],2)/hlookup($A68,표4[#ALL],row(),false)</f>
        <v>0.6216216216</v>
      </c>
      <c r="W68" s="356">
        <f>CS_PID!W68/VLOOKUP($B68,표2[#ALL],2)/hlookup($A68,표4[#ALL],row(),false)</f>
        <v>3.621621622</v>
      </c>
      <c r="X68" s="356">
        <f>CS_PID!X68/VLOOKUP($B68,표2[#ALL],2)/hlookup($A68,표4[#ALL],row(),false)</f>
        <v>2.135135135</v>
      </c>
      <c r="Y68" s="356">
        <f>CS_PID!Y68/VLOOKUP($B68,표2[#ALL],2)/hlookup($A68,표4[#ALL],row(),false)</f>
        <v>0.05405405405</v>
      </c>
      <c r="Z68" s="356">
        <f>CS_PID!Z68/VLOOKUP($B68,표2[#ALL],2)/hlookup($A68,표4[#ALL],row(),false)</f>
        <v>0</v>
      </c>
      <c r="AA68" s="356">
        <f>CS_PID!AA68/VLOOKUP($B68,표2[#ALL],2)/hlookup($A68,표4[#ALL],row(),false)</f>
        <v>0</v>
      </c>
      <c r="AB68" s="356">
        <f>CS_PID!AB68/VLOOKUP($B68,표2[#ALL],2)/hlookup($A68,표4[#ALL],row(),false)</f>
        <v>0.2432432432</v>
      </c>
      <c r="AC68" s="356">
        <f>CS_PID!AC68/VLOOKUP($B68,표2[#ALL],2)/hlookup($A68,표4[#ALL],row(),false)</f>
        <v>3.621621622</v>
      </c>
      <c r="AD68" s="356">
        <f>CS_PID!AD68/VLOOKUP($B68,표2[#ALL],2)/hlookup($A68,표4[#ALL],row(),false)</f>
        <v>0.6756756757</v>
      </c>
      <c r="AE68" s="356">
        <f>CS_PID!AE68/VLOOKUP($B68,표2[#ALL],2)/hlookup($A68,표4[#ALL],row(),false)</f>
        <v>0.02702702703</v>
      </c>
      <c r="AF68" s="356">
        <f>CS_PID!AF68/VLOOKUP($B68,표2[#ALL],2)/hlookup($A68,표4[#ALL],row(),false)</f>
        <v>0</v>
      </c>
      <c r="AG68" s="356">
        <f>CS_PID!AG68/VLOOKUP($B68,표2[#ALL],2)/hlookup($A68,표4[#ALL],row(),false)</f>
        <v>0</v>
      </c>
      <c r="AH68" s="356">
        <f>CS_PID!AH68/VLOOKUP($B68,표2[#ALL],2)/hlookup($A68,표4[#ALL],row(),false)</f>
        <v>0.1621621622</v>
      </c>
      <c r="AI68" s="356">
        <f>CS_PID!AI68/VLOOKUP($B68,표2[#ALL],2)/hlookup($A68,표4[#ALL],row(),false)</f>
        <v>1.027027027</v>
      </c>
      <c r="AJ68" s="356">
        <f>CS_PID!AJ68/VLOOKUP($B68,표2[#ALL],2)/hlookup($A68,표4[#ALL],row(),false)</f>
        <v>0.7297297297</v>
      </c>
      <c r="AK68" s="356">
        <f>CS_PID!AK68/VLOOKUP($B68,표2[#ALL],2)/hlookup($A68,표4[#ALL],row(),false)</f>
        <v>0</v>
      </c>
      <c r="AL68" s="356">
        <f>CS_PID!AL68/VLOOKUP($B68,표2[#ALL],2)/hlookup($A68,표4[#ALL],row(),false)</f>
        <v>0</v>
      </c>
      <c r="AM68" s="356">
        <f>CS_PID!AM68/VLOOKUP($B68,표2[#ALL],2)/hlookup($A68,표4[#ALL],row(),false)</f>
        <v>0.05405405405</v>
      </c>
      <c r="AN68" s="356">
        <f>CS_PID!AN68/VLOOKUP($B68,표2[#ALL],2)/hlookup($A68,표4[#ALL],row(),false)</f>
        <v>0.7297297297</v>
      </c>
      <c r="AO68" s="356">
        <f>CS_PID!AO68/VLOOKUP($B68,표2[#ALL],2)/hlookup($A68,표4[#ALL],row(),false)</f>
        <v>0.05405405405</v>
      </c>
      <c r="AP68" s="356">
        <f>CS_PID!AP68/VLOOKUP($B68,표2[#ALL],2)/hlookup($A68,표4[#ALL],row(),false)</f>
        <v>0</v>
      </c>
      <c r="AQ68" s="356">
        <f>CS_PID!AQ68/VLOOKUP($B68,표2[#ALL],2)/hlookup($A68,표4[#ALL],row(),false)</f>
        <v>0</v>
      </c>
      <c r="AR68" s="356">
        <f>CS_PID!AR68/VLOOKUP($B68,표2[#ALL],2)/hlookup($A68,표4[#ALL],row(),false)</f>
        <v>0.05405405405</v>
      </c>
      <c r="AS68" s="356">
        <f>CS_PID!AS68/VLOOKUP($B68,표2[#ALL],2)/hlookup($A68,표4[#ALL],row(),false)</f>
        <v>0.02702702703</v>
      </c>
    </row>
    <row r="69">
      <c r="A69" s="165" t="s">
        <v>82</v>
      </c>
      <c r="B69" s="166">
        <v>336.0</v>
      </c>
      <c r="C69" s="356">
        <f>CS_PID!C69/VLOOKUP($B69,표2[#ALL],2)/hlookup($A69,표4[#ALL],row(),false)</f>
        <v>0.03333333333</v>
      </c>
      <c r="D69" s="356">
        <f>CS_PID!D69/VLOOKUP($B69,표2[#ALL],2)/hlookup($A69,표4[#ALL],row(),false)</f>
        <v>0.03333333333</v>
      </c>
      <c r="E69" s="356">
        <f>CS_PID!E69/VLOOKUP($B69,표2[#ALL],2)/hlookup($A69,표4[#ALL],row(),false)</f>
        <v>0.5333333333</v>
      </c>
      <c r="F69" s="356">
        <f>CS_PID!F69/VLOOKUP($B69,표2[#ALL],2)/hlookup($A69,표4[#ALL],row(),false)</f>
        <v>0.5333333333</v>
      </c>
      <c r="G69" s="356">
        <f>CS_PID!G69/VLOOKUP($B69,표2[#ALL],2)/hlookup($A69,표4[#ALL],row(),false)</f>
        <v>0</v>
      </c>
      <c r="H69" s="356">
        <f>CS_PID!H69/VLOOKUP($B69,표2[#ALL],2)/hlookup($A69,표4[#ALL],row(),false)</f>
        <v>0</v>
      </c>
      <c r="I69" s="356">
        <f>CS_PID!I69/VLOOKUP($B69,표2[#ALL],2)/hlookup($A69,표4[#ALL],row(),false)</f>
        <v>0.06666666667</v>
      </c>
      <c r="J69" s="356">
        <f>CS_PID!J69/VLOOKUP($B69,표2[#ALL],2)/hlookup($A69,표4[#ALL],row(),false)</f>
        <v>1.1</v>
      </c>
      <c r="K69" s="356">
        <f>CS_PID!K69/VLOOKUP($B69,표2[#ALL],2)/hlookup($A69,표4[#ALL],row(),false)</f>
        <v>1.533333333</v>
      </c>
      <c r="L69" s="356">
        <f>CS_PID!L69/VLOOKUP($B69,표2[#ALL],2)/hlookup($A69,표4[#ALL],row(),false)</f>
        <v>0.2666666667</v>
      </c>
      <c r="M69" s="356">
        <f>CS_PID!M69/VLOOKUP($B69,표2[#ALL],2)/hlookup($A69,표4[#ALL],row(),false)</f>
        <v>0</v>
      </c>
      <c r="N69" s="356">
        <f>CS_PID!N69/VLOOKUP($B69,표2[#ALL],2)/hlookup($A69,표4[#ALL],row(),false)</f>
        <v>0</v>
      </c>
      <c r="O69" s="356">
        <f>CS_PID!O69/VLOOKUP($B69,표2[#ALL],2)/hlookup($A69,표4[#ALL],row(),false)</f>
        <v>0.06666666667</v>
      </c>
      <c r="P69" s="356">
        <f>CS_PID!P69/VLOOKUP($B69,표2[#ALL],2)/hlookup($A69,표4[#ALL],row(),false)</f>
        <v>0.8333333333</v>
      </c>
      <c r="Q69" s="356">
        <f>CS_PID!Q69/VLOOKUP($B69,표2[#ALL],2)/hlookup($A69,표4[#ALL],row(),false)</f>
        <v>3.666666667</v>
      </c>
      <c r="R69" s="356">
        <f>CS_PID!R69/VLOOKUP($B69,표2[#ALL],2)/hlookup($A69,표4[#ALL],row(),false)</f>
        <v>1</v>
      </c>
      <c r="S69" s="356">
        <f>CS_PID!S69/VLOOKUP($B69,표2[#ALL],2)/hlookup($A69,표4[#ALL],row(),false)</f>
        <v>0.03333333333</v>
      </c>
      <c r="T69" s="356">
        <f>CS_PID!T69/VLOOKUP($B69,표2[#ALL],2)/hlookup($A69,표4[#ALL],row(),false)</f>
        <v>0</v>
      </c>
      <c r="U69" s="356">
        <f>CS_PID!U69/VLOOKUP($B69,표2[#ALL],2)/hlookup($A69,표4[#ALL],row(),false)</f>
        <v>0</v>
      </c>
      <c r="V69" s="356">
        <f>CS_PID!V69/VLOOKUP($B69,표2[#ALL],2)/hlookup($A69,표4[#ALL],row(),false)</f>
        <v>0.5666666667</v>
      </c>
      <c r="W69" s="356">
        <f>CS_PID!W69/VLOOKUP($B69,표2[#ALL],2)/hlookup($A69,표4[#ALL],row(),false)</f>
        <v>2.6</v>
      </c>
      <c r="X69" s="356">
        <f>CS_PID!X69/VLOOKUP($B69,표2[#ALL],2)/hlookup($A69,표4[#ALL],row(),false)</f>
        <v>1.433333333</v>
      </c>
      <c r="Y69" s="356">
        <f>CS_PID!Y69/VLOOKUP($B69,표2[#ALL],2)/hlookup($A69,표4[#ALL],row(),false)</f>
        <v>0</v>
      </c>
      <c r="Z69" s="356">
        <f>CS_PID!Z69/VLOOKUP($B69,표2[#ALL],2)/hlookup($A69,표4[#ALL],row(),false)</f>
        <v>0</v>
      </c>
      <c r="AA69" s="356">
        <f>CS_PID!AA69/VLOOKUP($B69,표2[#ALL],2)/hlookup($A69,표4[#ALL],row(),false)</f>
        <v>0</v>
      </c>
      <c r="AB69" s="356">
        <f>CS_PID!AB69/VLOOKUP($B69,표2[#ALL],2)/hlookup($A69,표4[#ALL],row(),false)</f>
        <v>0.1</v>
      </c>
      <c r="AC69" s="356">
        <f>CS_PID!AC69/VLOOKUP($B69,표2[#ALL],2)/hlookup($A69,표4[#ALL],row(),false)</f>
        <v>2.266666667</v>
      </c>
      <c r="AD69" s="356">
        <f>CS_PID!AD69/VLOOKUP($B69,표2[#ALL],2)/hlookup($A69,표4[#ALL],row(),false)</f>
        <v>0.5333333333</v>
      </c>
      <c r="AE69" s="356">
        <f>CS_PID!AE69/VLOOKUP($B69,표2[#ALL],2)/hlookup($A69,표4[#ALL],row(),false)</f>
        <v>0.06666666667</v>
      </c>
      <c r="AF69" s="356">
        <f>CS_PID!AF69/VLOOKUP($B69,표2[#ALL],2)/hlookup($A69,표4[#ALL],row(),false)</f>
        <v>0</v>
      </c>
      <c r="AG69" s="356">
        <f>CS_PID!AG69/VLOOKUP($B69,표2[#ALL],2)/hlookup($A69,표4[#ALL],row(),false)</f>
        <v>0</v>
      </c>
      <c r="AH69" s="356">
        <f>CS_PID!AH69/VLOOKUP($B69,표2[#ALL],2)/hlookup($A69,표4[#ALL],row(),false)</f>
        <v>0.06666666667</v>
      </c>
      <c r="AI69" s="356">
        <f>CS_PID!AI69/VLOOKUP($B69,표2[#ALL],2)/hlookup($A69,표4[#ALL],row(),false)</f>
        <v>0.8</v>
      </c>
      <c r="AJ69" s="356">
        <f>CS_PID!AJ69/VLOOKUP($B69,표2[#ALL],2)/hlookup($A69,표4[#ALL],row(),false)</f>
        <v>0.4</v>
      </c>
      <c r="AK69" s="356">
        <f>CS_PID!AK69/VLOOKUP($B69,표2[#ALL],2)/hlookup($A69,표4[#ALL],row(),false)</f>
        <v>0</v>
      </c>
      <c r="AL69" s="356">
        <f>CS_PID!AL69/VLOOKUP($B69,표2[#ALL],2)/hlookup($A69,표4[#ALL],row(),false)</f>
        <v>0</v>
      </c>
      <c r="AM69" s="356">
        <f>CS_PID!AM69/VLOOKUP($B69,표2[#ALL],2)/hlookup($A69,표4[#ALL],row(),false)</f>
        <v>0</v>
      </c>
      <c r="AN69" s="356">
        <f>CS_PID!AN69/VLOOKUP($B69,표2[#ALL],2)/hlookup($A69,표4[#ALL],row(),false)</f>
        <v>0.3666666667</v>
      </c>
      <c r="AO69" s="356">
        <f>CS_PID!AO69/VLOOKUP($B69,표2[#ALL],2)/hlookup($A69,표4[#ALL],row(),false)</f>
        <v>0.03333333333</v>
      </c>
      <c r="AP69" s="356">
        <f>CS_PID!AP69/VLOOKUP($B69,표2[#ALL],2)/hlookup($A69,표4[#ALL],row(),false)</f>
        <v>0</v>
      </c>
      <c r="AQ69" s="356">
        <f>CS_PID!AQ69/VLOOKUP($B69,표2[#ALL],2)/hlookup($A69,표4[#ALL],row(),false)</f>
        <v>0</v>
      </c>
      <c r="AR69" s="356">
        <f>CS_PID!AR69/VLOOKUP($B69,표2[#ALL],2)/hlookup($A69,표4[#ALL],row(),false)</f>
        <v>0</v>
      </c>
      <c r="AS69" s="356">
        <f>CS_PID!AS69/VLOOKUP($B69,표2[#ALL],2)/hlookup($A69,표4[#ALL],row(),false)</f>
        <v>0</v>
      </c>
    </row>
    <row r="70">
      <c r="A70" s="165" t="s">
        <v>82</v>
      </c>
      <c r="B70" s="166">
        <v>337.0</v>
      </c>
      <c r="C70" s="356">
        <f>CS_PID!C70/VLOOKUP($B70,표2[#ALL],2)/hlookup($A70,표4[#ALL],row(),false)</f>
        <v>0.02857142857</v>
      </c>
      <c r="D70" s="356">
        <f>CS_PID!D70/VLOOKUP($B70,표2[#ALL],2)/hlookup($A70,표4[#ALL],row(),false)</f>
        <v>0.08571428571</v>
      </c>
      <c r="E70" s="356">
        <f>CS_PID!E70/VLOOKUP($B70,표2[#ALL],2)/hlookup($A70,표4[#ALL],row(),false)</f>
        <v>0.3714285714</v>
      </c>
      <c r="F70" s="356">
        <f>CS_PID!F70/VLOOKUP($B70,표2[#ALL],2)/hlookup($A70,표4[#ALL],row(),false)</f>
        <v>0.2</v>
      </c>
      <c r="G70" s="356">
        <f>CS_PID!G70/VLOOKUP($B70,표2[#ALL],2)/hlookup($A70,표4[#ALL],row(),false)</f>
        <v>0.08571428571</v>
      </c>
      <c r="H70" s="356">
        <f>CS_PID!H70/VLOOKUP($B70,표2[#ALL],2)/hlookup($A70,표4[#ALL],row(),false)</f>
        <v>0.02857142857</v>
      </c>
      <c r="I70" s="356">
        <f>CS_PID!I70/VLOOKUP($B70,표2[#ALL],2)/hlookup($A70,표4[#ALL],row(),false)</f>
        <v>0.02857142857</v>
      </c>
      <c r="J70" s="356">
        <f>CS_PID!J70/VLOOKUP($B70,표2[#ALL],2)/hlookup($A70,표4[#ALL],row(),false)</f>
        <v>1.257142857</v>
      </c>
      <c r="K70" s="356">
        <f>CS_PID!K70/VLOOKUP($B70,표2[#ALL],2)/hlookup($A70,표4[#ALL],row(),false)</f>
        <v>1.828571429</v>
      </c>
      <c r="L70" s="356">
        <f>CS_PID!L70/VLOOKUP($B70,표2[#ALL],2)/hlookup($A70,표4[#ALL],row(),false)</f>
        <v>0.7142857143</v>
      </c>
      <c r="M70" s="356">
        <f>CS_PID!M70/VLOOKUP($B70,표2[#ALL],2)/hlookup($A70,표4[#ALL],row(),false)</f>
        <v>0.02857142857</v>
      </c>
      <c r="N70" s="356">
        <f>CS_PID!N70/VLOOKUP($B70,표2[#ALL],2)/hlookup($A70,표4[#ALL],row(),false)</f>
        <v>0</v>
      </c>
      <c r="O70" s="356">
        <f>CS_PID!O70/VLOOKUP($B70,표2[#ALL],2)/hlookup($A70,표4[#ALL],row(),false)</f>
        <v>0.05714285714</v>
      </c>
      <c r="P70" s="356">
        <f>CS_PID!P70/VLOOKUP($B70,표2[#ALL],2)/hlookup($A70,표4[#ALL],row(),false)</f>
        <v>1</v>
      </c>
      <c r="Q70" s="356">
        <f>CS_PID!Q70/VLOOKUP($B70,표2[#ALL],2)/hlookup($A70,표4[#ALL],row(),false)</f>
        <v>3.428571429</v>
      </c>
      <c r="R70" s="356">
        <f>CS_PID!R70/VLOOKUP($B70,표2[#ALL],2)/hlookup($A70,표4[#ALL],row(),false)</f>
        <v>1</v>
      </c>
      <c r="S70" s="356">
        <f>CS_PID!S70/VLOOKUP($B70,표2[#ALL],2)/hlookup($A70,표4[#ALL],row(),false)</f>
        <v>0.05714285714</v>
      </c>
      <c r="T70" s="356">
        <f>CS_PID!T70/VLOOKUP($B70,표2[#ALL],2)/hlookup($A70,표4[#ALL],row(),false)</f>
        <v>0</v>
      </c>
      <c r="U70" s="356">
        <f>CS_PID!U70/VLOOKUP($B70,표2[#ALL],2)/hlookup($A70,표4[#ALL],row(),false)</f>
        <v>0.02857142857</v>
      </c>
      <c r="V70" s="356">
        <f>CS_PID!V70/VLOOKUP($B70,표2[#ALL],2)/hlookup($A70,표4[#ALL],row(),false)</f>
        <v>0.4285714286</v>
      </c>
      <c r="W70" s="356">
        <f>CS_PID!W70/VLOOKUP($B70,표2[#ALL],2)/hlookup($A70,표4[#ALL],row(),false)</f>
        <v>3.457142857</v>
      </c>
      <c r="X70" s="356">
        <f>CS_PID!X70/VLOOKUP($B70,표2[#ALL],2)/hlookup($A70,표4[#ALL],row(),false)</f>
        <v>1.771428571</v>
      </c>
      <c r="Y70" s="356">
        <f>CS_PID!Y70/VLOOKUP($B70,표2[#ALL],2)/hlookup($A70,표4[#ALL],row(),false)</f>
        <v>0.02857142857</v>
      </c>
      <c r="Z70" s="356">
        <f>CS_PID!Z70/VLOOKUP($B70,표2[#ALL],2)/hlookup($A70,표4[#ALL],row(),false)</f>
        <v>0</v>
      </c>
      <c r="AA70" s="356">
        <f>CS_PID!AA70/VLOOKUP($B70,표2[#ALL],2)/hlookup($A70,표4[#ALL],row(),false)</f>
        <v>0</v>
      </c>
      <c r="AB70" s="356">
        <f>CS_PID!AB70/VLOOKUP($B70,표2[#ALL],2)/hlookup($A70,표4[#ALL],row(),false)</f>
        <v>0.08571428571</v>
      </c>
      <c r="AC70" s="356">
        <f>CS_PID!AC70/VLOOKUP($B70,표2[#ALL],2)/hlookup($A70,표4[#ALL],row(),false)</f>
        <v>2.8</v>
      </c>
      <c r="AD70" s="356">
        <f>CS_PID!AD70/VLOOKUP($B70,표2[#ALL],2)/hlookup($A70,표4[#ALL],row(),false)</f>
        <v>0.6857142857</v>
      </c>
      <c r="AE70" s="356">
        <f>CS_PID!AE70/VLOOKUP($B70,표2[#ALL],2)/hlookup($A70,표4[#ALL],row(),false)</f>
        <v>0.02857142857</v>
      </c>
      <c r="AF70" s="356">
        <f>CS_PID!AF70/VLOOKUP($B70,표2[#ALL],2)/hlookup($A70,표4[#ALL],row(),false)</f>
        <v>0</v>
      </c>
      <c r="AG70" s="356">
        <f>CS_PID!AG70/VLOOKUP($B70,표2[#ALL],2)/hlookup($A70,표4[#ALL],row(),false)</f>
        <v>0</v>
      </c>
      <c r="AH70" s="356">
        <f>CS_PID!AH70/VLOOKUP($B70,표2[#ALL],2)/hlookup($A70,표4[#ALL],row(),false)</f>
        <v>0.1142857143</v>
      </c>
      <c r="AI70" s="356">
        <f>CS_PID!AI70/VLOOKUP($B70,표2[#ALL],2)/hlookup($A70,표4[#ALL],row(),false)</f>
        <v>1</v>
      </c>
      <c r="AJ70" s="356">
        <f>CS_PID!AJ70/VLOOKUP($B70,표2[#ALL],2)/hlookup($A70,표4[#ALL],row(),false)</f>
        <v>0.4571428571</v>
      </c>
      <c r="AK70" s="356">
        <f>CS_PID!AK70/VLOOKUP($B70,표2[#ALL],2)/hlookup($A70,표4[#ALL],row(),false)</f>
        <v>0</v>
      </c>
      <c r="AL70" s="356">
        <f>CS_PID!AL70/VLOOKUP($B70,표2[#ALL],2)/hlookup($A70,표4[#ALL],row(),false)</f>
        <v>0</v>
      </c>
      <c r="AM70" s="356">
        <f>CS_PID!AM70/VLOOKUP($B70,표2[#ALL],2)/hlookup($A70,표4[#ALL],row(),false)</f>
        <v>0</v>
      </c>
      <c r="AN70" s="356">
        <f>CS_PID!AN70/VLOOKUP($B70,표2[#ALL],2)/hlookup($A70,표4[#ALL],row(),false)</f>
        <v>0.8</v>
      </c>
      <c r="AO70" s="356">
        <f>CS_PID!AO70/VLOOKUP($B70,표2[#ALL],2)/hlookup($A70,표4[#ALL],row(),false)</f>
        <v>0.1428571429</v>
      </c>
      <c r="AP70" s="356">
        <f>CS_PID!AP70/VLOOKUP($B70,표2[#ALL],2)/hlookup($A70,표4[#ALL],row(),false)</f>
        <v>0</v>
      </c>
      <c r="AQ70" s="356">
        <f>CS_PID!AQ70/VLOOKUP($B70,표2[#ALL],2)/hlookup($A70,표4[#ALL],row(),false)</f>
        <v>0</v>
      </c>
      <c r="AR70" s="356">
        <f>CS_PID!AR70/VLOOKUP($B70,표2[#ALL],2)/hlookup($A70,표4[#ALL],row(),false)</f>
        <v>0.02857142857</v>
      </c>
      <c r="AS70" s="356">
        <f>CS_PID!AS70/VLOOKUP($B70,표2[#ALL],2)/hlookup($A70,표4[#ALL],row(),false)</f>
        <v>0.05714285714</v>
      </c>
    </row>
    <row r="71">
      <c r="A71" s="165" t="s">
        <v>82</v>
      </c>
      <c r="B71" s="166">
        <v>338.0</v>
      </c>
      <c r="C71" s="356">
        <f>CS_PID!C71/VLOOKUP($B71,표2[#ALL],2)/hlookup($A71,표4[#ALL],row(),false)</f>
        <v>0</v>
      </c>
      <c r="D71" s="356">
        <f>CS_PID!D71/VLOOKUP($B71,표2[#ALL],2)/hlookup($A71,표4[#ALL],row(),false)</f>
        <v>0</v>
      </c>
      <c r="E71" s="356">
        <f>CS_PID!E71/VLOOKUP($B71,표2[#ALL],2)/hlookup($A71,표4[#ALL],row(),false)</f>
        <v>1.444444444</v>
      </c>
      <c r="F71" s="356">
        <f>CS_PID!F71/VLOOKUP($B71,표2[#ALL],2)/hlookup($A71,표4[#ALL],row(),false)</f>
        <v>0.5555555556</v>
      </c>
      <c r="G71" s="356">
        <f>CS_PID!G71/VLOOKUP($B71,표2[#ALL],2)/hlookup($A71,표4[#ALL],row(),false)</f>
        <v>0</v>
      </c>
      <c r="H71" s="356">
        <f>CS_PID!H71/VLOOKUP($B71,표2[#ALL],2)/hlookup($A71,표4[#ALL],row(),false)</f>
        <v>0</v>
      </c>
      <c r="I71" s="356">
        <f>CS_PID!I71/VLOOKUP($B71,표2[#ALL],2)/hlookup($A71,표4[#ALL],row(),false)</f>
        <v>0.1111111111</v>
      </c>
      <c r="J71" s="356">
        <f>CS_PID!J71/VLOOKUP($B71,표2[#ALL],2)/hlookup($A71,표4[#ALL],row(),false)</f>
        <v>2.111111111</v>
      </c>
      <c r="K71" s="356">
        <f>CS_PID!K71/VLOOKUP($B71,표2[#ALL],2)/hlookup($A71,표4[#ALL],row(),false)</f>
        <v>1.666666667</v>
      </c>
      <c r="L71" s="356">
        <f>CS_PID!L71/VLOOKUP($B71,표2[#ALL],2)/hlookup($A71,표4[#ALL],row(),false)</f>
        <v>0.3333333333</v>
      </c>
      <c r="M71" s="356">
        <f>CS_PID!M71/VLOOKUP($B71,표2[#ALL],2)/hlookup($A71,표4[#ALL],row(),false)</f>
        <v>0</v>
      </c>
      <c r="N71" s="356">
        <f>CS_PID!N71/VLOOKUP($B71,표2[#ALL],2)/hlookup($A71,표4[#ALL],row(),false)</f>
        <v>0</v>
      </c>
      <c r="O71" s="356">
        <f>CS_PID!O71/VLOOKUP($B71,표2[#ALL],2)/hlookup($A71,표4[#ALL],row(),false)</f>
        <v>0</v>
      </c>
      <c r="P71" s="356">
        <f>CS_PID!P71/VLOOKUP($B71,표2[#ALL],2)/hlookup($A71,표4[#ALL],row(),false)</f>
        <v>1.666666667</v>
      </c>
      <c r="Q71" s="356">
        <f>CS_PID!Q71/VLOOKUP($B71,표2[#ALL],2)/hlookup($A71,표4[#ALL],row(),false)</f>
        <v>4.222222222</v>
      </c>
      <c r="R71" s="356">
        <f>CS_PID!R71/VLOOKUP($B71,표2[#ALL],2)/hlookup($A71,표4[#ALL],row(),false)</f>
        <v>1</v>
      </c>
      <c r="S71" s="356">
        <f>CS_PID!S71/VLOOKUP($B71,표2[#ALL],2)/hlookup($A71,표4[#ALL],row(),false)</f>
        <v>0.1111111111</v>
      </c>
      <c r="T71" s="356">
        <f>CS_PID!T71/VLOOKUP($B71,표2[#ALL],2)/hlookup($A71,표4[#ALL],row(),false)</f>
        <v>0</v>
      </c>
      <c r="U71" s="356">
        <f>CS_PID!U71/VLOOKUP($B71,표2[#ALL],2)/hlookup($A71,표4[#ALL],row(),false)</f>
        <v>0</v>
      </c>
      <c r="V71" s="356">
        <f>CS_PID!V71/VLOOKUP($B71,표2[#ALL],2)/hlookup($A71,표4[#ALL],row(),false)</f>
        <v>0.7777777778</v>
      </c>
      <c r="W71" s="356">
        <f>CS_PID!W71/VLOOKUP($B71,표2[#ALL],2)/hlookup($A71,표4[#ALL],row(),false)</f>
        <v>5.111111111</v>
      </c>
      <c r="X71" s="356">
        <f>CS_PID!X71/VLOOKUP($B71,표2[#ALL],2)/hlookup($A71,표4[#ALL],row(),false)</f>
        <v>2.222222222</v>
      </c>
      <c r="Y71" s="356">
        <f>CS_PID!Y71/VLOOKUP($B71,표2[#ALL],2)/hlookup($A71,표4[#ALL],row(),false)</f>
        <v>0</v>
      </c>
      <c r="Z71" s="356">
        <f>CS_PID!Z71/VLOOKUP($B71,표2[#ALL],2)/hlookup($A71,표4[#ALL],row(),false)</f>
        <v>0</v>
      </c>
      <c r="AA71" s="356">
        <f>CS_PID!AA71/VLOOKUP($B71,표2[#ALL],2)/hlookup($A71,표4[#ALL],row(),false)</f>
        <v>0</v>
      </c>
      <c r="AB71" s="356">
        <f>CS_PID!AB71/VLOOKUP($B71,표2[#ALL],2)/hlookup($A71,표4[#ALL],row(),false)</f>
        <v>0</v>
      </c>
      <c r="AC71" s="356">
        <f>CS_PID!AC71/VLOOKUP($B71,표2[#ALL],2)/hlookup($A71,표4[#ALL],row(),false)</f>
        <v>3.222222222</v>
      </c>
      <c r="AD71" s="356">
        <f>CS_PID!AD71/VLOOKUP($B71,표2[#ALL],2)/hlookup($A71,표4[#ALL],row(),false)</f>
        <v>0.8888888889</v>
      </c>
      <c r="AE71" s="356">
        <f>CS_PID!AE71/VLOOKUP($B71,표2[#ALL],2)/hlookup($A71,표4[#ALL],row(),false)</f>
        <v>0</v>
      </c>
      <c r="AF71" s="356">
        <f>CS_PID!AF71/VLOOKUP($B71,표2[#ALL],2)/hlookup($A71,표4[#ALL],row(),false)</f>
        <v>0</v>
      </c>
      <c r="AG71" s="356">
        <f>CS_PID!AG71/VLOOKUP($B71,표2[#ALL],2)/hlookup($A71,표4[#ALL],row(),false)</f>
        <v>0</v>
      </c>
      <c r="AH71" s="356">
        <f>CS_PID!AH71/VLOOKUP($B71,표2[#ALL],2)/hlookup($A71,표4[#ALL],row(),false)</f>
        <v>0.2222222222</v>
      </c>
      <c r="AI71" s="356">
        <f>CS_PID!AI71/VLOOKUP($B71,표2[#ALL],2)/hlookup($A71,표4[#ALL],row(),false)</f>
        <v>1.111111111</v>
      </c>
      <c r="AJ71" s="356">
        <f>CS_PID!AJ71/VLOOKUP($B71,표2[#ALL],2)/hlookup($A71,표4[#ALL],row(),false)</f>
        <v>0.7777777778</v>
      </c>
      <c r="AK71" s="356">
        <f>CS_PID!AK71/VLOOKUP($B71,표2[#ALL],2)/hlookup($A71,표4[#ALL],row(),false)</f>
        <v>0</v>
      </c>
      <c r="AL71" s="356">
        <f>CS_PID!AL71/VLOOKUP($B71,표2[#ALL],2)/hlookup($A71,표4[#ALL],row(),false)</f>
        <v>0</v>
      </c>
      <c r="AM71" s="356">
        <f>CS_PID!AM71/VLOOKUP($B71,표2[#ALL],2)/hlookup($A71,표4[#ALL],row(),false)</f>
        <v>0</v>
      </c>
      <c r="AN71" s="356">
        <f>CS_PID!AN71/VLOOKUP($B71,표2[#ALL],2)/hlookup($A71,표4[#ALL],row(),false)</f>
        <v>0.4444444444</v>
      </c>
      <c r="AO71" s="356">
        <f>CS_PID!AO71/VLOOKUP($B71,표2[#ALL],2)/hlookup($A71,표4[#ALL],row(),false)</f>
        <v>0</v>
      </c>
      <c r="AP71" s="356">
        <f>CS_PID!AP71/VLOOKUP($B71,표2[#ALL],2)/hlookup($A71,표4[#ALL],row(),false)</f>
        <v>0</v>
      </c>
      <c r="AQ71" s="356">
        <f>CS_PID!AQ71/VLOOKUP($B71,표2[#ALL],2)/hlookup($A71,표4[#ALL],row(),false)</f>
        <v>0</v>
      </c>
      <c r="AR71" s="356">
        <f>CS_PID!AR71/VLOOKUP($B71,표2[#ALL],2)/hlookup($A71,표4[#ALL],row(),false)</f>
        <v>0.1111111111</v>
      </c>
      <c r="AS71" s="356">
        <f>CS_PID!AS71/VLOOKUP($B71,표2[#ALL],2)/hlookup($A71,표4[#ALL],row(),false)</f>
        <v>0</v>
      </c>
    </row>
    <row r="72">
      <c r="A72" s="165" t="s">
        <v>82</v>
      </c>
      <c r="B72" s="166">
        <v>339.0</v>
      </c>
      <c r="C72" s="356">
        <f>CS_PID!C72/VLOOKUP($B72,표2[#ALL],2)/hlookup($A72,표4[#ALL],row(),false)</f>
        <v>0</v>
      </c>
      <c r="D72" s="356">
        <f>CS_PID!D72/VLOOKUP($B72,표2[#ALL],2)/hlookup($A72,표4[#ALL],row(),false)</f>
        <v>0.1</v>
      </c>
      <c r="E72" s="356">
        <f>CS_PID!E72/VLOOKUP($B72,표2[#ALL],2)/hlookup($A72,표4[#ALL],row(),false)</f>
        <v>0.1</v>
      </c>
      <c r="F72" s="356">
        <f>CS_PID!F72/VLOOKUP($B72,표2[#ALL],2)/hlookup($A72,표4[#ALL],row(),false)</f>
        <v>0.3</v>
      </c>
      <c r="G72" s="356">
        <f>CS_PID!G72/VLOOKUP($B72,표2[#ALL],2)/hlookup($A72,표4[#ALL],row(),false)</f>
        <v>0</v>
      </c>
      <c r="H72" s="356">
        <f>CS_PID!H72/VLOOKUP($B72,표2[#ALL],2)/hlookup($A72,표4[#ALL],row(),false)</f>
        <v>0</v>
      </c>
      <c r="I72" s="356">
        <f>CS_PID!I72/VLOOKUP($B72,표2[#ALL],2)/hlookup($A72,표4[#ALL],row(),false)</f>
        <v>0</v>
      </c>
      <c r="J72" s="356">
        <f>CS_PID!J72/VLOOKUP($B72,표2[#ALL],2)/hlookup($A72,표4[#ALL],row(),false)</f>
        <v>0.7</v>
      </c>
      <c r="K72" s="356">
        <f>CS_PID!K72/VLOOKUP($B72,표2[#ALL],2)/hlookup($A72,표4[#ALL],row(),false)</f>
        <v>0.8</v>
      </c>
      <c r="L72" s="356">
        <f>CS_PID!L72/VLOOKUP($B72,표2[#ALL],2)/hlookup($A72,표4[#ALL],row(),false)</f>
        <v>0</v>
      </c>
      <c r="M72" s="356">
        <f>CS_PID!M72/VLOOKUP($B72,표2[#ALL],2)/hlookup($A72,표4[#ALL],row(),false)</f>
        <v>0</v>
      </c>
      <c r="N72" s="356">
        <f>CS_PID!N72/VLOOKUP($B72,표2[#ALL],2)/hlookup($A72,표4[#ALL],row(),false)</f>
        <v>0</v>
      </c>
      <c r="O72" s="356">
        <f>CS_PID!O72/VLOOKUP($B72,표2[#ALL],2)/hlookup($A72,표4[#ALL],row(),false)</f>
        <v>0.1</v>
      </c>
      <c r="P72" s="356">
        <f>CS_PID!P72/VLOOKUP($B72,표2[#ALL],2)/hlookup($A72,표4[#ALL],row(),false)</f>
        <v>0.8</v>
      </c>
      <c r="Q72" s="356">
        <f>CS_PID!Q72/VLOOKUP($B72,표2[#ALL],2)/hlookup($A72,표4[#ALL],row(),false)</f>
        <v>2.7</v>
      </c>
      <c r="R72" s="356">
        <f>CS_PID!R72/VLOOKUP($B72,표2[#ALL],2)/hlookup($A72,표4[#ALL],row(),false)</f>
        <v>1</v>
      </c>
      <c r="S72" s="356">
        <f>CS_PID!S72/VLOOKUP($B72,표2[#ALL],2)/hlookup($A72,표4[#ALL],row(),false)</f>
        <v>0</v>
      </c>
      <c r="T72" s="356">
        <f>CS_PID!T72/VLOOKUP($B72,표2[#ALL],2)/hlookup($A72,표4[#ALL],row(),false)</f>
        <v>0</v>
      </c>
      <c r="U72" s="356">
        <f>CS_PID!U72/VLOOKUP($B72,표2[#ALL],2)/hlookup($A72,표4[#ALL],row(),false)</f>
        <v>0</v>
      </c>
      <c r="V72" s="356">
        <f>CS_PID!V72/VLOOKUP($B72,표2[#ALL],2)/hlookup($A72,표4[#ALL],row(),false)</f>
        <v>0.4</v>
      </c>
      <c r="W72" s="356">
        <f>CS_PID!W72/VLOOKUP($B72,표2[#ALL],2)/hlookup($A72,표4[#ALL],row(),false)</f>
        <v>2.3</v>
      </c>
      <c r="X72" s="356">
        <f>CS_PID!X72/VLOOKUP($B72,표2[#ALL],2)/hlookup($A72,표4[#ALL],row(),false)</f>
        <v>1</v>
      </c>
      <c r="Y72" s="356">
        <f>CS_PID!Y72/VLOOKUP($B72,표2[#ALL],2)/hlookup($A72,표4[#ALL],row(),false)</f>
        <v>0</v>
      </c>
      <c r="Z72" s="356">
        <f>CS_PID!Z72/VLOOKUP($B72,표2[#ALL],2)/hlookup($A72,표4[#ALL],row(),false)</f>
        <v>0</v>
      </c>
      <c r="AA72" s="356">
        <f>CS_PID!AA72/VLOOKUP($B72,표2[#ALL],2)/hlookup($A72,표4[#ALL],row(),false)</f>
        <v>0</v>
      </c>
      <c r="AB72" s="356">
        <f>CS_PID!AB72/VLOOKUP($B72,표2[#ALL],2)/hlookup($A72,표4[#ALL],row(),false)</f>
        <v>0.1</v>
      </c>
      <c r="AC72" s="356">
        <f>CS_PID!AC72/VLOOKUP($B72,표2[#ALL],2)/hlookup($A72,표4[#ALL],row(),false)</f>
        <v>2.3</v>
      </c>
      <c r="AD72" s="356">
        <f>CS_PID!AD72/VLOOKUP($B72,표2[#ALL],2)/hlookup($A72,표4[#ALL],row(),false)</f>
        <v>0.2</v>
      </c>
      <c r="AE72" s="356">
        <f>CS_PID!AE72/VLOOKUP($B72,표2[#ALL],2)/hlookup($A72,표4[#ALL],row(),false)</f>
        <v>0</v>
      </c>
      <c r="AF72" s="356">
        <f>CS_PID!AF72/VLOOKUP($B72,표2[#ALL],2)/hlookup($A72,표4[#ALL],row(),false)</f>
        <v>0</v>
      </c>
      <c r="AG72" s="356">
        <f>CS_PID!AG72/VLOOKUP($B72,표2[#ALL],2)/hlookup($A72,표4[#ALL],row(),false)</f>
        <v>0</v>
      </c>
      <c r="AH72" s="356">
        <f>CS_PID!AH72/VLOOKUP($B72,표2[#ALL],2)/hlookup($A72,표4[#ALL],row(),false)</f>
        <v>0.1</v>
      </c>
      <c r="AI72" s="356">
        <f>CS_PID!AI72/VLOOKUP($B72,표2[#ALL],2)/hlookup($A72,표4[#ALL],row(),false)</f>
        <v>1</v>
      </c>
      <c r="AJ72" s="356">
        <f>CS_PID!AJ72/VLOOKUP($B72,표2[#ALL],2)/hlookup($A72,표4[#ALL],row(),false)</f>
        <v>0.2</v>
      </c>
      <c r="AK72" s="356">
        <f>CS_PID!AK72/VLOOKUP($B72,표2[#ALL],2)/hlookup($A72,표4[#ALL],row(),false)</f>
        <v>0</v>
      </c>
      <c r="AL72" s="356">
        <f>CS_PID!AL72/VLOOKUP($B72,표2[#ALL],2)/hlookup($A72,표4[#ALL],row(),false)</f>
        <v>0</v>
      </c>
      <c r="AM72" s="356">
        <f>CS_PID!AM72/VLOOKUP($B72,표2[#ALL],2)/hlookup($A72,표4[#ALL],row(),false)</f>
        <v>0</v>
      </c>
      <c r="AN72" s="356">
        <f>CS_PID!AN72/VLOOKUP($B72,표2[#ALL],2)/hlookup($A72,표4[#ALL],row(),false)</f>
        <v>0.5</v>
      </c>
      <c r="AO72" s="356">
        <f>CS_PID!AO72/VLOOKUP($B72,표2[#ALL],2)/hlookup($A72,표4[#ALL],row(),false)</f>
        <v>0</v>
      </c>
      <c r="AP72" s="356">
        <f>CS_PID!AP72/VLOOKUP($B72,표2[#ALL],2)/hlookup($A72,표4[#ALL],row(),false)</f>
        <v>0</v>
      </c>
      <c r="AQ72" s="356">
        <f>CS_PID!AQ72/VLOOKUP($B72,표2[#ALL],2)/hlookup($A72,표4[#ALL],row(),false)</f>
        <v>0</v>
      </c>
      <c r="AR72" s="356">
        <f>CS_PID!AR72/VLOOKUP($B72,표2[#ALL],2)/hlookup($A72,표4[#ALL],row(),false)</f>
        <v>0</v>
      </c>
      <c r="AS72" s="356">
        <f>CS_PID!AS72/VLOOKUP($B72,표2[#ALL],2)/hlookup($A72,표4[#ALL],row(),false)</f>
        <v>0</v>
      </c>
    </row>
    <row r="73">
      <c r="A73" s="165" t="s">
        <v>82</v>
      </c>
      <c r="B73" s="166">
        <v>340.0</v>
      </c>
      <c r="C73" s="356">
        <f>CS_PID!C73/VLOOKUP($B73,표2[#ALL],2)/hlookup($A73,표4[#ALL],row(),false)</f>
        <v>0</v>
      </c>
      <c r="D73" s="356">
        <f>CS_PID!D73/VLOOKUP($B73,표2[#ALL],2)/hlookup($A73,표4[#ALL],row(),false)</f>
        <v>0.05405405405</v>
      </c>
      <c r="E73" s="356">
        <f>CS_PID!E73/VLOOKUP($B73,표2[#ALL],2)/hlookup($A73,표4[#ALL],row(),false)</f>
        <v>0.3513513514</v>
      </c>
      <c r="F73" s="356">
        <f>CS_PID!F73/VLOOKUP($B73,표2[#ALL],2)/hlookup($A73,표4[#ALL],row(),false)</f>
        <v>0.6486486486</v>
      </c>
      <c r="G73" s="356">
        <f>CS_PID!G73/VLOOKUP($B73,표2[#ALL],2)/hlookup($A73,표4[#ALL],row(),false)</f>
        <v>0.1081081081</v>
      </c>
      <c r="H73" s="356">
        <f>CS_PID!H73/VLOOKUP($B73,표2[#ALL],2)/hlookup($A73,표4[#ALL],row(),false)</f>
        <v>0</v>
      </c>
      <c r="I73" s="356">
        <f>CS_PID!I73/VLOOKUP($B73,표2[#ALL],2)/hlookup($A73,표4[#ALL],row(),false)</f>
        <v>0</v>
      </c>
      <c r="J73" s="356">
        <f>CS_PID!J73/VLOOKUP($B73,표2[#ALL],2)/hlookup($A73,표4[#ALL],row(),false)</f>
        <v>1.972972973</v>
      </c>
      <c r="K73" s="356">
        <f>CS_PID!K73/VLOOKUP($B73,표2[#ALL],2)/hlookup($A73,표4[#ALL],row(),false)</f>
        <v>1.918918919</v>
      </c>
      <c r="L73" s="356">
        <f>CS_PID!L73/VLOOKUP($B73,표2[#ALL],2)/hlookup($A73,표4[#ALL],row(),false)</f>
        <v>0.4864864865</v>
      </c>
      <c r="M73" s="356">
        <f>CS_PID!M73/VLOOKUP($B73,표2[#ALL],2)/hlookup($A73,표4[#ALL],row(),false)</f>
        <v>0.05405405405</v>
      </c>
      <c r="N73" s="356">
        <f>CS_PID!N73/VLOOKUP($B73,표2[#ALL],2)/hlookup($A73,표4[#ALL],row(),false)</f>
        <v>0</v>
      </c>
      <c r="O73" s="356">
        <f>CS_PID!O73/VLOOKUP($B73,표2[#ALL],2)/hlookup($A73,표4[#ALL],row(),false)</f>
        <v>0.02702702703</v>
      </c>
      <c r="P73" s="356">
        <f>CS_PID!P73/VLOOKUP($B73,표2[#ALL],2)/hlookup($A73,표4[#ALL],row(),false)</f>
        <v>0.6216216216</v>
      </c>
      <c r="Q73" s="356">
        <f>CS_PID!Q73/VLOOKUP($B73,표2[#ALL],2)/hlookup($A73,표4[#ALL],row(),false)</f>
        <v>4.783783784</v>
      </c>
      <c r="R73" s="356">
        <f>CS_PID!R73/VLOOKUP($B73,표2[#ALL],2)/hlookup($A73,표4[#ALL],row(),false)</f>
        <v>1</v>
      </c>
      <c r="S73" s="356">
        <f>CS_PID!S73/VLOOKUP($B73,표2[#ALL],2)/hlookup($A73,표4[#ALL],row(),false)</f>
        <v>0.02702702703</v>
      </c>
      <c r="T73" s="356">
        <f>CS_PID!T73/VLOOKUP($B73,표2[#ALL],2)/hlookup($A73,표4[#ALL],row(),false)</f>
        <v>0</v>
      </c>
      <c r="U73" s="356">
        <f>CS_PID!U73/VLOOKUP($B73,표2[#ALL],2)/hlookup($A73,표4[#ALL],row(),false)</f>
        <v>0.02702702703</v>
      </c>
      <c r="V73" s="356">
        <f>CS_PID!V73/VLOOKUP($B73,표2[#ALL],2)/hlookup($A73,표4[#ALL],row(),false)</f>
        <v>0.3783783784</v>
      </c>
      <c r="W73" s="356">
        <f>CS_PID!W73/VLOOKUP($B73,표2[#ALL],2)/hlookup($A73,표4[#ALL],row(),false)</f>
        <v>3.540540541</v>
      </c>
      <c r="X73" s="356">
        <f>CS_PID!X73/VLOOKUP($B73,표2[#ALL],2)/hlookup($A73,표4[#ALL],row(),false)</f>
        <v>2.081081081</v>
      </c>
      <c r="Y73" s="356">
        <f>CS_PID!Y73/VLOOKUP($B73,표2[#ALL],2)/hlookup($A73,표4[#ALL],row(),false)</f>
        <v>0.05405405405</v>
      </c>
      <c r="Z73" s="356">
        <f>CS_PID!Z73/VLOOKUP($B73,표2[#ALL],2)/hlookup($A73,표4[#ALL],row(),false)</f>
        <v>0</v>
      </c>
      <c r="AA73" s="356">
        <f>CS_PID!AA73/VLOOKUP($B73,표2[#ALL],2)/hlookup($A73,표4[#ALL],row(),false)</f>
        <v>0</v>
      </c>
      <c r="AB73" s="356">
        <f>CS_PID!AB73/VLOOKUP($B73,표2[#ALL],2)/hlookup($A73,표4[#ALL],row(),false)</f>
        <v>0.1621621622</v>
      </c>
      <c r="AC73" s="356">
        <f>CS_PID!AC73/VLOOKUP($B73,표2[#ALL],2)/hlookup($A73,표4[#ALL],row(),false)</f>
        <v>3.891891892</v>
      </c>
      <c r="AD73" s="356">
        <f>CS_PID!AD73/VLOOKUP($B73,표2[#ALL],2)/hlookup($A73,표4[#ALL],row(),false)</f>
        <v>0.9189189189</v>
      </c>
      <c r="AE73" s="356">
        <f>CS_PID!AE73/VLOOKUP($B73,표2[#ALL],2)/hlookup($A73,표4[#ALL],row(),false)</f>
        <v>0.05405405405</v>
      </c>
      <c r="AF73" s="356">
        <f>CS_PID!AF73/VLOOKUP($B73,표2[#ALL],2)/hlookup($A73,표4[#ALL],row(),false)</f>
        <v>0</v>
      </c>
      <c r="AG73" s="356">
        <f>CS_PID!AG73/VLOOKUP($B73,표2[#ALL],2)/hlookup($A73,표4[#ALL],row(),false)</f>
        <v>0.02702702703</v>
      </c>
      <c r="AH73" s="356">
        <f>CS_PID!AH73/VLOOKUP($B73,표2[#ALL],2)/hlookup($A73,표4[#ALL],row(),false)</f>
        <v>0.2162162162</v>
      </c>
      <c r="AI73" s="356">
        <f>CS_PID!AI73/VLOOKUP($B73,표2[#ALL],2)/hlookup($A73,표4[#ALL],row(),false)</f>
        <v>1.675675676</v>
      </c>
      <c r="AJ73" s="356">
        <f>CS_PID!AJ73/VLOOKUP($B73,표2[#ALL],2)/hlookup($A73,표4[#ALL],row(),false)</f>
        <v>0.6486486486</v>
      </c>
      <c r="AK73" s="356">
        <f>CS_PID!AK73/VLOOKUP($B73,표2[#ALL],2)/hlookup($A73,표4[#ALL],row(),false)</f>
        <v>0</v>
      </c>
      <c r="AL73" s="356">
        <f>CS_PID!AL73/VLOOKUP($B73,표2[#ALL],2)/hlookup($A73,표4[#ALL],row(),false)</f>
        <v>0</v>
      </c>
      <c r="AM73" s="356">
        <f>CS_PID!AM73/VLOOKUP($B73,표2[#ALL],2)/hlookup($A73,표4[#ALL],row(),false)</f>
        <v>0.05405405405</v>
      </c>
      <c r="AN73" s="356">
        <f>CS_PID!AN73/VLOOKUP($B73,표2[#ALL],2)/hlookup($A73,표4[#ALL],row(),false)</f>
        <v>0.6756756757</v>
      </c>
      <c r="AO73" s="356">
        <f>CS_PID!AO73/VLOOKUP($B73,표2[#ALL],2)/hlookup($A73,표4[#ALL],row(),false)</f>
        <v>0.02702702703</v>
      </c>
      <c r="AP73" s="356">
        <f>CS_PID!AP73/VLOOKUP($B73,표2[#ALL],2)/hlookup($A73,표4[#ALL],row(),false)</f>
        <v>0</v>
      </c>
      <c r="AQ73" s="356">
        <f>CS_PID!AQ73/VLOOKUP($B73,표2[#ALL],2)/hlookup($A73,표4[#ALL],row(),false)</f>
        <v>0</v>
      </c>
      <c r="AR73" s="356">
        <f>CS_PID!AR73/VLOOKUP($B73,표2[#ALL],2)/hlookup($A73,표4[#ALL],row(),false)</f>
        <v>0</v>
      </c>
      <c r="AS73" s="356">
        <f>CS_PID!AS73/VLOOKUP($B73,표2[#ALL],2)/hlookup($A73,표4[#ALL],row(),false)</f>
        <v>0</v>
      </c>
    </row>
    <row r="74">
      <c r="A74" s="165" t="s">
        <v>82</v>
      </c>
      <c r="B74" s="166">
        <v>341.0</v>
      </c>
      <c r="C74" s="356">
        <f>CS_PID!C74/VLOOKUP($B74,표2[#ALL],2)/hlookup($A74,표4[#ALL],row(),false)</f>
        <v>0.03846153846</v>
      </c>
      <c r="D74" s="356">
        <f>CS_PID!D74/VLOOKUP($B74,표2[#ALL],2)/hlookup($A74,표4[#ALL],row(),false)</f>
        <v>0.09615384615</v>
      </c>
      <c r="E74" s="356">
        <f>CS_PID!E74/VLOOKUP($B74,표2[#ALL],2)/hlookup($A74,표4[#ALL],row(),false)</f>
        <v>0.4807692308</v>
      </c>
      <c r="F74" s="356">
        <f>CS_PID!F74/VLOOKUP($B74,표2[#ALL],2)/hlookup($A74,표4[#ALL],row(),false)</f>
        <v>0.5576923077</v>
      </c>
      <c r="G74" s="356">
        <f>CS_PID!G74/VLOOKUP($B74,표2[#ALL],2)/hlookup($A74,표4[#ALL],row(),false)</f>
        <v>0.03846153846</v>
      </c>
      <c r="H74" s="356">
        <f>CS_PID!H74/VLOOKUP($B74,표2[#ALL],2)/hlookup($A74,표4[#ALL],row(),false)</f>
        <v>0</v>
      </c>
      <c r="I74" s="356">
        <f>CS_PID!I74/VLOOKUP($B74,표2[#ALL],2)/hlookup($A74,표4[#ALL],row(),false)</f>
        <v>0.03846153846</v>
      </c>
      <c r="J74" s="356">
        <f>CS_PID!J74/VLOOKUP($B74,표2[#ALL],2)/hlookup($A74,표4[#ALL],row(),false)</f>
        <v>1.75</v>
      </c>
      <c r="K74" s="356">
        <f>CS_PID!K74/VLOOKUP($B74,표2[#ALL],2)/hlookup($A74,표4[#ALL],row(),false)</f>
        <v>1.865384615</v>
      </c>
      <c r="L74" s="356">
        <f>CS_PID!L74/VLOOKUP($B74,표2[#ALL],2)/hlookup($A74,표4[#ALL],row(),false)</f>
        <v>0.5192307692</v>
      </c>
      <c r="M74" s="356">
        <f>CS_PID!M74/VLOOKUP($B74,표2[#ALL],2)/hlookup($A74,표4[#ALL],row(),false)</f>
        <v>0.03846153846</v>
      </c>
      <c r="N74" s="356">
        <f>CS_PID!N74/VLOOKUP($B74,표2[#ALL],2)/hlookup($A74,표4[#ALL],row(),false)</f>
        <v>0</v>
      </c>
      <c r="O74" s="356">
        <f>CS_PID!O74/VLOOKUP($B74,표2[#ALL],2)/hlookup($A74,표4[#ALL],row(),false)</f>
        <v>0.03846153846</v>
      </c>
      <c r="P74" s="356">
        <f>CS_PID!P74/VLOOKUP($B74,표2[#ALL],2)/hlookup($A74,표4[#ALL],row(),false)</f>
        <v>0.7884615385</v>
      </c>
      <c r="Q74" s="356">
        <f>CS_PID!Q74/VLOOKUP($B74,표2[#ALL],2)/hlookup($A74,표4[#ALL],row(),false)</f>
        <v>4.365384615</v>
      </c>
      <c r="R74" s="356">
        <f>CS_PID!R74/VLOOKUP($B74,표2[#ALL],2)/hlookup($A74,표4[#ALL],row(),false)</f>
        <v>1</v>
      </c>
      <c r="S74" s="356">
        <f>CS_PID!S74/VLOOKUP($B74,표2[#ALL],2)/hlookup($A74,표4[#ALL],row(),false)</f>
        <v>0.05769230769</v>
      </c>
      <c r="T74" s="356">
        <f>CS_PID!T74/VLOOKUP($B74,표2[#ALL],2)/hlookup($A74,표4[#ALL],row(),false)</f>
        <v>0</v>
      </c>
      <c r="U74" s="356">
        <f>CS_PID!U74/VLOOKUP($B74,표2[#ALL],2)/hlookup($A74,표4[#ALL],row(),false)</f>
        <v>0.01923076923</v>
      </c>
      <c r="V74" s="356">
        <f>CS_PID!V74/VLOOKUP($B74,표2[#ALL],2)/hlookup($A74,표4[#ALL],row(),false)</f>
        <v>0.6538461538</v>
      </c>
      <c r="W74" s="356">
        <f>CS_PID!W74/VLOOKUP($B74,표2[#ALL],2)/hlookup($A74,표4[#ALL],row(),false)</f>
        <v>3.269230769</v>
      </c>
      <c r="X74" s="356">
        <f>CS_PID!X74/VLOOKUP($B74,표2[#ALL],2)/hlookup($A74,표4[#ALL],row(),false)</f>
        <v>1.846153846</v>
      </c>
      <c r="Y74" s="356">
        <f>CS_PID!Y74/VLOOKUP($B74,표2[#ALL],2)/hlookup($A74,표4[#ALL],row(),false)</f>
        <v>0.03846153846</v>
      </c>
      <c r="Z74" s="356">
        <f>CS_PID!Z74/VLOOKUP($B74,표2[#ALL],2)/hlookup($A74,표4[#ALL],row(),false)</f>
        <v>0</v>
      </c>
      <c r="AA74" s="356">
        <f>CS_PID!AA74/VLOOKUP($B74,표2[#ALL],2)/hlookup($A74,표4[#ALL],row(),false)</f>
        <v>0</v>
      </c>
      <c r="AB74" s="356">
        <f>CS_PID!AB74/VLOOKUP($B74,표2[#ALL],2)/hlookup($A74,표4[#ALL],row(),false)</f>
        <v>0.1538461538</v>
      </c>
      <c r="AC74" s="356">
        <f>CS_PID!AC74/VLOOKUP($B74,표2[#ALL],2)/hlookup($A74,표4[#ALL],row(),false)</f>
        <v>2.788461538</v>
      </c>
      <c r="AD74" s="356">
        <f>CS_PID!AD74/VLOOKUP($B74,표2[#ALL],2)/hlookup($A74,표4[#ALL],row(),false)</f>
        <v>0.8076923077</v>
      </c>
      <c r="AE74" s="356">
        <f>CS_PID!AE74/VLOOKUP($B74,표2[#ALL],2)/hlookup($A74,표4[#ALL],row(),false)</f>
        <v>0.01923076923</v>
      </c>
      <c r="AF74" s="356">
        <f>CS_PID!AF74/VLOOKUP($B74,표2[#ALL],2)/hlookup($A74,표4[#ALL],row(),false)</f>
        <v>0</v>
      </c>
      <c r="AG74" s="356">
        <f>CS_PID!AG74/VLOOKUP($B74,표2[#ALL],2)/hlookup($A74,표4[#ALL],row(),false)</f>
        <v>0</v>
      </c>
      <c r="AH74" s="356">
        <f>CS_PID!AH74/VLOOKUP($B74,표2[#ALL],2)/hlookup($A74,표4[#ALL],row(),false)</f>
        <v>0.1730769231</v>
      </c>
      <c r="AI74" s="356">
        <f>CS_PID!AI74/VLOOKUP($B74,표2[#ALL],2)/hlookup($A74,표4[#ALL],row(),false)</f>
        <v>1.442307692</v>
      </c>
      <c r="AJ74" s="356">
        <f>CS_PID!AJ74/VLOOKUP($B74,표2[#ALL],2)/hlookup($A74,표4[#ALL],row(),false)</f>
        <v>0.9423076923</v>
      </c>
      <c r="AK74" s="356">
        <f>CS_PID!AK74/VLOOKUP($B74,표2[#ALL],2)/hlookup($A74,표4[#ALL],row(),false)</f>
        <v>0</v>
      </c>
      <c r="AL74" s="356">
        <f>CS_PID!AL74/VLOOKUP($B74,표2[#ALL],2)/hlookup($A74,표4[#ALL],row(),false)</f>
        <v>0</v>
      </c>
      <c r="AM74" s="356">
        <f>CS_PID!AM74/VLOOKUP($B74,표2[#ALL],2)/hlookup($A74,표4[#ALL],row(),false)</f>
        <v>0.01923076923</v>
      </c>
      <c r="AN74" s="356">
        <f>CS_PID!AN74/VLOOKUP($B74,표2[#ALL],2)/hlookup($A74,표4[#ALL],row(),false)</f>
        <v>0.9423076923</v>
      </c>
      <c r="AO74" s="356">
        <f>CS_PID!AO74/VLOOKUP($B74,표2[#ALL],2)/hlookup($A74,표4[#ALL],row(),false)</f>
        <v>0.1153846154</v>
      </c>
      <c r="AP74" s="356">
        <f>CS_PID!AP74/VLOOKUP($B74,표2[#ALL],2)/hlookup($A74,표4[#ALL],row(),false)</f>
        <v>0</v>
      </c>
      <c r="AQ74" s="356">
        <f>CS_PID!AQ74/VLOOKUP($B74,표2[#ALL],2)/hlookup($A74,표4[#ALL],row(),false)</f>
        <v>0</v>
      </c>
      <c r="AR74" s="356">
        <f>CS_PID!AR74/VLOOKUP($B74,표2[#ALL],2)/hlookup($A74,표4[#ALL],row(),false)</f>
        <v>0.03846153846</v>
      </c>
      <c r="AS74" s="356">
        <f>CS_PID!AS74/VLOOKUP($B74,표2[#ALL],2)/hlookup($A74,표4[#ALL],row(),false)</f>
        <v>0.01923076923</v>
      </c>
    </row>
    <row r="75">
      <c r="A75" s="165" t="s">
        <v>82</v>
      </c>
      <c r="B75" s="166">
        <v>342.0</v>
      </c>
      <c r="C75" s="356">
        <f>CS_PID!C75/VLOOKUP($B75,표2[#ALL],2)/hlookup($A75,표4[#ALL],row(),false)</f>
        <v>0</v>
      </c>
      <c r="D75" s="356">
        <f>CS_PID!D75/VLOOKUP($B75,표2[#ALL],2)/hlookup($A75,표4[#ALL],row(),false)</f>
        <v>0.02631578947</v>
      </c>
      <c r="E75" s="356">
        <f>CS_PID!E75/VLOOKUP($B75,표2[#ALL],2)/hlookup($A75,표4[#ALL],row(),false)</f>
        <v>0.3157894737</v>
      </c>
      <c r="F75" s="356">
        <f>CS_PID!F75/VLOOKUP($B75,표2[#ALL],2)/hlookup($A75,표4[#ALL],row(),false)</f>
        <v>0.5263157895</v>
      </c>
      <c r="G75" s="356">
        <f>CS_PID!G75/VLOOKUP($B75,표2[#ALL],2)/hlookup($A75,표4[#ALL],row(),false)</f>
        <v>0.05263157895</v>
      </c>
      <c r="H75" s="356">
        <f>CS_PID!H75/VLOOKUP($B75,표2[#ALL],2)/hlookup($A75,표4[#ALL],row(),false)</f>
        <v>0</v>
      </c>
      <c r="I75" s="356">
        <f>CS_PID!I75/VLOOKUP($B75,표2[#ALL],2)/hlookup($A75,표4[#ALL],row(),false)</f>
        <v>0</v>
      </c>
      <c r="J75" s="356">
        <f>CS_PID!J75/VLOOKUP($B75,표2[#ALL],2)/hlookup($A75,표4[#ALL],row(),false)</f>
        <v>1.447368421</v>
      </c>
      <c r="K75" s="356">
        <f>CS_PID!K75/VLOOKUP($B75,표2[#ALL],2)/hlookup($A75,표4[#ALL],row(),false)</f>
        <v>1.473684211</v>
      </c>
      <c r="L75" s="356">
        <f>CS_PID!L75/VLOOKUP($B75,표2[#ALL],2)/hlookup($A75,표4[#ALL],row(),false)</f>
        <v>0.5263157895</v>
      </c>
      <c r="M75" s="356">
        <f>CS_PID!M75/VLOOKUP($B75,표2[#ALL],2)/hlookup($A75,표4[#ALL],row(),false)</f>
        <v>0.05263157895</v>
      </c>
      <c r="N75" s="356">
        <f>CS_PID!N75/VLOOKUP($B75,표2[#ALL],2)/hlookup($A75,표4[#ALL],row(),false)</f>
        <v>0</v>
      </c>
      <c r="O75" s="356">
        <f>CS_PID!O75/VLOOKUP($B75,표2[#ALL],2)/hlookup($A75,표4[#ALL],row(),false)</f>
        <v>0.02631578947</v>
      </c>
      <c r="P75" s="356">
        <f>CS_PID!P75/VLOOKUP($B75,표2[#ALL],2)/hlookup($A75,표4[#ALL],row(),false)</f>
        <v>0.7631578947</v>
      </c>
      <c r="Q75" s="356">
        <f>CS_PID!Q75/VLOOKUP($B75,표2[#ALL],2)/hlookup($A75,표4[#ALL],row(),false)</f>
        <v>3.394736842</v>
      </c>
      <c r="R75" s="356">
        <f>CS_PID!R75/VLOOKUP($B75,표2[#ALL],2)/hlookup($A75,표4[#ALL],row(),false)</f>
        <v>1</v>
      </c>
      <c r="S75" s="356">
        <f>CS_PID!S75/VLOOKUP($B75,표2[#ALL],2)/hlookup($A75,표4[#ALL],row(),false)</f>
        <v>0</v>
      </c>
      <c r="T75" s="356">
        <f>CS_PID!T75/VLOOKUP($B75,표2[#ALL],2)/hlookup($A75,표4[#ALL],row(),false)</f>
        <v>0</v>
      </c>
      <c r="U75" s="356">
        <f>CS_PID!U75/VLOOKUP($B75,표2[#ALL],2)/hlookup($A75,표4[#ALL],row(),false)</f>
        <v>0</v>
      </c>
      <c r="V75" s="356">
        <f>CS_PID!V75/VLOOKUP($B75,표2[#ALL],2)/hlookup($A75,표4[#ALL],row(),false)</f>
        <v>0.3947368421</v>
      </c>
      <c r="W75" s="356">
        <f>CS_PID!W75/VLOOKUP($B75,표2[#ALL],2)/hlookup($A75,표4[#ALL],row(),false)</f>
        <v>3.421052632</v>
      </c>
      <c r="X75" s="356">
        <f>CS_PID!X75/VLOOKUP($B75,표2[#ALL],2)/hlookup($A75,표4[#ALL],row(),false)</f>
        <v>1.5</v>
      </c>
      <c r="Y75" s="356">
        <f>CS_PID!Y75/VLOOKUP($B75,표2[#ALL],2)/hlookup($A75,표4[#ALL],row(),false)</f>
        <v>0</v>
      </c>
      <c r="Z75" s="356">
        <f>CS_PID!Z75/VLOOKUP($B75,표2[#ALL],2)/hlookup($A75,표4[#ALL],row(),false)</f>
        <v>0</v>
      </c>
      <c r="AA75" s="356">
        <f>CS_PID!AA75/VLOOKUP($B75,표2[#ALL],2)/hlookup($A75,표4[#ALL],row(),false)</f>
        <v>0</v>
      </c>
      <c r="AB75" s="356">
        <f>CS_PID!AB75/VLOOKUP($B75,표2[#ALL],2)/hlookup($A75,표4[#ALL],row(),false)</f>
        <v>0.1842105263</v>
      </c>
      <c r="AC75" s="356">
        <f>CS_PID!AC75/VLOOKUP($B75,표2[#ALL],2)/hlookup($A75,표4[#ALL],row(),false)</f>
        <v>2.342105263</v>
      </c>
      <c r="AD75" s="356">
        <f>CS_PID!AD75/VLOOKUP($B75,표2[#ALL],2)/hlookup($A75,표4[#ALL],row(),false)</f>
        <v>0.8947368421</v>
      </c>
      <c r="AE75" s="356">
        <f>CS_PID!AE75/VLOOKUP($B75,표2[#ALL],2)/hlookup($A75,표4[#ALL],row(),false)</f>
        <v>0.02631578947</v>
      </c>
      <c r="AF75" s="356">
        <f>CS_PID!AF75/VLOOKUP($B75,표2[#ALL],2)/hlookup($A75,표4[#ALL],row(),false)</f>
        <v>0</v>
      </c>
      <c r="AG75" s="356">
        <f>CS_PID!AG75/VLOOKUP($B75,표2[#ALL],2)/hlookup($A75,표4[#ALL],row(),false)</f>
        <v>0</v>
      </c>
      <c r="AH75" s="356">
        <f>CS_PID!AH75/VLOOKUP($B75,표2[#ALL],2)/hlookup($A75,표4[#ALL],row(),false)</f>
        <v>0.1052631579</v>
      </c>
      <c r="AI75" s="356">
        <f>CS_PID!AI75/VLOOKUP($B75,표2[#ALL],2)/hlookup($A75,표4[#ALL],row(),false)</f>
        <v>0.9736842105</v>
      </c>
      <c r="AJ75" s="356">
        <f>CS_PID!AJ75/VLOOKUP($B75,표2[#ALL],2)/hlookup($A75,표4[#ALL],row(),false)</f>
        <v>0.4736842105</v>
      </c>
      <c r="AK75" s="356">
        <f>CS_PID!AK75/VLOOKUP($B75,표2[#ALL],2)/hlookup($A75,표4[#ALL],row(),false)</f>
        <v>0</v>
      </c>
      <c r="AL75" s="356">
        <f>CS_PID!AL75/VLOOKUP($B75,표2[#ALL],2)/hlookup($A75,표4[#ALL],row(),false)</f>
        <v>0</v>
      </c>
      <c r="AM75" s="356">
        <f>CS_PID!AM75/VLOOKUP($B75,표2[#ALL],2)/hlookup($A75,표4[#ALL],row(),false)</f>
        <v>0.02631578947</v>
      </c>
      <c r="AN75" s="356">
        <f>CS_PID!AN75/VLOOKUP($B75,표2[#ALL],2)/hlookup($A75,표4[#ALL],row(),false)</f>
        <v>0.6052631579</v>
      </c>
      <c r="AO75" s="356">
        <f>CS_PID!AO75/VLOOKUP($B75,표2[#ALL],2)/hlookup($A75,표4[#ALL],row(),false)</f>
        <v>0.1052631579</v>
      </c>
      <c r="AP75" s="356">
        <f>CS_PID!AP75/VLOOKUP($B75,표2[#ALL],2)/hlookup($A75,표4[#ALL],row(),false)</f>
        <v>0</v>
      </c>
      <c r="AQ75" s="356">
        <f>CS_PID!AQ75/VLOOKUP($B75,표2[#ALL],2)/hlookup($A75,표4[#ALL],row(),false)</f>
        <v>0</v>
      </c>
      <c r="AR75" s="356">
        <f>CS_PID!AR75/VLOOKUP($B75,표2[#ALL],2)/hlookup($A75,표4[#ALL],row(),false)</f>
        <v>0</v>
      </c>
      <c r="AS75" s="356">
        <f>CS_PID!AS75/VLOOKUP($B75,표2[#ALL],2)/hlookup($A75,표4[#ALL],row(),false)</f>
        <v>0</v>
      </c>
    </row>
    <row r="76">
      <c r="A76" s="165" t="s">
        <v>82</v>
      </c>
      <c r="B76" s="166">
        <v>343.0</v>
      </c>
      <c r="C76" s="356">
        <f>CS_PID!C76/VLOOKUP($B76,표2[#ALL],2)/hlookup($A76,표4[#ALL],row(),false)</f>
        <v>0</v>
      </c>
      <c r="D76" s="356">
        <f>CS_PID!D76/VLOOKUP($B76,표2[#ALL],2)/hlookup($A76,표4[#ALL],row(),false)</f>
        <v>0.1142857143</v>
      </c>
      <c r="E76" s="356">
        <f>CS_PID!E76/VLOOKUP($B76,표2[#ALL],2)/hlookup($A76,표4[#ALL],row(),false)</f>
        <v>0.4857142857</v>
      </c>
      <c r="F76" s="356">
        <f>CS_PID!F76/VLOOKUP($B76,표2[#ALL],2)/hlookup($A76,표4[#ALL],row(),false)</f>
        <v>0.6</v>
      </c>
      <c r="G76" s="356">
        <f>CS_PID!G76/VLOOKUP($B76,표2[#ALL],2)/hlookup($A76,표4[#ALL],row(),false)</f>
        <v>0.08571428571</v>
      </c>
      <c r="H76" s="356">
        <f>CS_PID!H76/VLOOKUP($B76,표2[#ALL],2)/hlookup($A76,표4[#ALL],row(),false)</f>
        <v>0</v>
      </c>
      <c r="I76" s="356">
        <f>CS_PID!I76/VLOOKUP($B76,표2[#ALL],2)/hlookup($A76,표4[#ALL],row(),false)</f>
        <v>0.02857142857</v>
      </c>
      <c r="J76" s="356">
        <f>CS_PID!J76/VLOOKUP($B76,표2[#ALL],2)/hlookup($A76,표4[#ALL],row(),false)</f>
        <v>2.028571429</v>
      </c>
      <c r="K76" s="356">
        <f>CS_PID!K76/VLOOKUP($B76,표2[#ALL],2)/hlookup($A76,표4[#ALL],row(),false)</f>
        <v>1.4</v>
      </c>
      <c r="L76" s="356">
        <f>CS_PID!L76/VLOOKUP($B76,표2[#ALL],2)/hlookup($A76,표4[#ALL],row(),false)</f>
        <v>0.4</v>
      </c>
      <c r="M76" s="356">
        <f>CS_PID!M76/VLOOKUP($B76,표2[#ALL],2)/hlookup($A76,표4[#ALL],row(),false)</f>
        <v>0.02857142857</v>
      </c>
      <c r="N76" s="356">
        <f>CS_PID!N76/VLOOKUP($B76,표2[#ALL],2)/hlookup($A76,표4[#ALL],row(),false)</f>
        <v>0</v>
      </c>
      <c r="O76" s="356">
        <f>CS_PID!O76/VLOOKUP($B76,표2[#ALL],2)/hlookup($A76,표4[#ALL],row(),false)</f>
        <v>0.02857142857</v>
      </c>
      <c r="P76" s="356">
        <f>CS_PID!P76/VLOOKUP($B76,표2[#ALL],2)/hlookup($A76,표4[#ALL],row(),false)</f>
        <v>0.7142857143</v>
      </c>
      <c r="Q76" s="356">
        <f>CS_PID!Q76/VLOOKUP($B76,표2[#ALL],2)/hlookup($A76,표4[#ALL],row(),false)</f>
        <v>3.628571429</v>
      </c>
      <c r="R76" s="356">
        <f>CS_PID!R76/VLOOKUP($B76,표2[#ALL],2)/hlookup($A76,표4[#ALL],row(),false)</f>
        <v>1</v>
      </c>
      <c r="S76" s="356">
        <f>CS_PID!S76/VLOOKUP($B76,표2[#ALL],2)/hlookup($A76,표4[#ALL],row(),false)</f>
        <v>0</v>
      </c>
      <c r="T76" s="356">
        <f>CS_PID!T76/VLOOKUP($B76,표2[#ALL],2)/hlookup($A76,표4[#ALL],row(),false)</f>
        <v>0</v>
      </c>
      <c r="U76" s="356">
        <f>CS_PID!U76/VLOOKUP($B76,표2[#ALL],2)/hlookup($A76,표4[#ALL],row(),false)</f>
        <v>0</v>
      </c>
      <c r="V76" s="356">
        <f>CS_PID!V76/VLOOKUP($B76,표2[#ALL],2)/hlookup($A76,표4[#ALL],row(),false)</f>
        <v>0.4571428571</v>
      </c>
      <c r="W76" s="356">
        <f>CS_PID!W76/VLOOKUP($B76,표2[#ALL],2)/hlookup($A76,표4[#ALL],row(),false)</f>
        <v>2.914285714</v>
      </c>
      <c r="X76" s="356">
        <f>CS_PID!X76/VLOOKUP($B76,표2[#ALL],2)/hlookup($A76,표4[#ALL],row(),false)</f>
        <v>1.885714286</v>
      </c>
      <c r="Y76" s="356">
        <f>CS_PID!Y76/VLOOKUP($B76,표2[#ALL],2)/hlookup($A76,표4[#ALL],row(),false)</f>
        <v>0.05714285714</v>
      </c>
      <c r="Z76" s="356">
        <f>CS_PID!Z76/VLOOKUP($B76,표2[#ALL],2)/hlookup($A76,표4[#ALL],row(),false)</f>
        <v>0</v>
      </c>
      <c r="AA76" s="356">
        <f>CS_PID!AA76/VLOOKUP($B76,표2[#ALL],2)/hlookup($A76,표4[#ALL],row(),false)</f>
        <v>0</v>
      </c>
      <c r="AB76" s="356">
        <f>CS_PID!AB76/VLOOKUP($B76,표2[#ALL],2)/hlookup($A76,표4[#ALL],row(),false)</f>
        <v>0.1714285714</v>
      </c>
      <c r="AC76" s="356">
        <f>CS_PID!AC76/VLOOKUP($B76,표2[#ALL],2)/hlookup($A76,표4[#ALL],row(),false)</f>
        <v>3.085714286</v>
      </c>
      <c r="AD76" s="356">
        <f>CS_PID!AD76/VLOOKUP($B76,표2[#ALL],2)/hlookup($A76,표4[#ALL],row(),false)</f>
        <v>0.8285714286</v>
      </c>
      <c r="AE76" s="356">
        <f>CS_PID!AE76/VLOOKUP($B76,표2[#ALL],2)/hlookup($A76,표4[#ALL],row(),false)</f>
        <v>0</v>
      </c>
      <c r="AF76" s="356">
        <f>CS_PID!AF76/VLOOKUP($B76,표2[#ALL],2)/hlookup($A76,표4[#ALL],row(),false)</f>
        <v>0</v>
      </c>
      <c r="AG76" s="356">
        <f>CS_PID!AG76/VLOOKUP($B76,표2[#ALL],2)/hlookup($A76,표4[#ALL],row(),false)</f>
        <v>0</v>
      </c>
      <c r="AH76" s="356">
        <f>CS_PID!AH76/VLOOKUP($B76,표2[#ALL],2)/hlookup($A76,표4[#ALL],row(),false)</f>
        <v>0.1714285714</v>
      </c>
      <c r="AI76" s="356">
        <f>CS_PID!AI76/VLOOKUP($B76,표2[#ALL],2)/hlookup($A76,표4[#ALL],row(),false)</f>
        <v>1.057142857</v>
      </c>
      <c r="AJ76" s="356">
        <f>CS_PID!AJ76/VLOOKUP($B76,표2[#ALL],2)/hlookup($A76,표4[#ALL],row(),false)</f>
        <v>0.6285714286</v>
      </c>
      <c r="AK76" s="356">
        <f>CS_PID!AK76/VLOOKUP($B76,표2[#ALL],2)/hlookup($A76,표4[#ALL],row(),false)</f>
        <v>0.02857142857</v>
      </c>
      <c r="AL76" s="356">
        <f>CS_PID!AL76/VLOOKUP($B76,표2[#ALL],2)/hlookup($A76,표4[#ALL],row(),false)</f>
        <v>0</v>
      </c>
      <c r="AM76" s="356">
        <f>CS_PID!AM76/VLOOKUP($B76,표2[#ALL],2)/hlookup($A76,표4[#ALL],row(),false)</f>
        <v>0</v>
      </c>
      <c r="AN76" s="356">
        <f>CS_PID!AN76/VLOOKUP($B76,표2[#ALL],2)/hlookup($A76,표4[#ALL],row(),false)</f>
        <v>0.7714285714</v>
      </c>
      <c r="AO76" s="356">
        <f>CS_PID!AO76/VLOOKUP($B76,표2[#ALL],2)/hlookup($A76,표4[#ALL],row(),false)</f>
        <v>0</v>
      </c>
      <c r="AP76" s="356">
        <f>CS_PID!AP76/VLOOKUP($B76,표2[#ALL],2)/hlookup($A76,표4[#ALL],row(),false)</f>
        <v>0</v>
      </c>
      <c r="AQ76" s="356">
        <f>CS_PID!AQ76/VLOOKUP($B76,표2[#ALL],2)/hlookup($A76,표4[#ALL],row(),false)</f>
        <v>0.02857142857</v>
      </c>
      <c r="AR76" s="356">
        <f>CS_PID!AR76/VLOOKUP($B76,표2[#ALL],2)/hlookup($A76,표4[#ALL],row(),false)</f>
        <v>0.05714285714</v>
      </c>
      <c r="AS76" s="356">
        <f>CS_PID!AS76/VLOOKUP($B76,표2[#ALL],2)/hlookup($A76,표4[#ALL],row(),false)</f>
        <v>0</v>
      </c>
    </row>
    <row r="77">
      <c r="A77" s="165" t="s">
        <v>82</v>
      </c>
      <c r="B77" s="166">
        <v>344.0</v>
      </c>
      <c r="C77" s="356">
        <f>CS_PID!C77/VLOOKUP($B77,표2[#ALL],2)/hlookup($A77,표4[#ALL],row(),false)</f>
        <v>0</v>
      </c>
      <c r="D77" s="356">
        <f>CS_PID!D77/VLOOKUP($B77,표2[#ALL],2)/hlookup($A77,표4[#ALL],row(),false)</f>
        <v>0.125</v>
      </c>
      <c r="E77" s="356">
        <f>CS_PID!E77/VLOOKUP($B77,표2[#ALL],2)/hlookup($A77,표4[#ALL],row(),false)</f>
        <v>1.375</v>
      </c>
      <c r="F77" s="356">
        <f>CS_PID!F77/VLOOKUP($B77,표2[#ALL],2)/hlookup($A77,표4[#ALL],row(),false)</f>
        <v>0.375</v>
      </c>
      <c r="G77" s="356">
        <f>CS_PID!G77/VLOOKUP($B77,표2[#ALL],2)/hlookup($A77,표4[#ALL],row(),false)</f>
        <v>0</v>
      </c>
      <c r="H77" s="356">
        <f>CS_PID!H77/VLOOKUP($B77,표2[#ALL],2)/hlookup($A77,표4[#ALL],row(),false)</f>
        <v>0</v>
      </c>
      <c r="I77" s="356">
        <f>CS_PID!I77/VLOOKUP($B77,표2[#ALL],2)/hlookup($A77,표4[#ALL],row(),false)</f>
        <v>0</v>
      </c>
      <c r="J77" s="356">
        <f>CS_PID!J77/VLOOKUP($B77,표2[#ALL],2)/hlookup($A77,표4[#ALL],row(),false)</f>
        <v>2.75</v>
      </c>
      <c r="K77" s="356">
        <f>CS_PID!K77/VLOOKUP($B77,표2[#ALL],2)/hlookup($A77,표4[#ALL],row(),false)</f>
        <v>2.5</v>
      </c>
      <c r="L77" s="356">
        <f>CS_PID!L77/VLOOKUP($B77,표2[#ALL],2)/hlookup($A77,표4[#ALL],row(),false)</f>
        <v>0.625</v>
      </c>
      <c r="M77" s="356">
        <f>CS_PID!M77/VLOOKUP($B77,표2[#ALL],2)/hlookup($A77,표4[#ALL],row(),false)</f>
        <v>0</v>
      </c>
      <c r="N77" s="356">
        <f>CS_PID!N77/VLOOKUP($B77,표2[#ALL],2)/hlookup($A77,표4[#ALL],row(),false)</f>
        <v>0</v>
      </c>
      <c r="O77" s="356">
        <f>CS_PID!O77/VLOOKUP($B77,표2[#ALL],2)/hlookup($A77,표4[#ALL],row(),false)</f>
        <v>0.125</v>
      </c>
      <c r="P77" s="356">
        <f>CS_PID!P77/VLOOKUP($B77,표2[#ALL],2)/hlookup($A77,표4[#ALL],row(),false)</f>
        <v>1.375</v>
      </c>
      <c r="Q77" s="356">
        <f>CS_PID!Q77/VLOOKUP($B77,표2[#ALL],2)/hlookup($A77,표4[#ALL],row(),false)</f>
        <v>6.5</v>
      </c>
      <c r="R77" s="356">
        <f>CS_PID!R77/VLOOKUP($B77,표2[#ALL],2)/hlookup($A77,표4[#ALL],row(),false)</f>
        <v>1</v>
      </c>
      <c r="S77" s="356">
        <f>CS_PID!S77/VLOOKUP($B77,표2[#ALL],2)/hlookup($A77,표4[#ALL],row(),false)</f>
        <v>0</v>
      </c>
      <c r="T77" s="356">
        <f>CS_PID!T77/VLOOKUP($B77,표2[#ALL],2)/hlookup($A77,표4[#ALL],row(),false)</f>
        <v>0</v>
      </c>
      <c r="U77" s="356">
        <f>CS_PID!U77/VLOOKUP($B77,표2[#ALL],2)/hlookup($A77,표4[#ALL],row(),false)</f>
        <v>0</v>
      </c>
      <c r="V77" s="356">
        <f>CS_PID!V77/VLOOKUP($B77,표2[#ALL],2)/hlookup($A77,표4[#ALL],row(),false)</f>
        <v>1</v>
      </c>
      <c r="W77" s="356">
        <f>CS_PID!W77/VLOOKUP($B77,표2[#ALL],2)/hlookup($A77,표4[#ALL],row(),false)</f>
        <v>5.125</v>
      </c>
      <c r="X77" s="356">
        <f>CS_PID!X77/VLOOKUP($B77,표2[#ALL],2)/hlookup($A77,표4[#ALL],row(),false)</f>
        <v>3</v>
      </c>
      <c r="Y77" s="356">
        <f>CS_PID!Y77/VLOOKUP($B77,표2[#ALL],2)/hlookup($A77,표4[#ALL],row(),false)</f>
        <v>0</v>
      </c>
      <c r="Z77" s="356">
        <f>CS_PID!Z77/VLOOKUP($B77,표2[#ALL],2)/hlookup($A77,표4[#ALL],row(),false)</f>
        <v>0</v>
      </c>
      <c r="AA77" s="356">
        <f>CS_PID!AA77/VLOOKUP($B77,표2[#ALL],2)/hlookup($A77,표4[#ALL],row(),false)</f>
        <v>0</v>
      </c>
      <c r="AB77" s="356">
        <f>CS_PID!AB77/VLOOKUP($B77,표2[#ALL],2)/hlookup($A77,표4[#ALL],row(),false)</f>
        <v>0.125</v>
      </c>
      <c r="AC77" s="356">
        <f>CS_PID!AC77/VLOOKUP($B77,표2[#ALL],2)/hlookup($A77,표4[#ALL],row(),false)</f>
        <v>3.875</v>
      </c>
      <c r="AD77" s="356">
        <f>CS_PID!AD77/VLOOKUP($B77,표2[#ALL],2)/hlookup($A77,표4[#ALL],row(),false)</f>
        <v>1.25</v>
      </c>
      <c r="AE77" s="356">
        <f>CS_PID!AE77/VLOOKUP($B77,표2[#ALL],2)/hlookup($A77,표4[#ALL],row(),false)</f>
        <v>0.125</v>
      </c>
      <c r="AF77" s="356">
        <f>CS_PID!AF77/VLOOKUP($B77,표2[#ALL],2)/hlookup($A77,표4[#ALL],row(),false)</f>
        <v>0</v>
      </c>
      <c r="AG77" s="356">
        <f>CS_PID!AG77/VLOOKUP($B77,표2[#ALL],2)/hlookup($A77,표4[#ALL],row(),false)</f>
        <v>0</v>
      </c>
      <c r="AH77" s="356">
        <f>CS_PID!AH77/VLOOKUP($B77,표2[#ALL],2)/hlookup($A77,표4[#ALL],row(),false)</f>
        <v>0.375</v>
      </c>
      <c r="AI77" s="356">
        <f>CS_PID!AI77/VLOOKUP($B77,표2[#ALL],2)/hlookup($A77,표4[#ALL],row(),false)</f>
        <v>1.875</v>
      </c>
      <c r="AJ77" s="356">
        <f>CS_PID!AJ77/VLOOKUP($B77,표2[#ALL],2)/hlookup($A77,표4[#ALL],row(),false)</f>
        <v>0.875</v>
      </c>
      <c r="AK77" s="356">
        <f>CS_PID!AK77/VLOOKUP($B77,표2[#ALL],2)/hlookup($A77,표4[#ALL],row(),false)</f>
        <v>0</v>
      </c>
      <c r="AL77" s="356">
        <f>CS_PID!AL77/VLOOKUP($B77,표2[#ALL],2)/hlookup($A77,표4[#ALL],row(),false)</f>
        <v>0</v>
      </c>
      <c r="AM77" s="356">
        <f>CS_PID!AM77/VLOOKUP($B77,표2[#ALL],2)/hlookup($A77,표4[#ALL],row(),false)</f>
        <v>0.25</v>
      </c>
      <c r="AN77" s="356">
        <f>CS_PID!AN77/VLOOKUP($B77,표2[#ALL],2)/hlookup($A77,표4[#ALL],row(),false)</f>
        <v>1.125</v>
      </c>
      <c r="AO77" s="356">
        <f>CS_PID!AO77/VLOOKUP($B77,표2[#ALL],2)/hlookup($A77,표4[#ALL],row(),false)</f>
        <v>0</v>
      </c>
      <c r="AP77" s="356">
        <f>CS_PID!AP77/VLOOKUP($B77,표2[#ALL],2)/hlookup($A77,표4[#ALL],row(),false)</f>
        <v>0</v>
      </c>
      <c r="AQ77" s="356">
        <f>CS_PID!AQ77/VLOOKUP($B77,표2[#ALL],2)/hlookup($A77,표4[#ALL],row(),false)</f>
        <v>0.125</v>
      </c>
      <c r="AR77" s="356">
        <f>CS_PID!AR77/VLOOKUP($B77,표2[#ALL],2)/hlookup($A77,표4[#ALL],row(),false)</f>
        <v>0</v>
      </c>
      <c r="AS77" s="356">
        <f>CS_PID!AS77/VLOOKUP($B77,표2[#ALL],2)/hlookup($A77,표4[#ALL],row(),false)</f>
        <v>0</v>
      </c>
    </row>
    <row r="78">
      <c r="A78" s="165" t="s">
        <v>82</v>
      </c>
      <c r="B78" s="166">
        <v>345.0</v>
      </c>
      <c r="C78" s="356">
        <f>CS_PID!C78/VLOOKUP($B78,표2[#ALL],2)/hlookup($A78,표4[#ALL],row(),false)</f>
        <v>0</v>
      </c>
      <c r="D78" s="356">
        <f>CS_PID!D78/VLOOKUP($B78,표2[#ALL],2)/hlookup($A78,표4[#ALL],row(),false)</f>
        <v>0.05405405405</v>
      </c>
      <c r="E78" s="356">
        <f>CS_PID!E78/VLOOKUP($B78,표2[#ALL],2)/hlookup($A78,표4[#ALL],row(),false)</f>
        <v>0.4594594595</v>
      </c>
      <c r="F78" s="356">
        <f>CS_PID!F78/VLOOKUP($B78,표2[#ALL],2)/hlookup($A78,표4[#ALL],row(),false)</f>
        <v>0.5135135135</v>
      </c>
      <c r="G78" s="356">
        <f>CS_PID!G78/VLOOKUP($B78,표2[#ALL],2)/hlookup($A78,표4[#ALL],row(),false)</f>
        <v>0.05405405405</v>
      </c>
      <c r="H78" s="356">
        <f>CS_PID!H78/VLOOKUP($B78,표2[#ALL],2)/hlookup($A78,표4[#ALL],row(),false)</f>
        <v>0</v>
      </c>
      <c r="I78" s="356">
        <f>CS_PID!I78/VLOOKUP($B78,표2[#ALL],2)/hlookup($A78,표4[#ALL],row(),false)</f>
        <v>0</v>
      </c>
      <c r="J78" s="356">
        <f>CS_PID!J78/VLOOKUP($B78,표2[#ALL],2)/hlookup($A78,표4[#ALL],row(),false)</f>
        <v>1.243243243</v>
      </c>
      <c r="K78" s="356">
        <f>CS_PID!K78/VLOOKUP($B78,표2[#ALL],2)/hlookup($A78,표4[#ALL],row(),false)</f>
        <v>1.27027027</v>
      </c>
      <c r="L78" s="356">
        <f>CS_PID!L78/VLOOKUP($B78,표2[#ALL],2)/hlookup($A78,표4[#ALL],row(),false)</f>
        <v>0.4324324324</v>
      </c>
      <c r="M78" s="356">
        <f>CS_PID!M78/VLOOKUP($B78,표2[#ALL],2)/hlookup($A78,표4[#ALL],row(),false)</f>
        <v>0</v>
      </c>
      <c r="N78" s="356">
        <f>CS_PID!N78/VLOOKUP($B78,표2[#ALL],2)/hlookup($A78,표4[#ALL],row(),false)</f>
        <v>0</v>
      </c>
      <c r="O78" s="356">
        <f>CS_PID!O78/VLOOKUP($B78,표2[#ALL],2)/hlookup($A78,표4[#ALL],row(),false)</f>
        <v>0.08108108108</v>
      </c>
      <c r="P78" s="356">
        <f>CS_PID!P78/VLOOKUP($B78,표2[#ALL],2)/hlookup($A78,표4[#ALL],row(),false)</f>
        <v>0.6486486486</v>
      </c>
      <c r="Q78" s="356">
        <f>CS_PID!Q78/VLOOKUP($B78,표2[#ALL],2)/hlookup($A78,표4[#ALL],row(),false)</f>
        <v>3.621621622</v>
      </c>
      <c r="R78" s="356">
        <f>CS_PID!R78/VLOOKUP($B78,표2[#ALL],2)/hlookup($A78,표4[#ALL],row(),false)</f>
        <v>1</v>
      </c>
      <c r="S78" s="356">
        <f>CS_PID!S78/VLOOKUP($B78,표2[#ALL],2)/hlookup($A78,표4[#ALL],row(),false)</f>
        <v>0</v>
      </c>
      <c r="T78" s="356">
        <f>CS_PID!T78/VLOOKUP($B78,표2[#ALL],2)/hlookup($A78,표4[#ALL],row(),false)</f>
        <v>0</v>
      </c>
      <c r="U78" s="356">
        <f>CS_PID!U78/VLOOKUP($B78,표2[#ALL],2)/hlookup($A78,표4[#ALL],row(),false)</f>
        <v>0</v>
      </c>
      <c r="V78" s="356">
        <f>CS_PID!V78/VLOOKUP($B78,표2[#ALL],2)/hlookup($A78,표4[#ALL],row(),false)</f>
        <v>0.5135135135</v>
      </c>
      <c r="W78" s="356">
        <f>CS_PID!W78/VLOOKUP($B78,표2[#ALL],2)/hlookup($A78,표4[#ALL],row(),false)</f>
        <v>2.594594595</v>
      </c>
      <c r="X78" s="356">
        <f>CS_PID!X78/VLOOKUP($B78,표2[#ALL],2)/hlookup($A78,표4[#ALL],row(),false)</f>
        <v>1.837837838</v>
      </c>
      <c r="Y78" s="356">
        <f>CS_PID!Y78/VLOOKUP($B78,표2[#ALL],2)/hlookup($A78,표4[#ALL],row(),false)</f>
        <v>0.02702702703</v>
      </c>
      <c r="Z78" s="356">
        <f>CS_PID!Z78/VLOOKUP($B78,표2[#ALL],2)/hlookup($A78,표4[#ALL],row(),false)</f>
        <v>0</v>
      </c>
      <c r="AA78" s="356">
        <f>CS_PID!AA78/VLOOKUP($B78,표2[#ALL],2)/hlookup($A78,표4[#ALL],row(),false)</f>
        <v>0</v>
      </c>
      <c r="AB78" s="356">
        <f>CS_PID!AB78/VLOOKUP($B78,표2[#ALL],2)/hlookup($A78,표4[#ALL],row(),false)</f>
        <v>0.1621621622</v>
      </c>
      <c r="AC78" s="356">
        <f>CS_PID!AC78/VLOOKUP($B78,표2[#ALL],2)/hlookup($A78,표4[#ALL],row(),false)</f>
        <v>2.405405405</v>
      </c>
      <c r="AD78" s="356">
        <f>CS_PID!AD78/VLOOKUP($B78,표2[#ALL],2)/hlookup($A78,표4[#ALL],row(),false)</f>
        <v>0.4324324324</v>
      </c>
      <c r="AE78" s="356">
        <f>CS_PID!AE78/VLOOKUP($B78,표2[#ALL],2)/hlookup($A78,표4[#ALL],row(),false)</f>
        <v>0.05405405405</v>
      </c>
      <c r="AF78" s="356">
        <f>CS_PID!AF78/VLOOKUP($B78,표2[#ALL],2)/hlookup($A78,표4[#ALL],row(),false)</f>
        <v>0</v>
      </c>
      <c r="AG78" s="356">
        <f>CS_PID!AG78/VLOOKUP($B78,표2[#ALL],2)/hlookup($A78,표4[#ALL],row(),false)</f>
        <v>0</v>
      </c>
      <c r="AH78" s="356">
        <f>CS_PID!AH78/VLOOKUP($B78,표2[#ALL],2)/hlookup($A78,표4[#ALL],row(),false)</f>
        <v>0.08108108108</v>
      </c>
      <c r="AI78" s="356">
        <f>CS_PID!AI78/VLOOKUP($B78,표2[#ALL],2)/hlookup($A78,표4[#ALL],row(),false)</f>
        <v>1.081081081</v>
      </c>
      <c r="AJ78" s="356">
        <f>CS_PID!AJ78/VLOOKUP($B78,표2[#ALL],2)/hlookup($A78,표4[#ALL],row(),false)</f>
        <v>0.3513513514</v>
      </c>
      <c r="AK78" s="356">
        <f>CS_PID!AK78/VLOOKUP($B78,표2[#ALL],2)/hlookup($A78,표4[#ALL],row(),false)</f>
        <v>0</v>
      </c>
      <c r="AL78" s="356">
        <f>CS_PID!AL78/VLOOKUP($B78,표2[#ALL],2)/hlookup($A78,표4[#ALL],row(),false)</f>
        <v>0</v>
      </c>
      <c r="AM78" s="356">
        <f>CS_PID!AM78/VLOOKUP($B78,표2[#ALL],2)/hlookup($A78,표4[#ALL],row(),false)</f>
        <v>0.1081081081</v>
      </c>
      <c r="AN78" s="356">
        <f>CS_PID!AN78/VLOOKUP($B78,표2[#ALL],2)/hlookup($A78,표4[#ALL],row(),false)</f>
        <v>0.4864864865</v>
      </c>
      <c r="AO78" s="356">
        <f>CS_PID!AO78/VLOOKUP($B78,표2[#ALL],2)/hlookup($A78,표4[#ALL],row(),false)</f>
        <v>0.08108108108</v>
      </c>
      <c r="AP78" s="356">
        <f>CS_PID!AP78/VLOOKUP($B78,표2[#ALL],2)/hlookup($A78,표4[#ALL],row(),false)</f>
        <v>0</v>
      </c>
      <c r="AQ78" s="356">
        <f>CS_PID!AQ78/VLOOKUP($B78,표2[#ALL],2)/hlookup($A78,표4[#ALL],row(),false)</f>
        <v>0</v>
      </c>
      <c r="AR78" s="356">
        <f>CS_PID!AR78/VLOOKUP($B78,표2[#ALL],2)/hlookup($A78,표4[#ALL],row(),false)</f>
        <v>0.05405405405</v>
      </c>
      <c r="AS78" s="356">
        <f>CS_PID!AS78/VLOOKUP($B78,표2[#ALL],2)/hlookup($A78,표4[#ALL],row(),false)</f>
        <v>0</v>
      </c>
    </row>
    <row r="79">
      <c r="A79" s="169" t="s">
        <v>82</v>
      </c>
      <c r="B79" s="170">
        <v>347.0</v>
      </c>
      <c r="C79" s="357">
        <f>CS_PID!C79/VLOOKUP($B79,표2[#ALL],2)/hlookup($A79,표4[#ALL],row(),false)</f>
        <v>0</v>
      </c>
      <c r="D79" s="357">
        <f>CS_PID!D79/VLOOKUP($B79,표2[#ALL],2)/hlookup($A79,표4[#ALL],row(),false)</f>
        <v>0.04347826087</v>
      </c>
      <c r="E79" s="357">
        <f>CS_PID!E79/VLOOKUP($B79,표2[#ALL],2)/hlookup($A79,표4[#ALL],row(),false)</f>
        <v>0.3043478261</v>
      </c>
      <c r="F79" s="357">
        <f>CS_PID!F79/VLOOKUP($B79,표2[#ALL],2)/hlookup($A79,표4[#ALL],row(),false)</f>
        <v>0.3043478261</v>
      </c>
      <c r="G79" s="357">
        <f>CS_PID!G79/VLOOKUP($B79,표2[#ALL],2)/hlookup($A79,표4[#ALL],row(),false)</f>
        <v>0.04347826087</v>
      </c>
      <c r="H79" s="357">
        <f>CS_PID!H79/VLOOKUP($B79,표2[#ALL],2)/hlookup($A79,표4[#ALL],row(),false)</f>
        <v>0.04347826087</v>
      </c>
      <c r="I79" s="357">
        <f>CS_PID!I79/VLOOKUP($B79,표2[#ALL],2)/hlookup($A79,표4[#ALL],row(),false)</f>
        <v>0</v>
      </c>
      <c r="J79" s="357">
        <f>CS_PID!J79/VLOOKUP($B79,표2[#ALL],2)/hlookup($A79,표4[#ALL],row(),false)</f>
        <v>1.695652174</v>
      </c>
      <c r="K79" s="357">
        <f>CS_PID!K79/VLOOKUP($B79,표2[#ALL],2)/hlookup($A79,표4[#ALL],row(),false)</f>
        <v>2.52173913</v>
      </c>
      <c r="L79" s="357">
        <f>CS_PID!L79/VLOOKUP($B79,표2[#ALL],2)/hlookup($A79,표4[#ALL],row(),false)</f>
        <v>0.4782608696</v>
      </c>
      <c r="M79" s="357">
        <f>CS_PID!M79/VLOOKUP($B79,표2[#ALL],2)/hlookup($A79,표4[#ALL],row(),false)</f>
        <v>0.08695652174</v>
      </c>
      <c r="N79" s="357">
        <f>CS_PID!N79/VLOOKUP($B79,표2[#ALL],2)/hlookup($A79,표4[#ALL],row(),false)</f>
        <v>0</v>
      </c>
      <c r="O79" s="357">
        <f>CS_PID!O79/VLOOKUP($B79,표2[#ALL],2)/hlookup($A79,표4[#ALL],row(),false)</f>
        <v>0</v>
      </c>
      <c r="P79" s="357">
        <f>CS_PID!P79/VLOOKUP($B79,표2[#ALL],2)/hlookup($A79,표4[#ALL],row(),false)</f>
        <v>1.434782609</v>
      </c>
      <c r="Q79" s="357">
        <f>CS_PID!Q79/VLOOKUP($B79,표2[#ALL],2)/hlookup($A79,표4[#ALL],row(),false)</f>
        <v>4.130434783</v>
      </c>
      <c r="R79" s="357">
        <f>CS_PID!R79/VLOOKUP($B79,표2[#ALL],2)/hlookup($A79,표4[#ALL],row(),false)</f>
        <v>1</v>
      </c>
      <c r="S79" s="357">
        <f>CS_PID!S79/VLOOKUP($B79,표2[#ALL],2)/hlookup($A79,표4[#ALL],row(),false)</f>
        <v>0.04347826087</v>
      </c>
      <c r="T79" s="357">
        <f>CS_PID!T79/VLOOKUP($B79,표2[#ALL],2)/hlookup($A79,표4[#ALL],row(),false)</f>
        <v>0</v>
      </c>
      <c r="U79" s="357">
        <f>CS_PID!U79/VLOOKUP($B79,표2[#ALL],2)/hlookup($A79,표4[#ALL],row(),false)</f>
        <v>0</v>
      </c>
      <c r="V79" s="357">
        <f>CS_PID!V79/VLOOKUP($B79,표2[#ALL],2)/hlookup($A79,표4[#ALL],row(),false)</f>
        <v>0.4347826087</v>
      </c>
      <c r="W79" s="357">
        <f>CS_PID!W79/VLOOKUP($B79,표2[#ALL],2)/hlookup($A79,표4[#ALL],row(),false)</f>
        <v>3.652173913</v>
      </c>
      <c r="X79" s="357">
        <f>CS_PID!X79/VLOOKUP($B79,표2[#ALL],2)/hlookup($A79,표4[#ALL],row(),false)</f>
        <v>2</v>
      </c>
      <c r="Y79" s="357">
        <f>CS_PID!Y79/VLOOKUP($B79,표2[#ALL],2)/hlookup($A79,표4[#ALL],row(),false)</f>
        <v>0.08695652174</v>
      </c>
      <c r="Z79" s="357">
        <f>CS_PID!Z79/VLOOKUP($B79,표2[#ALL],2)/hlookup($A79,표4[#ALL],row(),false)</f>
        <v>0</v>
      </c>
      <c r="AA79" s="357">
        <f>CS_PID!AA79/VLOOKUP($B79,표2[#ALL],2)/hlookup($A79,표4[#ALL],row(),false)</f>
        <v>0</v>
      </c>
      <c r="AB79" s="357">
        <f>CS_PID!AB79/VLOOKUP($B79,표2[#ALL],2)/hlookup($A79,표4[#ALL],row(),false)</f>
        <v>0.3043478261</v>
      </c>
      <c r="AC79" s="357">
        <f>CS_PID!AC79/VLOOKUP($B79,표2[#ALL],2)/hlookup($A79,표4[#ALL],row(),false)</f>
        <v>3.782608696</v>
      </c>
      <c r="AD79" s="357">
        <f>CS_PID!AD79/VLOOKUP($B79,표2[#ALL],2)/hlookup($A79,표4[#ALL],row(),false)</f>
        <v>0.6956521739</v>
      </c>
      <c r="AE79" s="357">
        <f>CS_PID!AE79/VLOOKUP($B79,표2[#ALL],2)/hlookup($A79,표4[#ALL],row(),false)</f>
        <v>0</v>
      </c>
      <c r="AF79" s="357">
        <f>CS_PID!AF79/VLOOKUP($B79,표2[#ALL],2)/hlookup($A79,표4[#ALL],row(),false)</f>
        <v>0</v>
      </c>
      <c r="AG79" s="357">
        <f>CS_PID!AG79/VLOOKUP($B79,표2[#ALL],2)/hlookup($A79,표4[#ALL],row(),false)</f>
        <v>0</v>
      </c>
      <c r="AH79" s="357">
        <f>CS_PID!AH79/VLOOKUP($B79,표2[#ALL],2)/hlookup($A79,표4[#ALL],row(),false)</f>
        <v>0.04347826087</v>
      </c>
      <c r="AI79" s="357">
        <f>CS_PID!AI79/VLOOKUP($B79,표2[#ALL],2)/hlookup($A79,표4[#ALL],row(),false)</f>
        <v>0.9565217391</v>
      </c>
      <c r="AJ79" s="357">
        <f>CS_PID!AJ79/VLOOKUP($B79,표2[#ALL],2)/hlookup($A79,표4[#ALL],row(),false)</f>
        <v>0.3913043478</v>
      </c>
      <c r="AK79" s="357">
        <f>CS_PID!AK79/VLOOKUP($B79,표2[#ALL],2)/hlookup($A79,표4[#ALL],row(),false)</f>
        <v>0</v>
      </c>
      <c r="AL79" s="357">
        <f>CS_PID!AL79/VLOOKUP($B79,표2[#ALL],2)/hlookup($A79,표4[#ALL],row(),false)</f>
        <v>0</v>
      </c>
      <c r="AM79" s="357">
        <f>CS_PID!AM79/VLOOKUP($B79,표2[#ALL],2)/hlookup($A79,표4[#ALL],row(),false)</f>
        <v>0.1304347826</v>
      </c>
      <c r="AN79" s="357">
        <f>CS_PID!AN79/VLOOKUP($B79,표2[#ALL],2)/hlookup($A79,표4[#ALL],row(),false)</f>
        <v>0.8260869565</v>
      </c>
      <c r="AO79" s="357">
        <f>CS_PID!AO79/VLOOKUP($B79,표2[#ALL],2)/hlookup($A79,표4[#ALL],row(),false)</f>
        <v>0.2173913043</v>
      </c>
      <c r="AP79" s="357">
        <f>CS_PID!AP79/VLOOKUP($B79,표2[#ALL],2)/hlookup($A79,표4[#ALL],row(),false)</f>
        <v>0</v>
      </c>
      <c r="AQ79" s="357">
        <f>CS_PID!AQ79/VLOOKUP($B79,표2[#ALL],2)/hlookup($A79,표4[#ALL],row(),false)</f>
        <v>0</v>
      </c>
      <c r="AR79" s="357">
        <f>CS_PID!AR79/VLOOKUP($B79,표2[#ALL],2)/hlookup($A79,표4[#ALL],row(),false)</f>
        <v>0</v>
      </c>
      <c r="AS79" s="357">
        <f>CS_PID!AS79/VLOOKUP($B79,표2[#ALL],2)/hlookup($A79,표4[#ALL],row(),false)</f>
        <v>0.04347826087</v>
      </c>
    </row>
    <row r="80">
      <c r="A80" s="173" t="s">
        <v>126</v>
      </c>
      <c r="B80" s="174">
        <v>223.0</v>
      </c>
      <c r="C80" s="358">
        <f>CS_PID!C80/VLOOKUP($B80,표2[#ALL],2)/hlookup($A80,표4[#ALL],row(),false)</f>
        <v>0</v>
      </c>
      <c r="D80" s="358">
        <f>CS_PID!D80/VLOOKUP($B80,표2[#ALL],2)/hlookup($A80,표4[#ALL],row(),false)</f>
        <v>0</v>
      </c>
      <c r="E80" s="358">
        <f>CS_PID!E80/VLOOKUP($B80,표2[#ALL],2)/hlookup($A80,표4[#ALL],row(),false)</f>
        <v>0</v>
      </c>
      <c r="F80" s="358">
        <f>CS_PID!F80/VLOOKUP($B80,표2[#ALL],2)/hlookup($A80,표4[#ALL],row(),false)</f>
        <v>4</v>
      </c>
      <c r="G80" s="358">
        <f>CS_PID!G80/VLOOKUP($B80,표2[#ALL],2)/hlookup($A80,표4[#ALL],row(),false)</f>
        <v>0</v>
      </c>
      <c r="H80" s="358">
        <f>CS_PID!H80/VLOOKUP($B80,표2[#ALL],2)/hlookup($A80,표4[#ALL],row(),false)</f>
        <v>0</v>
      </c>
      <c r="I80" s="358">
        <f>CS_PID!I80/VLOOKUP($B80,표2[#ALL],2)/hlookup($A80,표4[#ALL],row(),false)</f>
        <v>0</v>
      </c>
      <c r="J80" s="358">
        <f>CS_PID!J80/VLOOKUP($B80,표2[#ALL],2)/hlookup($A80,표4[#ALL],row(),false)</f>
        <v>0.5</v>
      </c>
      <c r="K80" s="358">
        <f>CS_PID!K80/VLOOKUP($B80,표2[#ALL],2)/hlookup($A80,표4[#ALL],row(),false)</f>
        <v>1</v>
      </c>
      <c r="L80" s="358">
        <f>CS_PID!L80/VLOOKUP($B80,표2[#ALL],2)/hlookup($A80,표4[#ALL],row(),false)</f>
        <v>4</v>
      </c>
      <c r="M80" s="358">
        <f>CS_PID!M80/VLOOKUP($B80,표2[#ALL],2)/hlookup($A80,표4[#ALL],row(),false)</f>
        <v>0</v>
      </c>
      <c r="N80" s="358">
        <f>CS_PID!N80/VLOOKUP($B80,표2[#ALL],2)/hlookup($A80,표4[#ALL],row(),false)</f>
        <v>0</v>
      </c>
      <c r="O80" s="358">
        <f>CS_PID!O80/VLOOKUP($B80,표2[#ALL],2)/hlookup($A80,표4[#ALL],row(),false)</f>
        <v>0</v>
      </c>
      <c r="P80" s="358">
        <f>CS_PID!P80/VLOOKUP($B80,표2[#ALL],2)/hlookup($A80,표4[#ALL],row(),false)</f>
        <v>0</v>
      </c>
      <c r="Q80" s="358">
        <f>CS_PID!Q80/VLOOKUP($B80,표2[#ALL],2)/hlookup($A80,표4[#ALL],row(),false)</f>
        <v>3.5</v>
      </c>
      <c r="R80" s="358">
        <f>CS_PID!R80/VLOOKUP($B80,표2[#ALL],2)/hlookup($A80,표4[#ALL],row(),false)</f>
        <v>5.5</v>
      </c>
      <c r="S80" s="358">
        <f>CS_PID!S80/VLOOKUP($B80,표2[#ALL],2)/hlookup($A80,표4[#ALL],row(),false)</f>
        <v>0</v>
      </c>
      <c r="T80" s="358">
        <f>CS_PID!T80/VLOOKUP($B80,표2[#ALL],2)/hlookup($A80,표4[#ALL],row(),false)</f>
        <v>0</v>
      </c>
      <c r="U80" s="358">
        <f>CS_PID!U80/VLOOKUP($B80,표2[#ALL],2)/hlookup($A80,표4[#ALL],row(),false)</f>
        <v>0</v>
      </c>
      <c r="V80" s="358">
        <f>CS_PID!V80/VLOOKUP($B80,표2[#ALL],2)/hlookup($A80,표4[#ALL],row(),false)</f>
        <v>0</v>
      </c>
      <c r="W80" s="358">
        <f>CS_PID!W80/VLOOKUP($B80,표2[#ALL],2)/hlookup($A80,표4[#ALL],row(),false)</f>
        <v>0</v>
      </c>
      <c r="X80" s="358">
        <f>CS_PID!X80/VLOOKUP($B80,표2[#ALL],2)/hlookup($A80,표4[#ALL],row(),false)</f>
        <v>3.5</v>
      </c>
      <c r="Y80" s="358">
        <f>CS_PID!Y80/VLOOKUP($B80,표2[#ALL],2)/hlookup($A80,표4[#ALL],row(),false)</f>
        <v>0</v>
      </c>
      <c r="Z80" s="358">
        <f>CS_PID!Z80/VLOOKUP($B80,표2[#ALL],2)/hlookup($A80,표4[#ALL],row(),false)</f>
        <v>0</v>
      </c>
      <c r="AA80" s="358">
        <f>CS_PID!AA80/VLOOKUP($B80,표2[#ALL],2)/hlookup($A80,표4[#ALL],row(),false)</f>
        <v>0</v>
      </c>
      <c r="AB80" s="358">
        <f>CS_PID!AB80/VLOOKUP($B80,표2[#ALL],2)/hlookup($A80,표4[#ALL],row(),false)</f>
        <v>0</v>
      </c>
      <c r="AC80" s="358">
        <f>CS_PID!AC80/VLOOKUP($B80,표2[#ALL],2)/hlookup($A80,표4[#ALL],row(),false)</f>
        <v>0.5</v>
      </c>
      <c r="AD80" s="358">
        <f>CS_PID!AD80/VLOOKUP($B80,표2[#ALL],2)/hlookup($A80,표4[#ALL],row(),false)</f>
        <v>1.5</v>
      </c>
      <c r="AE80" s="358">
        <f>CS_PID!AE80/VLOOKUP($B80,표2[#ALL],2)/hlookup($A80,표4[#ALL],row(),false)</f>
        <v>0</v>
      </c>
      <c r="AF80" s="358">
        <f>CS_PID!AF80/VLOOKUP($B80,표2[#ALL],2)/hlookup($A80,표4[#ALL],row(),false)</f>
        <v>0</v>
      </c>
      <c r="AG80" s="358">
        <f>CS_PID!AG80/VLOOKUP($B80,표2[#ALL],2)/hlookup($A80,표4[#ALL],row(),false)</f>
        <v>0</v>
      </c>
      <c r="AH80" s="358">
        <f>CS_PID!AH80/VLOOKUP($B80,표2[#ALL],2)/hlookup($A80,표4[#ALL],row(),false)</f>
        <v>0</v>
      </c>
      <c r="AI80" s="358">
        <f>CS_PID!AI80/VLOOKUP($B80,표2[#ALL],2)/hlookup($A80,표4[#ALL],row(),false)</f>
        <v>0</v>
      </c>
      <c r="AJ80" s="358">
        <f>CS_PID!AJ80/VLOOKUP($B80,표2[#ALL],2)/hlookup($A80,표4[#ALL],row(),false)</f>
        <v>1.5</v>
      </c>
      <c r="AK80" s="358">
        <f>CS_PID!AK80/VLOOKUP($B80,표2[#ALL],2)/hlookup($A80,표4[#ALL],row(),false)</f>
        <v>0</v>
      </c>
      <c r="AL80" s="358">
        <f>CS_PID!AL80/VLOOKUP($B80,표2[#ALL],2)/hlookup($A80,표4[#ALL],row(),false)</f>
        <v>0</v>
      </c>
      <c r="AM80" s="358">
        <f>CS_PID!AM80/VLOOKUP($B80,표2[#ALL],2)/hlookup($A80,표4[#ALL],row(),false)</f>
        <v>0</v>
      </c>
      <c r="AN80" s="358">
        <f>CS_PID!AN80/VLOOKUP($B80,표2[#ALL],2)/hlookup($A80,표4[#ALL],row(),false)</f>
        <v>0</v>
      </c>
      <c r="AO80" s="358">
        <f>CS_PID!AO80/VLOOKUP($B80,표2[#ALL],2)/hlookup($A80,표4[#ALL],row(),false)</f>
        <v>0</v>
      </c>
      <c r="AP80" s="358">
        <f>CS_PID!AP80/VLOOKUP($B80,표2[#ALL],2)/hlookup($A80,표4[#ALL],row(),false)</f>
        <v>0</v>
      </c>
      <c r="AQ80" s="358">
        <f>CS_PID!AQ80/VLOOKUP($B80,표2[#ALL],2)/hlookup($A80,표4[#ALL],row(),false)</f>
        <v>0</v>
      </c>
      <c r="AR80" s="358">
        <f>CS_PID!AR80/VLOOKUP($B80,표2[#ALL],2)/hlookup($A80,표4[#ALL],row(),false)</f>
        <v>0</v>
      </c>
      <c r="AS80" s="358">
        <f>CS_PID!AS80/VLOOKUP($B80,표2[#ALL],2)/hlookup($A80,표4[#ALL],row(),false)</f>
        <v>0</v>
      </c>
    </row>
    <row r="81">
      <c r="A81" s="173" t="s">
        <v>126</v>
      </c>
      <c r="B81" s="178">
        <v>224.0</v>
      </c>
      <c r="C81" s="359">
        <f>CS_PID!C81/VLOOKUP($B81,표2[#ALL],2)/hlookup($A81,표4[#ALL],row(),false)</f>
        <v>0</v>
      </c>
      <c r="D81" s="359">
        <f>CS_PID!D81/VLOOKUP($B81,표2[#ALL],2)/hlookup($A81,표4[#ALL],row(),false)</f>
        <v>0.1111111111</v>
      </c>
      <c r="E81" s="359">
        <f>CS_PID!E81/VLOOKUP($B81,표2[#ALL],2)/hlookup($A81,표4[#ALL],row(),false)</f>
        <v>0</v>
      </c>
      <c r="F81" s="359">
        <f>CS_PID!F81/VLOOKUP($B81,표2[#ALL],2)/hlookup($A81,표4[#ALL],row(),false)</f>
        <v>0.4444444444</v>
      </c>
      <c r="G81" s="359">
        <f>CS_PID!G81/VLOOKUP($B81,표2[#ALL],2)/hlookup($A81,표4[#ALL],row(),false)</f>
        <v>0</v>
      </c>
      <c r="H81" s="359">
        <f>CS_PID!H81/VLOOKUP($B81,표2[#ALL],2)/hlookup($A81,표4[#ALL],row(),false)</f>
        <v>0</v>
      </c>
      <c r="I81" s="359">
        <f>CS_PID!I81/VLOOKUP($B81,표2[#ALL],2)/hlookup($A81,표4[#ALL],row(),false)</f>
        <v>0</v>
      </c>
      <c r="J81" s="359">
        <f>CS_PID!J81/VLOOKUP($B81,표2[#ALL],2)/hlookup($A81,표4[#ALL],row(),false)</f>
        <v>0</v>
      </c>
      <c r="K81" s="359">
        <f>CS_PID!K81/VLOOKUP($B81,표2[#ALL],2)/hlookup($A81,표4[#ALL],row(),false)</f>
        <v>1</v>
      </c>
      <c r="L81" s="359">
        <f>CS_PID!L81/VLOOKUP($B81,표2[#ALL],2)/hlookup($A81,표4[#ALL],row(),false)</f>
        <v>0.5555555556</v>
      </c>
      <c r="M81" s="359">
        <f>CS_PID!M81/VLOOKUP($B81,표2[#ALL],2)/hlookup($A81,표4[#ALL],row(),false)</f>
        <v>0</v>
      </c>
      <c r="N81" s="359">
        <f>CS_PID!N81/VLOOKUP($B81,표2[#ALL],2)/hlookup($A81,표4[#ALL],row(),false)</f>
        <v>0</v>
      </c>
      <c r="O81" s="359">
        <f>CS_PID!O81/VLOOKUP($B81,표2[#ALL],2)/hlookup($A81,표4[#ALL],row(),false)</f>
        <v>0</v>
      </c>
      <c r="P81" s="359">
        <f>CS_PID!P81/VLOOKUP($B81,표2[#ALL],2)/hlookup($A81,표4[#ALL],row(),false)</f>
        <v>0</v>
      </c>
      <c r="Q81" s="359">
        <f>CS_PID!Q81/VLOOKUP($B81,표2[#ALL],2)/hlookup($A81,표4[#ALL],row(),false)</f>
        <v>0.5555555556</v>
      </c>
      <c r="R81" s="359">
        <f>CS_PID!R81/VLOOKUP($B81,표2[#ALL],2)/hlookup($A81,표4[#ALL],row(),false)</f>
        <v>1</v>
      </c>
      <c r="S81" s="359">
        <f>CS_PID!S81/VLOOKUP($B81,표2[#ALL],2)/hlookup($A81,표4[#ALL],row(),false)</f>
        <v>0.1111111111</v>
      </c>
      <c r="T81" s="359">
        <f>CS_PID!T81/VLOOKUP($B81,표2[#ALL],2)/hlookup($A81,표4[#ALL],row(),false)</f>
        <v>0</v>
      </c>
      <c r="U81" s="359">
        <f>CS_PID!U81/VLOOKUP($B81,표2[#ALL],2)/hlookup($A81,표4[#ALL],row(),false)</f>
        <v>0</v>
      </c>
      <c r="V81" s="359">
        <f>CS_PID!V81/VLOOKUP($B81,표2[#ALL],2)/hlookup($A81,표4[#ALL],row(),false)</f>
        <v>0</v>
      </c>
      <c r="W81" s="359">
        <f>CS_PID!W81/VLOOKUP($B81,표2[#ALL],2)/hlookup($A81,표4[#ALL],row(),false)</f>
        <v>0.2222222222</v>
      </c>
      <c r="X81" s="359">
        <f>CS_PID!X81/VLOOKUP($B81,표2[#ALL],2)/hlookup($A81,표4[#ALL],row(),false)</f>
        <v>0.3333333333</v>
      </c>
      <c r="Y81" s="359">
        <f>CS_PID!Y81/VLOOKUP($B81,표2[#ALL],2)/hlookup($A81,표4[#ALL],row(),false)</f>
        <v>0</v>
      </c>
      <c r="Z81" s="359">
        <f>CS_PID!Z81/VLOOKUP($B81,표2[#ALL],2)/hlookup($A81,표4[#ALL],row(),false)</f>
        <v>0</v>
      </c>
      <c r="AA81" s="359">
        <f>CS_PID!AA81/VLOOKUP($B81,표2[#ALL],2)/hlookup($A81,표4[#ALL],row(),false)</f>
        <v>0</v>
      </c>
      <c r="AB81" s="359">
        <f>CS_PID!AB81/VLOOKUP($B81,표2[#ALL],2)/hlookup($A81,표4[#ALL],row(),false)</f>
        <v>0</v>
      </c>
      <c r="AC81" s="359">
        <f>CS_PID!AC81/VLOOKUP($B81,표2[#ALL],2)/hlookup($A81,표4[#ALL],row(),false)</f>
        <v>0</v>
      </c>
      <c r="AD81" s="359">
        <f>CS_PID!AD81/VLOOKUP($B81,표2[#ALL],2)/hlookup($A81,표4[#ALL],row(),false)</f>
        <v>0.2222222222</v>
      </c>
      <c r="AE81" s="359">
        <f>CS_PID!AE81/VLOOKUP($B81,표2[#ALL],2)/hlookup($A81,표4[#ALL],row(),false)</f>
        <v>0.1111111111</v>
      </c>
      <c r="AF81" s="359">
        <f>CS_PID!AF81/VLOOKUP($B81,표2[#ALL],2)/hlookup($A81,표4[#ALL],row(),false)</f>
        <v>0</v>
      </c>
      <c r="AG81" s="359">
        <f>CS_PID!AG81/VLOOKUP($B81,표2[#ALL],2)/hlookup($A81,표4[#ALL],row(),false)</f>
        <v>0</v>
      </c>
      <c r="AH81" s="359">
        <f>CS_PID!AH81/VLOOKUP($B81,표2[#ALL],2)/hlookup($A81,표4[#ALL],row(),false)</f>
        <v>0</v>
      </c>
      <c r="AI81" s="359">
        <f>CS_PID!AI81/VLOOKUP($B81,표2[#ALL],2)/hlookup($A81,표4[#ALL],row(),false)</f>
        <v>0</v>
      </c>
      <c r="AJ81" s="359">
        <f>CS_PID!AJ81/VLOOKUP($B81,표2[#ALL],2)/hlookup($A81,표4[#ALL],row(),false)</f>
        <v>0.1111111111</v>
      </c>
      <c r="AK81" s="359">
        <f>CS_PID!AK81/VLOOKUP($B81,표2[#ALL],2)/hlookup($A81,표4[#ALL],row(),false)</f>
        <v>0</v>
      </c>
      <c r="AL81" s="359">
        <f>CS_PID!AL81/VLOOKUP($B81,표2[#ALL],2)/hlookup($A81,표4[#ALL],row(),false)</f>
        <v>0</v>
      </c>
      <c r="AM81" s="359">
        <f>CS_PID!AM81/VLOOKUP($B81,표2[#ALL],2)/hlookup($A81,표4[#ALL],row(),false)</f>
        <v>0</v>
      </c>
      <c r="AN81" s="359">
        <f>CS_PID!AN81/VLOOKUP($B81,표2[#ALL],2)/hlookup($A81,표4[#ALL],row(),false)</f>
        <v>0</v>
      </c>
      <c r="AO81" s="359">
        <f>CS_PID!AO81/VLOOKUP($B81,표2[#ALL],2)/hlookup($A81,표4[#ALL],row(),false)</f>
        <v>0</v>
      </c>
      <c r="AP81" s="359">
        <f>CS_PID!AP81/VLOOKUP($B81,표2[#ALL],2)/hlookup($A81,표4[#ALL],row(),false)</f>
        <v>0</v>
      </c>
      <c r="AQ81" s="359">
        <f>CS_PID!AQ81/VLOOKUP($B81,표2[#ALL],2)/hlookup($A81,표4[#ALL],row(),false)</f>
        <v>0</v>
      </c>
      <c r="AR81" s="359">
        <f>CS_PID!AR81/VLOOKUP($B81,표2[#ALL],2)/hlookup($A81,표4[#ALL],row(),false)</f>
        <v>0</v>
      </c>
      <c r="AS81" s="359">
        <f>CS_PID!AS81/VLOOKUP($B81,표2[#ALL],2)/hlookup($A81,표4[#ALL],row(),false)</f>
        <v>0</v>
      </c>
    </row>
    <row r="82">
      <c r="A82" s="173" t="s">
        <v>126</v>
      </c>
      <c r="B82" s="178">
        <v>225.0</v>
      </c>
      <c r="C82" s="359" t="str">
        <f>CS_PID!C82/VLOOKUP($B82,표2[#ALL],2)/hlookup($A82,표4[#ALL],row(),false)</f>
        <v>#DIV/0!</v>
      </c>
      <c r="D82" s="359" t="str">
        <f>CS_PID!D82/VLOOKUP($B82,표2[#ALL],2)/hlookup($A82,표4[#ALL],row(),false)</f>
        <v>#DIV/0!</v>
      </c>
      <c r="E82" s="359" t="str">
        <f>CS_PID!E82/VLOOKUP($B82,표2[#ALL],2)/hlookup($A82,표4[#ALL],row(),false)</f>
        <v>#DIV/0!</v>
      </c>
      <c r="F82" s="359" t="str">
        <f>CS_PID!F82/VLOOKUP($B82,표2[#ALL],2)/hlookup($A82,표4[#ALL],row(),false)</f>
        <v>#DIV/0!</v>
      </c>
      <c r="G82" s="359" t="str">
        <f>CS_PID!G82/VLOOKUP($B82,표2[#ALL],2)/hlookup($A82,표4[#ALL],row(),false)</f>
        <v>#DIV/0!</v>
      </c>
      <c r="H82" s="359" t="str">
        <f>CS_PID!H82/VLOOKUP($B82,표2[#ALL],2)/hlookup($A82,표4[#ALL],row(),false)</f>
        <v>#DIV/0!</v>
      </c>
      <c r="I82" s="359" t="str">
        <f>CS_PID!I82/VLOOKUP($B82,표2[#ALL],2)/hlookup($A82,표4[#ALL],row(),false)</f>
        <v>#DIV/0!</v>
      </c>
      <c r="J82" s="359" t="str">
        <f>CS_PID!J82/VLOOKUP($B82,표2[#ALL],2)/hlookup($A82,표4[#ALL],row(),false)</f>
        <v>#DIV/0!</v>
      </c>
      <c r="K82" s="359" t="str">
        <f>CS_PID!K82/VLOOKUP($B82,표2[#ALL],2)/hlookup($A82,표4[#ALL],row(),false)</f>
        <v>#DIV/0!</v>
      </c>
      <c r="L82" s="359" t="str">
        <f>CS_PID!L82/VLOOKUP($B82,표2[#ALL],2)/hlookup($A82,표4[#ALL],row(),false)</f>
        <v>#DIV/0!</v>
      </c>
      <c r="M82" s="359" t="str">
        <f>CS_PID!M82/VLOOKUP($B82,표2[#ALL],2)/hlookup($A82,표4[#ALL],row(),false)</f>
        <v>#DIV/0!</v>
      </c>
      <c r="N82" s="359" t="str">
        <f>CS_PID!N82/VLOOKUP($B82,표2[#ALL],2)/hlookup($A82,표4[#ALL],row(),false)</f>
        <v>#DIV/0!</v>
      </c>
      <c r="O82" s="359" t="str">
        <f>CS_PID!O82/VLOOKUP($B82,표2[#ALL],2)/hlookup($A82,표4[#ALL],row(),false)</f>
        <v>#DIV/0!</v>
      </c>
      <c r="P82" s="359" t="str">
        <f>CS_PID!P82/VLOOKUP($B82,표2[#ALL],2)/hlookup($A82,표4[#ALL],row(),false)</f>
        <v>#DIV/0!</v>
      </c>
      <c r="Q82" s="359" t="str">
        <f>CS_PID!Q82/VLOOKUP($B82,표2[#ALL],2)/hlookup($A82,표4[#ALL],row(),false)</f>
        <v>#DIV/0!</v>
      </c>
      <c r="R82" s="359" t="str">
        <f>CS_PID!R82/VLOOKUP($B82,표2[#ALL],2)/hlookup($A82,표4[#ALL],row(),false)</f>
        <v>#DIV/0!</v>
      </c>
      <c r="S82" s="359" t="str">
        <f>CS_PID!S82/VLOOKUP($B82,표2[#ALL],2)/hlookup($A82,표4[#ALL],row(),false)</f>
        <v>#DIV/0!</v>
      </c>
      <c r="T82" s="359" t="str">
        <f>CS_PID!T82/VLOOKUP($B82,표2[#ALL],2)/hlookup($A82,표4[#ALL],row(),false)</f>
        <v>#DIV/0!</v>
      </c>
      <c r="U82" s="359" t="str">
        <f>CS_PID!U82/VLOOKUP($B82,표2[#ALL],2)/hlookup($A82,표4[#ALL],row(),false)</f>
        <v>#DIV/0!</v>
      </c>
      <c r="V82" s="359" t="str">
        <f>CS_PID!V82/VLOOKUP($B82,표2[#ALL],2)/hlookup($A82,표4[#ALL],row(),false)</f>
        <v>#DIV/0!</v>
      </c>
      <c r="W82" s="359" t="str">
        <f>CS_PID!W82/VLOOKUP($B82,표2[#ALL],2)/hlookup($A82,표4[#ALL],row(),false)</f>
        <v>#DIV/0!</v>
      </c>
      <c r="X82" s="359" t="str">
        <f>CS_PID!X82/VLOOKUP($B82,표2[#ALL],2)/hlookup($A82,표4[#ALL],row(),false)</f>
        <v>#DIV/0!</v>
      </c>
      <c r="Y82" s="359" t="str">
        <f>CS_PID!Y82/VLOOKUP($B82,표2[#ALL],2)/hlookup($A82,표4[#ALL],row(),false)</f>
        <v>#DIV/0!</v>
      </c>
      <c r="Z82" s="359" t="str">
        <f>CS_PID!Z82/VLOOKUP($B82,표2[#ALL],2)/hlookup($A82,표4[#ALL],row(),false)</f>
        <v>#DIV/0!</v>
      </c>
      <c r="AA82" s="359" t="str">
        <f>CS_PID!AA82/VLOOKUP($B82,표2[#ALL],2)/hlookup($A82,표4[#ALL],row(),false)</f>
        <v>#DIV/0!</v>
      </c>
      <c r="AB82" s="359" t="str">
        <f>CS_PID!AB82/VLOOKUP($B82,표2[#ALL],2)/hlookup($A82,표4[#ALL],row(),false)</f>
        <v>#DIV/0!</v>
      </c>
      <c r="AC82" s="359" t="str">
        <f>CS_PID!AC82/VLOOKUP($B82,표2[#ALL],2)/hlookup($A82,표4[#ALL],row(),false)</f>
        <v>#DIV/0!</v>
      </c>
      <c r="AD82" s="359" t="str">
        <f>CS_PID!AD82/VLOOKUP($B82,표2[#ALL],2)/hlookup($A82,표4[#ALL],row(),false)</f>
        <v>#DIV/0!</v>
      </c>
      <c r="AE82" s="359" t="str">
        <f>CS_PID!AE82/VLOOKUP($B82,표2[#ALL],2)/hlookup($A82,표4[#ALL],row(),false)</f>
        <v>#DIV/0!</v>
      </c>
      <c r="AF82" s="359" t="str">
        <f>CS_PID!AF82/VLOOKUP($B82,표2[#ALL],2)/hlookup($A82,표4[#ALL],row(),false)</f>
        <v>#DIV/0!</v>
      </c>
      <c r="AG82" s="359" t="str">
        <f>CS_PID!AG82/VLOOKUP($B82,표2[#ALL],2)/hlookup($A82,표4[#ALL],row(),false)</f>
        <v>#DIV/0!</v>
      </c>
      <c r="AH82" s="359" t="str">
        <f>CS_PID!AH82/VLOOKUP($B82,표2[#ALL],2)/hlookup($A82,표4[#ALL],row(),false)</f>
        <v>#DIV/0!</v>
      </c>
      <c r="AI82" s="359" t="str">
        <f>CS_PID!AI82/VLOOKUP($B82,표2[#ALL],2)/hlookup($A82,표4[#ALL],row(),false)</f>
        <v>#DIV/0!</v>
      </c>
      <c r="AJ82" s="359" t="str">
        <f>CS_PID!AJ82/VLOOKUP($B82,표2[#ALL],2)/hlookup($A82,표4[#ALL],row(),false)</f>
        <v>#DIV/0!</v>
      </c>
      <c r="AK82" s="359" t="str">
        <f>CS_PID!AK82/VLOOKUP($B82,표2[#ALL],2)/hlookup($A82,표4[#ALL],row(),false)</f>
        <v>#DIV/0!</v>
      </c>
      <c r="AL82" s="359" t="str">
        <f>CS_PID!AL82/VLOOKUP($B82,표2[#ALL],2)/hlookup($A82,표4[#ALL],row(),false)</f>
        <v>#DIV/0!</v>
      </c>
      <c r="AM82" s="359" t="str">
        <f>CS_PID!AM82/VLOOKUP($B82,표2[#ALL],2)/hlookup($A82,표4[#ALL],row(),false)</f>
        <v>#DIV/0!</v>
      </c>
      <c r="AN82" s="359" t="str">
        <f>CS_PID!AN82/VLOOKUP($B82,표2[#ALL],2)/hlookup($A82,표4[#ALL],row(),false)</f>
        <v>#DIV/0!</v>
      </c>
      <c r="AO82" s="359" t="str">
        <f>CS_PID!AO82/VLOOKUP($B82,표2[#ALL],2)/hlookup($A82,표4[#ALL],row(),false)</f>
        <v>#DIV/0!</v>
      </c>
      <c r="AP82" s="359" t="str">
        <f>CS_PID!AP82/VLOOKUP($B82,표2[#ALL],2)/hlookup($A82,표4[#ALL],row(),false)</f>
        <v>#DIV/0!</v>
      </c>
      <c r="AQ82" s="359" t="str">
        <f>CS_PID!AQ82/VLOOKUP($B82,표2[#ALL],2)/hlookup($A82,표4[#ALL],row(),false)</f>
        <v>#DIV/0!</v>
      </c>
      <c r="AR82" s="359" t="str">
        <f>CS_PID!AR82/VLOOKUP($B82,표2[#ALL],2)/hlookup($A82,표4[#ALL],row(),false)</f>
        <v>#DIV/0!</v>
      </c>
      <c r="AS82" s="359" t="str">
        <f>CS_PID!AS82/VLOOKUP($B82,표2[#ALL],2)/hlookup($A82,표4[#ALL],row(),false)</f>
        <v>#DIV/0!</v>
      </c>
    </row>
    <row r="83">
      <c r="A83" s="173" t="s">
        <v>126</v>
      </c>
      <c r="B83" s="178">
        <v>226.0</v>
      </c>
      <c r="C83" s="359">
        <f>CS_PID!C83/VLOOKUP($B83,표2[#ALL],2)/hlookup($A83,표4[#ALL],row(),false)</f>
        <v>0</v>
      </c>
      <c r="D83" s="359">
        <f>CS_PID!D83/VLOOKUP($B83,표2[#ALL],2)/hlookup($A83,표4[#ALL],row(),false)</f>
        <v>0</v>
      </c>
      <c r="E83" s="359">
        <f>CS_PID!E83/VLOOKUP($B83,표2[#ALL],2)/hlookup($A83,표4[#ALL],row(),false)</f>
        <v>0</v>
      </c>
      <c r="F83" s="359">
        <f>CS_PID!F83/VLOOKUP($B83,표2[#ALL],2)/hlookup($A83,표4[#ALL],row(),false)</f>
        <v>0.6666666667</v>
      </c>
      <c r="G83" s="359">
        <f>CS_PID!G83/VLOOKUP($B83,표2[#ALL],2)/hlookup($A83,표4[#ALL],row(),false)</f>
        <v>0.2</v>
      </c>
      <c r="H83" s="359">
        <f>CS_PID!H83/VLOOKUP($B83,표2[#ALL],2)/hlookup($A83,표4[#ALL],row(),false)</f>
        <v>0</v>
      </c>
      <c r="I83" s="359">
        <f>CS_PID!I83/VLOOKUP($B83,표2[#ALL],2)/hlookup($A83,표4[#ALL],row(),false)</f>
        <v>0</v>
      </c>
      <c r="J83" s="359">
        <f>CS_PID!J83/VLOOKUP($B83,표2[#ALL],2)/hlookup($A83,표4[#ALL],row(),false)</f>
        <v>0.06666666667</v>
      </c>
      <c r="K83" s="359">
        <f>CS_PID!K83/VLOOKUP($B83,표2[#ALL],2)/hlookup($A83,표4[#ALL],row(),false)</f>
        <v>1</v>
      </c>
      <c r="L83" s="359">
        <f>CS_PID!L83/VLOOKUP($B83,표2[#ALL],2)/hlookup($A83,표4[#ALL],row(),false)</f>
        <v>0.6</v>
      </c>
      <c r="M83" s="359">
        <f>CS_PID!M83/VLOOKUP($B83,표2[#ALL],2)/hlookup($A83,표4[#ALL],row(),false)</f>
        <v>0</v>
      </c>
      <c r="N83" s="359">
        <f>CS_PID!N83/VLOOKUP($B83,표2[#ALL],2)/hlookup($A83,표4[#ALL],row(),false)</f>
        <v>0</v>
      </c>
      <c r="O83" s="359">
        <f>CS_PID!O83/VLOOKUP($B83,표2[#ALL],2)/hlookup($A83,표4[#ALL],row(),false)</f>
        <v>0</v>
      </c>
      <c r="P83" s="359">
        <f>CS_PID!P83/VLOOKUP($B83,표2[#ALL],2)/hlookup($A83,표4[#ALL],row(),false)</f>
        <v>0</v>
      </c>
      <c r="Q83" s="359">
        <f>CS_PID!Q83/VLOOKUP($B83,표2[#ALL],2)/hlookup($A83,표4[#ALL],row(),false)</f>
        <v>0.9333333333</v>
      </c>
      <c r="R83" s="359">
        <f>CS_PID!R83/VLOOKUP($B83,표2[#ALL],2)/hlookup($A83,표4[#ALL],row(),false)</f>
        <v>0.7333333333</v>
      </c>
      <c r="S83" s="359">
        <f>CS_PID!S83/VLOOKUP($B83,표2[#ALL],2)/hlookup($A83,표4[#ALL],row(),false)</f>
        <v>0.2</v>
      </c>
      <c r="T83" s="359">
        <f>CS_PID!T83/VLOOKUP($B83,표2[#ALL],2)/hlookup($A83,표4[#ALL],row(),false)</f>
        <v>0</v>
      </c>
      <c r="U83" s="359">
        <f>CS_PID!U83/VLOOKUP($B83,표2[#ALL],2)/hlookup($A83,표4[#ALL],row(),false)</f>
        <v>0</v>
      </c>
      <c r="V83" s="359">
        <f>CS_PID!V83/VLOOKUP($B83,표2[#ALL],2)/hlookup($A83,표4[#ALL],row(),false)</f>
        <v>0</v>
      </c>
      <c r="W83" s="359">
        <f>CS_PID!W83/VLOOKUP($B83,표2[#ALL],2)/hlookup($A83,표4[#ALL],row(),false)</f>
        <v>0.2</v>
      </c>
      <c r="X83" s="359">
        <f>CS_PID!X83/VLOOKUP($B83,표2[#ALL],2)/hlookup($A83,표4[#ALL],row(),false)</f>
        <v>1.266666667</v>
      </c>
      <c r="Y83" s="359">
        <f>CS_PID!Y83/VLOOKUP($B83,표2[#ALL],2)/hlookup($A83,표4[#ALL],row(),false)</f>
        <v>0.4666666667</v>
      </c>
      <c r="Z83" s="359">
        <f>CS_PID!Z83/VLOOKUP($B83,표2[#ALL],2)/hlookup($A83,표4[#ALL],row(),false)</f>
        <v>0</v>
      </c>
      <c r="AA83" s="359">
        <f>CS_PID!AA83/VLOOKUP($B83,표2[#ALL],2)/hlookup($A83,표4[#ALL],row(),false)</f>
        <v>0</v>
      </c>
      <c r="AB83" s="359">
        <f>CS_PID!AB83/VLOOKUP($B83,표2[#ALL],2)/hlookup($A83,표4[#ALL],row(),false)</f>
        <v>0</v>
      </c>
      <c r="AC83" s="359">
        <f>CS_PID!AC83/VLOOKUP($B83,표2[#ALL],2)/hlookup($A83,표4[#ALL],row(),false)</f>
        <v>0.2</v>
      </c>
      <c r="AD83" s="359">
        <f>CS_PID!AD83/VLOOKUP($B83,표2[#ALL],2)/hlookup($A83,표4[#ALL],row(),false)</f>
        <v>0.2666666667</v>
      </c>
      <c r="AE83" s="359">
        <f>CS_PID!AE83/VLOOKUP($B83,표2[#ALL],2)/hlookup($A83,표4[#ALL],row(),false)</f>
        <v>0</v>
      </c>
      <c r="AF83" s="359">
        <f>CS_PID!AF83/VLOOKUP($B83,표2[#ALL],2)/hlookup($A83,표4[#ALL],row(),false)</f>
        <v>0</v>
      </c>
      <c r="AG83" s="359">
        <f>CS_PID!AG83/VLOOKUP($B83,표2[#ALL],2)/hlookup($A83,표4[#ALL],row(),false)</f>
        <v>0</v>
      </c>
      <c r="AH83" s="359">
        <f>CS_PID!AH83/VLOOKUP($B83,표2[#ALL],2)/hlookup($A83,표4[#ALL],row(),false)</f>
        <v>0</v>
      </c>
      <c r="AI83" s="359">
        <f>CS_PID!AI83/VLOOKUP($B83,표2[#ALL],2)/hlookup($A83,표4[#ALL],row(),false)</f>
        <v>0</v>
      </c>
      <c r="AJ83" s="359">
        <f>CS_PID!AJ83/VLOOKUP($B83,표2[#ALL],2)/hlookup($A83,표4[#ALL],row(),false)</f>
        <v>0.2</v>
      </c>
      <c r="AK83" s="359">
        <f>CS_PID!AK83/VLOOKUP($B83,표2[#ALL],2)/hlookup($A83,표4[#ALL],row(),false)</f>
        <v>0</v>
      </c>
      <c r="AL83" s="359">
        <f>CS_PID!AL83/VLOOKUP($B83,표2[#ALL],2)/hlookup($A83,표4[#ALL],row(),false)</f>
        <v>0</v>
      </c>
      <c r="AM83" s="359">
        <f>CS_PID!AM83/VLOOKUP($B83,표2[#ALL],2)/hlookup($A83,표4[#ALL],row(),false)</f>
        <v>0</v>
      </c>
      <c r="AN83" s="359">
        <f>CS_PID!AN83/VLOOKUP($B83,표2[#ALL],2)/hlookup($A83,표4[#ALL],row(),false)</f>
        <v>0</v>
      </c>
      <c r="AO83" s="359">
        <f>CS_PID!AO83/VLOOKUP($B83,표2[#ALL],2)/hlookup($A83,표4[#ALL],row(),false)</f>
        <v>0.1333333333</v>
      </c>
      <c r="AP83" s="359">
        <f>CS_PID!AP83/VLOOKUP($B83,표2[#ALL],2)/hlookup($A83,표4[#ALL],row(),false)</f>
        <v>0</v>
      </c>
      <c r="AQ83" s="359">
        <f>CS_PID!AQ83/VLOOKUP($B83,표2[#ALL],2)/hlookup($A83,표4[#ALL],row(),false)</f>
        <v>0</v>
      </c>
      <c r="AR83" s="359">
        <f>CS_PID!AR83/VLOOKUP($B83,표2[#ALL],2)/hlookup($A83,표4[#ALL],row(),false)</f>
        <v>0</v>
      </c>
      <c r="AS83" s="359">
        <f>CS_PID!AS83/VLOOKUP($B83,표2[#ALL],2)/hlookup($A83,표4[#ALL],row(),false)</f>
        <v>0</v>
      </c>
    </row>
    <row r="84">
      <c r="A84" s="173" t="s">
        <v>126</v>
      </c>
      <c r="B84" s="178">
        <v>348.0</v>
      </c>
      <c r="C84" s="359">
        <f>CS_PID!C84/VLOOKUP($B84,표2[#ALL],2)/hlookup($A84,표4[#ALL],row(),false)</f>
        <v>0</v>
      </c>
      <c r="D84" s="359">
        <f>CS_PID!D84/VLOOKUP($B84,표2[#ALL],2)/hlookup($A84,표4[#ALL],row(),false)</f>
        <v>0</v>
      </c>
      <c r="E84" s="359">
        <f>CS_PID!E84/VLOOKUP($B84,표2[#ALL],2)/hlookup($A84,표4[#ALL],row(),false)</f>
        <v>0.1111111111</v>
      </c>
      <c r="F84" s="359">
        <f>CS_PID!F84/VLOOKUP($B84,표2[#ALL],2)/hlookup($A84,표4[#ALL],row(),false)</f>
        <v>0.4444444444</v>
      </c>
      <c r="G84" s="359">
        <f>CS_PID!G84/VLOOKUP($B84,표2[#ALL],2)/hlookup($A84,표4[#ALL],row(),false)</f>
        <v>0.1111111111</v>
      </c>
      <c r="H84" s="359">
        <f>CS_PID!H84/VLOOKUP($B84,표2[#ALL],2)/hlookup($A84,표4[#ALL],row(),false)</f>
        <v>0</v>
      </c>
      <c r="I84" s="359">
        <f>CS_PID!I84/VLOOKUP($B84,표2[#ALL],2)/hlookup($A84,표4[#ALL],row(),false)</f>
        <v>0</v>
      </c>
      <c r="J84" s="359">
        <f>CS_PID!J84/VLOOKUP($B84,표2[#ALL],2)/hlookup($A84,표4[#ALL],row(),false)</f>
        <v>0.4444444444</v>
      </c>
      <c r="K84" s="359">
        <f>CS_PID!K84/VLOOKUP($B84,표2[#ALL],2)/hlookup($A84,표4[#ALL],row(),false)</f>
        <v>1</v>
      </c>
      <c r="L84" s="359">
        <f>CS_PID!L84/VLOOKUP($B84,표2[#ALL],2)/hlookup($A84,표4[#ALL],row(),false)</f>
        <v>1.222222222</v>
      </c>
      <c r="M84" s="359">
        <f>CS_PID!M84/VLOOKUP($B84,표2[#ALL],2)/hlookup($A84,표4[#ALL],row(),false)</f>
        <v>0</v>
      </c>
      <c r="N84" s="359">
        <f>CS_PID!N84/VLOOKUP($B84,표2[#ALL],2)/hlookup($A84,표4[#ALL],row(),false)</f>
        <v>0</v>
      </c>
      <c r="O84" s="359">
        <f>CS_PID!O84/VLOOKUP($B84,표2[#ALL],2)/hlookup($A84,표4[#ALL],row(),false)</f>
        <v>0</v>
      </c>
      <c r="P84" s="359">
        <f>CS_PID!P84/VLOOKUP($B84,표2[#ALL],2)/hlookup($A84,표4[#ALL],row(),false)</f>
        <v>0</v>
      </c>
      <c r="Q84" s="359">
        <f>CS_PID!Q84/VLOOKUP($B84,표2[#ALL],2)/hlookup($A84,표4[#ALL],row(),false)</f>
        <v>0.4444444444</v>
      </c>
      <c r="R84" s="359">
        <f>CS_PID!R84/VLOOKUP($B84,표2[#ALL],2)/hlookup($A84,표4[#ALL],row(),false)</f>
        <v>0.3333333333</v>
      </c>
      <c r="S84" s="359">
        <f>CS_PID!S84/VLOOKUP($B84,표2[#ALL],2)/hlookup($A84,표4[#ALL],row(),false)</f>
        <v>0</v>
      </c>
      <c r="T84" s="359">
        <f>CS_PID!T84/VLOOKUP($B84,표2[#ALL],2)/hlookup($A84,표4[#ALL],row(),false)</f>
        <v>0</v>
      </c>
      <c r="U84" s="359">
        <f>CS_PID!U84/VLOOKUP($B84,표2[#ALL],2)/hlookup($A84,표4[#ALL],row(),false)</f>
        <v>0</v>
      </c>
      <c r="V84" s="359">
        <f>CS_PID!V84/VLOOKUP($B84,표2[#ALL],2)/hlookup($A84,표4[#ALL],row(),false)</f>
        <v>0</v>
      </c>
      <c r="W84" s="359">
        <f>CS_PID!W84/VLOOKUP($B84,표2[#ALL],2)/hlookup($A84,표4[#ALL],row(),false)</f>
        <v>0</v>
      </c>
      <c r="X84" s="359">
        <f>CS_PID!X84/VLOOKUP($B84,표2[#ALL],2)/hlookup($A84,표4[#ALL],row(),false)</f>
        <v>0.6666666667</v>
      </c>
      <c r="Y84" s="359">
        <f>CS_PID!Y84/VLOOKUP($B84,표2[#ALL],2)/hlookup($A84,표4[#ALL],row(),false)</f>
        <v>0</v>
      </c>
      <c r="Z84" s="359">
        <f>CS_PID!Z84/VLOOKUP($B84,표2[#ALL],2)/hlookup($A84,표4[#ALL],row(),false)</f>
        <v>0</v>
      </c>
      <c r="AA84" s="359">
        <f>CS_PID!AA84/VLOOKUP($B84,표2[#ALL],2)/hlookup($A84,표4[#ALL],row(),false)</f>
        <v>0</v>
      </c>
      <c r="AB84" s="359">
        <f>CS_PID!AB84/VLOOKUP($B84,표2[#ALL],2)/hlookup($A84,표4[#ALL],row(),false)</f>
        <v>0</v>
      </c>
      <c r="AC84" s="359">
        <f>CS_PID!AC84/VLOOKUP($B84,표2[#ALL],2)/hlookup($A84,표4[#ALL],row(),false)</f>
        <v>0.1111111111</v>
      </c>
      <c r="AD84" s="359">
        <f>CS_PID!AD84/VLOOKUP($B84,표2[#ALL],2)/hlookup($A84,표4[#ALL],row(),false)</f>
        <v>0</v>
      </c>
      <c r="AE84" s="359">
        <f>CS_PID!AE84/VLOOKUP($B84,표2[#ALL],2)/hlookup($A84,표4[#ALL],row(),false)</f>
        <v>0.1111111111</v>
      </c>
      <c r="AF84" s="359">
        <f>CS_PID!AF84/VLOOKUP($B84,표2[#ALL],2)/hlookup($A84,표4[#ALL],row(),false)</f>
        <v>0</v>
      </c>
      <c r="AG84" s="359">
        <f>CS_PID!AG84/VLOOKUP($B84,표2[#ALL],2)/hlookup($A84,표4[#ALL],row(),false)</f>
        <v>0</v>
      </c>
      <c r="AH84" s="359">
        <f>CS_PID!AH84/VLOOKUP($B84,표2[#ALL],2)/hlookup($A84,표4[#ALL],row(),false)</f>
        <v>0</v>
      </c>
      <c r="AI84" s="359">
        <f>CS_PID!AI84/VLOOKUP($B84,표2[#ALL],2)/hlookup($A84,표4[#ALL],row(),false)</f>
        <v>0</v>
      </c>
      <c r="AJ84" s="359">
        <f>CS_PID!AJ84/VLOOKUP($B84,표2[#ALL],2)/hlookup($A84,표4[#ALL],row(),false)</f>
        <v>0.1111111111</v>
      </c>
      <c r="AK84" s="359">
        <f>CS_PID!AK84/VLOOKUP($B84,표2[#ALL],2)/hlookup($A84,표4[#ALL],row(),false)</f>
        <v>0</v>
      </c>
      <c r="AL84" s="359">
        <f>CS_PID!AL84/VLOOKUP($B84,표2[#ALL],2)/hlookup($A84,표4[#ALL],row(),false)</f>
        <v>0</v>
      </c>
      <c r="AM84" s="359">
        <f>CS_PID!AM84/VLOOKUP($B84,표2[#ALL],2)/hlookup($A84,표4[#ALL],row(),false)</f>
        <v>0</v>
      </c>
      <c r="AN84" s="359">
        <f>CS_PID!AN84/VLOOKUP($B84,표2[#ALL],2)/hlookup($A84,표4[#ALL],row(),false)</f>
        <v>0</v>
      </c>
      <c r="AO84" s="359">
        <f>CS_PID!AO84/VLOOKUP($B84,표2[#ALL],2)/hlookup($A84,표4[#ALL],row(),false)</f>
        <v>0</v>
      </c>
      <c r="AP84" s="359">
        <f>CS_PID!AP84/VLOOKUP($B84,표2[#ALL],2)/hlookup($A84,표4[#ALL],row(),false)</f>
        <v>0.1111111111</v>
      </c>
      <c r="AQ84" s="359">
        <f>CS_PID!AQ84/VLOOKUP($B84,표2[#ALL],2)/hlookup($A84,표4[#ALL],row(),false)</f>
        <v>0</v>
      </c>
      <c r="AR84" s="359">
        <f>CS_PID!AR84/VLOOKUP($B84,표2[#ALL],2)/hlookup($A84,표4[#ALL],row(),false)</f>
        <v>0</v>
      </c>
      <c r="AS84" s="359">
        <f>CS_PID!AS84/VLOOKUP($B84,표2[#ALL],2)/hlookup($A84,표4[#ALL],row(),false)</f>
        <v>0</v>
      </c>
    </row>
    <row r="85">
      <c r="A85" s="173" t="s">
        <v>126</v>
      </c>
      <c r="B85" s="178">
        <v>349.0</v>
      </c>
      <c r="C85" s="359">
        <f>CS_PID!C85/VLOOKUP($B85,표2[#ALL],2)/hlookup($A85,표4[#ALL],row(),false)</f>
        <v>0</v>
      </c>
      <c r="D85" s="359">
        <f>CS_PID!D85/VLOOKUP($B85,표2[#ALL],2)/hlookup($A85,표4[#ALL],row(),false)</f>
        <v>0</v>
      </c>
      <c r="E85" s="359">
        <f>CS_PID!E85/VLOOKUP($B85,표2[#ALL],2)/hlookup($A85,표4[#ALL],row(),false)</f>
        <v>0.5</v>
      </c>
      <c r="F85" s="359">
        <f>CS_PID!F85/VLOOKUP($B85,표2[#ALL],2)/hlookup($A85,표4[#ALL],row(),false)</f>
        <v>1</v>
      </c>
      <c r="G85" s="359">
        <f>CS_PID!G85/VLOOKUP($B85,표2[#ALL],2)/hlookup($A85,표4[#ALL],row(),false)</f>
        <v>0</v>
      </c>
      <c r="H85" s="359">
        <f>CS_PID!H85/VLOOKUP($B85,표2[#ALL],2)/hlookup($A85,표4[#ALL],row(),false)</f>
        <v>0</v>
      </c>
      <c r="I85" s="359">
        <f>CS_PID!I85/VLOOKUP($B85,표2[#ALL],2)/hlookup($A85,표4[#ALL],row(),false)</f>
        <v>0</v>
      </c>
      <c r="J85" s="359">
        <f>CS_PID!J85/VLOOKUP($B85,표2[#ALL],2)/hlookup($A85,표4[#ALL],row(),false)</f>
        <v>0.5</v>
      </c>
      <c r="K85" s="359">
        <f>CS_PID!K85/VLOOKUP($B85,표2[#ALL],2)/hlookup($A85,표4[#ALL],row(),false)</f>
        <v>1</v>
      </c>
      <c r="L85" s="359">
        <f>CS_PID!L85/VLOOKUP($B85,표2[#ALL],2)/hlookup($A85,표4[#ALL],row(),false)</f>
        <v>3</v>
      </c>
      <c r="M85" s="359">
        <f>CS_PID!M85/VLOOKUP($B85,표2[#ALL],2)/hlookup($A85,표4[#ALL],row(),false)</f>
        <v>0.5</v>
      </c>
      <c r="N85" s="359">
        <f>CS_PID!N85/VLOOKUP($B85,표2[#ALL],2)/hlookup($A85,표4[#ALL],row(),false)</f>
        <v>0</v>
      </c>
      <c r="O85" s="359">
        <f>CS_PID!O85/VLOOKUP($B85,표2[#ALL],2)/hlookup($A85,표4[#ALL],row(),false)</f>
        <v>0</v>
      </c>
      <c r="P85" s="359">
        <f>CS_PID!P85/VLOOKUP($B85,표2[#ALL],2)/hlookup($A85,표4[#ALL],row(),false)</f>
        <v>1</v>
      </c>
      <c r="Q85" s="359">
        <f>CS_PID!Q85/VLOOKUP($B85,표2[#ALL],2)/hlookup($A85,표4[#ALL],row(),false)</f>
        <v>3</v>
      </c>
      <c r="R85" s="359">
        <f>CS_PID!R85/VLOOKUP($B85,표2[#ALL],2)/hlookup($A85,표4[#ALL],row(),false)</f>
        <v>1</v>
      </c>
      <c r="S85" s="359">
        <f>CS_PID!S85/VLOOKUP($B85,표2[#ALL],2)/hlookup($A85,표4[#ALL],row(),false)</f>
        <v>0</v>
      </c>
      <c r="T85" s="359">
        <f>CS_PID!T85/VLOOKUP($B85,표2[#ALL],2)/hlookup($A85,표4[#ALL],row(),false)</f>
        <v>0</v>
      </c>
      <c r="U85" s="359">
        <f>CS_PID!U85/VLOOKUP($B85,표2[#ALL],2)/hlookup($A85,표4[#ALL],row(),false)</f>
        <v>0</v>
      </c>
      <c r="V85" s="359">
        <f>CS_PID!V85/VLOOKUP($B85,표2[#ALL],2)/hlookup($A85,표4[#ALL],row(),false)</f>
        <v>0</v>
      </c>
      <c r="W85" s="359">
        <f>CS_PID!W85/VLOOKUP($B85,표2[#ALL],2)/hlookup($A85,표4[#ALL],row(),false)</f>
        <v>1</v>
      </c>
      <c r="X85" s="359">
        <f>CS_PID!X85/VLOOKUP($B85,표2[#ALL],2)/hlookup($A85,표4[#ALL],row(),false)</f>
        <v>2</v>
      </c>
      <c r="Y85" s="359">
        <f>CS_PID!Y85/VLOOKUP($B85,표2[#ALL],2)/hlookup($A85,표4[#ALL],row(),false)</f>
        <v>0</v>
      </c>
      <c r="Z85" s="359">
        <f>CS_PID!Z85/VLOOKUP($B85,표2[#ALL],2)/hlookup($A85,표4[#ALL],row(),false)</f>
        <v>0</v>
      </c>
      <c r="AA85" s="359">
        <f>CS_PID!AA85/VLOOKUP($B85,표2[#ALL],2)/hlookup($A85,표4[#ALL],row(),false)</f>
        <v>0</v>
      </c>
      <c r="AB85" s="359">
        <f>CS_PID!AB85/VLOOKUP($B85,표2[#ALL],2)/hlookup($A85,표4[#ALL],row(),false)</f>
        <v>0</v>
      </c>
      <c r="AC85" s="359">
        <f>CS_PID!AC85/VLOOKUP($B85,표2[#ALL],2)/hlookup($A85,표4[#ALL],row(),false)</f>
        <v>0</v>
      </c>
      <c r="AD85" s="359">
        <f>CS_PID!AD85/VLOOKUP($B85,표2[#ALL],2)/hlookup($A85,표4[#ALL],row(),false)</f>
        <v>1.5</v>
      </c>
      <c r="AE85" s="359">
        <f>CS_PID!AE85/VLOOKUP($B85,표2[#ALL],2)/hlookup($A85,표4[#ALL],row(),false)</f>
        <v>0.5</v>
      </c>
      <c r="AF85" s="359">
        <f>CS_PID!AF85/VLOOKUP($B85,표2[#ALL],2)/hlookup($A85,표4[#ALL],row(),false)</f>
        <v>0</v>
      </c>
      <c r="AG85" s="359">
        <f>CS_PID!AG85/VLOOKUP($B85,표2[#ALL],2)/hlookup($A85,표4[#ALL],row(),false)</f>
        <v>0</v>
      </c>
      <c r="AH85" s="359">
        <f>CS_PID!AH85/VLOOKUP($B85,표2[#ALL],2)/hlookup($A85,표4[#ALL],row(),false)</f>
        <v>0</v>
      </c>
      <c r="AI85" s="359">
        <f>CS_PID!AI85/VLOOKUP($B85,표2[#ALL],2)/hlookup($A85,표4[#ALL],row(),false)</f>
        <v>0</v>
      </c>
      <c r="AJ85" s="359">
        <f>CS_PID!AJ85/VLOOKUP($B85,표2[#ALL],2)/hlookup($A85,표4[#ALL],row(),false)</f>
        <v>0.5</v>
      </c>
      <c r="AK85" s="359">
        <f>CS_PID!AK85/VLOOKUP($B85,표2[#ALL],2)/hlookup($A85,표4[#ALL],row(),false)</f>
        <v>0</v>
      </c>
      <c r="AL85" s="359">
        <f>CS_PID!AL85/VLOOKUP($B85,표2[#ALL],2)/hlookup($A85,표4[#ALL],row(),false)</f>
        <v>0</v>
      </c>
      <c r="AM85" s="359">
        <f>CS_PID!AM85/VLOOKUP($B85,표2[#ALL],2)/hlookup($A85,표4[#ALL],row(),false)</f>
        <v>0</v>
      </c>
      <c r="AN85" s="359">
        <f>CS_PID!AN85/VLOOKUP($B85,표2[#ALL],2)/hlookup($A85,표4[#ALL],row(),false)</f>
        <v>0</v>
      </c>
      <c r="AO85" s="359">
        <f>CS_PID!AO85/VLOOKUP($B85,표2[#ALL],2)/hlookup($A85,표4[#ALL],row(),false)</f>
        <v>0</v>
      </c>
      <c r="AP85" s="359">
        <f>CS_PID!AP85/VLOOKUP($B85,표2[#ALL],2)/hlookup($A85,표4[#ALL],row(),false)</f>
        <v>0</v>
      </c>
      <c r="AQ85" s="359">
        <f>CS_PID!AQ85/VLOOKUP($B85,표2[#ALL],2)/hlookup($A85,표4[#ALL],row(),false)</f>
        <v>0</v>
      </c>
      <c r="AR85" s="359">
        <f>CS_PID!AR85/VLOOKUP($B85,표2[#ALL],2)/hlookup($A85,표4[#ALL],row(),false)</f>
        <v>0</v>
      </c>
      <c r="AS85" s="359">
        <f>CS_PID!AS85/VLOOKUP($B85,표2[#ALL],2)/hlookup($A85,표4[#ALL],row(),false)</f>
        <v>0</v>
      </c>
    </row>
    <row r="86">
      <c r="A86" s="173" t="s">
        <v>126</v>
      </c>
      <c r="B86" s="178">
        <v>350.0</v>
      </c>
      <c r="C86" s="359">
        <f>CS_PID!C86/VLOOKUP($B86,표2[#ALL],2)/hlookup($A86,표4[#ALL],row(),false)</f>
        <v>0</v>
      </c>
      <c r="D86" s="359">
        <f>CS_PID!D86/VLOOKUP($B86,표2[#ALL],2)/hlookup($A86,표4[#ALL],row(),false)</f>
        <v>0.06666666667</v>
      </c>
      <c r="E86" s="359">
        <f>CS_PID!E86/VLOOKUP($B86,표2[#ALL],2)/hlookup($A86,표4[#ALL],row(),false)</f>
        <v>0.2666666667</v>
      </c>
      <c r="F86" s="359">
        <f>CS_PID!F86/VLOOKUP($B86,표2[#ALL],2)/hlookup($A86,표4[#ALL],row(),false)</f>
        <v>0.5333333333</v>
      </c>
      <c r="G86" s="359">
        <f>CS_PID!G86/VLOOKUP($B86,표2[#ALL],2)/hlookup($A86,표4[#ALL],row(),false)</f>
        <v>0.1333333333</v>
      </c>
      <c r="H86" s="359">
        <f>CS_PID!H86/VLOOKUP($B86,표2[#ALL],2)/hlookup($A86,표4[#ALL],row(),false)</f>
        <v>0</v>
      </c>
      <c r="I86" s="359">
        <f>CS_PID!I86/VLOOKUP($B86,표2[#ALL],2)/hlookup($A86,표4[#ALL],row(),false)</f>
        <v>0</v>
      </c>
      <c r="J86" s="359">
        <f>CS_PID!J86/VLOOKUP($B86,표2[#ALL],2)/hlookup($A86,표4[#ALL],row(),false)</f>
        <v>0.1333333333</v>
      </c>
      <c r="K86" s="359">
        <f>CS_PID!K86/VLOOKUP($B86,표2[#ALL],2)/hlookup($A86,표4[#ALL],row(),false)</f>
        <v>1</v>
      </c>
      <c r="L86" s="359">
        <f>CS_PID!L86/VLOOKUP($B86,표2[#ALL],2)/hlookup($A86,표4[#ALL],row(),false)</f>
        <v>0.8</v>
      </c>
      <c r="M86" s="359">
        <f>CS_PID!M86/VLOOKUP($B86,표2[#ALL],2)/hlookup($A86,표4[#ALL],row(),false)</f>
        <v>0.06666666667</v>
      </c>
      <c r="N86" s="359">
        <f>CS_PID!N86/VLOOKUP($B86,표2[#ALL],2)/hlookup($A86,표4[#ALL],row(),false)</f>
        <v>0</v>
      </c>
      <c r="O86" s="359">
        <f>CS_PID!O86/VLOOKUP($B86,표2[#ALL],2)/hlookup($A86,표4[#ALL],row(),false)</f>
        <v>0</v>
      </c>
      <c r="P86" s="359">
        <f>CS_PID!P86/VLOOKUP($B86,표2[#ALL],2)/hlookup($A86,표4[#ALL],row(),false)</f>
        <v>0</v>
      </c>
      <c r="Q86" s="359">
        <f>CS_PID!Q86/VLOOKUP($B86,표2[#ALL],2)/hlookup($A86,표4[#ALL],row(),false)</f>
        <v>0.6666666667</v>
      </c>
      <c r="R86" s="359">
        <f>CS_PID!R86/VLOOKUP($B86,표2[#ALL],2)/hlookup($A86,표4[#ALL],row(),false)</f>
        <v>0.9333333333</v>
      </c>
      <c r="S86" s="359">
        <f>CS_PID!S86/VLOOKUP($B86,표2[#ALL],2)/hlookup($A86,표4[#ALL],row(),false)</f>
        <v>0.1333333333</v>
      </c>
      <c r="T86" s="359">
        <f>CS_PID!T86/VLOOKUP($B86,표2[#ALL],2)/hlookup($A86,표4[#ALL],row(),false)</f>
        <v>0</v>
      </c>
      <c r="U86" s="359">
        <f>CS_PID!U86/VLOOKUP($B86,표2[#ALL],2)/hlookup($A86,표4[#ALL],row(),false)</f>
        <v>0</v>
      </c>
      <c r="V86" s="359">
        <f>CS_PID!V86/VLOOKUP($B86,표2[#ALL],2)/hlookup($A86,표4[#ALL],row(),false)</f>
        <v>0</v>
      </c>
      <c r="W86" s="359">
        <f>CS_PID!W86/VLOOKUP($B86,표2[#ALL],2)/hlookup($A86,표4[#ALL],row(),false)</f>
        <v>0.2</v>
      </c>
      <c r="X86" s="359">
        <f>CS_PID!X86/VLOOKUP($B86,표2[#ALL],2)/hlookup($A86,표4[#ALL],row(),false)</f>
        <v>0.6</v>
      </c>
      <c r="Y86" s="359">
        <f>CS_PID!Y86/VLOOKUP($B86,표2[#ALL],2)/hlookup($A86,표4[#ALL],row(),false)</f>
        <v>0.1333333333</v>
      </c>
      <c r="Z86" s="359">
        <f>CS_PID!Z86/VLOOKUP($B86,표2[#ALL],2)/hlookup($A86,표4[#ALL],row(),false)</f>
        <v>0</v>
      </c>
      <c r="AA86" s="359">
        <f>CS_PID!AA86/VLOOKUP($B86,표2[#ALL],2)/hlookup($A86,표4[#ALL],row(),false)</f>
        <v>0</v>
      </c>
      <c r="AB86" s="359">
        <f>CS_PID!AB86/VLOOKUP($B86,표2[#ALL],2)/hlookup($A86,표4[#ALL],row(),false)</f>
        <v>0</v>
      </c>
      <c r="AC86" s="359">
        <f>CS_PID!AC86/VLOOKUP($B86,표2[#ALL],2)/hlookup($A86,표4[#ALL],row(),false)</f>
        <v>0.1333333333</v>
      </c>
      <c r="AD86" s="359">
        <f>CS_PID!AD86/VLOOKUP($B86,표2[#ALL],2)/hlookup($A86,표4[#ALL],row(),false)</f>
        <v>0.2666666667</v>
      </c>
      <c r="AE86" s="359">
        <f>CS_PID!AE86/VLOOKUP($B86,표2[#ALL],2)/hlookup($A86,표4[#ALL],row(),false)</f>
        <v>0</v>
      </c>
      <c r="AF86" s="359">
        <f>CS_PID!AF86/VLOOKUP($B86,표2[#ALL],2)/hlookup($A86,표4[#ALL],row(),false)</f>
        <v>0</v>
      </c>
      <c r="AG86" s="359">
        <f>CS_PID!AG86/VLOOKUP($B86,표2[#ALL],2)/hlookup($A86,표4[#ALL],row(),false)</f>
        <v>0</v>
      </c>
      <c r="AH86" s="359">
        <f>CS_PID!AH86/VLOOKUP($B86,표2[#ALL],2)/hlookup($A86,표4[#ALL],row(),false)</f>
        <v>0</v>
      </c>
      <c r="AI86" s="359">
        <f>CS_PID!AI86/VLOOKUP($B86,표2[#ALL],2)/hlookup($A86,표4[#ALL],row(),false)</f>
        <v>0.06666666667</v>
      </c>
      <c r="AJ86" s="359">
        <f>CS_PID!AJ86/VLOOKUP($B86,표2[#ALL],2)/hlookup($A86,표4[#ALL],row(),false)</f>
        <v>0.06666666667</v>
      </c>
      <c r="AK86" s="359">
        <f>CS_PID!AK86/VLOOKUP($B86,표2[#ALL],2)/hlookup($A86,표4[#ALL],row(),false)</f>
        <v>0.1333333333</v>
      </c>
      <c r="AL86" s="359">
        <f>CS_PID!AL86/VLOOKUP($B86,표2[#ALL],2)/hlookup($A86,표4[#ALL],row(),false)</f>
        <v>0</v>
      </c>
      <c r="AM86" s="359">
        <f>CS_PID!AM86/VLOOKUP($B86,표2[#ALL],2)/hlookup($A86,표4[#ALL],row(),false)</f>
        <v>0</v>
      </c>
      <c r="AN86" s="359">
        <f>CS_PID!AN86/VLOOKUP($B86,표2[#ALL],2)/hlookup($A86,표4[#ALL],row(),false)</f>
        <v>0</v>
      </c>
      <c r="AO86" s="359">
        <f>CS_PID!AO86/VLOOKUP($B86,표2[#ALL],2)/hlookup($A86,표4[#ALL],row(),false)</f>
        <v>0</v>
      </c>
      <c r="AP86" s="359">
        <f>CS_PID!AP86/VLOOKUP($B86,표2[#ALL],2)/hlookup($A86,표4[#ALL],row(),false)</f>
        <v>0</v>
      </c>
      <c r="AQ86" s="359">
        <f>CS_PID!AQ86/VLOOKUP($B86,표2[#ALL],2)/hlookup($A86,표4[#ALL],row(),false)</f>
        <v>0</v>
      </c>
      <c r="AR86" s="359">
        <f>CS_PID!AR86/VLOOKUP($B86,표2[#ALL],2)/hlookup($A86,표4[#ALL],row(),false)</f>
        <v>0</v>
      </c>
      <c r="AS86" s="359">
        <f>CS_PID!AS86/VLOOKUP($B86,표2[#ALL],2)/hlookup($A86,표4[#ALL],row(),false)</f>
        <v>0</v>
      </c>
    </row>
    <row r="87">
      <c r="A87" s="173" t="s">
        <v>126</v>
      </c>
      <c r="B87" s="178">
        <v>351.0</v>
      </c>
      <c r="C87" s="359">
        <f>CS_PID!C87/VLOOKUP($B87,표2[#ALL],2)/hlookup($A87,표4[#ALL],row(),false)</f>
        <v>0</v>
      </c>
      <c r="D87" s="359">
        <f>CS_PID!D87/VLOOKUP($B87,표2[#ALL],2)/hlookup($A87,표4[#ALL],row(),false)</f>
        <v>0</v>
      </c>
      <c r="E87" s="359">
        <f>CS_PID!E87/VLOOKUP($B87,표2[#ALL],2)/hlookup($A87,표4[#ALL],row(),false)</f>
        <v>1</v>
      </c>
      <c r="F87" s="359">
        <f>CS_PID!F87/VLOOKUP($B87,표2[#ALL],2)/hlookup($A87,표4[#ALL],row(),false)</f>
        <v>2</v>
      </c>
      <c r="G87" s="359">
        <f>CS_PID!G87/VLOOKUP($B87,표2[#ALL],2)/hlookup($A87,표4[#ALL],row(),false)</f>
        <v>0</v>
      </c>
      <c r="H87" s="359">
        <f>CS_PID!H87/VLOOKUP($B87,표2[#ALL],2)/hlookup($A87,표4[#ALL],row(),false)</f>
        <v>0</v>
      </c>
      <c r="I87" s="359">
        <f>CS_PID!I87/VLOOKUP($B87,표2[#ALL],2)/hlookup($A87,표4[#ALL],row(),false)</f>
        <v>0</v>
      </c>
      <c r="J87" s="359">
        <f>CS_PID!J87/VLOOKUP($B87,표2[#ALL],2)/hlookup($A87,표4[#ALL],row(),false)</f>
        <v>0</v>
      </c>
      <c r="K87" s="359">
        <f>CS_PID!K87/VLOOKUP($B87,표2[#ALL],2)/hlookup($A87,표4[#ALL],row(),false)</f>
        <v>1</v>
      </c>
      <c r="L87" s="359">
        <f>CS_PID!L87/VLOOKUP($B87,표2[#ALL],2)/hlookup($A87,표4[#ALL],row(),false)</f>
        <v>2</v>
      </c>
      <c r="M87" s="359">
        <f>CS_PID!M87/VLOOKUP($B87,표2[#ALL],2)/hlookup($A87,표4[#ALL],row(),false)</f>
        <v>1</v>
      </c>
      <c r="N87" s="359">
        <f>CS_PID!N87/VLOOKUP($B87,표2[#ALL],2)/hlookup($A87,표4[#ALL],row(),false)</f>
        <v>0</v>
      </c>
      <c r="O87" s="359">
        <f>CS_PID!O87/VLOOKUP($B87,표2[#ALL],2)/hlookup($A87,표4[#ALL],row(),false)</f>
        <v>0</v>
      </c>
      <c r="P87" s="359">
        <f>CS_PID!P87/VLOOKUP($B87,표2[#ALL],2)/hlookup($A87,표4[#ALL],row(),false)</f>
        <v>0</v>
      </c>
      <c r="Q87" s="359">
        <f>CS_PID!Q87/VLOOKUP($B87,표2[#ALL],2)/hlookup($A87,표4[#ALL],row(),false)</f>
        <v>0</v>
      </c>
      <c r="R87" s="359">
        <f>CS_PID!R87/VLOOKUP($B87,표2[#ALL],2)/hlookup($A87,표4[#ALL],row(),false)</f>
        <v>0</v>
      </c>
      <c r="S87" s="359">
        <f>CS_PID!S87/VLOOKUP($B87,표2[#ALL],2)/hlookup($A87,표4[#ALL],row(),false)</f>
        <v>0</v>
      </c>
      <c r="T87" s="359">
        <f>CS_PID!T87/VLOOKUP($B87,표2[#ALL],2)/hlookup($A87,표4[#ALL],row(),false)</f>
        <v>0</v>
      </c>
      <c r="U87" s="359">
        <f>CS_PID!U87/VLOOKUP($B87,표2[#ALL],2)/hlookup($A87,표4[#ALL],row(),false)</f>
        <v>0</v>
      </c>
      <c r="V87" s="359">
        <f>CS_PID!V87/VLOOKUP($B87,표2[#ALL],2)/hlookup($A87,표4[#ALL],row(),false)</f>
        <v>0</v>
      </c>
      <c r="W87" s="359">
        <f>CS_PID!W87/VLOOKUP($B87,표2[#ALL],2)/hlookup($A87,표4[#ALL],row(),false)</f>
        <v>0</v>
      </c>
      <c r="X87" s="359">
        <f>CS_PID!X87/VLOOKUP($B87,표2[#ALL],2)/hlookup($A87,표4[#ALL],row(),false)</f>
        <v>2</v>
      </c>
      <c r="Y87" s="359">
        <f>CS_PID!Y87/VLOOKUP($B87,표2[#ALL],2)/hlookup($A87,표4[#ALL],row(),false)</f>
        <v>0</v>
      </c>
      <c r="Z87" s="359">
        <f>CS_PID!Z87/VLOOKUP($B87,표2[#ALL],2)/hlookup($A87,표4[#ALL],row(),false)</f>
        <v>0</v>
      </c>
      <c r="AA87" s="359">
        <f>CS_PID!AA87/VLOOKUP($B87,표2[#ALL],2)/hlookup($A87,표4[#ALL],row(),false)</f>
        <v>0</v>
      </c>
      <c r="AB87" s="359">
        <f>CS_PID!AB87/VLOOKUP($B87,표2[#ALL],2)/hlookup($A87,표4[#ALL],row(),false)</f>
        <v>0</v>
      </c>
      <c r="AC87" s="359">
        <f>CS_PID!AC87/VLOOKUP($B87,표2[#ALL],2)/hlookup($A87,표4[#ALL],row(),false)</f>
        <v>1</v>
      </c>
      <c r="AD87" s="359">
        <f>CS_PID!AD87/VLOOKUP($B87,표2[#ALL],2)/hlookup($A87,표4[#ALL],row(),false)</f>
        <v>0</v>
      </c>
      <c r="AE87" s="359">
        <f>CS_PID!AE87/VLOOKUP($B87,표2[#ALL],2)/hlookup($A87,표4[#ALL],row(),false)</f>
        <v>0</v>
      </c>
      <c r="AF87" s="359">
        <f>CS_PID!AF87/VLOOKUP($B87,표2[#ALL],2)/hlookup($A87,표4[#ALL],row(),false)</f>
        <v>0</v>
      </c>
      <c r="AG87" s="359">
        <f>CS_PID!AG87/VLOOKUP($B87,표2[#ALL],2)/hlookup($A87,표4[#ALL],row(),false)</f>
        <v>0</v>
      </c>
      <c r="AH87" s="359">
        <f>CS_PID!AH87/VLOOKUP($B87,표2[#ALL],2)/hlookup($A87,표4[#ALL],row(),false)</f>
        <v>0</v>
      </c>
      <c r="AI87" s="359">
        <f>CS_PID!AI87/VLOOKUP($B87,표2[#ALL],2)/hlookup($A87,표4[#ALL],row(),false)</f>
        <v>0</v>
      </c>
      <c r="AJ87" s="359">
        <f>CS_PID!AJ87/VLOOKUP($B87,표2[#ALL],2)/hlookup($A87,표4[#ALL],row(),false)</f>
        <v>0</v>
      </c>
      <c r="AK87" s="359">
        <f>CS_PID!AK87/VLOOKUP($B87,표2[#ALL],2)/hlookup($A87,표4[#ALL],row(),false)</f>
        <v>0</v>
      </c>
      <c r="AL87" s="359">
        <f>CS_PID!AL87/VLOOKUP($B87,표2[#ALL],2)/hlookup($A87,표4[#ALL],row(),false)</f>
        <v>0</v>
      </c>
      <c r="AM87" s="359">
        <f>CS_PID!AM87/VLOOKUP($B87,표2[#ALL],2)/hlookup($A87,표4[#ALL],row(),false)</f>
        <v>0</v>
      </c>
      <c r="AN87" s="359">
        <f>CS_PID!AN87/VLOOKUP($B87,표2[#ALL],2)/hlookup($A87,표4[#ALL],row(),false)</f>
        <v>0</v>
      </c>
      <c r="AO87" s="359">
        <f>CS_PID!AO87/VLOOKUP($B87,표2[#ALL],2)/hlookup($A87,표4[#ALL],row(),false)</f>
        <v>1</v>
      </c>
      <c r="AP87" s="359">
        <f>CS_PID!AP87/VLOOKUP($B87,표2[#ALL],2)/hlookup($A87,표4[#ALL],row(),false)</f>
        <v>0</v>
      </c>
      <c r="AQ87" s="359">
        <f>CS_PID!AQ87/VLOOKUP($B87,표2[#ALL],2)/hlookup($A87,표4[#ALL],row(),false)</f>
        <v>0</v>
      </c>
      <c r="AR87" s="359">
        <f>CS_PID!AR87/VLOOKUP($B87,표2[#ALL],2)/hlookup($A87,표4[#ALL],row(),false)</f>
        <v>0</v>
      </c>
      <c r="AS87" s="359">
        <f>CS_PID!AS87/VLOOKUP($B87,표2[#ALL],2)/hlookup($A87,표4[#ALL],row(),false)</f>
        <v>0</v>
      </c>
    </row>
    <row r="88">
      <c r="A88" s="173" t="s">
        <v>126</v>
      </c>
      <c r="B88" s="178">
        <v>352.0</v>
      </c>
      <c r="C88" s="359">
        <f>CS_PID!C88/VLOOKUP($B88,표2[#ALL],2)/hlookup($A88,표4[#ALL],row(),false)</f>
        <v>0</v>
      </c>
      <c r="D88" s="359">
        <f>CS_PID!D88/VLOOKUP($B88,표2[#ALL],2)/hlookup($A88,표4[#ALL],row(),false)</f>
        <v>0</v>
      </c>
      <c r="E88" s="359">
        <f>CS_PID!E88/VLOOKUP($B88,표2[#ALL],2)/hlookup($A88,표4[#ALL],row(),false)</f>
        <v>0</v>
      </c>
      <c r="F88" s="359">
        <f>CS_PID!F88/VLOOKUP($B88,표2[#ALL],2)/hlookup($A88,표4[#ALL],row(),false)</f>
        <v>0.6842105263</v>
      </c>
      <c r="G88" s="359">
        <f>CS_PID!G88/VLOOKUP($B88,표2[#ALL],2)/hlookup($A88,표4[#ALL],row(),false)</f>
        <v>0</v>
      </c>
      <c r="H88" s="359">
        <f>CS_PID!H88/VLOOKUP($B88,표2[#ALL],2)/hlookup($A88,표4[#ALL],row(),false)</f>
        <v>0</v>
      </c>
      <c r="I88" s="359">
        <f>CS_PID!I88/VLOOKUP($B88,표2[#ALL],2)/hlookup($A88,표4[#ALL],row(),false)</f>
        <v>0</v>
      </c>
      <c r="J88" s="359">
        <f>CS_PID!J88/VLOOKUP($B88,표2[#ALL],2)/hlookup($A88,표4[#ALL],row(),false)</f>
        <v>0.2631578947</v>
      </c>
      <c r="K88" s="359">
        <f>CS_PID!K88/VLOOKUP($B88,표2[#ALL],2)/hlookup($A88,표4[#ALL],row(),false)</f>
        <v>1</v>
      </c>
      <c r="L88" s="359">
        <f>CS_PID!L88/VLOOKUP($B88,표2[#ALL],2)/hlookup($A88,표4[#ALL],row(),false)</f>
        <v>0.5789473684</v>
      </c>
      <c r="M88" s="359">
        <f>CS_PID!M88/VLOOKUP($B88,표2[#ALL],2)/hlookup($A88,표4[#ALL],row(),false)</f>
        <v>0</v>
      </c>
      <c r="N88" s="359">
        <f>CS_PID!N88/VLOOKUP($B88,표2[#ALL],2)/hlookup($A88,표4[#ALL],row(),false)</f>
        <v>0</v>
      </c>
      <c r="O88" s="359">
        <f>CS_PID!O88/VLOOKUP($B88,표2[#ALL],2)/hlookup($A88,표4[#ALL],row(),false)</f>
        <v>0</v>
      </c>
      <c r="P88" s="359">
        <f>CS_PID!P88/VLOOKUP($B88,표2[#ALL],2)/hlookup($A88,표4[#ALL],row(),false)</f>
        <v>0.05263157895</v>
      </c>
      <c r="Q88" s="359">
        <f>CS_PID!Q88/VLOOKUP($B88,표2[#ALL],2)/hlookup($A88,표4[#ALL],row(),false)</f>
        <v>0.4736842105</v>
      </c>
      <c r="R88" s="359">
        <f>CS_PID!R88/VLOOKUP($B88,표2[#ALL],2)/hlookup($A88,표4[#ALL],row(),false)</f>
        <v>0.8947368421</v>
      </c>
      <c r="S88" s="359">
        <f>CS_PID!S88/VLOOKUP($B88,표2[#ALL],2)/hlookup($A88,표4[#ALL],row(),false)</f>
        <v>0.1052631579</v>
      </c>
      <c r="T88" s="359">
        <f>CS_PID!T88/VLOOKUP($B88,표2[#ALL],2)/hlookup($A88,표4[#ALL],row(),false)</f>
        <v>0</v>
      </c>
      <c r="U88" s="359">
        <f>CS_PID!U88/VLOOKUP($B88,표2[#ALL],2)/hlookup($A88,표4[#ALL],row(),false)</f>
        <v>0</v>
      </c>
      <c r="V88" s="359">
        <f>CS_PID!V88/VLOOKUP($B88,표2[#ALL],2)/hlookup($A88,표4[#ALL],row(),false)</f>
        <v>0.05263157895</v>
      </c>
      <c r="W88" s="359">
        <f>CS_PID!W88/VLOOKUP($B88,표2[#ALL],2)/hlookup($A88,표4[#ALL],row(),false)</f>
        <v>0.1052631579</v>
      </c>
      <c r="X88" s="359">
        <f>CS_PID!X88/VLOOKUP($B88,표2[#ALL],2)/hlookup($A88,표4[#ALL],row(),false)</f>
        <v>0.5263157895</v>
      </c>
      <c r="Y88" s="359">
        <f>CS_PID!Y88/VLOOKUP($B88,표2[#ALL],2)/hlookup($A88,표4[#ALL],row(),false)</f>
        <v>0</v>
      </c>
      <c r="Z88" s="359">
        <f>CS_PID!Z88/VLOOKUP($B88,표2[#ALL],2)/hlookup($A88,표4[#ALL],row(),false)</f>
        <v>0</v>
      </c>
      <c r="AA88" s="359">
        <f>CS_PID!AA88/VLOOKUP($B88,표2[#ALL],2)/hlookup($A88,표4[#ALL],row(),false)</f>
        <v>0</v>
      </c>
      <c r="AB88" s="359">
        <f>CS_PID!AB88/VLOOKUP($B88,표2[#ALL],2)/hlookup($A88,표4[#ALL],row(),false)</f>
        <v>0</v>
      </c>
      <c r="AC88" s="359">
        <f>CS_PID!AC88/VLOOKUP($B88,표2[#ALL],2)/hlookup($A88,표4[#ALL],row(),false)</f>
        <v>0.1052631579</v>
      </c>
      <c r="AD88" s="359">
        <f>CS_PID!AD88/VLOOKUP($B88,표2[#ALL],2)/hlookup($A88,표4[#ALL],row(),false)</f>
        <v>0.1052631579</v>
      </c>
      <c r="AE88" s="359">
        <f>CS_PID!AE88/VLOOKUP($B88,표2[#ALL],2)/hlookup($A88,표4[#ALL],row(),false)</f>
        <v>0.05263157895</v>
      </c>
      <c r="AF88" s="359">
        <f>CS_PID!AF88/VLOOKUP($B88,표2[#ALL],2)/hlookup($A88,표4[#ALL],row(),false)</f>
        <v>0</v>
      </c>
      <c r="AG88" s="359">
        <f>CS_PID!AG88/VLOOKUP($B88,표2[#ALL],2)/hlookup($A88,표4[#ALL],row(),false)</f>
        <v>0</v>
      </c>
      <c r="AH88" s="359">
        <f>CS_PID!AH88/VLOOKUP($B88,표2[#ALL],2)/hlookup($A88,표4[#ALL],row(),false)</f>
        <v>0</v>
      </c>
      <c r="AI88" s="359">
        <f>CS_PID!AI88/VLOOKUP($B88,표2[#ALL],2)/hlookup($A88,표4[#ALL],row(),false)</f>
        <v>0</v>
      </c>
      <c r="AJ88" s="359">
        <f>CS_PID!AJ88/VLOOKUP($B88,표2[#ALL],2)/hlookup($A88,표4[#ALL],row(),false)</f>
        <v>0.2105263158</v>
      </c>
      <c r="AK88" s="359">
        <f>CS_PID!AK88/VLOOKUP($B88,표2[#ALL],2)/hlookup($A88,표4[#ALL],row(),false)</f>
        <v>0.05263157895</v>
      </c>
      <c r="AL88" s="359">
        <f>CS_PID!AL88/VLOOKUP($B88,표2[#ALL],2)/hlookup($A88,표4[#ALL],row(),false)</f>
        <v>0</v>
      </c>
      <c r="AM88" s="359">
        <f>CS_PID!AM88/VLOOKUP($B88,표2[#ALL],2)/hlookup($A88,표4[#ALL],row(),false)</f>
        <v>0</v>
      </c>
      <c r="AN88" s="359">
        <f>CS_PID!AN88/VLOOKUP($B88,표2[#ALL],2)/hlookup($A88,표4[#ALL],row(),false)</f>
        <v>0</v>
      </c>
      <c r="AO88" s="359">
        <f>CS_PID!AO88/VLOOKUP($B88,표2[#ALL],2)/hlookup($A88,표4[#ALL],row(),false)</f>
        <v>0</v>
      </c>
      <c r="AP88" s="359">
        <f>CS_PID!AP88/VLOOKUP($B88,표2[#ALL],2)/hlookup($A88,표4[#ALL],row(),false)</f>
        <v>0</v>
      </c>
      <c r="AQ88" s="359">
        <f>CS_PID!AQ88/VLOOKUP($B88,표2[#ALL],2)/hlookup($A88,표4[#ALL],row(),false)</f>
        <v>0</v>
      </c>
      <c r="AR88" s="359">
        <f>CS_PID!AR88/VLOOKUP($B88,표2[#ALL],2)/hlookup($A88,표4[#ALL],row(),false)</f>
        <v>0</v>
      </c>
      <c r="AS88" s="359">
        <f>CS_PID!AS88/VLOOKUP($B88,표2[#ALL],2)/hlookup($A88,표4[#ALL],row(),false)</f>
        <v>0</v>
      </c>
    </row>
    <row r="89">
      <c r="A89" s="173" t="s">
        <v>126</v>
      </c>
      <c r="B89" s="178">
        <v>361.0</v>
      </c>
      <c r="C89" s="359">
        <f>CS_PID!C89/VLOOKUP($B89,표2[#ALL],2)/hlookup($A89,표4[#ALL],row(),false)</f>
        <v>0</v>
      </c>
      <c r="D89" s="359">
        <f>CS_PID!D89/VLOOKUP($B89,표2[#ALL],2)/hlookup($A89,표4[#ALL],row(),false)</f>
        <v>0</v>
      </c>
      <c r="E89" s="359">
        <f>CS_PID!E89/VLOOKUP($B89,표2[#ALL],2)/hlookup($A89,표4[#ALL],row(),false)</f>
        <v>0</v>
      </c>
      <c r="F89" s="359">
        <f>CS_PID!F89/VLOOKUP($B89,표2[#ALL],2)/hlookup($A89,표4[#ALL],row(),false)</f>
        <v>1.666666667</v>
      </c>
      <c r="G89" s="359">
        <f>CS_PID!G89/VLOOKUP($B89,표2[#ALL],2)/hlookup($A89,표4[#ALL],row(),false)</f>
        <v>0.1111111111</v>
      </c>
      <c r="H89" s="359">
        <f>CS_PID!H89/VLOOKUP($B89,표2[#ALL],2)/hlookup($A89,표4[#ALL],row(),false)</f>
        <v>0</v>
      </c>
      <c r="I89" s="359">
        <f>CS_PID!I89/VLOOKUP($B89,표2[#ALL],2)/hlookup($A89,표4[#ALL],row(),false)</f>
        <v>0</v>
      </c>
      <c r="J89" s="359">
        <f>CS_PID!J89/VLOOKUP($B89,표2[#ALL],2)/hlookup($A89,표4[#ALL],row(),false)</f>
        <v>0</v>
      </c>
      <c r="K89" s="359">
        <f>CS_PID!K89/VLOOKUP($B89,표2[#ALL],2)/hlookup($A89,표4[#ALL],row(),false)</f>
        <v>1</v>
      </c>
      <c r="L89" s="359">
        <f>CS_PID!L89/VLOOKUP($B89,표2[#ALL],2)/hlookup($A89,표4[#ALL],row(),false)</f>
        <v>0.8888888889</v>
      </c>
      <c r="M89" s="359">
        <f>CS_PID!M89/VLOOKUP($B89,표2[#ALL],2)/hlookup($A89,표4[#ALL],row(),false)</f>
        <v>0</v>
      </c>
      <c r="N89" s="359">
        <f>CS_PID!N89/VLOOKUP($B89,표2[#ALL],2)/hlookup($A89,표4[#ALL],row(),false)</f>
        <v>0</v>
      </c>
      <c r="O89" s="359">
        <f>CS_PID!O89/VLOOKUP($B89,표2[#ALL],2)/hlookup($A89,표4[#ALL],row(),false)</f>
        <v>0</v>
      </c>
      <c r="P89" s="359">
        <f>CS_PID!P89/VLOOKUP($B89,표2[#ALL],2)/hlookup($A89,표4[#ALL],row(),false)</f>
        <v>0</v>
      </c>
      <c r="Q89" s="359">
        <f>CS_PID!Q89/VLOOKUP($B89,표2[#ALL],2)/hlookup($A89,표4[#ALL],row(),false)</f>
        <v>1.111111111</v>
      </c>
      <c r="R89" s="359">
        <f>CS_PID!R89/VLOOKUP($B89,표2[#ALL],2)/hlookup($A89,표4[#ALL],row(),false)</f>
        <v>1</v>
      </c>
      <c r="S89" s="359">
        <f>CS_PID!S89/VLOOKUP($B89,표2[#ALL],2)/hlookup($A89,표4[#ALL],row(),false)</f>
        <v>0.2222222222</v>
      </c>
      <c r="T89" s="359">
        <f>CS_PID!T89/VLOOKUP($B89,표2[#ALL],2)/hlookup($A89,표4[#ALL],row(),false)</f>
        <v>0</v>
      </c>
      <c r="U89" s="359">
        <f>CS_PID!U89/VLOOKUP($B89,표2[#ALL],2)/hlookup($A89,표4[#ALL],row(),false)</f>
        <v>0</v>
      </c>
      <c r="V89" s="359">
        <f>CS_PID!V89/VLOOKUP($B89,표2[#ALL],2)/hlookup($A89,표4[#ALL],row(),false)</f>
        <v>0</v>
      </c>
      <c r="W89" s="359">
        <f>CS_PID!W89/VLOOKUP($B89,표2[#ALL],2)/hlookup($A89,표4[#ALL],row(),false)</f>
        <v>0.2222222222</v>
      </c>
      <c r="X89" s="359">
        <f>CS_PID!X89/VLOOKUP($B89,표2[#ALL],2)/hlookup($A89,표4[#ALL],row(),false)</f>
        <v>0.7777777778</v>
      </c>
      <c r="Y89" s="359">
        <f>CS_PID!Y89/VLOOKUP($B89,표2[#ALL],2)/hlookup($A89,표4[#ALL],row(),false)</f>
        <v>0.2222222222</v>
      </c>
      <c r="Z89" s="359">
        <f>CS_PID!Z89/VLOOKUP($B89,표2[#ALL],2)/hlookup($A89,표4[#ALL],row(),false)</f>
        <v>0</v>
      </c>
      <c r="AA89" s="359">
        <f>CS_PID!AA89/VLOOKUP($B89,표2[#ALL],2)/hlookup($A89,표4[#ALL],row(),false)</f>
        <v>0</v>
      </c>
      <c r="AB89" s="359">
        <f>CS_PID!AB89/VLOOKUP($B89,표2[#ALL],2)/hlookup($A89,표4[#ALL],row(),false)</f>
        <v>0</v>
      </c>
      <c r="AC89" s="359">
        <f>CS_PID!AC89/VLOOKUP($B89,표2[#ALL],2)/hlookup($A89,표4[#ALL],row(),false)</f>
        <v>0.1111111111</v>
      </c>
      <c r="AD89" s="359">
        <f>CS_PID!AD89/VLOOKUP($B89,표2[#ALL],2)/hlookup($A89,표4[#ALL],row(),false)</f>
        <v>0.2222222222</v>
      </c>
      <c r="AE89" s="359">
        <f>CS_PID!AE89/VLOOKUP($B89,표2[#ALL],2)/hlookup($A89,표4[#ALL],row(),false)</f>
        <v>0.1111111111</v>
      </c>
      <c r="AF89" s="359">
        <f>CS_PID!AF89/VLOOKUP($B89,표2[#ALL],2)/hlookup($A89,표4[#ALL],row(),false)</f>
        <v>0</v>
      </c>
      <c r="AG89" s="359">
        <f>CS_PID!AG89/VLOOKUP($B89,표2[#ALL],2)/hlookup($A89,표4[#ALL],row(),false)</f>
        <v>0</v>
      </c>
      <c r="AH89" s="359">
        <f>CS_PID!AH89/VLOOKUP($B89,표2[#ALL],2)/hlookup($A89,표4[#ALL],row(),false)</f>
        <v>0</v>
      </c>
      <c r="AI89" s="359">
        <f>CS_PID!AI89/VLOOKUP($B89,표2[#ALL],2)/hlookup($A89,표4[#ALL],row(),false)</f>
        <v>0</v>
      </c>
      <c r="AJ89" s="359">
        <f>CS_PID!AJ89/VLOOKUP($B89,표2[#ALL],2)/hlookup($A89,표4[#ALL],row(),false)</f>
        <v>0.3333333333</v>
      </c>
      <c r="AK89" s="359">
        <f>CS_PID!AK89/VLOOKUP($B89,표2[#ALL],2)/hlookup($A89,표4[#ALL],row(),false)</f>
        <v>0</v>
      </c>
      <c r="AL89" s="359">
        <f>CS_PID!AL89/VLOOKUP($B89,표2[#ALL],2)/hlookup($A89,표4[#ALL],row(),false)</f>
        <v>0</v>
      </c>
      <c r="AM89" s="359">
        <f>CS_PID!AM89/VLOOKUP($B89,표2[#ALL],2)/hlookup($A89,표4[#ALL],row(),false)</f>
        <v>0</v>
      </c>
      <c r="AN89" s="359">
        <f>CS_PID!AN89/VLOOKUP($B89,표2[#ALL],2)/hlookup($A89,표4[#ALL],row(),false)</f>
        <v>0</v>
      </c>
      <c r="AO89" s="359">
        <f>CS_PID!AO89/VLOOKUP($B89,표2[#ALL],2)/hlookup($A89,표4[#ALL],row(),false)</f>
        <v>0.1111111111</v>
      </c>
      <c r="AP89" s="359">
        <f>CS_PID!AP89/VLOOKUP($B89,표2[#ALL],2)/hlookup($A89,표4[#ALL],row(),false)</f>
        <v>0.1111111111</v>
      </c>
      <c r="AQ89" s="359">
        <f>CS_PID!AQ89/VLOOKUP($B89,표2[#ALL],2)/hlookup($A89,표4[#ALL],row(),false)</f>
        <v>0</v>
      </c>
      <c r="AR89" s="359">
        <f>CS_PID!AR89/VLOOKUP($B89,표2[#ALL],2)/hlookup($A89,표4[#ALL],row(),false)</f>
        <v>0</v>
      </c>
      <c r="AS89" s="359">
        <f>CS_PID!AS89/VLOOKUP($B89,표2[#ALL],2)/hlookup($A89,표4[#ALL],row(),false)</f>
        <v>0</v>
      </c>
    </row>
    <row r="90">
      <c r="A90" s="173" t="s">
        <v>126</v>
      </c>
      <c r="B90" s="178">
        <v>362.0</v>
      </c>
      <c r="C90" s="359">
        <f>CS_PID!C90/VLOOKUP($B90,표2[#ALL],2)/hlookup($A90,표4[#ALL],row(),false)</f>
        <v>0</v>
      </c>
      <c r="D90" s="359">
        <f>CS_PID!D90/VLOOKUP($B90,표2[#ALL],2)/hlookup($A90,표4[#ALL],row(),false)</f>
        <v>0</v>
      </c>
      <c r="E90" s="359">
        <f>CS_PID!E90/VLOOKUP($B90,표2[#ALL],2)/hlookup($A90,표4[#ALL],row(),false)</f>
        <v>0</v>
      </c>
      <c r="F90" s="359">
        <f>CS_PID!F90/VLOOKUP($B90,표2[#ALL],2)/hlookup($A90,표4[#ALL],row(),false)</f>
        <v>0.5555555556</v>
      </c>
      <c r="G90" s="359">
        <f>CS_PID!G90/VLOOKUP($B90,표2[#ALL],2)/hlookup($A90,표4[#ALL],row(),false)</f>
        <v>0.3333333333</v>
      </c>
      <c r="H90" s="359">
        <f>CS_PID!H90/VLOOKUP($B90,표2[#ALL],2)/hlookup($A90,표4[#ALL],row(),false)</f>
        <v>0</v>
      </c>
      <c r="I90" s="359">
        <f>CS_PID!I90/VLOOKUP($B90,표2[#ALL],2)/hlookup($A90,표4[#ALL],row(),false)</f>
        <v>0</v>
      </c>
      <c r="J90" s="359">
        <f>CS_PID!J90/VLOOKUP($B90,표2[#ALL],2)/hlookup($A90,표4[#ALL],row(),false)</f>
        <v>0.1111111111</v>
      </c>
      <c r="K90" s="359">
        <f>CS_PID!K90/VLOOKUP($B90,표2[#ALL],2)/hlookup($A90,표4[#ALL],row(),false)</f>
        <v>1</v>
      </c>
      <c r="L90" s="359">
        <f>CS_PID!L90/VLOOKUP($B90,표2[#ALL],2)/hlookup($A90,표4[#ALL],row(),false)</f>
        <v>0.7777777778</v>
      </c>
      <c r="M90" s="359">
        <f>CS_PID!M90/VLOOKUP($B90,표2[#ALL],2)/hlookup($A90,표4[#ALL],row(),false)</f>
        <v>0</v>
      </c>
      <c r="N90" s="359">
        <f>CS_PID!N90/VLOOKUP($B90,표2[#ALL],2)/hlookup($A90,표4[#ALL],row(),false)</f>
        <v>0</v>
      </c>
      <c r="O90" s="359">
        <f>CS_PID!O90/VLOOKUP($B90,표2[#ALL],2)/hlookup($A90,표4[#ALL],row(),false)</f>
        <v>0</v>
      </c>
      <c r="P90" s="359">
        <f>CS_PID!P90/VLOOKUP($B90,표2[#ALL],2)/hlookup($A90,표4[#ALL],row(),false)</f>
        <v>0</v>
      </c>
      <c r="Q90" s="359">
        <f>CS_PID!Q90/VLOOKUP($B90,표2[#ALL],2)/hlookup($A90,표4[#ALL],row(),false)</f>
        <v>1.555555556</v>
      </c>
      <c r="R90" s="359">
        <f>CS_PID!R90/VLOOKUP($B90,표2[#ALL],2)/hlookup($A90,표4[#ALL],row(),false)</f>
        <v>0.6666666667</v>
      </c>
      <c r="S90" s="359">
        <f>CS_PID!S90/VLOOKUP($B90,표2[#ALL],2)/hlookup($A90,표4[#ALL],row(),false)</f>
        <v>0</v>
      </c>
      <c r="T90" s="359">
        <f>CS_PID!T90/VLOOKUP($B90,표2[#ALL],2)/hlookup($A90,표4[#ALL],row(),false)</f>
        <v>0</v>
      </c>
      <c r="U90" s="359">
        <f>CS_PID!U90/VLOOKUP($B90,표2[#ALL],2)/hlookup($A90,표4[#ALL],row(),false)</f>
        <v>0</v>
      </c>
      <c r="V90" s="359">
        <f>CS_PID!V90/VLOOKUP($B90,표2[#ALL],2)/hlookup($A90,표4[#ALL],row(),false)</f>
        <v>0</v>
      </c>
      <c r="W90" s="359">
        <f>CS_PID!W90/VLOOKUP($B90,표2[#ALL],2)/hlookup($A90,표4[#ALL],row(),false)</f>
        <v>0.2222222222</v>
      </c>
      <c r="X90" s="359">
        <f>CS_PID!X90/VLOOKUP($B90,표2[#ALL],2)/hlookup($A90,표4[#ALL],row(),false)</f>
        <v>0.2222222222</v>
      </c>
      <c r="Y90" s="359">
        <f>CS_PID!Y90/VLOOKUP($B90,표2[#ALL],2)/hlookup($A90,표4[#ALL],row(),false)</f>
        <v>0</v>
      </c>
      <c r="Z90" s="359">
        <f>CS_PID!Z90/VLOOKUP($B90,표2[#ALL],2)/hlookup($A90,표4[#ALL],row(),false)</f>
        <v>0</v>
      </c>
      <c r="AA90" s="359">
        <f>CS_PID!AA90/VLOOKUP($B90,표2[#ALL],2)/hlookup($A90,표4[#ALL],row(),false)</f>
        <v>0</v>
      </c>
      <c r="AB90" s="359">
        <f>CS_PID!AB90/VLOOKUP($B90,표2[#ALL],2)/hlookup($A90,표4[#ALL],row(),false)</f>
        <v>0</v>
      </c>
      <c r="AC90" s="359">
        <f>CS_PID!AC90/VLOOKUP($B90,표2[#ALL],2)/hlookup($A90,표4[#ALL],row(),false)</f>
        <v>0.1111111111</v>
      </c>
      <c r="AD90" s="359">
        <f>CS_PID!AD90/VLOOKUP($B90,표2[#ALL],2)/hlookup($A90,표4[#ALL],row(),false)</f>
        <v>0.2222222222</v>
      </c>
      <c r="AE90" s="359">
        <f>CS_PID!AE90/VLOOKUP($B90,표2[#ALL],2)/hlookup($A90,표4[#ALL],row(),false)</f>
        <v>0.1111111111</v>
      </c>
      <c r="AF90" s="359">
        <f>CS_PID!AF90/VLOOKUP($B90,표2[#ALL],2)/hlookup($A90,표4[#ALL],row(),false)</f>
        <v>0</v>
      </c>
      <c r="AG90" s="359">
        <f>CS_PID!AG90/VLOOKUP($B90,표2[#ALL],2)/hlookup($A90,표4[#ALL],row(),false)</f>
        <v>0</v>
      </c>
      <c r="AH90" s="359">
        <f>CS_PID!AH90/VLOOKUP($B90,표2[#ALL],2)/hlookup($A90,표4[#ALL],row(),false)</f>
        <v>0</v>
      </c>
      <c r="AI90" s="359">
        <f>CS_PID!AI90/VLOOKUP($B90,표2[#ALL],2)/hlookup($A90,표4[#ALL],row(),false)</f>
        <v>0</v>
      </c>
      <c r="AJ90" s="359">
        <f>CS_PID!AJ90/VLOOKUP($B90,표2[#ALL],2)/hlookup($A90,표4[#ALL],row(),false)</f>
        <v>0.1111111111</v>
      </c>
      <c r="AK90" s="359">
        <f>CS_PID!AK90/VLOOKUP($B90,표2[#ALL],2)/hlookup($A90,표4[#ALL],row(),false)</f>
        <v>0.1111111111</v>
      </c>
      <c r="AL90" s="359">
        <f>CS_PID!AL90/VLOOKUP($B90,표2[#ALL],2)/hlookup($A90,표4[#ALL],row(),false)</f>
        <v>0</v>
      </c>
      <c r="AM90" s="359">
        <f>CS_PID!AM90/VLOOKUP($B90,표2[#ALL],2)/hlookup($A90,표4[#ALL],row(),false)</f>
        <v>0</v>
      </c>
      <c r="AN90" s="359">
        <f>CS_PID!AN90/VLOOKUP($B90,표2[#ALL],2)/hlookup($A90,표4[#ALL],row(),false)</f>
        <v>0</v>
      </c>
      <c r="AO90" s="359">
        <f>CS_PID!AO90/VLOOKUP($B90,표2[#ALL],2)/hlookup($A90,표4[#ALL],row(),false)</f>
        <v>0</v>
      </c>
      <c r="AP90" s="359">
        <f>CS_PID!AP90/VLOOKUP($B90,표2[#ALL],2)/hlookup($A90,표4[#ALL],row(),false)</f>
        <v>0</v>
      </c>
      <c r="AQ90" s="359">
        <f>CS_PID!AQ90/VLOOKUP($B90,표2[#ALL],2)/hlookup($A90,표4[#ALL],row(),false)</f>
        <v>0</v>
      </c>
      <c r="AR90" s="359">
        <f>CS_PID!AR90/VLOOKUP($B90,표2[#ALL],2)/hlookup($A90,표4[#ALL],row(),false)</f>
        <v>0</v>
      </c>
      <c r="AS90" s="359">
        <f>CS_PID!AS90/VLOOKUP($B90,표2[#ALL],2)/hlookup($A90,표4[#ALL],row(),false)</f>
        <v>0</v>
      </c>
    </row>
    <row r="91">
      <c r="A91" s="173" t="s">
        <v>126</v>
      </c>
      <c r="B91" s="178">
        <v>364.0</v>
      </c>
      <c r="C91" s="359">
        <f>CS_PID!C91/VLOOKUP($B91,표2[#ALL],2)/hlookup($A91,표4[#ALL],row(),false)</f>
        <v>0</v>
      </c>
      <c r="D91" s="359">
        <f>CS_PID!D91/VLOOKUP($B91,표2[#ALL],2)/hlookup($A91,표4[#ALL],row(),false)</f>
        <v>0</v>
      </c>
      <c r="E91" s="359">
        <f>CS_PID!E91/VLOOKUP($B91,표2[#ALL],2)/hlookup($A91,표4[#ALL],row(),false)</f>
        <v>0.2307692308</v>
      </c>
      <c r="F91" s="359">
        <f>CS_PID!F91/VLOOKUP($B91,표2[#ALL],2)/hlookup($A91,표4[#ALL],row(),false)</f>
        <v>0.6923076923</v>
      </c>
      <c r="G91" s="359">
        <f>CS_PID!G91/VLOOKUP($B91,표2[#ALL],2)/hlookup($A91,표4[#ALL],row(),false)</f>
        <v>0.1538461538</v>
      </c>
      <c r="H91" s="359">
        <f>CS_PID!H91/VLOOKUP($B91,표2[#ALL],2)/hlookup($A91,표4[#ALL],row(),false)</f>
        <v>0</v>
      </c>
      <c r="I91" s="359">
        <f>CS_PID!I91/VLOOKUP($B91,표2[#ALL],2)/hlookup($A91,표4[#ALL],row(),false)</f>
        <v>0</v>
      </c>
      <c r="J91" s="359">
        <f>CS_PID!J91/VLOOKUP($B91,표2[#ALL],2)/hlookup($A91,표4[#ALL],row(),false)</f>
        <v>0.07692307692</v>
      </c>
      <c r="K91" s="359">
        <f>CS_PID!K91/VLOOKUP($B91,표2[#ALL],2)/hlookup($A91,표4[#ALL],row(),false)</f>
        <v>1</v>
      </c>
      <c r="L91" s="359">
        <f>CS_PID!L91/VLOOKUP($B91,표2[#ALL],2)/hlookup($A91,표4[#ALL],row(),false)</f>
        <v>0.07692307692</v>
      </c>
      <c r="M91" s="359">
        <f>CS_PID!M91/VLOOKUP($B91,표2[#ALL],2)/hlookup($A91,표4[#ALL],row(),false)</f>
        <v>0</v>
      </c>
      <c r="N91" s="359">
        <f>CS_PID!N91/VLOOKUP($B91,표2[#ALL],2)/hlookup($A91,표4[#ALL],row(),false)</f>
        <v>0</v>
      </c>
      <c r="O91" s="359">
        <f>CS_PID!O91/VLOOKUP($B91,표2[#ALL],2)/hlookup($A91,표4[#ALL],row(),false)</f>
        <v>0</v>
      </c>
      <c r="P91" s="359">
        <f>CS_PID!P91/VLOOKUP($B91,표2[#ALL],2)/hlookup($A91,표4[#ALL],row(),false)</f>
        <v>0</v>
      </c>
      <c r="Q91" s="359">
        <f>CS_PID!Q91/VLOOKUP($B91,표2[#ALL],2)/hlookup($A91,표4[#ALL],row(),false)</f>
        <v>0.3076923077</v>
      </c>
      <c r="R91" s="359">
        <f>CS_PID!R91/VLOOKUP($B91,표2[#ALL],2)/hlookup($A91,표4[#ALL],row(),false)</f>
        <v>0.4615384615</v>
      </c>
      <c r="S91" s="359">
        <f>CS_PID!S91/VLOOKUP($B91,표2[#ALL],2)/hlookup($A91,표4[#ALL],row(),false)</f>
        <v>0</v>
      </c>
      <c r="T91" s="359">
        <f>CS_PID!T91/VLOOKUP($B91,표2[#ALL],2)/hlookup($A91,표4[#ALL],row(),false)</f>
        <v>0</v>
      </c>
      <c r="U91" s="359">
        <f>CS_PID!U91/VLOOKUP($B91,표2[#ALL],2)/hlookup($A91,표4[#ALL],row(),false)</f>
        <v>0</v>
      </c>
      <c r="V91" s="359">
        <f>CS_PID!V91/VLOOKUP($B91,표2[#ALL],2)/hlookup($A91,표4[#ALL],row(),false)</f>
        <v>0</v>
      </c>
      <c r="W91" s="359">
        <f>CS_PID!W91/VLOOKUP($B91,표2[#ALL],2)/hlookup($A91,표4[#ALL],row(),false)</f>
        <v>0</v>
      </c>
      <c r="X91" s="359">
        <f>CS_PID!X91/VLOOKUP($B91,표2[#ALL],2)/hlookup($A91,표4[#ALL],row(),false)</f>
        <v>0.7692307692</v>
      </c>
      <c r="Y91" s="359">
        <f>CS_PID!Y91/VLOOKUP($B91,표2[#ALL],2)/hlookup($A91,표4[#ALL],row(),false)</f>
        <v>0.07692307692</v>
      </c>
      <c r="Z91" s="359">
        <f>CS_PID!Z91/VLOOKUP($B91,표2[#ALL],2)/hlookup($A91,표4[#ALL],row(),false)</f>
        <v>0</v>
      </c>
      <c r="AA91" s="359">
        <f>CS_PID!AA91/VLOOKUP($B91,표2[#ALL],2)/hlookup($A91,표4[#ALL],row(),false)</f>
        <v>0</v>
      </c>
      <c r="AB91" s="359">
        <f>CS_PID!AB91/VLOOKUP($B91,표2[#ALL],2)/hlookup($A91,표4[#ALL],row(),false)</f>
        <v>0</v>
      </c>
      <c r="AC91" s="359">
        <f>CS_PID!AC91/VLOOKUP($B91,표2[#ALL],2)/hlookup($A91,표4[#ALL],row(),false)</f>
        <v>0.07692307692</v>
      </c>
      <c r="AD91" s="359">
        <f>CS_PID!AD91/VLOOKUP($B91,표2[#ALL],2)/hlookup($A91,표4[#ALL],row(),false)</f>
        <v>0.1538461538</v>
      </c>
      <c r="AE91" s="359">
        <f>CS_PID!AE91/VLOOKUP($B91,표2[#ALL],2)/hlookup($A91,표4[#ALL],row(),false)</f>
        <v>0.07692307692</v>
      </c>
      <c r="AF91" s="359">
        <f>CS_PID!AF91/VLOOKUP($B91,표2[#ALL],2)/hlookup($A91,표4[#ALL],row(),false)</f>
        <v>0</v>
      </c>
      <c r="AG91" s="359">
        <f>CS_PID!AG91/VLOOKUP($B91,표2[#ALL],2)/hlookup($A91,표4[#ALL],row(),false)</f>
        <v>0</v>
      </c>
      <c r="AH91" s="359">
        <f>CS_PID!AH91/VLOOKUP($B91,표2[#ALL],2)/hlookup($A91,표4[#ALL],row(),false)</f>
        <v>0</v>
      </c>
      <c r="AI91" s="359">
        <f>CS_PID!AI91/VLOOKUP($B91,표2[#ALL],2)/hlookup($A91,표4[#ALL],row(),false)</f>
        <v>0</v>
      </c>
      <c r="AJ91" s="359">
        <f>CS_PID!AJ91/VLOOKUP($B91,표2[#ALL],2)/hlookup($A91,표4[#ALL],row(),false)</f>
        <v>0.2307692308</v>
      </c>
      <c r="AK91" s="359">
        <f>CS_PID!AK91/VLOOKUP($B91,표2[#ALL],2)/hlookup($A91,표4[#ALL],row(),false)</f>
        <v>0</v>
      </c>
      <c r="AL91" s="359">
        <f>CS_PID!AL91/VLOOKUP($B91,표2[#ALL],2)/hlookup($A91,표4[#ALL],row(),false)</f>
        <v>0</v>
      </c>
      <c r="AM91" s="359">
        <f>CS_PID!AM91/VLOOKUP($B91,표2[#ALL],2)/hlookup($A91,표4[#ALL],row(),false)</f>
        <v>0</v>
      </c>
      <c r="AN91" s="359">
        <f>CS_PID!AN91/VLOOKUP($B91,표2[#ALL],2)/hlookup($A91,표4[#ALL],row(),false)</f>
        <v>0</v>
      </c>
      <c r="AO91" s="359">
        <f>CS_PID!AO91/VLOOKUP($B91,표2[#ALL],2)/hlookup($A91,표4[#ALL],row(),false)</f>
        <v>0</v>
      </c>
      <c r="AP91" s="359">
        <f>CS_PID!AP91/VLOOKUP($B91,표2[#ALL],2)/hlookup($A91,표4[#ALL],row(),false)</f>
        <v>0</v>
      </c>
      <c r="AQ91" s="359">
        <f>CS_PID!AQ91/VLOOKUP($B91,표2[#ALL],2)/hlookup($A91,표4[#ALL],row(),false)</f>
        <v>0</v>
      </c>
      <c r="AR91" s="359">
        <f>CS_PID!AR91/VLOOKUP($B91,표2[#ALL],2)/hlookup($A91,표4[#ALL],row(),false)</f>
        <v>0</v>
      </c>
      <c r="AS91" s="359">
        <f>CS_PID!AS91/VLOOKUP($B91,표2[#ALL],2)/hlookup($A91,표4[#ALL],row(),false)</f>
        <v>0</v>
      </c>
    </row>
    <row r="92">
      <c r="A92" s="173" t="s">
        <v>126</v>
      </c>
      <c r="B92" s="178">
        <v>365.0</v>
      </c>
      <c r="C92" s="359">
        <f>CS_PID!C92/VLOOKUP($B92,표2[#ALL],2)/hlookup($A92,표4[#ALL],row(),false)</f>
        <v>0</v>
      </c>
      <c r="D92" s="359">
        <f>CS_PID!D92/VLOOKUP($B92,표2[#ALL],2)/hlookup($A92,표4[#ALL],row(),false)</f>
        <v>0</v>
      </c>
      <c r="E92" s="359">
        <f>CS_PID!E92/VLOOKUP($B92,표2[#ALL],2)/hlookup($A92,표4[#ALL],row(),false)</f>
        <v>0.6</v>
      </c>
      <c r="F92" s="359">
        <f>CS_PID!F92/VLOOKUP($B92,표2[#ALL],2)/hlookup($A92,표4[#ALL],row(),false)</f>
        <v>0.6</v>
      </c>
      <c r="G92" s="359">
        <f>CS_PID!G92/VLOOKUP($B92,표2[#ALL],2)/hlookup($A92,표4[#ALL],row(),false)</f>
        <v>0</v>
      </c>
      <c r="H92" s="359">
        <f>CS_PID!H92/VLOOKUP($B92,표2[#ALL],2)/hlookup($A92,표4[#ALL],row(),false)</f>
        <v>0</v>
      </c>
      <c r="I92" s="359">
        <f>CS_PID!I92/VLOOKUP($B92,표2[#ALL],2)/hlookup($A92,표4[#ALL],row(),false)</f>
        <v>0</v>
      </c>
      <c r="J92" s="359">
        <f>CS_PID!J92/VLOOKUP($B92,표2[#ALL],2)/hlookup($A92,표4[#ALL],row(),false)</f>
        <v>0.2</v>
      </c>
      <c r="K92" s="359">
        <f>CS_PID!K92/VLOOKUP($B92,표2[#ALL],2)/hlookup($A92,표4[#ALL],row(),false)</f>
        <v>1</v>
      </c>
      <c r="L92" s="359">
        <f>CS_PID!L92/VLOOKUP($B92,표2[#ALL],2)/hlookup($A92,표4[#ALL],row(),false)</f>
        <v>0.8</v>
      </c>
      <c r="M92" s="359">
        <f>CS_PID!M92/VLOOKUP($B92,표2[#ALL],2)/hlookup($A92,표4[#ALL],row(),false)</f>
        <v>0.2</v>
      </c>
      <c r="N92" s="359">
        <f>CS_PID!N92/VLOOKUP($B92,표2[#ALL],2)/hlookup($A92,표4[#ALL],row(),false)</f>
        <v>0</v>
      </c>
      <c r="O92" s="359">
        <f>CS_PID!O92/VLOOKUP($B92,표2[#ALL],2)/hlookup($A92,표4[#ALL],row(),false)</f>
        <v>0</v>
      </c>
      <c r="P92" s="359">
        <f>CS_PID!P92/VLOOKUP($B92,표2[#ALL],2)/hlookup($A92,표4[#ALL],row(),false)</f>
        <v>0.2</v>
      </c>
      <c r="Q92" s="359">
        <f>CS_PID!Q92/VLOOKUP($B92,표2[#ALL],2)/hlookup($A92,표4[#ALL],row(),false)</f>
        <v>0.8</v>
      </c>
      <c r="R92" s="359">
        <f>CS_PID!R92/VLOOKUP($B92,표2[#ALL],2)/hlookup($A92,표4[#ALL],row(),false)</f>
        <v>0.8</v>
      </c>
      <c r="S92" s="359">
        <f>CS_PID!S92/VLOOKUP($B92,표2[#ALL],2)/hlookup($A92,표4[#ALL],row(),false)</f>
        <v>0</v>
      </c>
      <c r="T92" s="359">
        <f>CS_PID!T92/VLOOKUP($B92,표2[#ALL],2)/hlookup($A92,표4[#ALL],row(),false)</f>
        <v>0</v>
      </c>
      <c r="U92" s="359">
        <f>CS_PID!U92/VLOOKUP($B92,표2[#ALL],2)/hlookup($A92,표4[#ALL],row(),false)</f>
        <v>0</v>
      </c>
      <c r="V92" s="359">
        <f>CS_PID!V92/VLOOKUP($B92,표2[#ALL],2)/hlookup($A92,표4[#ALL],row(),false)</f>
        <v>0</v>
      </c>
      <c r="W92" s="359">
        <f>CS_PID!W92/VLOOKUP($B92,표2[#ALL],2)/hlookup($A92,표4[#ALL],row(),false)</f>
        <v>0.6</v>
      </c>
      <c r="X92" s="359">
        <f>CS_PID!X92/VLOOKUP($B92,표2[#ALL],2)/hlookup($A92,표4[#ALL],row(),false)</f>
        <v>1</v>
      </c>
      <c r="Y92" s="359">
        <f>CS_PID!Y92/VLOOKUP($B92,표2[#ALL],2)/hlookup($A92,표4[#ALL],row(),false)</f>
        <v>0</v>
      </c>
      <c r="Z92" s="359">
        <f>CS_PID!Z92/VLOOKUP($B92,표2[#ALL],2)/hlookup($A92,표4[#ALL],row(),false)</f>
        <v>0</v>
      </c>
      <c r="AA92" s="359">
        <f>CS_PID!AA92/VLOOKUP($B92,표2[#ALL],2)/hlookup($A92,표4[#ALL],row(),false)</f>
        <v>0</v>
      </c>
      <c r="AB92" s="359">
        <f>CS_PID!AB92/VLOOKUP($B92,표2[#ALL],2)/hlookup($A92,표4[#ALL],row(),false)</f>
        <v>0</v>
      </c>
      <c r="AC92" s="359">
        <f>CS_PID!AC92/VLOOKUP($B92,표2[#ALL],2)/hlookup($A92,표4[#ALL],row(),false)</f>
        <v>0</v>
      </c>
      <c r="AD92" s="359">
        <f>CS_PID!AD92/VLOOKUP($B92,표2[#ALL],2)/hlookup($A92,표4[#ALL],row(),false)</f>
        <v>0.4</v>
      </c>
      <c r="AE92" s="359">
        <f>CS_PID!AE92/VLOOKUP($B92,표2[#ALL],2)/hlookup($A92,표4[#ALL],row(),false)</f>
        <v>0</v>
      </c>
      <c r="AF92" s="359">
        <f>CS_PID!AF92/VLOOKUP($B92,표2[#ALL],2)/hlookup($A92,표4[#ALL],row(),false)</f>
        <v>0</v>
      </c>
      <c r="AG92" s="359">
        <f>CS_PID!AG92/VLOOKUP($B92,표2[#ALL],2)/hlookup($A92,표4[#ALL],row(),false)</f>
        <v>0</v>
      </c>
      <c r="AH92" s="359">
        <f>CS_PID!AH92/VLOOKUP($B92,표2[#ALL],2)/hlookup($A92,표4[#ALL],row(),false)</f>
        <v>0</v>
      </c>
      <c r="AI92" s="359">
        <f>CS_PID!AI92/VLOOKUP($B92,표2[#ALL],2)/hlookup($A92,표4[#ALL],row(),false)</f>
        <v>0.2</v>
      </c>
      <c r="AJ92" s="359">
        <f>CS_PID!AJ92/VLOOKUP($B92,표2[#ALL],2)/hlookup($A92,표4[#ALL],row(),false)</f>
        <v>0.6</v>
      </c>
      <c r="AK92" s="359">
        <f>CS_PID!AK92/VLOOKUP($B92,표2[#ALL],2)/hlookup($A92,표4[#ALL],row(),false)</f>
        <v>0</v>
      </c>
      <c r="AL92" s="359">
        <f>CS_PID!AL92/VLOOKUP($B92,표2[#ALL],2)/hlookup($A92,표4[#ALL],row(),false)</f>
        <v>0</v>
      </c>
      <c r="AM92" s="359">
        <f>CS_PID!AM92/VLOOKUP($B92,표2[#ALL],2)/hlookup($A92,표4[#ALL],row(),false)</f>
        <v>0</v>
      </c>
      <c r="AN92" s="359">
        <f>CS_PID!AN92/VLOOKUP($B92,표2[#ALL],2)/hlookup($A92,표4[#ALL],row(),false)</f>
        <v>0</v>
      </c>
      <c r="AO92" s="359">
        <f>CS_PID!AO92/VLOOKUP($B92,표2[#ALL],2)/hlookup($A92,표4[#ALL],row(),false)</f>
        <v>0</v>
      </c>
      <c r="AP92" s="359">
        <f>CS_PID!AP92/VLOOKUP($B92,표2[#ALL],2)/hlookup($A92,표4[#ALL],row(),false)</f>
        <v>0</v>
      </c>
      <c r="AQ92" s="359">
        <f>CS_PID!AQ92/VLOOKUP($B92,표2[#ALL],2)/hlookup($A92,표4[#ALL],row(),false)</f>
        <v>0</v>
      </c>
      <c r="AR92" s="359">
        <f>CS_PID!AR92/VLOOKUP($B92,표2[#ALL],2)/hlookup($A92,표4[#ALL],row(),false)</f>
        <v>0</v>
      </c>
      <c r="AS92" s="359">
        <f>CS_PID!AS92/VLOOKUP($B92,표2[#ALL],2)/hlookup($A92,표4[#ALL],row(),false)</f>
        <v>0</v>
      </c>
    </row>
    <row r="93">
      <c r="A93" s="173" t="s">
        <v>126</v>
      </c>
      <c r="B93" s="178">
        <v>366.0</v>
      </c>
      <c r="C93" s="359">
        <f>CS_PID!C93/VLOOKUP($B93,표2[#ALL],2)/hlookup($A93,표4[#ALL],row(),false)</f>
        <v>0.0625</v>
      </c>
      <c r="D93" s="359">
        <f>CS_PID!D93/VLOOKUP($B93,표2[#ALL],2)/hlookup($A93,표4[#ALL],row(),false)</f>
        <v>0</v>
      </c>
      <c r="E93" s="359">
        <f>CS_PID!E93/VLOOKUP($B93,표2[#ALL],2)/hlookup($A93,표4[#ALL],row(),false)</f>
        <v>0.0625</v>
      </c>
      <c r="F93" s="359">
        <f>CS_PID!F93/VLOOKUP($B93,표2[#ALL],2)/hlookup($A93,표4[#ALL],row(),false)</f>
        <v>0.6875</v>
      </c>
      <c r="G93" s="359">
        <f>CS_PID!G93/VLOOKUP($B93,표2[#ALL],2)/hlookup($A93,표4[#ALL],row(),false)</f>
        <v>0.125</v>
      </c>
      <c r="H93" s="359">
        <f>CS_PID!H93/VLOOKUP($B93,표2[#ALL],2)/hlookup($A93,표4[#ALL],row(),false)</f>
        <v>0</v>
      </c>
      <c r="I93" s="359">
        <f>CS_PID!I93/VLOOKUP($B93,표2[#ALL],2)/hlookup($A93,표4[#ALL],row(),false)</f>
        <v>0</v>
      </c>
      <c r="J93" s="359">
        <f>CS_PID!J93/VLOOKUP($B93,표2[#ALL],2)/hlookup($A93,표4[#ALL],row(),false)</f>
        <v>0.125</v>
      </c>
      <c r="K93" s="359">
        <f>CS_PID!K93/VLOOKUP($B93,표2[#ALL],2)/hlookup($A93,표4[#ALL],row(),false)</f>
        <v>1</v>
      </c>
      <c r="L93" s="359">
        <f>CS_PID!L93/VLOOKUP($B93,표2[#ALL],2)/hlookup($A93,표4[#ALL],row(),false)</f>
        <v>0.75</v>
      </c>
      <c r="M93" s="359">
        <f>CS_PID!M93/VLOOKUP($B93,표2[#ALL],2)/hlookup($A93,표4[#ALL],row(),false)</f>
        <v>0</v>
      </c>
      <c r="N93" s="359">
        <f>CS_PID!N93/VLOOKUP($B93,표2[#ALL],2)/hlookup($A93,표4[#ALL],row(),false)</f>
        <v>0</v>
      </c>
      <c r="O93" s="359">
        <f>CS_PID!O93/VLOOKUP($B93,표2[#ALL],2)/hlookup($A93,표4[#ALL],row(),false)</f>
        <v>0</v>
      </c>
      <c r="P93" s="359">
        <f>CS_PID!P93/VLOOKUP($B93,표2[#ALL],2)/hlookup($A93,표4[#ALL],row(),false)</f>
        <v>0.0625</v>
      </c>
      <c r="Q93" s="359">
        <f>CS_PID!Q93/VLOOKUP($B93,표2[#ALL],2)/hlookup($A93,표4[#ALL],row(),false)</f>
        <v>0.875</v>
      </c>
      <c r="R93" s="359">
        <f>CS_PID!R93/VLOOKUP($B93,표2[#ALL],2)/hlookup($A93,표4[#ALL],row(),false)</f>
        <v>0.5</v>
      </c>
      <c r="S93" s="359">
        <f>CS_PID!S93/VLOOKUP($B93,표2[#ALL],2)/hlookup($A93,표4[#ALL],row(),false)</f>
        <v>0.1875</v>
      </c>
      <c r="T93" s="359">
        <f>CS_PID!T93/VLOOKUP($B93,표2[#ALL],2)/hlookup($A93,표4[#ALL],row(),false)</f>
        <v>0</v>
      </c>
      <c r="U93" s="359">
        <f>CS_PID!U93/VLOOKUP($B93,표2[#ALL],2)/hlookup($A93,표4[#ALL],row(),false)</f>
        <v>0</v>
      </c>
      <c r="V93" s="359">
        <f>CS_PID!V93/VLOOKUP($B93,표2[#ALL],2)/hlookup($A93,표4[#ALL],row(),false)</f>
        <v>0</v>
      </c>
      <c r="W93" s="359">
        <f>CS_PID!W93/VLOOKUP($B93,표2[#ALL],2)/hlookup($A93,표4[#ALL],row(),false)</f>
        <v>0.0625</v>
      </c>
      <c r="X93" s="359">
        <f>CS_PID!X93/VLOOKUP($B93,표2[#ALL],2)/hlookup($A93,표4[#ALL],row(),false)</f>
        <v>0.6875</v>
      </c>
      <c r="Y93" s="359">
        <f>CS_PID!Y93/VLOOKUP($B93,표2[#ALL],2)/hlookup($A93,표4[#ALL],row(),false)</f>
        <v>0.0625</v>
      </c>
      <c r="Z93" s="359">
        <f>CS_PID!Z93/VLOOKUP($B93,표2[#ALL],2)/hlookup($A93,표4[#ALL],row(),false)</f>
        <v>0</v>
      </c>
      <c r="AA93" s="359">
        <f>CS_PID!AA93/VLOOKUP($B93,표2[#ALL],2)/hlookup($A93,표4[#ALL],row(),false)</f>
        <v>0</v>
      </c>
      <c r="AB93" s="359">
        <f>CS_PID!AB93/VLOOKUP($B93,표2[#ALL],2)/hlookup($A93,표4[#ALL],row(),false)</f>
        <v>0</v>
      </c>
      <c r="AC93" s="359">
        <f>CS_PID!AC93/VLOOKUP($B93,표2[#ALL],2)/hlookup($A93,표4[#ALL],row(),false)</f>
        <v>0</v>
      </c>
      <c r="AD93" s="359">
        <f>CS_PID!AD93/VLOOKUP($B93,표2[#ALL],2)/hlookup($A93,표4[#ALL],row(),false)</f>
        <v>0.125</v>
      </c>
      <c r="AE93" s="359">
        <f>CS_PID!AE93/VLOOKUP($B93,표2[#ALL],2)/hlookup($A93,표4[#ALL],row(),false)</f>
        <v>0.0625</v>
      </c>
      <c r="AF93" s="359">
        <f>CS_PID!AF93/VLOOKUP($B93,표2[#ALL],2)/hlookup($A93,표4[#ALL],row(),false)</f>
        <v>0</v>
      </c>
      <c r="AG93" s="359">
        <f>CS_PID!AG93/VLOOKUP($B93,표2[#ALL],2)/hlookup($A93,표4[#ALL],row(),false)</f>
        <v>0</v>
      </c>
      <c r="AH93" s="359">
        <f>CS_PID!AH93/VLOOKUP($B93,표2[#ALL],2)/hlookup($A93,표4[#ALL],row(),false)</f>
        <v>0</v>
      </c>
      <c r="AI93" s="359">
        <f>CS_PID!AI93/VLOOKUP($B93,표2[#ALL],2)/hlookup($A93,표4[#ALL],row(),false)</f>
        <v>0</v>
      </c>
      <c r="AJ93" s="359">
        <f>CS_PID!AJ93/VLOOKUP($B93,표2[#ALL],2)/hlookup($A93,표4[#ALL],row(),false)</f>
        <v>0.125</v>
      </c>
      <c r="AK93" s="359">
        <f>CS_PID!AK93/VLOOKUP($B93,표2[#ALL],2)/hlookup($A93,표4[#ALL],row(),false)</f>
        <v>0</v>
      </c>
      <c r="AL93" s="359">
        <f>CS_PID!AL93/VLOOKUP($B93,표2[#ALL],2)/hlookup($A93,표4[#ALL],row(),false)</f>
        <v>0</v>
      </c>
      <c r="AM93" s="359">
        <f>CS_PID!AM93/VLOOKUP($B93,표2[#ALL],2)/hlookup($A93,표4[#ALL],row(),false)</f>
        <v>0</v>
      </c>
      <c r="AN93" s="359">
        <f>CS_PID!AN93/VLOOKUP($B93,표2[#ALL],2)/hlookup($A93,표4[#ALL],row(),false)</f>
        <v>0</v>
      </c>
      <c r="AO93" s="359">
        <f>CS_PID!AO93/VLOOKUP($B93,표2[#ALL],2)/hlookup($A93,표4[#ALL],row(),false)</f>
        <v>0.0625</v>
      </c>
      <c r="AP93" s="359">
        <f>CS_PID!AP93/VLOOKUP($B93,표2[#ALL],2)/hlookup($A93,표4[#ALL],row(),false)</f>
        <v>0</v>
      </c>
      <c r="AQ93" s="359">
        <f>CS_PID!AQ93/VLOOKUP($B93,표2[#ALL],2)/hlookup($A93,표4[#ALL],row(),false)</f>
        <v>0</v>
      </c>
      <c r="AR93" s="359">
        <f>CS_PID!AR93/VLOOKUP($B93,표2[#ALL],2)/hlookup($A93,표4[#ALL],row(),false)</f>
        <v>0</v>
      </c>
      <c r="AS93" s="359">
        <f>CS_PID!AS93/VLOOKUP($B93,표2[#ALL],2)/hlookup($A93,표4[#ALL],row(),false)</f>
        <v>0</v>
      </c>
    </row>
    <row r="94">
      <c r="A94" s="173" t="s">
        <v>126</v>
      </c>
      <c r="B94" s="178">
        <v>367.0</v>
      </c>
      <c r="C94" s="359">
        <f>CS_PID!C94/VLOOKUP($B94,표2[#ALL],2)/hlookup($A94,표4[#ALL],row(),false)</f>
        <v>0</v>
      </c>
      <c r="D94" s="359">
        <f>CS_PID!D94/VLOOKUP($B94,표2[#ALL],2)/hlookup($A94,표4[#ALL],row(),false)</f>
        <v>0.25</v>
      </c>
      <c r="E94" s="359">
        <f>CS_PID!E94/VLOOKUP($B94,표2[#ALL],2)/hlookup($A94,표4[#ALL],row(),false)</f>
        <v>0.25</v>
      </c>
      <c r="F94" s="359">
        <f>CS_PID!F94/VLOOKUP($B94,표2[#ALL],2)/hlookup($A94,표4[#ALL],row(),false)</f>
        <v>1.5</v>
      </c>
      <c r="G94" s="359">
        <f>CS_PID!G94/VLOOKUP($B94,표2[#ALL],2)/hlookup($A94,표4[#ALL],row(),false)</f>
        <v>0</v>
      </c>
      <c r="H94" s="359">
        <f>CS_PID!H94/VLOOKUP($B94,표2[#ALL],2)/hlookup($A94,표4[#ALL],row(),false)</f>
        <v>0.25</v>
      </c>
      <c r="I94" s="359">
        <f>CS_PID!I94/VLOOKUP($B94,표2[#ALL],2)/hlookup($A94,표4[#ALL],row(),false)</f>
        <v>0</v>
      </c>
      <c r="J94" s="359">
        <f>CS_PID!J94/VLOOKUP($B94,표2[#ALL],2)/hlookup($A94,표4[#ALL],row(),false)</f>
        <v>0.25</v>
      </c>
      <c r="K94" s="359">
        <f>CS_PID!K94/VLOOKUP($B94,표2[#ALL],2)/hlookup($A94,표4[#ALL],row(),false)</f>
        <v>1</v>
      </c>
      <c r="L94" s="359">
        <f>CS_PID!L94/VLOOKUP($B94,표2[#ALL],2)/hlookup($A94,표4[#ALL],row(),false)</f>
        <v>1</v>
      </c>
      <c r="M94" s="359">
        <f>CS_PID!M94/VLOOKUP($B94,표2[#ALL],2)/hlookup($A94,표4[#ALL],row(),false)</f>
        <v>0.25</v>
      </c>
      <c r="N94" s="359">
        <f>CS_PID!N94/VLOOKUP($B94,표2[#ALL],2)/hlookup($A94,표4[#ALL],row(),false)</f>
        <v>0</v>
      </c>
      <c r="O94" s="359">
        <f>CS_PID!O94/VLOOKUP($B94,표2[#ALL],2)/hlookup($A94,표4[#ALL],row(),false)</f>
        <v>0</v>
      </c>
      <c r="P94" s="359">
        <f>CS_PID!P94/VLOOKUP($B94,표2[#ALL],2)/hlookup($A94,표4[#ALL],row(),false)</f>
        <v>0</v>
      </c>
      <c r="Q94" s="359">
        <f>CS_PID!Q94/VLOOKUP($B94,표2[#ALL],2)/hlookup($A94,표4[#ALL],row(),false)</f>
        <v>2.5</v>
      </c>
      <c r="R94" s="359">
        <f>CS_PID!R94/VLOOKUP($B94,표2[#ALL],2)/hlookup($A94,표4[#ALL],row(),false)</f>
        <v>1.75</v>
      </c>
      <c r="S94" s="359">
        <f>CS_PID!S94/VLOOKUP($B94,표2[#ALL],2)/hlookup($A94,표4[#ALL],row(),false)</f>
        <v>0</v>
      </c>
      <c r="T94" s="359">
        <f>CS_PID!T94/VLOOKUP($B94,표2[#ALL],2)/hlookup($A94,표4[#ALL],row(),false)</f>
        <v>0</v>
      </c>
      <c r="U94" s="359">
        <f>CS_PID!U94/VLOOKUP($B94,표2[#ALL],2)/hlookup($A94,표4[#ALL],row(),false)</f>
        <v>0</v>
      </c>
      <c r="V94" s="359">
        <f>CS_PID!V94/VLOOKUP($B94,표2[#ALL],2)/hlookup($A94,표4[#ALL],row(),false)</f>
        <v>0</v>
      </c>
      <c r="W94" s="359">
        <f>CS_PID!W94/VLOOKUP($B94,표2[#ALL],2)/hlookup($A94,표4[#ALL],row(),false)</f>
        <v>0.25</v>
      </c>
      <c r="X94" s="359">
        <f>CS_PID!X94/VLOOKUP($B94,표2[#ALL],2)/hlookup($A94,표4[#ALL],row(),false)</f>
        <v>2</v>
      </c>
      <c r="Y94" s="359">
        <f>CS_PID!Y94/VLOOKUP($B94,표2[#ALL],2)/hlookup($A94,표4[#ALL],row(),false)</f>
        <v>0.75</v>
      </c>
      <c r="Z94" s="359">
        <f>CS_PID!Z94/VLOOKUP($B94,표2[#ALL],2)/hlookup($A94,표4[#ALL],row(),false)</f>
        <v>0</v>
      </c>
      <c r="AA94" s="359">
        <f>CS_PID!AA94/VLOOKUP($B94,표2[#ALL],2)/hlookup($A94,표4[#ALL],row(),false)</f>
        <v>0</v>
      </c>
      <c r="AB94" s="359">
        <f>CS_PID!AB94/VLOOKUP($B94,표2[#ALL],2)/hlookup($A94,표4[#ALL],row(),false)</f>
        <v>0</v>
      </c>
      <c r="AC94" s="359">
        <f>CS_PID!AC94/VLOOKUP($B94,표2[#ALL],2)/hlookup($A94,표4[#ALL],row(),false)</f>
        <v>0.25</v>
      </c>
      <c r="AD94" s="359">
        <f>CS_PID!AD94/VLOOKUP($B94,표2[#ALL],2)/hlookup($A94,표4[#ALL],row(),false)</f>
        <v>1.25</v>
      </c>
      <c r="AE94" s="359">
        <f>CS_PID!AE94/VLOOKUP($B94,표2[#ALL],2)/hlookup($A94,표4[#ALL],row(),false)</f>
        <v>0.25</v>
      </c>
      <c r="AF94" s="359">
        <f>CS_PID!AF94/VLOOKUP($B94,표2[#ALL],2)/hlookup($A94,표4[#ALL],row(),false)</f>
        <v>0</v>
      </c>
      <c r="AG94" s="359">
        <f>CS_PID!AG94/VLOOKUP($B94,표2[#ALL],2)/hlookup($A94,표4[#ALL],row(),false)</f>
        <v>0</v>
      </c>
      <c r="AH94" s="359">
        <f>CS_PID!AH94/VLOOKUP($B94,표2[#ALL],2)/hlookup($A94,표4[#ALL],row(),false)</f>
        <v>0</v>
      </c>
      <c r="AI94" s="359">
        <f>CS_PID!AI94/VLOOKUP($B94,표2[#ALL],2)/hlookup($A94,표4[#ALL],row(),false)</f>
        <v>0</v>
      </c>
      <c r="AJ94" s="359">
        <f>CS_PID!AJ94/VLOOKUP($B94,표2[#ALL],2)/hlookup($A94,표4[#ALL],row(),false)</f>
        <v>0.25</v>
      </c>
      <c r="AK94" s="359">
        <f>CS_PID!AK94/VLOOKUP($B94,표2[#ALL],2)/hlookup($A94,표4[#ALL],row(),false)</f>
        <v>0</v>
      </c>
      <c r="AL94" s="359">
        <f>CS_PID!AL94/VLOOKUP($B94,표2[#ALL],2)/hlookup($A94,표4[#ALL],row(),false)</f>
        <v>0</v>
      </c>
      <c r="AM94" s="359">
        <f>CS_PID!AM94/VLOOKUP($B94,표2[#ALL],2)/hlookup($A94,표4[#ALL],row(),false)</f>
        <v>0</v>
      </c>
      <c r="AN94" s="359">
        <f>CS_PID!AN94/VLOOKUP($B94,표2[#ALL],2)/hlookup($A94,표4[#ALL],row(),false)</f>
        <v>0</v>
      </c>
      <c r="AO94" s="359">
        <f>CS_PID!AO94/VLOOKUP($B94,표2[#ALL],2)/hlookup($A94,표4[#ALL],row(),false)</f>
        <v>0</v>
      </c>
      <c r="AP94" s="359">
        <f>CS_PID!AP94/VLOOKUP($B94,표2[#ALL],2)/hlookup($A94,표4[#ALL],row(),false)</f>
        <v>0</v>
      </c>
      <c r="AQ94" s="359">
        <f>CS_PID!AQ94/VLOOKUP($B94,표2[#ALL],2)/hlookup($A94,표4[#ALL],row(),false)</f>
        <v>0</v>
      </c>
      <c r="AR94" s="359">
        <f>CS_PID!AR94/VLOOKUP($B94,표2[#ALL],2)/hlookup($A94,표4[#ALL],row(),false)</f>
        <v>0</v>
      </c>
      <c r="AS94" s="359">
        <f>CS_PID!AS94/VLOOKUP($B94,표2[#ALL],2)/hlookup($A94,표4[#ALL],row(),false)</f>
        <v>0</v>
      </c>
    </row>
    <row r="95">
      <c r="A95" s="173" t="s">
        <v>126</v>
      </c>
      <c r="B95" s="178">
        <v>368.0</v>
      </c>
      <c r="C95" s="359">
        <f>CS_PID!C95/VLOOKUP($B95,표2[#ALL],2)/hlookup($A95,표4[#ALL],row(),false)</f>
        <v>0</v>
      </c>
      <c r="D95" s="359">
        <f>CS_PID!D95/VLOOKUP($B95,표2[#ALL],2)/hlookup($A95,표4[#ALL],row(),false)</f>
        <v>0</v>
      </c>
      <c r="E95" s="359">
        <f>CS_PID!E95/VLOOKUP($B95,표2[#ALL],2)/hlookup($A95,표4[#ALL],row(),false)</f>
        <v>0.07692307692</v>
      </c>
      <c r="F95" s="359">
        <f>CS_PID!F95/VLOOKUP($B95,표2[#ALL],2)/hlookup($A95,표4[#ALL],row(),false)</f>
        <v>1</v>
      </c>
      <c r="G95" s="359">
        <f>CS_PID!G95/VLOOKUP($B95,표2[#ALL],2)/hlookup($A95,표4[#ALL],row(),false)</f>
        <v>0</v>
      </c>
      <c r="H95" s="359">
        <f>CS_PID!H95/VLOOKUP($B95,표2[#ALL],2)/hlookup($A95,표4[#ALL],row(),false)</f>
        <v>0</v>
      </c>
      <c r="I95" s="359">
        <f>CS_PID!I95/VLOOKUP($B95,표2[#ALL],2)/hlookup($A95,표4[#ALL],row(),false)</f>
        <v>0</v>
      </c>
      <c r="J95" s="359">
        <f>CS_PID!J95/VLOOKUP($B95,표2[#ALL],2)/hlookup($A95,표4[#ALL],row(),false)</f>
        <v>0.5384615385</v>
      </c>
      <c r="K95" s="359">
        <f>CS_PID!K95/VLOOKUP($B95,표2[#ALL],2)/hlookup($A95,표4[#ALL],row(),false)</f>
        <v>1</v>
      </c>
      <c r="L95" s="359">
        <f>CS_PID!L95/VLOOKUP($B95,표2[#ALL],2)/hlookup($A95,표4[#ALL],row(),false)</f>
        <v>0.6923076923</v>
      </c>
      <c r="M95" s="359">
        <f>CS_PID!M95/VLOOKUP($B95,표2[#ALL],2)/hlookup($A95,표4[#ALL],row(),false)</f>
        <v>0.1538461538</v>
      </c>
      <c r="N95" s="359">
        <f>CS_PID!N95/VLOOKUP($B95,표2[#ALL],2)/hlookup($A95,표4[#ALL],row(),false)</f>
        <v>0</v>
      </c>
      <c r="O95" s="359">
        <f>CS_PID!O95/VLOOKUP($B95,표2[#ALL],2)/hlookup($A95,표4[#ALL],row(),false)</f>
        <v>0</v>
      </c>
      <c r="P95" s="359">
        <f>CS_PID!P95/VLOOKUP($B95,표2[#ALL],2)/hlookup($A95,표4[#ALL],row(),false)</f>
        <v>0.1538461538</v>
      </c>
      <c r="Q95" s="359">
        <f>CS_PID!Q95/VLOOKUP($B95,표2[#ALL],2)/hlookup($A95,표4[#ALL],row(),false)</f>
        <v>0.8461538462</v>
      </c>
      <c r="R95" s="359">
        <f>CS_PID!R95/VLOOKUP($B95,표2[#ALL],2)/hlookup($A95,표4[#ALL],row(),false)</f>
        <v>0.6923076923</v>
      </c>
      <c r="S95" s="359">
        <f>CS_PID!S95/VLOOKUP($B95,표2[#ALL],2)/hlookup($A95,표4[#ALL],row(),false)</f>
        <v>0</v>
      </c>
      <c r="T95" s="359">
        <f>CS_PID!T95/VLOOKUP($B95,표2[#ALL],2)/hlookup($A95,표4[#ALL],row(),false)</f>
        <v>0</v>
      </c>
      <c r="U95" s="359">
        <f>CS_PID!U95/VLOOKUP($B95,표2[#ALL],2)/hlookup($A95,표4[#ALL],row(),false)</f>
        <v>0</v>
      </c>
      <c r="V95" s="359">
        <f>CS_PID!V95/VLOOKUP($B95,표2[#ALL],2)/hlookup($A95,표4[#ALL],row(),false)</f>
        <v>0</v>
      </c>
      <c r="W95" s="359">
        <f>CS_PID!W95/VLOOKUP($B95,표2[#ALL],2)/hlookup($A95,표4[#ALL],row(),false)</f>
        <v>0.2307692308</v>
      </c>
      <c r="X95" s="359">
        <f>CS_PID!X95/VLOOKUP($B95,표2[#ALL],2)/hlookup($A95,표4[#ALL],row(),false)</f>
        <v>1.307692308</v>
      </c>
      <c r="Y95" s="359">
        <f>CS_PID!Y95/VLOOKUP($B95,표2[#ALL],2)/hlookup($A95,표4[#ALL],row(),false)</f>
        <v>0.07692307692</v>
      </c>
      <c r="Z95" s="359">
        <f>CS_PID!Z95/VLOOKUP($B95,표2[#ALL],2)/hlookup($A95,표4[#ALL],row(),false)</f>
        <v>0</v>
      </c>
      <c r="AA95" s="359">
        <f>CS_PID!AA95/VLOOKUP($B95,표2[#ALL],2)/hlookup($A95,표4[#ALL],row(),false)</f>
        <v>0</v>
      </c>
      <c r="AB95" s="359">
        <f>CS_PID!AB95/VLOOKUP($B95,표2[#ALL],2)/hlookup($A95,표4[#ALL],row(),false)</f>
        <v>0</v>
      </c>
      <c r="AC95" s="359">
        <f>CS_PID!AC95/VLOOKUP($B95,표2[#ALL],2)/hlookup($A95,표4[#ALL],row(),false)</f>
        <v>0.1538461538</v>
      </c>
      <c r="AD95" s="359">
        <f>CS_PID!AD95/VLOOKUP($B95,표2[#ALL],2)/hlookup($A95,표4[#ALL],row(),false)</f>
        <v>0.5384615385</v>
      </c>
      <c r="AE95" s="359">
        <f>CS_PID!AE95/VLOOKUP($B95,표2[#ALL],2)/hlookup($A95,표4[#ALL],row(),false)</f>
        <v>0.2307692308</v>
      </c>
      <c r="AF95" s="359">
        <f>CS_PID!AF95/VLOOKUP($B95,표2[#ALL],2)/hlookup($A95,표4[#ALL],row(),false)</f>
        <v>0</v>
      </c>
      <c r="AG95" s="359">
        <f>CS_PID!AG95/VLOOKUP($B95,표2[#ALL],2)/hlookup($A95,표4[#ALL],row(),false)</f>
        <v>0</v>
      </c>
      <c r="AH95" s="359">
        <f>CS_PID!AH95/VLOOKUP($B95,표2[#ALL],2)/hlookup($A95,표4[#ALL],row(),false)</f>
        <v>0</v>
      </c>
      <c r="AI95" s="359">
        <f>CS_PID!AI95/VLOOKUP($B95,표2[#ALL],2)/hlookup($A95,표4[#ALL],row(),false)</f>
        <v>0</v>
      </c>
      <c r="AJ95" s="359">
        <f>CS_PID!AJ95/VLOOKUP($B95,표2[#ALL],2)/hlookup($A95,표4[#ALL],row(),false)</f>
        <v>0.1538461538</v>
      </c>
      <c r="AK95" s="359">
        <f>CS_PID!AK95/VLOOKUP($B95,표2[#ALL],2)/hlookup($A95,표4[#ALL],row(),false)</f>
        <v>0.07692307692</v>
      </c>
      <c r="AL95" s="359">
        <f>CS_PID!AL95/VLOOKUP($B95,표2[#ALL],2)/hlookup($A95,표4[#ALL],row(),false)</f>
        <v>0</v>
      </c>
      <c r="AM95" s="359">
        <f>CS_PID!AM95/VLOOKUP($B95,표2[#ALL],2)/hlookup($A95,표4[#ALL],row(),false)</f>
        <v>0</v>
      </c>
      <c r="AN95" s="359">
        <f>CS_PID!AN95/VLOOKUP($B95,표2[#ALL],2)/hlookup($A95,표4[#ALL],row(),false)</f>
        <v>0</v>
      </c>
      <c r="AO95" s="359">
        <f>CS_PID!AO95/VLOOKUP($B95,표2[#ALL],2)/hlookup($A95,표4[#ALL],row(),false)</f>
        <v>0</v>
      </c>
      <c r="AP95" s="359">
        <f>CS_PID!AP95/VLOOKUP($B95,표2[#ALL],2)/hlookup($A95,표4[#ALL],row(),false)</f>
        <v>0</v>
      </c>
      <c r="AQ95" s="359">
        <f>CS_PID!AQ95/VLOOKUP($B95,표2[#ALL],2)/hlookup($A95,표4[#ALL],row(),false)</f>
        <v>0</v>
      </c>
      <c r="AR95" s="359">
        <f>CS_PID!AR95/VLOOKUP($B95,표2[#ALL],2)/hlookup($A95,표4[#ALL],row(),false)</f>
        <v>0</v>
      </c>
      <c r="AS95" s="359">
        <f>CS_PID!AS95/VLOOKUP($B95,표2[#ALL],2)/hlookup($A95,표4[#ALL],row(),false)</f>
        <v>0</v>
      </c>
    </row>
    <row r="96">
      <c r="A96" s="173" t="s">
        <v>126</v>
      </c>
      <c r="B96" s="178">
        <v>369.0</v>
      </c>
      <c r="C96" s="359">
        <f>CS_PID!C96/VLOOKUP($B96,표2[#ALL],2)/hlookup($A96,표4[#ALL],row(),false)</f>
        <v>0</v>
      </c>
      <c r="D96" s="359">
        <f>CS_PID!D96/VLOOKUP($B96,표2[#ALL],2)/hlookup($A96,표4[#ALL],row(),false)</f>
        <v>0</v>
      </c>
      <c r="E96" s="359">
        <f>CS_PID!E96/VLOOKUP($B96,표2[#ALL],2)/hlookup($A96,표4[#ALL],row(),false)</f>
        <v>1</v>
      </c>
      <c r="F96" s="359">
        <f>CS_PID!F96/VLOOKUP($B96,표2[#ALL],2)/hlookup($A96,표4[#ALL],row(),false)</f>
        <v>1</v>
      </c>
      <c r="G96" s="359">
        <f>CS_PID!G96/VLOOKUP($B96,표2[#ALL],2)/hlookup($A96,표4[#ALL],row(),false)</f>
        <v>0</v>
      </c>
      <c r="H96" s="359">
        <f>CS_PID!H96/VLOOKUP($B96,표2[#ALL],2)/hlookup($A96,표4[#ALL],row(),false)</f>
        <v>0</v>
      </c>
      <c r="I96" s="359">
        <f>CS_PID!I96/VLOOKUP($B96,표2[#ALL],2)/hlookup($A96,표4[#ALL],row(),false)</f>
        <v>0</v>
      </c>
      <c r="J96" s="359">
        <f>CS_PID!J96/VLOOKUP($B96,표2[#ALL],2)/hlookup($A96,표4[#ALL],row(),false)</f>
        <v>0</v>
      </c>
      <c r="K96" s="359">
        <f>CS_PID!K96/VLOOKUP($B96,표2[#ALL],2)/hlookup($A96,표4[#ALL],row(),false)</f>
        <v>1</v>
      </c>
      <c r="L96" s="359">
        <f>CS_PID!L96/VLOOKUP($B96,표2[#ALL],2)/hlookup($A96,표4[#ALL],row(),false)</f>
        <v>0</v>
      </c>
      <c r="M96" s="359">
        <f>CS_PID!M96/VLOOKUP($B96,표2[#ALL],2)/hlookup($A96,표4[#ALL],row(),false)</f>
        <v>0</v>
      </c>
      <c r="N96" s="359">
        <f>CS_PID!N96/VLOOKUP($B96,표2[#ALL],2)/hlookup($A96,표4[#ALL],row(),false)</f>
        <v>0</v>
      </c>
      <c r="O96" s="359">
        <f>CS_PID!O96/VLOOKUP($B96,표2[#ALL],2)/hlookup($A96,표4[#ALL],row(),false)</f>
        <v>0</v>
      </c>
      <c r="P96" s="359">
        <f>CS_PID!P96/VLOOKUP($B96,표2[#ALL],2)/hlookup($A96,표4[#ALL],row(),false)</f>
        <v>0</v>
      </c>
      <c r="Q96" s="359">
        <f>CS_PID!Q96/VLOOKUP($B96,표2[#ALL],2)/hlookup($A96,표4[#ALL],row(),false)</f>
        <v>0</v>
      </c>
      <c r="R96" s="359">
        <f>CS_PID!R96/VLOOKUP($B96,표2[#ALL],2)/hlookup($A96,표4[#ALL],row(),false)</f>
        <v>2</v>
      </c>
      <c r="S96" s="359">
        <f>CS_PID!S96/VLOOKUP($B96,표2[#ALL],2)/hlookup($A96,표4[#ALL],row(),false)</f>
        <v>1</v>
      </c>
      <c r="T96" s="359">
        <f>CS_PID!T96/VLOOKUP($B96,표2[#ALL],2)/hlookup($A96,표4[#ALL],row(),false)</f>
        <v>0</v>
      </c>
      <c r="U96" s="359">
        <f>CS_PID!U96/VLOOKUP($B96,표2[#ALL],2)/hlookup($A96,표4[#ALL],row(),false)</f>
        <v>0</v>
      </c>
      <c r="V96" s="359">
        <f>CS_PID!V96/VLOOKUP($B96,표2[#ALL],2)/hlookup($A96,표4[#ALL],row(),false)</f>
        <v>0</v>
      </c>
      <c r="W96" s="359">
        <f>CS_PID!W96/VLOOKUP($B96,표2[#ALL],2)/hlookup($A96,표4[#ALL],row(),false)</f>
        <v>0</v>
      </c>
      <c r="X96" s="359">
        <f>CS_PID!X96/VLOOKUP($B96,표2[#ALL],2)/hlookup($A96,표4[#ALL],row(),false)</f>
        <v>0</v>
      </c>
      <c r="Y96" s="359">
        <f>CS_PID!Y96/VLOOKUP($B96,표2[#ALL],2)/hlookup($A96,표4[#ALL],row(),false)</f>
        <v>0</v>
      </c>
      <c r="Z96" s="359">
        <f>CS_PID!Z96/VLOOKUP($B96,표2[#ALL],2)/hlookup($A96,표4[#ALL],row(),false)</f>
        <v>0</v>
      </c>
      <c r="AA96" s="359">
        <f>CS_PID!AA96/VLOOKUP($B96,표2[#ALL],2)/hlookup($A96,표4[#ALL],row(),false)</f>
        <v>0</v>
      </c>
      <c r="AB96" s="359">
        <f>CS_PID!AB96/VLOOKUP($B96,표2[#ALL],2)/hlookup($A96,표4[#ALL],row(),false)</f>
        <v>0</v>
      </c>
      <c r="AC96" s="359">
        <f>CS_PID!AC96/VLOOKUP($B96,표2[#ALL],2)/hlookup($A96,표4[#ALL],row(),false)</f>
        <v>2</v>
      </c>
      <c r="AD96" s="359">
        <f>CS_PID!AD96/VLOOKUP($B96,표2[#ALL],2)/hlookup($A96,표4[#ALL],row(),false)</f>
        <v>0</v>
      </c>
      <c r="AE96" s="359">
        <f>CS_PID!AE96/VLOOKUP($B96,표2[#ALL],2)/hlookup($A96,표4[#ALL],row(),false)</f>
        <v>0</v>
      </c>
      <c r="AF96" s="359">
        <f>CS_PID!AF96/VLOOKUP($B96,표2[#ALL],2)/hlookup($A96,표4[#ALL],row(),false)</f>
        <v>0</v>
      </c>
      <c r="AG96" s="359">
        <f>CS_PID!AG96/VLOOKUP($B96,표2[#ALL],2)/hlookup($A96,표4[#ALL],row(),false)</f>
        <v>0</v>
      </c>
      <c r="AH96" s="359">
        <f>CS_PID!AH96/VLOOKUP($B96,표2[#ALL],2)/hlookup($A96,표4[#ALL],row(),false)</f>
        <v>0</v>
      </c>
      <c r="AI96" s="359">
        <f>CS_PID!AI96/VLOOKUP($B96,표2[#ALL],2)/hlookup($A96,표4[#ALL],row(),false)</f>
        <v>0</v>
      </c>
      <c r="AJ96" s="359">
        <f>CS_PID!AJ96/VLOOKUP($B96,표2[#ALL],2)/hlookup($A96,표4[#ALL],row(),false)</f>
        <v>0</v>
      </c>
      <c r="AK96" s="359">
        <f>CS_PID!AK96/VLOOKUP($B96,표2[#ALL],2)/hlookup($A96,표4[#ALL],row(),false)</f>
        <v>1</v>
      </c>
      <c r="AL96" s="359">
        <f>CS_PID!AL96/VLOOKUP($B96,표2[#ALL],2)/hlookup($A96,표4[#ALL],row(),false)</f>
        <v>0</v>
      </c>
      <c r="AM96" s="359">
        <f>CS_PID!AM96/VLOOKUP($B96,표2[#ALL],2)/hlookup($A96,표4[#ALL],row(),false)</f>
        <v>0</v>
      </c>
      <c r="AN96" s="359">
        <f>CS_PID!AN96/VLOOKUP($B96,표2[#ALL],2)/hlookup($A96,표4[#ALL],row(),false)</f>
        <v>0</v>
      </c>
      <c r="AO96" s="359">
        <f>CS_PID!AO96/VLOOKUP($B96,표2[#ALL],2)/hlookup($A96,표4[#ALL],row(),false)</f>
        <v>0</v>
      </c>
      <c r="AP96" s="359">
        <f>CS_PID!AP96/VLOOKUP($B96,표2[#ALL],2)/hlookup($A96,표4[#ALL],row(),false)</f>
        <v>0</v>
      </c>
      <c r="AQ96" s="359">
        <f>CS_PID!AQ96/VLOOKUP($B96,표2[#ALL],2)/hlookup($A96,표4[#ALL],row(),false)</f>
        <v>0</v>
      </c>
      <c r="AR96" s="359">
        <f>CS_PID!AR96/VLOOKUP($B96,표2[#ALL],2)/hlookup($A96,표4[#ALL],row(),false)</f>
        <v>0</v>
      </c>
      <c r="AS96" s="359">
        <f>CS_PID!AS96/VLOOKUP($B96,표2[#ALL],2)/hlookup($A96,표4[#ALL],row(),false)</f>
        <v>0</v>
      </c>
    </row>
    <row r="97">
      <c r="A97" s="173" t="s">
        <v>126</v>
      </c>
      <c r="B97" s="178">
        <v>370.0</v>
      </c>
      <c r="C97" s="359">
        <f>CS_PID!C97/VLOOKUP($B97,표2[#ALL],2)/hlookup($A97,표4[#ALL],row(),false)</f>
        <v>0</v>
      </c>
      <c r="D97" s="359">
        <f>CS_PID!D97/VLOOKUP($B97,표2[#ALL],2)/hlookup($A97,표4[#ALL],row(),false)</f>
        <v>0</v>
      </c>
      <c r="E97" s="359">
        <f>CS_PID!E97/VLOOKUP($B97,표2[#ALL],2)/hlookup($A97,표4[#ALL],row(),false)</f>
        <v>0</v>
      </c>
      <c r="F97" s="359">
        <f>CS_PID!F97/VLOOKUP($B97,표2[#ALL],2)/hlookup($A97,표4[#ALL],row(),false)</f>
        <v>0</v>
      </c>
      <c r="G97" s="359">
        <f>CS_PID!G97/VLOOKUP($B97,표2[#ALL],2)/hlookup($A97,표4[#ALL],row(),false)</f>
        <v>0</v>
      </c>
      <c r="H97" s="359">
        <f>CS_PID!H97/VLOOKUP($B97,표2[#ALL],2)/hlookup($A97,표4[#ALL],row(),false)</f>
        <v>0</v>
      </c>
      <c r="I97" s="359">
        <f>CS_PID!I97/VLOOKUP($B97,표2[#ALL],2)/hlookup($A97,표4[#ALL],row(),false)</f>
        <v>0</v>
      </c>
      <c r="J97" s="359">
        <f>CS_PID!J97/VLOOKUP($B97,표2[#ALL],2)/hlookup($A97,표4[#ALL],row(),false)</f>
        <v>0</v>
      </c>
      <c r="K97" s="359">
        <f>CS_PID!K97/VLOOKUP($B97,표2[#ALL],2)/hlookup($A97,표4[#ALL],row(),false)</f>
        <v>1</v>
      </c>
      <c r="L97" s="359">
        <f>CS_PID!L97/VLOOKUP($B97,표2[#ALL],2)/hlookup($A97,표4[#ALL],row(),false)</f>
        <v>0</v>
      </c>
      <c r="M97" s="359">
        <f>CS_PID!M97/VLOOKUP($B97,표2[#ALL],2)/hlookup($A97,표4[#ALL],row(),false)</f>
        <v>0</v>
      </c>
      <c r="N97" s="359">
        <f>CS_PID!N97/VLOOKUP($B97,표2[#ALL],2)/hlookup($A97,표4[#ALL],row(),false)</f>
        <v>0</v>
      </c>
      <c r="O97" s="359">
        <f>CS_PID!O97/VLOOKUP($B97,표2[#ALL],2)/hlookup($A97,표4[#ALL],row(),false)</f>
        <v>0</v>
      </c>
      <c r="P97" s="359">
        <f>CS_PID!P97/VLOOKUP($B97,표2[#ALL],2)/hlookup($A97,표4[#ALL],row(),false)</f>
        <v>0</v>
      </c>
      <c r="Q97" s="359">
        <f>CS_PID!Q97/VLOOKUP($B97,표2[#ALL],2)/hlookup($A97,표4[#ALL],row(),false)</f>
        <v>0</v>
      </c>
      <c r="R97" s="359">
        <f>CS_PID!R97/VLOOKUP($B97,표2[#ALL],2)/hlookup($A97,표4[#ALL],row(),false)</f>
        <v>0</v>
      </c>
      <c r="S97" s="359">
        <f>CS_PID!S97/VLOOKUP($B97,표2[#ALL],2)/hlookup($A97,표4[#ALL],row(),false)</f>
        <v>0</v>
      </c>
      <c r="T97" s="359">
        <f>CS_PID!T97/VLOOKUP($B97,표2[#ALL],2)/hlookup($A97,표4[#ALL],row(),false)</f>
        <v>0</v>
      </c>
      <c r="U97" s="359">
        <f>CS_PID!U97/VLOOKUP($B97,표2[#ALL],2)/hlookup($A97,표4[#ALL],row(),false)</f>
        <v>0</v>
      </c>
      <c r="V97" s="359">
        <f>CS_PID!V97/VLOOKUP($B97,표2[#ALL],2)/hlookup($A97,표4[#ALL],row(),false)</f>
        <v>0</v>
      </c>
      <c r="W97" s="359">
        <f>CS_PID!W97/VLOOKUP($B97,표2[#ALL],2)/hlookup($A97,표4[#ALL],row(),false)</f>
        <v>0</v>
      </c>
      <c r="X97" s="359">
        <f>CS_PID!X97/VLOOKUP($B97,표2[#ALL],2)/hlookup($A97,표4[#ALL],row(),false)</f>
        <v>0</v>
      </c>
      <c r="Y97" s="359">
        <f>CS_PID!Y97/VLOOKUP($B97,표2[#ALL],2)/hlookup($A97,표4[#ALL],row(),false)</f>
        <v>0</v>
      </c>
      <c r="Z97" s="359">
        <f>CS_PID!Z97/VLOOKUP($B97,표2[#ALL],2)/hlookup($A97,표4[#ALL],row(),false)</f>
        <v>0</v>
      </c>
      <c r="AA97" s="359">
        <f>CS_PID!AA97/VLOOKUP($B97,표2[#ALL],2)/hlookup($A97,표4[#ALL],row(),false)</f>
        <v>0</v>
      </c>
      <c r="AB97" s="359">
        <f>CS_PID!AB97/VLOOKUP($B97,표2[#ALL],2)/hlookup($A97,표4[#ALL],row(),false)</f>
        <v>0</v>
      </c>
      <c r="AC97" s="359">
        <f>CS_PID!AC97/VLOOKUP($B97,표2[#ALL],2)/hlookup($A97,표4[#ALL],row(),false)</f>
        <v>0</v>
      </c>
      <c r="AD97" s="359">
        <f>CS_PID!AD97/VLOOKUP($B97,표2[#ALL],2)/hlookup($A97,표4[#ALL],row(),false)</f>
        <v>0</v>
      </c>
      <c r="AE97" s="359">
        <f>CS_PID!AE97/VLOOKUP($B97,표2[#ALL],2)/hlookup($A97,표4[#ALL],row(),false)</f>
        <v>0</v>
      </c>
      <c r="AF97" s="359">
        <f>CS_PID!AF97/VLOOKUP($B97,표2[#ALL],2)/hlookup($A97,표4[#ALL],row(),false)</f>
        <v>0</v>
      </c>
      <c r="AG97" s="359">
        <f>CS_PID!AG97/VLOOKUP($B97,표2[#ALL],2)/hlookup($A97,표4[#ALL],row(),false)</f>
        <v>0</v>
      </c>
      <c r="AH97" s="359">
        <f>CS_PID!AH97/VLOOKUP($B97,표2[#ALL],2)/hlookup($A97,표4[#ALL],row(),false)</f>
        <v>0</v>
      </c>
      <c r="AI97" s="359">
        <f>CS_PID!AI97/VLOOKUP($B97,표2[#ALL],2)/hlookup($A97,표4[#ALL],row(),false)</f>
        <v>0</v>
      </c>
      <c r="AJ97" s="359">
        <f>CS_PID!AJ97/VLOOKUP($B97,표2[#ALL],2)/hlookup($A97,표4[#ALL],row(),false)</f>
        <v>0</v>
      </c>
      <c r="AK97" s="359">
        <f>CS_PID!AK97/VLOOKUP($B97,표2[#ALL],2)/hlookup($A97,표4[#ALL],row(),false)</f>
        <v>0</v>
      </c>
      <c r="AL97" s="359">
        <f>CS_PID!AL97/VLOOKUP($B97,표2[#ALL],2)/hlookup($A97,표4[#ALL],row(),false)</f>
        <v>0</v>
      </c>
      <c r="AM97" s="359">
        <f>CS_PID!AM97/VLOOKUP($B97,표2[#ALL],2)/hlookup($A97,표4[#ALL],row(),false)</f>
        <v>0</v>
      </c>
      <c r="AN97" s="359">
        <f>CS_PID!AN97/VLOOKUP($B97,표2[#ALL],2)/hlookup($A97,표4[#ALL],row(),false)</f>
        <v>0</v>
      </c>
      <c r="AO97" s="359">
        <f>CS_PID!AO97/VLOOKUP($B97,표2[#ALL],2)/hlookup($A97,표4[#ALL],row(),false)</f>
        <v>0</v>
      </c>
      <c r="AP97" s="359">
        <f>CS_PID!AP97/VLOOKUP($B97,표2[#ALL],2)/hlookup($A97,표4[#ALL],row(),false)</f>
        <v>0</v>
      </c>
      <c r="AQ97" s="359">
        <f>CS_PID!AQ97/VLOOKUP($B97,표2[#ALL],2)/hlookup($A97,표4[#ALL],row(),false)</f>
        <v>0</v>
      </c>
      <c r="AR97" s="359">
        <f>CS_PID!AR97/VLOOKUP($B97,표2[#ALL],2)/hlookup($A97,표4[#ALL],row(),false)</f>
        <v>0</v>
      </c>
      <c r="AS97" s="359">
        <f>CS_PID!AS97/VLOOKUP($B97,표2[#ALL],2)/hlookup($A97,표4[#ALL],row(),false)</f>
        <v>0</v>
      </c>
    </row>
    <row r="98">
      <c r="A98" s="173" t="s">
        <v>126</v>
      </c>
      <c r="B98" s="178">
        <v>371.0</v>
      </c>
      <c r="C98" s="359" t="str">
        <f>CS_PID!C98/VLOOKUP($B98,표2[#ALL],2)/hlookup($A98,표4[#ALL],row(),false)</f>
        <v>#DIV/0!</v>
      </c>
      <c r="D98" s="359" t="str">
        <f>CS_PID!D98/VLOOKUP($B98,표2[#ALL],2)/hlookup($A98,표4[#ALL],row(),false)</f>
        <v>#DIV/0!</v>
      </c>
      <c r="E98" s="359" t="str">
        <f>CS_PID!E98/VLOOKUP($B98,표2[#ALL],2)/hlookup($A98,표4[#ALL],row(),false)</f>
        <v>#DIV/0!</v>
      </c>
      <c r="F98" s="359" t="str">
        <f>CS_PID!F98/VLOOKUP($B98,표2[#ALL],2)/hlookup($A98,표4[#ALL],row(),false)</f>
        <v>#DIV/0!</v>
      </c>
      <c r="G98" s="359" t="str">
        <f>CS_PID!G98/VLOOKUP($B98,표2[#ALL],2)/hlookup($A98,표4[#ALL],row(),false)</f>
        <v>#DIV/0!</v>
      </c>
      <c r="H98" s="359" t="str">
        <f>CS_PID!H98/VLOOKUP($B98,표2[#ALL],2)/hlookup($A98,표4[#ALL],row(),false)</f>
        <v>#DIV/0!</v>
      </c>
      <c r="I98" s="359" t="str">
        <f>CS_PID!I98/VLOOKUP($B98,표2[#ALL],2)/hlookup($A98,표4[#ALL],row(),false)</f>
        <v>#DIV/0!</v>
      </c>
      <c r="J98" s="359" t="str">
        <f>CS_PID!J98/VLOOKUP($B98,표2[#ALL],2)/hlookup($A98,표4[#ALL],row(),false)</f>
        <v>#DIV/0!</v>
      </c>
      <c r="K98" s="359" t="str">
        <f>CS_PID!K98/VLOOKUP($B98,표2[#ALL],2)/hlookup($A98,표4[#ALL],row(),false)</f>
        <v>#DIV/0!</v>
      </c>
      <c r="L98" s="359" t="str">
        <f>CS_PID!L98/VLOOKUP($B98,표2[#ALL],2)/hlookup($A98,표4[#ALL],row(),false)</f>
        <v>#DIV/0!</v>
      </c>
      <c r="M98" s="359" t="str">
        <f>CS_PID!M98/VLOOKUP($B98,표2[#ALL],2)/hlookup($A98,표4[#ALL],row(),false)</f>
        <v>#DIV/0!</v>
      </c>
      <c r="N98" s="359" t="str">
        <f>CS_PID!N98/VLOOKUP($B98,표2[#ALL],2)/hlookup($A98,표4[#ALL],row(),false)</f>
        <v>#DIV/0!</v>
      </c>
      <c r="O98" s="359" t="str">
        <f>CS_PID!O98/VLOOKUP($B98,표2[#ALL],2)/hlookup($A98,표4[#ALL],row(),false)</f>
        <v>#DIV/0!</v>
      </c>
      <c r="P98" s="359" t="str">
        <f>CS_PID!P98/VLOOKUP($B98,표2[#ALL],2)/hlookup($A98,표4[#ALL],row(),false)</f>
        <v>#DIV/0!</v>
      </c>
      <c r="Q98" s="359" t="str">
        <f>CS_PID!Q98/VLOOKUP($B98,표2[#ALL],2)/hlookup($A98,표4[#ALL],row(),false)</f>
        <v>#DIV/0!</v>
      </c>
      <c r="R98" s="359" t="str">
        <f>CS_PID!R98/VLOOKUP($B98,표2[#ALL],2)/hlookup($A98,표4[#ALL],row(),false)</f>
        <v>#DIV/0!</v>
      </c>
      <c r="S98" s="359" t="str">
        <f>CS_PID!S98/VLOOKUP($B98,표2[#ALL],2)/hlookup($A98,표4[#ALL],row(),false)</f>
        <v>#DIV/0!</v>
      </c>
      <c r="T98" s="359" t="str">
        <f>CS_PID!T98/VLOOKUP($B98,표2[#ALL],2)/hlookup($A98,표4[#ALL],row(),false)</f>
        <v>#DIV/0!</v>
      </c>
      <c r="U98" s="359" t="str">
        <f>CS_PID!U98/VLOOKUP($B98,표2[#ALL],2)/hlookup($A98,표4[#ALL],row(),false)</f>
        <v>#DIV/0!</v>
      </c>
      <c r="V98" s="359" t="str">
        <f>CS_PID!V98/VLOOKUP($B98,표2[#ALL],2)/hlookup($A98,표4[#ALL],row(),false)</f>
        <v>#DIV/0!</v>
      </c>
      <c r="W98" s="359" t="str">
        <f>CS_PID!W98/VLOOKUP($B98,표2[#ALL],2)/hlookup($A98,표4[#ALL],row(),false)</f>
        <v>#DIV/0!</v>
      </c>
      <c r="X98" s="359" t="str">
        <f>CS_PID!X98/VLOOKUP($B98,표2[#ALL],2)/hlookup($A98,표4[#ALL],row(),false)</f>
        <v>#DIV/0!</v>
      </c>
      <c r="Y98" s="359" t="str">
        <f>CS_PID!Y98/VLOOKUP($B98,표2[#ALL],2)/hlookup($A98,표4[#ALL],row(),false)</f>
        <v>#DIV/0!</v>
      </c>
      <c r="Z98" s="359" t="str">
        <f>CS_PID!Z98/VLOOKUP($B98,표2[#ALL],2)/hlookup($A98,표4[#ALL],row(),false)</f>
        <v>#DIV/0!</v>
      </c>
      <c r="AA98" s="359" t="str">
        <f>CS_PID!AA98/VLOOKUP($B98,표2[#ALL],2)/hlookup($A98,표4[#ALL],row(),false)</f>
        <v>#DIV/0!</v>
      </c>
      <c r="AB98" s="359" t="str">
        <f>CS_PID!AB98/VLOOKUP($B98,표2[#ALL],2)/hlookup($A98,표4[#ALL],row(),false)</f>
        <v>#DIV/0!</v>
      </c>
      <c r="AC98" s="359" t="str">
        <f>CS_PID!AC98/VLOOKUP($B98,표2[#ALL],2)/hlookup($A98,표4[#ALL],row(),false)</f>
        <v>#DIV/0!</v>
      </c>
      <c r="AD98" s="359" t="str">
        <f>CS_PID!AD98/VLOOKUP($B98,표2[#ALL],2)/hlookup($A98,표4[#ALL],row(),false)</f>
        <v>#DIV/0!</v>
      </c>
      <c r="AE98" s="359" t="str">
        <f>CS_PID!AE98/VLOOKUP($B98,표2[#ALL],2)/hlookup($A98,표4[#ALL],row(),false)</f>
        <v>#DIV/0!</v>
      </c>
      <c r="AF98" s="359" t="str">
        <f>CS_PID!AF98/VLOOKUP($B98,표2[#ALL],2)/hlookup($A98,표4[#ALL],row(),false)</f>
        <v>#DIV/0!</v>
      </c>
      <c r="AG98" s="359" t="str">
        <f>CS_PID!AG98/VLOOKUP($B98,표2[#ALL],2)/hlookup($A98,표4[#ALL],row(),false)</f>
        <v>#DIV/0!</v>
      </c>
      <c r="AH98" s="359" t="str">
        <f>CS_PID!AH98/VLOOKUP($B98,표2[#ALL],2)/hlookup($A98,표4[#ALL],row(),false)</f>
        <v>#DIV/0!</v>
      </c>
      <c r="AI98" s="359" t="str">
        <f>CS_PID!AI98/VLOOKUP($B98,표2[#ALL],2)/hlookup($A98,표4[#ALL],row(),false)</f>
        <v>#DIV/0!</v>
      </c>
      <c r="AJ98" s="359" t="str">
        <f>CS_PID!AJ98/VLOOKUP($B98,표2[#ALL],2)/hlookup($A98,표4[#ALL],row(),false)</f>
        <v>#DIV/0!</v>
      </c>
      <c r="AK98" s="359" t="str">
        <f>CS_PID!AK98/VLOOKUP($B98,표2[#ALL],2)/hlookup($A98,표4[#ALL],row(),false)</f>
        <v>#DIV/0!</v>
      </c>
      <c r="AL98" s="359" t="str">
        <f>CS_PID!AL98/VLOOKUP($B98,표2[#ALL],2)/hlookup($A98,표4[#ALL],row(),false)</f>
        <v>#DIV/0!</v>
      </c>
      <c r="AM98" s="359" t="str">
        <f>CS_PID!AM98/VLOOKUP($B98,표2[#ALL],2)/hlookup($A98,표4[#ALL],row(),false)</f>
        <v>#DIV/0!</v>
      </c>
      <c r="AN98" s="359" t="str">
        <f>CS_PID!AN98/VLOOKUP($B98,표2[#ALL],2)/hlookup($A98,표4[#ALL],row(),false)</f>
        <v>#DIV/0!</v>
      </c>
      <c r="AO98" s="359" t="str">
        <f>CS_PID!AO98/VLOOKUP($B98,표2[#ALL],2)/hlookup($A98,표4[#ALL],row(),false)</f>
        <v>#DIV/0!</v>
      </c>
      <c r="AP98" s="359" t="str">
        <f>CS_PID!AP98/VLOOKUP($B98,표2[#ALL],2)/hlookup($A98,표4[#ALL],row(),false)</f>
        <v>#DIV/0!</v>
      </c>
      <c r="AQ98" s="359" t="str">
        <f>CS_PID!AQ98/VLOOKUP($B98,표2[#ALL],2)/hlookup($A98,표4[#ALL],row(),false)</f>
        <v>#DIV/0!</v>
      </c>
      <c r="AR98" s="359" t="str">
        <f>CS_PID!AR98/VLOOKUP($B98,표2[#ALL],2)/hlookup($A98,표4[#ALL],row(),false)</f>
        <v>#DIV/0!</v>
      </c>
      <c r="AS98" s="359" t="str">
        <f>CS_PID!AS98/VLOOKUP($B98,표2[#ALL],2)/hlookup($A98,표4[#ALL],row(),false)</f>
        <v>#DIV/0!</v>
      </c>
    </row>
    <row r="99">
      <c r="A99" s="173" t="s">
        <v>126</v>
      </c>
      <c r="B99" s="178">
        <v>372.0</v>
      </c>
      <c r="C99" s="359" t="str">
        <f>CS_PID!C99/VLOOKUP($B99,표2[#ALL],2)/hlookup($A99,표4[#ALL],row(),false)</f>
        <v>#DIV/0!</v>
      </c>
      <c r="D99" s="359" t="str">
        <f>CS_PID!D99/VLOOKUP($B99,표2[#ALL],2)/hlookup($A99,표4[#ALL],row(),false)</f>
        <v>#DIV/0!</v>
      </c>
      <c r="E99" s="359" t="str">
        <f>CS_PID!E99/VLOOKUP($B99,표2[#ALL],2)/hlookup($A99,표4[#ALL],row(),false)</f>
        <v>#DIV/0!</v>
      </c>
      <c r="F99" s="359" t="str">
        <f>CS_PID!F99/VLOOKUP($B99,표2[#ALL],2)/hlookup($A99,표4[#ALL],row(),false)</f>
        <v>#DIV/0!</v>
      </c>
      <c r="G99" s="359" t="str">
        <f>CS_PID!G99/VLOOKUP($B99,표2[#ALL],2)/hlookup($A99,표4[#ALL],row(),false)</f>
        <v>#DIV/0!</v>
      </c>
      <c r="H99" s="359" t="str">
        <f>CS_PID!H99/VLOOKUP($B99,표2[#ALL],2)/hlookup($A99,표4[#ALL],row(),false)</f>
        <v>#DIV/0!</v>
      </c>
      <c r="I99" s="359" t="str">
        <f>CS_PID!I99/VLOOKUP($B99,표2[#ALL],2)/hlookup($A99,표4[#ALL],row(),false)</f>
        <v>#DIV/0!</v>
      </c>
      <c r="J99" s="359" t="str">
        <f>CS_PID!J99/VLOOKUP($B99,표2[#ALL],2)/hlookup($A99,표4[#ALL],row(),false)</f>
        <v>#DIV/0!</v>
      </c>
      <c r="K99" s="359" t="str">
        <f>CS_PID!K99/VLOOKUP($B99,표2[#ALL],2)/hlookup($A99,표4[#ALL],row(),false)</f>
        <v>#DIV/0!</v>
      </c>
      <c r="L99" s="359" t="str">
        <f>CS_PID!L99/VLOOKUP($B99,표2[#ALL],2)/hlookup($A99,표4[#ALL],row(),false)</f>
        <v>#DIV/0!</v>
      </c>
      <c r="M99" s="359" t="str">
        <f>CS_PID!M99/VLOOKUP($B99,표2[#ALL],2)/hlookup($A99,표4[#ALL],row(),false)</f>
        <v>#DIV/0!</v>
      </c>
      <c r="N99" s="359" t="str">
        <f>CS_PID!N99/VLOOKUP($B99,표2[#ALL],2)/hlookup($A99,표4[#ALL],row(),false)</f>
        <v>#DIV/0!</v>
      </c>
      <c r="O99" s="359" t="str">
        <f>CS_PID!O99/VLOOKUP($B99,표2[#ALL],2)/hlookup($A99,표4[#ALL],row(),false)</f>
        <v>#DIV/0!</v>
      </c>
      <c r="P99" s="359" t="str">
        <f>CS_PID!P99/VLOOKUP($B99,표2[#ALL],2)/hlookup($A99,표4[#ALL],row(),false)</f>
        <v>#DIV/0!</v>
      </c>
      <c r="Q99" s="359" t="str">
        <f>CS_PID!Q99/VLOOKUP($B99,표2[#ALL],2)/hlookup($A99,표4[#ALL],row(),false)</f>
        <v>#DIV/0!</v>
      </c>
      <c r="R99" s="359" t="str">
        <f>CS_PID!R99/VLOOKUP($B99,표2[#ALL],2)/hlookup($A99,표4[#ALL],row(),false)</f>
        <v>#DIV/0!</v>
      </c>
      <c r="S99" s="359" t="str">
        <f>CS_PID!S99/VLOOKUP($B99,표2[#ALL],2)/hlookup($A99,표4[#ALL],row(),false)</f>
        <v>#DIV/0!</v>
      </c>
      <c r="T99" s="359" t="str">
        <f>CS_PID!T99/VLOOKUP($B99,표2[#ALL],2)/hlookup($A99,표4[#ALL],row(),false)</f>
        <v>#DIV/0!</v>
      </c>
      <c r="U99" s="359" t="str">
        <f>CS_PID!U99/VLOOKUP($B99,표2[#ALL],2)/hlookup($A99,표4[#ALL],row(),false)</f>
        <v>#DIV/0!</v>
      </c>
      <c r="V99" s="359" t="str">
        <f>CS_PID!V99/VLOOKUP($B99,표2[#ALL],2)/hlookup($A99,표4[#ALL],row(),false)</f>
        <v>#DIV/0!</v>
      </c>
      <c r="W99" s="359" t="str">
        <f>CS_PID!W99/VLOOKUP($B99,표2[#ALL],2)/hlookup($A99,표4[#ALL],row(),false)</f>
        <v>#DIV/0!</v>
      </c>
      <c r="X99" s="359" t="str">
        <f>CS_PID!X99/VLOOKUP($B99,표2[#ALL],2)/hlookup($A99,표4[#ALL],row(),false)</f>
        <v>#DIV/0!</v>
      </c>
      <c r="Y99" s="359" t="str">
        <f>CS_PID!Y99/VLOOKUP($B99,표2[#ALL],2)/hlookup($A99,표4[#ALL],row(),false)</f>
        <v>#DIV/0!</v>
      </c>
      <c r="Z99" s="359" t="str">
        <f>CS_PID!Z99/VLOOKUP($B99,표2[#ALL],2)/hlookup($A99,표4[#ALL],row(),false)</f>
        <v>#DIV/0!</v>
      </c>
      <c r="AA99" s="359" t="str">
        <f>CS_PID!AA99/VLOOKUP($B99,표2[#ALL],2)/hlookup($A99,표4[#ALL],row(),false)</f>
        <v>#DIV/0!</v>
      </c>
      <c r="AB99" s="359" t="str">
        <f>CS_PID!AB99/VLOOKUP($B99,표2[#ALL],2)/hlookup($A99,표4[#ALL],row(),false)</f>
        <v>#DIV/0!</v>
      </c>
      <c r="AC99" s="359" t="str">
        <f>CS_PID!AC99/VLOOKUP($B99,표2[#ALL],2)/hlookup($A99,표4[#ALL],row(),false)</f>
        <v>#DIV/0!</v>
      </c>
      <c r="AD99" s="359" t="str">
        <f>CS_PID!AD99/VLOOKUP($B99,표2[#ALL],2)/hlookup($A99,표4[#ALL],row(),false)</f>
        <v>#DIV/0!</v>
      </c>
      <c r="AE99" s="359" t="str">
        <f>CS_PID!AE99/VLOOKUP($B99,표2[#ALL],2)/hlookup($A99,표4[#ALL],row(),false)</f>
        <v>#DIV/0!</v>
      </c>
      <c r="AF99" s="359" t="str">
        <f>CS_PID!AF99/VLOOKUP($B99,표2[#ALL],2)/hlookup($A99,표4[#ALL],row(),false)</f>
        <v>#DIV/0!</v>
      </c>
      <c r="AG99" s="359" t="str">
        <f>CS_PID!AG99/VLOOKUP($B99,표2[#ALL],2)/hlookup($A99,표4[#ALL],row(),false)</f>
        <v>#DIV/0!</v>
      </c>
      <c r="AH99" s="359" t="str">
        <f>CS_PID!AH99/VLOOKUP($B99,표2[#ALL],2)/hlookup($A99,표4[#ALL],row(),false)</f>
        <v>#DIV/0!</v>
      </c>
      <c r="AI99" s="359" t="str">
        <f>CS_PID!AI99/VLOOKUP($B99,표2[#ALL],2)/hlookup($A99,표4[#ALL],row(),false)</f>
        <v>#DIV/0!</v>
      </c>
      <c r="AJ99" s="359" t="str">
        <f>CS_PID!AJ99/VLOOKUP($B99,표2[#ALL],2)/hlookup($A99,표4[#ALL],row(),false)</f>
        <v>#DIV/0!</v>
      </c>
      <c r="AK99" s="359" t="str">
        <f>CS_PID!AK99/VLOOKUP($B99,표2[#ALL],2)/hlookup($A99,표4[#ALL],row(),false)</f>
        <v>#DIV/0!</v>
      </c>
      <c r="AL99" s="359" t="str">
        <f>CS_PID!AL99/VLOOKUP($B99,표2[#ALL],2)/hlookup($A99,표4[#ALL],row(),false)</f>
        <v>#DIV/0!</v>
      </c>
      <c r="AM99" s="359" t="str">
        <f>CS_PID!AM99/VLOOKUP($B99,표2[#ALL],2)/hlookup($A99,표4[#ALL],row(),false)</f>
        <v>#DIV/0!</v>
      </c>
      <c r="AN99" s="359" t="str">
        <f>CS_PID!AN99/VLOOKUP($B99,표2[#ALL],2)/hlookup($A99,표4[#ALL],row(),false)</f>
        <v>#DIV/0!</v>
      </c>
      <c r="AO99" s="359" t="str">
        <f>CS_PID!AO99/VLOOKUP($B99,표2[#ALL],2)/hlookup($A99,표4[#ALL],row(),false)</f>
        <v>#DIV/0!</v>
      </c>
      <c r="AP99" s="359" t="str">
        <f>CS_PID!AP99/VLOOKUP($B99,표2[#ALL],2)/hlookup($A99,표4[#ALL],row(),false)</f>
        <v>#DIV/0!</v>
      </c>
      <c r="AQ99" s="359" t="str">
        <f>CS_PID!AQ99/VLOOKUP($B99,표2[#ALL],2)/hlookup($A99,표4[#ALL],row(),false)</f>
        <v>#DIV/0!</v>
      </c>
      <c r="AR99" s="359" t="str">
        <f>CS_PID!AR99/VLOOKUP($B99,표2[#ALL],2)/hlookup($A99,표4[#ALL],row(),false)</f>
        <v>#DIV/0!</v>
      </c>
      <c r="AS99" s="359" t="str">
        <f>CS_PID!AS99/VLOOKUP($B99,표2[#ALL],2)/hlookup($A99,표4[#ALL],row(),false)</f>
        <v>#DIV/0!</v>
      </c>
    </row>
    <row r="100">
      <c r="A100" s="173" t="s">
        <v>126</v>
      </c>
      <c r="B100" s="178">
        <v>373.0</v>
      </c>
      <c r="C100" s="359">
        <f>CS_PID!C100/VLOOKUP($B100,표2[#ALL],2)/hlookup($A100,표4[#ALL],row(),false)</f>
        <v>0</v>
      </c>
      <c r="D100" s="359">
        <f>CS_PID!D100/VLOOKUP($B100,표2[#ALL],2)/hlookup($A100,표4[#ALL],row(),false)</f>
        <v>0</v>
      </c>
      <c r="E100" s="359">
        <f>CS_PID!E100/VLOOKUP($B100,표2[#ALL],2)/hlookup($A100,표4[#ALL],row(),false)</f>
        <v>0</v>
      </c>
      <c r="F100" s="359">
        <f>CS_PID!F100/VLOOKUP($B100,표2[#ALL],2)/hlookup($A100,표4[#ALL],row(),false)</f>
        <v>0</v>
      </c>
      <c r="G100" s="359">
        <f>CS_PID!G100/VLOOKUP($B100,표2[#ALL],2)/hlookup($A100,표4[#ALL],row(),false)</f>
        <v>0</v>
      </c>
      <c r="H100" s="359">
        <f>CS_PID!H100/VLOOKUP($B100,표2[#ALL],2)/hlookup($A100,표4[#ALL],row(),false)</f>
        <v>0</v>
      </c>
      <c r="I100" s="359">
        <f>CS_PID!I100/VLOOKUP($B100,표2[#ALL],2)/hlookup($A100,표4[#ALL],row(),false)</f>
        <v>0</v>
      </c>
      <c r="J100" s="359">
        <f>CS_PID!J100/VLOOKUP($B100,표2[#ALL],2)/hlookup($A100,표4[#ALL],row(),false)</f>
        <v>0.4</v>
      </c>
      <c r="K100" s="359">
        <f>CS_PID!K100/VLOOKUP($B100,표2[#ALL],2)/hlookup($A100,표4[#ALL],row(),false)</f>
        <v>1</v>
      </c>
      <c r="L100" s="359">
        <f>CS_PID!L100/VLOOKUP($B100,표2[#ALL],2)/hlookup($A100,표4[#ALL],row(),false)</f>
        <v>0.8</v>
      </c>
      <c r="M100" s="359">
        <f>CS_PID!M100/VLOOKUP($B100,표2[#ALL],2)/hlookup($A100,표4[#ALL],row(),false)</f>
        <v>0</v>
      </c>
      <c r="N100" s="359">
        <f>CS_PID!N100/VLOOKUP($B100,표2[#ALL],2)/hlookup($A100,표4[#ALL],row(),false)</f>
        <v>0</v>
      </c>
      <c r="O100" s="359">
        <f>CS_PID!O100/VLOOKUP($B100,표2[#ALL],2)/hlookup($A100,표4[#ALL],row(),false)</f>
        <v>0</v>
      </c>
      <c r="P100" s="359">
        <f>CS_PID!P100/VLOOKUP($B100,표2[#ALL],2)/hlookup($A100,표4[#ALL],row(),false)</f>
        <v>0</v>
      </c>
      <c r="Q100" s="359">
        <f>CS_PID!Q100/VLOOKUP($B100,표2[#ALL],2)/hlookup($A100,표4[#ALL],row(),false)</f>
        <v>0.6</v>
      </c>
      <c r="R100" s="359">
        <f>CS_PID!R100/VLOOKUP($B100,표2[#ALL],2)/hlookup($A100,표4[#ALL],row(),false)</f>
        <v>0.6</v>
      </c>
      <c r="S100" s="359">
        <f>CS_PID!S100/VLOOKUP($B100,표2[#ALL],2)/hlookup($A100,표4[#ALL],row(),false)</f>
        <v>0</v>
      </c>
      <c r="T100" s="359">
        <f>CS_PID!T100/VLOOKUP($B100,표2[#ALL],2)/hlookup($A100,표4[#ALL],row(),false)</f>
        <v>0</v>
      </c>
      <c r="U100" s="359">
        <f>CS_PID!U100/VLOOKUP($B100,표2[#ALL],2)/hlookup($A100,표4[#ALL],row(),false)</f>
        <v>0</v>
      </c>
      <c r="V100" s="359">
        <f>CS_PID!V100/VLOOKUP($B100,표2[#ALL],2)/hlookup($A100,표4[#ALL],row(),false)</f>
        <v>0</v>
      </c>
      <c r="W100" s="359">
        <f>CS_PID!W100/VLOOKUP($B100,표2[#ALL],2)/hlookup($A100,표4[#ALL],row(),false)</f>
        <v>0.4</v>
      </c>
      <c r="X100" s="359">
        <f>CS_PID!X100/VLOOKUP($B100,표2[#ALL],2)/hlookup($A100,표4[#ALL],row(),false)</f>
        <v>0.8</v>
      </c>
      <c r="Y100" s="359">
        <f>CS_PID!Y100/VLOOKUP($B100,표2[#ALL],2)/hlookup($A100,표4[#ALL],row(),false)</f>
        <v>0</v>
      </c>
      <c r="Z100" s="359">
        <f>CS_PID!Z100/VLOOKUP($B100,표2[#ALL],2)/hlookup($A100,표4[#ALL],row(),false)</f>
        <v>0</v>
      </c>
      <c r="AA100" s="359">
        <f>CS_PID!AA100/VLOOKUP($B100,표2[#ALL],2)/hlookup($A100,표4[#ALL],row(),false)</f>
        <v>0</v>
      </c>
      <c r="AB100" s="359">
        <f>CS_PID!AB100/VLOOKUP($B100,표2[#ALL],2)/hlookup($A100,표4[#ALL],row(),false)</f>
        <v>0</v>
      </c>
      <c r="AC100" s="359">
        <f>CS_PID!AC100/VLOOKUP($B100,표2[#ALL],2)/hlookup($A100,표4[#ALL],row(),false)</f>
        <v>0</v>
      </c>
      <c r="AD100" s="359">
        <f>CS_PID!AD100/VLOOKUP($B100,표2[#ALL],2)/hlookup($A100,표4[#ALL],row(),false)</f>
        <v>0.2</v>
      </c>
      <c r="AE100" s="359">
        <f>CS_PID!AE100/VLOOKUP($B100,표2[#ALL],2)/hlookup($A100,표4[#ALL],row(),false)</f>
        <v>0.2</v>
      </c>
      <c r="AF100" s="359">
        <f>CS_PID!AF100/VLOOKUP($B100,표2[#ALL],2)/hlookup($A100,표4[#ALL],row(),false)</f>
        <v>0</v>
      </c>
      <c r="AG100" s="359">
        <f>CS_PID!AG100/VLOOKUP($B100,표2[#ALL],2)/hlookup($A100,표4[#ALL],row(),false)</f>
        <v>0</v>
      </c>
      <c r="AH100" s="359">
        <f>CS_PID!AH100/VLOOKUP($B100,표2[#ALL],2)/hlookup($A100,표4[#ALL],row(),false)</f>
        <v>0</v>
      </c>
      <c r="AI100" s="359">
        <f>CS_PID!AI100/VLOOKUP($B100,표2[#ALL],2)/hlookup($A100,표4[#ALL],row(),false)</f>
        <v>0</v>
      </c>
      <c r="AJ100" s="359">
        <f>CS_PID!AJ100/VLOOKUP($B100,표2[#ALL],2)/hlookup($A100,표4[#ALL],row(),false)</f>
        <v>0.2</v>
      </c>
      <c r="AK100" s="359">
        <f>CS_PID!AK100/VLOOKUP($B100,표2[#ALL],2)/hlookup($A100,표4[#ALL],row(),false)</f>
        <v>0</v>
      </c>
      <c r="AL100" s="359">
        <f>CS_PID!AL100/VLOOKUP($B100,표2[#ALL],2)/hlookup($A100,표4[#ALL],row(),false)</f>
        <v>0</v>
      </c>
      <c r="AM100" s="359">
        <f>CS_PID!AM100/VLOOKUP($B100,표2[#ALL],2)/hlookup($A100,표4[#ALL],row(),false)</f>
        <v>0</v>
      </c>
      <c r="AN100" s="359">
        <f>CS_PID!AN100/VLOOKUP($B100,표2[#ALL],2)/hlookup($A100,표4[#ALL],row(),false)</f>
        <v>0</v>
      </c>
      <c r="AO100" s="359">
        <f>CS_PID!AO100/VLOOKUP($B100,표2[#ALL],2)/hlookup($A100,표4[#ALL],row(),false)</f>
        <v>0</v>
      </c>
      <c r="AP100" s="359">
        <f>CS_PID!AP100/VLOOKUP($B100,표2[#ALL],2)/hlookup($A100,표4[#ALL],row(),false)</f>
        <v>0</v>
      </c>
      <c r="AQ100" s="359">
        <f>CS_PID!AQ100/VLOOKUP($B100,표2[#ALL],2)/hlookup($A100,표4[#ALL],row(),false)</f>
        <v>0</v>
      </c>
      <c r="AR100" s="359">
        <f>CS_PID!AR100/VLOOKUP($B100,표2[#ALL],2)/hlookup($A100,표4[#ALL],row(),false)</f>
        <v>0</v>
      </c>
      <c r="AS100" s="359">
        <f>CS_PID!AS100/VLOOKUP($B100,표2[#ALL],2)/hlookup($A100,표4[#ALL],row(),false)</f>
        <v>0</v>
      </c>
    </row>
    <row r="101">
      <c r="A101" s="173" t="s">
        <v>126</v>
      </c>
      <c r="B101" s="178">
        <v>374.0</v>
      </c>
      <c r="C101" s="359">
        <f>CS_PID!C101/VLOOKUP($B101,표2[#ALL],2)/hlookup($A101,표4[#ALL],row(),false)</f>
        <v>0.1111111111</v>
      </c>
      <c r="D101" s="359">
        <f>CS_PID!D101/VLOOKUP($B101,표2[#ALL],2)/hlookup($A101,표4[#ALL],row(),false)</f>
        <v>0.1111111111</v>
      </c>
      <c r="E101" s="359">
        <f>CS_PID!E101/VLOOKUP($B101,표2[#ALL],2)/hlookup($A101,표4[#ALL],row(),false)</f>
        <v>0.1111111111</v>
      </c>
      <c r="F101" s="359">
        <f>CS_PID!F101/VLOOKUP($B101,표2[#ALL],2)/hlookup($A101,표4[#ALL],row(),false)</f>
        <v>1.222222222</v>
      </c>
      <c r="G101" s="359">
        <f>CS_PID!G101/VLOOKUP($B101,표2[#ALL],2)/hlookup($A101,표4[#ALL],row(),false)</f>
        <v>0.1111111111</v>
      </c>
      <c r="H101" s="359">
        <f>CS_PID!H101/VLOOKUP($B101,표2[#ALL],2)/hlookup($A101,표4[#ALL],row(),false)</f>
        <v>0</v>
      </c>
      <c r="I101" s="359">
        <f>CS_PID!I101/VLOOKUP($B101,표2[#ALL],2)/hlookup($A101,표4[#ALL],row(),false)</f>
        <v>0</v>
      </c>
      <c r="J101" s="359">
        <f>CS_PID!J101/VLOOKUP($B101,표2[#ALL],2)/hlookup($A101,표4[#ALL],row(),false)</f>
        <v>0.2222222222</v>
      </c>
      <c r="K101" s="359">
        <f>CS_PID!K101/VLOOKUP($B101,표2[#ALL],2)/hlookup($A101,표4[#ALL],row(),false)</f>
        <v>1</v>
      </c>
      <c r="L101" s="359">
        <f>CS_PID!L101/VLOOKUP($B101,표2[#ALL],2)/hlookup($A101,표4[#ALL],row(),false)</f>
        <v>1.222222222</v>
      </c>
      <c r="M101" s="359">
        <f>CS_PID!M101/VLOOKUP($B101,표2[#ALL],2)/hlookup($A101,표4[#ALL],row(),false)</f>
        <v>0</v>
      </c>
      <c r="N101" s="359">
        <f>CS_PID!N101/VLOOKUP($B101,표2[#ALL],2)/hlookup($A101,표4[#ALL],row(),false)</f>
        <v>0</v>
      </c>
      <c r="O101" s="359">
        <f>CS_PID!O101/VLOOKUP($B101,표2[#ALL],2)/hlookup($A101,표4[#ALL],row(),false)</f>
        <v>0</v>
      </c>
      <c r="P101" s="359">
        <f>CS_PID!P101/VLOOKUP($B101,표2[#ALL],2)/hlookup($A101,표4[#ALL],row(),false)</f>
        <v>0.1111111111</v>
      </c>
      <c r="Q101" s="359">
        <f>CS_PID!Q101/VLOOKUP($B101,표2[#ALL],2)/hlookup($A101,표4[#ALL],row(),false)</f>
        <v>0.7777777778</v>
      </c>
      <c r="R101" s="359">
        <f>CS_PID!R101/VLOOKUP($B101,표2[#ALL],2)/hlookup($A101,표4[#ALL],row(),false)</f>
        <v>1.444444444</v>
      </c>
      <c r="S101" s="359">
        <f>CS_PID!S101/VLOOKUP($B101,표2[#ALL],2)/hlookup($A101,표4[#ALL],row(),false)</f>
        <v>0.3333333333</v>
      </c>
      <c r="T101" s="359">
        <f>CS_PID!T101/VLOOKUP($B101,표2[#ALL],2)/hlookup($A101,표4[#ALL],row(),false)</f>
        <v>0</v>
      </c>
      <c r="U101" s="359">
        <f>CS_PID!U101/VLOOKUP($B101,표2[#ALL],2)/hlookup($A101,표4[#ALL],row(),false)</f>
        <v>0</v>
      </c>
      <c r="V101" s="359">
        <f>CS_PID!V101/VLOOKUP($B101,표2[#ALL],2)/hlookup($A101,표4[#ALL],row(),false)</f>
        <v>0</v>
      </c>
      <c r="W101" s="359">
        <f>CS_PID!W101/VLOOKUP($B101,표2[#ALL],2)/hlookup($A101,표4[#ALL],row(),false)</f>
        <v>0.2222222222</v>
      </c>
      <c r="X101" s="359">
        <f>CS_PID!X101/VLOOKUP($B101,표2[#ALL],2)/hlookup($A101,표4[#ALL],row(),false)</f>
        <v>0.5555555556</v>
      </c>
      <c r="Y101" s="359">
        <f>CS_PID!Y101/VLOOKUP($B101,표2[#ALL],2)/hlookup($A101,표4[#ALL],row(),false)</f>
        <v>0.2222222222</v>
      </c>
      <c r="Z101" s="359">
        <f>CS_PID!Z101/VLOOKUP($B101,표2[#ALL],2)/hlookup($A101,표4[#ALL],row(),false)</f>
        <v>0</v>
      </c>
      <c r="AA101" s="359">
        <f>CS_PID!AA101/VLOOKUP($B101,표2[#ALL],2)/hlookup($A101,표4[#ALL],row(),false)</f>
        <v>0</v>
      </c>
      <c r="AB101" s="359">
        <f>CS_PID!AB101/VLOOKUP($B101,표2[#ALL],2)/hlookup($A101,표4[#ALL],row(),false)</f>
        <v>0</v>
      </c>
      <c r="AC101" s="359">
        <f>CS_PID!AC101/VLOOKUP($B101,표2[#ALL],2)/hlookup($A101,표4[#ALL],row(),false)</f>
        <v>0.1111111111</v>
      </c>
      <c r="AD101" s="359">
        <f>CS_PID!AD101/VLOOKUP($B101,표2[#ALL],2)/hlookup($A101,표4[#ALL],row(),false)</f>
        <v>0.4444444444</v>
      </c>
      <c r="AE101" s="359">
        <f>CS_PID!AE101/VLOOKUP($B101,표2[#ALL],2)/hlookup($A101,표4[#ALL],row(),false)</f>
        <v>0.1111111111</v>
      </c>
      <c r="AF101" s="359">
        <f>CS_PID!AF101/VLOOKUP($B101,표2[#ALL],2)/hlookup($A101,표4[#ALL],row(),false)</f>
        <v>0</v>
      </c>
      <c r="AG101" s="359">
        <f>CS_PID!AG101/VLOOKUP($B101,표2[#ALL],2)/hlookup($A101,표4[#ALL],row(),false)</f>
        <v>0</v>
      </c>
      <c r="AH101" s="359">
        <f>CS_PID!AH101/VLOOKUP($B101,표2[#ALL],2)/hlookup($A101,표4[#ALL],row(),false)</f>
        <v>0.1111111111</v>
      </c>
      <c r="AI101" s="359">
        <f>CS_PID!AI101/VLOOKUP($B101,표2[#ALL],2)/hlookup($A101,표4[#ALL],row(),false)</f>
        <v>0</v>
      </c>
      <c r="AJ101" s="359">
        <f>CS_PID!AJ101/VLOOKUP($B101,표2[#ALL],2)/hlookup($A101,표4[#ALL],row(),false)</f>
        <v>0.3333333333</v>
      </c>
      <c r="AK101" s="359">
        <f>CS_PID!AK101/VLOOKUP($B101,표2[#ALL],2)/hlookup($A101,표4[#ALL],row(),false)</f>
        <v>0</v>
      </c>
      <c r="AL101" s="359">
        <f>CS_PID!AL101/VLOOKUP($B101,표2[#ALL],2)/hlookup($A101,표4[#ALL],row(),false)</f>
        <v>0</v>
      </c>
      <c r="AM101" s="359">
        <f>CS_PID!AM101/VLOOKUP($B101,표2[#ALL],2)/hlookup($A101,표4[#ALL],row(),false)</f>
        <v>0</v>
      </c>
      <c r="AN101" s="359">
        <f>CS_PID!AN101/VLOOKUP($B101,표2[#ALL],2)/hlookup($A101,표4[#ALL],row(),false)</f>
        <v>0</v>
      </c>
      <c r="AO101" s="359">
        <f>CS_PID!AO101/VLOOKUP($B101,표2[#ALL],2)/hlookup($A101,표4[#ALL],row(),false)</f>
        <v>0</v>
      </c>
      <c r="AP101" s="359">
        <f>CS_PID!AP101/VLOOKUP($B101,표2[#ALL],2)/hlookup($A101,표4[#ALL],row(),false)</f>
        <v>0</v>
      </c>
      <c r="AQ101" s="359">
        <f>CS_PID!AQ101/VLOOKUP($B101,표2[#ALL],2)/hlookup($A101,표4[#ALL],row(),false)</f>
        <v>0</v>
      </c>
      <c r="AR101" s="359">
        <f>CS_PID!AR101/VLOOKUP($B101,표2[#ALL],2)/hlookup($A101,표4[#ALL],row(),false)</f>
        <v>0</v>
      </c>
      <c r="AS101" s="359">
        <f>CS_PID!AS101/VLOOKUP($B101,표2[#ALL],2)/hlookup($A101,표4[#ALL],row(),false)</f>
        <v>0</v>
      </c>
    </row>
    <row r="102">
      <c r="A102" s="173" t="s">
        <v>126</v>
      </c>
      <c r="B102" s="178">
        <v>375.0</v>
      </c>
      <c r="C102" s="359">
        <f>CS_PID!C102/VLOOKUP($B102,표2[#ALL],2)/hlookup($A102,표4[#ALL],row(),false)</f>
        <v>0</v>
      </c>
      <c r="D102" s="359">
        <f>CS_PID!D102/VLOOKUP($B102,표2[#ALL],2)/hlookup($A102,표4[#ALL],row(),false)</f>
        <v>0</v>
      </c>
      <c r="E102" s="359">
        <f>CS_PID!E102/VLOOKUP($B102,표2[#ALL],2)/hlookup($A102,표4[#ALL],row(),false)</f>
        <v>0.1428571429</v>
      </c>
      <c r="F102" s="359">
        <f>CS_PID!F102/VLOOKUP($B102,표2[#ALL],2)/hlookup($A102,표4[#ALL],row(),false)</f>
        <v>0.2857142857</v>
      </c>
      <c r="G102" s="359">
        <f>CS_PID!G102/VLOOKUP($B102,표2[#ALL],2)/hlookup($A102,표4[#ALL],row(),false)</f>
        <v>0.4285714286</v>
      </c>
      <c r="H102" s="359">
        <f>CS_PID!H102/VLOOKUP($B102,표2[#ALL],2)/hlookup($A102,표4[#ALL],row(),false)</f>
        <v>0</v>
      </c>
      <c r="I102" s="359">
        <f>CS_PID!I102/VLOOKUP($B102,표2[#ALL],2)/hlookup($A102,표4[#ALL],row(),false)</f>
        <v>0</v>
      </c>
      <c r="J102" s="359">
        <f>CS_PID!J102/VLOOKUP($B102,표2[#ALL],2)/hlookup($A102,표4[#ALL],row(),false)</f>
        <v>0</v>
      </c>
      <c r="K102" s="359">
        <f>CS_PID!K102/VLOOKUP($B102,표2[#ALL],2)/hlookup($A102,표4[#ALL],row(),false)</f>
        <v>1</v>
      </c>
      <c r="L102" s="359">
        <f>CS_PID!L102/VLOOKUP($B102,표2[#ALL],2)/hlookup($A102,표4[#ALL],row(),false)</f>
        <v>0.2857142857</v>
      </c>
      <c r="M102" s="359">
        <f>CS_PID!M102/VLOOKUP($B102,표2[#ALL],2)/hlookup($A102,표4[#ALL],row(),false)</f>
        <v>0</v>
      </c>
      <c r="N102" s="359">
        <f>CS_PID!N102/VLOOKUP($B102,표2[#ALL],2)/hlookup($A102,표4[#ALL],row(),false)</f>
        <v>0</v>
      </c>
      <c r="O102" s="359">
        <f>CS_PID!O102/VLOOKUP($B102,표2[#ALL],2)/hlookup($A102,표4[#ALL],row(),false)</f>
        <v>0</v>
      </c>
      <c r="P102" s="359">
        <f>CS_PID!P102/VLOOKUP($B102,표2[#ALL],2)/hlookup($A102,표4[#ALL],row(),false)</f>
        <v>0</v>
      </c>
      <c r="Q102" s="359">
        <f>CS_PID!Q102/VLOOKUP($B102,표2[#ALL],2)/hlookup($A102,표4[#ALL],row(),false)</f>
        <v>0.1428571429</v>
      </c>
      <c r="R102" s="359">
        <f>CS_PID!R102/VLOOKUP($B102,표2[#ALL],2)/hlookup($A102,표4[#ALL],row(),false)</f>
        <v>0.4285714286</v>
      </c>
      <c r="S102" s="359">
        <f>CS_PID!S102/VLOOKUP($B102,표2[#ALL],2)/hlookup($A102,표4[#ALL],row(),false)</f>
        <v>0</v>
      </c>
      <c r="T102" s="359">
        <f>CS_PID!T102/VLOOKUP($B102,표2[#ALL],2)/hlookup($A102,표4[#ALL],row(),false)</f>
        <v>0</v>
      </c>
      <c r="U102" s="359">
        <f>CS_PID!U102/VLOOKUP($B102,표2[#ALL],2)/hlookup($A102,표4[#ALL],row(),false)</f>
        <v>0</v>
      </c>
      <c r="V102" s="359">
        <f>CS_PID!V102/VLOOKUP($B102,표2[#ALL],2)/hlookup($A102,표4[#ALL],row(),false)</f>
        <v>0</v>
      </c>
      <c r="W102" s="359">
        <f>CS_PID!W102/VLOOKUP($B102,표2[#ALL],2)/hlookup($A102,표4[#ALL],row(),false)</f>
        <v>0</v>
      </c>
      <c r="X102" s="359">
        <f>CS_PID!X102/VLOOKUP($B102,표2[#ALL],2)/hlookup($A102,표4[#ALL],row(),false)</f>
        <v>0.2857142857</v>
      </c>
      <c r="Y102" s="359">
        <f>CS_PID!Y102/VLOOKUP($B102,표2[#ALL],2)/hlookup($A102,표4[#ALL],row(),false)</f>
        <v>0</v>
      </c>
      <c r="Z102" s="359">
        <f>CS_PID!Z102/VLOOKUP($B102,표2[#ALL],2)/hlookup($A102,표4[#ALL],row(),false)</f>
        <v>0</v>
      </c>
      <c r="AA102" s="359">
        <f>CS_PID!AA102/VLOOKUP($B102,표2[#ALL],2)/hlookup($A102,표4[#ALL],row(),false)</f>
        <v>0</v>
      </c>
      <c r="AB102" s="359">
        <f>CS_PID!AB102/VLOOKUP($B102,표2[#ALL],2)/hlookup($A102,표4[#ALL],row(),false)</f>
        <v>0</v>
      </c>
      <c r="AC102" s="359">
        <f>CS_PID!AC102/VLOOKUP($B102,표2[#ALL],2)/hlookup($A102,표4[#ALL],row(),false)</f>
        <v>0</v>
      </c>
      <c r="AD102" s="359">
        <f>CS_PID!AD102/VLOOKUP($B102,표2[#ALL],2)/hlookup($A102,표4[#ALL],row(),false)</f>
        <v>0.1428571429</v>
      </c>
      <c r="AE102" s="359">
        <f>CS_PID!AE102/VLOOKUP($B102,표2[#ALL],2)/hlookup($A102,표4[#ALL],row(),false)</f>
        <v>0.1428571429</v>
      </c>
      <c r="AF102" s="359">
        <f>CS_PID!AF102/VLOOKUP($B102,표2[#ALL],2)/hlookup($A102,표4[#ALL],row(),false)</f>
        <v>0</v>
      </c>
      <c r="AG102" s="359">
        <f>CS_PID!AG102/VLOOKUP($B102,표2[#ALL],2)/hlookup($A102,표4[#ALL],row(),false)</f>
        <v>0</v>
      </c>
      <c r="AH102" s="359">
        <f>CS_PID!AH102/VLOOKUP($B102,표2[#ALL],2)/hlookup($A102,표4[#ALL],row(),false)</f>
        <v>0</v>
      </c>
      <c r="AI102" s="359">
        <f>CS_PID!AI102/VLOOKUP($B102,표2[#ALL],2)/hlookup($A102,표4[#ALL],row(),false)</f>
        <v>0</v>
      </c>
      <c r="AJ102" s="359">
        <f>CS_PID!AJ102/VLOOKUP($B102,표2[#ALL],2)/hlookup($A102,표4[#ALL],row(),false)</f>
        <v>0</v>
      </c>
      <c r="AK102" s="359">
        <f>CS_PID!AK102/VLOOKUP($B102,표2[#ALL],2)/hlookup($A102,표4[#ALL],row(),false)</f>
        <v>0</v>
      </c>
      <c r="AL102" s="359">
        <f>CS_PID!AL102/VLOOKUP($B102,표2[#ALL],2)/hlookup($A102,표4[#ALL],row(),false)</f>
        <v>0</v>
      </c>
      <c r="AM102" s="359">
        <f>CS_PID!AM102/VLOOKUP($B102,표2[#ALL],2)/hlookup($A102,표4[#ALL],row(),false)</f>
        <v>0</v>
      </c>
      <c r="AN102" s="359">
        <f>CS_PID!AN102/VLOOKUP($B102,표2[#ALL],2)/hlookup($A102,표4[#ALL],row(),false)</f>
        <v>0</v>
      </c>
      <c r="AO102" s="359">
        <f>CS_PID!AO102/VLOOKUP($B102,표2[#ALL],2)/hlookup($A102,표4[#ALL],row(),false)</f>
        <v>0</v>
      </c>
      <c r="AP102" s="359">
        <f>CS_PID!AP102/VLOOKUP($B102,표2[#ALL],2)/hlookup($A102,표4[#ALL],row(),false)</f>
        <v>0</v>
      </c>
      <c r="AQ102" s="359">
        <f>CS_PID!AQ102/VLOOKUP($B102,표2[#ALL],2)/hlookup($A102,표4[#ALL],row(),false)</f>
        <v>0</v>
      </c>
      <c r="AR102" s="359">
        <f>CS_PID!AR102/VLOOKUP($B102,표2[#ALL],2)/hlookup($A102,표4[#ALL],row(),false)</f>
        <v>0</v>
      </c>
      <c r="AS102" s="359">
        <f>CS_PID!AS102/VLOOKUP($B102,표2[#ALL],2)/hlookup($A102,표4[#ALL],row(),false)</f>
        <v>0</v>
      </c>
    </row>
    <row r="103">
      <c r="A103" s="173" t="s">
        <v>126</v>
      </c>
      <c r="B103" s="178">
        <v>376.0</v>
      </c>
      <c r="C103" s="359">
        <f>CS_PID!C103/VLOOKUP($B103,표2[#ALL],2)/hlookup($A103,표4[#ALL],row(),false)</f>
        <v>0</v>
      </c>
      <c r="D103" s="359">
        <f>CS_PID!D103/VLOOKUP($B103,표2[#ALL],2)/hlookup($A103,표4[#ALL],row(),false)</f>
        <v>0.04761904762</v>
      </c>
      <c r="E103" s="359">
        <f>CS_PID!E103/VLOOKUP($B103,표2[#ALL],2)/hlookup($A103,표4[#ALL],row(),false)</f>
        <v>0.04761904762</v>
      </c>
      <c r="F103" s="359">
        <f>CS_PID!F103/VLOOKUP($B103,표2[#ALL],2)/hlookup($A103,표4[#ALL],row(),false)</f>
        <v>0.4761904762</v>
      </c>
      <c r="G103" s="359">
        <f>CS_PID!G103/VLOOKUP($B103,표2[#ALL],2)/hlookup($A103,표4[#ALL],row(),false)</f>
        <v>0</v>
      </c>
      <c r="H103" s="359">
        <f>CS_PID!H103/VLOOKUP($B103,표2[#ALL],2)/hlookup($A103,표4[#ALL],row(),false)</f>
        <v>0</v>
      </c>
      <c r="I103" s="359">
        <f>CS_PID!I103/VLOOKUP($B103,표2[#ALL],2)/hlookup($A103,표4[#ALL],row(),false)</f>
        <v>0</v>
      </c>
      <c r="J103" s="359">
        <f>CS_PID!J103/VLOOKUP($B103,표2[#ALL],2)/hlookup($A103,표4[#ALL],row(),false)</f>
        <v>0.1428571429</v>
      </c>
      <c r="K103" s="359">
        <f>CS_PID!K103/VLOOKUP($B103,표2[#ALL],2)/hlookup($A103,표4[#ALL],row(),false)</f>
        <v>1</v>
      </c>
      <c r="L103" s="359">
        <f>CS_PID!L103/VLOOKUP($B103,표2[#ALL],2)/hlookup($A103,표4[#ALL],row(),false)</f>
        <v>0.619047619</v>
      </c>
      <c r="M103" s="359">
        <f>CS_PID!M103/VLOOKUP($B103,표2[#ALL],2)/hlookup($A103,표4[#ALL],row(),false)</f>
        <v>0</v>
      </c>
      <c r="N103" s="359">
        <f>CS_PID!N103/VLOOKUP($B103,표2[#ALL],2)/hlookup($A103,표4[#ALL],row(),false)</f>
        <v>0</v>
      </c>
      <c r="O103" s="359">
        <f>CS_PID!O103/VLOOKUP($B103,표2[#ALL],2)/hlookup($A103,표4[#ALL],row(),false)</f>
        <v>0</v>
      </c>
      <c r="P103" s="359">
        <f>CS_PID!P103/VLOOKUP($B103,표2[#ALL],2)/hlookup($A103,표4[#ALL],row(),false)</f>
        <v>0.04761904762</v>
      </c>
      <c r="Q103" s="359">
        <f>CS_PID!Q103/VLOOKUP($B103,표2[#ALL],2)/hlookup($A103,표4[#ALL],row(),false)</f>
        <v>0.1904761905</v>
      </c>
      <c r="R103" s="359">
        <f>CS_PID!R103/VLOOKUP($B103,표2[#ALL],2)/hlookup($A103,표4[#ALL],row(),false)</f>
        <v>0.4761904762</v>
      </c>
      <c r="S103" s="359">
        <f>CS_PID!S103/VLOOKUP($B103,표2[#ALL],2)/hlookup($A103,표4[#ALL],row(),false)</f>
        <v>0.1428571429</v>
      </c>
      <c r="T103" s="359">
        <f>CS_PID!T103/VLOOKUP($B103,표2[#ALL],2)/hlookup($A103,표4[#ALL],row(),false)</f>
        <v>0</v>
      </c>
      <c r="U103" s="359">
        <f>CS_PID!U103/VLOOKUP($B103,표2[#ALL],2)/hlookup($A103,표4[#ALL],row(),false)</f>
        <v>0</v>
      </c>
      <c r="V103" s="359">
        <f>CS_PID!V103/VLOOKUP($B103,표2[#ALL],2)/hlookup($A103,표4[#ALL],row(),false)</f>
        <v>0</v>
      </c>
      <c r="W103" s="359">
        <f>CS_PID!W103/VLOOKUP($B103,표2[#ALL],2)/hlookup($A103,표4[#ALL],row(),false)</f>
        <v>0.1428571429</v>
      </c>
      <c r="X103" s="359">
        <f>CS_PID!X103/VLOOKUP($B103,표2[#ALL],2)/hlookup($A103,표4[#ALL],row(),false)</f>
        <v>0.5714285714</v>
      </c>
      <c r="Y103" s="359">
        <f>CS_PID!Y103/VLOOKUP($B103,표2[#ALL],2)/hlookup($A103,표4[#ALL],row(),false)</f>
        <v>0</v>
      </c>
      <c r="Z103" s="359">
        <f>CS_PID!Z103/VLOOKUP($B103,표2[#ALL],2)/hlookup($A103,표4[#ALL],row(),false)</f>
        <v>0</v>
      </c>
      <c r="AA103" s="359">
        <f>CS_PID!AA103/VLOOKUP($B103,표2[#ALL],2)/hlookup($A103,표4[#ALL],row(),false)</f>
        <v>0</v>
      </c>
      <c r="AB103" s="359">
        <f>CS_PID!AB103/VLOOKUP($B103,표2[#ALL],2)/hlookup($A103,표4[#ALL],row(),false)</f>
        <v>0</v>
      </c>
      <c r="AC103" s="359">
        <f>CS_PID!AC103/VLOOKUP($B103,표2[#ALL],2)/hlookup($A103,표4[#ALL],row(),false)</f>
        <v>0.09523809524</v>
      </c>
      <c r="AD103" s="359">
        <f>CS_PID!AD103/VLOOKUP($B103,표2[#ALL],2)/hlookup($A103,표4[#ALL],row(),false)</f>
        <v>0.09523809524</v>
      </c>
      <c r="AE103" s="359">
        <f>CS_PID!AE103/VLOOKUP($B103,표2[#ALL],2)/hlookup($A103,표4[#ALL],row(),false)</f>
        <v>0</v>
      </c>
      <c r="AF103" s="359">
        <f>CS_PID!AF103/VLOOKUP($B103,표2[#ALL],2)/hlookup($A103,표4[#ALL],row(),false)</f>
        <v>0</v>
      </c>
      <c r="AG103" s="359">
        <f>CS_PID!AG103/VLOOKUP($B103,표2[#ALL],2)/hlookup($A103,표4[#ALL],row(),false)</f>
        <v>0</v>
      </c>
      <c r="AH103" s="359">
        <f>CS_PID!AH103/VLOOKUP($B103,표2[#ALL],2)/hlookup($A103,표4[#ALL],row(),false)</f>
        <v>0</v>
      </c>
      <c r="AI103" s="359">
        <f>CS_PID!AI103/VLOOKUP($B103,표2[#ALL],2)/hlookup($A103,표4[#ALL],row(),false)</f>
        <v>0</v>
      </c>
      <c r="AJ103" s="359">
        <f>CS_PID!AJ103/VLOOKUP($B103,표2[#ALL],2)/hlookup($A103,표4[#ALL],row(),false)</f>
        <v>0.2380952381</v>
      </c>
      <c r="AK103" s="359">
        <f>CS_PID!AK103/VLOOKUP($B103,표2[#ALL],2)/hlookup($A103,표4[#ALL],row(),false)</f>
        <v>0</v>
      </c>
      <c r="AL103" s="359">
        <f>CS_PID!AL103/VLOOKUP($B103,표2[#ALL],2)/hlookup($A103,표4[#ALL],row(),false)</f>
        <v>0</v>
      </c>
      <c r="AM103" s="359">
        <f>CS_PID!AM103/VLOOKUP($B103,표2[#ALL],2)/hlookup($A103,표4[#ALL],row(),false)</f>
        <v>0</v>
      </c>
      <c r="AN103" s="359">
        <f>CS_PID!AN103/VLOOKUP($B103,표2[#ALL],2)/hlookup($A103,표4[#ALL],row(),false)</f>
        <v>0</v>
      </c>
      <c r="AO103" s="359">
        <f>CS_PID!AO103/VLOOKUP($B103,표2[#ALL],2)/hlookup($A103,표4[#ALL],row(),false)</f>
        <v>0.09523809524</v>
      </c>
      <c r="AP103" s="359">
        <f>CS_PID!AP103/VLOOKUP($B103,표2[#ALL],2)/hlookup($A103,표4[#ALL],row(),false)</f>
        <v>0</v>
      </c>
      <c r="AQ103" s="359">
        <f>CS_PID!AQ103/VLOOKUP($B103,표2[#ALL],2)/hlookup($A103,표4[#ALL],row(),false)</f>
        <v>0</v>
      </c>
      <c r="AR103" s="359">
        <f>CS_PID!AR103/VLOOKUP($B103,표2[#ALL],2)/hlookup($A103,표4[#ALL],row(),false)</f>
        <v>0</v>
      </c>
      <c r="AS103" s="359">
        <f>CS_PID!AS103/VLOOKUP($B103,표2[#ALL],2)/hlookup($A103,표4[#ALL],row(),false)</f>
        <v>0</v>
      </c>
    </row>
    <row r="104">
      <c r="A104" s="173" t="s">
        <v>126</v>
      </c>
      <c r="B104" s="178">
        <v>378.0</v>
      </c>
      <c r="C104" s="359">
        <f>CS_PID!C104/VLOOKUP($B104,표2[#ALL],2)/hlookup($A104,표4[#ALL],row(),false)</f>
        <v>0</v>
      </c>
      <c r="D104" s="359">
        <f>CS_PID!D104/VLOOKUP($B104,표2[#ALL],2)/hlookup($A104,표4[#ALL],row(),false)</f>
        <v>0</v>
      </c>
      <c r="E104" s="359">
        <f>CS_PID!E104/VLOOKUP($B104,표2[#ALL],2)/hlookup($A104,표4[#ALL],row(),false)</f>
        <v>0</v>
      </c>
      <c r="F104" s="359">
        <f>CS_PID!F104/VLOOKUP($B104,표2[#ALL],2)/hlookup($A104,표4[#ALL],row(),false)</f>
        <v>3</v>
      </c>
      <c r="G104" s="359">
        <f>CS_PID!G104/VLOOKUP($B104,표2[#ALL],2)/hlookup($A104,표4[#ALL],row(),false)</f>
        <v>0</v>
      </c>
      <c r="H104" s="359">
        <f>CS_PID!H104/VLOOKUP($B104,표2[#ALL],2)/hlookup($A104,표4[#ALL],row(),false)</f>
        <v>0</v>
      </c>
      <c r="I104" s="359">
        <f>CS_PID!I104/VLOOKUP($B104,표2[#ALL],2)/hlookup($A104,표4[#ALL],row(),false)</f>
        <v>0</v>
      </c>
      <c r="J104" s="359">
        <f>CS_PID!J104/VLOOKUP($B104,표2[#ALL],2)/hlookup($A104,표4[#ALL],row(),false)</f>
        <v>0</v>
      </c>
      <c r="K104" s="359">
        <f>CS_PID!K104/VLOOKUP($B104,표2[#ALL],2)/hlookup($A104,표4[#ALL],row(),false)</f>
        <v>1</v>
      </c>
      <c r="L104" s="359">
        <f>CS_PID!L104/VLOOKUP($B104,표2[#ALL],2)/hlookup($A104,표4[#ALL],row(),false)</f>
        <v>2</v>
      </c>
      <c r="M104" s="359">
        <f>CS_PID!M104/VLOOKUP($B104,표2[#ALL],2)/hlookup($A104,표4[#ALL],row(),false)</f>
        <v>0</v>
      </c>
      <c r="N104" s="359">
        <f>CS_PID!N104/VLOOKUP($B104,표2[#ALL],2)/hlookup($A104,표4[#ALL],row(),false)</f>
        <v>0</v>
      </c>
      <c r="O104" s="359">
        <f>CS_PID!O104/VLOOKUP($B104,표2[#ALL],2)/hlookup($A104,표4[#ALL],row(),false)</f>
        <v>0</v>
      </c>
      <c r="P104" s="359">
        <f>CS_PID!P104/VLOOKUP($B104,표2[#ALL],2)/hlookup($A104,표4[#ALL],row(),false)</f>
        <v>0</v>
      </c>
      <c r="Q104" s="359">
        <f>CS_PID!Q104/VLOOKUP($B104,표2[#ALL],2)/hlookup($A104,표4[#ALL],row(),false)</f>
        <v>3</v>
      </c>
      <c r="R104" s="359">
        <f>CS_PID!R104/VLOOKUP($B104,표2[#ALL],2)/hlookup($A104,표4[#ALL],row(),false)</f>
        <v>0</v>
      </c>
      <c r="S104" s="359">
        <f>CS_PID!S104/VLOOKUP($B104,표2[#ALL],2)/hlookup($A104,표4[#ALL],row(),false)</f>
        <v>0</v>
      </c>
      <c r="T104" s="359">
        <f>CS_PID!T104/VLOOKUP($B104,표2[#ALL],2)/hlookup($A104,표4[#ALL],row(),false)</f>
        <v>0</v>
      </c>
      <c r="U104" s="359">
        <f>CS_PID!U104/VLOOKUP($B104,표2[#ALL],2)/hlookup($A104,표4[#ALL],row(),false)</f>
        <v>0</v>
      </c>
      <c r="V104" s="359">
        <f>CS_PID!V104/VLOOKUP($B104,표2[#ALL],2)/hlookup($A104,표4[#ALL],row(),false)</f>
        <v>0</v>
      </c>
      <c r="W104" s="359">
        <f>CS_PID!W104/VLOOKUP($B104,표2[#ALL],2)/hlookup($A104,표4[#ALL],row(),false)</f>
        <v>0</v>
      </c>
      <c r="X104" s="359">
        <f>CS_PID!X104/VLOOKUP($B104,표2[#ALL],2)/hlookup($A104,표4[#ALL],row(),false)</f>
        <v>4</v>
      </c>
      <c r="Y104" s="359">
        <f>CS_PID!Y104/VLOOKUP($B104,표2[#ALL],2)/hlookup($A104,표4[#ALL],row(),false)</f>
        <v>1</v>
      </c>
      <c r="Z104" s="359">
        <f>CS_PID!Z104/VLOOKUP($B104,표2[#ALL],2)/hlookup($A104,표4[#ALL],row(),false)</f>
        <v>0</v>
      </c>
      <c r="AA104" s="359">
        <f>CS_PID!AA104/VLOOKUP($B104,표2[#ALL],2)/hlookup($A104,표4[#ALL],row(),false)</f>
        <v>0</v>
      </c>
      <c r="AB104" s="359">
        <f>CS_PID!AB104/VLOOKUP($B104,표2[#ALL],2)/hlookup($A104,표4[#ALL],row(),false)</f>
        <v>0</v>
      </c>
      <c r="AC104" s="359">
        <f>CS_PID!AC104/VLOOKUP($B104,표2[#ALL],2)/hlookup($A104,표4[#ALL],row(),false)</f>
        <v>0</v>
      </c>
      <c r="AD104" s="359">
        <f>CS_PID!AD104/VLOOKUP($B104,표2[#ALL],2)/hlookup($A104,표4[#ALL],row(),false)</f>
        <v>0</v>
      </c>
      <c r="AE104" s="359">
        <f>CS_PID!AE104/VLOOKUP($B104,표2[#ALL],2)/hlookup($A104,표4[#ALL],row(),false)</f>
        <v>0</v>
      </c>
      <c r="AF104" s="359">
        <f>CS_PID!AF104/VLOOKUP($B104,표2[#ALL],2)/hlookup($A104,표4[#ALL],row(),false)</f>
        <v>0</v>
      </c>
      <c r="AG104" s="359">
        <f>CS_PID!AG104/VLOOKUP($B104,표2[#ALL],2)/hlookup($A104,표4[#ALL],row(),false)</f>
        <v>0</v>
      </c>
      <c r="AH104" s="359">
        <f>CS_PID!AH104/VLOOKUP($B104,표2[#ALL],2)/hlookup($A104,표4[#ALL],row(),false)</f>
        <v>0</v>
      </c>
      <c r="AI104" s="359">
        <f>CS_PID!AI104/VLOOKUP($B104,표2[#ALL],2)/hlookup($A104,표4[#ALL],row(),false)</f>
        <v>0</v>
      </c>
      <c r="AJ104" s="359">
        <f>CS_PID!AJ104/VLOOKUP($B104,표2[#ALL],2)/hlookup($A104,표4[#ALL],row(),false)</f>
        <v>0</v>
      </c>
      <c r="AK104" s="359">
        <f>CS_PID!AK104/VLOOKUP($B104,표2[#ALL],2)/hlookup($A104,표4[#ALL],row(),false)</f>
        <v>0</v>
      </c>
      <c r="AL104" s="359">
        <f>CS_PID!AL104/VLOOKUP($B104,표2[#ALL],2)/hlookup($A104,표4[#ALL],row(),false)</f>
        <v>0</v>
      </c>
      <c r="AM104" s="359">
        <f>CS_PID!AM104/VLOOKUP($B104,표2[#ALL],2)/hlookup($A104,표4[#ALL],row(),false)</f>
        <v>0</v>
      </c>
      <c r="AN104" s="359">
        <f>CS_PID!AN104/VLOOKUP($B104,표2[#ALL],2)/hlookup($A104,표4[#ALL],row(),false)</f>
        <v>0</v>
      </c>
      <c r="AO104" s="359">
        <f>CS_PID!AO104/VLOOKUP($B104,표2[#ALL],2)/hlookup($A104,표4[#ALL],row(),false)</f>
        <v>0</v>
      </c>
      <c r="AP104" s="359">
        <f>CS_PID!AP104/VLOOKUP($B104,표2[#ALL],2)/hlookup($A104,표4[#ALL],row(),false)</f>
        <v>0</v>
      </c>
      <c r="AQ104" s="359">
        <f>CS_PID!AQ104/VLOOKUP($B104,표2[#ALL],2)/hlookup($A104,표4[#ALL],row(),false)</f>
        <v>0</v>
      </c>
      <c r="AR104" s="359">
        <f>CS_PID!AR104/VLOOKUP($B104,표2[#ALL],2)/hlookup($A104,표4[#ALL],row(),false)</f>
        <v>0</v>
      </c>
      <c r="AS104" s="359">
        <f>CS_PID!AS104/VLOOKUP($B104,표2[#ALL],2)/hlookup($A104,표4[#ALL],row(),false)</f>
        <v>0</v>
      </c>
    </row>
    <row r="105">
      <c r="A105" s="173" t="s">
        <v>126</v>
      </c>
      <c r="B105" s="178">
        <v>379.0</v>
      </c>
      <c r="C105" s="359">
        <f>CS_PID!C105/VLOOKUP($B105,표2[#ALL],2)/hlookup($A105,표4[#ALL],row(),false)</f>
        <v>0</v>
      </c>
      <c r="D105" s="359">
        <f>CS_PID!D105/VLOOKUP($B105,표2[#ALL],2)/hlookup($A105,표4[#ALL],row(),false)</f>
        <v>0</v>
      </c>
      <c r="E105" s="359">
        <f>CS_PID!E105/VLOOKUP($B105,표2[#ALL],2)/hlookup($A105,표4[#ALL],row(),false)</f>
        <v>0</v>
      </c>
      <c r="F105" s="359">
        <f>CS_PID!F105/VLOOKUP($B105,표2[#ALL],2)/hlookup($A105,표4[#ALL],row(),false)</f>
        <v>1.25</v>
      </c>
      <c r="G105" s="359">
        <f>CS_PID!G105/VLOOKUP($B105,표2[#ALL],2)/hlookup($A105,표4[#ALL],row(),false)</f>
        <v>0.25</v>
      </c>
      <c r="H105" s="359">
        <f>CS_PID!H105/VLOOKUP($B105,표2[#ALL],2)/hlookup($A105,표4[#ALL],row(),false)</f>
        <v>0</v>
      </c>
      <c r="I105" s="359">
        <f>CS_PID!I105/VLOOKUP($B105,표2[#ALL],2)/hlookup($A105,표4[#ALL],row(),false)</f>
        <v>0</v>
      </c>
      <c r="J105" s="359">
        <f>CS_PID!J105/VLOOKUP($B105,표2[#ALL],2)/hlookup($A105,표4[#ALL],row(),false)</f>
        <v>0</v>
      </c>
      <c r="K105" s="359">
        <f>CS_PID!K105/VLOOKUP($B105,표2[#ALL],2)/hlookup($A105,표4[#ALL],row(),false)</f>
        <v>1</v>
      </c>
      <c r="L105" s="359">
        <f>CS_PID!L105/VLOOKUP($B105,표2[#ALL],2)/hlookup($A105,표4[#ALL],row(),false)</f>
        <v>0.25</v>
      </c>
      <c r="M105" s="359">
        <f>CS_PID!M105/VLOOKUP($B105,표2[#ALL],2)/hlookup($A105,표4[#ALL],row(),false)</f>
        <v>0</v>
      </c>
      <c r="N105" s="359">
        <f>CS_PID!N105/VLOOKUP($B105,표2[#ALL],2)/hlookup($A105,표4[#ALL],row(),false)</f>
        <v>0</v>
      </c>
      <c r="O105" s="359">
        <f>CS_PID!O105/VLOOKUP($B105,표2[#ALL],2)/hlookup($A105,표4[#ALL],row(),false)</f>
        <v>0</v>
      </c>
      <c r="P105" s="359">
        <f>CS_PID!P105/VLOOKUP($B105,표2[#ALL],2)/hlookup($A105,표4[#ALL],row(),false)</f>
        <v>0</v>
      </c>
      <c r="Q105" s="359">
        <f>CS_PID!Q105/VLOOKUP($B105,표2[#ALL],2)/hlookup($A105,표4[#ALL],row(),false)</f>
        <v>0.75</v>
      </c>
      <c r="R105" s="359">
        <f>CS_PID!R105/VLOOKUP($B105,표2[#ALL],2)/hlookup($A105,표4[#ALL],row(),false)</f>
        <v>0</v>
      </c>
      <c r="S105" s="359">
        <f>CS_PID!S105/VLOOKUP($B105,표2[#ALL],2)/hlookup($A105,표4[#ALL],row(),false)</f>
        <v>0</v>
      </c>
      <c r="T105" s="359">
        <f>CS_PID!T105/VLOOKUP($B105,표2[#ALL],2)/hlookup($A105,표4[#ALL],row(),false)</f>
        <v>0</v>
      </c>
      <c r="U105" s="359">
        <f>CS_PID!U105/VLOOKUP($B105,표2[#ALL],2)/hlookup($A105,표4[#ALL],row(),false)</f>
        <v>0</v>
      </c>
      <c r="V105" s="359">
        <f>CS_PID!V105/VLOOKUP($B105,표2[#ALL],2)/hlookup($A105,표4[#ALL],row(),false)</f>
        <v>0</v>
      </c>
      <c r="W105" s="359">
        <f>CS_PID!W105/VLOOKUP($B105,표2[#ALL],2)/hlookup($A105,표4[#ALL],row(),false)</f>
        <v>0.25</v>
      </c>
      <c r="X105" s="359">
        <f>CS_PID!X105/VLOOKUP($B105,표2[#ALL],2)/hlookup($A105,표4[#ALL],row(),false)</f>
        <v>0.5</v>
      </c>
      <c r="Y105" s="359">
        <f>CS_PID!Y105/VLOOKUP($B105,표2[#ALL],2)/hlookup($A105,표4[#ALL],row(),false)</f>
        <v>0.25</v>
      </c>
      <c r="Z105" s="359">
        <f>CS_PID!Z105/VLOOKUP($B105,표2[#ALL],2)/hlookup($A105,표4[#ALL],row(),false)</f>
        <v>0</v>
      </c>
      <c r="AA105" s="359">
        <f>CS_PID!AA105/VLOOKUP($B105,표2[#ALL],2)/hlookup($A105,표4[#ALL],row(),false)</f>
        <v>0</v>
      </c>
      <c r="AB105" s="359">
        <f>CS_PID!AB105/VLOOKUP($B105,표2[#ALL],2)/hlookup($A105,표4[#ALL],row(),false)</f>
        <v>0</v>
      </c>
      <c r="AC105" s="359">
        <f>CS_PID!AC105/VLOOKUP($B105,표2[#ALL],2)/hlookup($A105,표4[#ALL],row(),false)</f>
        <v>0</v>
      </c>
      <c r="AD105" s="359">
        <f>CS_PID!AD105/VLOOKUP($B105,표2[#ALL],2)/hlookup($A105,표4[#ALL],row(),false)</f>
        <v>0.5</v>
      </c>
      <c r="AE105" s="359">
        <f>CS_PID!AE105/VLOOKUP($B105,표2[#ALL],2)/hlookup($A105,표4[#ALL],row(),false)</f>
        <v>0</v>
      </c>
      <c r="AF105" s="359">
        <f>CS_PID!AF105/VLOOKUP($B105,표2[#ALL],2)/hlookup($A105,표4[#ALL],row(),false)</f>
        <v>0</v>
      </c>
      <c r="AG105" s="359">
        <f>CS_PID!AG105/VLOOKUP($B105,표2[#ALL],2)/hlookup($A105,표4[#ALL],row(),false)</f>
        <v>0</v>
      </c>
      <c r="AH105" s="359">
        <f>CS_PID!AH105/VLOOKUP($B105,표2[#ALL],2)/hlookup($A105,표4[#ALL],row(),false)</f>
        <v>0</v>
      </c>
      <c r="AI105" s="359">
        <f>CS_PID!AI105/VLOOKUP($B105,표2[#ALL],2)/hlookup($A105,표4[#ALL],row(),false)</f>
        <v>0.25</v>
      </c>
      <c r="AJ105" s="359">
        <f>CS_PID!AJ105/VLOOKUP($B105,표2[#ALL],2)/hlookup($A105,표4[#ALL],row(),false)</f>
        <v>0</v>
      </c>
      <c r="AK105" s="359">
        <f>CS_PID!AK105/VLOOKUP($B105,표2[#ALL],2)/hlookup($A105,표4[#ALL],row(),false)</f>
        <v>0</v>
      </c>
      <c r="AL105" s="359">
        <f>CS_PID!AL105/VLOOKUP($B105,표2[#ALL],2)/hlookup($A105,표4[#ALL],row(),false)</f>
        <v>0</v>
      </c>
      <c r="AM105" s="359">
        <f>CS_PID!AM105/VLOOKUP($B105,표2[#ALL],2)/hlookup($A105,표4[#ALL],row(),false)</f>
        <v>0</v>
      </c>
      <c r="AN105" s="359">
        <f>CS_PID!AN105/VLOOKUP($B105,표2[#ALL],2)/hlookup($A105,표4[#ALL],row(),false)</f>
        <v>0</v>
      </c>
      <c r="AO105" s="359">
        <f>CS_PID!AO105/VLOOKUP($B105,표2[#ALL],2)/hlookup($A105,표4[#ALL],row(),false)</f>
        <v>0</v>
      </c>
      <c r="AP105" s="359">
        <f>CS_PID!AP105/VLOOKUP($B105,표2[#ALL],2)/hlookup($A105,표4[#ALL],row(),false)</f>
        <v>0</v>
      </c>
      <c r="AQ105" s="359">
        <f>CS_PID!AQ105/VLOOKUP($B105,표2[#ALL],2)/hlookup($A105,표4[#ALL],row(),false)</f>
        <v>0</v>
      </c>
      <c r="AR105" s="359">
        <f>CS_PID!AR105/VLOOKUP($B105,표2[#ALL],2)/hlookup($A105,표4[#ALL],row(),false)</f>
        <v>0</v>
      </c>
      <c r="AS105" s="359">
        <f>CS_PID!AS105/VLOOKUP($B105,표2[#ALL],2)/hlookup($A105,표4[#ALL],row(),false)</f>
        <v>0</v>
      </c>
    </row>
    <row r="106">
      <c r="A106" s="173" t="s">
        <v>126</v>
      </c>
      <c r="B106" s="178">
        <v>380.0</v>
      </c>
      <c r="C106" s="359">
        <f>CS_PID!C106/VLOOKUP($B106,표2[#ALL],2)/hlookup($A106,표4[#ALL],row(),false)</f>
        <v>0</v>
      </c>
      <c r="D106" s="359">
        <f>CS_PID!D106/VLOOKUP($B106,표2[#ALL],2)/hlookup($A106,표4[#ALL],row(),false)</f>
        <v>0</v>
      </c>
      <c r="E106" s="359">
        <f>CS_PID!E106/VLOOKUP($B106,표2[#ALL],2)/hlookup($A106,표4[#ALL],row(),false)</f>
        <v>0</v>
      </c>
      <c r="F106" s="359">
        <f>CS_PID!F106/VLOOKUP($B106,표2[#ALL],2)/hlookup($A106,표4[#ALL],row(),false)</f>
        <v>0.2</v>
      </c>
      <c r="G106" s="359">
        <f>CS_PID!G106/VLOOKUP($B106,표2[#ALL],2)/hlookup($A106,표4[#ALL],row(),false)</f>
        <v>0</v>
      </c>
      <c r="H106" s="359">
        <f>CS_PID!H106/VLOOKUP($B106,표2[#ALL],2)/hlookup($A106,표4[#ALL],row(),false)</f>
        <v>0</v>
      </c>
      <c r="I106" s="359">
        <f>CS_PID!I106/VLOOKUP($B106,표2[#ALL],2)/hlookup($A106,표4[#ALL],row(),false)</f>
        <v>0</v>
      </c>
      <c r="J106" s="359">
        <f>CS_PID!J106/VLOOKUP($B106,표2[#ALL],2)/hlookup($A106,표4[#ALL],row(),false)</f>
        <v>0.2</v>
      </c>
      <c r="K106" s="359">
        <f>CS_PID!K106/VLOOKUP($B106,표2[#ALL],2)/hlookup($A106,표4[#ALL],row(),false)</f>
        <v>1</v>
      </c>
      <c r="L106" s="359">
        <f>CS_PID!L106/VLOOKUP($B106,표2[#ALL],2)/hlookup($A106,표4[#ALL],row(),false)</f>
        <v>0.4</v>
      </c>
      <c r="M106" s="359">
        <f>CS_PID!M106/VLOOKUP($B106,표2[#ALL],2)/hlookup($A106,표4[#ALL],row(),false)</f>
        <v>0.2</v>
      </c>
      <c r="N106" s="359">
        <f>CS_PID!N106/VLOOKUP($B106,표2[#ALL],2)/hlookup($A106,표4[#ALL],row(),false)</f>
        <v>0</v>
      </c>
      <c r="O106" s="359">
        <f>CS_PID!O106/VLOOKUP($B106,표2[#ALL],2)/hlookup($A106,표4[#ALL],row(),false)</f>
        <v>0</v>
      </c>
      <c r="P106" s="359">
        <f>CS_PID!P106/VLOOKUP($B106,표2[#ALL],2)/hlookup($A106,표4[#ALL],row(),false)</f>
        <v>0</v>
      </c>
      <c r="Q106" s="359">
        <f>CS_PID!Q106/VLOOKUP($B106,표2[#ALL],2)/hlookup($A106,표4[#ALL],row(),false)</f>
        <v>0.4</v>
      </c>
      <c r="R106" s="359">
        <f>CS_PID!R106/VLOOKUP($B106,표2[#ALL],2)/hlookup($A106,표4[#ALL],row(),false)</f>
        <v>0.2</v>
      </c>
      <c r="S106" s="359">
        <f>CS_PID!S106/VLOOKUP($B106,표2[#ALL],2)/hlookup($A106,표4[#ALL],row(),false)</f>
        <v>0</v>
      </c>
      <c r="T106" s="359">
        <f>CS_PID!T106/VLOOKUP($B106,표2[#ALL],2)/hlookup($A106,표4[#ALL],row(),false)</f>
        <v>0</v>
      </c>
      <c r="U106" s="359">
        <f>CS_PID!U106/VLOOKUP($B106,표2[#ALL],2)/hlookup($A106,표4[#ALL],row(),false)</f>
        <v>0</v>
      </c>
      <c r="V106" s="359">
        <f>CS_PID!V106/VLOOKUP($B106,표2[#ALL],2)/hlookup($A106,표4[#ALL],row(),false)</f>
        <v>0</v>
      </c>
      <c r="W106" s="359">
        <f>CS_PID!W106/VLOOKUP($B106,표2[#ALL],2)/hlookup($A106,표4[#ALL],row(),false)</f>
        <v>0</v>
      </c>
      <c r="X106" s="359">
        <f>CS_PID!X106/VLOOKUP($B106,표2[#ALL],2)/hlookup($A106,표4[#ALL],row(),false)</f>
        <v>0.6</v>
      </c>
      <c r="Y106" s="359">
        <f>CS_PID!Y106/VLOOKUP($B106,표2[#ALL],2)/hlookup($A106,표4[#ALL],row(),false)</f>
        <v>0</v>
      </c>
      <c r="Z106" s="359">
        <f>CS_PID!Z106/VLOOKUP($B106,표2[#ALL],2)/hlookup($A106,표4[#ALL],row(),false)</f>
        <v>0</v>
      </c>
      <c r="AA106" s="359">
        <f>CS_PID!AA106/VLOOKUP($B106,표2[#ALL],2)/hlookup($A106,표4[#ALL],row(),false)</f>
        <v>0</v>
      </c>
      <c r="AB106" s="359">
        <f>CS_PID!AB106/VLOOKUP($B106,표2[#ALL],2)/hlookup($A106,표4[#ALL],row(),false)</f>
        <v>0</v>
      </c>
      <c r="AC106" s="359">
        <f>CS_PID!AC106/VLOOKUP($B106,표2[#ALL],2)/hlookup($A106,표4[#ALL],row(),false)</f>
        <v>0</v>
      </c>
      <c r="AD106" s="359">
        <f>CS_PID!AD106/VLOOKUP($B106,표2[#ALL],2)/hlookup($A106,표4[#ALL],row(),false)</f>
        <v>0</v>
      </c>
      <c r="AE106" s="359">
        <f>CS_PID!AE106/VLOOKUP($B106,표2[#ALL],2)/hlookup($A106,표4[#ALL],row(),false)</f>
        <v>0</v>
      </c>
      <c r="AF106" s="359">
        <f>CS_PID!AF106/VLOOKUP($B106,표2[#ALL],2)/hlookup($A106,표4[#ALL],row(),false)</f>
        <v>0</v>
      </c>
      <c r="AG106" s="359">
        <f>CS_PID!AG106/VLOOKUP($B106,표2[#ALL],2)/hlookup($A106,표4[#ALL],row(),false)</f>
        <v>0</v>
      </c>
      <c r="AH106" s="359">
        <f>CS_PID!AH106/VLOOKUP($B106,표2[#ALL],2)/hlookup($A106,표4[#ALL],row(),false)</f>
        <v>0</v>
      </c>
      <c r="AI106" s="359">
        <f>CS_PID!AI106/VLOOKUP($B106,표2[#ALL],2)/hlookup($A106,표4[#ALL],row(),false)</f>
        <v>0</v>
      </c>
      <c r="AJ106" s="359">
        <f>CS_PID!AJ106/VLOOKUP($B106,표2[#ALL],2)/hlookup($A106,표4[#ALL],row(),false)</f>
        <v>0.2</v>
      </c>
      <c r="AK106" s="359">
        <f>CS_PID!AK106/VLOOKUP($B106,표2[#ALL],2)/hlookup($A106,표4[#ALL],row(),false)</f>
        <v>0</v>
      </c>
      <c r="AL106" s="359">
        <f>CS_PID!AL106/VLOOKUP($B106,표2[#ALL],2)/hlookup($A106,표4[#ALL],row(),false)</f>
        <v>0</v>
      </c>
      <c r="AM106" s="359">
        <f>CS_PID!AM106/VLOOKUP($B106,표2[#ALL],2)/hlookup($A106,표4[#ALL],row(),false)</f>
        <v>0</v>
      </c>
      <c r="AN106" s="359">
        <f>CS_PID!AN106/VLOOKUP($B106,표2[#ALL],2)/hlookup($A106,표4[#ALL],row(),false)</f>
        <v>0</v>
      </c>
      <c r="AO106" s="359">
        <f>CS_PID!AO106/VLOOKUP($B106,표2[#ALL],2)/hlookup($A106,표4[#ALL],row(),false)</f>
        <v>0</v>
      </c>
      <c r="AP106" s="359">
        <f>CS_PID!AP106/VLOOKUP($B106,표2[#ALL],2)/hlookup($A106,표4[#ALL],row(),false)</f>
        <v>0</v>
      </c>
      <c r="AQ106" s="359">
        <f>CS_PID!AQ106/VLOOKUP($B106,표2[#ALL],2)/hlookup($A106,표4[#ALL],row(),false)</f>
        <v>0</v>
      </c>
      <c r="AR106" s="359">
        <f>CS_PID!AR106/VLOOKUP($B106,표2[#ALL],2)/hlookup($A106,표4[#ALL],row(),false)</f>
        <v>0</v>
      </c>
      <c r="AS106" s="359">
        <f>CS_PID!AS106/VLOOKUP($B106,표2[#ALL],2)/hlookup($A106,표4[#ALL],row(),false)</f>
        <v>0</v>
      </c>
    </row>
    <row r="107">
      <c r="A107" s="173" t="s">
        <v>126</v>
      </c>
      <c r="B107" s="178">
        <v>381.0</v>
      </c>
      <c r="C107" s="359">
        <f>CS_PID!C107/VLOOKUP($B107,표2[#ALL],2)/hlookup($A107,표4[#ALL],row(),false)</f>
        <v>0</v>
      </c>
      <c r="D107" s="359">
        <f>CS_PID!D107/VLOOKUP($B107,표2[#ALL],2)/hlookup($A107,표4[#ALL],row(),false)</f>
        <v>0</v>
      </c>
      <c r="E107" s="359">
        <f>CS_PID!E107/VLOOKUP($B107,표2[#ALL],2)/hlookup($A107,표4[#ALL],row(),false)</f>
        <v>0</v>
      </c>
      <c r="F107" s="359">
        <f>CS_PID!F107/VLOOKUP($B107,표2[#ALL],2)/hlookup($A107,표4[#ALL],row(),false)</f>
        <v>2</v>
      </c>
      <c r="G107" s="359">
        <f>CS_PID!G107/VLOOKUP($B107,표2[#ALL],2)/hlookup($A107,표4[#ALL],row(),false)</f>
        <v>0</v>
      </c>
      <c r="H107" s="359">
        <f>CS_PID!H107/VLOOKUP($B107,표2[#ALL],2)/hlookup($A107,표4[#ALL],row(),false)</f>
        <v>0</v>
      </c>
      <c r="I107" s="359">
        <f>CS_PID!I107/VLOOKUP($B107,표2[#ALL],2)/hlookup($A107,표4[#ALL],row(),false)</f>
        <v>0</v>
      </c>
      <c r="J107" s="359">
        <f>CS_PID!J107/VLOOKUP($B107,표2[#ALL],2)/hlookup($A107,표4[#ALL],row(),false)</f>
        <v>0</v>
      </c>
      <c r="K107" s="359">
        <f>CS_PID!K107/VLOOKUP($B107,표2[#ALL],2)/hlookup($A107,표4[#ALL],row(),false)</f>
        <v>1</v>
      </c>
      <c r="L107" s="359">
        <f>CS_PID!L107/VLOOKUP($B107,표2[#ALL],2)/hlookup($A107,표4[#ALL],row(),false)</f>
        <v>2</v>
      </c>
      <c r="M107" s="359">
        <f>CS_PID!M107/VLOOKUP($B107,표2[#ALL],2)/hlookup($A107,표4[#ALL],row(),false)</f>
        <v>0</v>
      </c>
      <c r="N107" s="359">
        <f>CS_PID!N107/VLOOKUP($B107,표2[#ALL],2)/hlookup($A107,표4[#ALL],row(),false)</f>
        <v>0</v>
      </c>
      <c r="O107" s="359">
        <f>CS_PID!O107/VLOOKUP($B107,표2[#ALL],2)/hlookup($A107,표4[#ALL],row(),false)</f>
        <v>0</v>
      </c>
      <c r="P107" s="359">
        <f>CS_PID!P107/VLOOKUP($B107,표2[#ALL],2)/hlookup($A107,표4[#ALL],row(),false)</f>
        <v>0</v>
      </c>
      <c r="Q107" s="359">
        <f>CS_PID!Q107/VLOOKUP($B107,표2[#ALL],2)/hlookup($A107,표4[#ALL],row(),false)</f>
        <v>4</v>
      </c>
      <c r="R107" s="359">
        <f>CS_PID!R107/VLOOKUP($B107,표2[#ALL],2)/hlookup($A107,표4[#ALL],row(),false)</f>
        <v>3</v>
      </c>
      <c r="S107" s="359">
        <f>CS_PID!S107/VLOOKUP($B107,표2[#ALL],2)/hlookup($A107,표4[#ALL],row(),false)</f>
        <v>0</v>
      </c>
      <c r="T107" s="359">
        <f>CS_PID!T107/VLOOKUP($B107,표2[#ALL],2)/hlookup($A107,표4[#ALL],row(),false)</f>
        <v>0</v>
      </c>
      <c r="U107" s="359">
        <f>CS_PID!U107/VLOOKUP($B107,표2[#ALL],2)/hlookup($A107,표4[#ALL],row(),false)</f>
        <v>0</v>
      </c>
      <c r="V107" s="359">
        <f>CS_PID!V107/VLOOKUP($B107,표2[#ALL],2)/hlookup($A107,표4[#ALL],row(),false)</f>
        <v>0</v>
      </c>
      <c r="W107" s="359">
        <f>CS_PID!W107/VLOOKUP($B107,표2[#ALL],2)/hlookup($A107,표4[#ALL],row(),false)</f>
        <v>0</v>
      </c>
      <c r="X107" s="359">
        <f>CS_PID!X107/VLOOKUP($B107,표2[#ALL],2)/hlookup($A107,표4[#ALL],row(),false)</f>
        <v>1</v>
      </c>
      <c r="Y107" s="359">
        <f>CS_PID!Y107/VLOOKUP($B107,표2[#ALL],2)/hlookup($A107,표4[#ALL],row(),false)</f>
        <v>1</v>
      </c>
      <c r="Z107" s="359">
        <f>CS_PID!Z107/VLOOKUP($B107,표2[#ALL],2)/hlookup($A107,표4[#ALL],row(),false)</f>
        <v>0</v>
      </c>
      <c r="AA107" s="359">
        <f>CS_PID!AA107/VLOOKUP($B107,표2[#ALL],2)/hlookup($A107,표4[#ALL],row(),false)</f>
        <v>0</v>
      </c>
      <c r="AB107" s="359">
        <f>CS_PID!AB107/VLOOKUP($B107,표2[#ALL],2)/hlookup($A107,표4[#ALL],row(),false)</f>
        <v>0</v>
      </c>
      <c r="AC107" s="359">
        <f>CS_PID!AC107/VLOOKUP($B107,표2[#ALL],2)/hlookup($A107,표4[#ALL],row(),false)</f>
        <v>0</v>
      </c>
      <c r="AD107" s="359">
        <f>CS_PID!AD107/VLOOKUP($B107,표2[#ALL],2)/hlookup($A107,표4[#ALL],row(),false)</f>
        <v>0</v>
      </c>
      <c r="AE107" s="359">
        <f>CS_PID!AE107/VLOOKUP($B107,표2[#ALL],2)/hlookup($A107,표4[#ALL],row(),false)</f>
        <v>1</v>
      </c>
      <c r="AF107" s="359">
        <f>CS_PID!AF107/VLOOKUP($B107,표2[#ALL],2)/hlookup($A107,표4[#ALL],row(),false)</f>
        <v>0</v>
      </c>
      <c r="AG107" s="359">
        <f>CS_PID!AG107/VLOOKUP($B107,표2[#ALL],2)/hlookup($A107,표4[#ALL],row(),false)</f>
        <v>0</v>
      </c>
      <c r="AH107" s="359">
        <f>CS_PID!AH107/VLOOKUP($B107,표2[#ALL],2)/hlookup($A107,표4[#ALL],row(),false)</f>
        <v>0</v>
      </c>
      <c r="AI107" s="359">
        <f>CS_PID!AI107/VLOOKUP($B107,표2[#ALL],2)/hlookup($A107,표4[#ALL],row(),false)</f>
        <v>0</v>
      </c>
      <c r="AJ107" s="359">
        <f>CS_PID!AJ107/VLOOKUP($B107,표2[#ALL],2)/hlookup($A107,표4[#ALL],row(),false)</f>
        <v>1</v>
      </c>
      <c r="AK107" s="359">
        <f>CS_PID!AK107/VLOOKUP($B107,표2[#ALL],2)/hlookup($A107,표4[#ALL],row(),false)</f>
        <v>0</v>
      </c>
      <c r="AL107" s="359">
        <f>CS_PID!AL107/VLOOKUP($B107,표2[#ALL],2)/hlookup($A107,표4[#ALL],row(),false)</f>
        <v>0</v>
      </c>
      <c r="AM107" s="359">
        <f>CS_PID!AM107/VLOOKUP($B107,표2[#ALL],2)/hlookup($A107,표4[#ALL],row(),false)</f>
        <v>0</v>
      </c>
      <c r="AN107" s="359">
        <f>CS_PID!AN107/VLOOKUP($B107,표2[#ALL],2)/hlookup($A107,표4[#ALL],row(),false)</f>
        <v>0</v>
      </c>
      <c r="AO107" s="359">
        <f>CS_PID!AO107/VLOOKUP($B107,표2[#ALL],2)/hlookup($A107,표4[#ALL],row(),false)</f>
        <v>1</v>
      </c>
      <c r="AP107" s="359">
        <f>CS_PID!AP107/VLOOKUP($B107,표2[#ALL],2)/hlookup($A107,표4[#ALL],row(),false)</f>
        <v>0</v>
      </c>
      <c r="AQ107" s="359">
        <f>CS_PID!AQ107/VLOOKUP($B107,표2[#ALL],2)/hlookup($A107,표4[#ALL],row(),false)</f>
        <v>0</v>
      </c>
      <c r="AR107" s="359">
        <f>CS_PID!AR107/VLOOKUP($B107,표2[#ALL],2)/hlookup($A107,표4[#ALL],row(),false)</f>
        <v>0</v>
      </c>
      <c r="AS107" s="359">
        <f>CS_PID!AS107/VLOOKUP($B107,표2[#ALL],2)/hlookup($A107,표4[#ALL],row(),false)</f>
        <v>0</v>
      </c>
    </row>
    <row r="108">
      <c r="A108" s="173" t="s">
        <v>126</v>
      </c>
      <c r="B108" s="178">
        <v>382.0</v>
      </c>
      <c r="C108" s="359">
        <f>CS_PID!C108/VLOOKUP($B108,표2[#ALL],2)/hlookup($A108,표4[#ALL],row(),false)</f>
        <v>0</v>
      </c>
      <c r="D108" s="359">
        <f>CS_PID!D108/VLOOKUP($B108,표2[#ALL],2)/hlookup($A108,표4[#ALL],row(),false)</f>
        <v>0</v>
      </c>
      <c r="E108" s="359">
        <f>CS_PID!E108/VLOOKUP($B108,표2[#ALL],2)/hlookup($A108,표4[#ALL],row(),false)</f>
        <v>0</v>
      </c>
      <c r="F108" s="359">
        <f>CS_PID!F108/VLOOKUP($B108,표2[#ALL],2)/hlookup($A108,표4[#ALL],row(),false)</f>
        <v>0.1666666667</v>
      </c>
      <c r="G108" s="359">
        <f>CS_PID!G108/VLOOKUP($B108,표2[#ALL],2)/hlookup($A108,표4[#ALL],row(),false)</f>
        <v>0</v>
      </c>
      <c r="H108" s="359">
        <f>CS_PID!H108/VLOOKUP($B108,표2[#ALL],2)/hlookup($A108,표4[#ALL],row(),false)</f>
        <v>0</v>
      </c>
      <c r="I108" s="359">
        <f>CS_PID!I108/VLOOKUP($B108,표2[#ALL],2)/hlookup($A108,표4[#ALL],row(),false)</f>
        <v>0</v>
      </c>
      <c r="J108" s="359">
        <f>CS_PID!J108/VLOOKUP($B108,표2[#ALL],2)/hlookup($A108,표4[#ALL],row(),false)</f>
        <v>0.1666666667</v>
      </c>
      <c r="K108" s="359">
        <f>CS_PID!K108/VLOOKUP($B108,표2[#ALL],2)/hlookup($A108,표4[#ALL],row(),false)</f>
        <v>1</v>
      </c>
      <c r="L108" s="359">
        <f>CS_PID!L108/VLOOKUP($B108,표2[#ALL],2)/hlookup($A108,표4[#ALL],row(),false)</f>
        <v>0.1666666667</v>
      </c>
      <c r="M108" s="359">
        <f>CS_PID!M108/VLOOKUP($B108,표2[#ALL],2)/hlookup($A108,표4[#ALL],row(),false)</f>
        <v>0</v>
      </c>
      <c r="N108" s="359">
        <f>CS_PID!N108/VLOOKUP($B108,표2[#ALL],2)/hlookup($A108,표4[#ALL],row(),false)</f>
        <v>0</v>
      </c>
      <c r="O108" s="359">
        <f>CS_PID!O108/VLOOKUP($B108,표2[#ALL],2)/hlookup($A108,표4[#ALL],row(),false)</f>
        <v>0</v>
      </c>
      <c r="P108" s="359">
        <f>CS_PID!P108/VLOOKUP($B108,표2[#ALL],2)/hlookup($A108,표4[#ALL],row(),false)</f>
        <v>0</v>
      </c>
      <c r="Q108" s="359">
        <f>CS_PID!Q108/VLOOKUP($B108,표2[#ALL],2)/hlookup($A108,표4[#ALL],row(),false)</f>
        <v>0.6666666667</v>
      </c>
      <c r="R108" s="359">
        <f>CS_PID!R108/VLOOKUP($B108,표2[#ALL],2)/hlookup($A108,표4[#ALL],row(),false)</f>
        <v>0.5</v>
      </c>
      <c r="S108" s="359">
        <f>CS_PID!S108/VLOOKUP($B108,표2[#ALL],2)/hlookup($A108,표4[#ALL],row(),false)</f>
        <v>0</v>
      </c>
      <c r="T108" s="359">
        <f>CS_PID!T108/VLOOKUP($B108,표2[#ALL],2)/hlookup($A108,표4[#ALL],row(),false)</f>
        <v>0</v>
      </c>
      <c r="U108" s="359">
        <f>CS_PID!U108/VLOOKUP($B108,표2[#ALL],2)/hlookup($A108,표4[#ALL],row(),false)</f>
        <v>0</v>
      </c>
      <c r="V108" s="359">
        <f>CS_PID!V108/VLOOKUP($B108,표2[#ALL],2)/hlookup($A108,표4[#ALL],row(),false)</f>
        <v>0</v>
      </c>
      <c r="W108" s="359">
        <f>CS_PID!W108/VLOOKUP($B108,표2[#ALL],2)/hlookup($A108,표4[#ALL],row(),false)</f>
        <v>0</v>
      </c>
      <c r="X108" s="359">
        <f>CS_PID!X108/VLOOKUP($B108,표2[#ALL],2)/hlookup($A108,표4[#ALL],row(),false)</f>
        <v>0.1666666667</v>
      </c>
      <c r="Y108" s="359">
        <f>CS_PID!Y108/VLOOKUP($B108,표2[#ALL],2)/hlookup($A108,표4[#ALL],row(),false)</f>
        <v>0</v>
      </c>
      <c r="Z108" s="359">
        <f>CS_PID!Z108/VLOOKUP($B108,표2[#ALL],2)/hlookup($A108,표4[#ALL],row(),false)</f>
        <v>0</v>
      </c>
      <c r="AA108" s="359">
        <f>CS_PID!AA108/VLOOKUP($B108,표2[#ALL],2)/hlookup($A108,표4[#ALL],row(),false)</f>
        <v>0</v>
      </c>
      <c r="AB108" s="359">
        <f>CS_PID!AB108/VLOOKUP($B108,표2[#ALL],2)/hlookup($A108,표4[#ALL],row(),false)</f>
        <v>0</v>
      </c>
      <c r="AC108" s="359">
        <f>CS_PID!AC108/VLOOKUP($B108,표2[#ALL],2)/hlookup($A108,표4[#ALL],row(),false)</f>
        <v>0</v>
      </c>
      <c r="AD108" s="359">
        <f>CS_PID!AD108/VLOOKUP($B108,표2[#ALL],2)/hlookup($A108,표4[#ALL],row(),false)</f>
        <v>0.1666666667</v>
      </c>
      <c r="AE108" s="359">
        <f>CS_PID!AE108/VLOOKUP($B108,표2[#ALL],2)/hlookup($A108,표4[#ALL],row(),false)</f>
        <v>0</v>
      </c>
      <c r="AF108" s="359">
        <f>CS_PID!AF108/VLOOKUP($B108,표2[#ALL],2)/hlookup($A108,표4[#ALL],row(),false)</f>
        <v>0</v>
      </c>
      <c r="AG108" s="359">
        <f>CS_PID!AG108/VLOOKUP($B108,표2[#ALL],2)/hlookup($A108,표4[#ALL],row(),false)</f>
        <v>0</v>
      </c>
      <c r="AH108" s="359">
        <f>CS_PID!AH108/VLOOKUP($B108,표2[#ALL],2)/hlookup($A108,표4[#ALL],row(),false)</f>
        <v>0</v>
      </c>
      <c r="AI108" s="359">
        <f>CS_PID!AI108/VLOOKUP($B108,표2[#ALL],2)/hlookup($A108,표4[#ALL],row(),false)</f>
        <v>0</v>
      </c>
      <c r="AJ108" s="359">
        <f>CS_PID!AJ108/VLOOKUP($B108,표2[#ALL],2)/hlookup($A108,표4[#ALL],row(),false)</f>
        <v>0.1666666667</v>
      </c>
      <c r="AK108" s="359">
        <f>CS_PID!AK108/VLOOKUP($B108,표2[#ALL],2)/hlookup($A108,표4[#ALL],row(),false)</f>
        <v>0</v>
      </c>
      <c r="AL108" s="359">
        <f>CS_PID!AL108/VLOOKUP($B108,표2[#ALL],2)/hlookup($A108,표4[#ALL],row(),false)</f>
        <v>0</v>
      </c>
      <c r="AM108" s="359">
        <f>CS_PID!AM108/VLOOKUP($B108,표2[#ALL],2)/hlookup($A108,표4[#ALL],row(),false)</f>
        <v>0</v>
      </c>
      <c r="AN108" s="359">
        <f>CS_PID!AN108/VLOOKUP($B108,표2[#ALL],2)/hlookup($A108,표4[#ALL],row(),false)</f>
        <v>0</v>
      </c>
      <c r="AO108" s="359">
        <f>CS_PID!AO108/VLOOKUP($B108,표2[#ALL],2)/hlookup($A108,표4[#ALL],row(),false)</f>
        <v>0</v>
      </c>
      <c r="AP108" s="359">
        <f>CS_PID!AP108/VLOOKUP($B108,표2[#ALL],2)/hlookup($A108,표4[#ALL],row(),false)</f>
        <v>0</v>
      </c>
      <c r="AQ108" s="359">
        <f>CS_PID!AQ108/VLOOKUP($B108,표2[#ALL],2)/hlookup($A108,표4[#ALL],row(),false)</f>
        <v>0</v>
      </c>
      <c r="AR108" s="359">
        <f>CS_PID!AR108/VLOOKUP($B108,표2[#ALL],2)/hlookup($A108,표4[#ALL],row(),false)</f>
        <v>0</v>
      </c>
      <c r="AS108" s="359">
        <f>CS_PID!AS108/VLOOKUP($B108,표2[#ALL],2)/hlookup($A108,표4[#ALL],row(),false)</f>
        <v>0</v>
      </c>
    </row>
    <row r="109">
      <c r="A109" s="173" t="s">
        <v>126</v>
      </c>
      <c r="B109" s="178">
        <v>383.0</v>
      </c>
      <c r="C109" s="359">
        <f>CS_PID!C109/VLOOKUP($B109,표2[#ALL],2)/hlookup($A109,표4[#ALL],row(),false)</f>
        <v>0</v>
      </c>
      <c r="D109" s="359">
        <f>CS_PID!D109/VLOOKUP($B109,표2[#ALL],2)/hlookup($A109,표4[#ALL],row(),false)</f>
        <v>0.125</v>
      </c>
      <c r="E109" s="359">
        <f>CS_PID!E109/VLOOKUP($B109,표2[#ALL],2)/hlookup($A109,표4[#ALL],row(),false)</f>
        <v>0.125</v>
      </c>
      <c r="F109" s="359">
        <f>CS_PID!F109/VLOOKUP($B109,표2[#ALL],2)/hlookup($A109,표4[#ALL],row(),false)</f>
        <v>1</v>
      </c>
      <c r="G109" s="359">
        <f>CS_PID!G109/VLOOKUP($B109,표2[#ALL],2)/hlookup($A109,표4[#ALL],row(),false)</f>
        <v>0.125</v>
      </c>
      <c r="H109" s="359">
        <f>CS_PID!H109/VLOOKUP($B109,표2[#ALL],2)/hlookup($A109,표4[#ALL],row(),false)</f>
        <v>0</v>
      </c>
      <c r="I109" s="359">
        <f>CS_PID!I109/VLOOKUP($B109,표2[#ALL],2)/hlookup($A109,표4[#ALL],row(),false)</f>
        <v>0</v>
      </c>
      <c r="J109" s="359">
        <f>CS_PID!J109/VLOOKUP($B109,표2[#ALL],2)/hlookup($A109,표4[#ALL],row(),false)</f>
        <v>0.125</v>
      </c>
      <c r="K109" s="359">
        <f>CS_PID!K109/VLOOKUP($B109,표2[#ALL],2)/hlookup($A109,표4[#ALL],row(),false)</f>
        <v>1</v>
      </c>
      <c r="L109" s="359">
        <f>CS_PID!L109/VLOOKUP($B109,표2[#ALL],2)/hlookup($A109,표4[#ALL],row(),false)</f>
        <v>1.25</v>
      </c>
      <c r="M109" s="359">
        <f>CS_PID!M109/VLOOKUP($B109,표2[#ALL],2)/hlookup($A109,표4[#ALL],row(),false)</f>
        <v>0</v>
      </c>
      <c r="N109" s="359">
        <f>CS_PID!N109/VLOOKUP($B109,표2[#ALL],2)/hlookup($A109,표4[#ALL],row(),false)</f>
        <v>0</v>
      </c>
      <c r="O109" s="359">
        <f>CS_PID!O109/VLOOKUP($B109,표2[#ALL],2)/hlookup($A109,표4[#ALL],row(),false)</f>
        <v>0</v>
      </c>
      <c r="P109" s="359">
        <f>CS_PID!P109/VLOOKUP($B109,표2[#ALL],2)/hlookup($A109,표4[#ALL],row(),false)</f>
        <v>0.125</v>
      </c>
      <c r="Q109" s="359">
        <f>CS_PID!Q109/VLOOKUP($B109,표2[#ALL],2)/hlookup($A109,표4[#ALL],row(),false)</f>
        <v>1</v>
      </c>
      <c r="R109" s="359">
        <f>CS_PID!R109/VLOOKUP($B109,표2[#ALL],2)/hlookup($A109,표4[#ALL],row(),false)</f>
        <v>1.125</v>
      </c>
      <c r="S109" s="359">
        <f>CS_PID!S109/VLOOKUP($B109,표2[#ALL],2)/hlookup($A109,표4[#ALL],row(),false)</f>
        <v>0.125</v>
      </c>
      <c r="T109" s="359">
        <f>CS_PID!T109/VLOOKUP($B109,표2[#ALL],2)/hlookup($A109,표4[#ALL],row(),false)</f>
        <v>0</v>
      </c>
      <c r="U109" s="359">
        <f>CS_PID!U109/VLOOKUP($B109,표2[#ALL],2)/hlookup($A109,표4[#ALL],row(),false)</f>
        <v>0</v>
      </c>
      <c r="V109" s="359">
        <f>CS_PID!V109/VLOOKUP($B109,표2[#ALL],2)/hlookup($A109,표4[#ALL],row(),false)</f>
        <v>0</v>
      </c>
      <c r="W109" s="359">
        <f>CS_PID!W109/VLOOKUP($B109,표2[#ALL],2)/hlookup($A109,표4[#ALL],row(),false)</f>
        <v>0.5</v>
      </c>
      <c r="X109" s="359">
        <f>CS_PID!X109/VLOOKUP($B109,표2[#ALL],2)/hlookup($A109,표4[#ALL],row(),false)</f>
        <v>1.25</v>
      </c>
      <c r="Y109" s="359">
        <f>CS_PID!Y109/VLOOKUP($B109,표2[#ALL],2)/hlookup($A109,표4[#ALL],row(),false)</f>
        <v>0</v>
      </c>
      <c r="Z109" s="359">
        <f>CS_PID!Z109/VLOOKUP($B109,표2[#ALL],2)/hlookup($A109,표4[#ALL],row(),false)</f>
        <v>0</v>
      </c>
      <c r="AA109" s="359">
        <f>CS_PID!AA109/VLOOKUP($B109,표2[#ALL],2)/hlookup($A109,표4[#ALL],row(),false)</f>
        <v>0</v>
      </c>
      <c r="AB109" s="359">
        <f>CS_PID!AB109/VLOOKUP($B109,표2[#ALL],2)/hlookup($A109,표4[#ALL],row(),false)</f>
        <v>0</v>
      </c>
      <c r="AC109" s="359">
        <f>CS_PID!AC109/VLOOKUP($B109,표2[#ALL],2)/hlookup($A109,표4[#ALL],row(),false)</f>
        <v>0.125</v>
      </c>
      <c r="AD109" s="359">
        <f>CS_PID!AD109/VLOOKUP($B109,표2[#ALL],2)/hlookup($A109,표4[#ALL],row(),false)</f>
        <v>0.125</v>
      </c>
      <c r="AE109" s="359">
        <f>CS_PID!AE109/VLOOKUP($B109,표2[#ALL],2)/hlookup($A109,표4[#ALL],row(),false)</f>
        <v>0.125</v>
      </c>
      <c r="AF109" s="359">
        <f>CS_PID!AF109/VLOOKUP($B109,표2[#ALL],2)/hlookup($A109,표4[#ALL],row(),false)</f>
        <v>0</v>
      </c>
      <c r="AG109" s="359">
        <f>CS_PID!AG109/VLOOKUP($B109,표2[#ALL],2)/hlookup($A109,표4[#ALL],row(),false)</f>
        <v>0</v>
      </c>
      <c r="AH109" s="359">
        <f>CS_PID!AH109/VLOOKUP($B109,표2[#ALL],2)/hlookup($A109,표4[#ALL],row(),false)</f>
        <v>0</v>
      </c>
      <c r="AI109" s="359">
        <f>CS_PID!AI109/VLOOKUP($B109,표2[#ALL],2)/hlookup($A109,표4[#ALL],row(),false)</f>
        <v>0</v>
      </c>
      <c r="AJ109" s="359">
        <f>CS_PID!AJ109/VLOOKUP($B109,표2[#ALL],2)/hlookup($A109,표4[#ALL],row(),false)</f>
        <v>0.625</v>
      </c>
      <c r="AK109" s="359">
        <f>CS_PID!AK109/VLOOKUP($B109,표2[#ALL],2)/hlookup($A109,표4[#ALL],row(),false)</f>
        <v>0</v>
      </c>
      <c r="AL109" s="359">
        <f>CS_PID!AL109/VLOOKUP($B109,표2[#ALL],2)/hlookup($A109,표4[#ALL],row(),false)</f>
        <v>0</v>
      </c>
      <c r="AM109" s="359">
        <f>CS_PID!AM109/VLOOKUP($B109,표2[#ALL],2)/hlookup($A109,표4[#ALL],row(),false)</f>
        <v>0</v>
      </c>
      <c r="AN109" s="359">
        <f>CS_PID!AN109/VLOOKUP($B109,표2[#ALL],2)/hlookup($A109,표4[#ALL],row(),false)</f>
        <v>0</v>
      </c>
      <c r="AO109" s="359">
        <f>CS_PID!AO109/VLOOKUP($B109,표2[#ALL],2)/hlookup($A109,표4[#ALL],row(),false)</f>
        <v>0</v>
      </c>
      <c r="AP109" s="359">
        <f>CS_PID!AP109/VLOOKUP($B109,표2[#ALL],2)/hlookup($A109,표4[#ALL],row(),false)</f>
        <v>0</v>
      </c>
      <c r="AQ109" s="359">
        <f>CS_PID!AQ109/VLOOKUP($B109,표2[#ALL],2)/hlookup($A109,표4[#ALL],row(),false)</f>
        <v>0</v>
      </c>
      <c r="AR109" s="359">
        <f>CS_PID!AR109/VLOOKUP($B109,표2[#ALL],2)/hlookup($A109,표4[#ALL],row(),false)</f>
        <v>0</v>
      </c>
      <c r="AS109" s="359">
        <f>CS_PID!AS109/VLOOKUP($B109,표2[#ALL],2)/hlookup($A109,표4[#ALL],row(),false)</f>
        <v>0</v>
      </c>
    </row>
    <row r="110">
      <c r="A110" s="173" t="s">
        <v>126</v>
      </c>
      <c r="B110" s="178">
        <v>384.0</v>
      </c>
      <c r="C110" s="359" t="str">
        <f>CS_PID!C110/VLOOKUP($B110,표2[#ALL],2)/hlookup($A110,표4[#ALL],row(),false)</f>
        <v>#DIV/0!</v>
      </c>
      <c r="D110" s="359" t="str">
        <f>CS_PID!D110/VLOOKUP($B110,표2[#ALL],2)/hlookup($A110,표4[#ALL],row(),false)</f>
        <v>#DIV/0!</v>
      </c>
      <c r="E110" s="359" t="str">
        <f>CS_PID!E110/VLOOKUP($B110,표2[#ALL],2)/hlookup($A110,표4[#ALL],row(),false)</f>
        <v>#DIV/0!</v>
      </c>
      <c r="F110" s="359" t="str">
        <f>CS_PID!F110/VLOOKUP($B110,표2[#ALL],2)/hlookup($A110,표4[#ALL],row(),false)</f>
        <v>#DIV/0!</v>
      </c>
      <c r="G110" s="359" t="str">
        <f>CS_PID!G110/VLOOKUP($B110,표2[#ALL],2)/hlookup($A110,표4[#ALL],row(),false)</f>
        <v>#DIV/0!</v>
      </c>
      <c r="H110" s="359" t="str">
        <f>CS_PID!H110/VLOOKUP($B110,표2[#ALL],2)/hlookup($A110,표4[#ALL],row(),false)</f>
        <v>#DIV/0!</v>
      </c>
      <c r="I110" s="359" t="str">
        <f>CS_PID!I110/VLOOKUP($B110,표2[#ALL],2)/hlookup($A110,표4[#ALL],row(),false)</f>
        <v>#DIV/0!</v>
      </c>
      <c r="J110" s="359" t="str">
        <f>CS_PID!J110/VLOOKUP($B110,표2[#ALL],2)/hlookup($A110,표4[#ALL],row(),false)</f>
        <v>#DIV/0!</v>
      </c>
      <c r="K110" s="359" t="str">
        <f>CS_PID!K110/VLOOKUP($B110,표2[#ALL],2)/hlookup($A110,표4[#ALL],row(),false)</f>
        <v>#DIV/0!</v>
      </c>
      <c r="L110" s="359" t="str">
        <f>CS_PID!L110/VLOOKUP($B110,표2[#ALL],2)/hlookup($A110,표4[#ALL],row(),false)</f>
        <v>#DIV/0!</v>
      </c>
      <c r="M110" s="359" t="str">
        <f>CS_PID!M110/VLOOKUP($B110,표2[#ALL],2)/hlookup($A110,표4[#ALL],row(),false)</f>
        <v>#DIV/0!</v>
      </c>
      <c r="N110" s="359" t="str">
        <f>CS_PID!N110/VLOOKUP($B110,표2[#ALL],2)/hlookup($A110,표4[#ALL],row(),false)</f>
        <v>#DIV/0!</v>
      </c>
      <c r="O110" s="359" t="str">
        <f>CS_PID!O110/VLOOKUP($B110,표2[#ALL],2)/hlookup($A110,표4[#ALL],row(),false)</f>
        <v>#DIV/0!</v>
      </c>
      <c r="P110" s="359" t="str">
        <f>CS_PID!P110/VLOOKUP($B110,표2[#ALL],2)/hlookup($A110,표4[#ALL],row(),false)</f>
        <v>#DIV/0!</v>
      </c>
      <c r="Q110" s="359" t="str">
        <f>CS_PID!Q110/VLOOKUP($B110,표2[#ALL],2)/hlookup($A110,표4[#ALL],row(),false)</f>
        <v>#DIV/0!</v>
      </c>
      <c r="R110" s="359" t="str">
        <f>CS_PID!R110/VLOOKUP($B110,표2[#ALL],2)/hlookup($A110,표4[#ALL],row(),false)</f>
        <v>#DIV/0!</v>
      </c>
      <c r="S110" s="359" t="str">
        <f>CS_PID!S110/VLOOKUP($B110,표2[#ALL],2)/hlookup($A110,표4[#ALL],row(),false)</f>
        <v>#DIV/0!</v>
      </c>
      <c r="T110" s="359" t="str">
        <f>CS_PID!T110/VLOOKUP($B110,표2[#ALL],2)/hlookup($A110,표4[#ALL],row(),false)</f>
        <v>#DIV/0!</v>
      </c>
      <c r="U110" s="359" t="str">
        <f>CS_PID!U110/VLOOKUP($B110,표2[#ALL],2)/hlookup($A110,표4[#ALL],row(),false)</f>
        <v>#DIV/0!</v>
      </c>
      <c r="V110" s="359" t="str">
        <f>CS_PID!V110/VLOOKUP($B110,표2[#ALL],2)/hlookup($A110,표4[#ALL],row(),false)</f>
        <v>#DIV/0!</v>
      </c>
      <c r="W110" s="359" t="str">
        <f>CS_PID!W110/VLOOKUP($B110,표2[#ALL],2)/hlookup($A110,표4[#ALL],row(),false)</f>
        <v>#DIV/0!</v>
      </c>
      <c r="X110" s="359" t="str">
        <f>CS_PID!X110/VLOOKUP($B110,표2[#ALL],2)/hlookup($A110,표4[#ALL],row(),false)</f>
        <v>#DIV/0!</v>
      </c>
      <c r="Y110" s="359" t="str">
        <f>CS_PID!Y110/VLOOKUP($B110,표2[#ALL],2)/hlookup($A110,표4[#ALL],row(),false)</f>
        <v>#DIV/0!</v>
      </c>
      <c r="Z110" s="359" t="str">
        <f>CS_PID!Z110/VLOOKUP($B110,표2[#ALL],2)/hlookup($A110,표4[#ALL],row(),false)</f>
        <v>#DIV/0!</v>
      </c>
      <c r="AA110" s="359" t="str">
        <f>CS_PID!AA110/VLOOKUP($B110,표2[#ALL],2)/hlookup($A110,표4[#ALL],row(),false)</f>
        <v>#DIV/0!</v>
      </c>
      <c r="AB110" s="359" t="str">
        <f>CS_PID!AB110/VLOOKUP($B110,표2[#ALL],2)/hlookup($A110,표4[#ALL],row(),false)</f>
        <v>#DIV/0!</v>
      </c>
      <c r="AC110" s="359" t="str">
        <f>CS_PID!AC110/VLOOKUP($B110,표2[#ALL],2)/hlookup($A110,표4[#ALL],row(),false)</f>
        <v>#DIV/0!</v>
      </c>
      <c r="AD110" s="359" t="str">
        <f>CS_PID!AD110/VLOOKUP($B110,표2[#ALL],2)/hlookup($A110,표4[#ALL],row(),false)</f>
        <v>#DIV/0!</v>
      </c>
      <c r="AE110" s="359" t="str">
        <f>CS_PID!AE110/VLOOKUP($B110,표2[#ALL],2)/hlookup($A110,표4[#ALL],row(),false)</f>
        <v>#DIV/0!</v>
      </c>
      <c r="AF110" s="359" t="str">
        <f>CS_PID!AF110/VLOOKUP($B110,표2[#ALL],2)/hlookup($A110,표4[#ALL],row(),false)</f>
        <v>#DIV/0!</v>
      </c>
      <c r="AG110" s="359" t="str">
        <f>CS_PID!AG110/VLOOKUP($B110,표2[#ALL],2)/hlookup($A110,표4[#ALL],row(),false)</f>
        <v>#DIV/0!</v>
      </c>
      <c r="AH110" s="359" t="str">
        <f>CS_PID!AH110/VLOOKUP($B110,표2[#ALL],2)/hlookup($A110,표4[#ALL],row(),false)</f>
        <v>#DIV/0!</v>
      </c>
      <c r="AI110" s="359" t="str">
        <f>CS_PID!AI110/VLOOKUP($B110,표2[#ALL],2)/hlookup($A110,표4[#ALL],row(),false)</f>
        <v>#DIV/0!</v>
      </c>
      <c r="AJ110" s="359" t="str">
        <f>CS_PID!AJ110/VLOOKUP($B110,표2[#ALL],2)/hlookup($A110,표4[#ALL],row(),false)</f>
        <v>#DIV/0!</v>
      </c>
      <c r="AK110" s="359" t="str">
        <f>CS_PID!AK110/VLOOKUP($B110,표2[#ALL],2)/hlookup($A110,표4[#ALL],row(),false)</f>
        <v>#DIV/0!</v>
      </c>
      <c r="AL110" s="359" t="str">
        <f>CS_PID!AL110/VLOOKUP($B110,표2[#ALL],2)/hlookup($A110,표4[#ALL],row(),false)</f>
        <v>#DIV/0!</v>
      </c>
      <c r="AM110" s="359" t="str">
        <f>CS_PID!AM110/VLOOKUP($B110,표2[#ALL],2)/hlookup($A110,표4[#ALL],row(),false)</f>
        <v>#DIV/0!</v>
      </c>
      <c r="AN110" s="359" t="str">
        <f>CS_PID!AN110/VLOOKUP($B110,표2[#ALL],2)/hlookup($A110,표4[#ALL],row(),false)</f>
        <v>#DIV/0!</v>
      </c>
      <c r="AO110" s="359" t="str">
        <f>CS_PID!AO110/VLOOKUP($B110,표2[#ALL],2)/hlookup($A110,표4[#ALL],row(),false)</f>
        <v>#DIV/0!</v>
      </c>
      <c r="AP110" s="359" t="str">
        <f>CS_PID!AP110/VLOOKUP($B110,표2[#ALL],2)/hlookup($A110,표4[#ALL],row(),false)</f>
        <v>#DIV/0!</v>
      </c>
      <c r="AQ110" s="359" t="str">
        <f>CS_PID!AQ110/VLOOKUP($B110,표2[#ALL],2)/hlookup($A110,표4[#ALL],row(),false)</f>
        <v>#DIV/0!</v>
      </c>
      <c r="AR110" s="359" t="str">
        <f>CS_PID!AR110/VLOOKUP($B110,표2[#ALL],2)/hlookup($A110,표4[#ALL],row(),false)</f>
        <v>#DIV/0!</v>
      </c>
      <c r="AS110" s="359" t="str">
        <f>CS_PID!AS110/VLOOKUP($B110,표2[#ALL],2)/hlookup($A110,표4[#ALL],row(),false)</f>
        <v>#DIV/0!</v>
      </c>
    </row>
    <row r="111">
      <c r="A111" s="173" t="s">
        <v>126</v>
      </c>
      <c r="B111" s="178">
        <v>385.0</v>
      </c>
      <c r="C111" s="359">
        <f>CS_PID!C111/VLOOKUP($B111,표2[#ALL],2)/hlookup($A111,표4[#ALL],row(),false)</f>
        <v>0</v>
      </c>
      <c r="D111" s="359">
        <f>CS_PID!D111/VLOOKUP($B111,표2[#ALL],2)/hlookup($A111,표4[#ALL],row(),false)</f>
        <v>0</v>
      </c>
      <c r="E111" s="359">
        <f>CS_PID!E111/VLOOKUP($B111,표2[#ALL],2)/hlookup($A111,표4[#ALL],row(),false)</f>
        <v>0.09090909091</v>
      </c>
      <c r="F111" s="359">
        <f>CS_PID!F111/VLOOKUP($B111,표2[#ALL],2)/hlookup($A111,표4[#ALL],row(),false)</f>
        <v>0.8181818182</v>
      </c>
      <c r="G111" s="359">
        <f>CS_PID!G111/VLOOKUP($B111,표2[#ALL],2)/hlookup($A111,표4[#ALL],row(),false)</f>
        <v>0</v>
      </c>
      <c r="H111" s="359">
        <f>CS_PID!H111/VLOOKUP($B111,표2[#ALL],2)/hlookup($A111,표4[#ALL],row(),false)</f>
        <v>0</v>
      </c>
      <c r="I111" s="359">
        <f>CS_PID!I111/VLOOKUP($B111,표2[#ALL],2)/hlookup($A111,표4[#ALL],row(),false)</f>
        <v>0</v>
      </c>
      <c r="J111" s="359">
        <f>CS_PID!J111/VLOOKUP($B111,표2[#ALL],2)/hlookup($A111,표4[#ALL],row(),false)</f>
        <v>0.09090909091</v>
      </c>
      <c r="K111" s="359">
        <f>CS_PID!K111/VLOOKUP($B111,표2[#ALL],2)/hlookup($A111,표4[#ALL],row(),false)</f>
        <v>1</v>
      </c>
      <c r="L111" s="359">
        <f>CS_PID!L111/VLOOKUP($B111,표2[#ALL],2)/hlookup($A111,표4[#ALL],row(),false)</f>
        <v>1</v>
      </c>
      <c r="M111" s="359">
        <f>CS_PID!M111/VLOOKUP($B111,표2[#ALL],2)/hlookup($A111,표4[#ALL],row(),false)</f>
        <v>0.09090909091</v>
      </c>
      <c r="N111" s="359">
        <f>CS_PID!N111/VLOOKUP($B111,표2[#ALL],2)/hlookup($A111,표4[#ALL],row(),false)</f>
        <v>0</v>
      </c>
      <c r="O111" s="359">
        <f>CS_PID!O111/VLOOKUP($B111,표2[#ALL],2)/hlookup($A111,표4[#ALL],row(),false)</f>
        <v>0</v>
      </c>
      <c r="P111" s="359">
        <f>CS_PID!P111/VLOOKUP($B111,표2[#ALL],2)/hlookup($A111,표4[#ALL],row(),false)</f>
        <v>0</v>
      </c>
      <c r="Q111" s="359">
        <f>CS_PID!Q111/VLOOKUP($B111,표2[#ALL],2)/hlookup($A111,표4[#ALL],row(),false)</f>
        <v>0.4545454545</v>
      </c>
      <c r="R111" s="359">
        <f>CS_PID!R111/VLOOKUP($B111,표2[#ALL],2)/hlookup($A111,표4[#ALL],row(),false)</f>
        <v>0.2727272727</v>
      </c>
      <c r="S111" s="359">
        <f>CS_PID!S111/VLOOKUP($B111,표2[#ALL],2)/hlookup($A111,표4[#ALL],row(),false)</f>
        <v>0</v>
      </c>
      <c r="T111" s="359">
        <f>CS_PID!T111/VLOOKUP($B111,표2[#ALL],2)/hlookup($A111,표4[#ALL],row(),false)</f>
        <v>0</v>
      </c>
      <c r="U111" s="359">
        <f>CS_PID!U111/VLOOKUP($B111,표2[#ALL],2)/hlookup($A111,표4[#ALL],row(),false)</f>
        <v>0</v>
      </c>
      <c r="V111" s="359">
        <f>CS_PID!V111/VLOOKUP($B111,표2[#ALL],2)/hlookup($A111,표4[#ALL],row(),false)</f>
        <v>0</v>
      </c>
      <c r="W111" s="359">
        <f>CS_PID!W111/VLOOKUP($B111,표2[#ALL],2)/hlookup($A111,표4[#ALL],row(),false)</f>
        <v>0</v>
      </c>
      <c r="X111" s="359">
        <f>CS_PID!X111/VLOOKUP($B111,표2[#ALL],2)/hlookup($A111,표4[#ALL],row(),false)</f>
        <v>0.5454545455</v>
      </c>
      <c r="Y111" s="359">
        <f>CS_PID!Y111/VLOOKUP($B111,표2[#ALL],2)/hlookup($A111,표4[#ALL],row(),false)</f>
        <v>0</v>
      </c>
      <c r="Z111" s="359">
        <f>CS_PID!Z111/VLOOKUP($B111,표2[#ALL],2)/hlookup($A111,표4[#ALL],row(),false)</f>
        <v>0</v>
      </c>
      <c r="AA111" s="359">
        <f>CS_PID!AA111/VLOOKUP($B111,표2[#ALL],2)/hlookup($A111,표4[#ALL],row(),false)</f>
        <v>0</v>
      </c>
      <c r="AB111" s="359">
        <f>CS_PID!AB111/VLOOKUP($B111,표2[#ALL],2)/hlookup($A111,표4[#ALL],row(),false)</f>
        <v>0</v>
      </c>
      <c r="AC111" s="359">
        <f>CS_PID!AC111/VLOOKUP($B111,표2[#ALL],2)/hlookup($A111,표4[#ALL],row(),false)</f>
        <v>0.09090909091</v>
      </c>
      <c r="AD111" s="359">
        <f>CS_PID!AD111/VLOOKUP($B111,표2[#ALL],2)/hlookup($A111,표4[#ALL],row(),false)</f>
        <v>0.1818181818</v>
      </c>
      <c r="AE111" s="359">
        <f>CS_PID!AE111/VLOOKUP($B111,표2[#ALL],2)/hlookup($A111,표4[#ALL],row(),false)</f>
        <v>0</v>
      </c>
      <c r="AF111" s="359">
        <f>CS_PID!AF111/VLOOKUP($B111,표2[#ALL],2)/hlookup($A111,표4[#ALL],row(),false)</f>
        <v>0</v>
      </c>
      <c r="AG111" s="359">
        <f>CS_PID!AG111/VLOOKUP($B111,표2[#ALL],2)/hlookup($A111,표4[#ALL],row(),false)</f>
        <v>0</v>
      </c>
      <c r="AH111" s="359">
        <f>CS_PID!AH111/VLOOKUP($B111,표2[#ALL],2)/hlookup($A111,표4[#ALL],row(),false)</f>
        <v>0</v>
      </c>
      <c r="AI111" s="359">
        <f>CS_PID!AI111/VLOOKUP($B111,표2[#ALL],2)/hlookup($A111,표4[#ALL],row(),false)</f>
        <v>0</v>
      </c>
      <c r="AJ111" s="359">
        <f>CS_PID!AJ111/VLOOKUP($B111,표2[#ALL],2)/hlookup($A111,표4[#ALL],row(),false)</f>
        <v>0.09090909091</v>
      </c>
      <c r="AK111" s="359">
        <f>CS_PID!AK111/VLOOKUP($B111,표2[#ALL],2)/hlookup($A111,표4[#ALL],row(),false)</f>
        <v>0</v>
      </c>
      <c r="AL111" s="359">
        <f>CS_PID!AL111/VLOOKUP($B111,표2[#ALL],2)/hlookup($A111,표4[#ALL],row(),false)</f>
        <v>0</v>
      </c>
      <c r="AM111" s="359">
        <f>CS_PID!AM111/VLOOKUP($B111,표2[#ALL],2)/hlookup($A111,표4[#ALL],row(),false)</f>
        <v>0</v>
      </c>
      <c r="AN111" s="359">
        <f>CS_PID!AN111/VLOOKUP($B111,표2[#ALL],2)/hlookup($A111,표4[#ALL],row(),false)</f>
        <v>0</v>
      </c>
      <c r="AO111" s="359">
        <f>CS_PID!AO111/VLOOKUP($B111,표2[#ALL],2)/hlookup($A111,표4[#ALL],row(),false)</f>
        <v>0</v>
      </c>
      <c r="AP111" s="359">
        <f>CS_PID!AP111/VLOOKUP($B111,표2[#ALL],2)/hlookup($A111,표4[#ALL],row(),false)</f>
        <v>0</v>
      </c>
      <c r="AQ111" s="359">
        <f>CS_PID!AQ111/VLOOKUP($B111,표2[#ALL],2)/hlookup($A111,표4[#ALL],row(),false)</f>
        <v>0</v>
      </c>
      <c r="AR111" s="359">
        <f>CS_PID!AR111/VLOOKUP($B111,표2[#ALL],2)/hlookup($A111,표4[#ALL],row(),false)</f>
        <v>0</v>
      </c>
      <c r="AS111" s="359">
        <f>CS_PID!AS111/VLOOKUP($B111,표2[#ALL],2)/hlookup($A111,표4[#ALL],row(),false)</f>
        <v>0</v>
      </c>
    </row>
    <row r="112">
      <c r="A112" s="173" t="s">
        <v>126</v>
      </c>
      <c r="B112" s="178">
        <v>386.0</v>
      </c>
      <c r="C112" s="359">
        <f>CS_PID!C112/VLOOKUP($B112,표2[#ALL],2)/hlookup($A112,표4[#ALL],row(),false)</f>
        <v>0</v>
      </c>
      <c r="D112" s="359">
        <f>CS_PID!D112/VLOOKUP($B112,표2[#ALL],2)/hlookup($A112,표4[#ALL],row(),false)</f>
        <v>0</v>
      </c>
      <c r="E112" s="359">
        <f>CS_PID!E112/VLOOKUP($B112,표2[#ALL],2)/hlookup($A112,표4[#ALL],row(),false)</f>
        <v>0.05</v>
      </c>
      <c r="F112" s="359">
        <f>CS_PID!F112/VLOOKUP($B112,표2[#ALL],2)/hlookup($A112,표4[#ALL],row(),false)</f>
        <v>0.55</v>
      </c>
      <c r="G112" s="359">
        <f>CS_PID!G112/VLOOKUP($B112,표2[#ALL],2)/hlookup($A112,표4[#ALL],row(),false)</f>
        <v>0.1</v>
      </c>
      <c r="H112" s="359">
        <f>CS_PID!H112/VLOOKUP($B112,표2[#ALL],2)/hlookup($A112,표4[#ALL],row(),false)</f>
        <v>0</v>
      </c>
      <c r="I112" s="359">
        <f>CS_PID!I112/VLOOKUP($B112,표2[#ALL],2)/hlookup($A112,표4[#ALL],row(),false)</f>
        <v>0</v>
      </c>
      <c r="J112" s="359">
        <f>CS_PID!J112/VLOOKUP($B112,표2[#ALL],2)/hlookup($A112,표4[#ALL],row(),false)</f>
        <v>0.05</v>
      </c>
      <c r="K112" s="359">
        <f>CS_PID!K112/VLOOKUP($B112,표2[#ALL],2)/hlookup($A112,표4[#ALL],row(),false)</f>
        <v>1</v>
      </c>
      <c r="L112" s="359">
        <f>CS_PID!L112/VLOOKUP($B112,표2[#ALL],2)/hlookup($A112,표4[#ALL],row(),false)</f>
        <v>0.75</v>
      </c>
      <c r="M112" s="359">
        <f>CS_PID!M112/VLOOKUP($B112,표2[#ALL],2)/hlookup($A112,표4[#ALL],row(),false)</f>
        <v>0.05</v>
      </c>
      <c r="N112" s="359">
        <f>CS_PID!N112/VLOOKUP($B112,표2[#ALL],2)/hlookup($A112,표4[#ALL],row(),false)</f>
        <v>0</v>
      </c>
      <c r="O112" s="359">
        <f>CS_PID!O112/VLOOKUP($B112,표2[#ALL],2)/hlookup($A112,표4[#ALL],row(),false)</f>
        <v>0</v>
      </c>
      <c r="P112" s="359">
        <f>CS_PID!P112/VLOOKUP($B112,표2[#ALL],2)/hlookup($A112,표4[#ALL],row(),false)</f>
        <v>0</v>
      </c>
      <c r="Q112" s="359">
        <f>CS_PID!Q112/VLOOKUP($B112,표2[#ALL],2)/hlookup($A112,표4[#ALL],row(),false)</f>
        <v>0.6</v>
      </c>
      <c r="R112" s="359">
        <f>CS_PID!R112/VLOOKUP($B112,표2[#ALL],2)/hlookup($A112,표4[#ALL],row(),false)</f>
        <v>0.5</v>
      </c>
      <c r="S112" s="359">
        <f>CS_PID!S112/VLOOKUP($B112,표2[#ALL],2)/hlookup($A112,표4[#ALL],row(),false)</f>
        <v>0.15</v>
      </c>
      <c r="T112" s="359">
        <f>CS_PID!T112/VLOOKUP($B112,표2[#ALL],2)/hlookup($A112,표4[#ALL],row(),false)</f>
        <v>0</v>
      </c>
      <c r="U112" s="359">
        <f>CS_PID!U112/VLOOKUP($B112,표2[#ALL],2)/hlookup($A112,표4[#ALL],row(),false)</f>
        <v>0</v>
      </c>
      <c r="V112" s="359">
        <f>CS_PID!V112/VLOOKUP($B112,표2[#ALL],2)/hlookup($A112,표4[#ALL],row(),false)</f>
        <v>0.05</v>
      </c>
      <c r="W112" s="359">
        <f>CS_PID!W112/VLOOKUP($B112,표2[#ALL],2)/hlookup($A112,표4[#ALL],row(),false)</f>
        <v>0.15</v>
      </c>
      <c r="X112" s="359">
        <f>CS_PID!X112/VLOOKUP($B112,표2[#ALL],2)/hlookup($A112,표4[#ALL],row(),false)</f>
        <v>0.8</v>
      </c>
      <c r="Y112" s="359">
        <f>CS_PID!Y112/VLOOKUP($B112,표2[#ALL],2)/hlookup($A112,표4[#ALL],row(),false)</f>
        <v>0.1</v>
      </c>
      <c r="Z112" s="359">
        <f>CS_PID!Z112/VLOOKUP($B112,표2[#ALL],2)/hlookup($A112,표4[#ALL],row(),false)</f>
        <v>0</v>
      </c>
      <c r="AA112" s="359">
        <f>CS_PID!AA112/VLOOKUP($B112,표2[#ALL],2)/hlookup($A112,표4[#ALL],row(),false)</f>
        <v>0</v>
      </c>
      <c r="AB112" s="359">
        <f>CS_PID!AB112/VLOOKUP($B112,표2[#ALL],2)/hlookup($A112,표4[#ALL],row(),false)</f>
        <v>0</v>
      </c>
      <c r="AC112" s="359">
        <f>CS_PID!AC112/VLOOKUP($B112,표2[#ALL],2)/hlookup($A112,표4[#ALL],row(),false)</f>
        <v>0.15</v>
      </c>
      <c r="AD112" s="359">
        <f>CS_PID!AD112/VLOOKUP($B112,표2[#ALL],2)/hlookup($A112,표4[#ALL],row(),false)</f>
        <v>0.4</v>
      </c>
      <c r="AE112" s="359">
        <f>CS_PID!AE112/VLOOKUP($B112,표2[#ALL],2)/hlookup($A112,표4[#ALL],row(),false)</f>
        <v>0.05</v>
      </c>
      <c r="AF112" s="359">
        <f>CS_PID!AF112/VLOOKUP($B112,표2[#ALL],2)/hlookup($A112,표4[#ALL],row(),false)</f>
        <v>0</v>
      </c>
      <c r="AG112" s="359">
        <f>CS_PID!AG112/VLOOKUP($B112,표2[#ALL],2)/hlookup($A112,표4[#ALL],row(),false)</f>
        <v>0</v>
      </c>
      <c r="AH112" s="359">
        <f>CS_PID!AH112/VLOOKUP($B112,표2[#ALL],2)/hlookup($A112,표4[#ALL],row(),false)</f>
        <v>0</v>
      </c>
      <c r="AI112" s="359">
        <f>CS_PID!AI112/VLOOKUP($B112,표2[#ALL],2)/hlookup($A112,표4[#ALL],row(),false)</f>
        <v>0.05</v>
      </c>
      <c r="AJ112" s="359">
        <f>CS_PID!AJ112/VLOOKUP($B112,표2[#ALL],2)/hlookup($A112,표4[#ALL],row(),false)</f>
        <v>0.15</v>
      </c>
      <c r="AK112" s="359">
        <f>CS_PID!AK112/VLOOKUP($B112,표2[#ALL],2)/hlookup($A112,표4[#ALL],row(),false)</f>
        <v>0</v>
      </c>
      <c r="AL112" s="359">
        <f>CS_PID!AL112/VLOOKUP($B112,표2[#ALL],2)/hlookup($A112,표4[#ALL],row(),false)</f>
        <v>0</v>
      </c>
      <c r="AM112" s="359">
        <f>CS_PID!AM112/VLOOKUP($B112,표2[#ALL],2)/hlookup($A112,표4[#ALL],row(),false)</f>
        <v>0</v>
      </c>
      <c r="AN112" s="359">
        <f>CS_PID!AN112/VLOOKUP($B112,표2[#ALL],2)/hlookup($A112,표4[#ALL],row(),false)</f>
        <v>0</v>
      </c>
      <c r="AO112" s="359">
        <f>CS_PID!AO112/VLOOKUP($B112,표2[#ALL],2)/hlookup($A112,표4[#ALL],row(),false)</f>
        <v>0.05</v>
      </c>
      <c r="AP112" s="359">
        <f>CS_PID!AP112/VLOOKUP($B112,표2[#ALL],2)/hlookup($A112,표4[#ALL],row(),false)</f>
        <v>0</v>
      </c>
      <c r="AQ112" s="359">
        <f>CS_PID!AQ112/VLOOKUP($B112,표2[#ALL],2)/hlookup($A112,표4[#ALL],row(),false)</f>
        <v>0</v>
      </c>
      <c r="AR112" s="359">
        <f>CS_PID!AR112/VLOOKUP($B112,표2[#ALL],2)/hlookup($A112,표4[#ALL],row(),false)</f>
        <v>0</v>
      </c>
      <c r="AS112" s="359">
        <f>CS_PID!AS112/VLOOKUP($B112,표2[#ALL],2)/hlookup($A112,표4[#ALL],row(),false)</f>
        <v>0</v>
      </c>
    </row>
    <row r="113">
      <c r="A113" s="173" t="s">
        <v>126</v>
      </c>
      <c r="B113" s="178">
        <v>387.0</v>
      </c>
      <c r="C113" s="359">
        <f>CS_PID!C113/VLOOKUP($B113,표2[#ALL],2)/hlookup($A113,표4[#ALL],row(),false)</f>
        <v>0</v>
      </c>
      <c r="D113" s="359">
        <f>CS_PID!D113/VLOOKUP($B113,표2[#ALL],2)/hlookup($A113,표4[#ALL],row(),false)</f>
        <v>0</v>
      </c>
      <c r="E113" s="359">
        <f>CS_PID!E113/VLOOKUP($B113,표2[#ALL],2)/hlookup($A113,표4[#ALL],row(),false)</f>
        <v>0</v>
      </c>
      <c r="F113" s="359">
        <f>CS_PID!F113/VLOOKUP($B113,표2[#ALL],2)/hlookup($A113,표4[#ALL],row(),false)</f>
        <v>0.6</v>
      </c>
      <c r="G113" s="359">
        <f>CS_PID!G113/VLOOKUP($B113,표2[#ALL],2)/hlookup($A113,표4[#ALL],row(),false)</f>
        <v>0.2</v>
      </c>
      <c r="H113" s="359">
        <f>CS_PID!H113/VLOOKUP($B113,표2[#ALL],2)/hlookup($A113,표4[#ALL],row(),false)</f>
        <v>0</v>
      </c>
      <c r="I113" s="359">
        <f>CS_PID!I113/VLOOKUP($B113,표2[#ALL],2)/hlookup($A113,표4[#ALL],row(),false)</f>
        <v>0</v>
      </c>
      <c r="J113" s="359">
        <f>CS_PID!J113/VLOOKUP($B113,표2[#ALL],2)/hlookup($A113,표4[#ALL],row(),false)</f>
        <v>0.4</v>
      </c>
      <c r="K113" s="359">
        <f>CS_PID!K113/VLOOKUP($B113,표2[#ALL],2)/hlookup($A113,표4[#ALL],row(),false)</f>
        <v>1</v>
      </c>
      <c r="L113" s="359">
        <f>CS_PID!L113/VLOOKUP($B113,표2[#ALL],2)/hlookup($A113,표4[#ALL],row(),false)</f>
        <v>0.5</v>
      </c>
      <c r="M113" s="359">
        <f>CS_PID!M113/VLOOKUP($B113,표2[#ALL],2)/hlookup($A113,표4[#ALL],row(),false)</f>
        <v>0</v>
      </c>
      <c r="N113" s="359">
        <f>CS_PID!N113/VLOOKUP($B113,표2[#ALL],2)/hlookup($A113,표4[#ALL],row(),false)</f>
        <v>0</v>
      </c>
      <c r="O113" s="359">
        <f>CS_PID!O113/VLOOKUP($B113,표2[#ALL],2)/hlookup($A113,표4[#ALL],row(),false)</f>
        <v>0</v>
      </c>
      <c r="P113" s="359">
        <f>CS_PID!P113/VLOOKUP($B113,표2[#ALL],2)/hlookup($A113,표4[#ALL],row(),false)</f>
        <v>0.1</v>
      </c>
      <c r="Q113" s="359">
        <f>CS_PID!Q113/VLOOKUP($B113,표2[#ALL],2)/hlookup($A113,표4[#ALL],row(),false)</f>
        <v>0.5</v>
      </c>
      <c r="R113" s="359">
        <f>CS_PID!R113/VLOOKUP($B113,표2[#ALL],2)/hlookup($A113,표4[#ALL],row(),false)</f>
        <v>0.5</v>
      </c>
      <c r="S113" s="359">
        <f>CS_PID!S113/VLOOKUP($B113,표2[#ALL],2)/hlookup($A113,표4[#ALL],row(),false)</f>
        <v>0.1</v>
      </c>
      <c r="T113" s="359">
        <f>CS_PID!T113/VLOOKUP($B113,표2[#ALL],2)/hlookup($A113,표4[#ALL],row(),false)</f>
        <v>0</v>
      </c>
      <c r="U113" s="359">
        <f>CS_PID!U113/VLOOKUP($B113,표2[#ALL],2)/hlookup($A113,표4[#ALL],row(),false)</f>
        <v>0</v>
      </c>
      <c r="V113" s="359">
        <f>CS_PID!V113/VLOOKUP($B113,표2[#ALL],2)/hlookup($A113,표4[#ALL],row(),false)</f>
        <v>0</v>
      </c>
      <c r="W113" s="359">
        <f>CS_PID!W113/VLOOKUP($B113,표2[#ALL],2)/hlookup($A113,표4[#ALL],row(),false)</f>
        <v>0.2</v>
      </c>
      <c r="X113" s="359">
        <f>CS_PID!X113/VLOOKUP($B113,표2[#ALL],2)/hlookup($A113,표4[#ALL],row(),false)</f>
        <v>0.7</v>
      </c>
      <c r="Y113" s="359">
        <f>CS_PID!Y113/VLOOKUP($B113,표2[#ALL],2)/hlookup($A113,표4[#ALL],row(),false)</f>
        <v>0.1</v>
      </c>
      <c r="Z113" s="359">
        <f>CS_PID!Z113/VLOOKUP($B113,표2[#ALL],2)/hlookup($A113,표4[#ALL],row(),false)</f>
        <v>0</v>
      </c>
      <c r="AA113" s="359">
        <f>CS_PID!AA113/VLOOKUP($B113,표2[#ALL],2)/hlookup($A113,표4[#ALL],row(),false)</f>
        <v>0</v>
      </c>
      <c r="AB113" s="359">
        <f>CS_PID!AB113/VLOOKUP($B113,표2[#ALL],2)/hlookup($A113,표4[#ALL],row(),false)</f>
        <v>0</v>
      </c>
      <c r="AC113" s="359">
        <f>CS_PID!AC113/VLOOKUP($B113,표2[#ALL],2)/hlookup($A113,표4[#ALL],row(),false)</f>
        <v>0</v>
      </c>
      <c r="AD113" s="359">
        <f>CS_PID!AD113/VLOOKUP($B113,표2[#ALL],2)/hlookup($A113,표4[#ALL],row(),false)</f>
        <v>0.2</v>
      </c>
      <c r="AE113" s="359">
        <f>CS_PID!AE113/VLOOKUP($B113,표2[#ALL],2)/hlookup($A113,표4[#ALL],row(),false)</f>
        <v>0.1</v>
      </c>
      <c r="AF113" s="359">
        <f>CS_PID!AF113/VLOOKUP($B113,표2[#ALL],2)/hlookup($A113,표4[#ALL],row(),false)</f>
        <v>0</v>
      </c>
      <c r="AG113" s="359">
        <f>CS_PID!AG113/VLOOKUP($B113,표2[#ALL],2)/hlookup($A113,표4[#ALL],row(),false)</f>
        <v>0</v>
      </c>
      <c r="AH113" s="359">
        <f>CS_PID!AH113/VLOOKUP($B113,표2[#ALL],2)/hlookup($A113,표4[#ALL],row(),false)</f>
        <v>0</v>
      </c>
      <c r="AI113" s="359">
        <f>CS_PID!AI113/VLOOKUP($B113,표2[#ALL],2)/hlookup($A113,표4[#ALL],row(),false)</f>
        <v>0</v>
      </c>
      <c r="AJ113" s="359">
        <f>CS_PID!AJ113/VLOOKUP($B113,표2[#ALL],2)/hlookup($A113,표4[#ALL],row(),false)</f>
        <v>0.3</v>
      </c>
      <c r="AK113" s="359">
        <f>CS_PID!AK113/VLOOKUP($B113,표2[#ALL],2)/hlookup($A113,표4[#ALL],row(),false)</f>
        <v>0</v>
      </c>
      <c r="AL113" s="359">
        <f>CS_PID!AL113/VLOOKUP($B113,표2[#ALL],2)/hlookup($A113,표4[#ALL],row(),false)</f>
        <v>0</v>
      </c>
      <c r="AM113" s="359">
        <f>CS_PID!AM113/VLOOKUP($B113,표2[#ALL],2)/hlookup($A113,표4[#ALL],row(),false)</f>
        <v>0</v>
      </c>
      <c r="AN113" s="359">
        <f>CS_PID!AN113/VLOOKUP($B113,표2[#ALL],2)/hlookup($A113,표4[#ALL],row(),false)</f>
        <v>0</v>
      </c>
      <c r="AO113" s="359">
        <f>CS_PID!AO113/VLOOKUP($B113,표2[#ALL],2)/hlookup($A113,표4[#ALL],row(),false)</f>
        <v>0</v>
      </c>
      <c r="AP113" s="359">
        <f>CS_PID!AP113/VLOOKUP($B113,표2[#ALL],2)/hlookup($A113,표4[#ALL],row(),false)</f>
        <v>0</v>
      </c>
      <c r="AQ113" s="359">
        <f>CS_PID!AQ113/VLOOKUP($B113,표2[#ALL],2)/hlookup($A113,표4[#ALL],row(),false)</f>
        <v>0</v>
      </c>
      <c r="AR113" s="359">
        <f>CS_PID!AR113/VLOOKUP($B113,표2[#ALL],2)/hlookup($A113,표4[#ALL],row(),false)</f>
        <v>0</v>
      </c>
      <c r="AS113" s="359">
        <f>CS_PID!AS113/VLOOKUP($B113,표2[#ALL],2)/hlookup($A113,표4[#ALL],row(),false)</f>
        <v>0</v>
      </c>
    </row>
    <row r="114">
      <c r="A114" s="173" t="s">
        <v>126</v>
      </c>
      <c r="B114" s="178">
        <v>388.0</v>
      </c>
      <c r="C114" s="359">
        <f>CS_PID!C114/VLOOKUP($B114,표2[#ALL],2)/hlookup($A114,표4[#ALL],row(),false)</f>
        <v>0</v>
      </c>
      <c r="D114" s="359">
        <f>CS_PID!D114/VLOOKUP($B114,표2[#ALL],2)/hlookup($A114,표4[#ALL],row(),false)</f>
        <v>0</v>
      </c>
      <c r="E114" s="359">
        <f>CS_PID!E114/VLOOKUP($B114,표2[#ALL],2)/hlookup($A114,표4[#ALL],row(),false)</f>
        <v>0.1666666667</v>
      </c>
      <c r="F114" s="359">
        <f>CS_PID!F114/VLOOKUP($B114,표2[#ALL],2)/hlookup($A114,표4[#ALL],row(),false)</f>
        <v>0.8333333333</v>
      </c>
      <c r="G114" s="359">
        <f>CS_PID!G114/VLOOKUP($B114,표2[#ALL],2)/hlookup($A114,표4[#ALL],row(),false)</f>
        <v>0.1666666667</v>
      </c>
      <c r="H114" s="359">
        <f>CS_PID!H114/VLOOKUP($B114,표2[#ALL],2)/hlookup($A114,표4[#ALL],row(),false)</f>
        <v>0</v>
      </c>
      <c r="I114" s="359">
        <f>CS_PID!I114/VLOOKUP($B114,표2[#ALL],2)/hlookup($A114,표4[#ALL],row(),false)</f>
        <v>0</v>
      </c>
      <c r="J114" s="359">
        <f>CS_PID!J114/VLOOKUP($B114,표2[#ALL],2)/hlookup($A114,표4[#ALL],row(),false)</f>
        <v>0.3333333333</v>
      </c>
      <c r="K114" s="359">
        <f>CS_PID!K114/VLOOKUP($B114,표2[#ALL],2)/hlookup($A114,표4[#ALL],row(),false)</f>
        <v>1</v>
      </c>
      <c r="L114" s="359">
        <f>CS_PID!L114/VLOOKUP($B114,표2[#ALL],2)/hlookup($A114,표4[#ALL],row(),false)</f>
        <v>0.6666666667</v>
      </c>
      <c r="M114" s="359">
        <f>CS_PID!M114/VLOOKUP($B114,표2[#ALL],2)/hlookup($A114,표4[#ALL],row(),false)</f>
        <v>0.1666666667</v>
      </c>
      <c r="N114" s="359">
        <f>CS_PID!N114/VLOOKUP($B114,표2[#ALL],2)/hlookup($A114,표4[#ALL],row(),false)</f>
        <v>0</v>
      </c>
      <c r="O114" s="359">
        <f>CS_PID!O114/VLOOKUP($B114,표2[#ALL],2)/hlookup($A114,표4[#ALL],row(),false)</f>
        <v>0</v>
      </c>
      <c r="P114" s="359">
        <f>CS_PID!P114/VLOOKUP($B114,표2[#ALL],2)/hlookup($A114,표4[#ALL],row(),false)</f>
        <v>0</v>
      </c>
      <c r="Q114" s="359">
        <f>CS_PID!Q114/VLOOKUP($B114,표2[#ALL],2)/hlookup($A114,표4[#ALL],row(),false)</f>
        <v>0.1666666667</v>
      </c>
      <c r="R114" s="359">
        <f>CS_PID!R114/VLOOKUP($B114,표2[#ALL],2)/hlookup($A114,표4[#ALL],row(),false)</f>
        <v>0.8333333333</v>
      </c>
      <c r="S114" s="359">
        <f>CS_PID!S114/VLOOKUP($B114,표2[#ALL],2)/hlookup($A114,표4[#ALL],row(),false)</f>
        <v>0</v>
      </c>
      <c r="T114" s="359">
        <f>CS_PID!T114/VLOOKUP($B114,표2[#ALL],2)/hlookup($A114,표4[#ALL],row(),false)</f>
        <v>0</v>
      </c>
      <c r="U114" s="359">
        <f>CS_PID!U114/VLOOKUP($B114,표2[#ALL],2)/hlookup($A114,표4[#ALL],row(),false)</f>
        <v>0</v>
      </c>
      <c r="V114" s="359">
        <f>CS_PID!V114/VLOOKUP($B114,표2[#ALL],2)/hlookup($A114,표4[#ALL],row(),false)</f>
        <v>0</v>
      </c>
      <c r="W114" s="359">
        <f>CS_PID!W114/VLOOKUP($B114,표2[#ALL],2)/hlookup($A114,표4[#ALL],row(),false)</f>
        <v>0.3333333333</v>
      </c>
      <c r="X114" s="359">
        <f>CS_PID!X114/VLOOKUP($B114,표2[#ALL],2)/hlookup($A114,표4[#ALL],row(),false)</f>
        <v>0.6666666667</v>
      </c>
      <c r="Y114" s="359">
        <f>CS_PID!Y114/VLOOKUP($B114,표2[#ALL],2)/hlookup($A114,표4[#ALL],row(),false)</f>
        <v>0</v>
      </c>
      <c r="Z114" s="359">
        <f>CS_PID!Z114/VLOOKUP($B114,표2[#ALL],2)/hlookup($A114,표4[#ALL],row(),false)</f>
        <v>0</v>
      </c>
      <c r="AA114" s="359">
        <f>CS_PID!AA114/VLOOKUP($B114,표2[#ALL],2)/hlookup($A114,표4[#ALL],row(),false)</f>
        <v>0</v>
      </c>
      <c r="AB114" s="359">
        <f>CS_PID!AB114/VLOOKUP($B114,표2[#ALL],2)/hlookup($A114,표4[#ALL],row(),false)</f>
        <v>0</v>
      </c>
      <c r="AC114" s="359">
        <f>CS_PID!AC114/VLOOKUP($B114,표2[#ALL],2)/hlookup($A114,표4[#ALL],row(),false)</f>
        <v>0</v>
      </c>
      <c r="AD114" s="359">
        <f>CS_PID!AD114/VLOOKUP($B114,표2[#ALL],2)/hlookup($A114,표4[#ALL],row(),false)</f>
        <v>0.1666666667</v>
      </c>
      <c r="AE114" s="359">
        <f>CS_PID!AE114/VLOOKUP($B114,표2[#ALL],2)/hlookup($A114,표4[#ALL],row(),false)</f>
        <v>0.1666666667</v>
      </c>
      <c r="AF114" s="359">
        <f>CS_PID!AF114/VLOOKUP($B114,표2[#ALL],2)/hlookup($A114,표4[#ALL],row(),false)</f>
        <v>0</v>
      </c>
      <c r="AG114" s="359">
        <f>CS_PID!AG114/VLOOKUP($B114,표2[#ALL],2)/hlookup($A114,표4[#ALL],row(),false)</f>
        <v>0</v>
      </c>
      <c r="AH114" s="359">
        <f>CS_PID!AH114/VLOOKUP($B114,표2[#ALL],2)/hlookup($A114,표4[#ALL],row(),false)</f>
        <v>0</v>
      </c>
      <c r="AI114" s="359">
        <f>CS_PID!AI114/VLOOKUP($B114,표2[#ALL],2)/hlookup($A114,표4[#ALL],row(),false)</f>
        <v>0</v>
      </c>
      <c r="AJ114" s="359">
        <f>CS_PID!AJ114/VLOOKUP($B114,표2[#ALL],2)/hlookup($A114,표4[#ALL],row(),false)</f>
        <v>0.1666666667</v>
      </c>
      <c r="AK114" s="359">
        <f>CS_PID!AK114/VLOOKUP($B114,표2[#ALL],2)/hlookup($A114,표4[#ALL],row(),false)</f>
        <v>0</v>
      </c>
      <c r="AL114" s="359">
        <f>CS_PID!AL114/VLOOKUP($B114,표2[#ALL],2)/hlookup($A114,표4[#ALL],row(),false)</f>
        <v>0</v>
      </c>
      <c r="AM114" s="359">
        <f>CS_PID!AM114/VLOOKUP($B114,표2[#ALL],2)/hlookup($A114,표4[#ALL],row(),false)</f>
        <v>0</v>
      </c>
      <c r="AN114" s="359">
        <f>CS_PID!AN114/VLOOKUP($B114,표2[#ALL],2)/hlookup($A114,표4[#ALL],row(),false)</f>
        <v>0</v>
      </c>
      <c r="AO114" s="359">
        <f>CS_PID!AO114/VLOOKUP($B114,표2[#ALL],2)/hlookup($A114,표4[#ALL],row(),false)</f>
        <v>0.1666666667</v>
      </c>
      <c r="AP114" s="359">
        <f>CS_PID!AP114/VLOOKUP($B114,표2[#ALL],2)/hlookup($A114,표4[#ALL],row(),false)</f>
        <v>0</v>
      </c>
      <c r="AQ114" s="359">
        <f>CS_PID!AQ114/VLOOKUP($B114,표2[#ALL],2)/hlookup($A114,표4[#ALL],row(),false)</f>
        <v>0</v>
      </c>
      <c r="AR114" s="359">
        <f>CS_PID!AR114/VLOOKUP($B114,표2[#ALL],2)/hlookup($A114,표4[#ALL],row(),false)</f>
        <v>0</v>
      </c>
      <c r="AS114" s="359">
        <f>CS_PID!AS114/VLOOKUP($B114,표2[#ALL],2)/hlookup($A114,표4[#ALL],row(),false)</f>
        <v>0</v>
      </c>
    </row>
    <row r="115">
      <c r="A115" s="173" t="s">
        <v>126</v>
      </c>
      <c r="B115" s="178">
        <v>389.0</v>
      </c>
      <c r="C115" s="359" t="str">
        <f>CS_PID!C115/VLOOKUP($B115,표2[#ALL],2)/hlookup($A115,표4[#ALL],row(),false)</f>
        <v>#DIV/0!</v>
      </c>
      <c r="D115" s="359" t="str">
        <f>CS_PID!D115/VLOOKUP($B115,표2[#ALL],2)/hlookup($A115,표4[#ALL],row(),false)</f>
        <v>#DIV/0!</v>
      </c>
      <c r="E115" s="359" t="str">
        <f>CS_PID!E115/VLOOKUP($B115,표2[#ALL],2)/hlookup($A115,표4[#ALL],row(),false)</f>
        <v>#DIV/0!</v>
      </c>
      <c r="F115" s="359" t="str">
        <f>CS_PID!F115/VLOOKUP($B115,표2[#ALL],2)/hlookup($A115,표4[#ALL],row(),false)</f>
        <v>#DIV/0!</v>
      </c>
      <c r="G115" s="359" t="str">
        <f>CS_PID!G115/VLOOKUP($B115,표2[#ALL],2)/hlookup($A115,표4[#ALL],row(),false)</f>
        <v>#DIV/0!</v>
      </c>
      <c r="H115" s="359" t="str">
        <f>CS_PID!H115/VLOOKUP($B115,표2[#ALL],2)/hlookup($A115,표4[#ALL],row(),false)</f>
        <v>#DIV/0!</v>
      </c>
      <c r="I115" s="359" t="str">
        <f>CS_PID!I115/VLOOKUP($B115,표2[#ALL],2)/hlookup($A115,표4[#ALL],row(),false)</f>
        <v>#DIV/0!</v>
      </c>
      <c r="J115" s="359" t="str">
        <f>CS_PID!J115/VLOOKUP($B115,표2[#ALL],2)/hlookup($A115,표4[#ALL],row(),false)</f>
        <v>#DIV/0!</v>
      </c>
      <c r="K115" s="359" t="str">
        <f>CS_PID!K115/VLOOKUP($B115,표2[#ALL],2)/hlookup($A115,표4[#ALL],row(),false)</f>
        <v>#DIV/0!</v>
      </c>
      <c r="L115" s="359" t="str">
        <f>CS_PID!L115/VLOOKUP($B115,표2[#ALL],2)/hlookup($A115,표4[#ALL],row(),false)</f>
        <v>#DIV/0!</v>
      </c>
      <c r="M115" s="359" t="str">
        <f>CS_PID!M115/VLOOKUP($B115,표2[#ALL],2)/hlookup($A115,표4[#ALL],row(),false)</f>
        <v>#DIV/0!</v>
      </c>
      <c r="N115" s="359" t="str">
        <f>CS_PID!N115/VLOOKUP($B115,표2[#ALL],2)/hlookup($A115,표4[#ALL],row(),false)</f>
        <v>#DIV/0!</v>
      </c>
      <c r="O115" s="359" t="str">
        <f>CS_PID!O115/VLOOKUP($B115,표2[#ALL],2)/hlookup($A115,표4[#ALL],row(),false)</f>
        <v>#DIV/0!</v>
      </c>
      <c r="P115" s="359" t="str">
        <f>CS_PID!P115/VLOOKUP($B115,표2[#ALL],2)/hlookup($A115,표4[#ALL],row(),false)</f>
        <v>#DIV/0!</v>
      </c>
      <c r="Q115" s="359" t="str">
        <f>CS_PID!Q115/VLOOKUP($B115,표2[#ALL],2)/hlookup($A115,표4[#ALL],row(),false)</f>
        <v>#DIV/0!</v>
      </c>
      <c r="R115" s="359" t="str">
        <f>CS_PID!R115/VLOOKUP($B115,표2[#ALL],2)/hlookup($A115,표4[#ALL],row(),false)</f>
        <v>#DIV/0!</v>
      </c>
      <c r="S115" s="359" t="str">
        <f>CS_PID!S115/VLOOKUP($B115,표2[#ALL],2)/hlookup($A115,표4[#ALL],row(),false)</f>
        <v>#DIV/0!</v>
      </c>
      <c r="T115" s="359" t="str">
        <f>CS_PID!T115/VLOOKUP($B115,표2[#ALL],2)/hlookup($A115,표4[#ALL],row(),false)</f>
        <v>#DIV/0!</v>
      </c>
      <c r="U115" s="359" t="str">
        <f>CS_PID!U115/VLOOKUP($B115,표2[#ALL],2)/hlookup($A115,표4[#ALL],row(),false)</f>
        <v>#DIV/0!</v>
      </c>
      <c r="V115" s="359" t="str">
        <f>CS_PID!V115/VLOOKUP($B115,표2[#ALL],2)/hlookup($A115,표4[#ALL],row(),false)</f>
        <v>#DIV/0!</v>
      </c>
      <c r="W115" s="359" t="str">
        <f>CS_PID!W115/VLOOKUP($B115,표2[#ALL],2)/hlookup($A115,표4[#ALL],row(),false)</f>
        <v>#DIV/0!</v>
      </c>
      <c r="X115" s="359" t="str">
        <f>CS_PID!X115/VLOOKUP($B115,표2[#ALL],2)/hlookup($A115,표4[#ALL],row(),false)</f>
        <v>#DIV/0!</v>
      </c>
      <c r="Y115" s="359" t="str">
        <f>CS_PID!Y115/VLOOKUP($B115,표2[#ALL],2)/hlookup($A115,표4[#ALL],row(),false)</f>
        <v>#DIV/0!</v>
      </c>
      <c r="Z115" s="359" t="str">
        <f>CS_PID!Z115/VLOOKUP($B115,표2[#ALL],2)/hlookup($A115,표4[#ALL],row(),false)</f>
        <v>#DIV/0!</v>
      </c>
      <c r="AA115" s="359" t="str">
        <f>CS_PID!AA115/VLOOKUP($B115,표2[#ALL],2)/hlookup($A115,표4[#ALL],row(),false)</f>
        <v>#DIV/0!</v>
      </c>
      <c r="AB115" s="359" t="str">
        <f>CS_PID!AB115/VLOOKUP($B115,표2[#ALL],2)/hlookup($A115,표4[#ALL],row(),false)</f>
        <v>#DIV/0!</v>
      </c>
      <c r="AC115" s="359" t="str">
        <f>CS_PID!AC115/VLOOKUP($B115,표2[#ALL],2)/hlookup($A115,표4[#ALL],row(),false)</f>
        <v>#DIV/0!</v>
      </c>
      <c r="AD115" s="359" t="str">
        <f>CS_PID!AD115/VLOOKUP($B115,표2[#ALL],2)/hlookup($A115,표4[#ALL],row(),false)</f>
        <v>#DIV/0!</v>
      </c>
      <c r="AE115" s="359" t="str">
        <f>CS_PID!AE115/VLOOKUP($B115,표2[#ALL],2)/hlookup($A115,표4[#ALL],row(),false)</f>
        <v>#DIV/0!</v>
      </c>
      <c r="AF115" s="359" t="str">
        <f>CS_PID!AF115/VLOOKUP($B115,표2[#ALL],2)/hlookup($A115,표4[#ALL],row(),false)</f>
        <v>#DIV/0!</v>
      </c>
      <c r="AG115" s="359" t="str">
        <f>CS_PID!AG115/VLOOKUP($B115,표2[#ALL],2)/hlookup($A115,표4[#ALL],row(),false)</f>
        <v>#DIV/0!</v>
      </c>
      <c r="AH115" s="359" t="str">
        <f>CS_PID!AH115/VLOOKUP($B115,표2[#ALL],2)/hlookup($A115,표4[#ALL],row(),false)</f>
        <v>#DIV/0!</v>
      </c>
      <c r="AI115" s="359" t="str">
        <f>CS_PID!AI115/VLOOKUP($B115,표2[#ALL],2)/hlookup($A115,표4[#ALL],row(),false)</f>
        <v>#DIV/0!</v>
      </c>
      <c r="AJ115" s="359" t="str">
        <f>CS_PID!AJ115/VLOOKUP($B115,표2[#ALL],2)/hlookup($A115,표4[#ALL],row(),false)</f>
        <v>#DIV/0!</v>
      </c>
      <c r="AK115" s="359" t="str">
        <f>CS_PID!AK115/VLOOKUP($B115,표2[#ALL],2)/hlookup($A115,표4[#ALL],row(),false)</f>
        <v>#DIV/0!</v>
      </c>
      <c r="AL115" s="359" t="str">
        <f>CS_PID!AL115/VLOOKUP($B115,표2[#ALL],2)/hlookup($A115,표4[#ALL],row(),false)</f>
        <v>#DIV/0!</v>
      </c>
      <c r="AM115" s="359" t="str">
        <f>CS_PID!AM115/VLOOKUP($B115,표2[#ALL],2)/hlookup($A115,표4[#ALL],row(),false)</f>
        <v>#DIV/0!</v>
      </c>
      <c r="AN115" s="359" t="str">
        <f>CS_PID!AN115/VLOOKUP($B115,표2[#ALL],2)/hlookup($A115,표4[#ALL],row(),false)</f>
        <v>#DIV/0!</v>
      </c>
      <c r="AO115" s="359" t="str">
        <f>CS_PID!AO115/VLOOKUP($B115,표2[#ALL],2)/hlookup($A115,표4[#ALL],row(),false)</f>
        <v>#DIV/0!</v>
      </c>
      <c r="AP115" s="359" t="str">
        <f>CS_PID!AP115/VLOOKUP($B115,표2[#ALL],2)/hlookup($A115,표4[#ALL],row(),false)</f>
        <v>#DIV/0!</v>
      </c>
      <c r="AQ115" s="359" t="str">
        <f>CS_PID!AQ115/VLOOKUP($B115,표2[#ALL],2)/hlookup($A115,표4[#ALL],row(),false)</f>
        <v>#DIV/0!</v>
      </c>
      <c r="AR115" s="359" t="str">
        <f>CS_PID!AR115/VLOOKUP($B115,표2[#ALL],2)/hlookup($A115,표4[#ALL],row(),false)</f>
        <v>#DIV/0!</v>
      </c>
      <c r="AS115" s="359" t="str">
        <f>CS_PID!AS115/VLOOKUP($B115,표2[#ALL],2)/hlookup($A115,표4[#ALL],row(),false)</f>
        <v>#DIV/0!</v>
      </c>
    </row>
    <row r="116">
      <c r="A116" s="173" t="s">
        <v>126</v>
      </c>
      <c r="B116" s="178">
        <v>390.0</v>
      </c>
      <c r="C116" s="359">
        <f>CS_PID!C116/VLOOKUP($B116,표2[#ALL],2)/hlookup($A116,표4[#ALL],row(),false)</f>
        <v>0</v>
      </c>
      <c r="D116" s="359">
        <f>CS_PID!D116/VLOOKUP($B116,표2[#ALL],2)/hlookup($A116,표4[#ALL],row(),false)</f>
        <v>0</v>
      </c>
      <c r="E116" s="359">
        <f>CS_PID!E116/VLOOKUP($B116,표2[#ALL],2)/hlookup($A116,표4[#ALL],row(),false)</f>
        <v>3</v>
      </c>
      <c r="F116" s="359">
        <f>CS_PID!F116/VLOOKUP($B116,표2[#ALL],2)/hlookup($A116,표4[#ALL],row(),false)</f>
        <v>8</v>
      </c>
      <c r="G116" s="359">
        <f>CS_PID!G116/VLOOKUP($B116,표2[#ALL],2)/hlookup($A116,표4[#ALL],row(),false)</f>
        <v>0</v>
      </c>
      <c r="H116" s="359">
        <f>CS_PID!H116/VLOOKUP($B116,표2[#ALL],2)/hlookup($A116,표4[#ALL],row(),false)</f>
        <v>0</v>
      </c>
      <c r="I116" s="359">
        <f>CS_PID!I116/VLOOKUP($B116,표2[#ALL],2)/hlookup($A116,표4[#ALL],row(),false)</f>
        <v>0</v>
      </c>
      <c r="J116" s="359">
        <f>CS_PID!J116/VLOOKUP($B116,표2[#ALL],2)/hlookup($A116,표4[#ALL],row(),false)</f>
        <v>1</v>
      </c>
      <c r="K116" s="359">
        <f>CS_PID!K116/VLOOKUP($B116,표2[#ALL],2)/hlookup($A116,표4[#ALL],row(),false)</f>
        <v>1</v>
      </c>
      <c r="L116" s="359">
        <f>CS_PID!L116/VLOOKUP($B116,표2[#ALL],2)/hlookup($A116,표4[#ALL],row(),false)</f>
        <v>1</v>
      </c>
      <c r="M116" s="359">
        <f>CS_PID!M116/VLOOKUP($B116,표2[#ALL],2)/hlookup($A116,표4[#ALL],row(),false)</f>
        <v>0</v>
      </c>
      <c r="N116" s="359">
        <f>CS_PID!N116/VLOOKUP($B116,표2[#ALL],2)/hlookup($A116,표4[#ALL],row(),false)</f>
        <v>0</v>
      </c>
      <c r="O116" s="359">
        <f>CS_PID!O116/VLOOKUP($B116,표2[#ALL],2)/hlookup($A116,표4[#ALL],row(),false)</f>
        <v>0</v>
      </c>
      <c r="P116" s="359">
        <f>CS_PID!P116/VLOOKUP($B116,표2[#ALL],2)/hlookup($A116,표4[#ALL],row(),false)</f>
        <v>0</v>
      </c>
      <c r="Q116" s="359">
        <f>CS_PID!Q116/VLOOKUP($B116,표2[#ALL],2)/hlookup($A116,표4[#ALL],row(),false)</f>
        <v>2</v>
      </c>
      <c r="R116" s="359">
        <f>CS_PID!R116/VLOOKUP($B116,표2[#ALL],2)/hlookup($A116,표4[#ALL],row(),false)</f>
        <v>4</v>
      </c>
      <c r="S116" s="359">
        <f>CS_PID!S116/VLOOKUP($B116,표2[#ALL],2)/hlookup($A116,표4[#ALL],row(),false)</f>
        <v>2</v>
      </c>
      <c r="T116" s="359">
        <f>CS_PID!T116/VLOOKUP($B116,표2[#ALL],2)/hlookup($A116,표4[#ALL],row(),false)</f>
        <v>0</v>
      </c>
      <c r="U116" s="359">
        <f>CS_PID!U116/VLOOKUP($B116,표2[#ALL],2)/hlookup($A116,표4[#ALL],row(),false)</f>
        <v>0</v>
      </c>
      <c r="V116" s="359">
        <f>CS_PID!V116/VLOOKUP($B116,표2[#ALL],2)/hlookup($A116,표4[#ALL],row(),false)</f>
        <v>0</v>
      </c>
      <c r="W116" s="359">
        <f>CS_PID!W116/VLOOKUP($B116,표2[#ALL],2)/hlookup($A116,표4[#ALL],row(),false)</f>
        <v>1</v>
      </c>
      <c r="X116" s="359">
        <f>CS_PID!X116/VLOOKUP($B116,표2[#ALL],2)/hlookup($A116,표4[#ALL],row(),false)</f>
        <v>10</v>
      </c>
      <c r="Y116" s="359">
        <f>CS_PID!Y116/VLOOKUP($B116,표2[#ALL],2)/hlookup($A116,표4[#ALL],row(),false)</f>
        <v>1</v>
      </c>
      <c r="Z116" s="359">
        <f>CS_PID!Z116/VLOOKUP($B116,표2[#ALL],2)/hlookup($A116,표4[#ALL],row(),false)</f>
        <v>0</v>
      </c>
      <c r="AA116" s="359">
        <f>CS_PID!AA116/VLOOKUP($B116,표2[#ALL],2)/hlookup($A116,표4[#ALL],row(),false)</f>
        <v>0</v>
      </c>
      <c r="AB116" s="359">
        <f>CS_PID!AB116/VLOOKUP($B116,표2[#ALL],2)/hlookup($A116,표4[#ALL],row(),false)</f>
        <v>0</v>
      </c>
      <c r="AC116" s="359">
        <f>CS_PID!AC116/VLOOKUP($B116,표2[#ALL],2)/hlookup($A116,표4[#ALL],row(),false)</f>
        <v>2</v>
      </c>
      <c r="AD116" s="359">
        <f>CS_PID!AD116/VLOOKUP($B116,표2[#ALL],2)/hlookup($A116,표4[#ALL],row(),false)</f>
        <v>1</v>
      </c>
      <c r="AE116" s="359">
        <f>CS_PID!AE116/VLOOKUP($B116,표2[#ALL],2)/hlookup($A116,표4[#ALL],row(),false)</f>
        <v>0</v>
      </c>
      <c r="AF116" s="359">
        <f>CS_PID!AF116/VLOOKUP($B116,표2[#ALL],2)/hlookup($A116,표4[#ALL],row(),false)</f>
        <v>0</v>
      </c>
      <c r="AG116" s="359">
        <f>CS_PID!AG116/VLOOKUP($B116,표2[#ALL],2)/hlookup($A116,표4[#ALL],row(),false)</f>
        <v>0</v>
      </c>
      <c r="AH116" s="359">
        <f>CS_PID!AH116/VLOOKUP($B116,표2[#ALL],2)/hlookup($A116,표4[#ALL],row(),false)</f>
        <v>0</v>
      </c>
      <c r="AI116" s="359">
        <f>CS_PID!AI116/VLOOKUP($B116,표2[#ALL],2)/hlookup($A116,표4[#ALL],row(),false)</f>
        <v>1</v>
      </c>
      <c r="AJ116" s="359">
        <f>CS_PID!AJ116/VLOOKUP($B116,표2[#ALL],2)/hlookup($A116,표4[#ALL],row(),false)</f>
        <v>2</v>
      </c>
      <c r="AK116" s="359">
        <f>CS_PID!AK116/VLOOKUP($B116,표2[#ALL],2)/hlookup($A116,표4[#ALL],row(),false)</f>
        <v>0</v>
      </c>
      <c r="AL116" s="359">
        <f>CS_PID!AL116/VLOOKUP($B116,표2[#ALL],2)/hlookup($A116,표4[#ALL],row(),false)</f>
        <v>0</v>
      </c>
      <c r="AM116" s="359">
        <f>CS_PID!AM116/VLOOKUP($B116,표2[#ALL],2)/hlookup($A116,표4[#ALL],row(),false)</f>
        <v>0</v>
      </c>
      <c r="AN116" s="359">
        <f>CS_PID!AN116/VLOOKUP($B116,표2[#ALL],2)/hlookup($A116,표4[#ALL],row(),false)</f>
        <v>0</v>
      </c>
      <c r="AO116" s="359">
        <f>CS_PID!AO116/VLOOKUP($B116,표2[#ALL],2)/hlookup($A116,표4[#ALL],row(),false)</f>
        <v>0</v>
      </c>
      <c r="AP116" s="359">
        <f>CS_PID!AP116/VLOOKUP($B116,표2[#ALL],2)/hlookup($A116,표4[#ALL],row(),false)</f>
        <v>0</v>
      </c>
      <c r="AQ116" s="359">
        <f>CS_PID!AQ116/VLOOKUP($B116,표2[#ALL],2)/hlookup($A116,표4[#ALL],row(),false)</f>
        <v>0</v>
      </c>
      <c r="AR116" s="359">
        <f>CS_PID!AR116/VLOOKUP($B116,표2[#ALL],2)/hlookup($A116,표4[#ALL],row(),false)</f>
        <v>0</v>
      </c>
      <c r="AS116" s="359">
        <f>CS_PID!AS116/VLOOKUP($B116,표2[#ALL],2)/hlookup($A116,표4[#ALL],row(),false)</f>
        <v>0</v>
      </c>
    </row>
    <row r="117">
      <c r="A117" s="173" t="s">
        <v>126</v>
      </c>
      <c r="B117" s="178">
        <v>391.0</v>
      </c>
      <c r="C117" s="359">
        <f>CS_PID!C117/VLOOKUP($B117,표2[#ALL],2)/hlookup($A117,표4[#ALL],row(),false)</f>
        <v>0</v>
      </c>
      <c r="D117" s="359">
        <f>CS_PID!D117/VLOOKUP($B117,표2[#ALL],2)/hlookup($A117,표4[#ALL],row(),false)</f>
        <v>0</v>
      </c>
      <c r="E117" s="359">
        <f>CS_PID!E117/VLOOKUP($B117,표2[#ALL],2)/hlookup($A117,표4[#ALL],row(),false)</f>
        <v>0.1111111111</v>
      </c>
      <c r="F117" s="359">
        <f>CS_PID!F117/VLOOKUP($B117,표2[#ALL],2)/hlookup($A117,표4[#ALL],row(),false)</f>
        <v>0.8333333333</v>
      </c>
      <c r="G117" s="359">
        <f>CS_PID!G117/VLOOKUP($B117,표2[#ALL],2)/hlookup($A117,표4[#ALL],row(),false)</f>
        <v>0</v>
      </c>
      <c r="H117" s="359">
        <f>CS_PID!H117/VLOOKUP($B117,표2[#ALL],2)/hlookup($A117,표4[#ALL],row(),false)</f>
        <v>0</v>
      </c>
      <c r="I117" s="359">
        <f>CS_PID!I117/VLOOKUP($B117,표2[#ALL],2)/hlookup($A117,표4[#ALL],row(),false)</f>
        <v>0</v>
      </c>
      <c r="J117" s="359">
        <f>CS_PID!J117/VLOOKUP($B117,표2[#ALL],2)/hlookup($A117,표4[#ALL],row(),false)</f>
        <v>0.2777777778</v>
      </c>
      <c r="K117" s="359">
        <f>CS_PID!K117/VLOOKUP($B117,표2[#ALL],2)/hlookup($A117,표4[#ALL],row(),false)</f>
        <v>1</v>
      </c>
      <c r="L117" s="359">
        <f>CS_PID!L117/VLOOKUP($B117,표2[#ALL],2)/hlookup($A117,표4[#ALL],row(),false)</f>
        <v>0.7222222222</v>
      </c>
      <c r="M117" s="359">
        <f>CS_PID!M117/VLOOKUP($B117,표2[#ALL],2)/hlookup($A117,표4[#ALL],row(),false)</f>
        <v>0</v>
      </c>
      <c r="N117" s="359">
        <f>CS_PID!N117/VLOOKUP($B117,표2[#ALL],2)/hlookup($A117,표4[#ALL],row(),false)</f>
        <v>0</v>
      </c>
      <c r="O117" s="359">
        <f>CS_PID!O117/VLOOKUP($B117,표2[#ALL],2)/hlookup($A117,표4[#ALL],row(),false)</f>
        <v>0</v>
      </c>
      <c r="P117" s="359">
        <f>CS_PID!P117/VLOOKUP($B117,표2[#ALL],2)/hlookup($A117,표4[#ALL],row(),false)</f>
        <v>0.1111111111</v>
      </c>
      <c r="Q117" s="359">
        <f>CS_PID!Q117/VLOOKUP($B117,표2[#ALL],2)/hlookup($A117,표4[#ALL],row(),false)</f>
        <v>0.7222222222</v>
      </c>
      <c r="R117" s="359">
        <f>CS_PID!R117/VLOOKUP($B117,표2[#ALL],2)/hlookup($A117,표4[#ALL],row(),false)</f>
        <v>0.5</v>
      </c>
      <c r="S117" s="359">
        <f>CS_PID!S117/VLOOKUP($B117,표2[#ALL],2)/hlookup($A117,표4[#ALL],row(),false)</f>
        <v>0.2777777778</v>
      </c>
      <c r="T117" s="359">
        <f>CS_PID!T117/VLOOKUP($B117,표2[#ALL],2)/hlookup($A117,표4[#ALL],row(),false)</f>
        <v>0</v>
      </c>
      <c r="U117" s="359">
        <f>CS_PID!U117/VLOOKUP($B117,표2[#ALL],2)/hlookup($A117,표4[#ALL],row(),false)</f>
        <v>0</v>
      </c>
      <c r="V117" s="359">
        <f>CS_PID!V117/VLOOKUP($B117,표2[#ALL],2)/hlookup($A117,표4[#ALL],row(),false)</f>
        <v>0</v>
      </c>
      <c r="W117" s="359">
        <f>CS_PID!W117/VLOOKUP($B117,표2[#ALL],2)/hlookup($A117,표4[#ALL],row(),false)</f>
        <v>0</v>
      </c>
      <c r="X117" s="359">
        <f>CS_PID!X117/VLOOKUP($B117,표2[#ALL],2)/hlookup($A117,표4[#ALL],row(),false)</f>
        <v>0.6666666667</v>
      </c>
      <c r="Y117" s="359">
        <f>CS_PID!Y117/VLOOKUP($B117,표2[#ALL],2)/hlookup($A117,표4[#ALL],row(),false)</f>
        <v>0.1111111111</v>
      </c>
      <c r="Z117" s="359">
        <f>CS_PID!Z117/VLOOKUP($B117,표2[#ALL],2)/hlookup($A117,표4[#ALL],row(),false)</f>
        <v>0</v>
      </c>
      <c r="AA117" s="359">
        <f>CS_PID!AA117/VLOOKUP($B117,표2[#ALL],2)/hlookup($A117,표4[#ALL],row(),false)</f>
        <v>0</v>
      </c>
      <c r="AB117" s="359">
        <f>CS_PID!AB117/VLOOKUP($B117,표2[#ALL],2)/hlookup($A117,표4[#ALL],row(),false)</f>
        <v>0</v>
      </c>
      <c r="AC117" s="359">
        <f>CS_PID!AC117/VLOOKUP($B117,표2[#ALL],2)/hlookup($A117,표4[#ALL],row(),false)</f>
        <v>0.2222222222</v>
      </c>
      <c r="AD117" s="359">
        <f>CS_PID!AD117/VLOOKUP($B117,표2[#ALL],2)/hlookup($A117,표4[#ALL],row(),false)</f>
        <v>0.1111111111</v>
      </c>
      <c r="AE117" s="359">
        <f>CS_PID!AE117/VLOOKUP($B117,표2[#ALL],2)/hlookup($A117,표4[#ALL],row(),false)</f>
        <v>0.05555555556</v>
      </c>
      <c r="AF117" s="359">
        <f>CS_PID!AF117/VLOOKUP($B117,표2[#ALL],2)/hlookup($A117,표4[#ALL],row(),false)</f>
        <v>0</v>
      </c>
      <c r="AG117" s="359">
        <f>CS_PID!AG117/VLOOKUP($B117,표2[#ALL],2)/hlookup($A117,표4[#ALL],row(),false)</f>
        <v>0</v>
      </c>
      <c r="AH117" s="359">
        <f>CS_PID!AH117/VLOOKUP($B117,표2[#ALL],2)/hlookup($A117,표4[#ALL],row(),false)</f>
        <v>0</v>
      </c>
      <c r="AI117" s="359">
        <f>CS_PID!AI117/VLOOKUP($B117,표2[#ALL],2)/hlookup($A117,표4[#ALL],row(),false)</f>
        <v>0</v>
      </c>
      <c r="AJ117" s="359">
        <f>CS_PID!AJ117/VLOOKUP($B117,표2[#ALL],2)/hlookup($A117,표4[#ALL],row(),false)</f>
        <v>0.05555555556</v>
      </c>
      <c r="AK117" s="359">
        <f>CS_PID!AK117/VLOOKUP($B117,표2[#ALL],2)/hlookup($A117,표4[#ALL],row(),false)</f>
        <v>0.1111111111</v>
      </c>
      <c r="AL117" s="359">
        <f>CS_PID!AL117/VLOOKUP($B117,표2[#ALL],2)/hlookup($A117,표4[#ALL],row(),false)</f>
        <v>0</v>
      </c>
      <c r="AM117" s="359">
        <f>CS_PID!AM117/VLOOKUP($B117,표2[#ALL],2)/hlookup($A117,표4[#ALL],row(),false)</f>
        <v>0</v>
      </c>
      <c r="AN117" s="359">
        <f>CS_PID!AN117/VLOOKUP($B117,표2[#ALL],2)/hlookup($A117,표4[#ALL],row(),false)</f>
        <v>0</v>
      </c>
      <c r="AO117" s="359">
        <f>CS_PID!AO117/VLOOKUP($B117,표2[#ALL],2)/hlookup($A117,표4[#ALL],row(),false)</f>
        <v>0.05555555556</v>
      </c>
      <c r="AP117" s="359">
        <f>CS_PID!AP117/VLOOKUP($B117,표2[#ALL],2)/hlookup($A117,표4[#ALL],row(),false)</f>
        <v>0.05555555556</v>
      </c>
      <c r="AQ117" s="359">
        <f>CS_PID!AQ117/VLOOKUP($B117,표2[#ALL],2)/hlookup($A117,표4[#ALL],row(),false)</f>
        <v>0</v>
      </c>
      <c r="AR117" s="359">
        <f>CS_PID!AR117/VLOOKUP($B117,표2[#ALL],2)/hlookup($A117,표4[#ALL],row(),false)</f>
        <v>0</v>
      </c>
      <c r="AS117" s="359">
        <f>CS_PID!AS117/VLOOKUP($B117,표2[#ALL],2)/hlookup($A117,표4[#ALL],row(),false)</f>
        <v>0</v>
      </c>
    </row>
    <row r="118">
      <c r="A118" s="173" t="s">
        <v>126</v>
      </c>
      <c r="B118" s="178">
        <v>392.0</v>
      </c>
      <c r="C118" s="359" t="str">
        <f>CS_PID!C118/VLOOKUP($B118,표2[#ALL],2)/hlookup($A118,표4[#ALL],row(),false)</f>
        <v>#DIV/0!</v>
      </c>
      <c r="D118" s="359" t="str">
        <f>CS_PID!D118/VLOOKUP($B118,표2[#ALL],2)/hlookup($A118,표4[#ALL],row(),false)</f>
        <v>#DIV/0!</v>
      </c>
      <c r="E118" s="359" t="str">
        <f>CS_PID!E118/VLOOKUP($B118,표2[#ALL],2)/hlookup($A118,표4[#ALL],row(),false)</f>
        <v>#DIV/0!</v>
      </c>
      <c r="F118" s="359" t="str">
        <f>CS_PID!F118/VLOOKUP($B118,표2[#ALL],2)/hlookup($A118,표4[#ALL],row(),false)</f>
        <v>#DIV/0!</v>
      </c>
      <c r="G118" s="359" t="str">
        <f>CS_PID!G118/VLOOKUP($B118,표2[#ALL],2)/hlookup($A118,표4[#ALL],row(),false)</f>
        <v>#DIV/0!</v>
      </c>
      <c r="H118" s="359" t="str">
        <f>CS_PID!H118/VLOOKUP($B118,표2[#ALL],2)/hlookup($A118,표4[#ALL],row(),false)</f>
        <v>#DIV/0!</v>
      </c>
      <c r="I118" s="359" t="str">
        <f>CS_PID!I118/VLOOKUP($B118,표2[#ALL],2)/hlookup($A118,표4[#ALL],row(),false)</f>
        <v>#DIV/0!</v>
      </c>
      <c r="J118" s="359" t="str">
        <f>CS_PID!J118/VLOOKUP($B118,표2[#ALL],2)/hlookup($A118,표4[#ALL],row(),false)</f>
        <v>#DIV/0!</v>
      </c>
      <c r="K118" s="359" t="str">
        <f>CS_PID!K118/VLOOKUP($B118,표2[#ALL],2)/hlookup($A118,표4[#ALL],row(),false)</f>
        <v>#DIV/0!</v>
      </c>
      <c r="L118" s="359" t="str">
        <f>CS_PID!L118/VLOOKUP($B118,표2[#ALL],2)/hlookup($A118,표4[#ALL],row(),false)</f>
        <v>#DIV/0!</v>
      </c>
      <c r="M118" s="359" t="str">
        <f>CS_PID!M118/VLOOKUP($B118,표2[#ALL],2)/hlookup($A118,표4[#ALL],row(),false)</f>
        <v>#DIV/0!</v>
      </c>
      <c r="N118" s="359" t="str">
        <f>CS_PID!N118/VLOOKUP($B118,표2[#ALL],2)/hlookup($A118,표4[#ALL],row(),false)</f>
        <v>#DIV/0!</v>
      </c>
      <c r="O118" s="359" t="str">
        <f>CS_PID!O118/VLOOKUP($B118,표2[#ALL],2)/hlookup($A118,표4[#ALL],row(),false)</f>
        <v>#DIV/0!</v>
      </c>
      <c r="P118" s="359" t="str">
        <f>CS_PID!P118/VLOOKUP($B118,표2[#ALL],2)/hlookup($A118,표4[#ALL],row(),false)</f>
        <v>#DIV/0!</v>
      </c>
      <c r="Q118" s="359" t="str">
        <f>CS_PID!Q118/VLOOKUP($B118,표2[#ALL],2)/hlookup($A118,표4[#ALL],row(),false)</f>
        <v>#DIV/0!</v>
      </c>
      <c r="R118" s="359" t="str">
        <f>CS_PID!R118/VLOOKUP($B118,표2[#ALL],2)/hlookup($A118,표4[#ALL],row(),false)</f>
        <v>#DIV/0!</v>
      </c>
      <c r="S118" s="359" t="str">
        <f>CS_PID!S118/VLOOKUP($B118,표2[#ALL],2)/hlookup($A118,표4[#ALL],row(),false)</f>
        <v>#DIV/0!</v>
      </c>
      <c r="T118" s="359" t="str">
        <f>CS_PID!T118/VLOOKUP($B118,표2[#ALL],2)/hlookup($A118,표4[#ALL],row(),false)</f>
        <v>#DIV/0!</v>
      </c>
      <c r="U118" s="359" t="str">
        <f>CS_PID!U118/VLOOKUP($B118,표2[#ALL],2)/hlookup($A118,표4[#ALL],row(),false)</f>
        <v>#DIV/0!</v>
      </c>
      <c r="V118" s="359" t="str">
        <f>CS_PID!V118/VLOOKUP($B118,표2[#ALL],2)/hlookup($A118,표4[#ALL],row(),false)</f>
        <v>#DIV/0!</v>
      </c>
      <c r="W118" s="359" t="str">
        <f>CS_PID!W118/VLOOKUP($B118,표2[#ALL],2)/hlookup($A118,표4[#ALL],row(),false)</f>
        <v>#DIV/0!</v>
      </c>
      <c r="X118" s="359" t="str">
        <f>CS_PID!X118/VLOOKUP($B118,표2[#ALL],2)/hlookup($A118,표4[#ALL],row(),false)</f>
        <v>#DIV/0!</v>
      </c>
      <c r="Y118" s="359" t="str">
        <f>CS_PID!Y118/VLOOKUP($B118,표2[#ALL],2)/hlookup($A118,표4[#ALL],row(),false)</f>
        <v>#DIV/0!</v>
      </c>
      <c r="Z118" s="359" t="str">
        <f>CS_PID!Z118/VLOOKUP($B118,표2[#ALL],2)/hlookup($A118,표4[#ALL],row(),false)</f>
        <v>#DIV/0!</v>
      </c>
      <c r="AA118" s="359" t="str">
        <f>CS_PID!AA118/VLOOKUP($B118,표2[#ALL],2)/hlookup($A118,표4[#ALL],row(),false)</f>
        <v>#DIV/0!</v>
      </c>
      <c r="AB118" s="359" t="str">
        <f>CS_PID!AB118/VLOOKUP($B118,표2[#ALL],2)/hlookup($A118,표4[#ALL],row(),false)</f>
        <v>#DIV/0!</v>
      </c>
      <c r="AC118" s="359" t="str">
        <f>CS_PID!AC118/VLOOKUP($B118,표2[#ALL],2)/hlookup($A118,표4[#ALL],row(),false)</f>
        <v>#DIV/0!</v>
      </c>
      <c r="AD118" s="359" t="str">
        <f>CS_PID!AD118/VLOOKUP($B118,표2[#ALL],2)/hlookup($A118,표4[#ALL],row(),false)</f>
        <v>#DIV/0!</v>
      </c>
      <c r="AE118" s="359" t="str">
        <f>CS_PID!AE118/VLOOKUP($B118,표2[#ALL],2)/hlookup($A118,표4[#ALL],row(),false)</f>
        <v>#DIV/0!</v>
      </c>
      <c r="AF118" s="359" t="str">
        <f>CS_PID!AF118/VLOOKUP($B118,표2[#ALL],2)/hlookup($A118,표4[#ALL],row(),false)</f>
        <v>#DIV/0!</v>
      </c>
      <c r="AG118" s="359" t="str">
        <f>CS_PID!AG118/VLOOKUP($B118,표2[#ALL],2)/hlookup($A118,표4[#ALL],row(),false)</f>
        <v>#DIV/0!</v>
      </c>
      <c r="AH118" s="359" t="str">
        <f>CS_PID!AH118/VLOOKUP($B118,표2[#ALL],2)/hlookup($A118,표4[#ALL],row(),false)</f>
        <v>#DIV/0!</v>
      </c>
      <c r="AI118" s="359" t="str">
        <f>CS_PID!AI118/VLOOKUP($B118,표2[#ALL],2)/hlookup($A118,표4[#ALL],row(),false)</f>
        <v>#DIV/0!</v>
      </c>
      <c r="AJ118" s="359" t="str">
        <f>CS_PID!AJ118/VLOOKUP($B118,표2[#ALL],2)/hlookup($A118,표4[#ALL],row(),false)</f>
        <v>#DIV/0!</v>
      </c>
      <c r="AK118" s="359" t="str">
        <f>CS_PID!AK118/VLOOKUP($B118,표2[#ALL],2)/hlookup($A118,표4[#ALL],row(),false)</f>
        <v>#DIV/0!</v>
      </c>
      <c r="AL118" s="359" t="str">
        <f>CS_PID!AL118/VLOOKUP($B118,표2[#ALL],2)/hlookup($A118,표4[#ALL],row(),false)</f>
        <v>#DIV/0!</v>
      </c>
      <c r="AM118" s="359" t="str">
        <f>CS_PID!AM118/VLOOKUP($B118,표2[#ALL],2)/hlookup($A118,표4[#ALL],row(),false)</f>
        <v>#DIV/0!</v>
      </c>
      <c r="AN118" s="359" t="str">
        <f>CS_PID!AN118/VLOOKUP($B118,표2[#ALL],2)/hlookup($A118,표4[#ALL],row(),false)</f>
        <v>#DIV/0!</v>
      </c>
      <c r="AO118" s="359" t="str">
        <f>CS_PID!AO118/VLOOKUP($B118,표2[#ALL],2)/hlookup($A118,표4[#ALL],row(),false)</f>
        <v>#DIV/0!</v>
      </c>
      <c r="AP118" s="359" t="str">
        <f>CS_PID!AP118/VLOOKUP($B118,표2[#ALL],2)/hlookup($A118,표4[#ALL],row(),false)</f>
        <v>#DIV/0!</v>
      </c>
      <c r="AQ118" s="359" t="str">
        <f>CS_PID!AQ118/VLOOKUP($B118,표2[#ALL],2)/hlookup($A118,표4[#ALL],row(),false)</f>
        <v>#DIV/0!</v>
      </c>
      <c r="AR118" s="359" t="str">
        <f>CS_PID!AR118/VLOOKUP($B118,표2[#ALL],2)/hlookup($A118,표4[#ALL],row(),false)</f>
        <v>#DIV/0!</v>
      </c>
      <c r="AS118" s="359" t="str">
        <f>CS_PID!AS118/VLOOKUP($B118,표2[#ALL],2)/hlookup($A118,표4[#ALL],row(),false)</f>
        <v>#DIV/0!</v>
      </c>
    </row>
    <row r="119">
      <c r="A119" s="173" t="s">
        <v>126</v>
      </c>
      <c r="B119" s="178">
        <v>393.0</v>
      </c>
      <c r="C119" s="359">
        <f>CS_PID!C119/VLOOKUP($B119,표2[#ALL],2)/hlookup($A119,표4[#ALL],row(),false)</f>
        <v>0</v>
      </c>
      <c r="D119" s="359">
        <f>CS_PID!D119/VLOOKUP($B119,표2[#ALL],2)/hlookup($A119,표4[#ALL],row(),false)</f>
        <v>0</v>
      </c>
      <c r="E119" s="359">
        <f>CS_PID!E119/VLOOKUP($B119,표2[#ALL],2)/hlookup($A119,표4[#ALL],row(),false)</f>
        <v>0</v>
      </c>
      <c r="F119" s="359">
        <f>CS_PID!F119/VLOOKUP($B119,표2[#ALL],2)/hlookup($A119,표4[#ALL],row(),false)</f>
        <v>0</v>
      </c>
      <c r="G119" s="359">
        <f>CS_PID!G119/VLOOKUP($B119,표2[#ALL],2)/hlookup($A119,표4[#ALL],row(),false)</f>
        <v>0</v>
      </c>
      <c r="H119" s="359">
        <f>CS_PID!H119/VLOOKUP($B119,표2[#ALL],2)/hlookup($A119,표4[#ALL],row(),false)</f>
        <v>0</v>
      </c>
      <c r="I119" s="359">
        <f>CS_PID!I119/VLOOKUP($B119,표2[#ALL],2)/hlookup($A119,표4[#ALL],row(),false)</f>
        <v>0</v>
      </c>
      <c r="J119" s="359">
        <f>CS_PID!J119/VLOOKUP($B119,표2[#ALL],2)/hlookup($A119,표4[#ALL],row(),false)</f>
        <v>1</v>
      </c>
      <c r="K119" s="359">
        <f>CS_PID!K119/VLOOKUP($B119,표2[#ALL],2)/hlookup($A119,표4[#ALL],row(),false)</f>
        <v>1</v>
      </c>
      <c r="L119" s="359">
        <f>CS_PID!L119/VLOOKUP($B119,표2[#ALL],2)/hlookup($A119,표4[#ALL],row(),false)</f>
        <v>0</v>
      </c>
      <c r="M119" s="359">
        <f>CS_PID!M119/VLOOKUP($B119,표2[#ALL],2)/hlookup($A119,표4[#ALL],row(),false)</f>
        <v>0</v>
      </c>
      <c r="N119" s="359">
        <f>CS_PID!N119/VLOOKUP($B119,표2[#ALL],2)/hlookup($A119,표4[#ALL],row(),false)</f>
        <v>0</v>
      </c>
      <c r="O119" s="359">
        <f>CS_PID!O119/VLOOKUP($B119,표2[#ALL],2)/hlookup($A119,표4[#ALL],row(),false)</f>
        <v>0</v>
      </c>
      <c r="P119" s="359">
        <f>CS_PID!P119/VLOOKUP($B119,표2[#ALL],2)/hlookup($A119,표4[#ALL],row(),false)</f>
        <v>0</v>
      </c>
      <c r="Q119" s="359">
        <f>CS_PID!Q119/VLOOKUP($B119,표2[#ALL],2)/hlookup($A119,표4[#ALL],row(),false)</f>
        <v>0</v>
      </c>
      <c r="R119" s="359">
        <f>CS_PID!R119/VLOOKUP($B119,표2[#ALL],2)/hlookup($A119,표4[#ALL],row(),false)</f>
        <v>1</v>
      </c>
      <c r="S119" s="359">
        <f>CS_PID!S119/VLOOKUP($B119,표2[#ALL],2)/hlookup($A119,표4[#ALL],row(),false)</f>
        <v>0</v>
      </c>
      <c r="T119" s="359">
        <f>CS_PID!T119/VLOOKUP($B119,표2[#ALL],2)/hlookup($A119,표4[#ALL],row(),false)</f>
        <v>0</v>
      </c>
      <c r="U119" s="359">
        <f>CS_PID!U119/VLOOKUP($B119,표2[#ALL],2)/hlookup($A119,표4[#ALL],row(),false)</f>
        <v>0</v>
      </c>
      <c r="V119" s="359">
        <f>CS_PID!V119/VLOOKUP($B119,표2[#ALL],2)/hlookup($A119,표4[#ALL],row(),false)</f>
        <v>0</v>
      </c>
      <c r="W119" s="359">
        <f>CS_PID!W119/VLOOKUP($B119,표2[#ALL],2)/hlookup($A119,표4[#ALL],row(),false)</f>
        <v>1</v>
      </c>
      <c r="X119" s="359">
        <f>CS_PID!X119/VLOOKUP($B119,표2[#ALL],2)/hlookup($A119,표4[#ALL],row(),false)</f>
        <v>2</v>
      </c>
      <c r="Y119" s="359">
        <f>CS_PID!Y119/VLOOKUP($B119,표2[#ALL],2)/hlookup($A119,표4[#ALL],row(),false)</f>
        <v>0</v>
      </c>
      <c r="Z119" s="359">
        <f>CS_PID!Z119/VLOOKUP($B119,표2[#ALL],2)/hlookup($A119,표4[#ALL],row(),false)</f>
        <v>0</v>
      </c>
      <c r="AA119" s="359">
        <f>CS_PID!AA119/VLOOKUP($B119,표2[#ALL],2)/hlookup($A119,표4[#ALL],row(),false)</f>
        <v>0</v>
      </c>
      <c r="AB119" s="359">
        <f>CS_PID!AB119/VLOOKUP($B119,표2[#ALL],2)/hlookup($A119,표4[#ALL],row(),false)</f>
        <v>0</v>
      </c>
      <c r="AC119" s="359">
        <f>CS_PID!AC119/VLOOKUP($B119,표2[#ALL],2)/hlookup($A119,표4[#ALL],row(),false)</f>
        <v>0</v>
      </c>
      <c r="AD119" s="359">
        <f>CS_PID!AD119/VLOOKUP($B119,표2[#ALL],2)/hlookup($A119,표4[#ALL],row(),false)</f>
        <v>0</v>
      </c>
      <c r="AE119" s="359">
        <f>CS_PID!AE119/VLOOKUP($B119,표2[#ALL],2)/hlookup($A119,표4[#ALL],row(),false)</f>
        <v>0</v>
      </c>
      <c r="AF119" s="359">
        <f>CS_PID!AF119/VLOOKUP($B119,표2[#ALL],2)/hlookup($A119,표4[#ALL],row(),false)</f>
        <v>0</v>
      </c>
      <c r="AG119" s="359">
        <f>CS_PID!AG119/VLOOKUP($B119,표2[#ALL],2)/hlookup($A119,표4[#ALL],row(),false)</f>
        <v>0</v>
      </c>
      <c r="AH119" s="359">
        <f>CS_PID!AH119/VLOOKUP($B119,표2[#ALL],2)/hlookup($A119,표4[#ALL],row(),false)</f>
        <v>0</v>
      </c>
      <c r="AI119" s="359">
        <f>CS_PID!AI119/VLOOKUP($B119,표2[#ALL],2)/hlookup($A119,표4[#ALL],row(),false)</f>
        <v>0</v>
      </c>
      <c r="AJ119" s="359">
        <f>CS_PID!AJ119/VLOOKUP($B119,표2[#ALL],2)/hlookup($A119,표4[#ALL],row(),false)</f>
        <v>0</v>
      </c>
      <c r="AK119" s="359">
        <f>CS_PID!AK119/VLOOKUP($B119,표2[#ALL],2)/hlookup($A119,표4[#ALL],row(),false)</f>
        <v>0</v>
      </c>
      <c r="AL119" s="359">
        <f>CS_PID!AL119/VLOOKUP($B119,표2[#ALL],2)/hlookup($A119,표4[#ALL],row(),false)</f>
        <v>0</v>
      </c>
      <c r="AM119" s="359">
        <f>CS_PID!AM119/VLOOKUP($B119,표2[#ALL],2)/hlookup($A119,표4[#ALL],row(),false)</f>
        <v>0</v>
      </c>
      <c r="AN119" s="359">
        <f>CS_PID!AN119/VLOOKUP($B119,표2[#ALL],2)/hlookup($A119,표4[#ALL],row(),false)</f>
        <v>0</v>
      </c>
      <c r="AO119" s="359">
        <f>CS_PID!AO119/VLOOKUP($B119,표2[#ALL],2)/hlookup($A119,표4[#ALL],row(),false)</f>
        <v>0</v>
      </c>
      <c r="AP119" s="359">
        <f>CS_PID!AP119/VLOOKUP($B119,표2[#ALL],2)/hlookup($A119,표4[#ALL],row(),false)</f>
        <v>0</v>
      </c>
      <c r="AQ119" s="359">
        <f>CS_PID!AQ119/VLOOKUP($B119,표2[#ALL],2)/hlookup($A119,표4[#ALL],row(),false)</f>
        <v>0</v>
      </c>
      <c r="AR119" s="359">
        <f>CS_PID!AR119/VLOOKUP($B119,표2[#ALL],2)/hlookup($A119,표4[#ALL],row(),false)</f>
        <v>0</v>
      </c>
      <c r="AS119" s="359">
        <f>CS_PID!AS119/VLOOKUP($B119,표2[#ALL],2)/hlookup($A119,표4[#ALL],row(),false)</f>
        <v>0</v>
      </c>
    </row>
    <row r="120">
      <c r="A120" s="173" t="s">
        <v>126</v>
      </c>
      <c r="B120" s="178">
        <v>394.0</v>
      </c>
      <c r="C120" s="359">
        <f>CS_PID!C120/VLOOKUP($B120,표2[#ALL],2)/hlookup($A120,표4[#ALL],row(),false)</f>
        <v>0</v>
      </c>
      <c r="D120" s="359">
        <f>CS_PID!D120/VLOOKUP($B120,표2[#ALL],2)/hlookup($A120,표4[#ALL],row(),false)</f>
        <v>0.06666666667</v>
      </c>
      <c r="E120" s="359">
        <f>CS_PID!E120/VLOOKUP($B120,표2[#ALL],2)/hlookup($A120,표4[#ALL],row(),false)</f>
        <v>0.1333333333</v>
      </c>
      <c r="F120" s="359">
        <f>CS_PID!F120/VLOOKUP($B120,표2[#ALL],2)/hlookup($A120,표4[#ALL],row(),false)</f>
        <v>0.8</v>
      </c>
      <c r="G120" s="359">
        <f>CS_PID!G120/VLOOKUP($B120,표2[#ALL],2)/hlookup($A120,표4[#ALL],row(),false)</f>
        <v>0.2</v>
      </c>
      <c r="H120" s="359">
        <f>CS_PID!H120/VLOOKUP($B120,표2[#ALL],2)/hlookup($A120,표4[#ALL],row(),false)</f>
        <v>0</v>
      </c>
      <c r="I120" s="359">
        <f>CS_PID!I120/VLOOKUP($B120,표2[#ALL],2)/hlookup($A120,표4[#ALL],row(),false)</f>
        <v>0</v>
      </c>
      <c r="J120" s="359">
        <f>CS_PID!J120/VLOOKUP($B120,표2[#ALL],2)/hlookup($A120,표4[#ALL],row(),false)</f>
        <v>0.1333333333</v>
      </c>
      <c r="K120" s="359">
        <f>CS_PID!K120/VLOOKUP($B120,표2[#ALL],2)/hlookup($A120,표4[#ALL],row(),false)</f>
        <v>1</v>
      </c>
      <c r="L120" s="359">
        <f>CS_PID!L120/VLOOKUP($B120,표2[#ALL],2)/hlookup($A120,표4[#ALL],row(),false)</f>
        <v>0.4666666667</v>
      </c>
      <c r="M120" s="359">
        <f>CS_PID!M120/VLOOKUP($B120,표2[#ALL],2)/hlookup($A120,표4[#ALL],row(),false)</f>
        <v>0.2</v>
      </c>
      <c r="N120" s="359">
        <f>CS_PID!N120/VLOOKUP($B120,표2[#ALL],2)/hlookup($A120,표4[#ALL],row(),false)</f>
        <v>0</v>
      </c>
      <c r="O120" s="359">
        <f>CS_PID!O120/VLOOKUP($B120,표2[#ALL],2)/hlookup($A120,표4[#ALL],row(),false)</f>
        <v>0</v>
      </c>
      <c r="P120" s="359">
        <f>CS_PID!P120/VLOOKUP($B120,표2[#ALL],2)/hlookup($A120,표4[#ALL],row(),false)</f>
        <v>0</v>
      </c>
      <c r="Q120" s="359">
        <f>CS_PID!Q120/VLOOKUP($B120,표2[#ALL],2)/hlookup($A120,표4[#ALL],row(),false)</f>
        <v>0.8666666667</v>
      </c>
      <c r="R120" s="359">
        <f>CS_PID!R120/VLOOKUP($B120,표2[#ALL],2)/hlookup($A120,표4[#ALL],row(),false)</f>
        <v>0.6</v>
      </c>
      <c r="S120" s="359">
        <f>CS_PID!S120/VLOOKUP($B120,표2[#ALL],2)/hlookup($A120,표4[#ALL],row(),false)</f>
        <v>0.2</v>
      </c>
      <c r="T120" s="359">
        <f>CS_PID!T120/VLOOKUP($B120,표2[#ALL],2)/hlookup($A120,표4[#ALL],row(),false)</f>
        <v>0</v>
      </c>
      <c r="U120" s="359">
        <f>CS_PID!U120/VLOOKUP($B120,표2[#ALL],2)/hlookup($A120,표4[#ALL],row(),false)</f>
        <v>0</v>
      </c>
      <c r="V120" s="359">
        <f>CS_PID!V120/VLOOKUP($B120,표2[#ALL],2)/hlookup($A120,표4[#ALL],row(),false)</f>
        <v>0.06666666667</v>
      </c>
      <c r="W120" s="359">
        <f>CS_PID!W120/VLOOKUP($B120,표2[#ALL],2)/hlookup($A120,표4[#ALL],row(),false)</f>
        <v>0.06666666667</v>
      </c>
      <c r="X120" s="359">
        <f>CS_PID!X120/VLOOKUP($B120,표2[#ALL],2)/hlookup($A120,표4[#ALL],row(),false)</f>
        <v>0.3333333333</v>
      </c>
      <c r="Y120" s="359">
        <f>CS_PID!Y120/VLOOKUP($B120,표2[#ALL],2)/hlookup($A120,표4[#ALL],row(),false)</f>
        <v>0.2666666667</v>
      </c>
      <c r="Z120" s="359">
        <f>CS_PID!Z120/VLOOKUP($B120,표2[#ALL],2)/hlookup($A120,표4[#ALL],row(),false)</f>
        <v>0</v>
      </c>
      <c r="AA120" s="359">
        <f>CS_PID!AA120/VLOOKUP($B120,표2[#ALL],2)/hlookup($A120,표4[#ALL],row(),false)</f>
        <v>0</v>
      </c>
      <c r="AB120" s="359">
        <f>CS_PID!AB120/VLOOKUP($B120,표2[#ALL],2)/hlookup($A120,표4[#ALL],row(),false)</f>
        <v>0</v>
      </c>
      <c r="AC120" s="359">
        <f>CS_PID!AC120/VLOOKUP($B120,표2[#ALL],2)/hlookup($A120,표4[#ALL],row(),false)</f>
        <v>0.06666666667</v>
      </c>
      <c r="AD120" s="359">
        <f>CS_PID!AD120/VLOOKUP($B120,표2[#ALL],2)/hlookup($A120,표4[#ALL],row(),false)</f>
        <v>0.6</v>
      </c>
      <c r="AE120" s="359">
        <f>CS_PID!AE120/VLOOKUP($B120,표2[#ALL],2)/hlookup($A120,표4[#ALL],row(),false)</f>
        <v>0.1333333333</v>
      </c>
      <c r="AF120" s="359">
        <f>CS_PID!AF120/VLOOKUP($B120,표2[#ALL],2)/hlookup($A120,표4[#ALL],row(),false)</f>
        <v>0</v>
      </c>
      <c r="AG120" s="359">
        <f>CS_PID!AG120/VLOOKUP($B120,표2[#ALL],2)/hlookup($A120,표4[#ALL],row(),false)</f>
        <v>0</v>
      </c>
      <c r="AH120" s="359">
        <f>CS_PID!AH120/VLOOKUP($B120,표2[#ALL],2)/hlookup($A120,표4[#ALL],row(),false)</f>
        <v>0</v>
      </c>
      <c r="AI120" s="359">
        <f>CS_PID!AI120/VLOOKUP($B120,표2[#ALL],2)/hlookup($A120,표4[#ALL],row(),false)</f>
        <v>0</v>
      </c>
      <c r="AJ120" s="359">
        <f>CS_PID!AJ120/VLOOKUP($B120,표2[#ALL],2)/hlookup($A120,표4[#ALL],row(),false)</f>
        <v>0.1333333333</v>
      </c>
      <c r="AK120" s="359">
        <f>CS_PID!AK120/VLOOKUP($B120,표2[#ALL],2)/hlookup($A120,표4[#ALL],row(),false)</f>
        <v>0</v>
      </c>
      <c r="AL120" s="359">
        <f>CS_PID!AL120/VLOOKUP($B120,표2[#ALL],2)/hlookup($A120,표4[#ALL],row(),false)</f>
        <v>0</v>
      </c>
      <c r="AM120" s="359">
        <f>CS_PID!AM120/VLOOKUP($B120,표2[#ALL],2)/hlookup($A120,표4[#ALL],row(),false)</f>
        <v>0</v>
      </c>
      <c r="AN120" s="359">
        <f>CS_PID!AN120/VLOOKUP($B120,표2[#ALL],2)/hlookup($A120,표4[#ALL],row(),false)</f>
        <v>0</v>
      </c>
      <c r="AO120" s="359">
        <f>CS_PID!AO120/VLOOKUP($B120,표2[#ALL],2)/hlookup($A120,표4[#ALL],row(),false)</f>
        <v>0.1333333333</v>
      </c>
      <c r="AP120" s="359">
        <f>CS_PID!AP120/VLOOKUP($B120,표2[#ALL],2)/hlookup($A120,표4[#ALL],row(),false)</f>
        <v>0</v>
      </c>
      <c r="AQ120" s="359">
        <f>CS_PID!AQ120/VLOOKUP($B120,표2[#ALL],2)/hlookup($A120,표4[#ALL],row(),false)</f>
        <v>0</v>
      </c>
      <c r="AR120" s="359">
        <f>CS_PID!AR120/VLOOKUP($B120,표2[#ALL],2)/hlookup($A120,표4[#ALL],row(),false)</f>
        <v>0</v>
      </c>
      <c r="AS120" s="359">
        <f>CS_PID!AS120/VLOOKUP($B120,표2[#ALL],2)/hlookup($A120,표4[#ALL],row(),false)</f>
        <v>0</v>
      </c>
    </row>
    <row r="121">
      <c r="A121" s="173" t="s">
        <v>126</v>
      </c>
      <c r="B121" s="178">
        <v>395.0</v>
      </c>
      <c r="C121" s="359" t="str">
        <f>CS_PID!C121/VLOOKUP($B121,표2[#ALL],2)/hlookup($A121,표4[#ALL],row(),false)</f>
        <v>#DIV/0!</v>
      </c>
      <c r="D121" s="359" t="str">
        <f>CS_PID!D121/VLOOKUP($B121,표2[#ALL],2)/hlookup($A121,표4[#ALL],row(),false)</f>
        <v>#DIV/0!</v>
      </c>
      <c r="E121" s="359" t="str">
        <f>CS_PID!E121/VLOOKUP($B121,표2[#ALL],2)/hlookup($A121,표4[#ALL],row(),false)</f>
        <v>#DIV/0!</v>
      </c>
      <c r="F121" s="359" t="str">
        <f>CS_PID!F121/VLOOKUP($B121,표2[#ALL],2)/hlookup($A121,표4[#ALL],row(),false)</f>
        <v>#DIV/0!</v>
      </c>
      <c r="G121" s="359" t="str">
        <f>CS_PID!G121/VLOOKUP($B121,표2[#ALL],2)/hlookup($A121,표4[#ALL],row(),false)</f>
        <v>#DIV/0!</v>
      </c>
      <c r="H121" s="359" t="str">
        <f>CS_PID!H121/VLOOKUP($B121,표2[#ALL],2)/hlookup($A121,표4[#ALL],row(),false)</f>
        <v>#DIV/0!</v>
      </c>
      <c r="I121" s="359" t="str">
        <f>CS_PID!I121/VLOOKUP($B121,표2[#ALL],2)/hlookup($A121,표4[#ALL],row(),false)</f>
        <v>#DIV/0!</v>
      </c>
      <c r="J121" s="359" t="str">
        <f>CS_PID!J121/VLOOKUP($B121,표2[#ALL],2)/hlookup($A121,표4[#ALL],row(),false)</f>
        <v>#DIV/0!</v>
      </c>
      <c r="K121" s="359" t="str">
        <f>CS_PID!K121/VLOOKUP($B121,표2[#ALL],2)/hlookup($A121,표4[#ALL],row(),false)</f>
        <v>#DIV/0!</v>
      </c>
      <c r="L121" s="359" t="str">
        <f>CS_PID!L121/VLOOKUP($B121,표2[#ALL],2)/hlookup($A121,표4[#ALL],row(),false)</f>
        <v>#DIV/0!</v>
      </c>
      <c r="M121" s="359" t="str">
        <f>CS_PID!M121/VLOOKUP($B121,표2[#ALL],2)/hlookup($A121,표4[#ALL],row(),false)</f>
        <v>#DIV/0!</v>
      </c>
      <c r="N121" s="359" t="str">
        <f>CS_PID!N121/VLOOKUP($B121,표2[#ALL],2)/hlookup($A121,표4[#ALL],row(),false)</f>
        <v>#DIV/0!</v>
      </c>
      <c r="O121" s="359" t="str">
        <f>CS_PID!O121/VLOOKUP($B121,표2[#ALL],2)/hlookup($A121,표4[#ALL],row(),false)</f>
        <v>#DIV/0!</v>
      </c>
      <c r="P121" s="359" t="str">
        <f>CS_PID!P121/VLOOKUP($B121,표2[#ALL],2)/hlookup($A121,표4[#ALL],row(),false)</f>
        <v>#DIV/0!</v>
      </c>
      <c r="Q121" s="359" t="str">
        <f>CS_PID!Q121/VLOOKUP($B121,표2[#ALL],2)/hlookup($A121,표4[#ALL],row(),false)</f>
        <v>#DIV/0!</v>
      </c>
      <c r="R121" s="359" t="str">
        <f>CS_PID!R121/VLOOKUP($B121,표2[#ALL],2)/hlookup($A121,표4[#ALL],row(),false)</f>
        <v>#DIV/0!</v>
      </c>
      <c r="S121" s="359" t="str">
        <f>CS_PID!S121/VLOOKUP($B121,표2[#ALL],2)/hlookup($A121,표4[#ALL],row(),false)</f>
        <v>#DIV/0!</v>
      </c>
      <c r="T121" s="359" t="str">
        <f>CS_PID!T121/VLOOKUP($B121,표2[#ALL],2)/hlookup($A121,표4[#ALL],row(),false)</f>
        <v>#DIV/0!</v>
      </c>
      <c r="U121" s="359" t="str">
        <f>CS_PID!U121/VLOOKUP($B121,표2[#ALL],2)/hlookup($A121,표4[#ALL],row(),false)</f>
        <v>#DIV/0!</v>
      </c>
      <c r="V121" s="359" t="str">
        <f>CS_PID!V121/VLOOKUP($B121,표2[#ALL],2)/hlookup($A121,표4[#ALL],row(),false)</f>
        <v>#DIV/0!</v>
      </c>
      <c r="W121" s="359" t="str">
        <f>CS_PID!W121/VLOOKUP($B121,표2[#ALL],2)/hlookup($A121,표4[#ALL],row(),false)</f>
        <v>#DIV/0!</v>
      </c>
      <c r="X121" s="359" t="str">
        <f>CS_PID!X121/VLOOKUP($B121,표2[#ALL],2)/hlookup($A121,표4[#ALL],row(),false)</f>
        <v>#DIV/0!</v>
      </c>
      <c r="Y121" s="359" t="str">
        <f>CS_PID!Y121/VLOOKUP($B121,표2[#ALL],2)/hlookup($A121,표4[#ALL],row(),false)</f>
        <v>#DIV/0!</v>
      </c>
      <c r="Z121" s="359" t="str">
        <f>CS_PID!Z121/VLOOKUP($B121,표2[#ALL],2)/hlookup($A121,표4[#ALL],row(),false)</f>
        <v>#DIV/0!</v>
      </c>
      <c r="AA121" s="359" t="str">
        <f>CS_PID!AA121/VLOOKUP($B121,표2[#ALL],2)/hlookup($A121,표4[#ALL],row(),false)</f>
        <v>#DIV/0!</v>
      </c>
      <c r="AB121" s="359" t="str">
        <f>CS_PID!AB121/VLOOKUP($B121,표2[#ALL],2)/hlookup($A121,표4[#ALL],row(),false)</f>
        <v>#DIV/0!</v>
      </c>
      <c r="AC121" s="359" t="str">
        <f>CS_PID!AC121/VLOOKUP($B121,표2[#ALL],2)/hlookup($A121,표4[#ALL],row(),false)</f>
        <v>#DIV/0!</v>
      </c>
      <c r="AD121" s="359" t="str">
        <f>CS_PID!AD121/VLOOKUP($B121,표2[#ALL],2)/hlookup($A121,표4[#ALL],row(),false)</f>
        <v>#DIV/0!</v>
      </c>
      <c r="AE121" s="359" t="str">
        <f>CS_PID!AE121/VLOOKUP($B121,표2[#ALL],2)/hlookup($A121,표4[#ALL],row(),false)</f>
        <v>#DIV/0!</v>
      </c>
      <c r="AF121" s="359" t="str">
        <f>CS_PID!AF121/VLOOKUP($B121,표2[#ALL],2)/hlookup($A121,표4[#ALL],row(),false)</f>
        <v>#DIV/0!</v>
      </c>
      <c r="AG121" s="359" t="str">
        <f>CS_PID!AG121/VLOOKUP($B121,표2[#ALL],2)/hlookup($A121,표4[#ALL],row(),false)</f>
        <v>#DIV/0!</v>
      </c>
      <c r="AH121" s="359" t="str">
        <f>CS_PID!AH121/VLOOKUP($B121,표2[#ALL],2)/hlookup($A121,표4[#ALL],row(),false)</f>
        <v>#DIV/0!</v>
      </c>
      <c r="AI121" s="359" t="str">
        <f>CS_PID!AI121/VLOOKUP($B121,표2[#ALL],2)/hlookup($A121,표4[#ALL],row(),false)</f>
        <v>#DIV/0!</v>
      </c>
      <c r="AJ121" s="359" t="str">
        <f>CS_PID!AJ121/VLOOKUP($B121,표2[#ALL],2)/hlookup($A121,표4[#ALL],row(),false)</f>
        <v>#DIV/0!</v>
      </c>
      <c r="AK121" s="359" t="str">
        <f>CS_PID!AK121/VLOOKUP($B121,표2[#ALL],2)/hlookup($A121,표4[#ALL],row(),false)</f>
        <v>#DIV/0!</v>
      </c>
      <c r="AL121" s="359" t="str">
        <f>CS_PID!AL121/VLOOKUP($B121,표2[#ALL],2)/hlookup($A121,표4[#ALL],row(),false)</f>
        <v>#DIV/0!</v>
      </c>
      <c r="AM121" s="359" t="str">
        <f>CS_PID!AM121/VLOOKUP($B121,표2[#ALL],2)/hlookup($A121,표4[#ALL],row(),false)</f>
        <v>#DIV/0!</v>
      </c>
      <c r="AN121" s="359" t="str">
        <f>CS_PID!AN121/VLOOKUP($B121,표2[#ALL],2)/hlookup($A121,표4[#ALL],row(),false)</f>
        <v>#DIV/0!</v>
      </c>
      <c r="AO121" s="359" t="str">
        <f>CS_PID!AO121/VLOOKUP($B121,표2[#ALL],2)/hlookup($A121,표4[#ALL],row(),false)</f>
        <v>#DIV/0!</v>
      </c>
      <c r="AP121" s="359" t="str">
        <f>CS_PID!AP121/VLOOKUP($B121,표2[#ALL],2)/hlookup($A121,표4[#ALL],row(),false)</f>
        <v>#DIV/0!</v>
      </c>
      <c r="AQ121" s="359" t="str">
        <f>CS_PID!AQ121/VLOOKUP($B121,표2[#ALL],2)/hlookup($A121,표4[#ALL],row(),false)</f>
        <v>#DIV/0!</v>
      </c>
      <c r="AR121" s="359" t="str">
        <f>CS_PID!AR121/VLOOKUP($B121,표2[#ALL],2)/hlookup($A121,표4[#ALL],row(),false)</f>
        <v>#DIV/0!</v>
      </c>
      <c r="AS121" s="359" t="str">
        <f>CS_PID!AS121/VLOOKUP($B121,표2[#ALL],2)/hlookup($A121,표4[#ALL],row(),false)</f>
        <v>#DIV/0!</v>
      </c>
    </row>
    <row r="122">
      <c r="A122" s="173" t="s">
        <v>126</v>
      </c>
      <c r="B122" s="178">
        <v>396.0</v>
      </c>
      <c r="C122" s="359">
        <f>CS_PID!C122/VLOOKUP($B122,표2[#ALL],2)/hlookup($A122,표4[#ALL],row(),false)</f>
        <v>0</v>
      </c>
      <c r="D122" s="359">
        <f>CS_PID!D122/VLOOKUP($B122,표2[#ALL],2)/hlookup($A122,표4[#ALL],row(),false)</f>
        <v>0.1666666667</v>
      </c>
      <c r="E122" s="359">
        <f>CS_PID!E122/VLOOKUP($B122,표2[#ALL],2)/hlookup($A122,표4[#ALL],row(),false)</f>
        <v>0.1666666667</v>
      </c>
      <c r="F122" s="359">
        <f>CS_PID!F122/VLOOKUP($B122,표2[#ALL],2)/hlookup($A122,표4[#ALL],row(),false)</f>
        <v>0.6666666667</v>
      </c>
      <c r="G122" s="359">
        <f>CS_PID!G122/VLOOKUP($B122,표2[#ALL],2)/hlookup($A122,표4[#ALL],row(),false)</f>
        <v>0.3333333333</v>
      </c>
      <c r="H122" s="359">
        <f>CS_PID!H122/VLOOKUP($B122,표2[#ALL],2)/hlookup($A122,표4[#ALL],row(),false)</f>
        <v>0</v>
      </c>
      <c r="I122" s="359">
        <f>CS_PID!I122/VLOOKUP($B122,표2[#ALL],2)/hlookup($A122,표4[#ALL],row(),false)</f>
        <v>0</v>
      </c>
      <c r="J122" s="359">
        <f>CS_PID!J122/VLOOKUP($B122,표2[#ALL],2)/hlookup($A122,표4[#ALL],row(),false)</f>
        <v>0.1666666667</v>
      </c>
      <c r="K122" s="359">
        <f>CS_PID!K122/VLOOKUP($B122,표2[#ALL],2)/hlookup($A122,표4[#ALL],row(),false)</f>
        <v>1</v>
      </c>
      <c r="L122" s="359">
        <f>CS_PID!L122/VLOOKUP($B122,표2[#ALL],2)/hlookup($A122,표4[#ALL],row(),false)</f>
        <v>1.166666667</v>
      </c>
      <c r="M122" s="359">
        <f>CS_PID!M122/VLOOKUP($B122,표2[#ALL],2)/hlookup($A122,표4[#ALL],row(),false)</f>
        <v>0</v>
      </c>
      <c r="N122" s="359">
        <f>CS_PID!N122/VLOOKUP($B122,표2[#ALL],2)/hlookup($A122,표4[#ALL],row(),false)</f>
        <v>0</v>
      </c>
      <c r="O122" s="359">
        <f>CS_PID!O122/VLOOKUP($B122,표2[#ALL],2)/hlookup($A122,표4[#ALL],row(),false)</f>
        <v>0</v>
      </c>
      <c r="P122" s="359">
        <f>CS_PID!P122/VLOOKUP($B122,표2[#ALL],2)/hlookup($A122,표4[#ALL],row(),false)</f>
        <v>0</v>
      </c>
      <c r="Q122" s="359">
        <f>CS_PID!Q122/VLOOKUP($B122,표2[#ALL],2)/hlookup($A122,표4[#ALL],row(),false)</f>
        <v>0.8333333333</v>
      </c>
      <c r="R122" s="359">
        <f>CS_PID!R122/VLOOKUP($B122,표2[#ALL],2)/hlookup($A122,표4[#ALL],row(),false)</f>
        <v>0.6666666667</v>
      </c>
      <c r="S122" s="359">
        <f>CS_PID!S122/VLOOKUP($B122,표2[#ALL],2)/hlookup($A122,표4[#ALL],row(),false)</f>
        <v>0.3333333333</v>
      </c>
      <c r="T122" s="359">
        <f>CS_PID!T122/VLOOKUP($B122,표2[#ALL],2)/hlookup($A122,표4[#ALL],row(),false)</f>
        <v>0</v>
      </c>
      <c r="U122" s="359">
        <f>CS_PID!U122/VLOOKUP($B122,표2[#ALL],2)/hlookup($A122,표4[#ALL],row(),false)</f>
        <v>0</v>
      </c>
      <c r="V122" s="359">
        <f>CS_PID!V122/VLOOKUP($B122,표2[#ALL],2)/hlookup($A122,표4[#ALL],row(),false)</f>
        <v>0</v>
      </c>
      <c r="W122" s="359">
        <f>CS_PID!W122/VLOOKUP($B122,표2[#ALL],2)/hlookup($A122,표4[#ALL],row(),false)</f>
        <v>0.1666666667</v>
      </c>
      <c r="X122" s="359">
        <f>CS_PID!X122/VLOOKUP($B122,표2[#ALL],2)/hlookup($A122,표4[#ALL],row(),false)</f>
        <v>1</v>
      </c>
      <c r="Y122" s="359">
        <f>CS_PID!Y122/VLOOKUP($B122,표2[#ALL],2)/hlookup($A122,표4[#ALL],row(),false)</f>
        <v>0</v>
      </c>
      <c r="Z122" s="359">
        <f>CS_PID!Z122/VLOOKUP($B122,표2[#ALL],2)/hlookup($A122,표4[#ALL],row(),false)</f>
        <v>0</v>
      </c>
      <c r="AA122" s="359">
        <f>CS_PID!AA122/VLOOKUP($B122,표2[#ALL],2)/hlookup($A122,표4[#ALL],row(),false)</f>
        <v>0</v>
      </c>
      <c r="AB122" s="359">
        <f>CS_PID!AB122/VLOOKUP($B122,표2[#ALL],2)/hlookup($A122,표4[#ALL],row(),false)</f>
        <v>0</v>
      </c>
      <c r="AC122" s="359">
        <f>CS_PID!AC122/VLOOKUP($B122,표2[#ALL],2)/hlookup($A122,표4[#ALL],row(),false)</f>
        <v>0.3333333333</v>
      </c>
      <c r="AD122" s="359">
        <f>CS_PID!AD122/VLOOKUP($B122,표2[#ALL],2)/hlookup($A122,표4[#ALL],row(),false)</f>
        <v>0.3333333333</v>
      </c>
      <c r="AE122" s="359">
        <f>CS_PID!AE122/VLOOKUP($B122,표2[#ALL],2)/hlookup($A122,표4[#ALL],row(),false)</f>
        <v>0.1666666667</v>
      </c>
      <c r="AF122" s="359">
        <f>CS_PID!AF122/VLOOKUP($B122,표2[#ALL],2)/hlookup($A122,표4[#ALL],row(),false)</f>
        <v>0</v>
      </c>
      <c r="AG122" s="359">
        <f>CS_PID!AG122/VLOOKUP($B122,표2[#ALL],2)/hlookup($A122,표4[#ALL],row(),false)</f>
        <v>0</v>
      </c>
      <c r="AH122" s="359">
        <f>CS_PID!AH122/VLOOKUP($B122,표2[#ALL],2)/hlookup($A122,표4[#ALL],row(),false)</f>
        <v>0</v>
      </c>
      <c r="AI122" s="359">
        <f>CS_PID!AI122/VLOOKUP($B122,표2[#ALL],2)/hlookup($A122,표4[#ALL],row(),false)</f>
        <v>0</v>
      </c>
      <c r="AJ122" s="359">
        <f>CS_PID!AJ122/VLOOKUP($B122,표2[#ALL],2)/hlookup($A122,표4[#ALL],row(),false)</f>
        <v>0.3333333333</v>
      </c>
      <c r="AK122" s="359">
        <f>CS_PID!AK122/VLOOKUP($B122,표2[#ALL],2)/hlookup($A122,표4[#ALL],row(),false)</f>
        <v>0</v>
      </c>
      <c r="AL122" s="359">
        <f>CS_PID!AL122/VLOOKUP($B122,표2[#ALL],2)/hlookup($A122,표4[#ALL],row(),false)</f>
        <v>0</v>
      </c>
      <c r="AM122" s="359">
        <f>CS_PID!AM122/VLOOKUP($B122,표2[#ALL],2)/hlookup($A122,표4[#ALL],row(),false)</f>
        <v>0</v>
      </c>
      <c r="AN122" s="359">
        <f>CS_PID!AN122/VLOOKUP($B122,표2[#ALL],2)/hlookup($A122,표4[#ALL],row(),false)</f>
        <v>0</v>
      </c>
      <c r="AO122" s="359">
        <f>CS_PID!AO122/VLOOKUP($B122,표2[#ALL],2)/hlookup($A122,표4[#ALL],row(),false)</f>
        <v>0.1666666667</v>
      </c>
      <c r="AP122" s="359">
        <f>CS_PID!AP122/VLOOKUP($B122,표2[#ALL],2)/hlookup($A122,표4[#ALL],row(),false)</f>
        <v>0</v>
      </c>
      <c r="AQ122" s="359">
        <f>CS_PID!AQ122/VLOOKUP($B122,표2[#ALL],2)/hlookup($A122,표4[#ALL],row(),false)</f>
        <v>0</v>
      </c>
      <c r="AR122" s="359">
        <f>CS_PID!AR122/VLOOKUP($B122,표2[#ALL],2)/hlookup($A122,표4[#ALL],row(),false)</f>
        <v>0</v>
      </c>
      <c r="AS122" s="359">
        <f>CS_PID!AS122/VLOOKUP($B122,표2[#ALL],2)/hlookup($A122,표4[#ALL],row(),false)</f>
        <v>0</v>
      </c>
    </row>
    <row r="123">
      <c r="A123" s="173" t="s">
        <v>126</v>
      </c>
      <c r="B123" s="178">
        <v>398.0</v>
      </c>
      <c r="C123" s="359">
        <f>CS_PID!C123/VLOOKUP($B123,표2[#ALL],2)/hlookup($A123,표4[#ALL],row(),false)</f>
        <v>0</v>
      </c>
      <c r="D123" s="359">
        <f>CS_PID!D123/VLOOKUP($B123,표2[#ALL],2)/hlookup($A123,표4[#ALL],row(),false)</f>
        <v>0</v>
      </c>
      <c r="E123" s="359">
        <f>CS_PID!E123/VLOOKUP($B123,표2[#ALL],2)/hlookup($A123,표4[#ALL],row(),false)</f>
        <v>0.07692307692</v>
      </c>
      <c r="F123" s="359">
        <f>CS_PID!F123/VLOOKUP($B123,표2[#ALL],2)/hlookup($A123,표4[#ALL],row(),false)</f>
        <v>1</v>
      </c>
      <c r="G123" s="359">
        <f>CS_PID!G123/VLOOKUP($B123,표2[#ALL],2)/hlookup($A123,표4[#ALL],row(),false)</f>
        <v>0</v>
      </c>
      <c r="H123" s="359">
        <f>CS_PID!H123/VLOOKUP($B123,표2[#ALL],2)/hlookup($A123,표4[#ALL],row(),false)</f>
        <v>0</v>
      </c>
      <c r="I123" s="359">
        <f>CS_PID!I123/VLOOKUP($B123,표2[#ALL],2)/hlookup($A123,표4[#ALL],row(),false)</f>
        <v>0</v>
      </c>
      <c r="J123" s="359">
        <f>CS_PID!J123/VLOOKUP($B123,표2[#ALL],2)/hlookup($A123,표4[#ALL],row(),false)</f>
        <v>0.1538461538</v>
      </c>
      <c r="K123" s="359">
        <f>CS_PID!K123/VLOOKUP($B123,표2[#ALL],2)/hlookup($A123,표4[#ALL],row(),false)</f>
        <v>1</v>
      </c>
      <c r="L123" s="359">
        <f>CS_PID!L123/VLOOKUP($B123,표2[#ALL],2)/hlookup($A123,표4[#ALL],row(),false)</f>
        <v>0.7692307692</v>
      </c>
      <c r="M123" s="359">
        <f>CS_PID!M123/VLOOKUP($B123,표2[#ALL],2)/hlookup($A123,표4[#ALL],row(),false)</f>
        <v>0</v>
      </c>
      <c r="N123" s="359">
        <f>CS_PID!N123/VLOOKUP($B123,표2[#ALL],2)/hlookup($A123,표4[#ALL],row(),false)</f>
        <v>0</v>
      </c>
      <c r="O123" s="359">
        <f>CS_PID!O123/VLOOKUP($B123,표2[#ALL],2)/hlookup($A123,표4[#ALL],row(),false)</f>
        <v>0</v>
      </c>
      <c r="P123" s="359">
        <f>CS_PID!P123/VLOOKUP($B123,표2[#ALL],2)/hlookup($A123,표4[#ALL],row(),false)</f>
        <v>0</v>
      </c>
      <c r="Q123" s="359">
        <f>CS_PID!Q123/VLOOKUP($B123,표2[#ALL],2)/hlookup($A123,표4[#ALL],row(),false)</f>
        <v>0.5384615385</v>
      </c>
      <c r="R123" s="359">
        <f>CS_PID!R123/VLOOKUP($B123,표2[#ALL],2)/hlookup($A123,표4[#ALL],row(),false)</f>
        <v>0.9230769231</v>
      </c>
      <c r="S123" s="359">
        <f>CS_PID!S123/VLOOKUP($B123,표2[#ALL],2)/hlookup($A123,표4[#ALL],row(),false)</f>
        <v>0.07692307692</v>
      </c>
      <c r="T123" s="359">
        <f>CS_PID!T123/VLOOKUP($B123,표2[#ALL],2)/hlookup($A123,표4[#ALL],row(),false)</f>
        <v>0</v>
      </c>
      <c r="U123" s="359">
        <f>CS_PID!U123/VLOOKUP($B123,표2[#ALL],2)/hlookup($A123,표4[#ALL],row(),false)</f>
        <v>0</v>
      </c>
      <c r="V123" s="359">
        <f>CS_PID!V123/VLOOKUP($B123,표2[#ALL],2)/hlookup($A123,표4[#ALL],row(),false)</f>
        <v>0</v>
      </c>
      <c r="W123" s="359">
        <f>CS_PID!W123/VLOOKUP($B123,표2[#ALL],2)/hlookup($A123,표4[#ALL],row(),false)</f>
        <v>0</v>
      </c>
      <c r="X123" s="359">
        <f>CS_PID!X123/VLOOKUP($B123,표2[#ALL],2)/hlookup($A123,표4[#ALL],row(),false)</f>
        <v>0.6153846154</v>
      </c>
      <c r="Y123" s="359">
        <f>CS_PID!Y123/VLOOKUP($B123,표2[#ALL],2)/hlookup($A123,표4[#ALL],row(),false)</f>
        <v>0.07692307692</v>
      </c>
      <c r="Z123" s="359">
        <f>CS_PID!Z123/VLOOKUP($B123,표2[#ALL],2)/hlookup($A123,표4[#ALL],row(),false)</f>
        <v>0</v>
      </c>
      <c r="AA123" s="359">
        <f>CS_PID!AA123/VLOOKUP($B123,표2[#ALL],2)/hlookup($A123,표4[#ALL],row(),false)</f>
        <v>0</v>
      </c>
      <c r="AB123" s="359">
        <f>CS_PID!AB123/VLOOKUP($B123,표2[#ALL],2)/hlookup($A123,표4[#ALL],row(),false)</f>
        <v>0.07692307692</v>
      </c>
      <c r="AC123" s="359">
        <f>CS_PID!AC123/VLOOKUP($B123,표2[#ALL],2)/hlookup($A123,표4[#ALL],row(),false)</f>
        <v>0</v>
      </c>
      <c r="AD123" s="359">
        <f>CS_PID!AD123/VLOOKUP($B123,표2[#ALL],2)/hlookup($A123,표4[#ALL],row(),false)</f>
        <v>0.2307692308</v>
      </c>
      <c r="AE123" s="359">
        <f>CS_PID!AE123/VLOOKUP($B123,표2[#ALL],2)/hlookup($A123,표4[#ALL],row(),false)</f>
        <v>0.2307692308</v>
      </c>
      <c r="AF123" s="359">
        <f>CS_PID!AF123/VLOOKUP($B123,표2[#ALL],2)/hlookup($A123,표4[#ALL],row(),false)</f>
        <v>0</v>
      </c>
      <c r="AG123" s="359">
        <f>CS_PID!AG123/VLOOKUP($B123,표2[#ALL],2)/hlookup($A123,표4[#ALL],row(),false)</f>
        <v>0</v>
      </c>
      <c r="AH123" s="359">
        <f>CS_PID!AH123/VLOOKUP($B123,표2[#ALL],2)/hlookup($A123,표4[#ALL],row(),false)</f>
        <v>0</v>
      </c>
      <c r="AI123" s="359">
        <f>CS_PID!AI123/VLOOKUP($B123,표2[#ALL],2)/hlookup($A123,표4[#ALL],row(),false)</f>
        <v>0.07692307692</v>
      </c>
      <c r="AJ123" s="359">
        <f>CS_PID!AJ123/VLOOKUP($B123,표2[#ALL],2)/hlookup($A123,표4[#ALL],row(),false)</f>
        <v>0.1538461538</v>
      </c>
      <c r="AK123" s="359">
        <f>CS_PID!AK123/VLOOKUP($B123,표2[#ALL],2)/hlookup($A123,표4[#ALL],row(),false)</f>
        <v>0</v>
      </c>
      <c r="AL123" s="359">
        <f>CS_PID!AL123/VLOOKUP($B123,표2[#ALL],2)/hlookup($A123,표4[#ALL],row(),false)</f>
        <v>0</v>
      </c>
      <c r="AM123" s="359">
        <f>CS_PID!AM123/VLOOKUP($B123,표2[#ALL],2)/hlookup($A123,표4[#ALL],row(),false)</f>
        <v>0</v>
      </c>
      <c r="AN123" s="359">
        <f>CS_PID!AN123/VLOOKUP($B123,표2[#ALL],2)/hlookup($A123,표4[#ALL],row(),false)</f>
        <v>0</v>
      </c>
      <c r="AO123" s="359">
        <f>CS_PID!AO123/VLOOKUP($B123,표2[#ALL],2)/hlookup($A123,표4[#ALL],row(),false)</f>
        <v>0</v>
      </c>
      <c r="AP123" s="359">
        <f>CS_PID!AP123/VLOOKUP($B123,표2[#ALL],2)/hlookup($A123,표4[#ALL],row(),false)</f>
        <v>0</v>
      </c>
      <c r="AQ123" s="359">
        <f>CS_PID!AQ123/VLOOKUP($B123,표2[#ALL],2)/hlookup($A123,표4[#ALL],row(),false)</f>
        <v>0</v>
      </c>
      <c r="AR123" s="359">
        <f>CS_PID!AR123/VLOOKUP($B123,표2[#ALL],2)/hlookup($A123,표4[#ALL],row(),false)</f>
        <v>0</v>
      </c>
      <c r="AS123" s="359">
        <f>CS_PID!AS123/VLOOKUP($B123,표2[#ALL],2)/hlookup($A123,표4[#ALL],row(),false)</f>
        <v>0</v>
      </c>
    </row>
    <row r="124">
      <c r="A124" s="173" t="s">
        <v>126</v>
      </c>
      <c r="B124" s="178">
        <v>399.0</v>
      </c>
      <c r="C124" s="359">
        <f>CS_PID!C124/VLOOKUP($B124,표2[#ALL],2)/hlookup($A124,표4[#ALL],row(),false)</f>
        <v>0</v>
      </c>
      <c r="D124" s="359">
        <f>CS_PID!D124/VLOOKUP($B124,표2[#ALL],2)/hlookup($A124,표4[#ALL],row(),false)</f>
        <v>0</v>
      </c>
      <c r="E124" s="359">
        <f>CS_PID!E124/VLOOKUP($B124,표2[#ALL],2)/hlookup($A124,표4[#ALL],row(),false)</f>
        <v>0</v>
      </c>
      <c r="F124" s="359">
        <f>CS_PID!F124/VLOOKUP($B124,표2[#ALL],2)/hlookup($A124,표4[#ALL],row(),false)</f>
        <v>0.5</v>
      </c>
      <c r="G124" s="359">
        <f>CS_PID!G124/VLOOKUP($B124,표2[#ALL],2)/hlookup($A124,표4[#ALL],row(),false)</f>
        <v>0</v>
      </c>
      <c r="H124" s="359">
        <f>CS_PID!H124/VLOOKUP($B124,표2[#ALL],2)/hlookup($A124,표4[#ALL],row(),false)</f>
        <v>0</v>
      </c>
      <c r="I124" s="359">
        <f>CS_PID!I124/VLOOKUP($B124,표2[#ALL],2)/hlookup($A124,표4[#ALL],row(),false)</f>
        <v>0</v>
      </c>
      <c r="J124" s="359">
        <f>CS_PID!J124/VLOOKUP($B124,표2[#ALL],2)/hlookup($A124,표4[#ALL],row(),false)</f>
        <v>0.1666666667</v>
      </c>
      <c r="K124" s="359">
        <f>CS_PID!K124/VLOOKUP($B124,표2[#ALL],2)/hlookup($A124,표4[#ALL],row(),false)</f>
        <v>1</v>
      </c>
      <c r="L124" s="359">
        <f>CS_PID!L124/VLOOKUP($B124,표2[#ALL],2)/hlookup($A124,표4[#ALL],row(),false)</f>
        <v>0.8333333333</v>
      </c>
      <c r="M124" s="359">
        <f>CS_PID!M124/VLOOKUP($B124,표2[#ALL],2)/hlookup($A124,표4[#ALL],row(),false)</f>
        <v>0</v>
      </c>
      <c r="N124" s="359">
        <f>CS_PID!N124/VLOOKUP($B124,표2[#ALL],2)/hlookup($A124,표4[#ALL],row(),false)</f>
        <v>0</v>
      </c>
      <c r="O124" s="359">
        <f>CS_PID!O124/VLOOKUP($B124,표2[#ALL],2)/hlookup($A124,표4[#ALL],row(),false)</f>
        <v>0</v>
      </c>
      <c r="P124" s="359">
        <f>CS_PID!P124/VLOOKUP($B124,표2[#ALL],2)/hlookup($A124,표4[#ALL],row(),false)</f>
        <v>0.3333333333</v>
      </c>
      <c r="Q124" s="359">
        <f>CS_PID!Q124/VLOOKUP($B124,표2[#ALL],2)/hlookup($A124,표4[#ALL],row(),false)</f>
        <v>1.166666667</v>
      </c>
      <c r="R124" s="359">
        <f>CS_PID!R124/VLOOKUP($B124,표2[#ALL],2)/hlookup($A124,표4[#ALL],row(),false)</f>
        <v>0.8333333333</v>
      </c>
      <c r="S124" s="359">
        <f>CS_PID!S124/VLOOKUP($B124,표2[#ALL],2)/hlookup($A124,표4[#ALL],row(),false)</f>
        <v>0</v>
      </c>
      <c r="T124" s="359">
        <f>CS_PID!T124/VLOOKUP($B124,표2[#ALL],2)/hlookup($A124,표4[#ALL],row(),false)</f>
        <v>0</v>
      </c>
      <c r="U124" s="359">
        <f>CS_PID!U124/VLOOKUP($B124,표2[#ALL],2)/hlookup($A124,표4[#ALL],row(),false)</f>
        <v>0</v>
      </c>
      <c r="V124" s="359">
        <f>CS_PID!V124/VLOOKUP($B124,표2[#ALL],2)/hlookup($A124,표4[#ALL],row(),false)</f>
        <v>0</v>
      </c>
      <c r="W124" s="359">
        <f>CS_PID!W124/VLOOKUP($B124,표2[#ALL],2)/hlookup($A124,표4[#ALL],row(),false)</f>
        <v>0.5</v>
      </c>
      <c r="X124" s="359">
        <f>CS_PID!X124/VLOOKUP($B124,표2[#ALL],2)/hlookup($A124,표4[#ALL],row(),false)</f>
        <v>1</v>
      </c>
      <c r="Y124" s="359">
        <f>CS_PID!Y124/VLOOKUP($B124,표2[#ALL],2)/hlookup($A124,표4[#ALL],row(),false)</f>
        <v>0</v>
      </c>
      <c r="Z124" s="359">
        <f>CS_PID!Z124/VLOOKUP($B124,표2[#ALL],2)/hlookup($A124,표4[#ALL],row(),false)</f>
        <v>0</v>
      </c>
      <c r="AA124" s="359">
        <f>CS_PID!AA124/VLOOKUP($B124,표2[#ALL],2)/hlookup($A124,표4[#ALL],row(),false)</f>
        <v>0</v>
      </c>
      <c r="AB124" s="359">
        <f>CS_PID!AB124/VLOOKUP($B124,표2[#ALL],2)/hlookup($A124,표4[#ALL],row(),false)</f>
        <v>0</v>
      </c>
      <c r="AC124" s="359">
        <f>CS_PID!AC124/VLOOKUP($B124,표2[#ALL],2)/hlookup($A124,표4[#ALL],row(),false)</f>
        <v>0</v>
      </c>
      <c r="AD124" s="359">
        <f>CS_PID!AD124/VLOOKUP($B124,표2[#ALL],2)/hlookup($A124,표4[#ALL],row(),false)</f>
        <v>0.1666666667</v>
      </c>
      <c r="AE124" s="359">
        <f>CS_PID!AE124/VLOOKUP($B124,표2[#ALL],2)/hlookup($A124,표4[#ALL],row(),false)</f>
        <v>0.3333333333</v>
      </c>
      <c r="AF124" s="359">
        <f>CS_PID!AF124/VLOOKUP($B124,표2[#ALL],2)/hlookup($A124,표4[#ALL],row(),false)</f>
        <v>0</v>
      </c>
      <c r="AG124" s="359">
        <f>CS_PID!AG124/VLOOKUP($B124,표2[#ALL],2)/hlookup($A124,표4[#ALL],row(),false)</f>
        <v>0</v>
      </c>
      <c r="AH124" s="359">
        <f>CS_PID!AH124/VLOOKUP($B124,표2[#ALL],2)/hlookup($A124,표4[#ALL],row(),false)</f>
        <v>0</v>
      </c>
      <c r="AI124" s="359">
        <f>CS_PID!AI124/VLOOKUP($B124,표2[#ALL],2)/hlookup($A124,표4[#ALL],row(),false)</f>
        <v>0</v>
      </c>
      <c r="AJ124" s="359">
        <f>CS_PID!AJ124/VLOOKUP($B124,표2[#ALL],2)/hlookup($A124,표4[#ALL],row(),false)</f>
        <v>0</v>
      </c>
      <c r="AK124" s="359">
        <f>CS_PID!AK124/VLOOKUP($B124,표2[#ALL],2)/hlookup($A124,표4[#ALL],row(),false)</f>
        <v>0.1666666667</v>
      </c>
      <c r="AL124" s="359">
        <f>CS_PID!AL124/VLOOKUP($B124,표2[#ALL],2)/hlookup($A124,표4[#ALL],row(),false)</f>
        <v>0</v>
      </c>
      <c r="AM124" s="359">
        <f>CS_PID!AM124/VLOOKUP($B124,표2[#ALL],2)/hlookup($A124,표4[#ALL],row(),false)</f>
        <v>0</v>
      </c>
      <c r="AN124" s="359">
        <f>CS_PID!AN124/VLOOKUP($B124,표2[#ALL],2)/hlookup($A124,표4[#ALL],row(),false)</f>
        <v>0</v>
      </c>
      <c r="AO124" s="359">
        <f>CS_PID!AO124/VLOOKUP($B124,표2[#ALL],2)/hlookup($A124,표4[#ALL],row(),false)</f>
        <v>0</v>
      </c>
      <c r="AP124" s="359">
        <f>CS_PID!AP124/VLOOKUP($B124,표2[#ALL],2)/hlookup($A124,표4[#ALL],row(),false)</f>
        <v>0</v>
      </c>
      <c r="AQ124" s="359">
        <f>CS_PID!AQ124/VLOOKUP($B124,표2[#ALL],2)/hlookup($A124,표4[#ALL],row(),false)</f>
        <v>0</v>
      </c>
      <c r="AR124" s="359">
        <f>CS_PID!AR124/VLOOKUP($B124,표2[#ALL],2)/hlookup($A124,표4[#ALL],row(),false)</f>
        <v>0</v>
      </c>
      <c r="AS124" s="359">
        <f>CS_PID!AS124/VLOOKUP($B124,표2[#ALL],2)/hlookup($A124,표4[#ALL],row(),false)</f>
        <v>0</v>
      </c>
    </row>
    <row r="125">
      <c r="A125" s="173" t="s">
        <v>126</v>
      </c>
      <c r="B125" s="178">
        <v>400.0</v>
      </c>
      <c r="C125" s="359">
        <f>CS_PID!C125/VLOOKUP($B125,표2[#ALL],2)/hlookup($A125,표4[#ALL],row(),false)</f>
        <v>0</v>
      </c>
      <c r="D125" s="359">
        <f>CS_PID!D125/VLOOKUP($B125,표2[#ALL],2)/hlookup($A125,표4[#ALL],row(),false)</f>
        <v>0.3333333333</v>
      </c>
      <c r="E125" s="359">
        <f>CS_PID!E125/VLOOKUP($B125,표2[#ALL],2)/hlookup($A125,표4[#ALL],row(),false)</f>
        <v>1</v>
      </c>
      <c r="F125" s="359">
        <f>CS_PID!F125/VLOOKUP($B125,표2[#ALL],2)/hlookup($A125,표4[#ALL],row(),false)</f>
        <v>1</v>
      </c>
      <c r="G125" s="359">
        <f>CS_PID!G125/VLOOKUP($B125,표2[#ALL],2)/hlookup($A125,표4[#ALL],row(),false)</f>
        <v>0</v>
      </c>
      <c r="H125" s="359">
        <f>CS_PID!H125/VLOOKUP($B125,표2[#ALL],2)/hlookup($A125,표4[#ALL],row(),false)</f>
        <v>0</v>
      </c>
      <c r="I125" s="359">
        <f>CS_PID!I125/VLOOKUP($B125,표2[#ALL],2)/hlookup($A125,표4[#ALL],row(),false)</f>
        <v>0</v>
      </c>
      <c r="J125" s="359">
        <f>CS_PID!J125/VLOOKUP($B125,표2[#ALL],2)/hlookup($A125,표4[#ALL],row(),false)</f>
        <v>0</v>
      </c>
      <c r="K125" s="359">
        <f>CS_PID!K125/VLOOKUP($B125,표2[#ALL],2)/hlookup($A125,표4[#ALL],row(),false)</f>
        <v>1</v>
      </c>
      <c r="L125" s="359">
        <f>CS_PID!L125/VLOOKUP($B125,표2[#ALL],2)/hlookup($A125,표4[#ALL],row(),false)</f>
        <v>1</v>
      </c>
      <c r="M125" s="359">
        <f>CS_PID!M125/VLOOKUP($B125,표2[#ALL],2)/hlookup($A125,표4[#ALL],row(),false)</f>
        <v>0</v>
      </c>
      <c r="N125" s="359">
        <f>CS_PID!N125/VLOOKUP($B125,표2[#ALL],2)/hlookup($A125,표4[#ALL],row(),false)</f>
        <v>0</v>
      </c>
      <c r="O125" s="359">
        <f>CS_PID!O125/VLOOKUP($B125,표2[#ALL],2)/hlookup($A125,표4[#ALL],row(),false)</f>
        <v>0</v>
      </c>
      <c r="P125" s="359">
        <f>CS_PID!P125/VLOOKUP($B125,표2[#ALL],2)/hlookup($A125,표4[#ALL],row(),false)</f>
        <v>0</v>
      </c>
      <c r="Q125" s="359">
        <f>CS_PID!Q125/VLOOKUP($B125,표2[#ALL],2)/hlookup($A125,표4[#ALL],row(),false)</f>
        <v>0.6666666667</v>
      </c>
      <c r="R125" s="359">
        <f>CS_PID!R125/VLOOKUP($B125,표2[#ALL],2)/hlookup($A125,표4[#ALL],row(),false)</f>
        <v>1.333333333</v>
      </c>
      <c r="S125" s="359">
        <f>CS_PID!S125/VLOOKUP($B125,표2[#ALL],2)/hlookup($A125,표4[#ALL],row(),false)</f>
        <v>0</v>
      </c>
      <c r="T125" s="359">
        <f>CS_PID!T125/VLOOKUP($B125,표2[#ALL],2)/hlookup($A125,표4[#ALL],row(),false)</f>
        <v>0</v>
      </c>
      <c r="U125" s="359">
        <f>CS_PID!U125/VLOOKUP($B125,표2[#ALL],2)/hlookup($A125,표4[#ALL],row(),false)</f>
        <v>0</v>
      </c>
      <c r="V125" s="359">
        <f>CS_PID!V125/VLOOKUP($B125,표2[#ALL],2)/hlookup($A125,표4[#ALL],row(),false)</f>
        <v>0</v>
      </c>
      <c r="W125" s="359">
        <f>CS_PID!W125/VLOOKUP($B125,표2[#ALL],2)/hlookup($A125,표4[#ALL],row(),false)</f>
        <v>0.6666666667</v>
      </c>
      <c r="X125" s="359">
        <f>CS_PID!X125/VLOOKUP($B125,표2[#ALL],2)/hlookup($A125,표4[#ALL],row(),false)</f>
        <v>0.3333333333</v>
      </c>
      <c r="Y125" s="359">
        <f>CS_PID!Y125/VLOOKUP($B125,표2[#ALL],2)/hlookup($A125,표4[#ALL],row(),false)</f>
        <v>0</v>
      </c>
      <c r="Z125" s="359">
        <f>CS_PID!Z125/VLOOKUP($B125,표2[#ALL],2)/hlookup($A125,표4[#ALL],row(),false)</f>
        <v>0</v>
      </c>
      <c r="AA125" s="359">
        <f>CS_PID!AA125/VLOOKUP($B125,표2[#ALL],2)/hlookup($A125,표4[#ALL],row(),false)</f>
        <v>0</v>
      </c>
      <c r="AB125" s="359">
        <f>CS_PID!AB125/VLOOKUP($B125,표2[#ALL],2)/hlookup($A125,표4[#ALL],row(),false)</f>
        <v>0</v>
      </c>
      <c r="AC125" s="359">
        <f>CS_PID!AC125/VLOOKUP($B125,표2[#ALL],2)/hlookup($A125,표4[#ALL],row(),false)</f>
        <v>0.3333333333</v>
      </c>
      <c r="AD125" s="359">
        <f>CS_PID!AD125/VLOOKUP($B125,표2[#ALL],2)/hlookup($A125,표4[#ALL],row(),false)</f>
        <v>0.6666666667</v>
      </c>
      <c r="AE125" s="359">
        <f>CS_PID!AE125/VLOOKUP($B125,표2[#ALL],2)/hlookup($A125,표4[#ALL],row(),false)</f>
        <v>0</v>
      </c>
      <c r="AF125" s="359">
        <f>CS_PID!AF125/VLOOKUP($B125,표2[#ALL],2)/hlookup($A125,표4[#ALL],row(),false)</f>
        <v>0</v>
      </c>
      <c r="AG125" s="359">
        <f>CS_PID!AG125/VLOOKUP($B125,표2[#ALL],2)/hlookup($A125,표4[#ALL],row(),false)</f>
        <v>0</v>
      </c>
      <c r="AH125" s="359">
        <f>CS_PID!AH125/VLOOKUP($B125,표2[#ALL],2)/hlookup($A125,표4[#ALL],row(),false)</f>
        <v>0</v>
      </c>
      <c r="AI125" s="359">
        <f>CS_PID!AI125/VLOOKUP($B125,표2[#ALL],2)/hlookup($A125,표4[#ALL],row(),false)</f>
        <v>0</v>
      </c>
      <c r="AJ125" s="359">
        <f>CS_PID!AJ125/VLOOKUP($B125,표2[#ALL],2)/hlookup($A125,표4[#ALL],row(),false)</f>
        <v>0</v>
      </c>
      <c r="AK125" s="359">
        <f>CS_PID!AK125/VLOOKUP($B125,표2[#ALL],2)/hlookup($A125,표4[#ALL],row(),false)</f>
        <v>0</v>
      </c>
      <c r="AL125" s="359">
        <f>CS_PID!AL125/VLOOKUP($B125,표2[#ALL],2)/hlookup($A125,표4[#ALL],row(),false)</f>
        <v>0</v>
      </c>
      <c r="AM125" s="359">
        <f>CS_PID!AM125/VLOOKUP($B125,표2[#ALL],2)/hlookup($A125,표4[#ALL],row(),false)</f>
        <v>0</v>
      </c>
      <c r="AN125" s="359">
        <f>CS_PID!AN125/VLOOKUP($B125,표2[#ALL],2)/hlookup($A125,표4[#ALL],row(),false)</f>
        <v>0</v>
      </c>
      <c r="AO125" s="359">
        <f>CS_PID!AO125/VLOOKUP($B125,표2[#ALL],2)/hlookup($A125,표4[#ALL],row(),false)</f>
        <v>0</v>
      </c>
      <c r="AP125" s="359">
        <f>CS_PID!AP125/VLOOKUP($B125,표2[#ALL],2)/hlookup($A125,표4[#ALL],row(),false)</f>
        <v>0</v>
      </c>
      <c r="AQ125" s="359">
        <f>CS_PID!AQ125/VLOOKUP($B125,표2[#ALL],2)/hlookup($A125,표4[#ALL],row(),false)</f>
        <v>0</v>
      </c>
      <c r="AR125" s="359">
        <f>CS_PID!AR125/VLOOKUP($B125,표2[#ALL],2)/hlookup($A125,표4[#ALL],row(),false)</f>
        <v>0</v>
      </c>
      <c r="AS125" s="359">
        <f>CS_PID!AS125/VLOOKUP($B125,표2[#ALL],2)/hlookup($A125,표4[#ALL],row(),false)</f>
        <v>0</v>
      </c>
    </row>
    <row r="126">
      <c r="A126" s="173" t="s">
        <v>126</v>
      </c>
      <c r="B126" s="178">
        <v>402.0</v>
      </c>
      <c r="C126" s="359">
        <f>CS_PID!C126/VLOOKUP($B126,표2[#ALL],2)/hlookup($A126,표4[#ALL],row(),false)</f>
        <v>0</v>
      </c>
      <c r="D126" s="359">
        <f>CS_PID!D126/VLOOKUP($B126,표2[#ALL],2)/hlookup($A126,표4[#ALL],row(),false)</f>
        <v>0</v>
      </c>
      <c r="E126" s="359">
        <f>CS_PID!E126/VLOOKUP($B126,표2[#ALL],2)/hlookup($A126,표4[#ALL],row(),false)</f>
        <v>0</v>
      </c>
      <c r="F126" s="359">
        <f>CS_PID!F126/VLOOKUP($B126,표2[#ALL],2)/hlookup($A126,표4[#ALL],row(),false)</f>
        <v>0.4</v>
      </c>
      <c r="G126" s="359">
        <f>CS_PID!G126/VLOOKUP($B126,표2[#ALL],2)/hlookup($A126,표4[#ALL],row(),false)</f>
        <v>0</v>
      </c>
      <c r="H126" s="359">
        <f>CS_PID!H126/VLOOKUP($B126,표2[#ALL],2)/hlookup($A126,표4[#ALL],row(),false)</f>
        <v>0</v>
      </c>
      <c r="I126" s="359">
        <f>CS_PID!I126/VLOOKUP($B126,표2[#ALL],2)/hlookup($A126,표4[#ALL],row(),false)</f>
        <v>0</v>
      </c>
      <c r="J126" s="359">
        <f>CS_PID!J126/VLOOKUP($B126,표2[#ALL],2)/hlookup($A126,표4[#ALL],row(),false)</f>
        <v>0.2</v>
      </c>
      <c r="K126" s="359">
        <f>CS_PID!K126/VLOOKUP($B126,표2[#ALL],2)/hlookup($A126,표4[#ALL],row(),false)</f>
        <v>1</v>
      </c>
      <c r="L126" s="359">
        <f>CS_PID!L126/VLOOKUP($B126,표2[#ALL],2)/hlookup($A126,표4[#ALL],row(),false)</f>
        <v>1.4</v>
      </c>
      <c r="M126" s="359">
        <f>CS_PID!M126/VLOOKUP($B126,표2[#ALL],2)/hlookup($A126,표4[#ALL],row(),false)</f>
        <v>0</v>
      </c>
      <c r="N126" s="359">
        <f>CS_PID!N126/VLOOKUP($B126,표2[#ALL],2)/hlookup($A126,표4[#ALL],row(),false)</f>
        <v>0</v>
      </c>
      <c r="O126" s="359">
        <f>CS_PID!O126/VLOOKUP($B126,표2[#ALL],2)/hlookup($A126,표4[#ALL],row(),false)</f>
        <v>0</v>
      </c>
      <c r="P126" s="359">
        <f>CS_PID!P126/VLOOKUP($B126,표2[#ALL],2)/hlookup($A126,표4[#ALL],row(),false)</f>
        <v>0</v>
      </c>
      <c r="Q126" s="359">
        <f>CS_PID!Q126/VLOOKUP($B126,표2[#ALL],2)/hlookup($A126,표4[#ALL],row(),false)</f>
        <v>0.8</v>
      </c>
      <c r="R126" s="359">
        <f>CS_PID!R126/VLOOKUP($B126,표2[#ALL],2)/hlookup($A126,표4[#ALL],row(),false)</f>
        <v>0.6</v>
      </c>
      <c r="S126" s="359">
        <f>CS_PID!S126/VLOOKUP($B126,표2[#ALL],2)/hlookup($A126,표4[#ALL],row(),false)</f>
        <v>0.4</v>
      </c>
      <c r="T126" s="359">
        <f>CS_PID!T126/VLOOKUP($B126,표2[#ALL],2)/hlookup($A126,표4[#ALL],row(),false)</f>
        <v>0</v>
      </c>
      <c r="U126" s="359">
        <f>CS_PID!U126/VLOOKUP($B126,표2[#ALL],2)/hlookup($A126,표4[#ALL],row(),false)</f>
        <v>0</v>
      </c>
      <c r="V126" s="359">
        <f>CS_PID!V126/VLOOKUP($B126,표2[#ALL],2)/hlookup($A126,표4[#ALL],row(),false)</f>
        <v>0</v>
      </c>
      <c r="W126" s="359">
        <f>CS_PID!W126/VLOOKUP($B126,표2[#ALL],2)/hlookup($A126,표4[#ALL],row(),false)</f>
        <v>0.2</v>
      </c>
      <c r="X126" s="359">
        <f>CS_PID!X126/VLOOKUP($B126,표2[#ALL],2)/hlookup($A126,표4[#ALL],row(),false)</f>
        <v>1</v>
      </c>
      <c r="Y126" s="359">
        <f>CS_PID!Y126/VLOOKUP($B126,표2[#ALL],2)/hlookup($A126,표4[#ALL],row(),false)</f>
        <v>0</v>
      </c>
      <c r="Z126" s="359">
        <f>CS_PID!Z126/VLOOKUP($B126,표2[#ALL],2)/hlookup($A126,표4[#ALL],row(),false)</f>
        <v>0</v>
      </c>
      <c r="AA126" s="359">
        <f>CS_PID!AA126/VLOOKUP($B126,표2[#ALL],2)/hlookup($A126,표4[#ALL],row(),false)</f>
        <v>0</v>
      </c>
      <c r="AB126" s="359">
        <f>CS_PID!AB126/VLOOKUP($B126,표2[#ALL],2)/hlookup($A126,표4[#ALL],row(),false)</f>
        <v>0</v>
      </c>
      <c r="AC126" s="359">
        <f>CS_PID!AC126/VLOOKUP($B126,표2[#ALL],2)/hlookup($A126,표4[#ALL],row(),false)</f>
        <v>0</v>
      </c>
      <c r="AD126" s="359">
        <f>CS_PID!AD126/VLOOKUP($B126,표2[#ALL],2)/hlookup($A126,표4[#ALL],row(),false)</f>
        <v>0.2</v>
      </c>
      <c r="AE126" s="359">
        <f>CS_PID!AE126/VLOOKUP($B126,표2[#ALL],2)/hlookup($A126,표4[#ALL],row(),false)</f>
        <v>0</v>
      </c>
      <c r="AF126" s="359">
        <f>CS_PID!AF126/VLOOKUP($B126,표2[#ALL],2)/hlookup($A126,표4[#ALL],row(),false)</f>
        <v>0</v>
      </c>
      <c r="AG126" s="359">
        <f>CS_PID!AG126/VLOOKUP($B126,표2[#ALL],2)/hlookup($A126,표4[#ALL],row(),false)</f>
        <v>0</v>
      </c>
      <c r="AH126" s="359">
        <f>CS_PID!AH126/VLOOKUP($B126,표2[#ALL],2)/hlookup($A126,표4[#ALL],row(),false)</f>
        <v>0</v>
      </c>
      <c r="AI126" s="359">
        <f>CS_PID!AI126/VLOOKUP($B126,표2[#ALL],2)/hlookup($A126,표4[#ALL],row(),false)</f>
        <v>0</v>
      </c>
      <c r="AJ126" s="359">
        <f>CS_PID!AJ126/VLOOKUP($B126,표2[#ALL],2)/hlookup($A126,표4[#ALL],row(),false)</f>
        <v>0.4</v>
      </c>
      <c r="AK126" s="359">
        <f>CS_PID!AK126/VLOOKUP($B126,표2[#ALL],2)/hlookup($A126,표4[#ALL],row(),false)</f>
        <v>0.2</v>
      </c>
      <c r="AL126" s="359">
        <f>CS_PID!AL126/VLOOKUP($B126,표2[#ALL],2)/hlookup($A126,표4[#ALL],row(),false)</f>
        <v>0</v>
      </c>
      <c r="AM126" s="359">
        <f>CS_PID!AM126/VLOOKUP($B126,표2[#ALL],2)/hlookup($A126,표4[#ALL],row(),false)</f>
        <v>0</v>
      </c>
      <c r="AN126" s="359">
        <f>CS_PID!AN126/VLOOKUP($B126,표2[#ALL],2)/hlookup($A126,표4[#ALL],row(),false)</f>
        <v>0</v>
      </c>
      <c r="AO126" s="359">
        <f>CS_PID!AO126/VLOOKUP($B126,표2[#ALL],2)/hlookup($A126,표4[#ALL],row(),false)</f>
        <v>0</v>
      </c>
      <c r="AP126" s="359">
        <f>CS_PID!AP126/VLOOKUP($B126,표2[#ALL],2)/hlookup($A126,표4[#ALL],row(),false)</f>
        <v>0</v>
      </c>
      <c r="AQ126" s="359">
        <f>CS_PID!AQ126/VLOOKUP($B126,표2[#ALL],2)/hlookup($A126,표4[#ALL],row(),false)</f>
        <v>0</v>
      </c>
      <c r="AR126" s="359">
        <f>CS_PID!AR126/VLOOKUP($B126,표2[#ALL],2)/hlookup($A126,표4[#ALL],row(),false)</f>
        <v>0</v>
      </c>
      <c r="AS126" s="359">
        <f>CS_PID!AS126/VLOOKUP($B126,표2[#ALL],2)/hlookup($A126,표4[#ALL],row(),false)</f>
        <v>0</v>
      </c>
    </row>
    <row r="127">
      <c r="A127" s="173" t="s">
        <v>126</v>
      </c>
      <c r="B127" s="178">
        <v>403.0</v>
      </c>
      <c r="C127" s="359">
        <f>CS_PID!C127/VLOOKUP($B127,표2[#ALL],2)/hlookup($A127,표4[#ALL],row(),false)</f>
        <v>0</v>
      </c>
      <c r="D127" s="359">
        <f>CS_PID!D127/VLOOKUP($B127,표2[#ALL],2)/hlookup($A127,표4[#ALL],row(),false)</f>
        <v>0</v>
      </c>
      <c r="E127" s="359">
        <f>CS_PID!E127/VLOOKUP($B127,표2[#ALL],2)/hlookup($A127,표4[#ALL],row(),false)</f>
        <v>0.25</v>
      </c>
      <c r="F127" s="359">
        <f>CS_PID!F127/VLOOKUP($B127,표2[#ALL],2)/hlookup($A127,표4[#ALL],row(),false)</f>
        <v>0.625</v>
      </c>
      <c r="G127" s="359">
        <f>CS_PID!G127/VLOOKUP($B127,표2[#ALL],2)/hlookup($A127,표4[#ALL],row(),false)</f>
        <v>0</v>
      </c>
      <c r="H127" s="359">
        <f>CS_PID!H127/VLOOKUP($B127,표2[#ALL],2)/hlookup($A127,표4[#ALL],row(),false)</f>
        <v>0</v>
      </c>
      <c r="I127" s="359">
        <f>CS_PID!I127/VLOOKUP($B127,표2[#ALL],2)/hlookup($A127,표4[#ALL],row(),false)</f>
        <v>0</v>
      </c>
      <c r="J127" s="359">
        <f>CS_PID!J127/VLOOKUP($B127,표2[#ALL],2)/hlookup($A127,표4[#ALL],row(),false)</f>
        <v>0.125</v>
      </c>
      <c r="K127" s="359">
        <f>CS_PID!K127/VLOOKUP($B127,표2[#ALL],2)/hlookup($A127,표4[#ALL],row(),false)</f>
        <v>1</v>
      </c>
      <c r="L127" s="359">
        <f>CS_PID!L127/VLOOKUP($B127,표2[#ALL],2)/hlookup($A127,표4[#ALL],row(),false)</f>
        <v>0.5</v>
      </c>
      <c r="M127" s="359">
        <f>CS_PID!M127/VLOOKUP($B127,표2[#ALL],2)/hlookup($A127,표4[#ALL],row(),false)</f>
        <v>0</v>
      </c>
      <c r="N127" s="359">
        <f>CS_PID!N127/VLOOKUP($B127,표2[#ALL],2)/hlookup($A127,표4[#ALL],row(),false)</f>
        <v>0</v>
      </c>
      <c r="O127" s="359">
        <f>CS_PID!O127/VLOOKUP($B127,표2[#ALL],2)/hlookup($A127,표4[#ALL],row(),false)</f>
        <v>0</v>
      </c>
      <c r="P127" s="359">
        <f>CS_PID!P127/VLOOKUP($B127,표2[#ALL],2)/hlookup($A127,표4[#ALL],row(),false)</f>
        <v>0</v>
      </c>
      <c r="Q127" s="359">
        <f>CS_PID!Q127/VLOOKUP($B127,표2[#ALL],2)/hlookup($A127,표4[#ALL],row(),false)</f>
        <v>0.875</v>
      </c>
      <c r="R127" s="359">
        <f>CS_PID!R127/VLOOKUP($B127,표2[#ALL],2)/hlookup($A127,표4[#ALL],row(),false)</f>
        <v>0.875</v>
      </c>
      <c r="S127" s="359">
        <f>CS_PID!S127/VLOOKUP($B127,표2[#ALL],2)/hlookup($A127,표4[#ALL],row(),false)</f>
        <v>0</v>
      </c>
      <c r="T127" s="359">
        <f>CS_PID!T127/VLOOKUP($B127,표2[#ALL],2)/hlookup($A127,표4[#ALL],row(),false)</f>
        <v>0</v>
      </c>
      <c r="U127" s="359">
        <f>CS_PID!U127/VLOOKUP($B127,표2[#ALL],2)/hlookup($A127,표4[#ALL],row(),false)</f>
        <v>0</v>
      </c>
      <c r="V127" s="359">
        <f>CS_PID!V127/VLOOKUP($B127,표2[#ALL],2)/hlookup($A127,표4[#ALL],row(),false)</f>
        <v>0</v>
      </c>
      <c r="W127" s="359">
        <f>CS_PID!W127/VLOOKUP($B127,표2[#ALL],2)/hlookup($A127,표4[#ALL],row(),false)</f>
        <v>0</v>
      </c>
      <c r="X127" s="359">
        <f>CS_PID!X127/VLOOKUP($B127,표2[#ALL],2)/hlookup($A127,표4[#ALL],row(),false)</f>
        <v>1.25</v>
      </c>
      <c r="Y127" s="359">
        <f>CS_PID!Y127/VLOOKUP($B127,표2[#ALL],2)/hlookup($A127,표4[#ALL],row(),false)</f>
        <v>0</v>
      </c>
      <c r="Z127" s="359">
        <f>CS_PID!Z127/VLOOKUP($B127,표2[#ALL],2)/hlookup($A127,표4[#ALL],row(),false)</f>
        <v>0</v>
      </c>
      <c r="AA127" s="359">
        <f>CS_PID!AA127/VLOOKUP($B127,표2[#ALL],2)/hlookup($A127,표4[#ALL],row(),false)</f>
        <v>0</v>
      </c>
      <c r="AB127" s="359">
        <f>CS_PID!AB127/VLOOKUP($B127,표2[#ALL],2)/hlookup($A127,표4[#ALL],row(),false)</f>
        <v>0</v>
      </c>
      <c r="AC127" s="359">
        <f>CS_PID!AC127/VLOOKUP($B127,표2[#ALL],2)/hlookup($A127,표4[#ALL],row(),false)</f>
        <v>0</v>
      </c>
      <c r="AD127" s="359">
        <f>CS_PID!AD127/VLOOKUP($B127,표2[#ALL],2)/hlookup($A127,표4[#ALL],row(),false)</f>
        <v>0.25</v>
      </c>
      <c r="AE127" s="359">
        <f>CS_PID!AE127/VLOOKUP($B127,표2[#ALL],2)/hlookup($A127,표4[#ALL],row(),false)</f>
        <v>0</v>
      </c>
      <c r="AF127" s="359">
        <f>CS_PID!AF127/VLOOKUP($B127,표2[#ALL],2)/hlookup($A127,표4[#ALL],row(),false)</f>
        <v>0</v>
      </c>
      <c r="AG127" s="359">
        <f>CS_PID!AG127/VLOOKUP($B127,표2[#ALL],2)/hlookup($A127,표4[#ALL],row(),false)</f>
        <v>0</v>
      </c>
      <c r="AH127" s="359">
        <f>CS_PID!AH127/VLOOKUP($B127,표2[#ALL],2)/hlookup($A127,표4[#ALL],row(),false)</f>
        <v>0</v>
      </c>
      <c r="AI127" s="359">
        <f>CS_PID!AI127/VLOOKUP($B127,표2[#ALL],2)/hlookup($A127,표4[#ALL],row(),false)</f>
        <v>0</v>
      </c>
      <c r="AJ127" s="359">
        <f>CS_PID!AJ127/VLOOKUP($B127,표2[#ALL],2)/hlookup($A127,표4[#ALL],row(),false)</f>
        <v>0.125</v>
      </c>
      <c r="AK127" s="359">
        <f>CS_PID!AK127/VLOOKUP($B127,표2[#ALL],2)/hlookup($A127,표4[#ALL],row(),false)</f>
        <v>0</v>
      </c>
      <c r="AL127" s="359">
        <f>CS_PID!AL127/VLOOKUP($B127,표2[#ALL],2)/hlookup($A127,표4[#ALL],row(),false)</f>
        <v>0</v>
      </c>
      <c r="AM127" s="359">
        <f>CS_PID!AM127/VLOOKUP($B127,표2[#ALL],2)/hlookup($A127,표4[#ALL],row(),false)</f>
        <v>0</v>
      </c>
      <c r="AN127" s="359">
        <f>CS_PID!AN127/VLOOKUP($B127,표2[#ALL],2)/hlookup($A127,표4[#ALL],row(),false)</f>
        <v>0</v>
      </c>
      <c r="AO127" s="359">
        <f>CS_PID!AO127/VLOOKUP($B127,표2[#ALL],2)/hlookup($A127,표4[#ALL],row(),false)</f>
        <v>0</v>
      </c>
      <c r="AP127" s="359">
        <f>CS_PID!AP127/VLOOKUP($B127,표2[#ALL],2)/hlookup($A127,표4[#ALL],row(),false)</f>
        <v>0</v>
      </c>
      <c r="AQ127" s="359">
        <f>CS_PID!AQ127/VLOOKUP($B127,표2[#ALL],2)/hlookup($A127,표4[#ALL],row(),false)</f>
        <v>0</v>
      </c>
      <c r="AR127" s="359">
        <f>CS_PID!AR127/VLOOKUP($B127,표2[#ALL],2)/hlookup($A127,표4[#ALL],row(),false)</f>
        <v>0</v>
      </c>
      <c r="AS127" s="359">
        <f>CS_PID!AS127/VLOOKUP($B127,표2[#ALL],2)/hlookup($A127,표4[#ALL],row(),false)</f>
        <v>0</v>
      </c>
    </row>
    <row r="128">
      <c r="A128" s="181" t="s">
        <v>126</v>
      </c>
      <c r="B128" s="182">
        <v>404.0</v>
      </c>
      <c r="C128" s="360">
        <f>CS_PID!C128/VLOOKUP($B128,표2[#ALL],2)/hlookup($A128,표4[#ALL],row(),false)</f>
        <v>0</v>
      </c>
      <c r="D128" s="360">
        <f>CS_PID!D128/VLOOKUP($B128,표2[#ALL],2)/hlookup($A128,표4[#ALL],row(),false)</f>
        <v>0.0625</v>
      </c>
      <c r="E128" s="360">
        <f>CS_PID!E128/VLOOKUP($B128,표2[#ALL],2)/hlookup($A128,표4[#ALL],row(),false)</f>
        <v>0.125</v>
      </c>
      <c r="F128" s="360">
        <f>CS_PID!F128/VLOOKUP($B128,표2[#ALL],2)/hlookup($A128,표4[#ALL],row(),false)</f>
        <v>1.3125</v>
      </c>
      <c r="G128" s="360">
        <f>CS_PID!G128/VLOOKUP($B128,표2[#ALL],2)/hlookup($A128,표4[#ALL],row(),false)</f>
        <v>0.125</v>
      </c>
      <c r="H128" s="360">
        <f>CS_PID!H128/VLOOKUP($B128,표2[#ALL],2)/hlookup($A128,표4[#ALL],row(),false)</f>
        <v>0</v>
      </c>
      <c r="I128" s="360">
        <f>CS_PID!I128/VLOOKUP($B128,표2[#ALL],2)/hlookup($A128,표4[#ALL],row(),false)</f>
        <v>0</v>
      </c>
      <c r="J128" s="360">
        <f>CS_PID!J128/VLOOKUP($B128,표2[#ALL],2)/hlookup($A128,표4[#ALL],row(),false)</f>
        <v>0.4375</v>
      </c>
      <c r="K128" s="360">
        <f>CS_PID!K128/VLOOKUP($B128,표2[#ALL],2)/hlookup($A128,표4[#ALL],row(),false)</f>
        <v>1</v>
      </c>
      <c r="L128" s="360">
        <f>CS_PID!L128/VLOOKUP($B128,표2[#ALL],2)/hlookup($A128,표4[#ALL],row(),false)</f>
        <v>1.0625</v>
      </c>
      <c r="M128" s="360">
        <f>CS_PID!M128/VLOOKUP($B128,표2[#ALL],2)/hlookup($A128,표4[#ALL],row(),false)</f>
        <v>0</v>
      </c>
      <c r="N128" s="360">
        <f>CS_PID!N128/VLOOKUP($B128,표2[#ALL],2)/hlookup($A128,표4[#ALL],row(),false)</f>
        <v>0</v>
      </c>
      <c r="O128" s="360">
        <f>CS_PID!O128/VLOOKUP($B128,표2[#ALL],2)/hlookup($A128,표4[#ALL],row(),false)</f>
        <v>0</v>
      </c>
      <c r="P128" s="360">
        <f>CS_PID!P128/VLOOKUP($B128,표2[#ALL],2)/hlookup($A128,표4[#ALL],row(),false)</f>
        <v>0.0625</v>
      </c>
      <c r="Q128" s="360">
        <f>CS_PID!Q128/VLOOKUP($B128,표2[#ALL],2)/hlookup($A128,표4[#ALL],row(),false)</f>
        <v>0.8125</v>
      </c>
      <c r="R128" s="360">
        <f>CS_PID!R128/VLOOKUP($B128,표2[#ALL],2)/hlookup($A128,표4[#ALL],row(),false)</f>
        <v>0.9375</v>
      </c>
      <c r="S128" s="360">
        <f>CS_PID!S128/VLOOKUP($B128,표2[#ALL],2)/hlookup($A128,표4[#ALL],row(),false)</f>
        <v>0.125</v>
      </c>
      <c r="T128" s="360">
        <f>CS_PID!T128/VLOOKUP($B128,표2[#ALL],2)/hlookup($A128,표4[#ALL],row(),false)</f>
        <v>0</v>
      </c>
      <c r="U128" s="360">
        <f>CS_PID!U128/VLOOKUP($B128,표2[#ALL],2)/hlookup($A128,표4[#ALL],row(),false)</f>
        <v>0</v>
      </c>
      <c r="V128" s="360">
        <f>CS_PID!V128/VLOOKUP($B128,표2[#ALL],2)/hlookup($A128,표4[#ALL],row(),false)</f>
        <v>0</v>
      </c>
      <c r="W128" s="360">
        <f>CS_PID!W128/VLOOKUP($B128,표2[#ALL],2)/hlookup($A128,표4[#ALL],row(),false)</f>
        <v>0.4375</v>
      </c>
      <c r="X128" s="360">
        <f>CS_PID!X128/VLOOKUP($B128,표2[#ALL],2)/hlookup($A128,표4[#ALL],row(),false)</f>
        <v>1.4375</v>
      </c>
      <c r="Y128" s="360">
        <f>CS_PID!Y128/VLOOKUP($B128,표2[#ALL],2)/hlookup($A128,표4[#ALL],row(),false)</f>
        <v>0.0625</v>
      </c>
      <c r="Z128" s="360">
        <f>CS_PID!Z128/VLOOKUP($B128,표2[#ALL],2)/hlookup($A128,표4[#ALL],row(),false)</f>
        <v>0</v>
      </c>
      <c r="AA128" s="360">
        <f>CS_PID!AA128/VLOOKUP($B128,표2[#ALL],2)/hlookup($A128,표4[#ALL],row(),false)</f>
        <v>0</v>
      </c>
      <c r="AB128" s="360">
        <f>CS_PID!AB128/VLOOKUP($B128,표2[#ALL],2)/hlookup($A128,표4[#ALL],row(),false)</f>
        <v>0</v>
      </c>
      <c r="AC128" s="360">
        <f>CS_PID!AC128/VLOOKUP($B128,표2[#ALL],2)/hlookup($A128,표4[#ALL],row(),false)</f>
        <v>0.0625</v>
      </c>
      <c r="AD128" s="360">
        <f>CS_PID!AD128/VLOOKUP($B128,표2[#ALL],2)/hlookup($A128,표4[#ALL],row(),false)</f>
        <v>0.25</v>
      </c>
      <c r="AE128" s="360">
        <f>CS_PID!AE128/VLOOKUP($B128,표2[#ALL],2)/hlookup($A128,표4[#ALL],row(),false)</f>
        <v>0.1875</v>
      </c>
      <c r="AF128" s="360">
        <f>CS_PID!AF128/VLOOKUP($B128,표2[#ALL],2)/hlookup($A128,표4[#ALL],row(),false)</f>
        <v>0</v>
      </c>
      <c r="AG128" s="360">
        <f>CS_PID!AG128/VLOOKUP($B128,표2[#ALL],2)/hlookup($A128,표4[#ALL],row(),false)</f>
        <v>0</v>
      </c>
      <c r="AH128" s="360">
        <f>CS_PID!AH128/VLOOKUP($B128,표2[#ALL],2)/hlookup($A128,표4[#ALL],row(),false)</f>
        <v>0</v>
      </c>
      <c r="AI128" s="360">
        <f>CS_PID!AI128/VLOOKUP($B128,표2[#ALL],2)/hlookup($A128,표4[#ALL],row(),false)</f>
        <v>0</v>
      </c>
      <c r="AJ128" s="360">
        <f>CS_PID!AJ128/VLOOKUP($B128,표2[#ALL],2)/hlookup($A128,표4[#ALL],row(),false)</f>
        <v>0.125</v>
      </c>
      <c r="AK128" s="360">
        <f>CS_PID!AK128/VLOOKUP($B128,표2[#ALL],2)/hlookup($A128,표4[#ALL],row(),false)</f>
        <v>0</v>
      </c>
      <c r="AL128" s="360">
        <f>CS_PID!AL128/VLOOKUP($B128,표2[#ALL],2)/hlookup($A128,표4[#ALL],row(),false)</f>
        <v>0</v>
      </c>
      <c r="AM128" s="360">
        <f>CS_PID!AM128/VLOOKUP($B128,표2[#ALL],2)/hlookup($A128,표4[#ALL],row(),false)</f>
        <v>0</v>
      </c>
      <c r="AN128" s="360">
        <f>CS_PID!AN128/VLOOKUP($B128,표2[#ALL],2)/hlookup($A128,표4[#ALL],row(),false)</f>
        <v>0</v>
      </c>
      <c r="AO128" s="360">
        <f>CS_PID!AO128/VLOOKUP($B128,표2[#ALL],2)/hlookup($A128,표4[#ALL],row(),false)</f>
        <v>0</v>
      </c>
      <c r="AP128" s="360">
        <f>CS_PID!AP128/VLOOKUP($B128,표2[#ALL],2)/hlookup($A128,표4[#ALL],row(),false)</f>
        <v>0</v>
      </c>
      <c r="AQ128" s="360">
        <f>CS_PID!AQ128/VLOOKUP($B128,표2[#ALL],2)/hlookup($A128,표4[#ALL],row(),false)</f>
        <v>0</v>
      </c>
      <c r="AR128" s="360">
        <f>CS_PID!AR128/VLOOKUP($B128,표2[#ALL],2)/hlookup($A128,표4[#ALL],row(),false)</f>
        <v>0</v>
      </c>
      <c r="AS128" s="360">
        <f>CS_PID!AS128/VLOOKUP($B128,표2[#ALL],2)/hlookup($A128,표4[#ALL],row(),false)</f>
        <v>0</v>
      </c>
    </row>
    <row r="129">
      <c r="A129" s="185" t="s">
        <v>86</v>
      </c>
      <c r="B129" s="186">
        <v>410.0</v>
      </c>
      <c r="C129" s="361">
        <f>CS_PID!C129/VLOOKUP($B129,표2[#ALL],2)/hlookup($A129,표4[#ALL],row(),false)</f>
        <v>0</v>
      </c>
      <c r="D129" s="361">
        <f>CS_PID!D129/VLOOKUP($B129,표2[#ALL],2)/hlookup($A129,표4[#ALL],row(),false)</f>
        <v>0</v>
      </c>
      <c r="E129" s="361">
        <f>CS_PID!E129/VLOOKUP($B129,표2[#ALL],2)/hlookup($A129,표4[#ALL],row(),false)</f>
        <v>0</v>
      </c>
      <c r="F129" s="361">
        <f>CS_PID!F129/VLOOKUP($B129,표2[#ALL],2)/hlookup($A129,표4[#ALL],row(),false)</f>
        <v>0</v>
      </c>
      <c r="G129" s="361">
        <f>CS_PID!G129/VLOOKUP($B129,표2[#ALL],2)/hlookup($A129,표4[#ALL],row(),false)</f>
        <v>0</v>
      </c>
      <c r="H129" s="361">
        <f>CS_PID!H129/VLOOKUP($B129,표2[#ALL],2)/hlookup($A129,표4[#ALL],row(),false)</f>
        <v>0</v>
      </c>
      <c r="I129" s="361">
        <f>CS_PID!I129/VLOOKUP($B129,표2[#ALL],2)/hlookup($A129,표4[#ALL],row(),false)</f>
        <v>0</v>
      </c>
      <c r="J129" s="361">
        <f>CS_PID!J129/VLOOKUP($B129,표2[#ALL],2)/hlookup($A129,표4[#ALL],row(),false)</f>
        <v>0</v>
      </c>
      <c r="K129" s="361">
        <f>CS_PID!K129/VLOOKUP($B129,표2[#ALL],2)/hlookup($A129,표4[#ALL],row(),false)</f>
        <v>0</v>
      </c>
      <c r="L129" s="361">
        <f>CS_PID!L129/VLOOKUP($B129,표2[#ALL],2)/hlookup($A129,표4[#ALL],row(),false)</f>
        <v>0</v>
      </c>
      <c r="M129" s="361">
        <f>CS_PID!M129/VLOOKUP($B129,표2[#ALL],2)/hlookup($A129,표4[#ALL],row(),false)</f>
        <v>0</v>
      </c>
      <c r="N129" s="361">
        <f>CS_PID!N129/VLOOKUP($B129,표2[#ALL],2)/hlookup($A129,표4[#ALL],row(),false)</f>
        <v>0</v>
      </c>
      <c r="O129" s="361">
        <f>CS_PID!O129/VLOOKUP($B129,표2[#ALL],2)/hlookup($A129,표4[#ALL],row(),false)</f>
        <v>0.3333333333</v>
      </c>
      <c r="P129" s="361">
        <f>CS_PID!P129/VLOOKUP($B129,표2[#ALL],2)/hlookup($A129,표4[#ALL],row(),false)</f>
        <v>0</v>
      </c>
      <c r="Q129" s="361">
        <f>CS_PID!Q129/VLOOKUP($B129,표2[#ALL],2)/hlookup($A129,표4[#ALL],row(),false)</f>
        <v>0</v>
      </c>
      <c r="R129" s="361">
        <f>CS_PID!R129/VLOOKUP($B129,표2[#ALL],2)/hlookup($A129,표4[#ALL],row(),false)</f>
        <v>0</v>
      </c>
      <c r="S129" s="361">
        <f>CS_PID!S129/VLOOKUP($B129,표2[#ALL],2)/hlookup($A129,표4[#ALL],row(),false)</f>
        <v>0</v>
      </c>
      <c r="T129" s="361">
        <f>CS_PID!T129/VLOOKUP($B129,표2[#ALL],2)/hlookup($A129,표4[#ALL],row(),false)</f>
        <v>0</v>
      </c>
      <c r="U129" s="361">
        <f>CS_PID!U129/VLOOKUP($B129,표2[#ALL],2)/hlookup($A129,표4[#ALL],row(),false)</f>
        <v>0.6666666667</v>
      </c>
      <c r="V129" s="361">
        <f>CS_PID!V129/VLOOKUP($B129,표2[#ALL],2)/hlookup($A129,표4[#ALL],row(),false)</f>
        <v>0</v>
      </c>
      <c r="W129" s="361">
        <f>CS_PID!W129/VLOOKUP($B129,표2[#ALL],2)/hlookup($A129,표4[#ALL],row(),false)</f>
        <v>0.3333333333</v>
      </c>
      <c r="X129" s="361">
        <f>CS_PID!X129/VLOOKUP($B129,표2[#ALL],2)/hlookup($A129,표4[#ALL],row(),false)</f>
        <v>0</v>
      </c>
      <c r="Y129" s="361">
        <f>CS_PID!Y129/VLOOKUP($B129,표2[#ALL],2)/hlookup($A129,표4[#ALL],row(),false)</f>
        <v>0</v>
      </c>
      <c r="Z129" s="361">
        <f>CS_PID!Z129/VLOOKUP($B129,표2[#ALL],2)/hlookup($A129,표4[#ALL],row(),false)</f>
        <v>0</v>
      </c>
      <c r="AA129" s="361">
        <f>CS_PID!AA129/VLOOKUP($B129,표2[#ALL],2)/hlookup($A129,표4[#ALL],row(),false)</f>
        <v>0</v>
      </c>
      <c r="AB129" s="361">
        <f>CS_PID!AB129/VLOOKUP($B129,표2[#ALL],2)/hlookup($A129,표4[#ALL],row(),false)</f>
        <v>0</v>
      </c>
      <c r="AC129" s="361">
        <f>CS_PID!AC129/VLOOKUP($B129,표2[#ALL],2)/hlookup($A129,표4[#ALL],row(),false)</f>
        <v>1</v>
      </c>
      <c r="AD129" s="361">
        <f>CS_PID!AD129/VLOOKUP($B129,표2[#ALL],2)/hlookup($A129,표4[#ALL],row(),false)</f>
        <v>0</v>
      </c>
      <c r="AE129" s="361">
        <f>CS_PID!AE129/VLOOKUP($B129,표2[#ALL],2)/hlookup($A129,표4[#ALL],row(),false)</f>
        <v>0</v>
      </c>
      <c r="AF129" s="361">
        <f>CS_PID!AF129/VLOOKUP($B129,표2[#ALL],2)/hlookup($A129,표4[#ALL],row(),false)</f>
        <v>0</v>
      </c>
      <c r="AG129" s="361">
        <f>CS_PID!AG129/VLOOKUP($B129,표2[#ALL],2)/hlookup($A129,표4[#ALL],row(),false)</f>
        <v>0</v>
      </c>
      <c r="AH129" s="361">
        <f>CS_PID!AH129/VLOOKUP($B129,표2[#ALL],2)/hlookup($A129,표4[#ALL],row(),false)</f>
        <v>0</v>
      </c>
      <c r="AI129" s="361">
        <f>CS_PID!AI129/VLOOKUP($B129,표2[#ALL],2)/hlookup($A129,표4[#ALL],row(),false)</f>
        <v>1.666666667</v>
      </c>
      <c r="AJ129" s="361">
        <f>CS_PID!AJ129/VLOOKUP($B129,표2[#ALL],2)/hlookup($A129,표4[#ALL],row(),false)</f>
        <v>0.3333333333</v>
      </c>
      <c r="AK129" s="361">
        <f>CS_PID!AK129/VLOOKUP($B129,표2[#ALL],2)/hlookup($A129,표4[#ALL],row(),false)</f>
        <v>0</v>
      </c>
      <c r="AL129" s="361">
        <f>CS_PID!AL129/VLOOKUP($B129,표2[#ALL],2)/hlookup($A129,표4[#ALL],row(),false)</f>
        <v>0</v>
      </c>
      <c r="AM129" s="361">
        <f>CS_PID!AM129/VLOOKUP($B129,표2[#ALL],2)/hlookup($A129,표4[#ALL],row(),false)</f>
        <v>0.6666666667</v>
      </c>
      <c r="AN129" s="361">
        <f>CS_PID!AN129/VLOOKUP($B129,표2[#ALL],2)/hlookup($A129,표4[#ALL],row(),false)</f>
        <v>1.333333333</v>
      </c>
      <c r="AO129" s="361">
        <f>CS_PID!AO129/VLOOKUP($B129,표2[#ALL],2)/hlookup($A129,표4[#ALL],row(),false)</f>
        <v>0</v>
      </c>
      <c r="AP129" s="361">
        <f>CS_PID!AP129/VLOOKUP($B129,표2[#ALL],2)/hlookup($A129,표4[#ALL],row(),false)</f>
        <v>0</v>
      </c>
      <c r="AQ129" s="361">
        <f>CS_PID!AQ129/VLOOKUP($B129,표2[#ALL],2)/hlookup($A129,표4[#ALL],row(),false)</f>
        <v>1</v>
      </c>
      <c r="AR129" s="361">
        <f>CS_PID!AR129/VLOOKUP($B129,표2[#ALL],2)/hlookup($A129,표4[#ALL],row(),false)</f>
        <v>0.6666666667</v>
      </c>
      <c r="AS129" s="361">
        <f>CS_PID!AS129/VLOOKUP($B129,표2[#ALL],2)/hlookup($A129,표4[#ALL],row(),false)</f>
        <v>0</v>
      </c>
    </row>
    <row r="130">
      <c r="A130" s="189" t="s">
        <v>86</v>
      </c>
      <c r="B130" s="190">
        <v>411.0</v>
      </c>
      <c r="C130" s="362">
        <f>CS_PID!C130/VLOOKUP($B130,표2[#ALL],2)/hlookup($A130,표4[#ALL],row(),false)</f>
        <v>0</v>
      </c>
      <c r="D130" s="362">
        <f>CS_PID!D130/VLOOKUP($B130,표2[#ALL],2)/hlookup($A130,표4[#ALL],row(),false)</f>
        <v>0</v>
      </c>
      <c r="E130" s="362">
        <f>CS_PID!E130/VLOOKUP($B130,표2[#ALL],2)/hlookup($A130,표4[#ALL],row(),false)</f>
        <v>0.0625</v>
      </c>
      <c r="F130" s="362">
        <f>CS_PID!F130/VLOOKUP($B130,표2[#ALL],2)/hlookup($A130,표4[#ALL],row(),false)</f>
        <v>0</v>
      </c>
      <c r="G130" s="362">
        <f>CS_PID!G130/VLOOKUP($B130,표2[#ALL],2)/hlookup($A130,표4[#ALL],row(),false)</f>
        <v>0</v>
      </c>
      <c r="H130" s="362">
        <f>CS_PID!H130/VLOOKUP($B130,표2[#ALL],2)/hlookup($A130,표4[#ALL],row(),false)</f>
        <v>0</v>
      </c>
      <c r="I130" s="362">
        <f>CS_PID!I130/VLOOKUP($B130,표2[#ALL],2)/hlookup($A130,표4[#ALL],row(),false)</f>
        <v>0</v>
      </c>
      <c r="J130" s="362">
        <f>CS_PID!J130/VLOOKUP($B130,표2[#ALL],2)/hlookup($A130,표4[#ALL],row(),false)</f>
        <v>0</v>
      </c>
      <c r="K130" s="362">
        <f>CS_PID!K130/VLOOKUP($B130,표2[#ALL],2)/hlookup($A130,표4[#ALL],row(),false)</f>
        <v>0.0625</v>
      </c>
      <c r="L130" s="362">
        <f>CS_PID!L130/VLOOKUP($B130,표2[#ALL],2)/hlookup($A130,표4[#ALL],row(),false)</f>
        <v>0</v>
      </c>
      <c r="M130" s="362">
        <f>CS_PID!M130/VLOOKUP($B130,표2[#ALL],2)/hlookup($A130,표4[#ALL],row(),false)</f>
        <v>0</v>
      </c>
      <c r="N130" s="362">
        <f>CS_PID!N130/VLOOKUP($B130,표2[#ALL],2)/hlookup($A130,표4[#ALL],row(),false)</f>
        <v>0</v>
      </c>
      <c r="O130" s="362">
        <f>CS_PID!O130/VLOOKUP($B130,표2[#ALL],2)/hlookup($A130,표4[#ALL],row(),false)</f>
        <v>0</v>
      </c>
      <c r="P130" s="362">
        <f>CS_PID!P130/VLOOKUP($B130,표2[#ALL],2)/hlookup($A130,표4[#ALL],row(),false)</f>
        <v>0.125</v>
      </c>
      <c r="Q130" s="362">
        <f>CS_PID!Q130/VLOOKUP($B130,표2[#ALL],2)/hlookup($A130,표4[#ALL],row(),false)</f>
        <v>0.0625</v>
      </c>
      <c r="R130" s="362">
        <f>CS_PID!R130/VLOOKUP($B130,표2[#ALL],2)/hlookup($A130,표4[#ALL],row(),false)</f>
        <v>0.0625</v>
      </c>
      <c r="S130" s="362">
        <f>CS_PID!S130/VLOOKUP($B130,표2[#ALL],2)/hlookup($A130,표4[#ALL],row(),false)</f>
        <v>0</v>
      </c>
      <c r="T130" s="362">
        <f>CS_PID!T130/VLOOKUP($B130,표2[#ALL],2)/hlookup($A130,표4[#ALL],row(),false)</f>
        <v>0</v>
      </c>
      <c r="U130" s="362">
        <f>CS_PID!U130/VLOOKUP($B130,표2[#ALL],2)/hlookup($A130,표4[#ALL],row(),false)</f>
        <v>0</v>
      </c>
      <c r="V130" s="362">
        <f>CS_PID!V130/VLOOKUP($B130,표2[#ALL],2)/hlookup($A130,표4[#ALL],row(),false)</f>
        <v>0.1875</v>
      </c>
      <c r="W130" s="362">
        <f>CS_PID!W130/VLOOKUP($B130,표2[#ALL],2)/hlookup($A130,표4[#ALL],row(),false)</f>
        <v>0.125</v>
      </c>
      <c r="X130" s="362">
        <f>CS_PID!X130/VLOOKUP($B130,표2[#ALL],2)/hlookup($A130,표4[#ALL],row(),false)</f>
        <v>0.1875</v>
      </c>
      <c r="Y130" s="362">
        <f>CS_PID!Y130/VLOOKUP($B130,표2[#ALL],2)/hlookup($A130,표4[#ALL],row(),false)</f>
        <v>0</v>
      </c>
      <c r="Z130" s="362">
        <f>CS_PID!Z130/VLOOKUP($B130,표2[#ALL],2)/hlookup($A130,표4[#ALL],row(),false)</f>
        <v>0</v>
      </c>
      <c r="AA130" s="362">
        <f>CS_PID!AA130/VLOOKUP($B130,표2[#ALL],2)/hlookup($A130,표4[#ALL],row(),false)</f>
        <v>0</v>
      </c>
      <c r="AB130" s="362">
        <f>CS_PID!AB130/VLOOKUP($B130,표2[#ALL],2)/hlookup($A130,표4[#ALL],row(),false)</f>
        <v>0.0625</v>
      </c>
      <c r="AC130" s="362">
        <f>CS_PID!AC130/VLOOKUP($B130,표2[#ALL],2)/hlookup($A130,표4[#ALL],row(),false)</f>
        <v>1</v>
      </c>
      <c r="AD130" s="362">
        <f>CS_PID!AD130/VLOOKUP($B130,표2[#ALL],2)/hlookup($A130,표4[#ALL],row(),false)</f>
        <v>0</v>
      </c>
      <c r="AE130" s="362">
        <f>CS_PID!AE130/VLOOKUP($B130,표2[#ALL],2)/hlookup($A130,표4[#ALL],row(),false)</f>
        <v>0</v>
      </c>
      <c r="AF130" s="362">
        <f>CS_PID!AF130/VLOOKUP($B130,표2[#ALL],2)/hlookup($A130,표4[#ALL],row(),false)</f>
        <v>0</v>
      </c>
      <c r="AG130" s="362">
        <f>CS_PID!AG130/VLOOKUP($B130,표2[#ALL],2)/hlookup($A130,표4[#ALL],row(),false)</f>
        <v>0</v>
      </c>
      <c r="AH130" s="362">
        <f>CS_PID!AH130/VLOOKUP($B130,표2[#ALL],2)/hlookup($A130,표4[#ALL],row(),false)</f>
        <v>0.5625</v>
      </c>
      <c r="AI130" s="362">
        <f>CS_PID!AI130/VLOOKUP($B130,표2[#ALL],2)/hlookup($A130,표4[#ALL],row(),false)</f>
        <v>1.3125</v>
      </c>
      <c r="AJ130" s="362">
        <f>CS_PID!AJ130/VLOOKUP($B130,표2[#ALL],2)/hlookup($A130,표4[#ALL],row(),false)</f>
        <v>0</v>
      </c>
      <c r="AK130" s="362">
        <f>CS_PID!AK130/VLOOKUP($B130,표2[#ALL],2)/hlookup($A130,표4[#ALL],row(),false)</f>
        <v>0</v>
      </c>
      <c r="AL130" s="362">
        <f>CS_PID!AL130/VLOOKUP($B130,표2[#ALL],2)/hlookup($A130,표4[#ALL],row(),false)</f>
        <v>0.0625</v>
      </c>
      <c r="AM130" s="362">
        <f>CS_PID!AM130/VLOOKUP($B130,표2[#ALL],2)/hlookup($A130,표4[#ALL],row(),false)</f>
        <v>0.8125</v>
      </c>
      <c r="AN130" s="362">
        <f>CS_PID!AN130/VLOOKUP($B130,표2[#ALL],2)/hlookup($A130,표4[#ALL],row(),false)</f>
        <v>1.5625</v>
      </c>
      <c r="AO130" s="362">
        <f>CS_PID!AO130/VLOOKUP($B130,표2[#ALL],2)/hlookup($A130,표4[#ALL],row(),false)</f>
        <v>0</v>
      </c>
      <c r="AP130" s="362">
        <f>CS_PID!AP130/VLOOKUP($B130,표2[#ALL],2)/hlookup($A130,표4[#ALL],row(),false)</f>
        <v>0</v>
      </c>
      <c r="AQ130" s="362">
        <f>CS_PID!AQ130/VLOOKUP($B130,표2[#ALL],2)/hlookup($A130,표4[#ALL],row(),false)</f>
        <v>1.1875</v>
      </c>
      <c r="AR130" s="362">
        <f>CS_PID!AR130/VLOOKUP($B130,표2[#ALL],2)/hlookup($A130,표4[#ALL],row(),false)</f>
        <v>0.5625</v>
      </c>
      <c r="AS130" s="362">
        <f>CS_PID!AS130/VLOOKUP($B130,표2[#ALL],2)/hlookup($A130,표4[#ALL],row(),false)</f>
        <v>0</v>
      </c>
    </row>
    <row r="131">
      <c r="A131" s="189" t="s">
        <v>86</v>
      </c>
      <c r="B131" s="190">
        <v>412.0</v>
      </c>
      <c r="C131" s="362">
        <f>CS_PID!C131/VLOOKUP($B131,표2[#ALL],2)/hlookup($A131,표4[#ALL],row(),false)</f>
        <v>0.01818181818</v>
      </c>
      <c r="D131" s="362">
        <f>CS_PID!D131/VLOOKUP($B131,표2[#ALL],2)/hlookup($A131,표4[#ALL],row(),false)</f>
        <v>0</v>
      </c>
      <c r="E131" s="362">
        <f>CS_PID!E131/VLOOKUP($B131,표2[#ALL],2)/hlookup($A131,표4[#ALL],row(),false)</f>
        <v>0.01818181818</v>
      </c>
      <c r="F131" s="362">
        <f>CS_PID!F131/VLOOKUP($B131,표2[#ALL],2)/hlookup($A131,표4[#ALL],row(),false)</f>
        <v>0</v>
      </c>
      <c r="G131" s="362">
        <f>CS_PID!G131/VLOOKUP($B131,표2[#ALL],2)/hlookup($A131,표4[#ALL],row(),false)</f>
        <v>0</v>
      </c>
      <c r="H131" s="362">
        <f>CS_PID!H131/VLOOKUP($B131,표2[#ALL],2)/hlookup($A131,표4[#ALL],row(),false)</f>
        <v>0</v>
      </c>
      <c r="I131" s="362">
        <f>CS_PID!I131/VLOOKUP($B131,표2[#ALL],2)/hlookup($A131,표4[#ALL],row(),false)</f>
        <v>0.01818181818</v>
      </c>
      <c r="J131" s="362">
        <f>CS_PID!J131/VLOOKUP($B131,표2[#ALL],2)/hlookup($A131,표4[#ALL],row(),false)</f>
        <v>0.01818181818</v>
      </c>
      <c r="K131" s="362">
        <f>CS_PID!K131/VLOOKUP($B131,표2[#ALL],2)/hlookup($A131,표4[#ALL],row(),false)</f>
        <v>0.01818181818</v>
      </c>
      <c r="L131" s="362">
        <f>CS_PID!L131/VLOOKUP($B131,표2[#ALL],2)/hlookup($A131,표4[#ALL],row(),false)</f>
        <v>0</v>
      </c>
      <c r="M131" s="362">
        <f>CS_PID!M131/VLOOKUP($B131,표2[#ALL],2)/hlookup($A131,표4[#ALL],row(),false)</f>
        <v>0</v>
      </c>
      <c r="N131" s="362">
        <f>CS_PID!N131/VLOOKUP($B131,표2[#ALL],2)/hlookup($A131,표4[#ALL],row(),false)</f>
        <v>0</v>
      </c>
      <c r="O131" s="362">
        <f>CS_PID!O131/VLOOKUP($B131,표2[#ALL],2)/hlookup($A131,표4[#ALL],row(),false)</f>
        <v>0.03636363636</v>
      </c>
      <c r="P131" s="362">
        <f>CS_PID!P131/VLOOKUP($B131,표2[#ALL],2)/hlookup($A131,표4[#ALL],row(),false)</f>
        <v>0.07272727273</v>
      </c>
      <c r="Q131" s="362">
        <f>CS_PID!Q131/VLOOKUP($B131,표2[#ALL],2)/hlookup($A131,표4[#ALL],row(),false)</f>
        <v>0.09090909091</v>
      </c>
      <c r="R131" s="362">
        <f>CS_PID!R131/VLOOKUP($B131,표2[#ALL],2)/hlookup($A131,표4[#ALL],row(),false)</f>
        <v>0.01818181818</v>
      </c>
      <c r="S131" s="362">
        <f>CS_PID!S131/VLOOKUP($B131,표2[#ALL],2)/hlookup($A131,표4[#ALL],row(),false)</f>
        <v>0</v>
      </c>
      <c r="T131" s="362">
        <f>CS_PID!T131/VLOOKUP($B131,표2[#ALL],2)/hlookup($A131,표4[#ALL],row(),false)</f>
        <v>0</v>
      </c>
      <c r="U131" s="362">
        <f>CS_PID!U131/VLOOKUP($B131,표2[#ALL],2)/hlookup($A131,표4[#ALL],row(),false)</f>
        <v>0.03636363636</v>
      </c>
      <c r="V131" s="362">
        <f>CS_PID!V131/VLOOKUP($B131,표2[#ALL],2)/hlookup($A131,표4[#ALL],row(),false)</f>
        <v>0.2</v>
      </c>
      <c r="W131" s="362">
        <f>CS_PID!W131/VLOOKUP($B131,표2[#ALL],2)/hlookup($A131,표4[#ALL],row(),false)</f>
        <v>0.1454545455</v>
      </c>
      <c r="X131" s="362">
        <f>CS_PID!X131/VLOOKUP($B131,표2[#ALL],2)/hlookup($A131,표4[#ALL],row(),false)</f>
        <v>0.07272727273</v>
      </c>
      <c r="Y131" s="362">
        <f>CS_PID!Y131/VLOOKUP($B131,표2[#ALL],2)/hlookup($A131,표4[#ALL],row(),false)</f>
        <v>0</v>
      </c>
      <c r="Z131" s="362">
        <f>CS_PID!Z131/VLOOKUP($B131,표2[#ALL],2)/hlookup($A131,표4[#ALL],row(),false)</f>
        <v>0</v>
      </c>
      <c r="AA131" s="362">
        <f>CS_PID!AA131/VLOOKUP($B131,표2[#ALL],2)/hlookup($A131,표4[#ALL],row(),false)</f>
        <v>0</v>
      </c>
      <c r="AB131" s="362">
        <f>CS_PID!AB131/VLOOKUP($B131,표2[#ALL],2)/hlookup($A131,표4[#ALL],row(),false)</f>
        <v>0.09090909091</v>
      </c>
      <c r="AC131" s="362">
        <f>CS_PID!AC131/VLOOKUP($B131,표2[#ALL],2)/hlookup($A131,표4[#ALL],row(),false)</f>
        <v>1</v>
      </c>
      <c r="AD131" s="362">
        <f>CS_PID!AD131/VLOOKUP($B131,표2[#ALL],2)/hlookup($A131,표4[#ALL],row(),false)</f>
        <v>0.01818181818</v>
      </c>
      <c r="AE131" s="362">
        <f>CS_PID!AE131/VLOOKUP($B131,표2[#ALL],2)/hlookup($A131,표4[#ALL],row(),false)</f>
        <v>0</v>
      </c>
      <c r="AF131" s="362">
        <f>CS_PID!AF131/VLOOKUP($B131,표2[#ALL],2)/hlookup($A131,표4[#ALL],row(),false)</f>
        <v>0</v>
      </c>
      <c r="AG131" s="362">
        <f>CS_PID!AG131/VLOOKUP($B131,표2[#ALL],2)/hlookup($A131,표4[#ALL],row(),false)</f>
        <v>0</v>
      </c>
      <c r="AH131" s="362">
        <f>CS_PID!AH131/VLOOKUP($B131,표2[#ALL],2)/hlookup($A131,표4[#ALL],row(),false)</f>
        <v>0.3636363636</v>
      </c>
      <c r="AI131" s="362">
        <f>CS_PID!AI131/VLOOKUP($B131,표2[#ALL],2)/hlookup($A131,표4[#ALL],row(),false)</f>
        <v>0.7818181818</v>
      </c>
      <c r="AJ131" s="362">
        <f>CS_PID!AJ131/VLOOKUP($B131,표2[#ALL],2)/hlookup($A131,표4[#ALL],row(),false)</f>
        <v>0.07272727273</v>
      </c>
      <c r="AK131" s="362">
        <f>CS_PID!AK131/VLOOKUP($B131,표2[#ALL],2)/hlookup($A131,표4[#ALL],row(),false)</f>
        <v>0</v>
      </c>
      <c r="AL131" s="362">
        <f>CS_PID!AL131/VLOOKUP($B131,표2[#ALL],2)/hlookup($A131,표4[#ALL],row(),false)</f>
        <v>0</v>
      </c>
      <c r="AM131" s="362">
        <f>CS_PID!AM131/VLOOKUP($B131,표2[#ALL],2)/hlookup($A131,표4[#ALL],row(),false)</f>
        <v>0.7090909091</v>
      </c>
      <c r="AN131" s="362">
        <f>CS_PID!AN131/VLOOKUP($B131,표2[#ALL],2)/hlookup($A131,표4[#ALL],row(),false)</f>
        <v>1.436363636</v>
      </c>
      <c r="AO131" s="362">
        <f>CS_PID!AO131/VLOOKUP($B131,표2[#ALL],2)/hlookup($A131,표4[#ALL],row(),false)</f>
        <v>0</v>
      </c>
      <c r="AP131" s="362">
        <f>CS_PID!AP131/VLOOKUP($B131,표2[#ALL],2)/hlookup($A131,표4[#ALL],row(),false)</f>
        <v>0</v>
      </c>
      <c r="AQ131" s="362">
        <f>CS_PID!AQ131/VLOOKUP($B131,표2[#ALL],2)/hlookup($A131,표4[#ALL],row(),false)</f>
        <v>1.181818182</v>
      </c>
      <c r="AR131" s="362">
        <f>CS_PID!AR131/VLOOKUP($B131,표2[#ALL],2)/hlookup($A131,표4[#ALL],row(),false)</f>
        <v>0.2363636364</v>
      </c>
      <c r="AS131" s="362">
        <f>CS_PID!AS131/VLOOKUP($B131,표2[#ALL],2)/hlookup($A131,표4[#ALL],row(),false)</f>
        <v>0.01818181818</v>
      </c>
    </row>
    <row r="132">
      <c r="A132" s="189" t="s">
        <v>86</v>
      </c>
      <c r="B132" s="190">
        <v>413.0</v>
      </c>
      <c r="C132" s="362">
        <f>CS_PID!C132/VLOOKUP($B132,표2[#ALL],2)/hlookup($A132,표4[#ALL],row(),false)</f>
        <v>0</v>
      </c>
      <c r="D132" s="362">
        <f>CS_PID!D132/VLOOKUP($B132,표2[#ALL],2)/hlookup($A132,표4[#ALL],row(),false)</f>
        <v>0</v>
      </c>
      <c r="E132" s="362">
        <f>CS_PID!E132/VLOOKUP($B132,표2[#ALL],2)/hlookup($A132,표4[#ALL],row(),false)</f>
        <v>0</v>
      </c>
      <c r="F132" s="362">
        <f>CS_PID!F132/VLOOKUP($B132,표2[#ALL],2)/hlookup($A132,표4[#ALL],row(),false)</f>
        <v>0</v>
      </c>
      <c r="G132" s="362">
        <f>CS_PID!G132/VLOOKUP($B132,표2[#ALL],2)/hlookup($A132,표4[#ALL],row(),false)</f>
        <v>0</v>
      </c>
      <c r="H132" s="362">
        <f>CS_PID!H132/VLOOKUP($B132,표2[#ALL],2)/hlookup($A132,표4[#ALL],row(),false)</f>
        <v>0</v>
      </c>
      <c r="I132" s="362">
        <f>CS_PID!I132/VLOOKUP($B132,표2[#ALL],2)/hlookup($A132,표4[#ALL],row(),false)</f>
        <v>0</v>
      </c>
      <c r="J132" s="362">
        <f>CS_PID!J132/VLOOKUP($B132,표2[#ALL],2)/hlookup($A132,표4[#ALL],row(),false)</f>
        <v>0</v>
      </c>
      <c r="K132" s="362">
        <f>CS_PID!K132/VLOOKUP($B132,표2[#ALL],2)/hlookup($A132,표4[#ALL],row(),false)</f>
        <v>0</v>
      </c>
      <c r="L132" s="362">
        <f>CS_PID!L132/VLOOKUP($B132,표2[#ALL],2)/hlookup($A132,표4[#ALL],row(),false)</f>
        <v>0</v>
      </c>
      <c r="M132" s="362">
        <f>CS_PID!M132/VLOOKUP($B132,표2[#ALL],2)/hlookup($A132,표4[#ALL],row(),false)</f>
        <v>0</v>
      </c>
      <c r="N132" s="362">
        <f>CS_PID!N132/VLOOKUP($B132,표2[#ALL],2)/hlookup($A132,표4[#ALL],row(),false)</f>
        <v>0</v>
      </c>
      <c r="O132" s="362">
        <f>CS_PID!O132/VLOOKUP($B132,표2[#ALL],2)/hlookup($A132,표4[#ALL],row(),false)</f>
        <v>0</v>
      </c>
      <c r="P132" s="362">
        <f>CS_PID!P132/VLOOKUP($B132,표2[#ALL],2)/hlookup($A132,표4[#ALL],row(),false)</f>
        <v>0.09375</v>
      </c>
      <c r="Q132" s="362">
        <f>CS_PID!Q132/VLOOKUP($B132,표2[#ALL],2)/hlookup($A132,표4[#ALL],row(),false)</f>
        <v>0</v>
      </c>
      <c r="R132" s="362">
        <f>CS_PID!R132/VLOOKUP($B132,표2[#ALL],2)/hlookup($A132,표4[#ALL],row(),false)</f>
        <v>0</v>
      </c>
      <c r="S132" s="362">
        <f>CS_PID!S132/VLOOKUP($B132,표2[#ALL],2)/hlookup($A132,표4[#ALL],row(),false)</f>
        <v>0</v>
      </c>
      <c r="T132" s="362">
        <f>CS_PID!T132/VLOOKUP($B132,표2[#ALL],2)/hlookup($A132,표4[#ALL],row(),false)</f>
        <v>0</v>
      </c>
      <c r="U132" s="362">
        <f>CS_PID!U132/VLOOKUP($B132,표2[#ALL],2)/hlookup($A132,표4[#ALL],row(),false)</f>
        <v>0.03125</v>
      </c>
      <c r="V132" s="362">
        <f>CS_PID!V132/VLOOKUP($B132,표2[#ALL],2)/hlookup($A132,표4[#ALL],row(),false)</f>
        <v>0.1875</v>
      </c>
      <c r="W132" s="362">
        <f>CS_PID!W132/VLOOKUP($B132,표2[#ALL],2)/hlookup($A132,표4[#ALL],row(),false)</f>
        <v>0.28125</v>
      </c>
      <c r="X132" s="362">
        <f>CS_PID!X132/VLOOKUP($B132,표2[#ALL],2)/hlookup($A132,표4[#ALL],row(),false)</f>
        <v>0.03125</v>
      </c>
      <c r="Y132" s="362">
        <f>CS_PID!Y132/VLOOKUP($B132,표2[#ALL],2)/hlookup($A132,표4[#ALL],row(),false)</f>
        <v>0</v>
      </c>
      <c r="Z132" s="362">
        <f>CS_PID!Z132/VLOOKUP($B132,표2[#ALL],2)/hlookup($A132,표4[#ALL],row(),false)</f>
        <v>0</v>
      </c>
      <c r="AA132" s="362">
        <f>CS_PID!AA132/VLOOKUP($B132,표2[#ALL],2)/hlookup($A132,표4[#ALL],row(),false)</f>
        <v>0</v>
      </c>
      <c r="AB132" s="362">
        <f>CS_PID!AB132/VLOOKUP($B132,표2[#ALL],2)/hlookup($A132,표4[#ALL],row(),false)</f>
        <v>0.0625</v>
      </c>
      <c r="AC132" s="362">
        <f>CS_PID!AC132/VLOOKUP($B132,표2[#ALL],2)/hlookup($A132,표4[#ALL],row(),false)</f>
        <v>1</v>
      </c>
      <c r="AD132" s="362">
        <f>CS_PID!AD132/VLOOKUP($B132,표2[#ALL],2)/hlookup($A132,표4[#ALL],row(),false)</f>
        <v>0.0625</v>
      </c>
      <c r="AE132" s="362">
        <f>CS_PID!AE132/VLOOKUP($B132,표2[#ALL],2)/hlookup($A132,표4[#ALL],row(),false)</f>
        <v>0</v>
      </c>
      <c r="AF132" s="362">
        <f>CS_PID!AF132/VLOOKUP($B132,표2[#ALL],2)/hlookup($A132,표4[#ALL],row(),false)</f>
        <v>0</v>
      </c>
      <c r="AG132" s="362">
        <f>CS_PID!AG132/VLOOKUP($B132,표2[#ALL],2)/hlookup($A132,표4[#ALL],row(),false)</f>
        <v>0</v>
      </c>
      <c r="AH132" s="362">
        <f>CS_PID!AH132/VLOOKUP($B132,표2[#ALL],2)/hlookup($A132,표4[#ALL],row(),false)</f>
        <v>0.40625</v>
      </c>
      <c r="AI132" s="362">
        <f>CS_PID!AI132/VLOOKUP($B132,표2[#ALL],2)/hlookup($A132,표4[#ALL],row(),false)</f>
        <v>0.84375</v>
      </c>
      <c r="AJ132" s="362">
        <f>CS_PID!AJ132/VLOOKUP($B132,표2[#ALL],2)/hlookup($A132,표4[#ALL],row(),false)</f>
        <v>0.1875</v>
      </c>
      <c r="AK132" s="362">
        <f>CS_PID!AK132/VLOOKUP($B132,표2[#ALL],2)/hlookup($A132,표4[#ALL],row(),false)</f>
        <v>0</v>
      </c>
      <c r="AL132" s="362">
        <f>CS_PID!AL132/VLOOKUP($B132,표2[#ALL],2)/hlookup($A132,표4[#ALL],row(),false)</f>
        <v>0</v>
      </c>
      <c r="AM132" s="362">
        <f>CS_PID!AM132/VLOOKUP($B132,표2[#ALL],2)/hlookup($A132,표4[#ALL],row(),false)</f>
        <v>0.90625</v>
      </c>
      <c r="AN132" s="362">
        <f>CS_PID!AN132/VLOOKUP($B132,표2[#ALL],2)/hlookup($A132,표4[#ALL],row(),false)</f>
        <v>1.71875</v>
      </c>
      <c r="AO132" s="362">
        <f>CS_PID!AO132/VLOOKUP($B132,표2[#ALL],2)/hlookup($A132,표4[#ALL],row(),false)</f>
        <v>0</v>
      </c>
      <c r="AP132" s="362">
        <f>CS_PID!AP132/VLOOKUP($B132,표2[#ALL],2)/hlookup($A132,표4[#ALL],row(),false)</f>
        <v>0</v>
      </c>
      <c r="AQ132" s="362">
        <f>CS_PID!AQ132/VLOOKUP($B132,표2[#ALL],2)/hlookup($A132,표4[#ALL],row(),false)</f>
        <v>1.1875</v>
      </c>
      <c r="AR132" s="362">
        <f>CS_PID!AR132/VLOOKUP($B132,표2[#ALL],2)/hlookup($A132,표4[#ALL],row(),false)</f>
        <v>0.4375</v>
      </c>
      <c r="AS132" s="362">
        <f>CS_PID!AS132/VLOOKUP($B132,표2[#ALL],2)/hlookup($A132,표4[#ALL],row(),false)</f>
        <v>0</v>
      </c>
    </row>
    <row r="133">
      <c r="A133" s="193" t="s">
        <v>86</v>
      </c>
      <c r="B133" s="194">
        <v>415.0</v>
      </c>
      <c r="C133" s="363">
        <f>CS_PID!C133/VLOOKUP($B133,표2[#ALL],2)/hlookup($A133,표4[#ALL],row(),false)</f>
        <v>0</v>
      </c>
      <c r="D133" s="363">
        <f>CS_PID!D133/VLOOKUP($B133,표2[#ALL],2)/hlookup($A133,표4[#ALL],row(),false)</f>
        <v>0</v>
      </c>
      <c r="E133" s="363">
        <f>CS_PID!E133/VLOOKUP($B133,표2[#ALL],2)/hlookup($A133,표4[#ALL],row(),false)</f>
        <v>0</v>
      </c>
      <c r="F133" s="363">
        <f>CS_PID!F133/VLOOKUP($B133,표2[#ALL],2)/hlookup($A133,표4[#ALL],row(),false)</f>
        <v>0</v>
      </c>
      <c r="G133" s="363">
        <f>CS_PID!G133/VLOOKUP($B133,표2[#ALL],2)/hlookup($A133,표4[#ALL],row(),false)</f>
        <v>0</v>
      </c>
      <c r="H133" s="363">
        <f>CS_PID!H133/VLOOKUP($B133,표2[#ALL],2)/hlookup($A133,표4[#ALL],row(),false)</f>
        <v>0</v>
      </c>
      <c r="I133" s="363">
        <f>CS_PID!I133/VLOOKUP($B133,표2[#ALL],2)/hlookup($A133,표4[#ALL],row(),false)</f>
        <v>0</v>
      </c>
      <c r="J133" s="363">
        <f>CS_PID!J133/VLOOKUP($B133,표2[#ALL],2)/hlookup($A133,표4[#ALL],row(),false)</f>
        <v>0</v>
      </c>
      <c r="K133" s="363">
        <f>CS_PID!K133/VLOOKUP($B133,표2[#ALL],2)/hlookup($A133,표4[#ALL],row(),false)</f>
        <v>0</v>
      </c>
      <c r="L133" s="363">
        <f>CS_PID!L133/VLOOKUP($B133,표2[#ALL],2)/hlookup($A133,표4[#ALL],row(),false)</f>
        <v>0</v>
      </c>
      <c r="M133" s="363">
        <f>CS_PID!M133/VLOOKUP($B133,표2[#ALL],2)/hlookup($A133,표4[#ALL],row(),false)</f>
        <v>0</v>
      </c>
      <c r="N133" s="363">
        <f>CS_PID!N133/VLOOKUP($B133,표2[#ALL],2)/hlookup($A133,표4[#ALL],row(),false)</f>
        <v>0</v>
      </c>
      <c r="O133" s="363">
        <f>CS_PID!O133/VLOOKUP($B133,표2[#ALL],2)/hlookup($A133,표4[#ALL],row(),false)</f>
        <v>0</v>
      </c>
      <c r="P133" s="363">
        <f>CS_PID!P133/VLOOKUP($B133,표2[#ALL],2)/hlookup($A133,표4[#ALL],row(),false)</f>
        <v>0</v>
      </c>
      <c r="Q133" s="363">
        <f>CS_PID!Q133/VLOOKUP($B133,표2[#ALL],2)/hlookup($A133,표4[#ALL],row(),false)</f>
        <v>0.1428571429</v>
      </c>
      <c r="R133" s="363">
        <f>CS_PID!R133/VLOOKUP($B133,표2[#ALL],2)/hlookup($A133,표4[#ALL],row(),false)</f>
        <v>0</v>
      </c>
      <c r="S133" s="363">
        <f>CS_PID!S133/VLOOKUP($B133,표2[#ALL],2)/hlookup($A133,표4[#ALL],row(),false)</f>
        <v>0</v>
      </c>
      <c r="T133" s="363">
        <f>CS_PID!T133/VLOOKUP($B133,표2[#ALL],2)/hlookup($A133,표4[#ALL],row(),false)</f>
        <v>0</v>
      </c>
      <c r="U133" s="363">
        <f>CS_PID!U133/VLOOKUP($B133,표2[#ALL],2)/hlookup($A133,표4[#ALL],row(),false)</f>
        <v>0</v>
      </c>
      <c r="V133" s="363">
        <f>CS_PID!V133/VLOOKUP($B133,표2[#ALL],2)/hlookup($A133,표4[#ALL],row(),false)</f>
        <v>0</v>
      </c>
      <c r="W133" s="363">
        <f>CS_PID!W133/VLOOKUP($B133,표2[#ALL],2)/hlookup($A133,표4[#ALL],row(),false)</f>
        <v>0.1428571429</v>
      </c>
      <c r="X133" s="363">
        <f>CS_PID!X133/VLOOKUP($B133,표2[#ALL],2)/hlookup($A133,표4[#ALL],row(),false)</f>
        <v>0</v>
      </c>
      <c r="Y133" s="363">
        <f>CS_PID!Y133/VLOOKUP($B133,표2[#ALL],2)/hlookup($A133,표4[#ALL],row(),false)</f>
        <v>0</v>
      </c>
      <c r="Z133" s="363">
        <f>CS_PID!Z133/VLOOKUP($B133,표2[#ALL],2)/hlookup($A133,표4[#ALL],row(),false)</f>
        <v>0</v>
      </c>
      <c r="AA133" s="363">
        <f>CS_PID!AA133/VLOOKUP($B133,표2[#ALL],2)/hlookup($A133,표4[#ALL],row(),false)</f>
        <v>0</v>
      </c>
      <c r="AB133" s="363">
        <f>CS_PID!AB133/VLOOKUP($B133,표2[#ALL],2)/hlookup($A133,표4[#ALL],row(),false)</f>
        <v>0.2857142857</v>
      </c>
      <c r="AC133" s="363">
        <f>CS_PID!AC133/VLOOKUP($B133,표2[#ALL],2)/hlookup($A133,표4[#ALL],row(),false)</f>
        <v>1</v>
      </c>
      <c r="AD133" s="363">
        <f>CS_PID!AD133/VLOOKUP($B133,표2[#ALL],2)/hlookup($A133,표4[#ALL],row(),false)</f>
        <v>0</v>
      </c>
      <c r="AE133" s="363">
        <f>CS_PID!AE133/VLOOKUP($B133,표2[#ALL],2)/hlookup($A133,표4[#ALL],row(),false)</f>
        <v>0</v>
      </c>
      <c r="AF133" s="363">
        <f>CS_PID!AF133/VLOOKUP($B133,표2[#ALL],2)/hlookup($A133,표4[#ALL],row(),false)</f>
        <v>0</v>
      </c>
      <c r="AG133" s="363">
        <f>CS_PID!AG133/VLOOKUP($B133,표2[#ALL],2)/hlookup($A133,표4[#ALL],row(),false)</f>
        <v>0</v>
      </c>
      <c r="AH133" s="363">
        <f>CS_PID!AH133/VLOOKUP($B133,표2[#ALL],2)/hlookup($A133,표4[#ALL],row(),false)</f>
        <v>0.4285714286</v>
      </c>
      <c r="AI133" s="363">
        <f>CS_PID!AI133/VLOOKUP($B133,표2[#ALL],2)/hlookup($A133,표4[#ALL],row(),false)</f>
        <v>1.428571429</v>
      </c>
      <c r="AJ133" s="363">
        <f>CS_PID!AJ133/VLOOKUP($B133,표2[#ALL],2)/hlookup($A133,표4[#ALL],row(),false)</f>
        <v>0.1428571429</v>
      </c>
      <c r="AK133" s="363">
        <f>CS_PID!AK133/VLOOKUP($B133,표2[#ALL],2)/hlookup($A133,표4[#ALL],row(),false)</f>
        <v>0</v>
      </c>
      <c r="AL133" s="363">
        <f>CS_PID!AL133/VLOOKUP($B133,표2[#ALL],2)/hlookup($A133,표4[#ALL],row(),false)</f>
        <v>0</v>
      </c>
      <c r="AM133" s="363">
        <f>CS_PID!AM133/VLOOKUP($B133,표2[#ALL],2)/hlookup($A133,표4[#ALL],row(),false)</f>
        <v>0.4285714286</v>
      </c>
      <c r="AN133" s="363">
        <f>CS_PID!AN133/VLOOKUP($B133,표2[#ALL],2)/hlookup($A133,표4[#ALL],row(),false)</f>
        <v>2.571428571</v>
      </c>
      <c r="AO133" s="363">
        <f>CS_PID!AO133/VLOOKUP($B133,표2[#ALL],2)/hlookup($A133,표4[#ALL],row(),false)</f>
        <v>0</v>
      </c>
      <c r="AP133" s="363">
        <f>CS_PID!AP133/VLOOKUP($B133,표2[#ALL],2)/hlookup($A133,표4[#ALL],row(),false)</f>
        <v>0.1428571429</v>
      </c>
      <c r="AQ133" s="363">
        <f>CS_PID!AQ133/VLOOKUP($B133,표2[#ALL],2)/hlookup($A133,표4[#ALL],row(),false)</f>
        <v>1.285714286</v>
      </c>
      <c r="AR133" s="363">
        <f>CS_PID!AR133/VLOOKUP($B133,표2[#ALL],2)/hlookup($A133,표4[#ALL],row(),false)</f>
        <v>0.4285714286</v>
      </c>
      <c r="AS133" s="363">
        <f>CS_PID!AS133/VLOOKUP($B133,표2[#ALL],2)/hlookup($A133,표4[#ALL],row(),false)</f>
        <v>0</v>
      </c>
    </row>
    <row r="134">
      <c r="A134" s="197" t="s">
        <v>88</v>
      </c>
      <c r="B134" s="198">
        <v>420.0</v>
      </c>
      <c r="C134" s="364">
        <f>CS_PID!C134/VLOOKUP($B134,표2[#ALL],2)/hlookup($A134,표4[#ALL],row(),false)</f>
        <v>0</v>
      </c>
      <c r="D134" s="364">
        <f>CS_PID!D134/VLOOKUP($B134,표2[#ALL],2)/hlookup($A134,표4[#ALL],row(),false)</f>
        <v>0</v>
      </c>
      <c r="E134" s="364">
        <f>CS_PID!E134/VLOOKUP($B134,표2[#ALL],2)/hlookup($A134,표4[#ALL],row(),false)</f>
        <v>0</v>
      </c>
      <c r="F134" s="364">
        <f>CS_PID!F134/VLOOKUP($B134,표2[#ALL],2)/hlookup($A134,표4[#ALL],row(),false)</f>
        <v>0</v>
      </c>
      <c r="G134" s="364">
        <f>CS_PID!G134/VLOOKUP($B134,표2[#ALL],2)/hlookup($A134,표4[#ALL],row(),false)</f>
        <v>0</v>
      </c>
      <c r="H134" s="364">
        <f>CS_PID!H134/VLOOKUP($B134,표2[#ALL],2)/hlookup($A134,표4[#ALL],row(),false)</f>
        <v>0</v>
      </c>
      <c r="I134" s="364">
        <f>CS_PID!I134/VLOOKUP($B134,표2[#ALL],2)/hlookup($A134,표4[#ALL],row(),false)</f>
        <v>0</v>
      </c>
      <c r="J134" s="364">
        <f>CS_PID!J134/VLOOKUP($B134,표2[#ALL],2)/hlookup($A134,표4[#ALL],row(),false)</f>
        <v>0</v>
      </c>
      <c r="K134" s="364">
        <f>CS_PID!K134/VLOOKUP($B134,표2[#ALL],2)/hlookup($A134,표4[#ALL],row(),false)</f>
        <v>0</v>
      </c>
      <c r="L134" s="364">
        <f>CS_PID!L134/VLOOKUP($B134,표2[#ALL],2)/hlookup($A134,표4[#ALL],row(),false)</f>
        <v>0</v>
      </c>
      <c r="M134" s="364">
        <f>CS_PID!M134/VLOOKUP($B134,표2[#ALL],2)/hlookup($A134,표4[#ALL],row(),false)</f>
        <v>0</v>
      </c>
      <c r="N134" s="364">
        <f>CS_PID!N134/VLOOKUP($B134,표2[#ALL],2)/hlookup($A134,표4[#ALL],row(),false)</f>
        <v>0</v>
      </c>
      <c r="O134" s="364">
        <f>CS_PID!O134/VLOOKUP($B134,표2[#ALL],2)/hlookup($A134,표4[#ALL],row(),false)</f>
        <v>0</v>
      </c>
      <c r="P134" s="364">
        <f>CS_PID!P134/VLOOKUP($B134,표2[#ALL],2)/hlookup($A134,표4[#ALL],row(),false)</f>
        <v>0</v>
      </c>
      <c r="Q134" s="364">
        <f>CS_PID!Q134/VLOOKUP($B134,표2[#ALL],2)/hlookup($A134,표4[#ALL],row(),false)</f>
        <v>0</v>
      </c>
      <c r="R134" s="364">
        <f>CS_PID!R134/VLOOKUP($B134,표2[#ALL],2)/hlookup($A134,표4[#ALL],row(),false)</f>
        <v>0.2857142857</v>
      </c>
      <c r="S134" s="364">
        <f>CS_PID!S134/VLOOKUP($B134,표2[#ALL],2)/hlookup($A134,표4[#ALL],row(),false)</f>
        <v>0</v>
      </c>
      <c r="T134" s="364">
        <f>CS_PID!T134/VLOOKUP($B134,표2[#ALL],2)/hlookup($A134,표4[#ALL],row(),false)</f>
        <v>0</v>
      </c>
      <c r="U134" s="364">
        <f>CS_PID!U134/VLOOKUP($B134,표2[#ALL],2)/hlookup($A134,표4[#ALL],row(),false)</f>
        <v>0</v>
      </c>
      <c r="V134" s="364">
        <f>CS_PID!V134/VLOOKUP($B134,표2[#ALL],2)/hlookup($A134,표4[#ALL],row(),false)</f>
        <v>0</v>
      </c>
      <c r="W134" s="364">
        <f>CS_PID!W134/VLOOKUP($B134,표2[#ALL],2)/hlookup($A134,표4[#ALL],row(),false)</f>
        <v>0.2857142857</v>
      </c>
      <c r="X134" s="364">
        <f>CS_PID!X134/VLOOKUP($B134,표2[#ALL],2)/hlookup($A134,표4[#ALL],row(),false)</f>
        <v>0.6428571429</v>
      </c>
      <c r="Y134" s="364">
        <f>CS_PID!Y134/VLOOKUP($B134,표2[#ALL],2)/hlookup($A134,표4[#ALL],row(),false)</f>
        <v>0.1428571429</v>
      </c>
      <c r="Z134" s="364">
        <f>CS_PID!Z134/VLOOKUP($B134,표2[#ALL],2)/hlookup($A134,표4[#ALL],row(),false)</f>
        <v>0</v>
      </c>
      <c r="AA134" s="364">
        <f>CS_PID!AA134/VLOOKUP($B134,표2[#ALL],2)/hlookup($A134,표4[#ALL],row(),false)</f>
        <v>0</v>
      </c>
      <c r="AB134" s="364">
        <f>CS_PID!AB134/VLOOKUP($B134,표2[#ALL],2)/hlookup($A134,표4[#ALL],row(),false)</f>
        <v>0</v>
      </c>
      <c r="AC134" s="364">
        <f>CS_PID!AC134/VLOOKUP($B134,표2[#ALL],2)/hlookup($A134,표4[#ALL],row(),false)</f>
        <v>0.6428571429</v>
      </c>
      <c r="AD134" s="364">
        <f>CS_PID!AD134/VLOOKUP($B134,표2[#ALL],2)/hlookup($A134,표4[#ALL],row(),false)</f>
        <v>1</v>
      </c>
      <c r="AE134" s="364">
        <f>CS_PID!AE134/VLOOKUP($B134,표2[#ALL],2)/hlookup($A134,표4[#ALL],row(),false)</f>
        <v>0</v>
      </c>
      <c r="AF134" s="364">
        <f>CS_PID!AF134/VLOOKUP($B134,표2[#ALL],2)/hlookup($A134,표4[#ALL],row(),false)</f>
        <v>0</v>
      </c>
      <c r="AG134" s="364">
        <f>CS_PID!AG134/VLOOKUP($B134,표2[#ALL],2)/hlookup($A134,표4[#ALL],row(),false)</f>
        <v>0</v>
      </c>
      <c r="AH134" s="364">
        <f>CS_PID!AH134/VLOOKUP($B134,표2[#ALL],2)/hlookup($A134,표4[#ALL],row(),false)</f>
        <v>0.07142857143</v>
      </c>
      <c r="AI134" s="364">
        <f>CS_PID!AI134/VLOOKUP($B134,표2[#ALL],2)/hlookup($A134,표4[#ALL],row(),false)</f>
        <v>1.642857143</v>
      </c>
      <c r="AJ134" s="364">
        <f>CS_PID!AJ134/VLOOKUP($B134,표2[#ALL],2)/hlookup($A134,표4[#ALL],row(),false)</f>
        <v>1.785714286</v>
      </c>
      <c r="AK134" s="364">
        <f>CS_PID!AK134/VLOOKUP($B134,표2[#ALL],2)/hlookup($A134,표4[#ALL],row(),false)</f>
        <v>0</v>
      </c>
      <c r="AL134" s="364">
        <f>CS_PID!AL134/VLOOKUP($B134,표2[#ALL],2)/hlookup($A134,표4[#ALL],row(),false)</f>
        <v>0</v>
      </c>
      <c r="AM134" s="364">
        <f>CS_PID!AM134/VLOOKUP($B134,표2[#ALL],2)/hlookup($A134,표4[#ALL],row(),false)</f>
        <v>0.07142857143</v>
      </c>
      <c r="AN134" s="364">
        <f>CS_PID!AN134/VLOOKUP($B134,표2[#ALL],2)/hlookup($A134,표4[#ALL],row(),false)</f>
        <v>2.785714286</v>
      </c>
      <c r="AO134" s="364">
        <f>CS_PID!AO134/VLOOKUP($B134,표2[#ALL],2)/hlookup($A134,표4[#ALL],row(),false)</f>
        <v>1</v>
      </c>
      <c r="AP134" s="364">
        <f>CS_PID!AP134/VLOOKUP($B134,표2[#ALL],2)/hlookup($A134,표4[#ALL],row(),false)</f>
        <v>0</v>
      </c>
      <c r="AQ134" s="364">
        <f>CS_PID!AQ134/VLOOKUP($B134,표2[#ALL],2)/hlookup($A134,표4[#ALL],row(),false)</f>
        <v>0</v>
      </c>
      <c r="AR134" s="364">
        <f>CS_PID!AR134/VLOOKUP($B134,표2[#ALL],2)/hlookup($A134,표4[#ALL],row(),false)</f>
        <v>0.7142857143</v>
      </c>
      <c r="AS134" s="364">
        <f>CS_PID!AS134/VLOOKUP($B134,표2[#ALL],2)/hlookup($A134,표4[#ALL],row(),false)</f>
        <v>0.7142857143</v>
      </c>
    </row>
    <row r="135">
      <c r="A135" s="201" t="s">
        <v>88</v>
      </c>
      <c r="B135" s="202">
        <v>421.0</v>
      </c>
      <c r="C135" s="365">
        <f>CS_PID!C135/VLOOKUP($B135,표2[#ALL],2)/hlookup($A135,표4[#ALL],row(),false)</f>
        <v>0.08108108108</v>
      </c>
      <c r="D135" s="365">
        <f>CS_PID!D135/VLOOKUP($B135,표2[#ALL],2)/hlookup($A135,표4[#ALL],row(),false)</f>
        <v>0.05405405405</v>
      </c>
      <c r="E135" s="365">
        <f>CS_PID!E135/VLOOKUP($B135,표2[#ALL],2)/hlookup($A135,표4[#ALL],row(),false)</f>
        <v>0</v>
      </c>
      <c r="F135" s="365">
        <f>CS_PID!F135/VLOOKUP($B135,표2[#ALL],2)/hlookup($A135,표4[#ALL],row(),false)</f>
        <v>0</v>
      </c>
      <c r="G135" s="365">
        <f>CS_PID!G135/VLOOKUP($B135,표2[#ALL],2)/hlookup($A135,표4[#ALL],row(),false)</f>
        <v>0</v>
      </c>
      <c r="H135" s="365">
        <f>CS_PID!H135/VLOOKUP($B135,표2[#ALL],2)/hlookup($A135,표4[#ALL],row(),false)</f>
        <v>0.05405405405</v>
      </c>
      <c r="I135" s="365">
        <f>CS_PID!I135/VLOOKUP($B135,표2[#ALL],2)/hlookup($A135,표4[#ALL],row(),false)</f>
        <v>0</v>
      </c>
      <c r="J135" s="365">
        <f>CS_PID!J135/VLOOKUP($B135,표2[#ALL],2)/hlookup($A135,표4[#ALL],row(),false)</f>
        <v>0.05405405405</v>
      </c>
      <c r="K135" s="365">
        <f>CS_PID!K135/VLOOKUP($B135,표2[#ALL],2)/hlookup($A135,표4[#ALL],row(),false)</f>
        <v>0.1081081081</v>
      </c>
      <c r="L135" s="365">
        <f>CS_PID!L135/VLOOKUP($B135,표2[#ALL],2)/hlookup($A135,표4[#ALL],row(),false)</f>
        <v>0.05405405405</v>
      </c>
      <c r="M135" s="365">
        <f>CS_PID!M135/VLOOKUP($B135,표2[#ALL],2)/hlookup($A135,표4[#ALL],row(),false)</f>
        <v>0</v>
      </c>
      <c r="N135" s="365">
        <f>CS_PID!N135/VLOOKUP($B135,표2[#ALL],2)/hlookup($A135,표4[#ALL],row(),false)</f>
        <v>0</v>
      </c>
      <c r="O135" s="365">
        <f>CS_PID!O135/VLOOKUP($B135,표2[#ALL],2)/hlookup($A135,표4[#ALL],row(),false)</f>
        <v>0</v>
      </c>
      <c r="P135" s="365">
        <f>CS_PID!P135/VLOOKUP($B135,표2[#ALL],2)/hlookup($A135,표4[#ALL],row(),false)</f>
        <v>0.1891891892</v>
      </c>
      <c r="Q135" s="365">
        <f>CS_PID!Q135/VLOOKUP($B135,표2[#ALL],2)/hlookup($A135,표4[#ALL],row(),false)</f>
        <v>0.05405405405</v>
      </c>
      <c r="R135" s="365">
        <f>CS_PID!R135/VLOOKUP($B135,표2[#ALL],2)/hlookup($A135,표4[#ALL],row(),false)</f>
        <v>0.1351351351</v>
      </c>
      <c r="S135" s="365">
        <f>CS_PID!S135/VLOOKUP($B135,표2[#ALL],2)/hlookup($A135,표4[#ALL],row(),false)</f>
        <v>0.02702702703</v>
      </c>
      <c r="T135" s="365">
        <f>CS_PID!T135/VLOOKUP($B135,표2[#ALL],2)/hlookup($A135,표4[#ALL],row(),false)</f>
        <v>0</v>
      </c>
      <c r="U135" s="365">
        <f>CS_PID!U135/VLOOKUP($B135,표2[#ALL],2)/hlookup($A135,표4[#ALL],row(),false)</f>
        <v>0.02702702703</v>
      </c>
      <c r="V135" s="365">
        <f>CS_PID!V135/VLOOKUP($B135,표2[#ALL],2)/hlookup($A135,표4[#ALL],row(),false)</f>
        <v>0.3513513514</v>
      </c>
      <c r="W135" s="365">
        <f>CS_PID!W135/VLOOKUP($B135,표2[#ALL],2)/hlookup($A135,표4[#ALL],row(),false)</f>
        <v>0.4324324324</v>
      </c>
      <c r="X135" s="365">
        <f>CS_PID!X135/VLOOKUP($B135,표2[#ALL],2)/hlookup($A135,표4[#ALL],row(),false)</f>
        <v>1</v>
      </c>
      <c r="Y135" s="365">
        <f>CS_PID!Y135/VLOOKUP($B135,표2[#ALL],2)/hlookup($A135,표4[#ALL],row(),false)</f>
        <v>0.02702702703</v>
      </c>
      <c r="Z135" s="365">
        <f>CS_PID!Z135/VLOOKUP($B135,표2[#ALL],2)/hlookup($A135,표4[#ALL],row(),false)</f>
        <v>0</v>
      </c>
      <c r="AA135" s="365">
        <f>CS_PID!AA135/VLOOKUP($B135,표2[#ALL],2)/hlookup($A135,표4[#ALL],row(),false)</f>
        <v>0</v>
      </c>
      <c r="AB135" s="365">
        <f>CS_PID!AB135/VLOOKUP($B135,표2[#ALL],2)/hlookup($A135,표4[#ALL],row(),false)</f>
        <v>0.1891891892</v>
      </c>
      <c r="AC135" s="365">
        <f>CS_PID!AC135/VLOOKUP($B135,표2[#ALL],2)/hlookup($A135,표4[#ALL],row(),false)</f>
        <v>1.216216216</v>
      </c>
      <c r="AD135" s="365">
        <f>CS_PID!AD135/VLOOKUP($B135,표2[#ALL],2)/hlookup($A135,표4[#ALL],row(),false)</f>
        <v>1</v>
      </c>
      <c r="AE135" s="365">
        <f>CS_PID!AE135/VLOOKUP($B135,표2[#ALL],2)/hlookup($A135,표4[#ALL],row(),false)</f>
        <v>0.08108108108</v>
      </c>
      <c r="AF135" s="365">
        <f>CS_PID!AF135/VLOOKUP($B135,표2[#ALL],2)/hlookup($A135,표4[#ALL],row(),false)</f>
        <v>0</v>
      </c>
      <c r="AG135" s="365">
        <f>CS_PID!AG135/VLOOKUP($B135,표2[#ALL],2)/hlookup($A135,표4[#ALL],row(),false)</f>
        <v>0.02702702703</v>
      </c>
      <c r="AH135" s="365">
        <f>CS_PID!AH135/VLOOKUP($B135,표2[#ALL],2)/hlookup($A135,표4[#ALL],row(),false)</f>
        <v>0.08108108108</v>
      </c>
      <c r="AI135" s="365">
        <f>CS_PID!AI135/VLOOKUP($B135,표2[#ALL],2)/hlookup($A135,표4[#ALL],row(),false)</f>
        <v>2.243243243</v>
      </c>
      <c r="AJ135" s="365">
        <f>CS_PID!AJ135/VLOOKUP($B135,표2[#ALL],2)/hlookup($A135,표4[#ALL],row(),false)</f>
        <v>2.135135135</v>
      </c>
      <c r="AK135" s="365">
        <f>CS_PID!AK135/VLOOKUP($B135,표2[#ALL],2)/hlookup($A135,표4[#ALL],row(),false)</f>
        <v>0</v>
      </c>
      <c r="AL135" s="365">
        <f>CS_PID!AL135/VLOOKUP($B135,표2[#ALL],2)/hlookup($A135,표4[#ALL],row(),false)</f>
        <v>0</v>
      </c>
      <c r="AM135" s="365">
        <f>CS_PID!AM135/VLOOKUP($B135,표2[#ALL],2)/hlookup($A135,표4[#ALL],row(),false)</f>
        <v>0.05405405405</v>
      </c>
      <c r="AN135" s="365">
        <f>CS_PID!AN135/VLOOKUP($B135,표2[#ALL],2)/hlookup($A135,표4[#ALL],row(),false)</f>
        <v>3.702702703</v>
      </c>
      <c r="AO135" s="365">
        <f>CS_PID!AO135/VLOOKUP($B135,표2[#ALL],2)/hlookup($A135,표4[#ALL],row(),false)</f>
        <v>1.243243243</v>
      </c>
      <c r="AP135" s="365">
        <f>CS_PID!AP135/VLOOKUP($B135,표2[#ALL],2)/hlookup($A135,표4[#ALL],row(),false)</f>
        <v>0</v>
      </c>
      <c r="AQ135" s="365">
        <f>CS_PID!AQ135/VLOOKUP($B135,표2[#ALL],2)/hlookup($A135,표4[#ALL],row(),false)</f>
        <v>0</v>
      </c>
      <c r="AR135" s="365">
        <f>CS_PID!AR135/VLOOKUP($B135,표2[#ALL],2)/hlookup($A135,표4[#ALL],row(),false)</f>
        <v>0.9459459459</v>
      </c>
      <c r="AS135" s="365">
        <f>CS_PID!AS135/VLOOKUP($B135,표2[#ALL],2)/hlookup($A135,표4[#ALL],row(),false)</f>
        <v>1.027027027</v>
      </c>
    </row>
    <row r="136">
      <c r="A136" s="205" t="s">
        <v>88</v>
      </c>
      <c r="B136" s="206">
        <v>422.0</v>
      </c>
      <c r="C136" s="366">
        <f>CS_PID!C136/VLOOKUP($B136,표2[#ALL],2)/hlookup($A136,표4[#ALL],row(),false)</f>
        <v>0.02127659574</v>
      </c>
      <c r="D136" s="366">
        <f>CS_PID!D136/VLOOKUP($B136,표2[#ALL],2)/hlookup($A136,표4[#ALL],row(),false)</f>
        <v>0.04255319149</v>
      </c>
      <c r="E136" s="366">
        <f>CS_PID!E136/VLOOKUP($B136,표2[#ALL],2)/hlookup($A136,표4[#ALL],row(),false)</f>
        <v>0</v>
      </c>
      <c r="F136" s="366">
        <f>CS_PID!F136/VLOOKUP($B136,표2[#ALL],2)/hlookup($A136,표4[#ALL],row(),false)</f>
        <v>0</v>
      </c>
      <c r="G136" s="366">
        <f>CS_PID!G136/VLOOKUP($B136,표2[#ALL],2)/hlookup($A136,표4[#ALL],row(),false)</f>
        <v>0</v>
      </c>
      <c r="H136" s="366">
        <f>CS_PID!H136/VLOOKUP($B136,표2[#ALL],2)/hlookup($A136,표4[#ALL],row(),false)</f>
        <v>0</v>
      </c>
      <c r="I136" s="366">
        <f>CS_PID!I136/VLOOKUP($B136,표2[#ALL],2)/hlookup($A136,표4[#ALL],row(),false)</f>
        <v>0</v>
      </c>
      <c r="J136" s="366">
        <f>CS_PID!J136/VLOOKUP($B136,표2[#ALL],2)/hlookup($A136,표4[#ALL],row(),false)</f>
        <v>0.06382978723</v>
      </c>
      <c r="K136" s="366">
        <f>CS_PID!K136/VLOOKUP($B136,표2[#ALL],2)/hlookup($A136,표4[#ALL],row(),false)</f>
        <v>0.1063829787</v>
      </c>
      <c r="L136" s="366">
        <f>CS_PID!L136/VLOOKUP($B136,표2[#ALL],2)/hlookup($A136,표4[#ALL],row(),false)</f>
        <v>0.06382978723</v>
      </c>
      <c r="M136" s="366">
        <f>CS_PID!M136/VLOOKUP($B136,표2[#ALL],2)/hlookup($A136,표4[#ALL],row(),false)</f>
        <v>0.02127659574</v>
      </c>
      <c r="N136" s="366">
        <f>CS_PID!N136/VLOOKUP($B136,표2[#ALL],2)/hlookup($A136,표4[#ALL],row(),false)</f>
        <v>0</v>
      </c>
      <c r="O136" s="366">
        <f>CS_PID!O136/VLOOKUP($B136,표2[#ALL],2)/hlookup($A136,표4[#ALL],row(),false)</f>
        <v>0</v>
      </c>
      <c r="P136" s="366">
        <f>CS_PID!P136/VLOOKUP($B136,표2[#ALL],2)/hlookup($A136,표4[#ALL],row(),false)</f>
        <v>0.170212766</v>
      </c>
      <c r="Q136" s="366">
        <f>CS_PID!Q136/VLOOKUP($B136,표2[#ALL],2)/hlookup($A136,표4[#ALL],row(),false)</f>
        <v>0.08510638298</v>
      </c>
      <c r="R136" s="366">
        <f>CS_PID!R136/VLOOKUP($B136,표2[#ALL],2)/hlookup($A136,표4[#ALL],row(),false)</f>
        <v>0.1063829787</v>
      </c>
      <c r="S136" s="366">
        <f>CS_PID!S136/VLOOKUP($B136,표2[#ALL],2)/hlookup($A136,표4[#ALL],row(),false)</f>
        <v>0.06382978723</v>
      </c>
      <c r="T136" s="366">
        <f>CS_PID!T136/VLOOKUP($B136,표2[#ALL],2)/hlookup($A136,표4[#ALL],row(),false)</f>
        <v>0</v>
      </c>
      <c r="U136" s="366">
        <f>CS_PID!U136/VLOOKUP($B136,표2[#ALL],2)/hlookup($A136,표4[#ALL],row(),false)</f>
        <v>0.02127659574</v>
      </c>
      <c r="V136" s="366">
        <f>CS_PID!V136/VLOOKUP($B136,표2[#ALL],2)/hlookup($A136,표4[#ALL],row(),false)</f>
        <v>0.1276595745</v>
      </c>
      <c r="W136" s="366">
        <f>CS_PID!W136/VLOOKUP($B136,표2[#ALL],2)/hlookup($A136,표4[#ALL],row(),false)</f>
        <v>0.3404255319</v>
      </c>
      <c r="X136" s="366">
        <f>CS_PID!X136/VLOOKUP($B136,표2[#ALL],2)/hlookup($A136,표4[#ALL],row(),false)</f>
        <v>1.021276596</v>
      </c>
      <c r="Y136" s="366">
        <f>CS_PID!Y136/VLOOKUP($B136,표2[#ALL],2)/hlookup($A136,표4[#ALL],row(),false)</f>
        <v>0.06382978723</v>
      </c>
      <c r="Z136" s="366">
        <f>CS_PID!Z136/VLOOKUP($B136,표2[#ALL],2)/hlookup($A136,표4[#ALL],row(),false)</f>
        <v>0</v>
      </c>
      <c r="AA136" s="366">
        <f>CS_PID!AA136/VLOOKUP($B136,표2[#ALL],2)/hlookup($A136,표4[#ALL],row(),false)</f>
        <v>0</v>
      </c>
      <c r="AB136" s="366">
        <f>CS_PID!AB136/VLOOKUP($B136,표2[#ALL],2)/hlookup($A136,표4[#ALL],row(),false)</f>
        <v>0.04255319149</v>
      </c>
      <c r="AC136" s="366">
        <f>CS_PID!AC136/VLOOKUP($B136,표2[#ALL],2)/hlookup($A136,표4[#ALL],row(),false)</f>
        <v>1.021276596</v>
      </c>
      <c r="AD136" s="366">
        <f>CS_PID!AD136/VLOOKUP($B136,표2[#ALL],2)/hlookup($A136,표4[#ALL],row(),false)</f>
        <v>1</v>
      </c>
      <c r="AE136" s="366">
        <f>CS_PID!AE136/VLOOKUP($B136,표2[#ALL],2)/hlookup($A136,표4[#ALL],row(),false)</f>
        <v>0.04255319149</v>
      </c>
      <c r="AF136" s="366">
        <f>CS_PID!AF136/VLOOKUP($B136,표2[#ALL],2)/hlookup($A136,표4[#ALL],row(),false)</f>
        <v>0</v>
      </c>
      <c r="AG136" s="366">
        <f>CS_PID!AG136/VLOOKUP($B136,표2[#ALL],2)/hlookup($A136,표4[#ALL],row(),false)</f>
        <v>0</v>
      </c>
      <c r="AH136" s="366">
        <f>CS_PID!AH136/VLOOKUP($B136,표2[#ALL],2)/hlookup($A136,표4[#ALL],row(),false)</f>
        <v>0.04255319149</v>
      </c>
      <c r="AI136" s="366">
        <f>CS_PID!AI136/VLOOKUP($B136,표2[#ALL],2)/hlookup($A136,표4[#ALL],row(),false)</f>
        <v>2.127659574</v>
      </c>
      <c r="AJ136" s="366">
        <f>CS_PID!AJ136/VLOOKUP($B136,표2[#ALL],2)/hlookup($A136,표4[#ALL],row(),false)</f>
        <v>1.978723404</v>
      </c>
      <c r="AK136" s="366">
        <f>CS_PID!AK136/VLOOKUP($B136,표2[#ALL],2)/hlookup($A136,표4[#ALL],row(),false)</f>
        <v>0.04255319149</v>
      </c>
      <c r="AL136" s="366">
        <f>CS_PID!AL136/VLOOKUP($B136,표2[#ALL],2)/hlookup($A136,표4[#ALL],row(),false)</f>
        <v>0</v>
      </c>
      <c r="AM136" s="366">
        <f>CS_PID!AM136/VLOOKUP($B136,표2[#ALL],2)/hlookup($A136,표4[#ALL],row(),false)</f>
        <v>0.02127659574</v>
      </c>
      <c r="AN136" s="366">
        <f>CS_PID!AN136/VLOOKUP($B136,표2[#ALL],2)/hlookup($A136,표4[#ALL],row(),false)</f>
        <v>3.319148936</v>
      </c>
      <c r="AO136" s="366">
        <f>CS_PID!AO136/VLOOKUP($B136,표2[#ALL],2)/hlookup($A136,표4[#ALL],row(),false)</f>
        <v>1.063829787</v>
      </c>
      <c r="AP136" s="366">
        <f>CS_PID!AP136/VLOOKUP($B136,표2[#ALL],2)/hlookup($A136,표4[#ALL],row(),false)</f>
        <v>0.04255319149</v>
      </c>
      <c r="AQ136" s="366">
        <f>CS_PID!AQ136/VLOOKUP($B136,표2[#ALL],2)/hlookup($A136,표4[#ALL],row(),false)</f>
        <v>0</v>
      </c>
      <c r="AR136" s="366">
        <f>CS_PID!AR136/VLOOKUP($B136,표2[#ALL],2)/hlookup($A136,표4[#ALL],row(),false)</f>
        <v>1</v>
      </c>
      <c r="AS136" s="366">
        <f>CS_PID!AS136/VLOOKUP($B136,표2[#ALL],2)/hlookup($A136,표4[#ALL],row(),false)</f>
        <v>1.042553191</v>
      </c>
    </row>
    <row r="137">
      <c r="A137" s="209" t="s">
        <v>90</v>
      </c>
      <c r="B137" s="210">
        <v>425.0</v>
      </c>
      <c r="C137" s="367">
        <f>CS_PID!C137/VLOOKUP($B137,표2[#ALL],2)/hlookup($A137,표4[#ALL],row(),false)</f>
        <v>1</v>
      </c>
      <c r="D137" s="367">
        <f>CS_PID!D137/VLOOKUP($B137,표2[#ALL],2)/hlookup($A137,표4[#ALL],row(),false)</f>
        <v>0</v>
      </c>
      <c r="E137" s="367">
        <f>CS_PID!E137/VLOOKUP($B137,표2[#ALL],2)/hlookup($A137,표4[#ALL],row(),false)</f>
        <v>3</v>
      </c>
      <c r="F137" s="367">
        <f>CS_PID!F137/VLOOKUP($B137,표2[#ALL],2)/hlookup($A137,표4[#ALL],row(),false)</f>
        <v>0</v>
      </c>
      <c r="G137" s="367">
        <f>CS_PID!G137/VLOOKUP($B137,표2[#ALL],2)/hlookup($A137,표4[#ALL],row(),false)</f>
        <v>0</v>
      </c>
      <c r="H137" s="367">
        <f>CS_PID!H137/VLOOKUP($B137,표2[#ALL],2)/hlookup($A137,표4[#ALL],row(),false)</f>
        <v>0</v>
      </c>
      <c r="I137" s="367">
        <f>CS_PID!I137/VLOOKUP($B137,표2[#ALL],2)/hlookup($A137,표4[#ALL],row(),false)</f>
        <v>0</v>
      </c>
      <c r="J137" s="367">
        <f>CS_PID!J137/VLOOKUP($B137,표2[#ALL],2)/hlookup($A137,표4[#ALL],row(),false)</f>
        <v>0</v>
      </c>
      <c r="K137" s="367">
        <f>CS_PID!K137/VLOOKUP($B137,표2[#ALL],2)/hlookup($A137,표4[#ALL],row(),false)</f>
        <v>0</v>
      </c>
      <c r="L137" s="367">
        <f>CS_PID!L137/VLOOKUP($B137,표2[#ALL],2)/hlookup($A137,표4[#ALL],row(),false)</f>
        <v>0</v>
      </c>
      <c r="M137" s="367">
        <f>CS_PID!M137/VLOOKUP($B137,표2[#ALL],2)/hlookup($A137,표4[#ALL],row(),false)</f>
        <v>0</v>
      </c>
      <c r="N137" s="367">
        <f>CS_PID!N137/VLOOKUP($B137,표2[#ALL],2)/hlookup($A137,표4[#ALL],row(),false)</f>
        <v>0</v>
      </c>
      <c r="O137" s="367">
        <f>CS_PID!O137/VLOOKUP($B137,표2[#ALL],2)/hlookup($A137,표4[#ALL],row(),false)</f>
        <v>1</v>
      </c>
      <c r="P137" s="367">
        <f>CS_PID!P137/VLOOKUP($B137,표2[#ALL],2)/hlookup($A137,표4[#ALL],row(),false)</f>
        <v>0</v>
      </c>
      <c r="Q137" s="367">
        <f>CS_PID!Q137/VLOOKUP($B137,표2[#ALL],2)/hlookup($A137,표4[#ALL],row(),false)</f>
        <v>0</v>
      </c>
      <c r="R137" s="367">
        <f>CS_PID!R137/VLOOKUP($B137,표2[#ALL],2)/hlookup($A137,표4[#ALL],row(),false)</f>
        <v>1</v>
      </c>
      <c r="S137" s="367">
        <f>CS_PID!S137/VLOOKUP($B137,표2[#ALL],2)/hlookup($A137,표4[#ALL],row(),false)</f>
        <v>0</v>
      </c>
      <c r="T137" s="367">
        <f>CS_PID!T137/VLOOKUP($B137,표2[#ALL],2)/hlookup($A137,표4[#ALL],row(),false)</f>
        <v>0</v>
      </c>
      <c r="U137" s="367">
        <f>CS_PID!U137/VLOOKUP($B137,표2[#ALL],2)/hlookup($A137,표4[#ALL],row(),false)</f>
        <v>1</v>
      </c>
      <c r="V137" s="367">
        <f>CS_PID!V137/VLOOKUP($B137,표2[#ALL],2)/hlookup($A137,표4[#ALL],row(),false)</f>
        <v>0</v>
      </c>
      <c r="W137" s="367">
        <f>CS_PID!W137/VLOOKUP($B137,표2[#ALL],2)/hlookup($A137,표4[#ALL],row(),false)</f>
        <v>1</v>
      </c>
      <c r="X137" s="367">
        <f>CS_PID!X137/VLOOKUP($B137,표2[#ALL],2)/hlookup($A137,표4[#ALL],row(),false)</f>
        <v>6</v>
      </c>
      <c r="Y137" s="367">
        <f>CS_PID!Y137/VLOOKUP($B137,표2[#ALL],2)/hlookup($A137,표4[#ALL],row(),false)</f>
        <v>1</v>
      </c>
      <c r="Z137" s="367">
        <f>CS_PID!Z137/VLOOKUP($B137,표2[#ALL],2)/hlookup($A137,표4[#ALL],row(),false)</f>
        <v>0</v>
      </c>
      <c r="AA137" s="367">
        <f>CS_PID!AA137/VLOOKUP($B137,표2[#ALL],2)/hlookup($A137,표4[#ALL],row(),false)</f>
        <v>0</v>
      </c>
      <c r="AB137" s="367">
        <f>CS_PID!AB137/VLOOKUP($B137,표2[#ALL],2)/hlookup($A137,표4[#ALL],row(),false)</f>
        <v>0</v>
      </c>
      <c r="AC137" s="367">
        <f>CS_PID!AC137/VLOOKUP($B137,표2[#ALL],2)/hlookup($A137,표4[#ALL],row(),false)</f>
        <v>1</v>
      </c>
      <c r="AD137" s="367">
        <f>CS_PID!AD137/VLOOKUP($B137,표2[#ALL],2)/hlookup($A137,표4[#ALL],row(),false)</f>
        <v>4</v>
      </c>
      <c r="AE137" s="367">
        <f>CS_PID!AE137/VLOOKUP($B137,표2[#ALL],2)/hlookup($A137,표4[#ALL],row(),false)</f>
        <v>1</v>
      </c>
      <c r="AF137" s="367">
        <f>CS_PID!AF137/VLOOKUP($B137,표2[#ALL],2)/hlookup($A137,표4[#ALL],row(),false)</f>
        <v>0</v>
      </c>
      <c r="AG137" s="367">
        <f>CS_PID!AG137/VLOOKUP($B137,표2[#ALL],2)/hlookup($A137,표4[#ALL],row(),false)</f>
        <v>0</v>
      </c>
      <c r="AH137" s="367">
        <f>CS_PID!AH137/VLOOKUP($B137,표2[#ALL],2)/hlookup($A137,표4[#ALL],row(),false)</f>
        <v>0</v>
      </c>
      <c r="AI137" s="367">
        <f>CS_PID!AI137/VLOOKUP($B137,표2[#ALL],2)/hlookup($A137,표4[#ALL],row(),false)</f>
        <v>1</v>
      </c>
      <c r="AJ137" s="367">
        <f>CS_PID!AJ137/VLOOKUP($B137,표2[#ALL],2)/hlookup($A137,표4[#ALL],row(),false)</f>
        <v>3</v>
      </c>
      <c r="AK137" s="367">
        <f>CS_PID!AK137/VLOOKUP($B137,표2[#ALL],2)/hlookup($A137,표4[#ALL],row(),false)</f>
        <v>3</v>
      </c>
      <c r="AL137" s="367">
        <f>CS_PID!AL137/VLOOKUP($B137,표2[#ALL],2)/hlookup($A137,표4[#ALL],row(),false)</f>
        <v>0</v>
      </c>
      <c r="AM137" s="367">
        <f>CS_PID!AM137/VLOOKUP($B137,표2[#ALL],2)/hlookup($A137,표4[#ALL],row(),false)</f>
        <v>0</v>
      </c>
      <c r="AN137" s="367">
        <f>CS_PID!AN137/VLOOKUP($B137,표2[#ALL],2)/hlookup($A137,표4[#ALL],row(),false)</f>
        <v>0</v>
      </c>
      <c r="AO137" s="367">
        <f>CS_PID!AO137/VLOOKUP($B137,표2[#ALL],2)/hlookup($A137,표4[#ALL],row(),false)</f>
        <v>6</v>
      </c>
      <c r="AP137" s="367">
        <f>CS_PID!AP137/VLOOKUP($B137,표2[#ALL],2)/hlookup($A137,표4[#ALL],row(),false)</f>
        <v>5</v>
      </c>
      <c r="AQ137" s="367">
        <f>CS_PID!AQ137/VLOOKUP($B137,표2[#ALL],2)/hlookup($A137,표4[#ALL],row(),false)</f>
        <v>0</v>
      </c>
      <c r="AR137" s="367">
        <f>CS_PID!AR137/VLOOKUP($B137,표2[#ALL],2)/hlookup($A137,표4[#ALL],row(),false)</f>
        <v>2</v>
      </c>
      <c r="AS137" s="367">
        <f>CS_PID!AS137/VLOOKUP($B137,표2[#ALL],2)/hlookup($A137,표4[#ALL],row(),false)</f>
        <v>12</v>
      </c>
    </row>
    <row r="138">
      <c r="A138" s="213" t="s">
        <v>90</v>
      </c>
      <c r="B138" s="214">
        <v>426.0</v>
      </c>
      <c r="C138" s="368">
        <f>CS_PID!C138/VLOOKUP($B138,표2[#ALL],2)/hlookup($A138,표4[#ALL],row(),false)</f>
        <v>0.5</v>
      </c>
      <c r="D138" s="368">
        <f>CS_PID!D138/VLOOKUP($B138,표2[#ALL],2)/hlookup($A138,표4[#ALL],row(),false)</f>
        <v>0.5</v>
      </c>
      <c r="E138" s="368">
        <f>CS_PID!E138/VLOOKUP($B138,표2[#ALL],2)/hlookup($A138,표4[#ALL],row(),false)</f>
        <v>0.25</v>
      </c>
      <c r="F138" s="368">
        <f>CS_PID!F138/VLOOKUP($B138,표2[#ALL],2)/hlookup($A138,표4[#ALL],row(),false)</f>
        <v>0</v>
      </c>
      <c r="G138" s="368">
        <f>CS_PID!G138/VLOOKUP($B138,표2[#ALL],2)/hlookup($A138,표4[#ALL],row(),false)</f>
        <v>0</v>
      </c>
      <c r="H138" s="368">
        <f>CS_PID!H138/VLOOKUP($B138,표2[#ALL],2)/hlookup($A138,표4[#ALL],row(),false)</f>
        <v>0</v>
      </c>
      <c r="I138" s="368">
        <f>CS_PID!I138/VLOOKUP($B138,표2[#ALL],2)/hlookup($A138,표4[#ALL],row(),false)</f>
        <v>0.5</v>
      </c>
      <c r="J138" s="368">
        <f>CS_PID!J138/VLOOKUP($B138,표2[#ALL],2)/hlookup($A138,표4[#ALL],row(),false)</f>
        <v>0.25</v>
      </c>
      <c r="K138" s="368">
        <f>CS_PID!K138/VLOOKUP($B138,표2[#ALL],2)/hlookup($A138,표4[#ALL],row(),false)</f>
        <v>0.5</v>
      </c>
      <c r="L138" s="368">
        <f>CS_PID!L138/VLOOKUP($B138,표2[#ALL],2)/hlookup($A138,표4[#ALL],row(),false)</f>
        <v>0.5</v>
      </c>
      <c r="M138" s="368">
        <f>CS_PID!M138/VLOOKUP($B138,표2[#ALL],2)/hlookup($A138,표4[#ALL],row(),false)</f>
        <v>0</v>
      </c>
      <c r="N138" s="368">
        <f>CS_PID!N138/VLOOKUP($B138,표2[#ALL],2)/hlookup($A138,표4[#ALL],row(),false)</f>
        <v>0</v>
      </c>
      <c r="O138" s="368">
        <f>CS_PID!O138/VLOOKUP($B138,표2[#ALL],2)/hlookup($A138,표4[#ALL],row(),false)</f>
        <v>0</v>
      </c>
      <c r="P138" s="368">
        <f>CS_PID!P138/VLOOKUP($B138,표2[#ALL],2)/hlookup($A138,표4[#ALL],row(),false)</f>
        <v>0.5</v>
      </c>
      <c r="Q138" s="368">
        <f>CS_PID!Q138/VLOOKUP($B138,표2[#ALL],2)/hlookup($A138,표4[#ALL],row(),false)</f>
        <v>0.25</v>
      </c>
      <c r="R138" s="368">
        <f>CS_PID!R138/VLOOKUP($B138,표2[#ALL],2)/hlookup($A138,표4[#ALL],row(),false)</f>
        <v>1</v>
      </c>
      <c r="S138" s="368">
        <f>CS_PID!S138/VLOOKUP($B138,표2[#ALL],2)/hlookup($A138,표4[#ALL],row(),false)</f>
        <v>0.25</v>
      </c>
      <c r="T138" s="368">
        <f>CS_PID!T138/VLOOKUP($B138,표2[#ALL],2)/hlookup($A138,표4[#ALL],row(),false)</f>
        <v>0</v>
      </c>
      <c r="U138" s="368">
        <f>CS_PID!U138/VLOOKUP($B138,표2[#ALL],2)/hlookup($A138,표4[#ALL],row(),false)</f>
        <v>0</v>
      </c>
      <c r="V138" s="368">
        <f>CS_PID!V138/VLOOKUP($B138,표2[#ALL],2)/hlookup($A138,표4[#ALL],row(),false)</f>
        <v>0</v>
      </c>
      <c r="W138" s="368">
        <f>CS_PID!W138/VLOOKUP($B138,표2[#ALL],2)/hlookup($A138,표4[#ALL],row(),false)</f>
        <v>2.25</v>
      </c>
      <c r="X138" s="368">
        <f>CS_PID!X138/VLOOKUP($B138,표2[#ALL],2)/hlookup($A138,표4[#ALL],row(),false)</f>
        <v>2</v>
      </c>
      <c r="Y138" s="368">
        <f>CS_PID!Y138/VLOOKUP($B138,표2[#ALL],2)/hlookup($A138,표4[#ALL],row(),false)</f>
        <v>0.25</v>
      </c>
      <c r="Z138" s="368">
        <f>CS_PID!Z138/VLOOKUP($B138,표2[#ALL],2)/hlookup($A138,표4[#ALL],row(),false)</f>
        <v>0</v>
      </c>
      <c r="AA138" s="368">
        <f>CS_PID!AA138/VLOOKUP($B138,표2[#ALL],2)/hlookup($A138,표4[#ALL],row(),false)</f>
        <v>0</v>
      </c>
      <c r="AB138" s="368">
        <f>CS_PID!AB138/VLOOKUP($B138,표2[#ALL],2)/hlookup($A138,표4[#ALL],row(),false)</f>
        <v>0</v>
      </c>
      <c r="AC138" s="368">
        <f>CS_PID!AC138/VLOOKUP($B138,표2[#ALL],2)/hlookup($A138,표4[#ALL],row(),false)</f>
        <v>1.25</v>
      </c>
      <c r="AD138" s="368">
        <f>CS_PID!AD138/VLOOKUP($B138,표2[#ALL],2)/hlookup($A138,표4[#ALL],row(),false)</f>
        <v>2.5</v>
      </c>
      <c r="AE138" s="368">
        <f>CS_PID!AE138/VLOOKUP($B138,표2[#ALL],2)/hlookup($A138,표4[#ALL],row(),false)</f>
        <v>1</v>
      </c>
      <c r="AF138" s="368">
        <f>CS_PID!AF138/VLOOKUP($B138,표2[#ALL],2)/hlookup($A138,표4[#ALL],row(),false)</f>
        <v>0</v>
      </c>
      <c r="AG138" s="368">
        <f>CS_PID!AG138/VLOOKUP($B138,표2[#ALL],2)/hlookup($A138,표4[#ALL],row(),false)</f>
        <v>0</v>
      </c>
      <c r="AH138" s="368">
        <f>CS_PID!AH138/VLOOKUP($B138,표2[#ALL],2)/hlookup($A138,표4[#ALL],row(),false)</f>
        <v>0</v>
      </c>
      <c r="AI138" s="368">
        <f>CS_PID!AI138/VLOOKUP($B138,표2[#ALL],2)/hlookup($A138,표4[#ALL],row(),false)</f>
        <v>0</v>
      </c>
      <c r="AJ138" s="368">
        <f>CS_PID!AJ138/VLOOKUP($B138,표2[#ALL],2)/hlookup($A138,표4[#ALL],row(),false)</f>
        <v>5</v>
      </c>
      <c r="AK138" s="368">
        <f>CS_PID!AK138/VLOOKUP($B138,표2[#ALL],2)/hlookup($A138,표4[#ALL],row(),false)</f>
        <v>1</v>
      </c>
      <c r="AL138" s="368">
        <f>CS_PID!AL138/VLOOKUP($B138,표2[#ALL],2)/hlookup($A138,표4[#ALL],row(),false)</f>
        <v>0</v>
      </c>
      <c r="AM138" s="368">
        <f>CS_PID!AM138/VLOOKUP($B138,표2[#ALL],2)/hlookup($A138,표4[#ALL],row(),false)</f>
        <v>0</v>
      </c>
      <c r="AN138" s="368">
        <f>CS_PID!AN138/VLOOKUP($B138,표2[#ALL],2)/hlookup($A138,표4[#ALL],row(),false)</f>
        <v>0</v>
      </c>
      <c r="AO138" s="368">
        <f>CS_PID!AO138/VLOOKUP($B138,표2[#ALL],2)/hlookup($A138,표4[#ALL],row(),false)</f>
        <v>4</v>
      </c>
      <c r="AP138" s="368">
        <f>CS_PID!AP138/VLOOKUP($B138,표2[#ALL],2)/hlookup($A138,표4[#ALL],row(),false)</f>
        <v>2.75</v>
      </c>
      <c r="AQ138" s="368">
        <f>CS_PID!AQ138/VLOOKUP($B138,표2[#ALL],2)/hlookup($A138,표4[#ALL],row(),false)</f>
        <v>0</v>
      </c>
      <c r="AR138" s="368">
        <f>CS_PID!AR138/VLOOKUP($B138,표2[#ALL],2)/hlookup($A138,표4[#ALL],row(),false)</f>
        <v>0</v>
      </c>
      <c r="AS138" s="368">
        <f>CS_PID!AS138/VLOOKUP($B138,표2[#ALL],2)/hlookup($A138,표4[#ALL],row(),false)</f>
        <v>7</v>
      </c>
    </row>
    <row r="139">
      <c r="A139" s="213" t="s">
        <v>90</v>
      </c>
      <c r="B139" s="214">
        <v>427.0</v>
      </c>
      <c r="C139" s="368">
        <f>CS_PID!C139/VLOOKUP($B139,표2[#ALL],2)/hlookup($A139,표4[#ALL],row(),false)</f>
        <v>0</v>
      </c>
      <c r="D139" s="368">
        <f>CS_PID!D139/VLOOKUP($B139,표2[#ALL],2)/hlookup($A139,표4[#ALL],row(),false)</f>
        <v>0</v>
      </c>
      <c r="E139" s="368">
        <f>CS_PID!E139/VLOOKUP($B139,표2[#ALL],2)/hlookup($A139,표4[#ALL],row(),false)</f>
        <v>0.25</v>
      </c>
      <c r="F139" s="368">
        <f>CS_PID!F139/VLOOKUP($B139,표2[#ALL],2)/hlookup($A139,표4[#ALL],row(),false)</f>
        <v>0</v>
      </c>
      <c r="G139" s="368">
        <f>CS_PID!G139/VLOOKUP($B139,표2[#ALL],2)/hlookup($A139,표4[#ALL],row(),false)</f>
        <v>0</v>
      </c>
      <c r="H139" s="368">
        <f>CS_PID!H139/VLOOKUP($B139,표2[#ALL],2)/hlookup($A139,표4[#ALL],row(),false)</f>
        <v>0.25</v>
      </c>
      <c r="I139" s="368">
        <f>CS_PID!I139/VLOOKUP($B139,표2[#ALL],2)/hlookup($A139,표4[#ALL],row(),false)</f>
        <v>0.25</v>
      </c>
      <c r="J139" s="368">
        <f>CS_PID!J139/VLOOKUP($B139,표2[#ALL],2)/hlookup($A139,표4[#ALL],row(),false)</f>
        <v>0</v>
      </c>
      <c r="K139" s="368">
        <f>CS_PID!K139/VLOOKUP($B139,표2[#ALL],2)/hlookup($A139,표4[#ALL],row(),false)</f>
        <v>0.25</v>
      </c>
      <c r="L139" s="368">
        <f>CS_PID!L139/VLOOKUP($B139,표2[#ALL],2)/hlookup($A139,표4[#ALL],row(),false)</f>
        <v>0</v>
      </c>
      <c r="M139" s="368">
        <f>CS_PID!M139/VLOOKUP($B139,표2[#ALL],2)/hlookup($A139,표4[#ALL],row(),false)</f>
        <v>0</v>
      </c>
      <c r="N139" s="368">
        <f>CS_PID!N139/VLOOKUP($B139,표2[#ALL],2)/hlookup($A139,표4[#ALL],row(),false)</f>
        <v>0</v>
      </c>
      <c r="O139" s="368">
        <f>CS_PID!O139/VLOOKUP($B139,표2[#ALL],2)/hlookup($A139,표4[#ALL],row(),false)</f>
        <v>0.25</v>
      </c>
      <c r="P139" s="368">
        <f>CS_PID!P139/VLOOKUP($B139,표2[#ALL],2)/hlookup($A139,표4[#ALL],row(),false)</f>
        <v>0</v>
      </c>
      <c r="Q139" s="368">
        <f>CS_PID!Q139/VLOOKUP($B139,표2[#ALL],2)/hlookup($A139,표4[#ALL],row(),false)</f>
        <v>1.5</v>
      </c>
      <c r="R139" s="368">
        <f>CS_PID!R139/VLOOKUP($B139,표2[#ALL],2)/hlookup($A139,표4[#ALL],row(),false)</f>
        <v>1.5</v>
      </c>
      <c r="S139" s="368">
        <f>CS_PID!S139/VLOOKUP($B139,표2[#ALL],2)/hlookup($A139,표4[#ALL],row(),false)</f>
        <v>0</v>
      </c>
      <c r="T139" s="368">
        <f>CS_PID!T139/VLOOKUP($B139,표2[#ALL],2)/hlookup($A139,표4[#ALL],row(),false)</f>
        <v>0</v>
      </c>
      <c r="U139" s="368">
        <f>CS_PID!U139/VLOOKUP($B139,표2[#ALL],2)/hlookup($A139,표4[#ALL],row(),false)</f>
        <v>0</v>
      </c>
      <c r="V139" s="368">
        <f>CS_PID!V139/VLOOKUP($B139,표2[#ALL],2)/hlookup($A139,표4[#ALL],row(),false)</f>
        <v>0</v>
      </c>
      <c r="W139" s="368">
        <f>CS_PID!W139/VLOOKUP($B139,표2[#ALL],2)/hlookup($A139,표4[#ALL],row(),false)</f>
        <v>0.75</v>
      </c>
      <c r="X139" s="368">
        <f>CS_PID!X139/VLOOKUP($B139,표2[#ALL],2)/hlookup($A139,표4[#ALL],row(),false)</f>
        <v>4.5</v>
      </c>
      <c r="Y139" s="368">
        <f>CS_PID!Y139/VLOOKUP($B139,표2[#ALL],2)/hlookup($A139,표4[#ALL],row(),false)</f>
        <v>1</v>
      </c>
      <c r="Z139" s="368">
        <f>CS_PID!Z139/VLOOKUP($B139,표2[#ALL],2)/hlookup($A139,표4[#ALL],row(),false)</f>
        <v>0</v>
      </c>
      <c r="AA139" s="368">
        <f>CS_PID!AA139/VLOOKUP($B139,표2[#ALL],2)/hlookup($A139,표4[#ALL],row(),false)</f>
        <v>0</v>
      </c>
      <c r="AB139" s="368">
        <f>CS_PID!AB139/VLOOKUP($B139,표2[#ALL],2)/hlookup($A139,표4[#ALL],row(),false)</f>
        <v>0</v>
      </c>
      <c r="AC139" s="368">
        <f>CS_PID!AC139/VLOOKUP($B139,표2[#ALL],2)/hlookup($A139,표4[#ALL],row(),false)</f>
        <v>1</v>
      </c>
      <c r="AD139" s="368">
        <f>CS_PID!AD139/VLOOKUP($B139,표2[#ALL],2)/hlookup($A139,표4[#ALL],row(),false)</f>
        <v>1.75</v>
      </c>
      <c r="AE139" s="368">
        <f>CS_PID!AE139/VLOOKUP($B139,표2[#ALL],2)/hlookup($A139,표4[#ALL],row(),false)</f>
        <v>1</v>
      </c>
      <c r="AF139" s="368">
        <f>CS_PID!AF139/VLOOKUP($B139,표2[#ALL],2)/hlookup($A139,표4[#ALL],row(),false)</f>
        <v>0</v>
      </c>
      <c r="AG139" s="368">
        <f>CS_PID!AG139/VLOOKUP($B139,표2[#ALL],2)/hlookup($A139,표4[#ALL],row(),false)</f>
        <v>0</v>
      </c>
      <c r="AH139" s="368">
        <f>CS_PID!AH139/VLOOKUP($B139,표2[#ALL],2)/hlookup($A139,표4[#ALL],row(),false)</f>
        <v>0</v>
      </c>
      <c r="AI139" s="368">
        <f>CS_PID!AI139/VLOOKUP($B139,표2[#ALL],2)/hlookup($A139,표4[#ALL],row(),false)</f>
        <v>0.75</v>
      </c>
      <c r="AJ139" s="368">
        <f>CS_PID!AJ139/VLOOKUP($B139,표2[#ALL],2)/hlookup($A139,표4[#ALL],row(),false)</f>
        <v>4</v>
      </c>
      <c r="AK139" s="368">
        <f>CS_PID!AK139/VLOOKUP($B139,표2[#ALL],2)/hlookup($A139,표4[#ALL],row(),false)</f>
        <v>2</v>
      </c>
      <c r="AL139" s="368">
        <f>CS_PID!AL139/VLOOKUP($B139,표2[#ALL],2)/hlookup($A139,표4[#ALL],row(),false)</f>
        <v>0</v>
      </c>
      <c r="AM139" s="368">
        <f>CS_PID!AM139/VLOOKUP($B139,표2[#ALL],2)/hlookup($A139,표4[#ALL],row(),false)</f>
        <v>0</v>
      </c>
      <c r="AN139" s="368">
        <f>CS_PID!AN139/VLOOKUP($B139,표2[#ALL],2)/hlookup($A139,표4[#ALL],row(),false)</f>
        <v>0</v>
      </c>
      <c r="AO139" s="368">
        <f>CS_PID!AO139/VLOOKUP($B139,표2[#ALL],2)/hlookup($A139,표4[#ALL],row(),false)</f>
        <v>4.25</v>
      </c>
      <c r="AP139" s="368">
        <f>CS_PID!AP139/VLOOKUP($B139,표2[#ALL],2)/hlookup($A139,표4[#ALL],row(),false)</f>
        <v>2.75</v>
      </c>
      <c r="AQ139" s="368">
        <f>CS_PID!AQ139/VLOOKUP($B139,표2[#ALL],2)/hlookup($A139,표4[#ALL],row(),false)</f>
        <v>0</v>
      </c>
      <c r="AR139" s="368">
        <f>CS_PID!AR139/VLOOKUP($B139,표2[#ALL],2)/hlookup($A139,표4[#ALL],row(),false)</f>
        <v>0.25</v>
      </c>
      <c r="AS139" s="368">
        <f>CS_PID!AS139/VLOOKUP($B139,표2[#ALL],2)/hlookup($A139,표4[#ALL],row(),false)</f>
        <v>5.75</v>
      </c>
    </row>
    <row r="140">
      <c r="A140" s="213" t="s">
        <v>90</v>
      </c>
      <c r="B140" s="214">
        <v>428.0</v>
      </c>
      <c r="C140" s="368">
        <f>CS_PID!C140/VLOOKUP($B140,표2[#ALL],2)/hlookup($A140,표4[#ALL],row(),false)</f>
        <v>0</v>
      </c>
      <c r="D140" s="368">
        <f>CS_PID!D140/VLOOKUP($B140,표2[#ALL],2)/hlookup($A140,표4[#ALL],row(),false)</f>
        <v>0</v>
      </c>
      <c r="E140" s="368">
        <f>CS_PID!E140/VLOOKUP($B140,표2[#ALL],2)/hlookup($A140,표4[#ALL],row(),false)</f>
        <v>0.3333333333</v>
      </c>
      <c r="F140" s="368">
        <f>CS_PID!F140/VLOOKUP($B140,표2[#ALL],2)/hlookup($A140,표4[#ALL],row(),false)</f>
        <v>0</v>
      </c>
      <c r="G140" s="368">
        <f>CS_PID!G140/VLOOKUP($B140,표2[#ALL],2)/hlookup($A140,표4[#ALL],row(),false)</f>
        <v>0</v>
      </c>
      <c r="H140" s="368">
        <f>CS_PID!H140/VLOOKUP($B140,표2[#ALL],2)/hlookup($A140,표4[#ALL],row(),false)</f>
        <v>0</v>
      </c>
      <c r="I140" s="368">
        <f>CS_PID!I140/VLOOKUP($B140,표2[#ALL],2)/hlookup($A140,표4[#ALL],row(),false)</f>
        <v>0</v>
      </c>
      <c r="J140" s="368">
        <f>CS_PID!J140/VLOOKUP($B140,표2[#ALL],2)/hlookup($A140,표4[#ALL],row(),false)</f>
        <v>0</v>
      </c>
      <c r="K140" s="368">
        <f>CS_PID!K140/VLOOKUP($B140,표2[#ALL],2)/hlookup($A140,표4[#ALL],row(),false)</f>
        <v>0</v>
      </c>
      <c r="L140" s="368">
        <f>CS_PID!L140/VLOOKUP($B140,표2[#ALL],2)/hlookup($A140,표4[#ALL],row(),false)</f>
        <v>1</v>
      </c>
      <c r="M140" s="368">
        <f>CS_PID!M140/VLOOKUP($B140,표2[#ALL],2)/hlookup($A140,표4[#ALL],row(),false)</f>
        <v>0</v>
      </c>
      <c r="N140" s="368">
        <f>CS_PID!N140/VLOOKUP($B140,표2[#ALL],2)/hlookup($A140,표4[#ALL],row(),false)</f>
        <v>0</v>
      </c>
      <c r="O140" s="368">
        <f>CS_PID!O140/VLOOKUP($B140,표2[#ALL],2)/hlookup($A140,표4[#ALL],row(),false)</f>
        <v>0</v>
      </c>
      <c r="P140" s="368">
        <f>CS_PID!P140/VLOOKUP($B140,표2[#ALL],2)/hlookup($A140,표4[#ALL],row(),false)</f>
        <v>0.6666666667</v>
      </c>
      <c r="Q140" s="368">
        <f>CS_PID!Q140/VLOOKUP($B140,표2[#ALL],2)/hlookup($A140,표4[#ALL],row(),false)</f>
        <v>2.666666667</v>
      </c>
      <c r="R140" s="368">
        <f>CS_PID!R140/VLOOKUP($B140,표2[#ALL],2)/hlookup($A140,표4[#ALL],row(),false)</f>
        <v>0.3333333333</v>
      </c>
      <c r="S140" s="368">
        <f>CS_PID!S140/VLOOKUP($B140,표2[#ALL],2)/hlookup($A140,표4[#ALL],row(),false)</f>
        <v>0.6666666667</v>
      </c>
      <c r="T140" s="368">
        <f>CS_PID!T140/VLOOKUP($B140,표2[#ALL],2)/hlookup($A140,표4[#ALL],row(),false)</f>
        <v>0</v>
      </c>
      <c r="U140" s="368">
        <f>CS_PID!U140/VLOOKUP($B140,표2[#ALL],2)/hlookup($A140,표4[#ALL],row(),false)</f>
        <v>0</v>
      </c>
      <c r="V140" s="368">
        <f>CS_PID!V140/VLOOKUP($B140,표2[#ALL],2)/hlookup($A140,표4[#ALL],row(),false)</f>
        <v>0</v>
      </c>
      <c r="W140" s="368">
        <f>CS_PID!W140/VLOOKUP($B140,표2[#ALL],2)/hlookup($A140,표4[#ALL],row(),false)</f>
        <v>1.333333333</v>
      </c>
      <c r="X140" s="368">
        <f>CS_PID!X140/VLOOKUP($B140,표2[#ALL],2)/hlookup($A140,표4[#ALL],row(),false)</f>
        <v>2.666666667</v>
      </c>
      <c r="Y140" s="368">
        <f>CS_PID!Y140/VLOOKUP($B140,표2[#ALL],2)/hlookup($A140,표4[#ALL],row(),false)</f>
        <v>0</v>
      </c>
      <c r="Z140" s="368">
        <f>CS_PID!Z140/VLOOKUP($B140,표2[#ALL],2)/hlookup($A140,표4[#ALL],row(),false)</f>
        <v>0</v>
      </c>
      <c r="AA140" s="368">
        <f>CS_PID!AA140/VLOOKUP($B140,표2[#ALL],2)/hlookup($A140,표4[#ALL],row(),false)</f>
        <v>0</v>
      </c>
      <c r="AB140" s="368">
        <f>CS_PID!AB140/VLOOKUP($B140,표2[#ALL],2)/hlookup($A140,표4[#ALL],row(),false)</f>
        <v>0</v>
      </c>
      <c r="AC140" s="368">
        <f>CS_PID!AC140/VLOOKUP($B140,표2[#ALL],2)/hlookup($A140,표4[#ALL],row(),false)</f>
        <v>0.6666666667</v>
      </c>
      <c r="AD140" s="368">
        <f>CS_PID!AD140/VLOOKUP($B140,표2[#ALL],2)/hlookup($A140,표4[#ALL],row(),false)</f>
        <v>2.666666667</v>
      </c>
      <c r="AE140" s="368">
        <f>CS_PID!AE140/VLOOKUP($B140,표2[#ALL],2)/hlookup($A140,표4[#ALL],row(),false)</f>
        <v>1</v>
      </c>
      <c r="AF140" s="368">
        <f>CS_PID!AF140/VLOOKUP($B140,표2[#ALL],2)/hlookup($A140,표4[#ALL],row(),false)</f>
        <v>0</v>
      </c>
      <c r="AG140" s="368">
        <f>CS_PID!AG140/VLOOKUP($B140,표2[#ALL],2)/hlookup($A140,표4[#ALL],row(),false)</f>
        <v>0</v>
      </c>
      <c r="AH140" s="368">
        <f>CS_PID!AH140/VLOOKUP($B140,표2[#ALL],2)/hlookup($A140,표4[#ALL],row(),false)</f>
        <v>0</v>
      </c>
      <c r="AI140" s="368">
        <f>CS_PID!AI140/VLOOKUP($B140,표2[#ALL],2)/hlookup($A140,표4[#ALL],row(),false)</f>
        <v>0.3333333333</v>
      </c>
      <c r="AJ140" s="368">
        <f>CS_PID!AJ140/VLOOKUP($B140,표2[#ALL],2)/hlookup($A140,표4[#ALL],row(),false)</f>
        <v>6.666666667</v>
      </c>
      <c r="AK140" s="368">
        <f>CS_PID!AK140/VLOOKUP($B140,표2[#ALL],2)/hlookup($A140,표4[#ALL],row(),false)</f>
        <v>1</v>
      </c>
      <c r="AL140" s="368">
        <f>CS_PID!AL140/VLOOKUP($B140,표2[#ALL],2)/hlookup($A140,표4[#ALL],row(),false)</f>
        <v>0</v>
      </c>
      <c r="AM140" s="368">
        <f>CS_PID!AM140/VLOOKUP($B140,표2[#ALL],2)/hlookup($A140,표4[#ALL],row(),false)</f>
        <v>0</v>
      </c>
      <c r="AN140" s="368">
        <f>CS_PID!AN140/VLOOKUP($B140,표2[#ALL],2)/hlookup($A140,표4[#ALL],row(),false)</f>
        <v>0.3333333333</v>
      </c>
      <c r="AO140" s="368">
        <f>CS_PID!AO140/VLOOKUP($B140,표2[#ALL],2)/hlookup($A140,표4[#ALL],row(),false)</f>
        <v>3.666666667</v>
      </c>
      <c r="AP140" s="368">
        <f>CS_PID!AP140/VLOOKUP($B140,표2[#ALL],2)/hlookup($A140,표4[#ALL],row(),false)</f>
        <v>2</v>
      </c>
      <c r="AQ140" s="368">
        <f>CS_PID!AQ140/VLOOKUP($B140,표2[#ALL],2)/hlookup($A140,표4[#ALL],row(),false)</f>
        <v>0</v>
      </c>
      <c r="AR140" s="368">
        <f>CS_PID!AR140/VLOOKUP($B140,표2[#ALL],2)/hlookup($A140,표4[#ALL],row(),false)</f>
        <v>0</v>
      </c>
      <c r="AS140" s="368">
        <f>CS_PID!AS140/VLOOKUP($B140,표2[#ALL],2)/hlookup($A140,표4[#ALL],row(),false)</f>
        <v>7</v>
      </c>
    </row>
    <row r="141">
      <c r="A141" s="213" t="s">
        <v>90</v>
      </c>
      <c r="B141" s="214">
        <v>429.0</v>
      </c>
      <c r="C141" s="368">
        <f>CS_PID!C141/VLOOKUP($B141,표2[#ALL],2)/hlookup($A141,표4[#ALL],row(),false)</f>
        <v>0</v>
      </c>
      <c r="D141" s="368">
        <f>CS_PID!D141/VLOOKUP($B141,표2[#ALL],2)/hlookup($A141,표4[#ALL],row(),false)</f>
        <v>1</v>
      </c>
      <c r="E141" s="368">
        <f>CS_PID!E141/VLOOKUP($B141,표2[#ALL],2)/hlookup($A141,표4[#ALL],row(),false)</f>
        <v>0</v>
      </c>
      <c r="F141" s="368">
        <f>CS_PID!F141/VLOOKUP($B141,표2[#ALL],2)/hlookup($A141,표4[#ALL],row(),false)</f>
        <v>3</v>
      </c>
      <c r="G141" s="368">
        <f>CS_PID!G141/VLOOKUP($B141,표2[#ALL],2)/hlookup($A141,표4[#ALL],row(),false)</f>
        <v>0</v>
      </c>
      <c r="H141" s="368">
        <f>CS_PID!H141/VLOOKUP($B141,표2[#ALL],2)/hlookup($A141,표4[#ALL],row(),false)</f>
        <v>0</v>
      </c>
      <c r="I141" s="368">
        <f>CS_PID!I141/VLOOKUP($B141,표2[#ALL],2)/hlookup($A141,표4[#ALL],row(),false)</f>
        <v>0</v>
      </c>
      <c r="J141" s="368">
        <f>CS_PID!J141/VLOOKUP($B141,표2[#ALL],2)/hlookup($A141,표4[#ALL],row(),false)</f>
        <v>0</v>
      </c>
      <c r="K141" s="368">
        <f>CS_PID!K141/VLOOKUP($B141,표2[#ALL],2)/hlookup($A141,표4[#ALL],row(),false)</f>
        <v>1</v>
      </c>
      <c r="L141" s="368">
        <f>CS_PID!L141/VLOOKUP($B141,표2[#ALL],2)/hlookup($A141,표4[#ALL],row(),false)</f>
        <v>2</v>
      </c>
      <c r="M141" s="368">
        <f>CS_PID!M141/VLOOKUP($B141,표2[#ALL],2)/hlookup($A141,표4[#ALL],row(),false)</f>
        <v>0</v>
      </c>
      <c r="N141" s="368">
        <f>CS_PID!N141/VLOOKUP($B141,표2[#ALL],2)/hlookup($A141,표4[#ALL],row(),false)</f>
        <v>0</v>
      </c>
      <c r="O141" s="368">
        <f>CS_PID!O141/VLOOKUP($B141,표2[#ALL],2)/hlookup($A141,표4[#ALL],row(),false)</f>
        <v>0</v>
      </c>
      <c r="P141" s="368">
        <f>CS_PID!P141/VLOOKUP($B141,표2[#ALL],2)/hlookup($A141,표4[#ALL],row(),false)</f>
        <v>2</v>
      </c>
      <c r="Q141" s="368">
        <f>CS_PID!Q141/VLOOKUP($B141,표2[#ALL],2)/hlookup($A141,표4[#ALL],row(),false)</f>
        <v>3</v>
      </c>
      <c r="R141" s="368">
        <f>CS_PID!R141/VLOOKUP($B141,표2[#ALL],2)/hlookup($A141,표4[#ALL],row(),false)</f>
        <v>6</v>
      </c>
      <c r="S141" s="368">
        <f>CS_PID!S141/VLOOKUP($B141,표2[#ALL],2)/hlookup($A141,표4[#ALL],row(),false)</f>
        <v>0</v>
      </c>
      <c r="T141" s="368">
        <f>CS_PID!T141/VLOOKUP($B141,표2[#ALL],2)/hlookup($A141,표4[#ALL],row(),false)</f>
        <v>0</v>
      </c>
      <c r="U141" s="368">
        <f>CS_PID!U141/VLOOKUP($B141,표2[#ALL],2)/hlookup($A141,표4[#ALL],row(),false)</f>
        <v>1</v>
      </c>
      <c r="V141" s="368">
        <f>CS_PID!V141/VLOOKUP($B141,표2[#ALL],2)/hlookup($A141,표4[#ALL],row(),false)</f>
        <v>1</v>
      </c>
      <c r="W141" s="368">
        <f>CS_PID!W141/VLOOKUP($B141,표2[#ALL],2)/hlookup($A141,표4[#ALL],row(),false)</f>
        <v>5</v>
      </c>
      <c r="X141" s="368">
        <f>CS_PID!X141/VLOOKUP($B141,표2[#ALL],2)/hlookup($A141,표4[#ALL],row(),false)</f>
        <v>6</v>
      </c>
      <c r="Y141" s="368">
        <f>CS_PID!Y141/VLOOKUP($B141,표2[#ALL],2)/hlookup($A141,표4[#ALL],row(),false)</f>
        <v>1</v>
      </c>
      <c r="Z141" s="368">
        <f>CS_PID!Z141/VLOOKUP($B141,표2[#ALL],2)/hlookup($A141,표4[#ALL],row(),false)</f>
        <v>0</v>
      </c>
      <c r="AA141" s="368">
        <f>CS_PID!AA141/VLOOKUP($B141,표2[#ALL],2)/hlookup($A141,표4[#ALL],row(),false)</f>
        <v>0</v>
      </c>
      <c r="AB141" s="368">
        <f>CS_PID!AB141/VLOOKUP($B141,표2[#ALL],2)/hlookup($A141,표4[#ALL],row(),false)</f>
        <v>0</v>
      </c>
      <c r="AC141" s="368">
        <f>CS_PID!AC141/VLOOKUP($B141,표2[#ALL],2)/hlookup($A141,표4[#ALL],row(),false)</f>
        <v>1</v>
      </c>
      <c r="AD141" s="368">
        <f>CS_PID!AD141/VLOOKUP($B141,표2[#ALL],2)/hlookup($A141,표4[#ALL],row(),false)</f>
        <v>4</v>
      </c>
      <c r="AE141" s="368">
        <f>CS_PID!AE141/VLOOKUP($B141,표2[#ALL],2)/hlookup($A141,표4[#ALL],row(),false)</f>
        <v>1</v>
      </c>
      <c r="AF141" s="368">
        <f>CS_PID!AF141/VLOOKUP($B141,표2[#ALL],2)/hlookup($A141,표4[#ALL],row(),false)</f>
        <v>0</v>
      </c>
      <c r="AG141" s="368">
        <f>CS_PID!AG141/VLOOKUP($B141,표2[#ALL],2)/hlookup($A141,표4[#ALL],row(),false)</f>
        <v>0</v>
      </c>
      <c r="AH141" s="368">
        <f>CS_PID!AH141/VLOOKUP($B141,표2[#ALL],2)/hlookup($A141,표4[#ALL],row(),false)</f>
        <v>0</v>
      </c>
      <c r="AI141" s="368">
        <f>CS_PID!AI141/VLOOKUP($B141,표2[#ALL],2)/hlookup($A141,표4[#ALL],row(),false)</f>
        <v>0</v>
      </c>
      <c r="AJ141" s="368">
        <f>CS_PID!AJ141/VLOOKUP($B141,표2[#ALL],2)/hlookup($A141,표4[#ALL],row(),false)</f>
        <v>16</v>
      </c>
      <c r="AK141" s="368">
        <f>CS_PID!AK141/VLOOKUP($B141,표2[#ALL],2)/hlookup($A141,표4[#ALL],row(),false)</f>
        <v>0</v>
      </c>
      <c r="AL141" s="368">
        <f>CS_PID!AL141/VLOOKUP($B141,표2[#ALL],2)/hlookup($A141,표4[#ALL],row(),false)</f>
        <v>0</v>
      </c>
      <c r="AM141" s="368">
        <f>CS_PID!AM141/VLOOKUP($B141,표2[#ALL],2)/hlookup($A141,표4[#ALL],row(),false)</f>
        <v>0</v>
      </c>
      <c r="AN141" s="368">
        <f>CS_PID!AN141/VLOOKUP($B141,표2[#ALL],2)/hlookup($A141,표4[#ALL],row(),false)</f>
        <v>0</v>
      </c>
      <c r="AO141" s="368">
        <f>CS_PID!AO141/VLOOKUP($B141,표2[#ALL],2)/hlookup($A141,표4[#ALL],row(),false)</f>
        <v>12</v>
      </c>
      <c r="AP141" s="368">
        <f>CS_PID!AP141/VLOOKUP($B141,표2[#ALL],2)/hlookup($A141,표4[#ALL],row(),false)</f>
        <v>9</v>
      </c>
      <c r="AQ141" s="368">
        <f>CS_PID!AQ141/VLOOKUP($B141,표2[#ALL],2)/hlookup($A141,표4[#ALL],row(),false)</f>
        <v>0</v>
      </c>
      <c r="AR141" s="368">
        <f>CS_PID!AR141/VLOOKUP($B141,표2[#ALL],2)/hlookup($A141,표4[#ALL],row(),false)</f>
        <v>0</v>
      </c>
      <c r="AS141" s="368">
        <f>CS_PID!AS141/VLOOKUP($B141,표2[#ALL],2)/hlookup($A141,표4[#ALL],row(),false)</f>
        <v>13</v>
      </c>
    </row>
    <row r="142">
      <c r="A142" s="213" t="s">
        <v>90</v>
      </c>
      <c r="B142" s="214">
        <v>430.0</v>
      </c>
      <c r="C142" s="368">
        <f>CS_PID!C142/VLOOKUP($B142,표2[#ALL],2)/hlookup($A142,표4[#ALL],row(),false)</f>
        <v>0</v>
      </c>
      <c r="D142" s="368">
        <f>CS_PID!D142/VLOOKUP($B142,표2[#ALL],2)/hlookup($A142,표4[#ALL],row(),false)</f>
        <v>0</v>
      </c>
      <c r="E142" s="368">
        <f>CS_PID!E142/VLOOKUP($B142,표2[#ALL],2)/hlookup($A142,표4[#ALL],row(),false)</f>
        <v>0</v>
      </c>
      <c r="F142" s="368">
        <f>CS_PID!F142/VLOOKUP($B142,표2[#ALL],2)/hlookup($A142,표4[#ALL],row(),false)</f>
        <v>0.2</v>
      </c>
      <c r="G142" s="368">
        <f>CS_PID!G142/VLOOKUP($B142,표2[#ALL],2)/hlookup($A142,표4[#ALL],row(),false)</f>
        <v>0.2</v>
      </c>
      <c r="H142" s="368">
        <f>CS_PID!H142/VLOOKUP($B142,표2[#ALL],2)/hlookup($A142,표4[#ALL],row(),false)</f>
        <v>0</v>
      </c>
      <c r="I142" s="368">
        <f>CS_PID!I142/VLOOKUP($B142,표2[#ALL],2)/hlookup($A142,표4[#ALL],row(),false)</f>
        <v>0</v>
      </c>
      <c r="J142" s="368">
        <f>CS_PID!J142/VLOOKUP($B142,표2[#ALL],2)/hlookup($A142,표4[#ALL],row(),false)</f>
        <v>0.2</v>
      </c>
      <c r="K142" s="368">
        <f>CS_PID!K142/VLOOKUP($B142,표2[#ALL],2)/hlookup($A142,표4[#ALL],row(),false)</f>
        <v>0.2</v>
      </c>
      <c r="L142" s="368">
        <f>CS_PID!L142/VLOOKUP($B142,표2[#ALL],2)/hlookup($A142,표4[#ALL],row(),false)</f>
        <v>0.6</v>
      </c>
      <c r="M142" s="368">
        <f>CS_PID!M142/VLOOKUP($B142,표2[#ALL],2)/hlookup($A142,표4[#ALL],row(),false)</f>
        <v>0</v>
      </c>
      <c r="N142" s="368">
        <f>CS_PID!N142/VLOOKUP($B142,표2[#ALL],2)/hlookup($A142,표4[#ALL],row(),false)</f>
        <v>0</v>
      </c>
      <c r="O142" s="368">
        <f>CS_PID!O142/VLOOKUP($B142,표2[#ALL],2)/hlookup($A142,표4[#ALL],row(),false)</f>
        <v>0</v>
      </c>
      <c r="P142" s="368">
        <f>CS_PID!P142/VLOOKUP($B142,표2[#ALL],2)/hlookup($A142,표4[#ALL],row(),false)</f>
        <v>0</v>
      </c>
      <c r="Q142" s="368">
        <f>CS_PID!Q142/VLOOKUP($B142,표2[#ALL],2)/hlookup($A142,표4[#ALL],row(),false)</f>
        <v>0.4</v>
      </c>
      <c r="R142" s="368">
        <f>CS_PID!R142/VLOOKUP($B142,표2[#ALL],2)/hlookup($A142,표4[#ALL],row(),false)</f>
        <v>0.4</v>
      </c>
      <c r="S142" s="368">
        <f>CS_PID!S142/VLOOKUP($B142,표2[#ALL],2)/hlookup($A142,표4[#ALL],row(),false)</f>
        <v>0.2</v>
      </c>
      <c r="T142" s="368">
        <f>CS_PID!T142/VLOOKUP($B142,표2[#ALL],2)/hlookup($A142,표4[#ALL],row(),false)</f>
        <v>0</v>
      </c>
      <c r="U142" s="368">
        <f>CS_PID!U142/VLOOKUP($B142,표2[#ALL],2)/hlookup($A142,표4[#ALL],row(),false)</f>
        <v>0</v>
      </c>
      <c r="V142" s="368">
        <f>CS_PID!V142/VLOOKUP($B142,표2[#ALL],2)/hlookup($A142,표4[#ALL],row(),false)</f>
        <v>0</v>
      </c>
      <c r="W142" s="368">
        <f>CS_PID!W142/VLOOKUP($B142,표2[#ALL],2)/hlookup($A142,표4[#ALL],row(),false)</f>
        <v>0.8</v>
      </c>
      <c r="X142" s="368">
        <f>CS_PID!X142/VLOOKUP($B142,표2[#ALL],2)/hlookup($A142,표4[#ALL],row(),false)</f>
        <v>1.8</v>
      </c>
      <c r="Y142" s="368">
        <f>CS_PID!Y142/VLOOKUP($B142,표2[#ALL],2)/hlookup($A142,표4[#ALL],row(),false)</f>
        <v>0.4</v>
      </c>
      <c r="Z142" s="368">
        <f>CS_PID!Z142/VLOOKUP($B142,표2[#ALL],2)/hlookup($A142,표4[#ALL],row(),false)</f>
        <v>0</v>
      </c>
      <c r="AA142" s="368">
        <f>CS_PID!AA142/VLOOKUP($B142,표2[#ALL],2)/hlookup($A142,표4[#ALL],row(),false)</f>
        <v>0</v>
      </c>
      <c r="AB142" s="368">
        <f>CS_PID!AB142/VLOOKUP($B142,표2[#ALL],2)/hlookup($A142,표4[#ALL],row(),false)</f>
        <v>0</v>
      </c>
      <c r="AC142" s="368">
        <f>CS_PID!AC142/VLOOKUP($B142,표2[#ALL],2)/hlookup($A142,표4[#ALL],row(),false)</f>
        <v>0.6</v>
      </c>
      <c r="AD142" s="368">
        <f>CS_PID!AD142/VLOOKUP($B142,표2[#ALL],2)/hlookup($A142,표4[#ALL],row(),false)</f>
        <v>1</v>
      </c>
      <c r="AE142" s="368">
        <f>CS_PID!AE142/VLOOKUP($B142,표2[#ALL],2)/hlookup($A142,표4[#ALL],row(),false)</f>
        <v>1</v>
      </c>
      <c r="AF142" s="368">
        <f>CS_PID!AF142/VLOOKUP($B142,표2[#ALL],2)/hlookup($A142,표4[#ALL],row(),false)</f>
        <v>0</v>
      </c>
      <c r="AG142" s="368">
        <f>CS_PID!AG142/VLOOKUP($B142,표2[#ALL],2)/hlookup($A142,표4[#ALL],row(),false)</f>
        <v>0</v>
      </c>
      <c r="AH142" s="368">
        <f>CS_PID!AH142/VLOOKUP($B142,표2[#ALL],2)/hlookup($A142,표4[#ALL],row(),false)</f>
        <v>0</v>
      </c>
      <c r="AI142" s="368">
        <f>CS_PID!AI142/VLOOKUP($B142,표2[#ALL],2)/hlookup($A142,표4[#ALL],row(),false)</f>
        <v>0.2</v>
      </c>
      <c r="AJ142" s="368">
        <f>CS_PID!AJ142/VLOOKUP($B142,표2[#ALL],2)/hlookup($A142,표4[#ALL],row(),false)</f>
        <v>2</v>
      </c>
      <c r="AK142" s="368">
        <f>CS_PID!AK142/VLOOKUP($B142,표2[#ALL],2)/hlookup($A142,표4[#ALL],row(),false)</f>
        <v>0.8</v>
      </c>
      <c r="AL142" s="368">
        <f>CS_PID!AL142/VLOOKUP($B142,표2[#ALL],2)/hlookup($A142,표4[#ALL],row(),false)</f>
        <v>0</v>
      </c>
      <c r="AM142" s="368">
        <f>CS_PID!AM142/VLOOKUP($B142,표2[#ALL],2)/hlookup($A142,표4[#ALL],row(),false)</f>
        <v>0</v>
      </c>
      <c r="AN142" s="368">
        <f>CS_PID!AN142/VLOOKUP($B142,표2[#ALL],2)/hlookup($A142,표4[#ALL],row(),false)</f>
        <v>0</v>
      </c>
      <c r="AO142" s="368">
        <f>CS_PID!AO142/VLOOKUP($B142,표2[#ALL],2)/hlookup($A142,표4[#ALL],row(),false)</f>
        <v>4.2</v>
      </c>
      <c r="AP142" s="368">
        <f>CS_PID!AP142/VLOOKUP($B142,표2[#ALL],2)/hlookup($A142,표4[#ALL],row(),false)</f>
        <v>1.4</v>
      </c>
      <c r="AQ142" s="368">
        <f>CS_PID!AQ142/VLOOKUP($B142,표2[#ALL],2)/hlookup($A142,표4[#ALL],row(),false)</f>
        <v>0</v>
      </c>
      <c r="AR142" s="368">
        <f>CS_PID!AR142/VLOOKUP($B142,표2[#ALL],2)/hlookup($A142,표4[#ALL],row(),false)</f>
        <v>0</v>
      </c>
      <c r="AS142" s="368">
        <f>CS_PID!AS142/VLOOKUP($B142,표2[#ALL],2)/hlookup($A142,표4[#ALL],row(),false)</f>
        <v>3.6</v>
      </c>
    </row>
    <row r="143">
      <c r="A143" s="213" t="s">
        <v>90</v>
      </c>
      <c r="B143" s="214">
        <v>431.0</v>
      </c>
      <c r="C143" s="368">
        <f>CS_PID!C143/VLOOKUP($B143,표2[#ALL],2)/hlookup($A143,표4[#ALL],row(),false)</f>
        <v>0.4</v>
      </c>
      <c r="D143" s="368">
        <f>CS_PID!D143/VLOOKUP($B143,표2[#ALL],2)/hlookup($A143,표4[#ALL],row(),false)</f>
        <v>1</v>
      </c>
      <c r="E143" s="368">
        <f>CS_PID!E143/VLOOKUP($B143,표2[#ALL],2)/hlookup($A143,표4[#ALL],row(),false)</f>
        <v>0</v>
      </c>
      <c r="F143" s="368">
        <f>CS_PID!F143/VLOOKUP($B143,표2[#ALL],2)/hlookup($A143,표4[#ALL],row(),false)</f>
        <v>0.2</v>
      </c>
      <c r="G143" s="368">
        <f>CS_PID!G143/VLOOKUP($B143,표2[#ALL],2)/hlookup($A143,표4[#ALL],row(),false)</f>
        <v>0</v>
      </c>
      <c r="H143" s="368">
        <f>CS_PID!H143/VLOOKUP($B143,표2[#ALL],2)/hlookup($A143,표4[#ALL],row(),false)</f>
        <v>0.2</v>
      </c>
      <c r="I143" s="368">
        <f>CS_PID!I143/VLOOKUP($B143,표2[#ALL],2)/hlookup($A143,표4[#ALL],row(),false)</f>
        <v>0.2</v>
      </c>
      <c r="J143" s="368">
        <f>CS_PID!J143/VLOOKUP($B143,표2[#ALL],2)/hlookup($A143,표4[#ALL],row(),false)</f>
        <v>0.6</v>
      </c>
      <c r="K143" s="368">
        <f>CS_PID!K143/VLOOKUP($B143,표2[#ALL],2)/hlookup($A143,표4[#ALL],row(),false)</f>
        <v>0.8</v>
      </c>
      <c r="L143" s="368">
        <f>CS_PID!L143/VLOOKUP($B143,표2[#ALL],2)/hlookup($A143,표4[#ALL],row(),false)</f>
        <v>1.2</v>
      </c>
      <c r="M143" s="368">
        <f>CS_PID!M143/VLOOKUP($B143,표2[#ALL],2)/hlookup($A143,표4[#ALL],row(),false)</f>
        <v>0.4</v>
      </c>
      <c r="N143" s="368">
        <f>CS_PID!N143/VLOOKUP($B143,표2[#ALL],2)/hlookup($A143,표4[#ALL],row(),false)</f>
        <v>0</v>
      </c>
      <c r="O143" s="368">
        <f>CS_PID!O143/VLOOKUP($B143,표2[#ALL],2)/hlookup($A143,표4[#ALL],row(),false)</f>
        <v>0</v>
      </c>
      <c r="P143" s="368">
        <f>CS_PID!P143/VLOOKUP($B143,표2[#ALL],2)/hlookup($A143,표4[#ALL],row(),false)</f>
        <v>0.4</v>
      </c>
      <c r="Q143" s="368">
        <f>CS_PID!Q143/VLOOKUP($B143,표2[#ALL],2)/hlookup($A143,표4[#ALL],row(),false)</f>
        <v>2</v>
      </c>
      <c r="R143" s="368">
        <f>CS_PID!R143/VLOOKUP($B143,표2[#ALL],2)/hlookup($A143,표4[#ALL],row(),false)</f>
        <v>1.4</v>
      </c>
      <c r="S143" s="368">
        <f>CS_PID!S143/VLOOKUP($B143,표2[#ALL],2)/hlookup($A143,표4[#ALL],row(),false)</f>
        <v>0.6</v>
      </c>
      <c r="T143" s="368">
        <f>CS_PID!T143/VLOOKUP($B143,표2[#ALL],2)/hlookup($A143,표4[#ALL],row(),false)</f>
        <v>0</v>
      </c>
      <c r="U143" s="368">
        <f>CS_PID!U143/VLOOKUP($B143,표2[#ALL],2)/hlookup($A143,표4[#ALL],row(),false)</f>
        <v>0.2</v>
      </c>
      <c r="V143" s="368">
        <f>CS_PID!V143/VLOOKUP($B143,표2[#ALL],2)/hlookup($A143,표4[#ALL],row(),false)</f>
        <v>0.2</v>
      </c>
      <c r="W143" s="368">
        <f>CS_PID!W143/VLOOKUP($B143,표2[#ALL],2)/hlookup($A143,표4[#ALL],row(),false)</f>
        <v>2.8</v>
      </c>
      <c r="X143" s="368">
        <f>CS_PID!X143/VLOOKUP($B143,표2[#ALL],2)/hlookup($A143,표4[#ALL],row(),false)</f>
        <v>6.8</v>
      </c>
      <c r="Y143" s="368">
        <f>CS_PID!Y143/VLOOKUP($B143,표2[#ALL],2)/hlookup($A143,표4[#ALL],row(),false)</f>
        <v>2.2</v>
      </c>
      <c r="Z143" s="368">
        <f>CS_PID!Z143/VLOOKUP($B143,표2[#ALL],2)/hlookup($A143,표4[#ALL],row(),false)</f>
        <v>0</v>
      </c>
      <c r="AA143" s="368">
        <f>CS_PID!AA143/VLOOKUP($B143,표2[#ALL],2)/hlookup($A143,표4[#ALL],row(),false)</f>
        <v>0</v>
      </c>
      <c r="AB143" s="368">
        <f>CS_PID!AB143/VLOOKUP($B143,표2[#ALL],2)/hlookup($A143,표4[#ALL],row(),false)</f>
        <v>0</v>
      </c>
      <c r="AC143" s="368">
        <f>CS_PID!AC143/VLOOKUP($B143,표2[#ALL],2)/hlookup($A143,표4[#ALL],row(),false)</f>
        <v>2</v>
      </c>
      <c r="AD143" s="368">
        <f>CS_PID!AD143/VLOOKUP($B143,표2[#ALL],2)/hlookup($A143,표4[#ALL],row(),false)</f>
        <v>3.8</v>
      </c>
      <c r="AE143" s="368">
        <f>CS_PID!AE143/VLOOKUP($B143,표2[#ALL],2)/hlookup($A143,표4[#ALL],row(),false)</f>
        <v>1</v>
      </c>
      <c r="AF143" s="368">
        <f>CS_PID!AF143/VLOOKUP($B143,표2[#ALL],2)/hlookup($A143,표4[#ALL],row(),false)</f>
        <v>0</v>
      </c>
      <c r="AG143" s="368">
        <f>CS_PID!AG143/VLOOKUP($B143,표2[#ALL],2)/hlookup($A143,표4[#ALL],row(),false)</f>
        <v>0</v>
      </c>
      <c r="AH143" s="368">
        <f>CS_PID!AH143/VLOOKUP($B143,표2[#ALL],2)/hlookup($A143,표4[#ALL],row(),false)</f>
        <v>0</v>
      </c>
      <c r="AI143" s="368">
        <f>CS_PID!AI143/VLOOKUP($B143,표2[#ALL],2)/hlookup($A143,표4[#ALL],row(),false)</f>
        <v>1</v>
      </c>
      <c r="AJ143" s="368">
        <f>CS_PID!AJ143/VLOOKUP($B143,표2[#ALL],2)/hlookup($A143,표4[#ALL],row(),false)</f>
        <v>9</v>
      </c>
      <c r="AK143" s="368">
        <f>CS_PID!AK143/VLOOKUP($B143,표2[#ALL],2)/hlookup($A143,표4[#ALL],row(),false)</f>
        <v>1.8</v>
      </c>
      <c r="AL143" s="368">
        <f>CS_PID!AL143/VLOOKUP($B143,표2[#ALL],2)/hlookup($A143,표4[#ALL],row(),false)</f>
        <v>0</v>
      </c>
      <c r="AM143" s="368">
        <f>CS_PID!AM143/VLOOKUP($B143,표2[#ALL],2)/hlookup($A143,표4[#ALL],row(),false)</f>
        <v>0</v>
      </c>
      <c r="AN143" s="368">
        <f>CS_PID!AN143/VLOOKUP($B143,표2[#ALL],2)/hlookup($A143,표4[#ALL],row(),false)</f>
        <v>0.4</v>
      </c>
      <c r="AO143" s="368">
        <f>CS_PID!AO143/VLOOKUP($B143,표2[#ALL],2)/hlookup($A143,표4[#ALL],row(),false)</f>
        <v>8.2</v>
      </c>
      <c r="AP143" s="368">
        <f>CS_PID!AP143/VLOOKUP($B143,표2[#ALL],2)/hlookup($A143,표4[#ALL],row(),false)</f>
        <v>5.6</v>
      </c>
      <c r="AQ143" s="368">
        <f>CS_PID!AQ143/VLOOKUP($B143,표2[#ALL],2)/hlookup($A143,표4[#ALL],row(),false)</f>
        <v>0</v>
      </c>
      <c r="AR143" s="368">
        <f>CS_PID!AR143/VLOOKUP($B143,표2[#ALL],2)/hlookup($A143,표4[#ALL],row(),false)</f>
        <v>0.6</v>
      </c>
      <c r="AS143" s="368">
        <f>CS_PID!AS143/VLOOKUP($B143,표2[#ALL],2)/hlookup($A143,표4[#ALL],row(),false)</f>
        <v>11.4</v>
      </c>
    </row>
    <row r="144">
      <c r="A144" s="213" t="s">
        <v>90</v>
      </c>
      <c r="B144" s="214">
        <v>433.0</v>
      </c>
      <c r="C144" s="368" t="str">
        <f>CS_PID!C144/VLOOKUP($B144,표2[#ALL],2)/hlookup($A144,표4[#ALL],row(),false)</f>
        <v>#DIV/0!</v>
      </c>
      <c r="D144" s="368" t="str">
        <f>CS_PID!D144/VLOOKUP($B144,표2[#ALL],2)/hlookup($A144,표4[#ALL],row(),false)</f>
        <v>#DIV/0!</v>
      </c>
      <c r="E144" s="368" t="str">
        <f>CS_PID!E144/VLOOKUP($B144,표2[#ALL],2)/hlookup($A144,표4[#ALL],row(),false)</f>
        <v>#DIV/0!</v>
      </c>
      <c r="F144" s="368" t="str">
        <f>CS_PID!F144/VLOOKUP($B144,표2[#ALL],2)/hlookup($A144,표4[#ALL],row(),false)</f>
        <v>#DIV/0!</v>
      </c>
      <c r="G144" s="368" t="str">
        <f>CS_PID!G144/VLOOKUP($B144,표2[#ALL],2)/hlookup($A144,표4[#ALL],row(),false)</f>
        <v>#DIV/0!</v>
      </c>
      <c r="H144" s="368" t="str">
        <f>CS_PID!H144/VLOOKUP($B144,표2[#ALL],2)/hlookup($A144,표4[#ALL],row(),false)</f>
        <v>#DIV/0!</v>
      </c>
      <c r="I144" s="368" t="str">
        <f>CS_PID!I144/VLOOKUP($B144,표2[#ALL],2)/hlookup($A144,표4[#ALL],row(),false)</f>
        <v>#DIV/0!</v>
      </c>
      <c r="J144" s="368" t="str">
        <f>CS_PID!J144/VLOOKUP($B144,표2[#ALL],2)/hlookup($A144,표4[#ALL],row(),false)</f>
        <v>#DIV/0!</v>
      </c>
      <c r="K144" s="368" t="str">
        <f>CS_PID!K144/VLOOKUP($B144,표2[#ALL],2)/hlookup($A144,표4[#ALL],row(),false)</f>
        <v>#DIV/0!</v>
      </c>
      <c r="L144" s="368" t="str">
        <f>CS_PID!L144/VLOOKUP($B144,표2[#ALL],2)/hlookup($A144,표4[#ALL],row(),false)</f>
        <v>#DIV/0!</v>
      </c>
      <c r="M144" s="368" t="str">
        <f>CS_PID!M144/VLOOKUP($B144,표2[#ALL],2)/hlookup($A144,표4[#ALL],row(),false)</f>
        <v>#DIV/0!</v>
      </c>
      <c r="N144" s="368" t="str">
        <f>CS_PID!N144/VLOOKUP($B144,표2[#ALL],2)/hlookup($A144,표4[#ALL],row(),false)</f>
        <v>#DIV/0!</v>
      </c>
      <c r="O144" s="368" t="str">
        <f>CS_PID!O144/VLOOKUP($B144,표2[#ALL],2)/hlookup($A144,표4[#ALL],row(),false)</f>
        <v>#DIV/0!</v>
      </c>
      <c r="P144" s="368" t="str">
        <f>CS_PID!P144/VLOOKUP($B144,표2[#ALL],2)/hlookup($A144,표4[#ALL],row(),false)</f>
        <v>#DIV/0!</v>
      </c>
      <c r="Q144" s="368" t="str">
        <f>CS_PID!Q144/VLOOKUP($B144,표2[#ALL],2)/hlookup($A144,표4[#ALL],row(),false)</f>
        <v>#DIV/0!</v>
      </c>
      <c r="R144" s="368" t="str">
        <f>CS_PID!R144/VLOOKUP($B144,표2[#ALL],2)/hlookup($A144,표4[#ALL],row(),false)</f>
        <v>#DIV/0!</v>
      </c>
      <c r="S144" s="368" t="str">
        <f>CS_PID!S144/VLOOKUP($B144,표2[#ALL],2)/hlookup($A144,표4[#ALL],row(),false)</f>
        <v>#DIV/0!</v>
      </c>
      <c r="T144" s="368" t="str">
        <f>CS_PID!T144/VLOOKUP($B144,표2[#ALL],2)/hlookup($A144,표4[#ALL],row(),false)</f>
        <v>#DIV/0!</v>
      </c>
      <c r="U144" s="368" t="str">
        <f>CS_PID!U144/VLOOKUP($B144,표2[#ALL],2)/hlookup($A144,표4[#ALL],row(),false)</f>
        <v>#DIV/0!</v>
      </c>
      <c r="V144" s="368" t="str">
        <f>CS_PID!V144/VLOOKUP($B144,표2[#ALL],2)/hlookup($A144,표4[#ALL],row(),false)</f>
        <v>#DIV/0!</v>
      </c>
      <c r="W144" s="368" t="str">
        <f>CS_PID!W144/VLOOKUP($B144,표2[#ALL],2)/hlookup($A144,표4[#ALL],row(),false)</f>
        <v>#DIV/0!</v>
      </c>
      <c r="X144" s="368" t="str">
        <f>CS_PID!X144/VLOOKUP($B144,표2[#ALL],2)/hlookup($A144,표4[#ALL],row(),false)</f>
        <v>#DIV/0!</v>
      </c>
      <c r="Y144" s="368" t="str">
        <f>CS_PID!Y144/VLOOKUP($B144,표2[#ALL],2)/hlookup($A144,표4[#ALL],row(),false)</f>
        <v>#DIV/0!</v>
      </c>
      <c r="Z144" s="368" t="str">
        <f>CS_PID!Z144/VLOOKUP($B144,표2[#ALL],2)/hlookup($A144,표4[#ALL],row(),false)</f>
        <v>#DIV/0!</v>
      </c>
      <c r="AA144" s="368" t="str">
        <f>CS_PID!AA144/VLOOKUP($B144,표2[#ALL],2)/hlookup($A144,표4[#ALL],row(),false)</f>
        <v>#DIV/0!</v>
      </c>
      <c r="AB144" s="368" t="str">
        <f>CS_PID!AB144/VLOOKUP($B144,표2[#ALL],2)/hlookup($A144,표4[#ALL],row(),false)</f>
        <v>#DIV/0!</v>
      </c>
      <c r="AC144" s="368" t="str">
        <f>CS_PID!AC144/VLOOKUP($B144,표2[#ALL],2)/hlookup($A144,표4[#ALL],row(),false)</f>
        <v>#DIV/0!</v>
      </c>
      <c r="AD144" s="368" t="str">
        <f>CS_PID!AD144/VLOOKUP($B144,표2[#ALL],2)/hlookup($A144,표4[#ALL],row(),false)</f>
        <v>#DIV/0!</v>
      </c>
      <c r="AE144" s="368" t="str">
        <f>CS_PID!AE144/VLOOKUP($B144,표2[#ALL],2)/hlookup($A144,표4[#ALL],row(),false)</f>
        <v>#DIV/0!</v>
      </c>
      <c r="AF144" s="368" t="str">
        <f>CS_PID!AF144/VLOOKUP($B144,표2[#ALL],2)/hlookup($A144,표4[#ALL],row(),false)</f>
        <v>#DIV/0!</v>
      </c>
      <c r="AG144" s="368" t="str">
        <f>CS_PID!AG144/VLOOKUP($B144,표2[#ALL],2)/hlookup($A144,표4[#ALL],row(),false)</f>
        <v>#DIV/0!</v>
      </c>
      <c r="AH144" s="368" t="str">
        <f>CS_PID!AH144/VLOOKUP($B144,표2[#ALL],2)/hlookup($A144,표4[#ALL],row(),false)</f>
        <v>#DIV/0!</v>
      </c>
      <c r="AI144" s="368" t="str">
        <f>CS_PID!AI144/VLOOKUP($B144,표2[#ALL],2)/hlookup($A144,표4[#ALL],row(),false)</f>
        <v>#DIV/0!</v>
      </c>
      <c r="AJ144" s="368" t="str">
        <f>CS_PID!AJ144/VLOOKUP($B144,표2[#ALL],2)/hlookup($A144,표4[#ALL],row(),false)</f>
        <v>#DIV/0!</v>
      </c>
      <c r="AK144" s="368" t="str">
        <f>CS_PID!AK144/VLOOKUP($B144,표2[#ALL],2)/hlookup($A144,표4[#ALL],row(),false)</f>
        <v>#DIV/0!</v>
      </c>
      <c r="AL144" s="368" t="str">
        <f>CS_PID!AL144/VLOOKUP($B144,표2[#ALL],2)/hlookup($A144,표4[#ALL],row(),false)</f>
        <v>#DIV/0!</v>
      </c>
      <c r="AM144" s="368" t="str">
        <f>CS_PID!AM144/VLOOKUP($B144,표2[#ALL],2)/hlookup($A144,표4[#ALL],row(),false)</f>
        <v>#DIV/0!</v>
      </c>
      <c r="AN144" s="368" t="str">
        <f>CS_PID!AN144/VLOOKUP($B144,표2[#ALL],2)/hlookup($A144,표4[#ALL],row(),false)</f>
        <v>#DIV/0!</v>
      </c>
      <c r="AO144" s="368" t="str">
        <f>CS_PID!AO144/VLOOKUP($B144,표2[#ALL],2)/hlookup($A144,표4[#ALL],row(),false)</f>
        <v>#DIV/0!</v>
      </c>
      <c r="AP144" s="368" t="str">
        <f>CS_PID!AP144/VLOOKUP($B144,표2[#ALL],2)/hlookup($A144,표4[#ALL],row(),false)</f>
        <v>#DIV/0!</v>
      </c>
      <c r="AQ144" s="368" t="str">
        <f>CS_PID!AQ144/VLOOKUP($B144,표2[#ALL],2)/hlookup($A144,표4[#ALL],row(),false)</f>
        <v>#DIV/0!</v>
      </c>
      <c r="AR144" s="368" t="str">
        <f>CS_PID!AR144/VLOOKUP($B144,표2[#ALL],2)/hlookup($A144,표4[#ALL],row(),false)</f>
        <v>#DIV/0!</v>
      </c>
      <c r="AS144" s="368" t="str">
        <f>CS_PID!AS144/VLOOKUP($B144,표2[#ALL],2)/hlookup($A144,표4[#ALL],row(),false)</f>
        <v>#DIV/0!</v>
      </c>
    </row>
    <row r="145">
      <c r="A145" s="213" t="s">
        <v>90</v>
      </c>
      <c r="B145" s="214">
        <v>434.0</v>
      </c>
      <c r="C145" s="368" t="str">
        <f>CS_PID!C145/VLOOKUP($B145,표2[#ALL],2)/hlookup($A145,표4[#ALL],row(),false)</f>
        <v>#DIV/0!</v>
      </c>
      <c r="D145" s="368" t="str">
        <f>CS_PID!D145/VLOOKUP($B145,표2[#ALL],2)/hlookup($A145,표4[#ALL],row(),false)</f>
        <v>#DIV/0!</v>
      </c>
      <c r="E145" s="368" t="str">
        <f>CS_PID!E145/VLOOKUP($B145,표2[#ALL],2)/hlookup($A145,표4[#ALL],row(),false)</f>
        <v>#DIV/0!</v>
      </c>
      <c r="F145" s="368" t="str">
        <f>CS_PID!F145/VLOOKUP($B145,표2[#ALL],2)/hlookup($A145,표4[#ALL],row(),false)</f>
        <v>#DIV/0!</v>
      </c>
      <c r="G145" s="368" t="str">
        <f>CS_PID!G145/VLOOKUP($B145,표2[#ALL],2)/hlookup($A145,표4[#ALL],row(),false)</f>
        <v>#DIV/0!</v>
      </c>
      <c r="H145" s="368" t="str">
        <f>CS_PID!H145/VLOOKUP($B145,표2[#ALL],2)/hlookup($A145,표4[#ALL],row(),false)</f>
        <v>#DIV/0!</v>
      </c>
      <c r="I145" s="368" t="str">
        <f>CS_PID!I145/VLOOKUP($B145,표2[#ALL],2)/hlookup($A145,표4[#ALL],row(),false)</f>
        <v>#DIV/0!</v>
      </c>
      <c r="J145" s="368" t="str">
        <f>CS_PID!J145/VLOOKUP($B145,표2[#ALL],2)/hlookup($A145,표4[#ALL],row(),false)</f>
        <v>#DIV/0!</v>
      </c>
      <c r="K145" s="368" t="str">
        <f>CS_PID!K145/VLOOKUP($B145,표2[#ALL],2)/hlookup($A145,표4[#ALL],row(),false)</f>
        <v>#DIV/0!</v>
      </c>
      <c r="L145" s="368" t="str">
        <f>CS_PID!L145/VLOOKUP($B145,표2[#ALL],2)/hlookup($A145,표4[#ALL],row(),false)</f>
        <v>#DIV/0!</v>
      </c>
      <c r="M145" s="368" t="str">
        <f>CS_PID!M145/VLOOKUP($B145,표2[#ALL],2)/hlookup($A145,표4[#ALL],row(),false)</f>
        <v>#DIV/0!</v>
      </c>
      <c r="N145" s="368" t="str">
        <f>CS_PID!N145/VLOOKUP($B145,표2[#ALL],2)/hlookup($A145,표4[#ALL],row(),false)</f>
        <v>#DIV/0!</v>
      </c>
      <c r="O145" s="368" t="str">
        <f>CS_PID!O145/VLOOKUP($B145,표2[#ALL],2)/hlookup($A145,표4[#ALL],row(),false)</f>
        <v>#DIV/0!</v>
      </c>
      <c r="P145" s="368" t="str">
        <f>CS_PID!P145/VLOOKUP($B145,표2[#ALL],2)/hlookup($A145,표4[#ALL],row(),false)</f>
        <v>#DIV/0!</v>
      </c>
      <c r="Q145" s="368" t="str">
        <f>CS_PID!Q145/VLOOKUP($B145,표2[#ALL],2)/hlookup($A145,표4[#ALL],row(),false)</f>
        <v>#DIV/0!</v>
      </c>
      <c r="R145" s="368" t="str">
        <f>CS_PID!R145/VLOOKUP($B145,표2[#ALL],2)/hlookup($A145,표4[#ALL],row(),false)</f>
        <v>#DIV/0!</v>
      </c>
      <c r="S145" s="368" t="str">
        <f>CS_PID!S145/VLOOKUP($B145,표2[#ALL],2)/hlookup($A145,표4[#ALL],row(),false)</f>
        <v>#DIV/0!</v>
      </c>
      <c r="T145" s="368" t="str">
        <f>CS_PID!T145/VLOOKUP($B145,표2[#ALL],2)/hlookup($A145,표4[#ALL],row(),false)</f>
        <v>#DIV/0!</v>
      </c>
      <c r="U145" s="368" t="str">
        <f>CS_PID!U145/VLOOKUP($B145,표2[#ALL],2)/hlookup($A145,표4[#ALL],row(),false)</f>
        <v>#DIV/0!</v>
      </c>
      <c r="V145" s="368" t="str">
        <f>CS_PID!V145/VLOOKUP($B145,표2[#ALL],2)/hlookup($A145,표4[#ALL],row(),false)</f>
        <v>#DIV/0!</v>
      </c>
      <c r="W145" s="368" t="str">
        <f>CS_PID!W145/VLOOKUP($B145,표2[#ALL],2)/hlookup($A145,표4[#ALL],row(),false)</f>
        <v>#DIV/0!</v>
      </c>
      <c r="X145" s="368" t="str">
        <f>CS_PID!X145/VLOOKUP($B145,표2[#ALL],2)/hlookup($A145,표4[#ALL],row(),false)</f>
        <v>#DIV/0!</v>
      </c>
      <c r="Y145" s="368" t="str">
        <f>CS_PID!Y145/VLOOKUP($B145,표2[#ALL],2)/hlookup($A145,표4[#ALL],row(),false)</f>
        <v>#DIV/0!</v>
      </c>
      <c r="Z145" s="368" t="str">
        <f>CS_PID!Z145/VLOOKUP($B145,표2[#ALL],2)/hlookup($A145,표4[#ALL],row(),false)</f>
        <v>#DIV/0!</v>
      </c>
      <c r="AA145" s="368" t="str">
        <f>CS_PID!AA145/VLOOKUP($B145,표2[#ALL],2)/hlookup($A145,표4[#ALL],row(),false)</f>
        <v>#DIV/0!</v>
      </c>
      <c r="AB145" s="368" t="str">
        <f>CS_PID!AB145/VLOOKUP($B145,표2[#ALL],2)/hlookup($A145,표4[#ALL],row(),false)</f>
        <v>#DIV/0!</v>
      </c>
      <c r="AC145" s="368" t="str">
        <f>CS_PID!AC145/VLOOKUP($B145,표2[#ALL],2)/hlookup($A145,표4[#ALL],row(),false)</f>
        <v>#DIV/0!</v>
      </c>
      <c r="AD145" s="368" t="str">
        <f>CS_PID!AD145/VLOOKUP($B145,표2[#ALL],2)/hlookup($A145,표4[#ALL],row(),false)</f>
        <v>#DIV/0!</v>
      </c>
      <c r="AE145" s="368" t="str">
        <f>CS_PID!AE145/VLOOKUP($B145,표2[#ALL],2)/hlookup($A145,표4[#ALL],row(),false)</f>
        <v>#DIV/0!</v>
      </c>
      <c r="AF145" s="368" t="str">
        <f>CS_PID!AF145/VLOOKUP($B145,표2[#ALL],2)/hlookup($A145,표4[#ALL],row(),false)</f>
        <v>#DIV/0!</v>
      </c>
      <c r="AG145" s="368" t="str">
        <f>CS_PID!AG145/VLOOKUP($B145,표2[#ALL],2)/hlookup($A145,표4[#ALL],row(),false)</f>
        <v>#DIV/0!</v>
      </c>
      <c r="AH145" s="368" t="str">
        <f>CS_PID!AH145/VLOOKUP($B145,표2[#ALL],2)/hlookup($A145,표4[#ALL],row(),false)</f>
        <v>#DIV/0!</v>
      </c>
      <c r="AI145" s="368" t="str">
        <f>CS_PID!AI145/VLOOKUP($B145,표2[#ALL],2)/hlookup($A145,표4[#ALL],row(),false)</f>
        <v>#DIV/0!</v>
      </c>
      <c r="AJ145" s="368" t="str">
        <f>CS_PID!AJ145/VLOOKUP($B145,표2[#ALL],2)/hlookup($A145,표4[#ALL],row(),false)</f>
        <v>#DIV/0!</v>
      </c>
      <c r="AK145" s="368" t="str">
        <f>CS_PID!AK145/VLOOKUP($B145,표2[#ALL],2)/hlookup($A145,표4[#ALL],row(),false)</f>
        <v>#DIV/0!</v>
      </c>
      <c r="AL145" s="368" t="str">
        <f>CS_PID!AL145/VLOOKUP($B145,표2[#ALL],2)/hlookup($A145,표4[#ALL],row(),false)</f>
        <v>#DIV/0!</v>
      </c>
      <c r="AM145" s="368" t="str">
        <f>CS_PID!AM145/VLOOKUP($B145,표2[#ALL],2)/hlookup($A145,표4[#ALL],row(),false)</f>
        <v>#DIV/0!</v>
      </c>
      <c r="AN145" s="368" t="str">
        <f>CS_PID!AN145/VLOOKUP($B145,표2[#ALL],2)/hlookup($A145,표4[#ALL],row(),false)</f>
        <v>#DIV/0!</v>
      </c>
      <c r="AO145" s="368" t="str">
        <f>CS_PID!AO145/VLOOKUP($B145,표2[#ALL],2)/hlookup($A145,표4[#ALL],row(),false)</f>
        <v>#DIV/0!</v>
      </c>
      <c r="AP145" s="368" t="str">
        <f>CS_PID!AP145/VLOOKUP($B145,표2[#ALL],2)/hlookup($A145,표4[#ALL],row(),false)</f>
        <v>#DIV/0!</v>
      </c>
      <c r="AQ145" s="368" t="str">
        <f>CS_PID!AQ145/VLOOKUP($B145,표2[#ALL],2)/hlookup($A145,표4[#ALL],row(),false)</f>
        <v>#DIV/0!</v>
      </c>
      <c r="AR145" s="368" t="str">
        <f>CS_PID!AR145/VLOOKUP($B145,표2[#ALL],2)/hlookup($A145,표4[#ALL],row(),false)</f>
        <v>#DIV/0!</v>
      </c>
      <c r="AS145" s="368" t="str">
        <f>CS_PID!AS145/VLOOKUP($B145,표2[#ALL],2)/hlookup($A145,표4[#ALL],row(),false)</f>
        <v>#DIV/0!</v>
      </c>
    </row>
    <row r="146">
      <c r="A146" s="213" t="s">
        <v>90</v>
      </c>
      <c r="B146" s="214">
        <v>435.0</v>
      </c>
      <c r="C146" s="368">
        <f>CS_PID!C146/VLOOKUP($B146,표2[#ALL],2)/hlookup($A146,표4[#ALL],row(),false)</f>
        <v>0</v>
      </c>
      <c r="D146" s="368">
        <f>CS_PID!D146/VLOOKUP($B146,표2[#ALL],2)/hlookup($A146,표4[#ALL],row(),false)</f>
        <v>0.6</v>
      </c>
      <c r="E146" s="368">
        <f>CS_PID!E146/VLOOKUP($B146,표2[#ALL],2)/hlookup($A146,표4[#ALL],row(),false)</f>
        <v>0</v>
      </c>
      <c r="F146" s="368">
        <f>CS_PID!F146/VLOOKUP($B146,표2[#ALL],2)/hlookup($A146,표4[#ALL],row(),false)</f>
        <v>0</v>
      </c>
      <c r="G146" s="368">
        <f>CS_PID!G146/VLOOKUP($B146,표2[#ALL],2)/hlookup($A146,표4[#ALL],row(),false)</f>
        <v>0</v>
      </c>
      <c r="H146" s="368">
        <f>CS_PID!H146/VLOOKUP($B146,표2[#ALL],2)/hlookup($A146,표4[#ALL],row(),false)</f>
        <v>0</v>
      </c>
      <c r="I146" s="368">
        <f>CS_PID!I146/VLOOKUP($B146,표2[#ALL],2)/hlookup($A146,표4[#ALL],row(),false)</f>
        <v>0</v>
      </c>
      <c r="J146" s="368">
        <f>CS_PID!J146/VLOOKUP($B146,표2[#ALL],2)/hlookup($A146,표4[#ALL],row(),false)</f>
        <v>0.2</v>
      </c>
      <c r="K146" s="368">
        <f>CS_PID!K146/VLOOKUP($B146,표2[#ALL],2)/hlookup($A146,표4[#ALL],row(),false)</f>
        <v>0.2</v>
      </c>
      <c r="L146" s="368">
        <f>CS_PID!L146/VLOOKUP($B146,표2[#ALL],2)/hlookup($A146,표4[#ALL],row(),false)</f>
        <v>0</v>
      </c>
      <c r="M146" s="368">
        <f>CS_PID!M146/VLOOKUP($B146,표2[#ALL],2)/hlookup($A146,표4[#ALL],row(),false)</f>
        <v>0</v>
      </c>
      <c r="N146" s="368">
        <f>CS_PID!N146/VLOOKUP($B146,표2[#ALL],2)/hlookup($A146,표4[#ALL],row(),false)</f>
        <v>0</v>
      </c>
      <c r="O146" s="368">
        <f>CS_PID!O146/VLOOKUP($B146,표2[#ALL],2)/hlookup($A146,표4[#ALL],row(),false)</f>
        <v>0</v>
      </c>
      <c r="P146" s="368">
        <f>CS_PID!P146/VLOOKUP($B146,표2[#ALL],2)/hlookup($A146,표4[#ALL],row(),false)</f>
        <v>0</v>
      </c>
      <c r="Q146" s="368">
        <f>CS_PID!Q146/VLOOKUP($B146,표2[#ALL],2)/hlookup($A146,표4[#ALL],row(),false)</f>
        <v>0.4</v>
      </c>
      <c r="R146" s="368">
        <f>CS_PID!R146/VLOOKUP($B146,표2[#ALL],2)/hlookup($A146,표4[#ALL],row(),false)</f>
        <v>0.6</v>
      </c>
      <c r="S146" s="368">
        <f>CS_PID!S146/VLOOKUP($B146,표2[#ALL],2)/hlookup($A146,표4[#ALL],row(),false)</f>
        <v>0</v>
      </c>
      <c r="T146" s="368">
        <f>CS_PID!T146/VLOOKUP($B146,표2[#ALL],2)/hlookup($A146,표4[#ALL],row(),false)</f>
        <v>0</v>
      </c>
      <c r="U146" s="368">
        <f>CS_PID!U146/VLOOKUP($B146,표2[#ALL],2)/hlookup($A146,표4[#ALL],row(),false)</f>
        <v>0</v>
      </c>
      <c r="V146" s="368">
        <f>CS_PID!V146/VLOOKUP($B146,표2[#ALL],2)/hlookup($A146,표4[#ALL],row(),false)</f>
        <v>0.2</v>
      </c>
      <c r="W146" s="368">
        <f>CS_PID!W146/VLOOKUP($B146,표2[#ALL],2)/hlookup($A146,표4[#ALL],row(),false)</f>
        <v>0.8</v>
      </c>
      <c r="X146" s="368">
        <f>CS_PID!X146/VLOOKUP($B146,표2[#ALL],2)/hlookup($A146,표4[#ALL],row(),false)</f>
        <v>1.8</v>
      </c>
      <c r="Y146" s="368">
        <f>CS_PID!Y146/VLOOKUP($B146,표2[#ALL],2)/hlookup($A146,표4[#ALL],row(),false)</f>
        <v>0.4</v>
      </c>
      <c r="Z146" s="368">
        <f>CS_PID!Z146/VLOOKUP($B146,표2[#ALL],2)/hlookup($A146,표4[#ALL],row(),false)</f>
        <v>0</v>
      </c>
      <c r="AA146" s="368">
        <f>CS_PID!AA146/VLOOKUP($B146,표2[#ALL],2)/hlookup($A146,표4[#ALL],row(),false)</f>
        <v>0</v>
      </c>
      <c r="AB146" s="368">
        <f>CS_PID!AB146/VLOOKUP($B146,표2[#ALL],2)/hlookup($A146,표4[#ALL],row(),false)</f>
        <v>0</v>
      </c>
      <c r="AC146" s="368">
        <f>CS_PID!AC146/VLOOKUP($B146,표2[#ALL],2)/hlookup($A146,표4[#ALL],row(),false)</f>
        <v>1</v>
      </c>
      <c r="AD146" s="368">
        <f>CS_PID!AD146/VLOOKUP($B146,표2[#ALL],2)/hlookup($A146,표4[#ALL],row(),false)</f>
        <v>2.6</v>
      </c>
      <c r="AE146" s="368">
        <f>CS_PID!AE146/VLOOKUP($B146,표2[#ALL],2)/hlookup($A146,표4[#ALL],row(),false)</f>
        <v>1</v>
      </c>
      <c r="AF146" s="368">
        <f>CS_PID!AF146/VLOOKUP($B146,표2[#ALL],2)/hlookup($A146,표4[#ALL],row(),false)</f>
        <v>0</v>
      </c>
      <c r="AG146" s="368">
        <f>CS_PID!AG146/VLOOKUP($B146,표2[#ALL],2)/hlookup($A146,표4[#ALL],row(),false)</f>
        <v>0</v>
      </c>
      <c r="AH146" s="368">
        <f>CS_PID!AH146/VLOOKUP($B146,표2[#ALL],2)/hlookup($A146,표4[#ALL],row(),false)</f>
        <v>0</v>
      </c>
      <c r="AI146" s="368">
        <f>CS_PID!AI146/VLOOKUP($B146,표2[#ALL],2)/hlookup($A146,표4[#ALL],row(),false)</f>
        <v>0.4</v>
      </c>
      <c r="AJ146" s="368">
        <f>CS_PID!AJ146/VLOOKUP($B146,표2[#ALL],2)/hlookup($A146,표4[#ALL],row(),false)</f>
        <v>3.2</v>
      </c>
      <c r="AK146" s="368">
        <f>CS_PID!AK146/VLOOKUP($B146,표2[#ALL],2)/hlookup($A146,표4[#ALL],row(),false)</f>
        <v>0.2</v>
      </c>
      <c r="AL146" s="368">
        <f>CS_PID!AL146/VLOOKUP($B146,표2[#ALL],2)/hlookup($A146,표4[#ALL],row(),false)</f>
        <v>0</v>
      </c>
      <c r="AM146" s="368">
        <f>CS_PID!AM146/VLOOKUP($B146,표2[#ALL],2)/hlookup($A146,표4[#ALL],row(),false)</f>
        <v>0</v>
      </c>
      <c r="AN146" s="368">
        <f>CS_PID!AN146/VLOOKUP($B146,표2[#ALL],2)/hlookup($A146,표4[#ALL],row(),false)</f>
        <v>0.2</v>
      </c>
      <c r="AO146" s="368">
        <f>CS_PID!AO146/VLOOKUP($B146,표2[#ALL],2)/hlookup($A146,표4[#ALL],row(),false)</f>
        <v>2.6</v>
      </c>
      <c r="AP146" s="368">
        <f>CS_PID!AP146/VLOOKUP($B146,표2[#ALL],2)/hlookup($A146,표4[#ALL],row(),false)</f>
        <v>2.2</v>
      </c>
      <c r="AQ146" s="368">
        <f>CS_PID!AQ146/VLOOKUP($B146,표2[#ALL],2)/hlookup($A146,표4[#ALL],row(),false)</f>
        <v>0</v>
      </c>
      <c r="AR146" s="368">
        <f>CS_PID!AR146/VLOOKUP($B146,표2[#ALL],2)/hlookup($A146,표4[#ALL],row(),false)</f>
        <v>0.8</v>
      </c>
      <c r="AS146" s="368">
        <f>CS_PID!AS146/VLOOKUP($B146,표2[#ALL],2)/hlookup($A146,표4[#ALL],row(),false)</f>
        <v>4.8</v>
      </c>
    </row>
    <row r="147">
      <c r="A147" s="213" t="s">
        <v>90</v>
      </c>
      <c r="B147" s="214">
        <v>436.0</v>
      </c>
      <c r="C147" s="368">
        <f>CS_PID!C147/VLOOKUP($B147,표2[#ALL],2)/hlookup($A147,표4[#ALL],row(),false)</f>
        <v>0</v>
      </c>
      <c r="D147" s="368">
        <f>CS_PID!D147/VLOOKUP($B147,표2[#ALL],2)/hlookup($A147,표4[#ALL],row(),false)</f>
        <v>0</v>
      </c>
      <c r="E147" s="368">
        <f>CS_PID!E147/VLOOKUP($B147,표2[#ALL],2)/hlookup($A147,표4[#ALL],row(),false)</f>
        <v>0</v>
      </c>
      <c r="F147" s="368">
        <f>CS_PID!F147/VLOOKUP($B147,표2[#ALL],2)/hlookup($A147,표4[#ALL],row(),false)</f>
        <v>1</v>
      </c>
      <c r="G147" s="368">
        <f>CS_PID!G147/VLOOKUP($B147,표2[#ALL],2)/hlookup($A147,표4[#ALL],row(),false)</f>
        <v>0</v>
      </c>
      <c r="H147" s="368">
        <f>CS_PID!H147/VLOOKUP($B147,표2[#ALL],2)/hlookup($A147,표4[#ALL],row(),false)</f>
        <v>0</v>
      </c>
      <c r="I147" s="368">
        <f>CS_PID!I147/VLOOKUP($B147,표2[#ALL],2)/hlookup($A147,표4[#ALL],row(),false)</f>
        <v>0</v>
      </c>
      <c r="J147" s="368">
        <f>CS_PID!J147/VLOOKUP($B147,표2[#ALL],2)/hlookup($A147,표4[#ALL],row(),false)</f>
        <v>0</v>
      </c>
      <c r="K147" s="368">
        <f>CS_PID!K147/VLOOKUP($B147,표2[#ALL],2)/hlookup($A147,표4[#ALL],row(),false)</f>
        <v>0</v>
      </c>
      <c r="L147" s="368">
        <f>CS_PID!L147/VLOOKUP($B147,표2[#ALL],2)/hlookup($A147,표4[#ALL],row(),false)</f>
        <v>0</v>
      </c>
      <c r="M147" s="368">
        <f>CS_PID!M147/VLOOKUP($B147,표2[#ALL],2)/hlookup($A147,표4[#ALL],row(),false)</f>
        <v>0</v>
      </c>
      <c r="N147" s="368">
        <f>CS_PID!N147/VLOOKUP($B147,표2[#ALL],2)/hlookup($A147,표4[#ALL],row(),false)</f>
        <v>0</v>
      </c>
      <c r="O147" s="368">
        <f>CS_PID!O147/VLOOKUP($B147,표2[#ALL],2)/hlookup($A147,표4[#ALL],row(),false)</f>
        <v>0</v>
      </c>
      <c r="P147" s="368">
        <f>CS_PID!P147/VLOOKUP($B147,표2[#ALL],2)/hlookup($A147,표4[#ALL],row(),false)</f>
        <v>0</v>
      </c>
      <c r="Q147" s="368">
        <f>CS_PID!Q147/VLOOKUP($B147,표2[#ALL],2)/hlookup($A147,표4[#ALL],row(),false)</f>
        <v>1</v>
      </c>
      <c r="R147" s="368">
        <f>CS_PID!R147/VLOOKUP($B147,표2[#ALL],2)/hlookup($A147,표4[#ALL],row(),false)</f>
        <v>1</v>
      </c>
      <c r="S147" s="368">
        <f>CS_PID!S147/VLOOKUP($B147,표2[#ALL],2)/hlookup($A147,표4[#ALL],row(),false)</f>
        <v>0</v>
      </c>
      <c r="T147" s="368">
        <f>CS_PID!T147/VLOOKUP($B147,표2[#ALL],2)/hlookup($A147,표4[#ALL],row(),false)</f>
        <v>0</v>
      </c>
      <c r="U147" s="368">
        <f>CS_PID!U147/VLOOKUP($B147,표2[#ALL],2)/hlookup($A147,표4[#ALL],row(),false)</f>
        <v>0</v>
      </c>
      <c r="V147" s="368">
        <f>CS_PID!V147/VLOOKUP($B147,표2[#ALL],2)/hlookup($A147,표4[#ALL],row(),false)</f>
        <v>0</v>
      </c>
      <c r="W147" s="368">
        <f>CS_PID!W147/VLOOKUP($B147,표2[#ALL],2)/hlookup($A147,표4[#ALL],row(),false)</f>
        <v>0</v>
      </c>
      <c r="X147" s="368">
        <f>CS_PID!X147/VLOOKUP($B147,표2[#ALL],2)/hlookup($A147,표4[#ALL],row(),false)</f>
        <v>1</v>
      </c>
      <c r="Y147" s="368">
        <f>CS_PID!Y147/VLOOKUP($B147,표2[#ALL],2)/hlookup($A147,표4[#ALL],row(),false)</f>
        <v>1</v>
      </c>
      <c r="Z147" s="368">
        <f>CS_PID!Z147/VLOOKUP($B147,표2[#ALL],2)/hlookup($A147,표4[#ALL],row(),false)</f>
        <v>0</v>
      </c>
      <c r="AA147" s="368">
        <f>CS_PID!AA147/VLOOKUP($B147,표2[#ALL],2)/hlookup($A147,표4[#ALL],row(),false)</f>
        <v>0</v>
      </c>
      <c r="AB147" s="368">
        <f>CS_PID!AB147/VLOOKUP($B147,표2[#ALL],2)/hlookup($A147,표4[#ALL],row(),false)</f>
        <v>0</v>
      </c>
      <c r="AC147" s="368">
        <f>CS_PID!AC147/VLOOKUP($B147,표2[#ALL],2)/hlookup($A147,표4[#ALL],row(),false)</f>
        <v>1</v>
      </c>
      <c r="AD147" s="368">
        <f>CS_PID!AD147/VLOOKUP($B147,표2[#ALL],2)/hlookup($A147,표4[#ALL],row(),false)</f>
        <v>0</v>
      </c>
      <c r="AE147" s="368">
        <f>CS_PID!AE147/VLOOKUP($B147,표2[#ALL],2)/hlookup($A147,표4[#ALL],row(),false)</f>
        <v>1</v>
      </c>
      <c r="AF147" s="368">
        <f>CS_PID!AF147/VLOOKUP($B147,표2[#ALL],2)/hlookup($A147,표4[#ALL],row(),false)</f>
        <v>0</v>
      </c>
      <c r="AG147" s="368">
        <f>CS_PID!AG147/VLOOKUP($B147,표2[#ALL],2)/hlookup($A147,표4[#ALL],row(),false)</f>
        <v>0</v>
      </c>
      <c r="AH147" s="368">
        <f>CS_PID!AH147/VLOOKUP($B147,표2[#ALL],2)/hlookup($A147,표4[#ALL],row(),false)</f>
        <v>0</v>
      </c>
      <c r="AI147" s="368">
        <f>CS_PID!AI147/VLOOKUP($B147,표2[#ALL],2)/hlookup($A147,표4[#ALL],row(),false)</f>
        <v>0</v>
      </c>
      <c r="AJ147" s="368">
        <f>CS_PID!AJ147/VLOOKUP($B147,표2[#ALL],2)/hlookup($A147,표4[#ALL],row(),false)</f>
        <v>1</v>
      </c>
      <c r="AK147" s="368">
        <f>CS_PID!AK147/VLOOKUP($B147,표2[#ALL],2)/hlookup($A147,표4[#ALL],row(),false)</f>
        <v>0</v>
      </c>
      <c r="AL147" s="368">
        <f>CS_PID!AL147/VLOOKUP($B147,표2[#ALL],2)/hlookup($A147,표4[#ALL],row(),false)</f>
        <v>0</v>
      </c>
      <c r="AM147" s="368">
        <f>CS_PID!AM147/VLOOKUP($B147,표2[#ALL],2)/hlookup($A147,표4[#ALL],row(),false)</f>
        <v>0</v>
      </c>
      <c r="AN147" s="368">
        <f>CS_PID!AN147/VLOOKUP($B147,표2[#ALL],2)/hlookup($A147,표4[#ALL],row(),false)</f>
        <v>0</v>
      </c>
      <c r="AO147" s="368">
        <f>CS_PID!AO147/VLOOKUP($B147,표2[#ALL],2)/hlookup($A147,표4[#ALL],row(),false)</f>
        <v>0</v>
      </c>
      <c r="AP147" s="368">
        <f>CS_PID!AP147/VLOOKUP($B147,표2[#ALL],2)/hlookup($A147,표4[#ALL],row(),false)</f>
        <v>0</v>
      </c>
      <c r="AQ147" s="368">
        <f>CS_PID!AQ147/VLOOKUP($B147,표2[#ALL],2)/hlookup($A147,표4[#ALL],row(),false)</f>
        <v>0</v>
      </c>
      <c r="AR147" s="368">
        <f>CS_PID!AR147/VLOOKUP($B147,표2[#ALL],2)/hlookup($A147,표4[#ALL],row(),false)</f>
        <v>0</v>
      </c>
      <c r="AS147" s="368">
        <f>CS_PID!AS147/VLOOKUP($B147,표2[#ALL],2)/hlookup($A147,표4[#ALL],row(),false)</f>
        <v>1</v>
      </c>
    </row>
    <row r="148">
      <c r="A148" s="213" t="s">
        <v>90</v>
      </c>
      <c r="B148" s="214">
        <v>437.0</v>
      </c>
      <c r="C148" s="368">
        <f>CS_PID!C148/VLOOKUP($B148,표2[#ALL],2)/hlookup($A148,표4[#ALL],row(),false)</f>
        <v>0</v>
      </c>
      <c r="D148" s="368">
        <f>CS_PID!D148/VLOOKUP($B148,표2[#ALL],2)/hlookup($A148,표4[#ALL],row(),false)</f>
        <v>0</v>
      </c>
      <c r="E148" s="368">
        <f>CS_PID!E148/VLOOKUP($B148,표2[#ALL],2)/hlookup($A148,표4[#ALL],row(),false)</f>
        <v>0</v>
      </c>
      <c r="F148" s="368">
        <f>CS_PID!F148/VLOOKUP($B148,표2[#ALL],2)/hlookup($A148,표4[#ALL],row(),false)</f>
        <v>0</v>
      </c>
      <c r="G148" s="368">
        <f>CS_PID!G148/VLOOKUP($B148,표2[#ALL],2)/hlookup($A148,표4[#ALL],row(),false)</f>
        <v>0</v>
      </c>
      <c r="H148" s="368">
        <f>CS_PID!H148/VLOOKUP($B148,표2[#ALL],2)/hlookup($A148,표4[#ALL],row(),false)</f>
        <v>0</v>
      </c>
      <c r="I148" s="368">
        <f>CS_PID!I148/VLOOKUP($B148,표2[#ALL],2)/hlookup($A148,표4[#ALL],row(),false)</f>
        <v>0</v>
      </c>
      <c r="J148" s="368">
        <f>CS_PID!J148/VLOOKUP($B148,표2[#ALL],2)/hlookup($A148,표4[#ALL],row(),false)</f>
        <v>0.5</v>
      </c>
      <c r="K148" s="368">
        <f>CS_PID!K148/VLOOKUP($B148,표2[#ALL],2)/hlookup($A148,표4[#ALL],row(),false)</f>
        <v>1</v>
      </c>
      <c r="L148" s="368">
        <f>CS_PID!L148/VLOOKUP($B148,표2[#ALL],2)/hlookup($A148,표4[#ALL],row(),false)</f>
        <v>1</v>
      </c>
      <c r="M148" s="368">
        <f>CS_PID!M148/VLOOKUP($B148,표2[#ALL],2)/hlookup($A148,표4[#ALL],row(),false)</f>
        <v>0</v>
      </c>
      <c r="N148" s="368">
        <f>CS_PID!N148/VLOOKUP($B148,표2[#ALL],2)/hlookup($A148,표4[#ALL],row(),false)</f>
        <v>0</v>
      </c>
      <c r="O148" s="368">
        <f>CS_PID!O148/VLOOKUP($B148,표2[#ALL],2)/hlookup($A148,표4[#ALL],row(),false)</f>
        <v>0</v>
      </c>
      <c r="P148" s="368">
        <f>CS_PID!P148/VLOOKUP($B148,표2[#ALL],2)/hlookup($A148,표4[#ALL],row(),false)</f>
        <v>0</v>
      </c>
      <c r="Q148" s="368">
        <f>CS_PID!Q148/VLOOKUP($B148,표2[#ALL],2)/hlookup($A148,표4[#ALL],row(),false)</f>
        <v>0.5</v>
      </c>
      <c r="R148" s="368">
        <f>CS_PID!R148/VLOOKUP($B148,표2[#ALL],2)/hlookup($A148,표4[#ALL],row(),false)</f>
        <v>0.5</v>
      </c>
      <c r="S148" s="368">
        <f>CS_PID!S148/VLOOKUP($B148,표2[#ALL],2)/hlookup($A148,표4[#ALL],row(),false)</f>
        <v>0.5</v>
      </c>
      <c r="T148" s="368">
        <f>CS_PID!T148/VLOOKUP($B148,표2[#ALL],2)/hlookup($A148,표4[#ALL],row(),false)</f>
        <v>0</v>
      </c>
      <c r="U148" s="368">
        <f>CS_PID!U148/VLOOKUP($B148,표2[#ALL],2)/hlookup($A148,표4[#ALL],row(),false)</f>
        <v>0</v>
      </c>
      <c r="V148" s="368">
        <f>CS_PID!V148/VLOOKUP($B148,표2[#ALL],2)/hlookup($A148,표4[#ALL],row(),false)</f>
        <v>0</v>
      </c>
      <c r="W148" s="368">
        <f>CS_PID!W148/VLOOKUP($B148,표2[#ALL],2)/hlookup($A148,표4[#ALL],row(),false)</f>
        <v>1</v>
      </c>
      <c r="X148" s="368">
        <f>CS_PID!X148/VLOOKUP($B148,표2[#ALL],2)/hlookup($A148,표4[#ALL],row(),false)</f>
        <v>2.5</v>
      </c>
      <c r="Y148" s="368">
        <f>CS_PID!Y148/VLOOKUP($B148,표2[#ALL],2)/hlookup($A148,표4[#ALL],row(),false)</f>
        <v>0.5</v>
      </c>
      <c r="Z148" s="368">
        <f>CS_PID!Z148/VLOOKUP($B148,표2[#ALL],2)/hlookup($A148,표4[#ALL],row(),false)</f>
        <v>0</v>
      </c>
      <c r="AA148" s="368">
        <f>CS_PID!AA148/VLOOKUP($B148,표2[#ALL],2)/hlookup($A148,표4[#ALL],row(),false)</f>
        <v>0</v>
      </c>
      <c r="AB148" s="368">
        <f>CS_PID!AB148/VLOOKUP($B148,표2[#ALL],2)/hlookup($A148,표4[#ALL],row(),false)</f>
        <v>0</v>
      </c>
      <c r="AC148" s="368">
        <f>CS_PID!AC148/VLOOKUP($B148,표2[#ALL],2)/hlookup($A148,표4[#ALL],row(),false)</f>
        <v>0</v>
      </c>
      <c r="AD148" s="368">
        <f>CS_PID!AD148/VLOOKUP($B148,표2[#ALL],2)/hlookup($A148,표4[#ALL],row(),false)</f>
        <v>1</v>
      </c>
      <c r="AE148" s="368">
        <f>CS_PID!AE148/VLOOKUP($B148,표2[#ALL],2)/hlookup($A148,표4[#ALL],row(),false)</f>
        <v>1</v>
      </c>
      <c r="AF148" s="368">
        <f>CS_PID!AF148/VLOOKUP($B148,표2[#ALL],2)/hlookup($A148,표4[#ALL],row(),false)</f>
        <v>0</v>
      </c>
      <c r="AG148" s="368">
        <f>CS_PID!AG148/VLOOKUP($B148,표2[#ALL],2)/hlookup($A148,표4[#ALL],row(),false)</f>
        <v>0</v>
      </c>
      <c r="AH148" s="368">
        <f>CS_PID!AH148/VLOOKUP($B148,표2[#ALL],2)/hlookup($A148,표4[#ALL],row(),false)</f>
        <v>0</v>
      </c>
      <c r="AI148" s="368">
        <f>CS_PID!AI148/VLOOKUP($B148,표2[#ALL],2)/hlookup($A148,표4[#ALL],row(),false)</f>
        <v>0.5</v>
      </c>
      <c r="AJ148" s="368">
        <f>CS_PID!AJ148/VLOOKUP($B148,표2[#ALL],2)/hlookup($A148,표4[#ALL],row(),false)</f>
        <v>4</v>
      </c>
      <c r="AK148" s="368">
        <f>CS_PID!AK148/VLOOKUP($B148,표2[#ALL],2)/hlookup($A148,표4[#ALL],row(),false)</f>
        <v>1</v>
      </c>
      <c r="AL148" s="368">
        <f>CS_PID!AL148/VLOOKUP($B148,표2[#ALL],2)/hlookup($A148,표4[#ALL],row(),false)</f>
        <v>0</v>
      </c>
      <c r="AM148" s="368">
        <f>CS_PID!AM148/VLOOKUP($B148,표2[#ALL],2)/hlookup($A148,표4[#ALL],row(),false)</f>
        <v>0</v>
      </c>
      <c r="AN148" s="368">
        <f>CS_PID!AN148/VLOOKUP($B148,표2[#ALL],2)/hlookup($A148,표4[#ALL],row(),false)</f>
        <v>0</v>
      </c>
      <c r="AO148" s="368">
        <f>CS_PID!AO148/VLOOKUP($B148,표2[#ALL],2)/hlookup($A148,표4[#ALL],row(),false)</f>
        <v>5.5</v>
      </c>
      <c r="AP148" s="368">
        <f>CS_PID!AP148/VLOOKUP($B148,표2[#ALL],2)/hlookup($A148,표4[#ALL],row(),false)</f>
        <v>4.5</v>
      </c>
      <c r="AQ148" s="368">
        <f>CS_PID!AQ148/VLOOKUP($B148,표2[#ALL],2)/hlookup($A148,표4[#ALL],row(),false)</f>
        <v>0</v>
      </c>
      <c r="AR148" s="368">
        <f>CS_PID!AR148/VLOOKUP($B148,표2[#ALL],2)/hlookup($A148,표4[#ALL],row(),false)</f>
        <v>0</v>
      </c>
      <c r="AS148" s="368">
        <f>CS_PID!AS148/VLOOKUP($B148,표2[#ALL],2)/hlookup($A148,표4[#ALL],row(),false)</f>
        <v>4</v>
      </c>
    </row>
    <row r="149">
      <c r="A149" s="213" t="s">
        <v>90</v>
      </c>
      <c r="B149" s="214">
        <v>438.0</v>
      </c>
      <c r="C149" s="368">
        <f>CS_PID!C149/VLOOKUP($B149,표2[#ALL],2)/hlookup($A149,표4[#ALL],row(),false)</f>
        <v>0.5</v>
      </c>
      <c r="D149" s="368">
        <f>CS_PID!D149/VLOOKUP($B149,표2[#ALL],2)/hlookup($A149,표4[#ALL],row(),false)</f>
        <v>0</v>
      </c>
      <c r="E149" s="368">
        <f>CS_PID!E149/VLOOKUP($B149,표2[#ALL],2)/hlookup($A149,표4[#ALL],row(),false)</f>
        <v>0</v>
      </c>
      <c r="F149" s="368">
        <f>CS_PID!F149/VLOOKUP($B149,표2[#ALL],2)/hlookup($A149,표4[#ALL],row(),false)</f>
        <v>0</v>
      </c>
      <c r="G149" s="368">
        <f>CS_PID!G149/VLOOKUP($B149,표2[#ALL],2)/hlookup($A149,표4[#ALL],row(),false)</f>
        <v>0</v>
      </c>
      <c r="H149" s="368">
        <f>CS_PID!H149/VLOOKUP($B149,표2[#ALL],2)/hlookup($A149,표4[#ALL],row(),false)</f>
        <v>0</v>
      </c>
      <c r="I149" s="368">
        <f>CS_PID!I149/VLOOKUP($B149,표2[#ALL],2)/hlookup($A149,표4[#ALL],row(),false)</f>
        <v>0</v>
      </c>
      <c r="J149" s="368">
        <f>CS_PID!J149/VLOOKUP($B149,표2[#ALL],2)/hlookup($A149,표4[#ALL],row(),false)</f>
        <v>0</v>
      </c>
      <c r="K149" s="368">
        <f>CS_PID!K149/VLOOKUP($B149,표2[#ALL],2)/hlookup($A149,표4[#ALL],row(),false)</f>
        <v>0.25</v>
      </c>
      <c r="L149" s="368">
        <f>CS_PID!L149/VLOOKUP($B149,표2[#ALL],2)/hlookup($A149,표4[#ALL],row(),false)</f>
        <v>0.75</v>
      </c>
      <c r="M149" s="368">
        <f>CS_PID!M149/VLOOKUP($B149,표2[#ALL],2)/hlookup($A149,표4[#ALL],row(),false)</f>
        <v>0</v>
      </c>
      <c r="N149" s="368">
        <f>CS_PID!N149/VLOOKUP($B149,표2[#ALL],2)/hlookup($A149,표4[#ALL],row(),false)</f>
        <v>0</v>
      </c>
      <c r="O149" s="368">
        <f>CS_PID!O149/VLOOKUP($B149,표2[#ALL],2)/hlookup($A149,표4[#ALL],row(),false)</f>
        <v>0</v>
      </c>
      <c r="P149" s="368">
        <f>CS_PID!P149/VLOOKUP($B149,표2[#ALL],2)/hlookup($A149,표4[#ALL],row(),false)</f>
        <v>0.25</v>
      </c>
      <c r="Q149" s="368">
        <f>CS_PID!Q149/VLOOKUP($B149,표2[#ALL],2)/hlookup($A149,표4[#ALL],row(),false)</f>
        <v>0.75</v>
      </c>
      <c r="R149" s="368">
        <f>CS_PID!R149/VLOOKUP($B149,표2[#ALL],2)/hlookup($A149,표4[#ALL],row(),false)</f>
        <v>0.75</v>
      </c>
      <c r="S149" s="368">
        <f>CS_PID!S149/VLOOKUP($B149,표2[#ALL],2)/hlookup($A149,표4[#ALL],row(),false)</f>
        <v>0.25</v>
      </c>
      <c r="T149" s="368">
        <f>CS_PID!T149/VLOOKUP($B149,표2[#ALL],2)/hlookup($A149,표4[#ALL],row(),false)</f>
        <v>0</v>
      </c>
      <c r="U149" s="368">
        <f>CS_PID!U149/VLOOKUP($B149,표2[#ALL],2)/hlookup($A149,표4[#ALL],row(),false)</f>
        <v>0</v>
      </c>
      <c r="V149" s="368">
        <f>CS_PID!V149/VLOOKUP($B149,표2[#ALL],2)/hlookup($A149,표4[#ALL],row(),false)</f>
        <v>0</v>
      </c>
      <c r="W149" s="368">
        <f>CS_PID!W149/VLOOKUP($B149,표2[#ALL],2)/hlookup($A149,표4[#ALL],row(),false)</f>
        <v>0.75</v>
      </c>
      <c r="X149" s="368">
        <f>CS_PID!X149/VLOOKUP($B149,표2[#ALL],2)/hlookup($A149,표4[#ALL],row(),false)</f>
        <v>1</v>
      </c>
      <c r="Y149" s="368">
        <f>CS_PID!Y149/VLOOKUP($B149,표2[#ALL],2)/hlookup($A149,표4[#ALL],row(),false)</f>
        <v>0.75</v>
      </c>
      <c r="Z149" s="368">
        <f>CS_PID!Z149/VLOOKUP($B149,표2[#ALL],2)/hlookup($A149,표4[#ALL],row(),false)</f>
        <v>0</v>
      </c>
      <c r="AA149" s="368">
        <f>CS_PID!AA149/VLOOKUP($B149,표2[#ALL],2)/hlookup($A149,표4[#ALL],row(),false)</f>
        <v>0</v>
      </c>
      <c r="AB149" s="368">
        <f>CS_PID!AB149/VLOOKUP($B149,표2[#ALL],2)/hlookup($A149,표4[#ALL],row(),false)</f>
        <v>0</v>
      </c>
      <c r="AC149" s="368">
        <f>CS_PID!AC149/VLOOKUP($B149,표2[#ALL],2)/hlookup($A149,표4[#ALL],row(),false)</f>
        <v>1.5</v>
      </c>
      <c r="AD149" s="368">
        <f>CS_PID!AD149/VLOOKUP($B149,표2[#ALL],2)/hlookup($A149,표4[#ALL],row(),false)</f>
        <v>1</v>
      </c>
      <c r="AE149" s="368">
        <f>CS_PID!AE149/VLOOKUP($B149,표2[#ALL],2)/hlookup($A149,표4[#ALL],row(),false)</f>
        <v>1</v>
      </c>
      <c r="AF149" s="368">
        <f>CS_PID!AF149/VLOOKUP($B149,표2[#ALL],2)/hlookup($A149,표4[#ALL],row(),false)</f>
        <v>0</v>
      </c>
      <c r="AG149" s="368">
        <f>CS_PID!AG149/VLOOKUP($B149,표2[#ALL],2)/hlookup($A149,표4[#ALL],row(),false)</f>
        <v>0</v>
      </c>
      <c r="AH149" s="368">
        <f>CS_PID!AH149/VLOOKUP($B149,표2[#ALL],2)/hlookup($A149,표4[#ALL],row(),false)</f>
        <v>0</v>
      </c>
      <c r="AI149" s="368">
        <f>CS_PID!AI149/VLOOKUP($B149,표2[#ALL],2)/hlookup($A149,표4[#ALL],row(),false)</f>
        <v>0</v>
      </c>
      <c r="AJ149" s="368">
        <f>CS_PID!AJ149/VLOOKUP($B149,표2[#ALL],2)/hlookup($A149,표4[#ALL],row(),false)</f>
        <v>1.75</v>
      </c>
      <c r="AK149" s="368">
        <f>CS_PID!AK149/VLOOKUP($B149,표2[#ALL],2)/hlookup($A149,표4[#ALL],row(),false)</f>
        <v>1.25</v>
      </c>
      <c r="AL149" s="368">
        <f>CS_PID!AL149/VLOOKUP($B149,표2[#ALL],2)/hlookup($A149,표4[#ALL],row(),false)</f>
        <v>0</v>
      </c>
      <c r="AM149" s="368">
        <f>CS_PID!AM149/VLOOKUP($B149,표2[#ALL],2)/hlookup($A149,표4[#ALL],row(),false)</f>
        <v>0</v>
      </c>
      <c r="AN149" s="368">
        <f>CS_PID!AN149/VLOOKUP($B149,표2[#ALL],2)/hlookup($A149,표4[#ALL],row(),false)</f>
        <v>0</v>
      </c>
      <c r="AO149" s="368">
        <f>CS_PID!AO149/VLOOKUP($B149,표2[#ALL],2)/hlookup($A149,표4[#ALL],row(),false)</f>
        <v>1.75</v>
      </c>
      <c r="AP149" s="368">
        <f>CS_PID!AP149/VLOOKUP($B149,표2[#ALL],2)/hlookup($A149,표4[#ALL],row(),false)</f>
        <v>2</v>
      </c>
      <c r="AQ149" s="368">
        <f>CS_PID!AQ149/VLOOKUP($B149,표2[#ALL],2)/hlookup($A149,표4[#ALL],row(),false)</f>
        <v>0</v>
      </c>
      <c r="AR149" s="368">
        <f>CS_PID!AR149/VLOOKUP($B149,표2[#ALL],2)/hlookup($A149,표4[#ALL],row(),false)</f>
        <v>0</v>
      </c>
      <c r="AS149" s="368">
        <f>CS_PID!AS149/VLOOKUP($B149,표2[#ALL],2)/hlookup($A149,표4[#ALL],row(),false)</f>
        <v>2.5</v>
      </c>
    </row>
    <row r="150">
      <c r="A150" s="213" t="s">
        <v>90</v>
      </c>
      <c r="B150" s="214">
        <v>439.0</v>
      </c>
      <c r="C150" s="368">
        <f>CS_PID!C150/VLOOKUP($B150,표2[#ALL],2)/hlookup($A150,표4[#ALL],row(),false)</f>
        <v>0</v>
      </c>
      <c r="D150" s="368">
        <f>CS_PID!D150/VLOOKUP($B150,표2[#ALL],2)/hlookup($A150,표4[#ALL],row(),false)</f>
        <v>2</v>
      </c>
      <c r="E150" s="368">
        <f>CS_PID!E150/VLOOKUP($B150,표2[#ALL],2)/hlookup($A150,표4[#ALL],row(),false)</f>
        <v>1.5</v>
      </c>
      <c r="F150" s="368">
        <f>CS_PID!F150/VLOOKUP($B150,표2[#ALL],2)/hlookup($A150,표4[#ALL],row(),false)</f>
        <v>0</v>
      </c>
      <c r="G150" s="368">
        <f>CS_PID!G150/VLOOKUP($B150,표2[#ALL],2)/hlookup($A150,표4[#ALL],row(),false)</f>
        <v>0</v>
      </c>
      <c r="H150" s="368">
        <f>CS_PID!H150/VLOOKUP($B150,표2[#ALL],2)/hlookup($A150,표4[#ALL],row(),false)</f>
        <v>0</v>
      </c>
      <c r="I150" s="368">
        <f>CS_PID!I150/VLOOKUP($B150,표2[#ALL],2)/hlookup($A150,표4[#ALL],row(),false)</f>
        <v>0</v>
      </c>
      <c r="J150" s="368">
        <f>CS_PID!J150/VLOOKUP($B150,표2[#ALL],2)/hlookup($A150,표4[#ALL],row(),false)</f>
        <v>0.5</v>
      </c>
      <c r="K150" s="368">
        <f>CS_PID!K150/VLOOKUP($B150,표2[#ALL],2)/hlookup($A150,표4[#ALL],row(),false)</f>
        <v>1</v>
      </c>
      <c r="L150" s="368">
        <f>CS_PID!L150/VLOOKUP($B150,표2[#ALL],2)/hlookup($A150,표4[#ALL],row(),false)</f>
        <v>0.5</v>
      </c>
      <c r="M150" s="368">
        <f>CS_PID!M150/VLOOKUP($B150,표2[#ALL],2)/hlookup($A150,표4[#ALL],row(),false)</f>
        <v>0</v>
      </c>
      <c r="N150" s="368">
        <f>CS_PID!N150/VLOOKUP($B150,표2[#ALL],2)/hlookup($A150,표4[#ALL],row(),false)</f>
        <v>0</v>
      </c>
      <c r="O150" s="368">
        <f>CS_PID!O150/VLOOKUP($B150,표2[#ALL],2)/hlookup($A150,표4[#ALL],row(),false)</f>
        <v>0</v>
      </c>
      <c r="P150" s="368">
        <f>CS_PID!P150/VLOOKUP($B150,표2[#ALL],2)/hlookup($A150,표4[#ALL],row(),false)</f>
        <v>0</v>
      </c>
      <c r="Q150" s="368">
        <f>CS_PID!Q150/VLOOKUP($B150,표2[#ALL],2)/hlookup($A150,표4[#ALL],row(),false)</f>
        <v>2</v>
      </c>
      <c r="R150" s="368">
        <f>CS_PID!R150/VLOOKUP($B150,표2[#ALL],2)/hlookup($A150,표4[#ALL],row(),false)</f>
        <v>1.5</v>
      </c>
      <c r="S150" s="368">
        <f>CS_PID!S150/VLOOKUP($B150,표2[#ALL],2)/hlookup($A150,표4[#ALL],row(),false)</f>
        <v>1</v>
      </c>
      <c r="T150" s="368">
        <f>CS_PID!T150/VLOOKUP($B150,표2[#ALL],2)/hlookup($A150,표4[#ALL],row(),false)</f>
        <v>0</v>
      </c>
      <c r="U150" s="368">
        <f>CS_PID!U150/VLOOKUP($B150,표2[#ALL],2)/hlookup($A150,표4[#ALL],row(),false)</f>
        <v>0</v>
      </c>
      <c r="V150" s="368">
        <f>CS_PID!V150/VLOOKUP($B150,표2[#ALL],2)/hlookup($A150,표4[#ALL],row(),false)</f>
        <v>0</v>
      </c>
      <c r="W150" s="368">
        <f>CS_PID!W150/VLOOKUP($B150,표2[#ALL],2)/hlookup($A150,표4[#ALL],row(),false)</f>
        <v>2</v>
      </c>
      <c r="X150" s="368">
        <f>CS_PID!X150/VLOOKUP($B150,표2[#ALL],2)/hlookup($A150,표4[#ALL],row(),false)</f>
        <v>4.5</v>
      </c>
      <c r="Y150" s="368">
        <f>CS_PID!Y150/VLOOKUP($B150,표2[#ALL],2)/hlookup($A150,표4[#ALL],row(),false)</f>
        <v>1</v>
      </c>
      <c r="Z150" s="368">
        <f>CS_PID!Z150/VLOOKUP($B150,표2[#ALL],2)/hlookup($A150,표4[#ALL],row(),false)</f>
        <v>0</v>
      </c>
      <c r="AA150" s="368">
        <f>CS_PID!AA150/VLOOKUP($B150,표2[#ALL],2)/hlookup($A150,표4[#ALL],row(),false)</f>
        <v>0</v>
      </c>
      <c r="AB150" s="368">
        <f>CS_PID!AB150/VLOOKUP($B150,표2[#ALL],2)/hlookup($A150,표4[#ALL],row(),false)</f>
        <v>0.5</v>
      </c>
      <c r="AC150" s="368">
        <f>CS_PID!AC150/VLOOKUP($B150,표2[#ALL],2)/hlookup($A150,표4[#ALL],row(),false)</f>
        <v>2.5</v>
      </c>
      <c r="AD150" s="368">
        <f>CS_PID!AD150/VLOOKUP($B150,표2[#ALL],2)/hlookup($A150,표4[#ALL],row(),false)</f>
        <v>2</v>
      </c>
      <c r="AE150" s="368">
        <f>CS_PID!AE150/VLOOKUP($B150,표2[#ALL],2)/hlookup($A150,표4[#ALL],row(),false)</f>
        <v>1</v>
      </c>
      <c r="AF150" s="368">
        <f>CS_PID!AF150/VLOOKUP($B150,표2[#ALL],2)/hlookup($A150,표4[#ALL],row(),false)</f>
        <v>0</v>
      </c>
      <c r="AG150" s="368">
        <f>CS_PID!AG150/VLOOKUP($B150,표2[#ALL],2)/hlookup($A150,표4[#ALL],row(),false)</f>
        <v>0</v>
      </c>
      <c r="AH150" s="368">
        <f>CS_PID!AH150/VLOOKUP($B150,표2[#ALL],2)/hlookup($A150,표4[#ALL],row(),false)</f>
        <v>0</v>
      </c>
      <c r="AI150" s="368">
        <f>CS_PID!AI150/VLOOKUP($B150,표2[#ALL],2)/hlookup($A150,표4[#ALL],row(),false)</f>
        <v>1</v>
      </c>
      <c r="AJ150" s="368">
        <f>CS_PID!AJ150/VLOOKUP($B150,표2[#ALL],2)/hlookup($A150,표4[#ALL],row(),false)</f>
        <v>9</v>
      </c>
      <c r="AK150" s="368">
        <f>CS_PID!AK150/VLOOKUP($B150,표2[#ALL],2)/hlookup($A150,표4[#ALL],row(),false)</f>
        <v>1.5</v>
      </c>
      <c r="AL150" s="368">
        <f>CS_PID!AL150/VLOOKUP($B150,표2[#ALL],2)/hlookup($A150,표4[#ALL],row(),false)</f>
        <v>0</v>
      </c>
      <c r="AM150" s="368">
        <f>CS_PID!AM150/VLOOKUP($B150,표2[#ALL],2)/hlookup($A150,표4[#ALL],row(),false)</f>
        <v>0</v>
      </c>
      <c r="AN150" s="368">
        <f>CS_PID!AN150/VLOOKUP($B150,표2[#ALL],2)/hlookup($A150,표4[#ALL],row(),false)</f>
        <v>1</v>
      </c>
      <c r="AO150" s="368">
        <f>CS_PID!AO150/VLOOKUP($B150,표2[#ALL],2)/hlookup($A150,표4[#ALL],row(),false)</f>
        <v>9.5</v>
      </c>
      <c r="AP150" s="368">
        <f>CS_PID!AP150/VLOOKUP($B150,표2[#ALL],2)/hlookup($A150,표4[#ALL],row(),false)</f>
        <v>7</v>
      </c>
      <c r="AQ150" s="368">
        <f>CS_PID!AQ150/VLOOKUP($B150,표2[#ALL],2)/hlookup($A150,표4[#ALL],row(),false)</f>
        <v>0</v>
      </c>
      <c r="AR150" s="368">
        <f>CS_PID!AR150/VLOOKUP($B150,표2[#ALL],2)/hlookup($A150,표4[#ALL],row(),false)</f>
        <v>0</v>
      </c>
      <c r="AS150" s="368">
        <f>CS_PID!AS150/VLOOKUP($B150,표2[#ALL],2)/hlookup($A150,표4[#ALL],row(),false)</f>
        <v>8.5</v>
      </c>
    </row>
    <row r="151">
      <c r="A151" s="217" t="s">
        <v>90</v>
      </c>
      <c r="B151" s="218">
        <v>440.0</v>
      </c>
      <c r="C151" s="369">
        <f>CS_PID!C151/VLOOKUP($B151,표2[#ALL],2)/hlookup($A151,표4[#ALL],row(),false)</f>
        <v>0</v>
      </c>
      <c r="D151" s="369">
        <f>CS_PID!D151/VLOOKUP($B151,표2[#ALL],2)/hlookup($A151,표4[#ALL],row(),false)</f>
        <v>1</v>
      </c>
      <c r="E151" s="369">
        <f>CS_PID!E151/VLOOKUP($B151,표2[#ALL],2)/hlookup($A151,표4[#ALL],row(),false)</f>
        <v>0</v>
      </c>
      <c r="F151" s="369">
        <f>CS_PID!F151/VLOOKUP($B151,표2[#ALL],2)/hlookup($A151,표4[#ALL],row(),false)</f>
        <v>0</v>
      </c>
      <c r="G151" s="369">
        <f>CS_PID!G151/VLOOKUP($B151,표2[#ALL],2)/hlookup($A151,표4[#ALL],row(),false)</f>
        <v>0</v>
      </c>
      <c r="H151" s="369">
        <f>CS_PID!H151/VLOOKUP($B151,표2[#ALL],2)/hlookup($A151,표4[#ALL],row(),false)</f>
        <v>0</v>
      </c>
      <c r="I151" s="369">
        <f>CS_PID!I151/VLOOKUP($B151,표2[#ALL],2)/hlookup($A151,표4[#ALL],row(),false)</f>
        <v>0</v>
      </c>
      <c r="J151" s="369">
        <f>CS_PID!J151/VLOOKUP($B151,표2[#ALL],2)/hlookup($A151,표4[#ALL],row(),false)</f>
        <v>0.3333333333</v>
      </c>
      <c r="K151" s="369">
        <f>CS_PID!K151/VLOOKUP($B151,표2[#ALL],2)/hlookup($A151,표4[#ALL],row(),false)</f>
        <v>0</v>
      </c>
      <c r="L151" s="369">
        <f>CS_PID!L151/VLOOKUP($B151,표2[#ALL],2)/hlookup($A151,표4[#ALL],row(),false)</f>
        <v>1</v>
      </c>
      <c r="M151" s="369">
        <f>CS_PID!M151/VLOOKUP($B151,표2[#ALL],2)/hlookup($A151,표4[#ALL],row(),false)</f>
        <v>0</v>
      </c>
      <c r="N151" s="369">
        <f>CS_PID!N151/VLOOKUP($B151,표2[#ALL],2)/hlookup($A151,표4[#ALL],row(),false)</f>
        <v>0</v>
      </c>
      <c r="O151" s="369">
        <f>CS_PID!O151/VLOOKUP($B151,표2[#ALL],2)/hlookup($A151,표4[#ALL],row(),false)</f>
        <v>0</v>
      </c>
      <c r="P151" s="369">
        <f>CS_PID!P151/VLOOKUP($B151,표2[#ALL],2)/hlookup($A151,표4[#ALL],row(),false)</f>
        <v>0</v>
      </c>
      <c r="Q151" s="369">
        <f>CS_PID!Q151/VLOOKUP($B151,표2[#ALL],2)/hlookup($A151,표4[#ALL],row(),false)</f>
        <v>2</v>
      </c>
      <c r="R151" s="369">
        <f>CS_PID!R151/VLOOKUP($B151,표2[#ALL],2)/hlookup($A151,표4[#ALL],row(),false)</f>
        <v>0</v>
      </c>
      <c r="S151" s="369">
        <f>CS_PID!S151/VLOOKUP($B151,표2[#ALL],2)/hlookup($A151,표4[#ALL],row(),false)</f>
        <v>0.6666666667</v>
      </c>
      <c r="T151" s="369">
        <f>CS_PID!T151/VLOOKUP($B151,표2[#ALL],2)/hlookup($A151,표4[#ALL],row(),false)</f>
        <v>0</v>
      </c>
      <c r="U151" s="369">
        <f>CS_PID!U151/VLOOKUP($B151,표2[#ALL],2)/hlookup($A151,표4[#ALL],row(),false)</f>
        <v>0</v>
      </c>
      <c r="V151" s="369">
        <f>CS_PID!V151/VLOOKUP($B151,표2[#ALL],2)/hlookup($A151,표4[#ALL],row(),false)</f>
        <v>0</v>
      </c>
      <c r="W151" s="369">
        <f>CS_PID!W151/VLOOKUP($B151,표2[#ALL],2)/hlookup($A151,표4[#ALL],row(),false)</f>
        <v>1.333333333</v>
      </c>
      <c r="X151" s="369">
        <f>CS_PID!X151/VLOOKUP($B151,표2[#ALL],2)/hlookup($A151,표4[#ALL],row(),false)</f>
        <v>2.666666667</v>
      </c>
      <c r="Y151" s="369">
        <f>CS_PID!Y151/VLOOKUP($B151,표2[#ALL],2)/hlookup($A151,표4[#ALL],row(),false)</f>
        <v>1.333333333</v>
      </c>
      <c r="Z151" s="369">
        <f>CS_PID!Z151/VLOOKUP($B151,표2[#ALL],2)/hlookup($A151,표4[#ALL],row(),false)</f>
        <v>0</v>
      </c>
      <c r="AA151" s="369">
        <f>CS_PID!AA151/VLOOKUP($B151,표2[#ALL],2)/hlookup($A151,표4[#ALL],row(),false)</f>
        <v>0</v>
      </c>
      <c r="AB151" s="369">
        <f>CS_PID!AB151/VLOOKUP($B151,표2[#ALL],2)/hlookup($A151,표4[#ALL],row(),false)</f>
        <v>0</v>
      </c>
      <c r="AC151" s="369">
        <f>CS_PID!AC151/VLOOKUP($B151,표2[#ALL],2)/hlookup($A151,표4[#ALL],row(),false)</f>
        <v>1.333333333</v>
      </c>
      <c r="AD151" s="369">
        <f>CS_PID!AD151/VLOOKUP($B151,표2[#ALL],2)/hlookup($A151,표4[#ALL],row(),false)</f>
        <v>2</v>
      </c>
      <c r="AE151" s="369">
        <f>CS_PID!AE151/VLOOKUP($B151,표2[#ALL],2)/hlookup($A151,표4[#ALL],row(),false)</f>
        <v>1</v>
      </c>
      <c r="AF151" s="369">
        <f>CS_PID!AF151/VLOOKUP($B151,표2[#ALL],2)/hlookup($A151,표4[#ALL],row(),false)</f>
        <v>0</v>
      </c>
      <c r="AG151" s="369">
        <f>CS_PID!AG151/VLOOKUP($B151,표2[#ALL],2)/hlookup($A151,표4[#ALL],row(),false)</f>
        <v>0</v>
      </c>
      <c r="AH151" s="369">
        <f>CS_PID!AH151/VLOOKUP($B151,표2[#ALL],2)/hlookup($A151,표4[#ALL],row(),false)</f>
        <v>0</v>
      </c>
      <c r="AI151" s="369">
        <f>CS_PID!AI151/VLOOKUP($B151,표2[#ALL],2)/hlookup($A151,표4[#ALL],row(),false)</f>
        <v>0</v>
      </c>
      <c r="AJ151" s="369">
        <f>CS_PID!AJ151/VLOOKUP($B151,표2[#ALL],2)/hlookup($A151,표4[#ALL],row(),false)</f>
        <v>5.333333333</v>
      </c>
      <c r="AK151" s="369">
        <f>CS_PID!AK151/VLOOKUP($B151,표2[#ALL],2)/hlookup($A151,표4[#ALL],row(),false)</f>
        <v>0.3333333333</v>
      </c>
      <c r="AL151" s="369">
        <f>CS_PID!AL151/VLOOKUP($B151,표2[#ALL],2)/hlookup($A151,표4[#ALL],row(),false)</f>
        <v>0</v>
      </c>
      <c r="AM151" s="369">
        <f>CS_PID!AM151/VLOOKUP($B151,표2[#ALL],2)/hlookup($A151,표4[#ALL],row(),false)</f>
        <v>0</v>
      </c>
      <c r="AN151" s="369">
        <f>CS_PID!AN151/VLOOKUP($B151,표2[#ALL],2)/hlookup($A151,표4[#ALL],row(),false)</f>
        <v>0.6666666667</v>
      </c>
      <c r="AO151" s="369">
        <f>CS_PID!AO151/VLOOKUP($B151,표2[#ALL],2)/hlookup($A151,표4[#ALL],row(),false)</f>
        <v>6.666666667</v>
      </c>
      <c r="AP151" s="369">
        <f>CS_PID!AP151/VLOOKUP($B151,표2[#ALL],2)/hlookup($A151,표4[#ALL],row(),false)</f>
        <v>3</v>
      </c>
      <c r="AQ151" s="369">
        <f>CS_PID!AQ151/VLOOKUP($B151,표2[#ALL],2)/hlookup($A151,표4[#ALL],row(),false)</f>
        <v>0</v>
      </c>
      <c r="AR151" s="369">
        <f>CS_PID!AR151/VLOOKUP($B151,표2[#ALL],2)/hlookup($A151,표4[#ALL],row(),false)</f>
        <v>0</v>
      </c>
      <c r="AS151" s="369">
        <f>CS_PID!AS151/VLOOKUP($B151,표2[#ALL],2)/hlookup($A151,표4[#ALL],row(),false)</f>
        <v>7</v>
      </c>
    </row>
  </sheetData>
  <dataValidations>
    <dataValidation type="custom" allowBlank="1" showDropDown="1" sqref="C2:AS151">
      <formula1>AND(ISNUMBER(C2),(NOT(OR(NOT(ISERROR(DATEVALUE(C2))), AND(ISNUMBER(C2), LEFT(CELL("format", C2))="D")))))</formula1>
    </dataValidation>
  </dataValidations>
  <drawing r:id="rId2"/>
  <legacyDrawing r:id="rId3"/>
  <tableParts count="1">
    <tablePart r:id="rId5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0.75"/>
    <col customWidth="1" min="2" max="11" width="8.63"/>
  </cols>
  <sheetData>
    <row r="1">
      <c r="A1" s="382" t="s">
        <v>206</v>
      </c>
      <c r="B1" s="383" t="s">
        <v>18</v>
      </c>
      <c r="C1" s="384" t="s">
        <v>131</v>
      </c>
      <c r="D1" s="384" t="s">
        <v>132</v>
      </c>
      <c r="E1" s="384" t="s">
        <v>133</v>
      </c>
      <c r="F1" s="384" t="s">
        <v>125</v>
      </c>
      <c r="G1" s="384" t="s">
        <v>126</v>
      </c>
      <c r="H1" s="384" t="s">
        <v>127</v>
      </c>
      <c r="I1" s="384" t="s">
        <v>78</v>
      </c>
      <c r="J1" s="384" t="s">
        <v>80</v>
      </c>
      <c r="K1" s="385" t="s">
        <v>82</v>
      </c>
    </row>
    <row r="2">
      <c r="A2" s="129">
        <v>-14.0</v>
      </c>
      <c r="B2" s="386">
        <v>656.0</v>
      </c>
      <c r="C2" s="387">
        <v>54.0</v>
      </c>
      <c r="D2" s="387">
        <v>14.0</v>
      </c>
      <c r="E2" s="387">
        <v>0.0</v>
      </c>
      <c r="F2" s="387">
        <v>0.0</v>
      </c>
      <c r="G2" s="387">
        <v>0.0</v>
      </c>
      <c r="H2" s="387">
        <v>0.0</v>
      </c>
      <c r="I2" s="387">
        <v>2.0</v>
      </c>
      <c r="J2" s="387">
        <v>3.0</v>
      </c>
      <c r="K2" s="387">
        <v>0.0</v>
      </c>
    </row>
    <row r="3">
      <c r="A3" s="133">
        <v>-14.0</v>
      </c>
      <c r="B3" s="388">
        <v>657.0</v>
      </c>
      <c r="C3" s="389">
        <v>75.0</v>
      </c>
      <c r="D3" s="389">
        <v>4.0</v>
      </c>
      <c r="E3" s="389">
        <v>0.0</v>
      </c>
      <c r="F3" s="389">
        <v>0.0</v>
      </c>
      <c r="G3" s="389">
        <v>0.0</v>
      </c>
      <c r="H3" s="389">
        <v>0.0</v>
      </c>
      <c r="I3" s="389">
        <v>1.0</v>
      </c>
      <c r="J3" s="389">
        <v>2.0</v>
      </c>
      <c r="K3" s="389">
        <v>0.0</v>
      </c>
    </row>
    <row r="4">
      <c r="A4" s="137">
        <v>-12.0</v>
      </c>
      <c r="B4" s="390">
        <v>643.0</v>
      </c>
      <c r="C4" s="391">
        <v>150.0</v>
      </c>
      <c r="D4" s="391">
        <v>9.0</v>
      </c>
      <c r="E4" s="391">
        <v>0.0</v>
      </c>
      <c r="F4" s="391">
        <v>0.0</v>
      </c>
      <c r="G4" s="391">
        <v>0.0</v>
      </c>
      <c r="H4" s="391">
        <v>0.0</v>
      </c>
      <c r="I4" s="391">
        <v>9.0</v>
      </c>
      <c r="J4" s="391">
        <v>7.0</v>
      </c>
      <c r="K4" s="391">
        <v>0.0</v>
      </c>
    </row>
    <row r="5">
      <c r="A5" s="141">
        <v>-12.0</v>
      </c>
      <c r="B5" s="392">
        <v>644.0</v>
      </c>
      <c r="C5" s="393">
        <v>450.0</v>
      </c>
      <c r="D5" s="393">
        <v>40.0</v>
      </c>
      <c r="E5" s="393">
        <v>0.0</v>
      </c>
      <c r="F5" s="393">
        <v>0.0</v>
      </c>
      <c r="G5" s="393">
        <v>0.0</v>
      </c>
      <c r="H5" s="393">
        <v>0.0</v>
      </c>
      <c r="I5" s="393">
        <v>13.0</v>
      </c>
      <c r="J5" s="393">
        <v>8.0</v>
      </c>
      <c r="K5" s="393">
        <v>0.0</v>
      </c>
    </row>
    <row r="6">
      <c r="A6" s="141">
        <v>-12.0</v>
      </c>
      <c r="B6" s="392">
        <v>645.0</v>
      </c>
      <c r="C6" s="393">
        <v>299.0</v>
      </c>
      <c r="D6" s="393">
        <v>24.0</v>
      </c>
      <c r="E6" s="393">
        <v>0.0</v>
      </c>
      <c r="F6" s="393">
        <v>0.0</v>
      </c>
      <c r="G6" s="393">
        <v>0.0</v>
      </c>
      <c r="H6" s="393">
        <v>0.0</v>
      </c>
      <c r="I6" s="393">
        <v>18.0</v>
      </c>
      <c r="J6" s="393">
        <v>6.0</v>
      </c>
      <c r="K6" s="393">
        <v>0.0</v>
      </c>
    </row>
    <row r="7">
      <c r="A7" s="141">
        <v>-12.0</v>
      </c>
      <c r="B7" s="392">
        <v>646.0</v>
      </c>
      <c r="C7" s="393">
        <v>288.0</v>
      </c>
      <c r="D7" s="393">
        <v>17.0</v>
      </c>
      <c r="E7" s="393">
        <v>0.0</v>
      </c>
      <c r="F7" s="393">
        <v>0.0</v>
      </c>
      <c r="G7" s="393">
        <v>0.0</v>
      </c>
      <c r="H7" s="393">
        <v>0.0</v>
      </c>
      <c r="I7" s="393">
        <v>9.0</v>
      </c>
      <c r="J7" s="393">
        <v>4.0</v>
      </c>
      <c r="K7" s="393">
        <v>0.0</v>
      </c>
    </row>
    <row r="8">
      <c r="A8" s="141">
        <v>-12.0</v>
      </c>
      <c r="B8" s="392">
        <v>647.0</v>
      </c>
      <c r="C8" s="393">
        <v>423.0</v>
      </c>
      <c r="D8" s="393">
        <v>27.0</v>
      </c>
      <c r="E8" s="393">
        <v>0.0</v>
      </c>
      <c r="F8" s="393">
        <v>0.0</v>
      </c>
      <c r="G8" s="393">
        <v>0.0</v>
      </c>
      <c r="H8" s="393">
        <v>0.0</v>
      </c>
      <c r="I8" s="393">
        <v>19.0</v>
      </c>
      <c r="J8" s="393">
        <v>7.0</v>
      </c>
      <c r="K8" s="393">
        <v>0.0</v>
      </c>
    </row>
    <row r="9">
      <c r="A9" s="394">
        <v>-12.0</v>
      </c>
      <c r="B9" s="395">
        <v>648.0</v>
      </c>
      <c r="C9" s="396">
        <v>251.0</v>
      </c>
      <c r="D9" s="396">
        <v>21.0</v>
      </c>
      <c r="E9" s="396">
        <v>0.0</v>
      </c>
      <c r="F9" s="396">
        <v>0.0</v>
      </c>
      <c r="G9" s="396">
        <v>0.0</v>
      </c>
      <c r="H9" s="396">
        <v>0.0</v>
      </c>
      <c r="I9" s="396">
        <v>7.0</v>
      </c>
      <c r="J9" s="396">
        <v>8.0</v>
      </c>
      <c r="K9" s="396">
        <v>0.0</v>
      </c>
    </row>
    <row r="10">
      <c r="A10" s="397">
        <v>-10.0</v>
      </c>
      <c r="B10" s="398">
        <v>639.0</v>
      </c>
      <c r="C10" s="399">
        <v>509.0</v>
      </c>
      <c r="D10" s="399">
        <v>41.0</v>
      </c>
      <c r="E10" s="399">
        <v>1.0</v>
      </c>
      <c r="F10" s="399">
        <v>0.0</v>
      </c>
      <c r="G10" s="399">
        <v>0.0</v>
      </c>
      <c r="H10" s="399">
        <v>0.0</v>
      </c>
      <c r="I10" s="399">
        <v>52.0</v>
      </c>
      <c r="J10" s="399">
        <v>16.0</v>
      </c>
      <c r="K10" s="399">
        <v>0.0</v>
      </c>
    </row>
    <row r="11">
      <c r="A11" s="153">
        <v>-10.0</v>
      </c>
      <c r="B11" s="400">
        <v>640.0</v>
      </c>
      <c r="C11" s="401">
        <v>180.0</v>
      </c>
      <c r="D11" s="401">
        <v>16.0</v>
      </c>
      <c r="E11" s="401">
        <v>0.0</v>
      </c>
      <c r="F11" s="401">
        <v>0.0</v>
      </c>
      <c r="G11" s="401">
        <v>0.0</v>
      </c>
      <c r="H11" s="401">
        <v>0.0</v>
      </c>
      <c r="I11" s="401">
        <v>16.0</v>
      </c>
      <c r="J11" s="401">
        <v>6.0</v>
      </c>
      <c r="K11" s="401">
        <v>0.0</v>
      </c>
    </row>
    <row r="12">
      <c r="A12" s="153">
        <v>-10.0</v>
      </c>
      <c r="B12" s="400">
        <v>641.0</v>
      </c>
      <c r="C12" s="401">
        <v>610.0</v>
      </c>
      <c r="D12" s="401">
        <v>60.0</v>
      </c>
      <c r="E12" s="401">
        <v>2.0</v>
      </c>
      <c r="F12" s="401">
        <v>0.0</v>
      </c>
      <c r="G12" s="401">
        <v>0.0</v>
      </c>
      <c r="H12" s="401">
        <v>0.0</v>
      </c>
      <c r="I12" s="401">
        <v>59.0</v>
      </c>
      <c r="J12" s="401">
        <v>23.0</v>
      </c>
      <c r="K12" s="401">
        <v>0.0</v>
      </c>
    </row>
    <row r="13">
      <c r="A13" s="402">
        <v>-10.0</v>
      </c>
      <c r="B13" s="403">
        <v>642.0</v>
      </c>
      <c r="C13" s="404">
        <v>929.0</v>
      </c>
      <c r="D13" s="404">
        <v>78.0</v>
      </c>
      <c r="E13" s="404">
        <v>0.0</v>
      </c>
      <c r="F13" s="404">
        <v>1.0</v>
      </c>
      <c r="G13" s="404">
        <v>1.0</v>
      </c>
      <c r="H13" s="404">
        <v>0.0</v>
      </c>
      <c r="I13" s="404">
        <v>80.0</v>
      </c>
      <c r="J13" s="404">
        <v>34.0</v>
      </c>
      <c r="K13" s="404">
        <v>0.0</v>
      </c>
    </row>
    <row r="14">
      <c r="A14" s="405">
        <v>-8.0</v>
      </c>
      <c r="B14" s="406">
        <v>620.0</v>
      </c>
      <c r="C14" s="407">
        <v>3291.0</v>
      </c>
      <c r="D14" s="407">
        <v>305.0</v>
      </c>
      <c r="E14" s="407">
        <v>4.0</v>
      </c>
      <c r="F14" s="407">
        <v>17.0</v>
      </c>
      <c r="G14" s="407">
        <v>10.0</v>
      </c>
      <c r="H14" s="407">
        <v>0.0</v>
      </c>
      <c r="I14" s="407">
        <v>597.0</v>
      </c>
      <c r="J14" s="407">
        <v>146.0</v>
      </c>
      <c r="K14" s="407">
        <v>1.0</v>
      </c>
    </row>
    <row r="15">
      <c r="A15" s="165">
        <v>-8.0</v>
      </c>
      <c r="B15" s="408">
        <v>621.0</v>
      </c>
      <c r="C15" s="409">
        <v>2234.0</v>
      </c>
      <c r="D15" s="409">
        <v>229.0</v>
      </c>
      <c r="E15" s="409">
        <v>1.0</v>
      </c>
      <c r="F15" s="409">
        <v>15.0</v>
      </c>
      <c r="G15" s="409">
        <v>9.0</v>
      </c>
      <c r="H15" s="409">
        <v>0.0</v>
      </c>
      <c r="I15" s="409">
        <v>390.0</v>
      </c>
      <c r="J15" s="409">
        <v>107.0</v>
      </c>
      <c r="K15" s="409">
        <v>0.0</v>
      </c>
    </row>
    <row r="16">
      <c r="A16" s="165">
        <v>-8.0</v>
      </c>
      <c r="B16" s="408">
        <v>622.0</v>
      </c>
      <c r="C16" s="409">
        <v>1764.0</v>
      </c>
      <c r="D16" s="409">
        <v>181.0</v>
      </c>
      <c r="E16" s="409">
        <v>1.0</v>
      </c>
      <c r="F16" s="409">
        <v>15.0</v>
      </c>
      <c r="G16" s="409">
        <v>9.0</v>
      </c>
      <c r="H16" s="409">
        <v>1.0</v>
      </c>
      <c r="I16" s="409">
        <v>325.0</v>
      </c>
      <c r="J16" s="409">
        <v>80.0</v>
      </c>
      <c r="K16" s="409">
        <v>1.0</v>
      </c>
    </row>
    <row r="17">
      <c r="A17" s="165">
        <v>-8.0</v>
      </c>
      <c r="B17" s="408">
        <v>623.0</v>
      </c>
      <c r="C17" s="409">
        <v>1463.0</v>
      </c>
      <c r="D17" s="409">
        <v>127.0</v>
      </c>
      <c r="E17" s="409">
        <v>0.0</v>
      </c>
      <c r="F17" s="409">
        <v>10.0</v>
      </c>
      <c r="G17" s="409">
        <v>6.0</v>
      </c>
      <c r="H17" s="409">
        <v>0.0</v>
      </c>
      <c r="I17" s="409">
        <v>265.0</v>
      </c>
      <c r="J17" s="409">
        <v>72.0</v>
      </c>
      <c r="K17" s="409">
        <v>1.0</v>
      </c>
    </row>
    <row r="18">
      <c r="A18" s="410">
        <v>-8.0</v>
      </c>
      <c r="B18" s="411">
        <v>625.0</v>
      </c>
      <c r="C18" s="412">
        <v>1789.0</v>
      </c>
      <c r="D18" s="412">
        <v>175.0</v>
      </c>
      <c r="E18" s="412">
        <v>0.0</v>
      </c>
      <c r="F18" s="412">
        <v>12.0</v>
      </c>
      <c r="G18" s="412">
        <v>9.0</v>
      </c>
      <c r="H18" s="412">
        <v>0.0</v>
      </c>
      <c r="I18" s="412">
        <v>354.0</v>
      </c>
      <c r="J18" s="412">
        <v>95.0</v>
      </c>
      <c r="K18" s="412">
        <v>2.0</v>
      </c>
    </row>
    <row r="19">
      <c r="A19" s="413">
        <v>-7.0</v>
      </c>
      <c r="B19" s="414">
        <v>651.0</v>
      </c>
      <c r="C19" s="415">
        <v>732.0</v>
      </c>
      <c r="D19" s="415">
        <v>77.0</v>
      </c>
      <c r="E19" s="415">
        <v>2.0</v>
      </c>
      <c r="F19" s="415">
        <v>13.0</v>
      </c>
      <c r="G19" s="415">
        <v>3.0</v>
      </c>
      <c r="H19" s="415">
        <v>0.0</v>
      </c>
      <c r="I19" s="415">
        <v>165.0</v>
      </c>
      <c r="J19" s="415">
        <v>46.0</v>
      </c>
      <c r="K19" s="415">
        <v>0.0</v>
      </c>
    </row>
    <row r="20">
      <c r="A20" s="177">
        <v>-7.0</v>
      </c>
      <c r="B20" s="416">
        <v>652.0</v>
      </c>
      <c r="C20" s="417">
        <v>1646.0</v>
      </c>
      <c r="D20" s="417">
        <v>181.0</v>
      </c>
      <c r="E20" s="417">
        <v>0.0</v>
      </c>
      <c r="F20" s="417">
        <v>22.0</v>
      </c>
      <c r="G20" s="417">
        <v>9.0</v>
      </c>
      <c r="H20" s="417">
        <v>0.0</v>
      </c>
      <c r="I20" s="417">
        <v>386.0</v>
      </c>
      <c r="J20" s="417">
        <v>113.0</v>
      </c>
      <c r="K20" s="417">
        <v>2.0</v>
      </c>
    </row>
    <row r="21">
      <c r="A21" s="177">
        <v>-7.0</v>
      </c>
      <c r="B21" s="416">
        <v>653.0</v>
      </c>
      <c r="C21" s="417">
        <v>2109.0</v>
      </c>
      <c r="D21" s="417">
        <v>225.0</v>
      </c>
      <c r="E21" s="417">
        <v>2.0</v>
      </c>
      <c r="F21" s="417">
        <v>36.0</v>
      </c>
      <c r="G21" s="417">
        <v>18.0</v>
      </c>
      <c r="H21" s="417">
        <v>2.0</v>
      </c>
      <c r="I21" s="417">
        <v>504.0</v>
      </c>
      <c r="J21" s="417">
        <v>107.0</v>
      </c>
      <c r="K21" s="417">
        <v>2.0</v>
      </c>
    </row>
    <row r="22">
      <c r="A22" s="418">
        <v>-7.0</v>
      </c>
      <c r="B22" s="419">
        <v>655.0</v>
      </c>
      <c r="C22" s="420">
        <v>1266.0</v>
      </c>
      <c r="D22" s="420">
        <v>135.0</v>
      </c>
      <c r="E22" s="420">
        <v>1.0</v>
      </c>
      <c r="F22" s="420">
        <v>18.0</v>
      </c>
      <c r="G22" s="420">
        <v>6.0</v>
      </c>
      <c r="H22" s="420">
        <v>0.0</v>
      </c>
      <c r="I22" s="420">
        <v>317.0</v>
      </c>
      <c r="J22" s="420">
        <v>86.0</v>
      </c>
      <c r="K22" s="420">
        <v>0.0</v>
      </c>
    </row>
    <row r="23">
      <c r="A23" s="421">
        <v>-6.0</v>
      </c>
      <c r="B23" s="422">
        <v>615.0</v>
      </c>
      <c r="C23" s="423">
        <v>1457.0</v>
      </c>
      <c r="D23" s="423">
        <v>174.0</v>
      </c>
      <c r="E23" s="423">
        <v>0.0</v>
      </c>
      <c r="F23" s="423">
        <v>63.0</v>
      </c>
      <c r="G23" s="423">
        <v>22.0</v>
      </c>
      <c r="H23" s="423">
        <v>0.0</v>
      </c>
      <c r="I23" s="423">
        <v>534.0</v>
      </c>
      <c r="J23" s="423">
        <v>128.0</v>
      </c>
      <c r="K23" s="423">
        <v>0.0</v>
      </c>
    </row>
    <row r="24">
      <c r="A24" s="189">
        <v>-6.0</v>
      </c>
      <c r="B24" s="424">
        <v>616.0</v>
      </c>
      <c r="C24" s="425">
        <v>3285.0</v>
      </c>
      <c r="D24" s="425">
        <v>394.0</v>
      </c>
      <c r="E24" s="425">
        <v>3.0</v>
      </c>
      <c r="F24" s="425">
        <v>147.0</v>
      </c>
      <c r="G24" s="425">
        <v>53.0</v>
      </c>
      <c r="H24" s="425">
        <v>2.0</v>
      </c>
      <c r="I24" s="425">
        <v>1337.0</v>
      </c>
      <c r="J24" s="425">
        <v>293.0</v>
      </c>
      <c r="K24" s="425">
        <v>2.0</v>
      </c>
    </row>
    <row r="25">
      <c r="A25" s="426">
        <v>-6.0</v>
      </c>
      <c r="B25" s="427">
        <v>617.0</v>
      </c>
      <c r="C25" s="428">
        <v>5626.0</v>
      </c>
      <c r="D25" s="428">
        <v>619.0</v>
      </c>
      <c r="E25" s="428">
        <v>7.0</v>
      </c>
      <c r="F25" s="428">
        <v>251.0</v>
      </c>
      <c r="G25" s="428">
        <v>85.0</v>
      </c>
      <c r="H25" s="428">
        <v>5.0</v>
      </c>
      <c r="I25" s="428">
        <v>2438.0</v>
      </c>
      <c r="J25" s="428">
        <v>545.0</v>
      </c>
      <c r="K25" s="428">
        <v>5.0</v>
      </c>
    </row>
    <row r="26">
      <c r="A26" s="429">
        <v>-5.0</v>
      </c>
      <c r="B26" s="430">
        <v>660.0</v>
      </c>
      <c r="C26" s="431">
        <v>3363.0</v>
      </c>
      <c r="D26" s="431">
        <v>491.0</v>
      </c>
      <c r="E26" s="431">
        <v>1.0</v>
      </c>
      <c r="F26" s="431">
        <v>185.0</v>
      </c>
      <c r="G26" s="431">
        <v>37.0</v>
      </c>
      <c r="H26" s="431">
        <v>0.0</v>
      </c>
      <c r="I26" s="431">
        <v>1382.0</v>
      </c>
      <c r="J26" s="431">
        <v>321.0</v>
      </c>
      <c r="K26" s="431">
        <v>4.0</v>
      </c>
    </row>
    <row r="27">
      <c r="A27" s="432">
        <v>-5.0</v>
      </c>
      <c r="B27" s="433">
        <v>661.0</v>
      </c>
      <c r="C27" s="434">
        <v>1132.0</v>
      </c>
      <c r="D27" s="434">
        <v>146.0</v>
      </c>
      <c r="E27" s="434">
        <v>1.0</v>
      </c>
      <c r="F27" s="434">
        <v>61.0</v>
      </c>
      <c r="G27" s="434">
        <v>15.0</v>
      </c>
      <c r="H27" s="434">
        <v>0.0</v>
      </c>
      <c r="I27" s="434">
        <v>444.0</v>
      </c>
      <c r="J27" s="434">
        <v>127.0</v>
      </c>
      <c r="K27" s="434">
        <v>1.0</v>
      </c>
    </row>
    <row r="28">
      <c r="A28" s="435">
        <v>-4.0</v>
      </c>
      <c r="B28" s="436">
        <v>610.0</v>
      </c>
      <c r="C28" s="437">
        <v>2452.0</v>
      </c>
      <c r="D28" s="437">
        <v>380.0</v>
      </c>
      <c r="E28" s="437">
        <v>6.0</v>
      </c>
      <c r="F28" s="437">
        <v>452.0</v>
      </c>
      <c r="G28" s="437">
        <v>104.0</v>
      </c>
      <c r="H28" s="437">
        <v>0.0</v>
      </c>
      <c r="I28" s="437">
        <v>1837.0</v>
      </c>
      <c r="J28" s="437">
        <v>461.0</v>
      </c>
      <c r="K28" s="437">
        <v>1.0</v>
      </c>
    </row>
    <row r="29">
      <c r="A29" s="213">
        <v>-4.0</v>
      </c>
      <c r="B29" s="438">
        <v>611.0</v>
      </c>
      <c r="C29" s="439">
        <v>3869.0</v>
      </c>
      <c r="D29" s="439">
        <v>604.0</v>
      </c>
      <c r="E29" s="439">
        <v>12.0</v>
      </c>
      <c r="F29" s="439">
        <v>556.0</v>
      </c>
      <c r="G29" s="439">
        <v>140.0</v>
      </c>
      <c r="H29" s="439">
        <v>1.0</v>
      </c>
      <c r="I29" s="439">
        <v>2387.0</v>
      </c>
      <c r="J29" s="439">
        <v>637.0</v>
      </c>
      <c r="K29" s="439">
        <v>6.0</v>
      </c>
    </row>
    <row r="30">
      <c r="A30" s="440">
        <v>-4.0</v>
      </c>
      <c r="B30" s="441">
        <v>612.0</v>
      </c>
      <c r="C30" s="442">
        <v>4498.0</v>
      </c>
      <c r="D30" s="442">
        <v>702.0</v>
      </c>
      <c r="E30" s="442">
        <v>9.0</v>
      </c>
      <c r="F30" s="442">
        <v>860.0</v>
      </c>
      <c r="G30" s="442">
        <v>188.0</v>
      </c>
      <c r="H30" s="442">
        <v>7.0</v>
      </c>
      <c r="I30" s="442">
        <v>3238.0</v>
      </c>
      <c r="J30" s="442">
        <v>775.0</v>
      </c>
      <c r="K30" s="442">
        <v>7.0</v>
      </c>
    </row>
    <row r="31">
      <c r="A31" s="443">
        <v>0.0</v>
      </c>
      <c r="B31" s="444">
        <v>601.0</v>
      </c>
      <c r="C31" s="445">
        <v>692.0</v>
      </c>
      <c r="D31" s="445">
        <v>354.0</v>
      </c>
      <c r="E31" s="445">
        <v>16.0</v>
      </c>
      <c r="F31" s="445">
        <v>424.0</v>
      </c>
      <c r="G31" s="445">
        <v>182.0</v>
      </c>
      <c r="H31" s="445">
        <v>6.0</v>
      </c>
      <c r="I31" s="445">
        <v>491.0</v>
      </c>
      <c r="J31" s="445">
        <v>460.0</v>
      </c>
      <c r="K31" s="445">
        <v>18.0</v>
      </c>
    </row>
    <row r="32">
      <c r="A32" s="446">
        <v>0.0</v>
      </c>
      <c r="B32" s="447">
        <v>602.0</v>
      </c>
      <c r="C32" s="448">
        <v>753.0</v>
      </c>
      <c r="D32" s="448">
        <v>352.0</v>
      </c>
      <c r="E32" s="448">
        <v>21.0</v>
      </c>
      <c r="F32" s="448">
        <v>496.0</v>
      </c>
      <c r="G32" s="448">
        <v>185.0</v>
      </c>
      <c r="H32" s="448">
        <v>6.0</v>
      </c>
      <c r="I32" s="448">
        <v>559.0</v>
      </c>
      <c r="J32" s="448">
        <v>527.0</v>
      </c>
      <c r="K32" s="448">
        <v>23.0</v>
      </c>
    </row>
    <row r="33">
      <c r="A33" s="446">
        <v>0.0</v>
      </c>
      <c r="B33" s="447">
        <v>603.0</v>
      </c>
      <c r="C33" s="448">
        <v>3824.0</v>
      </c>
      <c r="D33" s="448">
        <v>1893.0</v>
      </c>
      <c r="E33" s="448">
        <v>106.0</v>
      </c>
      <c r="F33" s="448">
        <v>2423.0</v>
      </c>
      <c r="G33" s="448">
        <v>1016.0</v>
      </c>
      <c r="H33" s="448">
        <v>70.0</v>
      </c>
      <c r="I33" s="448">
        <v>2697.0</v>
      </c>
      <c r="J33" s="448">
        <v>2619.0</v>
      </c>
      <c r="K33" s="448">
        <v>97.0</v>
      </c>
    </row>
    <row r="34">
      <c r="A34" s="446">
        <v>0.0</v>
      </c>
      <c r="B34" s="447">
        <v>604.0</v>
      </c>
      <c r="C34" s="448">
        <v>4456.0</v>
      </c>
      <c r="D34" s="448">
        <v>2194.0</v>
      </c>
      <c r="E34" s="448">
        <v>166.0</v>
      </c>
      <c r="F34" s="448">
        <v>2873.0</v>
      </c>
      <c r="G34" s="448">
        <v>1157.0</v>
      </c>
      <c r="H34" s="448">
        <v>55.0</v>
      </c>
      <c r="I34" s="448">
        <v>3220.0</v>
      </c>
      <c r="J34" s="448">
        <v>3089.0</v>
      </c>
      <c r="K34" s="448">
        <v>124.0</v>
      </c>
    </row>
    <row r="35">
      <c r="A35" s="446">
        <v>0.0</v>
      </c>
      <c r="B35" s="447">
        <v>632.0</v>
      </c>
      <c r="C35" s="448">
        <v>2120.0</v>
      </c>
      <c r="D35" s="448">
        <v>1035.0</v>
      </c>
      <c r="E35" s="448">
        <v>62.0</v>
      </c>
      <c r="F35" s="448">
        <v>1885.0</v>
      </c>
      <c r="G35" s="448">
        <v>638.0</v>
      </c>
      <c r="H35" s="448">
        <v>35.0</v>
      </c>
      <c r="I35" s="448">
        <v>1790.0</v>
      </c>
      <c r="J35" s="448">
        <v>1541.0</v>
      </c>
      <c r="K35" s="448">
        <v>65.0</v>
      </c>
    </row>
    <row r="36">
      <c r="A36" s="446">
        <v>0.0</v>
      </c>
      <c r="B36" s="447">
        <v>636.0</v>
      </c>
      <c r="C36" s="448">
        <v>1392.0</v>
      </c>
      <c r="D36" s="448">
        <v>700.0</v>
      </c>
      <c r="E36" s="448">
        <v>36.0</v>
      </c>
      <c r="F36" s="448">
        <v>1155.0</v>
      </c>
      <c r="G36" s="448">
        <v>450.0</v>
      </c>
      <c r="H36" s="448">
        <v>14.0</v>
      </c>
      <c r="I36" s="448">
        <v>1159.0</v>
      </c>
      <c r="J36" s="448">
        <v>1007.0</v>
      </c>
      <c r="K36" s="448">
        <v>46.0</v>
      </c>
    </row>
    <row r="37">
      <c r="A37" s="446">
        <v>0.0</v>
      </c>
      <c r="B37" s="447">
        <v>637.0</v>
      </c>
      <c r="C37" s="448">
        <v>116.0</v>
      </c>
      <c r="D37" s="448">
        <v>51.0</v>
      </c>
      <c r="E37" s="448">
        <v>3.0</v>
      </c>
      <c r="F37" s="448">
        <v>77.0</v>
      </c>
      <c r="G37" s="448">
        <v>21.0</v>
      </c>
      <c r="H37" s="448">
        <v>3.0</v>
      </c>
      <c r="I37" s="448">
        <v>78.0</v>
      </c>
      <c r="J37" s="448">
        <v>90.0</v>
      </c>
      <c r="K37" s="448">
        <v>5.0</v>
      </c>
    </row>
    <row r="38">
      <c r="A38" s="449">
        <v>0.0</v>
      </c>
      <c r="B38" s="450">
        <v>638.0</v>
      </c>
      <c r="C38" s="451">
        <v>5481.0</v>
      </c>
      <c r="D38" s="451">
        <v>2569.0</v>
      </c>
      <c r="E38" s="451">
        <v>174.0</v>
      </c>
      <c r="F38" s="451">
        <v>3494.0</v>
      </c>
      <c r="G38" s="451">
        <v>1380.0</v>
      </c>
      <c r="H38" s="451">
        <v>78.0</v>
      </c>
      <c r="I38" s="451">
        <v>3814.0</v>
      </c>
      <c r="J38" s="451">
        <v>3652.0</v>
      </c>
      <c r="K38" s="451">
        <v>147.0</v>
      </c>
    </row>
    <row r="39">
      <c r="A39" s="452">
        <v>4.0</v>
      </c>
      <c r="B39" s="453">
        <v>605.0</v>
      </c>
      <c r="C39" s="454">
        <v>341.0</v>
      </c>
      <c r="D39" s="454">
        <v>191.0</v>
      </c>
      <c r="E39" s="454">
        <v>13.0</v>
      </c>
      <c r="F39" s="454">
        <v>2464.0</v>
      </c>
      <c r="G39" s="454">
        <v>513.0</v>
      </c>
      <c r="H39" s="454">
        <v>25.0</v>
      </c>
      <c r="I39" s="454">
        <v>1051.0</v>
      </c>
      <c r="J39" s="454">
        <v>604.0</v>
      </c>
      <c r="K39" s="454">
        <v>25.0</v>
      </c>
    </row>
    <row r="40">
      <c r="A40" s="455">
        <v>4.0</v>
      </c>
      <c r="B40" s="456">
        <v>606.0</v>
      </c>
      <c r="C40" s="457">
        <v>575.0</v>
      </c>
      <c r="D40" s="457">
        <v>319.0</v>
      </c>
      <c r="E40" s="457">
        <v>19.0</v>
      </c>
      <c r="F40" s="457">
        <v>3733.0</v>
      </c>
      <c r="G40" s="457">
        <v>864.0</v>
      </c>
      <c r="H40" s="457">
        <v>53.0</v>
      </c>
      <c r="I40" s="457">
        <v>1567.0</v>
      </c>
      <c r="J40" s="457">
        <v>1017.0</v>
      </c>
      <c r="K40" s="457">
        <v>32.0</v>
      </c>
    </row>
    <row r="41">
      <c r="A41" s="458">
        <v>4.0</v>
      </c>
      <c r="B41" s="459">
        <v>607.0</v>
      </c>
      <c r="C41" s="460">
        <v>1230.0</v>
      </c>
      <c r="D41" s="460">
        <v>667.0</v>
      </c>
      <c r="E41" s="460">
        <v>40.0</v>
      </c>
      <c r="F41" s="460">
        <v>8354.0</v>
      </c>
      <c r="G41" s="460">
        <v>1849.0</v>
      </c>
      <c r="H41" s="460">
        <v>95.0</v>
      </c>
      <c r="I41" s="460">
        <v>3572.0</v>
      </c>
      <c r="J41" s="460">
        <v>2329.0</v>
      </c>
      <c r="K41" s="460">
        <v>91.0</v>
      </c>
    </row>
    <row r="42">
      <c r="A42" s="461">
        <v>7.0</v>
      </c>
      <c r="B42" s="462">
        <v>590.0</v>
      </c>
      <c r="C42" s="463">
        <v>36.0</v>
      </c>
      <c r="D42" s="463">
        <v>46.0</v>
      </c>
      <c r="E42" s="463">
        <v>1.0</v>
      </c>
      <c r="F42" s="463">
        <v>1285.0</v>
      </c>
      <c r="G42" s="463">
        <v>368.0</v>
      </c>
      <c r="H42" s="463">
        <v>34.0</v>
      </c>
      <c r="I42" s="463">
        <v>269.0</v>
      </c>
      <c r="J42" s="463">
        <v>262.0</v>
      </c>
      <c r="K42" s="463">
        <v>8.0</v>
      </c>
    </row>
    <row r="43">
      <c r="A43" s="464">
        <v>7.0</v>
      </c>
      <c r="B43" s="465">
        <v>592.0</v>
      </c>
      <c r="C43" s="466">
        <v>54.0</v>
      </c>
      <c r="D43" s="466">
        <v>52.0</v>
      </c>
      <c r="E43" s="466">
        <v>12.0</v>
      </c>
      <c r="F43" s="466">
        <v>1505.0</v>
      </c>
      <c r="G43" s="466">
        <v>417.0</v>
      </c>
      <c r="H43" s="466">
        <v>34.0</v>
      </c>
      <c r="I43" s="466">
        <v>332.0</v>
      </c>
      <c r="J43" s="466">
        <v>310.0</v>
      </c>
      <c r="K43" s="466">
        <v>17.0</v>
      </c>
    </row>
    <row r="44">
      <c r="A44" s="464">
        <v>7.0</v>
      </c>
      <c r="B44" s="465">
        <v>593.0</v>
      </c>
      <c r="C44" s="466">
        <v>30.0</v>
      </c>
      <c r="D44" s="466">
        <v>23.0</v>
      </c>
      <c r="E44" s="466">
        <v>3.0</v>
      </c>
      <c r="F44" s="466">
        <v>767.0</v>
      </c>
      <c r="G44" s="466">
        <v>247.0</v>
      </c>
      <c r="H44" s="466">
        <v>12.0</v>
      </c>
      <c r="I44" s="466">
        <v>187.0</v>
      </c>
      <c r="J44" s="466">
        <v>148.0</v>
      </c>
      <c r="K44" s="466">
        <v>8.0</v>
      </c>
    </row>
    <row r="45">
      <c r="A45" s="464">
        <v>7.0</v>
      </c>
      <c r="B45" s="465">
        <v>594.0</v>
      </c>
      <c r="C45" s="466">
        <v>139.0</v>
      </c>
      <c r="D45" s="466">
        <v>142.0</v>
      </c>
      <c r="E45" s="466">
        <v>17.0</v>
      </c>
      <c r="F45" s="466">
        <v>3472.0</v>
      </c>
      <c r="G45" s="466">
        <v>970.0</v>
      </c>
      <c r="H45" s="466">
        <v>90.0</v>
      </c>
      <c r="I45" s="466">
        <v>847.0</v>
      </c>
      <c r="J45" s="466">
        <v>705.0</v>
      </c>
      <c r="K45" s="466">
        <v>40.0</v>
      </c>
    </row>
    <row r="46">
      <c r="A46" s="464">
        <v>7.0</v>
      </c>
      <c r="B46" s="465">
        <v>595.0</v>
      </c>
      <c r="C46" s="466">
        <v>97.0</v>
      </c>
      <c r="D46" s="466">
        <v>92.0</v>
      </c>
      <c r="E46" s="466">
        <v>8.0</v>
      </c>
      <c r="F46" s="466">
        <v>2373.0</v>
      </c>
      <c r="G46" s="466">
        <v>709.0</v>
      </c>
      <c r="H46" s="466">
        <v>61.0</v>
      </c>
      <c r="I46" s="466">
        <v>604.0</v>
      </c>
      <c r="J46" s="466">
        <v>528.0</v>
      </c>
      <c r="K46" s="466">
        <v>31.0</v>
      </c>
    </row>
    <row r="47">
      <c r="A47" s="464">
        <v>7.0</v>
      </c>
      <c r="B47" s="465">
        <v>596.0</v>
      </c>
      <c r="C47" s="466">
        <v>77.0</v>
      </c>
      <c r="D47" s="466">
        <v>70.0</v>
      </c>
      <c r="E47" s="466">
        <v>7.0</v>
      </c>
      <c r="F47" s="466">
        <v>1734.0</v>
      </c>
      <c r="G47" s="466">
        <v>488.0</v>
      </c>
      <c r="H47" s="466">
        <v>40.0</v>
      </c>
      <c r="I47" s="466">
        <v>391.0</v>
      </c>
      <c r="J47" s="466">
        <v>388.0</v>
      </c>
      <c r="K47" s="466">
        <v>19.0</v>
      </c>
    </row>
    <row r="48">
      <c r="A48" s="467">
        <v>7.0</v>
      </c>
      <c r="B48" s="468">
        <v>598.0</v>
      </c>
      <c r="C48" s="469">
        <v>207.0</v>
      </c>
      <c r="D48" s="469">
        <v>171.0</v>
      </c>
      <c r="E48" s="469">
        <v>21.0</v>
      </c>
      <c r="F48" s="469">
        <v>4673.0</v>
      </c>
      <c r="G48" s="469">
        <v>1474.0</v>
      </c>
      <c r="H48" s="469">
        <v>109.0</v>
      </c>
      <c r="I48" s="469">
        <v>1042.0</v>
      </c>
      <c r="J48" s="469">
        <v>1004.0</v>
      </c>
      <c r="K48" s="469">
        <v>51.0</v>
      </c>
    </row>
  </sheetData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63"/>
    <col customWidth="1" min="2" max="44" width="4.88"/>
  </cols>
  <sheetData>
    <row r="1"/>
    <row r="2"/>
    <row r="3"/>
    <row r="4"/>
    <row r="5"/>
    <row r="6"/>
    <row r="7"/>
    <row r="8"/>
    <row r="9"/>
    <row r="10"/>
    <row r="11"/>
    <row r="12"/>
    <row r="13"/>
  </sheetData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0.75"/>
    <col customWidth="1" min="2" max="2" width="8.13"/>
    <col customWidth="1" min="3" max="11" width="9.5"/>
  </cols>
  <sheetData>
    <row r="1">
      <c r="A1" s="382" t="s">
        <v>206</v>
      </c>
      <c r="B1" s="383" t="s">
        <v>18</v>
      </c>
      <c r="C1" s="470" t="s">
        <v>131</v>
      </c>
      <c r="D1" s="470" t="s">
        <v>132</v>
      </c>
      <c r="E1" s="470" t="s">
        <v>133</v>
      </c>
      <c r="F1" s="470" t="s">
        <v>125</v>
      </c>
      <c r="G1" s="470" t="s">
        <v>126</v>
      </c>
      <c r="H1" s="470" t="s">
        <v>127</v>
      </c>
      <c r="I1" s="470" t="s">
        <v>78</v>
      </c>
      <c r="J1" s="470" t="s">
        <v>80</v>
      </c>
      <c r="K1" s="471" t="s">
        <v>82</v>
      </c>
    </row>
    <row r="2">
      <c r="A2" s="129">
        <v>-14.0</v>
      </c>
      <c r="B2" s="386">
        <v>656.0</v>
      </c>
      <c r="C2" s="472">
        <f>CS_MDIS!C2/VLOOKUP($B2,표2[#ALL],2)</f>
        <v>0.1166732051</v>
      </c>
      <c r="D2" s="472">
        <f>CS_MDIS!D2/VLOOKUP($B2,표2[#ALL],2)</f>
        <v>0.03024860873</v>
      </c>
      <c r="E2" s="472">
        <f>CS_MDIS!E2/VLOOKUP($B2,표2[#ALL],2)</f>
        <v>0</v>
      </c>
      <c r="F2" s="472">
        <f>CS_MDIS!F2/VLOOKUP($B2,표2[#ALL],2)</f>
        <v>0</v>
      </c>
      <c r="G2" s="472">
        <f>CS_MDIS!G2/VLOOKUP($B2,표2[#ALL],2)</f>
        <v>0</v>
      </c>
      <c r="H2" s="472">
        <f>CS_MDIS!H2/VLOOKUP($B2,표2[#ALL],2)</f>
        <v>0</v>
      </c>
      <c r="I2" s="472">
        <f>CS_MDIS!I2/VLOOKUP($B2,표2[#ALL],2)</f>
        <v>0.004321229819</v>
      </c>
      <c r="J2" s="472">
        <f>CS_MDIS!J2/VLOOKUP($B2,표2[#ALL],2)</f>
        <v>0.006481844729</v>
      </c>
      <c r="K2" s="472">
        <f>CS_MDIS!K2/VLOOKUP($B2,표2[#ALL],2)</f>
        <v>0</v>
      </c>
    </row>
    <row r="3">
      <c r="A3" s="133">
        <v>-14.0</v>
      </c>
      <c r="B3" s="388">
        <v>657.0</v>
      </c>
      <c r="C3" s="473">
        <f>CS_MDIS!C3/VLOOKUP($B3,표2[#ALL],2)</f>
        <v>0.1872471162</v>
      </c>
      <c r="D3" s="473">
        <f>CS_MDIS!D3/VLOOKUP($B3,표2[#ALL],2)</f>
        <v>0.009986512865</v>
      </c>
      <c r="E3" s="473">
        <f>CS_MDIS!E3/VLOOKUP($B3,표2[#ALL],2)</f>
        <v>0</v>
      </c>
      <c r="F3" s="473">
        <f>CS_MDIS!F3/VLOOKUP($B3,표2[#ALL],2)</f>
        <v>0</v>
      </c>
      <c r="G3" s="473">
        <f>CS_MDIS!G3/VLOOKUP($B3,표2[#ALL],2)</f>
        <v>0</v>
      </c>
      <c r="H3" s="473">
        <f>CS_MDIS!H3/VLOOKUP($B3,표2[#ALL],2)</f>
        <v>0</v>
      </c>
      <c r="I3" s="473">
        <f>CS_MDIS!I3/VLOOKUP($B3,표2[#ALL],2)</f>
        <v>0.002496628216</v>
      </c>
      <c r="J3" s="473">
        <f>CS_MDIS!J3/VLOOKUP($B3,표2[#ALL],2)</f>
        <v>0.004993256432</v>
      </c>
      <c r="K3" s="473">
        <f>CS_MDIS!K3/VLOOKUP($B3,표2[#ALL],2)</f>
        <v>0</v>
      </c>
    </row>
    <row r="4">
      <c r="A4" s="137">
        <v>-12.0</v>
      </c>
      <c r="B4" s="390">
        <v>643.0</v>
      </c>
      <c r="C4" s="474">
        <f>CS_MDIS!C4/VLOOKUP($B4,표2[#ALL],2)</f>
        <v>0.6385527282</v>
      </c>
      <c r="D4" s="474">
        <f>CS_MDIS!D4/VLOOKUP($B4,표2[#ALL],2)</f>
        <v>0.03831316369</v>
      </c>
      <c r="E4" s="474">
        <f>CS_MDIS!E4/VLOOKUP($B4,표2[#ALL],2)</f>
        <v>0</v>
      </c>
      <c r="F4" s="474">
        <f>CS_MDIS!F4/VLOOKUP($B4,표2[#ALL],2)</f>
        <v>0</v>
      </c>
      <c r="G4" s="474">
        <f>CS_MDIS!G4/VLOOKUP($B4,표2[#ALL],2)</f>
        <v>0</v>
      </c>
      <c r="H4" s="474">
        <f>CS_MDIS!H4/VLOOKUP($B4,표2[#ALL],2)</f>
        <v>0</v>
      </c>
      <c r="I4" s="474">
        <f>CS_MDIS!I4/VLOOKUP($B4,표2[#ALL],2)</f>
        <v>0.03831316369</v>
      </c>
      <c r="J4" s="474">
        <f>CS_MDIS!J4/VLOOKUP($B4,표2[#ALL],2)</f>
        <v>0.02979912732</v>
      </c>
      <c r="K4" s="474">
        <f>CS_MDIS!K4/VLOOKUP($B4,표2[#ALL],2)</f>
        <v>0</v>
      </c>
    </row>
    <row r="5">
      <c r="A5" s="141">
        <v>-12.0</v>
      </c>
      <c r="B5" s="392">
        <v>644.0</v>
      </c>
      <c r="C5" s="475">
        <f>CS_MDIS!C5/VLOOKUP($B5,표2[#ALL],2)</f>
        <v>0.6377411099</v>
      </c>
      <c r="D5" s="475">
        <f>CS_MDIS!D5/VLOOKUP($B5,표2[#ALL],2)</f>
        <v>0.05668809866</v>
      </c>
      <c r="E5" s="475">
        <f>CS_MDIS!E5/VLOOKUP($B5,표2[#ALL],2)</f>
        <v>0</v>
      </c>
      <c r="F5" s="475">
        <f>CS_MDIS!F5/VLOOKUP($B5,표2[#ALL],2)</f>
        <v>0</v>
      </c>
      <c r="G5" s="475">
        <f>CS_MDIS!G5/VLOOKUP($B5,표2[#ALL],2)</f>
        <v>0</v>
      </c>
      <c r="H5" s="475">
        <f>CS_MDIS!H5/VLOOKUP($B5,표2[#ALL],2)</f>
        <v>0</v>
      </c>
      <c r="I5" s="475">
        <f>CS_MDIS!I5/VLOOKUP($B5,표2[#ALL],2)</f>
        <v>0.01842363206</v>
      </c>
      <c r="J5" s="475">
        <f>CS_MDIS!J5/VLOOKUP($B5,표2[#ALL],2)</f>
        <v>0.01133761973</v>
      </c>
      <c r="K5" s="475">
        <f>CS_MDIS!K5/VLOOKUP($B5,표2[#ALL],2)</f>
        <v>0</v>
      </c>
    </row>
    <row r="6">
      <c r="A6" s="141">
        <v>-12.0</v>
      </c>
      <c r="B6" s="392">
        <v>645.0</v>
      </c>
      <c r="C6" s="475">
        <f>CS_MDIS!C6/VLOOKUP($B6,표2[#ALL],2)</f>
        <v>0.5874263261</v>
      </c>
      <c r="D6" s="475">
        <f>CS_MDIS!D6/VLOOKUP($B6,표2[#ALL],2)</f>
        <v>0.04715127701</v>
      </c>
      <c r="E6" s="475">
        <f>CS_MDIS!E6/VLOOKUP($B6,표2[#ALL],2)</f>
        <v>0</v>
      </c>
      <c r="F6" s="475">
        <f>CS_MDIS!F6/VLOOKUP($B6,표2[#ALL],2)</f>
        <v>0</v>
      </c>
      <c r="G6" s="475">
        <f>CS_MDIS!G6/VLOOKUP($B6,표2[#ALL],2)</f>
        <v>0</v>
      </c>
      <c r="H6" s="475">
        <f>CS_MDIS!H6/VLOOKUP($B6,표2[#ALL],2)</f>
        <v>0</v>
      </c>
      <c r="I6" s="475">
        <f>CS_MDIS!I6/VLOOKUP($B6,표2[#ALL],2)</f>
        <v>0.03536345776</v>
      </c>
      <c r="J6" s="475">
        <f>CS_MDIS!J6/VLOOKUP($B6,표2[#ALL],2)</f>
        <v>0.01178781925</v>
      </c>
      <c r="K6" s="475">
        <f>CS_MDIS!K6/VLOOKUP($B6,표2[#ALL],2)</f>
        <v>0</v>
      </c>
    </row>
    <row r="7">
      <c r="A7" s="141">
        <v>-12.0</v>
      </c>
      <c r="B7" s="392">
        <v>646.0</v>
      </c>
      <c r="C7" s="475">
        <f>CS_MDIS!C7/VLOOKUP($B7,표2[#ALL],2)</f>
        <v>0.6457399103</v>
      </c>
      <c r="D7" s="475">
        <f>CS_MDIS!D7/VLOOKUP($B7,표2[#ALL],2)</f>
        <v>0.03811659193</v>
      </c>
      <c r="E7" s="475">
        <f>CS_MDIS!E7/VLOOKUP($B7,표2[#ALL],2)</f>
        <v>0</v>
      </c>
      <c r="F7" s="475">
        <f>CS_MDIS!F7/VLOOKUP($B7,표2[#ALL],2)</f>
        <v>0</v>
      </c>
      <c r="G7" s="475">
        <f>CS_MDIS!G7/VLOOKUP($B7,표2[#ALL],2)</f>
        <v>0</v>
      </c>
      <c r="H7" s="475">
        <f>CS_MDIS!H7/VLOOKUP($B7,표2[#ALL],2)</f>
        <v>0</v>
      </c>
      <c r="I7" s="475">
        <f>CS_MDIS!I7/VLOOKUP($B7,표2[#ALL],2)</f>
        <v>0.0201793722</v>
      </c>
      <c r="J7" s="475">
        <f>CS_MDIS!J7/VLOOKUP($B7,표2[#ALL],2)</f>
        <v>0.008968609865</v>
      </c>
      <c r="K7" s="475">
        <f>CS_MDIS!K7/VLOOKUP($B7,표2[#ALL],2)</f>
        <v>0</v>
      </c>
    </row>
    <row r="8">
      <c r="A8" s="141">
        <v>-12.0</v>
      </c>
      <c r="B8" s="392">
        <v>647.0</v>
      </c>
      <c r="C8" s="475">
        <f>CS_MDIS!C8/VLOOKUP($B8,표2[#ALL],2)</f>
        <v>0.576402318</v>
      </c>
      <c r="D8" s="475">
        <f>CS_MDIS!D8/VLOOKUP($B8,표2[#ALL],2)</f>
        <v>0.03679163732</v>
      </c>
      <c r="E8" s="475">
        <f>CS_MDIS!E8/VLOOKUP($B8,표2[#ALL],2)</f>
        <v>0</v>
      </c>
      <c r="F8" s="475">
        <f>CS_MDIS!F8/VLOOKUP($B8,표2[#ALL],2)</f>
        <v>0</v>
      </c>
      <c r="G8" s="475">
        <f>CS_MDIS!G8/VLOOKUP($B8,표2[#ALL],2)</f>
        <v>0</v>
      </c>
      <c r="H8" s="475">
        <f>CS_MDIS!H8/VLOOKUP($B8,표2[#ALL],2)</f>
        <v>0</v>
      </c>
      <c r="I8" s="475">
        <f>CS_MDIS!I8/VLOOKUP($B8,표2[#ALL],2)</f>
        <v>0.02589041145</v>
      </c>
      <c r="J8" s="475">
        <f>CS_MDIS!J8/VLOOKUP($B8,표2[#ALL],2)</f>
        <v>0.009538572639</v>
      </c>
      <c r="K8" s="475">
        <f>CS_MDIS!K8/VLOOKUP($B8,표2[#ALL],2)</f>
        <v>0</v>
      </c>
    </row>
    <row r="9">
      <c r="A9" s="394">
        <v>-12.0</v>
      </c>
      <c r="B9" s="395">
        <v>648.0</v>
      </c>
      <c r="C9" s="476">
        <f>CS_MDIS!C9/VLOOKUP($B9,표2[#ALL],2)</f>
        <v>0.5868769964</v>
      </c>
      <c r="D9" s="476">
        <f>CS_MDIS!D9/VLOOKUP($B9,표2[#ALL],2)</f>
        <v>0.04910126265</v>
      </c>
      <c r="E9" s="476">
        <f>CS_MDIS!E9/VLOOKUP($B9,표2[#ALL],2)</f>
        <v>0</v>
      </c>
      <c r="F9" s="476">
        <f>CS_MDIS!F9/VLOOKUP($B9,표2[#ALL],2)</f>
        <v>0</v>
      </c>
      <c r="G9" s="476">
        <f>CS_MDIS!G9/VLOOKUP($B9,표2[#ALL],2)</f>
        <v>0</v>
      </c>
      <c r="H9" s="476">
        <f>CS_MDIS!H9/VLOOKUP($B9,표2[#ALL],2)</f>
        <v>0</v>
      </c>
      <c r="I9" s="476">
        <f>CS_MDIS!I9/VLOOKUP($B9,표2[#ALL],2)</f>
        <v>0.01636708755</v>
      </c>
      <c r="J9" s="476">
        <f>CS_MDIS!J9/VLOOKUP($B9,표2[#ALL],2)</f>
        <v>0.01870524291</v>
      </c>
      <c r="K9" s="476">
        <f>CS_MDIS!K9/VLOOKUP($B9,표2[#ALL],2)</f>
        <v>0</v>
      </c>
    </row>
    <row r="10">
      <c r="A10" s="397">
        <v>-10.0</v>
      </c>
      <c r="B10" s="398">
        <v>639.0</v>
      </c>
      <c r="C10" s="477">
        <f>CS_MDIS!C10/VLOOKUP($B10,표2[#ALL],2)</f>
        <v>1.074576763</v>
      </c>
      <c r="D10" s="477">
        <f>CS_MDIS!D10/VLOOKUP($B10,표2[#ALL],2)</f>
        <v>0.08655726383</v>
      </c>
      <c r="E10" s="477">
        <f>CS_MDIS!E10/VLOOKUP($B10,표2[#ALL],2)</f>
        <v>0.002111152776</v>
      </c>
      <c r="F10" s="477">
        <f>CS_MDIS!F10/VLOOKUP($B10,표2[#ALL],2)</f>
        <v>0</v>
      </c>
      <c r="G10" s="477">
        <f>CS_MDIS!G10/VLOOKUP($B10,표2[#ALL],2)</f>
        <v>0</v>
      </c>
      <c r="H10" s="477">
        <f>CS_MDIS!H10/VLOOKUP($B10,표2[#ALL],2)</f>
        <v>0</v>
      </c>
      <c r="I10" s="477">
        <f>CS_MDIS!I10/VLOOKUP($B10,표2[#ALL],2)</f>
        <v>0.1097799444</v>
      </c>
      <c r="J10" s="477">
        <f>CS_MDIS!J10/VLOOKUP($B10,표2[#ALL],2)</f>
        <v>0.03377844442</v>
      </c>
      <c r="K10" s="477">
        <f>CS_MDIS!K10/VLOOKUP($B10,표2[#ALL],2)</f>
        <v>0</v>
      </c>
    </row>
    <row r="11">
      <c r="A11" s="153">
        <v>-10.0</v>
      </c>
      <c r="B11" s="400">
        <v>640.0</v>
      </c>
      <c r="C11" s="478">
        <f>CS_MDIS!C11/VLOOKUP($B11,표2[#ALL],2)</f>
        <v>1.092978968</v>
      </c>
      <c r="D11" s="478">
        <f>CS_MDIS!D11/VLOOKUP($B11,표2[#ALL],2)</f>
        <v>0.09715368603</v>
      </c>
      <c r="E11" s="478">
        <f>CS_MDIS!E11/VLOOKUP($B11,표2[#ALL],2)</f>
        <v>0</v>
      </c>
      <c r="F11" s="478">
        <f>CS_MDIS!F11/VLOOKUP($B11,표2[#ALL],2)</f>
        <v>0</v>
      </c>
      <c r="G11" s="478">
        <f>CS_MDIS!G11/VLOOKUP($B11,표2[#ALL],2)</f>
        <v>0</v>
      </c>
      <c r="H11" s="478">
        <f>CS_MDIS!H11/VLOOKUP($B11,표2[#ALL],2)</f>
        <v>0</v>
      </c>
      <c r="I11" s="478">
        <f>CS_MDIS!I11/VLOOKUP($B11,표2[#ALL],2)</f>
        <v>0.09715368603</v>
      </c>
      <c r="J11" s="478">
        <f>CS_MDIS!J11/VLOOKUP($B11,표2[#ALL],2)</f>
        <v>0.03643263226</v>
      </c>
      <c r="K11" s="478">
        <f>CS_MDIS!K11/VLOOKUP($B11,표2[#ALL],2)</f>
        <v>0</v>
      </c>
    </row>
    <row r="12">
      <c r="A12" s="153">
        <v>-10.0</v>
      </c>
      <c r="B12" s="400">
        <v>641.0</v>
      </c>
      <c r="C12" s="478">
        <f>CS_MDIS!C12/VLOOKUP($B12,표2[#ALL],2)</f>
        <v>1.163464471</v>
      </c>
      <c r="D12" s="478">
        <f>CS_MDIS!D12/VLOOKUP($B12,표2[#ALL],2)</f>
        <v>0.1144391283</v>
      </c>
      <c r="E12" s="478">
        <f>CS_MDIS!E12/VLOOKUP($B12,표2[#ALL],2)</f>
        <v>0.003814637611</v>
      </c>
      <c r="F12" s="478">
        <f>CS_MDIS!F12/VLOOKUP($B12,표2[#ALL],2)</f>
        <v>0</v>
      </c>
      <c r="G12" s="478">
        <f>CS_MDIS!G12/VLOOKUP($B12,표2[#ALL],2)</f>
        <v>0</v>
      </c>
      <c r="H12" s="478">
        <f>CS_MDIS!H12/VLOOKUP($B12,표2[#ALL],2)</f>
        <v>0</v>
      </c>
      <c r="I12" s="478">
        <f>CS_MDIS!I12/VLOOKUP($B12,표2[#ALL],2)</f>
        <v>0.1125318095</v>
      </c>
      <c r="J12" s="478">
        <f>CS_MDIS!J12/VLOOKUP($B12,표2[#ALL],2)</f>
        <v>0.04386833253</v>
      </c>
      <c r="K12" s="478">
        <f>CS_MDIS!K12/VLOOKUP($B12,표2[#ALL],2)</f>
        <v>0</v>
      </c>
    </row>
    <row r="13">
      <c r="A13" s="402">
        <v>-10.0</v>
      </c>
      <c r="B13" s="403">
        <v>642.0</v>
      </c>
      <c r="C13" s="479">
        <f>CS_MDIS!C13/VLOOKUP($B13,표2[#ALL],2)</f>
        <v>1.09933191</v>
      </c>
      <c r="D13" s="479">
        <f>CS_MDIS!D13/VLOOKUP($B13,표2[#ALL],2)</f>
        <v>0.09230127983</v>
      </c>
      <c r="E13" s="479">
        <f>CS_MDIS!E13/VLOOKUP($B13,표2[#ALL],2)</f>
        <v>0</v>
      </c>
      <c r="F13" s="479">
        <f>CS_MDIS!F13/VLOOKUP($B13,표2[#ALL],2)</f>
        <v>0.001183349741</v>
      </c>
      <c r="G13" s="479">
        <f>CS_MDIS!G13/VLOOKUP($B13,표2[#ALL],2)</f>
        <v>0.001183349741</v>
      </c>
      <c r="H13" s="479">
        <f>CS_MDIS!H13/VLOOKUP($B13,표2[#ALL],2)</f>
        <v>0</v>
      </c>
      <c r="I13" s="479">
        <f>CS_MDIS!I13/VLOOKUP($B13,표2[#ALL],2)</f>
        <v>0.09466797931</v>
      </c>
      <c r="J13" s="479">
        <f>CS_MDIS!J13/VLOOKUP($B13,표2[#ALL],2)</f>
        <v>0.04023389121</v>
      </c>
      <c r="K13" s="479">
        <f>CS_MDIS!K13/VLOOKUP($B13,표2[#ALL],2)</f>
        <v>0</v>
      </c>
    </row>
    <row r="14">
      <c r="A14" s="405">
        <v>-8.0</v>
      </c>
      <c r="B14" s="406">
        <v>620.0</v>
      </c>
      <c r="C14" s="480">
        <f>CS_MDIS!C14/VLOOKUP($B14,표2[#ALL],2)</f>
        <v>3.471517328</v>
      </c>
      <c r="D14" s="480">
        <f>CS_MDIS!D14/VLOOKUP($B14,표2[#ALL],2)</f>
        <v>0.3217298041</v>
      </c>
      <c r="E14" s="480">
        <f>CS_MDIS!E14/VLOOKUP($B14,표2[#ALL],2)</f>
        <v>0.004219407266</v>
      </c>
      <c r="F14" s="480">
        <f>CS_MDIS!F14/VLOOKUP($B14,표2[#ALL],2)</f>
        <v>0.01793248088</v>
      </c>
      <c r="G14" s="480">
        <f>CS_MDIS!G14/VLOOKUP($B14,표2[#ALL],2)</f>
        <v>0.01054851817</v>
      </c>
      <c r="H14" s="480">
        <f>CS_MDIS!H14/VLOOKUP($B14,표2[#ALL],2)</f>
        <v>0</v>
      </c>
      <c r="I14" s="480">
        <f>CS_MDIS!I14/VLOOKUP($B14,표2[#ALL],2)</f>
        <v>0.6297465345</v>
      </c>
      <c r="J14" s="480">
        <f>CS_MDIS!J14/VLOOKUP($B14,표2[#ALL],2)</f>
        <v>0.1540083652</v>
      </c>
      <c r="K14" s="480">
        <f>CS_MDIS!K14/VLOOKUP($B14,표2[#ALL],2)</f>
        <v>0.001054851817</v>
      </c>
    </row>
    <row r="15">
      <c r="A15" s="165">
        <v>-8.0</v>
      </c>
      <c r="B15" s="408">
        <v>621.0</v>
      </c>
      <c r="C15" s="481">
        <f>CS_MDIS!C15/VLOOKUP($B15,표2[#ALL],2)</f>
        <v>3.409237348</v>
      </c>
      <c r="D15" s="481">
        <f>CS_MDIS!D15/VLOOKUP($B15,표2[#ALL],2)</f>
        <v>0.3494697192</v>
      </c>
      <c r="E15" s="481">
        <f>CS_MDIS!E15/VLOOKUP($B15,표2[#ALL],2)</f>
        <v>0.001526068643</v>
      </c>
      <c r="F15" s="481">
        <f>CS_MDIS!F15/VLOOKUP($B15,표2[#ALL],2)</f>
        <v>0.02289102964</v>
      </c>
      <c r="G15" s="481">
        <f>CS_MDIS!G15/VLOOKUP($B15,표2[#ALL],2)</f>
        <v>0.01373461778</v>
      </c>
      <c r="H15" s="481">
        <f>CS_MDIS!H15/VLOOKUP($B15,표2[#ALL],2)</f>
        <v>0</v>
      </c>
      <c r="I15" s="481">
        <f>CS_MDIS!I15/VLOOKUP($B15,표2[#ALL],2)</f>
        <v>0.5951667706</v>
      </c>
      <c r="J15" s="481">
        <f>CS_MDIS!J15/VLOOKUP($B15,표2[#ALL],2)</f>
        <v>0.1632893448</v>
      </c>
      <c r="K15" s="481">
        <f>CS_MDIS!K15/VLOOKUP($B15,표2[#ALL],2)</f>
        <v>0</v>
      </c>
    </row>
    <row r="16">
      <c r="A16" s="165">
        <v>-8.0</v>
      </c>
      <c r="B16" s="408">
        <v>622.0</v>
      </c>
      <c r="C16" s="481">
        <f>CS_MDIS!C16/VLOOKUP($B16,표2[#ALL],2)</f>
        <v>3.481385275</v>
      </c>
      <c r="D16" s="481">
        <f>CS_MDIS!D16/VLOOKUP($B16,표2[#ALL],2)</f>
        <v>0.3572169698</v>
      </c>
      <c r="E16" s="481">
        <f>CS_MDIS!E16/VLOOKUP($B16,표2[#ALL],2)</f>
        <v>0.001973574419</v>
      </c>
      <c r="F16" s="481">
        <f>CS_MDIS!F16/VLOOKUP($B16,표2[#ALL],2)</f>
        <v>0.02960361628</v>
      </c>
      <c r="G16" s="481">
        <f>CS_MDIS!G16/VLOOKUP($B16,표2[#ALL],2)</f>
        <v>0.01776216977</v>
      </c>
      <c r="H16" s="481">
        <f>CS_MDIS!H16/VLOOKUP($B16,표2[#ALL],2)</f>
        <v>0.001973574419</v>
      </c>
      <c r="I16" s="481">
        <f>CS_MDIS!I16/VLOOKUP($B16,표2[#ALL],2)</f>
        <v>0.6414116861</v>
      </c>
      <c r="J16" s="481">
        <f>CS_MDIS!J16/VLOOKUP($B16,표2[#ALL],2)</f>
        <v>0.1578859535</v>
      </c>
      <c r="K16" s="481">
        <f>CS_MDIS!K16/VLOOKUP($B16,표2[#ALL],2)</f>
        <v>0.001973574419</v>
      </c>
    </row>
    <row r="17">
      <c r="A17" s="165">
        <v>-8.0</v>
      </c>
      <c r="B17" s="408">
        <v>623.0</v>
      </c>
      <c r="C17" s="481">
        <f>CS_MDIS!C17/VLOOKUP($B17,표2[#ALL],2)</f>
        <v>3.511258152</v>
      </c>
      <c r="D17" s="481">
        <f>CS_MDIS!D17/VLOOKUP($B17,표2[#ALL],2)</f>
        <v>0.3048050481</v>
      </c>
      <c r="E17" s="481">
        <f>CS_MDIS!E17/VLOOKUP($B17,표2[#ALL],2)</f>
        <v>0</v>
      </c>
      <c r="F17" s="481">
        <f>CS_MDIS!F17/VLOOKUP($B17,표2[#ALL],2)</f>
        <v>0.02400039748</v>
      </c>
      <c r="G17" s="481">
        <f>CS_MDIS!G17/VLOOKUP($B17,표2[#ALL],2)</f>
        <v>0.01440023849</v>
      </c>
      <c r="H17" s="481">
        <f>CS_MDIS!H17/VLOOKUP($B17,표2[#ALL],2)</f>
        <v>0</v>
      </c>
      <c r="I17" s="481">
        <f>CS_MDIS!I17/VLOOKUP($B17,표2[#ALL],2)</f>
        <v>0.6360105334</v>
      </c>
      <c r="J17" s="481">
        <f>CS_MDIS!J17/VLOOKUP($B17,표2[#ALL],2)</f>
        <v>0.1728028619</v>
      </c>
      <c r="K17" s="481">
        <f>CS_MDIS!K17/VLOOKUP($B17,표2[#ALL],2)</f>
        <v>0.002400039748</v>
      </c>
    </row>
    <row r="18">
      <c r="A18" s="410">
        <v>-8.0</v>
      </c>
      <c r="B18" s="411">
        <v>625.0</v>
      </c>
      <c r="C18" s="482">
        <f>CS_MDIS!C18/VLOOKUP($B18,표2[#ALL],2)</f>
        <v>3.355365468</v>
      </c>
      <c r="D18" s="482">
        <f>CS_MDIS!D18/VLOOKUP($B18,표2[#ALL],2)</f>
        <v>0.3282218876</v>
      </c>
      <c r="E18" s="482">
        <f>CS_MDIS!E18/VLOOKUP($B18,표2[#ALL],2)</f>
        <v>0</v>
      </c>
      <c r="F18" s="482">
        <f>CS_MDIS!F18/VLOOKUP($B18,표2[#ALL],2)</f>
        <v>0.02250664372</v>
      </c>
      <c r="G18" s="482">
        <f>CS_MDIS!G18/VLOOKUP($B18,표2[#ALL],2)</f>
        <v>0.01687998279</v>
      </c>
      <c r="H18" s="482">
        <f>CS_MDIS!H18/VLOOKUP($B18,표2[#ALL],2)</f>
        <v>0</v>
      </c>
      <c r="I18" s="482">
        <f>CS_MDIS!I18/VLOOKUP($B18,표2[#ALL],2)</f>
        <v>0.6639459898</v>
      </c>
      <c r="J18" s="482">
        <f>CS_MDIS!J18/VLOOKUP($B18,표2[#ALL],2)</f>
        <v>0.1781775961</v>
      </c>
      <c r="K18" s="482">
        <f>CS_MDIS!K18/VLOOKUP($B18,표2[#ALL],2)</f>
        <v>0.003751107287</v>
      </c>
    </row>
    <row r="19">
      <c r="A19" s="413">
        <v>-7.0</v>
      </c>
      <c r="B19" s="414">
        <v>651.0</v>
      </c>
      <c r="C19" s="483">
        <f>CS_MDIS!C19/VLOOKUP($B19,표2[#ALL],2)</f>
        <v>5.163324744</v>
      </c>
      <c r="D19" s="483">
        <f>CS_MDIS!D19/VLOOKUP($B19,표2[#ALL],2)</f>
        <v>0.5431366192</v>
      </c>
      <c r="E19" s="483">
        <f>CS_MDIS!E19/VLOOKUP($B19,표2[#ALL],2)</f>
        <v>0.01410744465</v>
      </c>
      <c r="F19" s="483">
        <f>CS_MDIS!F19/VLOOKUP($B19,표2[#ALL],2)</f>
        <v>0.09169839025</v>
      </c>
      <c r="G19" s="483">
        <f>CS_MDIS!G19/VLOOKUP($B19,표2[#ALL],2)</f>
        <v>0.02116116698</v>
      </c>
      <c r="H19" s="483">
        <f>CS_MDIS!H19/VLOOKUP($B19,표2[#ALL],2)</f>
        <v>0</v>
      </c>
      <c r="I19" s="483">
        <f>CS_MDIS!I19/VLOOKUP($B19,표2[#ALL],2)</f>
        <v>1.163864184</v>
      </c>
      <c r="J19" s="483">
        <f>CS_MDIS!J19/VLOOKUP($B19,표2[#ALL],2)</f>
        <v>0.3244712271</v>
      </c>
      <c r="K19" s="483">
        <f>CS_MDIS!K19/VLOOKUP($B19,표2[#ALL],2)</f>
        <v>0</v>
      </c>
    </row>
    <row r="20">
      <c r="A20" s="177">
        <v>-7.0</v>
      </c>
      <c r="B20" s="416">
        <v>652.0</v>
      </c>
      <c r="C20" s="484">
        <f>CS_MDIS!C20/VLOOKUP($B20,표2[#ALL],2)</f>
        <v>5.189524853</v>
      </c>
      <c r="D20" s="484">
        <f>CS_MDIS!D20/VLOOKUP($B20,표2[#ALL],2)</f>
        <v>0.5706585652</v>
      </c>
      <c r="E20" s="484">
        <f>CS_MDIS!E20/VLOOKUP($B20,표2[#ALL],2)</f>
        <v>0</v>
      </c>
      <c r="F20" s="484">
        <f>CS_MDIS!F20/VLOOKUP($B20,표2[#ALL],2)</f>
        <v>0.06936181456</v>
      </c>
      <c r="G20" s="484">
        <f>CS_MDIS!G20/VLOOKUP($B20,표2[#ALL],2)</f>
        <v>0.02837528777</v>
      </c>
      <c r="H20" s="484">
        <f>CS_MDIS!H20/VLOOKUP($B20,표2[#ALL],2)</f>
        <v>0</v>
      </c>
      <c r="I20" s="484">
        <f>CS_MDIS!I20/VLOOKUP($B20,표2[#ALL],2)</f>
        <v>1.216984564</v>
      </c>
      <c r="J20" s="484">
        <f>CS_MDIS!J20/VLOOKUP($B20,표2[#ALL],2)</f>
        <v>0.356267502</v>
      </c>
      <c r="K20" s="484">
        <f>CS_MDIS!K20/VLOOKUP($B20,표2[#ALL],2)</f>
        <v>0.006305619505</v>
      </c>
    </row>
    <row r="21">
      <c r="A21" s="177">
        <v>-7.0</v>
      </c>
      <c r="B21" s="416">
        <v>653.0</v>
      </c>
      <c r="C21" s="484">
        <f>CS_MDIS!C21/VLOOKUP($B21,표2[#ALL],2)</f>
        <v>5.250940335</v>
      </c>
      <c r="D21" s="484">
        <f>CS_MDIS!D21/VLOOKUP($B21,표2[#ALL],2)</f>
        <v>0.5601998935</v>
      </c>
      <c r="E21" s="484">
        <f>CS_MDIS!E21/VLOOKUP($B21,표2[#ALL],2)</f>
        <v>0.004979554609</v>
      </c>
      <c r="F21" s="484">
        <f>CS_MDIS!F21/VLOOKUP($B21,표2[#ALL],2)</f>
        <v>0.08963198295</v>
      </c>
      <c r="G21" s="484">
        <f>CS_MDIS!G21/VLOOKUP($B21,표2[#ALL],2)</f>
        <v>0.04481599148</v>
      </c>
      <c r="H21" s="484">
        <f>CS_MDIS!H21/VLOOKUP($B21,표2[#ALL],2)</f>
        <v>0.004979554609</v>
      </c>
      <c r="I21" s="484">
        <f>CS_MDIS!I21/VLOOKUP($B21,표2[#ALL],2)</f>
        <v>1.254847761</v>
      </c>
      <c r="J21" s="484">
        <f>CS_MDIS!J21/VLOOKUP($B21,표2[#ALL],2)</f>
        <v>0.2664061716</v>
      </c>
      <c r="K21" s="484">
        <f>CS_MDIS!K21/VLOOKUP($B21,표2[#ALL],2)</f>
        <v>0.004979554609</v>
      </c>
    </row>
    <row r="22">
      <c r="A22" s="418">
        <v>-7.0</v>
      </c>
      <c r="B22" s="419">
        <v>655.0</v>
      </c>
      <c r="C22" s="485">
        <f>CS_MDIS!C22/VLOOKUP($B22,표2[#ALL],2)</f>
        <v>4.947165407</v>
      </c>
      <c r="D22" s="485">
        <f>CS_MDIS!D22/VLOOKUP($B22,표2[#ALL],2)</f>
        <v>0.5275413348</v>
      </c>
      <c r="E22" s="485">
        <f>CS_MDIS!E22/VLOOKUP($B22,표2[#ALL],2)</f>
        <v>0.003907713591</v>
      </c>
      <c r="F22" s="485">
        <f>CS_MDIS!F22/VLOOKUP($B22,표2[#ALL],2)</f>
        <v>0.07033884464</v>
      </c>
      <c r="G22" s="485">
        <f>CS_MDIS!G22/VLOOKUP($B22,표2[#ALL],2)</f>
        <v>0.02344628155</v>
      </c>
      <c r="H22" s="485">
        <f>CS_MDIS!H22/VLOOKUP($B22,표2[#ALL],2)</f>
        <v>0</v>
      </c>
      <c r="I22" s="485">
        <f>CS_MDIS!I22/VLOOKUP($B22,표2[#ALL],2)</f>
        <v>1.238745208</v>
      </c>
      <c r="J22" s="485">
        <f>CS_MDIS!J22/VLOOKUP($B22,표2[#ALL],2)</f>
        <v>0.3360633689</v>
      </c>
      <c r="K22" s="485">
        <f>CS_MDIS!K22/VLOOKUP($B22,표2[#ALL],2)</f>
        <v>0</v>
      </c>
    </row>
    <row r="23">
      <c r="A23" s="421">
        <v>-6.0</v>
      </c>
      <c r="B23" s="422">
        <v>615.0</v>
      </c>
      <c r="C23" s="486">
        <f>CS_MDIS!C23/VLOOKUP($B23,표2[#ALL],2)</f>
        <v>5.174044524</v>
      </c>
      <c r="D23" s="486">
        <f>CS_MDIS!D23/VLOOKUP($B23,표2[#ALL],2)</f>
        <v>0.6179023659</v>
      </c>
      <c r="E23" s="486">
        <f>CS_MDIS!E23/VLOOKUP($B23,표2[#ALL],2)</f>
        <v>0</v>
      </c>
      <c r="F23" s="486">
        <f>CS_MDIS!F23/VLOOKUP($B23,표2[#ALL],2)</f>
        <v>0.2237232704</v>
      </c>
      <c r="G23" s="486">
        <f>CS_MDIS!G23/VLOOKUP($B23,표2[#ALL],2)</f>
        <v>0.0781255865</v>
      </c>
      <c r="H23" s="486">
        <f>CS_MDIS!H23/VLOOKUP($B23,표2[#ALL],2)</f>
        <v>0</v>
      </c>
      <c r="I23" s="486">
        <f>CS_MDIS!I23/VLOOKUP($B23,표2[#ALL],2)</f>
        <v>1.896321054</v>
      </c>
      <c r="J23" s="486">
        <f>CS_MDIS!J23/VLOOKUP($B23,표2[#ALL],2)</f>
        <v>0.4545488669</v>
      </c>
      <c r="K23" s="486">
        <f>CS_MDIS!K23/VLOOKUP($B23,표2[#ALL],2)</f>
        <v>0</v>
      </c>
    </row>
    <row r="24">
      <c r="A24" s="189">
        <v>-6.0</v>
      </c>
      <c r="B24" s="424">
        <v>616.0</v>
      </c>
      <c r="C24" s="487">
        <f>CS_MDIS!C24/VLOOKUP($B24,표2[#ALL],2)</f>
        <v>5.196069655</v>
      </c>
      <c r="D24" s="487">
        <f>CS_MDIS!D24/VLOOKUP($B24,표2[#ALL],2)</f>
        <v>0.6232120073</v>
      </c>
      <c r="E24" s="487">
        <f>CS_MDIS!E24/VLOOKUP($B24,표2[#ALL],2)</f>
        <v>0.004745269091</v>
      </c>
      <c r="F24" s="487">
        <f>CS_MDIS!F24/VLOOKUP($B24,표2[#ALL],2)</f>
        <v>0.2325181855</v>
      </c>
      <c r="G24" s="487">
        <f>CS_MDIS!G24/VLOOKUP($B24,표2[#ALL],2)</f>
        <v>0.08383308728</v>
      </c>
      <c r="H24" s="487">
        <f>CS_MDIS!H24/VLOOKUP($B24,표2[#ALL],2)</f>
        <v>0.003163512728</v>
      </c>
      <c r="I24" s="487">
        <f>CS_MDIS!I24/VLOOKUP($B24,표2[#ALL],2)</f>
        <v>2.114808258</v>
      </c>
      <c r="J24" s="487">
        <f>CS_MDIS!J24/VLOOKUP($B24,표2[#ALL],2)</f>
        <v>0.4634546146</v>
      </c>
      <c r="K24" s="487">
        <f>CS_MDIS!K24/VLOOKUP($B24,표2[#ALL],2)</f>
        <v>0.003163512728</v>
      </c>
    </row>
    <row r="25">
      <c r="A25" s="426">
        <v>-6.0</v>
      </c>
      <c r="B25" s="427">
        <v>617.0</v>
      </c>
      <c r="C25" s="488">
        <f>CS_MDIS!C25/VLOOKUP($B25,표2[#ALL],2)</f>
        <v>5.218315404</v>
      </c>
      <c r="D25" s="488">
        <f>CS_MDIS!D25/VLOOKUP($B25,표2[#ALL],2)</f>
        <v>0.5741445494</v>
      </c>
      <c r="E25" s="488">
        <f>CS_MDIS!E25/VLOOKUP($B25,표2[#ALL],2)</f>
        <v>0.006492749347</v>
      </c>
      <c r="F25" s="488">
        <f>CS_MDIS!F25/VLOOKUP($B25,표2[#ALL],2)</f>
        <v>0.2328114409</v>
      </c>
      <c r="G25" s="488">
        <f>CS_MDIS!G25/VLOOKUP($B25,표2[#ALL],2)</f>
        <v>0.07884052779</v>
      </c>
      <c r="H25" s="488">
        <f>CS_MDIS!H25/VLOOKUP($B25,표2[#ALL],2)</f>
        <v>0.004637678105</v>
      </c>
      <c r="I25" s="488">
        <f>CS_MDIS!I25/VLOOKUP($B25,표2[#ALL],2)</f>
        <v>2.261331844</v>
      </c>
      <c r="J25" s="488">
        <f>CS_MDIS!J25/VLOOKUP($B25,표2[#ALL],2)</f>
        <v>0.5055069135</v>
      </c>
      <c r="K25" s="488">
        <f>CS_MDIS!K25/VLOOKUP($B25,표2[#ALL],2)</f>
        <v>0.004637678105</v>
      </c>
    </row>
    <row r="26">
      <c r="A26" s="429">
        <v>-5.0</v>
      </c>
      <c r="B26" s="430">
        <v>660.0</v>
      </c>
      <c r="C26" s="489">
        <f>CS_MDIS!C26/VLOOKUP($B26,표2[#ALL],2)</f>
        <v>6.072345381</v>
      </c>
      <c r="D26" s="489">
        <f>CS_MDIS!D26/VLOOKUP($B26,표2[#ALL],2)</f>
        <v>0.8865660369</v>
      </c>
      <c r="E26" s="489">
        <f>CS_MDIS!E26/VLOOKUP($B26,표2[#ALL],2)</f>
        <v>0.001805633476</v>
      </c>
      <c r="F26" s="489">
        <f>CS_MDIS!F26/VLOOKUP($B26,표2[#ALL],2)</f>
        <v>0.3340421931</v>
      </c>
      <c r="G26" s="489">
        <f>CS_MDIS!G26/VLOOKUP($B26,표2[#ALL],2)</f>
        <v>0.06680843863</v>
      </c>
      <c r="H26" s="489">
        <f>CS_MDIS!H26/VLOOKUP($B26,표2[#ALL],2)</f>
        <v>0</v>
      </c>
      <c r="I26" s="489">
        <f>CS_MDIS!I26/VLOOKUP($B26,표2[#ALL],2)</f>
        <v>2.495385464</v>
      </c>
      <c r="J26" s="489">
        <f>CS_MDIS!J26/VLOOKUP($B26,표2[#ALL],2)</f>
        <v>0.5796083459</v>
      </c>
      <c r="K26" s="489">
        <f>CS_MDIS!K26/VLOOKUP($B26,표2[#ALL],2)</f>
        <v>0.007222533906</v>
      </c>
    </row>
    <row r="27">
      <c r="A27" s="432">
        <v>-5.0</v>
      </c>
      <c r="B27" s="433">
        <v>661.0</v>
      </c>
      <c r="C27" s="490">
        <f>CS_MDIS!C27/VLOOKUP($B27,표2[#ALL],2)</f>
        <v>6.493929108</v>
      </c>
      <c r="D27" s="490">
        <f>CS_MDIS!D27/VLOOKUP($B27,표2[#ALL],2)</f>
        <v>0.8375562278</v>
      </c>
      <c r="E27" s="490">
        <f>CS_MDIS!E27/VLOOKUP($B27,표2[#ALL],2)</f>
        <v>0.005736686492</v>
      </c>
      <c r="F27" s="490">
        <f>CS_MDIS!F27/VLOOKUP($B27,표2[#ALL],2)</f>
        <v>0.349937876</v>
      </c>
      <c r="G27" s="490">
        <f>CS_MDIS!G27/VLOOKUP($B27,표2[#ALL],2)</f>
        <v>0.08605029737</v>
      </c>
      <c r="H27" s="490">
        <f>CS_MDIS!H27/VLOOKUP($B27,표2[#ALL],2)</f>
        <v>0</v>
      </c>
      <c r="I27" s="490">
        <f>CS_MDIS!I27/VLOOKUP($B27,표2[#ALL],2)</f>
        <v>2.547088802</v>
      </c>
      <c r="J27" s="490">
        <f>CS_MDIS!J27/VLOOKUP($B27,표2[#ALL],2)</f>
        <v>0.7285591844</v>
      </c>
      <c r="K27" s="490">
        <f>CS_MDIS!K27/VLOOKUP($B27,표2[#ALL],2)</f>
        <v>0.005736686492</v>
      </c>
    </row>
    <row r="28">
      <c r="A28" s="435">
        <v>-4.0</v>
      </c>
      <c r="B28" s="436">
        <v>610.0</v>
      </c>
      <c r="C28" s="491">
        <f>CS_MDIS!C28/VLOOKUP($B28,표2[#ALL],2)</f>
        <v>5.796639042</v>
      </c>
      <c r="D28" s="491">
        <f>CS_MDIS!D28/VLOOKUP($B28,표2[#ALL],2)</f>
        <v>0.8983372088</v>
      </c>
      <c r="E28" s="491">
        <f>CS_MDIS!E28/VLOOKUP($B28,표2[#ALL],2)</f>
        <v>0.01418427172</v>
      </c>
      <c r="F28" s="491">
        <f>CS_MDIS!F28/VLOOKUP($B28,표2[#ALL],2)</f>
        <v>1.068548469</v>
      </c>
      <c r="G28" s="491">
        <f>CS_MDIS!G28/VLOOKUP($B28,표2[#ALL],2)</f>
        <v>0.2458607098</v>
      </c>
      <c r="H28" s="491">
        <f>CS_MDIS!H28/VLOOKUP($B28,표2[#ALL],2)</f>
        <v>0</v>
      </c>
      <c r="I28" s="491">
        <f>CS_MDIS!I28/VLOOKUP($B28,표2[#ALL],2)</f>
        <v>4.342751191</v>
      </c>
      <c r="J28" s="491">
        <f>CS_MDIS!J28/VLOOKUP($B28,표2[#ALL],2)</f>
        <v>1.089824877</v>
      </c>
      <c r="K28" s="491">
        <f>CS_MDIS!K28/VLOOKUP($B28,표2[#ALL],2)</f>
        <v>0.002364045286</v>
      </c>
    </row>
    <row r="29">
      <c r="A29" s="213">
        <v>-4.0</v>
      </c>
      <c r="B29" s="438">
        <v>611.0</v>
      </c>
      <c r="C29" s="492">
        <f>CS_MDIS!C29/VLOOKUP($B29,표2[#ALL],2)</f>
        <v>5.230007865</v>
      </c>
      <c r="D29" s="492">
        <f>CS_MDIS!D29/VLOOKUP($B29,표2[#ALL],2)</f>
        <v>0.8164705998</v>
      </c>
      <c r="E29" s="492">
        <f>CS_MDIS!E29/VLOOKUP($B29,표2[#ALL],2)</f>
        <v>0.01622127019</v>
      </c>
      <c r="F29" s="492">
        <f>CS_MDIS!F29/VLOOKUP($B29,표2[#ALL],2)</f>
        <v>0.751585519</v>
      </c>
      <c r="G29" s="492">
        <f>CS_MDIS!G29/VLOOKUP($B29,표2[#ALL],2)</f>
        <v>0.1892481523</v>
      </c>
      <c r="H29" s="492">
        <f>CS_MDIS!H29/VLOOKUP($B29,표2[#ALL],2)</f>
        <v>0.001351772516</v>
      </c>
      <c r="I29" s="492">
        <f>CS_MDIS!I29/VLOOKUP($B29,표2[#ALL],2)</f>
        <v>3.226680996</v>
      </c>
      <c r="J29" s="492">
        <f>CS_MDIS!J29/VLOOKUP($B29,표2[#ALL],2)</f>
        <v>0.8610790928</v>
      </c>
      <c r="K29" s="492">
        <f>CS_MDIS!K29/VLOOKUP($B29,표2[#ALL],2)</f>
        <v>0.008110635097</v>
      </c>
    </row>
    <row r="30">
      <c r="A30" s="440">
        <v>-4.0</v>
      </c>
      <c r="B30" s="441">
        <v>612.0</v>
      </c>
      <c r="C30" s="493">
        <f>CS_MDIS!C30/VLOOKUP($B30,표2[#ALL],2)</f>
        <v>5.914226364</v>
      </c>
      <c r="D30" s="493">
        <f>CS_MDIS!D30/VLOOKUP($B30,표2[#ALL],2)</f>
        <v>0.9230295482</v>
      </c>
      <c r="E30" s="493">
        <f>CS_MDIS!E30/VLOOKUP($B30,표2[#ALL],2)</f>
        <v>0.01183371216</v>
      </c>
      <c r="F30" s="493">
        <f>CS_MDIS!F30/VLOOKUP($B30,표2[#ALL],2)</f>
        <v>1.130776939</v>
      </c>
      <c r="G30" s="493">
        <f>CS_MDIS!G30/VLOOKUP($B30,표2[#ALL],2)</f>
        <v>0.2471930984</v>
      </c>
      <c r="H30" s="493">
        <f>CS_MDIS!H30/VLOOKUP($B30,표2[#ALL],2)</f>
        <v>0.009203998344</v>
      </c>
      <c r="I30" s="493">
        <f>CS_MDIS!I30/VLOOKUP($B30,표2[#ALL],2)</f>
        <v>4.257506662</v>
      </c>
      <c r="J30" s="493">
        <f>CS_MDIS!J30/VLOOKUP($B30,표2[#ALL],2)</f>
        <v>1.019014102</v>
      </c>
      <c r="K30" s="493">
        <f>CS_MDIS!K30/VLOOKUP($B30,표2[#ALL],2)</f>
        <v>0.009203998344</v>
      </c>
    </row>
    <row r="31">
      <c r="A31" s="443">
        <v>0.0</v>
      </c>
      <c r="B31" s="444">
        <v>601.0</v>
      </c>
      <c r="C31" s="494">
        <f>CS_MDIS!C31/VLOOKUP($B31,표2[#ALL],2)</f>
        <v>4.330833118</v>
      </c>
      <c r="D31" s="494">
        <f>CS_MDIS!D31/VLOOKUP($B31,표2[#ALL],2)</f>
        <v>2.215483994</v>
      </c>
      <c r="E31" s="494">
        <f>CS_MDIS!E31/VLOOKUP($B31,표2[#ALL],2)</f>
        <v>0.1001348698</v>
      </c>
      <c r="F31" s="494">
        <f>CS_MDIS!F31/VLOOKUP($B31,표2[#ALL],2)</f>
        <v>2.653574049</v>
      </c>
      <c r="G31" s="494">
        <f>CS_MDIS!G31/VLOOKUP($B31,표2[#ALL],2)</f>
        <v>1.139034144</v>
      </c>
      <c r="H31" s="494">
        <f>CS_MDIS!H31/VLOOKUP($B31,표2[#ALL],2)</f>
        <v>0.03755057617</v>
      </c>
      <c r="I31" s="494">
        <f>CS_MDIS!I31/VLOOKUP($B31,표2[#ALL],2)</f>
        <v>3.072888816</v>
      </c>
      <c r="J31" s="494">
        <f>CS_MDIS!J31/VLOOKUP($B31,표2[#ALL],2)</f>
        <v>2.878877506</v>
      </c>
      <c r="K31" s="494">
        <f>CS_MDIS!K31/VLOOKUP($B31,표2[#ALL],2)</f>
        <v>0.1126517285</v>
      </c>
    </row>
    <row r="32">
      <c r="A32" s="446">
        <v>0.0</v>
      </c>
      <c r="B32" s="447">
        <v>602.0</v>
      </c>
      <c r="C32" s="495">
        <f>CS_MDIS!C32/VLOOKUP($B32,표2[#ALL],2)</f>
        <v>4.022623212</v>
      </c>
      <c r="D32" s="495">
        <f>CS_MDIS!D32/VLOOKUP($B32,표2[#ALL],2)</f>
        <v>1.880429443</v>
      </c>
      <c r="E32" s="495">
        <f>CS_MDIS!E32/VLOOKUP($B32,표2[#ALL],2)</f>
        <v>0.1121847111</v>
      </c>
      <c r="F32" s="495">
        <f>CS_MDIS!F32/VLOOKUP($B32,표2[#ALL],2)</f>
        <v>2.649696033</v>
      </c>
      <c r="G32" s="495">
        <f>CS_MDIS!G32/VLOOKUP($B32,표2[#ALL],2)</f>
        <v>0.9882938833</v>
      </c>
      <c r="H32" s="495">
        <f>CS_MDIS!H32/VLOOKUP($B32,표2[#ALL],2)</f>
        <v>0.03205277459</v>
      </c>
      <c r="I32" s="495">
        <f>CS_MDIS!I32/VLOOKUP($B32,표2[#ALL],2)</f>
        <v>2.986250166</v>
      </c>
      <c r="J32" s="495">
        <f>CS_MDIS!J32/VLOOKUP($B32,표2[#ALL],2)</f>
        <v>2.815302035</v>
      </c>
      <c r="K32" s="495">
        <f>CS_MDIS!K32/VLOOKUP($B32,표2[#ALL],2)</f>
        <v>0.1228689693</v>
      </c>
    </row>
    <row r="33">
      <c r="A33" s="446">
        <v>0.0</v>
      </c>
      <c r="B33" s="447">
        <v>603.0</v>
      </c>
      <c r="C33" s="495">
        <f>CS_MDIS!C33/VLOOKUP($B33,표2[#ALL],2)</f>
        <v>4.507581261</v>
      </c>
      <c r="D33" s="495">
        <f>CS_MDIS!D33/VLOOKUP($B33,표2[#ALL],2)</f>
        <v>2.231394176</v>
      </c>
      <c r="E33" s="495">
        <f>CS_MDIS!E33/VLOOKUP($B33,표2[#ALL],2)</f>
        <v>0.1249486437</v>
      </c>
      <c r="F33" s="495">
        <f>CS_MDIS!F33/VLOOKUP($B33,표2[#ALL],2)</f>
        <v>2.856137394</v>
      </c>
      <c r="G33" s="495">
        <f>CS_MDIS!G33/VLOOKUP($B33,표2[#ALL],2)</f>
        <v>1.197620963</v>
      </c>
      <c r="H33" s="495">
        <f>CS_MDIS!H33/VLOOKUP($B33,표2[#ALL],2)</f>
        <v>0.08251325531</v>
      </c>
      <c r="I33" s="495">
        <f>CS_MDIS!I33/VLOOKUP($B33,표2[#ALL],2)</f>
        <v>3.179117851</v>
      </c>
      <c r="J33" s="495">
        <f>CS_MDIS!J33/VLOOKUP($B33,표2[#ALL],2)</f>
        <v>3.087174509</v>
      </c>
      <c r="K33" s="495">
        <f>CS_MDIS!K33/VLOOKUP($B33,표2[#ALL],2)</f>
        <v>0.1143397966</v>
      </c>
    </row>
    <row r="34">
      <c r="A34" s="446">
        <v>0.0</v>
      </c>
      <c r="B34" s="447">
        <v>604.0</v>
      </c>
      <c r="C34" s="495">
        <f>CS_MDIS!C34/VLOOKUP($B34,표2[#ALL],2)</f>
        <v>4.502720357</v>
      </c>
      <c r="D34" s="495">
        <f>CS_MDIS!D34/VLOOKUP($B34,표2[#ALL],2)</f>
        <v>2.217003695</v>
      </c>
      <c r="E34" s="495">
        <f>CS_MDIS!E34/VLOOKUP($B34,표2[#ALL],2)</f>
        <v>0.1677404801</v>
      </c>
      <c r="F34" s="495">
        <f>CS_MDIS!F34/VLOOKUP($B34,표2[#ALL],2)</f>
        <v>2.903122887</v>
      </c>
      <c r="G34" s="495">
        <f>CS_MDIS!G34/VLOOKUP($B34,표2[#ALL],2)</f>
        <v>1.169130937</v>
      </c>
      <c r="H34" s="495">
        <f>CS_MDIS!H34/VLOOKUP($B34,표2[#ALL],2)</f>
        <v>0.05557666509</v>
      </c>
      <c r="I34" s="495">
        <f>CS_MDIS!I34/VLOOKUP($B34,표2[#ALL],2)</f>
        <v>3.25376112</v>
      </c>
      <c r="J34" s="495">
        <f>CS_MDIS!J34/VLOOKUP($B34,표2[#ALL],2)</f>
        <v>3.121387608</v>
      </c>
      <c r="K34" s="495">
        <f>CS_MDIS!K34/VLOOKUP($B34,표2[#ALL],2)</f>
        <v>0.1253001177</v>
      </c>
    </row>
    <row r="35">
      <c r="A35" s="446">
        <v>0.0</v>
      </c>
      <c r="B35" s="447">
        <v>632.0</v>
      </c>
      <c r="C35" s="495">
        <f>CS_MDIS!C35/VLOOKUP($B35,표2[#ALL],2)</f>
        <v>3.617607076</v>
      </c>
      <c r="D35" s="495">
        <f>CS_MDIS!D35/VLOOKUP($B35,표2[#ALL],2)</f>
        <v>1.766143077</v>
      </c>
      <c r="E35" s="495">
        <f>CS_MDIS!E35/VLOOKUP($B35,표2[#ALL],2)</f>
        <v>0.1057979428</v>
      </c>
      <c r="F35" s="495">
        <f>CS_MDIS!F35/VLOOKUP($B35,표2[#ALL],2)</f>
        <v>3.216598744</v>
      </c>
      <c r="G35" s="495">
        <f>CS_MDIS!G35/VLOOKUP($B35,표2[#ALL],2)</f>
        <v>1.08869496</v>
      </c>
      <c r="H35" s="495">
        <f>CS_MDIS!H35/VLOOKUP($B35,표2[#ALL],2)</f>
        <v>0.05972464512</v>
      </c>
      <c r="I35" s="495">
        <f>CS_MDIS!I35/VLOOKUP($B35,표2[#ALL],2)</f>
        <v>3.054488993</v>
      </c>
      <c r="J35" s="495">
        <f>CS_MDIS!J35/VLOOKUP($B35,표2[#ALL],2)</f>
        <v>2.629590804</v>
      </c>
      <c r="K35" s="495">
        <f>CS_MDIS!K35/VLOOKUP($B35,표2[#ALL],2)</f>
        <v>0.1109171981</v>
      </c>
    </row>
    <row r="36">
      <c r="A36" s="446">
        <v>0.0</v>
      </c>
      <c r="B36" s="447">
        <v>636.0</v>
      </c>
      <c r="C36" s="495">
        <f>CS_MDIS!C36/VLOOKUP($B36,표2[#ALL],2)</f>
        <v>3.694673969</v>
      </c>
      <c r="D36" s="495">
        <f>CS_MDIS!D36/VLOOKUP($B36,표2[#ALL],2)</f>
        <v>1.857953864</v>
      </c>
      <c r="E36" s="495">
        <f>CS_MDIS!E36/VLOOKUP($B36,표2[#ALL],2)</f>
        <v>0.095551913</v>
      </c>
      <c r="F36" s="495">
        <f>CS_MDIS!F36/VLOOKUP($B36,표2[#ALL],2)</f>
        <v>3.065623875</v>
      </c>
      <c r="G36" s="495">
        <f>CS_MDIS!G36/VLOOKUP($B36,표2[#ALL],2)</f>
        <v>1.194398912</v>
      </c>
      <c r="H36" s="495">
        <f>CS_MDIS!H36/VLOOKUP($B36,표2[#ALL],2)</f>
        <v>0.03715907728</v>
      </c>
      <c r="I36" s="495">
        <f>CS_MDIS!I36/VLOOKUP($B36,표2[#ALL],2)</f>
        <v>3.076240755</v>
      </c>
      <c r="J36" s="495">
        <f>CS_MDIS!J36/VLOOKUP($B36,표2[#ALL],2)</f>
        <v>2.672799344</v>
      </c>
      <c r="K36" s="495">
        <f>CS_MDIS!K36/VLOOKUP($B36,표2[#ALL],2)</f>
        <v>0.1220941111</v>
      </c>
    </row>
    <row r="37">
      <c r="A37" s="446">
        <v>0.0</v>
      </c>
      <c r="B37" s="447">
        <v>637.0</v>
      </c>
      <c r="C37" s="495">
        <f>CS_MDIS!C37/VLOOKUP($B37,표2[#ALL],2)</f>
        <v>3.330996065</v>
      </c>
      <c r="D37" s="495">
        <f>CS_MDIS!D37/VLOOKUP($B37,표2[#ALL],2)</f>
        <v>1.464489649</v>
      </c>
      <c r="E37" s="495">
        <f>CS_MDIS!E37/VLOOKUP($B37,표2[#ALL],2)</f>
        <v>0.08614644996</v>
      </c>
      <c r="F37" s="495">
        <f>CS_MDIS!F37/VLOOKUP($B37,표2[#ALL],2)</f>
        <v>2.211092216</v>
      </c>
      <c r="G37" s="495">
        <f>CS_MDIS!G37/VLOOKUP($B37,표2[#ALL],2)</f>
        <v>0.6030251497</v>
      </c>
      <c r="H37" s="495">
        <f>CS_MDIS!H37/VLOOKUP($B37,표2[#ALL],2)</f>
        <v>0.08614644996</v>
      </c>
      <c r="I37" s="495">
        <f>CS_MDIS!I37/VLOOKUP($B37,표2[#ALL],2)</f>
        <v>2.239807699</v>
      </c>
      <c r="J37" s="495">
        <f>CS_MDIS!J37/VLOOKUP($B37,표2[#ALL],2)</f>
        <v>2.584393499</v>
      </c>
      <c r="K37" s="495">
        <f>CS_MDIS!K37/VLOOKUP($B37,표2[#ALL],2)</f>
        <v>0.1435774166</v>
      </c>
    </row>
    <row r="38">
      <c r="A38" s="449">
        <v>0.0</v>
      </c>
      <c r="B38" s="450">
        <v>638.0</v>
      </c>
      <c r="C38" s="496">
        <f>CS_MDIS!C38/VLOOKUP($B38,표2[#ALL],2)</f>
        <v>4.678506814</v>
      </c>
      <c r="D38" s="496">
        <f>CS_MDIS!D38/VLOOKUP($B38,표2[#ALL],2)</f>
        <v>2.192863347</v>
      </c>
      <c r="E38" s="496">
        <f>CS_MDIS!E38/VLOOKUP($B38,표2[#ALL],2)</f>
        <v>0.1485240258</v>
      </c>
      <c r="F38" s="496">
        <f>CS_MDIS!F38/VLOOKUP($B38,표2[#ALL],2)</f>
        <v>2.982430726</v>
      </c>
      <c r="G38" s="496">
        <f>CS_MDIS!G38/VLOOKUP($B38,표2[#ALL],2)</f>
        <v>1.177949171</v>
      </c>
      <c r="H38" s="496">
        <f>CS_MDIS!H38/VLOOKUP($B38,표2[#ALL],2)</f>
        <v>0.06657973573</v>
      </c>
      <c r="I38" s="496">
        <f>CS_MDIS!I38/VLOOKUP($B38,표2[#ALL],2)</f>
        <v>3.25557836</v>
      </c>
      <c r="J38" s="496">
        <f>CS_MDIS!J38/VLOOKUP($B38,표2[#ALL],2)</f>
        <v>3.11729737</v>
      </c>
      <c r="K38" s="496">
        <f>CS_MDIS!K38/VLOOKUP($B38,표2[#ALL],2)</f>
        <v>0.1254771943</v>
      </c>
    </row>
    <row r="39">
      <c r="A39" s="452">
        <v>4.0</v>
      </c>
      <c r="B39" s="453">
        <v>605.0</v>
      </c>
      <c r="C39" s="497">
        <f>CS_MDIS!C39/VLOOKUP($B39,표2[#ALL],2)</f>
        <v>1.008087233</v>
      </c>
      <c r="D39" s="497">
        <f>CS_MDIS!D39/VLOOKUP($B39,표2[#ALL],2)</f>
        <v>0.5646471015</v>
      </c>
      <c r="E39" s="497">
        <f>CS_MDIS!E39/VLOOKUP($B39,표2[#ALL],2)</f>
        <v>0.03843147811</v>
      </c>
      <c r="F39" s="497">
        <f>CS_MDIS!F39/VLOOKUP($B39,표2[#ALL],2)</f>
        <v>7.284243236</v>
      </c>
      <c r="G39" s="497">
        <f>CS_MDIS!G39/VLOOKUP($B39,표2[#ALL],2)</f>
        <v>1.516565252</v>
      </c>
      <c r="H39" s="497">
        <f>CS_MDIS!H39/VLOOKUP($B39,표2[#ALL],2)</f>
        <v>0.07390668867</v>
      </c>
      <c r="I39" s="497">
        <f>CS_MDIS!I39/VLOOKUP($B39,표2[#ALL],2)</f>
        <v>3.107037192</v>
      </c>
      <c r="J39" s="497">
        <f>CS_MDIS!J39/VLOOKUP($B39,표2[#ALL],2)</f>
        <v>1.785585598</v>
      </c>
      <c r="K39" s="497">
        <f>CS_MDIS!K39/VLOOKUP($B39,표2[#ALL],2)</f>
        <v>0.07390668867</v>
      </c>
    </row>
    <row r="40">
      <c r="A40" s="455">
        <v>4.0</v>
      </c>
      <c r="B40" s="456">
        <v>606.0</v>
      </c>
      <c r="C40" s="498">
        <f>CS_MDIS!C40/VLOOKUP($B40,표2[#ALL],2)</f>
        <v>1.106565884</v>
      </c>
      <c r="D40" s="498">
        <f>CS_MDIS!D40/VLOOKUP($B40,표2[#ALL],2)</f>
        <v>0.6139035077</v>
      </c>
      <c r="E40" s="498">
        <f>CS_MDIS!E40/VLOOKUP($B40,표2[#ALL],2)</f>
        <v>0.03656478572</v>
      </c>
      <c r="F40" s="498">
        <f>CS_MDIS!F40/VLOOKUP($B40,표2[#ALL],2)</f>
        <v>7.184018163</v>
      </c>
      <c r="G40" s="498">
        <f>CS_MDIS!G40/VLOOKUP($B40,표2[#ALL],2)</f>
        <v>1.662735519</v>
      </c>
      <c r="H40" s="498">
        <f>CS_MDIS!H40/VLOOKUP($B40,표2[#ALL],2)</f>
        <v>0.1019965075</v>
      </c>
      <c r="I40" s="498">
        <f>CS_MDIS!I40/VLOOKUP($B40,표2[#ALL],2)</f>
        <v>3.015632591</v>
      </c>
      <c r="J40" s="498">
        <f>CS_MDIS!J40/VLOOKUP($B40,표2[#ALL],2)</f>
        <v>1.957178267</v>
      </c>
      <c r="K40" s="498">
        <f>CS_MDIS!K40/VLOOKUP($B40,표2[#ALL],2)</f>
        <v>0.06158279701</v>
      </c>
    </row>
    <row r="41">
      <c r="A41" s="458">
        <v>4.0</v>
      </c>
      <c r="B41" s="459">
        <v>607.0</v>
      </c>
      <c r="C41" s="499">
        <f>CS_MDIS!C41/VLOOKUP($B41,표2[#ALL],2)</f>
        <v>1.06374634</v>
      </c>
      <c r="D41" s="499">
        <f>CS_MDIS!D41/VLOOKUP($B41,표2[#ALL],2)</f>
        <v>0.5768445599</v>
      </c>
      <c r="E41" s="499">
        <f>CS_MDIS!E41/VLOOKUP($B41,표2[#ALL],2)</f>
        <v>0.03459337691</v>
      </c>
      <c r="F41" s="499">
        <f>CS_MDIS!F41/VLOOKUP($B41,표2[#ALL],2)</f>
        <v>7.224826767</v>
      </c>
      <c r="G41" s="499">
        <f>CS_MDIS!G41/VLOOKUP($B41,표2[#ALL],2)</f>
        <v>1.599078848</v>
      </c>
      <c r="H41" s="499">
        <f>CS_MDIS!H41/VLOOKUP($B41,표2[#ALL],2)</f>
        <v>0.08215927016</v>
      </c>
      <c r="I41" s="499">
        <f>CS_MDIS!I41/VLOOKUP($B41,표2[#ALL],2)</f>
        <v>3.089188558</v>
      </c>
      <c r="J41" s="499">
        <f>CS_MDIS!J41/VLOOKUP($B41,표2[#ALL],2)</f>
        <v>2.01419937</v>
      </c>
      <c r="K41" s="499">
        <f>CS_MDIS!K41/VLOOKUP($B41,표2[#ALL],2)</f>
        <v>0.07869993247</v>
      </c>
    </row>
    <row r="42">
      <c r="A42" s="461">
        <v>7.0</v>
      </c>
      <c r="B42" s="462">
        <v>590.0</v>
      </c>
      <c r="C42" s="500">
        <f>CS_MDIS!C42/VLOOKUP($B42,표2[#ALL],2)</f>
        <v>0.129547576</v>
      </c>
      <c r="D42" s="500">
        <f>CS_MDIS!D42/VLOOKUP($B42,표2[#ALL],2)</f>
        <v>0.1655330138</v>
      </c>
      <c r="E42" s="500">
        <f>CS_MDIS!E42/VLOOKUP($B42,표2[#ALL],2)</f>
        <v>0.003598543779</v>
      </c>
      <c r="F42" s="500">
        <f>CS_MDIS!F42/VLOOKUP($B42,표2[#ALL],2)</f>
        <v>4.624128756</v>
      </c>
      <c r="G42" s="500">
        <f>CS_MDIS!G42/VLOOKUP($B42,표2[#ALL],2)</f>
        <v>1.324264111</v>
      </c>
      <c r="H42" s="500">
        <f>CS_MDIS!H42/VLOOKUP($B42,표2[#ALL],2)</f>
        <v>0.1223504885</v>
      </c>
      <c r="I42" s="500">
        <f>CS_MDIS!I42/VLOOKUP($B42,표2[#ALL],2)</f>
        <v>0.9680082765</v>
      </c>
      <c r="J42" s="500">
        <f>CS_MDIS!J42/VLOOKUP($B42,표2[#ALL],2)</f>
        <v>0.94281847</v>
      </c>
      <c r="K42" s="500">
        <f>CS_MDIS!K42/VLOOKUP($B42,표2[#ALL],2)</f>
        <v>0.02878835023</v>
      </c>
    </row>
    <row r="43">
      <c r="A43" s="464">
        <v>7.0</v>
      </c>
      <c r="B43" s="465">
        <v>592.0</v>
      </c>
      <c r="C43" s="501">
        <f>CS_MDIS!C43/VLOOKUP($B43,표2[#ALL],2)</f>
        <v>0.1655890306</v>
      </c>
      <c r="D43" s="501">
        <f>CS_MDIS!D43/VLOOKUP($B43,표2[#ALL],2)</f>
        <v>0.1594561036</v>
      </c>
      <c r="E43" s="501">
        <f>CS_MDIS!E43/VLOOKUP($B43,표2[#ALL],2)</f>
        <v>0.03679756236</v>
      </c>
      <c r="F43" s="501">
        <f>CS_MDIS!F43/VLOOKUP($B43,표2[#ALL],2)</f>
        <v>4.615027613</v>
      </c>
      <c r="G43" s="501">
        <f>CS_MDIS!G43/VLOOKUP($B43,표2[#ALL],2)</f>
        <v>1.278715292</v>
      </c>
      <c r="H43" s="501">
        <f>CS_MDIS!H43/VLOOKUP($B43,표2[#ALL],2)</f>
        <v>0.10425976</v>
      </c>
      <c r="I43" s="501">
        <f>CS_MDIS!I43/VLOOKUP($B43,표2[#ALL],2)</f>
        <v>1.018065892</v>
      </c>
      <c r="J43" s="501">
        <f>CS_MDIS!J43/VLOOKUP($B43,표2[#ALL],2)</f>
        <v>0.9506036944</v>
      </c>
      <c r="K43" s="501">
        <f>CS_MDIS!K43/VLOOKUP($B43,표2[#ALL],2)</f>
        <v>0.05212988001</v>
      </c>
    </row>
    <row r="44">
      <c r="A44" s="464">
        <v>7.0</v>
      </c>
      <c r="B44" s="465">
        <v>593.0</v>
      </c>
      <c r="C44" s="501">
        <f>CS_MDIS!C44/VLOOKUP($B44,표2[#ALL],2)</f>
        <v>0.1671117177</v>
      </c>
      <c r="D44" s="501">
        <f>CS_MDIS!D44/VLOOKUP($B44,표2[#ALL],2)</f>
        <v>0.1281189835</v>
      </c>
      <c r="E44" s="501">
        <f>CS_MDIS!E44/VLOOKUP($B44,표2[#ALL],2)</f>
        <v>0.01671117177</v>
      </c>
      <c r="F44" s="501">
        <f>CS_MDIS!F44/VLOOKUP($B44,표2[#ALL],2)</f>
        <v>4.272489582</v>
      </c>
      <c r="G44" s="501">
        <f>CS_MDIS!G44/VLOOKUP($B44,표2[#ALL],2)</f>
        <v>1.375886475</v>
      </c>
      <c r="H44" s="501">
        <f>CS_MDIS!H44/VLOOKUP($B44,표2[#ALL],2)</f>
        <v>0.06684468707</v>
      </c>
      <c r="I44" s="501">
        <f>CS_MDIS!I44/VLOOKUP($B44,표2[#ALL],2)</f>
        <v>1.04166304</v>
      </c>
      <c r="J44" s="501">
        <f>CS_MDIS!J44/VLOOKUP($B44,표2[#ALL],2)</f>
        <v>0.8244178071</v>
      </c>
      <c r="K44" s="501">
        <f>CS_MDIS!K44/VLOOKUP($B44,표2[#ALL],2)</f>
        <v>0.04456312471</v>
      </c>
    </row>
    <row r="45">
      <c r="A45" s="464">
        <v>7.0</v>
      </c>
      <c r="B45" s="465">
        <v>594.0</v>
      </c>
      <c r="C45" s="501">
        <f>CS_MDIS!C45/VLOOKUP($B45,표2[#ALL],2)</f>
        <v>0.1836195509</v>
      </c>
      <c r="D45" s="501">
        <f>CS_MDIS!D45/VLOOKUP($B45,표2[#ALL],2)</f>
        <v>0.1875825627</v>
      </c>
      <c r="E45" s="501">
        <f>CS_MDIS!E45/VLOOKUP($B45,표2[#ALL],2)</f>
        <v>0.02245706737</v>
      </c>
      <c r="F45" s="501">
        <f>CS_MDIS!F45/VLOOKUP($B45,표2[#ALL],2)</f>
        <v>4.58652576</v>
      </c>
      <c r="G45" s="501">
        <f>CS_MDIS!G45/VLOOKUP($B45,표2[#ALL],2)</f>
        <v>1.281373844</v>
      </c>
      <c r="H45" s="501">
        <f>CS_MDIS!H45/VLOOKUP($B45,표2[#ALL],2)</f>
        <v>0.1188903567</v>
      </c>
      <c r="I45" s="501">
        <f>CS_MDIS!I45/VLOOKUP($B45,표2[#ALL],2)</f>
        <v>1.118890357</v>
      </c>
      <c r="J45" s="501">
        <f>CS_MDIS!J45/VLOOKUP($B45,표2[#ALL],2)</f>
        <v>0.9313077939</v>
      </c>
      <c r="K45" s="501">
        <f>CS_MDIS!K45/VLOOKUP($B45,표2[#ALL],2)</f>
        <v>0.05284015852</v>
      </c>
    </row>
    <row r="46">
      <c r="A46" s="464">
        <v>7.0</v>
      </c>
      <c r="B46" s="465">
        <v>595.0</v>
      </c>
      <c r="C46" s="501">
        <f>CS_MDIS!C46/VLOOKUP($B46,표2[#ALL],2)</f>
        <v>0.1855212932</v>
      </c>
      <c r="D46" s="501">
        <f>CS_MDIS!D46/VLOOKUP($B46,표2[#ALL],2)</f>
        <v>0.17595834</v>
      </c>
      <c r="E46" s="501">
        <f>CS_MDIS!E46/VLOOKUP($B46,표2[#ALL],2)</f>
        <v>0.01530072522</v>
      </c>
      <c r="F46" s="501">
        <f>CS_MDIS!F46/VLOOKUP($B46,표2[#ALL],2)</f>
        <v>4.538577617</v>
      </c>
      <c r="G46" s="501">
        <f>CS_MDIS!G46/VLOOKUP($B46,표2[#ALL],2)</f>
        <v>1.356026772</v>
      </c>
      <c r="H46" s="501">
        <f>CS_MDIS!H46/VLOOKUP($B46,표2[#ALL],2)</f>
        <v>0.1166680298</v>
      </c>
      <c r="I46" s="501">
        <f>CS_MDIS!I46/VLOOKUP($B46,표2[#ALL],2)</f>
        <v>1.155204754</v>
      </c>
      <c r="J46" s="501">
        <f>CS_MDIS!J46/VLOOKUP($B46,표2[#ALL],2)</f>
        <v>1.009847864</v>
      </c>
      <c r="K46" s="501">
        <f>CS_MDIS!K46/VLOOKUP($B46,표2[#ALL],2)</f>
        <v>0.05929031021</v>
      </c>
    </row>
    <row r="47">
      <c r="A47" s="464">
        <v>7.0</v>
      </c>
      <c r="B47" s="465">
        <v>596.0</v>
      </c>
      <c r="C47" s="501">
        <f>CS_MDIS!C47/VLOOKUP($B47,표2[#ALL],2)</f>
        <v>0.2012187464</v>
      </c>
      <c r="D47" s="501">
        <f>CS_MDIS!D47/VLOOKUP($B47,표2[#ALL],2)</f>
        <v>0.1829261331</v>
      </c>
      <c r="E47" s="501">
        <f>CS_MDIS!E47/VLOOKUP($B47,표2[#ALL],2)</f>
        <v>0.01829261331</v>
      </c>
      <c r="F47" s="501">
        <f>CS_MDIS!F47/VLOOKUP($B47,표2[#ALL],2)</f>
        <v>4.53134164</v>
      </c>
      <c r="G47" s="501">
        <f>CS_MDIS!G47/VLOOKUP($B47,표2[#ALL],2)</f>
        <v>1.275256471</v>
      </c>
      <c r="H47" s="501">
        <f>CS_MDIS!H47/VLOOKUP($B47,표2[#ALL],2)</f>
        <v>0.1045292189</v>
      </c>
      <c r="I47" s="501">
        <f>CS_MDIS!I47/VLOOKUP($B47,표2[#ALL],2)</f>
        <v>1.021773115</v>
      </c>
      <c r="J47" s="501">
        <f>CS_MDIS!J47/VLOOKUP($B47,표2[#ALL],2)</f>
        <v>1.013933423</v>
      </c>
      <c r="K47" s="501">
        <f>CS_MDIS!K47/VLOOKUP($B47,표2[#ALL],2)</f>
        <v>0.04965137898</v>
      </c>
    </row>
    <row r="48">
      <c r="A48" s="467">
        <v>7.0</v>
      </c>
      <c r="B48" s="468">
        <v>598.0</v>
      </c>
      <c r="C48" s="502">
        <f>CS_MDIS!C48/VLOOKUP($B48,표2[#ALL],2)</f>
        <v>0.1968274271</v>
      </c>
      <c r="D48" s="502">
        <f>CS_MDIS!D48/VLOOKUP($B48,표2[#ALL],2)</f>
        <v>0.1625965702</v>
      </c>
      <c r="E48" s="502">
        <f>CS_MDIS!E48/VLOOKUP($B48,표2[#ALL],2)</f>
        <v>0.01996799985</v>
      </c>
      <c r="F48" s="502">
        <f>CS_MDIS!F48/VLOOKUP($B48,표2[#ALL],2)</f>
        <v>4.443355396</v>
      </c>
      <c r="G48" s="502">
        <f>CS_MDIS!G48/VLOOKUP($B48,표2[#ALL],2)</f>
        <v>1.401563418</v>
      </c>
      <c r="H48" s="502">
        <f>CS_MDIS!H48/VLOOKUP($B48,표2[#ALL],2)</f>
        <v>0.1036434278</v>
      </c>
      <c r="I48" s="502">
        <f>CS_MDIS!I48/VLOOKUP($B48,표2[#ALL],2)</f>
        <v>0.9907931356</v>
      </c>
      <c r="J48" s="502">
        <f>CS_MDIS!J48/VLOOKUP($B48,표2[#ALL],2)</f>
        <v>0.9546605644</v>
      </c>
      <c r="K48" s="502">
        <f>CS_MDIS!K48/VLOOKUP($B48,표2[#ALL],2)</f>
        <v>0.04849371393</v>
      </c>
    </row>
  </sheetData>
  <dataValidations>
    <dataValidation type="custom" allowBlank="1" showDropDown="1" sqref="C2:K48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63"/>
    <col customWidth="1" min="4" max="4" width="12.88"/>
    <col customWidth="1" min="5" max="5" width="14.63"/>
  </cols>
  <sheetData>
    <row r="1">
      <c r="A1" s="503" t="s">
        <v>207</v>
      </c>
      <c r="F1" s="503"/>
      <c r="G1" s="503" t="s">
        <v>208</v>
      </c>
    </row>
    <row r="2">
      <c r="F2" s="503"/>
    </row>
    <row r="5">
      <c r="B5" s="504" t="s">
        <v>209</v>
      </c>
      <c r="C5" s="85" t="s">
        <v>210</v>
      </c>
      <c r="D5" s="85" t="s">
        <v>211</v>
      </c>
      <c r="E5" s="505" t="s">
        <v>212</v>
      </c>
      <c r="G5" s="504" t="s">
        <v>209</v>
      </c>
      <c r="H5" s="85" t="s">
        <v>210</v>
      </c>
      <c r="I5" s="85" t="s">
        <v>211</v>
      </c>
      <c r="J5" s="506" t="s">
        <v>213</v>
      </c>
      <c r="K5" s="506" t="s">
        <v>214</v>
      </c>
      <c r="L5" s="505" t="s">
        <v>212</v>
      </c>
    </row>
    <row r="6">
      <c r="B6" s="507" t="s">
        <v>131</v>
      </c>
      <c r="C6" s="508">
        <v>724.0</v>
      </c>
      <c r="D6" s="508">
        <v>621.0</v>
      </c>
      <c r="E6" s="509">
        <f t="shared" ref="E6:E14" si="2">D6/C6</f>
        <v>0.8577348066</v>
      </c>
      <c r="G6" s="507" t="s">
        <v>131</v>
      </c>
      <c r="H6" s="510">
        <v>9725.0</v>
      </c>
      <c r="I6" s="511">
        <v>3511.0</v>
      </c>
      <c r="J6" s="335">
        <f t="shared" ref="J6:K6" si="1">H6/H$16/H$17</f>
        <v>0.1290746443</v>
      </c>
      <c r="K6" s="335">
        <f t="shared" si="1"/>
        <v>0.01013088492</v>
      </c>
      <c r="L6" s="509">
        <f t="shared" ref="L6:L14" si="4">I6/H6</f>
        <v>0.3610282776</v>
      </c>
    </row>
    <row r="7">
      <c r="B7" s="512" t="s">
        <v>132</v>
      </c>
      <c r="C7" s="513">
        <v>551.0</v>
      </c>
      <c r="D7" s="513">
        <v>501.0</v>
      </c>
      <c r="E7" s="514">
        <f t="shared" si="2"/>
        <v>0.9092558984</v>
      </c>
      <c r="G7" s="512" t="s">
        <v>132</v>
      </c>
      <c r="H7" s="515">
        <v>4793.0</v>
      </c>
      <c r="I7" s="516">
        <v>1183.0</v>
      </c>
      <c r="J7" s="339">
        <f t="shared" ref="J7:K7" si="3">H7/H$16/H$17</f>
        <v>0.06361488639</v>
      </c>
      <c r="K7" s="339">
        <f t="shared" si="3"/>
        <v>0.003413510924</v>
      </c>
      <c r="L7" s="514">
        <f t="shared" si="4"/>
        <v>0.2468182767</v>
      </c>
    </row>
    <row r="8">
      <c r="B8" s="507" t="s">
        <v>133</v>
      </c>
      <c r="C8" s="508">
        <v>27.0</v>
      </c>
      <c r="D8" s="508">
        <v>25.0</v>
      </c>
      <c r="E8" s="509">
        <f t="shared" si="2"/>
        <v>0.9259259259</v>
      </c>
      <c r="G8" s="507" t="s">
        <v>133</v>
      </c>
      <c r="H8" s="510">
        <v>309.0</v>
      </c>
      <c r="I8" s="511">
        <v>78.0</v>
      </c>
      <c r="J8" s="335">
        <f t="shared" ref="J8:K8" si="5">H8/H$16/H$17</f>
        <v>0.004101189212</v>
      </c>
      <c r="K8" s="335">
        <f t="shared" si="5"/>
        <v>0.0002250666543</v>
      </c>
      <c r="L8" s="509">
        <f t="shared" si="4"/>
        <v>0.2524271845</v>
      </c>
    </row>
    <row r="9">
      <c r="B9" s="512" t="s">
        <v>125</v>
      </c>
      <c r="C9" s="513">
        <v>673.0</v>
      </c>
      <c r="D9" s="513">
        <v>584.0</v>
      </c>
      <c r="E9" s="514">
        <f t="shared" si="2"/>
        <v>0.867756315</v>
      </c>
      <c r="G9" s="512" t="s">
        <v>125</v>
      </c>
      <c r="H9" s="515">
        <v>6216.0</v>
      </c>
      <c r="I9" s="516">
        <v>3669.0</v>
      </c>
      <c r="J9" s="339">
        <f t="shared" ref="J9:K9" si="6">H9/H$16/H$17</f>
        <v>0.0825015927</v>
      </c>
      <c r="K9" s="339">
        <f t="shared" si="6"/>
        <v>0.01058678916</v>
      </c>
      <c r="L9" s="514">
        <f t="shared" si="4"/>
        <v>0.5902509653</v>
      </c>
    </row>
    <row r="10">
      <c r="B10" s="507" t="s">
        <v>126</v>
      </c>
      <c r="C10" s="508">
        <v>277.0</v>
      </c>
      <c r="D10" s="508">
        <v>256.0</v>
      </c>
      <c r="E10" s="509">
        <f t="shared" si="2"/>
        <v>0.9241877256</v>
      </c>
      <c r="G10" s="507" t="s">
        <v>126</v>
      </c>
      <c r="H10" s="510">
        <v>2540.0</v>
      </c>
      <c r="I10" s="511">
        <v>3111.0</v>
      </c>
      <c r="J10" s="335">
        <f t="shared" ref="J10:K10" si="7">H10/H$16/H$17</f>
        <v>0.03371204077</v>
      </c>
      <c r="K10" s="335">
        <f t="shared" si="7"/>
        <v>0.008976696944</v>
      </c>
      <c r="L10" s="509">
        <f t="shared" si="4"/>
        <v>1.22480315</v>
      </c>
    </row>
    <row r="11">
      <c r="B11" s="512" t="s">
        <v>127</v>
      </c>
      <c r="C11" s="513">
        <v>21.0</v>
      </c>
      <c r="D11" s="513">
        <v>22.0</v>
      </c>
      <c r="E11" s="514">
        <f t="shared" si="2"/>
        <v>1.047619048</v>
      </c>
      <c r="G11" s="512" t="s">
        <v>127</v>
      </c>
      <c r="H11" s="515">
        <v>137.0</v>
      </c>
      <c r="I11" s="516">
        <v>95.0</v>
      </c>
      <c r="J11" s="339">
        <f t="shared" ref="J11:K11" si="8">H11/H$16/H$17</f>
        <v>0.001818326609</v>
      </c>
      <c r="K11" s="339">
        <f t="shared" si="8"/>
        <v>0.0002741196431</v>
      </c>
      <c r="L11" s="514">
        <f t="shared" si="4"/>
        <v>0.6934306569</v>
      </c>
    </row>
    <row r="12">
      <c r="B12" s="507" t="s">
        <v>78</v>
      </c>
      <c r="C12" s="508">
        <v>639.0</v>
      </c>
      <c r="D12" s="508">
        <v>576.0</v>
      </c>
      <c r="E12" s="509">
        <f t="shared" si="2"/>
        <v>0.9014084507</v>
      </c>
      <c r="G12" s="507" t="s">
        <v>78</v>
      </c>
      <c r="H12" s="510">
        <v>6967.0</v>
      </c>
      <c r="I12" s="511">
        <v>3803.0</v>
      </c>
      <c r="J12" s="335">
        <f t="shared" ref="J12:K12" si="9">H12/H$16/H$17</f>
        <v>0.0924692079</v>
      </c>
      <c r="K12" s="335">
        <f t="shared" si="9"/>
        <v>0.01097344213</v>
      </c>
      <c r="L12" s="509">
        <f t="shared" si="4"/>
        <v>0.5458590498</v>
      </c>
    </row>
    <row r="13">
      <c r="B13" s="512" t="s">
        <v>80</v>
      </c>
      <c r="C13" s="513">
        <v>745.0</v>
      </c>
      <c r="D13" s="513">
        <v>661.0</v>
      </c>
      <c r="E13" s="514">
        <f t="shared" si="2"/>
        <v>0.8872483221</v>
      </c>
      <c r="G13" s="512" t="s">
        <v>80</v>
      </c>
      <c r="H13" s="515">
        <v>6695.0</v>
      </c>
      <c r="I13" s="516">
        <v>2143.0</v>
      </c>
      <c r="J13" s="339">
        <f t="shared" ref="J13:K13" si="10">H13/H$16/H$17</f>
        <v>0.0888590996</v>
      </c>
      <c r="K13" s="339">
        <f t="shared" si="10"/>
        <v>0.006183562054</v>
      </c>
      <c r="L13" s="514">
        <f t="shared" si="4"/>
        <v>0.3200896191</v>
      </c>
    </row>
    <row r="14">
      <c r="B14" s="517" t="s">
        <v>82</v>
      </c>
      <c r="C14" s="518">
        <v>37.0</v>
      </c>
      <c r="D14" s="518">
        <v>33.0</v>
      </c>
      <c r="E14" s="519">
        <f t="shared" si="2"/>
        <v>0.8918918919</v>
      </c>
      <c r="G14" s="517" t="s">
        <v>82</v>
      </c>
      <c r="H14" s="520">
        <v>262.0</v>
      </c>
      <c r="I14" s="521">
        <v>90.0</v>
      </c>
      <c r="J14" s="343">
        <f t="shared" ref="J14:K14" si="11">H14/H$16/H$17</f>
        <v>0.003477383733</v>
      </c>
      <c r="K14" s="343">
        <f t="shared" si="11"/>
        <v>0.0002596922935</v>
      </c>
      <c r="L14" s="519">
        <f t="shared" si="4"/>
        <v>0.3435114504</v>
      </c>
    </row>
    <row r="16">
      <c r="G16" s="1" t="s">
        <v>215</v>
      </c>
      <c r="H16" s="306">
        <f>M37</f>
        <v>2184.948297</v>
      </c>
      <c r="I16" s="306">
        <f>M29</f>
        <v>3358.457844</v>
      </c>
    </row>
    <row r="17">
      <c r="G17" s="1" t="s">
        <v>216</v>
      </c>
      <c r="H17" s="306">
        <f>N37</f>
        <v>34.48319583</v>
      </c>
      <c r="I17" s="306">
        <f>N29</f>
        <v>103.1914099</v>
      </c>
    </row>
    <row r="21">
      <c r="A21" s="223" t="s">
        <v>119</v>
      </c>
      <c r="B21" s="224" t="s">
        <v>18</v>
      </c>
      <c r="C21" s="223" t="s">
        <v>125</v>
      </c>
      <c r="D21" s="223" t="s">
        <v>126</v>
      </c>
      <c r="E21" s="223" t="s">
        <v>127</v>
      </c>
      <c r="F21" s="223" t="s">
        <v>78</v>
      </c>
      <c r="G21" s="223" t="s">
        <v>80</v>
      </c>
      <c r="H21" s="223" t="s">
        <v>82</v>
      </c>
      <c r="I21" s="223" t="s">
        <v>131</v>
      </c>
      <c r="J21" s="223" t="s">
        <v>132</v>
      </c>
      <c r="K21" s="223" t="s">
        <v>133</v>
      </c>
      <c r="M21" s="1" t="s">
        <v>217</v>
      </c>
      <c r="N21" s="1" t="s">
        <v>218</v>
      </c>
      <c r="O21" s="522" t="s">
        <v>219</v>
      </c>
    </row>
    <row r="22">
      <c r="A22" s="235" t="s">
        <v>80</v>
      </c>
      <c r="B22" s="236">
        <v>304.0</v>
      </c>
      <c r="C22" s="238">
        <v>576.0</v>
      </c>
      <c r="D22" s="238">
        <v>188.0</v>
      </c>
      <c r="E22" s="238">
        <v>15.0</v>
      </c>
      <c r="F22" s="238">
        <v>592.0</v>
      </c>
      <c r="G22" s="238">
        <v>527.0</v>
      </c>
      <c r="H22" s="238">
        <v>18.0</v>
      </c>
      <c r="I22" s="238">
        <v>613.0</v>
      </c>
      <c r="J22" s="238">
        <v>349.0</v>
      </c>
      <c r="K22" s="238">
        <v>12.0</v>
      </c>
      <c r="M22" s="306">
        <f>vlookup(B22,표2[],2)</f>
        <v>558.048022</v>
      </c>
      <c r="N22" s="306">
        <f>vlookup(B22,표2[],12)</f>
        <v>96.0831289</v>
      </c>
    </row>
    <row r="23">
      <c r="A23" s="263" t="s">
        <v>80</v>
      </c>
      <c r="B23" s="264">
        <v>305.0</v>
      </c>
      <c r="C23" s="523">
        <v>1178.0</v>
      </c>
      <c r="D23" s="523">
        <v>409.0</v>
      </c>
      <c r="E23" s="523">
        <v>19.0</v>
      </c>
      <c r="F23" s="523">
        <v>1193.0</v>
      </c>
      <c r="G23" s="523">
        <v>1059.0</v>
      </c>
      <c r="H23" s="523">
        <v>34.0</v>
      </c>
      <c r="I23" s="523">
        <v>1218.0</v>
      </c>
      <c r="J23" s="523">
        <v>709.0</v>
      </c>
      <c r="K23" s="523">
        <v>34.0</v>
      </c>
      <c r="M23" s="306">
        <f>vlookup(B23,표2[],2)</f>
        <v>1103.57246</v>
      </c>
      <c r="N23" s="306">
        <f>vlookup(B23,표2[],12)</f>
        <v>106.096341</v>
      </c>
    </row>
    <row r="24">
      <c r="A24" s="263" t="s">
        <v>80</v>
      </c>
      <c r="B24" s="264">
        <v>306.0</v>
      </c>
      <c r="C24" s="523">
        <v>1036.0</v>
      </c>
      <c r="D24" s="523">
        <v>330.0</v>
      </c>
      <c r="E24" s="523">
        <v>24.0</v>
      </c>
      <c r="F24" s="523">
        <v>1076.0</v>
      </c>
      <c r="G24" s="523">
        <v>866.0</v>
      </c>
      <c r="H24" s="523">
        <v>25.0</v>
      </c>
      <c r="I24" s="523">
        <v>1120.0</v>
      </c>
      <c r="J24" s="523">
        <v>606.0</v>
      </c>
      <c r="K24" s="523">
        <v>22.0</v>
      </c>
      <c r="M24" s="306">
        <f>vlookup(B24,표2[],2)</f>
        <v>976.975705</v>
      </c>
      <c r="N24" s="306">
        <f>vlookup(B24,표2[],12)</f>
        <v>103.433483</v>
      </c>
    </row>
    <row r="25">
      <c r="A25" s="263" t="s">
        <v>80</v>
      </c>
      <c r="B25" s="264">
        <v>307.0</v>
      </c>
      <c r="C25" s="523">
        <v>113.0</v>
      </c>
      <c r="D25" s="523">
        <v>52.0</v>
      </c>
      <c r="E25" s="523">
        <v>4.0</v>
      </c>
      <c r="F25" s="523">
        <v>130.0</v>
      </c>
      <c r="G25" s="523">
        <v>107.0</v>
      </c>
      <c r="H25" s="523">
        <v>4.0</v>
      </c>
      <c r="I25" s="523">
        <v>137.0</v>
      </c>
      <c r="J25" s="523">
        <v>66.0</v>
      </c>
      <c r="K25" s="523">
        <v>3.0</v>
      </c>
      <c r="M25" s="306">
        <f>vlookup(B25,표2[],2)</f>
        <v>108.997437</v>
      </c>
      <c r="N25" s="306">
        <f>vlookup(B25,표2[],12)</f>
        <v>106.855723</v>
      </c>
    </row>
    <row r="26">
      <c r="A26" s="263" t="s">
        <v>80</v>
      </c>
      <c r="B26" s="264">
        <v>308.0</v>
      </c>
      <c r="C26" s="523">
        <v>53.0</v>
      </c>
      <c r="D26" s="523">
        <v>29.0</v>
      </c>
      <c r="E26" s="523">
        <v>2.0</v>
      </c>
      <c r="F26" s="523">
        <v>68.0</v>
      </c>
      <c r="G26" s="523">
        <v>61.0</v>
      </c>
      <c r="H26" s="523">
        <v>4.0</v>
      </c>
      <c r="I26" s="523">
        <v>69.0</v>
      </c>
      <c r="J26" s="523">
        <v>45.0</v>
      </c>
      <c r="K26" s="523">
        <v>4.0</v>
      </c>
      <c r="M26" s="306">
        <f>vlookup(B26,표2[],2)</f>
        <v>69.272944</v>
      </c>
      <c r="N26" s="306">
        <f>vlookup(B26,표2[],12)</f>
        <v>89.3999827</v>
      </c>
    </row>
    <row r="27">
      <c r="A27" s="263" t="s">
        <v>80</v>
      </c>
      <c r="B27" s="264">
        <v>309.0</v>
      </c>
      <c r="C27" s="523">
        <v>244.0</v>
      </c>
      <c r="D27" s="523">
        <v>80.0</v>
      </c>
      <c r="E27" s="523">
        <v>5.0</v>
      </c>
      <c r="F27" s="523">
        <v>256.0</v>
      </c>
      <c r="G27" s="523">
        <v>202.0</v>
      </c>
      <c r="H27" s="523">
        <v>2.0</v>
      </c>
      <c r="I27" s="523">
        <v>255.0</v>
      </c>
      <c r="J27" s="523">
        <v>173.0</v>
      </c>
      <c r="K27" s="523">
        <v>7.0</v>
      </c>
      <c r="M27" s="306">
        <f>vlookup(B27,표2[],2)</f>
        <v>224.945171</v>
      </c>
      <c r="N27" s="306">
        <f>vlookup(B27,표2[],12)</f>
        <v>107.892959</v>
      </c>
    </row>
    <row r="28">
      <c r="A28" s="291" t="s">
        <v>80</v>
      </c>
      <c r="B28" s="292">
        <v>310.0</v>
      </c>
      <c r="C28" s="524">
        <v>311.0</v>
      </c>
      <c r="D28" s="524">
        <v>95.0</v>
      </c>
      <c r="E28" s="524">
        <v>9.0</v>
      </c>
      <c r="F28" s="524">
        <v>354.0</v>
      </c>
      <c r="G28" s="524">
        <v>289.0</v>
      </c>
      <c r="H28" s="524">
        <v>8.0</v>
      </c>
      <c r="I28" s="524">
        <v>391.0</v>
      </c>
      <c r="J28" s="524">
        <v>195.0</v>
      </c>
      <c r="K28" s="524">
        <v>8.0</v>
      </c>
      <c r="M28" s="306">
        <f>vlookup(B28,표2[],2)</f>
        <v>316.646105</v>
      </c>
      <c r="N28" s="306">
        <f>vlookup(B28,표2[],12)</f>
        <v>103.263547</v>
      </c>
    </row>
    <row r="29">
      <c r="A29" s="525"/>
      <c r="B29" s="525"/>
      <c r="C29" s="526">
        <f t="shared" ref="C29:K29" si="12">SUM(C22:C28)</f>
        <v>3511</v>
      </c>
      <c r="D29" s="526">
        <f t="shared" si="12"/>
        <v>1183</v>
      </c>
      <c r="E29" s="526">
        <f t="shared" si="12"/>
        <v>78</v>
      </c>
      <c r="F29" s="526">
        <f t="shared" si="12"/>
        <v>3669</v>
      </c>
      <c r="G29" s="526">
        <f t="shared" si="12"/>
        <v>3111</v>
      </c>
      <c r="H29" s="526">
        <f t="shared" si="12"/>
        <v>95</v>
      </c>
      <c r="I29" s="526">
        <f t="shared" si="12"/>
        <v>3803</v>
      </c>
      <c r="J29" s="526">
        <f t="shared" si="12"/>
        <v>2143</v>
      </c>
      <c r="K29" s="526">
        <f t="shared" si="12"/>
        <v>90</v>
      </c>
      <c r="M29" s="306">
        <f>SUM(M22:M28)</f>
        <v>3358.457844</v>
      </c>
      <c r="N29" s="306">
        <f>IFERROR(__xludf.DUMMYFUNCTION("AVERAGE.WEIGHTED(N22:N28,M22:M28)"),103.19140990476009)</f>
        <v>103.1914099</v>
      </c>
    </row>
    <row r="30">
      <c r="A30" s="525"/>
      <c r="B30" s="525"/>
      <c r="C30" s="527">
        <v>3511.0</v>
      </c>
      <c r="D30" s="527">
        <v>1183.0</v>
      </c>
      <c r="E30" s="527">
        <v>78.0</v>
      </c>
      <c r="F30" s="527">
        <v>3669.0</v>
      </c>
      <c r="G30" s="527">
        <v>3111.0</v>
      </c>
      <c r="H30" s="527">
        <v>95.0</v>
      </c>
      <c r="I30" s="527">
        <v>3803.0</v>
      </c>
      <c r="J30" s="527">
        <v>2143.0</v>
      </c>
      <c r="K30" s="527">
        <v>90.0</v>
      </c>
    </row>
    <row r="32">
      <c r="A32" s="528" t="s">
        <v>206</v>
      </c>
      <c r="B32" s="529" t="s">
        <v>18</v>
      </c>
      <c r="C32" s="530" t="s">
        <v>131</v>
      </c>
      <c r="D32" s="530" t="s">
        <v>132</v>
      </c>
      <c r="E32" s="530" t="s">
        <v>133</v>
      </c>
      <c r="F32" s="530" t="s">
        <v>125</v>
      </c>
      <c r="G32" s="530" t="s">
        <v>126</v>
      </c>
      <c r="H32" s="530" t="s">
        <v>127</v>
      </c>
      <c r="I32" s="530" t="s">
        <v>78</v>
      </c>
      <c r="J32" s="530" t="s">
        <v>80</v>
      </c>
      <c r="K32" s="530" t="s">
        <v>82</v>
      </c>
      <c r="L32" s="531"/>
      <c r="M32" s="531"/>
      <c r="N32" s="531"/>
      <c r="O32" s="531"/>
      <c r="P32" s="531"/>
      <c r="Q32" s="531"/>
      <c r="R32" s="531"/>
      <c r="S32" s="531"/>
      <c r="T32" s="531"/>
      <c r="U32" s="531"/>
      <c r="V32" s="531"/>
      <c r="W32" s="531"/>
      <c r="X32" s="531"/>
      <c r="Y32" s="531"/>
      <c r="Z32" s="531"/>
      <c r="AA32" s="531"/>
      <c r="AB32" s="531"/>
      <c r="AC32" s="531"/>
      <c r="AD32" s="531"/>
      <c r="AE32" s="531"/>
      <c r="AF32" s="531"/>
      <c r="AG32" s="531"/>
      <c r="AH32" s="531"/>
      <c r="AI32" s="531"/>
      <c r="AJ32" s="531"/>
      <c r="AK32" s="531"/>
      <c r="AL32" s="531"/>
      <c r="AM32" s="531"/>
      <c r="AN32" s="531"/>
      <c r="AO32" s="531"/>
      <c r="AP32" s="531"/>
      <c r="AQ32" s="531"/>
      <c r="AR32" s="531"/>
      <c r="AS32" s="531"/>
    </row>
    <row r="33">
      <c r="A33" s="532">
        <v>0.0</v>
      </c>
      <c r="B33" s="533">
        <v>601.0</v>
      </c>
      <c r="C33" s="534">
        <v>692.0</v>
      </c>
      <c r="D33" s="534">
        <v>354.0</v>
      </c>
      <c r="E33" s="534">
        <v>16.0</v>
      </c>
      <c r="F33" s="534">
        <v>424.0</v>
      </c>
      <c r="G33" s="534">
        <v>182.0</v>
      </c>
      <c r="H33" s="534">
        <v>6.0</v>
      </c>
      <c r="I33" s="534">
        <v>491.0</v>
      </c>
      <c r="J33" s="534">
        <v>460.0</v>
      </c>
      <c r="K33" s="534">
        <v>18.0</v>
      </c>
      <c r="M33" s="306">
        <f>vlookup(B33,표2[],2)</f>
        <v>159.784499</v>
      </c>
      <c r="N33" s="306">
        <f>vlookup(B33,표2[],12)</f>
        <v>34.0521142</v>
      </c>
    </row>
    <row r="34">
      <c r="A34" s="535">
        <v>0.0</v>
      </c>
      <c r="B34" s="536">
        <v>602.0</v>
      </c>
      <c r="C34" s="537">
        <v>753.0</v>
      </c>
      <c r="D34" s="537">
        <v>352.0</v>
      </c>
      <c r="E34" s="537">
        <v>21.0</v>
      </c>
      <c r="F34" s="537">
        <v>496.0</v>
      </c>
      <c r="G34" s="537">
        <v>185.0</v>
      </c>
      <c r="H34" s="537">
        <v>6.0</v>
      </c>
      <c r="I34" s="537">
        <v>559.0</v>
      </c>
      <c r="J34" s="537">
        <v>527.0</v>
      </c>
      <c r="K34" s="537">
        <v>23.0</v>
      </c>
      <c r="M34" s="306">
        <f>vlookup(B34,표2[],2)</f>
        <v>187.191283</v>
      </c>
      <c r="N34" s="306">
        <f>vlookup(B34,표2[],12)</f>
        <v>31.2194024</v>
      </c>
    </row>
    <row r="35">
      <c r="A35" s="535">
        <v>0.0</v>
      </c>
      <c r="B35" s="536">
        <v>603.0</v>
      </c>
      <c r="C35" s="537">
        <v>3824.0</v>
      </c>
      <c r="D35" s="537">
        <v>1893.0</v>
      </c>
      <c r="E35" s="537">
        <v>106.0</v>
      </c>
      <c r="F35" s="537">
        <v>2423.0</v>
      </c>
      <c r="G35" s="537">
        <v>1016.0</v>
      </c>
      <c r="H35" s="537">
        <v>70.0</v>
      </c>
      <c r="I35" s="537">
        <v>2697.0</v>
      </c>
      <c r="J35" s="537">
        <v>2619.0</v>
      </c>
      <c r="K35" s="537">
        <v>97.0</v>
      </c>
      <c r="M35" s="306">
        <f>vlookup(B35,표2[],2)</f>
        <v>848.348544</v>
      </c>
      <c r="N35" s="306">
        <f>vlookup(B35,표2[],12)</f>
        <v>34.7875884</v>
      </c>
    </row>
    <row r="36">
      <c r="A36" s="535">
        <v>0.0</v>
      </c>
      <c r="B36" s="536">
        <v>604.0</v>
      </c>
      <c r="C36" s="537">
        <v>4456.0</v>
      </c>
      <c r="D36" s="537">
        <v>2194.0</v>
      </c>
      <c r="E36" s="537">
        <v>166.0</v>
      </c>
      <c r="F36" s="537">
        <v>2873.0</v>
      </c>
      <c r="G36" s="537">
        <v>1157.0</v>
      </c>
      <c r="H36" s="537">
        <v>55.0</v>
      </c>
      <c r="I36" s="537">
        <v>3220.0</v>
      </c>
      <c r="J36" s="537">
        <v>3089.0</v>
      </c>
      <c r="K36" s="537">
        <v>124.0</v>
      </c>
      <c r="M36" s="306">
        <f>vlookup(B36,표2[],2)</f>
        <v>989.623971</v>
      </c>
      <c r="N36" s="306">
        <f>vlookup(B36,표2[],12)</f>
        <v>34.9092191</v>
      </c>
    </row>
    <row r="37">
      <c r="A37" s="538"/>
      <c r="B37" s="539"/>
      <c r="C37" s="540">
        <f t="shared" ref="C37:K37" si="13">SUM(C33:C36)</f>
        <v>9725</v>
      </c>
      <c r="D37" s="540">
        <f t="shared" si="13"/>
        <v>4793</v>
      </c>
      <c r="E37" s="540">
        <f t="shared" si="13"/>
        <v>309</v>
      </c>
      <c r="F37" s="540">
        <f t="shared" si="13"/>
        <v>6216</v>
      </c>
      <c r="G37" s="540">
        <f t="shared" si="13"/>
        <v>2540</v>
      </c>
      <c r="H37" s="540">
        <f t="shared" si="13"/>
        <v>137</v>
      </c>
      <c r="I37" s="540">
        <f t="shared" si="13"/>
        <v>6967</v>
      </c>
      <c r="J37" s="540">
        <f t="shared" si="13"/>
        <v>6695</v>
      </c>
      <c r="K37" s="540">
        <f t="shared" si="13"/>
        <v>262</v>
      </c>
      <c r="M37" s="306">
        <f>SUM(M33:M36)</f>
        <v>2184.948297</v>
      </c>
      <c r="N37" s="306">
        <f>IFERROR(__xludf.DUMMYFUNCTION("AVERAGE.WEIGHTED(N33:N36,M33:M36)"),34.48319582628064)</f>
        <v>34.48319583</v>
      </c>
    </row>
    <row r="38">
      <c r="A38" s="538"/>
      <c r="B38" s="539"/>
      <c r="C38" s="540">
        <v>9725.0</v>
      </c>
      <c r="D38" s="540">
        <v>4793.0</v>
      </c>
      <c r="E38" s="540">
        <v>309.0</v>
      </c>
      <c r="F38" s="540">
        <v>6216.0</v>
      </c>
      <c r="G38" s="540">
        <v>2540.0</v>
      </c>
      <c r="H38" s="540">
        <v>137.0</v>
      </c>
      <c r="I38" s="540">
        <v>6967.0</v>
      </c>
      <c r="J38" s="540">
        <v>6695.0</v>
      </c>
      <c r="K38" s="540">
        <v>262.0</v>
      </c>
    </row>
  </sheetData>
  <mergeCells count="2">
    <mergeCell ref="A1:E2"/>
    <mergeCell ref="G1:J2"/>
  </mergeCells>
  <dataValidations>
    <dataValidation type="custom" allowBlank="1" showDropDown="1" sqref="C6:D14 H6:I14">
      <formula1>AND(ISNUMBER(C6),(NOT(OR(NOT(ISERROR(DATEVALUE(C6))), AND(ISNUMBER(C6), LEFT(CELL("format", C6))="D")))))</formula1>
    </dataValidation>
  </dataValidations>
  <drawing r:id="rId1"/>
  <tableParts count="4">
    <tablePart r:id="rId6"/>
    <tablePart r:id="rId7"/>
    <tablePart r:id="rId8"/>
    <tablePart r:id="rId9"/>
  </tableParts>
</worksheet>
</file>